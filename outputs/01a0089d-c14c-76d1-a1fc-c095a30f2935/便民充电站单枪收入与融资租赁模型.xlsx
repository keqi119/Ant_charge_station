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da571ffbb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融资摘要" sheetId="1" r:id="Rdc104d55d80144cc"/>
    <x:sheet xmlns:r="http://schemas.openxmlformats.org/officeDocument/2006/relationships" name="核心假设" sheetId="2" r:id="Re2dadde4ec544d18"/>
    <x:sheet xmlns:r="http://schemas.openxmlformats.org/officeDocument/2006/relationships" name="城市数据库" sheetId="3" r:id="Rc635bce596b14d9b"/>
    <x:sheet xmlns:r="http://schemas.openxmlformats.org/officeDocument/2006/relationships" name="城市分配" sheetId="4" r:id="R246a337f28b84046"/>
    <x:sheet xmlns:r="http://schemas.openxmlformats.org/officeDocument/2006/relationships" name="月度投放计划" sheetId="5" r:id="R12812d2efad348f2"/>
    <x:sheet xmlns:r="http://schemas.openxmlformats.org/officeDocument/2006/relationships" name="单站成本" sheetId="6" r:id="R60e0d3f0eb2b446e"/>
    <x:sheet xmlns:r="http://schemas.openxmlformats.org/officeDocument/2006/relationships" name="历史原始数据" sheetId="7" r:id="Re19d3b36f5764c47"/>
    <x:sheet xmlns:r="http://schemas.openxmlformats.org/officeDocument/2006/relationships" name="历史单枪模型" sheetId="8" r:id="R0a9c7b9920554664"/>
    <x:sheet xmlns:r="http://schemas.openxmlformats.org/officeDocument/2006/relationships" name="年度季节曲线" sheetId="9" r:id="R20108b733f6144d0"/>
    <x:sheet xmlns:r="http://schemas.openxmlformats.org/officeDocument/2006/relationships" name="36月运营模型" sheetId="10" r:id="Ra76d4fb176b24bdc"/>
    <x:sheet xmlns:r="http://schemas.openxmlformats.org/officeDocument/2006/relationships" name="融资租赁与资金缺口" sheetId="11" r:id="R67bd5aba9250437b"/>
    <x:sheet xmlns:r="http://schemas.openxmlformats.org/officeDocument/2006/relationships" name="情景分析、检查与来源" sheetId="12" r:id="R1fb9e2992aee49ea"/>
  </x:sheets>
</x:workbook>
</file>

<file path=xl/comments1.xml><?xml version="1.0" encoding="utf-8"?>
<x:comments xmlns:x="http://schemas.openxmlformats.org/spreadsheetml/2006/main">
  <x:authors>
    <x:author>tc={283D7C05-7A4C-B8AF-DD0F-43AF93CD7A68}</x:author>
    <x:author>tc={17F6F50E-A59A-971E-4EEC-9FE841DF6D51}</x:author>
    <x:author>tc={44ABB06D-22ED-6A59-DC83-1260CCABB75F}</x:author>
    <x:author>tc={1A8FC97E-DA31-D116-EBF6-A72D0052C9B0}</x:author>
    <x:author>tc={DE3F1D1A-CC05-0406-3232-D5E0E0698E91}</x:author>
    <x:author>tc={18FA9267-1423-C74B-22F6-6E3808C028EF}</x:author>
    <x:author>tc={BA32AA59-4791-32B9-1F14-B445F0A4E9B1}</x:author>
    <x:author>tc={1704E774-8EC0-F617-FD2A-C656F2DC7B26}</x:author>
    <x:author>tc={11EFD929-3764-7A98-DCB2-EFBF2038FF7D}</x:author>
    <x:author>tc={FE48CDB7-0FD9-FD98-C451-0C2C45661F01}</x:author>
    <x:author>tc={E1FA2E6C-2C32-31BC-C315-BE06E81AC8F8}</x:author>
    <x:author>tc={63618404-6A36-5BA0-459E-BEC2D59675CD}</x:author>
    <x:author>tc={250B2333-FDDE-CD0E-9634-38ABEB94CC43}</x:author>
    <x:author>tc={49CBB1B2-34C7-4DBA-29E1-0B37CE7551A1}</x:author>
    <x:author>tc={6C0274E4-9F5B-3F59-F4D1-9C1D075D9FCA}</x:author>
    <x:author>tc={A4AC5378-57D1-963C-4F75-89D06C9EE6C2}</x:author>
    <x:author>tc={FEFB3149-1997-CDF8-F8F0-32F88FBBAC51}</x:author>
    <x:author>tc={76313F6A-224E-9654-94A0-E307BCDB5684}</x:author>
    <x:author>tc={2C476E44-46D8-8EF2-FE56-88BF9736A709}</x:author>
    <x:author>tc={EE1D7497-C365-1EC1-893F-61F03382B3EB}</x:author>
    <x:author>tc={FA934C61-96D6-CBCB-7E63-1BA394C4A693}</x:author>
    <x:author>tc={678AA6B4-C509-1852-FD08-62FC68F4F34D}</x:author>
    <x:author>tc={4FD8ADC6-9E0D-20AA-5DCF-5E681189BD4A}</x:author>
    <x:author>tc={1857643B-22BC-9684-1007-9BC8FFBF4903}</x:author>
    <x:author>tc={9EA97FB0-BDC0-DB9C-C080-ABBE13546520}</x:author>
    <x:author>tc={2890E91F-6206-C001-6E21-30B67B7ABA66}</x:author>
    <x:author>tc={340627F0-CDA5-4BFE-E3ED-584399E49B7B}</x:author>
    <x:author>tc={5F5A7387-CB78-4F31-E0AE-B2FCC16B0150}</x:author>
    <x:author>tc={66F3983C-7603-E290-DC86-F2766A556E99}</x:author>
    <x:author>tc={493C1D88-DC1F-D485-3E26-F30558CB40D5}</x:author>
    <x:author>tc={7F42A658-4CC8-4F23-680B-75C792DEC92B}</x:author>
    <x:author>tc={D1F6BEBB-D09A-1EE8-3E60-09356FC0CBA6}</x:author>
    <x:author>tc={2521D315-C012-6204-EADA-1890636A83B4}</x:author>
    <x:author>tc={F4EA9822-A85F-9E95-28ED-2F8705AE1B20}</x:author>
    <x:author>tc={B3E5D41C-550F-6033-2AB6-B201203FE4D3}</x:author>
    <x:author>tc={9EAE6E23-E900-8F21-3641-6C3D0D4EB2D5}</x:author>
    <x:author>tc={B0868BD2-85A3-790F-2633-F3601C83FBEB}</x:author>
    <x:author>tc={03538858-CAF8-70A0-5348-F3E10D76E766}</x:author>
    <x:author>tc={4118AC6F-229F-26BD-411A-77541599653E}</x:author>
    <x:author>tc={DE676308-0945-65E3-FBC3-80F2A626A12F}</x:author>
    <x:author>tc={251988E9-553F-05F7-FA61-EC1AA0454350}</x:author>
    <x:author>tc={FF80FBE7-3CE2-9457-432E-19D0546C2DE0}</x:author>
    <x:author>tc={1DFC12F8-FDEC-310F-6F1E-69EA55522DD9}</x:author>
    <x:author>tc={CB0CCE5E-6A7B-CE1E-4124-71C3BE9585BE}</x:author>
    <x:author>tc={B8448F04-E21B-F22B-576A-7F8F970CFE3C}</x:author>
    <x:author>tc={6DD1AF6F-9EA5-2650-B99E-9C0D3E77ADCD}</x:author>
    <x:author>tc={C9A748EF-3EEE-8BB9-2DA0-37A3352A4C96}</x:author>
    <x:author>tc={5DEEDC5A-7C71-8F55-406D-827F14C7EC8E}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10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1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1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14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15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1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1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18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19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20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2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22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2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24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25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26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27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28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29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30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31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32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3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34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35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36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37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38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39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40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41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42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43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44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45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46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47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48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49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50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55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  <x:comment ref="B60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:t>
        </x:r>
      </x:text>
    </x:comment>
  </x:commentList>
</x:comments>
</file>

<file path=xl/comments2.xml><?xml version="1.0" encoding="utf-8"?>
<x:comments xmlns:x="http://schemas.openxmlformats.org/spreadsheetml/2006/main">
  <x:authors>
    <x:author>tc={B574D31B-1186-FEC3-11ED-280518AD1D5D}</x:author>
    <x:author>tc={782B17BE-44D7-A16D-D46F-65CFA34169FA}</x:author>
    <x:author>tc={DCA19015-BE28-BE47-26F8-CB06B0E6DEF8}</x:author>
    <x:author>tc={E9E91BB1-C458-A9BA-5A7B-EC0FDC141345}</x:author>
    <x:author>tc={9F5A2CF0-95F7-89BF-2DFB-C97CD2F01308}</x:author>
    <x:author>tc={1FED4EED-B96C-92C6-4293-374EE416BAD4}</x:author>
    <x:author>tc={F388E035-7F4E-8977-5AAA-5CB38D3D90B8}</x:author>
    <x:author>tc={DC88F8EA-8331-D6EA-652F-B8591F512C4E}</x:author>
    <x:author>tc={EA74F933-7BD2-D044-84C3-4D180AD5C436}</x:author>
    <x:author>tc={B2525075-5D5A-C560-9078-236A87F40F8B}</x:author>
    <x:author>tc={0ED5CFF9-0996-608A-4B83-45561D20FD65}</x:author>
    <x:author>tc={2E6007BA-38A8-F291-F2BB-ECB5CBE3FD7B}</x:author>
    <x:author>tc={D7C95E07-440D-E0AB-0A32-A6C2A97D0D11}</x:author>
    <x:author>tc={C814C00C-8DD7-A44D-50E0-6E814470F14E}</x:author>
    <x:author>tc={CF0575DD-6619-D185-5320-E74C49F2B36E}</x:author>
    <x:author>tc={8655FCE4-1D16-A8B7-1D71-FA4B24D01E7F}</x:author>
    <x:author>tc={95504487-380F-D004-16DB-C08A310D4B4E}</x:author>
    <x:author>tc={D40C1D3E-EFA9-B341-AD68-FC9D68A124A8}</x:author>
    <x:author>tc={3E0A5C5F-5D4A-3310-9606-A923790EB548}</x:author>
    <x:author>tc={ABDBA6D6-096F-3B9D-AC69-35943E639C67}</x:author>
    <x:author>tc={429CFA00-8A69-B044-312B-26F2E8287D63}</x:author>
    <x:author>tc={1F4BBC27-B045-A106-8E09-82BEF0B57638}</x:author>
    <x:author>tc={865FB5D2-1187-407D-21DF-EC728261D17F}</x:author>
    <x:author>tc={F6FB91A7-B256-60CF-E716-E30267F8BD91}</x:author>
    <x:author>tc={A45D2263-CA41-3695-3A5E-259CB1476D3A}</x:author>
    <x:author>tc={C7DAA415-1A56-7ED9-29BF-D05BC3ACF94B}</x:author>
    <x:author>tc={29E10636-53E1-8B11-C602-036E61091D09}</x:author>
    <x:author>tc={AF803BAB-541F-8413-BDF1-51A51CB4A282}</x:author>
    <x:author>tc={6A09153C-D660-B904-656E-5B9552DC5E63}</x:author>
    <x:author>tc={D9E29F69-A059-4B2B-8850-F8B57172BCB9}</x:author>
    <x:author>tc={7DE63AFE-8F89-396B-5AA8-DA82119E794B}</x:author>
    <x:author>tc={FB55A51B-1B84-F265-17FC-038B4D012BAD}</x:author>
    <x:author>tc={88486495-DA57-B1F4-5766-5D0D66A0A598}</x:author>
    <x:author>tc={64DA2867-C401-99BC-A79C-5613304778B7}</x:author>
    <x:author>tc={4CA6AAE3-6D78-EE42-98C1-028CD03594D5}</x:author>
    <x:author>tc={BEA7FC27-FCB2-42A5-88FC-26207107618A}</x:author>
    <x:author>tc={E320AC14-F683-85C7-1E4A-155049CEAB46}</x:author>
    <x:author>tc={7EC7D714-2EF0-0672-2C82-7EE967876AF6}</x:author>
    <x:author>tc={390A29AA-8DA6-511E-132A-24D1223B7317}</x:author>
    <x:author>tc={AAA92CEB-B6DD-770C-FBCF-BD8A2F3600DD}</x:author>
    <x:author>tc={C6941999-DB9B-FBF1-90FC-B9501DD95E16}</x:author>
    <x:author>tc={65A6CEF0-6D8D-06BC-4AE3-97687039573F}</x:author>
    <x:author>tc={821317E4-34C3-BF0F-FEE0-BA86C55C4715}</x:author>
    <x:author>tc={C945CF4A-3B3F-F813-9FA3-C57FC2CE1383}</x:author>
    <x:author>tc={345834F4-C27B-C9EF-FACF-D7BB84F8C3D9}</x:author>
    <x:author>tc={E7D4BA89-5FCE-2105-58B5-10FE11D82BBD}</x:author>
    <x:author>tc={637D32B9-EF59-9A68-EA3C-8FE805CF2113}</x:author>
    <x:author>tc={53FB0332-0D05-CA60-ABC6-F14BB7213A72}</x:author>
    <x:author>tc={2E4BA807-43EB-A46C-1272-036F1E1E35D5}</x:author>
    <x:author>tc={5C572849-7AE6-C39B-7D92-3C9A5D8729EE}</x:author>
    <x:author>tc={82C0C0AF-DBD3-68D2-08CE-F87B22EF9332}</x:author>
    <x:author>tc={974B4445-C72C-DCAF-ADF3-949171CC59E3}</x:author>
    <x:author>tc={3E90F1B7-627C-FF6C-4601-E130DF0FD433}</x:author>
    <x:author>tc={7E9B2D25-B376-9B01-DB5A-3E7A42A0BF9B}</x:author>
    <x:author>tc={09F63957-3FCD-1457-40B5-F4F90E5422EF}</x:author>
    <x:author>tc={ECBCE082-5101-1E48-6815-48CE4FCC0DA7}</x:author>
    <x:author>tc={30AA7C50-2105-3C3C-8FF2-9285FE851C8F}</x:author>
    <x:author>tc={91C0361F-852C-44B0-ACBB-BD72A2375637}</x:author>
    <x:author>tc={2A740221-0EA3-523B-9C1B-8C9275FECE13}</x:author>
    <x:author>tc={40FAAB40-302E-1495-CBEC-2C023370E2EB}</x:author>
    <x:author>tc={27D2C3D2-8C1C-4AEE-6A4E-DE7DAB680F16}</x:author>
    <x:author>tc={16C8FB69-5B5A-4F09-203E-41612926EC78}</x:author>
    <x:author>tc={D08308E9-08E7-08DB-A836-BB1BDA66B2ED}</x:author>
    <x:author>tc={6AB2F0F3-D59E-777A-D40F-7C24DF7E83F1}</x:author>
    <x:author>tc={109F5241-E50A-DEF5-F895-8C4ABD03E49D}</x:author>
    <x:author>tc={1CC0C9D9-EDE8-7C4D-23BC-A681F16AE7F5}</x:author>
    <x:author>tc={83694C7E-AC01-B2F7-8C92-DE48B00D4E59}</x:author>
    <x:author>tc={A0FE1F7D-426E-47F5-9356-FDF990F29008}</x:author>
    <x:author>tc={2463444F-2A43-4579-5B6B-DDBEC9A72470}</x:author>
    <x:author>tc={81C7463D-A73A-E770-B8AC-E77893038B25}</x:author>
    <x:author>tc={7F73B47C-90DE-BF15-8784-77EEEAD64EA0}</x:author>
    <x:author>tc={54A304F7-4C3A-1C13-6C9B-84CCB43CA645}</x:author>
    <x:author>tc={ECA82034-B967-8517-E709-D4764113E8AD}</x:author>
    <x:author>tc={31172145-33E3-611A-62CB-12060C7A915F}</x:author>
    <x:author>tc={5A231464-78FB-1AD3-14C3-8390A6452BDF}</x:author>
    <x:author>tc={39EF8025-2256-223C-67F0-B603EC65E45C}</x:author>
    <x:author>tc={A9B289F6-5333-0669-321A-1ADCFAADFE9E}</x:author>
    <x:author>tc={C9A74F1E-63CC-4C16-1D2E-61E7AF24C070}</x:author>
    <x:author>tc={70C16FEF-C7DE-7648-30FF-8782E97D75DF}</x:author>
    <x:author>tc={17279876-2373-D243-001C-70067361B57B}</x:author>
    <x:author>tc={B374A037-F48C-555B-F691-63BADAA07C24}</x:author>
    <x:author>tc={11EB6032-EE18-BB53-F886-A54FF040068D}</x:author>
    <x:author>tc={65566D3F-E0E5-6F48-D981-06ECE26FD95A}</x:author>
    <x:author>tc={93044E4B-4F6D-AD85-B042-6997D85C4FEC}</x:author>
    <x:author>tc={47AA5B2D-DE61-E1E3-8762-9966DFF8A000}</x:author>
    <x:author>tc={C395D381-3DDE-3D84-E0CB-00174EF9C8D7}</x:author>
    <x:author>tc={67BDA2F8-76B5-3666-8492-9BD2A6EC8468}</x:author>
    <x:author>tc={804086A4-CA7D-7EF8-80B6-AAD05D8FF198}</x:author>
    <x:author>tc={CE4F22F7-BBEC-6F36-1FC6-2DEB6AE79828}</x:author>
    <x:author>tc={E2B06D3D-0E01-7071-EA64-617EEFA869A5}</x:author>
    <x:author>tc={B67935E8-02E1-E5AF-7635-8496C0A94F98}</x:author>
    <x:author>tc={4F23DBBB-1472-F58D-06F2-8BF04A706433}</x:author>
    <x:author>tc={17FD6CE4-7D6D-74E8-D6DA-F167183B95A2}</x:author>
    <x:author>tc={2720FC46-AE03-856C-4EAB-39CAEB3BEE25}</x:author>
    <x:author>tc={7E26864A-1C0F-3AA2-099A-C8C5A20894A2}</x:author>
    <x:author>tc={F08FD641-9335-A6F2-9D03-AE337988D9F1}</x:author>
    <x:author>tc={787950FD-AAF6-9B03-4F02-E1413C611AA8}</x:author>
    <x:author>tc={832FC2DE-7A98-76CC-7097-06A417C4ECB9}</x:author>
    <x:author>tc={69F5BB66-0BD2-4851-27E4-8E348E52FF22}</x:author>
    <x:author>tc={A9502770-FED5-0022-4DE5-E9A39EA5A9AA}</x:author>
    <x:author>tc={366A3C75-640D-1CEA-A62E-AAF4187071BD}</x:author>
    <x:author>tc={AD127AEB-A6E4-1BBA-D4DA-B5BCBB32A26F}</x:author>
    <x:author>tc={714B197F-1083-CCA7-4845-CB4B06112449}</x:author>
    <x:author>tc={108667FF-1395-235C-C67B-524A3761F0C2}</x:author>
    <x:author>tc={2FFEF01E-D534-1EBD-BB2C-7B868A43BA2F}</x:author>
    <x:author>tc={D9AEA6A6-D95A-E26D-791D-50515517CD1B}</x:author>
    <x:author>tc={031A3052-E157-A525-2D95-E0B8493B6C53}</x:author>
    <x:author>tc={43387E6C-6E7D-5D78-9A79-98043C8C85B9}</x:author>
    <x:author>tc={803690BF-73F0-ACF7-B063-C79775B2D4C3}</x:author>
    <x:author>tc={0D1E936C-9F88-4F18-DE3F-A7F49AF81B13}</x:author>
    <x:author>tc={F879D311-8462-4E0C-4269-6F6CF4EEF25F}</x:author>
    <x:author>tc={AEDF2DC1-2291-EBE6-5CC1-0FD4D43B76C4}</x:author>
    <x:author>tc={60AE37DC-8294-7955-E54A-BEAA88F9F1FA}</x:author>
    <x:author>tc={22156FDB-2A92-44A7-0305-2E0AF8A43604}</x:author>
    <x:author>tc={7F7F9C15-6116-3F3A-310D-FA61DA66B7C9}</x:author>
    <x:author>tc={5B8B562B-127C-ADE7-F1DD-8B001DC78B49}</x:author>
    <x:author>tc={2EB7FBC0-3E30-14EE-E578-BECE50F52538}</x:author>
    <x:author>tc={C6E91777-5818-12A1-405B-691E66B042AC}</x:author>
    <x:author>tc={FD5E058D-3477-0B82-CF5F-A164EB2F3340}</x:author>
    <x:author>tc={738EF36E-F387-181A-DB8E-214ADD3087CB}</x:author>
    <x:author>tc={AAA1D214-84C5-A4D7-A294-C2445530CAA4}</x:author>
    <x:author>tc={FC02656F-FD0B-09B0-4F45-26AA1669E1C8}</x:author>
    <x:author>tc={36C0C8C4-8517-46B5-6F22-6BCAC09DEB94}</x:author>
    <x:author>tc={719CEA62-A9EA-CB37-A1A8-CC6530126965}</x:author>
    <x:author>tc={9BCB9AEF-C491-F960-FFA2-B6B4F8CFD320}</x:author>
    <x:author>tc={0B8317D2-2C6D-61C7-9364-8886E0BBAF07}</x:author>
    <x:author>tc={31EB9090-AFB4-9DD8-AE17-7FB1676D8440}</x:author>
    <x:author>tc={A65571F1-7D1C-18A6-A878-C1E01873BEAC}</x:author>
    <x:author>tc={E6E7A6C8-CDD7-E8E7-D731-978A916138B3}</x:author>
    <x:author>tc={B75E95B1-99CC-B0BF-11BF-AC9E9883294E}</x:author>
    <x:author>tc={27CBEC0C-386C-20D3-1ACB-AC8324C9B9AF}</x:author>
    <x:author>tc={37E48816-9A36-524C-A31C-124E9B14C947}</x:author>
    <x:author>tc={9935B803-67D9-48F7-4B01-77FF44B924F6}</x:author>
    <x:author>tc={65DC9DB4-B559-A9FA-17E4-1C5F89491C5F}</x:author>
    <x:author>tc={0189306B-87FB-DCAF-40DF-09FE374C9505}</x:author>
    <x:author>tc={C7C16472-E373-9E11-87A0-28D61018F4ED}</x:author>
    <x:author>tc={5AC84201-7AE3-4FEF-B5E1-9CC5EC3C769B}</x:author>
    <x:author>tc={B279E56C-BFAC-A6C3-94DA-9454DD5494A3}</x:author>
    <x:author>tc={49DF0CD4-2A9A-F153-A1E5-DEFA6F8A6D07}</x:author>
    <x:author>tc={342768AA-5187-96C1-5E3F-2AA950A62646}</x:author>
    <x:author>tc={881C839C-0B85-63A7-1AEC-A58E9A9E9474}</x:author>
    <x:author>tc={ED2B4F4D-4079-9B81-CD10-B46172B4565B}</x:author>
    <x:author>tc={8ADDE227-5DA1-59A7-C893-D4BA52D9FE23}</x:author>
    <x:author>tc={39F1630D-CAC4-AE8F-F775-38E9407C27F1}</x:author>
    <x:author>tc={679FFBD8-17E8-083D-3D26-937CEAD94B89}</x:author>
    <x:author>tc={869438E3-C7D6-B952-9C92-4078A8D25BFA}</x:author>
    <x:author>tc={2935DE71-E36B-C9CE-3BC3-BD649CAD7164}</x:author>
    <x:author>tc={75D7F1AE-3A07-9082-5540-29E117952DE2}</x:author>
    <x:author>tc={EC6F9C53-9485-A96D-B700-728FE933013A}</x:author>
    <x:author>tc={3019F22A-CDDA-C5AD-1576-77D9B9DD9F53}</x:author>
    <x:author>tc={ED673459-C20D-81B4-7252-F5F180308CEB}</x:author>
    <x:author>tc={3259B820-5EA7-58A9-A8BC-F269071D1375}</x:author>
    <x:author>tc={007C1694-E0DF-790D-BF35-AC50642AE75A}</x:author>
    <x:author>tc={B083B99E-BAC0-C255-B796-705F18E612CF}</x:author>
    <x:author>tc={10159C15-9954-D9BC-6F9C-A3E005483F41}</x:author>
    <x:author>tc={47C0D95B-665F-81D7-6F18-581BF4E51173}</x:author>
    <x:author>tc={CE31EEAA-BDF9-C915-BA15-4A69E3F27A1C}</x:author>
    <x:author>tc={CA278563-A7B5-FD83-BE94-9C0444084153}</x:author>
    <x:author>tc={6F7550F0-2632-FEAF-4544-76CB7175A0DB}</x:author>
    <x:author>tc={CB2312FA-2686-C54B-B7C8-770570B3FBE8}</x:author>
    <x:author>tc={36AA0F1E-66B6-9DE0-C70E-A0696C50EE5A}</x:author>
    <x:author>tc={A89ECDBA-080D-AFCE-A6B7-72A6C8939AE2}</x:author>
    <x:author>tc={25ED249C-7129-E228-4902-C6082EFAF3E5}</x:author>
    <x:author>tc={7081514F-CCA2-C03C-154F-C2D90B53B48B}</x:author>
    <x:author>tc={E7C9A23D-818B-9E89-12C5-3C2BC6A003C2}</x:author>
    <x:author>tc={26BE60DC-C017-B1D0-E11F-5B17F5D44EAB}</x:author>
    <x:author>tc={BC25A821-35AB-0821-0B34-F49D1B29F56F}</x:author>
    <x:author>tc={BE18E6C2-C3F5-8DB2-4268-89398F6AA991}</x:author>
    <x:author>tc={BAC94ECB-8E45-3363-23F7-B5218443F3E4}</x:author>
    <x:author>tc={B735D525-273A-76B9-EA17-157A0D9F097D}</x:author>
    <x:author>tc={4E5D772B-1E1C-6074-3691-5FE18C49C176}</x:author>
    <x:author>tc={C5FCAFA6-25D6-28AF-9CC3-5ED6F3FC94E7}</x:author>
    <x:author>tc={9A5CF9DE-AC65-D634-F7E8-61C5D02F0AF0}</x:author>
    <x:author>tc={1845B8DD-5223-31DF-EE75-94C7F06D59C3}</x:author>
    <x:author>tc={34A77D2D-2D08-F6EA-A401-7EF6EB03300C}</x:author>
    <x:author>tc={08BFC352-F8A3-AED4-0EF1-C7A178724FFE}</x:author>
    <x:author>tc={A5149427-32F9-8A50-7BE6-1D7A05EBD397}</x:author>
    <x:author>tc={CE2654C3-56E4-9F46-3B5C-0AC5548C6B1D}</x:author>
    <x:author>tc={D8285C8E-E4C1-2187-A908-6E50A5F5A212}</x:author>
    <x:author>tc={197A2B93-4B9A-11A6-7765-FB8C67034CE5}</x:author>
    <x:author>tc={28EEAE51-6599-B7B5-47DB-35FB6EDE127A}</x:author>
    <x:author>tc={9B8E473E-49D1-0D42-93B5-E1113604B9DC}</x:author>
    <x:author>tc={2F0AACAD-EFEE-E81A-D41A-8550D45088EB}</x:author>
    <x:author>tc={1C3CFC58-663F-21B8-5C0D-872993F160C7}</x:author>
    <x:author>tc={25A5D0B0-7099-F856-72EA-779592BC7D75}</x:author>
    <x:author>tc={249375BA-2D04-B484-E767-B3F3EEB1BD85}</x:author>
    <x:author>tc={29D542C8-24F5-3789-8FF2-276FE09683E9}</x:author>
    <x:author>tc={0F74867E-F245-0765-5207-5E65226BABD7}</x:author>
    <x:author>tc={C55E3029-F2FE-1364-104C-EADB738E509C}</x:author>
    <x:author>tc={8CAA570B-AB27-0282-C497-60F0F56EA893}</x:author>
    <x:author>tc={B0B7EC34-CF9B-740C-1278-ACDE0B895BB4}</x:author>
    <x:author>tc={DC43F6FC-561E-E182-E59E-F83E136F4D7B}</x:author>
    <x:author>tc={77126B60-E6BE-7FD4-1969-9B2D10FA81CA}</x:author>
    <x:author>tc={2DD9129D-88BF-45F8-1411-1EC556E4FD51}</x:author>
    <x:author>tc={0A04BCFE-A1A7-1A6B-F4C1-AFDC753F8DFA}</x:author>
    <x:author>tc={C72FB817-EC89-78FA-4481-3C5323EDFDE1}</x:author>
    <x:author>tc={C3B8C0B3-4217-04A3-AF3A-AA8E6EE79199}</x:author>
    <x:author>tc={B9DB01D2-36CC-AE16-38E0-3DD27620864E}</x:author>
    <x:author>tc={336E2BF0-AF60-B254-FAE1-473CBE8120B3}</x:author>
    <x:author>tc={55702955-4577-231F-7AB2-5CEA16737D66}</x:author>
    <x:author>tc={9ED820B4-7A4E-636E-0123-DE027B36B122}</x:author>
    <x:author>tc={2C7DDB91-1FFE-CFA4-10D1-D2A3EF3F1A96}</x:author>
    <x:author>tc={E64252CD-D471-A817-C708-63075E25D0B1}</x:author>
    <x:author>tc={A43C4693-17F8-936E-F7B4-B44EA2A45387}</x:author>
    <x:author>tc={F2E558CF-081E-DA4D-878B-1FBE01722D68}</x:author>
    <x:author>tc={5F930FCB-85F1-5AF4-3C9F-10D1438B8D57}</x:author>
    <x:author>tc={5CE26A98-243F-792F-E356-DD072774A17C}</x:author>
    <x:author>tc={50CEF5C1-CF25-AE75-FC24-8ACAC641F5FE}</x:author>
    <x:author>tc={F9225C23-F540-7321-CE65-B886B14DEDBC}</x:author>
    <x:author>tc={D4C44F6B-4505-54E6-8231-18BAA9708DBE}</x:author>
    <x:author>tc={7B412478-78BA-D8EE-6D7A-2224103E4688}</x:author>
    <x:author>tc={6EAC4EF1-336A-E8AD-9290-BFD700BCCC4B}</x:author>
    <x:author>tc={B99637E3-821E-5A65-A630-0B95BD5B7FF6}</x:author>
    <x:author>tc={AC415C30-23BE-2ECD-A0DE-7529D5A9B295}</x:author>
    <x:author>tc={0EABC380-8E81-1A5D-5C3C-CDDB2115F502}</x:author>
    <x:author>tc={666D7A3A-9A9F-875F-AA31-8D8CFD09533E}</x:author>
    <x:author>tc={B8EDC038-3AF0-6EC2-6226-E1D11F5BFF77}</x:author>
    <x:author>tc={13FE100B-0EF5-9AB1-2743-B36D5209E0F9}</x:author>
    <x:author>tc={E9235D75-9F93-ABF2-2D93-A0658CA51A4E}</x:author>
    <x:author>tc={B6D519DD-1832-E60F-B4F4-61F7956C0D96}</x:author>
    <x:author>tc={3D3DFA91-3D46-C33D-B3BF-F540F3262BB2}</x:author>
    <x:author>tc={531A553D-5649-27A2-8558-EA65D35740F8}</x:author>
  </x:authors>
  <x:commentList>
    <x:comment ref="D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上海等级及排名</x:t>
        </x:r>
      </x:text>
    </x:comment>
    <x:comment ref="G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上海人口来源 | As-of: 2020 | URL: https://tjj.sh.gov.cn/tjgb/20210517/cc22f48611f24627bc5ee2ae96ca56d4.html | Accessed: 2026-08-16 | Notes: 等级及排名据2025第一财经榜单；2020年七普常住人口；住建部2022年城市建设统计年鉴表2-2第184行列示同一城市口径的城区人口（含表列城区暂住人口）2475.89万人、建成区面积1242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上海城区人口来源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184行列示同一城市口径的城区人口（含表列城区暂住人口）2475.89万人、建成区面积1242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上海建成区来源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184行列示同一城市口径的城区人口（含表列城区暂住人口）2475.89万人、建成区面积1242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7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北京等级及排名</x:t>
        </x:r>
      </x:text>
    </x:comment>
    <x:comment ref="G7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北京人口来源 | As-of: 2020 | URL: https://www.beijing.gov.cn/gongkai/shuju/sjjd/202105/t20210519_2392881.html | Accessed: 2026-08-16 | Notes: 等级及排名据2025第一财经榜单；2020年七普常住人口；住建部2022年城市建设统计年鉴表2-2第9行虽列示城区人口1912.8万人，但建成区面积为空；为避免不成对或范围错配，密度两字段均保留空值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8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深圳等级及排名</x:t>
        </x:r>
      </x:text>
    </x:comment>
    <x:comment ref="G8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深圳人口来源 | As-of: 2020 | URL: https://stats.gd.gov.cn/attachment/0/421/421309/3283428.pdf | Accessed: 2026-08-16 | Notes: 等级及排名据2025第一财经榜单；2020年七普常住人口；住建部2022年城市建设统计年鉴表2-2第483行列示同一城市口径的城区人口（含表列城区暂住人口）1766.18万人、建成区面积962.17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8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深圳城区人口来源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483行列示同一城市口径的城区人口（含表列城区暂住人口）1766.18万人、建成区面积962.17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8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深圳建成区来源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483行列示同一城市口径的城区人口（含表列城区暂住人口）1766.18万人、建成区面积962.17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9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广州等级及排名</x:t>
        </x:r>
      </x:text>
    </x:comment>
    <x:comment ref="G9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广州人口来源 | As-of: 2020 | URL: https://stats.gd.gov.cn/attachment/0/421/421309/3283428.pdf | Accessed: 2026-08-16 | Notes: 等级及排名据2025第一财经榜单；2020年七普常住人口；住建部2022年城市建设统计年鉴表2-2第479行列示同一城市口径的城区人口（含表列城区暂住人口）1369.7万人、建成区面积1366.02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9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广州城区人口来源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479行列示同一城市口径的城区人口（含表列城区暂住人口）1369.7万人、建成区面积1366.02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9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广州建成区来源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479行列示同一城市口径的城区人口（含表列城区暂住人口）1369.7万人、建成区面积1366.02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10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成都等级及排名</x:t>
        </x:r>
      </x:text>
    </x:comment>
    <x:comment ref="G10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成都人口来源 | As-of: 2020 | URL: https://tjj.sc.gov.cn/scstjj/c111702/2021/5/26/68cf8ce902a44c389e72591bd5a31ca2.shtml | Accessed: 2026-08-16 | Notes: 等级及排名据2025第一财经榜单；2020年七普常住人口；住建部2022年城市建设统计年鉴表2-2第557行列示同一城市口径的城区人口（含表列城区暂住人口）1257.24万人、建成区面积1063.68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10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成都城区人口来源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557行列示同一城市口径的城区人口（含表列城区暂住人口）1257.24万人、建成区面积1063.68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10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成都建成区来源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557行列示同一城市口径的城区人口（含表列城区暂住人口）1257.24万人、建成区面积1063.68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11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杭州等级及排名</x:t>
        </x:r>
      </x:text>
    </x:comment>
    <x:comment ref="G11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杭州人口来源 | As-of: 2020 | URL: https://zjjcmspublic.oss-cn-hangzhou-zwynet-d01-a.internet.cloud.zj.gov.cn/jcms_files/jcms1/web3077/site/flash/tjj/Reports1/%E6%B5%99%E6%B1%9F%E4%BA%BA%E6%99%AE2020%E5%85%89%E7%9B%98/zk/html/fu04.pdf | Accessed: 2026-08-16 | Notes: 等级及排名据2025第一财经榜单；2020年七普常住人口；住建部2022年城市建设统计年鉴表2-2第221行列示同一城市口径的城区人口（含表列城区暂住人口）1002.1万人、建成区面积829.41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11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杭州城区人口来源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221行列示同一城市口径的城区人口（含表列城区暂住人口）1002.1万人、建成区面积829.41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11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杭州建成区来源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221行列示同一城市口径的城区人口（含表列城区暂住人口）1002.1万人、建成区面积829.41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12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重庆等级及排名</x:t>
        </x:r>
      </x:text>
    </x:comment>
    <x:comment ref="G12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重庆人口来源 | As-of: 2020 | URL: https://tjj.cq.gov.cn/zwgk_233/fdzdgknr/tjxx/sjjd_55469/202105/t20210513_9277470.html | Accessed: 2026-08-16 | Notes: 等级及排名据2025第一财经榜单；2020年七普常住人口；住建部2022年城市建设统计年鉴表2-2第555行列示同一城市口径的城区人口（含表列城区暂住人口）1617.5万人、建成区面积1640.8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12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重庆城区人口来源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555行列示同一城市口径的城区人口（含表列城区暂住人口）1617.5万人、建成区面积1640.8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12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重庆建成区来源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555行列示同一城市口径的城区人口（含表列城区暂住人口）1617.5万人、建成区面积1640.8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13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武汉等级及排名</x:t>
        </x:r>
      </x:text>
    </x:comment>
    <x:comment ref="G1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武汉人口来源 | As-of: 2020 | URL: https://tjj.hubei.gov.cn/tjsj/tjgb/pcgb/wnpc/qrp/202105/t20210525_3559343.shtml | Accessed: 2026-08-16 | Notes: 等级及排名据2025第一财经榜单；2020年七普常住人口；住建部2022年城市建设统计年鉴表2-2第407行列示同一城市口径的城区人口（含表列城区暂住人口）1080.64万人、建成区面积925.97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1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武汉城区人口来源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407行列示同一城市口径的城区人口（含表列城区暂住人口）1080.64万人、建成区面积925.97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13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武汉建成区来源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407行列示同一城市口径的城区人口（含表列城区暂住人口）1080.64万人、建成区面积925.97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14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苏州等级及排名</x:t>
        </x:r>
      </x:text>
    </x:comment>
    <x:comment ref="G14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苏州人口来源 | As-of: 2020 | URL: https://www.js.gov.cn/art/2021/5/18/art_46548_206.html | Accessed: 2026-08-16 | Notes: 等级及排名据2025第一财经榜单；2020年七普常住人口；住建部2022年城市建设统计年鉴表2-2第195行列示同一城市口径的城区人口（含表列城区暂住人口）500.08万人、建成区面积481.33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14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苏州城区人口来源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195行列示同一城市口径的城区人口（含表列城区暂住人口）500.08万人、建成区面积481.33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14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苏州建成区来源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195行列示同一城市口径的城区人口（含表列城区暂住人口）500.08万人、建成区面积481.33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15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西安等级及排名</x:t>
        </x:r>
      </x:text>
    </x:comment>
    <x:comment ref="G15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西安人口来源 | As-of: 2020 | URL: https://tjj.shaanxi.gov.cn/tjsj/ndsj/pcsj/rkpc/202505/P020250522415694808635.pdf | Accessed: 2026-08-16 | Notes: 等级及排名据2025第一财经榜单；2020年七普常住人口；住建部2022年城市建设统计年鉴表2-2第646行列示同一城市口径的城区人口（含表列城区暂住人口）770万人、建成区面积807.57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15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西安城区人口来源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646行列示同一城市口径的城区人口（含表列城区暂住人口）770万人、建成区面积807.57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15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西安建成区来源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646行列示同一城市口径的城区人口（含表列城区暂住人口）770万人、建成区面积807.57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16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南京等级及排名</x:t>
        </x:r>
      </x:text>
    </x:comment>
    <x:comment ref="G16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南京人口来源 | As-of: 2020 | URL: https://www.js.gov.cn/art/2021/5/18/art_46548_206.html | Accessed: 2026-08-16 | Notes: 等级及排名据2025第一财经榜单；2020年七普常住人口；住建部2022年城市建设统计年鉴表2-2第186行列示同一城市口径的城区人口（含表列城区暂住人口）699.31万人、建成区面积885.73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16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南京城区人口来源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186行列示同一城市口径的城区人口（含表列城区暂住人口）699.31万人、建成区面积885.73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16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南京建成区来源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186行列示同一城市口径的城区人口（含表列城区暂住人口）699.31万人、建成区面积885.73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17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长沙等级及排名</x:t>
        </x:r>
      </x:text>
    </x:comment>
    <x:comment ref="G17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长沙人口来源 | As-of: 2020 | URL: https://tjj.hunan.gov.cn/hntj/m/tjgb_1/202105/t20210519_19050124.html | Accessed: 2026-08-16 | Notes: 等级及排名据2025第一财经榜单；2020年七普常住人口；住建部2022年城市建设统计年鉴表2-2第446行列示同一城市口径的城区人口（含表列城区暂住人口）520.51万人、建成区面积441.68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17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长沙城区人口来源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446行列示同一城市口径的城区人口（含表列城区暂住人口）520.51万人、建成区面积441.68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17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长沙建成区来源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446行列示同一城市口径的城区人口（含表列城区暂住人口）520.51万人、建成区面积441.68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18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郑州等级及排名</x:t>
        </x:r>
      </x:text>
    </x:comment>
    <x:comment ref="G18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郑州人口来源 | As-of: 2020 | URL: https://tjj.zhengzhou.gov.cn/tjgb/5012681.jhtml | Accessed: 2026-08-16 | Notes: 等级及排名据2025第一财经榜单；2020年七普常住人口；住建部2022年城市建设统计年鉴表2-2第367行列示同一城市口径的城区人口（含表列城区暂住人口）766.75万人、建成区面积729.12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18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郑州城区人口来源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367行列示同一城市口径的城区人口（含表列城区暂住人口）766.75万人、建成区面积729.12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18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郑州建成区来源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367行列示同一城市口径的城区人口（含表列城区暂住人口）766.75万人、建成区面积729.12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19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天津等级及排名</x:t>
        </x:r>
      </x:text>
    </x:comment>
    <x:comment ref="G19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天津人口来源 | As-of: 2020 | URL: https://stats.tj.gov.cn/tjsj_52032/tjgb/202105/t20210521_5457266.html | Accessed: 2026-08-16 | Notes: 等级及排名据2025第一财经榜单；2020年七普常住人口；住建部2022年城市建设统计年鉴表2-2第10行列示同一城市口径的城区人口（含表列城区暂住人口）1160.07万人、建成区面积1264.46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19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天津城区人口来源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10行列示同一城市口径的城区人口（含表列城区暂住人口）1160.07万人、建成区面积1264.46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19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天津建成区来源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10行列示同一城市口径的城区人口（含表列城区暂住人口）1160.07万人、建成区面积1264.46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20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合肥等级及排名</x:t>
        </x:r>
      </x:text>
    </x:comment>
    <x:comment ref="G20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合肥人口来源 | As-of: 2020 | URL: https://tjj.wuhu.gov.cn/tjxx/tjfx/8282011.html | Accessed: 2026-08-16 | Notes: 等级及排名据2025第一财经榜单；2020年七普常住人口；住建部2022年城市建设统计年鉴表2-2第253行列示同一城市口径的城区人口（含表列城区暂住人口）650.4万人、建成区面积506.6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20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合肥城区人口来源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253行列示同一城市口径的城区人口（含表列城区暂住人口）650.4万人、建成区面积506.6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20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合肥建成区来源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253行列示同一城市口径的城区人口（含表列城区暂住人口）650.4万人、建成区面积506.6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21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青岛等级及排名</x:t>
        </x:r>
      </x:text>
    </x:comment>
    <x:comment ref="G21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青岛人口来源 | As-of: 2020 | URL: https://tjj.shandong.gov.cn/art/2021/5/21/art_6293_10287511.html | Accessed: 2026-08-16 | Notes: 等级及排名据2025第一财经榜单；2020年七普常住人口；住建部2022年城市建设统计年鉴表2-2第325行列示同一城市口径的城区人口（含表列城区暂住人口）583.91万人、建成区面积761.52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21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青岛城区人口来源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325行列示同一城市口径的城区人口（含表列城区暂住人口）583.91万人、建成区面积761.52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21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青岛建成区来源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325行列示同一城市口径的城区人口（含表列城区暂住人口）583.91万人、建成区面积761.52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22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东莞等级及排名</x:t>
        </x:r>
      </x:text>
    </x:comment>
    <x:comment ref="G22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东莞人口来源 | As-of: 2020 | URL: https://stats.gd.gov.cn/attachment/0/421/421309/3283428.pdf | Accessed: 2026-08-16 | Notes: 等级及排名据2025第一财经榜单；2020年七普常住人口；住建部2022年城市建设统计年鉴表2-2第513行列示同一城市口径的城区人口（含表列城区暂住人口）1082.44万人、建成区面积1194.31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22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东莞城区人口来源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513行列示同一城市口径的城区人口（含表列城区暂住人口）1082.44万人、建成区面积1194.31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22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东莞建成区来源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513行列示同一城市口径的城区人口（含表列城区暂住人口）1082.44万人、建成区面积1194.31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23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宁波等级及排名</x:t>
        </x:r>
      </x:text>
    </x:comment>
    <x:comment ref="G23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宁波人口来源 | As-of: 2020 | URL: https://zjjcmspublic.oss-cn-hangzhou-zwynet-d01-a.internet.cloud.zj.gov.cn/jcms_files/jcms1/web3077/site/flash/tjj/Reports1/%E6%B5%99%E6%B1%9F%E4%BA%BA%E6%99%AE2020%E5%85%89%E7%9B%98/zk/html/fu04.pdf | Accessed: 2026-08-16 | Notes: 等级及排名据2025第一财经榜单；2020年七普常住人口；住建部2022年城市建设统计年鉴表2-2第223行列示同一城市口径的城区人口（含表列城区暂住人口）367.72万人、建成区面积397.4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23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宁波城区人口来源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223行列示同一城市口径的城区人口（含表列城区暂住人口）367.72万人、建成区面积397.4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23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宁波建成区来源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223行列示同一城市口径的城区人口（含表列城区暂住人口）367.72万人、建成区面积397.4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24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佛山等级及排名</x:t>
        </x:r>
      </x:text>
    </x:comment>
    <x:comment ref="G24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佛山人口来源 | As-of: 2020 | URL: https://stats.gd.gov.cn/attachment/0/421/421309/3283428.pdf | Accessed: 2026-08-16 | Notes: 等级及排名据2025第一财经榜单；2020年七普常住人口；住建部2022年城市建设统计年鉴表2-2第486行列示同一城市口径的城区人口（含表列城区暂住人口）200.3万人、建成区面积163.82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24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佛山城区人口来源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486行列示同一城市口径的城区人口（含表列城区暂住人口）200.3万人、建成区面积163.82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24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佛山建成区来源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486行列示同一城市口径的城区人口（含表列城区暂住人口）200.3万人、建成区面积163.82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25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济南等级及排名</x:t>
        </x:r>
      </x:text>
    </x:comment>
    <x:comment ref="G25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济南人口来源 | As-of: 2020 | URL: https://tjj.shandong.gov.cn/art/2021/5/21/art_6293_10287511.html | Accessed: 2026-08-16 | Notes: 等级及排名据2025第一财经榜单；2020年七普常住人口；住建部2022年城市建设统计年鉴表2-2第324行列示同一城市口径的城区人口（含表列城区暂住人口）662.8万人、建成区面积805.82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25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济南城区人口来源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324行列示同一城市口径的城区人口（含表列城区暂住人口）662.8万人、建成区面积805.82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25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济南建成区来源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324行列示同一城市口径的城区人口（含表列城区暂住人口）662.8万人、建成区面积805.82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26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无锡等级及排名</x:t>
        </x:r>
      </x:text>
    </x:comment>
    <x:comment ref="G26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无锡人口来源 | As-of: 2020 | URL: https://www.js.gov.cn/art/2021/5/18/art_46548_206.html | Accessed: 2026-08-16 | Notes: 等级及排名据2025第一财经榜单；2020年七普常住人口；住建部2022年城市建设统计年鉴表2-2第187行列示同一城市口径的城区人口（含表列城区暂住人口）293.35万人、建成区面积359.72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26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无锡城区人口来源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187行列示同一城市口径的城区人口（含表列城区暂住人口）293.35万人、建成区面积359.72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26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无锡建成区来源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187行列示同一城市口径的城区人口（含表列城区暂住人口）293.35万人、建成区面积359.72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27" authorId="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沈阳等级及排名</x:t>
        </x:r>
      </x:text>
    </x:comment>
    <x:comment ref="G27" authorId="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沈阳人口来源 | As-of: 2020 | URL: https://tjj.ln.gov.cn/tjj/gb/tjsj/tjgb/rkpcgb/2023110818030081821/index.shtml | Accessed: 2026-08-16 | Notes: 等级及排名据2025第一财经榜单；2020年七普常住人口；住建部2022年城市建设统计年鉴表2-2第89行列示同一城市口径的城区人口（含表列城区暂住人口）600万人、建成区面积573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27" authorId="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沈阳城区人口来源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89行列示同一城市口径的城区人口（含表列城区暂住人口）600万人、建成区面积573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27" authorId="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沈阳建成区来源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89行列示同一城市口径的城区人口（含表列城区暂住人口）600万人、建成区面积573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28" authorId="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昆明等级及排名</x:t>
        </x:r>
      </x:text>
    </x:comment>
    <x:comment ref="G28" authorId="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昆明人口来源 | As-of: 2020 | URL: https://stats.yn.gov.cn/zwgk/zfxxgk/fdzdgknr/tjsj/sjjd/202105/t20210517_1204476.html | Accessed: 2026-08-16 | Notes: 等级及排名据2025第一财经榜单；2020年七普常住人口；住建部2022年城市建设统计年鉴表2-2第612行列示同一城市口径的城区人口（含表列城区暂住人口）467.52万人、建成区面积483.27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28" authorId="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昆明城区人口来源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612行列示同一城市口径的城区人口（含表列城区暂住人口）467.52万人、建成区面积483.27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28" authorId="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昆明建成区来源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612行列示同一城市口径的城区人口（含表列城区暂住人口）467.52万人、建成区面积483.27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29" authorId="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福州等级及排名</x:t>
        </x:r>
      </x:text>
    </x:comment>
    <x:comment ref="G29" authorId="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福州人口来源 | As-of: 2020 | URL: https://tjj.fujian.gov.cn/xxgk/tjgb/202105/t20210520_5598804.htm | Accessed: 2026-08-16 | Notes: 等级及排名据2025第一财经榜单；2020年七普常住人口；住建部2022年城市建设统计年鉴表2-2第279行列示同一城市口径的城区人口（含表列城区暂住人口）399.86万人、建成区面积410.02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29" authorId="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福州城区人口来源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279行列示同一城市口径的城区人口（含表列城区暂住人口）399.86万人、建成区面积410.02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29" authorId="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福州建成区来源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279行列示同一城市口径的城区人口（含表列城区暂住人口）399.86万人、建成区面积410.02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30" authorId="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厦门等级及排名</x:t>
        </x:r>
      </x:text>
    </x:comment>
    <x:comment ref="G30" authorId="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厦门人口来源 | As-of: 2020 | URL: https://tjj.fujian.gov.cn/xxgk/tjgb/202105/t20210520_5598804.htm | Accessed: 2026-08-16 | Notes: 等级及排名据2025第一财经榜单；2020年七普常住人口；住建部2022年城市建设统计年鉴表2-2第281行列示同一城市口径的城区人口（含表列城区暂住人口）410.8万人、建成区面积464.77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30" authorId="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厦门城区人口来源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281行列示同一城市口径的城区人口（含表列城区暂住人口）410.8万人、建成区面积464.77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30" authorId="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厦门建成区来源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281行列示同一城市口径的城区人口（含表列城区暂住人口）410.8万人、建成区面积464.77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31" authorId="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温州等级及排名</x:t>
        </x:r>
      </x:text>
    </x:comment>
    <x:comment ref="G31" authorId="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温州人口来源 | As-of: 2020 | URL: https://zjjcmspublic.oss-cn-hangzhou-zwynet-d01-a.internet.cloud.zj.gov.cn/jcms_files/jcms1/web3077/site/flash/tjj/Reports1/%E6%B5%99%E6%B1%9F%E4%BA%BA%E6%99%AE2020%E5%85%89%E7%9B%98/zk/html/fu04.pdf | Accessed: 2026-08-16 | Notes: 等级及排名据2025第一财经榜单；2020年七普常住人口；住建部2022年城市建设统计年鉴表2-2第226行列示同一城市口径的城区人口（含表列城区暂住人口）262.36万人、建成区面积283.21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31" authorId="10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温州城区人口来源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226行列示同一城市口径的城区人口（含表列城区暂住人口）262.36万人、建成区面积283.21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31" authorId="10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温州建成区来源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226行列示同一城市口径的城区人口（含表列城区暂住人口）262.36万人、建成区面积283.21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32" authorId="10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石家庄等级及排名</x:t>
        </x:r>
      </x:text>
    </x:comment>
    <x:comment ref="G32" authorId="10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石家庄人口来源 | As-of: 2020 | URL: https://tjj.sjz.gov.cn/columns/940d701f-5e56-4f5d-9ece-7968f6354993/202105/31/d72c2a6d-f9f9-486d-b378-f566b9c7ed21.html | Accessed: 2026-08-16 | Notes: 等级及排名据2025第一财经榜单；2020年七普常住人口；住建部2022年城市建设统计年鉴表2-2第12行列示同一城市口径的城区人口（含表列城区暂住人口）354.85万人、建成区面积334.52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32" authorId="10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石家庄城区人口来源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12行列示同一城市口径的城区人口（含表列城区暂住人口）354.85万人、建成区面积334.52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32" authorId="10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石家庄建成区来源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12行列示同一城市口径的城区人口（含表列城区暂住人口）354.85万人、建成区面积334.52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33" authorId="10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大连等级及排名</x:t>
        </x:r>
      </x:text>
    </x:comment>
    <x:comment ref="G33" authorId="10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大连人口来源 | As-of: 2020 | URL: https://tjj.ln.gov.cn/tjj/gb/tjsj/tjgb/rkpcgb/2023110818030081821/index.shtml | Accessed: 2026-08-16 | Notes: 等级及排名据2025第一财经榜单；2020年七普常住人口；住建部2022年城市建设统计年鉴表2-2第91行列示同一城市口径的城区人口（含表列城区暂住人口）393.7万人、建成区面积444.04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33" authorId="10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大连城区人口来源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91行列示同一城市口径的城区人口（含表列城区暂住人口）393.7万人、建成区面积444.04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33" authorId="10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大连建成区来源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91行列示同一城市口径的城区人口（含表列城区暂住人口）393.7万人、建成区面积444.04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34" authorId="1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哈尔滨等级及排名</x:t>
        </x:r>
      </x:text>
    </x:comment>
    <x:comment ref="G34" authorId="1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哈尔滨人口来源 | As-of: 2020 | URL: https://tjj.hlj.gov.cn/tjj/c106780/202105/c00_30325030.shtml | Accessed: 2026-08-16 | Notes: 等级及排名据2025第一财经榜单；2020年七普常住人口；住建部2022年城市建设统计年鉴表2-2第151行列示同一城市口径的城区人口（含表列城区暂住人口）498.76万人、建成区面积500.44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34" authorId="1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哈尔滨城区人口来源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151行列示同一城市口径的城区人口（含表列城区暂住人口）498.76万人、建成区面积500.44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34" authorId="1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哈尔滨建成区来源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151行列示同一城市口径的城区人口（含表列城区暂住人口）498.76万人、建成区面积500.44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35" authorId="1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金华等级及排名</x:t>
        </x:r>
      </x:text>
    </x:comment>
    <x:comment ref="G35" authorId="1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金华人口来源 | As-of: 2020 | URL: https://zjjcmspublic.oss-cn-hangzhou-zwynet-d01-a.internet.cloud.zj.gov.cn/jcms_files/jcms1/web3077/site/flash/tjj/Reports1/%E6%B5%99%E6%B1%9F%E4%BA%BA%E6%99%AE2020%E5%85%89%E7%9B%98/zk/html/fu04.pdf | Accessed: 2026-08-16 | Notes: 等级及排名据2025第一财经榜单；2020年七普常住人口；住建部2022年城市建设统计年鉴表2-2第238行列示同一城市口径的城区人口（含表列城区暂住人口）100.75万人、建成区面积115.93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35" authorId="1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金华城区人口来源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238行列示同一城市口径的城区人口（含表列城区暂住人口）100.75万人、建成区面积115.93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35" authorId="1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金华建成区来源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238行列示同一城市口径的城区人口（含表列城区暂住人口）100.75万人、建成区面积115.93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36" authorId="1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泉州等级及排名</x:t>
        </x:r>
      </x:text>
    </x:comment>
    <x:comment ref="G36" authorId="1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泉州人口来源 | As-of: 2020 | URL: https://tjj.fujian.gov.cn/xxgk/tjgb/202105/t20210520_5598804.htm | Accessed: 2026-08-16 | Notes: 等级及排名据2025第一财经榜单；2020年七普常住人口；住建部2022年城市建设统计年鉴表2-2第285行列示同一城市口径的城区人口（含表列城区暂住人口）135.16万人、建成区面积230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36" authorId="1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泉州城区人口来源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285行列示同一城市口径的城区人口（含表列城区暂住人口）135.16万人、建成区面积230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36" authorId="1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泉州建成区来源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285行列示同一城市口径的城区人口（含表列城区暂住人口）135.16万人、建成区面积230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37" authorId="1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南宁等级及排名</x:t>
        </x:r>
      </x:text>
    </x:comment>
    <x:comment ref="G37" authorId="1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南宁人口来源 | As-of: 2020 | URL: https://tjj.gxzf.gov.cn/syyw/t8851196.shtml | Accessed: 2026-08-16 | Notes: 等级及排名据2025第一财经榜单；2020年七普常住人口；住建部2022年城市建设统计年鉴表2-2第521行列示同一城市口径的城区人口（含表列城区暂住人口）420.74万人、建成区面积442.52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37" authorId="1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南宁城区人口来源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521行列示同一城市口径的城区人口（含表列城区暂住人口）420.74万人、建成区面积442.52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37" authorId="1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南宁建成区来源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521行列示同一城市口径的城区人口（含表列城区暂住人口）420.74万人、建成区面积442.52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38" authorId="1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长春等级及排名</x:t>
        </x:r>
      </x:text>
    </x:comment>
    <x:comment ref="G38" authorId="1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长春人口来源 | As-of: 2020 | URL: https://tjj.jl.gov.cn/tjsj/qwfb/202105/t20210524_8079098.html | Accessed: 2026-08-16 | Notes: 等级及排名据2025第一财经榜单；2020年七普常住人口；住建部2022年城市建设统计年鉴表2-2第121行列示同一城市口径的城区人口（含表列城区暂住人口）481.42万人、建成区面积551.38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38" authorId="1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长春城区人口来源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121行列示同一城市口径的城区人口（含表列城区暂住人口）481.42万人、建成区面积551.38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38" authorId="1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长春建成区来源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121行列示同一城市口径的城区人口（含表列城区暂住人口）481.42万人、建成区面积551.38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39" authorId="1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常州等级及排名</x:t>
        </x:r>
      </x:text>
    </x:comment>
    <x:comment ref="G39" authorId="1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常州人口来源 | As-of: 2020 | URL: https://www.js.gov.cn/art/2021/5/18/art_46548_206.html | Accessed: 2026-08-16 | Notes: 等级及排名据2025第一财经榜单；2020年七普常住人口；住建部2022年城市建设统计年鉴表2-2第193行列示同一城市口径的城区人口（含表列城区暂住人口）214.94万人、建成区面积278.74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39" authorId="1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常州城区人口来源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193行列示同一城市口径的城区人口（含表列城区暂住人口）214.94万人、建成区面积278.74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39" authorId="1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常州建成区来源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193行列示同一城市口径的城区人口（含表列城区暂住人口）214.94万人、建成区面积278.74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40" authorId="1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南昌等级及排名</x:t>
        </x:r>
      </x:text>
    </x:comment>
    <x:comment ref="G40" authorId="1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南昌人口来源 | As-of: 2020 | URL: https://nchdz.nc.gov.cn/ncgxq/mtbd/202106/675f33a5cdfa4f8982f68e370716aa24.shtml | Accessed: 2026-08-16 | Notes: 等级及排名据2025第一财经榜单；2020年七普常住人口；住建部2022年城市建设统计年鉴表2-2第300行列示同一城市口径的城区人口（含表列城区暂住人口）332.37万人、建成区面积376.74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40" authorId="1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南昌城区人口来源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300行列示同一城市口径的城区人口（含表列城区暂住人口）332.37万人、建成区面积376.74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40" authorId="1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南昌建成区来源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300行列示同一城市口径的城区人口（含表列城区暂住人口）332.37万人、建成区面积376.74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41" authorId="1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南通等级及排名</x:t>
        </x:r>
      </x:text>
    </x:comment>
    <x:comment ref="G41" authorId="1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南通人口来源 | As-of: 2020 | URL: https://www.js.gov.cn/art/2021/5/18/art_46548_206.html | Accessed: 2026-08-16 | Notes: 等级及排名据2025第一财经榜单；2020年七普常住人口；住建部2022年城市建设统计年鉴表2-2第200行列示同一城市口径的城区人口（含表列城区暂住人口）220.95万人、建成区面积304.02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41" authorId="1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南通城区人口来源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200行列示同一城市口径的城区人口（含表列城区暂住人口）220.95万人、建成区面积304.02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41" authorId="1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南通建成区来源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200行列示同一城市口径的城区人口（含表列城区暂住人口）220.95万人、建成区面积304.02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42" authorId="1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贵阳等级及排名</x:t>
        </x:r>
      </x:text>
    </x:comment>
    <x:comment ref="G42" authorId="1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贵阳人口来源 | As-of: 2020 | URL: https://stjj.guizhou.gov.cn/tjsj/tjfbyjd/202109/t20210930_86400085.html | Accessed: 2026-08-16 | Notes: 等级及排名据2025第一财经榜单；2020年七普常住人口；住建部2022年城市建设统计年鉴表2-2第595行列示同一城市口径的城区人口（含表列城区暂住人口）297.5万人、建成区面积369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42" authorId="1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贵阳城区人口来源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595行列示同一城市口径的城区人口（含表列城区暂住人口）297.5万人、建成区面积369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42" authorId="1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贵阳建成区来源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595行列示同一城市口径的城区人口（含表列城区暂住人口）297.5万人、建成区面积369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43" authorId="1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嘉兴等级及排名</x:t>
        </x:r>
      </x:text>
    </x:comment>
    <x:comment ref="G43" authorId="1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嘉兴人口来源 | As-of: 2020 | URL: https://zjjcmspublic.oss-cn-hangzhou-zwynet-d01-a.internet.cloud.zj.gov.cn/jcms_files/jcms1/web3077/site/flash/tjj/Reports1/%E6%B5%99%E6%B1%9F%E4%BA%BA%E6%99%AE2020%E5%85%89%E7%9B%98/zk/html/fu04.pdf | Accessed: 2026-08-16 | Notes: 等级及排名据2025第一财经榜单；2020年七普常住人口；住建部2022年城市建设统计年鉴表2-2第230行列示同一城市口径的城区人口（含表列城区暂住人口）93.58万人、建成区面积165.57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43" authorId="1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嘉兴城区人口来源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230行列示同一城市口径的城区人口（含表列城区暂住人口）93.58万人、建成区面积165.57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43" authorId="1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嘉兴建成区来源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230行列示同一城市口径的城区人口（含表列城区暂住人口）93.58万人、建成区面积165.57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44" authorId="1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徐州等级及排名</x:t>
        </x:r>
      </x:text>
    </x:comment>
    <x:comment ref="G44" authorId="1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徐州人口来源 | As-of: 2020 | URL: https://www.js.gov.cn/art/2021/5/18/art_46548_206.html | Accessed: 2026-08-16 | Notes: 等级及排名据2025第一财经榜单；2020年七普常住人口；住建部2022年城市建设统计年鉴表2-2第190行列示同一城市口径的城区人口（含表列城区暂住人口）212.01万人、建成区面积292.98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44" authorId="1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徐州城区人口来源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190行列示同一城市口径的城区人口（含表列城区暂住人口）212.01万人、建成区面积292.98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44" authorId="1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徐州建成区来源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190行列示同一城市口径的城区人口（含表列城区暂住人口）212.01万人、建成区面积292.98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45" authorId="1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惠州等级及排名</x:t>
        </x:r>
      </x:text>
    </x:comment>
    <x:comment ref="G45" authorId="1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惠州人口来源 | As-of: 2020 | URL: https://stats.gd.gov.cn/attachment/0/421/421309/3283428.pdf | Accessed: 2026-08-16 | Notes: 等级及排名据2025第一财经榜单；2020年七普常住人口；住建部2022年城市建设统计年鉴表2-2第502行列示同一城市口径的城区人口（含表列城区暂住人口）262.68万人、建成区面积313.61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45" authorId="1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惠州城区人口来源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502行列示同一城市口径的城区人口（含表列城区暂住人口）262.68万人、建成区面积313.61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45" authorId="1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惠州建成区来源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502行列示同一城市口径的城区人口（含表列城区暂住人口）262.68万人、建成区面积313.61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46" authorId="1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太原等级及排名</x:t>
        </x:r>
      </x:text>
    </x:comment>
    <x:comment ref="G46" authorId="1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太原人口来源 | As-of: 2020 | URL: https://www.taiyuan.gov.cn/doc/2021/06/01/1096237.shtml | Accessed: 2026-08-16 | Notes: 等级及排名据2025第一财经榜单；2020年七普常住人口；住建部2022年城市建设统计年鉴表2-2第45行列示同一城市口径的城区人口（含表列城区暂住人口）405万人、建成区面积360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46" authorId="1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太原城区人口来源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45行列示同一城市口径的城区人口（含表列城区暂住人口）405万人、建成区面积360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46" authorId="1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太原建成区来源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45行列示同一城市口径的城区人口（含表列城区暂住人口）405万人、建成区面积360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47" authorId="1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烟台等级及排名</x:t>
        </x:r>
      </x:text>
    </x:comment>
    <x:comment ref="G47" authorId="1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烟台人口来源 | As-of: 2020 | URL: https://tjj.shandong.gov.cn/art/2021/5/21/art_6293_10287511.html | Accessed: 2026-08-16 | Notes: 等级及排名据2025第一财经榜单；2020年七普常住人口；住建部2022年城市建设统计年鉴表2-2第333行列示同一城市口径的城区人口（含表列城区暂住人口）253.39万人、建成区面积397.7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47" authorId="1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烟台城区人口来源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333行列示同一城市口径的城区人口（含表列城区暂住人口）253.39万人、建成区面积397.7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47" authorId="1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烟台建成区来源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333行列示同一城市口径的城区人口（含表列城区暂住人口）253.39万人、建成区面积397.7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48" authorId="1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临沂等级及排名</x:t>
        </x:r>
      </x:text>
    </x:comment>
    <x:comment ref="G48" authorId="1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临沂人口来源 | As-of: 2020 | URL: https://tjj.shandong.gov.cn/art/2021/5/21/art_6293_10287511.html | Accessed: 2026-08-16 | Notes: 等级及排名据2025第一财经榜单；2020年七普常住人口；住建部2022年城市建设统计年鉴表2-2第357行列示同一城市口径的城区人口（含表列城区暂住人口）222.54万人、建成区面积264.85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48" authorId="1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临沂城区人口来源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357行列示同一城市口径的城区人口（含表列城区暂住人口）222.54万人、建成区面积264.85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48" authorId="1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临沂建成区来源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357行列示同一城市口径的城区人口（含表列城区暂住人口）222.54万人、建成区面积264.85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49" authorId="1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保定等级及排名</x:t>
        </x:r>
      </x:text>
    </x:comment>
    <x:comment ref="G49" authorId="1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保定人口来源 | As-of: 2020 | URL: https://www.baoding.gov.cn/content-173-312950.html | Accessed: 2026-08-16 | Notes: 等级及排名据2025第一财经榜单；2020年七普常住人口；住建部2022年城市建设统计年鉴表2-2第25行列示同一城市口径的城区人口（含表列城区暂住人口）197.35万人、建成区面积209.78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49" authorId="1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保定城区人口来源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25行列示同一城市口径的城区人口（含表列城区暂住人口）197.35万人、建成区面积209.78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49" authorId="1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保定建成区来源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25行列示同一城市口径的城区人口（含表列城区暂住人口）197.35万人、建成区面积209.78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50" authorId="1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台州等级及排名</x:t>
        </x:r>
      </x:text>
    </x:comment>
    <x:comment ref="G50" authorId="1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台州人口来源 | As-of: 2020 | URL: https://zjjcmspublic.oss-cn-hangzhou-zwynet-d01-a.internet.cloud.zj.gov.cn/jcms_files/jcms1/web3077/site/flash/tjj/Reports1/%E6%B5%99%E6%B1%9F%E4%BA%BA%E6%99%AE2020%E5%85%89%E7%9B%98/zk/html/fu04.pdf | Accessed: 2026-08-16 | Notes: 等级及排名据2025第一财经榜单；2020年七普常住人口；住建部2022年城市建设统计年鉴表2-2第246行列示同一城市口径的城区人口（含表列城区暂住人口）137.36万人、建成区面积159.5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50" authorId="1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台州城区人口来源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246行列示同一城市口径的城区人口（含表列城区暂住人口）137.36万人、建成区面积159.5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50" authorId="1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台州建成区来源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246行列示同一城市口径的城区人口（含表列城区暂住人口）137.36万人、建成区面积159.5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51" authorId="1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绍兴等级及排名</x:t>
        </x:r>
      </x:text>
    </x:comment>
    <x:comment ref="G51" authorId="1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绍兴人口来源 | As-of: 2020 | URL: https://zjjcmspublic.oss-cn-hangzhou-zwynet-d01-a.internet.cloud.zj.gov.cn/jcms_files/jcms1/web3077/site/flash/tjj/Reports1/%E6%B5%99%E6%B1%9F%E4%BA%BA%E6%99%AE2020%E5%85%89%E7%9B%98/zk/html/fu04.pdf | Accessed: 2026-08-16 | Notes: 等级及排名据2025第一财经榜单；2020年七普常住人口；住建部2022年城市建设统计年鉴表2-2第235行列示同一城市口径的城区人口（含表列城区暂住人口）166.37万人、建成区面积266.07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51" authorId="1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绍兴城区人口来源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235行列示同一城市口径的城区人口（含表列城区暂住人口）166.37万人、建成区面积266.07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51" authorId="1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绍兴建成区来源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235行列示同一城市口径的城区人口（含表列城区暂住人口）166.37万人、建成区面积266.07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52" authorId="1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珠海等级及排名</x:t>
        </x:r>
      </x:text>
    </x:comment>
    <x:comment ref="G52" authorId="1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珠海人口来源 | As-of: 2020 | URL: https://stats.gd.gov.cn/attachment/0/421/421309/3283428.pdf | Accessed: 2026-08-16 | Notes: 等级及排名据2025第一财经榜单；2020年七普常住人口；住建部2022年城市建设统计年鉴表2-2第484行列示同一城市口径的城区人口（含表列城区暂住人口）202.49万人、建成区面积152.85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52" authorId="1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珠海城区人口来源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484行列示同一城市口径的城区人口（含表列城区暂住人口）202.49万人、建成区面积152.85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52" authorId="1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珠海建成区来源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484行列示同一城市口径的城区人口（含表列城区暂住人口）202.49万人、建成区面积152.85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53" authorId="1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洛阳等级及排名</x:t>
        </x:r>
      </x:text>
    </x:comment>
    <x:comment ref="G53" authorId="1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洛阳人口来源 | As-of: 2020 | URL: https://lyrb.lyd.com.cn/images2/1/2021-05/21/010/20210521010_pdf.pdf | Accessed: 2026-08-16 | Notes: 等级及排名据2025第一财经榜单；2020年七普常住人口；住建部2022年城市建设统计年鉴表2-2第374行列示同一城市口径的城区人口（含表列城区暂住人口）280.92万人、建成区面积294.57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53" authorId="1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洛阳城区人口来源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374行列示同一城市口径的城区人口（含表列城区暂住人口）280.92万人、建成区面积294.57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53" authorId="1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洛阳建成区来源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374行列示同一城市口径的城区人口（含表列城区暂住人口）280.92万人、建成区面积294.57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54" authorId="1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潍坊等级及排名</x:t>
        </x:r>
      </x:text>
    </x:comment>
    <x:comment ref="G54" authorId="1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潍坊人口来源 | As-of: 2020 | URL: https://tjj.shandong.gov.cn/art/2021/5/21/art_6293_10287511.html | Accessed: 2026-08-16 | Notes: 等级及排名据2025第一财经榜单；2020年七普常住人口；住建部2022年城市建设统计年鉴表2-2第340行列示同一城市口径的城区人口（含表列城区暂住人口）200.86万人、建成区面积199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54" authorId="1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潍坊城区人口来源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340行列示同一城市口径的城区人口（含表列城区暂住人口）200.86万人、建成区面积199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54" authorId="1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潍坊建成区来源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340行列示同一城市口径的城区人口（含表列城区暂住人口）200.86万人、建成区面积199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55" authorId="1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海口等级及排名</x:t>
        </x:r>
      </x:text>
    </x:comment>
    <x:comment ref="G55" authorId="1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海口人口来源 | As-of: 2020 | URL: https://news.hndaily.cn/resfile/2021-05-14/008/hnrb20210514008.pdf | Accessed: 2026-08-16 | Notes: 等级及排名据2025第一财经榜单；2020年七普常住人口；住建部2022年城市建设统计年鉴表2-2第546行列示同一城市口径的城区人口（含表列城区暂住人口）209.92万人、建成区面积215.8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55" authorId="1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海口城区人口来源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546行列示同一城市口径的城区人口（含表列城区暂住人口）209.92万人、建成区面积215.8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55" authorId="1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海口建成区来源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546行列示同一城市口径的城区人口（含表列城区暂住人口）209.92万人、建成区面积215.8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56" authorId="1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湖州等级及排名</x:t>
        </x:r>
      </x:text>
    </x:comment>
    <x:comment ref="G56" authorId="1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湖州人口来源 | As-of: 2020 | URL: https://zjjcmspublic.oss-cn-hangzhou-zwynet-d01-a.internet.cloud.zj.gov.cn/jcms_files/jcms1/web3077/site/flash/tjj/Reports1/%E6%B5%99%E6%B1%9F%E4%BA%BA%E6%99%AE2020%E5%85%89%E7%9B%98/zk/html/fu04.pdf | Accessed: 2026-08-16 | Notes: 等级及排名据2025第一财经榜单；2020年七普常住人口；住建部2022年城市建设统计年鉴表2-2第234行列示同一城市口径的城区人口（含表列城区暂住人口）99.72万人、建成区面积134.92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56" authorId="20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湖州城区人口来源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234行列示同一城市口径的城区人口（含表列城区暂住人口）99.72万人、建成区面积134.92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56" authorId="20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湖州建成区来源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234行列示同一城市口径的城区人口（含表列城区暂住人口）99.72万人、建成区面积134.92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57" authorId="20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芜湖等级及排名</x:t>
        </x:r>
      </x:text>
    </x:comment>
    <x:comment ref="G57" authorId="20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芜湖人口来源 | As-of: 2020 | URL: https://tjj.wuhu.gov.cn/tjxx/tjgb/8282562.html | Accessed: 2026-08-16 | Notes: 等级及排名据2025第一财经榜单；2020年七普常住人口；住建部2022年城市建设统计年鉴表2-2第255行列示同一城市口径的城区人口（含表列城区暂住人口）189.68万人、建成区面积265.08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57" authorId="20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芜湖城区人口来源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255行列示同一城市口径的城区人口（含表列城区暂住人口）189.68万人、建成区面积265.08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57" authorId="20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芜湖建成区来源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255行列示同一城市口径的城区人口（含表列城区暂住人口）189.68万人、建成区面积265.08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58" authorId="20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阜阳等级及排名</x:t>
        </x:r>
      </x:text>
    </x:comment>
    <x:comment ref="G58" authorId="20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阜阳人口来源 | As-of: 2020 | URL: https://tjj.wuhu.gov.cn/tjxx/tjfx/8282011.html | Accessed: 2026-08-16 | Notes: 等级及排名据2025第一财经榜单；2020年七普常住人口；住建部2022年城市建设统计年鉴表2-2第269行列示同一城市口径的城区人口（含表列城区暂住人口）107.65万人、建成区面积156.36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58" authorId="20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阜阳城区人口来源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269行列示同一城市口径的城区人口（含表列城区暂住人口）107.65万人、建成区面积156.36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58" authorId="20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阜阳建成区来源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269行列示同一城市口径的城区人口（含表列城区暂住人口）107.65万人、建成区面积156.36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59" authorId="2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宿迁等级及排名</x:t>
        </x:r>
      </x:text>
    </x:comment>
    <x:comment ref="G59" authorId="2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宿迁人口来源 | As-of: 2020 | URL: https://www.js.gov.cn/art/2021/5/18/art_46548_206.html | Accessed: 2026-08-16 | Notes: 等级及排名据2025第一财经榜单；2020年七普常住人口；住建部2022年城市建设统计年鉴表2-2第219行列示同一城市口径的城区人口（含表列城区暂住人口）109.5万人、建成区面积122.75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59" authorId="2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宿迁城区人口来源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219行列示同一城市口径的城区人口（含表列城区暂住人口）109.5万人、建成区面积122.75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59" authorId="2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宿迁建成区来源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219行列示同一城市口径的城区人口（含表列城区暂住人口）109.5万人、建成区面积122.75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60" authorId="2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三亚等级及排名</x:t>
        </x:r>
      </x:text>
    </x:comment>
    <x:comment ref="G60" authorId="2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三亚人口来源 | As-of: 2020 | URL: https://tjj.sanya.gov.cn/tjjsite/tjgb/202105/e2ae897613cb4dda896fd13de631c444.shtml | Accessed: 2026-08-16 | Notes: 等级及排名据2025第一财经榜单；2020年七普常住人口；住建部2022年城市建设统计年鉴表2-2第547行列示同一城市口径的城区人口（含表列城区暂住人口）56万人、建成区面积59.1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60" authorId="2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三亚城区人口来源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547行列示同一城市口径的城区人口（含表列城区暂住人口）56万人、建成区面积59.1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60" authorId="2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三亚建成区来源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547行列示同一城市口径的城区人口（含表列城区暂住人口）56万人、建成区面积59.1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D61" authorId="2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Yicai New First-Tier Cities Institute: 2025 Ranking of Cities' Business Attractiveness | As-of: 2025 | URL: https://www.smg.cn/review/mobile/news/202505/0166469.html | Accessed: 2026-08-16 | Notes: 淮南等级及排名</x:t>
        </x:r>
      </x:text>
    </x:comment>
    <x:comment ref="G61" authorId="2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淮南人口来源 | As-of: 2020 | URL: https://tjj.huainan.gov.cn/tjsj/tjgb/551571618.html | Accessed: 2026-08-16 | Notes: 第一财经2025原榜单为四线第39名（总榜第158），模型口径归并为三线；2020年七普常住人口；住建部2022年城市建设统计年鉴表2-2第258行列示同一城市口径的城区人口（含表列城区暂住人口）113.37万人、建成区面积128.14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I61" authorId="2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淮南城区人口来源 | As-of: 2022 | URL: https://www.mohurd.gov.cn/cms_files/filemanager/mohurdold/file/2023/20231011/4de09801-07f4-4273-97cb-1e1fc78704fd.xls | Accessed: 2026-08-16 | Notes: 第一财经2025原榜单为四线第39名（总榜第158），模型口径归并为三线；2020年七普常住人口；住建部2022年城市建设统计年鉴表2-2第258行列示同一城市口径的城区人口（含表列城区暂住人口）113.37万人、建成区面积128.14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  <x:comment ref="J61" authorId="2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淮南建成区来源 | As-of: 2022 | URL: https://www.mohurd.gov.cn/cms_files/filemanager/mohurdold/file/2023/20231011/4de09801-07f4-4273-97cb-1e1fc78704fd.xls | Accessed: 2026-08-16 | Notes: 第一财经2025原榜单为四线第39名（总榜第158），模型口径归并为三线；2020年七普常住人口；住建部2022年城市建设统计年鉴表2-2第258行列示同一城市口径的城区人口（含表列城区暂住人口）113.37万人、建成区面积128.14平方公里；住房代理公开材料在小区/项目/户数/面积及计划/开工/完工间口径不可比，为保持同列可比性保留空值；未找到可核查的市级公共充电枪数量，未采用省级数值。</x:t>
        </x:r>
      </x:text>
    </x:comment>
  </x:commentList>
</x:comments>
</file>

<file path=xl/comments3.xml><?xml version="1.0" encoding="utf-8"?>
<x:comments xmlns:x="http://schemas.openxmlformats.org/spreadsheetml/2006/main">
  <x:authors>
    <x:author>tc={A0525877-1A65-B6B2-173B-C448DB944E37}</x:author>
    <x:author>tc={7FF41656-2877-EDAA-A0C1-7D65B9B318FE}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站点报表源工作簿 | As-of: 2026-06-16至2026-08-15 | URL: D:/工作资料/蚂蚁站/站点报表-导出项 (2).xlsx | Accessed: 2026-08-16 | Notes: Data List!A1:P3050逐值导入，未改变原始数值</x:t>
        </x:r>
      </x:text>
    </x:comment>
    <x:comment ref="Q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站点报表源工作簿 | As-of: 2026-06-16至2026-08-15 | URL: D:/工作资料/蚂蚁站/站点报表-导出项 (2).xlsx | Accessed: 2026-08-16 | Notes: 仅将A列ISO日期文本规范为Excel日期类型，供首末运营日公式聚合；A:P原值不变</x:t>
        </x:r>
      </x:text>
    </x:comment>
  </x:commentList>
</x:comments>
</file>

<file path=xl/comments4.xml><?xml version="1.0" encoding="utf-8"?>
<x:comments xmlns:x="http://schemas.openxmlformats.org/spreadsheetml/2006/main">
  <x:authors>
    <x:author>tc={866779C6-30DD-D4CA-F0FB-941AD4D0F606}</x:author>
    <x:author>tc={A4B1192C-A77F-A19F-2DF4-BBF0153D4D0F}</x:author>
    <x:author>tc={153FDAE4-E847-4AAD-B714-4CB4592B99CA}</x:author>
    <x:author>tc={9813CD07-B753-AA16-8E7F-2AAAF93778B4}</x:author>
    <x:author>tc={4CDAD8B8-7147-368F-B9BC-D0003D00EE73}</x:author>
    <x:author>tc={8C5B1D4B-5A3D-4CCC-FEB0-A177B96D34B4}</x:author>
    <x:author>tc={9F83E099-6902-FC9E-7140-010B42532248}</x:author>
    <x:author>tc={06237DDD-39CE-D580-56B0-B47BE7BEC084}</x:author>
    <x:author>tc={FA4F500A-4635-4409-27B9-93EAE1772FDA}</x:author>
    <x:author>tc={70457D90-8EBA-D44F-1DEE-256D6C4E653E}</x:author>
    <x:author>tc={A4F71921-36C2-0956-BC7C-3A27FB0F9A81}</x:author>
    <x:author>tc={3774A007-CAB9-F7BE-8EB0-CB384107BEAD}</x:author>
    <x:author>tc={86E8FAEF-719F-2C96-71E4-6CE5A99A2FC7}</x:author>
    <x:author>tc={1D363E27-53A4-D13D-2156-55E29131266B}</x:author>
    <x:author>tc={30714113-3434-47EA-717C-6012A814790A}</x:author>
    <x:author>tc={9A43BE15-217C-EF58-70FF-8662B9EA2E14}</x:author>
    <x:author>tc={3E451115-30B1-2835-AED1-DD0A8A85D300}</x:author>
    <x:author>tc={61ED12A5-467D-1515-DB1C-F7796ABF7FD3}</x:author>
    <x:author>tc={D1C44792-BD86-532C-410F-FD9233EA0A90}</x:author>
    <x:author>tc={883F2E74-3F9D-141C-DE36-62D3955919AA}</x:author>
    <x:author>tc={8A5CDF09-C118-DE76-0E8A-50F199E21A3E}</x:author>
    <x:author>tc={624DAC15-EE3D-4A56-E962-0BEE4326E55D}</x:author>
    <x:author>tc={33CFD5D5-5F81-045A-40D2-719D835B844E}</x:author>
    <x:author>tc={D23E6845-7F73-F038-880D-DB1D605EDA3B}</x:author>
    <x:author>tc={6CDEB9F5-D0C6-025A-BB02-84BFA5BD2948}</x:author>
    <x:author>tc={320F24E4-E8FA-F564-EC47-0BA30D9425A5}</x:author>
    <x:author>tc={8FE15112-F5AF-4012-6DC4-82D6CA313B5C}</x:author>
    <x:author>tc={E4D11104-9118-5FA6-35C0-7224BABEFD56}</x:author>
    <x:author>tc={8BB4253B-15F1-A36E-6AA8-0BAD1B6E2FE9}</x:author>
    <x:author>tc={5D7913B9-7A08-5384-31DC-A9D6DBF26831}</x:author>
    <x:author>tc={31007023-F3E7-951E-D935-CF36DFB33881}</x:author>
    <x:author>tc={6B7C644F-BBFB-9CF7-9964-39D4899E24C7}</x:author>
    <x:author>tc={0805EEEA-38E6-C118-AAC0-A6EC6B0A736B}</x:author>
    <x:author>tc={DD392683-D6CA-4AC4-6B74-9504CB134920}</x:author>
    <x:author>tc={CC47411A-E873-5374-3CEC-C3027ADF64B3}</x:author>
    <x:author>tc={C3F33663-AA79-D77E-D6BD-F8BF69B816E4}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中国充电联盟公共充电设施数量 | As-of: 2023-12 | URL: https://www.evcipa.org.cn/newsinfo/8183139.html | Accessed: 2026-08-16 | Notes: 上月末公共充电枪数，作为本月月初枪数</x:t>
        </x:r>
      </x:text>
    </x:comment>
    <x:comment ref="C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中国充电联盟公共充电设施数量 | As-of: 2024-01 | URL: https://www.evcipa.org.cn/newsinfo/8183140.html | Accessed: 2026-08-16 | Notes: 当月末公共充电枪数</x:t>
        </x:r>
      </x:text>
    </x:comment>
    <x:comment ref="F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中国充电联盟公共充电量 | As-of: 2024-01 | URL: https://www.evcipa.org.cn/newsinfo/8183140.html | Accessed: 2026-08-16 | Notes: 月度公共充电设施充电量，单位亿千瓦时</x:t>
        </x:r>
      </x:text>
    </x:comment>
    <x:comment ref="B7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中国充电联盟公共充电设施数量 | As-of: 2024-01 | URL: https://www.evcipa.org.cn/newsinfo/8183140.html | Accessed: 2026-08-16 | Notes: 上月末公共充电枪数，作为本月月初枪数</x:t>
        </x:r>
      </x:text>
    </x:comment>
    <x:comment ref="C7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中国充电联盟公共充电设施数量 | As-of: 2024-02 | URL: https://www.evcipa.org.cn/newsinfo/8183135.html | Accessed: 2026-08-16 | Notes: 当月末公共充电枪数</x:t>
        </x:r>
      </x:text>
    </x:comment>
    <x:comment ref="F7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中国充电联盟公共充电量 | As-of: 2024-02 | URL: https://www.evcipa.org.cn/newsinfo/8183135.html | Accessed: 2026-08-16 | Notes: 月度公共充电设施充电量，单位亿千瓦时</x:t>
        </x:r>
      </x:text>
    </x:comment>
    <x:comment ref="B8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中国充电联盟公共充电设施数量 | As-of: 2024-02 | URL: https://www.evcipa.org.cn/newsinfo/8183135.html | Accessed: 2026-08-16 | Notes: 上月末公共充电枪数，作为本月月初枪数</x:t>
        </x:r>
      </x:text>
    </x:comment>
    <x:comment ref="C8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中国充电联盟公共充电设施数量 | As-of: 2024-03 | URL: https://www.evcipa.org.cn/newsinfo/8183133.html | Accessed: 2026-08-16 | Notes: 当月末公共充电枪数</x:t>
        </x:r>
      </x:text>
    </x:comment>
    <x:comment ref="F8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中国充电联盟公共充电量 | As-of: 2024-03 | URL: https://www.evcipa.org.cn/newsinfo/8183133.html | Accessed: 2026-08-16 | Notes: 月度公共充电设施充电量，单位亿千瓦时</x:t>
        </x:r>
      </x:text>
    </x:comment>
    <x:comment ref="B9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中国充电联盟公共充电设施数量 | As-of: 2024-03 | URL: https://www.evcipa.org.cn/newsinfo/8183133.html | Accessed: 2026-08-16 | Notes: 上月末公共充电枪数，作为本月月初枪数</x:t>
        </x:r>
      </x:text>
    </x:comment>
    <x:comment ref="C9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中国充电联盟公共充电设施数量 | As-of: 2024-04 | URL: https://www.evcipa.org.cn/newsinfo/8183136.html | Accessed: 2026-08-16 | Notes: 当月末公共充电枪数</x:t>
        </x:r>
      </x:text>
    </x:comment>
    <x:comment ref="F9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中国充电联盟公共充电量 | As-of: 2024-04 | URL: https://www.evcipa.org.cn/newsinfo/8183136.html | Accessed: 2026-08-16 | Notes: 月度公共充电设施充电量，单位亿千瓦时</x:t>
        </x:r>
      </x:text>
    </x:comment>
    <x:comment ref="B10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中国充电联盟公共充电设施数量 | As-of: 2024-04 | URL: https://www.evcipa.org.cn/newsinfo/8183136.html | Accessed: 2026-08-16 | Notes: 上月末公共充电枪数，作为本月月初枪数</x:t>
        </x:r>
      </x:text>
    </x:comment>
    <x:comment ref="C10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中国充电联盟公共充电设施数量 | As-of: 2024-05 | URL: https://www.evcipa.org.cn/newsinfo/8183100.html | Accessed: 2026-08-16 | Notes: 当月末公共充电枪数</x:t>
        </x:r>
      </x:text>
    </x:comment>
    <x:comment ref="F10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中国充电联盟公共充电量 | As-of: 2024-05 | URL: https://www.evcipa.org.cn/newsinfo/8183100.html | Accessed: 2026-08-16 | Notes: 月度公共充电设施充电量，单位亿千瓦时</x:t>
        </x:r>
      </x:text>
    </x:comment>
    <x:comment ref="B1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中国充电联盟公共充电设施数量 | As-of: 2024-05 | URL: https://www.evcipa.org.cn/newsinfo/8183100.html | Accessed: 2026-08-16 | Notes: 上月末公共充电枪数，作为本月月初枪数</x:t>
        </x:r>
      </x:text>
    </x:comment>
    <x:comment ref="C1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中国充电联盟公共充电设施数量 | As-of: 2024-06 | URL: https://www.evcipa.org.cn/newsinfo/8183099.html | Accessed: 2026-08-16 | Notes: 当月末公共充电枪数</x:t>
        </x:r>
      </x:text>
    </x:comment>
    <x:comment ref="F1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中国充电联盟公共充电量 | As-of: 2024-06 | URL: https://www.evcipa.org.cn/newsinfo/8183099.html | Accessed: 2026-08-16 | Notes: 月度公共充电设施充电量，单位亿千瓦时</x:t>
        </x:r>
      </x:text>
    </x:comment>
    <x:comment ref="B12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中国充电联盟公共充电设施数量 | As-of: 2024-06 | URL: https://www.evcipa.org.cn/newsinfo/8183099.html | Accessed: 2026-08-16 | Notes: 上月末公共充电枪数，作为本月月初枪数</x:t>
        </x:r>
      </x:text>
    </x:comment>
    <x:comment ref="C12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中国充电联盟公共充电设施数量 | As-of: 2024-07 | URL: https://www.evcipa.org.cn/newsinfo/8182573.html | Accessed: 2026-08-16 | Notes: 当月末公共充电枪数</x:t>
        </x:r>
      </x:text>
    </x:comment>
    <x:comment ref="F12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中国充电联盟公共充电量 | As-of: 2024-07 | URL: https://www.evcipa.org.cn/newsinfo/8182573.html | Accessed: 2026-08-16 | Notes: 月度公共充电设施充电量，单位亿千瓦时</x:t>
        </x:r>
      </x:text>
    </x:comment>
    <x:comment ref="B13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中国充电联盟公共充电设施数量 | As-of: 2024-07 | URL: https://www.evcipa.org.cn/newsinfo/8182573.html | Accessed: 2026-08-16 | Notes: 上月末公共充电枪数，作为本月月初枪数</x:t>
        </x:r>
      </x:text>
    </x:comment>
    <x:comment ref="C13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中国充电联盟公共充电设施数量 | As-of: 2024-08 | URL: https://www.evcipa.org.cn/newsinfo/8183095.html | Accessed: 2026-08-16 | Notes: 当月末公共充电枪数</x:t>
        </x:r>
      </x:text>
    </x:comment>
    <x:comment ref="F13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中国充电联盟公共充电量 | As-of: 2024-08 | URL: https://www.evcipa.org.cn/newsinfo/8183095.html | Accessed: 2026-08-16 | Notes: 月度公共充电设施充电量，单位亿千瓦时</x:t>
        </x:r>
      </x:text>
    </x:comment>
    <x:comment ref="B14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中国充电联盟公共充电设施数量 | As-of: 2024-08 | URL: https://www.evcipa.org.cn/newsinfo/8183095.html | Accessed: 2026-08-16 | Notes: 上月末公共充电枪数，作为本月月初枪数</x:t>
        </x:r>
      </x:text>
    </x:comment>
    <x:comment ref="C14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中国充电联盟公共充电设施数量 | As-of: 2024-09 | URL: https://www.evcipa.org.cn/newsinfo/8182568.html | Accessed: 2026-08-16 | Notes: 当月末公共充电枪数</x:t>
        </x:r>
      </x:text>
    </x:comment>
    <x:comment ref="F14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中国充电联盟公共充电量 | As-of: 2024-09 | URL: https://www.evcipa.org.cn/newsinfo/8182568.html | Accessed: 2026-08-16 | Notes: 月度公共充电设施充电量，单位亿千瓦时</x:t>
        </x:r>
      </x:text>
    </x:comment>
    <x:comment ref="B15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中国充电联盟公共充电设施数量 | As-of: 2024-09 | URL: https://www.evcipa.org.cn/newsinfo/8182568.html | Accessed: 2026-08-16 | Notes: 上月末公共充电枪数，作为本月月初枪数</x:t>
        </x:r>
      </x:text>
    </x:comment>
    <x:comment ref="C15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中国充电联盟公共充电设施数量 | As-of: 2024-10 | URL: https://www.evcipa.org.cn/newsinfo/8182570.html | Accessed: 2026-08-16 | Notes: 当月末公共充电枪数</x:t>
        </x:r>
      </x:text>
    </x:comment>
    <x:comment ref="F15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中国充电联盟公共充电量 | As-of: 2024-10 | URL: https://www.evcipa.org.cn/newsinfo/8182570.html | Accessed: 2026-08-16 | Notes: 月度公共充电设施充电量，单位亿千瓦时</x:t>
        </x:r>
      </x:text>
    </x:comment>
    <x:comment ref="B16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中国充电联盟公共充电设施数量 | As-of: 2024-10 | URL: https://www.evcipa.org.cn/newsinfo/8182570.html | Accessed: 2026-08-16 | Notes: 上月末公共充电枪数，作为本月月初枪数</x:t>
        </x:r>
      </x:text>
    </x:comment>
    <x:comment ref="C16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中国充电联盟公共充电设施数量 | As-of: 2024-11 | URL: https://www.evcipa.org.cn/newsinfo/8182565.html | Accessed: 2026-08-16 | Notes: 当月末公共充电枪数</x:t>
        </x:r>
      </x:text>
    </x:comment>
    <x:comment ref="F16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中国充电联盟公共充电量 | As-of: 2024-11 | URL: https://www.evcipa.org.cn/newsinfo/8182565.html | Accessed: 2026-08-16 | Notes: 月度公共充电设施充电量，单位亿千瓦时</x:t>
        </x:r>
      </x:text>
    </x:comment>
    <x:comment ref="B17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中国充电联盟公共充电设施数量 | As-of: 2024-11 | URL: https://www.evcipa.org.cn/newsinfo/8182565.html | Accessed: 2026-08-16 | Notes: 上月末公共充电枪数，作为本月月初枪数</x:t>
        </x:r>
      </x:text>
    </x:comment>
    <x:comment ref="C17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中国充电联盟公共充电设施数量 | As-of: 2024-12 | URL: https://www.evcipa.org.cn/newsinfo/8137834.html | Accessed: 2026-08-16 | Notes: 当月末公共充电枪数</x:t>
        </x:r>
      </x:text>
    </x:comment>
    <x:comment ref="F17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中国充电联盟公共充电量 | As-of: 2024-12 | URL: https://www.evcipa.org.cn/newsinfo/8137834.html | Accessed: 2026-08-16 | Notes: 月度公共充电设施充电量，单位亿千瓦时</x:t>
        </x:r>
      </x:text>
    </x:comment>
  </x:commentList>
</x:comments>
</file>

<file path=xl/comments5.xml><?xml version="1.0" encoding="utf-8"?>
<x:comments xmlns:x="http://schemas.openxmlformats.org/spreadsheetml/2006/main">
  <x:authors>
    <x:author>tc={72F691C1-F160-6F69-02FF-6B83846AAF47}</x:author>
    <x:author>tc={CC7313FD-40F2-2ECA-C9A9-E2ACF9AAAE37}</x:author>
    <x:author>tc={F96FB8F8-651B-1C7C-39E3-B6AE590B3E55}</x:author>
    <x:author>tc={E8AFC183-5234-48DE-3C52-33718BD90D45}</x:author>
    <x:author>tc={6928F9C1-AE3A-2ED1-C036-5862298E3581}</x:author>
    <x:author>tc={0B0D1459-CAA0-7B38-B65D-A2F920882649}</x:author>
    <x:author>tc={9CD86052-2270-8210-8CD6-A80303BB8512}</x:author>
    <x:author>tc={975BBEE3-45C9-5D18-F75C-B15229269E7A}</x:author>
    <x:author>tc={B2E83C2E-72C4-DDB6-A0B5-9C0CCD4E9EEA}</x:author>
    <x:author>tc={ED588F96-6E2D-9F3B-9F8F-6715E79A60B6}</x:author>
  </x:authors>
  <x:commentList>
    <x:comment ref="C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Task 9 approved scenario constant | As-of: 2026-08-16 | URL: https://github.com/keqi119/Ant_charge_station/blob/main/docs/superpowers/specs/2026-08-16-charge-station-financing-model-design.md | Accessed: 2026-08-16 | Notes: Approved stress-case definition; black formula text denotes an in-sheet design constant.</x:t>
        </x:r>
      </x:text>
    </x:comment>
    <x:comment ref="F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Task 9 approved scenario constant | As-of: 2026-08-16 | URL: https://github.com/keqi119/Ant_charge_station/blob/main/docs/superpowers/specs/2026-08-16-charge-station-financing-model-design.md | Accessed: 2026-08-16 | Notes: Approved stress-case definition; black formula text denotes an in-sheet design constant.</x:t>
        </x:r>
      </x:text>
    </x:comment>
    <x:comment ref="C10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Task 9 approved scenario constant | As-of: 2026-08-16 | URL: https://github.com/keqi119/Ant_charge_station/blob/main/docs/superpowers/specs/2026-08-16-charge-station-financing-model-design.md | Accessed: 2026-08-16 | Notes: Approved stress-case definition; black formula text denotes an in-sheet design constant.</x:t>
        </x:r>
      </x:text>
    </x:comment>
    <x:comment ref="D10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Task 9 approved scenario constant | As-of: 2026-08-16 | URL: https://github.com/keqi119/Ant_charge_station/blob/main/docs/superpowers/specs/2026-08-16-charge-station-financing-model-design.md | Accessed: 2026-08-16 | Notes: Approved stress-case definition; black formula text denotes an in-sheet design constant.</x:t>
        </x:r>
      </x:text>
    </x:comment>
    <x:comment ref="E10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Task 9 approved scenario constant | As-of: 2026-08-16 | URL: https://github.com/keqi119/Ant_charge_station/blob/main/docs/superpowers/specs/2026-08-16-charge-station-financing-model-design.md | Accessed: 2026-08-16 | Notes: Approved stress-case definition; black formula text denotes an in-sheet design constant.</x:t>
        </x:r>
      </x:text>
    </x:comment>
    <x:comment ref="F10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Task 9 approved scenario constant | As-of: 2026-08-16 | URL: https://github.com/keqi119/Ant_charge_station/blob/main/docs/superpowers/specs/2026-08-16-charge-station-financing-model-design.md | Accessed: 2026-08-16 | Notes: Approved stress-case definition; black formula text denotes an in-sheet design constant.</x:t>
        </x:r>
      </x:text>
    </x:comment>
    <x:comment ref="G10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Task 9 approved scenario constant | As-of: 2026-08-16 | URL: https://github.com/keqi119/Ant_charge_station/blob/main/docs/superpowers/specs/2026-08-16-charge-station-financing-model-design.md | Accessed: 2026-08-16 | Notes: Approved stress-case definition; black formula text denotes an in-sheet design constant.</x:t>
        </x:r>
      </x:text>
    </x:comment>
    <x:comment ref="H10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Task 9 approved scenario constant | As-of: 2026-08-16 | URL: https://github.com/keqi119/Ant_charge_station/blob/main/docs/superpowers/specs/2026-08-16-charge-station-financing-model-design.md | Accessed: 2026-08-16 | Notes: Approved stress-case definition; black formula text denotes an in-sheet design constant.</x:t>
        </x:r>
      </x:text>
    </x:comment>
    <x:comment ref="L4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Task 9 approved deployment constant | As-of: 2026-08-16 | URL: https://github.com/keqi119/Ant_charge_station/blob/main/docs/superpowers/specs/2026-08-16-charge-station-financing-model-design.md | Accessed: 2026-08-16 | Notes: Header comment covers deployment-month constants in L5:L10.</x:t>
        </x:r>
      </x:text>
    </x:comment>
    <x:comment ref="M4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Task 9 approved deployment constant | As-of: 2026-08-16 | URL: https://github.com/keqi119/Ant_charge_station/blob/main/docs/superpowers/specs/2026-08-16-charge-station-financing-model-design.md | Accessed: 2026-08-16 | Notes: Header comment covers approved slow-build rollout constants in M9:AD10.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0.0%;[Red](0.0%);-"/>
    <x:numFmt numFmtId="201" formatCode="yyyy-mm"/>
    <x:numFmt numFmtId="202" formatCode="yyyy-mm-dd"/>
    <x:numFmt numFmtId="203" formatCode="$#,##0;[Red]($#,##0);-"/>
    <x:numFmt numFmtId="204" formatCode="#,##0;[Red](#,##0);-"/>
    <x:numFmt numFmtId="205" formatCode="0"/>
    <x:numFmt numFmtId="206" formatCode="0.0"/>
    <x:numFmt numFmtId="207" formatCode="0.00"/>
    <x:numFmt numFmtId="208" formatCode="0.0000"/>
    <x:numFmt numFmtId="209" formatCode="0.000000;[Red](0.000000);-"/>
    <x:numFmt numFmtId="210" formatCode="0.00x;[Red](0.00x);-"/>
  </x:numFmts>
  <x:fonts count="9">
    <x:font>
      <x:sz val="11"/>
      <x:name val="Carlito"/>
    </x:font>
    <x:font>
      <x:b/>
      <x:sz val="15"/>
      <x:color rgb="FFFFFFFF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1"/>
      <x:color rgb="FF000000"/>
      <x:name val="Arial"/>
    </x:font>
    <x:font>
      <x:sz val="11"/>
      <x:color rgb="FF008000"/>
      <x:name val="Arial"/>
    </x:font>
    <x:font>
      <x:sz val="11"/>
      <x:color rgb="FFFF0000"/>
      <x:name val="Arial"/>
    </x:font>
    <x:font>
      <x:b/>
      <x:sz val="11"/>
      <x:color rgb="FF000000"/>
      <x:name val="Arial"/>
    </x:font>
    <x:font>
      <x:b/>
      <x:sz val="11"/>
      <x:color rgb="FFC0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FFFF00"/>
      </x:patternFill>
    </x:fill>
  </x:fills>
  <x:borders count="1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A9D08E"/>
      </x:left>
      <x:top style="thin">
        <x:color rgb="FFA9D08E"/>
      </x:top>
    </x:border>
    <x:border>
      <x:top style="thin">
        <x:color rgb="FFA9D08E"/>
      </x:top>
    </x:border>
    <x:border>
      <x:right style="thin">
        <x:color rgb="FFA9D08E"/>
      </x:right>
      <x:top style="thin">
        <x:color rgb="FFA9D08E"/>
      </x:top>
    </x:border>
    <x:border>
      <x:left style="thin">
        <x:color rgb="FFA9D08E"/>
      </x:left>
    </x:border>
    <x:border>
      <x:right style="thin">
        <x:color rgb="FFA9D08E"/>
      </x:right>
    </x:border>
    <x:border>
      <x:left style="thin">
        <x:color rgb="FFA9D08E"/>
      </x:left>
      <x:bottom style="thin">
        <x:color rgb="FFA9D08E"/>
      </x:bottom>
    </x:border>
    <x:border>
      <x:bottom style="thin">
        <x:color rgb="FFA9D08E"/>
      </x:bottom>
    </x:border>
    <x:border>
      <x:right style="thin">
        <x:color rgb="FFA9D08E"/>
      </x:right>
      <x:bottom style="thin">
        <x:color rgb="FFA9D08E"/>
      </x:bottom>
    </x:border>
    <x:border>
      <x:left style="thin">
        <x:color rgb="FF17365D"/>
      </x:left>
      <x:right style="thin">
        <x:color rgb="FF17365D"/>
      </x:right>
      <x:top style="thin">
        <x:color rgb="FF17365D"/>
      </x:top>
    </x:border>
    <x:border>
      <x:left style="thin">
        <x:color rgb="FF17365D"/>
      </x:left>
      <x:right style="thin">
        <x:color rgb="FF17365D"/>
      </x:right>
    </x:border>
    <x:border>
      <x:left style="thin">
        <x:color rgb="FF17365D"/>
      </x:left>
      <x:right style="thin">
        <x:color rgb="FF17365D"/>
      </x:right>
      <x:bottom style="thin">
        <x:color rgb="FF17365D"/>
      </x:bottom>
    </x:border>
    <x:border>
      <x:left style="thin">
        <x:color rgb="FF17365D"/>
      </x:left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2" xfId="0" applyNumberFormat="1" applyFont="1" applyFill="1" applyBorder="1" applyAlignment="1">
      <x:alignment horizontal="left"/>
    </x:xf>
    <x:xf numFmtId="0" fontId="2" fillId="3" borderId="3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2" xfId="0" applyNumberFormat="1" applyFont="1" applyFill="1" applyBorder="1" applyAlignment="1">
      <x:alignment horizontal="left" vertical="center"/>
    </x:xf>
    <x:xf numFmtId="0" fontId="2" fillId="3" borderId="3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200" fontId="3" fillId="4" borderId="0" xfId="0" applyNumberFormat="1" applyFont="1" applyFill="1" applyBorder="1"/>
    <x:xf numFmtId="200" fontId="3" fillId="4" borderId="0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201" fontId="3" fillId="4" borderId="0" xfId="0" applyNumberFormat="1" applyFont="1" applyFill="1" applyBorder="1"/>
    <x:xf numFmtId="202" fontId="3" fillId="4" borderId="0" xfId="0" applyNumberFormat="1" applyFont="1" applyFill="1" applyBorder="1"/>
    <x:xf numFmtId="0" fontId="5" fillId="0" borderId="0" xfId="0" applyNumberFormat="1" applyFont="1" applyFill="1" applyBorder="1"/>
    <x:xf numFmtId="203" fontId="5" fillId="0" borderId="0" xfId="0" applyNumberFormat="1" applyFont="1" applyFill="1" applyBorder="1"/>
    <x:xf numFmtId="203" fontId="4" fillId="0" borderId="0" xfId="0" applyNumberFormat="1" applyFont="1" applyFill="1" applyBorder="1"/>
    <x:xf numFmtId="203" fontId="5" fillId="0" borderId="0" xfId="0" applyNumberFormat="1" applyFont="1" applyFill="1" applyBorder="1" applyAlignment="1">
      <x:alignment horizontal="right"/>
    </x:xf>
    <x:xf numFmtId="203" fontId="4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4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horizontal="right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horizontal="right"/>
    </x:xf>
    <x:xf numFmtId="202" fontId="4" fillId="0" borderId="0" xfId="0" applyNumberFormat="1" applyFont="1" applyFill="1" applyBorder="1"/>
    <x:xf numFmtId="204" fontId="4" fillId="0" borderId="0" xfId="0" applyNumberFormat="1" applyFont="1" applyFill="1" applyBorder="1" applyAlignment="1">
      <x:alignment horizontal="right"/>
    </x:xf>
    <x:xf numFmtId="204" fontId="5" fillId="0" borderId="0" xfId="0" applyNumberFormat="1" applyFont="1" applyFill="1" applyBorder="1"/>
    <x:xf numFmtId="204" fontId="4" fillId="0" borderId="0" xfId="0" applyNumberFormat="1" applyFont="1" applyFill="1" applyBorder="1"/>
    <x:xf numFmtId="204" fontId="5" fillId="0" borderId="0" xfId="0" applyNumberFormat="1" applyFont="1" applyFill="1" applyBorder="1" applyAlignment="1">
      <x:alignment horizontal="right"/>
    </x:xf>
    <x:xf numFmtId="205" fontId="5" fillId="0" borderId="0" xfId="0" applyNumberFormat="1" applyFont="1" applyFill="1" applyBorder="1"/>
    <x:xf numFmtId="202" fontId="5" fillId="0" borderId="0" xfId="0" applyNumberFormat="1" applyFont="1" applyFill="1" applyBorder="1"/>
    <x:xf numFmtId="201" fontId="0" fillId="0" borderId="0" xfId="0" applyNumberFormat="1" applyFont="1" applyFill="1" applyBorder="1"/>
    <x:xf numFmtId="206" fontId="0" fillId="0" borderId="0" xfId="0" applyNumberFormat="1" applyFont="1" applyFill="1" applyBorder="1"/>
    <x:xf numFmtId="207" fontId="5" fillId="0" borderId="0" xfId="0" applyNumberFormat="1" applyFont="1" applyFill="1" applyBorder="1"/>
    <x:xf numFmtId="208" fontId="4" fillId="0" borderId="0" xfId="0" applyNumberFormat="1" applyFont="1" applyFill="1" applyBorder="1"/>
    <x:xf numFmtId="207" fontId="4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horizontal="right"/>
    </x:xf>
    <x:xf numFmtId="201" fontId="5" fillId="0" borderId="0" xfId="0" applyNumberFormat="1" applyFont="1" applyFill="1" applyBorder="1"/>
    <x:xf numFmtId="201" fontId="4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4" xfId="0" applyNumberFormat="1" applyFont="1" applyFill="1" applyBorder="1"/>
    <x:xf numFmtId="0" fontId="5" fillId="5" borderId="5" xfId="0" applyNumberFormat="1" applyFont="1" applyFill="1" applyBorder="1"/>
    <x:xf numFmtId="0" fontId="0" fillId="5" borderId="5" xfId="0" applyNumberFormat="1" applyFont="1" applyFill="1" applyBorder="1"/>
    <x:xf numFmtId="0" fontId="4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5" fillId="5" borderId="10" xfId="0" applyNumberFormat="1" applyFont="1" applyFill="1" applyBorder="1"/>
    <x:xf numFmtId="0" fontId="0" fillId="5" borderId="10" xfId="0" applyNumberFormat="1" applyFont="1" applyFill="1" applyBorder="1"/>
    <x:xf numFmtId="0" fontId="4" fillId="5" borderId="10" xfId="0" applyNumberFormat="1" applyFont="1" applyFill="1" applyBorder="1"/>
    <x:xf numFmtId="0" fontId="0" fillId="5" borderId="11" xfId="0" applyNumberFormat="1" applyFont="1" applyFill="1" applyBorder="1"/>
    <x:xf numFmtId="209" fontId="5" fillId="5" borderId="5" xfId="0" applyNumberFormat="1" applyFont="1" applyFill="1" applyBorder="1"/>
    <x:xf numFmtId="209" fontId="0" fillId="5" borderId="5" xfId="0" applyNumberFormat="1" applyFont="1" applyFill="1" applyBorder="1"/>
    <x:xf numFmtId="209" fontId="4" fillId="5" borderId="5" xfId="0" applyNumberFormat="1" applyFont="1" applyFill="1" applyBorder="1"/>
    <x:xf numFmtId="209" fontId="5" fillId="5" borderId="0" xfId="0" applyNumberFormat="1" applyFont="1" applyFill="1" applyBorder="1"/>
    <x:xf numFmtId="209" fontId="0" fillId="5" borderId="0" xfId="0" applyNumberFormat="1" applyFont="1" applyFill="1" applyBorder="1"/>
    <x:xf numFmtId="209" fontId="4" fillId="5" borderId="0" xfId="0" applyNumberFormat="1" applyFont="1" applyFill="1" applyBorder="1"/>
    <x:xf numFmtId="209" fontId="5" fillId="5" borderId="10" xfId="0" applyNumberFormat="1" applyFont="1" applyFill="1" applyBorder="1"/>
    <x:xf numFmtId="209" fontId="0" fillId="5" borderId="10" xfId="0" applyNumberFormat="1" applyFont="1" applyFill="1" applyBorder="1"/>
    <x:xf numFmtId="209" fontId="4" fillId="5" borderId="1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14" xfId="0" applyNumberFormat="1" applyFont="1" applyFill="1" applyBorder="1"/>
    <x:xf numFmtId="0" fontId="2" fillId="3" borderId="12" xfId="0" applyNumberFormat="1" applyFont="1" applyFill="1" applyBorder="1" applyAlignment="1">
      <x:alignment horizontal="left"/>
    </x:xf>
    <x:xf numFmtId="0" fontId="2" fillId="3" borderId="13" xfId="0" applyNumberFormat="1" applyFont="1" applyFill="1" applyBorder="1" applyAlignment="1">
      <x:alignment horizontal="left"/>
    </x:xf>
    <x:xf numFmtId="0" fontId="2" fillId="3" borderId="14" xfId="0" applyNumberFormat="1" applyFont="1" applyFill="1" applyBorder="1" applyAlignment="1">
      <x:alignment horizontal="left"/>
    </x:xf>
    <x:xf numFmtId="0" fontId="2" fillId="3" borderId="12" xfId="0" applyNumberFormat="1" applyFont="1" applyFill="1" applyBorder="1" applyAlignment="1">
      <x:alignment horizontal="left" vertical="center"/>
    </x:xf>
    <x:xf numFmtId="0" fontId="2" fillId="3" borderId="13" xfId="0" applyNumberFormat="1" applyFont="1" applyFill="1" applyBorder="1" applyAlignment="1">
      <x:alignment horizontal="left" vertical="center"/>
    </x:xf>
    <x:xf numFmtId="0" fontId="2" fillId="3" borderId="14" xfId="0" applyNumberFormat="1" applyFont="1" applyFill="1" applyBorder="1" applyAlignment="1">
      <x:alignment horizontal="left" vertical="center"/>
    </x:xf>
    <x:xf numFmtId="208" fontId="5" fillId="0" borderId="0" xfId="0" applyNumberFormat="1" applyFont="1" applyFill="1" applyBorder="1"/>
    <x:xf numFmtId="201" fontId="5" fillId="6" borderId="0" xfId="0" applyNumberFormat="1" applyFont="1" applyFill="1" applyBorder="1"/>
    <x:xf numFmtId="0" fontId="5" fillId="6" borderId="0" xfId="0" applyNumberFormat="1" applyFont="1" applyFill="1" applyBorder="1"/>
    <x:xf numFmtId="204" fontId="5" fillId="6" borderId="0" xfId="0" applyNumberFormat="1" applyFont="1" applyFill="1" applyBorder="1" applyAlignment="1">
      <x:alignment horizontal="right"/>
    </x:xf>
    <x:xf numFmtId="200" fontId="5" fillId="6" borderId="0" xfId="0" applyNumberFormat="1" applyFont="1" applyFill="1" applyBorder="1" applyAlignment="1">
      <x:alignment horizontal="right"/>
    </x:xf>
    <x:xf numFmtId="203" fontId="5" fillId="6" borderId="0" xfId="0" applyNumberFormat="1" applyFont="1" applyFill="1" applyBorder="1" applyAlignment="1">
      <x:alignment horizontal="right"/>
    </x:xf>
    <x:xf numFmtId="0" fontId="7" fillId="3" borderId="2" xfId="0" applyNumberFormat="1" applyFont="1" applyFill="1" applyBorder="1" applyAlignment="1">
      <x:alignment horizontal="left" vertical="center"/>
    </x:xf>
    <x:xf numFmtId="0" fontId="7" fillId="3" borderId="3" xfId="0" applyNumberFormat="1" applyFont="1" applyFill="1" applyBorder="1" applyAlignment="1">
      <x:alignment horizontal="left" vertical="center"/>
    </x:xf>
    <x:xf numFmtId="203" fontId="7" fillId="3" borderId="2" xfId="0" applyNumberFormat="1" applyFont="1" applyFill="1" applyBorder="1" applyAlignment="1">
      <x:alignment horizontal="left" vertical="center"/>
    </x:xf>
    <x:xf numFmtId="203" fontId="7" fillId="3" borderId="3" xfId="0" applyNumberFormat="1" applyFont="1" applyFill="1" applyBorder="1" applyAlignment="1">
      <x:alignment horizontal="left" vertical="center"/>
    </x:xf>
    <x:xf numFmtId="203" fontId="7" fillId="3" borderId="2" xfId="0" applyNumberFormat="1" applyFont="1" applyFill="1" applyBorder="1" applyAlignment="1">
      <x:alignment horizontal="right" vertical="center"/>
    </x:xf>
    <x:xf numFmtId="203" fontId="7" fillId="3" borderId="3" xfId="0" applyNumberFormat="1" applyFont="1" applyFill="1" applyBorder="1" applyAlignment="1">
      <x:alignment horizontal="right" vertical="center"/>
    </x:xf>
    <x:xf numFmtId="210" fontId="5" fillId="0" borderId="0" xfId="0" applyNumberFormat="1" applyFont="1" applyFill="1" applyBorder="1"/>
    <x:xf numFmtId="201" fontId="0" fillId="6" borderId="0" xfId="0" applyNumberFormat="1" applyFont="1" applyFill="1" applyBorder="1"/>
    <x:xf numFmtId="203" fontId="4" fillId="6" borderId="0" xfId="0" applyNumberFormat="1" applyFont="1" applyFill="1" applyBorder="1" applyAlignment="1">
      <x:alignment horizontal="right"/>
    </x:xf>
    <x:xf numFmtId="203" fontId="7" fillId="6" borderId="2" xfId="0" applyNumberFormat="1" applyFont="1" applyFill="1" applyBorder="1" applyAlignment="1">
      <x:alignment horizontal="right" vertical="center"/>
    </x:xf>
    <x:xf numFmtId="203" fontId="7" fillId="6" borderId="3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2" fillId="6" borderId="2" xfId="0" applyNumberFormat="1" applyFont="1" applyFill="1" applyBorder="1" applyAlignment="1">
      <x:alignment horizontal="left" vertical="center"/>
    </x:xf>
    <x:xf numFmtId="0" fontId="2" fillId="6" borderId="3" xfId="0" applyNumberFormat="1" applyFont="1" applyFill="1" applyBorder="1" applyAlignment="1">
      <x:alignment horizontal="left" vertical="center"/>
    </x:xf>
    <x:xf numFmtId="210" fontId="5" fillId="6" borderId="0" xfId="0" applyNumberFormat="1" applyFont="1" applyFill="1" applyBorder="1"/>
    <x:xf numFmtId="0" fontId="2" fillId="3" borderId="1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2" fillId="3" borderId="3" xfId="0" applyNumberFormat="1" applyFont="1" applyFill="1" applyBorder="1" applyAlignment="1">
      <x:alignment horizontal="left" vertical="center" wrapText="1"/>
    </x:xf>
    <x:xf numFmtId="201" fontId="5" fillId="0" borderId="0" xfId="0" applyNumberFormat="1" applyFont="1" applyFill="1" applyBorder="1" applyAlignment="1">
      <x:alignment wrapText="1"/>
    </x:xf>
    <x:xf numFmtId="203" fontId="5" fillId="0" borderId="0" xfId="0" applyNumberFormat="1" applyFont="1" applyFill="1" applyBorder="1" applyAlignment="1">
      <x:alignment horizontal="right" wrapText="1"/>
    </x:xf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horizontal="right" wrapText="1"/>
    </x:xf>
    <x:xf numFmtId="210" fontId="0" fillId="0" borderId="0" xfId="0" applyNumberFormat="1" applyFont="1" applyFill="1" applyBorder="1"/>
    <x:xf numFmtId="210" fontId="4" fillId="0" borderId="0" xfId="0" applyNumberFormat="1" applyFont="1" applyFill="1" applyBorder="1"/>
    <x:xf numFmtId="0" fontId="2" fillId="3" borderId="15" xfId="0" applyNumberFormat="1" applyFont="1" applyFill="1" applyBorder="1"/>
    <x:xf numFmtId="0" fontId="2" fillId="3" borderId="15" xfId="0" applyNumberFormat="1" applyFont="1" applyFill="1" applyBorder="1" applyAlignment="1">
      <x:alignment horizontal="left"/>
    </x:xf>
    <x:xf numFmtId="0" fontId="2" fillId="3" borderId="15" xfId="0" applyNumberFormat="1" applyFont="1" applyFill="1" applyBorder="1" applyAlignment="1">
      <x:alignment horizontal="left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78c1a94dec415c" /><Relationship Type="http://schemas.openxmlformats.org/officeDocument/2006/relationships/theme" Target="/xl/theme/theme1.xml" Id="Rf419dbde353a4fb5" /><Relationship Type="http://schemas.openxmlformats.org/officeDocument/2006/relationships/sharedStrings" Target="/xl/sharedStrings.xml" Id="R4b6913ce69b840e8" /><Relationship Type="http://schemas.openxmlformats.org/officeDocument/2006/relationships/worksheet" Target="/xl/worksheets/sheet1.xml" Id="Rdc104d55d80144cc" /><Relationship Type="http://schemas.openxmlformats.org/officeDocument/2006/relationships/worksheet" Target="/xl/worksheets/sheet2.xml" Id="Re2dadde4ec544d18" /><Relationship Type="http://schemas.openxmlformats.org/officeDocument/2006/relationships/worksheet" Target="/xl/worksheets/sheet3.xml" Id="Rc635bce596b14d9b" /><Relationship Type="http://schemas.openxmlformats.org/officeDocument/2006/relationships/worksheet" Target="/xl/worksheets/sheet4.xml" Id="R246a337f28b84046" /><Relationship Type="http://schemas.openxmlformats.org/officeDocument/2006/relationships/worksheet" Target="/xl/worksheets/sheet5.xml" Id="R12812d2efad348f2" /><Relationship Type="http://schemas.openxmlformats.org/officeDocument/2006/relationships/worksheet" Target="/xl/worksheets/sheet6.xml" Id="R60e0d3f0eb2b446e" /><Relationship Type="http://schemas.openxmlformats.org/officeDocument/2006/relationships/worksheet" Target="/xl/worksheets/sheet7.xml" Id="Re19d3b36f5764c47" /><Relationship Type="http://schemas.openxmlformats.org/officeDocument/2006/relationships/worksheet" Target="/xl/worksheets/sheet8.xml" Id="R0a9c7b9920554664" /><Relationship Type="http://schemas.openxmlformats.org/officeDocument/2006/relationships/worksheet" Target="/xl/worksheets/sheet9.xml" Id="R20108b733f6144d0" /><Relationship Type="http://schemas.openxmlformats.org/officeDocument/2006/relationships/worksheet" Target="/xl/worksheets/sheet10.xml" Id="Ra76d4fb176b24bdc" /><Relationship Type="http://schemas.openxmlformats.org/officeDocument/2006/relationships/worksheet" Target="/xl/worksheets/sheet11.xml" Id="R67bd5aba9250437b" /><Relationship Type="http://schemas.openxmlformats.org/officeDocument/2006/relationships/worksheet" Target="/xl/worksheets/sheet12.xml" Id="R1fb9e2992aee49ea" /><Relationship Type="http://schemas.microsoft.com/office/2017/10/relationships/person" Target="/xl/persons/person.xml" Id="Re4901f9b02ea4f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3ee4741686450b" /><Relationship Type="http://schemas.openxmlformats.org/officeDocument/2006/relationships/chart" Target="/xl/drawings/charts/chart2.xml" Id="R334338caec834535" /><Relationship Type="http://schemas.openxmlformats.org/officeDocument/2006/relationships/chart" Target="/xl/drawings/charts/chart3.xml" Id="R802ef5f6ae8d4c13" /><Relationship Type="http://schemas.openxmlformats.org/officeDocument/2006/relationships/chart" Target="/xl/drawings/charts/chart4.xml" Id="R6039325470b341a4" /><Relationship Type="http://schemas.openxmlformats.org/officeDocument/2006/relationships/chart" Target="/xl/drawings/charts/chart5.xml" Id="R37906b8cec5e489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12个月新增与累计枪数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新增枪数</c:v>
          </c:tx>
          <c:marker>
            <c:symbol val="none"/>
          </c:marker>
          <c:cat>
            <c:strRef>
              <c:f>'融资摘要'!$T$5:$T$16</c:f>
              <c:strCache>
                <c:ptCount val="0"/>
              </c:strCache>
            </c:strRef>
          </c:cat>
          <c:val>
            <c:numRef>
              <c:f>'融资摘要'!$U$5:$U$16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累计枪数</c:v>
          </c:tx>
          <c:marker>
            <c:symbol val="none"/>
          </c:marker>
          <c:cat>
            <c:strRef>
              <c:f>'融资摘要'!$T$5:$T$16</c:f>
              <c:strCache>
                <c:ptCount val="0"/>
              </c:strCache>
            </c:strRef>
          </c:cat>
          <c:val>
            <c:numRef>
              <c:f>'融资摘要'!$V$5:$V$16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60个月服务费、CFADS与债务支付（元）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服务费</c:v>
          </c:tx>
          <c:marker>
            <c:symbol val="none"/>
          </c:marker>
          <c:cat>
            <c:strRef>
              <c:f>'融资摘要'!$T$21:$T$80</c:f>
              <c:strCache>
                <c:ptCount val="0"/>
              </c:strCache>
            </c:strRef>
          </c:cat>
          <c:val>
            <c:numRef>
              <c:f>'融资摘要'!$U$21:$U$80</c:f>
              <c:numCache>
                <c:formatCode>¥#,##0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CFADS</c:v>
          </c:tx>
          <c:marker>
            <c:symbol val="none"/>
          </c:marker>
          <c:cat>
            <c:strRef>
              <c:f>'融资摘要'!$T$21:$T$80</c:f>
              <c:strCache>
                <c:ptCount val="0"/>
              </c:strCache>
            </c:strRef>
          </c:cat>
          <c:val>
            <c:numRef>
              <c:f>'融资摘要'!$V$21:$V$80</c:f>
              <c:numCache>
                <c:formatCode>¥#,##0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债务支付</c:v>
          </c:tx>
          <c:marker>
            <c:symbol val="none"/>
          </c:marker>
          <c:cat>
            <c:strRef>
              <c:f>'融资摘要'!$T$21:$T$80</c:f>
              <c:strCache>
                <c:ptCount val="0"/>
              </c:strCache>
            </c:strRef>
          </c:cat>
          <c:val>
            <c:numRef>
              <c:f>'融资摘要'!$W$21:$W$80</c:f>
              <c:numCache>
                <c:formatCode>¥#,##0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股东投入前累计现金（元）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股东投入前累计现金</c:v>
          </c:tx>
          <c:marker>
            <c:symbol val="none"/>
          </c:marker>
          <c:cat>
            <c:strRef>
              <c:f>'融资摘要'!$X$21:$X$80</c:f>
              <c:strCache>
                <c:ptCount val="0"/>
              </c:strCache>
            </c:strRef>
          </c:cat>
          <c:val>
            <c:numRef>
              <c:f>'融资摘要'!$Y$21:$Y$80</c:f>
              <c:numCache>
                <c:formatCode>¥#,##0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月度DSCR与1.0x参考线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月度DSCR</c:v>
          </c:tx>
          <c:marker>
            <c:symbol val="none"/>
          </c:marker>
          <c:cat>
            <c:strRef>
              <c:f>'融资摘要'!$Z$21:$Z$80</c:f>
              <c:strCache>
                <c:ptCount val="0"/>
              </c:strCache>
            </c:strRef>
          </c:cat>
          <c:val>
            <c:numRef>
              <c:f>'融资摘要'!$AA$21:$AA$80</c:f>
              <c:numCache>
                <c:formatCode>0.00x;[Red](0.00x);-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1.0x参考线</c:v>
          </c:tx>
          <c:marker>
            <c:symbol val="none"/>
          </c:marker>
          <c:cat>
            <c:strRef>
              <c:f>'融资摘要'!$Z$21:$Z$80</c:f>
              <c:strCache>
                <c:ptCount val="0"/>
              </c:strCache>
            </c:strRef>
          </c:cat>
          <c:val>
            <c:numRef>
              <c:f>'融资摘要'!$AB$21:$AB$80</c:f>
              <c:numCache>
                <c:formatCode>0.00x;[Red](0.00x);-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x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期限比较指数（36个月=100%）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最低DSCR指数</c:v>
          </c:tx>
          <c:cat>
            <c:strRef>
              <c:f>'融资摘要'!$AC$5:$AC$7</c:f>
              <c:strCache>
                <c:ptCount val="0"/>
              </c:strCache>
            </c:strRef>
          </c:cat>
          <c:val>
            <c:numRef>
              <c:f>'融资摘要'!$AD$5:$AD$7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峰值缺口指数</c:v>
          </c:tx>
          <c:cat>
            <c:strRef>
              <c:f>'融资摘要'!$AC$5:$AC$7</c:f>
              <c:strCache>
                <c:ptCount val="0"/>
              </c:strCache>
            </c:strRef>
          </c:cat>
          <c:val>
            <c:numRef>
              <c:f>'融资摘要'!$AE$5:$AE$7</c:f>
              <c:numCache>
                <c:formatCode>0%</c:formatCode>
                <c:ptCount val="0"/>
              </c:numCache>
            </c:numRef>
          </c:val>
        </c:ser>
        <c:ser>
          <c:idx val="2"/>
          <c:order val="2"/>
          <c:tx>
            <c:v>融资成本指数</c:v>
          </c:tx>
          <c:cat>
            <c:strRef>
              <c:f>'融资摘要'!$AC$5:$AC$7</c:f>
              <c:strCache>
                <c:ptCount val="0"/>
              </c:strCache>
            </c:strRef>
          </c:cat>
          <c:val>
            <c:numRef>
              <c:f>'融资摘要'!$AF$5:$AF$7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3ee4741686450b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4338caec834535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9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2ef5f6ae8d4c13"/>
        </a:graphicData>
      </a:graphic>
    </xdr:graphicFrame>
    <xdr:clientData/>
  </xdr:twoCellAnchor>
  <xdr:twoCellAnchor>
    <xdr:from>
      <xdr:col>9</xdr:col>
      <xdr:colOff>0</xdr:colOff>
      <xdr:row>31</xdr:row>
      <xdr:rowOff>0</xdr:rowOff>
    </xdr:from>
    <xdr:to>
      <xdr:col>18</xdr:col>
      <xdr:colOff>0</xdr:colOff>
      <xdr:row>47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39325470b341a4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18</xdr:col>
      <xdr:colOff>0</xdr:colOff>
      <xdr:row>66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906b8cec5e4894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C4087E82-3962-4D19-9A27-07F0F632D540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8-16T18:28:10.94" personId="{C4087E82-3962-4D19-9A27-07F0F632D540}" id="{283D7C05-7A4C-B8AF-DD0F-43AF93CD7A68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6" dT="2026-08-16T18:28:10.941" personId="{C4087E82-3962-4D19-9A27-07F0F632D540}" id="{17F6F50E-A59A-971E-4EEC-9FE841DF6D51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7" dT="2026-08-16T18:28:10.942" personId="{C4087E82-3962-4D19-9A27-07F0F632D540}" id="{44ABB06D-22ED-6A59-DC83-1260CCABB75F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8" dT="2026-08-16T18:28:10.942" personId="{C4087E82-3962-4D19-9A27-07F0F632D540}" id="{1A8FC97E-DA31-D116-EBF6-A72D0052C9B0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9" dT="2026-08-16T18:28:10.942" personId="{C4087E82-3962-4D19-9A27-07F0F632D540}" id="{DE3F1D1A-CC05-0406-3232-D5E0E0698E91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10" dT="2026-08-16T18:28:10.942" personId="{C4087E82-3962-4D19-9A27-07F0F632D540}" id="{18FA9267-1423-C74B-22F6-6E3808C028EF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11" dT="2026-08-16T18:28:10.943" personId="{C4087E82-3962-4D19-9A27-07F0F632D540}" id="{BA32AA59-4791-32B9-1F14-B445F0A4E9B1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12" dT="2026-08-16T18:28:10.943" personId="{C4087E82-3962-4D19-9A27-07F0F632D540}" id="{1704E774-8EC0-F617-FD2A-C656F2DC7B26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13" dT="2026-08-16T18:28:10.943" personId="{C4087E82-3962-4D19-9A27-07F0F632D540}" id="{11EFD929-3764-7A98-DCB2-EFBF2038FF7D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14" dT="2026-08-16T18:28:10.943" personId="{C4087E82-3962-4D19-9A27-07F0F632D540}" id="{FE48CDB7-0FD9-FD98-C451-0C2C45661F01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15" dT="2026-08-16T18:28:10.944" personId="{C4087E82-3962-4D19-9A27-07F0F632D540}" id="{E1FA2E6C-2C32-31BC-C315-BE06E81AC8F8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16" dT="2026-08-16T18:28:10.944" personId="{C4087E82-3962-4D19-9A27-07F0F632D540}" id="{63618404-6A36-5BA0-459E-BEC2D59675CD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17" dT="2026-08-16T18:28:10.944" personId="{C4087E82-3962-4D19-9A27-07F0F632D540}" id="{250B2333-FDDE-CD0E-9634-38ABEB94CC43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18" dT="2026-08-16T18:28:10.944" personId="{C4087E82-3962-4D19-9A27-07F0F632D540}" id="{49CBB1B2-34C7-4DBA-29E1-0B37CE7551A1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19" dT="2026-08-16T18:28:10.944" personId="{C4087E82-3962-4D19-9A27-07F0F632D540}" id="{6C0274E4-9F5B-3F59-F4D1-9C1D075D9FCA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20" dT="2026-08-16T18:28:10.944" personId="{C4087E82-3962-4D19-9A27-07F0F632D540}" id="{A4AC5378-57D1-963C-4F75-89D06C9EE6C2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21" dT="2026-08-16T18:28:10.944" personId="{C4087E82-3962-4D19-9A27-07F0F632D540}" id="{FEFB3149-1997-CDF8-F8F0-32F88FBBAC51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22" dT="2026-08-16T18:28:10.944" personId="{C4087E82-3962-4D19-9A27-07F0F632D540}" id="{76313F6A-224E-9654-94A0-E307BCDB5684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23" dT="2026-08-16T18:28:10.944" personId="{C4087E82-3962-4D19-9A27-07F0F632D540}" id="{2C476E44-46D8-8EF2-FE56-88BF9736A709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24" dT="2026-08-16T18:28:10.944" personId="{C4087E82-3962-4D19-9A27-07F0F632D540}" id="{EE1D7497-C365-1EC1-893F-61F03382B3EB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25" dT="2026-08-16T18:28:10.945" personId="{C4087E82-3962-4D19-9A27-07F0F632D540}" id="{FA934C61-96D6-CBCB-7E63-1BA394C4A693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26" dT="2026-08-16T18:28:10.945" personId="{C4087E82-3962-4D19-9A27-07F0F632D540}" id="{678AA6B4-C509-1852-FD08-62FC68F4F34D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27" dT="2026-08-16T18:28:10.945" personId="{C4087E82-3962-4D19-9A27-07F0F632D540}" id="{4FD8ADC6-9E0D-20AA-5DCF-5E681189BD4A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28" dT="2026-08-16T18:28:10.945" personId="{C4087E82-3962-4D19-9A27-07F0F632D540}" id="{1857643B-22BC-9684-1007-9BC8FFBF4903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29" dT="2026-08-16T18:28:10.945" personId="{C4087E82-3962-4D19-9A27-07F0F632D540}" id="{9EA97FB0-BDC0-DB9C-C080-ABBE13546520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30" dT="2026-08-16T18:28:10.945" personId="{C4087E82-3962-4D19-9A27-07F0F632D540}" id="{2890E91F-6206-C001-6E21-30B67B7ABA66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31" dT="2026-08-16T18:28:10.945" personId="{C4087E82-3962-4D19-9A27-07F0F632D540}" id="{340627F0-CDA5-4BFE-E3ED-584399E49B7B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32" dT="2026-08-16T18:28:10.945" personId="{C4087E82-3962-4D19-9A27-07F0F632D540}" id="{5F5A7387-CB78-4F31-E0AE-B2FCC16B0150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33" dT="2026-08-16T18:28:10.945" personId="{C4087E82-3962-4D19-9A27-07F0F632D540}" id="{66F3983C-7603-E290-DC86-F2766A556E99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34" dT="2026-08-16T18:28:10.945" personId="{C4087E82-3962-4D19-9A27-07F0F632D540}" id="{493C1D88-DC1F-D485-3E26-F30558CB40D5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35" dT="2026-08-16T18:28:10.945" personId="{C4087E82-3962-4D19-9A27-07F0F632D540}" id="{7F42A658-4CC8-4F23-680B-75C792DEC92B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36" dT="2026-08-16T18:28:10.945" personId="{C4087E82-3962-4D19-9A27-07F0F632D540}" id="{D1F6BEBB-D09A-1EE8-3E60-09356FC0CBA6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37" dT="2026-08-16T18:28:10.945" personId="{C4087E82-3962-4D19-9A27-07F0F632D540}" id="{2521D315-C012-6204-EADA-1890636A83B4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38" dT="2026-08-16T18:28:10.945" personId="{C4087E82-3962-4D19-9A27-07F0F632D540}" id="{F4EA9822-A85F-9E95-28ED-2F8705AE1B20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39" dT="2026-08-16T18:28:10.946" personId="{C4087E82-3962-4D19-9A27-07F0F632D540}" id="{B3E5D41C-550F-6033-2AB6-B201203FE4D3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40" dT="2026-08-16T18:28:10.946" personId="{C4087E82-3962-4D19-9A27-07F0F632D540}" id="{9EAE6E23-E900-8F21-3641-6C3D0D4EB2D5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41" dT="2026-08-16T18:28:10.946" personId="{C4087E82-3962-4D19-9A27-07F0F632D540}" id="{B0868BD2-85A3-790F-2633-F3601C83FBEB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42" dT="2026-08-16T18:28:10.946" personId="{C4087E82-3962-4D19-9A27-07F0F632D540}" id="{03538858-CAF8-70A0-5348-F3E10D76E766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43" dT="2026-08-16T18:28:10.946" personId="{C4087E82-3962-4D19-9A27-07F0F632D540}" id="{4118AC6F-229F-26BD-411A-77541599653E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44" dT="2026-08-16T18:28:10.946" personId="{C4087E82-3962-4D19-9A27-07F0F632D540}" id="{DE676308-0945-65E3-FBC3-80F2A626A12F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45" dT="2026-08-16T18:28:10.946" personId="{C4087E82-3962-4D19-9A27-07F0F632D540}" id="{251988E9-553F-05F7-FA61-EC1AA0454350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46" dT="2026-08-16T18:28:10.946" personId="{C4087E82-3962-4D19-9A27-07F0F632D540}" id="{FF80FBE7-3CE2-9457-432E-19D0546C2DE0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47" dT="2026-08-16T18:28:10.946" personId="{C4087E82-3962-4D19-9A27-07F0F632D540}" id="{1DFC12F8-FDEC-310F-6F1E-69EA55522DD9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48" dT="2026-08-16T18:28:10.946" personId="{C4087E82-3962-4D19-9A27-07F0F632D540}" id="{CB0CCE5E-6A7B-CE1E-4124-71C3BE9585BE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49" dT="2026-08-16T18:28:10.946" personId="{C4087E82-3962-4D19-9A27-07F0F632D540}" id="{B8448F04-E21B-F22B-576A-7F8F970CFE3C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50" dT="2026-08-16T18:28:10.946" personId="{C4087E82-3962-4D19-9A27-07F0F632D540}" id="{6DD1AF6F-9EA5-2650-B99E-9C0D3E77ADCD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55" dT="2026-08-16T18:28:10.946" personId="{C4087E82-3962-4D19-9A27-07F0F632D540}" id="{C9A748EF-3EEE-8BB9-2DA0-37A3352A4C96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  <xltc:threadedComment ref="B60" dT="2026-08-16T18:28:10.946" personId="{C4087E82-3962-4D19-9A27-07F0F632D540}" id="{5DEEDC5A-7C71-8F55-406D-827F14C7EC8E}">
    <xltc:text>Source: 项目设计规格 | As-of: 2026-08-16 | URL: https://github.com/keqi119/Ant_charge_station/blob/main/docs/superpowers/specs/2026-08-16-charge-station-financing-model-design.md | Accessed: 2026-08-16 | Notes: 基准假设；蓝字允许用户覆盖，覆盖后下游公式自动重算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D6" dT="2026-08-16T18:28:29.449" personId="{C4087E82-3962-4D19-9A27-07F0F632D540}" id="{B574D31B-1186-FEC3-11ED-280518AD1D5D}">
    <xltc:text>Source: Yicai New First-Tier Cities Institute: 2025 Ranking of Cities' Business Attractiveness | As-of: 2025 | URL: https://www.smg.cn/review/mobile/news/202505/0166469.html | Accessed: 2026-08-16 | Notes: 上海等级及排名</xltc:text>
  </xltc:threadedComment>
  <xltc:threadedComment ref="G6" dT="2026-08-16T18:28:29.449" personId="{C4087E82-3962-4D19-9A27-07F0F632D540}" id="{782B17BE-44D7-A16D-D46F-65CFA34169FA}">
    <xltc:text>Source: 上海人口来源 | As-of: 2020 | URL: https://tjj.sh.gov.cn/tjgb/20210517/cc22f48611f24627bc5ee2ae96ca56d4.html | Accessed: 2026-08-16 | Notes: 等级及排名据2025第一财经榜单；2020年七普常住人口；住建部2022年城市建设统计年鉴表2-2第184行列示同一城市口径的城区人口（含表列城区暂住人口）2475.89万人、建成区面积1242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6" dT="2026-08-16T18:28:29.449" personId="{C4087E82-3962-4D19-9A27-07F0F632D540}" id="{DCA19015-BE28-BE47-26F8-CB06B0E6DEF8}">
    <xltc:text>Source: 上海城区人口来源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184行列示同一城市口径的城区人口（含表列城区暂住人口）2475.89万人、建成区面积1242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6" dT="2026-08-16T18:28:29.449" personId="{C4087E82-3962-4D19-9A27-07F0F632D540}" id="{E9E91BB1-C458-A9BA-5A7B-EC0FDC141345}">
    <xltc:text>Source: 上海建成区来源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184行列示同一城市口径的城区人口（含表列城区暂住人口）2475.89万人、建成区面积1242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7" dT="2026-08-16T18:28:29.449" personId="{C4087E82-3962-4D19-9A27-07F0F632D540}" id="{9F5A2CF0-95F7-89BF-2DFB-C97CD2F01308}">
    <xltc:text>Source: Yicai New First-Tier Cities Institute: 2025 Ranking of Cities' Business Attractiveness | As-of: 2025 | URL: https://www.smg.cn/review/mobile/news/202505/0166469.html | Accessed: 2026-08-16 | Notes: 北京等级及排名</xltc:text>
  </xltc:threadedComment>
  <xltc:threadedComment ref="G7" dT="2026-08-16T18:28:29.449" personId="{C4087E82-3962-4D19-9A27-07F0F632D540}" id="{1FED4EED-B96C-92C6-4293-374EE416BAD4}">
    <xltc:text>Source: 北京人口来源 | As-of: 2020 | URL: https://www.beijing.gov.cn/gongkai/shuju/sjjd/202105/t20210519_2392881.html | Accessed: 2026-08-16 | Notes: 等级及排名据2025第一财经榜单；2020年七普常住人口；住建部2022年城市建设统计年鉴表2-2第9行虽列示城区人口1912.8万人，但建成区面积为空；为避免不成对或范围错配，密度两字段均保留空值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8" dT="2026-08-16T18:28:29.449" personId="{C4087E82-3962-4D19-9A27-07F0F632D540}" id="{F388E035-7F4E-8977-5AAA-5CB38D3D90B8}">
    <xltc:text>Source: Yicai New First-Tier Cities Institute: 2025 Ranking of Cities' Business Attractiveness | As-of: 2025 | URL: https://www.smg.cn/review/mobile/news/202505/0166469.html | Accessed: 2026-08-16 | Notes: 深圳等级及排名</xltc:text>
  </xltc:threadedComment>
  <xltc:threadedComment ref="G8" dT="2026-08-16T18:28:29.449" personId="{C4087E82-3962-4D19-9A27-07F0F632D540}" id="{DC88F8EA-8331-D6EA-652F-B8591F512C4E}">
    <xltc:text>Source: 深圳人口来源 | As-of: 2020 | URL: https://stats.gd.gov.cn/attachment/0/421/421309/3283428.pdf | Accessed: 2026-08-16 | Notes: 等级及排名据2025第一财经榜单；2020年七普常住人口；住建部2022年城市建设统计年鉴表2-2第483行列示同一城市口径的城区人口（含表列城区暂住人口）1766.18万人、建成区面积962.17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8" dT="2026-08-16T18:28:29.449" personId="{C4087E82-3962-4D19-9A27-07F0F632D540}" id="{EA74F933-7BD2-D044-84C3-4D180AD5C436}">
    <xltc:text>Source: 深圳城区人口来源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483行列示同一城市口径的城区人口（含表列城区暂住人口）1766.18万人、建成区面积962.17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8" dT="2026-08-16T18:28:29.449" personId="{C4087E82-3962-4D19-9A27-07F0F632D540}" id="{B2525075-5D5A-C560-9078-236A87F40F8B}">
    <xltc:text>Source: 深圳建成区来源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483行列示同一城市口径的城区人口（含表列城区暂住人口）1766.18万人、建成区面积962.17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9" dT="2026-08-16T18:28:29.449" personId="{C4087E82-3962-4D19-9A27-07F0F632D540}" id="{0ED5CFF9-0996-608A-4B83-45561D20FD65}">
    <xltc:text>Source: Yicai New First-Tier Cities Institute: 2025 Ranking of Cities' Business Attractiveness | As-of: 2025 | URL: https://www.smg.cn/review/mobile/news/202505/0166469.html | Accessed: 2026-08-16 | Notes: 广州等级及排名</xltc:text>
  </xltc:threadedComment>
  <xltc:threadedComment ref="G9" dT="2026-08-16T18:28:29.45" personId="{C4087E82-3962-4D19-9A27-07F0F632D540}" id="{2E6007BA-38A8-F291-F2BB-ECB5CBE3FD7B}">
    <xltc:text>Source: 广州人口来源 | As-of: 2020 | URL: https://stats.gd.gov.cn/attachment/0/421/421309/3283428.pdf | Accessed: 2026-08-16 | Notes: 等级及排名据2025第一财经榜单；2020年七普常住人口；住建部2022年城市建设统计年鉴表2-2第479行列示同一城市口径的城区人口（含表列城区暂住人口）1369.7万人、建成区面积1366.02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9" dT="2026-08-16T18:28:29.45" personId="{C4087E82-3962-4D19-9A27-07F0F632D540}" id="{D7C95E07-440D-E0AB-0A32-A6C2A97D0D11}">
    <xltc:text>Source: 广州城区人口来源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479行列示同一城市口径的城区人口（含表列城区暂住人口）1369.7万人、建成区面积1366.02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9" dT="2026-08-16T18:28:29.45" personId="{C4087E82-3962-4D19-9A27-07F0F632D540}" id="{C814C00C-8DD7-A44D-50E0-6E814470F14E}">
    <xltc:text>Source: 广州建成区来源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479行列示同一城市口径的城区人口（含表列城区暂住人口）1369.7万人、建成区面积1366.02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10" dT="2026-08-16T18:28:29.45" personId="{C4087E82-3962-4D19-9A27-07F0F632D540}" id="{CF0575DD-6619-D185-5320-E74C49F2B36E}">
    <xltc:text>Source: Yicai New First-Tier Cities Institute: 2025 Ranking of Cities' Business Attractiveness | As-of: 2025 | URL: https://www.smg.cn/review/mobile/news/202505/0166469.html | Accessed: 2026-08-16 | Notes: 成都等级及排名</xltc:text>
  </xltc:threadedComment>
  <xltc:threadedComment ref="G10" dT="2026-08-16T18:28:29.45" personId="{C4087E82-3962-4D19-9A27-07F0F632D540}" id="{8655FCE4-1D16-A8B7-1D71-FA4B24D01E7F}">
    <xltc:text>Source: 成都人口来源 | As-of: 2020 | URL: https://tjj.sc.gov.cn/scstjj/c111702/2021/5/26/68cf8ce902a44c389e72591bd5a31ca2.shtml | Accessed: 2026-08-16 | Notes: 等级及排名据2025第一财经榜单；2020年七普常住人口；住建部2022年城市建设统计年鉴表2-2第557行列示同一城市口径的城区人口（含表列城区暂住人口）1257.24万人、建成区面积1063.68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10" dT="2026-08-16T18:28:29.45" personId="{C4087E82-3962-4D19-9A27-07F0F632D540}" id="{95504487-380F-D004-16DB-C08A310D4B4E}">
    <xltc:text>Source: 成都城区人口来源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557行列示同一城市口径的城区人口（含表列城区暂住人口）1257.24万人、建成区面积1063.68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10" dT="2026-08-16T18:28:29.45" personId="{C4087E82-3962-4D19-9A27-07F0F632D540}" id="{D40C1D3E-EFA9-B341-AD68-FC9D68A124A8}">
    <xltc:text>Source: 成都建成区来源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557行列示同一城市口径的城区人口（含表列城区暂住人口）1257.24万人、建成区面积1063.68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11" dT="2026-08-16T18:28:29.45" personId="{C4087E82-3962-4D19-9A27-07F0F632D540}" id="{3E0A5C5F-5D4A-3310-9606-A923790EB548}">
    <xltc:text>Source: Yicai New First-Tier Cities Institute: 2025 Ranking of Cities' Business Attractiveness | As-of: 2025 | URL: https://www.smg.cn/review/mobile/news/202505/0166469.html | Accessed: 2026-08-16 | Notes: 杭州等级及排名</xltc:text>
  </xltc:threadedComment>
  <xltc:threadedComment ref="G11" dT="2026-08-16T18:28:29.45" personId="{C4087E82-3962-4D19-9A27-07F0F632D540}" id="{ABDBA6D6-096F-3B9D-AC69-35943E639C67}">
    <xltc:text>Source: 杭州人口来源 | As-of: 2020 | URL: https://zjjcmspublic.oss-cn-hangzhou-zwynet-d01-a.internet.cloud.zj.gov.cn/jcms_files/jcms1/web3077/site/flash/tjj/Reports1/%E6%B5%99%E6%B1%9F%E4%BA%BA%E6%99%AE2020%E5%85%89%E7%9B%98/zk/html/fu04.pdf | Accessed: 2026-08-16 | Notes: 等级及排名据2025第一财经榜单；2020年七普常住人口；住建部2022年城市建设统计年鉴表2-2第221行列示同一城市口径的城区人口（含表列城区暂住人口）1002.1万人、建成区面积829.41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11" dT="2026-08-16T18:28:29.45" personId="{C4087E82-3962-4D19-9A27-07F0F632D540}" id="{429CFA00-8A69-B044-312B-26F2E8287D63}">
    <xltc:text>Source: 杭州城区人口来源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221行列示同一城市口径的城区人口（含表列城区暂住人口）1002.1万人、建成区面积829.41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11" dT="2026-08-16T18:28:29.45" personId="{C4087E82-3962-4D19-9A27-07F0F632D540}" id="{1F4BBC27-B045-A106-8E09-82BEF0B57638}">
    <xltc:text>Source: 杭州建成区来源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221行列示同一城市口径的城区人口（含表列城区暂住人口）1002.1万人、建成区面积829.41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12" dT="2026-08-16T18:28:29.45" personId="{C4087E82-3962-4D19-9A27-07F0F632D540}" id="{865FB5D2-1187-407D-21DF-EC728261D17F}">
    <xltc:text>Source: Yicai New First-Tier Cities Institute: 2025 Ranking of Cities' Business Attractiveness | As-of: 2025 | URL: https://www.smg.cn/review/mobile/news/202505/0166469.html | Accessed: 2026-08-16 | Notes: 重庆等级及排名</xltc:text>
  </xltc:threadedComment>
  <xltc:threadedComment ref="G12" dT="2026-08-16T18:28:29.45" personId="{C4087E82-3962-4D19-9A27-07F0F632D540}" id="{F6FB91A7-B256-60CF-E716-E30267F8BD91}">
    <xltc:text>Source: 重庆人口来源 | As-of: 2020 | URL: https://tjj.cq.gov.cn/zwgk_233/fdzdgknr/tjxx/sjjd_55469/202105/t20210513_9277470.html | Accessed: 2026-08-16 | Notes: 等级及排名据2025第一财经榜单；2020年七普常住人口；住建部2022年城市建设统计年鉴表2-2第555行列示同一城市口径的城区人口（含表列城区暂住人口）1617.5万人、建成区面积1640.8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12" dT="2026-08-16T18:28:29.45" personId="{C4087E82-3962-4D19-9A27-07F0F632D540}" id="{A45D2263-CA41-3695-3A5E-259CB1476D3A}">
    <xltc:text>Source: 重庆城区人口来源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555行列示同一城市口径的城区人口（含表列城区暂住人口）1617.5万人、建成区面积1640.8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12" dT="2026-08-16T18:28:29.45" personId="{C4087E82-3962-4D19-9A27-07F0F632D540}" id="{C7DAA415-1A56-7ED9-29BF-D05BC3ACF94B}">
    <xltc:text>Source: 重庆建成区来源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555行列示同一城市口径的城区人口（含表列城区暂住人口）1617.5万人、建成区面积1640.8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13" dT="2026-08-16T18:28:29.45" personId="{C4087E82-3962-4D19-9A27-07F0F632D540}" id="{29E10636-53E1-8B11-C602-036E61091D09}">
    <xltc:text>Source: Yicai New First-Tier Cities Institute: 2025 Ranking of Cities' Business Attractiveness | As-of: 2025 | URL: https://www.smg.cn/review/mobile/news/202505/0166469.html | Accessed: 2026-08-16 | Notes: 武汉等级及排名</xltc:text>
  </xltc:threadedComment>
  <xltc:threadedComment ref="G13" dT="2026-08-16T18:28:29.45" personId="{C4087E82-3962-4D19-9A27-07F0F632D540}" id="{AF803BAB-541F-8413-BDF1-51A51CB4A282}">
    <xltc:text>Source: 武汉人口来源 | As-of: 2020 | URL: https://tjj.hubei.gov.cn/tjsj/tjgb/pcgb/wnpc/qrp/202105/t20210525_3559343.shtml | Accessed: 2026-08-16 | Notes: 等级及排名据2025第一财经榜单；2020年七普常住人口；住建部2022年城市建设统计年鉴表2-2第407行列示同一城市口径的城区人口（含表列城区暂住人口）1080.64万人、建成区面积925.97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13" dT="2026-08-16T18:28:29.45" personId="{C4087E82-3962-4D19-9A27-07F0F632D540}" id="{6A09153C-D660-B904-656E-5B9552DC5E63}">
    <xltc:text>Source: 武汉城区人口来源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407行列示同一城市口径的城区人口（含表列城区暂住人口）1080.64万人、建成区面积925.97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13" dT="2026-08-16T18:28:29.45" personId="{C4087E82-3962-4D19-9A27-07F0F632D540}" id="{D9E29F69-A059-4B2B-8850-F8B57172BCB9}">
    <xltc:text>Source: 武汉建成区来源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407行列示同一城市口径的城区人口（含表列城区暂住人口）1080.64万人、建成区面积925.97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14" dT="2026-08-16T18:28:29.45" personId="{C4087E82-3962-4D19-9A27-07F0F632D540}" id="{7DE63AFE-8F89-396B-5AA8-DA82119E794B}">
    <xltc:text>Source: Yicai New First-Tier Cities Institute: 2025 Ranking of Cities' Business Attractiveness | As-of: 2025 | URL: https://www.smg.cn/review/mobile/news/202505/0166469.html | Accessed: 2026-08-16 | Notes: 苏州等级及排名</xltc:text>
  </xltc:threadedComment>
  <xltc:threadedComment ref="G14" dT="2026-08-16T18:28:29.45" personId="{C4087E82-3962-4D19-9A27-07F0F632D540}" id="{FB55A51B-1B84-F265-17FC-038B4D012BAD}">
    <xltc:text>Source: 苏州人口来源 | As-of: 2020 | URL: https://www.js.gov.cn/art/2021/5/18/art_46548_206.html | Accessed: 2026-08-16 | Notes: 等级及排名据2025第一财经榜单；2020年七普常住人口；住建部2022年城市建设统计年鉴表2-2第195行列示同一城市口径的城区人口（含表列城区暂住人口）500.08万人、建成区面积481.33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14" dT="2026-08-16T18:28:29.45" personId="{C4087E82-3962-4D19-9A27-07F0F632D540}" id="{88486495-DA57-B1F4-5766-5D0D66A0A598}">
    <xltc:text>Source: 苏州城区人口来源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195行列示同一城市口径的城区人口（含表列城区暂住人口）500.08万人、建成区面积481.33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14" dT="2026-08-16T18:28:29.45" personId="{C4087E82-3962-4D19-9A27-07F0F632D540}" id="{64DA2867-C401-99BC-A79C-5613304778B7}">
    <xltc:text>Source: 苏州建成区来源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195行列示同一城市口径的城区人口（含表列城区暂住人口）500.08万人、建成区面积481.33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15" dT="2026-08-16T18:28:29.45" personId="{C4087E82-3962-4D19-9A27-07F0F632D540}" id="{4CA6AAE3-6D78-EE42-98C1-028CD03594D5}">
    <xltc:text>Source: Yicai New First-Tier Cities Institute: 2025 Ranking of Cities' Business Attractiveness | As-of: 2025 | URL: https://www.smg.cn/review/mobile/news/202505/0166469.html | Accessed: 2026-08-16 | Notes: 西安等级及排名</xltc:text>
  </xltc:threadedComment>
  <xltc:threadedComment ref="G15" dT="2026-08-16T18:28:29.45" personId="{C4087E82-3962-4D19-9A27-07F0F632D540}" id="{BEA7FC27-FCB2-42A5-88FC-26207107618A}">
    <xltc:text>Source: 西安人口来源 | As-of: 2020 | URL: https://tjj.shaanxi.gov.cn/tjsj/ndsj/pcsj/rkpc/202505/P020250522415694808635.pdf | Accessed: 2026-08-16 | Notes: 等级及排名据2025第一财经榜单；2020年七普常住人口；住建部2022年城市建设统计年鉴表2-2第646行列示同一城市口径的城区人口（含表列城区暂住人口）770万人、建成区面积807.57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15" dT="2026-08-16T18:28:29.45" personId="{C4087E82-3962-4D19-9A27-07F0F632D540}" id="{E320AC14-F683-85C7-1E4A-155049CEAB46}">
    <xltc:text>Source: 西安城区人口来源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646行列示同一城市口径的城区人口（含表列城区暂住人口）770万人、建成区面积807.57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15" dT="2026-08-16T18:28:29.45" personId="{C4087E82-3962-4D19-9A27-07F0F632D540}" id="{7EC7D714-2EF0-0672-2C82-7EE967876AF6}">
    <xltc:text>Source: 西安建成区来源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646行列示同一城市口径的城区人口（含表列城区暂住人口）770万人、建成区面积807.57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16" dT="2026-08-16T18:28:29.45" personId="{C4087E82-3962-4D19-9A27-07F0F632D540}" id="{390A29AA-8DA6-511E-132A-24D1223B7317}">
    <xltc:text>Source: Yicai New First-Tier Cities Institute: 2025 Ranking of Cities' Business Attractiveness | As-of: 2025 | URL: https://www.smg.cn/review/mobile/news/202505/0166469.html | Accessed: 2026-08-16 | Notes: 南京等级及排名</xltc:text>
  </xltc:threadedComment>
  <xltc:threadedComment ref="G16" dT="2026-08-16T18:28:29.45" personId="{C4087E82-3962-4D19-9A27-07F0F632D540}" id="{AAA92CEB-B6DD-770C-FBCF-BD8A2F3600DD}">
    <xltc:text>Source: 南京人口来源 | As-of: 2020 | URL: https://www.js.gov.cn/art/2021/5/18/art_46548_206.html | Accessed: 2026-08-16 | Notes: 等级及排名据2025第一财经榜单；2020年七普常住人口；住建部2022年城市建设统计年鉴表2-2第186行列示同一城市口径的城区人口（含表列城区暂住人口）699.31万人、建成区面积885.73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16" dT="2026-08-16T18:28:29.451" personId="{C4087E82-3962-4D19-9A27-07F0F632D540}" id="{C6941999-DB9B-FBF1-90FC-B9501DD95E16}">
    <xltc:text>Source: 南京城区人口来源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186行列示同一城市口径的城区人口（含表列城区暂住人口）699.31万人、建成区面积885.73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16" dT="2026-08-16T18:28:29.451" personId="{C4087E82-3962-4D19-9A27-07F0F632D540}" id="{65A6CEF0-6D8D-06BC-4AE3-97687039573F}">
    <xltc:text>Source: 南京建成区来源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186行列示同一城市口径的城区人口（含表列城区暂住人口）699.31万人、建成区面积885.73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17" dT="2026-08-16T18:28:29.451" personId="{C4087E82-3962-4D19-9A27-07F0F632D540}" id="{821317E4-34C3-BF0F-FEE0-BA86C55C4715}">
    <xltc:text>Source: Yicai New First-Tier Cities Institute: 2025 Ranking of Cities' Business Attractiveness | As-of: 2025 | URL: https://www.smg.cn/review/mobile/news/202505/0166469.html | Accessed: 2026-08-16 | Notes: 长沙等级及排名</xltc:text>
  </xltc:threadedComment>
  <xltc:threadedComment ref="G17" dT="2026-08-16T18:28:29.451" personId="{C4087E82-3962-4D19-9A27-07F0F632D540}" id="{C945CF4A-3B3F-F813-9FA3-C57FC2CE1383}">
    <xltc:text>Source: 长沙人口来源 | As-of: 2020 | URL: https://tjj.hunan.gov.cn/hntj/m/tjgb_1/202105/t20210519_19050124.html | Accessed: 2026-08-16 | Notes: 等级及排名据2025第一财经榜单；2020年七普常住人口；住建部2022年城市建设统计年鉴表2-2第446行列示同一城市口径的城区人口（含表列城区暂住人口）520.51万人、建成区面积441.68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17" dT="2026-08-16T18:28:29.451" personId="{C4087E82-3962-4D19-9A27-07F0F632D540}" id="{345834F4-C27B-C9EF-FACF-D7BB84F8C3D9}">
    <xltc:text>Source: 长沙城区人口来源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446行列示同一城市口径的城区人口（含表列城区暂住人口）520.51万人、建成区面积441.68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17" dT="2026-08-16T18:28:29.451" personId="{C4087E82-3962-4D19-9A27-07F0F632D540}" id="{E7D4BA89-5FCE-2105-58B5-10FE11D82BBD}">
    <xltc:text>Source: 长沙建成区来源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446行列示同一城市口径的城区人口（含表列城区暂住人口）520.51万人、建成区面积441.68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18" dT="2026-08-16T18:28:29.451" personId="{C4087E82-3962-4D19-9A27-07F0F632D540}" id="{637D32B9-EF59-9A68-EA3C-8FE805CF2113}">
    <xltc:text>Source: Yicai New First-Tier Cities Institute: 2025 Ranking of Cities' Business Attractiveness | As-of: 2025 | URL: https://www.smg.cn/review/mobile/news/202505/0166469.html | Accessed: 2026-08-16 | Notes: 郑州等级及排名</xltc:text>
  </xltc:threadedComment>
  <xltc:threadedComment ref="G18" dT="2026-08-16T18:28:29.451" personId="{C4087E82-3962-4D19-9A27-07F0F632D540}" id="{53FB0332-0D05-CA60-ABC6-F14BB7213A72}">
    <xltc:text>Source: 郑州人口来源 | As-of: 2020 | URL: https://tjj.zhengzhou.gov.cn/tjgb/5012681.jhtml | Accessed: 2026-08-16 | Notes: 等级及排名据2025第一财经榜单；2020年七普常住人口；住建部2022年城市建设统计年鉴表2-2第367行列示同一城市口径的城区人口（含表列城区暂住人口）766.75万人、建成区面积729.12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18" dT="2026-08-16T18:28:29.451" personId="{C4087E82-3962-4D19-9A27-07F0F632D540}" id="{2E4BA807-43EB-A46C-1272-036F1E1E35D5}">
    <xltc:text>Source: 郑州城区人口来源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367行列示同一城市口径的城区人口（含表列城区暂住人口）766.75万人、建成区面积729.12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18" dT="2026-08-16T18:28:29.451" personId="{C4087E82-3962-4D19-9A27-07F0F632D540}" id="{5C572849-7AE6-C39B-7D92-3C9A5D8729EE}">
    <xltc:text>Source: 郑州建成区来源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367行列示同一城市口径的城区人口（含表列城区暂住人口）766.75万人、建成区面积729.12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19" dT="2026-08-16T18:28:29.451" personId="{C4087E82-3962-4D19-9A27-07F0F632D540}" id="{82C0C0AF-DBD3-68D2-08CE-F87B22EF9332}">
    <xltc:text>Source: Yicai New First-Tier Cities Institute: 2025 Ranking of Cities' Business Attractiveness | As-of: 2025 | URL: https://www.smg.cn/review/mobile/news/202505/0166469.html | Accessed: 2026-08-16 | Notes: 天津等级及排名</xltc:text>
  </xltc:threadedComment>
  <xltc:threadedComment ref="G19" dT="2026-08-16T18:28:29.451" personId="{C4087E82-3962-4D19-9A27-07F0F632D540}" id="{974B4445-C72C-DCAF-ADF3-949171CC59E3}">
    <xltc:text>Source: 天津人口来源 | As-of: 2020 | URL: https://stats.tj.gov.cn/tjsj_52032/tjgb/202105/t20210521_5457266.html | Accessed: 2026-08-16 | Notes: 等级及排名据2025第一财经榜单；2020年七普常住人口；住建部2022年城市建设统计年鉴表2-2第10行列示同一城市口径的城区人口（含表列城区暂住人口）1160.07万人、建成区面积1264.46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19" dT="2026-08-16T18:28:29.451" personId="{C4087E82-3962-4D19-9A27-07F0F632D540}" id="{3E90F1B7-627C-FF6C-4601-E130DF0FD433}">
    <xltc:text>Source: 天津城区人口来源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10行列示同一城市口径的城区人口（含表列城区暂住人口）1160.07万人、建成区面积1264.46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19" dT="2026-08-16T18:28:29.451" personId="{C4087E82-3962-4D19-9A27-07F0F632D540}" id="{7E9B2D25-B376-9B01-DB5A-3E7A42A0BF9B}">
    <xltc:text>Source: 天津建成区来源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10行列示同一城市口径的城区人口（含表列城区暂住人口）1160.07万人、建成区面积1264.46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20" dT="2026-08-16T18:28:29.451" personId="{C4087E82-3962-4D19-9A27-07F0F632D540}" id="{09F63957-3FCD-1457-40B5-F4F90E5422EF}">
    <xltc:text>Source: Yicai New First-Tier Cities Institute: 2025 Ranking of Cities' Business Attractiveness | As-of: 2025 | URL: https://www.smg.cn/review/mobile/news/202505/0166469.html | Accessed: 2026-08-16 | Notes: 合肥等级及排名</xltc:text>
  </xltc:threadedComment>
  <xltc:threadedComment ref="G20" dT="2026-08-16T18:28:29.451" personId="{C4087E82-3962-4D19-9A27-07F0F632D540}" id="{ECBCE082-5101-1E48-6815-48CE4FCC0DA7}">
    <xltc:text>Source: 合肥人口来源 | As-of: 2020 | URL: https://tjj.wuhu.gov.cn/tjxx/tjfx/8282011.html | Accessed: 2026-08-16 | Notes: 等级及排名据2025第一财经榜单；2020年七普常住人口；住建部2022年城市建设统计年鉴表2-2第253行列示同一城市口径的城区人口（含表列城区暂住人口）650.4万人、建成区面积506.6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20" dT="2026-08-16T18:28:29.451" personId="{C4087E82-3962-4D19-9A27-07F0F632D540}" id="{30AA7C50-2105-3C3C-8FF2-9285FE851C8F}">
    <xltc:text>Source: 合肥城区人口来源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253行列示同一城市口径的城区人口（含表列城区暂住人口）650.4万人、建成区面积506.6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20" dT="2026-08-16T18:28:29.451" personId="{C4087E82-3962-4D19-9A27-07F0F632D540}" id="{91C0361F-852C-44B0-ACBB-BD72A2375637}">
    <xltc:text>Source: 合肥建成区来源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253行列示同一城市口径的城区人口（含表列城区暂住人口）650.4万人、建成区面积506.6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21" dT="2026-08-16T18:28:29.451" personId="{C4087E82-3962-4D19-9A27-07F0F632D540}" id="{2A740221-0EA3-523B-9C1B-8C9275FECE13}">
    <xltc:text>Source: Yicai New First-Tier Cities Institute: 2025 Ranking of Cities' Business Attractiveness | As-of: 2025 | URL: https://www.smg.cn/review/mobile/news/202505/0166469.html | Accessed: 2026-08-16 | Notes: 青岛等级及排名</xltc:text>
  </xltc:threadedComment>
  <xltc:threadedComment ref="G21" dT="2026-08-16T18:28:29.451" personId="{C4087E82-3962-4D19-9A27-07F0F632D540}" id="{40FAAB40-302E-1495-CBEC-2C023370E2EB}">
    <xltc:text>Source: 青岛人口来源 | As-of: 2020 | URL: https://tjj.shandong.gov.cn/art/2021/5/21/art_6293_10287511.html | Accessed: 2026-08-16 | Notes: 等级及排名据2025第一财经榜单；2020年七普常住人口；住建部2022年城市建设统计年鉴表2-2第325行列示同一城市口径的城区人口（含表列城区暂住人口）583.91万人、建成区面积761.52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21" dT="2026-08-16T18:28:29.451" personId="{C4087E82-3962-4D19-9A27-07F0F632D540}" id="{27D2C3D2-8C1C-4AEE-6A4E-DE7DAB680F16}">
    <xltc:text>Source: 青岛城区人口来源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325行列示同一城市口径的城区人口（含表列城区暂住人口）583.91万人、建成区面积761.52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21" dT="2026-08-16T18:28:29.452" personId="{C4087E82-3962-4D19-9A27-07F0F632D540}" id="{16C8FB69-5B5A-4F09-203E-41612926EC78}">
    <xltc:text>Source: 青岛建成区来源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325行列示同一城市口径的城区人口（含表列城区暂住人口）583.91万人、建成区面积761.52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22" dT="2026-08-16T18:28:29.452" personId="{C4087E82-3962-4D19-9A27-07F0F632D540}" id="{D08308E9-08E7-08DB-A836-BB1BDA66B2ED}">
    <xltc:text>Source: Yicai New First-Tier Cities Institute: 2025 Ranking of Cities' Business Attractiveness | As-of: 2025 | URL: https://www.smg.cn/review/mobile/news/202505/0166469.html | Accessed: 2026-08-16 | Notes: 东莞等级及排名</xltc:text>
  </xltc:threadedComment>
  <xltc:threadedComment ref="G22" dT="2026-08-16T18:28:29.452" personId="{C4087E82-3962-4D19-9A27-07F0F632D540}" id="{6AB2F0F3-D59E-777A-D40F-7C24DF7E83F1}">
    <xltc:text>Source: 东莞人口来源 | As-of: 2020 | URL: https://stats.gd.gov.cn/attachment/0/421/421309/3283428.pdf | Accessed: 2026-08-16 | Notes: 等级及排名据2025第一财经榜单；2020年七普常住人口；住建部2022年城市建设统计年鉴表2-2第513行列示同一城市口径的城区人口（含表列城区暂住人口）1082.44万人、建成区面积1194.31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22" dT="2026-08-16T18:28:29.452" personId="{C4087E82-3962-4D19-9A27-07F0F632D540}" id="{109F5241-E50A-DEF5-F895-8C4ABD03E49D}">
    <xltc:text>Source: 东莞城区人口来源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513行列示同一城市口径的城区人口（含表列城区暂住人口）1082.44万人、建成区面积1194.31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22" dT="2026-08-16T18:28:29.452" personId="{C4087E82-3962-4D19-9A27-07F0F632D540}" id="{1CC0C9D9-EDE8-7C4D-23BC-A681F16AE7F5}">
    <xltc:text>Source: 东莞建成区来源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513行列示同一城市口径的城区人口（含表列城区暂住人口）1082.44万人、建成区面积1194.31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23" dT="2026-08-16T18:28:29.452" personId="{C4087E82-3962-4D19-9A27-07F0F632D540}" id="{83694C7E-AC01-B2F7-8C92-DE48B00D4E59}">
    <xltc:text>Source: Yicai New First-Tier Cities Institute: 2025 Ranking of Cities' Business Attractiveness | As-of: 2025 | URL: https://www.smg.cn/review/mobile/news/202505/0166469.html | Accessed: 2026-08-16 | Notes: 宁波等级及排名</xltc:text>
  </xltc:threadedComment>
  <xltc:threadedComment ref="G23" dT="2026-08-16T18:28:29.452" personId="{C4087E82-3962-4D19-9A27-07F0F632D540}" id="{A0FE1F7D-426E-47F5-9356-FDF990F29008}">
    <xltc:text>Source: 宁波人口来源 | As-of: 2020 | URL: https://zjjcmspublic.oss-cn-hangzhou-zwynet-d01-a.internet.cloud.zj.gov.cn/jcms_files/jcms1/web3077/site/flash/tjj/Reports1/%E6%B5%99%E6%B1%9F%E4%BA%BA%E6%99%AE2020%E5%85%89%E7%9B%98/zk/html/fu04.pdf | Accessed: 2026-08-16 | Notes: 等级及排名据2025第一财经榜单；2020年七普常住人口；住建部2022年城市建设统计年鉴表2-2第223行列示同一城市口径的城区人口（含表列城区暂住人口）367.72万人、建成区面积397.4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23" dT="2026-08-16T18:28:29.452" personId="{C4087E82-3962-4D19-9A27-07F0F632D540}" id="{2463444F-2A43-4579-5B6B-DDBEC9A72470}">
    <xltc:text>Source: 宁波城区人口来源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223行列示同一城市口径的城区人口（含表列城区暂住人口）367.72万人、建成区面积397.4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23" dT="2026-08-16T18:28:29.452" personId="{C4087E82-3962-4D19-9A27-07F0F632D540}" id="{81C7463D-A73A-E770-B8AC-E77893038B25}">
    <xltc:text>Source: 宁波建成区来源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223行列示同一城市口径的城区人口（含表列城区暂住人口）367.72万人、建成区面积397.4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24" dT="2026-08-16T18:28:29.452" personId="{C4087E82-3962-4D19-9A27-07F0F632D540}" id="{7F73B47C-90DE-BF15-8784-77EEEAD64EA0}">
    <xltc:text>Source: Yicai New First-Tier Cities Institute: 2025 Ranking of Cities' Business Attractiveness | As-of: 2025 | URL: https://www.smg.cn/review/mobile/news/202505/0166469.html | Accessed: 2026-08-16 | Notes: 佛山等级及排名</xltc:text>
  </xltc:threadedComment>
  <xltc:threadedComment ref="G24" dT="2026-08-16T18:28:29.452" personId="{C4087E82-3962-4D19-9A27-07F0F632D540}" id="{54A304F7-4C3A-1C13-6C9B-84CCB43CA645}">
    <xltc:text>Source: 佛山人口来源 | As-of: 2020 | URL: https://stats.gd.gov.cn/attachment/0/421/421309/3283428.pdf | Accessed: 2026-08-16 | Notes: 等级及排名据2025第一财经榜单；2020年七普常住人口；住建部2022年城市建设统计年鉴表2-2第486行列示同一城市口径的城区人口（含表列城区暂住人口）200.3万人、建成区面积163.82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24" dT="2026-08-16T18:28:29.452" personId="{C4087E82-3962-4D19-9A27-07F0F632D540}" id="{ECA82034-B967-8517-E709-D4764113E8AD}">
    <xltc:text>Source: 佛山城区人口来源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486行列示同一城市口径的城区人口（含表列城区暂住人口）200.3万人、建成区面积163.82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24" dT="2026-08-16T18:28:29.452" personId="{C4087E82-3962-4D19-9A27-07F0F632D540}" id="{31172145-33E3-611A-62CB-12060C7A915F}">
    <xltc:text>Source: 佛山建成区来源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486行列示同一城市口径的城区人口（含表列城区暂住人口）200.3万人、建成区面积163.82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25" dT="2026-08-16T18:28:29.452" personId="{C4087E82-3962-4D19-9A27-07F0F632D540}" id="{5A231464-78FB-1AD3-14C3-8390A6452BDF}">
    <xltc:text>Source: Yicai New First-Tier Cities Institute: 2025 Ranking of Cities' Business Attractiveness | As-of: 2025 | URL: https://www.smg.cn/review/mobile/news/202505/0166469.html | Accessed: 2026-08-16 | Notes: 济南等级及排名</xltc:text>
  </xltc:threadedComment>
  <xltc:threadedComment ref="G25" dT="2026-08-16T18:28:29.452" personId="{C4087E82-3962-4D19-9A27-07F0F632D540}" id="{39EF8025-2256-223C-67F0-B603EC65E45C}">
    <xltc:text>Source: 济南人口来源 | As-of: 2020 | URL: https://tjj.shandong.gov.cn/art/2021/5/21/art_6293_10287511.html | Accessed: 2026-08-16 | Notes: 等级及排名据2025第一财经榜单；2020年七普常住人口；住建部2022年城市建设统计年鉴表2-2第324行列示同一城市口径的城区人口（含表列城区暂住人口）662.8万人、建成区面积805.82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25" dT="2026-08-16T18:28:29.452" personId="{C4087E82-3962-4D19-9A27-07F0F632D540}" id="{A9B289F6-5333-0669-321A-1ADCFAADFE9E}">
    <xltc:text>Source: 济南城区人口来源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324行列示同一城市口径的城区人口（含表列城区暂住人口）662.8万人、建成区面积805.82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25" dT="2026-08-16T18:28:29.452" personId="{C4087E82-3962-4D19-9A27-07F0F632D540}" id="{C9A74F1E-63CC-4C16-1D2E-61E7AF24C070}">
    <xltc:text>Source: 济南建成区来源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324行列示同一城市口径的城区人口（含表列城区暂住人口）662.8万人、建成区面积805.82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26" dT="2026-08-16T18:28:29.452" personId="{C4087E82-3962-4D19-9A27-07F0F632D540}" id="{70C16FEF-C7DE-7648-30FF-8782E97D75DF}">
    <xltc:text>Source: Yicai New First-Tier Cities Institute: 2025 Ranking of Cities' Business Attractiveness | As-of: 2025 | URL: https://www.smg.cn/review/mobile/news/202505/0166469.html | Accessed: 2026-08-16 | Notes: 无锡等级及排名</xltc:text>
  </xltc:threadedComment>
  <xltc:threadedComment ref="G26" dT="2026-08-16T18:28:29.452" personId="{C4087E82-3962-4D19-9A27-07F0F632D540}" id="{17279876-2373-D243-001C-70067361B57B}">
    <xltc:text>Source: 无锡人口来源 | As-of: 2020 | URL: https://www.js.gov.cn/art/2021/5/18/art_46548_206.html | Accessed: 2026-08-16 | Notes: 等级及排名据2025第一财经榜单；2020年七普常住人口；住建部2022年城市建设统计年鉴表2-2第187行列示同一城市口径的城区人口（含表列城区暂住人口）293.35万人、建成区面积359.72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26" dT="2026-08-16T18:28:29.452" personId="{C4087E82-3962-4D19-9A27-07F0F632D540}" id="{B374A037-F48C-555B-F691-63BADAA07C24}">
    <xltc:text>Source: 无锡城区人口来源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187行列示同一城市口径的城区人口（含表列城区暂住人口）293.35万人、建成区面积359.72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26" dT="2026-08-16T18:28:29.452" personId="{C4087E82-3962-4D19-9A27-07F0F632D540}" id="{11EB6032-EE18-BB53-F886-A54FF040068D}">
    <xltc:text>Source: 无锡建成区来源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187行列示同一城市口径的城区人口（含表列城区暂住人口）293.35万人、建成区面积359.72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27" dT="2026-08-16T18:28:29.452" personId="{C4087E82-3962-4D19-9A27-07F0F632D540}" id="{65566D3F-E0E5-6F48-D981-06ECE26FD95A}">
    <xltc:text>Source: Yicai New First-Tier Cities Institute: 2025 Ranking of Cities' Business Attractiveness | As-of: 2025 | URL: https://www.smg.cn/review/mobile/news/202505/0166469.html | Accessed: 2026-08-16 | Notes: 沈阳等级及排名</xltc:text>
  </xltc:threadedComment>
  <xltc:threadedComment ref="G27" dT="2026-08-16T18:28:29.452" personId="{C4087E82-3962-4D19-9A27-07F0F632D540}" id="{93044E4B-4F6D-AD85-B042-6997D85C4FEC}">
    <xltc:text>Source: 沈阳人口来源 | As-of: 2020 | URL: https://tjj.ln.gov.cn/tjj/gb/tjsj/tjgb/rkpcgb/2023110818030081821/index.shtml | Accessed: 2026-08-16 | Notes: 等级及排名据2025第一财经榜单；2020年七普常住人口；住建部2022年城市建设统计年鉴表2-2第89行列示同一城市口径的城区人口（含表列城区暂住人口）600万人、建成区面积573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27" dT="2026-08-16T18:28:29.452" personId="{C4087E82-3962-4D19-9A27-07F0F632D540}" id="{47AA5B2D-DE61-E1E3-8762-9966DFF8A000}">
    <xltc:text>Source: 沈阳城区人口来源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89行列示同一城市口径的城区人口（含表列城区暂住人口）600万人、建成区面积573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27" dT="2026-08-16T18:28:29.452" personId="{C4087E82-3962-4D19-9A27-07F0F632D540}" id="{C395D381-3DDE-3D84-E0CB-00174EF9C8D7}">
    <xltc:text>Source: 沈阳建成区来源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89行列示同一城市口径的城区人口（含表列城区暂住人口）600万人、建成区面积573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28" dT="2026-08-16T18:28:29.452" personId="{C4087E82-3962-4D19-9A27-07F0F632D540}" id="{67BDA2F8-76B5-3666-8492-9BD2A6EC8468}">
    <xltc:text>Source: Yicai New First-Tier Cities Institute: 2025 Ranking of Cities' Business Attractiveness | As-of: 2025 | URL: https://www.smg.cn/review/mobile/news/202505/0166469.html | Accessed: 2026-08-16 | Notes: 昆明等级及排名</xltc:text>
  </xltc:threadedComment>
  <xltc:threadedComment ref="G28" dT="2026-08-16T18:28:29.452" personId="{C4087E82-3962-4D19-9A27-07F0F632D540}" id="{804086A4-CA7D-7EF8-80B6-AAD05D8FF198}">
    <xltc:text>Source: 昆明人口来源 | As-of: 2020 | URL: https://stats.yn.gov.cn/zwgk/zfxxgk/fdzdgknr/tjsj/sjjd/202105/t20210517_1204476.html | Accessed: 2026-08-16 | Notes: 等级及排名据2025第一财经榜单；2020年七普常住人口；住建部2022年城市建设统计年鉴表2-2第612行列示同一城市口径的城区人口（含表列城区暂住人口）467.52万人、建成区面积483.27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28" dT="2026-08-16T18:28:29.452" personId="{C4087E82-3962-4D19-9A27-07F0F632D540}" id="{CE4F22F7-BBEC-6F36-1FC6-2DEB6AE79828}">
    <xltc:text>Source: 昆明城区人口来源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612行列示同一城市口径的城区人口（含表列城区暂住人口）467.52万人、建成区面积483.27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28" dT="2026-08-16T18:28:29.452" personId="{C4087E82-3962-4D19-9A27-07F0F632D540}" id="{E2B06D3D-0E01-7071-EA64-617EEFA869A5}">
    <xltc:text>Source: 昆明建成区来源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612行列示同一城市口径的城区人口（含表列城区暂住人口）467.52万人、建成区面积483.27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29" dT="2026-08-16T18:28:29.452" personId="{C4087E82-3962-4D19-9A27-07F0F632D540}" id="{B67935E8-02E1-E5AF-7635-8496C0A94F98}">
    <xltc:text>Source: Yicai New First-Tier Cities Institute: 2025 Ranking of Cities' Business Attractiveness | As-of: 2025 | URL: https://www.smg.cn/review/mobile/news/202505/0166469.html | Accessed: 2026-08-16 | Notes: 福州等级及排名</xltc:text>
  </xltc:threadedComment>
  <xltc:threadedComment ref="G29" dT="2026-08-16T18:28:29.453" personId="{C4087E82-3962-4D19-9A27-07F0F632D540}" id="{4F23DBBB-1472-F58D-06F2-8BF04A706433}">
    <xltc:text>Source: 福州人口来源 | As-of: 2020 | URL: https://tjj.fujian.gov.cn/xxgk/tjgb/202105/t20210520_5598804.htm | Accessed: 2026-08-16 | Notes: 等级及排名据2025第一财经榜单；2020年七普常住人口；住建部2022年城市建设统计年鉴表2-2第279行列示同一城市口径的城区人口（含表列城区暂住人口）399.86万人、建成区面积410.02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29" dT="2026-08-16T18:28:29.453" personId="{C4087E82-3962-4D19-9A27-07F0F632D540}" id="{17FD6CE4-7D6D-74E8-D6DA-F167183B95A2}">
    <xltc:text>Source: 福州城区人口来源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279行列示同一城市口径的城区人口（含表列城区暂住人口）399.86万人、建成区面积410.02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29" dT="2026-08-16T18:28:29.453" personId="{C4087E82-3962-4D19-9A27-07F0F632D540}" id="{2720FC46-AE03-856C-4EAB-39CAEB3BEE25}">
    <xltc:text>Source: 福州建成区来源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279行列示同一城市口径的城区人口（含表列城区暂住人口）399.86万人、建成区面积410.02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30" dT="2026-08-16T18:28:29.453" personId="{C4087E82-3962-4D19-9A27-07F0F632D540}" id="{7E26864A-1C0F-3AA2-099A-C8C5A20894A2}">
    <xltc:text>Source: Yicai New First-Tier Cities Institute: 2025 Ranking of Cities' Business Attractiveness | As-of: 2025 | URL: https://www.smg.cn/review/mobile/news/202505/0166469.html | Accessed: 2026-08-16 | Notes: 厦门等级及排名</xltc:text>
  </xltc:threadedComment>
  <xltc:threadedComment ref="G30" dT="2026-08-16T18:28:29.453" personId="{C4087E82-3962-4D19-9A27-07F0F632D540}" id="{F08FD641-9335-A6F2-9D03-AE337988D9F1}">
    <xltc:text>Source: 厦门人口来源 | As-of: 2020 | URL: https://tjj.fujian.gov.cn/xxgk/tjgb/202105/t20210520_5598804.htm | Accessed: 2026-08-16 | Notes: 等级及排名据2025第一财经榜单；2020年七普常住人口；住建部2022年城市建设统计年鉴表2-2第281行列示同一城市口径的城区人口（含表列城区暂住人口）410.8万人、建成区面积464.77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30" dT="2026-08-16T18:28:29.453" personId="{C4087E82-3962-4D19-9A27-07F0F632D540}" id="{787950FD-AAF6-9B03-4F02-E1413C611AA8}">
    <xltc:text>Source: 厦门城区人口来源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281行列示同一城市口径的城区人口（含表列城区暂住人口）410.8万人、建成区面积464.77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30" dT="2026-08-16T18:28:29.453" personId="{C4087E82-3962-4D19-9A27-07F0F632D540}" id="{832FC2DE-7A98-76CC-7097-06A417C4ECB9}">
    <xltc:text>Source: 厦门建成区来源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281行列示同一城市口径的城区人口（含表列城区暂住人口）410.8万人、建成区面积464.77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31" dT="2026-08-16T18:28:29.453" personId="{C4087E82-3962-4D19-9A27-07F0F632D540}" id="{69F5BB66-0BD2-4851-27E4-8E348E52FF22}">
    <xltc:text>Source: Yicai New First-Tier Cities Institute: 2025 Ranking of Cities' Business Attractiveness | As-of: 2025 | URL: https://www.smg.cn/review/mobile/news/202505/0166469.html | Accessed: 2026-08-16 | Notes: 温州等级及排名</xltc:text>
  </xltc:threadedComment>
  <xltc:threadedComment ref="G31" dT="2026-08-16T18:28:29.453" personId="{C4087E82-3962-4D19-9A27-07F0F632D540}" id="{A9502770-FED5-0022-4DE5-E9A39EA5A9AA}">
    <xltc:text>Source: 温州人口来源 | As-of: 2020 | URL: https://zjjcmspublic.oss-cn-hangzhou-zwynet-d01-a.internet.cloud.zj.gov.cn/jcms_files/jcms1/web3077/site/flash/tjj/Reports1/%E6%B5%99%E6%B1%9F%E4%BA%BA%E6%99%AE2020%E5%85%89%E7%9B%98/zk/html/fu04.pdf | Accessed: 2026-08-16 | Notes: 等级及排名据2025第一财经榜单；2020年七普常住人口；住建部2022年城市建设统计年鉴表2-2第226行列示同一城市口径的城区人口（含表列城区暂住人口）262.36万人、建成区面积283.21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31" dT="2026-08-16T18:28:29.453" personId="{C4087E82-3962-4D19-9A27-07F0F632D540}" id="{366A3C75-640D-1CEA-A62E-AAF4187071BD}">
    <xltc:text>Source: 温州城区人口来源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226行列示同一城市口径的城区人口（含表列城区暂住人口）262.36万人、建成区面积283.21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31" dT="2026-08-16T18:28:29.453" personId="{C4087E82-3962-4D19-9A27-07F0F632D540}" id="{AD127AEB-A6E4-1BBA-D4DA-B5BCBB32A26F}">
    <xltc:text>Source: 温州建成区来源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226行列示同一城市口径的城区人口（含表列城区暂住人口）262.36万人、建成区面积283.21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32" dT="2026-08-16T18:28:29.453" personId="{C4087E82-3962-4D19-9A27-07F0F632D540}" id="{714B197F-1083-CCA7-4845-CB4B06112449}">
    <xltc:text>Source: Yicai New First-Tier Cities Institute: 2025 Ranking of Cities' Business Attractiveness | As-of: 2025 | URL: https://www.smg.cn/review/mobile/news/202505/0166469.html | Accessed: 2026-08-16 | Notes: 石家庄等级及排名</xltc:text>
  </xltc:threadedComment>
  <xltc:threadedComment ref="G32" dT="2026-08-16T18:28:29.453" personId="{C4087E82-3962-4D19-9A27-07F0F632D540}" id="{108667FF-1395-235C-C67B-524A3761F0C2}">
    <xltc:text>Source: 石家庄人口来源 | As-of: 2020 | URL: https://tjj.sjz.gov.cn/columns/940d701f-5e56-4f5d-9ece-7968f6354993/202105/31/d72c2a6d-f9f9-486d-b378-f566b9c7ed21.html | Accessed: 2026-08-16 | Notes: 等级及排名据2025第一财经榜单；2020年七普常住人口；住建部2022年城市建设统计年鉴表2-2第12行列示同一城市口径的城区人口（含表列城区暂住人口）354.85万人、建成区面积334.52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32" dT="2026-08-16T18:28:29.453" personId="{C4087E82-3962-4D19-9A27-07F0F632D540}" id="{2FFEF01E-D534-1EBD-BB2C-7B868A43BA2F}">
    <xltc:text>Source: 石家庄城区人口来源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12行列示同一城市口径的城区人口（含表列城区暂住人口）354.85万人、建成区面积334.52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32" dT="2026-08-16T18:28:29.453" personId="{C4087E82-3962-4D19-9A27-07F0F632D540}" id="{D9AEA6A6-D95A-E26D-791D-50515517CD1B}">
    <xltc:text>Source: 石家庄建成区来源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12行列示同一城市口径的城区人口（含表列城区暂住人口）354.85万人、建成区面积334.52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33" dT="2026-08-16T18:28:29.453" personId="{C4087E82-3962-4D19-9A27-07F0F632D540}" id="{031A3052-E157-A525-2D95-E0B8493B6C53}">
    <xltc:text>Source: Yicai New First-Tier Cities Institute: 2025 Ranking of Cities' Business Attractiveness | As-of: 2025 | URL: https://www.smg.cn/review/mobile/news/202505/0166469.html | Accessed: 2026-08-16 | Notes: 大连等级及排名</xltc:text>
  </xltc:threadedComment>
  <xltc:threadedComment ref="G33" dT="2026-08-16T18:28:29.453" personId="{C4087E82-3962-4D19-9A27-07F0F632D540}" id="{43387E6C-6E7D-5D78-9A79-98043C8C85B9}">
    <xltc:text>Source: 大连人口来源 | As-of: 2020 | URL: https://tjj.ln.gov.cn/tjj/gb/tjsj/tjgb/rkpcgb/2023110818030081821/index.shtml | Accessed: 2026-08-16 | Notes: 等级及排名据2025第一财经榜单；2020年七普常住人口；住建部2022年城市建设统计年鉴表2-2第91行列示同一城市口径的城区人口（含表列城区暂住人口）393.7万人、建成区面积444.04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33" dT="2026-08-16T18:28:29.453" personId="{C4087E82-3962-4D19-9A27-07F0F632D540}" id="{803690BF-73F0-ACF7-B063-C79775B2D4C3}">
    <xltc:text>Source: 大连城区人口来源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91行列示同一城市口径的城区人口（含表列城区暂住人口）393.7万人、建成区面积444.04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33" dT="2026-08-16T18:28:29.453" personId="{C4087E82-3962-4D19-9A27-07F0F632D540}" id="{0D1E936C-9F88-4F18-DE3F-A7F49AF81B13}">
    <xltc:text>Source: 大连建成区来源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91行列示同一城市口径的城区人口（含表列城区暂住人口）393.7万人、建成区面积444.04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34" dT="2026-08-16T18:28:29.453" personId="{C4087E82-3962-4D19-9A27-07F0F632D540}" id="{F879D311-8462-4E0C-4269-6F6CF4EEF25F}">
    <xltc:text>Source: Yicai New First-Tier Cities Institute: 2025 Ranking of Cities' Business Attractiveness | As-of: 2025 | URL: https://www.smg.cn/review/mobile/news/202505/0166469.html | Accessed: 2026-08-16 | Notes: 哈尔滨等级及排名</xltc:text>
  </xltc:threadedComment>
  <xltc:threadedComment ref="G34" dT="2026-08-16T18:28:29.453" personId="{C4087E82-3962-4D19-9A27-07F0F632D540}" id="{AEDF2DC1-2291-EBE6-5CC1-0FD4D43B76C4}">
    <xltc:text>Source: 哈尔滨人口来源 | As-of: 2020 | URL: https://tjj.hlj.gov.cn/tjj/c106780/202105/c00_30325030.shtml | Accessed: 2026-08-16 | Notes: 等级及排名据2025第一财经榜单；2020年七普常住人口；住建部2022年城市建设统计年鉴表2-2第151行列示同一城市口径的城区人口（含表列城区暂住人口）498.76万人、建成区面积500.44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34" dT="2026-08-16T18:28:29.453" personId="{C4087E82-3962-4D19-9A27-07F0F632D540}" id="{60AE37DC-8294-7955-E54A-BEAA88F9F1FA}">
    <xltc:text>Source: 哈尔滨城区人口来源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151行列示同一城市口径的城区人口（含表列城区暂住人口）498.76万人、建成区面积500.44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34" dT="2026-08-16T18:28:29.453" personId="{C4087E82-3962-4D19-9A27-07F0F632D540}" id="{22156FDB-2A92-44A7-0305-2E0AF8A43604}">
    <xltc:text>Source: 哈尔滨建成区来源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151行列示同一城市口径的城区人口（含表列城区暂住人口）498.76万人、建成区面积500.44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35" dT="2026-08-16T18:28:29.453" personId="{C4087E82-3962-4D19-9A27-07F0F632D540}" id="{7F7F9C15-6116-3F3A-310D-FA61DA66B7C9}">
    <xltc:text>Source: Yicai New First-Tier Cities Institute: 2025 Ranking of Cities' Business Attractiveness | As-of: 2025 | URL: https://www.smg.cn/review/mobile/news/202505/0166469.html | Accessed: 2026-08-16 | Notes: 金华等级及排名</xltc:text>
  </xltc:threadedComment>
  <xltc:threadedComment ref="G35" dT="2026-08-16T18:28:29.454" personId="{C4087E82-3962-4D19-9A27-07F0F632D540}" id="{5B8B562B-127C-ADE7-F1DD-8B001DC78B49}">
    <xltc:text>Source: 金华人口来源 | As-of: 2020 | URL: https://zjjcmspublic.oss-cn-hangzhou-zwynet-d01-a.internet.cloud.zj.gov.cn/jcms_files/jcms1/web3077/site/flash/tjj/Reports1/%E6%B5%99%E6%B1%9F%E4%BA%BA%E6%99%AE2020%E5%85%89%E7%9B%98/zk/html/fu04.pdf | Accessed: 2026-08-16 | Notes: 等级及排名据2025第一财经榜单；2020年七普常住人口；住建部2022年城市建设统计年鉴表2-2第238行列示同一城市口径的城区人口（含表列城区暂住人口）100.75万人、建成区面积115.93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35" dT="2026-08-16T18:28:29.454" personId="{C4087E82-3962-4D19-9A27-07F0F632D540}" id="{2EB7FBC0-3E30-14EE-E578-BECE50F52538}">
    <xltc:text>Source: 金华城区人口来源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238行列示同一城市口径的城区人口（含表列城区暂住人口）100.75万人、建成区面积115.93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35" dT="2026-08-16T18:28:29.454" personId="{C4087E82-3962-4D19-9A27-07F0F632D540}" id="{C6E91777-5818-12A1-405B-691E66B042AC}">
    <xltc:text>Source: 金华建成区来源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238行列示同一城市口径的城区人口（含表列城区暂住人口）100.75万人、建成区面积115.93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36" dT="2026-08-16T18:28:29.454" personId="{C4087E82-3962-4D19-9A27-07F0F632D540}" id="{FD5E058D-3477-0B82-CF5F-A164EB2F3340}">
    <xltc:text>Source: Yicai New First-Tier Cities Institute: 2025 Ranking of Cities' Business Attractiveness | As-of: 2025 | URL: https://www.smg.cn/review/mobile/news/202505/0166469.html | Accessed: 2026-08-16 | Notes: 泉州等级及排名</xltc:text>
  </xltc:threadedComment>
  <xltc:threadedComment ref="G36" dT="2026-08-16T18:28:29.454" personId="{C4087E82-3962-4D19-9A27-07F0F632D540}" id="{738EF36E-F387-181A-DB8E-214ADD3087CB}">
    <xltc:text>Source: 泉州人口来源 | As-of: 2020 | URL: https://tjj.fujian.gov.cn/xxgk/tjgb/202105/t20210520_5598804.htm | Accessed: 2026-08-16 | Notes: 等级及排名据2025第一财经榜单；2020年七普常住人口；住建部2022年城市建设统计年鉴表2-2第285行列示同一城市口径的城区人口（含表列城区暂住人口）135.16万人、建成区面积230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36" dT="2026-08-16T18:28:29.454" personId="{C4087E82-3962-4D19-9A27-07F0F632D540}" id="{AAA1D214-84C5-A4D7-A294-C2445530CAA4}">
    <xltc:text>Source: 泉州城区人口来源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285行列示同一城市口径的城区人口（含表列城区暂住人口）135.16万人、建成区面积230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36" dT="2026-08-16T18:28:29.454" personId="{C4087E82-3962-4D19-9A27-07F0F632D540}" id="{FC02656F-FD0B-09B0-4F45-26AA1669E1C8}">
    <xltc:text>Source: 泉州建成区来源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285行列示同一城市口径的城区人口（含表列城区暂住人口）135.16万人、建成区面积230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37" dT="2026-08-16T18:28:29.454" personId="{C4087E82-3962-4D19-9A27-07F0F632D540}" id="{36C0C8C4-8517-46B5-6F22-6BCAC09DEB94}">
    <xltc:text>Source: Yicai New First-Tier Cities Institute: 2025 Ranking of Cities' Business Attractiveness | As-of: 2025 | URL: https://www.smg.cn/review/mobile/news/202505/0166469.html | Accessed: 2026-08-16 | Notes: 南宁等级及排名</xltc:text>
  </xltc:threadedComment>
  <xltc:threadedComment ref="G37" dT="2026-08-16T18:28:29.454" personId="{C4087E82-3962-4D19-9A27-07F0F632D540}" id="{719CEA62-A9EA-CB37-A1A8-CC6530126965}">
    <xltc:text>Source: 南宁人口来源 | As-of: 2020 | URL: https://tjj.gxzf.gov.cn/syyw/t8851196.shtml | Accessed: 2026-08-16 | Notes: 等级及排名据2025第一财经榜单；2020年七普常住人口；住建部2022年城市建设统计年鉴表2-2第521行列示同一城市口径的城区人口（含表列城区暂住人口）420.74万人、建成区面积442.52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37" dT="2026-08-16T18:28:29.454" personId="{C4087E82-3962-4D19-9A27-07F0F632D540}" id="{9BCB9AEF-C491-F960-FFA2-B6B4F8CFD320}">
    <xltc:text>Source: 南宁城区人口来源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521行列示同一城市口径的城区人口（含表列城区暂住人口）420.74万人、建成区面积442.52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37" dT="2026-08-16T18:28:29.454" personId="{C4087E82-3962-4D19-9A27-07F0F632D540}" id="{0B8317D2-2C6D-61C7-9364-8886E0BBAF07}">
    <xltc:text>Source: 南宁建成区来源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521行列示同一城市口径的城区人口（含表列城区暂住人口）420.74万人、建成区面积442.52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38" dT="2026-08-16T18:28:29.454" personId="{C4087E82-3962-4D19-9A27-07F0F632D540}" id="{31EB9090-AFB4-9DD8-AE17-7FB1676D8440}">
    <xltc:text>Source: Yicai New First-Tier Cities Institute: 2025 Ranking of Cities' Business Attractiveness | As-of: 2025 | URL: https://www.smg.cn/review/mobile/news/202505/0166469.html | Accessed: 2026-08-16 | Notes: 长春等级及排名</xltc:text>
  </xltc:threadedComment>
  <xltc:threadedComment ref="G38" dT="2026-08-16T18:28:29.454" personId="{C4087E82-3962-4D19-9A27-07F0F632D540}" id="{A65571F1-7D1C-18A6-A878-C1E01873BEAC}">
    <xltc:text>Source: 长春人口来源 | As-of: 2020 | URL: https://tjj.jl.gov.cn/tjsj/qwfb/202105/t20210524_8079098.html | Accessed: 2026-08-16 | Notes: 等级及排名据2025第一财经榜单；2020年七普常住人口；住建部2022年城市建设统计年鉴表2-2第121行列示同一城市口径的城区人口（含表列城区暂住人口）481.42万人、建成区面积551.38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38" dT="2026-08-16T18:28:29.454" personId="{C4087E82-3962-4D19-9A27-07F0F632D540}" id="{E6E7A6C8-CDD7-E8E7-D731-978A916138B3}">
    <xltc:text>Source: 长春城区人口来源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121行列示同一城市口径的城区人口（含表列城区暂住人口）481.42万人、建成区面积551.38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38" dT="2026-08-16T18:28:29.454" personId="{C4087E82-3962-4D19-9A27-07F0F632D540}" id="{B75E95B1-99CC-B0BF-11BF-AC9E9883294E}">
    <xltc:text>Source: 长春建成区来源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121行列示同一城市口径的城区人口（含表列城区暂住人口）481.42万人、建成区面积551.38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39" dT="2026-08-16T18:28:29.454" personId="{C4087E82-3962-4D19-9A27-07F0F632D540}" id="{27CBEC0C-386C-20D3-1ACB-AC8324C9B9AF}">
    <xltc:text>Source: Yicai New First-Tier Cities Institute: 2025 Ranking of Cities' Business Attractiveness | As-of: 2025 | URL: https://www.smg.cn/review/mobile/news/202505/0166469.html | Accessed: 2026-08-16 | Notes: 常州等级及排名</xltc:text>
  </xltc:threadedComment>
  <xltc:threadedComment ref="G39" dT="2026-08-16T18:28:29.454" personId="{C4087E82-3962-4D19-9A27-07F0F632D540}" id="{37E48816-9A36-524C-A31C-124E9B14C947}">
    <xltc:text>Source: 常州人口来源 | As-of: 2020 | URL: https://www.js.gov.cn/art/2021/5/18/art_46548_206.html | Accessed: 2026-08-16 | Notes: 等级及排名据2025第一财经榜单；2020年七普常住人口；住建部2022年城市建设统计年鉴表2-2第193行列示同一城市口径的城区人口（含表列城区暂住人口）214.94万人、建成区面积278.74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39" dT="2026-08-16T18:28:29.454" personId="{C4087E82-3962-4D19-9A27-07F0F632D540}" id="{9935B803-67D9-48F7-4B01-77FF44B924F6}">
    <xltc:text>Source: 常州城区人口来源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193行列示同一城市口径的城区人口（含表列城区暂住人口）214.94万人、建成区面积278.74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39" dT="2026-08-16T18:28:29.454" personId="{C4087E82-3962-4D19-9A27-07F0F632D540}" id="{65DC9DB4-B559-A9FA-17E4-1C5F89491C5F}">
    <xltc:text>Source: 常州建成区来源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193行列示同一城市口径的城区人口（含表列城区暂住人口）214.94万人、建成区面积278.74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40" dT="2026-08-16T18:28:29.454" personId="{C4087E82-3962-4D19-9A27-07F0F632D540}" id="{0189306B-87FB-DCAF-40DF-09FE374C9505}">
    <xltc:text>Source: Yicai New First-Tier Cities Institute: 2025 Ranking of Cities' Business Attractiveness | As-of: 2025 | URL: https://www.smg.cn/review/mobile/news/202505/0166469.html | Accessed: 2026-08-16 | Notes: 南昌等级及排名</xltc:text>
  </xltc:threadedComment>
  <xltc:threadedComment ref="G40" dT="2026-08-16T18:28:29.454" personId="{C4087E82-3962-4D19-9A27-07F0F632D540}" id="{C7C16472-E373-9E11-87A0-28D61018F4ED}">
    <xltc:text>Source: 南昌人口来源 | As-of: 2020 | URL: https://nchdz.nc.gov.cn/ncgxq/mtbd/202106/675f33a5cdfa4f8982f68e370716aa24.shtml | Accessed: 2026-08-16 | Notes: 等级及排名据2025第一财经榜单；2020年七普常住人口；住建部2022年城市建设统计年鉴表2-2第300行列示同一城市口径的城区人口（含表列城区暂住人口）332.37万人、建成区面积376.74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40" dT="2026-08-16T18:28:29.454" personId="{C4087E82-3962-4D19-9A27-07F0F632D540}" id="{5AC84201-7AE3-4FEF-B5E1-9CC5EC3C769B}">
    <xltc:text>Source: 南昌城区人口来源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300行列示同一城市口径的城区人口（含表列城区暂住人口）332.37万人、建成区面积376.74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40" dT="2026-08-16T18:28:29.454" personId="{C4087E82-3962-4D19-9A27-07F0F632D540}" id="{B279E56C-BFAC-A6C3-94DA-9454DD5494A3}">
    <xltc:text>Source: 南昌建成区来源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300行列示同一城市口径的城区人口（含表列城区暂住人口）332.37万人、建成区面积376.74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41" dT="2026-08-16T18:28:29.454" personId="{C4087E82-3962-4D19-9A27-07F0F632D540}" id="{49DF0CD4-2A9A-F153-A1E5-DEFA6F8A6D07}">
    <xltc:text>Source: Yicai New First-Tier Cities Institute: 2025 Ranking of Cities' Business Attractiveness | As-of: 2025 | URL: https://www.smg.cn/review/mobile/news/202505/0166469.html | Accessed: 2026-08-16 | Notes: 南通等级及排名</xltc:text>
  </xltc:threadedComment>
  <xltc:threadedComment ref="G41" dT="2026-08-16T18:28:29.454" personId="{C4087E82-3962-4D19-9A27-07F0F632D540}" id="{342768AA-5187-96C1-5E3F-2AA950A62646}">
    <xltc:text>Source: 南通人口来源 | As-of: 2020 | URL: https://www.js.gov.cn/art/2021/5/18/art_46548_206.html | Accessed: 2026-08-16 | Notes: 等级及排名据2025第一财经榜单；2020年七普常住人口；住建部2022年城市建设统计年鉴表2-2第200行列示同一城市口径的城区人口（含表列城区暂住人口）220.95万人、建成区面积304.02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41" dT="2026-08-16T18:28:29.454" personId="{C4087E82-3962-4D19-9A27-07F0F632D540}" id="{881C839C-0B85-63A7-1AEC-A58E9A9E9474}">
    <xltc:text>Source: 南通城区人口来源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200行列示同一城市口径的城区人口（含表列城区暂住人口）220.95万人、建成区面积304.02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41" dT="2026-08-16T18:28:29.454" personId="{C4087E82-3962-4D19-9A27-07F0F632D540}" id="{ED2B4F4D-4079-9B81-CD10-B46172B4565B}">
    <xltc:text>Source: 南通建成区来源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200行列示同一城市口径的城区人口（含表列城区暂住人口）220.95万人、建成区面积304.02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42" dT="2026-08-16T18:28:29.454" personId="{C4087E82-3962-4D19-9A27-07F0F632D540}" id="{8ADDE227-5DA1-59A7-C893-D4BA52D9FE23}">
    <xltc:text>Source: Yicai New First-Tier Cities Institute: 2025 Ranking of Cities' Business Attractiveness | As-of: 2025 | URL: https://www.smg.cn/review/mobile/news/202505/0166469.html | Accessed: 2026-08-16 | Notes: 贵阳等级及排名</xltc:text>
  </xltc:threadedComment>
  <xltc:threadedComment ref="G42" dT="2026-08-16T18:28:29.454" personId="{C4087E82-3962-4D19-9A27-07F0F632D540}" id="{39F1630D-CAC4-AE8F-F775-38E9407C27F1}">
    <xltc:text>Source: 贵阳人口来源 | As-of: 2020 | URL: https://stjj.guizhou.gov.cn/tjsj/tjfbyjd/202109/t20210930_86400085.html | Accessed: 2026-08-16 | Notes: 等级及排名据2025第一财经榜单；2020年七普常住人口；住建部2022年城市建设统计年鉴表2-2第595行列示同一城市口径的城区人口（含表列城区暂住人口）297.5万人、建成区面积369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42" dT="2026-08-16T18:28:29.455" personId="{C4087E82-3962-4D19-9A27-07F0F632D540}" id="{679FFBD8-17E8-083D-3D26-937CEAD94B89}">
    <xltc:text>Source: 贵阳城区人口来源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595行列示同一城市口径的城区人口（含表列城区暂住人口）297.5万人、建成区面积369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42" dT="2026-08-16T18:28:29.455" personId="{C4087E82-3962-4D19-9A27-07F0F632D540}" id="{869438E3-C7D6-B952-9C92-4078A8D25BFA}">
    <xltc:text>Source: 贵阳建成区来源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595行列示同一城市口径的城区人口（含表列城区暂住人口）297.5万人、建成区面积369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43" dT="2026-08-16T18:28:29.455" personId="{C4087E82-3962-4D19-9A27-07F0F632D540}" id="{2935DE71-E36B-C9CE-3BC3-BD649CAD7164}">
    <xltc:text>Source: Yicai New First-Tier Cities Institute: 2025 Ranking of Cities' Business Attractiveness | As-of: 2025 | URL: https://www.smg.cn/review/mobile/news/202505/0166469.html | Accessed: 2026-08-16 | Notes: 嘉兴等级及排名</xltc:text>
  </xltc:threadedComment>
  <xltc:threadedComment ref="G43" dT="2026-08-16T18:28:29.455" personId="{C4087E82-3962-4D19-9A27-07F0F632D540}" id="{75D7F1AE-3A07-9082-5540-29E117952DE2}">
    <xltc:text>Source: 嘉兴人口来源 | As-of: 2020 | URL: https://zjjcmspublic.oss-cn-hangzhou-zwynet-d01-a.internet.cloud.zj.gov.cn/jcms_files/jcms1/web3077/site/flash/tjj/Reports1/%E6%B5%99%E6%B1%9F%E4%BA%BA%E6%99%AE2020%E5%85%89%E7%9B%98/zk/html/fu04.pdf | Accessed: 2026-08-16 | Notes: 等级及排名据2025第一财经榜单；2020年七普常住人口；住建部2022年城市建设统计年鉴表2-2第230行列示同一城市口径的城区人口（含表列城区暂住人口）93.58万人、建成区面积165.57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43" dT="2026-08-16T18:28:29.455" personId="{C4087E82-3962-4D19-9A27-07F0F632D540}" id="{EC6F9C53-9485-A96D-B700-728FE933013A}">
    <xltc:text>Source: 嘉兴城区人口来源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230行列示同一城市口径的城区人口（含表列城区暂住人口）93.58万人、建成区面积165.57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43" dT="2026-08-16T18:28:29.455" personId="{C4087E82-3962-4D19-9A27-07F0F632D540}" id="{3019F22A-CDDA-C5AD-1576-77D9B9DD9F53}">
    <xltc:text>Source: 嘉兴建成区来源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230行列示同一城市口径的城区人口（含表列城区暂住人口）93.58万人、建成区面积165.57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44" dT="2026-08-16T18:28:29.455" personId="{C4087E82-3962-4D19-9A27-07F0F632D540}" id="{ED673459-C20D-81B4-7252-F5F180308CEB}">
    <xltc:text>Source: Yicai New First-Tier Cities Institute: 2025 Ranking of Cities' Business Attractiveness | As-of: 2025 | URL: https://www.smg.cn/review/mobile/news/202505/0166469.html | Accessed: 2026-08-16 | Notes: 徐州等级及排名</xltc:text>
  </xltc:threadedComment>
  <xltc:threadedComment ref="G44" dT="2026-08-16T18:28:29.455" personId="{C4087E82-3962-4D19-9A27-07F0F632D540}" id="{3259B820-5EA7-58A9-A8BC-F269071D1375}">
    <xltc:text>Source: 徐州人口来源 | As-of: 2020 | URL: https://www.js.gov.cn/art/2021/5/18/art_46548_206.html | Accessed: 2026-08-16 | Notes: 等级及排名据2025第一财经榜单；2020年七普常住人口；住建部2022年城市建设统计年鉴表2-2第190行列示同一城市口径的城区人口（含表列城区暂住人口）212.01万人、建成区面积292.98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44" dT="2026-08-16T18:28:29.455" personId="{C4087E82-3962-4D19-9A27-07F0F632D540}" id="{007C1694-E0DF-790D-BF35-AC50642AE75A}">
    <xltc:text>Source: 徐州城区人口来源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190行列示同一城市口径的城区人口（含表列城区暂住人口）212.01万人、建成区面积292.98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44" dT="2026-08-16T18:28:29.455" personId="{C4087E82-3962-4D19-9A27-07F0F632D540}" id="{B083B99E-BAC0-C255-B796-705F18E612CF}">
    <xltc:text>Source: 徐州建成区来源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190行列示同一城市口径的城区人口（含表列城区暂住人口）212.01万人、建成区面积292.98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45" dT="2026-08-16T18:28:29.455" personId="{C4087E82-3962-4D19-9A27-07F0F632D540}" id="{10159C15-9954-D9BC-6F9C-A3E005483F41}">
    <xltc:text>Source: Yicai New First-Tier Cities Institute: 2025 Ranking of Cities' Business Attractiveness | As-of: 2025 | URL: https://www.smg.cn/review/mobile/news/202505/0166469.html | Accessed: 2026-08-16 | Notes: 惠州等级及排名</xltc:text>
  </xltc:threadedComment>
  <xltc:threadedComment ref="G45" dT="2026-08-16T18:28:29.455" personId="{C4087E82-3962-4D19-9A27-07F0F632D540}" id="{47C0D95B-665F-81D7-6F18-581BF4E51173}">
    <xltc:text>Source: 惠州人口来源 | As-of: 2020 | URL: https://stats.gd.gov.cn/attachment/0/421/421309/3283428.pdf | Accessed: 2026-08-16 | Notes: 等级及排名据2025第一财经榜单；2020年七普常住人口；住建部2022年城市建设统计年鉴表2-2第502行列示同一城市口径的城区人口（含表列城区暂住人口）262.68万人、建成区面积313.61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45" dT="2026-08-16T18:28:29.455" personId="{C4087E82-3962-4D19-9A27-07F0F632D540}" id="{CE31EEAA-BDF9-C915-BA15-4A69E3F27A1C}">
    <xltc:text>Source: 惠州城区人口来源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502行列示同一城市口径的城区人口（含表列城区暂住人口）262.68万人、建成区面积313.61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45" dT="2026-08-16T18:28:29.455" personId="{C4087E82-3962-4D19-9A27-07F0F632D540}" id="{CA278563-A7B5-FD83-BE94-9C0444084153}">
    <xltc:text>Source: 惠州建成区来源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502行列示同一城市口径的城区人口（含表列城区暂住人口）262.68万人、建成区面积313.61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46" dT="2026-08-16T18:28:29.455" personId="{C4087E82-3962-4D19-9A27-07F0F632D540}" id="{6F7550F0-2632-FEAF-4544-76CB7175A0DB}">
    <xltc:text>Source: Yicai New First-Tier Cities Institute: 2025 Ranking of Cities' Business Attractiveness | As-of: 2025 | URL: https://www.smg.cn/review/mobile/news/202505/0166469.html | Accessed: 2026-08-16 | Notes: 太原等级及排名</xltc:text>
  </xltc:threadedComment>
  <xltc:threadedComment ref="G46" dT="2026-08-16T18:28:29.455" personId="{C4087E82-3962-4D19-9A27-07F0F632D540}" id="{CB2312FA-2686-C54B-B7C8-770570B3FBE8}">
    <xltc:text>Source: 太原人口来源 | As-of: 2020 | URL: https://www.taiyuan.gov.cn/doc/2021/06/01/1096237.shtml | Accessed: 2026-08-16 | Notes: 等级及排名据2025第一财经榜单；2020年七普常住人口；住建部2022年城市建设统计年鉴表2-2第45行列示同一城市口径的城区人口（含表列城区暂住人口）405万人、建成区面积360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46" dT="2026-08-16T18:28:29.455" personId="{C4087E82-3962-4D19-9A27-07F0F632D540}" id="{36AA0F1E-66B6-9DE0-C70E-A0696C50EE5A}">
    <xltc:text>Source: 太原城区人口来源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45行列示同一城市口径的城区人口（含表列城区暂住人口）405万人、建成区面积360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46" dT="2026-08-16T18:28:29.455" personId="{C4087E82-3962-4D19-9A27-07F0F632D540}" id="{A89ECDBA-080D-AFCE-A6B7-72A6C8939AE2}">
    <xltc:text>Source: 太原建成区来源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45行列示同一城市口径的城区人口（含表列城区暂住人口）405万人、建成区面积360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47" dT="2026-08-16T18:28:29.455" personId="{C4087E82-3962-4D19-9A27-07F0F632D540}" id="{25ED249C-7129-E228-4902-C6082EFAF3E5}">
    <xltc:text>Source: Yicai New First-Tier Cities Institute: 2025 Ranking of Cities' Business Attractiveness | As-of: 2025 | URL: https://www.smg.cn/review/mobile/news/202505/0166469.html | Accessed: 2026-08-16 | Notes: 烟台等级及排名</xltc:text>
  </xltc:threadedComment>
  <xltc:threadedComment ref="G47" dT="2026-08-16T18:28:29.455" personId="{C4087E82-3962-4D19-9A27-07F0F632D540}" id="{7081514F-CCA2-C03C-154F-C2D90B53B48B}">
    <xltc:text>Source: 烟台人口来源 | As-of: 2020 | URL: https://tjj.shandong.gov.cn/art/2021/5/21/art_6293_10287511.html | Accessed: 2026-08-16 | Notes: 等级及排名据2025第一财经榜单；2020年七普常住人口；住建部2022年城市建设统计年鉴表2-2第333行列示同一城市口径的城区人口（含表列城区暂住人口）253.39万人、建成区面积397.7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47" dT="2026-08-16T18:28:29.455" personId="{C4087E82-3962-4D19-9A27-07F0F632D540}" id="{E7C9A23D-818B-9E89-12C5-3C2BC6A003C2}">
    <xltc:text>Source: 烟台城区人口来源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333行列示同一城市口径的城区人口（含表列城区暂住人口）253.39万人、建成区面积397.7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47" dT="2026-08-16T18:28:29.455" personId="{C4087E82-3962-4D19-9A27-07F0F632D540}" id="{26BE60DC-C017-B1D0-E11F-5B17F5D44EAB}">
    <xltc:text>Source: 烟台建成区来源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333行列示同一城市口径的城区人口（含表列城区暂住人口）253.39万人、建成区面积397.7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48" dT="2026-08-16T18:28:29.455" personId="{C4087E82-3962-4D19-9A27-07F0F632D540}" id="{BC25A821-35AB-0821-0B34-F49D1B29F56F}">
    <xltc:text>Source: Yicai New First-Tier Cities Institute: 2025 Ranking of Cities' Business Attractiveness | As-of: 2025 | URL: https://www.smg.cn/review/mobile/news/202505/0166469.html | Accessed: 2026-08-16 | Notes: 临沂等级及排名</xltc:text>
  </xltc:threadedComment>
  <xltc:threadedComment ref="G48" dT="2026-08-16T18:28:29.455" personId="{C4087E82-3962-4D19-9A27-07F0F632D540}" id="{BE18E6C2-C3F5-8DB2-4268-89398F6AA991}">
    <xltc:text>Source: 临沂人口来源 | As-of: 2020 | URL: https://tjj.shandong.gov.cn/art/2021/5/21/art_6293_10287511.html | Accessed: 2026-08-16 | Notes: 等级及排名据2025第一财经榜单；2020年七普常住人口；住建部2022年城市建设统计年鉴表2-2第357行列示同一城市口径的城区人口（含表列城区暂住人口）222.54万人、建成区面积264.85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48" dT="2026-08-16T18:28:29.455" personId="{C4087E82-3962-4D19-9A27-07F0F632D540}" id="{BAC94ECB-8E45-3363-23F7-B5218443F3E4}">
    <xltc:text>Source: 临沂城区人口来源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357行列示同一城市口径的城区人口（含表列城区暂住人口）222.54万人、建成区面积264.85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48" dT="2026-08-16T18:28:29.455" personId="{C4087E82-3962-4D19-9A27-07F0F632D540}" id="{B735D525-273A-76B9-EA17-157A0D9F097D}">
    <xltc:text>Source: 临沂建成区来源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357行列示同一城市口径的城区人口（含表列城区暂住人口）222.54万人、建成区面积264.85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49" dT="2026-08-16T18:28:29.455" personId="{C4087E82-3962-4D19-9A27-07F0F632D540}" id="{4E5D772B-1E1C-6074-3691-5FE18C49C176}">
    <xltc:text>Source: Yicai New First-Tier Cities Institute: 2025 Ranking of Cities' Business Attractiveness | As-of: 2025 | URL: https://www.smg.cn/review/mobile/news/202505/0166469.html | Accessed: 2026-08-16 | Notes: 保定等级及排名</xltc:text>
  </xltc:threadedComment>
  <xltc:threadedComment ref="G49" dT="2026-08-16T18:28:29.456" personId="{C4087E82-3962-4D19-9A27-07F0F632D540}" id="{C5FCAFA6-25D6-28AF-9CC3-5ED6F3FC94E7}">
    <xltc:text>Source: 保定人口来源 | As-of: 2020 | URL: https://www.baoding.gov.cn/content-173-312950.html | Accessed: 2026-08-16 | Notes: 等级及排名据2025第一财经榜单；2020年七普常住人口；住建部2022年城市建设统计年鉴表2-2第25行列示同一城市口径的城区人口（含表列城区暂住人口）197.35万人、建成区面积209.78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49" dT="2026-08-16T18:28:29.456" personId="{C4087E82-3962-4D19-9A27-07F0F632D540}" id="{9A5CF9DE-AC65-D634-F7E8-61C5D02F0AF0}">
    <xltc:text>Source: 保定城区人口来源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25行列示同一城市口径的城区人口（含表列城区暂住人口）197.35万人、建成区面积209.78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49" dT="2026-08-16T18:28:29.456" personId="{C4087E82-3962-4D19-9A27-07F0F632D540}" id="{1845B8DD-5223-31DF-EE75-94C7F06D59C3}">
    <xltc:text>Source: 保定建成区来源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25行列示同一城市口径的城区人口（含表列城区暂住人口）197.35万人、建成区面积209.78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50" dT="2026-08-16T18:28:29.456" personId="{C4087E82-3962-4D19-9A27-07F0F632D540}" id="{34A77D2D-2D08-F6EA-A401-7EF6EB03300C}">
    <xltc:text>Source: Yicai New First-Tier Cities Institute: 2025 Ranking of Cities' Business Attractiveness | As-of: 2025 | URL: https://www.smg.cn/review/mobile/news/202505/0166469.html | Accessed: 2026-08-16 | Notes: 台州等级及排名</xltc:text>
  </xltc:threadedComment>
  <xltc:threadedComment ref="G50" dT="2026-08-16T18:28:29.456" personId="{C4087E82-3962-4D19-9A27-07F0F632D540}" id="{08BFC352-F8A3-AED4-0EF1-C7A178724FFE}">
    <xltc:text>Source: 台州人口来源 | As-of: 2020 | URL: https://zjjcmspublic.oss-cn-hangzhou-zwynet-d01-a.internet.cloud.zj.gov.cn/jcms_files/jcms1/web3077/site/flash/tjj/Reports1/%E6%B5%99%E6%B1%9F%E4%BA%BA%E6%99%AE2020%E5%85%89%E7%9B%98/zk/html/fu04.pdf | Accessed: 2026-08-16 | Notes: 等级及排名据2025第一财经榜单；2020年七普常住人口；住建部2022年城市建设统计年鉴表2-2第246行列示同一城市口径的城区人口（含表列城区暂住人口）137.36万人、建成区面积159.5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50" dT="2026-08-16T18:28:29.456" personId="{C4087E82-3962-4D19-9A27-07F0F632D540}" id="{A5149427-32F9-8A50-7BE6-1D7A05EBD397}">
    <xltc:text>Source: 台州城区人口来源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246行列示同一城市口径的城区人口（含表列城区暂住人口）137.36万人、建成区面积159.5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50" dT="2026-08-16T18:28:29.456" personId="{C4087E82-3962-4D19-9A27-07F0F632D540}" id="{CE2654C3-56E4-9F46-3B5C-0AC5548C6B1D}">
    <xltc:text>Source: 台州建成区来源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246行列示同一城市口径的城区人口（含表列城区暂住人口）137.36万人、建成区面积159.5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51" dT="2026-08-16T18:28:29.456" personId="{C4087E82-3962-4D19-9A27-07F0F632D540}" id="{D8285C8E-E4C1-2187-A908-6E50A5F5A212}">
    <xltc:text>Source: Yicai New First-Tier Cities Institute: 2025 Ranking of Cities' Business Attractiveness | As-of: 2025 | URL: https://www.smg.cn/review/mobile/news/202505/0166469.html | Accessed: 2026-08-16 | Notes: 绍兴等级及排名</xltc:text>
  </xltc:threadedComment>
  <xltc:threadedComment ref="G51" dT="2026-08-16T18:28:29.456" personId="{C4087E82-3962-4D19-9A27-07F0F632D540}" id="{197A2B93-4B9A-11A6-7765-FB8C67034CE5}">
    <xltc:text>Source: 绍兴人口来源 | As-of: 2020 | URL: https://zjjcmspublic.oss-cn-hangzhou-zwynet-d01-a.internet.cloud.zj.gov.cn/jcms_files/jcms1/web3077/site/flash/tjj/Reports1/%E6%B5%99%E6%B1%9F%E4%BA%BA%E6%99%AE2020%E5%85%89%E7%9B%98/zk/html/fu04.pdf | Accessed: 2026-08-16 | Notes: 等级及排名据2025第一财经榜单；2020年七普常住人口；住建部2022年城市建设统计年鉴表2-2第235行列示同一城市口径的城区人口（含表列城区暂住人口）166.37万人、建成区面积266.07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51" dT="2026-08-16T18:28:29.456" personId="{C4087E82-3962-4D19-9A27-07F0F632D540}" id="{28EEAE51-6599-B7B5-47DB-35FB6EDE127A}">
    <xltc:text>Source: 绍兴城区人口来源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235行列示同一城市口径的城区人口（含表列城区暂住人口）166.37万人、建成区面积266.07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51" dT="2026-08-16T18:28:29.456" personId="{C4087E82-3962-4D19-9A27-07F0F632D540}" id="{9B8E473E-49D1-0D42-93B5-E1113604B9DC}">
    <xltc:text>Source: 绍兴建成区来源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235行列示同一城市口径的城区人口（含表列城区暂住人口）166.37万人、建成区面积266.07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52" dT="2026-08-16T18:28:29.456" personId="{C4087E82-3962-4D19-9A27-07F0F632D540}" id="{2F0AACAD-EFEE-E81A-D41A-8550D45088EB}">
    <xltc:text>Source: Yicai New First-Tier Cities Institute: 2025 Ranking of Cities' Business Attractiveness | As-of: 2025 | URL: https://www.smg.cn/review/mobile/news/202505/0166469.html | Accessed: 2026-08-16 | Notes: 珠海等级及排名</xltc:text>
  </xltc:threadedComment>
  <xltc:threadedComment ref="G52" dT="2026-08-16T18:28:29.456" personId="{C4087E82-3962-4D19-9A27-07F0F632D540}" id="{1C3CFC58-663F-21B8-5C0D-872993F160C7}">
    <xltc:text>Source: 珠海人口来源 | As-of: 2020 | URL: https://stats.gd.gov.cn/attachment/0/421/421309/3283428.pdf | Accessed: 2026-08-16 | Notes: 等级及排名据2025第一财经榜单；2020年七普常住人口；住建部2022年城市建设统计年鉴表2-2第484行列示同一城市口径的城区人口（含表列城区暂住人口）202.49万人、建成区面积152.85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52" dT="2026-08-16T18:28:29.456" personId="{C4087E82-3962-4D19-9A27-07F0F632D540}" id="{25A5D0B0-7099-F856-72EA-779592BC7D75}">
    <xltc:text>Source: 珠海城区人口来源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484行列示同一城市口径的城区人口（含表列城区暂住人口）202.49万人、建成区面积152.85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52" dT="2026-08-16T18:28:29.456" personId="{C4087E82-3962-4D19-9A27-07F0F632D540}" id="{249375BA-2D04-B484-E767-B3F3EEB1BD85}">
    <xltc:text>Source: 珠海建成区来源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484行列示同一城市口径的城区人口（含表列城区暂住人口）202.49万人、建成区面积152.85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53" dT="2026-08-16T18:28:29.456" personId="{C4087E82-3962-4D19-9A27-07F0F632D540}" id="{29D542C8-24F5-3789-8FF2-276FE09683E9}">
    <xltc:text>Source: Yicai New First-Tier Cities Institute: 2025 Ranking of Cities' Business Attractiveness | As-of: 2025 | URL: https://www.smg.cn/review/mobile/news/202505/0166469.html | Accessed: 2026-08-16 | Notes: 洛阳等级及排名</xltc:text>
  </xltc:threadedComment>
  <xltc:threadedComment ref="G53" dT="2026-08-16T18:28:29.456" personId="{C4087E82-3962-4D19-9A27-07F0F632D540}" id="{0F74867E-F245-0765-5207-5E65226BABD7}">
    <xltc:text>Source: 洛阳人口来源 | As-of: 2020 | URL: https://lyrb.lyd.com.cn/images2/1/2021-05/21/010/20210521010_pdf.pdf | Accessed: 2026-08-16 | Notes: 等级及排名据2025第一财经榜单；2020年七普常住人口；住建部2022年城市建设统计年鉴表2-2第374行列示同一城市口径的城区人口（含表列城区暂住人口）280.92万人、建成区面积294.57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53" dT="2026-08-16T18:28:29.456" personId="{C4087E82-3962-4D19-9A27-07F0F632D540}" id="{C55E3029-F2FE-1364-104C-EADB738E509C}">
    <xltc:text>Source: 洛阳城区人口来源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374行列示同一城市口径的城区人口（含表列城区暂住人口）280.92万人、建成区面积294.57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53" dT="2026-08-16T18:28:29.456" personId="{C4087E82-3962-4D19-9A27-07F0F632D540}" id="{8CAA570B-AB27-0282-C497-60F0F56EA893}">
    <xltc:text>Source: 洛阳建成区来源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374行列示同一城市口径的城区人口（含表列城区暂住人口）280.92万人、建成区面积294.57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54" dT="2026-08-16T18:28:29.456" personId="{C4087E82-3962-4D19-9A27-07F0F632D540}" id="{B0B7EC34-CF9B-740C-1278-ACDE0B895BB4}">
    <xltc:text>Source: Yicai New First-Tier Cities Institute: 2025 Ranking of Cities' Business Attractiveness | As-of: 2025 | URL: https://www.smg.cn/review/mobile/news/202505/0166469.html | Accessed: 2026-08-16 | Notes: 潍坊等级及排名</xltc:text>
  </xltc:threadedComment>
  <xltc:threadedComment ref="G54" dT="2026-08-16T18:28:29.456" personId="{C4087E82-3962-4D19-9A27-07F0F632D540}" id="{DC43F6FC-561E-E182-E59E-F83E136F4D7B}">
    <xltc:text>Source: 潍坊人口来源 | As-of: 2020 | URL: https://tjj.shandong.gov.cn/art/2021/5/21/art_6293_10287511.html | Accessed: 2026-08-16 | Notes: 等级及排名据2025第一财经榜单；2020年七普常住人口；住建部2022年城市建设统计年鉴表2-2第340行列示同一城市口径的城区人口（含表列城区暂住人口）200.86万人、建成区面积199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54" dT="2026-08-16T18:28:29.456" personId="{C4087E82-3962-4D19-9A27-07F0F632D540}" id="{77126B60-E6BE-7FD4-1969-9B2D10FA81CA}">
    <xltc:text>Source: 潍坊城区人口来源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340行列示同一城市口径的城区人口（含表列城区暂住人口）200.86万人、建成区面积199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54" dT="2026-08-16T18:28:29.456" personId="{C4087E82-3962-4D19-9A27-07F0F632D540}" id="{2DD9129D-88BF-45F8-1411-1EC556E4FD51}">
    <xltc:text>Source: 潍坊建成区来源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340行列示同一城市口径的城区人口（含表列城区暂住人口）200.86万人、建成区面积199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55" dT="2026-08-16T18:28:29.456" personId="{C4087E82-3962-4D19-9A27-07F0F632D540}" id="{0A04BCFE-A1A7-1A6B-F4C1-AFDC753F8DFA}">
    <xltc:text>Source: Yicai New First-Tier Cities Institute: 2025 Ranking of Cities' Business Attractiveness | As-of: 2025 | URL: https://www.smg.cn/review/mobile/news/202505/0166469.html | Accessed: 2026-08-16 | Notes: 海口等级及排名</xltc:text>
  </xltc:threadedComment>
  <xltc:threadedComment ref="G55" dT="2026-08-16T18:28:29.456" personId="{C4087E82-3962-4D19-9A27-07F0F632D540}" id="{C72FB817-EC89-78FA-4481-3C5323EDFDE1}">
    <xltc:text>Source: 海口人口来源 | As-of: 2020 | URL: https://news.hndaily.cn/resfile/2021-05-14/008/hnrb20210514008.pdf | Accessed: 2026-08-16 | Notes: 等级及排名据2025第一财经榜单；2020年七普常住人口；住建部2022年城市建设统计年鉴表2-2第546行列示同一城市口径的城区人口（含表列城区暂住人口）209.92万人、建成区面积215.8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55" dT="2026-08-16T18:28:29.456" personId="{C4087E82-3962-4D19-9A27-07F0F632D540}" id="{C3B8C0B3-4217-04A3-AF3A-AA8E6EE79199}">
    <xltc:text>Source: 海口城区人口来源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546行列示同一城市口径的城区人口（含表列城区暂住人口）209.92万人、建成区面积215.8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55" dT="2026-08-16T18:28:29.456" personId="{C4087E82-3962-4D19-9A27-07F0F632D540}" id="{B9DB01D2-36CC-AE16-38E0-3DD27620864E}">
    <xltc:text>Source: 海口建成区来源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546行列示同一城市口径的城区人口（含表列城区暂住人口）209.92万人、建成区面积215.8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56" dT="2026-08-16T18:28:29.456" personId="{C4087E82-3962-4D19-9A27-07F0F632D540}" id="{336E2BF0-AF60-B254-FAE1-473CBE8120B3}">
    <xltc:text>Source: Yicai New First-Tier Cities Institute: 2025 Ranking of Cities' Business Attractiveness | As-of: 2025 | URL: https://www.smg.cn/review/mobile/news/202505/0166469.html | Accessed: 2026-08-16 | Notes: 湖州等级及排名</xltc:text>
  </xltc:threadedComment>
  <xltc:threadedComment ref="G56" dT="2026-08-16T18:28:29.456" personId="{C4087E82-3962-4D19-9A27-07F0F632D540}" id="{55702955-4577-231F-7AB2-5CEA16737D66}">
    <xltc:text>Source: 湖州人口来源 | As-of: 2020 | URL: https://zjjcmspublic.oss-cn-hangzhou-zwynet-d01-a.internet.cloud.zj.gov.cn/jcms_files/jcms1/web3077/site/flash/tjj/Reports1/%E6%B5%99%E6%B1%9F%E4%BA%BA%E6%99%AE2020%E5%85%89%E7%9B%98/zk/html/fu04.pdf | Accessed: 2026-08-16 | Notes: 等级及排名据2025第一财经榜单；2020年七普常住人口；住建部2022年城市建设统计年鉴表2-2第234行列示同一城市口径的城区人口（含表列城区暂住人口）99.72万人、建成区面积134.92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56" dT="2026-08-16T18:28:29.456" personId="{C4087E82-3962-4D19-9A27-07F0F632D540}" id="{9ED820B4-7A4E-636E-0123-DE027B36B122}">
    <xltc:text>Source: 湖州城区人口来源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234行列示同一城市口径的城区人口（含表列城区暂住人口）99.72万人、建成区面积134.92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56" dT="2026-08-16T18:28:29.456" personId="{C4087E82-3962-4D19-9A27-07F0F632D540}" id="{2C7DDB91-1FFE-CFA4-10D1-D2A3EF3F1A96}">
    <xltc:text>Source: 湖州建成区来源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234行列示同一城市口径的城区人口（含表列城区暂住人口）99.72万人、建成区面积134.92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57" dT="2026-08-16T18:28:29.456" personId="{C4087E82-3962-4D19-9A27-07F0F632D540}" id="{E64252CD-D471-A817-C708-63075E25D0B1}">
    <xltc:text>Source: Yicai New First-Tier Cities Institute: 2025 Ranking of Cities' Business Attractiveness | As-of: 2025 | URL: https://www.smg.cn/review/mobile/news/202505/0166469.html | Accessed: 2026-08-16 | Notes: 芜湖等级及排名</xltc:text>
  </xltc:threadedComment>
  <xltc:threadedComment ref="G57" dT="2026-08-16T18:28:29.456" personId="{C4087E82-3962-4D19-9A27-07F0F632D540}" id="{A43C4693-17F8-936E-F7B4-B44EA2A45387}">
    <xltc:text>Source: 芜湖人口来源 | As-of: 2020 | URL: https://tjj.wuhu.gov.cn/tjxx/tjgb/8282562.html | Accessed: 2026-08-16 | Notes: 等级及排名据2025第一财经榜单；2020年七普常住人口；住建部2022年城市建设统计年鉴表2-2第255行列示同一城市口径的城区人口（含表列城区暂住人口）189.68万人、建成区面积265.08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57" dT="2026-08-16T18:28:29.456" personId="{C4087E82-3962-4D19-9A27-07F0F632D540}" id="{F2E558CF-081E-DA4D-878B-1FBE01722D68}">
    <xltc:text>Source: 芜湖城区人口来源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255行列示同一城市口径的城区人口（含表列城区暂住人口）189.68万人、建成区面积265.08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57" dT="2026-08-16T18:28:29.456" personId="{C4087E82-3962-4D19-9A27-07F0F632D540}" id="{5F930FCB-85F1-5AF4-3C9F-10D1438B8D57}">
    <xltc:text>Source: 芜湖建成区来源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255行列示同一城市口径的城区人口（含表列城区暂住人口）189.68万人、建成区面积265.08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58" dT="2026-08-16T18:28:29.456" personId="{C4087E82-3962-4D19-9A27-07F0F632D540}" id="{5CE26A98-243F-792F-E356-DD072774A17C}">
    <xltc:text>Source: Yicai New First-Tier Cities Institute: 2025 Ranking of Cities' Business Attractiveness | As-of: 2025 | URL: https://www.smg.cn/review/mobile/news/202505/0166469.html | Accessed: 2026-08-16 | Notes: 阜阳等级及排名</xltc:text>
  </xltc:threadedComment>
  <xltc:threadedComment ref="G58" dT="2026-08-16T18:28:29.456" personId="{C4087E82-3962-4D19-9A27-07F0F632D540}" id="{50CEF5C1-CF25-AE75-FC24-8ACAC641F5FE}">
    <xltc:text>Source: 阜阳人口来源 | As-of: 2020 | URL: https://tjj.wuhu.gov.cn/tjxx/tjfx/8282011.html | Accessed: 2026-08-16 | Notes: 等级及排名据2025第一财经榜单；2020年七普常住人口；住建部2022年城市建设统计年鉴表2-2第269行列示同一城市口径的城区人口（含表列城区暂住人口）107.65万人、建成区面积156.36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58" dT="2026-08-16T18:28:29.456" personId="{C4087E82-3962-4D19-9A27-07F0F632D540}" id="{F9225C23-F540-7321-CE65-B886B14DEDBC}">
    <xltc:text>Source: 阜阳城区人口来源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269行列示同一城市口径的城区人口（含表列城区暂住人口）107.65万人、建成区面积156.36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58" dT="2026-08-16T18:28:29.456" personId="{C4087E82-3962-4D19-9A27-07F0F632D540}" id="{D4C44F6B-4505-54E6-8231-18BAA9708DBE}">
    <xltc:text>Source: 阜阳建成区来源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269行列示同一城市口径的城区人口（含表列城区暂住人口）107.65万人、建成区面积156.36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59" dT="2026-08-16T18:28:29.457" personId="{C4087E82-3962-4D19-9A27-07F0F632D540}" id="{7B412478-78BA-D8EE-6D7A-2224103E4688}">
    <xltc:text>Source: Yicai New First-Tier Cities Institute: 2025 Ranking of Cities' Business Attractiveness | As-of: 2025 | URL: https://www.smg.cn/review/mobile/news/202505/0166469.html | Accessed: 2026-08-16 | Notes: 宿迁等级及排名</xltc:text>
  </xltc:threadedComment>
  <xltc:threadedComment ref="G59" dT="2026-08-16T18:28:29.457" personId="{C4087E82-3962-4D19-9A27-07F0F632D540}" id="{6EAC4EF1-336A-E8AD-9290-BFD700BCCC4B}">
    <xltc:text>Source: 宿迁人口来源 | As-of: 2020 | URL: https://www.js.gov.cn/art/2021/5/18/art_46548_206.html | Accessed: 2026-08-16 | Notes: 等级及排名据2025第一财经榜单；2020年七普常住人口；住建部2022年城市建设统计年鉴表2-2第219行列示同一城市口径的城区人口（含表列城区暂住人口）109.5万人、建成区面积122.75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59" dT="2026-08-16T18:28:29.457" personId="{C4087E82-3962-4D19-9A27-07F0F632D540}" id="{B99637E3-821E-5A65-A630-0B95BD5B7FF6}">
    <xltc:text>Source: 宿迁城区人口来源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219行列示同一城市口径的城区人口（含表列城区暂住人口）109.5万人、建成区面积122.75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59" dT="2026-08-16T18:28:29.457" personId="{C4087E82-3962-4D19-9A27-07F0F632D540}" id="{AC415C30-23BE-2ECD-A0DE-7529D5A9B295}">
    <xltc:text>Source: 宿迁建成区来源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219行列示同一城市口径的城区人口（含表列城区暂住人口）109.5万人、建成区面积122.75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60" dT="2026-08-16T18:28:29.457" personId="{C4087E82-3962-4D19-9A27-07F0F632D540}" id="{0EABC380-8E81-1A5D-5C3C-CDDB2115F502}">
    <xltc:text>Source: Yicai New First-Tier Cities Institute: 2025 Ranking of Cities' Business Attractiveness | As-of: 2025 | URL: https://www.smg.cn/review/mobile/news/202505/0166469.html | Accessed: 2026-08-16 | Notes: 三亚等级及排名</xltc:text>
  </xltc:threadedComment>
  <xltc:threadedComment ref="G60" dT="2026-08-16T18:28:29.457" personId="{C4087E82-3962-4D19-9A27-07F0F632D540}" id="{666D7A3A-9A9F-875F-AA31-8D8CFD09533E}">
    <xltc:text>Source: 三亚人口来源 | As-of: 2020 | URL: https://tjj.sanya.gov.cn/tjjsite/tjgb/202105/e2ae897613cb4dda896fd13de631c444.shtml | Accessed: 2026-08-16 | Notes: 等级及排名据2025第一财经榜单；2020年七普常住人口；住建部2022年城市建设统计年鉴表2-2第547行列示同一城市口径的城区人口（含表列城区暂住人口）56万人、建成区面积59.1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60" dT="2026-08-16T18:28:29.457" personId="{C4087E82-3962-4D19-9A27-07F0F632D540}" id="{B8EDC038-3AF0-6EC2-6226-E1D11F5BFF77}">
    <xltc:text>Source: 三亚城区人口来源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547行列示同一城市口径的城区人口（含表列城区暂住人口）56万人、建成区面积59.1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60" dT="2026-08-16T18:28:29.457" personId="{C4087E82-3962-4D19-9A27-07F0F632D540}" id="{13FE100B-0EF5-9AB1-2743-B36D5209E0F9}">
    <xltc:text>Source: 三亚建成区来源 | As-of: 2022 | URL: https://www.mohurd.gov.cn/cms_files/filemanager/mohurdold/file/2023/20231011/4de09801-07f4-4273-97cb-1e1fc78704fd.xls | Accessed: 2026-08-16 | Notes: 等级及排名据2025第一财经榜单；2020年七普常住人口；住建部2022年城市建设统计年鉴表2-2第547行列示同一城市口径的城区人口（含表列城区暂住人口）56万人、建成区面积59.1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D61" dT="2026-08-16T18:28:29.457" personId="{C4087E82-3962-4D19-9A27-07F0F632D540}" id="{E9235D75-9F93-ABF2-2D93-A0658CA51A4E}">
    <xltc:text>Source: Yicai New First-Tier Cities Institute: 2025 Ranking of Cities' Business Attractiveness | As-of: 2025 | URL: https://www.smg.cn/review/mobile/news/202505/0166469.html | Accessed: 2026-08-16 | Notes: 淮南等级及排名</xltc:text>
  </xltc:threadedComment>
  <xltc:threadedComment ref="G61" dT="2026-08-16T18:28:29.457" personId="{C4087E82-3962-4D19-9A27-07F0F632D540}" id="{B6D519DD-1832-E60F-B4F4-61F7956C0D96}">
    <xltc:text>Source: 淮南人口来源 | As-of: 2020 | URL: https://tjj.huainan.gov.cn/tjsj/tjgb/551571618.html | Accessed: 2026-08-16 | Notes: 第一财经2025原榜单为四线第39名（总榜第158），模型口径归并为三线；2020年七普常住人口；住建部2022年城市建设统计年鉴表2-2第258行列示同一城市口径的城区人口（含表列城区暂住人口）113.37万人、建成区面积128.14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I61" dT="2026-08-16T18:28:29.457" personId="{C4087E82-3962-4D19-9A27-07F0F632D540}" id="{3D3DFA91-3D46-C33D-B3BF-F540F3262BB2}">
    <xltc:text>Source: 淮南城区人口来源 | As-of: 2022 | URL: https://www.mohurd.gov.cn/cms_files/filemanager/mohurdold/file/2023/20231011/4de09801-07f4-4273-97cb-1e1fc78704fd.xls | Accessed: 2026-08-16 | Notes: 第一财经2025原榜单为四线第39名（总榜第158），模型口径归并为三线；2020年七普常住人口；住建部2022年城市建设统计年鉴表2-2第258行列示同一城市口径的城区人口（含表列城区暂住人口）113.37万人、建成区面积128.14平方公里；住房代理公开材料在小区/项目/户数/面积及计划/开工/完工间口径不可比，为保持同列可比性保留空值；未找到可核查的市级公共充电枪数量，未采用省级数值。</xltc:text>
  </xltc:threadedComment>
  <xltc:threadedComment ref="J61" dT="2026-08-16T18:28:29.457" personId="{C4087E82-3962-4D19-9A27-07F0F632D540}" id="{531A553D-5649-27A2-8558-EA65D35740F8}">
    <xltc:text>Source: 淮南建成区来源 | As-of: 2022 | URL: https://www.mohurd.gov.cn/cms_files/filemanager/mohurdold/file/2023/20231011/4de09801-07f4-4273-97cb-1e1fc78704fd.xls | Accessed: 2026-08-16 | Notes: 第一财经2025原榜单为四线第39名（总榜第158），模型口径归并为三线；2020年七普常住人口；住建部2022年城市建设统计年鉴表2-2第258行列示同一城市口径的城区人口（含表列城区暂住人口）113.37万人、建成区面积128.14平方公里；住房代理公开材料在小区/项目/户数/面积及计划/开工/完工间口径不可比，为保持同列可比性保留空值；未找到可核查的市级公共充电枪数量，未采用省级数值。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1" dT="2026-08-16T18:28:13.67" personId="{C4087E82-3962-4D19-9A27-07F0F632D540}" id="{A0525877-1A65-B6B2-173B-C448DB944E37}">
    <xltc:text>Source: 站点报表源工作簿 | As-of: 2026-06-16至2026-08-15 | URL: D:/工作资料/蚂蚁站/站点报表-导出项 (2).xlsx | Accessed: 2026-08-16 | Notes: Data List!A1:P3050逐值导入，未改变原始数值</xltc:text>
  </xltc:threadedComment>
  <xltc:threadedComment ref="Q1" dT="2026-08-16T18:28:13.67" personId="{C4087E82-3962-4D19-9A27-07F0F632D540}" id="{7FF41656-2877-EDAA-A0C1-7D65B9B318FE}">
    <xltc:text>Source: 站点报表源工作簿 | As-of: 2026-06-16至2026-08-15 | URL: D:/工作资料/蚂蚁站/站点报表-导出项 (2).xlsx | Accessed: 2026-08-16 | Notes: 仅将A列ISO日期文本规范为Excel日期类型，供首末运营日公式聚合；A:P原值不变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B6" dT="2026-08-16T18:28:29.047" personId="{C4087E82-3962-4D19-9A27-07F0F632D540}" id="{866779C6-30DD-D4CA-F0FB-941AD4D0F606}">
    <xltc:text>Source: 中国充电联盟公共充电设施数量 | As-of: 2023-12 | URL: https://www.evcipa.org.cn/newsinfo/8183139.html | Accessed: 2026-08-16 | Notes: 上月末公共充电枪数，作为本月月初枪数</xltc:text>
  </xltc:threadedComment>
  <xltc:threadedComment ref="C6" dT="2026-08-16T18:28:29.047" personId="{C4087E82-3962-4D19-9A27-07F0F632D540}" id="{A4B1192C-A77F-A19F-2DF4-BBF0153D4D0F}">
    <xltc:text>Source: 中国充电联盟公共充电设施数量 | As-of: 2024-01 | URL: https://www.evcipa.org.cn/newsinfo/8183140.html | Accessed: 2026-08-16 | Notes: 当月末公共充电枪数</xltc:text>
  </xltc:threadedComment>
  <xltc:threadedComment ref="F6" dT="2026-08-16T18:28:29.047" personId="{C4087E82-3962-4D19-9A27-07F0F632D540}" id="{153FDAE4-E847-4AAD-B714-4CB4592B99CA}">
    <xltc:text>Source: 中国充电联盟公共充电量 | As-of: 2024-01 | URL: https://www.evcipa.org.cn/newsinfo/8183140.html | Accessed: 2026-08-16 | Notes: 月度公共充电设施充电量，单位亿千瓦时</xltc:text>
  </xltc:threadedComment>
  <xltc:threadedComment ref="B7" dT="2026-08-16T18:28:29.048" personId="{C4087E82-3962-4D19-9A27-07F0F632D540}" id="{9813CD07-B753-AA16-8E7F-2AAAF93778B4}">
    <xltc:text>Source: 中国充电联盟公共充电设施数量 | As-of: 2024-01 | URL: https://www.evcipa.org.cn/newsinfo/8183140.html | Accessed: 2026-08-16 | Notes: 上月末公共充电枪数，作为本月月初枪数</xltc:text>
  </xltc:threadedComment>
  <xltc:threadedComment ref="C7" dT="2026-08-16T18:28:29.048" personId="{C4087E82-3962-4D19-9A27-07F0F632D540}" id="{4CDAD8B8-7147-368F-B9BC-D0003D00EE73}">
    <xltc:text>Source: 中国充电联盟公共充电设施数量 | As-of: 2024-02 | URL: https://www.evcipa.org.cn/newsinfo/8183135.html | Accessed: 2026-08-16 | Notes: 当月末公共充电枪数</xltc:text>
  </xltc:threadedComment>
  <xltc:threadedComment ref="F7" dT="2026-08-16T18:28:29.048" personId="{C4087E82-3962-4D19-9A27-07F0F632D540}" id="{8C5B1D4B-5A3D-4CCC-FEB0-A177B96D34B4}">
    <xltc:text>Source: 中国充电联盟公共充电量 | As-of: 2024-02 | URL: https://www.evcipa.org.cn/newsinfo/8183135.html | Accessed: 2026-08-16 | Notes: 月度公共充电设施充电量，单位亿千瓦时</xltc:text>
  </xltc:threadedComment>
  <xltc:threadedComment ref="B8" dT="2026-08-16T18:28:29.048" personId="{C4087E82-3962-4D19-9A27-07F0F632D540}" id="{9F83E099-6902-FC9E-7140-010B42532248}">
    <xltc:text>Source: 中国充电联盟公共充电设施数量 | As-of: 2024-02 | URL: https://www.evcipa.org.cn/newsinfo/8183135.html | Accessed: 2026-08-16 | Notes: 上月末公共充电枪数，作为本月月初枪数</xltc:text>
  </xltc:threadedComment>
  <xltc:threadedComment ref="C8" dT="2026-08-16T18:28:29.048" personId="{C4087E82-3962-4D19-9A27-07F0F632D540}" id="{06237DDD-39CE-D580-56B0-B47BE7BEC084}">
    <xltc:text>Source: 中国充电联盟公共充电设施数量 | As-of: 2024-03 | URL: https://www.evcipa.org.cn/newsinfo/8183133.html | Accessed: 2026-08-16 | Notes: 当月末公共充电枪数</xltc:text>
  </xltc:threadedComment>
  <xltc:threadedComment ref="F8" dT="2026-08-16T18:28:29.048" personId="{C4087E82-3962-4D19-9A27-07F0F632D540}" id="{FA4F500A-4635-4409-27B9-93EAE1772FDA}">
    <xltc:text>Source: 中国充电联盟公共充电量 | As-of: 2024-03 | URL: https://www.evcipa.org.cn/newsinfo/8183133.html | Accessed: 2026-08-16 | Notes: 月度公共充电设施充电量，单位亿千瓦时</xltc:text>
  </xltc:threadedComment>
  <xltc:threadedComment ref="B9" dT="2026-08-16T18:28:29.048" personId="{C4087E82-3962-4D19-9A27-07F0F632D540}" id="{70457D90-8EBA-D44F-1DEE-256D6C4E653E}">
    <xltc:text>Source: 中国充电联盟公共充电设施数量 | As-of: 2024-03 | URL: https://www.evcipa.org.cn/newsinfo/8183133.html | Accessed: 2026-08-16 | Notes: 上月末公共充电枪数，作为本月月初枪数</xltc:text>
  </xltc:threadedComment>
  <xltc:threadedComment ref="C9" dT="2026-08-16T18:28:29.048" personId="{C4087E82-3962-4D19-9A27-07F0F632D540}" id="{A4F71921-36C2-0956-BC7C-3A27FB0F9A81}">
    <xltc:text>Source: 中国充电联盟公共充电设施数量 | As-of: 2024-04 | URL: https://www.evcipa.org.cn/newsinfo/8183136.html | Accessed: 2026-08-16 | Notes: 当月末公共充电枪数</xltc:text>
  </xltc:threadedComment>
  <xltc:threadedComment ref="F9" dT="2026-08-16T18:28:29.048" personId="{C4087E82-3962-4D19-9A27-07F0F632D540}" id="{3774A007-CAB9-F7BE-8EB0-CB384107BEAD}">
    <xltc:text>Source: 中国充电联盟公共充电量 | As-of: 2024-04 | URL: https://www.evcipa.org.cn/newsinfo/8183136.html | Accessed: 2026-08-16 | Notes: 月度公共充电设施充电量，单位亿千瓦时</xltc:text>
  </xltc:threadedComment>
  <xltc:threadedComment ref="B10" dT="2026-08-16T18:28:29.048" personId="{C4087E82-3962-4D19-9A27-07F0F632D540}" id="{86E8FAEF-719F-2C96-71E4-6CE5A99A2FC7}">
    <xltc:text>Source: 中国充电联盟公共充电设施数量 | As-of: 2024-04 | URL: https://www.evcipa.org.cn/newsinfo/8183136.html | Accessed: 2026-08-16 | Notes: 上月末公共充电枪数，作为本月月初枪数</xltc:text>
  </xltc:threadedComment>
  <xltc:threadedComment ref="C10" dT="2026-08-16T18:28:29.048" personId="{C4087E82-3962-4D19-9A27-07F0F632D540}" id="{1D363E27-53A4-D13D-2156-55E29131266B}">
    <xltc:text>Source: 中国充电联盟公共充电设施数量 | As-of: 2024-05 | URL: https://www.evcipa.org.cn/newsinfo/8183100.html | Accessed: 2026-08-16 | Notes: 当月末公共充电枪数</xltc:text>
  </xltc:threadedComment>
  <xltc:threadedComment ref="F10" dT="2026-08-16T18:28:29.048" personId="{C4087E82-3962-4D19-9A27-07F0F632D540}" id="{30714113-3434-47EA-717C-6012A814790A}">
    <xltc:text>Source: 中国充电联盟公共充电量 | As-of: 2024-05 | URL: https://www.evcipa.org.cn/newsinfo/8183100.html | Accessed: 2026-08-16 | Notes: 月度公共充电设施充电量，单位亿千瓦时</xltc:text>
  </xltc:threadedComment>
  <xltc:threadedComment ref="B11" dT="2026-08-16T18:28:29.048" personId="{C4087E82-3962-4D19-9A27-07F0F632D540}" id="{9A43BE15-217C-EF58-70FF-8662B9EA2E14}">
    <xltc:text>Source: 中国充电联盟公共充电设施数量 | As-of: 2024-05 | URL: https://www.evcipa.org.cn/newsinfo/8183100.html | Accessed: 2026-08-16 | Notes: 上月末公共充电枪数，作为本月月初枪数</xltc:text>
  </xltc:threadedComment>
  <xltc:threadedComment ref="C11" dT="2026-08-16T18:28:29.049" personId="{C4087E82-3962-4D19-9A27-07F0F632D540}" id="{3E451115-30B1-2835-AED1-DD0A8A85D300}">
    <xltc:text>Source: 中国充电联盟公共充电设施数量 | As-of: 2024-06 | URL: https://www.evcipa.org.cn/newsinfo/8183099.html | Accessed: 2026-08-16 | Notes: 当月末公共充电枪数</xltc:text>
  </xltc:threadedComment>
  <xltc:threadedComment ref="F11" dT="2026-08-16T18:28:29.049" personId="{C4087E82-3962-4D19-9A27-07F0F632D540}" id="{61ED12A5-467D-1515-DB1C-F7796ABF7FD3}">
    <xltc:text>Source: 中国充电联盟公共充电量 | As-of: 2024-06 | URL: https://www.evcipa.org.cn/newsinfo/8183099.html | Accessed: 2026-08-16 | Notes: 月度公共充电设施充电量，单位亿千瓦时</xltc:text>
  </xltc:threadedComment>
  <xltc:threadedComment ref="B12" dT="2026-08-16T18:28:29.049" personId="{C4087E82-3962-4D19-9A27-07F0F632D540}" id="{D1C44792-BD86-532C-410F-FD9233EA0A90}">
    <xltc:text>Source: 中国充电联盟公共充电设施数量 | As-of: 2024-06 | URL: https://www.evcipa.org.cn/newsinfo/8183099.html | Accessed: 2026-08-16 | Notes: 上月末公共充电枪数，作为本月月初枪数</xltc:text>
  </xltc:threadedComment>
  <xltc:threadedComment ref="C12" dT="2026-08-16T18:28:29.049" personId="{C4087E82-3962-4D19-9A27-07F0F632D540}" id="{883F2E74-3F9D-141C-DE36-62D3955919AA}">
    <xltc:text>Source: 中国充电联盟公共充电设施数量 | As-of: 2024-07 | URL: https://www.evcipa.org.cn/newsinfo/8182573.html | Accessed: 2026-08-16 | Notes: 当月末公共充电枪数</xltc:text>
  </xltc:threadedComment>
  <xltc:threadedComment ref="F12" dT="2026-08-16T18:28:29.049" personId="{C4087E82-3962-4D19-9A27-07F0F632D540}" id="{8A5CDF09-C118-DE76-0E8A-50F199E21A3E}">
    <xltc:text>Source: 中国充电联盟公共充电量 | As-of: 2024-07 | URL: https://www.evcipa.org.cn/newsinfo/8182573.html | Accessed: 2026-08-16 | Notes: 月度公共充电设施充电量，单位亿千瓦时</xltc:text>
  </xltc:threadedComment>
  <xltc:threadedComment ref="B13" dT="2026-08-16T18:28:29.049" personId="{C4087E82-3962-4D19-9A27-07F0F632D540}" id="{624DAC15-EE3D-4A56-E962-0BEE4326E55D}">
    <xltc:text>Source: 中国充电联盟公共充电设施数量 | As-of: 2024-07 | URL: https://www.evcipa.org.cn/newsinfo/8182573.html | Accessed: 2026-08-16 | Notes: 上月末公共充电枪数，作为本月月初枪数</xltc:text>
  </xltc:threadedComment>
  <xltc:threadedComment ref="C13" dT="2026-08-16T18:28:29.049" personId="{C4087E82-3962-4D19-9A27-07F0F632D540}" id="{33CFD5D5-5F81-045A-40D2-719D835B844E}">
    <xltc:text>Source: 中国充电联盟公共充电设施数量 | As-of: 2024-08 | URL: https://www.evcipa.org.cn/newsinfo/8183095.html | Accessed: 2026-08-16 | Notes: 当月末公共充电枪数</xltc:text>
  </xltc:threadedComment>
  <xltc:threadedComment ref="F13" dT="2026-08-16T18:28:29.049" personId="{C4087E82-3962-4D19-9A27-07F0F632D540}" id="{D23E6845-7F73-F038-880D-DB1D605EDA3B}">
    <xltc:text>Source: 中国充电联盟公共充电量 | As-of: 2024-08 | URL: https://www.evcipa.org.cn/newsinfo/8183095.html | Accessed: 2026-08-16 | Notes: 月度公共充电设施充电量，单位亿千瓦时</xltc:text>
  </xltc:threadedComment>
  <xltc:threadedComment ref="B14" dT="2026-08-16T18:28:29.049" personId="{C4087E82-3962-4D19-9A27-07F0F632D540}" id="{6CDEB9F5-D0C6-025A-BB02-84BFA5BD2948}">
    <xltc:text>Source: 中国充电联盟公共充电设施数量 | As-of: 2024-08 | URL: https://www.evcipa.org.cn/newsinfo/8183095.html | Accessed: 2026-08-16 | Notes: 上月末公共充电枪数，作为本月月初枪数</xltc:text>
  </xltc:threadedComment>
  <xltc:threadedComment ref="C14" dT="2026-08-16T18:28:29.049" personId="{C4087E82-3962-4D19-9A27-07F0F632D540}" id="{320F24E4-E8FA-F564-EC47-0BA30D9425A5}">
    <xltc:text>Source: 中国充电联盟公共充电设施数量 | As-of: 2024-09 | URL: https://www.evcipa.org.cn/newsinfo/8182568.html | Accessed: 2026-08-16 | Notes: 当月末公共充电枪数</xltc:text>
  </xltc:threadedComment>
  <xltc:threadedComment ref="F14" dT="2026-08-16T18:28:29.049" personId="{C4087E82-3962-4D19-9A27-07F0F632D540}" id="{8FE15112-F5AF-4012-6DC4-82D6CA313B5C}">
    <xltc:text>Source: 中国充电联盟公共充电量 | As-of: 2024-09 | URL: https://www.evcipa.org.cn/newsinfo/8182568.html | Accessed: 2026-08-16 | Notes: 月度公共充电设施充电量，单位亿千瓦时</xltc:text>
  </xltc:threadedComment>
  <xltc:threadedComment ref="B15" dT="2026-08-16T18:28:29.049" personId="{C4087E82-3962-4D19-9A27-07F0F632D540}" id="{E4D11104-9118-5FA6-35C0-7224BABEFD56}">
    <xltc:text>Source: 中国充电联盟公共充电设施数量 | As-of: 2024-09 | URL: https://www.evcipa.org.cn/newsinfo/8182568.html | Accessed: 2026-08-16 | Notes: 上月末公共充电枪数，作为本月月初枪数</xltc:text>
  </xltc:threadedComment>
  <xltc:threadedComment ref="C15" dT="2026-08-16T18:28:29.049" personId="{C4087E82-3962-4D19-9A27-07F0F632D540}" id="{8BB4253B-15F1-A36E-6AA8-0BAD1B6E2FE9}">
    <xltc:text>Source: 中国充电联盟公共充电设施数量 | As-of: 2024-10 | URL: https://www.evcipa.org.cn/newsinfo/8182570.html | Accessed: 2026-08-16 | Notes: 当月末公共充电枪数</xltc:text>
  </xltc:threadedComment>
  <xltc:threadedComment ref="F15" dT="2026-08-16T18:28:29.049" personId="{C4087E82-3962-4D19-9A27-07F0F632D540}" id="{5D7913B9-7A08-5384-31DC-A9D6DBF26831}">
    <xltc:text>Source: 中国充电联盟公共充电量 | As-of: 2024-10 | URL: https://www.evcipa.org.cn/newsinfo/8182570.html | Accessed: 2026-08-16 | Notes: 月度公共充电设施充电量，单位亿千瓦时</xltc:text>
  </xltc:threadedComment>
  <xltc:threadedComment ref="B16" dT="2026-08-16T18:28:29.049" personId="{C4087E82-3962-4D19-9A27-07F0F632D540}" id="{31007023-F3E7-951E-D935-CF36DFB33881}">
    <xltc:text>Source: 中国充电联盟公共充电设施数量 | As-of: 2024-10 | URL: https://www.evcipa.org.cn/newsinfo/8182570.html | Accessed: 2026-08-16 | Notes: 上月末公共充电枪数，作为本月月初枪数</xltc:text>
  </xltc:threadedComment>
  <xltc:threadedComment ref="C16" dT="2026-08-16T18:28:29.05" personId="{C4087E82-3962-4D19-9A27-07F0F632D540}" id="{6B7C644F-BBFB-9CF7-9964-39D4899E24C7}">
    <xltc:text>Source: 中国充电联盟公共充电设施数量 | As-of: 2024-11 | URL: https://www.evcipa.org.cn/newsinfo/8182565.html | Accessed: 2026-08-16 | Notes: 当月末公共充电枪数</xltc:text>
  </xltc:threadedComment>
  <xltc:threadedComment ref="F16" dT="2026-08-16T18:28:29.05" personId="{C4087E82-3962-4D19-9A27-07F0F632D540}" id="{0805EEEA-38E6-C118-AAC0-A6EC6B0A736B}">
    <xltc:text>Source: 中国充电联盟公共充电量 | As-of: 2024-11 | URL: https://www.evcipa.org.cn/newsinfo/8182565.html | Accessed: 2026-08-16 | Notes: 月度公共充电设施充电量，单位亿千瓦时</xltc:text>
  </xltc:threadedComment>
  <xltc:threadedComment ref="B17" dT="2026-08-16T18:28:29.05" personId="{C4087E82-3962-4D19-9A27-07F0F632D540}" id="{DD392683-D6CA-4AC4-6B74-9504CB134920}">
    <xltc:text>Source: 中国充电联盟公共充电设施数量 | As-of: 2024-11 | URL: https://www.evcipa.org.cn/newsinfo/8182565.html | Accessed: 2026-08-16 | Notes: 上月末公共充电枪数，作为本月月初枪数</xltc:text>
  </xltc:threadedComment>
  <xltc:threadedComment ref="C17" dT="2026-08-16T18:28:29.05" personId="{C4087E82-3962-4D19-9A27-07F0F632D540}" id="{CC47411A-E873-5374-3CEC-C3027ADF64B3}">
    <xltc:text>Source: 中国充电联盟公共充电设施数量 | As-of: 2024-12 | URL: https://www.evcipa.org.cn/newsinfo/8137834.html | Accessed: 2026-08-16 | Notes: 当月末公共充电枪数</xltc:text>
  </xltc:threadedComment>
  <xltc:threadedComment ref="F17" dT="2026-08-16T18:28:29.05" personId="{C4087E82-3962-4D19-9A27-07F0F632D540}" id="{C3F33663-AA79-D77E-D6BD-F8BF69B816E4}">
    <xltc:text>Source: 中国充电联盟公共充电量 | As-of: 2024-12 | URL: https://www.evcipa.org.cn/newsinfo/8137834.html | Accessed: 2026-08-16 | Notes: 月度公共充电设施充电量，单位亿千瓦时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C7" dT="2026-08-16T18:28:33.158" personId="{C4087E82-3962-4D19-9A27-07F0F632D540}" id="{72F691C1-F160-6F69-02FF-6B83846AAF47}">
    <xltc:text>Source: Task 9 approved scenario constant | As-of: 2026-08-16 | URL: https://github.com/keqi119/Ant_charge_station/blob/main/docs/superpowers/specs/2026-08-16-charge-station-financing-model-design.md | Accessed: 2026-08-16 | Notes: Approved stress-case definition; black formula text denotes an in-sheet design constant.</xltc:text>
  </xltc:threadedComment>
  <xltc:threadedComment ref="F8" dT="2026-08-16T18:28:33.158" personId="{C4087E82-3962-4D19-9A27-07F0F632D540}" id="{CC7313FD-40F2-2ECA-C9A9-E2ACF9AAAE37}">
    <xltc:text>Source: Task 9 approved scenario constant | As-of: 2026-08-16 | URL: https://github.com/keqi119/Ant_charge_station/blob/main/docs/superpowers/specs/2026-08-16-charge-station-financing-model-design.md | Accessed: 2026-08-16 | Notes: Approved stress-case definition; black formula text denotes an in-sheet design constant.</xltc:text>
  </xltc:threadedComment>
  <xltc:threadedComment ref="C10" dT="2026-08-16T18:28:33.158" personId="{C4087E82-3962-4D19-9A27-07F0F632D540}" id="{F96FB8F8-651B-1C7C-39E3-B6AE590B3E55}">
    <xltc:text>Source: Task 9 approved scenario constant | As-of: 2026-08-16 | URL: https://github.com/keqi119/Ant_charge_station/blob/main/docs/superpowers/specs/2026-08-16-charge-station-financing-model-design.md | Accessed: 2026-08-16 | Notes: Approved stress-case definition; black formula text denotes an in-sheet design constant.</xltc:text>
  </xltc:threadedComment>
  <xltc:threadedComment ref="D10" dT="2026-08-16T18:28:33.158" personId="{C4087E82-3962-4D19-9A27-07F0F632D540}" id="{E8AFC183-5234-48DE-3C52-33718BD90D45}">
    <xltc:text>Source: Task 9 approved scenario constant | As-of: 2026-08-16 | URL: https://github.com/keqi119/Ant_charge_station/blob/main/docs/superpowers/specs/2026-08-16-charge-station-financing-model-design.md | Accessed: 2026-08-16 | Notes: Approved stress-case definition; black formula text denotes an in-sheet design constant.</xltc:text>
  </xltc:threadedComment>
  <xltc:threadedComment ref="E10" dT="2026-08-16T18:28:33.158" personId="{C4087E82-3962-4D19-9A27-07F0F632D540}" id="{6928F9C1-AE3A-2ED1-C036-5862298E3581}">
    <xltc:text>Source: Task 9 approved scenario constant | As-of: 2026-08-16 | URL: https://github.com/keqi119/Ant_charge_station/blob/main/docs/superpowers/specs/2026-08-16-charge-station-financing-model-design.md | Accessed: 2026-08-16 | Notes: Approved stress-case definition; black formula text denotes an in-sheet design constant.</xltc:text>
  </xltc:threadedComment>
  <xltc:threadedComment ref="F10" dT="2026-08-16T18:28:33.158" personId="{C4087E82-3962-4D19-9A27-07F0F632D540}" id="{0B0D1459-CAA0-7B38-B65D-A2F920882649}">
    <xltc:text>Source: Task 9 approved scenario constant | As-of: 2026-08-16 | URL: https://github.com/keqi119/Ant_charge_station/blob/main/docs/superpowers/specs/2026-08-16-charge-station-financing-model-design.md | Accessed: 2026-08-16 | Notes: Approved stress-case definition; black formula text denotes an in-sheet design constant.</xltc:text>
  </xltc:threadedComment>
  <xltc:threadedComment ref="G10" dT="2026-08-16T18:28:33.158" personId="{C4087E82-3962-4D19-9A27-07F0F632D540}" id="{9CD86052-2270-8210-8CD6-A80303BB8512}">
    <xltc:text>Source: Task 9 approved scenario constant | As-of: 2026-08-16 | URL: https://github.com/keqi119/Ant_charge_station/blob/main/docs/superpowers/specs/2026-08-16-charge-station-financing-model-design.md | Accessed: 2026-08-16 | Notes: Approved stress-case definition; black formula text denotes an in-sheet design constant.</xltc:text>
  </xltc:threadedComment>
  <xltc:threadedComment ref="H10" dT="2026-08-16T18:28:33.158" personId="{C4087E82-3962-4D19-9A27-07F0F632D540}" id="{975BBEE3-45C9-5D18-F75C-B15229269E7A}">
    <xltc:text>Source: Task 9 approved scenario constant | As-of: 2026-08-16 | URL: https://github.com/keqi119/Ant_charge_station/blob/main/docs/superpowers/specs/2026-08-16-charge-station-financing-model-design.md | Accessed: 2026-08-16 | Notes: Approved stress-case definition; black formula text denotes an in-sheet design constant.</xltc:text>
  </xltc:threadedComment>
  <xltc:threadedComment ref="L4" dT="2026-08-16T18:28:33.158" personId="{C4087E82-3962-4D19-9A27-07F0F632D540}" id="{B2E83C2E-72C4-DDB6-A0B5-9C0CCD4E9EEA}">
    <xltc:text>Source: Task 9 approved deployment constant | As-of: 2026-08-16 | URL: https://github.com/keqi119/Ant_charge_station/blob/main/docs/superpowers/specs/2026-08-16-charge-station-financing-model-design.md | Accessed: 2026-08-16 | Notes: Header comment covers deployment-month constants in L5:L10.</xltc:text>
  </xltc:threadedComment>
  <xltc:threadedComment ref="M4" dT="2026-08-16T18:28:33.158" personId="{C4087E82-3962-4D19-9A27-07F0F632D540}" id="{ED588F96-6E2D-9F3B-9F8F-6715E79A60B6}">
    <xltc:text>Source: Task 9 approved deployment constant | As-of: 2026-08-16 | URL: https://github.com/keqi119/Ant_charge_station/blob/main/docs/superpowers/specs/2026-08-16-charge-station-financing-model-design.md | Accessed: 2026-08-16 | Notes: Header comment covers approved slow-build rollout constants in M9:AD10.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72dd39b736344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f2cb8532e9c24590" /><Relationship Type="http://schemas.openxmlformats.org/officeDocument/2006/relationships/vmlDrawing" Target="/xl/drawings/vmldrawing.vml" Id="R07fae89f34004622" /><Relationship Type="http://schemas.microsoft.com/office/2017/10/relationships/threadedComment" Target="/xl/threadedcomments/threadedcomment.xml" Id="R768e055efe874a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d35949d8816a435d" /><Relationship Type="http://schemas.openxmlformats.org/officeDocument/2006/relationships/vmlDrawing" Target="/xl/drawings/vmldrawing2.vml" Id="Rcf0c273de5fe497e" /><Relationship Type="http://schemas.microsoft.com/office/2017/10/relationships/threadedComment" Target="/xl/threadedcomments/threadedcomment2.xml" Id="Raeb6ce603deb4e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3.xml" Id="R9fafd87b9a864734" /><Relationship Type="http://schemas.openxmlformats.org/officeDocument/2006/relationships/vmlDrawing" Target="/xl/drawings/vmldrawing3.vml" Id="R5663667e22f8478b" /><Relationship Type="http://schemas.microsoft.com/office/2017/10/relationships/threadedComment" Target="/xl/threadedcomments/threadedcomment3.xml" Id="Re75487980b114a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4.xml" Id="Rae5be6fa9b694694" /><Relationship Type="http://schemas.openxmlformats.org/officeDocument/2006/relationships/vmlDrawing" Target="/xl/drawings/vmldrawing4.vml" Id="Rdd21b52b505a44f7" /><Relationship Type="http://schemas.microsoft.com/office/2017/10/relationships/threadedComment" Target="/xl/threadedcomments/threadedcomment4.xml" Id="R79452cd5962f4c4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5.xml" Id="Rcc64c7eb18d34fbe" /><Relationship Type="http://schemas.openxmlformats.org/officeDocument/2006/relationships/vmlDrawing" Target="/xl/drawings/vmldrawing5.vml" Id="Rc64bda7b901c4681" /><Relationship Type="http://schemas.microsoft.com/office/2017/10/relationships/threadedComment" Target="/xl/threadedcomments/threadedcomment5.xml" Id="R8ba6655534cc40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</x:cols>
  <x:sheetData>
    <x:row r="1" ht="26" customHeight="1">
      <x:c r="A1" s="4" t="str">
        <x:v>融资摘要｜30,000枪三年经营、融资与资金缺口</x:v>
      </x:c>
      <x:c r="B1" s="4" t="str">
        <x:v>融资摘要｜30,000枪三年经营、融资与资金缺口</x:v>
      </x:c>
      <x:c r="C1" s="4" t="str">
        <x:v>融资摘要｜30,000枪三年经营、融资与资金缺口</x:v>
      </x:c>
      <x:c r="D1" s="4" t="str">
        <x:v>融资摘要｜30,000枪三年经营、融资与资金缺口</x:v>
      </x:c>
      <x:c r="E1" s="4" t="str">
        <x:v>融资摘要｜30,000枪三年经营、融资与资金缺口</x:v>
      </x:c>
      <x:c r="F1" s="4" t="str">
        <x:v>融资摘要｜30,000枪三年经营、融资与资金缺口</x:v>
      </x:c>
      <x:c r="G1" s="4" t="str">
        <x:v>融资摘要｜30,000枪三年经营、融资与资金缺口</x:v>
      </x:c>
      <x:c r="H1" s="4" t="str">
        <x:v>融资摘要｜30,000枪三年经营、融资与资金缺口</x:v>
      </x:c>
      <x:c r="I1" s="4" t="str">
        <x:v>融资摘要｜30,000枪三年经营、融资与资金缺口</x:v>
      </x:c>
      <x:c r="J1" s="4" t="str">
        <x:v>融资摘要｜30,000枪三年经营、融资与资金缺口</x:v>
      </x:c>
      <x:c r="K1" s="4" t="str">
        <x:v>融资摘要｜30,000枪三年经营、融资与资金缺口</x:v>
      </x:c>
      <x:c r="L1" s="4" t="str">
        <x:v>融资摘要｜30,000枪三年经营、融资与资金缺口</x:v>
      </x:c>
      <x:c r="M1" s="4" t="str">
        <x:v>融资摘要｜30,000枪三年经营、融资与资金缺口</x:v>
      </x:c>
      <x:c r="N1" s="4" t="str">
        <x:v>融资摘要｜30,000枪三年经营、融资与资金缺口</x:v>
      </x:c>
      <x:c r="O1" s="4" t="str">
        <x:v>融资摘要｜30,000枪三年经营、融资与资金缺口</x:v>
      </x:c>
      <x:c r="P1" s="4" t="str">
        <x:v>融资摘要｜30,000枪三年经营、融资与资金缺口</x:v>
      </x:c>
      <x:c r="Q1" s="4" t="str">
        <x:v>融资摘要｜30,000枪三年经营、融资与资金缺口</x:v>
      </x:c>
      <x:c r="R1" s="4" t="str">
        <x:v>融资摘要｜30,000枪三年经营、融资与资金缺口</x:v>
      </x:c>
    </x:row>
    <x:row r="3">
      <x:c r="A3" s="13" t="str">
        <x:v>模型状态</x:v>
      </x:c>
      <x:c r="B3" s="15" t="str">
        <x:f>'情景分析、检查与来源'!$B$19</x:f>
        <x:v>PASS</x:v>
      </x:c>
      <x:c r="D3" s="124" t="str">
        <x:f>IF(OR('核心假设'!$B$37=0,'核心假设'!$B$38=0),"⚠ 当前总部成本或经营税费为0；录入前不得视为完整承销结果","总部成本与经营税费已录入")</x:f>
        <x:v>⚠ 当前总部成本或经营税费为0；录入前不得视为完整承销结果</x:v>
      </x:c>
      <x:c r="E3" s="124"/>
      <x:c r="F3" s="124"/>
      <x:c r="G3" s="124"/>
      <x:c r="H3" s="124"/>
      <x:c r="I3" s="124"/>
      <x:c r="J3" s="124"/>
      <x:c r="K3" s="124"/>
      <x:c r="L3" s="124"/>
      <x:c r="M3" s="124"/>
      <x:c r="N3" s="124"/>
      <x:c r="O3" s="124"/>
      <x:c r="P3" s="124"/>
      <x:c r="Q3" s="124"/>
      <x:c r="R3" s="124"/>
    </x:row>
    <x:row r="4">
      <x:c r="T4" t="str">
        <x:v>月份</x:v>
      </x:c>
      <x:c r="U4" t="str">
        <x:v>新增枪数</x:v>
      </x:c>
      <x:c r="V4" t="str">
        <x:v>累计枪数</x:v>
      </x:c>
      <x:c r="AC4" t="str">
        <x:v>期限</x:v>
      </x:c>
      <x:c r="AD4" t="str">
        <x:v>最低DSCR指数</x:v>
      </x:c>
      <x:c r="AE4" t="str">
        <x:v>峰值缺口指数</x:v>
      </x:c>
      <x:c r="AF4" t="str">
        <x:v>融资成本指数</x:v>
      </x:c>
    </x:row>
    <x:row r="5">
      <x:c r="A5" t="str">
        <x:v>新增目标枪数</x:v>
      </x:c>
      <x:c r="B5" s="40" t="n">
        <x:f>'核心假设'!$B$6</x:f>
        <x:v>30000</x:v>
      </x:c>
      <x:c r="D5" t="str">
        <x:v>第1年DSCR</x:v>
      </x:c>
      <x:c r="E5" s="99" t="n">
        <x:f>IF(SUM('融资租赁与资金缺口'!$B$110:$M$110)=0,"",SUM('36月运营模型'!$B$20:$M$20)/SUM('融资租赁与资金缺口'!$B$110:$M$110))</x:f>
        <x:v>3.1552423882275793</x:v>
      </x:c>
      <x:c r="G5" t="str">
        <x:v>全期限融资成本</x:v>
      </x:c>
      <x:c r="H5" s="28" t="n">
        <x:f>SUM('融资租赁与资金缺口'!$B$107:$BI$107)</x:f>
        <x:v>70209607.73916271</x:v>
      </x:c>
      <x:c r="T5" s="43" t="str">
        <x:f>TEXT('36月运营模型'!B5,"yyyy-mm")</x:f>
        <x:v>2026-09</x:v>
      </x:c>
      <x:c r="U5" t="n">
        <x:f>'36月运营模型'!B7</x:f>
        <x:v>1500</x:v>
      </x:c>
      <x:c r="V5" t="n">
        <x:f>'36月运营模型'!B8</x:f>
        <x:v>1500</x:v>
      </x:c>
      <x:c r="AC5" t="n">
        <x:f>'情景分析、检查与来源'!A15</x:f>
        <x:v>18</x:v>
      </x:c>
      <x:c r="AD5" t="n">
        <x:f>'情景分析、检查与来源'!D15/'情景分析、检查与来源'!$D$17</x:f>
        <x:v>0.5493424020901881</x:v>
      </x:c>
      <x:c r="AE5" t="n">
        <x:f>'情景分析、检查与来源'!F15/'情景分析、检查与来源'!$F$17</x:f>
        <x:v>42.92699784838172</x:v>
      </x:c>
      <x:c r="AF5" t="n">
        <x:f>'情景分析、检查与来源'!G15/'情景分析、检查与来源'!$G$17</x:f>
        <x:v>0.5036067111203328</x:v>
      </x:c>
    </x:row>
    <x:row r="6">
      <x:c r="A6" t="str">
        <x:v>总投资</x:v>
      </x:c>
      <x:c r="B6" s="28" t="n">
        <x:f>SUM('融资租赁与资金缺口'!$M$5:$M$16)</x:f>
        <x:v>640300000</x:v>
      </x:c>
      <x:c r="D6" t="str">
        <x:v>第2年DSCR</x:v>
      </x:c>
      <x:c r="E6" s="99" t="n">
        <x:f>IF(SUM('融资租赁与资金缺口'!$N$110:$Y$110)=0,"",SUM('36月运营模型'!$N$20:$Y$20)/SUM('融资租赁与资金缺口'!$N$110:$Y$110))</x:f>
        <x:v>2.1958020493194677</x:v>
      </x:c>
      <x:c r="G6" t="str">
        <x:v>全期限留购款</x:v>
      </x:c>
      <x:c r="H6" s="28" t="n">
        <x:f>SUM('融资租赁与资金缺口'!$B$109:$BI$109)</x:f>
        <x:v>5433000</x:v>
      </x:c>
      <x:c r="T6" s="43" t="str">
        <x:f>TEXT('36月运营模型'!C5,"yyyy-mm")</x:f>
        <x:v>2026-10</x:v>
      </x:c>
      <x:c r="U6" t="n">
        <x:f>'36月运营模型'!C7</x:f>
        <x:v>1800</x:v>
      </x:c>
      <x:c r="V6" t="n">
        <x:f>'36月运营模型'!C8</x:f>
        <x:v>3300</x:v>
      </x:c>
      <x:c r="AC6" t="n">
        <x:f>'情景分析、检查与来源'!A16</x:f>
        <x:v>24</x:v>
      </x:c>
      <x:c r="AD6" t="n">
        <x:f>'情景分析、检查与来源'!D16/'情景分析、检查与来源'!$D$17</x:f>
        <x:v>0.7180821511622278</x:v>
      </x:c>
      <x:c r="AE6" t="n">
        <x:f>'情景分析、检查与来源'!F16/'情景分析、检查与来源'!$F$17</x:f>
        <x:v>2.380602962270309</x:v>
      </x:c>
      <x:c r="AF6" t="n">
        <x:f>'情景分析、检查与来源'!G16/'情景分析、检查与来源'!$G$17</x:f>
        <x:v>0.6670412109680492</x:v>
      </x:c>
    </x:row>
    <x:row r="7">
      <x:c r="A7" t="str">
        <x:v>三年服务费</x:v>
      </x:c>
      <x:c r="B7" s="28" t="n">
        <x:f>SUM('36月运营模型'!$B$12:$AK$12)</x:f>
        <x:v>1547192645.9628906</x:v>
      </x:c>
      <x:c r="D7" t="str">
        <x:v>第3年DSCR</x:v>
      </x:c>
      <x:c r="E7" s="99" t="n">
        <x:f>IF(SUM('融资租赁与资金缺口'!$Z$110:$AK$110)=0,"",SUM('36月运营模型'!$Z$20:$AK$20)/SUM('融资租赁与资金缺口'!$Z$110:$AK$110))</x:f>
        <x:v>2.187183855263268</x:v>
      </x:c>
      <x:c r="G7" t="str">
        <x:v>三年经营贡献</x:v>
      </x:c>
      <x:c r="H7" s="28" t="n">
        <x:f>SUM('36月运营模型'!$B$19:$AK$19)</x:f>
        <x:v>1083034852.174024</x:v>
      </x:c>
      <x:c r="T7" s="43" t="str">
        <x:f>TEXT('36月运营模型'!D5,"yyyy-mm")</x:f>
        <x:v>2026-11</x:v>
      </x:c>
      <x:c r="U7" t="n">
        <x:f>'36月运营模型'!D7</x:f>
        <x:v>2100</x:v>
      </x:c>
      <x:c r="V7" t="n">
        <x:f>'36月运营模型'!D8</x:f>
        <x:v>5400</x:v>
      </x:c>
      <x:c r="AC7" t="n">
        <x:f>'情景分析、检查与来源'!A17</x:f>
        <x:v>36</x:v>
      </x:c>
      <x:c r="AD7" t="n">
        <x:f>'情景分析、检查与来源'!D17/'情景分析、检查与来源'!$D$17</x:f>
        <x:v>1</x:v>
      </x:c>
      <x:c r="AE7" t="n">
        <x:f>'情景分析、检查与来源'!F17/'情景分析、检查与来源'!$F$17</x:f>
        <x:v>1</x:v>
      </x:c>
      <x:c r="AF7" t="n">
        <x:f>'情景分析、检查与来源'!G17/'情景分析、检查与来源'!$G$17</x:f>
        <x:v>1</x:v>
      </x:c>
    </x:row>
    <x:row r="8">
      <x:c r="A8" t="str">
        <x:v>三年CFADS</x:v>
      </x:c>
      <x:c r="B8" s="28" t="n">
        <x:f>SUM('36月运营模型'!$B$20:$AK$20)</x:f>
        <x:v>1083034852.174024</x:v>
      </x:c>
      <x:c r="D8" t="str">
        <x:v>债务尾期DSCR</x:v>
      </x:c>
      <x:c r="E8" s="99" t="n">
        <x:f>IF(SUM('融资租赁与资金缺口'!$AL$110:$BI$110)=0,"",SUM('36月运营模型'!$AL$20:$BI$20)/SUM('融资租赁与资金缺口'!$AL$110:$BI$110))</x:f>
        <x:v>6.03723985950972</x:v>
      </x:c>
      <x:c r="G8" t="str">
        <x:v>三年经营贡献率</x:v>
      </x:c>
      <x:c r="H8" s="49" t="n">
        <x:f>IF(B7=0,0,H7/B7)</x:f>
        <x:v>0.7000000000000004</x:v>
      </x:c>
      <x:c r="T8" s="43" t="str">
        <x:f>TEXT('36月运营模型'!E5,"yyyy-mm")</x:f>
        <x:v>2026-12</x:v>
      </x:c>
      <x:c r="U8" t="n">
        <x:f>'36月运营模型'!E7</x:f>
        <x:v>2400</x:v>
      </x:c>
      <x:c r="V8" t="n">
        <x:f>'36月运营模型'!E8</x:f>
        <x:v>7800</x:v>
      </x:c>
    </x:row>
    <x:row r="9">
      <x:c r="A9" t="str">
        <x:v>租赁放款</x:v>
      </x:c>
      <x:c r="B9" s="28" t="n">
        <x:f>SUM('融资租赁与资金缺口'!$B$105:$BI$105)</x:f>
        <x:v>543300000</x:v>
      </x:c>
      <x:c r="D9" t="str">
        <x:v>全期限DSCR</x:v>
      </x:c>
      <x:c r="E9" s="99" t="n">
        <x:f>IF(SUM('融资租赁与资金缺口'!$B$110:$BI$110)=0,"",SUM('36月运营模型'!$B$20:$BI$20)/SUM('融资租赁与资金缺口'!$B$110:$BI$110))</x:f>
        <x:v>3.210520346327926</x:v>
      </x:c>
      <x:c r="G9" t="str">
        <x:v>基准情景服务费</x:v>
      </x:c>
      <x:c r="H9" s="28" t="n">
        <x:f>'情景分析、检查与来源'!$I$5</x:f>
        <x:v>1547192645.9628906</x:v>
      </x:c>
      <x:c r="T9" s="43" t="str">
        <x:f>TEXT('36月运营模型'!F5,"yyyy-mm")</x:f>
        <x:v>2027-01</x:v>
      </x:c>
      <x:c r="U9" t="n">
        <x:f>'36月运营模型'!F7</x:f>
        <x:v>2700</x:v>
      </x:c>
      <x:c r="V9" t="n">
        <x:f>'36月运营模型'!F8</x:f>
        <x:v>10500</x:v>
      </x:c>
    </x:row>
    <x:row r="10">
      <x:c r="A10" t="str">
        <x:v>最低股东资金</x:v>
      </x:c>
      <x:c r="B10" s="28" t="n">
        <x:f>'融资租赁与资金缺口'!$B$118</x:f>
        <x:v>229020.49134148727</x:v>
      </x:c>
      <x:c r="D10" t="str">
        <x:v>最低月度DSCR</x:v>
      </x:c>
      <x:c r="E10" s="99" t="n">
        <x:f>MIN('融资租赁与资金缺口'!$B$113:$BI$113)</x:f>
        <x:v>1.8550933514639445</x:v>
      </x:c>
      <x:c r="G10" t="str">
        <x:v>综合压力峰值缺口</x:v>
      </x:c>
      <x:c r="H10" s="28" t="n">
        <x:f>'情景分析、检查与来源'!$K$10</x:f>
        <x:v>189691510.98169732</x:v>
      </x:c>
      <x:c r="T10" s="43" t="str">
        <x:f>TEXT('36月运营模型'!G5,"yyyy-mm")</x:f>
        <x:v>2027-02</x:v>
      </x:c>
      <x:c r="U10" t="n">
        <x:f>'36月运营模型'!G7</x:f>
        <x:v>3000</x:v>
      </x:c>
      <x:c r="V10" t="n">
        <x:f>'36月运营模型'!G8</x:f>
        <x:v>13500</x:v>
      </x:c>
    </x:row>
    <x:row r="11">
      <x:c r="A11" t="str">
        <x:v>峰值缺口月份</x:v>
      </x:c>
      <x:c r="B11" s="50" t="n">
        <x:f>'融资租赁与资金缺口'!$B$120</x:f>
        <x:v>46327</x:v>
      </x:c>
      <x:c r="D11" t="str">
        <x:v>最低DSCR月份</x:v>
      </x:c>
      <x:c r="E11" s="50" t="n">
        <x:f>INDEX('融资租赁与资金缺口'!$B$101:$BI$101,1,MATCH(E10,'融资租赁与资金缺口'!$B$113:$BI$113,0))</x:f>
        <x:v>47150</x:v>
      </x:c>
      <x:c r="G11" t="str">
        <x:v>18个月最低DSCR</x:v>
      </x:c>
      <x:c r="H11" s="99" t="n">
        <x:f>'情景分析、检查与来源'!$D$15</x:f>
        <x:v>1.0190814377947408</x:v>
      </x:c>
      <x:c r="T11" s="43" t="str">
        <x:f>TEXT('36月运营模型'!H5,"yyyy-mm")</x:f>
        <x:v>2027-03</x:v>
      </x:c>
      <x:c r="U11" t="n">
        <x:f>'36月运营模型'!H7</x:f>
        <x:v>3300</x:v>
      </x:c>
      <x:c r="V11" t="n">
        <x:f>'36月运营模型'!H8</x:f>
        <x:v>16800</x:v>
      </x:c>
    </x:row>
    <x:row r="12">
      <x:c r="A12" t="str">
        <x:v>峰值缺口</x:v>
      </x:c>
      <x:c r="B12" s="28" t="n">
        <x:f>'融资租赁与资金缺口'!$B$121</x:f>
        <x:v>229020.49134148727</x:v>
      </x:c>
      <x:c r="D12" t="str">
        <x:v>三年末租赁余额</x:v>
      </x:c>
      <x:c r="E12" s="28" t="n">
        <x:f>'融资租赁与资金缺口'!$AK$111</x:f>
        <x:v>141715483.68353325</x:v>
      </x:c>
      <x:c r="G12" t="str">
        <x:v>36个月峰值缺口</x:v>
      </x:c>
      <x:c r="H12" s="28" t="n">
        <x:f>'情景分析、检查与来源'!$F$17</x:f>
        <x:v>229020.49134148657</x:v>
      </x:c>
      <x:c r="T12" s="43" t="str">
        <x:f>TEXT('36月运营模型'!I5,"yyyy-mm")</x:f>
        <x:v>2027-04</x:v>
      </x:c>
      <x:c r="U12" t="n">
        <x:f>'36月运营模型'!I7</x:f>
        <x:v>3300</x:v>
      </x:c>
      <x:c r="V12" t="n">
        <x:f>'36月运营模型'!I8</x:f>
        <x:v>20100</x:v>
      </x:c>
    </x:row>
    <x:row r="13">
      <x:c r="A13" t="str">
        <x:v>不可融资及自有资金承担</x:v>
      </x:c>
      <x:c r="B13" s="35" t="n">
        <x:f>SUM('融资租赁与资金缺口'!$M$5:$M$16)-SUM('融资租赁与资金缺口'!$E$5:$E$16)</x:f>
        <x:v>97000000</x:v>
      </x:c>
      <x:c r="T13" s="43" t="str">
        <x:f>TEXT('36月运营模型'!J5,"yyyy-mm")</x:f>
        <x:v>2027-05</x:v>
      </x:c>
      <x:c r="U13" t="n">
        <x:f>'36月运营模型'!J7</x:f>
        <x:v>3000</x:v>
      </x:c>
      <x:c r="V13" t="n">
        <x:f>'36月运营模型'!J8</x:f>
        <x:v>23100</x:v>
      </x:c>
    </x:row>
    <x:row r="14">
      <x:c r="T14" s="43" t="str">
        <x:f>TEXT('36月运营模型'!K5,"yyyy-mm")</x:f>
        <x:v>2027-06</x:v>
      </x:c>
      <x:c r="U14" t="n">
        <x:f>'36月运营模型'!K7</x:f>
        <x:v>2700</x:v>
      </x:c>
      <x:c r="V14" t="n">
        <x:f>'36月运营模型'!K8</x:f>
        <x:v>25800</x:v>
      </x:c>
    </x:row>
    <x:row r="15">
      <x:c r="T15" s="43" t="str">
        <x:f>TEXT('36月运营模型'!L5,"yyyy-mm")</x:f>
        <x:v>2027-07</x:v>
      </x:c>
      <x:c r="U15" t="n">
        <x:f>'36月运营模型'!L7</x:f>
        <x:v>2400</x:v>
      </x:c>
      <x:c r="V15" t="n">
        <x:f>'36月运营模型'!L8</x:f>
        <x:v>28200</x:v>
      </x:c>
    </x:row>
    <x:row r="16">
      <x:c r="T16" s="43" t="str">
        <x:f>TEXT('36月运营模型'!M5,"yyyy-mm")</x:f>
        <x:v>2027-08</x:v>
      </x:c>
      <x:c r="U16" t="n">
        <x:f>'36月运营模型'!M7</x:f>
        <x:v>1800</x:v>
      </x:c>
      <x:c r="V16" t="n">
        <x:f>'36月运营模型'!M8</x:f>
        <x:v>30000</x:v>
      </x:c>
    </x:row>
    <x:row r="20">
      <x:c r="T20" t="str">
        <x:v>月份</x:v>
      </x:c>
      <x:c r="U20" t="str">
        <x:v>服务费</x:v>
      </x:c>
      <x:c r="V20" t="str">
        <x:v>CFADS</x:v>
      </x:c>
      <x:c r="W20" t="str">
        <x:v>债务支付</x:v>
      </x:c>
      <x:c r="X20" t="str">
        <x:v>月份</x:v>
      </x:c>
      <x:c r="Y20" t="str">
        <x:v>股东投入前累计现金</x:v>
      </x:c>
      <x:c r="Z20" t="str">
        <x:v>月份</x:v>
      </x:c>
      <x:c r="AA20" t="str">
        <x:v>月度DSCR</x:v>
      </x:c>
      <x:c r="AB20" t="str">
        <x:v>1.0x参考线</x:v>
      </x:c>
    </x:row>
    <x:row r="21">
      <x:c r="T21" s="43" t="str">
        <x:f>TEXT('36月运营模型'!B5,"yyyy-mm")</x:f>
        <x:v>2026-09</x:v>
      </x:c>
      <x:c r="U21" t="n">
        <x:f>'36月运营模型'!B12</x:f>
        <x:v>1638342.5297091946</x:v>
      </x:c>
      <x:c r="V21" t="n">
        <x:f>'36月运营模型'!B20</x:f>
        <x:v>1146839.7707964361</x:v>
      </x:c>
      <x:c r="W21" t="n">
        <x:f>'融资租赁与资金缺口'!B110</x:f>
        <x:v>0</x:v>
      </x:c>
      <x:c r="X21" s="43" t="str">
        <x:f>TEXT('36月运营模型'!B5,"yyyy-mm")</x:f>
        <x:v>2026-09</x:v>
      </x:c>
      <x:c r="Y21" t="n">
        <x:f>'融资租赁与资金缺口'!B117</x:f>
        <x:v>1146839.7707964361</x:v>
      </x:c>
      <x:c r="Z21" s="43" t="str">
        <x:f>TEXT('36月运营模型'!B5,"yyyy-mm")</x:f>
        <x:v>2026-09</x:v>
      </x:c>
      <x:c r="AA21" s="115" t="str">
        <x:f>'融资租赁与资金缺口'!B113</x:f>
      </x:c>
      <x:c r="AB21" s="115" t="n">
        <x:f>1</x:f>
        <x:v>1</x:v>
      </x:c>
    </x:row>
    <x:row r="22">
      <x:c r="T22" s="43" t="str">
        <x:f>TEXT('36月运营模型'!C5,"yyyy-mm")</x:f>
        <x:v>2026-10</x:v>
      </x:c>
      <x:c r="U22" t="n">
        <x:f>'36月运营模型'!C12</x:f>
        <x:v>3906233.3462973856</x:v>
      </x:c>
      <x:c r="V22" t="n">
        <x:f>'36月运营模型'!C20</x:f>
        <x:v>2734363.34240817</x:v>
      </x:c>
      <x:c r="W22" t="n">
        <x:f>'融资租赁与资金缺口'!C110</x:f>
        <x:v>0</x:v>
      </x:c>
      <x:c r="X22" s="43" t="str">
        <x:f>TEXT('36月运营模型'!C5,"yyyy-mm")</x:f>
        <x:v>2026-10</x:v>
      </x:c>
      <x:c r="Y22" t="n">
        <x:f>'融资租赁与资金缺口'!C117</x:f>
        <x:v>101203.11320460518</x:v>
      </x:c>
      <x:c r="Z22" s="43" t="str">
        <x:f>TEXT('36月运营模型'!C5,"yyyy-mm")</x:f>
        <x:v>2026-10</x:v>
      </x:c>
      <x:c r="AA22" s="115" t="str">
        <x:f>'融资租赁与资金缺口'!C113</x:f>
      </x:c>
      <x:c r="AB22" s="115" t="n">
        <x:f>1</x:f>
        <x:v>1</x:v>
      </x:c>
    </x:row>
    <x:row r="23">
      <x:c r="T23" s="43" t="str">
        <x:f>TEXT('36月运营模型'!D5,"yyyy-mm")</x:f>
        <x:v>2026-11</x:v>
      </x:c>
      <x:c r="U23" t="n">
        <x:f>'36月运营模型'!D12</x:f>
        <x:v>7020842.93285177</x:v>
      </x:c>
      <x:c r="V23" t="n">
        <x:f>'36月运营模型'!D20</x:f>
        <x:v>4914590.052996239</x:v>
      </x:c>
      <x:c r="W23" t="n">
        <x:f>'融资租赁与资金缺口'!D110</x:f>
        <x:v>714813.6575423323</x:v>
      </x:c>
      <x:c r="X23" s="43" t="str">
        <x:f>TEXT('36月运营模型'!D5,"yyyy-mm")</x:f>
        <x:v>2026-11</x:v>
      </x:c>
      <x:c r="Y23" t="n">
        <x:f>'融资租赁与资金缺口'!D117</x:f>
        <x:v>-229020.49134148727</x:v>
      </x:c>
      <x:c r="Z23" s="43" t="str">
        <x:f>TEXT('36月运营模型'!D5,"yyyy-mm")</x:f>
        <x:v>2026-11</x:v>
      </x:c>
      <x:c r="AA23" s="115" t="n">
        <x:f>'融资租赁与资金缺口'!D113</x:f>
        <x:v>6.875344365821927</x:v>
      </x:c>
      <x:c r="AB23" s="115" t="n">
        <x:f>1</x:f>
        <x:v>1</x:v>
      </x:c>
    </x:row>
    <x:row r="24">
      <x:c r="T24" s="43" t="str">
        <x:f>TEXT('36月运营模型'!E5,"yyyy-mm")</x:f>
        <x:v>2026-12</x:v>
      </x:c>
      <x:c r="U24" t="n">
        <x:f>'36月运营模型'!E12</x:f>
        <x:v>11844418.075962326</x:v>
      </x:c>
      <x:c r="V24" t="n">
        <x:f>'36月运营模型'!E20</x:f>
        <x:v>8291092.653173627</x:v>
      </x:c>
      <x:c r="W24" t="n">
        <x:f>'融资租赁与资金缺口'!E110</x:f>
        <x:v>1571862.5483508515</x:v>
      </x:c>
      <x:c r="X24" s="43" t="str">
        <x:f>TEXT('36月运营模型'!E5,"yyyy-mm")</x:f>
        <x:v>2026-12</x:v>
      </x:c>
      <x:c r="Y24" t="n">
        <x:f>'融资租赁与资金缺口'!E117</x:f>
        <x:v>1220209.6134812862</x:v>
      </x:c>
      <x:c r="Z24" s="43" t="str">
        <x:f>TEXT('36月运营模型'!E5,"yyyy-mm")</x:f>
        <x:v>2026-12</x:v>
      </x:c>
      <x:c r="AA24" s="115" t="n">
        <x:f>'融资租赁与资金缺口'!E113</x:f>
        <x:v>5.274693173313646</x:v>
      </x:c>
      <x:c r="AB24" s="115" t="n">
        <x:f>1</x:f>
        <x:v>1</x:v>
      </x:c>
    </x:row>
    <x:row r="25">
      <x:c r="T25" s="43" t="str">
        <x:f>TEXT('36月运营模型'!F5,"yyyy-mm")</x:f>
        <x:v>2027-01</x:v>
      </x:c>
      <x:c r="U25" t="n">
        <x:f>'36月运营模型'!F12</x:f>
        <x:v>15169869.96581435</x:v>
      </x:c>
      <x:c r="V25" t="n">
        <x:f>'36月运营模型'!F20</x:f>
        <x:v>10618908.976070045</x:v>
      </x:c>
      <x:c r="W25" t="n">
        <x:f>'融资租赁与资金缺口'!F110</x:f>
        <x:v>2569934.1753550917</x:v>
      </x:c>
      <x:c r="X25" s="43" t="str">
        <x:f>TEXT('36月运营模型'!F5,"yyyy-mm")</x:f>
        <x:v>2027-01</x:v>
      </x:c>
      <x:c r="Y25" t="n">
        <x:f>'融资租赁与资金缺口'!F117</x:f>
        <x:v>3249184.4141962407</x:v>
      </x:c>
      <x:c r="Z25" s="43" t="str">
        <x:f>TEXT('36月运营模型'!F5,"yyyy-mm")</x:f>
        <x:v>2027-01</x:v>
      </x:c>
      <x:c r="AA25" s="115" t="n">
        <x:f>'融资租赁与资金缺口'!F113</x:f>
        <x:v>4.131977028011939</x:v>
      </x:c>
      <x:c r="AB25" s="115" t="n">
        <x:f>1</x:f>
        <x:v>1</x:v>
      </x:c>
    </x:row>
    <x:row r="26">
      <x:c r="T26" s="43" t="str">
        <x:f>TEXT('36月运营模型'!G5,"yyyy-mm")</x:f>
        <x:v>2027-02</x:v>
      </x:c>
      <x:c r="U26" t="n">
        <x:f>'36月运营模型'!G12</x:f>
        <x:v>16477424.954601841</x:v>
      </x:c>
      <x:c r="V26" t="n">
        <x:f>'36月运营模型'!G20</x:f>
        <x:v>11534197.468221288</x:v>
      </x:c>
      <x:c r="W26" t="n">
        <x:f>'融资租赁与资金缺口'!G110</x:f>
        <x:v>3710241.035625519</x:v>
      </x:c>
      <x:c r="X26" s="43" t="str">
        <x:f>TEXT('36月运营模型'!G5,"yyyy-mm")</x:f>
        <x:v>2027-02</x:v>
      </x:c>
      <x:c r="Y26" t="n">
        <x:f>'融资租赁与资金缺口'!G117</x:f>
        <x:v>4303140.846792015</x:v>
      </x:c>
      <x:c r="Z26" s="43" t="str">
        <x:f>TEXT('36月运营模型'!G5,"yyyy-mm")</x:f>
        <x:v>2027-02</x:v>
      </x:c>
      <x:c r="AA26" s="115" t="n">
        <x:f>'融资租赁与资金缺口'!G113</x:f>
        <x:v>3.1087461319818828</x:v>
      </x:c>
      <x:c r="AB26" s="115" t="n">
        <x:f>1</x:f>
        <x:v>1</x:v>
      </x:c>
    </x:row>
    <x:row r="27">
      <x:c r="T27" s="43" t="str">
        <x:f>TEXT('36月运营模型'!H5,"yyyy-mm")</x:f>
        <x:v>2027-03</x:v>
      </x:c>
      <x:c r="U27" t="n">
        <x:f>'36月运营模型'!H12</x:f>
        <x:v>22138528.108812165</x:v>
      </x:c>
      <x:c r="V27" t="n">
        <x:f>'36月运营模型'!H20</x:f>
        <x:v>15496969.676168516</x:v>
      </x:c>
      <x:c r="W27" t="n">
        <x:f>'融资租赁与资金缺口'!H110</x:f>
        <x:v>4992783.129162134</x:v>
      </x:c>
      <x:c r="X27" s="43" t="str">
        <x:f>TEXT('36月运营模型'!H5,"yyyy-mm")</x:f>
        <x:v>2027-03</x:v>
      </x:c>
      <x:c r="Y27" t="n">
        <x:f>'融资租赁与资金缺口'!H117</x:f>
        <x:v>7287327.393798399</x:v>
      </x:c>
      <x:c r="Z27" s="43" t="str">
        <x:f>TEXT('36月运营模型'!H5,"yyyy-mm")</x:f>
        <x:v>2027-03</x:v>
      </x:c>
      <x:c r="AA27" s="115" t="n">
        <x:f>'融资租赁与资金缺口'!H113</x:f>
        <x:v>3.1038739867656036</x:v>
      </x:c>
      <x:c r="AB27" s="115" t="n">
        <x:f>1</x:f>
        <x:v>1</x:v>
      </x:c>
    </x:row>
    <x:row r="28">
      <x:c r="T28" s="43" t="str">
        <x:f>TEXT('36月运营模型'!I5,"yyyy-mm")</x:f>
        <x:v>2027-04</x:v>
      </x:c>
      <x:c r="U28" t="n">
        <x:f>'36月运营模型'!I12</x:f>
        <x:v>27439885.92620202</x:v>
      </x:c>
      <x:c r="V28" t="n">
        <x:f>'36月运营模型'!I20</x:f>
        <x:v>19207920.148341417</x:v>
      </x:c>
      <x:c r="W28" t="n">
        <x:f>'融资租赁与资金缺口'!I110</x:f>
        <x:v>6417560.455964935</x:v>
      </x:c>
      <x:c r="X28" s="43" t="str">
        <x:f>TEXT('36月运营模型'!I5,"yyyy-mm")</x:f>
        <x:v>2027-04</x:v>
      </x:c>
      <x:c r="Y28" t="n">
        <x:f>'融资租赁与资金缺口'!I117</x:f>
        <x:v>11827687.08617488</x:v>
      </x:c>
      <x:c r="Z28" s="43" t="str">
        <x:f>TEXT('36月运营模型'!I5,"yyyy-mm")</x:f>
        <x:v>2027-04</x:v>
      </x:c>
      <x:c r="AA28" s="115" t="n">
        <x:f>'融资租赁与资金缺口'!I113</x:f>
        <x:v>2.993025197057274</x:v>
      </x:c>
      <x:c r="AB28" s="115" t="n">
        <x:f>1</x:f>
        <x:v>1</x:v>
      </x:c>
    </x:row>
    <x:row r="29">
      <x:c r="T29" s="43" t="str">
        <x:f>TEXT('36月运营模型'!J5,"yyyy-mm")</x:f>
        <x:v>2027-05</x:v>
      </x:c>
      <x:c r="U29" t="n">
        <x:f>'36月运营模型'!J12</x:f>
        <x:v>33138899.06570695</x:v>
      </x:c>
      <x:c r="V29" t="n">
        <x:f>'36月运营模型'!J20</x:f>
        <x:v>23197229.345994864</x:v>
      </x:c>
      <x:c r="W29" t="n">
        <x:f>'融资租赁与资金缺口'!J110</x:f>
        <x:v>7982148.021892991</x:v>
      </x:c>
      <x:c r="X29" s="43" t="str">
        <x:f>TEXT('36月运营模型'!J5,"yyyy-mm")</x:f>
        <x:v>2027-05</x:v>
      </x:c>
      <x:c r="Y29" t="n">
        <x:f>'融资租赁与资金缺口'!J117</x:f>
        <x:v>18792768.410276745</x:v>
      </x:c>
      <x:c r="Z29" s="43" t="str">
        <x:f>TEXT('36月运营模型'!J5,"yyyy-mm")</x:f>
        <x:v>2027-05</x:v>
      </x:c>
      <x:c r="AA29" s="115" t="n">
        <x:f>'融资租赁与资金缺口'!J113</x:f>
        <x:v>2.9061387088250927</x:v>
      </x:c>
      <x:c r="AB29" s="115" t="n">
        <x:f>1</x:f>
        <x:v>1</x:v>
      </x:c>
    </x:row>
    <x:row r="30">
      <x:c r="T30" s="43" t="str">
        <x:f>TEXT('36月运营模型'!K5,"yyyy-mm")</x:f>
        <x:v>2027-06</x:v>
      </x:c>
      <x:c r="U30" t="n">
        <x:f>'36月运营模型'!K12</x:f>
        <x:v>40678484.81288463</x:v>
      </x:c>
      <x:c r="V30" t="n">
        <x:f>'36月运营模型'!K20</x:f>
        <x:v>28474939.36901924</x:v>
      </x:c>
      <x:c r="W30" t="n">
        <x:f>'融资租赁与资金缺口'!K110</x:f>
        <x:v>9546735.587821048</x:v>
      </x:c>
      <x:c r="X30" s="43" t="str">
        <x:f>TEXT('36月运营模型'!K5,"yyyy-mm")</x:f>
        <x:v>2027-06</x:v>
      </x:c>
      <x:c r="Y30" t="n">
        <x:f>'融资租赁与资金缺口'!K117</x:f>
        <x:v>25610972.191474933</x:v>
      </x:c>
      <x:c r="Z30" s="43" t="str">
        <x:f>TEXT('36月运营模型'!K5,"yyyy-mm")</x:f>
        <x:v>2027-06</x:v>
      </x:c>
      <x:c r="AA30" s="115" t="n">
        <x:f>'融资租赁与资金缺口'!K113</x:f>
        <x:v>2.9826885962302403</x:v>
      </x:c>
      <x:c r="AB30" s="115" t="n">
        <x:f>1</x:f>
        <x:v>1</x:v>
      </x:c>
    </x:row>
    <x:row r="31">
      <x:c r="T31" s="43" t="str">
        <x:f>TEXT('36月运营模型'!L5,"yyyy-mm")</x:f>
        <x:v>2027-07</x:v>
      </x:c>
      <x:c r="U31" t="n">
        <x:f>'36月运营模型'!L12</x:f>
        <x:v>48520496.255549416</x:v>
      </x:c>
      <x:c r="V31" t="n">
        <x:f>'36月运营模型'!L20</x:f>
        <x:v>33964347.37888459</x:v>
      </x:c>
      <x:c r="W31" t="n">
        <x:f>'融资租赁与资金缺口'!L110</x:f>
        <x:v>11528049.069967676</x:v>
      </x:c>
      <x:c r="X31" s="43" t="str">
        <x:f>TEXT('36月运营模型'!L5,"yyyy-mm")</x:f>
        <x:v>2027-07</x:v>
      </x:c>
      <x:c r="Y31" t="n">
        <x:f>'融资租赁与资金缺口'!L117</x:f>
        <x:v>34547270.50039184</x:v>
      </x:c>
      <x:c r="Z31" s="43" t="str">
        <x:f>TEXT('36月运营模型'!L5,"yyyy-mm")</x:f>
        <x:v>2027-07</x:v>
      </x:c>
      <x:c r="AA31" s="115" t="n">
        <x:f>'融资租赁与资金缺口'!L113</x:f>
        <x:v>2.9462354968081192</x:v>
      </x:c>
      <x:c r="AB31" s="115" t="n">
        <x:f>1</x:f>
        <x:v>1</x:v>
      </x:c>
    </x:row>
    <x:row r="32">
      <x:c r="T32" s="43" t="str">
        <x:f>TEXT('36月运营模型'!M5,"yyyy-mm")</x:f>
        <x:v>2027-08</x:v>
      </x:c>
      <x:c r="U32" t="n">
        <x:f>'36月运营模型'!M12</x:f>
        <x:v>54469130.30685436</x:v>
      </x:c>
      <x:c r="V32" t="n">
        <x:f>'36月运营模型'!M20</x:f>
        <x:v>38128391.21479805</x:v>
      </x:c>
      <x:c r="W32" t="n">
        <x:f>'融资租赁与资金缺口'!M110</x:f>
        <x:v>13626601.691927811</x:v>
      </x:c>
      <x:c r="X32" s="43" t="str">
        <x:f>TEXT('36月运营模型'!M5,"yyyy-mm")</x:f>
        <x:v>2027-08</x:v>
      </x:c>
      <x:c r="Y32" t="n">
        <x:f>'融资租赁与资金缺口'!M117</x:f>
        <x:v>47049060.023262076</x:v>
      </x:c>
      <x:c r="Z32" s="43" t="str">
        <x:f>TEXT('36月运营模型'!M5,"yyyy-mm")</x:f>
        <x:v>2027-08</x:v>
      </x:c>
      <x:c r="AA32" s="115" t="n">
        <x:f>'融资租赁与资金缺口'!M113</x:f>
        <x:v>2.7980851041815304</x:v>
      </x:c>
      <x:c r="AB32" s="115" t="n">
        <x:f>1</x:f>
        <x:v>1</x:v>
      </x:c>
    </x:row>
    <x:row r="33">
      <x:c r="T33" s="43" t="str">
        <x:f>TEXT('36月运营模型'!N5,"yyyy-mm")</x:f>
        <x:v>2027-09</x:v>
      </x:c>
      <x:c r="U33" t="n">
        <x:f>'36月运营模型'!N12</x:f>
        <x:v>52579872.920133755</x:v>
      </x:c>
      <x:c r="V33" t="n">
        <x:f>'36月运营模型'!N20</x:f>
        <x:v>36805911.044093624</x:v>
      </x:c>
      <x:c r="W33" t="n">
        <x:f>'融资租赁与资金缺口'!N110</x:f>
        <x:v>15491981.800336821</x:v>
      </x:c>
      <x:c r="X33" s="43" t="str">
        <x:f>TEXT('36月运营模型'!N5,"yyyy-mm")</x:f>
        <x:v>2027-09</x:v>
      </x:c>
      <x:c r="Y33" t="n">
        <x:f>'融资租赁与资金缺口'!N117</x:f>
        <x:v>59362989.26701888</x:v>
      </x:c>
      <x:c r="Z33" s="43" t="str">
        <x:f>TEXT('36月运营模型'!N5,"yyyy-mm")</x:f>
        <x:v>2027-09</x:v>
      </x:c>
      <x:c r="AA33" s="115" t="n">
        <x:f>'融资租赁与资金缺口'!N113</x:f>
        <x:v>2.3758039170491023</x:v>
      </x:c>
      <x:c r="AB33" s="115" t="n">
        <x:f>1</x:f>
        <x:v>1</x:v>
      </x:c>
    </x:row>
    <x:row r="34">
      <x:c r="T34" s="43" t="str">
        <x:f>TEXT('36月运营模型'!O5,"yyyy-mm")</x:f>
        <x:v>2027-10</x:v>
      </x:c>
      <x:c r="U34" t="n">
        <x:f>'36月运营模型'!O12</x:f>
        <x:v>52184088.74461772</x:v>
      </x:c>
      <x:c r="V34" t="n">
        <x:f>'36月运营模型'!O20</x:f>
        <x:v>36528862.121232405</x:v>
      </x:c>
      <x:c r="W34" t="n">
        <x:f>'融资租赁与资金缺口'!O110</x:f>
        <x:v>16891016.88164358</x:v>
      </x:c>
      <x:c r="X34" s="43" t="str">
        <x:f>TEXT('36月运营模型'!O5,"yyyy-mm")</x:f>
        <x:v>2027-10</x:v>
      </x:c>
      <x:c r="Y34" t="n">
        <x:f>'融资租赁与资金缺口'!O117</x:f>
        <x:v>79000834.50660771</x:v>
      </x:c>
      <x:c r="Z34" s="43" t="str">
        <x:f>TEXT('36月运营模型'!O5,"yyyy-mm")</x:f>
        <x:v>2027-10</x:v>
      </x:c>
      <x:c r="AA34" s="115" t="n">
        <x:f>'融资租赁与资金缺口'!O113</x:f>
        <x:v>2.1626206626393456</x:v>
      </x:c>
      <x:c r="AB34" s="115" t="n">
        <x:f>1</x:f>
        <x:v>1</x:v>
      </x:c>
    </x:row>
    <x:row r="35">
      <x:c r="T35" s="43" t="str">
        <x:f>TEXT('36月运营模型'!P5,"yyyy-mm")</x:f>
        <x:v>2027-11</x:v>
      </x:c>
      <x:c r="U35" t="n">
        <x:f>'36月运营模型'!P12</x:f>
        <x:v>53824655.31841882</x:v>
      </x:c>
      <x:c r="V35" t="n">
        <x:f>'36月运营模型'!P20</x:f>
        <x:v>37677258.72289318</x:v>
      </x:c>
      <x:c r="W35" t="n">
        <x:f>'融资租赁与资金缺口'!P110</x:f>
        <x:v>16891016.88164358</x:v>
      </x:c>
      <x:c r="X35" s="43" t="str">
        <x:f>TEXT('36月运营模型'!P5,"yyyy-mm")</x:f>
        <x:v>2027-11</x:v>
      </x:c>
      <x:c r="Y35" t="n">
        <x:f>'融资租赁与资金缺口'!P117</x:f>
        <x:v>99787076.34785731</x:v>
      </x:c>
      <x:c r="Z35" s="43" t="str">
        <x:f>TEXT('36月运营模型'!P5,"yyyy-mm")</x:f>
        <x:v>2027-11</x:v>
      </x:c>
      <x:c r="AA35" s="115" t="n">
        <x:f>'融资租赁与资金缺口'!P113</x:f>
        <x:v>2.2306092633084265</x:v>
      </x:c>
      <x:c r="AB35" s="115" t="n">
        <x:f>1</x:f>
        <x:v>1</x:v>
      </x:c>
    </x:row>
    <x:row r="36">
      <x:c r="T36" s="43" t="str">
        <x:f>TEXT('36月运营模型'!Q5,"yyyy-mm")</x:f>
        <x:v>2027-12</x:v>
      </x:c>
      <x:c r="U36" t="n">
        <x:f>'36月运营模型'!Q12</x:f>
        <x:v>59863787.96671186</x:v>
      </x:c>
      <x:c r="V36" t="n">
        <x:f>'36月运营模型'!Q20</x:f>
        <x:v>41904651.5766983</x:v>
      </x:c>
      <x:c r="W36" t="n">
        <x:f>'融资租赁与资金缺口'!Q110</x:f>
        <x:v>16891016.88164358</x:v>
      </x:c>
      <x:c r="X36" s="43" t="str">
        <x:f>TEXT('36月运营模型'!Q5,"yyyy-mm")</x:f>
        <x:v>2027-12</x:v>
      </x:c>
      <x:c r="Y36" t="n">
        <x:f>'融资租赁与资金缺口'!Q117</x:f>
        <x:v>124800711.04291204</x:v>
      </x:c>
      <x:c r="Z36" s="43" t="str">
        <x:f>TEXT('36月运营模型'!Q5,"yyyy-mm")</x:f>
        <x:v>2027-12</x:v>
      </x:c>
      <x:c r="AA36" s="115" t="n">
        <x:f>'融资租赁与资金缺口'!Q113</x:f>
        <x:v>2.480883884630916</x:v>
      </x:c>
      <x:c r="AB36" s="115" t="n">
        <x:f>1</x:f>
        <x:v>1</x:v>
      </x:c>
    </x:row>
    <x:row r="37">
      <x:c r="T37" s="43" t="str">
        <x:f>TEXT('36月运营模型'!R5,"yyyy-mm")</x:f>
        <x:v>2028-01</x:v>
      </x:c>
      <x:c r="U37" t="n">
        <x:f>'36月运营模型'!R12</x:f>
        <x:v>54725360.62703589</x:v>
      </x:c>
      <x:c r="V37" t="n">
        <x:f>'36月运营模型'!R20</x:f>
        <x:v>38307752.438925125</x:v>
      </x:c>
      <x:c r="W37" t="n">
        <x:f>'融资租赁与资金缺口'!R110</x:f>
        <x:v>16891016.88164358</x:v>
      </x:c>
      <x:c r="X37" s="43" t="str">
        <x:f>TEXT('36月运营模型'!R5,"yyyy-mm")</x:f>
        <x:v>2028-01</x:v>
      </x:c>
      <x:c r="Y37" t="n">
        <x:f>'融资租赁与资金缺口'!R117</x:f>
        <x:v>146217446.6001936</x:v>
      </x:c>
      <x:c r="Z37" s="43" t="str">
        <x:f>TEXT('36月运营模型'!R5,"yyyy-mm")</x:f>
        <x:v>2028-01</x:v>
      </x:c>
      <x:c r="AA37" s="115" t="n">
        <x:f>'融资租赁与资金缺口'!R113</x:f>
        <x:v>2.2679364248671328</x:v>
      </x:c>
      <x:c r="AB37" s="115" t="n">
        <x:f>1</x:f>
        <x:v>1</x:v>
      </x:c>
    </x:row>
    <x:row r="38">
      <x:c r="T38" s="43" t="str">
        <x:f>TEXT('36月运营模型'!S5,"yyyy-mm")</x:f>
        <x:v>2028-02</x:v>
      </x:c>
      <x:c r="U38" t="n">
        <x:f>'36月运营模型'!S12</x:f>
        <x:v>46362141.856197216</x:v>
      </x:c>
      <x:c r="V38" t="n">
        <x:f>'36月运营模型'!S20</x:f>
        <x:v>32453499.299338046</x:v>
      </x:c>
      <x:c r="W38" t="n">
        <x:f>'融资租赁与资金缺口'!S110</x:f>
        <x:v>16891016.88164358</x:v>
      </x:c>
      <x:c r="X38" s="43" t="str">
        <x:f>TEXT('36月运营模型'!S5,"yyyy-mm")</x:f>
        <x:v>2028-02</x:v>
      </x:c>
      <x:c r="Y38" t="n">
        <x:f>'融资租赁与资金缺口'!S117</x:f>
        <x:v>161779929.01788807</x:v>
      </x:c>
      <x:c r="Z38" s="43" t="str">
        <x:f>TEXT('36月运营模型'!S5,"yyyy-mm")</x:f>
        <x:v>2028-02</x:v>
      </x:c>
      <x:c r="AA38" s="115" t="n">
        <x:f>'融资租赁与资金缺口'!S113</x:f>
        <x:v>1.9213466854447998</x:v>
      </x:c>
      <x:c r="AB38" s="115" t="n">
        <x:f>1</x:f>
        <x:v>1</x:v>
      </x:c>
    </x:row>
    <x:row r="39">
      <x:c r="T39" s="43" t="str">
        <x:f>TEXT('36月运营模型'!T5,"yyyy-mm")</x:f>
        <x:v>2028-03</x:v>
      </x:c>
      <x:c r="U39" t="n">
        <x:f>'36月运营模型'!T12</x:f>
        <x:v>47203684.6669769</x:v>
      </x:c>
      <x:c r="V39" t="n">
        <x:f>'36月运营模型'!T20</x:f>
        <x:v>33042579.26688383</x:v>
      </x:c>
      <x:c r="W39" t="n">
        <x:f>'融资租赁与资金缺口'!T110</x:f>
        <x:v>16891016.88164358</x:v>
      </x:c>
      <x:c r="X39" s="43" t="str">
        <x:f>TEXT('36月运营模型'!T5,"yyyy-mm")</x:f>
        <x:v>2028-03</x:v>
      </x:c>
      <x:c r="Y39" t="n">
        <x:f>'融资租赁与资金缺口'!T117</x:f>
        <x:v>177931491.40312833</x:v>
      </x:c>
      <x:c r="Z39" s="43" t="str">
        <x:f>TEXT('36月运营模型'!T5,"yyyy-mm")</x:f>
        <x:v>2028-03</x:v>
      </x:c>
      <x:c r="AA39" s="115" t="n">
        <x:f>'融资租赁与资金缺口'!T113</x:f>
        <x:v>1.9562220260873144</x:v>
      </x:c>
      <x:c r="AB39" s="115" t="n">
        <x:f>1</x:f>
        <x:v>1</x:v>
      </x:c>
    </x:row>
    <x:row r="40">
      <x:c r="T40" s="43" t="str">
        <x:f>TEXT('36月运营模型'!U5,"yyyy-mm")</x:f>
        <x:v>2028-04</x:v>
      </x:c>
      <x:c r="U40" t="n">
        <x:f>'36月运营模型'!U12</x:f>
        <x:v>47813009.10646806</x:v>
      </x:c>
      <x:c r="V40" t="n">
        <x:f>'36月运营模型'!U20</x:f>
        <x:v>33469106.374527637</x:v>
      </x:c>
      <x:c r="W40" t="n">
        <x:f>'融资租赁与资金缺口'!U110</x:f>
        <x:v>16891016.88164358</x:v>
      </x:c>
      <x:c r="X40" s="43" t="str">
        <x:f>TEXT('36月运营模型'!U5,"yyyy-mm")</x:f>
        <x:v>2028-04</x:v>
      </x:c>
      <x:c r="Y40" t="n">
        <x:f>'融资租赁与资金缺口'!U117</x:f>
        <x:v>194509580.8960124</x:v>
      </x:c>
      <x:c r="Z40" s="43" t="str">
        <x:f>TEXT('36月运营模型'!U5,"yyyy-mm")</x:f>
        <x:v>2028-04</x:v>
      </x:c>
      <x:c r="AA40" s="115" t="n">
        <x:f>'融资租赁与资金缺口'!U113</x:f>
        <x:v>1.9814737389138724</x:v>
      </x:c>
      <x:c r="AB40" s="115" t="n">
        <x:f>1</x:f>
        <x:v>1</x:v>
      </x:c>
    </x:row>
    <x:row r="41">
      <x:c r="T41" s="43" t="str">
        <x:f>TEXT('36月运营模型'!V5,"yyyy-mm")</x:f>
        <x:v>2028-05</x:v>
      </x:c>
      <x:c r="U41" t="n">
        <x:f>'36月运营模型'!V12</x:f>
        <x:v>49072855.124695614</x:v>
      </x:c>
      <x:c r="V41" t="n">
        <x:f>'36月运营模型'!V20</x:f>
        <x:v>34350998.587286934</x:v>
      </x:c>
      <x:c r="W41" t="n">
        <x:f>'融资租赁与资金缺口'!V110</x:f>
        <x:v>16891016.88164358</x:v>
      </x:c>
      <x:c r="X41" s="43" t="str">
        <x:f>TEXT('36月运营模型'!V5,"yyyy-mm")</x:f>
        <x:v>2028-05</x:v>
      </x:c>
      <x:c r="Y41" t="n">
        <x:f>'融资租赁与资金缺口'!V117</x:f>
        <x:v>211969562.60165575</x:v>
      </x:c>
      <x:c r="Z41" s="43" t="str">
        <x:f>TEXT('36月运营模型'!V5,"yyyy-mm")</x:f>
        <x:v>2028-05</x:v>
      </x:c>
      <x:c r="AA41" s="115" t="n">
        <x:f>'融资租赁与资金缺口'!V113</x:f>
        <x:v>2.0336844624563786</x:v>
      </x:c>
      <x:c r="AB41" s="115" t="n">
        <x:f>1</x:f>
        <x:v>1</x:v>
      </x:c>
    </x:row>
    <x:row r="42">
      <x:c r="T42" s="43" t="str">
        <x:f>TEXT('36月运营模型'!W5,"yyyy-mm")</x:f>
        <x:v>2028-06</x:v>
      </x:c>
      <x:c r="U42" t="n">
        <x:f>'36月运营模型'!W12</x:f>
        <x:v>52781218.13012149</x:v>
      </x:c>
      <x:c r="V42" t="n">
        <x:f>'36月运营模型'!W20</x:f>
        <x:v>36946852.69108504</x:v>
      </x:c>
      <x:c r="W42" t="n">
        <x:f>'融资租赁与资金缺口'!W110</x:f>
        <x:v>16891016.88164358</x:v>
      </x:c>
      <x:c r="X42" s="43" t="str">
        <x:f>TEXT('36月运营模型'!W5,"yyyy-mm")</x:f>
        <x:v>2028-06</x:v>
      </x:c>
      <x:c r="Y42" t="n">
        <x:f>'融资租赁与资金缺口'!W117</x:f>
        <x:v>232025398.41109723</x:v>
      </x:c>
      <x:c r="Z42" s="43" t="str">
        <x:f>TEXT('36月运营模型'!W5,"yyyy-mm")</x:f>
        <x:v>2028-06</x:v>
      </x:c>
      <x:c r="AA42" s="115" t="n">
        <x:f>'融资租赁与资金缺口'!W113</x:f>
        <x:v>2.187366986249198</x:v>
      </x:c>
      <x:c r="AB42" s="115" t="n">
        <x:f>1</x:f>
        <x:v>1</x:v>
      </x:c>
    </x:row>
    <x:row r="43">
      <x:c r="T43" s="43" t="str">
        <x:f>TEXT('36月运营模型'!X5,"yyyy-mm")</x:f>
        <x:v>2028-07</x:v>
      </x:c>
      <x:c r="U43" t="n">
        <x:f>'36月运营模型'!X12</x:f>
        <x:v>56524343.26135766</x:v>
      </x:c>
      <x:c r="V43" t="n">
        <x:f>'36月运营模型'!X20</x:f>
        <x:v>39567040.28295036</x:v>
      </x:c>
      <x:c r="W43" t="n">
        <x:f>'融资租赁与资金缺口'!X110</x:f>
        <x:v>16891016.88164358</x:v>
      </x:c>
      <x:c r="X43" s="43" t="str">
        <x:f>TEXT('36月运营模型'!X5,"yyyy-mm")</x:f>
        <x:v>2028-07</x:v>
      </x:c>
      <x:c r="Y43" t="n">
        <x:f>'融资租赁与资金缺口'!X117</x:f>
        <x:v>254701421.812404</x:v>
      </x:c>
      <x:c r="Z43" s="43" t="str">
        <x:f>TEXT('36月运营模型'!X5,"yyyy-mm")</x:f>
        <x:v>2028-07</x:v>
      </x:c>
      <x:c r="AA43" s="115" t="n">
        <x:f>'融资租赁与资金缺口'!X113</x:f>
        <x:v>2.342490127160437</x:v>
      </x:c>
      <x:c r="AB43" s="115" t="n">
        <x:f>1</x:f>
        <x:v>1</x:v>
      </x:c>
    </x:row>
    <x:row r="44">
      <x:c r="T44" s="43" t="str">
        <x:f>TEXT('36月运营模型'!Y5,"yyyy-mm")</x:f>
        <x:v>2028-08</x:v>
      </x:c>
      <x:c r="U44" t="n">
        <x:f>'36月运营模型'!Y12</x:f>
        <x:v>58493481.85873535</x:v>
      </x:c>
      <x:c r="V44" t="n">
        <x:f>'36月运营模型'!Y20</x:f>
        <x:v>40945437.301114745</x:v>
      </x:c>
      <x:c r="W44" t="n">
        <x:f>'融资租赁与资金缺口'!Y110</x:f>
        <x:v>16891016.88164358</x:v>
      </x:c>
      <x:c r="X44" s="43" t="str">
        <x:f>TEXT('36月运营模型'!Y5,"yyyy-mm")</x:f>
        <x:v>2028-08</x:v>
      </x:c>
      <x:c r="Y44" t="n">
        <x:f>'融资租赁与资金缺口'!Y117</x:f>
        <x:v>278755842.2318752</x:v>
      </x:c>
      <x:c r="Z44" s="43" t="str">
        <x:f>TEXT('36月运营模型'!Y5,"yyyy-mm")</x:f>
        <x:v>2028-08</x:v>
      </x:c>
      <x:c r="AA44" s="115" t="n">
        <x:f>'融资租赁与资金缺口'!Y113</x:f>
        <x:v>2.4240954578414082</x:v>
      </x:c>
      <x:c r="AB44" s="115" t="n">
        <x:f>1</x:f>
        <x:v>1</x:v>
      </x:c>
    </x:row>
    <x:row r="45">
      <x:c r="T45" s="43" t="str">
        <x:f>TEXT('36月运营模型'!Z5,"yyyy-mm")</x:f>
        <x:v>2028-09</x:v>
      </x:c>
      <x:c r="U45" t="n">
        <x:f>'36月运营模型'!Z12</x:f>
        <x:v>54611417.65697315</x:v>
      </x:c>
      <x:c r="V45" t="n">
        <x:f>'36月运营模型'!Z20</x:f>
        <x:v>38227992.35988121</x:v>
      </x:c>
      <x:c r="W45" t="n">
        <x:f>'融资租赁与资金缺口'!Z110</x:f>
        <x:v>16891016.88164358</x:v>
      </x:c>
      <x:c r="X45" s="43" t="str">
        <x:f>TEXT('36月运营模型'!Z5,"yyyy-mm")</x:f>
        <x:v>2028-09</x:v>
      </x:c>
      <x:c r="Y45" t="n">
        <x:f>'融资租赁与资金缺口'!Z117</x:f>
        <x:v>300092817.7101128</x:v>
      </x:c>
      <x:c r="Z45" s="43" t="str">
        <x:f>TEXT('36月运营模型'!Z5,"yyyy-mm")</x:f>
        <x:v>2028-09</x:v>
      </x:c>
      <x:c r="AA45" s="115" t="n">
        <x:f>'融资租赁与资金缺口'!Z113</x:f>
        <x:v>2.2632143835831298</x:v>
      </x:c>
      <x:c r="AB45" s="115" t="n">
        <x:f>1</x:f>
        <x:v>1</x:v>
      </x:c>
    </x:row>
    <x:row r="46">
      <x:c r="T46" s="43" t="str">
        <x:f>TEXT('36月运营模型'!AA5,"yyyy-mm")</x:f>
        <x:v>2028-10</x:v>
      </x:c>
      <x:c r="U46" t="n">
        <x:f>'36月运营模型'!AA12</x:f>
        <x:v>53146031.92241341</x:v>
      </x:c>
      <x:c r="V46" t="n">
        <x:f>'36月运营模型'!AA20</x:f>
        <x:v>37202222.345689386</x:v>
      </x:c>
      <x:c r="W46" t="n">
        <x:f>'融资租赁与资金缺口'!AA110</x:f>
        <x:v>16891016.88164358</x:v>
      </x:c>
      <x:c r="X46" s="43" t="str">
        <x:f>TEXT('36月运营模型'!AA5,"yyyy-mm")</x:f>
        <x:v>2028-10</x:v>
      </x:c>
      <x:c r="Y46" t="n">
        <x:f>'融资租赁与资金缺口'!AA117</x:f>
        <x:v>320404023.17415863</x:v>
      </x:c>
      <x:c r="Z46" s="43" t="str">
        <x:f>TEXT('36月运营模型'!AA5,"yyyy-mm")</x:f>
        <x:v>2028-10</x:v>
      </x:c>
      <x:c r="AA46" s="115" t="n">
        <x:f>'融资租赁与资金缺口'!AA113</x:f>
        <x:v>2.202485652957883</x:v>
      </x:c>
      <x:c r="AB46" s="115" t="n">
        <x:f>1</x:f>
        <x:v>1</x:v>
      </x:c>
    </x:row>
    <x:row r="47">
      <x:c r="T47" s="43" t="str">
        <x:f>TEXT('36月运营模型'!AB5,"yyyy-mm")</x:f>
        <x:v>2028-11</x:v>
      </x:c>
      <x:c r="U47" t="n">
        <x:f>'36月运营模型'!AB12</x:f>
        <x:v>54215003.34248471</x:v>
      </x:c>
      <x:c r="V47" t="n">
        <x:f>'36月运营模型'!AB20</x:f>
        <x:v>37950502.33973929</x:v>
      </x:c>
      <x:c r="W47" t="n">
        <x:f>'融资租赁与资金缺口'!AB110</x:f>
        <x:v>16891016.88164358</x:v>
      </x:c>
      <x:c r="X47" s="43" t="str">
        <x:f>TEXT('36月运营模型'!AB5,"yyyy-mm")</x:f>
        <x:v>2028-11</x:v>
      </x:c>
      <x:c r="Y47" t="n">
        <x:f>'融资租赁与资金缺口'!AB117</x:f>
        <x:v>341463508.63225436</x:v>
      </x:c>
      <x:c r="Z47" s="43" t="str">
        <x:f>TEXT('36月运营模型'!AB5,"yyyy-mm")</x:f>
        <x:v>2028-11</x:v>
      </x:c>
      <x:c r="AA47" s="115" t="n">
        <x:f>'融资租赁与资金缺口'!AB113</x:f>
        <x:v>2.2467861233968835</x:v>
      </x:c>
      <x:c r="AB47" s="115" t="n">
        <x:f>1</x:f>
        <x:v>1</x:v>
      </x:c>
    </x:row>
    <x:row r="48">
      <x:c r="T48" s="43" t="str">
        <x:f>TEXT('36月运营模型'!AC5,"yyyy-mm")</x:f>
        <x:v>2028-12</x:v>
      </x:c>
      <x:c r="U48" t="n">
        <x:f>'36月运营模型'!AC12</x:f>
        <x:v>59971737.093480125</x:v>
      </x:c>
      <x:c r="V48" t="n">
        <x:f>'36月运营模型'!AC20</x:f>
        <x:v>41980215.965436086</x:v>
      </x:c>
      <x:c r="W48" t="n">
        <x:f>'融资租赁与资金缺口'!AC110</x:f>
        <x:v>16891016.88164358</x:v>
      </x:c>
      <x:c r="X48" s="43" t="str">
        <x:f>TEXT('36月运营模型'!AC5,"yyyy-mm")</x:f>
        <x:v>2028-12</x:v>
      </x:c>
      <x:c r="Y48" t="n">
        <x:f>'融资租赁与资金缺口'!AC117</x:f>
        <x:v>366552707.71604687</x:v>
      </x:c>
      <x:c r="Z48" s="43" t="str">
        <x:f>TEXT('36月运营模型'!AC5,"yyyy-mm")</x:f>
        <x:v>2028-12</x:v>
      </x:c>
      <x:c r="AA48" s="115" t="n">
        <x:f>'融资租赁与资金缺口'!AC113</x:f>
        <x:v>2.485357528181643</x:v>
      </x:c>
      <x:c r="AB48" s="115" t="n">
        <x:f>1</x:f>
        <x:v>1</x:v>
      </x:c>
    </x:row>
    <x:row r="49">
      <x:c r="T49" s="43" t="str">
        <x:f>TEXT('36月运营模型'!AD5,"yyyy-mm")</x:f>
        <x:v>2029-01</x:v>
      </x:c>
      <x:c r="U49" t="n">
        <x:f>'36月运营模型'!AD12</x:f>
        <x:v>54725360.62703589</x:v>
      </x:c>
      <x:c r="V49" t="n">
        <x:f>'36月运营模型'!AD20</x:f>
        <x:v>38307752.438925125</x:v>
      </x:c>
      <x:c r="W49" t="n">
        <x:f>'融资租赁与资金缺口'!AD110</x:f>
        <x:v>16891016.88164358</x:v>
      </x:c>
      <x:c r="X49" s="43" t="str">
        <x:f>TEXT('36月运营模型'!AD5,"yyyy-mm")</x:f>
        <x:v>2029-01</x:v>
      </x:c>
      <x:c r="Y49" t="n">
        <x:f>'融资租赁与资金缺口'!AD117</x:f>
        <x:v>387969443.2733284</x:v>
      </x:c>
      <x:c r="Z49" s="43" t="str">
        <x:f>TEXT('36月运营模型'!AD5,"yyyy-mm")</x:f>
        <x:v>2029-01</x:v>
      </x:c>
      <x:c r="AA49" s="115" t="n">
        <x:f>'融资租赁与资金缺口'!AD113</x:f>
        <x:v>2.2679364248671328</x:v>
      </x:c>
      <x:c r="AB49" s="115" t="n">
        <x:f>1</x:f>
        <x:v>1</x:v>
      </x:c>
    </x:row>
    <x:row r="50">
      <x:c r="T50" s="43" t="str">
        <x:f>TEXT('36月运营模型'!AE5,"yyyy-mm")</x:f>
        <x:v>2029-02</x:v>
      </x:c>
      <x:c r="U50" t="n">
        <x:f>'36月运营模型'!AE12</x:f>
        <x:v>44763447.30943179</x:v>
      </x:c>
      <x:c r="V50" t="n">
        <x:f>'36月运营模型'!AE20</x:f>
        <x:v>31334413.11660225</x:v>
      </x:c>
      <x:c r="W50" t="n">
        <x:f>'融资租赁与资金缺口'!AE110</x:f>
        <x:v>16891016.88164358</x:v>
      </x:c>
      <x:c r="X50" s="43" t="str">
        <x:f>TEXT('36月运营模型'!AE5,"yyyy-mm")</x:f>
        <x:v>2029-02</x:v>
      </x:c>
      <x:c r="Y50" t="n">
        <x:f>'融资租赁与资金缺口'!AE117</x:f>
        <x:v>402412839.5082871</x:v>
      </x:c>
      <x:c r="Z50" s="43" t="str">
        <x:f>TEXT('36月运营模型'!AE5,"yyyy-mm")</x:f>
        <x:v>2029-02</x:v>
      </x:c>
      <x:c r="AA50" s="115" t="n">
        <x:f>'融资租赁与资金缺口'!AE113</x:f>
        <x:v>1.8550933514639445</x:v>
      </x:c>
      <x:c r="AB50" s="115" t="n">
        <x:f>1</x:f>
        <x:v>1</x:v>
      </x:c>
    </x:row>
    <x:row r="51">
      <x:c r="T51" s="43" t="str">
        <x:f>TEXT('36月运营模型'!AF5,"yyyy-mm")</x:f>
        <x:v>2029-03</x:v>
      </x:c>
      <x:c r="U51" t="n">
        <x:f>'36月运营模型'!AF12</x:f>
        <x:v>47203684.6669769</x:v>
      </x:c>
      <x:c r="V51" t="n">
        <x:f>'36月运营模型'!AF20</x:f>
        <x:v>33042579.26688383</x:v>
      </x:c>
      <x:c r="W51" t="n">
        <x:f>'融资租赁与资金缺口'!AF110</x:f>
        <x:v>16891016.88164358</x:v>
      </x:c>
      <x:c r="X51" s="43" t="str">
        <x:f>TEXT('36月运营模型'!AF5,"yyyy-mm")</x:f>
        <x:v>2029-03</x:v>
      </x:c>
      <x:c r="Y51" t="n">
        <x:f>'融资租赁与资金缺口'!AF117</x:f>
        <x:v>418564401.8935273</x:v>
      </x:c>
      <x:c r="Z51" s="43" t="str">
        <x:f>TEXT('36月运营模型'!AF5,"yyyy-mm")</x:f>
        <x:v>2029-03</x:v>
      </x:c>
      <x:c r="AA51" s="115" t="n">
        <x:f>'融资租赁与资金缺口'!AF113</x:f>
        <x:v>1.9562220260873144</x:v>
      </x:c>
      <x:c r="AB51" s="115" t="n">
        <x:f>1</x:f>
        <x:v>1</x:v>
      </x:c>
    </x:row>
    <x:row r="52">
      <x:c r="T52" s="43" t="str">
        <x:f>TEXT('36月运营模型'!AG5,"yyyy-mm")</x:f>
        <x:v>2029-04</x:v>
      </x:c>
      <x:c r="U52" t="n">
        <x:f>'36月运营模型'!AG12</x:f>
        <x:v>47813009.10646806</x:v>
      </x:c>
      <x:c r="V52" t="n">
        <x:f>'36月运营模型'!AG20</x:f>
        <x:v>33469106.374527637</x:v>
      </x:c>
      <x:c r="W52" t="n">
        <x:f>'融资租赁与资金缺口'!AG110</x:f>
        <x:v>16891016.88164358</x:v>
      </x:c>
      <x:c r="X52" s="43" t="str">
        <x:f>TEXT('36月运营模型'!AG5,"yyyy-mm")</x:f>
        <x:v>2029-04</x:v>
      </x:c>
      <x:c r="Y52" t="n">
        <x:f>'融资租赁与资金缺口'!AG117</x:f>
        <x:v>435142491.38641137</x:v>
      </x:c>
      <x:c r="Z52" s="43" t="str">
        <x:f>TEXT('36月运营模型'!AG5,"yyyy-mm")</x:f>
        <x:v>2029-04</x:v>
      </x:c>
      <x:c r="AA52" s="115" t="n">
        <x:f>'融资租赁与资金缺口'!AG113</x:f>
        <x:v>1.9814737389138724</x:v>
      </x:c>
      <x:c r="AB52" s="115" t="n">
        <x:f>1</x:f>
        <x:v>1</x:v>
      </x:c>
    </x:row>
    <x:row r="53">
      <x:c r="T53" s="43" t="str">
        <x:f>TEXT('36月运营模型'!AH5,"yyyy-mm")</x:f>
        <x:v>2029-05</x:v>
      </x:c>
      <x:c r="U53" t="n">
        <x:f>'36月运营模型'!AH12</x:f>
        <x:v>49072855.124695614</x:v>
      </x:c>
      <x:c r="V53" t="n">
        <x:f>'36月运营模型'!AH20</x:f>
        <x:v>34350998.587286934</x:v>
      </x:c>
      <x:c r="W53" t="n">
        <x:f>'融资租赁与资金缺口'!AH110</x:f>
        <x:v>16891016.88164358</x:v>
      </x:c>
      <x:c r="X53" s="43" t="str">
        <x:f>TEXT('36月运营模型'!AH5,"yyyy-mm")</x:f>
        <x:v>2029-05</x:v>
      </x:c>
      <x:c r="Y53" t="n">
        <x:f>'融资租赁与资金缺口'!AH117</x:f>
        <x:v>452602473.0920547</x:v>
      </x:c>
      <x:c r="Z53" s="43" t="str">
        <x:f>TEXT('36月运营模型'!AH5,"yyyy-mm")</x:f>
        <x:v>2029-05</x:v>
      </x:c>
      <x:c r="AA53" s="115" t="n">
        <x:f>'融资租赁与资金缺口'!AH113</x:f>
        <x:v>2.0336844624563786</x:v>
      </x:c>
      <x:c r="AB53" s="115" t="n">
        <x:f>1</x:f>
        <x:v>1</x:v>
      </x:c>
    </x:row>
    <x:row r="54">
      <x:c r="T54" s="43" t="str">
        <x:f>TEXT('36月运营模型'!AI5,"yyyy-mm")</x:f>
        <x:v>2029-06</x:v>
      </x:c>
      <x:c r="U54" t="n">
        <x:f>'36月运营模型'!AI12</x:f>
        <x:v>52781218.13012149</x:v>
      </x:c>
      <x:c r="V54" t="n">
        <x:f>'36月运营模型'!AI20</x:f>
        <x:v>36946852.69108504</x:v>
      </x:c>
      <x:c r="W54" t="n">
        <x:f>'融资租赁与资金缺口'!AI110</x:f>
        <x:v>16891016.88164358</x:v>
      </x:c>
      <x:c r="X54" s="43" t="str">
        <x:f>TEXT('36月运营模型'!AI5,"yyyy-mm")</x:f>
        <x:v>2029-06</x:v>
      </x:c>
      <x:c r="Y54" t="n">
        <x:f>'融资租赁与资金缺口'!AI117</x:f>
        <x:v>472658308.9014962</x:v>
      </x:c>
      <x:c r="Z54" s="43" t="str">
        <x:f>TEXT('36月运营模型'!AI5,"yyyy-mm")</x:f>
        <x:v>2029-06</x:v>
      </x:c>
      <x:c r="AA54" s="115" t="n">
        <x:f>'融资租赁与资金缺口'!AI113</x:f>
        <x:v>2.187366986249198</x:v>
      </x:c>
      <x:c r="AB54" s="115" t="n">
        <x:f>1</x:f>
        <x:v>1</x:v>
      </x:c>
    </x:row>
    <x:row r="55">
      <x:c r="T55" s="43" t="str">
        <x:f>TEXT('36月运营模型'!AJ5,"yyyy-mm")</x:f>
        <x:v>2029-07</x:v>
      </x:c>
      <x:c r="U55" t="n">
        <x:f>'36月运营模型'!AJ12</x:f>
        <x:v>56524343.26135766</x:v>
      </x:c>
      <x:c r="V55" t="n">
        <x:f>'36月运营模型'!AJ20</x:f>
        <x:v>39567040.28295036</x:v>
      </x:c>
      <x:c r="W55" t="n">
        <x:f>'融资租赁与资金缺口'!AJ110</x:f>
        <x:v>16891016.88164358</x:v>
      </x:c>
      <x:c r="X55" s="43" t="str">
        <x:f>TEXT('36月运营模型'!AJ5,"yyyy-mm")</x:f>
        <x:v>2029-07</x:v>
      </x:c>
      <x:c r="Y55" t="n">
        <x:f>'融资租赁与资金缺口'!AJ117</x:f>
        <x:v>495334332.3028029</x:v>
      </x:c>
      <x:c r="Z55" s="43" t="str">
        <x:f>TEXT('36月运营模型'!AJ5,"yyyy-mm")</x:f>
        <x:v>2029-07</x:v>
      </x:c>
      <x:c r="AA55" s="115" t="n">
        <x:f>'融资租赁与资金缺口'!AJ113</x:f>
        <x:v>2.342490127160437</x:v>
      </x:c>
      <x:c r="AB55" s="115" t="n">
        <x:f>1</x:f>
        <x:v>1</x:v>
      </x:c>
    </x:row>
    <x:row r="56">
      <x:c r="T56" s="43" t="str">
        <x:f>TEXT('36月运营模型'!AK5,"yyyy-mm")</x:f>
        <x:v>2029-08</x:v>
      </x:c>
      <x:c r="U56" t="n">
        <x:f>'36月运营模型'!AK12</x:f>
        <x:v>58493481.85873535</x:v>
      </x:c>
      <x:c r="V56" t="n">
        <x:f>'36月运营模型'!AK20</x:f>
        <x:v>40945437.301114745</x:v>
      </x:c>
      <x:c r="W56" t="n">
        <x:f>'融资租赁与资金缺口'!AK110</x:f>
        <x:v>16891016.88164358</x:v>
      </x:c>
      <x:c r="X56" s="43" t="str">
        <x:f>TEXT('36月运营模型'!AK5,"yyyy-mm")</x:f>
        <x:v>2029-08</x:v>
      </x:c>
      <x:c r="Y56" t="n">
        <x:f>'融资租赁与资金缺口'!AK117</x:f>
        <x:v>519388752.72227407</x:v>
      </x:c>
      <x:c r="Z56" s="43" t="str">
        <x:f>TEXT('36月运营模型'!AK5,"yyyy-mm")</x:f>
        <x:v>2029-08</x:v>
      </x:c>
      <x:c r="AA56" s="115" t="n">
        <x:f>'融资租赁与资金缺口'!AK113</x:f>
        <x:v>2.4240954578414082</x:v>
      </x:c>
      <x:c r="AB56" s="115" t="n">
        <x:f>1</x:f>
        <x:v>1</x:v>
      </x:c>
    </x:row>
    <x:row r="57">
      <x:c r="T57" s="43" t="str">
        <x:f>TEXT('36月运营模型'!AL5,"yyyy-mm")</x:f>
        <x:v>2029-09</x:v>
      </x:c>
      <x:c r="U57" t="n">
        <x:f>'36月运营模型'!AL12</x:f>
        <x:v>54611417.65697315</x:v>
      </x:c>
      <x:c r="V57" t="n">
        <x:f>'36月运营模型'!AL20</x:f>
        <x:v>38227992.35988121</x:v>
      </x:c>
      <x:c r="W57" t="n">
        <x:f>'融资租赁与资金缺口'!AL110</x:f>
        <x:v>16891016.88164358</x:v>
      </x:c>
      <x:c r="X57" s="43" t="str">
        <x:f>TEXT('36月运营模型'!AL5,"yyyy-mm")</x:f>
        <x:v>2029-09</x:v>
      </x:c>
      <x:c r="Y57" t="n">
        <x:f>'融资租赁与资金缺口'!AL117</x:f>
        <x:v>540725728.2005117</x:v>
      </x:c>
      <x:c r="Z57" s="43" t="str">
        <x:f>TEXT('36月运营模型'!AL5,"yyyy-mm")</x:f>
        <x:v>2029-09</x:v>
      </x:c>
      <x:c r="AA57" s="115" t="n">
        <x:f>'融资租赁与资金缺口'!AL113</x:f>
        <x:v>2.2632143835831298</x:v>
      </x:c>
      <x:c r="AB57" s="115" t="n">
        <x:f>1</x:f>
        <x:v>1</x:v>
      </x:c>
    </x:row>
    <x:row r="58">
      <x:c r="T58" s="43" t="str">
        <x:f>TEXT('36月运营模型'!AM5,"yyyy-mm")</x:f>
        <x:v>2029-10</x:v>
      </x:c>
      <x:c r="U58" t="n">
        <x:f>'36月运营模型'!AM12</x:f>
        <x:v>53146031.92241341</x:v>
      </x:c>
      <x:c r="V58" t="n">
        <x:f>'36月运营模型'!AM20</x:f>
        <x:v>37202222.345689386</x:v>
      </x:c>
      <x:c r="W58" t="n">
        <x:f>'融资租赁与资金缺口'!AM110</x:f>
        <x:v>17120936.88164358</x:v>
      </x:c>
      <x:c r="X58" s="43" t="str">
        <x:f>TEXT('36月运营模型'!AM5,"yyyy-mm")</x:f>
        <x:v>2029-10</x:v>
      </x:c>
      <x:c r="Y58" t="n">
        <x:f>'融资租赁与资金缺口'!AM117</x:f>
        <x:v>560807013.6645575</x:v>
      </x:c>
      <x:c r="Z58" s="43" t="str">
        <x:f>TEXT('36月运营模型'!AM5,"yyyy-mm")</x:f>
        <x:v>2029-10</x:v>
      </x:c>
      <x:c r="AA58" s="115" t="n">
        <x:f>'融资租赁与资金缺口'!AM113</x:f>
        <x:v>2.1729080950924016</x:v>
      </x:c>
      <x:c r="AB58" s="115" t="n">
        <x:f>1</x:f>
        <x:v>1</x:v>
      </x:c>
    </x:row>
    <x:row r="59">
      <x:c r="T59" s="43" t="str">
        <x:f>TEXT('36月运营模型'!AN5,"yyyy-mm")</x:f>
        <x:v>2029-11</x:v>
      </x:c>
      <x:c r="U59" t="n">
        <x:f>'36月运营模型'!AN12</x:f>
        <x:v>54215003.34248471</x:v>
      </x:c>
      <x:c r="V59" t="n">
        <x:f>'36月运营模型'!AN20</x:f>
        <x:v>37950502.33973929</x:v>
      </x:c>
      <x:c r="W59" t="n">
        <x:f>'融资租赁与资金缺口'!AN110</x:f>
        <x:v>16451873.22410125</x:v>
      </x:c>
      <x:c r="X59" s="43" t="str">
        <x:f>TEXT('36月运营模型'!AN5,"yyyy-mm")</x:f>
        <x:v>2029-11</x:v>
      </x:c>
      <x:c r="Y59" t="n">
        <x:f>'融资租赁与资金缺口'!AN117</x:f>
        <x:v>582305642.7801955</x:v>
      </x:c>
      <x:c r="Z59" s="43" t="str">
        <x:f>TEXT('36月运营模型'!AN5,"yyyy-mm")</x:f>
        <x:v>2029-11</x:v>
      </x:c>
      <x:c r="AA59" s="115" t="n">
        <x:f>'融资租赁与资金缺口'!AN113</x:f>
        <x:v>2.3067587394329983</x:v>
      </x:c>
      <x:c r="AB59" s="115" t="n">
        <x:f>1</x:f>
        <x:v>1</x:v>
      </x:c>
    </x:row>
    <x:row r="60">
      <x:c r="T60" s="43" t="str">
        <x:f>TEXT('36月运营模型'!AO5,"yyyy-mm")</x:f>
        <x:v>2029-12</x:v>
      </x:c>
      <x:c r="U60" t="n">
        <x:f>'36月运营模型'!AO12</x:f>
        <x:v>59971737.093480125</x:v>
      </x:c>
      <x:c r="V60" t="n">
        <x:f>'36月运营模型'!AO20</x:f>
        <x:v>41980215.965436086</x:v>
      </x:c>
      <x:c r="W60" t="n">
        <x:f>'融资租赁与资金缺口'!AO110</x:f>
        <x:v>15640184.333292726</x:v>
      </x:c>
      <x:c r="X60" s="43" t="str">
        <x:f>TEXT('36月运营模型'!AO5,"yyyy-mm")</x:f>
        <x:v>2029-12</x:v>
      </x:c>
      <x:c r="Y60" t="n">
        <x:f>'融资租赁与资金缺口'!AO117</x:f>
        <x:v>608645674.4123389</x:v>
      </x:c>
      <x:c r="Z60" s="43" t="str">
        <x:f>TEXT('36月运营模型'!AO5,"yyyy-mm")</x:f>
        <x:v>2029-12</x:v>
      </x:c>
      <x:c r="AA60" s="115" t="n">
        <x:f>'融资租赁与资金缺口'!AO113</x:f>
        <x:v>2.684125395892824</x:v>
      </x:c>
      <x:c r="AB60" s="115" t="n">
        <x:f>1</x:f>
        <x:v>1</x:v>
      </x:c>
    </x:row>
    <x:row r="61">
      <x:c r="T61" s="43" t="str">
        <x:f>TEXT('36月运营模型'!AP5,"yyyy-mm")</x:f>
        <x:v>2030-01</x:v>
      </x:c>
      <x:c r="U61" t="n">
        <x:f>'36月运营模型'!AP12</x:f>
        <x:v>54725360.62703589</x:v>
      </x:c>
      <x:c r="V61" t="n">
        <x:f>'36月运营模型'!AP20</x:f>
        <x:v>38307752.438925125</x:v>
      </x:c>
      <x:c r="W61" t="n">
        <x:f>'融资租赁与资金缺口'!AP110</x:f>
        <x:v>14687862.706288487</x:v>
      </x:c>
      <x:c r="X61" s="43" t="str">
        <x:f>TEXT('36月运营模型'!AP5,"yyyy-mm")</x:f>
        <x:v>2030-01</x:v>
      </x:c>
      <x:c r="Y61" t="n">
        <x:f>'融资租赁与资金缺口'!AP117</x:f>
        <x:v>632265564.1449755</x:v>
      </x:c>
      <x:c r="Z61" s="43" t="str">
        <x:f>TEXT('36月运营模型'!AP5,"yyyy-mm")</x:f>
        <x:v>2030-01</x:v>
      </x:c>
      <x:c r="AA61" s="115" t="n">
        <x:f>'融资租赁与资金缺口'!AP113</x:f>
        <x:v>2.608122992770349</x:v>
      </x:c>
      <x:c r="AB61" s="115" t="n">
        <x:f>1</x:f>
        <x:v>1</x:v>
      </x:c>
    </x:row>
    <x:row r="62">
      <x:c r="T62" s="43" t="str">
        <x:f>TEXT('36月运营模型'!AQ5,"yyyy-mm")</x:f>
        <x:v>2030-02</x:v>
      </x:c>
      <x:c r="U62" t="n">
        <x:f>'36月运营模型'!AQ12</x:f>
        <x:v>44763447.30943179</x:v>
      </x:c>
      <x:c r="V62" t="n">
        <x:f>'36月运营模型'!AQ20</x:f>
        <x:v>31334413.11660225</x:v>
      </x:c>
      <x:c r="W62" t="n">
        <x:f>'融资租赁与资金缺口'!AQ110</x:f>
        <x:v>13593305.846018061</x:v>
      </x:c>
      <x:c r="X62" s="43" t="str">
        <x:f>TEXT('36月运营模型'!AQ5,"yyyy-mm")</x:f>
        <x:v>2030-02</x:v>
      </x:c>
      <x:c r="Y62" t="n">
        <x:f>'融资租赁与资金缺口'!AQ117</x:f>
        <x:v>650006671.4155598</x:v>
      </x:c>
      <x:c r="Z62" s="43" t="str">
        <x:f>TEXT('36月运营模型'!AQ5,"yyyy-mm")</x:f>
        <x:v>2030-02</x:v>
      </x:c>
      <x:c r="AA62" s="115" t="n">
        <x:f>'融资租赁与资金缺口'!AQ113</x:f>
        <x:v>2.3051355918531886</x:v>
      </x:c>
      <x:c r="AB62" s="115" t="n">
        <x:f>1</x:f>
        <x:v>1</x:v>
      </x:c>
    </x:row>
    <x:row r="63">
      <x:c r="T63" s="43" t="str">
        <x:f>TEXT('36月运营模型'!AR5,"yyyy-mm")</x:f>
        <x:v>2030-03</x:v>
      </x:c>
      <x:c r="U63" t="n">
        <x:f>'36月运营模型'!AR12</x:f>
        <x:v>47203684.6669769</x:v>
      </x:c>
      <x:c r="V63" t="n">
        <x:f>'36月运营模型'!AR20</x:f>
        <x:v>33042579.26688383</x:v>
      </x:c>
      <x:c r="W63" t="n">
        <x:f>'融资租赁与资金缺口'!AR110</x:f>
        <x:v>12356513.752481446</x:v>
      </x:c>
      <x:c r="X63" s="43" t="str">
        <x:f>TEXT('36月运营模型'!AR5,"yyyy-mm")</x:f>
        <x:v>2030-03</x:v>
      </x:c>
      <x:c r="Y63" t="n">
        <x:f>'融资租赁与资金缺口'!AR117</x:f>
        <x:v>670692736.9299622</x:v>
      </x:c>
      <x:c r="Z63" s="43" t="str">
        <x:f>TEXT('36月运营模型'!AR5,"yyyy-mm")</x:f>
        <x:v>2030-03</x:v>
      </x:c>
      <x:c r="AA63" s="115" t="n">
        <x:f>'融资租赁与资金缺口'!AR113</x:f>
        <x:v>2.674102091315861</x:v>
      </x:c>
      <x:c r="AB63" s="115" t="n">
        <x:f>1</x:f>
        <x:v>1</x:v>
      </x:c>
    </x:row>
    <x:row r="64">
      <x:c r="T64" s="43" t="str">
        <x:f>TEXT('36月运营模型'!AS5,"yyyy-mm")</x:f>
        <x:v>2030-04</x:v>
      </x:c>
      <x:c r="U64" t="n">
        <x:f>'36月运营模型'!AS12</x:f>
        <x:v>47813009.10646806</x:v>
      </x:c>
      <x:c r="V64" t="n">
        <x:f>'36月运营模型'!AS20</x:f>
        <x:v>33469106.374527637</x:v>
      </x:c>
      <x:c r="W64" t="n">
        <x:f>'融资租赁与资金缺口'!AS110</x:f>
        <x:v>10976706.425678644</x:v>
      </x:c>
      <x:c r="X64" s="43" t="str">
        <x:f>TEXT('36月运营模型'!AS5,"yyyy-mm")</x:f>
        <x:v>2030-04</x:v>
      </x:c>
      <x:c r="Y64" t="n">
        <x:f>'融资租赁与资金缺口'!AS117</x:f>
        <x:v>693185136.8788111</x:v>
      </x:c>
      <x:c r="Z64" s="43" t="str">
        <x:f>TEXT('36月运营模型'!AS5,"yyyy-mm")</x:f>
        <x:v>2030-04</x:v>
      </x:c>
      <x:c r="AA64" s="115" t="n">
        <x:f>'融资租赁与资金缺口'!AS113</x:f>
        <x:v>3.049102807034249</x:v>
      </x:c>
      <x:c r="AB64" s="115" t="n">
        <x:f>1</x:f>
        <x:v>1</x:v>
      </x:c>
    </x:row>
    <x:row r="65">
      <x:c r="T65" s="43" t="str">
        <x:f>TEXT('36月运营模型'!AT5,"yyyy-mm")</x:f>
        <x:v>2030-05</x:v>
      </x:c>
      <x:c r="U65" t="n">
        <x:f>'36月运营模型'!AT12</x:f>
        <x:v>49072855.124695614</x:v>
      </x:c>
      <x:c r="V65" t="n">
        <x:f>'36月运营模型'!AT20</x:f>
        <x:v>34350998.587286934</x:v>
      </x:c>
      <x:c r="W65" t="n">
        <x:f>'融资租赁与资金缺口'!AT110</x:f>
        <x:v>9412118.859750587</x:v>
      </x:c>
      <x:c r="X65" s="43" t="str">
        <x:f>TEXT('36月运营模型'!AT5,"yyyy-mm")</x:f>
        <x:v>2030-05</x:v>
      </x:c>
      <x:c r="Y65" t="n">
        <x:f>'融资租赁与资金缺口'!AT117</x:f>
        <x:v>718124016.6063474</x:v>
      </x:c>
      <x:c r="Z65" s="43" t="str">
        <x:f>TEXT('36月运营模型'!AT5,"yyyy-mm")</x:f>
        <x:v>2030-05</x:v>
      </x:c>
      <x:c r="AA65" s="115" t="n">
        <x:f>'融资租赁与资金缺口'!AT113</x:f>
        <x:v>3.6496562675364688</x:v>
      </x:c>
      <x:c r="AB65" s="115" t="n">
        <x:f>1</x:f>
        <x:v>1</x:v>
      </x:c>
    </x:row>
    <x:row r="66">
      <x:c r="T66" s="43" t="str">
        <x:f>TEXT('36月运营模型'!AU5,"yyyy-mm")</x:f>
        <x:v>2030-06</x:v>
      </x:c>
      <x:c r="U66" t="n">
        <x:f>'36月运营模型'!AU12</x:f>
        <x:v>52781218.13012149</x:v>
      </x:c>
      <x:c r="V66" t="n">
        <x:f>'36月运营模型'!AU20</x:f>
        <x:v>36946852.69108504</x:v>
      </x:c>
      <x:c r="W66" t="n">
        <x:f>'融资租赁与资金缺口'!AU110</x:f>
        <x:v>7981571.2938225325</x:v>
      </x:c>
      <x:c r="X66" s="43" t="str">
        <x:f>TEXT('36月运营模型'!AU5,"yyyy-mm")</x:f>
        <x:v>2030-06</x:v>
      </x:c>
      <x:c r="Y66" t="n">
        <x:f>'融资租赁与资金缺口'!AU117</x:f>
        <x:v>747089298.0036099</x:v>
      </x:c>
      <x:c r="Z66" s="43" t="str">
        <x:f>TEXT('36月运营模型'!AU5,"yyyy-mm")</x:f>
        <x:v>2030-06</x:v>
      </x:c>
      <x:c r="AA66" s="115" t="n">
        <x:f>'融资租赁与资金缺口'!AU113</x:f>
        <x:v>4.629019942436731</x:v>
      </x:c>
      <x:c r="AB66" s="115" t="n">
        <x:f>1</x:f>
        <x:v>1</x:v>
      </x:c>
    </x:row>
    <x:row r="67">
      <x:c r="T67" s="43" t="str">
        <x:f>TEXT('36月运营模型'!AV5,"yyyy-mm")</x:f>
        <x:v>2030-07</x:v>
      </x:c>
      <x:c r="U67" t="n">
        <x:f>'36月运营模型'!AV12</x:f>
        <x:v>56524343.26135766</x:v>
      </x:c>
      <x:c r="V67" t="n">
        <x:f>'36月运营模型'!AV20</x:f>
        <x:v>39567040.28295036</x:v>
      </x:c>
      <x:c r="W67" t="n">
        <x:f>'融资租赁与资金缺口'!AV110</x:f>
        <x:v>6037967.811675902</x:v>
      </x:c>
      <x:c r="X67" s="43" t="str">
        <x:f>TEXT('36月运营模型'!AV5,"yyyy-mm")</x:f>
        <x:v>2030-07</x:v>
      </x:c>
      <x:c r="Y67" t="n">
        <x:f>'融资租赁与资金缺口'!AV117</x:f>
        <x:v>780618370.4748844</x:v>
      </x:c>
      <x:c r="Z67" s="43" t="str">
        <x:f>TEXT('36月运营模型'!AV5,"yyyy-mm")</x:f>
        <x:v>2030-07</x:v>
      </x:c>
      <x:c r="AA67" s="115" t="n">
        <x:f>'融资租赁与资金缺口'!AV113</x:f>
        <x:v>6.55303928690009</x:v>
      </x:c>
      <x:c r="AB67" s="115" t="n">
        <x:f>1</x:f>
        <x:v>1</x:v>
      </x:c>
    </x:row>
    <x:row r="68">
      <x:c r="T68" s="43" t="str">
        <x:f>TEXT('36月运营模型'!AW5,"yyyy-mm")</x:f>
        <x:v>2030-08</x:v>
      </x:c>
      <x:c r="U68" t="n">
        <x:f>'36月运营模型'!AW12</x:f>
        <x:v>58493481.85873535</x:v>
      </x:c>
      <x:c r="V68" t="n">
        <x:f>'36月运营模型'!AW20</x:f>
        <x:v>40945437.301114745</x:v>
      </x:c>
      <x:c r="W68" t="n">
        <x:f>'融资租赁与资金缺口'!AW110</x:f>
        <x:v>3864415.1897157663</x:v>
      </x:c>
      <x:c r="X68" s="43" t="str">
        <x:f>TEXT('36月运营模型'!AW5,"yyyy-mm")</x:f>
        <x:v>2030-08</x:v>
      </x:c>
      <x:c r="Y68" t="n">
        <x:f>'融资租赁与资金缺口'!AW117</x:f>
        <x:v>817699392.5862833</x:v>
      </x:c>
      <x:c r="Z68" s="43" t="str">
        <x:f>TEXT('36月运营模型'!AW5,"yyyy-mm")</x:f>
        <x:v>2030-08</x:v>
      </x:c>
      <x:c r="AA68" s="115" t="n">
        <x:f>'融资租赁与资金缺口'!AW113</x:f>
        <x:v>10.595506769065967</x:v>
      </x:c>
      <x:c r="AB68" s="115" t="n">
        <x:f>1</x:f>
        <x:v>1</x:v>
      </x:c>
    </x:row>
    <x:row r="69">
      <x:c r="T69" s="43" t="str">
        <x:f>TEXT('36月运营模型'!AX5,"yyyy-mm")</x:f>
        <x:v>2030-09</x:v>
      </x:c>
      <x:c r="U69" t="n">
        <x:f>'36月运营模型'!AX12</x:f>
        <x:v>54611417.65697315</x:v>
      </x:c>
      <x:c r="V69" t="n">
        <x:f>'36月运营模型'!AX20</x:f>
        <x:v>38227992.35988121</x:v>
      </x:c>
      <x:c r="W69" t="n">
        <x:f>'融资租赁与资金缺口'!AX110</x:f>
        <x:v>1849035.081306757</x:v>
      </x:c>
      <x:c r="X69" s="43" t="str">
        <x:f>TEXT('36月运营模型'!AX5,"yyyy-mm")</x:f>
        <x:v>2030-09</x:v>
      </x:c>
      <x:c r="Y69" t="n">
        <x:f>'融资租赁与资金缺口'!AX117</x:f>
        <x:v>854078349.8648578</x:v>
      </x:c>
      <x:c r="Z69" s="43" t="str">
        <x:f>TEXT('36月运营模型'!AX5,"yyyy-mm")</x:f>
        <x:v>2030-09</x:v>
      </x:c>
      <x:c r="AA69" s="115" t="n">
        <x:f>'融资租赁与资金缺口'!AX113</x:f>
        <x:v>20.674563044452665</x:v>
      </x:c>
      <x:c r="AB69" s="115" t="n">
        <x:f>1</x:f>
        <x:v>1</x:v>
      </x:c>
    </x:row>
    <x:row r="70">
      <x:c r="T70" s="43" t="str">
        <x:f>TEXT('36月运营模型'!AY5,"yyyy-mm")</x:f>
        <x:v>2030-10</x:v>
      </x:c>
      <x:c r="U70" t="n">
        <x:f>'36月运营模型'!AY12</x:f>
        <x:v>53146031.92241341</x:v>
      </x:c>
      <x:c r="V70" t="n">
        <x:f>'36月运营模型'!AY20</x:f>
        <x:v>37202222.345689386</x:v>
      </x:c>
      <x:c r="W70" t="n">
        <x:f>'融资租赁与资金缺口'!AY110</x:f>
        <x:v>0</x:v>
      </x:c>
      <x:c r="X70" s="43" t="str">
        <x:f>TEXT('36月运营模型'!AY5,"yyyy-mm")</x:f>
        <x:v>2030-10</x:v>
      </x:c>
      <x:c r="Y70" t="n">
        <x:f>'融资租赁与资金缺口'!AY117</x:f>
        <x:v>891280572.2105472</x:v>
      </x:c>
      <x:c r="Z70" s="43" t="str">
        <x:f>TEXT('36月运营模型'!AY5,"yyyy-mm")</x:f>
        <x:v>2030-10</x:v>
      </x:c>
      <x:c r="AA70" s="115" t="str">
        <x:f>'融资租赁与资金缺口'!AY113</x:f>
      </x:c>
      <x:c r="AB70" s="115" t="n">
        <x:f>1</x:f>
        <x:v>1</x:v>
      </x:c>
    </x:row>
    <x:row r="71">
      <x:c r="T71" s="43" t="str">
        <x:f>TEXT('36月运营模型'!AZ5,"yyyy-mm")</x:f>
        <x:v>2030-11</x:v>
      </x:c>
      <x:c r="U71" t="n">
        <x:f>'36月运营模型'!AZ12</x:f>
        <x:v>54215003.34248471</x:v>
      </x:c>
      <x:c r="V71" t="n">
        <x:f>'36月运营模型'!AZ20</x:f>
        <x:v>37950502.33973929</x:v>
      </x:c>
      <x:c r="W71" t="n">
        <x:f>'融资租赁与资金缺口'!AZ110</x:f>
        <x:v>0</x:v>
      </x:c>
      <x:c r="X71" s="43" t="str">
        <x:f>TEXT('36月运营模型'!AZ5,"yyyy-mm")</x:f>
        <x:v>2030-11</x:v>
      </x:c>
      <x:c r="Y71" t="n">
        <x:f>'融资租赁与资金缺口'!AZ117</x:f>
        <x:v>929231074.5502865</x:v>
      </x:c>
      <x:c r="Z71" s="43" t="str">
        <x:f>TEXT('36月运营模型'!AZ5,"yyyy-mm")</x:f>
        <x:v>2030-11</x:v>
      </x:c>
      <x:c r="AA71" s="115" t="str">
        <x:f>'融资租赁与资金缺口'!AZ113</x:f>
      </x:c>
      <x:c r="AB71" s="115" t="n">
        <x:f>1</x:f>
        <x:v>1</x:v>
      </x:c>
    </x:row>
    <x:row r="72">
      <x:c r="T72" s="43" t="str">
        <x:f>TEXT('36月运营模型'!BA5,"yyyy-mm")</x:f>
        <x:v>2030-12</x:v>
      </x:c>
      <x:c r="U72" t="n">
        <x:f>'36月运营模型'!BA12</x:f>
        <x:v>59971737.093480125</x:v>
      </x:c>
      <x:c r="V72" t="n">
        <x:f>'36月运营模型'!BA20</x:f>
        <x:v>41980215.965436086</x:v>
      </x:c>
      <x:c r="W72" t="n">
        <x:f>'融资租赁与资金缺口'!BA110</x:f>
        <x:v>0</x:v>
      </x:c>
      <x:c r="X72" s="43" t="str">
        <x:f>TEXT('36月运营模型'!BA5,"yyyy-mm")</x:f>
        <x:v>2030-12</x:v>
      </x:c>
      <x:c r="Y72" t="n">
        <x:f>'融资租赁与资金缺口'!BA117</x:f>
        <x:v>971211290.5157226</x:v>
      </x:c>
      <x:c r="Z72" s="43" t="str">
        <x:f>TEXT('36月运营模型'!BA5,"yyyy-mm")</x:f>
        <x:v>2030-12</x:v>
      </x:c>
      <x:c r="AA72" s="115" t="str">
        <x:f>'融资租赁与资金缺口'!BA113</x:f>
      </x:c>
      <x:c r="AB72" s="115" t="n">
        <x:f>1</x:f>
        <x:v>1</x:v>
      </x:c>
    </x:row>
    <x:row r="73">
      <x:c r="T73" s="43" t="str">
        <x:f>TEXT('36月运营模型'!BB5,"yyyy-mm")</x:f>
        <x:v>2031-01</x:v>
      </x:c>
      <x:c r="U73" t="n">
        <x:f>'36月运营模型'!BB12</x:f>
        <x:v>54725360.62703589</x:v>
      </x:c>
      <x:c r="V73" t="n">
        <x:f>'36月运营模型'!BB20</x:f>
        <x:v>38307752.438925125</x:v>
      </x:c>
      <x:c r="W73" t="n">
        <x:f>'融资租赁与资金缺口'!BB110</x:f>
        <x:v>0</x:v>
      </x:c>
      <x:c r="X73" s="43" t="str">
        <x:f>TEXT('36月运营模型'!BB5,"yyyy-mm")</x:f>
        <x:v>2031-01</x:v>
      </x:c>
      <x:c r="Y73" t="n">
        <x:f>'融资租赁与资金缺口'!BB117</x:f>
        <x:v>1009519042.9546478</x:v>
      </x:c>
      <x:c r="Z73" s="43" t="str">
        <x:f>TEXT('36月运营模型'!BB5,"yyyy-mm")</x:f>
        <x:v>2031-01</x:v>
      </x:c>
      <x:c r="AA73" s="115" t="str">
        <x:f>'融资租赁与资金缺口'!BB113</x:f>
      </x:c>
      <x:c r="AB73" s="115" t="n">
        <x:f>1</x:f>
        <x:v>1</x:v>
      </x:c>
    </x:row>
    <x:row r="74">
      <x:c r="T74" s="43" t="str">
        <x:f>TEXT('36月运营模型'!BC5,"yyyy-mm")</x:f>
        <x:v>2031-02</x:v>
      </x:c>
      <x:c r="U74" t="n">
        <x:f>'36月运营模型'!BC12</x:f>
        <x:v>44763447.30943179</x:v>
      </x:c>
      <x:c r="V74" t="n">
        <x:f>'36月运营模型'!BC20</x:f>
        <x:v>31334413.11660225</x:v>
      </x:c>
      <x:c r="W74" t="n">
        <x:f>'融资租赁与资金缺口'!BC110</x:f>
        <x:v>0</x:v>
      </x:c>
      <x:c r="X74" s="43" t="str">
        <x:f>TEXT('36月运营模型'!BC5,"yyyy-mm")</x:f>
        <x:v>2031-02</x:v>
      </x:c>
      <x:c r="Y74" t="n">
        <x:f>'融资租赁与资金缺口'!BC117</x:f>
        <x:v>1040853456.0712501</x:v>
      </x:c>
      <x:c r="Z74" s="43" t="str">
        <x:f>TEXT('36月运营模型'!BC5,"yyyy-mm")</x:f>
        <x:v>2031-02</x:v>
      </x:c>
      <x:c r="AA74" s="115" t="str">
        <x:f>'融资租赁与资金缺口'!BC113</x:f>
      </x:c>
      <x:c r="AB74" s="115" t="n">
        <x:f>1</x:f>
        <x:v>1</x:v>
      </x:c>
    </x:row>
    <x:row r="75">
      <x:c r="T75" s="43" t="str">
        <x:f>TEXT('36月运营模型'!BD5,"yyyy-mm")</x:f>
        <x:v>2031-03</x:v>
      </x:c>
      <x:c r="U75" t="n">
        <x:f>'36月运营模型'!BD12</x:f>
        <x:v>47203684.6669769</x:v>
      </x:c>
      <x:c r="V75" t="n">
        <x:f>'36月运营模型'!BD20</x:f>
        <x:v>33042579.26688383</x:v>
      </x:c>
      <x:c r="W75" t="n">
        <x:f>'融资租赁与资金缺口'!BD110</x:f>
        <x:v>0</x:v>
      </x:c>
      <x:c r="X75" s="43" t="str">
        <x:f>TEXT('36月运营模型'!BD5,"yyyy-mm")</x:f>
        <x:v>2031-03</x:v>
      </x:c>
      <x:c r="Y75" t="n">
        <x:f>'融资租赁与资金缺口'!BD117</x:f>
        <x:v>1073896035.3381338</x:v>
      </x:c>
      <x:c r="Z75" s="43" t="str">
        <x:f>TEXT('36月运营模型'!BD5,"yyyy-mm")</x:f>
        <x:v>2031-03</x:v>
      </x:c>
      <x:c r="AA75" s="115" t="str">
        <x:f>'融资租赁与资金缺口'!BD113</x:f>
      </x:c>
      <x:c r="AB75" s="115" t="n">
        <x:f>1</x:f>
        <x:v>1</x:v>
      </x:c>
    </x:row>
    <x:row r="76">
      <x:c r="T76" s="43" t="str">
        <x:f>TEXT('36月运营模型'!BE5,"yyyy-mm")</x:f>
        <x:v>2031-04</x:v>
      </x:c>
      <x:c r="U76" t="n">
        <x:f>'36月运营模型'!BE12</x:f>
        <x:v>47813009.10646806</x:v>
      </x:c>
      <x:c r="V76" t="n">
        <x:f>'36月运营模型'!BE20</x:f>
        <x:v>33469106.374527637</x:v>
      </x:c>
      <x:c r="W76" t="n">
        <x:f>'融资租赁与资金缺口'!BE110</x:f>
        <x:v>0</x:v>
      </x:c>
      <x:c r="X76" s="43" t="str">
        <x:f>TEXT('36月运营模型'!BE5,"yyyy-mm")</x:f>
        <x:v>2031-04</x:v>
      </x:c>
      <x:c r="Y76" t="n">
        <x:f>'融资租赁与资金缺口'!BE117</x:f>
        <x:v>1107365141.7126615</x:v>
      </x:c>
      <x:c r="Z76" s="43" t="str">
        <x:f>TEXT('36月运营模型'!BE5,"yyyy-mm")</x:f>
        <x:v>2031-04</x:v>
      </x:c>
      <x:c r="AA76" s="115" t="str">
        <x:f>'融资租赁与资金缺口'!BE113</x:f>
      </x:c>
      <x:c r="AB76" s="115" t="n">
        <x:f>1</x:f>
        <x:v>1</x:v>
      </x:c>
    </x:row>
    <x:row r="77">
      <x:c r="T77" s="43" t="str">
        <x:f>TEXT('36月运营模型'!BF5,"yyyy-mm")</x:f>
        <x:v>2031-05</x:v>
      </x:c>
      <x:c r="U77" t="n">
        <x:f>'36月运营模型'!BF12</x:f>
        <x:v>49072855.124695614</x:v>
      </x:c>
      <x:c r="V77" t="n">
        <x:f>'36月运营模型'!BF20</x:f>
        <x:v>34350998.587286934</x:v>
      </x:c>
      <x:c r="W77" t="n">
        <x:f>'融资租赁与资金缺口'!BF110</x:f>
        <x:v>0</x:v>
      </x:c>
      <x:c r="X77" s="43" t="str">
        <x:f>TEXT('36月运营模型'!BF5,"yyyy-mm")</x:f>
        <x:v>2031-05</x:v>
      </x:c>
      <x:c r="Y77" t="n">
        <x:f>'融资租赁与资金缺口'!BF117</x:f>
        <x:v>1141716140.2999485</x:v>
      </x:c>
      <x:c r="Z77" s="43" t="str">
        <x:f>TEXT('36月运营模型'!BF5,"yyyy-mm")</x:f>
        <x:v>2031-05</x:v>
      </x:c>
      <x:c r="AA77" s="115" t="str">
        <x:f>'融资租赁与资金缺口'!BF113</x:f>
      </x:c>
      <x:c r="AB77" s="115" t="n">
        <x:f>1</x:f>
        <x:v>1</x:v>
      </x:c>
    </x:row>
    <x:row r="78">
      <x:c r="T78" s="43" t="str">
        <x:f>TEXT('36月运营模型'!BG5,"yyyy-mm")</x:f>
        <x:v>2031-06</x:v>
      </x:c>
      <x:c r="U78" t="n">
        <x:f>'36月运营模型'!BG12</x:f>
        <x:v>52781218.13012149</x:v>
      </x:c>
      <x:c r="V78" t="n">
        <x:f>'36月运营模型'!BG20</x:f>
        <x:v>36946852.69108504</x:v>
      </x:c>
      <x:c r="W78" t="n">
        <x:f>'融资租赁与资金缺口'!BG110</x:f>
        <x:v>0</x:v>
      </x:c>
      <x:c r="X78" s="43" t="str">
        <x:f>TEXT('36月运营模型'!BG5,"yyyy-mm")</x:f>
        <x:v>2031-06</x:v>
      </x:c>
      <x:c r="Y78" t="n">
        <x:f>'融资租赁与资金缺口'!BG117</x:f>
        <x:v>1178662992.9910336</x:v>
      </x:c>
      <x:c r="Z78" s="43" t="str">
        <x:f>TEXT('36月运营模型'!BG5,"yyyy-mm")</x:f>
        <x:v>2031-06</x:v>
      </x:c>
      <x:c r="AA78" s="115" t="str">
        <x:f>'融资租赁与资金缺口'!BG113</x:f>
      </x:c>
      <x:c r="AB78" s="115" t="n">
        <x:f>1</x:f>
        <x:v>1</x:v>
      </x:c>
    </x:row>
    <x:row r="79">
      <x:c r="T79" s="43" t="str">
        <x:f>TEXT('36月运营模型'!BH5,"yyyy-mm")</x:f>
        <x:v>2031-07</x:v>
      </x:c>
      <x:c r="U79" t="n">
        <x:f>'36月运营模型'!BH12</x:f>
        <x:v>56524343.26135766</x:v>
      </x:c>
      <x:c r="V79" t="n">
        <x:f>'36月运营模型'!BH20</x:f>
        <x:v>39567040.28295036</x:v>
      </x:c>
      <x:c r="W79" t="n">
        <x:f>'融资租赁与资金缺口'!BH110</x:f>
        <x:v>0</x:v>
      </x:c>
      <x:c r="X79" s="43" t="str">
        <x:f>TEXT('36月运营模型'!BH5,"yyyy-mm")</x:f>
        <x:v>2031-07</x:v>
      </x:c>
      <x:c r="Y79" t="n">
        <x:f>'融资租赁与资金缺口'!BH117</x:f>
        <x:v>1218230033.273984</x:v>
      </x:c>
      <x:c r="Z79" s="43" t="str">
        <x:f>TEXT('36月运营模型'!BH5,"yyyy-mm")</x:f>
        <x:v>2031-07</x:v>
      </x:c>
      <x:c r="AA79" s="115" t="str">
        <x:f>'融资租赁与资金缺口'!BH113</x:f>
      </x:c>
      <x:c r="AB79" s="115" t="n">
        <x:f>1</x:f>
        <x:v>1</x:v>
      </x:c>
    </x:row>
    <x:row r="80">
      <x:c r="T80" s="43" t="str">
        <x:f>TEXT('36月运营模型'!BI5,"yyyy-mm")</x:f>
        <x:v>2031-08</x:v>
      </x:c>
      <x:c r="U80" t="n">
        <x:f>'36月运营模型'!BI12</x:f>
        <x:v>58493481.85873535</x:v>
      </x:c>
      <x:c r="V80" t="n">
        <x:f>'36月运营模型'!BI20</x:f>
        <x:v>40945437.301114745</x:v>
      </x:c>
      <x:c r="W80" t="n">
        <x:f>'融资租赁与资金缺口'!BI110</x:f>
        <x:v>0</x:v>
      </x:c>
      <x:c r="X80" s="43" t="str">
        <x:f>TEXT('36月运营模型'!BI5,"yyyy-mm")</x:f>
        <x:v>2031-08</x:v>
      </x:c>
      <x:c r="Y80" t="n">
        <x:f>'融资租赁与资金缺口'!BI117</x:f>
        <x:v>1259175470.5750988</x:v>
      </x:c>
      <x:c r="Z80" s="43" t="str">
        <x:f>TEXT('36月运营模型'!BI5,"yyyy-mm")</x:f>
        <x:v>2031-08</x:v>
      </x:c>
      <x:c r="AA80" s="115" t="n">
        <x:f>'融资租赁与资金缺口'!BI113</x:f>
        <x:v>0</x:v>
      </x:c>
      <x:c r="AB80" s="115" t="n">
        <x:f>1</x:f>
        <x:v>1</x:v>
      </x:c>
    </x:row>
  </x:sheetData>
  <x:mergeCells>
    <x:mergeCell ref="A1:R1"/>
    <x:mergeCell ref="D3:R3"/>
  </x:mergeCells>
  <x:pageMargins left="0.7" right="0.7" top="0.75" bottom="0.75" header="0.3" footer="0.3"/>
  <x:drawing xmlns:r="http://schemas.openxmlformats.org/officeDocument/2006/relationships" r:id="R272dd39b736344f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24" hidden="0" customWidth="1"/>
  </x:cols>
  <x:sheetData>
    <x:row r="1" ht="26" customHeight="1">
      <x:c r="A1" s="4" t="str">
        <x:v>核心假设｜30,000枪新增投放与融资参数</x:v>
      </x:c>
      <x:c r="B1" s="4" t="str">
        <x:v>核心假设｜30,000枪新增投放与融资参数</x:v>
      </x:c>
      <x:c r="C1" s="4" t="str">
        <x:v>核心假设｜30,000枪新增投放与融资参数</x:v>
      </x:c>
      <x:c r="D1" s="4" t="str">
        <x:v>核心假设｜30,000枪新增投放与融资参数</x:v>
      </x:c>
      <x:c r="E1" s="4" t="str">
        <x:v>核心假设｜30,000枪新增投放与融资参数</x:v>
      </x:c>
      <x:c r="F1" s="4" t="str">
        <x:v>核心假设｜30,000枪新增投放与融资参数</x:v>
      </x:c>
      <x:c r="G1" s="4" t="str">
        <x:v>核心假设｜30,000枪新增投放与融资参数</x:v>
      </x:c>
      <x:c r="H1" s="4" t="str">
        <x:v>核心假设｜30,000枪新增投放与融资参数</x:v>
      </x:c>
      <x:c r="I1" s="4" t="str">
        <x:v>核心假设｜30,000枪新增投放与融资参数</x:v>
      </x:c>
      <x:c r="J1" s="4" t="str">
        <x:v>核心假设｜30,000枪新增投放与融资参数</x:v>
      </x:c>
      <x:c r="K1" s="4" t="str">
        <x:v>核心假设｜30,000枪新增投放与融资参数</x:v>
      </x:c>
      <x:c r="L1" s="4" t="str">
        <x:v>核心假设｜30,000枪新增投放与融资参数</x:v>
      </x:c>
      <x:c r="M1" s="4" t="str">
        <x:v>核心假设｜30,000枪新增投放与融资参数</x:v>
      </x:c>
    </x:row>
    <x:row r="3">
      <x:c r="A3" s="13" t="str">
        <x:v>纵向假设（蓝字为可编辑输入）</x:v>
      </x:c>
      <x:c r="B3" s="14" t="str">
        <x:v>纵向假设（蓝字为可编辑输入）</x:v>
      </x:c>
      <x:c r="C3" s="15" t="str">
        <x:v>纵向假设（蓝字为可编辑输入）</x:v>
      </x:c>
    </x:row>
    <x:row r="4">
      <x:c r="A4" s="13" t="str">
        <x:v>参数</x:v>
      </x:c>
      <x:c r="B4" s="14" t="str">
        <x:v>基准值</x:v>
      </x:c>
      <x:c r="C4" s="15" t="str">
        <x:v>单位/说明</x:v>
      </x:c>
    </x:row>
    <x:row r="5">
      <x:c r="A5" t="str">
        <x:v>模型起始月</x:v>
      </x:c>
      <x:c r="B5" s="23" t="n">
        <x:v>46266</x:v>
      </x:c>
      <x:c r="C5" t="str">
        <x:v>月</x:v>
      </x:c>
    </x:row>
    <x:row r="6">
      <x:c r="A6" t="str">
        <x:v>新增目标枪数</x:v>
      </x:c>
      <x:c r="B6" s="17" t="n">
        <x:v>30000</x:v>
      </x:c>
      <x:c r="C6" t="str">
        <x:v>枪</x:v>
      </x:c>
    </x:row>
    <x:row r="7">
      <x:c r="A7" t="str">
        <x:v>正式报告期</x:v>
      </x:c>
      <x:c r="B7" s="17" t="n">
        <x:v>36</x:v>
      </x:c>
      <x:c r="C7" t="str">
        <x:v>月</x:v>
      </x:c>
    </x:row>
    <x:row r="8">
      <x:c r="A8" t="str">
        <x:v>底层计算期</x:v>
      </x:c>
      <x:c r="B8" s="17" t="n">
        <x:v>60</x:v>
      </x:c>
      <x:c r="C8" t="str">
        <x:v>月</x:v>
      </x:c>
    </x:row>
    <x:row r="9">
      <x:c r="A9" t="str">
        <x:v>上线比例为正的月份数</x:v>
      </x:c>
      <x:c r="B9" s="18" t="n">
        <x:f>COUNTIF(B55:M55,"&gt;0")</x:f>
        <x:v>12</x:v>
      </x:c>
      <x:c r="C9" t="str">
        <x:v>月（由B55:M55计算）</x:v>
      </x:c>
    </x:row>
    <x:row r="10">
      <x:c r="A10" t="str">
        <x:v>人口权重</x:v>
      </x:c>
      <x:c r="B10" s="20" t="n">
        <x:v>0.3</x:v>
      </x:c>
      <x:c r="C10" t="str">
        <x:v>%</x:v>
      </x:c>
    </x:row>
    <x:row r="11">
      <x:c r="A11" t="str">
        <x:v>密度权重</x:v>
      </x:c>
      <x:c r="B11" s="20" t="n">
        <x:v>0.25</x:v>
      </x:c>
      <x:c r="C11" t="str">
        <x:v>%</x:v>
      </x:c>
    </x:row>
    <x:row r="12">
      <x:c r="A12" t="str">
        <x:v>老旧住房权重</x:v>
      </x:c>
      <x:c r="B12" s="20" t="n">
        <x:v>0.3</x:v>
      </x:c>
      <x:c r="C12" t="str">
        <x:v>%</x:v>
      </x:c>
    </x:row>
    <x:row r="13">
      <x:c r="A13" t="str">
        <x:v>充电稀缺权重</x:v>
      </x:c>
      <x:c r="B13" s="20" t="n">
        <x:v>0.15</x:v>
      </x:c>
      <x:c r="C13" t="str">
        <x:v>%</x:v>
      </x:c>
    </x:row>
    <x:row r="14">
      <x:c r="A14" t="str">
        <x:v>城市权重合计</x:v>
      </x:c>
      <x:c r="B14" s="22" t="n">
        <x:f>SUM(B10:B13)</x:f>
        <x:v>1</x:v>
      </x:c>
      <x:c r="C14" t="str">
        <x:v>%</x:v>
      </x:c>
    </x:row>
    <x:row r="15">
      <x:c r="A15" t="str">
        <x:v>2枪站设备</x:v>
      </x:c>
      <x:c r="B15" s="17" t="n">
        <x:v>25000</x:v>
      </x:c>
      <x:c r="C15" t="str">
        <x:v>元/站</x:v>
      </x:c>
    </x:row>
    <x:row r="16">
      <x:c r="A16" t="str">
        <x:v>2枪站工程施工及辅材</x:v>
      </x:c>
      <x:c r="B16" s="17" t="n">
        <x:v>25000</x:v>
      </x:c>
      <x:c r="C16" t="str">
        <x:v>元/站</x:v>
      </x:c>
    </x:row>
    <x:row r="17">
      <x:c r="A17" t="str">
        <x:v>2枪站渠道公关</x:v>
      </x:c>
      <x:c r="B17" s="17" t="n">
        <x:v>10000</x:v>
      </x:c>
      <x:c r="C17" t="str">
        <x:v>元/站</x:v>
      </x:c>
    </x:row>
    <x:row r="18">
      <x:c r="A18" t="str">
        <x:v>4枪站设备</x:v>
      </x:c>
      <x:c r="B18" s="17" t="n">
        <x:v>36000</x:v>
      </x:c>
      <x:c r="C18" t="str">
        <x:v>元/站</x:v>
      </x:c>
    </x:row>
    <x:row r="19">
      <x:c r="A19" t="str">
        <x:v>4枪站工程施工及辅材</x:v>
      </x:c>
      <x:c r="B19" s="17" t="n">
        <x:v>25000</x:v>
      </x:c>
      <x:c r="C19" t="str">
        <x:v>元/站</x:v>
      </x:c>
    </x:row>
    <x:row r="20">
      <x:c r="A20" t="str">
        <x:v>4枪站渠道公关</x:v>
      </x:c>
      <x:c r="B20" s="17" t="n">
        <x:v>10000</x:v>
      </x:c>
      <x:c r="C20" t="str">
        <x:v>元/站</x:v>
      </x:c>
    </x:row>
    <x:row r="21">
      <x:c r="A21" t="str">
        <x:v>一线城市标准枪数</x:v>
      </x:c>
      <x:c r="B21" s="17" t="n">
        <x:v>1000</x:v>
      </x:c>
      <x:c r="C21" t="str">
        <x:v>枪/城</x:v>
      </x:c>
    </x:row>
    <x:row r="22">
      <x:c r="A22" t="str">
        <x:v>新一线城市标准枪数</x:v>
      </x:c>
      <x:c r="B22" s="17" t="n">
        <x:v>800</x:v>
      </x:c>
      <x:c r="C22" t="str">
        <x:v>枪/城</x:v>
      </x:c>
    </x:row>
    <x:row r="23">
      <x:c r="A23" t="str">
        <x:v>二线城市标准枪数</x:v>
      </x:c>
      <x:c r="B23" s="17" t="n">
        <x:v>600</x:v>
      </x:c>
      <x:c r="C23" t="str">
        <x:v>枪/城</x:v>
      </x:c>
    </x:row>
    <x:row r="24">
      <x:c r="A24" t="str">
        <x:v>三线城市标准枪数</x:v>
      </x:c>
      <x:c r="B24" s="17" t="n">
        <x:v>400</x:v>
      </x:c>
      <x:c r="C24" t="str">
        <x:v>枪/城</x:v>
      </x:c>
    </x:row>
    <x:row r="25">
      <x:c r="A25" t="str">
        <x:v>高分城市4枪站占比</x:v>
      </x:c>
      <x:c r="B25" s="20" t="n">
        <x:v>0.7</x:v>
      </x:c>
      <x:c r="C25" t="str">
        <x:v>%</x:v>
      </x:c>
    </x:row>
    <x:row r="26">
      <x:c r="A26" t="str">
        <x:v>低分城市4枪站占比</x:v>
      </x:c>
      <x:c r="B26" s="20" t="n">
        <x:v>0.4</x:v>
      </x:c>
      <x:c r="C26" t="str">
        <x:v>%</x:v>
      </x:c>
    </x:row>
    <x:row r="27">
      <x:c r="A27" t="str">
        <x:v>融资比例</x:v>
      </x:c>
      <x:c r="B27" s="20" t="n">
        <x:v>1</x:v>
      </x:c>
      <x:c r="C27" t="str">
        <x:v>%</x:v>
      </x:c>
    </x:row>
    <x:row r="28">
      <x:c r="A28" t="str">
        <x:v>融资期限</x:v>
      </x:c>
      <x:c r="B28" s="17" t="n">
        <x:v>36</x:v>
      </x:c>
      <x:c r="C28" t="str">
        <x:v>月</x:v>
      </x:c>
    </x:row>
    <x:row r="29">
      <x:c r="A29" t="str">
        <x:v>年化综合资金成本</x:v>
      </x:c>
      <x:c r="B29" s="20" t="n">
        <x:v>0.08</x:v>
      </x:c>
      <x:c r="C29" t="str">
        <x:v>%</x:v>
      </x:c>
    </x:row>
    <x:row r="30">
      <x:c r="A30" t="str">
        <x:v>放款延迟</x:v>
      </x:c>
      <x:c r="B30" s="17" t="n">
        <x:v>1</x:v>
      </x:c>
      <x:c r="C30" t="str">
        <x:v>月</x:v>
      </x:c>
    </x:row>
    <x:row r="31">
      <x:c r="A31" t="str">
        <x:v>供应商账期</x:v>
      </x:c>
      <x:c r="B31" s="17" t="n">
        <x:v>2</x:v>
      </x:c>
      <x:c r="C31" t="str">
        <x:v>月</x:v>
      </x:c>
    </x:row>
    <x:row r="32">
      <x:c r="A32" t="str">
        <x:v>留购款比例</x:v>
      </x:c>
      <x:c r="B32" s="20" t="n">
        <x:v>0.01</x:v>
      </x:c>
      <x:c r="C32" t="str">
        <x:v>%</x:v>
      </x:c>
    </x:row>
    <x:row r="33">
      <x:c r="A33" t="str">
        <x:v>物业方式</x:v>
      </x:c>
      <x:c r="B33" s="17" t="str">
        <x:v>分成</x:v>
      </x:c>
      <x:c r="C33" t="str">
        <x:v>分成/固定租金</x:v>
      </x:c>
    </x:row>
    <x:row r="34">
      <x:c r="A34" t="str">
        <x:v>物业服务费分成</x:v>
      </x:c>
      <x:c r="B34" s="20" t="n">
        <x:v>0.2</x:v>
      </x:c>
      <x:c r="C34" t="str">
        <x:v>%</x:v>
      </x:c>
    </x:row>
    <x:row r="35">
      <x:c r="A35" t="str">
        <x:v>固定月租</x:v>
      </x:c>
      <x:c r="B35" s="17" t="n">
        <x:v>200</x:v>
      </x:c>
      <x:c r="C35" t="str">
        <x:v>元/站/月</x:v>
      </x:c>
    </x:row>
    <x:row r="36">
      <x:c r="A36" t="str">
        <x:v>其他运营成本率</x:v>
      </x:c>
      <x:c r="B36" s="20" t="n">
        <x:v>0.1</x:v>
      </x:c>
      <x:c r="C36" t="str">
        <x:v>%服务费</x:v>
      </x:c>
    </x:row>
    <x:row r="37">
      <x:c r="A37" t="str">
        <x:v>总部月度成本</x:v>
      </x:c>
      <x:c r="B37" s="17" t="n">
        <x:v>0</x:v>
      </x:c>
      <x:c r="C37" t="str">
        <x:v>元/月</x:v>
      </x:c>
    </x:row>
    <x:row r="38">
      <x:c r="A38" t="str">
        <x:v>经营税费率</x:v>
      </x:c>
      <x:c r="B38" s="20" t="n">
        <x:v>0</x:v>
      </x:c>
      <x:c r="C38" t="str">
        <x:v>%服务费</x:v>
      </x:c>
    </x:row>
    <x:row r="39">
      <x:c r="A39" t="str">
        <x:v>初始现金</x:v>
      </x:c>
      <x:c r="B39" s="17" t="n">
        <x:v>0</x:v>
      </x:c>
      <x:c r="C39" t="str">
        <x:v>元</x:v>
      </x:c>
    </x:row>
    <x:row r="40">
      <x:c r="A40" t="str">
        <x:v>成熟站门槛</x:v>
      </x:c>
      <x:c r="B40" s="17" t="n">
        <x:v>30</x:v>
      </x:c>
      <x:c r="C40" t="str">
        <x:v>有效运营日</x:v>
      </x:c>
    </x:row>
    <x:row r="41">
      <x:c r="A41" t="str">
        <x:v>历史基准选择</x:v>
      </x:c>
      <x:c r="B41" s="17" t="str">
        <x:v>P50</x:v>
      </x:c>
      <x:c r="C41" t="str">
        <x:v>P25/P50/加权</x:v>
      </x:c>
    </x:row>
    <x:row r="42">
      <x:c r="A42" t="str">
        <x:v>季节情景</x:v>
      </x:c>
      <x:c r="B42" s="17" t="str">
        <x:v>基准</x:v>
      </x:c>
      <x:c r="C42" t="str">
        <x:v>基准/无季节性/旺季下调10%</x:v>
      </x:c>
    </x:row>
    <x:row r="43">
      <x:c r="A43" t="str">
        <x:v>充电量单位换算</x:v>
      </x:c>
      <x:c r="B43" s="17" t="n">
        <x:v>100000000</x:v>
      </x:c>
      <x:c r="C43" t="str">
        <x:v>亿千瓦时→千瓦时</x:v>
      </x:c>
    </x:row>
    <x:row r="44">
      <x:c r="A44" t="str">
        <x:v>源期间开始日</x:v>
      </x:c>
      <x:c r="B44" s="24" t="n">
        <x:v>46189</x:v>
      </x:c>
      <x:c r="C44" t="str">
        <x:v>日</x:v>
      </x:c>
    </x:row>
    <x:row r="45">
      <x:c r="A45" t="str">
        <x:v>源期间结束日</x:v>
      </x:c>
      <x:c r="B45" s="24" t="n">
        <x:v>46249</x:v>
      </x:c>
      <x:c r="C45" t="str">
        <x:v>日</x:v>
      </x:c>
    </x:row>
    <x:row r="46">
      <x:c r="A46" t="str">
        <x:v>首批城市数量</x:v>
      </x:c>
      <x:c r="B46" s="17" t="n">
        <x:v>26</x:v>
      </x:c>
      <x:c r="C46" t="str">
        <x:v>城</x:v>
      </x:c>
    </x:row>
    <x:row r="47">
      <x:c r="A47" t="str">
        <x:v>站枪对应关系</x:v>
      </x:c>
      <x:c r="B47" s="17" t="n">
        <x:v>1</x:v>
      </x:c>
      <x:c r="C47" t="str">
        <x:v>1桩=1枪</x:v>
      </x:c>
    </x:row>
    <x:row r="48">
      <x:c r="A48" t="str">
        <x:v>2枪站功率堆</x:v>
      </x:c>
      <x:c r="B48" s="17" t="n">
        <x:v>120</x:v>
      </x:c>
      <x:c r="C48" t="str">
        <x:v>kW</x:v>
      </x:c>
    </x:row>
    <x:row r="49">
      <x:c r="A49" t="str">
        <x:v>4枪站功率堆</x:v>
      </x:c>
      <x:c r="B49" s="17" t="n">
        <x:v>160</x:v>
      </x:c>
      <x:c r="C49" t="str">
        <x:v>kW</x:v>
      </x:c>
    </x:row>
    <x:row r="50">
      <x:c r="A50" t="str">
        <x:v>模型版本日期</x:v>
      </x:c>
      <x:c r="B50" s="24" t="n">
        <x:v>46250</x:v>
      </x:c>
      <x:c r="C50" t="str">
        <x:v>日</x:v>
      </x:c>
    </x:row>
    <x:row r="53">
      <x:c r="A53" s="13" t="str">
        <x:v>12个月上线比例</x:v>
      </x:c>
      <x:c r="B53" s="14" t="str">
        <x:v>12个月上线比例</x:v>
      </x:c>
      <x:c r="C53" s="14" t="str">
        <x:v>12个月上线比例</x:v>
      </x:c>
      <x:c r="D53" s="14" t="str">
        <x:v>12个月上线比例</x:v>
      </x:c>
      <x:c r="E53" s="14" t="str">
        <x:v>12个月上线比例</x:v>
      </x:c>
      <x:c r="F53" s="14" t="str">
        <x:v>12个月上线比例</x:v>
      </x:c>
      <x:c r="G53" s="14" t="str">
        <x:v>12个月上线比例</x:v>
      </x:c>
      <x:c r="H53" s="14" t="str">
        <x:v>12个月上线比例</x:v>
      </x:c>
      <x:c r="I53" s="14" t="str">
        <x:v>12个月上线比例</x:v>
      </x:c>
      <x:c r="J53" s="14" t="str">
        <x:v>12个月上线比例</x:v>
      </x:c>
      <x:c r="K53" s="14" t="str">
        <x:v>12个月上线比例</x:v>
      </x:c>
      <x:c r="L53" s="14" t="str">
        <x:v>12个月上线比例</x:v>
      </x:c>
      <x:c r="M53" s="15" t="str">
        <x:v>12个月上线比例</x:v>
      </x:c>
    </x:row>
    <x:row r="54">
      <x:c r="A54" s="13" t="str">
        <x:v>月份</x:v>
      </x:c>
      <x:c r="B54" s="14" t="str">
        <x:v>M1</x:v>
      </x:c>
      <x:c r="C54" s="14" t="str">
        <x:v>M2</x:v>
      </x:c>
      <x:c r="D54" s="14" t="str">
        <x:v>M3</x:v>
      </x:c>
      <x:c r="E54" s="14" t="str">
        <x:v>M4</x:v>
      </x:c>
      <x:c r="F54" s="14" t="str">
        <x:v>M5</x:v>
      </x:c>
      <x:c r="G54" s="14" t="str">
        <x:v>M6</x:v>
      </x:c>
      <x:c r="H54" s="14" t="str">
        <x:v>M7</x:v>
      </x:c>
      <x:c r="I54" s="14" t="str">
        <x:v>M8</x:v>
      </x:c>
      <x:c r="J54" s="14" t="str">
        <x:v>M9</x:v>
      </x:c>
      <x:c r="K54" s="14" t="str">
        <x:v>M10</x:v>
      </x:c>
      <x:c r="L54" s="14" t="str">
        <x:v>M11</x:v>
      </x:c>
      <x:c r="M54" s="15" t="str">
        <x:v>M12</x:v>
      </x:c>
    </x:row>
    <x:row r="55">
      <x:c r="A55" t="str">
        <x:v>上线比例</x:v>
      </x:c>
      <x:c r="B55" s="20" t="n">
        <x:v>0.05</x:v>
      </x:c>
      <x:c r="C55" s="20" t="n">
        <x:v>0.06</x:v>
      </x:c>
      <x:c r="D55" s="20" t="n">
        <x:v>0.07</x:v>
      </x:c>
      <x:c r="E55" s="20" t="n">
        <x:v>0.08</x:v>
      </x:c>
      <x:c r="F55" s="20" t="n">
        <x:v>0.09</x:v>
      </x:c>
      <x:c r="G55" s="20" t="n">
        <x:v>0.1</x:v>
      </x:c>
      <x:c r="H55" s="20" t="n">
        <x:v>0.11</x:v>
      </x:c>
      <x:c r="I55" s="20" t="n">
        <x:v>0.11</x:v>
      </x:c>
      <x:c r="J55" s="20" t="n">
        <x:v>0.1</x:v>
      </x:c>
      <x:c r="K55" s="20" t="n">
        <x:v>0.09</x:v>
      </x:c>
      <x:c r="L55" s="20" t="n">
        <x:v>0.08</x:v>
      </x:c>
      <x:c r="M55" s="20" t="n">
        <x:v>0.06</x:v>
      </x:c>
    </x:row>
    <x:row r="58">
      <x:c r="A58" s="13" t="str">
        <x:v>新站6个月收入爬坡</x:v>
      </x:c>
      <x:c r="B58" s="14" t="str">
        <x:v>新站6个月收入爬坡</x:v>
      </x:c>
      <x:c r="C58" s="14" t="str">
        <x:v>新站6个月收入爬坡</x:v>
      </x:c>
      <x:c r="D58" s="14" t="str">
        <x:v>新站6个月收入爬坡</x:v>
      </x:c>
      <x:c r="E58" s="14" t="str">
        <x:v>新站6个月收入爬坡</x:v>
      </x:c>
      <x:c r="F58" s="14" t="str">
        <x:v>新站6个月收入爬坡</x:v>
      </x:c>
      <x:c r="G58" s="15" t="str">
        <x:v>新站6个月收入爬坡</x:v>
      </x:c>
    </x:row>
    <x:row r="59">
      <x:c r="A59" s="13" t="str">
        <x:v>运营月龄</x:v>
      </x:c>
      <x:c r="B59" s="14" t="n">
        <x:v>1</x:v>
      </x:c>
      <x:c r="C59" s="14" t="n">
        <x:v>2</x:v>
      </x:c>
      <x:c r="D59" s="14" t="n">
        <x:v>3</x:v>
      </x:c>
      <x:c r="E59" s="14" t="n">
        <x:v>4</x:v>
      </x:c>
      <x:c r="F59" s="14" t="n">
        <x:v>5</x:v>
      </x:c>
      <x:c r="G59" s="15" t="str">
        <x:v>6+</x:v>
      </x:c>
    </x:row>
    <x:row r="60">
      <x:c r="A60" t="str">
        <x:v>爬坡系数</x:v>
      </x:c>
      <x:c r="B60" s="20" t="n">
        <x:v>0.6</x:v>
      </x:c>
      <x:c r="C60" s="20" t="n">
        <x:v>0.75</x:v>
      </x:c>
      <x:c r="D60" s="20" t="n">
        <x:v>0.85</x:v>
      </x:c>
      <x:c r="E60" s="20" t="n">
        <x:v>0.92</x:v>
      </x:c>
      <x:c r="F60" s="20" t="n">
        <x:v>0.97</x:v>
      </x:c>
      <x:c r="G60" s="20" t="n">
        <x:v>1</x:v>
      </x:c>
    </x:row>
  </x:sheetData>
  <x:mergeCells>
    <x:mergeCell ref="A1:M1"/>
    <x:mergeCell ref="A3:C3"/>
    <x:mergeCell ref="A53:M53"/>
    <x:mergeCell ref="A58:G58"/>
  </x:mergeCells>
  <x:dataValidations count="9">
    <x:dataValidation type="custom" errorStyle="stop" showInputMessage="1" showErrorMessage="1" errorTitle="无效目标枪数" error="新增目标枪数必须为正偶数整数。" promptTitle="新增目标枪数" prompt="请输入正偶数整数；粘贴后请确认模型检查为PASS。" sqref="B6">
      <x:formula1>AND(B6&gt;0,MOD(B6,1)=0,MOD(B6,2)=0)</x:formula1>
    </x:dataValidation>
    <x:dataValidation type="list" errorStyle="stop" showInputMessage="1" showErrorMessage="1" errorTitle="无效融资比例" error="融资比例仅允许80%、90%或100%。" promptTitle="融资比例" prompt="请选择批准值：80%、90%或100%。" sqref="B27">
      <x:formula1>"80%,90%,100%"</x:formula1>
    </x:dataValidation>
    <x:dataValidation type="list" sqref="B28">
      <x:formula1>"18,24,36"</x:formula1>
    </x:dataValidation>
    <x:dataValidation type="list" errorStyle="stop" showInputMessage="1" showErrorMessage="1" errorTitle="无效资金成本" error="年化综合资金成本仅允许6%、8%、10%或12%。" promptTitle="年化综合资金成本" prompt="请选择批准值：6%、8%、10%或12%。" sqref="B29">
      <x:formula1>"6%,8%,10%,12%"</x:formula1>
    </x:dataValidation>
    <x:dataValidation type="list" sqref="B30">
      <x:formula1>"0,1,2"</x:formula1>
    </x:dataValidation>
    <x:dataValidation type="decimal" errorStyle="stop" operator="between" showInputMessage="1" showErrorMessage="1" errorTitle="无效留购款比例" error="留购款比例必须不低于0%且不高于融资比例。" promptTitle="留购款比例" prompt="请输入0%至融资比例之间的留购款比例。" sqref="B32">
      <x:formula1>0</x:formula1>
      <x:formula2>B27</x:formula2>
    </x:dataValidation>
    <x:dataValidation type="list" sqref="B33">
      <x:formula1>"分成,固定租金"</x:formula1>
    </x:dataValidation>
    <x:dataValidation type="list" sqref="B41">
      <x:formula1>"P25,P50,加权"</x:formula1>
    </x:dataValidation>
    <x:dataValidation type="list" sqref="B42">
      <x:formula1>"基准,无季节性,旺季下调10%"</x:formula1>
    </x:dataValidation>
  </x:dataValidations>
  <x:pageMargins left="0.7" right="0.7" top="0.75" bottom="0.75" header="0.3" footer="0.3"/>
  <x:legacyDrawing xmlns:r="http://schemas.openxmlformats.org/officeDocument/2006/relationships" r:id="R07fae89f34004622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42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</x:cols>
  <x:sheetData>
    <x:row r="1" ht="26" customHeight="1">
      <x:c r="A1" s="4" t="str">
        <x:v>城市数据库｜原始指标、同等级百分位与来源审计</x:v>
      </x:c>
      <x:c r="B1" s="4" t="str">
        <x:v>城市数据库｜原始指标、同等级百分位与来源审计</x:v>
      </x:c>
      <x:c r="C1" s="4" t="str">
        <x:v>城市数据库｜原始指标、同等级百分位与来源审计</x:v>
      </x:c>
      <x:c r="D1" s="4" t="str">
        <x:v>城市数据库｜原始指标、同等级百分位与来源审计</x:v>
      </x:c>
      <x:c r="E1" s="4" t="str">
        <x:v>城市数据库｜原始指标、同等级百分位与来源审计</x:v>
      </x:c>
      <x:c r="F1" s="4" t="str">
        <x:v>城市数据库｜原始指标、同等级百分位与来源审计</x:v>
      </x:c>
      <x:c r="G1" s="4" t="str">
        <x:v>城市数据库｜原始指标、同等级百分位与来源审计</x:v>
      </x:c>
      <x:c r="H1" s="4" t="str">
        <x:v>城市数据库｜原始指标、同等级百分位与来源审计</x:v>
      </x:c>
      <x:c r="I1" s="4" t="str">
        <x:v>城市数据库｜原始指标、同等级百分位与来源审计</x:v>
      </x:c>
      <x:c r="J1" s="4" t="str">
        <x:v>城市数据库｜原始指标、同等级百分位与来源审计</x:v>
      </x:c>
      <x:c r="K1" s="4" t="str">
        <x:v>城市数据库｜原始指标、同等级百分位与来源审计</x:v>
      </x:c>
      <x:c r="L1" s="4" t="str">
        <x:v>城市数据库｜原始指标、同等级百分位与来源审计</x:v>
      </x:c>
      <x:c r="M1" s="4" t="str">
        <x:v>城市数据库｜原始指标、同等级百分位与来源审计</x:v>
      </x:c>
      <x:c r="N1" s="4" t="str">
        <x:v>城市数据库｜原始指标、同等级百分位与来源审计</x:v>
      </x:c>
      <x:c r="O1" s="4" t="str">
        <x:v>城市数据库｜原始指标、同等级百分位与来源审计</x:v>
      </x:c>
      <x:c r="P1" s="4" t="str">
        <x:v>城市数据库｜原始指标、同等级百分位与来源审计</x:v>
      </x:c>
      <x:c r="Q1" s="4" t="str">
        <x:v>城市数据库｜原始指标、同等级百分位与来源审计</x:v>
      </x:c>
      <x:c r="R1" s="4" t="str">
        <x:v>城市数据库｜原始指标、同等级百分位与来源审计</x:v>
      </x:c>
      <x:c r="S1" s="4" t="str">
        <x:v>城市数据库｜原始指标、同等级百分位与来源审计</x:v>
      </x:c>
      <x:c r="T1" s="4" t="str">
        <x:v>城市数据库｜原始指标、同等级百分位与来源审计</x:v>
      </x:c>
      <x:c r="U1" s="4" t="str">
        <x:v>城市数据库｜原始指标、同等级百分位与来源审计</x:v>
      </x:c>
      <x:c r="V1" s="4" t="str">
        <x:v>城市数据库｜原始指标、同等级百分位与来源审计</x:v>
      </x:c>
      <x:c r="W1" s="4" t="str">
        <x:v>城市数据库｜原始指标、同等级百分位与来源审计</x:v>
      </x:c>
      <x:c r="X1" s="4" t="str">
        <x:v>城市数据库｜原始指标、同等级百分位与来源审计</x:v>
      </x:c>
      <x:c r="Y1" s="4" t="str">
        <x:v>城市数据库｜原始指标、同等级百分位与来源审计</x:v>
      </x:c>
      <x:c r="Z1" s="4" t="str">
        <x:v>城市数据库｜原始指标、同等级百分位与来源审计</x:v>
      </x:c>
      <x:c r="AA1" s="4" t="str">
        <x:v>城市数据库｜原始指标、同等级百分位与来源审计</x:v>
      </x:c>
      <x:c r="AB1" s="4" t="str">
        <x:v>城市数据库｜原始指标、同等级百分位与来源审计</x:v>
      </x:c>
      <x:c r="AC1" s="4" t="str">
        <x:v>城市数据库｜原始指标、同等级百分位与来源审计</x:v>
      </x:c>
      <x:c r="AD1" s="4" t="str">
        <x:v>城市数据库｜原始指标、同等级百分位与来源审计</x:v>
      </x:c>
      <x:c r="AE1" s="4" t="str">
        <x:v>城市数据库｜原始指标、同等级百分位与来源审计</x:v>
      </x:c>
      <x:c r="AF1" s="4" t="str">
        <x:v>城市数据库｜原始指标、同等级百分位与来源审计</x:v>
      </x:c>
      <x:c r="AG1" s="4" t="str">
        <x:v>城市数据库｜原始指标、同等级百分位与来源审计</x:v>
      </x:c>
    </x:row>
    <x:row r="3">
      <x:c r="A3" s="13" t="str">
        <x:v>原始公开指标（黑字）与公式派生（公式黑字、跨表绿字）</x:v>
      </x:c>
      <x:c r="B3" s="14" t="str">
        <x:v>原始公开指标（黑字）与公式派生（公式黑字、跨表绿字）</x:v>
      </x:c>
      <x:c r="C3" s="14" t="str">
        <x:v>原始公开指标（黑字）与公式派生（公式黑字、跨表绿字）</x:v>
      </x:c>
      <x:c r="D3" s="14" t="str">
        <x:v>原始公开指标（黑字）与公式派生（公式黑字、跨表绿字）</x:v>
      </x:c>
      <x:c r="E3" s="14" t="str">
        <x:v>原始公开指标（黑字）与公式派生（公式黑字、跨表绿字）</x:v>
      </x:c>
      <x:c r="F3" s="14" t="str">
        <x:v>原始公开指标（黑字）与公式派生（公式黑字、跨表绿字）</x:v>
      </x:c>
      <x:c r="G3" s="14" t="str">
        <x:v>原始公开指标（黑字）与公式派生（公式黑字、跨表绿字）</x:v>
      </x:c>
      <x:c r="H3" s="14" t="str">
        <x:v>原始公开指标（黑字）与公式派生（公式黑字、跨表绿字）</x:v>
      </x:c>
      <x:c r="I3" s="14" t="str">
        <x:v>原始公开指标（黑字）与公式派生（公式黑字、跨表绿字）</x:v>
      </x:c>
      <x:c r="J3" s="14" t="str">
        <x:v>原始公开指标（黑字）与公式派生（公式黑字、跨表绿字）</x:v>
      </x:c>
      <x:c r="K3" s="14" t="str">
        <x:v>原始公开指标（黑字）与公式派生（公式黑字、跨表绿字）</x:v>
      </x:c>
      <x:c r="L3" s="14" t="str">
        <x:v>原始公开指标（黑字）与公式派生（公式黑字、跨表绿字）</x:v>
      </x:c>
      <x:c r="M3" s="14" t="str">
        <x:v>原始公开指标（黑字）与公式派生（公式黑字、跨表绿字）</x:v>
      </x:c>
      <x:c r="N3" s="14" t="str">
        <x:v>原始公开指标（黑字）与公式派生（公式黑字、跨表绿字）</x:v>
      </x:c>
      <x:c r="O3" s="14" t="str">
        <x:v>原始公开指标（黑字）与公式派生（公式黑字、跨表绿字）</x:v>
      </x:c>
      <x:c r="P3" s="14" t="str">
        <x:v>原始公开指标（黑字）与公式派生（公式黑字、跨表绿字）</x:v>
      </x:c>
      <x:c r="Q3" s="14" t="str">
        <x:v>原始公开指标（黑字）与公式派生（公式黑字、跨表绿字）</x:v>
      </x:c>
      <x:c r="R3" s="14" t="str">
        <x:v>原始公开指标（黑字）与公式派生（公式黑字、跨表绿字）</x:v>
      </x:c>
      <x:c r="S3" s="14" t="str">
        <x:v>原始公开指标（黑字）与公式派生（公式黑字、跨表绿字）</x:v>
      </x:c>
      <x:c r="T3" s="14" t="str">
        <x:v>原始公开指标（黑字）与公式派生（公式黑字、跨表绿字）</x:v>
      </x:c>
      <x:c r="U3" s="14" t="str">
        <x:v>原始公开指标（黑字）与公式派生（公式黑字、跨表绿字）</x:v>
      </x:c>
      <x:c r="V3" s="14" t="str">
        <x:v>原始公开指标（黑字）与公式派生（公式黑字、跨表绿字）</x:v>
      </x:c>
      <x:c r="W3" s="14" t="str">
        <x:v>原始公开指标（黑字）与公式派生（公式黑字、跨表绿字）</x:v>
      </x:c>
      <x:c r="X3" s="14" t="str">
        <x:v>原始公开指标（黑字）与公式派生（公式黑字、跨表绿字）</x:v>
      </x:c>
      <x:c r="Y3" s="14" t="str">
        <x:v>原始公开指标（黑字）与公式派生（公式黑字、跨表绿字）</x:v>
      </x:c>
      <x:c r="Z3" s="14" t="str">
        <x:v>原始公开指标（黑字）与公式派生（公式黑字、跨表绿字）</x:v>
      </x:c>
      <x:c r="AA3" s="14" t="str">
        <x:v>原始公开指标（黑字）与公式派生（公式黑字、跨表绿字）</x:v>
      </x:c>
      <x:c r="AB3" s="14" t="str">
        <x:v>原始公开指标（黑字）与公式派生（公式黑字、跨表绿字）</x:v>
      </x:c>
      <x:c r="AC3" s="14" t="str">
        <x:v>原始公开指标（黑字）与公式派生（公式黑字、跨表绿字）</x:v>
      </x:c>
      <x:c r="AD3" s="14" t="str">
        <x:v>原始公开指标（黑字）与公式派生（公式黑字、跨表绿字）</x:v>
      </x:c>
      <x:c r="AE3" s="14" t="str">
        <x:v>原始公开指标（黑字）与公式派生（公式黑字、跨表绿字）</x:v>
      </x:c>
      <x:c r="AF3" s="14" t="str">
        <x:v>原始公开指标（黑字）与公式派生（公式黑字、跨表绿字）</x:v>
      </x:c>
      <x:c r="AG3" s="15" t="str">
        <x:v>原始公开指标（黑字）与公式派生（公式黑字、跨表绿字）</x:v>
      </x:c>
    </x:row>
    <x:row r="4">
      <x:c r="A4" s="13" t="str">
        <x:v>城市</x:v>
      </x:c>
      <x:c r="B4" s="14" t="str">
        <x:v>省份</x:v>
      </x:c>
      <x:c r="C4" s="14" t="str">
        <x:v>等级</x:v>
      </x:c>
      <x:c r="D4" s="14" t="str">
        <x:v>一财排名</x:v>
      </x:c>
      <x:c r="E4" s="14" t="str">
        <x:v>首批</x:v>
      </x:c>
      <x:c r="F4" s="14" t="str">
        <x:v>首批顺序</x:v>
      </x:c>
      <x:c r="G4" s="14" t="str">
        <x:v>人口(万人)</x:v>
      </x:c>
      <x:c r="H4" s="14" t="str">
        <x:v>人口年</x:v>
      </x:c>
      <x:c r="I4" s="14" t="str">
        <x:v>城区人口(万人)</x:v>
      </x:c>
      <x:c r="J4" s="14" t="str">
        <x:v>建成区(km²)</x:v>
      </x:c>
      <x:c r="K4" s="14" t="str">
        <x:v>密度年</x:v>
      </x:c>
      <x:c r="L4" s="14" t="str">
        <x:v>人口密度</x:v>
      </x:c>
      <x:c r="M4" s="14" t="str">
        <x:v>老旧住房代理</x:v>
      </x:c>
      <x:c r="N4" s="14" t="str">
        <x:v>代理口径</x:v>
      </x:c>
      <x:c r="O4" s="14" t="str">
        <x:v>住房年</x:v>
      </x:c>
      <x:c r="P4" s="14" t="str">
        <x:v>公共充电枪</x:v>
      </x:c>
      <x:c r="Q4" s="14" t="str">
        <x:v>充电年</x:v>
      </x:c>
      <x:c r="R4" s="14" t="str">
        <x:v>枪/万人</x:v>
      </x:c>
      <x:c r="S4" s="14" t="str">
        <x:v>等级来源</x:v>
      </x:c>
      <x:c r="T4" s="14" t="str">
        <x:v>人口来源</x:v>
      </x:c>
      <x:c r="U4" s="14" t="str">
        <x:v>密度来源</x:v>
      </x:c>
      <x:c r="V4" s="14" t="str">
        <x:v>住房来源</x:v>
      </x:c>
      <x:c r="W4" s="14" t="str">
        <x:v>充电来源</x:v>
      </x:c>
      <x:c r="X4" s="14" t="str">
        <x:v>访问日</x:v>
      </x:c>
      <x:c r="Y4" s="14" t="str">
        <x:v>备注</x:v>
      </x:c>
      <x:c r="Z4" s="14" t="str">
        <x:v>人口百分位</x:v>
      </x:c>
      <x:c r="AA4" s="14" t="str">
        <x:v>密度百分位</x:v>
      </x:c>
      <x:c r="AB4" s="14" t="str">
        <x:v>住房百分位</x:v>
      </x:c>
      <x:c r="AC4" s="14" t="str">
        <x:v>稀缺百分位</x:v>
      </x:c>
      <x:c r="AD4" s="14" t="str">
        <x:v>综合得分</x:v>
      </x:c>
      <x:c r="AE4" s="14" t="str">
        <x:v>数据质量</x:v>
      </x:c>
      <x:c r="AF4" s="14" t="str">
        <x:v>等级优先级</x:v>
      </x:c>
      <x:c r="AG4" s="15" t="str">
        <x:v>实时排序名次</x:v>
      </x:c>
    </x:row>
    <x:row r="6">
      <x:c r="A6" t="str">
        <x:v>上海</x:v>
      </x:c>
      <x:c r="B6" t="str">
        <x:v>上海</x:v>
      </x:c>
      <x:c r="C6" t="str">
        <x:v>一线</x:v>
      </x:c>
      <x:c r="D6" s="33" t="n">
        <x:v>1</x:v>
      </x:c>
      <x:c r="E6" s="33" t="str">
        <x:v>否</x:v>
      </x:c>
      <x:c r="F6" s="33"/>
      <x:c r="G6" s="33" t="n">
        <x:v>2487.0895</x:v>
      </x:c>
      <x:c r="H6" s="33" t="n">
        <x:v>2020</x:v>
      </x:c>
      <x:c r="I6" s="33" t="n">
        <x:v>2475.89</x:v>
      </x:c>
      <x:c r="J6" s="33" t="n">
        <x:v>1242</x:v>
      </x:c>
      <x:c r="K6" s="33" t="n">
        <x:v>2022</x:v>
      </x:c>
      <x:c r="L6" s="47" t="n">
        <x:f>IFERROR(IF(AND(I6&lt;&gt;"",J6&lt;&gt;""),I6/J6,G6/J6),"")</x:f>
        <x:v>1.9934702093397745</x:v>
      </x:c>
      <x:c r="M6" s="33"/>
      <x:c r="N6" s="33"/>
      <x:c r="O6" s="33"/>
      <x:c r="P6" s="33"/>
      <x:c r="Q6" s="33"/>
      <x:c r="R6" s="47" t="n">
        <x:f>IFERROR(P6/G6,"")</x:f>
        <x:v>0</x:v>
      </x:c>
      <x:c r="S6" t="str">
        <x:v>SRC-003</x:v>
      </x:c>
      <x:c r="T6" t="str">
        <x:v>SRC-004</x:v>
      </x:c>
      <x:c r="U6" t="str">
        <x:v>SRC-005</x:v>
      </x:c>
      <x:c r="V6" t="str"/>
      <x:c r="W6" t="str"/>
      <x:c r="X6" t="str">
        <x:v>2026-08-16</x:v>
      </x:c>
      <x:c r="Y6" s="30" t="str">
        <x:v>等级及排名据2025第一财经榜单；2020年七普常住人口；住建部2022年城市建设统计年鉴表2-2第184行列示同一城市口径的城区人口（含表列城区暂住人口）2475.89万人、建成区面积1242平方公里；住房代理公开材料在小区/项目/户数/面积及计划/开工/完工间口径不可比，为保持同列可比性保留空值；未找到可核查的市级公共充电枪数量，未采用省级数值。</x:v>
      </x:c>
      <x:c r="Z6" s="22" t="n">
        <x:f>IF(G6="","",COUNTIFS($C$6:$C$61,C6,$G$6:$G$61,"&lt;="&amp;G6)/COUNTIFS($C$6:$C$61,C6,$G$6:$G$61,"&lt;&gt;"))</x:f>
        <x:v>1</x:v>
      </x:c>
      <x:c r="AA6" s="22" t="n">
        <x:f>IF(L6="","",COUNTIFS($C$6:$C$61,C6,$L$6:$L$61,"&lt;="&amp;L6)/COUNTIFS($C$6:$C$61,C6,$L$6:$L$61,"&lt;&gt;"))</x:f>
        <x:v>1</x:v>
      </x:c>
      <x:c r="AB6" s="22" t="str">
        <x:f>IF(M6="","",COUNTIFS($C$6:$C$61,C6,$M$6:$M$61,"&lt;="&amp;M6)/COUNTIFS($C$6:$C$61,C6,$M$6:$M$61,"&lt;&gt;"))</x:f>
      </x:c>
      <x:c r="AC6" s="22" t="str">
        <x:f>IF(R6="","",COUNTIFS($C$6:$C$61,C6,$R$6:$R$61,"&gt;="&amp;R6)/COUNTIFS($C$6:$C$61,C6,$R$6:$R$61,"&lt;&gt;"))</x:f>
      </x:c>
      <x:c r="AD6" s="49" t="n">
        <x:f>IFERROR((IF(Z6="",0,Z6*'核心假设'!$B$10)+IF(AA6="",0,AA6*'核心假设'!$B$11)+IF(AB6="",0,AB6*'核心假设'!$B$12)+IF(AC6="",0,AC6*'核心假设'!$B$13))/(IF(Z6="",0,'核心假设'!$B$10)+IF(AA6="",0,'核心假设'!$B$11)+IF(AB6="",0,'核心假设'!$B$12)+IF(AC6="",0,'核心假设'!$B$13)),"")</x:f>
        <x:v>1</x:v>
      </x:c>
      <x:c r="AE6" s="18" t="str">
        <x:f>IF(COUNT(Z6:AC6)&lt;4,"缺失重算",IF(OR(AND(I6="",G6&lt;&gt;""),ISNUMBER(SEARCH("代理",N6))),"代理","完整"))</x:f>
        <x:v>缺失重算</x:v>
      </x:c>
      <x:c r="AF6" s="18" t="n">
        <x:f>IF(C6="一线",1,IF(C6="新一线",2,IF(C6="二线",3,4)))</x:f>
        <x:v>1</x:v>
      </x:c>
      <x:c r="AG6" s="18" t="n">
        <x:f>IF(E6="是",F6,COUNTIF($E$6:$E$61,"是")+1+COUNTIFS($E$6:$E$61,"否",$AF$6:$AF$61,"&lt;"&amp;AF6)+COUNTIFS($E$6:$E$61,"否",$AF$6:$AF$61,AF6,$AD$6:$AD$61,"&gt;"&amp;AD6)+COUNTIFS($E$6:$E$61,"否",$AF$6:$AF$61,AF6,$AD$6:$AD$61,AD6,$D$6:$D$61,"&lt;"&amp;D6))</x:f>
        <x:v>27</x:v>
      </x:c>
    </x:row>
    <x:row r="7">
      <x:c r="A7" t="str">
        <x:v>北京</x:v>
      </x:c>
      <x:c r="B7" t="str">
        <x:v>北京</x:v>
      </x:c>
      <x:c r="C7" t="str">
        <x:v>一线</x:v>
      </x:c>
      <x:c r="D7" s="33" t="n">
        <x:v>2</x:v>
      </x:c>
      <x:c r="E7" s="33" t="str">
        <x:v>是</x:v>
      </x:c>
      <x:c r="F7" s="33" t="n">
        <x:v>15</x:v>
      </x:c>
      <x:c r="G7" s="33" t="n">
        <x:v>2189.3095</x:v>
      </x:c>
      <x:c r="H7" s="33" t="n">
        <x:v>2020</x:v>
      </x:c>
      <x:c r="I7" s="33"/>
      <x:c r="J7" s="33"/>
      <x:c r="K7" s="33"/>
      <x:c r="L7" s="47" t="str">
        <x:f>IFERROR(IF(AND(I7&lt;&gt;"",J7&lt;&gt;""),I7/J7,G7/J7),"")</x:f>
      </x:c>
      <x:c r="M7" s="33"/>
      <x:c r="N7" s="33"/>
      <x:c r="O7" s="33"/>
      <x:c r="P7" s="33"/>
      <x:c r="Q7" s="33"/>
      <x:c r="R7" s="47" t="n">
        <x:f>IFERROR(P7/G7,"")</x:f>
        <x:v>0</x:v>
      </x:c>
      <x:c r="S7" t="str">
        <x:v>SRC-003</x:v>
      </x:c>
      <x:c r="T7" t="str">
        <x:v>SRC-006</x:v>
      </x:c>
      <x:c r="U7"/>
      <x:c r="V7" t="str"/>
      <x:c r="W7" t="str"/>
      <x:c r="X7" t="str">
        <x:v>2026-08-16</x:v>
      </x:c>
      <x:c r="Y7" s="30" t="str">
        <x:v>等级及排名据2025第一财经榜单；2020年七普常住人口；住建部2022年城市建设统计年鉴表2-2第9行虽列示城区人口1912.8万人，但建成区面积为空；为避免不成对或范围错配，密度两字段均保留空值；住房代理公开材料在小区/项目/户数/面积及计划/开工/完工间口径不可比，为保持同列可比性保留空值；未找到可核查的市级公共充电枪数量，未采用省级数值。</x:v>
      </x:c>
      <x:c r="Z7" s="22" t="n">
        <x:f>IF(G7="","",COUNTIFS($C$6:$C$61,C7,$G$6:$G$61,"&lt;="&amp;G7)/COUNTIFS($C$6:$C$61,C7,$G$6:$G$61,"&lt;&gt;"))</x:f>
        <x:v>0.75</x:v>
      </x:c>
      <x:c r="AA7" s="22" t="str">
        <x:f>IF(L7="","",COUNTIFS($C$6:$C$61,C7,$L$6:$L$61,"&lt;="&amp;L7)/COUNTIFS($C$6:$C$61,C7,$L$6:$L$61,"&lt;&gt;"))</x:f>
      </x:c>
      <x:c r="AB7" s="22" t="str">
        <x:f>IF(M7="","",COUNTIFS($C$6:$C$61,C7,$M$6:$M$61,"&lt;="&amp;M7)/COUNTIFS($C$6:$C$61,C7,$M$6:$M$61,"&lt;&gt;"))</x:f>
      </x:c>
      <x:c r="AC7" s="22" t="str">
        <x:f>IF(R7="","",COUNTIFS($C$6:$C$61,C7,$R$6:$R$61,"&gt;="&amp;R7)/COUNTIFS($C$6:$C$61,C7,$R$6:$R$61,"&lt;&gt;"))</x:f>
      </x:c>
      <x:c r="AD7" s="49" t="n">
        <x:f>IFERROR((IF(Z7="",0,Z7*'核心假设'!$B$10)+IF(AA7="",0,AA7*'核心假设'!$B$11)+IF(AB7="",0,AB7*'核心假设'!$B$12)+IF(AC7="",0,AC7*'核心假设'!$B$13))/(IF(Z7="",0,'核心假设'!$B$10)+IF(AA7="",0,'核心假设'!$B$11)+IF(AB7="",0,'核心假设'!$B$12)+IF(AC7="",0,'核心假设'!$B$13)),"")</x:f>
        <x:v>0.75</x:v>
      </x:c>
      <x:c r="AE7" s="18" t="str">
        <x:f>IF(COUNT(Z7:AC7)&lt;4,"缺失重算",IF(OR(AND(I7="",G7&lt;&gt;""),ISNUMBER(SEARCH("代理",N7))),"代理","完整"))</x:f>
        <x:v>缺失重算</x:v>
      </x:c>
      <x:c r="AF7" s="18" t="n">
        <x:f>IF(C7="一线",1,IF(C7="新一线",2,IF(C7="二线",3,4)))</x:f>
        <x:v>1</x:v>
      </x:c>
      <x:c r="AG7" s="18" t="n">
        <x:f>IF(E7="是",F7,COUNTIF($E$6:$E$61,"是")+1+COUNTIFS($E$6:$E$61,"否",$AF$6:$AF$61,"&lt;"&amp;AF7)+COUNTIFS($E$6:$E$61,"否",$AF$6:$AF$61,AF7,$AD$6:$AD$61,"&gt;"&amp;AD7)+COUNTIFS($E$6:$E$61,"否",$AF$6:$AF$61,AF7,$AD$6:$AD$61,AD7,$D$6:$D$61,"&lt;"&amp;D7))</x:f>
        <x:v>15</x:v>
      </x:c>
    </x:row>
    <x:row r="8">
      <x:c r="A8" t="str">
        <x:v>深圳</x:v>
      </x:c>
      <x:c r="B8" t="str">
        <x:v>广东</x:v>
      </x:c>
      <x:c r="C8" t="str">
        <x:v>一线</x:v>
      </x:c>
      <x:c r="D8" s="33" t="n">
        <x:v>3</x:v>
      </x:c>
      <x:c r="E8" s="33" t="str">
        <x:v>是</x:v>
      </x:c>
      <x:c r="F8" s="33" t="n">
        <x:v>12</x:v>
      </x:c>
      <x:c r="G8" s="33" t="n">
        <x:v>1756.0061</x:v>
      </x:c>
      <x:c r="H8" s="33" t="n">
        <x:v>2020</x:v>
      </x:c>
      <x:c r="I8" s="33" t="n">
        <x:v>1766.18</x:v>
      </x:c>
      <x:c r="J8" s="33" t="n">
        <x:v>962.17</x:v>
      </x:c>
      <x:c r="K8" s="33" t="n">
        <x:v>2022</x:v>
      </x:c>
      <x:c r="L8" s="47" t="n">
        <x:f>IFERROR(IF(AND(I8&lt;&gt;"",J8&lt;&gt;""),I8/J8,G8/J8),"")</x:f>
        <x:v>1.8356215637569246</x:v>
      </x:c>
      <x:c r="M8" s="33"/>
      <x:c r="N8" s="33"/>
      <x:c r="O8" s="33"/>
      <x:c r="P8" s="33"/>
      <x:c r="Q8" s="33"/>
      <x:c r="R8" s="47" t="n">
        <x:f>IFERROR(P8/G8,"")</x:f>
        <x:v>0</x:v>
      </x:c>
      <x:c r="S8" t="str">
        <x:v>SRC-003</x:v>
      </x:c>
      <x:c r="T8" t="str">
        <x:v>SRC-007</x:v>
      </x:c>
      <x:c r="U8" t="str">
        <x:v>SRC-005</x:v>
      </x:c>
      <x:c r="V8" t="str"/>
      <x:c r="W8" t="str"/>
      <x:c r="X8" t="str">
        <x:v>2026-08-16</x:v>
      </x:c>
      <x:c r="Y8" s="30" t="str">
        <x:v>等级及排名据2025第一财经榜单；2020年七普常住人口；住建部2022年城市建设统计年鉴表2-2第483行列示同一城市口径的城区人口（含表列城区暂住人口）1766.18万人、建成区面积962.17平方公里；住房代理公开材料在小区/项目/户数/面积及计划/开工/完工间口径不可比，为保持同列可比性保留空值；未找到可核查的市级公共充电枪数量，未采用省级数值。</x:v>
      </x:c>
      <x:c r="Z8" s="22" t="n">
        <x:f>IF(G8="","",COUNTIFS($C$6:$C$61,C8,$G$6:$G$61,"&lt;="&amp;G8)/COUNTIFS($C$6:$C$61,C8,$G$6:$G$61,"&lt;&gt;"))</x:f>
        <x:v>0.25</x:v>
      </x:c>
      <x:c r="AA8" s="22" t="n">
        <x:f>IF(L8="","",COUNTIFS($C$6:$C$61,C8,$L$6:$L$61,"&lt;="&amp;L8)/COUNTIFS($C$6:$C$61,C8,$L$6:$L$61,"&lt;&gt;"))</x:f>
        <x:v>0.75</x:v>
      </x:c>
      <x:c r="AB8" s="22" t="str">
        <x:f>IF(M8="","",COUNTIFS($C$6:$C$61,C8,$M$6:$M$61,"&lt;="&amp;M8)/COUNTIFS($C$6:$C$61,C8,$M$6:$M$61,"&lt;&gt;"))</x:f>
      </x:c>
      <x:c r="AC8" s="22" t="str">
        <x:f>IF(R8="","",COUNTIFS($C$6:$C$61,C8,$R$6:$R$61,"&gt;="&amp;R8)/COUNTIFS($C$6:$C$61,C8,$R$6:$R$61,"&lt;&gt;"))</x:f>
      </x:c>
      <x:c r="AD8" s="49" t="n">
        <x:f>IFERROR((IF(Z8="",0,Z8*'核心假设'!$B$10)+IF(AA8="",0,AA8*'核心假设'!$B$11)+IF(AB8="",0,AB8*'核心假设'!$B$12)+IF(AC8="",0,AC8*'核心假设'!$B$13))/(IF(Z8="",0,'核心假设'!$B$10)+IF(AA8="",0,'核心假设'!$B$11)+IF(AB8="",0,'核心假设'!$B$12)+IF(AC8="",0,'核心假设'!$B$13)),"")</x:f>
        <x:v>0.47727272727272724</x:v>
      </x:c>
      <x:c r="AE8" s="18" t="str">
        <x:f>IF(COUNT(Z8:AC8)&lt;4,"缺失重算",IF(OR(AND(I8="",G8&lt;&gt;""),ISNUMBER(SEARCH("代理",N8))),"代理","完整"))</x:f>
        <x:v>缺失重算</x:v>
      </x:c>
      <x:c r="AF8" s="18" t="n">
        <x:f>IF(C8="一线",1,IF(C8="新一线",2,IF(C8="二线",3,4)))</x:f>
        <x:v>1</x:v>
      </x:c>
      <x:c r="AG8" s="18" t="n">
        <x:f>IF(E8="是",F8,COUNTIF($E$6:$E$61,"是")+1+COUNTIFS($E$6:$E$61,"否",$AF$6:$AF$61,"&lt;"&amp;AF8)+COUNTIFS($E$6:$E$61,"否",$AF$6:$AF$61,AF8,$AD$6:$AD$61,"&gt;"&amp;AD8)+COUNTIFS($E$6:$E$61,"否",$AF$6:$AF$61,AF8,$AD$6:$AD$61,AD8,$D$6:$D$61,"&lt;"&amp;D8))</x:f>
        <x:v>12</x:v>
      </x:c>
    </x:row>
    <x:row r="9">
      <x:c r="A9" t="str">
        <x:v>广州</x:v>
      </x:c>
      <x:c r="B9" t="str">
        <x:v>广东</x:v>
      </x:c>
      <x:c r="C9" t="str">
        <x:v>一线</x:v>
      </x:c>
      <x:c r="D9" s="33" t="n">
        <x:v>4</x:v>
      </x:c>
      <x:c r="E9" s="33" t="str">
        <x:v>否</x:v>
      </x:c>
      <x:c r="F9" s="33"/>
      <x:c r="G9" s="33" t="n">
        <x:v>1867.6605</x:v>
      </x:c>
      <x:c r="H9" s="33" t="n">
        <x:v>2020</x:v>
      </x:c>
      <x:c r="I9" s="33" t="n">
        <x:v>1369.7</x:v>
      </x:c>
      <x:c r="J9" s="33" t="n">
        <x:v>1366.02</x:v>
      </x:c>
      <x:c r="K9" s="33" t="n">
        <x:v>2022</x:v>
      </x:c>
      <x:c r="L9" s="47" t="n">
        <x:f>IFERROR(IF(AND(I9&lt;&gt;"",J9&lt;&gt;""),I9/J9,G9/J9),"")</x:f>
        <x:v>1.0026939576287317</x:v>
      </x:c>
      <x:c r="M9" s="33"/>
      <x:c r="N9" s="33"/>
      <x:c r="O9" s="33"/>
      <x:c r="P9" s="33"/>
      <x:c r="Q9" s="33"/>
      <x:c r="R9" s="47" t="n">
        <x:f>IFERROR(P9/G9,"")</x:f>
        <x:v>0</x:v>
      </x:c>
      <x:c r="S9" t="str">
        <x:v>SRC-003</x:v>
      </x:c>
      <x:c r="T9" t="str">
        <x:v>SRC-007</x:v>
      </x:c>
      <x:c r="U9" t="str">
        <x:v>SRC-005</x:v>
      </x:c>
      <x:c r="V9" t="str"/>
      <x:c r="W9" t="str"/>
      <x:c r="X9" t="str">
        <x:v>2026-08-16</x:v>
      </x:c>
      <x:c r="Y9" s="30" t="str">
        <x:v>等级及排名据2025第一财经榜单；2020年七普常住人口；住建部2022年城市建设统计年鉴表2-2第479行列示同一城市口径的城区人口（含表列城区暂住人口）1369.7万人、建成区面积1366.02平方公里；住房代理公开材料在小区/项目/户数/面积及计划/开工/完工间口径不可比，为保持同列可比性保留空值；未找到可核查的市级公共充电枪数量，未采用省级数值。</x:v>
      </x:c>
      <x:c r="Z9" s="22" t="n">
        <x:f>IF(G9="","",COUNTIFS($C$6:$C$61,C9,$G$6:$G$61,"&lt;="&amp;G9)/COUNTIFS($C$6:$C$61,C9,$G$6:$G$61,"&lt;&gt;"))</x:f>
        <x:v>0.5</x:v>
      </x:c>
      <x:c r="AA9" s="22" t="n">
        <x:f>IF(L9="","",COUNTIFS($C$6:$C$61,C9,$L$6:$L$61,"&lt;="&amp;L9)/COUNTIFS($C$6:$C$61,C9,$L$6:$L$61,"&lt;&gt;"))</x:f>
        <x:v>0.5</x:v>
      </x:c>
      <x:c r="AB9" s="22" t="str">
        <x:f>IF(M9="","",COUNTIFS($C$6:$C$61,C9,$M$6:$M$61,"&lt;="&amp;M9)/COUNTIFS($C$6:$C$61,C9,$M$6:$M$61,"&lt;&gt;"))</x:f>
      </x:c>
      <x:c r="AC9" s="22" t="str">
        <x:f>IF(R9="","",COUNTIFS($C$6:$C$61,C9,$R$6:$R$61,"&gt;="&amp;R9)/COUNTIFS($C$6:$C$61,C9,$R$6:$R$61,"&lt;&gt;"))</x:f>
      </x:c>
      <x:c r="AD9" s="49" t="n">
        <x:f>IFERROR((IF(Z9="",0,Z9*'核心假设'!$B$10)+IF(AA9="",0,AA9*'核心假设'!$B$11)+IF(AB9="",0,AB9*'核心假设'!$B$12)+IF(AC9="",0,AC9*'核心假设'!$B$13))/(IF(Z9="",0,'核心假设'!$B$10)+IF(AA9="",0,'核心假设'!$B$11)+IF(AB9="",0,'核心假设'!$B$12)+IF(AC9="",0,'核心假设'!$B$13)),"")</x:f>
        <x:v>0.5</x:v>
      </x:c>
      <x:c r="AE9" s="18" t="str">
        <x:f>IF(COUNT(Z9:AC9)&lt;4,"缺失重算",IF(OR(AND(I9="",G9&lt;&gt;""),ISNUMBER(SEARCH("代理",N9))),"代理","完整"))</x:f>
        <x:v>缺失重算</x:v>
      </x:c>
      <x:c r="AF9" s="18" t="n">
        <x:f>IF(C9="一线",1,IF(C9="新一线",2,IF(C9="二线",3,4)))</x:f>
        <x:v>1</x:v>
      </x:c>
      <x:c r="AG9" s="18" t="n">
        <x:f>IF(E9="是",F9,COUNTIF($E$6:$E$61,"是")+1+COUNTIFS($E$6:$E$61,"否",$AF$6:$AF$61,"&lt;"&amp;AF9)+COUNTIFS($E$6:$E$61,"否",$AF$6:$AF$61,AF9,$AD$6:$AD$61,"&gt;"&amp;AD9)+COUNTIFS($E$6:$E$61,"否",$AF$6:$AF$61,AF9,$AD$6:$AD$61,AD9,$D$6:$D$61,"&lt;"&amp;D9))</x:f>
        <x:v>28</x:v>
      </x:c>
    </x:row>
    <x:row r="10">
      <x:c r="A10" t="str">
        <x:v>成都</x:v>
      </x:c>
      <x:c r="B10" t="str">
        <x:v>四川</x:v>
      </x:c>
      <x:c r="C10" t="str">
        <x:v>新一线</x:v>
      </x:c>
      <x:c r="D10" s="33" t="n">
        <x:v>5</x:v>
      </x:c>
      <x:c r="E10" s="33" t="str">
        <x:v>否</x:v>
      </x:c>
      <x:c r="F10" s="33"/>
      <x:c r="G10" s="33" t="n">
        <x:v>2093.7757</x:v>
      </x:c>
      <x:c r="H10" s="33" t="n">
        <x:v>2020</x:v>
      </x:c>
      <x:c r="I10" s="33" t="n">
        <x:v>1257.24</x:v>
      </x:c>
      <x:c r="J10" s="33" t="n">
        <x:v>1063.68</x:v>
      </x:c>
      <x:c r="K10" s="33" t="n">
        <x:v>2022</x:v>
      </x:c>
      <x:c r="L10" s="47" t="n">
        <x:f>IFERROR(IF(AND(I10&lt;&gt;"",J10&lt;&gt;""),I10/J10,G10/J10),"")</x:f>
        <x:v>1.1819720216606497</x:v>
      </x:c>
      <x:c r="M10" s="33"/>
      <x:c r="N10" s="33"/>
      <x:c r="O10" s="33"/>
      <x:c r="P10" s="33"/>
      <x:c r="Q10" s="33"/>
      <x:c r="R10" s="47" t="n">
        <x:f>IFERROR(P10/G10,"")</x:f>
        <x:v>0</x:v>
      </x:c>
      <x:c r="S10" t="str">
        <x:v>SRC-003</x:v>
      </x:c>
      <x:c r="T10" t="str">
        <x:v>SRC-008</x:v>
      </x:c>
      <x:c r="U10" t="str">
        <x:v>SRC-005</x:v>
      </x:c>
      <x:c r="V10" t="str"/>
      <x:c r="W10" t="str"/>
      <x:c r="X10" t="str">
        <x:v>2026-08-16</x:v>
      </x:c>
      <x:c r="Y10" s="30" t="str">
        <x:v>等级及排名据2025第一财经榜单；2020年七普常住人口；住建部2022年城市建设统计年鉴表2-2第557行列示同一城市口径的城区人口（含表列城区暂住人口）1257.24万人、建成区面积1063.68平方公里；住房代理公开材料在小区/项目/户数/面积及计划/开工/完工间口径不可比，为保持同列可比性保留空值；未找到可核查的市级公共充电枪数量，未采用省级数值。</x:v>
      </x:c>
      <x:c r="Z10" s="22" t="n">
        <x:f>IF(G10="","",COUNTIFS($C$6:$C$61,C10,$G$6:$G$61,"&lt;="&amp;G10)/COUNTIFS($C$6:$C$61,C10,$G$6:$G$61,"&lt;&gt;"))</x:f>
        <x:v>0.9333333333333333</x:v>
      </x:c>
      <x:c r="AA10" s="22" t="n">
        <x:f>IF(L10="","",COUNTIFS($C$6:$C$61,C10,$L$6:$L$61,"&lt;="&amp;L10)/COUNTIFS($C$6:$C$61,C10,$L$6:$L$61,"&lt;&gt;"))</x:f>
        <x:v>0.8</x:v>
      </x:c>
      <x:c r="AB10" s="22" t="str">
        <x:f>IF(M10="","",COUNTIFS($C$6:$C$61,C10,$M$6:$M$61,"&lt;="&amp;M10)/COUNTIFS($C$6:$C$61,C10,$M$6:$M$61,"&lt;&gt;"))</x:f>
      </x:c>
      <x:c r="AC10" s="22" t="str">
        <x:f>IF(R10="","",COUNTIFS($C$6:$C$61,C10,$R$6:$R$61,"&gt;="&amp;R10)/COUNTIFS($C$6:$C$61,C10,$R$6:$R$61,"&lt;&gt;"))</x:f>
      </x:c>
      <x:c r="AD10" s="49" t="n">
        <x:f>IFERROR((IF(Z10="",0,Z10*'核心假设'!$B$10)+IF(AA10="",0,AA10*'核心假设'!$B$11)+IF(AB10="",0,AB10*'核心假设'!$B$12)+IF(AC10="",0,AC10*'核心假设'!$B$13))/(IF(Z10="",0,'核心假设'!$B$10)+IF(AA10="",0,'核心假设'!$B$11)+IF(AB10="",0,'核心假设'!$B$12)+IF(AC10="",0,'核心假设'!$B$13)),"")</x:f>
        <x:v>0.8727272727272726</x:v>
      </x:c>
      <x:c r="AE10" s="18" t="str">
        <x:f>IF(COUNT(Z10:AC10)&lt;4,"缺失重算",IF(OR(AND(I10="",G10&lt;&gt;""),ISNUMBER(SEARCH("代理",N10))),"代理","完整"))</x:f>
        <x:v>缺失重算</x:v>
      </x:c>
      <x:c r="AF10" s="18" t="n">
        <x:f>IF(C10="一线",1,IF(C10="新一线",2,IF(C10="二线",3,4)))</x:f>
        <x:v>2</x:v>
      </x:c>
      <x:c r="AG10" s="18" t="n">
        <x:f>IF(E10="是",F10,COUNTIF($E$6:$E$61,"是")+1+COUNTIFS($E$6:$E$61,"否",$AF$6:$AF$61,"&lt;"&amp;AF10)+COUNTIFS($E$6:$E$61,"否",$AF$6:$AF$61,AF10,$AD$6:$AD$61,"&gt;"&amp;AD10)+COUNTIFS($E$6:$E$61,"否",$AF$6:$AF$61,AF10,$AD$6:$AD$61,AD10,$D$6:$D$61,"&lt;"&amp;D10))</x:f>
        <x:v>29</x:v>
      </x:c>
    </x:row>
    <x:row r="11">
      <x:c r="A11" t="str">
        <x:v>杭州</x:v>
      </x:c>
      <x:c r="B11" t="str">
        <x:v>浙江</x:v>
      </x:c>
      <x:c r="C11" t="str">
        <x:v>新一线</x:v>
      </x:c>
      <x:c r="D11" s="33" t="n">
        <x:v>6</x:v>
      </x:c>
      <x:c r="E11" s="33" t="str">
        <x:v>是</x:v>
      </x:c>
      <x:c r="F11" s="33" t="n">
        <x:v>10</x:v>
      </x:c>
      <x:c r="G11" s="33" t="n">
        <x:v>1193.601</x:v>
      </x:c>
      <x:c r="H11" s="33" t="n">
        <x:v>2020</x:v>
      </x:c>
      <x:c r="I11" s="33" t="n">
        <x:v>1002.1</x:v>
      </x:c>
      <x:c r="J11" s="33" t="n">
        <x:v>829.41</x:v>
      </x:c>
      <x:c r="K11" s="33" t="n">
        <x:v>2022</x:v>
      </x:c>
      <x:c r="L11" s="47" t="n">
        <x:f>IFERROR(IF(AND(I11&lt;&gt;"",J11&lt;&gt;""),I11/J11,G11/J11),"")</x:f>
        <x:v>1.2082082444147044</x:v>
      </x:c>
      <x:c r="M11" s="33"/>
      <x:c r="N11" s="33"/>
      <x:c r="O11" s="33"/>
      <x:c r="P11" s="33"/>
      <x:c r="Q11" s="33"/>
      <x:c r="R11" s="47" t="n">
        <x:f>IFERROR(P11/G11,"")</x:f>
        <x:v>0</x:v>
      </x:c>
      <x:c r="S11" t="str">
        <x:v>SRC-003</x:v>
      </x:c>
      <x:c r="T11" t="str">
        <x:v>SRC-009</x:v>
      </x:c>
      <x:c r="U11" t="str">
        <x:v>SRC-005</x:v>
      </x:c>
      <x:c r="V11" t="str"/>
      <x:c r="W11" t="str"/>
      <x:c r="X11" t="str">
        <x:v>2026-08-16</x:v>
      </x:c>
      <x:c r="Y11" s="30" t="str">
        <x:v>等级及排名据2025第一财经榜单；2020年七普常住人口；住建部2022年城市建设统计年鉴表2-2第221行列示同一城市口径的城区人口（含表列城区暂住人口）1002.1万人、建成区面积829.41平方公里；住房代理公开材料在小区/项目/户数/面积及计划/开工/完工间口径不可比，为保持同列可比性保留空值；未找到可核查的市级公共充电枪数量，未采用省级数值。</x:v>
      </x:c>
      <x:c r="Z11" s="22" t="n">
        <x:f>IF(G11="","",COUNTIFS($C$6:$C$61,C11,$G$6:$G$61,"&lt;="&amp;G11)/COUNTIFS($C$6:$C$61,C11,$G$6:$G$61,"&lt;&gt;"))</x:f>
        <x:v>0.5333333333333333</x:v>
      </x:c>
      <x:c r="AA11" s="22" t="n">
        <x:f>IF(L11="","",COUNTIFS($C$6:$C$61,C11,$L$6:$L$61,"&lt;="&amp;L11)/COUNTIFS($C$6:$C$61,C11,$L$6:$L$61,"&lt;&gt;"))</x:f>
        <x:v>0.8666666666666667</x:v>
      </x:c>
      <x:c r="AB11" s="22" t="str">
        <x:f>IF(M11="","",COUNTIFS($C$6:$C$61,C11,$M$6:$M$61,"&lt;="&amp;M11)/COUNTIFS($C$6:$C$61,C11,$M$6:$M$61,"&lt;&gt;"))</x:f>
      </x:c>
      <x:c r="AC11" s="22" t="str">
        <x:f>IF(R11="","",COUNTIFS($C$6:$C$61,C11,$R$6:$R$61,"&gt;="&amp;R11)/COUNTIFS($C$6:$C$61,C11,$R$6:$R$61,"&lt;&gt;"))</x:f>
      </x:c>
      <x:c r="AD11" s="49" t="n">
        <x:f>IFERROR((IF(Z11="",0,Z11*'核心假设'!$B$10)+IF(AA11="",0,AA11*'核心假设'!$B$11)+IF(AB11="",0,AB11*'核心假设'!$B$12)+IF(AC11="",0,AC11*'核心假设'!$B$13))/(IF(Z11="",0,'核心假设'!$B$10)+IF(AA11="",0,'核心假设'!$B$11)+IF(AB11="",0,'核心假设'!$B$12)+IF(AC11="",0,'核心假设'!$B$13)),"")</x:f>
        <x:v>0.6848484848484848</x:v>
      </x:c>
      <x:c r="AE11" s="18" t="str">
        <x:f>IF(COUNT(Z11:AC11)&lt;4,"缺失重算",IF(OR(AND(I11="",G11&lt;&gt;""),ISNUMBER(SEARCH("代理",N11))),"代理","完整"))</x:f>
        <x:v>缺失重算</x:v>
      </x:c>
      <x:c r="AF11" s="18" t="n">
        <x:f>IF(C11="一线",1,IF(C11="新一线",2,IF(C11="二线",3,4)))</x:f>
        <x:v>2</x:v>
      </x:c>
      <x:c r="AG11" s="18" t="n">
        <x:f>IF(E11="是",F11,COUNTIF($E$6:$E$61,"是")+1+COUNTIFS($E$6:$E$61,"否",$AF$6:$AF$61,"&lt;"&amp;AF11)+COUNTIFS($E$6:$E$61,"否",$AF$6:$AF$61,AF11,$AD$6:$AD$61,"&gt;"&amp;AD11)+COUNTIFS($E$6:$E$61,"否",$AF$6:$AF$61,AF11,$AD$6:$AD$61,AD11,$D$6:$D$61,"&lt;"&amp;D11))</x:f>
        <x:v>10</x:v>
      </x:c>
    </x:row>
    <x:row r="12">
      <x:c r="A12" t="str">
        <x:v>重庆</x:v>
      </x:c>
      <x:c r="B12" t="str">
        <x:v>重庆</x:v>
      </x:c>
      <x:c r="C12" t="str">
        <x:v>新一线</x:v>
      </x:c>
      <x:c r="D12" s="33" t="n">
        <x:v>7</x:v>
      </x:c>
      <x:c r="E12" s="33" t="str">
        <x:v>否</x:v>
      </x:c>
      <x:c r="F12" s="33"/>
      <x:c r="G12" s="33" t="n">
        <x:v>3205.4159</x:v>
      </x:c>
      <x:c r="H12" s="33" t="n">
        <x:v>2020</x:v>
      </x:c>
      <x:c r="I12" s="33" t="n">
        <x:v>1617.5</x:v>
      </x:c>
      <x:c r="J12" s="33" t="n">
        <x:v>1640.8</x:v>
      </x:c>
      <x:c r="K12" s="33" t="n">
        <x:v>2022</x:v>
      </x:c>
      <x:c r="L12" s="47" t="n">
        <x:f>IFERROR(IF(AND(I12&lt;&gt;"",J12&lt;&gt;""),I12/J12,G12/J12),"")</x:f>
        <x:v>0.9857996099463676</x:v>
      </x:c>
      <x:c r="M12" s="33"/>
      <x:c r="N12" s="33"/>
      <x:c r="O12" s="33"/>
      <x:c r="P12" s="33"/>
      <x:c r="Q12" s="33"/>
      <x:c r="R12" s="47" t="n">
        <x:f>IFERROR(P12/G12,"")</x:f>
        <x:v>0</x:v>
      </x:c>
      <x:c r="S12" t="str">
        <x:v>SRC-003</x:v>
      </x:c>
      <x:c r="T12" t="str">
        <x:v>SRC-010</x:v>
      </x:c>
      <x:c r="U12" t="str">
        <x:v>SRC-005</x:v>
      </x:c>
      <x:c r="V12" t="str"/>
      <x:c r="W12" t="str"/>
      <x:c r="X12" t="str">
        <x:v>2026-08-16</x:v>
      </x:c>
      <x:c r="Y12" s="30" t="str">
        <x:v>等级及排名据2025第一财经榜单；2020年七普常住人口；住建部2022年城市建设统计年鉴表2-2第555行列示同一城市口径的城区人口（含表列城区暂住人口）1617.5万人、建成区面积1640.8平方公里；住房代理公开材料在小区/项目/户数/面积及计划/开工/完工间口径不可比，为保持同列可比性保留空值；未找到可核查的市级公共充电枪数量，未采用省级数值。</x:v>
      </x:c>
      <x:c r="Z12" s="22" t="n">
        <x:f>IF(G12="","",COUNTIFS($C$6:$C$61,C12,$G$6:$G$61,"&lt;="&amp;G12)/COUNTIFS($C$6:$C$61,C12,$G$6:$G$61,"&lt;&gt;"))</x:f>
        <x:v>1</x:v>
      </x:c>
      <x:c r="AA12" s="22" t="n">
        <x:f>IF(L12="","",COUNTIFS($C$6:$C$61,C12,$L$6:$L$61,"&lt;="&amp;L12)/COUNTIFS($C$6:$C$61,C12,$L$6:$L$61,"&lt;&gt;"))</x:f>
        <x:v>0.4666666666666667</x:v>
      </x:c>
      <x:c r="AB12" s="22" t="str">
        <x:f>IF(M12="","",COUNTIFS($C$6:$C$61,C12,$M$6:$M$61,"&lt;="&amp;M12)/COUNTIFS($C$6:$C$61,C12,$M$6:$M$61,"&lt;&gt;"))</x:f>
      </x:c>
      <x:c r="AC12" s="22" t="str">
        <x:f>IF(R12="","",COUNTIFS($C$6:$C$61,C12,$R$6:$R$61,"&gt;="&amp;R12)/COUNTIFS($C$6:$C$61,C12,$R$6:$R$61,"&lt;&gt;"))</x:f>
      </x:c>
      <x:c r="AD12" s="49" t="n">
        <x:f>IFERROR((IF(Z12="",0,Z12*'核心假设'!$B$10)+IF(AA12="",0,AA12*'核心假设'!$B$11)+IF(AB12="",0,AB12*'核心假设'!$B$12)+IF(AC12="",0,AC12*'核心假设'!$B$13))/(IF(Z12="",0,'核心假设'!$B$10)+IF(AA12="",0,'核心假设'!$B$11)+IF(AB12="",0,'核心假设'!$B$12)+IF(AC12="",0,'核心假设'!$B$13)),"")</x:f>
        <x:v>0.7575757575757575</x:v>
      </x:c>
      <x:c r="AE12" s="18" t="str">
        <x:f>IF(COUNT(Z12:AC12)&lt;4,"缺失重算",IF(OR(AND(I12="",G12&lt;&gt;""),ISNUMBER(SEARCH("代理",N12))),"代理","完整"))</x:f>
        <x:v>缺失重算</x:v>
      </x:c>
      <x:c r="AF12" s="18" t="n">
        <x:f>IF(C12="一线",1,IF(C12="新一线",2,IF(C12="二线",3,4)))</x:f>
        <x:v>2</x:v>
      </x:c>
      <x:c r="AG12" s="18" t="n">
        <x:f>IF(E12="是",F12,COUNTIF($E$6:$E$61,"是")+1+COUNTIFS($E$6:$E$61,"否",$AF$6:$AF$61,"&lt;"&amp;AF12)+COUNTIFS($E$6:$E$61,"否",$AF$6:$AF$61,AF12,$AD$6:$AD$61,"&gt;"&amp;AD12)+COUNTIFS($E$6:$E$61,"否",$AF$6:$AF$61,AF12,$AD$6:$AD$61,AD12,$D$6:$D$61,"&lt;"&amp;D12))</x:f>
        <x:v>30</x:v>
      </x:c>
    </x:row>
    <x:row r="13">
      <x:c r="A13" t="str">
        <x:v>武汉</x:v>
      </x:c>
      <x:c r="B13" t="str">
        <x:v>湖北</x:v>
      </x:c>
      <x:c r="C13" t="str">
        <x:v>新一线</x:v>
      </x:c>
      <x:c r="D13" s="33" t="n">
        <x:v>8</x:v>
      </x:c>
      <x:c r="E13" s="33" t="str">
        <x:v>是</x:v>
      </x:c>
      <x:c r="F13" s="33" t="n">
        <x:v>7</x:v>
      </x:c>
      <x:c r="G13" s="33" t="n">
        <x:v>1232.6518</x:v>
      </x:c>
      <x:c r="H13" s="33" t="n">
        <x:v>2020</x:v>
      </x:c>
      <x:c r="I13" s="33" t="n">
        <x:v>1080.64</x:v>
      </x:c>
      <x:c r="J13" s="33" t="n">
        <x:v>925.97</x:v>
      </x:c>
      <x:c r="K13" s="33" t="n">
        <x:v>2022</x:v>
      </x:c>
      <x:c r="L13" s="47" t="n">
        <x:f>IFERROR(IF(AND(I13&lt;&gt;"",J13&lt;&gt;""),I13/J13,G13/J13),"")</x:f>
        <x:v>1.1670356491031029</x:v>
      </x:c>
      <x:c r="M13" s="33"/>
      <x:c r="N13" s="33"/>
      <x:c r="O13" s="33"/>
      <x:c r="P13" s="33"/>
      <x:c r="Q13" s="33"/>
      <x:c r="R13" s="47" t="n">
        <x:f>IFERROR(P13/G13,"")</x:f>
        <x:v>0</x:v>
      </x:c>
      <x:c r="S13" t="str">
        <x:v>SRC-003</x:v>
      </x:c>
      <x:c r="T13" t="str">
        <x:v>SRC-011</x:v>
      </x:c>
      <x:c r="U13" t="str">
        <x:v>SRC-005</x:v>
      </x:c>
      <x:c r="V13" t="str"/>
      <x:c r="W13" t="str"/>
      <x:c r="X13" t="str">
        <x:v>2026-08-16</x:v>
      </x:c>
      <x:c r="Y13" s="30" t="str">
        <x:v>等级及排名据2025第一财经榜单；2020年七普常住人口；住建部2022年城市建设统计年鉴表2-2第407行列示同一城市口径的城区人口（含表列城区暂住人口）1080.64万人、建成区面积925.97平方公里；住房代理公开材料在小区/项目/户数/面积及计划/开工/完工间口径不可比，为保持同列可比性保留空值；未找到可核查的市级公共充电枪数量，未采用省级数值。</x:v>
      </x:c>
      <x:c r="Z13" s="22" t="n">
        <x:f>IF(G13="","",COUNTIFS($C$6:$C$61,C13,$G$6:$G$61,"&lt;="&amp;G13)/COUNTIFS($C$6:$C$61,C13,$G$6:$G$61,"&lt;&gt;"))</x:f>
        <x:v>0.6</x:v>
      </x:c>
      <x:c r="AA13" s="22" t="n">
        <x:f>IF(L13="","",COUNTIFS($C$6:$C$61,C13,$L$6:$L$61,"&lt;="&amp;L13)/COUNTIFS($C$6:$C$61,C13,$L$6:$L$61,"&lt;&gt;"))</x:f>
        <x:v>0.6666666666666666</x:v>
      </x:c>
      <x:c r="AB13" s="22" t="str">
        <x:f>IF(M13="","",COUNTIFS($C$6:$C$61,C13,$M$6:$M$61,"&lt;="&amp;M13)/COUNTIFS($C$6:$C$61,C13,$M$6:$M$61,"&lt;&gt;"))</x:f>
      </x:c>
      <x:c r="AC13" s="22" t="str">
        <x:f>IF(R13="","",COUNTIFS($C$6:$C$61,C13,$R$6:$R$61,"&gt;="&amp;R13)/COUNTIFS($C$6:$C$61,C13,$R$6:$R$61,"&lt;&gt;"))</x:f>
      </x:c>
      <x:c r="AD13" s="49" t="n">
        <x:f>IFERROR((IF(Z13="",0,Z13*'核心假设'!$B$10)+IF(AA13="",0,AA13*'核心假设'!$B$11)+IF(AB13="",0,AB13*'核心假设'!$B$12)+IF(AC13="",0,AC13*'核心假设'!$B$13))/(IF(Z13="",0,'核心假设'!$B$10)+IF(AA13="",0,'核心假设'!$B$11)+IF(AB13="",0,'核心假设'!$B$12)+IF(AC13="",0,'核心假设'!$B$13)),"")</x:f>
        <x:v>0.6303030303030303</x:v>
      </x:c>
      <x:c r="AE13" s="18" t="str">
        <x:f>IF(COUNT(Z13:AC13)&lt;4,"缺失重算",IF(OR(AND(I13="",G13&lt;&gt;""),ISNUMBER(SEARCH("代理",N13))),"代理","完整"))</x:f>
        <x:v>缺失重算</x:v>
      </x:c>
      <x:c r="AF13" s="18" t="n">
        <x:f>IF(C13="一线",1,IF(C13="新一线",2,IF(C13="二线",3,4)))</x:f>
        <x:v>2</x:v>
      </x:c>
      <x:c r="AG13" s="18" t="n">
        <x:f>IF(E13="是",F13,COUNTIF($E$6:$E$61,"是")+1+COUNTIFS($E$6:$E$61,"否",$AF$6:$AF$61,"&lt;"&amp;AF13)+COUNTIFS($E$6:$E$61,"否",$AF$6:$AF$61,AF13,$AD$6:$AD$61,"&gt;"&amp;AD13)+COUNTIFS($E$6:$E$61,"否",$AF$6:$AF$61,AF13,$AD$6:$AD$61,AD13,$D$6:$D$61,"&lt;"&amp;D13))</x:f>
        <x:v>7</x:v>
      </x:c>
    </x:row>
    <x:row r="14">
      <x:c r="A14" t="str">
        <x:v>苏州</x:v>
      </x:c>
      <x:c r="B14" t="str">
        <x:v>江苏</x:v>
      </x:c>
      <x:c r="C14" t="str">
        <x:v>新一线</x:v>
      </x:c>
      <x:c r="D14" s="33" t="n">
        <x:v>9</x:v>
      </x:c>
      <x:c r="E14" s="33" t="str">
        <x:v>否</x:v>
      </x:c>
      <x:c r="F14" s="33"/>
      <x:c r="G14" s="33" t="n">
        <x:v>1274.8262</x:v>
      </x:c>
      <x:c r="H14" s="33" t="n">
        <x:v>2020</x:v>
      </x:c>
      <x:c r="I14" s="33" t="n">
        <x:v>500.08</x:v>
      </x:c>
      <x:c r="J14" s="33" t="n">
        <x:v>481.33</x:v>
      </x:c>
      <x:c r="K14" s="33" t="n">
        <x:v>2022</x:v>
      </x:c>
      <x:c r="L14" s="47" t="n">
        <x:f>IFERROR(IF(AND(I14&lt;&gt;"",J14&lt;&gt;""),I14/J14,G14/J14),"")</x:f>
        <x:v>1.0389545633972534</x:v>
      </x:c>
      <x:c r="M14" s="33"/>
      <x:c r="N14" s="33"/>
      <x:c r="O14" s="33"/>
      <x:c r="P14" s="33"/>
      <x:c r="Q14" s="33"/>
      <x:c r="R14" s="47" t="n">
        <x:f>IFERROR(P14/G14,"")</x:f>
        <x:v>0</x:v>
      </x:c>
      <x:c r="S14" t="str">
        <x:v>SRC-003</x:v>
      </x:c>
      <x:c r="T14" t="str">
        <x:v>SRC-012</x:v>
      </x:c>
      <x:c r="U14" t="str">
        <x:v>SRC-005</x:v>
      </x:c>
      <x:c r="V14" t="str"/>
      <x:c r="W14" t="str"/>
      <x:c r="X14" t="str">
        <x:v>2026-08-16</x:v>
      </x:c>
      <x:c r="Y14" s="30" t="str">
        <x:v>等级及排名据2025第一财经榜单；2020年七普常住人口；住建部2022年城市建设统计年鉴表2-2第195行列示同一城市口径的城区人口（含表列城区暂住人口）500.08万人、建成区面积481.33平方公里；住房代理公开材料在小区/项目/户数/面积及计划/开工/完工间口径不可比，为保持同列可比性保留空值；未找到可核查的市级公共充电枪数量，未采用省级数值。</x:v>
      </x:c>
      <x:c r="Z14" s="22" t="n">
        <x:f>IF(G14="","",COUNTIFS($C$6:$C$61,C14,$G$6:$G$61,"&lt;="&amp;G14)/COUNTIFS($C$6:$C$61,C14,$G$6:$G$61,"&lt;&gt;"))</x:f>
        <x:v>0.7333333333333333</x:v>
      </x:c>
      <x:c r="AA14" s="22" t="n">
        <x:f>IF(L14="","",COUNTIFS($C$6:$C$61,C14,$L$6:$L$61,"&lt;="&amp;L14)/COUNTIFS($C$6:$C$61,C14,$L$6:$L$61,"&lt;&gt;"))</x:f>
        <x:v>0.5333333333333333</x:v>
      </x:c>
      <x:c r="AB14" s="22" t="str">
        <x:f>IF(M14="","",COUNTIFS($C$6:$C$61,C14,$M$6:$M$61,"&lt;="&amp;M14)/COUNTIFS($C$6:$C$61,C14,$M$6:$M$61,"&lt;&gt;"))</x:f>
      </x:c>
      <x:c r="AC14" s="22" t="str">
        <x:f>IF(R14="","",COUNTIFS($C$6:$C$61,C14,$R$6:$R$61,"&gt;="&amp;R14)/COUNTIFS($C$6:$C$61,C14,$R$6:$R$61,"&lt;&gt;"))</x:f>
      </x:c>
      <x:c r="AD14" s="49" t="n">
        <x:f>IFERROR((IF(Z14="",0,Z14*'核心假设'!$B$10)+IF(AA14="",0,AA14*'核心假设'!$B$11)+IF(AB14="",0,AB14*'核心假设'!$B$12)+IF(AC14="",0,AC14*'核心假设'!$B$13))/(IF(Z14="",0,'核心假设'!$B$10)+IF(AA14="",0,'核心假设'!$B$11)+IF(AB14="",0,'核心假设'!$B$12)+IF(AC14="",0,'核心假设'!$B$13)),"")</x:f>
        <x:v>0.6424242424242422</x:v>
      </x:c>
      <x:c r="AE14" s="18" t="str">
        <x:f>IF(COUNT(Z14:AC14)&lt;4,"缺失重算",IF(OR(AND(I14="",G14&lt;&gt;""),ISNUMBER(SEARCH("代理",N14))),"代理","完整"))</x:f>
        <x:v>缺失重算</x:v>
      </x:c>
      <x:c r="AF14" s="18" t="n">
        <x:f>IF(C14="一线",1,IF(C14="新一线",2,IF(C14="二线",3,4)))</x:f>
        <x:v>2</x:v>
      </x:c>
      <x:c r="AG14" s="18" t="n">
        <x:f>IF(E14="是",F14,COUNTIF($E$6:$E$61,"是")+1+COUNTIFS($E$6:$E$61,"否",$AF$6:$AF$61,"&lt;"&amp;AF14)+COUNTIFS($E$6:$E$61,"否",$AF$6:$AF$61,AF14,$AD$6:$AD$61,"&gt;"&amp;AD14)+COUNTIFS($E$6:$E$61,"否",$AF$6:$AF$61,AF14,$AD$6:$AD$61,AD14,$D$6:$D$61,"&lt;"&amp;D14))</x:f>
        <x:v>31</x:v>
      </x:c>
    </x:row>
    <x:row r="15">
      <x:c r="A15" t="str">
        <x:v>西安</x:v>
      </x:c>
      <x:c r="B15" t="str">
        <x:v>陕西</x:v>
      </x:c>
      <x:c r="C15" t="str">
        <x:v>新一线</x:v>
      </x:c>
      <x:c r="D15" s="33" t="n">
        <x:v>10</x:v>
      </x:c>
      <x:c r="E15" s="33" t="str">
        <x:v>是</x:v>
      </x:c>
      <x:c r="F15" s="33" t="n">
        <x:v>23</x:v>
      </x:c>
      <x:c r="G15" s="33" t="n">
        <x:v>1295.2907</x:v>
      </x:c>
      <x:c r="H15" s="33" t="n">
        <x:v>2020</x:v>
      </x:c>
      <x:c r="I15" s="33" t="n">
        <x:v>770</x:v>
      </x:c>
      <x:c r="J15" s="33" t="n">
        <x:v>807.57</x:v>
      </x:c>
      <x:c r="K15" s="33" t="n">
        <x:v>2022</x:v>
      </x:c>
      <x:c r="L15" s="47" t="n">
        <x:f>IFERROR(IF(AND(I15&lt;&gt;"",J15&lt;&gt;""),I15/J15,G15/J15),"")</x:f>
        <x:v>0.953477717101923</x:v>
      </x:c>
      <x:c r="M15" s="33"/>
      <x:c r="N15" s="33"/>
      <x:c r="O15" s="33"/>
      <x:c r="P15" s="33"/>
      <x:c r="Q15" s="33"/>
      <x:c r="R15" s="47" t="n">
        <x:f>IFERROR(P15/G15,"")</x:f>
        <x:v>0</x:v>
      </x:c>
      <x:c r="S15" t="str">
        <x:v>SRC-003</x:v>
      </x:c>
      <x:c r="T15" t="str">
        <x:v>SRC-013</x:v>
      </x:c>
      <x:c r="U15" t="str">
        <x:v>SRC-005</x:v>
      </x:c>
      <x:c r="V15" t="str"/>
      <x:c r="W15" t="str"/>
      <x:c r="X15" t="str">
        <x:v>2026-08-16</x:v>
      </x:c>
      <x:c r="Y15" s="30" t="str">
        <x:v>等级及排名据2025第一财经榜单；2020年七普常住人口；住建部2022年城市建设统计年鉴表2-2第646行列示同一城市口径的城区人口（含表列城区暂住人口）770万人、建成区面积807.57平方公里；住房代理公开材料在小区/项目/户数/面积及计划/开工/完工间口径不可比，为保持同列可比性保留空值；未找到可核查的市级公共充电枪数量，未采用省级数值。</x:v>
      </x:c>
      <x:c r="Z15" s="22" t="n">
        <x:f>IF(G15="","",COUNTIFS($C$6:$C$61,C15,$G$6:$G$61,"&lt;="&amp;G15)/COUNTIFS($C$6:$C$61,C15,$G$6:$G$61,"&lt;&gt;"))</x:f>
        <x:v>0.8</x:v>
      </x:c>
      <x:c r="AA15" s="22" t="n">
        <x:f>IF(L15="","",COUNTIFS($C$6:$C$61,C15,$L$6:$L$61,"&lt;="&amp;L15)/COUNTIFS($C$6:$C$61,C15,$L$6:$L$61,"&lt;&gt;"))</x:f>
        <x:v>0.4</x:v>
      </x:c>
      <x:c r="AB15" s="22" t="str">
        <x:f>IF(M15="","",COUNTIFS($C$6:$C$61,C15,$M$6:$M$61,"&lt;="&amp;M15)/COUNTIFS($C$6:$C$61,C15,$M$6:$M$61,"&lt;&gt;"))</x:f>
      </x:c>
      <x:c r="AC15" s="22" t="str">
        <x:f>IF(R15="","",COUNTIFS($C$6:$C$61,C15,$R$6:$R$61,"&gt;="&amp;R15)/COUNTIFS($C$6:$C$61,C15,$R$6:$R$61,"&lt;&gt;"))</x:f>
      </x:c>
      <x:c r="AD15" s="49" t="n">
        <x:f>IFERROR((IF(Z15="",0,Z15*'核心假设'!$B$10)+IF(AA15="",0,AA15*'核心假设'!$B$11)+IF(AB15="",0,AB15*'核心假设'!$B$12)+IF(AC15="",0,AC15*'核心假设'!$B$13))/(IF(Z15="",0,'核心假设'!$B$10)+IF(AA15="",0,'核心假设'!$B$11)+IF(AB15="",0,'核心假设'!$B$12)+IF(AC15="",0,'核心假设'!$B$13)),"")</x:f>
        <x:v>0.618181818181818</x:v>
      </x:c>
      <x:c r="AE15" s="18" t="str">
        <x:f>IF(COUNT(Z15:AC15)&lt;4,"缺失重算",IF(OR(AND(I15="",G15&lt;&gt;""),ISNUMBER(SEARCH("代理",N15))),"代理","完整"))</x:f>
        <x:v>缺失重算</x:v>
      </x:c>
      <x:c r="AF15" s="18" t="n">
        <x:f>IF(C15="一线",1,IF(C15="新一线",2,IF(C15="二线",3,4)))</x:f>
        <x:v>2</x:v>
      </x:c>
      <x:c r="AG15" s="18" t="n">
        <x:f>IF(E15="是",F15,COUNTIF($E$6:$E$61,"是")+1+COUNTIFS($E$6:$E$61,"否",$AF$6:$AF$61,"&lt;"&amp;AF15)+COUNTIFS($E$6:$E$61,"否",$AF$6:$AF$61,AF15,$AD$6:$AD$61,"&gt;"&amp;AD15)+COUNTIFS($E$6:$E$61,"否",$AF$6:$AF$61,AF15,$AD$6:$AD$61,AD15,$D$6:$D$61,"&lt;"&amp;D15))</x:f>
        <x:v>23</x:v>
      </x:c>
    </x:row>
    <x:row r="16">
      <x:c r="A16" t="str">
        <x:v>南京</x:v>
      </x:c>
      <x:c r="B16" t="str">
        <x:v>江苏</x:v>
      </x:c>
      <x:c r="C16" t="str">
        <x:v>新一线</x:v>
      </x:c>
      <x:c r="D16" s="33" t="n">
        <x:v>11</x:v>
      </x:c>
      <x:c r="E16" s="33" t="str">
        <x:v>是</x:v>
      </x:c>
      <x:c r="F16" s="33" t="n">
        <x:v>6</x:v>
      </x:c>
      <x:c r="G16" s="33" t="n">
        <x:v>931.4685</x:v>
      </x:c>
      <x:c r="H16" s="33" t="n">
        <x:v>2020</x:v>
      </x:c>
      <x:c r="I16" s="33" t="n">
        <x:v>699.31</x:v>
      </x:c>
      <x:c r="J16" s="33" t="n">
        <x:v>885.73</x:v>
      </x:c>
      <x:c r="K16" s="33" t="n">
        <x:v>2022</x:v>
      </x:c>
      <x:c r="L16" s="47" t="n">
        <x:f>IFERROR(IF(AND(I16&lt;&gt;"",J16&lt;&gt;""),I16/J16,G16/J16),"")</x:f>
        <x:v>0.7895295406049246</x:v>
      </x:c>
      <x:c r="M16" s="33"/>
      <x:c r="N16" s="33"/>
      <x:c r="O16" s="33"/>
      <x:c r="P16" s="33"/>
      <x:c r="Q16" s="33"/>
      <x:c r="R16" s="47" t="n">
        <x:f>IFERROR(P16/G16,"")</x:f>
        <x:v>0</x:v>
      </x:c>
      <x:c r="S16" t="str">
        <x:v>SRC-003</x:v>
      </x:c>
      <x:c r="T16" t="str">
        <x:v>SRC-012</x:v>
      </x:c>
      <x:c r="U16" t="str">
        <x:v>SRC-005</x:v>
      </x:c>
      <x:c r="V16" t="str"/>
      <x:c r="W16" t="str"/>
      <x:c r="X16" t="str">
        <x:v>2026-08-16</x:v>
      </x:c>
      <x:c r="Y16" s="30" t="str">
        <x:v>等级及排名据2025第一财经榜单；2020年七普常住人口；住建部2022年城市建设统计年鉴表2-2第186行列示同一城市口径的城区人口（含表列城区暂住人口）699.31万人、建成区面积885.73平方公里；住房代理公开材料在小区/项目/户数/面积及计划/开工/完工间口径不可比，为保持同列可比性保留空值；未找到可核查的市级公共充电枪数量，未采用省级数值。</x:v>
      </x:c>
      <x:c r="Z16" s="22" t="n">
        <x:f>IF(G16="","",COUNTIFS($C$6:$C$61,C16,$G$6:$G$61,"&lt;="&amp;G16)/COUNTIFS($C$6:$C$61,C16,$G$6:$G$61,"&lt;&gt;"))</x:f>
        <x:v>0.06666666666666667</x:v>
      </x:c>
      <x:c r="AA16" s="22" t="n">
        <x:f>IF(L16="","",COUNTIFS($C$6:$C$61,C16,$L$6:$L$61,"&lt;="&amp;L16)/COUNTIFS($C$6:$C$61,C16,$L$6:$L$61,"&lt;&gt;"))</x:f>
        <x:v>0.13333333333333333</x:v>
      </x:c>
      <x:c r="AB16" s="22" t="str">
        <x:f>IF(M16="","",COUNTIFS($C$6:$C$61,C16,$M$6:$M$61,"&lt;="&amp;M16)/COUNTIFS($C$6:$C$61,C16,$M$6:$M$61,"&lt;&gt;"))</x:f>
      </x:c>
      <x:c r="AC16" s="22" t="str">
        <x:f>IF(R16="","",COUNTIFS($C$6:$C$61,C16,$R$6:$R$61,"&gt;="&amp;R16)/COUNTIFS($C$6:$C$61,C16,$R$6:$R$61,"&lt;&gt;"))</x:f>
      </x:c>
      <x:c r="AD16" s="49" t="n">
        <x:f>IFERROR((IF(Z16="",0,Z16*'核心假设'!$B$10)+IF(AA16="",0,AA16*'核心假设'!$B$11)+IF(AB16="",0,AB16*'核心假设'!$B$12)+IF(AC16="",0,AC16*'核心假设'!$B$13))/(IF(Z16="",0,'核心假设'!$B$10)+IF(AA16="",0,'核心假设'!$B$11)+IF(AB16="",0,'核心假设'!$B$12)+IF(AC16="",0,'核心假设'!$B$13)),"")</x:f>
        <x:v>0.09696969696969696</x:v>
      </x:c>
      <x:c r="AE16" s="18" t="str">
        <x:f>IF(COUNT(Z16:AC16)&lt;4,"缺失重算",IF(OR(AND(I16="",G16&lt;&gt;""),ISNUMBER(SEARCH("代理",N16))),"代理","完整"))</x:f>
        <x:v>缺失重算</x:v>
      </x:c>
      <x:c r="AF16" s="18" t="n">
        <x:f>IF(C16="一线",1,IF(C16="新一线",2,IF(C16="二线",3,4)))</x:f>
        <x:v>2</x:v>
      </x:c>
      <x:c r="AG16" s="18" t="n">
        <x:f>IF(E16="是",F16,COUNTIF($E$6:$E$61,"是")+1+COUNTIFS($E$6:$E$61,"否",$AF$6:$AF$61,"&lt;"&amp;AF16)+COUNTIFS($E$6:$E$61,"否",$AF$6:$AF$61,AF16,$AD$6:$AD$61,"&gt;"&amp;AD16)+COUNTIFS($E$6:$E$61,"否",$AF$6:$AF$61,AF16,$AD$6:$AD$61,AD16,$D$6:$D$61,"&lt;"&amp;D16))</x:f>
        <x:v>6</x:v>
      </x:c>
    </x:row>
    <x:row r="17">
      <x:c r="A17" t="str">
        <x:v>长沙</x:v>
      </x:c>
      <x:c r="B17" t="str">
        <x:v>湖南</x:v>
      </x:c>
      <x:c r="C17" t="str">
        <x:v>新一线</x:v>
      </x:c>
      <x:c r="D17" s="33" t="n">
        <x:v>12</x:v>
      </x:c>
      <x:c r="E17" s="33" t="str">
        <x:v>是</x:v>
      </x:c>
      <x:c r="F17" s="33" t="n">
        <x:v>8</x:v>
      </x:c>
      <x:c r="G17" s="33" t="n">
        <x:v>1004.7914</x:v>
      </x:c>
      <x:c r="H17" s="33" t="n">
        <x:v>2020</x:v>
      </x:c>
      <x:c r="I17" s="33" t="n">
        <x:v>520.51</x:v>
      </x:c>
      <x:c r="J17" s="33" t="n">
        <x:v>441.68</x:v>
      </x:c>
      <x:c r="K17" s="33" t="n">
        <x:v>2022</x:v>
      </x:c>
      <x:c r="L17" s="47" t="n">
        <x:f>IFERROR(IF(AND(I17&lt;&gt;"",J17&lt;&gt;""),I17/J17,G17/J17),"")</x:f>
        <x:v>1.178477630863974</x:v>
      </x:c>
      <x:c r="M17" s="33"/>
      <x:c r="N17" s="33"/>
      <x:c r="O17" s="33"/>
      <x:c r="P17" s="33"/>
      <x:c r="Q17" s="33"/>
      <x:c r="R17" s="47" t="n">
        <x:f>IFERROR(P17/G17,"")</x:f>
        <x:v>0</x:v>
      </x:c>
      <x:c r="S17" t="str">
        <x:v>SRC-003</x:v>
      </x:c>
      <x:c r="T17" t="str">
        <x:v>SRC-014</x:v>
      </x:c>
      <x:c r="U17" t="str">
        <x:v>SRC-005</x:v>
      </x:c>
      <x:c r="V17" t="str"/>
      <x:c r="W17" t="str"/>
      <x:c r="X17" t="str">
        <x:v>2026-08-16</x:v>
      </x:c>
      <x:c r="Y17" s="30" t="str">
        <x:v>等级及排名据2025第一财经榜单；2020年七普常住人口；住建部2022年城市建设统计年鉴表2-2第446行列示同一城市口径的城区人口（含表列城区暂住人口）520.51万人、建成区面积441.68平方公里；住房代理公开材料在小区/项目/户数/面积及计划/开工/完工间口径不可比，为保持同列可比性保留空值；未找到可核查的市级公共充电枪数量，未采用省级数值。</x:v>
      </x:c>
      <x:c r="Z17" s="22" t="n">
        <x:f>IF(G17="","",COUNTIFS($C$6:$C$61,C17,$G$6:$G$61,"&lt;="&amp;G17)/COUNTIFS($C$6:$C$61,C17,$G$6:$G$61,"&lt;&gt;"))</x:f>
        <x:v>0.3333333333333333</x:v>
      </x:c>
      <x:c r="AA17" s="22" t="n">
        <x:f>IF(L17="","",COUNTIFS($C$6:$C$61,C17,$L$6:$L$61,"&lt;="&amp;L17)/COUNTIFS($C$6:$C$61,C17,$L$6:$L$61,"&lt;&gt;"))</x:f>
        <x:v>0.7333333333333333</x:v>
      </x:c>
      <x:c r="AB17" s="22" t="str">
        <x:f>IF(M17="","",COUNTIFS($C$6:$C$61,C17,$M$6:$M$61,"&lt;="&amp;M17)/COUNTIFS($C$6:$C$61,C17,$M$6:$M$61,"&lt;&gt;"))</x:f>
      </x:c>
      <x:c r="AC17" s="22" t="str">
        <x:f>IF(R17="","",COUNTIFS($C$6:$C$61,C17,$R$6:$R$61,"&gt;="&amp;R17)/COUNTIFS($C$6:$C$61,C17,$R$6:$R$61,"&lt;&gt;"))</x:f>
      </x:c>
      <x:c r="AD17" s="49" t="n">
        <x:f>IFERROR((IF(Z17="",0,Z17*'核心假设'!$B$10)+IF(AA17="",0,AA17*'核心假设'!$B$11)+IF(AB17="",0,AB17*'核心假设'!$B$12)+IF(AC17="",0,AC17*'核心假设'!$B$13))/(IF(Z17="",0,'核心假设'!$B$10)+IF(AA17="",0,'核心假设'!$B$11)+IF(AB17="",0,'核心假设'!$B$12)+IF(AC17="",0,'核心假设'!$B$13)),"")</x:f>
        <x:v>0.5151515151515151</x:v>
      </x:c>
      <x:c r="AE17" s="18" t="str">
        <x:f>IF(COUNT(Z17:AC17)&lt;4,"缺失重算",IF(OR(AND(I17="",G17&lt;&gt;""),ISNUMBER(SEARCH("代理",N17))),"代理","完整"))</x:f>
        <x:v>缺失重算</x:v>
      </x:c>
      <x:c r="AF17" s="18" t="n">
        <x:f>IF(C17="一线",1,IF(C17="新一线",2,IF(C17="二线",3,4)))</x:f>
        <x:v>2</x:v>
      </x:c>
      <x:c r="AG17" s="18" t="n">
        <x:f>IF(E17="是",F17,COUNTIF($E$6:$E$61,"是")+1+COUNTIFS($E$6:$E$61,"否",$AF$6:$AF$61,"&lt;"&amp;AF17)+COUNTIFS($E$6:$E$61,"否",$AF$6:$AF$61,AF17,$AD$6:$AD$61,"&gt;"&amp;AD17)+COUNTIFS($E$6:$E$61,"否",$AF$6:$AF$61,AF17,$AD$6:$AD$61,AD17,$D$6:$D$61,"&lt;"&amp;D17))</x:f>
        <x:v>8</x:v>
      </x:c>
    </x:row>
    <x:row r="18">
      <x:c r="A18" t="str">
        <x:v>郑州</x:v>
      </x:c>
      <x:c r="B18" t="str">
        <x:v>河南</x:v>
      </x:c>
      <x:c r="C18" t="str">
        <x:v>新一线</x:v>
      </x:c>
      <x:c r="D18" s="33" t="n">
        <x:v>13</x:v>
      </x:c>
      <x:c r="E18" s="33" t="str">
        <x:v>是</x:v>
      </x:c>
      <x:c r="F18" s="33" t="n">
        <x:v>26</x:v>
      </x:c>
      <x:c r="G18" s="33" t="n">
        <x:v>1260.0574</x:v>
      </x:c>
      <x:c r="H18" s="33" t="n">
        <x:v>2020</x:v>
      </x:c>
      <x:c r="I18" s="33" t="n">
        <x:v>766.75</x:v>
      </x:c>
      <x:c r="J18" s="33" t="n">
        <x:v>729.12</x:v>
      </x:c>
      <x:c r="K18" s="33" t="n">
        <x:v>2022</x:v>
      </x:c>
      <x:c r="L18" s="47" t="n">
        <x:f>IFERROR(IF(AND(I18&lt;&gt;"",J18&lt;&gt;""),I18/J18,G18/J18),"")</x:f>
        <x:v>1.0516101601931096</x:v>
      </x:c>
      <x:c r="M18" s="33"/>
      <x:c r="N18" s="33"/>
      <x:c r="O18" s="33"/>
      <x:c r="P18" s="33"/>
      <x:c r="Q18" s="33"/>
      <x:c r="R18" s="47" t="n">
        <x:f>IFERROR(P18/G18,"")</x:f>
        <x:v>0</x:v>
      </x:c>
      <x:c r="S18" t="str">
        <x:v>SRC-003</x:v>
      </x:c>
      <x:c r="T18" t="str">
        <x:v>SRC-015</x:v>
      </x:c>
      <x:c r="U18" t="str">
        <x:v>SRC-005</x:v>
      </x:c>
      <x:c r="V18" t="str"/>
      <x:c r="W18" t="str"/>
      <x:c r="X18" t="str">
        <x:v>2026-08-16</x:v>
      </x:c>
      <x:c r="Y18" s="30" t="str">
        <x:v>等级及排名据2025第一财经榜单；2020年七普常住人口；住建部2022年城市建设统计年鉴表2-2第367行列示同一城市口径的城区人口（含表列城区暂住人口）766.75万人、建成区面积729.12平方公里；住房代理公开材料在小区/项目/户数/面积及计划/开工/完工间口径不可比，为保持同列可比性保留空值；未找到可核查的市级公共充电枪数量，未采用省级数值。</x:v>
      </x:c>
      <x:c r="Z18" s="22" t="n">
        <x:f>IF(G18="","",COUNTIFS($C$6:$C$61,C18,$G$6:$G$61,"&lt;="&amp;G18)/COUNTIFS($C$6:$C$61,C18,$G$6:$G$61,"&lt;&gt;"))</x:f>
        <x:v>0.6666666666666666</x:v>
      </x:c>
      <x:c r="AA18" s="22" t="n">
        <x:f>IF(L18="","",COUNTIFS($C$6:$C$61,C18,$L$6:$L$61,"&lt;="&amp;L18)/COUNTIFS($C$6:$C$61,C18,$L$6:$L$61,"&lt;&gt;"))</x:f>
        <x:v>0.6</x:v>
      </x:c>
      <x:c r="AB18" s="22" t="str">
        <x:f>IF(M18="","",COUNTIFS($C$6:$C$61,C18,$M$6:$M$61,"&lt;="&amp;M18)/COUNTIFS($C$6:$C$61,C18,$M$6:$M$61,"&lt;&gt;"))</x:f>
      </x:c>
      <x:c r="AC18" s="22" t="str">
        <x:f>IF(R18="","",COUNTIFS($C$6:$C$61,C18,$R$6:$R$61,"&gt;="&amp;R18)/COUNTIFS($C$6:$C$61,C18,$R$6:$R$61,"&lt;&gt;"))</x:f>
      </x:c>
      <x:c r="AD18" s="49" t="n">
        <x:f>IFERROR((IF(Z18="",0,Z18*'核心假设'!$B$10)+IF(AA18="",0,AA18*'核心假设'!$B$11)+IF(AB18="",0,AB18*'核心假设'!$B$12)+IF(AC18="",0,AC18*'核心假设'!$B$13))/(IF(Z18="",0,'核心假设'!$B$10)+IF(AA18="",0,'核心假设'!$B$11)+IF(AB18="",0,'核心假设'!$B$12)+IF(AC18="",0,'核心假设'!$B$13)),"")</x:f>
        <x:v>0.6363636363636362</x:v>
      </x:c>
      <x:c r="AE18" s="18" t="str">
        <x:f>IF(COUNT(Z18:AC18)&lt;4,"缺失重算",IF(OR(AND(I18="",G18&lt;&gt;""),ISNUMBER(SEARCH("代理",N18))),"代理","完整"))</x:f>
        <x:v>缺失重算</x:v>
      </x:c>
      <x:c r="AF18" s="18" t="n">
        <x:f>IF(C18="一线",1,IF(C18="新一线",2,IF(C18="二线",3,4)))</x:f>
        <x:v>2</x:v>
      </x:c>
      <x:c r="AG18" s="18" t="n">
        <x:f>IF(E18="是",F18,COUNTIF($E$6:$E$61,"是")+1+COUNTIFS($E$6:$E$61,"否",$AF$6:$AF$61,"&lt;"&amp;AF18)+COUNTIFS($E$6:$E$61,"否",$AF$6:$AF$61,AF18,$AD$6:$AD$61,"&gt;"&amp;AD18)+COUNTIFS($E$6:$E$61,"否",$AF$6:$AF$61,AF18,$AD$6:$AD$61,AD18,$D$6:$D$61,"&lt;"&amp;D18))</x:f>
        <x:v>26</x:v>
      </x:c>
    </x:row>
    <x:row r="19">
      <x:c r="A19" t="str">
        <x:v>天津</x:v>
      </x:c>
      <x:c r="B19" t="str">
        <x:v>天津</x:v>
      </x:c>
      <x:c r="C19" t="str">
        <x:v>新一线</x:v>
      </x:c>
      <x:c r="D19" s="33" t="n">
        <x:v>14</x:v>
      </x:c>
      <x:c r="E19" s="33" t="str">
        <x:v>是</x:v>
      </x:c>
      <x:c r="F19" s="33" t="n">
        <x:v>16</x:v>
      </x:c>
      <x:c r="G19" s="33" t="n">
        <x:v>1386.6009</x:v>
      </x:c>
      <x:c r="H19" s="33" t="n">
        <x:v>2020</x:v>
      </x:c>
      <x:c r="I19" s="33" t="n">
        <x:v>1160.07</x:v>
      </x:c>
      <x:c r="J19" s="33" t="n">
        <x:v>1264.46</x:v>
      </x:c>
      <x:c r="K19" s="33" t="n">
        <x:v>2022</x:v>
      </x:c>
      <x:c r="L19" s="47" t="n">
        <x:f>IFERROR(IF(AND(I19&lt;&gt;"",J19&lt;&gt;""),I19/J19,G19/J19),"")</x:f>
        <x:v>0.9174430191544216</x:v>
      </x:c>
      <x:c r="M19" s="33"/>
      <x:c r="N19" s="33"/>
      <x:c r="O19" s="33"/>
      <x:c r="P19" s="33"/>
      <x:c r="Q19" s="33"/>
      <x:c r="R19" s="47" t="n">
        <x:f>IFERROR(P19/G19,"")</x:f>
        <x:v>0</x:v>
      </x:c>
      <x:c r="S19" t="str">
        <x:v>SRC-003</x:v>
      </x:c>
      <x:c r="T19" t="str">
        <x:v>SRC-016</x:v>
      </x:c>
      <x:c r="U19" t="str">
        <x:v>SRC-005</x:v>
      </x:c>
      <x:c r="V19" t="str"/>
      <x:c r="W19" t="str"/>
      <x:c r="X19" t="str">
        <x:v>2026-08-16</x:v>
      </x:c>
      <x:c r="Y19" s="30" t="str">
        <x:v>等级及排名据2025第一财经榜单；2020年七普常住人口；住建部2022年城市建设统计年鉴表2-2第10行列示同一城市口径的城区人口（含表列城区暂住人口）1160.07万人、建成区面积1264.46平方公里；住房代理公开材料在小区/项目/户数/面积及计划/开工/完工间口径不可比，为保持同列可比性保留空值；未找到可核查的市级公共充电枪数量，未采用省级数值。</x:v>
      </x:c>
      <x:c r="Z19" s="22" t="n">
        <x:f>IF(G19="","",COUNTIFS($C$6:$C$61,C19,$G$6:$G$61,"&lt;="&amp;G19)/COUNTIFS($C$6:$C$61,C19,$G$6:$G$61,"&lt;&gt;"))</x:f>
        <x:v>0.8666666666666667</x:v>
      </x:c>
      <x:c r="AA19" s="22" t="n">
        <x:f>IF(L19="","",COUNTIFS($C$6:$C$61,C19,$L$6:$L$61,"&lt;="&amp;L19)/COUNTIFS($C$6:$C$61,C19,$L$6:$L$61,"&lt;&gt;"))</x:f>
        <x:v>0.26666666666666666</x:v>
      </x:c>
      <x:c r="AB19" s="22" t="str">
        <x:f>IF(M19="","",COUNTIFS($C$6:$C$61,C19,$M$6:$M$61,"&lt;="&amp;M19)/COUNTIFS($C$6:$C$61,C19,$M$6:$M$61,"&lt;&gt;"))</x:f>
      </x:c>
      <x:c r="AC19" s="22" t="str">
        <x:f>IF(R19="","",COUNTIFS($C$6:$C$61,C19,$R$6:$R$61,"&gt;="&amp;R19)/COUNTIFS($C$6:$C$61,C19,$R$6:$R$61,"&lt;&gt;"))</x:f>
      </x:c>
      <x:c r="AD19" s="49" t="n">
        <x:f>IFERROR((IF(Z19="",0,Z19*'核心假设'!$B$10)+IF(AA19="",0,AA19*'核心假设'!$B$11)+IF(AB19="",0,AB19*'核心假设'!$B$12)+IF(AC19="",0,AC19*'核心假设'!$B$13))/(IF(Z19="",0,'核心假设'!$B$10)+IF(AA19="",0,'核心假设'!$B$11)+IF(AB19="",0,'核心假设'!$B$12)+IF(AC19="",0,'核心假设'!$B$13)),"")</x:f>
        <x:v>0.5939393939393939</x:v>
      </x:c>
      <x:c r="AE19" s="18" t="str">
        <x:f>IF(COUNT(Z19:AC19)&lt;4,"缺失重算",IF(OR(AND(I19="",G19&lt;&gt;""),ISNUMBER(SEARCH("代理",N19))),"代理","完整"))</x:f>
        <x:v>缺失重算</x:v>
      </x:c>
      <x:c r="AF19" s="18" t="n">
        <x:f>IF(C19="一线",1,IF(C19="新一线",2,IF(C19="二线",3,4)))</x:f>
        <x:v>2</x:v>
      </x:c>
      <x:c r="AG19" s="18" t="n">
        <x:f>IF(E19="是",F19,COUNTIF($E$6:$E$61,"是")+1+COUNTIFS($E$6:$E$61,"否",$AF$6:$AF$61,"&lt;"&amp;AF19)+COUNTIFS($E$6:$E$61,"否",$AF$6:$AF$61,AF19,$AD$6:$AD$61,"&gt;"&amp;AD19)+COUNTIFS($E$6:$E$61,"否",$AF$6:$AF$61,AF19,$AD$6:$AD$61,AD19,$D$6:$D$61,"&lt;"&amp;D19))</x:f>
        <x:v>16</x:v>
      </x:c>
    </x:row>
    <x:row r="20">
      <x:c r="A20" t="str">
        <x:v>合肥</x:v>
      </x:c>
      <x:c r="B20" t="str">
        <x:v>安徽</x:v>
      </x:c>
      <x:c r="C20" t="str">
        <x:v>新一线</x:v>
      </x:c>
      <x:c r="D20" s="33" t="n">
        <x:v>15</x:v>
      </x:c>
      <x:c r="E20" s="33" t="str">
        <x:v>是</x:v>
      </x:c>
      <x:c r="F20" s="33" t="n">
        <x:v>1</x:v>
      </x:c>
      <x:c r="G20" s="33" t="n">
        <x:v>936.9881</x:v>
      </x:c>
      <x:c r="H20" s="33" t="n">
        <x:v>2020</x:v>
      </x:c>
      <x:c r="I20" s="33" t="n">
        <x:v>650.4</x:v>
      </x:c>
      <x:c r="J20" s="33" t="n">
        <x:v>506.6</x:v>
      </x:c>
      <x:c r="K20" s="33" t="n">
        <x:v>2022</x:v>
      </x:c>
      <x:c r="L20" s="47" t="n">
        <x:f>IFERROR(IF(AND(I20&lt;&gt;"",J20&lt;&gt;""),I20/J20,G20/J20),"")</x:f>
        <x:v>1.2838531385708645</x:v>
      </x:c>
      <x:c r="M20" s="33"/>
      <x:c r="N20" s="33"/>
      <x:c r="O20" s="33"/>
      <x:c r="P20" s="33"/>
      <x:c r="Q20" s="33"/>
      <x:c r="R20" s="47" t="n">
        <x:f>IFERROR(P20/G20,"")</x:f>
        <x:v>0</x:v>
      </x:c>
      <x:c r="S20" t="str">
        <x:v>SRC-003</x:v>
      </x:c>
      <x:c r="T20" t="str">
        <x:v>SRC-017</x:v>
      </x:c>
      <x:c r="U20" t="str">
        <x:v>SRC-005</x:v>
      </x:c>
      <x:c r="V20" t="str"/>
      <x:c r="W20" t="str"/>
      <x:c r="X20" t="str">
        <x:v>2026-08-16</x:v>
      </x:c>
      <x:c r="Y20" s="30" t="str">
        <x:v>等级及排名据2025第一财经榜单；2020年七普常住人口；住建部2022年城市建设统计年鉴表2-2第253行列示同一城市口径的城区人口（含表列城区暂住人口）650.4万人、建成区面积506.6平方公里；住房代理公开材料在小区/项目/户数/面积及计划/开工/完工间口径不可比，为保持同列可比性保留空值；未找到可核查的市级公共充电枪数量，未采用省级数值。</x:v>
      </x:c>
      <x:c r="Z20" s="22" t="n">
        <x:f>IF(G20="","",COUNTIFS($C$6:$C$61,C20,$G$6:$G$61,"&lt;="&amp;G20)/COUNTIFS($C$6:$C$61,C20,$G$6:$G$61,"&lt;&gt;"))</x:f>
        <x:v>0.13333333333333333</x:v>
      </x:c>
      <x:c r="AA20" s="22" t="n">
        <x:f>IF(L20="","",COUNTIFS($C$6:$C$61,C20,$L$6:$L$61,"&lt;="&amp;L20)/COUNTIFS($C$6:$C$61,C20,$L$6:$L$61,"&lt;&gt;"))</x:f>
        <x:v>1</x:v>
      </x:c>
      <x:c r="AB20" s="22" t="str">
        <x:f>IF(M20="","",COUNTIFS($C$6:$C$61,C20,$M$6:$M$61,"&lt;="&amp;M20)/COUNTIFS($C$6:$C$61,C20,$M$6:$M$61,"&lt;&gt;"))</x:f>
      </x:c>
      <x:c r="AC20" s="22" t="str">
        <x:f>IF(R20="","",COUNTIFS($C$6:$C$61,C20,$R$6:$R$61,"&gt;="&amp;R20)/COUNTIFS($C$6:$C$61,C20,$R$6:$R$61,"&lt;&gt;"))</x:f>
      </x:c>
      <x:c r="AD20" s="49" t="n">
        <x:f>IFERROR((IF(Z20="",0,Z20*'核心假设'!$B$10)+IF(AA20="",0,AA20*'核心假设'!$B$11)+IF(AB20="",0,AB20*'核心假设'!$B$12)+IF(AC20="",0,AC20*'核心假设'!$B$13))/(IF(Z20="",0,'核心假设'!$B$10)+IF(AA20="",0,'核心假设'!$B$11)+IF(AB20="",0,'核心假设'!$B$12)+IF(AC20="",0,'核心假设'!$B$13)),"")</x:f>
        <x:v>0.5272727272727272</x:v>
      </x:c>
      <x:c r="AE20" s="18" t="str">
        <x:f>IF(COUNT(Z20:AC20)&lt;4,"缺失重算",IF(OR(AND(I20="",G20&lt;&gt;""),ISNUMBER(SEARCH("代理",N20))),"代理","完整"))</x:f>
        <x:v>缺失重算</x:v>
      </x:c>
      <x:c r="AF20" s="18" t="n">
        <x:f>IF(C20="一线",1,IF(C20="新一线",2,IF(C20="二线",3,4)))</x:f>
        <x:v>2</x:v>
      </x:c>
      <x:c r="AG20" s="18" t="n">
        <x:f>IF(E20="是",F20,COUNTIF($E$6:$E$61,"是")+1+COUNTIFS($E$6:$E$61,"否",$AF$6:$AF$61,"&lt;"&amp;AF20)+COUNTIFS($E$6:$E$61,"否",$AF$6:$AF$61,AF20,$AD$6:$AD$61,"&gt;"&amp;AD20)+COUNTIFS($E$6:$E$61,"否",$AF$6:$AF$61,AF20,$AD$6:$AD$61,AD20,$D$6:$D$61,"&lt;"&amp;D20))</x:f>
        <x:v>1</x:v>
      </x:c>
    </x:row>
    <x:row r="21">
      <x:c r="A21" t="str">
        <x:v>青岛</x:v>
      </x:c>
      <x:c r="B21" t="str">
        <x:v>山东</x:v>
      </x:c>
      <x:c r="C21" t="str">
        <x:v>新一线</x:v>
      </x:c>
      <x:c r="D21" s="33" t="n">
        <x:v>16</x:v>
      </x:c>
      <x:c r="E21" s="33" t="str">
        <x:v>是</x:v>
      </x:c>
      <x:c r="F21" s="33" t="n">
        <x:v>17</x:v>
      </x:c>
      <x:c r="G21" s="33" t="n">
        <x:v>1007.1722</x:v>
      </x:c>
      <x:c r="H21" s="33" t="n">
        <x:v>2020</x:v>
      </x:c>
      <x:c r="I21" s="33" t="n">
        <x:v>583.91</x:v>
      </x:c>
      <x:c r="J21" s="33" t="n">
        <x:v>761.52</x:v>
      </x:c>
      <x:c r="K21" s="33" t="n">
        <x:v>2022</x:v>
      </x:c>
      <x:c r="L21" s="47" t="n">
        <x:f>IFERROR(IF(AND(I21&lt;&gt;"",J21&lt;&gt;""),I21/J21,G21/J21),"")</x:f>
        <x:v>0.766769093392163</x:v>
      </x:c>
      <x:c r="M21" s="33"/>
      <x:c r="N21" s="33"/>
      <x:c r="O21" s="33"/>
      <x:c r="P21" s="33"/>
      <x:c r="Q21" s="33"/>
      <x:c r="R21" s="47" t="n">
        <x:f>IFERROR(P21/G21,"")</x:f>
        <x:v>0</x:v>
      </x:c>
      <x:c r="S21" t="str">
        <x:v>SRC-003</x:v>
      </x:c>
      <x:c r="T21" t="str">
        <x:v>SRC-018</x:v>
      </x:c>
      <x:c r="U21" t="str">
        <x:v>SRC-005</x:v>
      </x:c>
      <x:c r="V21" t="str"/>
      <x:c r="W21" t="str"/>
      <x:c r="X21" t="str">
        <x:v>2026-08-16</x:v>
      </x:c>
      <x:c r="Y21" s="30" t="str">
        <x:v>等级及排名据2025第一财经榜单；2020年七普常住人口；住建部2022年城市建设统计年鉴表2-2第325行列示同一城市口径的城区人口（含表列城区暂住人口）583.91万人、建成区面积761.52平方公里；住房代理公开材料在小区/项目/户数/面积及计划/开工/完工间口径不可比，为保持同列可比性保留空值；未找到可核查的市级公共充电枪数量，未采用省级数值。</x:v>
      </x:c>
      <x:c r="Z21" s="22" t="n">
        <x:f>IF(G21="","",COUNTIFS($C$6:$C$61,C21,$G$6:$G$61,"&lt;="&amp;G21)/COUNTIFS($C$6:$C$61,C21,$G$6:$G$61,"&lt;&gt;"))</x:f>
        <x:v>0.4</x:v>
      </x:c>
      <x:c r="AA21" s="22" t="n">
        <x:f>IF(L21="","",COUNTIFS($C$6:$C$61,C21,$L$6:$L$61,"&lt;="&amp;L21)/COUNTIFS($C$6:$C$61,C21,$L$6:$L$61,"&lt;&gt;"))</x:f>
        <x:v>0.06666666666666667</x:v>
      </x:c>
      <x:c r="AB21" s="22" t="str">
        <x:f>IF(M21="","",COUNTIFS($C$6:$C$61,C21,$M$6:$M$61,"&lt;="&amp;M21)/COUNTIFS($C$6:$C$61,C21,$M$6:$M$61,"&lt;&gt;"))</x:f>
      </x:c>
      <x:c r="AC21" s="22" t="str">
        <x:f>IF(R21="","",COUNTIFS($C$6:$C$61,C21,$R$6:$R$61,"&gt;="&amp;R21)/COUNTIFS($C$6:$C$61,C21,$R$6:$R$61,"&lt;&gt;"))</x:f>
      </x:c>
      <x:c r="AD21" s="49" t="n">
        <x:f>IFERROR((IF(Z21="",0,Z21*'核心假设'!$B$10)+IF(AA21="",0,AA21*'核心假设'!$B$11)+IF(AB21="",0,AB21*'核心假设'!$B$12)+IF(AC21="",0,AC21*'核心假设'!$B$13))/(IF(Z21="",0,'核心假设'!$B$10)+IF(AA21="",0,'核心假设'!$B$11)+IF(AB21="",0,'核心假设'!$B$12)+IF(AC21="",0,'核心假设'!$B$13)),"")</x:f>
        <x:v>0.24848484848484845</x:v>
      </x:c>
      <x:c r="AE21" s="18" t="str">
        <x:f>IF(COUNT(Z21:AC21)&lt;4,"缺失重算",IF(OR(AND(I21="",G21&lt;&gt;""),ISNUMBER(SEARCH("代理",N21))),"代理","完整"))</x:f>
        <x:v>缺失重算</x:v>
      </x:c>
      <x:c r="AF21" s="18" t="n">
        <x:f>IF(C21="一线",1,IF(C21="新一线",2,IF(C21="二线",3,4)))</x:f>
        <x:v>2</x:v>
      </x:c>
      <x:c r="AG21" s="18" t="n">
        <x:f>IF(E21="是",F21,COUNTIF($E$6:$E$61,"是")+1+COUNTIFS($E$6:$E$61,"否",$AF$6:$AF$61,"&lt;"&amp;AF21)+COUNTIFS($E$6:$E$61,"否",$AF$6:$AF$61,AF21,$AD$6:$AD$61,"&gt;"&amp;AD21)+COUNTIFS($E$6:$E$61,"否",$AF$6:$AF$61,AF21,$AD$6:$AD$61,AD21,$D$6:$D$61,"&lt;"&amp;D21))</x:f>
        <x:v>17</x:v>
      </x:c>
    </x:row>
    <x:row r="22">
      <x:c r="A22" t="str">
        <x:v>东莞</x:v>
      </x:c>
      <x:c r="B22" t="str">
        <x:v>广东</x:v>
      </x:c>
      <x:c r="C22" t="str">
        <x:v>新一线</x:v>
      </x:c>
      <x:c r="D22" s="33" t="n">
        <x:v>17</x:v>
      </x:c>
      <x:c r="E22" s="33" t="str">
        <x:v>否</x:v>
      </x:c>
      <x:c r="F22" s="33"/>
      <x:c r="G22" s="33" t="n">
        <x:v>1046.6625</x:v>
      </x:c>
      <x:c r="H22" s="33" t="n">
        <x:v>2020</x:v>
      </x:c>
      <x:c r="I22" s="33" t="n">
        <x:v>1082.44</x:v>
      </x:c>
      <x:c r="J22" s="33" t="n">
        <x:v>1194.31</x:v>
      </x:c>
      <x:c r="K22" s="33" t="n">
        <x:v>2022</x:v>
      </x:c>
      <x:c r="L22" s="47" t="n">
        <x:f>IFERROR(IF(AND(I22&lt;&gt;"",J22&lt;&gt;""),I22/J22,G22/J22),"")</x:f>
        <x:v>0.9063308521238206</x:v>
      </x:c>
      <x:c r="M22" s="33"/>
      <x:c r="N22" s="33"/>
      <x:c r="O22" s="33"/>
      <x:c r="P22" s="33"/>
      <x:c r="Q22" s="33"/>
      <x:c r="R22" s="47" t="n">
        <x:f>IFERROR(P22/G22,"")</x:f>
        <x:v>0</x:v>
      </x:c>
      <x:c r="S22" t="str">
        <x:v>SRC-003</x:v>
      </x:c>
      <x:c r="T22" t="str">
        <x:v>SRC-007</x:v>
      </x:c>
      <x:c r="U22" t="str">
        <x:v>SRC-005</x:v>
      </x:c>
      <x:c r="V22" t="str"/>
      <x:c r="W22" t="str"/>
      <x:c r="X22" t="str">
        <x:v>2026-08-16</x:v>
      </x:c>
      <x:c r="Y22" s="30" t="str">
        <x:v>等级及排名据2025第一财经榜单；2020年七普常住人口；住建部2022年城市建设统计年鉴表2-2第513行列示同一城市口径的城区人口（含表列城区暂住人口）1082.44万人、建成区面积1194.31平方公里；住房代理公开材料在小区/项目/户数/面积及计划/开工/完工间口径不可比，为保持同列可比性保留空值；未找到可核查的市级公共充电枪数量，未采用省级数值。</x:v>
      </x:c>
      <x:c r="Z22" s="22" t="n">
        <x:f>IF(G22="","",COUNTIFS($C$6:$C$61,C22,$G$6:$G$61,"&lt;="&amp;G22)/COUNTIFS($C$6:$C$61,C22,$G$6:$G$61,"&lt;&gt;"))</x:f>
        <x:v>0.4666666666666667</x:v>
      </x:c>
      <x:c r="AA22" s="22" t="n">
        <x:f>IF(L22="","",COUNTIFS($C$6:$C$61,C22,$L$6:$L$61,"&lt;="&amp;L22)/COUNTIFS($C$6:$C$61,C22,$L$6:$L$61,"&lt;&gt;"))</x:f>
        <x:v>0.2</x:v>
      </x:c>
      <x:c r="AB22" s="22" t="str">
        <x:f>IF(M22="","",COUNTIFS($C$6:$C$61,C22,$M$6:$M$61,"&lt;="&amp;M22)/COUNTIFS($C$6:$C$61,C22,$M$6:$M$61,"&lt;&gt;"))</x:f>
      </x:c>
      <x:c r="AC22" s="22" t="str">
        <x:f>IF(R22="","",COUNTIFS($C$6:$C$61,C22,$R$6:$R$61,"&gt;="&amp;R22)/COUNTIFS($C$6:$C$61,C22,$R$6:$R$61,"&lt;&gt;"))</x:f>
      </x:c>
      <x:c r="AD22" s="49" t="n">
        <x:f>IFERROR((IF(Z22="",0,Z22*'核心假设'!$B$10)+IF(AA22="",0,AA22*'核心假设'!$B$11)+IF(AB22="",0,AB22*'核心假设'!$B$12)+IF(AC22="",0,AC22*'核心假设'!$B$13))/(IF(Z22="",0,'核心假设'!$B$10)+IF(AA22="",0,'核心假设'!$B$11)+IF(AB22="",0,'核心假设'!$B$12)+IF(AC22="",0,'核心假设'!$B$13)),"")</x:f>
        <x:v>0.3454545454545454</x:v>
      </x:c>
      <x:c r="AE22" s="18" t="str">
        <x:f>IF(COUNT(Z22:AC22)&lt;4,"缺失重算",IF(OR(AND(I22="",G22&lt;&gt;""),ISNUMBER(SEARCH("代理",N22))),"代理","完整"))</x:f>
        <x:v>缺失重算</x:v>
      </x:c>
      <x:c r="AF22" s="18" t="n">
        <x:f>IF(C22="一线",1,IF(C22="新一线",2,IF(C22="二线",3,4)))</x:f>
        <x:v>2</x:v>
      </x:c>
      <x:c r="AG22" s="18" t="n">
        <x:f>IF(E22="是",F22,COUNTIF($E$6:$E$61,"是")+1+COUNTIFS($E$6:$E$61,"否",$AF$6:$AF$61,"&lt;"&amp;AF22)+COUNTIFS($E$6:$E$61,"否",$AF$6:$AF$61,AF22,$AD$6:$AD$61,"&gt;"&amp;AD22)+COUNTIFS($E$6:$E$61,"否",$AF$6:$AF$61,AF22,$AD$6:$AD$61,AD22,$D$6:$D$61,"&lt;"&amp;D22))</x:f>
        <x:v>33</x:v>
      </x:c>
    </x:row>
    <x:row r="23">
      <x:c r="A23" t="str">
        <x:v>宁波</x:v>
      </x:c>
      <x:c r="B23" t="str">
        <x:v>浙江</x:v>
      </x:c>
      <x:c r="C23" t="str">
        <x:v>新一线</x:v>
      </x:c>
      <x:c r="D23" s="33" t="n">
        <x:v>18</x:v>
      </x:c>
      <x:c r="E23" s="33" t="str">
        <x:v>是</x:v>
      </x:c>
      <x:c r="F23" s="33" t="n">
        <x:v>5</x:v>
      </x:c>
      <x:c r="G23" s="33" t="n">
        <x:v>940.4283</x:v>
      </x:c>
      <x:c r="H23" s="33" t="n">
        <x:v>2020</x:v>
      </x:c>
      <x:c r="I23" s="33" t="n">
        <x:v>367.72</x:v>
      </x:c>
      <x:c r="J23" s="33" t="n">
        <x:v>397.4</x:v>
      </x:c>
      <x:c r="K23" s="33" t="n">
        <x:v>2022</x:v>
      </x:c>
      <x:c r="L23" s="47" t="n">
        <x:f>IFERROR(IF(AND(I23&lt;&gt;"",J23&lt;&gt;""),I23/J23,G23/J23),"")</x:f>
        <x:v>0.9253145445395069</x:v>
      </x:c>
      <x:c r="M23" s="33"/>
      <x:c r="N23" s="33"/>
      <x:c r="O23" s="33"/>
      <x:c r="P23" s="33"/>
      <x:c r="Q23" s="33"/>
      <x:c r="R23" s="47" t="n">
        <x:f>IFERROR(P23/G23,"")</x:f>
        <x:v>0</x:v>
      </x:c>
      <x:c r="S23" t="str">
        <x:v>SRC-003</x:v>
      </x:c>
      <x:c r="T23" t="str">
        <x:v>SRC-009</x:v>
      </x:c>
      <x:c r="U23" t="str">
        <x:v>SRC-005</x:v>
      </x:c>
      <x:c r="V23" t="str"/>
      <x:c r="W23" t="str"/>
      <x:c r="X23" t="str">
        <x:v>2026-08-16</x:v>
      </x:c>
      <x:c r="Y23" s="30" t="str">
        <x:v>等级及排名据2025第一财经榜单；2020年七普常住人口；住建部2022年城市建设统计年鉴表2-2第223行列示同一城市口径的城区人口（含表列城区暂住人口）367.72万人、建成区面积397.4平方公里；住房代理公开材料在小区/项目/户数/面积及计划/开工/完工间口径不可比，为保持同列可比性保留空值；未找到可核查的市级公共充电枪数量，未采用省级数值。</x:v>
      </x:c>
      <x:c r="Z23" s="22" t="n">
        <x:f>IF(G23="","",COUNTIFS($C$6:$C$61,C23,$G$6:$G$61,"&lt;="&amp;G23)/COUNTIFS($C$6:$C$61,C23,$G$6:$G$61,"&lt;&gt;"))</x:f>
        <x:v>0.2</x:v>
      </x:c>
      <x:c r="AA23" s="22" t="n">
        <x:f>IF(L23="","",COUNTIFS($C$6:$C$61,C23,$L$6:$L$61,"&lt;="&amp;L23)/COUNTIFS($C$6:$C$61,C23,$L$6:$L$61,"&lt;&gt;"))</x:f>
        <x:v>0.3333333333333333</x:v>
      </x:c>
      <x:c r="AB23" s="22" t="str">
        <x:f>IF(M23="","",COUNTIFS($C$6:$C$61,C23,$M$6:$M$61,"&lt;="&amp;M23)/COUNTIFS($C$6:$C$61,C23,$M$6:$M$61,"&lt;&gt;"))</x:f>
      </x:c>
      <x:c r="AC23" s="22" t="str">
        <x:f>IF(R23="","",COUNTIFS($C$6:$C$61,C23,$R$6:$R$61,"&gt;="&amp;R23)/COUNTIFS($C$6:$C$61,C23,$R$6:$R$61,"&lt;&gt;"))</x:f>
      </x:c>
      <x:c r="AD23" s="49" t="n">
        <x:f>IFERROR((IF(Z23="",0,Z23*'核心假设'!$B$10)+IF(AA23="",0,AA23*'核心假设'!$B$11)+IF(AB23="",0,AB23*'核心假设'!$B$12)+IF(AC23="",0,AC23*'核心假设'!$B$13))/(IF(Z23="",0,'核心假设'!$B$10)+IF(AA23="",0,'核心假设'!$B$11)+IF(AB23="",0,'核心假设'!$B$12)+IF(AC23="",0,'核心假设'!$B$13)),"")</x:f>
        <x:v>0.26060606060606056</x:v>
      </x:c>
      <x:c r="AE23" s="18" t="str">
        <x:f>IF(COUNT(Z23:AC23)&lt;4,"缺失重算",IF(OR(AND(I23="",G23&lt;&gt;""),ISNUMBER(SEARCH("代理",N23))),"代理","完整"))</x:f>
        <x:v>缺失重算</x:v>
      </x:c>
      <x:c r="AF23" s="18" t="n">
        <x:f>IF(C23="一线",1,IF(C23="新一线",2,IF(C23="二线",3,4)))</x:f>
        <x:v>2</x:v>
      </x:c>
      <x:c r="AG23" s="18" t="n">
        <x:f>IF(E23="是",F23,COUNTIF($E$6:$E$61,"是")+1+COUNTIFS($E$6:$E$61,"否",$AF$6:$AF$61,"&lt;"&amp;AF23)+COUNTIFS($E$6:$E$61,"否",$AF$6:$AF$61,AF23,$AD$6:$AD$61,"&gt;"&amp;AD23)+COUNTIFS($E$6:$E$61,"否",$AF$6:$AF$61,AF23,$AD$6:$AD$61,AD23,$D$6:$D$61,"&lt;"&amp;D23))</x:f>
        <x:v>5</x:v>
      </x:c>
    </x:row>
    <x:row r="24">
      <x:c r="A24" t="str">
        <x:v>佛山</x:v>
      </x:c>
      <x:c r="B24" t="str">
        <x:v>广东</x:v>
      </x:c>
      <x:c r="C24" t="str">
        <x:v>新一线</x:v>
      </x:c>
      <x:c r="D24" s="33" t="n">
        <x:v>19</x:v>
      </x:c>
      <x:c r="E24" s="33" t="str">
        <x:v>否</x:v>
      </x:c>
      <x:c r="F24" s="33"/>
      <x:c r="G24" s="33" t="n">
        <x:v>949.8863</x:v>
      </x:c>
      <x:c r="H24" s="33" t="n">
        <x:v>2020</x:v>
      </x:c>
      <x:c r="I24" s="33" t="n">
        <x:v>200.3</x:v>
      </x:c>
      <x:c r="J24" s="33" t="n">
        <x:v>163.82</x:v>
      </x:c>
      <x:c r="K24" s="33" t="n">
        <x:v>2022</x:v>
      </x:c>
      <x:c r="L24" s="47" t="n">
        <x:f>IFERROR(IF(AND(I24&lt;&gt;"",J24&lt;&gt;""),I24/J24,G24/J24),"")</x:f>
        <x:v>1.2226834330362595</x:v>
      </x:c>
      <x:c r="M24" s="33"/>
      <x:c r="N24" s="33"/>
      <x:c r="O24" s="33"/>
      <x:c r="P24" s="33"/>
      <x:c r="Q24" s="33"/>
      <x:c r="R24" s="47" t="n">
        <x:f>IFERROR(P24/G24,"")</x:f>
        <x:v>0</x:v>
      </x:c>
      <x:c r="S24" t="str">
        <x:v>SRC-003</x:v>
      </x:c>
      <x:c r="T24" t="str">
        <x:v>SRC-007</x:v>
      </x:c>
      <x:c r="U24" t="str">
        <x:v>SRC-005</x:v>
      </x:c>
      <x:c r="V24" t="str"/>
      <x:c r="W24" t="str"/>
      <x:c r="X24" t="str">
        <x:v>2026-08-16</x:v>
      </x:c>
      <x:c r="Y24" s="30" t="str">
        <x:v>等级及排名据2025第一财经榜单；2020年七普常住人口；住建部2022年城市建设统计年鉴表2-2第486行列示同一城市口径的城区人口（含表列城区暂住人口）200.3万人、建成区面积163.82平方公里；住房代理公开材料在小区/项目/户数/面积及计划/开工/完工间口径不可比，为保持同列可比性保留空值；未找到可核查的市级公共充电枪数量，未采用省级数值。</x:v>
      </x:c>
      <x:c r="Z24" s="22" t="n">
        <x:f>IF(G24="","",COUNTIFS($C$6:$C$61,C24,$G$6:$G$61,"&lt;="&amp;G24)/COUNTIFS($C$6:$C$61,C24,$G$6:$G$61,"&lt;&gt;"))</x:f>
        <x:v>0.26666666666666666</x:v>
      </x:c>
      <x:c r="AA24" s="22" t="n">
        <x:f>IF(L24="","",COUNTIFS($C$6:$C$61,C24,$L$6:$L$61,"&lt;="&amp;L24)/COUNTIFS($C$6:$C$61,C24,$L$6:$L$61,"&lt;&gt;"))</x:f>
        <x:v>0.9333333333333333</x:v>
      </x:c>
      <x:c r="AB24" s="22" t="str">
        <x:f>IF(M24="","",COUNTIFS($C$6:$C$61,C24,$M$6:$M$61,"&lt;="&amp;M24)/COUNTIFS($C$6:$C$61,C24,$M$6:$M$61,"&lt;&gt;"))</x:f>
      </x:c>
      <x:c r="AC24" s="22" t="str">
        <x:f>IF(R24="","",COUNTIFS($C$6:$C$61,C24,$R$6:$R$61,"&gt;="&amp;R24)/COUNTIFS($C$6:$C$61,C24,$R$6:$R$61,"&lt;&gt;"))</x:f>
      </x:c>
      <x:c r="AD24" s="49" t="n">
        <x:f>IFERROR((IF(Z24="",0,Z24*'核心假设'!$B$10)+IF(AA24="",0,AA24*'核心假设'!$B$11)+IF(AB24="",0,AB24*'核心假设'!$B$12)+IF(AC24="",0,AC24*'核心假设'!$B$13))/(IF(Z24="",0,'核心假设'!$B$10)+IF(AA24="",0,'核心假设'!$B$11)+IF(AB24="",0,'核心假设'!$B$12)+IF(AC24="",0,'核心假设'!$B$13)),"")</x:f>
        <x:v>0.5696969696969697</x:v>
      </x:c>
      <x:c r="AE24" s="18" t="str">
        <x:f>IF(COUNT(Z24:AC24)&lt;4,"缺失重算",IF(OR(AND(I24="",G24&lt;&gt;""),ISNUMBER(SEARCH("代理",N24))),"代理","完整"))</x:f>
        <x:v>缺失重算</x:v>
      </x:c>
      <x:c r="AF24" s="18" t="n">
        <x:f>IF(C24="一线",1,IF(C24="新一线",2,IF(C24="二线",3,4)))</x:f>
        <x:v>2</x:v>
      </x:c>
      <x:c r="AG24" s="18" t="n">
        <x:f>IF(E24="是",F24,COUNTIF($E$6:$E$61,"是")+1+COUNTIFS($E$6:$E$61,"否",$AF$6:$AF$61,"&lt;"&amp;AF24)+COUNTIFS($E$6:$E$61,"否",$AF$6:$AF$61,AF24,$AD$6:$AD$61,"&gt;"&amp;AD24)+COUNTIFS($E$6:$E$61,"否",$AF$6:$AF$61,AF24,$AD$6:$AD$61,AD24,$D$6:$D$61,"&lt;"&amp;D24))</x:f>
        <x:v>32</x:v>
      </x:c>
    </x:row>
    <x:row r="25">
      <x:c r="A25" t="str">
        <x:v>济南</x:v>
      </x:c>
      <x:c r="B25" t="str">
        <x:v>山东</x:v>
      </x:c>
      <x:c r="C25" t="str">
        <x:v>二线</x:v>
      </x:c>
      <x:c r="D25" s="33" t="n">
        <x:v>20</x:v>
      </x:c>
      <x:c r="E25" s="33" t="str">
        <x:v>是</x:v>
      </x:c>
      <x:c r="F25" s="33" t="n">
        <x:v>25</x:v>
      </x:c>
      <x:c r="G25" s="33" t="n">
        <x:v>920.2432</x:v>
      </x:c>
      <x:c r="H25" s="33" t="n">
        <x:v>2020</x:v>
      </x:c>
      <x:c r="I25" s="33" t="n">
        <x:v>662.8</x:v>
      </x:c>
      <x:c r="J25" s="33" t="n">
        <x:v>805.82</x:v>
      </x:c>
      <x:c r="K25" s="33" t="n">
        <x:v>2022</x:v>
      </x:c>
      <x:c r="L25" s="47" t="n">
        <x:f>IFERROR(IF(AND(I25&lt;&gt;"",J25&lt;&gt;""),I25/J25,G25/J25),"")</x:f>
        <x:v>0.8225161946836761</x:v>
      </x:c>
      <x:c r="M25" s="33"/>
      <x:c r="N25" s="33"/>
      <x:c r="O25" s="33"/>
      <x:c r="P25" s="33"/>
      <x:c r="Q25" s="33"/>
      <x:c r="R25" s="47" t="n">
        <x:f>IFERROR(P25/G25,"")</x:f>
        <x:v>0</x:v>
      </x:c>
      <x:c r="S25" t="str">
        <x:v>SRC-003</x:v>
      </x:c>
      <x:c r="T25" t="str">
        <x:v>SRC-018</x:v>
      </x:c>
      <x:c r="U25" t="str">
        <x:v>SRC-005</x:v>
      </x:c>
      <x:c r="V25" t="str"/>
      <x:c r="W25" t="str"/>
      <x:c r="X25" t="str">
        <x:v>2026-08-16</x:v>
      </x:c>
      <x:c r="Y25" s="30" t="str">
        <x:v>等级及排名据2025第一财经榜单；2020年七普常住人口；住建部2022年城市建设统计年鉴表2-2第324行列示同一城市口径的城区人口（含表列城区暂住人口）662.8万人、建成区面积805.82平方公里；住房代理公开材料在小区/项目/户数/面积及计划/开工/完工间口径不可比，为保持同列可比性保留空值；未找到可核查的市级公共充电枪数量，未采用省级数值。</x:v>
      </x:c>
      <x:c r="Z25" s="22" t="n">
        <x:f>IF(G25="","",COUNTIFS($C$6:$C$61,C25,$G$6:$G$61,"&lt;="&amp;G25)/COUNTIFS($C$6:$C$61,C25,$G$6:$G$61,"&lt;&gt;"))</x:f>
        <x:v>0.8</x:v>
      </x:c>
      <x:c r="AA25" s="22" t="n">
        <x:f>IF(L25="","",COUNTIFS($C$6:$C$61,C25,$L$6:$L$61,"&lt;="&amp;L25)/COUNTIFS($C$6:$C$61,C25,$L$6:$L$61,"&lt;&gt;"))</x:f>
        <x:v>0.3333333333333333</x:v>
      </x:c>
      <x:c r="AB25" s="22" t="str">
        <x:f>IF(M25="","",COUNTIFS($C$6:$C$61,C25,$M$6:$M$61,"&lt;="&amp;M25)/COUNTIFS($C$6:$C$61,C25,$M$6:$M$61,"&lt;&gt;"))</x:f>
      </x:c>
      <x:c r="AC25" s="22" t="str">
        <x:f>IF(R25="","",COUNTIFS($C$6:$C$61,C25,$R$6:$R$61,"&gt;="&amp;R25)/COUNTIFS($C$6:$C$61,C25,$R$6:$R$61,"&lt;&gt;"))</x:f>
      </x:c>
      <x:c r="AD25" s="49" t="n">
        <x:f>IFERROR((IF(Z25="",0,Z25*'核心假设'!$B$10)+IF(AA25="",0,AA25*'核心假设'!$B$11)+IF(AB25="",0,AB25*'核心假设'!$B$12)+IF(AC25="",0,AC25*'核心假设'!$B$13))/(IF(Z25="",0,'核心假设'!$B$10)+IF(AA25="",0,'核心假设'!$B$11)+IF(AB25="",0,'核心假设'!$B$12)+IF(AC25="",0,'核心假设'!$B$13)),"")</x:f>
        <x:v>0.5878787878787878</x:v>
      </x:c>
      <x:c r="AE25" s="18" t="str">
        <x:f>IF(COUNT(Z25:AC25)&lt;4,"缺失重算",IF(OR(AND(I25="",G25&lt;&gt;""),ISNUMBER(SEARCH("代理",N25))),"代理","完整"))</x:f>
        <x:v>缺失重算</x:v>
      </x:c>
      <x:c r="AF25" s="18" t="n">
        <x:f>IF(C25="一线",1,IF(C25="新一线",2,IF(C25="二线",3,4)))</x:f>
        <x:v>3</x:v>
      </x:c>
      <x:c r="AG25" s="18" t="n">
        <x:f>IF(E25="是",F25,COUNTIF($E$6:$E$61,"是")+1+COUNTIFS($E$6:$E$61,"否",$AF$6:$AF$61,"&lt;"&amp;AF25)+COUNTIFS($E$6:$E$61,"否",$AF$6:$AF$61,AF25,$AD$6:$AD$61,"&gt;"&amp;AD25)+COUNTIFS($E$6:$E$61,"否",$AF$6:$AF$61,AF25,$AD$6:$AD$61,AD25,$D$6:$D$61,"&lt;"&amp;D25))</x:f>
        <x:v>25</x:v>
      </x:c>
    </x:row>
    <x:row r="26">
      <x:c r="A26" t="str">
        <x:v>无锡</x:v>
      </x:c>
      <x:c r="B26" t="str">
        <x:v>江苏</x:v>
      </x:c>
      <x:c r="C26" t="str">
        <x:v>二线</x:v>
      </x:c>
      <x:c r="D26" s="33" t="n">
        <x:v>21</x:v>
      </x:c>
      <x:c r="E26" s="33" t="str">
        <x:v>是</x:v>
      </x:c>
      <x:c r="F26" s="33" t="n">
        <x:v>24</x:v>
      </x:c>
      <x:c r="G26" s="33" t="n">
        <x:v>746.2135</x:v>
      </x:c>
      <x:c r="H26" s="33" t="n">
        <x:v>2020</x:v>
      </x:c>
      <x:c r="I26" s="33" t="n">
        <x:v>293.35</x:v>
      </x:c>
      <x:c r="J26" s="33" t="n">
        <x:v>359.72</x:v>
      </x:c>
      <x:c r="K26" s="33" t="n">
        <x:v>2022</x:v>
      </x:c>
      <x:c r="L26" s="47" t="n">
        <x:f>IFERROR(IF(AND(I26&lt;&gt;"",J26&lt;&gt;""),I26/J26,G26/J26),"")</x:f>
        <x:v>0.8154953852996776</x:v>
      </x:c>
      <x:c r="M26" s="33"/>
      <x:c r="N26" s="33"/>
      <x:c r="O26" s="33"/>
      <x:c r="P26" s="33"/>
      <x:c r="Q26" s="33"/>
      <x:c r="R26" s="47" t="n">
        <x:f>IFERROR(P26/G26,"")</x:f>
        <x:v>0</x:v>
      </x:c>
      <x:c r="S26" t="str">
        <x:v>SRC-003</x:v>
      </x:c>
      <x:c r="T26" t="str">
        <x:v>SRC-012</x:v>
      </x:c>
      <x:c r="U26" t="str">
        <x:v>SRC-005</x:v>
      </x:c>
      <x:c r="V26" t="str"/>
      <x:c r="W26" t="str"/>
      <x:c r="X26" t="str">
        <x:v>2026-08-16</x:v>
      </x:c>
      <x:c r="Y26" s="30" t="str">
        <x:v>等级及排名据2025第一财经榜单；2020年七普常住人口；住建部2022年城市建设统计年鉴表2-2第187行列示同一城市口径的城区人口（含表列城区暂住人口）293.35万人、建成区面积359.72平方公里；住房代理公开材料在小区/项目/户数/面积及计划/开工/完工间口径不可比，为保持同列可比性保留空值；未找到可核查的市级公共充电枪数量，未采用省级数值。</x:v>
      </x:c>
      <x:c r="Z26" s="22" t="n">
        <x:f>IF(G26="","",COUNTIFS($C$6:$C$61,C26,$G$6:$G$61,"&lt;="&amp;G26)/COUNTIFS($C$6:$C$61,C26,$G$6:$G$61,"&lt;&gt;"))</x:f>
        <x:v>0.5</x:v>
      </x:c>
      <x:c r="AA26" s="22" t="n">
        <x:f>IF(L26="","",COUNTIFS($C$6:$C$61,C26,$L$6:$L$61,"&lt;="&amp;L26)/COUNTIFS($C$6:$C$61,C26,$L$6:$L$61,"&lt;&gt;"))</x:f>
        <x:v>0.3</x:v>
      </x:c>
      <x:c r="AB26" s="22" t="str">
        <x:f>IF(M26="","",COUNTIFS($C$6:$C$61,C26,$M$6:$M$61,"&lt;="&amp;M26)/COUNTIFS($C$6:$C$61,C26,$M$6:$M$61,"&lt;&gt;"))</x:f>
      </x:c>
      <x:c r="AC26" s="22" t="str">
        <x:f>IF(R26="","",COUNTIFS($C$6:$C$61,C26,$R$6:$R$61,"&gt;="&amp;R26)/COUNTIFS($C$6:$C$61,C26,$R$6:$R$61,"&lt;&gt;"))</x:f>
      </x:c>
      <x:c r="AD26" s="49" t="n">
        <x:f>IFERROR((IF(Z26="",0,Z26*'核心假设'!$B$10)+IF(AA26="",0,AA26*'核心假设'!$B$11)+IF(AB26="",0,AB26*'核心假设'!$B$12)+IF(AC26="",0,AC26*'核心假设'!$B$13))/(IF(Z26="",0,'核心假设'!$B$10)+IF(AA26="",0,'核心假设'!$B$11)+IF(AB26="",0,'核心假设'!$B$12)+IF(AC26="",0,'核心假设'!$B$13)),"")</x:f>
        <x:v>0.409090909090909</x:v>
      </x:c>
      <x:c r="AE26" s="18" t="str">
        <x:f>IF(COUNT(Z26:AC26)&lt;4,"缺失重算",IF(OR(AND(I26="",G26&lt;&gt;""),ISNUMBER(SEARCH("代理",N26))),"代理","完整"))</x:f>
        <x:v>缺失重算</x:v>
      </x:c>
      <x:c r="AF26" s="18" t="n">
        <x:f>IF(C26="一线",1,IF(C26="新一线",2,IF(C26="二线",3,4)))</x:f>
        <x:v>3</x:v>
      </x:c>
      <x:c r="AG26" s="18" t="n">
        <x:f>IF(E26="是",F26,COUNTIF($E$6:$E$61,"是")+1+COUNTIFS($E$6:$E$61,"否",$AF$6:$AF$61,"&lt;"&amp;AF26)+COUNTIFS($E$6:$E$61,"否",$AF$6:$AF$61,AF26,$AD$6:$AD$61,"&gt;"&amp;AD26)+COUNTIFS($E$6:$E$61,"否",$AF$6:$AF$61,AF26,$AD$6:$AD$61,AD26,$D$6:$D$61,"&lt;"&amp;D26))</x:f>
        <x:v>24</x:v>
      </x:c>
    </x:row>
    <x:row r="27">
      <x:c r="A27" t="str">
        <x:v>沈阳</x:v>
      </x:c>
      <x:c r="B27" t="str">
        <x:v>辽宁</x:v>
      </x:c>
      <x:c r="C27" t="str">
        <x:v>二线</x:v>
      </x:c>
      <x:c r="D27" s="33" t="n">
        <x:v>22</x:v>
      </x:c>
      <x:c r="E27" s="33" t="str">
        <x:v>否</x:v>
      </x:c>
      <x:c r="F27" s="33"/>
      <x:c r="G27" s="33" t="n">
        <x:v>902.7781</x:v>
      </x:c>
      <x:c r="H27" s="33" t="n">
        <x:v>2020</x:v>
      </x:c>
      <x:c r="I27" s="33" t="n">
        <x:v>600</x:v>
      </x:c>
      <x:c r="J27" s="33" t="n">
        <x:v>573</x:v>
      </x:c>
      <x:c r="K27" s="33" t="n">
        <x:v>2022</x:v>
      </x:c>
      <x:c r="L27" s="47" t="n">
        <x:f>IFERROR(IF(AND(I27&lt;&gt;"",J27&lt;&gt;""),I27/J27,G27/J27),"")</x:f>
        <x:v>1.0471204188481675</x:v>
      </x:c>
      <x:c r="M27" s="33"/>
      <x:c r="N27" s="33"/>
      <x:c r="O27" s="33"/>
      <x:c r="P27" s="33"/>
      <x:c r="Q27" s="33"/>
      <x:c r="R27" s="47" t="n">
        <x:f>IFERROR(P27/G27,"")</x:f>
        <x:v>0</x:v>
      </x:c>
      <x:c r="S27" t="str">
        <x:v>SRC-003</x:v>
      </x:c>
      <x:c r="T27" t="str">
        <x:v>SRC-019</x:v>
      </x:c>
      <x:c r="U27" t="str">
        <x:v>SRC-005</x:v>
      </x:c>
      <x:c r="V27" t="str"/>
      <x:c r="W27" t="str"/>
      <x:c r="X27" t="str">
        <x:v>2026-08-16</x:v>
      </x:c>
      <x:c r="Y27" s="30" t="str">
        <x:v>等级及排名据2025第一财经榜单；2020年七普常住人口；住建部2022年城市建设统计年鉴表2-2第89行列示同一城市口径的城区人口（含表列城区暂住人口）600万人、建成区面积573平方公里；住房代理公开材料在小区/项目/户数/面积及计划/开工/完工间口径不可比，为保持同列可比性保留空值；未找到可核查的市级公共充电枪数量，未采用省级数值。</x:v>
      </x:c>
      <x:c r="Z27" s="22" t="n">
        <x:f>IF(G27="","",COUNTIFS($C$6:$C$61,C27,$G$6:$G$61,"&lt;="&amp;G27)/COUNTIFS($C$6:$C$61,C27,$G$6:$G$61,"&lt;&gt;"))</x:f>
        <x:v>0.7</x:v>
      </x:c>
      <x:c r="AA27" s="22" t="n">
        <x:f>IF(L27="","",COUNTIFS($C$6:$C$61,C27,$L$6:$L$61,"&lt;="&amp;L27)/COUNTIFS($C$6:$C$61,C27,$L$6:$L$61,"&lt;&gt;"))</x:f>
        <x:v>0.9</x:v>
      </x:c>
      <x:c r="AB27" s="22" t="str">
        <x:f>IF(M27="","",COUNTIFS($C$6:$C$61,C27,$M$6:$M$61,"&lt;="&amp;M27)/COUNTIFS($C$6:$C$61,C27,$M$6:$M$61,"&lt;&gt;"))</x:f>
      </x:c>
      <x:c r="AC27" s="22" t="str">
        <x:f>IF(R27="","",COUNTIFS($C$6:$C$61,C27,$R$6:$R$61,"&gt;="&amp;R27)/COUNTIFS($C$6:$C$61,C27,$R$6:$R$61,"&lt;&gt;"))</x:f>
      </x:c>
      <x:c r="AD27" s="49" t="n">
        <x:f>IFERROR((IF(Z27="",0,Z27*'核心假设'!$B$10)+IF(AA27="",0,AA27*'核心假设'!$B$11)+IF(AB27="",0,AB27*'核心假设'!$B$12)+IF(AC27="",0,AC27*'核心假设'!$B$13))/(IF(Z27="",0,'核心假设'!$B$10)+IF(AA27="",0,'核心假设'!$B$11)+IF(AB27="",0,'核心假设'!$B$12)+IF(AC27="",0,'核心假设'!$B$13)),"")</x:f>
        <x:v>0.7909090909090909</x:v>
      </x:c>
      <x:c r="AE27" s="18" t="str">
        <x:f>IF(COUNT(Z27:AC27)&lt;4,"缺失重算",IF(OR(AND(I27="",G27&lt;&gt;""),ISNUMBER(SEARCH("代理",N27))),"代理","完整"))</x:f>
        <x:v>缺失重算</x:v>
      </x:c>
      <x:c r="AF27" s="18" t="n">
        <x:f>IF(C27="一线",1,IF(C27="新一线",2,IF(C27="二线",3,4)))</x:f>
        <x:v>3</x:v>
      </x:c>
      <x:c r="AG27" s="18" t="n">
        <x:f>IF(E27="是",F27,COUNTIF($E$6:$E$61,"是")+1+COUNTIFS($E$6:$E$61,"否",$AF$6:$AF$61,"&lt;"&amp;AF27)+COUNTIFS($E$6:$E$61,"否",$AF$6:$AF$61,AF27,$AD$6:$AD$61,"&gt;"&amp;AD27)+COUNTIFS($E$6:$E$61,"否",$AF$6:$AF$61,AF27,$AD$6:$AD$61,AD27,$D$6:$D$61,"&lt;"&amp;D27))</x:f>
        <x:v>37</x:v>
      </x:c>
    </x:row>
    <x:row r="28">
      <x:c r="A28" t="str">
        <x:v>昆明</x:v>
      </x:c>
      <x:c r="B28" t="str">
        <x:v>云南</x:v>
      </x:c>
      <x:c r="C28" t="str">
        <x:v>二线</x:v>
      </x:c>
      <x:c r="D28" s="33" t="n">
        <x:v>23</x:v>
      </x:c>
      <x:c r="E28" s="33" t="str">
        <x:v>否</x:v>
      </x:c>
      <x:c r="F28" s="33"/>
      <x:c r="G28" s="33" t="n">
        <x:v>846.0088</x:v>
      </x:c>
      <x:c r="H28" s="33" t="n">
        <x:v>2020</x:v>
      </x:c>
      <x:c r="I28" s="33" t="n">
        <x:v>467.52</x:v>
      </x:c>
      <x:c r="J28" s="33" t="n">
        <x:v>483.27</x:v>
      </x:c>
      <x:c r="K28" s="33" t="n">
        <x:v>2022</x:v>
      </x:c>
      <x:c r="L28" s="47" t="n">
        <x:f>IFERROR(IF(AND(I28&lt;&gt;"",J28&lt;&gt;""),I28/J28,G28/J28),"")</x:f>
        <x:v>0.9674095226271029</x:v>
      </x:c>
      <x:c r="M28" s="33"/>
      <x:c r="N28" s="33"/>
      <x:c r="O28" s="33"/>
      <x:c r="P28" s="33"/>
      <x:c r="Q28" s="33"/>
      <x:c r="R28" s="47" t="n">
        <x:f>IFERROR(P28/G28,"")</x:f>
        <x:v>0</x:v>
      </x:c>
      <x:c r="S28" t="str">
        <x:v>SRC-003</x:v>
      </x:c>
      <x:c r="T28" t="str">
        <x:v>SRC-020</x:v>
      </x:c>
      <x:c r="U28" t="str">
        <x:v>SRC-005</x:v>
      </x:c>
      <x:c r="V28" t="str"/>
      <x:c r="W28" t="str"/>
      <x:c r="X28" t="str">
        <x:v>2026-08-16</x:v>
      </x:c>
      <x:c r="Y28" s="30" t="str">
        <x:v>等级及排名据2025第一财经榜单；2020年七普常住人口；住建部2022年城市建设统计年鉴表2-2第612行列示同一城市口径的城区人口（含表列城区暂住人口）467.52万人、建成区面积483.27平方公里；住房代理公开材料在小区/项目/户数/面积及计划/开工/完工间口径不可比，为保持同列可比性保留空值；未找到可核查的市级公共充电枪数量，未采用省级数值。</x:v>
      </x:c>
      <x:c r="Z28" s="22" t="n">
        <x:f>IF(G28="","",COUNTIFS($C$6:$C$61,C28,$G$6:$G$61,"&lt;="&amp;G28)/COUNTIFS($C$6:$C$61,C28,$G$6:$G$61,"&lt;&gt;"))</x:f>
        <x:v>0.6</x:v>
      </x:c>
      <x:c r="AA28" s="22" t="n">
        <x:f>IF(L28="","",COUNTIFS($C$6:$C$61,C28,$L$6:$L$61,"&lt;="&amp;L28)/COUNTIFS($C$6:$C$61,C28,$L$6:$L$61,"&lt;&gt;"))</x:f>
        <x:v>0.7666666666666667</x:v>
      </x:c>
      <x:c r="AB28" s="22" t="str">
        <x:f>IF(M28="","",COUNTIFS($C$6:$C$61,C28,$M$6:$M$61,"&lt;="&amp;M28)/COUNTIFS($C$6:$C$61,C28,$M$6:$M$61,"&lt;&gt;"))</x:f>
      </x:c>
      <x:c r="AC28" s="22" t="str">
        <x:f>IF(R28="","",COUNTIFS($C$6:$C$61,C28,$R$6:$R$61,"&gt;="&amp;R28)/COUNTIFS($C$6:$C$61,C28,$R$6:$R$61,"&lt;&gt;"))</x:f>
      </x:c>
      <x:c r="AD28" s="49" t="n">
        <x:f>IFERROR((IF(Z28="",0,Z28*'核心假设'!$B$10)+IF(AA28="",0,AA28*'核心假设'!$B$11)+IF(AB28="",0,AB28*'核心假设'!$B$12)+IF(AC28="",0,AC28*'核心假设'!$B$13))/(IF(Z28="",0,'核心假设'!$B$10)+IF(AA28="",0,'核心假设'!$B$11)+IF(AB28="",0,'核心假设'!$B$12)+IF(AC28="",0,'核心假设'!$B$13)),"")</x:f>
        <x:v>0.6757575757575758</x:v>
      </x:c>
      <x:c r="AE28" s="18" t="str">
        <x:f>IF(COUNT(Z28:AC28)&lt;4,"缺失重算",IF(OR(AND(I28="",G28&lt;&gt;""),ISNUMBER(SEARCH("代理",N28))),"代理","完整"))</x:f>
        <x:v>缺失重算</x:v>
      </x:c>
      <x:c r="AF28" s="18" t="n">
        <x:f>IF(C28="一线",1,IF(C28="新一线",2,IF(C28="二线",3,4)))</x:f>
        <x:v>3</x:v>
      </x:c>
      <x:c r="AG28" s="18" t="n">
        <x:f>IF(E28="是",F28,COUNTIF($E$6:$E$61,"是")+1+COUNTIFS($E$6:$E$61,"否",$AF$6:$AF$61,"&lt;"&amp;AF28)+COUNTIFS($E$6:$E$61,"否",$AF$6:$AF$61,AF28,$AD$6:$AD$61,"&gt;"&amp;AD28)+COUNTIFS($E$6:$E$61,"否",$AF$6:$AF$61,AF28,$AD$6:$AD$61,AD28,$D$6:$D$61,"&lt;"&amp;D28))</x:f>
        <x:v>41</x:v>
      </x:c>
    </x:row>
    <x:row r="29">
      <x:c r="A29" t="str">
        <x:v>福州</x:v>
      </x:c>
      <x:c r="B29" t="str">
        <x:v>福建</x:v>
      </x:c>
      <x:c r="C29" t="str">
        <x:v>二线</x:v>
      </x:c>
      <x:c r="D29" s="33" t="n">
        <x:v>24</x:v>
      </x:c>
      <x:c r="E29" s="33" t="str">
        <x:v>否</x:v>
      </x:c>
      <x:c r="F29" s="33"/>
      <x:c r="G29" s="33" t="n">
        <x:v>829.1268</x:v>
      </x:c>
      <x:c r="H29" s="33" t="n">
        <x:v>2020</x:v>
      </x:c>
      <x:c r="I29" s="33" t="n">
        <x:v>399.86</x:v>
      </x:c>
      <x:c r="J29" s="33" t="n">
        <x:v>410.02</x:v>
      </x:c>
      <x:c r="K29" s="33" t="n">
        <x:v>2022</x:v>
      </x:c>
      <x:c r="L29" s="47" t="n">
        <x:f>IFERROR(IF(AND(I29&lt;&gt;"",J29&lt;&gt;""),I29/J29,G29/J29),"")</x:f>
        <x:v>0.975220720940442</x:v>
      </x:c>
      <x:c r="M29" s="33"/>
      <x:c r="N29" s="33"/>
      <x:c r="O29" s="33"/>
      <x:c r="P29" s="33"/>
      <x:c r="Q29" s="33"/>
      <x:c r="R29" s="47" t="n">
        <x:f>IFERROR(P29/G29,"")</x:f>
        <x:v>0</x:v>
      </x:c>
      <x:c r="S29" t="str">
        <x:v>SRC-003</x:v>
      </x:c>
      <x:c r="T29" t="str">
        <x:v>SRC-021</x:v>
      </x:c>
      <x:c r="U29" t="str">
        <x:v>SRC-005</x:v>
      </x:c>
      <x:c r="V29" t="str"/>
      <x:c r="W29" t="str"/>
      <x:c r="X29" t="str">
        <x:v>2026-08-16</x:v>
      </x:c>
      <x:c r="Y29" s="30" t="str">
        <x:v>等级及排名据2025第一财经榜单；2020年七普常住人口；住建部2022年城市建设统计年鉴表2-2第279行列示同一城市口径的城区人口（含表列城区暂住人口）399.86万人、建成区面积410.02平方公里；住房代理公开材料在小区/项目/户数/面积及计划/开工/完工间口径不可比，为保持同列可比性保留空值；未找到可核查的市级公共充电枪数量，未采用省级数值。</x:v>
      </x:c>
      <x:c r="Z29" s="22" t="n">
        <x:f>IF(G29="","",COUNTIFS($C$6:$C$61,C29,$G$6:$G$61,"&lt;="&amp;G29)/COUNTIFS($C$6:$C$61,C29,$G$6:$G$61,"&lt;&gt;"))</x:f>
        <x:v>0.5666666666666667</x:v>
      </x:c>
      <x:c r="AA29" s="22" t="n">
        <x:f>IF(L29="","",COUNTIFS($C$6:$C$61,C29,$L$6:$L$61,"&lt;="&amp;L29)/COUNTIFS($C$6:$C$61,C29,$L$6:$L$61,"&lt;&gt;"))</x:f>
        <x:v>0.8</x:v>
      </x:c>
      <x:c r="AB29" s="22" t="str">
        <x:f>IF(M29="","",COUNTIFS($C$6:$C$61,C29,$M$6:$M$61,"&lt;="&amp;M29)/COUNTIFS($C$6:$C$61,C29,$M$6:$M$61,"&lt;&gt;"))</x:f>
      </x:c>
      <x:c r="AC29" s="22" t="str">
        <x:f>IF(R29="","",COUNTIFS($C$6:$C$61,C29,$R$6:$R$61,"&gt;="&amp;R29)/COUNTIFS($C$6:$C$61,C29,$R$6:$R$61,"&lt;&gt;"))</x:f>
      </x:c>
      <x:c r="AD29" s="49" t="n">
        <x:f>IFERROR((IF(Z29="",0,Z29*'核心假设'!$B$10)+IF(AA29="",0,AA29*'核心假设'!$B$11)+IF(AB29="",0,AB29*'核心假设'!$B$12)+IF(AC29="",0,AC29*'核心假设'!$B$13))/(IF(Z29="",0,'核心假设'!$B$10)+IF(AA29="",0,'核心假设'!$B$11)+IF(AB29="",0,'核心假设'!$B$12)+IF(AC29="",0,'核心假设'!$B$13)),"")</x:f>
        <x:v>0.6727272727272726</x:v>
      </x:c>
      <x:c r="AE29" s="18" t="str">
        <x:f>IF(COUNT(Z29:AC29)&lt;4,"缺失重算",IF(OR(AND(I29="",G29&lt;&gt;""),ISNUMBER(SEARCH("代理",N29))),"代理","完整"))</x:f>
        <x:v>缺失重算</x:v>
      </x:c>
      <x:c r="AF29" s="18" t="n">
        <x:f>IF(C29="一线",1,IF(C29="新一线",2,IF(C29="二线",3,4)))</x:f>
        <x:v>3</x:v>
      </x:c>
      <x:c r="AG29" s="18" t="n">
        <x:f>IF(E29="是",F29,COUNTIF($E$6:$E$61,"是")+1+COUNTIFS($E$6:$E$61,"否",$AF$6:$AF$61,"&lt;"&amp;AF29)+COUNTIFS($E$6:$E$61,"否",$AF$6:$AF$61,AF29,$AD$6:$AD$61,"&gt;"&amp;AD29)+COUNTIFS($E$6:$E$61,"否",$AF$6:$AF$61,AF29,$AD$6:$AD$61,AD29,$D$6:$D$61,"&lt;"&amp;D29))</x:f>
        <x:v>42</x:v>
      </x:c>
    </x:row>
    <x:row r="30">
      <x:c r="A30" t="str">
        <x:v>厦门</x:v>
      </x:c>
      <x:c r="B30" t="str">
        <x:v>福建</x:v>
      </x:c>
      <x:c r="C30" t="str">
        <x:v>二线</x:v>
      </x:c>
      <x:c r="D30" s="33" t="n">
        <x:v>25</x:v>
      </x:c>
      <x:c r="E30" s="33" t="str">
        <x:v>否</x:v>
      </x:c>
      <x:c r="F30" s="33"/>
      <x:c r="G30" s="33" t="n">
        <x:v>516.397</x:v>
      </x:c>
      <x:c r="H30" s="33" t="n">
        <x:v>2020</x:v>
      </x:c>
      <x:c r="I30" s="33" t="n">
        <x:v>410.8</x:v>
      </x:c>
      <x:c r="J30" s="33" t="n">
        <x:v>464.77</x:v>
      </x:c>
      <x:c r="K30" s="33" t="n">
        <x:v>2022</x:v>
      </x:c>
      <x:c r="L30" s="47" t="n">
        <x:f>IFERROR(IF(AND(I30&lt;&gt;"",J30&lt;&gt;""),I30/J30,G30/J30),"")</x:f>
        <x:v>0.883878047206145</x:v>
      </x:c>
      <x:c r="M30" s="33"/>
      <x:c r="N30" s="33"/>
      <x:c r="O30" s="33"/>
      <x:c r="P30" s="33"/>
      <x:c r="Q30" s="33"/>
      <x:c r="R30" s="47" t="n">
        <x:f>IFERROR(P30/G30,"")</x:f>
        <x:v>0</x:v>
      </x:c>
      <x:c r="S30" t="str">
        <x:v>SRC-003</x:v>
      </x:c>
      <x:c r="T30" t="str">
        <x:v>SRC-021</x:v>
      </x:c>
      <x:c r="U30" t="str">
        <x:v>SRC-005</x:v>
      </x:c>
      <x:c r="V30" t="str"/>
      <x:c r="W30" t="str"/>
      <x:c r="X30" t="str">
        <x:v>2026-08-16</x:v>
      </x:c>
      <x:c r="Y30" s="30" t="str">
        <x:v>等级及排名据2025第一财经榜单；2020年七普常住人口；住建部2022年城市建设统计年鉴表2-2第281行列示同一城市口径的城区人口（含表列城区暂住人口）410.8万人、建成区面积464.77平方公里；住房代理公开材料在小区/项目/户数/面积及计划/开工/完工间口径不可比，为保持同列可比性保留空值；未找到可核查的市级公共充电枪数量，未采用省级数值。</x:v>
      </x:c>
      <x:c r="Z30" s="22" t="n">
        <x:f>IF(G30="","",COUNTIFS($C$6:$C$61,C30,$G$6:$G$61,"&lt;="&amp;G30)/COUNTIFS($C$6:$C$61,C30,$G$6:$G$61,"&lt;&gt;"))</x:f>
        <x:v>0.06666666666666667</x:v>
      </x:c>
      <x:c r="AA30" s="22" t="n">
        <x:f>IF(L30="","",COUNTIFS($C$6:$C$61,C30,$L$6:$L$61,"&lt;="&amp;L30)/COUNTIFS($C$6:$C$61,C30,$L$6:$L$61,"&lt;&gt;"))</x:f>
        <x:v>0.5666666666666667</x:v>
      </x:c>
      <x:c r="AB30" s="22" t="str">
        <x:f>IF(M30="","",COUNTIFS($C$6:$C$61,C30,$M$6:$M$61,"&lt;="&amp;M30)/COUNTIFS($C$6:$C$61,C30,$M$6:$M$61,"&lt;&gt;"))</x:f>
      </x:c>
      <x:c r="AC30" s="22" t="str">
        <x:f>IF(R30="","",COUNTIFS($C$6:$C$61,C30,$R$6:$R$61,"&gt;="&amp;R30)/COUNTIFS($C$6:$C$61,C30,$R$6:$R$61,"&lt;&gt;"))</x:f>
      </x:c>
      <x:c r="AD30" s="49" t="n">
        <x:f>IFERROR((IF(Z30="",0,Z30*'核心假设'!$B$10)+IF(AA30="",0,AA30*'核心假设'!$B$11)+IF(AB30="",0,AB30*'核心假设'!$B$12)+IF(AC30="",0,AC30*'核心假设'!$B$13))/(IF(Z30="",0,'核心假设'!$B$10)+IF(AA30="",0,'核心假设'!$B$11)+IF(AB30="",0,'核心假设'!$B$12)+IF(AC30="",0,'核心假设'!$B$13)),"")</x:f>
        <x:v>0.2939393939393939</x:v>
      </x:c>
      <x:c r="AE30" s="18" t="str">
        <x:f>IF(COUNT(Z30:AC30)&lt;4,"缺失重算",IF(OR(AND(I30="",G30&lt;&gt;""),ISNUMBER(SEARCH("代理",N30))),"代理","完整"))</x:f>
        <x:v>缺失重算</x:v>
      </x:c>
      <x:c r="AF30" s="18" t="n">
        <x:f>IF(C30="一线",1,IF(C30="新一线",2,IF(C30="二线",3,4)))</x:f>
        <x:v>3</x:v>
      </x:c>
      <x:c r="AG30" s="18" t="n">
        <x:f>IF(E30="是",F30,COUNTIF($E$6:$E$61,"是")+1+COUNTIFS($E$6:$E$61,"否",$AF$6:$AF$61,"&lt;"&amp;AF30)+COUNTIFS($E$6:$E$61,"否",$AF$6:$AF$61,AF30,$AD$6:$AD$61,"&gt;"&amp;AD30)+COUNTIFS($E$6:$E$61,"否",$AF$6:$AF$61,AF30,$AD$6:$AD$61,AD30,$D$6:$D$61,"&lt;"&amp;D30))</x:f>
        <x:v>54</x:v>
      </x:c>
    </x:row>
    <x:row r="31">
      <x:c r="A31" t="str">
        <x:v>温州</x:v>
      </x:c>
      <x:c r="B31" t="str">
        <x:v>浙江</x:v>
      </x:c>
      <x:c r="C31" t="str">
        <x:v>二线</x:v>
      </x:c>
      <x:c r="D31" s="33" t="n">
        <x:v>26</x:v>
      </x:c>
      <x:c r="E31" s="33" t="str">
        <x:v>否</x:v>
      </x:c>
      <x:c r="F31" s="33"/>
      <x:c r="G31" s="33" t="n">
        <x:v>957.2903</x:v>
      </x:c>
      <x:c r="H31" s="33" t="n">
        <x:v>2020</x:v>
      </x:c>
      <x:c r="I31" s="33" t="n">
        <x:v>262.36</x:v>
      </x:c>
      <x:c r="J31" s="33" t="n">
        <x:v>283.21</x:v>
      </x:c>
      <x:c r="K31" s="33" t="n">
        <x:v>2022</x:v>
      </x:c>
      <x:c r="L31" s="47" t="n">
        <x:f>IFERROR(IF(AND(I31&lt;&gt;"",J31&lt;&gt;""),I31/J31,G31/J31),"")</x:f>
        <x:v>0.9263797182302886</x:v>
      </x:c>
      <x:c r="M31" s="33"/>
      <x:c r="N31" s="33"/>
      <x:c r="O31" s="33"/>
      <x:c r="P31" s="33"/>
      <x:c r="Q31" s="33"/>
      <x:c r="R31" s="47" t="n">
        <x:f>IFERROR(P31/G31,"")</x:f>
        <x:v>0</x:v>
      </x:c>
      <x:c r="S31" t="str">
        <x:v>SRC-003</x:v>
      </x:c>
      <x:c r="T31" t="str">
        <x:v>SRC-009</x:v>
      </x:c>
      <x:c r="U31" t="str">
        <x:v>SRC-005</x:v>
      </x:c>
      <x:c r="V31" t="str"/>
      <x:c r="W31" t="str"/>
      <x:c r="X31" t="str">
        <x:v>2026-08-16</x:v>
      </x:c>
      <x:c r="Y31" s="30" t="str">
        <x:v>等级及排名据2025第一财经榜单；2020年七普常住人口；住建部2022年城市建设统计年鉴表2-2第226行列示同一城市口径的城区人口（含表列城区暂住人口）262.36万人、建成区面积283.21平方公里；住房代理公开材料在小区/项目/户数/面积及计划/开工/完工间口径不可比，为保持同列可比性保留空值；未找到可核查的市级公共充电枪数量，未采用省级数值。</x:v>
      </x:c>
      <x:c r="Z31" s="22" t="n">
        <x:f>IF(G31="","",COUNTIFS($C$6:$C$61,C31,$G$6:$G$61,"&lt;="&amp;G31)/COUNTIFS($C$6:$C$61,C31,$G$6:$G$61,"&lt;&gt;"))</x:f>
        <x:v>0.9</x:v>
      </x:c>
      <x:c r="AA31" s="22" t="n">
        <x:f>IF(L31="","",COUNTIFS($C$6:$C$61,C31,$L$6:$L$61,"&lt;="&amp;L31)/COUNTIFS($C$6:$C$61,C31,$L$6:$L$61,"&lt;&gt;"))</x:f>
        <x:v>0.6333333333333333</x:v>
      </x:c>
      <x:c r="AB31" s="22" t="str">
        <x:f>IF(M31="","",COUNTIFS($C$6:$C$61,C31,$M$6:$M$61,"&lt;="&amp;M31)/COUNTIFS($C$6:$C$61,C31,$M$6:$M$61,"&lt;&gt;"))</x:f>
      </x:c>
      <x:c r="AC31" s="22" t="str">
        <x:f>IF(R31="","",COUNTIFS($C$6:$C$61,C31,$R$6:$R$61,"&gt;="&amp;R31)/COUNTIFS($C$6:$C$61,C31,$R$6:$R$61,"&lt;&gt;"))</x:f>
      </x:c>
      <x:c r="AD31" s="49" t="n">
        <x:f>IFERROR((IF(Z31="",0,Z31*'核心假设'!$B$10)+IF(AA31="",0,AA31*'核心假设'!$B$11)+IF(AB31="",0,AB31*'核心假设'!$B$12)+IF(AC31="",0,AC31*'核心假设'!$B$13))/(IF(Z31="",0,'核心假设'!$B$10)+IF(AA31="",0,'核心假设'!$B$11)+IF(AB31="",0,'核心假设'!$B$12)+IF(AC31="",0,'核心假设'!$B$13)),"")</x:f>
        <x:v>0.7787878787878787</x:v>
      </x:c>
      <x:c r="AE31" s="18" t="str">
        <x:f>IF(COUNT(Z31:AC31)&lt;4,"缺失重算",IF(OR(AND(I31="",G31&lt;&gt;""),ISNUMBER(SEARCH("代理",N31))),"代理","完整"))</x:f>
        <x:v>缺失重算</x:v>
      </x:c>
      <x:c r="AF31" s="18" t="n">
        <x:f>IF(C31="一线",1,IF(C31="新一线",2,IF(C31="二线",3,4)))</x:f>
        <x:v>3</x:v>
      </x:c>
      <x:c r="AG31" s="18" t="n">
        <x:f>IF(E31="是",F31,COUNTIF($E$6:$E$61,"是")+1+COUNTIFS($E$6:$E$61,"否",$AF$6:$AF$61,"&lt;"&amp;AF31)+COUNTIFS($E$6:$E$61,"否",$AF$6:$AF$61,AF31,$AD$6:$AD$61,"&gt;"&amp;AD31)+COUNTIFS($E$6:$E$61,"否",$AF$6:$AF$61,AF31,$AD$6:$AD$61,AD31,$D$6:$D$61,"&lt;"&amp;D31))</x:f>
        <x:v>38</x:v>
      </x:c>
    </x:row>
    <x:row r="32">
      <x:c r="A32" t="str">
        <x:v>石家庄</x:v>
      </x:c>
      <x:c r="B32" t="str">
        <x:v>河北</x:v>
      </x:c>
      <x:c r="C32" t="str">
        <x:v>二线</x:v>
      </x:c>
      <x:c r="D32" s="33" t="n">
        <x:v>27</x:v>
      </x:c>
      <x:c r="E32" s="33" t="str">
        <x:v>否</x:v>
      </x:c>
      <x:c r="F32" s="33"/>
      <x:c r="G32" s="33" t="n">
        <x:v>1123.5086</x:v>
      </x:c>
      <x:c r="H32" s="33" t="n">
        <x:v>2020</x:v>
      </x:c>
      <x:c r="I32" s="33" t="n">
        <x:v>354.85</x:v>
      </x:c>
      <x:c r="J32" s="33" t="n">
        <x:v>334.52</x:v>
      </x:c>
      <x:c r="K32" s="33" t="n">
        <x:v>2022</x:v>
      </x:c>
      <x:c r="L32" s="47" t="n">
        <x:f>IFERROR(IF(AND(I32&lt;&gt;"",J32&lt;&gt;""),I32/J32,G32/J32),"")</x:f>
        <x:v>1.0607736458208779</x:v>
      </x:c>
      <x:c r="M32" s="33"/>
      <x:c r="N32" s="33"/>
      <x:c r="O32" s="33"/>
      <x:c r="P32" s="33"/>
      <x:c r="Q32" s="33"/>
      <x:c r="R32" s="47" t="n">
        <x:f>IFERROR(P32/G32,"")</x:f>
        <x:v>0</x:v>
      </x:c>
      <x:c r="S32" t="str">
        <x:v>SRC-003</x:v>
      </x:c>
      <x:c r="T32" t="str">
        <x:v>SRC-022</x:v>
      </x:c>
      <x:c r="U32" t="str">
        <x:v>SRC-005</x:v>
      </x:c>
      <x:c r="V32" t="str"/>
      <x:c r="W32" t="str"/>
      <x:c r="X32" t="str">
        <x:v>2026-08-16</x:v>
      </x:c>
      <x:c r="Y32" s="30" t="str">
        <x:v>等级及排名据2025第一财经榜单；2020年七普常住人口；住建部2022年城市建设统计年鉴表2-2第12行列示同一城市口径的城区人口（含表列城区暂住人口）354.85万人、建成区面积334.52平方公里；住房代理公开材料在小区/项目/户数/面积及计划/开工/完工间口径不可比，为保持同列可比性保留空值；未找到可核查的市级公共充电枪数量，未采用省级数值。</x:v>
      </x:c>
      <x:c r="Z32" s="22" t="n">
        <x:f>IF(G32="","",COUNTIFS($C$6:$C$61,C32,$G$6:$G$61,"&lt;="&amp;G32)/COUNTIFS($C$6:$C$61,C32,$G$6:$G$61,"&lt;&gt;"))</x:f>
        <x:v>1</x:v>
      </x:c>
      <x:c r="AA32" s="22" t="n">
        <x:f>IF(L32="","",COUNTIFS($C$6:$C$61,C32,$L$6:$L$61,"&lt;="&amp;L32)/COUNTIFS($C$6:$C$61,C32,$L$6:$L$61,"&lt;&gt;"))</x:f>
        <x:v>0.9333333333333333</x:v>
      </x:c>
      <x:c r="AB32" s="22" t="str">
        <x:f>IF(M32="","",COUNTIFS($C$6:$C$61,C32,$M$6:$M$61,"&lt;="&amp;M32)/COUNTIFS($C$6:$C$61,C32,$M$6:$M$61,"&lt;&gt;"))</x:f>
      </x:c>
      <x:c r="AC32" s="22" t="str">
        <x:f>IF(R32="","",COUNTIFS($C$6:$C$61,C32,$R$6:$R$61,"&gt;="&amp;R32)/COUNTIFS($C$6:$C$61,C32,$R$6:$R$61,"&lt;&gt;"))</x:f>
      </x:c>
      <x:c r="AD32" s="49" t="n">
        <x:f>IFERROR((IF(Z32="",0,Z32*'核心假设'!$B$10)+IF(AA32="",0,AA32*'核心假设'!$B$11)+IF(AB32="",0,AB32*'核心假设'!$B$12)+IF(AC32="",0,AC32*'核心假设'!$B$13))/(IF(Z32="",0,'核心假设'!$B$10)+IF(AA32="",0,'核心假设'!$B$11)+IF(AB32="",0,'核心假设'!$B$12)+IF(AC32="",0,'核心假设'!$B$13)),"")</x:f>
        <x:v>0.9696969696969696</x:v>
      </x:c>
      <x:c r="AE32" s="18" t="str">
        <x:f>IF(COUNT(Z32:AC32)&lt;4,"缺失重算",IF(OR(AND(I32="",G32&lt;&gt;""),ISNUMBER(SEARCH("代理",N32))),"代理","完整"))</x:f>
        <x:v>缺失重算</x:v>
      </x:c>
      <x:c r="AF32" s="18" t="n">
        <x:f>IF(C32="一线",1,IF(C32="新一线",2,IF(C32="二线",3,4)))</x:f>
        <x:v>3</x:v>
      </x:c>
      <x:c r="AG32" s="18" t="n">
        <x:f>IF(E32="是",F32,COUNTIF($E$6:$E$61,"是")+1+COUNTIFS($E$6:$E$61,"否",$AF$6:$AF$61,"&lt;"&amp;AF32)+COUNTIFS($E$6:$E$61,"否",$AF$6:$AF$61,AF32,$AD$6:$AD$61,"&gt;"&amp;AD32)+COUNTIFS($E$6:$E$61,"否",$AF$6:$AF$61,AF32,$AD$6:$AD$61,AD32,$D$6:$D$61,"&lt;"&amp;D32))</x:f>
        <x:v>34</x:v>
      </x:c>
    </x:row>
    <x:row r="33">
      <x:c r="A33" t="str">
        <x:v>大连</x:v>
      </x:c>
      <x:c r="B33" t="str">
        <x:v>辽宁</x:v>
      </x:c>
      <x:c r="C33" t="str">
        <x:v>二线</x:v>
      </x:c>
      <x:c r="D33" s="33" t="n">
        <x:v>28</x:v>
      </x:c>
      <x:c r="E33" s="33" t="str">
        <x:v>否</x:v>
      </x:c>
      <x:c r="F33" s="33"/>
      <x:c r="G33" s="33" t="n">
        <x:v>745.0785</x:v>
      </x:c>
      <x:c r="H33" s="33" t="n">
        <x:v>2020</x:v>
      </x:c>
      <x:c r="I33" s="33" t="n">
        <x:v>393.7</x:v>
      </x:c>
      <x:c r="J33" s="33" t="n">
        <x:v>444.04</x:v>
      </x:c>
      <x:c r="K33" s="33" t="n">
        <x:v>2022</x:v>
      </x:c>
      <x:c r="L33" s="47" t="n">
        <x:f>IFERROR(IF(AND(I33&lt;&gt;"",J33&lt;&gt;""),I33/J33,G33/J33),"")</x:f>
        <x:v>0.8866318349698225</x:v>
      </x:c>
      <x:c r="M33" s="33"/>
      <x:c r="N33" s="33"/>
      <x:c r="O33" s="33"/>
      <x:c r="P33" s="33"/>
      <x:c r="Q33" s="33"/>
      <x:c r="R33" s="47" t="n">
        <x:f>IFERROR(P33/G33,"")</x:f>
        <x:v>0</x:v>
      </x:c>
      <x:c r="S33" t="str">
        <x:v>SRC-003</x:v>
      </x:c>
      <x:c r="T33" t="str">
        <x:v>SRC-019</x:v>
      </x:c>
      <x:c r="U33" t="str">
        <x:v>SRC-005</x:v>
      </x:c>
      <x:c r="V33" t="str"/>
      <x:c r="W33" t="str"/>
      <x:c r="X33" t="str">
        <x:v>2026-08-16</x:v>
      </x:c>
      <x:c r="Y33" s="30" t="str">
        <x:v>等级及排名据2025第一财经榜单；2020年七普常住人口；住建部2022年城市建设统计年鉴表2-2第91行列示同一城市口径的城区人口（含表列城区暂住人口）393.7万人、建成区面积444.04平方公里；住房代理公开材料在小区/项目/户数/面积及计划/开工/完工间口径不可比，为保持同列可比性保留空值；未找到可核查的市级公共充电枪数量，未采用省级数值。</x:v>
      </x:c>
      <x:c r="Z33" s="22" t="n">
        <x:f>IF(G33="","",COUNTIFS($C$6:$C$61,C33,$G$6:$G$61,"&lt;="&amp;G33)/COUNTIFS($C$6:$C$61,C33,$G$6:$G$61,"&lt;&gt;"))</x:f>
        <x:v>0.4666666666666667</x:v>
      </x:c>
      <x:c r="AA33" s="22" t="n">
        <x:f>IF(L33="","",COUNTIFS($C$6:$C$61,C33,$L$6:$L$61,"&lt;="&amp;L33)/COUNTIFS($C$6:$C$61,C33,$L$6:$L$61,"&lt;&gt;"))</x:f>
        <x:v>0.6</x:v>
      </x:c>
      <x:c r="AB33" s="22" t="str">
        <x:f>IF(M33="","",COUNTIFS($C$6:$C$61,C33,$M$6:$M$61,"&lt;="&amp;M33)/COUNTIFS($C$6:$C$61,C33,$M$6:$M$61,"&lt;&gt;"))</x:f>
      </x:c>
      <x:c r="AC33" s="22" t="str">
        <x:f>IF(R33="","",COUNTIFS($C$6:$C$61,C33,$R$6:$R$61,"&gt;="&amp;R33)/COUNTIFS($C$6:$C$61,C33,$R$6:$R$61,"&lt;&gt;"))</x:f>
      </x:c>
      <x:c r="AD33" s="49" t="n">
        <x:f>IFERROR((IF(Z33="",0,Z33*'核心假设'!$B$10)+IF(AA33="",0,AA33*'核心假设'!$B$11)+IF(AB33="",0,AB33*'核心假设'!$B$12)+IF(AC33="",0,AC33*'核心假设'!$B$13))/(IF(Z33="",0,'核心假设'!$B$10)+IF(AA33="",0,'核心假设'!$B$11)+IF(AB33="",0,'核心假设'!$B$12)+IF(AC33="",0,'核心假设'!$B$13)),"")</x:f>
        <x:v>0.5272727272727272</x:v>
      </x:c>
      <x:c r="AE33" s="18" t="str">
        <x:f>IF(COUNT(Z33:AC33)&lt;4,"缺失重算",IF(OR(AND(I33="",G33&lt;&gt;""),ISNUMBER(SEARCH("代理",N33))),"代理","完整"))</x:f>
        <x:v>缺失重算</x:v>
      </x:c>
      <x:c r="AF33" s="18" t="n">
        <x:f>IF(C33="一线",1,IF(C33="新一线",2,IF(C33="二线",3,4)))</x:f>
        <x:v>3</x:v>
      </x:c>
      <x:c r="AG33" s="18" t="n">
        <x:f>IF(E33="是",F33,COUNTIF($E$6:$E$61,"是")+1+COUNTIFS($E$6:$E$61,"否",$AF$6:$AF$61,"&lt;"&amp;AF33)+COUNTIFS($E$6:$E$61,"否",$AF$6:$AF$61,AF33,$AD$6:$AD$61,"&gt;"&amp;AD33)+COUNTIFS($E$6:$E$61,"否",$AF$6:$AF$61,AF33,$AD$6:$AD$61,AD33,$D$6:$D$61,"&lt;"&amp;D33))</x:f>
        <x:v>47</x:v>
      </x:c>
    </x:row>
    <x:row r="34">
      <x:c r="A34" t="str">
        <x:v>哈尔滨</x:v>
      </x:c>
      <x:c r="B34" t="str">
        <x:v>黑龙江</x:v>
      </x:c>
      <x:c r="C34" t="str">
        <x:v>二线</x:v>
      </x:c>
      <x:c r="D34" s="33" t="n">
        <x:v>29</x:v>
      </x:c>
      <x:c r="E34" s="33" t="str">
        <x:v>否</x:v>
      </x:c>
      <x:c r="F34" s="33"/>
      <x:c r="G34" s="33" t="n">
        <x:v>1000.9854</x:v>
      </x:c>
      <x:c r="H34" s="33" t="n">
        <x:v>2020</x:v>
      </x:c>
      <x:c r="I34" s="33" t="n">
        <x:v>498.76</x:v>
      </x:c>
      <x:c r="J34" s="33" t="n">
        <x:v>500.44</x:v>
      </x:c>
      <x:c r="K34" s="33" t="n">
        <x:v>2022</x:v>
      </x:c>
      <x:c r="L34" s="47" t="n">
        <x:f>IFERROR(IF(AND(I34&lt;&gt;"",J34&lt;&gt;""),I34/J34,G34/J34),"")</x:f>
        <x:v>0.9966429542003037</x:v>
      </x:c>
      <x:c r="M34" s="33"/>
      <x:c r="N34" s="33"/>
      <x:c r="O34" s="33"/>
      <x:c r="P34" s="33"/>
      <x:c r="Q34" s="33"/>
      <x:c r="R34" s="47" t="n">
        <x:f>IFERROR(P34/G34,"")</x:f>
        <x:v>0</x:v>
      </x:c>
      <x:c r="S34" t="str">
        <x:v>SRC-003</x:v>
      </x:c>
      <x:c r="T34" t="str">
        <x:v>SRC-023</x:v>
      </x:c>
      <x:c r="U34" t="str">
        <x:v>SRC-005</x:v>
      </x:c>
      <x:c r="V34" t="str"/>
      <x:c r="W34" t="str"/>
      <x:c r="X34" t="str">
        <x:v>2026-08-16</x:v>
      </x:c>
      <x:c r="Y34" s="30" t="str">
        <x:v>等级及排名据2025第一财经榜单；2020年七普常住人口；住建部2022年城市建设统计年鉴表2-2第151行列示同一城市口径的城区人口（含表列城区暂住人口）498.76万人、建成区面积500.44平方公里；住房代理公开材料在小区/项目/户数/面积及计划/开工/完工间口径不可比，为保持同列可比性保留空值；未找到可核查的市级公共充电枪数量，未采用省级数值。</x:v>
      </x:c>
      <x:c r="Z34" s="22" t="n">
        <x:f>IF(G34="","",COUNTIFS($C$6:$C$61,C34,$G$6:$G$61,"&lt;="&amp;G34)/COUNTIFS($C$6:$C$61,C34,$G$6:$G$61,"&lt;&gt;"))</x:f>
        <x:v>0.9333333333333333</x:v>
      </x:c>
      <x:c r="AA34" s="22" t="n">
        <x:f>IF(L34="","",COUNTIFS($C$6:$C$61,C34,$L$6:$L$61,"&lt;="&amp;L34)/COUNTIFS($C$6:$C$61,C34,$L$6:$L$61,"&lt;&gt;"))</x:f>
        <x:v>0.8333333333333334</x:v>
      </x:c>
      <x:c r="AB34" s="22" t="str">
        <x:f>IF(M34="","",COUNTIFS($C$6:$C$61,C34,$M$6:$M$61,"&lt;="&amp;M34)/COUNTIFS($C$6:$C$61,C34,$M$6:$M$61,"&lt;&gt;"))</x:f>
      </x:c>
      <x:c r="AC34" s="22" t="str">
        <x:f>IF(R34="","",COUNTIFS($C$6:$C$61,C34,$R$6:$R$61,"&gt;="&amp;R34)/COUNTIFS($C$6:$C$61,C34,$R$6:$R$61,"&lt;&gt;"))</x:f>
      </x:c>
      <x:c r="AD34" s="49" t="n">
        <x:f>IFERROR((IF(Z34="",0,Z34*'核心假设'!$B$10)+IF(AA34="",0,AA34*'核心假设'!$B$11)+IF(AB34="",0,AB34*'核心假设'!$B$12)+IF(AC34="",0,AC34*'核心假设'!$B$13))/(IF(Z34="",0,'核心假设'!$B$10)+IF(AA34="",0,'核心假设'!$B$11)+IF(AB34="",0,'核心假设'!$B$12)+IF(AC34="",0,'核心假设'!$B$13)),"")</x:f>
        <x:v>0.8878787878787877</x:v>
      </x:c>
      <x:c r="AE34" s="18" t="str">
        <x:f>IF(COUNT(Z34:AC34)&lt;4,"缺失重算",IF(OR(AND(I34="",G34&lt;&gt;""),ISNUMBER(SEARCH("代理",N34))),"代理","完整"))</x:f>
        <x:v>缺失重算</x:v>
      </x:c>
      <x:c r="AF34" s="18" t="n">
        <x:f>IF(C34="一线",1,IF(C34="新一线",2,IF(C34="二线",3,4)))</x:f>
        <x:v>3</x:v>
      </x:c>
      <x:c r="AG34" s="18" t="n">
        <x:f>IF(E34="是",F34,COUNTIF($E$6:$E$61,"是")+1+COUNTIFS($E$6:$E$61,"否",$AF$6:$AF$61,"&lt;"&amp;AF34)+COUNTIFS($E$6:$E$61,"否",$AF$6:$AF$61,AF34,$AD$6:$AD$61,"&gt;"&amp;AD34)+COUNTIFS($E$6:$E$61,"否",$AF$6:$AF$61,AF34,$AD$6:$AD$61,AD34,$D$6:$D$61,"&lt;"&amp;D34))</x:f>
        <x:v>35</x:v>
      </x:c>
    </x:row>
    <x:row r="35">
      <x:c r="A35" t="str">
        <x:v>金华</x:v>
      </x:c>
      <x:c r="B35" t="str">
        <x:v>浙江</x:v>
      </x:c>
      <x:c r="C35" t="str">
        <x:v>二线</x:v>
      </x:c>
      <x:c r="D35" s="33" t="n">
        <x:v>30</x:v>
      </x:c>
      <x:c r="E35" s="33" t="str">
        <x:v>是</x:v>
      </x:c>
      <x:c r="F35" s="33" t="n">
        <x:v>14</x:v>
      </x:c>
      <x:c r="G35" s="33" t="n">
        <x:v>705.0683</x:v>
      </x:c>
      <x:c r="H35" s="33" t="n">
        <x:v>2020</x:v>
      </x:c>
      <x:c r="I35" s="33" t="n">
        <x:v>100.75</x:v>
      </x:c>
      <x:c r="J35" s="33" t="n">
        <x:v>115.93</x:v>
      </x:c>
      <x:c r="K35" s="33" t="n">
        <x:v>2022</x:v>
      </x:c>
      <x:c r="L35" s="47" t="n">
        <x:f>IFERROR(IF(AND(I35&lt;&gt;"",J35&lt;&gt;""),I35/J35,G35/J35),"")</x:f>
        <x:v>0.8690589148624169</x:v>
      </x:c>
      <x:c r="M35" s="33"/>
      <x:c r="N35" s="33"/>
      <x:c r="O35" s="33"/>
      <x:c r="P35" s="33"/>
      <x:c r="Q35" s="33"/>
      <x:c r="R35" s="47" t="n">
        <x:f>IFERROR(P35/G35,"")</x:f>
        <x:v>0</x:v>
      </x:c>
      <x:c r="S35" t="str">
        <x:v>SRC-003</x:v>
      </x:c>
      <x:c r="T35" t="str">
        <x:v>SRC-009</x:v>
      </x:c>
      <x:c r="U35" t="str">
        <x:v>SRC-005</x:v>
      </x:c>
      <x:c r="V35" t="str"/>
      <x:c r="W35" t="str"/>
      <x:c r="X35" t="str">
        <x:v>2026-08-16</x:v>
      </x:c>
      <x:c r="Y35" s="30" t="str">
        <x:v>等级及排名据2025第一财经榜单；2020年七普常住人口；住建部2022年城市建设统计年鉴表2-2第238行列示同一城市口径的城区人口（含表列城区暂住人口）100.75万人、建成区面积115.93平方公里；住房代理公开材料在小区/项目/户数/面积及计划/开工/完工间口径不可比，为保持同列可比性保留空值；未找到可核查的市级公共充电枪数量，未采用省级数值。</x:v>
      </x:c>
      <x:c r="Z35" s="22" t="n">
        <x:f>IF(G35="","",COUNTIFS($C$6:$C$61,C35,$G$6:$G$61,"&lt;="&amp;G35)/COUNTIFS($C$6:$C$61,C35,$G$6:$G$61,"&lt;&gt;"))</x:f>
        <x:v>0.36666666666666664</x:v>
      </x:c>
      <x:c r="AA35" s="22" t="n">
        <x:f>IF(L35="","",COUNTIFS($C$6:$C$61,C35,$L$6:$L$61,"&lt;="&amp;L35)/COUNTIFS($C$6:$C$61,C35,$L$6:$L$61,"&lt;&gt;"))</x:f>
        <x:v>0.4666666666666667</x:v>
      </x:c>
      <x:c r="AB35" s="22" t="str">
        <x:f>IF(M35="","",COUNTIFS($C$6:$C$61,C35,$M$6:$M$61,"&lt;="&amp;M35)/COUNTIFS($C$6:$C$61,C35,$M$6:$M$61,"&lt;&gt;"))</x:f>
      </x:c>
      <x:c r="AC35" s="22" t="str">
        <x:f>IF(R35="","",COUNTIFS($C$6:$C$61,C35,$R$6:$R$61,"&gt;="&amp;R35)/COUNTIFS($C$6:$C$61,C35,$R$6:$R$61,"&lt;&gt;"))</x:f>
      </x:c>
      <x:c r="AD35" s="49" t="n">
        <x:f>IFERROR((IF(Z35="",0,Z35*'核心假设'!$B$10)+IF(AA35="",0,AA35*'核心假设'!$B$11)+IF(AB35="",0,AB35*'核心假设'!$B$12)+IF(AC35="",0,AC35*'核心假设'!$B$13))/(IF(Z35="",0,'核心假设'!$B$10)+IF(AA35="",0,'核心假设'!$B$11)+IF(AB35="",0,'核心假设'!$B$12)+IF(AC35="",0,'核心假设'!$B$13)),"")</x:f>
        <x:v>0.41212121212121205</x:v>
      </x:c>
      <x:c r="AE35" s="18" t="str">
        <x:f>IF(COUNT(Z35:AC35)&lt;4,"缺失重算",IF(OR(AND(I35="",G35&lt;&gt;""),ISNUMBER(SEARCH("代理",N35))),"代理","完整"))</x:f>
        <x:v>缺失重算</x:v>
      </x:c>
      <x:c r="AF35" s="18" t="n">
        <x:f>IF(C35="一线",1,IF(C35="新一线",2,IF(C35="二线",3,4)))</x:f>
        <x:v>3</x:v>
      </x:c>
      <x:c r="AG35" s="18" t="n">
        <x:f>IF(E35="是",F35,COUNTIF($E$6:$E$61,"是")+1+COUNTIFS($E$6:$E$61,"否",$AF$6:$AF$61,"&lt;"&amp;AF35)+COUNTIFS($E$6:$E$61,"否",$AF$6:$AF$61,AF35,$AD$6:$AD$61,"&gt;"&amp;AD35)+COUNTIFS($E$6:$E$61,"否",$AF$6:$AF$61,AF35,$AD$6:$AD$61,AD35,$D$6:$D$61,"&lt;"&amp;D35))</x:f>
        <x:v>14</x:v>
      </x:c>
    </x:row>
    <x:row r="36">
      <x:c r="A36" t="str">
        <x:v>泉州</x:v>
      </x:c>
      <x:c r="B36" t="str">
        <x:v>福建</x:v>
      </x:c>
      <x:c r="C36" t="str">
        <x:v>二线</x:v>
      </x:c>
      <x:c r="D36" s="33" t="n">
        <x:v>31</x:v>
      </x:c>
      <x:c r="E36" s="33" t="str">
        <x:v>否</x:v>
      </x:c>
      <x:c r="F36" s="33"/>
      <x:c r="G36" s="33" t="n">
        <x:v>878.2285</x:v>
      </x:c>
      <x:c r="H36" s="33" t="n">
        <x:v>2020</x:v>
      </x:c>
      <x:c r="I36" s="33" t="n">
        <x:v>135.16</x:v>
      </x:c>
      <x:c r="J36" s="33" t="n">
        <x:v>230</x:v>
      </x:c>
      <x:c r="K36" s="33" t="n">
        <x:v>2022</x:v>
      </x:c>
      <x:c r="L36" s="47" t="n">
        <x:f>IFERROR(IF(AND(I36&lt;&gt;"",J36&lt;&gt;""),I36/J36,G36/J36),"")</x:f>
        <x:v>0.5876521739130435</x:v>
      </x:c>
      <x:c r="M36" s="33"/>
      <x:c r="N36" s="33"/>
      <x:c r="O36" s="33"/>
      <x:c r="P36" s="33"/>
      <x:c r="Q36" s="33"/>
      <x:c r="R36" s="47" t="n">
        <x:f>IFERROR(P36/G36,"")</x:f>
        <x:v>0</x:v>
      </x:c>
      <x:c r="S36" t="str">
        <x:v>SRC-003</x:v>
      </x:c>
      <x:c r="T36" t="str">
        <x:v>SRC-021</x:v>
      </x:c>
      <x:c r="U36" t="str">
        <x:v>SRC-005</x:v>
      </x:c>
      <x:c r="V36" t="str"/>
      <x:c r="W36" t="str"/>
      <x:c r="X36" t="str">
        <x:v>2026-08-16</x:v>
      </x:c>
      <x:c r="Y36" s="30" t="str">
        <x:v>等级及排名据2025第一财经榜单；2020年七普常住人口；住建部2022年城市建设统计年鉴表2-2第285行列示同一城市口径的城区人口（含表列城区暂住人口）135.16万人、建成区面积230平方公里；住房代理公开材料在小区/项目/户数/面积及计划/开工/完工间口径不可比，为保持同列可比性保留空值；未找到可核查的市级公共充电枪数量，未采用省级数值。</x:v>
      </x:c>
      <x:c r="Z36" s="22" t="n">
        <x:f>IF(G36="","",COUNTIFS($C$6:$C$61,C36,$G$6:$G$61,"&lt;="&amp;G36)/COUNTIFS($C$6:$C$61,C36,$G$6:$G$61,"&lt;&gt;"))</x:f>
        <x:v>0.6666666666666666</x:v>
      </x:c>
      <x:c r="AA36" s="22" t="n">
        <x:f>IF(L36="","",COUNTIFS($C$6:$C$61,C36,$L$6:$L$61,"&lt;="&amp;L36)/COUNTIFS($C$6:$C$61,C36,$L$6:$L$61,"&lt;&gt;"))</x:f>
        <x:v>0.06666666666666667</x:v>
      </x:c>
      <x:c r="AB36" s="22" t="str">
        <x:f>IF(M36="","",COUNTIFS($C$6:$C$61,C36,$M$6:$M$61,"&lt;="&amp;M36)/COUNTIFS($C$6:$C$61,C36,$M$6:$M$61,"&lt;&gt;"))</x:f>
      </x:c>
      <x:c r="AC36" s="22" t="str">
        <x:f>IF(R36="","",COUNTIFS($C$6:$C$61,C36,$R$6:$R$61,"&gt;="&amp;R36)/COUNTIFS($C$6:$C$61,C36,$R$6:$R$61,"&lt;&gt;"))</x:f>
      </x:c>
      <x:c r="AD36" s="49" t="n">
        <x:f>IFERROR((IF(Z36="",0,Z36*'核心假设'!$B$10)+IF(AA36="",0,AA36*'核心假设'!$B$11)+IF(AB36="",0,AB36*'核心假设'!$B$12)+IF(AC36="",0,AC36*'核心假设'!$B$13))/(IF(Z36="",0,'核心假设'!$B$10)+IF(AA36="",0,'核心假设'!$B$11)+IF(AB36="",0,'核心假设'!$B$12)+IF(AC36="",0,'核心假设'!$B$13)),"")</x:f>
        <x:v>0.39393939393939387</x:v>
      </x:c>
      <x:c r="AE36" s="18" t="str">
        <x:f>IF(COUNT(Z36:AC36)&lt;4,"缺失重算",IF(OR(AND(I36="",G36&lt;&gt;""),ISNUMBER(SEARCH("代理",N36))),"代理","完整"))</x:f>
        <x:v>缺失重算</x:v>
      </x:c>
      <x:c r="AF36" s="18" t="n">
        <x:f>IF(C36="一线",1,IF(C36="新一线",2,IF(C36="二线",3,4)))</x:f>
        <x:v>3</x:v>
      </x:c>
      <x:c r="AG36" s="18" t="n">
        <x:f>IF(E36="是",F36,COUNTIF($E$6:$E$61,"是")+1+COUNTIFS($E$6:$E$61,"否",$AF$6:$AF$61,"&lt;"&amp;AF36)+COUNTIFS($E$6:$E$61,"否",$AF$6:$AF$61,AF36,$AD$6:$AD$61,"&gt;"&amp;AD36)+COUNTIFS($E$6:$E$61,"否",$AF$6:$AF$61,AF36,$AD$6:$AD$61,AD36,$D$6:$D$61,"&lt;"&amp;D36))</x:f>
        <x:v>50</x:v>
      </x:c>
    </x:row>
    <x:row r="37">
      <x:c r="A37" t="str">
        <x:v>南宁</x:v>
      </x:c>
      <x:c r="B37" t="str">
        <x:v>广西</x:v>
      </x:c>
      <x:c r="C37" t="str">
        <x:v>二线</x:v>
      </x:c>
      <x:c r="D37" s="33" t="n">
        <x:v>32</x:v>
      </x:c>
      <x:c r="E37" s="33" t="str">
        <x:v>否</x:v>
      </x:c>
      <x:c r="F37" s="33"/>
      <x:c r="G37" s="33" t="n">
        <x:v>874.1584</x:v>
      </x:c>
      <x:c r="H37" s="33" t="n">
        <x:v>2020</x:v>
      </x:c>
      <x:c r="I37" s="33" t="n">
        <x:v>420.74</x:v>
      </x:c>
      <x:c r="J37" s="33" t="n">
        <x:v>442.52</x:v>
      </x:c>
      <x:c r="K37" s="33" t="n">
        <x:v>2022</x:v>
      </x:c>
      <x:c r="L37" s="47" t="n">
        <x:f>IFERROR(IF(AND(I37&lt;&gt;"",J37&lt;&gt;""),I37/J37,G37/J37),"")</x:f>
        <x:v>0.9507818855644943</x:v>
      </x:c>
      <x:c r="M37" s="33"/>
      <x:c r="N37" s="33"/>
      <x:c r="O37" s="33"/>
      <x:c r="P37" s="33"/>
      <x:c r="Q37" s="33"/>
      <x:c r="R37" s="47" t="n">
        <x:f>IFERROR(P37/G37,"")</x:f>
        <x:v>0</x:v>
      </x:c>
      <x:c r="S37" t="str">
        <x:v>SRC-003</x:v>
      </x:c>
      <x:c r="T37" t="str">
        <x:v>SRC-024</x:v>
      </x:c>
      <x:c r="U37" t="str">
        <x:v>SRC-005</x:v>
      </x:c>
      <x:c r="V37" t="str"/>
      <x:c r="W37" t="str"/>
      <x:c r="X37" t="str">
        <x:v>2026-08-16</x:v>
      </x:c>
      <x:c r="Y37" s="30" t="str">
        <x:v>等级及排名据2025第一财经榜单；2020年七普常住人口；住建部2022年城市建设统计年鉴表2-2第521行列示同一城市口径的城区人口（含表列城区暂住人口）420.74万人、建成区面积442.52平方公里；住房代理公开材料在小区/项目/户数/面积及计划/开工/完工间口径不可比，为保持同列可比性保留空值；未找到可核查的市级公共充电枪数量，未采用省级数值。</x:v>
      </x:c>
      <x:c r="Z37" s="22" t="n">
        <x:f>IF(G37="","",COUNTIFS($C$6:$C$61,C37,$G$6:$G$61,"&lt;="&amp;G37)/COUNTIFS($C$6:$C$61,C37,$G$6:$G$61,"&lt;&gt;"))</x:f>
        <x:v>0.6333333333333333</x:v>
      </x:c>
      <x:c r="AA37" s="22" t="n">
        <x:f>IF(L37="","",COUNTIFS($C$6:$C$61,C37,$L$6:$L$61,"&lt;="&amp;L37)/COUNTIFS($C$6:$C$61,C37,$L$6:$L$61,"&lt;&gt;"))</x:f>
        <x:v>0.7</x:v>
      </x:c>
      <x:c r="AB37" s="22" t="str">
        <x:f>IF(M37="","",COUNTIFS($C$6:$C$61,C37,$M$6:$M$61,"&lt;="&amp;M37)/COUNTIFS($C$6:$C$61,C37,$M$6:$M$61,"&lt;&gt;"))</x:f>
      </x:c>
      <x:c r="AC37" s="22" t="str">
        <x:f>IF(R37="","",COUNTIFS($C$6:$C$61,C37,$R$6:$R$61,"&gt;="&amp;R37)/COUNTIFS($C$6:$C$61,C37,$R$6:$R$61,"&lt;&gt;"))</x:f>
      </x:c>
      <x:c r="AD37" s="49" t="n">
        <x:f>IFERROR((IF(Z37="",0,Z37*'核心假设'!$B$10)+IF(AA37="",0,AA37*'核心假设'!$B$11)+IF(AB37="",0,AB37*'核心假设'!$B$12)+IF(AC37="",0,AC37*'核心假设'!$B$13))/(IF(Z37="",0,'核心假设'!$B$10)+IF(AA37="",0,'核心假设'!$B$11)+IF(AB37="",0,'核心假设'!$B$12)+IF(AC37="",0,'核心假设'!$B$13)),"")</x:f>
        <x:v>0.6636363636363636</x:v>
      </x:c>
      <x:c r="AE37" s="18" t="str">
        <x:f>IF(COUNT(Z37:AC37)&lt;4,"缺失重算",IF(OR(AND(I37="",G37&lt;&gt;""),ISNUMBER(SEARCH("代理",N37))),"代理","完整"))</x:f>
        <x:v>缺失重算</x:v>
      </x:c>
      <x:c r="AF37" s="18" t="n">
        <x:f>IF(C37="一线",1,IF(C37="新一线",2,IF(C37="二线",3,4)))</x:f>
        <x:v>3</x:v>
      </x:c>
      <x:c r="AG37" s="18" t="n">
        <x:f>IF(E37="是",F37,COUNTIF($E$6:$E$61,"是")+1+COUNTIFS($E$6:$E$61,"否",$AF$6:$AF$61,"&lt;"&amp;AF37)+COUNTIFS($E$6:$E$61,"否",$AF$6:$AF$61,AF37,$AD$6:$AD$61,"&gt;"&amp;AD37)+COUNTIFS($E$6:$E$61,"否",$AF$6:$AF$61,AF37,$AD$6:$AD$61,AD37,$D$6:$D$61,"&lt;"&amp;D37))</x:f>
        <x:v>43</x:v>
      </x:c>
    </x:row>
    <x:row r="38">
      <x:c r="A38" t="str">
        <x:v>长春</x:v>
      </x:c>
      <x:c r="B38" t="str">
        <x:v>吉林</x:v>
      </x:c>
      <x:c r="C38" t="str">
        <x:v>二线</x:v>
      </x:c>
      <x:c r="D38" s="33" t="n">
        <x:v>33</x:v>
      </x:c>
      <x:c r="E38" s="33" t="str">
        <x:v>否</x:v>
      </x:c>
      <x:c r="F38" s="33"/>
      <x:c r="G38" s="33" t="n">
        <x:v>906.6906</x:v>
      </x:c>
      <x:c r="H38" s="33" t="n">
        <x:v>2020</x:v>
      </x:c>
      <x:c r="I38" s="33" t="n">
        <x:v>481.42</x:v>
      </x:c>
      <x:c r="J38" s="33" t="n">
        <x:v>551.38</x:v>
      </x:c>
      <x:c r="K38" s="33" t="n">
        <x:v>2022</x:v>
      </x:c>
      <x:c r="L38" s="47" t="n">
        <x:f>IFERROR(IF(AND(I38&lt;&gt;"",J38&lt;&gt;""),I38/J38,G38/J38),"")</x:f>
        <x:v>0.8731183575755378</x:v>
      </x:c>
      <x:c r="M38" s="33"/>
      <x:c r="N38" s="33"/>
      <x:c r="O38" s="33"/>
      <x:c r="P38" s="33"/>
      <x:c r="Q38" s="33"/>
      <x:c r="R38" s="47" t="n">
        <x:f>IFERROR(P38/G38,"")</x:f>
        <x:v>0</x:v>
      </x:c>
      <x:c r="S38" t="str">
        <x:v>SRC-003</x:v>
      </x:c>
      <x:c r="T38" t="str">
        <x:v>SRC-025</x:v>
      </x:c>
      <x:c r="U38" t="str">
        <x:v>SRC-005</x:v>
      </x:c>
      <x:c r="V38" t="str"/>
      <x:c r="W38" t="str"/>
      <x:c r="X38" t="str">
        <x:v>2026-08-16</x:v>
      </x:c>
      <x:c r="Y38" s="30" t="str">
        <x:v>等级及排名据2025第一财经榜单；2020年七普常住人口；住建部2022年城市建设统计年鉴表2-2第121行列示同一城市口径的城区人口（含表列城区暂住人口）481.42万人、建成区面积551.38平方公里；住房代理公开材料在小区/项目/户数/面积及计划/开工/完工间口径不可比，为保持同列可比性保留空值；未找到可核查的市级公共充电枪数量，未采用省级数值。</x:v>
      </x:c>
      <x:c r="Z38" s="22" t="n">
        <x:f>IF(G38="","",COUNTIFS($C$6:$C$61,C38,$G$6:$G$61,"&lt;="&amp;G38)/COUNTIFS($C$6:$C$61,C38,$G$6:$G$61,"&lt;&gt;"))</x:f>
        <x:v>0.7333333333333333</x:v>
      </x:c>
      <x:c r="AA38" s="22" t="n">
        <x:f>IF(L38="","",COUNTIFS($C$6:$C$61,C38,$L$6:$L$61,"&lt;="&amp;L38)/COUNTIFS($C$6:$C$61,C38,$L$6:$L$61,"&lt;&gt;"))</x:f>
        <x:v>0.5</x:v>
      </x:c>
      <x:c r="AB38" s="22" t="str">
        <x:f>IF(M38="","",COUNTIFS($C$6:$C$61,C38,$M$6:$M$61,"&lt;="&amp;M38)/COUNTIFS($C$6:$C$61,C38,$M$6:$M$61,"&lt;&gt;"))</x:f>
      </x:c>
      <x:c r="AC38" s="22" t="str">
        <x:f>IF(R38="","",COUNTIFS($C$6:$C$61,C38,$R$6:$R$61,"&gt;="&amp;R38)/COUNTIFS($C$6:$C$61,C38,$R$6:$R$61,"&lt;&gt;"))</x:f>
      </x:c>
      <x:c r="AD38" s="49" t="n">
        <x:f>IFERROR((IF(Z38="",0,Z38*'核心假设'!$B$10)+IF(AA38="",0,AA38*'核心假设'!$B$11)+IF(AB38="",0,AB38*'核心假设'!$B$12)+IF(AC38="",0,AC38*'核心假设'!$B$13))/(IF(Z38="",0,'核心假设'!$B$10)+IF(AA38="",0,'核心假设'!$B$11)+IF(AB38="",0,'核心假设'!$B$12)+IF(AC38="",0,'核心假设'!$B$13)),"")</x:f>
        <x:v>0.6272727272727272</x:v>
      </x:c>
      <x:c r="AE38" s="18" t="str">
        <x:f>IF(COUNT(Z38:AC38)&lt;4,"缺失重算",IF(OR(AND(I38="",G38&lt;&gt;""),ISNUMBER(SEARCH("代理",N38))),"代理","完整"))</x:f>
        <x:v>缺失重算</x:v>
      </x:c>
      <x:c r="AF38" s="18" t="n">
        <x:f>IF(C38="一线",1,IF(C38="新一线",2,IF(C38="二线",3,4)))</x:f>
        <x:v>3</x:v>
      </x:c>
      <x:c r="AG38" s="18" t="n">
        <x:f>IF(E38="是",F38,COUNTIF($E$6:$E$61,"是")+1+COUNTIFS($E$6:$E$61,"否",$AF$6:$AF$61,"&lt;"&amp;AF38)+COUNTIFS($E$6:$E$61,"否",$AF$6:$AF$61,AF38,$AD$6:$AD$61,"&gt;"&amp;AD38)+COUNTIFS($E$6:$E$61,"否",$AF$6:$AF$61,AF38,$AD$6:$AD$61,AD38,$D$6:$D$61,"&lt;"&amp;D38))</x:f>
        <x:v>44</x:v>
      </x:c>
    </x:row>
    <x:row r="39">
      <x:c r="A39" t="str">
        <x:v>常州</x:v>
      </x:c>
      <x:c r="B39" t="str">
        <x:v>江苏</x:v>
      </x:c>
      <x:c r="C39" t="str">
        <x:v>二线</x:v>
      </x:c>
      <x:c r="D39" s="33" t="n">
        <x:v>34</x:v>
      </x:c>
      <x:c r="E39" s="33" t="str">
        <x:v>否</x:v>
      </x:c>
      <x:c r="F39" s="33"/>
      <x:c r="G39" s="33" t="n">
        <x:v>527.8121</x:v>
      </x:c>
      <x:c r="H39" s="33" t="n">
        <x:v>2020</x:v>
      </x:c>
      <x:c r="I39" s="33" t="n">
        <x:v>214.94</x:v>
      </x:c>
      <x:c r="J39" s="33" t="n">
        <x:v>278.74</x:v>
      </x:c>
      <x:c r="K39" s="33" t="n">
        <x:v>2022</x:v>
      </x:c>
      <x:c r="L39" s="47" t="n">
        <x:f>IFERROR(IF(AND(I39&lt;&gt;"",J39&lt;&gt;""),I39/J39,G39/J39),"")</x:f>
        <x:v>0.7711128650355169</x:v>
      </x:c>
      <x:c r="M39" s="33"/>
      <x:c r="N39" s="33"/>
      <x:c r="O39" s="33"/>
      <x:c r="P39" s="33"/>
      <x:c r="Q39" s="33"/>
      <x:c r="R39" s="47" t="n">
        <x:f>IFERROR(P39/G39,"")</x:f>
        <x:v>0</x:v>
      </x:c>
      <x:c r="S39" t="str">
        <x:v>SRC-003</x:v>
      </x:c>
      <x:c r="T39" t="str">
        <x:v>SRC-012</x:v>
      </x:c>
      <x:c r="U39" t="str">
        <x:v>SRC-005</x:v>
      </x:c>
      <x:c r="V39" t="str"/>
      <x:c r="W39" t="str"/>
      <x:c r="X39" t="str">
        <x:v>2026-08-16</x:v>
      </x:c>
      <x:c r="Y39" s="30" t="str">
        <x:v>等级及排名据2025第一财经榜单；2020年七普常住人口；住建部2022年城市建设统计年鉴表2-2第193行列示同一城市口径的城区人口（含表列城区暂住人口）214.94万人、建成区面积278.74平方公里；住房代理公开材料在小区/项目/户数/面积及计划/开工/完工间口径不可比，为保持同列可比性保留空值；未找到可核查的市级公共充电枪数量，未采用省级数值。</x:v>
      </x:c>
      <x:c r="Z39" s="22" t="n">
        <x:f>IF(G39="","",COUNTIFS($C$6:$C$61,C39,$G$6:$G$61,"&lt;="&amp;G39)/COUNTIFS($C$6:$C$61,C39,$G$6:$G$61,"&lt;&gt;"))</x:f>
        <x:v>0.13333333333333333</x:v>
      </x:c>
      <x:c r="AA39" s="22" t="n">
        <x:f>IF(L39="","",COUNTIFS($C$6:$C$61,C39,$L$6:$L$61,"&lt;="&amp;L39)/COUNTIFS($C$6:$C$61,C39,$L$6:$L$61,"&lt;&gt;"))</x:f>
        <x:v>0.23333333333333334</x:v>
      </x:c>
      <x:c r="AB39" s="22" t="str">
        <x:f>IF(M39="","",COUNTIFS($C$6:$C$61,C39,$M$6:$M$61,"&lt;="&amp;M39)/COUNTIFS($C$6:$C$61,C39,$M$6:$M$61,"&lt;&gt;"))</x:f>
      </x:c>
      <x:c r="AC39" s="22" t="str">
        <x:f>IF(R39="","",COUNTIFS($C$6:$C$61,C39,$R$6:$R$61,"&gt;="&amp;R39)/COUNTIFS($C$6:$C$61,C39,$R$6:$R$61,"&lt;&gt;"))</x:f>
      </x:c>
      <x:c r="AD39" s="49" t="n">
        <x:f>IFERROR((IF(Z39="",0,Z39*'核心假设'!$B$10)+IF(AA39="",0,AA39*'核心假设'!$B$11)+IF(AB39="",0,AB39*'核心假设'!$B$12)+IF(AC39="",0,AC39*'核心假设'!$B$13))/(IF(Z39="",0,'核心假设'!$B$10)+IF(AA39="",0,'核心假设'!$B$11)+IF(AB39="",0,'核心假设'!$B$12)+IF(AC39="",0,'核心假设'!$B$13)),"")</x:f>
        <x:v>0.17878787878787877</x:v>
      </x:c>
      <x:c r="AE39" s="18" t="str">
        <x:f>IF(COUNT(Z39:AC39)&lt;4,"缺失重算",IF(OR(AND(I39="",G39&lt;&gt;""),ISNUMBER(SEARCH("代理",N39))),"代理","完整"))</x:f>
        <x:v>缺失重算</x:v>
      </x:c>
      <x:c r="AF39" s="18" t="n">
        <x:f>IF(C39="一线",1,IF(C39="新一线",2,IF(C39="二线",3,4)))</x:f>
        <x:v>3</x:v>
      </x:c>
      <x:c r="AG39" s="18" t="n">
        <x:f>IF(E39="是",F39,COUNTIF($E$6:$E$61,"是")+1+COUNTIFS($E$6:$E$61,"否",$AF$6:$AF$61,"&lt;"&amp;AF39)+COUNTIFS($E$6:$E$61,"否",$AF$6:$AF$61,AF39,$AD$6:$AD$61,"&gt;"&amp;AD39)+COUNTIFS($E$6:$E$61,"否",$AF$6:$AF$61,AF39,$AD$6:$AD$61,AD39,$D$6:$D$61,"&lt;"&amp;D39))</x:f>
        <x:v>56</x:v>
      </x:c>
    </x:row>
    <x:row r="40">
      <x:c r="A40" t="str">
        <x:v>南昌</x:v>
      </x:c>
      <x:c r="B40" t="str">
        <x:v>江西</x:v>
      </x:c>
      <x:c r="C40" t="str">
        <x:v>二线</x:v>
      </x:c>
      <x:c r="D40" s="33" t="n">
        <x:v>35</x:v>
      </x:c>
      <x:c r="E40" s="33" t="str">
        <x:v>否</x:v>
      </x:c>
      <x:c r="F40" s="33"/>
      <x:c r="G40" s="33" t="n">
        <x:v>625.5007</x:v>
      </x:c>
      <x:c r="H40" s="33" t="n">
        <x:v>2020</x:v>
      </x:c>
      <x:c r="I40" s="33" t="n">
        <x:v>332.37</x:v>
      </x:c>
      <x:c r="J40" s="33" t="n">
        <x:v>376.74</x:v>
      </x:c>
      <x:c r="K40" s="33" t="n">
        <x:v>2022</x:v>
      </x:c>
      <x:c r="L40" s="47" t="n">
        <x:f>IFERROR(IF(AND(I40&lt;&gt;"",J40&lt;&gt;""),I40/J40,G40/J40),"")</x:f>
        <x:v>0.8822264691829909</x:v>
      </x:c>
      <x:c r="M40" s="33"/>
      <x:c r="N40" s="33"/>
      <x:c r="O40" s="33"/>
      <x:c r="P40" s="33"/>
      <x:c r="Q40" s="33"/>
      <x:c r="R40" s="47" t="n">
        <x:f>IFERROR(P40/G40,"")</x:f>
        <x:v>0</x:v>
      </x:c>
      <x:c r="S40" t="str">
        <x:v>SRC-003</x:v>
      </x:c>
      <x:c r="T40" t="str">
        <x:v>SRC-026</x:v>
      </x:c>
      <x:c r="U40" t="str">
        <x:v>SRC-005</x:v>
      </x:c>
      <x:c r="V40" t="str"/>
      <x:c r="W40" t="str"/>
      <x:c r="X40" t="str">
        <x:v>2026-08-16</x:v>
      </x:c>
      <x:c r="Y40" s="30" t="str">
        <x:v>等级及排名据2025第一财经榜单；2020年七普常住人口；住建部2022年城市建设统计年鉴表2-2第300行列示同一城市口径的城区人口（含表列城区暂住人口）332.37万人、建成区面积376.74平方公里；住房代理公开材料在小区/项目/户数/面积及计划/开工/完工间口径不可比，为保持同列可比性保留空值；未找到可核查的市级公共充电枪数量，未采用省级数值。</x:v>
      </x:c>
      <x:c r="Z40" s="22" t="n">
        <x:f>IF(G40="","",COUNTIFS($C$6:$C$61,C40,$G$6:$G$61,"&lt;="&amp;G40)/COUNTIFS($C$6:$C$61,C40,$G$6:$G$61,"&lt;&gt;"))</x:f>
        <x:v>0.3</x:v>
      </x:c>
      <x:c r="AA40" s="22" t="n">
        <x:f>IF(L40="","",COUNTIFS($C$6:$C$61,C40,$L$6:$L$61,"&lt;="&amp;L40)/COUNTIFS($C$6:$C$61,C40,$L$6:$L$61,"&lt;&gt;"))</x:f>
        <x:v>0.5333333333333333</x:v>
      </x:c>
      <x:c r="AB40" s="22" t="str">
        <x:f>IF(M40="","",COUNTIFS($C$6:$C$61,C40,$M$6:$M$61,"&lt;="&amp;M40)/COUNTIFS($C$6:$C$61,C40,$M$6:$M$61,"&lt;&gt;"))</x:f>
      </x:c>
      <x:c r="AC40" s="22" t="str">
        <x:f>IF(R40="","",COUNTIFS($C$6:$C$61,C40,$R$6:$R$61,"&gt;="&amp;R40)/COUNTIFS($C$6:$C$61,C40,$R$6:$R$61,"&lt;&gt;"))</x:f>
      </x:c>
      <x:c r="AD40" s="49" t="n">
        <x:f>IFERROR((IF(Z40="",0,Z40*'核心假设'!$B$10)+IF(AA40="",0,AA40*'核心假设'!$B$11)+IF(AB40="",0,AB40*'核心假设'!$B$12)+IF(AC40="",0,AC40*'核心假设'!$B$13))/(IF(Z40="",0,'核心假设'!$B$10)+IF(AA40="",0,'核心假设'!$B$11)+IF(AB40="",0,'核心假设'!$B$12)+IF(AC40="",0,'核心假设'!$B$13)),"")</x:f>
        <x:v>0.406060606060606</x:v>
      </x:c>
      <x:c r="AE40" s="18" t="str">
        <x:f>IF(COUNT(Z40:AC40)&lt;4,"缺失重算",IF(OR(AND(I40="",G40&lt;&gt;""),ISNUMBER(SEARCH("代理",N40))),"代理","完整"))</x:f>
        <x:v>缺失重算</x:v>
      </x:c>
      <x:c r="AF40" s="18" t="n">
        <x:f>IF(C40="一线",1,IF(C40="新一线",2,IF(C40="二线",3,4)))</x:f>
        <x:v>3</x:v>
      </x:c>
      <x:c r="AG40" s="18" t="n">
        <x:f>IF(E40="是",F40,COUNTIF($E$6:$E$61,"是")+1+COUNTIFS($E$6:$E$61,"否",$AF$6:$AF$61,"&lt;"&amp;AF40)+COUNTIFS($E$6:$E$61,"否",$AF$6:$AF$61,AF40,$AD$6:$AD$61,"&gt;"&amp;AD40)+COUNTIFS($E$6:$E$61,"否",$AF$6:$AF$61,AF40,$AD$6:$AD$61,AD40,$D$6:$D$61,"&lt;"&amp;D40))</x:f>
        <x:v>49</x:v>
      </x:c>
    </x:row>
    <x:row r="41">
      <x:c r="A41" t="str">
        <x:v>南通</x:v>
      </x:c>
      <x:c r="B41" t="str">
        <x:v>江苏</x:v>
      </x:c>
      <x:c r="C41" t="str">
        <x:v>二线</x:v>
      </x:c>
      <x:c r="D41" s="33" t="n">
        <x:v>36</x:v>
      </x:c>
      <x:c r="E41" s="33" t="str">
        <x:v>否</x:v>
      </x:c>
      <x:c r="F41" s="33"/>
      <x:c r="G41" s="33" t="n">
        <x:v>772.6635</x:v>
      </x:c>
      <x:c r="H41" s="33" t="n">
        <x:v>2020</x:v>
      </x:c>
      <x:c r="I41" s="33" t="n">
        <x:v>220.95</x:v>
      </x:c>
      <x:c r="J41" s="33" t="n">
        <x:v>304.02</x:v>
      </x:c>
      <x:c r="K41" s="33" t="n">
        <x:v>2022</x:v>
      </x:c>
      <x:c r="L41" s="47" t="n">
        <x:f>IFERROR(IF(AND(I41&lt;&gt;"",J41&lt;&gt;""),I41/J41,G41/J41),"")</x:f>
        <x:v>0.726761397276495</x:v>
      </x:c>
      <x:c r="M41" s="33"/>
      <x:c r="N41" s="33"/>
      <x:c r="O41" s="33"/>
      <x:c r="P41" s="33"/>
      <x:c r="Q41" s="33"/>
      <x:c r="R41" s="47" t="n">
        <x:f>IFERROR(P41/G41,"")</x:f>
        <x:v>0</x:v>
      </x:c>
      <x:c r="S41" t="str">
        <x:v>SRC-003</x:v>
      </x:c>
      <x:c r="T41" t="str">
        <x:v>SRC-012</x:v>
      </x:c>
      <x:c r="U41" t="str">
        <x:v>SRC-005</x:v>
      </x:c>
      <x:c r="V41" t="str"/>
      <x:c r="W41" t="str"/>
      <x:c r="X41" t="str">
        <x:v>2026-08-16</x:v>
      </x:c>
      <x:c r="Y41" s="30" t="str">
        <x:v>等级及排名据2025第一财经榜单；2020年七普常住人口；住建部2022年城市建设统计年鉴表2-2第200行列示同一城市口径的城区人口（含表列城区暂住人口）220.95万人、建成区面积304.02平方公里；住房代理公开材料在小区/项目/户数/面积及计划/开工/完工间口径不可比，为保持同列可比性保留空值；未找到可核查的市级公共充电枪数量，未采用省级数值。</x:v>
      </x:c>
      <x:c r="Z41" s="22" t="n">
        <x:f>IF(G41="","",COUNTIFS($C$6:$C$61,C41,$G$6:$G$61,"&lt;="&amp;G41)/COUNTIFS($C$6:$C$61,C41,$G$6:$G$61,"&lt;&gt;"))</x:f>
        <x:v>0.5333333333333333</x:v>
      </x:c>
      <x:c r="AA41" s="22" t="n">
        <x:f>IF(L41="","",COUNTIFS($C$6:$C$61,C41,$L$6:$L$61,"&lt;="&amp;L41)/COUNTIFS($C$6:$C$61,C41,$L$6:$L$61,"&lt;&gt;"))</x:f>
        <x:v>0.2</x:v>
      </x:c>
      <x:c r="AB41" s="22" t="str">
        <x:f>IF(M41="","",COUNTIFS($C$6:$C$61,C41,$M$6:$M$61,"&lt;="&amp;M41)/COUNTIFS($C$6:$C$61,C41,$M$6:$M$61,"&lt;&gt;"))</x:f>
      </x:c>
      <x:c r="AC41" s="22" t="str">
        <x:f>IF(R41="","",COUNTIFS($C$6:$C$61,C41,$R$6:$R$61,"&gt;="&amp;R41)/COUNTIFS($C$6:$C$61,C41,$R$6:$R$61,"&lt;&gt;"))</x:f>
      </x:c>
      <x:c r="AD41" s="49" t="n">
        <x:f>IFERROR((IF(Z41="",0,Z41*'核心假设'!$B$10)+IF(AA41="",0,AA41*'核心假设'!$B$11)+IF(AB41="",0,AB41*'核心假设'!$B$12)+IF(AC41="",0,AC41*'核心假设'!$B$13))/(IF(Z41="",0,'核心假设'!$B$10)+IF(AA41="",0,'核心假设'!$B$11)+IF(AB41="",0,'核心假设'!$B$12)+IF(AC41="",0,'核心假设'!$B$13)),"")</x:f>
        <x:v>0.38181818181818183</x:v>
      </x:c>
      <x:c r="AE41" s="18" t="str">
        <x:f>IF(COUNT(Z41:AC41)&lt;4,"缺失重算",IF(OR(AND(I41="",G41&lt;&gt;""),ISNUMBER(SEARCH("代理",N41))),"代理","完整"))</x:f>
        <x:v>缺失重算</x:v>
      </x:c>
      <x:c r="AF41" s="18" t="n">
        <x:f>IF(C41="一线",1,IF(C41="新一线",2,IF(C41="二线",3,4)))</x:f>
        <x:v>3</x:v>
      </x:c>
      <x:c r="AG41" s="18" t="n">
        <x:f>IF(E41="是",F41,COUNTIF($E$6:$E$61,"是")+1+COUNTIFS($E$6:$E$61,"否",$AF$6:$AF$61,"&lt;"&amp;AF41)+COUNTIFS($E$6:$E$61,"否",$AF$6:$AF$61,AF41,$AD$6:$AD$61,"&gt;"&amp;AD41)+COUNTIFS($E$6:$E$61,"否",$AF$6:$AF$61,AF41,$AD$6:$AD$61,AD41,$D$6:$D$61,"&lt;"&amp;D41))</x:f>
        <x:v>51</x:v>
      </x:c>
    </x:row>
    <x:row r="42">
      <x:c r="A42" t="str">
        <x:v>贵阳</x:v>
      </x:c>
      <x:c r="B42" t="str">
        <x:v>贵州</x:v>
      </x:c>
      <x:c r="C42" t="str">
        <x:v>二线</x:v>
      </x:c>
      <x:c r="D42" s="33" t="n">
        <x:v>37</x:v>
      </x:c>
      <x:c r="E42" s="33" t="str">
        <x:v>否</x:v>
      </x:c>
      <x:c r="F42" s="33"/>
      <x:c r="G42" s="33" t="n">
        <x:v>598.7018</x:v>
      </x:c>
      <x:c r="H42" s="33" t="n">
        <x:v>2020</x:v>
      </x:c>
      <x:c r="I42" s="33" t="n">
        <x:v>297.5</x:v>
      </x:c>
      <x:c r="J42" s="33" t="n">
        <x:v>369</x:v>
      </x:c>
      <x:c r="K42" s="33" t="n">
        <x:v>2022</x:v>
      </x:c>
      <x:c r="L42" s="47" t="n">
        <x:f>IFERROR(IF(AND(I42&lt;&gt;"",J42&lt;&gt;""),I42/J42,G42/J42),"")</x:f>
        <x:v>0.8062330623306233</x:v>
      </x:c>
      <x:c r="M42" s="33"/>
      <x:c r="N42" s="33"/>
      <x:c r="O42" s="33"/>
      <x:c r="P42" s="33"/>
      <x:c r="Q42" s="33"/>
      <x:c r="R42" s="47" t="n">
        <x:f>IFERROR(P42/G42,"")</x:f>
        <x:v>0</x:v>
      </x:c>
      <x:c r="S42" t="str">
        <x:v>SRC-003</x:v>
      </x:c>
      <x:c r="T42" t="str">
        <x:v>SRC-027</x:v>
      </x:c>
      <x:c r="U42" t="str">
        <x:v>SRC-005</x:v>
      </x:c>
      <x:c r="V42" t="str"/>
      <x:c r="W42" t="str"/>
      <x:c r="X42" t="str">
        <x:v>2026-08-16</x:v>
      </x:c>
      <x:c r="Y42" s="30" t="str">
        <x:v>等级及排名据2025第一财经榜单；2020年七普常住人口；住建部2022年城市建设统计年鉴表2-2第595行列示同一城市口径的城区人口（含表列城区暂住人口）297.5万人、建成区面积369平方公里；住房代理公开材料在小区/项目/户数/面积及计划/开工/完工间口径不可比，为保持同列可比性保留空值；未找到可核查的市级公共充电枪数量，未采用省级数值。</x:v>
      </x:c>
      <x:c r="Z42" s="22" t="n">
        <x:f>IF(G42="","",COUNTIFS($C$6:$C$61,C42,$G$6:$G$61,"&lt;="&amp;G42)/COUNTIFS($C$6:$C$61,C42,$G$6:$G$61,"&lt;&gt;"))</x:f>
        <x:v>0.23333333333333334</x:v>
      </x:c>
      <x:c r="AA42" s="22" t="n">
        <x:f>IF(L42="","",COUNTIFS($C$6:$C$61,C42,$L$6:$L$61,"&lt;="&amp;L42)/COUNTIFS($C$6:$C$61,C42,$L$6:$L$61,"&lt;&gt;"))</x:f>
        <x:v>0.26666666666666666</x:v>
      </x:c>
      <x:c r="AB42" s="22" t="str">
        <x:f>IF(M42="","",COUNTIFS($C$6:$C$61,C42,$M$6:$M$61,"&lt;="&amp;M42)/COUNTIFS($C$6:$C$61,C42,$M$6:$M$61,"&lt;&gt;"))</x:f>
      </x:c>
      <x:c r="AC42" s="22" t="str">
        <x:f>IF(R42="","",COUNTIFS($C$6:$C$61,C42,$R$6:$R$61,"&gt;="&amp;R42)/COUNTIFS($C$6:$C$61,C42,$R$6:$R$61,"&lt;&gt;"))</x:f>
      </x:c>
      <x:c r="AD42" s="49" t="n">
        <x:f>IFERROR((IF(Z42="",0,Z42*'核心假设'!$B$10)+IF(AA42="",0,AA42*'核心假设'!$B$11)+IF(AB42="",0,AB42*'核心假设'!$B$12)+IF(AC42="",0,AC42*'核心假设'!$B$13))/(IF(Z42="",0,'核心假设'!$B$10)+IF(AA42="",0,'核心假设'!$B$11)+IF(AB42="",0,'核心假设'!$B$12)+IF(AC42="",0,'核心假设'!$B$13)),"")</x:f>
        <x:v>0.24848484848484845</x:v>
      </x:c>
      <x:c r="AE42" s="18" t="str">
        <x:f>IF(COUNT(Z42:AC42)&lt;4,"缺失重算",IF(OR(AND(I42="",G42&lt;&gt;""),ISNUMBER(SEARCH("代理",N42))),"代理","完整"))</x:f>
        <x:v>缺失重算</x:v>
      </x:c>
      <x:c r="AF42" s="18" t="n">
        <x:f>IF(C42="一线",1,IF(C42="新一线",2,IF(C42="二线",3,4)))</x:f>
        <x:v>3</x:v>
      </x:c>
      <x:c r="AG42" s="18" t="n">
        <x:f>IF(E42="是",F42,COUNTIF($E$6:$E$61,"是")+1+COUNTIFS($E$6:$E$61,"否",$AF$6:$AF$61,"&lt;"&amp;AF42)+COUNTIFS($E$6:$E$61,"否",$AF$6:$AF$61,AF42,$AD$6:$AD$61,"&gt;"&amp;AD42)+COUNTIFS($E$6:$E$61,"否",$AF$6:$AF$61,AF42,$AD$6:$AD$61,AD42,$D$6:$D$61,"&lt;"&amp;D42))</x:f>
        <x:v>55</x:v>
      </x:c>
    </x:row>
    <x:row r="43">
      <x:c r="A43" t="str">
        <x:v>嘉兴</x:v>
      </x:c>
      <x:c r="B43" t="str">
        <x:v>浙江</x:v>
      </x:c>
      <x:c r="C43" t="str">
        <x:v>二线</x:v>
      </x:c>
      <x:c r="D43" s="33" t="n">
        <x:v>38</x:v>
      </x:c>
      <x:c r="E43" s="33" t="str">
        <x:v>是</x:v>
      </x:c>
      <x:c r="F43" s="33" t="n">
        <x:v>13</x:v>
      </x:c>
      <x:c r="G43" s="33" t="n">
        <x:v>540.0868</x:v>
      </x:c>
      <x:c r="H43" s="33" t="n">
        <x:v>2020</x:v>
      </x:c>
      <x:c r="I43" s="33" t="n">
        <x:v>93.58</x:v>
      </x:c>
      <x:c r="J43" s="33" t="n">
        <x:v>165.57</x:v>
      </x:c>
      <x:c r="K43" s="33" t="n">
        <x:v>2022</x:v>
      </x:c>
      <x:c r="L43" s="47" t="n">
        <x:f>IFERROR(IF(AND(I43&lt;&gt;"",J43&lt;&gt;""),I43/J43,G43/J43),"")</x:f>
        <x:v>0.5651990094823942</x:v>
      </x:c>
      <x:c r="M43" s="33"/>
      <x:c r="N43" s="33"/>
      <x:c r="O43" s="33"/>
      <x:c r="P43" s="33"/>
      <x:c r="Q43" s="33"/>
      <x:c r="R43" s="47" t="n">
        <x:f>IFERROR(P43/G43,"")</x:f>
        <x:v>0</x:v>
      </x:c>
      <x:c r="S43" t="str">
        <x:v>SRC-003</x:v>
      </x:c>
      <x:c r="T43" t="str">
        <x:v>SRC-009</x:v>
      </x:c>
      <x:c r="U43" t="str">
        <x:v>SRC-005</x:v>
      </x:c>
      <x:c r="V43" t="str"/>
      <x:c r="W43" t="str"/>
      <x:c r="X43" t="str">
        <x:v>2026-08-16</x:v>
      </x:c>
      <x:c r="Y43" s="30" t="str">
        <x:v>等级及排名据2025第一财经榜单；2020年七普常住人口；住建部2022年城市建设统计年鉴表2-2第230行列示同一城市口径的城区人口（含表列城区暂住人口）93.58万人、建成区面积165.57平方公里；住房代理公开材料在小区/项目/户数/面积及计划/开工/完工间口径不可比，为保持同列可比性保留空值；未找到可核查的市级公共充电枪数量，未采用省级数值。</x:v>
      </x:c>
      <x:c r="Z43" s="22" t="n">
        <x:f>IF(G43="","",COUNTIFS($C$6:$C$61,C43,$G$6:$G$61,"&lt;="&amp;G43)/COUNTIFS($C$6:$C$61,C43,$G$6:$G$61,"&lt;&gt;"))</x:f>
        <x:v>0.2</x:v>
      </x:c>
      <x:c r="AA43" s="22" t="n">
        <x:f>IF(L43="","",COUNTIFS($C$6:$C$61,C43,$L$6:$L$61,"&lt;="&amp;L43)/COUNTIFS($C$6:$C$61,C43,$L$6:$L$61,"&lt;&gt;"))</x:f>
        <x:v>0.03333333333333333</x:v>
      </x:c>
      <x:c r="AB43" s="22" t="str">
        <x:f>IF(M43="","",COUNTIFS($C$6:$C$61,C43,$M$6:$M$61,"&lt;="&amp;M43)/COUNTIFS($C$6:$C$61,C43,$M$6:$M$61,"&lt;&gt;"))</x:f>
      </x:c>
      <x:c r="AC43" s="22" t="str">
        <x:f>IF(R43="","",COUNTIFS($C$6:$C$61,C43,$R$6:$R$61,"&gt;="&amp;R43)/COUNTIFS($C$6:$C$61,C43,$R$6:$R$61,"&lt;&gt;"))</x:f>
      </x:c>
      <x:c r="AD43" s="49" t="n">
        <x:f>IFERROR((IF(Z43="",0,Z43*'核心假设'!$B$10)+IF(AA43="",0,AA43*'核心假设'!$B$11)+IF(AB43="",0,AB43*'核心假设'!$B$12)+IF(AC43="",0,AC43*'核心假设'!$B$13))/(IF(Z43="",0,'核心假设'!$B$10)+IF(AA43="",0,'核心假设'!$B$11)+IF(AB43="",0,'核心假设'!$B$12)+IF(AC43="",0,'核心假设'!$B$13)),"")</x:f>
        <x:v>0.12424242424242422</x:v>
      </x:c>
      <x:c r="AE43" s="18" t="str">
        <x:f>IF(COUNT(Z43:AC43)&lt;4,"缺失重算",IF(OR(AND(I43="",G43&lt;&gt;""),ISNUMBER(SEARCH("代理",N43))),"代理","完整"))</x:f>
        <x:v>缺失重算</x:v>
      </x:c>
      <x:c r="AF43" s="18" t="n">
        <x:f>IF(C43="一线",1,IF(C43="新一线",2,IF(C43="二线",3,4)))</x:f>
        <x:v>3</x:v>
      </x:c>
      <x:c r="AG43" s="18" t="n">
        <x:f>IF(E43="是",F43,COUNTIF($E$6:$E$61,"是")+1+COUNTIFS($E$6:$E$61,"否",$AF$6:$AF$61,"&lt;"&amp;AF43)+COUNTIFS($E$6:$E$61,"否",$AF$6:$AF$61,AF43,$AD$6:$AD$61,"&gt;"&amp;AD43)+COUNTIFS($E$6:$E$61,"否",$AF$6:$AF$61,AF43,$AD$6:$AD$61,AD43,$D$6:$D$61,"&lt;"&amp;D43))</x:f>
        <x:v>13</x:v>
      </x:c>
    </x:row>
    <x:row r="44">
      <x:c r="A44" t="str">
        <x:v>徐州</x:v>
      </x:c>
      <x:c r="B44" t="str">
        <x:v>江苏</x:v>
      </x:c>
      <x:c r="C44" t="str">
        <x:v>二线</x:v>
      </x:c>
      <x:c r="D44" s="33" t="n">
        <x:v>39</x:v>
      </x:c>
      <x:c r="E44" s="33" t="str">
        <x:v>是</x:v>
      </x:c>
      <x:c r="F44" s="33" t="n">
        <x:v>11</x:v>
      </x:c>
      <x:c r="G44" s="33" t="n">
        <x:v>908.379</x:v>
      </x:c>
      <x:c r="H44" s="33" t="n">
        <x:v>2020</x:v>
      </x:c>
      <x:c r="I44" s="33" t="n">
        <x:v>212.01</x:v>
      </x:c>
      <x:c r="J44" s="33" t="n">
        <x:v>292.98</x:v>
      </x:c>
      <x:c r="K44" s="33" t="n">
        <x:v>2022</x:v>
      </x:c>
      <x:c r="L44" s="47" t="n">
        <x:f>IFERROR(IF(AND(I44&lt;&gt;"",J44&lt;&gt;""),I44/J44,G44/J44),"")</x:f>
        <x:v>0.7236330124923203</x:v>
      </x:c>
      <x:c r="M44" s="33"/>
      <x:c r="N44" s="33"/>
      <x:c r="O44" s="33"/>
      <x:c r="P44" s="33"/>
      <x:c r="Q44" s="33"/>
      <x:c r="R44" s="47" t="n">
        <x:f>IFERROR(P44/G44,"")</x:f>
        <x:v>0</x:v>
      </x:c>
      <x:c r="S44" t="str">
        <x:v>SRC-003</x:v>
      </x:c>
      <x:c r="T44" t="str">
        <x:v>SRC-012</x:v>
      </x:c>
      <x:c r="U44" t="str">
        <x:v>SRC-005</x:v>
      </x:c>
      <x:c r="V44" t="str"/>
      <x:c r="W44" t="str"/>
      <x:c r="X44" t="str">
        <x:v>2026-08-16</x:v>
      </x:c>
      <x:c r="Y44" s="30" t="str">
        <x:v>等级及排名据2025第一财经榜单；2020年七普常住人口；住建部2022年城市建设统计年鉴表2-2第190行列示同一城市口径的城区人口（含表列城区暂住人口）212.01万人、建成区面积292.98平方公里；住房代理公开材料在小区/项目/户数/面积及计划/开工/完工间口径不可比，为保持同列可比性保留空值；未找到可核查的市级公共充电枪数量，未采用省级数值。</x:v>
      </x:c>
      <x:c r="Z44" s="22" t="n">
        <x:f>IF(G44="","",COUNTIFS($C$6:$C$61,C44,$G$6:$G$61,"&lt;="&amp;G44)/COUNTIFS($C$6:$C$61,C44,$G$6:$G$61,"&lt;&gt;"))</x:f>
        <x:v>0.7666666666666667</x:v>
      </x:c>
      <x:c r="AA44" s="22" t="n">
        <x:f>IF(L44="","",COUNTIFS($C$6:$C$61,C44,$L$6:$L$61,"&lt;="&amp;L44)/COUNTIFS($C$6:$C$61,C44,$L$6:$L$61,"&lt;&gt;"))</x:f>
        <x:v>0.16666666666666666</x:v>
      </x:c>
      <x:c r="AB44" s="22" t="str">
        <x:f>IF(M44="","",COUNTIFS($C$6:$C$61,C44,$M$6:$M$61,"&lt;="&amp;M44)/COUNTIFS($C$6:$C$61,C44,$M$6:$M$61,"&lt;&gt;"))</x:f>
      </x:c>
      <x:c r="AC44" s="22" t="str">
        <x:f>IF(R44="","",COUNTIFS($C$6:$C$61,C44,$R$6:$R$61,"&gt;="&amp;R44)/COUNTIFS($C$6:$C$61,C44,$R$6:$R$61,"&lt;&gt;"))</x:f>
      </x:c>
      <x:c r="AD44" s="49" t="n">
        <x:f>IFERROR((IF(Z44="",0,Z44*'核心假设'!$B$10)+IF(AA44="",0,AA44*'核心假设'!$B$11)+IF(AB44="",0,AB44*'核心假设'!$B$12)+IF(AC44="",0,AC44*'核心假设'!$B$13))/(IF(Z44="",0,'核心假设'!$B$10)+IF(AA44="",0,'核心假设'!$B$11)+IF(AB44="",0,'核心假设'!$B$12)+IF(AC44="",0,'核心假设'!$B$13)),"")</x:f>
        <x:v>0.4939393939393939</x:v>
      </x:c>
      <x:c r="AE44" s="18" t="str">
        <x:f>IF(COUNT(Z44:AC44)&lt;4,"缺失重算",IF(OR(AND(I44="",G44&lt;&gt;""),ISNUMBER(SEARCH("代理",N44))),"代理","完整"))</x:f>
        <x:v>缺失重算</x:v>
      </x:c>
      <x:c r="AF44" s="18" t="n">
        <x:f>IF(C44="一线",1,IF(C44="新一线",2,IF(C44="二线",3,4)))</x:f>
        <x:v>3</x:v>
      </x:c>
      <x:c r="AG44" s="18" t="n">
        <x:f>IF(E44="是",F44,COUNTIF($E$6:$E$61,"是")+1+COUNTIFS($E$6:$E$61,"否",$AF$6:$AF$61,"&lt;"&amp;AF44)+COUNTIFS($E$6:$E$61,"否",$AF$6:$AF$61,AF44,$AD$6:$AD$61,"&gt;"&amp;AD44)+COUNTIFS($E$6:$E$61,"否",$AF$6:$AF$61,AF44,$AD$6:$AD$61,AD44,$D$6:$D$61,"&lt;"&amp;D44))</x:f>
        <x:v>11</x:v>
      </x:c>
    </x:row>
    <x:row r="45">
      <x:c r="A45" t="str">
        <x:v>惠州</x:v>
      </x:c>
      <x:c r="B45" t="str">
        <x:v>广东</x:v>
      </x:c>
      <x:c r="C45" t="str">
        <x:v>二线</x:v>
      </x:c>
      <x:c r="D45" s="33" t="n">
        <x:v>40</x:v>
      </x:c>
      <x:c r="E45" s="33" t="str">
        <x:v>否</x:v>
      </x:c>
      <x:c r="F45" s="33"/>
      <x:c r="G45" s="33" t="n">
        <x:v>604.2852</x:v>
      </x:c>
      <x:c r="H45" s="33" t="n">
        <x:v>2020</x:v>
      </x:c>
      <x:c r="I45" s="33" t="n">
        <x:v>262.68</x:v>
      </x:c>
      <x:c r="J45" s="33" t="n">
        <x:v>313.61</x:v>
      </x:c>
      <x:c r="K45" s="33" t="n">
        <x:v>2022</x:v>
      </x:c>
      <x:c r="L45" s="47" t="n">
        <x:f>IFERROR(IF(AND(I45&lt;&gt;"",J45&lt;&gt;""),I45/J45,G45/J45),"")</x:f>
        <x:v>0.8376008418098913</x:v>
      </x:c>
      <x:c r="M45" s="33"/>
      <x:c r="N45" s="33"/>
      <x:c r="O45" s="33"/>
      <x:c r="P45" s="33"/>
      <x:c r="Q45" s="33"/>
      <x:c r="R45" s="47" t="n">
        <x:f>IFERROR(P45/G45,"")</x:f>
        <x:v>0</x:v>
      </x:c>
      <x:c r="S45" t="str">
        <x:v>SRC-003</x:v>
      </x:c>
      <x:c r="T45" t="str">
        <x:v>SRC-007</x:v>
      </x:c>
      <x:c r="U45" t="str">
        <x:v>SRC-005</x:v>
      </x:c>
      <x:c r="V45" t="str"/>
      <x:c r="W45" t="str"/>
      <x:c r="X45" t="str">
        <x:v>2026-08-16</x:v>
      </x:c>
      <x:c r="Y45" s="30" t="str">
        <x:v>等级及排名据2025第一财经榜单；2020年七普常住人口；住建部2022年城市建设统计年鉴表2-2第502行列示同一城市口径的城区人口（含表列城区暂住人口）262.68万人、建成区面积313.61平方公里；住房代理公开材料在小区/项目/户数/面积及计划/开工/完工间口径不可比，为保持同列可比性保留空值；未找到可核查的市级公共充电枪数量，未采用省级数值。</x:v>
      </x:c>
      <x:c r="Z45" s="22" t="n">
        <x:f>IF(G45="","",COUNTIFS($C$6:$C$61,C45,$G$6:$G$61,"&lt;="&amp;G45)/COUNTIFS($C$6:$C$61,C45,$G$6:$G$61,"&lt;&gt;"))</x:f>
        <x:v>0.26666666666666666</x:v>
      </x:c>
      <x:c r="AA45" s="22" t="n">
        <x:f>IF(L45="","",COUNTIFS($C$6:$C$61,C45,$L$6:$L$61,"&lt;="&amp;L45)/COUNTIFS($C$6:$C$61,C45,$L$6:$L$61,"&lt;&gt;"))</x:f>
        <x:v>0.36666666666666664</x:v>
      </x:c>
      <x:c r="AB45" s="22" t="str">
        <x:f>IF(M45="","",COUNTIFS($C$6:$C$61,C45,$M$6:$M$61,"&lt;="&amp;M45)/COUNTIFS($C$6:$C$61,C45,$M$6:$M$61,"&lt;&gt;"))</x:f>
      </x:c>
      <x:c r="AC45" s="22" t="str">
        <x:f>IF(R45="","",COUNTIFS($C$6:$C$61,C45,$R$6:$R$61,"&gt;="&amp;R45)/COUNTIFS($C$6:$C$61,C45,$R$6:$R$61,"&lt;&gt;"))</x:f>
      </x:c>
      <x:c r="AD45" s="49" t="n">
        <x:f>IFERROR((IF(Z45="",0,Z45*'核心假设'!$B$10)+IF(AA45="",0,AA45*'核心假设'!$B$11)+IF(AB45="",0,AB45*'核心假设'!$B$12)+IF(AC45="",0,AC45*'核心假设'!$B$13))/(IF(Z45="",0,'核心假设'!$B$10)+IF(AA45="",0,'核心假设'!$B$11)+IF(AB45="",0,'核心假设'!$B$12)+IF(AC45="",0,'核心假设'!$B$13)),"")</x:f>
        <x:v>0.3121212121212121</x:v>
      </x:c>
      <x:c r="AE45" s="18" t="str">
        <x:f>IF(COUNT(Z45:AC45)&lt;4,"缺失重算",IF(OR(AND(I45="",G45&lt;&gt;""),ISNUMBER(SEARCH("代理",N45))),"代理","完整"))</x:f>
        <x:v>缺失重算</x:v>
      </x:c>
      <x:c r="AF45" s="18" t="n">
        <x:f>IF(C45="一线",1,IF(C45="新一线",2,IF(C45="二线",3,4)))</x:f>
        <x:v>3</x:v>
      </x:c>
      <x:c r="AG45" s="18" t="n">
        <x:f>IF(E45="是",F45,COUNTIF($E$6:$E$61,"是")+1+COUNTIFS($E$6:$E$61,"否",$AF$6:$AF$61,"&lt;"&amp;AF45)+COUNTIFS($E$6:$E$61,"否",$AF$6:$AF$61,AF45,$AD$6:$AD$61,"&gt;"&amp;AD45)+COUNTIFS($E$6:$E$61,"否",$AF$6:$AF$61,AF45,$AD$6:$AD$61,AD45,$D$6:$D$61,"&lt;"&amp;D45))</x:f>
        <x:v>52</x:v>
      </x:c>
    </x:row>
    <x:row r="46">
      <x:c r="A46" t="str">
        <x:v>太原</x:v>
      </x:c>
      <x:c r="B46" t="str">
        <x:v>山西</x:v>
      </x:c>
      <x:c r="C46" t="str">
        <x:v>二线</x:v>
      </x:c>
      <x:c r="D46" s="33" t="n">
        <x:v>41</x:v>
      </x:c>
      <x:c r="E46" s="33" t="str">
        <x:v>否</x:v>
      </x:c>
      <x:c r="F46" s="33"/>
      <x:c r="G46" s="33" t="n">
        <x:v>530.4061</x:v>
      </x:c>
      <x:c r="H46" s="33" t="n">
        <x:v>2020</x:v>
      </x:c>
      <x:c r="I46" s="33" t="n">
        <x:v>405</x:v>
      </x:c>
      <x:c r="J46" s="33" t="n">
        <x:v>360</x:v>
      </x:c>
      <x:c r="K46" s="33" t="n">
        <x:v>2022</x:v>
      </x:c>
      <x:c r="L46" s="47" t="n">
        <x:f>IFERROR(IF(AND(I46&lt;&gt;"",J46&lt;&gt;""),I46/J46,G46/J46),"")</x:f>
        <x:v>1.125</x:v>
      </x:c>
      <x:c r="M46" s="33"/>
      <x:c r="N46" s="33"/>
      <x:c r="O46" s="33"/>
      <x:c r="P46" s="33"/>
      <x:c r="Q46" s="33"/>
      <x:c r="R46" s="47" t="n">
        <x:f>IFERROR(P46/G46,"")</x:f>
        <x:v>0</x:v>
      </x:c>
      <x:c r="S46" t="str">
        <x:v>SRC-003</x:v>
      </x:c>
      <x:c r="T46" t="str">
        <x:v>SRC-028</x:v>
      </x:c>
      <x:c r="U46" t="str">
        <x:v>SRC-005</x:v>
      </x:c>
      <x:c r="V46" t="str"/>
      <x:c r="W46" t="str"/>
      <x:c r="X46" t="str">
        <x:v>2026-08-16</x:v>
      </x:c>
      <x:c r="Y46" s="30" t="str">
        <x:v>等级及排名据2025第一财经榜单；2020年七普常住人口；住建部2022年城市建设统计年鉴表2-2第45行列示同一城市口径的城区人口（含表列城区暂住人口）405万人、建成区面积360平方公里；住房代理公开材料在小区/项目/户数/面积及计划/开工/完工间口径不可比，为保持同列可比性保留空值；未找到可核查的市级公共充电枪数量，未采用省级数值。</x:v>
      </x:c>
      <x:c r="Z46" s="22" t="n">
        <x:f>IF(G46="","",COUNTIFS($C$6:$C$61,C46,$G$6:$G$61,"&lt;="&amp;G46)/COUNTIFS($C$6:$C$61,C46,$G$6:$G$61,"&lt;&gt;"))</x:f>
        <x:v>0.16666666666666666</x:v>
      </x:c>
      <x:c r="AA46" s="22" t="n">
        <x:f>IF(L46="","",COUNTIFS($C$6:$C$61,C46,$L$6:$L$61,"&lt;="&amp;L46)/COUNTIFS($C$6:$C$61,C46,$L$6:$L$61,"&lt;&gt;"))</x:f>
        <x:v>0.9666666666666667</x:v>
      </x:c>
      <x:c r="AB46" s="22" t="str">
        <x:f>IF(M46="","",COUNTIFS($C$6:$C$61,C46,$M$6:$M$61,"&lt;="&amp;M46)/COUNTIFS($C$6:$C$61,C46,$M$6:$M$61,"&lt;&gt;"))</x:f>
      </x:c>
      <x:c r="AC46" s="22" t="str">
        <x:f>IF(R46="","",COUNTIFS($C$6:$C$61,C46,$R$6:$R$61,"&gt;="&amp;R46)/COUNTIFS($C$6:$C$61,C46,$R$6:$R$61,"&lt;&gt;"))</x:f>
      </x:c>
      <x:c r="AD46" s="49" t="n">
        <x:f>IFERROR((IF(Z46="",0,Z46*'核心假设'!$B$10)+IF(AA46="",0,AA46*'核心假设'!$B$11)+IF(AB46="",0,AB46*'核心假设'!$B$12)+IF(AC46="",0,AC46*'核心假设'!$B$13))/(IF(Z46="",0,'核心假设'!$B$10)+IF(AA46="",0,'核心假设'!$B$11)+IF(AB46="",0,'核心假设'!$B$12)+IF(AC46="",0,'核心假设'!$B$13)),"")</x:f>
        <x:v>0.5303030303030303</x:v>
      </x:c>
      <x:c r="AE46" s="18" t="str">
        <x:f>IF(COUNT(Z46:AC46)&lt;4,"缺失重算",IF(OR(AND(I46="",G46&lt;&gt;""),ISNUMBER(SEARCH("代理",N46))),"代理","完整"))</x:f>
        <x:v>缺失重算</x:v>
      </x:c>
      <x:c r="AF46" s="18" t="n">
        <x:f>IF(C46="一线",1,IF(C46="新一线",2,IF(C46="二线",3,4)))</x:f>
        <x:v>3</x:v>
      </x:c>
      <x:c r="AG46" s="18" t="n">
        <x:f>IF(E46="是",F46,COUNTIF($E$6:$E$61,"是")+1+COUNTIFS($E$6:$E$61,"否",$AF$6:$AF$61,"&lt;"&amp;AF46)+COUNTIFS($E$6:$E$61,"否",$AF$6:$AF$61,AF46,$AD$6:$AD$61,"&gt;"&amp;AD46)+COUNTIFS($E$6:$E$61,"否",$AF$6:$AF$61,AF46,$AD$6:$AD$61,AD46,$D$6:$D$61,"&lt;"&amp;D46))</x:f>
        <x:v>46</x:v>
      </x:c>
    </x:row>
    <x:row r="47">
      <x:c r="A47" t="str">
        <x:v>烟台</x:v>
      </x:c>
      <x:c r="B47" t="str">
        <x:v>山东</x:v>
      </x:c>
      <x:c r="C47" t="str">
        <x:v>二线</x:v>
      </x:c>
      <x:c r="D47" s="33" t="n">
        <x:v>42</x:v>
      </x:c>
      <x:c r="E47" s="33" t="str">
        <x:v>否</x:v>
      </x:c>
      <x:c r="F47" s="33"/>
      <x:c r="G47" s="33" t="n">
        <x:v>710.2116</x:v>
      </x:c>
      <x:c r="H47" s="33" t="n">
        <x:v>2020</x:v>
      </x:c>
      <x:c r="I47" s="33" t="n">
        <x:v>253.39</x:v>
      </x:c>
      <x:c r="J47" s="33" t="n">
        <x:v>397.7</x:v>
      </x:c>
      <x:c r="K47" s="33" t="n">
        <x:v>2022</x:v>
      </x:c>
      <x:c r="L47" s="47" t="n">
        <x:f>IFERROR(IF(AND(I47&lt;&gt;"",J47&lt;&gt;""),I47/J47,G47/J47),"")</x:f>
        <x:v>0.6371385466431984</x:v>
      </x:c>
      <x:c r="M47" s="33"/>
      <x:c r="N47" s="33"/>
      <x:c r="O47" s="33"/>
      <x:c r="P47" s="33"/>
      <x:c r="Q47" s="33"/>
      <x:c r="R47" s="47" t="n">
        <x:f>IFERROR(P47/G47,"")</x:f>
        <x:v>0</x:v>
      </x:c>
      <x:c r="S47" t="str">
        <x:v>SRC-003</x:v>
      </x:c>
      <x:c r="T47" t="str">
        <x:v>SRC-018</x:v>
      </x:c>
      <x:c r="U47" t="str">
        <x:v>SRC-005</x:v>
      </x:c>
      <x:c r="V47" t="str"/>
      <x:c r="W47" t="str"/>
      <x:c r="X47" t="str">
        <x:v>2026-08-16</x:v>
      </x:c>
      <x:c r="Y47" s="30" t="str">
        <x:v>等级及排名据2025第一财经榜单；2020年七普常住人口；住建部2022年城市建设统计年鉴表2-2第333行列示同一城市口径的城区人口（含表列城区暂住人口）253.39万人、建成区面积397.7平方公里；住房代理公开材料在小区/项目/户数/面积及计划/开工/完工间口径不可比，为保持同列可比性保留空值；未找到可核查的市级公共充电枪数量，未采用省级数值。</x:v>
      </x:c>
      <x:c r="Z47" s="22" t="n">
        <x:f>IF(G47="","",COUNTIFS($C$6:$C$61,C47,$G$6:$G$61,"&lt;="&amp;G47)/COUNTIFS($C$6:$C$61,C47,$G$6:$G$61,"&lt;&gt;"))</x:f>
        <x:v>0.43333333333333335</x:v>
      </x:c>
      <x:c r="AA47" s="22" t="n">
        <x:f>IF(L47="","",COUNTIFS($C$6:$C$61,C47,$L$6:$L$61,"&lt;="&amp;L47)/COUNTIFS($C$6:$C$61,C47,$L$6:$L$61,"&lt;&gt;"))</x:f>
        <x:v>0.13333333333333333</x:v>
      </x:c>
      <x:c r="AB47" s="22" t="str">
        <x:f>IF(M47="","",COUNTIFS($C$6:$C$61,C47,$M$6:$M$61,"&lt;="&amp;M47)/COUNTIFS($C$6:$C$61,C47,$M$6:$M$61,"&lt;&gt;"))</x:f>
      </x:c>
      <x:c r="AC47" s="22" t="str">
        <x:f>IF(R47="","",COUNTIFS($C$6:$C$61,C47,$R$6:$R$61,"&gt;="&amp;R47)/COUNTIFS($C$6:$C$61,C47,$R$6:$R$61,"&lt;&gt;"))</x:f>
      </x:c>
      <x:c r="AD47" s="49" t="n">
        <x:f>IFERROR((IF(Z47="",0,Z47*'核心假设'!$B$10)+IF(AA47="",0,AA47*'核心假设'!$B$11)+IF(AB47="",0,AB47*'核心假设'!$B$12)+IF(AC47="",0,AC47*'核心假设'!$B$13))/(IF(Z47="",0,'核心假设'!$B$10)+IF(AA47="",0,'核心假设'!$B$11)+IF(AB47="",0,'核心假设'!$B$12)+IF(AC47="",0,'核心假设'!$B$13)),"")</x:f>
        <x:v>0.29696969696969694</x:v>
      </x:c>
      <x:c r="AE47" s="18" t="str">
        <x:f>IF(COUNT(Z47:AC47)&lt;4,"缺失重算",IF(OR(AND(I47="",G47&lt;&gt;""),ISNUMBER(SEARCH("代理",N47))),"代理","完整"))</x:f>
        <x:v>缺失重算</x:v>
      </x:c>
      <x:c r="AF47" s="18" t="n">
        <x:f>IF(C47="一线",1,IF(C47="新一线",2,IF(C47="二线",3,4)))</x:f>
        <x:v>3</x:v>
      </x:c>
      <x:c r="AG47" s="18" t="n">
        <x:f>IF(E47="是",F47,COUNTIF($E$6:$E$61,"是")+1+COUNTIFS($E$6:$E$61,"否",$AF$6:$AF$61,"&lt;"&amp;AF47)+COUNTIFS($E$6:$E$61,"否",$AF$6:$AF$61,AF47,$AD$6:$AD$61,"&gt;"&amp;AD47)+COUNTIFS($E$6:$E$61,"否",$AF$6:$AF$61,AF47,$AD$6:$AD$61,AD47,$D$6:$D$61,"&lt;"&amp;D47))</x:f>
        <x:v>53</x:v>
      </x:c>
    </x:row>
    <x:row r="48">
      <x:c r="A48" t="str">
        <x:v>临沂</x:v>
      </x:c>
      <x:c r="B48" t="str">
        <x:v>山东</x:v>
      </x:c>
      <x:c r="C48" t="str">
        <x:v>二线</x:v>
      </x:c>
      <x:c r="D48" s="33" t="n">
        <x:v>43</x:v>
      </x:c>
      <x:c r="E48" s="33" t="str">
        <x:v>否</x:v>
      </x:c>
      <x:c r="F48" s="33"/>
      <x:c r="G48" s="33" t="n">
        <x:v>1101.8365</x:v>
      </x:c>
      <x:c r="H48" s="33" t="n">
        <x:v>2020</x:v>
      </x:c>
      <x:c r="I48" s="33" t="n">
        <x:v>222.54</x:v>
      </x:c>
      <x:c r="J48" s="33" t="n">
        <x:v>264.85</x:v>
      </x:c>
      <x:c r="K48" s="33" t="n">
        <x:v>2022</x:v>
      </x:c>
      <x:c r="L48" s="47" t="n">
        <x:f>IFERROR(IF(AND(I48&lt;&gt;"",J48&lt;&gt;""),I48/J48,G48/J48),"")</x:f>
        <x:v>0.8402491976590521</x:v>
      </x:c>
      <x:c r="M48" s="33"/>
      <x:c r="N48" s="33"/>
      <x:c r="O48" s="33"/>
      <x:c r="P48" s="33"/>
      <x:c r="Q48" s="33"/>
      <x:c r="R48" s="47" t="n">
        <x:f>IFERROR(P48/G48,"")</x:f>
        <x:v>0</x:v>
      </x:c>
      <x:c r="S48" t="str">
        <x:v>SRC-003</x:v>
      </x:c>
      <x:c r="T48" t="str">
        <x:v>SRC-018</x:v>
      </x:c>
      <x:c r="U48" t="str">
        <x:v>SRC-005</x:v>
      </x:c>
      <x:c r="V48" t="str"/>
      <x:c r="W48" t="str"/>
      <x:c r="X48" t="str">
        <x:v>2026-08-16</x:v>
      </x:c>
      <x:c r="Y48" s="30" t="str">
        <x:v>等级及排名据2025第一财经榜单；2020年七普常住人口；住建部2022年城市建设统计年鉴表2-2第357行列示同一城市口径的城区人口（含表列城区暂住人口）222.54万人、建成区面积264.85平方公里；住房代理公开材料在小区/项目/户数/面积及计划/开工/完工间口径不可比，为保持同列可比性保留空值；未找到可核查的市级公共充电枪数量，未采用省级数值。</x:v>
      </x:c>
      <x:c r="Z48" s="22" t="n">
        <x:f>IF(G48="","",COUNTIFS($C$6:$C$61,C48,$G$6:$G$61,"&lt;="&amp;G48)/COUNTIFS($C$6:$C$61,C48,$G$6:$G$61,"&lt;&gt;"))</x:f>
        <x:v>0.9666666666666667</x:v>
      </x:c>
      <x:c r="AA48" s="22" t="n">
        <x:f>IF(L48="","",COUNTIFS($C$6:$C$61,C48,$L$6:$L$61,"&lt;="&amp;L48)/COUNTIFS($C$6:$C$61,C48,$L$6:$L$61,"&lt;&gt;"))</x:f>
        <x:v>0.4</x:v>
      </x:c>
      <x:c r="AB48" s="22" t="str">
        <x:f>IF(M48="","",COUNTIFS($C$6:$C$61,C48,$M$6:$M$61,"&lt;="&amp;M48)/COUNTIFS($C$6:$C$61,C48,$M$6:$M$61,"&lt;&gt;"))</x:f>
      </x:c>
      <x:c r="AC48" s="22" t="str">
        <x:f>IF(R48="","",COUNTIFS($C$6:$C$61,C48,$R$6:$R$61,"&gt;="&amp;R48)/COUNTIFS($C$6:$C$61,C48,$R$6:$R$61,"&lt;&gt;"))</x:f>
      </x:c>
      <x:c r="AD48" s="49" t="n">
        <x:f>IFERROR((IF(Z48="",0,Z48*'核心假设'!$B$10)+IF(AA48="",0,AA48*'核心假设'!$B$11)+IF(AB48="",0,AB48*'核心假设'!$B$12)+IF(AC48="",0,AC48*'核心假设'!$B$13))/(IF(Z48="",0,'核心假设'!$B$10)+IF(AA48="",0,'核心假设'!$B$11)+IF(AB48="",0,'核心假设'!$B$12)+IF(AC48="",0,'核心假设'!$B$13)),"")</x:f>
        <x:v>0.7090909090909091</x:v>
      </x:c>
      <x:c r="AE48" s="18" t="str">
        <x:f>IF(COUNT(Z48:AC48)&lt;4,"缺失重算",IF(OR(AND(I48="",G48&lt;&gt;""),ISNUMBER(SEARCH("代理",N48))),"代理","完整"))</x:f>
        <x:v>缺失重算</x:v>
      </x:c>
      <x:c r="AF48" s="18" t="n">
        <x:f>IF(C48="一线",1,IF(C48="新一线",2,IF(C48="二线",3,4)))</x:f>
        <x:v>3</x:v>
      </x:c>
      <x:c r="AG48" s="18" t="n">
        <x:f>IF(E48="是",F48,COUNTIF($E$6:$E$61,"是")+1+COUNTIFS($E$6:$E$61,"否",$AF$6:$AF$61,"&lt;"&amp;AF48)+COUNTIFS($E$6:$E$61,"否",$AF$6:$AF$61,AF48,$AD$6:$AD$61,"&gt;"&amp;AD48)+COUNTIFS($E$6:$E$61,"否",$AF$6:$AF$61,AF48,$AD$6:$AD$61,AD48,$D$6:$D$61,"&lt;"&amp;D48))</x:f>
        <x:v>40</x:v>
      </x:c>
    </x:row>
    <x:row r="49">
      <x:c r="A49" t="str">
        <x:v>保定</x:v>
      </x:c>
      <x:c r="B49" t="str">
        <x:v>河北</x:v>
      </x:c>
      <x:c r="C49" t="str">
        <x:v>二线</x:v>
      </x:c>
      <x:c r="D49" s="33" t="n">
        <x:v>44</x:v>
      </x:c>
      <x:c r="E49" s="33" t="str">
        <x:v>否</x:v>
      </x:c>
      <x:c r="F49" s="33"/>
      <x:c r="G49" s="33" t="n">
        <x:v>924.261</x:v>
      </x:c>
      <x:c r="H49" s="33" t="n">
        <x:v>2020</x:v>
      </x:c>
      <x:c r="I49" s="33" t="n">
        <x:v>197.35</x:v>
      </x:c>
      <x:c r="J49" s="33" t="n">
        <x:v>209.78</x:v>
      </x:c>
      <x:c r="K49" s="33" t="n">
        <x:v>2022</x:v>
      </x:c>
      <x:c r="L49" s="47" t="n">
        <x:f>IFERROR(IF(AND(I49&lt;&gt;"",J49&lt;&gt;""),I49/J49,G49/J49),"")</x:f>
        <x:v>0.9407474497092192</x:v>
      </x:c>
      <x:c r="M49" s="33"/>
      <x:c r="N49" s="33"/>
      <x:c r="O49" s="33"/>
      <x:c r="P49" s="33"/>
      <x:c r="Q49" s="33"/>
      <x:c r="R49" s="47" t="n">
        <x:f>IFERROR(P49/G49,"")</x:f>
        <x:v>0</x:v>
      </x:c>
      <x:c r="S49" t="str">
        <x:v>SRC-003</x:v>
      </x:c>
      <x:c r="T49" t="str">
        <x:v>SRC-029</x:v>
      </x:c>
      <x:c r="U49" t="str">
        <x:v>SRC-005</x:v>
      </x:c>
      <x:c r="V49" t="str"/>
      <x:c r="W49" t="str"/>
      <x:c r="X49" t="str">
        <x:v>2026-08-16</x:v>
      </x:c>
      <x:c r="Y49" s="30" t="str">
        <x:v>等级及排名据2025第一财经榜单；2020年七普常住人口；住建部2022年城市建设统计年鉴表2-2第25行列示同一城市口径的城区人口（含表列城区暂住人口）197.35万人、建成区面积209.78平方公里；住房代理公开材料在小区/项目/户数/面积及计划/开工/完工间口径不可比，为保持同列可比性保留空值；未找到可核查的市级公共充电枪数量，未采用省级数值。</x:v>
      </x:c>
      <x:c r="Z49" s="22" t="n">
        <x:f>IF(G49="","",COUNTIFS($C$6:$C$61,C49,$G$6:$G$61,"&lt;="&amp;G49)/COUNTIFS($C$6:$C$61,C49,$G$6:$G$61,"&lt;&gt;"))</x:f>
        <x:v>0.8333333333333334</x:v>
      </x:c>
      <x:c r="AA49" s="22" t="n">
        <x:f>IF(L49="","",COUNTIFS($C$6:$C$61,C49,$L$6:$L$61,"&lt;="&amp;L49)/COUNTIFS($C$6:$C$61,C49,$L$6:$L$61,"&lt;&gt;"))</x:f>
        <x:v>0.6666666666666666</x:v>
      </x:c>
      <x:c r="AB49" s="22" t="str">
        <x:f>IF(M49="","",COUNTIFS($C$6:$C$61,C49,$M$6:$M$61,"&lt;="&amp;M49)/COUNTIFS($C$6:$C$61,C49,$M$6:$M$61,"&lt;&gt;"))</x:f>
      </x:c>
      <x:c r="AC49" s="22" t="str">
        <x:f>IF(R49="","",COUNTIFS($C$6:$C$61,C49,$R$6:$R$61,"&gt;="&amp;R49)/COUNTIFS($C$6:$C$61,C49,$R$6:$R$61,"&lt;&gt;"))</x:f>
      </x:c>
      <x:c r="AD49" s="49" t="n">
        <x:f>IFERROR((IF(Z49="",0,Z49*'核心假设'!$B$10)+IF(AA49="",0,AA49*'核心假设'!$B$11)+IF(AB49="",0,AB49*'核心假设'!$B$12)+IF(AC49="",0,AC49*'核心假设'!$B$13))/(IF(Z49="",0,'核心假设'!$B$10)+IF(AA49="",0,'核心假设'!$B$11)+IF(AB49="",0,'核心假设'!$B$12)+IF(AC49="",0,'核心假设'!$B$13)),"")</x:f>
        <x:v>0.7575757575757575</x:v>
      </x:c>
      <x:c r="AE49" s="18" t="str">
        <x:f>IF(COUNT(Z49:AC49)&lt;4,"缺失重算",IF(OR(AND(I49="",G49&lt;&gt;""),ISNUMBER(SEARCH("代理",N49))),"代理","完整"))</x:f>
        <x:v>缺失重算</x:v>
      </x:c>
      <x:c r="AF49" s="18" t="n">
        <x:f>IF(C49="一线",1,IF(C49="新一线",2,IF(C49="二线",3,4)))</x:f>
        <x:v>3</x:v>
      </x:c>
      <x:c r="AG49" s="18" t="n">
        <x:f>IF(E49="是",F49,COUNTIF($E$6:$E$61,"是")+1+COUNTIFS($E$6:$E$61,"否",$AF$6:$AF$61,"&lt;"&amp;AF49)+COUNTIFS($E$6:$E$61,"否",$AF$6:$AF$61,AF49,$AD$6:$AD$61,"&gt;"&amp;AD49)+COUNTIFS($E$6:$E$61,"否",$AF$6:$AF$61,AF49,$AD$6:$AD$61,AD49,$D$6:$D$61,"&lt;"&amp;D49))</x:f>
        <x:v>39</x:v>
      </x:c>
    </x:row>
    <x:row r="50">
      <x:c r="A50" t="str">
        <x:v>台州</x:v>
      </x:c>
      <x:c r="B50" t="str">
        <x:v>浙江</x:v>
      </x:c>
      <x:c r="C50" t="str">
        <x:v>二线</x:v>
      </x:c>
      <x:c r="D50" s="33" t="n">
        <x:v>45</x:v>
      </x:c>
      <x:c r="E50" s="33" t="str">
        <x:v>是</x:v>
      </x:c>
      <x:c r="F50" s="33" t="n">
        <x:v>21</x:v>
      </x:c>
      <x:c r="G50" s="33" t="n">
        <x:v>662.2888</x:v>
      </x:c>
      <x:c r="H50" s="33" t="n">
        <x:v>2020</x:v>
      </x:c>
      <x:c r="I50" s="33" t="n">
        <x:v>137.36</x:v>
      </x:c>
      <x:c r="J50" s="33" t="n">
        <x:v>159.5</x:v>
      </x:c>
      <x:c r="K50" s="33" t="n">
        <x:v>2022</x:v>
      </x:c>
      <x:c r="L50" s="47" t="n">
        <x:f>IFERROR(IF(AND(I50&lt;&gt;"",J50&lt;&gt;""),I50/J50,G50/J50),"")</x:f>
        <x:v>0.861191222570533</x:v>
      </x:c>
      <x:c r="M50" s="33"/>
      <x:c r="N50" s="33"/>
      <x:c r="O50" s="33"/>
      <x:c r="P50" s="33"/>
      <x:c r="Q50" s="33"/>
      <x:c r="R50" s="47" t="n">
        <x:f>IFERROR(P50/G50,"")</x:f>
        <x:v>0</x:v>
      </x:c>
      <x:c r="S50" t="str">
        <x:v>SRC-003</x:v>
      </x:c>
      <x:c r="T50" t="str">
        <x:v>SRC-009</x:v>
      </x:c>
      <x:c r="U50" t="str">
        <x:v>SRC-005</x:v>
      </x:c>
      <x:c r="V50" t="str"/>
      <x:c r="W50" t="str"/>
      <x:c r="X50" t="str">
        <x:v>2026-08-16</x:v>
      </x:c>
      <x:c r="Y50" s="30" t="str">
        <x:v>等级及排名据2025第一财经榜单；2020年七普常住人口；住建部2022年城市建设统计年鉴表2-2第246行列示同一城市口径的城区人口（含表列城区暂住人口）137.36万人、建成区面积159.5平方公里；住房代理公开材料在小区/项目/户数/面积及计划/开工/完工间口径不可比，为保持同列可比性保留空值；未找到可核查的市级公共充电枪数量，未采用省级数值。</x:v>
      </x:c>
      <x:c r="Z50" s="22" t="n">
        <x:f>IF(G50="","",COUNTIFS($C$6:$C$61,C50,$G$6:$G$61,"&lt;="&amp;G50)/COUNTIFS($C$6:$C$61,C50,$G$6:$G$61,"&lt;&gt;"))</x:f>
        <x:v>0.3333333333333333</x:v>
      </x:c>
      <x:c r="AA50" s="22" t="n">
        <x:f>IF(L50="","",COUNTIFS($C$6:$C$61,C50,$L$6:$L$61,"&lt;="&amp;L50)/COUNTIFS($C$6:$C$61,C50,$L$6:$L$61,"&lt;&gt;"))</x:f>
        <x:v>0.43333333333333335</x:v>
      </x:c>
      <x:c r="AB50" s="22" t="str">
        <x:f>IF(M50="","",COUNTIFS($C$6:$C$61,C50,$M$6:$M$61,"&lt;="&amp;M50)/COUNTIFS($C$6:$C$61,C50,$M$6:$M$61,"&lt;&gt;"))</x:f>
      </x:c>
      <x:c r="AC50" s="22" t="str">
        <x:f>IF(R50="","",COUNTIFS($C$6:$C$61,C50,$R$6:$R$61,"&gt;="&amp;R50)/COUNTIFS($C$6:$C$61,C50,$R$6:$R$61,"&lt;&gt;"))</x:f>
      </x:c>
      <x:c r="AD50" s="49" t="n">
        <x:f>IFERROR((IF(Z50="",0,Z50*'核心假设'!$B$10)+IF(AA50="",0,AA50*'核心假设'!$B$11)+IF(AB50="",0,AB50*'核心假设'!$B$12)+IF(AC50="",0,AC50*'核心假设'!$B$13))/(IF(Z50="",0,'核心假设'!$B$10)+IF(AA50="",0,'核心假设'!$B$11)+IF(AB50="",0,'核心假设'!$B$12)+IF(AC50="",0,'核心假设'!$B$13)),"")</x:f>
        <x:v>0.37878787878787873</x:v>
      </x:c>
      <x:c r="AE50" s="18" t="str">
        <x:f>IF(COUNT(Z50:AC50)&lt;4,"缺失重算",IF(OR(AND(I50="",G50&lt;&gt;""),ISNUMBER(SEARCH("代理",N50))),"代理","完整"))</x:f>
        <x:v>缺失重算</x:v>
      </x:c>
      <x:c r="AF50" s="18" t="n">
        <x:f>IF(C50="一线",1,IF(C50="新一线",2,IF(C50="二线",3,4)))</x:f>
        <x:v>3</x:v>
      </x:c>
      <x:c r="AG50" s="18" t="n">
        <x:f>IF(E50="是",F50,COUNTIF($E$6:$E$61,"是")+1+COUNTIFS($E$6:$E$61,"否",$AF$6:$AF$61,"&lt;"&amp;AF50)+COUNTIFS($E$6:$E$61,"否",$AF$6:$AF$61,AF50,$AD$6:$AD$61,"&gt;"&amp;AD50)+COUNTIFS($E$6:$E$61,"否",$AF$6:$AF$61,AF50,$AD$6:$AD$61,AD50,$D$6:$D$61,"&lt;"&amp;D50))</x:f>
        <x:v>21</x:v>
      </x:c>
    </x:row>
    <x:row r="51">
      <x:c r="A51" t="str">
        <x:v>绍兴</x:v>
      </x:c>
      <x:c r="B51" t="str">
        <x:v>浙江</x:v>
      </x:c>
      <x:c r="C51" t="str">
        <x:v>二线</x:v>
      </x:c>
      <x:c r="D51" s="33" t="n">
        <x:v>46</x:v>
      </x:c>
      <x:c r="E51" s="33" t="str">
        <x:v>是</x:v>
      </x:c>
      <x:c r="F51" s="33" t="n">
        <x:v>22</x:v>
      </x:c>
      <x:c r="G51" s="33" t="n">
        <x:v>527.0977</x:v>
      </x:c>
      <x:c r="H51" s="33" t="n">
        <x:v>2020</x:v>
      </x:c>
      <x:c r="I51" s="33" t="n">
        <x:v>166.37</x:v>
      </x:c>
      <x:c r="J51" s="33" t="n">
        <x:v>266.07</x:v>
      </x:c>
      <x:c r="K51" s="33" t="n">
        <x:v>2022</x:v>
      </x:c>
      <x:c r="L51" s="47" t="n">
        <x:f>IFERROR(IF(AND(I51&lt;&gt;"",J51&lt;&gt;""),I51/J51,G51/J51),"")</x:f>
        <x:v>0.6252865787198858</x:v>
      </x:c>
      <x:c r="M51" s="33"/>
      <x:c r="N51" s="33"/>
      <x:c r="O51" s="33"/>
      <x:c r="P51" s="33"/>
      <x:c r="Q51" s="33"/>
      <x:c r="R51" s="47" t="n">
        <x:f>IFERROR(P51/G51,"")</x:f>
        <x:v>0</x:v>
      </x:c>
      <x:c r="S51" t="str">
        <x:v>SRC-003</x:v>
      </x:c>
      <x:c r="T51" t="str">
        <x:v>SRC-009</x:v>
      </x:c>
      <x:c r="U51" t="str">
        <x:v>SRC-005</x:v>
      </x:c>
      <x:c r="V51" t="str"/>
      <x:c r="W51" t="str"/>
      <x:c r="X51" t="str">
        <x:v>2026-08-16</x:v>
      </x:c>
      <x:c r="Y51" s="30" t="str">
        <x:v>等级及排名据2025第一财经榜单；2020年七普常住人口；住建部2022年城市建设统计年鉴表2-2第235行列示同一城市口径的城区人口（含表列城区暂住人口）166.37万人、建成区面积266.07平方公里；住房代理公开材料在小区/项目/户数/面积及计划/开工/完工间口径不可比，为保持同列可比性保留空值；未找到可核查的市级公共充电枪数量，未采用省级数值。</x:v>
      </x:c>
      <x:c r="Z51" s="22" t="n">
        <x:f>IF(G51="","",COUNTIFS($C$6:$C$61,C51,$G$6:$G$61,"&lt;="&amp;G51)/COUNTIFS($C$6:$C$61,C51,$G$6:$G$61,"&lt;&gt;"))</x:f>
        <x:v>0.1</x:v>
      </x:c>
      <x:c r="AA51" s="22" t="n">
        <x:f>IF(L51="","",COUNTIFS($C$6:$C$61,C51,$L$6:$L$61,"&lt;="&amp;L51)/COUNTIFS($C$6:$C$61,C51,$L$6:$L$61,"&lt;&gt;"))</x:f>
        <x:v>0.1</x:v>
      </x:c>
      <x:c r="AB51" s="22" t="str">
        <x:f>IF(M51="","",COUNTIFS($C$6:$C$61,C51,$M$6:$M$61,"&lt;="&amp;M51)/COUNTIFS($C$6:$C$61,C51,$M$6:$M$61,"&lt;&gt;"))</x:f>
      </x:c>
      <x:c r="AC51" s="22" t="str">
        <x:f>IF(R51="","",COUNTIFS($C$6:$C$61,C51,$R$6:$R$61,"&gt;="&amp;R51)/COUNTIFS($C$6:$C$61,C51,$R$6:$R$61,"&lt;&gt;"))</x:f>
      </x:c>
      <x:c r="AD51" s="49" t="n">
        <x:f>IFERROR((IF(Z51="",0,Z51*'核心假设'!$B$10)+IF(AA51="",0,AA51*'核心假设'!$B$11)+IF(AB51="",0,AB51*'核心假设'!$B$12)+IF(AC51="",0,AC51*'核心假设'!$B$13))/(IF(Z51="",0,'核心假设'!$B$10)+IF(AA51="",0,'核心假设'!$B$11)+IF(AB51="",0,'核心假设'!$B$12)+IF(AC51="",0,'核心假设'!$B$13)),"")</x:f>
        <x:v>0.09999999999999999</x:v>
      </x:c>
      <x:c r="AE51" s="18" t="str">
        <x:f>IF(COUNT(Z51:AC51)&lt;4,"缺失重算",IF(OR(AND(I51="",G51&lt;&gt;""),ISNUMBER(SEARCH("代理",N51))),"代理","完整"))</x:f>
        <x:v>缺失重算</x:v>
      </x:c>
      <x:c r="AF51" s="18" t="n">
        <x:f>IF(C51="一线",1,IF(C51="新一线",2,IF(C51="二线",3,4)))</x:f>
        <x:v>3</x:v>
      </x:c>
      <x:c r="AG51" s="18" t="n">
        <x:f>IF(E51="是",F51,COUNTIF($E$6:$E$61,"是")+1+COUNTIFS($E$6:$E$61,"否",$AF$6:$AF$61,"&lt;"&amp;AF51)+COUNTIFS($E$6:$E$61,"否",$AF$6:$AF$61,AF51,$AD$6:$AD$61,"&gt;"&amp;AD51)+COUNTIFS($E$6:$E$61,"否",$AF$6:$AF$61,AF51,$AD$6:$AD$61,AD51,$D$6:$D$61,"&lt;"&amp;D51))</x:f>
        <x:v>22</x:v>
      </x:c>
    </x:row>
    <x:row r="52">
      <x:c r="A52" t="str">
        <x:v>珠海</x:v>
      </x:c>
      <x:c r="B52" t="str">
        <x:v>广东</x:v>
      </x:c>
      <x:c r="C52" t="str">
        <x:v>二线</x:v>
      </x:c>
      <x:c r="D52" s="33" t="n">
        <x:v>47</x:v>
      </x:c>
      <x:c r="E52" s="33" t="str">
        <x:v>否</x:v>
      </x:c>
      <x:c r="F52" s="33"/>
      <x:c r="G52" s="33" t="n">
        <x:v>243.9585</x:v>
      </x:c>
      <x:c r="H52" s="33" t="n">
        <x:v>2020</x:v>
      </x:c>
      <x:c r="I52" s="33" t="n">
        <x:v>202.49</x:v>
      </x:c>
      <x:c r="J52" s="33" t="n">
        <x:v>152.85</x:v>
      </x:c>
      <x:c r="K52" s="33" t="n">
        <x:v>2022</x:v>
      </x:c>
      <x:c r="L52" s="47" t="n">
        <x:f>IFERROR(IF(AND(I52&lt;&gt;"",J52&lt;&gt;""),I52/J52,G52/J52),"")</x:f>
        <x:v>1.3247628393850182</x:v>
      </x:c>
      <x:c r="M52" s="33"/>
      <x:c r="N52" s="33"/>
      <x:c r="O52" s="33"/>
      <x:c r="P52" s="33"/>
      <x:c r="Q52" s="33"/>
      <x:c r="R52" s="47" t="n">
        <x:f>IFERROR(P52/G52,"")</x:f>
        <x:v>0</x:v>
      </x:c>
      <x:c r="S52" t="str">
        <x:v>SRC-003</x:v>
      </x:c>
      <x:c r="T52" t="str">
        <x:v>SRC-007</x:v>
      </x:c>
      <x:c r="U52" t="str">
        <x:v>SRC-005</x:v>
      </x:c>
      <x:c r="V52" t="str"/>
      <x:c r="W52" t="str"/>
      <x:c r="X52" t="str">
        <x:v>2026-08-16</x:v>
      </x:c>
      <x:c r="Y52" s="30" t="str">
        <x:v>等级及排名据2025第一财经榜单；2020年七普常住人口；住建部2022年城市建设统计年鉴表2-2第484行列示同一城市口径的城区人口（含表列城区暂住人口）202.49万人、建成区面积152.85平方公里；住房代理公开材料在小区/项目/户数/面积及计划/开工/完工间口径不可比，为保持同列可比性保留空值；未找到可核查的市级公共充电枪数量，未采用省级数值。</x:v>
      </x:c>
      <x:c r="Z52" s="22" t="n">
        <x:f>IF(G52="","",COUNTIFS($C$6:$C$61,C52,$G$6:$G$61,"&lt;="&amp;G52)/COUNTIFS($C$6:$C$61,C52,$G$6:$G$61,"&lt;&gt;"))</x:f>
        <x:v>0.03333333333333333</x:v>
      </x:c>
      <x:c r="AA52" s="22" t="n">
        <x:f>IF(L52="","",COUNTIFS($C$6:$C$61,C52,$L$6:$L$61,"&lt;="&amp;L52)/COUNTIFS($C$6:$C$61,C52,$L$6:$L$61,"&lt;&gt;"))</x:f>
        <x:v>1</x:v>
      </x:c>
      <x:c r="AB52" s="22" t="str">
        <x:f>IF(M52="","",COUNTIFS($C$6:$C$61,C52,$M$6:$M$61,"&lt;="&amp;M52)/COUNTIFS($C$6:$C$61,C52,$M$6:$M$61,"&lt;&gt;"))</x:f>
      </x:c>
      <x:c r="AC52" s="22" t="str">
        <x:f>IF(R52="","",COUNTIFS($C$6:$C$61,C52,$R$6:$R$61,"&gt;="&amp;R52)/COUNTIFS($C$6:$C$61,C52,$R$6:$R$61,"&lt;&gt;"))</x:f>
      </x:c>
      <x:c r="AD52" s="49" t="n">
        <x:f>IFERROR((IF(Z52="",0,Z52*'核心假设'!$B$10)+IF(AA52="",0,AA52*'核心假设'!$B$11)+IF(AB52="",0,AB52*'核心假设'!$B$12)+IF(AC52="",0,AC52*'核心假设'!$B$13))/(IF(Z52="",0,'核心假设'!$B$10)+IF(AA52="",0,'核心假设'!$B$11)+IF(AB52="",0,'核心假设'!$B$12)+IF(AC52="",0,'核心假设'!$B$13)),"")</x:f>
        <x:v>0.4727272727272727</x:v>
      </x:c>
      <x:c r="AE52" s="18" t="str">
        <x:f>IF(COUNT(Z52:AC52)&lt;4,"缺失重算",IF(OR(AND(I52="",G52&lt;&gt;""),ISNUMBER(SEARCH("代理",N52))),"代理","完整"))</x:f>
        <x:v>缺失重算</x:v>
      </x:c>
      <x:c r="AF52" s="18" t="n">
        <x:f>IF(C52="一线",1,IF(C52="新一线",2,IF(C52="二线",3,4)))</x:f>
        <x:v>3</x:v>
      </x:c>
      <x:c r="AG52" s="18" t="n">
        <x:f>IF(E52="是",F52,COUNTIF($E$6:$E$61,"是")+1+COUNTIFS($E$6:$E$61,"否",$AF$6:$AF$61,"&lt;"&amp;AF52)+COUNTIFS($E$6:$E$61,"否",$AF$6:$AF$61,AF52,$AD$6:$AD$61,"&gt;"&amp;AD52)+COUNTIFS($E$6:$E$61,"否",$AF$6:$AF$61,AF52,$AD$6:$AD$61,AD52,$D$6:$D$61,"&lt;"&amp;D52))</x:f>
        <x:v>48</x:v>
      </x:c>
    </x:row>
    <x:row r="53">
      <x:c r="A53" t="str">
        <x:v>洛阳</x:v>
      </x:c>
      <x:c r="B53" t="str">
        <x:v>河南</x:v>
      </x:c>
      <x:c r="C53" t="str">
        <x:v>二线</x:v>
      </x:c>
      <x:c r="D53" s="33" t="n">
        <x:v>48</x:v>
      </x:c>
      <x:c r="E53" s="33" t="str">
        <x:v>否</x:v>
      </x:c>
      <x:c r="F53" s="33"/>
      <x:c r="G53" s="33" t="n">
        <x:v>705.6699</x:v>
      </x:c>
      <x:c r="H53" s="33" t="n">
        <x:v>2020</x:v>
      </x:c>
      <x:c r="I53" s="33" t="n">
        <x:v>280.92</x:v>
      </x:c>
      <x:c r="J53" s="33" t="n">
        <x:v>294.57</x:v>
      </x:c>
      <x:c r="K53" s="33" t="n">
        <x:v>2022</x:v>
      </x:c>
      <x:c r="L53" s="47" t="n">
        <x:f>IFERROR(IF(AND(I53&lt;&gt;"",J53&lt;&gt;""),I53/J53,G53/J53),"")</x:f>
        <x:v>0.9536612689683268</x:v>
      </x:c>
      <x:c r="M53" s="33"/>
      <x:c r="N53" s="33"/>
      <x:c r="O53" s="33"/>
      <x:c r="P53" s="33"/>
      <x:c r="Q53" s="33"/>
      <x:c r="R53" s="47" t="n">
        <x:f>IFERROR(P53/G53,"")</x:f>
        <x:v>0</x:v>
      </x:c>
      <x:c r="S53" t="str">
        <x:v>SRC-003</x:v>
      </x:c>
      <x:c r="T53" t="str">
        <x:v>SRC-030</x:v>
      </x:c>
      <x:c r="U53" t="str">
        <x:v>SRC-005</x:v>
      </x:c>
      <x:c r="V53" t="str"/>
      <x:c r="W53" t="str"/>
      <x:c r="X53" t="str">
        <x:v>2026-08-16</x:v>
      </x:c>
      <x:c r="Y53" s="30" t="str">
        <x:v>等级及排名据2025第一财经榜单；2020年七普常住人口；住建部2022年城市建设统计年鉴表2-2第374行列示同一城市口径的城区人口（含表列城区暂住人口）280.92万人、建成区面积294.57平方公里；住房代理公开材料在小区/项目/户数/面积及计划/开工/完工间口径不可比，为保持同列可比性保留空值；未找到可核查的市级公共充电枪数量，未采用省级数值。</x:v>
      </x:c>
      <x:c r="Z53" s="22" t="n">
        <x:f>IF(G53="","",COUNTIFS($C$6:$C$61,C53,$G$6:$G$61,"&lt;="&amp;G53)/COUNTIFS($C$6:$C$61,C53,$G$6:$G$61,"&lt;&gt;"))</x:f>
        <x:v>0.4</x:v>
      </x:c>
      <x:c r="AA53" s="22" t="n">
        <x:f>IF(L53="","",COUNTIFS($C$6:$C$61,C53,$L$6:$L$61,"&lt;="&amp;L53)/COUNTIFS($C$6:$C$61,C53,$L$6:$L$61,"&lt;&gt;"))</x:f>
        <x:v>0.7333333333333333</x:v>
      </x:c>
      <x:c r="AB53" s="22" t="str">
        <x:f>IF(M53="","",COUNTIFS($C$6:$C$61,C53,$M$6:$M$61,"&lt;="&amp;M53)/COUNTIFS($C$6:$C$61,C53,$M$6:$M$61,"&lt;&gt;"))</x:f>
      </x:c>
      <x:c r="AC53" s="22" t="str">
        <x:f>IF(R53="","",COUNTIFS($C$6:$C$61,C53,$R$6:$R$61,"&gt;="&amp;R53)/COUNTIFS($C$6:$C$61,C53,$R$6:$R$61,"&lt;&gt;"))</x:f>
      </x:c>
      <x:c r="AD53" s="49" t="n">
        <x:f>IFERROR((IF(Z53="",0,Z53*'核心假设'!$B$10)+IF(AA53="",0,AA53*'核心假设'!$B$11)+IF(AB53="",0,AB53*'核心假设'!$B$12)+IF(AC53="",0,AC53*'核心假设'!$B$13))/(IF(Z53="",0,'核心假设'!$B$10)+IF(AA53="",0,'核心假设'!$B$11)+IF(AB53="",0,'核心假设'!$B$12)+IF(AC53="",0,'核心假设'!$B$13)),"")</x:f>
        <x:v>0.5515151515151515</x:v>
      </x:c>
      <x:c r="AE53" s="18" t="str">
        <x:f>IF(COUNT(Z53:AC53)&lt;4,"缺失重算",IF(OR(AND(I53="",G53&lt;&gt;""),ISNUMBER(SEARCH("代理",N53))),"代理","完整"))</x:f>
        <x:v>缺失重算</x:v>
      </x:c>
      <x:c r="AF53" s="18" t="n">
        <x:f>IF(C53="一线",1,IF(C53="新一线",2,IF(C53="二线",3,4)))</x:f>
        <x:v>3</x:v>
      </x:c>
      <x:c r="AG53" s="18" t="n">
        <x:f>IF(E53="是",F53,COUNTIF($E$6:$E$61,"是")+1+COUNTIFS($E$6:$E$61,"否",$AF$6:$AF$61,"&lt;"&amp;AF53)+COUNTIFS($E$6:$E$61,"否",$AF$6:$AF$61,AF53,$AD$6:$AD$61,"&gt;"&amp;AD53)+COUNTIFS($E$6:$E$61,"否",$AF$6:$AF$61,AF53,$AD$6:$AD$61,AD53,$D$6:$D$61,"&lt;"&amp;D53))</x:f>
        <x:v>45</x:v>
      </x:c>
    </x:row>
    <x:row r="54">
      <x:c r="A54" t="str">
        <x:v>潍坊</x:v>
      </x:c>
      <x:c r="B54" t="str">
        <x:v>山东</x:v>
      </x:c>
      <x:c r="C54" t="str">
        <x:v>二线</x:v>
      </x:c>
      <x:c r="D54" s="33" t="n">
        <x:v>49</x:v>
      </x:c>
      <x:c r="E54" s="33" t="str">
        <x:v>否</x:v>
      </x:c>
      <x:c r="F54" s="33"/>
      <x:c r="G54" s="33" t="n">
        <x:v>938.6705</x:v>
      </x:c>
      <x:c r="H54" s="33" t="n">
        <x:v>2020</x:v>
      </x:c>
      <x:c r="I54" s="33" t="n">
        <x:v>200.86</x:v>
      </x:c>
      <x:c r="J54" s="33" t="n">
        <x:v>199</x:v>
      </x:c>
      <x:c r="K54" s="33" t="n">
        <x:v>2022</x:v>
      </x:c>
      <x:c r="L54" s="47" t="n">
        <x:f>IFERROR(IF(AND(I54&lt;&gt;"",J54&lt;&gt;""),I54/J54,G54/J54),"")</x:f>
        <x:v>1.0093467336683417</x:v>
      </x:c>
      <x:c r="M54" s="33"/>
      <x:c r="N54" s="33"/>
      <x:c r="O54" s="33"/>
      <x:c r="P54" s="33"/>
      <x:c r="Q54" s="33"/>
      <x:c r="R54" s="47" t="n">
        <x:f>IFERROR(P54/G54,"")</x:f>
        <x:v>0</x:v>
      </x:c>
      <x:c r="S54" t="str">
        <x:v>SRC-003</x:v>
      </x:c>
      <x:c r="T54" t="str">
        <x:v>SRC-018</x:v>
      </x:c>
      <x:c r="U54" t="str">
        <x:v>SRC-005</x:v>
      </x:c>
      <x:c r="V54" t="str"/>
      <x:c r="W54" t="str"/>
      <x:c r="X54" t="str">
        <x:v>2026-08-16</x:v>
      </x:c>
      <x:c r="Y54" s="30" t="str">
        <x:v>等级及排名据2025第一财经榜单；2020年七普常住人口；住建部2022年城市建设统计年鉴表2-2第340行列示同一城市口径的城区人口（含表列城区暂住人口）200.86万人、建成区面积199平方公里；住房代理公开材料在小区/项目/户数/面积及计划/开工/完工间口径不可比，为保持同列可比性保留空值；未找到可核查的市级公共充电枪数量，未采用省级数值。</x:v>
      </x:c>
      <x:c r="Z54" s="22" t="n">
        <x:f>IF(G54="","",COUNTIFS($C$6:$C$61,C54,$G$6:$G$61,"&lt;="&amp;G54)/COUNTIFS($C$6:$C$61,C54,$G$6:$G$61,"&lt;&gt;"))</x:f>
        <x:v>0.8666666666666667</x:v>
      </x:c>
      <x:c r="AA54" s="22" t="n">
        <x:f>IF(L54="","",COUNTIFS($C$6:$C$61,C54,$L$6:$L$61,"&lt;="&amp;L54)/COUNTIFS($C$6:$C$61,C54,$L$6:$L$61,"&lt;&gt;"))</x:f>
        <x:v>0.8666666666666667</x:v>
      </x:c>
      <x:c r="AB54" s="22" t="str">
        <x:f>IF(M54="","",COUNTIFS($C$6:$C$61,C54,$M$6:$M$61,"&lt;="&amp;M54)/COUNTIFS($C$6:$C$61,C54,$M$6:$M$61,"&lt;&gt;"))</x:f>
      </x:c>
      <x:c r="AC54" s="22" t="str">
        <x:f>IF(R54="","",COUNTIFS($C$6:$C$61,C54,$R$6:$R$61,"&gt;="&amp;R54)/COUNTIFS($C$6:$C$61,C54,$R$6:$R$61,"&lt;&gt;"))</x:f>
      </x:c>
      <x:c r="AD54" s="49" t="n">
        <x:f>IFERROR((IF(Z54="",0,Z54*'核心假设'!$B$10)+IF(AA54="",0,AA54*'核心假设'!$B$11)+IF(AB54="",0,AB54*'核心假设'!$B$12)+IF(AC54="",0,AC54*'核心假设'!$B$13))/(IF(Z54="",0,'核心假设'!$B$10)+IF(AA54="",0,'核心假设'!$B$11)+IF(AB54="",0,'核心假设'!$B$12)+IF(AC54="",0,'核心假设'!$B$13)),"")</x:f>
        <x:v>0.8666666666666666</x:v>
      </x:c>
      <x:c r="AE54" s="18" t="str">
        <x:f>IF(COUNT(Z54:AC54)&lt;4,"缺失重算",IF(OR(AND(I54="",G54&lt;&gt;""),ISNUMBER(SEARCH("代理",N54))),"代理","完整"))</x:f>
        <x:v>缺失重算</x:v>
      </x:c>
      <x:c r="AF54" s="18" t="n">
        <x:f>IF(C54="一线",1,IF(C54="新一线",2,IF(C54="二线",3,4)))</x:f>
        <x:v>3</x:v>
      </x:c>
      <x:c r="AG54" s="18" t="n">
        <x:f>IF(E54="是",F54,COUNTIF($E$6:$E$61,"是")+1+COUNTIFS($E$6:$E$61,"否",$AF$6:$AF$61,"&lt;"&amp;AF54)+COUNTIFS($E$6:$E$61,"否",$AF$6:$AF$61,AF54,$AD$6:$AD$61,"&gt;"&amp;AD54)+COUNTIFS($E$6:$E$61,"否",$AF$6:$AF$61,AF54,$AD$6:$AD$61,AD54,$D$6:$D$61,"&lt;"&amp;D54))</x:f>
        <x:v>36</x:v>
      </x:c>
    </x:row>
    <x:row r="55">
      <x:c r="A55" t="str">
        <x:v>海口</x:v>
      </x:c>
      <x:c r="B55" t="str">
        <x:v>海南</x:v>
      </x:c>
      <x:c r="C55" t="str">
        <x:v>三线</x:v>
      </x:c>
      <x:c r="D55" s="33" t="n">
        <x:v>54</x:v>
      </x:c>
      <x:c r="E55" s="33" t="str">
        <x:v>是</x:v>
      </x:c>
      <x:c r="F55" s="33" t="n">
        <x:v>18</x:v>
      </x:c>
      <x:c r="G55" s="33" t="n">
        <x:v>287.3358</x:v>
      </x:c>
      <x:c r="H55" s="33" t="n">
        <x:v>2020</x:v>
      </x:c>
      <x:c r="I55" s="33" t="n">
        <x:v>209.92</x:v>
      </x:c>
      <x:c r="J55" s="33" t="n">
        <x:v>215.8</x:v>
      </x:c>
      <x:c r="K55" s="33" t="n">
        <x:v>2022</x:v>
      </x:c>
      <x:c r="L55" s="47" t="n">
        <x:f>IFERROR(IF(AND(I55&lt;&gt;"",J55&lt;&gt;""),I55/J55,G55/J55),"")</x:f>
        <x:v>0.972752548656163</x:v>
      </x:c>
      <x:c r="M55" s="33"/>
      <x:c r="N55" s="33"/>
      <x:c r="O55" s="33"/>
      <x:c r="P55" s="33"/>
      <x:c r="Q55" s="33"/>
      <x:c r="R55" s="47" t="n">
        <x:f>IFERROR(P55/G55,"")</x:f>
        <x:v>0</x:v>
      </x:c>
      <x:c r="S55" t="str">
        <x:v>SRC-003</x:v>
      </x:c>
      <x:c r="T55" t="str">
        <x:v>SRC-031</x:v>
      </x:c>
      <x:c r="U55" t="str">
        <x:v>SRC-005</x:v>
      </x:c>
      <x:c r="V55" t="str"/>
      <x:c r="W55" t="str"/>
      <x:c r="X55" t="str">
        <x:v>2026-08-16</x:v>
      </x:c>
      <x:c r="Y55" s="30" t="str">
        <x:v>等级及排名据2025第一财经榜单；2020年七普常住人口；住建部2022年城市建设统计年鉴表2-2第546行列示同一城市口径的城区人口（含表列城区暂住人口）209.92万人、建成区面积215.8平方公里；住房代理公开材料在小区/项目/户数/面积及计划/开工/完工间口径不可比，为保持同列可比性保留空值；未找到可核查的市级公共充电枪数量，未采用省级数值。</x:v>
      </x:c>
      <x:c r="Z55" s="22" t="n">
        <x:f>IF(G55="","",COUNTIFS($C$6:$C$61,C55,$G$6:$G$61,"&lt;="&amp;G55)/COUNTIFS($C$6:$C$61,C55,$G$6:$G$61,"&lt;&gt;"))</x:f>
        <x:v>0.2857142857142857</x:v>
      </x:c>
      <x:c r="AA55" s="22" t="n">
        <x:f>IF(L55="","",COUNTIFS($C$6:$C$61,C55,$L$6:$L$61,"&lt;="&amp;L55)/COUNTIFS($C$6:$C$61,C55,$L$6:$L$61,"&lt;&gt;"))</x:f>
        <x:v>1</x:v>
      </x:c>
      <x:c r="AB55" s="22" t="str">
        <x:f>IF(M55="","",COUNTIFS($C$6:$C$61,C55,$M$6:$M$61,"&lt;="&amp;M55)/COUNTIFS($C$6:$C$61,C55,$M$6:$M$61,"&lt;&gt;"))</x:f>
      </x:c>
      <x:c r="AC55" s="22" t="str">
        <x:f>IF(R55="","",COUNTIFS($C$6:$C$61,C55,$R$6:$R$61,"&gt;="&amp;R55)/COUNTIFS($C$6:$C$61,C55,$R$6:$R$61,"&lt;&gt;"))</x:f>
      </x:c>
      <x:c r="AD55" s="49" t="n">
        <x:f>IFERROR((IF(Z55="",0,Z55*'核心假设'!$B$10)+IF(AA55="",0,AA55*'核心假设'!$B$11)+IF(AB55="",0,AB55*'核心假设'!$B$12)+IF(AC55="",0,AC55*'核心假设'!$B$13))/(IF(Z55="",0,'核心假设'!$B$10)+IF(AA55="",0,'核心假设'!$B$11)+IF(AB55="",0,'核心假设'!$B$12)+IF(AC55="",0,'核心假设'!$B$13)),"")</x:f>
        <x:v>0.6103896103896103</x:v>
      </x:c>
      <x:c r="AE55" s="18" t="str">
        <x:f>IF(COUNT(Z55:AC55)&lt;4,"缺失重算",IF(OR(AND(I55="",G55&lt;&gt;""),ISNUMBER(SEARCH("代理",N55))),"代理","完整"))</x:f>
        <x:v>缺失重算</x:v>
      </x:c>
      <x:c r="AF55" s="18" t="n">
        <x:f>IF(C55="一线",1,IF(C55="新一线",2,IF(C55="二线",3,4)))</x:f>
        <x:v>4</x:v>
      </x:c>
      <x:c r="AG55" s="18" t="n">
        <x:f>IF(E55="是",F55,COUNTIF($E$6:$E$61,"是")+1+COUNTIFS($E$6:$E$61,"否",$AF$6:$AF$61,"&lt;"&amp;AF55)+COUNTIFS($E$6:$E$61,"否",$AF$6:$AF$61,AF55,$AD$6:$AD$61,"&gt;"&amp;AD55)+COUNTIFS($E$6:$E$61,"否",$AF$6:$AF$61,AF55,$AD$6:$AD$61,AD55,$D$6:$D$61,"&lt;"&amp;D55))</x:f>
        <x:v>18</x:v>
      </x:c>
    </x:row>
    <x:row r="56">
      <x:c r="A56" t="str">
        <x:v>湖州</x:v>
      </x:c>
      <x:c r="B56" t="str">
        <x:v>浙江</x:v>
      </x:c>
      <x:c r="C56" t="str">
        <x:v>三线</x:v>
      </x:c>
      <x:c r="D56" s="33" t="n">
        <x:v>57</x:v>
      </x:c>
      <x:c r="E56" s="33" t="str">
        <x:v>是</x:v>
      </x:c>
      <x:c r="F56" s="33" t="n">
        <x:v>20</x:v>
      </x:c>
      <x:c r="G56" s="33" t="n">
        <x:v>336.7579</x:v>
      </x:c>
      <x:c r="H56" s="33" t="n">
        <x:v>2020</x:v>
      </x:c>
      <x:c r="I56" s="33" t="n">
        <x:v>99.72</x:v>
      </x:c>
      <x:c r="J56" s="33" t="n">
        <x:v>134.92</x:v>
      </x:c>
      <x:c r="K56" s="33" t="n">
        <x:v>2022</x:v>
      </x:c>
      <x:c r="L56" s="47" t="n">
        <x:f>IFERROR(IF(AND(I56&lt;&gt;"",J56&lt;&gt;""),I56/J56,G56/J56),"")</x:f>
        <x:v>0.7391046546101394</x:v>
      </x:c>
      <x:c r="M56" s="33"/>
      <x:c r="N56" s="33"/>
      <x:c r="O56" s="33"/>
      <x:c r="P56" s="33"/>
      <x:c r="Q56" s="33"/>
      <x:c r="R56" s="47" t="n">
        <x:f>IFERROR(P56/G56,"")</x:f>
        <x:v>0</x:v>
      </x:c>
      <x:c r="S56" t="str">
        <x:v>SRC-003</x:v>
      </x:c>
      <x:c r="T56" t="str">
        <x:v>SRC-009</x:v>
      </x:c>
      <x:c r="U56" t="str">
        <x:v>SRC-005</x:v>
      </x:c>
      <x:c r="V56" t="str"/>
      <x:c r="W56" t="str"/>
      <x:c r="X56" t="str">
        <x:v>2026-08-16</x:v>
      </x:c>
      <x:c r="Y56" s="30" t="str">
        <x:v>等级及排名据2025第一财经榜单；2020年七普常住人口；住建部2022年城市建设统计年鉴表2-2第234行列示同一城市口径的城区人口（含表列城区暂住人口）99.72万人、建成区面积134.92平方公里；住房代理公开材料在小区/项目/户数/面积及计划/开工/完工间口径不可比，为保持同列可比性保留空值；未找到可核查的市级公共充电枪数量，未采用省级数值。</x:v>
      </x:c>
      <x:c r="Z56" s="22" t="n">
        <x:f>IF(G56="","",COUNTIFS($C$6:$C$61,C56,$G$6:$G$61,"&lt;="&amp;G56)/COUNTIFS($C$6:$C$61,C56,$G$6:$G$61,"&lt;&gt;"))</x:f>
        <x:v>0.5714285714285714</x:v>
      </x:c>
      <x:c r="AA56" s="22" t="n">
        <x:f>IF(L56="","",COUNTIFS($C$6:$C$61,C56,$L$6:$L$61,"&lt;="&amp;L56)/COUNTIFS($C$6:$C$61,C56,$L$6:$L$61,"&lt;&gt;"))</x:f>
        <x:v>0.42857142857142855</x:v>
      </x:c>
      <x:c r="AB56" s="22" t="str">
        <x:f>IF(M56="","",COUNTIFS($C$6:$C$61,C56,$M$6:$M$61,"&lt;="&amp;M56)/COUNTIFS($C$6:$C$61,C56,$M$6:$M$61,"&lt;&gt;"))</x:f>
      </x:c>
      <x:c r="AC56" s="22" t="str">
        <x:f>IF(R56="","",COUNTIFS($C$6:$C$61,C56,$R$6:$R$61,"&gt;="&amp;R56)/COUNTIFS($C$6:$C$61,C56,$R$6:$R$61,"&lt;&gt;"))</x:f>
      </x:c>
      <x:c r="AD56" s="49" t="n">
        <x:f>IFERROR((IF(Z56="",0,Z56*'核心假设'!$B$10)+IF(AA56="",0,AA56*'核心假设'!$B$11)+IF(AB56="",0,AB56*'核心假设'!$B$12)+IF(AC56="",0,AC56*'核心假设'!$B$13))/(IF(Z56="",0,'核心假设'!$B$10)+IF(AA56="",0,'核心假设'!$B$11)+IF(AB56="",0,'核心假设'!$B$12)+IF(AC56="",0,'核心假设'!$B$13)),"")</x:f>
        <x:v>0.5064935064935063</x:v>
      </x:c>
      <x:c r="AE56" s="18" t="str">
        <x:f>IF(COUNT(Z56:AC56)&lt;4,"缺失重算",IF(OR(AND(I56="",G56&lt;&gt;""),ISNUMBER(SEARCH("代理",N56))),"代理","完整"))</x:f>
        <x:v>缺失重算</x:v>
      </x:c>
      <x:c r="AF56" s="18" t="n">
        <x:f>IF(C56="一线",1,IF(C56="新一线",2,IF(C56="二线",3,4)))</x:f>
        <x:v>4</x:v>
      </x:c>
      <x:c r="AG56" s="18" t="n">
        <x:f>IF(E56="是",F56,COUNTIF($E$6:$E$61,"是")+1+COUNTIFS($E$6:$E$61,"否",$AF$6:$AF$61,"&lt;"&amp;AF56)+COUNTIFS($E$6:$E$61,"否",$AF$6:$AF$61,AF56,$AD$6:$AD$61,"&gt;"&amp;AD56)+COUNTIFS($E$6:$E$61,"否",$AF$6:$AF$61,AF56,$AD$6:$AD$61,AD56,$D$6:$D$61,"&lt;"&amp;D56))</x:f>
        <x:v>20</x:v>
      </x:c>
    </x:row>
    <x:row r="57">
      <x:c r="A57" t="str">
        <x:v>芜湖</x:v>
      </x:c>
      <x:c r="B57" t="str">
        <x:v>安徽</x:v>
      </x:c>
      <x:c r="C57" t="str">
        <x:v>三线</x:v>
      </x:c>
      <x:c r="D57" s="33" t="n">
        <x:v>62</x:v>
      </x:c>
      <x:c r="E57" s="33" t="str">
        <x:v>是</x:v>
      </x:c>
      <x:c r="F57" s="33" t="n">
        <x:v>3</x:v>
      </x:c>
      <x:c r="G57" s="33" t="n">
        <x:v>364.442</x:v>
      </x:c>
      <x:c r="H57" s="33" t="n">
        <x:v>2020</x:v>
      </x:c>
      <x:c r="I57" s="33" t="n">
        <x:v>189.68</x:v>
      </x:c>
      <x:c r="J57" s="33" t="n">
        <x:v>265.08</x:v>
      </x:c>
      <x:c r="K57" s="33" t="n">
        <x:v>2022</x:v>
      </x:c>
      <x:c r="L57" s="47" t="n">
        <x:f>IFERROR(IF(AND(I57&lt;&gt;"",J57&lt;&gt;""),I57/J57,G57/J57),"")</x:f>
        <x:v>0.7155575675267845</x:v>
      </x:c>
      <x:c r="M57" s="33"/>
      <x:c r="N57" s="33"/>
      <x:c r="O57" s="33"/>
      <x:c r="P57" s="33"/>
      <x:c r="Q57" s="33"/>
      <x:c r="R57" s="47" t="n">
        <x:f>IFERROR(P57/G57,"")</x:f>
        <x:v>0</x:v>
      </x:c>
      <x:c r="S57" t="str">
        <x:v>SRC-003</x:v>
      </x:c>
      <x:c r="T57" t="str">
        <x:v>SRC-032</x:v>
      </x:c>
      <x:c r="U57" t="str">
        <x:v>SRC-005</x:v>
      </x:c>
      <x:c r="V57" t="str"/>
      <x:c r="W57" t="str"/>
      <x:c r="X57" t="str">
        <x:v>2026-08-16</x:v>
      </x:c>
      <x:c r="Y57" s="30" t="str">
        <x:v>等级及排名据2025第一财经榜单；2020年七普常住人口；住建部2022年城市建设统计年鉴表2-2第255行列示同一城市口径的城区人口（含表列城区暂住人口）189.68万人、建成区面积265.08平方公里；住房代理公开材料在小区/项目/户数/面积及计划/开工/完工间口径不可比，为保持同列可比性保留空值；未找到可核查的市级公共充电枪数量，未采用省级数值。</x:v>
      </x:c>
      <x:c r="Z57" s="22" t="n">
        <x:f>IF(G57="","",COUNTIFS($C$6:$C$61,C57,$G$6:$G$61,"&lt;="&amp;G57)/COUNTIFS($C$6:$C$61,C57,$G$6:$G$61,"&lt;&gt;"))</x:f>
        <x:v>0.7142857142857143</x:v>
      </x:c>
      <x:c r="AA57" s="22" t="n">
        <x:f>IF(L57="","",COUNTIFS($C$6:$C$61,C57,$L$6:$L$61,"&lt;="&amp;L57)/COUNTIFS($C$6:$C$61,C57,$L$6:$L$61,"&lt;&gt;"))</x:f>
        <x:v>0.2857142857142857</x:v>
      </x:c>
      <x:c r="AB57" s="22" t="str">
        <x:f>IF(M57="","",COUNTIFS($C$6:$C$61,C57,$M$6:$M$61,"&lt;="&amp;M57)/COUNTIFS($C$6:$C$61,C57,$M$6:$M$61,"&lt;&gt;"))</x:f>
      </x:c>
      <x:c r="AC57" s="22" t="str">
        <x:f>IF(R57="","",COUNTIFS($C$6:$C$61,C57,$R$6:$R$61,"&gt;="&amp;R57)/COUNTIFS($C$6:$C$61,C57,$R$6:$R$61,"&lt;&gt;"))</x:f>
      </x:c>
      <x:c r="AD57" s="49" t="n">
        <x:f>IFERROR((IF(Z57="",0,Z57*'核心假设'!$B$10)+IF(AA57="",0,AA57*'核心假设'!$B$11)+IF(AB57="",0,AB57*'核心假设'!$B$12)+IF(AC57="",0,AC57*'核心假设'!$B$13))/(IF(Z57="",0,'核心假设'!$B$10)+IF(AA57="",0,'核心假设'!$B$11)+IF(AB57="",0,'核心假设'!$B$12)+IF(AC57="",0,'核心假设'!$B$13)),"")</x:f>
        <x:v>0.5194805194805194</x:v>
      </x:c>
      <x:c r="AE57" s="18" t="str">
        <x:f>IF(COUNT(Z57:AC57)&lt;4,"缺失重算",IF(OR(AND(I57="",G57&lt;&gt;""),ISNUMBER(SEARCH("代理",N57))),"代理","完整"))</x:f>
        <x:v>缺失重算</x:v>
      </x:c>
      <x:c r="AF57" s="18" t="n">
        <x:f>IF(C57="一线",1,IF(C57="新一线",2,IF(C57="二线",3,4)))</x:f>
        <x:v>4</x:v>
      </x:c>
      <x:c r="AG57" s="18" t="n">
        <x:f>IF(E57="是",F57,COUNTIF($E$6:$E$61,"是")+1+COUNTIFS($E$6:$E$61,"否",$AF$6:$AF$61,"&lt;"&amp;AF57)+COUNTIFS($E$6:$E$61,"否",$AF$6:$AF$61,AF57,$AD$6:$AD$61,"&gt;"&amp;AD57)+COUNTIFS($E$6:$E$61,"否",$AF$6:$AF$61,AF57,$AD$6:$AD$61,AD57,$D$6:$D$61,"&lt;"&amp;D57))</x:f>
        <x:v>3</x:v>
      </x:c>
    </x:row>
    <x:row r="58">
      <x:c r="A58" t="str">
        <x:v>阜阳</x:v>
      </x:c>
      <x:c r="B58" t="str">
        <x:v>安徽</x:v>
      </x:c>
      <x:c r="C58" t="str">
        <x:v>三线</x:v>
      </x:c>
      <x:c r="D58" s="33" t="n">
        <x:v>63</x:v>
      </x:c>
      <x:c r="E58" s="33" t="str">
        <x:v>是</x:v>
      </x:c>
      <x:c r="F58" s="33" t="n">
        <x:v>4</x:v>
      </x:c>
      <x:c r="G58" s="33" t="n">
        <x:v>820.0264</x:v>
      </x:c>
      <x:c r="H58" s="33" t="n">
        <x:v>2020</x:v>
      </x:c>
      <x:c r="I58" s="33" t="n">
        <x:v>107.65</x:v>
      </x:c>
      <x:c r="J58" s="33" t="n">
        <x:v>156.36</x:v>
      </x:c>
      <x:c r="K58" s="33" t="n">
        <x:v>2022</x:v>
      </x:c>
      <x:c r="L58" s="47" t="n">
        <x:f>IFERROR(IF(AND(I58&lt;&gt;"",J58&lt;&gt;""),I58/J58,G58/J58),"")</x:f>
        <x:v>0.6884753133793808</x:v>
      </x:c>
      <x:c r="M58" s="33"/>
      <x:c r="N58" s="33"/>
      <x:c r="O58" s="33"/>
      <x:c r="P58" s="33"/>
      <x:c r="Q58" s="33"/>
      <x:c r="R58" s="47" t="n">
        <x:f>IFERROR(P58/G58,"")</x:f>
        <x:v>0</x:v>
      </x:c>
      <x:c r="S58" t="str">
        <x:v>SRC-003</x:v>
      </x:c>
      <x:c r="T58" t="str">
        <x:v>SRC-017</x:v>
      </x:c>
      <x:c r="U58" t="str">
        <x:v>SRC-005</x:v>
      </x:c>
      <x:c r="V58" t="str"/>
      <x:c r="W58" t="str"/>
      <x:c r="X58" t="str">
        <x:v>2026-08-16</x:v>
      </x:c>
      <x:c r="Y58" s="30" t="str">
        <x:v>等级及排名据2025第一财经榜单；2020年七普常住人口；住建部2022年城市建设统计年鉴表2-2第269行列示同一城市口径的城区人口（含表列城区暂住人口）107.65万人、建成区面积156.36平方公里；住房代理公开材料在小区/项目/户数/面积及计划/开工/完工间口径不可比，为保持同列可比性保留空值；未找到可核查的市级公共充电枪数量，未采用省级数值。</x:v>
      </x:c>
      <x:c r="Z58" s="22" t="n">
        <x:f>IF(G58="","",COUNTIFS($C$6:$C$61,C58,$G$6:$G$61,"&lt;="&amp;G58)/COUNTIFS($C$6:$C$61,C58,$G$6:$G$61,"&lt;&gt;"))</x:f>
        <x:v>1</x:v>
      </x:c>
      <x:c r="AA58" s="22" t="n">
        <x:f>IF(L58="","",COUNTIFS($C$6:$C$61,C58,$L$6:$L$61,"&lt;="&amp;L58)/COUNTIFS($C$6:$C$61,C58,$L$6:$L$61,"&lt;&gt;"))</x:f>
        <x:v>0.14285714285714285</x:v>
      </x:c>
      <x:c r="AB58" s="22" t="str">
        <x:f>IF(M58="","",COUNTIFS($C$6:$C$61,C58,$M$6:$M$61,"&lt;="&amp;M58)/COUNTIFS($C$6:$C$61,C58,$M$6:$M$61,"&lt;&gt;"))</x:f>
      </x:c>
      <x:c r="AC58" s="22" t="str">
        <x:f>IF(R58="","",COUNTIFS($C$6:$C$61,C58,$R$6:$R$61,"&gt;="&amp;R58)/COUNTIFS($C$6:$C$61,C58,$R$6:$R$61,"&lt;&gt;"))</x:f>
      </x:c>
      <x:c r="AD58" s="49" t="n">
        <x:f>IFERROR((IF(Z58="",0,Z58*'核心假设'!$B$10)+IF(AA58="",0,AA58*'核心假设'!$B$11)+IF(AB58="",0,AB58*'核心假设'!$B$12)+IF(AC58="",0,AC58*'核心假设'!$B$13))/(IF(Z58="",0,'核心假设'!$B$10)+IF(AA58="",0,'核心假设'!$B$11)+IF(AB58="",0,'核心假设'!$B$12)+IF(AC58="",0,'核心假设'!$B$13)),"")</x:f>
        <x:v>0.6103896103896103</x:v>
      </x:c>
      <x:c r="AE58" s="18" t="str">
        <x:f>IF(COUNT(Z58:AC58)&lt;4,"缺失重算",IF(OR(AND(I58="",G58&lt;&gt;""),ISNUMBER(SEARCH("代理",N58))),"代理","完整"))</x:f>
        <x:v>缺失重算</x:v>
      </x:c>
      <x:c r="AF58" s="18" t="n">
        <x:f>IF(C58="一线",1,IF(C58="新一线",2,IF(C58="二线",3,4)))</x:f>
        <x:v>4</x:v>
      </x:c>
      <x:c r="AG58" s="18" t="n">
        <x:f>IF(E58="是",F58,COUNTIF($E$6:$E$61,"是")+1+COUNTIFS($E$6:$E$61,"否",$AF$6:$AF$61,"&lt;"&amp;AF58)+COUNTIFS($E$6:$E$61,"否",$AF$6:$AF$61,AF58,$AD$6:$AD$61,"&gt;"&amp;AD58)+COUNTIFS($E$6:$E$61,"否",$AF$6:$AF$61,AF58,$AD$6:$AD$61,AD58,$D$6:$D$61,"&lt;"&amp;D58))</x:f>
        <x:v>4</x:v>
      </x:c>
    </x:row>
    <x:row r="59">
      <x:c r="A59" t="str">
        <x:v>宿迁</x:v>
      </x:c>
      <x:c r="B59" t="str">
        <x:v>江苏</x:v>
      </x:c>
      <x:c r="C59" t="str">
        <x:v>三线</x:v>
      </x:c>
      <x:c r="D59" s="33" t="n">
        <x:v>83</x:v>
      </x:c>
      <x:c r="E59" s="33" t="str">
        <x:v>是</x:v>
      </x:c>
      <x:c r="F59" s="33" t="n">
        <x:v>9</x:v>
      </x:c>
      <x:c r="G59" s="33" t="n">
        <x:v>498.6192</x:v>
      </x:c>
      <x:c r="H59" s="33" t="n">
        <x:v>2020</x:v>
      </x:c>
      <x:c r="I59" s="33" t="n">
        <x:v>109.5</x:v>
      </x:c>
      <x:c r="J59" s="33" t="n">
        <x:v>122.75</x:v>
      </x:c>
      <x:c r="K59" s="33" t="n">
        <x:v>2022</x:v>
      </x:c>
      <x:c r="L59" s="47" t="n">
        <x:f>IFERROR(IF(AND(I59&lt;&gt;"",J59&lt;&gt;""),I59/J59,G59/J59),"")</x:f>
        <x:v>0.8920570264765784</x:v>
      </x:c>
      <x:c r="M59" s="33"/>
      <x:c r="N59" s="33"/>
      <x:c r="O59" s="33"/>
      <x:c r="P59" s="33"/>
      <x:c r="Q59" s="33"/>
      <x:c r="R59" s="47" t="n">
        <x:f>IFERROR(P59/G59,"")</x:f>
        <x:v>0</x:v>
      </x:c>
      <x:c r="S59" t="str">
        <x:v>SRC-003</x:v>
      </x:c>
      <x:c r="T59" t="str">
        <x:v>SRC-012</x:v>
      </x:c>
      <x:c r="U59" t="str">
        <x:v>SRC-005</x:v>
      </x:c>
      <x:c r="V59" t="str"/>
      <x:c r="W59" t="str"/>
      <x:c r="X59" t="str">
        <x:v>2026-08-16</x:v>
      </x:c>
      <x:c r="Y59" s="30" t="str">
        <x:v>等级及排名据2025第一财经榜单；2020年七普常住人口；住建部2022年城市建设统计年鉴表2-2第219行列示同一城市口径的城区人口（含表列城区暂住人口）109.5万人、建成区面积122.75平方公里；住房代理公开材料在小区/项目/户数/面积及计划/开工/完工间口径不可比，为保持同列可比性保留空值；未找到可核查的市级公共充电枪数量，未采用省级数值。</x:v>
      </x:c>
      <x:c r="Z59" s="22" t="n">
        <x:f>IF(G59="","",COUNTIFS($C$6:$C$61,C59,$G$6:$G$61,"&lt;="&amp;G59)/COUNTIFS($C$6:$C$61,C59,$G$6:$G$61,"&lt;&gt;"))</x:f>
        <x:v>0.8571428571428571</x:v>
      </x:c>
      <x:c r="AA59" s="22" t="n">
        <x:f>IF(L59="","",COUNTIFS($C$6:$C$61,C59,$L$6:$L$61,"&lt;="&amp;L59)/COUNTIFS($C$6:$C$61,C59,$L$6:$L$61,"&lt;&gt;"))</x:f>
        <x:v>0.7142857142857143</x:v>
      </x:c>
      <x:c r="AB59" s="22" t="str">
        <x:f>IF(M59="","",COUNTIFS($C$6:$C$61,C59,$M$6:$M$61,"&lt;="&amp;M59)/COUNTIFS($C$6:$C$61,C59,$M$6:$M$61,"&lt;&gt;"))</x:f>
      </x:c>
      <x:c r="AC59" s="22" t="str">
        <x:f>IF(R59="","",COUNTIFS($C$6:$C$61,C59,$R$6:$R$61,"&gt;="&amp;R59)/COUNTIFS($C$6:$C$61,C59,$R$6:$R$61,"&lt;&gt;"))</x:f>
      </x:c>
      <x:c r="AD59" s="49" t="n">
        <x:f>IFERROR((IF(Z59="",0,Z59*'核心假设'!$B$10)+IF(AA59="",0,AA59*'核心假设'!$B$11)+IF(AB59="",0,AB59*'核心假设'!$B$12)+IF(AC59="",0,AC59*'核心假设'!$B$13))/(IF(Z59="",0,'核心假设'!$B$10)+IF(AA59="",0,'核心假设'!$B$11)+IF(AB59="",0,'核心假设'!$B$12)+IF(AC59="",0,'核心假设'!$B$13)),"")</x:f>
        <x:v>0.7922077922077921</x:v>
      </x:c>
      <x:c r="AE59" s="18" t="str">
        <x:f>IF(COUNT(Z59:AC59)&lt;4,"缺失重算",IF(OR(AND(I59="",G59&lt;&gt;""),ISNUMBER(SEARCH("代理",N59))),"代理","完整"))</x:f>
        <x:v>缺失重算</x:v>
      </x:c>
      <x:c r="AF59" s="18" t="n">
        <x:f>IF(C59="一线",1,IF(C59="新一线",2,IF(C59="二线",3,4)))</x:f>
        <x:v>4</x:v>
      </x:c>
      <x:c r="AG59" s="18" t="n">
        <x:f>IF(E59="是",F59,COUNTIF($E$6:$E$61,"是")+1+COUNTIFS($E$6:$E$61,"否",$AF$6:$AF$61,"&lt;"&amp;AF59)+COUNTIFS($E$6:$E$61,"否",$AF$6:$AF$61,AF59,$AD$6:$AD$61,"&gt;"&amp;AD59)+COUNTIFS($E$6:$E$61,"否",$AF$6:$AF$61,AF59,$AD$6:$AD$61,AD59,$D$6:$D$61,"&lt;"&amp;D59))</x:f>
        <x:v>9</x:v>
      </x:c>
    </x:row>
    <x:row r="60">
      <x:c r="A60" t="str">
        <x:v>三亚</x:v>
      </x:c>
      <x:c r="B60" t="str">
        <x:v>海南</x:v>
      </x:c>
      <x:c r="C60" t="str">
        <x:v>三线</x:v>
      </x:c>
      <x:c r="D60" s="33" t="n">
        <x:v>94</x:v>
      </x:c>
      <x:c r="E60" s="33" t="str">
        <x:v>是</x:v>
      </x:c>
      <x:c r="F60" s="33" t="n">
        <x:v>19</x:v>
      </x:c>
      <x:c r="G60" s="33" t="n">
        <x:v>103.1396</x:v>
      </x:c>
      <x:c r="H60" s="33" t="n">
        <x:v>2020</x:v>
      </x:c>
      <x:c r="I60" s="33" t="n">
        <x:v>56</x:v>
      </x:c>
      <x:c r="J60" s="33" t="n">
        <x:v>59.1</x:v>
      </x:c>
      <x:c r="K60" s="33" t="n">
        <x:v>2022</x:v>
      </x:c>
      <x:c r="L60" s="47" t="n">
        <x:f>IFERROR(IF(AND(I60&lt;&gt;"",J60&lt;&gt;""),I60/J60,G60/J60),"")</x:f>
        <x:v>0.9475465313028765</x:v>
      </x:c>
      <x:c r="M60" s="33"/>
      <x:c r="N60" s="33"/>
      <x:c r="O60" s="33"/>
      <x:c r="P60" s="33"/>
      <x:c r="Q60" s="33"/>
      <x:c r="R60" s="47" t="n">
        <x:f>IFERROR(P60/G60,"")</x:f>
        <x:v>0</x:v>
      </x:c>
      <x:c r="S60" t="str">
        <x:v>SRC-003</x:v>
      </x:c>
      <x:c r="T60" t="str">
        <x:v>SRC-033</x:v>
      </x:c>
      <x:c r="U60" t="str">
        <x:v>SRC-005</x:v>
      </x:c>
      <x:c r="V60" t="str"/>
      <x:c r="W60" t="str"/>
      <x:c r="X60" t="str">
        <x:v>2026-08-16</x:v>
      </x:c>
      <x:c r="Y60" s="30" t="str">
        <x:v>等级及排名据2025第一财经榜单；2020年七普常住人口；住建部2022年城市建设统计年鉴表2-2第547行列示同一城市口径的城区人口（含表列城区暂住人口）56万人、建成区面积59.1平方公里；住房代理公开材料在小区/项目/户数/面积及计划/开工/完工间口径不可比，为保持同列可比性保留空值；未找到可核查的市级公共充电枪数量，未采用省级数值。</x:v>
      </x:c>
      <x:c r="Z60" s="22" t="n">
        <x:f>IF(G60="","",COUNTIFS($C$6:$C$61,C60,$G$6:$G$61,"&lt;="&amp;G60)/COUNTIFS($C$6:$C$61,C60,$G$6:$G$61,"&lt;&gt;"))</x:f>
        <x:v>0.14285714285714285</x:v>
      </x:c>
      <x:c r="AA60" s="22" t="n">
        <x:f>IF(L60="","",COUNTIFS($C$6:$C$61,C60,$L$6:$L$61,"&lt;="&amp;L60)/COUNTIFS($C$6:$C$61,C60,$L$6:$L$61,"&lt;&gt;"))</x:f>
        <x:v>0.8571428571428571</x:v>
      </x:c>
      <x:c r="AB60" s="22" t="str">
        <x:f>IF(M60="","",COUNTIFS($C$6:$C$61,C60,$M$6:$M$61,"&lt;="&amp;M60)/COUNTIFS($C$6:$C$61,C60,$M$6:$M$61,"&lt;&gt;"))</x:f>
      </x:c>
      <x:c r="AC60" s="22" t="str">
        <x:f>IF(R60="","",COUNTIFS($C$6:$C$61,C60,$R$6:$R$61,"&gt;="&amp;R60)/COUNTIFS($C$6:$C$61,C60,$R$6:$R$61,"&lt;&gt;"))</x:f>
      </x:c>
      <x:c r="AD60" s="49" t="n">
        <x:f>IFERROR((IF(Z60="",0,Z60*'核心假设'!$B$10)+IF(AA60="",0,AA60*'核心假设'!$B$11)+IF(AB60="",0,AB60*'核心假设'!$B$12)+IF(AC60="",0,AC60*'核心假设'!$B$13))/(IF(Z60="",0,'核心假设'!$B$10)+IF(AA60="",0,'核心假设'!$B$11)+IF(AB60="",0,'核心假设'!$B$12)+IF(AC60="",0,'核心假设'!$B$13)),"")</x:f>
        <x:v>0.46753246753246747</x:v>
      </x:c>
      <x:c r="AE60" s="18" t="str">
        <x:f>IF(COUNT(Z60:AC60)&lt;4,"缺失重算",IF(OR(AND(I60="",G60&lt;&gt;""),ISNUMBER(SEARCH("代理",N60))),"代理","完整"))</x:f>
        <x:v>缺失重算</x:v>
      </x:c>
      <x:c r="AF60" s="18" t="n">
        <x:f>IF(C60="一线",1,IF(C60="新一线",2,IF(C60="二线",3,4)))</x:f>
        <x:v>4</x:v>
      </x:c>
      <x:c r="AG60" s="18" t="n">
        <x:f>IF(E60="是",F60,COUNTIF($E$6:$E$61,"是")+1+COUNTIFS($E$6:$E$61,"否",$AF$6:$AF$61,"&lt;"&amp;AF60)+COUNTIFS($E$6:$E$61,"否",$AF$6:$AF$61,AF60,$AD$6:$AD$61,"&gt;"&amp;AD60)+COUNTIFS($E$6:$E$61,"否",$AF$6:$AF$61,AF60,$AD$6:$AD$61,AD60,$D$6:$D$61,"&lt;"&amp;D60))</x:f>
        <x:v>19</x:v>
      </x:c>
    </x:row>
    <x:row r="61">
      <x:c r="A61" t="str">
        <x:v>淮南</x:v>
      </x:c>
      <x:c r="B61" t="str">
        <x:v>安徽</x:v>
      </x:c>
      <x:c r="C61" t="str">
        <x:v>三线</x:v>
      </x:c>
      <x:c r="D61" s="33" t="n">
        <x:v>158</x:v>
      </x:c>
      <x:c r="E61" s="33" t="str">
        <x:v>是</x:v>
      </x:c>
      <x:c r="F61" s="33" t="n">
        <x:v>2</x:v>
      </x:c>
      <x:c r="G61" s="33" t="n">
        <x:v>303.3528</x:v>
      </x:c>
      <x:c r="H61" s="33" t="n">
        <x:v>2020</x:v>
      </x:c>
      <x:c r="I61" s="33" t="n">
        <x:v>113.37</x:v>
      </x:c>
      <x:c r="J61" s="33" t="n">
        <x:v>128.14</x:v>
      </x:c>
      <x:c r="K61" s="33" t="n">
        <x:v>2022</x:v>
      </x:c>
      <x:c r="L61" s="47" t="n">
        <x:f>IFERROR(IF(AND(I61&lt;&gt;"",J61&lt;&gt;""),I61/J61,G61/J61),"")</x:f>
        <x:v>0.8847354456063682</x:v>
      </x:c>
      <x:c r="M61" s="33"/>
      <x:c r="N61" s="33"/>
      <x:c r="O61" s="33"/>
      <x:c r="P61" s="33"/>
      <x:c r="Q61" s="33"/>
      <x:c r="R61" s="47" t="n">
        <x:f>IFERROR(P61/G61,"")</x:f>
        <x:v>0</x:v>
      </x:c>
      <x:c r="S61" t="str">
        <x:v>SRC-003</x:v>
      </x:c>
      <x:c r="T61" t="str">
        <x:v>SRC-034</x:v>
      </x:c>
      <x:c r="U61" t="str">
        <x:v>SRC-005</x:v>
      </x:c>
      <x:c r="V61" t="str"/>
      <x:c r="W61" t="str"/>
      <x:c r="X61" t="str">
        <x:v>2026-08-16</x:v>
      </x:c>
      <x:c r="Y61" s="30" t="str">
        <x:v>第一财经2025原榜单为四线第39名（总榜第158），模型口径归并为三线；2020年七普常住人口；住建部2022年城市建设统计年鉴表2-2第258行列示同一城市口径的城区人口（含表列城区暂住人口）113.37万人、建成区面积128.14平方公里；住房代理公开材料在小区/项目/户数/面积及计划/开工/完工间口径不可比，为保持同列可比性保留空值；未找到可核查的市级公共充电枪数量，未采用省级数值。</x:v>
      </x:c>
      <x:c r="Z61" s="22" t="n">
        <x:f>IF(G61="","",COUNTIFS($C$6:$C$61,C61,$G$6:$G$61,"&lt;="&amp;G61)/COUNTIFS($C$6:$C$61,C61,$G$6:$G$61,"&lt;&gt;"))</x:f>
        <x:v>0.42857142857142855</x:v>
      </x:c>
      <x:c r="AA61" s="22" t="n">
        <x:f>IF(L61="","",COUNTIFS($C$6:$C$61,C61,$L$6:$L$61,"&lt;="&amp;L61)/COUNTIFS($C$6:$C$61,C61,$L$6:$L$61,"&lt;&gt;"))</x:f>
        <x:v>0.5714285714285714</x:v>
      </x:c>
      <x:c r="AB61" s="22" t="str">
        <x:f>IF(M61="","",COUNTIFS($C$6:$C$61,C61,$M$6:$M$61,"&lt;="&amp;M61)/COUNTIFS($C$6:$C$61,C61,$M$6:$M$61,"&lt;&gt;"))</x:f>
      </x:c>
      <x:c r="AC61" s="22" t="str">
        <x:f>IF(R61="","",COUNTIFS($C$6:$C$61,C61,$R$6:$R$61,"&gt;="&amp;R61)/COUNTIFS($C$6:$C$61,C61,$R$6:$R$61,"&lt;&gt;"))</x:f>
      </x:c>
      <x:c r="AD61" s="49" t="n">
        <x:f>IFERROR((IF(Z61="",0,Z61*'核心假设'!$B$10)+IF(AA61="",0,AA61*'核心假设'!$B$11)+IF(AB61="",0,AB61*'核心假设'!$B$12)+IF(AC61="",0,AC61*'核心假设'!$B$13))/(IF(Z61="",0,'核心假设'!$B$10)+IF(AA61="",0,'核心假设'!$B$11)+IF(AB61="",0,'核心假设'!$B$12)+IF(AC61="",0,'核心假设'!$B$13)),"")</x:f>
        <x:v>0.49350649350649345</x:v>
      </x:c>
      <x:c r="AE61" s="18" t="str">
        <x:f>IF(COUNT(Z61:AC61)&lt;4,"缺失重算",IF(OR(AND(I61="",G61&lt;&gt;""),ISNUMBER(SEARCH("代理",N61))),"代理","完整"))</x:f>
        <x:v>缺失重算</x:v>
      </x:c>
      <x:c r="AF61" s="18" t="n">
        <x:f>IF(C61="一线",1,IF(C61="新一线",2,IF(C61="二线",3,4)))</x:f>
        <x:v>4</x:v>
      </x:c>
      <x:c r="AG61" s="18" t="n">
        <x:f>IF(E61="是",F61,COUNTIF($E$6:$E$61,"是")+1+COUNTIFS($E$6:$E$61,"否",$AF$6:$AF$61,"&lt;"&amp;AF61)+COUNTIFS($E$6:$E$61,"否",$AF$6:$AF$61,AF61,$AD$6:$AD$61,"&gt;"&amp;AD61)+COUNTIFS($E$6:$E$61,"否",$AF$6:$AF$61,AF61,$AD$6:$AD$61,AD61,$D$6:$D$61,"&lt;"&amp;D61))</x:f>
        <x:v>2</x:v>
      </x:c>
    </x:row>
    <x:row r="62">
      <x:c r="Y62" s="30"/>
    </x:row>
    <x:row r="63">
      <x:c r="Y63" s="30"/>
    </x:row>
    <x:row r="64">
      <x:c r="Y64" s="30"/>
    </x:row>
    <x:row r="65">
      <x:c r="Y65" s="30"/>
    </x:row>
    <x:row r="66">
      <x:c r="Y66" s="30"/>
    </x:row>
    <x:row r="67">
      <x:c r="Y67" s="30"/>
    </x:row>
    <x:row r="68">
      <x:c r="Y68" s="30"/>
    </x:row>
    <x:row r="69">
      <x:c r="Y69" s="30"/>
    </x:row>
    <x:row r="70">
      <x:c r="Y70" s="30"/>
    </x:row>
  </x:sheetData>
  <x:mergeCells>
    <x:mergeCell ref="A1:AG1"/>
    <x:mergeCell ref="A3:AG3"/>
  </x:mergeCells>
  <x:pageMargins left="0.7" right="0.7" top="0.75" bottom="0.75" header="0.3" footer="0.3"/>
  <x:legacyDrawing xmlns:r="http://schemas.openxmlformats.org/officeDocument/2006/relationships" r:id="Rcf0c273de5fe497e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26" customHeight="1">
      <x:c r="A1" s="4" t="str">
        <x:v>城市分配｜精确目标枪数与整数站型</x:v>
      </x:c>
      <x:c r="B1" s="4" t="str">
        <x:v>城市分配｜精确目标枪数与整数站型</x:v>
      </x:c>
      <x:c r="C1" s="4" t="str">
        <x:v>城市分配｜精确目标枪数与整数站型</x:v>
      </x:c>
      <x:c r="D1" s="4" t="str">
        <x:v>城市分配｜精确目标枪数与整数站型</x:v>
      </x:c>
      <x:c r="E1" s="4" t="str">
        <x:v>城市分配｜精确目标枪数与整数站型</x:v>
      </x:c>
      <x:c r="F1" s="4" t="str">
        <x:v>城市分配｜精确目标枪数与整数站型</x:v>
      </x:c>
      <x:c r="G1" s="4" t="str">
        <x:v>城市分配｜精确目标枪数与整数站型</x:v>
      </x:c>
      <x:c r="H1" s="4" t="str">
        <x:v>城市分配｜精确目标枪数与整数站型</x:v>
      </x:c>
      <x:c r="I1" s="4" t="str">
        <x:v>城市分配｜精确目标枪数与整数站型</x:v>
      </x:c>
      <x:c r="J1" s="4" t="str">
        <x:v>城市分配｜精确目标枪数与整数站型</x:v>
      </x:c>
      <x:c r="K1" s="4" t="str">
        <x:v>城市分配｜精确目标枪数与整数站型</x:v>
      </x:c>
      <x:c r="L1" s="4" t="str">
        <x:v>城市分配｜精确目标枪数与整数站型</x:v>
      </x:c>
      <x:c r="M1" s="4" t="str">
        <x:v>城市分配｜精确目标枪数与整数站型</x:v>
      </x:c>
      <x:c r="N1" s="4" t="str">
        <x:v>城市分配｜精确目标枪数与整数站型</x:v>
      </x:c>
      <x:c r="O1" s="4" t="str">
        <x:v>城市分配｜精确目标枪数与整数站型</x:v>
      </x:c>
      <x:c r="P1" s="4" t="str">
        <x:v>城市分配｜精确目标枪数与整数站型</x:v>
      </x:c>
      <x:c r="Q1" s="4" t="str">
        <x:v>城市分配｜精确目标枪数与整数站型</x:v>
      </x:c>
      <x:c r="R1" s="4" t="str">
        <x:v>城市分配｜精确目标枪数与整数站型</x:v>
      </x:c>
      <x:c r="S1" s="4" t="str">
        <x:v>城市分配｜精确目标枪数与整数站型</x:v>
      </x:c>
    </x:row>
    <x:row r="3">
      <x:c r="A3" s="13" t="str">
        <x:v>固定26城优先，其余按等级、实时得分与一财排名动态补充</x:v>
      </x:c>
      <x:c r="B3" s="14" t="str">
        <x:v>固定26城优先，其余按等级、实时得分与一财排名动态补充</x:v>
      </x:c>
      <x:c r="C3" s="14" t="str">
        <x:v>固定26城优先，其余按等级、实时得分与一财排名动态补充</x:v>
      </x:c>
      <x:c r="D3" s="14" t="str">
        <x:v>固定26城优先，其余按等级、实时得分与一财排名动态补充</x:v>
      </x:c>
      <x:c r="E3" s="14" t="str">
        <x:v>固定26城优先，其余按等级、实时得分与一财排名动态补充</x:v>
      </x:c>
      <x:c r="F3" s="14" t="str">
        <x:v>固定26城优先，其余按等级、实时得分与一财排名动态补充</x:v>
      </x:c>
      <x:c r="G3" s="14" t="str">
        <x:v>固定26城优先，其余按等级、实时得分与一财排名动态补充</x:v>
      </x:c>
      <x:c r="H3" s="14" t="str">
        <x:v>固定26城优先，其余按等级、实时得分与一财排名动态补充</x:v>
      </x:c>
      <x:c r="I3" s="14" t="str">
        <x:v>固定26城优先，其余按等级、实时得分与一财排名动态补充</x:v>
      </x:c>
      <x:c r="J3" s="14" t="str">
        <x:v>固定26城优先，其余按等级、实时得分与一财排名动态补充</x:v>
      </x:c>
      <x:c r="K3" s="14" t="str">
        <x:v>固定26城优先，其余按等级、实时得分与一财排名动态补充</x:v>
      </x:c>
      <x:c r="L3" s="14" t="str">
        <x:v>固定26城优先，其余按等级、实时得分与一财排名动态补充</x:v>
      </x:c>
      <x:c r="M3" s="14" t="str">
        <x:v>固定26城优先，其余按等级、实时得分与一财排名动态补充</x:v>
      </x:c>
      <x:c r="N3" s="14" t="str">
        <x:v>固定26城优先，其余按等级、实时得分与一财排名动态补充</x:v>
      </x:c>
      <x:c r="O3" s="14" t="str">
        <x:v>固定26城优先，其余按等级、实时得分与一财排名动态补充</x:v>
      </x:c>
      <x:c r="P3" s="14" t="str">
        <x:v>固定26城优先，其余按等级、实时得分与一财排名动态补充</x:v>
      </x:c>
      <x:c r="Q3" s="14" t="str">
        <x:v>固定26城优先，其余按等级、实时得分与一财排名动态补充</x:v>
      </x:c>
      <x:c r="R3" s="14" t="str">
        <x:v>固定26城优先，其余按等级、实时得分与一财排名动态补充</x:v>
      </x:c>
      <x:c r="S3" s="15" t="str">
        <x:v>固定26城优先，其余按等级、实时得分与一财排名动态补充</x:v>
      </x:c>
    </x:row>
    <x:row r="4">
      <x:c r="A4" s="13" t="str">
        <x:v>顺序</x:v>
      </x:c>
      <x:c r="B4" s="14" t="str">
        <x:v>城市</x:v>
      </x:c>
      <x:c r="C4" s="14" t="str">
        <x:v>等级</x:v>
      </x:c>
      <x:c r="D4" s="14" t="str">
        <x:v>首批</x:v>
      </x:c>
      <x:c r="E4" s="14" t="str">
        <x:v>首批顺序</x:v>
      </x:c>
      <x:c r="F4" s="14" t="str">
        <x:v>综合得分</x:v>
      </x:c>
      <x:c r="G4" s="14" t="str">
        <x:v>可自动选择</x:v>
      </x:c>
      <x:c r="H4" s="14" t="str">
        <x:v>标准配额</x:v>
      </x:c>
      <x:c r="I4" s="14" t="str">
        <x:v>累计前值</x:v>
      </x:c>
      <x:c r="J4" s="14" t="str">
        <x:v>目标枪数</x:v>
      </x:c>
      <x:c r="K4" s="14" t="str">
        <x:v>4枪站占比</x:v>
      </x:c>
      <x:c r="L4" s="14" t="str">
        <x:v>4枪站</x:v>
      </x:c>
      <x:c r="M4" s="14" t="str">
        <x:v>2枪站</x:v>
      </x:c>
      <x:c r="N4" s="14" t="str">
        <x:v>总站数</x:v>
      </x:c>
      <x:c r="O4" s="14" t="str">
        <x:v>枪数校验</x:v>
      </x:c>
      <x:c r="P4" s="14" t="str">
        <x:v>预留月份序号</x:v>
      </x:c>
      <x:c r="Q4" s="14" t="str">
        <x:v>同级选中得分序</x:v>
      </x:c>
      <x:c r="R4" s="14" t="str">
        <x:v>同级选中数</x:v>
      </x:c>
      <x:c r="S4" s="15" t="str">
        <x:v>同级选中得分中位数</x:v>
      </x:c>
    </x:row>
    <x:row r="6">
      <x:c r="A6" s="18" t="n">
        <x:f>ROW()-5</x:f>
        <x:v>1</x:v>
      </x:c>
      <x:c r="B6" s="25" t="str">
        <x:f>INDEX('城市数据库'!$A$6:$A$61,MATCH(A6,'城市数据库'!$AG$6:$AG$61,0))</x:f>
        <x:v>合肥</x:v>
      </x:c>
      <x:c r="C6" s="25" t="str">
        <x:f>INDEX('城市数据库'!$C$6:$C$61,MATCH(B6,'城市数据库'!$A$6:$A$61,0))</x:f>
        <x:v>新一线</x:v>
      </x:c>
      <x:c r="D6" s="25" t="str">
        <x:f>INDEX('城市数据库'!$E$6:$E$61,MATCH(B6,'城市数据库'!$A$6:$A$61,0))</x:f>
        <x:v>是</x:v>
      </x:c>
      <x:c r="E6" s="25" t="n">
        <x:f>INDEX('城市数据库'!$F$6:$F$61,MATCH(B6,'城市数据库'!$A$6:$A$61,0))</x:f>
        <x:v>1</x:v>
      </x:c>
      <x:c r="F6" s="49" t="n">
        <x:f>INDEX('城市数据库'!$AD$6:$AD$61,MATCH(B6,'城市数据库'!$A$6:$A$61,0))</x:f>
        <x:v>0.5272727272727272</x:v>
      </x:c>
      <x:c r="G6" s="25" t="n">
        <x:f>--(INDEX('城市数据库'!$G$6:$G$61,MATCH(B6,'城市数据库'!$A$6:$A$61,0))&lt;&gt;"")</x:f>
        <x:v>1</x:v>
      </x:c>
      <x:c r="H6" s="40" t="n">
        <x:f>IF(C6="一线",'核心假设'!$B$21,IF(C6="新一线",'核心假设'!$B$22,IF(C6="二线",'核心假设'!$B$23,'核心假设'!$B$24)))</x:f>
        <x:v>800</x:v>
      </x:c>
      <x:c r="I6" s="37">
        <x:f>SUM($J$6:J5)</x:f>
      </x:c>
      <x:c r="J6" s="40" t="n">
        <x:f>IF(G6=0,0,IF(D6="是",H6,MAX(0,MIN(H6,'核心假设'!$B$6-I6))))</x:f>
        <x:v>800</x:v>
      </x:c>
      <x:c r="K6" s="40" t="n">
        <x:f>IF(J6=0,0,IF(F6&gt;=S6,'核心假设'!$B$25,'核心假设'!$B$26))</x:f>
        <x:v>0.4</x:v>
      </x:c>
      <x:c r="L6" s="37" t="n">
        <x:f>ROUND((J6*K6)/(2+2*K6),0)</x:f>
        <x:v>114</x:v>
      </x:c>
      <x:c r="M6" s="37" t="n">
        <x:f>(J6-4*L6)/2</x:f>
        <x:v>172</x:v>
      </x:c>
      <x:c r="N6" s="37" t="n">
        <x:f>L6+M6</x:f>
        <x:v>286</x:v>
      </x:c>
      <x:c r="O6" s="37" t="n">
        <x:f>4*L6+2*M6-J6</x:f>
        <x:v>0</x:v>
      </x:c>
      <x:c r="P6" s="37" t="n">
        <x:f>IF(D6="是",MOD(E6-1,6),"")</x:f>
        <x:v>0</x:v>
      </x:c>
      <x:c r="Q6" s="37" t="n">
        <x:f>IF(J6=0,"",COUNTIFS($C$6:$C$61,C6,$J$6:$J$61,"&gt;0",$F$6:$F$61,"&gt;"&amp;F6)+COUNTIFS($C$6:$C$61,C6,$J$6:$J$61,"&gt;0",$F$6:$F$61,F6,$A$6:$A$61,"&lt;"&amp;A6)+1)</x:f>
        <x:v>10</x:v>
      </x:c>
      <x:c r="R6" s="37" t="n">
        <x:f>IF(J6=0,0,COUNTIFS($C$6:$C$61,C6,$J$6:$J$61,"&gt;0"))</x:f>
        <x:v>15</x:v>
      </x:c>
      <x:c r="S6" s="22" t="n">
        <x:f>IF(J6=0,"",(SUMIFS($F$6:$F$61,$C$6:$C$61,C6,$J$6:$J$61,"&gt;0",$Q$6:$Q$61,INT((R6+1)/2))+SUMIFS($F$6:$F$61,$C$6:$C$61,C6,$J$6:$J$61,"&gt;0",$Q$6:$Q$61,INT((R6+2)/2)))/2)</x:f>
        <x:v>0.5939393939393939</x:v>
      </x:c>
    </x:row>
    <x:row r="7">
      <x:c r="A7" s="18" t="n">
        <x:f>ROW()-5</x:f>
        <x:v>2</x:v>
      </x:c>
      <x:c r="B7" s="25" t="str">
        <x:f>INDEX('城市数据库'!$A$6:$A$61,MATCH(A7,'城市数据库'!$AG$6:$AG$61,0))</x:f>
        <x:v>淮南</x:v>
      </x:c>
      <x:c r="C7" s="25" t="str">
        <x:f>INDEX('城市数据库'!$C$6:$C$61,MATCH(B7,'城市数据库'!$A$6:$A$61,0))</x:f>
        <x:v>三线</x:v>
      </x:c>
      <x:c r="D7" s="25" t="str">
        <x:f>INDEX('城市数据库'!$E$6:$E$61,MATCH(B7,'城市数据库'!$A$6:$A$61,0))</x:f>
        <x:v>是</x:v>
      </x:c>
      <x:c r="E7" s="25" t="n">
        <x:f>INDEX('城市数据库'!$F$6:$F$61,MATCH(B7,'城市数据库'!$A$6:$A$61,0))</x:f>
        <x:v>2</x:v>
      </x:c>
      <x:c r="F7" s="49" t="n">
        <x:f>INDEX('城市数据库'!$AD$6:$AD$61,MATCH(B7,'城市数据库'!$A$6:$A$61,0))</x:f>
        <x:v>0.49350649350649345</x:v>
      </x:c>
      <x:c r="G7" s="25" t="n">
        <x:f>--(INDEX('城市数据库'!$G$6:$G$61,MATCH(B7,'城市数据库'!$A$6:$A$61,0))&lt;&gt;"")</x:f>
        <x:v>1</x:v>
      </x:c>
      <x:c r="H7" s="40" t="n">
        <x:f>IF(C7="一线",'核心假设'!$B$21,IF(C7="新一线",'核心假设'!$B$22,IF(C7="二线",'核心假设'!$B$23,'核心假设'!$B$24)))</x:f>
        <x:v>400</x:v>
      </x:c>
      <x:c r="I7" s="37" t="n">
        <x:f>SUM($J$6:J6)</x:f>
        <x:v>800</x:v>
      </x:c>
      <x:c r="J7" s="40" t="n">
        <x:f>IF(G7=0,0,IF(D7="是",H7,MAX(0,MIN(H7,'核心假设'!$B$6-I7))))</x:f>
        <x:v>400</x:v>
      </x:c>
      <x:c r="K7" s="40" t="n">
        <x:f>IF(J7=0,0,IF(F7&gt;=S7,'核心假设'!$B$25,'核心假设'!$B$26))</x:f>
        <x:v>0.4</x:v>
      </x:c>
      <x:c r="L7" s="37" t="n">
        <x:f>ROUND((J7*K7)/(2+2*K7),0)</x:f>
        <x:v>57</x:v>
      </x:c>
      <x:c r="M7" s="37" t="n">
        <x:f>(J7-4*L7)/2</x:f>
        <x:v>86</x:v>
      </x:c>
      <x:c r="N7" s="37" t="n">
        <x:f>L7+M7</x:f>
        <x:v>143</x:v>
      </x:c>
      <x:c r="O7" s="37" t="n">
        <x:f>4*L7+2*M7-J7</x:f>
        <x:v>0</x:v>
      </x:c>
      <x:c r="P7" s="37" t="n">
        <x:f>IF(D7="是",MOD(E7-1,6),"")</x:f>
        <x:v>1</x:v>
      </x:c>
      <x:c r="Q7" s="37" t="n">
        <x:f>IF(J7=0,"",COUNTIFS($C$6:$C$61,C7,$J$6:$J$61,"&gt;0",$F$6:$F$61,"&gt;"&amp;F7)+COUNTIFS($C$6:$C$61,C7,$J$6:$J$61,"&gt;0",$F$6:$F$61,F7,$A$6:$A$61,"&lt;"&amp;A7)+1)</x:f>
        <x:v>6</x:v>
      </x:c>
      <x:c r="R7" s="37" t="n">
        <x:f>IF(J7=0,0,COUNTIFS($C$6:$C$61,C7,$J$6:$J$61,"&gt;0"))</x:f>
        <x:v>7</x:v>
      </x:c>
      <x:c r="S7" s="22" t="n">
        <x:f>IF(J7=0,"",(SUMIFS($F$6:$F$61,$C$6:$C$61,C7,$J$6:$J$61,"&gt;0",$Q$6:$Q$61,INT((R7+1)/2))+SUMIFS($F$6:$F$61,$C$6:$C$61,C7,$J$6:$J$61,"&gt;0",$Q$6:$Q$61,INT((R7+2)/2)))/2)</x:f>
        <x:v>0.5194805194805194</x:v>
      </x:c>
    </x:row>
    <x:row r="8">
      <x:c r="A8" s="18" t="n">
        <x:f>ROW()-5</x:f>
        <x:v>3</x:v>
      </x:c>
      <x:c r="B8" s="25" t="str">
        <x:f>INDEX('城市数据库'!$A$6:$A$61,MATCH(A8,'城市数据库'!$AG$6:$AG$61,0))</x:f>
        <x:v>芜湖</x:v>
      </x:c>
      <x:c r="C8" s="25" t="str">
        <x:f>INDEX('城市数据库'!$C$6:$C$61,MATCH(B8,'城市数据库'!$A$6:$A$61,0))</x:f>
        <x:v>三线</x:v>
      </x:c>
      <x:c r="D8" s="25" t="str">
        <x:f>INDEX('城市数据库'!$E$6:$E$61,MATCH(B8,'城市数据库'!$A$6:$A$61,0))</x:f>
        <x:v>是</x:v>
      </x:c>
      <x:c r="E8" s="25" t="n">
        <x:f>INDEX('城市数据库'!$F$6:$F$61,MATCH(B8,'城市数据库'!$A$6:$A$61,0))</x:f>
        <x:v>3</x:v>
      </x:c>
      <x:c r="F8" s="49" t="n">
        <x:f>INDEX('城市数据库'!$AD$6:$AD$61,MATCH(B8,'城市数据库'!$A$6:$A$61,0))</x:f>
        <x:v>0.5194805194805194</x:v>
      </x:c>
      <x:c r="G8" s="25" t="n">
        <x:f>--(INDEX('城市数据库'!$G$6:$G$61,MATCH(B8,'城市数据库'!$A$6:$A$61,0))&lt;&gt;"")</x:f>
        <x:v>1</x:v>
      </x:c>
      <x:c r="H8" s="40" t="n">
        <x:f>IF(C8="一线",'核心假设'!$B$21,IF(C8="新一线",'核心假设'!$B$22,IF(C8="二线",'核心假设'!$B$23,'核心假设'!$B$24)))</x:f>
        <x:v>400</x:v>
      </x:c>
      <x:c r="I8" s="37" t="n">
        <x:f>SUM($J$6:J7)</x:f>
        <x:v>1200</x:v>
      </x:c>
      <x:c r="J8" s="40" t="n">
        <x:f>IF(G8=0,0,IF(D8="是",H8,MAX(0,MIN(H8,'核心假设'!$B$6-I8))))</x:f>
        <x:v>400</x:v>
      </x:c>
      <x:c r="K8" s="40" t="n">
        <x:f>IF(J8=0,0,IF(F8&gt;=S8,'核心假设'!$B$25,'核心假设'!$B$26))</x:f>
        <x:v>0.7</x:v>
      </x:c>
      <x:c r="L8" s="37" t="n">
        <x:f>ROUND((J8*K8)/(2+2*K8),0)</x:f>
        <x:v>82</x:v>
      </x:c>
      <x:c r="M8" s="37" t="n">
        <x:f>(J8-4*L8)/2</x:f>
        <x:v>36</x:v>
      </x:c>
      <x:c r="N8" s="37" t="n">
        <x:f>L8+M8</x:f>
        <x:v>118</x:v>
      </x:c>
      <x:c r="O8" s="37" t="n">
        <x:f>4*L8+2*M8-J8</x:f>
        <x:v>0</x:v>
      </x:c>
      <x:c r="P8" s="37" t="n">
        <x:f>IF(D8="是",MOD(E8-1,6),"")</x:f>
        <x:v>2</x:v>
      </x:c>
      <x:c r="Q8" s="37" t="n">
        <x:f>IF(J8=0,"",COUNTIFS($C$6:$C$61,C8,$J$6:$J$61,"&gt;0",$F$6:$F$61,"&gt;"&amp;F8)+COUNTIFS($C$6:$C$61,C8,$J$6:$J$61,"&gt;0",$F$6:$F$61,F8,$A$6:$A$61,"&lt;"&amp;A8)+1)</x:f>
        <x:v>4</x:v>
      </x:c>
      <x:c r="R8" s="37" t="n">
        <x:f>IF(J8=0,0,COUNTIFS($C$6:$C$61,C8,$J$6:$J$61,"&gt;0"))</x:f>
        <x:v>7</x:v>
      </x:c>
      <x:c r="S8" s="22" t="n">
        <x:f>IF(J8=0,"",(SUMIFS($F$6:$F$61,$C$6:$C$61,C8,$J$6:$J$61,"&gt;0",$Q$6:$Q$61,INT((R8+1)/2))+SUMIFS($F$6:$F$61,$C$6:$C$61,C8,$J$6:$J$61,"&gt;0",$Q$6:$Q$61,INT((R8+2)/2)))/2)</x:f>
        <x:v>0.5194805194805194</x:v>
      </x:c>
    </x:row>
    <x:row r="9">
      <x:c r="A9" s="18" t="n">
        <x:f>ROW()-5</x:f>
        <x:v>4</x:v>
      </x:c>
      <x:c r="B9" s="25" t="str">
        <x:f>INDEX('城市数据库'!$A$6:$A$61,MATCH(A9,'城市数据库'!$AG$6:$AG$61,0))</x:f>
        <x:v>阜阳</x:v>
      </x:c>
      <x:c r="C9" s="25" t="str">
        <x:f>INDEX('城市数据库'!$C$6:$C$61,MATCH(B9,'城市数据库'!$A$6:$A$61,0))</x:f>
        <x:v>三线</x:v>
      </x:c>
      <x:c r="D9" s="25" t="str">
        <x:f>INDEX('城市数据库'!$E$6:$E$61,MATCH(B9,'城市数据库'!$A$6:$A$61,0))</x:f>
        <x:v>是</x:v>
      </x:c>
      <x:c r="E9" s="25" t="n">
        <x:f>INDEX('城市数据库'!$F$6:$F$61,MATCH(B9,'城市数据库'!$A$6:$A$61,0))</x:f>
        <x:v>4</x:v>
      </x:c>
      <x:c r="F9" s="49" t="n">
        <x:f>INDEX('城市数据库'!$AD$6:$AD$61,MATCH(B9,'城市数据库'!$A$6:$A$61,0))</x:f>
        <x:v>0.6103896103896103</x:v>
      </x:c>
      <x:c r="G9" s="25" t="n">
        <x:f>--(INDEX('城市数据库'!$G$6:$G$61,MATCH(B9,'城市数据库'!$A$6:$A$61,0))&lt;&gt;"")</x:f>
        <x:v>1</x:v>
      </x:c>
      <x:c r="H9" s="40" t="n">
        <x:f>IF(C9="一线",'核心假设'!$B$21,IF(C9="新一线",'核心假设'!$B$22,IF(C9="二线",'核心假设'!$B$23,'核心假设'!$B$24)))</x:f>
        <x:v>400</x:v>
      </x:c>
      <x:c r="I9" s="37" t="n">
        <x:f>SUM($J$6:J8)</x:f>
        <x:v>1600</x:v>
      </x:c>
      <x:c r="J9" s="40" t="n">
        <x:f>IF(G9=0,0,IF(D9="是",H9,MAX(0,MIN(H9,'核心假设'!$B$6-I9))))</x:f>
        <x:v>400</x:v>
      </x:c>
      <x:c r="K9" s="40" t="n">
        <x:f>IF(J9=0,0,IF(F9&gt;=S9,'核心假设'!$B$25,'核心假设'!$B$26))</x:f>
        <x:v>0.7</x:v>
      </x:c>
      <x:c r="L9" s="37" t="n">
        <x:f>ROUND((J9*K9)/(2+2*K9),0)</x:f>
        <x:v>82</x:v>
      </x:c>
      <x:c r="M9" s="37" t="n">
        <x:f>(J9-4*L9)/2</x:f>
        <x:v>36</x:v>
      </x:c>
      <x:c r="N9" s="37" t="n">
        <x:f>L9+M9</x:f>
        <x:v>118</x:v>
      </x:c>
      <x:c r="O9" s="37" t="n">
        <x:f>4*L9+2*M9-J9</x:f>
        <x:v>0</x:v>
      </x:c>
      <x:c r="P9" s="37" t="n">
        <x:f>IF(D9="是",MOD(E9-1,6),"")</x:f>
        <x:v>3</x:v>
      </x:c>
      <x:c r="Q9" s="37" t="n">
        <x:f>IF(J9=0,"",COUNTIFS($C$6:$C$61,C9,$J$6:$J$61,"&gt;0",$F$6:$F$61,"&gt;"&amp;F9)+COUNTIFS($C$6:$C$61,C9,$J$6:$J$61,"&gt;0",$F$6:$F$61,F9,$A$6:$A$61,"&lt;"&amp;A9)+1)</x:f>
        <x:v>2</x:v>
      </x:c>
      <x:c r="R9" s="37" t="n">
        <x:f>IF(J9=0,0,COUNTIFS($C$6:$C$61,C9,$J$6:$J$61,"&gt;0"))</x:f>
        <x:v>7</x:v>
      </x:c>
      <x:c r="S9" s="22" t="n">
        <x:f>IF(J9=0,"",(SUMIFS($F$6:$F$61,$C$6:$C$61,C9,$J$6:$J$61,"&gt;0",$Q$6:$Q$61,INT((R9+1)/2))+SUMIFS($F$6:$F$61,$C$6:$C$61,C9,$J$6:$J$61,"&gt;0",$Q$6:$Q$61,INT((R9+2)/2)))/2)</x:f>
        <x:v>0.5194805194805194</x:v>
      </x:c>
    </x:row>
    <x:row r="10">
      <x:c r="A10" s="18" t="n">
        <x:f>ROW()-5</x:f>
        <x:v>5</x:v>
      </x:c>
      <x:c r="B10" s="25" t="str">
        <x:f>INDEX('城市数据库'!$A$6:$A$61,MATCH(A10,'城市数据库'!$AG$6:$AG$61,0))</x:f>
        <x:v>宁波</x:v>
      </x:c>
      <x:c r="C10" s="25" t="str">
        <x:f>INDEX('城市数据库'!$C$6:$C$61,MATCH(B10,'城市数据库'!$A$6:$A$61,0))</x:f>
        <x:v>新一线</x:v>
      </x:c>
      <x:c r="D10" s="25" t="str">
        <x:f>INDEX('城市数据库'!$E$6:$E$61,MATCH(B10,'城市数据库'!$A$6:$A$61,0))</x:f>
        <x:v>是</x:v>
      </x:c>
      <x:c r="E10" s="25" t="n">
        <x:f>INDEX('城市数据库'!$F$6:$F$61,MATCH(B10,'城市数据库'!$A$6:$A$61,0))</x:f>
        <x:v>5</x:v>
      </x:c>
      <x:c r="F10" s="49" t="n">
        <x:f>INDEX('城市数据库'!$AD$6:$AD$61,MATCH(B10,'城市数据库'!$A$6:$A$61,0))</x:f>
        <x:v>0.26060606060606056</x:v>
      </x:c>
      <x:c r="G10" s="25" t="n">
        <x:f>--(INDEX('城市数据库'!$G$6:$G$61,MATCH(B10,'城市数据库'!$A$6:$A$61,0))&lt;&gt;"")</x:f>
        <x:v>1</x:v>
      </x:c>
      <x:c r="H10" s="40" t="n">
        <x:f>IF(C10="一线",'核心假设'!$B$21,IF(C10="新一线",'核心假设'!$B$22,IF(C10="二线",'核心假设'!$B$23,'核心假设'!$B$24)))</x:f>
        <x:v>800</x:v>
      </x:c>
      <x:c r="I10" s="37" t="n">
        <x:f>SUM($J$6:J9)</x:f>
        <x:v>2000</x:v>
      </x:c>
      <x:c r="J10" s="40" t="n">
        <x:f>IF(G10=0,0,IF(D10="是",H10,MAX(0,MIN(H10,'核心假设'!$B$6-I10))))</x:f>
        <x:v>800</x:v>
      </x:c>
      <x:c r="K10" s="40" t="n">
        <x:f>IF(J10=0,0,IF(F10&gt;=S10,'核心假设'!$B$25,'核心假设'!$B$26))</x:f>
        <x:v>0.4</x:v>
      </x:c>
      <x:c r="L10" s="37" t="n">
        <x:f>ROUND((J10*K10)/(2+2*K10),0)</x:f>
        <x:v>114</x:v>
      </x:c>
      <x:c r="M10" s="37" t="n">
        <x:f>(J10-4*L10)/2</x:f>
        <x:v>172</x:v>
      </x:c>
      <x:c r="N10" s="37" t="n">
        <x:f>L10+M10</x:f>
        <x:v>286</x:v>
      </x:c>
      <x:c r="O10" s="37" t="n">
        <x:f>4*L10+2*M10-J10</x:f>
        <x:v>0</x:v>
      </x:c>
      <x:c r="P10" s="37" t="n">
        <x:f>IF(D10="是",MOD(E10-1,6),"")</x:f>
        <x:v>4</x:v>
      </x:c>
      <x:c r="Q10" s="37" t="n">
        <x:f>IF(J10=0,"",COUNTIFS($C$6:$C$61,C10,$J$6:$J$61,"&gt;0",$F$6:$F$61,"&gt;"&amp;F10)+COUNTIFS($C$6:$C$61,C10,$J$6:$J$61,"&gt;0",$F$6:$F$61,F10,$A$6:$A$61,"&lt;"&amp;A10)+1)</x:f>
        <x:v>13</x:v>
      </x:c>
      <x:c r="R10" s="37" t="n">
        <x:f>IF(J10=0,0,COUNTIFS($C$6:$C$61,C10,$J$6:$J$61,"&gt;0"))</x:f>
        <x:v>15</x:v>
      </x:c>
      <x:c r="S10" s="22" t="n">
        <x:f>IF(J10=0,"",(SUMIFS($F$6:$F$61,$C$6:$C$61,C10,$J$6:$J$61,"&gt;0",$Q$6:$Q$61,INT((R10+1)/2))+SUMIFS($F$6:$F$61,$C$6:$C$61,C10,$J$6:$J$61,"&gt;0",$Q$6:$Q$61,INT((R10+2)/2)))/2)</x:f>
        <x:v>0.5939393939393939</x:v>
      </x:c>
    </x:row>
    <x:row r="11">
      <x:c r="A11" s="18" t="n">
        <x:f>ROW()-5</x:f>
        <x:v>6</x:v>
      </x:c>
      <x:c r="B11" s="25" t="str">
        <x:f>INDEX('城市数据库'!$A$6:$A$61,MATCH(A11,'城市数据库'!$AG$6:$AG$61,0))</x:f>
        <x:v>南京</x:v>
      </x:c>
      <x:c r="C11" s="25" t="str">
        <x:f>INDEX('城市数据库'!$C$6:$C$61,MATCH(B11,'城市数据库'!$A$6:$A$61,0))</x:f>
        <x:v>新一线</x:v>
      </x:c>
      <x:c r="D11" s="25" t="str">
        <x:f>INDEX('城市数据库'!$E$6:$E$61,MATCH(B11,'城市数据库'!$A$6:$A$61,0))</x:f>
        <x:v>是</x:v>
      </x:c>
      <x:c r="E11" s="25" t="n">
        <x:f>INDEX('城市数据库'!$F$6:$F$61,MATCH(B11,'城市数据库'!$A$6:$A$61,0))</x:f>
        <x:v>6</x:v>
      </x:c>
      <x:c r="F11" s="49" t="n">
        <x:f>INDEX('城市数据库'!$AD$6:$AD$61,MATCH(B11,'城市数据库'!$A$6:$A$61,0))</x:f>
        <x:v>0.09696969696969696</x:v>
      </x:c>
      <x:c r="G11" s="25" t="n">
        <x:f>--(INDEX('城市数据库'!$G$6:$G$61,MATCH(B11,'城市数据库'!$A$6:$A$61,0))&lt;&gt;"")</x:f>
        <x:v>1</x:v>
      </x:c>
      <x:c r="H11" s="40" t="n">
        <x:f>IF(C11="一线",'核心假设'!$B$21,IF(C11="新一线",'核心假设'!$B$22,IF(C11="二线",'核心假设'!$B$23,'核心假设'!$B$24)))</x:f>
        <x:v>800</x:v>
      </x:c>
      <x:c r="I11" s="37" t="n">
        <x:f>SUM($J$6:J10)</x:f>
        <x:v>2800</x:v>
      </x:c>
      <x:c r="J11" s="40" t="n">
        <x:f>IF(G11=0,0,IF(D11="是",H11,MAX(0,MIN(H11,'核心假设'!$B$6-I11))))</x:f>
        <x:v>800</x:v>
      </x:c>
      <x:c r="K11" s="40" t="n">
        <x:f>IF(J11=0,0,IF(F11&gt;=S11,'核心假设'!$B$25,'核心假设'!$B$26))</x:f>
        <x:v>0.4</x:v>
      </x:c>
      <x:c r="L11" s="37" t="n">
        <x:f>ROUND((J11*K11)/(2+2*K11),0)</x:f>
        <x:v>114</x:v>
      </x:c>
      <x:c r="M11" s="37" t="n">
        <x:f>(J11-4*L11)/2</x:f>
        <x:v>172</x:v>
      </x:c>
      <x:c r="N11" s="37" t="n">
        <x:f>L11+M11</x:f>
        <x:v>286</x:v>
      </x:c>
      <x:c r="O11" s="37" t="n">
        <x:f>4*L11+2*M11-J11</x:f>
        <x:v>0</x:v>
      </x:c>
      <x:c r="P11" s="37" t="n">
        <x:f>IF(D11="是",MOD(E11-1,6),"")</x:f>
        <x:v>5</x:v>
      </x:c>
      <x:c r="Q11" s="37" t="n">
        <x:f>IF(J11=0,"",COUNTIFS($C$6:$C$61,C11,$J$6:$J$61,"&gt;0",$F$6:$F$61,"&gt;"&amp;F11)+COUNTIFS($C$6:$C$61,C11,$J$6:$J$61,"&gt;0",$F$6:$F$61,F11,$A$6:$A$61,"&lt;"&amp;A11)+1)</x:f>
        <x:v>15</x:v>
      </x:c>
      <x:c r="R11" s="37" t="n">
        <x:f>IF(J11=0,0,COUNTIFS($C$6:$C$61,C11,$J$6:$J$61,"&gt;0"))</x:f>
        <x:v>15</x:v>
      </x:c>
      <x:c r="S11" s="22" t="n">
        <x:f>IF(J11=0,"",(SUMIFS($F$6:$F$61,$C$6:$C$61,C11,$J$6:$J$61,"&gt;0",$Q$6:$Q$61,INT((R11+1)/2))+SUMIFS($F$6:$F$61,$C$6:$C$61,C11,$J$6:$J$61,"&gt;0",$Q$6:$Q$61,INT((R11+2)/2)))/2)</x:f>
        <x:v>0.5939393939393939</x:v>
      </x:c>
    </x:row>
    <x:row r="12">
      <x:c r="A12" s="18" t="n">
        <x:f>ROW()-5</x:f>
        <x:v>7</x:v>
      </x:c>
      <x:c r="B12" s="25" t="str">
        <x:f>INDEX('城市数据库'!$A$6:$A$61,MATCH(A12,'城市数据库'!$AG$6:$AG$61,0))</x:f>
        <x:v>武汉</x:v>
      </x:c>
      <x:c r="C12" s="25" t="str">
        <x:f>INDEX('城市数据库'!$C$6:$C$61,MATCH(B12,'城市数据库'!$A$6:$A$61,0))</x:f>
        <x:v>新一线</x:v>
      </x:c>
      <x:c r="D12" s="25" t="str">
        <x:f>INDEX('城市数据库'!$E$6:$E$61,MATCH(B12,'城市数据库'!$A$6:$A$61,0))</x:f>
        <x:v>是</x:v>
      </x:c>
      <x:c r="E12" s="25" t="n">
        <x:f>INDEX('城市数据库'!$F$6:$F$61,MATCH(B12,'城市数据库'!$A$6:$A$61,0))</x:f>
        <x:v>7</x:v>
      </x:c>
      <x:c r="F12" s="49" t="n">
        <x:f>INDEX('城市数据库'!$AD$6:$AD$61,MATCH(B12,'城市数据库'!$A$6:$A$61,0))</x:f>
        <x:v>0.6303030303030303</x:v>
      </x:c>
      <x:c r="G12" s="25" t="n">
        <x:f>--(INDEX('城市数据库'!$G$6:$G$61,MATCH(B12,'城市数据库'!$A$6:$A$61,0))&lt;&gt;"")</x:f>
        <x:v>1</x:v>
      </x:c>
      <x:c r="H12" s="40" t="n">
        <x:f>IF(C12="一线",'核心假设'!$B$21,IF(C12="新一线",'核心假设'!$B$22,IF(C12="二线",'核心假设'!$B$23,'核心假设'!$B$24)))</x:f>
        <x:v>800</x:v>
      </x:c>
      <x:c r="I12" s="37" t="n">
        <x:f>SUM($J$6:J11)</x:f>
        <x:v>3600</x:v>
      </x:c>
      <x:c r="J12" s="40" t="n">
        <x:f>IF(G12=0,0,IF(D12="是",H12,MAX(0,MIN(H12,'核心假设'!$B$6-I12))))</x:f>
        <x:v>800</x:v>
      </x:c>
      <x:c r="K12" s="40" t="n">
        <x:f>IF(J12=0,0,IF(F12&gt;=S12,'核心假设'!$B$25,'核心假设'!$B$26))</x:f>
        <x:v>0.7</x:v>
      </x:c>
      <x:c r="L12" s="37" t="n">
        <x:f>ROUND((J12*K12)/(2+2*K12),0)</x:f>
        <x:v>165</x:v>
      </x:c>
      <x:c r="M12" s="37" t="n">
        <x:f>(J12-4*L12)/2</x:f>
        <x:v>70</x:v>
      </x:c>
      <x:c r="N12" s="37" t="n">
        <x:f>L12+M12</x:f>
        <x:v>235</x:v>
      </x:c>
      <x:c r="O12" s="37" t="n">
        <x:f>4*L12+2*M12-J12</x:f>
        <x:v>0</x:v>
      </x:c>
      <x:c r="P12" s="37" t="n">
        <x:f>IF(D12="是",MOD(E12-1,6),"")</x:f>
        <x:v>0</x:v>
      </x:c>
      <x:c r="Q12" s="37" t="n">
        <x:f>IF(J12=0,"",COUNTIFS($C$6:$C$61,C12,$J$6:$J$61,"&gt;0",$F$6:$F$61,"&gt;"&amp;F12)+COUNTIFS($C$6:$C$61,C12,$J$6:$J$61,"&gt;0",$F$6:$F$61,F12,$A$6:$A$61,"&lt;"&amp;A12)+1)</x:f>
        <x:v>6</x:v>
      </x:c>
      <x:c r="R12" s="37" t="n">
        <x:f>IF(J12=0,0,COUNTIFS($C$6:$C$61,C12,$J$6:$J$61,"&gt;0"))</x:f>
        <x:v>15</x:v>
      </x:c>
      <x:c r="S12" s="22" t="n">
        <x:f>IF(J12=0,"",(SUMIFS($F$6:$F$61,$C$6:$C$61,C12,$J$6:$J$61,"&gt;0",$Q$6:$Q$61,INT((R12+1)/2))+SUMIFS($F$6:$F$61,$C$6:$C$61,C12,$J$6:$J$61,"&gt;0",$Q$6:$Q$61,INT((R12+2)/2)))/2)</x:f>
        <x:v>0.5939393939393939</x:v>
      </x:c>
    </x:row>
    <x:row r="13">
      <x:c r="A13" s="18" t="n">
        <x:f>ROW()-5</x:f>
        <x:v>8</x:v>
      </x:c>
      <x:c r="B13" s="25" t="str">
        <x:f>INDEX('城市数据库'!$A$6:$A$61,MATCH(A13,'城市数据库'!$AG$6:$AG$61,0))</x:f>
        <x:v>长沙</x:v>
      </x:c>
      <x:c r="C13" s="25" t="str">
        <x:f>INDEX('城市数据库'!$C$6:$C$61,MATCH(B13,'城市数据库'!$A$6:$A$61,0))</x:f>
        <x:v>新一线</x:v>
      </x:c>
      <x:c r="D13" s="25" t="str">
        <x:f>INDEX('城市数据库'!$E$6:$E$61,MATCH(B13,'城市数据库'!$A$6:$A$61,0))</x:f>
        <x:v>是</x:v>
      </x:c>
      <x:c r="E13" s="25" t="n">
        <x:f>INDEX('城市数据库'!$F$6:$F$61,MATCH(B13,'城市数据库'!$A$6:$A$61,0))</x:f>
        <x:v>8</x:v>
      </x:c>
      <x:c r="F13" s="49" t="n">
        <x:f>INDEX('城市数据库'!$AD$6:$AD$61,MATCH(B13,'城市数据库'!$A$6:$A$61,0))</x:f>
        <x:v>0.5151515151515151</x:v>
      </x:c>
      <x:c r="G13" s="25" t="n">
        <x:f>--(INDEX('城市数据库'!$G$6:$G$61,MATCH(B13,'城市数据库'!$A$6:$A$61,0))&lt;&gt;"")</x:f>
        <x:v>1</x:v>
      </x:c>
      <x:c r="H13" s="40" t="n">
        <x:f>IF(C13="一线",'核心假设'!$B$21,IF(C13="新一线",'核心假设'!$B$22,IF(C13="二线",'核心假设'!$B$23,'核心假设'!$B$24)))</x:f>
        <x:v>800</x:v>
      </x:c>
      <x:c r="I13" s="37" t="n">
        <x:f>SUM($J$6:J12)</x:f>
        <x:v>4400</x:v>
      </x:c>
      <x:c r="J13" s="40" t="n">
        <x:f>IF(G13=0,0,IF(D13="是",H13,MAX(0,MIN(H13,'核心假设'!$B$6-I13))))</x:f>
        <x:v>800</x:v>
      </x:c>
      <x:c r="K13" s="40" t="n">
        <x:f>IF(J13=0,0,IF(F13&gt;=S13,'核心假设'!$B$25,'核心假设'!$B$26))</x:f>
        <x:v>0.4</x:v>
      </x:c>
      <x:c r="L13" s="37" t="n">
        <x:f>ROUND((J13*K13)/(2+2*K13),0)</x:f>
        <x:v>114</x:v>
      </x:c>
      <x:c r="M13" s="37" t="n">
        <x:f>(J13-4*L13)/2</x:f>
        <x:v>172</x:v>
      </x:c>
      <x:c r="N13" s="37" t="n">
        <x:f>L13+M13</x:f>
        <x:v>286</x:v>
      </x:c>
      <x:c r="O13" s="37" t="n">
        <x:f>4*L13+2*M13-J13</x:f>
        <x:v>0</x:v>
      </x:c>
      <x:c r="P13" s="37" t="n">
        <x:f>IF(D13="是",MOD(E13-1,6),"")</x:f>
        <x:v>1</x:v>
      </x:c>
      <x:c r="Q13" s="37" t="n">
        <x:f>IF(J13=0,"",COUNTIFS($C$6:$C$61,C13,$J$6:$J$61,"&gt;0",$F$6:$F$61,"&gt;"&amp;F13)+COUNTIFS($C$6:$C$61,C13,$J$6:$J$61,"&gt;0",$F$6:$F$61,F13,$A$6:$A$61,"&lt;"&amp;A13)+1)</x:f>
        <x:v>11</x:v>
      </x:c>
      <x:c r="R13" s="37" t="n">
        <x:f>IF(J13=0,0,COUNTIFS($C$6:$C$61,C13,$J$6:$J$61,"&gt;0"))</x:f>
        <x:v>15</x:v>
      </x:c>
      <x:c r="S13" s="22" t="n">
        <x:f>IF(J13=0,"",(SUMIFS($F$6:$F$61,$C$6:$C$61,C13,$J$6:$J$61,"&gt;0",$Q$6:$Q$61,INT((R13+1)/2))+SUMIFS($F$6:$F$61,$C$6:$C$61,C13,$J$6:$J$61,"&gt;0",$Q$6:$Q$61,INT((R13+2)/2)))/2)</x:f>
        <x:v>0.5939393939393939</x:v>
      </x:c>
    </x:row>
    <x:row r="14">
      <x:c r="A14" s="18" t="n">
        <x:f>ROW()-5</x:f>
        <x:v>9</x:v>
      </x:c>
      <x:c r="B14" s="25" t="str">
        <x:f>INDEX('城市数据库'!$A$6:$A$61,MATCH(A14,'城市数据库'!$AG$6:$AG$61,0))</x:f>
        <x:v>宿迁</x:v>
      </x:c>
      <x:c r="C14" s="25" t="str">
        <x:f>INDEX('城市数据库'!$C$6:$C$61,MATCH(B14,'城市数据库'!$A$6:$A$61,0))</x:f>
        <x:v>三线</x:v>
      </x:c>
      <x:c r="D14" s="25" t="str">
        <x:f>INDEX('城市数据库'!$E$6:$E$61,MATCH(B14,'城市数据库'!$A$6:$A$61,0))</x:f>
        <x:v>是</x:v>
      </x:c>
      <x:c r="E14" s="25" t="n">
        <x:f>INDEX('城市数据库'!$F$6:$F$61,MATCH(B14,'城市数据库'!$A$6:$A$61,0))</x:f>
        <x:v>9</x:v>
      </x:c>
      <x:c r="F14" s="49" t="n">
        <x:f>INDEX('城市数据库'!$AD$6:$AD$61,MATCH(B14,'城市数据库'!$A$6:$A$61,0))</x:f>
        <x:v>0.7922077922077921</x:v>
      </x:c>
      <x:c r="G14" s="25" t="n">
        <x:f>--(INDEX('城市数据库'!$G$6:$G$61,MATCH(B14,'城市数据库'!$A$6:$A$61,0))&lt;&gt;"")</x:f>
        <x:v>1</x:v>
      </x:c>
      <x:c r="H14" s="40" t="n">
        <x:f>IF(C14="一线",'核心假设'!$B$21,IF(C14="新一线",'核心假设'!$B$22,IF(C14="二线",'核心假设'!$B$23,'核心假设'!$B$24)))</x:f>
        <x:v>400</x:v>
      </x:c>
      <x:c r="I14" s="37" t="n">
        <x:f>SUM($J$6:J13)</x:f>
        <x:v>5200</x:v>
      </x:c>
      <x:c r="J14" s="40" t="n">
        <x:f>IF(G14=0,0,IF(D14="是",H14,MAX(0,MIN(H14,'核心假设'!$B$6-I14))))</x:f>
        <x:v>400</x:v>
      </x:c>
      <x:c r="K14" s="40" t="n">
        <x:f>IF(J14=0,0,IF(F14&gt;=S14,'核心假设'!$B$25,'核心假设'!$B$26))</x:f>
        <x:v>0.7</x:v>
      </x:c>
      <x:c r="L14" s="37" t="n">
        <x:f>ROUND((J14*K14)/(2+2*K14),0)</x:f>
        <x:v>82</x:v>
      </x:c>
      <x:c r="M14" s="37" t="n">
        <x:f>(J14-4*L14)/2</x:f>
        <x:v>36</x:v>
      </x:c>
      <x:c r="N14" s="37" t="n">
        <x:f>L14+M14</x:f>
        <x:v>118</x:v>
      </x:c>
      <x:c r="O14" s="37" t="n">
        <x:f>4*L14+2*M14-J14</x:f>
        <x:v>0</x:v>
      </x:c>
      <x:c r="P14" s="37" t="n">
        <x:f>IF(D14="是",MOD(E14-1,6),"")</x:f>
        <x:v>2</x:v>
      </x:c>
      <x:c r="Q14" s="37" t="n">
        <x:f>IF(J14=0,"",COUNTIFS($C$6:$C$61,C14,$J$6:$J$61,"&gt;0",$F$6:$F$61,"&gt;"&amp;F14)+COUNTIFS($C$6:$C$61,C14,$J$6:$J$61,"&gt;0",$F$6:$F$61,F14,$A$6:$A$61,"&lt;"&amp;A14)+1)</x:f>
        <x:v>1</x:v>
      </x:c>
      <x:c r="R14" s="37" t="n">
        <x:f>IF(J14=0,0,COUNTIFS($C$6:$C$61,C14,$J$6:$J$61,"&gt;0"))</x:f>
        <x:v>7</x:v>
      </x:c>
      <x:c r="S14" s="22" t="n">
        <x:f>IF(J14=0,"",(SUMIFS($F$6:$F$61,$C$6:$C$61,C14,$J$6:$J$61,"&gt;0",$Q$6:$Q$61,INT((R14+1)/2))+SUMIFS($F$6:$F$61,$C$6:$C$61,C14,$J$6:$J$61,"&gt;0",$Q$6:$Q$61,INT((R14+2)/2)))/2)</x:f>
        <x:v>0.5194805194805194</x:v>
      </x:c>
    </x:row>
    <x:row r="15">
      <x:c r="A15" s="18" t="n">
        <x:f>ROW()-5</x:f>
        <x:v>10</x:v>
      </x:c>
      <x:c r="B15" s="25" t="str">
        <x:f>INDEX('城市数据库'!$A$6:$A$61,MATCH(A15,'城市数据库'!$AG$6:$AG$61,0))</x:f>
        <x:v>杭州</x:v>
      </x:c>
      <x:c r="C15" s="25" t="str">
        <x:f>INDEX('城市数据库'!$C$6:$C$61,MATCH(B15,'城市数据库'!$A$6:$A$61,0))</x:f>
        <x:v>新一线</x:v>
      </x:c>
      <x:c r="D15" s="25" t="str">
        <x:f>INDEX('城市数据库'!$E$6:$E$61,MATCH(B15,'城市数据库'!$A$6:$A$61,0))</x:f>
        <x:v>是</x:v>
      </x:c>
      <x:c r="E15" s="25" t="n">
        <x:f>INDEX('城市数据库'!$F$6:$F$61,MATCH(B15,'城市数据库'!$A$6:$A$61,0))</x:f>
        <x:v>10</x:v>
      </x:c>
      <x:c r="F15" s="49" t="n">
        <x:f>INDEX('城市数据库'!$AD$6:$AD$61,MATCH(B15,'城市数据库'!$A$6:$A$61,0))</x:f>
        <x:v>0.6848484848484848</x:v>
      </x:c>
      <x:c r="G15" s="25" t="n">
        <x:f>--(INDEX('城市数据库'!$G$6:$G$61,MATCH(B15,'城市数据库'!$A$6:$A$61,0))&lt;&gt;"")</x:f>
        <x:v>1</x:v>
      </x:c>
      <x:c r="H15" s="40" t="n">
        <x:f>IF(C15="一线",'核心假设'!$B$21,IF(C15="新一线",'核心假设'!$B$22,IF(C15="二线",'核心假设'!$B$23,'核心假设'!$B$24)))</x:f>
        <x:v>800</x:v>
      </x:c>
      <x:c r="I15" s="37" t="n">
        <x:f>SUM($J$6:J14)</x:f>
        <x:v>5600</x:v>
      </x:c>
      <x:c r="J15" s="40" t="n">
        <x:f>IF(G15=0,0,IF(D15="是",H15,MAX(0,MIN(H15,'核心假设'!$B$6-I15))))</x:f>
        <x:v>800</x:v>
      </x:c>
      <x:c r="K15" s="40" t="n">
        <x:f>IF(J15=0,0,IF(F15&gt;=S15,'核心假设'!$B$25,'核心假设'!$B$26))</x:f>
        <x:v>0.7</x:v>
      </x:c>
      <x:c r="L15" s="37" t="n">
        <x:f>ROUND((J15*K15)/(2+2*K15),0)</x:f>
        <x:v>165</x:v>
      </x:c>
      <x:c r="M15" s="37" t="n">
        <x:f>(J15-4*L15)/2</x:f>
        <x:v>70</x:v>
      </x:c>
      <x:c r="N15" s="37" t="n">
        <x:f>L15+M15</x:f>
        <x:v>235</x:v>
      </x:c>
      <x:c r="O15" s="37" t="n">
        <x:f>4*L15+2*M15-J15</x:f>
        <x:v>0</x:v>
      </x:c>
      <x:c r="P15" s="37" t="n">
        <x:f>IF(D15="是",MOD(E15-1,6),"")</x:f>
        <x:v>3</x:v>
      </x:c>
      <x:c r="Q15" s="37" t="n">
        <x:f>IF(J15=0,"",COUNTIFS($C$6:$C$61,C15,$J$6:$J$61,"&gt;0",$F$6:$F$61,"&gt;"&amp;F15)+COUNTIFS($C$6:$C$61,C15,$J$6:$J$61,"&gt;0",$F$6:$F$61,F15,$A$6:$A$61,"&lt;"&amp;A15)+1)</x:f>
        <x:v>3</x:v>
      </x:c>
      <x:c r="R15" s="37" t="n">
        <x:f>IF(J15=0,0,COUNTIFS($C$6:$C$61,C15,$J$6:$J$61,"&gt;0"))</x:f>
        <x:v>15</x:v>
      </x:c>
      <x:c r="S15" s="22" t="n">
        <x:f>IF(J15=0,"",(SUMIFS($F$6:$F$61,$C$6:$C$61,C15,$J$6:$J$61,"&gt;0",$Q$6:$Q$61,INT((R15+1)/2))+SUMIFS($F$6:$F$61,$C$6:$C$61,C15,$J$6:$J$61,"&gt;0",$Q$6:$Q$61,INT((R15+2)/2)))/2)</x:f>
        <x:v>0.5939393939393939</x:v>
      </x:c>
    </x:row>
    <x:row r="16">
      <x:c r="A16" s="18" t="n">
        <x:f>ROW()-5</x:f>
        <x:v>11</x:v>
      </x:c>
      <x:c r="B16" s="25" t="str">
        <x:f>INDEX('城市数据库'!$A$6:$A$61,MATCH(A16,'城市数据库'!$AG$6:$AG$61,0))</x:f>
        <x:v>徐州</x:v>
      </x:c>
      <x:c r="C16" s="25" t="str">
        <x:f>INDEX('城市数据库'!$C$6:$C$61,MATCH(B16,'城市数据库'!$A$6:$A$61,0))</x:f>
        <x:v>二线</x:v>
      </x:c>
      <x:c r="D16" s="25" t="str">
        <x:f>INDEX('城市数据库'!$E$6:$E$61,MATCH(B16,'城市数据库'!$A$6:$A$61,0))</x:f>
        <x:v>是</x:v>
      </x:c>
      <x:c r="E16" s="25" t="n">
        <x:f>INDEX('城市数据库'!$F$6:$F$61,MATCH(B16,'城市数据库'!$A$6:$A$61,0))</x:f>
        <x:v>11</x:v>
      </x:c>
      <x:c r="F16" s="49" t="n">
        <x:f>INDEX('城市数据库'!$AD$6:$AD$61,MATCH(B16,'城市数据库'!$A$6:$A$61,0))</x:f>
        <x:v>0.4939393939393939</x:v>
      </x:c>
      <x:c r="G16" s="25" t="n">
        <x:f>--(INDEX('城市数据库'!$G$6:$G$61,MATCH(B16,'城市数据库'!$A$6:$A$61,0))&lt;&gt;"")</x:f>
        <x:v>1</x:v>
      </x:c>
      <x:c r="H16" s="40" t="n">
        <x:f>IF(C16="一线",'核心假设'!$B$21,IF(C16="新一线",'核心假设'!$B$22,IF(C16="二线",'核心假设'!$B$23,'核心假设'!$B$24)))</x:f>
        <x:v>600</x:v>
      </x:c>
      <x:c r="I16" s="37" t="n">
        <x:f>SUM($J$6:J15)</x:f>
        <x:v>6400</x:v>
      </x:c>
      <x:c r="J16" s="40" t="n">
        <x:f>IF(G16=0,0,IF(D16="是",H16,MAX(0,MIN(H16,'核心假设'!$B$6-I16))))</x:f>
        <x:v>600</x:v>
      </x:c>
      <x:c r="K16" s="40" t="n">
        <x:f>IF(J16=0,0,IF(F16&gt;=S16,'核心假设'!$B$25,'核心假设'!$B$26))</x:f>
        <x:v>0.4</x:v>
      </x:c>
      <x:c r="L16" s="37" t="n">
        <x:f>ROUND((J16*K16)/(2+2*K16),0)</x:f>
        <x:v>86</x:v>
      </x:c>
      <x:c r="M16" s="37" t="n">
        <x:f>(J16-4*L16)/2</x:f>
        <x:v>128</x:v>
      </x:c>
      <x:c r="N16" s="37" t="n">
        <x:f>L16+M16</x:f>
        <x:v>214</x:v>
      </x:c>
      <x:c r="O16" s="37" t="n">
        <x:f>4*L16+2*M16-J16</x:f>
        <x:v>0</x:v>
      </x:c>
      <x:c r="P16" s="37" t="n">
        <x:f>IF(D16="是",MOD(E16-1,6),"")</x:f>
        <x:v>4</x:v>
      </x:c>
      <x:c r="Q16" s="37" t="n">
        <x:f>IF(J16=0,"",COUNTIFS($C$6:$C$61,C16,$J$6:$J$61,"&gt;0",$F$6:$F$61,"&gt;"&amp;F16)+COUNTIFS($C$6:$C$61,C16,$J$6:$J$61,"&gt;0",$F$6:$F$61,F16,$A$6:$A$61,"&lt;"&amp;A16)+1)</x:f>
        <x:v>14</x:v>
      </x:c>
      <x:c r="R16" s="37" t="n">
        <x:f>IF(J16=0,0,COUNTIFS($C$6:$C$61,C16,$J$6:$J$61,"&gt;0"))</x:f>
        <x:v>19</x:v>
      </x:c>
      <x:c r="S16" s="22" t="n">
        <x:f>IF(J16=0,"",(SUMIFS($F$6:$F$61,$C$6:$C$61,C16,$J$6:$J$61,"&gt;0",$Q$6:$Q$61,INT((R16+1)/2))+SUMIFS($F$6:$F$61,$C$6:$C$61,C16,$J$6:$J$61,"&gt;0",$Q$6:$Q$61,INT((R16+2)/2)))/2)</x:f>
        <x:v>0.6636363636363636</x:v>
      </x:c>
    </x:row>
    <x:row r="17">
      <x:c r="A17" s="18" t="n">
        <x:f>ROW()-5</x:f>
        <x:v>12</x:v>
      </x:c>
      <x:c r="B17" s="25" t="str">
        <x:f>INDEX('城市数据库'!$A$6:$A$61,MATCH(A17,'城市数据库'!$AG$6:$AG$61,0))</x:f>
        <x:v>深圳</x:v>
      </x:c>
      <x:c r="C17" s="25" t="str">
        <x:f>INDEX('城市数据库'!$C$6:$C$61,MATCH(B17,'城市数据库'!$A$6:$A$61,0))</x:f>
        <x:v>一线</x:v>
      </x:c>
      <x:c r="D17" s="25" t="str">
        <x:f>INDEX('城市数据库'!$E$6:$E$61,MATCH(B17,'城市数据库'!$A$6:$A$61,0))</x:f>
        <x:v>是</x:v>
      </x:c>
      <x:c r="E17" s="25" t="n">
        <x:f>INDEX('城市数据库'!$F$6:$F$61,MATCH(B17,'城市数据库'!$A$6:$A$61,0))</x:f>
        <x:v>12</x:v>
      </x:c>
      <x:c r="F17" s="49" t="n">
        <x:f>INDEX('城市数据库'!$AD$6:$AD$61,MATCH(B17,'城市数据库'!$A$6:$A$61,0))</x:f>
        <x:v>0.47727272727272724</x:v>
      </x:c>
      <x:c r="G17" s="25" t="n">
        <x:f>--(INDEX('城市数据库'!$G$6:$G$61,MATCH(B17,'城市数据库'!$A$6:$A$61,0))&lt;&gt;"")</x:f>
        <x:v>1</x:v>
      </x:c>
      <x:c r="H17" s="40" t="n">
        <x:f>IF(C17="一线",'核心假设'!$B$21,IF(C17="新一线",'核心假设'!$B$22,IF(C17="二线",'核心假设'!$B$23,'核心假设'!$B$24)))</x:f>
        <x:v>1000</x:v>
      </x:c>
      <x:c r="I17" s="37" t="n">
        <x:f>SUM($J$6:J16)</x:f>
        <x:v>7000</x:v>
      </x:c>
      <x:c r="J17" s="40" t="n">
        <x:f>IF(G17=0,0,IF(D17="是",H17,MAX(0,MIN(H17,'核心假设'!$B$6-I17))))</x:f>
        <x:v>1000</x:v>
      </x:c>
      <x:c r="K17" s="40" t="n">
        <x:f>IF(J17=0,0,IF(F17&gt;=S17,'核心假设'!$B$25,'核心假设'!$B$26))</x:f>
        <x:v>0.4</x:v>
      </x:c>
      <x:c r="L17" s="37" t="n">
        <x:f>ROUND((J17*K17)/(2+2*K17),0)</x:f>
        <x:v>143</x:v>
      </x:c>
      <x:c r="M17" s="37" t="n">
        <x:f>(J17-4*L17)/2</x:f>
        <x:v>214</x:v>
      </x:c>
      <x:c r="N17" s="37" t="n">
        <x:f>L17+M17</x:f>
        <x:v>357</x:v>
      </x:c>
      <x:c r="O17" s="37" t="n">
        <x:f>4*L17+2*M17-J17</x:f>
        <x:v>0</x:v>
      </x:c>
      <x:c r="P17" s="37" t="n">
        <x:f>IF(D17="是",MOD(E17-1,6),"")</x:f>
        <x:v>5</x:v>
      </x:c>
      <x:c r="Q17" s="37" t="n">
        <x:f>IF(J17=0,"",COUNTIFS($C$6:$C$61,C17,$J$6:$J$61,"&gt;0",$F$6:$F$61,"&gt;"&amp;F17)+COUNTIFS($C$6:$C$61,C17,$J$6:$J$61,"&gt;0",$F$6:$F$61,F17,$A$6:$A$61,"&lt;"&amp;A17)+1)</x:f>
        <x:v>4</x:v>
      </x:c>
      <x:c r="R17" s="37" t="n">
        <x:f>IF(J17=0,0,COUNTIFS($C$6:$C$61,C17,$J$6:$J$61,"&gt;0"))</x:f>
        <x:v>4</x:v>
      </x:c>
      <x:c r="S17" s="22" t="n">
        <x:f>IF(J17=0,"",(SUMIFS($F$6:$F$61,$C$6:$C$61,C17,$J$6:$J$61,"&gt;0",$Q$6:$Q$61,INT((R17+1)/2))+SUMIFS($F$6:$F$61,$C$6:$C$61,C17,$J$6:$J$61,"&gt;0",$Q$6:$Q$61,INT((R17+2)/2)))/2)</x:f>
        <x:v>0.625</x:v>
      </x:c>
    </x:row>
    <x:row r="18">
      <x:c r="A18" s="18" t="n">
        <x:f>ROW()-5</x:f>
        <x:v>13</x:v>
      </x:c>
      <x:c r="B18" s="25" t="str">
        <x:f>INDEX('城市数据库'!$A$6:$A$61,MATCH(A18,'城市数据库'!$AG$6:$AG$61,0))</x:f>
        <x:v>嘉兴</x:v>
      </x:c>
      <x:c r="C18" s="25" t="str">
        <x:f>INDEX('城市数据库'!$C$6:$C$61,MATCH(B18,'城市数据库'!$A$6:$A$61,0))</x:f>
        <x:v>二线</x:v>
      </x:c>
      <x:c r="D18" s="25" t="str">
        <x:f>INDEX('城市数据库'!$E$6:$E$61,MATCH(B18,'城市数据库'!$A$6:$A$61,0))</x:f>
        <x:v>是</x:v>
      </x:c>
      <x:c r="E18" s="25" t="n">
        <x:f>INDEX('城市数据库'!$F$6:$F$61,MATCH(B18,'城市数据库'!$A$6:$A$61,0))</x:f>
        <x:v>13</x:v>
      </x:c>
      <x:c r="F18" s="49" t="n">
        <x:f>INDEX('城市数据库'!$AD$6:$AD$61,MATCH(B18,'城市数据库'!$A$6:$A$61,0))</x:f>
        <x:v>0.12424242424242422</x:v>
      </x:c>
      <x:c r="G18" s="25" t="n">
        <x:f>--(INDEX('城市数据库'!$G$6:$G$61,MATCH(B18,'城市数据库'!$A$6:$A$61,0))&lt;&gt;"")</x:f>
        <x:v>1</x:v>
      </x:c>
      <x:c r="H18" s="40" t="n">
        <x:f>IF(C18="一线",'核心假设'!$B$21,IF(C18="新一线",'核心假设'!$B$22,IF(C18="二线",'核心假设'!$B$23,'核心假设'!$B$24)))</x:f>
        <x:v>600</x:v>
      </x:c>
      <x:c r="I18" s="37" t="n">
        <x:f>SUM($J$6:J17)</x:f>
        <x:v>8000</x:v>
      </x:c>
      <x:c r="J18" s="40" t="n">
        <x:f>IF(G18=0,0,IF(D18="是",H18,MAX(0,MIN(H18,'核心假设'!$B$6-I18))))</x:f>
        <x:v>600</x:v>
      </x:c>
      <x:c r="K18" s="40" t="n">
        <x:f>IF(J18=0,0,IF(F18&gt;=S18,'核心假设'!$B$25,'核心假设'!$B$26))</x:f>
        <x:v>0.4</x:v>
      </x:c>
      <x:c r="L18" s="37" t="n">
        <x:f>ROUND((J18*K18)/(2+2*K18),0)</x:f>
        <x:v>86</x:v>
      </x:c>
      <x:c r="M18" s="37" t="n">
        <x:f>(J18-4*L18)/2</x:f>
        <x:v>128</x:v>
      </x:c>
      <x:c r="N18" s="37" t="n">
        <x:f>L18+M18</x:f>
        <x:v>214</x:v>
      </x:c>
      <x:c r="O18" s="37" t="n">
        <x:f>4*L18+2*M18-J18</x:f>
        <x:v>0</x:v>
      </x:c>
      <x:c r="P18" s="37" t="n">
        <x:f>IF(D18="是",MOD(E18-1,6),"")</x:f>
        <x:v>0</x:v>
      </x:c>
      <x:c r="Q18" s="37" t="n">
        <x:f>IF(J18=0,"",COUNTIFS($C$6:$C$61,C18,$J$6:$J$61,"&gt;0",$F$6:$F$61,"&gt;"&amp;F18)+COUNTIFS($C$6:$C$61,C18,$J$6:$J$61,"&gt;0",$F$6:$F$61,F18,$A$6:$A$61,"&lt;"&amp;A18)+1)</x:f>
        <x:v>18</x:v>
      </x:c>
      <x:c r="R18" s="37" t="n">
        <x:f>IF(J18=0,0,COUNTIFS($C$6:$C$61,C18,$J$6:$J$61,"&gt;0"))</x:f>
        <x:v>19</x:v>
      </x:c>
      <x:c r="S18" s="22" t="n">
        <x:f>IF(J18=0,"",(SUMIFS($F$6:$F$61,$C$6:$C$61,C18,$J$6:$J$61,"&gt;0",$Q$6:$Q$61,INT((R18+1)/2))+SUMIFS($F$6:$F$61,$C$6:$C$61,C18,$J$6:$J$61,"&gt;0",$Q$6:$Q$61,INT((R18+2)/2)))/2)</x:f>
        <x:v>0.6636363636363636</x:v>
      </x:c>
    </x:row>
    <x:row r="19">
      <x:c r="A19" s="18" t="n">
        <x:f>ROW()-5</x:f>
        <x:v>14</x:v>
      </x:c>
      <x:c r="B19" s="25" t="str">
        <x:f>INDEX('城市数据库'!$A$6:$A$61,MATCH(A19,'城市数据库'!$AG$6:$AG$61,0))</x:f>
        <x:v>金华</x:v>
      </x:c>
      <x:c r="C19" s="25" t="str">
        <x:f>INDEX('城市数据库'!$C$6:$C$61,MATCH(B19,'城市数据库'!$A$6:$A$61,0))</x:f>
        <x:v>二线</x:v>
      </x:c>
      <x:c r="D19" s="25" t="str">
        <x:f>INDEX('城市数据库'!$E$6:$E$61,MATCH(B19,'城市数据库'!$A$6:$A$61,0))</x:f>
        <x:v>是</x:v>
      </x:c>
      <x:c r="E19" s="25" t="n">
        <x:f>INDEX('城市数据库'!$F$6:$F$61,MATCH(B19,'城市数据库'!$A$6:$A$61,0))</x:f>
        <x:v>14</x:v>
      </x:c>
      <x:c r="F19" s="49" t="n">
        <x:f>INDEX('城市数据库'!$AD$6:$AD$61,MATCH(B19,'城市数据库'!$A$6:$A$61,0))</x:f>
        <x:v>0.41212121212121205</x:v>
      </x:c>
      <x:c r="G19" s="25" t="n">
        <x:f>--(INDEX('城市数据库'!$G$6:$G$61,MATCH(B19,'城市数据库'!$A$6:$A$61,0))&lt;&gt;"")</x:f>
        <x:v>1</x:v>
      </x:c>
      <x:c r="H19" s="40" t="n">
        <x:f>IF(C19="一线",'核心假设'!$B$21,IF(C19="新一线",'核心假设'!$B$22,IF(C19="二线",'核心假设'!$B$23,'核心假设'!$B$24)))</x:f>
        <x:v>600</x:v>
      </x:c>
      <x:c r="I19" s="37" t="n">
        <x:f>SUM($J$6:J18)</x:f>
        <x:v>8600</x:v>
      </x:c>
      <x:c r="J19" s="40" t="n">
        <x:f>IF(G19=0,0,IF(D19="是",H19,MAX(0,MIN(H19,'核心假设'!$B$6-I19))))</x:f>
        <x:v>600</x:v>
      </x:c>
      <x:c r="K19" s="40" t="n">
        <x:f>IF(J19=0,0,IF(F19&gt;=S19,'核心假设'!$B$25,'核心假设'!$B$26))</x:f>
        <x:v>0.4</x:v>
      </x:c>
      <x:c r="L19" s="37" t="n">
        <x:f>ROUND((J19*K19)/(2+2*K19),0)</x:f>
        <x:v>86</x:v>
      </x:c>
      <x:c r="M19" s="37" t="n">
        <x:f>(J19-4*L19)/2</x:f>
        <x:v>128</x:v>
      </x:c>
      <x:c r="N19" s="37" t="n">
        <x:f>L19+M19</x:f>
        <x:v>214</x:v>
      </x:c>
      <x:c r="O19" s="37" t="n">
        <x:f>4*L19+2*M19-J19</x:f>
        <x:v>0</x:v>
      </x:c>
      <x:c r="P19" s="37" t="n">
        <x:f>IF(D19="是",MOD(E19-1,6),"")</x:f>
        <x:v>1</x:v>
      </x:c>
      <x:c r="Q19" s="37" t="n">
        <x:f>IF(J19=0,"",COUNTIFS($C$6:$C$61,C19,$J$6:$J$61,"&gt;0",$F$6:$F$61,"&gt;"&amp;F19)+COUNTIFS($C$6:$C$61,C19,$J$6:$J$61,"&gt;0",$F$6:$F$61,F19,$A$6:$A$61,"&lt;"&amp;A19)+1)</x:f>
        <x:v>15</x:v>
      </x:c>
      <x:c r="R19" s="37" t="n">
        <x:f>IF(J19=0,0,COUNTIFS($C$6:$C$61,C19,$J$6:$J$61,"&gt;0"))</x:f>
        <x:v>19</x:v>
      </x:c>
      <x:c r="S19" s="22" t="n">
        <x:f>IF(J19=0,"",(SUMIFS($F$6:$F$61,$C$6:$C$61,C19,$J$6:$J$61,"&gt;0",$Q$6:$Q$61,INT((R19+1)/2))+SUMIFS($F$6:$F$61,$C$6:$C$61,C19,$J$6:$J$61,"&gt;0",$Q$6:$Q$61,INT((R19+2)/2)))/2)</x:f>
        <x:v>0.6636363636363636</x:v>
      </x:c>
    </x:row>
    <x:row r="20">
      <x:c r="A20" s="18" t="n">
        <x:f>ROW()-5</x:f>
        <x:v>15</x:v>
      </x:c>
      <x:c r="B20" s="25" t="str">
        <x:f>INDEX('城市数据库'!$A$6:$A$61,MATCH(A20,'城市数据库'!$AG$6:$AG$61,0))</x:f>
        <x:v>北京</x:v>
      </x:c>
      <x:c r="C20" s="25" t="str">
        <x:f>INDEX('城市数据库'!$C$6:$C$61,MATCH(B20,'城市数据库'!$A$6:$A$61,0))</x:f>
        <x:v>一线</x:v>
      </x:c>
      <x:c r="D20" s="25" t="str">
        <x:f>INDEX('城市数据库'!$E$6:$E$61,MATCH(B20,'城市数据库'!$A$6:$A$61,0))</x:f>
        <x:v>是</x:v>
      </x:c>
      <x:c r="E20" s="25" t="n">
        <x:f>INDEX('城市数据库'!$F$6:$F$61,MATCH(B20,'城市数据库'!$A$6:$A$61,0))</x:f>
        <x:v>15</x:v>
      </x:c>
      <x:c r="F20" s="49" t="n">
        <x:f>INDEX('城市数据库'!$AD$6:$AD$61,MATCH(B20,'城市数据库'!$A$6:$A$61,0))</x:f>
        <x:v>0.75</x:v>
      </x:c>
      <x:c r="G20" s="25" t="n">
        <x:f>--(INDEX('城市数据库'!$G$6:$G$61,MATCH(B20,'城市数据库'!$A$6:$A$61,0))&lt;&gt;"")</x:f>
        <x:v>1</x:v>
      </x:c>
      <x:c r="H20" s="40" t="n">
        <x:f>IF(C20="一线",'核心假设'!$B$21,IF(C20="新一线",'核心假设'!$B$22,IF(C20="二线",'核心假设'!$B$23,'核心假设'!$B$24)))</x:f>
        <x:v>1000</x:v>
      </x:c>
      <x:c r="I20" s="37" t="n">
        <x:f>SUM($J$6:J19)</x:f>
        <x:v>9200</x:v>
      </x:c>
      <x:c r="J20" s="40" t="n">
        <x:f>IF(G20=0,0,IF(D20="是",H20,MAX(0,MIN(H20,'核心假设'!$B$6-I20))))</x:f>
        <x:v>1000</x:v>
      </x:c>
      <x:c r="K20" s="40" t="n">
        <x:f>IF(J20=0,0,IF(F20&gt;=S20,'核心假设'!$B$25,'核心假设'!$B$26))</x:f>
        <x:v>0.7</x:v>
      </x:c>
      <x:c r="L20" s="37" t="n">
        <x:f>ROUND((J20*K20)/(2+2*K20),0)</x:f>
        <x:v>206</x:v>
      </x:c>
      <x:c r="M20" s="37" t="n">
        <x:f>(J20-4*L20)/2</x:f>
        <x:v>88</x:v>
      </x:c>
      <x:c r="N20" s="37" t="n">
        <x:f>L20+M20</x:f>
        <x:v>294</x:v>
      </x:c>
      <x:c r="O20" s="37" t="n">
        <x:f>4*L20+2*M20-J20</x:f>
        <x:v>0</x:v>
      </x:c>
      <x:c r="P20" s="37" t="n">
        <x:f>IF(D20="是",MOD(E20-1,6),"")</x:f>
        <x:v>2</x:v>
      </x:c>
      <x:c r="Q20" s="37" t="n">
        <x:f>IF(J20=0,"",COUNTIFS($C$6:$C$61,C20,$J$6:$J$61,"&gt;0",$F$6:$F$61,"&gt;"&amp;F20)+COUNTIFS($C$6:$C$61,C20,$J$6:$J$61,"&gt;0",$F$6:$F$61,F20,$A$6:$A$61,"&lt;"&amp;A20)+1)</x:f>
        <x:v>2</x:v>
      </x:c>
      <x:c r="R20" s="37" t="n">
        <x:f>IF(J20=0,0,COUNTIFS($C$6:$C$61,C20,$J$6:$J$61,"&gt;0"))</x:f>
        <x:v>4</x:v>
      </x:c>
      <x:c r="S20" s="22" t="n">
        <x:f>IF(J20=0,"",(SUMIFS($F$6:$F$61,$C$6:$C$61,C20,$J$6:$J$61,"&gt;0",$Q$6:$Q$61,INT((R20+1)/2))+SUMIFS($F$6:$F$61,$C$6:$C$61,C20,$J$6:$J$61,"&gt;0",$Q$6:$Q$61,INT((R20+2)/2)))/2)</x:f>
        <x:v>0.625</x:v>
      </x:c>
    </x:row>
    <x:row r="21">
      <x:c r="A21" s="18" t="n">
        <x:f>ROW()-5</x:f>
        <x:v>16</x:v>
      </x:c>
      <x:c r="B21" s="25" t="str">
        <x:f>INDEX('城市数据库'!$A$6:$A$61,MATCH(A21,'城市数据库'!$AG$6:$AG$61,0))</x:f>
        <x:v>天津</x:v>
      </x:c>
      <x:c r="C21" s="25" t="str">
        <x:f>INDEX('城市数据库'!$C$6:$C$61,MATCH(B21,'城市数据库'!$A$6:$A$61,0))</x:f>
        <x:v>新一线</x:v>
      </x:c>
      <x:c r="D21" s="25" t="str">
        <x:f>INDEX('城市数据库'!$E$6:$E$61,MATCH(B21,'城市数据库'!$A$6:$A$61,0))</x:f>
        <x:v>是</x:v>
      </x:c>
      <x:c r="E21" s="25" t="n">
        <x:f>INDEX('城市数据库'!$F$6:$F$61,MATCH(B21,'城市数据库'!$A$6:$A$61,0))</x:f>
        <x:v>16</x:v>
      </x:c>
      <x:c r="F21" s="49" t="n">
        <x:f>INDEX('城市数据库'!$AD$6:$AD$61,MATCH(B21,'城市数据库'!$A$6:$A$61,0))</x:f>
        <x:v>0.5939393939393939</x:v>
      </x:c>
      <x:c r="G21" s="25" t="n">
        <x:f>--(INDEX('城市数据库'!$G$6:$G$61,MATCH(B21,'城市数据库'!$A$6:$A$61,0))&lt;&gt;"")</x:f>
        <x:v>1</x:v>
      </x:c>
      <x:c r="H21" s="40" t="n">
        <x:f>IF(C21="一线",'核心假设'!$B$21,IF(C21="新一线",'核心假设'!$B$22,IF(C21="二线",'核心假设'!$B$23,'核心假设'!$B$24)))</x:f>
        <x:v>800</x:v>
      </x:c>
      <x:c r="I21" s="37" t="n">
        <x:f>SUM($J$6:J20)</x:f>
        <x:v>10200</x:v>
      </x:c>
      <x:c r="J21" s="40" t="n">
        <x:f>IF(G21=0,0,IF(D21="是",H21,MAX(0,MIN(H21,'核心假设'!$B$6-I21))))</x:f>
        <x:v>800</x:v>
      </x:c>
      <x:c r="K21" s="40" t="n">
        <x:f>IF(J21=0,0,IF(F21&gt;=S21,'核心假设'!$B$25,'核心假设'!$B$26))</x:f>
        <x:v>0.7</x:v>
      </x:c>
      <x:c r="L21" s="37" t="n">
        <x:f>ROUND((J21*K21)/(2+2*K21),0)</x:f>
        <x:v>165</x:v>
      </x:c>
      <x:c r="M21" s="37" t="n">
        <x:f>(J21-4*L21)/2</x:f>
        <x:v>70</x:v>
      </x:c>
      <x:c r="N21" s="37" t="n">
        <x:f>L21+M21</x:f>
        <x:v>235</x:v>
      </x:c>
      <x:c r="O21" s="37" t="n">
        <x:f>4*L21+2*M21-J21</x:f>
        <x:v>0</x:v>
      </x:c>
      <x:c r="P21" s="37" t="n">
        <x:f>IF(D21="是",MOD(E21-1,6),"")</x:f>
        <x:v>3</x:v>
      </x:c>
      <x:c r="Q21" s="37" t="n">
        <x:f>IF(J21=0,"",COUNTIFS($C$6:$C$61,C21,$J$6:$J$61,"&gt;0",$F$6:$F$61,"&gt;"&amp;F21)+COUNTIFS($C$6:$C$61,C21,$J$6:$J$61,"&gt;0",$F$6:$F$61,F21,$A$6:$A$61,"&lt;"&amp;A21)+1)</x:f>
        <x:v>8</x:v>
      </x:c>
      <x:c r="R21" s="37" t="n">
        <x:f>IF(J21=0,0,COUNTIFS($C$6:$C$61,C21,$J$6:$J$61,"&gt;0"))</x:f>
        <x:v>15</x:v>
      </x:c>
      <x:c r="S21" s="22" t="n">
        <x:f>IF(J21=0,"",(SUMIFS($F$6:$F$61,$C$6:$C$61,C21,$J$6:$J$61,"&gt;0",$Q$6:$Q$61,INT((R21+1)/2))+SUMIFS($F$6:$F$61,$C$6:$C$61,C21,$J$6:$J$61,"&gt;0",$Q$6:$Q$61,INT((R21+2)/2)))/2)</x:f>
        <x:v>0.5939393939393939</x:v>
      </x:c>
    </x:row>
    <x:row r="22">
      <x:c r="A22" s="18" t="n">
        <x:f>ROW()-5</x:f>
        <x:v>17</x:v>
      </x:c>
      <x:c r="B22" s="25" t="str">
        <x:f>INDEX('城市数据库'!$A$6:$A$61,MATCH(A22,'城市数据库'!$AG$6:$AG$61,0))</x:f>
        <x:v>青岛</x:v>
      </x:c>
      <x:c r="C22" s="25" t="str">
        <x:f>INDEX('城市数据库'!$C$6:$C$61,MATCH(B22,'城市数据库'!$A$6:$A$61,0))</x:f>
        <x:v>新一线</x:v>
      </x:c>
      <x:c r="D22" s="25" t="str">
        <x:f>INDEX('城市数据库'!$E$6:$E$61,MATCH(B22,'城市数据库'!$A$6:$A$61,0))</x:f>
        <x:v>是</x:v>
      </x:c>
      <x:c r="E22" s="25" t="n">
        <x:f>INDEX('城市数据库'!$F$6:$F$61,MATCH(B22,'城市数据库'!$A$6:$A$61,0))</x:f>
        <x:v>17</x:v>
      </x:c>
      <x:c r="F22" s="49" t="n">
        <x:f>INDEX('城市数据库'!$AD$6:$AD$61,MATCH(B22,'城市数据库'!$A$6:$A$61,0))</x:f>
        <x:v>0.24848484848484845</x:v>
      </x:c>
      <x:c r="G22" s="25" t="n">
        <x:f>--(INDEX('城市数据库'!$G$6:$G$61,MATCH(B22,'城市数据库'!$A$6:$A$61,0))&lt;&gt;"")</x:f>
        <x:v>1</x:v>
      </x:c>
      <x:c r="H22" s="40" t="n">
        <x:f>IF(C22="一线",'核心假设'!$B$21,IF(C22="新一线",'核心假设'!$B$22,IF(C22="二线",'核心假设'!$B$23,'核心假设'!$B$24)))</x:f>
        <x:v>800</x:v>
      </x:c>
      <x:c r="I22" s="37" t="n">
        <x:f>SUM($J$6:J21)</x:f>
        <x:v>11000</x:v>
      </x:c>
      <x:c r="J22" s="40" t="n">
        <x:f>IF(G22=0,0,IF(D22="是",H22,MAX(0,MIN(H22,'核心假设'!$B$6-I22))))</x:f>
        <x:v>800</x:v>
      </x:c>
      <x:c r="K22" s="40" t="n">
        <x:f>IF(J22=0,0,IF(F22&gt;=S22,'核心假设'!$B$25,'核心假设'!$B$26))</x:f>
        <x:v>0.4</x:v>
      </x:c>
      <x:c r="L22" s="37" t="n">
        <x:f>ROUND((J22*K22)/(2+2*K22),0)</x:f>
        <x:v>114</x:v>
      </x:c>
      <x:c r="M22" s="37" t="n">
        <x:f>(J22-4*L22)/2</x:f>
        <x:v>172</x:v>
      </x:c>
      <x:c r="N22" s="37" t="n">
        <x:f>L22+M22</x:f>
        <x:v>286</x:v>
      </x:c>
      <x:c r="O22" s="37" t="n">
        <x:f>4*L22+2*M22-J22</x:f>
        <x:v>0</x:v>
      </x:c>
      <x:c r="P22" s="37" t="n">
        <x:f>IF(D22="是",MOD(E22-1,6),"")</x:f>
        <x:v>4</x:v>
      </x:c>
      <x:c r="Q22" s="37" t="n">
        <x:f>IF(J22=0,"",COUNTIFS($C$6:$C$61,C22,$J$6:$J$61,"&gt;0",$F$6:$F$61,"&gt;"&amp;F22)+COUNTIFS($C$6:$C$61,C22,$J$6:$J$61,"&gt;0",$F$6:$F$61,F22,$A$6:$A$61,"&lt;"&amp;A22)+1)</x:f>
        <x:v>14</x:v>
      </x:c>
      <x:c r="R22" s="37" t="n">
        <x:f>IF(J22=0,0,COUNTIFS($C$6:$C$61,C22,$J$6:$J$61,"&gt;0"))</x:f>
        <x:v>15</x:v>
      </x:c>
      <x:c r="S22" s="22" t="n">
        <x:f>IF(J22=0,"",(SUMIFS($F$6:$F$61,$C$6:$C$61,C22,$J$6:$J$61,"&gt;0",$Q$6:$Q$61,INT((R22+1)/2))+SUMIFS($F$6:$F$61,$C$6:$C$61,C22,$J$6:$J$61,"&gt;0",$Q$6:$Q$61,INT((R22+2)/2)))/2)</x:f>
        <x:v>0.5939393939393939</x:v>
      </x:c>
    </x:row>
    <x:row r="23">
      <x:c r="A23" s="18" t="n">
        <x:f>ROW()-5</x:f>
        <x:v>18</x:v>
      </x:c>
      <x:c r="B23" s="25" t="str">
        <x:f>INDEX('城市数据库'!$A$6:$A$61,MATCH(A23,'城市数据库'!$AG$6:$AG$61,0))</x:f>
        <x:v>海口</x:v>
      </x:c>
      <x:c r="C23" s="25" t="str">
        <x:f>INDEX('城市数据库'!$C$6:$C$61,MATCH(B23,'城市数据库'!$A$6:$A$61,0))</x:f>
        <x:v>三线</x:v>
      </x:c>
      <x:c r="D23" s="25" t="str">
        <x:f>INDEX('城市数据库'!$E$6:$E$61,MATCH(B23,'城市数据库'!$A$6:$A$61,0))</x:f>
        <x:v>是</x:v>
      </x:c>
      <x:c r="E23" s="25" t="n">
        <x:f>INDEX('城市数据库'!$F$6:$F$61,MATCH(B23,'城市数据库'!$A$6:$A$61,0))</x:f>
        <x:v>18</x:v>
      </x:c>
      <x:c r="F23" s="49" t="n">
        <x:f>INDEX('城市数据库'!$AD$6:$AD$61,MATCH(B23,'城市数据库'!$A$6:$A$61,0))</x:f>
        <x:v>0.6103896103896103</x:v>
      </x:c>
      <x:c r="G23" s="25" t="n">
        <x:f>--(INDEX('城市数据库'!$G$6:$G$61,MATCH(B23,'城市数据库'!$A$6:$A$61,0))&lt;&gt;"")</x:f>
        <x:v>1</x:v>
      </x:c>
      <x:c r="H23" s="40" t="n">
        <x:f>IF(C23="一线",'核心假设'!$B$21,IF(C23="新一线",'核心假设'!$B$22,IF(C23="二线",'核心假设'!$B$23,'核心假设'!$B$24)))</x:f>
        <x:v>400</x:v>
      </x:c>
      <x:c r="I23" s="37" t="n">
        <x:f>SUM($J$6:J22)</x:f>
        <x:v>11800</x:v>
      </x:c>
      <x:c r="J23" s="40" t="n">
        <x:f>IF(G23=0,0,IF(D23="是",H23,MAX(0,MIN(H23,'核心假设'!$B$6-I23))))</x:f>
        <x:v>400</x:v>
      </x:c>
      <x:c r="K23" s="40" t="n">
        <x:f>IF(J23=0,0,IF(F23&gt;=S23,'核心假设'!$B$25,'核心假设'!$B$26))</x:f>
        <x:v>0.7</x:v>
      </x:c>
      <x:c r="L23" s="37" t="n">
        <x:f>ROUND((J23*K23)/(2+2*K23),0)</x:f>
        <x:v>82</x:v>
      </x:c>
      <x:c r="M23" s="37" t="n">
        <x:f>(J23-4*L23)/2</x:f>
        <x:v>36</x:v>
      </x:c>
      <x:c r="N23" s="37" t="n">
        <x:f>L23+M23</x:f>
        <x:v>118</x:v>
      </x:c>
      <x:c r="O23" s="37" t="n">
        <x:f>4*L23+2*M23-J23</x:f>
        <x:v>0</x:v>
      </x:c>
      <x:c r="P23" s="37" t="n">
        <x:f>IF(D23="是",MOD(E23-1,6),"")</x:f>
        <x:v>5</x:v>
      </x:c>
      <x:c r="Q23" s="37" t="n">
        <x:f>IF(J23=0,"",COUNTIFS($C$6:$C$61,C23,$J$6:$J$61,"&gt;0",$F$6:$F$61,"&gt;"&amp;F23)+COUNTIFS($C$6:$C$61,C23,$J$6:$J$61,"&gt;0",$F$6:$F$61,F23,$A$6:$A$61,"&lt;"&amp;A23)+1)</x:f>
        <x:v>3</x:v>
      </x:c>
      <x:c r="R23" s="37" t="n">
        <x:f>IF(J23=0,0,COUNTIFS($C$6:$C$61,C23,$J$6:$J$61,"&gt;0"))</x:f>
        <x:v>7</x:v>
      </x:c>
      <x:c r="S23" s="22" t="n">
        <x:f>IF(J23=0,"",(SUMIFS($F$6:$F$61,$C$6:$C$61,C23,$J$6:$J$61,"&gt;0",$Q$6:$Q$61,INT((R23+1)/2))+SUMIFS($F$6:$F$61,$C$6:$C$61,C23,$J$6:$J$61,"&gt;0",$Q$6:$Q$61,INT((R23+2)/2)))/2)</x:f>
        <x:v>0.5194805194805194</x:v>
      </x:c>
    </x:row>
    <x:row r="24">
      <x:c r="A24" s="18" t="n">
        <x:f>ROW()-5</x:f>
        <x:v>19</x:v>
      </x:c>
      <x:c r="B24" s="25" t="str">
        <x:f>INDEX('城市数据库'!$A$6:$A$61,MATCH(A24,'城市数据库'!$AG$6:$AG$61,0))</x:f>
        <x:v>三亚</x:v>
      </x:c>
      <x:c r="C24" s="25" t="str">
        <x:f>INDEX('城市数据库'!$C$6:$C$61,MATCH(B24,'城市数据库'!$A$6:$A$61,0))</x:f>
        <x:v>三线</x:v>
      </x:c>
      <x:c r="D24" s="25" t="str">
        <x:f>INDEX('城市数据库'!$E$6:$E$61,MATCH(B24,'城市数据库'!$A$6:$A$61,0))</x:f>
        <x:v>是</x:v>
      </x:c>
      <x:c r="E24" s="25" t="n">
        <x:f>INDEX('城市数据库'!$F$6:$F$61,MATCH(B24,'城市数据库'!$A$6:$A$61,0))</x:f>
        <x:v>19</x:v>
      </x:c>
      <x:c r="F24" s="49" t="n">
        <x:f>INDEX('城市数据库'!$AD$6:$AD$61,MATCH(B24,'城市数据库'!$A$6:$A$61,0))</x:f>
        <x:v>0.46753246753246747</x:v>
      </x:c>
      <x:c r="G24" s="25" t="n">
        <x:f>--(INDEX('城市数据库'!$G$6:$G$61,MATCH(B24,'城市数据库'!$A$6:$A$61,0))&lt;&gt;"")</x:f>
        <x:v>1</x:v>
      </x:c>
      <x:c r="H24" s="40" t="n">
        <x:f>IF(C24="一线",'核心假设'!$B$21,IF(C24="新一线",'核心假设'!$B$22,IF(C24="二线",'核心假设'!$B$23,'核心假设'!$B$24)))</x:f>
        <x:v>400</x:v>
      </x:c>
      <x:c r="I24" s="37" t="n">
        <x:f>SUM($J$6:J23)</x:f>
        <x:v>12200</x:v>
      </x:c>
      <x:c r="J24" s="40" t="n">
        <x:f>IF(G24=0,0,IF(D24="是",H24,MAX(0,MIN(H24,'核心假设'!$B$6-I24))))</x:f>
        <x:v>400</x:v>
      </x:c>
      <x:c r="K24" s="40" t="n">
        <x:f>IF(J24=0,0,IF(F24&gt;=S24,'核心假设'!$B$25,'核心假设'!$B$26))</x:f>
        <x:v>0.4</x:v>
      </x:c>
      <x:c r="L24" s="37" t="n">
        <x:f>ROUND((J24*K24)/(2+2*K24),0)</x:f>
        <x:v>57</x:v>
      </x:c>
      <x:c r="M24" s="37" t="n">
        <x:f>(J24-4*L24)/2</x:f>
        <x:v>86</x:v>
      </x:c>
      <x:c r="N24" s="37" t="n">
        <x:f>L24+M24</x:f>
        <x:v>143</x:v>
      </x:c>
      <x:c r="O24" s="37" t="n">
        <x:f>4*L24+2*M24-J24</x:f>
        <x:v>0</x:v>
      </x:c>
      <x:c r="P24" s="37" t="n">
        <x:f>IF(D24="是",MOD(E24-1,6),"")</x:f>
        <x:v>0</x:v>
      </x:c>
      <x:c r="Q24" s="37" t="n">
        <x:f>IF(J24=0,"",COUNTIFS($C$6:$C$61,C24,$J$6:$J$61,"&gt;0",$F$6:$F$61,"&gt;"&amp;F24)+COUNTIFS($C$6:$C$61,C24,$J$6:$J$61,"&gt;0",$F$6:$F$61,F24,$A$6:$A$61,"&lt;"&amp;A24)+1)</x:f>
        <x:v>7</x:v>
      </x:c>
      <x:c r="R24" s="37" t="n">
        <x:f>IF(J24=0,0,COUNTIFS($C$6:$C$61,C24,$J$6:$J$61,"&gt;0"))</x:f>
        <x:v>7</x:v>
      </x:c>
      <x:c r="S24" s="22" t="n">
        <x:f>IF(J24=0,"",(SUMIFS($F$6:$F$61,$C$6:$C$61,C24,$J$6:$J$61,"&gt;0",$Q$6:$Q$61,INT((R24+1)/2))+SUMIFS($F$6:$F$61,$C$6:$C$61,C24,$J$6:$J$61,"&gt;0",$Q$6:$Q$61,INT((R24+2)/2)))/2)</x:f>
        <x:v>0.5194805194805194</x:v>
      </x:c>
    </x:row>
    <x:row r="25">
      <x:c r="A25" s="18" t="n">
        <x:f>ROW()-5</x:f>
        <x:v>20</x:v>
      </x:c>
      <x:c r="B25" s="25" t="str">
        <x:f>INDEX('城市数据库'!$A$6:$A$61,MATCH(A25,'城市数据库'!$AG$6:$AG$61,0))</x:f>
        <x:v>湖州</x:v>
      </x:c>
      <x:c r="C25" s="25" t="str">
        <x:f>INDEX('城市数据库'!$C$6:$C$61,MATCH(B25,'城市数据库'!$A$6:$A$61,0))</x:f>
        <x:v>三线</x:v>
      </x:c>
      <x:c r="D25" s="25" t="str">
        <x:f>INDEX('城市数据库'!$E$6:$E$61,MATCH(B25,'城市数据库'!$A$6:$A$61,0))</x:f>
        <x:v>是</x:v>
      </x:c>
      <x:c r="E25" s="25" t="n">
        <x:f>INDEX('城市数据库'!$F$6:$F$61,MATCH(B25,'城市数据库'!$A$6:$A$61,0))</x:f>
        <x:v>20</x:v>
      </x:c>
      <x:c r="F25" s="49" t="n">
        <x:f>INDEX('城市数据库'!$AD$6:$AD$61,MATCH(B25,'城市数据库'!$A$6:$A$61,0))</x:f>
        <x:v>0.5064935064935063</x:v>
      </x:c>
      <x:c r="G25" s="25" t="n">
        <x:f>--(INDEX('城市数据库'!$G$6:$G$61,MATCH(B25,'城市数据库'!$A$6:$A$61,0))&lt;&gt;"")</x:f>
        <x:v>1</x:v>
      </x:c>
      <x:c r="H25" s="40" t="n">
        <x:f>IF(C25="一线",'核心假设'!$B$21,IF(C25="新一线",'核心假设'!$B$22,IF(C25="二线",'核心假设'!$B$23,'核心假设'!$B$24)))</x:f>
        <x:v>400</x:v>
      </x:c>
      <x:c r="I25" s="37" t="n">
        <x:f>SUM($J$6:J24)</x:f>
        <x:v>12600</x:v>
      </x:c>
      <x:c r="J25" s="40" t="n">
        <x:f>IF(G25=0,0,IF(D25="是",H25,MAX(0,MIN(H25,'核心假设'!$B$6-I25))))</x:f>
        <x:v>400</x:v>
      </x:c>
      <x:c r="K25" s="40" t="n">
        <x:f>IF(J25=0,0,IF(F25&gt;=S25,'核心假设'!$B$25,'核心假设'!$B$26))</x:f>
        <x:v>0.4</x:v>
      </x:c>
      <x:c r="L25" s="37" t="n">
        <x:f>ROUND((J25*K25)/(2+2*K25),0)</x:f>
        <x:v>57</x:v>
      </x:c>
      <x:c r="M25" s="37" t="n">
        <x:f>(J25-4*L25)/2</x:f>
        <x:v>86</x:v>
      </x:c>
      <x:c r="N25" s="37" t="n">
        <x:f>L25+M25</x:f>
        <x:v>143</x:v>
      </x:c>
      <x:c r="O25" s="37" t="n">
        <x:f>4*L25+2*M25-J25</x:f>
        <x:v>0</x:v>
      </x:c>
      <x:c r="P25" s="37" t="n">
        <x:f>IF(D25="是",MOD(E25-1,6),"")</x:f>
        <x:v>1</x:v>
      </x:c>
      <x:c r="Q25" s="37" t="n">
        <x:f>IF(J25=0,"",COUNTIFS($C$6:$C$61,C25,$J$6:$J$61,"&gt;0",$F$6:$F$61,"&gt;"&amp;F25)+COUNTIFS($C$6:$C$61,C25,$J$6:$J$61,"&gt;0",$F$6:$F$61,F25,$A$6:$A$61,"&lt;"&amp;A25)+1)</x:f>
        <x:v>5</x:v>
      </x:c>
      <x:c r="R25" s="37" t="n">
        <x:f>IF(J25=0,0,COUNTIFS($C$6:$C$61,C25,$J$6:$J$61,"&gt;0"))</x:f>
        <x:v>7</x:v>
      </x:c>
      <x:c r="S25" s="22" t="n">
        <x:f>IF(J25=0,"",(SUMIFS($F$6:$F$61,$C$6:$C$61,C25,$J$6:$J$61,"&gt;0",$Q$6:$Q$61,INT((R25+1)/2))+SUMIFS($F$6:$F$61,$C$6:$C$61,C25,$J$6:$J$61,"&gt;0",$Q$6:$Q$61,INT((R25+2)/2)))/2)</x:f>
        <x:v>0.5194805194805194</x:v>
      </x:c>
    </x:row>
    <x:row r="26">
      <x:c r="A26" s="18" t="n">
        <x:f>ROW()-5</x:f>
        <x:v>21</x:v>
      </x:c>
      <x:c r="B26" s="25" t="str">
        <x:f>INDEX('城市数据库'!$A$6:$A$61,MATCH(A26,'城市数据库'!$AG$6:$AG$61,0))</x:f>
        <x:v>台州</x:v>
      </x:c>
      <x:c r="C26" s="25" t="str">
        <x:f>INDEX('城市数据库'!$C$6:$C$61,MATCH(B26,'城市数据库'!$A$6:$A$61,0))</x:f>
        <x:v>二线</x:v>
      </x:c>
      <x:c r="D26" s="25" t="str">
        <x:f>INDEX('城市数据库'!$E$6:$E$61,MATCH(B26,'城市数据库'!$A$6:$A$61,0))</x:f>
        <x:v>是</x:v>
      </x:c>
      <x:c r="E26" s="25" t="n">
        <x:f>INDEX('城市数据库'!$F$6:$F$61,MATCH(B26,'城市数据库'!$A$6:$A$61,0))</x:f>
        <x:v>21</x:v>
      </x:c>
      <x:c r="F26" s="49" t="n">
        <x:f>INDEX('城市数据库'!$AD$6:$AD$61,MATCH(B26,'城市数据库'!$A$6:$A$61,0))</x:f>
        <x:v>0.37878787878787873</x:v>
      </x:c>
      <x:c r="G26" s="25" t="n">
        <x:f>--(INDEX('城市数据库'!$G$6:$G$61,MATCH(B26,'城市数据库'!$A$6:$A$61,0))&lt;&gt;"")</x:f>
        <x:v>1</x:v>
      </x:c>
      <x:c r="H26" s="40" t="n">
        <x:f>IF(C26="一线",'核心假设'!$B$21,IF(C26="新一线",'核心假设'!$B$22,IF(C26="二线",'核心假设'!$B$23,'核心假设'!$B$24)))</x:f>
        <x:v>600</x:v>
      </x:c>
      <x:c r="I26" s="37" t="n">
        <x:f>SUM($J$6:J25)</x:f>
        <x:v>13000</x:v>
      </x:c>
      <x:c r="J26" s="40" t="n">
        <x:f>IF(G26=0,0,IF(D26="是",H26,MAX(0,MIN(H26,'核心假设'!$B$6-I26))))</x:f>
        <x:v>600</x:v>
      </x:c>
      <x:c r="K26" s="40" t="n">
        <x:f>IF(J26=0,0,IF(F26&gt;=S26,'核心假设'!$B$25,'核心假设'!$B$26))</x:f>
        <x:v>0.4</x:v>
      </x:c>
      <x:c r="L26" s="37" t="n">
        <x:f>ROUND((J26*K26)/(2+2*K26),0)</x:f>
        <x:v>86</x:v>
      </x:c>
      <x:c r="M26" s="37" t="n">
        <x:f>(J26-4*L26)/2</x:f>
        <x:v>128</x:v>
      </x:c>
      <x:c r="N26" s="37" t="n">
        <x:f>L26+M26</x:f>
        <x:v>214</x:v>
      </x:c>
      <x:c r="O26" s="37" t="n">
        <x:f>4*L26+2*M26-J26</x:f>
        <x:v>0</x:v>
      </x:c>
      <x:c r="P26" s="37" t="n">
        <x:f>IF(D26="是",MOD(E26-1,6),"")</x:f>
        <x:v>2</x:v>
      </x:c>
      <x:c r="Q26" s="37" t="n">
        <x:f>IF(J26=0,"",COUNTIFS($C$6:$C$61,C26,$J$6:$J$61,"&gt;0",$F$6:$F$61,"&gt;"&amp;F26)+COUNTIFS($C$6:$C$61,C26,$J$6:$J$61,"&gt;0",$F$6:$F$61,F26,$A$6:$A$61,"&lt;"&amp;A26)+1)</x:f>
        <x:v>17</x:v>
      </x:c>
      <x:c r="R26" s="37" t="n">
        <x:f>IF(J26=0,0,COUNTIFS($C$6:$C$61,C26,$J$6:$J$61,"&gt;0"))</x:f>
        <x:v>19</x:v>
      </x:c>
      <x:c r="S26" s="22" t="n">
        <x:f>IF(J26=0,"",(SUMIFS($F$6:$F$61,$C$6:$C$61,C26,$J$6:$J$61,"&gt;0",$Q$6:$Q$61,INT((R26+1)/2))+SUMIFS($F$6:$F$61,$C$6:$C$61,C26,$J$6:$J$61,"&gt;0",$Q$6:$Q$61,INT((R26+2)/2)))/2)</x:f>
        <x:v>0.6636363636363636</x:v>
      </x:c>
    </x:row>
    <x:row r="27">
      <x:c r="A27" s="18" t="n">
        <x:f>ROW()-5</x:f>
        <x:v>22</x:v>
      </x:c>
      <x:c r="B27" s="25" t="str">
        <x:f>INDEX('城市数据库'!$A$6:$A$61,MATCH(A27,'城市数据库'!$AG$6:$AG$61,0))</x:f>
        <x:v>绍兴</x:v>
      </x:c>
      <x:c r="C27" s="25" t="str">
        <x:f>INDEX('城市数据库'!$C$6:$C$61,MATCH(B27,'城市数据库'!$A$6:$A$61,0))</x:f>
        <x:v>二线</x:v>
      </x:c>
      <x:c r="D27" s="25" t="str">
        <x:f>INDEX('城市数据库'!$E$6:$E$61,MATCH(B27,'城市数据库'!$A$6:$A$61,0))</x:f>
        <x:v>是</x:v>
      </x:c>
      <x:c r="E27" s="25" t="n">
        <x:f>INDEX('城市数据库'!$F$6:$F$61,MATCH(B27,'城市数据库'!$A$6:$A$61,0))</x:f>
        <x:v>22</x:v>
      </x:c>
      <x:c r="F27" s="49" t="n">
        <x:f>INDEX('城市数据库'!$AD$6:$AD$61,MATCH(B27,'城市数据库'!$A$6:$A$61,0))</x:f>
        <x:v>0.09999999999999999</x:v>
      </x:c>
      <x:c r="G27" s="25" t="n">
        <x:f>--(INDEX('城市数据库'!$G$6:$G$61,MATCH(B27,'城市数据库'!$A$6:$A$61,0))&lt;&gt;"")</x:f>
        <x:v>1</x:v>
      </x:c>
      <x:c r="H27" s="40" t="n">
        <x:f>IF(C27="一线",'核心假设'!$B$21,IF(C27="新一线",'核心假设'!$B$22,IF(C27="二线",'核心假设'!$B$23,'核心假设'!$B$24)))</x:f>
        <x:v>600</x:v>
      </x:c>
      <x:c r="I27" s="37" t="n">
        <x:f>SUM($J$6:J26)</x:f>
        <x:v>13600</x:v>
      </x:c>
      <x:c r="J27" s="40" t="n">
        <x:f>IF(G27=0,0,IF(D27="是",H27,MAX(0,MIN(H27,'核心假设'!$B$6-I27))))</x:f>
        <x:v>600</x:v>
      </x:c>
      <x:c r="K27" s="40" t="n">
        <x:f>IF(J27=0,0,IF(F27&gt;=S27,'核心假设'!$B$25,'核心假设'!$B$26))</x:f>
        <x:v>0.4</x:v>
      </x:c>
      <x:c r="L27" s="37" t="n">
        <x:f>ROUND((J27*K27)/(2+2*K27),0)</x:f>
        <x:v>86</x:v>
      </x:c>
      <x:c r="M27" s="37" t="n">
        <x:f>(J27-4*L27)/2</x:f>
        <x:v>128</x:v>
      </x:c>
      <x:c r="N27" s="37" t="n">
        <x:f>L27+M27</x:f>
        <x:v>214</x:v>
      </x:c>
      <x:c r="O27" s="37" t="n">
        <x:f>4*L27+2*M27-J27</x:f>
        <x:v>0</x:v>
      </x:c>
      <x:c r="P27" s="37" t="n">
        <x:f>IF(D27="是",MOD(E27-1,6),"")</x:f>
        <x:v>3</x:v>
      </x:c>
      <x:c r="Q27" s="37" t="n">
        <x:f>IF(J27=0,"",COUNTIFS($C$6:$C$61,C27,$J$6:$J$61,"&gt;0",$F$6:$F$61,"&gt;"&amp;F27)+COUNTIFS($C$6:$C$61,C27,$J$6:$J$61,"&gt;0",$F$6:$F$61,F27,$A$6:$A$61,"&lt;"&amp;A27)+1)</x:f>
        <x:v>19</x:v>
      </x:c>
      <x:c r="R27" s="37" t="n">
        <x:f>IF(J27=0,0,COUNTIFS($C$6:$C$61,C27,$J$6:$J$61,"&gt;0"))</x:f>
        <x:v>19</x:v>
      </x:c>
      <x:c r="S27" s="22" t="n">
        <x:f>IF(J27=0,"",(SUMIFS($F$6:$F$61,$C$6:$C$61,C27,$J$6:$J$61,"&gt;0",$Q$6:$Q$61,INT((R27+1)/2))+SUMIFS($F$6:$F$61,$C$6:$C$61,C27,$J$6:$J$61,"&gt;0",$Q$6:$Q$61,INT((R27+2)/2)))/2)</x:f>
        <x:v>0.6636363636363636</x:v>
      </x:c>
    </x:row>
    <x:row r="28">
      <x:c r="A28" s="18" t="n">
        <x:f>ROW()-5</x:f>
        <x:v>23</x:v>
      </x:c>
      <x:c r="B28" s="25" t="str">
        <x:f>INDEX('城市数据库'!$A$6:$A$61,MATCH(A28,'城市数据库'!$AG$6:$AG$61,0))</x:f>
        <x:v>西安</x:v>
      </x:c>
      <x:c r="C28" s="25" t="str">
        <x:f>INDEX('城市数据库'!$C$6:$C$61,MATCH(B28,'城市数据库'!$A$6:$A$61,0))</x:f>
        <x:v>新一线</x:v>
      </x:c>
      <x:c r="D28" s="25" t="str">
        <x:f>INDEX('城市数据库'!$E$6:$E$61,MATCH(B28,'城市数据库'!$A$6:$A$61,0))</x:f>
        <x:v>是</x:v>
      </x:c>
      <x:c r="E28" s="25" t="n">
        <x:f>INDEX('城市数据库'!$F$6:$F$61,MATCH(B28,'城市数据库'!$A$6:$A$61,0))</x:f>
        <x:v>23</x:v>
      </x:c>
      <x:c r="F28" s="49" t="n">
        <x:f>INDEX('城市数据库'!$AD$6:$AD$61,MATCH(B28,'城市数据库'!$A$6:$A$61,0))</x:f>
        <x:v>0.618181818181818</x:v>
      </x:c>
      <x:c r="G28" s="25" t="n">
        <x:f>--(INDEX('城市数据库'!$G$6:$G$61,MATCH(B28,'城市数据库'!$A$6:$A$61,0))&lt;&gt;"")</x:f>
        <x:v>1</x:v>
      </x:c>
      <x:c r="H28" s="40" t="n">
        <x:f>IF(C28="一线",'核心假设'!$B$21,IF(C28="新一线",'核心假设'!$B$22,IF(C28="二线",'核心假设'!$B$23,'核心假设'!$B$24)))</x:f>
        <x:v>800</x:v>
      </x:c>
      <x:c r="I28" s="37" t="n">
        <x:f>SUM($J$6:J27)</x:f>
        <x:v>14200</x:v>
      </x:c>
      <x:c r="J28" s="40" t="n">
        <x:f>IF(G28=0,0,IF(D28="是",H28,MAX(0,MIN(H28,'核心假设'!$B$6-I28))))</x:f>
        <x:v>800</x:v>
      </x:c>
      <x:c r="K28" s="40" t="n">
        <x:f>IF(J28=0,0,IF(F28&gt;=S28,'核心假设'!$B$25,'核心假设'!$B$26))</x:f>
        <x:v>0.7</x:v>
      </x:c>
      <x:c r="L28" s="37" t="n">
        <x:f>ROUND((J28*K28)/(2+2*K28),0)</x:f>
        <x:v>165</x:v>
      </x:c>
      <x:c r="M28" s="37" t="n">
        <x:f>(J28-4*L28)/2</x:f>
        <x:v>70</x:v>
      </x:c>
      <x:c r="N28" s="37" t="n">
        <x:f>L28+M28</x:f>
        <x:v>235</x:v>
      </x:c>
      <x:c r="O28" s="37" t="n">
        <x:f>4*L28+2*M28-J28</x:f>
        <x:v>0</x:v>
      </x:c>
      <x:c r="P28" s="37" t="n">
        <x:f>IF(D28="是",MOD(E28-1,6),"")</x:f>
        <x:v>4</x:v>
      </x:c>
      <x:c r="Q28" s="37" t="n">
        <x:f>IF(J28=0,"",COUNTIFS($C$6:$C$61,C28,$J$6:$J$61,"&gt;0",$F$6:$F$61,"&gt;"&amp;F28)+COUNTIFS($C$6:$C$61,C28,$J$6:$J$61,"&gt;0",$F$6:$F$61,F28,$A$6:$A$61,"&lt;"&amp;A28)+1)</x:f>
        <x:v>7</x:v>
      </x:c>
      <x:c r="R28" s="37" t="n">
        <x:f>IF(J28=0,0,COUNTIFS($C$6:$C$61,C28,$J$6:$J$61,"&gt;0"))</x:f>
        <x:v>15</x:v>
      </x:c>
      <x:c r="S28" s="22" t="n">
        <x:f>IF(J28=0,"",(SUMIFS($F$6:$F$61,$C$6:$C$61,C28,$J$6:$J$61,"&gt;0",$Q$6:$Q$61,INT((R28+1)/2))+SUMIFS($F$6:$F$61,$C$6:$C$61,C28,$J$6:$J$61,"&gt;0",$Q$6:$Q$61,INT((R28+2)/2)))/2)</x:f>
        <x:v>0.5939393939393939</x:v>
      </x:c>
    </x:row>
    <x:row r="29">
      <x:c r="A29" s="18" t="n">
        <x:f>ROW()-5</x:f>
        <x:v>24</x:v>
      </x:c>
      <x:c r="B29" s="25" t="str">
        <x:f>INDEX('城市数据库'!$A$6:$A$61,MATCH(A29,'城市数据库'!$AG$6:$AG$61,0))</x:f>
        <x:v>无锡</x:v>
      </x:c>
      <x:c r="C29" s="25" t="str">
        <x:f>INDEX('城市数据库'!$C$6:$C$61,MATCH(B29,'城市数据库'!$A$6:$A$61,0))</x:f>
        <x:v>二线</x:v>
      </x:c>
      <x:c r="D29" s="25" t="str">
        <x:f>INDEX('城市数据库'!$E$6:$E$61,MATCH(B29,'城市数据库'!$A$6:$A$61,0))</x:f>
        <x:v>是</x:v>
      </x:c>
      <x:c r="E29" s="25" t="n">
        <x:f>INDEX('城市数据库'!$F$6:$F$61,MATCH(B29,'城市数据库'!$A$6:$A$61,0))</x:f>
        <x:v>24</x:v>
      </x:c>
      <x:c r="F29" s="49" t="n">
        <x:f>INDEX('城市数据库'!$AD$6:$AD$61,MATCH(B29,'城市数据库'!$A$6:$A$61,0))</x:f>
        <x:v>0.409090909090909</x:v>
      </x:c>
      <x:c r="G29" s="25" t="n">
        <x:f>--(INDEX('城市数据库'!$G$6:$G$61,MATCH(B29,'城市数据库'!$A$6:$A$61,0))&lt;&gt;"")</x:f>
        <x:v>1</x:v>
      </x:c>
      <x:c r="H29" s="40" t="n">
        <x:f>IF(C29="一线",'核心假设'!$B$21,IF(C29="新一线",'核心假设'!$B$22,IF(C29="二线",'核心假设'!$B$23,'核心假设'!$B$24)))</x:f>
        <x:v>600</x:v>
      </x:c>
      <x:c r="I29" s="37" t="n">
        <x:f>SUM($J$6:J28)</x:f>
        <x:v>15000</x:v>
      </x:c>
      <x:c r="J29" s="40" t="n">
        <x:f>IF(G29=0,0,IF(D29="是",H29,MAX(0,MIN(H29,'核心假设'!$B$6-I29))))</x:f>
        <x:v>600</x:v>
      </x:c>
      <x:c r="K29" s="40" t="n">
        <x:f>IF(J29=0,0,IF(F29&gt;=S29,'核心假设'!$B$25,'核心假设'!$B$26))</x:f>
        <x:v>0.4</x:v>
      </x:c>
      <x:c r="L29" s="37" t="n">
        <x:f>ROUND((J29*K29)/(2+2*K29),0)</x:f>
        <x:v>86</x:v>
      </x:c>
      <x:c r="M29" s="37" t="n">
        <x:f>(J29-4*L29)/2</x:f>
        <x:v>128</x:v>
      </x:c>
      <x:c r="N29" s="37" t="n">
        <x:f>L29+M29</x:f>
        <x:v>214</x:v>
      </x:c>
      <x:c r="O29" s="37" t="n">
        <x:f>4*L29+2*M29-J29</x:f>
        <x:v>0</x:v>
      </x:c>
      <x:c r="P29" s="37" t="n">
        <x:f>IF(D29="是",MOD(E29-1,6),"")</x:f>
        <x:v>5</x:v>
      </x:c>
      <x:c r="Q29" s="37" t="n">
        <x:f>IF(J29=0,"",COUNTIFS($C$6:$C$61,C29,$J$6:$J$61,"&gt;0",$F$6:$F$61,"&gt;"&amp;F29)+COUNTIFS($C$6:$C$61,C29,$J$6:$J$61,"&gt;0",$F$6:$F$61,F29,$A$6:$A$61,"&lt;"&amp;A29)+1)</x:f>
        <x:v>16</x:v>
      </x:c>
      <x:c r="R29" s="37" t="n">
        <x:f>IF(J29=0,0,COUNTIFS($C$6:$C$61,C29,$J$6:$J$61,"&gt;0"))</x:f>
        <x:v>19</x:v>
      </x:c>
      <x:c r="S29" s="22" t="n">
        <x:f>IF(J29=0,"",(SUMIFS($F$6:$F$61,$C$6:$C$61,C29,$J$6:$J$61,"&gt;0",$Q$6:$Q$61,INT((R29+1)/2))+SUMIFS($F$6:$F$61,$C$6:$C$61,C29,$J$6:$J$61,"&gt;0",$Q$6:$Q$61,INT((R29+2)/2)))/2)</x:f>
        <x:v>0.6636363636363636</x:v>
      </x:c>
    </x:row>
    <x:row r="30">
      <x:c r="A30" s="18" t="n">
        <x:f>ROW()-5</x:f>
        <x:v>25</x:v>
      </x:c>
      <x:c r="B30" s="25" t="str">
        <x:f>INDEX('城市数据库'!$A$6:$A$61,MATCH(A30,'城市数据库'!$AG$6:$AG$61,0))</x:f>
        <x:v>济南</x:v>
      </x:c>
      <x:c r="C30" s="25" t="str">
        <x:f>INDEX('城市数据库'!$C$6:$C$61,MATCH(B30,'城市数据库'!$A$6:$A$61,0))</x:f>
        <x:v>二线</x:v>
      </x:c>
      <x:c r="D30" s="25" t="str">
        <x:f>INDEX('城市数据库'!$E$6:$E$61,MATCH(B30,'城市数据库'!$A$6:$A$61,0))</x:f>
        <x:v>是</x:v>
      </x:c>
      <x:c r="E30" s="25" t="n">
        <x:f>INDEX('城市数据库'!$F$6:$F$61,MATCH(B30,'城市数据库'!$A$6:$A$61,0))</x:f>
        <x:v>25</x:v>
      </x:c>
      <x:c r="F30" s="49" t="n">
        <x:f>INDEX('城市数据库'!$AD$6:$AD$61,MATCH(B30,'城市数据库'!$A$6:$A$61,0))</x:f>
        <x:v>0.5878787878787878</x:v>
      </x:c>
      <x:c r="G30" s="25" t="n">
        <x:f>--(INDEX('城市数据库'!$G$6:$G$61,MATCH(B30,'城市数据库'!$A$6:$A$61,0))&lt;&gt;"")</x:f>
        <x:v>1</x:v>
      </x:c>
      <x:c r="H30" s="40" t="n">
        <x:f>IF(C30="一线",'核心假设'!$B$21,IF(C30="新一线",'核心假设'!$B$22,IF(C30="二线",'核心假设'!$B$23,'核心假设'!$B$24)))</x:f>
        <x:v>600</x:v>
      </x:c>
      <x:c r="I30" s="37" t="n">
        <x:f>SUM($J$6:J29)</x:f>
        <x:v>15600</x:v>
      </x:c>
      <x:c r="J30" s="40" t="n">
        <x:f>IF(G30=0,0,IF(D30="是",H30,MAX(0,MIN(H30,'核心假设'!$B$6-I30))))</x:f>
        <x:v>600</x:v>
      </x:c>
      <x:c r="K30" s="40" t="n">
        <x:f>IF(J30=0,0,IF(F30&gt;=S30,'核心假设'!$B$25,'核心假设'!$B$26))</x:f>
        <x:v>0.4</x:v>
      </x:c>
      <x:c r="L30" s="37" t="n">
        <x:f>ROUND((J30*K30)/(2+2*K30),0)</x:f>
        <x:v>86</x:v>
      </x:c>
      <x:c r="M30" s="37" t="n">
        <x:f>(J30-4*L30)/2</x:f>
        <x:v>128</x:v>
      </x:c>
      <x:c r="N30" s="37" t="n">
        <x:f>L30+M30</x:f>
        <x:v>214</x:v>
      </x:c>
      <x:c r="O30" s="37" t="n">
        <x:f>4*L30+2*M30-J30</x:f>
        <x:v>0</x:v>
      </x:c>
      <x:c r="P30" s="37" t="n">
        <x:f>IF(D30="是",MOD(E30-1,6),"")</x:f>
        <x:v>0</x:v>
      </x:c>
      <x:c r="Q30" s="37" t="n">
        <x:f>IF(J30=0,"",COUNTIFS($C$6:$C$61,C30,$J$6:$J$61,"&gt;0",$F$6:$F$61,"&gt;"&amp;F30)+COUNTIFS($C$6:$C$61,C30,$J$6:$J$61,"&gt;0",$F$6:$F$61,F30,$A$6:$A$61,"&lt;"&amp;A30)+1)</x:f>
        <x:v>12</x:v>
      </x:c>
      <x:c r="R30" s="37" t="n">
        <x:f>IF(J30=0,0,COUNTIFS($C$6:$C$61,C30,$J$6:$J$61,"&gt;0"))</x:f>
        <x:v>19</x:v>
      </x:c>
      <x:c r="S30" s="22" t="n">
        <x:f>IF(J30=0,"",(SUMIFS($F$6:$F$61,$C$6:$C$61,C30,$J$6:$J$61,"&gt;0",$Q$6:$Q$61,INT((R30+1)/2))+SUMIFS($F$6:$F$61,$C$6:$C$61,C30,$J$6:$J$61,"&gt;0",$Q$6:$Q$61,INT((R30+2)/2)))/2)</x:f>
        <x:v>0.6636363636363636</x:v>
      </x:c>
    </x:row>
    <x:row r="31">
      <x:c r="A31" s="18" t="n">
        <x:f>ROW()-5</x:f>
        <x:v>26</x:v>
      </x:c>
      <x:c r="B31" s="25" t="str">
        <x:f>INDEX('城市数据库'!$A$6:$A$61,MATCH(A31,'城市数据库'!$AG$6:$AG$61,0))</x:f>
        <x:v>郑州</x:v>
      </x:c>
      <x:c r="C31" s="25" t="str">
        <x:f>INDEX('城市数据库'!$C$6:$C$61,MATCH(B31,'城市数据库'!$A$6:$A$61,0))</x:f>
        <x:v>新一线</x:v>
      </x:c>
      <x:c r="D31" s="25" t="str">
        <x:f>INDEX('城市数据库'!$E$6:$E$61,MATCH(B31,'城市数据库'!$A$6:$A$61,0))</x:f>
        <x:v>是</x:v>
      </x:c>
      <x:c r="E31" s="25" t="n">
        <x:f>INDEX('城市数据库'!$F$6:$F$61,MATCH(B31,'城市数据库'!$A$6:$A$61,0))</x:f>
        <x:v>26</x:v>
      </x:c>
      <x:c r="F31" s="49" t="n">
        <x:f>INDEX('城市数据库'!$AD$6:$AD$61,MATCH(B31,'城市数据库'!$A$6:$A$61,0))</x:f>
        <x:v>0.6363636363636362</x:v>
      </x:c>
      <x:c r="G31" s="25" t="n">
        <x:f>--(INDEX('城市数据库'!$G$6:$G$61,MATCH(B31,'城市数据库'!$A$6:$A$61,0))&lt;&gt;"")</x:f>
        <x:v>1</x:v>
      </x:c>
      <x:c r="H31" s="40" t="n">
        <x:f>IF(C31="一线",'核心假设'!$B$21,IF(C31="新一线",'核心假设'!$B$22,IF(C31="二线",'核心假设'!$B$23,'核心假设'!$B$24)))</x:f>
        <x:v>800</x:v>
      </x:c>
      <x:c r="I31" s="37" t="n">
        <x:f>SUM($J$6:J30)</x:f>
        <x:v>16200</x:v>
      </x:c>
      <x:c r="J31" s="40" t="n">
        <x:f>IF(G31=0,0,IF(D31="是",H31,MAX(0,MIN(H31,'核心假设'!$B$6-I31))))</x:f>
        <x:v>800</x:v>
      </x:c>
      <x:c r="K31" s="40" t="n">
        <x:f>IF(J31=0,0,IF(F31&gt;=S31,'核心假设'!$B$25,'核心假设'!$B$26))</x:f>
        <x:v>0.7</x:v>
      </x:c>
      <x:c r="L31" s="37" t="n">
        <x:f>ROUND((J31*K31)/(2+2*K31),0)</x:f>
        <x:v>165</x:v>
      </x:c>
      <x:c r="M31" s="37" t="n">
        <x:f>(J31-4*L31)/2</x:f>
        <x:v>70</x:v>
      </x:c>
      <x:c r="N31" s="37" t="n">
        <x:f>L31+M31</x:f>
        <x:v>235</x:v>
      </x:c>
      <x:c r="O31" s="37" t="n">
        <x:f>4*L31+2*M31-J31</x:f>
        <x:v>0</x:v>
      </x:c>
      <x:c r="P31" s="37" t="n">
        <x:f>IF(D31="是",MOD(E31-1,6),"")</x:f>
        <x:v>1</x:v>
      </x:c>
      <x:c r="Q31" s="37" t="n">
        <x:f>IF(J31=0,"",COUNTIFS($C$6:$C$61,C31,$J$6:$J$61,"&gt;0",$F$6:$F$61,"&gt;"&amp;F31)+COUNTIFS($C$6:$C$61,C31,$J$6:$J$61,"&gt;0",$F$6:$F$61,F31,$A$6:$A$61,"&lt;"&amp;A31)+1)</x:f>
        <x:v>5</x:v>
      </x:c>
      <x:c r="R31" s="37" t="n">
        <x:f>IF(J31=0,0,COUNTIFS($C$6:$C$61,C31,$J$6:$J$61,"&gt;0"))</x:f>
        <x:v>15</x:v>
      </x:c>
      <x:c r="S31" s="22" t="n">
        <x:f>IF(J31=0,"",(SUMIFS($F$6:$F$61,$C$6:$C$61,C31,$J$6:$J$61,"&gt;0",$Q$6:$Q$61,INT((R31+1)/2))+SUMIFS($F$6:$F$61,$C$6:$C$61,C31,$J$6:$J$61,"&gt;0",$Q$6:$Q$61,INT((R31+2)/2)))/2)</x:f>
        <x:v>0.5939393939393939</x:v>
      </x:c>
    </x:row>
    <x:row r="32">
      <x:c r="A32" s="18" t="n">
        <x:f>ROW()-5</x:f>
        <x:v>27</x:v>
      </x:c>
      <x:c r="B32" s="25" t="str">
        <x:f>INDEX('城市数据库'!$A$6:$A$61,MATCH(A32,'城市数据库'!$AG$6:$AG$61,0))</x:f>
        <x:v>上海</x:v>
      </x:c>
      <x:c r="C32" s="25" t="str">
        <x:f>INDEX('城市数据库'!$C$6:$C$61,MATCH(B32,'城市数据库'!$A$6:$A$61,0))</x:f>
        <x:v>一线</x:v>
      </x:c>
      <x:c r="D32" s="25" t="str">
        <x:f>INDEX('城市数据库'!$E$6:$E$61,MATCH(B32,'城市数据库'!$A$6:$A$61,0))</x:f>
        <x:v>否</x:v>
      </x:c>
      <x:c r="E32" s="25" t="str">
        <x:f>INDEX('城市数据库'!$F$6:$F$61,MATCH(B32,'城市数据库'!$A$6:$A$61,0))</x:f>
      </x:c>
      <x:c r="F32" s="49" t="n">
        <x:f>INDEX('城市数据库'!$AD$6:$AD$61,MATCH(B32,'城市数据库'!$A$6:$A$61,0))</x:f>
        <x:v>1</x:v>
      </x:c>
      <x:c r="G32" s="25" t="n">
        <x:f>--(INDEX('城市数据库'!$G$6:$G$61,MATCH(B32,'城市数据库'!$A$6:$A$61,0))&lt;&gt;"")</x:f>
        <x:v>1</x:v>
      </x:c>
      <x:c r="H32" s="40" t="n">
        <x:f>IF(C32="一线",'核心假设'!$B$21,IF(C32="新一线",'核心假设'!$B$22,IF(C32="二线",'核心假设'!$B$23,'核心假设'!$B$24)))</x:f>
        <x:v>1000</x:v>
      </x:c>
      <x:c r="I32" s="37" t="n">
        <x:f>SUM($J$6:J31)</x:f>
        <x:v>17000</x:v>
      </x:c>
      <x:c r="J32" s="40" t="n">
        <x:f>IF(G32=0,0,IF(D32="是",H32,MAX(0,MIN(H32,'核心假设'!$B$6-I32))))</x:f>
        <x:v>1000</x:v>
      </x:c>
      <x:c r="K32" s="40" t="n">
        <x:f>IF(J32=0,0,IF(F32&gt;=S32,'核心假设'!$B$25,'核心假设'!$B$26))</x:f>
        <x:v>0.7</x:v>
      </x:c>
      <x:c r="L32" s="37" t="n">
        <x:f>ROUND((J32*K32)/(2+2*K32),0)</x:f>
        <x:v>206</x:v>
      </x:c>
      <x:c r="M32" s="37" t="n">
        <x:f>(J32-4*L32)/2</x:f>
        <x:v>88</x:v>
      </x:c>
      <x:c r="N32" s="37" t="n">
        <x:f>L32+M32</x:f>
        <x:v>294</x:v>
      </x:c>
      <x:c r="O32" s="37" t="n">
        <x:f>4*L32+2*M32-J32</x:f>
        <x:v>0</x:v>
      </x:c>
      <x:c r="P32" s="37" t="str">
        <x:f>IF(D32="是",MOD(E32-1,6),"")</x:f>
      </x:c>
      <x:c r="Q32" s="37" t="n">
        <x:f>IF(J32=0,"",COUNTIFS($C$6:$C$61,C32,$J$6:$J$61,"&gt;0",$F$6:$F$61,"&gt;"&amp;F32)+COUNTIFS($C$6:$C$61,C32,$J$6:$J$61,"&gt;0",$F$6:$F$61,F32,$A$6:$A$61,"&lt;"&amp;A32)+1)</x:f>
        <x:v>1</x:v>
      </x:c>
      <x:c r="R32" s="37" t="n">
        <x:f>IF(J32=0,0,COUNTIFS($C$6:$C$61,C32,$J$6:$J$61,"&gt;0"))</x:f>
        <x:v>4</x:v>
      </x:c>
      <x:c r="S32" s="22" t="n">
        <x:f>IF(J32=0,"",(SUMIFS($F$6:$F$61,$C$6:$C$61,C32,$J$6:$J$61,"&gt;0",$Q$6:$Q$61,INT((R32+1)/2))+SUMIFS($F$6:$F$61,$C$6:$C$61,C32,$J$6:$J$61,"&gt;0",$Q$6:$Q$61,INT((R32+2)/2)))/2)</x:f>
        <x:v>0.625</x:v>
      </x:c>
    </x:row>
    <x:row r="33">
      <x:c r="A33" s="18" t="n">
        <x:f>ROW()-5</x:f>
        <x:v>28</x:v>
      </x:c>
      <x:c r="B33" s="25" t="str">
        <x:f>INDEX('城市数据库'!$A$6:$A$61,MATCH(A33,'城市数据库'!$AG$6:$AG$61,0))</x:f>
        <x:v>广州</x:v>
      </x:c>
      <x:c r="C33" s="25" t="str">
        <x:f>INDEX('城市数据库'!$C$6:$C$61,MATCH(B33,'城市数据库'!$A$6:$A$61,0))</x:f>
        <x:v>一线</x:v>
      </x:c>
      <x:c r="D33" s="25" t="str">
        <x:f>INDEX('城市数据库'!$E$6:$E$61,MATCH(B33,'城市数据库'!$A$6:$A$61,0))</x:f>
        <x:v>否</x:v>
      </x:c>
      <x:c r="E33" s="25" t="str">
        <x:f>INDEX('城市数据库'!$F$6:$F$61,MATCH(B33,'城市数据库'!$A$6:$A$61,0))</x:f>
      </x:c>
      <x:c r="F33" s="49" t="n">
        <x:f>INDEX('城市数据库'!$AD$6:$AD$61,MATCH(B33,'城市数据库'!$A$6:$A$61,0))</x:f>
        <x:v>0.5</x:v>
      </x:c>
      <x:c r="G33" s="25" t="n">
        <x:f>--(INDEX('城市数据库'!$G$6:$G$61,MATCH(B33,'城市数据库'!$A$6:$A$61,0))&lt;&gt;"")</x:f>
        <x:v>1</x:v>
      </x:c>
      <x:c r="H33" s="40" t="n">
        <x:f>IF(C33="一线",'核心假设'!$B$21,IF(C33="新一线",'核心假设'!$B$22,IF(C33="二线",'核心假设'!$B$23,'核心假设'!$B$24)))</x:f>
        <x:v>1000</x:v>
      </x:c>
      <x:c r="I33" s="37" t="n">
        <x:f>SUM($J$6:J32)</x:f>
        <x:v>18000</x:v>
      </x:c>
      <x:c r="J33" s="40" t="n">
        <x:f>IF(G33=0,0,IF(D33="是",H33,MAX(0,MIN(H33,'核心假设'!$B$6-I33))))</x:f>
        <x:v>1000</x:v>
      </x:c>
      <x:c r="K33" s="40" t="n">
        <x:f>IF(J33=0,0,IF(F33&gt;=S33,'核心假设'!$B$25,'核心假设'!$B$26))</x:f>
        <x:v>0.4</x:v>
      </x:c>
      <x:c r="L33" s="37" t="n">
        <x:f>ROUND((J33*K33)/(2+2*K33),0)</x:f>
        <x:v>143</x:v>
      </x:c>
      <x:c r="M33" s="37" t="n">
        <x:f>(J33-4*L33)/2</x:f>
        <x:v>214</x:v>
      </x:c>
      <x:c r="N33" s="37" t="n">
        <x:f>L33+M33</x:f>
        <x:v>357</x:v>
      </x:c>
      <x:c r="O33" s="37" t="n">
        <x:f>4*L33+2*M33-J33</x:f>
        <x:v>0</x:v>
      </x:c>
      <x:c r="P33" s="37" t="str">
        <x:f>IF(D33="是",MOD(E33-1,6),"")</x:f>
      </x:c>
      <x:c r="Q33" s="37" t="n">
        <x:f>IF(J33=0,"",COUNTIFS($C$6:$C$61,C33,$J$6:$J$61,"&gt;0",$F$6:$F$61,"&gt;"&amp;F33)+COUNTIFS($C$6:$C$61,C33,$J$6:$J$61,"&gt;0",$F$6:$F$61,F33,$A$6:$A$61,"&lt;"&amp;A33)+1)</x:f>
        <x:v>3</x:v>
      </x:c>
      <x:c r="R33" s="37" t="n">
        <x:f>IF(J33=0,0,COUNTIFS($C$6:$C$61,C33,$J$6:$J$61,"&gt;0"))</x:f>
        <x:v>4</x:v>
      </x:c>
      <x:c r="S33" s="22" t="n">
        <x:f>IF(J33=0,"",(SUMIFS($F$6:$F$61,$C$6:$C$61,C33,$J$6:$J$61,"&gt;0",$Q$6:$Q$61,INT((R33+1)/2))+SUMIFS($F$6:$F$61,$C$6:$C$61,C33,$J$6:$J$61,"&gt;0",$Q$6:$Q$61,INT((R33+2)/2)))/2)</x:f>
        <x:v>0.625</x:v>
      </x:c>
    </x:row>
    <x:row r="34">
      <x:c r="A34" s="18" t="n">
        <x:f>ROW()-5</x:f>
        <x:v>29</x:v>
      </x:c>
      <x:c r="B34" s="25" t="str">
        <x:f>INDEX('城市数据库'!$A$6:$A$61,MATCH(A34,'城市数据库'!$AG$6:$AG$61,0))</x:f>
        <x:v>成都</x:v>
      </x:c>
      <x:c r="C34" s="25" t="str">
        <x:f>INDEX('城市数据库'!$C$6:$C$61,MATCH(B34,'城市数据库'!$A$6:$A$61,0))</x:f>
        <x:v>新一线</x:v>
      </x:c>
      <x:c r="D34" s="25" t="str">
        <x:f>INDEX('城市数据库'!$E$6:$E$61,MATCH(B34,'城市数据库'!$A$6:$A$61,0))</x:f>
        <x:v>否</x:v>
      </x:c>
      <x:c r="E34" s="25" t="str">
        <x:f>INDEX('城市数据库'!$F$6:$F$61,MATCH(B34,'城市数据库'!$A$6:$A$61,0))</x:f>
      </x:c>
      <x:c r="F34" s="49" t="n">
        <x:f>INDEX('城市数据库'!$AD$6:$AD$61,MATCH(B34,'城市数据库'!$A$6:$A$61,0))</x:f>
        <x:v>0.8727272727272726</x:v>
      </x:c>
      <x:c r="G34" s="25" t="n">
        <x:f>--(INDEX('城市数据库'!$G$6:$G$61,MATCH(B34,'城市数据库'!$A$6:$A$61,0))&lt;&gt;"")</x:f>
        <x:v>1</x:v>
      </x:c>
      <x:c r="H34" s="40" t="n">
        <x:f>IF(C34="一线",'核心假设'!$B$21,IF(C34="新一线",'核心假设'!$B$22,IF(C34="二线",'核心假设'!$B$23,'核心假设'!$B$24)))</x:f>
        <x:v>800</x:v>
      </x:c>
      <x:c r="I34" s="37" t="n">
        <x:f>SUM($J$6:J33)</x:f>
        <x:v>19000</x:v>
      </x:c>
      <x:c r="J34" s="40" t="n">
        <x:f>IF(G34=0,0,IF(D34="是",H34,MAX(0,MIN(H34,'核心假设'!$B$6-I34))))</x:f>
        <x:v>800</x:v>
      </x:c>
      <x:c r="K34" s="40" t="n">
        <x:f>IF(J34=0,0,IF(F34&gt;=S34,'核心假设'!$B$25,'核心假设'!$B$26))</x:f>
        <x:v>0.7</x:v>
      </x:c>
      <x:c r="L34" s="37" t="n">
        <x:f>ROUND((J34*K34)/(2+2*K34),0)</x:f>
        <x:v>165</x:v>
      </x:c>
      <x:c r="M34" s="37" t="n">
        <x:f>(J34-4*L34)/2</x:f>
        <x:v>70</x:v>
      </x:c>
      <x:c r="N34" s="37" t="n">
        <x:f>L34+M34</x:f>
        <x:v>235</x:v>
      </x:c>
      <x:c r="O34" s="37" t="n">
        <x:f>4*L34+2*M34-J34</x:f>
        <x:v>0</x:v>
      </x:c>
      <x:c r="P34" s="37" t="str">
        <x:f>IF(D34="是",MOD(E34-1,6),"")</x:f>
      </x:c>
      <x:c r="Q34" s="37" t="n">
        <x:f>IF(J34=0,"",COUNTIFS($C$6:$C$61,C34,$J$6:$J$61,"&gt;0",$F$6:$F$61,"&gt;"&amp;F34)+COUNTIFS($C$6:$C$61,C34,$J$6:$J$61,"&gt;0",$F$6:$F$61,F34,$A$6:$A$61,"&lt;"&amp;A34)+1)</x:f>
        <x:v>1</x:v>
      </x:c>
      <x:c r="R34" s="37" t="n">
        <x:f>IF(J34=0,0,COUNTIFS($C$6:$C$61,C34,$J$6:$J$61,"&gt;0"))</x:f>
        <x:v>15</x:v>
      </x:c>
      <x:c r="S34" s="22" t="n">
        <x:f>IF(J34=0,"",(SUMIFS($F$6:$F$61,$C$6:$C$61,C34,$J$6:$J$61,"&gt;0",$Q$6:$Q$61,INT((R34+1)/2))+SUMIFS($F$6:$F$61,$C$6:$C$61,C34,$J$6:$J$61,"&gt;0",$Q$6:$Q$61,INT((R34+2)/2)))/2)</x:f>
        <x:v>0.5939393939393939</x:v>
      </x:c>
    </x:row>
    <x:row r="35">
      <x:c r="A35" s="18" t="n">
        <x:f>ROW()-5</x:f>
        <x:v>30</x:v>
      </x:c>
      <x:c r="B35" s="25" t="str">
        <x:f>INDEX('城市数据库'!$A$6:$A$61,MATCH(A35,'城市数据库'!$AG$6:$AG$61,0))</x:f>
        <x:v>重庆</x:v>
      </x:c>
      <x:c r="C35" s="25" t="str">
        <x:f>INDEX('城市数据库'!$C$6:$C$61,MATCH(B35,'城市数据库'!$A$6:$A$61,0))</x:f>
        <x:v>新一线</x:v>
      </x:c>
      <x:c r="D35" s="25" t="str">
        <x:f>INDEX('城市数据库'!$E$6:$E$61,MATCH(B35,'城市数据库'!$A$6:$A$61,0))</x:f>
        <x:v>否</x:v>
      </x:c>
      <x:c r="E35" s="25" t="str">
        <x:f>INDEX('城市数据库'!$F$6:$F$61,MATCH(B35,'城市数据库'!$A$6:$A$61,0))</x:f>
      </x:c>
      <x:c r="F35" s="49" t="n">
        <x:f>INDEX('城市数据库'!$AD$6:$AD$61,MATCH(B35,'城市数据库'!$A$6:$A$61,0))</x:f>
        <x:v>0.7575757575757575</x:v>
      </x:c>
      <x:c r="G35" s="25" t="n">
        <x:f>--(INDEX('城市数据库'!$G$6:$G$61,MATCH(B35,'城市数据库'!$A$6:$A$61,0))&lt;&gt;"")</x:f>
        <x:v>1</x:v>
      </x:c>
      <x:c r="H35" s="40" t="n">
        <x:f>IF(C35="一线",'核心假设'!$B$21,IF(C35="新一线",'核心假设'!$B$22,IF(C35="二线",'核心假设'!$B$23,'核心假设'!$B$24)))</x:f>
        <x:v>800</x:v>
      </x:c>
      <x:c r="I35" s="37" t="n">
        <x:f>SUM($J$6:J34)</x:f>
        <x:v>19800</x:v>
      </x:c>
      <x:c r="J35" s="40" t="n">
        <x:f>IF(G35=0,0,IF(D35="是",H35,MAX(0,MIN(H35,'核心假设'!$B$6-I35))))</x:f>
        <x:v>800</x:v>
      </x:c>
      <x:c r="K35" s="40" t="n">
        <x:f>IF(J35=0,0,IF(F35&gt;=S35,'核心假设'!$B$25,'核心假设'!$B$26))</x:f>
        <x:v>0.7</x:v>
      </x:c>
      <x:c r="L35" s="37" t="n">
        <x:f>ROUND((J35*K35)/(2+2*K35),0)</x:f>
        <x:v>165</x:v>
      </x:c>
      <x:c r="M35" s="37" t="n">
        <x:f>(J35-4*L35)/2</x:f>
        <x:v>70</x:v>
      </x:c>
      <x:c r="N35" s="37" t="n">
        <x:f>L35+M35</x:f>
        <x:v>235</x:v>
      </x:c>
      <x:c r="O35" s="37" t="n">
        <x:f>4*L35+2*M35-J35</x:f>
        <x:v>0</x:v>
      </x:c>
      <x:c r="P35" s="37" t="str">
        <x:f>IF(D35="是",MOD(E35-1,6),"")</x:f>
      </x:c>
      <x:c r="Q35" s="37" t="n">
        <x:f>IF(J35=0,"",COUNTIFS($C$6:$C$61,C35,$J$6:$J$61,"&gt;0",$F$6:$F$61,"&gt;"&amp;F35)+COUNTIFS($C$6:$C$61,C35,$J$6:$J$61,"&gt;0",$F$6:$F$61,F35,$A$6:$A$61,"&lt;"&amp;A35)+1)</x:f>
        <x:v>2</x:v>
      </x:c>
      <x:c r="R35" s="37" t="n">
        <x:f>IF(J35=0,0,COUNTIFS($C$6:$C$61,C35,$J$6:$J$61,"&gt;0"))</x:f>
        <x:v>15</x:v>
      </x:c>
      <x:c r="S35" s="22" t="n">
        <x:f>IF(J35=0,"",(SUMIFS($F$6:$F$61,$C$6:$C$61,C35,$J$6:$J$61,"&gt;0",$Q$6:$Q$61,INT((R35+1)/2))+SUMIFS($F$6:$F$61,$C$6:$C$61,C35,$J$6:$J$61,"&gt;0",$Q$6:$Q$61,INT((R35+2)/2)))/2)</x:f>
        <x:v>0.5939393939393939</x:v>
      </x:c>
    </x:row>
    <x:row r="36">
      <x:c r="A36" s="18" t="n">
        <x:f>ROW()-5</x:f>
        <x:v>31</x:v>
      </x:c>
      <x:c r="B36" s="25" t="str">
        <x:f>INDEX('城市数据库'!$A$6:$A$61,MATCH(A36,'城市数据库'!$AG$6:$AG$61,0))</x:f>
        <x:v>苏州</x:v>
      </x:c>
      <x:c r="C36" s="25" t="str">
        <x:f>INDEX('城市数据库'!$C$6:$C$61,MATCH(B36,'城市数据库'!$A$6:$A$61,0))</x:f>
        <x:v>新一线</x:v>
      </x:c>
      <x:c r="D36" s="25" t="str">
        <x:f>INDEX('城市数据库'!$E$6:$E$61,MATCH(B36,'城市数据库'!$A$6:$A$61,0))</x:f>
        <x:v>否</x:v>
      </x:c>
      <x:c r="E36" s="25" t="str">
        <x:f>INDEX('城市数据库'!$F$6:$F$61,MATCH(B36,'城市数据库'!$A$6:$A$61,0))</x:f>
      </x:c>
      <x:c r="F36" s="49" t="n">
        <x:f>INDEX('城市数据库'!$AD$6:$AD$61,MATCH(B36,'城市数据库'!$A$6:$A$61,0))</x:f>
        <x:v>0.6424242424242422</x:v>
      </x:c>
      <x:c r="G36" s="25" t="n">
        <x:f>--(INDEX('城市数据库'!$G$6:$G$61,MATCH(B36,'城市数据库'!$A$6:$A$61,0))&lt;&gt;"")</x:f>
        <x:v>1</x:v>
      </x:c>
      <x:c r="H36" s="40" t="n">
        <x:f>IF(C36="一线",'核心假设'!$B$21,IF(C36="新一线",'核心假设'!$B$22,IF(C36="二线",'核心假设'!$B$23,'核心假设'!$B$24)))</x:f>
        <x:v>800</x:v>
      </x:c>
      <x:c r="I36" s="37" t="n">
        <x:f>SUM($J$6:J35)</x:f>
        <x:v>20600</x:v>
      </x:c>
      <x:c r="J36" s="40" t="n">
        <x:f>IF(G36=0,0,IF(D36="是",H36,MAX(0,MIN(H36,'核心假设'!$B$6-I36))))</x:f>
        <x:v>800</x:v>
      </x:c>
      <x:c r="K36" s="40" t="n">
        <x:f>IF(J36=0,0,IF(F36&gt;=S36,'核心假设'!$B$25,'核心假设'!$B$26))</x:f>
        <x:v>0.7</x:v>
      </x:c>
      <x:c r="L36" s="37" t="n">
        <x:f>ROUND((J36*K36)/(2+2*K36),0)</x:f>
        <x:v>165</x:v>
      </x:c>
      <x:c r="M36" s="37" t="n">
        <x:f>(J36-4*L36)/2</x:f>
        <x:v>70</x:v>
      </x:c>
      <x:c r="N36" s="37" t="n">
        <x:f>L36+M36</x:f>
        <x:v>235</x:v>
      </x:c>
      <x:c r="O36" s="37" t="n">
        <x:f>4*L36+2*M36-J36</x:f>
        <x:v>0</x:v>
      </x:c>
      <x:c r="P36" s="37" t="str">
        <x:f>IF(D36="是",MOD(E36-1,6),"")</x:f>
      </x:c>
      <x:c r="Q36" s="37" t="n">
        <x:f>IF(J36=0,"",COUNTIFS($C$6:$C$61,C36,$J$6:$J$61,"&gt;0",$F$6:$F$61,"&gt;"&amp;F36)+COUNTIFS($C$6:$C$61,C36,$J$6:$J$61,"&gt;0",$F$6:$F$61,F36,$A$6:$A$61,"&lt;"&amp;A36)+1)</x:f>
        <x:v>4</x:v>
      </x:c>
      <x:c r="R36" s="37" t="n">
        <x:f>IF(J36=0,0,COUNTIFS($C$6:$C$61,C36,$J$6:$J$61,"&gt;0"))</x:f>
        <x:v>15</x:v>
      </x:c>
      <x:c r="S36" s="22" t="n">
        <x:f>IF(J36=0,"",(SUMIFS($F$6:$F$61,$C$6:$C$61,C36,$J$6:$J$61,"&gt;0",$Q$6:$Q$61,INT((R36+1)/2))+SUMIFS($F$6:$F$61,$C$6:$C$61,C36,$J$6:$J$61,"&gt;0",$Q$6:$Q$61,INT((R36+2)/2)))/2)</x:f>
        <x:v>0.5939393939393939</x:v>
      </x:c>
    </x:row>
    <x:row r="37">
      <x:c r="A37" s="18" t="n">
        <x:f>ROW()-5</x:f>
        <x:v>32</x:v>
      </x:c>
      <x:c r="B37" s="25" t="str">
        <x:f>INDEX('城市数据库'!$A$6:$A$61,MATCH(A37,'城市数据库'!$AG$6:$AG$61,0))</x:f>
        <x:v>佛山</x:v>
      </x:c>
      <x:c r="C37" s="25" t="str">
        <x:f>INDEX('城市数据库'!$C$6:$C$61,MATCH(B37,'城市数据库'!$A$6:$A$61,0))</x:f>
        <x:v>新一线</x:v>
      </x:c>
      <x:c r="D37" s="25" t="str">
        <x:f>INDEX('城市数据库'!$E$6:$E$61,MATCH(B37,'城市数据库'!$A$6:$A$61,0))</x:f>
        <x:v>否</x:v>
      </x:c>
      <x:c r="E37" s="25" t="str">
        <x:f>INDEX('城市数据库'!$F$6:$F$61,MATCH(B37,'城市数据库'!$A$6:$A$61,0))</x:f>
      </x:c>
      <x:c r="F37" s="49" t="n">
        <x:f>INDEX('城市数据库'!$AD$6:$AD$61,MATCH(B37,'城市数据库'!$A$6:$A$61,0))</x:f>
        <x:v>0.5696969696969697</x:v>
      </x:c>
      <x:c r="G37" s="25" t="n">
        <x:f>--(INDEX('城市数据库'!$G$6:$G$61,MATCH(B37,'城市数据库'!$A$6:$A$61,0))&lt;&gt;"")</x:f>
        <x:v>1</x:v>
      </x:c>
      <x:c r="H37" s="40" t="n">
        <x:f>IF(C37="一线",'核心假设'!$B$21,IF(C37="新一线",'核心假设'!$B$22,IF(C37="二线",'核心假设'!$B$23,'核心假设'!$B$24)))</x:f>
        <x:v>800</x:v>
      </x:c>
      <x:c r="I37" s="37" t="n">
        <x:f>SUM($J$6:J36)</x:f>
        <x:v>21400</x:v>
      </x:c>
      <x:c r="J37" s="40" t="n">
        <x:f>IF(G37=0,0,IF(D37="是",H37,MAX(0,MIN(H37,'核心假设'!$B$6-I37))))</x:f>
        <x:v>800</x:v>
      </x:c>
      <x:c r="K37" s="40" t="n">
        <x:f>IF(J37=0,0,IF(F37&gt;=S37,'核心假设'!$B$25,'核心假设'!$B$26))</x:f>
        <x:v>0.4</x:v>
      </x:c>
      <x:c r="L37" s="37" t="n">
        <x:f>ROUND((J37*K37)/(2+2*K37),0)</x:f>
        <x:v>114</x:v>
      </x:c>
      <x:c r="M37" s="37" t="n">
        <x:f>(J37-4*L37)/2</x:f>
        <x:v>172</x:v>
      </x:c>
      <x:c r="N37" s="37" t="n">
        <x:f>L37+M37</x:f>
        <x:v>286</x:v>
      </x:c>
      <x:c r="O37" s="37" t="n">
        <x:f>4*L37+2*M37-J37</x:f>
        <x:v>0</x:v>
      </x:c>
      <x:c r="P37" s="37" t="str">
        <x:f>IF(D37="是",MOD(E37-1,6),"")</x:f>
      </x:c>
      <x:c r="Q37" s="37" t="n">
        <x:f>IF(J37=0,"",COUNTIFS($C$6:$C$61,C37,$J$6:$J$61,"&gt;0",$F$6:$F$61,"&gt;"&amp;F37)+COUNTIFS($C$6:$C$61,C37,$J$6:$J$61,"&gt;0",$F$6:$F$61,F37,$A$6:$A$61,"&lt;"&amp;A37)+1)</x:f>
        <x:v>9</x:v>
      </x:c>
      <x:c r="R37" s="37" t="n">
        <x:f>IF(J37=0,0,COUNTIFS($C$6:$C$61,C37,$J$6:$J$61,"&gt;0"))</x:f>
        <x:v>15</x:v>
      </x:c>
      <x:c r="S37" s="22" t="n">
        <x:f>IF(J37=0,"",(SUMIFS($F$6:$F$61,$C$6:$C$61,C37,$J$6:$J$61,"&gt;0",$Q$6:$Q$61,INT((R37+1)/2))+SUMIFS($F$6:$F$61,$C$6:$C$61,C37,$J$6:$J$61,"&gt;0",$Q$6:$Q$61,INT((R37+2)/2)))/2)</x:f>
        <x:v>0.5939393939393939</x:v>
      </x:c>
    </x:row>
    <x:row r="38">
      <x:c r="A38" s="18" t="n">
        <x:f>ROW()-5</x:f>
        <x:v>33</x:v>
      </x:c>
      <x:c r="B38" s="25" t="str">
        <x:f>INDEX('城市数据库'!$A$6:$A$61,MATCH(A38,'城市数据库'!$AG$6:$AG$61,0))</x:f>
        <x:v>东莞</x:v>
      </x:c>
      <x:c r="C38" s="25" t="str">
        <x:f>INDEX('城市数据库'!$C$6:$C$61,MATCH(B38,'城市数据库'!$A$6:$A$61,0))</x:f>
        <x:v>新一线</x:v>
      </x:c>
      <x:c r="D38" s="25" t="str">
        <x:f>INDEX('城市数据库'!$E$6:$E$61,MATCH(B38,'城市数据库'!$A$6:$A$61,0))</x:f>
        <x:v>否</x:v>
      </x:c>
      <x:c r="E38" s="25" t="str">
        <x:f>INDEX('城市数据库'!$F$6:$F$61,MATCH(B38,'城市数据库'!$A$6:$A$61,0))</x:f>
      </x:c>
      <x:c r="F38" s="49" t="n">
        <x:f>INDEX('城市数据库'!$AD$6:$AD$61,MATCH(B38,'城市数据库'!$A$6:$A$61,0))</x:f>
        <x:v>0.3454545454545454</x:v>
      </x:c>
      <x:c r="G38" s="25" t="n">
        <x:f>--(INDEX('城市数据库'!$G$6:$G$61,MATCH(B38,'城市数据库'!$A$6:$A$61,0))&lt;&gt;"")</x:f>
        <x:v>1</x:v>
      </x:c>
      <x:c r="H38" s="40" t="n">
        <x:f>IF(C38="一线",'核心假设'!$B$21,IF(C38="新一线",'核心假设'!$B$22,IF(C38="二线",'核心假设'!$B$23,'核心假设'!$B$24)))</x:f>
        <x:v>800</x:v>
      </x:c>
      <x:c r="I38" s="37" t="n">
        <x:f>SUM($J$6:J37)</x:f>
        <x:v>22200</x:v>
      </x:c>
      <x:c r="J38" s="40" t="n">
        <x:f>IF(G38=0,0,IF(D38="是",H38,MAX(0,MIN(H38,'核心假设'!$B$6-I38))))</x:f>
        <x:v>800</x:v>
      </x:c>
      <x:c r="K38" s="40" t="n">
        <x:f>IF(J38=0,0,IF(F38&gt;=S38,'核心假设'!$B$25,'核心假设'!$B$26))</x:f>
        <x:v>0.4</x:v>
      </x:c>
      <x:c r="L38" s="37" t="n">
        <x:f>ROUND((J38*K38)/(2+2*K38),0)</x:f>
        <x:v>114</x:v>
      </x:c>
      <x:c r="M38" s="37" t="n">
        <x:f>(J38-4*L38)/2</x:f>
        <x:v>172</x:v>
      </x:c>
      <x:c r="N38" s="37" t="n">
        <x:f>L38+M38</x:f>
        <x:v>286</x:v>
      </x:c>
      <x:c r="O38" s="37" t="n">
        <x:f>4*L38+2*M38-J38</x:f>
        <x:v>0</x:v>
      </x:c>
      <x:c r="P38" s="37" t="str">
        <x:f>IF(D38="是",MOD(E38-1,6),"")</x:f>
      </x:c>
      <x:c r="Q38" s="37" t="n">
        <x:f>IF(J38=0,"",COUNTIFS($C$6:$C$61,C38,$J$6:$J$61,"&gt;0",$F$6:$F$61,"&gt;"&amp;F38)+COUNTIFS($C$6:$C$61,C38,$J$6:$J$61,"&gt;0",$F$6:$F$61,F38,$A$6:$A$61,"&lt;"&amp;A38)+1)</x:f>
        <x:v>12</x:v>
      </x:c>
      <x:c r="R38" s="37" t="n">
        <x:f>IF(J38=0,0,COUNTIFS($C$6:$C$61,C38,$J$6:$J$61,"&gt;0"))</x:f>
        <x:v>15</x:v>
      </x:c>
      <x:c r="S38" s="22" t="n">
        <x:f>IF(J38=0,"",(SUMIFS($F$6:$F$61,$C$6:$C$61,C38,$J$6:$J$61,"&gt;0",$Q$6:$Q$61,INT((R38+1)/2))+SUMIFS($F$6:$F$61,$C$6:$C$61,C38,$J$6:$J$61,"&gt;0",$Q$6:$Q$61,INT((R38+2)/2)))/2)</x:f>
        <x:v>0.5939393939393939</x:v>
      </x:c>
    </x:row>
    <x:row r="39">
      <x:c r="A39" s="18" t="n">
        <x:f>ROW()-5</x:f>
        <x:v>34</x:v>
      </x:c>
      <x:c r="B39" s="25" t="str">
        <x:f>INDEX('城市数据库'!$A$6:$A$61,MATCH(A39,'城市数据库'!$AG$6:$AG$61,0))</x:f>
        <x:v>石家庄</x:v>
      </x:c>
      <x:c r="C39" s="25" t="str">
        <x:f>INDEX('城市数据库'!$C$6:$C$61,MATCH(B39,'城市数据库'!$A$6:$A$61,0))</x:f>
        <x:v>二线</x:v>
      </x:c>
      <x:c r="D39" s="25" t="str">
        <x:f>INDEX('城市数据库'!$E$6:$E$61,MATCH(B39,'城市数据库'!$A$6:$A$61,0))</x:f>
        <x:v>否</x:v>
      </x:c>
      <x:c r="E39" s="25" t="str">
        <x:f>INDEX('城市数据库'!$F$6:$F$61,MATCH(B39,'城市数据库'!$A$6:$A$61,0))</x:f>
      </x:c>
      <x:c r="F39" s="49" t="n">
        <x:f>INDEX('城市数据库'!$AD$6:$AD$61,MATCH(B39,'城市数据库'!$A$6:$A$61,0))</x:f>
        <x:v>0.9696969696969696</x:v>
      </x:c>
      <x:c r="G39" s="25" t="n">
        <x:f>--(INDEX('城市数据库'!$G$6:$G$61,MATCH(B39,'城市数据库'!$A$6:$A$61,0))&lt;&gt;"")</x:f>
        <x:v>1</x:v>
      </x:c>
      <x:c r="H39" s="40" t="n">
        <x:f>IF(C39="一线",'核心假设'!$B$21,IF(C39="新一线",'核心假设'!$B$22,IF(C39="二线",'核心假设'!$B$23,'核心假设'!$B$24)))</x:f>
        <x:v>600</x:v>
      </x:c>
      <x:c r="I39" s="37" t="n">
        <x:f>SUM($J$6:J38)</x:f>
        <x:v>23000</x:v>
      </x:c>
      <x:c r="J39" s="40" t="n">
        <x:f>IF(G39=0,0,IF(D39="是",H39,MAX(0,MIN(H39,'核心假设'!$B$6-I39))))</x:f>
        <x:v>600</x:v>
      </x:c>
      <x:c r="K39" s="40" t="n">
        <x:f>IF(J39=0,0,IF(F39&gt;=S39,'核心假设'!$B$25,'核心假设'!$B$26))</x:f>
        <x:v>0.7</x:v>
      </x:c>
      <x:c r="L39" s="37" t="n">
        <x:f>ROUND((J39*K39)/(2+2*K39),0)</x:f>
        <x:v>124</x:v>
      </x:c>
      <x:c r="M39" s="37" t="n">
        <x:f>(J39-4*L39)/2</x:f>
        <x:v>52</x:v>
      </x:c>
      <x:c r="N39" s="37" t="n">
        <x:f>L39+M39</x:f>
        <x:v>176</x:v>
      </x:c>
      <x:c r="O39" s="37" t="n">
        <x:f>4*L39+2*M39-J39</x:f>
        <x:v>0</x:v>
      </x:c>
      <x:c r="P39" s="37" t="str">
        <x:f>IF(D39="是",MOD(E39-1,6),"")</x:f>
      </x:c>
      <x:c r="Q39" s="37" t="n">
        <x:f>IF(J39=0,"",COUNTIFS($C$6:$C$61,C39,$J$6:$J$61,"&gt;0",$F$6:$F$61,"&gt;"&amp;F39)+COUNTIFS($C$6:$C$61,C39,$J$6:$J$61,"&gt;0",$F$6:$F$61,F39,$A$6:$A$61,"&lt;"&amp;A39)+1)</x:f>
        <x:v>1</x:v>
      </x:c>
      <x:c r="R39" s="37" t="n">
        <x:f>IF(J39=0,0,COUNTIFS($C$6:$C$61,C39,$J$6:$J$61,"&gt;0"))</x:f>
        <x:v>19</x:v>
      </x:c>
      <x:c r="S39" s="22" t="n">
        <x:f>IF(J39=0,"",(SUMIFS($F$6:$F$61,$C$6:$C$61,C39,$J$6:$J$61,"&gt;0",$Q$6:$Q$61,INT((R39+1)/2))+SUMIFS($F$6:$F$61,$C$6:$C$61,C39,$J$6:$J$61,"&gt;0",$Q$6:$Q$61,INT((R39+2)/2)))/2)</x:f>
        <x:v>0.6636363636363636</x:v>
      </x:c>
    </x:row>
    <x:row r="40">
      <x:c r="A40" s="18" t="n">
        <x:f>ROW()-5</x:f>
        <x:v>35</x:v>
      </x:c>
      <x:c r="B40" s="25" t="str">
        <x:f>INDEX('城市数据库'!$A$6:$A$61,MATCH(A40,'城市数据库'!$AG$6:$AG$61,0))</x:f>
        <x:v>哈尔滨</x:v>
      </x:c>
      <x:c r="C40" s="25" t="str">
        <x:f>INDEX('城市数据库'!$C$6:$C$61,MATCH(B40,'城市数据库'!$A$6:$A$61,0))</x:f>
        <x:v>二线</x:v>
      </x:c>
      <x:c r="D40" s="25" t="str">
        <x:f>INDEX('城市数据库'!$E$6:$E$61,MATCH(B40,'城市数据库'!$A$6:$A$61,0))</x:f>
        <x:v>否</x:v>
      </x:c>
      <x:c r="E40" s="25" t="str">
        <x:f>INDEX('城市数据库'!$F$6:$F$61,MATCH(B40,'城市数据库'!$A$6:$A$61,0))</x:f>
      </x:c>
      <x:c r="F40" s="49" t="n">
        <x:f>INDEX('城市数据库'!$AD$6:$AD$61,MATCH(B40,'城市数据库'!$A$6:$A$61,0))</x:f>
        <x:v>0.8878787878787877</x:v>
      </x:c>
      <x:c r="G40" s="25" t="n">
        <x:f>--(INDEX('城市数据库'!$G$6:$G$61,MATCH(B40,'城市数据库'!$A$6:$A$61,0))&lt;&gt;"")</x:f>
        <x:v>1</x:v>
      </x:c>
      <x:c r="H40" s="40" t="n">
        <x:f>IF(C40="一线",'核心假设'!$B$21,IF(C40="新一线",'核心假设'!$B$22,IF(C40="二线",'核心假设'!$B$23,'核心假设'!$B$24)))</x:f>
        <x:v>600</x:v>
      </x:c>
      <x:c r="I40" s="37" t="n">
        <x:f>SUM($J$6:J39)</x:f>
        <x:v>23600</x:v>
      </x:c>
      <x:c r="J40" s="40" t="n">
        <x:f>IF(G40=0,0,IF(D40="是",H40,MAX(0,MIN(H40,'核心假设'!$B$6-I40))))</x:f>
        <x:v>600</x:v>
      </x:c>
      <x:c r="K40" s="40" t="n">
        <x:f>IF(J40=0,0,IF(F40&gt;=S40,'核心假设'!$B$25,'核心假设'!$B$26))</x:f>
        <x:v>0.7</x:v>
      </x:c>
      <x:c r="L40" s="37" t="n">
        <x:f>ROUND((J40*K40)/(2+2*K40),0)</x:f>
        <x:v>124</x:v>
      </x:c>
      <x:c r="M40" s="37" t="n">
        <x:f>(J40-4*L40)/2</x:f>
        <x:v>52</x:v>
      </x:c>
      <x:c r="N40" s="37" t="n">
        <x:f>L40+M40</x:f>
        <x:v>176</x:v>
      </x:c>
      <x:c r="O40" s="37" t="n">
        <x:f>4*L40+2*M40-J40</x:f>
        <x:v>0</x:v>
      </x:c>
      <x:c r="P40" s="37" t="str">
        <x:f>IF(D40="是",MOD(E40-1,6),"")</x:f>
      </x:c>
      <x:c r="Q40" s="37" t="n">
        <x:f>IF(J40=0,"",COUNTIFS($C$6:$C$61,C40,$J$6:$J$61,"&gt;0",$F$6:$F$61,"&gt;"&amp;F40)+COUNTIFS($C$6:$C$61,C40,$J$6:$J$61,"&gt;0",$F$6:$F$61,F40,$A$6:$A$61,"&lt;"&amp;A40)+1)</x:f>
        <x:v>2</x:v>
      </x:c>
      <x:c r="R40" s="37" t="n">
        <x:f>IF(J40=0,0,COUNTIFS($C$6:$C$61,C40,$J$6:$J$61,"&gt;0"))</x:f>
        <x:v>19</x:v>
      </x:c>
      <x:c r="S40" s="22" t="n">
        <x:f>IF(J40=0,"",(SUMIFS($F$6:$F$61,$C$6:$C$61,C40,$J$6:$J$61,"&gt;0",$Q$6:$Q$61,INT((R40+1)/2))+SUMIFS($F$6:$F$61,$C$6:$C$61,C40,$J$6:$J$61,"&gt;0",$Q$6:$Q$61,INT((R40+2)/2)))/2)</x:f>
        <x:v>0.6636363636363636</x:v>
      </x:c>
    </x:row>
    <x:row r="41">
      <x:c r="A41" s="18" t="n">
        <x:f>ROW()-5</x:f>
        <x:v>36</x:v>
      </x:c>
      <x:c r="B41" s="25" t="str">
        <x:f>INDEX('城市数据库'!$A$6:$A$61,MATCH(A41,'城市数据库'!$AG$6:$AG$61,0))</x:f>
        <x:v>潍坊</x:v>
      </x:c>
      <x:c r="C41" s="25" t="str">
        <x:f>INDEX('城市数据库'!$C$6:$C$61,MATCH(B41,'城市数据库'!$A$6:$A$61,0))</x:f>
        <x:v>二线</x:v>
      </x:c>
      <x:c r="D41" s="25" t="str">
        <x:f>INDEX('城市数据库'!$E$6:$E$61,MATCH(B41,'城市数据库'!$A$6:$A$61,0))</x:f>
        <x:v>否</x:v>
      </x:c>
      <x:c r="E41" s="25" t="str">
        <x:f>INDEX('城市数据库'!$F$6:$F$61,MATCH(B41,'城市数据库'!$A$6:$A$61,0))</x:f>
      </x:c>
      <x:c r="F41" s="49" t="n">
        <x:f>INDEX('城市数据库'!$AD$6:$AD$61,MATCH(B41,'城市数据库'!$A$6:$A$61,0))</x:f>
        <x:v>0.8666666666666666</x:v>
      </x:c>
      <x:c r="G41" s="25" t="n">
        <x:f>--(INDEX('城市数据库'!$G$6:$G$61,MATCH(B41,'城市数据库'!$A$6:$A$61,0))&lt;&gt;"")</x:f>
        <x:v>1</x:v>
      </x:c>
      <x:c r="H41" s="40" t="n">
        <x:f>IF(C41="一线",'核心假设'!$B$21,IF(C41="新一线",'核心假设'!$B$22,IF(C41="二线",'核心假设'!$B$23,'核心假设'!$B$24)))</x:f>
        <x:v>600</x:v>
      </x:c>
      <x:c r="I41" s="37" t="n">
        <x:f>SUM($J$6:J40)</x:f>
        <x:v>24200</x:v>
      </x:c>
      <x:c r="J41" s="40" t="n">
        <x:f>IF(G41=0,0,IF(D41="是",H41,MAX(0,MIN(H41,'核心假设'!$B$6-I41))))</x:f>
        <x:v>600</x:v>
      </x:c>
      <x:c r="K41" s="40" t="n">
        <x:f>IF(J41=0,0,IF(F41&gt;=S41,'核心假设'!$B$25,'核心假设'!$B$26))</x:f>
        <x:v>0.7</x:v>
      </x:c>
      <x:c r="L41" s="37" t="n">
        <x:f>ROUND((J41*K41)/(2+2*K41),0)</x:f>
        <x:v>124</x:v>
      </x:c>
      <x:c r="M41" s="37" t="n">
        <x:f>(J41-4*L41)/2</x:f>
        <x:v>52</x:v>
      </x:c>
      <x:c r="N41" s="37" t="n">
        <x:f>L41+M41</x:f>
        <x:v>176</x:v>
      </x:c>
      <x:c r="O41" s="37" t="n">
        <x:f>4*L41+2*M41-J41</x:f>
        <x:v>0</x:v>
      </x:c>
      <x:c r="P41" s="37" t="str">
        <x:f>IF(D41="是",MOD(E41-1,6),"")</x:f>
      </x:c>
      <x:c r="Q41" s="37" t="n">
        <x:f>IF(J41=0,"",COUNTIFS($C$6:$C$61,C41,$J$6:$J$61,"&gt;0",$F$6:$F$61,"&gt;"&amp;F41)+COUNTIFS($C$6:$C$61,C41,$J$6:$J$61,"&gt;0",$F$6:$F$61,F41,$A$6:$A$61,"&lt;"&amp;A41)+1)</x:f>
        <x:v>3</x:v>
      </x:c>
      <x:c r="R41" s="37" t="n">
        <x:f>IF(J41=0,0,COUNTIFS($C$6:$C$61,C41,$J$6:$J$61,"&gt;0"))</x:f>
        <x:v>19</x:v>
      </x:c>
      <x:c r="S41" s="22" t="n">
        <x:f>IF(J41=0,"",(SUMIFS($F$6:$F$61,$C$6:$C$61,C41,$J$6:$J$61,"&gt;0",$Q$6:$Q$61,INT((R41+1)/2))+SUMIFS($F$6:$F$61,$C$6:$C$61,C41,$J$6:$J$61,"&gt;0",$Q$6:$Q$61,INT((R41+2)/2)))/2)</x:f>
        <x:v>0.6636363636363636</x:v>
      </x:c>
    </x:row>
    <x:row r="42">
      <x:c r="A42" s="18" t="n">
        <x:f>ROW()-5</x:f>
        <x:v>37</x:v>
      </x:c>
      <x:c r="B42" s="25" t="str">
        <x:f>INDEX('城市数据库'!$A$6:$A$61,MATCH(A42,'城市数据库'!$AG$6:$AG$61,0))</x:f>
        <x:v>沈阳</x:v>
      </x:c>
      <x:c r="C42" s="25" t="str">
        <x:f>INDEX('城市数据库'!$C$6:$C$61,MATCH(B42,'城市数据库'!$A$6:$A$61,0))</x:f>
        <x:v>二线</x:v>
      </x:c>
      <x:c r="D42" s="25" t="str">
        <x:f>INDEX('城市数据库'!$E$6:$E$61,MATCH(B42,'城市数据库'!$A$6:$A$61,0))</x:f>
        <x:v>否</x:v>
      </x:c>
      <x:c r="E42" s="25" t="str">
        <x:f>INDEX('城市数据库'!$F$6:$F$61,MATCH(B42,'城市数据库'!$A$6:$A$61,0))</x:f>
      </x:c>
      <x:c r="F42" s="49" t="n">
        <x:f>INDEX('城市数据库'!$AD$6:$AD$61,MATCH(B42,'城市数据库'!$A$6:$A$61,0))</x:f>
        <x:v>0.7909090909090909</x:v>
      </x:c>
      <x:c r="G42" s="25" t="n">
        <x:f>--(INDEX('城市数据库'!$G$6:$G$61,MATCH(B42,'城市数据库'!$A$6:$A$61,0))&lt;&gt;"")</x:f>
        <x:v>1</x:v>
      </x:c>
      <x:c r="H42" s="40" t="n">
        <x:f>IF(C42="一线",'核心假设'!$B$21,IF(C42="新一线",'核心假设'!$B$22,IF(C42="二线",'核心假设'!$B$23,'核心假设'!$B$24)))</x:f>
        <x:v>600</x:v>
      </x:c>
      <x:c r="I42" s="37" t="n">
        <x:f>SUM($J$6:J41)</x:f>
        <x:v>24800</x:v>
      </x:c>
      <x:c r="J42" s="40" t="n">
        <x:f>IF(G42=0,0,IF(D42="是",H42,MAX(0,MIN(H42,'核心假设'!$B$6-I42))))</x:f>
        <x:v>600</x:v>
      </x:c>
      <x:c r="K42" s="40" t="n">
        <x:f>IF(J42=0,0,IF(F42&gt;=S42,'核心假设'!$B$25,'核心假设'!$B$26))</x:f>
        <x:v>0.7</x:v>
      </x:c>
      <x:c r="L42" s="37" t="n">
        <x:f>ROUND((J42*K42)/(2+2*K42),0)</x:f>
        <x:v>124</x:v>
      </x:c>
      <x:c r="M42" s="37" t="n">
        <x:f>(J42-4*L42)/2</x:f>
        <x:v>52</x:v>
      </x:c>
      <x:c r="N42" s="37" t="n">
        <x:f>L42+M42</x:f>
        <x:v>176</x:v>
      </x:c>
      <x:c r="O42" s="37" t="n">
        <x:f>4*L42+2*M42-J42</x:f>
        <x:v>0</x:v>
      </x:c>
      <x:c r="P42" s="37" t="str">
        <x:f>IF(D42="是",MOD(E42-1,6),"")</x:f>
      </x:c>
      <x:c r="Q42" s="37" t="n">
        <x:f>IF(J42=0,"",COUNTIFS($C$6:$C$61,C42,$J$6:$J$61,"&gt;0",$F$6:$F$61,"&gt;"&amp;F42)+COUNTIFS($C$6:$C$61,C42,$J$6:$J$61,"&gt;0",$F$6:$F$61,F42,$A$6:$A$61,"&lt;"&amp;A42)+1)</x:f>
        <x:v>4</x:v>
      </x:c>
      <x:c r="R42" s="37" t="n">
        <x:f>IF(J42=0,0,COUNTIFS($C$6:$C$61,C42,$J$6:$J$61,"&gt;0"))</x:f>
        <x:v>19</x:v>
      </x:c>
      <x:c r="S42" s="22" t="n">
        <x:f>IF(J42=0,"",(SUMIFS($F$6:$F$61,$C$6:$C$61,C42,$J$6:$J$61,"&gt;0",$Q$6:$Q$61,INT((R42+1)/2))+SUMIFS($F$6:$F$61,$C$6:$C$61,C42,$J$6:$J$61,"&gt;0",$Q$6:$Q$61,INT((R42+2)/2)))/2)</x:f>
        <x:v>0.6636363636363636</x:v>
      </x:c>
    </x:row>
    <x:row r="43">
      <x:c r="A43" s="18" t="n">
        <x:f>ROW()-5</x:f>
        <x:v>38</x:v>
      </x:c>
      <x:c r="B43" s="25" t="str">
        <x:f>INDEX('城市数据库'!$A$6:$A$61,MATCH(A43,'城市数据库'!$AG$6:$AG$61,0))</x:f>
        <x:v>温州</x:v>
      </x:c>
      <x:c r="C43" s="25" t="str">
        <x:f>INDEX('城市数据库'!$C$6:$C$61,MATCH(B43,'城市数据库'!$A$6:$A$61,0))</x:f>
        <x:v>二线</x:v>
      </x:c>
      <x:c r="D43" s="25" t="str">
        <x:f>INDEX('城市数据库'!$E$6:$E$61,MATCH(B43,'城市数据库'!$A$6:$A$61,0))</x:f>
        <x:v>否</x:v>
      </x:c>
      <x:c r="E43" s="25" t="str">
        <x:f>INDEX('城市数据库'!$F$6:$F$61,MATCH(B43,'城市数据库'!$A$6:$A$61,0))</x:f>
      </x:c>
      <x:c r="F43" s="49" t="n">
        <x:f>INDEX('城市数据库'!$AD$6:$AD$61,MATCH(B43,'城市数据库'!$A$6:$A$61,0))</x:f>
        <x:v>0.7787878787878787</x:v>
      </x:c>
      <x:c r="G43" s="25" t="n">
        <x:f>--(INDEX('城市数据库'!$G$6:$G$61,MATCH(B43,'城市数据库'!$A$6:$A$61,0))&lt;&gt;"")</x:f>
        <x:v>1</x:v>
      </x:c>
      <x:c r="H43" s="40" t="n">
        <x:f>IF(C43="一线",'核心假设'!$B$21,IF(C43="新一线",'核心假设'!$B$22,IF(C43="二线",'核心假设'!$B$23,'核心假设'!$B$24)))</x:f>
        <x:v>600</x:v>
      </x:c>
      <x:c r="I43" s="37" t="n">
        <x:f>SUM($J$6:J42)</x:f>
        <x:v>25400</x:v>
      </x:c>
      <x:c r="J43" s="40" t="n">
        <x:f>IF(G43=0,0,IF(D43="是",H43,MAX(0,MIN(H43,'核心假设'!$B$6-I43))))</x:f>
        <x:v>600</x:v>
      </x:c>
      <x:c r="K43" s="40" t="n">
        <x:f>IF(J43=0,0,IF(F43&gt;=S43,'核心假设'!$B$25,'核心假设'!$B$26))</x:f>
        <x:v>0.7</x:v>
      </x:c>
      <x:c r="L43" s="37" t="n">
        <x:f>ROUND((J43*K43)/(2+2*K43),0)</x:f>
        <x:v>124</x:v>
      </x:c>
      <x:c r="M43" s="37" t="n">
        <x:f>(J43-4*L43)/2</x:f>
        <x:v>52</x:v>
      </x:c>
      <x:c r="N43" s="37" t="n">
        <x:f>L43+M43</x:f>
        <x:v>176</x:v>
      </x:c>
      <x:c r="O43" s="37" t="n">
        <x:f>4*L43+2*M43-J43</x:f>
        <x:v>0</x:v>
      </x:c>
      <x:c r="P43" s="37" t="str">
        <x:f>IF(D43="是",MOD(E43-1,6),"")</x:f>
      </x:c>
      <x:c r="Q43" s="37" t="n">
        <x:f>IF(J43=0,"",COUNTIFS($C$6:$C$61,C43,$J$6:$J$61,"&gt;0",$F$6:$F$61,"&gt;"&amp;F43)+COUNTIFS($C$6:$C$61,C43,$J$6:$J$61,"&gt;0",$F$6:$F$61,F43,$A$6:$A$61,"&lt;"&amp;A43)+1)</x:f>
        <x:v>5</x:v>
      </x:c>
      <x:c r="R43" s="37" t="n">
        <x:f>IF(J43=0,0,COUNTIFS($C$6:$C$61,C43,$J$6:$J$61,"&gt;0"))</x:f>
        <x:v>19</x:v>
      </x:c>
      <x:c r="S43" s="22" t="n">
        <x:f>IF(J43=0,"",(SUMIFS($F$6:$F$61,$C$6:$C$61,C43,$J$6:$J$61,"&gt;0",$Q$6:$Q$61,INT((R43+1)/2))+SUMIFS($F$6:$F$61,$C$6:$C$61,C43,$J$6:$J$61,"&gt;0",$Q$6:$Q$61,INT((R43+2)/2)))/2)</x:f>
        <x:v>0.6636363636363636</x:v>
      </x:c>
    </x:row>
    <x:row r="44">
      <x:c r="A44" s="18" t="n">
        <x:f>ROW()-5</x:f>
        <x:v>39</x:v>
      </x:c>
      <x:c r="B44" s="25" t="str">
        <x:f>INDEX('城市数据库'!$A$6:$A$61,MATCH(A44,'城市数据库'!$AG$6:$AG$61,0))</x:f>
        <x:v>保定</x:v>
      </x:c>
      <x:c r="C44" s="25" t="str">
        <x:f>INDEX('城市数据库'!$C$6:$C$61,MATCH(B44,'城市数据库'!$A$6:$A$61,0))</x:f>
        <x:v>二线</x:v>
      </x:c>
      <x:c r="D44" s="25" t="str">
        <x:f>INDEX('城市数据库'!$E$6:$E$61,MATCH(B44,'城市数据库'!$A$6:$A$61,0))</x:f>
        <x:v>否</x:v>
      </x:c>
      <x:c r="E44" s="25" t="str">
        <x:f>INDEX('城市数据库'!$F$6:$F$61,MATCH(B44,'城市数据库'!$A$6:$A$61,0))</x:f>
      </x:c>
      <x:c r="F44" s="49" t="n">
        <x:f>INDEX('城市数据库'!$AD$6:$AD$61,MATCH(B44,'城市数据库'!$A$6:$A$61,0))</x:f>
        <x:v>0.7575757575757575</x:v>
      </x:c>
      <x:c r="G44" s="25" t="n">
        <x:f>--(INDEX('城市数据库'!$G$6:$G$61,MATCH(B44,'城市数据库'!$A$6:$A$61,0))&lt;&gt;"")</x:f>
        <x:v>1</x:v>
      </x:c>
      <x:c r="H44" s="40" t="n">
        <x:f>IF(C44="一线",'核心假设'!$B$21,IF(C44="新一线",'核心假设'!$B$22,IF(C44="二线",'核心假设'!$B$23,'核心假设'!$B$24)))</x:f>
        <x:v>600</x:v>
      </x:c>
      <x:c r="I44" s="37" t="n">
        <x:f>SUM($J$6:J43)</x:f>
        <x:v>26000</x:v>
      </x:c>
      <x:c r="J44" s="40" t="n">
        <x:f>IF(G44=0,0,IF(D44="是",H44,MAX(0,MIN(H44,'核心假设'!$B$6-I44))))</x:f>
        <x:v>600</x:v>
      </x:c>
      <x:c r="K44" s="40" t="n">
        <x:f>IF(J44=0,0,IF(F44&gt;=S44,'核心假设'!$B$25,'核心假设'!$B$26))</x:f>
        <x:v>0.7</x:v>
      </x:c>
      <x:c r="L44" s="37" t="n">
        <x:f>ROUND((J44*K44)/(2+2*K44),0)</x:f>
        <x:v>124</x:v>
      </x:c>
      <x:c r="M44" s="37" t="n">
        <x:f>(J44-4*L44)/2</x:f>
        <x:v>52</x:v>
      </x:c>
      <x:c r="N44" s="37" t="n">
        <x:f>L44+M44</x:f>
        <x:v>176</x:v>
      </x:c>
      <x:c r="O44" s="37" t="n">
        <x:f>4*L44+2*M44-J44</x:f>
        <x:v>0</x:v>
      </x:c>
      <x:c r="P44" s="37" t="str">
        <x:f>IF(D44="是",MOD(E44-1,6),"")</x:f>
      </x:c>
      <x:c r="Q44" s="37" t="n">
        <x:f>IF(J44=0,"",COUNTIFS($C$6:$C$61,C44,$J$6:$J$61,"&gt;0",$F$6:$F$61,"&gt;"&amp;F44)+COUNTIFS($C$6:$C$61,C44,$J$6:$J$61,"&gt;0",$F$6:$F$61,F44,$A$6:$A$61,"&lt;"&amp;A44)+1)</x:f>
        <x:v>6</x:v>
      </x:c>
      <x:c r="R44" s="37" t="n">
        <x:f>IF(J44=0,0,COUNTIFS($C$6:$C$61,C44,$J$6:$J$61,"&gt;0"))</x:f>
        <x:v>19</x:v>
      </x:c>
      <x:c r="S44" s="22" t="n">
        <x:f>IF(J44=0,"",(SUMIFS($F$6:$F$61,$C$6:$C$61,C44,$J$6:$J$61,"&gt;0",$Q$6:$Q$61,INT((R44+1)/2))+SUMIFS($F$6:$F$61,$C$6:$C$61,C44,$J$6:$J$61,"&gt;0",$Q$6:$Q$61,INT((R44+2)/2)))/2)</x:f>
        <x:v>0.6636363636363636</x:v>
      </x:c>
    </x:row>
    <x:row r="45">
      <x:c r="A45" s="18" t="n">
        <x:f>ROW()-5</x:f>
        <x:v>40</x:v>
      </x:c>
      <x:c r="B45" s="25" t="str">
        <x:f>INDEX('城市数据库'!$A$6:$A$61,MATCH(A45,'城市数据库'!$AG$6:$AG$61,0))</x:f>
        <x:v>临沂</x:v>
      </x:c>
      <x:c r="C45" s="25" t="str">
        <x:f>INDEX('城市数据库'!$C$6:$C$61,MATCH(B45,'城市数据库'!$A$6:$A$61,0))</x:f>
        <x:v>二线</x:v>
      </x:c>
      <x:c r="D45" s="25" t="str">
        <x:f>INDEX('城市数据库'!$E$6:$E$61,MATCH(B45,'城市数据库'!$A$6:$A$61,0))</x:f>
        <x:v>否</x:v>
      </x:c>
      <x:c r="E45" s="25" t="str">
        <x:f>INDEX('城市数据库'!$F$6:$F$61,MATCH(B45,'城市数据库'!$A$6:$A$61,0))</x:f>
      </x:c>
      <x:c r="F45" s="49" t="n">
        <x:f>INDEX('城市数据库'!$AD$6:$AD$61,MATCH(B45,'城市数据库'!$A$6:$A$61,0))</x:f>
        <x:v>0.7090909090909091</x:v>
      </x:c>
      <x:c r="G45" s="25" t="n">
        <x:f>--(INDEX('城市数据库'!$G$6:$G$61,MATCH(B45,'城市数据库'!$A$6:$A$61,0))&lt;&gt;"")</x:f>
        <x:v>1</x:v>
      </x:c>
      <x:c r="H45" s="40" t="n">
        <x:f>IF(C45="一线",'核心假设'!$B$21,IF(C45="新一线",'核心假设'!$B$22,IF(C45="二线",'核心假设'!$B$23,'核心假设'!$B$24)))</x:f>
        <x:v>600</x:v>
      </x:c>
      <x:c r="I45" s="37" t="n">
        <x:f>SUM($J$6:J44)</x:f>
        <x:v>26600</x:v>
      </x:c>
      <x:c r="J45" s="40" t="n">
        <x:f>IF(G45=0,0,IF(D45="是",H45,MAX(0,MIN(H45,'核心假设'!$B$6-I45))))</x:f>
        <x:v>600</x:v>
      </x:c>
      <x:c r="K45" s="40" t="n">
        <x:f>IF(J45=0,0,IF(F45&gt;=S45,'核心假设'!$B$25,'核心假设'!$B$26))</x:f>
        <x:v>0.7</x:v>
      </x:c>
      <x:c r="L45" s="37" t="n">
        <x:f>ROUND((J45*K45)/(2+2*K45),0)</x:f>
        <x:v>124</x:v>
      </x:c>
      <x:c r="M45" s="37" t="n">
        <x:f>(J45-4*L45)/2</x:f>
        <x:v>52</x:v>
      </x:c>
      <x:c r="N45" s="37" t="n">
        <x:f>L45+M45</x:f>
        <x:v>176</x:v>
      </x:c>
      <x:c r="O45" s="37" t="n">
        <x:f>4*L45+2*M45-J45</x:f>
        <x:v>0</x:v>
      </x:c>
      <x:c r="P45" s="37" t="str">
        <x:f>IF(D45="是",MOD(E45-1,6),"")</x:f>
      </x:c>
      <x:c r="Q45" s="37" t="n">
        <x:f>IF(J45=0,"",COUNTIFS($C$6:$C$61,C45,$J$6:$J$61,"&gt;0",$F$6:$F$61,"&gt;"&amp;F45)+COUNTIFS($C$6:$C$61,C45,$J$6:$J$61,"&gt;0",$F$6:$F$61,F45,$A$6:$A$61,"&lt;"&amp;A45)+1)</x:f>
        <x:v>7</x:v>
      </x:c>
      <x:c r="R45" s="37" t="n">
        <x:f>IF(J45=0,0,COUNTIFS($C$6:$C$61,C45,$J$6:$J$61,"&gt;0"))</x:f>
        <x:v>19</x:v>
      </x:c>
      <x:c r="S45" s="22" t="n">
        <x:f>IF(J45=0,"",(SUMIFS($F$6:$F$61,$C$6:$C$61,C45,$J$6:$J$61,"&gt;0",$Q$6:$Q$61,INT((R45+1)/2))+SUMIFS($F$6:$F$61,$C$6:$C$61,C45,$J$6:$J$61,"&gt;0",$Q$6:$Q$61,INT((R45+2)/2)))/2)</x:f>
        <x:v>0.6636363636363636</x:v>
      </x:c>
    </x:row>
    <x:row r="46">
      <x:c r="A46" s="18" t="n">
        <x:f>ROW()-5</x:f>
        <x:v>41</x:v>
      </x:c>
      <x:c r="B46" s="25" t="str">
        <x:f>INDEX('城市数据库'!$A$6:$A$61,MATCH(A46,'城市数据库'!$AG$6:$AG$61,0))</x:f>
        <x:v>昆明</x:v>
      </x:c>
      <x:c r="C46" s="25" t="str">
        <x:f>INDEX('城市数据库'!$C$6:$C$61,MATCH(B46,'城市数据库'!$A$6:$A$61,0))</x:f>
        <x:v>二线</x:v>
      </x:c>
      <x:c r="D46" s="25" t="str">
        <x:f>INDEX('城市数据库'!$E$6:$E$61,MATCH(B46,'城市数据库'!$A$6:$A$61,0))</x:f>
        <x:v>否</x:v>
      </x:c>
      <x:c r="E46" s="25" t="str">
        <x:f>INDEX('城市数据库'!$F$6:$F$61,MATCH(B46,'城市数据库'!$A$6:$A$61,0))</x:f>
      </x:c>
      <x:c r="F46" s="49" t="n">
        <x:f>INDEX('城市数据库'!$AD$6:$AD$61,MATCH(B46,'城市数据库'!$A$6:$A$61,0))</x:f>
        <x:v>0.6757575757575758</x:v>
      </x:c>
      <x:c r="G46" s="25" t="n">
        <x:f>--(INDEX('城市数据库'!$G$6:$G$61,MATCH(B46,'城市数据库'!$A$6:$A$61,0))&lt;&gt;"")</x:f>
        <x:v>1</x:v>
      </x:c>
      <x:c r="H46" s="40" t="n">
        <x:f>IF(C46="一线",'核心假设'!$B$21,IF(C46="新一线",'核心假设'!$B$22,IF(C46="二线",'核心假设'!$B$23,'核心假设'!$B$24)))</x:f>
        <x:v>600</x:v>
      </x:c>
      <x:c r="I46" s="37" t="n">
        <x:f>SUM($J$6:J45)</x:f>
        <x:v>27200</x:v>
      </x:c>
      <x:c r="J46" s="40" t="n">
        <x:f>IF(G46=0,0,IF(D46="是",H46,MAX(0,MIN(H46,'核心假设'!$B$6-I46))))</x:f>
        <x:v>600</x:v>
      </x:c>
      <x:c r="K46" s="40" t="n">
        <x:f>IF(J46=0,0,IF(F46&gt;=S46,'核心假设'!$B$25,'核心假设'!$B$26))</x:f>
        <x:v>0.7</x:v>
      </x:c>
      <x:c r="L46" s="37" t="n">
        <x:f>ROUND((J46*K46)/(2+2*K46),0)</x:f>
        <x:v>124</x:v>
      </x:c>
      <x:c r="M46" s="37" t="n">
        <x:f>(J46-4*L46)/2</x:f>
        <x:v>52</x:v>
      </x:c>
      <x:c r="N46" s="37" t="n">
        <x:f>L46+M46</x:f>
        <x:v>176</x:v>
      </x:c>
      <x:c r="O46" s="37" t="n">
        <x:f>4*L46+2*M46-J46</x:f>
        <x:v>0</x:v>
      </x:c>
      <x:c r="P46" s="37" t="str">
        <x:f>IF(D46="是",MOD(E46-1,6),"")</x:f>
      </x:c>
      <x:c r="Q46" s="37" t="n">
        <x:f>IF(J46=0,"",COUNTIFS($C$6:$C$61,C46,$J$6:$J$61,"&gt;0",$F$6:$F$61,"&gt;"&amp;F46)+COUNTIFS($C$6:$C$61,C46,$J$6:$J$61,"&gt;0",$F$6:$F$61,F46,$A$6:$A$61,"&lt;"&amp;A46)+1)</x:f>
        <x:v>8</x:v>
      </x:c>
      <x:c r="R46" s="37" t="n">
        <x:f>IF(J46=0,0,COUNTIFS($C$6:$C$61,C46,$J$6:$J$61,"&gt;0"))</x:f>
        <x:v>19</x:v>
      </x:c>
      <x:c r="S46" s="22" t="n">
        <x:f>IF(J46=0,"",(SUMIFS($F$6:$F$61,$C$6:$C$61,C46,$J$6:$J$61,"&gt;0",$Q$6:$Q$61,INT((R46+1)/2))+SUMIFS($F$6:$F$61,$C$6:$C$61,C46,$J$6:$J$61,"&gt;0",$Q$6:$Q$61,INT((R46+2)/2)))/2)</x:f>
        <x:v>0.6636363636363636</x:v>
      </x:c>
    </x:row>
    <x:row r="47">
      <x:c r="A47" s="18" t="n">
        <x:f>ROW()-5</x:f>
        <x:v>42</x:v>
      </x:c>
      <x:c r="B47" s="25" t="str">
        <x:f>INDEX('城市数据库'!$A$6:$A$61,MATCH(A47,'城市数据库'!$AG$6:$AG$61,0))</x:f>
        <x:v>福州</x:v>
      </x:c>
      <x:c r="C47" s="25" t="str">
        <x:f>INDEX('城市数据库'!$C$6:$C$61,MATCH(B47,'城市数据库'!$A$6:$A$61,0))</x:f>
        <x:v>二线</x:v>
      </x:c>
      <x:c r="D47" s="25" t="str">
        <x:f>INDEX('城市数据库'!$E$6:$E$61,MATCH(B47,'城市数据库'!$A$6:$A$61,0))</x:f>
        <x:v>否</x:v>
      </x:c>
      <x:c r="E47" s="25" t="str">
        <x:f>INDEX('城市数据库'!$F$6:$F$61,MATCH(B47,'城市数据库'!$A$6:$A$61,0))</x:f>
      </x:c>
      <x:c r="F47" s="49" t="n">
        <x:f>INDEX('城市数据库'!$AD$6:$AD$61,MATCH(B47,'城市数据库'!$A$6:$A$61,0))</x:f>
        <x:v>0.6727272727272726</x:v>
      </x:c>
      <x:c r="G47" s="25" t="n">
        <x:f>--(INDEX('城市数据库'!$G$6:$G$61,MATCH(B47,'城市数据库'!$A$6:$A$61,0))&lt;&gt;"")</x:f>
        <x:v>1</x:v>
      </x:c>
      <x:c r="H47" s="40" t="n">
        <x:f>IF(C47="一线",'核心假设'!$B$21,IF(C47="新一线",'核心假设'!$B$22,IF(C47="二线",'核心假设'!$B$23,'核心假设'!$B$24)))</x:f>
        <x:v>600</x:v>
      </x:c>
      <x:c r="I47" s="37" t="n">
        <x:f>SUM($J$6:J46)</x:f>
        <x:v>27800</x:v>
      </x:c>
      <x:c r="J47" s="40" t="n">
        <x:f>IF(G47=0,0,IF(D47="是",H47,MAX(0,MIN(H47,'核心假设'!$B$6-I47))))</x:f>
        <x:v>600</x:v>
      </x:c>
      <x:c r="K47" s="40" t="n">
        <x:f>IF(J47=0,0,IF(F47&gt;=S47,'核心假设'!$B$25,'核心假设'!$B$26))</x:f>
        <x:v>0.7</x:v>
      </x:c>
      <x:c r="L47" s="37" t="n">
        <x:f>ROUND((J47*K47)/(2+2*K47),0)</x:f>
        <x:v>124</x:v>
      </x:c>
      <x:c r="M47" s="37" t="n">
        <x:f>(J47-4*L47)/2</x:f>
        <x:v>52</x:v>
      </x:c>
      <x:c r="N47" s="37" t="n">
        <x:f>L47+M47</x:f>
        <x:v>176</x:v>
      </x:c>
      <x:c r="O47" s="37" t="n">
        <x:f>4*L47+2*M47-J47</x:f>
        <x:v>0</x:v>
      </x:c>
      <x:c r="P47" s="37" t="str">
        <x:f>IF(D47="是",MOD(E47-1,6),"")</x:f>
      </x:c>
      <x:c r="Q47" s="37" t="n">
        <x:f>IF(J47=0,"",COUNTIFS($C$6:$C$61,C47,$J$6:$J$61,"&gt;0",$F$6:$F$61,"&gt;"&amp;F47)+COUNTIFS($C$6:$C$61,C47,$J$6:$J$61,"&gt;0",$F$6:$F$61,F47,$A$6:$A$61,"&lt;"&amp;A47)+1)</x:f>
        <x:v>9</x:v>
      </x:c>
      <x:c r="R47" s="37" t="n">
        <x:f>IF(J47=0,0,COUNTIFS($C$6:$C$61,C47,$J$6:$J$61,"&gt;0"))</x:f>
        <x:v>19</x:v>
      </x:c>
      <x:c r="S47" s="22" t="n">
        <x:f>IF(J47=0,"",(SUMIFS($F$6:$F$61,$C$6:$C$61,C47,$J$6:$J$61,"&gt;0",$Q$6:$Q$61,INT((R47+1)/2))+SUMIFS($F$6:$F$61,$C$6:$C$61,C47,$J$6:$J$61,"&gt;0",$Q$6:$Q$61,INT((R47+2)/2)))/2)</x:f>
        <x:v>0.6636363636363636</x:v>
      </x:c>
    </x:row>
    <x:row r="48">
      <x:c r="A48" s="18" t="n">
        <x:f>ROW()-5</x:f>
        <x:v>43</x:v>
      </x:c>
      <x:c r="B48" s="25" t="str">
        <x:f>INDEX('城市数据库'!$A$6:$A$61,MATCH(A48,'城市数据库'!$AG$6:$AG$61,0))</x:f>
        <x:v>南宁</x:v>
      </x:c>
      <x:c r="C48" s="25" t="str">
        <x:f>INDEX('城市数据库'!$C$6:$C$61,MATCH(B48,'城市数据库'!$A$6:$A$61,0))</x:f>
        <x:v>二线</x:v>
      </x:c>
      <x:c r="D48" s="25" t="str">
        <x:f>INDEX('城市数据库'!$E$6:$E$61,MATCH(B48,'城市数据库'!$A$6:$A$61,0))</x:f>
        <x:v>否</x:v>
      </x:c>
      <x:c r="E48" s="25" t="str">
        <x:f>INDEX('城市数据库'!$F$6:$F$61,MATCH(B48,'城市数据库'!$A$6:$A$61,0))</x:f>
      </x:c>
      <x:c r="F48" s="49" t="n">
        <x:f>INDEX('城市数据库'!$AD$6:$AD$61,MATCH(B48,'城市数据库'!$A$6:$A$61,0))</x:f>
        <x:v>0.6636363636363636</x:v>
      </x:c>
      <x:c r="G48" s="25" t="n">
        <x:f>--(INDEX('城市数据库'!$G$6:$G$61,MATCH(B48,'城市数据库'!$A$6:$A$61,0))&lt;&gt;"")</x:f>
        <x:v>1</x:v>
      </x:c>
      <x:c r="H48" s="40" t="n">
        <x:f>IF(C48="一线",'核心假设'!$B$21,IF(C48="新一线",'核心假设'!$B$22,IF(C48="二线",'核心假设'!$B$23,'核心假设'!$B$24)))</x:f>
        <x:v>600</x:v>
      </x:c>
      <x:c r="I48" s="37" t="n">
        <x:f>SUM($J$6:J47)</x:f>
        <x:v>28400</x:v>
      </x:c>
      <x:c r="J48" s="40" t="n">
        <x:f>IF(G48=0,0,IF(D48="是",H48,MAX(0,MIN(H48,'核心假设'!$B$6-I48))))</x:f>
        <x:v>600</x:v>
      </x:c>
      <x:c r="K48" s="40" t="n">
        <x:f>IF(J48=0,0,IF(F48&gt;=S48,'核心假设'!$B$25,'核心假设'!$B$26))</x:f>
        <x:v>0.7</x:v>
      </x:c>
      <x:c r="L48" s="37" t="n">
        <x:f>ROUND((J48*K48)/(2+2*K48),0)</x:f>
        <x:v>124</x:v>
      </x:c>
      <x:c r="M48" s="37" t="n">
        <x:f>(J48-4*L48)/2</x:f>
        <x:v>52</x:v>
      </x:c>
      <x:c r="N48" s="37" t="n">
        <x:f>L48+M48</x:f>
        <x:v>176</x:v>
      </x:c>
      <x:c r="O48" s="37" t="n">
        <x:f>4*L48+2*M48-J48</x:f>
        <x:v>0</x:v>
      </x:c>
      <x:c r="P48" s="37" t="str">
        <x:f>IF(D48="是",MOD(E48-1,6),"")</x:f>
      </x:c>
      <x:c r="Q48" s="37" t="n">
        <x:f>IF(J48=0,"",COUNTIFS($C$6:$C$61,C48,$J$6:$J$61,"&gt;0",$F$6:$F$61,"&gt;"&amp;F48)+COUNTIFS($C$6:$C$61,C48,$J$6:$J$61,"&gt;0",$F$6:$F$61,F48,$A$6:$A$61,"&lt;"&amp;A48)+1)</x:f>
        <x:v>10</x:v>
      </x:c>
      <x:c r="R48" s="37" t="n">
        <x:f>IF(J48=0,0,COUNTIFS($C$6:$C$61,C48,$J$6:$J$61,"&gt;0"))</x:f>
        <x:v>19</x:v>
      </x:c>
      <x:c r="S48" s="22" t="n">
        <x:f>IF(J48=0,"",(SUMIFS($F$6:$F$61,$C$6:$C$61,C48,$J$6:$J$61,"&gt;0",$Q$6:$Q$61,INT((R48+1)/2))+SUMIFS($F$6:$F$61,$C$6:$C$61,C48,$J$6:$J$61,"&gt;0",$Q$6:$Q$61,INT((R48+2)/2)))/2)</x:f>
        <x:v>0.6636363636363636</x:v>
      </x:c>
    </x:row>
    <x:row r="49">
      <x:c r="A49" s="18" t="n">
        <x:f>ROW()-5</x:f>
        <x:v>44</x:v>
      </x:c>
      <x:c r="B49" s="25" t="str">
        <x:f>INDEX('城市数据库'!$A$6:$A$61,MATCH(A49,'城市数据库'!$AG$6:$AG$61,0))</x:f>
        <x:v>长春</x:v>
      </x:c>
      <x:c r="C49" s="25" t="str">
        <x:f>INDEX('城市数据库'!$C$6:$C$61,MATCH(B49,'城市数据库'!$A$6:$A$61,0))</x:f>
        <x:v>二线</x:v>
      </x:c>
      <x:c r="D49" s="25" t="str">
        <x:f>INDEX('城市数据库'!$E$6:$E$61,MATCH(B49,'城市数据库'!$A$6:$A$61,0))</x:f>
        <x:v>否</x:v>
      </x:c>
      <x:c r="E49" s="25" t="str">
        <x:f>INDEX('城市数据库'!$F$6:$F$61,MATCH(B49,'城市数据库'!$A$6:$A$61,0))</x:f>
      </x:c>
      <x:c r="F49" s="49" t="n">
        <x:f>INDEX('城市数据库'!$AD$6:$AD$61,MATCH(B49,'城市数据库'!$A$6:$A$61,0))</x:f>
        <x:v>0.6272727272727272</x:v>
      </x:c>
      <x:c r="G49" s="25" t="n">
        <x:f>--(INDEX('城市数据库'!$G$6:$G$61,MATCH(B49,'城市数据库'!$A$6:$A$61,0))&lt;&gt;"")</x:f>
        <x:v>1</x:v>
      </x:c>
      <x:c r="H49" s="40" t="n">
        <x:f>IF(C49="一线",'核心假设'!$B$21,IF(C49="新一线",'核心假设'!$B$22,IF(C49="二线",'核心假设'!$B$23,'核心假设'!$B$24)))</x:f>
        <x:v>600</x:v>
      </x:c>
      <x:c r="I49" s="37" t="n">
        <x:f>SUM($J$6:J48)</x:f>
        <x:v>29000</x:v>
      </x:c>
      <x:c r="J49" s="40" t="n">
        <x:f>IF(G49=0,0,IF(D49="是",H49,MAX(0,MIN(H49,'核心假设'!$B$6-I49))))</x:f>
        <x:v>600</x:v>
      </x:c>
      <x:c r="K49" s="40" t="n">
        <x:f>IF(J49=0,0,IF(F49&gt;=S49,'核心假设'!$B$25,'核心假设'!$B$26))</x:f>
        <x:v>0.4</x:v>
      </x:c>
      <x:c r="L49" s="37" t="n">
        <x:f>ROUND((J49*K49)/(2+2*K49),0)</x:f>
        <x:v>86</x:v>
      </x:c>
      <x:c r="M49" s="37" t="n">
        <x:f>(J49-4*L49)/2</x:f>
        <x:v>128</x:v>
      </x:c>
      <x:c r="N49" s="37" t="n">
        <x:f>L49+M49</x:f>
        <x:v>214</x:v>
      </x:c>
      <x:c r="O49" s="37" t="n">
        <x:f>4*L49+2*M49-J49</x:f>
        <x:v>0</x:v>
      </x:c>
      <x:c r="P49" s="37" t="str">
        <x:f>IF(D49="是",MOD(E49-1,6),"")</x:f>
      </x:c>
      <x:c r="Q49" s="37" t="n">
        <x:f>IF(J49=0,"",COUNTIFS($C$6:$C$61,C49,$J$6:$J$61,"&gt;0",$F$6:$F$61,"&gt;"&amp;F49)+COUNTIFS($C$6:$C$61,C49,$J$6:$J$61,"&gt;0",$F$6:$F$61,F49,$A$6:$A$61,"&lt;"&amp;A49)+1)</x:f>
        <x:v>11</x:v>
      </x:c>
      <x:c r="R49" s="37" t="n">
        <x:f>IF(J49=0,0,COUNTIFS($C$6:$C$61,C49,$J$6:$J$61,"&gt;0"))</x:f>
        <x:v>19</x:v>
      </x:c>
      <x:c r="S49" s="22" t="n">
        <x:f>IF(J49=0,"",(SUMIFS($F$6:$F$61,$C$6:$C$61,C49,$J$6:$J$61,"&gt;0",$Q$6:$Q$61,INT((R49+1)/2))+SUMIFS($F$6:$F$61,$C$6:$C$61,C49,$J$6:$J$61,"&gt;0",$Q$6:$Q$61,INT((R49+2)/2)))/2)</x:f>
        <x:v>0.6636363636363636</x:v>
      </x:c>
    </x:row>
    <x:row r="50">
      <x:c r="A50" s="18" t="n">
        <x:f>ROW()-5</x:f>
        <x:v>45</x:v>
      </x:c>
      <x:c r="B50" s="25" t="str">
        <x:f>INDEX('城市数据库'!$A$6:$A$61,MATCH(A50,'城市数据库'!$AG$6:$AG$61,0))</x:f>
        <x:v>洛阳</x:v>
      </x:c>
      <x:c r="C50" s="25" t="str">
        <x:f>INDEX('城市数据库'!$C$6:$C$61,MATCH(B50,'城市数据库'!$A$6:$A$61,0))</x:f>
        <x:v>二线</x:v>
      </x:c>
      <x:c r="D50" s="25" t="str">
        <x:f>INDEX('城市数据库'!$E$6:$E$61,MATCH(B50,'城市数据库'!$A$6:$A$61,0))</x:f>
        <x:v>否</x:v>
      </x:c>
      <x:c r="E50" s="25" t="str">
        <x:f>INDEX('城市数据库'!$F$6:$F$61,MATCH(B50,'城市数据库'!$A$6:$A$61,0))</x:f>
      </x:c>
      <x:c r="F50" s="49" t="n">
        <x:f>INDEX('城市数据库'!$AD$6:$AD$61,MATCH(B50,'城市数据库'!$A$6:$A$61,0))</x:f>
        <x:v>0.5515151515151515</x:v>
      </x:c>
      <x:c r="G50" s="25" t="n">
        <x:f>--(INDEX('城市数据库'!$G$6:$G$61,MATCH(B50,'城市数据库'!$A$6:$A$61,0))&lt;&gt;"")</x:f>
        <x:v>1</x:v>
      </x:c>
      <x:c r="H50" s="40" t="n">
        <x:f>IF(C50="一线",'核心假设'!$B$21,IF(C50="新一线",'核心假设'!$B$22,IF(C50="二线",'核心假设'!$B$23,'核心假设'!$B$24)))</x:f>
        <x:v>600</x:v>
      </x:c>
      <x:c r="I50" s="37" t="n">
        <x:f>SUM($J$6:J49)</x:f>
        <x:v>29600</x:v>
      </x:c>
      <x:c r="J50" s="40" t="n">
        <x:f>IF(G50=0,0,IF(D50="是",H50,MAX(0,MIN(H50,'核心假设'!$B$6-I50))))</x:f>
        <x:v>400</x:v>
      </x:c>
      <x:c r="K50" s="40" t="n">
        <x:f>IF(J50=0,0,IF(F50&gt;=S50,'核心假设'!$B$25,'核心假设'!$B$26))</x:f>
        <x:v>0.4</x:v>
      </x:c>
      <x:c r="L50" s="37" t="n">
        <x:f>ROUND((J50*K50)/(2+2*K50),0)</x:f>
        <x:v>57</x:v>
      </x:c>
      <x:c r="M50" s="37" t="n">
        <x:f>(J50-4*L50)/2</x:f>
        <x:v>86</x:v>
      </x:c>
      <x:c r="N50" s="37" t="n">
        <x:f>L50+M50</x:f>
        <x:v>143</x:v>
      </x:c>
      <x:c r="O50" s="37" t="n">
        <x:f>4*L50+2*M50-J50</x:f>
        <x:v>0</x:v>
      </x:c>
      <x:c r="P50" s="37" t="str">
        <x:f>IF(D50="是",MOD(E50-1,6),"")</x:f>
      </x:c>
      <x:c r="Q50" s="37" t="n">
        <x:f>IF(J50=0,"",COUNTIFS($C$6:$C$61,C50,$J$6:$J$61,"&gt;0",$F$6:$F$61,"&gt;"&amp;F50)+COUNTIFS($C$6:$C$61,C50,$J$6:$J$61,"&gt;0",$F$6:$F$61,F50,$A$6:$A$61,"&lt;"&amp;A50)+1)</x:f>
        <x:v>13</x:v>
      </x:c>
      <x:c r="R50" s="37" t="n">
        <x:f>IF(J50=0,0,COUNTIFS($C$6:$C$61,C50,$J$6:$J$61,"&gt;0"))</x:f>
        <x:v>19</x:v>
      </x:c>
      <x:c r="S50" s="22" t="n">
        <x:f>IF(J50=0,"",(SUMIFS($F$6:$F$61,$C$6:$C$61,C50,$J$6:$J$61,"&gt;0",$Q$6:$Q$61,INT((R50+1)/2))+SUMIFS($F$6:$F$61,$C$6:$C$61,C50,$J$6:$J$61,"&gt;0",$Q$6:$Q$61,INT((R50+2)/2)))/2)</x:f>
        <x:v>0.6636363636363636</x:v>
      </x:c>
    </x:row>
    <x:row r="51">
      <x:c r="A51" s="18" t="n">
        <x:f>ROW()-5</x:f>
        <x:v>46</x:v>
      </x:c>
      <x:c r="B51" s="25" t="str">
        <x:f>INDEX('城市数据库'!$A$6:$A$61,MATCH(A51,'城市数据库'!$AG$6:$AG$61,0))</x:f>
        <x:v>太原</x:v>
      </x:c>
      <x:c r="C51" s="25" t="str">
        <x:f>INDEX('城市数据库'!$C$6:$C$61,MATCH(B51,'城市数据库'!$A$6:$A$61,0))</x:f>
        <x:v>二线</x:v>
      </x:c>
      <x:c r="D51" s="25" t="str">
        <x:f>INDEX('城市数据库'!$E$6:$E$61,MATCH(B51,'城市数据库'!$A$6:$A$61,0))</x:f>
        <x:v>否</x:v>
      </x:c>
      <x:c r="E51" s="25" t="str">
        <x:f>INDEX('城市数据库'!$F$6:$F$61,MATCH(B51,'城市数据库'!$A$6:$A$61,0))</x:f>
      </x:c>
      <x:c r="F51" s="49" t="n">
        <x:f>INDEX('城市数据库'!$AD$6:$AD$61,MATCH(B51,'城市数据库'!$A$6:$A$61,0))</x:f>
        <x:v>0.5303030303030303</x:v>
      </x:c>
      <x:c r="G51" s="25" t="n">
        <x:f>--(INDEX('城市数据库'!$G$6:$G$61,MATCH(B51,'城市数据库'!$A$6:$A$61,0))&lt;&gt;"")</x:f>
        <x:v>1</x:v>
      </x:c>
      <x:c r="H51" s="40" t="n">
        <x:f>IF(C51="一线",'核心假设'!$B$21,IF(C51="新一线",'核心假设'!$B$22,IF(C51="二线",'核心假设'!$B$23,'核心假设'!$B$24)))</x:f>
        <x:v>600</x:v>
      </x:c>
      <x:c r="I51" s="37" t="n">
        <x:f>SUM($J$6:J50)</x:f>
        <x:v>30000</x:v>
      </x:c>
      <x:c r="J51" s="40" t="n">
        <x:f>IF(G51=0,0,IF(D51="是",H51,MAX(0,MIN(H51,'核心假设'!$B$6-I51))))</x:f>
        <x:v>0</x:v>
      </x:c>
      <x:c r="K51" s="40" t="n">
        <x:f>IF(J51=0,0,IF(F51&gt;=S51,'核心假设'!$B$25,'核心假设'!$B$26))</x:f>
        <x:v>0</x:v>
      </x:c>
      <x:c r="L51" s="37" t="n">
        <x:f>ROUND((J51*K51)/(2+2*K51),0)</x:f>
        <x:v>0</x:v>
      </x:c>
      <x:c r="M51" s="37" t="n">
        <x:f>(J51-4*L51)/2</x:f>
        <x:v>0</x:v>
      </x:c>
      <x:c r="N51" s="37" t="n">
        <x:f>L51+M51</x:f>
        <x:v>0</x:v>
      </x:c>
      <x:c r="O51" s="37" t="n">
        <x:f>4*L51+2*M51-J51</x:f>
        <x:v>0</x:v>
      </x:c>
      <x:c r="P51" s="37" t="str">
        <x:f>IF(D51="是",MOD(E51-1,6),"")</x:f>
      </x:c>
      <x:c r="Q51" s="37" t="str">
        <x:f>IF(J51=0,"",COUNTIFS($C$6:$C$61,C51,$J$6:$J$61,"&gt;0",$F$6:$F$61,"&gt;"&amp;F51)+COUNTIFS($C$6:$C$61,C51,$J$6:$J$61,"&gt;0",$F$6:$F$61,F51,$A$6:$A$61,"&lt;"&amp;A51)+1)</x:f>
      </x:c>
      <x:c r="R51" s="37" t="n">
        <x:f>IF(J51=0,0,COUNTIFS($C$6:$C$61,C51,$J$6:$J$61,"&gt;0"))</x:f>
        <x:v>0</x:v>
      </x:c>
      <x:c r="S51" s="22" t="str">
        <x:f>IF(J51=0,"",(SUMIFS($F$6:$F$61,$C$6:$C$61,C51,$J$6:$J$61,"&gt;0",$Q$6:$Q$61,INT((R51+1)/2))+SUMIFS($F$6:$F$61,$C$6:$C$61,C51,$J$6:$J$61,"&gt;0",$Q$6:$Q$61,INT((R51+2)/2)))/2)</x:f>
      </x:c>
    </x:row>
    <x:row r="52">
      <x:c r="A52" s="18" t="n">
        <x:f>ROW()-5</x:f>
        <x:v>47</x:v>
      </x:c>
      <x:c r="B52" s="25" t="str">
        <x:f>INDEX('城市数据库'!$A$6:$A$61,MATCH(A52,'城市数据库'!$AG$6:$AG$61,0))</x:f>
        <x:v>大连</x:v>
      </x:c>
      <x:c r="C52" s="25" t="str">
        <x:f>INDEX('城市数据库'!$C$6:$C$61,MATCH(B52,'城市数据库'!$A$6:$A$61,0))</x:f>
        <x:v>二线</x:v>
      </x:c>
      <x:c r="D52" s="25" t="str">
        <x:f>INDEX('城市数据库'!$E$6:$E$61,MATCH(B52,'城市数据库'!$A$6:$A$61,0))</x:f>
        <x:v>否</x:v>
      </x:c>
      <x:c r="E52" s="25" t="str">
        <x:f>INDEX('城市数据库'!$F$6:$F$61,MATCH(B52,'城市数据库'!$A$6:$A$61,0))</x:f>
      </x:c>
      <x:c r="F52" s="49" t="n">
        <x:f>INDEX('城市数据库'!$AD$6:$AD$61,MATCH(B52,'城市数据库'!$A$6:$A$61,0))</x:f>
        <x:v>0.5272727272727272</x:v>
      </x:c>
      <x:c r="G52" s="25" t="n">
        <x:f>--(INDEX('城市数据库'!$G$6:$G$61,MATCH(B52,'城市数据库'!$A$6:$A$61,0))&lt;&gt;"")</x:f>
        <x:v>1</x:v>
      </x:c>
      <x:c r="H52" s="40" t="n">
        <x:f>IF(C52="一线",'核心假设'!$B$21,IF(C52="新一线",'核心假设'!$B$22,IF(C52="二线",'核心假设'!$B$23,'核心假设'!$B$24)))</x:f>
        <x:v>600</x:v>
      </x:c>
      <x:c r="I52" s="37" t="n">
        <x:f>SUM($J$6:J51)</x:f>
        <x:v>30000</x:v>
      </x:c>
      <x:c r="J52" s="40" t="n">
        <x:f>IF(G52=0,0,IF(D52="是",H52,MAX(0,MIN(H52,'核心假设'!$B$6-I52))))</x:f>
        <x:v>0</x:v>
      </x:c>
      <x:c r="K52" s="40" t="n">
        <x:f>IF(J52=0,0,IF(F52&gt;=S52,'核心假设'!$B$25,'核心假设'!$B$26))</x:f>
        <x:v>0</x:v>
      </x:c>
      <x:c r="L52" s="37" t="n">
        <x:f>ROUND((J52*K52)/(2+2*K52),0)</x:f>
        <x:v>0</x:v>
      </x:c>
      <x:c r="M52" s="37" t="n">
        <x:f>(J52-4*L52)/2</x:f>
        <x:v>0</x:v>
      </x:c>
      <x:c r="N52" s="37" t="n">
        <x:f>L52+M52</x:f>
        <x:v>0</x:v>
      </x:c>
      <x:c r="O52" s="37" t="n">
        <x:f>4*L52+2*M52-J52</x:f>
        <x:v>0</x:v>
      </x:c>
      <x:c r="P52" s="37" t="str">
        <x:f>IF(D52="是",MOD(E52-1,6),"")</x:f>
      </x:c>
      <x:c r="Q52" s="37" t="str">
        <x:f>IF(J52=0,"",COUNTIFS($C$6:$C$61,C52,$J$6:$J$61,"&gt;0",$F$6:$F$61,"&gt;"&amp;F52)+COUNTIFS($C$6:$C$61,C52,$J$6:$J$61,"&gt;0",$F$6:$F$61,F52,$A$6:$A$61,"&lt;"&amp;A52)+1)</x:f>
      </x:c>
      <x:c r="R52" s="37" t="n">
        <x:f>IF(J52=0,0,COUNTIFS($C$6:$C$61,C52,$J$6:$J$61,"&gt;0"))</x:f>
        <x:v>0</x:v>
      </x:c>
      <x:c r="S52" s="22" t="str">
        <x:f>IF(J52=0,"",(SUMIFS($F$6:$F$61,$C$6:$C$61,C52,$J$6:$J$61,"&gt;0",$Q$6:$Q$61,INT((R52+1)/2))+SUMIFS($F$6:$F$61,$C$6:$C$61,C52,$J$6:$J$61,"&gt;0",$Q$6:$Q$61,INT((R52+2)/2)))/2)</x:f>
      </x:c>
    </x:row>
    <x:row r="53">
      <x:c r="A53" s="18" t="n">
        <x:f>ROW()-5</x:f>
        <x:v>48</x:v>
      </x:c>
      <x:c r="B53" s="25" t="str">
        <x:f>INDEX('城市数据库'!$A$6:$A$61,MATCH(A53,'城市数据库'!$AG$6:$AG$61,0))</x:f>
        <x:v>珠海</x:v>
      </x:c>
      <x:c r="C53" s="25" t="str">
        <x:f>INDEX('城市数据库'!$C$6:$C$61,MATCH(B53,'城市数据库'!$A$6:$A$61,0))</x:f>
        <x:v>二线</x:v>
      </x:c>
      <x:c r="D53" s="25" t="str">
        <x:f>INDEX('城市数据库'!$E$6:$E$61,MATCH(B53,'城市数据库'!$A$6:$A$61,0))</x:f>
        <x:v>否</x:v>
      </x:c>
      <x:c r="E53" s="25" t="str">
        <x:f>INDEX('城市数据库'!$F$6:$F$61,MATCH(B53,'城市数据库'!$A$6:$A$61,0))</x:f>
      </x:c>
      <x:c r="F53" s="49" t="n">
        <x:f>INDEX('城市数据库'!$AD$6:$AD$61,MATCH(B53,'城市数据库'!$A$6:$A$61,0))</x:f>
        <x:v>0.4727272727272727</x:v>
      </x:c>
      <x:c r="G53" s="25" t="n">
        <x:f>--(INDEX('城市数据库'!$G$6:$G$61,MATCH(B53,'城市数据库'!$A$6:$A$61,0))&lt;&gt;"")</x:f>
        <x:v>1</x:v>
      </x:c>
      <x:c r="H53" s="40" t="n">
        <x:f>IF(C53="一线",'核心假设'!$B$21,IF(C53="新一线",'核心假设'!$B$22,IF(C53="二线",'核心假设'!$B$23,'核心假设'!$B$24)))</x:f>
        <x:v>600</x:v>
      </x:c>
      <x:c r="I53" s="37" t="n">
        <x:f>SUM($J$6:J52)</x:f>
        <x:v>30000</x:v>
      </x:c>
      <x:c r="J53" s="40" t="n">
        <x:f>IF(G53=0,0,IF(D53="是",H53,MAX(0,MIN(H53,'核心假设'!$B$6-I53))))</x:f>
        <x:v>0</x:v>
      </x:c>
      <x:c r="K53" s="40" t="n">
        <x:f>IF(J53=0,0,IF(F53&gt;=S53,'核心假设'!$B$25,'核心假设'!$B$26))</x:f>
        <x:v>0</x:v>
      </x:c>
      <x:c r="L53" s="37" t="n">
        <x:f>ROUND((J53*K53)/(2+2*K53),0)</x:f>
        <x:v>0</x:v>
      </x:c>
      <x:c r="M53" s="37" t="n">
        <x:f>(J53-4*L53)/2</x:f>
        <x:v>0</x:v>
      </x:c>
      <x:c r="N53" s="37" t="n">
        <x:f>L53+M53</x:f>
        <x:v>0</x:v>
      </x:c>
      <x:c r="O53" s="37" t="n">
        <x:f>4*L53+2*M53-J53</x:f>
        <x:v>0</x:v>
      </x:c>
      <x:c r="P53" s="37" t="str">
        <x:f>IF(D53="是",MOD(E53-1,6),"")</x:f>
      </x:c>
      <x:c r="Q53" s="37" t="str">
        <x:f>IF(J53=0,"",COUNTIFS($C$6:$C$61,C53,$J$6:$J$61,"&gt;0",$F$6:$F$61,"&gt;"&amp;F53)+COUNTIFS($C$6:$C$61,C53,$J$6:$J$61,"&gt;0",$F$6:$F$61,F53,$A$6:$A$61,"&lt;"&amp;A53)+1)</x:f>
      </x:c>
      <x:c r="R53" s="37" t="n">
        <x:f>IF(J53=0,0,COUNTIFS($C$6:$C$61,C53,$J$6:$J$61,"&gt;0"))</x:f>
        <x:v>0</x:v>
      </x:c>
      <x:c r="S53" s="22" t="str">
        <x:f>IF(J53=0,"",(SUMIFS($F$6:$F$61,$C$6:$C$61,C53,$J$6:$J$61,"&gt;0",$Q$6:$Q$61,INT((R53+1)/2))+SUMIFS($F$6:$F$61,$C$6:$C$61,C53,$J$6:$J$61,"&gt;0",$Q$6:$Q$61,INT((R53+2)/2)))/2)</x:f>
      </x:c>
    </x:row>
    <x:row r="54">
      <x:c r="A54" s="18" t="n">
        <x:f>ROW()-5</x:f>
        <x:v>49</x:v>
      </x:c>
      <x:c r="B54" s="25" t="str">
        <x:f>INDEX('城市数据库'!$A$6:$A$61,MATCH(A54,'城市数据库'!$AG$6:$AG$61,0))</x:f>
        <x:v>南昌</x:v>
      </x:c>
      <x:c r="C54" s="25" t="str">
        <x:f>INDEX('城市数据库'!$C$6:$C$61,MATCH(B54,'城市数据库'!$A$6:$A$61,0))</x:f>
        <x:v>二线</x:v>
      </x:c>
      <x:c r="D54" s="25" t="str">
        <x:f>INDEX('城市数据库'!$E$6:$E$61,MATCH(B54,'城市数据库'!$A$6:$A$61,0))</x:f>
        <x:v>否</x:v>
      </x:c>
      <x:c r="E54" s="25" t="str">
        <x:f>INDEX('城市数据库'!$F$6:$F$61,MATCH(B54,'城市数据库'!$A$6:$A$61,0))</x:f>
      </x:c>
      <x:c r="F54" s="49" t="n">
        <x:f>INDEX('城市数据库'!$AD$6:$AD$61,MATCH(B54,'城市数据库'!$A$6:$A$61,0))</x:f>
        <x:v>0.406060606060606</x:v>
      </x:c>
      <x:c r="G54" s="25" t="n">
        <x:f>--(INDEX('城市数据库'!$G$6:$G$61,MATCH(B54,'城市数据库'!$A$6:$A$61,0))&lt;&gt;"")</x:f>
        <x:v>1</x:v>
      </x:c>
      <x:c r="H54" s="40" t="n">
        <x:f>IF(C54="一线",'核心假设'!$B$21,IF(C54="新一线",'核心假设'!$B$22,IF(C54="二线",'核心假设'!$B$23,'核心假设'!$B$24)))</x:f>
        <x:v>600</x:v>
      </x:c>
      <x:c r="I54" s="37" t="n">
        <x:f>SUM($J$6:J53)</x:f>
        <x:v>30000</x:v>
      </x:c>
      <x:c r="J54" s="40" t="n">
        <x:f>IF(G54=0,0,IF(D54="是",H54,MAX(0,MIN(H54,'核心假设'!$B$6-I54))))</x:f>
        <x:v>0</x:v>
      </x:c>
      <x:c r="K54" s="40" t="n">
        <x:f>IF(J54=0,0,IF(F54&gt;=S54,'核心假设'!$B$25,'核心假设'!$B$26))</x:f>
        <x:v>0</x:v>
      </x:c>
      <x:c r="L54" s="37" t="n">
        <x:f>ROUND((J54*K54)/(2+2*K54),0)</x:f>
        <x:v>0</x:v>
      </x:c>
      <x:c r="M54" s="37" t="n">
        <x:f>(J54-4*L54)/2</x:f>
        <x:v>0</x:v>
      </x:c>
      <x:c r="N54" s="37" t="n">
        <x:f>L54+M54</x:f>
        <x:v>0</x:v>
      </x:c>
      <x:c r="O54" s="37" t="n">
        <x:f>4*L54+2*M54-J54</x:f>
        <x:v>0</x:v>
      </x:c>
      <x:c r="P54" s="37" t="str">
        <x:f>IF(D54="是",MOD(E54-1,6),"")</x:f>
      </x:c>
      <x:c r="Q54" s="37" t="str">
        <x:f>IF(J54=0,"",COUNTIFS($C$6:$C$61,C54,$J$6:$J$61,"&gt;0",$F$6:$F$61,"&gt;"&amp;F54)+COUNTIFS($C$6:$C$61,C54,$J$6:$J$61,"&gt;0",$F$6:$F$61,F54,$A$6:$A$61,"&lt;"&amp;A54)+1)</x:f>
      </x:c>
      <x:c r="R54" s="37" t="n">
        <x:f>IF(J54=0,0,COUNTIFS($C$6:$C$61,C54,$J$6:$J$61,"&gt;0"))</x:f>
        <x:v>0</x:v>
      </x:c>
      <x:c r="S54" s="22" t="str">
        <x:f>IF(J54=0,"",(SUMIFS($F$6:$F$61,$C$6:$C$61,C54,$J$6:$J$61,"&gt;0",$Q$6:$Q$61,INT((R54+1)/2))+SUMIFS($F$6:$F$61,$C$6:$C$61,C54,$J$6:$J$61,"&gt;0",$Q$6:$Q$61,INT((R54+2)/2)))/2)</x:f>
      </x:c>
    </x:row>
    <x:row r="55">
      <x:c r="A55" s="18" t="n">
        <x:f>ROW()-5</x:f>
        <x:v>50</x:v>
      </x:c>
      <x:c r="B55" s="25" t="str">
        <x:f>INDEX('城市数据库'!$A$6:$A$61,MATCH(A55,'城市数据库'!$AG$6:$AG$61,0))</x:f>
        <x:v>泉州</x:v>
      </x:c>
      <x:c r="C55" s="25" t="str">
        <x:f>INDEX('城市数据库'!$C$6:$C$61,MATCH(B55,'城市数据库'!$A$6:$A$61,0))</x:f>
        <x:v>二线</x:v>
      </x:c>
      <x:c r="D55" s="25" t="str">
        <x:f>INDEX('城市数据库'!$E$6:$E$61,MATCH(B55,'城市数据库'!$A$6:$A$61,0))</x:f>
        <x:v>否</x:v>
      </x:c>
      <x:c r="E55" s="25" t="str">
        <x:f>INDEX('城市数据库'!$F$6:$F$61,MATCH(B55,'城市数据库'!$A$6:$A$61,0))</x:f>
      </x:c>
      <x:c r="F55" s="49" t="n">
        <x:f>INDEX('城市数据库'!$AD$6:$AD$61,MATCH(B55,'城市数据库'!$A$6:$A$61,0))</x:f>
        <x:v>0.39393939393939387</x:v>
      </x:c>
      <x:c r="G55" s="25" t="n">
        <x:f>--(INDEX('城市数据库'!$G$6:$G$61,MATCH(B55,'城市数据库'!$A$6:$A$61,0))&lt;&gt;"")</x:f>
        <x:v>1</x:v>
      </x:c>
      <x:c r="H55" s="40" t="n">
        <x:f>IF(C55="一线",'核心假设'!$B$21,IF(C55="新一线",'核心假设'!$B$22,IF(C55="二线",'核心假设'!$B$23,'核心假设'!$B$24)))</x:f>
        <x:v>600</x:v>
      </x:c>
      <x:c r="I55" s="37" t="n">
        <x:f>SUM($J$6:J54)</x:f>
        <x:v>30000</x:v>
      </x:c>
      <x:c r="J55" s="40" t="n">
        <x:f>IF(G55=0,0,IF(D55="是",H55,MAX(0,MIN(H55,'核心假设'!$B$6-I55))))</x:f>
        <x:v>0</x:v>
      </x:c>
      <x:c r="K55" s="40" t="n">
        <x:f>IF(J55=0,0,IF(F55&gt;=S55,'核心假设'!$B$25,'核心假设'!$B$26))</x:f>
        <x:v>0</x:v>
      </x:c>
      <x:c r="L55" s="37" t="n">
        <x:f>ROUND((J55*K55)/(2+2*K55),0)</x:f>
        <x:v>0</x:v>
      </x:c>
      <x:c r="M55" s="37" t="n">
        <x:f>(J55-4*L55)/2</x:f>
        <x:v>0</x:v>
      </x:c>
      <x:c r="N55" s="37" t="n">
        <x:f>L55+M55</x:f>
        <x:v>0</x:v>
      </x:c>
      <x:c r="O55" s="37" t="n">
        <x:f>4*L55+2*M55-J55</x:f>
        <x:v>0</x:v>
      </x:c>
      <x:c r="P55" s="37" t="str">
        <x:f>IF(D55="是",MOD(E55-1,6),"")</x:f>
      </x:c>
      <x:c r="Q55" s="37" t="str">
        <x:f>IF(J55=0,"",COUNTIFS($C$6:$C$61,C55,$J$6:$J$61,"&gt;0",$F$6:$F$61,"&gt;"&amp;F55)+COUNTIFS($C$6:$C$61,C55,$J$6:$J$61,"&gt;0",$F$6:$F$61,F55,$A$6:$A$61,"&lt;"&amp;A55)+1)</x:f>
      </x:c>
      <x:c r="R55" s="37" t="n">
        <x:f>IF(J55=0,0,COUNTIFS($C$6:$C$61,C55,$J$6:$J$61,"&gt;0"))</x:f>
        <x:v>0</x:v>
      </x:c>
      <x:c r="S55" s="22" t="str">
        <x:f>IF(J55=0,"",(SUMIFS($F$6:$F$61,$C$6:$C$61,C55,$J$6:$J$61,"&gt;0",$Q$6:$Q$61,INT((R55+1)/2))+SUMIFS($F$6:$F$61,$C$6:$C$61,C55,$J$6:$J$61,"&gt;0",$Q$6:$Q$61,INT((R55+2)/2)))/2)</x:f>
      </x:c>
    </x:row>
    <x:row r="56">
      <x:c r="A56" s="18" t="n">
        <x:f>ROW()-5</x:f>
        <x:v>51</x:v>
      </x:c>
      <x:c r="B56" s="25" t="str">
        <x:f>INDEX('城市数据库'!$A$6:$A$61,MATCH(A56,'城市数据库'!$AG$6:$AG$61,0))</x:f>
        <x:v>南通</x:v>
      </x:c>
      <x:c r="C56" s="25" t="str">
        <x:f>INDEX('城市数据库'!$C$6:$C$61,MATCH(B56,'城市数据库'!$A$6:$A$61,0))</x:f>
        <x:v>二线</x:v>
      </x:c>
      <x:c r="D56" s="25" t="str">
        <x:f>INDEX('城市数据库'!$E$6:$E$61,MATCH(B56,'城市数据库'!$A$6:$A$61,0))</x:f>
        <x:v>否</x:v>
      </x:c>
      <x:c r="E56" s="25" t="str">
        <x:f>INDEX('城市数据库'!$F$6:$F$61,MATCH(B56,'城市数据库'!$A$6:$A$61,0))</x:f>
      </x:c>
      <x:c r="F56" s="49" t="n">
        <x:f>INDEX('城市数据库'!$AD$6:$AD$61,MATCH(B56,'城市数据库'!$A$6:$A$61,0))</x:f>
        <x:v>0.38181818181818183</x:v>
      </x:c>
      <x:c r="G56" s="25" t="n">
        <x:f>--(INDEX('城市数据库'!$G$6:$G$61,MATCH(B56,'城市数据库'!$A$6:$A$61,0))&lt;&gt;"")</x:f>
        <x:v>1</x:v>
      </x:c>
      <x:c r="H56" s="40" t="n">
        <x:f>IF(C56="一线",'核心假设'!$B$21,IF(C56="新一线",'核心假设'!$B$22,IF(C56="二线",'核心假设'!$B$23,'核心假设'!$B$24)))</x:f>
        <x:v>600</x:v>
      </x:c>
      <x:c r="I56" s="37" t="n">
        <x:f>SUM($J$6:J55)</x:f>
        <x:v>30000</x:v>
      </x:c>
      <x:c r="J56" s="40" t="n">
        <x:f>IF(G56=0,0,IF(D56="是",H56,MAX(0,MIN(H56,'核心假设'!$B$6-I56))))</x:f>
        <x:v>0</x:v>
      </x:c>
      <x:c r="K56" s="40" t="n">
        <x:f>IF(J56=0,0,IF(F56&gt;=S56,'核心假设'!$B$25,'核心假设'!$B$26))</x:f>
        <x:v>0</x:v>
      </x:c>
      <x:c r="L56" s="37" t="n">
        <x:f>ROUND((J56*K56)/(2+2*K56),0)</x:f>
        <x:v>0</x:v>
      </x:c>
      <x:c r="M56" s="37" t="n">
        <x:f>(J56-4*L56)/2</x:f>
        <x:v>0</x:v>
      </x:c>
      <x:c r="N56" s="37" t="n">
        <x:f>L56+M56</x:f>
        <x:v>0</x:v>
      </x:c>
      <x:c r="O56" s="37" t="n">
        <x:f>4*L56+2*M56-J56</x:f>
        <x:v>0</x:v>
      </x:c>
      <x:c r="P56" s="37" t="str">
        <x:f>IF(D56="是",MOD(E56-1,6),"")</x:f>
      </x:c>
      <x:c r="Q56" s="37" t="str">
        <x:f>IF(J56=0,"",COUNTIFS($C$6:$C$61,C56,$J$6:$J$61,"&gt;0",$F$6:$F$61,"&gt;"&amp;F56)+COUNTIFS($C$6:$C$61,C56,$J$6:$J$61,"&gt;0",$F$6:$F$61,F56,$A$6:$A$61,"&lt;"&amp;A56)+1)</x:f>
      </x:c>
      <x:c r="R56" s="37" t="n">
        <x:f>IF(J56=0,0,COUNTIFS($C$6:$C$61,C56,$J$6:$J$61,"&gt;0"))</x:f>
        <x:v>0</x:v>
      </x:c>
      <x:c r="S56" s="22" t="str">
        <x:f>IF(J56=0,"",(SUMIFS($F$6:$F$61,$C$6:$C$61,C56,$J$6:$J$61,"&gt;0",$Q$6:$Q$61,INT((R56+1)/2))+SUMIFS($F$6:$F$61,$C$6:$C$61,C56,$J$6:$J$61,"&gt;0",$Q$6:$Q$61,INT((R56+2)/2)))/2)</x:f>
      </x:c>
    </x:row>
    <x:row r="57">
      <x:c r="A57" s="18" t="n">
        <x:f>ROW()-5</x:f>
        <x:v>52</x:v>
      </x:c>
      <x:c r="B57" s="25" t="str">
        <x:f>INDEX('城市数据库'!$A$6:$A$61,MATCH(A57,'城市数据库'!$AG$6:$AG$61,0))</x:f>
        <x:v>惠州</x:v>
      </x:c>
      <x:c r="C57" s="25" t="str">
        <x:f>INDEX('城市数据库'!$C$6:$C$61,MATCH(B57,'城市数据库'!$A$6:$A$61,0))</x:f>
        <x:v>二线</x:v>
      </x:c>
      <x:c r="D57" s="25" t="str">
        <x:f>INDEX('城市数据库'!$E$6:$E$61,MATCH(B57,'城市数据库'!$A$6:$A$61,0))</x:f>
        <x:v>否</x:v>
      </x:c>
      <x:c r="E57" s="25" t="str">
        <x:f>INDEX('城市数据库'!$F$6:$F$61,MATCH(B57,'城市数据库'!$A$6:$A$61,0))</x:f>
      </x:c>
      <x:c r="F57" s="49" t="n">
        <x:f>INDEX('城市数据库'!$AD$6:$AD$61,MATCH(B57,'城市数据库'!$A$6:$A$61,0))</x:f>
        <x:v>0.3121212121212121</x:v>
      </x:c>
      <x:c r="G57" s="25" t="n">
        <x:f>--(INDEX('城市数据库'!$G$6:$G$61,MATCH(B57,'城市数据库'!$A$6:$A$61,0))&lt;&gt;"")</x:f>
        <x:v>1</x:v>
      </x:c>
      <x:c r="H57" s="40" t="n">
        <x:f>IF(C57="一线",'核心假设'!$B$21,IF(C57="新一线",'核心假设'!$B$22,IF(C57="二线",'核心假设'!$B$23,'核心假设'!$B$24)))</x:f>
        <x:v>600</x:v>
      </x:c>
      <x:c r="I57" s="37" t="n">
        <x:f>SUM($J$6:J56)</x:f>
        <x:v>30000</x:v>
      </x:c>
      <x:c r="J57" s="40" t="n">
        <x:f>IF(G57=0,0,IF(D57="是",H57,MAX(0,MIN(H57,'核心假设'!$B$6-I57))))</x:f>
        <x:v>0</x:v>
      </x:c>
      <x:c r="K57" s="40" t="n">
        <x:f>IF(J57=0,0,IF(F57&gt;=S57,'核心假设'!$B$25,'核心假设'!$B$26))</x:f>
        <x:v>0</x:v>
      </x:c>
      <x:c r="L57" s="37" t="n">
        <x:f>ROUND((J57*K57)/(2+2*K57),0)</x:f>
        <x:v>0</x:v>
      </x:c>
      <x:c r="M57" s="37" t="n">
        <x:f>(J57-4*L57)/2</x:f>
        <x:v>0</x:v>
      </x:c>
      <x:c r="N57" s="37" t="n">
        <x:f>L57+M57</x:f>
        <x:v>0</x:v>
      </x:c>
      <x:c r="O57" s="37" t="n">
        <x:f>4*L57+2*M57-J57</x:f>
        <x:v>0</x:v>
      </x:c>
      <x:c r="P57" s="37" t="str">
        <x:f>IF(D57="是",MOD(E57-1,6),"")</x:f>
      </x:c>
      <x:c r="Q57" s="37" t="str">
        <x:f>IF(J57=0,"",COUNTIFS($C$6:$C$61,C57,$J$6:$J$61,"&gt;0",$F$6:$F$61,"&gt;"&amp;F57)+COUNTIFS($C$6:$C$61,C57,$J$6:$J$61,"&gt;0",$F$6:$F$61,F57,$A$6:$A$61,"&lt;"&amp;A57)+1)</x:f>
      </x:c>
      <x:c r="R57" s="37" t="n">
        <x:f>IF(J57=0,0,COUNTIFS($C$6:$C$61,C57,$J$6:$J$61,"&gt;0"))</x:f>
        <x:v>0</x:v>
      </x:c>
      <x:c r="S57" s="22" t="str">
        <x:f>IF(J57=0,"",(SUMIFS($F$6:$F$61,$C$6:$C$61,C57,$J$6:$J$61,"&gt;0",$Q$6:$Q$61,INT((R57+1)/2))+SUMIFS($F$6:$F$61,$C$6:$C$61,C57,$J$6:$J$61,"&gt;0",$Q$6:$Q$61,INT((R57+2)/2)))/2)</x:f>
      </x:c>
    </x:row>
    <x:row r="58">
      <x:c r="A58" s="18" t="n">
        <x:f>ROW()-5</x:f>
        <x:v>53</x:v>
      </x:c>
      <x:c r="B58" s="25" t="str">
        <x:f>INDEX('城市数据库'!$A$6:$A$61,MATCH(A58,'城市数据库'!$AG$6:$AG$61,0))</x:f>
        <x:v>烟台</x:v>
      </x:c>
      <x:c r="C58" s="25" t="str">
        <x:f>INDEX('城市数据库'!$C$6:$C$61,MATCH(B58,'城市数据库'!$A$6:$A$61,0))</x:f>
        <x:v>二线</x:v>
      </x:c>
      <x:c r="D58" s="25" t="str">
        <x:f>INDEX('城市数据库'!$E$6:$E$61,MATCH(B58,'城市数据库'!$A$6:$A$61,0))</x:f>
        <x:v>否</x:v>
      </x:c>
      <x:c r="E58" s="25" t="str">
        <x:f>INDEX('城市数据库'!$F$6:$F$61,MATCH(B58,'城市数据库'!$A$6:$A$61,0))</x:f>
      </x:c>
      <x:c r="F58" s="49" t="n">
        <x:f>INDEX('城市数据库'!$AD$6:$AD$61,MATCH(B58,'城市数据库'!$A$6:$A$61,0))</x:f>
        <x:v>0.29696969696969694</x:v>
      </x:c>
      <x:c r="G58" s="25" t="n">
        <x:f>--(INDEX('城市数据库'!$G$6:$G$61,MATCH(B58,'城市数据库'!$A$6:$A$61,0))&lt;&gt;"")</x:f>
        <x:v>1</x:v>
      </x:c>
      <x:c r="H58" s="40" t="n">
        <x:f>IF(C58="一线",'核心假设'!$B$21,IF(C58="新一线",'核心假设'!$B$22,IF(C58="二线",'核心假设'!$B$23,'核心假设'!$B$24)))</x:f>
        <x:v>600</x:v>
      </x:c>
      <x:c r="I58" s="37" t="n">
        <x:f>SUM($J$6:J57)</x:f>
        <x:v>30000</x:v>
      </x:c>
      <x:c r="J58" s="40" t="n">
        <x:f>IF(G58=0,0,IF(D58="是",H58,MAX(0,MIN(H58,'核心假设'!$B$6-I58))))</x:f>
        <x:v>0</x:v>
      </x:c>
      <x:c r="K58" s="40" t="n">
        <x:f>IF(J58=0,0,IF(F58&gt;=S58,'核心假设'!$B$25,'核心假设'!$B$26))</x:f>
        <x:v>0</x:v>
      </x:c>
      <x:c r="L58" s="37" t="n">
        <x:f>ROUND((J58*K58)/(2+2*K58),0)</x:f>
        <x:v>0</x:v>
      </x:c>
      <x:c r="M58" s="37" t="n">
        <x:f>(J58-4*L58)/2</x:f>
        <x:v>0</x:v>
      </x:c>
      <x:c r="N58" s="37" t="n">
        <x:f>L58+M58</x:f>
        <x:v>0</x:v>
      </x:c>
      <x:c r="O58" s="37" t="n">
        <x:f>4*L58+2*M58-J58</x:f>
        <x:v>0</x:v>
      </x:c>
      <x:c r="P58" s="37" t="str">
        <x:f>IF(D58="是",MOD(E58-1,6),"")</x:f>
      </x:c>
      <x:c r="Q58" s="37" t="str">
        <x:f>IF(J58=0,"",COUNTIFS($C$6:$C$61,C58,$J$6:$J$61,"&gt;0",$F$6:$F$61,"&gt;"&amp;F58)+COUNTIFS($C$6:$C$61,C58,$J$6:$J$61,"&gt;0",$F$6:$F$61,F58,$A$6:$A$61,"&lt;"&amp;A58)+1)</x:f>
      </x:c>
      <x:c r="R58" s="37" t="n">
        <x:f>IF(J58=0,0,COUNTIFS($C$6:$C$61,C58,$J$6:$J$61,"&gt;0"))</x:f>
        <x:v>0</x:v>
      </x:c>
      <x:c r="S58" s="22" t="str">
        <x:f>IF(J58=0,"",(SUMIFS($F$6:$F$61,$C$6:$C$61,C58,$J$6:$J$61,"&gt;0",$Q$6:$Q$61,INT((R58+1)/2))+SUMIFS($F$6:$F$61,$C$6:$C$61,C58,$J$6:$J$61,"&gt;0",$Q$6:$Q$61,INT((R58+2)/2)))/2)</x:f>
      </x:c>
    </x:row>
    <x:row r="59">
      <x:c r="A59" s="18" t="n">
        <x:f>ROW()-5</x:f>
        <x:v>54</x:v>
      </x:c>
      <x:c r="B59" s="25" t="str">
        <x:f>INDEX('城市数据库'!$A$6:$A$61,MATCH(A59,'城市数据库'!$AG$6:$AG$61,0))</x:f>
        <x:v>厦门</x:v>
      </x:c>
      <x:c r="C59" s="25" t="str">
        <x:f>INDEX('城市数据库'!$C$6:$C$61,MATCH(B59,'城市数据库'!$A$6:$A$61,0))</x:f>
        <x:v>二线</x:v>
      </x:c>
      <x:c r="D59" s="25" t="str">
        <x:f>INDEX('城市数据库'!$E$6:$E$61,MATCH(B59,'城市数据库'!$A$6:$A$61,0))</x:f>
        <x:v>否</x:v>
      </x:c>
      <x:c r="E59" s="25" t="str">
        <x:f>INDEX('城市数据库'!$F$6:$F$61,MATCH(B59,'城市数据库'!$A$6:$A$61,0))</x:f>
      </x:c>
      <x:c r="F59" s="49" t="n">
        <x:f>INDEX('城市数据库'!$AD$6:$AD$61,MATCH(B59,'城市数据库'!$A$6:$A$61,0))</x:f>
        <x:v>0.2939393939393939</x:v>
      </x:c>
      <x:c r="G59" s="25" t="n">
        <x:f>--(INDEX('城市数据库'!$G$6:$G$61,MATCH(B59,'城市数据库'!$A$6:$A$61,0))&lt;&gt;"")</x:f>
        <x:v>1</x:v>
      </x:c>
      <x:c r="H59" s="40" t="n">
        <x:f>IF(C59="一线",'核心假设'!$B$21,IF(C59="新一线",'核心假设'!$B$22,IF(C59="二线",'核心假设'!$B$23,'核心假设'!$B$24)))</x:f>
        <x:v>600</x:v>
      </x:c>
      <x:c r="I59" s="37" t="n">
        <x:f>SUM($J$6:J58)</x:f>
        <x:v>30000</x:v>
      </x:c>
      <x:c r="J59" s="40" t="n">
        <x:f>IF(G59=0,0,IF(D59="是",H59,MAX(0,MIN(H59,'核心假设'!$B$6-I59))))</x:f>
        <x:v>0</x:v>
      </x:c>
      <x:c r="K59" s="40" t="n">
        <x:f>IF(J59=0,0,IF(F59&gt;=S59,'核心假设'!$B$25,'核心假设'!$B$26))</x:f>
        <x:v>0</x:v>
      </x:c>
      <x:c r="L59" s="37" t="n">
        <x:f>ROUND((J59*K59)/(2+2*K59),0)</x:f>
        <x:v>0</x:v>
      </x:c>
      <x:c r="M59" s="37" t="n">
        <x:f>(J59-4*L59)/2</x:f>
        <x:v>0</x:v>
      </x:c>
      <x:c r="N59" s="37" t="n">
        <x:f>L59+M59</x:f>
        <x:v>0</x:v>
      </x:c>
      <x:c r="O59" s="37" t="n">
        <x:f>4*L59+2*M59-J59</x:f>
        <x:v>0</x:v>
      </x:c>
      <x:c r="P59" s="37" t="str">
        <x:f>IF(D59="是",MOD(E59-1,6),"")</x:f>
      </x:c>
      <x:c r="Q59" s="37" t="str">
        <x:f>IF(J59=0,"",COUNTIFS($C$6:$C$61,C59,$J$6:$J$61,"&gt;0",$F$6:$F$61,"&gt;"&amp;F59)+COUNTIFS($C$6:$C$61,C59,$J$6:$J$61,"&gt;0",$F$6:$F$61,F59,$A$6:$A$61,"&lt;"&amp;A59)+1)</x:f>
      </x:c>
      <x:c r="R59" s="37" t="n">
        <x:f>IF(J59=0,0,COUNTIFS($C$6:$C$61,C59,$J$6:$J$61,"&gt;0"))</x:f>
        <x:v>0</x:v>
      </x:c>
      <x:c r="S59" s="22" t="str">
        <x:f>IF(J59=0,"",(SUMIFS($F$6:$F$61,$C$6:$C$61,C59,$J$6:$J$61,"&gt;0",$Q$6:$Q$61,INT((R59+1)/2))+SUMIFS($F$6:$F$61,$C$6:$C$61,C59,$J$6:$J$61,"&gt;0",$Q$6:$Q$61,INT((R59+2)/2)))/2)</x:f>
      </x:c>
    </x:row>
    <x:row r="60">
      <x:c r="A60" s="18" t="n">
        <x:f>ROW()-5</x:f>
        <x:v>55</x:v>
      </x:c>
      <x:c r="B60" s="25" t="str">
        <x:f>INDEX('城市数据库'!$A$6:$A$61,MATCH(A60,'城市数据库'!$AG$6:$AG$61,0))</x:f>
        <x:v>贵阳</x:v>
      </x:c>
      <x:c r="C60" s="25" t="str">
        <x:f>INDEX('城市数据库'!$C$6:$C$61,MATCH(B60,'城市数据库'!$A$6:$A$61,0))</x:f>
        <x:v>二线</x:v>
      </x:c>
      <x:c r="D60" s="25" t="str">
        <x:f>INDEX('城市数据库'!$E$6:$E$61,MATCH(B60,'城市数据库'!$A$6:$A$61,0))</x:f>
        <x:v>否</x:v>
      </x:c>
      <x:c r="E60" s="25" t="str">
        <x:f>INDEX('城市数据库'!$F$6:$F$61,MATCH(B60,'城市数据库'!$A$6:$A$61,0))</x:f>
      </x:c>
      <x:c r="F60" s="49" t="n">
        <x:f>INDEX('城市数据库'!$AD$6:$AD$61,MATCH(B60,'城市数据库'!$A$6:$A$61,0))</x:f>
        <x:v>0.24848484848484845</x:v>
      </x:c>
      <x:c r="G60" s="25" t="n">
        <x:f>--(INDEX('城市数据库'!$G$6:$G$61,MATCH(B60,'城市数据库'!$A$6:$A$61,0))&lt;&gt;"")</x:f>
        <x:v>1</x:v>
      </x:c>
      <x:c r="H60" s="40" t="n">
        <x:f>IF(C60="一线",'核心假设'!$B$21,IF(C60="新一线",'核心假设'!$B$22,IF(C60="二线",'核心假设'!$B$23,'核心假设'!$B$24)))</x:f>
        <x:v>600</x:v>
      </x:c>
      <x:c r="I60" s="37" t="n">
        <x:f>SUM($J$6:J59)</x:f>
        <x:v>30000</x:v>
      </x:c>
      <x:c r="J60" s="40" t="n">
        <x:f>IF(G60=0,0,IF(D60="是",H60,MAX(0,MIN(H60,'核心假设'!$B$6-I60))))</x:f>
        <x:v>0</x:v>
      </x:c>
      <x:c r="K60" s="40" t="n">
        <x:f>IF(J60=0,0,IF(F60&gt;=S60,'核心假设'!$B$25,'核心假设'!$B$26))</x:f>
        <x:v>0</x:v>
      </x:c>
      <x:c r="L60" s="37" t="n">
        <x:f>ROUND((J60*K60)/(2+2*K60),0)</x:f>
        <x:v>0</x:v>
      </x:c>
      <x:c r="M60" s="37" t="n">
        <x:f>(J60-4*L60)/2</x:f>
        <x:v>0</x:v>
      </x:c>
      <x:c r="N60" s="37" t="n">
        <x:f>L60+M60</x:f>
        <x:v>0</x:v>
      </x:c>
      <x:c r="O60" s="37" t="n">
        <x:f>4*L60+2*M60-J60</x:f>
        <x:v>0</x:v>
      </x:c>
      <x:c r="P60" s="37" t="str">
        <x:f>IF(D60="是",MOD(E60-1,6),"")</x:f>
      </x:c>
      <x:c r="Q60" s="37" t="str">
        <x:f>IF(J60=0,"",COUNTIFS($C$6:$C$61,C60,$J$6:$J$61,"&gt;0",$F$6:$F$61,"&gt;"&amp;F60)+COUNTIFS($C$6:$C$61,C60,$J$6:$J$61,"&gt;0",$F$6:$F$61,F60,$A$6:$A$61,"&lt;"&amp;A60)+1)</x:f>
      </x:c>
      <x:c r="R60" s="37" t="n">
        <x:f>IF(J60=0,0,COUNTIFS($C$6:$C$61,C60,$J$6:$J$61,"&gt;0"))</x:f>
        <x:v>0</x:v>
      </x:c>
      <x:c r="S60" s="22" t="str">
        <x:f>IF(J60=0,"",(SUMIFS($F$6:$F$61,$C$6:$C$61,C60,$J$6:$J$61,"&gt;0",$Q$6:$Q$61,INT((R60+1)/2))+SUMIFS($F$6:$F$61,$C$6:$C$61,C60,$J$6:$J$61,"&gt;0",$Q$6:$Q$61,INT((R60+2)/2)))/2)</x:f>
      </x:c>
    </x:row>
    <x:row r="61">
      <x:c r="A61" s="18" t="n">
        <x:f>ROW()-5</x:f>
        <x:v>56</x:v>
      </x:c>
      <x:c r="B61" s="25" t="str">
        <x:f>INDEX('城市数据库'!$A$6:$A$61,MATCH(A61,'城市数据库'!$AG$6:$AG$61,0))</x:f>
        <x:v>常州</x:v>
      </x:c>
      <x:c r="C61" s="25" t="str">
        <x:f>INDEX('城市数据库'!$C$6:$C$61,MATCH(B61,'城市数据库'!$A$6:$A$61,0))</x:f>
        <x:v>二线</x:v>
      </x:c>
      <x:c r="D61" s="25" t="str">
        <x:f>INDEX('城市数据库'!$E$6:$E$61,MATCH(B61,'城市数据库'!$A$6:$A$61,0))</x:f>
        <x:v>否</x:v>
      </x:c>
      <x:c r="E61" s="25" t="str">
        <x:f>INDEX('城市数据库'!$F$6:$F$61,MATCH(B61,'城市数据库'!$A$6:$A$61,0))</x:f>
      </x:c>
      <x:c r="F61" s="49" t="n">
        <x:f>INDEX('城市数据库'!$AD$6:$AD$61,MATCH(B61,'城市数据库'!$A$6:$A$61,0))</x:f>
        <x:v>0.17878787878787877</x:v>
      </x:c>
      <x:c r="G61" s="25" t="n">
        <x:f>--(INDEX('城市数据库'!$G$6:$G$61,MATCH(B61,'城市数据库'!$A$6:$A$61,0))&lt;&gt;"")</x:f>
        <x:v>1</x:v>
      </x:c>
      <x:c r="H61" s="40" t="n">
        <x:f>IF(C61="一线",'核心假设'!$B$21,IF(C61="新一线",'核心假设'!$B$22,IF(C61="二线",'核心假设'!$B$23,'核心假设'!$B$24)))</x:f>
        <x:v>600</x:v>
      </x:c>
      <x:c r="I61" s="37" t="n">
        <x:f>SUM($J$6:J60)</x:f>
        <x:v>30000</x:v>
      </x:c>
      <x:c r="J61" s="40" t="n">
        <x:f>IF(G61=0,0,IF(D61="是",H61,MAX(0,MIN(H61,'核心假设'!$B$6-I61))))</x:f>
        <x:v>0</x:v>
      </x:c>
      <x:c r="K61" s="40" t="n">
        <x:f>IF(J61=0,0,IF(F61&gt;=S61,'核心假设'!$B$25,'核心假设'!$B$26))</x:f>
        <x:v>0</x:v>
      </x:c>
      <x:c r="L61" s="37" t="n">
        <x:f>ROUND((J61*K61)/(2+2*K61),0)</x:f>
        <x:v>0</x:v>
      </x:c>
      <x:c r="M61" s="37" t="n">
        <x:f>(J61-4*L61)/2</x:f>
        <x:v>0</x:v>
      </x:c>
      <x:c r="N61" s="37" t="n">
        <x:f>L61+M61</x:f>
        <x:v>0</x:v>
      </x:c>
      <x:c r="O61" s="37" t="n">
        <x:f>4*L61+2*M61-J61</x:f>
        <x:v>0</x:v>
      </x:c>
      <x:c r="P61" s="37" t="str">
        <x:f>IF(D61="是",MOD(E61-1,6),"")</x:f>
      </x:c>
      <x:c r="Q61" s="37" t="str">
        <x:f>IF(J61=0,"",COUNTIFS($C$6:$C$61,C61,$J$6:$J$61,"&gt;0",$F$6:$F$61,"&gt;"&amp;F61)+COUNTIFS($C$6:$C$61,C61,$J$6:$J$61,"&gt;0",$F$6:$F$61,F61,$A$6:$A$61,"&lt;"&amp;A61)+1)</x:f>
      </x:c>
      <x:c r="R61" s="37" t="n">
        <x:f>IF(J61=0,0,COUNTIFS($C$6:$C$61,C61,$J$6:$J$61,"&gt;0"))</x:f>
        <x:v>0</x:v>
      </x:c>
      <x:c r="S61" s="22" t="str">
        <x:f>IF(J61=0,"",(SUMIFS($F$6:$F$61,$C$6:$C$61,C61,$J$6:$J$61,"&gt;0",$Q$6:$Q$61,INT((R61+1)/2))+SUMIFS($F$6:$F$61,$C$6:$C$61,C61,$J$6:$J$61,"&gt;0",$Q$6:$Q$61,INT((R61+2)/2)))/2)</x:f>
      </x:c>
    </x:row>
  </x:sheetData>
  <x:mergeCells>
    <x:mergeCell ref="A1:S1"/>
    <x:mergeCell ref="A3:S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4" hidden="0" customWidth="1"/>
    <x:col min="35" max="35" width="19" hidden="0" customWidth="1"/>
  </x:cols>
  <x:sheetData>
    <x:row r="1" ht="26" customHeight="1">
      <x:c r="A1" s="4" t="str">
        <x:v>月度投放计划｜首批预留 + 剩余站型区间重叠分配</x:v>
      </x:c>
      <x:c r="B1" s="4" t="str">
        <x:v>月度投放计划｜首批预留 + 剩余站型区间重叠分配</x:v>
      </x:c>
      <x:c r="C1" s="4" t="str">
        <x:v>月度投放计划｜首批预留 + 剩余站型区间重叠分配</x:v>
      </x:c>
      <x:c r="D1" s="4" t="str">
        <x:v>月度投放计划｜首批预留 + 剩余站型区间重叠分配</x:v>
      </x:c>
      <x:c r="E1" s="4" t="str">
        <x:v>月度投放计划｜首批预留 + 剩余站型区间重叠分配</x:v>
      </x:c>
      <x:c r="F1" s="4" t="str">
        <x:v>月度投放计划｜首批预留 + 剩余站型区间重叠分配</x:v>
      </x:c>
      <x:c r="G1" s="4" t="str">
        <x:v>月度投放计划｜首批预留 + 剩余站型区间重叠分配</x:v>
      </x:c>
      <x:c r="H1" s="4" t="str">
        <x:v>月度投放计划｜首批预留 + 剩余站型区间重叠分配</x:v>
      </x:c>
      <x:c r="I1" s="4" t="str">
        <x:v>月度投放计划｜首批预留 + 剩余站型区间重叠分配</x:v>
      </x:c>
      <x:c r="J1" s="4" t="str">
        <x:v>月度投放计划｜首批预留 + 剩余站型区间重叠分配</x:v>
      </x:c>
      <x:c r="K1" s="4" t="str">
        <x:v>月度投放计划｜首批预留 + 剩余站型区间重叠分配</x:v>
      </x:c>
      <x:c r="L1" s="4" t="str">
        <x:v>月度投放计划｜首批预留 + 剩余站型区间重叠分配</x:v>
      </x:c>
      <x:c r="M1" s="4" t="str">
        <x:v>月度投放计划｜首批预留 + 剩余站型区间重叠分配</x:v>
      </x:c>
      <x:c r="N1" s="4" t="str">
        <x:v>月度投放计划｜首批预留 + 剩余站型区间重叠分配</x:v>
      </x:c>
      <x:c r="O1" s="4" t="str">
        <x:v>月度投放计划｜首批预留 + 剩余站型区间重叠分配</x:v>
      </x:c>
      <x:c r="P1" s="4" t="str">
        <x:v>月度投放计划｜首批预留 + 剩余站型区间重叠分配</x:v>
      </x:c>
      <x:c r="Q1" s="4" t="str">
        <x:v>月度投放计划｜首批预留 + 剩余站型区间重叠分配</x:v>
      </x:c>
      <x:c r="R1" s="4" t="str">
        <x:v>月度投放计划｜首批预留 + 剩余站型区间重叠分配</x:v>
      </x:c>
      <x:c r="S1" s="4" t="str">
        <x:v>月度投放计划｜首批预留 + 剩余站型区间重叠分配</x:v>
      </x:c>
      <x:c r="T1" s="4" t="str">
        <x:v>月度投放计划｜首批预留 + 剩余站型区间重叠分配</x:v>
      </x:c>
      <x:c r="U1" s="4" t="str">
        <x:v>月度投放计划｜首批预留 + 剩余站型区间重叠分配</x:v>
      </x:c>
      <x:c r="V1" s="4" t="str">
        <x:v>月度投放计划｜首批预留 + 剩余站型区间重叠分配</x:v>
      </x:c>
      <x:c r="W1" s="4" t="str">
        <x:v>月度投放计划｜首批预留 + 剩余站型区间重叠分配</x:v>
      </x:c>
      <x:c r="X1" s="4" t="str">
        <x:v>月度投放计划｜首批预留 + 剩余站型区间重叠分配</x:v>
      </x:c>
      <x:c r="Y1" s="4" t="str">
        <x:v>月度投放计划｜首批预留 + 剩余站型区间重叠分配</x:v>
      </x:c>
      <x:c r="Z1" s="4" t="str">
        <x:v>月度投放计划｜首批预留 + 剩余站型区间重叠分配</x:v>
      </x:c>
      <x:c r="AA1" s="4" t="str">
        <x:v>月度投放计划｜首批预留 + 剩余站型区间重叠分配</x:v>
      </x:c>
      <x:c r="AB1" s="4" t="str">
        <x:v>月度投放计划｜首批预留 + 剩余站型区间重叠分配</x:v>
      </x:c>
      <x:c r="AC1" s="4" t="str">
        <x:v>月度投放计划｜首批预留 + 剩余站型区间重叠分配</x:v>
      </x:c>
      <x:c r="AD1" s="4" t="str">
        <x:v>月度投放计划｜首批预留 + 剩余站型区间重叠分配</x:v>
      </x:c>
      <x:c r="AE1" s="4" t="str">
        <x:v>月度投放计划｜首批预留 + 剩余站型区间重叠分配</x:v>
      </x:c>
      <x:c r="AF1" s="4" t="str">
        <x:v>月度投放计划｜首批预留 + 剩余站型区间重叠分配</x:v>
      </x:c>
      <x:c r="AG1" s="4" t="str">
        <x:v>月度投放计划｜首批预留 + 剩余站型区间重叠分配</x:v>
      </x:c>
      <x:c r="AH1" s="4" t="str">
        <x:v>月度投放计划｜首批预留 + 剩余站型区间重叠分配</x:v>
      </x:c>
    </x:row>
    <x:row r="3">
      <x:c r="A3" s="13" t="str">
        <x:v>月度目标与站型组合（公式驱动）</x:v>
      </x:c>
      <x:c r="B3" s="14" t="str">
        <x:v>月度目标与站型组合（公式驱动）</x:v>
      </x:c>
      <x:c r="C3" s="14" t="str">
        <x:v>月度目标与站型组合（公式驱动）</x:v>
      </x:c>
      <x:c r="D3" s="14" t="str">
        <x:v>月度目标与站型组合（公式驱动）</x:v>
      </x:c>
      <x:c r="E3" s="14" t="str">
        <x:v>月度目标与站型组合（公式驱动）</x:v>
      </x:c>
      <x:c r="F3" s="14" t="str">
        <x:v>月度目标与站型组合（公式驱动）</x:v>
      </x:c>
      <x:c r="G3" s="14" t="str">
        <x:v>月度目标与站型组合（公式驱动）</x:v>
      </x:c>
      <x:c r="H3" s="14" t="str">
        <x:v>月度目标与站型组合（公式驱动）</x:v>
      </x:c>
      <x:c r="I3" s="14" t="str">
        <x:v>月度目标与站型组合（公式驱动）</x:v>
      </x:c>
      <x:c r="J3" s="14" t="str">
        <x:v>月度目标与站型组合（公式驱动）</x:v>
      </x:c>
      <x:c r="K3" s="14" t="str">
        <x:v>月度目标与站型组合（公式驱动）</x:v>
      </x:c>
      <x:c r="L3" s="14" t="str">
        <x:v>月度目标与站型组合（公式驱动）</x:v>
      </x:c>
      <x:c r="M3" s="14" t="str">
        <x:v>月度目标与站型组合（公式驱动）</x:v>
      </x:c>
      <x:c r="N3" s="14" t="str">
        <x:v>月度目标与站型组合（公式驱动）</x:v>
      </x:c>
      <x:c r="O3" s="14" t="str">
        <x:v>月度目标与站型组合（公式驱动）</x:v>
      </x:c>
      <x:c r="P3" s="14" t="str">
        <x:v>月度目标与站型组合（公式驱动）</x:v>
      </x:c>
      <x:c r="Q3" s="14" t="str">
        <x:v>月度目标与站型组合（公式驱动）</x:v>
      </x:c>
      <x:c r="R3" s="14" t="str">
        <x:v>月度目标与站型组合（公式驱动）</x:v>
      </x:c>
      <x:c r="S3" s="14" t="str">
        <x:v>月度目标与站型组合（公式驱动）</x:v>
      </x:c>
      <x:c r="T3" s="14" t="str">
        <x:v>月度目标与站型组合（公式驱动）</x:v>
      </x:c>
      <x:c r="U3" s="15" t="str">
        <x:v>月度目标与站型组合（公式驱动）</x:v>
      </x:c>
    </x:row>
    <x:row r="4">
      <x:c r="A4" t="str">
        <x:v>上线月</x:v>
      </x:c>
      <x:c r="J4" s="50" t="n">
        <x:f>'核心假设'!$B$5</x:f>
        <x:v>46266</x:v>
      </x:c>
      <x:c r="K4" s="50" t="n">
        <x:f>EDATE(J4,1)</x:f>
        <x:v>46296</x:v>
      </x:c>
      <x:c r="L4" s="50" t="n">
        <x:f>EDATE(K4,1)</x:f>
        <x:v>46327</x:v>
      </x:c>
      <x:c r="M4" s="50" t="n">
        <x:f>EDATE(L4,1)</x:f>
        <x:v>46357</x:v>
      </x:c>
      <x:c r="N4" s="50" t="n">
        <x:f>EDATE(M4,1)</x:f>
        <x:v>46388</x:v>
      </x:c>
      <x:c r="O4" s="50" t="n">
        <x:f>EDATE(N4,1)</x:f>
        <x:v>46419</x:v>
      </x:c>
      <x:c r="P4" s="50" t="n">
        <x:f>EDATE(O4,1)</x:f>
        <x:v>46447</x:v>
      </x:c>
      <x:c r="Q4" s="50" t="n">
        <x:f>EDATE(P4,1)</x:f>
        <x:v>46478</x:v>
      </x:c>
      <x:c r="R4" s="50" t="n">
        <x:f>EDATE(Q4,1)</x:f>
        <x:v>46508</x:v>
      </x:c>
      <x:c r="S4" s="50" t="n">
        <x:f>EDATE(R4,1)</x:f>
        <x:v>46539</x:v>
      </x:c>
      <x:c r="T4" s="50" t="n">
        <x:f>EDATE(S4,1)</x:f>
        <x:v>46569</x:v>
      </x:c>
      <x:c r="U4" s="50" t="n">
        <x:f>EDATE(T4,1)</x:f>
        <x:v>46600</x:v>
      </x:c>
      <x:c r="V4" s="50" t="n">
        <x:f>J4</x:f>
        <x:v>46266</x:v>
      </x:c>
      <x:c r="W4" s="50" t="n">
        <x:f>K4</x:f>
        <x:v>46296</x:v>
      </x:c>
      <x:c r="X4" s="50" t="n">
        <x:f>L4</x:f>
        <x:v>46327</x:v>
      </x:c>
      <x:c r="Y4" s="50" t="n">
        <x:f>M4</x:f>
        <x:v>46357</x:v>
      </x:c>
      <x:c r="Z4" s="50" t="n">
        <x:f>N4</x:f>
        <x:v>46388</x:v>
      </x:c>
      <x:c r="AA4" s="50" t="n">
        <x:f>O4</x:f>
        <x:v>46419</x:v>
      </x:c>
      <x:c r="AB4" s="50" t="n">
        <x:f>P4</x:f>
        <x:v>46447</x:v>
      </x:c>
      <x:c r="AC4" s="50" t="n">
        <x:f>Q4</x:f>
        <x:v>46478</x:v>
      </x:c>
      <x:c r="AD4" s="50" t="n">
        <x:f>R4</x:f>
        <x:v>46508</x:v>
      </x:c>
      <x:c r="AE4" s="50" t="n">
        <x:f>S4</x:f>
        <x:v>46539</x:v>
      </x:c>
      <x:c r="AF4" s="50" t="n">
        <x:f>T4</x:f>
        <x:v>46569</x:v>
      </x:c>
      <x:c r="AG4" s="50" t="n">
        <x:f>U4</x:f>
        <x:v>46600</x:v>
      </x:c>
    </x:row>
    <x:row r="5">
      <x:c r="A5" t="str">
        <x:v>目标枪数</x:v>
      </x:c>
      <x:c r="J5" s="40" t="n">
        <x:f>ROUND('核心假设'!$B$6*'核心假设'!B$55/2,0)*2</x:f>
        <x:v>1500</x:v>
      </x:c>
      <x:c r="K5" s="40" t="n">
        <x:f>ROUND('核心假设'!$B$6*'核心假设'!C$55/2,0)*2</x:f>
        <x:v>1800</x:v>
      </x:c>
      <x:c r="L5" s="40" t="n">
        <x:f>ROUND('核心假设'!$B$6*'核心假设'!D$55/2,0)*2</x:f>
        <x:v>2100</x:v>
      </x:c>
      <x:c r="M5" s="40" t="n">
        <x:f>ROUND('核心假设'!$B$6*'核心假设'!E$55/2,0)*2</x:f>
        <x:v>2400</x:v>
      </x:c>
      <x:c r="N5" s="40" t="n">
        <x:f>ROUND('核心假设'!$B$6*'核心假设'!F$55/2,0)*2</x:f>
        <x:v>2700</x:v>
      </x:c>
      <x:c r="O5" s="40" t="n">
        <x:f>ROUND('核心假设'!$B$6*'核心假设'!G$55/2,0)*2</x:f>
        <x:v>3000</x:v>
      </x:c>
      <x:c r="P5" s="40" t="n">
        <x:f>ROUND('核心假设'!$B$6*'核心假设'!H$55/2,0)*2</x:f>
        <x:v>3300</x:v>
      </x:c>
      <x:c r="Q5" s="40" t="n">
        <x:f>ROUND('核心假设'!$B$6*'核心假设'!I$55/2,0)*2</x:f>
        <x:v>3300</x:v>
      </x:c>
      <x:c r="R5" s="40" t="n">
        <x:f>ROUND('核心假设'!$B$6*'核心假设'!J$55/2,0)*2</x:f>
        <x:v>3000</x:v>
      </x:c>
      <x:c r="S5" s="40" t="n">
        <x:f>ROUND('核心假设'!$B$6*'核心假设'!K$55/2,0)*2</x:f>
        <x:v>2700</x:v>
      </x:c>
      <x:c r="T5" s="40" t="n">
        <x:f>ROUND('核心假设'!$B$6*'核心假设'!L$55/2,0)*2</x:f>
        <x:v>2400</x:v>
      </x:c>
      <x:c r="U5" s="40" t="n">
        <x:f>'核心假设'!$B$6-SUM(J5:T5)</x:f>
        <x:v>1800</x:v>
      </x:c>
    </x:row>
    <x:row r="6">
      <x:c r="A6" t="str">
        <x:v>预留2枪站</x:v>
      </x:c>
      <x:c r="J6" s="40" t="n">
        <x:f>IF(0&lt;6,COUNTIFS('城市分配'!$D$6:$D$61,"是",'城市分配'!$P$6:$P$61,0,'城市分配'!$M$6:$M$61,"&gt;0"),0)</x:f>
        <x:v>5</x:v>
      </x:c>
      <x:c r="K6" s="40" t="n">
        <x:f>IF(1&lt;6,COUNTIFS('城市分配'!$D$6:$D$61,"是",'城市分配'!$P$6:$P$61,1,'城市分配'!$M$6:$M$61,"&gt;0"),0)</x:f>
        <x:v>5</x:v>
      </x:c>
      <x:c r="L6" s="40" t="n">
        <x:f>IF(2&lt;6,COUNTIFS('城市分配'!$D$6:$D$61,"是",'城市分配'!$P$6:$P$61,2,'城市分配'!$M$6:$M$61,"&gt;0"),0)</x:f>
        <x:v>4</x:v>
      </x:c>
      <x:c r="M6" s="40" t="n">
        <x:f>IF(3&lt;6,COUNTIFS('城市分配'!$D$6:$D$61,"是",'城市分配'!$P$6:$P$61,3,'城市分配'!$M$6:$M$61,"&gt;0"),0)</x:f>
        <x:v>4</x:v>
      </x:c>
      <x:c r="N6" s="40" t="n">
        <x:f>IF(4&lt;6,COUNTIFS('城市分配'!$D$6:$D$61,"是",'城市分配'!$P$6:$P$61,4,'城市分配'!$M$6:$M$61,"&gt;0"),0)</x:f>
        <x:v>4</x:v>
      </x:c>
      <x:c r="O6" s="40" t="n">
        <x:f>IF(5&lt;6,COUNTIFS('城市分配'!$D$6:$D$61,"是",'城市分配'!$P$6:$P$61,5,'城市分配'!$M$6:$M$61,"&gt;0"),0)</x:f>
        <x:v>4</x:v>
      </x:c>
      <x:c r="P6" s="40" t="n">
        <x:f>IF(6&lt;6,COUNTIFS('城市分配'!$D$6:$D$61,"是",'城市分配'!$P$6:$P$61,6,'城市分配'!$M$6:$M$61,"&gt;0"),0)</x:f>
        <x:v>0</x:v>
      </x:c>
      <x:c r="Q6" s="40" t="n">
        <x:f>IF(7&lt;6,COUNTIFS('城市分配'!$D$6:$D$61,"是",'城市分配'!$P$6:$P$61,7,'城市分配'!$M$6:$M$61,"&gt;0"),0)</x:f>
        <x:v>0</x:v>
      </x:c>
      <x:c r="R6" s="40" t="n">
        <x:f>IF(8&lt;6,COUNTIFS('城市分配'!$D$6:$D$61,"是",'城市分配'!$P$6:$P$61,8,'城市分配'!$M$6:$M$61,"&gt;0"),0)</x:f>
        <x:v>0</x:v>
      </x:c>
      <x:c r="S6" s="40" t="n">
        <x:f>IF(9&lt;6,COUNTIFS('城市分配'!$D$6:$D$61,"是",'城市分配'!$P$6:$P$61,9,'城市分配'!$M$6:$M$61,"&gt;0"),0)</x:f>
        <x:v>0</x:v>
      </x:c>
      <x:c r="T6" s="40" t="n">
        <x:f>IF(10&lt;6,COUNTIFS('城市分配'!$D$6:$D$61,"是",'城市分配'!$P$6:$P$61,10,'城市分配'!$M$6:$M$61,"&gt;0"),0)</x:f>
        <x:v>0</x:v>
      </x:c>
      <x:c r="U6" s="40" t="n">
        <x:f>IF(11&lt;6,COUNTIFS('城市分配'!$D$6:$D$61,"是",'城市分配'!$P$6:$P$61,11,'城市分配'!$M$6:$M$61,"&gt;0"),0)</x:f>
        <x:v>0</x:v>
      </x:c>
    </x:row>
    <x:row r="7">
      <x:c r="A7" t="str">
        <x:v>预留4枪站</x:v>
      </x:c>
      <x:c r="J7" s="40" t="n">
        <x:f>IF(0&lt;6,COUNTIFS('城市分配'!$D$6:$D$61,"是",'城市分配'!$P$6:$P$61,0,'城市分配'!$M$6:$M$61,0,'城市分配'!$L$6:$L$61,"&gt;0"),0)</x:f>
        <x:v>0</x:v>
      </x:c>
      <x:c r="K7" s="40" t="n">
        <x:f>IF(1&lt;6,COUNTIFS('城市分配'!$D$6:$D$61,"是",'城市分配'!$P$6:$P$61,1,'城市分配'!$M$6:$M$61,0,'城市分配'!$L$6:$L$61,"&gt;0"),0)</x:f>
        <x:v>0</x:v>
      </x:c>
      <x:c r="L7" s="40" t="n">
        <x:f>IF(2&lt;6,COUNTIFS('城市分配'!$D$6:$D$61,"是",'城市分配'!$P$6:$P$61,2,'城市分配'!$M$6:$M$61,0,'城市分配'!$L$6:$L$61,"&gt;0"),0)</x:f>
        <x:v>0</x:v>
      </x:c>
      <x:c r="M7" s="40" t="n">
        <x:f>IF(3&lt;6,COUNTIFS('城市分配'!$D$6:$D$61,"是",'城市分配'!$P$6:$P$61,3,'城市分配'!$M$6:$M$61,0,'城市分配'!$L$6:$L$61,"&gt;0"),0)</x:f>
        <x:v>0</x:v>
      </x:c>
      <x:c r="N7" s="40" t="n">
        <x:f>IF(4&lt;6,COUNTIFS('城市分配'!$D$6:$D$61,"是",'城市分配'!$P$6:$P$61,4,'城市分配'!$M$6:$M$61,0,'城市分配'!$L$6:$L$61,"&gt;0"),0)</x:f>
        <x:v>0</x:v>
      </x:c>
      <x:c r="O7" s="40" t="n">
        <x:f>IF(5&lt;6,COUNTIFS('城市分配'!$D$6:$D$61,"是",'城市分配'!$P$6:$P$61,5,'城市分配'!$M$6:$M$61,0,'城市分配'!$L$6:$L$61,"&gt;0"),0)</x:f>
        <x:v>0</x:v>
      </x:c>
      <x:c r="P7" s="40" t="n">
        <x:f>IF(6&lt;6,COUNTIFS('城市分配'!$D$6:$D$61,"是",'城市分配'!$P$6:$P$61,6,'城市分配'!$M$6:$M$61,0,'城市分配'!$L$6:$L$61,"&gt;0"),0)</x:f>
        <x:v>0</x:v>
      </x:c>
      <x:c r="Q7" s="40" t="n">
        <x:f>IF(7&lt;6,COUNTIFS('城市分配'!$D$6:$D$61,"是",'城市分配'!$P$6:$P$61,7,'城市分配'!$M$6:$M$61,0,'城市分配'!$L$6:$L$61,"&gt;0"),0)</x:f>
        <x:v>0</x:v>
      </x:c>
      <x:c r="R7" s="40" t="n">
        <x:f>IF(8&lt;6,COUNTIFS('城市分配'!$D$6:$D$61,"是",'城市分配'!$P$6:$P$61,8,'城市分配'!$M$6:$M$61,0,'城市分配'!$L$6:$L$61,"&gt;0"),0)</x:f>
        <x:v>0</x:v>
      </x:c>
      <x:c r="S7" s="40" t="n">
        <x:f>IF(9&lt;6,COUNTIFS('城市分配'!$D$6:$D$61,"是",'城市分配'!$P$6:$P$61,9,'城市分配'!$M$6:$M$61,0,'城市分配'!$L$6:$L$61,"&gt;0"),0)</x:f>
        <x:v>0</x:v>
      </x:c>
      <x:c r="T7" s="40" t="n">
        <x:f>IF(10&lt;6,COUNTIFS('城市分配'!$D$6:$D$61,"是",'城市分配'!$P$6:$P$61,10,'城市分配'!$M$6:$M$61,0,'城市分配'!$L$6:$L$61,"&gt;0"),0)</x:f>
        <x:v>0</x:v>
      </x:c>
      <x:c r="U7" s="40" t="n">
        <x:f>IF(11&lt;6,COUNTIFS('城市分配'!$D$6:$D$61,"是",'城市分配'!$P$6:$P$61,11,'城市分配'!$M$6:$M$61,0,'城市分配'!$L$6:$L$61,"&gt;0"),0)</x:f>
        <x:v>0</x:v>
      </x:c>
    </x:row>
    <x:row r="8">
      <x:c r="A8" t="str">
        <x:v>剩余目标枪数</x:v>
      </x:c>
      <x:c r="J8" s="37" t="n">
        <x:f>J5-2*J6-4*J7</x:f>
        <x:v>1490</x:v>
      </x:c>
      <x:c r="K8" s="37" t="n">
        <x:f>K5-2*K6-4*K7</x:f>
        <x:v>1790</x:v>
      </x:c>
      <x:c r="L8" s="37" t="n">
        <x:f>L5-2*L6-4*L7</x:f>
        <x:v>2092</x:v>
      </x:c>
      <x:c r="M8" s="37" t="n">
        <x:f>M5-2*M6-4*M7</x:f>
        <x:v>2392</x:v>
      </x:c>
      <x:c r="N8" s="37" t="n">
        <x:f>N5-2*N6-4*N7</x:f>
        <x:v>2692</x:v>
      </x:c>
      <x:c r="O8" s="37" t="n">
        <x:f>O5-2*O6-4*O7</x:f>
        <x:v>2992</x:v>
      </x:c>
      <x:c r="P8" s="37" t="n">
        <x:f>P5-2*P6-4*P7</x:f>
        <x:v>3300</x:v>
      </x:c>
      <x:c r="Q8" s="37" t="n">
        <x:f>Q5-2*Q6-4*Q7</x:f>
        <x:v>3300</x:v>
      </x:c>
      <x:c r="R8" s="37" t="n">
        <x:f>R5-2*R6-4*R7</x:f>
        <x:v>3000</x:v>
      </x:c>
      <x:c r="S8" s="37" t="n">
        <x:f>S5-2*S6-4*S7</x:f>
        <x:v>2700</x:v>
      </x:c>
      <x:c r="T8" s="37" t="n">
        <x:f>T5-2*T6-4*T7</x:f>
        <x:v>2400</x:v>
      </x:c>
      <x:c r="U8" s="37" t="n">
        <x:f>U5-2*U6-4*U7</x:f>
        <x:v>1800</x:v>
      </x:c>
    </x:row>
    <x:row r="9">
      <x:c r="A9" t="str">
        <x:v>必需2枪站</x:v>
      </x:c>
      <x:c r="J9" s="37" t="n">
        <x:f>MOD(J8/2,2)</x:f>
        <x:v>1</x:v>
      </x:c>
      <x:c r="K9" s="37" t="n">
        <x:f>MOD(K8/2,2)</x:f>
        <x:v>1</x:v>
      </x:c>
      <x:c r="L9" s="37" t="n">
        <x:f>MOD(L8/2,2)</x:f>
        <x:v>0</x:v>
      </x:c>
      <x:c r="M9" s="37" t="n">
        <x:f>MOD(M8/2,2)</x:f>
        <x:v>0</x:v>
      </x:c>
      <x:c r="N9" s="37" t="n">
        <x:f>MOD(N8/2,2)</x:f>
        <x:v>0</x:v>
      </x:c>
      <x:c r="O9" s="37" t="n">
        <x:f>MOD(O8/2,2)</x:f>
        <x:v>0</x:v>
      </x:c>
      <x:c r="P9" s="37" t="n">
        <x:f>MOD(P8/2,2)</x:f>
        <x:v>0</x:v>
      </x:c>
      <x:c r="Q9" s="37" t="n">
        <x:f>MOD(Q8/2,2)</x:f>
        <x:v>0</x:v>
      </x:c>
      <x:c r="R9" s="37" t="n">
        <x:f>MOD(R8/2,2)</x:f>
        <x:v>0</x:v>
      </x:c>
      <x:c r="S9" s="37" t="n">
        <x:f>MOD(S8/2,2)</x:f>
        <x:v>0</x:v>
      </x:c>
      <x:c r="T9" s="37" t="n">
        <x:f>MOD(T8/2,2)</x:f>
        <x:v>0</x:v>
      </x:c>
      <x:c r="U9" s="37" t="n">
        <x:f>MOD(U8/2,2)</x:f>
        <x:v>0</x:v>
      </x:c>
    </x:row>
    <x:row r="10">
      <x:c r="A10" t="str">
        <x:v>待分配额外2枪站</x:v>
      </x:c>
      <x:c r="B10" t="n">
        <x:f>SUM('城市分配'!$M$6:$M$61)-SUM(J6:U6)-SUM(J9:U9)</x:f>
        <x:v>4372</x:v>
      </x:c>
      <x:c r="J10" s="37" t="n">
        <x:f>J8/2-J9</x:f>
        <x:v>744</x:v>
      </x:c>
      <x:c r="K10" s="37" t="n">
        <x:f>K8/2-K9</x:f>
        <x:v>894</x:v>
      </x:c>
      <x:c r="L10" s="37" t="n">
        <x:f>L8/2-L9</x:f>
        <x:v>1046</x:v>
      </x:c>
      <x:c r="M10" s="37" t="n">
        <x:f>M8/2-M9</x:f>
        <x:v>1196</x:v>
      </x:c>
      <x:c r="N10" s="37" t="n">
        <x:f>N8/2-N9</x:f>
        <x:v>1346</x:v>
      </x:c>
      <x:c r="O10" s="37" t="n">
        <x:f>O8/2-O9</x:f>
        <x:v>1496</x:v>
      </x:c>
      <x:c r="P10" s="37" t="n">
        <x:f>P8/2-P9</x:f>
        <x:v>1650</x:v>
      </x:c>
      <x:c r="Q10" s="37" t="n">
        <x:f>Q8/2-Q9</x:f>
        <x:v>1650</x:v>
      </x:c>
      <x:c r="R10" s="37" t="n">
        <x:f>R8/2-R9</x:f>
        <x:v>1500</x:v>
      </x:c>
      <x:c r="S10" s="37" t="n">
        <x:f>S8/2-S9</x:f>
        <x:v>1350</x:v>
      </x:c>
      <x:c r="T10" s="37" t="n">
        <x:f>T8/2-T9</x:f>
        <x:v>1200</x:v>
      </x:c>
      <x:c r="U10" s="37" t="n">
        <x:f>U8/2-U9</x:f>
        <x:v>900</x:v>
      </x:c>
    </x:row>
    <x:row r="11">
      <x:c r="A11" t="str">
        <x:v>后续额外容量</x:v>
      </x:c>
      <x:c r="J11" s="37" t="n">
        <x:f>SUM(K10:U10)</x:f>
        <x:v>14228</x:v>
      </x:c>
      <x:c r="K11" s="37" t="n">
        <x:f>SUM(L10:U10)</x:f>
        <x:v>13334</x:v>
      </x:c>
      <x:c r="L11" s="37" t="n">
        <x:f>SUM(M10:U10)</x:f>
        <x:v>12288</x:v>
      </x:c>
      <x:c r="M11" s="37" t="n">
        <x:f>SUM(N10:U10)</x:f>
        <x:v>11092</x:v>
      </x:c>
      <x:c r="N11" s="37" t="n">
        <x:f>SUM(O10:U10)</x:f>
        <x:v>9746</x:v>
      </x:c>
      <x:c r="O11" s="37" t="n">
        <x:f>SUM(P10:U10)</x:f>
        <x:v>8250</x:v>
      </x:c>
      <x:c r="P11" s="37" t="n">
        <x:f>SUM(Q10:U10)</x:f>
        <x:v>6600</x:v>
      </x:c>
      <x:c r="Q11" s="37" t="n">
        <x:f>SUM(R10:U10)</x:f>
        <x:v>4950</x:v>
      </x:c>
      <x:c r="R11" s="37" t="n">
        <x:f>SUM(S10:U10)</x:f>
        <x:v>3450</x:v>
      </x:c>
      <x:c r="S11" s="37" t="n">
        <x:f>SUM(T10:U10)</x:f>
        <x:v>2100</x:v>
      </x:c>
      <x:c r="T11" s="37" t="n">
        <x:f>SUM(U10:U10)</x:f>
        <x:v>900</x:v>
      </x:c>
      <x:c r="U11" s="37" t="n">
        <x:f>0</x:f>
        <x:v>0</x:v>
      </x:c>
    </x:row>
    <x:row r="12">
      <x:c r="A12" t="str">
        <x:v>额外2枪分配</x:v>
      </x:c>
      <x:c r="J12" s="37" t="n">
        <x:f>MAX(0,MIN($B$10,J11+J10)-MIN($B$10,J11))</x:f>
        <x:v>0</x:v>
      </x:c>
      <x:c r="K12" s="37" t="n">
        <x:f>MAX(0,MIN($B$10,K11+K10)-MIN($B$10,K11))</x:f>
        <x:v>0</x:v>
      </x:c>
      <x:c r="L12" s="37" t="n">
        <x:f>MAX(0,MIN($B$10,L11+L10)-MIN($B$10,L11))</x:f>
        <x:v>0</x:v>
      </x:c>
      <x:c r="M12" s="37" t="n">
        <x:f>MAX(0,MIN($B$10,M11+M10)-MIN($B$10,M11))</x:f>
        <x:v>0</x:v>
      </x:c>
      <x:c r="N12" s="37" t="n">
        <x:f>MAX(0,MIN($B$10,N11+N10)-MIN($B$10,N11))</x:f>
        <x:v>0</x:v>
      </x:c>
      <x:c r="O12" s="37" t="n">
        <x:f>MAX(0,MIN($B$10,O11+O10)-MIN($B$10,O11))</x:f>
        <x:v>0</x:v>
      </x:c>
      <x:c r="P12" s="37" t="n">
        <x:f>MAX(0,MIN($B$10,P11+P10)-MIN($B$10,P11))</x:f>
        <x:v>0</x:v>
      </x:c>
      <x:c r="Q12" s="37" t="n">
        <x:f>MAX(0,MIN($B$10,Q11+Q10)-MIN($B$10,Q11))</x:f>
        <x:v>0</x:v>
      </x:c>
      <x:c r="R12" s="37" t="n">
        <x:f>MAX(0,MIN($B$10,R11+R10)-MIN($B$10,R11))</x:f>
        <x:v>922</x:v>
      </x:c>
      <x:c r="S12" s="37" t="n">
        <x:f>MAX(0,MIN($B$10,S11+S10)-MIN($B$10,S11))</x:f>
        <x:v>1350</x:v>
      </x:c>
      <x:c r="T12" s="37" t="n">
        <x:f>MAX(0,MIN($B$10,T11+T10)-MIN($B$10,T11))</x:f>
        <x:v>1200</x:v>
      </x:c>
      <x:c r="U12" s="37" t="n">
        <x:f>MAX(0,MIN($B$10,U11+U10)-MIN($B$10,U11))</x:f>
        <x:v>900</x:v>
      </x:c>
    </x:row>
    <x:row r="13">
      <x:c r="A13" t="str">
        <x:v>剩余2枪站</x:v>
      </x:c>
      <x:c r="J13" s="37" t="n">
        <x:f>J9+J12</x:f>
        <x:v>1</x:v>
      </x:c>
      <x:c r="K13" s="37" t="n">
        <x:f>K9+K12</x:f>
        <x:v>1</x:v>
      </x:c>
      <x:c r="L13" s="37" t="n">
        <x:f>L9+L12</x:f>
        <x:v>0</x:v>
      </x:c>
      <x:c r="M13" s="37" t="n">
        <x:f>M9+M12</x:f>
        <x:v>0</x:v>
      </x:c>
      <x:c r="N13" s="37" t="n">
        <x:f>N9+N12</x:f>
        <x:v>0</x:v>
      </x:c>
      <x:c r="O13" s="37" t="n">
        <x:f>O9+O12</x:f>
        <x:v>0</x:v>
      </x:c>
      <x:c r="P13" s="37" t="n">
        <x:f>P9+P12</x:f>
        <x:v>0</x:v>
      </x:c>
      <x:c r="Q13" s="37" t="n">
        <x:f>Q9+Q12</x:f>
        <x:v>0</x:v>
      </x:c>
      <x:c r="R13" s="37" t="n">
        <x:f>R9+R12</x:f>
        <x:v>922</x:v>
      </x:c>
      <x:c r="S13" s="37" t="n">
        <x:f>S9+S12</x:f>
        <x:v>1350</x:v>
      </x:c>
      <x:c r="T13" s="37" t="n">
        <x:f>T9+T12</x:f>
        <x:v>1200</x:v>
      </x:c>
      <x:c r="U13" s="37" t="n">
        <x:f>U9+U12</x:f>
        <x:v>900</x:v>
      </x:c>
    </x:row>
    <x:row r="14">
      <x:c r="A14" t="str">
        <x:v>剩余4枪站</x:v>
      </x:c>
      <x:c r="J14" s="37" t="n">
        <x:f>(J8-2*J13)/4</x:f>
        <x:v>372</x:v>
      </x:c>
      <x:c r="K14" s="37" t="n">
        <x:f>(K8-2*K13)/4</x:f>
        <x:v>447</x:v>
      </x:c>
      <x:c r="L14" s="37" t="n">
        <x:f>(L8-2*L13)/4</x:f>
        <x:v>523</x:v>
      </x:c>
      <x:c r="M14" s="37" t="n">
        <x:f>(M8-2*M13)/4</x:f>
        <x:v>598</x:v>
      </x:c>
      <x:c r="N14" s="37" t="n">
        <x:f>(N8-2*N13)/4</x:f>
        <x:v>673</x:v>
      </x:c>
      <x:c r="O14" s="37" t="n">
        <x:f>(O8-2*O13)/4</x:f>
        <x:v>748</x:v>
      </x:c>
      <x:c r="P14" s="37" t="n">
        <x:f>(P8-2*P13)/4</x:f>
        <x:v>825</x:v>
      </x:c>
      <x:c r="Q14" s="37" t="n">
        <x:f>(Q8-2*Q13)/4</x:f>
        <x:v>825</x:v>
      </x:c>
      <x:c r="R14" s="37" t="n">
        <x:f>(R8-2*R13)/4</x:f>
        <x:v>289</x:v>
      </x:c>
      <x:c r="S14" s="37" t="n">
        <x:f>(S8-2*S13)/4</x:f>
        <x:v>0</x:v>
      </x:c>
      <x:c r="T14" s="37" t="n">
        <x:f>(T8-2*T13)/4</x:f>
        <x:v>0</x:v>
      </x:c>
      <x:c r="U14" s="37" t="n">
        <x:f>(U8-2*U13)/4</x:f>
        <x:v>0</x:v>
      </x:c>
    </x:row>
    <x:row r="15">
      <x:c r="A15" t="str">
        <x:v>当月2枪站</x:v>
      </x:c>
      <x:c r="J15" s="37" t="n">
        <x:f>J6+J13</x:f>
        <x:v>6</x:v>
      </x:c>
      <x:c r="K15" s="37" t="n">
        <x:f>K6+K13</x:f>
        <x:v>6</x:v>
      </x:c>
      <x:c r="L15" s="37" t="n">
        <x:f>L6+L13</x:f>
        <x:v>4</x:v>
      </x:c>
      <x:c r="M15" s="37" t="n">
        <x:f>M6+M13</x:f>
        <x:v>4</x:v>
      </x:c>
      <x:c r="N15" s="37" t="n">
        <x:f>N6+N13</x:f>
        <x:v>4</x:v>
      </x:c>
      <x:c r="O15" s="37" t="n">
        <x:f>O6+O13</x:f>
        <x:v>4</x:v>
      </x:c>
      <x:c r="P15" s="37" t="n">
        <x:f>P6+P13</x:f>
        <x:v>0</x:v>
      </x:c>
      <x:c r="Q15" s="37" t="n">
        <x:f>Q6+Q13</x:f>
        <x:v>0</x:v>
      </x:c>
      <x:c r="R15" s="37" t="n">
        <x:f>R6+R13</x:f>
        <x:v>922</x:v>
      </x:c>
      <x:c r="S15" s="37" t="n">
        <x:f>S6+S13</x:f>
        <x:v>1350</x:v>
      </x:c>
      <x:c r="T15" s="37" t="n">
        <x:f>T6+T13</x:f>
        <x:v>1200</x:v>
      </x:c>
      <x:c r="U15" s="37" t="n">
        <x:f>U6+U13</x:f>
        <x:v>900</x:v>
      </x:c>
    </x:row>
    <x:row r="16">
      <x:c r="A16" t="str">
        <x:v>当月4枪站</x:v>
      </x:c>
      <x:c r="J16" s="37" t="n">
        <x:f>J7+J14</x:f>
        <x:v>372</x:v>
      </x:c>
      <x:c r="K16" s="37" t="n">
        <x:f>K7+K14</x:f>
        <x:v>447</x:v>
      </x:c>
      <x:c r="L16" s="37" t="n">
        <x:f>L7+L14</x:f>
        <x:v>523</x:v>
      </x:c>
      <x:c r="M16" s="37" t="n">
        <x:f>M7+M14</x:f>
        <x:v>598</x:v>
      </x:c>
      <x:c r="N16" s="37" t="n">
        <x:f>N7+N14</x:f>
        <x:v>673</x:v>
      </x:c>
      <x:c r="O16" s="37" t="n">
        <x:f>O7+O14</x:f>
        <x:v>748</x:v>
      </x:c>
      <x:c r="P16" s="37" t="n">
        <x:f>P7+P14</x:f>
        <x:v>825</x:v>
      </x:c>
      <x:c r="Q16" s="37" t="n">
        <x:f>Q7+Q14</x:f>
        <x:v>825</x:v>
      </x:c>
      <x:c r="R16" s="37" t="n">
        <x:f>R7+R14</x:f>
        <x:v>289</x:v>
      </x:c>
      <x:c r="S16" s="37" t="n">
        <x:f>S7+S14</x:f>
        <x:v>0</x:v>
      </x:c>
      <x:c r="T16" s="37" t="n">
        <x:f>T7+T14</x:f>
        <x:v>0</x:v>
      </x:c>
      <x:c r="U16" s="37" t="n">
        <x:f>U7+U14</x:f>
        <x:v>0</x:v>
      </x:c>
    </x:row>
    <x:row r="17">
      <x:c r="A17" t="str">
        <x:v>月度枪数校验</x:v>
      </x:c>
      <x:c r="J17" s="37" t="n">
        <x:f>4*J16+2*J15-J5</x:f>
        <x:v>0</x:v>
      </x:c>
      <x:c r="K17" s="37" t="n">
        <x:f>4*K16+2*K15-K5</x:f>
        <x:v>0</x:v>
      </x:c>
      <x:c r="L17" s="37" t="n">
        <x:f>4*L16+2*L15-L5</x:f>
        <x:v>0</x:v>
      </x:c>
      <x:c r="M17" s="37" t="n">
        <x:f>4*M16+2*M15-M5</x:f>
        <x:v>0</x:v>
      </x:c>
      <x:c r="N17" s="37" t="n">
        <x:f>4*N16+2*N15-N5</x:f>
        <x:v>0</x:v>
      </x:c>
      <x:c r="O17" s="37" t="n">
        <x:f>4*O16+2*O15-O5</x:f>
        <x:v>0</x:v>
      </x:c>
      <x:c r="P17" s="37" t="n">
        <x:f>4*P16+2*P15-P5</x:f>
        <x:v>0</x:v>
      </x:c>
      <x:c r="Q17" s="37" t="n">
        <x:f>4*Q16+2*Q15-Q5</x:f>
        <x:v>0</x:v>
      </x:c>
      <x:c r="R17" s="37" t="n">
        <x:f>4*R16+2*R15-R5</x:f>
        <x:v>0</x:v>
      </x:c>
      <x:c r="S17" s="37" t="n">
        <x:f>4*S16+2*S15-S5</x:f>
        <x:v>0</x:v>
      </x:c>
      <x:c r="T17" s="37" t="n">
        <x:f>4*T16+2*T15-T5</x:f>
        <x:v>0</x:v>
      </x:c>
      <x:c r="U17" s="37" t="n">
        <x:f>4*U16+2*U15-U5</x:f>
        <x:v>0</x:v>
      </x:c>
    </x:row>
    <x:row r="18">
      <x:c r="A18" t="str">
        <x:v>2枪累计起点</x:v>
      </x:c>
      <x:c r="J18" s="37" t="n">
        <x:f>0</x:f>
        <x:v>0</x:v>
      </x:c>
      <x:c r="K18" s="37" t="n">
        <x:f>SUM(J13:J13)</x:f>
        <x:v>1</x:v>
      </x:c>
      <x:c r="L18" s="37" t="n">
        <x:f>SUM(J13:K13)</x:f>
        <x:v>2</x:v>
      </x:c>
      <x:c r="M18" s="37" t="n">
        <x:f>SUM(J13:L13)</x:f>
        <x:v>2</x:v>
      </x:c>
      <x:c r="N18" s="37" t="n">
        <x:f>SUM(J13:M13)</x:f>
        <x:v>2</x:v>
      </x:c>
      <x:c r="O18" s="37" t="n">
        <x:f>SUM(J13:N13)</x:f>
        <x:v>2</x:v>
      </x:c>
      <x:c r="P18" s="37" t="n">
        <x:f>SUM(J13:O13)</x:f>
        <x:v>2</x:v>
      </x:c>
      <x:c r="Q18" s="37" t="n">
        <x:f>SUM(J13:P13)</x:f>
        <x:v>2</x:v>
      </x:c>
      <x:c r="R18" s="37" t="n">
        <x:f>SUM(J13:Q13)</x:f>
        <x:v>2</x:v>
      </x:c>
      <x:c r="S18" s="37" t="n">
        <x:f>SUM(J13:R13)</x:f>
        <x:v>924</x:v>
      </x:c>
      <x:c r="T18" s="37" t="n">
        <x:f>SUM(J13:S13)</x:f>
        <x:v>2274</x:v>
      </x:c>
      <x:c r="U18" s="37" t="n">
        <x:f>SUM(J13:T13)</x:f>
        <x:v>3474</x:v>
      </x:c>
    </x:row>
    <x:row r="19">
      <x:c r="A19" t="str">
        <x:v>2枪累计终点</x:v>
      </x:c>
      <x:c r="J19" s="37" t="n">
        <x:f>J18+J13</x:f>
        <x:v>1</x:v>
      </x:c>
      <x:c r="K19" s="37" t="n">
        <x:f>K18+K13</x:f>
        <x:v>2</x:v>
      </x:c>
      <x:c r="L19" s="37" t="n">
        <x:f>L18+L13</x:f>
        <x:v>2</x:v>
      </x:c>
      <x:c r="M19" s="37" t="n">
        <x:f>M18+M13</x:f>
        <x:v>2</x:v>
      </x:c>
      <x:c r="N19" s="37" t="n">
        <x:f>N18+N13</x:f>
        <x:v>2</x:v>
      </x:c>
      <x:c r="O19" s="37" t="n">
        <x:f>O18+O13</x:f>
        <x:v>2</x:v>
      </x:c>
      <x:c r="P19" s="37" t="n">
        <x:f>P18+P13</x:f>
        <x:v>2</x:v>
      </x:c>
      <x:c r="Q19" s="37" t="n">
        <x:f>Q18+Q13</x:f>
        <x:v>2</x:v>
      </x:c>
      <x:c r="R19" s="37" t="n">
        <x:f>R18+R13</x:f>
        <x:v>924</x:v>
      </x:c>
      <x:c r="S19" s="37" t="n">
        <x:f>S18+S13</x:f>
        <x:v>2274</x:v>
      </x:c>
      <x:c r="T19" s="37" t="n">
        <x:f>T18+T13</x:f>
        <x:v>3474</x:v>
      </x:c>
      <x:c r="U19" s="37" t="n">
        <x:f>U18+U13</x:f>
        <x:v>4374</x:v>
      </x:c>
    </x:row>
    <x:row r="20">
      <x:c r="A20" t="str">
        <x:v>4枪累计起点</x:v>
      </x:c>
      <x:c r="J20" s="37" t="n">
        <x:f>0</x:f>
        <x:v>0</x:v>
      </x:c>
      <x:c r="K20" s="37" t="n">
        <x:f>SUM(J14:J14)</x:f>
        <x:v>372</x:v>
      </x:c>
      <x:c r="L20" s="37" t="n">
        <x:f>SUM(J14:K14)</x:f>
        <x:v>819</x:v>
      </x:c>
      <x:c r="M20" s="37" t="n">
        <x:f>SUM(J14:L14)</x:f>
        <x:v>1342</x:v>
      </x:c>
      <x:c r="N20" s="37" t="n">
        <x:f>SUM(J14:M14)</x:f>
        <x:v>1940</x:v>
      </x:c>
      <x:c r="O20" s="37" t="n">
        <x:f>SUM(J14:N14)</x:f>
        <x:v>2613</x:v>
      </x:c>
      <x:c r="P20" s="37" t="n">
        <x:f>SUM(J14:O14)</x:f>
        <x:v>3361</x:v>
      </x:c>
      <x:c r="Q20" s="37" t="n">
        <x:f>SUM(J14:P14)</x:f>
        <x:v>4186</x:v>
      </x:c>
      <x:c r="R20" s="37" t="n">
        <x:f>SUM(J14:Q14)</x:f>
        <x:v>5011</x:v>
      </x:c>
      <x:c r="S20" s="37" t="n">
        <x:f>SUM(J14:R14)</x:f>
        <x:v>5300</x:v>
      </x:c>
      <x:c r="T20" s="37" t="n">
        <x:f>SUM(J14:S14)</x:f>
        <x:v>5300</x:v>
      </x:c>
      <x:c r="U20" s="37" t="n">
        <x:f>SUM(J14:T14)</x:f>
        <x:v>5300</x:v>
      </x:c>
    </x:row>
    <x:row r="21">
      <x:c r="A21" t="str">
        <x:v>4枪累计终点</x:v>
      </x:c>
      <x:c r="J21" s="37" t="n">
        <x:f>J20+J14</x:f>
        <x:v>372</x:v>
      </x:c>
      <x:c r="K21" s="37" t="n">
        <x:f>K20+K14</x:f>
        <x:v>819</x:v>
      </x:c>
      <x:c r="L21" s="37" t="n">
        <x:f>L20+L14</x:f>
        <x:v>1342</x:v>
      </x:c>
      <x:c r="M21" s="37" t="n">
        <x:f>M20+M14</x:f>
        <x:v>1940</x:v>
      </x:c>
      <x:c r="N21" s="37" t="n">
        <x:f>N20+N14</x:f>
        <x:v>2613</x:v>
      </x:c>
      <x:c r="O21" s="37" t="n">
        <x:f>O20+O14</x:f>
        <x:v>3361</x:v>
      </x:c>
      <x:c r="P21" s="37" t="n">
        <x:f>P20+P14</x:f>
        <x:v>4186</x:v>
      </x:c>
      <x:c r="Q21" s="37" t="n">
        <x:f>Q20+Q14</x:f>
        <x:v>5011</x:v>
      </x:c>
      <x:c r="R21" s="37" t="n">
        <x:f>R20+R14</x:f>
        <x:v>5300</x:v>
      </x:c>
      <x:c r="S21" s="37" t="n">
        <x:f>S20+S14</x:f>
        <x:v>5300</x:v>
      </x:c>
      <x:c r="T21" s="37" t="n">
        <x:f>T20+T14</x:f>
        <x:v>5300</x:v>
      </x:c>
      <x:c r="U21" s="37" t="n">
        <x:f>U20+U14</x:f>
        <x:v>5300</x:v>
      </x:c>
    </x:row>
    <x:row r="22">
      <x:c r="A22" t="str">
        <x:v>选址月</x:v>
      </x:c>
      <x:c r="J22" s="51" t="n">
        <x:f>EDATE(J4,-1)</x:f>
        <x:v>46235</x:v>
      </x:c>
      <x:c r="K22" s="51" t="n">
        <x:f>EDATE(K4,-1)</x:f>
        <x:v>46266</x:v>
      </x:c>
      <x:c r="L22" s="51" t="n">
        <x:f>EDATE(L4,-1)</x:f>
        <x:v>46296</x:v>
      </x:c>
      <x:c r="M22" s="51" t="n">
        <x:f>EDATE(M4,-1)</x:f>
        <x:v>46327</x:v>
      </x:c>
      <x:c r="N22" s="51" t="n">
        <x:f>EDATE(N4,-1)</x:f>
        <x:v>46357</x:v>
      </x:c>
      <x:c r="O22" s="51" t="n">
        <x:f>EDATE(O4,-1)</x:f>
        <x:v>46388</x:v>
      </x:c>
      <x:c r="P22" s="51" t="n">
        <x:f>EDATE(P4,-1)</x:f>
        <x:v>46419</x:v>
      </x:c>
      <x:c r="Q22" s="51" t="n">
        <x:f>EDATE(Q4,-1)</x:f>
        <x:v>46447</x:v>
      </x:c>
      <x:c r="R22" s="51" t="n">
        <x:f>EDATE(R4,-1)</x:f>
        <x:v>46478</x:v>
      </x:c>
      <x:c r="S22" s="51" t="n">
        <x:f>EDATE(S4,-1)</x:f>
        <x:v>46508</x:v>
      </x:c>
      <x:c r="T22" s="51" t="n">
        <x:f>EDATE(T4,-1)</x:f>
        <x:v>46539</x:v>
      </x:c>
      <x:c r="U22" s="51" t="n">
        <x:f>EDATE(U4,-1)</x:f>
        <x:v>46569</x:v>
      </x:c>
    </x:row>
    <x:row r="23">
      <x:c r="A23" t="str">
        <x:v>供应商付款月</x:v>
      </x:c>
      <x:c r="J23" s="50" t="n">
        <x:f>EDATE(J22,'核心假设'!$B$31)</x:f>
        <x:v>46296</x:v>
      </x:c>
      <x:c r="K23" s="50" t="n">
        <x:f>EDATE(K22,'核心假设'!$B$31)</x:f>
        <x:v>46327</x:v>
      </x:c>
      <x:c r="L23" s="50" t="n">
        <x:f>EDATE(L22,'核心假设'!$B$31)</x:f>
        <x:v>46357</x:v>
      </x:c>
      <x:c r="M23" s="50" t="n">
        <x:f>EDATE(M22,'核心假设'!$B$31)</x:f>
        <x:v>46388</x:v>
      </x:c>
      <x:c r="N23" s="50" t="n">
        <x:f>EDATE(N22,'核心假设'!$B$31)</x:f>
        <x:v>46419</x:v>
      </x:c>
      <x:c r="O23" s="50" t="n">
        <x:f>EDATE(O22,'核心假设'!$B$31)</x:f>
        <x:v>46447</x:v>
      </x:c>
      <x:c r="P23" s="50" t="n">
        <x:f>EDATE(P22,'核心假设'!$B$31)</x:f>
        <x:v>46478</x:v>
      </x:c>
      <x:c r="Q23" s="50" t="n">
        <x:f>EDATE(Q22,'核心假设'!$B$31)</x:f>
        <x:v>46508</x:v>
      </x:c>
      <x:c r="R23" s="50" t="n">
        <x:f>EDATE(R22,'核心假设'!$B$31)</x:f>
        <x:v>46539</x:v>
      </x:c>
      <x:c r="S23" s="50" t="n">
        <x:f>EDATE(S22,'核心假设'!$B$31)</x:f>
        <x:v>46569</x:v>
      </x:c>
      <x:c r="T23" s="50" t="n">
        <x:f>EDATE(T22,'核心假设'!$B$31)</x:f>
        <x:v>46600</x:v>
      </x:c>
      <x:c r="U23" s="50" t="n">
        <x:f>EDATE(U22,'核心假设'!$B$31)</x:f>
        <x:v>46631</x:v>
      </x:c>
    </x:row>
    <x:row r="24">
      <x:c r="A24" t="str">
        <x:v>融资放款月</x:v>
      </x:c>
      <x:c r="J24" s="50" t="n">
        <x:f>EDATE(J4,'核心假设'!$B$30)</x:f>
        <x:v>46296</x:v>
      </x:c>
      <x:c r="K24" s="50" t="n">
        <x:f>EDATE(K4,'核心假设'!$B$30)</x:f>
        <x:v>46327</x:v>
      </x:c>
      <x:c r="L24" s="50" t="n">
        <x:f>EDATE(L4,'核心假设'!$B$30)</x:f>
        <x:v>46357</x:v>
      </x:c>
      <x:c r="M24" s="50" t="n">
        <x:f>EDATE(M4,'核心假设'!$B$30)</x:f>
        <x:v>46388</x:v>
      </x:c>
      <x:c r="N24" s="50" t="n">
        <x:f>EDATE(N4,'核心假设'!$B$30)</x:f>
        <x:v>46419</x:v>
      </x:c>
      <x:c r="O24" s="50" t="n">
        <x:f>EDATE(O4,'核心假设'!$B$30)</x:f>
        <x:v>46447</x:v>
      </x:c>
      <x:c r="P24" s="50" t="n">
        <x:f>EDATE(P4,'核心假设'!$B$30)</x:f>
        <x:v>46478</x:v>
      </x:c>
      <x:c r="Q24" s="50" t="n">
        <x:f>EDATE(Q4,'核心假设'!$B$30)</x:f>
        <x:v>46508</x:v>
      </x:c>
      <x:c r="R24" s="50" t="n">
        <x:f>EDATE(R4,'核心假设'!$B$30)</x:f>
        <x:v>46539</x:v>
      </x:c>
      <x:c r="S24" s="50" t="n">
        <x:f>EDATE(S4,'核心假设'!$B$30)</x:f>
        <x:v>46569</x:v>
      </x:c>
      <x:c r="T24" s="50" t="n">
        <x:f>EDATE(T4,'核心假设'!$B$30)</x:f>
        <x:v>46600</x:v>
      </x:c>
      <x:c r="U24" s="50" t="n">
        <x:f>EDATE(U4,'核心假设'!$B$30)</x:f>
        <x:v>46631</x:v>
      </x:c>
    </x:row>
    <x:row r="26">
      <x:c r="A26" s="13" t="str">
        <x:v>城市×月份站点分配</x:v>
      </x:c>
      <x:c r="B26" s="14" t="str">
        <x:v>城市×月份站点分配</x:v>
      </x:c>
      <x:c r="C26" s="14" t="str">
        <x:v>城市×月份站点分配</x:v>
      </x:c>
      <x:c r="D26" s="14" t="str">
        <x:v>城市×月份站点分配</x:v>
      </x:c>
      <x:c r="E26" s="14" t="str">
        <x:v>城市×月份站点分配</x:v>
      </x:c>
      <x:c r="F26" s="14" t="str">
        <x:v>城市×月份站点分配</x:v>
      </x:c>
      <x:c r="G26" s="14" t="str">
        <x:v>城市×月份站点分配</x:v>
      </x:c>
      <x:c r="H26" s="14" t="str">
        <x:v>城市×月份站点分配</x:v>
      </x:c>
      <x:c r="I26" s="14" t="str">
        <x:v>城市×月份站点分配</x:v>
      </x:c>
      <x:c r="J26" s="14" t="str">
        <x:v>城市×月份站点分配</x:v>
      </x:c>
      <x:c r="K26" s="14" t="str">
        <x:v>城市×月份站点分配</x:v>
      </x:c>
      <x:c r="L26" s="14" t="str">
        <x:v>城市×月份站点分配</x:v>
      </x:c>
      <x:c r="M26" s="14" t="str">
        <x:v>城市×月份站点分配</x:v>
      </x:c>
      <x:c r="N26" s="14" t="str">
        <x:v>城市×月份站点分配</x:v>
      </x:c>
      <x:c r="O26" s="14" t="str">
        <x:v>城市×月份站点分配</x:v>
      </x:c>
      <x:c r="P26" s="14" t="str">
        <x:v>城市×月份站点分配</x:v>
      </x:c>
      <x:c r="Q26" s="14" t="str">
        <x:v>城市×月份站点分配</x:v>
      </x:c>
      <x:c r="R26" s="14" t="str">
        <x:v>城市×月份站点分配</x:v>
      </x:c>
      <x:c r="S26" s="14" t="str">
        <x:v>城市×月份站点分配</x:v>
      </x:c>
      <x:c r="T26" s="14" t="str">
        <x:v>城市×月份站点分配</x:v>
      </x:c>
      <x:c r="U26" s="14" t="str">
        <x:v>城市×月份站点分配</x:v>
      </x:c>
      <x:c r="V26" s="14" t="str">
        <x:v>城市×月份站点分配</x:v>
      </x:c>
      <x:c r="W26" s="14" t="str">
        <x:v>城市×月份站点分配</x:v>
      </x:c>
      <x:c r="X26" s="14" t="str">
        <x:v>城市×月份站点分配</x:v>
      </x:c>
      <x:c r="Y26" s="14" t="str">
        <x:v>城市×月份站点分配</x:v>
      </x:c>
      <x:c r="Z26" s="14" t="str">
        <x:v>城市×月份站点分配</x:v>
      </x:c>
      <x:c r="AA26" s="14" t="str">
        <x:v>城市×月份站点分配</x:v>
      </x:c>
      <x:c r="AB26" s="14" t="str">
        <x:v>城市×月份站点分配</x:v>
      </x:c>
      <x:c r="AC26" s="14" t="str">
        <x:v>城市×月份站点分配</x:v>
      </x:c>
      <x:c r="AD26" s="14" t="str">
        <x:v>城市×月份站点分配</x:v>
      </x:c>
      <x:c r="AE26" s="14" t="str">
        <x:v>城市×月份站点分配</x:v>
      </x:c>
      <x:c r="AF26" s="14" t="str">
        <x:v>城市×月份站点分配</x:v>
      </x:c>
      <x:c r="AG26" s="14" t="str">
        <x:v>城市×月份站点分配</x:v>
      </x:c>
      <x:c r="AH26" s="15" t="str">
        <x:v>城市×月份站点分配</x:v>
      </x:c>
    </x:row>
    <x:row r="27">
      <x:c r="A27" s="13" t="str">
        <x:v>城市</x:v>
      </x:c>
      <x:c r="B27" s="14" t="str">
        <x:v>目标2枪站</x:v>
      </x:c>
      <x:c r="C27" s="14" t="str">
        <x:v>预留2枪站</x:v>
      </x:c>
      <x:c r="D27" s="14" t="str">
        <x:v>剩余2枪起点</x:v>
      </x:c>
      <x:c r="E27" s="14" t="str">
        <x:v>剩余2枪终点</x:v>
      </x:c>
      <x:c r="F27" s="14" t="str">
        <x:v>目标4枪站</x:v>
      </x:c>
      <x:c r="G27" s="14" t="str">
        <x:v>预留4枪站</x:v>
      </x:c>
      <x:c r="H27" s="14" t="str">
        <x:v>剩余4枪起点</x:v>
      </x:c>
      <x:c r="I27" s="14" t="str">
        <x:v>剩余4枪终点</x:v>
      </x:c>
      <x:c r="J27" s="14" t="str">
        <x:v>M1 2枪站</x:v>
      </x:c>
      <x:c r="K27" s="14" t="str">
        <x:v>M2 2枪站</x:v>
      </x:c>
      <x:c r="L27" s="14" t="str">
        <x:v>M3 2枪站</x:v>
      </x:c>
      <x:c r="M27" s="14" t="str">
        <x:v>M4 2枪站</x:v>
      </x:c>
      <x:c r="N27" s="14" t="str">
        <x:v>M5 2枪站</x:v>
      </x:c>
      <x:c r="O27" s="14" t="str">
        <x:v>M6 2枪站</x:v>
      </x:c>
      <x:c r="P27" s="14" t="str">
        <x:v>M7 2枪站</x:v>
      </x:c>
      <x:c r="Q27" s="14" t="str">
        <x:v>M8 2枪站</x:v>
      </x:c>
      <x:c r="R27" s="14" t="str">
        <x:v>M9 2枪站</x:v>
      </x:c>
      <x:c r="S27" s="14" t="str">
        <x:v>M10 2枪站</x:v>
      </x:c>
      <x:c r="T27" s="14" t="str">
        <x:v>M11 2枪站</x:v>
      </x:c>
      <x:c r="U27" s="14" t="str">
        <x:v>M12 2枪站</x:v>
      </x:c>
      <x:c r="V27" s="14" t="str">
        <x:v>M1 4枪站</x:v>
      </x:c>
      <x:c r="W27" s="14" t="str">
        <x:v>M2 4枪站</x:v>
      </x:c>
      <x:c r="X27" s="14" t="str">
        <x:v>M3 4枪站</x:v>
      </x:c>
      <x:c r="Y27" s="14" t="str">
        <x:v>M4 4枪站</x:v>
      </x:c>
      <x:c r="Z27" s="14" t="str">
        <x:v>M5 4枪站</x:v>
      </x:c>
      <x:c r="AA27" s="14" t="str">
        <x:v>M6 4枪站</x:v>
      </x:c>
      <x:c r="AB27" s="14" t="str">
        <x:v>M7 4枪站</x:v>
      </x:c>
      <x:c r="AC27" s="14" t="str">
        <x:v>M8 4枪站</x:v>
      </x:c>
      <x:c r="AD27" s="14" t="str">
        <x:v>M9 4枪站</x:v>
      </x:c>
      <x:c r="AE27" s="14" t="str">
        <x:v>M10 4枪站</x:v>
      </x:c>
      <x:c r="AF27" s="14" t="str">
        <x:v>M11 4枪站</x:v>
      </x:c>
      <x:c r="AG27" s="14" t="str">
        <x:v>M12 4枪站</x:v>
      </x:c>
      <x:c r="AH27" s="15" t="str">
        <x:v>分配枪数差</x:v>
      </x:c>
      <x:c r="AI27" s="119" t="str">
        <x:v>首批前6月实际上线</x:v>
      </x:c>
    </x:row>
    <x:row r="28">
      <x:c r="A28" t="str">
        <x:v>合肥</x:v>
      </x:c>
      <x:c r="B28" s="40" t="n">
        <x:f>INDEX('城市分配'!$M$6:$M$61,MATCH($A28,'城市分配'!$B$6:$B$61,0))</x:f>
        <x:v>172</x:v>
      </x:c>
      <x:c r="C28" s="40" t="n">
        <x:f>IF(AND(INDEX('城市分配'!$D$6:$D$61,MATCH($A28,'城市分配'!$B$6:$B$61,0))="是",B28&gt;0),1,0)</x:f>
        <x:v>1</x:v>
      </x:c>
      <x:c r="D28" s="37" t="n">
        <x:f>0</x:f>
        <x:v>0</x:v>
      </x:c>
      <x:c r="E28" s="37" t="n">
        <x:f>D28+B28-C28</x:f>
        <x:v>171</x:v>
      </x:c>
      <x:c r="F28" s="40" t="n">
        <x:f>INDEX('城市分配'!$L$6:$L$61,MATCH($A28,'城市分配'!$B$6:$B$61,0))</x:f>
        <x:v>114</x:v>
      </x:c>
      <x:c r="G28" s="40" t="n">
        <x:f>IF(AND(INDEX('城市分配'!$D$6:$D$61,MATCH($A28,'城市分配'!$B$6:$B$61,0))="是",F28&gt;0,B28=0),1,0)</x:f>
        <x:v>0</x:v>
      </x:c>
      <x:c r="H28" s="37" t="n">
        <x:f>0</x:f>
        <x:v>0</x:v>
      </x:c>
      <x:c r="I28" s="37" t="n">
        <x:f>H28+F28-G28</x:f>
        <x:v>114</x:v>
      </x:c>
      <x:c r="J28" s="40" t="n">
        <x:f>MAX(0,MIN($E28,J$19)-MAX($D28,J$18))+IF(AND($C28=1,INDEX('城市分配'!$P$6:$P$61,MATCH($A28,'城市分配'!$B$6:$B$61,0))=0),1,0)</x:f>
        <x:v>2</x:v>
      </x:c>
      <x:c r="K28" s="40" t="n">
        <x:f>MAX(0,MIN($E28,K$19)-MAX($D28,K$18))+IF(AND($C28=1,INDEX('城市分配'!$P$6:$P$61,MATCH($A28,'城市分配'!$B$6:$B$61,0))=1),1,0)</x:f>
        <x:v>1</x:v>
      </x:c>
      <x:c r="L28" s="40" t="n">
        <x:f>MAX(0,MIN($E28,L$19)-MAX($D28,L$18))+IF(AND($C28=1,INDEX('城市分配'!$P$6:$P$61,MATCH($A28,'城市分配'!$B$6:$B$61,0))=2),1,0)</x:f>
        <x:v>0</x:v>
      </x:c>
      <x:c r="M28" s="40" t="n">
        <x:f>MAX(0,MIN($E28,M$19)-MAX($D28,M$18))+IF(AND($C28=1,INDEX('城市分配'!$P$6:$P$61,MATCH($A28,'城市分配'!$B$6:$B$61,0))=3),1,0)</x:f>
        <x:v>0</x:v>
      </x:c>
      <x:c r="N28" s="40" t="n">
        <x:f>MAX(0,MIN($E28,N$19)-MAX($D28,N$18))+IF(AND($C28=1,INDEX('城市分配'!$P$6:$P$61,MATCH($A28,'城市分配'!$B$6:$B$61,0))=4),1,0)</x:f>
        <x:v>0</x:v>
      </x:c>
      <x:c r="O28" s="40" t="n">
        <x:f>MAX(0,MIN($E28,O$19)-MAX($D28,O$18))+IF(AND($C28=1,INDEX('城市分配'!$P$6:$P$61,MATCH($A28,'城市分配'!$B$6:$B$61,0))=5),1,0)</x:f>
        <x:v>0</x:v>
      </x:c>
      <x:c r="P28" s="40" t="n">
        <x:f>MAX(0,MIN($E28,P$19)-MAX($D28,P$18))+IF(AND($C28=1,INDEX('城市分配'!$P$6:$P$61,MATCH($A28,'城市分配'!$B$6:$B$61,0))=6),1,0)</x:f>
        <x:v>0</x:v>
      </x:c>
      <x:c r="Q28" s="40" t="n">
        <x:f>MAX(0,MIN($E28,Q$19)-MAX($D28,Q$18))+IF(AND($C28=1,INDEX('城市分配'!$P$6:$P$61,MATCH($A28,'城市分配'!$B$6:$B$61,0))=7),1,0)</x:f>
        <x:v>0</x:v>
      </x:c>
      <x:c r="R28" s="40" t="n">
        <x:f>MAX(0,MIN($E28,R$19)-MAX($D28,R$18))+IF(AND($C28=1,INDEX('城市分配'!$P$6:$P$61,MATCH($A28,'城市分配'!$B$6:$B$61,0))=8),1,0)</x:f>
        <x:v>169</x:v>
      </x:c>
      <x:c r="S28" s="40" t="n">
        <x:f>MAX(0,MIN($E28,S$19)-MAX($D28,S$18))+IF(AND($C28=1,INDEX('城市分配'!$P$6:$P$61,MATCH($A28,'城市分配'!$B$6:$B$61,0))=9),1,0)</x:f>
        <x:v>0</x:v>
      </x:c>
      <x:c r="T28" s="40" t="n">
        <x:f>MAX(0,MIN($E28,T$19)-MAX($D28,T$18))+IF(AND($C28=1,INDEX('城市分配'!$P$6:$P$61,MATCH($A28,'城市分配'!$B$6:$B$61,0))=10),1,0)</x:f>
        <x:v>0</x:v>
      </x:c>
      <x:c r="U28" s="40" t="n">
        <x:f>MAX(0,MIN($E28,U$19)-MAX($D28,U$18))+IF(AND($C28=1,INDEX('城市分配'!$P$6:$P$61,MATCH($A28,'城市分配'!$B$6:$B$61,0))=11),1,0)</x:f>
        <x:v>0</x:v>
      </x:c>
      <x:c r="V28" s="40" t="n">
        <x:f>MAX(0,MIN($I28,J$21)-MAX($H28,J$20))+IF(AND($G28=1,INDEX('城市分配'!$P$6:$P$61,MATCH($A28,'城市分配'!$B$6:$B$61,0))=0),1,0)</x:f>
        <x:v>114</x:v>
      </x:c>
      <x:c r="W28" s="40" t="n">
        <x:f>MAX(0,MIN($I28,K$21)-MAX($H28,K$20))+IF(AND($G28=1,INDEX('城市分配'!$P$6:$P$61,MATCH($A28,'城市分配'!$B$6:$B$61,0))=1),1,0)</x:f>
        <x:v>0</x:v>
      </x:c>
      <x:c r="X28" s="40" t="n">
        <x:f>MAX(0,MIN($I28,L$21)-MAX($H28,L$20))+IF(AND($G28=1,INDEX('城市分配'!$P$6:$P$61,MATCH($A28,'城市分配'!$B$6:$B$61,0))=2),1,0)</x:f>
        <x:v>0</x:v>
      </x:c>
      <x:c r="Y28" s="40" t="n">
        <x:f>MAX(0,MIN($I28,M$21)-MAX($H28,M$20))+IF(AND($G28=1,INDEX('城市分配'!$P$6:$P$61,MATCH($A28,'城市分配'!$B$6:$B$61,0))=3),1,0)</x:f>
        <x:v>0</x:v>
      </x:c>
      <x:c r="Z28" s="40" t="n">
        <x:f>MAX(0,MIN($I28,N$21)-MAX($H28,N$20))+IF(AND($G28=1,INDEX('城市分配'!$P$6:$P$61,MATCH($A28,'城市分配'!$B$6:$B$61,0))=4),1,0)</x:f>
        <x:v>0</x:v>
      </x:c>
      <x:c r="AA28" s="40" t="n">
        <x:f>MAX(0,MIN($I28,O$21)-MAX($H28,O$20))+IF(AND($G28=1,INDEX('城市分配'!$P$6:$P$61,MATCH($A28,'城市分配'!$B$6:$B$61,0))=5),1,0)</x:f>
        <x:v>0</x:v>
      </x:c>
      <x:c r="AB28" s="40" t="n">
        <x:f>MAX(0,MIN($I28,P$21)-MAX($H28,P$20))+IF(AND($G28=1,INDEX('城市分配'!$P$6:$P$61,MATCH($A28,'城市分配'!$B$6:$B$61,0))=6),1,0)</x:f>
        <x:v>0</x:v>
      </x:c>
      <x:c r="AC28" s="40" t="n">
        <x:f>MAX(0,MIN($I28,Q$21)-MAX($H28,Q$20))+IF(AND($G28=1,INDEX('城市分配'!$P$6:$P$61,MATCH($A28,'城市分配'!$B$6:$B$61,0))=7),1,0)</x:f>
        <x:v>0</x:v>
      </x:c>
      <x:c r="AD28" s="40" t="n">
        <x:f>MAX(0,MIN($I28,R$21)-MAX($H28,R$20))+IF(AND($G28=1,INDEX('城市分配'!$P$6:$P$61,MATCH($A28,'城市分配'!$B$6:$B$61,0))=8),1,0)</x:f>
        <x:v>0</x:v>
      </x:c>
      <x:c r="AE28" s="40" t="n">
        <x:f>MAX(0,MIN($I28,S$21)-MAX($H28,S$20))+IF(AND($G28=1,INDEX('城市分配'!$P$6:$P$61,MATCH($A28,'城市分配'!$B$6:$B$61,0))=9),1,0)</x:f>
        <x:v>0</x:v>
      </x:c>
      <x:c r="AF28" s="40" t="n">
        <x:f>MAX(0,MIN($I28,T$21)-MAX($H28,T$20))+IF(AND($G28=1,INDEX('城市分配'!$P$6:$P$61,MATCH($A28,'城市分配'!$B$6:$B$61,0))=10),1,0)</x:f>
        <x:v>0</x:v>
      </x:c>
      <x:c r="AG28" s="40" t="n">
        <x:f>MAX(0,MIN($I28,U$21)-MAX($H28,U$20))+IF(AND($G28=1,INDEX('城市分配'!$P$6:$P$61,MATCH($A28,'城市分配'!$B$6:$B$61,0))=11),1,0)</x:f>
        <x:v>0</x:v>
      </x:c>
      <x:c r="AH28" s="40" t="n">
        <x:f>2*SUM(J28:U28)+4*SUM(V28:AG28)-INDEX('城市分配'!$J$6:$J$61,MATCH($A28,'城市分配'!$B$6:$B$61,0))</x:f>
        <x:v>0</x:v>
      </x:c>
      <x:c r="AI28" s="40" t="n">
        <x:f>IF(INDEX('城市分配'!$D$6:$D$61,MATCH($A28,'城市分配'!$B$6:$B$61,0))="是",--(SUM($J28:$O28)+SUM($V28:$AA28)&gt;0),0)</x:f>
        <x:v>1</x:v>
      </x:c>
    </x:row>
    <x:row r="29">
      <x:c r="A29" t="str">
        <x:v>淮南</x:v>
      </x:c>
      <x:c r="B29" s="40" t="n">
        <x:f>INDEX('城市分配'!$M$6:$M$61,MATCH($A29,'城市分配'!$B$6:$B$61,0))</x:f>
        <x:v>86</x:v>
      </x:c>
      <x:c r="C29" s="40" t="n">
        <x:f>IF(AND(INDEX('城市分配'!$D$6:$D$61,MATCH($A29,'城市分配'!$B$6:$B$61,0))="是",B29&gt;0),1,0)</x:f>
        <x:v>1</x:v>
      </x:c>
      <x:c r="D29" s="37" t="n">
        <x:f>SUM($B$28:B28)-SUM($C$28:C28)</x:f>
        <x:v>171</x:v>
      </x:c>
      <x:c r="E29" s="37" t="n">
        <x:f>D29+B29-C29</x:f>
        <x:v>256</x:v>
      </x:c>
      <x:c r="F29" s="40" t="n">
        <x:f>INDEX('城市分配'!$L$6:$L$61,MATCH($A29,'城市分配'!$B$6:$B$61,0))</x:f>
        <x:v>57</x:v>
      </x:c>
      <x:c r="G29" s="40" t="n">
        <x:f>IF(AND(INDEX('城市分配'!$D$6:$D$61,MATCH($A29,'城市分配'!$B$6:$B$61,0))="是",F29&gt;0,B29=0),1,0)</x:f>
        <x:v>0</x:v>
      </x:c>
      <x:c r="H29" s="37" t="n">
        <x:f>SUM($F$28:F28)-SUM($G$28:G28)</x:f>
        <x:v>114</x:v>
      </x:c>
      <x:c r="I29" s="37" t="n">
        <x:f>H29+F29-G29</x:f>
        <x:v>171</x:v>
      </x:c>
      <x:c r="J29" s="40" t="n">
        <x:f>MAX(0,MIN($E29,J$19)-MAX($D29,J$18))+IF(AND($C29=1,INDEX('城市分配'!$P$6:$P$61,MATCH($A29,'城市分配'!$B$6:$B$61,0))=0),1,0)</x:f>
        <x:v>0</x:v>
      </x:c>
      <x:c r="K29" s="40" t="n">
        <x:f>MAX(0,MIN($E29,K$19)-MAX($D29,K$18))+IF(AND($C29=1,INDEX('城市分配'!$P$6:$P$61,MATCH($A29,'城市分配'!$B$6:$B$61,0))=1),1,0)</x:f>
        <x:v>1</x:v>
      </x:c>
      <x:c r="L29" s="40" t="n">
        <x:f>MAX(0,MIN($E29,L$19)-MAX($D29,L$18))+IF(AND($C29=1,INDEX('城市分配'!$P$6:$P$61,MATCH($A29,'城市分配'!$B$6:$B$61,0))=2),1,0)</x:f>
        <x:v>0</x:v>
      </x:c>
      <x:c r="M29" s="40" t="n">
        <x:f>MAX(0,MIN($E29,M$19)-MAX($D29,M$18))+IF(AND($C29=1,INDEX('城市分配'!$P$6:$P$61,MATCH($A29,'城市分配'!$B$6:$B$61,0))=3),1,0)</x:f>
        <x:v>0</x:v>
      </x:c>
      <x:c r="N29" s="40" t="n">
        <x:f>MAX(0,MIN($E29,N$19)-MAX($D29,N$18))+IF(AND($C29=1,INDEX('城市分配'!$P$6:$P$61,MATCH($A29,'城市分配'!$B$6:$B$61,0))=4),1,0)</x:f>
        <x:v>0</x:v>
      </x:c>
      <x:c r="O29" s="40" t="n">
        <x:f>MAX(0,MIN($E29,O$19)-MAX($D29,O$18))+IF(AND($C29=1,INDEX('城市分配'!$P$6:$P$61,MATCH($A29,'城市分配'!$B$6:$B$61,0))=5),1,0)</x:f>
        <x:v>0</x:v>
      </x:c>
      <x:c r="P29" s="40" t="n">
        <x:f>MAX(0,MIN($E29,P$19)-MAX($D29,P$18))+IF(AND($C29=1,INDEX('城市分配'!$P$6:$P$61,MATCH($A29,'城市分配'!$B$6:$B$61,0))=6),1,0)</x:f>
        <x:v>0</x:v>
      </x:c>
      <x:c r="Q29" s="40" t="n">
        <x:f>MAX(0,MIN($E29,Q$19)-MAX($D29,Q$18))+IF(AND($C29=1,INDEX('城市分配'!$P$6:$P$61,MATCH($A29,'城市分配'!$B$6:$B$61,0))=7),1,0)</x:f>
        <x:v>0</x:v>
      </x:c>
      <x:c r="R29" s="40" t="n">
        <x:f>MAX(0,MIN($E29,R$19)-MAX($D29,R$18))+IF(AND($C29=1,INDEX('城市分配'!$P$6:$P$61,MATCH($A29,'城市分配'!$B$6:$B$61,0))=8),1,0)</x:f>
        <x:v>85</x:v>
      </x:c>
      <x:c r="S29" s="40" t="n">
        <x:f>MAX(0,MIN($E29,S$19)-MAX($D29,S$18))+IF(AND($C29=1,INDEX('城市分配'!$P$6:$P$61,MATCH($A29,'城市分配'!$B$6:$B$61,0))=9),1,0)</x:f>
        <x:v>0</x:v>
      </x:c>
      <x:c r="T29" s="40" t="n">
        <x:f>MAX(0,MIN($E29,T$19)-MAX($D29,T$18))+IF(AND($C29=1,INDEX('城市分配'!$P$6:$P$61,MATCH($A29,'城市分配'!$B$6:$B$61,0))=10),1,0)</x:f>
        <x:v>0</x:v>
      </x:c>
      <x:c r="U29" s="40" t="n">
        <x:f>MAX(0,MIN($E29,U$19)-MAX($D29,U$18))+IF(AND($C29=1,INDEX('城市分配'!$P$6:$P$61,MATCH($A29,'城市分配'!$B$6:$B$61,0))=11),1,0)</x:f>
        <x:v>0</x:v>
      </x:c>
      <x:c r="V29" s="40" t="n">
        <x:f>MAX(0,MIN($I29,J$21)-MAX($H29,J$20))+IF(AND($G29=1,INDEX('城市分配'!$P$6:$P$61,MATCH($A29,'城市分配'!$B$6:$B$61,0))=0),1,0)</x:f>
        <x:v>57</x:v>
      </x:c>
      <x:c r="W29" s="40" t="n">
        <x:f>MAX(0,MIN($I29,K$21)-MAX($H29,K$20))+IF(AND($G29=1,INDEX('城市分配'!$P$6:$P$61,MATCH($A29,'城市分配'!$B$6:$B$61,0))=1),1,0)</x:f>
        <x:v>0</x:v>
      </x:c>
      <x:c r="X29" s="40" t="n">
        <x:f>MAX(0,MIN($I29,L$21)-MAX($H29,L$20))+IF(AND($G29=1,INDEX('城市分配'!$P$6:$P$61,MATCH($A29,'城市分配'!$B$6:$B$61,0))=2),1,0)</x:f>
        <x:v>0</x:v>
      </x:c>
      <x:c r="Y29" s="40" t="n">
        <x:f>MAX(0,MIN($I29,M$21)-MAX($H29,M$20))+IF(AND($G29=1,INDEX('城市分配'!$P$6:$P$61,MATCH($A29,'城市分配'!$B$6:$B$61,0))=3),1,0)</x:f>
        <x:v>0</x:v>
      </x:c>
      <x:c r="Z29" s="40" t="n">
        <x:f>MAX(0,MIN($I29,N$21)-MAX($H29,N$20))+IF(AND($G29=1,INDEX('城市分配'!$P$6:$P$61,MATCH($A29,'城市分配'!$B$6:$B$61,0))=4),1,0)</x:f>
        <x:v>0</x:v>
      </x:c>
      <x:c r="AA29" s="40" t="n">
        <x:f>MAX(0,MIN($I29,O$21)-MAX($H29,O$20))+IF(AND($G29=1,INDEX('城市分配'!$P$6:$P$61,MATCH($A29,'城市分配'!$B$6:$B$61,0))=5),1,0)</x:f>
        <x:v>0</x:v>
      </x:c>
      <x:c r="AB29" s="40" t="n">
        <x:f>MAX(0,MIN($I29,P$21)-MAX($H29,P$20))+IF(AND($G29=1,INDEX('城市分配'!$P$6:$P$61,MATCH($A29,'城市分配'!$B$6:$B$61,0))=6),1,0)</x:f>
        <x:v>0</x:v>
      </x:c>
      <x:c r="AC29" s="40" t="n">
        <x:f>MAX(0,MIN($I29,Q$21)-MAX($H29,Q$20))+IF(AND($G29=1,INDEX('城市分配'!$P$6:$P$61,MATCH($A29,'城市分配'!$B$6:$B$61,0))=7),1,0)</x:f>
        <x:v>0</x:v>
      </x:c>
      <x:c r="AD29" s="40" t="n">
        <x:f>MAX(0,MIN($I29,R$21)-MAX($H29,R$20))+IF(AND($G29=1,INDEX('城市分配'!$P$6:$P$61,MATCH($A29,'城市分配'!$B$6:$B$61,0))=8),1,0)</x:f>
        <x:v>0</x:v>
      </x:c>
      <x:c r="AE29" s="40" t="n">
        <x:f>MAX(0,MIN($I29,S$21)-MAX($H29,S$20))+IF(AND($G29=1,INDEX('城市分配'!$P$6:$P$61,MATCH($A29,'城市分配'!$B$6:$B$61,0))=9),1,0)</x:f>
        <x:v>0</x:v>
      </x:c>
      <x:c r="AF29" s="40" t="n">
        <x:f>MAX(0,MIN($I29,T$21)-MAX($H29,T$20))+IF(AND($G29=1,INDEX('城市分配'!$P$6:$P$61,MATCH($A29,'城市分配'!$B$6:$B$61,0))=10),1,0)</x:f>
        <x:v>0</x:v>
      </x:c>
      <x:c r="AG29" s="40" t="n">
        <x:f>MAX(0,MIN($I29,U$21)-MAX($H29,U$20))+IF(AND($G29=1,INDEX('城市分配'!$P$6:$P$61,MATCH($A29,'城市分配'!$B$6:$B$61,0))=11),1,0)</x:f>
        <x:v>0</x:v>
      </x:c>
      <x:c r="AH29" s="40" t="n">
        <x:f>2*SUM(J29:U29)+4*SUM(V29:AG29)-INDEX('城市分配'!$J$6:$J$61,MATCH($A29,'城市分配'!$B$6:$B$61,0))</x:f>
        <x:v>0</x:v>
      </x:c>
      <x:c r="AI29" s="40" t="n">
        <x:f>IF(INDEX('城市分配'!$D$6:$D$61,MATCH($A29,'城市分配'!$B$6:$B$61,0))="是",--(SUM($J29:$O29)+SUM($V29:$AA29)&gt;0),0)</x:f>
        <x:v>1</x:v>
      </x:c>
    </x:row>
    <x:row r="30">
      <x:c r="A30" t="str">
        <x:v>芜湖</x:v>
      </x:c>
      <x:c r="B30" s="40" t="n">
        <x:f>INDEX('城市分配'!$M$6:$M$61,MATCH($A30,'城市分配'!$B$6:$B$61,0))</x:f>
        <x:v>36</x:v>
      </x:c>
      <x:c r="C30" s="40" t="n">
        <x:f>IF(AND(INDEX('城市分配'!$D$6:$D$61,MATCH($A30,'城市分配'!$B$6:$B$61,0))="是",B30&gt;0),1,0)</x:f>
        <x:v>1</x:v>
      </x:c>
      <x:c r="D30" s="37" t="n">
        <x:f>SUM($B$28:B29)-SUM($C$28:C29)</x:f>
        <x:v>256</x:v>
      </x:c>
      <x:c r="E30" s="37" t="n">
        <x:f>D30+B30-C30</x:f>
        <x:v>291</x:v>
      </x:c>
      <x:c r="F30" s="40" t="n">
        <x:f>INDEX('城市分配'!$L$6:$L$61,MATCH($A30,'城市分配'!$B$6:$B$61,0))</x:f>
        <x:v>82</x:v>
      </x:c>
      <x:c r="G30" s="40" t="n">
        <x:f>IF(AND(INDEX('城市分配'!$D$6:$D$61,MATCH($A30,'城市分配'!$B$6:$B$61,0))="是",F30&gt;0,B30=0),1,0)</x:f>
        <x:v>0</x:v>
      </x:c>
      <x:c r="H30" s="37" t="n">
        <x:f>SUM($F$28:F29)-SUM($G$28:G29)</x:f>
        <x:v>171</x:v>
      </x:c>
      <x:c r="I30" s="37" t="n">
        <x:f>H30+F30-G30</x:f>
        <x:v>253</x:v>
      </x:c>
      <x:c r="J30" s="40" t="n">
        <x:f>MAX(0,MIN($E30,J$19)-MAX($D30,J$18))+IF(AND($C30=1,INDEX('城市分配'!$P$6:$P$61,MATCH($A30,'城市分配'!$B$6:$B$61,0))=0),1,0)</x:f>
        <x:v>0</x:v>
      </x:c>
      <x:c r="K30" s="40" t="n">
        <x:f>MAX(0,MIN($E30,K$19)-MAX($D30,K$18))+IF(AND($C30=1,INDEX('城市分配'!$P$6:$P$61,MATCH($A30,'城市分配'!$B$6:$B$61,0))=1),1,0)</x:f>
        <x:v>0</x:v>
      </x:c>
      <x:c r="L30" s="40" t="n">
        <x:f>MAX(0,MIN($E30,L$19)-MAX($D30,L$18))+IF(AND($C30=1,INDEX('城市分配'!$P$6:$P$61,MATCH($A30,'城市分配'!$B$6:$B$61,0))=2),1,0)</x:f>
        <x:v>1</x:v>
      </x:c>
      <x:c r="M30" s="40" t="n">
        <x:f>MAX(0,MIN($E30,M$19)-MAX($D30,M$18))+IF(AND($C30=1,INDEX('城市分配'!$P$6:$P$61,MATCH($A30,'城市分配'!$B$6:$B$61,0))=3),1,0)</x:f>
        <x:v>0</x:v>
      </x:c>
      <x:c r="N30" s="40" t="n">
        <x:f>MAX(0,MIN($E30,N$19)-MAX($D30,N$18))+IF(AND($C30=1,INDEX('城市分配'!$P$6:$P$61,MATCH($A30,'城市分配'!$B$6:$B$61,0))=4),1,0)</x:f>
        <x:v>0</x:v>
      </x:c>
      <x:c r="O30" s="40" t="n">
        <x:f>MAX(0,MIN($E30,O$19)-MAX($D30,O$18))+IF(AND($C30=1,INDEX('城市分配'!$P$6:$P$61,MATCH($A30,'城市分配'!$B$6:$B$61,0))=5),1,0)</x:f>
        <x:v>0</x:v>
      </x:c>
      <x:c r="P30" s="40" t="n">
        <x:f>MAX(0,MIN($E30,P$19)-MAX($D30,P$18))+IF(AND($C30=1,INDEX('城市分配'!$P$6:$P$61,MATCH($A30,'城市分配'!$B$6:$B$61,0))=6),1,0)</x:f>
        <x:v>0</x:v>
      </x:c>
      <x:c r="Q30" s="40" t="n">
        <x:f>MAX(0,MIN($E30,Q$19)-MAX($D30,Q$18))+IF(AND($C30=1,INDEX('城市分配'!$P$6:$P$61,MATCH($A30,'城市分配'!$B$6:$B$61,0))=7),1,0)</x:f>
        <x:v>0</x:v>
      </x:c>
      <x:c r="R30" s="40" t="n">
        <x:f>MAX(0,MIN($E30,R$19)-MAX($D30,R$18))+IF(AND($C30=1,INDEX('城市分配'!$P$6:$P$61,MATCH($A30,'城市分配'!$B$6:$B$61,0))=8),1,0)</x:f>
        <x:v>35</x:v>
      </x:c>
      <x:c r="S30" s="40" t="n">
        <x:f>MAX(0,MIN($E30,S$19)-MAX($D30,S$18))+IF(AND($C30=1,INDEX('城市分配'!$P$6:$P$61,MATCH($A30,'城市分配'!$B$6:$B$61,0))=9),1,0)</x:f>
        <x:v>0</x:v>
      </x:c>
      <x:c r="T30" s="40" t="n">
        <x:f>MAX(0,MIN($E30,T$19)-MAX($D30,T$18))+IF(AND($C30=1,INDEX('城市分配'!$P$6:$P$61,MATCH($A30,'城市分配'!$B$6:$B$61,0))=10),1,0)</x:f>
        <x:v>0</x:v>
      </x:c>
      <x:c r="U30" s="40" t="n">
        <x:f>MAX(0,MIN($E30,U$19)-MAX($D30,U$18))+IF(AND($C30=1,INDEX('城市分配'!$P$6:$P$61,MATCH($A30,'城市分配'!$B$6:$B$61,0))=11),1,0)</x:f>
        <x:v>0</x:v>
      </x:c>
      <x:c r="V30" s="40" t="n">
        <x:f>MAX(0,MIN($I30,J$21)-MAX($H30,J$20))+IF(AND($G30=1,INDEX('城市分配'!$P$6:$P$61,MATCH($A30,'城市分配'!$B$6:$B$61,0))=0),1,0)</x:f>
        <x:v>82</x:v>
      </x:c>
      <x:c r="W30" s="40" t="n">
        <x:f>MAX(0,MIN($I30,K$21)-MAX($H30,K$20))+IF(AND($G30=1,INDEX('城市分配'!$P$6:$P$61,MATCH($A30,'城市分配'!$B$6:$B$61,0))=1),1,0)</x:f>
        <x:v>0</x:v>
      </x:c>
      <x:c r="X30" s="40" t="n">
        <x:f>MAX(0,MIN($I30,L$21)-MAX($H30,L$20))+IF(AND($G30=1,INDEX('城市分配'!$P$6:$P$61,MATCH($A30,'城市分配'!$B$6:$B$61,0))=2),1,0)</x:f>
        <x:v>0</x:v>
      </x:c>
      <x:c r="Y30" s="40" t="n">
        <x:f>MAX(0,MIN($I30,M$21)-MAX($H30,M$20))+IF(AND($G30=1,INDEX('城市分配'!$P$6:$P$61,MATCH($A30,'城市分配'!$B$6:$B$61,0))=3),1,0)</x:f>
        <x:v>0</x:v>
      </x:c>
      <x:c r="Z30" s="40" t="n">
        <x:f>MAX(0,MIN($I30,N$21)-MAX($H30,N$20))+IF(AND($G30=1,INDEX('城市分配'!$P$6:$P$61,MATCH($A30,'城市分配'!$B$6:$B$61,0))=4),1,0)</x:f>
        <x:v>0</x:v>
      </x:c>
      <x:c r="AA30" s="40" t="n">
        <x:f>MAX(0,MIN($I30,O$21)-MAX($H30,O$20))+IF(AND($G30=1,INDEX('城市分配'!$P$6:$P$61,MATCH($A30,'城市分配'!$B$6:$B$61,0))=5),1,0)</x:f>
        <x:v>0</x:v>
      </x:c>
      <x:c r="AB30" s="40" t="n">
        <x:f>MAX(0,MIN($I30,P$21)-MAX($H30,P$20))+IF(AND($G30=1,INDEX('城市分配'!$P$6:$P$61,MATCH($A30,'城市分配'!$B$6:$B$61,0))=6),1,0)</x:f>
        <x:v>0</x:v>
      </x:c>
      <x:c r="AC30" s="40" t="n">
        <x:f>MAX(0,MIN($I30,Q$21)-MAX($H30,Q$20))+IF(AND($G30=1,INDEX('城市分配'!$P$6:$P$61,MATCH($A30,'城市分配'!$B$6:$B$61,0))=7),1,0)</x:f>
        <x:v>0</x:v>
      </x:c>
      <x:c r="AD30" s="40" t="n">
        <x:f>MAX(0,MIN($I30,R$21)-MAX($H30,R$20))+IF(AND($G30=1,INDEX('城市分配'!$P$6:$P$61,MATCH($A30,'城市分配'!$B$6:$B$61,0))=8),1,0)</x:f>
        <x:v>0</x:v>
      </x:c>
      <x:c r="AE30" s="40" t="n">
        <x:f>MAX(0,MIN($I30,S$21)-MAX($H30,S$20))+IF(AND($G30=1,INDEX('城市分配'!$P$6:$P$61,MATCH($A30,'城市分配'!$B$6:$B$61,0))=9),1,0)</x:f>
        <x:v>0</x:v>
      </x:c>
      <x:c r="AF30" s="40" t="n">
        <x:f>MAX(0,MIN($I30,T$21)-MAX($H30,T$20))+IF(AND($G30=1,INDEX('城市分配'!$P$6:$P$61,MATCH($A30,'城市分配'!$B$6:$B$61,0))=10),1,0)</x:f>
        <x:v>0</x:v>
      </x:c>
      <x:c r="AG30" s="40" t="n">
        <x:f>MAX(0,MIN($I30,U$21)-MAX($H30,U$20))+IF(AND($G30=1,INDEX('城市分配'!$P$6:$P$61,MATCH($A30,'城市分配'!$B$6:$B$61,0))=11),1,0)</x:f>
        <x:v>0</x:v>
      </x:c>
      <x:c r="AH30" s="40" t="n">
        <x:f>2*SUM(J30:U30)+4*SUM(V30:AG30)-INDEX('城市分配'!$J$6:$J$61,MATCH($A30,'城市分配'!$B$6:$B$61,0))</x:f>
        <x:v>0</x:v>
      </x:c>
      <x:c r="AI30" s="40" t="n">
        <x:f>IF(INDEX('城市分配'!$D$6:$D$61,MATCH($A30,'城市分配'!$B$6:$B$61,0))="是",--(SUM($J30:$O30)+SUM($V30:$AA30)&gt;0),0)</x:f>
        <x:v>1</x:v>
      </x:c>
    </x:row>
    <x:row r="31">
      <x:c r="A31" t="str">
        <x:v>阜阳</x:v>
      </x:c>
      <x:c r="B31" s="40" t="n">
        <x:f>INDEX('城市分配'!$M$6:$M$61,MATCH($A31,'城市分配'!$B$6:$B$61,0))</x:f>
        <x:v>36</x:v>
      </x:c>
      <x:c r="C31" s="40" t="n">
        <x:f>IF(AND(INDEX('城市分配'!$D$6:$D$61,MATCH($A31,'城市分配'!$B$6:$B$61,0))="是",B31&gt;0),1,0)</x:f>
        <x:v>1</x:v>
      </x:c>
      <x:c r="D31" s="37" t="n">
        <x:f>SUM($B$28:B30)-SUM($C$28:C30)</x:f>
        <x:v>291</x:v>
      </x:c>
      <x:c r="E31" s="37" t="n">
        <x:f>D31+B31-C31</x:f>
        <x:v>326</x:v>
      </x:c>
      <x:c r="F31" s="40" t="n">
        <x:f>INDEX('城市分配'!$L$6:$L$61,MATCH($A31,'城市分配'!$B$6:$B$61,0))</x:f>
        <x:v>82</x:v>
      </x:c>
      <x:c r="G31" s="40" t="n">
        <x:f>IF(AND(INDEX('城市分配'!$D$6:$D$61,MATCH($A31,'城市分配'!$B$6:$B$61,0))="是",F31&gt;0,B31=0),1,0)</x:f>
        <x:v>0</x:v>
      </x:c>
      <x:c r="H31" s="37" t="n">
        <x:f>SUM($F$28:F30)-SUM($G$28:G30)</x:f>
        <x:v>253</x:v>
      </x:c>
      <x:c r="I31" s="37" t="n">
        <x:f>H31+F31-G31</x:f>
        <x:v>335</x:v>
      </x:c>
      <x:c r="J31" s="40" t="n">
        <x:f>MAX(0,MIN($E31,J$19)-MAX($D31,J$18))+IF(AND($C31=1,INDEX('城市分配'!$P$6:$P$61,MATCH($A31,'城市分配'!$B$6:$B$61,0))=0),1,0)</x:f>
        <x:v>0</x:v>
      </x:c>
      <x:c r="K31" s="40" t="n">
        <x:f>MAX(0,MIN($E31,K$19)-MAX($D31,K$18))+IF(AND($C31=1,INDEX('城市分配'!$P$6:$P$61,MATCH($A31,'城市分配'!$B$6:$B$61,0))=1),1,0)</x:f>
        <x:v>0</x:v>
      </x:c>
      <x:c r="L31" s="40" t="n">
        <x:f>MAX(0,MIN($E31,L$19)-MAX($D31,L$18))+IF(AND($C31=1,INDEX('城市分配'!$P$6:$P$61,MATCH($A31,'城市分配'!$B$6:$B$61,0))=2),1,0)</x:f>
        <x:v>0</x:v>
      </x:c>
      <x:c r="M31" s="40" t="n">
        <x:f>MAX(0,MIN($E31,M$19)-MAX($D31,M$18))+IF(AND($C31=1,INDEX('城市分配'!$P$6:$P$61,MATCH($A31,'城市分配'!$B$6:$B$61,0))=3),1,0)</x:f>
        <x:v>1</x:v>
      </x:c>
      <x:c r="N31" s="40" t="n">
        <x:f>MAX(0,MIN($E31,N$19)-MAX($D31,N$18))+IF(AND($C31=1,INDEX('城市分配'!$P$6:$P$61,MATCH($A31,'城市分配'!$B$6:$B$61,0))=4),1,0)</x:f>
        <x:v>0</x:v>
      </x:c>
      <x:c r="O31" s="40" t="n">
        <x:f>MAX(0,MIN($E31,O$19)-MAX($D31,O$18))+IF(AND($C31=1,INDEX('城市分配'!$P$6:$P$61,MATCH($A31,'城市分配'!$B$6:$B$61,0))=5),1,0)</x:f>
        <x:v>0</x:v>
      </x:c>
      <x:c r="P31" s="40" t="n">
        <x:f>MAX(0,MIN($E31,P$19)-MAX($D31,P$18))+IF(AND($C31=1,INDEX('城市分配'!$P$6:$P$61,MATCH($A31,'城市分配'!$B$6:$B$61,0))=6),1,0)</x:f>
        <x:v>0</x:v>
      </x:c>
      <x:c r="Q31" s="40" t="n">
        <x:f>MAX(0,MIN($E31,Q$19)-MAX($D31,Q$18))+IF(AND($C31=1,INDEX('城市分配'!$P$6:$P$61,MATCH($A31,'城市分配'!$B$6:$B$61,0))=7),1,0)</x:f>
        <x:v>0</x:v>
      </x:c>
      <x:c r="R31" s="40" t="n">
        <x:f>MAX(0,MIN($E31,R$19)-MAX($D31,R$18))+IF(AND($C31=1,INDEX('城市分配'!$P$6:$P$61,MATCH($A31,'城市分配'!$B$6:$B$61,0))=8),1,0)</x:f>
        <x:v>35</x:v>
      </x:c>
      <x:c r="S31" s="40" t="n">
        <x:f>MAX(0,MIN($E31,S$19)-MAX($D31,S$18))+IF(AND($C31=1,INDEX('城市分配'!$P$6:$P$61,MATCH($A31,'城市分配'!$B$6:$B$61,0))=9),1,0)</x:f>
        <x:v>0</x:v>
      </x:c>
      <x:c r="T31" s="40" t="n">
        <x:f>MAX(0,MIN($E31,T$19)-MAX($D31,T$18))+IF(AND($C31=1,INDEX('城市分配'!$P$6:$P$61,MATCH($A31,'城市分配'!$B$6:$B$61,0))=10),1,0)</x:f>
        <x:v>0</x:v>
      </x:c>
      <x:c r="U31" s="40" t="n">
        <x:f>MAX(0,MIN($E31,U$19)-MAX($D31,U$18))+IF(AND($C31=1,INDEX('城市分配'!$P$6:$P$61,MATCH($A31,'城市分配'!$B$6:$B$61,0))=11),1,0)</x:f>
        <x:v>0</x:v>
      </x:c>
      <x:c r="V31" s="40" t="n">
        <x:f>MAX(0,MIN($I31,J$21)-MAX($H31,J$20))+IF(AND($G31=1,INDEX('城市分配'!$P$6:$P$61,MATCH($A31,'城市分配'!$B$6:$B$61,0))=0),1,0)</x:f>
        <x:v>82</x:v>
      </x:c>
      <x:c r="W31" s="40" t="n">
        <x:f>MAX(0,MIN($I31,K$21)-MAX($H31,K$20))+IF(AND($G31=1,INDEX('城市分配'!$P$6:$P$61,MATCH($A31,'城市分配'!$B$6:$B$61,0))=1),1,0)</x:f>
        <x:v>0</x:v>
      </x:c>
      <x:c r="X31" s="40" t="n">
        <x:f>MAX(0,MIN($I31,L$21)-MAX($H31,L$20))+IF(AND($G31=1,INDEX('城市分配'!$P$6:$P$61,MATCH($A31,'城市分配'!$B$6:$B$61,0))=2),1,0)</x:f>
        <x:v>0</x:v>
      </x:c>
      <x:c r="Y31" s="40" t="n">
        <x:f>MAX(0,MIN($I31,M$21)-MAX($H31,M$20))+IF(AND($G31=1,INDEX('城市分配'!$P$6:$P$61,MATCH($A31,'城市分配'!$B$6:$B$61,0))=3),1,0)</x:f>
        <x:v>0</x:v>
      </x:c>
      <x:c r="Z31" s="40" t="n">
        <x:f>MAX(0,MIN($I31,N$21)-MAX($H31,N$20))+IF(AND($G31=1,INDEX('城市分配'!$P$6:$P$61,MATCH($A31,'城市分配'!$B$6:$B$61,0))=4),1,0)</x:f>
        <x:v>0</x:v>
      </x:c>
      <x:c r="AA31" s="40" t="n">
        <x:f>MAX(0,MIN($I31,O$21)-MAX($H31,O$20))+IF(AND($G31=1,INDEX('城市分配'!$P$6:$P$61,MATCH($A31,'城市分配'!$B$6:$B$61,0))=5),1,0)</x:f>
        <x:v>0</x:v>
      </x:c>
      <x:c r="AB31" s="40" t="n">
        <x:f>MAX(0,MIN($I31,P$21)-MAX($H31,P$20))+IF(AND($G31=1,INDEX('城市分配'!$P$6:$P$61,MATCH($A31,'城市分配'!$B$6:$B$61,0))=6),1,0)</x:f>
        <x:v>0</x:v>
      </x:c>
      <x:c r="AC31" s="40" t="n">
        <x:f>MAX(0,MIN($I31,Q$21)-MAX($H31,Q$20))+IF(AND($G31=1,INDEX('城市分配'!$P$6:$P$61,MATCH($A31,'城市分配'!$B$6:$B$61,0))=7),1,0)</x:f>
        <x:v>0</x:v>
      </x:c>
      <x:c r="AD31" s="40" t="n">
        <x:f>MAX(0,MIN($I31,R$21)-MAX($H31,R$20))+IF(AND($G31=1,INDEX('城市分配'!$P$6:$P$61,MATCH($A31,'城市分配'!$B$6:$B$61,0))=8),1,0)</x:f>
        <x:v>0</x:v>
      </x:c>
      <x:c r="AE31" s="40" t="n">
        <x:f>MAX(0,MIN($I31,S$21)-MAX($H31,S$20))+IF(AND($G31=1,INDEX('城市分配'!$P$6:$P$61,MATCH($A31,'城市分配'!$B$6:$B$61,0))=9),1,0)</x:f>
        <x:v>0</x:v>
      </x:c>
      <x:c r="AF31" s="40" t="n">
        <x:f>MAX(0,MIN($I31,T$21)-MAX($H31,T$20))+IF(AND($G31=1,INDEX('城市分配'!$P$6:$P$61,MATCH($A31,'城市分配'!$B$6:$B$61,0))=10),1,0)</x:f>
        <x:v>0</x:v>
      </x:c>
      <x:c r="AG31" s="40" t="n">
        <x:f>MAX(0,MIN($I31,U$21)-MAX($H31,U$20))+IF(AND($G31=1,INDEX('城市分配'!$P$6:$P$61,MATCH($A31,'城市分配'!$B$6:$B$61,0))=11),1,0)</x:f>
        <x:v>0</x:v>
      </x:c>
      <x:c r="AH31" s="40" t="n">
        <x:f>2*SUM(J31:U31)+4*SUM(V31:AG31)-INDEX('城市分配'!$J$6:$J$61,MATCH($A31,'城市分配'!$B$6:$B$61,0))</x:f>
        <x:v>0</x:v>
      </x:c>
      <x:c r="AI31" s="40" t="n">
        <x:f>IF(INDEX('城市分配'!$D$6:$D$61,MATCH($A31,'城市分配'!$B$6:$B$61,0))="是",--(SUM($J31:$O31)+SUM($V31:$AA31)&gt;0),0)</x:f>
        <x:v>1</x:v>
      </x:c>
    </x:row>
    <x:row r="32">
      <x:c r="A32" t="str">
        <x:v>宁波</x:v>
      </x:c>
      <x:c r="B32" s="40" t="n">
        <x:f>INDEX('城市分配'!$M$6:$M$61,MATCH($A32,'城市分配'!$B$6:$B$61,0))</x:f>
        <x:v>172</x:v>
      </x:c>
      <x:c r="C32" s="40" t="n">
        <x:f>IF(AND(INDEX('城市分配'!$D$6:$D$61,MATCH($A32,'城市分配'!$B$6:$B$61,0))="是",B32&gt;0),1,0)</x:f>
        <x:v>1</x:v>
      </x:c>
      <x:c r="D32" s="37" t="n">
        <x:f>SUM($B$28:B31)-SUM($C$28:C31)</x:f>
        <x:v>326</x:v>
      </x:c>
      <x:c r="E32" s="37" t="n">
        <x:f>D32+B32-C32</x:f>
        <x:v>497</x:v>
      </x:c>
      <x:c r="F32" s="40" t="n">
        <x:f>INDEX('城市分配'!$L$6:$L$61,MATCH($A32,'城市分配'!$B$6:$B$61,0))</x:f>
        <x:v>114</x:v>
      </x:c>
      <x:c r="G32" s="40" t="n">
        <x:f>IF(AND(INDEX('城市分配'!$D$6:$D$61,MATCH($A32,'城市分配'!$B$6:$B$61,0))="是",F32&gt;0,B32=0),1,0)</x:f>
        <x:v>0</x:v>
      </x:c>
      <x:c r="H32" s="37" t="n">
        <x:f>SUM($F$28:F31)-SUM($G$28:G31)</x:f>
        <x:v>335</x:v>
      </x:c>
      <x:c r="I32" s="37" t="n">
        <x:f>H32+F32-G32</x:f>
        <x:v>449</x:v>
      </x:c>
      <x:c r="J32" s="40" t="n">
        <x:f>MAX(0,MIN($E32,J$19)-MAX($D32,J$18))+IF(AND($C32=1,INDEX('城市分配'!$P$6:$P$61,MATCH($A32,'城市分配'!$B$6:$B$61,0))=0),1,0)</x:f>
        <x:v>0</x:v>
      </x:c>
      <x:c r="K32" s="40" t="n">
        <x:f>MAX(0,MIN($E32,K$19)-MAX($D32,K$18))+IF(AND($C32=1,INDEX('城市分配'!$P$6:$P$61,MATCH($A32,'城市分配'!$B$6:$B$61,0))=1),1,0)</x:f>
        <x:v>0</x:v>
      </x:c>
      <x:c r="L32" s="40" t="n">
        <x:f>MAX(0,MIN($E32,L$19)-MAX($D32,L$18))+IF(AND($C32=1,INDEX('城市分配'!$P$6:$P$61,MATCH($A32,'城市分配'!$B$6:$B$61,0))=2),1,0)</x:f>
        <x:v>0</x:v>
      </x:c>
      <x:c r="M32" s="40" t="n">
        <x:f>MAX(0,MIN($E32,M$19)-MAX($D32,M$18))+IF(AND($C32=1,INDEX('城市分配'!$P$6:$P$61,MATCH($A32,'城市分配'!$B$6:$B$61,0))=3),1,0)</x:f>
        <x:v>0</x:v>
      </x:c>
      <x:c r="N32" s="40" t="n">
        <x:f>MAX(0,MIN($E32,N$19)-MAX($D32,N$18))+IF(AND($C32=1,INDEX('城市分配'!$P$6:$P$61,MATCH($A32,'城市分配'!$B$6:$B$61,0))=4),1,0)</x:f>
        <x:v>1</x:v>
      </x:c>
      <x:c r="O32" s="40" t="n">
        <x:f>MAX(0,MIN($E32,O$19)-MAX($D32,O$18))+IF(AND($C32=1,INDEX('城市分配'!$P$6:$P$61,MATCH($A32,'城市分配'!$B$6:$B$61,0))=5),1,0)</x:f>
        <x:v>0</x:v>
      </x:c>
      <x:c r="P32" s="40" t="n">
        <x:f>MAX(0,MIN($E32,P$19)-MAX($D32,P$18))+IF(AND($C32=1,INDEX('城市分配'!$P$6:$P$61,MATCH($A32,'城市分配'!$B$6:$B$61,0))=6),1,0)</x:f>
        <x:v>0</x:v>
      </x:c>
      <x:c r="Q32" s="40" t="n">
        <x:f>MAX(0,MIN($E32,Q$19)-MAX($D32,Q$18))+IF(AND($C32=1,INDEX('城市分配'!$P$6:$P$61,MATCH($A32,'城市分配'!$B$6:$B$61,0))=7),1,0)</x:f>
        <x:v>0</x:v>
      </x:c>
      <x:c r="R32" s="40" t="n">
        <x:f>MAX(0,MIN($E32,R$19)-MAX($D32,R$18))+IF(AND($C32=1,INDEX('城市分配'!$P$6:$P$61,MATCH($A32,'城市分配'!$B$6:$B$61,0))=8),1,0)</x:f>
        <x:v>171</x:v>
      </x:c>
      <x:c r="S32" s="40" t="n">
        <x:f>MAX(0,MIN($E32,S$19)-MAX($D32,S$18))+IF(AND($C32=1,INDEX('城市分配'!$P$6:$P$61,MATCH($A32,'城市分配'!$B$6:$B$61,0))=9),1,0)</x:f>
        <x:v>0</x:v>
      </x:c>
      <x:c r="T32" s="40" t="n">
        <x:f>MAX(0,MIN($E32,T$19)-MAX($D32,T$18))+IF(AND($C32=1,INDEX('城市分配'!$P$6:$P$61,MATCH($A32,'城市分配'!$B$6:$B$61,0))=10),1,0)</x:f>
        <x:v>0</x:v>
      </x:c>
      <x:c r="U32" s="40" t="n">
        <x:f>MAX(0,MIN($E32,U$19)-MAX($D32,U$18))+IF(AND($C32=1,INDEX('城市分配'!$P$6:$P$61,MATCH($A32,'城市分配'!$B$6:$B$61,0))=11),1,0)</x:f>
        <x:v>0</x:v>
      </x:c>
      <x:c r="V32" s="40" t="n">
        <x:f>MAX(0,MIN($I32,J$21)-MAX($H32,J$20))+IF(AND($G32=1,INDEX('城市分配'!$P$6:$P$61,MATCH($A32,'城市分配'!$B$6:$B$61,0))=0),1,0)</x:f>
        <x:v>37</x:v>
      </x:c>
      <x:c r="W32" s="40" t="n">
        <x:f>MAX(0,MIN($I32,K$21)-MAX($H32,K$20))+IF(AND($G32=1,INDEX('城市分配'!$P$6:$P$61,MATCH($A32,'城市分配'!$B$6:$B$61,0))=1),1,0)</x:f>
        <x:v>77</x:v>
      </x:c>
      <x:c r="X32" s="40" t="n">
        <x:f>MAX(0,MIN($I32,L$21)-MAX($H32,L$20))+IF(AND($G32=1,INDEX('城市分配'!$P$6:$P$61,MATCH($A32,'城市分配'!$B$6:$B$61,0))=2),1,0)</x:f>
        <x:v>0</x:v>
      </x:c>
      <x:c r="Y32" s="40" t="n">
        <x:f>MAX(0,MIN($I32,M$21)-MAX($H32,M$20))+IF(AND($G32=1,INDEX('城市分配'!$P$6:$P$61,MATCH($A32,'城市分配'!$B$6:$B$61,0))=3),1,0)</x:f>
        <x:v>0</x:v>
      </x:c>
      <x:c r="Z32" s="40" t="n">
        <x:f>MAX(0,MIN($I32,N$21)-MAX($H32,N$20))+IF(AND($G32=1,INDEX('城市分配'!$P$6:$P$61,MATCH($A32,'城市分配'!$B$6:$B$61,0))=4),1,0)</x:f>
        <x:v>0</x:v>
      </x:c>
      <x:c r="AA32" s="40" t="n">
        <x:f>MAX(0,MIN($I32,O$21)-MAX($H32,O$20))+IF(AND($G32=1,INDEX('城市分配'!$P$6:$P$61,MATCH($A32,'城市分配'!$B$6:$B$61,0))=5),1,0)</x:f>
        <x:v>0</x:v>
      </x:c>
      <x:c r="AB32" s="40" t="n">
        <x:f>MAX(0,MIN($I32,P$21)-MAX($H32,P$20))+IF(AND($G32=1,INDEX('城市分配'!$P$6:$P$61,MATCH($A32,'城市分配'!$B$6:$B$61,0))=6),1,0)</x:f>
        <x:v>0</x:v>
      </x:c>
      <x:c r="AC32" s="40" t="n">
        <x:f>MAX(0,MIN($I32,Q$21)-MAX($H32,Q$20))+IF(AND($G32=1,INDEX('城市分配'!$P$6:$P$61,MATCH($A32,'城市分配'!$B$6:$B$61,0))=7),1,0)</x:f>
        <x:v>0</x:v>
      </x:c>
      <x:c r="AD32" s="40" t="n">
        <x:f>MAX(0,MIN($I32,R$21)-MAX($H32,R$20))+IF(AND($G32=1,INDEX('城市分配'!$P$6:$P$61,MATCH($A32,'城市分配'!$B$6:$B$61,0))=8),1,0)</x:f>
        <x:v>0</x:v>
      </x:c>
      <x:c r="AE32" s="40" t="n">
        <x:f>MAX(0,MIN($I32,S$21)-MAX($H32,S$20))+IF(AND($G32=1,INDEX('城市分配'!$P$6:$P$61,MATCH($A32,'城市分配'!$B$6:$B$61,0))=9),1,0)</x:f>
        <x:v>0</x:v>
      </x:c>
      <x:c r="AF32" s="40" t="n">
        <x:f>MAX(0,MIN($I32,T$21)-MAX($H32,T$20))+IF(AND($G32=1,INDEX('城市分配'!$P$6:$P$61,MATCH($A32,'城市分配'!$B$6:$B$61,0))=10),1,0)</x:f>
        <x:v>0</x:v>
      </x:c>
      <x:c r="AG32" s="40" t="n">
        <x:f>MAX(0,MIN($I32,U$21)-MAX($H32,U$20))+IF(AND($G32=1,INDEX('城市分配'!$P$6:$P$61,MATCH($A32,'城市分配'!$B$6:$B$61,0))=11),1,0)</x:f>
        <x:v>0</x:v>
      </x:c>
      <x:c r="AH32" s="40" t="n">
        <x:f>2*SUM(J32:U32)+4*SUM(V32:AG32)-INDEX('城市分配'!$J$6:$J$61,MATCH($A32,'城市分配'!$B$6:$B$61,0))</x:f>
        <x:v>0</x:v>
      </x:c>
      <x:c r="AI32" s="40" t="n">
        <x:f>IF(INDEX('城市分配'!$D$6:$D$61,MATCH($A32,'城市分配'!$B$6:$B$61,0))="是",--(SUM($J32:$O32)+SUM($V32:$AA32)&gt;0),0)</x:f>
        <x:v>1</x:v>
      </x:c>
    </x:row>
    <x:row r="33">
      <x:c r="A33" t="str">
        <x:v>南京</x:v>
      </x:c>
      <x:c r="B33" s="40" t="n">
        <x:f>INDEX('城市分配'!$M$6:$M$61,MATCH($A33,'城市分配'!$B$6:$B$61,0))</x:f>
        <x:v>172</x:v>
      </x:c>
      <x:c r="C33" s="40" t="n">
        <x:f>IF(AND(INDEX('城市分配'!$D$6:$D$61,MATCH($A33,'城市分配'!$B$6:$B$61,0))="是",B33&gt;0),1,0)</x:f>
        <x:v>1</x:v>
      </x:c>
      <x:c r="D33" s="37" t="n">
        <x:f>SUM($B$28:B32)-SUM($C$28:C32)</x:f>
        <x:v>497</x:v>
      </x:c>
      <x:c r="E33" s="37" t="n">
        <x:f>D33+B33-C33</x:f>
        <x:v>668</x:v>
      </x:c>
      <x:c r="F33" s="40" t="n">
        <x:f>INDEX('城市分配'!$L$6:$L$61,MATCH($A33,'城市分配'!$B$6:$B$61,0))</x:f>
        <x:v>114</x:v>
      </x:c>
      <x:c r="G33" s="40" t="n">
        <x:f>IF(AND(INDEX('城市分配'!$D$6:$D$61,MATCH($A33,'城市分配'!$B$6:$B$61,0))="是",F33&gt;0,B33=0),1,0)</x:f>
        <x:v>0</x:v>
      </x:c>
      <x:c r="H33" s="37" t="n">
        <x:f>SUM($F$28:F32)-SUM($G$28:G32)</x:f>
        <x:v>449</x:v>
      </x:c>
      <x:c r="I33" s="37" t="n">
        <x:f>H33+F33-G33</x:f>
        <x:v>563</x:v>
      </x:c>
      <x:c r="J33" s="40" t="n">
        <x:f>MAX(0,MIN($E33,J$19)-MAX($D33,J$18))+IF(AND($C33=1,INDEX('城市分配'!$P$6:$P$61,MATCH($A33,'城市分配'!$B$6:$B$61,0))=0),1,0)</x:f>
        <x:v>0</x:v>
      </x:c>
      <x:c r="K33" s="40" t="n">
        <x:f>MAX(0,MIN($E33,K$19)-MAX($D33,K$18))+IF(AND($C33=1,INDEX('城市分配'!$P$6:$P$61,MATCH($A33,'城市分配'!$B$6:$B$61,0))=1),1,0)</x:f>
        <x:v>0</x:v>
      </x:c>
      <x:c r="L33" s="40" t="n">
        <x:f>MAX(0,MIN($E33,L$19)-MAX($D33,L$18))+IF(AND($C33=1,INDEX('城市分配'!$P$6:$P$61,MATCH($A33,'城市分配'!$B$6:$B$61,0))=2),1,0)</x:f>
        <x:v>0</x:v>
      </x:c>
      <x:c r="M33" s="40" t="n">
        <x:f>MAX(0,MIN($E33,M$19)-MAX($D33,M$18))+IF(AND($C33=1,INDEX('城市分配'!$P$6:$P$61,MATCH($A33,'城市分配'!$B$6:$B$61,0))=3),1,0)</x:f>
        <x:v>0</x:v>
      </x:c>
      <x:c r="N33" s="40" t="n">
        <x:f>MAX(0,MIN($E33,N$19)-MAX($D33,N$18))+IF(AND($C33=1,INDEX('城市分配'!$P$6:$P$61,MATCH($A33,'城市分配'!$B$6:$B$61,0))=4),1,0)</x:f>
        <x:v>0</x:v>
      </x:c>
      <x:c r="O33" s="40" t="n">
        <x:f>MAX(0,MIN($E33,O$19)-MAX($D33,O$18))+IF(AND($C33=1,INDEX('城市分配'!$P$6:$P$61,MATCH($A33,'城市分配'!$B$6:$B$61,0))=5),1,0)</x:f>
        <x:v>1</x:v>
      </x:c>
      <x:c r="P33" s="40" t="n">
        <x:f>MAX(0,MIN($E33,P$19)-MAX($D33,P$18))+IF(AND($C33=1,INDEX('城市分配'!$P$6:$P$61,MATCH($A33,'城市分配'!$B$6:$B$61,0))=6),1,0)</x:f>
        <x:v>0</x:v>
      </x:c>
      <x:c r="Q33" s="40" t="n">
        <x:f>MAX(0,MIN($E33,Q$19)-MAX($D33,Q$18))+IF(AND($C33=1,INDEX('城市分配'!$P$6:$P$61,MATCH($A33,'城市分配'!$B$6:$B$61,0))=7),1,0)</x:f>
        <x:v>0</x:v>
      </x:c>
      <x:c r="R33" s="40" t="n">
        <x:f>MAX(0,MIN($E33,R$19)-MAX($D33,R$18))+IF(AND($C33=1,INDEX('城市分配'!$P$6:$P$61,MATCH($A33,'城市分配'!$B$6:$B$61,0))=8),1,0)</x:f>
        <x:v>171</x:v>
      </x:c>
      <x:c r="S33" s="40" t="n">
        <x:f>MAX(0,MIN($E33,S$19)-MAX($D33,S$18))+IF(AND($C33=1,INDEX('城市分配'!$P$6:$P$61,MATCH($A33,'城市分配'!$B$6:$B$61,0))=9),1,0)</x:f>
        <x:v>0</x:v>
      </x:c>
      <x:c r="T33" s="40" t="n">
        <x:f>MAX(0,MIN($E33,T$19)-MAX($D33,T$18))+IF(AND($C33=1,INDEX('城市分配'!$P$6:$P$61,MATCH($A33,'城市分配'!$B$6:$B$61,0))=10),1,0)</x:f>
        <x:v>0</x:v>
      </x:c>
      <x:c r="U33" s="40" t="n">
        <x:f>MAX(0,MIN($E33,U$19)-MAX($D33,U$18))+IF(AND($C33=1,INDEX('城市分配'!$P$6:$P$61,MATCH($A33,'城市分配'!$B$6:$B$61,0))=11),1,0)</x:f>
        <x:v>0</x:v>
      </x:c>
      <x:c r="V33" s="40" t="n">
        <x:f>MAX(0,MIN($I33,J$21)-MAX($H33,J$20))+IF(AND($G33=1,INDEX('城市分配'!$P$6:$P$61,MATCH($A33,'城市分配'!$B$6:$B$61,0))=0),1,0)</x:f>
        <x:v>0</x:v>
      </x:c>
      <x:c r="W33" s="40" t="n">
        <x:f>MAX(0,MIN($I33,K$21)-MAX($H33,K$20))+IF(AND($G33=1,INDEX('城市分配'!$P$6:$P$61,MATCH($A33,'城市分配'!$B$6:$B$61,0))=1),1,0)</x:f>
        <x:v>114</x:v>
      </x:c>
      <x:c r="X33" s="40" t="n">
        <x:f>MAX(0,MIN($I33,L$21)-MAX($H33,L$20))+IF(AND($G33=1,INDEX('城市分配'!$P$6:$P$61,MATCH($A33,'城市分配'!$B$6:$B$61,0))=2),1,0)</x:f>
        <x:v>0</x:v>
      </x:c>
      <x:c r="Y33" s="40" t="n">
        <x:f>MAX(0,MIN($I33,M$21)-MAX($H33,M$20))+IF(AND($G33=1,INDEX('城市分配'!$P$6:$P$61,MATCH($A33,'城市分配'!$B$6:$B$61,0))=3),1,0)</x:f>
        <x:v>0</x:v>
      </x:c>
      <x:c r="Z33" s="40" t="n">
        <x:f>MAX(0,MIN($I33,N$21)-MAX($H33,N$20))+IF(AND($G33=1,INDEX('城市分配'!$P$6:$P$61,MATCH($A33,'城市分配'!$B$6:$B$61,0))=4),1,0)</x:f>
        <x:v>0</x:v>
      </x:c>
      <x:c r="AA33" s="40" t="n">
        <x:f>MAX(0,MIN($I33,O$21)-MAX($H33,O$20))+IF(AND($G33=1,INDEX('城市分配'!$P$6:$P$61,MATCH($A33,'城市分配'!$B$6:$B$61,0))=5),1,0)</x:f>
        <x:v>0</x:v>
      </x:c>
      <x:c r="AB33" s="40" t="n">
        <x:f>MAX(0,MIN($I33,P$21)-MAX($H33,P$20))+IF(AND($G33=1,INDEX('城市分配'!$P$6:$P$61,MATCH($A33,'城市分配'!$B$6:$B$61,0))=6),1,0)</x:f>
        <x:v>0</x:v>
      </x:c>
      <x:c r="AC33" s="40" t="n">
        <x:f>MAX(0,MIN($I33,Q$21)-MAX($H33,Q$20))+IF(AND($G33=1,INDEX('城市分配'!$P$6:$P$61,MATCH($A33,'城市分配'!$B$6:$B$61,0))=7),1,0)</x:f>
        <x:v>0</x:v>
      </x:c>
      <x:c r="AD33" s="40" t="n">
        <x:f>MAX(0,MIN($I33,R$21)-MAX($H33,R$20))+IF(AND($G33=1,INDEX('城市分配'!$P$6:$P$61,MATCH($A33,'城市分配'!$B$6:$B$61,0))=8),1,0)</x:f>
        <x:v>0</x:v>
      </x:c>
      <x:c r="AE33" s="40" t="n">
        <x:f>MAX(0,MIN($I33,S$21)-MAX($H33,S$20))+IF(AND($G33=1,INDEX('城市分配'!$P$6:$P$61,MATCH($A33,'城市分配'!$B$6:$B$61,0))=9),1,0)</x:f>
        <x:v>0</x:v>
      </x:c>
      <x:c r="AF33" s="40" t="n">
        <x:f>MAX(0,MIN($I33,T$21)-MAX($H33,T$20))+IF(AND($G33=1,INDEX('城市分配'!$P$6:$P$61,MATCH($A33,'城市分配'!$B$6:$B$61,0))=10),1,0)</x:f>
        <x:v>0</x:v>
      </x:c>
      <x:c r="AG33" s="40" t="n">
        <x:f>MAX(0,MIN($I33,U$21)-MAX($H33,U$20))+IF(AND($G33=1,INDEX('城市分配'!$P$6:$P$61,MATCH($A33,'城市分配'!$B$6:$B$61,0))=11),1,0)</x:f>
        <x:v>0</x:v>
      </x:c>
      <x:c r="AH33" s="40" t="n">
        <x:f>2*SUM(J33:U33)+4*SUM(V33:AG33)-INDEX('城市分配'!$J$6:$J$61,MATCH($A33,'城市分配'!$B$6:$B$61,0))</x:f>
        <x:v>0</x:v>
      </x:c>
      <x:c r="AI33" s="40" t="n">
        <x:f>IF(INDEX('城市分配'!$D$6:$D$61,MATCH($A33,'城市分配'!$B$6:$B$61,0))="是",--(SUM($J33:$O33)+SUM($V33:$AA33)&gt;0),0)</x:f>
        <x:v>1</x:v>
      </x:c>
    </x:row>
    <x:row r="34">
      <x:c r="A34" t="str">
        <x:v>武汉</x:v>
      </x:c>
      <x:c r="B34" s="40" t="n">
        <x:f>INDEX('城市分配'!$M$6:$M$61,MATCH($A34,'城市分配'!$B$6:$B$61,0))</x:f>
        <x:v>70</x:v>
      </x:c>
      <x:c r="C34" s="40" t="n">
        <x:f>IF(AND(INDEX('城市分配'!$D$6:$D$61,MATCH($A34,'城市分配'!$B$6:$B$61,0))="是",B34&gt;0),1,0)</x:f>
        <x:v>1</x:v>
      </x:c>
      <x:c r="D34" s="37" t="n">
        <x:f>SUM($B$28:B33)-SUM($C$28:C33)</x:f>
        <x:v>668</x:v>
      </x:c>
      <x:c r="E34" s="37" t="n">
        <x:f>D34+B34-C34</x:f>
        <x:v>737</x:v>
      </x:c>
      <x:c r="F34" s="40" t="n">
        <x:f>INDEX('城市分配'!$L$6:$L$61,MATCH($A34,'城市分配'!$B$6:$B$61,0))</x:f>
        <x:v>165</x:v>
      </x:c>
      <x:c r="G34" s="40" t="n">
        <x:f>IF(AND(INDEX('城市分配'!$D$6:$D$61,MATCH($A34,'城市分配'!$B$6:$B$61,0))="是",F34&gt;0,B34=0),1,0)</x:f>
        <x:v>0</x:v>
      </x:c>
      <x:c r="H34" s="37" t="n">
        <x:f>SUM($F$28:F33)-SUM($G$28:G33)</x:f>
        <x:v>563</x:v>
      </x:c>
      <x:c r="I34" s="37" t="n">
        <x:f>H34+F34-G34</x:f>
        <x:v>728</x:v>
      </x:c>
      <x:c r="J34" s="40" t="n">
        <x:f>MAX(0,MIN($E34,J$19)-MAX($D34,J$18))+IF(AND($C34=1,INDEX('城市分配'!$P$6:$P$61,MATCH($A34,'城市分配'!$B$6:$B$61,0))=0),1,0)</x:f>
        <x:v>1</x:v>
      </x:c>
      <x:c r="K34" s="40" t="n">
        <x:f>MAX(0,MIN($E34,K$19)-MAX($D34,K$18))+IF(AND($C34=1,INDEX('城市分配'!$P$6:$P$61,MATCH($A34,'城市分配'!$B$6:$B$61,0))=1),1,0)</x:f>
        <x:v>0</x:v>
      </x:c>
      <x:c r="L34" s="40" t="n">
        <x:f>MAX(0,MIN($E34,L$19)-MAX($D34,L$18))+IF(AND($C34=1,INDEX('城市分配'!$P$6:$P$61,MATCH($A34,'城市分配'!$B$6:$B$61,0))=2),1,0)</x:f>
        <x:v>0</x:v>
      </x:c>
      <x:c r="M34" s="40" t="n">
        <x:f>MAX(0,MIN($E34,M$19)-MAX($D34,M$18))+IF(AND($C34=1,INDEX('城市分配'!$P$6:$P$61,MATCH($A34,'城市分配'!$B$6:$B$61,0))=3),1,0)</x:f>
        <x:v>0</x:v>
      </x:c>
      <x:c r="N34" s="40" t="n">
        <x:f>MAX(0,MIN($E34,N$19)-MAX($D34,N$18))+IF(AND($C34=1,INDEX('城市分配'!$P$6:$P$61,MATCH($A34,'城市分配'!$B$6:$B$61,0))=4),1,0)</x:f>
        <x:v>0</x:v>
      </x:c>
      <x:c r="O34" s="40" t="n">
        <x:f>MAX(0,MIN($E34,O$19)-MAX($D34,O$18))+IF(AND($C34=1,INDEX('城市分配'!$P$6:$P$61,MATCH($A34,'城市分配'!$B$6:$B$61,0))=5),1,0)</x:f>
        <x:v>0</x:v>
      </x:c>
      <x:c r="P34" s="40" t="n">
        <x:f>MAX(0,MIN($E34,P$19)-MAX($D34,P$18))+IF(AND($C34=1,INDEX('城市分配'!$P$6:$P$61,MATCH($A34,'城市分配'!$B$6:$B$61,0))=6),1,0)</x:f>
        <x:v>0</x:v>
      </x:c>
      <x:c r="Q34" s="40" t="n">
        <x:f>MAX(0,MIN($E34,Q$19)-MAX($D34,Q$18))+IF(AND($C34=1,INDEX('城市分配'!$P$6:$P$61,MATCH($A34,'城市分配'!$B$6:$B$61,0))=7),1,0)</x:f>
        <x:v>0</x:v>
      </x:c>
      <x:c r="R34" s="40" t="n">
        <x:f>MAX(0,MIN($E34,R$19)-MAX($D34,R$18))+IF(AND($C34=1,INDEX('城市分配'!$P$6:$P$61,MATCH($A34,'城市分配'!$B$6:$B$61,0))=8),1,0)</x:f>
        <x:v>69</x:v>
      </x:c>
      <x:c r="S34" s="40" t="n">
        <x:f>MAX(0,MIN($E34,S$19)-MAX($D34,S$18))+IF(AND($C34=1,INDEX('城市分配'!$P$6:$P$61,MATCH($A34,'城市分配'!$B$6:$B$61,0))=9),1,0)</x:f>
        <x:v>0</x:v>
      </x:c>
      <x:c r="T34" s="40" t="n">
        <x:f>MAX(0,MIN($E34,T$19)-MAX($D34,T$18))+IF(AND($C34=1,INDEX('城市分配'!$P$6:$P$61,MATCH($A34,'城市分配'!$B$6:$B$61,0))=10),1,0)</x:f>
        <x:v>0</x:v>
      </x:c>
      <x:c r="U34" s="40" t="n">
        <x:f>MAX(0,MIN($E34,U$19)-MAX($D34,U$18))+IF(AND($C34=1,INDEX('城市分配'!$P$6:$P$61,MATCH($A34,'城市分配'!$B$6:$B$61,0))=11),1,0)</x:f>
        <x:v>0</x:v>
      </x:c>
      <x:c r="V34" s="40" t="n">
        <x:f>MAX(0,MIN($I34,J$21)-MAX($H34,J$20))+IF(AND($G34=1,INDEX('城市分配'!$P$6:$P$61,MATCH($A34,'城市分配'!$B$6:$B$61,0))=0),1,0)</x:f>
        <x:v>0</x:v>
      </x:c>
      <x:c r="W34" s="40" t="n">
        <x:f>MAX(0,MIN($I34,K$21)-MAX($H34,K$20))+IF(AND($G34=1,INDEX('城市分配'!$P$6:$P$61,MATCH($A34,'城市分配'!$B$6:$B$61,0))=1),1,0)</x:f>
        <x:v>165</x:v>
      </x:c>
      <x:c r="X34" s="40" t="n">
        <x:f>MAX(0,MIN($I34,L$21)-MAX($H34,L$20))+IF(AND($G34=1,INDEX('城市分配'!$P$6:$P$61,MATCH($A34,'城市分配'!$B$6:$B$61,0))=2),1,0)</x:f>
        <x:v>0</x:v>
      </x:c>
      <x:c r="Y34" s="40" t="n">
        <x:f>MAX(0,MIN($I34,M$21)-MAX($H34,M$20))+IF(AND($G34=1,INDEX('城市分配'!$P$6:$P$61,MATCH($A34,'城市分配'!$B$6:$B$61,0))=3),1,0)</x:f>
        <x:v>0</x:v>
      </x:c>
      <x:c r="Z34" s="40" t="n">
        <x:f>MAX(0,MIN($I34,N$21)-MAX($H34,N$20))+IF(AND($G34=1,INDEX('城市分配'!$P$6:$P$61,MATCH($A34,'城市分配'!$B$6:$B$61,0))=4),1,0)</x:f>
        <x:v>0</x:v>
      </x:c>
      <x:c r="AA34" s="40" t="n">
        <x:f>MAX(0,MIN($I34,O$21)-MAX($H34,O$20))+IF(AND($G34=1,INDEX('城市分配'!$P$6:$P$61,MATCH($A34,'城市分配'!$B$6:$B$61,0))=5),1,0)</x:f>
        <x:v>0</x:v>
      </x:c>
      <x:c r="AB34" s="40" t="n">
        <x:f>MAX(0,MIN($I34,P$21)-MAX($H34,P$20))+IF(AND($G34=1,INDEX('城市分配'!$P$6:$P$61,MATCH($A34,'城市分配'!$B$6:$B$61,0))=6),1,0)</x:f>
        <x:v>0</x:v>
      </x:c>
      <x:c r="AC34" s="40" t="n">
        <x:f>MAX(0,MIN($I34,Q$21)-MAX($H34,Q$20))+IF(AND($G34=1,INDEX('城市分配'!$P$6:$P$61,MATCH($A34,'城市分配'!$B$6:$B$61,0))=7),1,0)</x:f>
        <x:v>0</x:v>
      </x:c>
      <x:c r="AD34" s="40" t="n">
        <x:f>MAX(0,MIN($I34,R$21)-MAX($H34,R$20))+IF(AND($G34=1,INDEX('城市分配'!$P$6:$P$61,MATCH($A34,'城市分配'!$B$6:$B$61,0))=8),1,0)</x:f>
        <x:v>0</x:v>
      </x:c>
      <x:c r="AE34" s="40" t="n">
        <x:f>MAX(0,MIN($I34,S$21)-MAX($H34,S$20))+IF(AND($G34=1,INDEX('城市分配'!$P$6:$P$61,MATCH($A34,'城市分配'!$B$6:$B$61,0))=9),1,0)</x:f>
        <x:v>0</x:v>
      </x:c>
      <x:c r="AF34" s="40" t="n">
        <x:f>MAX(0,MIN($I34,T$21)-MAX($H34,T$20))+IF(AND($G34=1,INDEX('城市分配'!$P$6:$P$61,MATCH($A34,'城市分配'!$B$6:$B$61,0))=10),1,0)</x:f>
        <x:v>0</x:v>
      </x:c>
      <x:c r="AG34" s="40" t="n">
        <x:f>MAX(0,MIN($I34,U$21)-MAX($H34,U$20))+IF(AND($G34=1,INDEX('城市分配'!$P$6:$P$61,MATCH($A34,'城市分配'!$B$6:$B$61,0))=11),1,0)</x:f>
        <x:v>0</x:v>
      </x:c>
      <x:c r="AH34" s="40" t="n">
        <x:f>2*SUM(J34:U34)+4*SUM(V34:AG34)-INDEX('城市分配'!$J$6:$J$61,MATCH($A34,'城市分配'!$B$6:$B$61,0))</x:f>
        <x:v>0</x:v>
      </x:c>
      <x:c r="AI34" s="40" t="n">
        <x:f>IF(INDEX('城市分配'!$D$6:$D$61,MATCH($A34,'城市分配'!$B$6:$B$61,0))="是",--(SUM($J34:$O34)+SUM($V34:$AA34)&gt;0),0)</x:f>
        <x:v>1</x:v>
      </x:c>
    </x:row>
    <x:row r="35">
      <x:c r="A35" t="str">
        <x:v>长沙</x:v>
      </x:c>
      <x:c r="B35" s="40" t="n">
        <x:f>INDEX('城市分配'!$M$6:$M$61,MATCH($A35,'城市分配'!$B$6:$B$61,0))</x:f>
        <x:v>172</x:v>
      </x:c>
      <x:c r="C35" s="40" t="n">
        <x:f>IF(AND(INDEX('城市分配'!$D$6:$D$61,MATCH($A35,'城市分配'!$B$6:$B$61,0))="是",B35&gt;0),1,0)</x:f>
        <x:v>1</x:v>
      </x:c>
      <x:c r="D35" s="37" t="n">
        <x:f>SUM($B$28:B34)-SUM($C$28:C34)</x:f>
        <x:v>737</x:v>
      </x:c>
      <x:c r="E35" s="37" t="n">
        <x:f>D35+B35-C35</x:f>
        <x:v>908</x:v>
      </x:c>
      <x:c r="F35" s="40" t="n">
        <x:f>INDEX('城市分配'!$L$6:$L$61,MATCH($A35,'城市分配'!$B$6:$B$61,0))</x:f>
        <x:v>114</x:v>
      </x:c>
      <x:c r="G35" s="40" t="n">
        <x:f>IF(AND(INDEX('城市分配'!$D$6:$D$61,MATCH($A35,'城市分配'!$B$6:$B$61,0))="是",F35&gt;0,B35=0),1,0)</x:f>
        <x:v>0</x:v>
      </x:c>
      <x:c r="H35" s="37" t="n">
        <x:f>SUM($F$28:F34)-SUM($G$28:G34)</x:f>
        <x:v>728</x:v>
      </x:c>
      <x:c r="I35" s="37" t="n">
        <x:f>H35+F35-G35</x:f>
        <x:v>842</x:v>
      </x:c>
      <x:c r="J35" s="40" t="n">
        <x:f>MAX(0,MIN($E35,J$19)-MAX($D35,J$18))+IF(AND($C35=1,INDEX('城市分配'!$P$6:$P$61,MATCH($A35,'城市分配'!$B$6:$B$61,0))=0),1,0)</x:f>
        <x:v>0</x:v>
      </x:c>
      <x:c r="K35" s="40" t="n">
        <x:f>MAX(0,MIN($E35,K$19)-MAX($D35,K$18))+IF(AND($C35=1,INDEX('城市分配'!$P$6:$P$61,MATCH($A35,'城市分配'!$B$6:$B$61,0))=1),1,0)</x:f>
        <x:v>1</x:v>
      </x:c>
      <x:c r="L35" s="40" t="n">
        <x:f>MAX(0,MIN($E35,L$19)-MAX($D35,L$18))+IF(AND($C35=1,INDEX('城市分配'!$P$6:$P$61,MATCH($A35,'城市分配'!$B$6:$B$61,0))=2),1,0)</x:f>
        <x:v>0</x:v>
      </x:c>
      <x:c r="M35" s="40" t="n">
        <x:f>MAX(0,MIN($E35,M$19)-MAX($D35,M$18))+IF(AND($C35=1,INDEX('城市分配'!$P$6:$P$61,MATCH($A35,'城市分配'!$B$6:$B$61,0))=3),1,0)</x:f>
        <x:v>0</x:v>
      </x:c>
      <x:c r="N35" s="40" t="n">
        <x:f>MAX(0,MIN($E35,N$19)-MAX($D35,N$18))+IF(AND($C35=1,INDEX('城市分配'!$P$6:$P$61,MATCH($A35,'城市分配'!$B$6:$B$61,0))=4),1,0)</x:f>
        <x:v>0</x:v>
      </x:c>
      <x:c r="O35" s="40" t="n">
        <x:f>MAX(0,MIN($E35,O$19)-MAX($D35,O$18))+IF(AND($C35=1,INDEX('城市分配'!$P$6:$P$61,MATCH($A35,'城市分配'!$B$6:$B$61,0))=5),1,0)</x:f>
        <x:v>0</x:v>
      </x:c>
      <x:c r="P35" s="40" t="n">
        <x:f>MAX(0,MIN($E35,P$19)-MAX($D35,P$18))+IF(AND($C35=1,INDEX('城市分配'!$P$6:$P$61,MATCH($A35,'城市分配'!$B$6:$B$61,0))=6),1,0)</x:f>
        <x:v>0</x:v>
      </x:c>
      <x:c r="Q35" s="40" t="n">
        <x:f>MAX(0,MIN($E35,Q$19)-MAX($D35,Q$18))+IF(AND($C35=1,INDEX('城市分配'!$P$6:$P$61,MATCH($A35,'城市分配'!$B$6:$B$61,0))=7),1,0)</x:f>
        <x:v>0</x:v>
      </x:c>
      <x:c r="R35" s="40" t="n">
        <x:f>MAX(0,MIN($E35,R$19)-MAX($D35,R$18))+IF(AND($C35=1,INDEX('城市分配'!$P$6:$P$61,MATCH($A35,'城市分配'!$B$6:$B$61,0))=8),1,0)</x:f>
        <x:v>171</x:v>
      </x:c>
      <x:c r="S35" s="40" t="n">
        <x:f>MAX(0,MIN($E35,S$19)-MAX($D35,S$18))+IF(AND($C35=1,INDEX('城市分配'!$P$6:$P$61,MATCH($A35,'城市分配'!$B$6:$B$61,0))=9),1,0)</x:f>
        <x:v>0</x:v>
      </x:c>
      <x:c r="T35" s="40" t="n">
        <x:f>MAX(0,MIN($E35,T$19)-MAX($D35,T$18))+IF(AND($C35=1,INDEX('城市分配'!$P$6:$P$61,MATCH($A35,'城市分配'!$B$6:$B$61,0))=10),1,0)</x:f>
        <x:v>0</x:v>
      </x:c>
      <x:c r="U35" s="40" t="n">
        <x:f>MAX(0,MIN($E35,U$19)-MAX($D35,U$18))+IF(AND($C35=1,INDEX('城市分配'!$P$6:$P$61,MATCH($A35,'城市分配'!$B$6:$B$61,0))=11),1,0)</x:f>
        <x:v>0</x:v>
      </x:c>
      <x:c r="V35" s="40" t="n">
        <x:f>MAX(0,MIN($I35,J$21)-MAX($H35,J$20))+IF(AND($G35=1,INDEX('城市分配'!$P$6:$P$61,MATCH($A35,'城市分配'!$B$6:$B$61,0))=0),1,0)</x:f>
        <x:v>0</x:v>
      </x:c>
      <x:c r="W35" s="40" t="n">
        <x:f>MAX(0,MIN($I35,K$21)-MAX($H35,K$20))+IF(AND($G35=1,INDEX('城市分配'!$P$6:$P$61,MATCH($A35,'城市分配'!$B$6:$B$61,0))=1),1,0)</x:f>
        <x:v>91</x:v>
      </x:c>
      <x:c r="X35" s="40" t="n">
        <x:f>MAX(0,MIN($I35,L$21)-MAX($H35,L$20))+IF(AND($G35=1,INDEX('城市分配'!$P$6:$P$61,MATCH($A35,'城市分配'!$B$6:$B$61,0))=2),1,0)</x:f>
        <x:v>23</x:v>
      </x:c>
      <x:c r="Y35" s="40" t="n">
        <x:f>MAX(0,MIN($I35,M$21)-MAX($H35,M$20))+IF(AND($G35=1,INDEX('城市分配'!$P$6:$P$61,MATCH($A35,'城市分配'!$B$6:$B$61,0))=3),1,0)</x:f>
        <x:v>0</x:v>
      </x:c>
      <x:c r="Z35" s="40" t="n">
        <x:f>MAX(0,MIN($I35,N$21)-MAX($H35,N$20))+IF(AND($G35=1,INDEX('城市分配'!$P$6:$P$61,MATCH($A35,'城市分配'!$B$6:$B$61,0))=4),1,0)</x:f>
        <x:v>0</x:v>
      </x:c>
      <x:c r="AA35" s="40" t="n">
        <x:f>MAX(0,MIN($I35,O$21)-MAX($H35,O$20))+IF(AND($G35=1,INDEX('城市分配'!$P$6:$P$61,MATCH($A35,'城市分配'!$B$6:$B$61,0))=5),1,0)</x:f>
        <x:v>0</x:v>
      </x:c>
      <x:c r="AB35" s="40" t="n">
        <x:f>MAX(0,MIN($I35,P$21)-MAX($H35,P$20))+IF(AND($G35=1,INDEX('城市分配'!$P$6:$P$61,MATCH($A35,'城市分配'!$B$6:$B$61,0))=6),1,0)</x:f>
        <x:v>0</x:v>
      </x:c>
      <x:c r="AC35" s="40" t="n">
        <x:f>MAX(0,MIN($I35,Q$21)-MAX($H35,Q$20))+IF(AND($G35=1,INDEX('城市分配'!$P$6:$P$61,MATCH($A35,'城市分配'!$B$6:$B$61,0))=7),1,0)</x:f>
        <x:v>0</x:v>
      </x:c>
      <x:c r="AD35" s="40" t="n">
        <x:f>MAX(0,MIN($I35,R$21)-MAX($H35,R$20))+IF(AND($G35=1,INDEX('城市分配'!$P$6:$P$61,MATCH($A35,'城市分配'!$B$6:$B$61,0))=8),1,0)</x:f>
        <x:v>0</x:v>
      </x:c>
      <x:c r="AE35" s="40" t="n">
        <x:f>MAX(0,MIN($I35,S$21)-MAX($H35,S$20))+IF(AND($G35=1,INDEX('城市分配'!$P$6:$P$61,MATCH($A35,'城市分配'!$B$6:$B$61,0))=9),1,0)</x:f>
        <x:v>0</x:v>
      </x:c>
      <x:c r="AF35" s="40" t="n">
        <x:f>MAX(0,MIN($I35,T$21)-MAX($H35,T$20))+IF(AND($G35=1,INDEX('城市分配'!$P$6:$P$61,MATCH($A35,'城市分配'!$B$6:$B$61,0))=10),1,0)</x:f>
        <x:v>0</x:v>
      </x:c>
      <x:c r="AG35" s="40" t="n">
        <x:f>MAX(0,MIN($I35,U$21)-MAX($H35,U$20))+IF(AND($G35=1,INDEX('城市分配'!$P$6:$P$61,MATCH($A35,'城市分配'!$B$6:$B$61,0))=11),1,0)</x:f>
        <x:v>0</x:v>
      </x:c>
      <x:c r="AH35" s="40" t="n">
        <x:f>2*SUM(J35:U35)+4*SUM(V35:AG35)-INDEX('城市分配'!$J$6:$J$61,MATCH($A35,'城市分配'!$B$6:$B$61,0))</x:f>
        <x:v>0</x:v>
      </x:c>
      <x:c r="AI35" s="40" t="n">
        <x:f>IF(INDEX('城市分配'!$D$6:$D$61,MATCH($A35,'城市分配'!$B$6:$B$61,0))="是",--(SUM($J35:$O35)+SUM($V35:$AA35)&gt;0),0)</x:f>
        <x:v>1</x:v>
      </x:c>
    </x:row>
    <x:row r="36">
      <x:c r="A36" t="str">
        <x:v>宿迁</x:v>
      </x:c>
      <x:c r="B36" s="40" t="n">
        <x:f>INDEX('城市分配'!$M$6:$M$61,MATCH($A36,'城市分配'!$B$6:$B$61,0))</x:f>
        <x:v>36</x:v>
      </x:c>
      <x:c r="C36" s="40" t="n">
        <x:f>IF(AND(INDEX('城市分配'!$D$6:$D$61,MATCH($A36,'城市分配'!$B$6:$B$61,0))="是",B36&gt;0),1,0)</x:f>
        <x:v>1</x:v>
      </x:c>
      <x:c r="D36" s="37" t="n">
        <x:f>SUM($B$28:B35)-SUM($C$28:C35)</x:f>
        <x:v>908</x:v>
      </x:c>
      <x:c r="E36" s="37" t="n">
        <x:f>D36+B36-C36</x:f>
        <x:v>943</x:v>
      </x:c>
      <x:c r="F36" s="40" t="n">
        <x:f>INDEX('城市分配'!$L$6:$L$61,MATCH($A36,'城市分配'!$B$6:$B$61,0))</x:f>
        <x:v>82</x:v>
      </x:c>
      <x:c r="G36" s="40" t="n">
        <x:f>IF(AND(INDEX('城市分配'!$D$6:$D$61,MATCH($A36,'城市分配'!$B$6:$B$61,0))="是",F36&gt;0,B36=0),1,0)</x:f>
        <x:v>0</x:v>
      </x:c>
      <x:c r="H36" s="37" t="n">
        <x:f>SUM($F$28:F35)-SUM($G$28:G35)</x:f>
        <x:v>842</x:v>
      </x:c>
      <x:c r="I36" s="37" t="n">
        <x:f>H36+F36-G36</x:f>
        <x:v>924</x:v>
      </x:c>
      <x:c r="J36" s="40" t="n">
        <x:f>MAX(0,MIN($E36,J$19)-MAX($D36,J$18))+IF(AND($C36=1,INDEX('城市分配'!$P$6:$P$61,MATCH($A36,'城市分配'!$B$6:$B$61,0))=0),1,0)</x:f>
        <x:v>0</x:v>
      </x:c>
      <x:c r="K36" s="40" t="n">
        <x:f>MAX(0,MIN($E36,K$19)-MAX($D36,K$18))+IF(AND($C36=1,INDEX('城市分配'!$P$6:$P$61,MATCH($A36,'城市分配'!$B$6:$B$61,0))=1),1,0)</x:f>
        <x:v>0</x:v>
      </x:c>
      <x:c r="L36" s="40" t="n">
        <x:f>MAX(0,MIN($E36,L$19)-MAX($D36,L$18))+IF(AND($C36=1,INDEX('城市分配'!$P$6:$P$61,MATCH($A36,'城市分配'!$B$6:$B$61,0))=2),1,0)</x:f>
        <x:v>1</x:v>
      </x:c>
      <x:c r="M36" s="40" t="n">
        <x:f>MAX(0,MIN($E36,M$19)-MAX($D36,M$18))+IF(AND($C36=1,INDEX('城市分配'!$P$6:$P$61,MATCH($A36,'城市分配'!$B$6:$B$61,0))=3),1,0)</x:f>
        <x:v>0</x:v>
      </x:c>
      <x:c r="N36" s="40" t="n">
        <x:f>MAX(0,MIN($E36,N$19)-MAX($D36,N$18))+IF(AND($C36=1,INDEX('城市分配'!$P$6:$P$61,MATCH($A36,'城市分配'!$B$6:$B$61,0))=4),1,0)</x:f>
        <x:v>0</x:v>
      </x:c>
      <x:c r="O36" s="40" t="n">
        <x:f>MAX(0,MIN($E36,O$19)-MAX($D36,O$18))+IF(AND($C36=1,INDEX('城市分配'!$P$6:$P$61,MATCH($A36,'城市分配'!$B$6:$B$61,0))=5),1,0)</x:f>
        <x:v>0</x:v>
      </x:c>
      <x:c r="P36" s="40" t="n">
        <x:f>MAX(0,MIN($E36,P$19)-MAX($D36,P$18))+IF(AND($C36=1,INDEX('城市分配'!$P$6:$P$61,MATCH($A36,'城市分配'!$B$6:$B$61,0))=6),1,0)</x:f>
        <x:v>0</x:v>
      </x:c>
      <x:c r="Q36" s="40" t="n">
        <x:f>MAX(0,MIN($E36,Q$19)-MAX($D36,Q$18))+IF(AND($C36=1,INDEX('城市分配'!$P$6:$P$61,MATCH($A36,'城市分配'!$B$6:$B$61,0))=7),1,0)</x:f>
        <x:v>0</x:v>
      </x:c>
      <x:c r="R36" s="40" t="n">
        <x:f>MAX(0,MIN($E36,R$19)-MAX($D36,R$18))+IF(AND($C36=1,INDEX('城市分配'!$P$6:$P$61,MATCH($A36,'城市分配'!$B$6:$B$61,0))=8),1,0)</x:f>
        <x:v>16</x:v>
      </x:c>
      <x:c r="S36" s="40" t="n">
        <x:f>MAX(0,MIN($E36,S$19)-MAX($D36,S$18))+IF(AND($C36=1,INDEX('城市分配'!$P$6:$P$61,MATCH($A36,'城市分配'!$B$6:$B$61,0))=9),1,0)</x:f>
        <x:v>19</x:v>
      </x:c>
      <x:c r="T36" s="40" t="n">
        <x:f>MAX(0,MIN($E36,T$19)-MAX($D36,T$18))+IF(AND($C36=1,INDEX('城市分配'!$P$6:$P$61,MATCH($A36,'城市分配'!$B$6:$B$61,0))=10),1,0)</x:f>
        <x:v>0</x:v>
      </x:c>
      <x:c r="U36" s="40" t="n">
        <x:f>MAX(0,MIN($E36,U$19)-MAX($D36,U$18))+IF(AND($C36=1,INDEX('城市分配'!$P$6:$P$61,MATCH($A36,'城市分配'!$B$6:$B$61,0))=11),1,0)</x:f>
        <x:v>0</x:v>
      </x:c>
      <x:c r="V36" s="40" t="n">
        <x:f>MAX(0,MIN($I36,J$21)-MAX($H36,J$20))+IF(AND($G36=1,INDEX('城市分配'!$P$6:$P$61,MATCH($A36,'城市分配'!$B$6:$B$61,0))=0),1,0)</x:f>
        <x:v>0</x:v>
      </x:c>
      <x:c r="W36" s="40" t="n">
        <x:f>MAX(0,MIN($I36,K$21)-MAX($H36,K$20))+IF(AND($G36=1,INDEX('城市分配'!$P$6:$P$61,MATCH($A36,'城市分配'!$B$6:$B$61,0))=1),1,0)</x:f>
        <x:v>0</x:v>
      </x:c>
      <x:c r="X36" s="40" t="n">
        <x:f>MAX(0,MIN($I36,L$21)-MAX($H36,L$20))+IF(AND($G36=1,INDEX('城市分配'!$P$6:$P$61,MATCH($A36,'城市分配'!$B$6:$B$61,0))=2),1,0)</x:f>
        <x:v>82</x:v>
      </x:c>
      <x:c r="Y36" s="40" t="n">
        <x:f>MAX(0,MIN($I36,M$21)-MAX($H36,M$20))+IF(AND($G36=1,INDEX('城市分配'!$P$6:$P$61,MATCH($A36,'城市分配'!$B$6:$B$61,0))=3),1,0)</x:f>
        <x:v>0</x:v>
      </x:c>
      <x:c r="Z36" s="40" t="n">
        <x:f>MAX(0,MIN($I36,N$21)-MAX($H36,N$20))+IF(AND($G36=1,INDEX('城市分配'!$P$6:$P$61,MATCH($A36,'城市分配'!$B$6:$B$61,0))=4),1,0)</x:f>
        <x:v>0</x:v>
      </x:c>
      <x:c r="AA36" s="40" t="n">
        <x:f>MAX(0,MIN($I36,O$21)-MAX($H36,O$20))+IF(AND($G36=1,INDEX('城市分配'!$P$6:$P$61,MATCH($A36,'城市分配'!$B$6:$B$61,0))=5),1,0)</x:f>
        <x:v>0</x:v>
      </x:c>
      <x:c r="AB36" s="40" t="n">
        <x:f>MAX(0,MIN($I36,P$21)-MAX($H36,P$20))+IF(AND($G36=1,INDEX('城市分配'!$P$6:$P$61,MATCH($A36,'城市分配'!$B$6:$B$61,0))=6),1,0)</x:f>
        <x:v>0</x:v>
      </x:c>
      <x:c r="AC36" s="40" t="n">
        <x:f>MAX(0,MIN($I36,Q$21)-MAX($H36,Q$20))+IF(AND($G36=1,INDEX('城市分配'!$P$6:$P$61,MATCH($A36,'城市分配'!$B$6:$B$61,0))=7),1,0)</x:f>
        <x:v>0</x:v>
      </x:c>
      <x:c r="AD36" s="40" t="n">
        <x:f>MAX(0,MIN($I36,R$21)-MAX($H36,R$20))+IF(AND($G36=1,INDEX('城市分配'!$P$6:$P$61,MATCH($A36,'城市分配'!$B$6:$B$61,0))=8),1,0)</x:f>
        <x:v>0</x:v>
      </x:c>
      <x:c r="AE36" s="40" t="n">
        <x:f>MAX(0,MIN($I36,S$21)-MAX($H36,S$20))+IF(AND($G36=1,INDEX('城市分配'!$P$6:$P$61,MATCH($A36,'城市分配'!$B$6:$B$61,0))=9),1,0)</x:f>
        <x:v>0</x:v>
      </x:c>
      <x:c r="AF36" s="40" t="n">
        <x:f>MAX(0,MIN($I36,T$21)-MAX($H36,T$20))+IF(AND($G36=1,INDEX('城市分配'!$P$6:$P$61,MATCH($A36,'城市分配'!$B$6:$B$61,0))=10),1,0)</x:f>
        <x:v>0</x:v>
      </x:c>
      <x:c r="AG36" s="40" t="n">
        <x:f>MAX(0,MIN($I36,U$21)-MAX($H36,U$20))+IF(AND($G36=1,INDEX('城市分配'!$P$6:$P$61,MATCH($A36,'城市分配'!$B$6:$B$61,0))=11),1,0)</x:f>
        <x:v>0</x:v>
      </x:c>
      <x:c r="AH36" s="40" t="n">
        <x:f>2*SUM(J36:U36)+4*SUM(V36:AG36)-INDEX('城市分配'!$J$6:$J$61,MATCH($A36,'城市分配'!$B$6:$B$61,0))</x:f>
        <x:v>0</x:v>
      </x:c>
      <x:c r="AI36" s="40" t="n">
        <x:f>IF(INDEX('城市分配'!$D$6:$D$61,MATCH($A36,'城市分配'!$B$6:$B$61,0))="是",--(SUM($J36:$O36)+SUM($V36:$AA36)&gt;0),0)</x:f>
        <x:v>1</x:v>
      </x:c>
    </x:row>
    <x:row r="37">
      <x:c r="A37" t="str">
        <x:v>杭州</x:v>
      </x:c>
      <x:c r="B37" s="40" t="n">
        <x:f>INDEX('城市分配'!$M$6:$M$61,MATCH($A37,'城市分配'!$B$6:$B$61,0))</x:f>
        <x:v>70</x:v>
      </x:c>
      <x:c r="C37" s="40" t="n">
        <x:f>IF(AND(INDEX('城市分配'!$D$6:$D$61,MATCH($A37,'城市分配'!$B$6:$B$61,0))="是",B37&gt;0),1,0)</x:f>
        <x:v>1</x:v>
      </x:c>
      <x:c r="D37" s="37" t="n">
        <x:f>SUM($B$28:B36)-SUM($C$28:C36)</x:f>
        <x:v>943</x:v>
      </x:c>
      <x:c r="E37" s="37" t="n">
        <x:f>D37+B37-C37</x:f>
        <x:v>1012</x:v>
      </x:c>
      <x:c r="F37" s="40" t="n">
        <x:f>INDEX('城市分配'!$L$6:$L$61,MATCH($A37,'城市分配'!$B$6:$B$61,0))</x:f>
        <x:v>165</x:v>
      </x:c>
      <x:c r="G37" s="40" t="n">
        <x:f>IF(AND(INDEX('城市分配'!$D$6:$D$61,MATCH($A37,'城市分配'!$B$6:$B$61,0))="是",F37&gt;0,B37=0),1,0)</x:f>
        <x:v>0</x:v>
      </x:c>
      <x:c r="H37" s="37" t="n">
        <x:f>SUM($F$28:F36)-SUM($G$28:G36)</x:f>
        <x:v>924</x:v>
      </x:c>
      <x:c r="I37" s="37" t="n">
        <x:f>H37+F37-G37</x:f>
        <x:v>1089</x:v>
      </x:c>
      <x:c r="J37" s="40" t="n">
        <x:f>MAX(0,MIN($E37,J$19)-MAX($D37,J$18))+IF(AND($C37=1,INDEX('城市分配'!$P$6:$P$61,MATCH($A37,'城市分配'!$B$6:$B$61,0))=0),1,0)</x:f>
        <x:v>0</x:v>
      </x:c>
      <x:c r="K37" s="40" t="n">
        <x:f>MAX(0,MIN($E37,K$19)-MAX($D37,K$18))+IF(AND($C37=1,INDEX('城市分配'!$P$6:$P$61,MATCH($A37,'城市分配'!$B$6:$B$61,0))=1),1,0)</x:f>
        <x:v>0</x:v>
      </x:c>
      <x:c r="L37" s="40" t="n">
        <x:f>MAX(0,MIN($E37,L$19)-MAX($D37,L$18))+IF(AND($C37=1,INDEX('城市分配'!$P$6:$P$61,MATCH($A37,'城市分配'!$B$6:$B$61,0))=2),1,0)</x:f>
        <x:v>0</x:v>
      </x:c>
      <x:c r="M37" s="40" t="n">
        <x:f>MAX(0,MIN($E37,M$19)-MAX($D37,M$18))+IF(AND($C37=1,INDEX('城市分配'!$P$6:$P$61,MATCH($A37,'城市分配'!$B$6:$B$61,0))=3),1,0)</x:f>
        <x:v>1</x:v>
      </x:c>
      <x:c r="N37" s="40" t="n">
        <x:f>MAX(0,MIN($E37,N$19)-MAX($D37,N$18))+IF(AND($C37=1,INDEX('城市分配'!$P$6:$P$61,MATCH($A37,'城市分配'!$B$6:$B$61,0))=4),1,0)</x:f>
        <x:v>0</x:v>
      </x:c>
      <x:c r="O37" s="40" t="n">
        <x:f>MAX(0,MIN($E37,O$19)-MAX($D37,O$18))+IF(AND($C37=1,INDEX('城市分配'!$P$6:$P$61,MATCH($A37,'城市分配'!$B$6:$B$61,0))=5),1,0)</x:f>
        <x:v>0</x:v>
      </x:c>
      <x:c r="P37" s="40" t="n">
        <x:f>MAX(0,MIN($E37,P$19)-MAX($D37,P$18))+IF(AND($C37=1,INDEX('城市分配'!$P$6:$P$61,MATCH($A37,'城市分配'!$B$6:$B$61,0))=6),1,0)</x:f>
        <x:v>0</x:v>
      </x:c>
      <x:c r="Q37" s="40" t="n">
        <x:f>MAX(0,MIN($E37,Q$19)-MAX($D37,Q$18))+IF(AND($C37=1,INDEX('城市分配'!$P$6:$P$61,MATCH($A37,'城市分配'!$B$6:$B$61,0))=7),1,0)</x:f>
        <x:v>0</x:v>
      </x:c>
      <x:c r="R37" s="40" t="n">
        <x:f>MAX(0,MIN($E37,R$19)-MAX($D37,R$18))+IF(AND($C37=1,INDEX('城市分配'!$P$6:$P$61,MATCH($A37,'城市分配'!$B$6:$B$61,0))=8),1,0)</x:f>
        <x:v>0</x:v>
      </x:c>
      <x:c r="S37" s="40" t="n">
        <x:f>MAX(0,MIN($E37,S$19)-MAX($D37,S$18))+IF(AND($C37=1,INDEX('城市分配'!$P$6:$P$61,MATCH($A37,'城市分配'!$B$6:$B$61,0))=9),1,0)</x:f>
        <x:v>69</x:v>
      </x:c>
      <x:c r="T37" s="40" t="n">
        <x:f>MAX(0,MIN($E37,T$19)-MAX($D37,T$18))+IF(AND($C37=1,INDEX('城市分配'!$P$6:$P$61,MATCH($A37,'城市分配'!$B$6:$B$61,0))=10),1,0)</x:f>
        <x:v>0</x:v>
      </x:c>
      <x:c r="U37" s="40" t="n">
        <x:f>MAX(0,MIN($E37,U$19)-MAX($D37,U$18))+IF(AND($C37=1,INDEX('城市分配'!$P$6:$P$61,MATCH($A37,'城市分配'!$B$6:$B$61,0))=11),1,0)</x:f>
        <x:v>0</x:v>
      </x:c>
      <x:c r="V37" s="40" t="n">
        <x:f>MAX(0,MIN($I37,J$21)-MAX($H37,J$20))+IF(AND($G37=1,INDEX('城市分配'!$P$6:$P$61,MATCH($A37,'城市分配'!$B$6:$B$61,0))=0),1,0)</x:f>
        <x:v>0</x:v>
      </x:c>
      <x:c r="W37" s="40" t="n">
        <x:f>MAX(0,MIN($I37,K$21)-MAX($H37,K$20))+IF(AND($G37=1,INDEX('城市分配'!$P$6:$P$61,MATCH($A37,'城市分配'!$B$6:$B$61,0))=1),1,0)</x:f>
        <x:v>0</x:v>
      </x:c>
      <x:c r="X37" s="40" t="n">
        <x:f>MAX(0,MIN($I37,L$21)-MAX($H37,L$20))+IF(AND($G37=1,INDEX('城市分配'!$P$6:$P$61,MATCH($A37,'城市分配'!$B$6:$B$61,0))=2),1,0)</x:f>
        <x:v>165</x:v>
      </x:c>
      <x:c r="Y37" s="40" t="n">
        <x:f>MAX(0,MIN($I37,M$21)-MAX($H37,M$20))+IF(AND($G37=1,INDEX('城市分配'!$P$6:$P$61,MATCH($A37,'城市分配'!$B$6:$B$61,0))=3),1,0)</x:f>
        <x:v>0</x:v>
      </x:c>
      <x:c r="Z37" s="40" t="n">
        <x:f>MAX(0,MIN($I37,N$21)-MAX($H37,N$20))+IF(AND($G37=1,INDEX('城市分配'!$P$6:$P$61,MATCH($A37,'城市分配'!$B$6:$B$61,0))=4),1,0)</x:f>
        <x:v>0</x:v>
      </x:c>
      <x:c r="AA37" s="40" t="n">
        <x:f>MAX(0,MIN($I37,O$21)-MAX($H37,O$20))+IF(AND($G37=1,INDEX('城市分配'!$P$6:$P$61,MATCH($A37,'城市分配'!$B$6:$B$61,0))=5),1,0)</x:f>
        <x:v>0</x:v>
      </x:c>
      <x:c r="AB37" s="40" t="n">
        <x:f>MAX(0,MIN($I37,P$21)-MAX($H37,P$20))+IF(AND($G37=1,INDEX('城市分配'!$P$6:$P$61,MATCH($A37,'城市分配'!$B$6:$B$61,0))=6),1,0)</x:f>
        <x:v>0</x:v>
      </x:c>
      <x:c r="AC37" s="40" t="n">
        <x:f>MAX(0,MIN($I37,Q$21)-MAX($H37,Q$20))+IF(AND($G37=1,INDEX('城市分配'!$P$6:$P$61,MATCH($A37,'城市分配'!$B$6:$B$61,0))=7),1,0)</x:f>
        <x:v>0</x:v>
      </x:c>
      <x:c r="AD37" s="40" t="n">
        <x:f>MAX(0,MIN($I37,R$21)-MAX($H37,R$20))+IF(AND($G37=1,INDEX('城市分配'!$P$6:$P$61,MATCH($A37,'城市分配'!$B$6:$B$61,0))=8),1,0)</x:f>
        <x:v>0</x:v>
      </x:c>
      <x:c r="AE37" s="40" t="n">
        <x:f>MAX(0,MIN($I37,S$21)-MAX($H37,S$20))+IF(AND($G37=1,INDEX('城市分配'!$P$6:$P$61,MATCH($A37,'城市分配'!$B$6:$B$61,0))=9),1,0)</x:f>
        <x:v>0</x:v>
      </x:c>
      <x:c r="AF37" s="40" t="n">
        <x:f>MAX(0,MIN($I37,T$21)-MAX($H37,T$20))+IF(AND($G37=1,INDEX('城市分配'!$P$6:$P$61,MATCH($A37,'城市分配'!$B$6:$B$61,0))=10),1,0)</x:f>
        <x:v>0</x:v>
      </x:c>
      <x:c r="AG37" s="40" t="n">
        <x:f>MAX(0,MIN($I37,U$21)-MAX($H37,U$20))+IF(AND($G37=1,INDEX('城市分配'!$P$6:$P$61,MATCH($A37,'城市分配'!$B$6:$B$61,0))=11),1,0)</x:f>
        <x:v>0</x:v>
      </x:c>
      <x:c r="AH37" s="40" t="n">
        <x:f>2*SUM(J37:U37)+4*SUM(V37:AG37)-INDEX('城市分配'!$J$6:$J$61,MATCH($A37,'城市分配'!$B$6:$B$61,0))</x:f>
        <x:v>0</x:v>
      </x:c>
      <x:c r="AI37" s="40" t="n">
        <x:f>IF(INDEX('城市分配'!$D$6:$D$61,MATCH($A37,'城市分配'!$B$6:$B$61,0))="是",--(SUM($J37:$O37)+SUM($V37:$AA37)&gt;0),0)</x:f>
        <x:v>1</x:v>
      </x:c>
    </x:row>
    <x:row r="38">
      <x:c r="A38" t="str">
        <x:v>徐州</x:v>
      </x:c>
      <x:c r="B38" s="40" t="n">
        <x:f>INDEX('城市分配'!$M$6:$M$61,MATCH($A38,'城市分配'!$B$6:$B$61,0))</x:f>
        <x:v>128</x:v>
      </x:c>
      <x:c r="C38" s="40" t="n">
        <x:f>IF(AND(INDEX('城市分配'!$D$6:$D$61,MATCH($A38,'城市分配'!$B$6:$B$61,0))="是",B38&gt;0),1,0)</x:f>
        <x:v>1</x:v>
      </x:c>
      <x:c r="D38" s="37" t="n">
        <x:f>SUM($B$28:B37)-SUM($C$28:C37)</x:f>
        <x:v>1012</x:v>
      </x:c>
      <x:c r="E38" s="37" t="n">
        <x:f>D38+B38-C38</x:f>
        <x:v>1139</x:v>
      </x:c>
      <x:c r="F38" s="40" t="n">
        <x:f>INDEX('城市分配'!$L$6:$L$61,MATCH($A38,'城市分配'!$B$6:$B$61,0))</x:f>
        <x:v>86</x:v>
      </x:c>
      <x:c r="G38" s="40" t="n">
        <x:f>IF(AND(INDEX('城市分配'!$D$6:$D$61,MATCH($A38,'城市分配'!$B$6:$B$61,0))="是",F38&gt;0,B38=0),1,0)</x:f>
        <x:v>0</x:v>
      </x:c>
      <x:c r="H38" s="37" t="n">
        <x:f>SUM($F$28:F37)-SUM($G$28:G37)</x:f>
        <x:v>1089</x:v>
      </x:c>
      <x:c r="I38" s="37" t="n">
        <x:f>H38+F38-G38</x:f>
        <x:v>1175</x:v>
      </x:c>
      <x:c r="J38" s="40" t="n">
        <x:f>MAX(0,MIN($E38,J$19)-MAX($D38,J$18))+IF(AND($C38=1,INDEX('城市分配'!$P$6:$P$61,MATCH($A38,'城市分配'!$B$6:$B$61,0))=0),1,0)</x:f>
        <x:v>0</x:v>
      </x:c>
      <x:c r="K38" s="40" t="n">
        <x:f>MAX(0,MIN($E38,K$19)-MAX($D38,K$18))+IF(AND($C38=1,INDEX('城市分配'!$P$6:$P$61,MATCH($A38,'城市分配'!$B$6:$B$61,0))=1),1,0)</x:f>
        <x:v>0</x:v>
      </x:c>
      <x:c r="L38" s="40" t="n">
        <x:f>MAX(0,MIN($E38,L$19)-MAX($D38,L$18))+IF(AND($C38=1,INDEX('城市分配'!$P$6:$P$61,MATCH($A38,'城市分配'!$B$6:$B$61,0))=2),1,0)</x:f>
        <x:v>0</x:v>
      </x:c>
      <x:c r="M38" s="40" t="n">
        <x:f>MAX(0,MIN($E38,M$19)-MAX($D38,M$18))+IF(AND($C38=1,INDEX('城市分配'!$P$6:$P$61,MATCH($A38,'城市分配'!$B$6:$B$61,0))=3),1,0)</x:f>
        <x:v>0</x:v>
      </x:c>
      <x:c r="N38" s="40" t="n">
        <x:f>MAX(0,MIN($E38,N$19)-MAX($D38,N$18))+IF(AND($C38=1,INDEX('城市分配'!$P$6:$P$61,MATCH($A38,'城市分配'!$B$6:$B$61,0))=4),1,0)</x:f>
        <x:v>1</x:v>
      </x:c>
      <x:c r="O38" s="40" t="n">
        <x:f>MAX(0,MIN($E38,O$19)-MAX($D38,O$18))+IF(AND($C38=1,INDEX('城市分配'!$P$6:$P$61,MATCH($A38,'城市分配'!$B$6:$B$61,0))=5),1,0)</x:f>
        <x:v>0</x:v>
      </x:c>
      <x:c r="P38" s="40" t="n">
        <x:f>MAX(0,MIN($E38,P$19)-MAX($D38,P$18))+IF(AND($C38=1,INDEX('城市分配'!$P$6:$P$61,MATCH($A38,'城市分配'!$B$6:$B$61,0))=6),1,0)</x:f>
        <x:v>0</x:v>
      </x:c>
      <x:c r="Q38" s="40" t="n">
        <x:f>MAX(0,MIN($E38,Q$19)-MAX($D38,Q$18))+IF(AND($C38=1,INDEX('城市分配'!$P$6:$P$61,MATCH($A38,'城市分配'!$B$6:$B$61,0))=7),1,0)</x:f>
        <x:v>0</x:v>
      </x:c>
      <x:c r="R38" s="40" t="n">
        <x:f>MAX(0,MIN($E38,R$19)-MAX($D38,R$18))+IF(AND($C38=1,INDEX('城市分配'!$P$6:$P$61,MATCH($A38,'城市分配'!$B$6:$B$61,0))=8),1,0)</x:f>
        <x:v>0</x:v>
      </x:c>
      <x:c r="S38" s="40" t="n">
        <x:f>MAX(0,MIN($E38,S$19)-MAX($D38,S$18))+IF(AND($C38=1,INDEX('城市分配'!$P$6:$P$61,MATCH($A38,'城市分配'!$B$6:$B$61,0))=9),1,0)</x:f>
        <x:v>127</x:v>
      </x:c>
      <x:c r="T38" s="40" t="n">
        <x:f>MAX(0,MIN($E38,T$19)-MAX($D38,T$18))+IF(AND($C38=1,INDEX('城市分配'!$P$6:$P$61,MATCH($A38,'城市分配'!$B$6:$B$61,0))=10),1,0)</x:f>
        <x:v>0</x:v>
      </x:c>
      <x:c r="U38" s="40" t="n">
        <x:f>MAX(0,MIN($E38,U$19)-MAX($D38,U$18))+IF(AND($C38=1,INDEX('城市分配'!$P$6:$P$61,MATCH($A38,'城市分配'!$B$6:$B$61,0))=11),1,0)</x:f>
        <x:v>0</x:v>
      </x:c>
      <x:c r="V38" s="40" t="n">
        <x:f>MAX(0,MIN($I38,J$21)-MAX($H38,J$20))+IF(AND($G38=1,INDEX('城市分配'!$P$6:$P$61,MATCH($A38,'城市分配'!$B$6:$B$61,0))=0),1,0)</x:f>
        <x:v>0</x:v>
      </x:c>
      <x:c r="W38" s="40" t="n">
        <x:f>MAX(0,MIN($I38,K$21)-MAX($H38,K$20))+IF(AND($G38=1,INDEX('城市分配'!$P$6:$P$61,MATCH($A38,'城市分配'!$B$6:$B$61,0))=1),1,0)</x:f>
        <x:v>0</x:v>
      </x:c>
      <x:c r="X38" s="40" t="n">
        <x:f>MAX(0,MIN($I38,L$21)-MAX($H38,L$20))+IF(AND($G38=1,INDEX('城市分配'!$P$6:$P$61,MATCH($A38,'城市分配'!$B$6:$B$61,0))=2),1,0)</x:f>
        <x:v>86</x:v>
      </x:c>
      <x:c r="Y38" s="40" t="n">
        <x:f>MAX(0,MIN($I38,M$21)-MAX($H38,M$20))+IF(AND($G38=1,INDEX('城市分配'!$P$6:$P$61,MATCH($A38,'城市分配'!$B$6:$B$61,0))=3),1,0)</x:f>
        <x:v>0</x:v>
      </x:c>
      <x:c r="Z38" s="40" t="n">
        <x:f>MAX(0,MIN($I38,N$21)-MAX($H38,N$20))+IF(AND($G38=1,INDEX('城市分配'!$P$6:$P$61,MATCH($A38,'城市分配'!$B$6:$B$61,0))=4),1,0)</x:f>
        <x:v>0</x:v>
      </x:c>
      <x:c r="AA38" s="40" t="n">
        <x:f>MAX(0,MIN($I38,O$21)-MAX($H38,O$20))+IF(AND($G38=1,INDEX('城市分配'!$P$6:$P$61,MATCH($A38,'城市分配'!$B$6:$B$61,0))=5),1,0)</x:f>
        <x:v>0</x:v>
      </x:c>
      <x:c r="AB38" s="40" t="n">
        <x:f>MAX(0,MIN($I38,P$21)-MAX($H38,P$20))+IF(AND($G38=1,INDEX('城市分配'!$P$6:$P$61,MATCH($A38,'城市分配'!$B$6:$B$61,0))=6),1,0)</x:f>
        <x:v>0</x:v>
      </x:c>
      <x:c r="AC38" s="40" t="n">
        <x:f>MAX(0,MIN($I38,Q$21)-MAX($H38,Q$20))+IF(AND($G38=1,INDEX('城市分配'!$P$6:$P$61,MATCH($A38,'城市分配'!$B$6:$B$61,0))=7),1,0)</x:f>
        <x:v>0</x:v>
      </x:c>
      <x:c r="AD38" s="40" t="n">
        <x:f>MAX(0,MIN($I38,R$21)-MAX($H38,R$20))+IF(AND($G38=1,INDEX('城市分配'!$P$6:$P$61,MATCH($A38,'城市分配'!$B$6:$B$61,0))=8),1,0)</x:f>
        <x:v>0</x:v>
      </x:c>
      <x:c r="AE38" s="40" t="n">
        <x:f>MAX(0,MIN($I38,S$21)-MAX($H38,S$20))+IF(AND($G38=1,INDEX('城市分配'!$P$6:$P$61,MATCH($A38,'城市分配'!$B$6:$B$61,0))=9),1,0)</x:f>
        <x:v>0</x:v>
      </x:c>
      <x:c r="AF38" s="40" t="n">
        <x:f>MAX(0,MIN($I38,T$21)-MAX($H38,T$20))+IF(AND($G38=1,INDEX('城市分配'!$P$6:$P$61,MATCH($A38,'城市分配'!$B$6:$B$61,0))=10),1,0)</x:f>
        <x:v>0</x:v>
      </x:c>
      <x:c r="AG38" s="40" t="n">
        <x:f>MAX(0,MIN($I38,U$21)-MAX($H38,U$20))+IF(AND($G38=1,INDEX('城市分配'!$P$6:$P$61,MATCH($A38,'城市分配'!$B$6:$B$61,0))=11),1,0)</x:f>
        <x:v>0</x:v>
      </x:c>
      <x:c r="AH38" s="40" t="n">
        <x:f>2*SUM(J38:U38)+4*SUM(V38:AG38)-INDEX('城市分配'!$J$6:$J$61,MATCH($A38,'城市分配'!$B$6:$B$61,0))</x:f>
        <x:v>0</x:v>
      </x:c>
      <x:c r="AI38" s="40" t="n">
        <x:f>IF(INDEX('城市分配'!$D$6:$D$61,MATCH($A38,'城市分配'!$B$6:$B$61,0))="是",--(SUM($J38:$O38)+SUM($V38:$AA38)&gt;0),0)</x:f>
        <x:v>1</x:v>
      </x:c>
    </x:row>
    <x:row r="39">
      <x:c r="A39" t="str">
        <x:v>深圳</x:v>
      </x:c>
      <x:c r="B39" s="40" t="n">
        <x:f>INDEX('城市分配'!$M$6:$M$61,MATCH($A39,'城市分配'!$B$6:$B$61,0))</x:f>
        <x:v>214</x:v>
      </x:c>
      <x:c r="C39" s="40" t="n">
        <x:f>IF(AND(INDEX('城市分配'!$D$6:$D$61,MATCH($A39,'城市分配'!$B$6:$B$61,0))="是",B39&gt;0),1,0)</x:f>
        <x:v>1</x:v>
      </x:c>
      <x:c r="D39" s="37" t="n">
        <x:f>SUM($B$28:B38)-SUM($C$28:C38)</x:f>
        <x:v>1139</x:v>
      </x:c>
      <x:c r="E39" s="37" t="n">
        <x:f>D39+B39-C39</x:f>
        <x:v>1352</x:v>
      </x:c>
      <x:c r="F39" s="40" t="n">
        <x:f>INDEX('城市分配'!$L$6:$L$61,MATCH($A39,'城市分配'!$B$6:$B$61,0))</x:f>
        <x:v>143</x:v>
      </x:c>
      <x:c r="G39" s="40" t="n">
        <x:f>IF(AND(INDEX('城市分配'!$D$6:$D$61,MATCH($A39,'城市分配'!$B$6:$B$61,0))="是",F39&gt;0,B39=0),1,0)</x:f>
        <x:v>0</x:v>
      </x:c>
      <x:c r="H39" s="37" t="n">
        <x:f>SUM($F$28:F38)-SUM($G$28:G38)</x:f>
        <x:v>1175</x:v>
      </x:c>
      <x:c r="I39" s="37" t="n">
        <x:f>H39+F39-G39</x:f>
        <x:v>1318</x:v>
      </x:c>
      <x:c r="J39" s="40" t="n">
        <x:f>MAX(0,MIN($E39,J$19)-MAX($D39,J$18))+IF(AND($C39=1,INDEX('城市分配'!$P$6:$P$61,MATCH($A39,'城市分配'!$B$6:$B$61,0))=0),1,0)</x:f>
        <x:v>0</x:v>
      </x:c>
      <x:c r="K39" s="40" t="n">
        <x:f>MAX(0,MIN($E39,K$19)-MAX($D39,K$18))+IF(AND($C39=1,INDEX('城市分配'!$P$6:$P$61,MATCH($A39,'城市分配'!$B$6:$B$61,0))=1),1,0)</x:f>
        <x:v>0</x:v>
      </x:c>
      <x:c r="L39" s="40" t="n">
        <x:f>MAX(0,MIN($E39,L$19)-MAX($D39,L$18))+IF(AND($C39=1,INDEX('城市分配'!$P$6:$P$61,MATCH($A39,'城市分配'!$B$6:$B$61,0))=2),1,0)</x:f>
        <x:v>0</x:v>
      </x:c>
      <x:c r="M39" s="40" t="n">
        <x:f>MAX(0,MIN($E39,M$19)-MAX($D39,M$18))+IF(AND($C39=1,INDEX('城市分配'!$P$6:$P$61,MATCH($A39,'城市分配'!$B$6:$B$61,0))=3),1,0)</x:f>
        <x:v>0</x:v>
      </x:c>
      <x:c r="N39" s="40" t="n">
        <x:f>MAX(0,MIN($E39,N$19)-MAX($D39,N$18))+IF(AND($C39=1,INDEX('城市分配'!$P$6:$P$61,MATCH($A39,'城市分配'!$B$6:$B$61,0))=4),1,0)</x:f>
        <x:v>0</x:v>
      </x:c>
      <x:c r="O39" s="40" t="n">
        <x:f>MAX(0,MIN($E39,O$19)-MAX($D39,O$18))+IF(AND($C39=1,INDEX('城市分配'!$P$6:$P$61,MATCH($A39,'城市分配'!$B$6:$B$61,0))=5),1,0)</x:f>
        <x:v>1</x:v>
      </x:c>
      <x:c r="P39" s="40" t="n">
        <x:f>MAX(0,MIN($E39,P$19)-MAX($D39,P$18))+IF(AND($C39=1,INDEX('城市分配'!$P$6:$P$61,MATCH($A39,'城市分配'!$B$6:$B$61,0))=6),1,0)</x:f>
        <x:v>0</x:v>
      </x:c>
      <x:c r="Q39" s="40" t="n">
        <x:f>MAX(0,MIN($E39,Q$19)-MAX($D39,Q$18))+IF(AND($C39=1,INDEX('城市分配'!$P$6:$P$61,MATCH($A39,'城市分配'!$B$6:$B$61,0))=7),1,0)</x:f>
        <x:v>0</x:v>
      </x:c>
      <x:c r="R39" s="40" t="n">
        <x:f>MAX(0,MIN($E39,R$19)-MAX($D39,R$18))+IF(AND($C39=1,INDEX('城市分配'!$P$6:$P$61,MATCH($A39,'城市分配'!$B$6:$B$61,0))=8),1,0)</x:f>
        <x:v>0</x:v>
      </x:c>
      <x:c r="S39" s="40" t="n">
        <x:f>MAX(0,MIN($E39,S$19)-MAX($D39,S$18))+IF(AND($C39=1,INDEX('城市分配'!$P$6:$P$61,MATCH($A39,'城市分配'!$B$6:$B$61,0))=9),1,0)</x:f>
        <x:v>213</x:v>
      </x:c>
      <x:c r="T39" s="40" t="n">
        <x:f>MAX(0,MIN($E39,T$19)-MAX($D39,T$18))+IF(AND($C39=1,INDEX('城市分配'!$P$6:$P$61,MATCH($A39,'城市分配'!$B$6:$B$61,0))=10),1,0)</x:f>
        <x:v>0</x:v>
      </x:c>
      <x:c r="U39" s="40" t="n">
        <x:f>MAX(0,MIN($E39,U$19)-MAX($D39,U$18))+IF(AND($C39=1,INDEX('城市分配'!$P$6:$P$61,MATCH($A39,'城市分配'!$B$6:$B$61,0))=11),1,0)</x:f>
        <x:v>0</x:v>
      </x:c>
      <x:c r="V39" s="40" t="n">
        <x:f>MAX(0,MIN($I39,J$21)-MAX($H39,J$20))+IF(AND($G39=1,INDEX('城市分配'!$P$6:$P$61,MATCH($A39,'城市分配'!$B$6:$B$61,0))=0),1,0)</x:f>
        <x:v>0</x:v>
      </x:c>
      <x:c r="W39" s="40" t="n">
        <x:f>MAX(0,MIN($I39,K$21)-MAX($H39,K$20))+IF(AND($G39=1,INDEX('城市分配'!$P$6:$P$61,MATCH($A39,'城市分配'!$B$6:$B$61,0))=1),1,0)</x:f>
        <x:v>0</x:v>
      </x:c>
      <x:c r="X39" s="40" t="n">
        <x:f>MAX(0,MIN($I39,L$21)-MAX($H39,L$20))+IF(AND($G39=1,INDEX('城市分配'!$P$6:$P$61,MATCH($A39,'城市分配'!$B$6:$B$61,0))=2),1,0)</x:f>
        <x:v>143</x:v>
      </x:c>
      <x:c r="Y39" s="40" t="n">
        <x:f>MAX(0,MIN($I39,M$21)-MAX($H39,M$20))+IF(AND($G39=1,INDEX('城市分配'!$P$6:$P$61,MATCH($A39,'城市分配'!$B$6:$B$61,0))=3),1,0)</x:f>
        <x:v>0</x:v>
      </x:c>
      <x:c r="Z39" s="40" t="n">
        <x:f>MAX(0,MIN($I39,N$21)-MAX($H39,N$20))+IF(AND($G39=1,INDEX('城市分配'!$P$6:$P$61,MATCH($A39,'城市分配'!$B$6:$B$61,0))=4),1,0)</x:f>
        <x:v>0</x:v>
      </x:c>
      <x:c r="AA39" s="40" t="n">
        <x:f>MAX(0,MIN($I39,O$21)-MAX($H39,O$20))+IF(AND($G39=1,INDEX('城市分配'!$P$6:$P$61,MATCH($A39,'城市分配'!$B$6:$B$61,0))=5),1,0)</x:f>
        <x:v>0</x:v>
      </x:c>
      <x:c r="AB39" s="40" t="n">
        <x:f>MAX(0,MIN($I39,P$21)-MAX($H39,P$20))+IF(AND($G39=1,INDEX('城市分配'!$P$6:$P$61,MATCH($A39,'城市分配'!$B$6:$B$61,0))=6),1,0)</x:f>
        <x:v>0</x:v>
      </x:c>
      <x:c r="AC39" s="40" t="n">
        <x:f>MAX(0,MIN($I39,Q$21)-MAX($H39,Q$20))+IF(AND($G39=1,INDEX('城市分配'!$P$6:$P$61,MATCH($A39,'城市分配'!$B$6:$B$61,0))=7),1,0)</x:f>
        <x:v>0</x:v>
      </x:c>
      <x:c r="AD39" s="40" t="n">
        <x:f>MAX(0,MIN($I39,R$21)-MAX($H39,R$20))+IF(AND($G39=1,INDEX('城市分配'!$P$6:$P$61,MATCH($A39,'城市分配'!$B$6:$B$61,0))=8),1,0)</x:f>
        <x:v>0</x:v>
      </x:c>
      <x:c r="AE39" s="40" t="n">
        <x:f>MAX(0,MIN($I39,S$21)-MAX($H39,S$20))+IF(AND($G39=1,INDEX('城市分配'!$P$6:$P$61,MATCH($A39,'城市分配'!$B$6:$B$61,0))=9),1,0)</x:f>
        <x:v>0</x:v>
      </x:c>
      <x:c r="AF39" s="40" t="n">
        <x:f>MAX(0,MIN($I39,T$21)-MAX($H39,T$20))+IF(AND($G39=1,INDEX('城市分配'!$P$6:$P$61,MATCH($A39,'城市分配'!$B$6:$B$61,0))=10),1,0)</x:f>
        <x:v>0</x:v>
      </x:c>
      <x:c r="AG39" s="40" t="n">
        <x:f>MAX(0,MIN($I39,U$21)-MAX($H39,U$20))+IF(AND($G39=1,INDEX('城市分配'!$P$6:$P$61,MATCH($A39,'城市分配'!$B$6:$B$61,0))=11),1,0)</x:f>
        <x:v>0</x:v>
      </x:c>
      <x:c r="AH39" s="40" t="n">
        <x:f>2*SUM(J39:U39)+4*SUM(V39:AG39)-INDEX('城市分配'!$J$6:$J$61,MATCH($A39,'城市分配'!$B$6:$B$61,0))</x:f>
        <x:v>0</x:v>
      </x:c>
      <x:c r="AI39" s="40" t="n">
        <x:f>IF(INDEX('城市分配'!$D$6:$D$61,MATCH($A39,'城市分配'!$B$6:$B$61,0))="是",--(SUM($J39:$O39)+SUM($V39:$AA39)&gt;0),0)</x:f>
        <x:v>1</x:v>
      </x:c>
    </x:row>
    <x:row r="40">
      <x:c r="A40" t="str">
        <x:v>嘉兴</x:v>
      </x:c>
      <x:c r="B40" s="40" t="n">
        <x:f>INDEX('城市分配'!$M$6:$M$61,MATCH($A40,'城市分配'!$B$6:$B$61,0))</x:f>
        <x:v>128</x:v>
      </x:c>
      <x:c r="C40" s="40" t="n">
        <x:f>IF(AND(INDEX('城市分配'!$D$6:$D$61,MATCH($A40,'城市分配'!$B$6:$B$61,0))="是",B40&gt;0),1,0)</x:f>
        <x:v>1</x:v>
      </x:c>
      <x:c r="D40" s="37" t="n">
        <x:f>SUM($B$28:B39)-SUM($C$28:C39)</x:f>
        <x:v>1352</x:v>
      </x:c>
      <x:c r="E40" s="37" t="n">
        <x:f>D40+B40-C40</x:f>
        <x:v>1479</x:v>
      </x:c>
      <x:c r="F40" s="40" t="n">
        <x:f>INDEX('城市分配'!$L$6:$L$61,MATCH($A40,'城市分配'!$B$6:$B$61,0))</x:f>
        <x:v>86</x:v>
      </x:c>
      <x:c r="G40" s="40" t="n">
        <x:f>IF(AND(INDEX('城市分配'!$D$6:$D$61,MATCH($A40,'城市分配'!$B$6:$B$61,0))="是",F40&gt;0,B40=0),1,0)</x:f>
        <x:v>0</x:v>
      </x:c>
      <x:c r="H40" s="37" t="n">
        <x:f>SUM($F$28:F39)-SUM($G$28:G39)</x:f>
        <x:v>1318</x:v>
      </x:c>
      <x:c r="I40" s="37" t="n">
        <x:f>H40+F40-G40</x:f>
        <x:v>1404</x:v>
      </x:c>
      <x:c r="J40" s="40" t="n">
        <x:f>MAX(0,MIN($E40,J$19)-MAX($D40,J$18))+IF(AND($C40=1,INDEX('城市分配'!$P$6:$P$61,MATCH($A40,'城市分配'!$B$6:$B$61,0))=0),1,0)</x:f>
        <x:v>1</x:v>
      </x:c>
      <x:c r="K40" s="40" t="n">
        <x:f>MAX(0,MIN($E40,K$19)-MAX($D40,K$18))+IF(AND($C40=1,INDEX('城市分配'!$P$6:$P$61,MATCH($A40,'城市分配'!$B$6:$B$61,0))=1),1,0)</x:f>
        <x:v>0</x:v>
      </x:c>
      <x:c r="L40" s="40" t="n">
        <x:f>MAX(0,MIN($E40,L$19)-MAX($D40,L$18))+IF(AND($C40=1,INDEX('城市分配'!$P$6:$P$61,MATCH($A40,'城市分配'!$B$6:$B$61,0))=2),1,0)</x:f>
        <x:v>0</x:v>
      </x:c>
      <x:c r="M40" s="40" t="n">
        <x:f>MAX(0,MIN($E40,M$19)-MAX($D40,M$18))+IF(AND($C40=1,INDEX('城市分配'!$P$6:$P$61,MATCH($A40,'城市分配'!$B$6:$B$61,0))=3),1,0)</x:f>
        <x:v>0</x:v>
      </x:c>
      <x:c r="N40" s="40" t="n">
        <x:f>MAX(0,MIN($E40,N$19)-MAX($D40,N$18))+IF(AND($C40=1,INDEX('城市分配'!$P$6:$P$61,MATCH($A40,'城市分配'!$B$6:$B$61,0))=4),1,0)</x:f>
        <x:v>0</x:v>
      </x:c>
      <x:c r="O40" s="40" t="n">
        <x:f>MAX(0,MIN($E40,O$19)-MAX($D40,O$18))+IF(AND($C40=1,INDEX('城市分配'!$P$6:$P$61,MATCH($A40,'城市分配'!$B$6:$B$61,0))=5),1,0)</x:f>
        <x:v>0</x:v>
      </x:c>
      <x:c r="P40" s="40" t="n">
        <x:f>MAX(0,MIN($E40,P$19)-MAX($D40,P$18))+IF(AND($C40=1,INDEX('城市分配'!$P$6:$P$61,MATCH($A40,'城市分配'!$B$6:$B$61,0))=6),1,0)</x:f>
        <x:v>0</x:v>
      </x:c>
      <x:c r="Q40" s="40" t="n">
        <x:f>MAX(0,MIN($E40,Q$19)-MAX($D40,Q$18))+IF(AND($C40=1,INDEX('城市分配'!$P$6:$P$61,MATCH($A40,'城市分配'!$B$6:$B$61,0))=7),1,0)</x:f>
        <x:v>0</x:v>
      </x:c>
      <x:c r="R40" s="40" t="n">
        <x:f>MAX(0,MIN($E40,R$19)-MAX($D40,R$18))+IF(AND($C40=1,INDEX('城市分配'!$P$6:$P$61,MATCH($A40,'城市分配'!$B$6:$B$61,0))=8),1,0)</x:f>
        <x:v>0</x:v>
      </x:c>
      <x:c r="S40" s="40" t="n">
        <x:f>MAX(0,MIN($E40,S$19)-MAX($D40,S$18))+IF(AND($C40=1,INDEX('城市分配'!$P$6:$P$61,MATCH($A40,'城市分配'!$B$6:$B$61,0))=9),1,0)</x:f>
        <x:v>127</x:v>
      </x:c>
      <x:c r="T40" s="40" t="n">
        <x:f>MAX(0,MIN($E40,T$19)-MAX($D40,T$18))+IF(AND($C40=1,INDEX('城市分配'!$P$6:$P$61,MATCH($A40,'城市分配'!$B$6:$B$61,0))=10),1,0)</x:f>
        <x:v>0</x:v>
      </x:c>
      <x:c r="U40" s="40" t="n">
        <x:f>MAX(0,MIN($E40,U$19)-MAX($D40,U$18))+IF(AND($C40=1,INDEX('城市分配'!$P$6:$P$61,MATCH($A40,'城市分配'!$B$6:$B$61,0))=11),1,0)</x:f>
        <x:v>0</x:v>
      </x:c>
      <x:c r="V40" s="40" t="n">
        <x:f>MAX(0,MIN($I40,J$21)-MAX($H40,J$20))+IF(AND($G40=1,INDEX('城市分配'!$P$6:$P$61,MATCH($A40,'城市分配'!$B$6:$B$61,0))=0),1,0)</x:f>
        <x:v>0</x:v>
      </x:c>
      <x:c r="W40" s="40" t="n">
        <x:f>MAX(0,MIN($I40,K$21)-MAX($H40,K$20))+IF(AND($G40=1,INDEX('城市分配'!$P$6:$P$61,MATCH($A40,'城市分配'!$B$6:$B$61,0))=1),1,0)</x:f>
        <x:v>0</x:v>
      </x:c>
      <x:c r="X40" s="40" t="n">
        <x:f>MAX(0,MIN($I40,L$21)-MAX($H40,L$20))+IF(AND($G40=1,INDEX('城市分配'!$P$6:$P$61,MATCH($A40,'城市分配'!$B$6:$B$61,0))=2),1,0)</x:f>
        <x:v>24</x:v>
      </x:c>
      <x:c r="Y40" s="40" t="n">
        <x:f>MAX(0,MIN($I40,M$21)-MAX($H40,M$20))+IF(AND($G40=1,INDEX('城市分配'!$P$6:$P$61,MATCH($A40,'城市分配'!$B$6:$B$61,0))=3),1,0)</x:f>
        <x:v>62</x:v>
      </x:c>
      <x:c r="Z40" s="40" t="n">
        <x:f>MAX(0,MIN($I40,N$21)-MAX($H40,N$20))+IF(AND($G40=1,INDEX('城市分配'!$P$6:$P$61,MATCH($A40,'城市分配'!$B$6:$B$61,0))=4),1,0)</x:f>
        <x:v>0</x:v>
      </x:c>
      <x:c r="AA40" s="40" t="n">
        <x:f>MAX(0,MIN($I40,O$21)-MAX($H40,O$20))+IF(AND($G40=1,INDEX('城市分配'!$P$6:$P$61,MATCH($A40,'城市分配'!$B$6:$B$61,0))=5),1,0)</x:f>
        <x:v>0</x:v>
      </x:c>
      <x:c r="AB40" s="40" t="n">
        <x:f>MAX(0,MIN($I40,P$21)-MAX($H40,P$20))+IF(AND($G40=1,INDEX('城市分配'!$P$6:$P$61,MATCH($A40,'城市分配'!$B$6:$B$61,0))=6),1,0)</x:f>
        <x:v>0</x:v>
      </x:c>
      <x:c r="AC40" s="40" t="n">
        <x:f>MAX(0,MIN($I40,Q$21)-MAX($H40,Q$20))+IF(AND($G40=1,INDEX('城市分配'!$P$6:$P$61,MATCH($A40,'城市分配'!$B$6:$B$61,0))=7),1,0)</x:f>
        <x:v>0</x:v>
      </x:c>
      <x:c r="AD40" s="40" t="n">
        <x:f>MAX(0,MIN($I40,R$21)-MAX($H40,R$20))+IF(AND($G40=1,INDEX('城市分配'!$P$6:$P$61,MATCH($A40,'城市分配'!$B$6:$B$61,0))=8),1,0)</x:f>
        <x:v>0</x:v>
      </x:c>
      <x:c r="AE40" s="40" t="n">
        <x:f>MAX(0,MIN($I40,S$21)-MAX($H40,S$20))+IF(AND($G40=1,INDEX('城市分配'!$P$6:$P$61,MATCH($A40,'城市分配'!$B$6:$B$61,0))=9),1,0)</x:f>
        <x:v>0</x:v>
      </x:c>
      <x:c r="AF40" s="40" t="n">
        <x:f>MAX(0,MIN($I40,T$21)-MAX($H40,T$20))+IF(AND($G40=1,INDEX('城市分配'!$P$6:$P$61,MATCH($A40,'城市分配'!$B$6:$B$61,0))=10),1,0)</x:f>
        <x:v>0</x:v>
      </x:c>
      <x:c r="AG40" s="40" t="n">
        <x:f>MAX(0,MIN($I40,U$21)-MAX($H40,U$20))+IF(AND($G40=1,INDEX('城市分配'!$P$6:$P$61,MATCH($A40,'城市分配'!$B$6:$B$61,0))=11),1,0)</x:f>
        <x:v>0</x:v>
      </x:c>
      <x:c r="AH40" s="40" t="n">
        <x:f>2*SUM(J40:U40)+4*SUM(V40:AG40)-INDEX('城市分配'!$J$6:$J$61,MATCH($A40,'城市分配'!$B$6:$B$61,0))</x:f>
        <x:v>0</x:v>
      </x:c>
      <x:c r="AI40" s="40" t="n">
        <x:f>IF(INDEX('城市分配'!$D$6:$D$61,MATCH($A40,'城市分配'!$B$6:$B$61,0))="是",--(SUM($J40:$O40)+SUM($V40:$AA40)&gt;0),0)</x:f>
        <x:v>1</x:v>
      </x:c>
    </x:row>
    <x:row r="41">
      <x:c r="A41" t="str">
        <x:v>金华</x:v>
      </x:c>
      <x:c r="B41" s="40" t="n">
        <x:f>INDEX('城市分配'!$M$6:$M$61,MATCH($A41,'城市分配'!$B$6:$B$61,0))</x:f>
        <x:v>128</x:v>
      </x:c>
      <x:c r="C41" s="40" t="n">
        <x:f>IF(AND(INDEX('城市分配'!$D$6:$D$61,MATCH($A41,'城市分配'!$B$6:$B$61,0))="是",B41&gt;0),1,0)</x:f>
        <x:v>1</x:v>
      </x:c>
      <x:c r="D41" s="37" t="n">
        <x:f>SUM($B$28:B40)-SUM($C$28:C40)</x:f>
        <x:v>1479</x:v>
      </x:c>
      <x:c r="E41" s="37" t="n">
        <x:f>D41+B41-C41</x:f>
        <x:v>1606</x:v>
      </x:c>
      <x:c r="F41" s="40" t="n">
        <x:f>INDEX('城市分配'!$L$6:$L$61,MATCH($A41,'城市分配'!$B$6:$B$61,0))</x:f>
        <x:v>86</x:v>
      </x:c>
      <x:c r="G41" s="40" t="n">
        <x:f>IF(AND(INDEX('城市分配'!$D$6:$D$61,MATCH($A41,'城市分配'!$B$6:$B$61,0))="是",F41&gt;0,B41=0),1,0)</x:f>
        <x:v>0</x:v>
      </x:c>
      <x:c r="H41" s="37" t="n">
        <x:f>SUM($F$28:F40)-SUM($G$28:G40)</x:f>
        <x:v>1404</x:v>
      </x:c>
      <x:c r="I41" s="37" t="n">
        <x:f>H41+F41-G41</x:f>
        <x:v>1490</x:v>
      </x:c>
      <x:c r="J41" s="40" t="n">
        <x:f>MAX(0,MIN($E41,J$19)-MAX($D41,J$18))+IF(AND($C41=1,INDEX('城市分配'!$P$6:$P$61,MATCH($A41,'城市分配'!$B$6:$B$61,0))=0),1,0)</x:f>
        <x:v>0</x:v>
      </x:c>
      <x:c r="K41" s="40" t="n">
        <x:f>MAX(0,MIN($E41,K$19)-MAX($D41,K$18))+IF(AND($C41=1,INDEX('城市分配'!$P$6:$P$61,MATCH($A41,'城市分配'!$B$6:$B$61,0))=1),1,0)</x:f>
        <x:v>1</x:v>
      </x:c>
      <x:c r="L41" s="40" t="n">
        <x:f>MAX(0,MIN($E41,L$19)-MAX($D41,L$18))+IF(AND($C41=1,INDEX('城市分配'!$P$6:$P$61,MATCH($A41,'城市分配'!$B$6:$B$61,0))=2),1,0)</x:f>
        <x:v>0</x:v>
      </x:c>
      <x:c r="M41" s="40" t="n">
        <x:f>MAX(0,MIN($E41,M$19)-MAX($D41,M$18))+IF(AND($C41=1,INDEX('城市分配'!$P$6:$P$61,MATCH($A41,'城市分配'!$B$6:$B$61,0))=3),1,0)</x:f>
        <x:v>0</x:v>
      </x:c>
      <x:c r="N41" s="40" t="n">
        <x:f>MAX(0,MIN($E41,N$19)-MAX($D41,N$18))+IF(AND($C41=1,INDEX('城市分配'!$P$6:$P$61,MATCH($A41,'城市分配'!$B$6:$B$61,0))=4),1,0)</x:f>
        <x:v>0</x:v>
      </x:c>
      <x:c r="O41" s="40" t="n">
        <x:f>MAX(0,MIN($E41,O$19)-MAX($D41,O$18))+IF(AND($C41=1,INDEX('城市分配'!$P$6:$P$61,MATCH($A41,'城市分配'!$B$6:$B$61,0))=5),1,0)</x:f>
        <x:v>0</x:v>
      </x:c>
      <x:c r="P41" s="40" t="n">
        <x:f>MAX(0,MIN($E41,P$19)-MAX($D41,P$18))+IF(AND($C41=1,INDEX('城市分配'!$P$6:$P$61,MATCH($A41,'城市分配'!$B$6:$B$61,0))=6),1,0)</x:f>
        <x:v>0</x:v>
      </x:c>
      <x:c r="Q41" s="40" t="n">
        <x:f>MAX(0,MIN($E41,Q$19)-MAX($D41,Q$18))+IF(AND($C41=1,INDEX('城市分配'!$P$6:$P$61,MATCH($A41,'城市分配'!$B$6:$B$61,0))=7),1,0)</x:f>
        <x:v>0</x:v>
      </x:c>
      <x:c r="R41" s="40" t="n">
        <x:f>MAX(0,MIN($E41,R$19)-MAX($D41,R$18))+IF(AND($C41=1,INDEX('城市分配'!$P$6:$P$61,MATCH($A41,'城市分配'!$B$6:$B$61,0))=8),1,0)</x:f>
        <x:v>0</x:v>
      </x:c>
      <x:c r="S41" s="40" t="n">
        <x:f>MAX(0,MIN($E41,S$19)-MAX($D41,S$18))+IF(AND($C41=1,INDEX('城市分配'!$P$6:$P$61,MATCH($A41,'城市分配'!$B$6:$B$61,0))=9),1,0)</x:f>
        <x:v>127</x:v>
      </x:c>
      <x:c r="T41" s="40" t="n">
        <x:f>MAX(0,MIN($E41,T$19)-MAX($D41,T$18))+IF(AND($C41=1,INDEX('城市分配'!$P$6:$P$61,MATCH($A41,'城市分配'!$B$6:$B$61,0))=10),1,0)</x:f>
        <x:v>0</x:v>
      </x:c>
      <x:c r="U41" s="40" t="n">
        <x:f>MAX(0,MIN($E41,U$19)-MAX($D41,U$18))+IF(AND($C41=1,INDEX('城市分配'!$P$6:$P$61,MATCH($A41,'城市分配'!$B$6:$B$61,0))=11),1,0)</x:f>
        <x:v>0</x:v>
      </x:c>
      <x:c r="V41" s="40" t="n">
        <x:f>MAX(0,MIN($I41,J$21)-MAX($H41,J$20))+IF(AND($G41=1,INDEX('城市分配'!$P$6:$P$61,MATCH($A41,'城市分配'!$B$6:$B$61,0))=0),1,0)</x:f>
        <x:v>0</x:v>
      </x:c>
      <x:c r="W41" s="40" t="n">
        <x:f>MAX(0,MIN($I41,K$21)-MAX($H41,K$20))+IF(AND($G41=1,INDEX('城市分配'!$P$6:$P$61,MATCH($A41,'城市分配'!$B$6:$B$61,0))=1),1,0)</x:f>
        <x:v>0</x:v>
      </x:c>
      <x:c r="X41" s="40" t="n">
        <x:f>MAX(0,MIN($I41,L$21)-MAX($H41,L$20))+IF(AND($G41=1,INDEX('城市分配'!$P$6:$P$61,MATCH($A41,'城市分配'!$B$6:$B$61,0))=2),1,0)</x:f>
        <x:v>0</x:v>
      </x:c>
      <x:c r="Y41" s="40" t="n">
        <x:f>MAX(0,MIN($I41,M$21)-MAX($H41,M$20))+IF(AND($G41=1,INDEX('城市分配'!$P$6:$P$61,MATCH($A41,'城市分配'!$B$6:$B$61,0))=3),1,0)</x:f>
        <x:v>86</x:v>
      </x:c>
      <x:c r="Z41" s="40" t="n">
        <x:f>MAX(0,MIN($I41,N$21)-MAX($H41,N$20))+IF(AND($G41=1,INDEX('城市分配'!$P$6:$P$61,MATCH($A41,'城市分配'!$B$6:$B$61,0))=4),1,0)</x:f>
        <x:v>0</x:v>
      </x:c>
      <x:c r="AA41" s="40" t="n">
        <x:f>MAX(0,MIN($I41,O$21)-MAX($H41,O$20))+IF(AND($G41=1,INDEX('城市分配'!$P$6:$P$61,MATCH($A41,'城市分配'!$B$6:$B$61,0))=5),1,0)</x:f>
        <x:v>0</x:v>
      </x:c>
      <x:c r="AB41" s="40" t="n">
        <x:f>MAX(0,MIN($I41,P$21)-MAX($H41,P$20))+IF(AND($G41=1,INDEX('城市分配'!$P$6:$P$61,MATCH($A41,'城市分配'!$B$6:$B$61,0))=6),1,0)</x:f>
        <x:v>0</x:v>
      </x:c>
      <x:c r="AC41" s="40" t="n">
        <x:f>MAX(0,MIN($I41,Q$21)-MAX($H41,Q$20))+IF(AND($G41=1,INDEX('城市分配'!$P$6:$P$61,MATCH($A41,'城市分配'!$B$6:$B$61,0))=7),1,0)</x:f>
        <x:v>0</x:v>
      </x:c>
      <x:c r="AD41" s="40" t="n">
        <x:f>MAX(0,MIN($I41,R$21)-MAX($H41,R$20))+IF(AND($G41=1,INDEX('城市分配'!$P$6:$P$61,MATCH($A41,'城市分配'!$B$6:$B$61,0))=8),1,0)</x:f>
        <x:v>0</x:v>
      </x:c>
      <x:c r="AE41" s="40" t="n">
        <x:f>MAX(0,MIN($I41,S$21)-MAX($H41,S$20))+IF(AND($G41=1,INDEX('城市分配'!$P$6:$P$61,MATCH($A41,'城市分配'!$B$6:$B$61,0))=9),1,0)</x:f>
        <x:v>0</x:v>
      </x:c>
      <x:c r="AF41" s="40" t="n">
        <x:f>MAX(0,MIN($I41,T$21)-MAX($H41,T$20))+IF(AND($G41=1,INDEX('城市分配'!$P$6:$P$61,MATCH($A41,'城市分配'!$B$6:$B$61,0))=10),1,0)</x:f>
        <x:v>0</x:v>
      </x:c>
      <x:c r="AG41" s="40" t="n">
        <x:f>MAX(0,MIN($I41,U$21)-MAX($H41,U$20))+IF(AND($G41=1,INDEX('城市分配'!$P$6:$P$61,MATCH($A41,'城市分配'!$B$6:$B$61,0))=11),1,0)</x:f>
        <x:v>0</x:v>
      </x:c>
      <x:c r="AH41" s="40" t="n">
        <x:f>2*SUM(J41:U41)+4*SUM(V41:AG41)-INDEX('城市分配'!$J$6:$J$61,MATCH($A41,'城市分配'!$B$6:$B$61,0))</x:f>
        <x:v>0</x:v>
      </x:c>
      <x:c r="AI41" s="40" t="n">
        <x:f>IF(INDEX('城市分配'!$D$6:$D$61,MATCH($A41,'城市分配'!$B$6:$B$61,0))="是",--(SUM($J41:$O41)+SUM($V41:$AA41)&gt;0),0)</x:f>
        <x:v>1</x:v>
      </x:c>
    </x:row>
    <x:row r="42">
      <x:c r="A42" t="str">
        <x:v>北京</x:v>
      </x:c>
      <x:c r="B42" s="40" t="n">
        <x:f>INDEX('城市分配'!$M$6:$M$61,MATCH($A42,'城市分配'!$B$6:$B$61,0))</x:f>
        <x:v>88</x:v>
      </x:c>
      <x:c r="C42" s="40" t="n">
        <x:f>IF(AND(INDEX('城市分配'!$D$6:$D$61,MATCH($A42,'城市分配'!$B$6:$B$61,0))="是",B42&gt;0),1,0)</x:f>
        <x:v>1</x:v>
      </x:c>
      <x:c r="D42" s="37" t="n">
        <x:f>SUM($B$28:B41)-SUM($C$28:C41)</x:f>
        <x:v>1606</x:v>
      </x:c>
      <x:c r="E42" s="37" t="n">
        <x:f>D42+B42-C42</x:f>
        <x:v>1693</x:v>
      </x:c>
      <x:c r="F42" s="40" t="n">
        <x:f>INDEX('城市分配'!$L$6:$L$61,MATCH($A42,'城市分配'!$B$6:$B$61,0))</x:f>
        <x:v>206</x:v>
      </x:c>
      <x:c r="G42" s="40" t="n">
        <x:f>IF(AND(INDEX('城市分配'!$D$6:$D$61,MATCH($A42,'城市分配'!$B$6:$B$61,0))="是",F42&gt;0,B42=0),1,0)</x:f>
        <x:v>0</x:v>
      </x:c>
      <x:c r="H42" s="37" t="n">
        <x:f>SUM($F$28:F41)-SUM($G$28:G41)</x:f>
        <x:v>1490</x:v>
      </x:c>
      <x:c r="I42" s="37" t="n">
        <x:f>H42+F42-G42</x:f>
        <x:v>1696</x:v>
      </x:c>
      <x:c r="J42" s="40" t="n">
        <x:f>MAX(0,MIN($E42,J$19)-MAX($D42,J$18))+IF(AND($C42=1,INDEX('城市分配'!$P$6:$P$61,MATCH($A42,'城市分配'!$B$6:$B$61,0))=0),1,0)</x:f>
        <x:v>0</x:v>
      </x:c>
      <x:c r="K42" s="40" t="n">
        <x:f>MAX(0,MIN($E42,K$19)-MAX($D42,K$18))+IF(AND($C42=1,INDEX('城市分配'!$P$6:$P$61,MATCH($A42,'城市分配'!$B$6:$B$61,0))=1),1,0)</x:f>
        <x:v>0</x:v>
      </x:c>
      <x:c r="L42" s="40" t="n">
        <x:f>MAX(0,MIN($E42,L$19)-MAX($D42,L$18))+IF(AND($C42=1,INDEX('城市分配'!$P$6:$P$61,MATCH($A42,'城市分配'!$B$6:$B$61,0))=2),1,0)</x:f>
        <x:v>1</x:v>
      </x:c>
      <x:c r="M42" s="40" t="n">
        <x:f>MAX(0,MIN($E42,M$19)-MAX($D42,M$18))+IF(AND($C42=1,INDEX('城市分配'!$P$6:$P$61,MATCH($A42,'城市分配'!$B$6:$B$61,0))=3),1,0)</x:f>
        <x:v>0</x:v>
      </x:c>
      <x:c r="N42" s="40" t="n">
        <x:f>MAX(0,MIN($E42,N$19)-MAX($D42,N$18))+IF(AND($C42=1,INDEX('城市分配'!$P$6:$P$61,MATCH($A42,'城市分配'!$B$6:$B$61,0))=4),1,0)</x:f>
        <x:v>0</x:v>
      </x:c>
      <x:c r="O42" s="40" t="n">
        <x:f>MAX(0,MIN($E42,O$19)-MAX($D42,O$18))+IF(AND($C42=1,INDEX('城市分配'!$P$6:$P$61,MATCH($A42,'城市分配'!$B$6:$B$61,0))=5),1,0)</x:f>
        <x:v>0</x:v>
      </x:c>
      <x:c r="P42" s="40" t="n">
        <x:f>MAX(0,MIN($E42,P$19)-MAX($D42,P$18))+IF(AND($C42=1,INDEX('城市分配'!$P$6:$P$61,MATCH($A42,'城市分配'!$B$6:$B$61,0))=6),1,0)</x:f>
        <x:v>0</x:v>
      </x:c>
      <x:c r="Q42" s="40" t="n">
        <x:f>MAX(0,MIN($E42,Q$19)-MAX($D42,Q$18))+IF(AND($C42=1,INDEX('城市分配'!$P$6:$P$61,MATCH($A42,'城市分配'!$B$6:$B$61,0))=7),1,0)</x:f>
        <x:v>0</x:v>
      </x:c>
      <x:c r="R42" s="40" t="n">
        <x:f>MAX(0,MIN($E42,R$19)-MAX($D42,R$18))+IF(AND($C42=1,INDEX('城市分配'!$P$6:$P$61,MATCH($A42,'城市分配'!$B$6:$B$61,0))=8),1,0)</x:f>
        <x:v>0</x:v>
      </x:c>
      <x:c r="S42" s="40" t="n">
        <x:f>MAX(0,MIN($E42,S$19)-MAX($D42,S$18))+IF(AND($C42=1,INDEX('城市分配'!$P$6:$P$61,MATCH($A42,'城市分配'!$B$6:$B$61,0))=9),1,0)</x:f>
        <x:v>87</x:v>
      </x:c>
      <x:c r="T42" s="40" t="n">
        <x:f>MAX(0,MIN($E42,T$19)-MAX($D42,T$18))+IF(AND($C42=1,INDEX('城市分配'!$P$6:$P$61,MATCH($A42,'城市分配'!$B$6:$B$61,0))=10),1,0)</x:f>
        <x:v>0</x:v>
      </x:c>
      <x:c r="U42" s="40" t="n">
        <x:f>MAX(0,MIN($E42,U$19)-MAX($D42,U$18))+IF(AND($C42=1,INDEX('城市分配'!$P$6:$P$61,MATCH($A42,'城市分配'!$B$6:$B$61,0))=11),1,0)</x:f>
        <x:v>0</x:v>
      </x:c>
      <x:c r="V42" s="40" t="n">
        <x:f>MAX(0,MIN($I42,J$21)-MAX($H42,J$20))+IF(AND($G42=1,INDEX('城市分配'!$P$6:$P$61,MATCH($A42,'城市分配'!$B$6:$B$61,0))=0),1,0)</x:f>
        <x:v>0</x:v>
      </x:c>
      <x:c r="W42" s="40" t="n">
        <x:f>MAX(0,MIN($I42,K$21)-MAX($H42,K$20))+IF(AND($G42=1,INDEX('城市分配'!$P$6:$P$61,MATCH($A42,'城市分配'!$B$6:$B$61,0))=1),1,0)</x:f>
        <x:v>0</x:v>
      </x:c>
      <x:c r="X42" s="40" t="n">
        <x:f>MAX(0,MIN($I42,L$21)-MAX($H42,L$20))+IF(AND($G42=1,INDEX('城市分配'!$P$6:$P$61,MATCH($A42,'城市分配'!$B$6:$B$61,0))=2),1,0)</x:f>
        <x:v>0</x:v>
      </x:c>
      <x:c r="Y42" s="40" t="n">
        <x:f>MAX(0,MIN($I42,M$21)-MAX($H42,M$20))+IF(AND($G42=1,INDEX('城市分配'!$P$6:$P$61,MATCH($A42,'城市分配'!$B$6:$B$61,0))=3),1,0)</x:f>
        <x:v>206</x:v>
      </x:c>
      <x:c r="Z42" s="40" t="n">
        <x:f>MAX(0,MIN($I42,N$21)-MAX($H42,N$20))+IF(AND($G42=1,INDEX('城市分配'!$P$6:$P$61,MATCH($A42,'城市分配'!$B$6:$B$61,0))=4),1,0)</x:f>
        <x:v>0</x:v>
      </x:c>
      <x:c r="AA42" s="40" t="n">
        <x:f>MAX(0,MIN($I42,O$21)-MAX($H42,O$20))+IF(AND($G42=1,INDEX('城市分配'!$P$6:$P$61,MATCH($A42,'城市分配'!$B$6:$B$61,0))=5),1,0)</x:f>
        <x:v>0</x:v>
      </x:c>
      <x:c r="AB42" s="40" t="n">
        <x:f>MAX(0,MIN($I42,P$21)-MAX($H42,P$20))+IF(AND($G42=1,INDEX('城市分配'!$P$6:$P$61,MATCH($A42,'城市分配'!$B$6:$B$61,0))=6),1,0)</x:f>
        <x:v>0</x:v>
      </x:c>
      <x:c r="AC42" s="40" t="n">
        <x:f>MAX(0,MIN($I42,Q$21)-MAX($H42,Q$20))+IF(AND($G42=1,INDEX('城市分配'!$P$6:$P$61,MATCH($A42,'城市分配'!$B$6:$B$61,0))=7),1,0)</x:f>
        <x:v>0</x:v>
      </x:c>
      <x:c r="AD42" s="40" t="n">
        <x:f>MAX(0,MIN($I42,R$21)-MAX($H42,R$20))+IF(AND($G42=1,INDEX('城市分配'!$P$6:$P$61,MATCH($A42,'城市分配'!$B$6:$B$61,0))=8),1,0)</x:f>
        <x:v>0</x:v>
      </x:c>
      <x:c r="AE42" s="40" t="n">
        <x:f>MAX(0,MIN($I42,S$21)-MAX($H42,S$20))+IF(AND($G42=1,INDEX('城市分配'!$P$6:$P$61,MATCH($A42,'城市分配'!$B$6:$B$61,0))=9),1,0)</x:f>
        <x:v>0</x:v>
      </x:c>
      <x:c r="AF42" s="40" t="n">
        <x:f>MAX(0,MIN($I42,T$21)-MAX($H42,T$20))+IF(AND($G42=1,INDEX('城市分配'!$P$6:$P$61,MATCH($A42,'城市分配'!$B$6:$B$61,0))=10),1,0)</x:f>
        <x:v>0</x:v>
      </x:c>
      <x:c r="AG42" s="40" t="n">
        <x:f>MAX(0,MIN($I42,U$21)-MAX($H42,U$20))+IF(AND($G42=1,INDEX('城市分配'!$P$6:$P$61,MATCH($A42,'城市分配'!$B$6:$B$61,0))=11),1,0)</x:f>
        <x:v>0</x:v>
      </x:c>
      <x:c r="AH42" s="40" t="n">
        <x:f>2*SUM(J42:U42)+4*SUM(V42:AG42)-INDEX('城市分配'!$J$6:$J$61,MATCH($A42,'城市分配'!$B$6:$B$61,0))</x:f>
        <x:v>0</x:v>
      </x:c>
      <x:c r="AI42" s="40" t="n">
        <x:f>IF(INDEX('城市分配'!$D$6:$D$61,MATCH($A42,'城市分配'!$B$6:$B$61,0))="是",--(SUM($J42:$O42)+SUM($V42:$AA42)&gt;0),0)</x:f>
        <x:v>1</x:v>
      </x:c>
    </x:row>
    <x:row r="43">
      <x:c r="A43" t="str">
        <x:v>天津</x:v>
      </x:c>
      <x:c r="B43" s="40" t="n">
        <x:f>INDEX('城市分配'!$M$6:$M$61,MATCH($A43,'城市分配'!$B$6:$B$61,0))</x:f>
        <x:v>70</x:v>
      </x:c>
      <x:c r="C43" s="40" t="n">
        <x:f>IF(AND(INDEX('城市分配'!$D$6:$D$61,MATCH($A43,'城市分配'!$B$6:$B$61,0))="是",B43&gt;0),1,0)</x:f>
        <x:v>1</x:v>
      </x:c>
      <x:c r="D43" s="37" t="n">
        <x:f>SUM($B$28:B42)-SUM($C$28:C42)</x:f>
        <x:v>1693</x:v>
      </x:c>
      <x:c r="E43" s="37" t="n">
        <x:f>D43+B43-C43</x:f>
        <x:v>1762</x:v>
      </x:c>
      <x:c r="F43" s="40" t="n">
        <x:f>INDEX('城市分配'!$L$6:$L$61,MATCH($A43,'城市分配'!$B$6:$B$61,0))</x:f>
        <x:v>165</x:v>
      </x:c>
      <x:c r="G43" s="40" t="n">
        <x:f>IF(AND(INDEX('城市分配'!$D$6:$D$61,MATCH($A43,'城市分配'!$B$6:$B$61,0))="是",F43&gt;0,B43=0),1,0)</x:f>
        <x:v>0</x:v>
      </x:c>
      <x:c r="H43" s="37" t="n">
        <x:f>SUM($F$28:F42)-SUM($G$28:G42)</x:f>
        <x:v>1696</x:v>
      </x:c>
      <x:c r="I43" s="37" t="n">
        <x:f>H43+F43-G43</x:f>
        <x:v>1861</x:v>
      </x:c>
      <x:c r="J43" s="40" t="n">
        <x:f>MAX(0,MIN($E43,J$19)-MAX($D43,J$18))+IF(AND($C43=1,INDEX('城市分配'!$P$6:$P$61,MATCH($A43,'城市分配'!$B$6:$B$61,0))=0),1,0)</x:f>
        <x:v>0</x:v>
      </x:c>
      <x:c r="K43" s="40" t="n">
        <x:f>MAX(0,MIN($E43,K$19)-MAX($D43,K$18))+IF(AND($C43=1,INDEX('城市分配'!$P$6:$P$61,MATCH($A43,'城市分配'!$B$6:$B$61,0))=1),1,0)</x:f>
        <x:v>0</x:v>
      </x:c>
      <x:c r="L43" s="40" t="n">
        <x:f>MAX(0,MIN($E43,L$19)-MAX($D43,L$18))+IF(AND($C43=1,INDEX('城市分配'!$P$6:$P$61,MATCH($A43,'城市分配'!$B$6:$B$61,0))=2),1,0)</x:f>
        <x:v>0</x:v>
      </x:c>
      <x:c r="M43" s="40" t="n">
        <x:f>MAX(0,MIN($E43,M$19)-MAX($D43,M$18))+IF(AND($C43=1,INDEX('城市分配'!$P$6:$P$61,MATCH($A43,'城市分配'!$B$6:$B$61,0))=3),1,0)</x:f>
        <x:v>1</x:v>
      </x:c>
      <x:c r="N43" s="40" t="n">
        <x:f>MAX(0,MIN($E43,N$19)-MAX($D43,N$18))+IF(AND($C43=1,INDEX('城市分配'!$P$6:$P$61,MATCH($A43,'城市分配'!$B$6:$B$61,0))=4),1,0)</x:f>
        <x:v>0</x:v>
      </x:c>
      <x:c r="O43" s="40" t="n">
        <x:f>MAX(0,MIN($E43,O$19)-MAX($D43,O$18))+IF(AND($C43=1,INDEX('城市分配'!$P$6:$P$61,MATCH($A43,'城市分配'!$B$6:$B$61,0))=5),1,0)</x:f>
        <x:v>0</x:v>
      </x:c>
      <x:c r="P43" s="40" t="n">
        <x:f>MAX(0,MIN($E43,P$19)-MAX($D43,P$18))+IF(AND($C43=1,INDEX('城市分配'!$P$6:$P$61,MATCH($A43,'城市分配'!$B$6:$B$61,0))=6),1,0)</x:f>
        <x:v>0</x:v>
      </x:c>
      <x:c r="Q43" s="40" t="n">
        <x:f>MAX(0,MIN($E43,Q$19)-MAX($D43,Q$18))+IF(AND($C43=1,INDEX('城市分配'!$P$6:$P$61,MATCH($A43,'城市分配'!$B$6:$B$61,0))=7),1,0)</x:f>
        <x:v>0</x:v>
      </x:c>
      <x:c r="R43" s="40" t="n">
        <x:f>MAX(0,MIN($E43,R$19)-MAX($D43,R$18))+IF(AND($C43=1,INDEX('城市分配'!$P$6:$P$61,MATCH($A43,'城市分配'!$B$6:$B$61,0))=8),1,0)</x:f>
        <x:v>0</x:v>
      </x:c>
      <x:c r="S43" s="40" t="n">
        <x:f>MAX(0,MIN($E43,S$19)-MAX($D43,S$18))+IF(AND($C43=1,INDEX('城市分配'!$P$6:$P$61,MATCH($A43,'城市分配'!$B$6:$B$61,0))=9),1,0)</x:f>
        <x:v>69</x:v>
      </x:c>
      <x:c r="T43" s="40" t="n">
        <x:f>MAX(0,MIN($E43,T$19)-MAX($D43,T$18))+IF(AND($C43=1,INDEX('城市分配'!$P$6:$P$61,MATCH($A43,'城市分配'!$B$6:$B$61,0))=10),1,0)</x:f>
        <x:v>0</x:v>
      </x:c>
      <x:c r="U43" s="40" t="n">
        <x:f>MAX(0,MIN($E43,U$19)-MAX($D43,U$18))+IF(AND($C43=1,INDEX('城市分配'!$P$6:$P$61,MATCH($A43,'城市分配'!$B$6:$B$61,0))=11),1,0)</x:f>
        <x:v>0</x:v>
      </x:c>
      <x:c r="V43" s="40" t="n">
        <x:f>MAX(0,MIN($I43,J$21)-MAX($H43,J$20))+IF(AND($G43=1,INDEX('城市分配'!$P$6:$P$61,MATCH($A43,'城市分配'!$B$6:$B$61,0))=0),1,0)</x:f>
        <x:v>0</x:v>
      </x:c>
      <x:c r="W43" s="40" t="n">
        <x:f>MAX(0,MIN($I43,K$21)-MAX($H43,K$20))+IF(AND($G43=1,INDEX('城市分配'!$P$6:$P$61,MATCH($A43,'城市分配'!$B$6:$B$61,0))=1),1,0)</x:f>
        <x:v>0</x:v>
      </x:c>
      <x:c r="X43" s="40" t="n">
        <x:f>MAX(0,MIN($I43,L$21)-MAX($H43,L$20))+IF(AND($G43=1,INDEX('城市分配'!$P$6:$P$61,MATCH($A43,'城市分配'!$B$6:$B$61,0))=2),1,0)</x:f>
        <x:v>0</x:v>
      </x:c>
      <x:c r="Y43" s="40" t="n">
        <x:f>MAX(0,MIN($I43,M$21)-MAX($H43,M$20))+IF(AND($G43=1,INDEX('城市分配'!$P$6:$P$61,MATCH($A43,'城市分配'!$B$6:$B$61,0))=3),1,0)</x:f>
        <x:v>165</x:v>
      </x:c>
      <x:c r="Z43" s="40" t="n">
        <x:f>MAX(0,MIN($I43,N$21)-MAX($H43,N$20))+IF(AND($G43=1,INDEX('城市分配'!$P$6:$P$61,MATCH($A43,'城市分配'!$B$6:$B$61,0))=4),1,0)</x:f>
        <x:v>0</x:v>
      </x:c>
      <x:c r="AA43" s="40" t="n">
        <x:f>MAX(0,MIN($I43,O$21)-MAX($H43,O$20))+IF(AND($G43=1,INDEX('城市分配'!$P$6:$P$61,MATCH($A43,'城市分配'!$B$6:$B$61,0))=5),1,0)</x:f>
        <x:v>0</x:v>
      </x:c>
      <x:c r="AB43" s="40" t="n">
        <x:f>MAX(0,MIN($I43,P$21)-MAX($H43,P$20))+IF(AND($G43=1,INDEX('城市分配'!$P$6:$P$61,MATCH($A43,'城市分配'!$B$6:$B$61,0))=6),1,0)</x:f>
        <x:v>0</x:v>
      </x:c>
      <x:c r="AC43" s="40" t="n">
        <x:f>MAX(0,MIN($I43,Q$21)-MAX($H43,Q$20))+IF(AND($G43=1,INDEX('城市分配'!$P$6:$P$61,MATCH($A43,'城市分配'!$B$6:$B$61,0))=7),1,0)</x:f>
        <x:v>0</x:v>
      </x:c>
      <x:c r="AD43" s="40" t="n">
        <x:f>MAX(0,MIN($I43,R$21)-MAX($H43,R$20))+IF(AND($G43=1,INDEX('城市分配'!$P$6:$P$61,MATCH($A43,'城市分配'!$B$6:$B$61,0))=8),1,0)</x:f>
        <x:v>0</x:v>
      </x:c>
      <x:c r="AE43" s="40" t="n">
        <x:f>MAX(0,MIN($I43,S$21)-MAX($H43,S$20))+IF(AND($G43=1,INDEX('城市分配'!$P$6:$P$61,MATCH($A43,'城市分配'!$B$6:$B$61,0))=9),1,0)</x:f>
        <x:v>0</x:v>
      </x:c>
      <x:c r="AF43" s="40" t="n">
        <x:f>MAX(0,MIN($I43,T$21)-MAX($H43,T$20))+IF(AND($G43=1,INDEX('城市分配'!$P$6:$P$61,MATCH($A43,'城市分配'!$B$6:$B$61,0))=10),1,0)</x:f>
        <x:v>0</x:v>
      </x:c>
      <x:c r="AG43" s="40" t="n">
        <x:f>MAX(0,MIN($I43,U$21)-MAX($H43,U$20))+IF(AND($G43=1,INDEX('城市分配'!$P$6:$P$61,MATCH($A43,'城市分配'!$B$6:$B$61,0))=11),1,0)</x:f>
        <x:v>0</x:v>
      </x:c>
      <x:c r="AH43" s="40" t="n">
        <x:f>2*SUM(J43:U43)+4*SUM(V43:AG43)-INDEX('城市分配'!$J$6:$J$61,MATCH($A43,'城市分配'!$B$6:$B$61,0))</x:f>
        <x:v>0</x:v>
      </x:c>
      <x:c r="AI43" s="40" t="n">
        <x:f>IF(INDEX('城市分配'!$D$6:$D$61,MATCH($A43,'城市分配'!$B$6:$B$61,0))="是",--(SUM($J43:$O43)+SUM($V43:$AA43)&gt;0),0)</x:f>
        <x:v>1</x:v>
      </x:c>
    </x:row>
    <x:row r="44">
      <x:c r="A44" t="str">
        <x:v>青岛</x:v>
      </x:c>
      <x:c r="B44" s="40" t="n">
        <x:f>INDEX('城市分配'!$M$6:$M$61,MATCH($A44,'城市分配'!$B$6:$B$61,0))</x:f>
        <x:v>172</x:v>
      </x:c>
      <x:c r="C44" s="40" t="n">
        <x:f>IF(AND(INDEX('城市分配'!$D$6:$D$61,MATCH($A44,'城市分配'!$B$6:$B$61,0))="是",B44&gt;0),1,0)</x:f>
        <x:v>1</x:v>
      </x:c>
      <x:c r="D44" s="37" t="n">
        <x:f>SUM($B$28:B43)-SUM($C$28:C43)</x:f>
        <x:v>1762</x:v>
      </x:c>
      <x:c r="E44" s="37" t="n">
        <x:f>D44+B44-C44</x:f>
        <x:v>1933</x:v>
      </x:c>
      <x:c r="F44" s="40" t="n">
        <x:f>INDEX('城市分配'!$L$6:$L$61,MATCH($A44,'城市分配'!$B$6:$B$61,0))</x:f>
        <x:v>114</x:v>
      </x:c>
      <x:c r="G44" s="40" t="n">
        <x:f>IF(AND(INDEX('城市分配'!$D$6:$D$61,MATCH($A44,'城市分配'!$B$6:$B$61,0))="是",F44&gt;0,B44=0),1,0)</x:f>
        <x:v>0</x:v>
      </x:c>
      <x:c r="H44" s="37" t="n">
        <x:f>SUM($F$28:F43)-SUM($G$28:G43)</x:f>
        <x:v>1861</x:v>
      </x:c>
      <x:c r="I44" s="37" t="n">
        <x:f>H44+F44-G44</x:f>
        <x:v>1975</x:v>
      </x:c>
      <x:c r="J44" s="40" t="n">
        <x:f>MAX(0,MIN($E44,J$19)-MAX($D44,J$18))+IF(AND($C44=1,INDEX('城市分配'!$P$6:$P$61,MATCH($A44,'城市分配'!$B$6:$B$61,0))=0),1,0)</x:f>
        <x:v>0</x:v>
      </x:c>
      <x:c r="K44" s="40" t="n">
        <x:f>MAX(0,MIN($E44,K$19)-MAX($D44,K$18))+IF(AND($C44=1,INDEX('城市分配'!$P$6:$P$61,MATCH($A44,'城市分配'!$B$6:$B$61,0))=1),1,0)</x:f>
        <x:v>0</x:v>
      </x:c>
      <x:c r="L44" s="40" t="n">
        <x:f>MAX(0,MIN($E44,L$19)-MAX($D44,L$18))+IF(AND($C44=1,INDEX('城市分配'!$P$6:$P$61,MATCH($A44,'城市分配'!$B$6:$B$61,0))=2),1,0)</x:f>
        <x:v>0</x:v>
      </x:c>
      <x:c r="M44" s="40" t="n">
        <x:f>MAX(0,MIN($E44,M$19)-MAX($D44,M$18))+IF(AND($C44=1,INDEX('城市分配'!$P$6:$P$61,MATCH($A44,'城市分配'!$B$6:$B$61,0))=3),1,0)</x:f>
        <x:v>0</x:v>
      </x:c>
      <x:c r="N44" s="40" t="n">
        <x:f>MAX(0,MIN($E44,N$19)-MAX($D44,N$18))+IF(AND($C44=1,INDEX('城市分配'!$P$6:$P$61,MATCH($A44,'城市分配'!$B$6:$B$61,0))=4),1,0)</x:f>
        <x:v>1</x:v>
      </x:c>
      <x:c r="O44" s="40" t="n">
        <x:f>MAX(0,MIN($E44,O$19)-MAX($D44,O$18))+IF(AND($C44=1,INDEX('城市分配'!$P$6:$P$61,MATCH($A44,'城市分配'!$B$6:$B$61,0))=5),1,0)</x:f>
        <x:v>0</x:v>
      </x:c>
      <x:c r="P44" s="40" t="n">
        <x:f>MAX(0,MIN($E44,P$19)-MAX($D44,P$18))+IF(AND($C44=1,INDEX('城市分配'!$P$6:$P$61,MATCH($A44,'城市分配'!$B$6:$B$61,0))=6),1,0)</x:f>
        <x:v>0</x:v>
      </x:c>
      <x:c r="Q44" s="40" t="n">
        <x:f>MAX(0,MIN($E44,Q$19)-MAX($D44,Q$18))+IF(AND($C44=1,INDEX('城市分配'!$P$6:$P$61,MATCH($A44,'城市分配'!$B$6:$B$61,0))=7),1,0)</x:f>
        <x:v>0</x:v>
      </x:c>
      <x:c r="R44" s="40" t="n">
        <x:f>MAX(0,MIN($E44,R$19)-MAX($D44,R$18))+IF(AND($C44=1,INDEX('城市分配'!$P$6:$P$61,MATCH($A44,'城市分配'!$B$6:$B$61,0))=8),1,0)</x:f>
        <x:v>0</x:v>
      </x:c>
      <x:c r="S44" s="40" t="n">
        <x:f>MAX(0,MIN($E44,S$19)-MAX($D44,S$18))+IF(AND($C44=1,INDEX('城市分配'!$P$6:$P$61,MATCH($A44,'城市分配'!$B$6:$B$61,0))=9),1,0)</x:f>
        <x:v>171</x:v>
      </x:c>
      <x:c r="T44" s="40" t="n">
        <x:f>MAX(0,MIN($E44,T$19)-MAX($D44,T$18))+IF(AND($C44=1,INDEX('城市分配'!$P$6:$P$61,MATCH($A44,'城市分配'!$B$6:$B$61,0))=10),1,0)</x:f>
        <x:v>0</x:v>
      </x:c>
      <x:c r="U44" s="40" t="n">
        <x:f>MAX(0,MIN($E44,U$19)-MAX($D44,U$18))+IF(AND($C44=1,INDEX('城市分配'!$P$6:$P$61,MATCH($A44,'城市分配'!$B$6:$B$61,0))=11),1,0)</x:f>
        <x:v>0</x:v>
      </x:c>
      <x:c r="V44" s="40" t="n">
        <x:f>MAX(0,MIN($I44,J$21)-MAX($H44,J$20))+IF(AND($G44=1,INDEX('城市分配'!$P$6:$P$61,MATCH($A44,'城市分配'!$B$6:$B$61,0))=0),1,0)</x:f>
        <x:v>0</x:v>
      </x:c>
      <x:c r="W44" s="40" t="n">
        <x:f>MAX(0,MIN($I44,K$21)-MAX($H44,K$20))+IF(AND($G44=1,INDEX('城市分配'!$P$6:$P$61,MATCH($A44,'城市分配'!$B$6:$B$61,0))=1),1,0)</x:f>
        <x:v>0</x:v>
      </x:c>
      <x:c r="X44" s="40" t="n">
        <x:f>MAX(0,MIN($I44,L$21)-MAX($H44,L$20))+IF(AND($G44=1,INDEX('城市分配'!$P$6:$P$61,MATCH($A44,'城市分配'!$B$6:$B$61,0))=2),1,0)</x:f>
        <x:v>0</x:v>
      </x:c>
      <x:c r="Y44" s="40" t="n">
        <x:f>MAX(0,MIN($I44,M$21)-MAX($H44,M$20))+IF(AND($G44=1,INDEX('城市分配'!$P$6:$P$61,MATCH($A44,'城市分配'!$B$6:$B$61,0))=3),1,0)</x:f>
        <x:v>79</x:v>
      </x:c>
      <x:c r="Z44" s="40" t="n">
        <x:f>MAX(0,MIN($I44,N$21)-MAX($H44,N$20))+IF(AND($G44=1,INDEX('城市分配'!$P$6:$P$61,MATCH($A44,'城市分配'!$B$6:$B$61,0))=4),1,0)</x:f>
        <x:v>35</x:v>
      </x:c>
      <x:c r="AA44" s="40" t="n">
        <x:f>MAX(0,MIN($I44,O$21)-MAX($H44,O$20))+IF(AND($G44=1,INDEX('城市分配'!$P$6:$P$61,MATCH($A44,'城市分配'!$B$6:$B$61,0))=5),1,0)</x:f>
        <x:v>0</x:v>
      </x:c>
      <x:c r="AB44" s="40" t="n">
        <x:f>MAX(0,MIN($I44,P$21)-MAX($H44,P$20))+IF(AND($G44=1,INDEX('城市分配'!$P$6:$P$61,MATCH($A44,'城市分配'!$B$6:$B$61,0))=6),1,0)</x:f>
        <x:v>0</x:v>
      </x:c>
      <x:c r="AC44" s="40" t="n">
        <x:f>MAX(0,MIN($I44,Q$21)-MAX($H44,Q$20))+IF(AND($G44=1,INDEX('城市分配'!$P$6:$P$61,MATCH($A44,'城市分配'!$B$6:$B$61,0))=7),1,0)</x:f>
        <x:v>0</x:v>
      </x:c>
      <x:c r="AD44" s="40" t="n">
        <x:f>MAX(0,MIN($I44,R$21)-MAX($H44,R$20))+IF(AND($G44=1,INDEX('城市分配'!$P$6:$P$61,MATCH($A44,'城市分配'!$B$6:$B$61,0))=8),1,0)</x:f>
        <x:v>0</x:v>
      </x:c>
      <x:c r="AE44" s="40" t="n">
        <x:f>MAX(0,MIN($I44,S$21)-MAX($H44,S$20))+IF(AND($G44=1,INDEX('城市分配'!$P$6:$P$61,MATCH($A44,'城市分配'!$B$6:$B$61,0))=9),1,0)</x:f>
        <x:v>0</x:v>
      </x:c>
      <x:c r="AF44" s="40" t="n">
        <x:f>MAX(0,MIN($I44,T$21)-MAX($H44,T$20))+IF(AND($G44=1,INDEX('城市分配'!$P$6:$P$61,MATCH($A44,'城市分配'!$B$6:$B$61,0))=10),1,0)</x:f>
        <x:v>0</x:v>
      </x:c>
      <x:c r="AG44" s="40" t="n">
        <x:f>MAX(0,MIN($I44,U$21)-MAX($H44,U$20))+IF(AND($G44=1,INDEX('城市分配'!$P$6:$P$61,MATCH($A44,'城市分配'!$B$6:$B$61,0))=11),1,0)</x:f>
        <x:v>0</x:v>
      </x:c>
      <x:c r="AH44" s="40" t="n">
        <x:f>2*SUM(J44:U44)+4*SUM(V44:AG44)-INDEX('城市分配'!$J$6:$J$61,MATCH($A44,'城市分配'!$B$6:$B$61,0))</x:f>
        <x:v>0</x:v>
      </x:c>
      <x:c r="AI44" s="40" t="n">
        <x:f>IF(INDEX('城市分配'!$D$6:$D$61,MATCH($A44,'城市分配'!$B$6:$B$61,0))="是",--(SUM($J44:$O44)+SUM($V44:$AA44)&gt;0),0)</x:f>
        <x:v>1</x:v>
      </x:c>
    </x:row>
    <x:row r="45">
      <x:c r="A45" t="str">
        <x:v>海口</x:v>
      </x:c>
      <x:c r="B45" s="40" t="n">
        <x:f>INDEX('城市分配'!$M$6:$M$61,MATCH($A45,'城市分配'!$B$6:$B$61,0))</x:f>
        <x:v>36</x:v>
      </x:c>
      <x:c r="C45" s="40" t="n">
        <x:f>IF(AND(INDEX('城市分配'!$D$6:$D$61,MATCH($A45,'城市分配'!$B$6:$B$61,0))="是",B45&gt;0),1,0)</x:f>
        <x:v>1</x:v>
      </x:c>
      <x:c r="D45" s="37" t="n">
        <x:f>SUM($B$28:B44)-SUM($C$28:C44)</x:f>
        <x:v>1933</x:v>
      </x:c>
      <x:c r="E45" s="37" t="n">
        <x:f>D45+B45-C45</x:f>
        <x:v>1968</x:v>
      </x:c>
      <x:c r="F45" s="40" t="n">
        <x:f>INDEX('城市分配'!$L$6:$L$61,MATCH($A45,'城市分配'!$B$6:$B$61,0))</x:f>
        <x:v>82</x:v>
      </x:c>
      <x:c r="G45" s="40" t="n">
        <x:f>IF(AND(INDEX('城市分配'!$D$6:$D$61,MATCH($A45,'城市分配'!$B$6:$B$61,0))="是",F45&gt;0,B45=0),1,0)</x:f>
        <x:v>0</x:v>
      </x:c>
      <x:c r="H45" s="37" t="n">
        <x:f>SUM($F$28:F44)-SUM($G$28:G44)</x:f>
        <x:v>1975</x:v>
      </x:c>
      <x:c r="I45" s="37" t="n">
        <x:f>H45+F45-G45</x:f>
        <x:v>2057</x:v>
      </x:c>
      <x:c r="J45" s="40" t="n">
        <x:f>MAX(0,MIN($E45,J$19)-MAX($D45,J$18))+IF(AND($C45=1,INDEX('城市分配'!$P$6:$P$61,MATCH($A45,'城市分配'!$B$6:$B$61,0))=0),1,0)</x:f>
        <x:v>0</x:v>
      </x:c>
      <x:c r="K45" s="40" t="n">
        <x:f>MAX(0,MIN($E45,K$19)-MAX($D45,K$18))+IF(AND($C45=1,INDEX('城市分配'!$P$6:$P$61,MATCH($A45,'城市分配'!$B$6:$B$61,0))=1),1,0)</x:f>
        <x:v>0</x:v>
      </x:c>
      <x:c r="L45" s="40" t="n">
        <x:f>MAX(0,MIN($E45,L$19)-MAX($D45,L$18))+IF(AND($C45=1,INDEX('城市分配'!$P$6:$P$61,MATCH($A45,'城市分配'!$B$6:$B$61,0))=2),1,0)</x:f>
        <x:v>0</x:v>
      </x:c>
      <x:c r="M45" s="40" t="n">
        <x:f>MAX(0,MIN($E45,M$19)-MAX($D45,M$18))+IF(AND($C45=1,INDEX('城市分配'!$P$6:$P$61,MATCH($A45,'城市分配'!$B$6:$B$61,0))=3),1,0)</x:f>
        <x:v>0</x:v>
      </x:c>
      <x:c r="N45" s="40" t="n">
        <x:f>MAX(0,MIN($E45,N$19)-MAX($D45,N$18))+IF(AND($C45=1,INDEX('城市分配'!$P$6:$P$61,MATCH($A45,'城市分配'!$B$6:$B$61,0))=4),1,0)</x:f>
        <x:v>0</x:v>
      </x:c>
      <x:c r="O45" s="40" t="n">
        <x:f>MAX(0,MIN($E45,O$19)-MAX($D45,O$18))+IF(AND($C45=1,INDEX('城市分配'!$P$6:$P$61,MATCH($A45,'城市分配'!$B$6:$B$61,0))=5),1,0)</x:f>
        <x:v>1</x:v>
      </x:c>
      <x:c r="P45" s="40" t="n">
        <x:f>MAX(0,MIN($E45,P$19)-MAX($D45,P$18))+IF(AND($C45=1,INDEX('城市分配'!$P$6:$P$61,MATCH($A45,'城市分配'!$B$6:$B$61,0))=6),1,0)</x:f>
        <x:v>0</x:v>
      </x:c>
      <x:c r="Q45" s="40" t="n">
        <x:f>MAX(0,MIN($E45,Q$19)-MAX($D45,Q$18))+IF(AND($C45=1,INDEX('城市分配'!$P$6:$P$61,MATCH($A45,'城市分配'!$B$6:$B$61,0))=7),1,0)</x:f>
        <x:v>0</x:v>
      </x:c>
      <x:c r="R45" s="40" t="n">
        <x:f>MAX(0,MIN($E45,R$19)-MAX($D45,R$18))+IF(AND($C45=1,INDEX('城市分配'!$P$6:$P$61,MATCH($A45,'城市分配'!$B$6:$B$61,0))=8),1,0)</x:f>
        <x:v>0</x:v>
      </x:c>
      <x:c r="S45" s="40" t="n">
        <x:f>MAX(0,MIN($E45,S$19)-MAX($D45,S$18))+IF(AND($C45=1,INDEX('城市分配'!$P$6:$P$61,MATCH($A45,'城市分配'!$B$6:$B$61,0))=9),1,0)</x:f>
        <x:v>35</x:v>
      </x:c>
      <x:c r="T45" s="40" t="n">
        <x:f>MAX(0,MIN($E45,T$19)-MAX($D45,T$18))+IF(AND($C45=1,INDEX('城市分配'!$P$6:$P$61,MATCH($A45,'城市分配'!$B$6:$B$61,0))=10),1,0)</x:f>
        <x:v>0</x:v>
      </x:c>
      <x:c r="U45" s="40" t="n">
        <x:f>MAX(0,MIN($E45,U$19)-MAX($D45,U$18))+IF(AND($C45=1,INDEX('城市分配'!$P$6:$P$61,MATCH($A45,'城市分配'!$B$6:$B$61,0))=11),1,0)</x:f>
        <x:v>0</x:v>
      </x:c>
      <x:c r="V45" s="40" t="n">
        <x:f>MAX(0,MIN($I45,J$21)-MAX($H45,J$20))+IF(AND($G45=1,INDEX('城市分配'!$P$6:$P$61,MATCH($A45,'城市分配'!$B$6:$B$61,0))=0),1,0)</x:f>
        <x:v>0</x:v>
      </x:c>
      <x:c r="W45" s="40" t="n">
        <x:f>MAX(0,MIN($I45,K$21)-MAX($H45,K$20))+IF(AND($G45=1,INDEX('城市分配'!$P$6:$P$61,MATCH($A45,'城市分配'!$B$6:$B$61,0))=1),1,0)</x:f>
        <x:v>0</x:v>
      </x:c>
      <x:c r="X45" s="40" t="n">
        <x:f>MAX(0,MIN($I45,L$21)-MAX($H45,L$20))+IF(AND($G45=1,INDEX('城市分配'!$P$6:$P$61,MATCH($A45,'城市分配'!$B$6:$B$61,0))=2),1,0)</x:f>
        <x:v>0</x:v>
      </x:c>
      <x:c r="Y45" s="40" t="n">
        <x:f>MAX(0,MIN($I45,M$21)-MAX($H45,M$20))+IF(AND($G45=1,INDEX('城市分配'!$P$6:$P$61,MATCH($A45,'城市分配'!$B$6:$B$61,0))=3),1,0)</x:f>
        <x:v>0</x:v>
      </x:c>
      <x:c r="Z45" s="40" t="n">
        <x:f>MAX(0,MIN($I45,N$21)-MAX($H45,N$20))+IF(AND($G45=1,INDEX('城市分配'!$P$6:$P$61,MATCH($A45,'城市分配'!$B$6:$B$61,0))=4),1,0)</x:f>
        <x:v>82</x:v>
      </x:c>
      <x:c r="AA45" s="40" t="n">
        <x:f>MAX(0,MIN($I45,O$21)-MAX($H45,O$20))+IF(AND($G45=1,INDEX('城市分配'!$P$6:$P$61,MATCH($A45,'城市分配'!$B$6:$B$61,0))=5),1,0)</x:f>
        <x:v>0</x:v>
      </x:c>
      <x:c r="AB45" s="40" t="n">
        <x:f>MAX(0,MIN($I45,P$21)-MAX($H45,P$20))+IF(AND($G45=1,INDEX('城市分配'!$P$6:$P$61,MATCH($A45,'城市分配'!$B$6:$B$61,0))=6),1,0)</x:f>
        <x:v>0</x:v>
      </x:c>
      <x:c r="AC45" s="40" t="n">
        <x:f>MAX(0,MIN($I45,Q$21)-MAX($H45,Q$20))+IF(AND($G45=1,INDEX('城市分配'!$P$6:$P$61,MATCH($A45,'城市分配'!$B$6:$B$61,0))=7),1,0)</x:f>
        <x:v>0</x:v>
      </x:c>
      <x:c r="AD45" s="40" t="n">
        <x:f>MAX(0,MIN($I45,R$21)-MAX($H45,R$20))+IF(AND($G45=1,INDEX('城市分配'!$P$6:$P$61,MATCH($A45,'城市分配'!$B$6:$B$61,0))=8),1,0)</x:f>
        <x:v>0</x:v>
      </x:c>
      <x:c r="AE45" s="40" t="n">
        <x:f>MAX(0,MIN($I45,S$21)-MAX($H45,S$20))+IF(AND($G45=1,INDEX('城市分配'!$P$6:$P$61,MATCH($A45,'城市分配'!$B$6:$B$61,0))=9),1,0)</x:f>
        <x:v>0</x:v>
      </x:c>
      <x:c r="AF45" s="40" t="n">
        <x:f>MAX(0,MIN($I45,T$21)-MAX($H45,T$20))+IF(AND($G45=1,INDEX('城市分配'!$P$6:$P$61,MATCH($A45,'城市分配'!$B$6:$B$61,0))=10),1,0)</x:f>
        <x:v>0</x:v>
      </x:c>
      <x:c r="AG45" s="40" t="n">
        <x:f>MAX(0,MIN($I45,U$21)-MAX($H45,U$20))+IF(AND($G45=1,INDEX('城市分配'!$P$6:$P$61,MATCH($A45,'城市分配'!$B$6:$B$61,0))=11),1,0)</x:f>
        <x:v>0</x:v>
      </x:c>
      <x:c r="AH45" s="40" t="n">
        <x:f>2*SUM(J45:U45)+4*SUM(V45:AG45)-INDEX('城市分配'!$J$6:$J$61,MATCH($A45,'城市分配'!$B$6:$B$61,0))</x:f>
        <x:v>0</x:v>
      </x:c>
      <x:c r="AI45" s="40" t="n">
        <x:f>IF(INDEX('城市分配'!$D$6:$D$61,MATCH($A45,'城市分配'!$B$6:$B$61,0))="是",--(SUM($J45:$O45)+SUM($V45:$AA45)&gt;0),0)</x:f>
        <x:v>1</x:v>
      </x:c>
    </x:row>
    <x:row r="46">
      <x:c r="A46" t="str">
        <x:v>三亚</x:v>
      </x:c>
      <x:c r="B46" s="40" t="n">
        <x:f>INDEX('城市分配'!$M$6:$M$61,MATCH($A46,'城市分配'!$B$6:$B$61,0))</x:f>
        <x:v>86</x:v>
      </x:c>
      <x:c r="C46" s="40" t="n">
        <x:f>IF(AND(INDEX('城市分配'!$D$6:$D$61,MATCH($A46,'城市分配'!$B$6:$B$61,0))="是",B46&gt;0),1,0)</x:f>
        <x:v>1</x:v>
      </x:c>
      <x:c r="D46" s="37" t="n">
        <x:f>SUM($B$28:B45)-SUM($C$28:C45)</x:f>
        <x:v>1968</x:v>
      </x:c>
      <x:c r="E46" s="37" t="n">
        <x:f>D46+B46-C46</x:f>
        <x:v>2053</x:v>
      </x:c>
      <x:c r="F46" s="40" t="n">
        <x:f>INDEX('城市分配'!$L$6:$L$61,MATCH($A46,'城市分配'!$B$6:$B$61,0))</x:f>
        <x:v>57</x:v>
      </x:c>
      <x:c r="G46" s="40" t="n">
        <x:f>IF(AND(INDEX('城市分配'!$D$6:$D$61,MATCH($A46,'城市分配'!$B$6:$B$61,0))="是",F46&gt;0,B46=0),1,0)</x:f>
        <x:v>0</x:v>
      </x:c>
      <x:c r="H46" s="37" t="n">
        <x:f>SUM($F$28:F45)-SUM($G$28:G45)</x:f>
        <x:v>2057</x:v>
      </x:c>
      <x:c r="I46" s="37" t="n">
        <x:f>H46+F46-G46</x:f>
        <x:v>2114</x:v>
      </x:c>
      <x:c r="J46" s="40" t="n">
        <x:f>MAX(0,MIN($E46,J$19)-MAX($D46,J$18))+IF(AND($C46=1,INDEX('城市分配'!$P$6:$P$61,MATCH($A46,'城市分配'!$B$6:$B$61,0))=0),1,0)</x:f>
        <x:v>1</x:v>
      </x:c>
      <x:c r="K46" s="40" t="n">
        <x:f>MAX(0,MIN($E46,K$19)-MAX($D46,K$18))+IF(AND($C46=1,INDEX('城市分配'!$P$6:$P$61,MATCH($A46,'城市分配'!$B$6:$B$61,0))=1),1,0)</x:f>
        <x:v>0</x:v>
      </x:c>
      <x:c r="L46" s="40" t="n">
        <x:f>MAX(0,MIN($E46,L$19)-MAX($D46,L$18))+IF(AND($C46=1,INDEX('城市分配'!$P$6:$P$61,MATCH($A46,'城市分配'!$B$6:$B$61,0))=2),1,0)</x:f>
        <x:v>0</x:v>
      </x:c>
      <x:c r="M46" s="40" t="n">
        <x:f>MAX(0,MIN($E46,M$19)-MAX($D46,M$18))+IF(AND($C46=1,INDEX('城市分配'!$P$6:$P$61,MATCH($A46,'城市分配'!$B$6:$B$61,0))=3),1,0)</x:f>
        <x:v>0</x:v>
      </x:c>
      <x:c r="N46" s="40" t="n">
        <x:f>MAX(0,MIN($E46,N$19)-MAX($D46,N$18))+IF(AND($C46=1,INDEX('城市分配'!$P$6:$P$61,MATCH($A46,'城市分配'!$B$6:$B$61,0))=4),1,0)</x:f>
        <x:v>0</x:v>
      </x:c>
      <x:c r="O46" s="40" t="n">
        <x:f>MAX(0,MIN($E46,O$19)-MAX($D46,O$18))+IF(AND($C46=1,INDEX('城市分配'!$P$6:$P$61,MATCH($A46,'城市分配'!$B$6:$B$61,0))=5),1,0)</x:f>
        <x:v>0</x:v>
      </x:c>
      <x:c r="P46" s="40" t="n">
        <x:f>MAX(0,MIN($E46,P$19)-MAX($D46,P$18))+IF(AND($C46=1,INDEX('城市分配'!$P$6:$P$61,MATCH($A46,'城市分配'!$B$6:$B$61,0))=6),1,0)</x:f>
        <x:v>0</x:v>
      </x:c>
      <x:c r="Q46" s="40" t="n">
        <x:f>MAX(0,MIN($E46,Q$19)-MAX($D46,Q$18))+IF(AND($C46=1,INDEX('城市分配'!$P$6:$P$61,MATCH($A46,'城市分配'!$B$6:$B$61,0))=7),1,0)</x:f>
        <x:v>0</x:v>
      </x:c>
      <x:c r="R46" s="40" t="n">
        <x:f>MAX(0,MIN($E46,R$19)-MAX($D46,R$18))+IF(AND($C46=1,INDEX('城市分配'!$P$6:$P$61,MATCH($A46,'城市分配'!$B$6:$B$61,0))=8),1,0)</x:f>
        <x:v>0</x:v>
      </x:c>
      <x:c r="S46" s="40" t="n">
        <x:f>MAX(0,MIN($E46,S$19)-MAX($D46,S$18))+IF(AND($C46=1,INDEX('城市分配'!$P$6:$P$61,MATCH($A46,'城市分配'!$B$6:$B$61,0))=9),1,0)</x:f>
        <x:v>85</x:v>
      </x:c>
      <x:c r="T46" s="40" t="n">
        <x:f>MAX(0,MIN($E46,T$19)-MAX($D46,T$18))+IF(AND($C46=1,INDEX('城市分配'!$P$6:$P$61,MATCH($A46,'城市分配'!$B$6:$B$61,0))=10),1,0)</x:f>
        <x:v>0</x:v>
      </x:c>
      <x:c r="U46" s="40" t="n">
        <x:f>MAX(0,MIN($E46,U$19)-MAX($D46,U$18))+IF(AND($C46=1,INDEX('城市分配'!$P$6:$P$61,MATCH($A46,'城市分配'!$B$6:$B$61,0))=11),1,0)</x:f>
        <x:v>0</x:v>
      </x:c>
      <x:c r="V46" s="40" t="n">
        <x:f>MAX(0,MIN($I46,J$21)-MAX($H46,J$20))+IF(AND($G46=1,INDEX('城市分配'!$P$6:$P$61,MATCH($A46,'城市分配'!$B$6:$B$61,0))=0),1,0)</x:f>
        <x:v>0</x:v>
      </x:c>
      <x:c r="W46" s="40" t="n">
        <x:f>MAX(0,MIN($I46,K$21)-MAX($H46,K$20))+IF(AND($G46=1,INDEX('城市分配'!$P$6:$P$61,MATCH($A46,'城市分配'!$B$6:$B$61,0))=1),1,0)</x:f>
        <x:v>0</x:v>
      </x:c>
      <x:c r="X46" s="40" t="n">
        <x:f>MAX(0,MIN($I46,L$21)-MAX($H46,L$20))+IF(AND($G46=1,INDEX('城市分配'!$P$6:$P$61,MATCH($A46,'城市分配'!$B$6:$B$61,0))=2),1,0)</x:f>
        <x:v>0</x:v>
      </x:c>
      <x:c r="Y46" s="40" t="n">
        <x:f>MAX(0,MIN($I46,M$21)-MAX($H46,M$20))+IF(AND($G46=1,INDEX('城市分配'!$P$6:$P$61,MATCH($A46,'城市分配'!$B$6:$B$61,0))=3),1,0)</x:f>
        <x:v>0</x:v>
      </x:c>
      <x:c r="Z46" s="40" t="n">
        <x:f>MAX(0,MIN($I46,N$21)-MAX($H46,N$20))+IF(AND($G46=1,INDEX('城市分配'!$P$6:$P$61,MATCH($A46,'城市分配'!$B$6:$B$61,0))=4),1,0)</x:f>
        <x:v>57</x:v>
      </x:c>
      <x:c r="AA46" s="40" t="n">
        <x:f>MAX(0,MIN($I46,O$21)-MAX($H46,O$20))+IF(AND($G46=1,INDEX('城市分配'!$P$6:$P$61,MATCH($A46,'城市分配'!$B$6:$B$61,0))=5),1,0)</x:f>
        <x:v>0</x:v>
      </x:c>
      <x:c r="AB46" s="40" t="n">
        <x:f>MAX(0,MIN($I46,P$21)-MAX($H46,P$20))+IF(AND($G46=1,INDEX('城市分配'!$P$6:$P$61,MATCH($A46,'城市分配'!$B$6:$B$61,0))=6),1,0)</x:f>
        <x:v>0</x:v>
      </x:c>
      <x:c r="AC46" s="40" t="n">
        <x:f>MAX(0,MIN($I46,Q$21)-MAX($H46,Q$20))+IF(AND($G46=1,INDEX('城市分配'!$P$6:$P$61,MATCH($A46,'城市分配'!$B$6:$B$61,0))=7),1,0)</x:f>
        <x:v>0</x:v>
      </x:c>
      <x:c r="AD46" s="40" t="n">
        <x:f>MAX(0,MIN($I46,R$21)-MAX($H46,R$20))+IF(AND($G46=1,INDEX('城市分配'!$P$6:$P$61,MATCH($A46,'城市分配'!$B$6:$B$61,0))=8),1,0)</x:f>
        <x:v>0</x:v>
      </x:c>
      <x:c r="AE46" s="40" t="n">
        <x:f>MAX(0,MIN($I46,S$21)-MAX($H46,S$20))+IF(AND($G46=1,INDEX('城市分配'!$P$6:$P$61,MATCH($A46,'城市分配'!$B$6:$B$61,0))=9),1,0)</x:f>
        <x:v>0</x:v>
      </x:c>
      <x:c r="AF46" s="40" t="n">
        <x:f>MAX(0,MIN($I46,T$21)-MAX($H46,T$20))+IF(AND($G46=1,INDEX('城市分配'!$P$6:$P$61,MATCH($A46,'城市分配'!$B$6:$B$61,0))=10),1,0)</x:f>
        <x:v>0</x:v>
      </x:c>
      <x:c r="AG46" s="40" t="n">
        <x:f>MAX(0,MIN($I46,U$21)-MAX($H46,U$20))+IF(AND($G46=1,INDEX('城市分配'!$P$6:$P$61,MATCH($A46,'城市分配'!$B$6:$B$61,0))=11),1,0)</x:f>
        <x:v>0</x:v>
      </x:c>
      <x:c r="AH46" s="40" t="n">
        <x:f>2*SUM(J46:U46)+4*SUM(V46:AG46)-INDEX('城市分配'!$J$6:$J$61,MATCH($A46,'城市分配'!$B$6:$B$61,0))</x:f>
        <x:v>0</x:v>
      </x:c>
      <x:c r="AI46" s="40" t="n">
        <x:f>IF(INDEX('城市分配'!$D$6:$D$61,MATCH($A46,'城市分配'!$B$6:$B$61,0))="是",--(SUM($J46:$O46)+SUM($V46:$AA46)&gt;0),0)</x:f>
        <x:v>1</x:v>
      </x:c>
    </x:row>
    <x:row r="47">
      <x:c r="A47" t="str">
        <x:v>湖州</x:v>
      </x:c>
      <x:c r="B47" s="40" t="n">
        <x:f>INDEX('城市分配'!$M$6:$M$61,MATCH($A47,'城市分配'!$B$6:$B$61,0))</x:f>
        <x:v>86</x:v>
      </x:c>
      <x:c r="C47" s="40" t="n">
        <x:f>IF(AND(INDEX('城市分配'!$D$6:$D$61,MATCH($A47,'城市分配'!$B$6:$B$61,0))="是",B47&gt;0),1,0)</x:f>
        <x:v>1</x:v>
      </x:c>
      <x:c r="D47" s="37" t="n">
        <x:f>SUM($B$28:B46)-SUM($C$28:C46)</x:f>
        <x:v>2053</x:v>
      </x:c>
      <x:c r="E47" s="37" t="n">
        <x:f>D47+B47-C47</x:f>
        <x:v>2138</x:v>
      </x:c>
      <x:c r="F47" s="40" t="n">
        <x:f>INDEX('城市分配'!$L$6:$L$61,MATCH($A47,'城市分配'!$B$6:$B$61,0))</x:f>
        <x:v>57</x:v>
      </x:c>
      <x:c r="G47" s="40" t="n">
        <x:f>IF(AND(INDEX('城市分配'!$D$6:$D$61,MATCH($A47,'城市分配'!$B$6:$B$61,0))="是",F47&gt;0,B47=0),1,0)</x:f>
        <x:v>0</x:v>
      </x:c>
      <x:c r="H47" s="37" t="n">
        <x:f>SUM($F$28:F46)-SUM($G$28:G46)</x:f>
        <x:v>2114</x:v>
      </x:c>
      <x:c r="I47" s="37" t="n">
        <x:f>H47+F47-G47</x:f>
        <x:v>2171</x:v>
      </x:c>
      <x:c r="J47" s="40" t="n">
        <x:f>MAX(0,MIN($E47,J$19)-MAX($D47,J$18))+IF(AND($C47=1,INDEX('城市分配'!$P$6:$P$61,MATCH($A47,'城市分配'!$B$6:$B$61,0))=0),1,0)</x:f>
        <x:v>0</x:v>
      </x:c>
      <x:c r="K47" s="40" t="n">
        <x:f>MAX(0,MIN($E47,K$19)-MAX($D47,K$18))+IF(AND($C47=1,INDEX('城市分配'!$P$6:$P$61,MATCH($A47,'城市分配'!$B$6:$B$61,0))=1),1,0)</x:f>
        <x:v>1</x:v>
      </x:c>
      <x:c r="L47" s="40" t="n">
        <x:f>MAX(0,MIN($E47,L$19)-MAX($D47,L$18))+IF(AND($C47=1,INDEX('城市分配'!$P$6:$P$61,MATCH($A47,'城市分配'!$B$6:$B$61,0))=2),1,0)</x:f>
        <x:v>0</x:v>
      </x:c>
      <x:c r="M47" s="40" t="n">
        <x:f>MAX(0,MIN($E47,M$19)-MAX($D47,M$18))+IF(AND($C47=1,INDEX('城市分配'!$P$6:$P$61,MATCH($A47,'城市分配'!$B$6:$B$61,0))=3),1,0)</x:f>
        <x:v>0</x:v>
      </x:c>
      <x:c r="N47" s="40" t="n">
        <x:f>MAX(0,MIN($E47,N$19)-MAX($D47,N$18))+IF(AND($C47=1,INDEX('城市分配'!$P$6:$P$61,MATCH($A47,'城市分配'!$B$6:$B$61,0))=4),1,0)</x:f>
        <x:v>0</x:v>
      </x:c>
      <x:c r="O47" s="40" t="n">
        <x:f>MAX(0,MIN($E47,O$19)-MAX($D47,O$18))+IF(AND($C47=1,INDEX('城市分配'!$P$6:$P$61,MATCH($A47,'城市分配'!$B$6:$B$61,0))=5),1,0)</x:f>
        <x:v>0</x:v>
      </x:c>
      <x:c r="P47" s="40" t="n">
        <x:f>MAX(0,MIN($E47,P$19)-MAX($D47,P$18))+IF(AND($C47=1,INDEX('城市分配'!$P$6:$P$61,MATCH($A47,'城市分配'!$B$6:$B$61,0))=6),1,0)</x:f>
        <x:v>0</x:v>
      </x:c>
      <x:c r="Q47" s="40" t="n">
        <x:f>MAX(0,MIN($E47,Q$19)-MAX($D47,Q$18))+IF(AND($C47=1,INDEX('城市分配'!$P$6:$P$61,MATCH($A47,'城市分配'!$B$6:$B$61,0))=7),1,0)</x:f>
        <x:v>0</x:v>
      </x:c>
      <x:c r="R47" s="40" t="n">
        <x:f>MAX(0,MIN($E47,R$19)-MAX($D47,R$18))+IF(AND($C47=1,INDEX('城市分配'!$P$6:$P$61,MATCH($A47,'城市分配'!$B$6:$B$61,0))=8),1,0)</x:f>
        <x:v>0</x:v>
      </x:c>
      <x:c r="S47" s="40" t="n">
        <x:f>MAX(0,MIN($E47,S$19)-MAX($D47,S$18))+IF(AND($C47=1,INDEX('城市分配'!$P$6:$P$61,MATCH($A47,'城市分配'!$B$6:$B$61,0))=9),1,0)</x:f>
        <x:v>85</x:v>
      </x:c>
      <x:c r="T47" s="40" t="n">
        <x:f>MAX(0,MIN($E47,T$19)-MAX($D47,T$18))+IF(AND($C47=1,INDEX('城市分配'!$P$6:$P$61,MATCH($A47,'城市分配'!$B$6:$B$61,0))=10),1,0)</x:f>
        <x:v>0</x:v>
      </x:c>
      <x:c r="U47" s="40" t="n">
        <x:f>MAX(0,MIN($E47,U$19)-MAX($D47,U$18))+IF(AND($C47=1,INDEX('城市分配'!$P$6:$P$61,MATCH($A47,'城市分配'!$B$6:$B$61,0))=11),1,0)</x:f>
        <x:v>0</x:v>
      </x:c>
      <x:c r="V47" s="40" t="n">
        <x:f>MAX(0,MIN($I47,J$21)-MAX($H47,J$20))+IF(AND($G47=1,INDEX('城市分配'!$P$6:$P$61,MATCH($A47,'城市分配'!$B$6:$B$61,0))=0),1,0)</x:f>
        <x:v>0</x:v>
      </x:c>
      <x:c r="W47" s="40" t="n">
        <x:f>MAX(0,MIN($I47,K$21)-MAX($H47,K$20))+IF(AND($G47=1,INDEX('城市分配'!$P$6:$P$61,MATCH($A47,'城市分配'!$B$6:$B$61,0))=1),1,0)</x:f>
        <x:v>0</x:v>
      </x:c>
      <x:c r="X47" s="40" t="n">
        <x:f>MAX(0,MIN($I47,L$21)-MAX($H47,L$20))+IF(AND($G47=1,INDEX('城市分配'!$P$6:$P$61,MATCH($A47,'城市分配'!$B$6:$B$61,0))=2),1,0)</x:f>
        <x:v>0</x:v>
      </x:c>
      <x:c r="Y47" s="40" t="n">
        <x:f>MAX(0,MIN($I47,M$21)-MAX($H47,M$20))+IF(AND($G47=1,INDEX('城市分配'!$P$6:$P$61,MATCH($A47,'城市分配'!$B$6:$B$61,0))=3),1,0)</x:f>
        <x:v>0</x:v>
      </x:c>
      <x:c r="Z47" s="40" t="n">
        <x:f>MAX(0,MIN($I47,N$21)-MAX($H47,N$20))+IF(AND($G47=1,INDEX('城市分配'!$P$6:$P$61,MATCH($A47,'城市分配'!$B$6:$B$61,0))=4),1,0)</x:f>
        <x:v>57</x:v>
      </x:c>
      <x:c r="AA47" s="40" t="n">
        <x:f>MAX(0,MIN($I47,O$21)-MAX($H47,O$20))+IF(AND($G47=1,INDEX('城市分配'!$P$6:$P$61,MATCH($A47,'城市分配'!$B$6:$B$61,0))=5),1,0)</x:f>
        <x:v>0</x:v>
      </x:c>
      <x:c r="AB47" s="40" t="n">
        <x:f>MAX(0,MIN($I47,P$21)-MAX($H47,P$20))+IF(AND($G47=1,INDEX('城市分配'!$P$6:$P$61,MATCH($A47,'城市分配'!$B$6:$B$61,0))=6),1,0)</x:f>
        <x:v>0</x:v>
      </x:c>
      <x:c r="AC47" s="40" t="n">
        <x:f>MAX(0,MIN($I47,Q$21)-MAX($H47,Q$20))+IF(AND($G47=1,INDEX('城市分配'!$P$6:$P$61,MATCH($A47,'城市分配'!$B$6:$B$61,0))=7),1,0)</x:f>
        <x:v>0</x:v>
      </x:c>
      <x:c r="AD47" s="40" t="n">
        <x:f>MAX(0,MIN($I47,R$21)-MAX($H47,R$20))+IF(AND($G47=1,INDEX('城市分配'!$P$6:$P$61,MATCH($A47,'城市分配'!$B$6:$B$61,0))=8),1,0)</x:f>
        <x:v>0</x:v>
      </x:c>
      <x:c r="AE47" s="40" t="n">
        <x:f>MAX(0,MIN($I47,S$21)-MAX($H47,S$20))+IF(AND($G47=1,INDEX('城市分配'!$P$6:$P$61,MATCH($A47,'城市分配'!$B$6:$B$61,0))=9),1,0)</x:f>
        <x:v>0</x:v>
      </x:c>
      <x:c r="AF47" s="40" t="n">
        <x:f>MAX(0,MIN($I47,T$21)-MAX($H47,T$20))+IF(AND($G47=1,INDEX('城市分配'!$P$6:$P$61,MATCH($A47,'城市分配'!$B$6:$B$61,0))=10),1,0)</x:f>
        <x:v>0</x:v>
      </x:c>
      <x:c r="AG47" s="40" t="n">
        <x:f>MAX(0,MIN($I47,U$21)-MAX($H47,U$20))+IF(AND($G47=1,INDEX('城市分配'!$P$6:$P$61,MATCH($A47,'城市分配'!$B$6:$B$61,0))=11),1,0)</x:f>
        <x:v>0</x:v>
      </x:c>
      <x:c r="AH47" s="40" t="n">
        <x:f>2*SUM(J47:U47)+4*SUM(V47:AG47)-INDEX('城市分配'!$J$6:$J$61,MATCH($A47,'城市分配'!$B$6:$B$61,0))</x:f>
        <x:v>0</x:v>
      </x:c>
      <x:c r="AI47" s="40" t="n">
        <x:f>IF(INDEX('城市分配'!$D$6:$D$61,MATCH($A47,'城市分配'!$B$6:$B$61,0))="是",--(SUM($J47:$O47)+SUM($V47:$AA47)&gt;0),0)</x:f>
        <x:v>1</x:v>
      </x:c>
    </x:row>
    <x:row r="48">
      <x:c r="A48" t="str">
        <x:v>台州</x:v>
      </x:c>
      <x:c r="B48" s="40" t="n">
        <x:f>INDEX('城市分配'!$M$6:$M$61,MATCH($A48,'城市分配'!$B$6:$B$61,0))</x:f>
        <x:v>128</x:v>
      </x:c>
      <x:c r="C48" s="40" t="n">
        <x:f>IF(AND(INDEX('城市分配'!$D$6:$D$61,MATCH($A48,'城市分配'!$B$6:$B$61,0))="是",B48&gt;0),1,0)</x:f>
        <x:v>1</x:v>
      </x:c>
      <x:c r="D48" s="37" t="n">
        <x:f>SUM($B$28:B47)-SUM($C$28:C47)</x:f>
        <x:v>2138</x:v>
      </x:c>
      <x:c r="E48" s="37" t="n">
        <x:f>D48+B48-C48</x:f>
        <x:v>2265</x:v>
      </x:c>
      <x:c r="F48" s="40" t="n">
        <x:f>INDEX('城市分配'!$L$6:$L$61,MATCH($A48,'城市分配'!$B$6:$B$61,0))</x:f>
        <x:v>86</x:v>
      </x:c>
      <x:c r="G48" s="40" t="n">
        <x:f>IF(AND(INDEX('城市分配'!$D$6:$D$61,MATCH($A48,'城市分配'!$B$6:$B$61,0))="是",F48&gt;0,B48=0),1,0)</x:f>
        <x:v>0</x:v>
      </x:c>
      <x:c r="H48" s="37" t="n">
        <x:f>SUM($F$28:F47)-SUM($G$28:G47)</x:f>
        <x:v>2171</x:v>
      </x:c>
      <x:c r="I48" s="37" t="n">
        <x:f>H48+F48-G48</x:f>
        <x:v>2257</x:v>
      </x:c>
      <x:c r="J48" s="40" t="n">
        <x:f>MAX(0,MIN($E48,J$19)-MAX($D48,J$18))+IF(AND($C48=1,INDEX('城市分配'!$P$6:$P$61,MATCH($A48,'城市分配'!$B$6:$B$61,0))=0),1,0)</x:f>
        <x:v>0</x:v>
      </x:c>
      <x:c r="K48" s="40" t="n">
        <x:f>MAX(0,MIN($E48,K$19)-MAX($D48,K$18))+IF(AND($C48=1,INDEX('城市分配'!$P$6:$P$61,MATCH($A48,'城市分配'!$B$6:$B$61,0))=1),1,0)</x:f>
        <x:v>0</x:v>
      </x:c>
      <x:c r="L48" s="40" t="n">
        <x:f>MAX(0,MIN($E48,L$19)-MAX($D48,L$18))+IF(AND($C48=1,INDEX('城市分配'!$P$6:$P$61,MATCH($A48,'城市分配'!$B$6:$B$61,0))=2),1,0)</x:f>
        <x:v>1</x:v>
      </x:c>
      <x:c r="M48" s="40" t="n">
        <x:f>MAX(0,MIN($E48,M$19)-MAX($D48,M$18))+IF(AND($C48=1,INDEX('城市分配'!$P$6:$P$61,MATCH($A48,'城市分配'!$B$6:$B$61,0))=3),1,0)</x:f>
        <x:v>0</x:v>
      </x:c>
      <x:c r="N48" s="40" t="n">
        <x:f>MAX(0,MIN($E48,N$19)-MAX($D48,N$18))+IF(AND($C48=1,INDEX('城市分配'!$P$6:$P$61,MATCH($A48,'城市分配'!$B$6:$B$61,0))=4),1,0)</x:f>
        <x:v>0</x:v>
      </x:c>
      <x:c r="O48" s="40" t="n">
        <x:f>MAX(0,MIN($E48,O$19)-MAX($D48,O$18))+IF(AND($C48=1,INDEX('城市分配'!$P$6:$P$61,MATCH($A48,'城市分配'!$B$6:$B$61,0))=5),1,0)</x:f>
        <x:v>0</x:v>
      </x:c>
      <x:c r="P48" s="40" t="n">
        <x:f>MAX(0,MIN($E48,P$19)-MAX($D48,P$18))+IF(AND($C48=1,INDEX('城市分配'!$P$6:$P$61,MATCH($A48,'城市分配'!$B$6:$B$61,0))=6),1,0)</x:f>
        <x:v>0</x:v>
      </x:c>
      <x:c r="Q48" s="40" t="n">
        <x:f>MAX(0,MIN($E48,Q$19)-MAX($D48,Q$18))+IF(AND($C48=1,INDEX('城市分配'!$P$6:$P$61,MATCH($A48,'城市分配'!$B$6:$B$61,0))=7),1,0)</x:f>
        <x:v>0</x:v>
      </x:c>
      <x:c r="R48" s="40" t="n">
        <x:f>MAX(0,MIN($E48,R$19)-MAX($D48,R$18))+IF(AND($C48=1,INDEX('城市分配'!$P$6:$P$61,MATCH($A48,'城市分配'!$B$6:$B$61,0))=8),1,0)</x:f>
        <x:v>0</x:v>
      </x:c>
      <x:c r="S48" s="40" t="n">
        <x:f>MAX(0,MIN($E48,S$19)-MAX($D48,S$18))+IF(AND($C48=1,INDEX('城市分配'!$P$6:$P$61,MATCH($A48,'城市分配'!$B$6:$B$61,0))=9),1,0)</x:f>
        <x:v>127</x:v>
      </x:c>
      <x:c r="T48" s="40" t="n">
        <x:f>MAX(0,MIN($E48,T$19)-MAX($D48,T$18))+IF(AND($C48=1,INDEX('城市分配'!$P$6:$P$61,MATCH($A48,'城市分配'!$B$6:$B$61,0))=10),1,0)</x:f>
        <x:v>0</x:v>
      </x:c>
      <x:c r="U48" s="40" t="n">
        <x:f>MAX(0,MIN($E48,U$19)-MAX($D48,U$18))+IF(AND($C48=1,INDEX('城市分配'!$P$6:$P$61,MATCH($A48,'城市分配'!$B$6:$B$61,0))=11),1,0)</x:f>
        <x:v>0</x:v>
      </x:c>
      <x:c r="V48" s="40" t="n">
        <x:f>MAX(0,MIN($I48,J$21)-MAX($H48,J$20))+IF(AND($G48=1,INDEX('城市分配'!$P$6:$P$61,MATCH($A48,'城市分配'!$B$6:$B$61,0))=0),1,0)</x:f>
        <x:v>0</x:v>
      </x:c>
      <x:c r="W48" s="40" t="n">
        <x:f>MAX(0,MIN($I48,K$21)-MAX($H48,K$20))+IF(AND($G48=1,INDEX('城市分配'!$P$6:$P$61,MATCH($A48,'城市分配'!$B$6:$B$61,0))=1),1,0)</x:f>
        <x:v>0</x:v>
      </x:c>
      <x:c r="X48" s="40" t="n">
        <x:f>MAX(0,MIN($I48,L$21)-MAX($H48,L$20))+IF(AND($G48=1,INDEX('城市分配'!$P$6:$P$61,MATCH($A48,'城市分配'!$B$6:$B$61,0))=2),1,0)</x:f>
        <x:v>0</x:v>
      </x:c>
      <x:c r="Y48" s="40" t="n">
        <x:f>MAX(0,MIN($I48,M$21)-MAX($H48,M$20))+IF(AND($G48=1,INDEX('城市分配'!$P$6:$P$61,MATCH($A48,'城市分配'!$B$6:$B$61,0))=3),1,0)</x:f>
        <x:v>0</x:v>
      </x:c>
      <x:c r="Z48" s="40" t="n">
        <x:f>MAX(0,MIN($I48,N$21)-MAX($H48,N$20))+IF(AND($G48=1,INDEX('城市分配'!$P$6:$P$61,MATCH($A48,'城市分配'!$B$6:$B$61,0))=4),1,0)</x:f>
        <x:v>86</x:v>
      </x:c>
      <x:c r="AA48" s="40" t="n">
        <x:f>MAX(0,MIN($I48,O$21)-MAX($H48,O$20))+IF(AND($G48=1,INDEX('城市分配'!$P$6:$P$61,MATCH($A48,'城市分配'!$B$6:$B$61,0))=5),1,0)</x:f>
        <x:v>0</x:v>
      </x:c>
      <x:c r="AB48" s="40" t="n">
        <x:f>MAX(0,MIN($I48,P$21)-MAX($H48,P$20))+IF(AND($G48=1,INDEX('城市分配'!$P$6:$P$61,MATCH($A48,'城市分配'!$B$6:$B$61,0))=6),1,0)</x:f>
        <x:v>0</x:v>
      </x:c>
      <x:c r="AC48" s="40" t="n">
        <x:f>MAX(0,MIN($I48,Q$21)-MAX($H48,Q$20))+IF(AND($G48=1,INDEX('城市分配'!$P$6:$P$61,MATCH($A48,'城市分配'!$B$6:$B$61,0))=7),1,0)</x:f>
        <x:v>0</x:v>
      </x:c>
      <x:c r="AD48" s="40" t="n">
        <x:f>MAX(0,MIN($I48,R$21)-MAX($H48,R$20))+IF(AND($G48=1,INDEX('城市分配'!$P$6:$P$61,MATCH($A48,'城市分配'!$B$6:$B$61,0))=8),1,0)</x:f>
        <x:v>0</x:v>
      </x:c>
      <x:c r="AE48" s="40" t="n">
        <x:f>MAX(0,MIN($I48,S$21)-MAX($H48,S$20))+IF(AND($G48=1,INDEX('城市分配'!$P$6:$P$61,MATCH($A48,'城市分配'!$B$6:$B$61,0))=9),1,0)</x:f>
        <x:v>0</x:v>
      </x:c>
      <x:c r="AF48" s="40" t="n">
        <x:f>MAX(0,MIN($I48,T$21)-MAX($H48,T$20))+IF(AND($G48=1,INDEX('城市分配'!$P$6:$P$61,MATCH($A48,'城市分配'!$B$6:$B$61,0))=10),1,0)</x:f>
        <x:v>0</x:v>
      </x:c>
      <x:c r="AG48" s="40" t="n">
        <x:f>MAX(0,MIN($I48,U$21)-MAX($H48,U$20))+IF(AND($G48=1,INDEX('城市分配'!$P$6:$P$61,MATCH($A48,'城市分配'!$B$6:$B$61,0))=11),1,0)</x:f>
        <x:v>0</x:v>
      </x:c>
      <x:c r="AH48" s="40" t="n">
        <x:f>2*SUM(J48:U48)+4*SUM(V48:AG48)-INDEX('城市分配'!$J$6:$J$61,MATCH($A48,'城市分配'!$B$6:$B$61,0))</x:f>
        <x:v>0</x:v>
      </x:c>
      <x:c r="AI48" s="40" t="n">
        <x:f>IF(INDEX('城市分配'!$D$6:$D$61,MATCH($A48,'城市分配'!$B$6:$B$61,0))="是",--(SUM($J48:$O48)+SUM($V48:$AA48)&gt;0),0)</x:f>
        <x:v>1</x:v>
      </x:c>
    </x:row>
    <x:row r="49">
      <x:c r="A49" t="str">
        <x:v>绍兴</x:v>
      </x:c>
      <x:c r="B49" s="40" t="n">
        <x:f>INDEX('城市分配'!$M$6:$M$61,MATCH($A49,'城市分配'!$B$6:$B$61,0))</x:f>
        <x:v>128</x:v>
      </x:c>
      <x:c r="C49" s="40" t="n">
        <x:f>IF(AND(INDEX('城市分配'!$D$6:$D$61,MATCH($A49,'城市分配'!$B$6:$B$61,0))="是",B49&gt;0),1,0)</x:f>
        <x:v>1</x:v>
      </x:c>
      <x:c r="D49" s="37" t="n">
        <x:f>SUM($B$28:B48)-SUM($C$28:C48)</x:f>
        <x:v>2265</x:v>
      </x:c>
      <x:c r="E49" s="37" t="n">
        <x:f>D49+B49-C49</x:f>
        <x:v>2392</x:v>
      </x:c>
      <x:c r="F49" s="40" t="n">
        <x:f>INDEX('城市分配'!$L$6:$L$61,MATCH($A49,'城市分配'!$B$6:$B$61,0))</x:f>
        <x:v>86</x:v>
      </x:c>
      <x:c r="G49" s="40" t="n">
        <x:f>IF(AND(INDEX('城市分配'!$D$6:$D$61,MATCH($A49,'城市分配'!$B$6:$B$61,0))="是",F49&gt;0,B49=0),1,0)</x:f>
        <x:v>0</x:v>
      </x:c>
      <x:c r="H49" s="37" t="n">
        <x:f>SUM($F$28:F48)-SUM($G$28:G48)</x:f>
        <x:v>2257</x:v>
      </x:c>
      <x:c r="I49" s="37" t="n">
        <x:f>H49+F49-G49</x:f>
        <x:v>2343</x:v>
      </x:c>
      <x:c r="J49" s="40" t="n">
        <x:f>MAX(0,MIN($E49,J$19)-MAX($D49,J$18))+IF(AND($C49=1,INDEX('城市分配'!$P$6:$P$61,MATCH($A49,'城市分配'!$B$6:$B$61,0))=0),1,0)</x:f>
        <x:v>0</x:v>
      </x:c>
      <x:c r="K49" s="40" t="n">
        <x:f>MAX(0,MIN($E49,K$19)-MAX($D49,K$18))+IF(AND($C49=1,INDEX('城市分配'!$P$6:$P$61,MATCH($A49,'城市分配'!$B$6:$B$61,0))=1),1,0)</x:f>
        <x:v>0</x:v>
      </x:c>
      <x:c r="L49" s="40" t="n">
        <x:f>MAX(0,MIN($E49,L$19)-MAX($D49,L$18))+IF(AND($C49=1,INDEX('城市分配'!$P$6:$P$61,MATCH($A49,'城市分配'!$B$6:$B$61,0))=2),1,0)</x:f>
        <x:v>0</x:v>
      </x:c>
      <x:c r="M49" s="40" t="n">
        <x:f>MAX(0,MIN($E49,M$19)-MAX($D49,M$18))+IF(AND($C49=1,INDEX('城市分配'!$P$6:$P$61,MATCH($A49,'城市分配'!$B$6:$B$61,0))=3),1,0)</x:f>
        <x:v>1</x:v>
      </x:c>
      <x:c r="N49" s="40" t="n">
        <x:f>MAX(0,MIN($E49,N$19)-MAX($D49,N$18))+IF(AND($C49=1,INDEX('城市分配'!$P$6:$P$61,MATCH($A49,'城市分配'!$B$6:$B$61,0))=4),1,0)</x:f>
        <x:v>0</x:v>
      </x:c>
      <x:c r="O49" s="40" t="n">
        <x:f>MAX(0,MIN($E49,O$19)-MAX($D49,O$18))+IF(AND($C49=1,INDEX('城市分配'!$P$6:$P$61,MATCH($A49,'城市分配'!$B$6:$B$61,0))=5),1,0)</x:f>
        <x:v>0</x:v>
      </x:c>
      <x:c r="P49" s="40" t="n">
        <x:f>MAX(0,MIN($E49,P$19)-MAX($D49,P$18))+IF(AND($C49=1,INDEX('城市分配'!$P$6:$P$61,MATCH($A49,'城市分配'!$B$6:$B$61,0))=6),1,0)</x:f>
        <x:v>0</x:v>
      </x:c>
      <x:c r="Q49" s="40" t="n">
        <x:f>MAX(0,MIN($E49,Q$19)-MAX($D49,Q$18))+IF(AND($C49=1,INDEX('城市分配'!$P$6:$P$61,MATCH($A49,'城市分配'!$B$6:$B$61,0))=7),1,0)</x:f>
        <x:v>0</x:v>
      </x:c>
      <x:c r="R49" s="40" t="n">
        <x:f>MAX(0,MIN($E49,R$19)-MAX($D49,R$18))+IF(AND($C49=1,INDEX('城市分配'!$P$6:$P$61,MATCH($A49,'城市分配'!$B$6:$B$61,0))=8),1,0)</x:f>
        <x:v>0</x:v>
      </x:c>
      <x:c r="S49" s="40" t="n">
        <x:f>MAX(0,MIN($E49,S$19)-MAX($D49,S$18))+IF(AND($C49=1,INDEX('城市分配'!$P$6:$P$61,MATCH($A49,'城市分配'!$B$6:$B$61,0))=9),1,0)</x:f>
        <x:v>9</x:v>
      </x:c>
      <x:c r="T49" s="40" t="n">
        <x:f>MAX(0,MIN($E49,T$19)-MAX($D49,T$18))+IF(AND($C49=1,INDEX('城市分配'!$P$6:$P$61,MATCH($A49,'城市分配'!$B$6:$B$61,0))=10),1,0)</x:f>
        <x:v>118</x:v>
      </x:c>
      <x:c r="U49" s="40" t="n">
        <x:f>MAX(0,MIN($E49,U$19)-MAX($D49,U$18))+IF(AND($C49=1,INDEX('城市分配'!$P$6:$P$61,MATCH($A49,'城市分配'!$B$6:$B$61,0))=11),1,0)</x:f>
        <x:v>0</x:v>
      </x:c>
      <x:c r="V49" s="40" t="n">
        <x:f>MAX(0,MIN($I49,J$21)-MAX($H49,J$20))+IF(AND($G49=1,INDEX('城市分配'!$P$6:$P$61,MATCH($A49,'城市分配'!$B$6:$B$61,0))=0),1,0)</x:f>
        <x:v>0</x:v>
      </x:c>
      <x:c r="W49" s="40" t="n">
        <x:f>MAX(0,MIN($I49,K$21)-MAX($H49,K$20))+IF(AND($G49=1,INDEX('城市分配'!$P$6:$P$61,MATCH($A49,'城市分配'!$B$6:$B$61,0))=1),1,0)</x:f>
        <x:v>0</x:v>
      </x:c>
      <x:c r="X49" s="40" t="n">
        <x:f>MAX(0,MIN($I49,L$21)-MAX($H49,L$20))+IF(AND($G49=1,INDEX('城市分配'!$P$6:$P$61,MATCH($A49,'城市分配'!$B$6:$B$61,0))=2),1,0)</x:f>
        <x:v>0</x:v>
      </x:c>
      <x:c r="Y49" s="40" t="n">
        <x:f>MAX(0,MIN($I49,M$21)-MAX($H49,M$20))+IF(AND($G49=1,INDEX('城市分配'!$P$6:$P$61,MATCH($A49,'城市分配'!$B$6:$B$61,0))=3),1,0)</x:f>
        <x:v>0</x:v>
      </x:c>
      <x:c r="Z49" s="40" t="n">
        <x:f>MAX(0,MIN($I49,N$21)-MAX($H49,N$20))+IF(AND($G49=1,INDEX('城市分配'!$P$6:$P$61,MATCH($A49,'城市分配'!$B$6:$B$61,0))=4),1,0)</x:f>
        <x:v>86</x:v>
      </x:c>
      <x:c r="AA49" s="40" t="n">
        <x:f>MAX(0,MIN($I49,O$21)-MAX($H49,O$20))+IF(AND($G49=1,INDEX('城市分配'!$P$6:$P$61,MATCH($A49,'城市分配'!$B$6:$B$61,0))=5),1,0)</x:f>
        <x:v>0</x:v>
      </x:c>
      <x:c r="AB49" s="40" t="n">
        <x:f>MAX(0,MIN($I49,P$21)-MAX($H49,P$20))+IF(AND($G49=1,INDEX('城市分配'!$P$6:$P$61,MATCH($A49,'城市分配'!$B$6:$B$61,0))=6),1,0)</x:f>
        <x:v>0</x:v>
      </x:c>
      <x:c r="AC49" s="40" t="n">
        <x:f>MAX(0,MIN($I49,Q$21)-MAX($H49,Q$20))+IF(AND($G49=1,INDEX('城市分配'!$P$6:$P$61,MATCH($A49,'城市分配'!$B$6:$B$61,0))=7),1,0)</x:f>
        <x:v>0</x:v>
      </x:c>
      <x:c r="AD49" s="40" t="n">
        <x:f>MAX(0,MIN($I49,R$21)-MAX($H49,R$20))+IF(AND($G49=1,INDEX('城市分配'!$P$6:$P$61,MATCH($A49,'城市分配'!$B$6:$B$61,0))=8),1,0)</x:f>
        <x:v>0</x:v>
      </x:c>
      <x:c r="AE49" s="40" t="n">
        <x:f>MAX(0,MIN($I49,S$21)-MAX($H49,S$20))+IF(AND($G49=1,INDEX('城市分配'!$P$6:$P$61,MATCH($A49,'城市分配'!$B$6:$B$61,0))=9),1,0)</x:f>
        <x:v>0</x:v>
      </x:c>
      <x:c r="AF49" s="40" t="n">
        <x:f>MAX(0,MIN($I49,T$21)-MAX($H49,T$20))+IF(AND($G49=1,INDEX('城市分配'!$P$6:$P$61,MATCH($A49,'城市分配'!$B$6:$B$61,0))=10),1,0)</x:f>
        <x:v>0</x:v>
      </x:c>
      <x:c r="AG49" s="40" t="n">
        <x:f>MAX(0,MIN($I49,U$21)-MAX($H49,U$20))+IF(AND($G49=1,INDEX('城市分配'!$P$6:$P$61,MATCH($A49,'城市分配'!$B$6:$B$61,0))=11),1,0)</x:f>
        <x:v>0</x:v>
      </x:c>
      <x:c r="AH49" s="40" t="n">
        <x:f>2*SUM(J49:U49)+4*SUM(V49:AG49)-INDEX('城市分配'!$J$6:$J$61,MATCH($A49,'城市分配'!$B$6:$B$61,0))</x:f>
        <x:v>0</x:v>
      </x:c>
      <x:c r="AI49" s="40" t="n">
        <x:f>IF(INDEX('城市分配'!$D$6:$D$61,MATCH($A49,'城市分配'!$B$6:$B$61,0))="是",--(SUM($J49:$O49)+SUM($V49:$AA49)&gt;0),0)</x:f>
        <x:v>1</x:v>
      </x:c>
    </x:row>
    <x:row r="50">
      <x:c r="A50" t="str">
        <x:v>西安</x:v>
      </x:c>
      <x:c r="B50" s="40" t="n">
        <x:f>INDEX('城市分配'!$M$6:$M$61,MATCH($A50,'城市分配'!$B$6:$B$61,0))</x:f>
        <x:v>70</x:v>
      </x:c>
      <x:c r="C50" s="40" t="n">
        <x:f>IF(AND(INDEX('城市分配'!$D$6:$D$61,MATCH($A50,'城市分配'!$B$6:$B$61,0))="是",B50&gt;0),1,0)</x:f>
        <x:v>1</x:v>
      </x:c>
      <x:c r="D50" s="37" t="n">
        <x:f>SUM($B$28:B49)-SUM($C$28:C49)</x:f>
        <x:v>2392</x:v>
      </x:c>
      <x:c r="E50" s="37" t="n">
        <x:f>D50+B50-C50</x:f>
        <x:v>2461</x:v>
      </x:c>
      <x:c r="F50" s="40" t="n">
        <x:f>INDEX('城市分配'!$L$6:$L$61,MATCH($A50,'城市分配'!$B$6:$B$61,0))</x:f>
        <x:v>165</x:v>
      </x:c>
      <x:c r="G50" s="40" t="n">
        <x:f>IF(AND(INDEX('城市分配'!$D$6:$D$61,MATCH($A50,'城市分配'!$B$6:$B$61,0))="是",F50&gt;0,B50=0),1,0)</x:f>
        <x:v>0</x:v>
      </x:c>
      <x:c r="H50" s="37" t="n">
        <x:f>SUM($F$28:F49)-SUM($G$28:G49)</x:f>
        <x:v>2343</x:v>
      </x:c>
      <x:c r="I50" s="37" t="n">
        <x:f>H50+F50-G50</x:f>
        <x:v>2508</x:v>
      </x:c>
      <x:c r="J50" s="40" t="n">
        <x:f>MAX(0,MIN($E50,J$19)-MAX($D50,J$18))+IF(AND($C50=1,INDEX('城市分配'!$P$6:$P$61,MATCH($A50,'城市分配'!$B$6:$B$61,0))=0),1,0)</x:f>
        <x:v>0</x:v>
      </x:c>
      <x:c r="K50" s="40" t="n">
        <x:f>MAX(0,MIN($E50,K$19)-MAX($D50,K$18))+IF(AND($C50=1,INDEX('城市分配'!$P$6:$P$61,MATCH($A50,'城市分配'!$B$6:$B$61,0))=1),1,0)</x:f>
        <x:v>0</x:v>
      </x:c>
      <x:c r="L50" s="40" t="n">
        <x:f>MAX(0,MIN($E50,L$19)-MAX($D50,L$18))+IF(AND($C50=1,INDEX('城市分配'!$P$6:$P$61,MATCH($A50,'城市分配'!$B$6:$B$61,0))=2),1,0)</x:f>
        <x:v>0</x:v>
      </x:c>
      <x:c r="M50" s="40" t="n">
        <x:f>MAX(0,MIN($E50,M$19)-MAX($D50,M$18))+IF(AND($C50=1,INDEX('城市分配'!$P$6:$P$61,MATCH($A50,'城市分配'!$B$6:$B$61,0))=3),1,0)</x:f>
        <x:v>0</x:v>
      </x:c>
      <x:c r="N50" s="40" t="n">
        <x:f>MAX(0,MIN($E50,N$19)-MAX($D50,N$18))+IF(AND($C50=1,INDEX('城市分配'!$P$6:$P$61,MATCH($A50,'城市分配'!$B$6:$B$61,0))=4),1,0)</x:f>
        <x:v>1</x:v>
      </x:c>
      <x:c r="O50" s="40" t="n">
        <x:f>MAX(0,MIN($E50,O$19)-MAX($D50,O$18))+IF(AND($C50=1,INDEX('城市分配'!$P$6:$P$61,MATCH($A50,'城市分配'!$B$6:$B$61,0))=5),1,0)</x:f>
        <x:v>0</x:v>
      </x:c>
      <x:c r="P50" s="40" t="n">
        <x:f>MAX(0,MIN($E50,P$19)-MAX($D50,P$18))+IF(AND($C50=1,INDEX('城市分配'!$P$6:$P$61,MATCH($A50,'城市分配'!$B$6:$B$61,0))=6),1,0)</x:f>
        <x:v>0</x:v>
      </x:c>
      <x:c r="Q50" s="40" t="n">
        <x:f>MAX(0,MIN($E50,Q$19)-MAX($D50,Q$18))+IF(AND($C50=1,INDEX('城市分配'!$P$6:$P$61,MATCH($A50,'城市分配'!$B$6:$B$61,0))=7),1,0)</x:f>
        <x:v>0</x:v>
      </x:c>
      <x:c r="R50" s="40" t="n">
        <x:f>MAX(0,MIN($E50,R$19)-MAX($D50,R$18))+IF(AND($C50=1,INDEX('城市分配'!$P$6:$P$61,MATCH($A50,'城市分配'!$B$6:$B$61,0))=8),1,0)</x:f>
        <x:v>0</x:v>
      </x:c>
      <x:c r="S50" s="40" t="n">
        <x:f>MAX(0,MIN($E50,S$19)-MAX($D50,S$18))+IF(AND($C50=1,INDEX('城市分配'!$P$6:$P$61,MATCH($A50,'城市分配'!$B$6:$B$61,0))=9),1,0)</x:f>
        <x:v>0</x:v>
      </x:c>
      <x:c r="T50" s="40" t="n">
        <x:f>MAX(0,MIN($E50,T$19)-MAX($D50,T$18))+IF(AND($C50=1,INDEX('城市分配'!$P$6:$P$61,MATCH($A50,'城市分配'!$B$6:$B$61,0))=10),1,0)</x:f>
        <x:v>69</x:v>
      </x:c>
      <x:c r="U50" s="40" t="n">
        <x:f>MAX(0,MIN($E50,U$19)-MAX($D50,U$18))+IF(AND($C50=1,INDEX('城市分配'!$P$6:$P$61,MATCH($A50,'城市分配'!$B$6:$B$61,0))=11),1,0)</x:f>
        <x:v>0</x:v>
      </x:c>
      <x:c r="V50" s="40" t="n">
        <x:f>MAX(0,MIN($I50,J$21)-MAX($H50,J$20))+IF(AND($G50=1,INDEX('城市分配'!$P$6:$P$61,MATCH($A50,'城市分配'!$B$6:$B$61,0))=0),1,0)</x:f>
        <x:v>0</x:v>
      </x:c>
      <x:c r="W50" s="40" t="n">
        <x:f>MAX(0,MIN($I50,K$21)-MAX($H50,K$20))+IF(AND($G50=1,INDEX('城市分配'!$P$6:$P$61,MATCH($A50,'城市分配'!$B$6:$B$61,0))=1),1,0)</x:f>
        <x:v>0</x:v>
      </x:c>
      <x:c r="X50" s="40" t="n">
        <x:f>MAX(0,MIN($I50,L$21)-MAX($H50,L$20))+IF(AND($G50=1,INDEX('城市分配'!$P$6:$P$61,MATCH($A50,'城市分配'!$B$6:$B$61,0))=2),1,0)</x:f>
        <x:v>0</x:v>
      </x:c>
      <x:c r="Y50" s="40" t="n">
        <x:f>MAX(0,MIN($I50,M$21)-MAX($H50,M$20))+IF(AND($G50=1,INDEX('城市分配'!$P$6:$P$61,MATCH($A50,'城市分配'!$B$6:$B$61,0))=3),1,0)</x:f>
        <x:v>0</x:v>
      </x:c>
      <x:c r="Z50" s="40" t="n">
        <x:f>MAX(0,MIN($I50,N$21)-MAX($H50,N$20))+IF(AND($G50=1,INDEX('城市分配'!$P$6:$P$61,MATCH($A50,'城市分配'!$B$6:$B$61,0))=4),1,0)</x:f>
        <x:v>165</x:v>
      </x:c>
      <x:c r="AA50" s="40" t="n">
        <x:f>MAX(0,MIN($I50,O$21)-MAX($H50,O$20))+IF(AND($G50=1,INDEX('城市分配'!$P$6:$P$61,MATCH($A50,'城市分配'!$B$6:$B$61,0))=5),1,0)</x:f>
        <x:v>0</x:v>
      </x:c>
      <x:c r="AB50" s="40" t="n">
        <x:f>MAX(0,MIN($I50,P$21)-MAX($H50,P$20))+IF(AND($G50=1,INDEX('城市分配'!$P$6:$P$61,MATCH($A50,'城市分配'!$B$6:$B$61,0))=6),1,0)</x:f>
        <x:v>0</x:v>
      </x:c>
      <x:c r="AC50" s="40" t="n">
        <x:f>MAX(0,MIN($I50,Q$21)-MAX($H50,Q$20))+IF(AND($G50=1,INDEX('城市分配'!$P$6:$P$61,MATCH($A50,'城市分配'!$B$6:$B$61,0))=7),1,0)</x:f>
        <x:v>0</x:v>
      </x:c>
      <x:c r="AD50" s="40" t="n">
        <x:f>MAX(0,MIN($I50,R$21)-MAX($H50,R$20))+IF(AND($G50=1,INDEX('城市分配'!$P$6:$P$61,MATCH($A50,'城市分配'!$B$6:$B$61,0))=8),1,0)</x:f>
        <x:v>0</x:v>
      </x:c>
      <x:c r="AE50" s="40" t="n">
        <x:f>MAX(0,MIN($I50,S$21)-MAX($H50,S$20))+IF(AND($G50=1,INDEX('城市分配'!$P$6:$P$61,MATCH($A50,'城市分配'!$B$6:$B$61,0))=9),1,0)</x:f>
        <x:v>0</x:v>
      </x:c>
      <x:c r="AF50" s="40" t="n">
        <x:f>MAX(0,MIN($I50,T$21)-MAX($H50,T$20))+IF(AND($G50=1,INDEX('城市分配'!$P$6:$P$61,MATCH($A50,'城市分配'!$B$6:$B$61,0))=10),1,0)</x:f>
        <x:v>0</x:v>
      </x:c>
      <x:c r="AG50" s="40" t="n">
        <x:f>MAX(0,MIN($I50,U$21)-MAX($H50,U$20))+IF(AND($G50=1,INDEX('城市分配'!$P$6:$P$61,MATCH($A50,'城市分配'!$B$6:$B$61,0))=11),1,0)</x:f>
        <x:v>0</x:v>
      </x:c>
      <x:c r="AH50" s="40" t="n">
        <x:f>2*SUM(J50:U50)+4*SUM(V50:AG50)-INDEX('城市分配'!$J$6:$J$61,MATCH($A50,'城市分配'!$B$6:$B$61,0))</x:f>
        <x:v>0</x:v>
      </x:c>
      <x:c r="AI50" s="40" t="n">
        <x:f>IF(INDEX('城市分配'!$D$6:$D$61,MATCH($A50,'城市分配'!$B$6:$B$61,0))="是",--(SUM($J50:$O50)+SUM($V50:$AA50)&gt;0),0)</x:f>
        <x:v>1</x:v>
      </x:c>
    </x:row>
    <x:row r="51">
      <x:c r="A51" t="str">
        <x:v>无锡</x:v>
      </x:c>
      <x:c r="B51" s="40" t="n">
        <x:f>INDEX('城市分配'!$M$6:$M$61,MATCH($A51,'城市分配'!$B$6:$B$61,0))</x:f>
        <x:v>128</x:v>
      </x:c>
      <x:c r="C51" s="40" t="n">
        <x:f>IF(AND(INDEX('城市分配'!$D$6:$D$61,MATCH($A51,'城市分配'!$B$6:$B$61,0))="是",B51&gt;0),1,0)</x:f>
        <x:v>1</x:v>
      </x:c>
      <x:c r="D51" s="37" t="n">
        <x:f>SUM($B$28:B50)-SUM($C$28:C50)</x:f>
        <x:v>2461</x:v>
      </x:c>
      <x:c r="E51" s="37" t="n">
        <x:f>D51+B51-C51</x:f>
        <x:v>2588</x:v>
      </x:c>
      <x:c r="F51" s="40" t="n">
        <x:f>INDEX('城市分配'!$L$6:$L$61,MATCH($A51,'城市分配'!$B$6:$B$61,0))</x:f>
        <x:v>86</x:v>
      </x:c>
      <x:c r="G51" s="40" t="n">
        <x:f>IF(AND(INDEX('城市分配'!$D$6:$D$61,MATCH($A51,'城市分配'!$B$6:$B$61,0))="是",F51&gt;0,B51=0),1,0)</x:f>
        <x:v>0</x:v>
      </x:c>
      <x:c r="H51" s="37" t="n">
        <x:f>SUM($F$28:F50)-SUM($G$28:G50)</x:f>
        <x:v>2508</x:v>
      </x:c>
      <x:c r="I51" s="37" t="n">
        <x:f>H51+F51-G51</x:f>
        <x:v>2594</x:v>
      </x:c>
      <x:c r="J51" s="40" t="n">
        <x:f>MAX(0,MIN($E51,J$19)-MAX($D51,J$18))+IF(AND($C51=1,INDEX('城市分配'!$P$6:$P$61,MATCH($A51,'城市分配'!$B$6:$B$61,0))=0),1,0)</x:f>
        <x:v>0</x:v>
      </x:c>
      <x:c r="K51" s="40" t="n">
        <x:f>MAX(0,MIN($E51,K$19)-MAX($D51,K$18))+IF(AND($C51=1,INDEX('城市分配'!$P$6:$P$61,MATCH($A51,'城市分配'!$B$6:$B$61,0))=1),1,0)</x:f>
        <x:v>0</x:v>
      </x:c>
      <x:c r="L51" s="40" t="n">
        <x:f>MAX(0,MIN($E51,L$19)-MAX($D51,L$18))+IF(AND($C51=1,INDEX('城市分配'!$P$6:$P$61,MATCH($A51,'城市分配'!$B$6:$B$61,0))=2),1,0)</x:f>
        <x:v>0</x:v>
      </x:c>
      <x:c r="M51" s="40" t="n">
        <x:f>MAX(0,MIN($E51,M$19)-MAX($D51,M$18))+IF(AND($C51=1,INDEX('城市分配'!$P$6:$P$61,MATCH($A51,'城市分配'!$B$6:$B$61,0))=3),1,0)</x:f>
        <x:v>0</x:v>
      </x:c>
      <x:c r="N51" s="40" t="n">
        <x:f>MAX(0,MIN($E51,N$19)-MAX($D51,N$18))+IF(AND($C51=1,INDEX('城市分配'!$P$6:$P$61,MATCH($A51,'城市分配'!$B$6:$B$61,0))=4),1,0)</x:f>
        <x:v>0</x:v>
      </x:c>
      <x:c r="O51" s="40" t="n">
        <x:f>MAX(0,MIN($E51,O$19)-MAX($D51,O$18))+IF(AND($C51=1,INDEX('城市分配'!$P$6:$P$61,MATCH($A51,'城市分配'!$B$6:$B$61,0))=5),1,0)</x:f>
        <x:v>1</x:v>
      </x:c>
      <x:c r="P51" s="40" t="n">
        <x:f>MAX(0,MIN($E51,P$19)-MAX($D51,P$18))+IF(AND($C51=1,INDEX('城市分配'!$P$6:$P$61,MATCH($A51,'城市分配'!$B$6:$B$61,0))=6),1,0)</x:f>
        <x:v>0</x:v>
      </x:c>
      <x:c r="Q51" s="40" t="n">
        <x:f>MAX(0,MIN($E51,Q$19)-MAX($D51,Q$18))+IF(AND($C51=1,INDEX('城市分配'!$P$6:$P$61,MATCH($A51,'城市分配'!$B$6:$B$61,0))=7),1,0)</x:f>
        <x:v>0</x:v>
      </x:c>
      <x:c r="R51" s="40" t="n">
        <x:f>MAX(0,MIN($E51,R$19)-MAX($D51,R$18))+IF(AND($C51=1,INDEX('城市分配'!$P$6:$P$61,MATCH($A51,'城市分配'!$B$6:$B$61,0))=8),1,0)</x:f>
        <x:v>0</x:v>
      </x:c>
      <x:c r="S51" s="40" t="n">
        <x:f>MAX(0,MIN($E51,S$19)-MAX($D51,S$18))+IF(AND($C51=1,INDEX('城市分配'!$P$6:$P$61,MATCH($A51,'城市分配'!$B$6:$B$61,0))=9),1,0)</x:f>
        <x:v>0</x:v>
      </x:c>
      <x:c r="T51" s="40" t="n">
        <x:f>MAX(0,MIN($E51,T$19)-MAX($D51,T$18))+IF(AND($C51=1,INDEX('城市分配'!$P$6:$P$61,MATCH($A51,'城市分配'!$B$6:$B$61,0))=10),1,0)</x:f>
        <x:v>127</x:v>
      </x:c>
      <x:c r="U51" s="40" t="n">
        <x:f>MAX(0,MIN($E51,U$19)-MAX($D51,U$18))+IF(AND($C51=1,INDEX('城市分配'!$P$6:$P$61,MATCH($A51,'城市分配'!$B$6:$B$61,0))=11),1,0)</x:f>
        <x:v>0</x:v>
      </x:c>
      <x:c r="V51" s="40" t="n">
        <x:f>MAX(0,MIN($I51,J$21)-MAX($H51,J$20))+IF(AND($G51=1,INDEX('城市分配'!$P$6:$P$61,MATCH($A51,'城市分配'!$B$6:$B$61,0))=0),1,0)</x:f>
        <x:v>0</x:v>
      </x:c>
      <x:c r="W51" s="40" t="n">
        <x:f>MAX(0,MIN($I51,K$21)-MAX($H51,K$20))+IF(AND($G51=1,INDEX('城市分配'!$P$6:$P$61,MATCH($A51,'城市分配'!$B$6:$B$61,0))=1),1,0)</x:f>
        <x:v>0</x:v>
      </x:c>
      <x:c r="X51" s="40" t="n">
        <x:f>MAX(0,MIN($I51,L$21)-MAX($H51,L$20))+IF(AND($G51=1,INDEX('城市分配'!$P$6:$P$61,MATCH($A51,'城市分配'!$B$6:$B$61,0))=2),1,0)</x:f>
        <x:v>0</x:v>
      </x:c>
      <x:c r="Y51" s="40" t="n">
        <x:f>MAX(0,MIN($I51,M$21)-MAX($H51,M$20))+IF(AND($G51=1,INDEX('城市分配'!$P$6:$P$61,MATCH($A51,'城市分配'!$B$6:$B$61,0))=3),1,0)</x:f>
        <x:v>0</x:v>
      </x:c>
      <x:c r="Z51" s="40" t="n">
        <x:f>MAX(0,MIN($I51,N$21)-MAX($H51,N$20))+IF(AND($G51=1,INDEX('城市分配'!$P$6:$P$61,MATCH($A51,'城市分配'!$B$6:$B$61,0))=4),1,0)</x:f>
        <x:v>86</x:v>
      </x:c>
      <x:c r="AA51" s="40" t="n">
        <x:f>MAX(0,MIN($I51,O$21)-MAX($H51,O$20))+IF(AND($G51=1,INDEX('城市分配'!$P$6:$P$61,MATCH($A51,'城市分配'!$B$6:$B$61,0))=5),1,0)</x:f>
        <x:v>0</x:v>
      </x:c>
      <x:c r="AB51" s="40" t="n">
        <x:f>MAX(0,MIN($I51,P$21)-MAX($H51,P$20))+IF(AND($G51=1,INDEX('城市分配'!$P$6:$P$61,MATCH($A51,'城市分配'!$B$6:$B$61,0))=6),1,0)</x:f>
        <x:v>0</x:v>
      </x:c>
      <x:c r="AC51" s="40" t="n">
        <x:f>MAX(0,MIN($I51,Q$21)-MAX($H51,Q$20))+IF(AND($G51=1,INDEX('城市分配'!$P$6:$P$61,MATCH($A51,'城市分配'!$B$6:$B$61,0))=7),1,0)</x:f>
        <x:v>0</x:v>
      </x:c>
      <x:c r="AD51" s="40" t="n">
        <x:f>MAX(0,MIN($I51,R$21)-MAX($H51,R$20))+IF(AND($G51=1,INDEX('城市分配'!$P$6:$P$61,MATCH($A51,'城市分配'!$B$6:$B$61,0))=8),1,0)</x:f>
        <x:v>0</x:v>
      </x:c>
      <x:c r="AE51" s="40" t="n">
        <x:f>MAX(0,MIN($I51,S$21)-MAX($H51,S$20))+IF(AND($G51=1,INDEX('城市分配'!$P$6:$P$61,MATCH($A51,'城市分配'!$B$6:$B$61,0))=9),1,0)</x:f>
        <x:v>0</x:v>
      </x:c>
      <x:c r="AF51" s="40" t="n">
        <x:f>MAX(0,MIN($I51,T$21)-MAX($H51,T$20))+IF(AND($G51=1,INDEX('城市分配'!$P$6:$P$61,MATCH($A51,'城市分配'!$B$6:$B$61,0))=10),1,0)</x:f>
        <x:v>0</x:v>
      </x:c>
      <x:c r="AG51" s="40" t="n">
        <x:f>MAX(0,MIN($I51,U$21)-MAX($H51,U$20))+IF(AND($G51=1,INDEX('城市分配'!$P$6:$P$61,MATCH($A51,'城市分配'!$B$6:$B$61,0))=11),1,0)</x:f>
        <x:v>0</x:v>
      </x:c>
      <x:c r="AH51" s="40" t="n">
        <x:f>2*SUM(J51:U51)+4*SUM(V51:AG51)-INDEX('城市分配'!$J$6:$J$61,MATCH($A51,'城市分配'!$B$6:$B$61,0))</x:f>
        <x:v>0</x:v>
      </x:c>
      <x:c r="AI51" s="40" t="n">
        <x:f>IF(INDEX('城市分配'!$D$6:$D$61,MATCH($A51,'城市分配'!$B$6:$B$61,0))="是",--(SUM($J51:$O51)+SUM($V51:$AA51)&gt;0),0)</x:f>
        <x:v>1</x:v>
      </x:c>
    </x:row>
    <x:row r="52">
      <x:c r="A52" t="str">
        <x:v>济南</x:v>
      </x:c>
      <x:c r="B52" s="40" t="n">
        <x:f>INDEX('城市分配'!$M$6:$M$61,MATCH($A52,'城市分配'!$B$6:$B$61,0))</x:f>
        <x:v>128</x:v>
      </x:c>
      <x:c r="C52" s="40" t="n">
        <x:f>IF(AND(INDEX('城市分配'!$D$6:$D$61,MATCH($A52,'城市分配'!$B$6:$B$61,0))="是",B52&gt;0),1,0)</x:f>
        <x:v>1</x:v>
      </x:c>
      <x:c r="D52" s="37" t="n">
        <x:f>SUM($B$28:B51)-SUM($C$28:C51)</x:f>
        <x:v>2588</x:v>
      </x:c>
      <x:c r="E52" s="37" t="n">
        <x:f>D52+B52-C52</x:f>
        <x:v>2715</x:v>
      </x:c>
      <x:c r="F52" s="40" t="n">
        <x:f>INDEX('城市分配'!$L$6:$L$61,MATCH($A52,'城市分配'!$B$6:$B$61,0))</x:f>
        <x:v>86</x:v>
      </x:c>
      <x:c r="G52" s="40" t="n">
        <x:f>IF(AND(INDEX('城市分配'!$D$6:$D$61,MATCH($A52,'城市分配'!$B$6:$B$61,0))="是",F52&gt;0,B52=0),1,0)</x:f>
        <x:v>0</x:v>
      </x:c>
      <x:c r="H52" s="37" t="n">
        <x:f>SUM($F$28:F51)-SUM($G$28:G51)</x:f>
        <x:v>2594</x:v>
      </x:c>
      <x:c r="I52" s="37" t="n">
        <x:f>H52+F52-G52</x:f>
        <x:v>2680</x:v>
      </x:c>
      <x:c r="J52" s="40" t="n">
        <x:f>MAX(0,MIN($E52,J$19)-MAX($D52,J$18))+IF(AND($C52=1,INDEX('城市分配'!$P$6:$P$61,MATCH($A52,'城市分配'!$B$6:$B$61,0))=0),1,0)</x:f>
        <x:v>1</x:v>
      </x:c>
      <x:c r="K52" s="40" t="n">
        <x:f>MAX(0,MIN($E52,K$19)-MAX($D52,K$18))+IF(AND($C52=1,INDEX('城市分配'!$P$6:$P$61,MATCH($A52,'城市分配'!$B$6:$B$61,0))=1),1,0)</x:f>
        <x:v>0</x:v>
      </x:c>
      <x:c r="L52" s="40" t="n">
        <x:f>MAX(0,MIN($E52,L$19)-MAX($D52,L$18))+IF(AND($C52=1,INDEX('城市分配'!$P$6:$P$61,MATCH($A52,'城市分配'!$B$6:$B$61,0))=2),1,0)</x:f>
        <x:v>0</x:v>
      </x:c>
      <x:c r="M52" s="40" t="n">
        <x:f>MAX(0,MIN($E52,M$19)-MAX($D52,M$18))+IF(AND($C52=1,INDEX('城市分配'!$P$6:$P$61,MATCH($A52,'城市分配'!$B$6:$B$61,0))=3),1,0)</x:f>
        <x:v>0</x:v>
      </x:c>
      <x:c r="N52" s="40" t="n">
        <x:f>MAX(0,MIN($E52,N$19)-MAX($D52,N$18))+IF(AND($C52=1,INDEX('城市分配'!$P$6:$P$61,MATCH($A52,'城市分配'!$B$6:$B$61,0))=4),1,0)</x:f>
        <x:v>0</x:v>
      </x:c>
      <x:c r="O52" s="40" t="n">
        <x:f>MAX(0,MIN($E52,O$19)-MAX($D52,O$18))+IF(AND($C52=1,INDEX('城市分配'!$P$6:$P$61,MATCH($A52,'城市分配'!$B$6:$B$61,0))=5),1,0)</x:f>
        <x:v>0</x:v>
      </x:c>
      <x:c r="P52" s="40" t="n">
        <x:f>MAX(0,MIN($E52,P$19)-MAX($D52,P$18))+IF(AND($C52=1,INDEX('城市分配'!$P$6:$P$61,MATCH($A52,'城市分配'!$B$6:$B$61,0))=6),1,0)</x:f>
        <x:v>0</x:v>
      </x:c>
      <x:c r="Q52" s="40" t="n">
        <x:f>MAX(0,MIN($E52,Q$19)-MAX($D52,Q$18))+IF(AND($C52=1,INDEX('城市分配'!$P$6:$P$61,MATCH($A52,'城市分配'!$B$6:$B$61,0))=7),1,0)</x:f>
        <x:v>0</x:v>
      </x:c>
      <x:c r="R52" s="40" t="n">
        <x:f>MAX(0,MIN($E52,R$19)-MAX($D52,R$18))+IF(AND($C52=1,INDEX('城市分配'!$P$6:$P$61,MATCH($A52,'城市分配'!$B$6:$B$61,0))=8),1,0)</x:f>
        <x:v>0</x:v>
      </x:c>
      <x:c r="S52" s="40" t="n">
        <x:f>MAX(0,MIN($E52,S$19)-MAX($D52,S$18))+IF(AND($C52=1,INDEX('城市分配'!$P$6:$P$61,MATCH($A52,'城市分配'!$B$6:$B$61,0))=9),1,0)</x:f>
        <x:v>0</x:v>
      </x:c>
      <x:c r="T52" s="40" t="n">
        <x:f>MAX(0,MIN($E52,T$19)-MAX($D52,T$18))+IF(AND($C52=1,INDEX('城市分配'!$P$6:$P$61,MATCH($A52,'城市分配'!$B$6:$B$61,0))=10),1,0)</x:f>
        <x:v>127</x:v>
      </x:c>
      <x:c r="U52" s="40" t="n">
        <x:f>MAX(0,MIN($E52,U$19)-MAX($D52,U$18))+IF(AND($C52=1,INDEX('城市分配'!$P$6:$P$61,MATCH($A52,'城市分配'!$B$6:$B$61,0))=11),1,0)</x:f>
        <x:v>0</x:v>
      </x:c>
      <x:c r="V52" s="40" t="n">
        <x:f>MAX(0,MIN($I52,J$21)-MAX($H52,J$20))+IF(AND($G52=1,INDEX('城市分配'!$P$6:$P$61,MATCH($A52,'城市分配'!$B$6:$B$61,0))=0),1,0)</x:f>
        <x:v>0</x:v>
      </x:c>
      <x:c r="W52" s="40" t="n">
        <x:f>MAX(0,MIN($I52,K$21)-MAX($H52,K$20))+IF(AND($G52=1,INDEX('城市分配'!$P$6:$P$61,MATCH($A52,'城市分配'!$B$6:$B$61,0))=1),1,0)</x:f>
        <x:v>0</x:v>
      </x:c>
      <x:c r="X52" s="40" t="n">
        <x:f>MAX(0,MIN($I52,L$21)-MAX($H52,L$20))+IF(AND($G52=1,INDEX('城市分配'!$P$6:$P$61,MATCH($A52,'城市分配'!$B$6:$B$61,0))=2),1,0)</x:f>
        <x:v>0</x:v>
      </x:c>
      <x:c r="Y52" s="40" t="n">
        <x:f>MAX(0,MIN($I52,M$21)-MAX($H52,M$20))+IF(AND($G52=1,INDEX('城市分配'!$P$6:$P$61,MATCH($A52,'城市分配'!$B$6:$B$61,0))=3),1,0)</x:f>
        <x:v>0</x:v>
      </x:c>
      <x:c r="Z52" s="40" t="n">
        <x:f>MAX(0,MIN($I52,N$21)-MAX($H52,N$20))+IF(AND($G52=1,INDEX('城市分配'!$P$6:$P$61,MATCH($A52,'城市分配'!$B$6:$B$61,0))=4),1,0)</x:f>
        <x:v>19</x:v>
      </x:c>
      <x:c r="AA52" s="40" t="n">
        <x:f>MAX(0,MIN($I52,O$21)-MAX($H52,O$20))+IF(AND($G52=1,INDEX('城市分配'!$P$6:$P$61,MATCH($A52,'城市分配'!$B$6:$B$61,0))=5),1,0)</x:f>
        <x:v>67</x:v>
      </x:c>
      <x:c r="AB52" s="40" t="n">
        <x:f>MAX(0,MIN($I52,P$21)-MAX($H52,P$20))+IF(AND($G52=1,INDEX('城市分配'!$P$6:$P$61,MATCH($A52,'城市分配'!$B$6:$B$61,0))=6),1,0)</x:f>
        <x:v>0</x:v>
      </x:c>
      <x:c r="AC52" s="40" t="n">
        <x:f>MAX(0,MIN($I52,Q$21)-MAX($H52,Q$20))+IF(AND($G52=1,INDEX('城市分配'!$P$6:$P$61,MATCH($A52,'城市分配'!$B$6:$B$61,0))=7),1,0)</x:f>
        <x:v>0</x:v>
      </x:c>
      <x:c r="AD52" s="40" t="n">
        <x:f>MAX(0,MIN($I52,R$21)-MAX($H52,R$20))+IF(AND($G52=1,INDEX('城市分配'!$P$6:$P$61,MATCH($A52,'城市分配'!$B$6:$B$61,0))=8),1,0)</x:f>
        <x:v>0</x:v>
      </x:c>
      <x:c r="AE52" s="40" t="n">
        <x:f>MAX(0,MIN($I52,S$21)-MAX($H52,S$20))+IF(AND($G52=1,INDEX('城市分配'!$P$6:$P$61,MATCH($A52,'城市分配'!$B$6:$B$61,0))=9),1,0)</x:f>
        <x:v>0</x:v>
      </x:c>
      <x:c r="AF52" s="40" t="n">
        <x:f>MAX(0,MIN($I52,T$21)-MAX($H52,T$20))+IF(AND($G52=1,INDEX('城市分配'!$P$6:$P$61,MATCH($A52,'城市分配'!$B$6:$B$61,0))=10),1,0)</x:f>
        <x:v>0</x:v>
      </x:c>
      <x:c r="AG52" s="40" t="n">
        <x:f>MAX(0,MIN($I52,U$21)-MAX($H52,U$20))+IF(AND($G52=1,INDEX('城市分配'!$P$6:$P$61,MATCH($A52,'城市分配'!$B$6:$B$61,0))=11),1,0)</x:f>
        <x:v>0</x:v>
      </x:c>
      <x:c r="AH52" s="40" t="n">
        <x:f>2*SUM(J52:U52)+4*SUM(V52:AG52)-INDEX('城市分配'!$J$6:$J$61,MATCH($A52,'城市分配'!$B$6:$B$61,0))</x:f>
        <x:v>0</x:v>
      </x:c>
      <x:c r="AI52" s="40" t="n">
        <x:f>IF(INDEX('城市分配'!$D$6:$D$61,MATCH($A52,'城市分配'!$B$6:$B$61,0))="是",--(SUM($J52:$O52)+SUM($V52:$AA52)&gt;0),0)</x:f>
        <x:v>1</x:v>
      </x:c>
    </x:row>
    <x:row r="53">
      <x:c r="A53" t="str">
        <x:v>郑州</x:v>
      </x:c>
      <x:c r="B53" s="40" t="n">
        <x:f>INDEX('城市分配'!$M$6:$M$61,MATCH($A53,'城市分配'!$B$6:$B$61,0))</x:f>
        <x:v>70</x:v>
      </x:c>
      <x:c r="C53" s="40" t="n">
        <x:f>IF(AND(INDEX('城市分配'!$D$6:$D$61,MATCH($A53,'城市分配'!$B$6:$B$61,0))="是",B53&gt;0),1,0)</x:f>
        <x:v>1</x:v>
      </x:c>
      <x:c r="D53" s="37" t="n">
        <x:f>SUM($B$28:B52)-SUM($C$28:C52)</x:f>
        <x:v>2715</x:v>
      </x:c>
      <x:c r="E53" s="37" t="n">
        <x:f>D53+B53-C53</x:f>
        <x:v>2784</x:v>
      </x:c>
      <x:c r="F53" s="40" t="n">
        <x:f>INDEX('城市分配'!$L$6:$L$61,MATCH($A53,'城市分配'!$B$6:$B$61,0))</x:f>
        <x:v>165</x:v>
      </x:c>
      <x:c r="G53" s="40" t="n">
        <x:f>IF(AND(INDEX('城市分配'!$D$6:$D$61,MATCH($A53,'城市分配'!$B$6:$B$61,0))="是",F53&gt;0,B53=0),1,0)</x:f>
        <x:v>0</x:v>
      </x:c>
      <x:c r="H53" s="37" t="n">
        <x:f>SUM($F$28:F52)-SUM($G$28:G52)</x:f>
        <x:v>2680</x:v>
      </x:c>
      <x:c r="I53" s="37" t="n">
        <x:f>H53+F53-G53</x:f>
        <x:v>2845</x:v>
      </x:c>
      <x:c r="J53" s="40" t="n">
        <x:f>MAX(0,MIN($E53,J$19)-MAX($D53,J$18))+IF(AND($C53=1,INDEX('城市分配'!$P$6:$P$61,MATCH($A53,'城市分配'!$B$6:$B$61,0))=0),1,0)</x:f>
        <x:v>0</x:v>
      </x:c>
      <x:c r="K53" s="40" t="n">
        <x:f>MAX(0,MIN($E53,K$19)-MAX($D53,K$18))+IF(AND($C53=1,INDEX('城市分配'!$P$6:$P$61,MATCH($A53,'城市分配'!$B$6:$B$61,0))=1),1,0)</x:f>
        <x:v>1</x:v>
      </x:c>
      <x:c r="L53" s="40" t="n">
        <x:f>MAX(0,MIN($E53,L$19)-MAX($D53,L$18))+IF(AND($C53=1,INDEX('城市分配'!$P$6:$P$61,MATCH($A53,'城市分配'!$B$6:$B$61,0))=2),1,0)</x:f>
        <x:v>0</x:v>
      </x:c>
      <x:c r="M53" s="40" t="n">
        <x:f>MAX(0,MIN($E53,M$19)-MAX($D53,M$18))+IF(AND($C53=1,INDEX('城市分配'!$P$6:$P$61,MATCH($A53,'城市分配'!$B$6:$B$61,0))=3),1,0)</x:f>
        <x:v>0</x:v>
      </x:c>
      <x:c r="N53" s="40" t="n">
        <x:f>MAX(0,MIN($E53,N$19)-MAX($D53,N$18))+IF(AND($C53=1,INDEX('城市分配'!$P$6:$P$61,MATCH($A53,'城市分配'!$B$6:$B$61,0))=4),1,0)</x:f>
        <x:v>0</x:v>
      </x:c>
      <x:c r="O53" s="40" t="n">
        <x:f>MAX(0,MIN($E53,O$19)-MAX($D53,O$18))+IF(AND($C53=1,INDEX('城市分配'!$P$6:$P$61,MATCH($A53,'城市分配'!$B$6:$B$61,0))=5),1,0)</x:f>
        <x:v>0</x:v>
      </x:c>
      <x:c r="P53" s="40" t="n">
        <x:f>MAX(0,MIN($E53,P$19)-MAX($D53,P$18))+IF(AND($C53=1,INDEX('城市分配'!$P$6:$P$61,MATCH($A53,'城市分配'!$B$6:$B$61,0))=6),1,0)</x:f>
        <x:v>0</x:v>
      </x:c>
      <x:c r="Q53" s="40" t="n">
        <x:f>MAX(0,MIN($E53,Q$19)-MAX($D53,Q$18))+IF(AND($C53=1,INDEX('城市分配'!$P$6:$P$61,MATCH($A53,'城市分配'!$B$6:$B$61,0))=7),1,0)</x:f>
        <x:v>0</x:v>
      </x:c>
      <x:c r="R53" s="40" t="n">
        <x:f>MAX(0,MIN($E53,R$19)-MAX($D53,R$18))+IF(AND($C53=1,INDEX('城市分配'!$P$6:$P$61,MATCH($A53,'城市分配'!$B$6:$B$61,0))=8),1,0)</x:f>
        <x:v>0</x:v>
      </x:c>
      <x:c r="S53" s="40" t="n">
        <x:f>MAX(0,MIN($E53,S$19)-MAX($D53,S$18))+IF(AND($C53=1,INDEX('城市分配'!$P$6:$P$61,MATCH($A53,'城市分配'!$B$6:$B$61,0))=9),1,0)</x:f>
        <x:v>0</x:v>
      </x:c>
      <x:c r="T53" s="40" t="n">
        <x:f>MAX(0,MIN($E53,T$19)-MAX($D53,T$18))+IF(AND($C53=1,INDEX('城市分配'!$P$6:$P$61,MATCH($A53,'城市分配'!$B$6:$B$61,0))=10),1,0)</x:f>
        <x:v>69</x:v>
      </x:c>
      <x:c r="U53" s="40" t="n">
        <x:f>MAX(0,MIN($E53,U$19)-MAX($D53,U$18))+IF(AND($C53=1,INDEX('城市分配'!$P$6:$P$61,MATCH($A53,'城市分配'!$B$6:$B$61,0))=11),1,0)</x:f>
        <x:v>0</x:v>
      </x:c>
      <x:c r="V53" s="40" t="n">
        <x:f>MAX(0,MIN($I53,J$21)-MAX($H53,J$20))+IF(AND($G53=1,INDEX('城市分配'!$P$6:$P$61,MATCH($A53,'城市分配'!$B$6:$B$61,0))=0),1,0)</x:f>
        <x:v>0</x:v>
      </x:c>
      <x:c r="W53" s="40" t="n">
        <x:f>MAX(0,MIN($I53,K$21)-MAX($H53,K$20))+IF(AND($G53=1,INDEX('城市分配'!$P$6:$P$61,MATCH($A53,'城市分配'!$B$6:$B$61,0))=1),1,0)</x:f>
        <x:v>0</x:v>
      </x:c>
      <x:c r="X53" s="40" t="n">
        <x:f>MAX(0,MIN($I53,L$21)-MAX($H53,L$20))+IF(AND($G53=1,INDEX('城市分配'!$P$6:$P$61,MATCH($A53,'城市分配'!$B$6:$B$61,0))=2),1,0)</x:f>
        <x:v>0</x:v>
      </x:c>
      <x:c r="Y53" s="40" t="n">
        <x:f>MAX(0,MIN($I53,M$21)-MAX($H53,M$20))+IF(AND($G53=1,INDEX('城市分配'!$P$6:$P$61,MATCH($A53,'城市分配'!$B$6:$B$61,0))=3),1,0)</x:f>
        <x:v>0</x:v>
      </x:c>
      <x:c r="Z53" s="40" t="n">
        <x:f>MAX(0,MIN($I53,N$21)-MAX($H53,N$20))+IF(AND($G53=1,INDEX('城市分配'!$P$6:$P$61,MATCH($A53,'城市分配'!$B$6:$B$61,0))=4),1,0)</x:f>
        <x:v>0</x:v>
      </x:c>
      <x:c r="AA53" s="40" t="n">
        <x:f>MAX(0,MIN($I53,O$21)-MAX($H53,O$20))+IF(AND($G53=1,INDEX('城市分配'!$P$6:$P$61,MATCH($A53,'城市分配'!$B$6:$B$61,0))=5),1,0)</x:f>
        <x:v>165</x:v>
      </x:c>
      <x:c r="AB53" s="40" t="n">
        <x:f>MAX(0,MIN($I53,P$21)-MAX($H53,P$20))+IF(AND($G53=1,INDEX('城市分配'!$P$6:$P$61,MATCH($A53,'城市分配'!$B$6:$B$61,0))=6),1,0)</x:f>
        <x:v>0</x:v>
      </x:c>
      <x:c r="AC53" s="40" t="n">
        <x:f>MAX(0,MIN($I53,Q$21)-MAX($H53,Q$20))+IF(AND($G53=1,INDEX('城市分配'!$P$6:$P$61,MATCH($A53,'城市分配'!$B$6:$B$61,0))=7),1,0)</x:f>
        <x:v>0</x:v>
      </x:c>
      <x:c r="AD53" s="40" t="n">
        <x:f>MAX(0,MIN($I53,R$21)-MAX($H53,R$20))+IF(AND($G53=1,INDEX('城市分配'!$P$6:$P$61,MATCH($A53,'城市分配'!$B$6:$B$61,0))=8),1,0)</x:f>
        <x:v>0</x:v>
      </x:c>
      <x:c r="AE53" s="40" t="n">
        <x:f>MAX(0,MIN($I53,S$21)-MAX($H53,S$20))+IF(AND($G53=1,INDEX('城市分配'!$P$6:$P$61,MATCH($A53,'城市分配'!$B$6:$B$61,0))=9),1,0)</x:f>
        <x:v>0</x:v>
      </x:c>
      <x:c r="AF53" s="40" t="n">
        <x:f>MAX(0,MIN($I53,T$21)-MAX($H53,T$20))+IF(AND($G53=1,INDEX('城市分配'!$P$6:$P$61,MATCH($A53,'城市分配'!$B$6:$B$61,0))=10),1,0)</x:f>
        <x:v>0</x:v>
      </x:c>
      <x:c r="AG53" s="40" t="n">
        <x:f>MAX(0,MIN($I53,U$21)-MAX($H53,U$20))+IF(AND($G53=1,INDEX('城市分配'!$P$6:$P$61,MATCH($A53,'城市分配'!$B$6:$B$61,0))=11),1,0)</x:f>
        <x:v>0</x:v>
      </x:c>
      <x:c r="AH53" s="40" t="n">
        <x:f>2*SUM(J53:U53)+4*SUM(V53:AG53)-INDEX('城市分配'!$J$6:$J$61,MATCH($A53,'城市分配'!$B$6:$B$61,0))</x:f>
        <x:v>0</x:v>
      </x:c>
      <x:c r="AI53" s="40" t="n">
        <x:f>IF(INDEX('城市分配'!$D$6:$D$61,MATCH($A53,'城市分配'!$B$6:$B$61,0))="是",--(SUM($J53:$O53)+SUM($V53:$AA53)&gt;0),0)</x:f>
        <x:v>1</x:v>
      </x:c>
    </x:row>
    <x:row r="54">
      <x:c r="A54" t="str">
        <x:v>上海</x:v>
      </x:c>
      <x:c r="B54" s="40" t="n">
        <x:f>INDEX('城市分配'!$M$6:$M$61,MATCH($A54,'城市分配'!$B$6:$B$61,0))</x:f>
        <x:v>88</x:v>
      </x:c>
      <x:c r="C54" s="40" t="n">
        <x:f>IF(AND(INDEX('城市分配'!$D$6:$D$61,MATCH($A54,'城市分配'!$B$6:$B$61,0))="是",B54&gt;0),1,0)</x:f>
        <x:v>0</x:v>
      </x:c>
      <x:c r="D54" s="37" t="n">
        <x:f>SUM($B$28:B53)-SUM($C$28:C53)</x:f>
        <x:v>2784</x:v>
      </x:c>
      <x:c r="E54" s="37" t="n">
        <x:f>D54+B54-C54</x:f>
        <x:v>2872</x:v>
      </x:c>
      <x:c r="F54" s="40" t="n">
        <x:f>INDEX('城市分配'!$L$6:$L$61,MATCH($A54,'城市分配'!$B$6:$B$61,0))</x:f>
        <x:v>206</x:v>
      </x:c>
      <x:c r="G54" s="40" t="n">
        <x:f>IF(AND(INDEX('城市分配'!$D$6:$D$61,MATCH($A54,'城市分配'!$B$6:$B$61,0))="是",F54&gt;0,B54=0),1,0)</x:f>
        <x:v>0</x:v>
      </x:c>
      <x:c r="H54" s="37" t="n">
        <x:f>SUM($F$28:F53)-SUM($G$28:G53)</x:f>
        <x:v>2845</x:v>
      </x:c>
      <x:c r="I54" s="37" t="n">
        <x:f>H54+F54-G54</x:f>
        <x:v>3051</x:v>
      </x:c>
      <x:c r="J54" s="40" t="n">
        <x:f>MAX(0,MIN($E54,J$19)-MAX($D54,J$18))+IF(AND($C54=1,INDEX('城市分配'!$P$6:$P$61,MATCH($A54,'城市分配'!$B$6:$B$61,0))=0),1,0)</x:f>
        <x:v>0</x:v>
      </x:c>
      <x:c r="K54" s="40" t="n">
        <x:f>MAX(0,MIN($E54,K$19)-MAX($D54,K$18))+IF(AND($C54=1,INDEX('城市分配'!$P$6:$P$61,MATCH($A54,'城市分配'!$B$6:$B$61,0))=1),1,0)</x:f>
        <x:v>0</x:v>
      </x:c>
      <x:c r="L54" s="40" t="n">
        <x:f>MAX(0,MIN($E54,L$19)-MAX($D54,L$18))+IF(AND($C54=1,INDEX('城市分配'!$P$6:$P$61,MATCH($A54,'城市分配'!$B$6:$B$61,0))=2),1,0)</x:f>
        <x:v>0</x:v>
      </x:c>
      <x:c r="M54" s="40" t="n">
        <x:f>MAX(0,MIN($E54,M$19)-MAX($D54,M$18))+IF(AND($C54=1,INDEX('城市分配'!$P$6:$P$61,MATCH($A54,'城市分配'!$B$6:$B$61,0))=3),1,0)</x:f>
        <x:v>0</x:v>
      </x:c>
      <x:c r="N54" s="40" t="n">
        <x:f>MAX(0,MIN($E54,N$19)-MAX($D54,N$18))+IF(AND($C54=1,INDEX('城市分配'!$P$6:$P$61,MATCH($A54,'城市分配'!$B$6:$B$61,0))=4),1,0)</x:f>
        <x:v>0</x:v>
      </x:c>
      <x:c r="O54" s="40" t="n">
        <x:f>MAX(0,MIN($E54,O$19)-MAX($D54,O$18))+IF(AND($C54=1,INDEX('城市分配'!$P$6:$P$61,MATCH($A54,'城市分配'!$B$6:$B$61,0))=5),1,0)</x:f>
        <x:v>0</x:v>
      </x:c>
      <x:c r="P54" s="40" t="n">
        <x:f>MAX(0,MIN($E54,P$19)-MAX($D54,P$18))+IF(AND($C54=1,INDEX('城市分配'!$P$6:$P$61,MATCH($A54,'城市分配'!$B$6:$B$61,0))=6),1,0)</x:f>
        <x:v>0</x:v>
      </x:c>
      <x:c r="Q54" s="40" t="n">
        <x:f>MAX(0,MIN($E54,Q$19)-MAX($D54,Q$18))+IF(AND($C54=1,INDEX('城市分配'!$P$6:$P$61,MATCH($A54,'城市分配'!$B$6:$B$61,0))=7),1,0)</x:f>
        <x:v>0</x:v>
      </x:c>
      <x:c r="R54" s="40" t="n">
        <x:f>MAX(0,MIN($E54,R$19)-MAX($D54,R$18))+IF(AND($C54=1,INDEX('城市分配'!$P$6:$P$61,MATCH($A54,'城市分配'!$B$6:$B$61,0))=8),1,0)</x:f>
        <x:v>0</x:v>
      </x:c>
      <x:c r="S54" s="40" t="n">
        <x:f>MAX(0,MIN($E54,S$19)-MAX($D54,S$18))+IF(AND($C54=1,INDEX('城市分配'!$P$6:$P$61,MATCH($A54,'城市分配'!$B$6:$B$61,0))=9),1,0)</x:f>
        <x:v>0</x:v>
      </x:c>
      <x:c r="T54" s="40" t="n">
        <x:f>MAX(0,MIN($E54,T$19)-MAX($D54,T$18))+IF(AND($C54=1,INDEX('城市分配'!$P$6:$P$61,MATCH($A54,'城市分配'!$B$6:$B$61,0))=10),1,0)</x:f>
        <x:v>88</x:v>
      </x:c>
      <x:c r="U54" s="40" t="n">
        <x:f>MAX(0,MIN($E54,U$19)-MAX($D54,U$18))+IF(AND($C54=1,INDEX('城市分配'!$P$6:$P$61,MATCH($A54,'城市分配'!$B$6:$B$61,0))=11),1,0)</x:f>
        <x:v>0</x:v>
      </x:c>
      <x:c r="V54" s="40" t="n">
        <x:f>MAX(0,MIN($I54,J$21)-MAX($H54,J$20))+IF(AND($G54=1,INDEX('城市分配'!$P$6:$P$61,MATCH($A54,'城市分配'!$B$6:$B$61,0))=0),1,0)</x:f>
        <x:v>0</x:v>
      </x:c>
      <x:c r="W54" s="40" t="n">
        <x:f>MAX(0,MIN($I54,K$21)-MAX($H54,K$20))+IF(AND($G54=1,INDEX('城市分配'!$P$6:$P$61,MATCH($A54,'城市分配'!$B$6:$B$61,0))=1),1,0)</x:f>
        <x:v>0</x:v>
      </x:c>
      <x:c r="X54" s="40" t="n">
        <x:f>MAX(0,MIN($I54,L$21)-MAX($H54,L$20))+IF(AND($G54=1,INDEX('城市分配'!$P$6:$P$61,MATCH($A54,'城市分配'!$B$6:$B$61,0))=2),1,0)</x:f>
        <x:v>0</x:v>
      </x:c>
      <x:c r="Y54" s="40" t="n">
        <x:f>MAX(0,MIN($I54,M$21)-MAX($H54,M$20))+IF(AND($G54=1,INDEX('城市分配'!$P$6:$P$61,MATCH($A54,'城市分配'!$B$6:$B$61,0))=3),1,0)</x:f>
        <x:v>0</x:v>
      </x:c>
      <x:c r="Z54" s="40" t="n">
        <x:f>MAX(0,MIN($I54,N$21)-MAX($H54,N$20))+IF(AND($G54=1,INDEX('城市分配'!$P$6:$P$61,MATCH($A54,'城市分配'!$B$6:$B$61,0))=4),1,0)</x:f>
        <x:v>0</x:v>
      </x:c>
      <x:c r="AA54" s="40" t="n">
        <x:f>MAX(0,MIN($I54,O$21)-MAX($H54,O$20))+IF(AND($G54=1,INDEX('城市分配'!$P$6:$P$61,MATCH($A54,'城市分配'!$B$6:$B$61,0))=5),1,0)</x:f>
        <x:v>206</x:v>
      </x:c>
      <x:c r="AB54" s="40" t="n">
        <x:f>MAX(0,MIN($I54,P$21)-MAX($H54,P$20))+IF(AND($G54=1,INDEX('城市分配'!$P$6:$P$61,MATCH($A54,'城市分配'!$B$6:$B$61,0))=6),1,0)</x:f>
        <x:v>0</x:v>
      </x:c>
      <x:c r="AC54" s="40" t="n">
        <x:f>MAX(0,MIN($I54,Q$21)-MAX($H54,Q$20))+IF(AND($G54=1,INDEX('城市分配'!$P$6:$P$61,MATCH($A54,'城市分配'!$B$6:$B$61,0))=7),1,0)</x:f>
        <x:v>0</x:v>
      </x:c>
      <x:c r="AD54" s="40" t="n">
        <x:f>MAX(0,MIN($I54,R$21)-MAX($H54,R$20))+IF(AND($G54=1,INDEX('城市分配'!$P$6:$P$61,MATCH($A54,'城市分配'!$B$6:$B$61,0))=8),1,0)</x:f>
        <x:v>0</x:v>
      </x:c>
      <x:c r="AE54" s="40" t="n">
        <x:f>MAX(0,MIN($I54,S$21)-MAX($H54,S$20))+IF(AND($G54=1,INDEX('城市分配'!$P$6:$P$61,MATCH($A54,'城市分配'!$B$6:$B$61,0))=9),1,0)</x:f>
        <x:v>0</x:v>
      </x:c>
      <x:c r="AF54" s="40" t="n">
        <x:f>MAX(0,MIN($I54,T$21)-MAX($H54,T$20))+IF(AND($G54=1,INDEX('城市分配'!$P$6:$P$61,MATCH($A54,'城市分配'!$B$6:$B$61,0))=10),1,0)</x:f>
        <x:v>0</x:v>
      </x:c>
      <x:c r="AG54" s="40" t="n">
        <x:f>MAX(0,MIN($I54,U$21)-MAX($H54,U$20))+IF(AND($G54=1,INDEX('城市分配'!$P$6:$P$61,MATCH($A54,'城市分配'!$B$6:$B$61,0))=11),1,0)</x:f>
        <x:v>0</x:v>
      </x:c>
      <x:c r="AH54" s="40" t="n">
        <x:f>2*SUM(J54:U54)+4*SUM(V54:AG54)-INDEX('城市分配'!$J$6:$J$61,MATCH($A54,'城市分配'!$B$6:$B$61,0))</x:f>
        <x:v>0</x:v>
      </x:c>
      <x:c r="AI54" s="40" t="n">
        <x:f>IF(INDEX('城市分配'!$D$6:$D$61,MATCH($A54,'城市分配'!$B$6:$B$61,0))="是",--(SUM($J54:$O54)+SUM($V54:$AA54)&gt;0),0)</x:f>
        <x:v>0</x:v>
      </x:c>
    </x:row>
    <x:row r="55">
      <x:c r="A55" t="str">
        <x:v>广州</x:v>
      </x:c>
      <x:c r="B55" s="40" t="n">
        <x:f>INDEX('城市分配'!$M$6:$M$61,MATCH($A55,'城市分配'!$B$6:$B$61,0))</x:f>
        <x:v>214</x:v>
      </x:c>
      <x:c r="C55" s="40" t="n">
        <x:f>IF(AND(INDEX('城市分配'!$D$6:$D$61,MATCH($A55,'城市分配'!$B$6:$B$61,0))="是",B55&gt;0),1,0)</x:f>
        <x:v>0</x:v>
      </x:c>
      <x:c r="D55" s="37" t="n">
        <x:f>SUM($B$28:B54)-SUM($C$28:C54)</x:f>
        <x:v>2872</x:v>
      </x:c>
      <x:c r="E55" s="37" t="n">
        <x:f>D55+B55-C55</x:f>
        <x:v>3086</x:v>
      </x:c>
      <x:c r="F55" s="40" t="n">
        <x:f>INDEX('城市分配'!$L$6:$L$61,MATCH($A55,'城市分配'!$B$6:$B$61,0))</x:f>
        <x:v>143</x:v>
      </x:c>
      <x:c r="G55" s="40" t="n">
        <x:f>IF(AND(INDEX('城市分配'!$D$6:$D$61,MATCH($A55,'城市分配'!$B$6:$B$61,0))="是",F55&gt;0,B55=0),1,0)</x:f>
        <x:v>0</x:v>
      </x:c>
      <x:c r="H55" s="37" t="n">
        <x:f>SUM($F$28:F54)-SUM($G$28:G54)</x:f>
        <x:v>3051</x:v>
      </x:c>
      <x:c r="I55" s="37" t="n">
        <x:f>H55+F55-G55</x:f>
        <x:v>3194</x:v>
      </x:c>
      <x:c r="J55" s="40" t="n">
        <x:f>MAX(0,MIN($E55,J$19)-MAX($D55,J$18))+IF(AND($C55=1,INDEX('城市分配'!$P$6:$P$61,MATCH($A55,'城市分配'!$B$6:$B$61,0))=0),1,0)</x:f>
        <x:v>0</x:v>
      </x:c>
      <x:c r="K55" s="40" t="n">
        <x:f>MAX(0,MIN($E55,K$19)-MAX($D55,K$18))+IF(AND($C55=1,INDEX('城市分配'!$P$6:$P$61,MATCH($A55,'城市分配'!$B$6:$B$61,0))=1),1,0)</x:f>
        <x:v>0</x:v>
      </x:c>
      <x:c r="L55" s="40" t="n">
        <x:f>MAX(0,MIN($E55,L$19)-MAX($D55,L$18))+IF(AND($C55=1,INDEX('城市分配'!$P$6:$P$61,MATCH($A55,'城市分配'!$B$6:$B$61,0))=2),1,0)</x:f>
        <x:v>0</x:v>
      </x:c>
      <x:c r="M55" s="40" t="n">
        <x:f>MAX(0,MIN($E55,M$19)-MAX($D55,M$18))+IF(AND($C55=1,INDEX('城市分配'!$P$6:$P$61,MATCH($A55,'城市分配'!$B$6:$B$61,0))=3),1,0)</x:f>
        <x:v>0</x:v>
      </x:c>
      <x:c r="N55" s="40" t="n">
        <x:f>MAX(0,MIN($E55,N$19)-MAX($D55,N$18))+IF(AND($C55=1,INDEX('城市分配'!$P$6:$P$61,MATCH($A55,'城市分配'!$B$6:$B$61,0))=4),1,0)</x:f>
        <x:v>0</x:v>
      </x:c>
      <x:c r="O55" s="40" t="n">
        <x:f>MAX(0,MIN($E55,O$19)-MAX($D55,O$18))+IF(AND($C55=1,INDEX('城市分配'!$P$6:$P$61,MATCH($A55,'城市分配'!$B$6:$B$61,0))=5),1,0)</x:f>
        <x:v>0</x:v>
      </x:c>
      <x:c r="P55" s="40" t="n">
        <x:f>MAX(0,MIN($E55,P$19)-MAX($D55,P$18))+IF(AND($C55=1,INDEX('城市分配'!$P$6:$P$61,MATCH($A55,'城市分配'!$B$6:$B$61,0))=6),1,0)</x:f>
        <x:v>0</x:v>
      </x:c>
      <x:c r="Q55" s="40" t="n">
        <x:f>MAX(0,MIN($E55,Q$19)-MAX($D55,Q$18))+IF(AND($C55=1,INDEX('城市分配'!$P$6:$P$61,MATCH($A55,'城市分配'!$B$6:$B$61,0))=7),1,0)</x:f>
        <x:v>0</x:v>
      </x:c>
      <x:c r="R55" s="40" t="n">
        <x:f>MAX(0,MIN($E55,R$19)-MAX($D55,R$18))+IF(AND($C55=1,INDEX('城市分配'!$P$6:$P$61,MATCH($A55,'城市分配'!$B$6:$B$61,0))=8),1,0)</x:f>
        <x:v>0</x:v>
      </x:c>
      <x:c r="S55" s="40" t="n">
        <x:f>MAX(0,MIN($E55,S$19)-MAX($D55,S$18))+IF(AND($C55=1,INDEX('城市分配'!$P$6:$P$61,MATCH($A55,'城市分配'!$B$6:$B$61,0))=9),1,0)</x:f>
        <x:v>0</x:v>
      </x:c>
      <x:c r="T55" s="40" t="n">
        <x:f>MAX(0,MIN($E55,T$19)-MAX($D55,T$18))+IF(AND($C55=1,INDEX('城市分配'!$P$6:$P$61,MATCH($A55,'城市分配'!$B$6:$B$61,0))=10),1,0)</x:f>
        <x:v>214</x:v>
      </x:c>
      <x:c r="U55" s="40" t="n">
        <x:f>MAX(0,MIN($E55,U$19)-MAX($D55,U$18))+IF(AND($C55=1,INDEX('城市分配'!$P$6:$P$61,MATCH($A55,'城市分配'!$B$6:$B$61,0))=11),1,0)</x:f>
        <x:v>0</x:v>
      </x:c>
      <x:c r="V55" s="40" t="n">
        <x:f>MAX(0,MIN($I55,J$21)-MAX($H55,J$20))+IF(AND($G55=1,INDEX('城市分配'!$P$6:$P$61,MATCH($A55,'城市分配'!$B$6:$B$61,0))=0),1,0)</x:f>
        <x:v>0</x:v>
      </x:c>
      <x:c r="W55" s="40" t="n">
        <x:f>MAX(0,MIN($I55,K$21)-MAX($H55,K$20))+IF(AND($G55=1,INDEX('城市分配'!$P$6:$P$61,MATCH($A55,'城市分配'!$B$6:$B$61,0))=1),1,0)</x:f>
        <x:v>0</x:v>
      </x:c>
      <x:c r="X55" s="40" t="n">
        <x:f>MAX(0,MIN($I55,L$21)-MAX($H55,L$20))+IF(AND($G55=1,INDEX('城市分配'!$P$6:$P$61,MATCH($A55,'城市分配'!$B$6:$B$61,0))=2),1,0)</x:f>
        <x:v>0</x:v>
      </x:c>
      <x:c r="Y55" s="40" t="n">
        <x:f>MAX(0,MIN($I55,M$21)-MAX($H55,M$20))+IF(AND($G55=1,INDEX('城市分配'!$P$6:$P$61,MATCH($A55,'城市分配'!$B$6:$B$61,0))=3),1,0)</x:f>
        <x:v>0</x:v>
      </x:c>
      <x:c r="Z55" s="40" t="n">
        <x:f>MAX(0,MIN($I55,N$21)-MAX($H55,N$20))+IF(AND($G55=1,INDEX('城市分配'!$P$6:$P$61,MATCH($A55,'城市分配'!$B$6:$B$61,0))=4),1,0)</x:f>
        <x:v>0</x:v>
      </x:c>
      <x:c r="AA55" s="40" t="n">
        <x:f>MAX(0,MIN($I55,O$21)-MAX($H55,O$20))+IF(AND($G55=1,INDEX('城市分配'!$P$6:$P$61,MATCH($A55,'城市分配'!$B$6:$B$61,0))=5),1,0)</x:f>
        <x:v>143</x:v>
      </x:c>
      <x:c r="AB55" s="40" t="n">
        <x:f>MAX(0,MIN($I55,P$21)-MAX($H55,P$20))+IF(AND($G55=1,INDEX('城市分配'!$P$6:$P$61,MATCH($A55,'城市分配'!$B$6:$B$61,0))=6),1,0)</x:f>
        <x:v>0</x:v>
      </x:c>
      <x:c r="AC55" s="40" t="n">
        <x:f>MAX(0,MIN($I55,Q$21)-MAX($H55,Q$20))+IF(AND($G55=1,INDEX('城市分配'!$P$6:$P$61,MATCH($A55,'城市分配'!$B$6:$B$61,0))=7),1,0)</x:f>
        <x:v>0</x:v>
      </x:c>
      <x:c r="AD55" s="40" t="n">
        <x:f>MAX(0,MIN($I55,R$21)-MAX($H55,R$20))+IF(AND($G55=1,INDEX('城市分配'!$P$6:$P$61,MATCH($A55,'城市分配'!$B$6:$B$61,0))=8),1,0)</x:f>
        <x:v>0</x:v>
      </x:c>
      <x:c r="AE55" s="40" t="n">
        <x:f>MAX(0,MIN($I55,S$21)-MAX($H55,S$20))+IF(AND($G55=1,INDEX('城市分配'!$P$6:$P$61,MATCH($A55,'城市分配'!$B$6:$B$61,0))=9),1,0)</x:f>
        <x:v>0</x:v>
      </x:c>
      <x:c r="AF55" s="40" t="n">
        <x:f>MAX(0,MIN($I55,T$21)-MAX($H55,T$20))+IF(AND($G55=1,INDEX('城市分配'!$P$6:$P$61,MATCH($A55,'城市分配'!$B$6:$B$61,0))=10),1,0)</x:f>
        <x:v>0</x:v>
      </x:c>
      <x:c r="AG55" s="40" t="n">
        <x:f>MAX(0,MIN($I55,U$21)-MAX($H55,U$20))+IF(AND($G55=1,INDEX('城市分配'!$P$6:$P$61,MATCH($A55,'城市分配'!$B$6:$B$61,0))=11),1,0)</x:f>
        <x:v>0</x:v>
      </x:c>
      <x:c r="AH55" s="40" t="n">
        <x:f>2*SUM(J55:U55)+4*SUM(V55:AG55)-INDEX('城市分配'!$J$6:$J$61,MATCH($A55,'城市分配'!$B$6:$B$61,0))</x:f>
        <x:v>0</x:v>
      </x:c>
      <x:c r="AI55" s="40" t="n">
        <x:f>IF(INDEX('城市分配'!$D$6:$D$61,MATCH($A55,'城市分配'!$B$6:$B$61,0))="是",--(SUM($J55:$O55)+SUM($V55:$AA55)&gt;0),0)</x:f>
        <x:v>0</x:v>
      </x:c>
    </x:row>
    <x:row r="56">
      <x:c r="A56" t="str">
        <x:v>成都</x:v>
      </x:c>
      <x:c r="B56" s="40" t="n">
        <x:f>INDEX('城市分配'!$M$6:$M$61,MATCH($A56,'城市分配'!$B$6:$B$61,0))</x:f>
        <x:v>70</x:v>
      </x:c>
      <x:c r="C56" s="40" t="n">
        <x:f>IF(AND(INDEX('城市分配'!$D$6:$D$61,MATCH($A56,'城市分配'!$B$6:$B$61,0))="是",B56&gt;0),1,0)</x:f>
        <x:v>0</x:v>
      </x:c>
      <x:c r="D56" s="37" t="n">
        <x:f>SUM($B$28:B55)-SUM($C$28:C55)</x:f>
        <x:v>3086</x:v>
      </x:c>
      <x:c r="E56" s="37" t="n">
        <x:f>D56+B56-C56</x:f>
        <x:v>3156</x:v>
      </x:c>
      <x:c r="F56" s="40" t="n">
        <x:f>INDEX('城市分配'!$L$6:$L$61,MATCH($A56,'城市分配'!$B$6:$B$61,0))</x:f>
        <x:v>165</x:v>
      </x:c>
      <x:c r="G56" s="40" t="n">
        <x:f>IF(AND(INDEX('城市分配'!$D$6:$D$61,MATCH($A56,'城市分配'!$B$6:$B$61,0))="是",F56&gt;0,B56=0),1,0)</x:f>
        <x:v>0</x:v>
      </x:c>
      <x:c r="H56" s="37" t="n">
        <x:f>SUM($F$28:F55)-SUM($G$28:G55)</x:f>
        <x:v>3194</x:v>
      </x:c>
      <x:c r="I56" s="37" t="n">
        <x:f>H56+F56-G56</x:f>
        <x:v>3359</x:v>
      </x:c>
      <x:c r="J56" s="40" t="n">
        <x:f>MAX(0,MIN($E56,J$19)-MAX($D56,J$18))+IF(AND($C56=1,INDEX('城市分配'!$P$6:$P$61,MATCH($A56,'城市分配'!$B$6:$B$61,0))=0),1,0)</x:f>
        <x:v>0</x:v>
      </x:c>
      <x:c r="K56" s="40" t="n">
        <x:f>MAX(0,MIN($E56,K$19)-MAX($D56,K$18))+IF(AND($C56=1,INDEX('城市分配'!$P$6:$P$61,MATCH($A56,'城市分配'!$B$6:$B$61,0))=1),1,0)</x:f>
        <x:v>0</x:v>
      </x:c>
      <x:c r="L56" s="40" t="n">
        <x:f>MAX(0,MIN($E56,L$19)-MAX($D56,L$18))+IF(AND($C56=1,INDEX('城市分配'!$P$6:$P$61,MATCH($A56,'城市分配'!$B$6:$B$61,0))=2),1,0)</x:f>
        <x:v>0</x:v>
      </x:c>
      <x:c r="M56" s="40" t="n">
        <x:f>MAX(0,MIN($E56,M$19)-MAX($D56,M$18))+IF(AND($C56=1,INDEX('城市分配'!$P$6:$P$61,MATCH($A56,'城市分配'!$B$6:$B$61,0))=3),1,0)</x:f>
        <x:v>0</x:v>
      </x:c>
      <x:c r="N56" s="40" t="n">
        <x:f>MAX(0,MIN($E56,N$19)-MAX($D56,N$18))+IF(AND($C56=1,INDEX('城市分配'!$P$6:$P$61,MATCH($A56,'城市分配'!$B$6:$B$61,0))=4),1,0)</x:f>
        <x:v>0</x:v>
      </x:c>
      <x:c r="O56" s="40" t="n">
        <x:f>MAX(0,MIN($E56,O$19)-MAX($D56,O$18))+IF(AND($C56=1,INDEX('城市分配'!$P$6:$P$61,MATCH($A56,'城市分配'!$B$6:$B$61,0))=5),1,0)</x:f>
        <x:v>0</x:v>
      </x:c>
      <x:c r="P56" s="40" t="n">
        <x:f>MAX(0,MIN($E56,P$19)-MAX($D56,P$18))+IF(AND($C56=1,INDEX('城市分配'!$P$6:$P$61,MATCH($A56,'城市分配'!$B$6:$B$61,0))=6),1,0)</x:f>
        <x:v>0</x:v>
      </x:c>
      <x:c r="Q56" s="40" t="n">
        <x:f>MAX(0,MIN($E56,Q$19)-MAX($D56,Q$18))+IF(AND($C56=1,INDEX('城市分配'!$P$6:$P$61,MATCH($A56,'城市分配'!$B$6:$B$61,0))=7),1,0)</x:f>
        <x:v>0</x:v>
      </x:c>
      <x:c r="R56" s="40" t="n">
        <x:f>MAX(0,MIN($E56,R$19)-MAX($D56,R$18))+IF(AND($C56=1,INDEX('城市分配'!$P$6:$P$61,MATCH($A56,'城市分配'!$B$6:$B$61,0))=8),1,0)</x:f>
        <x:v>0</x:v>
      </x:c>
      <x:c r="S56" s="40" t="n">
        <x:f>MAX(0,MIN($E56,S$19)-MAX($D56,S$18))+IF(AND($C56=1,INDEX('城市分配'!$P$6:$P$61,MATCH($A56,'城市分配'!$B$6:$B$61,0))=9),1,0)</x:f>
        <x:v>0</x:v>
      </x:c>
      <x:c r="T56" s="40" t="n">
        <x:f>MAX(0,MIN($E56,T$19)-MAX($D56,T$18))+IF(AND($C56=1,INDEX('城市分配'!$P$6:$P$61,MATCH($A56,'城市分配'!$B$6:$B$61,0))=10),1,0)</x:f>
        <x:v>70</x:v>
      </x:c>
      <x:c r="U56" s="40" t="n">
        <x:f>MAX(0,MIN($E56,U$19)-MAX($D56,U$18))+IF(AND($C56=1,INDEX('城市分配'!$P$6:$P$61,MATCH($A56,'城市分配'!$B$6:$B$61,0))=11),1,0)</x:f>
        <x:v>0</x:v>
      </x:c>
      <x:c r="V56" s="40" t="n">
        <x:f>MAX(0,MIN($I56,J$21)-MAX($H56,J$20))+IF(AND($G56=1,INDEX('城市分配'!$P$6:$P$61,MATCH($A56,'城市分配'!$B$6:$B$61,0))=0),1,0)</x:f>
        <x:v>0</x:v>
      </x:c>
      <x:c r="W56" s="40" t="n">
        <x:f>MAX(0,MIN($I56,K$21)-MAX($H56,K$20))+IF(AND($G56=1,INDEX('城市分配'!$P$6:$P$61,MATCH($A56,'城市分配'!$B$6:$B$61,0))=1),1,0)</x:f>
        <x:v>0</x:v>
      </x:c>
      <x:c r="X56" s="40" t="n">
        <x:f>MAX(0,MIN($I56,L$21)-MAX($H56,L$20))+IF(AND($G56=1,INDEX('城市分配'!$P$6:$P$61,MATCH($A56,'城市分配'!$B$6:$B$61,0))=2),1,0)</x:f>
        <x:v>0</x:v>
      </x:c>
      <x:c r="Y56" s="40" t="n">
        <x:f>MAX(0,MIN($I56,M$21)-MAX($H56,M$20))+IF(AND($G56=1,INDEX('城市分配'!$P$6:$P$61,MATCH($A56,'城市分配'!$B$6:$B$61,0))=3),1,0)</x:f>
        <x:v>0</x:v>
      </x:c>
      <x:c r="Z56" s="40" t="n">
        <x:f>MAX(0,MIN($I56,N$21)-MAX($H56,N$20))+IF(AND($G56=1,INDEX('城市分配'!$P$6:$P$61,MATCH($A56,'城市分配'!$B$6:$B$61,0))=4),1,0)</x:f>
        <x:v>0</x:v>
      </x:c>
      <x:c r="AA56" s="40" t="n">
        <x:f>MAX(0,MIN($I56,O$21)-MAX($H56,O$20))+IF(AND($G56=1,INDEX('城市分配'!$P$6:$P$61,MATCH($A56,'城市分配'!$B$6:$B$61,0))=5),1,0)</x:f>
        <x:v>165</x:v>
      </x:c>
      <x:c r="AB56" s="40" t="n">
        <x:f>MAX(0,MIN($I56,P$21)-MAX($H56,P$20))+IF(AND($G56=1,INDEX('城市分配'!$P$6:$P$61,MATCH($A56,'城市分配'!$B$6:$B$61,0))=6),1,0)</x:f>
        <x:v>0</x:v>
      </x:c>
      <x:c r="AC56" s="40" t="n">
        <x:f>MAX(0,MIN($I56,Q$21)-MAX($H56,Q$20))+IF(AND($G56=1,INDEX('城市分配'!$P$6:$P$61,MATCH($A56,'城市分配'!$B$6:$B$61,0))=7),1,0)</x:f>
        <x:v>0</x:v>
      </x:c>
      <x:c r="AD56" s="40" t="n">
        <x:f>MAX(0,MIN($I56,R$21)-MAX($H56,R$20))+IF(AND($G56=1,INDEX('城市分配'!$P$6:$P$61,MATCH($A56,'城市分配'!$B$6:$B$61,0))=8),1,0)</x:f>
        <x:v>0</x:v>
      </x:c>
      <x:c r="AE56" s="40" t="n">
        <x:f>MAX(0,MIN($I56,S$21)-MAX($H56,S$20))+IF(AND($G56=1,INDEX('城市分配'!$P$6:$P$61,MATCH($A56,'城市分配'!$B$6:$B$61,0))=9),1,0)</x:f>
        <x:v>0</x:v>
      </x:c>
      <x:c r="AF56" s="40" t="n">
        <x:f>MAX(0,MIN($I56,T$21)-MAX($H56,T$20))+IF(AND($G56=1,INDEX('城市分配'!$P$6:$P$61,MATCH($A56,'城市分配'!$B$6:$B$61,0))=10),1,0)</x:f>
        <x:v>0</x:v>
      </x:c>
      <x:c r="AG56" s="40" t="n">
        <x:f>MAX(0,MIN($I56,U$21)-MAX($H56,U$20))+IF(AND($G56=1,INDEX('城市分配'!$P$6:$P$61,MATCH($A56,'城市分配'!$B$6:$B$61,0))=11),1,0)</x:f>
        <x:v>0</x:v>
      </x:c>
      <x:c r="AH56" s="40" t="n">
        <x:f>2*SUM(J56:U56)+4*SUM(V56:AG56)-INDEX('城市分配'!$J$6:$J$61,MATCH($A56,'城市分配'!$B$6:$B$61,0))</x:f>
        <x:v>0</x:v>
      </x:c>
      <x:c r="AI56" s="40" t="n">
        <x:f>IF(INDEX('城市分配'!$D$6:$D$61,MATCH($A56,'城市分配'!$B$6:$B$61,0))="是",--(SUM($J56:$O56)+SUM($V56:$AA56)&gt;0),0)</x:f>
        <x:v>0</x:v>
      </x:c>
    </x:row>
    <x:row r="57">
      <x:c r="A57" t="str">
        <x:v>重庆</x:v>
      </x:c>
      <x:c r="B57" s="40" t="n">
        <x:f>INDEX('城市分配'!$M$6:$M$61,MATCH($A57,'城市分配'!$B$6:$B$61,0))</x:f>
        <x:v>70</x:v>
      </x:c>
      <x:c r="C57" s="40" t="n">
        <x:f>IF(AND(INDEX('城市分配'!$D$6:$D$61,MATCH($A57,'城市分配'!$B$6:$B$61,0))="是",B57&gt;0),1,0)</x:f>
        <x:v>0</x:v>
      </x:c>
      <x:c r="D57" s="37" t="n">
        <x:f>SUM($B$28:B56)-SUM($C$28:C56)</x:f>
        <x:v>3156</x:v>
      </x:c>
      <x:c r="E57" s="37" t="n">
        <x:f>D57+B57-C57</x:f>
        <x:v>3226</x:v>
      </x:c>
      <x:c r="F57" s="40" t="n">
        <x:f>INDEX('城市分配'!$L$6:$L$61,MATCH($A57,'城市分配'!$B$6:$B$61,0))</x:f>
        <x:v>165</x:v>
      </x:c>
      <x:c r="G57" s="40" t="n">
        <x:f>IF(AND(INDEX('城市分配'!$D$6:$D$61,MATCH($A57,'城市分配'!$B$6:$B$61,0))="是",F57&gt;0,B57=0),1,0)</x:f>
        <x:v>0</x:v>
      </x:c>
      <x:c r="H57" s="37" t="n">
        <x:f>SUM($F$28:F56)-SUM($G$28:G56)</x:f>
        <x:v>3359</x:v>
      </x:c>
      <x:c r="I57" s="37" t="n">
        <x:f>H57+F57-G57</x:f>
        <x:v>3524</x:v>
      </x:c>
      <x:c r="J57" s="40" t="n">
        <x:f>MAX(0,MIN($E57,J$19)-MAX($D57,J$18))+IF(AND($C57=1,INDEX('城市分配'!$P$6:$P$61,MATCH($A57,'城市分配'!$B$6:$B$61,0))=0),1,0)</x:f>
        <x:v>0</x:v>
      </x:c>
      <x:c r="K57" s="40" t="n">
        <x:f>MAX(0,MIN($E57,K$19)-MAX($D57,K$18))+IF(AND($C57=1,INDEX('城市分配'!$P$6:$P$61,MATCH($A57,'城市分配'!$B$6:$B$61,0))=1),1,0)</x:f>
        <x:v>0</x:v>
      </x:c>
      <x:c r="L57" s="40" t="n">
        <x:f>MAX(0,MIN($E57,L$19)-MAX($D57,L$18))+IF(AND($C57=1,INDEX('城市分配'!$P$6:$P$61,MATCH($A57,'城市分配'!$B$6:$B$61,0))=2),1,0)</x:f>
        <x:v>0</x:v>
      </x:c>
      <x:c r="M57" s="40" t="n">
        <x:f>MAX(0,MIN($E57,M$19)-MAX($D57,M$18))+IF(AND($C57=1,INDEX('城市分配'!$P$6:$P$61,MATCH($A57,'城市分配'!$B$6:$B$61,0))=3),1,0)</x:f>
        <x:v>0</x:v>
      </x:c>
      <x:c r="N57" s="40" t="n">
        <x:f>MAX(0,MIN($E57,N$19)-MAX($D57,N$18))+IF(AND($C57=1,INDEX('城市分配'!$P$6:$P$61,MATCH($A57,'城市分配'!$B$6:$B$61,0))=4),1,0)</x:f>
        <x:v>0</x:v>
      </x:c>
      <x:c r="O57" s="40" t="n">
        <x:f>MAX(0,MIN($E57,O$19)-MAX($D57,O$18))+IF(AND($C57=1,INDEX('城市分配'!$P$6:$P$61,MATCH($A57,'城市分配'!$B$6:$B$61,0))=5),1,0)</x:f>
        <x:v>0</x:v>
      </x:c>
      <x:c r="P57" s="40" t="n">
        <x:f>MAX(0,MIN($E57,P$19)-MAX($D57,P$18))+IF(AND($C57=1,INDEX('城市分配'!$P$6:$P$61,MATCH($A57,'城市分配'!$B$6:$B$61,0))=6),1,0)</x:f>
        <x:v>0</x:v>
      </x:c>
      <x:c r="Q57" s="40" t="n">
        <x:f>MAX(0,MIN($E57,Q$19)-MAX($D57,Q$18))+IF(AND($C57=1,INDEX('城市分配'!$P$6:$P$61,MATCH($A57,'城市分配'!$B$6:$B$61,0))=7),1,0)</x:f>
        <x:v>0</x:v>
      </x:c>
      <x:c r="R57" s="40" t="n">
        <x:f>MAX(0,MIN($E57,R$19)-MAX($D57,R$18))+IF(AND($C57=1,INDEX('城市分配'!$P$6:$P$61,MATCH($A57,'城市分配'!$B$6:$B$61,0))=8),1,0)</x:f>
        <x:v>0</x:v>
      </x:c>
      <x:c r="S57" s="40" t="n">
        <x:f>MAX(0,MIN($E57,S$19)-MAX($D57,S$18))+IF(AND($C57=1,INDEX('城市分配'!$P$6:$P$61,MATCH($A57,'城市分配'!$B$6:$B$61,0))=9),1,0)</x:f>
        <x:v>0</x:v>
      </x:c>
      <x:c r="T57" s="40" t="n">
        <x:f>MAX(0,MIN($E57,T$19)-MAX($D57,T$18))+IF(AND($C57=1,INDEX('城市分配'!$P$6:$P$61,MATCH($A57,'城市分配'!$B$6:$B$61,0))=10),1,0)</x:f>
        <x:v>70</x:v>
      </x:c>
      <x:c r="U57" s="40" t="n">
        <x:f>MAX(0,MIN($E57,U$19)-MAX($D57,U$18))+IF(AND($C57=1,INDEX('城市分配'!$P$6:$P$61,MATCH($A57,'城市分配'!$B$6:$B$61,0))=11),1,0)</x:f>
        <x:v>0</x:v>
      </x:c>
      <x:c r="V57" s="40" t="n">
        <x:f>MAX(0,MIN($I57,J$21)-MAX($H57,J$20))+IF(AND($G57=1,INDEX('城市分配'!$P$6:$P$61,MATCH($A57,'城市分配'!$B$6:$B$61,0))=0),1,0)</x:f>
        <x:v>0</x:v>
      </x:c>
      <x:c r="W57" s="40" t="n">
        <x:f>MAX(0,MIN($I57,K$21)-MAX($H57,K$20))+IF(AND($G57=1,INDEX('城市分配'!$P$6:$P$61,MATCH($A57,'城市分配'!$B$6:$B$61,0))=1),1,0)</x:f>
        <x:v>0</x:v>
      </x:c>
      <x:c r="X57" s="40" t="n">
        <x:f>MAX(0,MIN($I57,L$21)-MAX($H57,L$20))+IF(AND($G57=1,INDEX('城市分配'!$P$6:$P$61,MATCH($A57,'城市分配'!$B$6:$B$61,0))=2),1,0)</x:f>
        <x:v>0</x:v>
      </x:c>
      <x:c r="Y57" s="40" t="n">
        <x:f>MAX(0,MIN($I57,M$21)-MAX($H57,M$20))+IF(AND($G57=1,INDEX('城市分配'!$P$6:$P$61,MATCH($A57,'城市分配'!$B$6:$B$61,0))=3),1,0)</x:f>
        <x:v>0</x:v>
      </x:c>
      <x:c r="Z57" s="40" t="n">
        <x:f>MAX(0,MIN($I57,N$21)-MAX($H57,N$20))+IF(AND($G57=1,INDEX('城市分配'!$P$6:$P$61,MATCH($A57,'城市分配'!$B$6:$B$61,0))=4),1,0)</x:f>
        <x:v>0</x:v>
      </x:c>
      <x:c r="AA57" s="40" t="n">
        <x:f>MAX(0,MIN($I57,O$21)-MAX($H57,O$20))+IF(AND($G57=1,INDEX('城市分配'!$P$6:$P$61,MATCH($A57,'城市分配'!$B$6:$B$61,0))=5),1,0)</x:f>
        <x:v>2</x:v>
      </x:c>
      <x:c r="AB57" s="40" t="n">
        <x:f>MAX(0,MIN($I57,P$21)-MAX($H57,P$20))+IF(AND($G57=1,INDEX('城市分配'!$P$6:$P$61,MATCH($A57,'城市分配'!$B$6:$B$61,0))=6),1,0)</x:f>
        <x:v>163</x:v>
      </x:c>
      <x:c r="AC57" s="40" t="n">
        <x:f>MAX(0,MIN($I57,Q$21)-MAX($H57,Q$20))+IF(AND($G57=1,INDEX('城市分配'!$P$6:$P$61,MATCH($A57,'城市分配'!$B$6:$B$61,0))=7),1,0)</x:f>
        <x:v>0</x:v>
      </x:c>
      <x:c r="AD57" s="40" t="n">
        <x:f>MAX(0,MIN($I57,R$21)-MAX($H57,R$20))+IF(AND($G57=1,INDEX('城市分配'!$P$6:$P$61,MATCH($A57,'城市分配'!$B$6:$B$61,0))=8),1,0)</x:f>
        <x:v>0</x:v>
      </x:c>
      <x:c r="AE57" s="40" t="n">
        <x:f>MAX(0,MIN($I57,S$21)-MAX($H57,S$20))+IF(AND($G57=1,INDEX('城市分配'!$P$6:$P$61,MATCH($A57,'城市分配'!$B$6:$B$61,0))=9),1,0)</x:f>
        <x:v>0</x:v>
      </x:c>
      <x:c r="AF57" s="40" t="n">
        <x:f>MAX(0,MIN($I57,T$21)-MAX($H57,T$20))+IF(AND($G57=1,INDEX('城市分配'!$P$6:$P$61,MATCH($A57,'城市分配'!$B$6:$B$61,0))=10),1,0)</x:f>
        <x:v>0</x:v>
      </x:c>
      <x:c r="AG57" s="40" t="n">
        <x:f>MAX(0,MIN($I57,U$21)-MAX($H57,U$20))+IF(AND($G57=1,INDEX('城市分配'!$P$6:$P$61,MATCH($A57,'城市分配'!$B$6:$B$61,0))=11),1,0)</x:f>
        <x:v>0</x:v>
      </x:c>
      <x:c r="AH57" s="40" t="n">
        <x:f>2*SUM(J57:U57)+4*SUM(V57:AG57)-INDEX('城市分配'!$J$6:$J$61,MATCH($A57,'城市分配'!$B$6:$B$61,0))</x:f>
        <x:v>0</x:v>
      </x:c>
      <x:c r="AI57" s="40" t="n">
        <x:f>IF(INDEX('城市分配'!$D$6:$D$61,MATCH($A57,'城市分配'!$B$6:$B$61,0))="是",--(SUM($J57:$O57)+SUM($V57:$AA57)&gt;0),0)</x:f>
        <x:v>0</x:v>
      </x:c>
    </x:row>
    <x:row r="58">
      <x:c r="A58" t="str">
        <x:v>苏州</x:v>
      </x:c>
      <x:c r="B58" s="40" t="n">
        <x:f>INDEX('城市分配'!$M$6:$M$61,MATCH($A58,'城市分配'!$B$6:$B$61,0))</x:f>
        <x:v>70</x:v>
      </x:c>
      <x:c r="C58" s="40" t="n">
        <x:f>IF(AND(INDEX('城市分配'!$D$6:$D$61,MATCH($A58,'城市分配'!$B$6:$B$61,0))="是",B58&gt;0),1,0)</x:f>
        <x:v>0</x:v>
      </x:c>
      <x:c r="D58" s="37" t="n">
        <x:f>SUM($B$28:B57)-SUM($C$28:C57)</x:f>
        <x:v>3226</x:v>
      </x:c>
      <x:c r="E58" s="37" t="n">
        <x:f>D58+B58-C58</x:f>
        <x:v>3296</x:v>
      </x:c>
      <x:c r="F58" s="40" t="n">
        <x:f>INDEX('城市分配'!$L$6:$L$61,MATCH($A58,'城市分配'!$B$6:$B$61,0))</x:f>
        <x:v>165</x:v>
      </x:c>
      <x:c r="G58" s="40" t="n">
        <x:f>IF(AND(INDEX('城市分配'!$D$6:$D$61,MATCH($A58,'城市分配'!$B$6:$B$61,0))="是",F58&gt;0,B58=0),1,0)</x:f>
        <x:v>0</x:v>
      </x:c>
      <x:c r="H58" s="37" t="n">
        <x:f>SUM($F$28:F57)-SUM($G$28:G57)</x:f>
        <x:v>3524</x:v>
      </x:c>
      <x:c r="I58" s="37" t="n">
        <x:f>H58+F58-G58</x:f>
        <x:v>3689</x:v>
      </x:c>
      <x:c r="J58" s="40" t="n">
        <x:f>MAX(0,MIN($E58,J$19)-MAX($D58,J$18))+IF(AND($C58=1,INDEX('城市分配'!$P$6:$P$61,MATCH($A58,'城市分配'!$B$6:$B$61,0))=0),1,0)</x:f>
        <x:v>0</x:v>
      </x:c>
      <x:c r="K58" s="40" t="n">
        <x:f>MAX(0,MIN($E58,K$19)-MAX($D58,K$18))+IF(AND($C58=1,INDEX('城市分配'!$P$6:$P$61,MATCH($A58,'城市分配'!$B$6:$B$61,0))=1),1,0)</x:f>
        <x:v>0</x:v>
      </x:c>
      <x:c r="L58" s="40" t="n">
        <x:f>MAX(0,MIN($E58,L$19)-MAX($D58,L$18))+IF(AND($C58=1,INDEX('城市分配'!$P$6:$P$61,MATCH($A58,'城市分配'!$B$6:$B$61,0))=2),1,0)</x:f>
        <x:v>0</x:v>
      </x:c>
      <x:c r="M58" s="40" t="n">
        <x:f>MAX(0,MIN($E58,M$19)-MAX($D58,M$18))+IF(AND($C58=1,INDEX('城市分配'!$P$6:$P$61,MATCH($A58,'城市分配'!$B$6:$B$61,0))=3),1,0)</x:f>
        <x:v>0</x:v>
      </x:c>
      <x:c r="N58" s="40" t="n">
        <x:f>MAX(0,MIN($E58,N$19)-MAX($D58,N$18))+IF(AND($C58=1,INDEX('城市分配'!$P$6:$P$61,MATCH($A58,'城市分配'!$B$6:$B$61,0))=4),1,0)</x:f>
        <x:v>0</x:v>
      </x:c>
      <x:c r="O58" s="40" t="n">
        <x:f>MAX(0,MIN($E58,O$19)-MAX($D58,O$18))+IF(AND($C58=1,INDEX('城市分配'!$P$6:$P$61,MATCH($A58,'城市分配'!$B$6:$B$61,0))=5),1,0)</x:f>
        <x:v>0</x:v>
      </x:c>
      <x:c r="P58" s="40" t="n">
        <x:f>MAX(0,MIN($E58,P$19)-MAX($D58,P$18))+IF(AND($C58=1,INDEX('城市分配'!$P$6:$P$61,MATCH($A58,'城市分配'!$B$6:$B$61,0))=6),1,0)</x:f>
        <x:v>0</x:v>
      </x:c>
      <x:c r="Q58" s="40" t="n">
        <x:f>MAX(0,MIN($E58,Q$19)-MAX($D58,Q$18))+IF(AND($C58=1,INDEX('城市分配'!$P$6:$P$61,MATCH($A58,'城市分配'!$B$6:$B$61,0))=7),1,0)</x:f>
        <x:v>0</x:v>
      </x:c>
      <x:c r="R58" s="40" t="n">
        <x:f>MAX(0,MIN($E58,R$19)-MAX($D58,R$18))+IF(AND($C58=1,INDEX('城市分配'!$P$6:$P$61,MATCH($A58,'城市分配'!$B$6:$B$61,0))=8),1,0)</x:f>
        <x:v>0</x:v>
      </x:c>
      <x:c r="S58" s="40" t="n">
        <x:f>MAX(0,MIN($E58,S$19)-MAX($D58,S$18))+IF(AND($C58=1,INDEX('城市分配'!$P$6:$P$61,MATCH($A58,'城市分配'!$B$6:$B$61,0))=9),1,0)</x:f>
        <x:v>0</x:v>
      </x:c>
      <x:c r="T58" s="40" t="n">
        <x:f>MAX(0,MIN($E58,T$19)-MAX($D58,T$18))+IF(AND($C58=1,INDEX('城市分配'!$P$6:$P$61,MATCH($A58,'城市分配'!$B$6:$B$61,0))=10),1,0)</x:f>
        <x:v>70</x:v>
      </x:c>
      <x:c r="U58" s="40" t="n">
        <x:f>MAX(0,MIN($E58,U$19)-MAX($D58,U$18))+IF(AND($C58=1,INDEX('城市分配'!$P$6:$P$61,MATCH($A58,'城市分配'!$B$6:$B$61,0))=11),1,0)</x:f>
        <x:v>0</x:v>
      </x:c>
      <x:c r="V58" s="40" t="n">
        <x:f>MAX(0,MIN($I58,J$21)-MAX($H58,J$20))+IF(AND($G58=1,INDEX('城市分配'!$P$6:$P$61,MATCH($A58,'城市分配'!$B$6:$B$61,0))=0),1,0)</x:f>
        <x:v>0</x:v>
      </x:c>
      <x:c r="W58" s="40" t="n">
        <x:f>MAX(0,MIN($I58,K$21)-MAX($H58,K$20))+IF(AND($G58=1,INDEX('城市分配'!$P$6:$P$61,MATCH($A58,'城市分配'!$B$6:$B$61,0))=1),1,0)</x:f>
        <x:v>0</x:v>
      </x:c>
      <x:c r="X58" s="40" t="n">
        <x:f>MAX(0,MIN($I58,L$21)-MAX($H58,L$20))+IF(AND($G58=1,INDEX('城市分配'!$P$6:$P$61,MATCH($A58,'城市分配'!$B$6:$B$61,0))=2),1,0)</x:f>
        <x:v>0</x:v>
      </x:c>
      <x:c r="Y58" s="40" t="n">
        <x:f>MAX(0,MIN($I58,M$21)-MAX($H58,M$20))+IF(AND($G58=1,INDEX('城市分配'!$P$6:$P$61,MATCH($A58,'城市分配'!$B$6:$B$61,0))=3),1,0)</x:f>
        <x:v>0</x:v>
      </x:c>
      <x:c r="Z58" s="40" t="n">
        <x:f>MAX(0,MIN($I58,N$21)-MAX($H58,N$20))+IF(AND($G58=1,INDEX('城市分配'!$P$6:$P$61,MATCH($A58,'城市分配'!$B$6:$B$61,0))=4),1,0)</x:f>
        <x:v>0</x:v>
      </x:c>
      <x:c r="AA58" s="40" t="n">
        <x:f>MAX(0,MIN($I58,O$21)-MAX($H58,O$20))+IF(AND($G58=1,INDEX('城市分配'!$P$6:$P$61,MATCH($A58,'城市分配'!$B$6:$B$61,0))=5),1,0)</x:f>
        <x:v>0</x:v>
      </x:c>
      <x:c r="AB58" s="40" t="n">
        <x:f>MAX(0,MIN($I58,P$21)-MAX($H58,P$20))+IF(AND($G58=1,INDEX('城市分配'!$P$6:$P$61,MATCH($A58,'城市分配'!$B$6:$B$61,0))=6),1,0)</x:f>
        <x:v>165</x:v>
      </x:c>
      <x:c r="AC58" s="40" t="n">
        <x:f>MAX(0,MIN($I58,Q$21)-MAX($H58,Q$20))+IF(AND($G58=1,INDEX('城市分配'!$P$6:$P$61,MATCH($A58,'城市分配'!$B$6:$B$61,0))=7),1,0)</x:f>
        <x:v>0</x:v>
      </x:c>
      <x:c r="AD58" s="40" t="n">
        <x:f>MAX(0,MIN($I58,R$21)-MAX($H58,R$20))+IF(AND($G58=1,INDEX('城市分配'!$P$6:$P$61,MATCH($A58,'城市分配'!$B$6:$B$61,0))=8),1,0)</x:f>
        <x:v>0</x:v>
      </x:c>
      <x:c r="AE58" s="40" t="n">
        <x:f>MAX(0,MIN($I58,S$21)-MAX($H58,S$20))+IF(AND($G58=1,INDEX('城市分配'!$P$6:$P$61,MATCH($A58,'城市分配'!$B$6:$B$61,0))=9),1,0)</x:f>
        <x:v>0</x:v>
      </x:c>
      <x:c r="AF58" s="40" t="n">
        <x:f>MAX(0,MIN($I58,T$21)-MAX($H58,T$20))+IF(AND($G58=1,INDEX('城市分配'!$P$6:$P$61,MATCH($A58,'城市分配'!$B$6:$B$61,0))=10),1,0)</x:f>
        <x:v>0</x:v>
      </x:c>
      <x:c r="AG58" s="40" t="n">
        <x:f>MAX(0,MIN($I58,U$21)-MAX($H58,U$20))+IF(AND($G58=1,INDEX('城市分配'!$P$6:$P$61,MATCH($A58,'城市分配'!$B$6:$B$61,0))=11),1,0)</x:f>
        <x:v>0</x:v>
      </x:c>
      <x:c r="AH58" s="40" t="n">
        <x:f>2*SUM(J58:U58)+4*SUM(V58:AG58)-INDEX('城市分配'!$J$6:$J$61,MATCH($A58,'城市分配'!$B$6:$B$61,0))</x:f>
        <x:v>0</x:v>
      </x:c>
      <x:c r="AI58" s="40" t="n">
        <x:f>IF(INDEX('城市分配'!$D$6:$D$61,MATCH($A58,'城市分配'!$B$6:$B$61,0))="是",--(SUM($J58:$O58)+SUM($V58:$AA58)&gt;0),0)</x:f>
        <x:v>0</x:v>
      </x:c>
    </x:row>
    <x:row r="59">
      <x:c r="A59" t="str">
        <x:v>佛山</x:v>
      </x:c>
      <x:c r="B59" s="40" t="n">
        <x:f>INDEX('城市分配'!$M$6:$M$61,MATCH($A59,'城市分配'!$B$6:$B$61,0))</x:f>
        <x:v>172</x:v>
      </x:c>
      <x:c r="C59" s="40" t="n">
        <x:f>IF(AND(INDEX('城市分配'!$D$6:$D$61,MATCH($A59,'城市分配'!$B$6:$B$61,0))="是",B59&gt;0),1,0)</x:f>
        <x:v>0</x:v>
      </x:c>
      <x:c r="D59" s="37" t="n">
        <x:f>SUM($B$28:B58)-SUM($C$28:C58)</x:f>
        <x:v>3296</x:v>
      </x:c>
      <x:c r="E59" s="37" t="n">
        <x:f>D59+B59-C59</x:f>
        <x:v>3468</x:v>
      </x:c>
      <x:c r="F59" s="40" t="n">
        <x:f>INDEX('城市分配'!$L$6:$L$61,MATCH($A59,'城市分配'!$B$6:$B$61,0))</x:f>
        <x:v>114</x:v>
      </x:c>
      <x:c r="G59" s="40" t="n">
        <x:f>IF(AND(INDEX('城市分配'!$D$6:$D$61,MATCH($A59,'城市分配'!$B$6:$B$61,0))="是",F59&gt;0,B59=0),1,0)</x:f>
        <x:v>0</x:v>
      </x:c>
      <x:c r="H59" s="37" t="n">
        <x:f>SUM($F$28:F58)-SUM($G$28:G58)</x:f>
        <x:v>3689</x:v>
      </x:c>
      <x:c r="I59" s="37" t="n">
        <x:f>H59+F59-G59</x:f>
        <x:v>3803</x:v>
      </x:c>
      <x:c r="J59" s="40" t="n">
        <x:f>MAX(0,MIN($E59,J$19)-MAX($D59,J$18))+IF(AND($C59=1,INDEX('城市分配'!$P$6:$P$61,MATCH($A59,'城市分配'!$B$6:$B$61,0))=0),1,0)</x:f>
        <x:v>0</x:v>
      </x:c>
      <x:c r="K59" s="40" t="n">
        <x:f>MAX(0,MIN($E59,K$19)-MAX($D59,K$18))+IF(AND($C59=1,INDEX('城市分配'!$P$6:$P$61,MATCH($A59,'城市分配'!$B$6:$B$61,0))=1),1,0)</x:f>
        <x:v>0</x:v>
      </x:c>
      <x:c r="L59" s="40" t="n">
        <x:f>MAX(0,MIN($E59,L$19)-MAX($D59,L$18))+IF(AND($C59=1,INDEX('城市分配'!$P$6:$P$61,MATCH($A59,'城市分配'!$B$6:$B$61,0))=2),1,0)</x:f>
        <x:v>0</x:v>
      </x:c>
      <x:c r="M59" s="40" t="n">
        <x:f>MAX(0,MIN($E59,M$19)-MAX($D59,M$18))+IF(AND($C59=1,INDEX('城市分配'!$P$6:$P$61,MATCH($A59,'城市分配'!$B$6:$B$61,0))=3),1,0)</x:f>
        <x:v>0</x:v>
      </x:c>
      <x:c r="N59" s="40" t="n">
        <x:f>MAX(0,MIN($E59,N$19)-MAX($D59,N$18))+IF(AND($C59=1,INDEX('城市分配'!$P$6:$P$61,MATCH($A59,'城市分配'!$B$6:$B$61,0))=4),1,0)</x:f>
        <x:v>0</x:v>
      </x:c>
      <x:c r="O59" s="40" t="n">
        <x:f>MAX(0,MIN($E59,O$19)-MAX($D59,O$18))+IF(AND($C59=1,INDEX('城市分配'!$P$6:$P$61,MATCH($A59,'城市分配'!$B$6:$B$61,0))=5),1,0)</x:f>
        <x:v>0</x:v>
      </x:c>
      <x:c r="P59" s="40" t="n">
        <x:f>MAX(0,MIN($E59,P$19)-MAX($D59,P$18))+IF(AND($C59=1,INDEX('城市分配'!$P$6:$P$61,MATCH($A59,'城市分配'!$B$6:$B$61,0))=6),1,0)</x:f>
        <x:v>0</x:v>
      </x:c>
      <x:c r="Q59" s="40" t="n">
        <x:f>MAX(0,MIN($E59,Q$19)-MAX($D59,Q$18))+IF(AND($C59=1,INDEX('城市分配'!$P$6:$P$61,MATCH($A59,'城市分配'!$B$6:$B$61,0))=7),1,0)</x:f>
        <x:v>0</x:v>
      </x:c>
      <x:c r="R59" s="40" t="n">
        <x:f>MAX(0,MIN($E59,R$19)-MAX($D59,R$18))+IF(AND($C59=1,INDEX('城市分配'!$P$6:$P$61,MATCH($A59,'城市分配'!$B$6:$B$61,0))=8),1,0)</x:f>
        <x:v>0</x:v>
      </x:c>
      <x:c r="S59" s="40" t="n">
        <x:f>MAX(0,MIN($E59,S$19)-MAX($D59,S$18))+IF(AND($C59=1,INDEX('城市分配'!$P$6:$P$61,MATCH($A59,'城市分配'!$B$6:$B$61,0))=9),1,0)</x:f>
        <x:v>0</x:v>
      </x:c>
      <x:c r="T59" s="40" t="n">
        <x:f>MAX(0,MIN($E59,T$19)-MAX($D59,T$18))+IF(AND($C59=1,INDEX('城市分配'!$P$6:$P$61,MATCH($A59,'城市分配'!$B$6:$B$61,0))=10),1,0)</x:f>
        <x:v>172</x:v>
      </x:c>
      <x:c r="U59" s="40" t="n">
        <x:f>MAX(0,MIN($E59,U$19)-MAX($D59,U$18))+IF(AND($C59=1,INDEX('城市分配'!$P$6:$P$61,MATCH($A59,'城市分配'!$B$6:$B$61,0))=11),1,0)</x:f>
        <x:v>0</x:v>
      </x:c>
      <x:c r="V59" s="40" t="n">
        <x:f>MAX(0,MIN($I59,J$21)-MAX($H59,J$20))+IF(AND($G59=1,INDEX('城市分配'!$P$6:$P$61,MATCH($A59,'城市分配'!$B$6:$B$61,0))=0),1,0)</x:f>
        <x:v>0</x:v>
      </x:c>
      <x:c r="W59" s="40" t="n">
        <x:f>MAX(0,MIN($I59,K$21)-MAX($H59,K$20))+IF(AND($G59=1,INDEX('城市分配'!$P$6:$P$61,MATCH($A59,'城市分配'!$B$6:$B$61,0))=1),1,0)</x:f>
        <x:v>0</x:v>
      </x:c>
      <x:c r="X59" s="40" t="n">
        <x:f>MAX(0,MIN($I59,L$21)-MAX($H59,L$20))+IF(AND($G59=1,INDEX('城市分配'!$P$6:$P$61,MATCH($A59,'城市分配'!$B$6:$B$61,0))=2),1,0)</x:f>
        <x:v>0</x:v>
      </x:c>
      <x:c r="Y59" s="40" t="n">
        <x:f>MAX(0,MIN($I59,M$21)-MAX($H59,M$20))+IF(AND($G59=1,INDEX('城市分配'!$P$6:$P$61,MATCH($A59,'城市分配'!$B$6:$B$61,0))=3),1,0)</x:f>
        <x:v>0</x:v>
      </x:c>
      <x:c r="Z59" s="40" t="n">
        <x:f>MAX(0,MIN($I59,N$21)-MAX($H59,N$20))+IF(AND($G59=1,INDEX('城市分配'!$P$6:$P$61,MATCH($A59,'城市分配'!$B$6:$B$61,0))=4),1,0)</x:f>
        <x:v>0</x:v>
      </x:c>
      <x:c r="AA59" s="40" t="n">
        <x:f>MAX(0,MIN($I59,O$21)-MAX($H59,O$20))+IF(AND($G59=1,INDEX('城市分配'!$P$6:$P$61,MATCH($A59,'城市分配'!$B$6:$B$61,0))=5),1,0)</x:f>
        <x:v>0</x:v>
      </x:c>
      <x:c r="AB59" s="40" t="n">
        <x:f>MAX(0,MIN($I59,P$21)-MAX($H59,P$20))+IF(AND($G59=1,INDEX('城市分配'!$P$6:$P$61,MATCH($A59,'城市分配'!$B$6:$B$61,0))=6),1,0)</x:f>
        <x:v>114</x:v>
      </x:c>
      <x:c r="AC59" s="40" t="n">
        <x:f>MAX(0,MIN($I59,Q$21)-MAX($H59,Q$20))+IF(AND($G59=1,INDEX('城市分配'!$P$6:$P$61,MATCH($A59,'城市分配'!$B$6:$B$61,0))=7),1,0)</x:f>
        <x:v>0</x:v>
      </x:c>
      <x:c r="AD59" s="40" t="n">
        <x:f>MAX(0,MIN($I59,R$21)-MAX($H59,R$20))+IF(AND($G59=1,INDEX('城市分配'!$P$6:$P$61,MATCH($A59,'城市分配'!$B$6:$B$61,0))=8),1,0)</x:f>
        <x:v>0</x:v>
      </x:c>
      <x:c r="AE59" s="40" t="n">
        <x:f>MAX(0,MIN($I59,S$21)-MAX($H59,S$20))+IF(AND($G59=1,INDEX('城市分配'!$P$6:$P$61,MATCH($A59,'城市分配'!$B$6:$B$61,0))=9),1,0)</x:f>
        <x:v>0</x:v>
      </x:c>
      <x:c r="AF59" s="40" t="n">
        <x:f>MAX(0,MIN($I59,T$21)-MAX($H59,T$20))+IF(AND($G59=1,INDEX('城市分配'!$P$6:$P$61,MATCH($A59,'城市分配'!$B$6:$B$61,0))=10),1,0)</x:f>
        <x:v>0</x:v>
      </x:c>
      <x:c r="AG59" s="40" t="n">
        <x:f>MAX(0,MIN($I59,U$21)-MAX($H59,U$20))+IF(AND($G59=1,INDEX('城市分配'!$P$6:$P$61,MATCH($A59,'城市分配'!$B$6:$B$61,0))=11),1,0)</x:f>
        <x:v>0</x:v>
      </x:c>
      <x:c r="AH59" s="40" t="n">
        <x:f>2*SUM(J59:U59)+4*SUM(V59:AG59)-INDEX('城市分配'!$J$6:$J$61,MATCH($A59,'城市分配'!$B$6:$B$61,0))</x:f>
        <x:v>0</x:v>
      </x:c>
      <x:c r="AI59" s="40" t="n">
        <x:f>IF(INDEX('城市分配'!$D$6:$D$61,MATCH($A59,'城市分配'!$B$6:$B$61,0))="是",--(SUM($J59:$O59)+SUM($V59:$AA59)&gt;0),0)</x:f>
        <x:v>0</x:v>
      </x:c>
    </x:row>
    <x:row r="60">
      <x:c r="A60" t="str">
        <x:v>东莞</x:v>
      </x:c>
      <x:c r="B60" s="40" t="n">
        <x:f>INDEX('城市分配'!$M$6:$M$61,MATCH($A60,'城市分配'!$B$6:$B$61,0))</x:f>
        <x:v>172</x:v>
      </x:c>
      <x:c r="C60" s="40" t="n">
        <x:f>IF(AND(INDEX('城市分配'!$D$6:$D$61,MATCH($A60,'城市分配'!$B$6:$B$61,0))="是",B60&gt;0),1,0)</x:f>
        <x:v>0</x:v>
      </x:c>
      <x:c r="D60" s="37" t="n">
        <x:f>SUM($B$28:B59)-SUM($C$28:C59)</x:f>
        <x:v>3468</x:v>
      </x:c>
      <x:c r="E60" s="37" t="n">
        <x:f>D60+B60-C60</x:f>
        <x:v>3640</x:v>
      </x:c>
      <x:c r="F60" s="40" t="n">
        <x:f>INDEX('城市分配'!$L$6:$L$61,MATCH($A60,'城市分配'!$B$6:$B$61,0))</x:f>
        <x:v>114</x:v>
      </x:c>
      <x:c r="G60" s="40" t="n">
        <x:f>IF(AND(INDEX('城市分配'!$D$6:$D$61,MATCH($A60,'城市分配'!$B$6:$B$61,0))="是",F60&gt;0,B60=0),1,0)</x:f>
        <x:v>0</x:v>
      </x:c>
      <x:c r="H60" s="37" t="n">
        <x:f>SUM($F$28:F59)-SUM($G$28:G59)</x:f>
        <x:v>3803</x:v>
      </x:c>
      <x:c r="I60" s="37" t="n">
        <x:f>H60+F60-G60</x:f>
        <x:v>3917</x:v>
      </x:c>
      <x:c r="J60" s="40" t="n">
        <x:f>MAX(0,MIN($E60,J$19)-MAX($D60,J$18))+IF(AND($C60=1,INDEX('城市分配'!$P$6:$P$61,MATCH($A60,'城市分配'!$B$6:$B$61,0))=0),1,0)</x:f>
        <x:v>0</x:v>
      </x:c>
      <x:c r="K60" s="40" t="n">
        <x:f>MAX(0,MIN($E60,K$19)-MAX($D60,K$18))+IF(AND($C60=1,INDEX('城市分配'!$P$6:$P$61,MATCH($A60,'城市分配'!$B$6:$B$61,0))=1),1,0)</x:f>
        <x:v>0</x:v>
      </x:c>
      <x:c r="L60" s="40" t="n">
        <x:f>MAX(0,MIN($E60,L$19)-MAX($D60,L$18))+IF(AND($C60=1,INDEX('城市分配'!$P$6:$P$61,MATCH($A60,'城市分配'!$B$6:$B$61,0))=2),1,0)</x:f>
        <x:v>0</x:v>
      </x:c>
      <x:c r="M60" s="40" t="n">
        <x:f>MAX(0,MIN($E60,M$19)-MAX($D60,M$18))+IF(AND($C60=1,INDEX('城市分配'!$P$6:$P$61,MATCH($A60,'城市分配'!$B$6:$B$61,0))=3),1,0)</x:f>
        <x:v>0</x:v>
      </x:c>
      <x:c r="N60" s="40" t="n">
        <x:f>MAX(0,MIN($E60,N$19)-MAX($D60,N$18))+IF(AND($C60=1,INDEX('城市分配'!$P$6:$P$61,MATCH($A60,'城市分配'!$B$6:$B$61,0))=4),1,0)</x:f>
        <x:v>0</x:v>
      </x:c>
      <x:c r="O60" s="40" t="n">
        <x:f>MAX(0,MIN($E60,O$19)-MAX($D60,O$18))+IF(AND($C60=1,INDEX('城市分配'!$P$6:$P$61,MATCH($A60,'城市分配'!$B$6:$B$61,0))=5),1,0)</x:f>
        <x:v>0</x:v>
      </x:c>
      <x:c r="P60" s="40" t="n">
        <x:f>MAX(0,MIN($E60,P$19)-MAX($D60,P$18))+IF(AND($C60=1,INDEX('城市分配'!$P$6:$P$61,MATCH($A60,'城市分配'!$B$6:$B$61,0))=6),1,0)</x:f>
        <x:v>0</x:v>
      </x:c>
      <x:c r="Q60" s="40" t="n">
        <x:f>MAX(0,MIN($E60,Q$19)-MAX($D60,Q$18))+IF(AND($C60=1,INDEX('城市分配'!$P$6:$P$61,MATCH($A60,'城市分配'!$B$6:$B$61,0))=7),1,0)</x:f>
        <x:v>0</x:v>
      </x:c>
      <x:c r="R60" s="40" t="n">
        <x:f>MAX(0,MIN($E60,R$19)-MAX($D60,R$18))+IF(AND($C60=1,INDEX('城市分配'!$P$6:$P$61,MATCH($A60,'城市分配'!$B$6:$B$61,0))=8),1,0)</x:f>
        <x:v>0</x:v>
      </x:c>
      <x:c r="S60" s="40" t="n">
        <x:f>MAX(0,MIN($E60,S$19)-MAX($D60,S$18))+IF(AND($C60=1,INDEX('城市分配'!$P$6:$P$61,MATCH($A60,'城市分配'!$B$6:$B$61,0))=9),1,0)</x:f>
        <x:v>0</x:v>
      </x:c>
      <x:c r="T60" s="40" t="n">
        <x:f>MAX(0,MIN($E60,T$19)-MAX($D60,T$18))+IF(AND($C60=1,INDEX('城市分配'!$P$6:$P$61,MATCH($A60,'城市分配'!$B$6:$B$61,0))=10),1,0)</x:f>
        <x:v>6</x:v>
      </x:c>
      <x:c r="U60" s="40" t="n">
        <x:f>MAX(0,MIN($E60,U$19)-MAX($D60,U$18))+IF(AND($C60=1,INDEX('城市分配'!$P$6:$P$61,MATCH($A60,'城市分配'!$B$6:$B$61,0))=11),1,0)</x:f>
        <x:v>166</x:v>
      </x:c>
      <x:c r="V60" s="40" t="n">
        <x:f>MAX(0,MIN($I60,J$21)-MAX($H60,J$20))+IF(AND($G60=1,INDEX('城市分配'!$P$6:$P$61,MATCH($A60,'城市分配'!$B$6:$B$61,0))=0),1,0)</x:f>
        <x:v>0</x:v>
      </x:c>
      <x:c r="W60" s="40" t="n">
        <x:f>MAX(0,MIN($I60,K$21)-MAX($H60,K$20))+IF(AND($G60=1,INDEX('城市分配'!$P$6:$P$61,MATCH($A60,'城市分配'!$B$6:$B$61,0))=1),1,0)</x:f>
        <x:v>0</x:v>
      </x:c>
      <x:c r="X60" s="40" t="n">
        <x:f>MAX(0,MIN($I60,L$21)-MAX($H60,L$20))+IF(AND($G60=1,INDEX('城市分配'!$P$6:$P$61,MATCH($A60,'城市分配'!$B$6:$B$61,0))=2),1,0)</x:f>
        <x:v>0</x:v>
      </x:c>
      <x:c r="Y60" s="40" t="n">
        <x:f>MAX(0,MIN($I60,M$21)-MAX($H60,M$20))+IF(AND($G60=1,INDEX('城市分配'!$P$6:$P$61,MATCH($A60,'城市分配'!$B$6:$B$61,0))=3),1,0)</x:f>
        <x:v>0</x:v>
      </x:c>
      <x:c r="Z60" s="40" t="n">
        <x:f>MAX(0,MIN($I60,N$21)-MAX($H60,N$20))+IF(AND($G60=1,INDEX('城市分配'!$P$6:$P$61,MATCH($A60,'城市分配'!$B$6:$B$61,0))=4),1,0)</x:f>
        <x:v>0</x:v>
      </x:c>
      <x:c r="AA60" s="40" t="n">
        <x:f>MAX(0,MIN($I60,O$21)-MAX($H60,O$20))+IF(AND($G60=1,INDEX('城市分配'!$P$6:$P$61,MATCH($A60,'城市分配'!$B$6:$B$61,0))=5),1,0)</x:f>
        <x:v>0</x:v>
      </x:c>
      <x:c r="AB60" s="40" t="n">
        <x:f>MAX(0,MIN($I60,P$21)-MAX($H60,P$20))+IF(AND($G60=1,INDEX('城市分配'!$P$6:$P$61,MATCH($A60,'城市分配'!$B$6:$B$61,0))=6),1,0)</x:f>
        <x:v>114</x:v>
      </x:c>
      <x:c r="AC60" s="40" t="n">
        <x:f>MAX(0,MIN($I60,Q$21)-MAX($H60,Q$20))+IF(AND($G60=1,INDEX('城市分配'!$P$6:$P$61,MATCH($A60,'城市分配'!$B$6:$B$61,0))=7),1,0)</x:f>
        <x:v>0</x:v>
      </x:c>
      <x:c r="AD60" s="40" t="n">
        <x:f>MAX(0,MIN($I60,R$21)-MAX($H60,R$20))+IF(AND($G60=1,INDEX('城市分配'!$P$6:$P$61,MATCH($A60,'城市分配'!$B$6:$B$61,0))=8),1,0)</x:f>
        <x:v>0</x:v>
      </x:c>
      <x:c r="AE60" s="40" t="n">
        <x:f>MAX(0,MIN($I60,S$21)-MAX($H60,S$20))+IF(AND($G60=1,INDEX('城市分配'!$P$6:$P$61,MATCH($A60,'城市分配'!$B$6:$B$61,0))=9),1,0)</x:f>
        <x:v>0</x:v>
      </x:c>
      <x:c r="AF60" s="40" t="n">
        <x:f>MAX(0,MIN($I60,T$21)-MAX($H60,T$20))+IF(AND($G60=1,INDEX('城市分配'!$P$6:$P$61,MATCH($A60,'城市分配'!$B$6:$B$61,0))=10),1,0)</x:f>
        <x:v>0</x:v>
      </x:c>
      <x:c r="AG60" s="40" t="n">
        <x:f>MAX(0,MIN($I60,U$21)-MAX($H60,U$20))+IF(AND($G60=1,INDEX('城市分配'!$P$6:$P$61,MATCH($A60,'城市分配'!$B$6:$B$61,0))=11),1,0)</x:f>
        <x:v>0</x:v>
      </x:c>
      <x:c r="AH60" s="40" t="n">
        <x:f>2*SUM(J60:U60)+4*SUM(V60:AG60)-INDEX('城市分配'!$J$6:$J$61,MATCH($A60,'城市分配'!$B$6:$B$61,0))</x:f>
        <x:v>0</x:v>
      </x:c>
      <x:c r="AI60" s="40" t="n">
        <x:f>IF(INDEX('城市分配'!$D$6:$D$61,MATCH($A60,'城市分配'!$B$6:$B$61,0))="是",--(SUM($J60:$O60)+SUM($V60:$AA60)&gt;0),0)</x:f>
        <x:v>0</x:v>
      </x:c>
    </x:row>
    <x:row r="61">
      <x:c r="A61" t="str">
        <x:v>石家庄</x:v>
      </x:c>
      <x:c r="B61" s="40" t="n">
        <x:f>INDEX('城市分配'!$M$6:$M$61,MATCH($A61,'城市分配'!$B$6:$B$61,0))</x:f>
        <x:v>52</x:v>
      </x:c>
      <x:c r="C61" s="40" t="n">
        <x:f>IF(AND(INDEX('城市分配'!$D$6:$D$61,MATCH($A61,'城市分配'!$B$6:$B$61,0))="是",B61&gt;0),1,0)</x:f>
        <x:v>0</x:v>
      </x:c>
      <x:c r="D61" s="37" t="n">
        <x:f>SUM($B$28:B60)-SUM($C$28:C60)</x:f>
        <x:v>3640</x:v>
      </x:c>
      <x:c r="E61" s="37" t="n">
        <x:f>D61+B61-C61</x:f>
        <x:v>3692</x:v>
      </x:c>
      <x:c r="F61" s="40" t="n">
        <x:f>INDEX('城市分配'!$L$6:$L$61,MATCH($A61,'城市分配'!$B$6:$B$61,0))</x:f>
        <x:v>124</x:v>
      </x:c>
      <x:c r="G61" s="40" t="n">
        <x:f>IF(AND(INDEX('城市分配'!$D$6:$D$61,MATCH($A61,'城市分配'!$B$6:$B$61,0))="是",F61&gt;0,B61=0),1,0)</x:f>
        <x:v>0</x:v>
      </x:c>
      <x:c r="H61" s="37" t="n">
        <x:f>SUM($F$28:F60)-SUM($G$28:G60)</x:f>
        <x:v>3917</x:v>
      </x:c>
      <x:c r="I61" s="37" t="n">
        <x:f>H61+F61-G61</x:f>
        <x:v>4041</x:v>
      </x:c>
      <x:c r="J61" s="40" t="n">
        <x:f>MAX(0,MIN($E61,J$19)-MAX($D61,J$18))+IF(AND($C61=1,INDEX('城市分配'!$P$6:$P$61,MATCH($A61,'城市分配'!$B$6:$B$61,0))=0),1,0)</x:f>
        <x:v>0</x:v>
      </x:c>
      <x:c r="K61" s="40" t="n">
        <x:f>MAX(0,MIN($E61,K$19)-MAX($D61,K$18))+IF(AND($C61=1,INDEX('城市分配'!$P$6:$P$61,MATCH($A61,'城市分配'!$B$6:$B$61,0))=1),1,0)</x:f>
        <x:v>0</x:v>
      </x:c>
      <x:c r="L61" s="40" t="n">
        <x:f>MAX(0,MIN($E61,L$19)-MAX($D61,L$18))+IF(AND($C61=1,INDEX('城市分配'!$P$6:$P$61,MATCH($A61,'城市分配'!$B$6:$B$61,0))=2),1,0)</x:f>
        <x:v>0</x:v>
      </x:c>
      <x:c r="M61" s="40" t="n">
        <x:f>MAX(0,MIN($E61,M$19)-MAX($D61,M$18))+IF(AND($C61=1,INDEX('城市分配'!$P$6:$P$61,MATCH($A61,'城市分配'!$B$6:$B$61,0))=3),1,0)</x:f>
        <x:v>0</x:v>
      </x:c>
      <x:c r="N61" s="40" t="n">
        <x:f>MAX(0,MIN($E61,N$19)-MAX($D61,N$18))+IF(AND($C61=1,INDEX('城市分配'!$P$6:$P$61,MATCH($A61,'城市分配'!$B$6:$B$61,0))=4),1,0)</x:f>
        <x:v>0</x:v>
      </x:c>
      <x:c r="O61" s="40" t="n">
        <x:f>MAX(0,MIN($E61,O$19)-MAX($D61,O$18))+IF(AND($C61=1,INDEX('城市分配'!$P$6:$P$61,MATCH($A61,'城市分配'!$B$6:$B$61,0))=5),1,0)</x:f>
        <x:v>0</x:v>
      </x:c>
      <x:c r="P61" s="40" t="n">
        <x:f>MAX(0,MIN($E61,P$19)-MAX($D61,P$18))+IF(AND($C61=1,INDEX('城市分配'!$P$6:$P$61,MATCH($A61,'城市分配'!$B$6:$B$61,0))=6),1,0)</x:f>
        <x:v>0</x:v>
      </x:c>
      <x:c r="Q61" s="40" t="n">
        <x:f>MAX(0,MIN($E61,Q$19)-MAX($D61,Q$18))+IF(AND($C61=1,INDEX('城市分配'!$P$6:$P$61,MATCH($A61,'城市分配'!$B$6:$B$61,0))=7),1,0)</x:f>
        <x:v>0</x:v>
      </x:c>
      <x:c r="R61" s="40" t="n">
        <x:f>MAX(0,MIN($E61,R$19)-MAX($D61,R$18))+IF(AND($C61=1,INDEX('城市分配'!$P$6:$P$61,MATCH($A61,'城市分配'!$B$6:$B$61,0))=8),1,0)</x:f>
        <x:v>0</x:v>
      </x:c>
      <x:c r="S61" s="40" t="n">
        <x:f>MAX(0,MIN($E61,S$19)-MAX($D61,S$18))+IF(AND($C61=1,INDEX('城市分配'!$P$6:$P$61,MATCH($A61,'城市分配'!$B$6:$B$61,0))=9),1,0)</x:f>
        <x:v>0</x:v>
      </x:c>
      <x:c r="T61" s="40" t="n">
        <x:f>MAX(0,MIN($E61,T$19)-MAX($D61,T$18))+IF(AND($C61=1,INDEX('城市分配'!$P$6:$P$61,MATCH($A61,'城市分配'!$B$6:$B$61,0))=10),1,0)</x:f>
        <x:v>0</x:v>
      </x:c>
      <x:c r="U61" s="40" t="n">
        <x:f>MAX(0,MIN($E61,U$19)-MAX($D61,U$18))+IF(AND($C61=1,INDEX('城市分配'!$P$6:$P$61,MATCH($A61,'城市分配'!$B$6:$B$61,0))=11),1,0)</x:f>
        <x:v>52</x:v>
      </x:c>
      <x:c r="V61" s="40" t="n">
        <x:f>MAX(0,MIN($I61,J$21)-MAX($H61,J$20))+IF(AND($G61=1,INDEX('城市分配'!$P$6:$P$61,MATCH($A61,'城市分配'!$B$6:$B$61,0))=0),1,0)</x:f>
        <x:v>0</x:v>
      </x:c>
      <x:c r="W61" s="40" t="n">
        <x:f>MAX(0,MIN($I61,K$21)-MAX($H61,K$20))+IF(AND($G61=1,INDEX('城市分配'!$P$6:$P$61,MATCH($A61,'城市分配'!$B$6:$B$61,0))=1),1,0)</x:f>
        <x:v>0</x:v>
      </x:c>
      <x:c r="X61" s="40" t="n">
        <x:f>MAX(0,MIN($I61,L$21)-MAX($H61,L$20))+IF(AND($G61=1,INDEX('城市分配'!$P$6:$P$61,MATCH($A61,'城市分配'!$B$6:$B$61,0))=2),1,0)</x:f>
        <x:v>0</x:v>
      </x:c>
      <x:c r="Y61" s="40" t="n">
        <x:f>MAX(0,MIN($I61,M$21)-MAX($H61,M$20))+IF(AND($G61=1,INDEX('城市分配'!$P$6:$P$61,MATCH($A61,'城市分配'!$B$6:$B$61,0))=3),1,0)</x:f>
        <x:v>0</x:v>
      </x:c>
      <x:c r="Z61" s="40" t="n">
        <x:f>MAX(0,MIN($I61,N$21)-MAX($H61,N$20))+IF(AND($G61=1,INDEX('城市分配'!$P$6:$P$61,MATCH($A61,'城市分配'!$B$6:$B$61,0))=4),1,0)</x:f>
        <x:v>0</x:v>
      </x:c>
      <x:c r="AA61" s="40" t="n">
        <x:f>MAX(0,MIN($I61,O$21)-MAX($H61,O$20))+IF(AND($G61=1,INDEX('城市分配'!$P$6:$P$61,MATCH($A61,'城市分配'!$B$6:$B$61,0))=5),1,0)</x:f>
        <x:v>0</x:v>
      </x:c>
      <x:c r="AB61" s="40" t="n">
        <x:f>MAX(0,MIN($I61,P$21)-MAX($H61,P$20))+IF(AND($G61=1,INDEX('城市分配'!$P$6:$P$61,MATCH($A61,'城市分配'!$B$6:$B$61,0))=6),1,0)</x:f>
        <x:v>124</x:v>
      </x:c>
      <x:c r="AC61" s="40" t="n">
        <x:f>MAX(0,MIN($I61,Q$21)-MAX($H61,Q$20))+IF(AND($G61=1,INDEX('城市分配'!$P$6:$P$61,MATCH($A61,'城市分配'!$B$6:$B$61,0))=7),1,0)</x:f>
        <x:v>0</x:v>
      </x:c>
      <x:c r="AD61" s="40" t="n">
        <x:f>MAX(0,MIN($I61,R$21)-MAX($H61,R$20))+IF(AND($G61=1,INDEX('城市分配'!$P$6:$P$61,MATCH($A61,'城市分配'!$B$6:$B$61,0))=8),1,0)</x:f>
        <x:v>0</x:v>
      </x:c>
      <x:c r="AE61" s="40" t="n">
        <x:f>MAX(0,MIN($I61,S$21)-MAX($H61,S$20))+IF(AND($G61=1,INDEX('城市分配'!$P$6:$P$61,MATCH($A61,'城市分配'!$B$6:$B$61,0))=9),1,0)</x:f>
        <x:v>0</x:v>
      </x:c>
      <x:c r="AF61" s="40" t="n">
        <x:f>MAX(0,MIN($I61,T$21)-MAX($H61,T$20))+IF(AND($G61=1,INDEX('城市分配'!$P$6:$P$61,MATCH($A61,'城市分配'!$B$6:$B$61,0))=10),1,0)</x:f>
        <x:v>0</x:v>
      </x:c>
      <x:c r="AG61" s="40" t="n">
        <x:f>MAX(0,MIN($I61,U$21)-MAX($H61,U$20))+IF(AND($G61=1,INDEX('城市分配'!$P$6:$P$61,MATCH($A61,'城市分配'!$B$6:$B$61,0))=11),1,0)</x:f>
        <x:v>0</x:v>
      </x:c>
      <x:c r="AH61" s="40" t="n">
        <x:f>2*SUM(J61:U61)+4*SUM(V61:AG61)-INDEX('城市分配'!$J$6:$J$61,MATCH($A61,'城市分配'!$B$6:$B$61,0))</x:f>
        <x:v>0</x:v>
      </x:c>
      <x:c r="AI61" s="40" t="n">
        <x:f>IF(INDEX('城市分配'!$D$6:$D$61,MATCH($A61,'城市分配'!$B$6:$B$61,0))="是",--(SUM($J61:$O61)+SUM($V61:$AA61)&gt;0),0)</x:f>
        <x:v>0</x:v>
      </x:c>
    </x:row>
    <x:row r="62">
      <x:c r="A62" t="str">
        <x:v>哈尔滨</x:v>
      </x:c>
      <x:c r="B62" s="40" t="n">
        <x:f>INDEX('城市分配'!$M$6:$M$61,MATCH($A62,'城市分配'!$B$6:$B$61,0))</x:f>
        <x:v>52</x:v>
      </x:c>
      <x:c r="C62" s="40" t="n">
        <x:f>IF(AND(INDEX('城市分配'!$D$6:$D$61,MATCH($A62,'城市分配'!$B$6:$B$61,0))="是",B62&gt;0),1,0)</x:f>
        <x:v>0</x:v>
      </x:c>
      <x:c r="D62" s="37" t="n">
        <x:f>SUM($B$28:B61)-SUM($C$28:C61)</x:f>
        <x:v>3692</x:v>
      </x:c>
      <x:c r="E62" s="37" t="n">
        <x:f>D62+B62-C62</x:f>
        <x:v>3744</x:v>
      </x:c>
      <x:c r="F62" s="40" t="n">
        <x:f>INDEX('城市分配'!$L$6:$L$61,MATCH($A62,'城市分配'!$B$6:$B$61,0))</x:f>
        <x:v>124</x:v>
      </x:c>
      <x:c r="G62" s="40" t="n">
        <x:f>IF(AND(INDEX('城市分配'!$D$6:$D$61,MATCH($A62,'城市分配'!$B$6:$B$61,0))="是",F62&gt;0,B62=0),1,0)</x:f>
        <x:v>0</x:v>
      </x:c>
      <x:c r="H62" s="37" t="n">
        <x:f>SUM($F$28:F61)-SUM($G$28:G61)</x:f>
        <x:v>4041</x:v>
      </x:c>
      <x:c r="I62" s="37" t="n">
        <x:f>H62+F62-G62</x:f>
        <x:v>4165</x:v>
      </x:c>
      <x:c r="J62" s="40" t="n">
        <x:f>MAX(0,MIN($E62,J$19)-MAX($D62,J$18))+IF(AND($C62=1,INDEX('城市分配'!$P$6:$P$61,MATCH($A62,'城市分配'!$B$6:$B$61,0))=0),1,0)</x:f>
        <x:v>0</x:v>
      </x:c>
      <x:c r="K62" s="40" t="n">
        <x:f>MAX(0,MIN($E62,K$19)-MAX($D62,K$18))+IF(AND($C62=1,INDEX('城市分配'!$P$6:$P$61,MATCH($A62,'城市分配'!$B$6:$B$61,0))=1),1,0)</x:f>
        <x:v>0</x:v>
      </x:c>
      <x:c r="L62" s="40" t="n">
        <x:f>MAX(0,MIN($E62,L$19)-MAX($D62,L$18))+IF(AND($C62=1,INDEX('城市分配'!$P$6:$P$61,MATCH($A62,'城市分配'!$B$6:$B$61,0))=2),1,0)</x:f>
        <x:v>0</x:v>
      </x:c>
      <x:c r="M62" s="40" t="n">
        <x:f>MAX(0,MIN($E62,M$19)-MAX($D62,M$18))+IF(AND($C62=1,INDEX('城市分配'!$P$6:$P$61,MATCH($A62,'城市分配'!$B$6:$B$61,0))=3),1,0)</x:f>
        <x:v>0</x:v>
      </x:c>
      <x:c r="N62" s="40" t="n">
        <x:f>MAX(0,MIN($E62,N$19)-MAX($D62,N$18))+IF(AND($C62=1,INDEX('城市分配'!$P$6:$P$61,MATCH($A62,'城市分配'!$B$6:$B$61,0))=4),1,0)</x:f>
        <x:v>0</x:v>
      </x:c>
      <x:c r="O62" s="40" t="n">
        <x:f>MAX(0,MIN($E62,O$19)-MAX($D62,O$18))+IF(AND($C62=1,INDEX('城市分配'!$P$6:$P$61,MATCH($A62,'城市分配'!$B$6:$B$61,0))=5),1,0)</x:f>
        <x:v>0</x:v>
      </x:c>
      <x:c r="P62" s="40" t="n">
        <x:f>MAX(0,MIN($E62,P$19)-MAX($D62,P$18))+IF(AND($C62=1,INDEX('城市分配'!$P$6:$P$61,MATCH($A62,'城市分配'!$B$6:$B$61,0))=6),1,0)</x:f>
        <x:v>0</x:v>
      </x:c>
      <x:c r="Q62" s="40" t="n">
        <x:f>MAX(0,MIN($E62,Q$19)-MAX($D62,Q$18))+IF(AND($C62=1,INDEX('城市分配'!$P$6:$P$61,MATCH($A62,'城市分配'!$B$6:$B$61,0))=7),1,0)</x:f>
        <x:v>0</x:v>
      </x:c>
      <x:c r="R62" s="40" t="n">
        <x:f>MAX(0,MIN($E62,R$19)-MAX($D62,R$18))+IF(AND($C62=1,INDEX('城市分配'!$P$6:$P$61,MATCH($A62,'城市分配'!$B$6:$B$61,0))=8),1,0)</x:f>
        <x:v>0</x:v>
      </x:c>
      <x:c r="S62" s="40" t="n">
        <x:f>MAX(0,MIN($E62,S$19)-MAX($D62,S$18))+IF(AND($C62=1,INDEX('城市分配'!$P$6:$P$61,MATCH($A62,'城市分配'!$B$6:$B$61,0))=9),1,0)</x:f>
        <x:v>0</x:v>
      </x:c>
      <x:c r="T62" s="40" t="n">
        <x:f>MAX(0,MIN($E62,T$19)-MAX($D62,T$18))+IF(AND($C62=1,INDEX('城市分配'!$P$6:$P$61,MATCH($A62,'城市分配'!$B$6:$B$61,0))=10),1,0)</x:f>
        <x:v>0</x:v>
      </x:c>
      <x:c r="U62" s="40" t="n">
        <x:f>MAX(0,MIN($E62,U$19)-MAX($D62,U$18))+IF(AND($C62=1,INDEX('城市分配'!$P$6:$P$61,MATCH($A62,'城市分配'!$B$6:$B$61,0))=11),1,0)</x:f>
        <x:v>52</x:v>
      </x:c>
      <x:c r="V62" s="40" t="n">
        <x:f>MAX(0,MIN($I62,J$21)-MAX($H62,J$20))+IF(AND($G62=1,INDEX('城市分配'!$P$6:$P$61,MATCH($A62,'城市分配'!$B$6:$B$61,0))=0),1,0)</x:f>
        <x:v>0</x:v>
      </x:c>
      <x:c r="W62" s="40" t="n">
        <x:f>MAX(0,MIN($I62,K$21)-MAX($H62,K$20))+IF(AND($G62=1,INDEX('城市分配'!$P$6:$P$61,MATCH($A62,'城市分配'!$B$6:$B$61,0))=1),1,0)</x:f>
        <x:v>0</x:v>
      </x:c>
      <x:c r="X62" s="40" t="n">
        <x:f>MAX(0,MIN($I62,L$21)-MAX($H62,L$20))+IF(AND($G62=1,INDEX('城市分配'!$P$6:$P$61,MATCH($A62,'城市分配'!$B$6:$B$61,0))=2),1,0)</x:f>
        <x:v>0</x:v>
      </x:c>
      <x:c r="Y62" s="40" t="n">
        <x:f>MAX(0,MIN($I62,M$21)-MAX($H62,M$20))+IF(AND($G62=1,INDEX('城市分配'!$P$6:$P$61,MATCH($A62,'城市分配'!$B$6:$B$61,0))=3),1,0)</x:f>
        <x:v>0</x:v>
      </x:c>
      <x:c r="Z62" s="40" t="n">
        <x:f>MAX(0,MIN($I62,N$21)-MAX($H62,N$20))+IF(AND($G62=1,INDEX('城市分配'!$P$6:$P$61,MATCH($A62,'城市分配'!$B$6:$B$61,0))=4),1,0)</x:f>
        <x:v>0</x:v>
      </x:c>
      <x:c r="AA62" s="40" t="n">
        <x:f>MAX(0,MIN($I62,O$21)-MAX($H62,O$20))+IF(AND($G62=1,INDEX('城市分配'!$P$6:$P$61,MATCH($A62,'城市分配'!$B$6:$B$61,0))=5),1,0)</x:f>
        <x:v>0</x:v>
      </x:c>
      <x:c r="AB62" s="40" t="n">
        <x:f>MAX(0,MIN($I62,P$21)-MAX($H62,P$20))+IF(AND($G62=1,INDEX('城市分配'!$P$6:$P$61,MATCH($A62,'城市分配'!$B$6:$B$61,0))=6),1,0)</x:f>
        <x:v>124</x:v>
      </x:c>
      <x:c r="AC62" s="40" t="n">
        <x:f>MAX(0,MIN($I62,Q$21)-MAX($H62,Q$20))+IF(AND($G62=1,INDEX('城市分配'!$P$6:$P$61,MATCH($A62,'城市分配'!$B$6:$B$61,0))=7),1,0)</x:f>
        <x:v>0</x:v>
      </x:c>
      <x:c r="AD62" s="40" t="n">
        <x:f>MAX(0,MIN($I62,R$21)-MAX($H62,R$20))+IF(AND($G62=1,INDEX('城市分配'!$P$6:$P$61,MATCH($A62,'城市分配'!$B$6:$B$61,0))=8),1,0)</x:f>
        <x:v>0</x:v>
      </x:c>
      <x:c r="AE62" s="40" t="n">
        <x:f>MAX(0,MIN($I62,S$21)-MAX($H62,S$20))+IF(AND($G62=1,INDEX('城市分配'!$P$6:$P$61,MATCH($A62,'城市分配'!$B$6:$B$61,0))=9),1,0)</x:f>
        <x:v>0</x:v>
      </x:c>
      <x:c r="AF62" s="40" t="n">
        <x:f>MAX(0,MIN($I62,T$21)-MAX($H62,T$20))+IF(AND($G62=1,INDEX('城市分配'!$P$6:$P$61,MATCH($A62,'城市分配'!$B$6:$B$61,0))=10),1,0)</x:f>
        <x:v>0</x:v>
      </x:c>
      <x:c r="AG62" s="40" t="n">
        <x:f>MAX(0,MIN($I62,U$21)-MAX($H62,U$20))+IF(AND($G62=1,INDEX('城市分配'!$P$6:$P$61,MATCH($A62,'城市分配'!$B$6:$B$61,0))=11),1,0)</x:f>
        <x:v>0</x:v>
      </x:c>
      <x:c r="AH62" s="40" t="n">
        <x:f>2*SUM(J62:U62)+4*SUM(V62:AG62)-INDEX('城市分配'!$J$6:$J$61,MATCH($A62,'城市分配'!$B$6:$B$61,0))</x:f>
        <x:v>0</x:v>
      </x:c>
      <x:c r="AI62" s="40" t="n">
        <x:f>IF(INDEX('城市分配'!$D$6:$D$61,MATCH($A62,'城市分配'!$B$6:$B$61,0))="是",--(SUM($J62:$O62)+SUM($V62:$AA62)&gt;0),0)</x:f>
        <x:v>0</x:v>
      </x:c>
    </x:row>
    <x:row r="63">
      <x:c r="A63" t="str">
        <x:v>潍坊</x:v>
      </x:c>
      <x:c r="B63" s="40" t="n">
        <x:f>INDEX('城市分配'!$M$6:$M$61,MATCH($A63,'城市分配'!$B$6:$B$61,0))</x:f>
        <x:v>52</x:v>
      </x:c>
      <x:c r="C63" s="40" t="n">
        <x:f>IF(AND(INDEX('城市分配'!$D$6:$D$61,MATCH($A63,'城市分配'!$B$6:$B$61,0))="是",B63&gt;0),1,0)</x:f>
        <x:v>0</x:v>
      </x:c>
      <x:c r="D63" s="37" t="n">
        <x:f>SUM($B$28:B62)-SUM($C$28:C62)</x:f>
        <x:v>3744</x:v>
      </x:c>
      <x:c r="E63" s="37" t="n">
        <x:f>D63+B63-C63</x:f>
        <x:v>3796</x:v>
      </x:c>
      <x:c r="F63" s="40" t="n">
        <x:f>INDEX('城市分配'!$L$6:$L$61,MATCH($A63,'城市分配'!$B$6:$B$61,0))</x:f>
        <x:v>124</x:v>
      </x:c>
      <x:c r="G63" s="40" t="n">
        <x:f>IF(AND(INDEX('城市分配'!$D$6:$D$61,MATCH($A63,'城市分配'!$B$6:$B$61,0))="是",F63&gt;0,B63=0),1,0)</x:f>
        <x:v>0</x:v>
      </x:c>
      <x:c r="H63" s="37" t="n">
        <x:f>SUM($F$28:F62)-SUM($G$28:G62)</x:f>
        <x:v>4165</x:v>
      </x:c>
      <x:c r="I63" s="37" t="n">
        <x:f>H63+F63-G63</x:f>
        <x:v>4289</x:v>
      </x:c>
      <x:c r="J63" s="40" t="n">
        <x:f>MAX(0,MIN($E63,J$19)-MAX($D63,J$18))+IF(AND($C63=1,INDEX('城市分配'!$P$6:$P$61,MATCH($A63,'城市分配'!$B$6:$B$61,0))=0),1,0)</x:f>
        <x:v>0</x:v>
      </x:c>
      <x:c r="K63" s="40" t="n">
        <x:f>MAX(0,MIN($E63,K$19)-MAX($D63,K$18))+IF(AND($C63=1,INDEX('城市分配'!$P$6:$P$61,MATCH($A63,'城市分配'!$B$6:$B$61,0))=1),1,0)</x:f>
        <x:v>0</x:v>
      </x:c>
      <x:c r="L63" s="40" t="n">
        <x:f>MAX(0,MIN($E63,L$19)-MAX($D63,L$18))+IF(AND($C63=1,INDEX('城市分配'!$P$6:$P$61,MATCH($A63,'城市分配'!$B$6:$B$61,0))=2),1,0)</x:f>
        <x:v>0</x:v>
      </x:c>
      <x:c r="M63" s="40" t="n">
        <x:f>MAX(0,MIN($E63,M$19)-MAX($D63,M$18))+IF(AND($C63=1,INDEX('城市分配'!$P$6:$P$61,MATCH($A63,'城市分配'!$B$6:$B$61,0))=3),1,0)</x:f>
        <x:v>0</x:v>
      </x:c>
      <x:c r="N63" s="40" t="n">
        <x:f>MAX(0,MIN($E63,N$19)-MAX($D63,N$18))+IF(AND($C63=1,INDEX('城市分配'!$P$6:$P$61,MATCH($A63,'城市分配'!$B$6:$B$61,0))=4),1,0)</x:f>
        <x:v>0</x:v>
      </x:c>
      <x:c r="O63" s="40" t="n">
        <x:f>MAX(0,MIN($E63,O$19)-MAX($D63,O$18))+IF(AND($C63=1,INDEX('城市分配'!$P$6:$P$61,MATCH($A63,'城市分配'!$B$6:$B$61,0))=5),1,0)</x:f>
        <x:v>0</x:v>
      </x:c>
      <x:c r="P63" s="40" t="n">
        <x:f>MAX(0,MIN($E63,P$19)-MAX($D63,P$18))+IF(AND($C63=1,INDEX('城市分配'!$P$6:$P$61,MATCH($A63,'城市分配'!$B$6:$B$61,0))=6),1,0)</x:f>
        <x:v>0</x:v>
      </x:c>
      <x:c r="Q63" s="40" t="n">
        <x:f>MAX(0,MIN($E63,Q$19)-MAX($D63,Q$18))+IF(AND($C63=1,INDEX('城市分配'!$P$6:$P$61,MATCH($A63,'城市分配'!$B$6:$B$61,0))=7),1,0)</x:f>
        <x:v>0</x:v>
      </x:c>
      <x:c r="R63" s="40" t="n">
        <x:f>MAX(0,MIN($E63,R$19)-MAX($D63,R$18))+IF(AND($C63=1,INDEX('城市分配'!$P$6:$P$61,MATCH($A63,'城市分配'!$B$6:$B$61,0))=8),1,0)</x:f>
        <x:v>0</x:v>
      </x:c>
      <x:c r="S63" s="40" t="n">
        <x:f>MAX(0,MIN($E63,S$19)-MAX($D63,S$18))+IF(AND($C63=1,INDEX('城市分配'!$P$6:$P$61,MATCH($A63,'城市分配'!$B$6:$B$61,0))=9),1,0)</x:f>
        <x:v>0</x:v>
      </x:c>
      <x:c r="T63" s="40" t="n">
        <x:f>MAX(0,MIN($E63,T$19)-MAX($D63,T$18))+IF(AND($C63=1,INDEX('城市分配'!$P$6:$P$61,MATCH($A63,'城市分配'!$B$6:$B$61,0))=10),1,0)</x:f>
        <x:v>0</x:v>
      </x:c>
      <x:c r="U63" s="40" t="n">
        <x:f>MAX(0,MIN($E63,U$19)-MAX($D63,U$18))+IF(AND($C63=1,INDEX('城市分配'!$P$6:$P$61,MATCH($A63,'城市分配'!$B$6:$B$61,0))=11),1,0)</x:f>
        <x:v>52</x:v>
      </x:c>
      <x:c r="V63" s="40" t="n">
        <x:f>MAX(0,MIN($I63,J$21)-MAX($H63,J$20))+IF(AND($G63=1,INDEX('城市分配'!$P$6:$P$61,MATCH($A63,'城市分配'!$B$6:$B$61,0))=0),1,0)</x:f>
        <x:v>0</x:v>
      </x:c>
      <x:c r="W63" s="40" t="n">
        <x:f>MAX(0,MIN($I63,K$21)-MAX($H63,K$20))+IF(AND($G63=1,INDEX('城市分配'!$P$6:$P$61,MATCH($A63,'城市分配'!$B$6:$B$61,0))=1),1,0)</x:f>
        <x:v>0</x:v>
      </x:c>
      <x:c r="X63" s="40" t="n">
        <x:f>MAX(0,MIN($I63,L$21)-MAX($H63,L$20))+IF(AND($G63=1,INDEX('城市分配'!$P$6:$P$61,MATCH($A63,'城市分配'!$B$6:$B$61,0))=2),1,0)</x:f>
        <x:v>0</x:v>
      </x:c>
      <x:c r="Y63" s="40" t="n">
        <x:f>MAX(0,MIN($I63,M$21)-MAX($H63,M$20))+IF(AND($G63=1,INDEX('城市分配'!$P$6:$P$61,MATCH($A63,'城市分配'!$B$6:$B$61,0))=3),1,0)</x:f>
        <x:v>0</x:v>
      </x:c>
      <x:c r="Z63" s="40" t="n">
        <x:f>MAX(0,MIN($I63,N$21)-MAX($H63,N$20))+IF(AND($G63=1,INDEX('城市分配'!$P$6:$P$61,MATCH($A63,'城市分配'!$B$6:$B$61,0))=4),1,0)</x:f>
        <x:v>0</x:v>
      </x:c>
      <x:c r="AA63" s="40" t="n">
        <x:f>MAX(0,MIN($I63,O$21)-MAX($H63,O$20))+IF(AND($G63=1,INDEX('城市分配'!$P$6:$P$61,MATCH($A63,'城市分配'!$B$6:$B$61,0))=5),1,0)</x:f>
        <x:v>0</x:v>
      </x:c>
      <x:c r="AB63" s="40" t="n">
        <x:f>MAX(0,MIN($I63,P$21)-MAX($H63,P$20))+IF(AND($G63=1,INDEX('城市分配'!$P$6:$P$61,MATCH($A63,'城市分配'!$B$6:$B$61,0))=6),1,0)</x:f>
        <x:v>21</x:v>
      </x:c>
      <x:c r="AC63" s="40" t="n">
        <x:f>MAX(0,MIN($I63,Q$21)-MAX($H63,Q$20))+IF(AND($G63=1,INDEX('城市分配'!$P$6:$P$61,MATCH($A63,'城市分配'!$B$6:$B$61,0))=7),1,0)</x:f>
        <x:v>103</x:v>
      </x:c>
      <x:c r="AD63" s="40" t="n">
        <x:f>MAX(0,MIN($I63,R$21)-MAX($H63,R$20))+IF(AND($G63=1,INDEX('城市分配'!$P$6:$P$61,MATCH($A63,'城市分配'!$B$6:$B$61,0))=8),1,0)</x:f>
        <x:v>0</x:v>
      </x:c>
      <x:c r="AE63" s="40" t="n">
        <x:f>MAX(0,MIN($I63,S$21)-MAX($H63,S$20))+IF(AND($G63=1,INDEX('城市分配'!$P$6:$P$61,MATCH($A63,'城市分配'!$B$6:$B$61,0))=9),1,0)</x:f>
        <x:v>0</x:v>
      </x:c>
      <x:c r="AF63" s="40" t="n">
        <x:f>MAX(0,MIN($I63,T$21)-MAX($H63,T$20))+IF(AND($G63=1,INDEX('城市分配'!$P$6:$P$61,MATCH($A63,'城市分配'!$B$6:$B$61,0))=10),1,0)</x:f>
        <x:v>0</x:v>
      </x:c>
      <x:c r="AG63" s="40" t="n">
        <x:f>MAX(0,MIN($I63,U$21)-MAX($H63,U$20))+IF(AND($G63=1,INDEX('城市分配'!$P$6:$P$61,MATCH($A63,'城市分配'!$B$6:$B$61,0))=11),1,0)</x:f>
        <x:v>0</x:v>
      </x:c>
      <x:c r="AH63" s="40" t="n">
        <x:f>2*SUM(J63:U63)+4*SUM(V63:AG63)-INDEX('城市分配'!$J$6:$J$61,MATCH($A63,'城市分配'!$B$6:$B$61,0))</x:f>
        <x:v>0</x:v>
      </x:c>
      <x:c r="AI63" s="40" t="n">
        <x:f>IF(INDEX('城市分配'!$D$6:$D$61,MATCH($A63,'城市分配'!$B$6:$B$61,0))="是",--(SUM($J63:$O63)+SUM($V63:$AA63)&gt;0),0)</x:f>
        <x:v>0</x:v>
      </x:c>
    </x:row>
    <x:row r="64">
      <x:c r="A64" t="str">
        <x:v>沈阳</x:v>
      </x:c>
      <x:c r="B64" s="40" t="n">
        <x:f>INDEX('城市分配'!$M$6:$M$61,MATCH($A64,'城市分配'!$B$6:$B$61,0))</x:f>
        <x:v>52</x:v>
      </x:c>
      <x:c r="C64" s="40" t="n">
        <x:f>IF(AND(INDEX('城市分配'!$D$6:$D$61,MATCH($A64,'城市分配'!$B$6:$B$61,0))="是",B64&gt;0),1,0)</x:f>
        <x:v>0</x:v>
      </x:c>
      <x:c r="D64" s="37" t="n">
        <x:f>SUM($B$28:B63)-SUM($C$28:C63)</x:f>
        <x:v>3796</x:v>
      </x:c>
      <x:c r="E64" s="37" t="n">
        <x:f>D64+B64-C64</x:f>
        <x:v>3848</x:v>
      </x:c>
      <x:c r="F64" s="40" t="n">
        <x:f>INDEX('城市分配'!$L$6:$L$61,MATCH($A64,'城市分配'!$B$6:$B$61,0))</x:f>
        <x:v>124</x:v>
      </x:c>
      <x:c r="G64" s="40" t="n">
        <x:f>IF(AND(INDEX('城市分配'!$D$6:$D$61,MATCH($A64,'城市分配'!$B$6:$B$61,0))="是",F64&gt;0,B64=0),1,0)</x:f>
        <x:v>0</x:v>
      </x:c>
      <x:c r="H64" s="37" t="n">
        <x:f>SUM($F$28:F63)-SUM($G$28:G63)</x:f>
        <x:v>4289</x:v>
      </x:c>
      <x:c r="I64" s="37" t="n">
        <x:f>H64+F64-G64</x:f>
        <x:v>4413</x:v>
      </x:c>
      <x:c r="J64" s="40" t="n">
        <x:f>MAX(0,MIN($E64,J$19)-MAX($D64,J$18))+IF(AND($C64=1,INDEX('城市分配'!$P$6:$P$61,MATCH($A64,'城市分配'!$B$6:$B$61,0))=0),1,0)</x:f>
        <x:v>0</x:v>
      </x:c>
      <x:c r="K64" s="40" t="n">
        <x:f>MAX(0,MIN($E64,K$19)-MAX($D64,K$18))+IF(AND($C64=1,INDEX('城市分配'!$P$6:$P$61,MATCH($A64,'城市分配'!$B$6:$B$61,0))=1),1,0)</x:f>
        <x:v>0</x:v>
      </x:c>
      <x:c r="L64" s="40" t="n">
        <x:f>MAX(0,MIN($E64,L$19)-MAX($D64,L$18))+IF(AND($C64=1,INDEX('城市分配'!$P$6:$P$61,MATCH($A64,'城市分配'!$B$6:$B$61,0))=2),1,0)</x:f>
        <x:v>0</x:v>
      </x:c>
      <x:c r="M64" s="40" t="n">
        <x:f>MAX(0,MIN($E64,M$19)-MAX($D64,M$18))+IF(AND($C64=1,INDEX('城市分配'!$P$6:$P$61,MATCH($A64,'城市分配'!$B$6:$B$61,0))=3),1,0)</x:f>
        <x:v>0</x:v>
      </x:c>
      <x:c r="N64" s="40" t="n">
        <x:f>MAX(0,MIN($E64,N$19)-MAX($D64,N$18))+IF(AND($C64=1,INDEX('城市分配'!$P$6:$P$61,MATCH($A64,'城市分配'!$B$6:$B$61,0))=4),1,0)</x:f>
        <x:v>0</x:v>
      </x:c>
      <x:c r="O64" s="40" t="n">
        <x:f>MAX(0,MIN($E64,O$19)-MAX($D64,O$18))+IF(AND($C64=1,INDEX('城市分配'!$P$6:$P$61,MATCH($A64,'城市分配'!$B$6:$B$61,0))=5),1,0)</x:f>
        <x:v>0</x:v>
      </x:c>
      <x:c r="P64" s="40" t="n">
        <x:f>MAX(0,MIN($E64,P$19)-MAX($D64,P$18))+IF(AND($C64=1,INDEX('城市分配'!$P$6:$P$61,MATCH($A64,'城市分配'!$B$6:$B$61,0))=6),1,0)</x:f>
        <x:v>0</x:v>
      </x:c>
      <x:c r="Q64" s="40" t="n">
        <x:f>MAX(0,MIN($E64,Q$19)-MAX($D64,Q$18))+IF(AND($C64=1,INDEX('城市分配'!$P$6:$P$61,MATCH($A64,'城市分配'!$B$6:$B$61,0))=7),1,0)</x:f>
        <x:v>0</x:v>
      </x:c>
      <x:c r="R64" s="40" t="n">
        <x:f>MAX(0,MIN($E64,R$19)-MAX($D64,R$18))+IF(AND($C64=1,INDEX('城市分配'!$P$6:$P$61,MATCH($A64,'城市分配'!$B$6:$B$61,0))=8),1,0)</x:f>
        <x:v>0</x:v>
      </x:c>
      <x:c r="S64" s="40" t="n">
        <x:f>MAX(0,MIN($E64,S$19)-MAX($D64,S$18))+IF(AND($C64=1,INDEX('城市分配'!$P$6:$P$61,MATCH($A64,'城市分配'!$B$6:$B$61,0))=9),1,0)</x:f>
        <x:v>0</x:v>
      </x:c>
      <x:c r="T64" s="40" t="n">
        <x:f>MAX(0,MIN($E64,T$19)-MAX($D64,T$18))+IF(AND($C64=1,INDEX('城市分配'!$P$6:$P$61,MATCH($A64,'城市分配'!$B$6:$B$61,0))=10),1,0)</x:f>
        <x:v>0</x:v>
      </x:c>
      <x:c r="U64" s="40" t="n">
        <x:f>MAX(0,MIN($E64,U$19)-MAX($D64,U$18))+IF(AND($C64=1,INDEX('城市分配'!$P$6:$P$61,MATCH($A64,'城市分配'!$B$6:$B$61,0))=11),1,0)</x:f>
        <x:v>52</x:v>
      </x:c>
      <x:c r="V64" s="40" t="n">
        <x:f>MAX(0,MIN($I64,J$21)-MAX($H64,J$20))+IF(AND($G64=1,INDEX('城市分配'!$P$6:$P$61,MATCH($A64,'城市分配'!$B$6:$B$61,0))=0),1,0)</x:f>
        <x:v>0</x:v>
      </x:c>
      <x:c r="W64" s="40" t="n">
        <x:f>MAX(0,MIN($I64,K$21)-MAX($H64,K$20))+IF(AND($G64=1,INDEX('城市分配'!$P$6:$P$61,MATCH($A64,'城市分配'!$B$6:$B$61,0))=1),1,0)</x:f>
        <x:v>0</x:v>
      </x:c>
      <x:c r="X64" s="40" t="n">
        <x:f>MAX(0,MIN($I64,L$21)-MAX($H64,L$20))+IF(AND($G64=1,INDEX('城市分配'!$P$6:$P$61,MATCH($A64,'城市分配'!$B$6:$B$61,0))=2),1,0)</x:f>
        <x:v>0</x:v>
      </x:c>
      <x:c r="Y64" s="40" t="n">
        <x:f>MAX(0,MIN($I64,M$21)-MAX($H64,M$20))+IF(AND($G64=1,INDEX('城市分配'!$P$6:$P$61,MATCH($A64,'城市分配'!$B$6:$B$61,0))=3),1,0)</x:f>
        <x:v>0</x:v>
      </x:c>
      <x:c r="Z64" s="40" t="n">
        <x:f>MAX(0,MIN($I64,N$21)-MAX($H64,N$20))+IF(AND($G64=1,INDEX('城市分配'!$P$6:$P$61,MATCH($A64,'城市分配'!$B$6:$B$61,0))=4),1,0)</x:f>
        <x:v>0</x:v>
      </x:c>
      <x:c r="AA64" s="40" t="n">
        <x:f>MAX(0,MIN($I64,O$21)-MAX($H64,O$20))+IF(AND($G64=1,INDEX('城市分配'!$P$6:$P$61,MATCH($A64,'城市分配'!$B$6:$B$61,0))=5),1,0)</x:f>
        <x:v>0</x:v>
      </x:c>
      <x:c r="AB64" s="40" t="n">
        <x:f>MAX(0,MIN($I64,P$21)-MAX($H64,P$20))+IF(AND($G64=1,INDEX('城市分配'!$P$6:$P$61,MATCH($A64,'城市分配'!$B$6:$B$61,0))=6),1,0)</x:f>
        <x:v>0</x:v>
      </x:c>
      <x:c r="AC64" s="40" t="n">
        <x:f>MAX(0,MIN($I64,Q$21)-MAX($H64,Q$20))+IF(AND($G64=1,INDEX('城市分配'!$P$6:$P$61,MATCH($A64,'城市分配'!$B$6:$B$61,0))=7),1,0)</x:f>
        <x:v>124</x:v>
      </x:c>
      <x:c r="AD64" s="40" t="n">
        <x:f>MAX(0,MIN($I64,R$21)-MAX($H64,R$20))+IF(AND($G64=1,INDEX('城市分配'!$P$6:$P$61,MATCH($A64,'城市分配'!$B$6:$B$61,0))=8),1,0)</x:f>
        <x:v>0</x:v>
      </x:c>
      <x:c r="AE64" s="40" t="n">
        <x:f>MAX(0,MIN($I64,S$21)-MAX($H64,S$20))+IF(AND($G64=1,INDEX('城市分配'!$P$6:$P$61,MATCH($A64,'城市分配'!$B$6:$B$61,0))=9),1,0)</x:f>
        <x:v>0</x:v>
      </x:c>
      <x:c r="AF64" s="40" t="n">
        <x:f>MAX(0,MIN($I64,T$21)-MAX($H64,T$20))+IF(AND($G64=1,INDEX('城市分配'!$P$6:$P$61,MATCH($A64,'城市分配'!$B$6:$B$61,0))=10),1,0)</x:f>
        <x:v>0</x:v>
      </x:c>
      <x:c r="AG64" s="40" t="n">
        <x:f>MAX(0,MIN($I64,U$21)-MAX($H64,U$20))+IF(AND($G64=1,INDEX('城市分配'!$P$6:$P$61,MATCH($A64,'城市分配'!$B$6:$B$61,0))=11),1,0)</x:f>
        <x:v>0</x:v>
      </x:c>
      <x:c r="AH64" s="40" t="n">
        <x:f>2*SUM(J64:U64)+4*SUM(V64:AG64)-INDEX('城市分配'!$J$6:$J$61,MATCH($A64,'城市分配'!$B$6:$B$61,0))</x:f>
        <x:v>0</x:v>
      </x:c>
      <x:c r="AI64" s="40" t="n">
        <x:f>IF(INDEX('城市分配'!$D$6:$D$61,MATCH($A64,'城市分配'!$B$6:$B$61,0))="是",--(SUM($J64:$O64)+SUM($V64:$AA64)&gt;0),0)</x:f>
        <x:v>0</x:v>
      </x:c>
    </x:row>
    <x:row r="65">
      <x:c r="A65" t="str">
        <x:v>温州</x:v>
      </x:c>
      <x:c r="B65" s="40" t="n">
        <x:f>INDEX('城市分配'!$M$6:$M$61,MATCH($A65,'城市分配'!$B$6:$B$61,0))</x:f>
        <x:v>52</x:v>
      </x:c>
      <x:c r="C65" s="40" t="n">
        <x:f>IF(AND(INDEX('城市分配'!$D$6:$D$61,MATCH($A65,'城市分配'!$B$6:$B$61,0))="是",B65&gt;0),1,0)</x:f>
        <x:v>0</x:v>
      </x:c>
      <x:c r="D65" s="37" t="n">
        <x:f>SUM($B$28:B64)-SUM($C$28:C64)</x:f>
        <x:v>3848</x:v>
      </x:c>
      <x:c r="E65" s="37" t="n">
        <x:f>D65+B65-C65</x:f>
        <x:v>3900</x:v>
      </x:c>
      <x:c r="F65" s="40" t="n">
        <x:f>INDEX('城市分配'!$L$6:$L$61,MATCH($A65,'城市分配'!$B$6:$B$61,0))</x:f>
        <x:v>124</x:v>
      </x:c>
      <x:c r="G65" s="40" t="n">
        <x:f>IF(AND(INDEX('城市分配'!$D$6:$D$61,MATCH($A65,'城市分配'!$B$6:$B$61,0))="是",F65&gt;0,B65=0),1,0)</x:f>
        <x:v>0</x:v>
      </x:c>
      <x:c r="H65" s="37" t="n">
        <x:f>SUM($F$28:F64)-SUM($G$28:G64)</x:f>
        <x:v>4413</x:v>
      </x:c>
      <x:c r="I65" s="37" t="n">
        <x:f>H65+F65-G65</x:f>
        <x:v>4537</x:v>
      </x:c>
      <x:c r="J65" s="40" t="n">
        <x:f>MAX(0,MIN($E65,J$19)-MAX($D65,J$18))+IF(AND($C65=1,INDEX('城市分配'!$P$6:$P$61,MATCH($A65,'城市分配'!$B$6:$B$61,0))=0),1,0)</x:f>
        <x:v>0</x:v>
      </x:c>
      <x:c r="K65" s="40" t="n">
        <x:f>MAX(0,MIN($E65,K$19)-MAX($D65,K$18))+IF(AND($C65=1,INDEX('城市分配'!$P$6:$P$61,MATCH($A65,'城市分配'!$B$6:$B$61,0))=1),1,0)</x:f>
        <x:v>0</x:v>
      </x:c>
      <x:c r="L65" s="40" t="n">
        <x:f>MAX(0,MIN($E65,L$19)-MAX($D65,L$18))+IF(AND($C65=1,INDEX('城市分配'!$P$6:$P$61,MATCH($A65,'城市分配'!$B$6:$B$61,0))=2),1,0)</x:f>
        <x:v>0</x:v>
      </x:c>
      <x:c r="M65" s="40" t="n">
        <x:f>MAX(0,MIN($E65,M$19)-MAX($D65,M$18))+IF(AND($C65=1,INDEX('城市分配'!$P$6:$P$61,MATCH($A65,'城市分配'!$B$6:$B$61,0))=3),1,0)</x:f>
        <x:v>0</x:v>
      </x:c>
      <x:c r="N65" s="40" t="n">
        <x:f>MAX(0,MIN($E65,N$19)-MAX($D65,N$18))+IF(AND($C65=1,INDEX('城市分配'!$P$6:$P$61,MATCH($A65,'城市分配'!$B$6:$B$61,0))=4),1,0)</x:f>
        <x:v>0</x:v>
      </x:c>
      <x:c r="O65" s="40" t="n">
        <x:f>MAX(0,MIN($E65,O$19)-MAX($D65,O$18))+IF(AND($C65=1,INDEX('城市分配'!$P$6:$P$61,MATCH($A65,'城市分配'!$B$6:$B$61,0))=5),1,0)</x:f>
        <x:v>0</x:v>
      </x:c>
      <x:c r="P65" s="40" t="n">
        <x:f>MAX(0,MIN($E65,P$19)-MAX($D65,P$18))+IF(AND($C65=1,INDEX('城市分配'!$P$6:$P$61,MATCH($A65,'城市分配'!$B$6:$B$61,0))=6),1,0)</x:f>
        <x:v>0</x:v>
      </x:c>
      <x:c r="Q65" s="40" t="n">
        <x:f>MAX(0,MIN($E65,Q$19)-MAX($D65,Q$18))+IF(AND($C65=1,INDEX('城市分配'!$P$6:$P$61,MATCH($A65,'城市分配'!$B$6:$B$61,0))=7),1,0)</x:f>
        <x:v>0</x:v>
      </x:c>
      <x:c r="R65" s="40" t="n">
        <x:f>MAX(0,MIN($E65,R$19)-MAX($D65,R$18))+IF(AND($C65=1,INDEX('城市分配'!$P$6:$P$61,MATCH($A65,'城市分配'!$B$6:$B$61,0))=8),1,0)</x:f>
        <x:v>0</x:v>
      </x:c>
      <x:c r="S65" s="40" t="n">
        <x:f>MAX(0,MIN($E65,S$19)-MAX($D65,S$18))+IF(AND($C65=1,INDEX('城市分配'!$P$6:$P$61,MATCH($A65,'城市分配'!$B$6:$B$61,0))=9),1,0)</x:f>
        <x:v>0</x:v>
      </x:c>
      <x:c r="T65" s="40" t="n">
        <x:f>MAX(0,MIN($E65,T$19)-MAX($D65,T$18))+IF(AND($C65=1,INDEX('城市分配'!$P$6:$P$61,MATCH($A65,'城市分配'!$B$6:$B$61,0))=10),1,0)</x:f>
        <x:v>0</x:v>
      </x:c>
      <x:c r="U65" s="40" t="n">
        <x:f>MAX(0,MIN($E65,U$19)-MAX($D65,U$18))+IF(AND($C65=1,INDEX('城市分配'!$P$6:$P$61,MATCH($A65,'城市分配'!$B$6:$B$61,0))=11),1,0)</x:f>
        <x:v>52</x:v>
      </x:c>
      <x:c r="V65" s="40" t="n">
        <x:f>MAX(0,MIN($I65,J$21)-MAX($H65,J$20))+IF(AND($G65=1,INDEX('城市分配'!$P$6:$P$61,MATCH($A65,'城市分配'!$B$6:$B$61,0))=0),1,0)</x:f>
        <x:v>0</x:v>
      </x:c>
      <x:c r="W65" s="40" t="n">
        <x:f>MAX(0,MIN($I65,K$21)-MAX($H65,K$20))+IF(AND($G65=1,INDEX('城市分配'!$P$6:$P$61,MATCH($A65,'城市分配'!$B$6:$B$61,0))=1),1,0)</x:f>
        <x:v>0</x:v>
      </x:c>
      <x:c r="X65" s="40" t="n">
        <x:f>MAX(0,MIN($I65,L$21)-MAX($H65,L$20))+IF(AND($G65=1,INDEX('城市分配'!$P$6:$P$61,MATCH($A65,'城市分配'!$B$6:$B$61,0))=2),1,0)</x:f>
        <x:v>0</x:v>
      </x:c>
      <x:c r="Y65" s="40" t="n">
        <x:f>MAX(0,MIN($I65,M$21)-MAX($H65,M$20))+IF(AND($G65=1,INDEX('城市分配'!$P$6:$P$61,MATCH($A65,'城市分配'!$B$6:$B$61,0))=3),1,0)</x:f>
        <x:v>0</x:v>
      </x:c>
      <x:c r="Z65" s="40" t="n">
        <x:f>MAX(0,MIN($I65,N$21)-MAX($H65,N$20))+IF(AND($G65=1,INDEX('城市分配'!$P$6:$P$61,MATCH($A65,'城市分配'!$B$6:$B$61,0))=4),1,0)</x:f>
        <x:v>0</x:v>
      </x:c>
      <x:c r="AA65" s="40" t="n">
        <x:f>MAX(0,MIN($I65,O$21)-MAX($H65,O$20))+IF(AND($G65=1,INDEX('城市分配'!$P$6:$P$61,MATCH($A65,'城市分配'!$B$6:$B$61,0))=5),1,0)</x:f>
        <x:v>0</x:v>
      </x:c>
      <x:c r="AB65" s="40" t="n">
        <x:f>MAX(0,MIN($I65,P$21)-MAX($H65,P$20))+IF(AND($G65=1,INDEX('城市分配'!$P$6:$P$61,MATCH($A65,'城市分配'!$B$6:$B$61,0))=6),1,0)</x:f>
        <x:v>0</x:v>
      </x:c>
      <x:c r="AC65" s="40" t="n">
        <x:f>MAX(0,MIN($I65,Q$21)-MAX($H65,Q$20))+IF(AND($G65=1,INDEX('城市分配'!$P$6:$P$61,MATCH($A65,'城市分配'!$B$6:$B$61,0))=7),1,0)</x:f>
        <x:v>124</x:v>
      </x:c>
      <x:c r="AD65" s="40" t="n">
        <x:f>MAX(0,MIN($I65,R$21)-MAX($H65,R$20))+IF(AND($G65=1,INDEX('城市分配'!$P$6:$P$61,MATCH($A65,'城市分配'!$B$6:$B$61,0))=8),1,0)</x:f>
        <x:v>0</x:v>
      </x:c>
      <x:c r="AE65" s="40" t="n">
        <x:f>MAX(0,MIN($I65,S$21)-MAX($H65,S$20))+IF(AND($G65=1,INDEX('城市分配'!$P$6:$P$61,MATCH($A65,'城市分配'!$B$6:$B$61,0))=9),1,0)</x:f>
        <x:v>0</x:v>
      </x:c>
      <x:c r="AF65" s="40" t="n">
        <x:f>MAX(0,MIN($I65,T$21)-MAX($H65,T$20))+IF(AND($G65=1,INDEX('城市分配'!$P$6:$P$61,MATCH($A65,'城市分配'!$B$6:$B$61,0))=10),1,0)</x:f>
        <x:v>0</x:v>
      </x:c>
      <x:c r="AG65" s="40" t="n">
        <x:f>MAX(0,MIN($I65,U$21)-MAX($H65,U$20))+IF(AND($G65=1,INDEX('城市分配'!$P$6:$P$61,MATCH($A65,'城市分配'!$B$6:$B$61,0))=11),1,0)</x:f>
        <x:v>0</x:v>
      </x:c>
      <x:c r="AH65" s="40" t="n">
        <x:f>2*SUM(J65:U65)+4*SUM(V65:AG65)-INDEX('城市分配'!$J$6:$J$61,MATCH($A65,'城市分配'!$B$6:$B$61,0))</x:f>
        <x:v>0</x:v>
      </x:c>
      <x:c r="AI65" s="40" t="n">
        <x:f>IF(INDEX('城市分配'!$D$6:$D$61,MATCH($A65,'城市分配'!$B$6:$B$61,0))="是",--(SUM($J65:$O65)+SUM($V65:$AA65)&gt;0),0)</x:f>
        <x:v>0</x:v>
      </x:c>
    </x:row>
    <x:row r="66">
      <x:c r="A66" t="str">
        <x:v>保定</x:v>
      </x:c>
      <x:c r="B66" s="40" t="n">
        <x:f>INDEX('城市分配'!$M$6:$M$61,MATCH($A66,'城市分配'!$B$6:$B$61,0))</x:f>
        <x:v>52</x:v>
      </x:c>
      <x:c r="C66" s="40" t="n">
        <x:f>IF(AND(INDEX('城市分配'!$D$6:$D$61,MATCH($A66,'城市分配'!$B$6:$B$61,0))="是",B66&gt;0),1,0)</x:f>
        <x:v>0</x:v>
      </x:c>
      <x:c r="D66" s="37" t="n">
        <x:f>SUM($B$28:B65)-SUM($C$28:C65)</x:f>
        <x:v>3900</x:v>
      </x:c>
      <x:c r="E66" s="37" t="n">
        <x:f>D66+B66-C66</x:f>
        <x:v>3952</x:v>
      </x:c>
      <x:c r="F66" s="40" t="n">
        <x:f>INDEX('城市分配'!$L$6:$L$61,MATCH($A66,'城市分配'!$B$6:$B$61,0))</x:f>
        <x:v>124</x:v>
      </x:c>
      <x:c r="G66" s="40" t="n">
        <x:f>IF(AND(INDEX('城市分配'!$D$6:$D$61,MATCH($A66,'城市分配'!$B$6:$B$61,0))="是",F66&gt;0,B66=0),1,0)</x:f>
        <x:v>0</x:v>
      </x:c>
      <x:c r="H66" s="37" t="n">
        <x:f>SUM($F$28:F65)-SUM($G$28:G65)</x:f>
        <x:v>4537</x:v>
      </x:c>
      <x:c r="I66" s="37" t="n">
        <x:f>H66+F66-G66</x:f>
        <x:v>4661</x:v>
      </x:c>
      <x:c r="J66" s="40" t="n">
        <x:f>MAX(0,MIN($E66,J$19)-MAX($D66,J$18))+IF(AND($C66=1,INDEX('城市分配'!$P$6:$P$61,MATCH($A66,'城市分配'!$B$6:$B$61,0))=0),1,0)</x:f>
        <x:v>0</x:v>
      </x:c>
      <x:c r="K66" s="40" t="n">
        <x:f>MAX(0,MIN($E66,K$19)-MAX($D66,K$18))+IF(AND($C66=1,INDEX('城市分配'!$P$6:$P$61,MATCH($A66,'城市分配'!$B$6:$B$61,0))=1),1,0)</x:f>
        <x:v>0</x:v>
      </x:c>
      <x:c r="L66" s="40" t="n">
        <x:f>MAX(0,MIN($E66,L$19)-MAX($D66,L$18))+IF(AND($C66=1,INDEX('城市分配'!$P$6:$P$61,MATCH($A66,'城市分配'!$B$6:$B$61,0))=2),1,0)</x:f>
        <x:v>0</x:v>
      </x:c>
      <x:c r="M66" s="40" t="n">
        <x:f>MAX(0,MIN($E66,M$19)-MAX($D66,M$18))+IF(AND($C66=1,INDEX('城市分配'!$P$6:$P$61,MATCH($A66,'城市分配'!$B$6:$B$61,0))=3),1,0)</x:f>
        <x:v>0</x:v>
      </x:c>
      <x:c r="N66" s="40" t="n">
        <x:f>MAX(0,MIN($E66,N$19)-MAX($D66,N$18))+IF(AND($C66=1,INDEX('城市分配'!$P$6:$P$61,MATCH($A66,'城市分配'!$B$6:$B$61,0))=4),1,0)</x:f>
        <x:v>0</x:v>
      </x:c>
      <x:c r="O66" s="40" t="n">
        <x:f>MAX(0,MIN($E66,O$19)-MAX($D66,O$18))+IF(AND($C66=1,INDEX('城市分配'!$P$6:$P$61,MATCH($A66,'城市分配'!$B$6:$B$61,0))=5),1,0)</x:f>
        <x:v>0</x:v>
      </x:c>
      <x:c r="P66" s="40" t="n">
        <x:f>MAX(0,MIN($E66,P$19)-MAX($D66,P$18))+IF(AND($C66=1,INDEX('城市分配'!$P$6:$P$61,MATCH($A66,'城市分配'!$B$6:$B$61,0))=6),1,0)</x:f>
        <x:v>0</x:v>
      </x:c>
      <x:c r="Q66" s="40" t="n">
        <x:f>MAX(0,MIN($E66,Q$19)-MAX($D66,Q$18))+IF(AND($C66=1,INDEX('城市分配'!$P$6:$P$61,MATCH($A66,'城市分配'!$B$6:$B$61,0))=7),1,0)</x:f>
        <x:v>0</x:v>
      </x:c>
      <x:c r="R66" s="40" t="n">
        <x:f>MAX(0,MIN($E66,R$19)-MAX($D66,R$18))+IF(AND($C66=1,INDEX('城市分配'!$P$6:$P$61,MATCH($A66,'城市分配'!$B$6:$B$61,0))=8),1,0)</x:f>
        <x:v>0</x:v>
      </x:c>
      <x:c r="S66" s="40" t="n">
        <x:f>MAX(0,MIN($E66,S$19)-MAX($D66,S$18))+IF(AND($C66=1,INDEX('城市分配'!$P$6:$P$61,MATCH($A66,'城市分配'!$B$6:$B$61,0))=9),1,0)</x:f>
        <x:v>0</x:v>
      </x:c>
      <x:c r="T66" s="40" t="n">
        <x:f>MAX(0,MIN($E66,T$19)-MAX($D66,T$18))+IF(AND($C66=1,INDEX('城市分配'!$P$6:$P$61,MATCH($A66,'城市分配'!$B$6:$B$61,0))=10),1,0)</x:f>
        <x:v>0</x:v>
      </x:c>
      <x:c r="U66" s="40" t="n">
        <x:f>MAX(0,MIN($E66,U$19)-MAX($D66,U$18))+IF(AND($C66=1,INDEX('城市分配'!$P$6:$P$61,MATCH($A66,'城市分配'!$B$6:$B$61,0))=11),1,0)</x:f>
        <x:v>52</x:v>
      </x:c>
      <x:c r="V66" s="40" t="n">
        <x:f>MAX(0,MIN($I66,J$21)-MAX($H66,J$20))+IF(AND($G66=1,INDEX('城市分配'!$P$6:$P$61,MATCH($A66,'城市分配'!$B$6:$B$61,0))=0),1,0)</x:f>
        <x:v>0</x:v>
      </x:c>
      <x:c r="W66" s="40" t="n">
        <x:f>MAX(0,MIN($I66,K$21)-MAX($H66,K$20))+IF(AND($G66=1,INDEX('城市分配'!$P$6:$P$61,MATCH($A66,'城市分配'!$B$6:$B$61,0))=1),1,0)</x:f>
        <x:v>0</x:v>
      </x:c>
      <x:c r="X66" s="40" t="n">
        <x:f>MAX(0,MIN($I66,L$21)-MAX($H66,L$20))+IF(AND($G66=1,INDEX('城市分配'!$P$6:$P$61,MATCH($A66,'城市分配'!$B$6:$B$61,0))=2),1,0)</x:f>
        <x:v>0</x:v>
      </x:c>
      <x:c r="Y66" s="40" t="n">
        <x:f>MAX(0,MIN($I66,M$21)-MAX($H66,M$20))+IF(AND($G66=1,INDEX('城市分配'!$P$6:$P$61,MATCH($A66,'城市分配'!$B$6:$B$61,0))=3),1,0)</x:f>
        <x:v>0</x:v>
      </x:c>
      <x:c r="Z66" s="40" t="n">
        <x:f>MAX(0,MIN($I66,N$21)-MAX($H66,N$20))+IF(AND($G66=1,INDEX('城市分配'!$P$6:$P$61,MATCH($A66,'城市分配'!$B$6:$B$61,0))=4),1,0)</x:f>
        <x:v>0</x:v>
      </x:c>
      <x:c r="AA66" s="40" t="n">
        <x:f>MAX(0,MIN($I66,O$21)-MAX($H66,O$20))+IF(AND($G66=1,INDEX('城市分配'!$P$6:$P$61,MATCH($A66,'城市分配'!$B$6:$B$61,0))=5),1,0)</x:f>
        <x:v>0</x:v>
      </x:c>
      <x:c r="AB66" s="40" t="n">
        <x:f>MAX(0,MIN($I66,P$21)-MAX($H66,P$20))+IF(AND($G66=1,INDEX('城市分配'!$P$6:$P$61,MATCH($A66,'城市分配'!$B$6:$B$61,0))=6),1,0)</x:f>
        <x:v>0</x:v>
      </x:c>
      <x:c r="AC66" s="40" t="n">
        <x:f>MAX(0,MIN($I66,Q$21)-MAX($H66,Q$20))+IF(AND($G66=1,INDEX('城市分配'!$P$6:$P$61,MATCH($A66,'城市分配'!$B$6:$B$61,0))=7),1,0)</x:f>
        <x:v>124</x:v>
      </x:c>
      <x:c r="AD66" s="40" t="n">
        <x:f>MAX(0,MIN($I66,R$21)-MAX($H66,R$20))+IF(AND($G66=1,INDEX('城市分配'!$P$6:$P$61,MATCH($A66,'城市分配'!$B$6:$B$61,0))=8),1,0)</x:f>
        <x:v>0</x:v>
      </x:c>
      <x:c r="AE66" s="40" t="n">
        <x:f>MAX(0,MIN($I66,S$21)-MAX($H66,S$20))+IF(AND($G66=1,INDEX('城市分配'!$P$6:$P$61,MATCH($A66,'城市分配'!$B$6:$B$61,0))=9),1,0)</x:f>
        <x:v>0</x:v>
      </x:c>
      <x:c r="AF66" s="40" t="n">
        <x:f>MAX(0,MIN($I66,T$21)-MAX($H66,T$20))+IF(AND($G66=1,INDEX('城市分配'!$P$6:$P$61,MATCH($A66,'城市分配'!$B$6:$B$61,0))=10),1,0)</x:f>
        <x:v>0</x:v>
      </x:c>
      <x:c r="AG66" s="40" t="n">
        <x:f>MAX(0,MIN($I66,U$21)-MAX($H66,U$20))+IF(AND($G66=1,INDEX('城市分配'!$P$6:$P$61,MATCH($A66,'城市分配'!$B$6:$B$61,0))=11),1,0)</x:f>
        <x:v>0</x:v>
      </x:c>
      <x:c r="AH66" s="40" t="n">
        <x:f>2*SUM(J66:U66)+4*SUM(V66:AG66)-INDEX('城市分配'!$J$6:$J$61,MATCH($A66,'城市分配'!$B$6:$B$61,0))</x:f>
        <x:v>0</x:v>
      </x:c>
      <x:c r="AI66" s="40" t="n">
        <x:f>IF(INDEX('城市分配'!$D$6:$D$61,MATCH($A66,'城市分配'!$B$6:$B$61,0))="是",--(SUM($J66:$O66)+SUM($V66:$AA66)&gt;0),0)</x:f>
        <x:v>0</x:v>
      </x:c>
    </x:row>
    <x:row r="67">
      <x:c r="A67" t="str">
        <x:v>临沂</x:v>
      </x:c>
      <x:c r="B67" s="40" t="n">
        <x:f>INDEX('城市分配'!$M$6:$M$61,MATCH($A67,'城市分配'!$B$6:$B$61,0))</x:f>
        <x:v>52</x:v>
      </x:c>
      <x:c r="C67" s="40" t="n">
        <x:f>IF(AND(INDEX('城市分配'!$D$6:$D$61,MATCH($A67,'城市分配'!$B$6:$B$61,0))="是",B67&gt;0),1,0)</x:f>
        <x:v>0</x:v>
      </x:c>
      <x:c r="D67" s="37" t="n">
        <x:f>SUM($B$28:B66)-SUM($C$28:C66)</x:f>
        <x:v>3952</x:v>
      </x:c>
      <x:c r="E67" s="37" t="n">
        <x:f>D67+B67-C67</x:f>
        <x:v>4004</x:v>
      </x:c>
      <x:c r="F67" s="40" t="n">
        <x:f>INDEX('城市分配'!$L$6:$L$61,MATCH($A67,'城市分配'!$B$6:$B$61,0))</x:f>
        <x:v>124</x:v>
      </x:c>
      <x:c r="G67" s="40" t="n">
        <x:f>IF(AND(INDEX('城市分配'!$D$6:$D$61,MATCH($A67,'城市分配'!$B$6:$B$61,0))="是",F67&gt;0,B67=0),1,0)</x:f>
        <x:v>0</x:v>
      </x:c>
      <x:c r="H67" s="37" t="n">
        <x:f>SUM($F$28:F66)-SUM($G$28:G66)</x:f>
        <x:v>4661</x:v>
      </x:c>
      <x:c r="I67" s="37" t="n">
        <x:f>H67+F67-G67</x:f>
        <x:v>4785</x:v>
      </x:c>
      <x:c r="J67" s="40" t="n">
        <x:f>MAX(0,MIN($E67,J$19)-MAX($D67,J$18))+IF(AND($C67=1,INDEX('城市分配'!$P$6:$P$61,MATCH($A67,'城市分配'!$B$6:$B$61,0))=0),1,0)</x:f>
        <x:v>0</x:v>
      </x:c>
      <x:c r="K67" s="40" t="n">
        <x:f>MAX(0,MIN($E67,K$19)-MAX($D67,K$18))+IF(AND($C67=1,INDEX('城市分配'!$P$6:$P$61,MATCH($A67,'城市分配'!$B$6:$B$61,0))=1),1,0)</x:f>
        <x:v>0</x:v>
      </x:c>
      <x:c r="L67" s="40" t="n">
        <x:f>MAX(0,MIN($E67,L$19)-MAX($D67,L$18))+IF(AND($C67=1,INDEX('城市分配'!$P$6:$P$61,MATCH($A67,'城市分配'!$B$6:$B$61,0))=2),1,0)</x:f>
        <x:v>0</x:v>
      </x:c>
      <x:c r="M67" s="40" t="n">
        <x:f>MAX(0,MIN($E67,M$19)-MAX($D67,M$18))+IF(AND($C67=1,INDEX('城市分配'!$P$6:$P$61,MATCH($A67,'城市分配'!$B$6:$B$61,0))=3),1,0)</x:f>
        <x:v>0</x:v>
      </x:c>
      <x:c r="N67" s="40" t="n">
        <x:f>MAX(0,MIN($E67,N$19)-MAX($D67,N$18))+IF(AND($C67=1,INDEX('城市分配'!$P$6:$P$61,MATCH($A67,'城市分配'!$B$6:$B$61,0))=4),1,0)</x:f>
        <x:v>0</x:v>
      </x:c>
      <x:c r="O67" s="40" t="n">
        <x:f>MAX(0,MIN($E67,O$19)-MAX($D67,O$18))+IF(AND($C67=1,INDEX('城市分配'!$P$6:$P$61,MATCH($A67,'城市分配'!$B$6:$B$61,0))=5),1,0)</x:f>
        <x:v>0</x:v>
      </x:c>
      <x:c r="P67" s="40" t="n">
        <x:f>MAX(0,MIN($E67,P$19)-MAX($D67,P$18))+IF(AND($C67=1,INDEX('城市分配'!$P$6:$P$61,MATCH($A67,'城市分配'!$B$6:$B$61,0))=6),1,0)</x:f>
        <x:v>0</x:v>
      </x:c>
      <x:c r="Q67" s="40" t="n">
        <x:f>MAX(0,MIN($E67,Q$19)-MAX($D67,Q$18))+IF(AND($C67=1,INDEX('城市分配'!$P$6:$P$61,MATCH($A67,'城市分配'!$B$6:$B$61,0))=7),1,0)</x:f>
        <x:v>0</x:v>
      </x:c>
      <x:c r="R67" s="40" t="n">
        <x:f>MAX(0,MIN($E67,R$19)-MAX($D67,R$18))+IF(AND($C67=1,INDEX('城市分配'!$P$6:$P$61,MATCH($A67,'城市分配'!$B$6:$B$61,0))=8),1,0)</x:f>
        <x:v>0</x:v>
      </x:c>
      <x:c r="S67" s="40" t="n">
        <x:f>MAX(0,MIN($E67,S$19)-MAX($D67,S$18))+IF(AND($C67=1,INDEX('城市分配'!$P$6:$P$61,MATCH($A67,'城市分配'!$B$6:$B$61,0))=9),1,0)</x:f>
        <x:v>0</x:v>
      </x:c>
      <x:c r="T67" s="40" t="n">
        <x:f>MAX(0,MIN($E67,T$19)-MAX($D67,T$18))+IF(AND($C67=1,INDEX('城市分配'!$P$6:$P$61,MATCH($A67,'城市分配'!$B$6:$B$61,0))=10),1,0)</x:f>
        <x:v>0</x:v>
      </x:c>
      <x:c r="U67" s="40" t="n">
        <x:f>MAX(0,MIN($E67,U$19)-MAX($D67,U$18))+IF(AND($C67=1,INDEX('城市分配'!$P$6:$P$61,MATCH($A67,'城市分配'!$B$6:$B$61,0))=11),1,0)</x:f>
        <x:v>52</x:v>
      </x:c>
      <x:c r="V67" s="40" t="n">
        <x:f>MAX(0,MIN($I67,J$21)-MAX($H67,J$20))+IF(AND($G67=1,INDEX('城市分配'!$P$6:$P$61,MATCH($A67,'城市分配'!$B$6:$B$61,0))=0),1,0)</x:f>
        <x:v>0</x:v>
      </x:c>
      <x:c r="W67" s="40" t="n">
        <x:f>MAX(0,MIN($I67,K$21)-MAX($H67,K$20))+IF(AND($G67=1,INDEX('城市分配'!$P$6:$P$61,MATCH($A67,'城市分配'!$B$6:$B$61,0))=1),1,0)</x:f>
        <x:v>0</x:v>
      </x:c>
      <x:c r="X67" s="40" t="n">
        <x:f>MAX(0,MIN($I67,L$21)-MAX($H67,L$20))+IF(AND($G67=1,INDEX('城市分配'!$P$6:$P$61,MATCH($A67,'城市分配'!$B$6:$B$61,0))=2),1,0)</x:f>
        <x:v>0</x:v>
      </x:c>
      <x:c r="Y67" s="40" t="n">
        <x:f>MAX(0,MIN($I67,M$21)-MAX($H67,M$20))+IF(AND($G67=1,INDEX('城市分配'!$P$6:$P$61,MATCH($A67,'城市分配'!$B$6:$B$61,0))=3),1,0)</x:f>
        <x:v>0</x:v>
      </x:c>
      <x:c r="Z67" s="40" t="n">
        <x:f>MAX(0,MIN($I67,N$21)-MAX($H67,N$20))+IF(AND($G67=1,INDEX('城市分配'!$P$6:$P$61,MATCH($A67,'城市分配'!$B$6:$B$61,0))=4),1,0)</x:f>
        <x:v>0</x:v>
      </x:c>
      <x:c r="AA67" s="40" t="n">
        <x:f>MAX(0,MIN($I67,O$21)-MAX($H67,O$20))+IF(AND($G67=1,INDEX('城市分配'!$P$6:$P$61,MATCH($A67,'城市分配'!$B$6:$B$61,0))=5),1,0)</x:f>
        <x:v>0</x:v>
      </x:c>
      <x:c r="AB67" s="40" t="n">
        <x:f>MAX(0,MIN($I67,P$21)-MAX($H67,P$20))+IF(AND($G67=1,INDEX('城市分配'!$P$6:$P$61,MATCH($A67,'城市分配'!$B$6:$B$61,0))=6),1,0)</x:f>
        <x:v>0</x:v>
      </x:c>
      <x:c r="AC67" s="40" t="n">
        <x:f>MAX(0,MIN($I67,Q$21)-MAX($H67,Q$20))+IF(AND($G67=1,INDEX('城市分配'!$P$6:$P$61,MATCH($A67,'城市分配'!$B$6:$B$61,0))=7),1,0)</x:f>
        <x:v>124</x:v>
      </x:c>
      <x:c r="AD67" s="40" t="n">
        <x:f>MAX(0,MIN($I67,R$21)-MAX($H67,R$20))+IF(AND($G67=1,INDEX('城市分配'!$P$6:$P$61,MATCH($A67,'城市分配'!$B$6:$B$61,0))=8),1,0)</x:f>
        <x:v>0</x:v>
      </x:c>
      <x:c r="AE67" s="40" t="n">
        <x:f>MAX(0,MIN($I67,S$21)-MAX($H67,S$20))+IF(AND($G67=1,INDEX('城市分配'!$P$6:$P$61,MATCH($A67,'城市分配'!$B$6:$B$61,0))=9),1,0)</x:f>
        <x:v>0</x:v>
      </x:c>
      <x:c r="AF67" s="40" t="n">
        <x:f>MAX(0,MIN($I67,T$21)-MAX($H67,T$20))+IF(AND($G67=1,INDEX('城市分配'!$P$6:$P$61,MATCH($A67,'城市分配'!$B$6:$B$61,0))=10),1,0)</x:f>
        <x:v>0</x:v>
      </x:c>
      <x:c r="AG67" s="40" t="n">
        <x:f>MAX(0,MIN($I67,U$21)-MAX($H67,U$20))+IF(AND($G67=1,INDEX('城市分配'!$P$6:$P$61,MATCH($A67,'城市分配'!$B$6:$B$61,0))=11),1,0)</x:f>
        <x:v>0</x:v>
      </x:c>
      <x:c r="AH67" s="40" t="n">
        <x:f>2*SUM(J67:U67)+4*SUM(V67:AG67)-INDEX('城市分配'!$J$6:$J$61,MATCH($A67,'城市分配'!$B$6:$B$61,0))</x:f>
        <x:v>0</x:v>
      </x:c>
      <x:c r="AI67" s="40" t="n">
        <x:f>IF(INDEX('城市分配'!$D$6:$D$61,MATCH($A67,'城市分配'!$B$6:$B$61,0))="是",--(SUM($J67:$O67)+SUM($V67:$AA67)&gt;0),0)</x:f>
        <x:v>0</x:v>
      </x:c>
    </x:row>
    <x:row r="68">
      <x:c r="A68" t="str">
        <x:v>昆明</x:v>
      </x:c>
      <x:c r="B68" s="40" t="n">
        <x:f>INDEX('城市分配'!$M$6:$M$61,MATCH($A68,'城市分配'!$B$6:$B$61,0))</x:f>
        <x:v>52</x:v>
      </x:c>
      <x:c r="C68" s="40" t="n">
        <x:f>IF(AND(INDEX('城市分配'!$D$6:$D$61,MATCH($A68,'城市分配'!$B$6:$B$61,0))="是",B68&gt;0),1,0)</x:f>
        <x:v>0</x:v>
      </x:c>
      <x:c r="D68" s="37" t="n">
        <x:f>SUM($B$28:B67)-SUM($C$28:C67)</x:f>
        <x:v>4004</x:v>
      </x:c>
      <x:c r="E68" s="37" t="n">
        <x:f>D68+B68-C68</x:f>
        <x:v>4056</x:v>
      </x:c>
      <x:c r="F68" s="40" t="n">
        <x:f>INDEX('城市分配'!$L$6:$L$61,MATCH($A68,'城市分配'!$B$6:$B$61,0))</x:f>
        <x:v>124</x:v>
      </x:c>
      <x:c r="G68" s="40" t="n">
        <x:f>IF(AND(INDEX('城市分配'!$D$6:$D$61,MATCH($A68,'城市分配'!$B$6:$B$61,0))="是",F68&gt;0,B68=0),1,0)</x:f>
        <x:v>0</x:v>
      </x:c>
      <x:c r="H68" s="37" t="n">
        <x:f>SUM($F$28:F67)-SUM($G$28:G67)</x:f>
        <x:v>4785</x:v>
      </x:c>
      <x:c r="I68" s="37" t="n">
        <x:f>H68+F68-G68</x:f>
        <x:v>4909</x:v>
      </x:c>
      <x:c r="J68" s="40" t="n">
        <x:f>MAX(0,MIN($E68,J$19)-MAX($D68,J$18))+IF(AND($C68=1,INDEX('城市分配'!$P$6:$P$61,MATCH($A68,'城市分配'!$B$6:$B$61,0))=0),1,0)</x:f>
        <x:v>0</x:v>
      </x:c>
      <x:c r="K68" s="40" t="n">
        <x:f>MAX(0,MIN($E68,K$19)-MAX($D68,K$18))+IF(AND($C68=1,INDEX('城市分配'!$P$6:$P$61,MATCH($A68,'城市分配'!$B$6:$B$61,0))=1),1,0)</x:f>
        <x:v>0</x:v>
      </x:c>
      <x:c r="L68" s="40" t="n">
        <x:f>MAX(0,MIN($E68,L$19)-MAX($D68,L$18))+IF(AND($C68=1,INDEX('城市分配'!$P$6:$P$61,MATCH($A68,'城市分配'!$B$6:$B$61,0))=2),1,0)</x:f>
        <x:v>0</x:v>
      </x:c>
      <x:c r="M68" s="40" t="n">
        <x:f>MAX(0,MIN($E68,M$19)-MAX($D68,M$18))+IF(AND($C68=1,INDEX('城市分配'!$P$6:$P$61,MATCH($A68,'城市分配'!$B$6:$B$61,0))=3),1,0)</x:f>
        <x:v>0</x:v>
      </x:c>
      <x:c r="N68" s="40" t="n">
        <x:f>MAX(0,MIN($E68,N$19)-MAX($D68,N$18))+IF(AND($C68=1,INDEX('城市分配'!$P$6:$P$61,MATCH($A68,'城市分配'!$B$6:$B$61,0))=4),1,0)</x:f>
        <x:v>0</x:v>
      </x:c>
      <x:c r="O68" s="40" t="n">
        <x:f>MAX(0,MIN($E68,O$19)-MAX($D68,O$18))+IF(AND($C68=1,INDEX('城市分配'!$P$6:$P$61,MATCH($A68,'城市分配'!$B$6:$B$61,0))=5),1,0)</x:f>
        <x:v>0</x:v>
      </x:c>
      <x:c r="P68" s="40" t="n">
        <x:f>MAX(0,MIN($E68,P$19)-MAX($D68,P$18))+IF(AND($C68=1,INDEX('城市分配'!$P$6:$P$61,MATCH($A68,'城市分配'!$B$6:$B$61,0))=6),1,0)</x:f>
        <x:v>0</x:v>
      </x:c>
      <x:c r="Q68" s="40" t="n">
        <x:f>MAX(0,MIN($E68,Q$19)-MAX($D68,Q$18))+IF(AND($C68=1,INDEX('城市分配'!$P$6:$P$61,MATCH($A68,'城市分配'!$B$6:$B$61,0))=7),1,0)</x:f>
        <x:v>0</x:v>
      </x:c>
      <x:c r="R68" s="40" t="n">
        <x:f>MAX(0,MIN($E68,R$19)-MAX($D68,R$18))+IF(AND($C68=1,INDEX('城市分配'!$P$6:$P$61,MATCH($A68,'城市分配'!$B$6:$B$61,0))=8),1,0)</x:f>
        <x:v>0</x:v>
      </x:c>
      <x:c r="S68" s="40" t="n">
        <x:f>MAX(0,MIN($E68,S$19)-MAX($D68,S$18))+IF(AND($C68=1,INDEX('城市分配'!$P$6:$P$61,MATCH($A68,'城市分配'!$B$6:$B$61,0))=9),1,0)</x:f>
        <x:v>0</x:v>
      </x:c>
      <x:c r="T68" s="40" t="n">
        <x:f>MAX(0,MIN($E68,T$19)-MAX($D68,T$18))+IF(AND($C68=1,INDEX('城市分配'!$P$6:$P$61,MATCH($A68,'城市分配'!$B$6:$B$61,0))=10),1,0)</x:f>
        <x:v>0</x:v>
      </x:c>
      <x:c r="U68" s="40" t="n">
        <x:f>MAX(0,MIN($E68,U$19)-MAX($D68,U$18))+IF(AND($C68=1,INDEX('城市分配'!$P$6:$P$61,MATCH($A68,'城市分配'!$B$6:$B$61,0))=11),1,0)</x:f>
        <x:v>52</x:v>
      </x:c>
      <x:c r="V68" s="40" t="n">
        <x:f>MAX(0,MIN($I68,J$21)-MAX($H68,J$20))+IF(AND($G68=1,INDEX('城市分配'!$P$6:$P$61,MATCH($A68,'城市分配'!$B$6:$B$61,0))=0),1,0)</x:f>
        <x:v>0</x:v>
      </x:c>
      <x:c r="W68" s="40" t="n">
        <x:f>MAX(0,MIN($I68,K$21)-MAX($H68,K$20))+IF(AND($G68=1,INDEX('城市分配'!$P$6:$P$61,MATCH($A68,'城市分配'!$B$6:$B$61,0))=1),1,0)</x:f>
        <x:v>0</x:v>
      </x:c>
      <x:c r="X68" s="40" t="n">
        <x:f>MAX(0,MIN($I68,L$21)-MAX($H68,L$20))+IF(AND($G68=1,INDEX('城市分配'!$P$6:$P$61,MATCH($A68,'城市分配'!$B$6:$B$61,0))=2),1,0)</x:f>
        <x:v>0</x:v>
      </x:c>
      <x:c r="Y68" s="40" t="n">
        <x:f>MAX(0,MIN($I68,M$21)-MAX($H68,M$20))+IF(AND($G68=1,INDEX('城市分配'!$P$6:$P$61,MATCH($A68,'城市分配'!$B$6:$B$61,0))=3),1,0)</x:f>
        <x:v>0</x:v>
      </x:c>
      <x:c r="Z68" s="40" t="n">
        <x:f>MAX(0,MIN($I68,N$21)-MAX($H68,N$20))+IF(AND($G68=1,INDEX('城市分配'!$P$6:$P$61,MATCH($A68,'城市分配'!$B$6:$B$61,0))=4),1,0)</x:f>
        <x:v>0</x:v>
      </x:c>
      <x:c r="AA68" s="40" t="n">
        <x:f>MAX(0,MIN($I68,O$21)-MAX($H68,O$20))+IF(AND($G68=1,INDEX('城市分配'!$P$6:$P$61,MATCH($A68,'城市分配'!$B$6:$B$61,0))=5),1,0)</x:f>
        <x:v>0</x:v>
      </x:c>
      <x:c r="AB68" s="40" t="n">
        <x:f>MAX(0,MIN($I68,P$21)-MAX($H68,P$20))+IF(AND($G68=1,INDEX('城市分配'!$P$6:$P$61,MATCH($A68,'城市分配'!$B$6:$B$61,0))=6),1,0)</x:f>
        <x:v>0</x:v>
      </x:c>
      <x:c r="AC68" s="40" t="n">
        <x:f>MAX(0,MIN($I68,Q$21)-MAX($H68,Q$20))+IF(AND($G68=1,INDEX('城市分配'!$P$6:$P$61,MATCH($A68,'城市分配'!$B$6:$B$61,0))=7),1,0)</x:f>
        <x:v>124</x:v>
      </x:c>
      <x:c r="AD68" s="40" t="n">
        <x:f>MAX(0,MIN($I68,R$21)-MAX($H68,R$20))+IF(AND($G68=1,INDEX('城市分配'!$P$6:$P$61,MATCH($A68,'城市分配'!$B$6:$B$61,0))=8),1,0)</x:f>
        <x:v>0</x:v>
      </x:c>
      <x:c r="AE68" s="40" t="n">
        <x:f>MAX(0,MIN($I68,S$21)-MAX($H68,S$20))+IF(AND($G68=1,INDEX('城市分配'!$P$6:$P$61,MATCH($A68,'城市分配'!$B$6:$B$61,0))=9),1,0)</x:f>
        <x:v>0</x:v>
      </x:c>
      <x:c r="AF68" s="40" t="n">
        <x:f>MAX(0,MIN($I68,T$21)-MAX($H68,T$20))+IF(AND($G68=1,INDEX('城市分配'!$P$6:$P$61,MATCH($A68,'城市分配'!$B$6:$B$61,0))=10),1,0)</x:f>
        <x:v>0</x:v>
      </x:c>
      <x:c r="AG68" s="40" t="n">
        <x:f>MAX(0,MIN($I68,U$21)-MAX($H68,U$20))+IF(AND($G68=1,INDEX('城市分配'!$P$6:$P$61,MATCH($A68,'城市分配'!$B$6:$B$61,0))=11),1,0)</x:f>
        <x:v>0</x:v>
      </x:c>
      <x:c r="AH68" s="40" t="n">
        <x:f>2*SUM(J68:U68)+4*SUM(V68:AG68)-INDEX('城市分配'!$J$6:$J$61,MATCH($A68,'城市分配'!$B$6:$B$61,0))</x:f>
        <x:v>0</x:v>
      </x:c>
      <x:c r="AI68" s="40" t="n">
        <x:f>IF(INDEX('城市分配'!$D$6:$D$61,MATCH($A68,'城市分配'!$B$6:$B$61,0))="是",--(SUM($J68:$O68)+SUM($V68:$AA68)&gt;0),0)</x:f>
        <x:v>0</x:v>
      </x:c>
    </x:row>
    <x:row r="69">
      <x:c r="A69" t="str">
        <x:v>福州</x:v>
      </x:c>
      <x:c r="B69" s="40" t="n">
        <x:f>INDEX('城市分配'!$M$6:$M$61,MATCH($A69,'城市分配'!$B$6:$B$61,0))</x:f>
        <x:v>52</x:v>
      </x:c>
      <x:c r="C69" s="40" t="n">
        <x:f>IF(AND(INDEX('城市分配'!$D$6:$D$61,MATCH($A69,'城市分配'!$B$6:$B$61,0))="是",B69&gt;0),1,0)</x:f>
        <x:v>0</x:v>
      </x:c>
      <x:c r="D69" s="37" t="n">
        <x:f>SUM($B$28:B68)-SUM($C$28:C68)</x:f>
        <x:v>4056</x:v>
      </x:c>
      <x:c r="E69" s="37" t="n">
        <x:f>D69+B69-C69</x:f>
        <x:v>4108</x:v>
      </x:c>
      <x:c r="F69" s="40" t="n">
        <x:f>INDEX('城市分配'!$L$6:$L$61,MATCH($A69,'城市分配'!$B$6:$B$61,0))</x:f>
        <x:v>124</x:v>
      </x:c>
      <x:c r="G69" s="40" t="n">
        <x:f>IF(AND(INDEX('城市分配'!$D$6:$D$61,MATCH($A69,'城市分配'!$B$6:$B$61,0))="是",F69&gt;0,B69=0),1,0)</x:f>
        <x:v>0</x:v>
      </x:c>
      <x:c r="H69" s="37" t="n">
        <x:f>SUM($F$28:F68)-SUM($G$28:G68)</x:f>
        <x:v>4909</x:v>
      </x:c>
      <x:c r="I69" s="37" t="n">
        <x:f>H69+F69-G69</x:f>
        <x:v>5033</x:v>
      </x:c>
      <x:c r="J69" s="40" t="n">
        <x:f>MAX(0,MIN($E69,J$19)-MAX($D69,J$18))+IF(AND($C69=1,INDEX('城市分配'!$P$6:$P$61,MATCH($A69,'城市分配'!$B$6:$B$61,0))=0),1,0)</x:f>
        <x:v>0</x:v>
      </x:c>
      <x:c r="K69" s="40" t="n">
        <x:f>MAX(0,MIN($E69,K$19)-MAX($D69,K$18))+IF(AND($C69=1,INDEX('城市分配'!$P$6:$P$61,MATCH($A69,'城市分配'!$B$6:$B$61,0))=1),1,0)</x:f>
        <x:v>0</x:v>
      </x:c>
      <x:c r="L69" s="40" t="n">
        <x:f>MAX(0,MIN($E69,L$19)-MAX($D69,L$18))+IF(AND($C69=1,INDEX('城市分配'!$P$6:$P$61,MATCH($A69,'城市分配'!$B$6:$B$61,0))=2),1,0)</x:f>
        <x:v>0</x:v>
      </x:c>
      <x:c r="M69" s="40" t="n">
        <x:f>MAX(0,MIN($E69,M$19)-MAX($D69,M$18))+IF(AND($C69=1,INDEX('城市分配'!$P$6:$P$61,MATCH($A69,'城市分配'!$B$6:$B$61,0))=3),1,0)</x:f>
        <x:v>0</x:v>
      </x:c>
      <x:c r="N69" s="40" t="n">
        <x:f>MAX(0,MIN($E69,N$19)-MAX($D69,N$18))+IF(AND($C69=1,INDEX('城市分配'!$P$6:$P$61,MATCH($A69,'城市分配'!$B$6:$B$61,0))=4),1,0)</x:f>
        <x:v>0</x:v>
      </x:c>
      <x:c r="O69" s="40" t="n">
        <x:f>MAX(0,MIN($E69,O$19)-MAX($D69,O$18))+IF(AND($C69=1,INDEX('城市分配'!$P$6:$P$61,MATCH($A69,'城市分配'!$B$6:$B$61,0))=5),1,0)</x:f>
        <x:v>0</x:v>
      </x:c>
      <x:c r="P69" s="40" t="n">
        <x:f>MAX(0,MIN($E69,P$19)-MAX($D69,P$18))+IF(AND($C69=1,INDEX('城市分配'!$P$6:$P$61,MATCH($A69,'城市分配'!$B$6:$B$61,0))=6),1,0)</x:f>
        <x:v>0</x:v>
      </x:c>
      <x:c r="Q69" s="40" t="n">
        <x:f>MAX(0,MIN($E69,Q$19)-MAX($D69,Q$18))+IF(AND($C69=1,INDEX('城市分配'!$P$6:$P$61,MATCH($A69,'城市分配'!$B$6:$B$61,0))=7),1,0)</x:f>
        <x:v>0</x:v>
      </x:c>
      <x:c r="R69" s="40" t="n">
        <x:f>MAX(0,MIN($E69,R$19)-MAX($D69,R$18))+IF(AND($C69=1,INDEX('城市分配'!$P$6:$P$61,MATCH($A69,'城市分配'!$B$6:$B$61,0))=8),1,0)</x:f>
        <x:v>0</x:v>
      </x:c>
      <x:c r="S69" s="40" t="n">
        <x:f>MAX(0,MIN($E69,S$19)-MAX($D69,S$18))+IF(AND($C69=1,INDEX('城市分配'!$P$6:$P$61,MATCH($A69,'城市分配'!$B$6:$B$61,0))=9),1,0)</x:f>
        <x:v>0</x:v>
      </x:c>
      <x:c r="T69" s="40" t="n">
        <x:f>MAX(0,MIN($E69,T$19)-MAX($D69,T$18))+IF(AND($C69=1,INDEX('城市分配'!$P$6:$P$61,MATCH($A69,'城市分配'!$B$6:$B$61,0))=10),1,0)</x:f>
        <x:v>0</x:v>
      </x:c>
      <x:c r="U69" s="40" t="n">
        <x:f>MAX(0,MIN($E69,U$19)-MAX($D69,U$18))+IF(AND($C69=1,INDEX('城市分配'!$P$6:$P$61,MATCH($A69,'城市分配'!$B$6:$B$61,0))=11),1,0)</x:f>
        <x:v>52</x:v>
      </x:c>
      <x:c r="V69" s="40" t="n">
        <x:f>MAX(0,MIN($I69,J$21)-MAX($H69,J$20))+IF(AND($G69=1,INDEX('城市分配'!$P$6:$P$61,MATCH($A69,'城市分配'!$B$6:$B$61,0))=0),1,0)</x:f>
        <x:v>0</x:v>
      </x:c>
      <x:c r="W69" s="40" t="n">
        <x:f>MAX(0,MIN($I69,K$21)-MAX($H69,K$20))+IF(AND($G69=1,INDEX('城市分配'!$P$6:$P$61,MATCH($A69,'城市分配'!$B$6:$B$61,0))=1),1,0)</x:f>
        <x:v>0</x:v>
      </x:c>
      <x:c r="X69" s="40" t="n">
        <x:f>MAX(0,MIN($I69,L$21)-MAX($H69,L$20))+IF(AND($G69=1,INDEX('城市分配'!$P$6:$P$61,MATCH($A69,'城市分配'!$B$6:$B$61,0))=2),1,0)</x:f>
        <x:v>0</x:v>
      </x:c>
      <x:c r="Y69" s="40" t="n">
        <x:f>MAX(0,MIN($I69,M$21)-MAX($H69,M$20))+IF(AND($G69=1,INDEX('城市分配'!$P$6:$P$61,MATCH($A69,'城市分配'!$B$6:$B$61,0))=3),1,0)</x:f>
        <x:v>0</x:v>
      </x:c>
      <x:c r="Z69" s="40" t="n">
        <x:f>MAX(0,MIN($I69,N$21)-MAX($H69,N$20))+IF(AND($G69=1,INDEX('城市分配'!$P$6:$P$61,MATCH($A69,'城市分配'!$B$6:$B$61,0))=4),1,0)</x:f>
        <x:v>0</x:v>
      </x:c>
      <x:c r="AA69" s="40" t="n">
        <x:f>MAX(0,MIN($I69,O$21)-MAX($H69,O$20))+IF(AND($G69=1,INDEX('城市分配'!$P$6:$P$61,MATCH($A69,'城市分配'!$B$6:$B$61,0))=5),1,0)</x:f>
        <x:v>0</x:v>
      </x:c>
      <x:c r="AB69" s="40" t="n">
        <x:f>MAX(0,MIN($I69,P$21)-MAX($H69,P$20))+IF(AND($G69=1,INDEX('城市分配'!$P$6:$P$61,MATCH($A69,'城市分配'!$B$6:$B$61,0))=6),1,0)</x:f>
        <x:v>0</x:v>
      </x:c>
      <x:c r="AC69" s="40" t="n">
        <x:f>MAX(0,MIN($I69,Q$21)-MAX($H69,Q$20))+IF(AND($G69=1,INDEX('城市分配'!$P$6:$P$61,MATCH($A69,'城市分配'!$B$6:$B$61,0))=7),1,0)</x:f>
        <x:v>102</x:v>
      </x:c>
      <x:c r="AD69" s="40" t="n">
        <x:f>MAX(0,MIN($I69,R$21)-MAX($H69,R$20))+IF(AND($G69=1,INDEX('城市分配'!$P$6:$P$61,MATCH($A69,'城市分配'!$B$6:$B$61,0))=8),1,0)</x:f>
        <x:v>22</x:v>
      </x:c>
      <x:c r="AE69" s="40" t="n">
        <x:f>MAX(0,MIN($I69,S$21)-MAX($H69,S$20))+IF(AND($G69=1,INDEX('城市分配'!$P$6:$P$61,MATCH($A69,'城市分配'!$B$6:$B$61,0))=9),1,0)</x:f>
        <x:v>0</x:v>
      </x:c>
      <x:c r="AF69" s="40" t="n">
        <x:f>MAX(0,MIN($I69,T$21)-MAX($H69,T$20))+IF(AND($G69=1,INDEX('城市分配'!$P$6:$P$61,MATCH($A69,'城市分配'!$B$6:$B$61,0))=10),1,0)</x:f>
        <x:v>0</x:v>
      </x:c>
      <x:c r="AG69" s="40" t="n">
        <x:f>MAX(0,MIN($I69,U$21)-MAX($H69,U$20))+IF(AND($G69=1,INDEX('城市分配'!$P$6:$P$61,MATCH($A69,'城市分配'!$B$6:$B$61,0))=11),1,0)</x:f>
        <x:v>0</x:v>
      </x:c>
      <x:c r="AH69" s="40" t="n">
        <x:f>2*SUM(J69:U69)+4*SUM(V69:AG69)-INDEX('城市分配'!$J$6:$J$61,MATCH($A69,'城市分配'!$B$6:$B$61,0))</x:f>
        <x:v>0</x:v>
      </x:c>
      <x:c r="AI69" s="40" t="n">
        <x:f>IF(INDEX('城市分配'!$D$6:$D$61,MATCH($A69,'城市分配'!$B$6:$B$61,0))="是",--(SUM($J69:$O69)+SUM($V69:$AA69)&gt;0),0)</x:f>
        <x:v>0</x:v>
      </x:c>
    </x:row>
    <x:row r="70">
      <x:c r="A70" t="str">
        <x:v>南宁</x:v>
      </x:c>
      <x:c r="B70" s="40" t="n">
        <x:f>INDEX('城市分配'!$M$6:$M$61,MATCH($A70,'城市分配'!$B$6:$B$61,0))</x:f>
        <x:v>52</x:v>
      </x:c>
      <x:c r="C70" s="40" t="n">
        <x:f>IF(AND(INDEX('城市分配'!$D$6:$D$61,MATCH($A70,'城市分配'!$B$6:$B$61,0))="是",B70&gt;0),1,0)</x:f>
        <x:v>0</x:v>
      </x:c>
      <x:c r="D70" s="37" t="n">
        <x:f>SUM($B$28:B69)-SUM($C$28:C69)</x:f>
        <x:v>4108</x:v>
      </x:c>
      <x:c r="E70" s="37" t="n">
        <x:f>D70+B70-C70</x:f>
        <x:v>4160</x:v>
      </x:c>
      <x:c r="F70" s="40" t="n">
        <x:f>INDEX('城市分配'!$L$6:$L$61,MATCH($A70,'城市分配'!$B$6:$B$61,0))</x:f>
        <x:v>124</x:v>
      </x:c>
      <x:c r="G70" s="40" t="n">
        <x:f>IF(AND(INDEX('城市分配'!$D$6:$D$61,MATCH($A70,'城市分配'!$B$6:$B$61,0))="是",F70&gt;0,B70=0),1,0)</x:f>
        <x:v>0</x:v>
      </x:c>
      <x:c r="H70" s="37" t="n">
        <x:f>SUM($F$28:F69)-SUM($G$28:G69)</x:f>
        <x:v>5033</x:v>
      </x:c>
      <x:c r="I70" s="37" t="n">
        <x:f>H70+F70-G70</x:f>
        <x:v>5157</x:v>
      </x:c>
      <x:c r="J70" s="40" t="n">
        <x:f>MAX(0,MIN($E70,J$19)-MAX($D70,J$18))+IF(AND($C70=1,INDEX('城市分配'!$P$6:$P$61,MATCH($A70,'城市分配'!$B$6:$B$61,0))=0),1,0)</x:f>
        <x:v>0</x:v>
      </x:c>
      <x:c r="K70" s="40" t="n">
        <x:f>MAX(0,MIN($E70,K$19)-MAX($D70,K$18))+IF(AND($C70=1,INDEX('城市分配'!$P$6:$P$61,MATCH($A70,'城市分配'!$B$6:$B$61,0))=1),1,0)</x:f>
        <x:v>0</x:v>
      </x:c>
      <x:c r="L70" s="40" t="n">
        <x:f>MAX(0,MIN($E70,L$19)-MAX($D70,L$18))+IF(AND($C70=1,INDEX('城市分配'!$P$6:$P$61,MATCH($A70,'城市分配'!$B$6:$B$61,0))=2),1,0)</x:f>
        <x:v>0</x:v>
      </x:c>
      <x:c r="M70" s="40" t="n">
        <x:f>MAX(0,MIN($E70,M$19)-MAX($D70,M$18))+IF(AND($C70=1,INDEX('城市分配'!$P$6:$P$61,MATCH($A70,'城市分配'!$B$6:$B$61,0))=3),1,0)</x:f>
        <x:v>0</x:v>
      </x:c>
      <x:c r="N70" s="40" t="n">
        <x:f>MAX(0,MIN($E70,N$19)-MAX($D70,N$18))+IF(AND($C70=1,INDEX('城市分配'!$P$6:$P$61,MATCH($A70,'城市分配'!$B$6:$B$61,0))=4),1,0)</x:f>
        <x:v>0</x:v>
      </x:c>
      <x:c r="O70" s="40" t="n">
        <x:f>MAX(0,MIN($E70,O$19)-MAX($D70,O$18))+IF(AND($C70=1,INDEX('城市分配'!$P$6:$P$61,MATCH($A70,'城市分配'!$B$6:$B$61,0))=5),1,0)</x:f>
        <x:v>0</x:v>
      </x:c>
      <x:c r="P70" s="40" t="n">
        <x:f>MAX(0,MIN($E70,P$19)-MAX($D70,P$18))+IF(AND($C70=1,INDEX('城市分配'!$P$6:$P$61,MATCH($A70,'城市分配'!$B$6:$B$61,0))=6),1,0)</x:f>
        <x:v>0</x:v>
      </x:c>
      <x:c r="Q70" s="40" t="n">
        <x:f>MAX(0,MIN($E70,Q$19)-MAX($D70,Q$18))+IF(AND($C70=1,INDEX('城市分配'!$P$6:$P$61,MATCH($A70,'城市分配'!$B$6:$B$61,0))=7),1,0)</x:f>
        <x:v>0</x:v>
      </x:c>
      <x:c r="R70" s="40" t="n">
        <x:f>MAX(0,MIN($E70,R$19)-MAX($D70,R$18))+IF(AND($C70=1,INDEX('城市分配'!$P$6:$P$61,MATCH($A70,'城市分配'!$B$6:$B$61,0))=8),1,0)</x:f>
        <x:v>0</x:v>
      </x:c>
      <x:c r="S70" s="40" t="n">
        <x:f>MAX(0,MIN($E70,S$19)-MAX($D70,S$18))+IF(AND($C70=1,INDEX('城市分配'!$P$6:$P$61,MATCH($A70,'城市分配'!$B$6:$B$61,0))=9),1,0)</x:f>
        <x:v>0</x:v>
      </x:c>
      <x:c r="T70" s="40" t="n">
        <x:f>MAX(0,MIN($E70,T$19)-MAX($D70,T$18))+IF(AND($C70=1,INDEX('城市分配'!$P$6:$P$61,MATCH($A70,'城市分配'!$B$6:$B$61,0))=10),1,0)</x:f>
        <x:v>0</x:v>
      </x:c>
      <x:c r="U70" s="40" t="n">
        <x:f>MAX(0,MIN($E70,U$19)-MAX($D70,U$18))+IF(AND($C70=1,INDEX('城市分配'!$P$6:$P$61,MATCH($A70,'城市分配'!$B$6:$B$61,0))=11),1,0)</x:f>
        <x:v>52</x:v>
      </x:c>
      <x:c r="V70" s="40" t="n">
        <x:f>MAX(0,MIN($I70,J$21)-MAX($H70,J$20))+IF(AND($G70=1,INDEX('城市分配'!$P$6:$P$61,MATCH($A70,'城市分配'!$B$6:$B$61,0))=0),1,0)</x:f>
        <x:v>0</x:v>
      </x:c>
      <x:c r="W70" s="40" t="n">
        <x:f>MAX(0,MIN($I70,K$21)-MAX($H70,K$20))+IF(AND($G70=1,INDEX('城市分配'!$P$6:$P$61,MATCH($A70,'城市分配'!$B$6:$B$61,0))=1),1,0)</x:f>
        <x:v>0</x:v>
      </x:c>
      <x:c r="X70" s="40" t="n">
        <x:f>MAX(0,MIN($I70,L$21)-MAX($H70,L$20))+IF(AND($G70=1,INDEX('城市分配'!$P$6:$P$61,MATCH($A70,'城市分配'!$B$6:$B$61,0))=2),1,0)</x:f>
        <x:v>0</x:v>
      </x:c>
      <x:c r="Y70" s="40" t="n">
        <x:f>MAX(0,MIN($I70,M$21)-MAX($H70,M$20))+IF(AND($G70=1,INDEX('城市分配'!$P$6:$P$61,MATCH($A70,'城市分配'!$B$6:$B$61,0))=3),1,0)</x:f>
        <x:v>0</x:v>
      </x:c>
      <x:c r="Z70" s="40" t="n">
        <x:f>MAX(0,MIN($I70,N$21)-MAX($H70,N$20))+IF(AND($G70=1,INDEX('城市分配'!$P$6:$P$61,MATCH($A70,'城市分配'!$B$6:$B$61,0))=4),1,0)</x:f>
        <x:v>0</x:v>
      </x:c>
      <x:c r="AA70" s="40" t="n">
        <x:f>MAX(0,MIN($I70,O$21)-MAX($H70,O$20))+IF(AND($G70=1,INDEX('城市分配'!$P$6:$P$61,MATCH($A70,'城市分配'!$B$6:$B$61,0))=5),1,0)</x:f>
        <x:v>0</x:v>
      </x:c>
      <x:c r="AB70" s="40" t="n">
        <x:f>MAX(0,MIN($I70,P$21)-MAX($H70,P$20))+IF(AND($G70=1,INDEX('城市分配'!$P$6:$P$61,MATCH($A70,'城市分配'!$B$6:$B$61,0))=6),1,0)</x:f>
        <x:v>0</x:v>
      </x:c>
      <x:c r="AC70" s="40" t="n">
        <x:f>MAX(0,MIN($I70,Q$21)-MAX($H70,Q$20))+IF(AND($G70=1,INDEX('城市分配'!$P$6:$P$61,MATCH($A70,'城市分配'!$B$6:$B$61,0))=7),1,0)</x:f>
        <x:v>0</x:v>
      </x:c>
      <x:c r="AD70" s="40" t="n">
        <x:f>MAX(0,MIN($I70,R$21)-MAX($H70,R$20))+IF(AND($G70=1,INDEX('城市分配'!$P$6:$P$61,MATCH($A70,'城市分配'!$B$6:$B$61,0))=8),1,0)</x:f>
        <x:v>124</x:v>
      </x:c>
      <x:c r="AE70" s="40" t="n">
        <x:f>MAX(0,MIN($I70,S$21)-MAX($H70,S$20))+IF(AND($G70=1,INDEX('城市分配'!$P$6:$P$61,MATCH($A70,'城市分配'!$B$6:$B$61,0))=9),1,0)</x:f>
        <x:v>0</x:v>
      </x:c>
      <x:c r="AF70" s="40" t="n">
        <x:f>MAX(0,MIN($I70,T$21)-MAX($H70,T$20))+IF(AND($G70=1,INDEX('城市分配'!$P$6:$P$61,MATCH($A70,'城市分配'!$B$6:$B$61,0))=10),1,0)</x:f>
        <x:v>0</x:v>
      </x:c>
      <x:c r="AG70" s="40" t="n">
        <x:f>MAX(0,MIN($I70,U$21)-MAX($H70,U$20))+IF(AND($G70=1,INDEX('城市分配'!$P$6:$P$61,MATCH($A70,'城市分配'!$B$6:$B$61,0))=11),1,0)</x:f>
        <x:v>0</x:v>
      </x:c>
      <x:c r="AH70" s="40" t="n">
        <x:f>2*SUM(J70:U70)+4*SUM(V70:AG70)-INDEX('城市分配'!$J$6:$J$61,MATCH($A70,'城市分配'!$B$6:$B$61,0))</x:f>
        <x:v>0</x:v>
      </x:c>
      <x:c r="AI70" s="40" t="n">
        <x:f>IF(INDEX('城市分配'!$D$6:$D$61,MATCH($A70,'城市分配'!$B$6:$B$61,0))="是",--(SUM($J70:$O70)+SUM($V70:$AA70)&gt;0),0)</x:f>
        <x:v>0</x:v>
      </x:c>
    </x:row>
    <x:row r="71">
      <x:c r="A71" t="str">
        <x:v>长春</x:v>
      </x:c>
      <x:c r="B71" s="40" t="n">
        <x:f>INDEX('城市分配'!$M$6:$M$61,MATCH($A71,'城市分配'!$B$6:$B$61,0))</x:f>
        <x:v>128</x:v>
      </x:c>
      <x:c r="C71" s="40" t="n">
        <x:f>IF(AND(INDEX('城市分配'!$D$6:$D$61,MATCH($A71,'城市分配'!$B$6:$B$61,0))="是",B71&gt;0),1,0)</x:f>
        <x:v>0</x:v>
      </x:c>
      <x:c r="D71" s="37" t="n">
        <x:f>SUM($B$28:B70)-SUM($C$28:C70)</x:f>
        <x:v>4160</x:v>
      </x:c>
      <x:c r="E71" s="37" t="n">
        <x:f>D71+B71-C71</x:f>
        <x:v>4288</x:v>
      </x:c>
      <x:c r="F71" s="40" t="n">
        <x:f>INDEX('城市分配'!$L$6:$L$61,MATCH($A71,'城市分配'!$B$6:$B$61,0))</x:f>
        <x:v>86</x:v>
      </x:c>
      <x:c r="G71" s="40" t="n">
        <x:f>IF(AND(INDEX('城市分配'!$D$6:$D$61,MATCH($A71,'城市分配'!$B$6:$B$61,0))="是",F71&gt;0,B71=0),1,0)</x:f>
        <x:v>0</x:v>
      </x:c>
      <x:c r="H71" s="37" t="n">
        <x:f>SUM($F$28:F70)-SUM($G$28:G70)</x:f>
        <x:v>5157</x:v>
      </x:c>
      <x:c r="I71" s="37" t="n">
        <x:f>H71+F71-G71</x:f>
        <x:v>5243</x:v>
      </x:c>
      <x:c r="J71" s="40" t="n">
        <x:f>MAX(0,MIN($E71,J$19)-MAX($D71,J$18))+IF(AND($C71=1,INDEX('城市分配'!$P$6:$P$61,MATCH($A71,'城市分配'!$B$6:$B$61,0))=0),1,0)</x:f>
        <x:v>0</x:v>
      </x:c>
      <x:c r="K71" s="40" t="n">
        <x:f>MAX(0,MIN($E71,K$19)-MAX($D71,K$18))+IF(AND($C71=1,INDEX('城市分配'!$P$6:$P$61,MATCH($A71,'城市分配'!$B$6:$B$61,0))=1),1,0)</x:f>
        <x:v>0</x:v>
      </x:c>
      <x:c r="L71" s="40" t="n">
        <x:f>MAX(0,MIN($E71,L$19)-MAX($D71,L$18))+IF(AND($C71=1,INDEX('城市分配'!$P$6:$P$61,MATCH($A71,'城市分配'!$B$6:$B$61,0))=2),1,0)</x:f>
        <x:v>0</x:v>
      </x:c>
      <x:c r="M71" s="40" t="n">
        <x:f>MAX(0,MIN($E71,M$19)-MAX($D71,M$18))+IF(AND($C71=1,INDEX('城市分配'!$P$6:$P$61,MATCH($A71,'城市分配'!$B$6:$B$61,0))=3),1,0)</x:f>
        <x:v>0</x:v>
      </x:c>
      <x:c r="N71" s="40" t="n">
        <x:f>MAX(0,MIN($E71,N$19)-MAX($D71,N$18))+IF(AND($C71=1,INDEX('城市分配'!$P$6:$P$61,MATCH($A71,'城市分配'!$B$6:$B$61,0))=4),1,0)</x:f>
        <x:v>0</x:v>
      </x:c>
      <x:c r="O71" s="40" t="n">
        <x:f>MAX(0,MIN($E71,O$19)-MAX($D71,O$18))+IF(AND($C71=1,INDEX('城市分配'!$P$6:$P$61,MATCH($A71,'城市分配'!$B$6:$B$61,0))=5),1,0)</x:f>
        <x:v>0</x:v>
      </x:c>
      <x:c r="P71" s="40" t="n">
        <x:f>MAX(0,MIN($E71,P$19)-MAX($D71,P$18))+IF(AND($C71=1,INDEX('城市分配'!$P$6:$P$61,MATCH($A71,'城市分配'!$B$6:$B$61,0))=6),1,0)</x:f>
        <x:v>0</x:v>
      </x:c>
      <x:c r="Q71" s="40" t="n">
        <x:f>MAX(0,MIN($E71,Q$19)-MAX($D71,Q$18))+IF(AND($C71=1,INDEX('城市分配'!$P$6:$P$61,MATCH($A71,'城市分配'!$B$6:$B$61,0))=7),1,0)</x:f>
        <x:v>0</x:v>
      </x:c>
      <x:c r="R71" s="40" t="n">
        <x:f>MAX(0,MIN($E71,R$19)-MAX($D71,R$18))+IF(AND($C71=1,INDEX('城市分配'!$P$6:$P$61,MATCH($A71,'城市分配'!$B$6:$B$61,0))=8),1,0)</x:f>
        <x:v>0</x:v>
      </x:c>
      <x:c r="S71" s="40" t="n">
        <x:f>MAX(0,MIN($E71,S$19)-MAX($D71,S$18))+IF(AND($C71=1,INDEX('城市分配'!$P$6:$P$61,MATCH($A71,'城市分配'!$B$6:$B$61,0))=9),1,0)</x:f>
        <x:v>0</x:v>
      </x:c>
      <x:c r="T71" s="40" t="n">
        <x:f>MAX(0,MIN($E71,T$19)-MAX($D71,T$18))+IF(AND($C71=1,INDEX('城市分配'!$P$6:$P$61,MATCH($A71,'城市分配'!$B$6:$B$61,0))=10),1,0)</x:f>
        <x:v>0</x:v>
      </x:c>
      <x:c r="U71" s="40" t="n">
        <x:f>MAX(0,MIN($E71,U$19)-MAX($D71,U$18))+IF(AND($C71=1,INDEX('城市分配'!$P$6:$P$61,MATCH($A71,'城市分配'!$B$6:$B$61,0))=11),1,0)</x:f>
        <x:v>128</x:v>
      </x:c>
      <x:c r="V71" s="40" t="n">
        <x:f>MAX(0,MIN($I71,J$21)-MAX($H71,J$20))+IF(AND($G71=1,INDEX('城市分配'!$P$6:$P$61,MATCH($A71,'城市分配'!$B$6:$B$61,0))=0),1,0)</x:f>
        <x:v>0</x:v>
      </x:c>
      <x:c r="W71" s="40" t="n">
        <x:f>MAX(0,MIN($I71,K$21)-MAX($H71,K$20))+IF(AND($G71=1,INDEX('城市分配'!$P$6:$P$61,MATCH($A71,'城市分配'!$B$6:$B$61,0))=1),1,0)</x:f>
        <x:v>0</x:v>
      </x:c>
      <x:c r="X71" s="40" t="n">
        <x:f>MAX(0,MIN($I71,L$21)-MAX($H71,L$20))+IF(AND($G71=1,INDEX('城市分配'!$P$6:$P$61,MATCH($A71,'城市分配'!$B$6:$B$61,0))=2),1,0)</x:f>
        <x:v>0</x:v>
      </x:c>
      <x:c r="Y71" s="40" t="n">
        <x:f>MAX(0,MIN($I71,M$21)-MAX($H71,M$20))+IF(AND($G71=1,INDEX('城市分配'!$P$6:$P$61,MATCH($A71,'城市分配'!$B$6:$B$61,0))=3),1,0)</x:f>
        <x:v>0</x:v>
      </x:c>
      <x:c r="Z71" s="40" t="n">
        <x:f>MAX(0,MIN($I71,N$21)-MAX($H71,N$20))+IF(AND($G71=1,INDEX('城市分配'!$P$6:$P$61,MATCH($A71,'城市分配'!$B$6:$B$61,0))=4),1,0)</x:f>
        <x:v>0</x:v>
      </x:c>
      <x:c r="AA71" s="40" t="n">
        <x:f>MAX(0,MIN($I71,O$21)-MAX($H71,O$20))+IF(AND($G71=1,INDEX('城市分配'!$P$6:$P$61,MATCH($A71,'城市分配'!$B$6:$B$61,0))=5),1,0)</x:f>
        <x:v>0</x:v>
      </x:c>
      <x:c r="AB71" s="40" t="n">
        <x:f>MAX(0,MIN($I71,P$21)-MAX($H71,P$20))+IF(AND($G71=1,INDEX('城市分配'!$P$6:$P$61,MATCH($A71,'城市分配'!$B$6:$B$61,0))=6),1,0)</x:f>
        <x:v>0</x:v>
      </x:c>
      <x:c r="AC71" s="40" t="n">
        <x:f>MAX(0,MIN($I71,Q$21)-MAX($H71,Q$20))+IF(AND($G71=1,INDEX('城市分配'!$P$6:$P$61,MATCH($A71,'城市分配'!$B$6:$B$61,0))=7),1,0)</x:f>
        <x:v>0</x:v>
      </x:c>
      <x:c r="AD71" s="40" t="n">
        <x:f>MAX(0,MIN($I71,R$21)-MAX($H71,R$20))+IF(AND($G71=1,INDEX('城市分配'!$P$6:$P$61,MATCH($A71,'城市分配'!$B$6:$B$61,0))=8),1,0)</x:f>
        <x:v>86</x:v>
      </x:c>
      <x:c r="AE71" s="40" t="n">
        <x:f>MAX(0,MIN($I71,S$21)-MAX($H71,S$20))+IF(AND($G71=1,INDEX('城市分配'!$P$6:$P$61,MATCH($A71,'城市分配'!$B$6:$B$61,0))=9),1,0)</x:f>
        <x:v>0</x:v>
      </x:c>
      <x:c r="AF71" s="40" t="n">
        <x:f>MAX(0,MIN($I71,T$21)-MAX($H71,T$20))+IF(AND($G71=1,INDEX('城市分配'!$P$6:$P$61,MATCH($A71,'城市分配'!$B$6:$B$61,0))=10),1,0)</x:f>
        <x:v>0</x:v>
      </x:c>
      <x:c r="AG71" s="40" t="n">
        <x:f>MAX(0,MIN($I71,U$21)-MAX($H71,U$20))+IF(AND($G71=1,INDEX('城市分配'!$P$6:$P$61,MATCH($A71,'城市分配'!$B$6:$B$61,0))=11),1,0)</x:f>
        <x:v>0</x:v>
      </x:c>
      <x:c r="AH71" s="40" t="n">
        <x:f>2*SUM(J71:U71)+4*SUM(V71:AG71)-INDEX('城市分配'!$J$6:$J$61,MATCH($A71,'城市分配'!$B$6:$B$61,0))</x:f>
        <x:v>0</x:v>
      </x:c>
      <x:c r="AI71" s="40" t="n">
        <x:f>IF(INDEX('城市分配'!$D$6:$D$61,MATCH($A71,'城市分配'!$B$6:$B$61,0))="是",--(SUM($J71:$O71)+SUM($V71:$AA71)&gt;0),0)</x:f>
        <x:v>0</x:v>
      </x:c>
    </x:row>
    <x:row r="72">
      <x:c r="A72" t="str">
        <x:v>洛阳</x:v>
      </x:c>
      <x:c r="B72" s="40" t="n">
        <x:f>INDEX('城市分配'!$M$6:$M$61,MATCH($A72,'城市分配'!$B$6:$B$61,0))</x:f>
        <x:v>86</x:v>
      </x:c>
      <x:c r="C72" s="40" t="n">
        <x:f>IF(AND(INDEX('城市分配'!$D$6:$D$61,MATCH($A72,'城市分配'!$B$6:$B$61,0))="是",B72&gt;0),1,0)</x:f>
        <x:v>0</x:v>
      </x:c>
      <x:c r="D72" s="37" t="n">
        <x:f>SUM($B$28:B71)-SUM($C$28:C71)</x:f>
        <x:v>4288</x:v>
      </x:c>
      <x:c r="E72" s="37" t="n">
        <x:f>D72+B72-C72</x:f>
        <x:v>4374</x:v>
      </x:c>
      <x:c r="F72" s="40" t="n">
        <x:f>INDEX('城市分配'!$L$6:$L$61,MATCH($A72,'城市分配'!$B$6:$B$61,0))</x:f>
        <x:v>57</x:v>
      </x:c>
      <x:c r="G72" s="40" t="n">
        <x:f>IF(AND(INDEX('城市分配'!$D$6:$D$61,MATCH($A72,'城市分配'!$B$6:$B$61,0))="是",F72&gt;0,B72=0),1,0)</x:f>
        <x:v>0</x:v>
      </x:c>
      <x:c r="H72" s="37" t="n">
        <x:f>SUM($F$28:F71)-SUM($G$28:G71)</x:f>
        <x:v>5243</x:v>
      </x:c>
      <x:c r="I72" s="37" t="n">
        <x:f>H72+F72-G72</x:f>
        <x:v>5300</x:v>
      </x:c>
      <x:c r="J72" s="40" t="n">
        <x:f>MAX(0,MIN($E72,J$19)-MAX($D72,J$18))+IF(AND($C72=1,INDEX('城市分配'!$P$6:$P$61,MATCH($A72,'城市分配'!$B$6:$B$61,0))=0),1,0)</x:f>
        <x:v>0</x:v>
      </x:c>
      <x:c r="K72" s="40" t="n">
        <x:f>MAX(0,MIN($E72,K$19)-MAX($D72,K$18))+IF(AND($C72=1,INDEX('城市分配'!$P$6:$P$61,MATCH($A72,'城市分配'!$B$6:$B$61,0))=1),1,0)</x:f>
        <x:v>0</x:v>
      </x:c>
      <x:c r="L72" s="40" t="n">
        <x:f>MAX(0,MIN($E72,L$19)-MAX($D72,L$18))+IF(AND($C72=1,INDEX('城市分配'!$P$6:$P$61,MATCH($A72,'城市分配'!$B$6:$B$61,0))=2),1,0)</x:f>
        <x:v>0</x:v>
      </x:c>
      <x:c r="M72" s="40" t="n">
        <x:f>MAX(0,MIN($E72,M$19)-MAX($D72,M$18))+IF(AND($C72=1,INDEX('城市分配'!$P$6:$P$61,MATCH($A72,'城市分配'!$B$6:$B$61,0))=3),1,0)</x:f>
        <x:v>0</x:v>
      </x:c>
      <x:c r="N72" s="40" t="n">
        <x:f>MAX(0,MIN($E72,N$19)-MAX($D72,N$18))+IF(AND($C72=1,INDEX('城市分配'!$P$6:$P$61,MATCH($A72,'城市分配'!$B$6:$B$61,0))=4),1,0)</x:f>
        <x:v>0</x:v>
      </x:c>
      <x:c r="O72" s="40" t="n">
        <x:f>MAX(0,MIN($E72,O$19)-MAX($D72,O$18))+IF(AND($C72=1,INDEX('城市分配'!$P$6:$P$61,MATCH($A72,'城市分配'!$B$6:$B$61,0))=5),1,0)</x:f>
        <x:v>0</x:v>
      </x:c>
      <x:c r="P72" s="40" t="n">
        <x:f>MAX(0,MIN($E72,P$19)-MAX($D72,P$18))+IF(AND($C72=1,INDEX('城市分配'!$P$6:$P$61,MATCH($A72,'城市分配'!$B$6:$B$61,0))=6),1,0)</x:f>
        <x:v>0</x:v>
      </x:c>
      <x:c r="Q72" s="40" t="n">
        <x:f>MAX(0,MIN($E72,Q$19)-MAX($D72,Q$18))+IF(AND($C72=1,INDEX('城市分配'!$P$6:$P$61,MATCH($A72,'城市分配'!$B$6:$B$61,0))=7),1,0)</x:f>
        <x:v>0</x:v>
      </x:c>
      <x:c r="R72" s="40" t="n">
        <x:f>MAX(0,MIN($E72,R$19)-MAX($D72,R$18))+IF(AND($C72=1,INDEX('城市分配'!$P$6:$P$61,MATCH($A72,'城市分配'!$B$6:$B$61,0))=8),1,0)</x:f>
        <x:v>0</x:v>
      </x:c>
      <x:c r="S72" s="40" t="n">
        <x:f>MAX(0,MIN($E72,S$19)-MAX($D72,S$18))+IF(AND($C72=1,INDEX('城市分配'!$P$6:$P$61,MATCH($A72,'城市分配'!$B$6:$B$61,0))=9),1,0)</x:f>
        <x:v>0</x:v>
      </x:c>
      <x:c r="T72" s="40" t="n">
        <x:f>MAX(0,MIN($E72,T$19)-MAX($D72,T$18))+IF(AND($C72=1,INDEX('城市分配'!$P$6:$P$61,MATCH($A72,'城市分配'!$B$6:$B$61,0))=10),1,0)</x:f>
        <x:v>0</x:v>
      </x:c>
      <x:c r="U72" s="40" t="n">
        <x:f>MAX(0,MIN($E72,U$19)-MAX($D72,U$18))+IF(AND($C72=1,INDEX('城市分配'!$P$6:$P$61,MATCH($A72,'城市分配'!$B$6:$B$61,0))=11),1,0)</x:f>
        <x:v>86</x:v>
      </x:c>
      <x:c r="V72" s="40" t="n">
        <x:f>MAX(0,MIN($I72,J$21)-MAX($H72,J$20))+IF(AND($G72=1,INDEX('城市分配'!$P$6:$P$61,MATCH($A72,'城市分配'!$B$6:$B$61,0))=0),1,0)</x:f>
        <x:v>0</x:v>
      </x:c>
      <x:c r="W72" s="40" t="n">
        <x:f>MAX(0,MIN($I72,K$21)-MAX($H72,K$20))+IF(AND($G72=1,INDEX('城市分配'!$P$6:$P$61,MATCH($A72,'城市分配'!$B$6:$B$61,0))=1),1,0)</x:f>
        <x:v>0</x:v>
      </x:c>
      <x:c r="X72" s="40" t="n">
        <x:f>MAX(0,MIN($I72,L$21)-MAX($H72,L$20))+IF(AND($G72=1,INDEX('城市分配'!$P$6:$P$61,MATCH($A72,'城市分配'!$B$6:$B$61,0))=2),1,0)</x:f>
        <x:v>0</x:v>
      </x:c>
      <x:c r="Y72" s="40" t="n">
        <x:f>MAX(0,MIN($I72,M$21)-MAX($H72,M$20))+IF(AND($G72=1,INDEX('城市分配'!$P$6:$P$61,MATCH($A72,'城市分配'!$B$6:$B$61,0))=3),1,0)</x:f>
        <x:v>0</x:v>
      </x:c>
      <x:c r="Z72" s="40" t="n">
        <x:f>MAX(0,MIN($I72,N$21)-MAX($H72,N$20))+IF(AND($G72=1,INDEX('城市分配'!$P$6:$P$61,MATCH($A72,'城市分配'!$B$6:$B$61,0))=4),1,0)</x:f>
        <x:v>0</x:v>
      </x:c>
      <x:c r="AA72" s="40" t="n">
        <x:f>MAX(0,MIN($I72,O$21)-MAX($H72,O$20))+IF(AND($G72=1,INDEX('城市分配'!$P$6:$P$61,MATCH($A72,'城市分配'!$B$6:$B$61,0))=5),1,0)</x:f>
        <x:v>0</x:v>
      </x:c>
      <x:c r="AB72" s="40" t="n">
        <x:f>MAX(0,MIN($I72,P$21)-MAX($H72,P$20))+IF(AND($G72=1,INDEX('城市分配'!$P$6:$P$61,MATCH($A72,'城市分配'!$B$6:$B$61,0))=6),1,0)</x:f>
        <x:v>0</x:v>
      </x:c>
      <x:c r="AC72" s="40" t="n">
        <x:f>MAX(0,MIN($I72,Q$21)-MAX($H72,Q$20))+IF(AND($G72=1,INDEX('城市分配'!$P$6:$P$61,MATCH($A72,'城市分配'!$B$6:$B$61,0))=7),1,0)</x:f>
        <x:v>0</x:v>
      </x:c>
      <x:c r="AD72" s="40" t="n">
        <x:f>MAX(0,MIN($I72,R$21)-MAX($H72,R$20))+IF(AND($G72=1,INDEX('城市分配'!$P$6:$P$61,MATCH($A72,'城市分配'!$B$6:$B$61,0))=8),1,0)</x:f>
        <x:v>57</x:v>
      </x:c>
      <x:c r="AE72" s="40" t="n">
        <x:f>MAX(0,MIN($I72,S$21)-MAX($H72,S$20))+IF(AND($G72=1,INDEX('城市分配'!$P$6:$P$61,MATCH($A72,'城市分配'!$B$6:$B$61,0))=9),1,0)</x:f>
        <x:v>0</x:v>
      </x:c>
      <x:c r="AF72" s="40" t="n">
        <x:f>MAX(0,MIN($I72,T$21)-MAX($H72,T$20))+IF(AND($G72=1,INDEX('城市分配'!$P$6:$P$61,MATCH($A72,'城市分配'!$B$6:$B$61,0))=10),1,0)</x:f>
        <x:v>0</x:v>
      </x:c>
      <x:c r="AG72" s="40" t="n">
        <x:f>MAX(0,MIN($I72,U$21)-MAX($H72,U$20))+IF(AND($G72=1,INDEX('城市分配'!$P$6:$P$61,MATCH($A72,'城市分配'!$B$6:$B$61,0))=11),1,0)</x:f>
        <x:v>0</x:v>
      </x:c>
      <x:c r="AH72" s="40" t="n">
        <x:f>2*SUM(J72:U72)+4*SUM(V72:AG72)-INDEX('城市分配'!$J$6:$J$61,MATCH($A72,'城市分配'!$B$6:$B$61,0))</x:f>
        <x:v>0</x:v>
      </x:c>
      <x:c r="AI72" s="40" t="n">
        <x:f>IF(INDEX('城市分配'!$D$6:$D$61,MATCH($A72,'城市分配'!$B$6:$B$61,0))="是",--(SUM($J72:$O72)+SUM($V72:$AA72)&gt;0),0)</x:f>
        <x:v>0</x:v>
      </x:c>
    </x:row>
    <x:row r="73">
      <x:c r="A73" t="str">
        <x:v>太原</x:v>
      </x:c>
      <x:c r="B73" s="40" t="n">
        <x:f>INDEX('城市分配'!$M$6:$M$61,MATCH($A73,'城市分配'!$B$6:$B$61,0))</x:f>
        <x:v>0</x:v>
      </x:c>
      <x:c r="C73" s="40" t="n">
        <x:f>IF(AND(INDEX('城市分配'!$D$6:$D$61,MATCH($A73,'城市分配'!$B$6:$B$61,0))="是",B73&gt;0),1,0)</x:f>
        <x:v>0</x:v>
      </x:c>
      <x:c r="D73" s="37" t="n">
        <x:f>SUM($B$28:B72)-SUM($C$28:C72)</x:f>
        <x:v>4374</x:v>
      </x:c>
      <x:c r="E73" s="37" t="n">
        <x:f>D73+B73-C73</x:f>
        <x:v>4374</x:v>
      </x:c>
      <x:c r="F73" s="40" t="n">
        <x:f>INDEX('城市分配'!$L$6:$L$61,MATCH($A73,'城市分配'!$B$6:$B$61,0))</x:f>
        <x:v>0</x:v>
      </x:c>
      <x:c r="G73" s="40" t="n">
        <x:f>IF(AND(INDEX('城市分配'!$D$6:$D$61,MATCH($A73,'城市分配'!$B$6:$B$61,0))="是",F73&gt;0,B73=0),1,0)</x:f>
        <x:v>0</x:v>
      </x:c>
      <x:c r="H73" s="37" t="n">
        <x:f>SUM($F$28:F72)-SUM($G$28:G72)</x:f>
        <x:v>5300</x:v>
      </x:c>
      <x:c r="I73" s="37" t="n">
        <x:f>H73+F73-G73</x:f>
        <x:v>5300</x:v>
      </x:c>
      <x:c r="J73" s="40" t="n">
        <x:f>MAX(0,MIN($E73,J$19)-MAX($D73,J$18))+IF(AND($C73=1,INDEX('城市分配'!$P$6:$P$61,MATCH($A73,'城市分配'!$B$6:$B$61,0))=0),1,0)</x:f>
        <x:v>0</x:v>
      </x:c>
      <x:c r="K73" s="40" t="n">
        <x:f>MAX(0,MIN($E73,K$19)-MAX($D73,K$18))+IF(AND($C73=1,INDEX('城市分配'!$P$6:$P$61,MATCH($A73,'城市分配'!$B$6:$B$61,0))=1),1,0)</x:f>
        <x:v>0</x:v>
      </x:c>
      <x:c r="L73" s="40" t="n">
        <x:f>MAX(0,MIN($E73,L$19)-MAX($D73,L$18))+IF(AND($C73=1,INDEX('城市分配'!$P$6:$P$61,MATCH($A73,'城市分配'!$B$6:$B$61,0))=2),1,0)</x:f>
        <x:v>0</x:v>
      </x:c>
      <x:c r="M73" s="40" t="n">
        <x:f>MAX(0,MIN($E73,M$19)-MAX($D73,M$18))+IF(AND($C73=1,INDEX('城市分配'!$P$6:$P$61,MATCH($A73,'城市分配'!$B$6:$B$61,0))=3),1,0)</x:f>
        <x:v>0</x:v>
      </x:c>
      <x:c r="N73" s="40" t="n">
        <x:f>MAX(0,MIN($E73,N$19)-MAX($D73,N$18))+IF(AND($C73=1,INDEX('城市分配'!$P$6:$P$61,MATCH($A73,'城市分配'!$B$6:$B$61,0))=4),1,0)</x:f>
        <x:v>0</x:v>
      </x:c>
      <x:c r="O73" s="40" t="n">
        <x:f>MAX(0,MIN($E73,O$19)-MAX($D73,O$18))+IF(AND($C73=1,INDEX('城市分配'!$P$6:$P$61,MATCH($A73,'城市分配'!$B$6:$B$61,0))=5),1,0)</x:f>
        <x:v>0</x:v>
      </x:c>
      <x:c r="P73" s="40" t="n">
        <x:f>MAX(0,MIN($E73,P$19)-MAX($D73,P$18))+IF(AND($C73=1,INDEX('城市分配'!$P$6:$P$61,MATCH($A73,'城市分配'!$B$6:$B$61,0))=6),1,0)</x:f>
        <x:v>0</x:v>
      </x:c>
      <x:c r="Q73" s="40" t="n">
        <x:f>MAX(0,MIN($E73,Q$19)-MAX($D73,Q$18))+IF(AND($C73=1,INDEX('城市分配'!$P$6:$P$61,MATCH($A73,'城市分配'!$B$6:$B$61,0))=7),1,0)</x:f>
        <x:v>0</x:v>
      </x:c>
      <x:c r="R73" s="40" t="n">
        <x:f>MAX(0,MIN($E73,R$19)-MAX($D73,R$18))+IF(AND($C73=1,INDEX('城市分配'!$P$6:$P$61,MATCH($A73,'城市分配'!$B$6:$B$61,0))=8),1,0)</x:f>
        <x:v>0</x:v>
      </x:c>
      <x:c r="S73" s="40" t="n">
        <x:f>MAX(0,MIN($E73,S$19)-MAX($D73,S$18))+IF(AND($C73=1,INDEX('城市分配'!$P$6:$P$61,MATCH($A73,'城市分配'!$B$6:$B$61,0))=9),1,0)</x:f>
        <x:v>0</x:v>
      </x:c>
      <x:c r="T73" s="40" t="n">
        <x:f>MAX(0,MIN($E73,T$19)-MAX($D73,T$18))+IF(AND($C73=1,INDEX('城市分配'!$P$6:$P$61,MATCH($A73,'城市分配'!$B$6:$B$61,0))=10),1,0)</x:f>
        <x:v>0</x:v>
      </x:c>
      <x:c r="U73" s="40" t="n">
        <x:f>MAX(0,MIN($E73,U$19)-MAX($D73,U$18))+IF(AND($C73=1,INDEX('城市分配'!$P$6:$P$61,MATCH($A73,'城市分配'!$B$6:$B$61,0))=11),1,0)</x:f>
        <x:v>0</x:v>
      </x:c>
      <x:c r="V73" s="40" t="n">
        <x:f>MAX(0,MIN($I73,J$21)-MAX($H73,J$20))+IF(AND($G73=1,INDEX('城市分配'!$P$6:$P$61,MATCH($A73,'城市分配'!$B$6:$B$61,0))=0),1,0)</x:f>
        <x:v>0</x:v>
      </x:c>
      <x:c r="W73" s="40" t="n">
        <x:f>MAX(0,MIN($I73,K$21)-MAX($H73,K$20))+IF(AND($G73=1,INDEX('城市分配'!$P$6:$P$61,MATCH($A73,'城市分配'!$B$6:$B$61,0))=1),1,0)</x:f>
        <x:v>0</x:v>
      </x:c>
      <x:c r="X73" s="40" t="n">
        <x:f>MAX(0,MIN($I73,L$21)-MAX($H73,L$20))+IF(AND($G73=1,INDEX('城市分配'!$P$6:$P$61,MATCH($A73,'城市分配'!$B$6:$B$61,0))=2),1,0)</x:f>
        <x:v>0</x:v>
      </x:c>
      <x:c r="Y73" s="40" t="n">
        <x:f>MAX(0,MIN($I73,M$21)-MAX($H73,M$20))+IF(AND($G73=1,INDEX('城市分配'!$P$6:$P$61,MATCH($A73,'城市分配'!$B$6:$B$61,0))=3),1,0)</x:f>
        <x:v>0</x:v>
      </x:c>
      <x:c r="Z73" s="40" t="n">
        <x:f>MAX(0,MIN($I73,N$21)-MAX($H73,N$20))+IF(AND($G73=1,INDEX('城市分配'!$P$6:$P$61,MATCH($A73,'城市分配'!$B$6:$B$61,0))=4),1,0)</x:f>
        <x:v>0</x:v>
      </x:c>
      <x:c r="AA73" s="40" t="n">
        <x:f>MAX(0,MIN($I73,O$21)-MAX($H73,O$20))+IF(AND($G73=1,INDEX('城市分配'!$P$6:$P$61,MATCH($A73,'城市分配'!$B$6:$B$61,0))=5),1,0)</x:f>
        <x:v>0</x:v>
      </x:c>
      <x:c r="AB73" s="40" t="n">
        <x:f>MAX(0,MIN($I73,P$21)-MAX($H73,P$20))+IF(AND($G73=1,INDEX('城市分配'!$P$6:$P$61,MATCH($A73,'城市分配'!$B$6:$B$61,0))=6),1,0)</x:f>
        <x:v>0</x:v>
      </x:c>
      <x:c r="AC73" s="40" t="n">
        <x:f>MAX(0,MIN($I73,Q$21)-MAX($H73,Q$20))+IF(AND($G73=1,INDEX('城市分配'!$P$6:$P$61,MATCH($A73,'城市分配'!$B$6:$B$61,0))=7),1,0)</x:f>
        <x:v>0</x:v>
      </x:c>
      <x:c r="AD73" s="40" t="n">
        <x:f>MAX(0,MIN($I73,R$21)-MAX($H73,R$20))+IF(AND($G73=1,INDEX('城市分配'!$P$6:$P$61,MATCH($A73,'城市分配'!$B$6:$B$61,0))=8),1,0)</x:f>
        <x:v>0</x:v>
      </x:c>
      <x:c r="AE73" s="40" t="n">
        <x:f>MAX(0,MIN($I73,S$21)-MAX($H73,S$20))+IF(AND($G73=1,INDEX('城市分配'!$P$6:$P$61,MATCH($A73,'城市分配'!$B$6:$B$61,0))=9),1,0)</x:f>
        <x:v>0</x:v>
      </x:c>
      <x:c r="AF73" s="40" t="n">
        <x:f>MAX(0,MIN($I73,T$21)-MAX($H73,T$20))+IF(AND($G73=1,INDEX('城市分配'!$P$6:$P$61,MATCH($A73,'城市分配'!$B$6:$B$61,0))=10),1,0)</x:f>
        <x:v>0</x:v>
      </x:c>
      <x:c r="AG73" s="40" t="n">
        <x:f>MAX(0,MIN($I73,U$21)-MAX($H73,U$20))+IF(AND($G73=1,INDEX('城市分配'!$P$6:$P$61,MATCH($A73,'城市分配'!$B$6:$B$61,0))=11),1,0)</x:f>
        <x:v>0</x:v>
      </x:c>
      <x:c r="AH73" s="40" t="n">
        <x:f>2*SUM(J73:U73)+4*SUM(V73:AG73)-INDEX('城市分配'!$J$6:$J$61,MATCH($A73,'城市分配'!$B$6:$B$61,0))</x:f>
        <x:v>0</x:v>
      </x:c>
      <x:c r="AI73" s="40" t="n">
        <x:f>IF(INDEX('城市分配'!$D$6:$D$61,MATCH($A73,'城市分配'!$B$6:$B$61,0))="是",--(SUM($J73:$O73)+SUM($V73:$AA73)&gt;0),0)</x:f>
        <x:v>0</x:v>
      </x:c>
    </x:row>
    <x:row r="74">
      <x:c r="A74" t="str">
        <x:v>大连</x:v>
      </x:c>
      <x:c r="B74" s="40" t="n">
        <x:f>INDEX('城市分配'!$M$6:$M$61,MATCH($A74,'城市分配'!$B$6:$B$61,0))</x:f>
        <x:v>0</x:v>
      </x:c>
      <x:c r="C74" s="40" t="n">
        <x:f>IF(AND(INDEX('城市分配'!$D$6:$D$61,MATCH($A74,'城市分配'!$B$6:$B$61,0))="是",B74&gt;0),1,0)</x:f>
        <x:v>0</x:v>
      </x:c>
      <x:c r="D74" s="37" t="n">
        <x:f>SUM($B$28:B73)-SUM($C$28:C73)</x:f>
        <x:v>4374</x:v>
      </x:c>
      <x:c r="E74" s="37" t="n">
        <x:f>D74+B74-C74</x:f>
        <x:v>4374</x:v>
      </x:c>
      <x:c r="F74" s="40" t="n">
        <x:f>INDEX('城市分配'!$L$6:$L$61,MATCH($A74,'城市分配'!$B$6:$B$61,0))</x:f>
        <x:v>0</x:v>
      </x:c>
      <x:c r="G74" s="40" t="n">
        <x:f>IF(AND(INDEX('城市分配'!$D$6:$D$61,MATCH($A74,'城市分配'!$B$6:$B$61,0))="是",F74&gt;0,B74=0),1,0)</x:f>
        <x:v>0</x:v>
      </x:c>
      <x:c r="H74" s="37" t="n">
        <x:f>SUM($F$28:F73)-SUM($G$28:G73)</x:f>
        <x:v>5300</x:v>
      </x:c>
      <x:c r="I74" s="37" t="n">
        <x:f>H74+F74-G74</x:f>
        <x:v>5300</x:v>
      </x:c>
      <x:c r="J74" s="40" t="n">
        <x:f>MAX(0,MIN($E74,J$19)-MAX($D74,J$18))+IF(AND($C74=1,INDEX('城市分配'!$P$6:$P$61,MATCH($A74,'城市分配'!$B$6:$B$61,0))=0),1,0)</x:f>
        <x:v>0</x:v>
      </x:c>
      <x:c r="K74" s="40" t="n">
        <x:f>MAX(0,MIN($E74,K$19)-MAX($D74,K$18))+IF(AND($C74=1,INDEX('城市分配'!$P$6:$P$61,MATCH($A74,'城市分配'!$B$6:$B$61,0))=1),1,0)</x:f>
        <x:v>0</x:v>
      </x:c>
      <x:c r="L74" s="40" t="n">
        <x:f>MAX(0,MIN($E74,L$19)-MAX($D74,L$18))+IF(AND($C74=1,INDEX('城市分配'!$P$6:$P$61,MATCH($A74,'城市分配'!$B$6:$B$61,0))=2),1,0)</x:f>
        <x:v>0</x:v>
      </x:c>
      <x:c r="M74" s="40" t="n">
        <x:f>MAX(0,MIN($E74,M$19)-MAX($D74,M$18))+IF(AND($C74=1,INDEX('城市分配'!$P$6:$P$61,MATCH($A74,'城市分配'!$B$6:$B$61,0))=3),1,0)</x:f>
        <x:v>0</x:v>
      </x:c>
      <x:c r="N74" s="40" t="n">
        <x:f>MAX(0,MIN($E74,N$19)-MAX($D74,N$18))+IF(AND($C74=1,INDEX('城市分配'!$P$6:$P$61,MATCH($A74,'城市分配'!$B$6:$B$61,0))=4),1,0)</x:f>
        <x:v>0</x:v>
      </x:c>
      <x:c r="O74" s="40" t="n">
        <x:f>MAX(0,MIN($E74,O$19)-MAX($D74,O$18))+IF(AND($C74=1,INDEX('城市分配'!$P$6:$P$61,MATCH($A74,'城市分配'!$B$6:$B$61,0))=5),1,0)</x:f>
        <x:v>0</x:v>
      </x:c>
      <x:c r="P74" s="40" t="n">
        <x:f>MAX(0,MIN($E74,P$19)-MAX($D74,P$18))+IF(AND($C74=1,INDEX('城市分配'!$P$6:$P$61,MATCH($A74,'城市分配'!$B$6:$B$61,0))=6),1,0)</x:f>
        <x:v>0</x:v>
      </x:c>
      <x:c r="Q74" s="40" t="n">
        <x:f>MAX(0,MIN($E74,Q$19)-MAX($D74,Q$18))+IF(AND($C74=1,INDEX('城市分配'!$P$6:$P$61,MATCH($A74,'城市分配'!$B$6:$B$61,0))=7),1,0)</x:f>
        <x:v>0</x:v>
      </x:c>
      <x:c r="R74" s="40" t="n">
        <x:f>MAX(0,MIN($E74,R$19)-MAX($D74,R$18))+IF(AND($C74=1,INDEX('城市分配'!$P$6:$P$61,MATCH($A74,'城市分配'!$B$6:$B$61,0))=8),1,0)</x:f>
        <x:v>0</x:v>
      </x:c>
      <x:c r="S74" s="40" t="n">
        <x:f>MAX(0,MIN($E74,S$19)-MAX($D74,S$18))+IF(AND($C74=1,INDEX('城市分配'!$P$6:$P$61,MATCH($A74,'城市分配'!$B$6:$B$61,0))=9),1,0)</x:f>
        <x:v>0</x:v>
      </x:c>
      <x:c r="T74" s="40" t="n">
        <x:f>MAX(0,MIN($E74,T$19)-MAX($D74,T$18))+IF(AND($C74=1,INDEX('城市分配'!$P$6:$P$61,MATCH($A74,'城市分配'!$B$6:$B$61,0))=10),1,0)</x:f>
        <x:v>0</x:v>
      </x:c>
      <x:c r="U74" s="40" t="n">
        <x:f>MAX(0,MIN($E74,U$19)-MAX($D74,U$18))+IF(AND($C74=1,INDEX('城市分配'!$P$6:$P$61,MATCH($A74,'城市分配'!$B$6:$B$61,0))=11),1,0)</x:f>
        <x:v>0</x:v>
      </x:c>
      <x:c r="V74" s="40" t="n">
        <x:f>MAX(0,MIN($I74,J$21)-MAX($H74,J$20))+IF(AND($G74=1,INDEX('城市分配'!$P$6:$P$61,MATCH($A74,'城市分配'!$B$6:$B$61,0))=0),1,0)</x:f>
        <x:v>0</x:v>
      </x:c>
      <x:c r="W74" s="40" t="n">
        <x:f>MAX(0,MIN($I74,K$21)-MAX($H74,K$20))+IF(AND($G74=1,INDEX('城市分配'!$P$6:$P$61,MATCH($A74,'城市分配'!$B$6:$B$61,0))=1),1,0)</x:f>
        <x:v>0</x:v>
      </x:c>
      <x:c r="X74" s="40" t="n">
        <x:f>MAX(0,MIN($I74,L$21)-MAX($H74,L$20))+IF(AND($G74=1,INDEX('城市分配'!$P$6:$P$61,MATCH($A74,'城市分配'!$B$6:$B$61,0))=2),1,0)</x:f>
        <x:v>0</x:v>
      </x:c>
      <x:c r="Y74" s="40" t="n">
        <x:f>MAX(0,MIN($I74,M$21)-MAX($H74,M$20))+IF(AND($G74=1,INDEX('城市分配'!$P$6:$P$61,MATCH($A74,'城市分配'!$B$6:$B$61,0))=3),1,0)</x:f>
        <x:v>0</x:v>
      </x:c>
      <x:c r="Z74" s="40" t="n">
        <x:f>MAX(0,MIN($I74,N$21)-MAX($H74,N$20))+IF(AND($G74=1,INDEX('城市分配'!$P$6:$P$61,MATCH($A74,'城市分配'!$B$6:$B$61,0))=4),1,0)</x:f>
        <x:v>0</x:v>
      </x:c>
      <x:c r="AA74" s="40" t="n">
        <x:f>MAX(0,MIN($I74,O$21)-MAX($H74,O$20))+IF(AND($G74=1,INDEX('城市分配'!$P$6:$P$61,MATCH($A74,'城市分配'!$B$6:$B$61,0))=5),1,0)</x:f>
        <x:v>0</x:v>
      </x:c>
      <x:c r="AB74" s="40" t="n">
        <x:f>MAX(0,MIN($I74,P$21)-MAX($H74,P$20))+IF(AND($G74=1,INDEX('城市分配'!$P$6:$P$61,MATCH($A74,'城市分配'!$B$6:$B$61,0))=6),1,0)</x:f>
        <x:v>0</x:v>
      </x:c>
      <x:c r="AC74" s="40" t="n">
        <x:f>MAX(0,MIN($I74,Q$21)-MAX($H74,Q$20))+IF(AND($G74=1,INDEX('城市分配'!$P$6:$P$61,MATCH($A74,'城市分配'!$B$6:$B$61,0))=7),1,0)</x:f>
        <x:v>0</x:v>
      </x:c>
      <x:c r="AD74" s="40" t="n">
        <x:f>MAX(0,MIN($I74,R$21)-MAX($H74,R$20))+IF(AND($G74=1,INDEX('城市分配'!$P$6:$P$61,MATCH($A74,'城市分配'!$B$6:$B$61,0))=8),1,0)</x:f>
        <x:v>0</x:v>
      </x:c>
      <x:c r="AE74" s="40" t="n">
        <x:f>MAX(0,MIN($I74,S$21)-MAX($H74,S$20))+IF(AND($G74=1,INDEX('城市分配'!$P$6:$P$61,MATCH($A74,'城市分配'!$B$6:$B$61,0))=9),1,0)</x:f>
        <x:v>0</x:v>
      </x:c>
      <x:c r="AF74" s="40" t="n">
        <x:f>MAX(0,MIN($I74,T$21)-MAX($H74,T$20))+IF(AND($G74=1,INDEX('城市分配'!$P$6:$P$61,MATCH($A74,'城市分配'!$B$6:$B$61,0))=10),1,0)</x:f>
        <x:v>0</x:v>
      </x:c>
      <x:c r="AG74" s="40" t="n">
        <x:f>MAX(0,MIN($I74,U$21)-MAX($H74,U$20))+IF(AND($G74=1,INDEX('城市分配'!$P$6:$P$61,MATCH($A74,'城市分配'!$B$6:$B$61,0))=11),1,0)</x:f>
        <x:v>0</x:v>
      </x:c>
      <x:c r="AH74" s="40" t="n">
        <x:f>2*SUM(J74:U74)+4*SUM(V74:AG74)-INDEX('城市分配'!$J$6:$J$61,MATCH($A74,'城市分配'!$B$6:$B$61,0))</x:f>
        <x:v>0</x:v>
      </x:c>
      <x:c r="AI74" s="40" t="n">
        <x:f>IF(INDEX('城市分配'!$D$6:$D$61,MATCH($A74,'城市分配'!$B$6:$B$61,0))="是",--(SUM($J74:$O74)+SUM($V74:$AA74)&gt;0),0)</x:f>
        <x:v>0</x:v>
      </x:c>
    </x:row>
    <x:row r="75">
      <x:c r="A75" t="str">
        <x:v>珠海</x:v>
      </x:c>
      <x:c r="B75" s="40" t="n">
        <x:f>INDEX('城市分配'!$M$6:$M$61,MATCH($A75,'城市分配'!$B$6:$B$61,0))</x:f>
        <x:v>0</x:v>
      </x:c>
      <x:c r="C75" s="40" t="n">
        <x:f>IF(AND(INDEX('城市分配'!$D$6:$D$61,MATCH($A75,'城市分配'!$B$6:$B$61,0))="是",B75&gt;0),1,0)</x:f>
        <x:v>0</x:v>
      </x:c>
      <x:c r="D75" s="37" t="n">
        <x:f>SUM($B$28:B74)-SUM($C$28:C74)</x:f>
        <x:v>4374</x:v>
      </x:c>
      <x:c r="E75" s="37" t="n">
        <x:f>D75+B75-C75</x:f>
        <x:v>4374</x:v>
      </x:c>
      <x:c r="F75" s="40" t="n">
        <x:f>INDEX('城市分配'!$L$6:$L$61,MATCH($A75,'城市分配'!$B$6:$B$61,0))</x:f>
        <x:v>0</x:v>
      </x:c>
      <x:c r="G75" s="40" t="n">
        <x:f>IF(AND(INDEX('城市分配'!$D$6:$D$61,MATCH($A75,'城市分配'!$B$6:$B$61,0))="是",F75&gt;0,B75=0),1,0)</x:f>
        <x:v>0</x:v>
      </x:c>
      <x:c r="H75" s="37" t="n">
        <x:f>SUM($F$28:F74)-SUM($G$28:G74)</x:f>
        <x:v>5300</x:v>
      </x:c>
      <x:c r="I75" s="37" t="n">
        <x:f>H75+F75-G75</x:f>
        <x:v>5300</x:v>
      </x:c>
      <x:c r="J75" s="40" t="n">
        <x:f>MAX(0,MIN($E75,J$19)-MAX($D75,J$18))+IF(AND($C75=1,INDEX('城市分配'!$P$6:$P$61,MATCH($A75,'城市分配'!$B$6:$B$61,0))=0),1,0)</x:f>
        <x:v>0</x:v>
      </x:c>
      <x:c r="K75" s="40" t="n">
        <x:f>MAX(0,MIN($E75,K$19)-MAX($D75,K$18))+IF(AND($C75=1,INDEX('城市分配'!$P$6:$P$61,MATCH($A75,'城市分配'!$B$6:$B$61,0))=1),1,0)</x:f>
        <x:v>0</x:v>
      </x:c>
      <x:c r="L75" s="40" t="n">
        <x:f>MAX(0,MIN($E75,L$19)-MAX($D75,L$18))+IF(AND($C75=1,INDEX('城市分配'!$P$6:$P$61,MATCH($A75,'城市分配'!$B$6:$B$61,0))=2),1,0)</x:f>
        <x:v>0</x:v>
      </x:c>
      <x:c r="M75" s="40" t="n">
        <x:f>MAX(0,MIN($E75,M$19)-MAX($D75,M$18))+IF(AND($C75=1,INDEX('城市分配'!$P$6:$P$61,MATCH($A75,'城市分配'!$B$6:$B$61,0))=3),1,0)</x:f>
        <x:v>0</x:v>
      </x:c>
      <x:c r="N75" s="40" t="n">
        <x:f>MAX(0,MIN($E75,N$19)-MAX($D75,N$18))+IF(AND($C75=1,INDEX('城市分配'!$P$6:$P$61,MATCH($A75,'城市分配'!$B$6:$B$61,0))=4),1,0)</x:f>
        <x:v>0</x:v>
      </x:c>
      <x:c r="O75" s="40" t="n">
        <x:f>MAX(0,MIN($E75,O$19)-MAX($D75,O$18))+IF(AND($C75=1,INDEX('城市分配'!$P$6:$P$61,MATCH($A75,'城市分配'!$B$6:$B$61,0))=5),1,0)</x:f>
        <x:v>0</x:v>
      </x:c>
      <x:c r="P75" s="40" t="n">
        <x:f>MAX(0,MIN($E75,P$19)-MAX($D75,P$18))+IF(AND($C75=1,INDEX('城市分配'!$P$6:$P$61,MATCH($A75,'城市分配'!$B$6:$B$61,0))=6),1,0)</x:f>
        <x:v>0</x:v>
      </x:c>
      <x:c r="Q75" s="40" t="n">
        <x:f>MAX(0,MIN($E75,Q$19)-MAX($D75,Q$18))+IF(AND($C75=1,INDEX('城市分配'!$P$6:$P$61,MATCH($A75,'城市分配'!$B$6:$B$61,0))=7),1,0)</x:f>
        <x:v>0</x:v>
      </x:c>
      <x:c r="R75" s="40" t="n">
        <x:f>MAX(0,MIN($E75,R$19)-MAX($D75,R$18))+IF(AND($C75=1,INDEX('城市分配'!$P$6:$P$61,MATCH($A75,'城市分配'!$B$6:$B$61,0))=8),1,0)</x:f>
        <x:v>0</x:v>
      </x:c>
      <x:c r="S75" s="40" t="n">
        <x:f>MAX(0,MIN($E75,S$19)-MAX($D75,S$18))+IF(AND($C75=1,INDEX('城市分配'!$P$6:$P$61,MATCH($A75,'城市分配'!$B$6:$B$61,0))=9),1,0)</x:f>
        <x:v>0</x:v>
      </x:c>
      <x:c r="T75" s="40" t="n">
        <x:f>MAX(0,MIN($E75,T$19)-MAX($D75,T$18))+IF(AND($C75=1,INDEX('城市分配'!$P$6:$P$61,MATCH($A75,'城市分配'!$B$6:$B$61,0))=10),1,0)</x:f>
        <x:v>0</x:v>
      </x:c>
      <x:c r="U75" s="40" t="n">
        <x:f>MAX(0,MIN($E75,U$19)-MAX($D75,U$18))+IF(AND($C75=1,INDEX('城市分配'!$P$6:$P$61,MATCH($A75,'城市分配'!$B$6:$B$61,0))=11),1,0)</x:f>
        <x:v>0</x:v>
      </x:c>
      <x:c r="V75" s="40" t="n">
        <x:f>MAX(0,MIN($I75,J$21)-MAX($H75,J$20))+IF(AND($G75=1,INDEX('城市分配'!$P$6:$P$61,MATCH($A75,'城市分配'!$B$6:$B$61,0))=0),1,0)</x:f>
        <x:v>0</x:v>
      </x:c>
      <x:c r="W75" s="40" t="n">
        <x:f>MAX(0,MIN($I75,K$21)-MAX($H75,K$20))+IF(AND($G75=1,INDEX('城市分配'!$P$6:$P$61,MATCH($A75,'城市分配'!$B$6:$B$61,0))=1),1,0)</x:f>
        <x:v>0</x:v>
      </x:c>
      <x:c r="X75" s="40" t="n">
        <x:f>MAX(0,MIN($I75,L$21)-MAX($H75,L$20))+IF(AND($G75=1,INDEX('城市分配'!$P$6:$P$61,MATCH($A75,'城市分配'!$B$6:$B$61,0))=2),1,0)</x:f>
        <x:v>0</x:v>
      </x:c>
      <x:c r="Y75" s="40" t="n">
        <x:f>MAX(0,MIN($I75,M$21)-MAX($H75,M$20))+IF(AND($G75=1,INDEX('城市分配'!$P$6:$P$61,MATCH($A75,'城市分配'!$B$6:$B$61,0))=3),1,0)</x:f>
        <x:v>0</x:v>
      </x:c>
      <x:c r="Z75" s="40" t="n">
        <x:f>MAX(0,MIN($I75,N$21)-MAX($H75,N$20))+IF(AND($G75=1,INDEX('城市分配'!$P$6:$P$61,MATCH($A75,'城市分配'!$B$6:$B$61,0))=4),1,0)</x:f>
        <x:v>0</x:v>
      </x:c>
      <x:c r="AA75" s="40" t="n">
        <x:f>MAX(0,MIN($I75,O$21)-MAX($H75,O$20))+IF(AND($G75=1,INDEX('城市分配'!$P$6:$P$61,MATCH($A75,'城市分配'!$B$6:$B$61,0))=5),1,0)</x:f>
        <x:v>0</x:v>
      </x:c>
      <x:c r="AB75" s="40" t="n">
        <x:f>MAX(0,MIN($I75,P$21)-MAX($H75,P$20))+IF(AND($G75=1,INDEX('城市分配'!$P$6:$P$61,MATCH($A75,'城市分配'!$B$6:$B$61,0))=6),1,0)</x:f>
        <x:v>0</x:v>
      </x:c>
      <x:c r="AC75" s="40" t="n">
        <x:f>MAX(0,MIN($I75,Q$21)-MAX($H75,Q$20))+IF(AND($G75=1,INDEX('城市分配'!$P$6:$P$61,MATCH($A75,'城市分配'!$B$6:$B$61,0))=7),1,0)</x:f>
        <x:v>0</x:v>
      </x:c>
      <x:c r="AD75" s="40" t="n">
        <x:f>MAX(0,MIN($I75,R$21)-MAX($H75,R$20))+IF(AND($G75=1,INDEX('城市分配'!$P$6:$P$61,MATCH($A75,'城市分配'!$B$6:$B$61,0))=8),1,0)</x:f>
        <x:v>0</x:v>
      </x:c>
      <x:c r="AE75" s="40" t="n">
        <x:f>MAX(0,MIN($I75,S$21)-MAX($H75,S$20))+IF(AND($G75=1,INDEX('城市分配'!$P$6:$P$61,MATCH($A75,'城市分配'!$B$6:$B$61,0))=9),1,0)</x:f>
        <x:v>0</x:v>
      </x:c>
      <x:c r="AF75" s="40" t="n">
        <x:f>MAX(0,MIN($I75,T$21)-MAX($H75,T$20))+IF(AND($G75=1,INDEX('城市分配'!$P$6:$P$61,MATCH($A75,'城市分配'!$B$6:$B$61,0))=10),1,0)</x:f>
        <x:v>0</x:v>
      </x:c>
      <x:c r="AG75" s="40" t="n">
        <x:f>MAX(0,MIN($I75,U$21)-MAX($H75,U$20))+IF(AND($G75=1,INDEX('城市分配'!$P$6:$P$61,MATCH($A75,'城市分配'!$B$6:$B$61,0))=11),1,0)</x:f>
        <x:v>0</x:v>
      </x:c>
      <x:c r="AH75" s="40" t="n">
        <x:f>2*SUM(J75:U75)+4*SUM(V75:AG75)-INDEX('城市分配'!$J$6:$J$61,MATCH($A75,'城市分配'!$B$6:$B$61,0))</x:f>
        <x:v>0</x:v>
      </x:c>
      <x:c r="AI75" s="40" t="n">
        <x:f>IF(INDEX('城市分配'!$D$6:$D$61,MATCH($A75,'城市分配'!$B$6:$B$61,0))="是",--(SUM($J75:$O75)+SUM($V75:$AA75)&gt;0),0)</x:f>
        <x:v>0</x:v>
      </x:c>
    </x:row>
    <x:row r="76">
      <x:c r="A76" t="str">
        <x:v>南昌</x:v>
      </x:c>
      <x:c r="B76" s="40" t="n">
        <x:f>INDEX('城市分配'!$M$6:$M$61,MATCH($A76,'城市分配'!$B$6:$B$61,0))</x:f>
        <x:v>0</x:v>
      </x:c>
      <x:c r="C76" s="40" t="n">
        <x:f>IF(AND(INDEX('城市分配'!$D$6:$D$61,MATCH($A76,'城市分配'!$B$6:$B$61,0))="是",B76&gt;0),1,0)</x:f>
        <x:v>0</x:v>
      </x:c>
      <x:c r="D76" s="37" t="n">
        <x:f>SUM($B$28:B75)-SUM($C$28:C75)</x:f>
        <x:v>4374</x:v>
      </x:c>
      <x:c r="E76" s="37" t="n">
        <x:f>D76+B76-C76</x:f>
        <x:v>4374</x:v>
      </x:c>
      <x:c r="F76" s="40" t="n">
        <x:f>INDEX('城市分配'!$L$6:$L$61,MATCH($A76,'城市分配'!$B$6:$B$61,0))</x:f>
        <x:v>0</x:v>
      </x:c>
      <x:c r="G76" s="40" t="n">
        <x:f>IF(AND(INDEX('城市分配'!$D$6:$D$61,MATCH($A76,'城市分配'!$B$6:$B$61,0))="是",F76&gt;0,B76=0),1,0)</x:f>
        <x:v>0</x:v>
      </x:c>
      <x:c r="H76" s="37" t="n">
        <x:f>SUM($F$28:F75)-SUM($G$28:G75)</x:f>
        <x:v>5300</x:v>
      </x:c>
      <x:c r="I76" s="37" t="n">
        <x:f>H76+F76-G76</x:f>
        <x:v>5300</x:v>
      </x:c>
      <x:c r="J76" s="40" t="n">
        <x:f>MAX(0,MIN($E76,J$19)-MAX($D76,J$18))+IF(AND($C76=1,INDEX('城市分配'!$P$6:$P$61,MATCH($A76,'城市分配'!$B$6:$B$61,0))=0),1,0)</x:f>
        <x:v>0</x:v>
      </x:c>
      <x:c r="K76" s="40" t="n">
        <x:f>MAX(0,MIN($E76,K$19)-MAX($D76,K$18))+IF(AND($C76=1,INDEX('城市分配'!$P$6:$P$61,MATCH($A76,'城市分配'!$B$6:$B$61,0))=1),1,0)</x:f>
        <x:v>0</x:v>
      </x:c>
      <x:c r="L76" s="40" t="n">
        <x:f>MAX(0,MIN($E76,L$19)-MAX($D76,L$18))+IF(AND($C76=1,INDEX('城市分配'!$P$6:$P$61,MATCH($A76,'城市分配'!$B$6:$B$61,0))=2),1,0)</x:f>
        <x:v>0</x:v>
      </x:c>
      <x:c r="M76" s="40" t="n">
        <x:f>MAX(0,MIN($E76,M$19)-MAX($D76,M$18))+IF(AND($C76=1,INDEX('城市分配'!$P$6:$P$61,MATCH($A76,'城市分配'!$B$6:$B$61,0))=3),1,0)</x:f>
        <x:v>0</x:v>
      </x:c>
      <x:c r="N76" s="40" t="n">
        <x:f>MAX(0,MIN($E76,N$19)-MAX($D76,N$18))+IF(AND($C76=1,INDEX('城市分配'!$P$6:$P$61,MATCH($A76,'城市分配'!$B$6:$B$61,0))=4),1,0)</x:f>
        <x:v>0</x:v>
      </x:c>
      <x:c r="O76" s="40" t="n">
        <x:f>MAX(0,MIN($E76,O$19)-MAX($D76,O$18))+IF(AND($C76=1,INDEX('城市分配'!$P$6:$P$61,MATCH($A76,'城市分配'!$B$6:$B$61,0))=5),1,0)</x:f>
        <x:v>0</x:v>
      </x:c>
      <x:c r="P76" s="40" t="n">
        <x:f>MAX(0,MIN($E76,P$19)-MAX($D76,P$18))+IF(AND($C76=1,INDEX('城市分配'!$P$6:$P$61,MATCH($A76,'城市分配'!$B$6:$B$61,0))=6),1,0)</x:f>
        <x:v>0</x:v>
      </x:c>
      <x:c r="Q76" s="40" t="n">
        <x:f>MAX(0,MIN($E76,Q$19)-MAX($D76,Q$18))+IF(AND($C76=1,INDEX('城市分配'!$P$6:$P$61,MATCH($A76,'城市分配'!$B$6:$B$61,0))=7),1,0)</x:f>
        <x:v>0</x:v>
      </x:c>
      <x:c r="R76" s="40" t="n">
        <x:f>MAX(0,MIN($E76,R$19)-MAX($D76,R$18))+IF(AND($C76=1,INDEX('城市分配'!$P$6:$P$61,MATCH($A76,'城市分配'!$B$6:$B$61,0))=8),1,0)</x:f>
        <x:v>0</x:v>
      </x:c>
      <x:c r="S76" s="40" t="n">
        <x:f>MAX(0,MIN($E76,S$19)-MAX($D76,S$18))+IF(AND($C76=1,INDEX('城市分配'!$P$6:$P$61,MATCH($A76,'城市分配'!$B$6:$B$61,0))=9),1,0)</x:f>
        <x:v>0</x:v>
      </x:c>
      <x:c r="T76" s="40" t="n">
        <x:f>MAX(0,MIN($E76,T$19)-MAX($D76,T$18))+IF(AND($C76=1,INDEX('城市分配'!$P$6:$P$61,MATCH($A76,'城市分配'!$B$6:$B$61,0))=10),1,0)</x:f>
        <x:v>0</x:v>
      </x:c>
      <x:c r="U76" s="40" t="n">
        <x:f>MAX(0,MIN($E76,U$19)-MAX($D76,U$18))+IF(AND($C76=1,INDEX('城市分配'!$P$6:$P$61,MATCH($A76,'城市分配'!$B$6:$B$61,0))=11),1,0)</x:f>
        <x:v>0</x:v>
      </x:c>
      <x:c r="V76" s="40" t="n">
        <x:f>MAX(0,MIN($I76,J$21)-MAX($H76,J$20))+IF(AND($G76=1,INDEX('城市分配'!$P$6:$P$61,MATCH($A76,'城市分配'!$B$6:$B$61,0))=0),1,0)</x:f>
        <x:v>0</x:v>
      </x:c>
      <x:c r="W76" s="40" t="n">
        <x:f>MAX(0,MIN($I76,K$21)-MAX($H76,K$20))+IF(AND($G76=1,INDEX('城市分配'!$P$6:$P$61,MATCH($A76,'城市分配'!$B$6:$B$61,0))=1),1,0)</x:f>
        <x:v>0</x:v>
      </x:c>
      <x:c r="X76" s="40" t="n">
        <x:f>MAX(0,MIN($I76,L$21)-MAX($H76,L$20))+IF(AND($G76=1,INDEX('城市分配'!$P$6:$P$61,MATCH($A76,'城市分配'!$B$6:$B$61,0))=2),1,0)</x:f>
        <x:v>0</x:v>
      </x:c>
      <x:c r="Y76" s="40" t="n">
        <x:f>MAX(0,MIN($I76,M$21)-MAX($H76,M$20))+IF(AND($G76=1,INDEX('城市分配'!$P$6:$P$61,MATCH($A76,'城市分配'!$B$6:$B$61,0))=3),1,0)</x:f>
        <x:v>0</x:v>
      </x:c>
      <x:c r="Z76" s="40" t="n">
        <x:f>MAX(0,MIN($I76,N$21)-MAX($H76,N$20))+IF(AND($G76=1,INDEX('城市分配'!$P$6:$P$61,MATCH($A76,'城市分配'!$B$6:$B$61,0))=4),1,0)</x:f>
        <x:v>0</x:v>
      </x:c>
      <x:c r="AA76" s="40" t="n">
        <x:f>MAX(0,MIN($I76,O$21)-MAX($H76,O$20))+IF(AND($G76=1,INDEX('城市分配'!$P$6:$P$61,MATCH($A76,'城市分配'!$B$6:$B$61,0))=5),1,0)</x:f>
        <x:v>0</x:v>
      </x:c>
      <x:c r="AB76" s="40" t="n">
        <x:f>MAX(0,MIN($I76,P$21)-MAX($H76,P$20))+IF(AND($G76=1,INDEX('城市分配'!$P$6:$P$61,MATCH($A76,'城市分配'!$B$6:$B$61,0))=6),1,0)</x:f>
        <x:v>0</x:v>
      </x:c>
      <x:c r="AC76" s="40" t="n">
        <x:f>MAX(0,MIN($I76,Q$21)-MAX($H76,Q$20))+IF(AND($G76=1,INDEX('城市分配'!$P$6:$P$61,MATCH($A76,'城市分配'!$B$6:$B$61,0))=7),1,0)</x:f>
        <x:v>0</x:v>
      </x:c>
      <x:c r="AD76" s="40" t="n">
        <x:f>MAX(0,MIN($I76,R$21)-MAX($H76,R$20))+IF(AND($G76=1,INDEX('城市分配'!$P$6:$P$61,MATCH($A76,'城市分配'!$B$6:$B$61,0))=8),1,0)</x:f>
        <x:v>0</x:v>
      </x:c>
      <x:c r="AE76" s="40" t="n">
        <x:f>MAX(0,MIN($I76,S$21)-MAX($H76,S$20))+IF(AND($G76=1,INDEX('城市分配'!$P$6:$P$61,MATCH($A76,'城市分配'!$B$6:$B$61,0))=9),1,0)</x:f>
        <x:v>0</x:v>
      </x:c>
      <x:c r="AF76" s="40" t="n">
        <x:f>MAX(0,MIN($I76,T$21)-MAX($H76,T$20))+IF(AND($G76=1,INDEX('城市分配'!$P$6:$P$61,MATCH($A76,'城市分配'!$B$6:$B$61,0))=10),1,0)</x:f>
        <x:v>0</x:v>
      </x:c>
      <x:c r="AG76" s="40" t="n">
        <x:f>MAX(0,MIN($I76,U$21)-MAX($H76,U$20))+IF(AND($G76=1,INDEX('城市分配'!$P$6:$P$61,MATCH($A76,'城市分配'!$B$6:$B$61,0))=11),1,0)</x:f>
        <x:v>0</x:v>
      </x:c>
      <x:c r="AH76" s="40" t="n">
        <x:f>2*SUM(J76:U76)+4*SUM(V76:AG76)-INDEX('城市分配'!$J$6:$J$61,MATCH($A76,'城市分配'!$B$6:$B$61,0))</x:f>
        <x:v>0</x:v>
      </x:c>
      <x:c r="AI76" s="40" t="n">
        <x:f>IF(INDEX('城市分配'!$D$6:$D$61,MATCH($A76,'城市分配'!$B$6:$B$61,0))="是",--(SUM($J76:$O76)+SUM($V76:$AA76)&gt;0),0)</x:f>
        <x:v>0</x:v>
      </x:c>
    </x:row>
    <x:row r="77">
      <x:c r="A77" t="str">
        <x:v>泉州</x:v>
      </x:c>
      <x:c r="B77" s="40" t="n">
        <x:f>INDEX('城市分配'!$M$6:$M$61,MATCH($A77,'城市分配'!$B$6:$B$61,0))</x:f>
        <x:v>0</x:v>
      </x:c>
      <x:c r="C77" s="40" t="n">
        <x:f>IF(AND(INDEX('城市分配'!$D$6:$D$61,MATCH($A77,'城市分配'!$B$6:$B$61,0))="是",B77&gt;0),1,0)</x:f>
        <x:v>0</x:v>
      </x:c>
      <x:c r="D77" s="37" t="n">
        <x:f>SUM($B$28:B76)-SUM($C$28:C76)</x:f>
        <x:v>4374</x:v>
      </x:c>
      <x:c r="E77" s="37" t="n">
        <x:f>D77+B77-C77</x:f>
        <x:v>4374</x:v>
      </x:c>
      <x:c r="F77" s="40" t="n">
        <x:f>INDEX('城市分配'!$L$6:$L$61,MATCH($A77,'城市分配'!$B$6:$B$61,0))</x:f>
        <x:v>0</x:v>
      </x:c>
      <x:c r="G77" s="40" t="n">
        <x:f>IF(AND(INDEX('城市分配'!$D$6:$D$61,MATCH($A77,'城市分配'!$B$6:$B$61,0))="是",F77&gt;0,B77=0),1,0)</x:f>
        <x:v>0</x:v>
      </x:c>
      <x:c r="H77" s="37" t="n">
        <x:f>SUM($F$28:F76)-SUM($G$28:G76)</x:f>
        <x:v>5300</x:v>
      </x:c>
      <x:c r="I77" s="37" t="n">
        <x:f>H77+F77-G77</x:f>
        <x:v>5300</x:v>
      </x:c>
      <x:c r="J77" s="40" t="n">
        <x:f>MAX(0,MIN($E77,J$19)-MAX($D77,J$18))+IF(AND($C77=1,INDEX('城市分配'!$P$6:$P$61,MATCH($A77,'城市分配'!$B$6:$B$61,0))=0),1,0)</x:f>
        <x:v>0</x:v>
      </x:c>
      <x:c r="K77" s="40" t="n">
        <x:f>MAX(0,MIN($E77,K$19)-MAX($D77,K$18))+IF(AND($C77=1,INDEX('城市分配'!$P$6:$P$61,MATCH($A77,'城市分配'!$B$6:$B$61,0))=1),1,0)</x:f>
        <x:v>0</x:v>
      </x:c>
      <x:c r="L77" s="40" t="n">
        <x:f>MAX(0,MIN($E77,L$19)-MAX($D77,L$18))+IF(AND($C77=1,INDEX('城市分配'!$P$6:$P$61,MATCH($A77,'城市分配'!$B$6:$B$61,0))=2),1,0)</x:f>
        <x:v>0</x:v>
      </x:c>
      <x:c r="M77" s="40" t="n">
        <x:f>MAX(0,MIN($E77,M$19)-MAX($D77,M$18))+IF(AND($C77=1,INDEX('城市分配'!$P$6:$P$61,MATCH($A77,'城市分配'!$B$6:$B$61,0))=3),1,0)</x:f>
        <x:v>0</x:v>
      </x:c>
      <x:c r="N77" s="40" t="n">
        <x:f>MAX(0,MIN($E77,N$19)-MAX($D77,N$18))+IF(AND($C77=1,INDEX('城市分配'!$P$6:$P$61,MATCH($A77,'城市分配'!$B$6:$B$61,0))=4),1,0)</x:f>
        <x:v>0</x:v>
      </x:c>
      <x:c r="O77" s="40" t="n">
        <x:f>MAX(0,MIN($E77,O$19)-MAX($D77,O$18))+IF(AND($C77=1,INDEX('城市分配'!$P$6:$P$61,MATCH($A77,'城市分配'!$B$6:$B$61,0))=5),1,0)</x:f>
        <x:v>0</x:v>
      </x:c>
      <x:c r="P77" s="40" t="n">
        <x:f>MAX(0,MIN($E77,P$19)-MAX($D77,P$18))+IF(AND($C77=1,INDEX('城市分配'!$P$6:$P$61,MATCH($A77,'城市分配'!$B$6:$B$61,0))=6),1,0)</x:f>
        <x:v>0</x:v>
      </x:c>
      <x:c r="Q77" s="40" t="n">
        <x:f>MAX(0,MIN($E77,Q$19)-MAX($D77,Q$18))+IF(AND($C77=1,INDEX('城市分配'!$P$6:$P$61,MATCH($A77,'城市分配'!$B$6:$B$61,0))=7),1,0)</x:f>
        <x:v>0</x:v>
      </x:c>
      <x:c r="R77" s="40" t="n">
        <x:f>MAX(0,MIN($E77,R$19)-MAX($D77,R$18))+IF(AND($C77=1,INDEX('城市分配'!$P$6:$P$61,MATCH($A77,'城市分配'!$B$6:$B$61,0))=8),1,0)</x:f>
        <x:v>0</x:v>
      </x:c>
      <x:c r="S77" s="40" t="n">
        <x:f>MAX(0,MIN($E77,S$19)-MAX($D77,S$18))+IF(AND($C77=1,INDEX('城市分配'!$P$6:$P$61,MATCH($A77,'城市分配'!$B$6:$B$61,0))=9),1,0)</x:f>
        <x:v>0</x:v>
      </x:c>
      <x:c r="T77" s="40" t="n">
        <x:f>MAX(0,MIN($E77,T$19)-MAX($D77,T$18))+IF(AND($C77=1,INDEX('城市分配'!$P$6:$P$61,MATCH($A77,'城市分配'!$B$6:$B$61,0))=10),1,0)</x:f>
        <x:v>0</x:v>
      </x:c>
      <x:c r="U77" s="40" t="n">
        <x:f>MAX(0,MIN($E77,U$19)-MAX($D77,U$18))+IF(AND($C77=1,INDEX('城市分配'!$P$6:$P$61,MATCH($A77,'城市分配'!$B$6:$B$61,0))=11),1,0)</x:f>
        <x:v>0</x:v>
      </x:c>
      <x:c r="V77" s="40" t="n">
        <x:f>MAX(0,MIN($I77,J$21)-MAX($H77,J$20))+IF(AND($G77=1,INDEX('城市分配'!$P$6:$P$61,MATCH($A77,'城市分配'!$B$6:$B$61,0))=0),1,0)</x:f>
        <x:v>0</x:v>
      </x:c>
      <x:c r="W77" s="40" t="n">
        <x:f>MAX(0,MIN($I77,K$21)-MAX($H77,K$20))+IF(AND($G77=1,INDEX('城市分配'!$P$6:$P$61,MATCH($A77,'城市分配'!$B$6:$B$61,0))=1),1,0)</x:f>
        <x:v>0</x:v>
      </x:c>
      <x:c r="X77" s="40" t="n">
        <x:f>MAX(0,MIN($I77,L$21)-MAX($H77,L$20))+IF(AND($G77=1,INDEX('城市分配'!$P$6:$P$61,MATCH($A77,'城市分配'!$B$6:$B$61,0))=2),1,0)</x:f>
        <x:v>0</x:v>
      </x:c>
      <x:c r="Y77" s="40" t="n">
        <x:f>MAX(0,MIN($I77,M$21)-MAX($H77,M$20))+IF(AND($G77=1,INDEX('城市分配'!$P$6:$P$61,MATCH($A77,'城市分配'!$B$6:$B$61,0))=3),1,0)</x:f>
        <x:v>0</x:v>
      </x:c>
      <x:c r="Z77" s="40" t="n">
        <x:f>MAX(0,MIN($I77,N$21)-MAX($H77,N$20))+IF(AND($G77=1,INDEX('城市分配'!$P$6:$P$61,MATCH($A77,'城市分配'!$B$6:$B$61,0))=4),1,0)</x:f>
        <x:v>0</x:v>
      </x:c>
      <x:c r="AA77" s="40" t="n">
        <x:f>MAX(0,MIN($I77,O$21)-MAX($H77,O$20))+IF(AND($G77=1,INDEX('城市分配'!$P$6:$P$61,MATCH($A77,'城市分配'!$B$6:$B$61,0))=5),1,0)</x:f>
        <x:v>0</x:v>
      </x:c>
      <x:c r="AB77" s="40" t="n">
        <x:f>MAX(0,MIN($I77,P$21)-MAX($H77,P$20))+IF(AND($G77=1,INDEX('城市分配'!$P$6:$P$61,MATCH($A77,'城市分配'!$B$6:$B$61,0))=6),1,0)</x:f>
        <x:v>0</x:v>
      </x:c>
      <x:c r="AC77" s="40" t="n">
        <x:f>MAX(0,MIN($I77,Q$21)-MAX($H77,Q$20))+IF(AND($G77=1,INDEX('城市分配'!$P$6:$P$61,MATCH($A77,'城市分配'!$B$6:$B$61,0))=7),1,0)</x:f>
        <x:v>0</x:v>
      </x:c>
      <x:c r="AD77" s="40" t="n">
        <x:f>MAX(0,MIN($I77,R$21)-MAX($H77,R$20))+IF(AND($G77=1,INDEX('城市分配'!$P$6:$P$61,MATCH($A77,'城市分配'!$B$6:$B$61,0))=8),1,0)</x:f>
        <x:v>0</x:v>
      </x:c>
      <x:c r="AE77" s="40" t="n">
        <x:f>MAX(0,MIN($I77,S$21)-MAX($H77,S$20))+IF(AND($G77=1,INDEX('城市分配'!$P$6:$P$61,MATCH($A77,'城市分配'!$B$6:$B$61,0))=9),1,0)</x:f>
        <x:v>0</x:v>
      </x:c>
      <x:c r="AF77" s="40" t="n">
        <x:f>MAX(0,MIN($I77,T$21)-MAX($H77,T$20))+IF(AND($G77=1,INDEX('城市分配'!$P$6:$P$61,MATCH($A77,'城市分配'!$B$6:$B$61,0))=10),1,0)</x:f>
        <x:v>0</x:v>
      </x:c>
      <x:c r="AG77" s="40" t="n">
        <x:f>MAX(0,MIN($I77,U$21)-MAX($H77,U$20))+IF(AND($G77=1,INDEX('城市分配'!$P$6:$P$61,MATCH($A77,'城市分配'!$B$6:$B$61,0))=11),1,0)</x:f>
        <x:v>0</x:v>
      </x:c>
      <x:c r="AH77" s="40" t="n">
        <x:f>2*SUM(J77:U77)+4*SUM(V77:AG77)-INDEX('城市分配'!$J$6:$J$61,MATCH($A77,'城市分配'!$B$6:$B$61,0))</x:f>
        <x:v>0</x:v>
      </x:c>
      <x:c r="AI77" s="40" t="n">
        <x:f>IF(INDEX('城市分配'!$D$6:$D$61,MATCH($A77,'城市分配'!$B$6:$B$61,0))="是",--(SUM($J77:$O77)+SUM($V77:$AA77)&gt;0),0)</x:f>
        <x:v>0</x:v>
      </x:c>
    </x:row>
    <x:row r="78">
      <x:c r="A78" t="str">
        <x:v>南通</x:v>
      </x:c>
      <x:c r="B78" s="40" t="n">
        <x:f>INDEX('城市分配'!$M$6:$M$61,MATCH($A78,'城市分配'!$B$6:$B$61,0))</x:f>
        <x:v>0</x:v>
      </x:c>
      <x:c r="C78" s="40" t="n">
        <x:f>IF(AND(INDEX('城市分配'!$D$6:$D$61,MATCH($A78,'城市分配'!$B$6:$B$61,0))="是",B78&gt;0),1,0)</x:f>
        <x:v>0</x:v>
      </x:c>
      <x:c r="D78" s="37" t="n">
        <x:f>SUM($B$28:B77)-SUM($C$28:C77)</x:f>
        <x:v>4374</x:v>
      </x:c>
      <x:c r="E78" s="37" t="n">
        <x:f>D78+B78-C78</x:f>
        <x:v>4374</x:v>
      </x:c>
      <x:c r="F78" s="40" t="n">
        <x:f>INDEX('城市分配'!$L$6:$L$61,MATCH($A78,'城市分配'!$B$6:$B$61,0))</x:f>
        <x:v>0</x:v>
      </x:c>
      <x:c r="G78" s="40" t="n">
        <x:f>IF(AND(INDEX('城市分配'!$D$6:$D$61,MATCH($A78,'城市分配'!$B$6:$B$61,0))="是",F78&gt;0,B78=0),1,0)</x:f>
        <x:v>0</x:v>
      </x:c>
      <x:c r="H78" s="37" t="n">
        <x:f>SUM($F$28:F77)-SUM($G$28:G77)</x:f>
        <x:v>5300</x:v>
      </x:c>
      <x:c r="I78" s="37" t="n">
        <x:f>H78+F78-G78</x:f>
        <x:v>5300</x:v>
      </x:c>
      <x:c r="J78" s="40" t="n">
        <x:f>MAX(0,MIN($E78,J$19)-MAX($D78,J$18))+IF(AND($C78=1,INDEX('城市分配'!$P$6:$P$61,MATCH($A78,'城市分配'!$B$6:$B$61,0))=0),1,0)</x:f>
        <x:v>0</x:v>
      </x:c>
      <x:c r="K78" s="40" t="n">
        <x:f>MAX(0,MIN($E78,K$19)-MAX($D78,K$18))+IF(AND($C78=1,INDEX('城市分配'!$P$6:$P$61,MATCH($A78,'城市分配'!$B$6:$B$61,0))=1),1,0)</x:f>
        <x:v>0</x:v>
      </x:c>
      <x:c r="L78" s="40" t="n">
        <x:f>MAX(0,MIN($E78,L$19)-MAX($D78,L$18))+IF(AND($C78=1,INDEX('城市分配'!$P$6:$P$61,MATCH($A78,'城市分配'!$B$6:$B$61,0))=2),1,0)</x:f>
        <x:v>0</x:v>
      </x:c>
      <x:c r="M78" s="40" t="n">
        <x:f>MAX(0,MIN($E78,M$19)-MAX($D78,M$18))+IF(AND($C78=1,INDEX('城市分配'!$P$6:$P$61,MATCH($A78,'城市分配'!$B$6:$B$61,0))=3),1,0)</x:f>
        <x:v>0</x:v>
      </x:c>
      <x:c r="N78" s="40" t="n">
        <x:f>MAX(0,MIN($E78,N$19)-MAX($D78,N$18))+IF(AND($C78=1,INDEX('城市分配'!$P$6:$P$61,MATCH($A78,'城市分配'!$B$6:$B$61,0))=4),1,0)</x:f>
        <x:v>0</x:v>
      </x:c>
      <x:c r="O78" s="40" t="n">
        <x:f>MAX(0,MIN($E78,O$19)-MAX($D78,O$18))+IF(AND($C78=1,INDEX('城市分配'!$P$6:$P$61,MATCH($A78,'城市分配'!$B$6:$B$61,0))=5),1,0)</x:f>
        <x:v>0</x:v>
      </x:c>
      <x:c r="P78" s="40" t="n">
        <x:f>MAX(0,MIN($E78,P$19)-MAX($D78,P$18))+IF(AND($C78=1,INDEX('城市分配'!$P$6:$P$61,MATCH($A78,'城市分配'!$B$6:$B$61,0))=6),1,0)</x:f>
        <x:v>0</x:v>
      </x:c>
      <x:c r="Q78" s="40" t="n">
        <x:f>MAX(0,MIN($E78,Q$19)-MAX($D78,Q$18))+IF(AND($C78=1,INDEX('城市分配'!$P$6:$P$61,MATCH($A78,'城市分配'!$B$6:$B$61,0))=7),1,0)</x:f>
        <x:v>0</x:v>
      </x:c>
      <x:c r="R78" s="40" t="n">
        <x:f>MAX(0,MIN($E78,R$19)-MAX($D78,R$18))+IF(AND($C78=1,INDEX('城市分配'!$P$6:$P$61,MATCH($A78,'城市分配'!$B$6:$B$61,0))=8),1,0)</x:f>
        <x:v>0</x:v>
      </x:c>
      <x:c r="S78" s="40" t="n">
        <x:f>MAX(0,MIN($E78,S$19)-MAX($D78,S$18))+IF(AND($C78=1,INDEX('城市分配'!$P$6:$P$61,MATCH($A78,'城市分配'!$B$6:$B$61,0))=9),1,0)</x:f>
        <x:v>0</x:v>
      </x:c>
      <x:c r="T78" s="40" t="n">
        <x:f>MAX(0,MIN($E78,T$19)-MAX($D78,T$18))+IF(AND($C78=1,INDEX('城市分配'!$P$6:$P$61,MATCH($A78,'城市分配'!$B$6:$B$61,0))=10),1,0)</x:f>
        <x:v>0</x:v>
      </x:c>
      <x:c r="U78" s="40" t="n">
        <x:f>MAX(0,MIN($E78,U$19)-MAX($D78,U$18))+IF(AND($C78=1,INDEX('城市分配'!$P$6:$P$61,MATCH($A78,'城市分配'!$B$6:$B$61,0))=11),1,0)</x:f>
        <x:v>0</x:v>
      </x:c>
      <x:c r="V78" s="40" t="n">
        <x:f>MAX(0,MIN($I78,J$21)-MAX($H78,J$20))+IF(AND($G78=1,INDEX('城市分配'!$P$6:$P$61,MATCH($A78,'城市分配'!$B$6:$B$61,0))=0),1,0)</x:f>
        <x:v>0</x:v>
      </x:c>
      <x:c r="W78" s="40" t="n">
        <x:f>MAX(0,MIN($I78,K$21)-MAX($H78,K$20))+IF(AND($G78=1,INDEX('城市分配'!$P$6:$P$61,MATCH($A78,'城市分配'!$B$6:$B$61,0))=1),1,0)</x:f>
        <x:v>0</x:v>
      </x:c>
      <x:c r="X78" s="40" t="n">
        <x:f>MAX(0,MIN($I78,L$21)-MAX($H78,L$20))+IF(AND($G78=1,INDEX('城市分配'!$P$6:$P$61,MATCH($A78,'城市分配'!$B$6:$B$61,0))=2),1,0)</x:f>
        <x:v>0</x:v>
      </x:c>
      <x:c r="Y78" s="40" t="n">
        <x:f>MAX(0,MIN($I78,M$21)-MAX($H78,M$20))+IF(AND($G78=1,INDEX('城市分配'!$P$6:$P$61,MATCH($A78,'城市分配'!$B$6:$B$61,0))=3),1,0)</x:f>
        <x:v>0</x:v>
      </x:c>
      <x:c r="Z78" s="40" t="n">
        <x:f>MAX(0,MIN($I78,N$21)-MAX($H78,N$20))+IF(AND($G78=1,INDEX('城市分配'!$P$6:$P$61,MATCH($A78,'城市分配'!$B$6:$B$61,0))=4),1,0)</x:f>
        <x:v>0</x:v>
      </x:c>
      <x:c r="AA78" s="40" t="n">
        <x:f>MAX(0,MIN($I78,O$21)-MAX($H78,O$20))+IF(AND($G78=1,INDEX('城市分配'!$P$6:$P$61,MATCH($A78,'城市分配'!$B$6:$B$61,0))=5),1,0)</x:f>
        <x:v>0</x:v>
      </x:c>
      <x:c r="AB78" s="40" t="n">
        <x:f>MAX(0,MIN($I78,P$21)-MAX($H78,P$20))+IF(AND($G78=1,INDEX('城市分配'!$P$6:$P$61,MATCH($A78,'城市分配'!$B$6:$B$61,0))=6),1,0)</x:f>
        <x:v>0</x:v>
      </x:c>
      <x:c r="AC78" s="40" t="n">
        <x:f>MAX(0,MIN($I78,Q$21)-MAX($H78,Q$20))+IF(AND($G78=1,INDEX('城市分配'!$P$6:$P$61,MATCH($A78,'城市分配'!$B$6:$B$61,0))=7),1,0)</x:f>
        <x:v>0</x:v>
      </x:c>
      <x:c r="AD78" s="40" t="n">
        <x:f>MAX(0,MIN($I78,R$21)-MAX($H78,R$20))+IF(AND($G78=1,INDEX('城市分配'!$P$6:$P$61,MATCH($A78,'城市分配'!$B$6:$B$61,0))=8),1,0)</x:f>
        <x:v>0</x:v>
      </x:c>
      <x:c r="AE78" s="40" t="n">
        <x:f>MAX(0,MIN($I78,S$21)-MAX($H78,S$20))+IF(AND($G78=1,INDEX('城市分配'!$P$6:$P$61,MATCH($A78,'城市分配'!$B$6:$B$61,0))=9),1,0)</x:f>
        <x:v>0</x:v>
      </x:c>
      <x:c r="AF78" s="40" t="n">
        <x:f>MAX(0,MIN($I78,T$21)-MAX($H78,T$20))+IF(AND($G78=1,INDEX('城市分配'!$P$6:$P$61,MATCH($A78,'城市分配'!$B$6:$B$61,0))=10),1,0)</x:f>
        <x:v>0</x:v>
      </x:c>
      <x:c r="AG78" s="40" t="n">
        <x:f>MAX(0,MIN($I78,U$21)-MAX($H78,U$20))+IF(AND($G78=1,INDEX('城市分配'!$P$6:$P$61,MATCH($A78,'城市分配'!$B$6:$B$61,0))=11),1,0)</x:f>
        <x:v>0</x:v>
      </x:c>
      <x:c r="AH78" s="40" t="n">
        <x:f>2*SUM(J78:U78)+4*SUM(V78:AG78)-INDEX('城市分配'!$J$6:$J$61,MATCH($A78,'城市分配'!$B$6:$B$61,0))</x:f>
        <x:v>0</x:v>
      </x:c>
      <x:c r="AI78" s="40" t="n">
        <x:f>IF(INDEX('城市分配'!$D$6:$D$61,MATCH($A78,'城市分配'!$B$6:$B$61,0))="是",--(SUM($J78:$O78)+SUM($V78:$AA78)&gt;0),0)</x:f>
        <x:v>0</x:v>
      </x:c>
    </x:row>
    <x:row r="79">
      <x:c r="A79" t="str">
        <x:v>惠州</x:v>
      </x:c>
      <x:c r="B79" s="40" t="n">
        <x:f>INDEX('城市分配'!$M$6:$M$61,MATCH($A79,'城市分配'!$B$6:$B$61,0))</x:f>
        <x:v>0</x:v>
      </x:c>
      <x:c r="C79" s="40" t="n">
        <x:f>IF(AND(INDEX('城市分配'!$D$6:$D$61,MATCH($A79,'城市分配'!$B$6:$B$61,0))="是",B79&gt;0),1,0)</x:f>
        <x:v>0</x:v>
      </x:c>
      <x:c r="D79" s="37" t="n">
        <x:f>SUM($B$28:B78)-SUM($C$28:C78)</x:f>
        <x:v>4374</x:v>
      </x:c>
      <x:c r="E79" s="37" t="n">
        <x:f>D79+B79-C79</x:f>
        <x:v>4374</x:v>
      </x:c>
      <x:c r="F79" s="40" t="n">
        <x:f>INDEX('城市分配'!$L$6:$L$61,MATCH($A79,'城市分配'!$B$6:$B$61,0))</x:f>
        <x:v>0</x:v>
      </x:c>
      <x:c r="G79" s="40" t="n">
        <x:f>IF(AND(INDEX('城市分配'!$D$6:$D$61,MATCH($A79,'城市分配'!$B$6:$B$61,0))="是",F79&gt;0,B79=0),1,0)</x:f>
        <x:v>0</x:v>
      </x:c>
      <x:c r="H79" s="37" t="n">
        <x:f>SUM($F$28:F78)-SUM($G$28:G78)</x:f>
        <x:v>5300</x:v>
      </x:c>
      <x:c r="I79" s="37" t="n">
        <x:f>H79+F79-G79</x:f>
        <x:v>5300</x:v>
      </x:c>
      <x:c r="J79" s="40" t="n">
        <x:f>MAX(0,MIN($E79,J$19)-MAX($D79,J$18))+IF(AND($C79=1,INDEX('城市分配'!$P$6:$P$61,MATCH($A79,'城市分配'!$B$6:$B$61,0))=0),1,0)</x:f>
        <x:v>0</x:v>
      </x:c>
      <x:c r="K79" s="40" t="n">
        <x:f>MAX(0,MIN($E79,K$19)-MAX($D79,K$18))+IF(AND($C79=1,INDEX('城市分配'!$P$6:$P$61,MATCH($A79,'城市分配'!$B$6:$B$61,0))=1),1,0)</x:f>
        <x:v>0</x:v>
      </x:c>
      <x:c r="L79" s="40" t="n">
        <x:f>MAX(0,MIN($E79,L$19)-MAX($D79,L$18))+IF(AND($C79=1,INDEX('城市分配'!$P$6:$P$61,MATCH($A79,'城市分配'!$B$6:$B$61,0))=2),1,0)</x:f>
        <x:v>0</x:v>
      </x:c>
      <x:c r="M79" s="40" t="n">
        <x:f>MAX(0,MIN($E79,M$19)-MAX($D79,M$18))+IF(AND($C79=1,INDEX('城市分配'!$P$6:$P$61,MATCH($A79,'城市分配'!$B$6:$B$61,0))=3),1,0)</x:f>
        <x:v>0</x:v>
      </x:c>
      <x:c r="N79" s="40" t="n">
        <x:f>MAX(0,MIN($E79,N$19)-MAX($D79,N$18))+IF(AND($C79=1,INDEX('城市分配'!$P$6:$P$61,MATCH($A79,'城市分配'!$B$6:$B$61,0))=4),1,0)</x:f>
        <x:v>0</x:v>
      </x:c>
      <x:c r="O79" s="40" t="n">
        <x:f>MAX(0,MIN($E79,O$19)-MAX($D79,O$18))+IF(AND($C79=1,INDEX('城市分配'!$P$6:$P$61,MATCH($A79,'城市分配'!$B$6:$B$61,0))=5),1,0)</x:f>
        <x:v>0</x:v>
      </x:c>
      <x:c r="P79" s="40" t="n">
        <x:f>MAX(0,MIN($E79,P$19)-MAX($D79,P$18))+IF(AND($C79=1,INDEX('城市分配'!$P$6:$P$61,MATCH($A79,'城市分配'!$B$6:$B$61,0))=6),1,0)</x:f>
        <x:v>0</x:v>
      </x:c>
      <x:c r="Q79" s="40" t="n">
        <x:f>MAX(0,MIN($E79,Q$19)-MAX($D79,Q$18))+IF(AND($C79=1,INDEX('城市分配'!$P$6:$P$61,MATCH($A79,'城市分配'!$B$6:$B$61,0))=7),1,0)</x:f>
        <x:v>0</x:v>
      </x:c>
      <x:c r="R79" s="40" t="n">
        <x:f>MAX(0,MIN($E79,R$19)-MAX($D79,R$18))+IF(AND($C79=1,INDEX('城市分配'!$P$6:$P$61,MATCH($A79,'城市分配'!$B$6:$B$61,0))=8),1,0)</x:f>
        <x:v>0</x:v>
      </x:c>
      <x:c r="S79" s="40" t="n">
        <x:f>MAX(0,MIN($E79,S$19)-MAX($D79,S$18))+IF(AND($C79=1,INDEX('城市分配'!$P$6:$P$61,MATCH($A79,'城市分配'!$B$6:$B$61,0))=9),1,0)</x:f>
        <x:v>0</x:v>
      </x:c>
      <x:c r="T79" s="40" t="n">
        <x:f>MAX(0,MIN($E79,T$19)-MAX($D79,T$18))+IF(AND($C79=1,INDEX('城市分配'!$P$6:$P$61,MATCH($A79,'城市分配'!$B$6:$B$61,0))=10),1,0)</x:f>
        <x:v>0</x:v>
      </x:c>
      <x:c r="U79" s="40" t="n">
        <x:f>MAX(0,MIN($E79,U$19)-MAX($D79,U$18))+IF(AND($C79=1,INDEX('城市分配'!$P$6:$P$61,MATCH($A79,'城市分配'!$B$6:$B$61,0))=11),1,0)</x:f>
        <x:v>0</x:v>
      </x:c>
      <x:c r="V79" s="40" t="n">
        <x:f>MAX(0,MIN($I79,J$21)-MAX($H79,J$20))+IF(AND($G79=1,INDEX('城市分配'!$P$6:$P$61,MATCH($A79,'城市分配'!$B$6:$B$61,0))=0),1,0)</x:f>
        <x:v>0</x:v>
      </x:c>
      <x:c r="W79" s="40" t="n">
        <x:f>MAX(0,MIN($I79,K$21)-MAX($H79,K$20))+IF(AND($G79=1,INDEX('城市分配'!$P$6:$P$61,MATCH($A79,'城市分配'!$B$6:$B$61,0))=1),1,0)</x:f>
        <x:v>0</x:v>
      </x:c>
      <x:c r="X79" s="40" t="n">
        <x:f>MAX(0,MIN($I79,L$21)-MAX($H79,L$20))+IF(AND($G79=1,INDEX('城市分配'!$P$6:$P$61,MATCH($A79,'城市分配'!$B$6:$B$61,0))=2),1,0)</x:f>
        <x:v>0</x:v>
      </x:c>
      <x:c r="Y79" s="40" t="n">
        <x:f>MAX(0,MIN($I79,M$21)-MAX($H79,M$20))+IF(AND($G79=1,INDEX('城市分配'!$P$6:$P$61,MATCH($A79,'城市分配'!$B$6:$B$61,0))=3),1,0)</x:f>
        <x:v>0</x:v>
      </x:c>
      <x:c r="Z79" s="40" t="n">
        <x:f>MAX(0,MIN($I79,N$21)-MAX($H79,N$20))+IF(AND($G79=1,INDEX('城市分配'!$P$6:$P$61,MATCH($A79,'城市分配'!$B$6:$B$61,0))=4),1,0)</x:f>
        <x:v>0</x:v>
      </x:c>
      <x:c r="AA79" s="40" t="n">
        <x:f>MAX(0,MIN($I79,O$21)-MAX($H79,O$20))+IF(AND($G79=1,INDEX('城市分配'!$P$6:$P$61,MATCH($A79,'城市分配'!$B$6:$B$61,0))=5),1,0)</x:f>
        <x:v>0</x:v>
      </x:c>
      <x:c r="AB79" s="40" t="n">
        <x:f>MAX(0,MIN($I79,P$21)-MAX($H79,P$20))+IF(AND($G79=1,INDEX('城市分配'!$P$6:$P$61,MATCH($A79,'城市分配'!$B$6:$B$61,0))=6),1,0)</x:f>
        <x:v>0</x:v>
      </x:c>
      <x:c r="AC79" s="40" t="n">
        <x:f>MAX(0,MIN($I79,Q$21)-MAX($H79,Q$20))+IF(AND($G79=1,INDEX('城市分配'!$P$6:$P$61,MATCH($A79,'城市分配'!$B$6:$B$61,0))=7),1,0)</x:f>
        <x:v>0</x:v>
      </x:c>
      <x:c r="AD79" s="40" t="n">
        <x:f>MAX(0,MIN($I79,R$21)-MAX($H79,R$20))+IF(AND($G79=1,INDEX('城市分配'!$P$6:$P$61,MATCH($A79,'城市分配'!$B$6:$B$61,0))=8),1,0)</x:f>
        <x:v>0</x:v>
      </x:c>
      <x:c r="AE79" s="40" t="n">
        <x:f>MAX(0,MIN($I79,S$21)-MAX($H79,S$20))+IF(AND($G79=1,INDEX('城市分配'!$P$6:$P$61,MATCH($A79,'城市分配'!$B$6:$B$61,0))=9),1,0)</x:f>
        <x:v>0</x:v>
      </x:c>
      <x:c r="AF79" s="40" t="n">
        <x:f>MAX(0,MIN($I79,T$21)-MAX($H79,T$20))+IF(AND($G79=1,INDEX('城市分配'!$P$6:$P$61,MATCH($A79,'城市分配'!$B$6:$B$61,0))=10),1,0)</x:f>
        <x:v>0</x:v>
      </x:c>
      <x:c r="AG79" s="40" t="n">
        <x:f>MAX(0,MIN($I79,U$21)-MAX($H79,U$20))+IF(AND($G79=1,INDEX('城市分配'!$P$6:$P$61,MATCH($A79,'城市分配'!$B$6:$B$61,0))=11),1,0)</x:f>
        <x:v>0</x:v>
      </x:c>
      <x:c r="AH79" s="40" t="n">
        <x:f>2*SUM(J79:U79)+4*SUM(V79:AG79)-INDEX('城市分配'!$J$6:$J$61,MATCH($A79,'城市分配'!$B$6:$B$61,0))</x:f>
        <x:v>0</x:v>
      </x:c>
      <x:c r="AI79" s="40" t="n">
        <x:f>IF(INDEX('城市分配'!$D$6:$D$61,MATCH($A79,'城市分配'!$B$6:$B$61,0))="是",--(SUM($J79:$O79)+SUM($V79:$AA79)&gt;0),0)</x:f>
        <x:v>0</x:v>
      </x:c>
    </x:row>
    <x:row r="80">
      <x:c r="A80" t="str">
        <x:v>烟台</x:v>
      </x:c>
      <x:c r="B80" s="40" t="n">
        <x:f>INDEX('城市分配'!$M$6:$M$61,MATCH($A80,'城市分配'!$B$6:$B$61,0))</x:f>
        <x:v>0</x:v>
      </x:c>
      <x:c r="C80" s="40" t="n">
        <x:f>IF(AND(INDEX('城市分配'!$D$6:$D$61,MATCH($A80,'城市分配'!$B$6:$B$61,0))="是",B80&gt;0),1,0)</x:f>
        <x:v>0</x:v>
      </x:c>
      <x:c r="D80" s="37" t="n">
        <x:f>SUM($B$28:B79)-SUM($C$28:C79)</x:f>
        <x:v>4374</x:v>
      </x:c>
      <x:c r="E80" s="37" t="n">
        <x:f>D80+B80-C80</x:f>
        <x:v>4374</x:v>
      </x:c>
      <x:c r="F80" s="40" t="n">
        <x:f>INDEX('城市分配'!$L$6:$L$61,MATCH($A80,'城市分配'!$B$6:$B$61,0))</x:f>
        <x:v>0</x:v>
      </x:c>
      <x:c r="G80" s="40" t="n">
        <x:f>IF(AND(INDEX('城市分配'!$D$6:$D$61,MATCH($A80,'城市分配'!$B$6:$B$61,0))="是",F80&gt;0,B80=0),1,0)</x:f>
        <x:v>0</x:v>
      </x:c>
      <x:c r="H80" s="37" t="n">
        <x:f>SUM($F$28:F79)-SUM($G$28:G79)</x:f>
        <x:v>5300</x:v>
      </x:c>
      <x:c r="I80" s="37" t="n">
        <x:f>H80+F80-G80</x:f>
        <x:v>5300</x:v>
      </x:c>
      <x:c r="J80" s="40" t="n">
        <x:f>MAX(0,MIN($E80,J$19)-MAX($D80,J$18))+IF(AND($C80=1,INDEX('城市分配'!$P$6:$P$61,MATCH($A80,'城市分配'!$B$6:$B$61,0))=0),1,0)</x:f>
        <x:v>0</x:v>
      </x:c>
      <x:c r="K80" s="40" t="n">
        <x:f>MAX(0,MIN($E80,K$19)-MAX($D80,K$18))+IF(AND($C80=1,INDEX('城市分配'!$P$6:$P$61,MATCH($A80,'城市分配'!$B$6:$B$61,0))=1),1,0)</x:f>
        <x:v>0</x:v>
      </x:c>
      <x:c r="L80" s="40" t="n">
        <x:f>MAX(0,MIN($E80,L$19)-MAX($D80,L$18))+IF(AND($C80=1,INDEX('城市分配'!$P$6:$P$61,MATCH($A80,'城市分配'!$B$6:$B$61,0))=2),1,0)</x:f>
        <x:v>0</x:v>
      </x:c>
      <x:c r="M80" s="40" t="n">
        <x:f>MAX(0,MIN($E80,M$19)-MAX($D80,M$18))+IF(AND($C80=1,INDEX('城市分配'!$P$6:$P$61,MATCH($A80,'城市分配'!$B$6:$B$61,0))=3),1,0)</x:f>
        <x:v>0</x:v>
      </x:c>
      <x:c r="N80" s="40" t="n">
        <x:f>MAX(0,MIN($E80,N$19)-MAX($D80,N$18))+IF(AND($C80=1,INDEX('城市分配'!$P$6:$P$61,MATCH($A80,'城市分配'!$B$6:$B$61,0))=4),1,0)</x:f>
        <x:v>0</x:v>
      </x:c>
      <x:c r="O80" s="40" t="n">
        <x:f>MAX(0,MIN($E80,O$19)-MAX($D80,O$18))+IF(AND($C80=1,INDEX('城市分配'!$P$6:$P$61,MATCH($A80,'城市分配'!$B$6:$B$61,0))=5),1,0)</x:f>
        <x:v>0</x:v>
      </x:c>
      <x:c r="P80" s="40" t="n">
        <x:f>MAX(0,MIN($E80,P$19)-MAX($D80,P$18))+IF(AND($C80=1,INDEX('城市分配'!$P$6:$P$61,MATCH($A80,'城市分配'!$B$6:$B$61,0))=6),1,0)</x:f>
        <x:v>0</x:v>
      </x:c>
      <x:c r="Q80" s="40" t="n">
        <x:f>MAX(0,MIN($E80,Q$19)-MAX($D80,Q$18))+IF(AND($C80=1,INDEX('城市分配'!$P$6:$P$61,MATCH($A80,'城市分配'!$B$6:$B$61,0))=7),1,0)</x:f>
        <x:v>0</x:v>
      </x:c>
      <x:c r="R80" s="40" t="n">
        <x:f>MAX(0,MIN($E80,R$19)-MAX($D80,R$18))+IF(AND($C80=1,INDEX('城市分配'!$P$6:$P$61,MATCH($A80,'城市分配'!$B$6:$B$61,0))=8),1,0)</x:f>
        <x:v>0</x:v>
      </x:c>
      <x:c r="S80" s="40" t="n">
        <x:f>MAX(0,MIN($E80,S$19)-MAX($D80,S$18))+IF(AND($C80=1,INDEX('城市分配'!$P$6:$P$61,MATCH($A80,'城市分配'!$B$6:$B$61,0))=9),1,0)</x:f>
        <x:v>0</x:v>
      </x:c>
      <x:c r="T80" s="40" t="n">
        <x:f>MAX(0,MIN($E80,T$19)-MAX($D80,T$18))+IF(AND($C80=1,INDEX('城市分配'!$P$6:$P$61,MATCH($A80,'城市分配'!$B$6:$B$61,0))=10),1,0)</x:f>
        <x:v>0</x:v>
      </x:c>
      <x:c r="U80" s="40" t="n">
        <x:f>MAX(0,MIN($E80,U$19)-MAX($D80,U$18))+IF(AND($C80=1,INDEX('城市分配'!$P$6:$P$61,MATCH($A80,'城市分配'!$B$6:$B$61,0))=11),1,0)</x:f>
        <x:v>0</x:v>
      </x:c>
      <x:c r="V80" s="40" t="n">
        <x:f>MAX(0,MIN($I80,J$21)-MAX($H80,J$20))+IF(AND($G80=1,INDEX('城市分配'!$P$6:$P$61,MATCH($A80,'城市分配'!$B$6:$B$61,0))=0),1,0)</x:f>
        <x:v>0</x:v>
      </x:c>
      <x:c r="W80" s="40" t="n">
        <x:f>MAX(0,MIN($I80,K$21)-MAX($H80,K$20))+IF(AND($G80=1,INDEX('城市分配'!$P$6:$P$61,MATCH($A80,'城市分配'!$B$6:$B$61,0))=1),1,0)</x:f>
        <x:v>0</x:v>
      </x:c>
      <x:c r="X80" s="40" t="n">
        <x:f>MAX(0,MIN($I80,L$21)-MAX($H80,L$20))+IF(AND($G80=1,INDEX('城市分配'!$P$6:$P$61,MATCH($A80,'城市分配'!$B$6:$B$61,0))=2),1,0)</x:f>
        <x:v>0</x:v>
      </x:c>
      <x:c r="Y80" s="40" t="n">
        <x:f>MAX(0,MIN($I80,M$21)-MAX($H80,M$20))+IF(AND($G80=1,INDEX('城市分配'!$P$6:$P$61,MATCH($A80,'城市分配'!$B$6:$B$61,0))=3),1,0)</x:f>
        <x:v>0</x:v>
      </x:c>
      <x:c r="Z80" s="40" t="n">
        <x:f>MAX(0,MIN($I80,N$21)-MAX($H80,N$20))+IF(AND($G80=1,INDEX('城市分配'!$P$6:$P$61,MATCH($A80,'城市分配'!$B$6:$B$61,0))=4),1,0)</x:f>
        <x:v>0</x:v>
      </x:c>
      <x:c r="AA80" s="40" t="n">
        <x:f>MAX(0,MIN($I80,O$21)-MAX($H80,O$20))+IF(AND($G80=1,INDEX('城市分配'!$P$6:$P$61,MATCH($A80,'城市分配'!$B$6:$B$61,0))=5),1,0)</x:f>
        <x:v>0</x:v>
      </x:c>
      <x:c r="AB80" s="40" t="n">
        <x:f>MAX(0,MIN($I80,P$21)-MAX($H80,P$20))+IF(AND($G80=1,INDEX('城市分配'!$P$6:$P$61,MATCH($A80,'城市分配'!$B$6:$B$61,0))=6),1,0)</x:f>
        <x:v>0</x:v>
      </x:c>
      <x:c r="AC80" s="40" t="n">
        <x:f>MAX(0,MIN($I80,Q$21)-MAX($H80,Q$20))+IF(AND($G80=1,INDEX('城市分配'!$P$6:$P$61,MATCH($A80,'城市分配'!$B$6:$B$61,0))=7),1,0)</x:f>
        <x:v>0</x:v>
      </x:c>
      <x:c r="AD80" s="40" t="n">
        <x:f>MAX(0,MIN($I80,R$21)-MAX($H80,R$20))+IF(AND($G80=1,INDEX('城市分配'!$P$6:$P$61,MATCH($A80,'城市分配'!$B$6:$B$61,0))=8),1,0)</x:f>
        <x:v>0</x:v>
      </x:c>
      <x:c r="AE80" s="40" t="n">
        <x:f>MAX(0,MIN($I80,S$21)-MAX($H80,S$20))+IF(AND($G80=1,INDEX('城市分配'!$P$6:$P$61,MATCH($A80,'城市分配'!$B$6:$B$61,0))=9),1,0)</x:f>
        <x:v>0</x:v>
      </x:c>
      <x:c r="AF80" s="40" t="n">
        <x:f>MAX(0,MIN($I80,T$21)-MAX($H80,T$20))+IF(AND($G80=1,INDEX('城市分配'!$P$6:$P$61,MATCH($A80,'城市分配'!$B$6:$B$61,0))=10),1,0)</x:f>
        <x:v>0</x:v>
      </x:c>
      <x:c r="AG80" s="40" t="n">
        <x:f>MAX(0,MIN($I80,U$21)-MAX($H80,U$20))+IF(AND($G80=1,INDEX('城市分配'!$P$6:$P$61,MATCH($A80,'城市分配'!$B$6:$B$61,0))=11),1,0)</x:f>
        <x:v>0</x:v>
      </x:c>
      <x:c r="AH80" s="40" t="n">
        <x:f>2*SUM(J80:U80)+4*SUM(V80:AG80)-INDEX('城市分配'!$J$6:$J$61,MATCH($A80,'城市分配'!$B$6:$B$61,0))</x:f>
        <x:v>0</x:v>
      </x:c>
      <x:c r="AI80" s="40" t="n">
        <x:f>IF(INDEX('城市分配'!$D$6:$D$61,MATCH($A80,'城市分配'!$B$6:$B$61,0))="是",--(SUM($J80:$O80)+SUM($V80:$AA80)&gt;0),0)</x:f>
        <x:v>0</x:v>
      </x:c>
    </x:row>
    <x:row r="81">
      <x:c r="A81" t="str">
        <x:v>厦门</x:v>
      </x:c>
      <x:c r="B81" s="40" t="n">
        <x:f>INDEX('城市分配'!$M$6:$M$61,MATCH($A81,'城市分配'!$B$6:$B$61,0))</x:f>
        <x:v>0</x:v>
      </x:c>
      <x:c r="C81" s="40" t="n">
        <x:f>IF(AND(INDEX('城市分配'!$D$6:$D$61,MATCH($A81,'城市分配'!$B$6:$B$61,0))="是",B81&gt;0),1,0)</x:f>
        <x:v>0</x:v>
      </x:c>
      <x:c r="D81" s="37" t="n">
        <x:f>SUM($B$28:B80)-SUM($C$28:C80)</x:f>
        <x:v>4374</x:v>
      </x:c>
      <x:c r="E81" s="37" t="n">
        <x:f>D81+B81-C81</x:f>
        <x:v>4374</x:v>
      </x:c>
      <x:c r="F81" s="40" t="n">
        <x:f>INDEX('城市分配'!$L$6:$L$61,MATCH($A81,'城市分配'!$B$6:$B$61,0))</x:f>
        <x:v>0</x:v>
      </x:c>
      <x:c r="G81" s="40" t="n">
        <x:f>IF(AND(INDEX('城市分配'!$D$6:$D$61,MATCH($A81,'城市分配'!$B$6:$B$61,0))="是",F81&gt;0,B81=0),1,0)</x:f>
        <x:v>0</x:v>
      </x:c>
      <x:c r="H81" s="37" t="n">
        <x:f>SUM($F$28:F80)-SUM($G$28:G80)</x:f>
        <x:v>5300</x:v>
      </x:c>
      <x:c r="I81" s="37" t="n">
        <x:f>H81+F81-G81</x:f>
        <x:v>5300</x:v>
      </x:c>
      <x:c r="J81" s="40" t="n">
        <x:f>MAX(0,MIN($E81,J$19)-MAX($D81,J$18))+IF(AND($C81=1,INDEX('城市分配'!$P$6:$P$61,MATCH($A81,'城市分配'!$B$6:$B$61,0))=0),1,0)</x:f>
        <x:v>0</x:v>
      </x:c>
      <x:c r="K81" s="40" t="n">
        <x:f>MAX(0,MIN($E81,K$19)-MAX($D81,K$18))+IF(AND($C81=1,INDEX('城市分配'!$P$6:$P$61,MATCH($A81,'城市分配'!$B$6:$B$61,0))=1),1,0)</x:f>
        <x:v>0</x:v>
      </x:c>
      <x:c r="L81" s="40" t="n">
        <x:f>MAX(0,MIN($E81,L$19)-MAX($D81,L$18))+IF(AND($C81=1,INDEX('城市分配'!$P$6:$P$61,MATCH($A81,'城市分配'!$B$6:$B$61,0))=2),1,0)</x:f>
        <x:v>0</x:v>
      </x:c>
      <x:c r="M81" s="40" t="n">
        <x:f>MAX(0,MIN($E81,M$19)-MAX($D81,M$18))+IF(AND($C81=1,INDEX('城市分配'!$P$6:$P$61,MATCH($A81,'城市分配'!$B$6:$B$61,0))=3),1,0)</x:f>
        <x:v>0</x:v>
      </x:c>
      <x:c r="N81" s="40" t="n">
        <x:f>MAX(0,MIN($E81,N$19)-MAX($D81,N$18))+IF(AND($C81=1,INDEX('城市分配'!$P$6:$P$61,MATCH($A81,'城市分配'!$B$6:$B$61,0))=4),1,0)</x:f>
        <x:v>0</x:v>
      </x:c>
      <x:c r="O81" s="40" t="n">
        <x:f>MAX(0,MIN($E81,O$19)-MAX($D81,O$18))+IF(AND($C81=1,INDEX('城市分配'!$P$6:$P$61,MATCH($A81,'城市分配'!$B$6:$B$61,0))=5),1,0)</x:f>
        <x:v>0</x:v>
      </x:c>
      <x:c r="P81" s="40" t="n">
        <x:f>MAX(0,MIN($E81,P$19)-MAX($D81,P$18))+IF(AND($C81=1,INDEX('城市分配'!$P$6:$P$61,MATCH($A81,'城市分配'!$B$6:$B$61,0))=6),1,0)</x:f>
        <x:v>0</x:v>
      </x:c>
      <x:c r="Q81" s="40" t="n">
        <x:f>MAX(0,MIN($E81,Q$19)-MAX($D81,Q$18))+IF(AND($C81=1,INDEX('城市分配'!$P$6:$P$61,MATCH($A81,'城市分配'!$B$6:$B$61,0))=7),1,0)</x:f>
        <x:v>0</x:v>
      </x:c>
      <x:c r="R81" s="40" t="n">
        <x:f>MAX(0,MIN($E81,R$19)-MAX($D81,R$18))+IF(AND($C81=1,INDEX('城市分配'!$P$6:$P$61,MATCH($A81,'城市分配'!$B$6:$B$61,0))=8),1,0)</x:f>
        <x:v>0</x:v>
      </x:c>
      <x:c r="S81" s="40" t="n">
        <x:f>MAX(0,MIN($E81,S$19)-MAX($D81,S$18))+IF(AND($C81=1,INDEX('城市分配'!$P$6:$P$61,MATCH($A81,'城市分配'!$B$6:$B$61,0))=9),1,0)</x:f>
        <x:v>0</x:v>
      </x:c>
      <x:c r="T81" s="40" t="n">
        <x:f>MAX(0,MIN($E81,T$19)-MAX($D81,T$18))+IF(AND($C81=1,INDEX('城市分配'!$P$6:$P$61,MATCH($A81,'城市分配'!$B$6:$B$61,0))=10),1,0)</x:f>
        <x:v>0</x:v>
      </x:c>
      <x:c r="U81" s="40" t="n">
        <x:f>MAX(0,MIN($E81,U$19)-MAX($D81,U$18))+IF(AND($C81=1,INDEX('城市分配'!$P$6:$P$61,MATCH($A81,'城市分配'!$B$6:$B$61,0))=11),1,0)</x:f>
        <x:v>0</x:v>
      </x:c>
      <x:c r="V81" s="40" t="n">
        <x:f>MAX(0,MIN($I81,J$21)-MAX($H81,J$20))+IF(AND($G81=1,INDEX('城市分配'!$P$6:$P$61,MATCH($A81,'城市分配'!$B$6:$B$61,0))=0),1,0)</x:f>
        <x:v>0</x:v>
      </x:c>
      <x:c r="W81" s="40" t="n">
        <x:f>MAX(0,MIN($I81,K$21)-MAX($H81,K$20))+IF(AND($G81=1,INDEX('城市分配'!$P$6:$P$61,MATCH($A81,'城市分配'!$B$6:$B$61,0))=1),1,0)</x:f>
        <x:v>0</x:v>
      </x:c>
      <x:c r="X81" s="40" t="n">
        <x:f>MAX(0,MIN($I81,L$21)-MAX($H81,L$20))+IF(AND($G81=1,INDEX('城市分配'!$P$6:$P$61,MATCH($A81,'城市分配'!$B$6:$B$61,0))=2),1,0)</x:f>
        <x:v>0</x:v>
      </x:c>
      <x:c r="Y81" s="40" t="n">
        <x:f>MAX(0,MIN($I81,M$21)-MAX($H81,M$20))+IF(AND($G81=1,INDEX('城市分配'!$P$6:$P$61,MATCH($A81,'城市分配'!$B$6:$B$61,0))=3),1,0)</x:f>
        <x:v>0</x:v>
      </x:c>
      <x:c r="Z81" s="40" t="n">
        <x:f>MAX(0,MIN($I81,N$21)-MAX($H81,N$20))+IF(AND($G81=1,INDEX('城市分配'!$P$6:$P$61,MATCH($A81,'城市分配'!$B$6:$B$61,0))=4),1,0)</x:f>
        <x:v>0</x:v>
      </x:c>
      <x:c r="AA81" s="40" t="n">
        <x:f>MAX(0,MIN($I81,O$21)-MAX($H81,O$20))+IF(AND($G81=1,INDEX('城市分配'!$P$6:$P$61,MATCH($A81,'城市分配'!$B$6:$B$61,0))=5),1,0)</x:f>
        <x:v>0</x:v>
      </x:c>
      <x:c r="AB81" s="40" t="n">
        <x:f>MAX(0,MIN($I81,P$21)-MAX($H81,P$20))+IF(AND($G81=1,INDEX('城市分配'!$P$6:$P$61,MATCH($A81,'城市分配'!$B$6:$B$61,0))=6),1,0)</x:f>
        <x:v>0</x:v>
      </x:c>
      <x:c r="AC81" s="40" t="n">
        <x:f>MAX(0,MIN($I81,Q$21)-MAX($H81,Q$20))+IF(AND($G81=1,INDEX('城市分配'!$P$6:$P$61,MATCH($A81,'城市分配'!$B$6:$B$61,0))=7),1,0)</x:f>
        <x:v>0</x:v>
      </x:c>
      <x:c r="AD81" s="40" t="n">
        <x:f>MAX(0,MIN($I81,R$21)-MAX($H81,R$20))+IF(AND($G81=1,INDEX('城市分配'!$P$6:$P$61,MATCH($A81,'城市分配'!$B$6:$B$61,0))=8),1,0)</x:f>
        <x:v>0</x:v>
      </x:c>
      <x:c r="AE81" s="40" t="n">
        <x:f>MAX(0,MIN($I81,S$21)-MAX($H81,S$20))+IF(AND($G81=1,INDEX('城市分配'!$P$6:$P$61,MATCH($A81,'城市分配'!$B$6:$B$61,0))=9),1,0)</x:f>
        <x:v>0</x:v>
      </x:c>
      <x:c r="AF81" s="40" t="n">
        <x:f>MAX(0,MIN($I81,T$21)-MAX($H81,T$20))+IF(AND($G81=1,INDEX('城市分配'!$P$6:$P$61,MATCH($A81,'城市分配'!$B$6:$B$61,0))=10),1,0)</x:f>
        <x:v>0</x:v>
      </x:c>
      <x:c r="AG81" s="40" t="n">
        <x:f>MAX(0,MIN($I81,U$21)-MAX($H81,U$20))+IF(AND($G81=1,INDEX('城市分配'!$P$6:$P$61,MATCH($A81,'城市分配'!$B$6:$B$61,0))=11),1,0)</x:f>
        <x:v>0</x:v>
      </x:c>
      <x:c r="AH81" s="40" t="n">
        <x:f>2*SUM(J81:U81)+4*SUM(V81:AG81)-INDEX('城市分配'!$J$6:$J$61,MATCH($A81,'城市分配'!$B$6:$B$61,0))</x:f>
        <x:v>0</x:v>
      </x:c>
      <x:c r="AI81" s="40" t="n">
        <x:f>IF(INDEX('城市分配'!$D$6:$D$61,MATCH($A81,'城市分配'!$B$6:$B$61,0))="是",--(SUM($J81:$O81)+SUM($V81:$AA81)&gt;0),0)</x:f>
        <x:v>0</x:v>
      </x:c>
    </x:row>
    <x:row r="82">
      <x:c r="A82" t="str">
        <x:v>贵阳</x:v>
      </x:c>
      <x:c r="B82" s="40" t="n">
        <x:f>INDEX('城市分配'!$M$6:$M$61,MATCH($A82,'城市分配'!$B$6:$B$61,0))</x:f>
        <x:v>0</x:v>
      </x:c>
      <x:c r="C82" s="40" t="n">
        <x:f>IF(AND(INDEX('城市分配'!$D$6:$D$61,MATCH($A82,'城市分配'!$B$6:$B$61,0))="是",B82&gt;0),1,0)</x:f>
        <x:v>0</x:v>
      </x:c>
      <x:c r="D82" s="37" t="n">
        <x:f>SUM($B$28:B81)-SUM($C$28:C81)</x:f>
        <x:v>4374</x:v>
      </x:c>
      <x:c r="E82" s="37" t="n">
        <x:f>D82+B82-C82</x:f>
        <x:v>4374</x:v>
      </x:c>
      <x:c r="F82" s="40" t="n">
        <x:f>INDEX('城市分配'!$L$6:$L$61,MATCH($A82,'城市分配'!$B$6:$B$61,0))</x:f>
        <x:v>0</x:v>
      </x:c>
      <x:c r="G82" s="40" t="n">
        <x:f>IF(AND(INDEX('城市分配'!$D$6:$D$61,MATCH($A82,'城市分配'!$B$6:$B$61,0))="是",F82&gt;0,B82=0),1,0)</x:f>
        <x:v>0</x:v>
      </x:c>
      <x:c r="H82" s="37" t="n">
        <x:f>SUM($F$28:F81)-SUM($G$28:G81)</x:f>
        <x:v>5300</x:v>
      </x:c>
      <x:c r="I82" s="37" t="n">
        <x:f>H82+F82-G82</x:f>
        <x:v>5300</x:v>
      </x:c>
      <x:c r="J82" s="40" t="n">
        <x:f>MAX(0,MIN($E82,J$19)-MAX($D82,J$18))+IF(AND($C82=1,INDEX('城市分配'!$P$6:$P$61,MATCH($A82,'城市分配'!$B$6:$B$61,0))=0),1,0)</x:f>
        <x:v>0</x:v>
      </x:c>
      <x:c r="K82" s="40" t="n">
        <x:f>MAX(0,MIN($E82,K$19)-MAX($D82,K$18))+IF(AND($C82=1,INDEX('城市分配'!$P$6:$P$61,MATCH($A82,'城市分配'!$B$6:$B$61,0))=1),1,0)</x:f>
        <x:v>0</x:v>
      </x:c>
      <x:c r="L82" s="40" t="n">
        <x:f>MAX(0,MIN($E82,L$19)-MAX($D82,L$18))+IF(AND($C82=1,INDEX('城市分配'!$P$6:$P$61,MATCH($A82,'城市分配'!$B$6:$B$61,0))=2),1,0)</x:f>
        <x:v>0</x:v>
      </x:c>
      <x:c r="M82" s="40" t="n">
        <x:f>MAX(0,MIN($E82,M$19)-MAX($D82,M$18))+IF(AND($C82=1,INDEX('城市分配'!$P$6:$P$61,MATCH($A82,'城市分配'!$B$6:$B$61,0))=3),1,0)</x:f>
        <x:v>0</x:v>
      </x:c>
      <x:c r="N82" s="40" t="n">
        <x:f>MAX(0,MIN($E82,N$19)-MAX($D82,N$18))+IF(AND($C82=1,INDEX('城市分配'!$P$6:$P$61,MATCH($A82,'城市分配'!$B$6:$B$61,0))=4),1,0)</x:f>
        <x:v>0</x:v>
      </x:c>
      <x:c r="O82" s="40" t="n">
        <x:f>MAX(0,MIN($E82,O$19)-MAX($D82,O$18))+IF(AND($C82=1,INDEX('城市分配'!$P$6:$P$61,MATCH($A82,'城市分配'!$B$6:$B$61,0))=5),1,0)</x:f>
        <x:v>0</x:v>
      </x:c>
      <x:c r="P82" s="40" t="n">
        <x:f>MAX(0,MIN($E82,P$19)-MAX($D82,P$18))+IF(AND($C82=1,INDEX('城市分配'!$P$6:$P$61,MATCH($A82,'城市分配'!$B$6:$B$61,0))=6),1,0)</x:f>
        <x:v>0</x:v>
      </x:c>
      <x:c r="Q82" s="40" t="n">
        <x:f>MAX(0,MIN($E82,Q$19)-MAX($D82,Q$18))+IF(AND($C82=1,INDEX('城市分配'!$P$6:$P$61,MATCH($A82,'城市分配'!$B$6:$B$61,0))=7),1,0)</x:f>
        <x:v>0</x:v>
      </x:c>
      <x:c r="R82" s="40" t="n">
        <x:f>MAX(0,MIN($E82,R$19)-MAX($D82,R$18))+IF(AND($C82=1,INDEX('城市分配'!$P$6:$P$61,MATCH($A82,'城市分配'!$B$6:$B$61,0))=8),1,0)</x:f>
        <x:v>0</x:v>
      </x:c>
      <x:c r="S82" s="40" t="n">
        <x:f>MAX(0,MIN($E82,S$19)-MAX($D82,S$18))+IF(AND($C82=1,INDEX('城市分配'!$P$6:$P$61,MATCH($A82,'城市分配'!$B$6:$B$61,0))=9),1,0)</x:f>
        <x:v>0</x:v>
      </x:c>
      <x:c r="T82" s="40" t="n">
        <x:f>MAX(0,MIN($E82,T$19)-MAX($D82,T$18))+IF(AND($C82=1,INDEX('城市分配'!$P$6:$P$61,MATCH($A82,'城市分配'!$B$6:$B$61,0))=10),1,0)</x:f>
        <x:v>0</x:v>
      </x:c>
      <x:c r="U82" s="40" t="n">
        <x:f>MAX(0,MIN($E82,U$19)-MAX($D82,U$18))+IF(AND($C82=1,INDEX('城市分配'!$P$6:$P$61,MATCH($A82,'城市分配'!$B$6:$B$61,0))=11),1,0)</x:f>
        <x:v>0</x:v>
      </x:c>
      <x:c r="V82" s="40" t="n">
        <x:f>MAX(0,MIN($I82,J$21)-MAX($H82,J$20))+IF(AND($G82=1,INDEX('城市分配'!$P$6:$P$61,MATCH($A82,'城市分配'!$B$6:$B$61,0))=0),1,0)</x:f>
        <x:v>0</x:v>
      </x:c>
      <x:c r="W82" s="40" t="n">
        <x:f>MAX(0,MIN($I82,K$21)-MAX($H82,K$20))+IF(AND($G82=1,INDEX('城市分配'!$P$6:$P$61,MATCH($A82,'城市分配'!$B$6:$B$61,0))=1),1,0)</x:f>
        <x:v>0</x:v>
      </x:c>
      <x:c r="X82" s="40" t="n">
        <x:f>MAX(0,MIN($I82,L$21)-MAX($H82,L$20))+IF(AND($G82=1,INDEX('城市分配'!$P$6:$P$61,MATCH($A82,'城市分配'!$B$6:$B$61,0))=2),1,0)</x:f>
        <x:v>0</x:v>
      </x:c>
      <x:c r="Y82" s="40" t="n">
        <x:f>MAX(0,MIN($I82,M$21)-MAX($H82,M$20))+IF(AND($G82=1,INDEX('城市分配'!$P$6:$P$61,MATCH($A82,'城市分配'!$B$6:$B$61,0))=3),1,0)</x:f>
        <x:v>0</x:v>
      </x:c>
      <x:c r="Z82" s="40" t="n">
        <x:f>MAX(0,MIN($I82,N$21)-MAX($H82,N$20))+IF(AND($G82=1,INDEX('城市分配'!$P$6:$P$61,MATCH($A82,'城市分配'!$B$6:$B$61,0))=4),1,0)</x:f>
        <x:v>0</x:v>
      </x:c>
      <x:c r="AA82" s="40" t="n">
        <x:f>MAX(0,MIN($I82,O$21)-MAX($H82,O$20))+IF(AND($G82=1,INDEX('城市分配'!$P$6:$P$61,MATCH($A82,'城市分配'!$B$6:$B$61,0))=5),1,0)</x:f>
        <x:v>0</x:v>
      </x:c>
      <x:c r="AB82" s="40" t="n">
        <x:f>MAX(0,MIN($I82,P$21)-MAX($H82,P$20))+IF(AND($G82=1,INDEX('城市分配'!$P$6:$P$61,MATCH($A82,'城市分配'!$B$6:$B$61,0))=6),1,0)</x:f>
        <x:v>0</x:v>
      </x:c>
      <x:c r="AC82" s="40" t="n">
        <x:f>MAX(0,MIN($I82,Q$21)-MAX($H82,Q$20))+IF(AND($G82=1,INDEX('城市分配'!$P$6:$P$61,MATCH($A82,'城市分配'!$B$6:$B$61,0))=7),1,0)</x:f>
        <x:v>0</x:v>
      </x:c>
      <x:c r="AD82" s="40" t="n">
        <x:f>MAX(0,MIN($I82,R$21)-MAX($H82,R$20))+IF(AND($G82=1,INDEX('城市分配'!$P$6:$P$61,MATCH($A82,'城市分配'!$B$6:$B$61,0))=8),1,0)</x:f>
        <x:v>0</x:v>
      </x:c>
      <x:c r="AE82" s="40" t="n">
        <x:f>MAX(0,MIN($I82,S$21)-MAX($H82,S$20))+IF(AND($G82=1,INDEX('城市分配'!$P$6:$P$61,MATCH($A82,'城市分配'!$B$6:$B$61,0))=9),1,0)</x:f>
        <x:v>0</x:v>
      </x:c>
      <x:c r="AF82" s="40" t="n">
        <x:f>MAX(0,MIN($I82,T$21)-MAX($H82,T$20))+IF(AND($G82=1,INDEX('城市分配'!$P$6:$P$61,MATCH($A82,'城市分配'!$B$6:$B$61,0))=10),1,0)</x:f>
        <x:v>0</x:v>
      </x:c>
      <x:c r="AG82" s="40" t="n">
        <x:f>MAX(0,MIN($I82,U$21)-MAX($H82,U$20))+IF(AND($G82=1,INDEX('城市分配'!$P$6:$P$61,MATCH($A82,'城市分配'!$B$6:$B$61,0))=11),1,0)</x:f>
        <x:v>0</x:v>
      </x:c>
      <x:c r="AH82" s="40" t="n">
        <x:f>2*SUM(J82:U82)+4*SUM(V82:AG82)-INDEX('城市分配'!$J$6:$J$61,MATCH($A82,'城市分配'!$B$6:$B$61,0))</x:f>
        <x:v>0</x:v>
      </x:c>
      <x:c r="AI82" s="40" t="n">
        <x:f>IF(INDEX('城市分配'!$D$6:$D$61,MATCH($A82,'城市分配'!$B$6:$B$61,0))="是",--(SUM($J82:$O82)+SUM($V82:$AA82)&gt;0),0)</x:f>
        <x:v>0</x:v>
      </x:c>
    </x:row>
    <x:row r="83">
      <x:c r="A83" t="str">
        <x:v>常州</x:v>
      </x:c>
      <x:c r="B83" s="40" t="n">
        <x:f>INDEX('城市分配'!$M$6:$M$61,MATCH($A83,'城市分配'!$B$6:$B$61,0))</x:f>
        <x:v>0</x:v>
      </x:c>
      <x:c r="C83" s="40" t="n">
        <x:f>IF(AND(INDEX('城市分配'!$D$6:$D$61,MATCH($A83,'城市分配'!$B$6:$B$61,0))="是",B83&gt;0),1,0)</x:f>
        <x:v>0</x:v>
      </x:c>
      <x:c r="D83" s="37" t="n">
        <x:f>SUM($B$28:B82)-SUM($C$28:C82)</x:f>
        <x:v>4374</x:v>
      </x:c>
      <x:c r="E83" s="37" t="n">
        <x:f>D83+B83-C83</x:f>
        <x:v>4374</x:v>
      </x:c>
      <x:c r="F83" s="40" t="n">
        <x:f>INDEX('城市分配'!$L$6:$L$61,MATCH($A83,'城市分配'!$B$6:$B$61,0))</x:f>
        <x:v>0</x:v>
      </x:c>
      <x:c r="G83" s="40" t="n">
        <x:f>IF(AND(INDEX('城市分配'!$D$6:$D$61,MATCH($A83,'城市分配'!$B$6:$B$61,0))="是",F83&gt;0,B83=0),1,0)</x:f>
        <x:v>0</x:v>
      </x:c>
      <x:c r="H83" s="37" t="n">
        <x:f>SUM($F$28:F82)-SUM($G$28:G82)</x:f>
        <x:v>5300</x:v>
      </x:c>
      <x:c r="I83" s="37" t="n">
        <x:f>H83+F83-G83</x:f>
        <x:v>5300</x:v>
      </x:c>
      <x:c r="J83" s="40" t="n">
        <x:f>MAX(0,MIN($E83,J$19)-MAX($D83,J$18))+IF(AND($C83=1,INDEX('城市分配'!$P$6:$P$61,MATCH($A83,'城市分配'!$B$6:$B$61,0))=0),1,0)</x:f>
        <x:v>0</x:v>
      </x:c>
      <x:c r="K83" s="40" t="n">
        <x:f>MAX(0,MIN($E83,K$19)-MAX($D83,K$18))+IF(AND($C83=1,INDEX('城市分配'!$P$6:$P$61,MATCH($A83,'城市分配'!$B$6:$B$61,0))=1),1,0)</x:f>
        <x:v>0</x:v>
      </x:c>
      <x:c r="L83" s="40" t="n">
        <x:f>MAX(0,MIN($E83,L$19)-MAX($D83,L$18))+IF(AND($C83=1,INDEX('城市分配'!$P$6:$P$61,MATCH($A83,'城市分配'!$B$6:$B$61,0))=2),1,0)</x:f>
        <x:v>0</x:v>
      </x:c>
      <x:c r="M83" s="40" t="n">
        <x:f>MAX(0,MIN($E83,M$19)-MAX($D83,M$18))+IF(AND($C83=1,INDEX('城市分配'!$P$6:$P$61,MATCH($A83,'城市分配'!$B$6:$B$61,0))=3),1,0)</x:f>
        <x:v>0</x:v>
      </x:c>
      <x:c r="N83" s="40" t="n">
        <x:f>MAX(0,MIN($E83,N$19)-MAX($D83,N$18))+IF(AND($C83=1,INDEX('城市分配'!$P$6:$P$61,MATCH($A83,'城市分配'!$B$6:$B$61,0))=4),1,0)</x:f>
        <x:v>0</x:v>
      </x:c>
      <x:c r="O83" s="40" t="n">
        <x:f>MAX(0,MIN($E83,O$19)-MAX($D83,O$18))+IF(AND($C83=1,INDEX('城市分配'!$P$6:$P$61,MATCH($A83,'城市分配'!$B$6:$B$61,0))=5),1,0)</x:f>
        <x:v>0</x:v>
      </x:c>
      <x:c r="P83" s="40" t="n">
        <x:f>MAX(0,MIN($E83,P$19)-MAX($D83,P$18))+IF(AND($C83=1,INDEX('城市分配'!$P$6:$P$61,MATCH($A83,'城市分配'!$B$6:$B$61,0))=6),1,0)</x:f>
        <x:v>0</x:v>
      </x:c>
      <x:c r="Q83" s="40" t="n">
        <x:f>MAX(0,MIN($E83,Q$19)-MAX($D83,Q$18))+IF(AND($C83=1,INDEX('城市分配'!$P$6:$P$61,MATCH($A83,'城市分配'!$B$6:$B$61,0))=7),1,0)</x:f>
        <x:v>0</x:v>
      </x:c>
      <x:c r="R83" s="40" t="n">
        <x:f>MAX(0,MIN($E83,R$19)-MAX($D83,R$18))+IF(AND($C83=1,INDEX('城市分配'!$P$6:$P$61,MATCH($A83,'城市分配'!$B$6:$B$61,0))=8),1,0)</x:f>
        <x:v>0</x:v>
      </x:c>
      <x:c r="S83" s="40" t="n">
        <x:f>MAX(0,MIN($E83,S$19)-MAX($D83,S$18))+IF(AND($C83=1,INDEX('城市分配'!$P$6:$P$61,MATCH($A83,'城市分配'!$B$6:$B$61,0))=9),1,0)</x:f>
        <x:v>0</x:v>
      </x:c>
      <x:c r="T83" s="40" t="n">
        <x:f>MAX(0,MIN($E83,T$19)-MAX($D83,T$18))+IF(AND($C83=1,INDEX('城市分配'!$P$6:$P$61,MATCH($A83,'城市分配'!$B$6:$B$61,0))=10),1,0)</x:f>
        <x:v>0</x:v>
      </x:c>
      <x:c r="U83" s="40" t="n">
        <x:f>MAX(0,MIN($E83,U$19)-MAX($D83,U$18))+IF(AND($C83=1,INDEX('城市分配'!$P$6:$P$61,MATCH($A83,'城市分配'!$B$6:$B$61,0))=11),1,0)</x:f>
        <x:v>0</x:v>
      </x:c>
      <x:c r="V83" s="40" t="n">
        <x:f>MAX(0,MIN($I83,J$21)-MAX($H83,J$20))+IF(AND($G83=1,INDEX('城市分配'!$P$6:$P$61,MATCH($A83,'城市分配'!$B$6:$B$61,0))=0),1,0)</x:f>
        <x:v>0</x:v>
      </x:c>
      <x:c r="W83" s="40" t="n">
        <x:f>MAX(0,MIN($I83,K$21)-MAX($H83,K$20))+IF(AND($G83=1,INDEX('城市分配'!$P$6:$P$61,MATCH($A83,'城市分配'!$B$6:$B$61,0))=1),1,0)</x:f>
        <x:v>0</x:v>
      </x:c>
      <x:c r="X83" s="40" t="n">
        <x:f>MAX(0,MIN($I83,L$21)-MAX($H83,L$20))+IF(AND($G83=1,INDEX('城市分配'!$P$6:$P$61,MATCH($A83,'城市分配'!$B$6:$B$61,0))=2),1,0)</x:f>
        <x:v>0</x:v>
      </x:c>
      <x:c r="Y83" s="40" t="n">
        <x:f>MAX(0,MIN($I83,M$21)-MAX($H83,M$20))+IF(AND($G83=1,INDEX('城市分配'!$P$6:$P$61,MATCH($A83,'城市分配'!$B$6:$B$61,0))=3),1,0)</x:f>
        <x:v>0</x:v>
      </x:c>
      <x:c r="Z83" s="40" t="n">
        <x:f>MAX(0,MIN($I83,N$21)-MAX($H83,N$20))+IF(AND($G83=1,INDEX('城市分配'!$P$6:$P$61,MATCH($A83,'城市分配'!$B$6:$B$61,0))=4),1,0)</x:f>
        <x:v>0</x:v>
      </x:c>
      <x:c r="AA83" s="40" t="n">
        <x:f>MAX(0,MIN($I83,O$21)-MAX($H83,O$20))+IF(AND($G83=1,INDEX('城市分配'!$P$6:$P$61,MATCH($A83,'城市分配'!$B$6:$B$61,0))=5),1,0)</x:f>
        <x:v>0</x:v>
      </x:c>
      <x:c r="AB83" s="40" t="n">
        <x:f>MAX(0,MIN($I83,P$21)-MAX($H83,P$20))+IF(AND($G83=1,INDEX('城市分配'!$P$6:$P$61,MATCH($A83,'城市分配'!$B$6:$B$61,0))=6),1,0)</x:f>
        <x:v>0</x:v>
      </x:c>
      <x:c r="AC83" s="40" t="n">
        <x:f>MAX(0,MIN($I83,Q$21)-MAX($H83,Q$20))+IF(AND($G83=1,INDEX('城市分配'!$P$6:$P$61,MATCH($A83,'城市分配'!$B$6:$B$61,0))=7),1,0)</x:f>
        <x:v>0</x:v>
      </x:c>
      <x:c r="AD83" s="40" t="n">
        <x:f>MAX(0,MIN($I83,R$21)-MAX($H83,R$20))+IF(AND($G83=1,INDEX('城市分配'!$P$6:$P$61,MATCH($A83,'城市分配'!$B$6:$B$61,0))=8),1,0)</x:f>
        <x:v>0</x:v>
      </x:c>
      <x:c r="AE83" s="40" t="n">
        <x:f>MAX(0,MIN($I83,S$21)-MAX($H83,S$20))+IF(AND($G83=1,INDEX('城市分配'!$P$6:$P$61,MATCH($A83,'城市分配'!$B$6:$B$61,0))=9),1,0)</x:f>
        <x:v>0</x:v>
      </x:c>
      <x:c r="AF83" s="40" t="n">
        <x:f>MAX(0,MIN($I83,T$21)-MAX($H83,T$20))+IF(AND($G83=1,INDEX('城市分配'!$P$6:$P$61,MATCH($A83,'城市分配'!$B$6:$B$61,0))=10),1,0)</x:f>
        <x:v>0</x:v>
      </x:c>
      <x:c r="AG83" s="40" t="n">
        <x:f>MAX(0,MIN($I83,U$21)-MAX($H83,U$20))+IF(AND($G83=1,INDEX('城市分配'!$P$6:$P$61,MATCH($A83,'城市分配'!$B$6:$B$61,0))=11),1,0)</x:f>
        <x:v>0</x:v>
      </x:c>
      <x:c r="AH83" s="40" t="n">
        <x:f>2*SUM(J83:U83)+4*SUM(V83:AG83)-INDEX('城市分配'!$J$6:$J$61,MATCH($A83,'城市分配'!$B$6:$B$61,0))</x:f>
        <x:v>0</x:v>
      </x:c>
      <x:c r="AI83" s="40" t="n">
        <x:f>IF(INDEX('城市分配'!$D$6:$D$61,MATCH($A83,'城市分配'!$B$6:$B$61,0))="是",--(SUM($J83:$O83)+SUM($V83:$AA83)&gt;0),0)</x:f>
        <x:v>0</x:v>
      </x:c>
    </x:row>
  </x:sheetData>
  <x:mergeCells>
    <x:mergeCell ref="A1:AH1"/>
    <x:mergeCell ref="A3:U3"/>
    <x:mergeCell ref="A26:AH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6" customHeight="1">
      <x:c r="A1" s="4" t="str">
        <x:v>单站成本｜总投资与融资租赁原值</x:v>
      </x:c>
      <x:c r="B1" s="4" t="str">
        <x:v>单站成本｜总投资与融资租赁原值</x:v>
      </x:c>
      <x:c r="C1" s="4" t="str">
        <x:v>单站成本｜总投资与融资租赁原值</x:v>
      </x:c>
      <x:c r="D1" s="4" t="str">
        <x:v>单站成本｜总投资与融资租赁原值</x:v>
      </x:c>
      <x:c r="E1" s="4" t="str">
        <x:v>单站成本｜总投资与融资租赁原值</x:v>
      </x:c>
      <x:c r="F1" s="4" t="str">
        <x:v>单站成本｜总投资与融资租赁原值</x:v>
      </x:c>
      <x:c r="G1" s="4" t="str">
        <x:v>单站成本｜总投资与融资租赁原值</x:v>
      </x:c>
    </x:row>
    <x:row r="3">
      <x:c r="A3" s="13" t="str">
        <x:v>站型成本拆分</x:v>
      </x:c>
      <x:c r="B3" s="14" t="str">
        <x:v>站型成本拆分</x:v>
      </x:c>
      <x:c r="C3" s="14" t="str">
        <x:v>站型成本拆分</x:v>
      </x:c>
      <x:c r="D3" s="14" t="str">
        <x:v>站型成本拆分</x:v>
      </x:c>
      <x:c r="E3" s="14" t="str">
        <x:v>站型成本拆分</x:v>
      </x:c>
      <x:c r="F3" s="14" t="str">
        <x:v>站型成本拆分</x:v>
      </x:c>
      <x:c r="G3" s="15" t="str">
        <x:v>站型成本拆分</x:v>
      </x:c>
    </x:row>
    <x:row r="4">
      <x:c r="A4" s="13" t="str">
        <x:v>配置</x:v>
      </x:c>
      <x:c r="B4" s="14" t="str">
        <x:v>设备</x:v>
      </x:c>
      <x:c r="C4" s="14" t="str">
        <x:v>工程施工及辅材</x:v>
      </x:c>
      <x:c r="D4" s="14" t="str">
        <x:v>渠道公关</x:v>
      </x:c>
      <x:c r="E4" s="14" t="str">
        <x:v>总投资</x:v>
      </x:c>
      <x:c r="F4" s="14" t="str">
        <x:v>融资租赁原值</x:v>
      </x:c>
      <x:c r="G4" s="15" t="str">
        <x:v>单枪原值</x:v>
      </x:c>
    </x:row>
    <x:row r="5">
      <x:c r="A5" t="str">
        <x:v>2枪站</x:v>
      </x:c>
      <x:c r="B5" s="28" t="n">
        <x:f>'核心假设'!B15</x:f>
        <x:v>25000</x:v>
      </x:c>
      <x:c r="C5" s="28" t="n">
        <x:f>'核心假设'!B16</x:f>
        <x:v>25000</x:v>
      </x:c>
      <x:c r="D5" s="28" t="n">
        <x:f>'核心假设'!B17</x:f>
        <x:v>10000</x:v>
      </x:c>
      <x:c r="E5" s="28" t="n">
        <x:f>'核心假设'!B15+'核心假设'!B16+'核心假设'!B17</x:f>
        <x:v>60000</x:v>
      </x:c>
      <x:c r="F5" s="28" t="n">
        <x:f>'核心假设'!B15+'核心假设'!B16</x:f>
        <x:v>50000</x:v>
      </x:c>
      <x:c r="G5" s="29" t="n">
        <x:f>F5/2</x:f>
        <x:v>25000</x:v>
      </x:c>
    </x:row>
    <x:row r="6">
      <x:c r="A6" t="str">
        <x:v>4枪站</x:v>
      </x:c>
      <x:c r="B6" s="28" t="n">
        <x:f>'核心假设'!B18</x:f>
        <x:v>36000</x:v>
      </x:c>
      <x:c r="C6" s="28" t="n">
        <x:f>'核心假设'!B19</x:f>
        <x:v>25000</x:v>
      </x:c>
      <x:c r="D6" s="28" t="n">
        <x:f>'核心假设'!B20</x:f>
        <x:v>10000</x:v>
      </x:c>
      <x:c r="E6" s="28" t="n">
        <x:f>'核心假设'!B18+'核心假设'!B19+'核心假设'!B20</x:f>
        <x:v>71000</x:v>
      </x:c>
      <x:c r="F6" s="28" t="n">
        <x:f>'核心假设'!B18+'核心假设'!B19</x:f>
        <x:v>61000</x:v>
      </x:c>
      <x:c r="G6" s="29" t="n">
        <x:f>F6/4</x:f>
        <x:v>15250</x:v>
      </x:c>
    </x:row>
    <x:row r="8">
      <x:c r="A8" s="13" t="str">
        <x:v>口径说明</x:v>
      </x:c>
      <x:c r="B8" s="14"/>
      <x:c r="C8" s="14"/>
      <x:c r="D8" s="14"/>
      <x:c r="E8" s="14"/>
      <x:c r="F8" s="14"/>
      <x:c r="G8" s="15"/>
    </x:row>
    <x:row r="9">
      <x:c r="A9" s="30" t="str">
        <x:v>融资租赁原值仅含设备和工程；渠道费用不融资并形成自有资金需求。</x:v>
      </x:c>
      <x:c r="B9" s="30"/>
      <x:c r="C9" s="30"/>
      <x:c r="D9" s="30"/>
      <x:c r="E9" s="30"/>
      <x:c r="F9" s="30"/>
      <x:c r="G9" s="30"/>
    </x:row>
  </x:sheetData>
  <x:mergeCells>
    <x:mergeCell ref="A1:G1"/>
    <x:mergeCell ref="A3:G3"/>
    <x:mergeCell ref="A8:G8"/>
    <x:mergeCell ref="A9:G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8" hidden="0" customWidth="1"/>
  </x:cols>
  <x:sheetData>
    <x:row r="1">
      <x:c r="A1" s="6" t="str">
        <x:v>订单创建日期</x:v>
      </x:c>
      <x:c r="B1" s="6" t="str">
        <x:v>站点ID</x:v>
      </x:c>
      <x:c r="C1" s="6" t="str">
        <x:v>站点名称</x:v>
      </x:c>
      <x:c r="D1" s="6" t="str">
        <x:v>直流桩数</x:v>
      </x:c>
      <x:c r="E1" s="6" t="str">
        <x:v>交流桩数</x:v>
      </x:c>
      <x:c r="F1" s="6" t="str">
        <x:v>充电单量</x:v>
      </x:c>
      <x:c r="G1" s="6" t="str">
        <x:v>充电电量（度）</x:v>
      </x:c>
      <x:c r="H1" s="6" t="str">
        <x:v>尖时电量（度）</x:v>
      </x:c>
      <x:c r="I1" s="6" t="str">
        <x:v>峰时电量（度）</x:v>
      </x:c>
      <x:c r="J1" s="6" t="str">
        <x:v>平时电量（度）</x:v>
      </x:c>
      <x:c r="K1" s="6" t="str">
        <x:v>谷时电量（度）</x:v>
      </x:c>
      <x:c r="L1" s="6" t="str">
        <x:v>充电时长（分钟）</x:v>
      </x:c>
      <x:c r="M1" s="6" t="str">
        <x:v>订单总额（元）</x:v>
      </x:c>
      <x:c r="N1" s="6" t="str">
        <x:v>充电电费（元）</x:v>
      </x:c>
      <x:c r="O1" s="6" t="str">
        <x:v>充电服务费（元）</x:v>
      </x:c>
      <x:c r="P1" s="6" t="str">
        <x:v>报表更新日期</x:v>
      </x:c>
      <x:c r="Q1" s="6" t="str">
        <x:v>标准化日期（辅助）</x:v>
      </x:c>
    </x:row>
    <x:row r="2">
      <x:c r="A2" s="36" t="str">
        <x:v>2026-08-15</x:v>
      </x:c>
      <x:c r="B2" s="18" t="str">
        <x:v>101437000_100523</x:v>
      </x:c>
      <x:c r="C2" s="18" t="str">
        <x:v>【沪村小电】民旺苑南区</x:v>
      </x:c>
      <x:c r="D2" s="37" t="str">
        <x:v>4</x:v>
      </x:c>
      <x:c r="E2" s="37" t="str">
        <x:v>0</x:v>
      </x:c>
      <x:c r="F2" s="37" t="str">
        <x:v>22</x:v>
      </x:c>
      <x:c r="G2" s="37" t="str">
        <x:v>472.43</x:v>
      </x:c>
      <x:c r="H2" s="37" t="str">
        <x:v>0.00</x:v>
      </x:c>
      <x:c r="I2" s="37" t="str">
        <x:v>320.61</x:v>
      </x:c>
      <x:c r="J2" s="37" t="str">
        <x:v>0.00</x:v>
      </x:c>
      <x:c r="K2" s="37" t="str">
        <x:v>151.82</x:v>
      </x:c>
      <x:c r="L2" s="37" t="str">
        <x:v>708</x:v>
      </x:c>
      <x:c r="M2" s="29" t="str">
        <x:v>432.08</x:v>
      </x:c>
      <x:c r="N2" s="29" t="str">
        <x:v>298.99</x:v>
      </x:c>
      <x:c r="O2" s="29" t="str">
        <x:v>133.09</x:v>
      </x:c>
      <x:c r="P2" s="18" t="str">
        <x:v>2026-08-15</x:v>
      </x:c>
      <x:c r="Q2" s="36" t="n">
        <x:v>46249</x:v>
      </x:c>
    </x:row>
    <x:row r="3">
      <x:c r="A3" s="36" t="str">
        <x:v>2026-08-15</x:v>
      </x:c>
      <x:c r="B3" s="18" t="str">
        <x:v>101437000_101531</x:v>
      </x:c>
      <x:c r="C3" s="18" t="str">
        <x:v>【沪村小电】汇中苑充电站</x:v>
      </x:c>
      <x:c r="D3" s="37" t="str">
        <x:v>2</x:v>
      </x:c>
      <x:c r="E3" s="37" t="str">
        <x:v>0</x:v>
      </x:c>
      <x:c r="F3" s="37" t="str">
        <x:v>7</x:v>
      </x:c>
      <x:c r="G3" s="37" t="str">
        <x:v>144.77</x:v>
      </x:c>
      <x:c r="H3" s="37" t="str">
        <x:v>0.00</x:v>
      </x:c>
      <x:c r="I3" s="37" t="str">
        <x:v>0.00</x:v>
      </x:c>
      <x:c r="J3" s="37" t="str">
        <x:v>102.28</x:v>
      </x:c>
      <x:c r="K3" s="37" t="str">
        <x:v>42.49</x:v>
      </x:c>
      <x:c r="L3" s="37" t="str">
        <x:v>266</x:v>
      </x:c>
      <x:c r="M3" s="29" t="str">
        <x:v>158.01</x:v>
      </x:c>
      <x:c r="N3" s="29" t="str">
        <x:v>88.61</x:v>
      </x:c>
      <x:c r="O3" s="29" t="str">
        <x:v>69.40</x:v>
      </x:c>
      <x:c r="P3" s="18" t="str">
        <x:v>2026-08-15</x:v>
      </x:c>
      <x:c r="Q3" s="36" t="n">
        <x:v>46249</x:v>
      </x:c>
    </x:row>
    <x:row r="4">
      <x:c r="A4" s="36" t="str">
        <x:v>2026-08-15</x:v>
      </x:c>
      <x:c r="B4" s="18" t="str">
        <x:v>101437000_102047</x:v>
      </x:c>
      <x:c r="C4" s="18" t="str">
        <x:v>【沪村小电】后浜小区9弄小区南面停车场充电站</x:v>
      </x:c>
      <x:c r="D4" s="37" t="str">
        <x:v>8</x:v>
      </x:c>
      <x:c r="E4" s="37" t="str">
        <x:v>0</x:v>
      </x:c>
      <x:c r="F4" s="37" t="str">
        <x:v>44</x:v>
      </x:c>
      <x:c r="G4" s="37" t="str">
        <x:v>1027.17</x:v>
      </x:c>
      <x:c r="H4" s="37" t="str">
        <x:v>0.00</x:v>
      </x:c>
      <x:c r="I4" s="37" t="str">
        <x:v>680.46</x:v>
      </x:c>
      <x:c r="J4" s="37" t="str">
        <x:v>0.00</x:v>
      </x:c>
      <x:c r="K4" s="37" t="str">
        <x:v>346.70</x:v>
      </x:c>
      <x:c r="L4" s="37" t="str">
        <x:v>1377</x:v>
      </x:c>
      <x:c r="M4" s="29" t="str">
        <x:v>1074.48</x:v>
      </x:c>
      <x:c r="N4" s="29" t="str">
        <x:v>646.08</x:v>
      </x:c>
      <x:c r="O4" s="29" t="str">
        <x:v>428.40</x:v>
      </x:c>
      <x:c r="P4" s="18" t="str">
        <x:v>2026-08-15</x:v>
      </x:c>
      <x:c r="Q4" s="36" t="n">
        <x:v>46249</x:v>
      </x:c>
    </x:row>
    <x:row r="5">
      <x:c r="A5" s="36" t="str">
        <x:v>2026-08-15</x:v>
      </x:c>
      <x:c r="B5" s="18" t="str">
        <x:v>101437000_103503</x:v>
      </x:c>
      <x:c r="C5" s="18" t="str">
        <x:v>【沪村小电】阳光城新界充电站</x:v>
      </x:c>
      <x:c r="D5" s="37" t="str">
        <x:v>4</x:v>
      </x:c>
      <x:c r="E5" s="37" t="str">
        <x:v>0</x:v>
      </x:c>
      <x:c r="F5" s="37" t="str">
        <x:v>30</x:v>
      </x:c>
      <x:c r="G5" s="37" t="str">
        <x:v>668.25</x:v>
      </x:c>
      <x:c r="H5" s="37" t="str">
        <x:v>0.00</x:v>
      </x:c>
      <x:c r="I5" s="37" t="str">
        <x:v>499.09</x:v>
      </x:c>
      <x:c r="J5" s="37" t="str">
        <x:v>0.00</x:v>
      </x:c>
      <x:c r="K5" s="37" t="str">
        <x:v>169.17</x:v>
      </x:c>
      <x:c r="L5" s="37" t="str">
        <x:v>1095</x:v>
      </x:c>
      <x:c r="M5" s="29" t="str">
        <x:v>662.16</x:v>
      </x:c>
      <x:c r="N5" s="29" t="str">
        <x:v>456.94</x:v>
      </x:c>
      <x:c r="O5" s="29" t="str">
        <x:v>205.22</x:v>
      </x:c>
      <x:c r="P5" s="18" t="str">
        <x:v>2026-08-15</x:v>
      </x:c>
      <x:c r="Q5" s="36" t="n">
        <x:v>46249</x:v>
      </x:c>
    </x:row>
    <x:row r="6">
      <x:c r="A6" s="36" t="str">
        <x:v>2026-08-15</x:v>
      </x:c>
      <x:c r="B6" s="18" t="str">
        <x:v>101437000_41561</x:v>
      </x:c>
      <x:c r="C6" s="18" t="str">
        <x:v>【沪村小电】张施小区大门处快充站</x:v>
      </x:c>
      <x:c r="D6" s="37" t="str">
        <x:v>2</x:v>
      </x:c>
      <x:c r="E6" s="37" t="str">
        <x:v>0</x:v>
      </x:c>
      <x:c r="F6" s="37" t="str">
        <x:v>44</x:v>
      </x:c>
      <x:c r="G6" s="37" t="str">
        <x:v>1177.40</x:v>
      </x:c>
      <x:c r="H6" s="37" t="str">
        <x:v>0.00</x:v>
      </x:c>
      <x:c r="I6" s="37" t="str">
        <x:v>485.11</x:v>
      </x:c>
      <x:c r="J6" s="37" t="str">
        <x:v>0.00</x:v>
      </x:c>
      <x:c r="K6" s="37" t="str">
        <x:v>692.29</x:v>
      </x:c>
      <x:c r="L6" s="37" t="str">
        <x:v>2241</x:v>
      </x:c>
      <x:c r="M6" s="29" t="str">
        <x:v>902.27</x:v>
      </x:c>
      <x:c r="N6" s="29" t="str">
        <x:v>600.55</x:v>
      </x:c>
      <x:c r="O6" s="29" t="str">
        <x:v>301.72</x:v>
      </x:c>
      <x:c r="P6" s="18" t="str">
        <x:v>2026-08-15</x:v>
      </x:c>
      <x:c r="Q6" s="36" t="n">
        <x:v>46249</x:v>
      </x:c>
    </x:row>
    <x:row r="7">
      <x:c r="A7" s="36" t="str">
        <x:v>2026-08-15</x:v>
      </x:c>
      <x:c r="B7" s="18" t="str">
        <x:v>101437000_41563</x:v>
      </x:c>
      <x:c r="C7" s="18" t="str">
        <x:v>【沪村小电】同心村快充站</x:v>
      </x:c>
      <x:c r="D7" s="37" t="str">
        <x:v>4</x:v>
      </x:c>
      <x:c r="E7" s="37" t="str">
        <x:v>0</x:v>
      </x:c>
      <x:c r="F7" s="37" t="str">
        <x:v>48</x:v>
      </x:c>
      <x:c r="G7" s="37" t="str">
        <x:v>1220.79</x:v>
      </x:c>
      <x:c r="H7" s="37" t="str">
        <x:v>0.00</x:v>
      </x:c>
      <x:c r="I7" s="37" t="str">
        <x:v>654.45</x:v>
      </x:c>
      <x:c r="J7" s="37" t="str">
        <x:v>0.00</x:v>
      </x:c>
      <x:c r="K7" s="37" t="str">
        <x:v>566.34</x:v>
      </x:c>
      <x:c r="L7" s="37" t="str">
        <x:v>2106</x:v>
      </x:c>
      <x:c r="M7" s="29" t="str">
        <x:v>1092.81</x:v>
      </x:c>
      <x:c r="N7" s="29" t="str">
        <x:v>674.16</x:v>
      </x:c>
      <x:c r="O7" s="29" t="str">
        <x:v>418.65</x:v>
      </x:c>
      <x:c r="P7" s="18" t="str">
        <x:v>2026-08-15</x:v>
      </x:c>
      <x:c r="Q7" s="36" t="n">
        <x:v>46249</x:v>
      </x:c>
    </x:row>
    <x:row r="8">
      <x:c r="A8" s="36" t="str">
        <x:v>2026-08-15</x:v>
      </x:c>
      <x:c r="B8" s="18" t="str">
        <x:v>101437000_69629</x:v>
      </x:c>
      <x:c r="C8" s="18" t="str">
        <x:v>【沪村小电】骏丰玲珑坊西苑充电站</x:v>
      </x:c>
      <x:c r="D8" s="37" t="str">
        <x:v>2</x:v>
      </x:c>
      <x:c r="E8" s="37" t="str">
        <x:v>0</x:v>
      </x:c>
      <x:c r="F8" s="37" t="str">
        <x:v>72</x:v>
      </x:c>
      <x:c r="G8" s="37" t="str">
        <x:v>1703.80</x:v>
      </x:c>
      <x:c r="H8" s="37" t="str">
        <x:v>0.00</x:v>
      </x:c>
      <x:c r="I8" s="37" t="str">
        <x:v>1061.50</x:v>
      </x:c>
      <x:c r="J8" s="37" t="str">
        <x:v>0.00</x:v>
      </x:c>
      <x:c r="K8" s="37" t="str">
        <x:v>642.30</x:v>
      </x:c>
      <x:c r="L8" s="37" t="str">
        <x:v>2932</x:v>
      </x:c>
      <x:c r="M8" s="29" t="str">
        <x:v>1484.84</x:v>
      </x:c>
      <x:c r="N8" s="29" t="str">
        <x:v>991.29</x:v>
      </x:c>
      <x:c r="O8" s="29" t="str">
        <x:v>493.55</x:v>
      </x:c>
      <x:c r="P8" s="18" t="str">
        <x:v>2026-08-15</x:v>
      </x:c>
      <x:c r="Q8" s="36" t="n">
        <x:v>46249</x:v>
      </x:c>
    </x:row>
    <x:row r="9">
      <x:c r="A9" s="36" t="str">
        <x:v>2026-08-15</x:v>
      </x:c>
      <x:c r="B9" s="18" t="str">
        <x:v>101437000_70547</x:v>
      </x:c>
      <x:c r="C9" s="18" t="str">
        <x:v>【沪村小电】农建村初心馆党群服务中心充电站</x:v>
      </x:c>
      <x:c r="D9" s="37" t="str">
        <x:v>4</x:v>
      </x:c>
      <x:c r="E9" s="37" t="str">
        <x:v>0</x:v>
      </x:c>
      <x:c r="F9" s="37" t="str">
        <x:v>29</x:v>
      </x:c>
      <x:c r="G9" s="37" t="str">
        <x:v>628.93</x:v>
      </x:c>
      <x:c r="H9" s="37" t="str">
        <x:v>0.00</x:v>
      </x:c>
      <x:c r="I9" s="37" t="str">
        <x:v>266.23</x:v>
      </x:c>
      <x:c r="J9" s="37" t="str">
        <x:v>0.00</x:v>
      </x:c>
      <x:c r="K9" s="37" t="str">
        <x:v>362.70</x:v>
      </x:c>
      <x:c r="L9" s="37" t="str">
        <x:v>1104</x:v>
      </x:c>
      <x:c r="M9" s="29" t="str">
        <x:v>577.25</x:v>
      </x:c>
      <x:c r="N9" s="29" t="str">
        <x:v>448.54</x:v>
      </x:c>
      <x:c r="O9" s="29" t="str">
        <x:v>128.71</x:v>
      </x:c>
      <x:c r="P9" s="18" t="str">
        <x:v>2026-08-15</x:v>
      </x:c>
      <x:c r="Q9" s="36" t="n">
        <x:v>46249</x:v>
      </x:c>
    </x:row>
    <x:row r="10">
      <x:c r="A10" s="36" t="str">
        <x:v>2026-08-15</x:v>
      </x:c>
      <x:c r="B10" s="18" t="str">
        <x:v>101437000_70549</x:v>
      </x:c>
      <x:c r="C10" s="18" t="str">
        <x:v>【沪村小电】学府路充电站</x:v>
      </x:c>
      <x:c r="D10" s="37" t="str">
        <x:v>2</x:v>
      </x:c>
      <x:c r="E10" s="37" t="str">
        <x:v>0</x:v>
      </x:c>
      <x:c r="F10" s="37" t="str">
        <x:v>4</x:v>
      </x:c>
      <x:c r="G10" s="37" t="str">
        <x:v>181.71</x:v>
      </x:c>
      <x:c r="H10" s="37" t="str">
        <x:v>0.00</x:v>
      </x:c>
      <x:c r="I10" s="37" t="str">
        <x:v>76.64</x:v>
      </x:c>
      <x:c r="J10" s="37" t="str">
        <x:v>0.00</x:v>
      </x:c>
      <x:c r="K10" s="37" t="str">
        <x:v>105.07</x:v>
      </x:c>
      <x:c r="L10" s="37" t="str">
        <x:v>216</x:v>
      </x:c>
      <x:c r="M10" s="29" t="str">
        <x:v>180.84</x:v>
      </x:c>
      <x:c r="N10" s="29" t="str">
        <x:v>129.46</x:v>
      </x:c>
      <x:c r="O10" s="29" t="str">
        <x:v>51.38</x:v>
      </x:c>
      <x:c r="P10" s="18" t="str">
        <x:v>2026-08-15</x:v>
      </x:c>
      <x:c r="Q10" s="36" t="n">
        <x:v>46249</x:v>
      </x:c>
    </x:row>
    <x:row r="11">
      <x:c r="A11" s="36" t="str">
        <x:v>2026-08-15</x:v>
      </x:c>
      <x:c r="B11" s="18" t="str">
        <x:v>101437000_71059</x:v>
      </x:c>
      <x:c r="C11" s="18" t="str">
        <x:v>【沪村小电】宝乐汇商业广场站</x:v>
      </x:c>
      <x:c r="D11" s="37" t="str">
        <x:v>4</x:v>
      </x:c>
      <x:c r="E11" s="37" t="str">
        <x:v>0</x:v>
      </x:c>
      <x:c r="F11" s="37" t="str">
        <x:v>15</x:v>
      </x:c>
      <x:c r="G11" s="37" t="str">
        <x:v>330.45</x:v>
      </x:c>
      <x:c r="H11" s="37" t="str">
        <x:v>0.00</x:v>
      </x:c>
      <x:c r="I11" s="37" t="str">
        <x:v>162.51</x:v>
      </x:c>
      <x:c r="J11" s="37" t="str">
        <x:v>0.00</x:v>
      </x:c>
      <x:c r="K11" s="37" t="str">
        <x:v>167.94</x:v>
      </x:c>
      <x:c r="L11" s="37" t="str">
        <x:v>576</x:v>
      </x:c>
      <x:c r="M11" s="29" t="str">
        <x:v>318.38</x:v>
      </x:c>
      <x:c r="N11" s="29" t="str">
        <x:v>223.53</x:v>
      </x:c>
      <x:c r="O11" s="29" t="str">
        <x:v>94.85</x:v>
      </x:c>
      <x:c r="P11" s="18" t="str">
        <x:v>2026-08-15</x:v>
      </x:c>
      <x:c r="Q11" s="36" t="n">
        <x:v>46249</x:v>
      </x:c>
    </x:row>
    <x:row r="12">
      <x:c r="A12" s="36" t="str">
        <x:v>2026-08-15</x:v>
      </x:c>
      <x:c r="B12" s="18" t="str">
        <x:v>101437000_72541</x:v>
      </x:c>
      <x:c r="C12" s="18" t="str">
        <x:v>【沪村小电】九干路1174弄充电站</x:v>
      </x:c>
      <x:c r="D12" s="37" t="str">
        <x:v>2</x:v>
      </x:c>
      <x:c r="E12" s="37" t="str">
        <x:v>0</x:v>
      </x:c>
      <x:c r="F12" s="37" t="str">
        <x:v>48</x:v>
      </x:c>
      <x:c r="G12" s="37" t="str">
        <x:v>1103.82</x:v>
      </x:c>
      <x:c r="H12" s="37" t="str">
        <x:v>0.00</x:v>
      </x:c>
      <x:c r="I12" s="37" t="str">
        <x:v>710.12</x:v>
      </x:c>
      <x:c r="J12" s="37" t="str">
        <x:v>0.00</x:v>
      </x:c>
      <x:c r="K12" s="37" t="str">
        <x:v>393.70</x:v>
      </x:c>
      <x:c r="L12" s="37" t="str">
        <x:v>1990</x:v>
      </x:c>
      <x:c r="M12" s="29" t="str">
        <x:v>967.19</x:v>
      </x:c>
      <x:c r="N12" s="29" t="str">
        <x:v>649.86</x:v>
      </x:c>
      <x:c r="O12" s="29" t="str">
        <x:v>317.33</x:v>
      </x:c>
      <x:c r="P12" s="18" t="str">
        <x:v>2026-08-15</x:v>
      </x:c>
      <x:c r="Q12" s="36" t="n">
        <x:v>46249</x:v>
      </x:c>
    </x:row>
    <x:row r="13">
      <x:c r="A13" s="36" t="str">
        <x:v>2026-08-15</x:v>
      </x:c>
      <x:c r="B13" s="18" t="str">
        <x:v>101437000_72543</x:v>
      </x:c>
      <x:c r="C13" s="18" t="str">
        <x:v>【沪村小电】叶家中心村小区充电站</x:v>
      </x:c>
      <x:c r="D13" s="37" t="str">
        <x:v>2</x:v>
      </x:c>
      <x:c r="E13" s="37" t="str">
        <x:v>0</x:v>
      </x:c>
      <x:c r="F13" s="37" t="str">
        <x:v>44</x:v>
      </x:c>
      <x:c r="G13" s="37" t="str">
        <x:v>1133.68</x:v>
      </x:c>
      <x:c r="H13" s="37" t="str">
        <x:v>0.00</x:v>
      </x:c>
      <x:c r="I13" s="37" t="str">
        <x:v>586.75</x:v>
      </x:c>
      <x:c r="J13" s="37" t="str">
        <x:v>0.00</x:v>
      </x:c>
      <x:c r="K13" s="37" t="str">
        <x:v>546.92</x:v>
      </x:c>
      <x:c r="L13" s="37" t="str">
        <x:v>2050</x:v>
      </x:c>
      <x:c r="M13" s="29" t="str">
        <x:v>865.62</x:v>
      </x:c>
      <x:c r="N13" s="29" t="str">
        <x:v>618.95</x:v>
      </x:c>
      <x:c r="O13" s="29" t="str">
        <x:v>246.67</x:v>
      </x:c>
      <x:c r="P13" s="18" t="str">
        <x:v>2026-08-15</x:v>
      </x:c>
      <x:c r="Q13" s="36" t="n">
        <x:v>46249</x:v>
      </x:c>
    </x:row>
    <x:row r="14">
      <x:c r="A14" s="36" t="str">
        <x:v>2026-08-15</x:v>
      </x:c>
      <x:c r="B14" s="18" t="str">
        <x:v>101437000_74223</x:v>
      </x:c>
      <x:c r="C14" s="18" t="str">
        <x:v>【沪村小电】中兴村委会充电站</x:v>
      </x:c>
      <x:c r="D14" s="37" t="str">
        <x:v>2</x:v>
      </x:c>
      <x:c r="E14" s="37" t="str">
        <x:v>0</x:v>
      </x:c>
      <x:c r="F14" s="37" t="str">
        <x:v>12</x:v>
      </x:c>
      <x:c r="G14" s="37" t="str">
        <x:v>196.26</x:v>
      </x:c>
      <x:c r="H14" s="37" t="str">
        <x:v>0.00</x:v>
      </x:c>
      <x:c r="I14" s="37" t="str">
        <x:v>68.11</x:v>
      </x:c>
      <x:c r="J14" s="37" t="str">
        <x:v>0.00</x:v>
      </x:c>
      <x:c r="K14" s="37" t="str">
        <x:v>128.15</x:v>
      </x:c>
      <x:c r="L14" s="37" t="str">
        <x:v>340</x:v>
      </x:c>
      <x:c r="M14" s="29" t="str">
        <x:v>172.52</x:v>
      </x:c>
      <x:c r="N14" s="29" t="str">
        <x:v>132.78</x:v>
      </x:c>
      <x:c r="O14" s="29" t="str">
        <x:v>39.74</x:v>
      </x:c>
      <x:c r="P14" s="18" t="str">
        <x:v>2026-08-15</x:v>
      </x:c>
      <x:c r="Q14" s="36" t="n">
        <x:v>46249</x:v>
      </x:c>
    </x:row>
    <x:row r="15">
      <x:c r="A15" s="36" t="str">
        <x:v>2026-08-15</x:v>
      </x:c>
      <x:c r="B15" s="18" t="str">
        <x:v>101437000_74801</x:v>
      </x:c>
      <x:c r="C15" s="18" t="str">
        <x:v>【沪村小电】申良花园充电站</x:v>
      </x:c>
      <x:c r="D15" s="37" t="str">
        <x:v>4</x:v>
      </x:c>
      <x:c r="E15" s="37" t="str">
        <x:v>0</x:v>
      </x:c>
      <x:c r="F15" s="37" t="str">
        <x:v>11</x:v>
      </x:c>
      <x:c r="G15" s="37" t="str">
        <x:v>334.05</x:v>
      </x:c>
      <x:c r="H15" s="37" t="str">
        <x:v>0.00</x:v>
      </x:c>
      <x:c r="I15" s="37" t="str">
        <x:v>259.31</x:v>
      </x:c>
      <x:c r="J15" s="37" t="str">
        <x:v>0.00</x:v>
      </x:c>
      <x:c r="K15" s="37" t="str">
        <x:v>74.74</x:v>
      </x:c>
      <x:c r="L15" s="37" t="str">
        <x:v>505</x:v>
      </x:c>
      <x:c r="M15" s="29" t="str">
        <x:v>360.59</x:v>
      </x:c>
      <x:c r="N15" s="29" t="str">
        <x:v>211.76</x:v>
      </x:c>
      <x:c r="O15" s="29" t="str">
        <x:v>148.83</x:v>
      </x:c>
      <x:c r="P15" s="18" t="str">
        <x:v>2026-08-15</x:v>
      </x:c>
      <x:c r="Q15" s="36" t="n">
        <x:v>46249</x:v>
      </x:c>
    </x:row>
    <x:row r="16">
      <x:c r="A16" s="36" t="str">
        <x:v>2026-08-15</x:v>
      </x:c>
      <x:c r="B16" s="18" t="str">
        <x:v>101437000_74931</x:v>
      </x:c>
      <x:c r="C16" s="18" t="str">
        <x:v>【沪村小电】枫雅南居充电站</x:v>
      </x:c>
      <x:c r="D16" s="37" t="str">
        <x:v>2</x:v>
      </x:c>
      <x:c r="E16" s="37" t="str">
        <x:v>0</x:v>
      </x:c>
      <x:c r="F16" s="37" t="str">
        <x:v>43</x:v>
      </x:c>
      <x:c r="G16" s="37" t="str">
        <x:v>1057.92</x:v>
      </x:c>
      <x:c r="H16" s="37" t="str">
        <x:v>0.00</x:v>
      </x:c>
      <x:c r="I16" s="37" t="str">
        <x:v>577.92</x:v>
      </x:c>
      <x:c r="J16" s="37" t="str">
        <x:v>0.00</x:v>
      </x:c>
      <x:c r="K16" s="37" t="str">
        <x:v>480.00</x:v>
      </x:c>
      <x:c r="L16" s="37" t="str">
        <x:v>1738</x:v>
      </x:c>
      <x:c r="M16" s="29" t="str">
        <x:v>911.80</x:v>
      </x:c>
      <x:c r="N16" s="29" t="str">
        <x:v>489.77</x:v>
      </x:c>
      <x:c r="O16" s="29" t="str">
        <x:v>422.03</x:v>
      </x:c>
      <x:c r="P16" s="18" t="str">
        <x:v>2026-08-15</x:v>
      </x:c>
      <x:c r="Q16" s="36" t="n">
        <x:v>46249</x:v>
      </x:c>
    </x:row>
    <x:row r="17">
      <x:c r="A17" s="36" t="str">
        <x:v>2026-08-15</x:v>
      </x:c>
      <x:c r="B17" s="18" t="str">
        <x:v>101437000_75901</x:v>
      </x:c>
      <x:c r="C17" s="18" t="str">
        <x:v>【沪村小电】金悦学府</x:v>
      </x:c>
      <x:c r="D17" s="37" t="str">
        <x:v>2</x:v>
      </x:c>
      <x:c r="E17" s="37" t="str">
        <x:v>0</x:v>
      </x:c>
      <x:c r="F17" s="37" t="str">
        <x:v>51</x:v>
      </x:c>
      <x:c r="G17" s="37" t="str">
        <x:v>1473.17</x:v>
      </x:c>
      <x:c r="H17" s="37" t="str">
        <x:v>0.00</x:v>
      </x:c>
      <x:c r="I17" s="37" t="str">
        <x:v>683.21</x:v>
      </x:c>
      <x:c r="J17" s="37" t="str">
        <x:v>120.43</x:v>
      </x:c>
      <x:c r="K17" s="37" t="str">
        <x:v>669.53</x:v>
      </x:c>
      <x:c r="L17" s="37" t="str">
        <x:v>2501</x:v>
      </x:c>
      <x:c r="M17" s="29" t="str">
        <x:v>1082.01</x:v>
      </x:c>
      <x:c r="N17" s="29" t="str">
        <x:v>652.83</x:v>
      </x:c>
      <x:c r="O17" s="29" t="str">
        <x:v>429.18</x:v>
      </x:c>
      <x:c r="P17" s="18" t="str">
        <x:v>2026-08-15</x:v>
      </x:c>
      <x:c r="Q17" s="36" t="n">
        <x:v>46249</x:v>
      </x:c>
    </x:row>
    <x:row r="18">
      <x:c r="A18" s="36" t="str">
        <x:v>2026-08-15</x:v>
      </x:c>
      <x:c r="B18" s="18" t="str">
        <x:v>101437000_76091</x:v>
      </x:c>
      <x:c r="C18" s="18" t="str">
        <x:v>【沪村小电】恒信家园充电站</x:v>
      </x:c>
      <x:c r="D18" s="37" t="str">
        <x:v>2</x:v>
      </x:c>
      <x:c r="E18" s="37" t="str">
        <x:v>0</x:v>
      </x:c>
      <x:c r="F18" s="37" t="str">
        <x:v>35</x:v>
      </x:c>
      <x:c r="G18" s="37" t="str">
        <x:v>889.97</x:v>
      </x:c>
      <x:c r="H18" s="37" t="str">
        <x:v>0.00</x:v>
      </x:c>
      <x:c r="I18" s="37" t="str">
        <x:v>506.08</x:v>
      </x:c>
      <x:c r="J18" s="37" t="str">
        <x:v>0.00</x:v>
      </x:c>
      <x:c r="K18" s="37" t="str">
        <x:v>383.89</x:v>
      </x:c>
      <x:c r="L18" s="37" t="str">
        <x:v>1218</x:v>
      </x:c>
      <x:c r="M18" s="29" t="str">
        <x:v>881.97</x:v>
      </x:c>
      <x:c r="N18" s="29" t="str">
        <x:v>501.35</x:v>
      </x:c>
      <x:c r="O18" s="29" t="str">
        <x:v>380.62</x:v>
      </x:c>
      <x:c r="P18" s="18" t="str">
        <x:v>2026-08-15</x:v>
      </x:c>
      <x:c r="Q18" s="36" t="n">
        <x:v>46249</x:v>
      </x:c>
    </x:row>
    <x:row r="19">
      <x:c r="A19" s="36" t="str">
        <x:v>2026-08-15</x:v>
      </x:c>
      <x:c r="B19" s="18" t="str">
        <x:v>101437000_76417</x:v>
      </x:c>
      <x:c r="C19" s="18" t="str">
        <x:v>【沪村小电】新春一组充电站</x:v>
      </x:c>
      <x:c r="D19" s="37" t="str">
        <x:v>2</x:v>
      </x:c>
      <x:c r="E19" s="37" t="str">
        <x:v>0</x:v>
      </x:c>
      <x:c r="F19" s="37" t="str">
        <x:v>21</x:v>
      </x:c>
      <x:c r="G19" s="37" t="str">
        <x:v>430.96</x:v>
      </x:c>
      <x:c r="H19" s="37" t="str">
        <x:v>0.00</x:v>
      </x:c>
      <x:c r="I19" s="37" t="str">
        <x:v>147.81</x:v>
      </x:c>
      <x:c r="J19" s="37" t="str">
        <x:v>0.00</x:v>
      </x:c>
      <x:c r="K19" s="37" t="str">
        <x:v>283.15</x:v>
      </x:c>
      <x:c r="L19" s="37" t="str">
        <x:v>687</x:v>
      </x:c>
      <x:c r="M19" s="29" t="str">
        <x:v>368.53</x:v>
      </x:c>
      <x:c r="N19" s="29" t="str">
        <x:v>290.73</x:v>
      </x:c>
      <x:c r="O19" s="29" t="str">
        <x:v>77.80</x:v>
      </x:c>
      <x:c r="P19" s="18" t="str">
        <x:v>2026-08-15</x:v>
      </x:c>
      <x:c r="Q19" s="36" t="n">
        <x:v>46249</x:v>
      </x:c>
    </x:row>
    <x:row r="20">
      <x:c r="A20" s="36" t="str">
        <x:v>2026-08-15</x:v>
      </x:c>
      <x:c r="B20" s="18" t="str">
        <x:v>101437000_78235</x:v>
      </x:c>
      <x:c r="C20" s="18" t="str">
        <x:v>【沪村小电】欣秋苑充电站</x:v>
      </x:c>
      <x:c r="D20" s="37" t="str">
        <x:v>4</x:v>
      </x:c>
      <x:c r="E20" s="37" t="str">
        <x:v>0</x:v>
      </x:c>
      <x:c r="F20" s="37" t="str">
        <x:v>26</x:v>
      </x:c>
      <x:c r="G20" s="37" t="str">
        <x:v>642.07</x:v>
      </x:c>
      <x:c r="H20" s="37" t="str">
        <x:v>0.00</x:v>
      </x:c>
      <x:c r="I20" s="37" t="str">
        <x:v>464.29</x:v>
      </x:c>
      <x:c r="J20" s="37" t="str">
        <x:v>0.00</x:v>
      </x:c>
      <x:c r="K20" s="37" t="str">
        <x:v>177.78</x:v>
      </x:c>
      <x:c r="L20" s="37" t="str">
        <x:v>1103</x:v>
      </x:c>
      <x:c r="M20" s="29" t="str">
        <x:v>590.12</x:v>
      </x:c>
      <x:c r="N20" s="29" t="str">
        <x:v>395.44</x:v>
      </x:c>
      <x:c r="O20" s="29" t="str">
        <x:v>194.68</x:v>
      </x:c>
      <x:c r="P20" s="18" t="str">
        <x:v>2026-08-15</x:v>
      </x:c>
      <x:c r="Q20" s="36" t="n">
        <x:v>46249</x:v>
      </x:c>
    </x:row>
    <x:row r="21">
      <x:c r="A21" s="36" t="str">
        <x:v>2026-08-15</x:v>
      </x:c>
      <x:c r="B21" s="18" t="str">
        <x:v>101437000_78237</x:v>
      </x:c>
      <x:c r="C21" s="18" t="str">
        <x:v>【沪村小电】奉馨苑西门小区内北侧充电站</x:v>
      </x:c>
      <x:c r="D21" s="37" t="str">
        <x:v>2</x:v>
      </x:c>
      <x:c r="E21" s="37" t="str">
        <x:v>0</x:v>
      </x:c>
      <x:c r="F21" s="37" t="str">
        <x:v>29</x:v>
      </x:c>
      <x:c r="G21" s="37" t="str">
        <x:v>719.10</x:v>
      </x:c>
      <x:c r="H21" s="37" t="str">
        <x:v>38.42</x:v>
      </x:c>
      <x:c r="I21" s="37" t="str">
        <x:v>162.95</x:v>
      </x:c>
      <x:c r="J21" s="37" t="str">
        <x:v>299.21</x:v>
      </x:c>
      <x:c r="K21" s="37" t="str">
        <x:v>218.53</x:v>
      </x:c>
      <x:c r="L21" s="37" t="str">
        <x:v>1009</x:v>
      </x:c>
      <x:c r="M21" s="29" t="str">
        <x:v>699.96</x:v>
      </x:c>
      <x:c r="N21" s="29" t="str">
        <x:v>534.29</x:v>
      </x:c>
      <x:c r="O21" s="29" t="str">
        <x:v>165.67</x:v>
      </x:c>
      <x:c r="P21" s="18" t="str">
        <x:v>2026-08-15</x:v>
      </x:c>
      <x:c r="Q21" s="36" t="n">
        <x:v>46249</x:v>
      </x:c>
    </x:row>
    <x:row r="22">
      <x:c r="A22" s="36" t="str">
        <x:v>2026-08-15</x:v>
      </x:c>
      <x:c r="B22" s="18" t="str">
        <x:v>101437000_80823</x:v>
      </x:c>
      <x:c r="C22" s="18" t="str">
        <x:v>【沪村小电】上湖轩充电站</x:v>
      </x:c>
      <x:c r="D22" s="37" t="str">
        <x:v>2</x:v>
      </x:c>
      <x:c r="E22" s="37" t="str">
        <x:v>0</x:v>
      </x:c>
      <x:c r="F22" s="37" t="str">
        <x:v>3</x:v>
      </x:c>
      <x:c r="G22" s="37" t="str">
        <x:v>39.57</x:v>
      </x:c>
      <x:c r="H22" s="37" t="str">
        <x:v>20.11</x:v>
      </x:c>
      <x:c r="I22" s="37" t="str">
        <x:v>0.00</x:v>
      </x:c>
      <x:c r="J22" s="37" t="str">
        <x:v>0.00</x:v>
      </x:c>
      <x:c r="K22" s="37" t="str">
        <x:v>19.47</x:v>
      </x:c>
      <x:c r="L22" s="37" t="str">
        <x:v>54</x:v>
      </x:c>
      <x:c r="M22" s="29" t="str">
        <x:v>41.62</x:v>
      </x:c>
      <x:c r="N22" s="29" t="str">
        <x:v>37.08</x:v>
      </x:c>
      <x:c r="O22" s="29" t="str">
        <x:v>4.54</x:v>
      </x:c>
      <x:c r="P22" s="18" t="str">
        <x:v>2026-08-15</x:v>
      </x:c>
      <x:c r="Q22" s="36" t="n">
        <x:v>46249</x:v>
      </x:c>
    </x:row>
    <x:row r="23">
      <x:c r="A23" s="36" t="str">
        <x:v>2026-08-15</x:v>
      </x:c>
      <x:c r="B23" s="18" t="str">
        <x:v>101437000_83019</x:v>
      </x:c>
      <x:c r="C23" s="18" t="str">
        <x:v>【沪村小电】首创禧瑞云启东区充电站</x:v>
      </x:c>
      <x:c r="D23" s="37" t="str">
        <x:v>2</x:v>
      </x:c>
      <x:c r="E23" s="37" t="str">
        <x:v>0</x:v>
      </x:c>
      <x:c r="F23" s="37" t="str">
        <x:v>30</x:v>
      </x:c>
      <x:c r="G23" s="37" t="str">
        <x:v>798.52</x:v>
      </x:c>
      <x:c r="H23" s="37" t="str">
        <x:v>0.00</x:v>
      </x:c>
      <x:c r="I23" s="37" t="str">
        <x:v>512.36</x:v>
      </x:c>
      <x:c r="J23" s="37" t="str">
        <x:v>0.00</x:v>
      </x:c>
      <x:c r="K23" s="37" t="str">
        <x:v>286.16</x:v>
      </x:c>
      <x:c r="L23" s="37" t="str">
        <x:v>1041</x:v>
      </x:c>
      <x:c r="M23" s="29" t="str">
        <x:v>753.27</x:v>
      </x:c>
      <x:c r="N23" s="29" t="str">
        <x:v>469.66</x:v>
      </x:c>
      <x:c r="O23" s="29" t="str">
        <x:v>283.61</x:v>
      </x:c>
      <x:c r="P23" s="18" t="str">
        <x:v>2026-08-15</x:v>
      </x:c>
      <x:c r="Q23" s="36" t="n">
        <x:v>46249</x:v>
      </x:c>
    </x:row>
    <x:row r="24">
      <x:c r="A24" s="36" t="str">
        <x:v>2026-08-15</x:v>
      </x:c>
      <x:c r="B24" s="18" t="str">
        <x:v>101437000_83093</x:v>
      </x:c>
      <x:c r="C24" s="18" t="str">
        <x:v>【沪村小电】金茂未来时光里</x:v>
      </x:c>
      <x:c r="D24" s="37" t="str">
        <x:v>2</x:v>
      </x:c>
      <x:c r="E24" s="37" t="str">
        <x:v>0</x:v>
      </x:c>
      <x:c r="F24" s="37" t="str">
        <x:v>36</x:v>
      </x:c>
      <x:c r="G24" s="37" t="str">
        <x:v>960.90</x:v>
      </x:c>
      <x:c r="H24" s="37" t="str">
        <x:v>0.00</x:v>
      </x:c>
      <x:c r="I24" s="37" t="str">
        <x:v>492.32</x:v>
      </x:c>
      <x:c r="J24" s="37" t="str">
        <x:v>0.00</x:v>
      </x:c>
      <x:c r="K24" s="37" t="str">
        <x:v>468.57</x:v>
      </x:c>
      <x:c r="L24" s="37" t="str">
        <x:v>1337</x:v>
      </x:c>
      <x:c r="M24" s="29" t="str">
        <x:v>793.71</x:v>
      </x:c>
      <x:c r="N24" s="29" t="str">
        <x:v>435.73</x:v>
      </x:c>
      <x:c r="O24" s="29" t="str">
        <x:v>357.98</x:v>
      </x:c>
      <x:c r="P24" s="18" t="str">
        <x:v>2026-08-15</x:v>
      </x:c>
      <x:c r="Q24" s="36" t="n">
        <x:v>46249</x:v>
      </x:c>
    </x:row>
    <x:row r="25">
      <x:c r="A25" s="36" t="str">
        <x:v>2026-08-15</x:v>
      </x:c>
      <x:c r="B25" s="18" t="str">
        <x:v>101437000_83911</x:v>
      </x:c>
      <x:c r="C25" s="18" t="str">
        <x:v>【沪村小电】金瀚园充电站</x:v>
      </x:c>
      <x:c r="D25" s="37" t="str">
        <x:v>2</x:v>
      </x:c>
      <x:c r="E25" s="37" t="str">
        <x:v>0</x:v>
      </x:c>
      <x:c r="F25" s="37" t="str">
        <x:v>53</x:v>
      </x:c>
      <x:c r="G25" s="37" t="str">
        <x:v>1525.57</x:v>
      </x:c>
      <x:c r="H25" s="37" t="str">
        <x:v>0.00</x:v>
      </x:c>
      <x:c r="I25" s="37" t="str">
        <x:v>899.00</x:v>
      </x:c>
      <x:c r="J25" s="37" t="str">
        <x:v>0.00</x:v>
      </x:c>
      <x:c r="K25" s="37" t="str">
        <x:v>626.57</x:v>
      </x:c>
      <x:c r="L25" s="37" t="str">
        <x:v>2092</x:v>
      </x:c>
      <x:c r="M25" s="29" t="str">
        <x:v>1375.52</x:v>
      </x:c>
      <x:c r="N25" s="29" t="str">
        <x:v>870.12</x:v>
      </x:c>
      <x:c r="O25" s="29" t="str">
        <x:v>505.40</x:v>
      </x:c>
      <x:c r="P25" s="18" t="str">
        <x:v>2026-08-15</x:v>
      </x:c>
      <x:c r="Q25" s="36" t="n">
        <x:v>46249</x:v>
      </x:c>
    </x:row>
    <x:row r="26">
      <x:c r="A26" s="36" t="str">
        <x:v>2026-08-15</x:v>
      </x:c>
      <x:c r="B26" s="18" t="str">
        <x:v>101437000_83913</x:v>
      </x:c>
      <x:c r="C26" s="18" t="str">
        <x:v>【沪村小电】新黎村充电站</x:v>
      </x:c>
      <x:c r="D26" s="37" t="str">
        <x:v>2</x:v>
      </x:c>
      <x:c r="E26" s="37" t="str">
        <x:v>0</x:v>
      </x:c>
      <x:c r="F26" s="37" t="str">
        <x:v>33</x:v>
      </x:c>
      <x:c r="G26" s="37" t="str">
        <x:v>916.32</x:v>
      </x:c>
      <x:c r="H26" s="37" t="str">
        <x:v>0.00</x:v>
      </x:c>
      <x:c r="I26" s="37" t="str">
        <x:v>495.23</x:v>
      </x:c>
      <x:c r="J26" s="37" t="str">
        <x:v>0.00</x:v>
      </x:c>
      <x:c r="K26" s="37" t="str">
        <x:v>421.09</x:v>
      </x:c>
      <x:c r="L26" s="37" t="str">
        <x:v>1354</x:v>
      </x:c>
      <x:c r="M26" s="29" t="str">
        <x:v>887.47</x:v>
      </x:c>
      <x:c r="N26" s="29" t="str">
        <x:v>705.05</x:v>
      </x:c>
      <x:c r="O26" s="29" t="str">
        <x:v>182.42</x:v>
      </x:c>
      <x:c r="P26" s="18" t="str">
        <x:v>2026-08-15</x:v>
      </x:c>
      <x:c r="Q26" s="36" t="n">
        <x:v>46249</x:v>
      </x:c>
    </x:row>
    <x:row r="27">
      <x:c r="A27" s="36" t="str">
        <x:v>2026-08-15</x:v>
      </x:c>
      <x:c r="B27" s="18" t="str">
        <x:v>101437000_83915</x:v>
      </x:c>
      <x:c r="C27" s="18" t="str">
        <x:v>【沪村小电】长泰西郊别墅充电站</x:v>
      </x:c>
      <x:c r="D27" s="37" t="str">
        <x:v>2</x:v>
      </x:c>
      <x:c r="E27" s="37" t="str">
        <x:v>0</x:v>
      </x:c>
      <x:c r="F27" s="37" t="str">
        <x:v>17</x:v>
      </x:c>
      <x:c r="G27" s="37" t="str">
        <x:v>483.29</x:v>
      </x:c>
      <x:c r="H27" s="37" t="str">
        <x:v>0.00</x:v>
      </x:c>
      <x:c r="I27" s="37" t="str">
        <x:v>285.10</x:v>
      </x:c>
      <x:c r="J27" s="37" t="str">
        <x:v>0.00</x:v>
      </x:c>
      <x:c r="K27" s="37" t="str">
        <x:v>198.19</x:v>
      </x:c>
      <x:c r="L27" s="37" t="str">
        <x:v>580</x:v>
      </x:c>
      <x:c r="M27" s="29" t="str">
        <x:v>437.08</x:v>
      </x:c>
      <x:c r="N27" s="29" t="str">
        <x:v>275.76</x:v>
      </x:c>
      <x:c r="O27" s="29" t="str">
        <x:v>161.32</x:v>
      </x:c>
      <x:c r="P27" s="18" t="str">
        <x:v>2026-08-15</x:v>
      </x:c>
      <x:c r="Q27" s="36" t="n">
        <x:v>46249</x:v>
      </x:c>
    </x:row>
    <x:row r="28">
      <x:c r="A28" s="36" t="str">
        <x:v>2026-08-15</x:v>
      </x:c>
      <x:c r="B28" s="18" t="str">
        <x:v>101437000_83917</x:v>
      </x:c>
      <x:c r="C28" s="18" t="str">
        <x:v>【沪村小电】旭新华庭充电站</x:v>
      </x:c>
      <x:c r="D28" s="37" t="str">
        <x:v>4</x:v>
      </x:c>
      <x:c r="E28" s="37" t="str">
        <x:v>0</x:v>
      </x:c>
      <x:c r="F28" s="37" t="str">
        <x:v>25</x:v>
      </x:c>
      <x:c r="G28" s="37" t="str">
        <x:v>672.46</x:v>
      </x:c>
      <x:c r="H28" s="37" t="str">
        <x:v>0.00</x:v>
      </x:c>
      <x:c r="I28" s="37" t="str">
        <x:v>497.37</x:v>
      </x:c>
      <x:c r="J28" s="37" t="str">
        <x:v>0.00</x:v>
      </x:c>
      <x:c r="K28" s="37" t="str">
        <x:v>175.09</x:v>
      </x:c>
      <x:c r="L28" s="37" t="str">
        <x:v>1033</x:v>
      </x:c>
      <x:c r="M28" s="29" t="str">
        <x:v>800.63</x:v>
      </x:c>
      <x:c r="N28" s="29" t="str">
        <x:v>417.87</x:v>
      </x:c>
      <x:c r="O28" s="29" t="str">
        <x:v>382.76</x:v>
      </x:c>
      <x:c r="P28" s="18" t="str">
        <x:v>2026-08-15</x:v>
      </x:c>
      <x:c r="Q28" s="36" t="n">
        <x:v>46249</x:v>
      </x:c>
    </x:row>
    <x:row r="29">
      <x:c r="A29" s="36" t="str">
        <x:v>2026-08-15</x:v>
      </x:c>
      <x:c r="B29" s="18" t="str">
        <x:v>101437000_83919</x:v>
      </x:c>
      <x:c r="C29" s="18" t="str">
        <x:v>【沪村小电】浦锦名仕嘉园充电站</x:v>
      </x:c>
      <x:c r="D29" s="37" t="str">
        <x:v>4</x:v>
      </x:c>
      <x:c r="E29" s="37" t="str">
        <x:v>0</x:v>
      </x:c>
      <x:c r="F29" s="37" t="str">
        <x:v>52</x:v>
      </x:c>
      <x:c r="G29" s="37" t="str">
        <x:v>1208.83</x:v>
      </x:c>
      <x:c r="H29" s="37" t="str">
        <x:v>0.00</x:v>
      </x:c>
      <x:c r="I29" s="37" t="str">
        <x:v>0.00</x:v>
      </x:c>
      <x:c r="J29" s="37" t="str">
        <x:v>1208.83</x:v>
      </x:c>
      <x:c r="K29" s="37" t="str">
        <x:v>0.00</x:v>
      </x:c>
      <x:c r="L29" s="37" t="str">
        <x:v>1778</x:v>
      </x:c>
      <x:c r="M29" s="29" t="str">
        <x:v>1203.42</x:v>
      </x:c>
      <x:c r="N29" s="29" t="str">
        <x:v>846.16</x:v>
      </x:c>
      <x:c r="O29" s="29" t="str">
        <x:v>357.26</x:v>
      </x:c>
      <x:c r="P29" s="18" t="str">
        <x:v>2026-08-15</x:v>
      </x:c>
      <x:c r="Q29" s="36" t="n">
        <x:v>46249</x:v>
      </x:c>
    </x:row>
    <x:row r="30">
      <x:c r="A30" s="36" t="str">
        <x:v>2026-08-15</x:v>
      </x:c>
      <x:c r="B30" s="18" t="str">
        <x:v>101437000_83921</x:v>
      </x:c>
      <x:c r="C30" s="18" t="str">
        <x:v>【沪村小电】上海联怡枇杷乐园充电站（地库）</x:v>
      </x:c>
      <x:c r="D30" s="37" t="str">
        <x:v>8</x:v>
      </x:c>
      <x:c r="E30" s="37" t="str">
        <x:v>0</x:v>
      </x:c>
      <x:c r="F30" s="37" t="str">
        <x:v>4</x:v>
      </x:c>
      <x:c r="G30" s="37" t="str">
        <x:v>102.04</x:v>
      </x:c>
      <x:c r="H30" s="37" t="str">
        <x:v>0.00</x:v>
      </x:c>
      <x:c r="I30" s="37" t="str">
        <x:v>0.00</x:v>
      </x:c>
      <x:c r="J30" s="37" t="str">
        <x:v>0.00</x:v>
      </x:c>
      <x:c r="K30" s="37" t="str">
        <x:v>102.04</x:v>
      </x:c>
      <x:c r="L30" s="37" t="str">
        <x:v>119</x:v>
      </x:c>
      <x:c r="M30" s="29" t="str">
        <x:v>74.38</x:v>
      </x:c>
      <x:c r="N30" s="29" t="str">
        <x:v>61.22</x:v>
      </x:c>
      <x:c r="O30" s="29" t="str">
        <x:v>13.16</x:v>
      </x:c>
      <x:c r="P30" s="18" t="str">
        <x:v>2026-08-15</x:v>
      </x:c>
      <x:c r="Q30" s="36" t="n">
        <x:v>46249</x:v>
      </x:c>
    </x:row>
    <x:row r="31">
      <x:c r="A31" s="36" t="str">
        <x:v>2026-08-15</x:v>
      </x:c>
      <x:c r="B31" s="18" t="str">
        <x:v>101437000_83923</x:v>
      </x:c>
      <x:c r="C31" s="18" t="str">
        <x:v>【沪村小电】明珠新苑充电站</x:v>
      </x:c>
      <x:c r="D31" s="37" t="str">
        <x:v>2</x:v>
      </x:c>
      <x:c r="E31" s="37" t="str">
        <x:v>0</x:v>
      </x:c>
      <x:c r="F31" s="37" t="str">
        <x:v>42</x:v>
      </x:c>
      <x:c r="G31" s="37" t="str">
        <x:v>1232.88</x:v>
      </x:c>
      <x:c r="H31" s="37" t="str">
        <x:v>0.00</x:v>
      </x:c>
      <x:c r="I31" s="37" t="str">
        <x:v>745.78</x:v>
      </x:c>
      <x:c r="J31" s="37" t="str">
        <x:v>0.00</x:v>
      </x:c>
      <x:c r="K31" s="37" t="str">
        <x:v>487.10</x:v>
      </x:c>
      <x:c r="L31" s="37" t="str">
        <x:v>1683</x:v>
      </x:c>
      <x:c r="M31" s="29" t="str">
        <x:v>1144.45</x:v>
      </x:c>
      <x:c r="N31" s="29" t="str">
        <x:v>709.75</x:v>
      </x:c>
      <x:c r="O31" s="29" t="str">
        <x:v>434.70</x:v>
      </x:c>
      <x:c r="P31" s="18" t="str">
        <x:v>2026-08-15</x:v>
      </x:c>
      <x:c r="Q31" s="36" t="n">
        <x:v>46249</x:v>
      </x:c>
    </x:row>
    <x:row r="32">
      <x:c r="A32" s="36" t="str">
        <x:v>2026-08-15</x:v>
      </x:c>
      <x:c r="B32" s="18" t="str">
        <x:v>101437000_84289</x:v>
      </x:c>
      <x:c r="C32" s="18" t="str">
        <x:v>【沪村小电】铁建芳华苑充电站</x:v>
      </x:c>
      <x:c r="D32" s="37" t="str">
        <x:v>4</x:v>
      </x:c>
      <x:c r="E32" s="37" t="str">
        <x:v>0</x:v>
      </x:c>
      <x:c r="F32" s="37" t="str">
        <x:v>38</x:v>
      </x:c>
      <x:c r="G32" s="37" t="str">
        <x:v>997.46</x:v>
      </x:c>
      <x:c r="H32" s="37" t="str">
        <x:v>0.00</x:v>
      </x:c>
      <x:c r="I32" s="37" t="str">
        <x:v>751.17</x:v>
      </x:c>
      <x:c r="J32" s="37" t="str">
        <x:v>0.00</x:v>
      </x:c>
      <x:c r="K32" s="37" t="str">
        <x:v>246.29</x:v>
      </x:c>
      <x:c r="L32" s="37" t="str">
        <x:v>1662</x:v>
      </x:c>
      <x:c r="M32" s="29" t="str">
        <x:v>924.03</x:v>
      </x:c>
      <x:c r="N32" s="29" t="str">
        <x:v>624.46</x:v>
      </x:c>
      <x:c r="O32" s="29" t="str">
        <x:v>299.57</x:v>
      </x:c>
      <x:c r="P32" s="18" t="str">
        <x:v>2026-08-15</x:v>
      </x:c>
      <x:c r="Q32" s="36" t="n">
        <x:v>46249</x:v>
      </x:c>
    </x:row>
    <x:row r="33">
      <x:c r="A33" s="36" t="str">
        <x:v>2026-08-15</x:v>
      </x:c>
      <x:c r="B33" s="18" t="str">
        <x:v>101437000_86379</x:v>
      </x:c>
      <x:c r="C33" s="18" t="str">
        <x:v>【沪村小电】新宝社区充电站</x:v>
      </x:c>
      <x:c r="D33" s="37" t="str">
        <x:v>4</x:v>
      </x:c>
      <x:c r="E33" s="37" t="str">
        <x:v>0</x:v>
      </x:c>
      <x:c r="F33" s="37" t="str">
        <x:v>33</x:v>
      </x:c>
      <x:c r="G33" s="37" t="str">
        <x:v>743.89</x:v>
      </x:c>
      <x:c r="H33" s="37" t="str">
        <x:v>0.00</x:v>
      </x:c>
      <x:c r="I33" s="37" t="str">
        <x:v>388.86</x:v>
      </x:c>
      <x:c r="J33" s="37" t="str">
        <x:v>0.00</x:v>
      </x:c>
      <x:c r="K33" s="37" t="str">
        <x:v>355.03</x:v>
      </x:c>
      <x:c r="L33" s="37" t="str">
        <x:v>1220</x:v>
      </x:c>
      <x:c r="M33" s="29" t="str">
        <x:v>619.13</x:v>
      </x:c>
      <x:c r="N33" s="29" t="str">
        <x:v>407.43</x:v>
      </x:c>
      <x:c r="O33" s="29" t="str">
        <x:v>211.70</x:v>
      </x:c>
      <x:c r="P33" s="18" t="str">
        <x:v>2026-08-15</x:v>
      </x:c>
      <x:c r="Q33" s="36" t="n">
        <x:v>46249</x:v>
      </x:c>
    </x:row>
    <x:row r="34">
      <x:c r="A34" s="36" t="str">
        <x:v>2026-08-15</x:v>
      </x:c>
      <x:c r="B34" s="18" t="str">
        <x:v>101437000_89441</x:v>
      </x:c>
      <x:c r="C34" s="18" t="str">
        <x:v>【沪村小电】首创禧瑞云启西区充电站</x:v>
      </x:c>
      <x:c r="D34" s="37" t="str">
        <x:v>2</x:v>
      </x:c>
      <x:c r="E34" s="37" t="str">
        <x:v>0</x:v>
      </x:c>
      <x:c r="F34" s="37" t="str">
        <x:v>38</x:v>
      </x:c>
      <x:c r="G34" s="37" t="str">
        <x:v>949.04</x:v>
      </x:c>
      <x:c r="H34" s="37" t="str">
        <x:v>0.00</x:v>
      </x:c>
      <x:c r="I34" s="37" t="str">
        <x:v>578.45</x:v>
      </x:c>
      <x:c r="J34" s="37" t="str">
        <x:v>0.00</x:v>
      </x:c>
      <x:c r="K34" s="37" t="str">
        <x:v>370.59</x:v>
      </x:c>
      <x:c r="L34" s="37" t="str">
        <x:v>1154</x:v>
      </x:c>
      <x:c r="M34" s="29" t="str">
        <x:v>988.13</x:v>
      </x:c>
      <x:c r="N34" s="29" t="str">
        <x:v>547.80</x:v>
      </x:c>
      <x:c r="O34" s="29" t="str">
        <x:v>440.33</x:v>
      </x:c>
      <x:c r="P34" s="18" t="str">
        <x:v>2026-08-15</x:v>
      </x:c>
      <x:c r="Q34" s="36" t="n">
        <x:v>46249</x:v>
      </x:c>
    </x:row>
    <x:row r="35">
      <x:c r="A35" s="36" t="str">
        <x:v>2026-08-15</x:v>
      </x:c>
      <x:c r="B35" s="18" t="str">
        <x:v>101437000_89443</x:v>
      </x:c>
      <x:c r="C35" s="18" t="str">
        <x:v>【沪村小电】玉兰清苑二期充电站</x:v>
      </x:c>
      <x:c r="D35" s="37" t="str">
        <x:v>2</x:v>
      </x:c>
      <x:c r="E35" s="37" t="str">
        <x:v>0</x:v>
      </x:c>
      <x:c r="F35" s="37" t="str">
        <x:v>32</x:v>
      </x:c>
      <x:c r="G35" s="37" t="str">
        <x:v>806.75</x:v>
      </x:c>
      <x:c r="H35" s="37" t="str">
        <x:v>0.00</x:v>
      </x:c>
      <x:c r="I35" s="37" t="str">
        <x:v>568.79</x:v>
      </x:c>
      <x:c r="J35" s="37" t="str">
        <x:v>0.00</x:v>
      </x:c>
      <x:c r="K35" s="37" t="str">
        <x:v>237.96</x:v>
      </x:c>
      <x:c r="L35" s="37" t="str">
        <x:v>1248</x:v>
      </x:c>
      <x:c r="M35" s="29" t="str">
        <x:v>817.53</x:v>
      </x:c>
      <x:c r="N35" s="29" t="str">
        <x:v>491.89</x:v>
      </x:c>
      <x:c r="O35" s="29" t="str">
        <x:v>325.64</x:v>
      </x:c>
      <x:c r="P35" s="18" t="str">
        <x:v>2026-08-15</x:v>
      </x:c>
      <x:c r="Q35" s="36" t="n">
        <x:v>46249</x:v>
      </x:c>
    </x:row>
    <x:row r="36">
      <x:c r="A36" s="36" t="str">
        <x:v>2026-08-15</x:v>
      </x:c>
      <x:c r="B36" s="18" t="str">
        <x:v>101437000_93115</x:v>
      </x:c>
      <x:c r="C36" s="18" t="str">
        <x:v>【沪村小电】新南家园西北门</x:v>
      </x:c>
      <x:c r="D36" s="37" t="str">
        <x:v>2</x:v>
      </x:c>
      <x:c r="E36" s="37" t="str">
        <x:v>0</x:v>
      </x:c>
      <x:c r="F36" s="37" t="str">
        <x:v>25</x:v>
      </x:c>
      <x:c r="G36" s="37" t="str">
        <x:v>649.33</x:v>
      </x:c>
      <x:c r="H36" s="37" t="str">
        <x:v>0.00</x:v>
      </x:c>
      <x:c r="I36" s="37" t="str">
        <x:v>267.43</x:v>
      </x:c>
      <x:c r="J36" s="37" t="str">
        <x:v>0.00</x:v>
      </x:c>
      <x:c r="K36" s="37" t="str">
        <x:v>381.90</x:v>
      </x:c>
      <x:c r="L36" s="37" t="str">
        <x:v>885</x:v>
      </x:c>
      <x:c r="M36" s="29" t="str">
        <x:v>527.97</x:v>
      </x:c>
      <x:c r="N36" s="29" t="str">
        <x:v>331.16</x:v>
      </x:c>
      <x:c r="O36" s="29" t="str">
        <x:v>196.81</x:v>
      </x:c>
      <x:c r="P36" s="18" t="str">
        <x:v>2026-08-15</x:v>
      </x:c>
      <x:c r="Q36" s="36" t="n">
        <x:v>46249</x:v>
      </x:c>
    </x:row>
    <x:row r="37">
      <x:c r="A37" s="36" t="str">
        <x:v>2026-08-15</x:v>
      </x:c>
      <x:c r="B37" s="18" t="str">
        <x:v>101437000_94649</x:v>
      </x:c>
      <x:c r="C37" s="18" t="str">
        <x:v>【沪村小电】浪琴水岸花园</x:v>
      </x:c>
      <x:c r="D37" s="37" t="str">
        <x:v>4</x:v>
      </x:c>
      <x:c r="E37" s="37" t="str">
        <x:v>0</x:v>
      </x:c>
      <x:c r="F37" s="37" t="str">
        <x:v>43</x:v>
      </x:c>
      <x:c r="G37" s="37" t="str">
        <x:v>1012.99</x:v>
      </x:c>
      <x:c r="H37" s="37" t="str">
        <x:v>0.00</x:v>
      </x:c>
      <x:c r="I37" s="37" t="str">
        <x:v>596.73</x:v>
      </x:c>
      <x:c r="J37" s="37" t="str">
        <x:v>0.00</x:v>
      </x:c>
      <x:c r="K37" s="37" t="str">
        <x:v>416.27</x:v>
      </x:c>
      <x:c r="L37" s="37" t="str">
        <x:v>1687</x:v>
      </x:c>
      <x:c r="M37" s="29" t="str">
        <x:v>888.47</x:v>
      </x:c>
      <x:c r="N37" s="29" t="str">
        <x:v>619.30</x:v>
      </x:c>
      <x:c r="O37" s="29" t="str">
        <x:v>269.17</x:v>
      </x:c>
      <x:c r="P37" s="18" t="str">
        <x:v>2026-08-15</x:v>
      </x:c>
      <x:c r="Q37" s="36" t="n">
        <x:v>46249</x:v>
      </x:c>
    </x:row>
    <x:row r="38">
      <x:c r="A38" s="36" t="str">
        <x:v>2026-08-15</x:v>
      </x:c>
      <x:c r="B38" s="18" t="str">
        <x:v>101437000_95077</x:v>
      </x:c>
      <x:c r="C38" s="18" t="str">
        <x:v>【沪村小电】民乐城惠益绿苑255弄充电站</x:v>
      </x:c>
      <x:c r="D38" s="37" t="str">
        <x:v>2</x:v>
      </x:c>
      <x:c r="E38" s="37" t="str">
        <x:v>0</x:v>
      </x:c>
      <x:c r="F38" s="37" t="str">
        <x:v>7</x:v>
      </x:c>
      <x:c r="G38" s="37" t="str">
        <x:v>191.26</x:v>
      </x:c>
      <x:c r="H38" s="37" t="str">
        <x:v>0.00</x:v>
      </x:c>
      <x:c r="I38" s="37" t="str">
        <x:v>130.58</x:v>
      </x:c>
      <x:c r="J38" s="37" t="str">
        <x:v>0.00</x:v>
      </x:c>
      <x:c r="K38" s="37" t="str">
        <x:v>60.69</x:v>
      </x:c>
      <x:c r="L38" s="37" t="str">
        <x:v>271</x:v>
      </x:c>
      <x:c r="M38" s="29" t="str">
        <x:v>192.45</x:v>
      </x:c>
      <x:c r="N38" s="29" t="str">
        <x:v>115.15</x:v>
      </x:c>
      <x:c r="O38" s="29" t="str">
        <x:v>77.30</x:v>
      </x:c>
      <x:c r="P38" s="18" t="str">
        <x:v>2026-08-15</x:v>
      </x:c>
      <x:c r="Q38" s="36" t="n">
        <x:v>46249</x:v>
      </x:c>
    </x:row>
    <x:row r="39">
      <x:c r="A39" s="36" t="str">
        <x:v>2026-08-15</x:v>
      </x:c>
      <x:c r="B39" s="18" t="str">
        <x:v>101437000_95079</x:v>
      </x:c>
      <x:c r="C39" s="18" t="str">
        <x:v>【沪村小电】民乐城惠益绿苑东苑充电站</x:v>
      </x:c>
      <x:c r="D39" s="37" t="str">
        <x:v>2</x:v>
      </x:c>
      <x:c r="E39" s="37" t="str">
        <x:v>0</x:v>
      </x:c>
      <x:c r="F39" s="37" t="str">
        <x:v>28</x:v>
      </x:c>
      <x:c r="G39" s="37" t="str">
        <x:v>621.01</x:v>
      </x:c>
      <x:c r="H39" s="37" t="str">
        <x:v>0.00</x:v>
      </x:c>
      <x:c r="I39" s="37" t="str">
        <x:v>401.36</x:v>
      </x:c>
      <x:c r="J39" s="37" t="str">
        <x:v>0.00</x:v>
      </x:c>
      <x:c r="K39" s="37" t="str">
        <x:v>219.65</x:v>
      </x:c>
      <x:c r="L39" s="37" t="str">
        <x:v>1034</x:v>
      </x:c>
      <x:c r="M39" s="29" t="str">
        <x:v>535.28</x:v>
      </x:c>
      <x:c r="N39" s="29" t="str">
        <x:v>366.23</x:v>
      </x:c>
      <x:c r="O39" s="29" t="str">
        <x:v>169.05</x:v>
      </x:c>
      <x:c r="P39" s="18" t="str">
        <x:v>2026-08-15</x:v>
      </x:c>
      <x:c r="Q39" s="36" t="n">
        <x:v>46249</x:v>
      </x:c>
    </x:row>
    <x:row r="40">
      <x:c r="A40" s="36" t="str">
        <x:v>2026-08-15</x:v>
      </x:c>
      <x:c r="B40" s="18" t="str">
        <x:v>101437000_95091</x:v>
      </x:c>
      <x:c r="C40" s="18" t="str">
        <x:v>【沪村小电】金悦学府2号站</x:v>
      </x:c>
      <x:c r="D40" s="37" t="str">
        <x:v>2</x:v>
      </x:c>
      <x:c r="E40" s="37" t="str">
        <x:v>0</x:v>
      </x:c>
      <x:c r="F40" s="37" t="str">
        <x:v>23</x:v>
      </x:c>
      <x:c r="G40" s="37" t="str">
        <x:v>660.88</x:v>
      </x:c>
      <x:c r="H40" s="37" t="str">
        <x:v>0.00</x:v>
      </x:c>
      <x:c r="I40" s="37" t="str">
        <x:v>0.00</x:v>
      </x:c>
      <x:c r="J40" s="37" t="str">
        <x:v>660.88</x:v>
      </x:c>
      <x:c r="K40" s="37" t="str">
        <x:v>0.00</x:v>
      </x:c>
      <x:c r="L40" s="37" t="str">
        <x:v>832</x:v>
      </x:c>
      <x:c r="M40" s="29" t="str">
        <x:v>566.96</x:v>
      </x:c>
      <x:c r="N40" s="29" t="str">
        <x:v>370.06</x:v>
      </x:c>
      <x:c r="O40" s="29" t="str">
        <x:v>196.90</x:v>
      </x:c>
      <x:c r="P40" s="18" t="str">
        <x:v>2026-08-15</x:v>
      </x:c>
      <x:c r="Q40" s="36" t="n">
        <x:v>46249</x:v>
      </x:c>
    </x:row>
    <x:row r="41">
      <x:c r="A41" s="36" t="str">
        <x:v>2026-08-15</x:v>
      </x:c>
      <x:c r="B41" s="18" t="str">
        <x:v>101437000_95941</x:v>
      </x:c>
      <x:c r="C41" s="18" t="str">
        <x:v>【沪村小电】惠诚雅苑</x:v>
      </x:c>
      <x:c r="D41" s="37" t="str">
        <x:v>4</x:v>
      </x:c>
      <x:c r="E41" s="37" t="str">
        <x:v>0</x:v>
      </x:c>
      <x:c r="F41" s="37" t="str">
        <x:v>23</x:v>
      </x:c>
      <x:c r="G41" s="37" t="str">
        <x:v>528.58</x:v>
      </x:c>
      <x:c r="H41" s="37" t="str">
        <x:v>0.00</x:v>
      </x:c>
      <x:c r="I41" s="37" t="str">
        <x:v>122.05</x:v>
      </x:c>
      <x:c r="J41" s="37" t="str">
        <x:v>0.00</x:v>
      </x:c>
      <x:c r="K41" s="37" t="str">
        <x:v>406.53</x:v>
      </x:c>
      <x:c r="L41" s="37" t="str">
        <x:v>860</x:v>
      </x:c>
      <x:c r="M41" s="29" t="str">
        <x:v>400.69</x:v>
      </x:c>
      <x:c r="N41" s="29" t="str">
        <x:v>198.00</x:v>
      </x:c>
      <x:c r="O41" s="29" t="str">
        <x:v>202.69</x:v>
      </x:c>
      <x:c r="P41" s="18" t="str">
        <x:v>2026-08-15</x:v>
      </x:c>
      <x:c r="Q41" s="36" t="n">
        <x:v>46249</x:v>
      </x:c>
    </x:row>
    <x:row r="42">
      <x:c r="A42" s="36" t="str">
        <x:v>2026-08-15</x:v>
      </x:c>
      <x:c r="B42" s="18" t="str">
        <x:v>101437000_96401</x:v>
      </x:c>
      <x:c r="C42" s="18" t="str">
        <x:v>【沪村小电】上海联怡枇杷乐园地面站</x:v>
      </x:c>
      <x:c r="D42" s="37" t="str">
        <x:v>2</x:v>
      </x:c>
      <x:c r="E42" s="37" t="str">
        <x:v>0</x:v>
      </x:c>
      <x:c r="F42" s="37" t="str">
        <x:v>15</x:v>
      </x:c>
      <x:c r="G42" s="37" t="str">
        <x:v>369.62</x:v>
      </x:c>
      <x:c r="H42" s="37" t="str">
        <x:v>0.00</x:v>
      </x:c>
      <x:c r="I42" s="37" t="str">
        <x:v>206.86</x:v>
      </x:c>
      <x:c r="J42" s="37" t="str">
        <x:v>0.00</x:v>
      </x:c>
      <x:c r="K42" s="37" t="str">
        <x:v>162.76</x:v>
      </x:c>
      <x:c r="L42" s="37" t="str">
        <x:v>570</x:v>
      </x:c>
      <x:c r="M42" s="29" t="str">
        <x:v>369.55</x:v>
      </x:c>
      <x:c r="N42" s="29" t="str">
        <x:v>303.47</x:v>
      </x:c>
      <x:c r="O42" s="29" t="str">
        <x:v>66.08</x:v>
      </x:c>
      <x:c r="P42" s="18" t="str">
        <x:v>2026-08-15</x:v>
      </x:c>
      <x:c r="Q42" s="36" t="n">
        <x:v>46249</x:v>
      </x:c>
    </x:row>
    <x:row r="43">
      <x:c r="A43" s="36" t="str">
        <x:v>2026-08-15</x:v>
      </x:c>
      <x:c r="B43" s="18" t="str">
        <x:v>101437000_96719</x:v>
      </x:c>
      <x:c r="C43" s="18" t="str">
        <x:v>【沪村小电】四达路220弄充电站</x:v>
      </x:c>
      <x:c r="D43" s="37" t="str">
        <x:v>2</x:v>
      </x:c>
      <x:c r="E43" s="37" t="str">
        <x:v>0</x:v>
      </x:c>
      <x:c r="F43" s="37" t="str">
        <x:v>3</x:v>
      </x:c>
      <x:c r="G43" s="37" t="str">
        <x:v>58.45</x:v>
      </x:c>
      <x:c r="H43" s="37" t="str">
        <x:v>0.00</x:v>
      </x:c>
      <x:c r="I43" s="37" t="str">
        <x:v>27.13</x:v>
      </x:c>
      <x:c r="J43" s="37" t="str">
        <x:v>0.00</x:v>
      </x:c>
      <x:c r="K43" s="37" t="str">
        <x:v>31.32</x:v>
      </x:c>
      <x:c r="L43" s="37" t="str">
        <x:v>95</x:v>
      </x:c>
      <x:c r="M43" s="29" t="str">
        <x:v>52.72</x:v>
      </x:c>
      <x:c r="N43" s="29" t="str">
        <x:v>30.85</x:v>
      </x:c>
      <x:c r="O43" s="29" t="str">
        <x:v>21.87</x:v>
      </x:c>
      <x:c r="P43" s="18" t="str">
        <x:v>2026-08-15</x:v>
      </x:c>
      <x:c r="Q43" s="36" t="n">
        <x:v>46249</x:v>
      </x:c>
    </x:row>
    <x:row r="44">
      <x:c r="A44" s="36" t="str">
        <x:v>2026-08-15</x:v>
      </x:c>
      <x:c r="B44" s="18" t="str">
        <x:v>101437000_97421</x:v>
      </x:c>
      <x:c r="C44" s="18" t="str">
        <x:v>【沪村小电】玉兰清苑二期（小区外）充电站</x:v>
      </x:c>
      <x:c r="D44" s="37" t="str">
        <x:v>4</x:v>
      </x:c>
      <x:c r="E44" s="37" t="str">
        <x:v>0</x:v>
      </x:c>
      <x:c r="F44" s="37" t="str">
        <x:v>44</x:v>
      </x:c>
      <x:c r="G44" s="37" t="str">
        <x:v>943.98</x:v>
      </x:c>
      <x:c r="H44" s="37" t="str">
        <x:v>0.00</x:v>
      </x:c>
      <x:c r="I44" s="37" t="str">
        <x:v>631.03</x:v>
      </x:c>
      <x:c r="J44" s="37" t="str">
        <x:v>0.00</x:v>
      </x:c>
      <x:c r="K44" s="37" t="str">
        <x:v>312.94</x:v>
      </x:c>
      <x:c r="L44" s="37" t="str">
        <x:v>1869</x:v>
      </x:c>
      <x:c r="M44" s="29" t="str">
        <x:v>843.60</x:v>
      </x:c>
      <x:c r="N44" s="29" t="str">
        <x:v>563.80</x:v>
      </x:c>
      <x:c r="O44" s="29" t="str">
        <x:v>279.80</x:v>
      </x:c>
      <x:c r="P44" s="18" t="str">
        <x:v>2026-08-15</x:v>
      </x:c>
      <x:c r="Q44" s="36" t="n">
        <x:v>46249</x:v>
      </x:c>
    </x:row>
    <x:row r="45">
      <x:c r="A45" s="36" t="str">
        <x:v>2026-08-15</x:v>
      </x:c>
      <x:c r="B45" s="18" t="str">
        <x:v>101437000_98013</x:v>
      </x:c>
      <x:c r="C45" s="18" t="str">
        <x:v>【沪村小电】恒大滨江华府充电站</x:v>
      </x:c>
      <x:c r="D45" s="37" t="str">
        <x:v>4</x:v>
      </x:c>
      <x:c r="E45" s="37" t="str">
        <x:v>0</x:v>
      </x:c>
      <x:c r="F45" s="37" t="str">
        <x:v>42</x:v>
      </x:c>
      <x:c r="G45" s="37" t="str">
        <x:v>959.51</x:v>
      </x:c>
      <x:c r="H45" s="37" t="str">
        <x:v>0.00</x:v>
      </x:c>
      <x:c r="I45" s="37" t="str">
        <x:v>707.81</x:v>
      </x:c>
      <x:c r="J45" s="37" t="str">
        <x:v>0.00</x:v>
      </x:c>
      <x:c r="K45" s="37" t="str">
        <x:v>251.70</x:v>
      </x:c>
      <x:c r="L45" s="37" t="str">
        <x:v>1517</x:v>
      </x:c>
      <x:c r="M45" s="29" t="str">
        <x:v>967.63</x:v>
      </x:c>
      <x:c r="N45" s="29" t="str">
        <x:v>752.81</x:v>
      </x:c>
      <x:c r="O45" s="29" t="str">
        <x:v>214.82</x:v>
      </x:c>
      <x:c r="P45" s="18" t="str">
        <x:v>2026-08-15</x:v>
      </x:c>
      <x:c r="Q45" s="36" t="n">
        <x:v>46249</x:v>
      </x:c>
    </x:row>
    <x:row r="46">
      <x:c r="A46" s="36" t="str">
        <x:v>2026-08-15</x:v>
      </x:c>
      <x:c r="B46" s="18" t="str">
        <x:v>101437000_98863</x:v>
      </x:c>
      <x:c r="C46" s="18" t="str">
        <x:v>【沪村小电】欣菊苑充电站</x:v>
      </x:c>
      <x:c r="D46" s="37" t="str">
        <x:v>4</x:v>
      </x:c>
      <x:c r="E46" s="37" t="str">
        <x:v>0</x:v>
      </x:c>
      <x:c r="F46" s="37" t="str">
        <x:v>10</x:v>
      </x:c>
      <x:c r="G46" s="37" t="str">
        <x:v>202.15</x:v>
      </x:c>
      <x:c r="H46" s="37" t="str">
        <x:v>0.00</x:v>
      </x:c>
      <x:c r="I46" s="37" t="str">
        <x:v>194.69</x:v>
      </x:c>
      <x:c r="J46" s="37" t="str">
        <x:v>0.00</x:v>
      </x:c>
      <x:c r="K46" s="37" t="str">
        <x:v>7.47</x:v>
      </x:c>
      <x:c r="L46" s="37" t="str">
        <x:v>301</x:v>
      </x:c>
      <x:c r="M46" s="29" t="str">
        <x:v>176.91</x:v>
      </x:c>
      <x:c r="N46" s="29" t="str">
        <x:v>141.00</x:v>
      </x:c>
      <x:c r="O46" s="29" t="str">
        <x:v>35.91</x:v>
      </x:c>
      <x:c r="P46" s="18" t="str">
        <x:v>2026-08-15</x:v>
      </x:c>
      <x:c r="Q46" s="36" t="n">
        <x:v>46249</x:v>
      </x:c>
    </x:row>
    <x:row r="47">
      <x:c r="A47" s="36" t="str">
        <x:v>2026-08-15</x:v>
      </x:c>
      <x:c r="B47" s="18" t="str">
        <x:v>101437000_98865</x:v>
      </x:c>
      <x:c r="C47" s="18" t="str">
        <x:v>【沪村小电】欣松苑充电站</x:v>
      </x:c>
      <x:c r="D47" s="37" t="str">
        <x:v>4</x:v>
      </x:c>
      <x:c r="E47" s="37" t="str">
        <x:v>0</x:v>
      </x:c>
      <x:c r="F47" s="37" t="str">
        <x:v>23</x:v>
      </x:c>
      <x:c r="G47" s="37" t="str">
        <x:v>615.42</x:v>
      </x:c>
      <x:c r="H47" s="37" t="str">
        <x:v>0.00</x:v>
      </x:c>
      <x:c r="I47" s="37" t="str">
        <x:v>550.54</x:v>
      </x:c>
      <x:c r="J47" s="37" t="str">
        <x:v>0.00</x:v>
      </x:c>
      <x:c r="K47" s="37" t="str">
        <x:v>64.87</x:v>
      </x:c>
      <x:c r="L47" s="37" t="str">
        <x:v>918</x:v>
      </x:c>
      <x:c r="M47" s="29" t="str">
        <x:v>594.96</x:v>
      </x:c>
      <x:c r="N47" s="29" t="str">
        <x:v>414.89</x:v>
      </x:c>
      <x:c r="O47" s="29" t="str">
        <x:v>180.07</x:v>
      </x:c>
      <x:c r="P47" s="18" t="str">
        <x:v>2026-08-15</x:v>
      </x:c>
      <x:c r="Q47" s="36" t="n">
        <x:v>46249</x:v>
      </x:c>
    </x:row>
    <x:row r="48">
      <x:c r="A48" s="36" t="str">
        <x:v>2026-08-15</x:v>
      </x:c>
      <x:c r="B48" s="18" t="str">
        <x:v>101437000_98867</x:v>
      </x:c>
      <x:c r="C48" s="18" t="str">
        <x:v>【沪村小电】欣荷苑充电站</x:v>
      </x:c>
      <x:c r="D48" s="37" t="str">
        <x:v>4</x:v>
      </x:c>
      <x:c r="E48" s="37" t="str">
        <x:v>0</x:v>
      </x:c>
      <x:c r="F48" s="37" t="str">
        <x:v>12</x:v>
      </x:c>
      <x:c r="G48" s="37" t="str">
        <x:v>267.40</x:v>
      </x:c>
      <x:c r="H48" s="37" t="str">
        <x:v>0.00</x:v>
      </x:c>
      <x:c r="I48" s="37" t="str">
        <x:v>267.40</x:v>
      </x:c>
      <x:c r="J48" s="37" t="str">
        <x:v>0.00</x:v>
      </x:c>
      <x:c r="K48" s="37" t="str">
        <x:v>0.00</x:v>
      </x:c>
      <x:c r="L48" s="37" t="str">
        <x:v>428</x:v>
      </x:c>
      <x:c r="M48" s="29" t="str">
        <x:v>240.44</x:v>
      </x:c>
      <x:c r="N48" s="29" t="str">
        <x:v>189.85</x:v>
      </x:c>
      <x:c r="O48" s="29" t="str">
        <x:v>50.59</x:v>
      </x:c>
      <x:c r="P48" s="18" t="str">
        <x:v>2026-08-15</x:v>
      </x:c>
      <x:c r="Q48" s="36" t="n">
        <x:v>46249</x:v>
      </x:c>
    </x:row>
    <x:row r="49">
      <x:c r="A49" s="36" t="str">
        <x:v>2026-08-15</x:v>
      </x:c>
      <x:c r="B49" s="18" t="str">
        <x:v>101437000_99885</x:v>
      </x:c>
      <x:c r="C49" s="18" t="str">
        <x:v>【沪村小电】汇丰馨苑充电站</x:v>
      </x:c>
      <x:c r="D49" s="37" t="str">
        <x:v>4</x:v>
      </x:c>
      <x:c r="E49" s="37" t="str">
        <x:v>0</x:v>
      </x:c>
      <x:c r="F49" s="37" t="str">
        <x:v>20</x:v>
      </x:c>
      <x:c r="G49" s="37" t="str">
        <x:v>525.58</x:v>
      </x:c>
      <x:c r="H49" s="37" t="str">
        <x:v>0.00</x:v>
      </x:c>
      <x:c r="I49" s="37" t="str">
        <x:v>460.16</x:v>
      </x:c>
      <x:c r="J49" s="37" t="str">
        <x:v>0.00</x:v>
      </x:c>
      <x:c r="K49" s="37" t="str">
        <x:v>65.42</x:v>
      </x:c>
      <x:c r="L49" s="37" t="str">
        <x:v>817</x:v>
      </x:c>
      <x:c r="M49" s="29" t="str">
        <x:v>524.71</x:v>
      </x:c>
      <x:c r="N49" s="29" t="str">
        <x:v>350.93</x:v>
      </x:c>
      <x:c r="O49" s="29" t="str">
        <x:v>173.78</x:v>
      </x:c>
      <x:c r="P49" s="18" t="str">
        <x:v>2026-08-15</x:v>
      </x:c>
      <x:c r="Q49" s="36" t="n">
        <x:v>46249</x:v>
      </x:c>
    </x:row>
    <x:row r="50">
      <x:c r="A50" s="36" t="str">
        <x:v>2026-08-15</x:v>
      </x:c>
      <x:c r="B50" s="18" t="str">
        <x:v>101437000_99887</x:v>
      </x:c>
      <x:c r="C50" s="18" t="str">
        <x:v>【沪村小电】新南村河南小区充电站</x:v>
      </x:c>
      <x:c r="D50" s="37" t="str">
        <x:v>2</x:v>
      </x:c>
      <x:c r="E50" s="37" t="str">
        <x:v>0</x:v>
      </x:c>
      <x:c r="F50" s="37" t="str">
        <x:v>4</x:v>
      </x:c>
      <x:c r="G50" s="37" t="str">
        <x:v>124.41</x:v>
      </x:c>
      <x:c r="H50" s="37" t="str">
        <x:v>0.00</x:v>
      </x:c>
      <x:c r="I50" s="37" t="str">
        <x:v>0.00</x:v>
      </x:c>
      <x:c r="J50" s="37" t="str">
        <x:v>0.00</x:v>
      </x:c>
      <x:c r="K50" s="37" t="str">
        <x:v>124.41</x:v>
      </x:c>
      <x:c r="L50" s="37" t="str">
        <x:v>319</x:v>
      </x:c>
      <x:c r="M50" s="29" t="str">
        <x:v>65.94</x:v>
      </x:c>
      <x:c r="N50" s="29" t="str">
        <x:v>46.03</x:v>
      </x:c>
      <x:c r="O50" s="29" t="str">
        <x:v>19.91</x:v>
      </x:c>
      <x:c r="P50" s="18" t="str">
        <x:v>2026-08-15</x:v>
      </x:c>
      <x:c r="Q50" s="36" t="n">
        <x:v>46249</x:v>
      </x:c>
    </x:row>
    <x:row r="51">
      <x:c r="A51" s="36" t="str">
        <x:v>2026-08-15</x:v>
      </x:c>
      <x:c r="B51" s="18" t="str">
        <x:v>101437000_99889</x:v>
      </x:c>
      <x:c r="C51" s="18" t="str">
        <x:v>【沪村小电】漕泾郊野公园</x:v>
      </x:c>
      <x:c r="D51" s="37" t="str">
        <x:v>2</x:v>
      </x:c>
      <x:c r="E51" s="37" t="str">
        <x:v>0</x:v>
      </x:c>
      <x:c r="F51" s="37" t="str">
        <x:v>6</x:v>
      </x:c>
      <x:c r="G51" s="37" t="str">
        <x:v>221.62</x:v>
      </x:c>
      <x:c r="H51" s="37" t="str">
        <x:v>0.00</x:v>
      </x:c>
      <x:c r="I51" s="37" t="str">
        <x:v>79.88</x:v>
      </x:c>
      <x:c r="J51" s="37" t="str">
        <x:v>0.00</x:v>
      </x:c>
      <x:c r="K51" s="37" t="str">
        <x:v>141.74</x:v>
      </x:c>
      <x:c r="L51" s="37" t="str">
        <x:v>307</x:v>
      </x:c>
      <x:c r="M51" s="29" t="str">
        <x:v>203.17</x:v>
      </x:c>
      <x:c r="N51" s="29" t="str">
        <x:v>145.75</x:v>
      </x:c>
      <x:c r="O51" s="29" t="str">
        <x:v>57.42</x:v>
      </x:c>
      <x:c r="P51" s="18" t="str">
        <x:v>2026-08-15</x:v>
      </x:c>
      <x:c r="Q51" s="36" t="n">
        <x:v>46249</x:v>
      </x:c>
    </x:row>
    <x:row r="52">
      <x:c r="A52" s="36" t="str">
        <x:v>2026-08-15</x:v>
      </x:c>
      <x:c r="B52" s="18" t="str">
        <x:v>101437000_99891</x:v>
      </x:c>
      <x:c r="C52" s="18" t="str">
        <x:v>【沪村小电】水韵紫城充电站</x:v>
      </x:c>
      <x:c r="D52" s="37" t="str">
        <x:v>4</x:v>
      </x:c>
      <x:c r="E52" s="37" t="str">
        <x:v>0</x:v>
      </x:c>
      <x:c r="F52" s="37" t="str">
        <x:v>33</x:v>
      </x:c>
      <x:c r="G52" s="37" t="str">
        <x:v>796.71</x:v>
      </x:c>
      <x:c r="H52" s="37" t="str">
        <x:v>0.00</x:v>
      </x:c>
      <x:c r="I52" s="37" t="str">
        <x:v>539.05</x:v>
      </x:c>
      <x:c r="J52" s="37" t="str">
        <x:v>0.00</x:v>
      </x:c>
      <x:c r="K52" s="37" t="str">
        <x:v>257.67</x:v>
      </x:c>
      <x:c r="L52" s="37" t="str">
        <x:v>1245</x:v>
      </x:c>
      <x:c r="M52" s="29" t="str">
        <x:v>680.15</x:v>
      </x:c>
      <x:c r="N52" s="29" t="str">
        <x:v>478.08</x:v>
      </x:c>
      <x:c r="O52" s="29" t="str">
        <x:v>202.07</x:v>
      </x:c>
      <x:c r="P52" s="18" t="str">
        <x:v>2026-08-15</x:v>
      </x:c>
      <x:c r="Q52" s="36" t="n">
        <x:v>46249</x:v>
      </x:c>
    </x:row>
    <x:row r="53">
      <x:c r="A53" s="36" t="str">
        <x:v>2026-08-14</x:v>
      </x:c>
      <x:c r="B53" s="18" t="str">
        <x:v>101437000_100523</x:v>
      </x:c>
      <x:c r="C53" s="18" t="str">
        <x:v>【沪村小电】民旺苑南区</x:v>
      </x:c>
      <x:c r="D53" s="37" t="str">
        <x:v>4</x:v>
      </x:c>
      <x:c r="E53" s="37" t="str">
        <x:v>0</x:v>
      </x:c>
      <x:c r="F53" s="37" t="str">
        <x:v>6</x:v>
      </x:c>
      <x:c r="G53" s="37" t="str">
        <x:v>218.03</x:v>
      </x:c>
      <x:c r="H53" s="37" t="str">
        <x:v>0.00</x:v>
      </x:c>
      <x:c r="I53" s="37" t="str">
        <x:v>39.91</x:v>
      </x:c>
      <x:c r="J53" s="37" t="str">
        <x:v>0.00</x:v>
      </x:c>
      <x:c r="K53" s="37" t="str">
        <x:v>178.11</x:v>
      </x:c>
      <x:c r="L53" s="37" t="str">
        <x:v>278</x:v>
      </x:c>
      <x:c r="M53" s="29" t="str">
        <x:v>148.65</x:v>
      </x:c>
      <x:c r="N53" s="29" t="str">
        <x:v>112.05</x:v>
      </x:c>
      <x:c r="O53" s="29" t="str">
        <x:v>36.60</x:v>
      </x:c>
      <x:c r="P53" s="18" t="str">
        <x:v>2026-08-14</x:v>
      </x:c>
      <x:c r="Q53" s="36" t="n">
        <x:v>46248</x:v>
      </x:c>
    </x:row>
    <x:row r="54">
      <x:c r="A54" s="36" t="str">
        <x:v>2026-08-14</x:v>
      </x:c>
      <x:c r="B54" s="18" t="str">
        <x:v>101437000_101531</x:v>
      </x:c>
      <x:c r="C54" s="18" t="str">
        <x:v>【沪村小电】汇中苑充电站</x:v>
      </x:c>
      <x:c r="D54" s="37" t="str">
        <x:v>2</x:v>
      </x:c>
      <x:c r="E54" s="37" t="str">
        <x:v>0</x:v>
      </x:c>
      <x:c r="F54" s="37" t="str">
        <x:v>11</x:v>
      </x:c>
      <x:c r="G54" s="37" t="str">
        <x:v>285.98</x:v>
      </x:c>
      <x:c r="H54" s="37" t="str">
        <x:v>0.00</x:v>
      </x:c>
      <x:c r="I54" s="37" t="str">
        <x:v>29.35</x:v>
      </x:c>
      <x:c r="J54" s="37" t="str">
        <x:v>136.10</x:v>
      </x:c>
      <x:c r="K54" s="37" t="str">
        <x:v>120.52</x:v>
      </x:c>
      <x:c r="L54" s="37" t="str">
        <x:v>491</x:v>
      </x:c>
      <x:c r="M54" s="29" t="str">
        <x:v>310.65</x:v>
      </x:c>
      <x:c r="N54" s="29" t="str">
        <x:v>174.91</x:v>
      </x:c>
      <x:c r="O54" s="29" t="str">
        <x:v>135.74</x:v>
      </x:c>
      <x:c r="P54" s="18" t="str">
        <x:v>2026-08-14</x:v>
      </x:c>
      <x:c r="Q54" s="36" t="n">
        <x:v>46248</x:v>
      </x:c>
    </x:row>
    <x:row r="55">
      <x:c r="A55" s="36" t="str">
        <x:v>2026-08-14</x:v>
      </x:c>
      <x:c r="B55" s="18" t="str">
        <x:v>101437000_102047</x:v>
      </x:c>
      <x:c r="C55" s="18" t="str">
        <x:v>【沪村小电】后浜小区9弄小区南面停车场充电站</x:v>
      </x:c>
      <x:c r="D55" s="37" t="str">
        <x:v>8</x:v>
      </x:c>
      <x:c r="E55" s="37" t="str">
        <x:v>0</x:v>
      </x:c>
      <x:c r="F55" s="37" t="str">
        <x:v>61</x:v>
      </x:c>
      <x:c r="G55" s="37" t="str">
        <x:v>1356.31</x:v>
      </x:c>
      <x:c r="H55" s="37" t="str">
        <x:v>0.00</x:v>
      </x:c>
      <x:c r="I55" s="37" t="str">
        <x:v>868.73</x:v>
      </x:c>
      <x:c r="J55" s="37" t="str">
        <x:v>0.00</x:v>
      </x:c>
      <x:c r="K55" s="37" t="str">
        <x:v>487.58</x:v>
      </x:c>
      <x:c r="L55" s="37" t="str">
        <x:v>2126</x:v>
      </x:c>
      <x:c r="M55" s="29" t="str">
        <x:v>1398.61</x:v>
      </x:c>
      <x:c r="N55" s="29" t="str">
        <x:v>845.94</x:v>
      </x:c>
      <x:c r="O55" s="29" t="str">
        <x:v>552.67</x:v>
      </x:c>
      <x:c r="P55" s="18" t="str">
        <x:v>2026-08-14</x:v>
      </x:c>
      <x:c r="Q55" s="36" t="n">
        <x:v>46248</x:v>
      </x:c>
    </x:row>
    <x:row r="56">
      <x:c r="A56" s="36" t="str">
        <x:v>2026-08-14</x:v>
      </x:c>
      <x:c r="B56" s="18" t="str">
        <x:v>101437000_103503</x:v>
      </x:c>
      <x:c r="C56" s="18" t="str">
        <x:v>【沪村小电】阳光城新界充电站</x:v>
      </x:c>
      <x:c r="D56" s="37" t="str">
        <x:v>4</x:v>
      </x:c>
      <x:c r="E56" s="37" t="str">
        <x:v>0</x:v>
      </x:c>
      <x:c r="F56" s="37" t="str">
        <x:v>36</x:v>
      </x:c>
      <x:c r="G56" s="37" t="str">
        <x:v>695.04</x:v>
      </x:c>
      <x:c r="H56" s="37" t="str">
        <x:v>0.00</x:v>
      </x:c>
      <x:c r="I56" s="37" t="str">
        <x:v>409.58</x:v>
      </x:c>
      <x:c r="J56" s="37" t="str">
        <x:v>0.00</x:v>
      </x:c>
      <x:c r="K56" s="37" t="str">
        <x:v>285.45</x:v>
      </x:c>
      <x:c r="L56" s="37" t="str">
        <x:v>1080</x:v>
      </x:c>
      <x:c r="M56" s="29" t="str">
        <x:v>645.81</x:v>
      </x:c>
      <x:c r="N56" s="29" t="str">
        <x:v>433.64</x:v>
      </x:c>
      <x:c r="O56" s="29" t="str">
        <x:v>212.17</x:v>
      </x:c>
      <x:c r="P56" s="18" t="str">
        <x:v>2026-08-14</x:v>
      </x:c>
      <x:c r="Q56" s="36" t="n">
        <x:v>46248</x:v>
      </x:c>
    </x:row>
    <x:row r="57">
      <x:c r="A57" s="36" t="str">
        <x:v>2026-08-14</x:v>
      </x:c>
      <x:c r="B57" s="18" t="str">
        <x:v>101437000_41561</x:v>
      </x:c>
      <x:c r="C57" s="18" t="str">
        <x:v>【沪村小电】张施小区大门处快充站</x:v>
      </x:c>
      <x:c r="D57" s="37" t="str">
        <x:v>2</x:v>
      </x:c>
      <x:c r="E57" s="37" t="str">
        <x:v>0</x:v>
      </x:c>
      <x:c r="F57" s="37" t="str">
        <x:v>43</x:v>
      </x:c>
      <x:c r="G57" s="37" t="str">
        <x:v>1191.12</x:v>
      </x:c>
      <x:c r="H57" s="37" t="str">
        <x:v>0.00</x:v>
      </x:c>
      <x:c r="I57" s="37" t="str">
        <x:v>497.55</x:v>
      </x:c>
      <x:c r="J57" s="37" t="str">
        <x:v>0.00</x:v>
      </x:c>
      <x:c r="K57" s="37" t="str">
        <x:v>693.56</x:v>
      </x:c>
      <x:c r="L57" s="37" t="str">
        <x:v>2018</x:v>
      </x:c>
      <x:c r="M57" s="29" t="str">
        <x:v>892.14</x:v>
      </x:c>
      <x:c r="N57" s="29" t="str">
        <x:v>609.89</x:v>
      </x:c>
      <x:c r="O57" s="29" t="str">
        <x:v>282.25</x:v>
      </x:c>
      <x:c r="P57" s="18" t="str">
        <x:v>2026-08-14</x:v>
      </x:c>
      <x:c r="Q57" s="36" t="n">
        <x:v>46248</x:v>
      </x:c>
    </x:row>
    <x:row r="58">
      <x:c r="A58" s="36" t="str">
        <x:v>2026-08-14</x:v>
      </x:c>
      <x:c r="B58" s="18" t="str">
        <x:v>101437000_41563</x:v>
      </x:c>
      <x:c r="C58" s="18" t="str">
        <x:v>【沪村小电】同心村快充站</x:v>
      </x:c>
      <x:c r="D58" s="37" t="str">
        <x:v>4</x:v>
      </x:c>
      <x:c r="E58" s="37" t="str">
        <x:v>0</x:v>
      </x:c>
      <x:c r="F58" s="37" t="str">
        <x:v>51</x:v>
      </x:c>
      <x:c r="G58" s="37" t="str">
        <x:v>1230.70</x:v>
      </x:c>
      <x:c r="H58" s="37" t="str">
        <x:v>0.00</x:v>
      </x:c>
      <x:c r="I58" s="37" t="str">
        <x:v>984.97</x:v>
      </x:c>
      <x:c r="J58" s="37" t="str">
        <x:v>0.00</x:v>
      </x:c>
      <x:c r="K58" s="37" t="str">
        <x:v>245.73</x:v>
      </x:c>
      <x:c r="L58" s="37" t="str">
        <x:v>1864</x:v>
      </x:c>
      <x:c r="M58" s="29" t="str">
        <x:v>1279.34</x:v>
      </x:c>
      <x:c r="N58" s="29" t="str">
        <x:v>790.28</x:v>
      </x:c>
      <x:c r="O58" s="29" t="str">
        <x:v>489.06</x:v>
      </x:c>
      <x:c r="P58" s="18" t="str">
        <x:v>2026-08-14</x:v>
      </x:c>
      <x:c r="Q58" s="36" t="n">
        <x:v>46248</x:v>
      </x:c>
    </x:row>
    <x:row r="59">
      <x:c r="A59" s="36" t="str">
        <x:v>2026-08-14</x:v>
      </x:c>
      <x:c r="B59" s="18" t="str">
        <x:v>101437000_69629</x:v>
      </x:c>
      <x:c r="C59" s="18" t="str">
        <x:v>【沪村小电】骏丰玲珑坊西苑充电站</x:v>
      </x:c>
      <x:c r="D59" s="37" t="str">
        <x:v>2</x:v>
      </x:c>
      <x:c r="E59" s="37" t="str">
        <x:v>0</x:v>
      </x:c>
      <x:c r="F59" s="37" t="str">
        <x:v>74</x:v>
      </x:c>
      <x:c r="G59" s="37" t="str">
        <x:v>1470.83</x:v>
      </x:c>
      <x:c r="H59" s="37" t="str">
        <x:v>0.00</x:v>
      </x:c>
      <x:c r="I59" s="37" t="str">
        <x:v>792.32</x:v>
      </x:c>
      <x:c r="J59" s="37" t="str">
        <x:v>0.00</x:v>
      </x:c>
      <x:c r="K59" s="37" t="str">
        <x:v>678.52</x:v>
      </x:c>
      <x:c r="L59" s="37" t="str">
        <x:v>2614</x:v>
      </x:c>
      <x:c r="M59" s="29" t="str">
        <x:v>1241.92</x:v>
      </x:c>
      <x:c r="N59" s="29" t="str">
        <x:v>813.58</x:v>
      </x:c>
      <x:c r="O59" s="29" t="str">
        <x:v>428.34</x:v>
      </x:c>
      <x:c r="P59" s="18" t="str">
        <x:v>2026-08-14</x:v>
      </x:c>
      <x:c r="Q59" s="36" t="n">
        <x:v>46248</x:v>
      </x:c>
    </x:row>
    <x:row r="60">
      <x:c r="A60" s="36" t="str">
        <x:v>2026-08-14</x:v>
      </x:c>
      <x:c r="B60" s="18" t="str">
        <x:v>101437000_70547</x:v>
      </x:c>
      <x:c r="C60" s="18" t="str">
        <x:v>【沪村小电】农建村初心馆党群服务中心充电站</x:v>
      </x:c>
      <x:c r="D60" s="37" t="str">
        <x:v>4</x:v>
      </x:c>
      <x:c r="E60" s="37" t="str">
        <x:v>0</x:v>
      </x:c>
      <x:c r="F60" s="37" t="str">
        <x:v>15</x:v>
      </x:c>
      <x:c r="G60" s="37" t="str">
        <x:v>218.74</x:v>
      </x:c>
      <x:c r="H60" s="37" t="str">
        <x:v>0.00</x:v>
      </x:c>
      <x:c r="I60" s="37" t="str">
        <x:v>172.97</x:v>
      </x:c>
      <x:c r="J60" s="37" t="str">
        <x:v>0.00</x:v>
      </x:c>
      <x:c r="K60" s="37" t="str">
        <x:v>45.77</x:v>
      </x:c>
      <x:c r="L60" s="37" t="str">
        <x:v>444</x:v>
      </x:c>
      <x:c r="M60" s="29" t="str">
        <x:v>238.52</x:v>
      </x:c>
      <x:c r="N60" s="29" t="str">
        <x:v>194.56</x:v>
      </x:c>
      <x:c r="O60" s="29" t="str">
        <x:v>43.96</x:v>
      </x:c>
      <x:c r="P60" s="18" t="str">
        <x:v>2026-08-14</x:v>
      </x:c>
      <x:c r="Q60" s="36" t="n">
        <x:v>46248</x:v>
      </x:c>
    </x:row>
    <x:row r="61">
      <x:c r="A61" s="36" t="str">
        <x:v>2026-08-14</x:v>
      </x:c>
      <x:c r="B61" s="18" t="str">
        <x:v>101437000_70549</x:v>
      </x:c>
      <x:c r="C61" s="18" t="str">
        <x:v>【沪村小电】学府路充电站</x:v>
      </x:c>
      <x:c r="D61" s="37" t="str">
        <x:v>2</x:v>
      </x:c>
      <x:c r="E61" s="37" t="str">
        <x:v>0</x:v>
      </x:c>
      <x:c r="F61" s="37" t="str">
        <x:v>4</x:v>
      </x:c>
      <x:c r="G61" s="37" t="str">
        <x:v>99.16</x:v>
      </x:c>
      <x:c r="H61" s="37" t="str">
        <x:v>0.00</x:v>
      </x:c>
      <x:c r="I61" s="37" t="str">
        <x:v>38.30</x:v>
      </x:c>
      <x:c r="J61" s="37" t="str">
        <x:v>0.00</x:v>
      </x:c>
      <x:c r="K61" s="37" t="str">
        <x:v>60.87</x:v>
      </x:c>
      <x:c r="L61" s="37" t="str">
        <x:v>200</x:v>
      </x:c>
      <x:c r="M61" s="29" t="str">
        <x:v>111.03</x:v>
      </x:c>
      <x:c r="N61" s="29" t="str">
        <x:v>68.96</x:v>
      </x:c>
      <x:c r="O61" s="29" t="str">
        <x:v>42.07</x:v>
      </x:c>
      <x:c r="P61" s="18" t="str">
        <x:v>2026-08-14</x:v>
      </x:c>
      <x:c r="Q61" s="36" t="n">
        <x:v>46248</x:v>
      </x:c>
    </x:row>
    <x:row r="62">
      <x:c r="A62" s="36" t="str">
        <x:v>2026-08-14</x:v>
      </x:c>
      <x:c r="B62" s="18" t="str">
        <x:v>101437000_71059</x:v>
      </x:c>
      <x:c r="C62" s="18" t="str">
        <x:v>【沪村小电】宝乐汇商业广场站</x:v>
      </x:c>
      <x:c r="D62" s="37" t="str">
        <x:v>4</x:v>
      </x:c>
      <x:c r="E62" s="37" t="str">
        <x:v>0</x:v>
      </x:c>
      <x:c r="F62" s="37" t="str">
        <x:v>8</x:v>
      </x:c>
      <x:c r="G62" s="37" t="str">
        <x:v>192.75</x:v>
      </x:c>
      <x:c r="H62" s="37" t="str">
        <x:v>0.00</x:v>
      </x:c>
      <x:c r="I62" s="37" t="str">
        <x:v>123.01</x:v>
      </x:c>
      <x:c r="J62" s="37" t="str">
        <x:v>0.00</x:v>
      </x:c>
      <x:c r="K62" s="37" t="str">
        <x:v>69.74</x:v>
      </x:c>
      <x:c r="L62" s="37" t="str">
        <x:v>286</x:v>
      </x:c>
      <x:c r="M62" s="29" t="str">
        <x:v>188.76</x:v>
      </x:c>
      <x:c r="N62" s="29" t="str">
        <x:v>142.80</x:v>
      </x:c>
      <x:c r="O62" s="29" t="str">
        <x:v>45.96</x:v>
      </x:c>
      <x:c r="P62" s="18" t="str">
        <x:v>2026-08-14</x:v>
      </x:c>
      <x:c r="Q62" s="36" t="n">
        <x:v>46248</x:v>
      </x:c>
    </x:row>
    <x:row r="63">
      <x:c r="A63" s="36" t="str">
        <x:v>2026-08-14</x:v>
      </x:c>
      <x:c r="B63" s="18" t="str">
        <x:v>101437000_72541</x:v>
      </x:c>
      <x:c r="C63" s="18" t="str">
        <x:v>【沪村小电】九干路1174弄充电站</x:v>
      </x:c>
      <x:c r="D63" s="37" t="str">
        <x:v>2</x:v>
      </x:c>
      <x:c r="E63" s="37" t="str">
        <x:v>0</x:v>
      </x:c>
      <x:c r="F63" s="37" t="str">
        <x:v>53</x:v>
      </x:c>
      <x:c r="G63" s="37" t="str">
        <x:v>1132.04</x:v>
      </x:c>
      <x:c r="H63" s="37" t="str">
        <x:v>0.00</x:v>
      </x:c>
      <x:c r="I63" s="37" t="str">
        <x:v>766.35</x:v>
      </x:c>
      <x:c r="J63" s="37" t="str">
        <x:v>0.00</x:v>
      </x:c>
      <x:c r="K63" s="37" t="str">
        <x:v>365.69</x:v>
      </x:c>
      <x:c r="L63" s="37" t="str">
        <x:v>1998</x:v>
      </x:c>
      <x:c r="M63" s="29" t="str">
        <x:v>981.87</x:v>
      </x:c>
      <x:c r="N63" s="29" t="str">
        <x:v>679.45</x:v>
      </x:c>
      <x:c r="O63" s="29" t="str">
        <x:v>302.42</x:v>
      </x:c>
      <x:c r="P63" s="18" t="str">
        <x:v>2026-08-14</x:v>
      </x:c>
      <x:c r="Q63" s="36" t="n">
        <x:v>46248</x:v>
      </x:c>
    </x:row>
    <x:row r="64">
      <x:c r="A64" s="36" t="str">
        <x:v>2026-08-14</x:v>
      </x:c>
      <x:c r="B64" s="18" t="str">
        <x:v>101437000_72543</x:v>
      </x:c>
      <x:c r="C64" s="18" t="str">
        <x:v>【沪村小电】叶家中心村小区充电站</x:v>
      </x:c>
      <x:c r="D64" s="37" t="str">
        <x:v>2</x:v>
      </x:c>
      <x:c r="E64" s="37" t="str">
        <x:v>0</x:v>
      </x:c>
      <x:c r="F64" s="37" t="str">
        <x:v>50</x:v>
      </x:c>
      <x:c r="G64" s="37" t="str">
        <x:v>1266.97</x:v>
      </x:c>
      <x:c r="H64" s="37" t="str">
        <x:v>0.00</x:v>
      </x:c>
      <x:c r="I64" s="37" t="str">
        <x:v>587.56</x:v>
      </x:c>
      <x:c r="J64" s="37" t="str">
        <x:v>0.00</x:v>
      </x:c>
      <x:c r="K64" s="37" t="str">
        <x:v>679.41</x:v>
      </x:c>
      <x:c r="L64" s="37" t="str">
        <x:v>2190</x:v>
      </x:c>
      <x:c r="M64" s="29" t="str">
        <x:v>986.68</x:v>
      </x:c>
      <x:c r="N64" s="29" t="str">
        <x:v>668.58</x:v>
      </x:c>
      <x:c r="O64" s="29" t="str">
        <x:v>318.10</x:v>
      </x:c>
      <x:c r="P64" s="18" t="str">
        <x:v>2026-08-14</x:v>
      </x:c>
      <x:c r="Q64" s="36" t="n">
        <x:v>46248</x:v>
      </x:c>
    </x:row>
    <x:row r="65">
      <x:c r="A65" s="36" t="str">
        <x:v>2026-08-14</x:v>
      </x:c>
      <x:c r="B65" s="18" t="str">
        <x:v>101437000_74223</x:v>
      </x:c>
      <x:c r="C65" s="18" t="str">
        <x:v>【沪村小电】中兴村委会充电站</x:v>
      </x:c>
      <x:c r="D65" s="37" t="str">
        <x:v>2</x:v>
      </x:c>
      <x:c r="E65" s="37" t="str">
        <x:v>0</x:v>
      </x:c>
      <x:c r="F65" s="37" t="str">
        <x:v>15</x:v>
      </x:c>
      <x:c r="G65" s="37" t="str">
        <x:v>469.49</x:v>
      </x:c>
      <x:c r="H65" s="37" t="str">
        <x:v>0.00</x:v>
      </x:c>
      <x:c r="I65" s="37" t="str">
        <x:v>173.24</x:v>
      </x:c>
      <x:c r="J65" s="37" t="str">
        <x:v>0.00</x:v>
      </x:c>
      <x:c r="K65" s="37" t="str">
        <x:v>296.25</x:v>
      </x:c>
      <x:c r="L65" s="37" t="str">
        <x:v>571</x:v>
      </x:c>
      <x:c r="M65" s="29" t="str">
        <x:v>410.27</x:v>
      </x:c>
      <x:c r="N65" s="29" t="str">
        <x:v>322.60</x:v>
      </x:c>
      <x:c r="O65" s="29" t="str">
        <x:v>87.67</x:v>
      </x:c>
      <x:c r="P65" s="18" t="str">
        <x:v>2026-08-14</x:v>
      </x:c>
      <x:c r="Q65" s="36" t="n">
        <x:v>46248</x:v>
      </x:c>
    </x:row>
    <x:row r="66">
      <x:c r="A66" s="36" t="str">
        <x:v>2026-08-14</x:v>
      </x:c>
      <x:c r="B66" s="18" t="str">
        <x:v>101437000_74801</x:v>
      </x:c>
      <x:c r="C66" s="18" t="str">
        <x:v>【沪村小电】申良花园充电站</x:v>
      </x:c>
      <x:c r="D66" s="37" t="str">
        <x:v>4</x:v>
      </x:c>
      <x:c r="E66" s="37" t="str">
        <x:v>0</x:v>
      </x:c>
      <x:c r="F66" s="37" t="str">
        <x:v>10</x:v>
      </x:c>
      <x:c r="G66" s="37" t="str">
        <x:v>187.10</x:v>
      </x:c>
      <x:c r="H66" s="37" t="str">
        <x:v>0.00</x:v>
      </x:c>
      <x:c r="I66" s="37" t="str">
        <x:v>187.10</x:v>
      </x:c>
      <x:c r="J66" s="37" t="str">
        <x:v>0.00</x:v>
      </x:c>
      <x:c r="K66" s="37" t="str">
        <x:v>0.00</x:v>
      </x:c>
      <x:c r="L66" s="37" t="str">
        <x:v>261</x:v>
      </x:c>
      <x:c r="M66" s="29" t="str">
        <x:v>199.76</x:v>
      </x:c>
      <x:c r="N66" s="29" t="str">
        <x:v>132.85</x:v>
      </x:c>
      <x:c r="O66" s="29" t="str">
        <x:v>66.91</x:v>
      </x:c>
      <x:c r="P66" s="18" t="str">
        <x:v>2026-08-14</x:v>
      </x:c>
      <x:c r="Q66" s="36" t="n">
        <x:v>46248</x:v>
      </x:c>
    </x:row>
    <x:row r="67">
      <x:c r="A67" s="36" t="str">
        <x:v>2026-08-14</x:v>
      </x:c>
      <x:c r="B67" s="18" t="str">
        <x:v>101437000_74931</x:v>
      </x:c>
      <x:c r="C67" s="18" t="str">
        <x:v>【沪村小电】枫雅南居充电站</x:v>
      </x:c>
      <x:c r="D67" s="37" t="str">
        <x:v>2</x:v>
      </x:c>
      <x:c r="E67" s="37" t="str">
        <x:v>0</x:v>
      </x:c>
      <x:c r="F67" s="37" t="str">
        <x:v>58</x:v>
      </x:c>
      <x:c r="G67" s="37" t="str">
        <x:v>1354.69</x:v>
      </x:c>
      <x:c r="H67" s="37" t="str">
        <x:v>0.00</x:v>
      </x:c>
      <x:c r="I67" s="37" t="str">
        <x:v>820.59</x:v>
      </x:c>
      <x:c r="J67" s="37" t="str">
        <x:v>0.00</x:v>
      </x:c>
      <x:c r="K67" s="37" t="str">
        <x:v>534.10</x:v>
      </x:c>
      <x:c r="L67" s="37" t="str">
        <x:v>2218</x:v>
      </x:c>
      <x:c r="M67" s="29" t="str">
        <x:v>951.84</x:v>
      </x:c>
      <x:c r="N67" s="29" t="str">
        <x:v>649.71</x:v>
      </x:c>
      <x:c r="O67" s="29" t="str">
        <x:v>302.13</x:v>
      </x:c>
      <x:c r="P67" s="18" t="str">
        <x:v>2026-08-14</x:v>
      </x:c>
      <x:c r="Q67" s="36" t="n">
        <x:v>46248</x:v>
      </x:c>
    </x:row>
    <x:row r="68">
      <x:c r="A68" s="36" t="str">
        <x:v>2026-08-14</x:v>
      </x:c>
      <x:c r="B68" s="18" t="str">
        <x:v>101437000_75901</x:v>
      </x:c>
      <x:c r="C68" s="18" t="str">
        <x:v>【沪村小电】金悦学府</x:v>
      </x:c>
      <x:c r="D68" s="37" t="str">
        <x:v>2</x:v>
      </x:c>
      <x:c r="E68" s="37" t="str">
        <x:v>0</x:v>
      </x:c>
      <x:c r="F68" s="37" t="str">
        <x:v>32</x:v>
      </x:c>
      <x:c r="G68" s="37" t="str">
        <x:v>995.54</x:v>
      </x:c>
      <x:c r="H68" s="37" t="str">
        <x:v>0.00</x:v>
      </x:c>
      <x:c r="I68" s="37" t="str">
        <x:v>454.29</x:v>
      </x:c>
      <x:c r="J68" s="37" t="str">
        <x:v>0.00</x:v>
      </x:c>
      <x:c r="K68" s="37" t="str">
        <x:v>541.25</x:v>
      </x:c>
      <x:c r="L68" s="37" t="str">
        <x:v>1419</x:v>
      </x:c>
      <x:c r="M68" s="29" t="str">
        <x:v>781.63</x:v>
      </x:c>
      <x:c r="N68" s="29" t="str">
        <x:v>435.81</x:v>
      </x:c>
      <x:c r="O68" s="29" t="str">
        <x:v>345.82</x:v>
      </x:c>
      <x:c r="P68" s="18" t="str">
        <x:v>2026-08-14</x:v>
      </x:c>
      <x:c r="Q68" s="36" t="n">
        <x:v>46248</x:v>
      </x:c>
    </x:row>
    <x:row r="69">
      <x:c r="A69" s="36" t="str">
        <x:v>2026-08-14</x:v>
      </x:c>
      <x:c r="B69" s="18" t="str">
        <x:v>101437000_76091</x:v>
      </x:c>
      <x:c r="C69" s="18" t="str">
        <x:v>【沪村小电】恒信家园充电站</x:v>
      </x:c>
      <x:c r="D69" s="37" t="str">
        <x:v>2</x:v>
      </x:c>
      <x:c r="E69" s="37" t="str">
        <x:v>0</x:v>
      </x:c>
      <x:c r="F69" s="37" t="str">
        <x:v>36</x:v>
      </x:c>
      <x:c r="G69" s="37" t="str">
        <x:v>656.07</x:v>
      </x:c>
      <x:c r="H69" s="37" t="str">
        <x:v>0.00</x:v>
      </x:c>
      <x:c r="I69" s="37" t="str">
        <x:v>428.70</x:v>
      </x:c>
      <x:c r="J69" s="37" t="str">
        <x:v>0.00</x:v>
      </x:c>
      <x:c r="K69" s="37" t="str">
        <x:v>227.37</x:v>
      </x:c>
      <x:c r="L69" s="37" t="str">
        <x:v>1201</x:v>
      </x:c>
      <x:c r="M69" s="29" t="str">
        <x:v>662.38</x:v>
      </x:c>
      <x:c r="N69" s="29" t="str">
        <x:v>388.47</x:v>
      </x:c>
      <x:c r="O69" s="29" t="str">
        <x:v>273.91</x:v>
      </x:c>
      <x:c r="P69" s="18" t="str">
        <x:v>2026-08-14</x:v>
      </x:c>
      <x:c r="Q69" s="36" t="n">
        <x:v>46248</x:v>
      </x:c>
    </x:row>
    <x:row r="70">
      <x:c r="A70" s="36" t="str">
        <x:v>2026-08-14</x:v>
      </x:c>
      <x:c r="B70" s="18" t="str">
        <x:v>101437000_76417</x:v>
      </x:c>
      <x:c r="C70" s="18" t="str">
        <x:v>【沪村小电】新春一组充电站</x:v>
      </x:c>
      <x:c r="D70" s="37" t="str">
        <x:v>2</x:v>
      </x:c>
      <x:c r="E70" s="37" t="str">
        <x:v>0</x:v>
      </x:c>
      <x:c r="F70" s="37" t="str">
        <x:v>6</x:v>
      </x:c>
      <x:c r="G70" s="37" t="str">
        <x:v>76.08</x:v>
      </x:c>
      <x:c r="H70" s="37" t="str">
        <x:v>0.00</x:v>
      </x:c>
      <x:c r="I70" s="37" t="str">
        <x:v>41.54</x:v>
      </x:c>
      <x:c r="J70" s="37" t="str">
        <x:v>0.00</x:v>
      </x:c>
      <x:c r="K70" s="37" t="str">
        <x:v>34.53</x:v>
      </x:c>
      <x:c r="L70" s="37" t="str">
        <x:v>97</x:v>
      </x:c>
      <x:c r="M70" s="29" t="str">
        <x:v>71.69</x:v>
      </x:c>
      <x:c r="N70" s="29" t="str">
        <x:v>58.74</x:v>
      </x:c>
      <x:c r="O70" s="29" t="str">
        <x:v>12.95</x:v>
      </x:c>
      <x:c r="P70" s="18" t="str">
        <x:v>2026-08-14</x:v>
      </x:c>
      <x:c r="Q70" s="36" t="n">
        <x:v>46248</x:v>
      </x:c>
    </x:row>
    <x:row r="71">
      <x:c r="A71" s="36" t="str">
        <x:v>2026-08-14</x:v>
      </x:c>
      <x:c r="B71" s="18" t="str">
        <x:v>101437000_78235</x:v>
      </x:c>
      <x:c r="C71" s="18" t="str">
        <x:v>【沪村小电】欣秋苑充电站</x:v>
      </x:c>
      <x:c r="D71" s="37" t="str">
        <x:v>4</x:v>
      </x:c>
      <x:c r="E71" s="37" t="str">
        <x:v>0</x:v>
      </x:c>
      <x:c r="F71" s="37" t="str">
        <x:v>10</x:v>
      </x:c>
      <x:c r="G71" s="37" t="str">
        <x:v>205.59</x:v>
      </x:c>
      <x:c r="H71" s="37" t="str">
        <x:v>0.00</x:v>
      </x:c>
      <x:c r="I71" s="37" t="str">
        <x:v>113.13</x:v>
      </x:c>
      <x:c r="J71" s="37" t="str">
        <x:v>0.00</x:v>
      </x:c>
      <x:c r="K71" s="37" t="str">
        <x:v>92.46</x:v>
      </x:c>
      <x:c r="L71" s="37" t="str">
        <x:v>389</x:v>
      </x:c>
      <x:c r="M71" s="29" t="str">
        <x:v>193.47</x:v>
      </x:c>
      <x:c r="N71" s="29" t="str">
        <x:v>114.53</x:v>
      </x:c>
      <x:c r="O71" s="29" t="str">
        <x:v>78.94</x:v>
      </x:c>
      <x:c r="P71" s="18" t="str">
        <x:v>2026-08-14</x:v>
      </x:c>
      <x:c r="Q71" s="36" t="n">
        <x:v>46248</x:v>
      </x:c>
    </x:row>
    <x:row r="72">
      <x:c r="A72" s="36" t="str">
        <x:v>2026-08-14</x:v>
      </x:c>
      <x:c r="B72" s="18" t="str">
        <x:v>101437000_78237</x:v>
      </x:c>
      <x:c r="C72" s="18" t="str">
        <x:v>【沪村小电】奉馨苑西门小区内北侧充电站</x:v>
      </x:c>
      <x:c r="D72" s="37" t="str">
        <x:v>2</x:v>
      </x:c>
      <x:c r="E72" s="37" t="str">
        <x:v>0</x:v>
      </x:c>
      <x:c r="F72" s="37" t="str">
        <x:v>24</x:v>
      </x:c>
      <x:c r="G72" s="37" t="str">
        <x:v>705.77</x:v>
      </x:c>
      <x:c r="H72" s="37" t="str">
        <x:v>15.71</x:v>
      </x:c>
      <x:c r="I72" s="37" t="str">
        <x:v>131.01</x:v>
      </x:c>
      <x:c r="J72" s="37" t="str">
        <x:v>249.90</x:v>
      </x:c>
      <x:c r="K72" s="37" t="str">
        <x:v>309.15</x:v>
      </x:c>
      <x:c r="L72" s="37" t="str">
        <x:v>970</x:v>
      </x:c>
      <x:c r="M72" s="29" t="str">
        <x:v>622.57</x:v>
      </x:c>
      <x:c r="N72" s="29" t="str">
        <x:v>465.30</x:v>
      </x:c>
      <x:c r="O72" s="29" t="str">
        <x:v>157.27</x:v>
      </x:c>
      <x:c r="P72" s="18" t="str">
        <x:v>2026-08-14</x:v>
      </x:c>
      <x:c r="Q72" s="36" t="n">
        <x:v>46248</x:v>
      </x:c>
    </x:row>
    <x:row r="73">
      <x:c r="A73" s="36" t="str">
        <x:v>2026-08-14</x:v>
      </x:c>
      <x:c r="B73" s="18" t="str">
        <x:v>101437000_80823</x:v>
      </x:c>
      <x:c r="C73" s="18" t="str">
        <x:v>【沪村小电】上湖轩充电站</x:v>
      </x:c>
      <x:c r="D73" s="37" t="str">
        <x:v>2</x:v>
      </x:c>
      <x:c r="E73" s="37" t="str">
        <x:v>0</x:v>
      </x:c>
      <x:c r="F73" s="37" t="str">
        <x:v>6</x:v>
      </x:c>
      <x:c r="G73" s="37" t="str">
        <x:v>134.86</x:v>
      </x:c>
      <x:c r="H73" s="37" t="str">
        <x:v>0.00</x:v>
      </x:c>
      <x:c r="I73" s="37" t="str">
        <x:v>0.00</x:v>
      </x:c>
      <x:c r="J73" s="37" t="str">
        <x:v>41.23</x:v>
      </x:c>
      <x:c r="K73" s="37" t="str">
        <x:v>93.63</x:v>
      </x:c>
      <x:c r="L73" s="37" t="str">
        <x:v>232</x:v>
      </x:c>
      <x:c r="M73" s="29" t="str">
        <x:v>95.72</x:v>
      </x:c>
      <x:c r="N73" s="29" t="str">
        <x:v>81.56</x:v>
      </x:c>
      <x:c r="O73" s="29" t="str">
        <x:v>14.16</x:v>
      </x:c>
      <x:c r="P73" s="18" t="str">
        <x:v>2026-08-14</x:v>
      </x:c>
      <x:c r="Q73" s="36" t="n">
        <x:v>46248</x:v>
      </x:c>
    </x:row>
    <x:row r="74">
      <x:c r="A74" s="36" t="str">
        <x:v>2026-08-14</x:v>
      </x:c>
      <x:c r="B74" s="18" t="str">
        <x:v>101437000_83019</x:v>
      </x:c>
      <x:c r="C74" s="18" t="str">
        <x:v>【沪村小电】首创禧瑞云启东区充电站</x:v>
      </x:c>
      <x:c r="D74" s="37" t="str">
        <x:v>2</x:v>
      </x:c>
      <x:c r="E74" s="37" t="str">
        <x:v>0</x:v>
      </x:c>
      <x:c r="F74" s="37" t="str">
        <x:v>29</x:v>
      </x:c>
      <x:c r="G74" s="37" t="str">
        <x:v>691.14</x:v>
      </x:c>
      <x:c r="H74" s="37" t="str">
        <x:v>0.00</x:v>
      </x:c>
      <x:c r="I74" s="37" t="str">
        <x:v>341.94</x:v>
      </x:c>
      <x:c r="J74" s="37" t="str">
        <x:v>0.00</x:v>
      </x:c>
      <x:c r="K74" s="37" t="str">
        <x:v>349.20</x:v>
      </x:c>
      <x:c r="L74" s="37" t="str">
        <x:v>814</x:v>
      </x:c>
      <x:c r="M74" s="29" t="str">
        <x:v>619.58</x:v>
      </x:c>
      <x:c r="N74" s="29" t="str">
        <x:v>372.00</x:v>
      </x:c>
      <x:c r="O74" s="29" t="str">
        <x:v>247.58</x:v>
      </x:c>
      <x:c r="P74" s="18" t="str">
        <x:v>2026-08-14</x:v>
      </x:c>
      <x:c r="Q74" s="36" t="n">
        <x:v>46248</x:v>
      </x:c>
    </x:row>
    <x:row r="75">
      <x:c r="A75" s="36" t="str">
        <x:v>2026-08-14</x:v>
      </x:c>
      <x:c r="B75" s="18" t="str">
        <x:v>101437000_83093</x:v>
      </x:c>
      <x:c r="C75" s="18" t="str">
        <x:v>【沪村小电】金茂未来时光里</x:v>
      </x:c>
      <x:c r="D75" s="37" t="str">
        <x:v>2</x:v>
      </x:c>
      <x:c r="E75" s="37" t="str">
        <x:v>0</x:v>
      </x:c>
      <x:c r="F75" s="37" t="str">
        <x:v>45</x:v>
      </x:c>
      <x:c r="G75" s="37" t="str">
        <x:v>1399.08</x:v>
      </x:c>
      <x:c r="H75" s="37" t="str">
        <x:v>0.00</x:v>
      </x:c>
      <x:c r="I75" s="37" t="str">
        <x:v>625.28</x:v>
      </x:c>
      <x:c r="J75" s="37" t="str">
        <x:v>0.00</x:v>
      </x:c>
      <x:c r="K75" s="37" t="str">
        <x:v>773.80</x:v>
      </x:c>
      <x:c r="L75" s="37" t="str">
        <x:v>2028</x:v>
      </x:c>
      <x:c r="M75" s="29" t="str">
        <x:v>954.94</x:v>
      </x:c>
      <x:c r="N75" s="29" t="str">
        <x:v>608.79</x:v>
      </x:c>
      <x:c r="O75" s="29" t="str">
        <x:v>346.15</x:v>
      </x:c>
      <x:c r="P75" s="18" t="str">
        <x:v>2026-08-14</x:v>
      </x:c>
      <x:c r="Q75" s="36" t="n">
        <x:v>46248</x:v>
      </x:c>
    </x:row>
    <x:row r="76">
      <x:c r="A76" s="36" t="str">
        <x:v>2026-08-14</x:v>
      </x:c>
      <x:c r="B76" s="18" t="str">
        <x:v>101437000_83911</x:v>
      </x:c>
      <x:c r="C76" s="18" t="str">
        <x:v>【沪村小电】金瀚园充电站</x:v>
      </x:c>
      <x:c r="D76" s="37" t="str">
        <x:v>2</x:v>
      </x:c>
      <x:c r="E76" s="37" t="str">
        <x:v>0</x:v>
      </x:c>
      <x:c r="F76" s="37" t="str">
        <x:v>40</x:v>
      </x:c>
      <x:c r="G76" s="37" t="str">
        <x:v>1059.80</x:v>
      </x:c>
      <x:c r="H76" s="37" t="str">
        <x:v>0.00</x:v>
      </x:c>
      <x:c r="I76" s="37" t="str">
        <x:v>585.98</x:v>
      </x:c>
      <x:c r="J76" s="37" t="str">
        <x:v>0.00</x:v>
      </x:c>
      <x:c r="K76" s="37" t="str">
        <x:v>473.82</x:v>
      </x:c>
      <x:c r="L76" s="37" t="str">
        <x:v>1425</x:v>
      </x:c>
      <x:c r="M76" s="29" t="str">
        <x:v>996.79</x:v>
      </x:c>
      <x:c r="N76" s="29" t="str">
        <x:v>591.35</x:v>
      </x:c>
      <x:c r="O76" s="29" t="str">
        <x:v>405.44</x:v>
      </x:c>
      <x:c r="P76" s="18" t="str">
        <x:v>2026-08-14</x:v>
      </x:c>
      <x:c r="Q76" s="36" t="n">
        <x:v>46248</x:v>
      </x:c>
    </x:row>
    <x:row r="77">
      <x:c r="A77" s="36" t="str">
        <x:v>2026-08-14</x:v>
      </x:c>
      <x:c r="B77" s="18" t="str">
        <x:v>101437000_83913</x:v>
      </x:c>
      <x:c r="C77" s="18" t="str">
        <x:v>【沪村小电】新黎村充电站</x:v>
      </x:c>
      <x:c r="D77" s="37" t="str">
        <x:v>2</x:v>
      </x:c>
      <x:c r="E77" s="37" t="str">
        <x:v>0</x:v>
      </x:c>
      <x:c r="F77" s="37" t="str">
        <x:v>31</x:v>
      </x:c>
      <x:c r="G77" s="37" t="str">
        <x:v>804.61</x:v>
      </x:c>
      <x:c r="H77" s="37" t="str">
        <x:v>0.00</x:v>
      </x:c>
      <x:c r="I77" s="37" t="str">
        <x:v>452.01</x:v>
      </x:c>
      <x:c r="J77" s="37" t="str">
        <x:v>0.00</x:v>
      </x:c>
      <x:c r="K77" s="37" t="str">
        <x:v>352.60</x:v>
      </x:c>
      <x:c r="L77" s="37" t="str">
        <x:v>1024</x:v>
      </x:c>
      <x:c r="M77" s="29" t="str">
        <x:v>795.69</x:v>
      </x:c>
      <x:c r="N77" s="29" t="str">
        <x:v>627.30</x:v>
      </x:c>
      <x:c r="O77" s="29" t="str">
        <x:v>168.39</x:v>
      </x:c>
      <x:c r="P77" s="18" t="str">
        <x:v>2026-08-14</x:v>
      </x:c>
      <x:c r="Q77" s="36" t="n">
        <x:v>46248</x:v>
      </x:c>
    </x:row>
    <x:row r="78">
      <x:c r="A78" s="36" t="str">
        <x:v>2026-08-14</x:v>
      </x:c>
      <x:c r="B78" s="18" t="str">
        <x:v>101437000_83915</x:v>
      </x:c>
      <x:c r="C78" s="18" t="str">
        <x:v>【沪村小电】长泰西郊别墅充电站</x:v>
      </x:c>
      <x:c r="D78" s="37" t="str">
        <x:v>2</x:v>
      </x:c>
      <x:c r="E78" s="37" t="str">
        <x:v>0</x:v>
      </x:c>
      <x:c r="F78" s="37" t="str">
        <x:v>19</x:v>
      </x:c>
      <x:c r="G78" s="37" t="str">
        <x:v>431.98</x:v>
      </x:c>
      <x:c r="H78" s="37" t="str">
        <x:v>0.00</x:v>
      </x:c>
      <x:c r="I78" s="37" t="str">
        <x:v>241.63</x:v>
      </x:c>
      <x:c r="J78" s="37" t="str">
        <x:v>0.00</x:v>
      </x:c>
      <x:c r="K78" s="37" t="str">
        <x:v>190.34</x:v>
      </x:c>
      <x:c r="L78" s="37" t="str">
        <x:v>515</x:v>
      </x:c>
      <x:c r="M78" s="29" t="str">
        <x:v>390.55</x:v>
      </x:c>
      <x:c r="N78" s="29" t="str">
        <x:v>241.99</x:v>
      </x:c>
      <x:c r="O78" s="29" t="str">
        <x:v>148.56</x:v>
      </x:c>
      <x:c r="P78" s="18" t="str">
        <x:v>2026-08-14</x:v>
      </x:c>
      <x:c r="Q78" s="36" t="n">
        <x:v>46248</x:v>
      </x:c>
    </x:row>
    <x:row r="79">
      <x:c r="A79" s="36" t="str">
        <x:v>2026-08-14</x:v>
      </x:c>
      <x:c r="B79" s="18" t="str">
        <x:v>101437000_83917</x:v>
      </x:c>
      <x:c r="C79" s="18" t="str">
        <x:v>【沪村小电】旭新华庭充电站</x:v>
      </x:c>
      <x:c r="D79" s="37" t="str">
        <x:v>4</x:v>
      </x:c>
      <x:c r="E79" s="37" t="str">
        <x:v>0</x:v>
      </x:c>
      <x:c r="F79" s="37" t="str">
        <x:v>19</x:v>
      </x:c>
      <x:c r="G79" s="37" t="str">
        <x:v>481.00</x:v>
      </x:c>
      <x:c r="H79" s="37" t="str">
        <x:v>0.00</x:v>
      </x:c>
      <x:c r="I79" s="37" t="str">
        <x:v>428.62</x:v>
      </x:c>
      <x:c r="J79" s="37" t="str">
        <x:v>0.00</x:v>
      </x:c>
      <x:c r="K79" s="37" t="str">
        <x:v>52.38</x:v>
      </x:c>
      <x:c r="L79" s="37" t="str">
        <x:v>745</x:v>
      </x:c>
      <x:c r="M79" s="29" t="str">
        <x:v>521.50</x:v>
      </x:c>
      <x:c r="N79" s="29" t="str">
        <x:v>323.69</x:v>
      </x:c>
      <x:c r="O79" s="29" t="str">
        <x:v>197.81</x:v>
      </x:c>
      <x:c r="P79" s="18" t="str">
        <x:v>2026-08-14</x:v>
      </x:c>
      <x:c r="Q79" s="36" t="n">
        <x:v>46248</x:v>
      </x:c>
    </x:row>
    <x:row r="80">
      <x:c r="A80" s="36" t="str">
        <x:v>2026-08-14</x:v>
      </x:c>
      <x:c r="B80" s="18" t="str">
        <x:v>101437000_83919</x:v>
      </x:c>
      <x:c r="C80" s="18" t="str">
        <x:v>【沪村小电】浦锦名仕嘉园充电站</x:v>
      </x:c>
      <x:c r="D80" s="37" t="str">
        <x:v>4</x:v>
      </x:c>
      <x:c r="E80" s="37" t="str">
        <x:v>0</x:v>
      </x:c>
      <x:c r="F80" s="37" t="str">
        <x:v>47</x:v>
      </x:c>
      <x:c r="G80" s="37" t="str">
        <x:v>1221.38</x:v>
      </x:c>
      <x:c r="H80" s="37" t="str">
        <x:v>0.00</x:v>
      </x:c>
      <x:c r="I80" s="37" t="str">
        <x:v>0.00</x:v>
      </x:c>
      <x:c r="J80" s="37" t="str">
        <x:v>1221.38</x:v>
      </x:c>
      <x:c r="K80" s="37" t="str">
        <x:v>0.00</x:v>
      </x:c>
      <x:c r="L80" s="37" t="str">
        <x:v>1836</x:v>
      </x:c>
      <x:c r="M80" s="29" t="str">
        <x:v>1228.99</x:v>
      </x:c>
      <x:c r="N80" s="29" t="str">
        <x:v>854.99</x:v>
      </x:c>
      <x:c r="O80" s="29" t="str">
        <x:v>374.00</x:v>
      </x:c>
      <x:c r="P80" s="18" t="str">
        <x:v>2026-08-14</x:v>
      </x:c>
      <x:c r="Q80" s="36" t="n">
        <x:v>46248</x:v>
      </x:c>
    </x:row>
    <x:row r="81">
      <x:c r="A81" s="36" t="str">
        <x:v>2026-08-14</x:v>
      </x:c>
      <x:c r="B81" s="18" t="str">
        <x:v>101437000_83921</x:v>
      </x:c>
      <x:c r="C81" s="18" t="str">
        <x:v>【沪村小电】上海联怡枇杷乐园充电站（地库）</x:v>
      </x:c>
      <x:c r="D81" s="37" t="str">
        <x:v>8</x:v>
      </x:c>
      <x:c r="E81" s="37" t="str">
        <x:v>0</x:v>
      </x:c>
      <x:c r="F81" s="37" t="str">
        <x:v>2</x:v>
      </x:c>
      <x:c r="G81" s="37" t="str">
        <x:v>66.69</x:v>
      </x:c>
      <x:c r="H81" s="37" t="str">
        <x:v>0.00</x:v>
      </x:c>
      <x:c r="I81" s="37" t="str">
        <x:v>0.00</x:v>
      </x:c>
      <x:c r="J81" s="37" t="str">
        <x:v>0.00</x:v>
      </x:c>
      <x:c r="K81" s="37" t="str">
        <x:v>66.69</x:v>
      </x:c>
      <x:c r="L81" s="37" t="str">
        <x:v>130</x:v>
      </x:c>
      <x:c r="M81" s="29" t="str">
        <x:v>48.68</x:v>
      </x:c>
      <x:c r="N81" s="29" t="str">
        <x:v>40.02</x:v>
      </x:c>
      <x:c r="O81" s="29" t="str">
        <x:v>8.66</x:v>
      </x:c>
      <x:c r="P81" s="18" t="str">
        <x:v>2026-08-14</x:v>
      </x:c>
      <x:c r="Q81" s="36" t="n">
        <x:v>46248</x:v>
      </x:c>
    </x:row>
    <x:row r="82">
      <x:c r="A82" s="36" t="str">
        <x:v>2026-08-14</x:v>
      </x:c>
      <x:c r="B82" s="18" t="str">
        <x:v>101437000_83923</x:v>
      </x:c>
      <x:c r="C82" s="18" t="str">
        <x:v>【沪村小电】明珠新苑充电站</x:v>
      </x:c>
      <x:c r="D82" s="37" t="str">
        <x:v>2</x:v>
      </x:c>
      <x:c r="E82" s="37" t="str">
        <x:v>0</x:v>
      </x:c>
      <x:c r="F82" s="37" t="str">
        <x:v>20</x:v>
      </x:c>
      <x:c r="G82" s="37" t="str">
        <x:v>356.83</x:v>
      </x:c>
      <x:c r="H82" s="37" t="str">
        <x:v>0.00</x:v>
      </x:c>
      <x:c r="I82" s="37" t="str">
        <x:v>262.34</x:v>
      </x:c>
      <x:c r="J82" s="37" t="str">
        <x:v>0.00</x:v>
      </x:c>
      <x:c r="K82" s="37" t="str">
        <x:v>94.48</x:v>
      </x:c>
      <x:c r="L82" s="37" t="str">
        <x:v>548</x:v>
      </x:c>
      <x:c r="M82" s="29" t="str">
        <x:v>336.39</x:v>
      </x:c>
      <x:c r="N82" s="29" t="str">
        <x:v>221.23</x:v>
      </x:c>
      <x:c r="O82" s="29" t="str">
        <x:v>115.16</x:v>
      </x:c>
      <x:c r="P82" s="18" t="str">
        <x:v>2026-08-14</x:v>
      </x:c>
      <x:c r="Q82" s="36" t="n">
        <x:v>46248</x:v>
      </x:c>
    </x:row>
    <x:row r="83">
      <x:c r="A83" s="36" t="str">
        <x:v>2026-08-14</x:v>
      </x:c>
      <x:c r="B83" s="18" t="str">
        <x:v>101437000_84289</x:v>
      </x:c>
      <x:c r="C83" s="18" t="str">
        <x:v>【沪村小电】铁建芳华苑充电站</x:v>
      </x:c>
      <x:c r="D83" s="37" t="str">
        <x:v>4</x:v>
      </x:c>
      <x:c r="E83" s="37" t="str">
        <x:v>0</x:v>
      </x:c>
      <x:c r="F83" s="37" t="str">
        <x:v>47</x:v>
      </x:c>
      <x:c r="G83" s="37" t="str">
        <x:v>1213.50</x:v>
      </x:c>
      <x:c r="H83" s="37" t="str">
        <x:v>0.00</x:v>
      </x:c>
      <x:c r="I83" s="37" t="str">
        <x:v>569.64</x:v>
      </x:c>
      <x:c r="J83" s="37" t="str">
        <x:v>0.00</x:v>
      </x:c>
      <x:c r="K83" s="37" t="str">
        <x:v>643.87</x:v>
      </x:c>
      <x:c r="L83" s="37" t="str">
        <x:v>2009</x:v>
      </x:c>
      <x:c r="M83" s="29" t="str">
        <x:v>1018.17</x:v>
      </x:c>
      <x:c r="N83" s="29" t="str">
        <x:v>642.68</x:v>
      </x:c>
      <x:c r="O83" s="29" t="str">
        <x:v>375.49</x:v>
      </x:c>
      <x:c r="P83" s="18" t="str">
        <x:v>2026-08-14</x:v>
      </x:c>
      <x:c r="Q83" s="36" t="n">
        <x:v>46248</x:v>
      </x:c>
    </x:row>
    <x:row r="84">
      <x:c r="A84" s="36" t="str">
        <x:v>2026-08-14</x:v>
      </x:c>
      <x:c r="B84" s="18" t="str">
        <x:v>101437000_86379</x:v>
      </x:c>
      <x:c r="C84" s="18" t="str">
        <x:v>【沪村小电】新宝社区充电站</x:v>
      </x:c>
      <x:c r="D84" s="37" t="str">
        <x:v>4</x:v>
      </x:c>
      <x:c r="E84" s="37" t="str">
        <x:v>0</x:v>
      </x:c>
      <x:c r="F84" s="37" t="str">
        <x:v>31</x:v>
      </x:c>
      <x:c r="G84" s="37" t="str">
        <x:v>821.51</x:v>
      </x:c>
      <x:c r="H84" s="37" t="str">
        <x:v>0.00</x:v>
      </x:c>
      <x:c r="I84" s="37" t="str">
        <x:v>329.84</x:v>
      </x:c>
      <x:c r="J84" s="37" t="str">
        <x:v>0.00</x:v>
      </x:c>
      <x:c r="K84" s="37" t="str">
        <x:v>491.67</x:v>
      </x:c>
      <x:c r="L84" s="37" t="str">
        <x:v>1370</x:v>
      </x:c>
      <x:c r="M84" s="29" t="str">
        <x:v>677.25</x:v>
      </x:c>
      <x:c r="N84" s="29" t="str">
        <x:v>416.10</x:v>
      </x:c>
      <x:c r="O84" s="29" t="str">
        <x:v>261.15</x:v>
      </x:c>
      <x:c r="P84" s="18" t="str">
        <x:v>2026-08-14</x:v>
      </x:c>
      <x:c r="Q84" s="36" t="n">
        <x:v>46248</x:v>
      </x:c>
    </x:row>
    <x:row r="85">
      <x:c r="A85" s="36" t="str">
        <x:v>2026-08-14</x:v>
      </x:c>
      <x:c r="B85" s="18" t="str">
        <x:v>101437000_89441</x:v>
      </x:c>
      <x:c r="C85" s="18" t="str">
        <x:v>【沪村小电】首创禧瑞云启西区充电站</x:v>
      </x:c>
      <x:c r="D85" s="37" t="str">
        <x:v>2</x:v>
      </x:c>
      <x:c r="E85" s="37" t="str">
        <x:v>0</x:v>
      </x:c>
      <x:c r="F85" s="37" t="str">
        <x:v>24</x:v>
      </x:c>
      <x:c r="G85" s="37" t="str">
        <x:v>606.28</x:v>
      </x:c>
      <x:c r="H85" s="37" t="str">
        <x:v>0.00</x:v>
      </x:c>
      <x:c r="I85" s="37" t="str">
        <x:v>424.64</x:v>
      </x:c>
      <x:c r="J85" s="37" t="str">
        <x:v>0.00</x:v>
      </x:c>
      <x:c r="K85" s="37" t="str">
        <x:v>181.65</x:v>
      </x:c>
      <x:c r="L85" s="37" t="str">
        <x:v>893</x:v>
      </x:c>
      <x:c r="M85" s="29" t="str">
        <x:v>527.87</x:v>
      </x:c>
      <x:c r="N85" s="29" t="str">
        <x:v>368.69</x:v>
      </x:c>
      <x:c r="O85" s="29" t="str">
        <x:v>159.18</x:v>
      </x:c>
      <x:c r="P85" s="18" t="str">
        <x:v>2026-08-14</x:v>
      </x:c>
      <x:c r="Q85" s="36" t="n">
        <x:v>46248</x:v>
      </x:c>
    </x:row>
    <x:row r="86">
      <x:c r="A86" s="36" t="str">
        <x:v>2026-08-14</x:v>
      </x:c>
      <x:c r="B86" s="18" t="str">
        <x:v>101437000_89443</x:v>
      </x:c>
      <x:c r="C86" s="18" t="str">
        <x:v>【沪村小电】玉兰清苑二期充电站</x:v>
      </x:c>
      <x:c r="D86" s="37" t="str">
        <x:v>2</x:v>
      </x:c>
      <x:c r="E86" s="37" t="str">
        <x:v>0</x:v>
      </x:c>
      <x:c r="F86" s="37" t="str">
        <x:v>29</x:v>
      </x:c>
      <x:c r="G86" s="37" t="str">
        <x:v>742.16</x:v>
      </x:c>
      <x:c r="H86" s="37" t="str">
        <x:v>0.00</x:v>
      </x:c>
      <x:c r="I86" s="37" t="str">
        <x:v>552.21</x:v>
      </x:c>
      <x:c r="J86" s="37" t="str">
        <x:v>0.00</x:v>
      </x:c>
      <x:c r="K86" s="37" t="str">
        <x:v>189.95</x:v>
      </x:c>
      <x:c r="L86" s="37" t="str">
        <x:v>1185</x:v>
      </x:c>
      <x:c r="M86" s="29" t="str">
        <x:v>780.78</x:v>
      </x:c>
      <x:c r="N86" s="29" t="str">
        <x:v>462.37</x:v>
      </x:c>
      <x:c r="O86" s="29" t="str">
        <x:v>318.41</x:v>
      </x:c>
      <x:c r="P86" s="18" t="str">
        <x:v>2026-08-14</x:v>
      </x:c>
      <x:c r="Q86" s="36" t="n">
        <x:v>46248</x:v>
      </x:c>
    </x:row>
    <x:row r="87">
      <x:c r="A87" s="36" t="str">
        <x:v>2026-08-14</x:v>
      </x:c>
      <x:c r="B87" s="18" t="str">
        <x:v>101437000_93115</x:v>
      </x:c>
      <x:c r="C87" s="18" t="str">
        <x:v>【沪村小电】新南家园西北门</x:v>
      </x:c>
      <x:c r="D87" s="37" t="str">
        <x:v>2</x:v>
      </x:c>
      <x:c r="E87" s="37" t="str">
        <x:v>0</x:v>
      </x:c>
      <x:c r="F87" s="37" t="str">
        <x:v>21</x:v>
      </x:c>
      <x:c r="G87" s="37" t="str">
        <x:v>534.81</x:v>
      </x:c>
      <x:c r="H87" s="37" t="str">
        <x:v>0.00</x:v>
      </x:c>
      <x:c r="I87" s="37" t="str">
        <x:v>351.39</x:v>
      </x:c>
      <x:c r="J87" s="37" t="str">
        <x:v>0.00</x:v>
      </x:c>
      <x:c r="K87" s="37" t="str">
        <x:v>183.42</x:v>
      </x:c>
      <x:c r="L87" s="37" t="str">
        <x:v>753</x:v>
      </x:c>
      <x:c r="M87" s="29" t="str">
        <x:v>504.00</x:v>
      </x:c>
      <x:c r="N87" s="29" t="str">
        <x:v>317.36</x:v>
      </x:c>
      <x:c r="O87" s="29" t="str">
        <x:v>186.64</x:v>
      </x:c>
      <x:c r="P87" s="18" t="str">
        <x:v>2026-08-14</x:v>
      </x:c>
      <x:c r="Q87" s="36" t="n">
        <x:v>46248</x:v>
      </x:c>
    </x:row>
    <x:row r="88">
      <x:c r="A88" s="36" t="str">
        <x:v>2026-08-14</x:v>
      </x:c>
      <x:c r="B88" s="18" t="str">
        <x:v>101437000_94649</x:v>
      </x:c>
      <x:c r="C88" s="18" t="str">
        <x:v>【沪村小电】浪琴水岸花园</x:v>
      </x:c>
      <x:c r="D88" s="37" t="str">
        <x:v>4</x:v>
      </x:c>
      <x:c r="E88" s="37" t="str">
        <x:v>0</x:v>
      </x:c>
      <x:c r="F88" s="37" t="str">
        <x:v>23</x:v>
      </x:c>
      <x:c r="G88" s="37" t="str">
        <x:v>637.62</x:v>
      </x:c>
      <x:c r="H88" s="37" t="str">
        <x:v>0.00</x:v>
      </x:c>
      <x:c r="I88" s="37" t="str">
        <x:v>330.14</x:v>
      </x:c>
      <x:c r="J88" s="37" t="str">
        <x:v>0.00</x:v>
      </x:c>
      <x:c r="K88" s="37" t="str">
        <x:v>307.48</x:v>
      </x:c>
      <x:c r="L88" s="37" t="str">
        <x:v>924</x:v>
      </x:c>
      <x:c r="M88" s="29" t="str">
        <x:v>488.00</x:v>
      </x:c>
      <x:c r="N88" s="29" t="str">
        <x:v>378.91</x:v>
      </x:c>
      <x:c r="O88" s="29" t="str">
        <x:v>109.09</x:v>
      </x:c>
      <x:c r="P88" s="18" t="str">
        <x:v>2026-08-14</x:v>
      </x:c>
      <x:c r="Q88" s="36" t="n">
        <x:v>46248</x:v>
      </x:c>
    </x:row>
    <x:row r="89">
      <x:c r="A89" s="36" t="str">
        <x:v>2026-08-14</x:v>
      </x:c>
      <x:c r="B89" s="18" t="str">
        <x:v>101437000_95077</x:v>
      </x:c>
      <x:c r="C89" s="18" t="str">
        <x:v>【沪村小电】民乐城惠益绿苑255弄充电站</x:v>
      </x:c>
      <x:c r="D89" s="37" t="str">
        <x:v>2</x:v>
      </x:c>
      <x:c r="E89" s="37" t="str">
        <x:v>0</x:v>
      </x:c>
      <x:c r="F89" s="37" t="str">
        <x:v>7</x:v>
      </x:c>
      <x:c r="G89" s="37" t="str">
        <x:v>98.41</x:v>
      </x:c>
      <x:c r="H89" s="37" t="str">
        <x:v>0.00</x:v>
      </x:c>
      <x:c r="I89" s="37" t="str">
        <x:v>98.41</x:v>
      </x:c>
      <x:c r="J89" s="37" t="str">
        <x:v>0.00</x:v>
      </x:c>
      <x:c r="K89" s="37" t="str">
        <x:v>0.00</x:v>
      </x:c>
      <x:c r="L89" s="37" t="str">
        <x:v>209</x:v>
      </x:c>
      <x:c r="M89" s="29" t="str">
        <x:v>91.75</x:v>
      </x:c>
      <x:c r="N89" s="29" t="str">
        <x:v>69.88</x:v>
      </x:c>
      <x:c r="O89" s="29" t="str">
        <x:v>21.87</x:v>
      </x:c>
      <x:c r="P89" s="18" t="str">
        <x:v>2026-08-14</x:v>
      </x:c>
      <x:c r="Q89" s="36" t="n">
        <x:v>46248</x:v>
      </x:c>
    </x:row>
    <x:row r="90">
      <x:c r="A90" s="36" t="str">
        <x:v>2026-08-14</x:v>
      </x:c>
      <x:c r="B90" s="18" t="str">
        <x:v>101437000_95079</x:v>
      </x:c>
      <x:c r="C90" s="18" t="str">
        <x:v>【沪村小电】民乐城惠益绿苑东苑充电站</x:v>
      </x:c>
      <x:c r="D90" s="37" t="str">
        <x:v>2</x:v>
      </x:c>
      <x:c r="E90" s="37" t="str">
        <x:v>0</x:v>
      </x:c>
      <x:c r="F90" s="37" t="str">
        <x:v>21</x:v>
      </x:c>
      <x:c r="G90" s="37" t="str">
        <x:v>500.43</x:v>
      </x:c>
      <x:c r="H90" s="37" t="str">
        <x:v>0.00</x:v>
      </x:c>
      <x:c r="I90" s="37" t="str">
        <x:v>357.06</x:v>
      </x:c>
      <x:c r="J90" s="37" t="str">
        <x:v>0.00</x:v>
      </x:c>
      <x:c r="K90" s="37" t="str">
        <x:v>143.36</x:v>
      </x:c>
      <x:c r="L90" s="37" t="str">
        <x:v>715</x:v>
      </x:c>
      <x:c r="M90" s="29" t="str">
        <x:v>459.15</x:v>
      </x:c>
      <x:c r="N90" s="29" t="str">
        <x:v>306.54</x:v>
      </x:c>
      <x:c r="O90" s="29" t="str">
        <x:v>152.61</x:v>
      </x:c>
      <x:c r="P90" s="18" t="str">
        <x:v>2026-08-14</x:v>
      </x:c>
      <x:c r="Q90" s="36" t="n">
        <x:v>46248</x:v>
      </x:c>
    </x:row>
    <x:row r="91">
      <x:c r="A91" s="36" t="str">
        <x:v>2026-08-14</x:v>
      </x:c>
      <x:c r="B91" s="18" t="str">
        <x:v>101437000_95081</x:v>
      </x:c>
      <x:c r="C91" s="18" t="str">
        <x:v>【沪村小电】民乐城惠益绿苑西苑充电站</x:v>
      </x:c>
      <x:c r="D91" s="37" t="str">
        <x:v>2</x:v>
      </x:c>
      <x:c r="E91" s="37" t="str">
        <x:v>0</x:v>
      </x:c>
      <x:c r="F91" s="37" t="str">
        <x:v>5</x:v>
      </x:c>
      <x:c r="G91" s="37" t="str">
        <x:v>94.14</x:v>
      </x:c>
      <x:c r="H91" s="37" t="str">
        <x:v>0.00</x:v>
      </x:c>
      <x:c r="I91" s="37" t="str">
        <x:v>94.14</x:v>
      </x:c>
      <x:c r="J91" s="37" t="str">
        <x:v>0.00</x:v>
      </x:c>
      <x:c r="K91" s="37" t="str">
        <x:v>0.00</x:v>
      </x:c>
      <x:c r="L91" s="37" t="str">
        <x:v>250</x:v>
      </x:c>
      <x:c r="M91" s="29" t="str">
        <x:v>103.91</x:v>
      </x:c>
      <x:c r="N91" s="29" t="str">
        <x:v>66.84</x:v>
      </x:c>
      <x:c r="O91" s="29" t="str">
        <x:v>37.07</x:v>
      </x:c>
      <x:c r="P91" s="18" t="str">
        <x:v>2026-08-14</x:v>
      </x:c>
      <x:c r="Q91" s="36" t="n">
        <x:v>46248</x:v>
      </x:c>
    </x:row>
    <x:row r="92">
      <x:c r="A92" s="36" t="str">
        <x:v>2026-08-14</x:v>
      </x:c>
      <x:c r="B92" s="18" t="str">
        <x:v>101437000_95091</x:v>
      </x:c>
      <x:c r="C92" s="18" t="str">
        <x:v>【沪村小电】金悦学府2号站</x:v>
      </x:c>
      <x:c r="D92" s="37" t="str">
        <x:v>2</x:v>
      </x:c>
      <x:c r="E92" s="37" t="str">
        <x:v>0</x:v>
      </x:c>
      <x:c r="F92" s="37" t="str">
        <x:v>26</x:v>
      </x:c>
      <x:c r="G92" s="37" t="str">
        <x:v>858.69</x:v>
      </x:c>
      <x:c r="H92" s="37" t="str">
        <x:v>0.00</x:v>
      </x:c>
      <x:c r="I92" s="37" t="str">
        <x:v>0.00</x:v>
      </x:c>
      <x:c r="J92" s="37" t="str">
        <x:v>858.69</x:v>
      </x:c>
      <x:c r="K92" s="37" t="str">
        <x:v>0.00</x:v>
      </x:c>
      <x:c r="L92" s="37" t="str">
        <x:v>1223</x:v>
      </x:c>
      <x:c r="M92" s="29" t="str">
        <x:v>707.07</x:v>
      </x:c>
      <x:c r="N92" s="29" t="str">
        <x:v>480.86</x:v>
      </x:c>
      <x:c r="O92" s="29" t="str">
        <x:v>226.21</x:v>
      </x:c>
      <x:c r="P92" s="18" t="str">
        <x:v>2026-08-14</x:v>
      </x:c>
      <x:c r="Q92" s="36" t="n">
        <x:v>46248</x:v>
      </x:c>
    </x:row>
    <x:row r="93">
      <x:c r="A93" s="36" t="str">
        <x:v>2026-08-14</x:v>
      </x:c>
      <x:c r="B93" s="18" t="str">
        <x:v>101437000_95941</x:v>
      </x:c>
      <x:c r="C93" s="18" t="str">
        <x:v>【沪村小电】惠诚雅苑</x:v>
      </x:c>
      <x:c r="D93" s="37" t="str">
        <x:v>4</x:v>
      </x:c>
      <x:c r="E93" s="37" t="str">
        <x:v>0</x:v>
      </x:c>
      <x:c r="F93" s="37" t="str">
        <x:v>44</x:v>
      </x:c>
      <x:c r="G93" s="37" t="str">
        <x:v>1267.84</x:v>
      </x:c>
      <x:c r="H93" s="37" t="str">
        <x:v>0.00</x:v>
      </x:c>
      <x:c r="I93" s="37" t="str">
        <x:v>543.04</x:v>
      </x:c>
      <x:c r="J93" s="37" t="str">
        <x:v>0.00</x:v>
      </x:c>
      <x:c r="K93" s="37" t="str">
        <x:v>724.80</x:v>
      </x:c>
      <x:c r="L93" s="37" t="str">
        <x:v>2137</x:v>
      </x:c>
      <x:c r="M93" s="29" t="str">
        <x:v>859.23</x:v>
      </x:c>
      <x:c r="N93" s="29" t="str">
        <x:v>545.10</x:v>
      </x:c>
      <x:c r="O93" s="29" t="str">
        <x:v>314.13</x:v>
      </x:c>
      <x:c r="P93" s="18" t="str">
        <x:v>2026-08-14</x:v>
      </x:c>
      <x:c r="Q93" s="36" t="n">
        <x:v>46248</x:v>
      </x:c>
    </x:row>
    <x:row r="94">
      <x:c r="A94" s="36" t="str">
        <x:v>2026-08-14</x:v>
      </x:c>
      <x:c r="B94" s="18" t="str">
        <x:v>101437000_96401</x:v>
      </x:c>
      <x:c r="C94" s="18" t="str">
        <x:v>【沪村小电】上海联怡枇杷乐园地面站</x:v>
      </x:c>
      <x:c r="D94" s="37" t="str">
        <x:v>2</x:v>
      </x:c>
      <x:c r="E94" s="37" t="str">
        <x:v>0</x:v>
      </x:c>
      <x:c r="F94" s="37" t="str">
        <x:v>9</x:v>
      </x:c>
      <x:c r="G94" s="37" t="str">
        <x:v>164.91</x:v>
      </x:c>
      <x:c r="H94" s="37" t="str">
        <x:v>0.00</x:v>
      </x:c>
      <x:c r="I94" s="37" t="str">
        <x:v>76.60</x:v>
      </x:c>
      <x:c r="J94" s="37" t="str">
        <x:v>0.00</x:v>
      </x:c>
      <x:c r="K94" s="37" t="str">
        <x:v>88.31</x:v>
      </x:c>
      <x:c r="L94" s="37" t="str">
        <x:v>311</x:v>
      </x:c>
      <x:c r="M94" s="29" t="str">
        <x:v>151.94</x:v>
      </x:c>
      <x:c r="N94" s="29" t="str">
        <x:v>127.24</x:v>
      </x:c>
      <x:c r="O94" s="29" t="str">
        <x:v>24.70</x:v>
      </x:c>
      <x:c r="P94" s="18" t="str">
        <x:v>2026-08-14</x:v>
      </x:c>
      <x:c r="Q94" s="36" t="n">
        <x:v>46248</x:v>
      </x:c>
    </x:row>
    <x:row r="95">
      <x:c r="A95" s="36" t="str">
        <x:v>2026-08-14</x:v>
      </x:c>
      <x:c r="B95" s="18" t="str">
        <x:v>101437000_96719</x:v>
      </x:c>
      <x:c r="C95" s="18" t="str">
        <x:v>【沪村小电】四达路220弄充电站</x:v>
      </x:c>
      <x:c r="D95" s="37" t="str">
        <x:v>2</x:v>
      </x:c>
      <x:c r="E95" s="37" t="str">
        <x:v>0</x:v>
      </x:c>
      <x:c r="F95" s="37" t="str">
        <x:v>3</x:v>
      </x:c>
      <x:c r="G95" s="37" t="str">
        <x:v>58.64</x:v>
      </x:c>
      <x:c r="H95" s="37" t="str">
        <x:v>0.00</x:v>
      </x:c>
      <x:c r="I95" s="37" t="str">
        <x:v>58.64</x:v>
      </x:c>
      <x:c r="J95" s="37" t="str">
        <x:v>0.00</x:v>
      </x:c>
      <x:c r="K95" s="37" t="str">
        <x:v>0.00</x:v>
      </x:c>
      <x:c r="L95" s="37" t="str">
        <x:v>65</x:v>
      </x:c>
      <x:c r="M95" s="29" t="str">
        <x:v>84.55</x:v>
      </x:c>
      <x:c r="N95" s="29" t="str">
        <x:v>41.63</x:v>
      </x:c>
      <x:c r="O95" s="29" t="str">
        <x:v>42.92</x:v>
      </x:c>
      <x:c r="P95" s="18" t="str">
        <x:v>2026-08-14</x:v>
      </x:c>
      <x:c r="Q95" s="36" t="n">
        <x:v>46248</x:v>
      </x:c>
    </x:row>
    <x:row r="96">
      <x:c r="A96" s="36" t="str">
        <x:v>2026-08-14</x:v>
      </x:c>
      <x:c r="B96" s="18" t="str">
        <x:v>101437000_97421</x:v>
      </x:c>
      <x:c r="C96" s="18" t="str">
        <x:v>【沪村小电】玉兰清苑二期（小区外）充电站</x:v>
      </x:c>
      <x:c r="D96" s="37" t="str">
        <x:v>4</x:v>
      </x:c>
      <x:c r="E96" s="37" t="str">
        <x:v>0</x:v>
      </x:c>
      <x:c r="F96" s="37" t="str">
        <x:v>41</x:v>
      </x:c>
      <x:c r="G96" s="37" t="str">
        <x:v>778.94</x:v>
      </x:c>
      <x:c r="H96" s="37" t="str">
        <x:v>0.00</x:v>
      </x:c>
      <x:c r="I96" s="37" t="str">
        <x:v>650.22</x:v>
      </x:c>
      <x:c r="J96" s="37" t="str">
        <x:v>0.00</x:v>
      </x:c>
      <x:c r="K96" s="37" t="str">
        <x:v>128.73</x:v>
      </x:c>
      <x:c r="L96" s="37" t="str">
        <x:v>1463</x:v>
      </x:c>
      <x:c r="M96" s="29" t="str">
        <x:v>729.15</x:v>
      </x:c>
      <x:c r="N96" s="29" t="str">
        <x:v>509.32</x:v>
      </x:c>
      <x:c r="O96" s="29" t="str">
        <x:v>219.83</x:v>
      </x:c>
      <x:c r="P96" s="18" t="str">
        <x:v>2026-08-14</x:v>
      </x:c>
      <x:c r="Q96" s="36" t="n">
        <x:v>46248</x:v>
      </x:c>
    </x:row>
    <x:row r="97">
      <x:c r="A97" s="36" t="str">
        <x:v>2026-08-14</x:v>
      </x:c>
      <x:c r="B97" s="18" t="str">
        <x:v>101437000_98013</x:v>
      </x:c>
      <x:c r="C97" s="18" t="str">
        <x:v>【沪村小电】恒大滨江华府充电站</x:v>
      </x:c>
      <x:c r="D97" s="37" t="str">
        <x:v>4</x:v>
      </x:c>
      <x:c r="E97" s="37" t="str">
        <x:v>0</x:v>
      </x:c>
      <x:c r="F97" s="37" t="str">
        <x:v>39</x:v>
      </x:c>
      <x:c r="G97" s="37" t="str">
        <x:v>814.56</x:v>
      </x:c>
      <x:c r="H97" s="37" t="str">
        <x:v>0.00</x:v>
      </x:c>
      <x:c r="I97" s="37" t="str">
        <x:v>640.23</x:v>
      </x:c>
      <x:c r="J97" s="37" t="str">
        <x:v>0.00</x:v>
      </x:c>
      <x:c r="K97" s="37" t="str">
        <x:v>174.32</x:v>
      </x:c>
      <x:c r="L97" s="37" t="str">
        <x:v>1319</x:v>
      </x:c>
      <x:c r="M97" s="29" t="str">
        <x:v>858.10</x:v>
      </x:c>
      <x:c r="N97" s="29" t="str">
        <x:v>656.38</x:v>
      </x:c>
      <x:c r="O97" s="29" t="str">
        <x:v>201.72</x:v>
      </x:c>
      <x:c r="P97" s="18" t="str">
        <x:v>2026-08-14</x:v>
      </x:c>
      <x:c r="Q97" s="36" t="n">
        <x:v>46248</x:v>
      </x:c>
    </x:row>
    <x:row r="98">
      <x:c r="A98" s="36" t="str">
        <x:v>2026-08-14</x:v>
      </x:c>
      <x:c r="B98" s="18" t="str">
        <x:v>101437000_98863</x:v>
      </x:c>
      <x:c r="C98" s="18" t="str">
        <x:v>【沪村小电】欣菊苑充电站</x:v>
      </x:c>
      <x:c r="D98" s="37" t="str">
        <x:v>4</x:v>
      </x:c>
      <x:c r="E98" s="37" t="str">
        <x:v>0</x:v>
      </x:c>
      <x:c r="F98" s="37" t="str">
        <x:v>11</x:v>
      </x:c>
      <x:c r="G98" s="37" t="str">
        <x:v>166.53</x:v>
      </x:c>
      <x:c r="H98" s="37" t="str">
        <x:v>0.00</x:v>
      </x:c>
      <x:c r="I98" s="37" t="str">
        <x:v>103.99</x:v>
      </x:c>
      <x:c r="J98" s="37" t="str">
        <x:v>0.00</x:v>
      </x:c>
      <x:c r="K98" s="37" t="str">
        <x:v>62.54</x:v>
      </x:c>
      <x:c r="L98" s="37" t="str">
        <x:v>293</x:v>
      </x:c>
      <x:c r="M98" s="29" t="str">
        <x:v>157.84</x:v>
      </x:c>
      <x:c r="N98" s="29" t="str">
        <x:v>96.97</x:v>
      </x:c>
      <x:c r="O98" s="29" t="str">
        <x:v>60.87</x:v>
      </x:c>
      <x:c r="P98" s="18" t="str">
        <x:v>2026-08-14</x:v>
      </x:c>
      <x:c r="Q98" s="36" t="n">
        <x:v>46248</x:v>
      </x:c>
    </x:row>
    <x:row r="99">
      <x:c r="A99" s="36" t="str">
        <x:v>2026-08-14</x:v>
      </x:c>
      <x:c r="B99" s="18" t="str">
        <x:v>101437000_98865</x:v>
      </x:c>
      <x:c r="C99" s="18" t="str">
        <x:v>【沪村小电】欣松苑充电站</x:v>
      </x:c>
      <x:c r="D99" s="37" t="str">
        <x:v>4</x:v>
      </x:c>
      <x:c r="E99" s="37" t="str">
        <x:v>0</x:v>
      </x:c>
      <x:c r="F99" s="37" t="str">
        <x:v>26</x:v>
      </x:c>
      <x:c r="G99" s="37" t="str">
        <x:v>472.41</x:v>
      </x:c>
      <x:c r="H99" s="37" t="str">
        <x:v>0.00</x:v>
      </x:c>
      <x:c r="I99" s="37" t="str">
        <x:v>447.15</x:v>
      </x:c>
      <x:c r="J99" s="37" t="str">
        <x:v>0.00</x:v>
      </x:c>
      <x:c r="K99" s="37" t="str">
        <x:v>25.26</x:v>
      </x:c>
      <x:c r="L99" s="37" t="str">
        <x:v>702</x:v>
      </x:c>
      <x:c r="M99" s="29" t="str">
        <x:v>481.88</x:v>
      </x:c>
      <x:c r="N99" s="29" t="str">
        <x:v>326.82</x:v>
      </x:c>
      <x:c r="O99" s="29" t="str">
        <x:v>155.06</x:v>
      </x:c>
      <x:c r="P99" s="18" t="str">
        <x:v>2026-08-14</x:v>
      </x:c>
      <x:c r="Q99" s="36" t="n">
        <x:v>46248</x:v>
      </x:c>
    </x:row>
    <x:row r="100">
      <x:c r="A100" s="36" t="str">
        <x:v>2026-08-14</x:v>
      </x:c>
      <x:c r="B100" s="18" t="str">
        <x:v>101437000_98867</x:v>
      </x:c>
      <x:c r="C100" s="18" t="str">
        <x:v>【沪村小电】欣荷苑充电站</x:v>
      </x:c>
      <x:c r="D100" s="37" t="str">
        <x:v>4</x:v>
      </x:c>
      <x:c r="E100" s="37" t="str">
        <x:v>0</x:v>
      </x:c>
      <x:c r="F100" s="37" t="str">
        <x:v>10</x:v>
      </x:c>
      <x:c r="G100" s="37" t="str">
        <x:v>277.63</x:v>
      </x:c>
      <x:c r="H100" s="37" t="str">
        <x:v>0.00</x:v>
      </x:c>
      <x:c r="I100" s="37" t="str">
        <x:v>244.49</x:v>
      </x:c>
      <x:c r="J100" s="37" t="str">
        <x:v>0.00</x:v>
      </x:c>
      <x:c r="K100" s="37" t="str">
        <x:v>33.13</x:v>
      </x:c>
      <x:c r="L100" s="37" t="str">
        <x:v>366</x:v>
      </x:c>
      <x:c r="M100" s="29" t="str">
        <x:v>261.52</x:v>
      </x:c>
      <x:c r="N100" s="29" t="str">
        <x:v>185.86</x:v>
      </x:c>
      <x:c r="O100" s="29" t="str">
        <x:v>75.66</x:v>
      </x:c>
      <x:c r="P100" s="18" t="str">
        <x:v>2026-08-14</x:v>
      </x:c>
      <x:c r="Q100" s="36" t="n">
        <x:v>46248</x:v>
      </x:c>
    </x:row>
    <x:row r="101">
      <x:c r="A101" s="36" t="str">
        <x:v>2026-08-14</x:v>
      </x:c>
      <x:c r="B101" s="18" t="str">
        <x:v>101437000_99885</x:v>
      </x:c>
      <x:c r="C101" s="18" t="str">
        <x:v>【沪村小电】汇丰馨苑充电站</x:v>
      </x:c>
      <x:c r="D101" s="37" t="str">
        <x:v>4</x:v>
      </x:c>
      <x:c r="E101" s="37" t="str">
        <x:v>0</x:v>
      </x:c>
      <x:c r="F101" s="37" t="str">
        <x:v>22</x:v>
      </x:c>
      <x:c r="G101" s="37" t="str">
        <x:v>527.44</x:v>
      </x:c>
      <x:c r="H101" s="37" t="str">
        <x:v>0.00</x:v>
      </x:c>
      <x:c r="I101" s="37" t="str">
        <x:v>500.70</x:v>
      </x:c>
      <x:c r="J101" s="37" t="str">
        <x:v>0.00</x:v>
      </x:c>
      <x:c r="K101" s="37" t="str">
        <x:v>26.74</x:v>
      </x:c>
      <x:c r="L101" s="37" t="str">
        <x:v>733</x:v>
      </x:c>
      <x:c r="M101" s="29" t="str">
        <x:v>513.28</x:v>
      </x:c>
      <x:c r="N101" s="29" t="str">
        <x:v>365.40</x:v>
      </x:c>
      <x:c r="O101" s="29" t="str">
        <x:v>147.88</x:v>
      </x:c>
      <x:c r="P101" s="18" t="str">
        <x:v>2026-08-14</x:v>
      </x:c>
      <x:c r="Q101" s="36" t="n">
        <x:v>46248</x:v>
      </x:c>
    </x:row>
    <x:row r="102">
      <x:c r="A102" s="36" t="str">
        <x:v>2026-08-14</x:v>
      </x:c>
      <x:c r="B102" s="18" t="str">
        <x:v>101437000_99887</x:v>
      </x:c>
      <x:c r="C102" s="18" t="str">
        <x:v>【沪村小电】新南村河南小区充电站</x:v>
      </x:c>
      <x:c r="D102" s="37" t="str">
        <x:v>2</x:v>
      </x:c>
      <x:c r="E102" s="37" t="str">
        <x:v>0</x:v>
      </x:c>
      <x:c r="F102" s="37" t="str">
        <x:v>1</x:v>
      </x:c>
      <x:c r="G102" s="37" t="str">
        <x:v>33.21</x:v>
      </x:c>
      <x:c r="H102" s="37" t="str">
        <x:v>0.00</x:v>
      </x:c>
      <x:c r="I102" s="37" t="str">
        <x:v>0.00</x:v>
      </x:c>
      <x:c r="J102" s="37" t="str">
        <x:v>0.00</x:v>
      </x:c>
      <x:c r="K102" s="37" t="str">
        <x:v>33.21</x:v>
      </x:c>
      <x:c r="L102" s="37" t="str">
        <x:v>106</x:v>
      </x:c>
      <x:c r="M102" s="29" t="str">
        <x:v>17.60</x:v>
      </x:c>
      <x:c r="N102" s="29" t="str">
        <x:v>12.29</x:v>
      </x:c>
      <x:c r="O102" s="29" t="str">
        <x:v>5.31</x:v>
      </x:c>
      <x:c r="P102" s="18" t="str">
        <x:v>2026-08-14</x:v>
      </x:c>
      <x:c r="Q102" s="36" t="n">
        <x:v>46248</x:v>
      </x:c>
    </x:row>
    <x:row r="103">
      <x:c r="A103" s="36" t="str">
        <x:v>2026-08-14</x:v>
      </x:c>
      <x:c r="B103" s="18" t="str">
        <x:v>101437000_99889</x:v>
      </x:c>
      <x:c r="C103" s="18" t="str">
        <x:v>【沪村小电】漕泾郊野公园</x:v>
      </x:c>
      <x:c r="D103" s="37" t="str">
        <x:v>2</x:v>
      </x:c>
      <x:c r="E103" s="37" t="str">
        <x:v>0</x:v>
      </x:c>
      <x:c r="F103" s="37" t="str">
        <x:v>4</x:v>
      </x:c>
      <x:c r="G103" s="37" t="str">
        <x:v>106.38</x:v>
      </x:c>
      <x:c r="H103" s="37" t="str">
        <x:v>0.00</x:v>
      </x:c>
      <x:c r="I103" s="37" t="str">
        <x:v>106.38</x:v>
      </x:c>
      <x:c r="J103" s="37" t="str">
        <x:v>0.00</x:v>
      </x:c>
      <x:c r="K103" s="37" t="str">
        <x:v>0.00</x:v>
      </x:c>
      <x:c r="L103" s="37" t="str">
        <x:v>120</x:v>
      </x:c>
      <x:c r="M103" s="29" t="str">
        <x:v>127.68</x:v>
      </x:c>
      <x:c r="N103" s="29" t="str">
        <x:v>80.84</x:v>
      </x:c>
      <x:c r="O103" s="29" t="str">
        <x:v>46.84</x:v>
      </x:c>
      <x:c r="P103" s="18" t="str">
        <x:v>2026-08-14</x:v>
      </x:c>
      <x:c r="Q103" s="36" t="n">
        <x:v>46248</x:v>
      </x:c>
    </x:row>
    <x:row r="104">
      <x:c r="A104" s="36" t="str">
        <x:v>2026-08-14</x:v>
      </x:c>
      <x:c r="B104" s="18" t="str">
        <x:v>101437000_99891</x:v>
      </x:c>
      <x:c r="C104" s="18" t="str">
        <x:v>【沪村小电】水韵紫城充电站</x:v>
      </x:c>
      <x:c r="D104" s="37" t="str">
        <x:v>4</x:v>
      </x:c>
      <x:c r="E104" s="37" t="str">
        <x:v>0</x:v>
      </x:c>
      <x:c r="F104" s="37" t="str">
        <x:v>36</x:v>
      </x:c>
      <x:c r="G104" s="37" t="str">
        <x:v>835.00</x:v>
      </x:c>
      <x:c r="H104" s="37" t="str">
        <x:v>0.00</x:v>
      </x:c>
      <x:c r="I104" s="37" t="str">
        <x:v>550.49</x:v>
      </x:c>
      <x:c r="J104" s="37" t="str">
        <x:v>0.00</x:v>
      </x:c>
      <x:c r="K104" s="37" t="str">
        <x:v>284.51</x:v>
      </x:c>
      <x:c r="L104" s="37" t="str">
        <x:v>1255</x:v>
      </x:c>
      <x:c r="M104" s="29" t="str">
        <x:v>763.78</x:v>
      </x:c>
      <x:c r="N104" s="29" t="str">
        <x:v>496.13</x:v>
      </x:c>
      <x:c r="O104" s="29" t="str">
        <x:v>267.65</x:v>
      </x:c>
      <x:c r="P104" s="18" t="str">
        <x:v>2026-08-14</x:v>
      </x:c>
      <x:c r="Q104" s="36" t="n">
        <x:v>46248</x:v>
      </x:c>
    </x:row>
    <x:row r="105">
      <x:c r="A105" s="36" t="str">
        <x:v>2026-08-13</x:v>
      </x:c>
      <x:c r="B105" s="18" t="str">
        <x:v>101437000_100523</x:v>
      </x:c>
      <x:c r="C105" s="18" t="str">
        <x:v>【沪村小电】民旺苑南区</x:v>
      </x:c>
      <x:c r="D105" s="37" t="str">
        <x:v>4</x:v>
      </x:c>
      <x:c r="E105" s="37" t="str">
        <x:v>0</x:v>
      </x:c>
      <x:c r="F105" s="37" t="str">
        <x:v>4</x:v>
      </x:c>
      <x:c r="G105" s="37" t="str">
        <x:v>171.19</x:v>
      </x:c>
      <x:c r="H105" s="37" t="str">
        <x:v>0.00</x:v>
      </x:c>
      <x:c r="I105" s="37" t="str">
        <x:v>58.72</x:v>
      </x:c>
      <x:c r="J105" s="37" t="str">
        <x:v>0.00</x:v>
      </x:c>
      <x:c r="K105" s="37" t="str">
        <x:v>112.47</x:v>
      </x:c>
      <x:c r="L105" s="37" t="str">
        <x:v>225</x:v>
      </x:c>
      <x:c r="M105" s="29" t="str">
        <x:v>146.04</x:v>
      </x:c>
      <x:c r="N105" s="29" t="str">
        <x:v>94.55</x:v>
      </x:c>
      <x:c r="O105" s="29" t="str">
        <x:v>51.49</x:v>
      </x:c>
      <x:c r="P105" s="18" t="str">
        <x:v>2026-08-13</x:v>
      </x:c>
      <x:c r="Q105" s="36" t="n">
        <x:v>46247</x:v>
      </x:c>
    </x:row>
    <x:row r="106">
      <x:c r="A106" s="36" t="str">
        <x:v>2026-08-13</x:v>
      </x:c>
      <x:c r="B106" s="18" t="str">
        <x:v>101437000_101531</x:v>
      </x:c>
      <x:c r="C106" s="18" t="str">
        <x:v>【沪村小电】汇中苑充电站</x:v>
      </x:c>
      <x:c r="D106" s="37" t="str">
        <x:v>2</x:v>
      </x:c>
      <x:c r="E106" s="37" t="str">
        <x:v>0</x:v>
      </x:c>
      <x:c r="F106" s="37" t="str">
        <x:v>12</x:v>
      </x:c>
      <x:c r="G106" s="37" t="str">
        <x:v>188.18</x:v>
      </x:c>
      <x:c r="H106" s="37" t="str">
        <x:v>0.00</x:v>
      </x:c>
      <x:c r="I106" s="37" t="str">
        <x:v>0.00</x:v>
      </x:c>
      <x:c r="J106" s="37" t="str">
        <x:v>129.26</x:v>
      </x:c>
      <x:c r="K106" s="37" t="str">
        <x:v>58.93</x:v>
      </x:c>
      <x:c r="L106" s="37" t="str">
        <x:v>351</x:v>
      </x:c>
      <x:c r="M106" s="29" t="str">
        <x:v>204.62</x:v>
      </x:c>
      <x:c r="N106" s="29" t="str">
        <x:v>114.05</x:v>
      </x:c>
      <x:c r="O106" s="29" t="str">
        <x:v>90.57</x:v>
      </x:c>
      <x:c r="P106" s="18" t="str">
        <x:v>2026-08-13</x:v>
      </x:c>
      <x:c r="Q106" s="36" t="n">
        <x:v>46247</x:v>
      </x:c>
    </x:row>
    <x:row r="107">
      <x:c r="A107" s="36" t="str">
        <x:v>2026-08-13</x:v>
      </x:c>
      <x:c r="B107" s="18" t="str">
        <x:v>101437000_102047</x:v>
      </x:c>
      <x:c r="C107" s="18" t="str">
        <x:v>【沪村小电】后浜小区9弄小区南面停车场充电站</x:v>
      </x:c>
      <x:c r="D107" s="37" t="str">
        <x:v>8</x:v>
      </x:c>
      <x:c r="E107" s="37" t="str">
        <x:v>0</x:v>
      </x:c>
      <x:c r="F107" s="37" t="str">
        <x:v>62</x:v>
      </x:c>
      <x:c r="G107" s="37" t="str">
        <x:v>1356.35</x:v>
      </x:c>
      <x:c r="H107" s="37" t="str">
        <x:v>0.00</x:v>
      </x:c>
      <x:c r="I107" s="37" t="str">
        <x:v>904.51</x:v>
      </x:c>
      <x:c r="J107" s="37" t="str">
        <x:v>0.00</x:v>
      </x:c>
      <x:c r="K107" s="37" t="str">
        <x:v>451.84</x:v>
      </x:c>
      <x:c r="L107" s="37" t="str">
        <x:v>2121</x:v>
      </x:c>
      <x:c r="M107" s="29" t="str">
        <x:v>1402.53</x:v>
      </x:c>
      <x:c r="N107" s="29" t="str">
        <x:v>854.57</x:v>
      </x:c>
      <x:c r="O107" s="29" t="str">
        <x:v>547.96</x:v>
      </x:c>
      <x:c r="P107" s="18" t="str">
        <x:v>2026-08-13</x:v>
      </x:c>
      <x:c r="Q107" s="36" t="n">
        <x:v>46247</x:v>
      </x:c>
    </x:row>
    <x:row r="108">
      <x:c r="A108" s="36" t="str">
        <x:v>2026-08-13</x:v>
      </x:c>
      <x:c r="B108" s="18" t="str">
        <x:v>101437000_103503</x:v>
      </x:c>
      <x:c r="C108" s="18" t="str">
        <x:v>【沪村小电】阳光城新界充电站</x:v>
      </x:c>
      <x:c r="D108" s="37" t="str">
        <x:v>4</x:v>
      </x:c>
      <x:c r="E108" s="37" t="str">
        <x:v>0</x:v>
      </x:c>
      <x:c r="F108" s="37" t="str">
        <x:v>37</x:v>
      </x:c>
      <x:c r="G108" s="37" t="str">
        <x:v>784.75</x:v>
      </x:c>
      <x:c r="H108" s="37" t="str">
        <x:v>0.00</x:v>
      </x:c>
      <x:c r="I108" s="37" t="str">
        <x:v>533.76</x:v>
      </x:c>
      <x:c r="J108" s="37" t="str">
        <x:v>0.00</x:v>
      </x:c>
      <x:c r="K108" s="37" t="str">
        <x:v>250.99</x:v>
      </x:c>
      <x:c r="L108" s="37" t="str">
        <x:v>1185</x:v>
      </x:c>
      <x:c r="M108" s="29" t="str">
        <x:v>772.41</x:v>
      </x:c>
      <x:c r="N108" s="29" t="str">
        <x:v>516.69</x:v>
      </x:c>
      <x:c r="O108" s="29" t="str">
        <x:v>255.72</x:v>
      </x:c>
      <x:c r="P108" s="18" t="str">
        <x:v>2026-08-13</x:v>
      </x:c>
      <x:c r="Q108" s="36" t="n">
        <x:v>46247</x:v>
      </x:c>
    </x:row>
    <x:row r="109">
      <x:c r="A109" s="36" t="str">
        <x:v>2026-08-13</x:v>
      </x:c>
      <x:c r="B109" s="18" t="str">
        <x:v>101437000_41561</x:v>
      </x:c>
      <x:c r="C109" s="18" t="str">
        <x:v>【沪村小电】张施小区大门处快充站</x:v>
      </x:c>
      <x:c r="D109" s="37" t="str">
        <x:v>2</x:v>
      </x:c>
      <x:c r="E109" s="37" t="str">
        <x:v>0</x:v>
      </x:c>
      <x:c r="F109" s="37" t="str">
        <x:v>44</x:v>
      </x:c>
      <x:c r="G109" s="37" t="str">
        <x:v>1122.99</x:v>
      </x:c>
      <x:c r="H109" s="37" t="str">
        <x:v>0.00</x:v>
      </x:c>
      <x:c r="I109" s="37" t="str">
        <x:v>432.49</x:v>
      </x:c>
      <x:c r="J109" s="37" t="str">
        <x:v>0.00</x:v>
      </x:c>
      <x:c r="K109" s="37" t="str">
        <x:v>690.50</x:v>
      </x:c>
      <x:c r="L109" s="37" t="str">
        <x:v>1976</x:v>
      </x:c>
      <x:c r="M109" s="29" t="str">
        <x:v>848.30</x:v>
      </x:c>
      <x:c r="N109" s="29" t="str">
        <x:v>562.54</x:v>
      </x:c>
      <x:c r="O109" s="29" t="str">
        <x:v>285.76</x:v>
      </x:c>
      <x:c r="P109" s="18" t="str">
        <x:v>2026-08-13</x:v>
      </x:c>
      <x:c r="Q109" s="36" t="n">
        <x:v>46247</x:v>
      </x:c>
    </x:row>
    <x:row r="110">
      <x:c r="A110" s="36" t="str">
        <x:v>2026-08-13</x:v>
      </x:c>
      <x:c r="B110" s="18" t="str">
        <x:v>101437000_41563</x:v>
      </x:c>
      <x:c r="C110" s="18" t="str">
        <x:v>【沪村小电】同心村快充站</x:v>
      </x:c>
      <x:c r="D110" s="37" t="str">
        <x:v>4</x:v>
      </x:c>
      <x:c r="E110" s="37" t="str">
        <x:v>0</x:v>
      </x:c>
      <x:c r="F110" s="37" t="str">
        <x:v>53</x:v>
      </x:c>
      <x:c r="G110" s="37" t="str">
        <x:v>1329.81</x:v>
      </x:c>
      <x:c r="H110" s="37" t="str">
        <x:v>0.00</x:v>
      </x:c>
      <x:c r="I110" s="37" t="str">
        <x:v>816.74</x:v>
      </x:c>
      <x:c r="J110" s="37" t="str">
        <x:v>0.00</x:v>
      </x:c>
      <x:c r="K110" s="37" t="str">
        <x:v>513.07</x:v>
      </x:c>
      <x:c r="L110" s="37" t="str">
        <x:v>2170</x:v>
      </x:c>
      <x:c r="M110" s="29" t="str">
        <x:v>1196.47</x:v>
      </x:c>
      <x:c r="N110" s="29" t="str">
        <x:v>769.72</x:v>
      </x:c>
      <x:c r="O110" s="29" t="str">
        <x:v>426.75</x:v>
      </x:c>
      <x:c r="P110" s="18" t="str">
        <x:v>2026-08-13</x:v>
      </x:c>
      <x:c r="Q110" s="36" t="n">
        <x:v>46247</x:v>
      </x:c>
    </x:row>
    <x:row r="111">
      <x:c r="A111" s="36" t="str">
        <x:v>2026-08-13</x:v>
      </x:c>
      <x:c r="B111" s="18" t="str">
        <x:v>101437000_69629</x:v>
      </x:c>
      <x:c r="C111" s="18" t="str">
        <x:v>【沪村小电】骏丰玲珑坊西苑充电站</x:v>
      </x:c>
      <x:c r="D111" s="37" t="str">
        <x:v>2</x:v>
      </x:c>
      <x:c r="E111" s="37" t="str">
        <x:v>0</x:v>
      </x:c>
      <x:c r="F111" s="37" t="str">
        <x:v>72</x:v>
      </x:c>
      <x:c r="G111" s="37" t="str">
        <x:v>1687.54</x:v>
      </x:c>
      <x:c r="H111" s="37" t="str">
        <x:v>0.00</x:v>
      </x:c>
      <x:c r="I111" s="37" t="str">
        <x:v>988.76</x:v>
      </x:c>
      <x:c r="J111" s="37" t="str">
        <x:v>0.00</x:v>
      </x:c>
      <x:c r="K111" s="37" t="str">
        <x:v>698.78</x:v>
      </x:c>
      <x:c r="L111" s="37" t="str">
        <x:v>2932</x:v>
      </x:c>
      <x:c r="M111" s="29" t="str">
        <x:v>1392.29</x:v>
      </x:c>
      <x:c r="N111" s="29" t="str">
        <x:v>960.55</x:v>
      </x:c>
      <x:c r="O111" s="29" t="str">
        <x:v>431.74</x:v>
      </x:c>
      <x:c r="P111" s="18" t="str">
        <x:v>2026-08-13</x:v>
      </x:c>
      <x:c r="Q111" s="36" t="n">
        <x:v>46247</x:v>
      </x:c>
    </x:row>
    <x:row r="112">
      <x:c r="A112" s="36" t="str">
        <x:v>2026-08-13</x:v>
      </x:c>
      <x:c r="B112" s="18" t="str">
        <x:v>101437000_70547</x:v>
      </x:c>
      <x:c r="C112" s="18" t="str">
        <x:v>【沪村小电】农建村初心馆党群服务中心充电站</x:v>
      </x:c>
      <x:c r="D112" s="37" t="str">
        <x:v>4</x:v>
      </x:c>
      <x:c r="E112" s="37" t="str">
        <x:v>0</x:v>
      </x:c>
      <x:c r="F112" s="37" t="str">
        <x:v>29</x:v>
      </x:c>
      <x:c r="G112" s="37" t="str">
        <x:v>552.71</x:v>
      </x:c>
      <x:c r="H112" s="37" t="str">
        <x:v>0.00</x:v>
      </x:c>
      <x:c r="I112" s="37" t="str">
        <x:v>230.71</x:v>
      </x:c>
      <x:c r="J112" s="37" t="str">
        <x:v>0.00</x:v>
      </x:c>
      <x:c r="K112" s="37" t="str">
        <x:v>322.00</x:v>
      </x:c>
      <x:c r="L112" s="37" t="str">
        <x:v>1072</x:v>
      </x:c>
      <x:c r="M112" s="29" t="str">
        <x:v>500.10</x:v>
      </x:c>
      <x:c r="N112" s="29" t="str">
        <x:v>392.63</x:v>
      </x:c>
      <x:c r="O112" s="29" t="str">
        <x:v>107.47</x:v>
      </x:c>
      <x:c r="P112" s="18" t="str">
        <x:v>2026-08-13</x:v>
      </x:c>
      <x:c r="Q112" s="36" t="n">
        <x:v>46247</x:v>
      </x:c>
    </x:row>
    <x:row r="113">
      <x:c r="A113" s="36" t="str">
        <x:v>2026-08-13</x:v>
      </x:c>
      <x:c r="B113" s="18" t="str">
        <x:v>101437000_70549</x:v>
      </x:c>
      <x:c r="C113" s="18" t="str">
        <x:v>【沪村小电】学府路充电站</x:v>
      </x:c>
      <x:c r="D113" s="37" t="str">
        <x:v>2</x:v>
      </x:c>
      <x:c r="E113" s="37" t="str">
        <x:v>0</x:v>
      </x:c>
      <x:c r="F113" s="37" t="str">
        <x:v>8</x:v>
      </x:c>
      <x:c r="G113" s="37" t="str">
        <x:v>195.65</x:v>
      </x:c>
      <x:c r="H113" s="37" t="str">
        <x:v>0.00</x:v>
      </x:c>
      <x:c r="I113" s="37" t="str">
        <x:v>118.01</x:v>
      </x:c>
      <x:c r="J113" s="37" t="str">
        <x:v>0.00</x:v>
      </x:c>
      <x:c r="K113" s="37" t="str">
        <x:v>77.64</x:v>
      </x:c>
      <x:c r="L113" s="37" t="str">
        <x:v>327</x:v>
      </x:c>
      <x:c r="M113" s="29" t="str">
        <x:v>207.31</x:v>
      </x:c>
      <x:c r="N113" s="29" t="str">
        <x:v>156.42</x:v>
      </x:c>
      <x:c r="O113" s="29" t="str">
        <x:v>50.89</x:v>
      </x:c>
      <x:c r="P113" s="18" t="str">
        <x:v>2026-08-13</x:v>
      </x:c>
      <x:c r="Q113" s="36" t="n">
        <x:v>46247</x:v>
      </x:c>
    </x:row>
    <x:row r="114">
      <x:c r="A114" s="36" t="str">
        <x:v>2026-08-13</x:v>
      </x:c>
      <x:c r="B114" s="18" t="str">
        <x:v>101437000_71059</x:v>
      </x:c>
      <x:c r="C114" s="18" t="str">
        <x:v>【沪村小电】宝乐汇商业广场站</x:v>
      </x:c>
      <x:c r="D114" s="37" t="str">
        <x:v>4</x:v>
      </x:c>
      <x:c r="E114" s="37" t="str">
        <x:v>0</x:v>
      </x:c>
      <x:c r="F114" s="37" t="str">
        <x:v>17</x:v>
      </x:c>
      <x:c r="G114" s="37" t="str">
        <x:v>304.85</x:v>
      </x:c>
      <x:c r="H114" s="37" t="str">
        <x:v>0.00</x:v>
      </x:c>
      <x:c r="I114" s="37" t="str">
        <x:v>230.52</x:v>
      </x:c>
      <x:c r="J114" s="37" t="str">
        <x:v>0.00</x:v>
      </x:c>
      <x:c r="K114" s="37" t="str">
        <x:v>74.33</x:v>
      </x:c>
      <x:c r="L114" s="37" t="str">
        <x:v>526</x:v>
      </x:c>
      <x:c r="M114" s="29" t="str">
        <x:v>327.62</x:v>
      </x:c>
      <x:c r="N114" s="29" t="str">
        <x:v>241.66</x:v>
      </x:c>
      <x:c r="O114" s="29" t="str">
        <x:v>85.96</x:v>
      </x:c>
      <x:c r="P114" s="18" t="str">
        <x:v>2026-08-13</x:v>
      </x:c>
      <x:c r="Q114" s="36" t="n">
        <x:v>46247</x:v>
      </x:c>
    </x:row>
    <x:row r="115">
      <x:c r="A115" s="36" t="str">
        <x:v>2026-08-13</x:v>
      </x:c>
      <x:c r="B115" s="18" t="str">
        <x:v>101437000_72541</x:v>
      </x:c>
      <x:c r="C115" s="18" t="str">
        <x:v>【沪村小电】九干路1174弄充电站</x:v>
      </x:c>
      <x:c r="D115" s="37" t="str">
        <x:v>2</x:v>
      </x:c>
      <x:c r="E115" s="37" t="str">
        <x:v>0</x:v>
      </x:c>
      <x:c r="F115" s="37" t="str">
        <x:v>54</x:v>
      </x:c>
      <x:c r="G115" s="37" t="str">
        <x:v>1205.13</x:v>
      </x:c>
      <x:c r="H115" s="37" t="str">
        <x:v>0.00</x:v>
      </x:c>
      <x:c r="I115" s="37" t="str">
        <x:v>662.21</x:v>
      </x:c>
      <x:c r="J115" s="37" t="str">
        <x:v>0.00</x:v>
      </x:c>
      <x:c r="K115" s="37" t="str">
        <x:v>542.93</x:v>
      </x:c>
      <x:c r="L115" s="37" t="str">
        <x:v>1853</x:v>
      </x:c>
      <x:c r="M115" s="29" t="str">
        <x:v>1022.15</x:v>
      </x:c>
      <x:c r="N115" s="29" t="str">
        <x:v>671.08</x:v>
      </x:c>
      <x:c r="O115" s="29" t="str">
        <x:v>351.07</x:v>
      </x:c>
      <x:c r="P115" s="18" t="str">
        <x:v>2026-08-13</x:v>
      </x:c>
      <x:c r="Q115" s="36" t="n">
        <x:v>46247</x:v>
      </x:c>
    </x:row>
    <x:row r="116">
      <x:c r="A116" s="36" t="str">
        <x:v>2026-08-13</x:v>
      </x:c>
      <x:c r="B116" s="18" t="str">
        <x:v>101437000_72543</x:v>
      </x:c>
      <x:c r="C116" s="18" t="str">
        <x:v>【沪村小电】叶家中心村小区充电站</x:v>
      </x:c>
      <x:c r="D116" s="37" t="str">
        <x:v>2</x:v>
      </x:c>
      <x:c r="E116" s="37" t="str">
        <x:v>0</x:v>
      </x:c>
      <x:c r="F116" s="37" t="str">
        <x:v>38</x:v>
      </x:c>
      <x:c r="G116" s="37" t="str">
        <x:v>912.50</x:v>
      </x:c>
      <x:c r="H116" s="37" t="str">
        <x:v>0.00</x:v>
      </x:c>
      <x:c r="I116" s="37" t="str">
        <x:v>377.36</x:v>
      </x:c>
      <x:c r="J116" s="37" t="str">
        <x:v>0.00</x:v>
      </x:c>
      <x:c r="K116" s="37" t="str">
        <x:v>535.14</x:v>
      </x:c>
      <x:c r="L116" s="37" t="str">
        <x:v>1723</x:v>
      </x:c>
      <x:c r="M116" s="29" t="str">
        <x:v>650.97</x:v>
      </x:c>
      <x:c r="N116" s="29" t="str">
        <x:v>465.95</x:v>
      </x:c>
      <x:c r="O116" s="29" t="str">
        <x:v>185.02</x:v>
      </x:c>
      <x:c r="P116" s="18" t="str">
        <x:v>2026-08-13</x:v>
      </x:c>
      <x:c r="Q116" s="36" t="n">
        <x:v>46247</x:v>
      </x:c>
    </x:row>
    <x:row r="117">
      <x:c r="A117" s="36" t="str">
        <x:v>2026-08-13</x:v>
      </x:c>
      <x:c r="B117" s="18" t="str">
        <x:v>101437000_74223</x:v>
      </x:c>
      <x:c r="C117" s="18" t="str">
        <x:v>【沪村小电】中兴村委会充电站</x:v>
      </x:c>
      <x:c r="D117" s="37" t="str">
        <x:v>2</x:v>
      </x:c>
      <x:c r="E117" s="37" t="str">
        <x:v>0</x:v>
      </x:c>
      <x:c r="F117" s="37" t="str">
        <x:v>9</x:v>
      </x:c>
      <x:c r="G117" s="37" t="str">
        <x:v>196.64</x:v>
      </x:c>
      <x:c r="H117" s="37" t="str">
        <x:v>0.00</x:v>
      </x:c>
      <x:c r="I117" s="37" t="str">
        <x:v>100.79</x:v>
      </x:c>
      <x:c r="J117" s="37" t="str">
        <x:v>0.00</x:v>
      </x:c>
      <x:c r="K117" s="37" t="str">
        <x:v>95.86</x:v>
      </x:c>
      <x:c r="L117" s="37" t="str">
        <x:v>250</x:v>
      </x:c>
      <x:c r="M117" s="29" t="str">
        <x:v>184.74</x:v>
      </x:c>
      <x:c r="N117" s="29" t="str">
        <x:v>148.67</x:v>
      </x:c>
      <x:c r="O117" s="29" t="str">
        <x:v>36.07</x:v>
      </x:c>
      <x:c r="P117" s="18" t="str">
        <x:v>2026-08-13</x:v>
      </x:c>
      <x:c r="Q117" s="36" t="n">
        <x:v>46247</x:v>
      </x:c>
    </x:row>
    <x:row r="118">
      <x:c r="A118" s="36" t="str">
        <x:v>2026-08-13</x:v>
      </x:c>
      <x:c r="B118" s="18" t="str">
        <x:v>101437000_74801</x:v>
      </x:c>
      <x:c r="C118" s="18" t="str">
        <x:v>【沪村小电】申良花园充电站</x:v>
      </x:c>
      <x:c r="D118" s="37" t="str">
        <x:v>4</x:v>
      </x:c>
      <x:c r="E118" s="37" t="str">
        <x:v>0</x:v>
      </x:c>
      <x:c r="F118" s="37" t="str">
        <x:v>21</x:v>
      </x:c>
      <x:c r="G118" s="37" t="str">
        <x:v>320.97</x:v>
      </x:c>
      <x:c r="H118" s="37" t="str">
        <x:v>0.00</x:v>
      </x:c>
      <x:c r="I118" s="37" t="str">
        <x:v>277.88</x:v>
      </x:c>
      <x:c r="J118" s="37" t="str">
        <x:v>0.00</x:v>
      </x:c>
      <x:c r="K118" s="37" t="str">
        <x:v>43.09</x:v>
      </x:c>
      <x:c r="L118" s="37" t="str">
        <x:v>552</x:v>
      </x:c>
      <x:c r="M118" s="29" t="str">
        <x:v>331.45</x:v>
      </x:c>
      <x:c r="N118" s="29" t="str">
        <x:v>213.25</x:v>
      </x:c>
      <x:c r="O118" s="29" t="str">
        <x:v>118.20</x:v>
      </x:c>
      <x:c r="P118" s="18" t="str">
        <x:v>2026-08-13</x:v>
      </x:c>
      <x:c r="Q118" s="36" t="n">
        <x:v>46247</x:v>
      </x:c>
    </x:row>
    <x:row r="119">
      <x:c r="A119" s="36" t="str">
        <x:v>2026-08-13</x:v>
      </x:c>
      <x:c r="B119" s="18" t="str">
        <x:v>101437000_74931</x:v>
      </x:c>
      <x:c r="C119" s="18" t="str">
        <x:v>【沪村小电】枫雅南居充电站</x:v>
      </x:c>
      <x:c r="D119" s="37" t="str">
        <x:v>2</x:v>
      </x:c>
      <x:c r="E119" s="37" t="str">
        <x:v>0</x:v>
      </x:c>
      <x:c r="F119" s="37" t="str">
        <x:v>54</x:v>
      </x:c>
      <x:c r="G119" s="37" t="str">
        <x:v>1362.74</x:v>
      </x:c>
      <x:c r="H119" s="37" t="str">
        <x:v>0.00</x:v>
      </x:c>
      <x:c r="I119" s="37" t="str">
        <x:v>663.55</x:v>
      </x:c>
      <x:c r="J119" s="37" t="str">
        <x:v>0.00</x:v>
      </x:c>
      <x:c r="K119" s="37" t="str">
        <x:v>699.19</x:v>
      </x:c>
      <x:c r="L119" s="37" t="str">
        <x:v>2304</x:v>
      </x:c>
      <x:c r="M119" s="29" t="str">
        <x:v>931.14</x:v>
      </x:c>
      <x:c r="N119" s="29" t="str">
        <x:v>608.28</x:v>
      </x:c>
      <x:c r="O119" s="29" t="str">
        <x:v>322.86</x:v>
      </x:c>
      <x:c r="P119" s="18" t="str">
        <x:v>2026-08-13</x:v>
      </x:c>
      <x:c r="Q119" s="36" t="n">
        <x:v>46247</x:v>
      </x:c>
    </x:row>
    <x:row r="120">
      <x:c r="A120" s="36" t="str">
        <x:v>2026-08-13</x:v>
      </x:c>
      <x:c r="B120" s="18" t="str">
        <x:v>101437000_75901</x:v>
      </x:c>
      <x:c r="C120" s="18" t="str">
        <x:v>【沪村小电】金悦学府</x:v>
      </x:c>
      <x:c r="D120" s="37" t="str">
        <x:v>2</x:v>
      </x:c>
      <x:c r="E120" s="37" t="str">
        <x:v>0</x:v>
      </x:c>
      <x:c r="F120" s="37" t="str">
        <x:v>47</x:v>
      </x:c>
      <x:c r="G120" s="37" t="str">
        <x:v>1285.82</x:v>
      </x:c>
      <x:c r="H120" s="37" t="str">
        <x:v>0.00</x:v>
      </x:c>
      <x:c r="I120" s="37" t="str">
        <x:v>521.18</x:v>
      </x:c>
      <x:c r="J120" s="37" t="str">
        <x:v>0.00</x:v>
      </x:c>
      <x:c r="K120" s="37" t="str">
        <x:v>764.64</x:v>
      </x:c>
      <x:c r="L120" s="37" t="str">
        <x:v>1913</x:v>
      </x:c>
      <x:c r="M120" s="29" t="str">
        <x:v>942.16</x:v>
      </x:c>
      <x:c r="N120" s="29" t="str">
        <x:v>544.52</x:v>
      </x:c>
      <x:c r="O120" s="29" t="str">
        <x:v>397.64</x:v>
      </x:c>
      <x:c r="P120" s="18" t="str">
        <x:v>2026-08-13</x:v>
      </x:c>
      <x:c r="Q120" s="36" t="n">
        <x:v>46247</x:v>
      </x:c>
    </x:row>
    <x:row r="121">
      <x:c r="A121" s="36" t="str">
        <x:v>2026-08-13</x:v>
      </x:c>
      <x:c r="B121" s="18" t="str">
        <x:v>101437000_76091</x:v>
      </x:c>
      <x:c r="C121" s="18" t="str">
        <x:v>【沪村小电】恒信家园充电站</x:v>
      </x:c>
      <x:c r="D121" s="37" t="str">
        <x:v>2</x:v>
      </x:c>
      <x:c r="E121" s="37" t="str">
        <x:v>0</x:v>
      </x:c>
      <x:c r="F121" s="37" t="str">
        <x:v>36</x:v>
      </x:c>
      <x:c r="G121" s="37" t="str">
        <x:v>812.96</x:v>
      </x:c>
      <x:c r="H121" s="37" t="str">
        <x:v>0.00</x:v>
      </x:c>
      <x:c r="I121" s="37" t="str">
        <x:v>543.18</x:v>
      </x:c>
      <x:c r="J121" s="37" t="str">
        <x:v>0.00</x:v>
      </x:c>
      <x:c r="K121" s="37" t="str">
        <x:v>269.78</x:v>
      </x:c>
      <x:c r="L121" s="37" t="str">
        <x:v>1352</x:v>
      </x:c>
      <x:c r="M121" s="29" t="str">
        <x:v>795.37</x:v>
      </x:c>
      <x:c r="N121" s="29" t="str">
        <x:v>485.47</x:v>
      </x:c>
      <x:c r="O121" s="29" t="str">
        <x:v>309.90</x:v>
      </x:c>
      <x:c r="P121" s="18" t="str">
        <x:v>2026-08-13</x:v>
      </x:c>
      <x:c r="Q121" s="36" t="n">
        <x:v>46247</x:v>
      </x:c>
    </x:row>
    <x:row r="122">
      <x:c r="A122" s="36" t="str">
        <x:v>2026-08-13</x:v>
      </x:c>
      <x:c r="B122" s="18" t="str">
        <x:v>101437000_76417</x:v>
      </x:c>
      <x:c r="C122" s="18" t="str">
        <x:v>【沪村小电】新春一组充电站</x:v>
      </x:c>
      <x:c r="D122" s="37" t="str">
        <x:v>2</x:v>
      </x:c>
      <x:c r="E122" s="37" t="str">
        <x:v>0</x:v>
      </x:c>
      <x:c r="F122" s="37" t="str">
        <x:v>16</x:v>
      </x:c>
      <x:c r="G122" s="37" t="str">
        <x:v>407.43</x:v>
      </x:c>
      <x:c r="H122" s="37" t="str">
        <x:v>0.00</x:v>
      </x:c>
      <x:c r="I122" s="37" t="str">
        <x:v>202.82</x:v>
      </x:c>
      <x:c r="J122" s="37" t="str">
        <x:v>0.00</x:v>
      </x:c>
      <x:c r="K122" s="37" t="str">
        <x:v>204.61</x:v>
      </x:c>
      <x:c r="L122" s="37" t="str">
        <x:v>544</x:v>
      </x:c>
      <x:c r="M122" s="29" t="str">
        <x:v>401.74</x:v>
      </x:c>
      <x:c r="N122" s="29" t="str">
        <x:v>305.15</x:v>
      </x:c>
      <x:c r="O122" s="29" t="str">
        <x:v>96.59</x:v>
      </x:c>
      <x:c r="P122" s="18" t="str">
        <x:v>2026-08-13</x:v>
      </x:c>
      <x:c r="Q122" s="36" t="n">
        <x:v>46247</x:v>
      </x:c>
    </x:row>
    <x:row r="123">
      <x:c r="A123" s="36" t="str">
        <x:v>2026-08-13</x:v>
      </x:c>
      <x:c r="B123" s="18" t="str">
        <x:v>101437000_78235</x:v>
      </x:c>
      <x:c r="C123" s="18" t="str">
        <x:v>【沪村小电】欣秋苑充电站</x:v>
      </x:c>
      <x:c r="D123" s="37" t="str">
        <x:v>4</x:v>
      </x:c>
      <x:c r="E123" s="37" t="str">
        <x:v>0</x:v>
      </x:c>
      <x:c r="F123" s="37" t="str">
        <x:v>23</x:v>
      </x:c>
      <x:c r="G123" s="37" t="str">
        <x:v>577.43</x:v>
      </x:c>
      <x:c r="H123" s="37" t="str">
        <x:v>0.00</x:v>
      </x:c>
      <x:c r="I123" s="37" t="str">
        <x:v>383.23</x:v>
      </x:c>
      <x:c r="J123" s="37" t="str">
        <x:v>0.00</x:v>
      </x:c>
      <x:c r="K123" s="37" t="str">
        <x:v>194.20</x:v>
      </x:c>
      <x:c r="L123" s="37" t="str">
        <x:v>1043</x:v>
      </x:c>
      <x:c r="M123" s="29" t="str">
        <x:v>528.68</x:v>
      </x:c>
      <x:c r="N123" s="29" t="str">
        <x:v>343.96</x:v>
      </x:c>
      <x:c r="O123" s="29" t="str">
        <x:v>184.72</x:v>
      </x:c>
      <x:c r="P123" s="18" t="str">
        <x:v>2026-08-13</x:v>
      </x:c>
      <x:c r="Q123" s="36" t="n">
        <x:v>46247</x:v>
      </x:c>
    </x:row>
    <x:row r="124">
      <x:c r="A124" s="36" t="str">
        <x:v>2026-08-13</x:v>
      </x:c>
      <x:c r="B124" s="18" t="str">
        <x:v>101437000_78237</x:v>
      </x:c>
      <x:c r="C124" s="18" t="str">
        <x:v>【沪村小电】奉馨苑西门小区内北侧充电站</x:v>
      </x:c>
      <x:c r="D124" s="37" t="str">
        <x:v>2</x:v>
      </x:c>
      <x:c r="E124" s="37" t="str">
        <x:v>0</x:v>
      </x:c>
      <x:c r="F124" s="37" t="str">
        <x:v>32</x:v>
      </x:c>
      <x:c r="G124" s="37" t="str">
        <x:v>871.50</x:v>
      </x:c>
      <x:c r="H124" s="37" t="str">
        <x:v>8.54</x:v>
      </x:c>
      <x:c r="I124" s="37" t="str">
        <x:v>145.49</x:v>
      </x:c>
      <x:c r="J124" s="37" t="str">
        <x:v>316.70</x:v>
      </x:c>
      <x:c r="K124" s="37" t="str">
        <x:v>400.76</x:v>
      </x:c>
      <x:c r="L124" s="37" t="str">
        <x:v>1348</x:v>
      </x:c>
      <x:c r="M124" s="29" t="str">
        <x:v>722.72</x:v>
      </x:c>
      <x:c r="N124" s="29" t="str">
        <x:v>554.02</x:v>
      </x:c>
      <x:c r="O124" s="29" t="str">
        <x:v>168.70</x:v>
      </x:c>
      <x:c r="P124" s="18" t="str">
        <x:v>2026-08-13</x:v>
      </x:c>
      <x:c r="Q124" s="36" t="n">
        <x:v>46247</x:v>
      </x:c>
    </x:row>
    <x:row r="125">
      <x:c r="A125" s="36" t="str">
        <x:v>2026-08-13</x:v>
      </x:c>
      <x:c r="B125" s="18" t="str">
        <x:v>101437000_80823</x:v>
      </x:c>
      <x:c r="C125" s="18" t="str">
        <x:v>【沪村小电】上湖轩充电站</x:v>
      </x:c>
      <x:c r="D125" s="37" t="str">
        <x:v>2</x:v>
      </x:c>
      <x:c r="E125" s="37" t="str">
        <x:v>0</x:v>
      </x:c>
      <x:c r="F125" s="37" t="str">
        <x:v>5</x:v>
      </x:c>
      <x:c r="G125" s="37" t="str">
        <x:v>101.19</x:v>
      </x:c>
      <x:c r="H125" s="37" t="str">
        <x:v>0.00</x:v>
      </x:c>
      <x:c r="I125" s="37" t="str">
        <x:v>12.76</x:v>
      </x:c>
      <x:c r="J125" s="37" t="str">
        <x:v>31.60</x:v>
      </x:c>
      <x:c r="K125" s="37" t="str">
        <x:v>56.82</x:v>
      </x:c>
      <x:c r="L125" s="37" t="str">
        <x:v>201</x:v>
      </x:c>
      <x:c r="M125" s="29" t="str">
        <x:v>83.49</x:v>
      </x:c>
      <x:c r="N125" s="29" t="str">
        <x:v>70.84</x:v>
      </x:c>
      <x:c r="O125" s="29" t="str">
        <x:v>12.65</x:v>
      </x:c>
      <x:c r="P125" s="18" t="str">
        <x:v>2026-08-13</x:v>
      </x:c>
      <x:c r="Q125" s="36" t="n">
        <x:v>46247</x:v>
      </x:c>
    </x:row>
    <x:row r="126">
      <x:c r="A126" s="36" t="str">
        <x:v>2026-08-13</x:v>
      </x:c>
      <x:c r="B126" s="18" t="str">
        <x:v>101437000_83019</x:v>
      </x:c>
      <x:c r="C126" s="18" t="str">
        <x:v>【沪村小电】首创禧瑞云启东区充电站</x:v>
      </x:c>
      <x:c r="D126" s="37" t="str">
        <x:v>2</x:v>
      </x:c>
      <x:c r="E126" s="37" t="str">
        <x:v>0</x:v>
      </x:c>
      <x:c r="F126" s="37" t="str">
        <x:v>35</x:v>
      </x:c>
      <x:c r="G126" s="37" t="str">
        <x:v>898.31</x:v>
      </x:c>
      <x:c r="H126" s="37" t="str">
        <x:v>0.00</x:v>
      </x:c>
      <x:c r="I126" s="37" t="str">
        <x:v>538.79</x:v>
      </x:c>
      <x:c r="J126" s="37" t="str">
        <x:v>0.00</x:v>
      </x:c>
      <x:c r="K126" s="37" t="str">
        <x:v>359.52</x:v>
      </x:c>
      <x:c r="L126" s="37" t="str">
        <x:v>1068</x:v>
      </x:c>
      <x:c r="M126" s="29" t="str">
        <x:v>787.00</x:v>
      </x:c>
      <x:c r="N126" s="29" t="str">
        <x:v>515.57</x:v>
      </x:c>
      <x:c r="O126" s="29" t="str">
        <x:v>271.43</x:v>
      </x:c>
      <x:c r="P126" s="18" t="str">
        <x:v>2026-08-13</x:v>
      </x:c>
      <x:c r="Q126" s="36" t="n">
        <x:v>46247</x:v>
      </x:c>
    </x:row>
    <x:row r="127">
      <x:c r="A127" s="36" t="str">
        <x:v>2026-08-13</x:v>
      </x:c>
      <x:c r="B127" s="18" t="str">
        <x:v>101437000_83093</x:v>
      </x:c>
      <x:c r="C127" s="18" t="str">
        <x:v>【沪村小电】金茂未来时光里</x:v>
      </x:c>
      <x:c r="D127" s="37" t="str">
        <x:v>2</x:v>
      </x:c>
      <x:c r="E127" s="37" t="str">
        <x:v>0</x:v>
      </x:c>
      <x:c r="F127" s="37" t="str">
        <x:v>51</x:v>
      </x:c>
      <x:c r="G127" s="37" t="str">
        <x:v>2004.92</x:v>
      </x:c>
      <x:c r="H127" s="37" t="str">
        <x:v>0.00</x:v>
      </x:c>
      <x:c r="I127" s="37" t="str">
        <x:v>927.55</x:v>
      </x:c>
      <x:c r="J127" s="37" t="str">
        <x:v>0.00</x:v>
      </x:c>
      <x:c r="K127" s="37" t="str">
        <x:v>1077.37</x:v>
      </x:c>
      <x:c r="L127" s="37" t="str">
        <x:v>2769</x:v>
      </x:c>
      <x:c r="M127" s="29" t="str">
        <x:v>1314.70</x:v>
      </x:c>
      <x:c r="N127" s="29" t="str">
        <x:v>881.21</x:v>
      </x:c>
      <x:c r="O127" s="29" t="str">
        <x:v>433.49</x:v>
      </x:c>
      <x:c r="P127" s="18" t="str">
        <x:v>2026-08-13</x:v>
      </x:c>
      <x:c r="Q127" s="36" t="n">
        <x:v>46247</x:v>
      </x:c>
    </x:row>
    <x:row r="128">
      <x:c r="A128" s="36" t="str">
        <x:v>2026-08-13</x:v>
      </x:c>
      <x:c r="B128" s="18" t="str">
        <x:v>101437000_83911</x:v>
      </x:c>
      <x:c r="C128" s="18" t="str">
        <x:v>【沪村小电】金瀚园充电站</x:v>
      </x:c>
      <x:c r="D128" s="37" t="str">
        <x:v>2</x:v>
      </x:c>
      <x:c r="E128" s="37" t="str">
        <x:v>0</x:v>
      </x:c>
      <x:c r="F128" s="37" t="str">
        <x:v>51</x:v>
      </x:c>
      <x:c r="G128" s="37" t="str">
        <x:v>1338.97</x:v>
      </x:c>
      <x:c r="H128" s="37" t="str">
        <x:v>0.00</x:v>
      </x:c>
      <x:c r="I128" s="37" t="str">
        <x:v>697.91</x:v>
      </x:c>
      <x:c r="J128" s="37" t="str">
        <x:v>0.00</x:v>
      </x:c>
      <x:c r="K128" s="37" t="str">
        <x:v>641.06</x:v>
      </x:c>
      <x:c r="L128" s="37" t="str">
        <x:v>1883</x:v>
      </x:c>
      <x:c r="M128" s="29" t="str">
        <x:v>1146.38</x:v>
      </x:c>
      <x:c r="N128" s="29" t="str">
        <x:v>732.73</x:v>
      </x:c>
      <x:c r="O128" s="29" t="str">
        <x:v>413.65</x:v>
      </x:c>
      <x:c r="P128" s="18" t="str">
        <x:v>2026-08-13</x:v>
      </x:c>
      <x:c r="Q128" s="36" t="n">
        <x:v>46247</x:v>
      </x:c>
    </x:row>
    <x:row r="129">
      <x:c r="A129" s="36" t="str">
        <x:v>2026-08-13</x:v>
      </x:c>
      <x:c r="B129" s="18" t="str">
        <x:v>101437000_83913</x:v>
      </x:c>
      <x:c r="C129" s="18" t="str">
        <x:v>【沪村小电】新黎村充电站</x:v>
      </x:c>
      <x:c r="D129" s="37" t="str">
        <x:v>2</x:v>
      </x:c>
      <x:c r="E129" s="37" t="str">
        <x:v>0</x:v>
      </x:c>
      <x:c r="F129" s="37" t="str">
        <x:v>32</x:v>
      </x:c>
      <x:c r="G129" s="37" t="str">
        <x:v>645.31</x:v>
      </x:c>
      <x:c r="H129" s="37" t="str">
        <x:v>0.00</x:v>
      </x:c>
      <x:c r="I129" s="37" t="str">
        <x:v>447.77</x:v>
      </x:c>
      <x:c r="J129" s="37" t="str">
        <x:v>0.00</x:v>
      </x:c>
      <x:c r="K129" s="37" t="str">
        <x:v>197.54</x:v>
      </x:c>
      <x:c r="L129" s="37" t="str">
        <x:v>805</x:v>
      </x:c>
      <x:c r="M129" s="29" t="str">
        <x:v>691.24</x:v>
      </x:c>
      <x:c r="N129" s="29" t="str">
        <x:v>544.05</x:v>
      </x:c>
      <x:c r="O129" s="29" t="str">
        <x:v>147.19</x:v>
      </x:c>
      <x:c r="P129" s="18" t="str">
        <x:v>2026-08-13</x:v>
      </x:c>
      <x:c r="Q129" s="36" t="n">
        <x:v>46247</x:v>
      </x:c>
    </x:row>
    <x:row r="130">
      <x:c r="A130" s="36" t="str">
        <x:v>2026-08-13</x:v>
      </x:c>
      <x:c r="B130" s="18" t="str">
        <x:v>101437000_83915</x:v>
      </x:c>
      <x:c r="C130" s="18" t="str">
        <x:v>【沪村小电】长泰西郊别墅充电站</x:v>
      </x:c>
      <x:c r="D130" s="37" t="str">
        <x:v>2</x:v>
      </x:c>
      <x:c r="E130" s="37" t="str">
        <x:v>0</x:v>
      </x:c>
      <x:c r="F130" s="37" t="str">
        <x:v>21</x:v>
      </x:c>
      <x:c r="G130" s="37" t="str">
        <x:v>563.25</x:v>
      </x:c>
      <x:c r="H130" s="37" t="str">
        <x:v>0.00</x:v>
      </x:c>
      <x:c r="I130" s="37" t="str">
        <x:v>421.62</x:v>
      </x:c>
      <x:c r="J130" s="37" t="str">
        <x:v>0.00</x:v>
      </x:c>
      <x:c r="K130" s="37" t="str">
        <x:v>141.63</x:v>
      </x:c>
      <x:c r="L130" s="37" t="str">
        <x:v>688</x:v>
      </x:c>
      <x:c r="M130" s="29" t="str">
        <x:v>588.33</x:v>
      </x:c>
      <x:c r="N130" s="29" t="str">
        <x:v>351.77</x:v>
      </x:c>
      <x:c r="O130" s="29" t="str">
        <x:v>236.56</x:v>
      </x:c>
      <x:c r="P130" s="18" t="str">
        <x:v>2026-08-13</x:v>
      </x:c>
      <x:c r="Q130" s="36" t="n">
        <x:v>46247</x:v>
      </x:c>
    </x:row>
    <x:row r="131">
      <x:c r="A131" s="36" t="str">
        <x:v>2026-08-13</x:v>
      </x:c>
      <x:c r="B131" s="18" t="str">
        <x:v>101437000_83917</x:v>
      </x:c>
      <x:c r="C131" s="18" t="str">
        <x:v>【沪村小电】旭新华庭充电站</x:v>
      </x:c>
      <x:c r="D131" s="37" t="str">
        <x:v>4</x:v>
      </x:c>
      <x:c r="E131" s="37" t="str">
        <x:v>0</x:v>
      </x:c>
      <x:c r="F131" s="37" t="str">
        <x:v>45</x:v>
      </x:c>
      <x:c r="G131" s="37" t="str">
        <x:v>1308.32</x:v>
      </x:c>
      <x:c r="H131" s="37" t="str">
        <x:v>0.00</x:v>
      </x:c>
      <x:c r="I131" s="37" t="str">
        <x:v>998.29</x:v>
      </x:c>
      <x:c r="J131" s="37" t="str">
        <x:v>0.00</x:v>
      </x:c>
      <x:c r="K131" s="37" t="str">
        <x:v>310.02</x:v>
      </x:c>
      <x:c r="L131" s="37" t="str">
        <x:v>1839</x:v>
      </x:c>
      <x:c r="M131" s="29" t="str">
        <x:v>1386.80</x:v>
      </x:c>
      <x:c r="N131" s="29" t="str">
        <x:v>823.50</x:v>
      </x:c>
      <x:c r="O131" s="29" t="str">
        <x:v>563.30</x:v>
      </x:c>
      <x:c r="P131" s="18" t="str">
        <x:v>2026-08-13</x:v>
      </x:c>
      <x:c r="Q131" s="36" t="n">
        <x:v>46247</x:v>
      </x:c>
    </x:row>
    <x:row r="132">
      <x:c r="A132" s="36" t="str">
        <x:v>2026-08-13</x:v>
      </x:c>
      <x:c r="B132" s="18" t="str">
        <x:v>101437000_83919</x:v>
      </x:c>
      <x:c r="C132" s="18" t="str">
        <x:v>【沪村小电】浦锦名仕嘉园充电站</x:v>
      </x:c>
      <x:c r="D132" s="37" t="str">
        <x:v>4</x:v>
      </x:c>
      <x:c r="E132" s="37" t="str">
        <x:v>0</x:v>
      </x:c>
      <x:c r="F132" s="37" t="str">
        <x:v>40</x:v>
      </x:c>
      <x:c r="G132" s="37" t="str">
        <x:v>915.34</x:v>
      </x:c>
      <x:c r="H132" s="37" t="str">
        <x:v>0.00</x:v>
      </x:c>
      <x:c r="I132" s="37" t="str">
        <x:v>0.00</x:v>
      </x:c>
      <x:c r="J132" s="37" t="str">
        <x:v>915.34</x:v>
      </x:c>
      <x:c r="K132" s="37" t="str">
        <x:v>0.00</x:v>
      </x:c>
      <x:c r="L132" s="37" t="str">
        <x:v>1307</x:v>
      </x:c>
      <x:c r="M132" s="29" t="str">
        <x:v>963.63</x:v>
      </x:c>
      <x:c r="N132" s="29" t="str">
        <x:v>640.73</x:v>
      </x:c>
      <x:c r="O132" s="29" t="str">
        <x:v>322.90</x:v>
      </x:c>
      <x:c r="P132" s="18" t="str">
        <x:v>2026-08-13</x:v>
      </x:c>
      <x:c r="Q132" s="36" t="n">
        <x:v>46247</x:v>
      </x:c>
    </x:row>
    <x:row r="133">
      <x:c r="A133" s="36" t="str">
        <x:v>2026-08-13</x:v>
      </x:c>
      <x:c r="B133" s="18" t="str">
        <x:v>101437000_83921</x:v>
      </x:c>
      <x:c r="C133" s="18" t="str">
        <x:v>【沪村小电】上海联怡枇杷乐园充电站（地库）</x:v>
      </x:c>
      <x:c r="D133" s="37" t="str">
        <x:v>8</x:v>
      </x:c>
      <x:c r="E133" s="37" t="str">
        <x:v>0</x:v>
      </x:c>
      <x:c r="F133" s="37" t="str">
        <x:v>4</x:v>
      </x:c>
      <x:c r="G133" s="37" t="str">
        <x:v>82.77</x:v>
      </x:c>
      <x:c r="H133" s="37" t="str">
        <x:v>0.00</x:v>
      </x:c>
      <x:c r="I133" s="37" t="str">
        <x:v>0.00</x:v>
      </x:c>
      <x:c r="J133" s="37" t="str">
        <x:v>14.73</x:v>
      </x:c>
      <x:c r="K133" s="37" t="str">
        <x:v>68.04</x:v>
      </x:c>
      <x:c r="L133" s="37" t="str">
        <x:v>154</x:v>
      </x:c>
      <x:c r="M133" s="29" t="str">
        <x:v>63.86</x:v>
      </x:c>
      <x:c r="N133" s="29" t="str">
        <x:v>53.35</x:v>
      </x:c>
      <x:c r="O133" s="29" t="str">
        <x:v>10.51</x:v>
      </x:c>
      <x:c r="P133" s="18" t="str">
        <x:v>2026-08-13</x:v>
      </x:c>
      <x:c r="Q133" s="36" t="n">
        <x:v>46247</x:v>
      </x:c>
    </x:row>
    <x:row r="134">
      <x:c r="A134" s="36" t="str">
        <x:v>2026-08-13</x:v>
      </x:c>
      <x:c r="B134" s="18" t="str">
        <x:v>101437000_83923</x:v>
      </x:c>
      <x:c r="C134" s="18" t="str">
        <x:v>【沪村小电】明珠新苑充电站</x:v>
      </x:c>
      <x:c r="D134" s="37" t="str">
        <x:v>2</x:v>
      </x:c>
      <x:c r="E134" s="37" t="str">
        <x:v>0</x:v>
      </x:c>
      <x:c r="F134" s="37" t="str">
        <x:v>34</x:v>
      </x:c>
      <x:c r="G134" s="37" t="str">
        <x:v>834.87</x:v>
      </x:c>
      <x:c r="H134" s="37" t="str">
        <x:v>0.00</x:v>
      </x:c>
      <x:c r="I134" s="37" t="str">
        <x:v>552.40</x:v>
      </x:c>
      <x:c r="J134" s="37" t="str">
        <x:v>0.00</x:v>
      </x:c>
      <x:c r="K134" s="37" t="str">
        <x:v>282.47</x:v>
      </x:c>
      <x:c r="L134" s="37" t="str">
        <x:v>1107</x:v>
      </x:c>
      <x:c r="M134" s="29" t="str">
        <x:v>795.02</x:v>
      </x:c>
      <x:c r="N134" s="29" t="str">
        <x:v>496.71</x:v>
      </x:c>
      <x:c r="O134" s="29" t="str">
        <x:v>298.31</x:v>
      </x:c>
      <x:c r="P134" s="18" t="str">
        <x:v>2026-08-13</x:v>
      </x:c>
      <x:c r="Q134" s="36" t="n">
        <x:v>46247</x:v>
      </x:c>
    </x:row>
    <x:row r="135">
      <x:c r="A135" s="36" t="str">
        <x:v>2026-08-13</x:v>
      </x:c>
      <x:c r="B135" s="18" t="str">
        <x:v>101437000_84289</x:v>
      </x:c>
      <x:c r="C135" s="18" t="str">
        <x:v>【沪村小电】铁建芳华苑充电站</x:v>
      </x:c>
      <x:c r="D135" s="37" t="str">
        <x:v>4</x:v>
      </x:c>
      <x:c r="E135" s="37" t="str">
        <x:v>0</x:v>
      </x:c>
      <x:c r="F135" s="37" t="str">
        <x:v>51</x:v>
      </x:c>
      <x:c r="G135" s="37" t="str">
        <x:v>1368.52</x:v>
      </x:c>
      <x:c r="H135" s="37" t="str">
        <x:v>0.00</x:v>
      </x:c>
      <x:c r="I135" s="37" t="str">
        <x:v>802.81</x:v>
      </x:c>
      <x:c r="J135" s="37" t="str">
        <x:v>0.00</x:v>
      </x:c>
      <x:c r="K135" s="37" t="str">
        <x:v>565.71</x:v>
      </x:c>
      <x:c r="L135" s="37" t="str">
        <x:v>2026</x:v>
      </x:c>
      <x:c r="M135" s="29" t="str">
        <x:v>1194.63</x:v>
      </x:c>
      <x:c r="N135" s="29" t="str">
        <x:v>779.31</x:v>
      </x:c>
      <x:c r="O135" s="29" t="str">
        <x:v>415.32</x:v>
      </x:c>
      <x:c r="P135" s="18" t="str">
        <x:v>2026-08-13</x:v>
      </x:c>
      <x:c r="Q135" s="36" t="n">
        <x:v>46247</x:v>
      </x:c>
    </x:row>
    <x:row r="136">
      <x:c r="A136" s="36" t="str">
        <x:v>2026-08-13</x:v>
      </x:c>
      <x:c r="B136" s="18" t="str">
        <x:v>101437000_86379</x:v>
      </x:c>
      <x:c r="C136" s="18" t="str">
        <x:v>【沪村小电】新宝社区充电站</x:v>
      </x:c>
      <x:c r="D136" s="37" t="str">
        <x:v>4</x:v>
      </x:c>
      <x:c r="E136" s="37" t="str">
        <x:v>0</x:v>
      </x:c>
      <x:c r="F136" s="37" t="str">
        <x:v>42</x:v>
      </x:c>
      <x:c r="G136" s="37" t="str">
        <x:v>870.73</x:v>
      </x:c>
      <x:c r="H136" s="37" t="str">
        <x:v>0.00</x:v>
      </x:c>
      <x:c r="I136" s="37" t="str">
        <x:v>591.45</x:v>
      </x:c>
      <x:c r="J136" s="37" t="str">
        <x:v>0.00</x:v>
      </x:c>
      <x:c r="K136" s="37" t="str">
        <x:v>279.28</x:v>
      </x:c>
      <x:c r="L136" s="37" t="str">
        <x:v>1377</x:v>
      </x:c>
      <x:c r="M136" s="29" t="str">
        <x:v>806.49</x:v>
      </x:c>
      <x:c r="N136" s="29" t="str">
        <x:v>523.25</x:v>
      </x:c>
      <x:c r="O136" s="29" t="str">
        <x:v>283.24</x:v>
      </x:c>
      <x:c r="P136" s="18" t="str">
        <x:v>2026-08-13</x:v>
      </x:c>
      <x:c r="Q136" s="36" t="n">
        <x:v>46247</x:v>
      </x:c>
    </x:row>
    <x:row r="137">
      <x:c r="A137" s="36" t="str">
        <x:v>2026-08-13</x:v>
      </x:c>
      <x:c r="B137" s="18" t="str">
        <x:v>101437000_89441</x:v>
      </x:c>
      <x:c r="C137" s="18" t="str">
        <x:v>【沪村小电】首创禧瑞云启西区充电站</x:v>
      </x:c>
      <x:c r="D137" s="37" t="str">
        <x:v>2</x:v>
      </x:c>
      <x:c r="E137" s="37" t="str">
        <x:v>0</x:v>
      </x:c>
      <x:c r="F137" s="37" t="str">
        <x:v>31</x:v>
      </x:c>
      <x:c r="G137" s="37" t="str">
        <x:v>742.05</x:v>
      </x:c>
      <x:c r="H137" s="37" t="str">
        <x:v>0.00</x:v>
      </x:c>
      <x:c r="I137" s="37" t="str">
        <x:v>464.52</x:v>
      </x:c>
      <x:c r="J137" s="37" t="str">
        <x:v>0.00</x:v>
      </x:c>
      <x:c r="K137" s="37" t="str">
        <x:v>277.53</x:v>
      </x:c>
      <x:c r="L137" s="37" t="str">
        <x:v>1109</x:v>
      </x:c>
      <x:c r="M137" s="29" t="str">
        <x:v>709.76</x:v>
      </x:c>
      <x:c r="N137" s="29" t="str">
        <x:v>432.49</x:v>
      </x:c>
      <x:c r="O137" s="29" t="str">
        <x:v>277.27</x:v>
      </x:c>
      <x:c r="P137" s="18" t="str">
        <x:v>2026-08-13</x:v>
      </x:c>
      <x:c r="Q137" s="36" t="n">
        <x:v>46247</x:v>
      </x:c>
    </x:row>
    <x:row r="138">
      <x:c r="A138" s="36" t="str">
        <x:v>2026-08-13</x:v>
      </x:c>
      <x:c r="B138" s="18" t="str">
        <x:v>101437000_89443</x:v>
      </x:c>
      <x:c r="C138" s="18" t="str">
        <x:v>【沪村小电】玉兰清苑二期充电站</x:v>
      </x:c>
      <x:c r="D138" s="37" t="str">
        <x:v>2</x:v>
      </x:c>
      <x:c r="E138" s="37" t="str">
        <x:v>0</x:v>
      </x:c>
      <x:c r="F138" s="37" t="str">
        <x:v>32</x:v>
      </x:c>
      <x:c r="G138" s="37" t="str">
        <x:v>762.43</x:v>
      </x:c>
      <x:c r="H138" s="37" t="str">
        <x:v>0.00</x:v>
      </x:c>
      <x:c r="I138" s="37" t="str">
        <x:v>563.89</x:v>
      </x:c>
      <x:c r="J138" s="37" t="str">
        <x:v>0.00</x:v>
      </x:c>
      <x:c r="K138" s="37" t="str">
        <x:v>198.55</x:v>
      </x:c>
      <x:c r="L138" s="37" t="str">
        <x:v>1061</x:v>
      </x:c>
      <x:c r="M138" s="29" t="str">
        <x:v>718.87</x:v>
      </x:c>
      <x:c r="N138" s="29" t="str">
        <x:v>473.84</x:v>
      </x:c>
      <x:c r="O138" s="29" t="str">
        <x:v>245.03</x:v>
      </x:c>
      <x:c r="P138" s="18" t="str">
        <x:v>2026-08-13</x:v>
      </x:c>
      <x:c r="Q138" s="36" t="n">
        <x:v>46247</x:v>
      </x:c>
    </x:row>
    <x:row r="139">
      <x:c r="A139" s="36" t="str">
        <x:v>2026-08-13</x:v>
      </x:c>
      <x:c r="B139" s="18" t="str">
        <x:v>101437000_93115</x:v>
      </x:c>
      <x:c r="C139" s="18" t="str">
        <x:v>【沪村小电】新南家园西北门</x:v>
      </x:c>
      <x:c r="D139" s="37" t="str">
        <x:v>2</x:v>
      </x:c>
      <x:c r="E139" s="37" t="str">
        <x:v>0</x:v>
      </x:c>
      <x:c r="F139" s="37" t="str">
        <x:v>35</x:v>
      </x:c>
      <x:c r="G139" s="37" t="str">
        <x:v>896.33</x:v>
      </x:c>
      <x:c r="H139" s="37" t="str">
        <x:v>0.00</x:v>
      </x:c>
      <x:c r="I139" s="37" t="str">
        <x:v>538.44</x:v>
      </x:c>
      <x:c r="J139" s="37" t="str">
        <x:v>0.00</x:v>
      </x:c>
      <x:c r="K139" s="37" t="str">
        <x:v>357.89</x:v>
      </x:c>
      <x:c r="L139" s="37" t="str">
        <x:v>1225</x:v>
      </x:c>
      <x:c r="M139" s="29" t="str">
        <x:v>784.94</x:v>
      </x:c>
      <x:c r="N139" s="29" t="str">
        <x:v>514.70</x:v>
      </x:c>
      <x:c r="O139" s="29" t="str">
        <x:v>270.24</x:v>
      </x:c>
      <x:c r="P139" s="18" t="str">
        <x:v>2026-08-13</x:v>
      </x:c>
      <x:c r="Q139" s="36" t="n">
        <x:v>46247</x:v>
      </x:c>
    </x:row>
    <x:row r="140">
      <x:c r="A140" s="36" t="str">
        <x:v>2026-08-13</x:v>
      </x:c>
      <x:c r="B140" s="18" t="str">
        <x:v>101437000_94649</x:v>
      </x:c>
      <x:c r="C140" s="18" t="str">
        <x:v>【沪村小电】浪琴水岸花园</x:v>
      </x:c>
      <x:c r="D140" s="37" t="str">
        <x:v>4</x:v>
      </x:c>
      <x:c r="E140" s="37" t="str">
        <x:v>0</x:v>
      </x:c>
      <x:c r="F140" s="37" t="str">
        <x:v>38</x:v>
      </x:c>
      <x:c r="G140" s="37" t="str">
        <x:v>1079.24</x:v>
      </x:c>
      <x:c r="H140" s="37" t="str">
        <x:v>0.00</x:v>
      </x:c>
      <x:c r="I140" s="37" t="str">
        <x:v>624.68</x:v>
      </x:c>
      <x:c r="J140" s="37" t="str">
        <x:v>0.00</x:v>
      </x:c>
      <x:c r="K140" s="37" t="str">
        <x:v>454.56</x:v>
      </x:c>
      <x:c r="L140" s="37" t="str">
        <x:v>1628</x:v>
      </x:c>
      <x:c r="M140" s="29" t="str">
        <x:v>906.39</x:v>
      </x:c>
      <x:c r="N140" s="29" t="str">
        <x:v>657.18</x:v>
      </x:c>
      <x:c r="O140" s="29" t="str">
        <x:v>249.21</x:v>
      </x:c>
      <x:c r="P140" s="18" t="str">
        <x:v>2026-08-13</x:v>
      </x:c>
      <x:c r="Q140" s="36" t="n">
        <x:v>46247</x:v>
      </x:c>
    </x:row>
    <x:row r="141">
      <x:c r="A141" s="36" t="str">
        <x:v>2026-08-13</x:v>
      </x:c>
      <x:c r="B141" s="18" t="str">
        <x:v>101437000_95077</x:v>
      </x:c>
      <x:c r="C141" s="18" t="str">
        <x:v>【沪村小电】民乐城惠益绿苑255弄充电站</x:v>
      </x:c>
      <x:c r="D141" s="37" t="str">
        <x:v>2</x:v>
      </x:c>
      <x:c r="E141" s="37" t="str">
        <x:v>0</x:v>
      </x:c>
      <x:c r="F141" s="37" t="str">
        <x:v>4</x:v>
      </x:c>
      <x:c r="G141" s="37" t="str">
        <x:v>68.40</x:v>
      </x:c>
      <x:c r="H141" s="37" t="str">
        <x:v>0.00</x:v>
      </x:c>
      <x:c r="I141" s="37" t="str">
        <x:v>68.40</x:v>
      </x:c>
      <x:c r="J141" s="37" t="str">
        <x:v>0.00</x:v>
      </x:c>
      <x:c r="K141" s="37" t="str">
        <x:v>0.00</x:v>
      </x:c>
      <x:c r="L141" s="37" t="str">
        <x:v>136</x:v>
      </x:c>
      <x:c r="M141" s="29" t="str">
        <x:v>63.47</x:v>
      </x:c>
      <x:c r="N141" s="29" t="str">
        <x:v>48.57</x:v>
      </x:c>
      <x:c r="O141" s="29" t="str">
        <x:v>14.90</x:v>
      </x:c>
      <x:c r="P141" s="18" t="str">
        <x:v>2026-08-13</x:v>
      </x:c>
      <x:c r="Q141" s="36" t="n">
        <x:v>46247</x:v>
      </x:c>
    </x:row>
    <x:row r="142">
      <x:c r="A142" s="36" t="str">
        <x:v>2026-08-13</x:v>
      </x:c>
      <x:c r="B142" s="18" t="str">
        <x:v>101437000_95079</x:v>
      </x:c>
      <x:c r="C142" s="18" t="str">
        <x:v>【沪村小电】民乐城惠益绿苑东苑充电站</x:v>
      </x:c>
      <x:c r="D142" s="37" t="str">
        <x:v>2</x:v>
      </x:c>
      <x:c r="E142" s="37" t="str">
        <x:v>0</x:v>
      </x:c>
      <x:c r="F142" s="37" t="str">
        <x:v>26</x:v>
      </x:c>
      <x:c r="G142" s="37" t="str">
        <x:v>569.93</x:v>
      </x:c>
      <x:c r="H142" s="37" t="str">
        <x:v>0.00</x:v>
      </x:c>
      <x:c r="I142" s="37" t="str">
        <x:v>461.10</x:v>
      </x:c>
      <x:c r="J142" s="37" t="str">
        <x:v>0.00</x:v>
      </x:c>
      <x:c r="K142" s="37" t="str">
        <x:v>108.83</x:v>
      </x:c>
      <x:c r="L142" s="37" t="str">
        <x:v>854</x:v>
      </x:c>
      <x:c r="M142" s="29" t="str">
        <x:v>484.28</x:v>
      </x:c>
      <x:c r="N142" s="29" t="str">
        <x:v>367.65</x:v>
      </x:c>
      <x:c r="O142" s="29" t="str">
        <x:v>116.63</x:v>
      </x:c>
      <x:c r="P142" s="18" t="str">
        <x:v>2026-08-13</x:v>
      </x:c>
      <x:c r="Q142" s="36" t="n">
        <x:v>46247</x:v>
      </x:c>
    </x:row>
    <x:row r="143">
      <x:c r="A143" s="36" t="str">
        <x:v>2026-08-13</x:v>
      </x:c>
      <x:c r="B143" s="18" t="str">
        <x:v>101437000_95081</x:v>
      </x:c>
      <x:c r="C143" s="18" t="str">
        <x:v>【沪村小电】民乐城惠益绿苑西苑充电站</x:v>
      </x:c>
      <x:c r="D143" s="37" t="str">
        <x:v>2</x:v>
      </x:c>
      <x:c r="E143" s="37" t="str">
        <x:v>0</x:v>
      </x:c>
      <x:c r="F143" s="37" t="str">
        <x:v>10</x:v>
      </x:c>
      <x:c r="G143" s="37" t="str">
        <x:v>247.45</x:v>
      </x:c>
      <x:c r="H143" s="37" t="str">
        <x:v>0.00</x:v>
      </x:c>
      <x:c r="I143" s="37" t="str">
        <x:v>247.45</x:v>
      </x:c>
      <x:c r="J143" s="37" t="str">
        <x:v>0.00</x:v>
      </x:c>
      <x:c r="K143" s="37" t="str">
        <x:v>0.00</x:v>
      </x:c>
      <x:c r="L143" s="37" t="str">
        <x:v>311</x:v>
      </x:c>
      <x:c r="M143" s="29" t="str">
        <x:v>288.05</x:v>
      </x:c>
      <x:c r="N143" s="29" t="str">
        <x:v>175.70</x:v>
      </x:c>
      <x:c r="O143" s="29" t="str">
        <x:v>112.35</x:v>
      </x:c>
      <x:c r="P143" s="18" t="str">
        <x:v>2026-08-13</x:v>
      </x:c>
      <x:c r="Q143" s="36" t="n">
        <x:v>46247</x:v>
      </x:c>
    </x:row>
    <x:row r="144">
      <x:c r="A144" s="36" t="str">
        <x:v>2026-08-13</x:v>
      </x:c>
      <x:c r="B144" s="18" t="str">
        <x:v>101437000_95091</x:v>
      </x:c>
      <x:c r="C144" s="18" t="str">
        <x:v>【沪村小电】金悦学府2号站</x:v>
      </x:c>
      <x:c r="D144" s="37" t="str">
        <x:v>2</x:v>
      </x:c>
      <x:c r="E144" s="37" t="str">
        <x:v>0</x:v>
      </x:c>
      <x:c r="F144" s="37" t="str">
        <x:v>28</x:v>
      </x:c>
      <x:c r="G144" s="37" t="str">
        <x:v>720.46</x:v>
      </x:c>
      <x:c r="H144" s="37" t="str">
        <x:v>0.00</x:v>
      </x:c>
      <x:c r="I144" s="37" t="str">
        <x:v>0.00</x:v>
      </x:c>
      <x:c r="J144" s="37" t="str">
        <x:v>720.46</x:v>
      </x:c>
      <x:c r="K144" s="37" t="str">
        <x:v>0.00</x:v>
      </x:c>
      <x:c r="L144" s="37" t="str">
        <x:v>1201</x:v>
      </x:c>
      <x:c r="M144" s="29" t="str">
        <x:v>569.21</x:v>
      </x:c>
      <x:c r="N144" s="29" t="str">
        <x:v>403.48</x:v>
      </x:c>
      <x:c r="O144" s="29" t="str">
        <x:v>165.73</x:v>
      </x:c>
      <x:c r="P144" s="18" t="str">
        <x:v>2026-08-13</x:v>
      </x:c>
      <x:c r="Q144" s="36" t="n">
        <x:v>46247</x:v>
      </x:c>
    </x:row>
    <x:row r="145">
      <x:c r="A145" s="36" t="str">
        <x:v>2026-08-13</x:v>
      </x:c>
      <x:c r="B145" s="18" t="str">
        <x:v>101437000_95941</x:v>
      </x:c>
      <x:c r="C145" s="18" t="str">
        <x:v>【沪村小电】惠诚雅苑</x:v>
      </x:c>
      <x:c r="D145" s="37" t="str">
        <x:v>4</x:v>
      </x:c>
      <x:c r="E145" s="37" t="str">
        <x:v>0</x:v>
      </x:c>
      <x:c r="F145" s="37" t="str">
        <x:v>57</x:v>
      </x:c>
      <x:c r="G145" s="37" t="str">
        <x:v>1252.99</x:v>
      </x:c>
      <x:c r="H145" s="37" t="str">
        <x:v>0.00</x:v>
      </x:c>
      <x:c r="I145" s="37" t="str">
        <x:v>406.26</x:v>
      </x:c>
      <x:c r="J145" s="37" t="str">
        <x:v>0.00</x:v>
      </x:c>
      <x:c r="K145" s="37" t="str">
        <x:v>846.73</x:v>
      </x:c>
      <x:c r="L145" s="37" t="str">
        <x:v>2163</x:v>
      </x:c>
      <x:c r="M145" s="29" t="str">
        <x:v>782.83</x:v>
      </x:c>
      <x:c r="N145" s="29" t="str">
        <x:v>502.17</x:v>
      </x:c>
      <x:c r="O145" s="29" t="str">
        <x:v>280.66</x:v>
      </x:c>
      <x:c r="P145" s="18" t="str">
        <x:v>2026-08-13</x:v>
      </x:c>
      <x:c r="Q145" s="36" t="n">
        <x:v>46247</x:v>
      </x:c>
    </x:row>
    <x:row r="146">
      <x:c r="A146" s="36" t="str">
        <x:v>2026-08-13</x:v>
      </x:c>
      <x:c r="B146" s="18" t="str">
        <x:v>101437000_96401</x:v>
      </x:c>
      <x:c r="C146" s="18" t="str">
        <x:v>【沪村小电】上海联怡枇杷乐园地面站</x:v>
      </x:c>
      <x:c r="D146" s="37" t="str">
        <x:v>2</x:v>
      </x:c>
      <x:c r="E146" s="37" t="str">
        <x:v>0</x:v>
      </x:c>
      <x:c r="F146" s="37" t="str">
        <x:v>14</x:v>
      </x:c>
      <x:c r="G146" s="37" t="str">
        <x:v>277.38</x:v>
      </x:c>
      <x:c r="H146" s="37" t="str">
        <x:v>0.00</x:v>
      </x:c>
      <x:c r="I146" s="37" t="str">
        <x:v>157.21</x:v>
      </x:c>
      <x:c r="J146" s="37" t="str">
        <x:v>0.00</x:v>
      </x:c>
      <x:c r="K146" s="37" t="str">
        <x:v>120.17</x:v>
      </x:c>
      <x:c r="L146" s="37" t="str">
        <x:v>479</x:v>
      </x:c>
      <x:c r="M146" s="29" t="str">
        <x:v>294.19</x:v>
      </x:c>
      <x:c r="N146" s="29" t="str">
        <x:v>228.75</x:v>
      </x:c>
      <x:c r="O146" s="29" t="str">
        <x:v>65.44</x:v>
      </x:c>
      <x:c r="P146" s="18" t="str">
        <x:v>2026-08-13</x:v>
      </x:c>
      <x:c r="Q146" s="36" t="n">
        <x:v>46247</x:v>
      </x:c>
    </x:row>
    <x:row r="147">
      <x:c r="A147" s="36" t="str">
        <x:v>2026-08-13</x:v>
      </x:c>
      <x:c r="B147" s="18" t="str">
        <x:v>101437000_96719</x:v>
      </x:c>
      <x:c r="C147" s="18" t="str">
        <x:v>【沪村小电】四达路220弄充电站</x:v>
      </x:c>
      <x:c r="D147" s="37" t="str">
        <x:v>2</x:v>
      </x:c>
      <x:c r="E147" s="37" t="str">
        <x:v>0</x:v>
      </x:c>
      <x:c r="F147" s="37" t="str">
        <x:v>2</x:v>
      </x:c>
      <x:c r="G147" s="37" t="str">
        <x:v>35.31</x:v>
      </x:c>
      <x:c r="H147" s="37" t="str">
        <x:v>0.00</x:v>
      </x:c>
      <x:c r="I147" s="37" t="str">
        <x:v>22.71</x:v>
      </x:c>
      <x:c r="J147" s="37" t="str">
        <x:v>0.00</x:v>
      </x:c>
      <x:c r="K147" s="37" t="str">
        <x:v>12.60</x:v>
      </x:c>
      <x:c r="L147" s="37" t="str">
        <x:v>95</x:v>
      </x:c>
      <x:c r="M147" s="29" t="str">
        <x:v>29.47</x:v>
      </x:c>
      <x:c r="N147" s="29" t="str">
        <x:v>20.78</x:v>
      </x:c>
      <x:c r="O147" s="29" t="str">
        <x:v>8.69</x:v>
      </x:c>
      <x:c r="P147" s="18" t="str">
        <x:v>2026-08-13</x:v>
      </x:c>
      <x:c r="Q147" s="36" t="n">
        <x:v>46247</x:v>
      </x:c>
    </x:row>
    <x:row r="148">
      <x:c r="A148" s="36" t="str">
        <x:v>2026-08-13</x:v>
      </x:c>
      <x:c r="B148" s="18" t="str">
        <x:v>101437000_97421</x:v>
      </x:c>
      <x:c r="C148" s="18" t="str">
        <x:v>【沪村小电】玉兰清苑二期（小区外）充电站</x:v>
      </x:c>
      <x:c r="D148" s="37" t="str">
        <x:v>4</x:v>
      </x:c>
      <x:c r="E148" s="37" t="str">
        <x:v>0</x:v>
      </x:c>
      <x:c r="F148" s="37" t="str">
        <x:v>53</x:v>
      </x:c>
      <x:c r="G148" s="37" t="str">
        <x:v>986.46</x:v>
      </x:c>
      <x:c r="H148" s="37" t="str">
        <x:v>0.00</x:v>
      </x:c>
      <x:c r="I148" s="37" t="str">
        <x:v>735.56</x:v>
      </x:c>
      <x:c r="J148" s="37" t="str">
        <x:v>0.00</x:v>
      </x:c>
      <x:c r="K148" s="37" t="str">
        <x:v>250.90</x:v>
      </x:c>
      <x:c r="L148" s="37" t="str">
        <x:v>1890</x:v>
      </x:c>
      <x:c r="M148" s="29" t="str">
        <x:v>887.75</x:v>
      </x:c>
      <x:c r="N148" s="29" t="str">
        <x:v>615.08</x:v>
      </x:c>
      <x:c r="O148" s="29" t="str">
        <x:v>272.67</x:v>
      </x:c>
      <x:c r="P148" s="18" t="str">
        <x:v>2026-08-13</x:v>
      </x:c>
      <x:c r="Q148" s="36" t="n">
        <x:v>46247</x:v>
      </x:c>
    </x:row>
    <x:row r="149">
      <x:c r="A149" s="36" t="str">
        <x:v>2026-08-13</x:v>
      </x:c>
      <x:c r="B149" s="18" t="str">
        <x:v>101437000_98013</x:v>
      </x:c>
      <x:c r="C149" s="18" t="str">
        <x:v>【沪村小电】恒大滨江华府充电站</x:v>
      </x:c>
      <x:c r="D149" s="37" t="str">
        <x:v>4</x:v>
      </x:c>
      <x:c r="E149" s="37" t="str">
        <x:v>0</x:v>
      </x:c>
      <x:c r="F149" s="37" t="str">
        <x:v>41</x:v>
      </x:c>
      <x:c r="G149" s="37" t="str">
        <x:v>1102.55</x:v>
      </x:c>
      <x:c r="H149" s="37" t="str">
        <x:v>0.00</x:v>
      </x:c>
      <x:c r="I149" s="37" t="str">
        <x:v>775.86</x:v>
      </x:c>
      <x:c r="J149" s="37" t="str">
        <x:v>0.00</x:v>
      </x:c>
      <x:c r="K149" s="37" t="str">
        <x:v>326.69</x:v>
      </x:c>
      <x:c r="L149" s="37" t="str">
        <x:v>1649</x:v>
      </x:c>
      <x:c r="M149" s="29" t="str">
        <x:v>1119.06</x:v>
      </x:c>
      <x:c r="N149" s="29" t="str">
        <x:v>848.56</x:v>
      </x:c>
      <x:c r="O149" s="29" t="str">
        <x:v>270.50</x:v>
      </x:c>
      <x:c r="P149" s="18" t="str">
        <x:v>2026-08-13</x:v>
      </x:c>
      <x:c r="Q149" s="36" t="n">
        <x:v>46247</x:v>
      </x:c>
    </x:row>
    <x:row r="150">
      <x:c r="A150" s="36" t="str">
        <x:v>2026-08-13</x:v>
      </x:c>
      <x:c r="B150" s="18" t="str">
        <x:v>101437000_98863</x:v>
      </x:c>
      <x:c r="C150" s="18" t="str">
        <x:v>【沪村小电】欣菊苑充电站</x:v>
      </x:c>
      <x:c r="D150" s="37" t="str">
        <x:v>4</x:v>
      </x:c>
      <x:c r="E150" s="37" t="str">
        <x:v>0</x:v>
      </x:c>
      <x:c r="F150" s="37" t="str">
        <x:v>7</x:v>
      </x:c>
      <x:c r="G150" s="37" t="str">
        <x:v>253.92</x:v>
      </x:c>
      <x:c r="H150" s="37" t="str">
        <x:v>0.00</x:v>
      </x:c>
      <x:c r="I150" s="37" t="str">
        <x:v>222.72</x:v>
      </x:c>
      <x:c r="J150" s="37" t="str">
        <x:v>0.00</x:v>
      </x:c>
      <x:c r="K150" s="37" t="str">
        <x:v>31.20</x:v>
      </x:c>
      <x:c r="L150" s="37" t="str">
        <x:v>360</x:v>
      </x:c>
      <x:c r="M150" s="29" t="str">
        <x:v>251.17</x:v>
      </x:c>
      <x:c r="N150" s="29" t="str">
        <x:v>169.68</x:v>
      </x:c>
      <x:c r="O150" s="29" t="str">
        <x:v>81.49</x:v>
      </x:c>
      <x:c r="P150" s="18" t="str">
        <x:v>2026-08-13</x:v>
      </x:c>
      <x:c r="Q150" s="36" t="n">
        <x:v>46247</x:v>
      </x:c>
    </x:row>
    <x:row r="151">
      <x:c r="A151" s="36" t="str">
        <x:v>2026-08-13</x:v>
      </x:c>
      <x:c r="B151" s="18" t="str">
        <x:v>101437000_98865</x:v>
      </x:c>
      <x:c r="C151" s="18" t="str">
        <x:v>【沪村小电】欣松苑充电站</x:v>
      </x:c>
      <x:c r="D151" s="37" t="str">
        <x:v>4</x:v>
      </x:c>
      <x:c r="E151" s="37" t="str">
        <x:v>0</x:v>
      </x:c>
      <x:c r="F151" s="37" t="str">
        <x:v>24</x:v>
      </x:c>
      <x:c r="G151" s="37" t="str">
        <x:v>582.12</x:v>
      </x:c>
      <x:c r="H151" s="37" t="str">
        <x:v>0.00</x:v>
      </x:c>
      <x:c r="I151" s="37" t="str">
        <x:v>549.17</x:v>
      </x:c>
      <x:c r="J151" s="37" t="str">
        <x:v>0.00</x:v>
      </x:c>
      <x:c r="K151" s="37" t="str">
        <x:v>32.95</x:v>
      </x:c>
      <x:c r="L151" s="37" t="str">
        <x:v>873</x:v>
      </x:c>
      <x:c r="M151" s="29" t="str">
        <x:v>578.45</x:v>
      </x:c>
      <x:c r="N151" s="29" t="str">
        <x:v>402.11</x:v>
      </x:c>
      <x:c r="O151" s="29" t="str">
        <x:v>176.34</x:v>
      </x:c>
      <x:c r="P151" s="18" t="str">
        <x:v>2026-08-13</x:v>
      </x:c>
      <x:c r="Q151" s="36" t="n">
        <x:v>46247</x:v>
      </x:c>
    </x:row>
    <x:row r="152">
      <x:c r="A152" s="36" t="str">
        <x:v>2026-08-13</x:v>
      </x:c>
      <x:c r="B152" s="18" t="str">
        <x:v>101437000_98867</x:v>
      </x:c>
      <x:c r="C152" s="18" t="str">
        <x:v>【沪村小电】欣荷苑充电站</x:v>
      </x:c>
      <x:c r="D152" s="37" t="str">
        <x:v>4</x:v>
      </x:c>
      <x:c r="E152" s="37" t="str">
        <x:v>0</x:v>
      </x:c>
      <x:c r="F152" s="37" t="str">
        <x:v>8</x:v>
      </x:c>
      <x:c r="G152" s="37" t="str">
        <x:v>284.39</x:v>
      </x:c>
      <x:c r="H152" s="37" t="str">
        <x:v>0.00</x:v>
      </x:c>
      <x:c r="I152" s="37" t="str">
        <x:v>243.12</x:v>
      </x:c>
      <x:c r="J152" s="37" t="str">
        <x:v>0.00</x:v>
      </x:c>
      <x:c r="K152" s="37" t="str">
        <x:v>41.27</x:v>
      </x:c>
      <x:c r="L152" s="37" t="str">
        <x:v>368</x:v>
      </x:c>
      <x:c r="M152" s="29" t="str">
        <x:v>271.88</x:v>
      </x:c>
      <x:c r="N152" s="29" t="str">
        <x:v>187.88</x:v>
      </x:c>
      <x:c r="O152" s="29" t="str">
        <x:v>84.00</x:v>
      </x:c>
      <x:c r="P152" s="18" t="str">
        <x:v>2026-08-13</x:v>
      </x:c>
      <x:c r="Q152" s="36" t="n">
        <x:v>46247</x:v>
      </x:c>
    </x:row>
    <x:row r="153">
      <x:c r="A153" s="36" t="str">
        <x:v>2026-08-13</x:v>
      </x:c>
      <x:c r="B153" s="18" t="str">
        <x:v>101437000_99885</x:v>
      </x:c>
      <x:c r="C153" s="18" t="str">
        <x:v>【沪村小电】汇丰馨苑充电站</x:v>
      </x:c>
      <x:c r="D153" s="37" t="str">
        <x:v>4</x:v>
      </x:c>
      <x:c r="E153" s="37" t="str">
        <x:v>0</x:v>
      </x:c>
      <x:c r="F153" s="37" t="str">
        <x:v>20</x:v>
      </x:c>
      <x:c r="G153" s="37" t="str">
        <x:v>528.03</x:v>
      </x:c>
      <x:c r="H153" s="37" t="str">
        <x:v>0.00</x:v>
      </x:c>
      <x:c r="I153" s="37" t="str">
        <x:v>356.64</x:v>
      </x:c>
      <x:c r="J153" s="37" t="str">
        <x:v>0.00</x:v>
      </x:c>
      <x:c r="K153" s="37" t="str">
        <x:v>171.39</x:v>
      </x:c>
      <x:c r="L153" s="37" t="str">
        <x:v>767</x:v>
      </x:c>
      <x:c r="M153" s="29" t="str">
        <x:v>530.08</x:v>
      </x:c>
      <x:c r="N153" s="29" t="str">
        <x:v>316.63</x:v>
      </x:c>
      <x:c r="O153" s="29" t="str">
        <x:v>213.45</x:v>
      </x:c>
      <x:c r="P153" s="18" t="str">
        <x:v>2026-08-13</x:v>
      </x:c>
      <x:c r="Q153" s="36" t="n">
        <x:v>46247</x:v>
      </x:c>
    </x:row>
    <x:row r="154">
      <x:c r="A154" s="36" t="str">
        <x:v>2026-08-13</x:v>
      </x:c>
      <x:c r="B154" s="18" t="str">
        <x:v>101437000_99887</x:v>
      </x:c>
      <x:c r="C154" s="18" t="str">
        <x:v>【沪村小电】新南村河南小区充电站</x:v>
      </x:c>
      <x:c r="D154" s="37" t="str">
        <x:v>2</x:v>
      </x:c>
      <x:c r="E154" s="37" t="str">
        <x:v>0</x:v>
      </x:c>
      <x:c r="F154" s="37" t="str">
        <x:v>5</x:v>
      </x:c>
      <x:c r="G154" s="37" t="str">
        <x:v>67.85</x:v>
      </x:c>
      <x:c r="H154" s="37" t="str">
        <x:v>0.00</x:v>
      </x:c>
      <x:c r="I154" s="37" t="str">
        <x:v>36.82</x:v>
      </x:c>
      <x:c r="J154" s="37" t="str">
        <x:v>0.00</x:v>
      </x:c>
      <x:c r="K154" s="37" t="str">
        <x:v>31.04</x:v>
      </x:c>
      <x:c r="L154" s="37" t="str">
        <x:v>191</x:v>
      </x:c>
      <x:c r="M154" s="29" t="str">
        <x:v>47.01</x:v>
      </x:c>
      <x:c r="N154" s="29" t="str">
        <x:v>37.62</x:v>
      </x:c>
      <x:c r="O154" s="29" t="str">
        <x:v>9.39</x:v>
      </x:c>
      <x:c r="P154" s="18" t="str">
        <x:v>2026-08-13</x:v>
      </x:c>
      <x:c r="Q154" s="36" t="n">
        <x:v>46247</x:v>
      </x:c>
    </x:row>
    <x:row r="155">
      <x:c r="A155" s="36" t="str">
        <x:v>2026-08-13</x:v>
      </x:c>
      <x:c r="B155" s="18" t="str">
        <x:v>101437000_99889</x:v>
      </x:c>
      <x:c r="C155" s="18" t="str">
        <x:v>【沪村小电】漕泾郊野公园</x:v>
      </x:c>
      <x:c r="D155" s="37" t="str">
        <x:v>2</x:v>
      </x:c>
      <x:c r="E155" s="37" t="str">
        <x:v>0</x:v>
      </x:c>
      <x:c r="F155" s="37" t="str">
        <x:v>6</x:v>
      </x:c>
      <x:c r="G155" s="37" t="str">
        <x:v>143.97</x:v>
      </x:c>
      <x:c r="H155" s="37" t="str">
        <x:v>0.00</x:v>
      </x:c>
      <x:c r="I155" s="37" t="str">
        <x:v>143.97</x:v>
      </x:c>
      <x:c r="J155" s="37" t="str">
        <x:v>0.00</x:v>
      </x:c>
      <x:c r="K155" s="37" t="str">
        <x:v>0.00</x:v>
      </x:c>
      <x:c r="L155" s="37" t="str">
        <x:v>183</x:v>
      </x:c>
      <x:c r="M155" s="29" t="str">
        <x:v>183.08</x:v>
      </x:c>
      <x:c r="N155" s="29" t="str">
        <x:v>109.44</x:v>
      </x:c>
      <x:c r="O155" s="29" t="str">
        <x:v>73.64</x:v>
      </x:c>
      <x:c r="P155" s="18" t="str">
        <x:v>2026-08-13</x:v>
      </x:c>
      <x:c r="Q155" s="36" t="n">
        <x:v>46247</x:v>
      </x:c>
    </x:row>
    <x:row r="156">
      <x:c r="A156" s="36" t="str">
        <x:v>2026-08-13</x:v>
      </x:c>
      <x:c r="B156" s="18" t="str">
        <x:v>101437000_99891</x:v>
      </x:c>
      <x:c r="C156" s="18" t="str">
        <x:v>【沪村小电】水韵紫城充电站</x:v>
      </x:c>
      <x:c r="D156" s="37" t="str">
        <x:v>4</x:v>
      </x:c>
      <x:c r="E156" s="37" t="str">
        <x:v>0</x:v>
      </x:c>
      <x:c r="F156" s="37" t="str">
        <x:v>38</x:v>
      </x:c>
      <x:c r="G156" s="37" t="str">
        <x:v>821.83</x:v>
      </x:c>
      <x:c r="H156" s="37" t="str">
        <x:v>0.00</x:v>
      </x:c>
      <x:c r="I156" s="37" t="str">
        <x:v>508.50</x:v>
      </x:c>
      <x:c r="J156" s="37" t="str">
        <x:v>0.00</x:v>
      </x:c>
      <x:c r="K156" s="37" t="str">
        <x:v>313.33</x:v>
      </x:c>
      <x:c r="L156" s="37" t="str">
        <x:v>1361</x:v>
      </x:c>
      <x:c r="M156" s="29" t="str">
        <x:v>702.98</x:v>
      </x:c>
      <x:c r="N156" s="29" t="str">
        <x:v>476.96</x:v>
      </x:c>
      <x:c r="O156" s="29" t="str">
        <x:v>226.02</x:v>
      </x:c>
      <x:c r="P156" s="18" t="str">
        <x:v>2026-08-13</x:v>
      </x:c>
      <x:c r="Q156" s="36" t="n">
        <x:v>46247</x:v>
      </x:c>
    </x:row>
    <x:row r="157">
      <x:c r="A157" s="36" t="str">
        <x:v>2026-08-12</x:v>
      </x:c>
      <x:c r="B157" s="18" t="str">
        <x:v>101437000_100523</x:v>
      </x:c>
      <x:c r="C157" s="18" t="str">
        <x:v>【沪村小电】民旺苑南区</x:v>
      </x:c>
      <x:c r="D157" s="37" t="str">
        <x:v>4</x:v>
      </x:c>
      <x:c r="E157" s="37" t="str">
        <x:v>0</x:v>
      </x:c>
      <x:c r="F157" s="37" t="str">
        <x:v>17</x:v>
      </x:c>
      <x:c r="G157" s="37" t="str">
        <x:v>588.29</x:v>
      </x:c>
      <x:c r="H157" s="37" t="str">
        <x:v>0.00</x:v>
      </x:c>
      <x:c r="I157" s="37" t="str">
        <x:v>183.62</x:v>
      </x:c>
      <x:c r="J157" s="37" t="str">
        <x:v>0.00</x:v>
      </x:c>
      <x:c r="K157" s="37" t="str">
        <x:v>404.66</x:v>
      </x:c>
      <x:c r="L157" s="37" t="str">
        <x:v>689</x:v>
      </x:c>
      <x:c r="M157" s="29" t="str">
        <x:v>431.59</x:v>
      </x:c>
      <x:c r="N157" s="29" t="str">
        <x:v>320.57</x:v>
      </x:c>
      <x:c r="O157" s="29" t="str">
        <x:v>111.02</x:v>
      </x:c>
      <x:c r="P157" s="18" t="str">
        <x:v>2026-08-12</x:v>
      </x:c>
      <x:c r="Q157" s="36" t="n">
        <x:v>46246</x:v>
      </x:c>
    </x:row>
    <x:row r="158">
      <x:c r="A158" s="36" t="str">
        <x:v>2026-08-12</x:v>
      </x:c>
      <x:c r="B158" s="18" t="str">
        <x:v>101437000_101531</x:v>
      </x:c>
      <x:c r="C158" s="18" t="str">
        <x:v>【沪村小电】汇中苑充电站</x:v>
      </x:c>
      <x:c r="D158" s="37" t="str">
        <x:v>2</x:v>
      </x:c>
      <x:c r="E158" s="37" t="str">
        <x:v>0</x:v>
      </x:c>
      <x:c r="F158" s="37" t="str">
        <x:v>9</x:v>
      </x:c>
      <x:c r="G158" s="37" t="str">
        <x:v>249.92</x:v>
      </x:c>
      <x:c r="H158" s="37" t="str">
        <x:v>0.00</x:v>
      </x:c>
      <x:c r="I158" s="37" t="str">
        <x:v>56.25</x:v>
      </x:c>
      <x:c r="J158" s="37" t="str">
        <x:v>162.09</x:v>
      </x:c>
      <x:c r="K158" s="37" t="str">
        <x:v>31.58</x:v>
      </x:c>
      <x:c r="L158" s="37" t="str">
        <x:v>372</x:v>
      </x:c>
      <x:c r="M158" s="29" t="str">
        <x:v>292.33</x:v>
      </x:c>
      <x:c r="N158" s="29" t="str">
        <x:v>186.27</x:v>
      </x:c>
      <x:c r="O158" s="29" t="str">
        <x:v>106.06</x:v>
      </x:c>
      <x:c r="P158" s="18" t="str">
        <x:v>2026-08-12</x:v>
      </x:c>
      <x:c r="Q158" s="36" t="n">
        <x:v>46246</x:v>
      </x:c>
    </x:row>
    <x:row r="159">
      <x:c r="A159" s="36" t="str">
        <x:v>2026-08-12</x:v>
      </x:c>
      <x:c r="B159" s="18" t="str">
        <x:v>101437000_102047</x:v>
      </x:c>
      <x:c r="C159" s="18" t="str">
        <x:v>【沪村小电】后浜小区9弄小区南面停车场充电站</x:v>
      </x:c>
      <x:c r="D159" s="37" t="str">
        <x:v>8</x:v>
      </x:c>
      <x:c r="E159" s="37" t="str">
        <x:v>0</x:v>
      </x:c>
      <x:c r="F159" s="37" t="str">
        <x:v>63</x:v>
      </x:c>
      <x:c r="G159" s="37" t="str">
        <x:v>1384.57</x:v>
      </x:c>
      <x:c r="H159" s="37" t="str">
        <x:v>0.00</x:v>
      </x:c>
      <x:c r="I159" s="37" t="str">
        <x:v>854.06</x:v>
      </x:c>
      <x:c r="J159" s="37" t="str">
        <x:v>0.00</x:v>
      </x:c>
      <x:c r="K159" s="37" t="str">
        <x:v>530.51</x:v>
      </x:c>
      <x:c r="L159" s="37" t="str">
        <x:v>2187</x:v>
      </x:c>
      <x:c r="M159" s="29" t="str">
        <x:v>1428.38</x:v>
      </x:c>
      <x:c r="N159" s="29" t="str">
        <x:v>855.73</x:v>
      </x:c>
      <x:c r="O159" s="29" t="str">
        <x:v>572.65</x:v>
      </x:c>
      <x:c r="P159" s="18" t="str">
        <x:v>2026-08-12</x:v>
      </x:c>
      <x:c r="Q159" s="36" t="n">
        <x:v>46246</x:v>
      </x:c>
    </x:row>
    <x:row r="160">
      <x:c r="A160" s="36" t="str">
        <x:v>2026-08-12</x:v>
      </x:c>
      <x:c r="B160" s="18" t="str">
        <x:v>101437000_103503</x:v>
      </x:c>
      <x:c r="C160" s="18" t="str">
        <x:v>【沪村小电】阳光城新界充电站</x:v>
      </x:c>
      <x:c r="D160" s="37" t="str">
        <x:v>4</x:v>
      </x:c>
      <x:c r="E160" s="37" t="str">
        <x:v>0</x:v>
      </x:c>
      <x:c r="F160" s="37" t="str">
        <x:v>24</x:v>
      </x:c>
      <x:c r="G160" s="37" t="str">
        <x:v>506.96</x:v>
      </x:c>
      <x:c r="H160" s="37" t="str">
        <x:v>0.00</x:v>
      </x:c>
      <x:c r="I160" s="37" t="str">
        <x:v>359.09</x:v>
      </x:c>
      <x:c r="J160" s="37" t="str">
        <x:v>0.00</x:v>
      </x:c>
      <x:c r="K160" s="37" t="str">
        <x:v>147.87</x:v>
      </x:c>
      <x:c r="L160" s="37" t="str">
        <x:v>867</x:v>
      </x:c>
      <x:c r="M160" s="29" t="str">
        <x:v>508.17</x:v>
      </x:c>
      <x:c r="N160" s="29" t="str">
        <x:v>339.23</x:v>
      </x:c>
      <x:c r="O160" s="29" t="str">
        <x:v>168.94</x:v>
      </x:c>
      <x:c r="P160" s="18" t="str">
        <x:v>2026-08-12</x:v>
      </x:c>
      <x:c r="Q160" s="36" t="n">
        <x:v>46246</x:v>
      </x:c>
    </x:row>
    <x:row r="161">
      <x:c r="A161" s="36" t="str">
        <x:v>2026-08-12</x:v>
      </x:c>
      <x:c r="B161" s="18" t="str">
        <x:v>101437000_41561</x:v>
      </x:c>
      <x:c r="C161" s="18" t="str">
        <x:v>【沪村小电】张施小区大门处快充站</x:v>
      </x:c>
      <x:c r="D161" s="37" t="str">
        <x:v>2</x:v>
      </x:c>
      <x:c r="E161" s="37" t="str">
        <x:v>0</x:v>
      </x:c>
      <x:c r="F161" s="37" t="str">
        <x:v>47</x:v>
      </x:c>
      <x:c r="G161" s="37" t="str">
        <x:v>1148.98</x:v>
      </x:c>
      <x:c r="H161" s="37" t="str">
        <x:v>0.00</x:v>
      </x:c>
      <x:c r="I161" s="37" t="str">
        <x:v>607.62</x:v>
      </x:c>
      <x:c r="J161" s="37" t="str">
        <x:v>0.00</x:v>
      </x:c>
      <x:c r="K161" s="37" t="str">
        <x:v>541.37</x:v>
      </x:c>
      <x:c r="L161" s="37" t="str">
        <x:v>2128</x:v>
      </x:c>
      <x:c r="M161" s="29" t="str">
        <x:v>907.51</x:v>
      </x:c>
      <x:c r="N161" s="29" t="str">
        <x:v>631.70</x:v>
      </x:c>
      <x:c r="O161" s="29" t="str">
        <x:v>275.81</x:v>
      </x:c>
      <x:c r="P161" s="18" t="str">
        <x:v>2026-08-12</x:v>
      </x:c>
      <x:c r="Q161" s="36" t="n">
        <x:v>46246</x:v>
      </x:c>
    </x:row>
    <x:row r="162">
      <x:c r="A162" s="36" t="str">
        <x:v>2026-08-12</x:v>
      </x:c>
      <x:c r="B162" s="18" t="str">
        <x:v>101437000_41563</x:v>
      </x:c>
      <x:c r="C162" s="18" t="str">
        <x:v>【沪村小电】同心村快充站</x:v>
      </x:c>
      <x:c r="D162" s="37" t="str">
        <x:v>4</x:v>
      </x:c>
      <x:c r="E162" s="37" t="str">
        <x:v>0</x:v>
      </x:c>
      <x:c r="F162" s="37" t="str">
        <x:v>48</x:v>
      </x:c>
      <x:c r="G162" s="37" t="str">
        <x:v>1139.19</x:v>
      </x:c>
      <x:c r="H162" s="37" t="str">
        <x:v>0.00</x:v>
      </x:c>
      <x:c r="I162" s="37" t="str">
        <x:v>815.90</x:v>
      </x:c>
      <x:c r="J162" s="37" t="str">
        <x:v>0.00</x:v>
      </x:c>
      <x:c r="K162" s="37" t="str">
        <x:v>323.28</x:v>
      </x:c>
      <x:c r="L162" s="37" t="str">
        <x:v>1947</x:v>
      </x:c>
      <x:c r="M162" s="29" t="str">
        <x:v>1081.04</x:v>
      </x:c>
      <x:c r="N162" s="29" t="str">
        <x:v>698.93</x:v>
      </x:c>
      <x:c r="O162" s="29" t="str">
        <x:v>382.11</x:v>
      </x:c>
      <x:c r="P162" s="18" t="str">
        <x:v>2026-08-12</x:v>
      </x:c>
      <x:c r="Q162" s="36" t="n">
        <x:v>46246</x:v>
      </x:c>
    </x:row>
    <x:row r="163">
      <x:c r="A163" s="36" t="str">
        <x:v>2026-08-12</x:v>
      </x:c>
      <x:c r="B163" s="18" t="str">
        <x:v>101437000_69629</x:v>
      </x:c>
      <x:c r="C163" s="18" t="str">
        <x:v>【沪村小电】骏丰玲珑坊西苑充电站</x:v>
      </x:c>
      <x:c r="D163" s="37" t="str">
        <x:v>2</x:v>
      </x:c>
      <x:c r="E163" s="37" t="str">
        <x:v>0</x:v>
      </x:c>
      <x:c r="F163" s="37" t="str">
        <x:v>75</x:v>
      </x:c>
      <x:c r="G163" s="37" t="str">
        <x:v>1674.35</x:v>
      </x:c>
      <x:c r="H163" s="37" t="str">
        <x:v>0.00</x:v>
      </x:c>
      <x:c r="I163" s="37" t="str">
        <x:v>990.73</x:v>
      </x:c>
      <x:c r="J163" s="37" t="str">
        <x:v>0.00</x:v>
      </x:c>
      <x:c r="K163" s="37" t="str">
        <x:v>683.63</x:v>
      </x:c>
      <x:c r="L163" s="37" t="str">
        <x:v>2809</x:v>
      </x:c>
      <x:c r="M163" s="29" t="str">
        <x:v>1422.24</x:v>
      </x:c>
      <x:c r="N163" s="29" t="str">
        <x:v>956.35</x:v>
      </x:c>
      <x:c r="O163" s="29" t="str">
        <x:v>465.89</x:v>
      </x:c>
      <x:c r="P163" s="18" t="str">
        <x:v>2026-08-12</x:v>
      </x:c>
      <x:c r="Q163" s="36" t="n">
        <x:v>46246</x:v>
      </x:c>
    </x:row>
    <x:row r="164">
      <x:c r="A164" s="36" t="str">
        <x:v>2026-08-12</x:v>
      </x:c>
      <x:c r="B164" s="18" t="str">
        <x:v>101437000_70547</x:v>
      </x:c>
      <x:c r="C164" s="18" t="str">
        <x:v>【沪村小电】农建村初心馆党群服务中心充电站</x:v>
      </x:c>
      <x:c r="D164" s="37" t="str">
        <x:v>4</x:v>
      </x:c>
      <x:c r="E164" s="37" t="str">
        <x:v>0</x:v>
      </x:c>
      <x:c r="F164" s="37" t="str">
        <x:v>28</x:v>
      </x:c>
      <x:c r="G164" s="37" t="str">
        <x:v>539.85</x:v>
      </x:c>
      <x:c r="H164" s="37" t="str">
        <x:v>0.00</x:v>
      </x:c>
      <x:c r="I164" s="37" t="str">
        <x:v>227.23</x:v>
      </x:c>
      <x:c r="J164" s="37" t="str">
        <x:v>0.00</x:v>
      </x:c>
      <x:c r="K164" s="37" t="str">
        <x:v>312.62</x:v>
      </x:c>
      <x:c r="L164" s="37" t="str">
        <x:v>989</x:v>
      </x:c>
      <x:c r="M164" s="29" t="str">
        <x:v>487.58</x:v>
      </x:c>
      <x:c r="N164" s="29" t="str">
        <x:v>384.40</x:v>
      </x:c>
      <x:c r="O164" s="29" t="str">
        <x:v>103.18</x:v>
      </x:c>
      <x:c r="P164" s="18" t="str">
        <x:v>2026-08-12</x:v>
      </x:c>
      <x:c r="Q164" s="36" t="n">
        <x:v>46246</x:v>
      </x:c>
    </x:row>
    <x:row r="165">
      <x:c r="A165" s="36" t="str">
        <x:v>2026-08-12</x:v>
      </x:c>
      <x:c r="B165" s="18" t="str">
        <x:v>101437000_70549</x:v>
      </x:c>
      <x:c r="C165" s="18" t="str">
        <x:v>【沪村小电】学府路充电站</x:v>
      </x:c>
      <x:c r="D165" s="37" t="str">
        <x:v>2</x:v>
      </x:c>
      <x:c r="E165" s="37" t="str">
        <x:v>0</x:v>
      </x:c>
      <x:c r="F165" s="37" t="str">
        <x:v>5</x:v>
      </x:c>
      <x:c r="G165" s="37" t="str">
        <x:v>174.79</x:v>
      </x:c>
      <x:c r="H165" s="37" t="str">
        <x:v>0.00</x:v>
      </x:c>
      <x:c r="I165" s="37" t="str">
        <x:v>116.02</x:v>
      </x:c>
      <x:c r="J165" s="37" t="str">
        <x:v>0.00</x:v>
      </x:c>
      <x:c r="K165" s="37" t="str">
        <x:v>58.78</x:v>
      </x:c>
      <x:c r="L165" s="37" t="str">
        <x:v>210</x:v>
      </x:c>
      <x:c r="M165" s="29" t="str">
        <x:v>186.82</x:v>
      </x:c>
      <x:c r="N165" s="29" t="str">
        <x:v>144.84</x:v>
      </x:c>
      <x:c r="O165" s="29" t="str">
        <x:v>41.98</x:v>
      </x:c>
      <x:c r="P165" s="18" t="str">
        <x:v>2026-08-12</x:v>
      </x:c>
      <x:c r="Q165" s="36" t="n">
        <x:v>46246</x:v>
      </x:c>
    </x:row>
    <x:row r="166">
      <x:c r="A166" s="36" t="str">
        <x:v>2026-08-12</x:v>
      </x:c>
      <x:c r="B166" s="18" t="str">
        <x:v>101437000_71059</x:v>
      </x:c>
      <x:c r="C166" s="18" t="str">
        <x:v>【沪村小电】宝乐汇商业广场站</x:v>
      </x:c>
      <x:c r="D166" s="37" t="str">
        <x:v>4</x:v>
      </x:c>
      <x:c r="E166" s="37" t="str">
        <x:v>0</x:v>
      </x:c>
      <x:c r="F166" s="37" t="str">
        <x:v>14</x:v>
      </x:c>
      <x:c r="G166" s="37" t="str">
        <x:v>328.18</x:v>
      </x:c>
      <x:c r="H166" s="37" t="str">
        <x:v>0.00</x:v>
      </x:c>
      <x:c r="I166" s="37" t="str">
        <x:v>140.45</x:v>
      </x:c>
      <x:c r="J166" s="37" t="str">
        <x:v>0.00</x:v>
      </x:c>
      <x:c r="K166" s="37" t="str">
        <x:v>187.73</x:v>
      </x:c>
      <x:c r="L166" s="37" t="str">
        <x:v>581</x:v>
      </x:c>
      <x:c r="M166" s="29" t="str">
        <x:v>312.66</x:v>
      </x:c>
      <x:c r="N166" s="29" t="str">
        <x:v>212.76</x:v>
      </x:c>
      <x:c r="O166" s="29" t="str">
        <x:v>99.90</x:v>
      </x:c>
      <x:c r="P166" s="18" t="str">
        <x:v>2026-08-12</x:v>
      </x:c>
      <x:c r="Q166" s="36" t="n">
        <x:v>46246</x:v>
      </x:c>
    </x:row>
    <x:row r="167">
      <x:c r="A167" s="36" t="str">
        <x:v>2026-08-12</x:v>
      </x:c>
      <x:c r="B167" s="18" t="str">
        <x:v>101437000_72541</x:v>
      </x:c>
      <x:c r="C167" s="18" t="str">
        <x:v>【沪村小电】九干路1174弄充电站</x:v>
      </x:c>
      <x:c r="D167" s="37" t="str">
        <x:v>2</x:v>
      </x:c>
      <x:c r="E167" s="37" t="str">
        <x:v>0</x:v>
      </x:c>
      <x:c r="F167" s="37" t="str">
        <x:v>44</x:v>
      </x:c>
      <x:c r="G167" s="37" t="str">
        <x:v>1028.74</x:v>
      </x:c>
      <x:c r="H167" s="37" t="str">
        <x:v>0.00</x:v>
      </x:c>
      <x:c r="I167" s="37" t="str">
        <x:v>686.79</x:v>
      </x:c>
      <x:c r="J167" s="37" t="str">
        <x:v>0.00</x:v>
      </x:c>
      <x:c r="K167" s="37" t="str">
        <x:v>341.95</x:v>
      </x:c>
      <x:c r="L167" s="37" t="str">
        <x:v>1673</x:v>
      </x:c>
      <x:c r="M167" s="29" t="str">
        <x:v>906.00</x:v>
      </x:c>
      <x:c r="N167" s="29" t="str">
        <x:v>614.16</x:v>
      </x:c>
      <x:c r="O167" s="29" t="str">
        <x:v>291.84</x:v>
      </x:c>
      <x:c r="P167" s="18" t="str">
        <x:v>2026-08-12</x:v>
      </x:c>
      <x:c r="Q167" s="36" t="n">
        <x:v>46246</x:v>
      </x:c>
    </x:row>
    <x:row r="168">
      <x:c r="A168" s="36" t="str">
        <x:v>2026-08-12</x:v>
      </x:c>
      <x:c r="B168" s="18" t="str">
        <x:v>101437000_72543</x:v>
      </x:c>
      <x:c r="C168" s="18" t="str">
        <x:v>【沪村小电】叶家中心村小区充电站</x:v>
      </x:c>
      <x:c r="D168" s="37" t="str">
        <x:v>2</x:v>
      </x:c>
      <x:c r="E168" s="37" t="str">
        <x:v>0</x:v>
      </x:c>
      <x:c r="F168" s="37" t="str">
        <x:v>45</x:v>
      </x:c>
      <x:c r="G168" s="37" t="str">
        <x:v>1019.24</x:v>
      </x:c>
      <x:c r="H168" s="37" t="str">
        <x:v>0.00</x:v>
      </x:c>
      <x:c r="I168" s="37" t="str">
        <x:v>479.79</x:v>
      </x:c>
      <x:c r="J168" s="37" t="str">
        <x:v>0.00</x:v>
      </x:c>
      <x:c r="K168" s="37" t="str">
        <x:v>539.45</x:v>
      </x:c>
      <x:c r="L168" s="37" t="str">
        <x:v>1960</x:v>
      </x:c>
      <x:c r="M168" s="29" t="str">
        <x:v>786.38</x:v>
      </x:c>
      <x:c r="N168" s="29" t="str">
        <x:v>540.21</x:v>
      </x:c>
      <x:c r="O168" s="29" t="str">
        <x:v>246.17</x:v>
      </x:c>
      <x:c r="P168" s="18" t="str">
        <x:v>2026-08-12</x:v>
      </x:c>
      <x:c r="Q168" s="36" t="n">
        <x:v>46246</x:v>
      </x:c>
    </x:row>
    <x:row r="169">
      <x:c r="A169" s="36" t="str">
        <x:v>2026-08-12</x:v>
      </x:c>
      <x:c r="B169" s="18" t="str">
        <x:v>101437000_74223</x:v>
      </x:c>
      <x:c r="C169" s="18" t="str">
        <x:v>【沪村小电】中兴村委会充电站</x:v>
      </x:c>
      <x:c r="D169" s="37" t="str">
        <x:v>2</x:v>
      </x:c>
      <x:c r="E169" s="37" t="str">
        <x:v>0</x:v>
      </x:c>
      <x:c r="F169" s="37" t="str">
        <x:v>19</x:v>
      </x:c>
      <x:c r="G169" s="37" t="str">
        <x:v>496.64</x:v>
      </x:c>
      <x:c r="H169" s="37" t="str">
        <x:v>0.00</x:v>
      </x:c>
      <x:c r="I169" s="37" t="str">
        <x:v>188.50</x:v>
      </x:c>
      <x:c r="J169" s="37" t="str">
        <x:v>0.00</x:v>
      </x:c>
      <x:c r="K169" s="37" t="str">
        <x:v>308.15</x:v>
      </x:c>
      <x:c r="L169" s="37" t="str">
        <x:v>684</x:v>
      </x:c>
      <x:c r="M169" s="29" t="str">
        <x:v>462.00</x:v>
      </x:c>
      <x:c r="N169" s="29" t="str">
        <x:v>343.78</x:v>
      </x:c>
      <x:c r="O169" s="29" t="str">
        <x:v>118.22</x:v>
      </x:c>
      <x:c r="P169" s="18" t="str">
        <x:v>2026-08-12</x:v>
      </x:c>
      <x:c r="Q169" s="36" t="n">
        <x:v>46246</x:v>
      </x:c>
    </x:row>
    <x:row r="170">
      <x:c r="A170" s="36" t="str">
        <x:v>2026-08-12</x:v>
      </x:c>
      <x:c r="B170" s="18" t="str">
        <x:v>101437000_74801</x:v>
      </x:c>
      <x:c r="C170" s="18" t="str">
        <x:v>【沪村小电】申良花园充电站</x:v>
      </x:c>
      <x:c r="D170" s="37" t="str">
        <x:v>4</x:v>
      </x:c>
      <x:c r="E170" s="37" t="str">
        <x:v>0</x:v>
      </x:c>
      <x:c r="F170" s="37" t="str">
        <x:v>4</x:v>
      </x:c>
      <x:c r="G170" s="37" t="str">
        <x:v>115.12</x:v>
      </x:c>
      <x:c r="H170" s="37" t="str">
        <x:v>0.00</x:v>
      </x:c>
      <x:c r="I170" s="37" t="str">
        <x:v>43.59</x:v>
      </x:c>
      <x:c r="J170" s="37" t="str">
        <x:v>0.00</x:v>
      </x:c>
      <x:c r="K170" s="37" t="str">
        <x:v>71.53</x:v>
      </x:c>
      <x:c r="L170" s="37" t="str">
        <x:v>116</x:v>
      </x:c>
      <x:c r="M170" s="29" t="str">
        <x:v>98.23</x:v>
      </x:c>
      <x:c r="N170" s="29" t="str">
        <x:v>57.41</x:v>
      </x:c>
      <x:c r="O170" s="29" t="str">
        <x:v>40.82</x:v>
      </x:c>
      <x:c r="P170" s="18" t="str">
        <x:v>2026-08-12</x:v>
      </x:c>
      <x:c r="Q170" s="36" t="n">
        <x:v>46246</x:v>
      </x:c>
    </x:row>
    <x:row r="171">
      <x:c r="A171" s="36" t="str">
        <x:v>2026-08-12</x:v>
      </x:c>
      <x:c r="B171" s="18" t="str">
        <x:v>101437000_74931</x:v>
      </x:c>
      <x:c r="C171" s="18" t="str">
        <x:v>【沪村小电】枫雅南居充电站</x:v>
      </x:c>
      <x:c r="D171" s="37" t="str">
        <x:v>2</x:v>
      </x:c>
      <x:c r="E171" s="37" t="str">
        <x:v>0</x:v>
      </x:c>
      <x:c r="F171" s="37" t="str">
        <x:v>53</x:v>
      </x:c>
      <x:c r="G171" s="37" t="str">
        <x:v>1523.14</x:v>
      </x:c>
      <x:c r="H171" s="37" t="str">
        <x:v>0.00</x:v>
      </x:c>
      <x:c r="I171" s="37" t="str">
        <x:v>848.68</x:v>
      </x:c>
      <x:c r="J171" s="37" t="str">
        <x:v>0.00</x:v>
      </x:c>
      <x:c r="K171" s="37" t="str">
        <x:v>674.47</x:v>
      </x:c>
      <x:c r="L171" s="37" t="str">
        <x:v>2146</x:v>
      </x:c>
      <x:c r="M171" s="29" t="str">
        <x:v>1043.03</x:v>
      </x:c>
      <x:c r="N171" s="29" t="str">
        <x:v>709.78</x:v>
      </x:c>
      <x:c r="O171" s="29" t="str">
        <x:v>333.25</x:v>
      </x:c>
      <x:c r="P171" s="18" t="str">
        <x:v>2026-08-12</x:v>
      </x:c>
      <x:c r="Q171" s="36" t="n">
        <x:v>46246</x:v>
      </x:c>
    </x:row>
    <x:row r="172">
      <x:c r="A172" s="36" t="str">
        <x:v>2026-08-12</x:v>
      </x:c>
      <x:c r="B172" s="18" t="str">
        <x:v>101437000_75901</x:v>
      </x:c>
      <x:c r="C172" s="18" t="str">
        <x:v>【沪村小电】金悦学府</x:v>
      </x:c>
      <x:c r="D172" s="37" t="str">
        <x:v>2</x:v>
      </x:c>
      <x:c r="E172" s="37" t="str">
        <x:v>0</x:v>
      </x:c>
      <x:c r="F172" s="37" t="str">
        <x:v>41</x:v>
      </x:c>
      <x:c r="G172" s="37" t="str">
        <x:v>1217.56</x:v>
      </x:c>
      <x:c r="H172" s="37" t="str">
        <x:v>0.00</x:v>
      </x:c>
      <x:c r="I172" s="37" t="str">
        <x:v>487.29</x:v>
      </x:c>
      <x:c r="J172" s="37" t="str">
        <x:v>0.00</x:v>
      </x:c>
      <x:c r="K172" s="37" t="str">
        <x:v>730.27</x:v>
      </x:c>
      <x:c r="L172" s="37" t="str">
        <x:v>1764</x:v>
      </x:c>
      <x:c r="M172" s="29" t="str">
        <x:v>887.35</x:v>
      </x:c>
      <x:c r="N172" s="29" t="str">
        <x:v>513.89</x:v>
      </x:c>
      <x:c r="O172" s="29" t="str">
        <x:v>373.46</x:v>
      </x:c>
      <x:c r="P172" s="18" t="str">
        <x:v>2026-08-12</x:v>
      </x:c>
      <x:c r="Q172" s="36" t="n">
        <x:v>46246</x:v>
      </x:c>
    </x:row>
    <x:row r="173">
      <x:c r="A173" s="36" t="str">
        <x:v>2026-08-12</x:v>
      </x:c>
      <x:c r="B173" s="18" t="str">
        <x:v>101437000_76091</x:v>
      </x:c>
      <x:c r="C173" s="18" t="str">
        <x:v>【沪村小电】恒信家园充电站</x:v>
      </x:c>
      <x:c r="D173" s="37" t="str">
        <x:v>2</x:v>
      </x:c>
      <x:c r="E173" s="37" t="str">
        <x:v>0</x:v>
      </x:c>
      <x:c r="F173" s="37" t="str">
        <x:v>43</x:v>
      </x:c>
      <x:c r="G173" s="37" t="str">
        <x:v>999.81</x:v>
      </x:c>
      <x:c r="H173" s="37" t="str">
        <x:v>0.00</x:v>
      </x:c>
      <x:c r="I173" s="37" t="str">
        <x:v>646.08</x:v>
      </x:c>
      <x:c r="J173" s="37" t="str">
        <x:v>0.00</x:v>
      </x:c>
      <x:c r="K173" s="37" t="str">
        <x:v>353.73</x:v>
      </x:c>
      <x:c r="L173" s="37" t="str">
        <x:v>1624</x:v>
      </x:c>
      <x:c r="M173" s="29" t="str">
        <x:v>972.07</x:v>
      </x:c>
      <x:c r="N173" s="29" t="str">
        <x:v>589.53</x:v>
      </x:c>
      <x:c r="O173" s="29" t="str">
        <x:v>382.54</x:v>
      </x:c>
      <x:c r="P173" s="18" t="str">
        <x:v>2026-08-12</x:v>
      </x:c>
      <x:c r="Q173" s="36" t="n">
        <x:v>46246</x:v>
      </x:c>
    </x:row>
    <x:row r="174">
      <x:c r="A174" s="36" t="str">
        <x:v>2026-08-12</x:v>
      </x:c>
      <x:c r="B174" s="18" t="str">
        <x:v>101437000_76417</x:v>
      </x:c>
      <x:c r="C174" s="18" t="str">
        <x:v>【沪村小电】新春一组充电站</x:v>
      </x:c>
      <x:c r="D174" s="37" t="str">
        <x:v>2</x:v>
      </x:c>
      <x:c r="E174" s="37" t="str">
        <x:v>0</x:v>
      </x:c>
      <x:c r="F174" s="37" t="str">
        <x:v>17</x:v>
      </x:c>
      <x:c r="G174" s="37" t="str">
        <x:v>417.75</x:v>
      </x:c>
      <x:c r="H174" s="37" t="str">
        <x:v>0.00</x:v>
      </x:c>
      <x:c r="I174" s="37" t="str">
        <x:v>151.86</x:v>
      </x:c>
      <x:c r="J174" s="37" t="str">
        <x:v>0.00</x:v>
      </x:c>
      <x:c r="K174" s="37" t="str">
        <x:v>265.89</x:v>
      </x:c>
      <x:c r="L174" s="37" t="str">
        <x:v>617</x:v>
      </x:c>
      <x:c r="M174" s="29" t="str">
        <x:v>363.62</x:v>
      </x:c>
      <x:c r="N174" s="29" t="str">
        <x:v>285.92</x:v>
      </x:c>
      <x:c r="O174" s="29" t="str">
        <x:v>77.70</x:v>
      </x:c>
      <x:c r="P174" s="18" t="str">
        <x:v>2026-08-12</x:v>
      </x:c>
      <x:c r="Q174" s="36" t="n">
        <x:v>46246</x:v>
      </x:c>
    </x:row>
    <x:row r="175">
      <x:c r="A175" s="36" t="str">
        <x:v>2026-08-12</x:v>
      </x:c>
      <x:c r="B175" s="18" t="str">
        <x:v>101437000_78235</x:v>
      </x:c>
      <x:c r="C175" s="18" t="str">
        <x:v>【沪村小电】欣秋苑充电站</x:v>
      </x:c>
      <x:c r="D175" s="37" t="str">
        <x:v>4</x:v>
      </x:c>
      <x:c r="E175" s="37" t="str">
        <x:v>0</x:v>
      </x:c>
      <x:c r="F175" s="37" t="str">
        <x:v>15</x:v>
      </x:c>
      <x:c r="G175" s="37" t="str">
        <x:v>345.43</x:v>
      </x:c>
      <x:c r="H175" s="37" t="str">
        <x:v>0.00</x:v>
      </x:c>
      <x:c r="I175" s="37" t="str">
        <x:v>189.82</x:v>
      </x:c>
      <x:c r="J175" s="37" t="str">
        <x:v>0.00</x:v>
      </x:c>
      <x:c r="K175" s="37" t="str">
        <x:v>155.61</x:v>
      </x:c>
      <x:c r="L175" s="37" t="str">
        <x:v>659</x:v>
      </x:c>
      <x:c r="M175" s="29" t="str">
        <x:v>253.40</x:v>
      </x:c>
      <x:c r="N175" s="29" t="str">
        <x:v>192.35</x:v>
      </x:c>
      <x:c r="O175" s="29" t="str">
        <x:v>61.05</x:v>
      </x:c>
      <x:c r="P175" s="18" t="str">
        <x:v>2026-08-12</x:v>
      </x:c>
      <x:c r="Q175" s="36" t="n">
        <x:v>46246</x:v>
      </x:c>
    </x:row>
    <x:row r="176">
      <x:c r="A176" s="36" t="str">
        <x:v>2026-08-12</x:v>
      </x:c>
      <x:c r="B176" s="18" t="str">
        <x:v>101437000_78237</x:v>
      </x:c>
      <x:c r="C176" s="18" t="str">
        <x:v>【沪村小电】奉馨苑西门小区内北侧充电站</x:v>
      </x:c>
      <x:c r="D176" s="37" t="str">
        <x:v>2</x:v>
      </x:c>
      <x:c r="E176" s="37" t="str">
        <x:v>0</x:v>
      </x:c>
      <x:c r="F176" s="37" t="str">
        <x:v>30</x:v>
      </x:c>
      <x:c r="G176" s="37" t="str">
        <x:v>988.47</x:v>
      </x:c>
      <x:c r="H176" s="37" t="str">
        <x:v>42.24</x:v>
      </x:c>
      <x:c r="I176" s="37" t="str">
        <x:v>199.32</x:v>
      </x:c>
      <x:c r="J176" s="37" t="str">
        <x:v>267.86</x:v>
      </x:c>
      <x:c r="K176" s="37" t="str">
        <x:v>479.05</x:v>
      </x:c>
      <x:c r="L176" s="37" t="str">
        <x:v>1319</x:v>
      </x:c>
      <x:c r="M176" s="29" t="str">
        <x:v>845.49</x:v>
      </x:c>
      <x:c r="N176" s="29" t="str">
        <x:v>656.56</x:v>
      </x:c>
      <x:c r="O176" s="29" t="str">
        <x:v>188.93</x:v>
      </x:c>
      <x:c r="P176" s="18" t="str">
        <x:v>2026-08-12</x:v>
      </x:c>
      <x:c r="Q176" s="36" t="n">
        <x:v>46246</x:v>
      </x:c>
    </x:row>
    <x:row r="177">
      <x:c r="A177" s="36" t="str">
        <x:v>2026-08-12</x:v>
      </x:c>
      <x:c r="B177" s="18" t="str">
        <x:v>101437000_80823</x:v>
      </x:c>
      <x:c r="C177" s="18" t="str">
        <x:v>【沪村小电】上湖轩充电站</x:v>
      </x:c>
      <x:c r="D177" s="37" t="str">
        <x:v>2</x:v>
      </x:c>
      <x:c r="E177" s="37" t="str">
        <x:v>0</x:v>
      </x:c>
      <x:c r="F177" s="37" t="str">
        <x:v>8</x:v>
      </x:c>
      <x:c r="G177" s="37" t="str">
        <x:v>126.89</x:v>
      </x:c>
      <x:c r="H177" s="37" t="str">
        <x:v>1.88</x:v>
      </x:c>
      <x:c r="I177" s="37" t="str">
        <x:v>16.87</x:v>
      </x:c>
      <x:c r="J177" s="37" t="str">
        <x:v>57.00</x:v>
      </x:c>
      <x:c r="K177" s="37" t="str">
        <x:v>51.14</x:v>
      </x:c>
      <x:c r="L177" s="37" t="str">
        <x:v>252</x:v>
      </x:c>
      <x:c r="M177" s="29" t="str">
        <x:v>111.47</x:v>
      </x:c>
      <x:c r="N177" s="29" t="str">
        <x:v>96.44</x:v>
      </x:c>
      <x:c r="O177" s="29" t="str">
        <x:v>15.03</x:v>
      </x:c>
      <x:c r="P177" s="18" t="str">
        <x:v>2026-08-12</x:v>
      </x:c>
      <x:c r="Q177" s="36" t="n">
        <x:v>46246</x:v>
      </x:c>
    </x:row>
    <x:row r="178">
      <x:c r="A178" s="36" t="str">
        <x:v>2026-08-12</x:v>
      </x:c>
      <x:c r="B178" s="18" t="str">
        <x:v>101437000_83019</x:v>
      </x:c>
      <x:c r="C178" s="18" t="str">
        <x:v>【沪村小电】首创禧瑞云启东区充电站</x:v>
      </x:c>
      <x:c r="D178" s="37" t="str">
        <x:v>2</x:v>
      </x:c>
      <x:c r="E178" s="37" t="str">
        <x:v>0</x:v>
      </x:c>
      <x:c r="F178" s="37" t="str">
        <x:v>19</x:v>
      </x:c>
      <x:c r="G178" s="37" t="str">
        <x:v>515.16</x:v>
      </x:c>
      <x:c r="H178" s="37" t="str">
        <x:v>0.00</x:v>
      </x:c>
      <x:c r="I178" s="37" t="str">
        <x:v>283.62</x:v>
      </x:c>
      <x:c r="J178" s="37" t="str">
        <x:v>0.00</x:v>
      </x:c>
      <x:c r="K178" s="37" t="str">
        <x:v>231.54</x:v>
      </x:c>
      <x:c r="L178" s="37" t="str">
        <x:v>663</x:v>
      </x:c>
      <x:c r="M178" s="29" t="str">
        <x:v>465.29</x:v>
      </x:c>
      <x:c r="N178" s="29" t="str">
        <x:v>287.03</x:v>
      </x:c>
      <x:c r="O178" s="29" t="str">
        <x:v>178.26</x:v>
      </x:c>
      <x:c r="P178" s="18" t="str">
        <x:v>2026-08-12</x:v>
      </x:c>
      <x:c r="Q178" s="36" t="n">
        <x:v>46246</x:v>
      </x:c>
    </x:row>
    <x:row r="179">
      <x:c r="A179" s="36" t="str">
        <x:v>2026-08-12</x:v>
      </x:c>
      <x:c r="B179" s="18" t="str">
        <x:v>101437000_83093</x:v>
      </x:c>
      <x:c r="C179" s="18" t="str">
        <x:v>【沪村小电】金茂未来时光里</x:v>
      </x:c>
      <x:c r="D179" s="37" t="str">
        <x:v>2</x:v>
      </x:c>
      <x:c r="E179" s="37" t="str">
        <x:v>0</x:v>
      </x:c>
      <x:c r="F179" s="37" t="str">
        <x:v>53</x:v>
      </x:c>
      <x:c r="G179" s="37" t="str">
        <x:v>1676.29</x:v>
      </x:c>
      <x:c r="H179" s="37" t="str">
        <x:v>0.00</x:v>
      </x:c>
      <x:c r="I179" s="37" t="str">
        <x:v>732.55</x:v>
      </x:c>
      <x:c r="J179" s="37" t="str">
        <x:v>0.00</x:v>
      </x:c>
      <x:c r="K179" s="37" t="str">
        <x:v>943.74</x:v>
      </x:c>
      <x:c r="L179" s="37" t="str">
        <x:v>2253</x:v>
      </x:c>
      <x:c r="M179" s="29" t="str">
        <x:v>1091.84</x:v>
      </x:c>
      <x:c r="N179" s="29" t="str">
        <x:v>724.80</x:v>
      </x:c>
      <x:c r="O179" s="29" t="str">
        <x:v>367.04</x:v>
      </x:c>
      <x:c r="P179" s="18" t="str">
        <x:v>2026-08-12</x:v>
      </x:c>
      <x:c r="Q179" s="36" t="n">
        <x:v>46246</x:v>
      </x:c>
    </x:row>
    <x:row r="180">
      <x:c r="A180" s="36" t="str">
        <x:v>2026-08-12</x:v>
      </x:c>
      <x:c r="B180" s="18" t="str">
        <x:v>101437000_83911</x:v>
      </x:c>
      <x:c r="C180" s="18" t="str">
        <x:v>【沪村小电】金瀚园充电站</x:v>
      </x:c>
      <x:c r="D180" s="37" t="str">
        <x:v>2</x:v>
      </x:c>
      <x:c r="E180" s="37" t="str">
        <x:v>0</x:v>
      </x:c>
      <x:c r="F180" s="37" t="str">
        <x:v>50</x:v>
      </x:c>
      <x:c r="G180" s="37" t="str">
        <x:v>1201.35</x:v>
      </x:c>
      <x:c r="H180" s="37" t="str">
        <x:v>0.00</x:v>
      </x:c>
      <x:c r="I180" s="37" t="str">
        <x:v>730.34</x:v>
      </x:c>
      <x:c r="J180" s="37" t="str">
        <x:v>0.00</x:v>
      </x:c>
      <x:c r="K180" s="37" t="str">
        <x:v>471.01</x:v>
      </x:c>
      <x:c r="L180" s="37" t="str">
        <x:v>1844</x:v>
      </x:c>
      <x:c r="M180" s="29" t="str">
        <x:v>1070.39</x:v>
      </x:c>
      <x:c r="N180" s="29" t="str">
        <x:v>692.81</x:v>
      </x:c>
      <x:c r="O180" s="29" t="str">
        <x:v>377.58</x:v>
      </x:c>
      <x:c r="P180" s="18" t="str">
        <x:v>2026-08-12</x:v>
      </x:c>
      <x:c r="Q180" s="36" t="n">
        <x:v>46246</x:v>
      </x:c>
    </x:row>
    <x:row r="181">
      <x:c r="A181" s="36" t="str">
        <x:v>2026-08-12</x:v>
      </x:c>
      <x:c r="B181" s="18" t="str">
        <x:v>101437000_83913</x:v>
      </x:c>
      <x:c r="C181" s="18" t="str">
        <x:v>【沪村小电】新黎村充电站</x:v>
      </x:c>
      <x:c r="D181" s="37" t="str">
        <x:v>2</x:v>
      </x:c>
      <x:c r="E181" s="37" t="str">
        <x:v>0</x:v>
      </x:c>
      <x:c r="F181" s="37" t="str">
        <x:v>41</x:v>
      </x:c>
      <x:c r="G181" s="37" t="str">
        <x:v>783.26</x:v>
      </x:c>
      <x:c r="H181" s="37" t="str">
        <x:v>0.00</x:v>
      </x:c>
      <x:c r="I181" s="37" t="str">
        <x:v>532.54</x:v>
      </x:c>
      <x:c r="J181" s="37" t="str">
        <x:v>0.00</x:v>
      </x:c>
      <x:c r="K181" s="37" t="str">
        <x:v>250.73</x:v>
      </x:c>
      <x:c r="L181" s="37" t="str">
        <x:v>1011</x:v>
      </x:c>
      <x:c r="M181" s="29" t="str">
        <x:v>828.08</x:v>
      </x:c>
      <x:c r="N181" s="29" t="str">
        <x:v>655.13</x:v>
      </x:c>
      <x:c r="O181" s="29" t="str">
        <x:v>172.95</x:v>
      </x:c>
      <x:c r="P181" s="18" t="str">
        <x:v>2026-08-12</x:v>
      </x:c>
      <x:c r="Q181" s="36" t="n">
        <x:v>46246</x:v>
      </x:c>
    </x:row>
    <x:row r="182">
      <x:c r="A182" s="36" t="str">
        <x:v>2026-08-12</x:v>
      </x:c>
      <x:c r="B182" s="18" t="str">
        <x:v>101437000_83915</x:v>
      </x:c>
      <x:c r="C182" s="18" t="str">
        <x:v>【沪村小电】长泰西郊别墅充电站</x:v>
      </x:c>
      <x:c r="D182" s="37" t="str">
        <x:v>2</x:v>
      </x:c>
      <x:c r="E182" s="37" t="str">
        <x:v>0</x:v>
      </x:c>
      <x:c r="F182" s="37" t="str">
        <x:v>21</x:v>
      </x:c>
      <x:c r="G182" s="37" t="str">
        <x:v>522.82</x:v>
      </x:c>
      <x:c r="H182" s="37" t="str">
        <x:v>0.00</x:v>
      </x:c>
      <x:c r="I182" s="37" t="str">
        <x:v>299.49</x:v>
      </x:c>
      <x:c r="J182" s="37" t="str">
        <x:v>0.00</x:v>
      </x:c>
      <x:c r="K182" s="37" t="str">
        <x:v>223.33</x:v>
      </x:c>
      <x:c r="L182" s="37" t="str">
        <x:v>732</x:v>
      </x:c>
      <x:c r="M182" s="29" t="str">
        <x:v>447.73</x:v>
      </x:c>
      <x:c r="N182" s="29" t="str">
        <x:v>295.30</x:v>
      </x:c>
      <x:c r="O182" s="29" t="str">
        <x:v>152.43</x:v>
      </x:c>
      <x:c r="P182" s="18" t="str">
        <x:v>2026-08-12</x:v>
      </x:c>
      <x:c r="Q182" s="36" t="n">
        <x:v>46246</x:v>
      </x:c>
    </x:row>
    <x:row r="183">
      <x:c r="A183" s="36" t="str">
        <x:v>2026-08-12</x:v>
      </x:c>
      <x:c r="B183" s="18" t="str">
        <x:v>101437000_83917</x:v>
      </x:c>
      <x:c r="C183" s="18" t="str">
        <x:v>【沪村小电】旭新华庭充电站</x:v>
      </x:c>
      <x:c r="D183" s="37" t="str">
        <x:v>4</x:v>
      </x:c>
      <x:c r="E183" s="37" t="str">
        <x:v>0</x:v>
      </x:c>
      <x:c r="F183" s="37" t="str">
        <x:v>33</x:v>
      </x:c>
      <x:c r="G183" s="37" t="str">
        <x:v>943.70</x:v>
      </x:c>
      <x:c r="H183" s="37" t="str">
        <x:v>0.00</x:v>
      </x:c>
      <x:c r="I183" s="37" t="str">
        <x:v>690.12</x:v>
      </x:c>
      <x:c r="J183" s="37" t="str">
        <x:v>0.00</x:v>
      </x:c>
      <x:c r="K183" s="37" t="str">
        <x:v>253.59</x:v>
      </x:c>
      <x:c r="L183" s="37" t="str">
        <x:v>1410</x:v>
      </x:c>
      <x:c r="M183" s="29" t="str">
        <x:v>970.39</x:v>
      </x:c>
      <x:c r="N183" s="29" t="str">
        <x:v>583.79</x:v>
      </x:c>
      <x:c r="O183" s="29" t="str">
        <x:v>386.60</x:v>
      </x:c>
      <x:c r="P183" s="18" t="str">
        <x:v>2026-08-12</x:v>
      </x:c>
      <x:c r="Q183" s="36" t="n">
        <x:v>46246</x:v>
      </x:c>
    </x:row>
    <x:row r="184">
      <x:c r="A184" s="36" t="str">
        <x:v>2026-08-12</x:v>
      </x:c>
      <x:c r="B184" s="18" t="str">
        <x:v>101437000_83919</x:v>
      </x:c>
      <x:c r="C184" s="18" t="str">
        <x:v>【沪村小电】浦锦名仕嘉园充电站</x:v>
      </x:c>
      <x:c r="D184" s="37" t="str">
        <x:v>4</x:v>
      </x:c>
      <x:c r="E184" s="37" t="str">
        <x:v>0</x:v>
      </x:c>
      <x:c r="F184" s="37" t="str">
        <x:v>39</x:v>
      </x:c>
      <x:c r="G184" s="37" t="str">
        <x:v>974.27</x:v>
      </x:c>
      <x:c r="H184" s="37" t="str">
        <x:v>0.00</x:v>
      </x:c>
      <x:c r="I184" s="37" t="str">
        <x:v>0.00</x:v>
      </x:c>
      <x:c r="J184" s="37" t="str">
        <x:v>974.27</x:v>
      </x:c>
      <x:c r="K184" s="37" t="str">
        <x:v>0.00</x:v>
      </x:c>
      <x:c r="L184" s="37" t="str">
        <x:v>1270</x:v>
      </x:c>
      <x:c r="M184" s="29" t="str">
        <x:v>953.08</x:v>
      </x:c>
      <x:c r="N184" s="29" t="str">
        <x:v>682.00</x:v>
      </x:c>
      <x:c r="O184" s="29" t="str">
        <x:v>271.08</x:v>
      </x:c>
      <x:c r="P184" s="18" t="str">
        <x:v>2026-08-12</x:v>
      </x:c>
      <x:c r="Q184" s="36" t="n">
        <x:v>46246</x:v>
      </x:c>
    </x:row>
    <x:row r="185">
      <x:c r="A185" s="36" t="str">
        <x:v>2026-08-12</x:v>
      </x:c>
      <x:c r="B185" s="18" t="str">
        <x:v>101437000_83921</x:v>
      </x:c>
      <x:c r="C185" s="18" t="str">
        <x:v>【沪村小电】上海联怡枇杷乐园充电站（地库）</x:v>
      </x:c>
      <x:c r="D185" s="37" t="str">
        <x:v>8</x:v>
      </x:c>
      <x:c r="E185" s="37" t="str">
        <x:v>0</x:v>
      </x:c>
      <x:c r="F185" s="37" t="str">
        <x:v>7</x:v>
      </x:c>
      <x:c r="G185" s="37" t="str">
        <x:v>229.42</x:v>
      </x:c>
      <x:c r="H185" s="37" t="str">
        <x:v>0.00</x:v>
      </x:c>
      <x:c r="I185" s="37" t="str">
        <x:v>28.65</x:v>
      </x:c>
      <x:c r="J185" s="37" t="str">
        <x:v>7.67</x:v>
      </x:c>
      <x:c r="K185" s="37" t="str">
        <x:v>193.10</x:v>
      </x:c>
      <x:c r="L185" s="37" t="str">
        <x:v>395</x:v>
      </x:c>
      <x:c r="M185" s="29" t="str">
        <x:v>182.02</x:v>
      </x:c>
      <x:c r="N185" s="29" t="str">
        <x:v>155.03</x:v>
      </x:c>
      <x:c r="O185" s="29" t="str">
        <x:v>26.99</x:v>
      </x:c>
      <x:c r="P185" s="18" t="str">
        <x:v>2026-08-12</x:v>
      </x:c>
      <x:c r="Q185" s="36" t="n">
        <x:v>46246</x:v>
      </x:c>
    </x:row>
    <x:row r="186">
      <x:c r="A186" s="36" t="str">
        <x:v>2026-08-12</x:v>
      </x:c>
      <x:c r="B186" s="18" t="str">
        <x:v>101437000_83923</x:v>
      </x:c>
      <x:c r="C186" s="18" t="str">
        <x:v>【沪村小电】明珠新苑充电站</x:v>
      </x:c>
      <x:c r="D186" s="37" t="str">
        <x:v>2</x:v>
      </x:c>
      <x:c r="E186" s="37" t="str">
        <x:v>0</x:v>
      </x:c>
      <x:c r="F186" s="37" t="str">
        <x:v>27</x:v>
      </x:c>
      <x:c r="G186" s="37" t="str">
        <x:v>737.80</x:v>
      </x:c>
      <x:c r="H186" s="37" t="str">
        <x:v>0.00</x:v>
      </x:c>
      <x:c r="I186" s="37" t="str">
        <x:v>446.39</x:v>
      </x:c>
      <x:c r="J186" s="37" t="str">
        <x:v>0.00</x:v>
      </x:c>
      <x:c r="K186" s="37" t="str">
        <x:v>291.41</x:v>
      </x:c>
      <x:c r="L186" s="37" t="str">
        <x:v>1062</x:v>
      </x:c>
      <x:c r="M186" s="29" t="str">
        <x:v>663.20</x:v>
      </x:c>
      <x:c r="N186" s="29" t="str">
        <x:v>424.76</x:v>
      </x:c>
      <x:c r="O186" s="29" t="str">
        <x:v>238.44</x:v>
      </x:c>
      <x:c r="P186" s="18" t="str">
        <x:v>2026-08-12</x:v>
      </x:c>
      <x:c r="Q186" s="36" t="n">
        <x:v>46246</x:v>
      </x:c>
    </x:row>
    <x:row r="187">
      <x:c r="A187" s="36" t="str">
        <x:v>2026-08-12</x:v>
      </x:c>
      <x:c r="B187" s="18" t="str">
        <x:v>101437000_84289</x:v>
      </x:c>
      <x:c r="C187" s="18" t="str">
        <x:v>【沪村小电】铁建芳华苑充电站</x:v>
      </x:c>
      <x:c r="D187" s="37" t="str">
        <x:v>4</x:v>
      </x:c>
      <x:c r="E187" s="37" t="str">
        <x:v>0</x:v>
      </x:c>
      <x:c r="F187" s="37" t="str">
        <x:v>49</x:v>
      </x:c>
      <x:c r="G187" s="37" t="str">
        <x:v>1223.38</x:v>
      </x:c>
      <x:c r="H187" s="37" t="str">
        <x:v>0.00</x:v>
      </x:c>
      <x:c r="I187" s="37" t="str">
        <x:v>675.94</x:v>
      </x:c>
      <x:c r="J187" s="37" t="str">
        <x:v>0.00</x:v>
      </x:c>
      <x:c r="K187" s="37" t="str">
        <x:v>547.44</x:v>
      </x:c>
      <x:c r="L187" s="37" t="str">
        <x:v>2020</x:v>
      </x:c>
      <x:c r="M187" s="29" t="str">
        <x:v>1053.81</x:v>
      </x:c>
      <x:c r="N187" s="29" t="str">
        <x:v>682.47</x:v>
      </x:c>
      <x:c r="O187" s="29" t="str">
        <x:v>371.34</x:v>
      </x:c>
      <x:c r="P187" s="18" t="str">
        <x:v>2026-08-12</x:v>
      </x:c>
      <x:c r="Q187" s="36" t="n">
        <x:v>46246</x:v>
      </x:c>
    </x:row>
    <x:row r="188">
      <x:c r="A188" s="36" t="str">
        <x:v>2026-08-12</x:v>
      </x:c>
      <x:c r="B188" s="18" t="str">
        <x:v>101437000_86379</x:v>
      </x:c>
      <x:c r="C188" s="18" t="str">
        <x:v>【沪村小电】新宝社区充电站</x:v>
      </x:c>
      <x:c r="D188" s="37" t="str">
        <x:v>4</x:v>
      </x:c>
      <x:c r="E188" s="37" t="str">
        <x:v>0</x:v>
      </x:c>
      <x:c r="F188" s="37" t="str">
        <x:v>29</x:v>
      </x:c>
      <x:c r="G188" s="37" t="str">
        <x:v>620.83</x:v>
      </x:c>
      <x:c r="H188" s="37" t="str">
        <x:v>0.00</x:v>
      </x:c>
      <x:c r="I188" s="37" t="str">
        <x:v>290.27</x:v>
      </x:c>
      <x:c r="J188" s="37" t="str">
        <x:v>0.00</x:v>
      </x:c>
      <x:c r="K188" s="37" t="str">
        <x:v>330.57</x:v>
      </x:c>
      <x:c r="L188" s="37" t="str">
        <x:v>1060</x:v>
      </x:c>
      <x:c r="M188" s="29" t="str">
        <x:v>501.80</x:v>
      </x:c>
      <x:c r="N188" s="29" t="str">
        <x:v>328.43</x:v>
      </x:c>
      <x:c r="O188" s="29" t="str">
        <x:v>173.37</x:v>
      </x:c>
      <x:c r="P188" s="18" t="str">
        <x:v>2026-08-12</x:v>
      </x:c>
      <x:c r="Q188" s="36" t="n">
        <x:v>46246</x:v>
      </x:c>
    </x:row>
    <x:row r="189">
      <x:c r="A189" s="36" t="str">
        <x:v>2026-08-12</x:v>
      </x:c>
      <x:c r="B189" s="18" t="str">
        <x:v>101437000_89441</x:v>
      </x:c>
      <x:c r="C189" s="18" t="str">
        <x:v>【沪村小电】首创禧瑞云启西区充电站</x:v>
      </x:c>
      <x:c r="D189" s="37" t="str">
        <x:v>2</x:v>
      </x:c>
      <x:c r="E189" s="37" t="str">
        <x:v>0</x:v>
      </x:c>
      <x:c r="F189" s="37" t="str">
        <x:v>32</x:v>
      </x:c>
      <x:c r="G189" s="37" t="str">
        <x:v>740.57</x:v>
      </x:c>
      <x:c r="H189" s="37" t="str">
        <x:v>0.00</x:v>
      </x:c>
      <x:c r="I189" s="37" t="str">
        <x:v>473.04</x:v>
      </x:c>
      <x:c r="J189" s="37" t="str">
        <x:v>0.00</x:v>
      </x:c>
      <x:c r="K189" s="37" t="str">
        <x:v>267.53</x:v>
      </x:c>
      <x:c r="L189" s="37" t="str">
        <x:v>1014</x:v>
      </x:c>
      <x:c r="M189" s="29" t="str">
        <x:v>703.60</x:v>
      </x:c>
      <x:c r="N189" s="29" t="str">
        <x:v>434.84</x:v>
      </x:c>
      <x:c r="O189" s="29" t="str">
        <x:v>268.76</x:v>
      </x:c>
      <x:c r="P189" s="18" t="str">
        <x:v>2026-08-12</x:v>
      </x:c>
      <x:c r="Q189" s="36" t="n">
        <x:v>46246</x:v>
      </x:c>
    </x:row>
    <x:row r="190">
      <x:c r="A190" s="36" t="str">
        <x:v>2026-08-12</x:v>
      </x:c>
      <x:c r="B190" s="18" t="str">
        <x:v>101437000_89443</x:v>
      </x:c>
      <x:c r="C190" s="18" t="str">
        <x:v>【沪村小电】玉兰清苑二期充电站</x:v>
      </x:c>
      <x:c r="D190" s="37" t="str">
        <x:v>2</x:v>
      </x:c>
      <x:c r="E190" s="37" t="str">
        <x:v>0</x:v>
      </x:c>
      <x:c r="F190" s="37" t="str">
        <x:v>37</x:v>
      </x:c>
      <x:c r="G190" s="37" t="str">
        <x:v>560.49</x:v>
      </x:c>
      <x:c r="H190" s="37" t="str">
        <x:v>0.00</x:v>
      </x:c>
      <x:c r="I190" s="37" t="str">
        <x:v>408.42</x:v>
      </x:c>
      <x:c r="J190" s="37" t="str">
        <x:v>0.00</x:v>
      </x:c>
      <x:c r="K190" s="37" t="str">
        <x:v>152.07</x:v>
      </x:c>
      <x:c r="L190" s="37" t="str">
        <x:v>923</x:v>
      </x:c>
      <x:c r="M190" s="29" t="str">
        <x:v>524.61</x:v>
      </x:c>
      <x:c r="N190" s="29" t="str">
        <x:v>346.23</x:v>
      </x:c>
      <x:c r="O190" s="29" t="str">
        <x:v>178.38</x:v>
      </x:c>
      <x:c r="P190" s="18" t="str">
        <x:v>2026-08-12</x:v>
      </x:c>
      <x:c r="Q190" s="36" t="n">
        <x:v>46246</x:v>
      </x:c>
    </x:row>
    <x:row r="191">
      <x:c r="A191" s="36" t="str">
        <x:v>2026-08-12</x:v>
      </x:c>
      <x:c r="B191" s="18" t="str">
        <x:v>101437000_93115</x:v>
      </x:c>
      <x:c r="C191" s="18" t="str">
        <x:v>【沪村小电】新南家园西北门</x:v>
      </x:c>
      <x:c r="D191" s="37" t="str">
        <x:v>2</x:v>
      </x:c>
      <x:c r="E191" s="37" t="str">
        <x:v>0</x:v>
      </x:c>
      <x:c r="F191" s="37" t="str">
        <x:v>23</x:v>
      </x:c>
      <x:c r="G191" s="37" t="str">
        <x:v>625.60</x:v>
      </x:c>
      <x:c r="H191" s="37" t="str">
        <x:v>0.00</x:v>
      </x:c>
      <x:c r="I191" s="37" t="str">
        <x:v>276.07</x:v>
      </x:c>
      <x:c r="J191" s="37" t="str">
        <x:v>0.00</x:v>
      </x:c>
      <x:c r="K191" s="37" t="str">
        <x:v>349.53</x:v>
      </x:c>
      <x:c r="L191" s="37" t="str">
        <x:v>957</x:v>
      </x:c>
      <x:c r="M191" s="29" t="str">
        <x:v>518.41</x:v>
      </x:c>
      <x:c r="N191" s="29" t="str">
        <x:v>325.34</x:v>
      </x:c>
      <x:c r="O191" s="29" t="str">
        <x:v>193.07</x:v>
      </x:c>
      <x:c r="P191" s="18" t="str">
        <x:v>2026-08-12</x:v>
      </x:c>
      <x:c r="Q191" s="36" t="n">
        <x:v>46246</x:v>
      </x:c>
    </x:row>
    <x:row r="192">
      <x:c r="A192" s="36" t="str">
        <x:v>2026-08-12</x:v>
      </x:c>
      <x:c r="B192" s="18" t="str">
        <x:v>101437000_94649</x:v>
      </x:c>
      <x:c r="C192" s="18" t="str">
        <x:v>【沪村小电】浪琴水岸花园</x:v>
      </x:c>
      <x:c r="D192" s="37" t="str">
        <x:v>4</x:v>
      </x:c>
      <x:c r="E192" s="37" t="str">
        <x:v>0</x:v>
      </x:c>
      <x:c r="F192" s="37" t="str">
        <x:v>37</x:v>
      </x:c>
      <x:c r="G192" s="37" t="str">
        <x:v>743.61</x:v>
      </x:c>
      <x:c r="H192" s="37" t="str">
        <x:v>0.00</x:v>
      </x:c>
      <x:c r="I192" s="37" t="str">
        <x:v>533.03</x:v>
      </x:c>
      <x:c r="J192" s="37" t="str">
        <x:v>0.00</x:v>
      </x:c>
      <x:c r="K192" s="37" t="str">
        <x:v>210.58</x:v>
      </x:c>
      <x:c r="L192" s="37" t="str">
        <x:v>1134</x:v>
      </x:c>
      <x:c r="M192" s="29" t="str">
        <x:v>667.80</x:v>
      </x:c>
      <x:c r="N192" s="29" t="str">
        <x:v>477.42</x:v>
      </x:c>
      <x:c r="O192" s="29" t="str">
        <x:v>190.38</x:v>
      </x:c>
      <x:c r="P192" s="18" t="str">
        <x:v>2026-08-12</x:v>
      </x:c>
      <x:c r="Q192" s="36" t="n">
        <x:v>46246</x:v>
      </x:c>
    </x:row>
    <x:row r="193">
      <x:c r="A193" s="36" t="str">
        <x:v>2026-08-12</x:v>
      </x:c>
      <x:c r="B193" s="18" t="str">
        <x:v>101437000_95077</x:v>
      </x:c>
      <x:c r="C193" s="18" t="str">
        <x:v>【沪村小电】民乐城惠益绿苑255弄充电站</x:v>
      </x:c>
      <x:c r="D193" s="37" t="str">
        <x:v>2</x:v>
      </x:c>
      <x:c r="E193" s="37" t="str">
        <x:v>0</x:v>
      </x:c>
      <x:c r="F193" s="37" t="str">
        <x:v>10</x:v>
      </x:c>
      <x:c r="G193" s="37" t="str">
        <x:v>73.40</x:v>
      </x:c>
      <x:c r="H193" s="37" t="str">
        <x:v>0.00</x:v>
      </x:c>
      <x:c r="I193" s="37" t="str">
        <x:v>73.40</x:v>
      </x:c>
      <x:c r="J193" s="37" t="str">
        <x:v>0.00</x:v>
      </x:c>
      <x:c r="K193" s="37" t="str">
        <x:v>0.00</x:v>
      </x:c>
      <x:c r="L193" s="37" t="str">
        <x:v>108</x:v>
      </x:c>
      <x:c r="M193" s="29" t="str">
        <x:v>70.01</x:v>
      </x:c>
      <x:c r="N193" s="29" t="str">
        <x:v>52.12</x:v>
      </x:c>
      <x:c r="O193" s="29" t="str">
        <x:v>17.89</x:v>
      </x:c>
      <x:c r="P193" s="18" t="str">
        <x:v>2026-08-12</x:v>
      </x:c>
      <x:c r="Q193" s="36" t="n">
        <x:v>46246</x:v>
      </x:c>
    </x:row>
    <x:row r="194">
      <x:c r="A194" s="36" t="str">
        <x:v>2026-08-12</x:v>
      </x:c>
      <x:c r="B194" s="18" t="str">
        <x:v>101437000_95079</x:v>
      </x:c>
      <x:c r="C194" s="18" t="str">
        <x:v>【沪村小电】民乐城惠益绿苑东苑充电站</x:v>
      </x:c>
      <x:c r="D194" s="37" t="str">
        <x:v>2</x:v>
      </x:c>
      <x:c r="E194" s="37" t="str">
        <x:v>0</x:v>
      </x:c>
      <x:c r="F194" s="37" t="str">
        <x:v>6</x:v>
      </x:c>
      <x:c r="G194" s="37" t="str">
        <x:v>123.05</x:v>
      </x:c>
      <x:c r="H194" s="37" t="str">
        <x:v>0.00</x:v>
      </x:c>
      <x:c r="I194" s="37" t="str">
        <x:v>123.05</x:v>
      </x:c>
      <x:c r="J194" s="37" t="str">
        <x:v>0.00</x:v>
      </x:c>
      <x:c r="K194" s="37" t="str">
        <x:v>0.00</x:v>
      </x:c>
      <x:c r="L194" s="37" t="str">
        <x:v>168</x:v>
      </x:c>
      <x:c r="M194" s="29" t="str">
        <x:v>131.33</x:v>
      </x:c>
      <x:c r="N194" s="29" t="str">
        <x:v>87.37</x:v>
      </x:c>
      <x:c r="O194" s="29" t="str">
        <x:v>43.96</x:v>
      </x:c>
      <x:c r="P194" s="18" t="str">
        <x:v>2026-08-12</x:v>
      </x:c>
      <x:c r="Q194" s="36" t="n">
        <x:v>46246</x:v>
      </x:c>
    </x:row>
    <x:row r="195">
      <x:c r="A195" s="36" t="str">
        <x:v>2026-08-12</x:v>
      </x:c>
      <x:c r="B195" s="18" t="str">
        <x:v>101437000_95081</x:v>
      </x:c>
      <x:c r="C195" s="18" t="str">
        <x:v>【沪村小电】民乐城惠益绿苑西苑充电站</x:v>
      </x:c>
      <x:c r="D195" s="37" t="str">
        <x:v>2</x:v>
      </x:c>
      <x:c r="E195" s="37" t="str">
        <x:v>0</x:v>
      </x:c>
      <x:c r="F195" s="37" t="str">
        <x:v>11</x:v>
      </x:c>
      <x:c r="G195" s="37" t="str">
        <x:v>181.03</x:v>
      </x:c>
      <x:c r="H195" s="37" t="str">
        <x:v>0.00</x:v>
      </x:c>
      <x:c r="I195" s="37" t="str">
        <x:v>171.33</x:v>
      </x:c>
      <x:c r="J195" s="37" t="str">
        <x:v>0.00</x:v>
      </x:c>
      <x:c r="K195" s="37" t="str">
        <x:v>9.70</x:v>
      </x:c>
      <x:c r="L195" s="37" t="str">
        <x:v>333</x:v>
      </x:c>
      <x:c r="M195" s="29" t="str">
        <x:v>200.15</x:v>
      </x:c>
      <x:c r="N195" s="29" t="str">
        <x:v>125.23</x:v>
      </x:c>
      <x:c r="O195" s="29" t="str">
        <x:v>74.92</x:v>
      </x:c>
      <x:c r="P195" s="18" t="str">
        <x:v>2026-08-12</x:v>
      </x:c>
      <x:c r="Q195" s="36" t="n">
        <x:v>46246</x:v>
      </x:c>
    </x:row>
    <x:row r="196">
      <x:c r="A196" s="36" t="str">
        <x:v>2026-08-12</x:v>
      </x:c>
      <x:c r="B196" s="18" t="str">
        <x:v>101437000_95091</x:v>
      </x:c>
      <x:c r="C196" s="18" t="str">
        <x:v>【沪村小电】金悦学府2号站</x:v>
      </x:c>
      <x:c r="D196" s="37" t="str">
        <x:v>2</x:v>
      </x:c>
      <x:c r="E196" s="37" t="str">
        <x:v>0</x:v>
      </x:c>
      <x:c r="F196" s="37" t="str">
        <x:v>25</x:v>
      </x:c>
      <x:c r="G196" s="37" t="str">
        <x:v>626.04</x:v>
      </x:c>
      <x:c r="H196" s="37" t="str">
        <x:v>0.00</x:v>
      </x:c>
      <x:c r="I196" s="37" t="str">
        <x:v>0.00</x:v>
      </x:c>
      <x:c r="J196" s="37" t="str">
        <x:v>626.04</x:v>
      </x:c>
      <x:c r="K196" s="37" t="str">
        <x:v>0.00</x:v>
      </x:c>
      <x:c r="L196" s="37" t="str">
        <x:v>1156</x:v>
      </x:c>
      <x:c r="M196" s="29" t="str">
        <x:v>494.57</x:v>
      </x:c>
      <x:c r="N196" s="29" t="str">
        <x:v>350.59</x:v>
      </x:c>
      <x:c r="O196" s="29" t="str">
        <x:v>143.98</x:v>
      </x:c>
      <x:c r="P196" s="18" t="str">
        <x:v>2026-08-12</x:v>
      </x:c>
      <x:c r="Q196" s="36" t="n">
        <x:v>46246</x:v>
      </x:c>
    </x:row>
    <x:row r="197">
      <x:c r="A197" s="36" t="str">
        <x:v>2026-08-12</x:v>
      </x:c>
      <x:c r="B197" s="18" t="str">
        <x:v>101437000_95941</x:v>
      </x:c>
      <x:c r="C197" s="18" t="str">
        <x:v>【沪村小电】惠诚雅苑</x:v>
      </x:c>
      <x:c r="D197" s="37" t="str">
        <x:v>4</x:v>
      </x:c>
      <x:c r="E197" s="37" t="str">
        <x:v>0</x:v>
      </x:c>
      <x:c r="F197" s="37" t="str">
        <x:v>52</x:v>
      </x:c>
      <x:c r="G197" s="37" t="str">
        <x:v>1392.52</x:v>
      </x:c>
      <x:c r="H197" s="37" t="str">
        <x:v>0.00</x:v>
      </x:c>
      <x:c r="I197" s="37" t="str">
        <x:v>502.19</x:v>
      </x:c>
      <x:c r="J197" s="37" t="str">
        <x:v>0.00</x:v>
      </x:c>
      <x:c r="K197" s="37" t="str">
        <x:v>890.32</x:v>
      </x:c>
      <x:c r="L197" s="37" t="str">
        <x:v>2232</x:v>
      </x:c>
      <x:c r="M197" s="29" t="str">
        <x:v>895.12</x:v>
      </x:c>
      <x:c r="N197" s="29" t="str">
        <x:v>572.29</x:v>
      </x:c>
      <x:c r="O197" s="29" t="str">
        <x:v>322.83</x:v>
      </x:c>
      <x:c r="P197" s="18" t="str">
        <x:v>2026-08-12</x:v>
      </x:c>
      <x:c r="Q197" s="36" t="n">
        <x:v>46246</x:v>
      </x:c>
    </x:row>
    <x:row r="198">
      <x:c r="A198" s="36" t="str">
        <x:v>2026-08-12</x:v>
      </x:c>
      <x:c r="B198" s="18" t="str">
        <x:v>101437000_96401</x:v>
      </x:c>
      <x:c r="C198" s="18" t="str">
        <x:v>【沪村小电】上海联怡枇杷乐园地面站</x:v>
      </x:c>
      <x:c r="D198" s="37" t="str">
        <x:v>2</x:v>
      </x:c>
      <x:c r="E198" s="37" t="str">
        <x:v>0</x:v>
      </x:c>
      <x:c r="F198" s="37" t="str">
        <x:v>18</x:v>
      </x:c>
      <x:c r="G198" s="37" t="str">
        <x:v>308.16</x:v>
      </x:c>
      <x:c r="H198" s="37" t="str">
        <x:v>0.00</x:v>
      </x:c>
      <x:c r="I198" s="37" t="str">
        <x:v>208.19</x:v>
      </x:c>
      <x:c r="J198" s="37" t="str">
        <x:v>0.00</x:v>
      </x:c>
      <x:c r="K198" s="37" t="str">
        <x:v>99.96</x:v>
      </x:c>
      <x:c r="L198" s="37" t="str">
        <x:v>504</x:v>
      </x:c>
      <x:c r="M198" s="29" t="str">
        <x:v>339.81</x:v>
      </x:c>
      <x:c r="N198" s="29" t="str">
        <x:v>271.56</x:v>
      </x:c>
      <x:c r="O198" s="29" t="str">
        <x:v>68.25</x:v>
      </x:c>
      <x:c r="P198" s="18" t="str">
        <x:v>2026-08-12</x:v>
      </x:c>
      <x:c r="Q198" s="36" t="n">
        <x:v>46246</x:v>
      </x:c>
    </x:row>
    <x:row r="199">
      <x:c r="A199" s="36" t="str">
        <x:v>2026-08-12</x:v>
      </x:c>
      <x:c r="B199" s="18" t="str">
        <x:v>101437000_96719</x:v>
      </x:c>
      <x:c r="C199" s="18" t="str">
        <x:v>【沪村小电】四达路220弄充电站</x:v>
      </x:c>
      <x:c r="D199" s="37" t="str">
        <x:v>2</x:v>
      </x:c>
      <x:c r="E199" s="37" t="str">
        <x:v>0</x:v>
      </x:c>
      <x:c r="F199" s="37" t="str">
        <x:v>1</x:v>
      </x:c>
      <x:c r="G199" s="37" t="str">
        <x:v>10.01</x:v>
      </x:c>
      <x:c r="H199" s="37" t="str">
        <x:v>0.00</x:v>
      </x:c>
      <x:c r="I199" s="37" t="str">
        <x:v>10.01</x:v>
      </x:c>
      <x:c r="J199" s="37" t="str">
        <x:v>0.00</x:v>
      </x:c>
      <x:c r="K199" s="37" t="str">
        <x:v>0.00</x:v>
      </x:c>
      <x:c r="L199" s="37" t="str">
        <x:v>17</x:v>
      </x:c>
      <x:c r="M199" s="29" t="str">
        <x:v>11.92</x:v>
      </x:c>
      <x:c r="N199" s="29" t="str">
        <x:v>7.11</x:v>
      </x:c>
      <x:c r="O199" s="29" t="str">
        <x:v>4.81</x:v>
      </x:c>
      <x:c r="P199" s="18" t="str">
        <x:v>2026-08-12</x:v>
      </x:c>
      <x:c r="Q199" s="36" t="n">
        <x:v>46246</x:v>
      </x:c>
    </x:row>
    <x:row r="200">
      <x:c r="A200" s="36" t="str">
        <x:v>2026-08-12</x:v>
      </x:c>
      <x:c r="B200" s="18" t="str">
        <x:v>101437000_97421</x:v>
      </x:c>
      <x:c r="C200" s="18" t="str">
        <x:v>【沪村小电】玉兰清苑二期（小区外）充电站</x:v>
      </x:c>
      <x:c r="D200" s="37" t="str">
        <x:v>4</x:v>
      </x:c>
      <x:c r="E200" s="37" t="str">
        <x:v>0</x:v>
      </x:c>
      <x:c r="F200" s="37" t="str">
        <x:v>42</x:v>
      </x:c>
      <x:c r="G200" s="37" t="str">
        <x:v>934.07</x:v>
      </x:c>
      <x:c r="H200" s="37" t="str">
        <x:v>0.00</x:v>
      </x:c>
      <x:c r="I200" s="37" t="str">
        <x:v>733.31</x:v>
      </x:c>
      <x:c r="J200" s="37" t="str">
        <x:v>0.00</x:v>
      </x:c>
      <x:c r="K200" s="37" t="str">
        <x:v>200.76</x:v>
      </x:c>
      <x:c r="L200" s="37" t="str">
        <x:v>1870</x:v>
      </x:c>
      <x:c r="M200" s="29" t="str">
        <x:v>874.95</x:v>
      </x:c>
      <x:c r="N200" s="29" t="str">
        <x:v>594.90</x:v>
      </x:c>
      <x:c r="O200" s="29" t="str">
        <x:v>280.05</x:v>
      </x:c>
      <x:c r="P200" s="18" t="str">
        <x:v>2026-08-12</x:v>
      </x:c>
      <x:c r="Q200" s="36" t="n">
        <x:v>46246</x:v>
      </x:c>
    </x:row>
    <x:row r="201">
      <x:c r="A201" s="36" t="str">
        <x:v>2026-08-12</x:v>
      </x:c>
      <x:c r="B201" s="18" t="str">
        <x:v>101437000_98013</x:v>
      </x:c>
      <x:c r="C201" s="18" t="str">
        <x:v>【沪村小电】恒大滨江华府充电站</x:v>
      </x:c>
      <x:c r="D201" s="37" t="str">
        <x:v>4</x:v>
      </x:c>
      <x:c r="E201" s="37" t="str">
        <x:v>0</x:v>
      </x:c>
      <x:c r="F201" s="37" t="str">
        <x:v>40</x:v>
      </x:c>
      <x:c r="G201" s="37" t="str">
        <x:v>754.05</x:v>
      </x:c>
      <x:c r="H201" s="37" t="str">
        <x:v>0.00</x:v>
      </x:c>
      <x:c r="I201" s="37" t="str">
        <x:v>652.36</x:v>
      </x:c>
      <x:c r="J201" s="37" t="str">
        <x:v>0.00</x:v>
      </x:c>
      <x:c r="K201" s="37" t="str">
        <x:v>101.69</x:v>
      </x:c>
      <x:c r="L201" s="37" t="str">
        <x:v>1355</x:v>
      </x:c>
      <x:c r="M201" s="29" t="str">
        <x:v>822.51</x:v>
      </x:c>
      <x:c r="N201" s="29" t="str">
        <x:v>633.89</x:v>
      </x:c>
      <x:c r="O201" s="29" t="str">
        <x:v>188.62</x:v>
      </x:c>
      <x:c r="P201" s="18" t="str">
        <x:v>2026-08-12</x:v>
      </x:c>
      <x:c r="Q201" s="36" t="n">
        <x:v>46246</x:v>
      </x:c>
    </x:row>
    <x:row r="202">
      <x:c r="A202" s="36" t="str">
        <x:v>2026-08-12</x:v>
      </x:c>
      <x:c r="B202" s="18" t="str">
        <x:v>101437000_98863</x:v>
      </x:c>
      <x:c r="C202" s="18" t="str">
        <x:v>【沪村小电】欣菊苑充电站</x:v>
      </x:c>
      <x:c r="D202" s="37" t="str">
        <x:v>4</x:v>
      </x:c>
      <x:c r="E202" s="37" t="str">
        <x:v>0</x:v>
      </x:c>
      <x:c r="F202" s="37" t="str">
        <x:v>7</x:v>
      </x:c>
      <x:c r="G202" s="37" t="str">
        <x:v>188.74</x:v>
      </x:c>
      <x:c r="H202" s="37" t="str">
        <x:v>0.00</x:v>
      </x:c>
      <x:c r="I202" s="37" t="str">
        <x:v>188.74</x:v>
      </x:c>
      <x:c r="J202" s="37" t="str">
        <x:v>0.00</x:v>
      </x:c>
      <x:c r="K202" s="37" t="str">
        <x:v>0.00</x:v>
      </x:c>
      <x:c r="L202" s="37" t="str">
        <x:v>217</x:v>
      </x:c>
      <x:c r="M202" s="29" t="str">
        <x:v>175.53</x:v>
      </x:c>
      <x:c r="N202" s="29" t="str">
        <x:v>134.00</x:v>
      </x:c>
      <x:c r="O202" s="29" t="str">
        <x:v>41.53</x:v>
      </x:c>
      <x:c r="P202" s="18" t="str">
        <x:v>2026-08-12</x:v>
      </x:c>
      <x:c r="Q202" s="36" t="n">
        <x:v>46246</x:v>
      </x:c>
    </x:row>
    <x:row r="203">
      <x:c r="A203" s="36" t="str">
        <x:v>2026-08-12</x:v>
      </x:c>
      <x:c r="B203" s="18" t="str">
        <x:v>101437000_98865</x:v>
      </x:c>
      <x:c r="C203" s="18" t="str">
        <x:v>【沪村小电】欣松苑充电站</x:v>
      </x:c>
      <x:c r="D203" s="37" t="str">
        <x:v>4</x:v>
      </x:c>
      <x:c r="E203" s="37" t="str">
        <x:v>0</x:v>
      </x:c>
      <x:c r="F203" s="37" t="str">
        <x:v>26</x:v>
      </x:c>
      <x:c r="G203" s="37" t="str">
        <x:v>474.53</x:v>
      </x:c>
      <x:c r="H203" s="37" t="str">
        <x:v>0.00</x:v>
      </x:c>
      <x:c r="I203" s="37" t="str">
        <x:v>474.53</x:v>
      </x:c>
      <x:c r="J203" s="37" t="str">
        <x:v>0.00</x:v>
      </x:c>
      <x:c r="K203" s="37" t="str">
        <x:v>0.00</x:v>
      </x:c>
      <x:c r="L203" s="37" t="str">
        <x:v>685</x:v>
      </x:c>
      <x:c r="M203" s="29" t="str">
        <x:v>482.23</x:v>
      </x:c>
      <x:c r="N203" s="29" t="str">
        <x:v>336.92</x:v>
      </x:c>
      <x:c r="O203" s="29" t="str">
        <x:v>145.31</x:v>
      </x:c>
      <x:c r="P203" s="18" t="str">
        <x:v>2026-08-12</x:v>
      </x:c>
      <x:c r="Q203" s="36" t="n">
        <x:v>46246</x:v>
      </x:c>
    </x:row>
    <x:row r="204">
      <x:c r="A204" s="36" t="str">
        <x:v>2026-08-12</x:v>
      </x:c>
      <x:c r="B204" s="18" t="str">
        <x:v>101437000_98867</x:v>
      </x:c>
      <x:c r="C204" s="18" t="str">
        <x:v>【沪村小电】欣荷苑充电站</x:v>
      </x:c>
      <x:c r="D204" s="37" t="str">
        <x:v>4</x:v>
      </x:c>
      <x:c r="E204" s="37" t="str">
        <x:v>0</x:v>
      </x:c>
      <x:c r="F204" s="37" t="str">
        <x:v>14</x:v>
      </x:c>
      <x:c r="G204" s="37" t="str">
        <x:v>328.77</x:v>
      </x:c>
      <x:c r="H204" s="37" t="str">
        <x:v>0.00</x:v>
      </x:c>
      <x:c r="I204" s="37" t="str">
        <x:v>304.32</x:v>
      </x:c>
      <x:c r="J204" s="37" t="str">
        <x:v>0.00</x:v>
      </x:c>
      <x:c r="K204" s="37" t="str">
        <x:v>24.44</x:v>
      </x:c>
      <x:c r="L204" s="37" t="str">
        <x:v>454</x:v>
      </x:c>
      <x:c r="M204" s="29" t="str">
        <x:v>291.08</x:v>
      </x:c>
      <x:c r="N204" s="29" t="str">
        <x:v>225.10</x:v>
      </x:c>
      <x:c r="O204" s="29" t="str">
        <x:v>65.98</x:v>
      </x:c>
      <x:c r="P204" s="18" t="str">
        <x:v>2026-08-12</x:v>
      </x:c>
      <x:c r="Q204" s="36" t="n">
        <x:v>46246</x:v>
      </x:c>
    </x:row>
    <x:row r="205">
      <x:c r="A205" s="36" t="str">
        <x:v>2026-08-12</x:v>
      </x:c>
      <x:c r="B205" s="18" t="str">
        <x:v>101437000_99885</x:v>
      </x:c>
      <x:c r="C205" s="18" t="str">
        <x:v>【沪村小电】汇丰馨苑充电站</x:v>
      </x:c>
      <x:c r="D205" s="37" t="str">
        <x:v>4</x:v>
      </x:c>
      <x:c r="E205" s="37" t="str">
        <x:v>0</x:v>
      </x:c>
      <x:c r="F205" s="37" t="str">
        <x:v>22</x:v>
      </x:c>
      <x:c r="G205" s="37" t="str">
        <x:v>510.12</x:v>
      </x:c>
      <x:c r="H205" s="37" t="str">
        <x:v>0.00</x:v>
      </x:c>
      <x:c r="I205" s="37" t="str">
        <x:v>411.72</x:v>
      </x:c>
      <x:c r="J205" s="37" t="str">
        <x:v>0.00</x:v>
      </x:c>
      <x:c r="K205" s="37" t="str">
        <x:v>98.40</x:v>
      </x:c>
      <x:c r="L205" s="37" t="str">
        <x:v>823</x:v>
      </x:c>
      <x:c r="M205" s="29" t="str">
        <x:v>453.65</x:v>
      </x:c>
      <x:c r="N205" s="29" t="str">
        <x:v>328.74</x:v>
      </x:c>
      <x:c r="O205" s="29" t="str">
        <x:v>124.91</x:v>
      </x:c>
      <x:c r="P205" s="18" t="str">
        <x:v>2026-08-12</x:v>
      </x:c>
      <x:c r="Q205" s="36" t="n">
        <x:v>46246</x:v>
      </x:c>
    </x:row>
    <x:row r="206">
      <x:c r="A206" s="36" t="str">
        <x:v>2026-08-12</x:v>
      </x:c>
      <x:c r="B206" s="18" t="str">
        <x:v>101437000_99887</x:v>
      </x:c>
      <x:c r="C206" s="18" t="str">
        <x:v>【沪村小电】新南村河南小区充电站</x:v>
      </x:c>
      <x:c r="D206" s="37" t="str">
        <x:v>2</x:v>
      </x:c>
      <x:c r="E206" s="37" t="str">
        <x:v>0</x:v>
      </x:c>
      <x:c r="F206" s="37" t="str">
        <x:v>12</x:v>
      </x:c>
      <x:c r="G206" s="37" t="str">
        <x:v>213.99</x:v>
      </x:c>
      <x:c r="H206" s="37" t="str">
        <x:v>0.00</x:v>
      </x:c>
      <x:c r="I206" s="37" t="str">
        <x:v>32.92</x:v>
      </x:c>
      <x:c r="J206" s="37" t="str">
        <x:v>0.00</x:v>
      </x:c>
      <x:c r="K206" s="37" t="str">
        <x:v>181.08</x:v>
      </x:c>
      <x:c r="L206" s="37" t="str">
        <x:v>488</x:v>
      </x:c>
      <x:c r="M206" s="29" t="str">
        <x:v>123.31</x:v>
      </x:c>
      <x:c r="N206" s="29" t="str">
        <x:v>90.38</x:v>
      </x:c>
      <x:c r="O206" s="29" t="str">
        <x:v>32.93</x:v>
      </x:c>
      <x:c r="P206" s="18" t="str">
        <x:v>2026-08-12</x:v>
      </x:c>
      <x:c r="Q206" s="36" t="n">
        <x:v>46246</x:v>
      </x:c>
    </x:row>
    <x:row r="207">
      <x:c r="A207" s="36" t="str">
        <x:v>2026-08-12</x:v>
      </x:c>
      <x:c r="B207" s="18" t="str">
        <x:v>101437000_99889</x:v>
      </x:c>
      <x:c r="C207" s="18" t="str">
        <x:v>【沪村小电】漕泾郊野公园</x:v>
      </x:c>
      <x:c r="D207" s="37" t="str">
        <x:v>2</x:v>
      </x:c>
      <x:c r="E207" s="37" t="str">
        <x:v>0</x:v>
      </x:c>
      <x:c r="F207" s="37" t="str">
        <x:v>6</x:v>
      </x:c>
      <x:c r="G207" s="37" t="str">
        <x:v>200.54</x:v>
      </x:c>
      <x:c r="H207" s="37" t="str">
        <x:v>0.00</x:v>
      </x:c>
      <x:c r="I207" s="37" t="str">
        <x:v>199.12</x:v>
      </x:c>
      <x:c r="J207" s="37" t="str">
        <x:v>0.00</x:v>
      </x:c>
      <x:c r="K207" s="37" t="str">
        <x:v>1.42</x:v>
      </x:c>
      <x:c r="L207" s="37" t="str">
        <x:v>196</x:v>
      </x:c>
      <x:c r="M207" s="29" t="str">
        <x:v>210.92</x:v>
      </x:c>
      <x:c r="N207" s="29" t="str">
        <x:v>152.19</x:v>
      </x:c>
      <x:c r="O207" s="29" t="str">
        <x:v>58.73</x:v>
      </x:c>
      <x:c r="P207" s="18" t="str">
        <x:v>2026-08-12</x:v>
      </x:c>
      <x:c r="Q207" s="36" t="n">
        <x:v>46246</x:v>
      </x:c>
    </x:row>
    <x:row r="208">
      <x:c r="A208" s="36" t="str">
        <x:v>2026-08-12</x:v>
      </x:c>
      <x:c r="B208" s="18" t="str">
        <x:v>101437000_99891</x:v>
      </x:c>
      <x:c r="C208" s="18" t="str">
        <x:v>【沪村小电】水韵紫城充电站</x:v>
      </x:c>
      <x:c r="D208" s="37" t="str">
        <x:v>4</x:v>
      </x:c>
      <x:c r="E208" s="37" t="str">
        <x:v>0</x:v>
      </x:c>
      <x:c r="F208" s="37" t="str">
        <x:v>34</x:v>
      </x:c>
      <x:c r="G208" s="37" t="str">
        <x:v>825.02</x:v>
      </x:c>
      <x:c r="H208" s="37" t="str">
        <x:v>0.00</x:v>
      </x:c>
      <x:c r="I208" s="37" t="str">
        <x:v>620.45</x:v>
      </x:c>
      <x:c r="J208" s="37" t="str">
        <x:v>0.00</x:v>
      </x:c>
      <x:c r="K208" s="37" t="str">
        <x:v>204.57</x:v>
      </x:c>
      <x:c r="L208" s="37" t="str">
        <x:v>1359</x:v>
      </x:c>
      <x:c r="M208" s="29" t="str">
        <x:v>757.65</x:v>
      </x:c>
      <x:c r="N208" s="29" t="str">
        <x:v>516.22</x:v>
      </x:c>
      <x:c r="O208" s="29" t="str">
        <x:v>241.43</x:v>
      </x:c>
      <x:c r="P208" s="18" t="str">
        <x:v>2026-08-12</x:v>
      </x:c>
      <x:c r="Q208" s="36" t="n">
        <x:v>46246</x:v>
      </x:c>
    </x:row>
    <x:row r="209">
      <x:c r="A209" s="36" t="str">
        <x:v>2026-08-11</x:v>
      </x:c>
      <x:c r="B209" s="18" t="str">
        <x:v>101437000_100523</x:v>
      </x:c>
      <x:c r="C209" s="18" t="str">
        <x:v>【沪村小电】民旺苑南区</x:v>
      </x:c>
      <x:c r="D209" s="37" t="str">
        <x:v>4</x:v>
      </x:c>
      <x:c r="E209" s="37" t="str">
        <x:v>0</x:v>
      </x:c>
      <x:c r="F209" s="37" t="str">
        <x:v>10</x:v>
      </x:c>
      <x:c r="G209" s="37" t="str">
        <x:v>187.88</x:v>
      </x:c>
      <x:c r="H209" s="37" t="str">
        <x:v>0.00</x:v>
      </x:c>
      <x:c r="I209" s="37" t="str">
        <x:v>135.83</x:v>
      </x:c>
      <x:c r="J209" s="37" t="str">
        <x:v>0.00</x:v>
      </x:c>
      <x:c r="K209" s="37" t="str">
        <x:v>52.05</x:v>
      </x:c>
      <x:c r="L209" s="37" t="str">
        <x:v>298</x:v>
      </x:c>
      <x:c r="M209" s="29" t="str">
        <x:v>214.28</x:v>
      </x:c>
      <x:c r="N209" s="29" t="str">
        <x:v>120.90</x:v>
      </x:c>
      <x:c r="O209" s="29" t="str">
        <x:v>93.38</x:v>
      </x:c>
      <x:c r="P209" s="18" t="str">
        <x:v>2026-08-11</x:v>
      </x:c>
      <x:c r="Q209" s="36" t="n">
        <x:v>46245</x:v>
      </x:c>
    </x:row>
    <x:row r="210">
      <x:c r="A210" s="36" t="str">
        <x:v>2026-08-11</x:v>
      </x:c>
      <x:c r="B210" s="18" t="str">
        <x:v>101437000_101531</x:v>
      </x:c>
      <x:c r="C210" s="18" t="str">
        <x:v>【沪村小电】汇中苑充电站</x:v>
      </x:c>
      <x:c r="D210" s="37" t="str">
        <x:v>2</x:v>
      </x:c>
      <x:c r="E210" s="37" t="str">
        <x:v>0</x:v>
      </x:c>
      <x:c r="F210" s="37" t="str">
        <x:v>7</x:v>
      </x:c>
      <x:c r="G210" s="37" t="str">
        <x:v>162.22</x:v>
      </x:c>
      <x:c r="H210" s="37" t="str">
        <x:v>0.00</x:v>
      </x:c>
      <x:c r="I210" s="37" t="str">
        <x:v>0.00</x:v>
      </x:c>
      <x:c r="J210" s="37" t="str">
        <x:v>83.43</x:v>
      </x:c>
      <x:c r="K210" s="37" t="str">
        <x:v>78.80</x:v>
      </x:c>
      <x:c r="L210" s="37" t="str">
        <x:v>389</x:v>
      </x:c>
      <x:c r="M210" s="29" t="str">
        <x:v>170.79</x:v>
      </x:c>
      <x:c r="N210" s="29" t="str">
        <x:v>89.91</x:v>
      </x:c>
      <x:c r="O210" s="29" t="str">
        <x:v>80.88</x:v>
      </x:c>
      <x:c r="P210" s="18" t="str">
        <x:v>2026-08-11</x:v>
      </x:c>
      <x:c r="Q210" s="36" t="n">
        <x:v>46245</x:v>
      </x:c>
    </x:row>
    <x:row r="211">
      <x:c r="A211" s="36" t="str">
        <x:v>2026-08-11</x:v>
      </x:c>
      <x:c r="B211" s="18" t="str">
        <x:v>101437000_102047</x:v>
      </x:c>
      <x:c r="C211" s="18" t="str">
        <x:v>【沪村小电】后浜小区9弄小区南面停车场充电站</x:v>
      </x:c>
      <x:c r="D211" s="37" t="str">
        <x:v>8</x:v>
      </x:c>
      <x:c r="E211" s="37" t="str">
        <x:v>0</x:v>
      </x:c>
      <x:c r="F211" s="37" t="str">
        <x:v>57</x:v>
      </x:c>
      <x:c r="G211" s="37" t="str">
        <x:v>1401.07</x:v>
      </x:c>
      <x:c r="H211" s="37" t="str">
        <x:v>0.00</x:v>
      </x:c>
      <x:c r="I211" s="37" t="str">
        <x:v>1058.91</x:v>
      </x:c>
      <x:c r="J211" s="37" t="str">
        <x:v>0.00</x:v>
      </x:c>
      <x:c r="K211" s="37" t="str">
        <x:v>342.16</x:v>
      </x:c>
      <x:c r="L211" s="37" t="str">
        <x:v>1833</x:v>
      </x:c>
      <x:c r="M211" s="29" t="str">
        <x:v>1476.85</x:v>
      </x:c>
      <x:c r="N211" s="29" t="str">
        <x:v>912.63</x:v>
      </x:c>
      <x:c r="O211" s="29" t="str">
        <x:v>564.22</x:v>
      </x:c>
      <x:c r="P211" s="18" t="str">
        <x:v>2026-08-11</x:v>
      </x:c>
      <x:c r="Q211" s="36" t="n">
        <x:v>46245</x:v>
      </x:c>
    </x:row>
    <x:row r="212">
      <x:c r="A212" s="36" t="str">
        <x:v>2026-08-11</x:v>
      </x:c>
      <x:c r="B212" s="18" t="str">
        <x:v>101437000_103503</x:v>
      </x:c>
      <x:c r="C212" s="18" t="str">
        <x:v>【沪村小电】阳光城新界充电站</x:v>
      </x:c>
      <x:c r="D212" s="37" t="str">
        <x:v>4</x:v>
      </x:c>
      <x:c r="E212" s="37" t="str">
        <x:v>0</x:v>
      </x:c>
      <x:c r="F212" s="37" t="str">
        <x:v>28</x:v>
      </x:c>
      <x:c r="G212" s="37" t="str">
        <x:v>620.01</x:v>
      </x:c>
      <x:c r="H212" s="37" t="str">
        <x:v>0.00</x:v>
      </x:c>
      <x:c r="I212" s="37" t="str">
        <x:v>429.44</x:v>
      </x:c>
      <x:c r="J212" s="37" t="str">
        <x:v>0.00</x:v>
      </x:c>
      <x:c r="K212" s="37" t="str">
        <x:v>190.56</x:v>
      </x:c>
      <x:c r="L212" s="37" t="str">
        <x:v>888</x:v>
      </x:c>
      <x:c r="M212" s="29" t="str">
        <x:v>623.05</x:v>
      </x:c>
      <x:c r="N212" s="29" t="str">
        <x:v>411.18</x:v>
      </x:c>
      <x:c r="O212" s="29" t="str">
        <x:v>211.87</x:v>
      </x:c>
      <x:c r="P212" s="18" t="str">
        <x:v>2026-08-11</x:v>
      </x:c>
      <x:c r="Q212" s="36" t="n">
        <x:v>46245</x:v>
      </x:c>
    </x:row>
    <x:row r="213">
      <x:c r="A213" s="36" t="str">
        <x:v>2026-08-11</x:v>
      </x:c>
      <x:c r="B213" s="18" t="str">
        <x:v>101437000_41561</x:v>
      </x:c>
      <x:c r="C213" s="18" t="str">
        <x:v>【沪村小电】张施小区大门处快充站</x:v>
      </x:c>
      <x:c r="D213" s="37" t="str">
        <x:v>2</x:v>
      </x:c>
      <x:c r="E213" s="37" t="str">
        <x:v>0</x:v>
      </x:c>
      <x:c r="F213" s="37" t="str">
        <x:v>38</x:v>
      </x:c>
      <x:c r="G213" s="37" t="str">
        <x:v>976.20</x:v>
      </x:c>
      <x:c r="H213" s="37" t="str">
        <x:v>0.00</x:v>
      </x:c>
      <x:c r="I213" s="37" t="str">
        <x:v>468.07</x:v>
      </x:c>
      <x:c r="J213" s="37" t="str">
        <x:v>0.00</x:v>
      </x:c>
      <x:c r="K213" s="37" t="str">
        <x:v>508.13</x:v>
      </x:c>
      <x:c r="L213" s="37" t="str">
        <x:v>1690</x:v>
      </x:c>
      <x:c r="M213" s="29" t="str">
        <x:v>801.66</x:v>
      </x:c>
      <x:c r="N213" s="29" t="str">
        <x:v>520.30</x:v>
      </x:c>
      <x:c r="O213" s="29" t="str">
        <x:v>281.36</x:v>
      </x:c>
      <x:c r="P213" s="18" t="str">
        <x:v>2026-08-11</x:v>
      </x:c>
      <x:c r="Q213" s="36" t="n">
        <x:v>46245</x:v>
      </x:c>
    </x:row>
    <x:row r="214">
      <x:c r="A214" s="36" t="str">
        <x:v>2026-08-11</x:v>
      </x:c>
      <x:c r="B214" s="18" t="str">
        <x:v>101437000_41563</x:v>
      </x:c>
      <x:c r="C214" s="18" t="str">
        <x:v>【沪村小电】同心村快充站</x:v>
      </x:c>
      <x:c r="D214" s="37" t="str">
        <x:v>4</x:v>
      </x:c>
      <x:c r="E214" s="37" t="str">
        <x:v>0</x:v>
      </x:c>
      <x:c r="F214" s="37" t="str">
        <x:v>51</x:v>
      </x:c>
      <x:c r="G214" s="37" t="str">
        <x:v>1293.00</x:v>
      </x:c>
      <x:c r="H214" s="37" t="str">
        <x:v>0.00</x:v>
      </x:c>
      <x:c r="I214" s="37" t="str">
        <x:v>824.09</x:v>
      </x:c>
      <x:c r="J214" s="37" t="str">
        <x:v>0.00</x:v>
      </x:c>
      <x:c r="K214" s="37" t="str">
        <x:v>468.91</x:v>
      </x:c>
      <x:c r="L214" s="37" t="str">
        <x:v>2151</x:v>
      </x:c>
      <x:c r="M214" s="29" t="str">
        <x:v>1173.87</x:v>
      </x:c>
      <x:c r="N214" s="29" t="str">
        <x:v>758.62</x:v>
      </x:c>
      <x:c r="O214" s="29" t="str">
        <x:v>415.25</x:v>
      </x:c>
      <x:c r="P214" s="18" t="str">
        <x:v>2026-08-11</x:v>
      </x:c>
      <x:c r="Q214" s="36" t="n">
        <x:v>46245</x:v>
      </x:c>
    </x:row>
    <x:row r="215">
      <x:c r="A215" s="36" t="str">
        <x:v>2026-08-11</x:v>
      </x:c>
      <x:c r="B215" s="18" t="str">
        <x:v>101437000_69629</x:v>
      </x:c>
      <x:c r="C215" s="18" t="str">
        <x:v>【沪村小电】骏丰玲珑坊西苑充电站</x:v>
      </x:c>
      <x:c r="D215" s="37" t="str">
        <x:v>2</x:v>
      </x:c>
      <x:c r="E215" s="37" t="str">
        <x:v>0</x:v>
      </x:c>
      <x:c r="F215" s="37" t="str">
        <x:v>59</x:v>
      </x:c>
      <x:c r="G215" s="37" t="str">
        <x:v>1448.34</x:v>
      </x:c>
      <x:c r="H215" s="37" t="str">
        <x:v>0.00</x:v>
      </x:c>
      <x:c r="I215" s="37" t="str">
        <x:v>733.61</x:v>
      </x:c>
      <x:c r="J215" s="37" t="str">
        <x:v>0.00</x:v>
      </x:c>
      <x:c r="K215" s="37" t="str">
        <x:v>714.73</x:v>
      </x:c>
      <x:c r="L215" s="37" t="str">
        <x:v>2462</x:v>
      </x:c>
      <x:c r="M215" s="29" t="str">
        <x:v>1136.96</x:v>
      </x:c>
      <x:c r="N215" s="29" t="str">
        <x:v>785.29</x:v>
      </x:c>
      <x:c r="O215" s="29" t="str">
        <x:v>351.67</x:v>
      </x:c>
      <x:c r="P215" s="18" t="str">
        <x:v>2026-08-11</x:v>
      </x:c>
      <x:c r="Q215" s="36" t="n">
        <x:v>46245</x:v>
      </x:c>
    </x:row>
    <x:row r="216">
      <x:c r="A216" s="36" t="str">
        <x:v>2026-08-11</x:v>
      </x:c>
      <x:c r="B216" s="18" t="str">
        <x:v>101437000_70547</x:v>
      </x:c>
      <x:c r="C216" s="18" t="str">
        <x:v>【沪村小电】农建村初心馆党群服务中心充电站</x:v>
      </x:c>
      <x:c r="D216" s="37" t="str">
        <x:v>4</x:v>
      </x:c>
      <x:c r="E216" s="37" t="str">
        <x:v>0</x:v>
      </x:c>
      <x:c r="F216" s="37" t="str">
        <x:v>22</x:v>
      </x:c>
      <x:c r="G216" s="37" t="str">
        <x:v>379.65</x:v>
      </x:c>
      <x:c r="H216" s="37" t="str">
        <x:v>0.00</x:v>
      </x:c>
      <x:c r="I216" s="37" t="str">
        <x:v>151.55</x:v>
      </x:c>
      <x:c r="J216" s="37" t="str">
        <x:v>0.00</x:v>
      </x:c>
      <x:c r="K216" s="37" t="str">
        <x:v>228.10</x:v>
      </x:c>
      <x:c r="L216" s="37" t="str">
        <x:v>734</x:v>
      </x:c>
      <x:c r="M216" s="29" t="str">
        <x:v>335.45</x:v>
      </x:c>
      <x:c r="N216" s="29" t="str">
        <x:v>266.36</x:v>
      </x:c>
      <x:c r="O216" s="29" t="str">
        <x:v>69.09</x:v>
      </x:c>
      <x:c r="P216" s="18" t="str">
        <x:v>2026-08-11</x:v>
      </x:c>
      <x:c r="Q216" s="36" t="n">
        <x:v>46245</x:v>
      </x:c>
    </x:row>
    <x:row r="217">
      <x:c r="A217" s="36" t="str">
        <x:v>2026-08-11</x:v>
      </x:c>
      <x:c r="B217" s="18" t="str">
        <x:v>101437000_70549</x:v>
      </x:c>
      <x:c r="C217" s="18" t="str">
        <x:v>【沪村小电】学府路充电站</x:v>
      </x:c>
      <x:c r="D217" s="37" t="str">
        <x:v>2</x:v>
      </x:c>
      <x:c r="E217" s="37" t="str">
        <x:v>0</x:v>
      </x:c>
      <x:c r="F217" s="37" t="str">
        <x:v>6</x:v>
      </x:c>
      <x:c r="G217" s="37" t="str">
        <x:v>107.87</x:v>
      </x:c>
      <x:c r="H217" s="37" t="str">
        <x:v>0.00</x:v>
      </x:c>
      <x:c r="I217" s="37" t="str">
        <x:v>33.00</x:v>
      </x:c>
      <x:c r="J217" s="37" t="str">
        <x:v>0.00</x:v>
      </x:c>
      <x:c r="K217" s="37" t="str">
        <x:v>74.87</x:v>
      </x:c>
      <x:c r="L217" s="37" t="str">
        <x:v>164</x:v>
      </x:c>
      <x:c r="M217" s="29" t="str">
        <x:v>99.90</x:v>
      </x:c>
      <x:c r="N217" s="29" t="str">
        <x:v>70.85</x:v>
      </x:c>
      <x:c r="O217" s="29" t="str">
        <x:v>29.05</x:v>
      </x:c>
      <x:c r="P217" s="18" t="str">
        <x:v>2026-08-11</x:v>
      </x:c>
      <x:c r="Q217" s="36" t="n">
        <x:v>46245</x:v>
      </x:c>
    </x:row>
    <x:row r="218">
      <x:c r="A218" s="36" t="str">
        <x:v>2026-08-11</x:v>
      </x:c>
      <x:c r="B218" s="18" t="str">
        <x:v>101437000_71059</x:v>
      </x:c>
      <x:c r="C218" s="18" t="str">
        <x:v>【沪村小电】宝乐汇商业广场站</x:v>
      </x:c>
      <x:c r="D218" s="37" t="str">
        <x:v>4</x:v>
      </x:c>
      <x:c r="E218" s="37" t="str">
        <x:v>0</x:v>
      </x:c>
      <x:c r="F218" s="37" t="str">
        <x:v>14</x:v>
      </x:c>
      <x:c r="G218" s="37" t="str">
        <x:v>372.75</x:v>
      </x:c>
      <x:c r="H218" s="37" t="str">
        <x:v>0.00</x:v>
      </x:c>
      <x:c r="I218" s="37" t="str">
        <x:v>175.81</x:v>
      </x:c>
      <x:c r="J218" s="37" t="str">
        <x:v>0.00</x:v>
      </x:c>
      <x:c r="K218" s="37" t="str">
        <x:v>196.93</x:v>
      </x:c>
      <x:c r="L218" s="37" t="str">
        <x:v>559</x:v>
      </x:c>
      <x:c r="M218" s="29" t="str">
        <x:v>362.25</x:v>
      </x:c>
      <x:c r="N218" s="29" t="str">
        <x:v>248.82</x:v>
      </x:c>
      <x:c r="O218" s="29" t="str">
        <x:v>113.43</x:v>
      </x:c>
      <x:c r="P218" s="18" t="str">
        <x:v>2026-08-11</x:v>
      </x:c>
      <x:c r="Q218" s="36" t="n">
        <x:v>46245</x:v>
      </x:c>
    </x:row>
    <x:row r="219">
      <x:c r="A219" s="36" t="str">
        <x:v>2026-08-11</x:v>
      </x:c>
      <x:c r="B219" s="18" t="str">
        <x:v>101437000_72541</x:v>
      </x:c>
      <x:c r="C219" s="18" t="str">
        <x:v>【沪村小电】九干路1174弄充电站</x:v>
      </x:c>
      <x:c r="D219" s="37" t="str">
        <x:v>2</x:v>
      </x:c>
      <x:c r="E219" s="37" t="str">
        <x:v>0</x:v>
      </x:c>
      <x:c r="F219" s="37" t="str">
        <x:v>50</x:v>
      </x:c>
      <x:c r="G219" s="37" t="str">
        <x:v>1224.06</x:v>
      </x:c>
      <x:c r="H219" s="37" t="str">
        <x:v>0.00</x:v>
      </x:c>
      <x:c r="I219" s="37" t="str">
        <x:v>865.71</x:v>
      </x:c>
      <x:c r="J219" s="37" t="str">
        <x:v>0.00</x:v>
      </x:c>
      <x:c r="K219" s="37" t="str">
        <x:v>358.35</x:v>
      </x:c>
      <x:c r="L219" s="37" t="str">
        <x:v>1915</x:v>
      </x:c>
      <x:c r="M219" s="29" t="str">
        <x:v>1125.38</x:v>
      </x:c>
      <x:c r="N219" s="29" t="str">
        <x:v>747.24</x:v>
      </x:c>
      <x:c r="O219" s="29" t="str">
        <x:v>378.14</x:v>
      </x:c>
      <x:c r="P219" s="18" t="str">
        <x:v>2026-08-11</x:v>
      </x:c>
      <x:c r="Q219" s="36" t="n">
        <x:v>46245</x:v>
      </x:c>
    </x:row>
    <x:row r="220">
      <x:c r="A220" s="36" t="str">
        <x:v>2026-08-11</x:v>
      </x:c>
      <x:c r="B220" s="18" t="str">
        <x:v>101437000_72543</x:v>
      </x:c>
      <x:c r="C220" s="18" t="str">
        <x:v>【沪村小电】叶家中心村小区充电站</x:v>
      </x:c>
      <x:c r="D220" s="37" t="str">
        <x:v>2</x:v>
      </x:c>
      <x:c r="E220" s="37" t="str">
        <x:v>0</x:v>
      </x:c>
      <x:c r="F220" s="37" t="str">
        <x:v>43</x:v>
      </x:c>
      <x:c r="G220" s="37" t="str">
        <x:v>1004.58</x:v>
      </x:c>
      <x:c r="H220" s="37" t="str">
        <x:v>0.00</x:v>
      </x:c>
      <x:c r="I220" s="37" t="str">
        <x:v>415.68</x:v>
      </x:c>
      <x:c r="J220" s="37" t="str">
        <x:v>0.00</x:v>
      </x:c>
      <x:c r="K220" s="37" t="str">
        <x:v>588.91</x:v>
      </x:c>
      <x:c r="L220" s="37" t="str">
        <x:v>1894</x:v>
      </x:c>
      <x:c r="M220" s="29" t="str">
        <x:v>726.81</x:v>
      </x:c>
      <x:c r="N220" s="29" t="str">
        <x:v>513.01</x:v>
      </x:c>
      <x:c r="O220" s="29" t="str">
        <x:v>213.80</x:v>
      </x:c>
      <x:c r="P220" s="18" t="str">
        <x:v>2026-08-11</x:v>
      </x:c>
      <x:c r="Q220" s="36" t="n">
        <x:v>46245</x:v>
      </x:c>
    </x:row>
    <x:row r="221">
      <x:c r="A221" s="36" t="str">
        <x:v>2026-08-11</x:v>
      </x:c>
      <x:c r="B221" s="18" t="str">
        <x:v>101437000_74223</x:v>
      </x:c>
      <x:c r="C221" s="18" t="str">
        <x:v>【沪村小电】中兴村委会充电站</x:v>
      </x:c>
      <x:c r="D221" s="37" t="str">
        <x:v>2</x:v>
      </x:c>
      <x:c r="E221" s="37" t="str">
        <x:v>0</x:v>
      </x:c>
      <x:c r="F221" s="37" t="str">
        <x:v>17</x:v>
      </x:c>
      <x:c r="G221" s="37" t="str">
        <x:v>470.24</x:v>
      </x:c>
      <x:c r="H221" s="37" t="str">
        <x:v>0.00</x:v>
      </x:c>
      <x:c r="I221" s="37" t="str">
        <x:v>255.33</x:v>
      </x:c>
      <x:c r="J221" s="37" t="str">
        <x:v>0.00</x:v>
      </x:c>
      <x:c r="K221" s="37" t="str">
        <x:v>214.91</x:v>
      </x:c>
      <x:c r="L221" s="37" t="str">
        <x:v>707</x:v>
      </x:c>
      <x:c r="M221" s="29" t="str">
        <x:v>460.13</x:v>
      </x:c>
      <x:c r="N221" s="29" t="str">
        <x:v>362.40</x:v>
      </x:c>
      <x:c r="O221" s="29" t="str">
        <x:v>97.73</x:v>
      </x:c>
      <x:c r="P221" s="18" t="str">
        <x:v>2026-08-11</x:v>
      </x:c>
      <x:c r="Q221" s="36" t="n">
        <x:v>46245</x:v>
      </x:c>
    </x:row>
    <x:row r="222">
      <x:c r="A222" s="36" t="str">
        <x:v>2026-08-11</x:v>
      </x:c>
      <x:c r="B222" s="18" t="str">
        <x:v>101437000_74801</x:v>
      </x:c>
      <x:c r="C222" s="18" t="str">
        <x:v>【沪村小电】申良花园充电站</x:v>
      </x:c>
      <x:c r="D222" s="37" t="str">
        <x:v>4</x:v>
      </x:c>
      <x:c r="E222" s="37" t="str">
        <x:v>0</x:v>
      </x:c>
      <x:c r="F222" s="37" t="str">
        <x:v>21</x:v>
      </x:c>
      <x:c r="G222" s="37" t="str">
        <x:v>355.24</x:v>
      </x:c>
      <x:c r="H222" s="37" t="str">
        <x:v>0.00</x:v>
      </x:c>
      <x:c r="I222" s="37" t="str">
        <x:v>355.24</x:v>
      </x:c>
      <x:c r="J222" s="37" t="str">
        <x:v>0.00</x:v>
      </x:c>
      <x:c r="K222" s="37" t="str">
        <x:v>0.00</x:v>
      </x:c>
      <x:c r="L222" s="37" t="str">
        <x:v>468</x:v>
      </x:c>
      <x:c r="M222" s="29" t="str">
        <x:v>416.42</x:v>
      </x:c>
      <x:c r="N222" s="29" t="str">
        <x:v>252.21</x:v>
      </x:c>
      <x:c r="O222" s="29" t="str">
        <x:v>164.21</x:v>
      </x:c>
      <x:c r="P222" s="18" t="str">
        <x:v>2026-08-11</x:v>
      </x:c>
      <x:c r="Q222" s="36" t="n">
        <x:v>46245</x:v>
      </x:c>
    </x:row>
    <x:row r="223">
      <x:c r="A223" s="36" t="str">
        <x:v>2026-08-11</x:v>
      </x:c>
      <x:c r="B223" s="18" t="str">
        <x:v>101437000_74931</x:v>
      </x:c>
      <x:c r="C223" s="18" t="str">
        <x:v>【沪村小电】枫雅南居充电站</x:v>
      </x:c>
      <x:c r="D223" s="37" t="str">
        <x:v>2</x:v>
      </x:c>
      <x:c r="E223" s="37" t="str">
        <x:v>0</x:v>
      </x:c>
      <x:c r="F223" s="37" t="str">
        <x:v>53</x:v>
      </x:c>
      <x:c r="G223" s="37" t="str">
        <x:v>1344.51</x:v>
      </x:c>
      <x:c r="H223" s="37" t="str">
        <x:v>0.00</x:v>
      </x:c>
      <x:c r="I223" s="37" t="str">
        <x:v>803.93</x:v>
      </x:c>
      <x:c r="J223" s="37" t="str">
        <x:v>0.00</x:v>
      </x:c>
      <x:c r="K223" s="37" t="str">
        <x:v>540.59</x:v>
      </x:c>
      <x:c r="L223" s="37" t="str">
        <x:v>2057</x:v>
      </x:c>
      <x:c r="M223" s="29" t="str">
        <x:v>975.45</x:v>
      </x:c>
      <x:c r="N223" s="29" t="str">
        <x:v>641.87</x:v>
      </x:c>
      <x:c r="O223" s="29" t="str">
        <x:v>333.58</x:v>
      </x:c>
      <x:c r="P223" s="18" t="str">
        <x:v>2026-08-11</x:v>
      </x:c>
      <x:c r="Q223" s="36" t="n">
        <x:v>46245</x:v>
      </x:c>
    </x:row>
    <x:row r="224">
      <x:c r="A224" s="36" t="str">
        <x:v>2026-08-11</x:v>
      </x:c>
      <x:c r="B224" s="18" t="str">
        <x:v>101437000_75901</x:v>
      </x:c>
      <x:c r="C224" s="18" t="str">
        <x:v>【沪村小电】金悦学府</x:v>
      </x:c>
      <x:c r="D224" s="37" t="str">
        <x:v>2</x:v>
      </x:c>
      <x:c r="E224" s="37" t="str">
        <x:v>0</x:v>
      </x:c>
      <x:c r="F224" s="37" t="str">
        <x:v>53</x:v>
      </x:c>
      <x:c r="G224" s="37" t="str">
        <x:v>1346.30</x:v>
      </x:c>
      <x:c r="H224" s="37" t="str">
        <x:v>0.00</x:v>
      </x:c>
      <x:c r="I224" s="37" t="str">
        <x:v>708.03</x:v>
      </x:c>
      <x:c r="J224" s="37" t="str">
        <x:v>0.00</x:v>
      </x:c>
      <x:c r="K224" s="37" t="str">
        <x:v>638.27</x:v>
      </x:c>
      <x:c r="L224" s="37" t="str">
        <x:v>2013</x:v>
      </x:c>
      <x:c r="M224" s="29" t="str">
        <x:v>1034.29</x:v>
      </x:c>
      <x:c r="N224" s="29" t="str">
        <x:v>615.60</x:v>
      </x:c>
      <x:c r="O224" s="29" t="str">
        <x:v>418.69</x:v>
      </x:c>
      <x:c r="P224" s="18" t="str">
        <x:v>2026-08-11</x:v>
      </x:c>
      <x:c r="Q224" s="36" t="n">
        <x:v>46245</x:v>
      </x:c>
    </x:row>
    <x:row r="225">
      <x:c r="A225" s="36" t="str">
        <x:v>2026-08-11</x:v>
      </x:c>
      <x:c r="B225" s="18" t="str">
        <x:v>101437000_76091</x:v>
      </x:c>
      <x:c r="C225" s="18" t="str">
        <x:v>【沪村小电】恒信家园充电站</x:v>
      </x:c>
      <x:c r="D225" s="37" t="str">
        <x:v>2</x:v>
      </x:c>
      <x:c r="E225" s="37" t="str">
        <x:v>0</x:v>
      </x:c>
      <x:c r="F225" s="37" t="str">
        <x:v>44</x:v>
      </x:c>
      <x:c r="G225" s="37" t="str">
        <x:v>1177.52</x:v>
      </x:c>
      <x:c r="H225" s="37" t="str">
        <x:v>0.00</x:v>
      </x:c>
      <x:c r="I225" s="37" t="str">
        <x:v>821.11</x:v>
      </x:c>
      <x:c r="J225" s="37" t="str">
        <x:v>0.00</x:v>
      </x:c>
      <x:c r="K225" s="37" t="str">
        <x:v>356.41</x:v>
      </x:c>
      <x:c r="L225" s="37" t="str">
        <x:v>1676</x:v>
      </x:c>
      <x:c r="M225" s="29" t="str">
        <x:v>1179.02</x:v>
      </x:c>
      <x:c r="N225" s="29" t="str">
        <x:v>714.93</x:v>
      </x:c>
      <x:c r="O225" s="29" t="str">
        <x:v>464.09</x:v>
      </x:c>
      <x:c r="P225" s="18" t="str">
        <x:v>2026-08-11</x:v>
      </x:c>
      <x:c r="Q225" s="36" t="n">
        <x:v>46245</x:v>
      </x:c>
    </x:row>
    <x:row r="226">
      <x:c r="A226" s="36" t="str">
        <x:v>2026-08-11</x:v>
      </x:c>
      <x:c r="B226" s="18" t="str">
        <x:v>101437000_76417</x:v>
      </x:c>
      <x:c r="C226" s="18" t="str">
        <x:v>【沪村小电】新春一组充电站</x:v>
      </x:c>
      <x:c r="D226" s="37" t="str">
        <x:v>2</x:v>
      </x:c>
      <x:c r="E226" s="37" t="str">
        <x:v>0</x:v>
      </x:c>
      <x:c r="F226" s="37" t="str">
        <x:v>9</x:v>
      </x:c>
      <x:c r="G226" s="37" t="str">
        <x:v>192.63</x:v>
      </x:c>
      <x:c r="H226" s="37" t="str">
        <x:v>0.00</x:v>
      </x:c>
      <x:c r="I226" s="37" t="str">
        <x:v>87.23</x:v>
      </x:c>
      <x:c r="J226" s="37" t="str">
        <x:v>0.00</x:v>
      </x:c>
      <x:c r="K226" s="37" t="str">
        <x:v>105.41</x:v>
      </x:c>
      <x:c r="L226" s="37" t="str">
        <x:v>320</x:v>
      </x:c>
      <x:c r="M226" s="29" t="str">
        <x:v>175.75</x:v>
      </x:c>
      <x:c r="N226" s="29" t="str">
        <x:v>140.11</x:v>
      </x:c>
      <x:c r="O226" s="29" t="str">
        <x:v>35.64</x:v>
      </x:c>
      <x:c r="P226" s="18" t="str">
        <x:v>2026-08-11</x:v>
      </x:c>
      <x:c r="Q226" s="36" t="n">
        <x:v>46245</x:v>
      </x:c>
    </x:row>
    <x:row r="227">
      <x:c r="A227" s="36" t="str">
        <x:v>2026-08-11</x:v>
      </x:c>
      <x:c r="B227" s="18" t="str">
        <x:v>101437000_78235</x:v>
      </x:c>
      <x:c r="C227" s="18" t="str">
        <x:v>【沪村小电】欣秋苑充电站</x:v>
      </x:c>
      <x:c r="D227" s="37" t="str">
        <x:v>4</x:v>
      </x:c>
      <x:c r="E227" s="37" t="str">
        <x:v>0</x:v>
      </x:c>
      <x:c r="F227" s="37" t="str">
        <x:v>13</x:v>
      </x:c>
      <x:c r="G227" s="37" t="str">
        <x:v>250.42</x:v>
      </x:c>
      <x:c r="H227" s="37" t="str">
        <x:v>0.00</x:v>
      </x:c>
      <x:c r="I227" s="37" t="str">
        <x:v>138.78</x:v>
      </x:c>
      <x:c r="J227" s="37" t="str">
        <x:v>0.00</x:v>
      </x:c>
      <x:c r="K227" s="37" t="str">
        <x:v>111.64</x:v>
      </x:c>
      <x:c r="L227" s="37" t="str">
        <x:v>456</x:v>
      </x:c>
      <x:c r="M227" s="29" t="str">
        <x:v>203.02</x:v>
      </x:c>
      <x:c r="N227" s="29" t="str">
        <x:v>139.84</x:v>
      </x:c>
      <x:c r="O227" s="29" t="str">
        <x:v>63.18</x:v>
      </x:c>
      <x:c r="P227" s="18" t="str">
        <x:v>2026-08-11</x:v>
      </x:c>
      <x:c r="Q227" s="36" t="n">
        <x:v>46245</x:v>
      </x:c>
    </x:row>
    <x:row r="228">
      <x:c r="A228" s="36" t="str">
        <x:v>2026-08-11</x:v>
      </x:c>
      <x:c r="B228" s="18" t="str">
        <x:v>101437000_78237</x:v>
      </x:c>
      <x:c r="C228" s="18" t="str">
        <x:v>【沪村小电】奉馨苑西门小区内北侧充电站</x:v>
      </x:c>
      <x:c r="D228" s="37" t="str">
        <x:v>2</x:v>
      </x:c>
      <x:c r="E228" s="37" t="str">
        <x:v>0</x:v>
      </x:c>
      <x:c r="F228" s="37" t="str">
        <x:v>27</x:v>
      </x:c>
      <x:c r="G228" s="37" t="str">
        <x:v>922.85</x:v>
      </x:c>
      <x:c r="H228" s="37" t="str">
        <x:v>55.28</x:v>
      </x:c>
      <x:c r="I228" s="37" t="str">
        <x:v>116.45</x:v>
      </x:c>
      <x:c r="J228" s="37" t="str">
        <x:v>293.17</x:v>
      </x:c>
      <x:c r="K228" s="37" t="str">
        <x:v>457.95</x:v>
      </x:c>
      <x:c r="L228" s="37" t="str">
        <x:v>1336</x:v>
      </x:c>
      <x:c r="M228" s="29" t="str">
        <x:v>776.04</x:v>
      </x:c>
      <x:c r="N228" s="29" t="str">
        <x:v>593.42</x:v>
      </x:c>
      <x:c r="O228" s="29" t="str">
        <x:v>182.62</x:v>
      </x:c>
      <x:c r="P228" s="18" t="str">
        <x:v>2026-08-11</x:v>
      </x:c>
      <x:c r="Q228" s="36" t="n">
        <x:v>46245</x:v>
      </x:c>
    </x:row>
    <x:row r="229">
      <x:c r="A229" s="36" t="str">
        <x:v>2026-08-11</x:v>
      </x:c>
      <x:c r="B229" s="18" t="str">
        <x:v>101437000_80823</x:v>
      </x:c>
      <x:c r="C229" s="18" t="str">
        <x:v>【沪村小电】上湖轩充电站</x:v>
      </x:c>
      <x:c r="D229" s="37" t="str">
        <x:v>2</x:v>
      </x:c>
      <x:c r="E229" s="37" t="str">
        <x:v>0</x:v>
      </x:c>
      <x:c r="F229" s="37" t="str">
        <x:v>7</x:v>
      </x:c>
      <x:c r="G229" s="37" t="str">
        <x:v>102.40</x:v>
      </x:c>
      <x:c r="H229" s="37" t="str">
        <x:v>17.33</x:v>
      </x:c>
      <x:c r="I229" s="37" t="str">
        <x:v>9.59</x:v>
      </x:c>
      <x:c r="J229" s="37" t="str">
        <x:v>7.88</x:v>
      </x:c>
      <x:c r="K229" s="37" t="str">
        <x:v>67.61</x:v>
      </x:c>
      <x:c r="L229" s="37" t="str">
        <x:v>197</x:v>
      </x:c>
      <x:c r="M229" s="29" t="str">
        <x:v>87.79</x:v>
      </x:c>
      <x:c r="N229" s="29" t="str">
        <x:v>76.32</x:v>
      </x:c>
      <x:c r="O229" s="29" t="str">
        <x:v>11.47</x:v>
      </x:c>
      <x:c r="P229" s="18" t="str">
        <x:v>2026-08-11</x:v>
      </x:c>
      <x:c r="Q229" s="36" t="n">
        <x:v>46245</x:v>
      </x:c>
    </x:row>
    <x:row r="230">
      <x:c r="A230" s="36" t="str">
        <x:v>2026-08-11</x:v>
      </x:c>
      <x:c r="B230" s="18" t="str">
        <x:v>101437000_83019</x:v>
      </x:c>
      <x:c r="C230" s="18" t="str">
        <x:v>【沪村小电】首创禧瑞云启东区充电站</x:v>
      </x:c>
      <x:c r="D230" s="37" t="str">
        <x:v>2</x:v>
      </x:c>
      <x:c r="E230" s="37" t="str">
        <x:v>0</x:v>
      </x:c>
      <x:c r="F230" s="37" t="str">
        <x:v>25</x:v>
      </x:c>
      <x:c r="G230" s="37" t="str">
        <x:v>648.40</x:v>
      </x:c>
      <x:c r="H230" s="37" t="str">
        <x:v>0.00</x:v>
      </x:c>
      <x:c r="I230" s="37" t="str">
        <x:v>372.05</x:v>
      </x:c>
      <x:c r="J230" s="37" t="str">
        <x:v>0.00</x:v>
      </x:c>
      <x:c r="K230" s="37" t="str">
        <x:v>276.34</x:v>
      </x:c>
      <x:c r="L230" s="37" t="str">
        <x:v>758</x:v>
      </x:c>
      <x:c r="M230" s="29" t="str">
        <x:v>644.50</x:v>
      </x:c>
      <x:c r="N230" s="29" t="str">
        <x:v>366.40</x:v>
      </x:c>
      <x:c r="O230" s="29" t="str">
        <x:v>278.10</x:v>
      </x:c>
      <x:c r="P230" s="18" t="str">
        <x:v>2026-08-11</x:v>
      </x:c>
      <x:c r="Q230" s="36" t="n">
        <x:v>46245</x:v>
      </x:c>
    </x:row>
    <x:row r="231">
      <x:c r="A231" s="36" t="str">
        <x:v>2026-08-11</x:v>
      </x:c>
      <x:c r="B231" s="18" t="str">
        <x:v>101437000_83093</x:v>
      </x:c>
      <x:c r="C231" s="18" t="str">
        <x:v>【沪村小电】金茂未来时光里</x:v>
      </x:c>
      <x:c r="D231" s="37" t="str">
        <x:v>2</x:v>
      </x:c>
      <x:c r="E231" s="37" t="str">
        <x:v>0</x:v>
      </x:c>
      <x:c r="F231" s="37" t="str">
        <x:v>60</x:v>
      </x:c>
      <x:c r="G231" s="37" t="str">
        <x:v>1729.75</x:v>
      </x:c>
      <x:c r="H231" s="37" t="str">
        <x:v>0.00</x:v>
      </x:c>
      <x:c r="I231" s="37" t="str">
        <x:v>767.43</x:v>
      </x:c>
      <x:c r="J231" s="37" t="str">
        <x:v>0.00</x:v>
      </x:c>
      <x:c r="K231" s="37" t="str">
        <x:v>962.32</x:v>
      </x:c>
      <x:c r="L231" s="37" t="str">
        <x:v>2512</x:v>
      </x:c>
      <x:c r="M231" s="29" t="str">
        <x:v>1117.92</x:v>
      </x:c>
      <x:c r="N231" s="29" t="str">
        <x:v>751.10</x:v>
      </x:c>
      <x:c r="O231" s="29" t="str">
        <x:v>366.82</x:v>
      </x:c>
      <x:c r="P231" s="18" t="str">
        <x:v>2026-08-11</x:v>
      </x:c>
      <x:c r="Q231" s="36" t="n">
        <x:v>46245</x:v>
      </x:c>
    </x:row>
    <x:row r="232">
      <x:c r="A232" s="36" t="str">
        <x:v>2026-08-11</x:v>
      </x:c>
      <x:c r="B232" s="18" t="str">
        <x:v>101437000_83911</x:v>
      </x:c>
      <x:c r="C232" s="18" t="str">
        <x:v>【沪村小电】金瀚园充电站</x:v>
      </x:c>
      <x:c r="D232" s="37" t="str">
        <x:v>2</x:v>
      </x:c>
      <x:c r="E232" s="37" t="str">
        <x:v>0</x:v>
      </x:c>
      <x:c r="F232" s="37" t="str">
        <x:v>41</x:v>
      </x:c>
      <x:c r="G232" s="37" t="str">
        <x:v>958.58</x:v>
      </x:c>
      <x:c r="H232" s="37" t="str">
        <x:v>0.00</x:v>
      </x:c>
      <x:c r="I232" s="37" t="str">
        <x:v>644.95</x:v>
      </x:c>
      <x:c r="J232" s="37" t="str">
        <x:v>0.00</x:v>
      </x:c>
      <x:c r="K232" s="37" t="str">
        <x:v>313.63</x:v>
      </x:c>
      <x:c r="L232" s="37" t="str">
        <x:v>1375</x:v>
      </x:c>
      <x:c r="M232" s="29" t="str">
        <x:v>899.70</x:v>
      </x:c>
      <x:c r="N232" s="29" t="str">
        <x:v>573.94</x:v>
      </x:c>
      <x:c r="O232" s="29" t="str">
        <x:v>325.76</x:v>
      </x:c>
      <x:c r="P232" s="18" t="str">
        <x:v>2026-08-11</x:v>
      </x:c>
      <x:c r="Q232" s="36" t="n">
        <x:v>46245</x:v>
      </x:c>
    </x:row>
    <x:row r="233">
      <x:c r="A233" s="36" t="str">
        <x:v>2026-08-11</x:v>
      </x:c>
      <x:c r="B233" s="18" t="str">
        <x:v>101437000_83913</x:v>
      </x:c>
      <x:c r="C233" s="18" t="str">
        <x:v>【沪村小电】新黎村充电站</x:v>
      </x:c>
      <x:c r="D233" s="37" t="str">
        <x:v>2</x:v>
      </x:c>
      <x:c r="E233" s="37" t="str">
        <x:v>0</x:v>
      </x:c>
      <x:c r="F233" s="37" t="str">
        <x:v>30</x:v>
      </x:c>
      <x:c r="G233" s="37" t="str">
        <x:v>657.99</x:v>
      </x:c>
      <x:c r="H233" s="37" t="str">
        <x:v>0.00</x:v>
      </x:c>
      <x:c r="I233" s="37" t="str">
        <x:v>391.56</x:v>
      </x:c>
      <x:c r="J233" s="37" t="str">
        <x:v>0.00</x:v>
      </x:c>
      <x:c r="K233" s="37" t="str">
        <x:v>266.44</x:v>
      </x:c>
      <x:c r="L233" s="37" t="str">
        <x:v>922</x:v>
      </x:c>
      <x:c r="M233" s="29" t="str">
        <x:v>716.15</x:v>
      </x:c>
      <x:c r="N233" s="29" t="str">
        <x:v>523.53</x:v>
      </x:c>
      <x:c r="O233" s="29" t="str">
        <x:v>192.62</x:v>
      </x:c>
      <x:c r="P233" s="18" t="str">
        <x:v>2026-08-11</x:v>
      </x:c>
      <x:c r="Q233" s="36" t="n">
        <x:v>46245</x:v>
      </x:c>
    </x:row>
    <x:row r="234">
      <x:c r="A234" s="36" t="str">
        <x:v>2026-08-11</x:v>
      </x:c>
      <x:c r="B234" s="18" t="str">
        <x:v>101437000_83915</x:v>
      </x:c>
      <x:c r="C234" s="18" t="str">
        <x:v>【沪村小电】长泰西郊别墅充电站</x:v>
      </x:c>
      <x:c r="D234" s="37" t="str">
        <x:v>2</x:v>
      </x:c>
      <x:c r="E234" s="37" t="str">
        <x:v>0</x:v>
      </x:c>
      <x:c r="F234" s="37" t="str">
        <x:v>21</x:v>
      </x:c>
      <x:c r="G234" s="37" t="str">
        <x:v>372.24</x:v>
      </x:c>
      <x:c r="H234" s="37" t="str">
        <x:v>0.00</x:v>
      </x:c>
      <x:c r="I234" s="37" t="str">
        <x:v>257.16</x:v>
      </x:c>
      <x:c r="J234" s="37" t="str">
        <x:v>0.00</x:v>
      </x:c>
      <x:c r="K234" s="37" t="str">
        <x:v>115.08</x:v>
      </x:c>
      <x:c r="L234" s="37" t="str">
        <x:v>639</x:v>
      </x:c>
      <x:c r="M234" s="29" t="str">
        <x:v>354.22</x:v>
      </x:c>
      <x:c r="N234" s="29" t="str">
        <x:v>225.13</x:v>
      </x:c>
      <x:c r="O234" s="29" t="str">
        <x:v>129.09</x:v>
      </x:c>
      <x:c r="P234" s="18" t="str">
        <x:v>2026-08-11</x:v>
      </x:c>
      <x:c r="Q234" s="36" t="n">
        <x:v>46245</x:v>
      </x:c>
    </x:row>
    <x:row r="235">
      <x:c r="A235" s="36" t="str">
        <x:v>2026-08-11</x:v>
      </x:c>
      <x:c r="B235" s="18" t="str">
        <x:v>101437000_83917</x:v>
      </x:c>
      <x:c r="C235" s="18" t="str">
        <x:v>【沪村小电】旭新华庭充电站</x:v>
      </x:c>
      <x:c r="D235" s="37" t="str">
        <x:v>4</x:v>
      </x:c>
      <x:c r="E235" s="37" t="str">
        <x:v>0</x:v>
      </x:c>
      <x:c r="F235" s="37" t="str">
        <x:v>36</x:v>
      </x:c>
      <x:c r="G235" s="37" t="str">
        <x:v>915.28</x:v>
      </x:c>
      <x:c r="H235" s="37" t="str">
        <x:v>0.00</x:v>
      </x:c>
      <x:c r="I235" s="37" t="str">
        <x:v>794.02</x:v>
      </x:c>
      <x:c r="J235" s="37" t="str">
        <x:v>0.00</x:v>
      </x:c>
      <x:c r="K235" s="37" t="str">
        <x:v>121.26</x:v>
      </x:c>
      <x:c r="L235" s="37" t="str">
        <x:v>1310</x:v>
      </x:c>
      <x:c r="M235" s="29" t="str">
        <x:v>996.65</x:v>
      </x:c>
      <x:c r="N235" s="29" t="str">
        <x:v>608.63</x:v>
      </x:c>
      <x:c r="O235" s="29" t="str">
        <x:v>388.02</x:v>
      </x:c>
      <x:c r="P235" s="18" t="str">
        <x:v>2026-08-11</x:v>
      </x:c>
      <x:c r="Q235" s="36" t="n">
        <x:v>46245</x:v>
      </x:c>
    </x:row>
    <x:row r="236">
      <x:c r="A236" s="36" t="str">
        <x:v>2026-08-11</x:v>
      </x:c>
      <x:c r="B236" s="18" t="str">
        <x:v>101437000_83919</x:v>
      </x:c>
      <x:c r="C236" s="18" t="str">
        <x:v>【沪村小电】浦锦名仕嘉园充电站</x:v>
      </x:c>
      <x:c r="D236" s="37" t="str">
        <x:v>4</x:v>
      </x:c>
      <x:c r="E236" s="37" t="str">
        <x:v>0</x:v>
      </x:c>
      <x:c r="F236" s="37" t="str">
        <x:v>32</x:v>
      </x:c>
      <x:c r="G236" s="37" t="str">
        <x:v>859.84</x:v>
      </x:c>
      <x:c r="H236" s="37" t="str">
        <x:v>0.00</x:v>
      </x:c>
      <x:c r="I236" s="37" t="str">
        <x:v>0.00</x:v>
      </x:c>
      <x:c r="J236" s="37" t="str">
        <x:v>859.84</x:v>
      </x:c>
      <x:c r="K236" s="37" t="str">
        <x:v>0.00</x:v>
      </x:c>
      <x:c r="L236" s="37" t="str">
        <x:v>1088</x:v>
      </x:c>
      <x:c r="M236" s="29" t="str">
        <x:v>848.84</x:v>
      </x:c>
      <x:c r="N236" s="29" t="str">
        <x:v>601.87</x:v>
      </x:c>
      <x:c r="O236" s="29" t="str">
        <x:v>246.97</x:v>
      </x:c>
      <x:c r="P236" s="18" t="str">
        <x:v>2026-08-11</x:v>
      </x:c>
      <x:c r="Q236" s="36" t="n">
        <x:v>46245</x:v>
      </x:c>
    </x:row>
    <x:row r="237">
      <x:c r="A237" s="36" t="str">
        <x:v>2026-08-11</x:v>
      </x:c>
      <x:c r="B237" s="18" t="str">
        <x:v>101437000_83921</x:v>
      </x:c>
      <x:c r="C237" s="18" t="str">
        <x:v>【沪村小电】上海联怡枇杷乐园充电站（地库）</x:v>
      </x:c>
      <x:c r="D237" s="37" t="str">
        <x:v>8</x:v>
      </x:c>
      <x:c r="E237" s="37" t="str">
        <x:v>0</x:v>
      </x:c>
      <x:c r="F237" s="37" t="str">
        <x:v>8</x:v>
      </x:c>
      <x:c r="G237" s="37" t="str">
        <x:v>178.19</x:v>
      </x:c>
      <x:c r="H237" s="37" t="str">
        <x:v>0.00</x:v>
      </x:c>
      <x:c r="I237" s="37" t="str">
        <x:v>67.08</x:v>
      </x:c>
      <x:c r="J237" s="37" t="str">
        <x:v>56.25</x:v>
      </x:c>
      <x:c r="K237" s="37" t="str">
        <x:v>54.86</x:v>
      </x:c>
      <x:c r="L237" s="37" t="str">
        <x:v>265</x:v>
      </x:c>
      <x:c r="M237" s="29" t="str">
        <x:v>181.62</x:v>
      </x:c>
      <x:c r="N237" s="29" t="str">
        <x:v>157.20</x:v>
      </x:c>
      <x:c r="O237" s="29" t="str">
        <x:v>24.42</x:v>
      </x:c>
      <x:c r="P237" s="18" t="str">
        <x:v>2026-08-11</x:v>
      </x:c>
      <x:c r="Q237" s="36" t="n">
        <x:v>46245</x:v>
      </x:c>
    </x:row>
    <x:row r="238">
      <x:c r="A238" s="36" t="str">
        <x:v>2026-08-11</x:v>
      </x:c>
      <x:c r="B238" s="18" t="str">
        <x:v>101437000_83923</x:v>
      </x:c>
      <x:c r="C238" s="18" t="str">
        <x:v>【沪村小电】明珠新苑充电站</x:v>
      </x:c>
      <x:c r="D238" s="37" t="str">
        <x:v>2</x:v>
      </x:c>
      <x:c r="E238" s="37" t="str">
        <x:v>0</x:v>
      </x:c>
      <x:c r="F238" s="37" t="str">
        <x:v>27</x:v>
      </x:c>
      <x:c r="G238" s="37" t="str">
        <x:v>736.72</x:v>
      </x:c>
      <x:c r="H238" s="37" t="str">
        <x:v>0.00</x:v>
      </x:c>
      <x:c r="I238" s="37" t="str">
        <x:v>441.66</x:v>
      </x:c>
      <x:c r="J238" s="37" t="str">
        <x:v>0.00</x:v>
      </x:c>
      <x:c r="K238" s="37" t="str">
        <x:v>295.06</x:v>
      </x:c>
      <x:c r="L238" s="37" t="str">
        <x:v>977</x:v>
      </x:c>
      <x:c r="M238" s="29" t="str">
        <x:v>693.56</x:v>
      </x:c>
      <x:c r="N238" s="29" t="str">
        <x:v>422.76</x:v>
      </x:c>
      <x:c r="O238" s="29" t="str">
        <x:v>270.80</x:v>
      </x:c>
      <x:c r="P238" s="18" t="str">
        <x:v>2026-08-11</x:v>
      </x:c>
      <x:c r="Q238" s="36" t="n">
        <x:v>46245</x:v>
      </x:c>
    </x:row>
    <x:row r="239">
      <x:c r="A239" s="36" t="str">
        <x:v>2026-08-11</x:v>
      </x:c>
      <x:c r="B239" s="18" t="str">
        <x:v>101437000_84289</x:v>
      </x:c>
      <x:c r="C239" s="18" t="str">
        <x:v>【沪村小电】铁建芳华苑充电站</x:v>
      </x:c>
      <x:c r="D239" s="37" t="str">
        <x:v>4</x:v>
      </x:c>
      <x:c r="E239" s="37" t="str">
        <x:v>0</x:v>
      </x:c>
      <x:c r="F239" s="37" t="str">
        <x:v>46</x:v>
      </x:c>
      <x:c r="G239" s="37" t="str">
        <x:v>1097.27</x:v>
      </x:c>
      <x:c r="H239" s="37" t="str">
        <x:v>0.00</x:v>
      </x:c>
      <x:c r="I239" s="37" t="str">
        <x:v>685.02</x:v>
      </x:c>
      <x:c r="J239" s="37" t="str">
        <x:v>0.00</x:v>
      </x:c>
      <x:c r="K239" s="37" t="str">
        <x:v>412.25</x:v>
      </x:c>
      <x:c r="L239" s="37" t="str">
        <x:v>1698</x:v>
      </x:c>
      <x:c r="M239" s="29" t="str">
        <x:v>905.98</x:v>
      </x:c>
      <x:c r="N239" s="29" t="str">
        <x:v>638.88</x:v>
      </x:c>
      <x:c r="O239" s="29" t="str">
        <x:v>267.10</x:v>
      </x:c>
      <x:c r="P239" s="18" t="str">
        <x:v>2026-08-11</x:v>
      </x:c>
      <x:c r="Q239" s="36" t="n">
        <x:v>46245</x:v>
      </x:c>
    </x:row>
    <x:row r="240">
      <x:c r="A240" s="36" t="str">
        <x:v>2026-08-11</x:v>
      </x:c>
      <x:c r="B240" s="18" t="str">
        <x:v>101437000_86379</x:v>
      </x:c>
      <x:c r="C240" s="18" t="str">
        <x:v>【沪村小电】新宝社区充电站</x:v>
      </x:c>
      <x:c r="D240" s="37" t="str">
        <x:v>4</x:v>
      </x:c>
      <x:c r="E240" s="37" t="str">
        <x:v>0</x:v>
      </x:c>
      <x:c r="F240" s="37" t="str">
        <x:v>40</x:v>
      </x:c>
      <x:c r="G240" s="37" t="str">
        <x:v>895.16</x:v>
      </x:c>
      <x:c r="H240" s="37" t="str">
        <x:v>0.00</x:v>
      </x:c>
      <x:c r="I240" s="37" t="str">
        <x:v>516.06</x:v>
      </x:c>
      <x:c r="J240" s="37" t="str">
        <x:v>0.00</x:v>
      </x:c>
      <x:c r="K240" s="37" t="str">
        <x:v>379.10</x:v>
      </x:c>
      <x:c r="L240" s="37" t="str">
        <x:v>1554</x:v>
      </x:c>
      <x:c r="M240" s="29" t="str">
        <x:v>742.84</x:v>
      </x:c>
      <x:c r="N240" s="29" t="str">
        <x:v>506.68</x:v>
      </x:c>
      <x:c r="O240" s="29" t="str">
        <x:v>236.16</x:v>
      </x:c>
      <x:c r="P240" s="18" t="str">
        <x:v>2026-08-11</x:v>
      </x:c>
      <x:c r="Q240" s="36" t="n">
        <x:v>46245</x:v>
      </x:c>
    </x:row>
    <x:row r="241">
      <x:c r="A241" s="36" t="str">
        <x:v>2026-08-11</x:v>
      </x:c>
      <x:c r="B241" s="18" t="str">
        <x:v>101437000_89441</x:v>
      </x:c>
      <x:c r="C241" s="18" t="str">
        <x:v>【沪村小电】首创禧瑞云启西区充电站</x:v>
      </x:c>
      <x:c r="D241" s="37" t="str">
        <x:v>2</x:v>
      </x:c>
      <x:c r="E241" s="37" t="str">
        <x:v>0</x:v>
      </x:c>
      <x:c r="F241" s="37" t="str">
        <x:v>22</x:v>
      </x:c>
      <x:c r="G241" s="37" t="str">
        <x:v>553.74</x:v>
      </x:c>
      <x:c r="H241" s="37" t="str">
        <x:v>0.00</x:v>
      </x:c>
      <x:c r="I241" s="37" t="str">
        <x:v>509.13</x:v>
      </x:c>
      <x:c r="J241" s="37" t="str">
        <x:v>0.00</x:v>
      </x:c>
      <x:c r="K241" s="37" t="str">
        <x:v>44.60</x:v>
      </x:c>
      <x:c r="L241" s="37" t="str">
        <x:v>808</x:v>
      </x:c>
      <x:c r="M241" s="29" t="str">
        <x:v>654.52</x:v>
      </x:c>
      <x:c r="N241" s="29" t="str">
        <x:v>377.98</x:v>
      </x:c>
      <x:c r="O241" s="29" t="str">
        <x:v>276.54</x:v>
      </x:c>
      <x:c r="P241" s="18" t="str">
        <x:v>2026-08-11</x:v>
      </x:c>
      <x:c r="Q241" s="36" t="n">
        <x:v>46245</x:v>
      </x:c>
    </x:row>
    <x:row r="242">
      <x:c r="A242" s="36" t="str">
        <x:v>2026-08-11</x:v>
      </x:c>
      <x:c r="B242" s="18" t="str">
        <x:v>101437000_89443</x:v>
      </x:c>
      <x:c r="C242" s="18" t="str">
        <x:v>【沪村小电】玉兰清苑二期充电站</x:v>
      </x:c>
      <x:c r="D242" s="37" t="str">
        <x:v>2</x:v>
      </x:c>
      <x:c r="E242" s="37" t="str">
        <x:v>0</x:v>
      </x:c>
      <x:c r="F242" s="37" t="str">
        <x:v>33</x:v>
      </x:c>
      <x:c r="G242" s="37" t="str">
        <x:v>652.60</x:v>
      </x:c>
      <x:c r="H242" s="37" t="str">
        <x:v>0.00</x:v>
      </x:c>
      <x:c r="I242" s="37" t="str">
        <x:v>479.52</x:v>
      </x:c>
      <x:c r="J242" s="37" t="str">
        <x:v>0.00</x:v>
      </x:c>
      <x:c r="K242" s="37" t="str">
        <x:v>173.08</x:v>
      </x:c>
      <x:c r="L242" s="37" t="str">
        <x:v>835</x:v>
      </x:c>
      <x:c r="M242" s="29" t="str">
        <x:v>602.23</x:v>
      </x:c>
      <x:c r="N242" s="29" t="str">
        <x:v>404.47</x:v>
      </x:c>
      <x:c r="O242" s="29" t="str">
        <x:v>197.76</x:v>
      </x:c>
      <x:c r="P242" s="18" t="str">
        <x:v>2026-08-11</x:v>
      </x:c>
      <x:c r="Q242" s="36" t="n">
        <x:v>46245</x:v>
      </x:c>
    </x:row>
    <x:row r="243">
      <x:c r="A243" s="36" t="str">
        <x:v>2026-08-11</x:v>
      </x:c>
      <x:c r="B243" s="18" t="str">
        <x:v>101437000_93115</x:v>
      </x:c>
      <x:c r="C243" s="18" t="str">
        <x:v>【沪村小电】新南家园西北门</x:v>
      </x:c>
      <x:c r="D243" s="37" t="str">
        <x:v>2</x:v>
      </x:c>
      <x:c r="E243" s="37" t="str">
        <x:v>0</x:v>
      </x:c>
      <x:c r="F243" s="37" t="str">
        <x:v>17</x:v>
      </x:c>
      <x:c r="G243" s="37" t="str">
        <x:v>474.77</x:v>
      </x:c>
      <x:c r="H243" s="37" t="str">
        <x:v>0.00</x:v>
      </x:c>
      <x:c r="I243" s="37" t="str">
        <x:v>283.43</x:v>
      </x:c>
      <x:c r="J243" s="37" t="str">
        <x:v>0.00</x:v>
      </x:c>
      <x:c r="K243" s="37" t="str">
        <x:v>191.35</x:v>
      </x:c>
      <x:c r="L243" s="37" t="str">
        <x:v>682</x:v>
      </x:c>
      <x:c r="M243" s="29" t="str">
        <x:v>401.55</x:v>
      </x:c>
      <x:c r="N243" s="29" t="str">
        <x:v>272.02</x:v>
      </x:c>
      <x:c r="O243" s="29" t="str">
        <x:v>129.53</x:v>
      </x:c>
      <x:c r="P243" s="18" t="str">
        <x:v>2026-08-11</x:v>
      </x:c>
      <x:c r="Q243" s="36" t="n">
        <x:v>46245</x:v>
      </x:c>
    </x:row>
    <x:row r="244">
      <x:c r="A244" s="36" t="str">
        <x:v>2026-08-11</x:v>
      </x:c>
      <x:c r="B244" s="18" t="str">
        <x:v>101437000_94649</x:v>
      </x:c>
      <x:c r="C244" s="18" t="str">
        <x:v>【沪村小电】浪琴水岸花园</x:v>
      </x:c>
      <x:c r="D244" s="37" t="str">
        <x:v>4</x:v>
      </x:c>
      <x:c r="E244" s="37" t="str">
        <x:v>0</x:v>
      </x:c>
      <x:c r="F244" s="37" t="str">
        <x:v>37</x:v>
      </x:c>
      <x:c r="G244" s="37" t="str">
        <x:v>872.39</x:v>
      </x:c>
      <x:c r="H244" s="37" t="str">
        <x:v>0.00</x:v>
      </x:c>
      <x:c r="I244" s="37" t="str">
        <x:v>599.62</x:v>
      </x:c>
      <x:c r="J244" s="37" t="str">
        <x:v>0.00</x:v>
      </x:c>
      <x:c r="K244" s="37" t="str">
        <x:v>272.76</x:v>
      </x:c>
      <x:c r="L244" s="37" t="str">
        <x:v>1334</x:v>
      </x:c>
      <x:c r="M244" s="29" t="str">
        <x:v>821.92</x:v>
      </x:c>
      <x:c r="N244" s="29" t="str">
        <x:v>553.92</x:v>
      </x:c>
      <x:c r="O244" s="29" t="str">
        <x:v>268.00</x:v>
      </x:c>
      <x:c r="P244" s="18" t="str">
        <x:v>2026-08-11</x:v>
      </x:c>
      <x:c r="Q244" s="36" t="n">
        <x:v>46245</x:v>
      </x:c>
    </x:row>
    <x:row r="245">
      <x:c r="A245" s="36" t="str">
        <x:v>2026-08-11</x:v>
      </x:c>
      <x:c r="B245" s="18" t="str">
        <x:v>101437000_95081</x:v>
      </x:c>
      <x:c r="C245" s="18" t="str">
        <x:v>【沪村小电】民乐城惠益绿苑西苑充电站</x:v>
      </x:c>
      <x:c r="D245" s="37" t="str">
        <x:v>2</x:v>
      </x:c>
      <x:c r="E245" s="37" t="str">
        <x:v>0</x:v>
      </x:c>
      <x:c r="F245" s="37" t="str">
        <x:v>17</x:v>
      </x:c>
      <x:c r="G245" s="37" t="str">
        <x:v>521.52</x:v>
      </x:c>
      <x:c r="H245" s="37" t="str">
        <x:v>0.00</x:v>
      </x:c>
      <x:c r="I245" s="37" t="str">
        <x:v>370.12</x:v>
      </x:c>
      <x:c r="J245" s="37" t="str">
        <x:v>0.00</x:v>
      </x:c>
      <x:c r="K245" s="37" t="str">
        <x:v>151.40</x:v>
      </x:c>
      <x:c r="L245" s="37" t="str">
        <x:v>761</x:v>
      </x:c>
      <x:c r="M245" s="29" t="str">
        <x:v>512.01</x:v>
      </x:c>
      <x:c r="N245" s="29" t="str">
        <x:v>318.80</x:v>
      </x:c>
      <x:c r="O245" s="29" t="str">
        <x:v>193.21</x:v>
      </x:c>
      <x:c r="P245" s="18" t="str">
        <x:v>2026-08-11</x:v>
      </x:c>
      <x:c r="Q245" s="36" t="n">
        <x:v>46245</x:v>
      </x:c>
    </x:row>
    <x:row r="246">
      <x:c r="A246" s="36" t="str">
        <x:v>2026-08-11</x:v>
      </x:c>
      <x:c r="B246" s="18" t="str">
        <x:v>101437000_95091</x:v>
      </x:c>
      <x:c r="C246" s="18" t="str">
        <x:v>【沪村小电】金悦学府2号站</x:v>
      </x:c>
      <x:c r="D246" s="37" t="str">
        <x:v>2</x:v>
      </x:c>
      <x:c r="E246" s="37" t="str">
        <x:v>0</x:v>
      </x:c>
      <x:c r="F246" s="37" t="str">
        <x:v>37</x:v>
      </x:c>
      <x:c r="G246" s="37" t="str">
        <x:v>838.78</x:v>
      </x:c>
      <x:c r="H246" s="37" t="str">
        <x:v>0.00</x:v>
      </x:c>
      <x:c r="I246" s="37" t="str">
        <x:v>0.00</x:v>
      </x:c>
      <x:c r="J246" s="37" t="str">
        <x:v>838.78</x:v>
      </x:c>
      <x:c r="K246" s="37" t="str">
        <x:v>0.00</x:v>
      </x:c>
      <x:c r="L246" s="37" t="str">
        <x:v>1428</x:v>
      </x:c>
      <x:c r="M246" s="29" t="str">
        <x:v>662.63</x:v>
      </x:c>
      <x:c r="N246" s="29" t="str">
        <x:v>469.70</x:v>
      </x:c>
      <x:c r="O246" s="29" t="str">
        <x:v>192.93</x:v>
      </x:c>
      <x:c r="P246" s="18" t="str">
        <x:v>2026-08-11</x:v>
      </x:c>
      <x:c r="Q246" s="36" t="n">
        <x:v>46245</x:v>
      </x:c>
    </x:row>
    <x:row r="247">
      <x:c r="A247" s="36" t="str">
        <x:v>2026-08-11</x:v>
      </x:c>
      <x:c r="B247" s="18" t="str">
        <x:v>101437000_95941</x:v>
      </x:c>
      <x:c r="C247" s="18" t="str">
        <x:v>【沪村小电】惠诚雅苑</x:v>
      </x:c>
      <x:c r="D247" s="37" t="str">
        <x:v>4</x:v>
      </x:c>
      <x:c r="E247" s="37" t="str">
        <x:v>0</x:v>
      </x:c>
      <x:c r="F247" s="37" t="str">
        <x:v>40</x:v>
      </x:c>
      <x:c r="G247" s="37" t="str">
        <x:v>1032.11</x:v>
      </x:c>
      <x:c r="H247" s="37" t="str">
        <x:v>0.00</x:v>
      </x:c>
      <x:c r="I247" s="37" t="str">
        <x:v>507.42</x:v>
      </x:c>
      <x:c r="J247" s="37" t="str">
        <x:v>0.00</x:v>
      </x:c>
      <x:c r="K247" s="37" t="str">
        <x:v>524.68</x:v>
      </x:c>
      <x:c r="L247" s="37" t="str">
        <x:v>1742</x:v>
      </x:c>
      <x:c r="M247" s="29" t="str">
        <x:v>720.96</x:v>
      </x:c>
      <x:c r="N247" s="29" t="str">
        <x:v>461.99</x:v>
      </x:c>
      <x:c r="O247" s="29" t="str">
        <x:v>258.97</x:v>
      </x:c>
      <x:c r="P247" s="18" t="str">
        <x:v>2026-08-11</x:v>
      </x:c>
      <x:c r="Q247" s="36" t="n">
        <x:v>46245</x:v>
      </x:c>
    </x:row>
    <x:row r="248">
      <x:c r="A248" s="36" t="str">
        <x:v>2026-08-11</x:v>
      </x:c>
      <x:c r="B248" s="18" t="str">
        <x:v>101437000_96401</x:v>
      </x:c>
      <x:c r="C248" s="18" t="str">
        <x:v>【沪村小电】上海联怡枇杷乐园地面站</x:v>
      </x:c>
      <x:c r="D248" s="37" t="str">
        <x:v>2</x:v>
      </x:c>
      <x:c r="E248" s="37" t="str">
        <x:v>0</x:v>
      </x:c>
      <x:c r="F248" s="37" t="str">
        <x:v>4</x:v>
      </x:c>
      <x:c r="G248" s="37" t="str">
        <x:v>72.09</x:v>
      </x:c>
      <x:c r="H248" s="37" t="str">
        <x:v>0.00</x:v>
      </x:c>
      <x:c r="I248" s="37" t="str">
        <x:v>42.97</x:v>
      </x:c>
      <x:c r="J248" s="37" t="str">
        <x:v>0.00</x:v>
      </x:c>
      <x:c r="K248" s="37" t="str">
        <x:v>29.12</x:v>
      </x:c>
      <x:c r="L248" s="37" t="str">
        <x:v>181</x:v>
      </x:c>
      <x:c r="M248" s="29" t="str">
        <x:v>73.47</x:v>
      </x:c>
      <x:c r="N248" s="29" t="str">
        <x:v>60.55</x:v>
      </x:c>
      <x:c r="O248" s="29" t="str">
        <x:v>12.92</x:v>
      </x:c>
      <x:c r="P248" s="18" t="str">
        <x:v>2026-08-11</x:v>
      </x:c>
      <x:c r="Q248" s="36" t="n">
        <x:v>46245</x:v>
      </x:c>
    </x:row>
    <x:row r="249">
      <x:c r="A249" s="36" t="str">
        <x:v>2026-08-11</x:v>
      </x:c>
      <x:c r="B249" s="18" t="str">
        <x:v>101437000_96719</x:v>
      </x:c>
      <x:c r="C249" s="18" t="str">
        <x:v>【沪村小电】四达路220弄充电站</x:v>
      </x:c>
      <x:c r="D249" s="37" t="str">
        <x:v>2</x:v>
      </x:c>
      <x:c r="E249" s="37" t="str">
        <x:v>0</x:v>
      </x:c>
      <x:c r="F249" s="37" t="str">
        <x:v>3</x:v>
      </x:c>
      <x:c r="G249" s="37" t="str">
        <x:v>64.06</x:v>
      </x:c>
      <x:c r="H249" s="37" t="str">
        <x:v>0.00</x:v>
      </x:c>
      <x:c r="I249" s="37" t="str">
        <x:v>0.00</x:v>
      </x:c>
      <x:c r="J249" s="37" t="str">
        <x:v>0.00</x:v>
      </x:c>
      <x:c r="K249" s="37" t="str">
        <x:v>64.06</x:v>
      </x:c>
      <x:c r="L249" s="37" t="str">
        <x:v>147</x:v>
      </x:c>
      <x:c r="M249" s="29" t="str">
        <x:v>42.16</x:v>
      </x:c>
      <x:c r="N249" s="29" t="str">
        <x:v>23.70</x:v>
      </x:c>
      <x:c r="O249" s="29" t="str">
        <x:v>18.46</x:v>
      </x:c>
      <x:c r="P249" s="18" t="str">
        <x:v>2026-08-11</x:v>
      </x:c>
      <x:c r="Q249" s="36" t="n">
        <x:v>46245</x:v>
      </x:c>
    </x:row>
    <x:row r="250">
      <x:c r="A250" s="36" t="str">
        <x:v>2026-08-11</x:v>
      </x:c>
      <x:c r="B250" s="18" t="str">
        <x:v>101437000_97421</x:v>
      </x:c>
      <x:c r="C250" s="18" t="str">
        <x:v>【沪村小电】玉兰清苑二期（小区外）充电站</x:v>
      </x:c>
      <x:c r="D250" s="37" t="str">
        <x:v>4</x:v>
      </x:c>
      <x:c r="E250" s="37" t="str">
        <x:v>0</x:v>
      </x:c>
      <x:c r="F250" s="37" t="str">
        <x:v>45</x:v>
      </x:c>
      <x:c r="G250" s="37" t="str">
        <x:v>896.94</x:v>
      </x:c>
      <x:c r="H250" s="37" t="str">
        <x:v>0.00</x:v>
      </x:c>
      <x:c r="I250" s="37" t="str">
        <x:v>830.45</x:v>
      </x:c>
      <x:c r="J250" s="37" t="str">
        <x:v>0.00</x:v>
      </x:c>
      <x:c r="K250" s="37" t="str">
        <x:v>66.49</x:v>
      </x:c>
      <x:c r="L250" s="37" t="str">
        <x:v>1572</x:v>
      </x:c>
      <x:c r="M250" s="29" t="str">
        <x:v>899.65</x:v>
      </x:c>
      <x:c r="N250" s="29" t="str">
        <x:v>614.22</x:v>
      </x:c>
      <x:c r="O250" s="29" t="str">
        <x:v>285.43</x:v>
      </x:c>
      <x:c r="P250" s="18" t="str">
        <x:v>2026-08-11</x:v>
      </x:c>
      <x:c r="Q250" s="36" t="n">
        <x:v>46245</x:v>
      </x:c>
    </x:row>
    <x:row r="251">
      <x:c r="A251" s="36" t="str">
        <x:v>2026-08-11</x:v>
      </x:c>
      <x:c r="B251" s="18" t="str">
        <x:v>101437000_98013</x:v>
      </x:c>
      <x:c r="C251" s="18" t="str">
        <x:v>【沪村小电】恒大滨江华府充电站</x:v>
      </x:c>
      <x:c r="D251" s="37" t="str">
        <x:v>4</x:v>
      </x:c>
      <x:c r="E251" s="37" t="str">
        <x:v>0</x:v>
      </x:c>
      <x:c r="F251" s="37" t="str">
        <x:v>38</x:v>
      </x:c>
      <x:c r="G251" s="37" t="str">
        <x:v>831.63</x:v>
      </x:c>
      <x:c r="H251" s="37" t="str">
        <x:v>0.00</x:v>
      </x:c>
      <x:c r="I251" s="37" t="str">
        <x:v>795.50</x:v>
      </x:c>
      <x:c r="J251" s="37" t="str">
        <x:v>0.00</x:v>
      </x:c>
      <x:c r="K251" s="37" t="str">
        <x:v>36.12</x:v>
      </x:c>
      <x:c r="L251" s="37" t="str">
        <x:v>1564</x:v>
      </x:c>
      <x:c r="M251" s="29" t="str">
        <x:v>904.27</x:v>
      </x:c>
      <x:c r="N251" s="29" t="str">
        <x:v>732.56</x:v>
      </x:c>
      <x:c r="O251" s="29" t="str">
        <x:v>171.71</x:v>
      </x:c>
      <x:c r="P251" s="18" t="str">
        <x:v>2026-08-11</x:v>
      </x:c>
      <x:c r="Q251" s="36" t="n">
        <x:v>46245</x:v>
      </x:c>
    </x:row>
    <x:row r="252">
      <x:c r="A252" s="36" t="str">
        <x:v>2026-08-11</x:v>
      </x:c>
      <x:c r="B252" s="18" t="str">
        <x:v>101437000_98863</x:v>
      </x:c>
      <x:c r="C252" s="18" t="str">
        <x:v>【沪村小电】欣菊苑充电站</x:v>
      </x:c>
      <x:c r="D252" s="37" t="str">
        <x:v>4</x:v>
      </x:c>
      <x:c r="E252" s="37" t="str">
        <x:v>0</x:v>
      </x:c>
      <x:c r="F252" s="37" t="str">
        <x:v>7</x:v>
      </x:c>
      <x:c r="G252" s="37" t="str">
        <x:v>141.51</x:v>
      </x:c>
      <x:c r="H252" s="37" t="str">
        <x:v>0.00</x:v>
      </x:c>
      <x:c r="I252" s="37" t="str">
        <x:v>140.16</x:v>
      </x:c>
      <x:c r="J252" s="37" t="str">
        <x:v>0.00</x:v>
      </x:c>
      <x:c r="K252" s="37" t="str">
        <x:v>1.34</x:v>
      </x:c>
      <x:c r="L252" s="37" t="str">
        <x:v>270</x:v>
      </x:c>
      <x:c r="M252" s="29" t="str">
        <x:v>130.83</x:v>
      </x:c>
      <x:c r="N252" s="29" t="str">
        <x:v>100.01</x:v>
      </x:c>
      <x:c r="O252" s="29" t="str">
        <x:v>30.82</x:v>
      </x:c>
      <x:c r="P252" s="18" t="str">
        <x:v>2026-08-11</x:v>
      </x:c>
      <x:c r="Q252" s="36" t="n">
        <x:v>46245</x:v>
      </x:c>
    </x:row>
    <x:row r="253">
      <x:c r="A253" s="36" t="str">
        <x:v>2026-08-11</x:v>
      </x:c>
      <x:c r="B253" s="18" t="str">
        <x:v>101437000_98865</x:v>
      </x:c>
      <x:c r="C253" s="18" t="str">
        <x:v>【沪村小电】欣松苑充电站</x:v>
      </x:c>
      <x:c r="D253" s="37" t="str">
        <x:v>4</x:v>
      </x:c>
      <x:c r="E253" s="37" t="str">
        <x:v>0</x:v>
      </x:c>
      <x:c r="F253" s="37" t="str">
        <x:v>35</x:v>
      </x:c>
      <x:c r="G253" s="37" t="str">
        <x:v>585.24</x:v>
      </x:c>
      <x:c r="H253" s="37" t="str">
        <x:v>0.00</x:v>
      </x:c>
      <x:c r="I253" s="37" t="str">
        <x:v>503.76</x:v>
      </x:c>
      <x:c r="J253" s="37" t="str">
        <x:v>0.00</x:v>
      </x:c>
      <x:c r="K253" s="37" t="str">
        <x:v>81.48</x:v>
      </x:c>
      <x:c r="L253" s="37" t="str">
        <x:v>1025</x:v>
      </x:c>
      <x:c r="M253" s="29" t="str">
        <x:v>548.81</x:v>
      </x:c>
      <x:c r="N253" s="29" t="str">
        <x:v>387.80</x:v>
      </x:c>
      <x:c r="O253" s="29" t="str">
        <x:v>161.01</x:v>
      </x:c>
      <x:c r="P253" s="18" t="str">
        <x:v>2026-08-11</x:v>
      </x:c>
      <x:c r="Q253" s="36" t="n">
        <x:v>46245</x:v>
      </x:c>
    </x:row>
    <x:row r="254">
      <x:c r="A254" s="36" t="str">
        <x:v>2026-08-11</x:v>
      </x:c>
      <x:c r="B254" s="18" t="str">
        <x:v>101437000_98867</x:v>
      </x:c>
      <x:c r="C254" s="18" t="str">
        <x:v>【沪村小电】欣荷苑充电站</x:v>
      </x:c>
      <x:c r="D254" s="37" t="str">
        <x:v>4</x:v>
      </x:c>
      <x:c r="E254" s="37" t="str">
        <x:v>0</x:v>
      </x:c>
      <x:c r="F254" s="37" t="str">
        <x:v>12</x:v>
      </x:c>
      <x:c r="G254" s="37" t="str">
        <x:v>269.65</x:v>
      </x:c>
      <x:c r="H254" s="37" t="str">
        <x:v>0.00</x:v>
      </x:c>
      <x:c r="I254" s="37" t="str">
        <x:v>269.65</x:v>
      </x:c>
      <x:c r="J254" s="37" t="str">
        <x:v>0.00</x:v>
      </x:c>
      <x:c r="K254" s="37" t="str">
        <x:v>0.00</x:v>
      </x:c>
      <x:c r="L254" s="37" t="str">
        <x:v>377</x:v>
      </x:c>
      <x:c r="M254" s="29" t="str">
        <x:v>242.38</x:v>
      </x:c>
      <x:c r="N254" s="29" t="str">
        <x:v>191.45</x:v>
      </x:c>
      <x:c r="O254" s="29" t="str">
        <x:v>50.93</x:v>
      </x:c>
      <x:c r="P254" s="18" t="str">
        <x:v>2026-08-11</x:v>
      </x:c>
      <x:c r="Q254" s="36" t="n">
        <x:v>46245</x:v>
      </x:c>
    </x:row>
    <x:row r="255">
      <x:c r="A255" s="36" t="str">
        <x:v>2026-08-11</x:v>
      </x:c>
      <x:c r="B255" s="18" t="str">
        <x:v>101437000_99885</x:v>
      </x:c>
      <x:c r="C255" s="18" t="str">
        <x:v>【沪村小电】汇丰馨苑充电站</x:v>
      </x:c>
      <x:c r="D255" s="37" t="str">
        <x:v>4</x:v>
      </x:c>
      <x:c r="E255" s="37" t="str">
        <x:v>0</x:v>
      </x:c>
      <x:c r="F255" s="37" t="str">
        <x:v>22</x:v>
      </x:c>
      <x:c r="G255" s="37" t="str">
        <x:v>510.88</x:v>
      </x:c>
      <x:c r="H255" s="37" t="str">
        <x:v>0.00</x:v>
      </x:c>
      <x:c r="I255" s="37" t="str">
        <x:v>468.36</x:v>
      </x:c>
      <x:c r="J255" s="37" t="str">
        <x:v>0.00</x:v>
      </x:c>
      <x:c r="K255" s="37" t="str">
        <x:v>42.53</x:v>
      </x:c>
      <x:c r="L255" s="37" t="str">
        <x:v>846</x:v>
      </x:c>
      <x:c r="M255" s="29" t="str">
        <x:v>485.84</x:v>
      </x:c>
      <x:c r="N255" s="29" t="str">
        <x:v>348.26</x:v>
      </x:c>
      <x:c r="O255" s="29" t="str">
        <x:v>137.58</x:v>
      </x:c>
      <x:c r="P255" s="18" t="str">
        <x:v>2026-08-11</x:v>
      </x:c>
      <x:c r="Q255" s="36" t="n">
        <x:v>46245</x:v>
      </x:c>
    </x:row>
    <x:row r="256">
      <x:c r="A256" s="36" t="str">
        <x:v>2026-08-11</x:v>
      </x:c>
      <x:c r="B256" s="18" t="str">
        <x:v>101437000_99887</x:v>
      </x:c>
      <x:c r="C256" s="18" t="str">
        <x:v>【沪村小电】新南村河南小区充电站</x:v>
      </x:c>
      <x:c r="D256" s="37" t="str">
        <x:v>2</x:v>
      </x:c>
      <x:c r="E256" s="37" t="str">
        <x:v>0</x:v>
      </x:c>
      <x:c r="F256" s="37" t="str">
        <x:v>4</x:v>
      </x:c>
      <x:c r="G256" s="37" t="str">
        <x:v>124.67</x:v>
      </x:c>
      <x:c r="H256" s="37" t="str">
        <x:v>0.00</x:v>
      </x:c>
      <x:c r="I256" s="37" t="str">
        <x:v>45.78</x:v>
      </x:c>
      <x:c r="J256" s="37" t="str">
        <x:v>0.00</x:v>
      </x:c>
      <x:c r="K256" s="37" t="str">
        <x:v>78.90</x:v>
      </x:c>
      <x:c r="L256" s="37" t="str">
        <x:v>252</x:v>
      </x:c>
      <x:c r="M256" s="29" t="str">
        <x:v>91.10</x:v>
      </x:c>
      <x:c r="N256" s="29" t="str">
        <x:v>61.69</x:v>
      </x:c>
      <x:c r="O256" s="29" t="str">
        <x:v>29.41</x:v>
      </x:c>
      <x:c r="P256" s="18" t="str">
        <x:v>2026-08-11</x:v>
      </x:c>
      <x:c r="Q256" s="36" t="n">
        <x:v>46245</x:v>
      </x:c>
    </x:row>
    <x:row r="257">
      <x:c r="A257" s="36" t="str">
        <x:v>2026-08-11</x:v>
      </x:c>
      <x:c r="B257" s="18" t="str">
        <x:v>101437000_99889</x:v>
      </x:c>
      <x:c r="C257" s="18" t="str">
        <x:v>【沪村小电】漕泾郊野公园</x:v>
      </x:c>
      <x:c r="D257" s="37" t="str">
        <x:v>2</x:v>
      </x:c>
      <x:c r="E257" s="37" t="str">
        <x:v>0</x:v>
      </x:c>
      <x:c r="F257" s="37" t="str">
        <x:v>10</x:v>
      </x:c>
      <x:c r="G257" s="37" t="str">
        <x:v>233.19</x:v>
      </x:c>
      <x:c r="H257" s="37" t="str">
        <x:v>0.00</x:v>
      </x:c>
      <x:c r="I257" s="37" t="str">
        <x:v>162.25</x:v>
      </x:c>
      <x:c r="J257" s="37" t="str">
        <x:v>0.00</x:v>
      </x:c>
      <x:c r="K257" s="37" t="str">
        <x:v>70.94</x:v>
      </x:c>
      <x:c r="L257" s="37" t="str">
        <x:v>355</x:v>
      </x:c>
      <x:c r="M257" s="29" t="str">
        <x:v>227.77</x:v>
      </x:c>
      <x:c r="N257" s="29" t="str">
        <x:v>165.88</x:v>
      </x:c>
      <x:c r="O257" s="29" t="str">
        <x:v>61.89</x:v>
      </x:c>
      <x:c r="P257" s="18" t="str">
        <x:v>2026-08-11</x:v>
      </x:c>
      <x:c r="Q257" s="36" t="n">
        <x:v>46245</x:v>
      </x:c>
    </x:row>
    <x:row r="258">
      <x:c r="A258" s="36" t="str">
        <x:v>2026-08-11</x:v>
      </x:c>
      <x:c r="B258" s="18" t="str">
        <x:v>101437000_99891</x:v>
      </x:c>
      <x:c r="C258" s="18" t="str">
        <x:v>【沪村小电】水韵紫城充电站</x:v>
      </x:c>
      <x:c r="D258" s="37" t="str">
        <x:v>4</x:v>
      </x:c>
      <x:c r="E258" s="37" t="str">
        <x:v>0</x:v>
      </x:c>
      <x:c r="F258" s="37" t="str">
        <x:v>33</x:v>
      </x:c>
      <x:c r="G258" s="37" t="str">
        <x:v>827.07</x:v>
      </x:c>
      <x:c r="H258" s="37" t="str">
        <x:v>0.00</x:v>
      </x:c>
      <x:c r="I258" s="37" t="str">
        <x:v>607.49</x:v>
      </x:c>
      <x:c r="J258" s="37" t="str">
        <x:v>0.00</x:v>
      </x:c>
      <x:c r="K258" s="37" t="str">
        <x:v>219.58</x:v>
      </x:c>
      <x:c r="L258" s="37" t="str">
        <x:v>1257</x:v>
      </x:c>
      <x:c r="M258" s="29" t="str">
        <x:v>762.12</x:v>
      </x:c>
      <x:c r="N258" s="29" t="str">
        <x:v>512.57</x:v>
      </x:c>
      <x:c r="O258" s="29" t="str">
        <x:v>249.55</x:v>
      </x:c>
      <x:c r="P258" s="18" t="str">
        <x:v>2026-08-11</x:v>
      </x:c>
      <x:c r="Q258" s="36" t="n">
        <x:v>46245</x:v>
      </x:c>
    </x:row>
    <x:row r="259">
      <x:c r="A259" s="36" t="str">
        <x:v>2026-08-10</x:v>
      </x:c>
      <x:c r="B259" s="18" t="str">
        <x:v>101437000_100523</x:v>
      </x:c>
      <x:c r="C259" s="18" t="str">
        <x:v>【沪村小电】民旺苑南区</x:v>
      </x:c>
      <x:c r="D259" s="37" t="str">
        <x:v>4</x:v>
      </x:c>
      <x:c r="E259" s="37" t="str">
        <x:v>0</x:v>
      </x:c>
      <x:c r="F259" s="37" t="str">
        <x:v>13</x:v>
      </x:c>
      <x:c r="G259" s="37" t="str">
        <x:v>326.63</x:v>
      </x:c>
      <x:c r="H259" s="37" t="str">
        <x:v>0.00</x:v>
      </x:c>
      <x:c r="I259" s="37" t="str">
        <x:v>79.59</x:v>
      </x:c>
      <x:c r="J259" s="37" t="str">
        <x:v>0.00</x:v>
      </x:c>
      <x:c r="K259" s="37" t="str">
        <x:v>247.04</x:v>
      </x:c>
      <x:c r="L259" s="37" t="str">
        <x:v>411</x:v>
      </x:c>
      <x:c r="M259" s="29" t="str">
        <x:v>221.99</x:v>
      </x:c>
      <x:c r="N259" s="29" t="str">
        <x:v>172.63</x:v>
      </x:c>
      <x:c r="O259" s="29" t="str">
        <x:v>49.36</x:v>
      </x:c>
      <x:c r="P259" s="18" t="str">
        <x:v>2026-08-10</x:v>
      </x:c>
      <x:c r="Q259" s="36" t="n">
        <x:v>46244</x:v>
      </x:c>
    </x:row>
    <x:row r="260">
      <x:c r="A260" s="36" t="str">
        <x:v>2026-08-10</x:v>
      </x:c>
      <x:c r="B260" s="18" t="str">
        <x:v>101437000_101531</x:v>
      </x:c>
      <x:c r="C260" s="18" t="str">
        <x:v>【沪村小电】汇中苑充电站</x:v>
      </x:c>
      <x:c r="D260" s="37" t="str">
        <x:v>2</x:v>
      </x:c>
      <x:c r="E260" s="37" t="str">
        <x:v>0</x:v>
      </x:c>
      <x:c r="F260" s="37" t="str">
        <x:v>12</x:v>
      </x:c>
      <x:c r="G260" s="37" t="str">
        <x:v>379.06</x:v>
      </x:c>
      <x:c r="H260" s="37" t="str">
        <x:v>0.00</x:v>
      </x:c>
      <x:c r="I260" s="37" t="str">
        <x:v>49.76</x:v>
      </x:c>
      <x:c r="J260" s="37" t="str">
        <x:v>243.20</x:v>
      </x:c>
      <x:c r="K260" s="37" t="str">
        <x:v>86.10</x:v>
      </x:c>
      <x:c r="L260" s="37" t="str">
        <x:v>588</x:v>
      </x:c>
      <x:c r="M260" s="29" t="str">
        <x:v>428.64</x:v>
      </x:c>
      <x:c r="N260" s="29" t="str">
        <x:v>257.91</x:v>
      </x:c>
      <x:c r="O260" s="29" t="str">
        <x:v>170.73</x:v>
      </x:c>
      <x:c r="P260" s="18" t="str">
        <x:v>2026-08-10</x:v>
      </x:c>
      <x:c r="Q260" s="36" t="n">
        <x:v>46244</x:v>
      </x:c>
    </x:row>
    <x:row r="261">
      <x:c r="A261" s="36" t="str">
        <x:v>2026-08-10</x:v>
      </x:c>
      <x:c r="B261" s="18" t="str">
        <x:v>101437000_102047</x:v>
      </x:c>
      <x:c r="C261" s="18" t="str">
        <x:v>【沪村小电】后浜小区9弄小区南面停车场充电站</x:v>
      </x:c>
      <x:c r="D261" s="37" t="str">
        <x:v>8</x:v>
      </x:c>
      <x:c r="E261" s="37" t="str">
        <x:v>0</x:v>
      </x:c>
      <x:c r="F261" s="37" t="str">
        <x:v>46</x:v>
      </x:c>
      <x:c r="G261" s="37" t="str">
        <x:v>1063.90</x:v>
      </x:c>
      <x:c r="H261" s="37" t="str">
        <x:v>0.00</x:v>
      </x:c>
      <x:c r="I261" s="37" t="str">
        <x:v>790.21</x:v>
      </x:c>
      <x:c r="J261" s="37" t="str">
        <x:v>0.00</x:v>
      </x:c>
      <x:c r="K261" s="37" t="str">
        <x:v>273.69</x:v>
      </x:c>
      <x:c r="L261" s="37" t="str">
        <x:v>1694</x:v>
      </x:c>
      <x:c r="M261" s="29" t="str">
        <x:v>1082.76</x:v>
      </x:c>
      <x:c r="N261" s="29" t="str">
        <x:v>689.68</x:v>
      </x:c>
      <x:c r="O261" s="29" t="str">
        <x:v>393.08</x:v>
      </x:c>
      <x:c r="P261" s="18" t="str">
        <x:v>2026-08-10</x:v>
      </x:c>
      <x:c r="Q261" s="36" t="n">
        <x:v>46244</x:v>
      </x:c>
    </x:row>
    <x:row r="262">
      <x:c r="A262" s="36" t="str">
        <x:v>2026-08-10</x:v>
      </x:c>
      <x:c r="B262" s="18" t="str">
        <x:v>101437000_103503</x:v>
      </x:c>
      <x:c r="C262" s="18" t="str">
        <x:v>【沪村小电】阳光城新界充电站</x:v>
      </x:c>
      <x:c r="D262" s="37" t="str">
        <x:v>4</x:v>
      </x:c>
      <x:c r="E262" s="37" t="str">
        <x:v>0</x:v>
      </x:c>
      <x:c r="F262" s="37" t="str">
        <x:v>15</x:v>
      </x:c>
      <x:c r="G262" s="37" t="str">
        <x:v>343.17</x:v>
      </x:c>
      <x:c r="H262" s="37" t="str">
        <x:v>0.00</x:v>
      </x:c>
      <x:c r="I262" s="37" t="str">
        <x:v>277.91</x:v>
      </x:c>
      <x:c r="J262" s="37" t="str">
        <x:v>0.00</x:v>
      </x:c>
      <x:c r="K262" s="37" t="str">
        <x:v>65.26</x:v>
      </x:c>
      <x:c r="L262" s="37" t="str">
        <x:v>506</x:v>
      </x:c>
      <x:c r="M262" s="29" t="str">
        <x:v>358.68</x:v>
      </x:c>
      <x:c r="N262" s="29" t="str">
        <x:v>242.89</x:v>
      </x:c>
      <x:c r="O262" s="29" t="str">
        <x:v>115.79</x:v>
      </x:c>
      <x:c r="P262" s="18" t="str">
        <x:v>2026-08-10</x:v>
      </x:c>
      <x:c r="Q262" s="36" t="n">
        <x:v>46244</x:v>
      </x:c>
    </x:row>
    <x:row r="263">
      <x:c r="A263" s="36" t="str">
        <x:v>2026-08-10</x:v>
      </x:c>
      <x:c r="B263" s="18" t="str">
        <x:v>101437000_41561</x:v>
      </x:c>
      <x:c r="C263" s="18" t="str">
        <x:v>【沪村小电】张施小区大门处快充站</x:v>
      </x:c>
      <x:c r="D263" s="37" t="str">
        <x:v>2</x:v>
      </x:c>
      <x:c r="E263" s="37" t="str">
        <x:v>0</x:v>
      </x:c>
      <x:c r="F263" s="37" t="str">
        <x:v>38</x:v>
      </x:c>
      <x:c r="G263" s="37" t="str">
        <x:v>903.22</x:v>
      </x:c>
      <x:c r="H263" s="37" t="str">
        <x:v>0.00</x:v>
      </x:c>
      <x:c r="I263" s="37" t="str">
        <x:v>370.98</x:v>
      </x:c>
      <x:c r="J263" s="37" t="str">
        <x:v>0.00</x:v>
      </x:c>
      <x:c r="K263" s="37" t="str">
        <x:v>532.24</x:v>
      </x:c>
      <x:c r="L263" s="37" t="str">
        <x:v>1589</x:v>
      </x:c>
      <x:c r="M263" s="29" t="str">
        <x:v>689.52</x:v>
      </x:c>
      <x:c r="N263" s="29" t="str">
        <x:v>460.36</x:v>
      </x:c>
      <x:c r="O263" s="29" t="str">
        <x:v>229.16</x:v>
      </x:c>
      <x:c r="P263" s="18" t="str">
        <x:v>2026-08-10</x:v>
      </x:c>
      <x:c r="Q263" s="36" t="n">
        <x:v>46244</x:v>
      </x:c>
    </x:row>
    <x:row r="264">
      <x:c r="A264" s="36" t="str">
        <x:v>2026-08-10</x:v>
      </x:c>
      <x:c r="B264" s="18" t="str">
        <x:v>101437000_41563</x:v>
      </x:c>
      <x:c r="C264" s="18" t="str">
        <x:v>【沪村小电】同心村快充站</x:v>
      </x:c>
      <x:c r="D264" s="37" t="str">
        <x:v>4</x:v>
      </x:c>
      <x:c r="E264" s="37" t="str">
        <x:v>0</x:v>
      </x:c>
      <x:c r="F264" s="37" t="str">
        <x:v>32</x:v>
      </x:c>
      <x:c r="G264" s="37" t="str">
        <x:v>888.34</x:v>
      </x:c>
      <x:c r="H264" s="37" t="str">
        <x:v>0.00</x:v>
      </x:c>
      <x:c r="I264" s="37" t="str">
        <x:v>596.66</x:v>
      </x:c>
      <x:c r="J264" s="37" t="str">
        <x:v>0.00</x:v>
      </x:c>
      <x:c r="K264" s="37" t="str">
        <x:v>291.69</x:v>
      </x:c>
      <x:c r="L264" s="37" t="str">
        <x:v>1325</x:v>
      </x:c>
      <x:c r="M264" s="29" t="str">
        <x:v>810.73</x:v>
      </x:c>
      <x:c r="N264" s="29" t="str">
        <x:v>531.55</x:v>
      </x:c>
      <x:c r="O264" s="29" t="str">
        <x:v>279.18</x:v>
      </x:c>
      <x:c r="P264" s="18" t="str">
        <x:v>2026-08-10</x:v>
      </x:c>
      <x:c r="Q264" s="36" t="n">
        <x:v>46244</x:v>
      </x:c>
    </x:row>
    <x:row r="265">
      <x:c r="A265" s="36" t="str">
        <x:v>2026-08-10</x:v>
      </x:c>
      <x:c r="B265" s="18" t="str">
        <x:v>101437000_69629</x:v>
      </x:c>
      <x:c r="C265" s="18" t="str">
        <x:v>【沪村小电】骏丰玲珑坊西苑充电站</x:v>
      </x:c>
      <x:c r="D265" s="37" t="str">
        <x:v>2</x:v>
      </x:c>
      <x:c r="E265" s="37" t="str">
        <x:v>0</x:v>
      </x:c>
      <x:c r="F265" s="37" t="str">
        <x:v>62</x:v>
      </x:c>
      <x:c r="G265" s="37" t="str">
        <x:v>1531.23</x:v>
      </x:c>
      <x:c r="H265" s="37" t="str">
        <x:v>0.00</x:v>
      </x:c>
      <x:c r="I265" s="37" t="str">
        <x:v>887.45</x:v>
      </x:c>
      <x:c r="J265" s="37" t="str">
        <x:v>0.00</x:v>
      </x:c>
      <x:c r="K265" s="37" t="str">
        <x:v>643.78</x:v>
      </x:c>
      <x:c r="L265" s="37" t="str">
        <x:v>2646</x:v>
      </x:c>
      <x:c r="M265" s="29" t="str">
        <x:v>1255.87</x:v>
      </x:c>
      <x:c r="N265" s="29" t="str">
        <x:v>868.30</x:v>
      </x:c>
      <x:c r="O265" s="29" t="str">
        <x:v>387.57</x:v>
      </x:c>
      <x:c r="P265" s="18" t="str">
        <x:v>2026-08-10</x:v>
      </x:c>
      <x:c r="Q265" s="36" t="n">
        <x:v>46244</x:v>
      </x:c>
    </x:row>
    <x:row r="266">
      <x:c r="A266" s="36" t="str">
        <x:v>2026-08-10</x:v>
      </x:c>
      <x:c r="B266" s="18" t="str">
        <x:v>101437000_70547</x:v>
      </x:c>
      <x:c r="C266" s="18" t="str">
        <x:v>【沪村小电】农建村初心馆党群服务中心充电站</x:v>
      </x:c>
      <x:c r="D266" s="37" t="str">
        <x:v>4</x:v>
      </x:c>
      <x:c r="E266" s="37" t="str">
        <x:v>0</x:v>
      </x:c>
      <x:c r="F266" s="37" t="str">
        <x:v>21</x:v>
      </x:c>
      <x:c r="G266" s="37" t="str">
        <x:v>232.40</x:v>
      </x:c>
      <x:c r="H266" s="37" t="str">
        <x:v>0.00</x:v>
      </x:c>
      <x:c r="I266" s="37" t="str">
        <x:v>125.04</x:v>
      </x:c>
      <x:c r="J266" s="37" t="str">
        <x:v>0.00</x:v>
      </x:c>
      <x:c r="K266" s="37" t="str">
        <x:v>107.36</x:v>
      </x:c>
      <x:c r="L266" s="37" t="str">
        <x:v>333</x:v>
      </x:c>
      <x:c r="M266" s="29" t="str">
        <x:v>230.59</x:v>
      </x:c>
      <x:c r="N266" s="29" t="str">
        <x:v>178.54</x:v>
      </x:c>
      <x:c r="O266" s="29" t="str">
        <x:v>52.05</x:v>
      </x:c>
      <x:c r="P266" s="18" t="str">
        <x:v>2026-08-10</x:v>
      </x:c>
      <x:c r="Q266" s="36" t="n">
        <x:v>46244</x:v>
      </x:c>
    </x:row>
    <x:row r="267">
      <x:c r="A267" s="36" t="str">
        <x:v>2026-08-10</x:v>
      </x:c>
      <x:c r="B267" s="18" t="str">
        <x:v>101437000_70549</x:v>
      </x:c>
      <x:c r="C267" s="18" t="str">
        <x:v>【沪村小电】学府路充电站</x:v>
      </x:c>
      <x:c r="D267" s="37" t="str">
        <x:v>2</x:v>
      </x:c>
      <x:c r="E267" s="37" t="str">
        <x:v>0</x:v>
      </x:c>
      <x:c r="F267" s="37" t="str">
        <x:v>4</x:v>
      </x:c>
      <x:c r="G267" s="37" t="str">
        <x:v>120.33</x:v>
      </x:c>
      <x:c r="H267" s="37" t="str">
        <x:v>0.00</x:v>
      </x:c>
      <x:c r="I267" s="37" t="str">
        <x:v>63.06</x:v>
      </x:c>
      <x:c r="J267" s="37" t="str">
        <x:v>0.00</x:v>
      </x:c>
      <x:c r="K267" s="37" t="str">
        <x:v>57.27</x:v>
      </x:c>
      <x:c r="L267" s="37" t="str">
        <x:v>154</x:v>
      </x:c>
      <x:c r="M267" s="29" t="str">
        <x:v>126.31</x:v>
      </x:c>
      <x:c r="N267" s="29" t="str">
        <x:v>91.64</x:v>
      </x:c>
      <x:c r="O267" s="29" t="str">
        <x:v>34.67</x:v>
      </x:c>
      <x:c r="P267" s="18" t="str">
        <x:v>2026-08-10</x:v>
      </x:c>
      <x:c r="Q267" s="36" t="n">
        <x:v>46244</x:v>
      </x:c>
    </x:row>
    <x:row r="268">
      <x:c r="A268" s="36" t="str">
        <x:v>2026-08-10</x:v>
      </x:c>
      <x:c r="B268" s="18" t="str">
        <x:v>101437000_71059</x:v>
      </x:c>
      <x:c r="C268" s="18" t="str">
        <x:v>【沪村小电】宝乐汇商业广场站</x:v>
      </x:c>
      <x:c r="D268" s="37" t="str">
        <x:v>4</x:v>
      </x:c>
      <x:c r="E268" s="37" t="str">
        <x:v>0</x:v>
      </x:c>
      <x:c r="F268" s="37" t="str">
        <x:v>31</x:v>
      </x:c>
      <x:c r="G268" s="37" t="str">
        <x:v>909.90</x:v>
      </x:c>
      <x:c r="H268" s="37" t="str">
        <x:v>0.00</x:v>
      </x:c>
      <x:c r="I268" s="37" t="str">
        <x:v>487.83</x:v>
      </x:c>
      <x:c r="J268" s="37" t="str">
        <x:v>0.00</x:v>
      </x:c>
      <x:c r="K268" s="37" t="str">
        <x:v>422.07</x:v>
      </x:c>
      <x:c r="L268" s="37" t="str">
        <x:v>1599</x:v>
      </x:c>
      <x:c r="M268" s="29" t="str">
        <x:v>932.29</x:v>
      </x:c>
      <x:c r="N268" s="29" t="str">
        <x:v>633.21</x:v>
      </x:c>
      <x:c r="O268" s="29" t="str">
        <x:v>299.08</x:v>
      </x:c>
      <x:c r="P268" s="18" t="str">
        <x:v>2026-08-10</x:v>
      </x:c>
      <x:c r="Q268" s="36" t="n">
        <x:v>46244</x:v>
      </x:c>
    </x:row>
    <x:row r="269">
      <x:c r="A269" s="36" t="str">
        <x:v>2026-08-10</x:v>
      </x:c>
      <x:c r="B269" s="18" t="str">
        <x:v>101437000_72541</x:v>
      </x:c>
      <x:c r="C269" s="18" t="str">
        <x:v>【沪村小电】九干路1174弄充电站</x:v>
      </x:c>
      <x:c r="D269" s="37" t="str">
        <x:v>2</x:v>
      </x:c>
      <x:c r="E269" s="37" t="str">
        <x:v>0</x:v>
      </x:c>
      <x:c r="F269" s="37" t="str">
        <x:v>44</x:v>
      </x:c>
      <x:c r="G269" s="37" t="str">
        <x:v>865.20</x:v>
      </x:c>
      <x:c r="H269" s="37" t="str">
        <x:v>0.00</x:v>
      </x:c>
      <x:c r="I269" s="37" t="str">
        <x:v>540.60</x:v>
      </x:c>
      <x:c r="J269" s="37" t="str">
        <x:v>0.00</x:v>
      </x:c>
      <x:c r="K269" s="37" t="str">
        <x:v>324.60</x:v>
      </x:c>
      <x:c r="L269" s="37" t="str">
        <x:v>1517</x:v>
      </x:c>
      <x:c r="M269" s="29" t="str">
        <x:v>710.58</x:v>
      </x:c>
      <x:c r="N269" s="29" t="str">
        <x:v>503.93</x:v>
      </x:c>
      <x:c r="O269" s="29" t="str">
        <x:v>206.65</x:v>
      </x:c>
      <x:c r="P269" s="18" t="str">
        <x:v>2026-08-10</x:v>
      </x:c>
      <x:c r="Q269" s="36" t="n">
        <x:v>46244</x:v>
      </x:c>
    </x:row>
    <x:row r="270">
      <x:c r="A270" s="36" t="str">
        <x:v>2026-08-10</x:v>
      </x:c>
      <x:c r="B270" s="18" t="str">
        <x:v>101437000_72543</x:v>
      </x:c>
      <x:c r="C270" s="18" t="str">
        <x:v>【沪村小电】叶家中心村小区充电站</x:v>
      </x:c>
      <x:c r="D270" s="37" t="str">
        <x:v>2</x:v>
      </x:c>
      <x:c r="E270" s="37" t="str">
        <x:v>0</x:v>
      </x:c>
      <x:c r="F270" s="37" t="str">
        <x:v>46</x:v>
      </x:c>
      <x:c r="G270" s="37" t="str">
        <x:v>947.82</x:v>
      </x:c>
      <x:c r="H270" s="37" t="str">
        <x:v>0.00</x:v>
      </x:c>
      <x:c r="I270" s="37" t="str">
        <x:v>449.55</x:v>
      </x:c>
      <x:c r="J270" s="37" t="str">
        <x:v>0.00</x:v>
      </x:c>
      <x:c r="K270" s="37" t="str">
        <x:v>498.27</x:v>
      </x:c>
      <x:c r="L270" s="37" t="str">
        <x:v>1662</x:v>
      </x:c>
      <x:c r="M270" s="29" t="str">
        <x:v>713.54</x:v>
      </x:c>
      <x:c r="N270" s="29" t="str">
        <x:v>503.57</x:v>
      </x:c>
      <x:c r="O270" s="29" t="str">
        <x:v>209.97</x:v>
      </x:c>
      <x:c r="P270" s="18" t="str">
        <x:v>2026-08-10</x:v>
      </x:c>
      <x:c r="Q270" s="36" t="n">
        <x:v>46244</x:v>
      </x:c>
    </x:row>
    <x:row r="271">
      <x:c r="A271" s="36" t="str">
        <x:v>2026-08-10</x:v>
      </x:c>
      <x:c r="B271" s="18" t="str">
        <x:v>101437000_74223</x:v>
      </x:c>
      <x:c r="C271" s="18" t="str">
        <x:v>【沪村小电】中兴村委会充电站</x:v>
      </x:c>
      <x:c r="D271" s="37" t="str">
        <x:v>2</x:v>
      </x:c>
      <x:c r="E271" s="37" t="str">
        <x:v>0</x:v>
      </x:c>
      <x:c r="F271" s="37" t="str">
        <x:v>24</x:v>
      </x:c>
      <x:c r="G271" s="37" t="str">
        <x:v>378.44</x:v>
      </x:c>
      <x:c r="H271" s="37" t="str">
        <x:v>0.00</x:v>
      </x:c>
      <x:c r="I271" s="37" t="str">
        <x:v>126.79</x:v>
      </x:c>
      <x:c r="J271" s="37" t="str">
        <x:v>0.00</x:v>
      </x:c>
      <x:c r="K271" s="37" t="str">
        <x:v>251.64</x:v>
      </x:c>
      <x:c r="L271" s="37" t="str">
        <x:v>492</x:v>
      </x:c>
      <x:c r="M271" s="29" t="str">
        <x:v>314.07</x:v>
      </x:c>
      <x:c r="N271" s="29" t="str">
        <x:v>253.87</x:v>
      </x:c>
      <x:c r="O271" s="29" t="str">
        <x:v>60.20</x:v>
      </x:c>
      <x:c r="P271" s="18" t="str">
        <x:v>2026-08-10</x:v>
      </x:c>
      <x:c r="Q271" s="36" t="n">
        <x:v>46244</x:v>
      </x:c>
    </x:row>
    <x:row r="272">
      <x:c r="A272" s="36" t="str">
        <x:v>2026-08-10</x:v>
      </x:c>
      <x:c r="B272" s="18" t="str">
        <x:v>101437000_74801</x:v>
      </x:c>
      <x:c r="C272" s="18" t="str">
        <x:v>【沪村小电】申良花园充电站</x:v>
      </x:c>
      <x:c r="D272" s="37" t="str">
        <x:v>4</x:v>
      </x:c>
      <x:c r="E272" s="37" t="str">
        <x:v>0</x:v>
      </x:c>
      <x:c r="F272" s="37" t="str">
        <x:v>2</x:v>
      </x:c>
      <x:c r="G272" s="37" t="str">
        <x:v>49.86</x:v>
      </x:c>
      <x:c r="H272" s="37" t="str">
        <x:v>0.00</x:v>
      </x:c>
      <x:c r="I272" s="37" t="str">
        <x:v>36.05</x:v>
      </x:c>
      <x:c r="J272" s="37" t="str">
        <x:v>0.00</x:v>
      </x:c>
      <x:c r="K272" s="37" t="str">
        <x:v>13.80</x:v>
      </x:c>
      <x:c r="L272" s="37" t="str">
        <x:v>92</x:v>
      </x:c>
      <x:c r="M272" s="29" t="str">
        <x:v>64.80</x:v>
      </x:c>
      <x:c r="N272" s="29" t="str">
        <x:v>30.71</x:v>
      </x:c>
      <x:c r="O272" s="29" t="str">
        <x:v>34.09</x:v>
      </x:c>
      <x:c r="P272" s="18" t="str">
        <x:v>2026-08-10</x:v>
      </x:c>
      <x:c r="Q272" s="36" t="n">
        <x:v>46244</x:v>
      </x:c>
    </x:row>
    <x:row r="273">
      <x:c r="A273" s="36" t="str">
        <x:v>2026-08-10</x:v>
      </x:c>
      <x:c r="B273" s="18" t="str">
        <x:v>101437000_74931</x:v>
      </x:c>
      <x:c r="C273" s="18" t="str">
        <x:v>【沪村小电】枫雅南居充电站</x:v>
      </x:c>
      <x:c r="D273" s="37" t="str">
        <x:v>2</x:v>
      </x:c>
      <x:c r="E273" s="37" t="str">
        <x:v>0</x:v>
      </x:c>
      <x:c r="F273" s="37" t="str">
        <x:v>32</x:v>
      </x:c>
      <x:c r="G273" s="37" t="str">
        <x:v>799.99</x:v>
      </x:c>
      <x:c r="H273" s="37" t="str">
        <x:v>0.00</x:v>
      </x:c>
      <x:c r="I273" s="37" t="str">
        <x:v>337.85</x:v>
      </x:c>
      <x:c r="J273" s="37" t="str">
        <x:v>0.00</x:v>
      </x:c>
      <x:c r="K273" s="37" t="str">
        <x:v>462.14</x:v>
      </x:c>
      <x:c r="L273" s="37" t="str">
        <x:v>1066</x:v>
      </x:c>
      <x:c r="M273" s="29" t="str">
        <x:v>508.65</x:v>
      </x:c>
      <x:c r="N273" s="29" t="str">
        <x:v>342.58</x:v>
      </x:c>
      <x:c r="O273" s="29" t="str">
        <x:v>166.07</x:v>
      </x:c>
      <x:c r="P273" s="18" t="str">
        <x:v>2026-08-10</x:v>
      </x:c>
      <x:c r="Q273" s="36" t="n">
        <x:v>46244</x:v>
      </x:c>
    </x:row>
    <x:row r="274">
      <x:c r="A274" s="36" t="str">
        <x:v>2026-08-10</x:v>
      </x:c>
      <x:c r="B274" s="18" t="str">
        <x:v>101437000_75901</x:v>
      </x:c>
      <x:c r="C274" s="18" t="str">
        <x:v>【沪村小电】金悦学府</x:v>
      </x:c>
      <x:c r="D274" s="37" t="str">
        <x:v>2</x:v>
      </x:c>
      <x:c r="E274" s="37" t="str">
        <x:v>0</x:v>
      </x:c>
      <x:c r="F274" s="37" t="str">
        <x:v>39</x:v>
      </x:c>
      <x:c r="G274" s="37" t="str">
        <x:v>1126.89</x:v>
      </x:c>
      <x:c r="H274" s="37" t="str">
        <x:v>0.00</x:v>
      </x:c>
      <x:c r="I274" s="37" t="str">
        <x:v>516.55</x:v>
      </x:c>
      <x:c r="J274" s="37" t="str">
        <x:v>0.00</x:v>
      </x:c>
      <x:c r="K274" s="37" t="str">
        <x:v>610.34</x:v>
      </x:c>
      <x:c r="L274" s="37" t="str">
        <x:v>1672</x:v>
      </x:c>
      <x:c r="M274" s="29" t="str">
        <x:v>848.50</x:v>
      </x:c>
      <x:c r="N274" s="29" t="str">
        <x:v>493.96</x:v>
      </x:c>
      <x:c r="O274" s="29" t="str">
        <x:v>354.54</x:v>
      </x:c>
      <x:c r="P274" s="18" t="str">
        <x:v>2026-08-10</x:v>
      </x:c>
      <x:c r="Q274" s="36" t="n">
        <x:v>46244</x:v>
      </x:c>
    </x:row>
    <x:row r="275">
      <x:c r="A275" s="36" t="str">
        <x:v>2026-08-10</x:v>
      </x:c>
      <x:c r="B275" s="18" t="str">
        <x:v>101437000_76091</x:v>
      </x:c>
      <x:c r="C275" s="18" t="str">
        <x:v>【沪村小电】恒信家园充电站</x:v>
      </x:c>
      <x:c r="D275" s="37" t="str">
        <x:v>2</x:v>
      </x:c>
      <x:c r="E275" s="37" t="str">
        <x:v>0</x:v>
      </x:c>
      <x:c r="F275" s="37" t="str">
        <x:v>25</x:v>
      </x:c>
      <x:c r="G275" s="37" t="str">
        <x:v>668.03</x:v>
      </x:c>
      <x:c r="H275" s="37" t="str">
        <x:v>0.00</x:v>
      </x:c>
      <x:c r="I275" s="37" t="str">
        <x:v>439.88</x:v>
      </x:c>
      <x:c r="J275" s="37" t="str">
        <x:v>0.00</x:v>
      </x:c>
      <x:c r="K275" s="37" t="str">
        <x:v>228.16</x:v>
      </x:c>
      <x:c r="L275" s="37" t="str">
        <x:v>806</x:v>
      </x:c>
      <x:c r="M275" s="29" t="str">
        <x:v>633.32</x:v>
      </x:c>
      <x:c r="N275" s="29" t="str">
        <x:v>396.74</x:v>
      </x:c>
      <x:c r="O275" s="29" t="str">
        <x:v>236.58</x:v>
      </x:c>
      <x:c r="P275" s="18" t="str">
        <x:v>2026-08-10</x:v>
      </x:c>
      <x:c r="Q275" s="36" t="n">
        <x:v>46244</x:v>
      </x:c>
    </x:row>
    <x:row r="276">
      <x:c r="A276" s="36" t="str">
        <x:v>2026-08-10</x:v>
      </x:c>
      <x:c r="B276" s="18" t="str">
        <x:v>101437000_76417</x:v>
      </x:c>
      <x:c r="C276" s="18" t="str">
        <x:v>【沪村小电】新春一组充电站</x:v>
      </x:c>
      <x:c r="D276" s="37" t="str">
        <x:v>2</x:v>
      </x:c>
      <x:c r="E276" s="37" t="str">
        <x:v>0</x:v>
      </x:c>
      <x:c r="F276" s="37" t="str">
        <x:v>5</x:v>
      </x:c>
      <x:c r="G276" s="37" t="str">
        <x:v>159.08</x:v>
      </x:c>
      <x:c r="H276" s="37" t="str">
        <x:v>0.00</x:v>
      </x:c>
      <x:c r="I276" s="37" t="str">
        <x:v>93.26</x:v>
      </x:c>
      <x:c r="J276" s="37" t="str">
        <x:v>0.00</x:v>
      </x:c>
      <x:c r="K276" s="37" t="str">
        <x:v>65.82</x:v>
      </x:c>
      <x:c r="L276" s="37" t="str">
        <x:v>238</x:v>
      </x:c>
      <x:c r="M276" s="29" t="str">
        <x:v>158.23</x:v>
      </x:c>
      <x:c r="N276" s="29" t="str">
        <x:v>125.89</x:v>
      </x:c>
      <x:c r="O276" s="29" t="str">
        <x:v>32.34</x:v>
      </x:c>
      <x:c r="P276" s="18" t="str">
        <x:v>2026-08-10</x:v>
      </x:c>
      <x:c r="Q276" s="36" t="n">
        <x:v>46244</x:v>
      </x:c>
    </x:row>
    <x:row r="277">
      <x:c r="A277" s="36" t="str">
        <x:v>2026-08-10</x:v>
      </x:c>
      <x:c r="B277" s="18" t="str">
        <x:v>101437000_78235</x:v>
      </x:c>
      <x:c r="C277" s="18" t="str">
        <x:v>【沪村小电】欣秋苑充电站</x:v>
      </x:c>
      <x:c r="D277" s="37" t="str">
        <x:v>4</x:v>
      </x:c>
      <x:c r="E277" s="37" t="str">
        <x:v>0</x:v>
      </x:c>
      <x:c r="F277" s="37" t="str">
        <x:v>16</x:v>
      </x:c>
      <x:c r="G277" s="37" t="str">
        <x:v>312.82</x:v>
      </x:c>
      <x:c r="H277" s="37" t="str">
        <x:v>0.00</x:v>
      </x:c>
      <x:c r="I277" s="37" t="str">
        <x:v>208.82</x:v>
      </x:c>
      <x:c r="J277" s="37" t="str">
        <x:v>0.00</x:v>
      </x:c>
      <x:c r="K277" s="37" t="str">
        <x:v>104.00</x:v>
      </x:c>
      <x:c r="L277" s="37" t="str">
        <x:v>606</x:v>
      </x:c>
      <x:c r="M277" s="29" t="str">
        <x:v>250.89</x:v>
      </x:c>
      <x:c r="N277" s="29" t="str">
        <x:v>186.75</x:v>
      </x:c>
      <x:c r="O277" s="29" t="str">
        <x:v>64.14</x:v>
      </x:c>
      <x:c r="P277" s="18" t="str">
        <x:v>2026-08-10</x:v>
      </x:c>
      <x:c r="Q277" s="36" t="n">
        <x:v>46244</x:v>
      </x:c>
    </x:row>
    <x:row r="278">
      <x:c r="A278" s="36" t="str">
        <x:v>2026-08-10</x:v>
      </x:c>
      <x:c r="B278" s="18" t="str">
        <x:v>101437000_78237</x:v>
      </x:c>
      <x:c r="C278" s="18" t="str">
        <x:v>【沪村小电】奉馨苑西门小区内北侧充电站</x:v>
      </x:c>
      <x:c r="D278" s="37" t="str">
        <x:v>2</x:v>
      </x:c>
      <x:c r="E278" s="37" t="str">
        <x:v>0</x:v>
      </x:c>
      <x:c r="F278" s="37" t="str">
        <x:v>20</x:v>
      </x:c>
      <x:c r="G278" s="37" t="str">
        <x:v>654.19</x:v>
      </x:c>
      <x:c r="H278" s="37" t="str">
        <x:v>0.00</x:v>
      </x:c>
      <x:c r="I278" s="37" t="str">
        <x:v>77.31</x:v>
      </x:c>
      <x:c r="J278" s="37" t="str">
        <x:v>313.49</x:v>
      </x:c>
      <x:c r="K278" s="37" t="str">
        <x:v>263.39</x:v>
      </x:c>
      <x:c r="L278" s="37" t="str">
        <x:v>732</x:v>
      </x:c>
      <x:c r="M278" s="29" t="str">
        <x:v>550.75</x:v>
      </x:c>
      <x:c r="N278" s="29" t="str">
        <x:v>411.60</x:v>
      </x:c>
      <x:c r="O278" s="29" t="str">
        <x:v>139.15</x:v>
      </x:c>
      <x:c r="P278" s="18" t="str">
        <x:v>2026-08-10</x:v>
      </x:c>
      <x:c r="Q278" s="36" t="n">
        <x:v>46244</x:v>
      </x:c>
    </x:row>
    <x:row r="279">
      <x:c r="A279" s="36" t="str">
        <x:v>2026-08-10</x:v>
      </x:c>
      <x:c r="B279" s="18" t="str">
        <x:v>101437000_80823</x:v>
      </x:c>
      <x:c r="C279" s="18" t="str">
        <x:v>【沪村小电】上湖轩充电站</x:v>
      </x:c>
      <x:c r="D279" s="37" t="str">
        <x:v>2</x:v>
      </x:c>
      <x:c r="E279" s="37" t="str">
        <x:v>0</x:v>
      </x:c>
      <x:c r="F279" s="37" t="str">
        <x:v>4</x:v>
      </x:c>
      <x:c r="G279" s="37" t="str">
        <x:v>96.31</x:v>
      </x:c>
      <x:c r="H279" s="37" t="str">
        <x:v>0.00</x:v>
      </x:c>
      <x:c r="I279" s="37" t="str">
        <x:v>0.00</x:v>
      </x:c>
      <x:c r="J279" s="37" t="str">
        <x:v>9.41</x:v>
      </x:c>
      <x:c r="K279" s="37" t="str">
        <x:v>86.90</x:v>
      </x:c>
      <x:c r="L279" s="37" t="str">
        <x:v>165</x:v>
      </x:c>
      <x:c r="M279" s="29" t="str">
        <x:v>64.26</x:v>
      </x:c>
      <x:c r="N279" s="29" t="str">
        <x:v>52.04</x:v>
      </x:c>
      <x:c r="O279" s="29" t="str">
        <x:v>12.22</x:v>
      </x:c>
      <x:c r="P279" s="18" t="str">
        <x:v>2026-08-10</x:v>
      </x:c>
      <x:c r="Q279" s="36" t="n">
        <x:v>46244</x:v>
      </x:c>
    </x:row>
    <x:row r="280">
      <x:c r="A280" s="36" t="str">
        <x:v>2026-08-10</x:v>
      </x:c>
      <x:c r="B280" s="18" t="str">
        <x:v>101437000_83019</x:v>
      </x:c>
      <x:c r="C280" s="18" t="str">
        <x:v>【沪村小电】首创禧瑞云启东区充电站</x:v>
      </x:c>
      <x:c r="D280" s="37" t="str">
        <x:v>2</x:v>
      </x:c>
      <x:c r="E280" s="37" t="str">
        <x:v>0</x:v>
      </x:c>
      <x:c r="F280" s="37" t="str">
        <x:v>19</x:v>
      </x:c>
      <x:c r="G280" s="37" t="str">
        <x:v>486.46</x:v>
      </x:c>
      <x:c r="H280" s="37" t="str">
        <x:v>0.00</x:v>
      </x:c>
      <x:c r="I280" s="37" t="str">
        <x:v>252.66</x:v>
      </x:c>
      <x:c r="J280" s="37" t="str">
        <x:v>0.00</x:v>
      </x:c>
      <x:c r="K280" s="37" t="str">
        <x:v>233.80</x:v>
      </x:c>
      <x:c r="L280" s="37" t="str">
        <x:v>602</x:v>
      </x:c>
      <x:c r="M280" s="29" t="str">
        <x:v>396.88</x:v>
      </x:c>
      <x:c r="N280" s="29" t="str">
        <x:v>265.90</x:v>
      </x:c>
      <x:c r="O280" s="29" t="str">
        <x:v>130.98</x:v>
      </x:c>
      <x:c r="P280" s="18" t="str">
        <x:v>2026-08-10</x:v>
      </x:c>
      <x:c r="Q280" s="36" t="n">
        <x:v>46244</x:v>
      </x:c>
    </x:row>
    <x:row r="281">
      <x:c r="A281" s="36" t="str">
        <x:v>2026-08-10</x:v>
      </x:c>
      <x:c r="B281" s="18" t="str">
        <x:v>101437000_83093</x:v>
      </x:c>
      <x:c r="C281" s="18" t="str">
        <x:v>【沪村小电】金茂未来时光里</x:v>
      </x:c>
      <x:c r="D281" s="37" t="str">
        <x:v>2</x:v>
      </x:c>
      <x:c r="E281" s="37" t="str">
        <x:v>0</x:v>
      </x:c>
      <x:c r="F281" s="37" t="str">
        <x:v>47</x:v>
      </x:c>
      <x:c r="G281" s="37" t="str">
        <x:v>1494.59</x:v>
      </x:c>
      <x:c r="H281" s="37" t="str">
        <x:v>0.00</x:v>
      </x:c>
      <x:c r="I281" s="37" t="str">
        <x:v>795.13</x:v>
      </x:c>
      <x:c r="J281" s="37" t="str">
        <x:v>0.00</x:v>
      </x:c>
      <x:c r="K281" s="37" t="str">
        <x:v>699.46</x:v>
      </x:c>
      <x:c r="L281" s="37" t="str">
        <x:v>2048</x:v>
      </x:c>
      <x:c r="M281" s="29" t="str">
        <x:v>1009.98</x:v>
      </x:c>
      <x:c r="N281" s="29" t="str">
        <x:v>685.97</x:v>
      </x:c>
      <x:c r="O281" s="29" t="str">
        <x:v>324.01</x:v>
      </x:c>
      <x:c r="P281" s="18" t="str">
        <x:v>2026-08-10</x:v>
      </x:c>
      <x:c r="Q281" s="36" t="n">
        <x:v>46244</x:v>
      </x:c>
    </x:row>
    <x:row r="282">
      <x:c r="A282" s="36" t="str">
        <x:v>2026-08-10</x:v>
      </x:c>
      <x:c r="B282" s="18" t="str">
        <x:v>101437000_83911</x:v>
      </x:c>
      <x:c r="C282" s="18" t="str">
        <x:v>【沪村小电】金瀚园充电站</x:v>
      </x:c>
      <x:c r="D282" s="37" t="str">
        <x:v>2</x:v>
      </x:c>
      <x:c r="E282" s="37" t="str">
        <x:v>0</x:v>
      </x:c>
      <x:c r="F282" s="37" t="str">
        <x:v>36</x:v>
      </x:c>
      <x:c r="G282" s="37" t="str">
        <x:v>864.22</x:v>
      </x:c>
      <x:c r="H282" s="37" t="str">
        <x:v>0.00</x:v>
      </x:c>
      <x:c r="I282" s="37" t="str">
        <x:v>659.30</x:v>
      </x:c>
      <x:c r="J282" s="37" t="str">
        <x:v>0.00</x:v>
      </x:c>
      <x:c r="K282" s="37" t="str">
        <x:v>204.91</x:v>
      </x:c>
      <x:c r="L282" s="37" t="str">
        <x:v>1194</x:v>
      </x:c>
      <x:c r="M282" s="29" t="str">
        <x:v>857.49</x:v>
      </x:c>
      <x:c r="N282" s="29" t="str">
        <x:v>543.92</x:v>
      </x:c>
      <x:c r="O282" s="29" t="str">
        <x:v>313.57</x:v>
      </x:c>
      <x:c r="P282" s="18" t="str">
        <x:v>2026-08-10</x:v>
      </x:c>
      <x:c r="Q282" s="36" t="n">
        <x:v>46244</x:v>
      </x:c>
    </x:row>
    <x:row r="283">
      <x:c r="A283" s="36" t="str">
        <x:v>2026-08-10</x:v>
      </x:c>
      <x:c r="B283" s="18" t="str">
        <x:v>101437000_83913</x:v>
      </x:c>
      <x:c r="C283" s="18" t="str">
        <x:v>【沪村小电】新黎村充电站</x:v>
      </x:c>
      <x:c r="D283" s="37" t="str">
        <x:v>2</x:v>
      </x:c>
      <x:c r="E283" s="37" t="str">
        <x:v>0</x:v>
      </x:c>
      <x:c r="F283" s="37" t="str">
        <x:v>21</x:v>
      </x:c>
      <x:c r="G283" s="37" t="str">
        <x:v>398.85</x:v>
      </x:c>
      <x:c r="H283" s="37" t="str">
        <x:v>0.00</x:v>
      </x:c>
      <x:c r="I283" s="37" t="str">
        <x:v>272.66</x:v>
      </x:c>
      <x:c r="J283" s="37" t="str">
        <x:v>0.00</x:v>
      </x:c>
      <x:c r="K283" s="37" t="str">
        <x:v>126.19</x:v>
      </x:c>
      <x:c r="L283" s="37" t="str">
        <x:v>538</x:v>
      </x:c>
      <x:c r="M283" s="29" t="str">
        <x:v>446.83</x:v>
      </x:c>
      <x:c r="N283" s="29" t="str">
        <x:v>334.29</x:v>
      </x:c>
      <x:c r="O283" s="29" t="str">
        <x:v>112.54</x:v>
      </x:c>
      <x:c r="P283" s="18" t="str">
        <x:v>2026-08-10</x:v>
      </x:c>
      <x:c r="Q283" s="36" t="n">
        <x:v>46244</x:v>
      </x:c>
    </x:row>
    <x:row r="284">
      <x:c r="A284" s="36" t="str">
        <x:v>2026-08-10</x:v>
      </x:c>
      <x:c r="B284" s="18" t="str">
        <x:v>101437000_83915</x:v>
      </x:c>
      <x:c r="C284" s="18" t="str">
        <x:v>【沪村小电】长泰西郊别墅充电站</x:v>
      </x:c>
      <x:c r="D284" s="37" t="str">
        <x:v>2</x:v>
      </x:c>
      <x:c r="E284" s="37" t="str">
        <x:v>0</x:v>
      </x:c>
      <x:c r="F284" s="37" t="str">
        <x:v>17</x:v>
      </x:c>
      <x:c r="G284" s="37" t="str">
        <x:v>457.91</x:v>
      </x:c>
      <x:c r="H284" s="37" t="str">
        <x:v>0.00</x:v>
      </x:c>
      <x:c r="I284" s="37" t="str">
        <x:v>326.15</x:v>
      </x:c>
      <x:c r="J284" s="37" t="str">
        <x:v>0.00</x:v>
      </x:c>
      <x:c r="K284" s="37" t="str">
        <x:v>131.76</x:v>
      </x:c>
      <x:c r="L284" s="37" t="str">
        <x:v>597</x:v>
      </x:c>
      <x:c r="M284" s="29" t="str">
        <x:v>431.10</x:v>
      </x:c>
      <x:c r="N284" s="29" t="str">
        <x:v>280.32</x:v>
      </x:c>
      <x:c r="O284" s="29" t="str">
        <x:v>150.78</x:v>
      </x:c>
      <x:c r="P284" s="18" t="str">
        <x:v>2026-08-10</x:v>
      </x:c>
      <x:c r="Q284" s="36" t="n">
        <x:v>46244</x:v>
      </x:c>
    </x:row>
    <x:row r="285">
      <x:c r="A285" s="36" t="str">
        <x:v>2026-08-10</x:v>
      </x:c>
      <x:c r="B285" s="18" t="str">
        <x:v>101437000_83917</x:v>
      </x:c>
      <x:c r="C285" s="18" t="str">
        <x:v>【沪村小电】旭新华庭充电站</x:v>
      </x:c>
      <x:c r="D285" s="37" t="str">
        <x:v>4</x:v>
      </x:c>
      <x:c r="E285" s="37" t="str">
        <x:v>0</x:v>
      </x:c>
      <x:c r="F285" s="37" t="str">
        <x:v>26</x:v>
      </x:c>
      <x:c r="G285" s="37" t="str">
        <x:v>642.93</x:v>
      </x:c>
      <x:c r="H285" s="37" t="str">
        <x:v>0.00</x:v>
      </x:c>
      <x:c r="I285" s="37" t="str">
        <x:v>494.11</x:v>
      </x:c>
      <x:c r="J285" s="37" t="str">
        <x:v>0.00</x:v>
      </x:c>
      <x:c r="K285" s="37" t="str">
        <x:v>148.82</x:v>
      </x:c>
      <x:c r="L285" s="37" t="str">
        <x:v>1071</x:v>
      </x:c>
      <x:c r="M285" s="29" t="str">
        <x:v>633.91</x:v>
      </x:c>
      <x:c r="N285" s="29" t="str">
        <x:v>405.87</x:v>
      </x:c>
      <x:c r="O285" s="29" t="str">
        <x:v>228.04</x:v>
      </x:c>
      <x:c r="P285" s="18" t="str">
        <x:v>2026-08-10</x:v>
      </x:c>
      <x:c r="Q285" s="36" t="n">
        <x:v>46244</x:v>
      </x:c>
    </x:row>
    <x:row r="286">
      <x:c r="A286" s="36" t="str">
        <x:v>2026-08-10</x:v>
      </x:c>
      <x:c r="B286" s="18" t="str">
        <x:v>101437000_83919</x:v>
      </x:c>
      <x:c r="C286" s="18" t="str">
        <x:v>【沪村小电】浦锦名仕嘉园充电站</x:v>
      </x:c>
      <x:c r="D286" s="37" t="str">
        <x:v>4</x:v>
      </x:c>
      <x:c r="E286" s="37" t="str">
        <x:v>0</x:v>
      </x:c>
      <x:c r="F286" s="37" t="str">
        <x:v>37</x:v>
      </x:c>
      <x:c r="G286" s="37" t="str">
        <x:v>748.93</x:v>
      </x:c>
      <x:c r="H286" s="37" t="str">
        <x:v>0.00</x:v>
      </x:c>
      <x:c r="I286" s="37" t="str">
        <x:v>0.00</x:v>
      </x:c>
      <x:c r="J286" s="37" t="str">
        <x:v>748.93</x:v>
      </x:c>
      <x:c r="K286" s="37" t="str">
        <x:v>0.00</x:v>
      </x:c>
      <x:c r="L286" s="37" t="str">
        <x:v>995</x:v>
      </x:c>
      <x:c r="M286" s="29" t="str">
        <x:v>782.65</x:v>
      </x:c>
      <x:c r="N286" s="29" t="str">
        <x:v>524.28</x:v>
      </x:c>
      <x:c r="O286" s="29" t="str">
        <x:v>258.37</x:v>
      </x:c>
      <x:c r="P286" s="18" t="str">
        <x:v>2026-08-10</x:v>
      </x:c>
      <x:c r="Q286" s="36" t="n">
        <x:v>46244</x:v>
      </x:c>
    </x:row>
    <x:row r="287">
      <x:c r="A287" s="36" t="str">
        <x:v>2026-08-10</x:v>
      </x:c>
      <x:c r="B287" s="18" t="str">
        <x:v>101437000_83921</x:v>
      </x:c>
      <x:c r="C287" s="18" t="str">
        <x:v>【沪村小电】上海联怡枇杷乐园充电站（地库）</x:v>
      </x:c>
      <x:c r="D287" s="37" t="str">
        <x:v>8</x:v>
      </x:c>
      <x:c r="E287" s="37" t="str">
        <x:v>0</x:v>
      </x:c>
      <x:c r="F287" s="37" t="str">
        <x:v>6</x:v>
      </x:c>
      <x:c r="G287" s="37" t="str">
        <x:v>142.46</x:v>
      </x:c>
      <x:c r="H287" s="37" t="str">
        <x:v>0.00</x:v>
      </x:c>
      <x:c r="I287" s="37" t="str">
        <x:v>34.74</x:v>
      </x:c>
      <x:c r="J287" s="37" t="str">
        <x:v>0.00</x:v>
      </x:c>
      <x:c r="K287" s="37" t="str">
        <x:v>107.72</x:v>
      </x:c>
      <x:c r="L287" s="37" t="str">
        <x:v>181</x:v>
      </x:c>
      <x:c r="M287" s="29" t="str">
        <x:v>121.20</x:v>
      </x:c>
      <x:c r="N287" s="29" t="str">
        <x:v>104.23</x:v>
      </x:c>
      <x:c r="O287" s="29" t="str">
        <x:v>16.97</x:v>
      </x:c>
      <x:c r="P287" s="18" t="str">
        <x:v>2026-08-10</x:v>
      </x:c>
      <x:c r="Q287" s="36" t="n">
        <x:v>46244</x:v>
      </x:c>
    </x:row>
    <x:row r="288">
      <x:c r="A288" s="36" t="str">
        <x:v>2026-08-10</x:v>
      </x:c>
      <x:c r="B288" s="18" t="str">
        <x:v>101437000_83923</x:v>
      </x:c>
      <x:c r="C288" s="18" t="str">
        <x:v>【沪村小电】明珠新苑充电站</x:v>
      </x:c>
      <x:c r="D288" s="37" t="str">
        <x:v>2</x:v>
      </x:c>
      <x:c r="E288" s="37" t="str">
        <x:v>0</x:v>
      </x:c>
      <x:c r="F288" s="37" t="str">
        <x:v>24</x:v>
      </x:c>
      <x:c r="G288" s="37" t="str">
        <x:v>621.22</x:v>
      </x:c>
      <x:c r="H288" s="37" t="str">
        <x:v>0.00</x:v>
      </x:c>
      <x:c r="I288" s="37" t="str">
        <x:v>367.42</x:v>
      </x:c>
      <x:c r="J288" s="37" t="str">
        <x:v>0.00</x:v>
      </x:c>
      <x:c r="K288" s="37" t="str">
        <x:v>253.80</x:v>
      </x:c>
      <x:c r="L288" s="37" t="str">
        <x:v>852</x:v>
      </x:c>
      <x:c r="M288" s="29" t="str">
        <x:v>564.39</x:v>
      </x:c>
      <x:c r="N288" s="29" t="str">
        <x:v>354.79</x:v>
      </x:c>
      <x:c r="O288" s="29" t="str">
        <x:v>209.60</x:v>
      </x:c>
      <x:c r="P288" s="18" t="str">
        <x:v>2026-08-10</x:v>
      </x:c>
      <x:c r="Q288" s="36" t="n">
        <x:v>46244</x:v>
      </x:c>
    </x:row>
    <x:row r="289">
      <x:c r="A289" s="36" t="str">
        <x:v>2026-08-10</x:v>
      </x:c>
      <x:c r="B289" s="18" t="str">
        <x:v>101437000_84289</x:v>
      </x:c>
      <x:c r="C289" s="18" t="str">
        <x:v>【沪村小电】铁建芳华苑充电站</x:v>
      </x:c>
      <x:c r="D289" s="37" t="str">
        <x:v>4</x:v>
      </x:c>
      <x:c r="E289" s="37" t="str">
        <x:v>0</x:v>
      </x:c>
      <x:c r="F289" s="37" t="str">
        <x:v>43</x:v>
      </x:c>
      <x:c r="G289" s="37" t="str">
        <x:v>928.32</x:v>
      </x:c>
      <x:c r="H289" s="37" t="str">
        <x:v>0.00</x:v>
      </x:c>
      <x:c r="I289" s="37" t="str">
        <x:v>538.12</x:v>
      </x:c>
      <x:c r="J289" s="37" t="str">
        <x:v>0.00</x:v>
      </x:c>
      <x:c r="K289" s="37" t="str">
        <x:v>390.21</x:v>
      </x:c>
      <x:c r="L289" s="37" t="str">
        <x:v>1545</x:v>
      </x:c>
      <x:c r="M289" s="29" t="str">
        <x:v>770.74</x:v>
      </x:c>
      <x:c r="N289" s="29" t="str">
        <x:v>526.44</x:v>
      </x:c>
      <x:c r="O289" s="29" t="str">
        <x:v>244.30</x:v>
      </x:c>
      <x:c r="P289" s="18" t="str">
        <x:v>2026-08-10</x:v>
      </x:c>
      <x:c r="Q289" s="36" t="n">
        <x:v>46244</x:v>
      </x:c>
    </x:row>
    <x:row r="290">
      <x:c r="A290" s="36" t="str">
        <x:v>2026-08-10</x:v>
      </x:c>
      <x:c r="B290" s="18" t="str">
        <x:v>101437000_86379</x:v>
      </x:c>
      <x:c r="C290" s="18" t="str">
        <x:v>【沪村小电】新宝社区充电站</x:v>
      </x:c>
      <x:c r="D290" s="37" t="str">
        <x:v>4</x:v>
      </x:c>
      <x:c r="E290" s="37" t="str">
        <x:v>0</x:v>
      </x:c>
      <x:c r="F290" s="37" t="str">
        <x:v>23</x:v>
      </x:c>
      <x:c r="G290" s="37" t="str">
        <x:v>611.66</x:v>
      </x:c>
      <x:c r="H290" s="37" t="str">
        <x:v>0.00</x:v>
      </x:c>
      <x:c r="I290" s="37" t="str">
        <x:v>373.88</x:v>
      </x:c>
      <x:c r="J290" s="37" t="str">
        <x:v>0.00</x:v>
      </x:c>
      <x:c r="K290" s="37" t="str">
        <x:v>237.78</x:v>
      </x:c>
      <x:c r="L290" s="37" t="str">
        <x:v>963</x:v>
      </x:c>
      <x:c r="M290" s="29" t="str">
        <x:v>492.55</x:v>
      </x:c>
      <x:c r="N290" s="29" t="str">
        <x:v>353.45</x:v>
      </x:c>
      <x:c r="O290" s="29" t="str">
        <x:v>139.10</x:v>
      </x:c>
      <x:c r="P290" s="18" t="str">
        <x:v>2026-08-10</x:v>
      </x:c>
      <x:c r="Q290" s="36" t="n">
        <x:v>46244</x:v>
      </x:c>
    </x:row>
    <x:row r="291">
      <x:c r="A291" s="36" t="str">
        <x:v>2026-08-10</x:v>
      </x:c>
      <x:c r="B291" s="18" t="str">
        <x:v>101437000_89441</x:v>
      </x:c>
      <x:c r="C291" s="18" t="str">
        <x:v>【沪村小电】首创禧瑞云启西区充电站</x:v>
      </x:c>
      <x:c r="D291" s="37" t="str">
        <x:v>2</x:v>
      </x:c>
      <x:c r="E291" s="37" t="str">
        <x:v>0</x:v>
      </x:c>
      <x:c r="F291" s="37" t="str">
        <x:v>23</x:v>
      </x:c>
      <x:c r="G291" s="37" t="str">
        <x:v>523.06</x:v>
      </x:c>
      <x:c r="H291" s="37" t="str">
        <x:v>0.00</x:v>
      </x:c>
      <x:c r="I291" s="37" t="str">
        <x:v>407.75</x:v>
      </x:c>
      <x:c r="J291" s="37" t="str">
        <x:v>0.00</x:v>
      </x:c>
      <x:c r="K291" s="37" t="str">
        <x:v>115.31</x:v>
      </x:c>
      <x:c r="L291" s="37" t="str">
        <x:v>703</x:v>
      </x:c>
      <x:c r="M291" s="29" t="str">
        <x:v>527.40</x:v>
      </x:c>
      <x:c r="N291" s="29" t="str">
        <x:v>332.17</x:v>
      </x:c>
      <x:c r="O291" s="29" t="str">
        <x:v>195.23</x:v>
      </x:c>
      <x:c r="P291" s="18" t="str">
        <x:v>2026-08-10</x:v>
      </x:c>
      <x:c r="Q291" s="36" t="n">
        <x:v>46244</x:v>
      </x:c>
    </x:row>
    <x:row r="292">
      <x:c r="A292" s="36" t="str">
        <x:v>2026-08-10</x:v>
      </x:c>
      <x:c r="B292" s="18" t="str">
        <x:v>101437000_89443</x:v>
      </x:c>
      <x:c r="C292" s="18" t="str">
        <x:v>【沪村小电】玉兰清苑二期充电站</x:v>
      </x:c>
      <x:c r="D292" s="37" t="str">
        <x:v>2</x:v>
      </x:c>
      <x:c r="E292" s="37" t="str">
        <x:v>0</x:v>
      </x:c>
      <x:c r="F292" s="37" t="str">
        <x:v>17</x:v>
      </x:c>
      <x:c r="G292" s="37" t="str">
        <x:v>450.31</x:v>
      </x:c>
      <x:c r="H292" s="37" t="str">
        <x:v>0.00</x:v>
      </x:c>
      <x:c r="I292" s="37" t="str">
        <x:v>426.50</x:v>
      </x:c>
      <x:c r="J292" s="37" t="str">
        <x:v>0.00</x:v>
      </x:c>
      <x:c r="K292" s="37" t="str">
        <x:v>23.82</x:v>
      </x:c>
      <x:c r="L292" s="37" t="str">
        <x:v>673</x:v>
      </x:c>
      <x:c r="M292" s="29" t="str">
        <x:v>438.57</x:v>
      </x:c>
      <x:c r="N292" s="29" t="str">
        <x:v>311.63</x:v>
      </x:c>
      <x:c r="O292" s="29" t="str">
        <x:v>126.94</x:v>
      </x:c>
      <x:c r="P292" s="18" t="str">
        <x:v>2026-08-10</x:v>
      </x:c>
      <x:c r="Q292" s="36" t="n">
        <x:v>46244</x:v>
      </x:c>
    </x:row>
    <x:row r="293">
      <x:c r="A293" s="36" t="str">
        <x:v>2026-08-10</x:v>
      </x:c>
      <x:c r="B293" s="18" t="str">
        <x:v>101437000_93115</x:v>
      </x:c>
      <x:c r="C293" s="18" t="str">
        <x:v>【沪村小电】新南家园西北门</x:v>
      </x:c>
      <x:c r="D293" s="37" t="str">
        <x:v>2</x:v>
      </x:c>
      <x:c r="E293" s="37" t="str">
        <x:v>0</x:v>
      </x:c>
      <x:c r="F293" s="37" t="str">
        <x:v>12</x:v>
      </x:c>
      <x:c r="G293" s="37" t="str">
        <x:v>324.02</x:v>
      </x:c>
      <x:c r="H293" s="37" t="str">
        <x:v>0.00</x:v>
      </x:c>
      <x:c r="I293" s="37" t="str">
        <x:v>197.10</x:v>
      </x:c>
      <x:c r="J293" s="37" t="str">
        <x:v>0.00</x:v>
      </x:c>
      <x:c r="K293" s="37" t="str">
        <x:v>126.92</x:v>
      </x:c>
      <x:c r="L293" s="37" t="str">
        <x:v>425</x:v>
      </x:c>
      <x:c r="M293" s="29" t="str">
        <x:v>294.34</x:v>
      </x:c>
      <x:c r="N293" s="29" t="str">
        <x:v>186.91</x:v>
      </x:c>
      <x:c r="O293" s="29" t="str">
        <x:v>107.43</x:v>
      </x:c>
      <x:c r="P293" s="18" t="str">
        <x:v>2026-08-10</x:v>
      </x:c>
      <x:c r="Q293" s="36" t="n">
        <x:v>46244</x:v>
      </x:c>
    </x:row>
    <x:row r="294">
      <x:c r="A294" s="36" t="str">
        <x:v>2026-08-10</x:v>
      </x:c>
      <x:c r="B294" s="18" t="str">
        <x:v>101437000_94649</x:v>
      </x:c>
      <x:c r="C294" s="18" t="str">
        <x:v>【沪村小电】浪琴水岸花园</x:v>
      </x:c>
      <x:c r="D294" s="37" t="str">
        <x:v>4</x:v>
      </x:c>
      <x:c r="E294" s="37" t="str">
        <x:v>0</x:v>
      </x:c>
      <x:c r="F294" s="37" t="str">
        <x:v>31</x:v>
      </x:c>
      <x:c r="G294" s="37" t="str">
        <x:v>665.20</x:v>
      </x:c>
      <x:c r="H294" s="37" t="str">
        <x:v>0.00</x:v>
      </x:c>
      <x:c r="I294" s="37" t="str">
        <x:v>403.20</x:v>
      </x:c>
      <x:c r="J294" s="37" t="str">
        <x:v>0.00</x:v>
      </x:c>
      <x:c r="K294" s="37" t="str">
        <x:v>262.00</x:v>
      </x:c>
      <x:c r="L294" s="37" t="str">
        <x:v>939</x:v>
      </x:c>
      <x:c r="M294" s="29" t="str">
        <x:v>539.37</x:v>
      </x:c>
      <x:c r="N294" s="29" t="str">
        <x:v>409.41</x:v>
      </x:c>
      <x:c r="O294" s="29" t="str">
        <x:v>129.96</x:v>
      </x:c>
      <x:c r="P294" s="18" t="str">
        <x:v>2026-08-10</x:v>
      </x:c>
      <x:c r="Q294" s="36" t="n">
        <x:v>46244</x:v>
      </x:c>
    </x:row>
    <x:row r="295">
      <x:c r="A295" s="36" t="str">
        <x:v>2026-08-10</x:v>
      </x:c>
      <x:c r="B295" s="18" t="str">
        <x:v>101437000_95079</x:v>
      </x:c>
      <x:c r="C295" s="18" t="str">
        <x:v>【沪村小电】民乐城惠益绿苑东苑充电站</x:v>
      </x:c>
      <x:c r="D295" s="37" t="str">
        <x:v>2</x:v>
      </x:c>
      <x:c r="E295" s="37" t="str">
        <x:v>0</x:v>
      </x:c>
      <x:c r="F295" s="37" t="str">
        <x:v>10</x:v>
      </x:c>
      <x:c r="G295" s="37" t="str">
        <x:v>320.04</x:v>
      </x:c>
      <x:c r="H295" s="37" t="str">
        <x:v>0.00</x:v>
      </x:c>
      <x:c r="I295" s="37" t="str">
        <x:v>287.90</x:v>
      </x:c>
      <x:c r="J295" s="37" t="str">
        <x:v>0.00</x:v>
      </x:c>
      <x:c r="K295" s="37" t="str">
        <x:v>32.15</x:v>
      </x:c>
      <x:c r="L295" s="37" t="str">
        <x:v>687</x:v>
      </x:c>
      <x:c r="M295" s="29" t="str">
        <x:v>302.69</x:v>
      </x:c>
      <x:c r="N295" s="29" t="str">
        <x:v>216.29</x:v>
      </x:c>
      <x:c r="O295" s="29" t="str">
        <x:v>86.40</x:v>
      </x:c>
      <x:c r="P295" s="18" t="str">
        <x:v>2026-08-10</x:v>
      </x:c>
      <x:c r="Q295" s="36" t="n">
        <x:v>46244</x:v>
      </x:c>
    </x:row>
    <x:row r="296">
      <x:c r="A296" s="36" t="str">
        <x:v>2026-08-10</x:v>
      </x:c>
      <x:c r="B296" s="18" t="str">
        <x:v>101437000_95081</x:v>
      </x:c>
      <x:c r="C296" s="18" t="str">
        <x:v>【沪村小电】民乐城惠益绿苑西苑充电站</x:v>
      </x:c>
      <x:c r="D296" s="37" t="str">
        <x:v>2</x:v>
      </x:c>
      <x:c r="E296" s="37" t="str">
        <x:v>0</x:v>
      </x:c>
      <x:c r="F296" s="37" t="str">
        <x:v>18</x:v>
      </x:c>
      <x:c r="G296" s="37" t="str">
        <x:v>231.78</x:v>
      </x:c>
      <x:c r="H296" s="37" t="str">
        <x:v>0.00</x:v>
      </x:c>
      <x:c r="I296" s="37" t="str">
        <x:v>231.78</x:v>
      </x:c>
      <x:c r="J296" s="37" t="str">
        <x:v>0.00</x:v>
      </x:c>
      <x:c r="K296" s="37" t="str">
        <x:v>0.00</x:v>
      </x:c>
      <x:c r="L296" s="37" t="str">
        <x:v>419</x:v>
      </x:c>
      <x:c r="M296" s="29" t="str">
        <x:v>230.45</x:v>
      </x:c>
      <x:c r="N296" s="29" t="str">
        <x:v>164.57</x:v>
      </x:c>
      <x:c r="O296" s="29" t="str">
        <x:v>65.88</x:v>
      </x:c>
      <x:c r="P296" s="18" t="str">
        <x:v>2026-08-10</x:v>
      </x:c>
      <x:c r="Q296" s="36" t="n">
        <x:v>46244</x:v>
      </x:c>
    </x:row>
    <x:row r="297">
      <x:c r="A297" s="36" t="str">
        <x:v>2026-08-10</x:v>
      </x:c>
      <x:c r="B297" s="18" t="str">
        <x:v>101437000_95091</x:v>
      </x:c>
      <x:c r="C297" s="18" t="str">
        <x:v>【沪村小电】金悦学府2号站</x:v>
      </x:c>
      <x:c r="D297" s="37" t="str">
        <x:v>2</x:v>
      </x:c>
      <x:c r="E297" s="37" t="str">
        <x:v>0</x:v>
      </x:c>
      <x:c r="F297" s="37" t="str">
        <x:v>27</x:v>
      </x:c>
      <x:c r="G297" s="37" t="str">
        <x:v>438.57</x:v>
      </x:c>
      <x:c r="H297" s="37" t="str">
        <x:v>0.00</x:v>
      </x:c>
      <x:c r="I297" s="37" t="str">
        <x:v>0.00</x:v>
      </x:c>
      <x:c r="J297" s="37" t="str">
        <x:v>438.57</x:v>
      </x:c>
      <x:c r="K297" s="37" t="str">
        <x:v>0.00</x:v>
      </x:c>
      <x:c r="L297" s="37" t="str">
        <x:v>746</x:v>
      </x:c>
      <x:c r="M297" s="29" t="str">
        <x:v>346.42</x:v>
      </x:c>
      <x:c r="N297" s="29" t="str">
        <x:v>245.57</x:v>
      </x:c>
      <x:c r="O297" s="29" t="str">
        <x:v>100.85</x:v>
      </x:c>
      <x:c r="P297" s="18" t="str">
        <x:v>2026-08-10</x:v>
      </x:c>
      <x:c r="Q297" s="36" t="n">
        <x:v>46244</x:v>
      </x:c>
    </x:row>
    <x:row r="298">
      <x:c r="A298" s="36" t="str">
        <x:v>2026-08-10</x:v>
      </x:c>
      <x:c r="B298" s="18" t="str">
        <x:v>101437000_95941</x:v>
      </x:c>
      <x:c r="C298" s="18" t="str">
        <x:v>【沪村小电】惠诚雅苑</x:v>
      </x:c>
      <x:c r="D298" s="37" t="str">
        <x:v>4</x:v>
      </x:c>
      <x:c r="E298" s="37" t="str">
        <x:v>0</x:v>
      </x:c>
      <x:c r="F298" s="37" t="str">
        <x:v>39</x:v>
      </x:c>
      <x:c r="G298" s="37" t="str">
        <x:v>1045.83</x:v>
      </x:c>
      <x:c r="H298" s="37" t="str">
        <x:v>0.00</x:v>
      </x:c>
      <x:c r="I298" s="37" t="str">
        <x:v>559.74</x:v>
      </x:c>
      <x:c r="J298" s="37" t="str">
        <x:v>0.00</x:v>
      </x:c>
      <x:c r="K298" s="37" t="str">
        <x:v>486.10</x:v>
      </x:c>
      <x:c r="L298" s="37" t="str">
        <x:v>1649</x:v>
      </x:c>
      <x:c r="M298" s="29" t="str">
        <x:v>733.39</x:v>
      </x:c>
      <x:c r="N298" s="29" t="str">
        <x:v>480.95</x:v>
      </x:c>
      <x:c r="O298" s="29" t="str">
        <x:v>252.44</x:v>
      </x:c>
      <x:c r="P298" s="18" t="str">
        <x:v>2026-08-10</x:v>
      </x:c>
      <x:c r="Q298" s="36" t="n">
        <x:v>46244</x:v>
      </x:c>
    </x:row>
    <x:row r="299">
      <x:c r="A299" s="36" t="str">
        <x:v>2026-08-10</x:v>
      </x:c>
      <x:c r="B299" s="18" t="str">
        <x:v>101437000_96401</x:v>
      </x:c>
      <x:c r="C299" s="18" t="str">
        <x:v>【沪村小电】上海联怡枇杷乐园地面站</x:v>
      </x:c>
      <x:c r="D299" s="37" t="str">
        <x:v>2</x:v>
      </x:c>
      <x:c r="E299" s="37" t="str">
        <x:v>0</x:v>
      </x:c>
      <x:c r="F299" s="37" t="str">
        <x:v>9</x:v>
      </x:c>
      <x:c r="G299" s="37" t="str">
        <x:v>214.73</x:v>
      </x:c>
      <x:c r="H299" s="37" t="str">
        <x:v>0.00</x:v>
      </x:c>
      <x:c r="I299" s="37" t="str">
        <x:v>162.83</x:v>
      </x:c>
      <x:c r="J299" s="37" t="str">
        <x:v>0.00</x:v>
      </x:c>
      <x:c r="K299" s="37" t="str">
        <x:v>51.90</x:v>
      </x:c>
      <x:c r="L299" s="37" t="str">
        <x:v>315</x:v>
      </x:c>
      <x:c r="M299" s="29" t="str">
        <x:v>234.17</x:v>
      </x:c>
      <x:c r="N299" s="29" t="str">
        <x:v>198.49</x:v>
      </x:c>
      <x:c r="O299" s="29" t="str">
        <x:v>35.68</x:v>
      </x:c>
      <x:c r="P299" s="18" t="str">
        <x:v>2026-08-10</x:v>
      </x:c>
      <x:c r="Q299" s="36" t="n">
        <x:v>46244</x:v>
      </x:c>
    </x:row>
    <x:row r="300">
      <x:c r="A300" s="36" t="str">
        <x:v>2026-08-10</x:v>
      </x:c>
      <x:c r="B300" s="18" t="str">
        <x:v>101437000_97421</x:v>
      </x:c>
      <x:c r="C300" s="18" t="str">
        <x:v>【沪村小电】玉兰清苑二期（小区外）充电站</x:v>
      </x:c>
      <x:c r="D300" s="37" t="str">
        <x:v>4</x:v>
      </x:c>
      <x:c r="E300" s="37" t="str">
        <x:v>0</x:v>
      </x:c>
      <x:c r="F300" s="37" t="str">
        <x:v>42</x:v>
      </x:c>
      <x:c r="G300" s="37" t="str">
        <x:v>882.09</x:v>
      </x:c>
      <x:c r="H300" s="37" t="str">
        <x:v>0.00</x:v>
      </x:c>
      <x:c r="I300" s="37" t="str">
        <x:v>675.39</x:v>
      </x:c>
      <x:c r="J300" s="37" t="str">
        <x:v>0.00</x:v>
      </x:c>
      <x:c r="K300" s="37" t="str">
        <x:v>206.69</x:v>
      </x:c>
      <x:c r="L300" s="37" t="str">
        <x:v>1648</x:v>
      </x:c>
      <x:c r="M300" s="29" t="str">
        <x:v>812.52</x:v>
      </x:c>
      <x:c r="N300" s="29" t="str">
        <x:v>556.01</x:v>
      </x:c>
      <x:c r="O300" s="29" t="str">
        <x:v>256.51</x:v>
      </x:c>
      <x:c r="P300" s="18" t="str">
        <x:v>2026-08-10</x:v>
      </x:c>
      <x:c r="Q300" s="36" t="n">
        <x:v>46244</x:v>
      </x:c>
    </x:row>
    <x:row r="301">
      <x:c r="A301" s="36" t="str">
        <x:v>2026-08-10</x:v>
      </x:c>
      <x:c r="B301" s="18" t="str">
        <x:v>101437000_98013</x:v>
      </x:c>
      <x:c r="C301" s="18" t="str">
        <x:v>【沪村小电】恒大滨江华府充电站</x:v>
      </x:c>
      <x:c r="D301" s="37" t="str">
        <x:v>4</x:v>
      </x:c>
      <x:c r="E301" s="37" t="str">
        <x:v>0</x:v>
      </x:c>
      <x:c r="F301" s="37" t="str">
        <x:v>31</x:v>
      </x:c>
      <x:c r="G301" s="37" t="str">
        <x:v>748.88</x:v>
      </x:c>
      <x:c r="H301" s="37" t="str">
        <x:v>0.00</x:v>
      </x:c>
      <x:c r="I301" s="37" t="str">
        <x:v>748.88</x:v>
      </x:c>
      <x:c r="J301" s="37" t="str">
        <x:v>0.00</x:v>
      </x:c>
      <x:c r="K301" s="37" t="str">
        <x:v>0.00</x:v>
      </x:c>
      <x:c r="L301" s="37" t="str">
        <x:v>1340</x:v>
      </x:c>
      <x:c r="M301" s="29" t="str">
        <x:v>866.21</x:v>
      </x:c>
      <x:c r="N301" s="29" t="str">
        <x:v>673.97</x:v>
      </x:c>
      <x:c r="O301" s="29" t="str">
        <x:v>192.24</x:v>
      </x:c>
      <x:c r="P301" s="18" t="str">
        <x:v>2026-08-10</x:v>
      </x:c>
      <x:c r="Q301" s="36" t="n">
        <x:v>46244</x:v>
      </x:c>
    </x:row>
    <x:row r="302">
      <x:c r="A302" s="36" t="str">
        <x:v>2026-08-10</x:v>
      </x:c>
      <x:c r="B302" s="18" t="str">
        <x:v>101437000_98863</x:v>
      </x:c>
      <x:c r="C302" s="18" t="str">
        <x:v>【沪村小电】欣菊苑充电站</x:v>
      </x:c>
      <x:c r="D302" s="37" t="str">
        <x:v>4</x:v>
      </x:c>
      <x:c r="E302" s="37" t="str">
        <x:v>0</x:v>
      </x:c>
      <x:c r="F302" s="37" t="str">
        <x:v>6</x:v>
      </x:c>
      <x:c r="G302" s="37" t="str">
        <x:v>199.63</x:v>
      </x:c>
      <x:c r="H302" s="37" t="str">
        <x:v>0.00</x:v>
      </x:c>
      <x:c r="I302" s="37" t="str">
        <x:v>199.63</x:v>
      </x:c>
      <x:c r="J302" s="37" t="str">
        <x:v>0.00</x:v>
      </x:c>
      <x:c r="K302" s="37" t="str">
        <x:v>0.00</x:v>
      </x:c>
      <x:c r="L302" s="37" t="str">
        <x:v>297</x:v>
      </x:c>
      <x:c r="M302" s="29" t="str">
        <x:v>164.81</x:v>
      </x:c>
      <x:c r="N302" s="29" t="str">
        <x:v>141.73</x:v>
      </x:c>
      <x:c r="O302" s="29" t="str">
        <x:v>23.08</x:v>
      </x:c>
      <x:c r="P302" s="18" t="str">
        <x:v>2026-08-10</x:v>
      </x:c>
      <x:c r="Q302" s="36" t="n">
        <x:v>46244</x:v>
      </x:c>
    </x:row>
    <x:row r="303">
      <x:c r="A303" s="36" t="str">
        <x:v>2026-08-10</x:v>
      </x:c>
      <x:c r="B303" s="18" t="str">
        <x:v>101437000_98865</x:v>
      </x:c>
      <x:c r="C303" s="18" t="str">
        <x:v>【沪村小电】欣松苑充电站</x:v>
      </x:c>
      <x:c r="D303" s="37" t="str">
        <x:v>4</x:v>
      </x:c>
      <x:c r="E303" s="37" t="str">
        <x:v>0</x:v>
      </x:c>
      <x:c r="F303" s="37" t="str">
        <x:v>13</x:v>
      </x:c>
      <x:c r="G303" s="37" t="str">
        <x:v>312.90</x:v>
      </x:c>
      <x:c r="H303" s="37" t="str">
        <x:v>0.00</x:v>
      </x:c>
      <x:c r="I303" s="37" t="str">
        <x:v>281.67</x:v>
      </x:c>
      <x:c r="J303" s="37" t="str">
        <x:v>0.00</x:v>
      </x:c>
      <x:c r="K303" s="37" t="str">
        <x:v>31.23</x:v>
      </x:c>
      <x:c r="L303" s="37" t="str">
        <x:v>532</x:v>
      </x:c>
      <x:c r="M303" s="29" t="str">
        <x:v>296.65</x:v>
      </x:c>
      <x:c r="N303" s="29" t="str">
        <x:v>211.55</x:v>
      </x:c>
      <x:c r="O303" s="29" t="str">
        <x:v>85.10</x:v>
      </x:c>
      <x:c r="P303" s="18" t="str">
        <x:v>2026-08-10</x:v>
      </x:c>
      <x:c r="Q303" s="36" t="n">
        <x:v>46244</x:v>
      </x:c>
    </x:row>
    <x:row r="304">
      <x:c r="A304" s="36" t="str">
        <x:v>2026-08-10</x:v>
      </x:c>
      <x:c r="B304" s="18" t="str">
        <x:v>101437000_98867</x:v>
      </x:c>
      <x:c r="C304" s="18" t="str">
        <x:v>【沪村小电】欣荷苑充电站</x:v>
      </x:c>
      <x:c r="D304" s="37" t="str">
        <x:v>4</x:v>
      </x:c>
      <x:c r="E304" s="37" t="str">
        <x:v>0</x:v>
      </x:c>
      <x:c r="F304" s="37" t="str">
        <x:v>10</x:v>
      </x:c>
      <x:c r="G304" s="37" t="str">
        <x:v>220.80</x:v>
      </x:c>
      <x:c r="H304" s="37" t="str">
        <x:v>0.00</x:v>
      </x:c>
      <x:c r="I304" s="37" t="str">
        <x:v>182.34</x:v>
      </x:c>
      <x:c r="J304" s="37" t="str">
        <x:v>0.00</x:v>
      </x:c>
      <x:c r="K304" s="37" t="str">
        <x:v>38.47</x:v>
      </x:c>
      <x:c r="L304" s="37" t="str">
        <x:v>301</x:v>
      </x:c>
      <x:c r="M304" s="29" t="str">
        <x:v>190.86</x:v>
      </x:c>
      <x:c r="N304" s="29" t="str">
        <x:v>143.68</x:v>
      </x:c>
      <x:c r="O304" s="29" t="str">
        <x:v>47.18</x:v>
      </x:c>
      <x:c r="P304" s="18" t="str">
        <x:v>2026-08-10</x:v>
      </x:c>
      <x:c r="Q304" s="36" t="n">
        <x:v>46244</x:v>
      </x:c>
    </x:row>
    <x:row r="305">
      <x:c r="A305" s="36" t="str">
        <x:v>2026-08-10</x:v>
      </x:c>
      <x:c r="B305" s="18" t="str">
        <x:v>101437000_99885</x:v>
      </x:c>
      <x:c r="C305" s="18" t="str">
        <x:v>【沪村小电】汇丰馨苑充电站</x:v>
      </x:c>
      <x:c r="D305" s="37" t="str">
        <x:v>4</x:v>
      </x:c>
      <x:c r="E305" s="37" t="str">
        <x:v>0</x:v>
      </x:c>
      <x:c r="F305" s="37" t="str">
        <x:v>5</x:v>
      </x:c>
      <x:c r="G305" s="37" t="str">
        <x:v>104.36</x:v>
      </x:c>
      <x:c r="H305" s="37" t="str">
        <x:v>0.00</x:v>
      </x:c>
      <x:c r="I305" s="37" t="str">
        <x:v>71.48</x:v>
      </x:c>
      <x:c r="J305" s="37" t="str">
        <x:v>0.00</x:v>
      </x:c>
      <x:c r="K305" s="37" t="str">
        <x:v>32.87</x:v>
      </x:c>
      <x:c r="L305" s="37" t="str">
        <x:v>192</x:v>
      </x:c>
      <x:c r="M305" s="29" t="str">
        <x:v>93.54</x:v>
      </x:c>
      <x:c r="N305" s="29" t="str">
        <x:v>62.91</x:v>
      </x:c>
      <x:c r="O305" s="29" t="str">
        <x:v>30.63</x:v>
      </x:c>
      <x:c r="P305" s="18" t="str">
        <x:v>2026-08-10</x:v>
      </x:c>
      <x:c r="Q305" s="36" t="n">
        <x:v>46244</x:v>
      </x:c>
    </x:row>
    <x:row r="306">
      <x:c r="A306" s="36" t="str">
        <x:v>2026-08-10</x:v>
      </x:c>
      <x:c r="B306" s="18" t="str">
        <x:v>101437000_99887</x:v>
      </x:c>
      <x:c r="C306" s="18" t="str">
        <x:v>【沪村小电】新南村河南小区充电站</x:v>
      </x:c>
      <x:c r="D306" s="37" t="str">
        <x:v>2</x:v>
      </x:c>
      <x:c r="E306" s="37" t="str">
        <x:v>0</x:v>
      </x:c>
      <x:c r="F306" s="37" t="str">
        <x:v>6</x:v>
      </x:c>
      <x:c r="G306" s="37" t="str">
        <x:v>162.99</x:v>
      </x:c>
      <x:c r="H306" s="37" t="str">
        <x:v>0.00</x:v>
      </x:c>
      <x:c r="I306" s="37" t="str">
        <x:v>83.85</x:v>
      </x:c>
      <x:c r="J306" s="37" t="str">
        <x:v>0.00</x:v>
      </x:c>
      <x:c r="K306" s="37" t="str">
        <x:v>79.15</x:v>
      </x:c>
      <x:c r="L306" s="37" t="str">
        <x:v>368</x:v>
      </x:c>
      <x:c r="M306" s="29" t="str">
        <x:v>111.83</x:v>
      </x:c>
      <x:c r="N306" s="29" t="str">
        <x:v>88.81</x:v>
      </x:c>
      <x:c r="O306" s="29" t="str">
        <x:v>23.02</x:v>
      </x:c>
      <x:c r="P306" s="18" t="str">
        <x:v>2026-08-10</x:v>
      </x:c>
      <x:c r="Q306" s="36" t="n">
        <x:v>46244</x:v>
      </x:c>
    </x:row>
    <x:row r="307">
      <x:c r="A307" s="36" t="str">
        <x:v>2026-08-10</x:v>
      </x:c>
      <x:c r="B307" s="18" t="str">
        <x:v>101437000_99889</x:v>
      </x:c>
      <x:c r="C307" s="18" t="str">
        <x:v>【沪村小电】漕泾郊野公园</x:v>
      </x:c>
      <x:c r="D307" s="37" t="str">
        <x:v>2</x:v>
      </x:c>
      <x:c r="E307" s="37" t="str">
        <x:v>0</x:v>
      </x:c>
      <x:c r="F307" s="37" t="str">
        <x:v>4</x:v>
      </x:c>
      <x:c r="G307" s="37" t="str">
        <x:v>113.37</x:v>
      </x:c>
      <x:c r="H307" s="37" t="str">
        <x:v>0.00</x:v>
      </x:c>
      <x:c r="I307" s="37" t="str">
        <x:v>113.37</x:v>
      </x:c>
      <x:c r="J307" s="37" t="str">
        <x:v>0.00</x:v>
      </x:c>
      <x:c r="K307" s="37" t="str">
        <x:v>0.00</x:v>
      </x:c>
      <x:c r="L307" s="37" t="str">
        <x:v>146</x:v>
      </x:c>
      <x:c r="M307" s="29" t="str">
        <x:v>124.08</x:v>
      </x:c>
      <x:c r="N307" s="29" t="str">
        <x:v>86.18</x:v>
      </x:c>
      <x:c r="O307" s="29" t="str">
        <x:v>37.90</x:v>
      </x:c>
      <x:c r="P307" s="18" t="str">
        <x:v>2026-08-10</x:v>
      </x:c>
      <x:c r="Q307" s="36" t="n">
        <x:v>46244</x:v>
      </x:c>
    </x:row>
    <x:row r="308">
      <x:c r="A308" s="36" t="str">
        <x:v>2026-08-10</x:v>
      </x:c>
      <x:c r="B308" s="18" t="str">
        <x:v>101437000_99891</x:v>
      </x:c>
      <x:c r="C308" s="18" t="str">
        <x:v>【沪村小电】水韵紫城充电站</x:v>
      </x:c>
      <x:c r="D308" s="37" t="str">
        <x:v>4</x:v>
      </x:c>
      <x:c r="E308" s="37" t="str">
        <x:v>0</x:v>
      </x:c>
      <x:c r="F308" s="37" t="str">
        <x:v>26</x:v>
      </x:c>
      <x:c r="G308" s="37" t="str">
        <x:v>614.21</x:v>
      </x:c>
      <x:c r="H308" s="37" t="str">
        <x:v>0.00</x:v>
      </x:c>
      <x:c r="I308" s="37" t="str">
        <x:v>441.24</x:v>
      </x:c>
      <x:c r="J308" s="37" t="str">
        <x:v>0.00</x:v>
      </x:c>
      <x:c r="K308" s="37" t="str">
        <x:v>172.97</x:v>
      </x:c>
      <x:c r="L308" s="37" t="str">
        <x:v>988</x:v>
      </x:c>
      <x:c r="M308" s="29" t="str">
        <x:v>534.07</x:v>
      </x:c>
      <x:c r="N308" s="29" t="str">
        <x:v>377.30</x:v>
      </x:c>
      <x:c r="O308" s="29" t="str">
        <x:v>156.77</x:v>
      </x:c>
      <x:c r="P308" s="18" t="str">
        <x:v>2026-08-10</x:v>
      </x:c>
      <x:c r="Q308" s="36" t="n">
        <x:v>46244</x:v>
      </x:c>
    </x:row>
    <x:row r="309">
      <x:c r="A309" s="36" t="str">
        <x:v>2026-08-09</x:v>
      </x:c>
      <x:c r="B309" s="18" t="str">
        <x:v>101437000_100523</x:v>
      </x:c>
      <x:c r="C309" s="18" t="str">
        <x:v>【沪村小电】民旺苑南区</x:v>
      </x:c>
      <x:c r="D309" s="37" t="str">
        <x:v>4</x:v>
      </x:c>
      <x:c r="E309" s="37" t="str">
        <x:v>0</x:v>
      </x:c>
      <x:c r="F309" s="37" t="str">
        <x:v>13</x:v>
      </x:c>
      <x:c r="G309" s="37" t="str">
        <x:v>351.37</x:v>
      </x:c>
      <x:c r="H309" s="37" t="str">
        <x:v>0.00</x:v>
      </x:c>
      <x:c r="I309" s="37" t="str">
        <x:v>167.22</x:v>
      </x:c>
      <x:c r="J309" s="37" t="str">
        <x:v>0.00</x:v>
      </x:c>
      <x:c r="K309" s="37" t="str">
        <x:v>184.15</x:v>
      </x:c>
      <x:c r="L309" s="37" t="str">
        <x:v>529</x:v>
      </x:c>
      <x:c r="M309" s="29" t="str">
        <x:v>281.70</x:v>
      </x:c>
      <x:c r="N309" s="29" t="str">
        <x:v>205.27</x:v>
      </x:c>
      <x:c r="O309" s="29" t="str">
        <x:v>76.43</x:v>
      </x:c>
      <x:c r="P309" s="18" t="str">
        <x:v>2026-08-09</x:v>
      </x:c>
      <x:c r="Q309" s="36" t="n">
        <x:v>46243</x:v>
      </x:c>
    </x:row>
    <x:row r="310">
      <x:c r="A310" s="36" t="str">
        <x:v>2026-08-09</x:v>
      </x:c>
      <x:c r="B310" s="18" t="str">
        <x:v>101437000_101531</x:v>
      </x:c>
      <x:c r="C310" s="18" t="str">
        <x:v>【沪村小电】汇中苑充电站</x:v>
      </x:c>
      <x:c r="D310" s="37" t="str">
        <x:v>2</x:v>
      </x:c>
      <x:c r="E310" s="37" t="str">
        <x:v>0</x:v>
      </x:c>
      <x:c r="F310" s="37" t="str">
        <x:v>7</x:v>
      </x:c>
      <x:c r="G310" s="37" t="str">
        <x:v>191.59</x:v>
      </x:c>
      <x:c r="H310" s="37" t="str">
        <x:v>0.00</x:v>
      </x:c>
      <x:c r="I310" s="37" t="str">
        <x:v>5.07</x:v>
      </x:c>
      <x:c r="J310" s="37" t="str">
        <x:v>134.39</x:v>
      </x:c>
      <x:c r="K310" s="37" t="str">
        <x:v>52.13</x:v>
      </x:c>
      <x:c r="L310" s="37" t="str">
        <x:v>265</x:v>
      </x:c>
      <x:c r="M310" s="29" t="str">
        <x:v>210.94</x:v>
      </x:c>
      <x:c r="N310" s="29" t="str">
        <x:v>120.36</x:v>
      </x:c>
      <x:c r="O310" s="29" t="str">
        <x:v>90.58</x:v>
      </x:c>
      <x:c r="P310" s="18" t="str">
        <x:v>2026-08-09</x:v>
      </x:c>
      <x:c r="Q310" s="36" t="n">
        <x:v>46243</x:v>
      </x:c>
    </x:row>
    <x:row r="311">
      <x:c r="A311" s="36" t="str">
        <x:v>2026-08-09</x:v>
      </x:c>
      <x:c r="B311" s="18" t="str">
        <x:v>101437000_102047</x:v>
      </x:c>
      <x:c r="C311" s="18" t="str">
        <x:v>【沪村小电】后浜小区9弄小区南面停车场充电站</x:v>
      </x:c>
      <x:c r="D311" s="37" t="str">
        <x:v>8</x:v>
      </x:c>
      <x:c r="E311" s="37" t="str">
        <x:v>0</x:v>
      </x:c>
      <x:c r="F311" s="37" t="str">
        <x:v>38</x:v>
      </x:c>
      <x:c r="G311" s="37" t="str">
        <x:v>693.04</x:v>
      </x:c>
      <x:c r="H311" s="37" t="str">
        <x:v>0.00</x:v>
      </x:c>
      <x:c r="I311" s="37" t="str">
        <x:v>498.05</x:v>
      </x:c>
      <x:c r="J311" s="37" t="str">
        <x:v>0.00</x:v>
      </x:c>
      <x:c r="K311" s="37" t="str">
        <x:v>194.99</x:v>
      </x:c>
      <x:c r="L311" s="37" t="str">
        <x:v>991</x:v>
      </x:c>
      <x:c r="M311" s="29" t="str">
        <x:v>748.20</x:v>
      </x:c>
      <x:c r="N311" s="29" t="str">
        <x:v>445.24</x:v>
      </x:c>
      <x:c r="O311" s="29" t="str">
        <x:v>302.96</x:v>
      </x:c>
      <x:c r="P311" s="18" t="str">
        <x:v>2026-08-09</x:v>
      </x:c>
      <x:c r="Q311" s="36" t="n">
        <x:v>46243</x:v>
      </x:c>
    </x:row>
    <x:row r="312">
      <x:c r="A312" s="36" t="str">
        <x:v>2026-08-09</x:v>
      </x:c>
      <x:c r="B312" s="18" t="str">
        <x:v>101437000_103503</x:v>
      </x:c>
      <x:c r="C312" s="18" t="str">
        <x:v>【沪村小电】阳光城新界充电站</x:v>
      </x:c>
      <x:c r="D312" s="37" t="str">
        <x:v>4</x:v>
      </x:c>
      <x:c r="E312" s="37" t="str">
        <x:v>0</x:v>
      </x:c>
      <x:c r="F312" s="37" t="str">
        <x:v>26</x:v>
      </x:c>
      <x:c r="G312" s="37" t="str">
        <x:v>549.89</x:v>
      </x:c>
      <x:c r="H312" s="37" t="str">
        <x:v>0.00</x:v>
      </x:c>
      <x:c r="I312" s="37" t="str">
        <x:v>362.14</x:v>
      </x:c>
      <x:c r="J312" s="37" t="str">
        <x:v>0.00</x:v>
      </x:c>
      <x:c r="K312" s="37" t="str">
        <x:v>187.75</x:v>
      </x:c>
      <x:c r="L312" s="37" t="str">
        <x:v>921</x:v>
      </x:c>
      <x:c r="M312" s="29" t="str">
        <x:v>543.62</x:v>
      </x:c>
      <x:c r="N312" s="29" t="str">
        <x:v>357.54</x:v>
      </x:c>
      <x:c r="O312" s="29" t="str">
        <x:v>186.08</x:v>
      </x:c>
      <x:c r="P312" s="18" t="str">
        <x:v>2026-08-09</x:v>
      </x:c>
      <x:c r="Q312" s="36" t="n">
        <x:v>46243</x:v>
      </x:c>
    </x:row>
    <x:row r="313">
      <x:c r="A313" s="36" t="str">
        <x:v>2026-08-09</x:v>
      </x:c>
      <x:c r="B313" s="18" t="str">
        <x:v>101437000_41561</x:v>
      </x:c>
      <x:c r="C313" s="18" t="str">
        <x:v>【沪村小电】张施小区大门处快充站</x:v>
      </x:c>
      <x:c r="D313" s="37" t="str">
        <x:v>2</x:v>
      </x:c>
      <x:c r="E313" s="37" t="str">
        <x:v>0</x:v>
      </x:c>
      <x:c r="F313" s="37" t="str">
        <x:v>44</x:v>
      </x:c>
      <x:c r="G313" s="37" t="str">
        <x:v>1024.15</x:v>
      </x:c>
      <x:c r="H313" s="37" t="str">
        <x:v>0.00</x:v>
      </x:c>
      <x:c r="I313" s="37" t="str">
        <x:v>444.72</x:v>
      </x:c>
      <x:c r="J313" s="37" t="str">
        <x:v>0.00</x:v>
      </x:c>
      <x:c r="K313" s="37" t="str">
        <x:v>579.43</x:v>
      </x:c>
      <x:c r="L313" s="37" t="str">
        <x:v>1831</x:v>
      </x:c>
      <x:c r="M313" s="29" t="str">
        <x:v>754.74</x:v>
      </x:c>
      <x:c r="N313" s="29" t="str">
        <x:v>530.12</x:v>
      </x:c>
      <x:c r="O313" s="29" t="str">
        <x:v>224.62</x:v>
      </x:c>
      <x:c r="P313" s="18" t="str">
        <x:v>2026-08-09</x:v>
      </x:c>
      <x:c r="Q313" s="36" t="n">
        <x:v>46243</x:v>
      </x:c>
    </x:row>
    <x:row r="314">
      <x:c r="A314" s="36" t="str">
        <x:v>2026-08-09</x:v>
      </x:c>
      <x:c r="B314" s="18" t="str">
        <x:v>101437000_41563</x:v>
      </x:c>
      <x:c r="C314" s="18" t="str">
        <x:v>【沪村小电】同心村快充站</x:v>
      </x:c>
      <x:c r="D314" s="37" t="str">
        <x:v>4</x:v>
      </x:c>
      <x:c r="E314" s="37" t="str">
        <x:v>0</x:v>
      </x:c>
      <x:c r="F314" s="37" t="str">
        <x:v>41</x:v>
      </x:c>
      <x:c r="G314" s="37" t="str">
        <x:v>999.70</x:v>
      </x:c>
      <x:c r="H314" s="37" t="str">
        <x:v>0.00</x:v>
      </x:c>
      <x:c r="I314" s="37" t="str">
        <x:v>654.74</x:v>
      </x:c>
      <x:c r="J314" s="37" t="str">
        <x:v>0.00</x:v>
      </x:c>
      <x:c r="K314" s="37" t="str">
        <x:v>344.96</x:v>
      </x:c>
      <x:c r="L314" s="37" t="str">
        <x:v>1560</x:v>
      </x:c>
      <x:c r="M314" s="29" t="str">
        <x:v>967.44</x:v>
      </x:c>
      <x:c r="N314" s="29" t="str">
        <x:v>592.51</x:v>
      </x:c>
      <x:c r="O314" s="29" t="str">
        <x:v>374.93</x:v>
      </x:c>
      <x:c r="P314" s="18" t="str">
        <x:v>2026-08-09</x:v>
      </x:c>
      <x:c r="Q314" s="36" t="n">
        <x:v>46243</x:v>
      </x:c>
    </x:row>
    <x:row r="315">
      <x:c r="A315" s="36" t="str">
        <x:v>2026-08-09</x:v>
      </x:c>
      <x:c r="B315" s="18" t="str">
        <x:v>101437000_69629</x:v>
      </x:c>
      <x:c r="C315" s="18" t="str">
        <x:v>【沪村小电】骏丰玲珑坊西苑充电站</x:v>
      </x:c>
      <x:c r="D315" s="37" t="str">
        <x:v>2</x:v>
      </x:c>
      <x:c r="E315" s="37" t="str">
        <x:v>0</x:v>
      </x:c>
      <x:c r="F315" s="37" t="str">
        <x:v>57</x:v>
      </x:c>
      <x:c r="G315" s="37" t="str">
        <x:v>1241.93</x:v>
      </x:c>
      <x:c r="H315" s="37" t="str">
        <x:v>0.00</x:v>
      </x:c>
      <x:c r="I315" s="37" t="str">
        <x:v>816.25</x:v>
      </x:c>
      <x:c r="J315" s="37" t="str">
        <x:v>0.00</x:v>
      </x:c>
      <x:c r="K315" s="37" t="str">
        <x:v>425.68</x:v>
      </x:c>
      <x:c r="L315" s="37" t="str">
        <x:v>2147</x:v>
      </x:c>
      <x:c r="M315" s="29" t="str">
        <x:v>1088.62</x:v>
      </x:c>
      <x:c r="N315" s="29" t="str">
        <x:v>737.03</x:v>
      </x:c>
      <x:c r="O315" s="29" t="str">
        <x:v>351.59</x:v>
      </x:c>
      <x:c r="P315" s="18" t="str">
        <x:v>2026-08-09</x:v>
      </x:c>
      <x:c r="Q315" s="36" t="n">
        <x:v>46243</x:v>
      </x:c>
    </x:row>
    <x:row r="316">
      <x:c r="A316" s="36" t="str">
        <x:v>2026-08-09</x:v>
      </x:c>
      <x:c r="B316" s="18" t="str">
        <x:v>101437000_70547</x:v>
      </x:c>
      <x:c r="C316" s="18" t="str">
        <x:v>【沪村小电】农建村初心馆党群服务中心充电站</x:v>
      </x:c>
      <x:c r="D316" s="37" t="str">
        <x:v>4</x:v>
      </x:c>
      <x:c r="E316" s="37" t="str">
        <x:v>0</x:v>
      </x:c>
      <x:c r="F316" s="37" t="str">
        <x:v>14</x:v>
      </x:c>
      <x:c r="G316" s="37" t="str">
        <x:v>284.20</x:v>
      </x:c>
      <x:c r="H316" s="37" t="str">
        <x:v>0.00</x:v>
      </x:c>
      <x:c r="I316" s="37" t="str">
        <x:v>159.81</x:v>
      </x:c>
      <x:c r="J316" s="37" t="str">
        <x:v>0.00</x:v>
      </x:c>
      <x:c r="K316" s="37" t="str">
        <x:v>124.39</x:v>
      </x:c>
      <x:c r="L316" s="37" t="str">
        <x:v>539</x:v>
      </x:c>
      <x:c r="M316" s="29" t="str">
        <x:v>271.40</x:v>
      </x:c>
      <x:c r="N316" s="29" t="str">
        <x:v>221.64</x:v>
      </x:c>
      <x:c r="O316" s="29" t="str">
        <x:v>49.76</x:v>
      </x:c>
      <x:c r="P316" s="18" t="str">
        <x:v>2026-08-09</x:v>
      </x:c>
      <x:c r="Q316" s="36" t="n">
        <x:v>46243</x:v>
      </x:c>
    </x:row>
    <x:row r="317">
      <x:c r="A317" s="36" t="str">
        <x:v>2026-08-09</x:v>
      </x:c>
      <x:c r="B317" s="18" t="str">
        <x:v>101437000_70549</x:v>
      </x:c>
      <x:c r="C317" s="18" t="str">
        <x:v>【沪村小电】学府路充电站</x:v>
      </x:c>
      <x:c r="D317" s="37" t="str">
        <x:v>2</x:v>
      </x:c>
      <x:c r="E317" s="37" t="str">
        <x:v>0</x:v>
      </x:c>
      <x:c r="F317" s="37" t="str">
        <x:v>4</x:v>
      </x:c>
      <x:c r="G317" s="37" t="str">
        <x:v>82.28</x:v>
      </x:c>
      <x:c r="H317" s="37" t="str">
        <x:v>0.00</x:v>
      </x:c>
      <x:c r="I317" s="37" t="str">
        <x:v>82.28</x:v>
      </x:c>
      <x:c r="J317" s="37" t="str">
        <x:v>0.00</x:v>
      </x:c>
      <x:c r="K317" s="37" t="str">
        <x:v>0.00</x:v>
      </x:c>
      <x:c r="L317" s="37" t="str">
        <x:v>92</x:v>
      </x:c>
      <x:c r="M317" s="29" t="str">
        <x:v>97.65</x:v>
      </x:c>
      <x:c r="N317" s="29" t="str">
        <x:v>81.47</x:v>
      </x:c>
      <x:c r="O317" s="29" t="str">
        <x:v>16.18</x:v>
      </x:c>
      <x:c r="P317" s="18" t="str">
        <x:v>2026-08-09</x:v>
      </x:c>
      <x:c r="Q317" s="36" t="n">
        <x:v>46243</x:v>
      </x:c>
    </x:row>
    <x:row r="318">
      <x:c r="A318" s="36" t="str">
        <x:v>2026-08-09</x:v>
      </x:c>
      <x:c r="B318" s="18" t="str">
        <x:v>101437000_71059</x:v>
      </x:c>
      <x:c r="C318" s="18" t="str">
        <x:v>【沪村小电】宝乐汇商业广场站</x:v>
      </x:c>
      <x:c r="D318" s="37" t="str">
        <x:v>4</x:v>
      </x:c>
      <x:c r="E318" s="37" t="str">
        <x:v>0</x:v>
      </x:c>
      <x:c r="F318" s="37" t="str">
        <x:v>19</x:v>
      </x:c>
      <x:c r="G318" s="37" t="str">
        <x:v>426.04</x:v>
      </x:c>
      <x:c r="H318" s="37" t="str">
        <x:v>0.00</x:v>
      </x:c>
      <x:c r="I318" s="37" t="str">
        <x:v>242.61</x:v>
      </x:c>
      <x:c r="J318" s="37" t="str">
        <x:v>0.00</x:v>
      </x:c>
      <x:c r="K318" s="37" t="str">
        <x:v>183.43</x:v>
      </x:c>
      <x:c r="L318" s="37" t="str">
        <x:v>678</x:v>
      </x:c>
      <x:c r="M318" s="29" t="str">
        <x:v>442.84</x:v>
      </x:c>
      <x:c r="N318" s="29" t="str">
        <x:v>302.74</x:v>
      </x:c>
      <x:c r="O318" s="29" t="str">
        <x:v>140.10</x:v>
      </x:c>
      <x:c r="P318" s="18" t="str">
        <x:v>2026-08-09</x:v>
      </x:c>
      <x:c r="Q318" s="36" t="n">
        <x:v>46243</x:v>
      </x:c>
    </x:row>
    <x:row r="319">
      <x:c r="A319" s="36" t="str">
        <x:v>2026-08-09</x:v>
      </x:c>
      <x:c r="B319" s="18" t="str">
        <x:v>101437000_72541</x:v>
      </x:c>
      <x:c r="C319" s="18" t="str">
        <x:v>【沪村小电】九干路1174弄充电站</x:v>
      </x:c>
      <x:c r="D319" s="37" t="str">
        <x:v>2</x:v>
      </x:c>
      <x:c r="E319" s="37" t="str">
        <x:v>0</x:v>
      </x:c>
      <x:c r="F319" s="37" t="str">
        <x:v>35</x:v>
      </x:c>
      <x:c r="G319" s="37" t="str">
        <x:v>933.82</x:v>
      </x:c>
      <x:c r="H319" s="37" t="str">
        <x:v>0.00</x:v>
      </x:c>
      <x:c r="I319" s="37" t="str">
        <x:v>550.80</x:v>
      </x:c>
      <x:c r="J319" s="37" t="str">
        <x:v>0.00</x:v>
      </x:c>
      <x:c r="K319" s="37" t="str">
        <x:v>383.02</x:v>
      </x:c>
      <x:c r="L319" s="37" t="str">
        <x:v>1515</x:v>
      </x:c>
      <x:c r="M319" s="29" t="str">
        <x:v>765.46</x:v>
      </x:c>
      <x:c r="N319" s="29" t="str">
        <x:v>532.81</x:v>
      </x:c>
      <x:c r="O319" s="29" t="str">
        <x:v>232.65</x:v>
      </x:c>
      <x:c r="P319" s="18" t="str">
        <x:v>2026-08-09</x:v>
      </x:c>
      <x:c r="Q319" s="36" t="n">
        <x:v>46243</x:v>
      </x:c>
    </x:row>
    <x:row r="320">
      <x:c r="A320" s="36" t="str">
        <x:v>2026-08-09</x:v>
      </x:c>
      <x:c r="B320" s="18" t="str">
        <x:v>101437000_72543</x:v>
      </x:c>
      <x:c r="C320" s="18" t="str">
        <x:v>【沪村小电】叶家中心村小区充电站</x:v>
      </x:c>
      <x:c r="D320" s="37" t="str">
        <x:v>2</x:v>
      </x:c>
      <x:c r="E320" s="37" t="str">
        <x:v>0</x:v>
      </x:c>
      <x:c r="F320" s="37" t="str">
        <x:v>36</x:v>
      </x:c>
      <x:c r="G320" s="37" t="str">
        <x:v>998.73</x:v>
      </x:c>
      <x:c r="H320" s="37" t="str">
        <x:v>0.00</x:v>
      </x:c>
      <x:c r="I320" s="37" t="str">
        <x:v>496.13</x:v>
      </x:c>
      <x:c r="J320" s="37" t="str">
        <x:v>0.00</x:v>
      </x:c>
      <x:c r="K320" s="37" t="str">
        <x:v>502.60</x:v>
      </x:c>
      <x:c r="L320" s="37" t="str">
        <x:v>1740</x:v>
      </x:c>
      <x:c r="M320" s="29" t="str">
        <x:v>832.10</x:v>
      </x:c>
      <x:c r="N320" s="29" t="str">
        <x:v>538.20</x:v>
      </x:c>
      <x:c r="O320" s="29" t="str">
        <x:v>293.90</x:v>
      </x:c>
      <x:c r="P320" s="18" t="str">
        <x:v>2026-08-09</x:v>
      </x:c>
      <x:c r="Q320" s="36" t="n">
        <x:v>46243</x:v>
      </x:c>
    </x:row>
    <x:row r="321">
      <x:c r="A321" s="36" t="str">
        <x:v>2026-08-09</x:v>
      </x:c>
      <x:c r="B321" s="18" t="str">
        <x:v>101437000_72937</x:v>
      </x:c>
      <x:c r="C321" s="18" t="str">
        <x:v>【沪村小电】佘北家园茸腾苑充电站</x:v>
      </x:c>
      <x:c r="D321" s="37" t="str">
        <x:v>4</x:v>
      </x:c>
      <x:c r="E321" s="37" t="str">
        <x:v>0</x:v>
      </x:c>
      <x:c r="F321" s="37" t="str">
        <x:v>1</x:v>
      </x:c>
      <x:c r="G321" s="37" t="str">
        <x:v>37.79</x:v>
      </x:c>
      <x:c r="H321" s="37" t="str">
        <x:v>0.00</x:v>
      </x:c>
      <x:c r="I321" s="37" t="str">
        <x:v>37.79</x:v>
      </x:c>
      <x:c r="J321" s="37" t="str">
        <x:v>0.00</x:v>
      </x:c>
      <x:c r="K321" s="37" t="str">
        <x:v>0.00</x:v>
      </x:c>
      <x:c r="L321" s="37" t="str">
        <x:v>48</x:v>
      </x:c>
      <x:c r="M321" s="29" t="str">
        <x:v>33.25</x:v>
      </x:c>
      <x:c r="N321" s="29" t="str">
        <x:v>26.83</x:v>
      </x:c>
      <x:c r="O321" s="29" t="str">
        <x:v>6.42</x:v>
      </x:c>
      <x:c r="P321" s="18" t="str">
        <x:v>2026-08-09</x:v>
      </x:c>
      <x:c r="Q321" s="36" t="n">
        <x:v>46243</x:v>
      </x:c>
    </x:row>
    <x:row r="322">
      <x:c r="A322" s="36" t="str">
        <x:v>2026-08-09</x:v>
      </x:c>
      <x:c r="B322" s="18" t="str">
        <x:v>101437000_74223</x:v>
      </x:c>
      <x:c r="C322" s="18" t="str">
        <x:v>【沪村小电】中兴村委会充电站</x:v>
      </x:c>
      <x:c r="D322" s="37" t="str">
        <x:v>2</x:v>
      </x:c>
      <x:c r="E322" s="37" t="str">
        <x:v>0</x:v>
      </x:c>
      <x:c r="F322" s="37" t="str">
        <x:v>4</x:v>
      </x:c>
      <x:c r="G322" s="37" t="str">
        <x:v>129.32</x:v>
      </x:c>
      <x:c r="H322" s="37" t="str">
        <x:v>0.00</x:v>
      </x:c>
      <x:c r="I322" s="37" t="str">
        <x:v>52.21</x:v>
      </x:c>
      <x:c r="J322" s="37" t="str">
        <x:v>0.00</x:v>
      </x:c>
      <x:c r="K322" s="37" t="str">
        <x:v>77.11</x:v>
      </x:c>
      <x:c r="L322" s="37" t="str">
        <x:v>111</x:v>
      </x:c>
      <x:c r="M322" s="29" t="str">
        <x:v>114.15</x:v>
      </x:c>
      <x:c r="N322" s="29" t="str">
        <x:v>91.01</x:v>
      </x:c>
      <x:c r="O322" s="29" t="str">
        <x:v>23.14</x:v>
      </x:c>
      <x:c r="P322" s="18" t="str">
        <x:v>2026-08-09</x:v>
      </x:c>
      <x:c r="Q322" s="36" t="n">
        <x:v>46243</x:v>
      </x:c>
    </x:row>
    <x:row r="323">
      <x:c r="A323" s="36" t="str">
        <x:v>2026-08-09</x:v>
      </x:c>
      <x:c r="B323" s="18" t="str">
        <x:v>101437000_74801</x:v>
      </x:c>
      <x:c r="C323" s="18" t="str">
        <x:v>【沪村小电】申良花园充电站</x:v>
      </x:c>
      <x:c r="D323" s="37" t="str">
        <x:v>4</x:v>
      </x:c>
      <x:c r="E323" s="37" t="str">
        <x:v>0</x:v>
      </x:c>
      <x:c r="F323" s="37" t="str">
        <x:v>8</x:v>
      </x:c>
      <x:c r="G323" s="37" t="str">
        <x:v>159.95</x:v>
      </x:c>
      <x:c r="H323" s="37" t="str">
        <x:v>0.00</x:v>
      </x:c>
      <x:c r="I323" s="37" t="str">
        <x:v>159.95</x:v>
      </x:c>
      <x:c r="J323" s="37" t="str">
        <x:v>0.00</x:v>
      </x:c>
      <x:c r="K323" s="37" t="str">
        <x:v>0.00</x:v>
      </x:c>
      <x:c r="L323" s="37" t="str">
        <x:v>216</x:v>
      </x:c>
      <x:c r="M323" s="29" t="str">
        <x:v>170.27</x:v>
      </x:c>
      <x:c r="N323" s="29" t="str">
        <x:v>113.56</x:v>
      </x:c>
      <x:c r="O323" s="29" t="str">
        <x:v>56.71</x:v>
      </x:c>
      <x:c r="P323" s="18" t="str">
        <x:v>2026-08-09</x:v>
      </x:c>
      <x:c r="Q323" s="36" t="n">
        <x:v>46243</x:v>
      </x:c>
    </x:row>
    <x:row r="324">
      <x:c r="A324" s="36" t="str">
        <x:v>2026-08-09</x:v>
      </x:c>
      <x:c r="B324" s="18" t="str">
        <x:v>101437000_74931</x:v>
      </x:c>
      <x:c r="C324" s="18" t="str">
        <x:v>【沪村小电】枫雅南居充电站</x:v>
      </x:c>
      <x:c r="D324" s="37" t="str">
        <x:v>2</x:v>
      </x:c>
      <x:c r="E324" s="37" t="str">
        <x:v>0</x:v>
      </x:c>
      <x:c r="F324" s="37" t="str">
        <x:v>24</x:v>
      </x:c>
      <x:c r="G324" s="37" t="str">
        <x:v>620.72</x:v>
      </x:c>
      <x:c r="H324" s="37" t="str">
        <x:v>0.00</x:v>
      </x:c>
      <x:c r="I324" s="37" t="str">
        <x:v>354.68</x:v>
      </x:c>
      <x:c r="J324" s="37" t="str">
        <x:v>0.00</x:v>
      </x:c>
      <x:c r="K324" s="37" t="str">
        <x:v>266.04</x:v>
      </x:c>
      <x:c r="L324" s="37" t="str">
        <x:v>964</x:v>
      </x:c>
      <x:c r="M324" s="29" t="str">
        <x:v>418.76</x:v>
      </x:c>
      <x:c r="N324" s="29" t="str">
        <x:v>291.73</x:v>
      </x:c>
      <x:c r="O324" s="29" t="str">
        <x:v>127.03</x:v>
      </x:c>
      <x:c r="P324" s="18" t="str">
        <x:v>2026-08-09</x:v>
      </x:c>
      <x:c r="Q324" s="36" t="n">
        <x:v>46243</x:v>
      </x:c>
    </x:row>
    <x:row r="325">
      <x:c r="A325" s="36" t="str">
        <x:v>2026-08-09</x:v>
      </x:c>
      <x:c r="B325" s="18" t="str">
        <x:v>101437000_75901</x:v>
      </x:c>
      <x:c r="C325" s="18" t="str">
        <x:v>【沪村小电】金悦学府</x:v>
      </x:c>
      <x:c r="D325" s="37" t="str">
        <x:v>2</x:v>
      </x:c>
      <x:c r="E325" s="37" t="str">
        <x:v>0</x:v>
      </x:c>
      <x:c r="F325" s="37" t="str">
        <x:v>34</x:v>
      </x:c>
      <x:c r="G325" s="37" t="str">
        <x:v>946.63</x:v>
      </x:c>
      <x:c r="H325" s="37" t="str">
        <x:v>0.00</x:v>
      </x:c>
      <x:c r="I325" s="37" t="str">
        <x:v>433.39</x:v>
      </x:c>
      <x:c r="J325" s="37" t="str">
        <x:v>0.00</x:v>
      </x:c>
      <x:c r="K325" s="37" t="str">
        <x:v>513.25</x:v>
      </x:c>
      <x:c r="L325" s="37" t="str">
        <x:v>1349</x:v>
      </x:c>
      <x:c r="M325" s="29" t="str">
        <x:v>706.46</x:v>
      </x:c>
      <x:c r="N325" s="29" t="str">
        <x:v>414.80</x:v>
      </x:c>
      <x:c r="O325" s="29" t="str">
        <x:v>291.66</x:v>
      </x:c>
      <x:c r="P325" s="18" t="str">
        <x:v>2026-08-09</x:v>
      </x:c>
      <x:c r="Q325" s="36" t="n">
        <x:v>46243</x:v>
      </x:c>
    </x:row>
    <x:row r="326">
      <x:c r="A326" s="36" t="str">
        <x:v>2026-08-09</x:v>
      </x:c>
      <x:c r="B326" s="18" t="str">
        <x:v>101437000_76091</x:v>
      </x:c>
      <x:c r="C326" s="18" t="str">
        <x:v>【沪村小电】恒信家园充电站</x:v>
      </x:c>
      <x:c r="D326" s="37" t="str">
        <x:v>2</x:v>
      </x:c>
      <x:c r="E326" s="37" t="str">
        <x:v>0</x:v>
      </x:c>
      <x:c r="F326" s="37" t="str">
        <x:v>24</x:v>
      </x:c>
      <x:c r="G326" s="37" t="str">
        <x:v>678.28</x:v>
      </x:c>
      <x:c r="H326" s="37" t="str">
        <x:v>0.00</x:v>
      </x:c>
      <x:c r="I326" s="37" t="str">
        <x:v>399.90</x:v>
      </x:c>
      <x:c r="J326" s="37" t="str">
        <x:v>0.00</x:v>
      </x:c>
      <x:c r="K326" s="37" t="str">
        <x:v>278.38</x:v>
      </x:c>
      <x:c r="L326" s="37" t="str">
        <x:v>1014</x:v>
      </x:c>
      <x:c r="M326" s="29" t="str">
        <x:v>635.08</x:v>
      </x:c>
      <x:c r="N326" s="29" t="str">
        <x:v>386.94</x:v>
      </x:c>
      <x:c r="O326" s="29" t="str">
        <x:v>248.14</x:v>
      </x:c>
      <x:c r="P326" s="18" t="str">
        <x:v>2026-08-09</x:v>
      </x:c>
      <x:c r="Q326" s="36" t="n">
        <x:v>46243</x:v>
      </x:c>
    </x:row>
    <x:row r="327">
      <x:c r="A327" s="36" t="str">
        <x:v>2026-08-09</x:v>
      </x:c>
      <x:c r="B327" s="18" t="str">
        <x:v>101437000_76417</x:v>
      </x:c>
      <x:c r="C327" s="18" t="str">
        <x:v>【沪村小电】新春一组充电站</x:v>
      </x:c>
      <x:c r="D327" s="37" t="str">
        <x:v>2</x:v>
      </x:c>
      <x:c r="E327" s="37" t="str">
        <x:v>0</x:v>
      </x:c>
      <x:c r="F327" s="37" t="str">
        <x:v>11</x:v>
      </x:c>
      <x:c r="G327" s="37" t="str">
        <x:v>284.08</x:v>
      </x:c>
      <x:c r="H327" s="37" t="str">
        <x:v>0.00</x:v>
      </x:c>
      <x:c r="I327" s="37" t="str">
        <x:v>39.36</x:v>
      </x:c>
      <x:c r="J327" s="37" t="str">
        <x:v>0.00</x:v>
      </x:c>
      <x:c r="K327" s="37" t="str">
        <x:v>244.72</x:v>
      </x:c>
      <x:c r="L327" s="37" t="str">
        <x:v>407</x:v>
      </x:c>
      <x:c r="M327" s="29" t="str">
        <x:v>218.98</x:v>
      </x:c>
      <x:c r="N327" s="29" t="str">
        <x:v>163.78</x:v>
      </x:c>
      <x:c r="O327" s="29" t="str">
        <x:v>55.20</x:v>
      </x:c>
      <x:c r="P327" s="18" t="str">
        <x:v>2026-08-09</x:v>
      </x:c>
      <x:c r="Q327" s="36" t="n">
        <x:v>46243</x:v>
      </x:c>
    </x:row>
    <x:row r="328">
      <x:c r="A328" s="36" t="str">
        <x:v>2026-08-09</x:v>
      </x:c>
      <x:c r="B328" s="18" t="str">
        <x:v>101437000_78235</x:v>
      </x:c>
      <x:c r="C328" s="18" t="str">
        <x:v>【沪村小电】欣秋苑充电站</x:v>
      </x:c>
      <x:c r="D328" s="37" t="str">
        <x:v>4</x:v>
      </x:c>
      <x:c r="E328" s="37" t="str">
        <x:v>0</x:v>
      </x:c>
      <x:c r="F328" s="37" t="str">
        <x:v>12</x:v>
      </x:c>
      <x:c r="G328" s="37" t="str">
        <x:v>292.05</x:v>
      </x:c>
      <x:c r="H328" s="37" t="str">
        <x:v>0.00</x:v>
      </x:c>
      <x:c r="I328" s="37" t="str">
        <x:v>268.22</x:v>
      </x:c>
      <x:c r="J328" s="37" t="str">
        <x:v>0.00</x:v>
      </x:c>
      <x:c r="K328" s="37" t="str">
        <x:v>23.84</x:v>
      </x:c>
      <x:c r="L328" s="37" t="str">
        <x:v>507</x:v>
      </x:c>
      <x:c r="M328" s="29" t="str">
        <x:v>339.00</x:v>
      </x:c>
      <x:c r="N328" s="29" t="str">
        <x:v>199.24</x:v>
      </x:c>
      <x:c r="O328" s="29" t="str">
        <x:v>139.76</x:v>
      </x:c>
      <x:c r="P328" s="18" t="str">
        <x:v>2026-08-09</x:v>
      </x:c>
      <x:c r="Q328" s="36" t="n">
        <x:v>46243</x:v>
      </x:c>
    </x:row>
    <x:row r="329">
      <x:c r="A329" s="36" t="str">
        <x:v>2026-08-09</x:v>
      </x:c>
      <x:c r="B329" s="18" t="str">
        <x:v>101437000_78237</x:v>
      </x:c>
      <x:c r="C329" s="18" t="str">
        <x:v>【沪村小电】奉馨苑西门小区内北侧充电站</x:v>
      </x:c>
      <x:c r="D329" s="37" t="str">
        <x:v>2</x:v>
      </x:c>
      <x:c r="E329" s="37" t="str">
        <x:v>0</x:v>
      </x:c>
      <x:c r="F329" s="37" t="str">
        <x:v>22</x:v>
      </x:c>
      <x:c r="G329" s="37" t="str">
        <x:v>621.55</x:v>
      </x:c>
      <x:c r="H329" s="37" t="str">
        <x:v>43.99</x:v>
      </x:c>
      <x:c r="I329" s="37" t="str">
        <x:v>179.42</x:v>
      </x:c>
      <x:c r="J329" s="37" t="str">
        <x:v>75.65</x:v>
      </x:c>
      <x:c r="K329" s="37" t="str">
        <x:v>322.49</x:v>
      </x:c>
      <x:c r="L329" s="37" t="str">
        <x:v>1030</x:v>
      </x:c>
      <x:c r="M329" s="29" t="str">
        <x:v>578.45</x:v>
      </x:c>
      <x:c r="N329" s="29" t="str">
        <x:v>439.07</x:v>
      </x:c>
      <x:c r="O329" s="29" t="str">
        <x:v>139.38</x:v>
      </x:c>
      <x:c r="P329" s="18" t="str">
        <x:v>2026-08-09</x:v>
      </x:c>
      <x:c r="Q329" s="36" t="n">
        <x:v>46243</x:v>
      </x:c>
    </x:row>
    <x:row r="330">
      <x:c r="A330" s="36" t="str">
        <x:v>2026-08-09</x:v>
      </x:c>
      <x:c r="B330" s="18" t="str">
        <x:v>101437000_80823</x:v>
      </x:c>
      <x:c r="C330" s="18" t="str">
        <x:v>【沪村小电】上湖轩充电站</x:v>
      </x:c>
      <x:c r="D330" s="37" t="str">
        <x:v>2</x:v>
      </x:c>
      <x:c r="E330" s="37" t="str">
        <x:v>0</x:v>
      </x:c>
      <x:c r="F330" s="37" t="str">
        <x:v>8</x:v>
      </x:c>
      <x:c r="G330" s="37" t="str">
        <x:v>157.44</x:v>
      </x:c>
      <x:c r="H330" s="37" t="str">
        <x:v>14.12</x:v>
      </x:c>
      <x:c r="I330" s="37" t="str">
        <x:v>18.65</x:v>
      </x:c>
      <x:c r="J330" s="37" t="str">
        <x:v>0.00</x:v>
      </x:c>
      <x:c r="K330" s="37" t="str">
        <x:v>124.67</x:v>
      </x:c>
      <x:c r="L330" s="37" t="str">
        <x:v>268</x:v>
      </x:c>
      <x:c r="M330" s="29" t="str">
        <x:v>119.50</x:v>
      </x:c>
      <x:c r="N330" s="29" t="str">
        <x:v>105.95</x:v>
      </x:c>
      <x:c r="O330" s="29" t="str">
        <x:v>13.55</x:v>
      </x:c>
      <x:c r="P330" s="18" t="str">
        <x:v>2026-08-09</x:v>
      </x:c>
      <x:c r="Q330" s="36" t="n">
        <x:v>46243</x:v>
      </x:c>
    </x:row>
    <x:row r="331">
      <x:c r="A331" s="36" t="str">
        <x:v>2026-08-09</x:v>
      </x:c>
      <x:c r="B331" s="18" t="str">
        <x:v>101437000_83019</x:v>
      </x:c>
      <x:c r="C331" s="18" t="str">
        <x:v>【沪村小电】首创禧瑞云启东区充电站</x:v>
      </x:c>
      <x:c r="D331" s="37" t="str">
        <x:v>2</x:v>
      </x:c>
      <x:c r="E331" s="37" t="str">
        <x:v>0</x:v>
      </x:c>
      <x:c r="F331" s="37" t="str">
        <x:v>15</x:v>
      </x:c>
      <x:c r="G331" s="37" t="str">
        <x:v>400.98</x:v>
      </x:c>
      <x:c r="H331" s="37" t="str">
        <x:v>0.00</x:v>
      </x:c>
      <x:c r="I331" s="37" t="str">
        <x:v>145.77</x:v>
      </x:c>
      <x:c r="J331" s="37" t="str">
        <x:v>0.00</x:v>
      </x:c>
      <x:c r="K331" s="37" t="str">
        <x:v>255.21</x:v>
      </x:c>
      <x:c r="L331" s="37" t="str">
        <x:v>553</x:v>
      </x:c>
      <x:c r="M331" s="29" t="str">
        <x:v>317.14</x:v>
      </x:c>
      <x:c r="N331" s="29" t="str">
        <x:v>197.94</x:v>
      </x:c>
      <x:c r="O331" s="29" t="str">
        <x:v>119.20</x:v>
      </x:c>
      <x:c r="P331" s="18" t="str">
        <x:v>2026-08-09</x:v>
      </x:c>
      <x:c r="Q331" s="36" t="n">
        <x:v>46243</x:v>
      </x:c>
    </x:row>
    <x:row r="332">
      <x:c r="A332" s="36" t="str">
        <x:v>2026-08-09</x:v>
      </x:c>
      <x:c r="B332" s="18" t="str">
        <x:v>101437000_83093</x:v>
      </x:c>
      <x:c r="C332" s="18" t="str">
        <x:v>【沪村小电】金茂未来时光里</x:v>
      </x:c>
      <x:c r="D332" s="37" t="str">
        <x:v>2</x:v>
      </x:c>
      <x:c r="E332" s="37" t="str">
        <x:v>0</x:v>
      </x:c>
      <x:c r="F332" s="37" t="str">
        <x:v>31</x:v>
      </x:c>
      <x:c r="G332" s="37" t="str">
        <x:v>889.50</x:v>
      </x:c>
      <x:c r="H332" s="37" t="str">
        <x:v>0.00</x:v>
      </x:c>
      <x:c r="I332" s="37" t="str">
        <x:v>296.27</x:v>
      </x:c>
      <x:c r="J332" s="37" t="str">
        <x:v>0.00</x:v>
      </x:c>
      <x:c r="K332" s="37" t="str">
        <x:v>593.22</x:v>
      </x:c>
      <x:c r="L332" s="37" t="str">
        <x:v>1290</x:v>
      </x:c>
      <x:c r="M332" s="29" t="str">
        <x:v>530.86</x:v>
      </x:c>
      <x:c r="N332" s="29" t="str">
        <x:v>358.69</x:v>
      </x:c>
      <x:c r="O332" s="29" t="str">
        <x:v>172.17</x:v>
      </x:c>
      <x:c r="P332" s="18" t="str">
        <x:v>2026-08-09</x:v>
      </x:c>
      <x:c r="Q332" s="36" t="n">
        <x:v>46243</x:v>
      </x:c>
    </x:row>
    <x:row r="333">
      <x:c r="A333" s="36" t="str">
        <x:v>2026-08-09</x:v>
      </x:c>
      <x:c r="B333" s="18" t="str">
        <x:v>101437000_83911</x:v>
      </x:c>
      <x:c r="C333" s="18" t="str">
        <x:v>【沪村小电】金瀚园充电站</x:v>
      </x:c>
      <x:c r="D333" s="37" t="str">
        <x:v>2</x:v>
      </x:c>
      <x:c r="E333" s="37" t="str">
        <x:v>0</x:v>
      </x:c>
      <x:c r="F333" s="37" t="str">
        <x:v>28</x:v>
      </x:c>
      <x:c r="G333" s="37" t="str">
        <x:v>803.88</x:v>
      </x:c>
      <x:c r="H333" s="37" t="str">
        <x:v>0.00</x:v>
      </x:c>
      <x:c r="I333" s="37" t="str">
        <x:v>377.43</x:v>
      </x:c>
      <x:c r="J333" s="37" t="str">
        <x:v>0.00</x:v>
      </x:c>
      <x:c r="K333" s="37" t="str">
        <x:v>426.45</x:v>
      </x:c>
      <x:c r="L333" s="37" t="str">
        <x:v>1078</x:v>
      </x:c>
      <x:c r="M333" s="29" t="str">
        <x:v>635.05</x:v>
      </x:c>
      <x:c r="N333" s="29" t="str">
        <x:v>425.74</x:v>
      </x:c>
      <x:c r="O333" s="29" t="str">
        <x:v>209.31</x:v>
      </x:c>
      <x:c r="P333" s="18" t="str">
        <x:v>2026-08-09</x:v>
      </x:c>
      <x:c r="Q333" s="36" t="n">
        <x:v>46243</x:v>
      </x:c>
    </x:row>
    <x:row r="334">
      <x:c r="A334" s="36" t="str">
        <x:v>2026-08-09</x:v>
      </x:c>
      <x:c r="B334" s="18" t="str">
        <x:v>101437000_83913</x:v>
      </x:c>
      <x:c r="C334" s="18" t="str">
        <x:v>【沪村小电】新黎村充电站</x:v>
      </x:c>
      <x:c r="D334" s="37" t="str">
        <x:v>2</x:v>
      </x:c>
      <x:c r="E334" s="37" t="str">
        <x:v>0</x:v>
      </x:c>
      <x:c r="F334" s="37" t="str">
        <x:v>29</x:v>
      </x:c>
      <x:c r="G334" s="37" t="str">
        <x:v>665.87</x:v>
      </x:c>
      <x:c r="H334" s="37" t="str">
        <x:v>0.00</x:v>
      </x:c>
      <x:c r="I334" s="37" t="str">
        <x:v>345.68</x:v>
      </x:c>
      <x:c r="J334" s="37" t="str">
        <x:v>0.00</x:v>
      </x:c>
      <x:c r="K334" s="37" t="str">
        <x:v>320.19</x:v>
      </x:c>
      <x:c r="L334" s="37" t="str">
        <x:v>988</x:v>
      </x:c>
      <x:c r="M334" s="29" t="str">
        <x:v>651.95</x:v>
      </x:c>
      <x:c r="N334" s="29" t="str">
        <x:v>505.55</x:v>
      </x:c>
      <x:c r="O334" s="29" t="str">
        <x:v>146.40</x:v>
      </x:c>
      <x:c r="P334" s="18" t="str">
        <x:v>2026-08-09</x:v>
      </x:c>
      <x:c r="Q334" s="36" t="n">
        <x:v>46243</x:v>
      </x:c>
    </x:row>
    <x:row r="335">
      <x:c r="A335" s="36" t="str">
        <x:v>2026-08-09</x:v>
      </x:c>
      <x:c r="B335" s="18" t="str">
        <x:v>101437000_83915</x:v>
      </x:c>
      <x:c r="C335" s="18" t="str">
        <x:v>【沪村小电】长泰西郊别墅充电站</x:v>
      </x:c>
      <x:c r="D335" s="37" t="str">
        <x:v>2</x:v>
      </x:c>
      <x:c r="E335" s="37" t="str">
        <x:v>0</x:v>
      </x:c>
      <x:c r="F335" s="37" t="str">
        <x:v>13</x:v>
      </x:c>
      <x:c r="G335" s="37" t="str">
        <x:v>364.08</x:v>
      </x:c>
      <x:c r="H335" s="37" t="str">
        <x:v>0.00</x:v>
      </x:c>
      <x:c r="I335" s="37" t="str">
        <x:v>269.01</x:v>
      </x:c>
      <x:c r="J335" s="37" t="str">
        <x:v>0.00</x:v>
      </x:c>
      <x:c r="K335" s="37" t="str">
        <x:v>95.06</x:v>
      </x:c>
      <x:c r="L335" s="37" t="str">
        <x:v>536</x:v>
      </x:c>
      <x:c r="M335" s="29" t="str">
        <x:v>350.62</x:v>
      </x:c>
      <x:c r="N335" s="29" t="str">
        <x:v>226.18</x:v>
      </x:c>
      <x:c r="O335" s="29" t="str">
        <x:v>124.44</x:v>
      </x:c>
      <x:c r="P335" s="18" t="str">
        <x:v>2026-08-09</x:v>
      </x:c>
      <x:c r="Q335" s="36" t="n">
        <x:v>46243</x:v>
      </x:c>
    </x:row>
    <x:row r="336">
      <x:c r="A336" s="36" t="str">
        <x:v>2026-08-09</x:v>
      </x:c>
      <x:c r="B336" s="18" t="str">
        <x:v>101437000_83917</x:v>
      </x:c>
      <x:c r="C336" s="18" t="str">
        <x:v>【沪村小电】旭新华庭充电站</x:v>
      </x:c>
      <x:c r="D336" s="37" t="str">
        <x:v>4</x:v>
      </x:c>
      <x:c r="E336" s="37" t="str">
        <x:v>0</x:v>
      </x:c>
      <x:c r="F336" s="37" t="str">
        <x:v>22</x:v>
      </x:c>
      <x:c r="G336" s="37" t="str">
        <x:v>608.69</x:v>
      </x:c>
      <x:c r="H336" s="37" t="str">
        <x:v>0.00</x:v>
      </x:c>
      <x:c r="I336" s="37" t="str">
        <x:v>413.21</x:v>
      </x:c>
      <x:c r="J336" s="37" t="str">
        <x:v>0.00</x:v>
      </x:c>
      <x:c r="K336" s="37" t="str">
        <x:v>195.48</x:v>
      </x:c>
      <x:c r="L336" s="37" t="str">
        <x:v>888</x:v>
      </x:c>
      <x:c r="M336" s="29" t="str">
        <x:v>675.15</x:v>
      </x:c>
      <x:c r="N336" s="29" t="str">
        <x:v>365.70</x:v>
      </x:c>
      <x:c r="O336" s="29" t="str">
        <x:v>309.45</x:v>
      </x:c>
      <x:c r="P336" s="18" t="str">
        <x:v>2026-08-09</x:v>
      </x:c>
      <x:c r="Q336" s="36" t="n">
        <x:v>46243</x:v>
      </x:c>
    </x:row>
    <x:row r="337">
      <x:c r="A337" s="36" t="str">
        <x:v>2026-08-09</x:v>
      </x:c>
      <x:c r="B337" s="18" t="str">
        <x:v>101437000_83919</x:v>
      </x:c>
      <x:c r="C337" s="18" t="str">
        <x:v>【沪村小电】浦锦名仕嘉园充电站</x:v>
      </x:c>
      <x:c r="D337" s="37" t="str">
        <x:v>4</x:v>
      </x:c>
      <x:c r="E337" s="37" t="str">
        <x:v>0</x:v>
      </x:c>
      <x:c r="F337" s="37" t="str">
        <x:v>41</x:v>
      </x:c>
      <x:c r="G337" s="37" t="str">
        <x:v>668.49</x:v>
      </x:c>
      <x:c r="H337" s="37" t="str">
        <x:v>0.00</x:v>
      </x:c>
      <x:c r="I337" s="37" t="str">
        <x:v>0.00</x:v>
      </x:c>
      <x:c r="J337" s="37" t="str">
        <x:v>668.49</x:v>
      </x:c>
      <x:c r="K337" s="37" t="str">
        <x:v>0.00</x:v>
      </x:c>
      <x:c r="L337" s="37" t="str">
        <x:v>878</x:v>
      </x:c>
      <x:c r="M337" s="29" t="str">
        <x:v>652.51</x:v>
      </x:c>
      <x:c r="N337" s="29" t="str">
        <x:v>467.93</x:v>
      </x:c>
      <x:c r="O337" s="29" t="str">
        <x:v>184.58</x:v>
      </x:c>
      <x:c r="P337" s="18" t="str">
        <x:v>2026-08-09</x:v>
      </x:c>
      <x:c r="Q337" s="36" t="n">
        <x:v>46243</x:v>
      </x:c>
    </x:row>
    <x:row r="338">
      <x:c r="A338" s="36" t="str">
        <x:v>2026-08-09</x:v>
      </x:c>
      <x:c r="B338" s="18" t="str">
        <x:v>101437000_83921</x:v>
      </x:c>
      <x:c r="C338" s="18" t="str">
        <x:v>【沪村小电】上海联怡枇杷乐园充电站（地库）</x:v>
      </x:c>
      <x:c r="D338" s="37" t="str">
        <x:v>8</x:v>
      </x:c>
      <x:c r="E338" s="37" t="str">
        <x:v>0</x:v>
      </x:c>
      <x:c r="F338" s="37" t="str">
        <x:v>11</x:v>
      </x:c>
      <x:c r="G338" s="37" t="str">
        <x:v>293.17</x:v>
      </x:c>
      <x:c r="H338" s="37" t="str">
        <x:v>0.00</x:v>
      </x:c>
      <x:c r="I338" s="37" t="str">
        <x:v>36.80</x:v>
      </x:c>
      <x:c r="J338" s="37" t="str">
        <x:v>9.72</x:v>
      </x:c>
      <x:c r="K338" s="37" t="str">
        <x:v>246.65</x:v>
      </x:c>
      <x:c r="L338" s="37" t="str">
        <x:v>483</x:v>
      </x:c>
      <x:c r="M338" s="29" t="str">
        <x:v>238.95</x:v>
      </x:c>
      <x:c r="N338" s="29" t="str">
        <x:v>198.21</x:v>
      </x:c>
      <x:c r="O338" s="29" t="str">
        <x:v>40.74</x:v>
      </x:c>
      <x:c r="P338" s="18" t="str">
        <x:v>2026-08-09</x:v>
      </x:c>
      <x:c r="Q338" s="36" t="n">
        <x:v>46243</x:v>
      </x:c>
    </x:row>
    <x:row r="339">
      <x:c r="A339" s="36" t="str">
        <x:v>2026-08-09</x:v>
      </x:c>
      <x:c r="B339" s="18" t="str">
        <x:v>101437000_83923</x:v>
      </x:c>
      <x:c r="C339" s="18" t="str">
        <x:v>【沪村小电】明珠新苑充电站</x:v>
      </x:c>
      <x:c r="D339" s="37" t="str">
        <x:v>2</x:v>
      </x:c>
      <x:c r="E339" s="37" t="str">
        <x:v>0</x:v>
      </x:c>
      <x:c r="F339" s="37" t="str">
        <x:v>21</x:v>
      </x:c>
      <x:c r="G339" s="37" t="str">
        <x:v>527.41</x:v>
      </x:c>
      <x:c r="H339" s="37" t="str">
        <x:v>0.00</x:v>
      </x:c>
      <x:c r="I339" s="37" t="str">
        <x:v>329.36</x:v>
      </x:c>
      <x:c r="J339" s="37" t="str">
        <x:v>0.00</x:v>
      </x:c>
      <x:c r="K339" s="37" t="str">
        <x:v>198.05</x:v>
      </x:c>
      <x:c r="L339" s="37" t="str">
        <x:v>711</x:v>
      </x:c>
      <x:c r="M339" s="29" t="str">
        <x:v>485.59</x:v>
      </x:c>
      <x:c r="N339" s="29" t="str">
        <x:v>307.13</x:v>
      </x:c>
      <x:c r="O339" s="29" t="str">
        <x:v>178.46</x:v>
      </x:c>
      <x:c r="P339" s="18" t="str">
        <x:v>2026-08-09</x:v>
      </x:c>
      <x:c r="Q339" s="36" t="n">
        <x:v>46243</x:v>
      </x:c>
    </x:row>
    <x:row r="340">
      <x:c r="A340" s="36" t="str">
        <x:v>2026-08-09</x:v>
      </x:c>
      <x:c r="B340" s="18" t="str">
        <x:v>101437000_84289</x:v>
      </x:c>
      <x:c r="C340" s="18" t="str">
        <x:v>【沪村小电】铁建芳华苑充电站</x:v>
      </x:c>
      <x:c r="D340" s="37" t="str">
        <x:v>4</x:v>
      </x:c>
      <x:c r="E340" s="37" t="str">
        <x:v>0</x:v>
      </x:c>
      <x:c r="F340" s="37" t="str">
        <x:v>38</x:v>
      </x:c>
      <x:c r="G340" s="37" t="str">
        <x:v>805.16</x:v>
      </x:c>
      <x:c r="H340" s="37" t="str">
        <x:v>0.00</x:v>
      </x:c>
      <x:c r="I340" s="37" t="str">
        <x:v>384.43</x:v>
      </x:c>
      <x:c r="J340" s="37" t="str">
        <x:v>0.00</x:v>
      </x:c>
      <x:c r="K340" s="37" t="str">
        <x:v>420.73</x:v>
      </x:c>
      <x:c r="L340" s="37" t="str">
        <x:v>1231</x:v>
      </x:c>
      <x:c r="M340" s="29" t="str">
        <x:v>662.18</x:v>
      </x:c>
      <x:c r="N340" s="29" t="str">
        <x:v>428.60</x:v>
      </x:c>
      <x:c r="O340" s="29" t="str">
        <x:v>233.58</x:v>
      </x:c>
      <x:c r="P340" s="18" t="str">
        <x:v>2026-08-09</x:v>
      </x:c>
      <x:c r="Q340" s="36" t="n">
        <x:v>46243</x:v>
      </x:c>
    </x:row>
    <x:row r="341">
      <x:c r="A341" s="36" t="str">
        <x:v>2026-08-09</x:v>
      </x:c>
      <x:c r="B341" s="18" t="str">
        <x:v>101437000_86379</x:v>
      </x:c>
      <x:c r="C341" s="18" t="str">
        <x:v>【沪村小电】新宝社区充电站</x:v>
      </x:c>
      <x:c r="D341" s="37" t="str">
        <x:v>4</x:v>
      </x:c>
      <x:c r="E341" s="37" t="str">
        <x:v>0</x:v>
      </x:c>
      <x:c r="F341" s="37" t="str">
        <x:v>26</x:v>
      </x:c>
      <x:c r="G341" s="37" t="str">
        <x:v>726.47</x:v>
      </x:c>
      <x:c r="H341" s="37" t="str">
        <x:v>0.00</x:v>
      </x:c>
      <x:c r="I341" s="37" t="str">
        <x:v>311.00</x:v>
      </x:c>
      <x:c r="J341" s="37" t="str">
        <x:v>0.00</x:v>
      </x:c>
      <x:c r="K341" s="37" t="str">
        <x:v>415.47</x:v>
      </x:c>
      <x:c r="L341" s="37" t="str">
        <x:v>1210</x:v>
      </x:c>
      <x:c r="M341" s="29" t="str">
        <x:v>542.75</x:v>
      </x:c>
      <x:c r="N341" s="29" t="str">
        <x:v>374.53</x:v>
      </x:c>
      <x:c r="O341" s="29" t="str">
        <x:v>168.22</x:v>
      </x:c>
      <x:c r="P341" s="18" t="str">
        <x:v>2026-08-09</x:v>
      </x:c>
      <x:c r="Q341" s="36" t="n">
        <x:v>46243</x:v>
      </x:c>
    </x:row>
    <x:row r="342">
      <x:c r="A342" s="36" t="str">
        <x:v>2026-08-09</x:v>
      </x:c>
      <x:c r="B342" s="18" t="str">
        <x:v>101437000_89441</x:v>
      </x:c>
      <x:c r="C342" s="18" t="str">
        <x:v>【沪村小电】首创禧瑞云启西区充电站</x:v>
      </x:c>
      <x:c r="D342" s="37" t="str">
        <x:v>2</x:v>
      </x:c>
      <x:c r="E342" s="37" t="str">
        <x:v>0</x:v>
      </x:c>
      <x:c r="F342" s="37" t="str">
        <x:v>14</x:v>
      </x:c>
      <x:c r="G342" s="37" t="str">
        <x:v>287.26</x:v>
      </x:c>
      <x:c r="H342" s="37" t="str">
        <x:v>0.00</x:v>
      </x:c>
      <x:c r="I342" s="37" t="str">
        <x:v>250.71</x:v>
      </x:c>
      <x:c r="J342" s="37" t="str">
        <x:v>0.00</x:v>
      </x:c>
      <x:c r="K342" s="37" t="str">
        <x:v>36.55</x:v>
      </x:c>
      <x:c r="L342" s="37" t="str">
        <x:v>365</x:v>
      </x:c>
      <x:c r="M342" s="29" t="str">
        <x:v>298.20</x:v>
      </x:c>
      <x:c r="N342" s="29" t="str">
        <x:v>191.54</x:v>
      </x:c>
      <x:c r="O342" s="29" t="str">
        <x:v>106.66</x:v>
      </x:c>
      <x:c r="P342" s="18" t="str">
        <x:v>2026-08-09</x:v>
      </x:c>
      <x:c r="Q342" s="36" t="n">
        <x:v>46243</x:v>
      </x:c>
    </x:row>
    <x:row r="343">
      <x:c r="A343" s="36" t="str">
        <x:v>2026-08-09</x:v>
      </x:c>
      <x:c r="B343" s="18" t="str">
        <x:v>101437000_89443</x:v>
      </x:c>
      <x:c r="C343" s="18" t="str">
        <x:v>【沪村小电】玉兰清苑二期充电站</x:v>
      </x:c>
      <x:c r="D343" s="37" t="str">
        <x:v>2</x:v>
      </x:c>
      <x:c r="E343" s="37" t="str">
        <x:v>0</x:v>
      </x:c>
      <x:c r="F343" s="37" t="str">
        <x:v>29</x:v>
      </x:c>
      <x:c r="G343" s="37" t="str">
        <x:v>628.98</x:v>
      </x:c>
      <x:c r="H343" s="37" t="str">
        <x:v>0.00</x:v>
      </x:c>
      <x:c r="I343" s="37" t="str">
        <x:v>425.55</x:v>
      </x:c>
      <x:c r="J343" s="37" t="str">
        <x:v>0.00</x:v>
      </x:c>
      <x:c r="K343" s="37" t="str">
        <x:v>203.43</x:v>
      </x:c>
      <x:c r="L343" s="37" t="str">
        <x:v>929</x:v>
      </x:c>
      <x:c r="M343" s="29" t="str">
        <x:v>579.13</x:v>
      </x:c>
      <x:c r="N343" s="29" t="str">
        <x:v>377.39</x:v>
      </x:c>
      <x:c r="O343" s="29" t="str">
        <x:v>201.74</x:v>
      </x:c>
      <x:c r="P343" s="18" t="str">
        <x:v>2026-08-09</x:v>
      </x:c>
      <x:c r="Q343" s="36" t="n">
        <x:v>46243</x:v>
      </x:c>
    </x:row>
    <x:row r="344">
      <x:c r="A344" s="36" t="str">
        <x:v>2026-08-09</x:v>
      </x:c>
      <x:c r="B344" s="18" t="str">
        <x:v>101437000_93115</x:v>
      </x:c>
      <x:c r="C344" s="18" t="str">
        <x:v>【沪村小电】新南家园西北门</x:v>
      </x:c>
      <x:c r="D344" s="37" t="str">
        <x:v>2</x:v>
      </x:c>
      <x:c r="E344" s="37" t="str">
        <x:v>0</x:v>
      </x:c>
      <x:c r="F344" s="37" t="str">
        <x:v>23</x:v>
      </x:c>
      <x:c r="G344" s="37" t="str">
        <x:v>698.82</x:v>
      </x:c>
      <x:c r="H344" s="37" t="str">
        <x:v>0.00</x:v>
      </x:c>
      <x:c r="I344" s="37" t="str">
        <x:v>361.12</x:v>
      </x:c>
      <x:c r="J344" s="37" t="str">
        <x:v>0.00</x:v>
      </x:c>
      <x:c r="K344" s="37" t="str">
        <x:v>337.70</x:v>
      </x:c>
      <x:c r="L344" s="37" t="str">
        <x:v>882</x:v>
      </x:c>
      <x:c r="M344" s="29" t="str">
        <x:v>620.29</x:v>
      </x:c>
      <x:c r="N344" s="29" t="str">
        <x:v>381.37</x:v>
      </x:c>
      <x:c r="O344" s="29" t="str">
        <x:v>238.92</x:v>
      </x:c>
      <x:c r="P344" s="18" t="str">
        <x:v>2026-08-09</x:v>
      </x:c>
      <x:c r="Q344" s="36" t="n">
        <x:v>46243</x:v>
      </x:c>
    </x:row>
    <x:row r="345">
      <x:c r="A345" s="36" t="str">
        <x:v>2026-08-09</x:v>
      </x:c>
      <x:c r="B345" s="18" t="str">
        <x:v>101437000_94649</x:v>
      </x:c>
      <x:c r="C345" s="18" t="str">
        <x:v>【沪村小电】浪琴水岸花园</x:v>
      </x:c>
      <x:c r="D345" s="37" t="str">
        <x:v>4</x:v>
      </x:c>
      <x:c r="E345" s="37" t="str">
        <x:v>0</x:v>
      </x:c>
      <x:c r="F345" s="37" t="str">
        <x:v>35</x:v>
      </x:c>
      <x:c r="G345" s="37" t="str">
        <x:v>529.52</x:v>
      </x:c>
      <x:c r="H345" s="37" t="str">
        <x:v>0.00</x:v>
      </x:c>
      <x:c r="I345" s="37" t="str">
        <x:v>301.77</x:v>
      </x:c>
      <x:c r="J345" s="37" t="str">
        <x:v>0.00</x:v>
      </x:c>
      <x:c r="K345" s="37" t="str">
        <x:v>227.74</x:v>
      </x:c>
      <x:c r="L345" s="37" t="str">
        <x:v>882</x:v>
      </x:c>
      <x:c r="M345" s="29" t="str">
        <x:v>414.21</x:v>
      </x:c>
      <x:c r="N345" s="29" t="str">
        <x:v>321.31</x:v>
      </x:c>
      <x:c r="O345" s="29" t="str">
        <x:v>92.90</x:v>
      </x:c>
      <x:c r="P345" s="18" t="str">
        <x:v>2026-08-09</x:v>
      </x:c>
      <x:c r="Q345" s="36" t="n">
        <x:v>46243</x:v>
      </x:c>
    </x:row>
    <x:row r="346">
      <x:c r="A346" s="36" t="str">
        <x:v>2026-08-09</x:v>
      </x:c>
      <x:c r="B346" s="18" t="str">
        <x:v>101437000_95079</x:v>
      </x:c>
      <x:c r="C346" s="18" t="str">
        <x:v>【沪村小电】民乐城惠益绿苑东苑充电站</x:v>
      </x:c>
      <x:c r="D346" s="37" t="str">
        <x:v>2</x:v>
      </x:c>
      <x:c r="E346" s="37" t="str">
        <x:v>0</x:v>
      </x:c>
      <x:c r="F346" s="37" t="str">
        <x:v>18</x:v>
      </x:c>
      <x:c r="G346" s="37" t="str">
        <x:v>617.60</x:v>
      </x:c>
      <x:c r="H346" s="37" t="str">
        <x:v>0.00</x:v>
      </x:c>
      <x:c r="I346" s="37" t="str">
        <x:v>410.39</x:v>
      </x:c>
      <x:c r="J346" s="37" t="str">
        <x:v>0.00</x:v>
      </x:c>
      <x:c r="K346" s="37" t="str">
        <x:v>207.21</x:v>
      </x:c>
      <x:c r="L346" s="37" t="str">
        <x:v>848</x:v>
      </x:c>
      <x:c r="M346" s="29" t="str">
        <x:v>565.51</x:v>
      </x:c>
      <x:c r="N346" s="29" t="str">
        <x:v>368.05</x:v>
      </x:c>
      <x:c r="O346" s="29" t="str">
        <x:v>197.46</x:v>
      </x:c>
      <x:c r="P346" s="18" t="str">
        <x:v>2026-08-09</x:v>
      </x:c>
      <x:c r="Q346" s="36" t="n">
        <x:v>46243</x:v>
      </x:c>
    </x:row>
    <x:row r="347">
      <x:c r="A347" s="36" t="str">
        <x:v>2026-08-09</x:v>
      </x:c>
      <x:c r="B347" s="18" t="str">
        <x:v>101437000_95081</x:v>
      </x:c>
      <x:c r="C347" s="18" t="str">
        <x:v>【沪村小电】民乐城惠益绿苑西苑充电站</x:v>
      </x:c>
      <x:c r="D347" s="37" t="str">
        <x:v>2</x:v>
      </x:c>
      <x:c r="E347" s="37" t="str">
        <x:v>0</x:v>
      </x:c>
      <x:c r="F347" s="37" t="str">
        <x:v>4</x:v>
      </x:c>
      <x:c r="G347" s="37" t="str">
        <x:v>60.48</x:v>
      </x:c>
      <x:c r="H347" s="37" t="str">
        <x:v>0.00</x:v>
      </x:c>
      <x:c r="I347" s="37" t="str">
        <x:v>60.48</x:v>
      </x:c>
      <x:c r="J347" s="37" t="str">
        <x:v>0.00</x:v>
      </x:c>
      <x:c r="K347" s="37" t="str">
        <x:v>0.00</x:v>
      </x:c>
      <x:c r="L347" s="37" t="str">
        <x:v>141</x:v>
      </x:c>
      <x:c r="M347" s="29" t="str">
        <x:v>55.46</x:v>
      </x:c>
      <x:c r="N347" s="29" t="str">
        <x:v>42.94</x:v>
      </x:c>
      <x:c r="O347" s="29" t="str">
        <x:v>12.52</x:v>
      </x:c>
      <x:c r="P347" s="18" t="str">
        <x:v>2026-08-09</x:v>
      </x:c>
      <x:c r="Q347" s="36" t="n">
        <x:v>46243</x:v>
      </x:c>
    </x:row>
    <x:row r="348">
      <x:c r="A348" s="36" t="str">
        <x:v>2026-08-09</x:v>
      </x:c>
      <x:c r="B348" s="18" t="str">
        <x:v>101437000_95091</x:v>
      </x:c>
      <x:c r="C348" s="18" t="str">
        <x:v>【沪村小电】金悦学府2号站</x:v>
      </x:c>
      <x:c r="D348" s="37" t="str">
        <x:v>2</x:v>
      </x:c>
      <x:c r="E348" s="37" t="str">
        <x:v>0</x:v>
      </x:c>
      <x:c r="F348" s="37" t="str">
        <x:v>18</x:v>
      </x:c>
      <x:c r="G348" s="37" t="str">
        <x:v>466.70</x:v>
      </x:c>
      <x:c r="H348" s="37" t="str">
        <x:v>0.00</x:v>
      </x:c>
      <x:c r="I348" s="37" t="str">
        <x:v>0.00</x:v>
      </x:c>
      <x:c r="J348" s="37" t="str">
        <x:v>466.70</x:v>
      </x:c>
      <x:c r="K348" s="37" t="str">
        <x:v>0.00</x:v>
      </x:c>
      <x:c r="L348" s="37" t="str">
        <x:v>713</x:v>
      </x:c>
      <x:c r="M348" s="29" t="str">
        <x:v>368.72</x:v>
      </x:c>
      <x:c r="N348" s="29" t="str">
        <x:v>261.37</x:v>
      </x:c>
      <x:c r="O348" s="29" t="str">
        <x:v>107.35</x:v>
      </x:c>
      <x:c r="P348" s="18" t="str">
        <x:v>2026-08-09</x:v>
      </x:c>
      <x:c r="Q348" s="36" t="n">
        <x:v>46243</x:v>
      </x:c>
    </x:row>
    <x:row r="349">
      <x:c r="A349" s="36" t="str">
        <x:v>2026-08-09</x:v>
      </x:c>
      <x:c r="B349" s="18" t="str">
        <x:v>101437000_95941</x:v>
      </x:c>
      <x:c r="C349" s="18" t="str">
        <x:v>【沪村小电】惠诚雅苑</x:v>
      </x:c>
      <x:c r="D349" s="37" t="str">
        <x:v>4</x:v>
      </x:c>
      <x:c r="E349" s="37" t="str">
        <x:v>0</x:v>
      </x:c>
      <x:c r="F349" s="37" t="str">
        <x:v>41</x:v>
      </x:c>
      <x:c r="G349" s="37" t="str">
        <x:v>1155.10</x:v>
      </x:c>
      <x:c r="H349" s="37" t="str">
        <x:v>0.00</x:v>
      </x:c>
      <x:c r="I349" s="37" t="str">
        <x:v>495.57</x:v>
      </x:c>
      <x:c r="J349" s="37" t="str">
        <x:v>0.00</x:v>
      </x:c>
      <x:c r="K349" s="37" t="str">
        <x:v>659.53</x:v>
      </x:c>
      <x:c r="L349" s="37" t="str">
        <x:v>1897</x:v>
      </x:c>
      <x:c r="M349" s="29" t="str">
        <x:v>743.27</x:v>
      </x:c>
      <x:c r="N349" s="29" t="str">
        <x:v>496.81</x:v>
      </x:c>
      <x:c r="O349" s="29" t="str">
        <x:v>246.46</x:v>
      </x:c>
      <x:c r="P349" s="18" t="str">
        <x:v>2026-08-09</x:v>
      </x:c>
      <x:c r="Q349" s="36" t="n">
        <x:v>46243</x:v>
      </x:c>
    </x:row>
    <x:row r="350">
      <x:c r="A350" s="36" t="str">
        <x:v>2026-08-09</x:v>
      </x:c>
      <x:c r="B350" s="18" t="str">
        <x:v>101437000_96401</x:v>
      </x:c>
      <x:c r="C350" s="18" t="str">
        <x:v>【沪村小电】上海联怡枇杷乐园地面站</x:v>
      </x:c>
      <x:c r="D350" s="37" t="str">
        <x:v>2</x:v>
      </x:c>
      <x:c r="E350" s="37" t="str">
        <x:v>0</x:v>
      </x:c>
      <x:c r="F350" s="37" t="str">
        <x:v>7</x:v>
      </x:c>
      <x:c r="G350" s="37" t="str">
        <x:v>158.01</x:v>
      </x:c>
      <x:c r="H350" s="37" t="str">
        <x:v>0.00</x:v>
      </x:c>
      <x:c r="I350" s="37" t="str">
        <x:v>87.44</x:v>
      </x:c>
      <x:c r="J350" s="37" t="str">
        <x:v>0.00</x:v>
      </x:c>
      <x:c r="K350" s="37" t="str">
        <x:v>70.57</x:v>
      </x:c>
      <x:c r="L350" s="37" t="str">
        <x:v>255</x:v>
      </x:c>
      <x:c r="M350" s="29" t="str">
        <x:v>154.27</x:v>
      </x:c>
      <x:c r="N350" s="29" t="str">
        <x:v>129.21</x:v>
      </x:c>
      <x:c r="O350" s="29" t="str">
        <x:v>25.06</x:v>
      </x:c>
      <x:c r="P350" s="18" t="str">
        <x:v>2026-08-09</x:v>
      </x:c>
      <x:c r="Q350" s="36" t="n">
        <x:v>46243</x:v>
      </x:c>
    </x:row>
    <x:row r="351">
      <x:c r="A351" s="36" t="str">
        <x:v>2026-08-09</x:v>
      </x:c>
      <x:c r="B351" s="18" t="str">
        <x:v>101437000_97421</x:v>
      </x:c>
      <x:c r="C351" s="18" t="str">
        <x:v>【沪村小电】玉兰清苑二期（小区外）充电站</x:v>
      </x:c>
      <x:c r="D351" s="37" t="str">
        <x:v>4</x:v>
      </x:c>
      <x:c r="E351" s="37" t="str">
        <x:v>0</x:v>
      </x:c>
      <x:c r="F351" s="37" t="str">
        <x:v>40</x:v>
      </x:c>
      <x:c r="G351" s="37" t="str">
        <x:v>820.16</x:v>
      </x:c>
      <x:c r="H351" s="37" t="str">
        <x:v>0.00</x:v>
      </x:c>
      <x:c r="I351" s="37" t="str">
        <x:v>594.27</x:v>
      </x:c>
      <x:c r="J351" s="37" t="str">
        <x:v>0.00</x:v>
      </x:c>
      <x:c r="K351" s="37" t="str">
        <x:v>225.89</x:v>
      </x:c>
      <x:c r="L351" s="37" t="str">
        <x:v>1677</x:v>
      </x:c>
      <x:c r="M351" s="29" t="str">
        <x:v>716.03</x:v>
      </x:c>
      <x:c r="N351" s="29" t="str">
        <x:v>505.51</x:v>
      </x:c>
      <x:c r="O351" s="29" t="str">
        <x:v>210.52</x:v>
      </x:c>
      <x:c r="P351" s="18" t="str">
        <x:v>2026-08-09</x:v>
      </x:c>
      <x:c r="Q351" s="36" t="n">
        <x:v>46243</x:v>
      </x:c>
    </x:row>
    <x:row r="352">
      <x:c r="A352" s="36" t="str">
        <x:v>2026-08-09</x:v>
      </x:c>
      <x:c r="B352" s="18" t="str">
        <x:v>101437000_98013</x:v>
      </x:c>
      <x:c r="C352" s="18" t="str">
        <x:v>【沪村小电】恒大滨江华府充电站</x:v>
      </x:c>
      <x:c r="D352" s="37" t="str">
        <x:v>4</x:v>
      </x:c>
      <x:c r="E352" s="37" t="str">
        <x:v>0</x:v>
      </x:c>
      <x:c r="F352" s="37" t="str">
        <x:v>20</x:v>
      </x:c>
      <x:c r="G352" s="37" t="str">
        <x:v>577.05</x:v>
      </x:c>
      <x:c r="H352" s="37" t="str">
        <x:v>0.00</x:v>
      </x:c>
      <x:c r="I352" s="37" t="str">
        <x:v>423.78</x:v>
      </x:c>
      <x:c r="J352" s="37" t="str">
        <x:v>0.00</x:v>
      </x:c>
      <x:c r="K352" s="37" t="str">
        <x:v>153.27</x:v>
      </x:c>
      <x:c r="L352" s="37" t="str">
        <x:v>785</x:v>
      </x:c>
      <x:c r="M352" s="29" t="str">
        <x:v>596.80</x:v>
      </x:c>
      <x:c r="N352" s="29" t="str">
        <x:v>451.90</x:v>
      </x:c>
      <x:c r="O352" s="29" t="str">
        <x:v>144.90</x:v>
      </x:c>
      <x:c r="P352" s="18" t="str">
        <x:v>2026-08-09</x:v>
      </x:c>
      <x:c r="Q352" s="36" t="n">
        <x:v>46243</x:v>
      </x:c>
    </x:row>
    <x:row r="353">
      <x:c r="A353" s="36" t="str">
        <x:v>2026-08-09</x:v>
      </x:c>
      <x:c r="B353" s="18" t="str">
        <x:v>101437000_98863</x:v>
      </x:c>
      <x:c r="C353" s="18" t="str">
        <x:v>【沪村小电】欣菊苑充电站</x:v>
      </x:c>
      <x:c r="D353" s="37" t="str">
        <x:v>4</x:v>
      </x:c>
      <x:c r="E353" s="37" t="str">
        <x:v>0</x:v>
      </x:c>
      <x:c r="F353" s="37" t="str">
        <x:v>10</x:v>
      </x:c>
      <x:c r="G353" s="37" t="str">
        <x:v>198.52</x:v>
      </x:c>
      <x:c r="H353" s="37" t="str">
        <x:v>0.00</x:v>
      </x:c>
      <x:c r="I353" s="37" t="str">
        <x:v>162.59</x:v>
      </x:c>
      <x:c r="J353" s="37" t="str">
        <x:v>0.00</x:v>
      </x:c>
      <x:c r="K353" s="37" t="str">
        <x:v>35.93</x:v>
      </x:c>
      <x:c r="L353" s="37" t="str">
        <x:v>341</x:v>
      </x:c>
      <x:c r="M353" s="29" t="str">
        <x:v>185.98</x:v>
      </x:c>
      <x:c r="N353" s="29" t="str">
        <x:v>128.74</x:v>
      </x:c>
      <x:c r="O353" s="29" t="str">
        <x:v>57.24</x:v>
      </x:c>
      <x:c r="P353" s="18" t="str">
        <x:v>2026-08-09</x:v>
      </x:c>
      <x:c r="Q353" s="36" t="n">
        <x:v>46243</x:v>
      </x:c>
    </x:row>
    <x:row r="354">
      <x:c r="A354" s="36" t="str">
        <x:v>2026-08-09</x:v>
      </x:c>
      <x:c r="B354" s="18" t="str">
        <x:v>101437000_98865</x:v>
      </x:c>
      <x:c r="C354" s="18" t="str">
        <x:v>【沪村小电】欣松苑充电站</x:v>
      </x:c>
      <x:c r="D354" s="37" t="str">
        <x:v>4</x:v>
      </x:c>
      <x:c r="E354" s="37" t="str">
        <x:v>0</x:v>
      </x:c>
      <x:c r="F354" s="37" t="str">
        <x:v>21</x:v>
      </x:c>
      <x:c r="G354" s="37" t="str">
        <x:v>550.21</x:v>
      </x:c>
      <x:c r="H354" s="37" t="str">
        <x:v>0.00</x:v>
      </x:c>
      <x:c r="I354" s="37" t="str">
        <x:v>497.18</x:v>
      </x:c>
      <x:c r="J354" s="37" t="str">
        <x:v>0.00</x:v>
      </x:c>
      <x:c r="K354" s="37" t="str">
        <x:v>53.03</x:v>
      </x:c>
      <x:c r="L354" s="37" t="str">
        <x:v>799</x:v>
      </x:c>
      <x:c r="M354" s="29" t="str">
        <x:v>524.81</x:v>
      </x:c>
      <x:c r="N354" s="29" t="str">
        <x:v>372.61</x:v>
      </x:c>
      <x:c r="O354" s="29" t="str">
        <x:v>152.20</x:v>
      </x:c>
      <x:c r="P354" s="18" t="str">
        <x:v>2026-08-09</x:v>
      </x:c>
      <x:c r="Q354" s="36" t="n">
        <x:v>46243</x:v>
      </x:c>
    </x:row>
    <x:row r="355">
      <x:c r="A355" s="36" t="str">
        <x:v>2026-08-09</x:v>
      </x:c>
      <x:c r="B355" s="18" t="str">
        <x:v>101437000_98867</x:v>
      </x:c>
      <x:c r="C355" s="18" t="str">
        <x:v>【沪村小电】欣荷苑充电站</x:v>
      </x:c>
      <x:c r="D355" s="37" t="str">
        <x:v>4</x:v>
      </x:c>
      <x:c r="E355" s="37" t="str">
        <x:v>0</x:v>
      </x:c>
      <x:c r="F355" s="37" t="str">
        <x:v>8</x:v>
      </x:c>
      <x:c r="G355" s="37" t="str">
        <x:v>215.28</x:v>
      </x:c>
      <x:c r="H355" s="37" t="str">
        <x:v>0.00</x:v>
      </x:c>
      <x:c r="I355" s="37" t="str">
        <x:v>190.27</x:v>
      </x:c>
      <x:c r="J355" s="37" t="str">
        <x:v>0.00</x:v>
      </x:c>
      <x:c r="K355" s="37" t="str">
        <x:v>25.01</x:v>
      </x:c>
      <x:c r="L355" s="37" t="str">
        <x:v>304</x:v>
      </x:c>
      <x:c r="M355" s="29" t="str">
        <x:v>200.31</x:v>
      </x:c>
      <x:c r="N355" s="29" t="str">
        <x:v>144.35</x:v>
      </x:c>
      <x:c r="O355" s="29" t="str">
        <x:v>55.96</x:v>
      </x:c>
      <x:c r="P355" s="18" t="str">
        <x:v>2026-08-09</x:v>
      </x:c>
      <x:c r="Q355" s="36" t="n">
        <x:v>46243</x:v>
      </x:c>
    </x:row>
    <x:row r="356">
      <x:c r="A356" s="36" t="str">
        <x:v>2026-08-09</x:v>
      </x:c>
      <x:c r="B356" s="18" t="str">
        <x:v>101437000_99885</x:v>
      </x:c>
      <x:c r="C356" s="18" t="str">
        <x:v>【沪村小电】汇丰馨苑充电站</x:v>
      </x:c>
      <x:c r="D356" s="37" t="str">
        <x:v>4</x:v>
      </x:c>
      <x:c r="E356" s="37" t="str">
        <x:v>0</x:v>
      </x:c>
      <x:c r="F356" s="37" t="str">
        <x:v>2</x:v>
      </x:c>
      <x:c r="G356" s="37" t="str">
        <x:v>77.04</x:v>
      </x:c>
      <x:c r="H356" s="37" t="str">
        <x:v>0.00</x:v>
      </x:c>
      <x:c r="I356" s="37" t="str">
        <x:v>77.04</x:v>
      </x:c>
      <x:c r="J356" s="37" t="str">
        <x:v>0.00</x:v>
      </x:c>
      <x:c r="K356" s="37" t="str">
        <x:v>0.00</x:v>
      </x:c>
      <x:c r="L356" s="37" t="str">
        <x:v>118</x:v>
      </x:c>
      <x:c r="M356" s="29" t="str">
        <x:v>66.35</x:v>
      </x:c>
      <x:c r="N356" s="29" t="str">
        <x:v>54.69</x:v>
      </x:c>
      <x:c r="O356" s="29" t="str">
        <x:v>11.66</x:v>
      </x:c>
      <x:c r="P356" s="18" t="str">
        <x:v>2026-08-09</x:v>
      </x:c>
      <x:c r="Q356" s="36" t="n">
        <x:v>46243</x:v>
      </x:c>
    </x:row>
    <x:row r="357">
      <x:c r="A357" s="36" t="str">
        <x:v>2026-08-09</x:v>
      </x:c>
      <x:c r="B357" s="18" t="str">
        <x:v>101437000_99887</x:v>
      </x:c>
      <x:c r="C357" s="18" t="str">
        <x:v>【沪村小电】新南村河南小区充电站</x:v>
      </x:c>
      <x:c r="D357" s="37" t="str">
        <x:v>2</x:v>
      </x:c>
      <x:c r="E357" s="37" t="str">
        <x:v>0</x:v>
      </x:c>
      <x:c r="F357" s="37" t="str">
        <x:v>10</x:v>
      </x:c>
      <x:c r="G357" s="37" t="str">
        <x:v>207.97</x:v>
      </x:c>
      <x:c r="H357" s="37" t="str">
        <x:v>0.00</x:v>
      </x:c>
      <x:c r="I357" s="37" t="str">
        <x:v>67.09</x:v>
      </x:c>
      <x:c r="J357" s="37" t="str">
        <x:v>0.00</x:v>
      </x:c>
      <x:c r="K357" s="37" t="str">
        <x:v>140.87</x:v>
      </x:c>
      <x:c r="L357" s="37" t="str">
        <x:v>534</x:v>
      </x:c>
      <x:c r="M357" s="29" t="str">
        <x:v>130.39</x:v>
      </x:c>
      <x:c r="N357" s="29" t="str">
        <x:v>99.75</x:v>
      </x:c>
      <x:c r="O357" s="29" t="str">
        <x:v>30.64</x:v>
      </x:c>
      <x:c r="P357" s="18" t="str">
        <x:v>2026-08-09</x:v>
      </x:c>
      <x:c r="Q357" s="36" t="n">
        <x:v>46243</x:v>
      </x:c>
    </x:row>
    <x:row r="358">
      <x:c r="A358" s="36" t="str">
        <x:v>2026-08-09</x:v>
      </x:c>
      <x:c r="B358" s="18" t="str">
        <x:v>101437000_99889</x:v>
      </x:c>
      <x:c r="C358" s="18" t="str">
        <x:v>【沪村小电】漕泾郊野公园</x:v>
      </x:c>
      <x:c r="D358" s="37" t="str">
        <x:v>2</x:v>
      </x:c>
      <x:c r="E358" s="37" t="str">
        <x:v>0</x:v>
      </x:c>
      <x:c r="F358" s="37" t="str">
        <x:v>7</x:v>
      </x:c>
      <x:c r="G358" s="37" t="str">
        <x:v>170.31</x:v>
      </x:c>
      <x:c r="H358" s="37" t="str">
        <x:v>0.00</x:v>
      </x:c>
      <x:c r="I358" s="37" t="str">
        <x:v>111.11</x:v>
      </x:c>
      <x:c r="J358" s="37" t="str">
        <x:v>0.00</x:v>
      </x:c>
      <x:c r="K358" s="37" t="str">
        <x:v>59.20</x:v>
      </x:c>
      <x:c r="L358" s="37" t="str">
        <x:v>253</x:v>
      </x:c>
      <x:c r="M358" s="29" t="str">
        <x:v>165.64</x:v>
      </x:c>
      <x:c r="N358" s="29" t="str">
        <x:v>119.96</x:v>
      </x:c>
      <x:c r="O358" s="29" t="str">
        <x:v>45.68</x:v>
      </x:c>
      <x:c r="P358" s="18" t="str">
        <x:v>2026-08-09</x:v>
      </x:c>
      <x:c r="Q358" s="36" t="n">
        <x:v>46243</x:v>
      </x:c>
    </x:row>
    <x:row r="359">
      <x:c r="A359" s="36" t="str">
        <x:v>2026-08-09</x:v>
      </x:c>
      <x:c r="B359" s="18" t="str">
        <x:v>101437000_99891</x:v>
      </x:c>
      <x:c r="C359" s="18" t="str">
        <x:v>【沪村小电】水韵紫城充电站</x:v>
      </x:c>
      <x:c r="D359" s="37" t="str">
        <x:v>4</x:v>
      </x:c>
      <x:c r="E359" s="37" t="str">
        <x:v>0</x:v>
      </x:c>
      <x:c r="F359" s="37" t="str">
        <x:v>18</x:v>
      </x:c>
      <x:c r="G359" s="37" t="str">
        <x:v>440.39</x:v>
      </x:c>
      <x:c r="H359" s="37" t="str">
        <x:v>0.00</x:v>
      </x:c>
      <x:c r="I359" s="37" t="str">
        <x:v>409.76</x:v>
      </x:c>
      <x:c r="J359" s="37" t="str">
        <x:v>0.00</x:v>
      </x:c>
      <x:c r="K359" s="37" t="str">
        <x:v>30.64</x:v>
      </x:c>
      <x:c r="L359" s="37" t="str">
        <x:v>811</x:v>
      </x:c>
      <x:c r="M359" s="29" t="str">
        <x:v>443.89</x:v>
      </x:c>
      <x:c r="N359" s="29" t="str">
        <x:v>302.23</x:v>
      </x:c>
      <x:c r="O359" s="29" t="str">
        <x:v>141.66</x:v>
      </x:c>
      <x:c r="P359" s="18" t="str">
        <x:v>2026-08-09</x:v>
      </x:c>
      <x:c r="Q359" s="36" t="n">
        <x:v>46243</x:v>
      </x:c>
    </x:row>
    <x:row r="360">
      <x:c r="A360" s="36" t="str">
        <x:v>2026-08-08</x:v>
      </x:c>
      <x:c r="B360" s="18" t="str">
        <x:v>101437000_100523</x:v>
      </x:c>
      <x:c r="C360" s="18" t="str">
        <x:v>【沪村小电】民旺苑南区</x:v>
      </x:c>
      <x:c r="D360" s="37" t="str">
        <x:v>4</x:v>
      </x:c>
      <x:c r="E360" s="37" t="str">
        <x:v>0</x:v>
      </x:c>
      <x:c r="F360" s="37" t="str">
        <x:v>13</x:v>
      </x:c>
      <x:c r="G360" s="37" t="str">
        <x:v>337.64</x:v>
      </x:c>
      <x:c r="H360" s="37" t="str">
        <x:v>0.00</x:v>
      </x:c>
      <x:c r="I360" s="37" t="str">
        <x:v>217.37</x:v>
      </x:c>
      <x:c r="J360" s="37" t="str">
        <x:v>0.00</x:v>
      </x:c>
      <x:c r="K360" s="37" t="str">
        <x:v>120.27</x:v>
      </x:c>
      <x:c r="L360" s="37" t="str">
        <x:v>475</x:v>
      </x:c>
      <x:c r="M360" s="29" t="str">
        <x:v>326.85</x:v>
      </x:c>
      <x:c r="N360" s="29" t="str">
        <x:v>210.85</x:v>
      </x:c>
      <x:c r="O360" s="29" t="str">
        <x:v>116.00</x:v>
      </x:c>
      <x:c r="P360" s="18" t="str">
        <x:v>2026-08-08</x:v>
      </x:c>
      <x:c r="Q360" s="36" t="n">
        <x:v>46242</x:v>
      </x:c>
    </x:row>
    <x:row r="361">
      <x:c r="A361" s="36" t="str">
        <x:v>2026-08-08</x:v>
      </x:c>
      <x:c r="B361" s="18" t="str">
        <x:v>101437000_101531</x:v>
      </x:c>
      <x:c r="C361" s="18" t="str">
        <x:v>【沪村小电】汇中苑充电站</x:v>
      </x:c>
      <x:c r="D361" s="37" t="str">
        <x:v>2</x:v>
      </x:c>
      <x:c r="E361" s="37" t="str">
        <x:v>0</x:v>
      </x:c>
      <x:c r="F361" s="37" t="str">
        <x:v>12</x:v>
      </x:c>
      <x:c r="G361" s="37" t="str">
        <x:v>301.63</x:v>
      </x:c>
      <x:c r="H361" s="37" t="str">
        <x:v>0.00</x:v>
      </x:c>
      <x:c r="I361" s="37" t="str">
        <x:v>57.48</x:v>
      </x:c>
      <x:c r="J361" s="37" t="str">
        <x:v>155.61</x:v>
      </x:c>
      <x:c r="K361" s="37" t="str">
        <x:v>88.54</x:v>
      </x:c>
      <x:c r="L361" s="37" t="str">
        <x:v>505</x:v>
      </x:c>
      <x:c r="M361" s="29" t="str">
        <x:v>340.68</x:v>
      </x:c>
      <x:c r="N361" s="29" t="str">
        <x:v>205.85</x:v>
      </x:c>
      <x:c r="O361" s="29" t="str">
        <x:v>134.83</x:v>
      </x:c>
      <x:c r="P361" s="18" t="str">
        <x:v>2026-08-08</x:v>
      </x:c>
      <x:c r="Q361" s="36" t="n">
        <x:v>46242</x:v>
      </x:c>
    </x:row>
    <x:row r="362">
      <x:c r="A362" s="36" t="str">
        <x:v>2026-08-08</x:v>
      </x:c>
      <x:c r="B362" s="18" t="str">
        <x:v>101437000_102047</x:v>
      </x:c>
      <x:c r="C362" s="18" t="str">
        <x:v>【沪村小电】后浜小区9弄小区南面停车场充电站</x:v>
      </x:c>
      <x:c r="D362" s="37" t="str">
        <x:v>8</x:v>
      </x:c>
      <x:c r="E362" s="37" t="str">
        <x:v>0</x:v>
      </x:c>
      <x:c r="F362" s="37" t="str">
        <x:v>49</x:v>
      </x:c>
      <x:c r="G362" s="37" t="str">
        <x:v>1175.59</x:v>
      </x:c>
      <x:c r="H362" s="37" t="str">
        <x:v>0.00</x:v>
      </x:c>
      <x:c r="I362" s="37" t="str">
        <x:v>842.38</x:v>
      </x:c>
      <x:c r="J362" s="37" t="str">
        <x:v>0.00</x:v>
      </x:c>
      <x:c r="K362" s="37" t="str">
        <x:v>333.21</x:v>
      </x:c>
      <x:c r="L362" s="37" t="str">
        <x:v>1632</x:v>
      </x:c>
      <x:c r="M362" s="29" t="str">
        <x:v>1251.90</x:v>
      </x:c>
      <x:c r="N362" s="29" t="str">
        <x:v>754.72</x:v>
      </x:c>
      <x:c r="O362" s="29" t="str">
        <x:v>497.18</x:v>
      </x:c>
      <x:c r="P362" s="18" t="str">
        <x:v>2026-08-08</x:v>
      </x:c>
      <x:c r="Q362" s="36" t="n">
        <x:v>46242</x:v>
      </x:c>
    </x:row>
    <x:row r="363">
      <x:c r="A363" s="36" t="str">
        <x:v>2026-08-08</x:v>
      </x:c>
      <x:c r="B363" s="18" t="str">
        <x:v>101437000_103503</x:v>
      </x:c>
      <x:c r="C363" s="18" t="str">
        <x:v>【沪村小电】阳光城新界充电站</x:v>
      </x:c>
      <x:c r="D363" s="37" t="str">
        <x:v>4</x:v>
      </x:c>
      <x:c r="E363" s="37" t="str">
        <x:v>0</x:v>
      </x:c>
      <x:c r="F363" s="37" t="str">
        <x:v>35</x:v>
      </x:c>
      <x:c r="G363" s="37" t="str">
        <x:v>860.50</x:v>
      </x:c>
      <x:c r="H363" s="37" t="str">
        <x:v>0.00</x:v>
      </x:c>
      <x:c r="I363" s="37" t="str">
        <x:v>535.20</x:v>
      </x:c>
      <x:c r="J363" s="37" t="str">
        <x:v>0.00</x:v>
      </x:c>
      <x:c r="K363" s="37" t="str">
        <x:v>325.30</x:v>
      </x:c>
      <x:c r="L363" s="37" t="str">
        <x:v>1356</x:v>
      </x:c>
      <x:c r="M363" s="29" t="str">
        <x:v>824.94</x:v>
      </x:c>
      <x:c r="N363" s="29" t="str">
        <x:v>547.58</x:v>
      </x:c>
      <x:c r="O363" s="29" t="str">
        <x:v>277.36</x:v>
      </x:c>
      <x:c r="P363" s="18" t="str">
        <x:v>2026-08-08</x:v>
      </x:c>
      <x:c r="Q363" s="36" t="n">
        <x:v>46242</x:v>
      </x:c>
    </x:row>
    <x:row r="364">
      <x:c r="A364" s="36" t="str">
        <x:v>2026-08-08</x:v>
      </x:c>
      <x:c r="B364" s="18" t="str">
        <x:v>101437000_41561</x:v>
      </x:c>
      <x:c r="C364" s="18" t="str">
        <x:v>【沪村小电】张施小区大门处快充站</x:v>
      </x:c>
      <x:c r="D364" s="37" t="str">
        <x:v>2</x:v>
      </x:c>
      <x:c r="E364" s="37" t="str">
        <x:v>0</x:v>
      </x:c>
      <x:c r="F364" s="37" t="str">
        <x:v>46</x:v>
      </x:c>
      <x:c r="G364" s="37" t="str">
        <x:v>1251.89</x:v>
      </x:c>
      <x:c r="H364" s="37" t="str">
        <x:v>0.00</x:v>
      </x:c>
      <x:c r="I364" s="37" t="str">
        <x:v>513.51</x:v>
      </x:c>
      <x:c r="J364" s="37" t="str">
        <x:v>0.00</x:v>
      </x:c>
      <x:c r="K364" s="37" t="str">
        <x:v>738.38</x:v>
      </x:c>
      <x:c r="L364" s="37" t="str">
        <x:v>2227</x:v>
      </x:c>
      <x:c r="M364" s="29" t="str">
        <x:v>1005.03</x:v>
      </x:c>
      <x:c r="N364" s="29" t="str">
        <x:v>637.81</x:v>
      </x:c>
      <x:c r="O364" s="29" t="str">
        <x:v>367.22</x:v>
      </x:c>
      <x:c r="P364" s="18" t="str">
        <x:v>2026-08-08</x:v>
      </x:c>
      <x:c r="Q364" s="36" t="n">
        <x:v>46242</x:v>
      </x:c>
    </x:row>
    <x:row r="365">
      <x:c r="A365" s="36" t="str">
        <x:v>2026-08-08</x:v>
      </x:c>
      <x:c r="B365" s="18" t="str">
        <x:v>101437000_41563</x:v>
      </x:c>
      <x:c r="C365" s="18" t="str">
        <x:v>【沪村小电】同心村快充站</x:v>
      </x:c>
      <x:c r="D365" s="37" t="str">
        <x:v>4</x:v>
      </x:c>
      <x:c r="E365" s="37" t="str">
        <x:v>0</x:v>
      </x:c>
      <x:c r="F365" s="37" t="str">
        <x:v>28</x:v>
      </x:c>
      <x:c r="G365" s="37" t="str">
        <x:v>646.66</x:v>
      </x:c>
      <x:c r="H365" s="37" t="str">
        <x:v>0.00</x:v>
      </x:c>
      <x:c r="I365" s="37" t="str">
        <x:v>436.51</x:v>
      </x:c>
      <x:c r="J365" s="37" t="str">
        <x:v>0.00</x:v>
      </x:c>
      <x:c r="K365" s="37" t="str">
        <x:v>210.15</x:v>
      </x:c>
      <x:c r="L365" s="37" t="str">
        <x:v>1163</x:v>
      </x:c>
      <x:c r="M365" s="29" t="str">
        <x:v>652.58</x:v>
      </x:c>
      <x:c r="N365" s="29" t="str">
        <x:v>387.68</x:v>
      </x:c>
      <x:c r="O365" s="29" t="str">
        <x:v>264.90</x:v>
      </x:c>
      <x:c r="P365" s="18" t="str">
        <x:v>2026-08-08</x:v>
      </x:c>
      <x:c r="Q365" s="36" t="n">
        <x:v>46242</x:v>
      </x:c>
    </x:row>
    <x:row r="366">
      <x:c r="A366" s="36" t="str">
        <x:v>2026-08-08</x:v>
      </x:c>
      <x:c r="B366" s="18" t="str">
        <x:v>101437000_69629</x:v>
      </x:c>
      <x:c r="C366" s="18" t="str">
        <x:v>【沪村小电】骏丰玲珑坊西苑充电站</x:v>
      </x:c>
      <x:c r="D366" s="37" t="str">
        <x:v>2</x:v>
      </x:c>
      <x:c r="E366" s="37" t="str">
        <x:v>0</x:v>
      </x:c>
      <x:c r="F366" s="37" t="str">
        <x:v>66</x:v>
      </x:c>
      <x:c r="G366" s="37" t="str">
        <x:v>1778.22</x:v>
      </x:c>
      <x:c r="H366" s="37" t="str">
        <x:v>0.00</x:v>
      </x:c>
      <x:c r="I366" s="37" t="str">
        <x:v>951.59</x:v>
      </x:c>
      <x:c r="J366" s="37" t="str">
        <x:v>0.00</x:v>
      </x:c>
      <x:c r="K366" s="37" t="str">
        <x:v>826.63</x:v>
      </x:c>
      <x:c r="L366" s="37" t="str">
        <x:v>3060</x:v>
      </x:c>
      <x:c r="M366" s="29" t="str">
        <x:v>1398.86</x:v>
      </x:c>
      <x:c r="N366" s="29" t="str">
        <x:v>981.49</x:v>
      </x:c>
      <x:c r="O366" s="29" t="str">
        <x:v>417.37</x:v>
      </x:c>
      <x:c r="P366" s="18" t="str">
        <x:v>2026-08-08</x:v>
      </x:c>
      <x:c r="Q366" s="36" t="n">
        <x:v>46242</x:v>
      </x:c>
    </x:row>
    <x:row r="367">
      <x:c r="A367" s="36" t="str">
        <x:v>2026-08-08</x:v>
      </x:c>
      <x:c r="B367" s="18" t="str">
        <x:v>101437000_70547</x:v>
      </x:c>
      <x:c r="C367" s="18" t="str">
        <x:v>【沪村小电】农建村初心馆党群服务中心充电站</x:v>
      </x:c>
      <x:c r="D367" s="37" t="str">
        <x:v>4</x:v>
      </x:c>
      <x:c r="E367" s="37" t="str">
        <x:v>0</x:v>
      </x:c>
      <x:c r="F367" s="37" t="str">
        <x:v>31</x:v>
      </x:c>
      <x:c r="G367" s="37" t="str">
        <x:v>597.94</x:v>
      </x:c>
      <x:c r="H367" s="37" t="str">
        <x:v>0.00</x:v>
      </x:c>
      <x:c r="I367" s="37" t="str">
        <x:v>401.73</x:v>
      </x:c>
      <x:c r="J367" s="37" t="str">
        <x:v>0.00</x:v>
      </x:c>
      <x:c r="K367" s="37" t="str">
        <x:v>196.21</x:v>
      </x:c>
      <x:c r="L367" s="37" t="str">
        <x:v>1023</x:v>
      </x:c>
      <x:c r="M367" s="29" t="str">
        <x:v>641.98</x:v>
      </x:c>
      <x:c r="N367" s="29" t="str">
        <x:v>497.79</x:v>
      </x:c>
      <x:c r="O367" s="29" t="str">
        <x:v>144.19</x:v>
      </x:c>
      <x:c r="P367" s="18" t="str">
        <x:v>2026-08-08</x:v>
      </x:c>
      <x:c r="Q367" s="36" t="n">
        <x:v>46242</x:v>
      </x:c>
    </x:row>
    <x:row r="368">
      <x:c r="A368" s="36" t="str">
        <x:v>2026-08-08</x:v>
      </x:c>
      <x:c r="B368" s="18" t="str">
        <x:v>101437000_70549</x:v>
      </x:c>
      <x:c r="C368" s="18" t="str">
        <x:v>【沪村小电】学府路充电站</x:v>
      </x:c>
      <x:c r="D368" s="37" t="str">
        <x:v>2</x:v>
      </x:c>
      <x:c r="E368" s="37" t="str">
        <x:v>0</x:v>
      </x:c>
      <x:c r="F368" s="37" t="str">
        <x:v>9</x:v>
      </x:c>
      <x:c r="G368" s="37" t="str">
        <x:v>146.12</x:v>
      </x:c>
      <x:c r="H368" s="37" t="str">
        <x:v>0.00</x:v>
      </x:c>
      <x:c r="I368" s="37" t="str">
        <x:v>53.96</x:v>
      </x:c>
      <x:c r="J368" s="37" t="str">
        <x:v>0.00</x:v>
      </x:c>
      <x:c r="K368" s="37" t="str">
        <x:v>92.17</x:v>
      </x:c>
      <x:c r="L368" s="37" t="str">
        <x:v>365</x:v>
      </x:c>
      <x:c r="M368" s="29" t="str">
        <x:v>126.87</x:v>
      </x:c>
      <x:c r="N368" s="29" t="str">
        <x:v>100.43</x:v>
      </x:c>
      <x:c r="O368" s="29" t="str">
        <x:v>26.44</x:v>
      </x:c>
      <x:c r="P368" s="18" t="str">
        <x:v>2026-08-08</x:v>
      </x:c>
      <x:c r="Q368" s="36" t="n">
        <x:v>46242</x:v>
      </x:c>
    </x:row>
    <x:row r="369">
      <x:c r="A369" s="36" t="str">
        <x:v>2026-08-08</x:v>
      </x:c>
      <x:c r="B369" s="18" t="str">
        <x:v>101437000_71059</x:v>
      </x:c>
      <x:c r="C369" s="18" t="str">
        <x:v>【沪村小电】宝乐汇商业广场站</x:v>
      </x:c>
      <x:c r="D369" s="37" t="str">
        <x:v>4</x:v>
      </x:c>
      <x:c r="E369" s="37" t="str">
        <x:v>0</x:v>
      </x:c>
      <x:c r="F369" s="37" t="str">
        <x:v>18</x:v>
      </x:c>
      <x:c r="G369" s="37" t="str">
        <x:v>506.39</x:v>
      </x:c>
      <x:c r="H369" s="37" t="str">
        <x:v>0.00</x:v>
      </x:c>
      <x:c r="I369" s="37" t="str">
        <x:v>250.96</x:v>
      </x:c>
      <x:c r="J369" s="37" t="str">
        <x:v>0.00</x:v>
      </x:c>
      <x:c r="K369" s="37" t="str">
        <x:v>255.43</x:v>
      </x:c>
      <x:c r="L369" s="37" t="str">
        <x:v>760</x:v>
      </x:c>
      <x:c r="M369" s="29" t="str">
        <x:v>503.95</x:v>
      </x:c>
      <x:c r="N369" s="29" t="str">
        <x:v>343.35</x:v>
      </x:c>
      <x:c r="O369" s="29" t="str">
        <x:v>160.60</x:v>
      </x:c>
      <x:c r="P369" s="18" t="str">
        <x:v>2026-08-08</x:v>
      </x:c>
      <x:c r="Q369" s="36" t="n">
        <x:v>46242</x:v>
      </x:c>
    </x:row>
    <x:row r="370">
      <x:c r="A370" s="36" t="str">
        <x:v>2026-08-08</x:v>
      </x:c>
      <x:c r="B370" s="18" t="str">
        <x:v>101437000_72541</x:v>
      </x:c>
      <x:c r="C370" s="18" t="str">
        <x:v>【沪村小电】九干路1174弄充电站</x:v>
      </x:c>
      <x:c r="D370" s="37" t="str">
        <x:v>2</x:v>
      </x:c>
      <x:c r="E370" s="37" t="str">
        <x:v>0</x:v>
      </x:c>
      <x:c r="F370" s="37" t="str">
        <x:v>59</x:v>
      </x:c>
      <x:c r="G370" s="37" t="str">
        <x:v>1464.93</x:v>
      </x:c>
      <x:c r="H370" s="37" t="str">
        <x:v>0.00</x:v>
      </x:c>
      <x:c r="I370" s="37" t="str">
        <x:v>993.37</x:v>
      </x:c>
      <x:c r="J370" s="37" t="str">
        <x:v>0.00</x:v>
      </x:c>
      <x:c r="K370" s="37" t="str">
        <x:v>471.56</x:v>
      </x:c>
      <x:c r="L370" s="37" t="str">
        <x:v>2196</x:v>
      </x:c>
      <x:c r="M370" s="29" t="str">
        <x:v>1396.31</x:v>
      </x:c>
      <x:c r="N370" s="29" t="str">
        <x:v>879.75</x:v>
      </x:c>
      <x:c r="O370" s="29" t="str">
        <x:v>516.56</x:v>
      </x:c>
      <x:c r="P370" s="18" t="str">
        <x:v>2026-08-08</x:v>
      </x:c>
      <x:c r="Q370" s="36" t="n">
        <x:v>46242</x:v>
      </x:c>
    </x:row>
    <x:row r="371">
      <x:c r="A371" s="36" t="str">
        <x:v>2026-08-08</x:v>
      </x:c>
      <x:c r="B371" s="18" t="str">
        <x:v>101437000_72543</x:v>
      </x:c>
      <x:c r="C371" s="18" t="str">
        <x:v>【沪村小电】叶家中心村小区充电站</x:v>
      </x:c>
      <x:c r="D371" s="37" t="str">
        <x:v>2</x:v>
      </x:c>
      <x:c r="E371" s="37" t="str">
        <x:v>0</x:v>
      </x:c>
      <x:c r="F371" s="37" t="str">
        <x:v>46</x:v>
      </x:c>
      <x:c r="G371" s="37" t="str">
        <x:v>1103.86</x:v>
      </x:c>
      <x:c r="H371" s="37" t="str">
        <x:v>0.00</x:v>
      </x:c>
      <x:c r="I371" s="37" t="str">
        <x:v>521.92</x:v>
      </x:c>
      <x:c r="J371" s="37" t="str">
        <x:v>0.00</x:v>
      </x:c>
      <x:c r="K371" s="37" t="str">
        <x:v>581.94</x:v>
      </x:c>
      <x:c r="L371" s="37" t="str">
        <x:v>1936</x:v>
      </x:c>
      <x:c r="M371" s="29" t="str">
        <x:v>862.50</x:v>
      </x:c>
      <x:c r="N371" s="29" t="str">
        <x:v>585.84</x:v>
      </x:c>
      <x:c r="O371" s="29" t="str">
        <x:v>276.66</x:v>
      </x:c>
      <x:c r="P371" s="18" t="str">
        <x:v>2026-08-08</x:v>
      </x:c>
      <x:c r="Q371" s="36" t="n">
        <x:v>46242</x:v>
      </x:c>
    </x:row>
    <x:row r="372">
      <x:c r="A372" s="36" t="str">
        <x:v>2026-08-08</x:v>
      </x:c>
      <x:c r="B372" s="18" t="str">
        <x:v>101437000_72937</x:v>
      </x:c>
      <x:c r="C372" s="18" t="str">
        <x:v>【沪村小电】佘北家园茸腾苑充电站</x:v>
      </x:c>
      <x:c r="D372" s="37" t="str">
        <x:v>4</x:v>
      </x:c>
      <x:c r="E372" s="37" t="str">
        <x:v>0</x:v>
      </x:c>
      <x:c r="F372" s="37" t="str">
        <x:v>24</x:v>
      </x:c>
      <x:c r="G372" s="37" t="str">
        <x:v>499.31</x:v>
      </x:c>
      <x:c r="H372" s="37" t="str">
        <x:v>0.00</x:v>
      </x:c>
      <x:c r="I372" s="37" t="str">
        <x:v>499.31</x:v>
      </x:c>
      <x:c r="J372" s="37" t="str">
        <x:v>0.00</x:v>
      </x:c>
      <x:c r="K372" s="37" t="str">
        <x:v>0.00</x:v>
      </x:c>
      <x:c r="L372" s="37" t="str">
        <x:v>925</x:v>
      </x:c>
      <x:c r="M372" s="29" t="str">
        <x:v>506.36</x:v>
      </x:c>
      <x:c r="N372" s="29" t="str">
        <x:v>354.50</x:v>
      </x:c>
      <x:c r="O372" s="29" t="str">
        <x:v>151.86</x:v>
      </x:c>
      <x:c r="P372" s="18" t="str">
        <x:v>2026-08-08</x:v>
      </x:c>
      <x:c r="Q372" s="36" t="n">
        <x:v>46242</x:v>
      </x:c>
    </x:row>
    <x:row r="373">
      <x:c r="A373" s="36" t="str">
        <x:v>2026-08-08</x:v>
      </x:c>
      <x:c r="B373" s="18" t="str">
        <x:v>101437000_74223</x:v>
      </x:c>
      <x:c r="C373" s="18" t="str">
        <x:v>【沪村小电】中兴村委会充电站</x:v>
      </x:c>
      <x:c r="D373" s="37" t="str">
        <x:v>2</x:v>
      </x:c>
      <x:c r="E373" s="37" t="str">
        <x:v>0</x:v>
      </x:c>
      <x:c r="F373" s="37" t="str">
        <x:v>15</x:v>
      </x:c>
      <x:c r="G373" s="37" t="str">
        <x:v>280.04</x:v>
      </x:c>
      <x:c r="H373" s="37" t="str">
        <x:v>0.00</x:v>
      </x:c>
      <x:c r="I373" s="37" t="str">
        <x:v>141.45</x:v>
      </x:c>
      <x:c r="J373" s="37" t="str">
        <x:v>0.00</x:v>
      </x:c>
      <x:c r="K373" s="37" t="str">
        <x:v>138.59</x:v>
      </x:c>
      <x:c r="L373" s="37" t="str">
        <x:v>388</x:v>
      </x:c>
      <x:c r="M373" s="29" t="str">
        <x:v>269.24</x:v>
      </x:c>
      <x:c r="N373" s="29" t="str">
        <x:v>210.71</x:v>
      </x:c>
      <x:c r="O373" s="29" t="str">
        <x:v>58.53</x:v>
      </x:c>
      <x:c r="P373" s="18" t="str">
        <x:v>2026-08-08</x:v>
      </x:c>
      <x:c r="Q373" s="36" t="n">
        <x:v>46242</x:v>
      </x:c>
    </x:row>
    <x:row r="374">
      <x:c r="A374" s="36" t="str">
        <x:v>2026-08-08</x:v>
      </x:c>
      <x:c r="B374" s="18" t="str">
        <x:v>101437000_74801</x:v>
      </x:c>
      <x:c r="C374" s="18" t="str">
        <x:v>【沪村小电】申良花园充电站</x:v>
      </x:c>
      <x:c r="D374" s="37" t="str">
        <x:v>4</x:v>
      </x:c>
      <x:c r="E374" s="37" t="str">
        <x:v>0</x:v>
      </x:c>
      <x:c r="F374" s="37" t="str">
        <x:v>12</x:v>
      </x:c>
      <x:c r="G374" s="37" t="str">
        <x:v>204.71</x:v>
      </x:c>
      <x:c r="H374" s="37" t="str">
        <x:v>0.00</x:v>
      </x:c>
      <x:c r="I374" s="37" t="str">
        <x:v>180.09</x:v>
      </x:c>
      <x:c r="J374" s="37" t="str">
        <x:v>0.00</x:v>
      </x:c>
      <x:c r="K374" s="37" t="str">
        <x:v>24.62</x:v>
      </x:c>
      <x:c r="L374" s="37" t="str">
        <x:v>318</x:v>
      </x:c>
      <x:c r="M374" s="29" t="str">
        <x:v>212.92</x:v>
      </x:c>
      <x:c r="N374" s="29" t="str">
        <x:v>136.97</x:v>
      </x:c>
      <x:c r="O374" s="29" t="str">
        <x:v>75.95</x:v>
      </x:c>
      <x:c r="P374" s="18" t="str">
        <x:v>2026-08-08</x:v>
      </x:c>
      <x:c r="Q374" s="36" t="n">
        <x:v>46242</x:v>
      </x:c>
    </x:row>
    <x:row r="375">
      <x:c r="A375" s="36" t="str">
        <x:v>2026-08-08</x:v>
      </x:c>
      <x:c r="B375" s="18" t="str">
        <x:v>101437000_74931</x:v>
      </x:c>
      <x:c r="C375" s="18" t="str">
        <x:v>【沪村小电】枫雅南居充电站</x:v>
      </x:c>
      <x:c r="D375" s="37" t="str">
        <x:v>2</x:v>
      </x:c>
      <x:c r="E375" s="37" t="str">
        <x:v>0</x:v>
      </x:c>
      <x:c r="F375" s="37" t="str">
        <x:v>52</x:v>
      </x:c>
      <x:c r="G375" s="37" t="str">
        <x:v>1599.08</x:v>
      </x:c>
      <x:c r="H375" s="37" t="str">
        <x:v>0.00</x:v>
      </x:c>
      <x:c r="I375" s="37" t="str">
        <x:v>722.27</x:v>
      </x:c>
      <x:c r="J375" s="37" t="str">
        <x:v>0.00</x:v>
      </x:c>
      <x:c r="K375" s="37" t="str">
        <x:v>876.81</x:v>
      </x:c>
      <x:c r="L375" s="37" t="str">
        <x:v>2409</x:v>
      </x:c>
      <x:c r="M375" s="29" t="str">
        <x:v>1059.18</x:v>
      </x:c>
      <x:c r="N375" s="29" t="str">
        <x:v>697.92</x:v>
      </x:c>
      <x:c r="O375" s="29" t="str">
        <x:v>361.26</x:v>
      </x:c>
      <x:c r="P375" s="18" t="str">
        <x:v>2026-08-08</x:v>
      </x:c>
      <x:c r="Q375" s="36" t="n">
        <x:v>46242</x:v>
      </x:c>
    </x:row>
    <x:row r="376">
      <x:c r="A376" s="36" t="str">
        <x:v>2026-08-08</x:v>
      </x:c>
      <x:c r="B376" s="18" t="str">
        <x:v>101437000_75901</x:v>
      </x:c>
      <x:c r="C376" s="18" t="str">
        <x:v>【沪村小电】金悦学府</x:v>
      </x:c>
      <x:c r="D376" s="37" t="str">
        <x:v>2</x:v>
      </x:c>
      <x:c r="E376" s="37" t="str">
        <x:v>0</x:v>
      </x:c>
      <x:c r="F376" s="37" t="str">
        <x:v>46</x:v>
      </x:c>
      <x:c r="G376" s="37" t="str">
        <x:v>1397.26</x:v>
      </x:c>
      <x:c r="H376" s="37" t="str">
        <x:v>0.00</x:v>
      </x:c>
      <x:c r="I376" s="37" t="str">
        <x:v>480.68</x:v>
      </x:c>
      <x:c r="J376" s="37" t="str">
        <x:v>0.00</x:v>
      </x:c>
      <x:c r="K376" s="37" t="str">
        <x:v>916.57</x:v>
      </x:c>
      <x:c r="L376" s="37" t="str">
        <x:v>2163</x:v>
      </x:c>
      <x:c r="M376" s="29" t="str">
        <x:v>996.01</x:v>
      </x:c>
      <x:c r="N376" s="29" t="str">
        <x:v>567.76</x:v>
      </x:c>
      <x:c r="O376" s="29" t="str">
        <x:v>428.25</x:v>
      </x:c>
      <x:c r="P376" s="18" t="str">
        <x:v>2026-08-08</x:v>
      </x:c>
      <x:c r="Q376" s="36" t="n">
        <x:v>46242</x:v>
      </x:c>
    </x:row>
    <x:row r="377">
      <x:c r="A377" s="36" t="str">
        <x:v>2026-08-08</x:v>
      </x:c>
      <x:c r="B377" s="18" t="str">
        <x:v>101437000_76091</x:v>
      </x:c>
      <x:c r="C377" s="18" t="str">
        <x:v>【沪村小电】恒信家园充电站</x:v>
      </x:c>
      <x:c r="D377" s="37" t="str">
        <x:v>2</x:v>
      </x:c>
      <x:c r="E377" s="37" t="str">
        <x:v>0</x:v>
      </x:c>
      <x:c r="F377" s="37" t="str">
        <x:v>41</x:v>
      </x:c>
      <x:c r="G377" s="37" t="str">
        <x:v>1127.80</x:v>
      </x:c>
      <x:c r="H377" s="37" t="str">
        <x:v>0.00</x:v>
      </x:c>
      <x:c r="I377" s="37" t="str">
        <x:v>689.97</x:v>
      </x:c>
      <x:c r="J377" s="37" t="str">
        <x:v>0.00</x:v>
      </x:c>
      <x:c r="K377" s="37" t="str">
        <x:v>437.83</x:v>
      </x:c>
      <x:c r="L377" s="37" t="str">
        <x:v>1653</x:v>
      </x:c>
      <x:c r="M377" s="29" t="str">
        <x:v>1067.13</x:v>
      </x:c>
      <x:c r="N377" s="29" t="str">
        <x:v>651.89</x:v>
      </x:c>
      <x:c r="O377" s="29" t="str">
        <x:v>415.24</x:v>
      </x:c>
      <x:c r="P377" s="18" t="str">
        <x:v>2026-08-08</x:v>
      </x:c>
      <x:c r="Q377" s="36" t="n">
        <x:v>46242</x:v>
      </x:c>
    </x:row>
    <x:row r="378">
      <x:c r="A378" s="36" t="str">
        <x:v>2026-08-08</x:v>
      </x:c>
      <x:c r="B378" s="18" t="str">
        <x:v>101437000_76417</x:v>
      </x:c>
      <x:c r="C378" s="18" t="str">
        <x:v>【沪村小电】新春一组充电站</x:v>
      </x:c>
      <x:c r="D378" s="37" t="str">
        <x:v>2</x:v>
      </x:c>
      <x:c r="E378" s="37" t="str">
        <x:v>0</x:v>
      </x:c>
      <x:c r="F378" s="37" t="str">
        <x:v>15</x:v>
      </x:c>
      <x:c r="G378" s="37" t="str">
        <x:v>383.87</x:v>
      </x:c>
      <x:c r="H378" s="37" t="str">
        <x:v>0.00</x:v>
      </x:c>
      <x:c r="I378" s="37" t="str">
        <x:v>67.46</x:v>
      </x:c>
      <x:c r="J378" s="37" t="str">
        <x:v>0.00</x:v>
      </x:c>
      <x:c r="K378" s="37" t="str">
        <x:v>316.41</x:v>
      </x:c>
      <x:c r="L378" s="37" t="str">
        <x:v>535</x:v>
      </x:c>
      <x:c r="M378" s="29" t="str">
        <x:v>304.11</x:v>
      </x:c>
      <x:c r="N378" s="29" t="str">
        <x:v>228.15</x:v>
      </x:c>
      <x:c r="O378" s="29" t="str">
        <x:v>75.96</x:v>
      </x:c>
      <x:c r="P378" s="18" t="str">
        <x:v>2026-08-08</x:v>
      </x:c>
      <x:c r="Q378" s="36" t="n">
        <x:v>46242</x:v>
      </x:c>
    </x:row>
    <x:row r="379">
      <x:c r="A379" s="36" t="str">
        <x:v>2026-08-08</x:v>
      </x:c>
      <x:c r="B379" s="18" t="str">
        <x:v>101437000_78235</x:v>
      </x:c>
      <x:c r="C379" s="18" t="str">
        <x:v>【沪村小电】欣秋苑充电站</x:v>
      </x:c>
      <x:c r="D379" s="37" t="str">
        <x:v>4</x:v>
      </x:c>
      <x:c r="E379" s="37" t="str">
        <x:v>0</x:v>
      </x:c>
      <x:c r="F379" s="37" t="str">
        <x:v>16</x:v>
      </x:c>
      <x:c r="G379" s="37" t="str">
        <x:v>413.42</x:v>
      </x:c>
      <x:c r="H379" s="37" t="str">
        <x:v>0.00</x:v>
      </x:c>
      <x:c r="I379" s="37" t="str">
        <x:v>151.54</x:v>
      </x:c>
      <x:c r="J379" s="37" t="str">
        <x:v>0.00</x:v>
      </x:c>
      <x:c r="K379" s="37" t="str">
        <x:v>261.88</x:v>
      </x:c>
      <x:c r="L379" s="37" t="str">
        <x:v>747</x:v>
      </x:c>
      <x:c r="M379" s="29" t="str">
        <x:v>300.38</x:v>
      </x:c>
      <x:c r="N379" s="29" t="str">
        <x:v>204.49</x:v>
      </x:c>
      <x:c r="O379" s="29" t="str">
        <x:v>95.89</x:v>
      </x:c>
      <x:c r="P379" s="18" t="str">
        <x:v>2026-08-08</x:v>
      </x:c>
      <x:c r="Q379" s="36" t="n">
        <x:v>46242</x:v>
      </x:c>
    </x:row>
    <x:row r="380">
      <x:c r="A380" s="36" t="str">
        <x:v>2026-08-08</x:v>
      </x:c>
      <x:c r="B380" s="18" t="str">
        <x:v>101437000_78237</x:v>
      </x:c>
      <x:c r="C380" s="18" t="str">
        <x:v>【沪村小电】奉馨苑西门小区内北侧充电站</x:v>
      </x:c>
      <x:c r="D380" s="37" t="str">
        <x:v>2</x:v>
      </x:c>
      <x:c r="E380" s="37" t="str">
        <x:v>0</x:v>
      </x:c>
      <x:c r="F380" s="37" t="str">
        <x:v>35</x:v>
      </x:c>
      <x:c r="G380" s="37" t="str">
        <x:v>978.96</x:v>
      </x:c>
      <x:c r="H380" s="37" t="str">
        <x:v>91.27</x:v>
      </x:c>
      <x:c r="I380" s="37" t="str">
        <x:v>175.09</x:v>
      </x:c>
      <x:c r="J380" s="37" t="str">
        <x:v>252.19</x:v>
      </x:c>
      <x:c r="K380" s="37" t="str">
        <x:v>460.41</x:v>
      </x:c>
      <x:c r="L380" s="37" t="str">
        <x:v>1314</x:v>
      </x:c>
      <x:c r="M380" s="29" t="str">
        <x:v>894.75</x:v>
      </x:c>
      <x:c r="N380" s="29" t="str">
        <x:v>681.41</x:v>
      </x:c>
      <x:c r="O380" s="29" t="str">
        <x:v>213.34</x:v>
      </x:c>
      <x:c r="P380" s="18" t="str">
        <x:v>2026-08-08</x:v>
      </x:c>
      <x:c r="Q380" s="36" t="n">
        <x:v>46242</x:v>
      </x:c>
    </x:row>
    <x:row r="381">
      <x:c r="A381" s="36" t="str">
        <x:v>2026-08-08</x:v>
      </x:c>
      <x:c r="B381" s="18" t="str">
        <x:v>101437000_80823</x:v>
      </x:c>
      <x:c r="C381" s="18" t="str">
        <x:v>【沪村小电】上湖轩充电站</x:v>
      </x:c>
      <x:c r="D381" s="37" t="str">
        <x:v>2</x:v>
      </x:c>
      <x:c r="E381" s="37" t="str">
        <x:v>0</x:v>
      </x:c>
      <x:c r="F381" s="37" t="str">
        <x:v>6</x:v>
      </x:c>
      <x:c r="G381" s="37" t="str">
        <x:v>128.88</x:v>
      </x:c>
      <x:c r="H381" s="37" t="str">
        <x:v>9.25</x:v>
      </x:c>
      <x:c r="I381" s="37" t="str">
        <x:v>6.27</x:v>
      </x:c>
      <x:c r="J381" s="37" t="str">
        <x:v>0.00</x:v>
      </x:c>
      <x:c r="K381" s="37" t="str">
        <x:v>113.37</x:v>
      </x:c>
      <x:c r="L381" s="37" t="str">
        <x:v>197</x:v>
      </x:c>
      <x:c r="M381" s="29" t="str">
        <x:v>91.43</x:v>
      </x:c>
      <x:c r="N381" s="29" t="str">
        <x:v>78.13</x:v>
      </x:c>
      <x:c r="O381" s="29" t="str">
        <x:v>13.30</x:v>
      </x:c>
      <x:c r="P381" s="18" t="str">
        <x:v>2026-08-08</x:v>
      </x:c>
      <x:c r="Q381" s="36" t="n">
        <x:v>46242</x:v>
      </x:c>
    </x:row>
    <x:row r="382">
      <x:c r="A382" s="36" t="str">
        <x:v>2026-08-08</x:v>
      </x:c>
      <x:c r="B382" s="18" t="str">
        <x:v>101437000_83019</x:v>
      </x:c>
      <x:c r="C382" s="18" t="str">
        <x:v>【沪村小电】首创禧瑞云启东区充电站</x:v>
      </x:c>
      <x:c r="D382" s="37" t="str">
        <x:v>2</x:v>
      </x:c>
      <x:c r="E382" s="37" t="str">
        <x:v>0</x:v>
      </x:c>
      <x:c r="F382" s="37" t="str">
        <x:v>22</x:v>
      </x:c>
      <x:c r="G382" s="37" t="str">
        <x:v>621.04</x:v>
      </x:c>
      <x:c r="H382" s="37" t="str">
        <x:v>0.00</x:v>
      </x:c>
      <x:c r="I382" s="37" t="str">
        <x:v>338.97</x:v>
      </x:c>
      <x:c r="J382" s="37" t="str">
        <x:v>0.00</x:v>
      </x:c>
      <x:c r="K382" s="37" t="str">
        <x:v>282.07</x:v>
      </x:c>
      <x:c r="L382" s="37" t="str">
        <x:v>812</x:v>
      </x:c>
      <x:c r="M382" s="29" t="str">
        <x:v>585.53</x:v>
      </x:c>
      <x:c r="N382" s="29" t="str">
        <x:v>345.04</x:v>
      </x:c>
      <x:c r="O382" s="29" t="str">
        <x:v>240.49</x:v>
      </x:c>
      <x:c r="P382" s="18" t="str">
        <x:v>2026-08-08</x:v>
      </x:c>
      <x:c r="Q382" s="36" t="n">
        <x:v>46242</x:v>
      </x:c>
    </x:row>
    <x:row r="383">
      <x:c r="A383" s="36" t="str">
        <x:v>2026-08-08</x:v>
      </x:c>
      <x:c r="B383" s="18" t="str">
        <x:v>101437000_83093</x:v>
      </x:c>
      <x:c r="C383" s="18" t="str">
        <x:v>【沪村小电】金茂未来时光里</x:v>
      </x:c>
      <x:c r="D383" s="37" t="str">
        <x:v>2</x:v>
      </x:c>
      <x:c r="E383" s="37" t="str">
        <x:v>0</x:v>
      </x:c>
      <x:c r="F383" s="37" t="str">
        <x:v>43</x:v>
      </x:c>
      <x:c r="G383" s="37" t="str">
        <x:v>1397.35</x:v>
      </x:c>
      <x:c r="H383" s="37" t="str">
        <x:v>0.00</x:v>
      </x:c>
      <x:c r="I383" s="37" t="str">
        <x:v>651.58</x:v>
      </x:c>
      <x:c r="J383" s="37" t="str">
        <x:v>0.00</x:v>
      </x:c>
      <x:c r="K383" s="37" t="str">
        <x:v>745.76</x:v>
      </x:c>
      <x:c r="L383" s="37" t="str">
        <x:v>1861</x:v>
      </x:c>
      <x:c r="M383" s="29" t="str">
        <x:v>940.19</x:v>
      </x:c>
      <x:c r="N383" s="29" t="str">
        <x:v>615.62</x:v>
      </x:c>
      <x:c r="O383" s="29" t="str">
        <x:v>324.57</x:v>
      </x:c>
      <x:c r="P383" s="18" t="str">
        <x:v>2026-08-08</x:v>
      </x:c>
      <x:c r="Q383" s="36" t="n">
        <x:v>46242</x:v>
      </x:c>
    </x:row>
    <x:row r="384">
      <x:c r="A384" s="36" t="str">
        <x:v>2026-08-08</x:v>
      </x:c>
      <x:c r="B384" s="18" t="str">
        <x:v>101437000_83911</x:v>
      </x:c>
      <x:c r="C384" s="18" t="str">
        <x:v>【沪村小电】金瀚园充电站</x:v>
      </x:c>
      <x:c r="D384" s="37" t="str">
        <x:v>2</x:v>
      </x:c>
      <x:c r="E384" s="37" t="str">
        <x:v>0</x:v>
      </x:c>
      <x:c r="F384" s="37" t="str">
        <x:v>43</x:v>
      </x:c>
      <x:c r="G384" s="37" t="str">
        <x:v>1023.32</x:v>
      </x:c>
      <x:c r="H384" s="37" t="str">
        <x:v>0.00</x:v>
      </x:c>
      <x:c r="I384" s="37" t="str">
        <x:v>587.02</x:v>
      </x:c>
      <x:c r="J384" s="37" t="str">
        <x:v>0.00</x:v>
      </x:c>
      <x:c r="K384" s="37" t="str">
        <x:v>436.31</x:v>
      </x:c>
      <x:c r="L384" s="37" t="str">
        <x:v>1444</x:v>
      </x:c>
      <x:c r="M384" s="29" t="str">
        <x:v>884.94</x:v>
      </x:c>
      <x:c r="N384" s="29" t="str">
        <x:v>578.23</x:v>
      </x:c>
      <x:c r="O384" s="29" t="str">
        <x:v>306.71</x:v>
      </x:c>
      <x:c r="P384" s="18" t="str">
        <x:v>2026-08-08</x:v>
      </x:c>
      <x:c r="Q384" s="36" t="n">
        <x:v>46242</x:v>
      </x:c>
    </x:row>
    <x:row r="385">
      <x:c r="A385" s="36" t="str">
        <x:v>2026-08-08</x:v>
      </x:c>
      <x:c r="B385" s="18" t="str">
        <x:v>101437000_83913</x:v>
      </x:c>
      <x:c r="C385" s="18" t="str">
        <x:v>【沪村小电】新黎村充电站</x:v>
      </x:c>
      <x:c r="D385" s="37" t="str">
        <x:v>2</x:v>
      </x:c>
      <x:c r="E385" s="37" t="str">
        <x:v>0</x:v>
      </x:c>
      <x:c r="F385" s="37" t="str">
        <x:v>32</x:v>
      </x:c>
      <x:c r="G385" s="37" t="str">
        <x:v>686.63</x:v>
      </x:c>
      <x:c r="H385" s="37" t="str">
        <x:v>0.00</x:v>
      </x:c>
      <x:c r="I385" s="37" t="str">
        <x:v>504.22</x:v>
      </x:c>
      <x:c r="J385" s="37" t="str">
        <x:v>0.00</x:v>
      </x:c>
      <x:c r="K385" s="37" t="str">
        <x:v>182.42</x:v>
      </x:c>
      <x:c r="L385" s="37" t="str">
        <x:v>1180</x:v>
      </x:c>
      <x:c r="M385" s="29" t="str">
        <x:v>733.09</x:v>
      </x:c>
      <x:c r="N385" s="29" t="str">
        <x:v>592.22</x:v>
      </x:c>
      <x:c r="O385" s="29" t="str">
        <x:v>140.87</x:v>
      </x:c>
      <x:c r="P385" s="18" t="str">
        <x:v>2026-08-08</x:v>
      </x:c>
      <x:c r="Q385" s="36" t="n">
        <x:v>46242</x:v>
      </x:c>
    </x:row>
    <x:row r="386">
      <x:c r="A386" s="36" t="str">
        <x:v>2026-08-08</x:v>
      </x:c>
      <x:c r="B386" s="18" t="str">
        <x:v>101437000_83915</x:v>
      </x:c>
      <x:c r="C386" s="18" t="str">
        <x:v>【沪村小电】长泰西郊别墅充电站</x:v>
      </x:c>
      <x:c r="D386" s="37" t="str">
        <x:v>2</x:v>
      </x:c>
      <x:c r="E386" s="37" t="str">
        <x:v>0</x:v>
      </x:c>
      <x:c r="F386" s="37" t="str">
        <x:v>27</x:v>
      </x:c>
      <x:c r="G386" s="37" t="str">
        <x:v>592.58</x:v>
      </x:c>
      <x:c r="H386" s="37" t="str">
        <x:v>0.00</x:v>
      </x:c>
      <x:c r="I386" s="37" t="str">
        <x:v>328.31</x:v>
      </x:c>
      <x:c r="J386" s="37" t="str">
        <x:v>0.00</x:v>
      </x:c>
      <x:c r="K386" s="37" t="str">
        <x:v>264.27</x:v>
      </x:c>
      <x:c r="L386" s="37" t="str">
        <x:v>857</x:v>
      </x:c>
      <x:c r="M386" s="29" t="str">
        <x:v>557.15</x:v>
      </x:c>
      <x:c r="N386" s="29" t="str">
        <x:v>330.89</x:v>
      </x:c>
      <x:c r="O386" s="29" t="str">
        <x:v>226.26</x:v>
      </x:c>
      <x:c r="P386" s="18" t="str">
        <x:v>2026-08-08</x:v>
      </x:c>
      <x:c r="Q386" s="36" t="n">
        <x:v>46242</x:v>
      </x:c>
    </x:row>
    <x:row r="387">
      <x:c r="A387" s="36" t="str">
        <x:v>2026-08-08</x:v>
      </x:c>
      <x:c r="B387" s="18" t="str">
        <x:v>101437000_83917</x:v>
      </x:c>
      <x:c r="C387" s="18" t="str">
        <x:v>【沪村小电】旭新华庭充电站</x:v>
      </x:c>
      <x:c r="D387" s="37" t="str">
        <x:v>4</x:v>
      </x:c>
      <x:c r="E387" s="37" t="str">
        <x:v>0</x:v>
      </x:c>
      <x:c r="F387" s="37" t="str">
        <x:v>32</x:v>
      </x:c>
      <x:c r="G387" s="37" t="str">
        <x:v>799.47</x:v>
      </x:c>
      <x:c r="H387" s="37" t="str">
        <x:v>0.00</x:v>
      </x:c>
      <x:c r="I387" s="37" t="str">
        <x:v>529.54</x:v>
      </x:c>
      <x:c r="J387" s="37" t="str">
        <x:v>0.00</x:v>
      </x:c>
      <x:c r="K387" s="37" t="str">
        <x:v>269.93</x:v>
      </x:c>
      <x:c r="L387" s="37" t="str">
        <x:v>1210</x:v>
      </x:c>
      <x:c r="M387" s="29" t="str">
        <x:v>825.34</x:v>
      </x:c>
      <x:c r="N387" s="29" t="str">
        <x:v>475.83</x:v>
      </x:c>
      <x:c r="O387" s="29" t="str">
        <x:v>349.51</x:v>
      </x:c>
      <x:c r="P387" s="18" t="str">
        <x:v>2026-08-08</x:v>
      </x:c>
      <x:c r="Q387" s="36" t="n">
        <x:v>46242</x:v>
      </x:c>
    </x:row>
    <x:row r="388">
      <x:c r="A388" s="36" t="str">
        <x:v>2026-08-08</x:v>
      </x:c>
      <x:c r="B388" s="18" t="str">
        <x:v>101437000_83919</x:v>
      </x:c>
      <x:c r="C388" s="18" t="str">
        <x:v>【沪村小电】浦锦名仕嘉园充电站</x:v>
      </x:c>
      <x:c r="D388" s="37" t="str">
        <x:v>4</x:v>
      </x:c>
      <x:c r="E388" s="37" t="str">
        <x:v>0</x:v>
      </x:c>
      <x:c r="F388" s="37" t="str">
        <x:v>51</x:v>
      </x:c>
      <x:c r="G388" s="37" t="str">
        <x:v>1168.35</x:v>
      </x:c>
      <x:c r="H388" s="37" t="str">
        <x:v>0.00</x:v>
      </x:c>
      <x:c r="I388" s="37" t="str">
        <x:v>0.00</x:v>
      </x:c>
      <x:c r="J388" s="37" t="str">
        <x:v>1168.35</x:v>
      </x:c>
      <x:c r="K388" s="37" t="str">
        <x:v>0.00</x:v>
      </x:c>
      <x:c r="L388" s="37" t="str">
        <x:v>1755</x:v>
      </x:c>
      <x:c r="M388" s="29" t="str">
        <x:v>1259.55</x:v>
      </x:c>
      <x:c r="N388" s="29" t="str">
        <x:v>817.90</x:v>
      </x:c>
      <x:c r="O388" s="29" t="str">
        <x:v>441.65</x:v>
      </x:c>
      <x:c r="P388" s="18" t="str">
        <x:v>2026-08-08</x:v>
      </x:c>
      <x:c r="Q388" s="36" t="n">
        <x:v>46242</x:v>
      </x:c>
    </x:row>
    <x:row r="389">
      <x:c r="A389" s="36" t="str">
        <x:v>2026-08-08</x:v>
      </x:c>
      <x:c r="B389" s="18" t="str">
        <x:v>101437000_83921</x:v>
      </x:c>
      <x:c r="C389" s="18" t="str">
        <x:v>【沪村小电】上海联怡枇杷乐园充电站（地库）</x:v>
      </x:c>
      <x:c r="D389" s="37" t="str">
        <x:v>8</x:v>
      </x:c>
      <x:c r="E389" s="37" t="str">
        <x:v>0</x:v>
      </x:c>
      <x:c r="F389" s="37" t="str">
        <x:v>14</x:v>
      </x:c>
      <x:c r="G389" s="37" t="str">
        <x:v>312.16</x:v>
      </x:c>
      <x:c r="H389" s="37" t="str">
        <x:v>0.00</x:v>
      </x:c>
      <x:c r="I389" s="37" t="str">
        <x:v>103.50</x:v>
      </x:c>
      <x:c r="J389" s="37" t="str">
        <x:v>33.97</x:v>
      </x:c>
      <x:c r="K389" s="37" t="str">
        <x:v>174.69</x:v>
      </x:c>
      <x:c r="L389" s="37" t="str">
        <x:v>494</x:v>
      </x:c>
      <x:c r="M389" s="29" t="str">
        <x:v>290.57</x:v>
      </x:c>
      <x:c r="N389" s="29" t="str">
        <x:v>251.69</x:v>
      </x:c>
      <x:c r="O389" s="29" t="str">
        <x:v>38.88</x:v>
      </x:c>
      <x:c r="P389" s="18" t="str">
        <x:v>2026-08-08</x:v>
      </x:c>
      <x:c r="Q389" s="36" t="n">
        <x:v>46242</x:v>
      </x:c>
    </x:row>
    <x:row r="390">
      <x:c r="A390" s="36" t="str">
        <x:v>2026-08-08</x:v>
      </x:c>
      <x:c r="B390" s="18" t="str">
        <x:v>101437000_83923</x:v>
      </x:c>
      <x:c r="C390" s="18" t="str">
        <x:v>【沪村小电】明珠新苑充电站</x:v>
      </x:c>
      <x:c r="D390" s="37" t="str">
        <x:v>2</x:v>
      </x:c>
      <x:c r="E390" s="37" t="str">
        <x:v>0</x:v>
      </x:c>
      <x:c r="F390" s="37" t="str">
        <x:v>24</x:v>
      </x:c>
      <x:c r="G390" s="37" t="str">
        <x:v>791.23</x:v>
      </x:c>
      <x:c r="H390" s="37" t="str">
        <x:v>0.00</x:v>
      </x:c>
      <x:c r="I390" s="37" t="str">
        <x:v>291.09</x:v>
      </x:c>
      <x:c r="J390" s="37" t="str">
        <x:v>0.00</x:v>
      </x:c>
      <x:c r="K390" s="37" t="str">
        <x:v>500.14</x:v>
      </x:c>
      <x:c r="L390" s="37" t="str">
        <x:v>1070</x:v>
      </x:c>
      <x:c r="M390" s="29" t="str">
        <x:v>677.74</x:v>
      </x:c>
      <x:c r="N390" s="29" t="str">
        <x:v>391.74</x:v>
      </x:c>
      <x:c r="O390" s="29" t="str">
        <x:v>286.00</x:v>
      </x:c>
      <x:c r="P390" s="18" t="str">
        <x:v>2026-08-08</x:v>
      </x:c>
      <x:c r="Q390" s="36" t="n">
        <x:v>46242</x:v>
      </x:c>
    </x:row>
    <x:row r="391">
      <x:c r="A391" s="36" t="str">
        <x:v>2026-08-08</x:v>
      </x:c>
      <x:c r="B391" s="18" t="str">
        <x:v>101437000_84289</x:v>
      </x:c>
      <x:c r="C391" s="18" t="str">
        <x:v>【沪村小电】铁建芳华苑充电站</x:v>
      </x:c>
      <x:c r="D391" s="37" t="str">
        <x:v>4</x:v>
      </x:c>
      <x:c r="E391" s="37" t="str">
        <x:v>0</x:v>
      </x:c>
      <x:c r="F391" s="37" t="str">
        <x:v>63</x:v>
      </x:c>
      <x:c r="G391" s="37" t="str">
        <x:v>1616.17</x:v>
      </x:c>
      <x:c r="H391" s="37" t="str">
        <x:v>0.00</x:v>
      </x:c>
      <x:c r="I391" s="37" t="str">
        <x:v>946.51</x:v>
      </x:c>
      <x:c r="J391" s="37" t="str">
        <x:v>0.00</x:v>
      </x:c>
      <x:c r="K391" s="37" t="str">
        <x:v>669.67</x:v>
      </x:c>
      <x:c r="L391" s="37" t="str">
        <x:v>2537</x:v>
      </x:c>
      <x:c r="M391" s="29" t="str">
        <x:v>1377.15</x:v>
      </x:c>
      <x:c r="N391" s="29" t="str">
        <x:v>919.83</x:v>
      </x:c>
      <x:c r="O391" s="29" t="str">
        <x:v>457.32</x:v>
      </x:c>
      <x:c r="P391" s="18" t="str">
        <x:v>2026-08-08</x:v>
      </x:c>
      <x:c r="Q391" s="36" t="n">
        <x:v>46242</x:v>
      </x:c>
    </x:row>
    <x:row r="392">
      <x:c r="A392" s="36" t="str">
        <x:v>2026-08-08</x:v>
      </x:c>
      <x:c r="B392" s="18" t="str">
        <x:v>101437000_86379</x:v>
      </x:c>
      <x:c r="C392" s="18" t="str">
        <x:v>【沪村小电】新宝社区充电站</x:v>
      </x:c>
      <x:c r="D392" s="37" t="str">
        <x:v>4</x:v>
      </x:c>
      <x:c r="E392" s="37" t="str">
        <x:v>0</x:v>
      </x:c>
      <x:c r="F392" s="37" t="str">
        <x:v>38</x:v>
      </x:c>
      <x:c r="G392" s="37" t="str">
        <x:v>900.05</x:v>
      </x:c>
      <x:c r="H392" s="37" t="str">
        <x:v>0.00</x:v>
      </x:c>
      <x:c r="I392" s="37" t="str">
        <x:v>466.35</x:v>
      </x:c>
      <x:c r="J392" s="37" t="str">
        <x:v>0.00</x:v>
      </x:c>
      <x:c r="K392" s="37" t="str">
        <x:v>433.69</x:v>
      </x:c>
      <x:c r="L392" s="37" t="str">
        <x:v>1431</x:v>
      </x:c>
      <x:c r="M392" s="29" t="str">
        <x:v>715.54</x:v>
      </x:c>
      <x:c r="N392" s="29" t="str">
        <x:v>491.57</x:v>
      </x:c>
      <x:c r="O392" s="29" t="str">
        <x:v>223.97</x:v>
      </x:c>
      <x:c r="P392" s="18" t="str">
        <x:v>2026-08-08</x:v>
      </x:c>
      <x:c r="Q392" s="36" t="n">
        <x:v>46242</x:v>
      </x:c>
    </x:row>
    <x:row r="393">
      <x:c r="A393" s="36" t="str">
        <x:v>2026-08-08</x:v>
      </x:c>
      <x:c r="B393" s="18" t="str">
        <x:v>101437000_89441</x:v>
      </x:c>
      <x:c r="C393" s="18" t="str">
        <x:v>【沪村小电】首创禧瑞云启西区充电站</x:v>
      </x:c>
      <x:c r="D393" s="37" t="str">
        <x:v>2</x:v>
      </x:c>
      <x:c r="E393" s="37" t="str">
        <x:v>0</x:v>
      </x:c>
      <x:c r="F393" s="37" t="str">
        <x:v>38</x:v>
      </x:c>
      <x:c r="G393" s="37" t="str">
        <x:v>958.00</x:v>
      </x:c>
      <x:c r="H393" s="37" t="str">
        <x:v>0.00</x:v>
      </x:c>
      <x:c r="I393" s="37" t="str">
        <x:v>576.41</x:v>
      </x:c>
      <x:c r="J393" s="37" t="str">
        <x:v>0.00</x:v>
      </x:c>
      <x:c r="K393" s="37" t="str">
        <x:v>381.59</x:v>
      </x:c>
      <x:c r="L393" s="37" t="str">
        <x:v>1354</x:v>
      </x:c>
      <x:c r="M393" s="29" t="str">
        <x:v>978.93</x:v>
      </x:c>
      <x:c r="N393" s="29" t="str">
        <x:v>550.44</x:v>
      </x:c>
      <x:c r="O393" s="29" t="str">
        <x:v>428.49</x:v>
      </x:c>
      <x:c r="P393" s="18" t="str">
        <x:v>2026-08-08</x:v>
      </x:c>
      <x:c r="Q393" s="36" t="n">
        <x:v>46242</x:v>
      </x:c>
    </x:row>
    <x:row r="394">
      <x:c r="A394" s="36" t="str">
        <x:v>2026-08-08</x:v>
      </x:c>
      <x:c r="B394" s="18" t="str">
        <x:v>101437000_89443</x:v>
      </x:c>
      <x:c r="C394" s="18" t="str">
        <x:v>【沪村小电】玉兰清苑二期充电站</x:v>
      </x:c>
      <x:c r="D394" s="37" t="str">
        <x:v>2</x:v>
      </x:c>
      <x:c r="E394" s="37" t="str">
        <x:v>0</x:v>
      </x:c>
      <x:c r="F394" s="37" t="str">
        <x:v>27</x:v>
      </x:c>
      <x:c r="G394" s="37" t="str">
        <x:v>603.37</x:v>
      </x:c>
      <x:c r="H394" s="37" t="str">
        <x:v>0.00</x:v>
      </x:c>
      <x:c r="I394" s="37" t="str">
        <x:v>487.61</x:v>
      </x:c>
      <x:c r="J394" s="37" t="str">
        <x:v>0.00</x:v>
      </x:c>
      <x:c r="K394" s="37" t="str">
        <x:v>115.76</x:v>
      </x:c>
      <x:c r="L394" s="37" t="str">
        <x:v>927</x:v>
      </x:c>
      <x:c r="M394" s="29" t="str">
        <x:v>595.54</x:v>
      </x:c>
      <x:c r="N394" s="29" t="str">
        <x:v>389.04</x:v>
      </x:c>
      <x:c r="O394" s="29" t="str">
        <x:v>206.50</x:v>
      </x:c>
      <x:c r="P394" s="18" t="str">
        <x:v>2026-08-08</x:v>
      </x:c>
      <x:c r="Q394" s="36" t="n">
        <x:v>46242</x:v>
      </x:c>
    </x:row>
    <x:row r="395">
      <x:c r="A395" s="36" t="str">
        <x:v>2026-08-08</x:v>
      </x:c>
      <x:c r="B395" s="18" t="str">
        <x:v>101437000_93115</x:v>
      </x:c>
      <x:c r="C395" s="18" t="str">
        <x:v>【沪村小电】新南家园西北门</x:v>
      </x:c>
      <x:c r="D395" s="37" t="str">
        <x:v>2</x:v>
      </x:c>
      <x:c r="E395" s="37" t="str">
        <x:v>0</x:v>
      </x:c>
      <x:c r="F395" s="37" t="str">
        <x:v>20</x:v>
      </x:c>
      <x:c r="G395" s="37" t="str">
        <x:v>625.64</x:v>
      </x:c>
      <x:c r="H395" s="37" t="str">
        <x:v>0.00</x:v>
      </x:c>
      <x:c r="I395" s="37" t="str">
        <x:v>426.24</x:v>
      </x:c>
      <x:c r="J395" s="37" t="str">
        <x:v>0.00</x:v>
      </x:c>
      <x:c r="K395" s="37" t="str">
        <x:v>199.40</x:v>
      </x:c>
      <x:c r="L395" s="37" t="str">
        <x:v>761</x:v>
      </x:c>
      <x:c r="M395" s="29" t="str">
        <x:v>589.49</x:v>
      </x:c>
      <x:c r="N395" s="29" t="str">
        <x:v>376.38</x:v>
      </x:c>
      <x:c r="O395" s="29" t="str">
        <x:v>213.11</x:v>
      </x:c>
      <x:c r="P395" s="18" t="str">
        <x:v>2026-08-08</x:v>
      </x:c>
      <x:c r="Q395" s="36" t="n">
        <x:v>46242</x:v>
      </x:c>
    </x:row>
    <x:row r="396">
      <x:c r="A396" s="36" t="str">
        <x:v>2026-08-08</x:v>
      </x:c>
      <x:c r="B396" s="18" t="str">
        <x:v>101437000_94649</x:v>
      </x:c>
      <x:c r="C396" s="18" t="str">
        <x:v>【沪村小电】浪琴水岸花园</x:v>
      </x:c>
      <x:c r="D396" s="37" t="str">
        <x:v>4</x:v>
      </x:c>
      <x:c r="E396" s="37" t="str">
        <x:v>0</x:v>
      </x:c>
      <x:c r="F396" s="37" t="str">
        <x:v>43</x:v>
      </x:c>
      <x:c r="G396" s="37" t="str">
        <x:v>1078.34</x:v>
      </x:c>
      <x:c r="H396" s="37" t="str">
        <x:v>0.00</x:v>
      </x:c>
      <x:c r="I396" s="37" t="str">
        <x:v>687.87</x:v>
      </x:c>
      <x:c r="J396" s="37" t="str">
        <x:v>0.00</x:v>
      </x:c>
      <x:c r="K396" s="37" t="str">
        <x:v>390.47</x:v>
      </x:c>
      <x:c r="L396" s="37" t="str">
        <x:v>1643</x:v>
      </x:c>
      <x:c r="M396" s="29" t="str">
        <x:v>958.05</x:v>
      </x:c>
      <x:c r="N396" s="29" t="str">
        <x:v>671.92</x:v>
      </x:c>
      <x:c r="O396" s="29" t="str">
        <x:v>286.13</x:v>
      </x:c>
      <x:c r="P396" s="18" t="str">
        <x:v>2026-08-08</x:v>
      </x:c>
      <x:c r="Q396" s="36" t="n">
        <x:v>46242</x:v>
      </x:c>
    </x:row>
    <x:row r="397">
      <x:c r="A397" s="36" t="str">
        <x:v>2026-08-08</x:v>
      </x:c>
      <x:c r="B397" s="18" t="str">
        <x:v>101437000_95079</x:v>
      </x:c>
      <x:c r="C397" s="18" t="str">
        <x:v>【沪村小电】民乐城惠益绿苑东苑充电站</x:v>
      </x:c>
      <x:c r="D397" s="37" t="str">
        <x:v>2</x:v>
      </x:c>
      <x:c r="E397" s="37" t="str">
        <x:v>0</x:v>
      </x:c>
      <x:c r="F397" s="37" t="str">
        <x:v>28</x:v>
      </x:c>
      <x:c r="G397" s="37" t="str">
        <x:v>534.71</x:v>
      </x:c>
      <x:c r="H397" s="37" t="str">
        <x:v>0.00</x:v>
      </x:c>
      <x:c r="I397" s="37" t="str">
        <x:v>370.99</x:v>
      </x:c>
      <x:c r="J397" s="37" t="str">
        <x:v>0.00</x:v>
      </x:c>
      <x:c r="K397" s="37" t="str">
        <x:v>163.72</x:v>
      </x:c>
      <x:c r="L397" s="37" t="str">
        <x:v>828</x:v>
      </x:c>
      <x:c r="M397" s="29" t="str">
        <x:v>469.02</x:v>
      </x:c>
      <x:c r="N397" s="29" t="str">
        <x:v>323.98</x:v>
      </x:c>
      <x:c r="O397" s="29" t="str">
        <x:v>145.04</x:v>
      </x:c>
      <x:c r="P397" s="18" t="str">
        <x:v>2026-08-08</x:v>
      </x:c>
      <x:c r="Q397" s="36" t="n">
        <x:v>46242</x:v>
      </x:c>
    </x:row>
    <x:row r="398">
      <x:c r="A398" s="36" t="str">
        <x:v>2026-08-08</x:v>
      </x:c>
      <x:c r="B398" s="18" t="str">
        <x:v>101437000_95081</x:v>
      </x:c>
      <x:c r="C398" s="18" t="str">
        <x:v>【沪村小电】民乐城惠益绿苑西苑充电站</x:v>
      </x:c>
      <x:c r="D398" s="37" t="str">
        <x:v>2</x:v>
      </x:c>
      <x:c r="E398" s="37" t="str">
        <x:v>0</x:v>
      </x:c>
      <x:c r="F398" s="37" t="str">
        <x:v>10</x:v>
      </x:c>
      <x:c r="G398" s="37" t="str">
        <x:v>195.32</x:v>
      </x:c>
      <x:c r="H398" s="37" t="str">
        <x:v>0.00</x:v>
      </x:c>
      <x:c r="I398" s="37" t="str">
        <x:v>194.35</x:v>
      </x:c>
      <x:c r="J398" s="37" t="str">
        <x:v>0.00</x:v>
      </x:c>
      <x:c r="K398" s="37" t="str">
        <x:v>0.96</x:v>
      </x:c>
      <x:c r="L398" s="37" t="str">
        <x:v>316</x:v>
      </x:c>
      <x:c r="M398" s="29" t="str">
        <x:v>180.96</x:v>
      </x:c>
      <x:c r="N398" s="29" t="str">
        <x:v>138.34</x:v>
      </x:c>
      <x:c r="O398" s="29" t="str">
        <x:v>42.62</x:v>
      </x:c>
      <x:c r="P398" s="18" t="str">
        <x:v>2026-08-08</x:v>
      </x:c>
      <x:c r="Q398" s="36" t="n">
        <x:v>46242</x:v>
      </x:c>
    </x:row>
    <x:row r="399">
      <x:c r="A399" s="36" t="str">
        <x:v>2026-08-08</x:v>
      </x:c>
      <x:c r="B399" s="18" t="str">
        <x:v>101437000_95091</x:v>
      </x:c>
      <x:c r="C399" s="18" t="str">
        <x:v>【沪村小电】金悦学府2号站</x:v>
      </x:c>
      <x:c r="D399" s="37" t="str">
        <x:v>2</x:v>
      </x:c>
      <x:c r="E399" s="37" t="str">
        <x:v>0</x:v>
      </x:c>
      <x:c r="F399" s="37" t="str">
        <x:v>31</x:v>
      </x:c>
      <x:c r="G399" s="37" t="str">
        <x:v>685.03</x:v>
      </x:c>
      <x:c r="H399" s="37" t="str">
        <x:v>0.00</x:v>
      </x:c>
      <x:c r="I399" s="37" t="str">
        <x:v>0.00</x:v>
      </x:c>
      <x:c r="J399" s="37" t="str">
        <x:v>685.03</x:v>
      </x:c>
      <x:c r="K399" s="37" t="str">
        <x:v>0.00</x:v>
      </x:c>
      <x:c r="L399" s="37" t="str">
        <x:v>1200</x:v>
      </x:c>
      <x:c r="M399" s="29" t="str">
        <x:v>541.18</x:v>
      </x:c>
      <x:c r="N399" s="29" t="str">
        <x:v>383.61</x:v>
      </x:c>
      <x:c r="O399" s="29" t="str">
        <x:v>157.57</x:v>
      </x:c>
      <x:c r="P399" s="18" t="str">
        <x:v>2026-08-08</x:v>
      </x:c>
      <x:c r="Q399" s="36" t="n">
        <x:v>46242</x:v>
      </x:c>
    </x:row>
    <x:row r="400">
      <x:c r="A400" s="36" t="str">
        <x:v>2026-08-08</x:v>
      </x:c>
      <x:c r="B400" s="18" t="str">
        <x:v>101437000_95941</x:v>
      </x:c>
      <x:c r="C400" s="18" t="str">
        <x:v>【沪村小电】惠诚雅苑</x:v>
      </x:c>
      <x:c r="D400" s="37" t="str">
        <x:v>4</x:v>
      </x:c>
      <x:c r="E400" s="37" t="str">
        <x:v>0</x:v>
      </x:c>
      <x:c r="F400" s="37" t="str">
        <x:v>50</x:v>
      </x:c>
      <x:c r="G400" s="37" t="str">
        <x:v>1295.47</x:v>
      </x:c>
      <x:c r="H400" s="37" t="str">
        <x:v>0.00</x:v>
      </x:c>
      <x:c r="I400" s="37" t="str">
        <x:v>493.40</x:v>
      </x:c>
      <x:c r="J400" s="37" t="str">
        <x:v>0.00</x:v>
      </x:c>
      <x:c r="K400" s="37" t="str">
        <x:v>802.07</x:v>
      </x:c>
      <x:c r="L400" s="37" t="str">
        <x:v>2294</x:v>
      </x:c>
      <x:c r="M400" s="29" t="str">
        <x:v>812.26</x:v>
      </x:c>
      <x:c r="N400" s="29" t="str">
        <x:v>539.73</x:v>
      </x:c>
      <x:c r="O400" s="29" t="str">
        <x:v>272.53</x:v>
      </x:c>
      <x:c r="P400" s="18" t="str">
        <x:v>2026-08-08</x:v>
      </x:c>
      <x:c r="Q400" s="36" t="n">
        <x:v>46242</x:v>
      </x:c>
    </x:row>
    <x:row r="401">
      <x:c r="A401" s="36" t="str">
        <x:v>2026-08-08</x:v>
      </x:c>
      <x:c r="B401" s="18" t="str">
        <x:v>101437000_96401</x:v>
      </x:c>
      <x:c r="C401" s="18" t="str">
        <x:v>【沪村小电】上海联怡枇杷乐园地面站</x:v>
      </x:c>
      <x:c r="D401" s="37" t="str">
        <x:v>2</x:v>
      </x:c>
      <x:c r="E401" s="37" t="str">
        <x:v>0</x:v>
      </x:c>
      <x:c r="F401" s="37" t="str">
        <x:v>7</x:v>
      </x:c>
      <x:c r="G401" s="37" t="str">
        <x:v>172.11</x:v>
      </x:c>
      <x:c r="H401" s="37" t="str">
        <x:v>0.00</x:v>
      </x:c>
      <x:c r="I401" s="37" t="str">
        <x:v>58.81</x:v>
      </x:c>
      <x:c r="J401" s="37" t="str">
        <x:v>0.00</x:v>
      </x:c>
      <x:c r="K401" s="37" t="str">
        <x:v>113.30</x:v>
      </x:c>
      <x:c r="L401" s="37" t="str">
        <x:v>397</x:v>
      </x:c>
      <x:c r="M401" s="29" t="str">
        <x:v>155.42</x:v>
      </x:c>
      <x:c r="N401" s="29" t="str">
        <x:v>121.81</x:v>
      </x:c>
      <x:c r="O401" s="29" t="str">
        <x:v>33.61</x:v>
      </x:c>
      <x:c r="P401" s="18" t="str">
        <x:v>2026-08-08</x:v>
      </x:c>
      <x:c r="Q401" s="36" t="n">
        <x:v>46242</x:v>
      </x:c>
    </x:row>
    <x:row r="402">
      <x:c r="A402" s="36" t="str">
        <x:v>2026-08-08</x:v>
      </x:c>
      <x:c r="B402" s="18" t="str">
        <x:v>101437000_97421</x:v>
      </x:c>
      <x:c r="C402" s="18" t="str">
        <x:v>【沪村小电】玉兰清苑二期（小区外）充电站</x:v>
      </x:c>
      <x:c r="D402" s="37" t="str">
        <x:v>4</x:v>
      </x:c>
      <x:c r="E402" s="37" t="str">
        <x:v>0</x:v>
      </x:c>
      <x:c r="F402" s="37" t="str">
        <x:v>51</x:v>
      </x:c>
      <x:c r="G402" s="37" t="str">
        <x:v>1068.42</x:v>
      </x:c>
      <x:c r="H402" s="37" t="str">
        <x:v>0.00</x:v>
      </x:c>
      <x:c r="I402" s="37" t="str">
        <x:v>742.71</x:v>
      </x:c>
      <x:c r="J402" s="37" t="str">
        <x:v>0.00</x:v>
      </x:c>
      <x:c r="K402" s="37" t="str">
        <x:v>325.71</x:v>
      </x:c>
      <x:c r="L402" s="37" t="str">
        <x:v>2129</x:v>
      </x:c>
      <x:c r="M402" s="29" t="str">
        <x:v>928.87</x:v>
      </x:c>
      <x:c r="N402" s="29" t="str">
        <x:v>647.86</x:v>
      </x:c>
      <x:c r="O402" s="29" t="str">
        <x:v>281.01</x:v>
      </x:c>
      <x:c r="P402" s="18" t="str">
        <x:v>2026-08-08</x:v>
      </x:c>
      <x:c r="Q402" s="36" t="n">
        <x:v>46242</x:v>
      </x:c>
    </x:row>
    <x:row r="403">
      <x:c r="A403" s="36" t="str">
        <x:v>2026-08-08</x:v>
      </x:c>
      <x:c r="B403" s="18" t="str">
        <x:v>101437000_98013</x:v>
      </x:c>
      <x:c r="C403" s="18" t="str">
        <x:v>【沪村小电】恒大滨江华府充电站</x:v>
      </x:c>
      <x:c r="D403" s="37" t="str">
        <x:v>4</x:v>
      </x:c>
      <x:c r="E403" s="37" t="str">
        <x:v>0</x:v>
      </x:c>
      <x:c r="F403" s="37" t="str">
        <x:v>48</x:v>
      </x:c>
      <x:c r="G403" s="37" t="str">
        <x:v>970.48</x:v>
      </x:c>
      <x:c r="H403" s="37" t="str">
        <x:v>0.00</x:v>
      </x:c>
      <x:c r="I403" s="37" t="str">
        <x:v>723.47</x:v>
      </x:c>
      <x:c r="J403" s="37" t="str">
        <x:v>0.00</x:v>
      </x:c>
      <x:c r="K403" s="37" t="str">
        <x:v>247.01</x:v>
      </x:c>
      <x:c r="L403" s="37" t="str">
        <x:v>1574</x:v>
      </x:c>
      <x:c r="M403" s="29" t="str">
        <x:v>1011.86</x:v>
      </x:c>
      <x:c r="N403" s="29" t="str">
        <x:v>764.75</x:v>
      </x:c>
      <x:c r="O403" s="29" t="str">
        <x:v>247.11</x:v>
      </x:c>
      <x:c r="P403" s="18" t="str">
        <x:v>2026-08-08</x:v>
      </x:c>
      <x:c r="Q403" s="36" t="n">
        <x:v>46242</x:v>
      </x:c>
    </x:row>
    <x:row r="404">
      <x:c r="A404" s="36" t="str">
        <x:v>2026-08-08</x:v>
      </x:c>
      <x:c r="B404" s="18" t="str">
        <x:v>101437000_98863</x:v>
      </x:c>
      <x:c r="C404" s="18" t="str">
        <x:v>【沪村小电】欣菊苑充电站</x:v>
      </x:c>
      <x:c r="D404" s="37" t="str">
        <x:v>4</x:v>
      </x:c>
      <x:c r="E404" s="37" t="str">
        <x:v>0</x:v>
      </x:c>
      <x:c r="F404" s="37" t="str">
        <x:v>7</x:v>
      </x:c>
      <x:c r="G404" s="37" t="str">
        <x:v>181.83</x:v>
      </x:c>
      <x:c r="H404" s="37" t="str">
        <x:v>0.00</x:v>
      </x:c>
      <x:c r="I404" s="37" t="str">
        <x:v>96.64</x:v>
      </x:c>
      <x:c r="J404" s="37" t="str">
        <x:v>0.00</x:v>
      </x:c>
      <x:c r="K404" s="37" t="str">
        <x:v>85.19</x:v>
      </x:c>
      <x:c r="L404" s="37" t="str">
        <x:v>224</x:v>
      </x:c>
      <x:c r="M404" s="29" t="str">
        <x:v>149.05</x:v>
      </x:c>
      <x:c r="N404" s="29" t="str">
        <x:v>100.13</x:v>
      </x:c>
      <x:c r="O404" s="29" t="str">
        <x:v>48.92</x:v>
      </x:c>
      <x:c r="P404" s="18" t="str">
        <x:v>2026-08-08</x:v>
      </x:c>
      <x:c r="Q404" s="36" t="n">
        <x:v>46242</x:v>
      </x:c>
    </x:row>
    <x:row r="405">
      <x:c r="A405" s="36" t="str">
        <x:v>2026-08-08</x:v>
      </x:c>
      <x:c r="B405" s="18" t="str">
        <x:v>101437000_98865</x:v>
      </x:c>
      <x:c r="C405" s="18" t="str">
        <x:v>【沪村小电】欣松苑充电站</x:v>
      </x:c>
      <x:c r="D405" s="37" t="str">
        <x:v>4</x:v>
      </x:c>
      <x:c r="E405" s="37" t="str">
        <x:v>0</x:v>
      </x:c>
      <x:c r="F405" s="37" t="str">
        <x:v>17</x:v>
      </x:c>
      <x:c r="G405" s="37" t="str">
        <x:v>350.02</x:v>
      </x:c>
      <x:c r="H405" s="37" t="str">
        <x:v>0.00</x:v>
      </x:c>
      <x:c r="I405" s="37" t="str">
        <x:v>295.47</x:v>
      </x:c>
      <x:c r="J405" s="37" t="str">
        <x:v>0.00</x:v>
      </x:c>
      <x:c r="K405" s="37" t="str">
        <x:v>54.55</x:v>
      </x:c>
      <x:c r="L405" s="37" t="str">
        <x:v>576</x:v>
      </x:c>
      <x:c r="M405" s="29" t="str">
        <x:v>357.59</x:v>
      </x:c>
      <x:c r="N405" s="29" t="str">
        <x:v>229.98</x:v>
      </x:c>
      <x:c r="O405" s="29" t="str">
        <x:v>127.61</x:v>
      </x:c>
      <x:c r="P405" s="18" t="str">
        <x:v>2026-08-08</x:v>
      </x:c>
      <x:c r="Q405" s="36" t="n">
        <x:v>46242</x:v>
      </x:c>
    </x:row>
    <x:row r="406">
      <x:c r="A406" s="36" t="str">
        <x:v>2026-08-08</x:v>
      </x:c>
      <x:c r="B406" s="18" t="str">
        <x:v>101437000_98867</x:v>
      </x:c>
      <x:c r="C406" s="18" t="str">
        <x:v>【沪村小电】欣荷苑充电站</x:v>
      </x:c>
      <x:c r="D406" s="37" t="str">
        <x:v>4</x:v>
      </x:c>
      <x:c r="E406" s="37" t="str">
        <x:v>0</x:v>
      </x:c>
      <x:c r="F406" s="37" t="str">
        <x:v>11</x:v>
      </x:c>
      <x:c r="G406" s="37" t="str">
        <x:v>338.15</x:v>
      </x:c>
      <x:c r="H406" s="37" t="str">
        <x:v>0.00</x:v>
      </x:c>
      <x:c r="I406" s="37" t="str">
        <x:v>285.15</x:v>
      </x:c>
      <x:c r="J406" s="37" t="str">
        <x:v>0.00</x:v>
      </x:c>
      <x:c r="K406" s="37" t="str">
        <x:v>53.00</x:v>
      </x:c>
      <x:c r="L406" s="37" t="str">
        <x:v>389</x:v>
      </x:c>
      <x:c r="M406" s="29" t="str">
        <x:v>306.69</x:v>
      </x:c>
      <x:c r="N406" s="29" t="str">
        <x:v>222.06</x:v>
      </x:c>
      <x:c r="O406" s="29" t="str">
        <x:v>84.63</x:v>
      </x:c>
      <x:c r="P406" s="18" t="str">
        <x:v>2026-08-08</x:v>
      </x:c>
      <x:c r="Q406" s="36" t="n">
        <x:v>46242</x:v>
      </x:c>
    </x:row>
    <x:row r="407">
      <x:c r="A407" s="36" t="str">
        <x:v>2026-08-08</x:v>
      </x:c>
      <x:c r="B407" s="18" t="str">
        <x:v>101437000_99885</x:v>
      </x:c>
      <x:c r="C407" s="18" t="str">
        <x:v>【沪村小电】汇丰馨苑充电站</x:v>
      </x:c>
      <x:c r="D407" s="37" t="str">
        <x:v>4</x:v>
      </x:c>
      <x:c r="E407" s="37" t="str">
        <x:v>0</x:v>
      </x:c>
      <x:c r="F407" s="37" t="str">
        <x:v>8</x:v>
      </x:c>
      <x:c r="G407" s="37" t="str">
        <x:v>139.57</x:v>
      </x:c>
      <x:c r="H407" s="37" t="str">
        <x:v>0.00</x:v>
      </x:c>
      <x:c r="I407" s="37" t="str">
        <x:v>100.04</x:v>
      </x:c>
      <x:c r="J407" s="37" t="str">
        <x:v>0.00</x:v>
      </x:c>
      <x:c r="K407" s="37" t="str">
        <x:v>39.53</x:v>
      </x:c>
      <x:c r="L407" s="37" t="str">
        <x:v>191</x:v>
      </x:c>
      <x:c r="M407" s="29" t="str">
        <x:v>129.91</x:v>
      </x:c>
      <x:c r="N407" s="29" t="str">
        <x:v>85.66</x:v>
      </x:c>
      <x:c r="O407" s="29" t="str">
        <x:v>44.25</x:v>
      </x:c>
      <x:c r="P407" s="18" t="str">
        <x:v>2026-08-08</x:v>
      </x:c>
      <x:c r="Q407" s="36" t="n">
        <x:v>46242</x:v>
      </x:c>
    </x:row>
    <x:row r="408">
      <x:c r="A408" s="36" t="str">
        <x:v>2026-08-08</x:v>
      </x:c>
      <x:c r="B408" s="18" t="str">
        <x:v>101437000_99887</x:v>
      </x:c>
      <x:c r="C408" s="18" t="str">
        <x:v>【沪村小电】新南村河南小区充电站</x:v>
      </x:c>
      <x:c r="D408" s="37" t="str">
        <x:v>2</x:v>
      </x:c>
      <x:c r="E408" s="37" t="str">
        <x:v>0</x:v>
      </x:c>
      <x:c r="F408" s="37" t="str">
        <x:v>10</x:v>
      </x:c>
      <x:c r="G408" s="37" t="str">
        <x:v>158.32</x:v>
      </x:c>
      <x:c r="H408" s="37" t="str">
        <x:v>0.00</x:v>
      </x:c>
      <x:c r="I408" s="37" t="str">
        <x:v>61.65</x:v>
      </x:c>
      <x:c r="J408" s="37" t="str">
        <x:v>0.00</x:v>
      </x:c>
      <x:c r="K408" s="37" t="str">
        <x:v>96.68</x:v>
      </x:c>
      <x:c r="L408" s="37" t="str">
        <x:v>318</x:v>
      </x:c>
      <x:c r="M408" s="29" t="str">
        <x:v>104.03</x:v>
      </x:c>
      <x:c r="N408" s="29" t="str">
        <x:v>79.55</x:v>
      </x:c>
      <x:c r="O408" s="29" t="str">
        <x:v>24.48</x:v>
      </x:c>
      <x:c r="P408" s="18" t="str">
        <x:v>2026-08-08</x:v>
      </x:c>
      <x:c r="Q408" s="36" t="n">
        <x:v>46242</x:v>
      </x:c>
    </x:row>
    <x:row r="409">
      <x:c r="A409" s="36" t="str">
        <x:v>2026-08-08</x:v>
      </x:c>
      <x:c r="B409" s="18" t="str">
        <x:v>101437000_99889</x:v>
      </x:c>
      <x:c r="C409" s="18" t="str">
        <x:v>【沪村小电】漕泾郊野公园</x:v>
      </x:c>
      <x:c r="D409" s="37" t="str">
        <x:v>2</x:v>
      </x:c>
      <x:c r="E409" s="37" t="str">
        <x:v>0</x:v>
      </x:c>
      <x:c r="F409" s="37" t="str">
        <x:v>7</x:v>
      </x:c>
      <x:c r="G409" s="37" t="str">
        <x:v>198.49</x:v>
      </x:c>
      <x:c r="H409" s="37" t="str">
        <x:v>0.00</x:v>
      </x:c>
      <x:c r="I409" s="37" t="str">
        <x:v>198.49</x:v>
      </x:c>
      <x:c r="J409" s="37" t="str">
        <x:v>0.00</x:v>
      </x:c>
      <x:c r="K409" s="37" t="str">
        <x:v>0.00</x:v>
      </x:c>
      <x:c r="L409" s="37" t="str">
        <x:v>242</x:v>
      </x:c>
      <x:c r="M409" s="29" t="str">
        <x:v>243.71</x:v>
      </x:c>
      <x:c r="N409" s="29" t="str">
        <x:v>150.84</x:v>
      </x:c>
      <x:c r="O409" s="29" t="str">
        <x:v>92.87</x:v>
      </x:c>
      <x:c r="P409" s="18" t="str">
        <x:v>2026-08-08</x:v>
      </x:c>
      <x:c r="Q409" s="36" t="n">
        <x:v>46242</x:v>
      </x:c>
    </x:row>
    <x:row r="410">
      <x:c r="A410" s="36" t="str">
        <x:v>2026-08-08</x:v>
      </x:c>
      <x:c r="B410" s="18" t="str">
        <x:v>101437000_99891</x:v>
      </x:c>
      <x:c r="C410" s="18" t="str">
        <x:v>【沪村小电】水韵紫城充电站</x:v>
      </x:c>
      <x:c r="D410" s="37" t="str">
        <x:v>4</x:v>
      </x:c>
      <x:c r="E410" s="37" t="str">
        <x:v>0</x:v>
      </x:c>
      <x:c r="F410" s="37" t="str">
        <x:v>34</x:v>
      </x:c>
      <x:c r="G410" s="37" t="str">
        <x:v>684.54</x:v>
      </x:c>
      <x:c r="H410" s="37" t="str">
        <x:v>0.00</x:v>
      </x:c>
      <x:c r="I410" s="37" t="str">
        <x:v>476.93</x:v>
      </x:c>
      <x:c r="J410" s="37" t="str">
        <x:v>0.00</x:v>
      </x:c>
      <x:c r="K410" s="37" t="str">
        <x:v>207.61</x:v>
      </x:c>
      <x:c r="L410" s="37" t="str">
        <x:v>1260</x:v>
      </x:c>
      <x:c r="M410" s="29" t="str">
        <x:v>572.84</x:v>
      </x:c>
      <x:c r="N410" s="29" t="str">
        <x:v>415.42</x:v>
      </x:c>
      <x:c r="O410" s="29" t="str">
        <x:v>157.42</x:v>
      </x:c>
      <x:c r="P410" s="18" t="str">
        <x:v>2026-08-08</x:v>
      </x:c>
      <x:c r="Q410" s="36" t="n">
        <x:v>46242</x:v>
      </x:c>
    </x:row>
    <x:row r="411">
      <x:c r="A411" s="36" t="str">
        <x:v>2026-08-07</x:v>
      </x:c>
      <x:c r="B411" s="18" t="str">
        <x:v>101437000_100523</x:v>
      </x:c>
      <x:c r="C411" s="18" t="str">
        <x:v>【沪村小电】民旺苑南区</x:v>
      </x:c>
      <x:c r="D411" s="37" t="str">
        <x:v>4</x:v>
      </x:c>
      <x:c r="E411" s="37" t="str">
        <x:v>0</x:v>
      </x:c>
      <x:c r="F411" s="37" t="str">
        <x:v>10</x:v>
      </x:c>
      <x:c r="G411" s="37" t="str">
        <x:v>352.12</x:v>
      </x:c>
      <x:c r="H411" s="37" t="str">
        <x:v>0.00</x:v>
      </x:c>
      <x:c r="I411" s="37" t="str">
        <x:v>138.24</x:v>
      </x:c>
      <x:c r="J411" s="37" t="str">
        <x:v>0.00</x:v>
      </x:c>
      <x:c r="K411" s="37" t="str">
        <x:v>213.88</x:v>
      </x:c>
      <x:c r="L411" s="37" t="str">
        <x:v>428</x:v>
      </x:c>
      <x:c r="M411" s="29" t="str">
        <x:v>313.16</x:v>
      </x:c>
      <x:c r="N411" s="29" t="str">
        <x:v>198.67</x:v>
      </x:c>
      <x:c r="O411" s="29" t="str">
        <x:v>114.49</x:v>
      </x:c>
      <x:c r="P411" s="18" t="str">
        <x:v>2026-08-07</x:v>
      </x:c>
      <x:c r="Q411" s="36" t="n">
        <x:v>46241</x:v>
      </x:c>
    </x:row>
    <x:row r="412">
      <x:c r="A412" s="36" t="str">
        <x:v>2026-08-07</x:v>
      </x:c>
      <x:c r="B412" s="18" t="str">
        <x:v>101437000_101531</x:v>
      </x:c>
      <x:c r="C412" s="18" t="str">
        <x:v>【沪村小电】汇中苑充电站</x:v>
      </x:c>
      <x:c r="D412" s="37" t="str">
        <x:v>2</x:v>
      </x:c>
      <x:c r="E412" s="37" t="str">
        <x:v>0</x:v>
      </x:c>
      <x:c r="F412" s="37" t="str">
        <x:v>22</x:v>
      </x:c>
      <x:c r="G412" s="37" t="str">
        <x:v>482.68</x:v>
      </x:c>
      <x:c r="H412" s="37" t="str">
        <x:v>0.00</x:v>
      </x:c>
      <x:c r="I412" s="37" t="str">
        <x:v>156.72</x:v>
      </x:c>
      <x:c r="J412" s="37" t="str">
        <x:v>186.35</x:v>
      </x:c>
      <x:c r="K412" s="37" t="str">
        <x:v>139.61</x:v>
      </x:c>
      <x:c r="L412" s="37" t="str">
        <x:v>773</x:v>
      </x:c>
      <x:c r="M412" s="29" t="str">
        <x:v>558.55</x:v>
      </x:c>
      <x:c r="N412" s="29" t="str">
        <x:v>354.00</x:v>
      </x:c>
      <x:c r="O412" s="29" t="str">
        <x:v>204.55</x:v>
      </x:c>
      <x:c r="P412" s="18" t="str">
        <x:v>2026-08-07</x:v>
      </x:c>
      <x:c r="Q412" s="36" t="n">
        <x:v>46241</x:v>
      </x:c>
    </x:row>
    <x:row r="413">
      <x:c r="A413" s="36" t="str">
        <x:v>2026-08-07</x:v>
      </x:c>
      <x:c r="B413" s="18" t="str">
        <x:v>101437000_102047</x:v>
      </x:c>
      <x:c r="C413" s="18" t="str">
        <x:v>【沪村小电】后浜小区9弄小区南面停车场充电站</x:v>
      </x:c>
      <x:c r="D413" s="37" t="str">
        <x:v>8</x:v>
      </x:c>
      <x:c r="E413" s="37" t="str">
        <x:v>0</x:v>
      </x:c>
      <x:c r="F413" s="37" t="str">
        <x:v>93</x:v>
      </x:c>
      <x:c r="G413" s="37" t="str">
        <x:v>1266.86</x:v>
      </x:c>
      <x:c r="H413" s="37" t="str">
        <x:v>0.00</x:v>
      </x:c>
      <x:c r="I413" s="37" t="str">
        <x:v>979.14</x:v>
      </x:c>
      <x:c r="J413" s="37" t="str">
        <x:v>0.00</x:v>
      </x:c>
      <x:c r="K413" s="37" t="str">
        <x:v>287.72</x:v>
      </x:c>
      <x:c r="L413" s="37" t="str">
        <x:v>2082</x:v>
      </x:c>
      <x:c r="M413" s="29" t="str">
        <x:v>1397.76</x:v>
      </x:c>
      <x:c r="N413" s="29" t="str">
        <x:v>830.43</x:v>
      </x:c>
      <x:c r="O413" s="29" t="str">
        <x:v>567.33</x:v>
      </x:c>
      <x:c r="P413" s="18" t="str">
        <x:v>2026-08-07</x:v>
      </x:c>
      <x:c r="Q413" s="36" t="n">
        <x:v>46241</x:v>
      </x:c>
    </x:row>
    <x:row r="414">
      <x:c r="A414" s="36" t="str">
        <x:v>2026-08-07</x:v>
      </x:c>
      <x:c r="B414" s="18" t="str">
        <x:v>101437000_103503</x:v>
      </x:c>
      <x:c r="C414" s="18" t="str">
        <x:v>【沪村小电】阳光城新界充电站</x:v>
      </x:c>
      <x:c r="D414" s="37" t="str">
        <x:v>4</x:v>
      </x:c>
      <x:c r="E414" s="37" t="str">
        <x:v>0</x:v>
      </x:c>
      <x:c r="F414" s="37" t="str">
        <x:v>40</x:v>
      </x:c>
      <x:c r="G414" s="37" t="str">
        <x:v>894.69</x:v>
      </x:c>
      <x:c r="H414" s="37" t="str">
        <x:v>0.00</x:v>
      </x:c>
      <x:c r="I414" s="37" t="str">
        <x:v>751.42</x:v>
      </x:c>
      <x:c r="J414" s="37" t="str">
        <x:v>0.00</x:v>
      </x:c>
      <x:c r="K414" s="37" t="str">
        <x:v>143.27</x:v>
      </x:c>
      <x:c r="L414" s="37" t="str">
        <x:v>1465</x:v>
      </x:c>
      <x:c r="M414" s="29" t="str">
        <x:v>978.93</x:v>
      </x:c>
      <x:c r="N414" s="29" t="str">
        <x:v>643.42</x:v>
      </x:c>
      <x:c r="O414" s="29" t="str">
        <x:v>335.51</x:v>
      </x:c>
      <x:c r="P414" s="18" t="str">
        <x:v>2026-08-07</x:v>
      </x:c>
      <x:c r="Q414" s="36" t="n">
        <x:v>46241</x:v>
      </x:c>
    </x:row>
    <x:row r="415">
      <x:c r="A415" s="36" t="str">
        <x:v>2026-08-07</x:v>
      </x:c>
      <x:c r="B415" s="18" t="str">
        <x:v>101437000_41561</x:v>
      </x:c>
      <x:c r="C415" s="18" t="str">
        <x:v>【沪村小电】张施小区大门处快充站</x:v>
      </x:c>
      <x:c r="D415" s="37" t="str">
        <x:v>2</x:v>
      </x:c>
      <x:c r="E415" s="37" t="str">
        <x:v>0</x:v>
      </x:c>
      <x:c r="F415" s="37" t="str">
        <x:v>55</x:v>
      </x:c>
      <x:c r="G415" s="37" t="str">
        <x:v>1510.91</x:v>
      </x:c>
      <x:c r="H415" s="37" t="str">
        <x:v>0.00</x:v>
      </x:c>
      <x:c r="I415" s="37" t="str">
        <x:v>616.79</x:v>
      </x:c>
      <x:c r="J415" s="37" t="str">
        <x:v>0.00</x:v>
      </x:c>
      <x:c r="K415" s="37" t="str">
        <x:v>894.12</x:v>
      </x:c>
      <x:c r="L415" s="37" t="str">
        <x:v>2808</x:v>
      </x:c>
      <x:c r="M415" s="29" t="str">
        <x:v>1148.75</x:v>
      </x:c>
      <x:c r="N415" s="29" t="str">
        <x:v>768.77</x:v>
      </x:c>
      <x:c r="O415" s="29" t="str">
        <x:v>379.98</x:v>
      </x:c>
      <x:c r="P415" s="18" t="str">
        <x:v>2026-08-07</x:v>
      </x:c>
      <x:c r="Q415" s="36" t="n">
        <x:v>46241</x:v>
      </x:c>
    </x:row>
    <x:row r="416">
      <x:c r="A416" s="36" t="str">
        <x:v>2026-08-07</x:v>
      </x:c>
      <x:c r="B416" s="18" t="str">
        <x:v>101437000_41563</x:v>
      </x:c>
      <x:c r="C416" s="18" t="str">
        <x:v>【沪村小电】同心村快充站</x:v>
      </x:c>
      <x:c r="D416" s="37" t="str">
        <x:v>4</x:v>
      </x:c>
      <x:c r="E416" s="37" t="str">
        <x:v>0</x:v>
      </x:c>
      <x:c r="F416" s="37" t="str">
        <x:v>72</x:v>
      </x:c>
      <x:c r="G416" s="37" t="str">
        <x:v>1335.17</x:v>
      </x:c>
      <x:c r="H416" s="37" t="str">
        <x:v>0.00</x:v>
      </x:c>
      <x:c r="I416" s="37" t="str">
        <x:v>882.64</x:v>
      </x:c>
      <x:c r="J416" s="37" t="str">
        <x:v>0.00</x:v>
      </x:c>
      <x:c r="K416" s="37" t="str">
        <x:v>452.54</x:v>
      </x:c>
      <x:c r="L416" s="37" t="str">
        <x:v>2423</x:v>
      </x:c>
      <x:c r="M416" s="29" t="str">
        <x:v>1261.48</x:v>
      </x:c>
      <x:c r="N416" s="29" t="str">
        <x:v>794.08</x:v>
      </x:c>
      <x:c r="O416" s="29" t="str">
        <x:v>467.40</x:v>
      </x:c>
      <x:c r="P416" s="18" t="str">
        <x:v>2026-08-07</x:v>
      </x:c>
      <x:c r="Q416" s="36" t="n">
        <x:v>46241</x:v>
      </x:c>
    </x:row>
    <x:row r="417">
      <x:c r="A417" s="36" t="str">
        <x:v>2026-08-07</x:v>
      </x:c>
      <x:c r="B417" s="18" t="str">
        <x:v>101437000_69629</x:v>
      </x:c>
      <x:c r="C417" s="18" t="str">
        <x:v>【沪村小电】骏丰玲珑坊西苑充电站</x:v>
      </x:c>
      <x:c r="D417" s="37" t="str">
        <x:v>2</x:v>
      </x:c>
      <x:c r="E417" s="37" t="str">
        <x:v>0</x:v>
      </x:c>
      <x:c r="F417" s="37" t="str">
        <x:v>79</x:v>
      </x:c>
      <x:c r="G417" s="37" t="str">
        <x:v>1729.13</x:v>
      </x:c>
      <x:c r="H417" s="37" t="str">
        <x:v>0.00</x:v>
      </x:c>
      <x:c r="I417" s="37" t="str">
        <x:v>912.66</x:v>
      </x:c>
      <x:c r="J417" s="37" t="str">
        <x:v>0.00</x:v>
      </x:c>
      <x:c r="K417" s="37" t="str">
        <x:v>816.47</x:v>
      </x:c>
      <x:c r="L417" s="37" t="str">
        <x:v>3030</x:v>
      </x:c>
      <x:c r="M417" s="29" t="str">
        <x:v>1391.98</x:v>
      </x:c>
      <x:c r="N417" s="29" t="str">
        <x:v>950.07</x:v>
      </x:c>
      <x:c r="O417" s="29" t="str">
        <x:v>441.91</x:v>
      </x:c>
      <x:c r="P417" s="18" t="str">
        <x:v>2026-08-07</x:v>
      </x:c>
      <x:c r="Q417" s="36" t="n">
        <x:v>46241</x:v>
      </x:c>
    </x:row>
    <x:row r="418">
      <x:c r="A418" s="36" t="str">
        <x:v>2026-08-07</x:v>
      </x:c>
      <x:c r="B418" s="18" t="str">
        <x:v>101437000_70547</x:v>
      </x:c>
      <x:c r="C418" s="18" t="str">
        <x:v>【沪村小电】农建村初心馆党群服务中心充电站</x:v>
      </x:c>
      <x:c r="D418" s="37" t="str">
        <x:v>4</x:v>
      </x:c>
      <x:c r="E418" s="37" t="str">
        <x:v>0</x:v>
      </x:c>
      <x:c r="F418" s="37" t="str">
        <x:v>21</x:v>
      </x:c>
      <x:c r="G418" s="37" t="str">
        <x:v>470.07</x:v>
      </x:c>
      <x:c r="H418" s="37" t="str">
        <x:v>0.00</x:v>
      </x:c>
      <x:c r="I418" s="37" t="str">
        <x:v>220.08</x:v>
      </x:c>
      <x:c r="J418" s="37" t="str">
        <x:v>0.00</x:v>
      </x:c>
      <x:c r="K418" s="37" t="str">
        <x:v>249.99</x:v>
      </x:c>
      <x:c r="L418" s="37" t="str">
        <x:v>891</x:v>
      </x:c>
      <x:c r="M418" s="29" t="str">
        <x:v>426.37</x:v>
      </x:c>
      <x:c r="N418" s="29" t="str">
        <x:v>345.38</x:v>
      </x:c>
      <x:c r="O418" s="29" t="str">
        <x:v>80.99</x:v>
      </x:c>
      <x:c r="P418" s="18" t="str">
        <x:v>2026-08-07</x:v>
      </x:c>
      <x:c r="Q418" s="36" t="n">
        <x:v>46241</x:v>
      </x:c>
    </x:row>
    <x:row r="419">
      <x:c r="A419" s="36" t="str">
        <x:v>2026-08-07</x:v>
      </x:c>
      <x:c r="B419" s="18" t="str">
        <x:v>101437000_70549</x:v>
      </x:c>
      <x:c r="C419" s="18" t="str">
        <x:v>【沪村小电】学府路充电站</x:v>
      </x:c>
      <x:c r="D419" s="37" t="str">
        <x:v>2</x:v>
      </x:c>
      <x:c r="E419" s="37" t="str">
        <x:v>0</x:v>
      </x:c>
      <x:c r="F419" s="37" t="str">
        <x:v>20</x:v>
      </x:c>
      <x:c r="G419" s="37" t="str">
        <x:v>393.69</x:v>
      </x:c>
      <x:c r="H419" s="37" t="str">
        <x:v>0.00</x:v>
      </x:c>
      <x:c r="I419" s="37" t="str">
        <x:v>222.91</x:v>
      </x:c>
      <x:c r="J419" s="37" t="str">
        <x:v>0.00</x:v>
      </x:c>
      <x:c r="K419" s="37" t="str">
        <x:v>170.78</x:v>
      </x:c>
      <x:c r="L419" s="37" t="str">
        <x:v>609</x:v>
      </x:c>
      <x:c r="M419" s="29" t="str">
        <x:v>414.97</x:v>
      </x:c>
      <x:c r="N419" s="29" t="str">
        <x:v>307.78</x:v>
      </x:c>
      <x:c r="O419" s="29" t="str">
        <x:v>107.19</x:v>
      </x:c>
      <x:c r="P419" s="18" t="str">
        <x:v>2026-08-07</x:v>
      </x:c>
      <x:c r="Q419" s="36" t="n">
        <x:v>46241</x:v>
      </x:c>
    </x:row>
    <x:row r="420">
      <x:c r="A420" s="36" t="str">
        <x:v>2026-08-07</x:v>
      </x:c>
      <x:c r="B420" s="18" t="str">
        <x:v>101437000_71059</x:v>
      </x:c>
      <x:c r="C420" s="18" t="str">
        <x:v>【沪村小电】宝乐汇商业广场站</x:v>
      </x:c>
      <x:c r="D420" s="37" t="str">
        <x:v>4</x:v>
      </x:c>
      <x:c r="E420" s="37" t="str">
        <x:v>0</x:v>
      </x:c>
      <x:c r="F420" s="37" t="str">
        <x:v>30</x:v>
      </x:c>
      <x:c r="G420" s="37" t="str">
        <x:v>588.86</x:v>
      </x:c>
      <x:c r="H420" s="37" t="str">
        <x:v>0.00</x:v>
      </x:c>
      <x:c r="I420" s="37" t="str">
        <x:v>301.06</x:v>
      </x:c>
      <x:c r="J420" s="37" t="str">
        <x:v>0.00</x:v>
      </x:c>
      <x:c r="K420" s="37" t="str">
        <x:v>287.80</x:v>
      </x:c>
      <x:c r="L420" s="37" t="str">
        <x:v>925</x:v>
      </x:c>
      <x:c r="M420" s="29" t="str">
        <x:v>517.81</x:v>
      </x:c>
      <x:c r="N420" s="29" t="str">
        <x:v>403.35</x:v>
      </x:c>
      <x:c r="O420" s="29" t="str">
        <x:v>114.46</x:v>
      </x:c>
      <x:c r="P420" s="18" t="str">
        <x:v>2026-08-07</x:v>
      </x:c>
      <x:c r="Q420" s="36" t="n">
        <x:v>46241</x:v>
      </x:c>
    </x:row>
    <x:row r="421">
      <x:c r="A421" s="36" t="str">
        <x:v>2026-08-07</x:v>
      </x:c>
      <x:c r="B421" s="18" t="str">
        <x:v>101437000_72541</x:v>
      </x:c>
      <x:c r="C421" s="18" t="str">
        <x:v>【沪村小电】九干路1174弄充电站</x:v>
      </x:c>
      <x:c r="D421" s="37" t="str">
        <x:v>2</x:v>
      </x:c>
      <x:c r="E421" s="37" t="str">
        <x:v>0</x:v>
      </x:c>
      <x:c r="F421" s="37" t="str">
        <x:v>57</x:v>
      </x:c>
      <x:c r="G421" s="37" t="str">
        <x:v>1384.48</x:v>
      </x:c>
      <x:c r="H421" s="37" t="str">
        <x:v>0.00</x:v>
      </x:c>
      <x:c r="I421" s="37" t="str">
        <x:v>941.42</x:v>
      </x:c>
      <x:c r="J421" s="37" t="str">
        <x:v>0.00</x:v>
      </x:c>
      <x:c r="K421" s="37" t="str">
        <x:v>443.05</x:v>
      </x:c>
      <x:c r="L421" s="37" t="str">
        <x:v>2119</x:v>
      </x:c>
      <x:c r="M421" s="29" t="str">
        <x:v>1211.13</x:v>
      </x:c>
      <x:c r="N421" s="29" t="str">
        <x:v>832.29</x:v>
      </x:c>
      <x:c r="O421" s="29" t="str">
        <x:v>378.84</x:v>
      </x:c>
      <x:c r="P421" s="18" t="str">
        <x:v>2026-08-07</x:v>
      </x:c>
      <x:c r="Q421" s="36" t="n">
        <x:v>46241</x:v>
      </x:c>
    </x:row>
    <x:row r="422">
      <x:c r="A422" s="36" t="str">
        <x:v>2026-08-07</x:v>
      </x:c>
      <x:c r="B422" s="18" t="str">
        <x:v>101437000_72543</x:v>
      </x:c>
      <x:c r="C422" s="18" t="str">
        <x:v>【沪村小电】叶家中心村小区充电站</x:v>
      </x:c>
      <x:c r="D422" s="37" t="str">
        <x:v>2</x:v>
      </x:c>
      <x:c r="E422" s="37" t="str">
        <x:v>0</x:v>
      </x:c>
      <x:c r="F422" s="37" t="str">
        <x:v>50</x:v>
      </x:c>
      <x:c r="G422" s="37" t="str">
        <x:v>1212.09</x:v>
      </x:c>
      <x:c r="H422" s="37" t="str">
        <x:v>0.00</x:v>
      </x:c>
      <x:c r="I422" s="37" t="str">
        <x:v>636.57</x:v>
      </x:c>
      <x:c r="J422" s="37" t="str">
        <x:v>0.00</x:v>
      </x:c>
      <x:c r="K422" s="37" t="str">
        <x:v>575.52</x:v>
      </x:c>
      <x:c r="L422" s="37" t="str">
        <x:v>2144</x:v>
      </x:c>
      <x:c r="M422" s="29" t="str">
        <x:v>942.09</x:v>
      </x:c>
      <x:c r="N422" s="29" t="str">
        <x:v>664.92</x:v>
      </x:c>
      <x:c r="O422" s="29" t="str">
        <x:v>277.17</x:v>
      </x:c>
      <x:c r="P422" s="18" t="str">
        <x:v>2026-08-07</x:v>
      </x:c>
      <x:c r="Q422" s="36" t="n">
        <x:v>46241</x:v>
      </x:c>
    </x:row>
    <x:row r="423">
      <x:c r="A423" s="36" t="str">
        <x:v>2026-08-07</x:v>
      </x:c>
      <x:c r="B423" s="18" t="str">
        <x:v>101437000_72937</x:v>
      </x:c>
      <x:c r="C423" s="18" t="str">
        <x:v>【沪村小电】佘北家园茸腾苑充电站</x:v>
      </x:c>
      <x:c r="D423" s="37" t="str">
        <x:v>4</x:v>
      </x:c>
      <x:c r="E423" s="37" t="str">
        <x:v>0</x:v>
      </x:c>
      <x:c r="F423" s="37" t="str">
        <x:v>24</x:v>
      </x:c>
      <x:c r="G423" s="37" t="str">
        <x:v>540.02</x:v>
      </x:c>
      <x:c r="H423" s="37" t="str">
        <x:v>0.00</x:v>
      </x:c>
      <x:c r="I423" s="37" t="str">
        <x:v>540.02</x:v>
      </x:c>
      <x:c r="J423" s="37" t="str">
        <x:v>0.00</x:v>
      </x:c>
      <x:c r="K423" s="37" t="str">
        <x:v>0.00</x:v>
      </x:c>
      <x:c r="L423" s="37" t="str">
        <x:v>874</x:v>
      </x:c>
      <x:c r="M423" s="29" t="str">
        <x:v>590.90</x:v>
      </x:c>
      <x:c r="N423" s="29" t="str">
        <x:v>383.42</x:v>
      </x:c>
      <x:c r="O423" s="29" t="str">
        <x:v>207.48</x:v>
      </x:c>
      <x:c r="P423" s="18" t="str">
        <x:v>2026-08-07</x:v>
      </x:c>
      <x:c r="Q423" s="36" t="n">
        <x:v>46241</x:v>
      </x:c>
    </x:row>
    <x:row r="424">
      <x:c r="A424" s="36" t="str">
        <x:v>2026-08-07</x:v>
      </x:c>
      <x:c r="B424" s="18" t="str">
        <x:v>101437000_74223</x:v>
      </x:c>
      <x:c r="C424" s="18" t="str">
        <x:v>【沪村小电】中兴村委会充电站</x:v>
      </x:c>
      <x:c r="D424" s="37" t="str">
        <x:v>2</x:v>
      </x:c>
      <x:c r="E424" s="37" t="str">
        <x:v>0</x:v>
      </x:c>
      <x:c r="F424" s="37" t="str">
        <x:v>20</x:v>
      </x:c>
      <x:c r="G424" s="37" t="str">
        <x:v>508.11</x:v>
      </x:c>
      <x:c r="H424" s="37" t="str">
        <x:v>0.00</x:v>
      </x:c>
      <x:c r="I424" s="37" t="str">
        <x:v>194.15</x:v>
      </x:c>
      <x:c r="J424" s="37" t="str">
        <x:v>0.00</x:v>
      </x:c>
      <x:c r="K424" s="37" t="str">
        <x:v>313.96</x:v>
      </x:c>
      <x:c r="L424" s="37" t="str">
        <x:v>720</x:v>
      </x:c>
      <x:c r="M424" s="29" t="str">
        <x:v>450.97</x:v>
      </x:c>
      <x:c r="N424" s="29" t="str">
        <x:v>352.33</x:v>
      </x:c>
      <x:c r="O424" s="29" t="str">
        <x:v>98.64</x:v>
      </x:c>
      <x:c r="P424" s="18" t="str">
        <x:v>2026-08-07</x:v>
      </x:c>
      <x:c r="Q424" s="36" t="n">
        <x:v>46241</x:v>
      </x:c>
    </x:row>
    <x:row r="425">
      <x:c r="A425" s="36" t="str">
        <x:v>2026-08-07</x:v>
      </x:c>
      <x:c r="B425" s="18" t="str">
        <x:v>101437000_74801</x:v>
      </x:c>
      <x:c r="C425" s="18" t="str">
        <x:v>【沪村小电】申良花园充电站</x:v>
      </x:c>
      <x:c r="D425" s="37" t="str">
        <x:v>4</x:v>
      </x:c>
      <x:c r="E425" s="37" t="str">
        <x:v>0</x:v>
      </x:c>
      <x:c r="F425" s="37" t="str">
        <x:v>17</x:v>
      </x:c>
      <x:c r="G425" s="37" t="str">
        <x:v>466.93</x:v>
      </x:c>
      <x:c r="H425" s="37" t="str">
        <x:v>0.00</x:v>
      </x:c>
      <x:c r="I425" s="37" t="str">
        <x:v>383.62</x:v>
      </x:c>
      <x:c r="J425" s="37" t="str">
        <x:v>0.00</x:v>
      </x:c>
      <x:c r="K425" s="37" t="str">
        <x:v>83.30</x:v>
      </x:c>
      <x:c r="L425" s="37" t="str">
        <x:v>557</x:v>
      </x:c>
      <x:c r="M425" s="29" t="str">
        <x:v>468.49</x:v>
      </x:c>
      <x:c r="N425" s="29" t="str">
        <x:v>303.23</x:v>
      </x:c>
      <x:c r="O425" s="29" t="str">
        <x:v>165.26</x:v>
      </x:c>
      <x:c r="P425" s="18" t="str">
        <x:v>2026-08-07</x:v>
      </x:c>
      <x:c r="Q425" s="36" t="n">
        <x:v>46241</x:v>
      </x:c>
    </x:row>
    <x:row r="426">
      <x:c r="A426" s="36" t="str">
        <x:v>2026-08-07</x:v>
      </x:c>
      <x:c r="B426" s="18" t="str">
        <x:v>101437000_74931</x:v>
      </x:c>
      <x:c r="C426" s="18" t="str">
        <x:v>【沪村小电】枫雅南居充电站</x:v>
      </x:c>
      <x:c r="D426" s="37" t="str">
        <x:v>2</x:v>
      </x:c>
      <x:c r="E426" s="37" t="str">
        <x:v>0</x:v>
      </x:c>
      <x:c r="F426" s="37" t="str">
        <x:v>48</x:v>
      </x:c>
      <x:c r="G426" s="37" t="str">
        <x:v>1498.75</x:v>
      </x:c>
      <x:c r="H426" s="37" t="str">
        <x:v>0.00</x:v>
      </x:c>
      <x:c r="I426" s="37" t="str">
        <x:v>678.71</x:v>
      </x:c>
      <x:c r="J426" s="37" t="str">
        <x:v>0.00</x:v>
      </x:c>
      <x:c r="K426" s="37" t="str">
        <x:v>820.04</x:v>
      </x:c>
      <x:c r="L426" s="37" t="str">
        <x:v>2233</x:v>
      </x:c>
      <x:c r="M426" s="29" t="str">
        <x:v>971.23</x:v>
      </x:c>
      <x:c r="N426" s="29" t="str">
        <x:v>654.70</x:v>
      </x:c>
      <x:c r="O426" s="29" t="str">
        <x:v>316.53</x:v>
      </x:c>
      <x:c r="P426" s="18" t="str">
        <x:v>2026-08-07</x:v>
      </x:c>
      <x:c r="Q426" s="36" t="n">
        <x:v>46241</x:v>
      </x:c>
    </x:row>
    <x:row r="427">
      <x:c r="A427" s="36" t="str">
        <x:v>2026-08-07</x:v>
      </x:c>
      <x:c r="B427" s="18" t="str">
        <x:v>101437000_75901</x:v>
      </x:c>
      <x:c r="C427" s="18" t="str">
        <x:v>【沪村小电】金悦学府</x:v>
      </x:c>
      <x:c r="D427" s="37" t="str">
        <x:v>2</x:v>
      </x:c>
      <x:c r="E427" s="37" t="str">
        <x:v>0</x:v>
      </x:c>
      <x:c r="F427" s="37" t="str">
        <x:v>56</x:v>
      </x:c>
      <x:c r="G427" s="37" t="str">
        <x:v>1342.61</x:v>
      </x:c>
      <x:c r="H427" s="37" t="str">
        <x:v>0.00</x:v>
      </x:c>
      <x:c r="I427" s="37" t="str">
        <x:v>459.01</x:v>
      </x:c>
      <x:c r="J427" s="37" t="str">
        <x:v>0.00</x:v>
      </x:c>
      <x:c r="K427" s="37" t="str">
        <x:v>883.60</x:v>
      </x:c>
      <x:c r="L427" s="37" t="str">
        <x:v>2226</x:v>
      </x:c>
      <x:c r="M427" s="29" t="str">
        <x:v>948.72</x:v>
      </x:c>
      <x:c r="N427" s="29" t="str">
        <x:v>544.74</x:v>
      </x:c>
      <x:c r="O427" s="29" t="str">
        <x:v>403.98</x:v>
      </x:c>
      <x:c r="P427" s="18" t="str">
        <x:v>2026-08-07</x:v>
      </x:c>
      <x:c r="Q427" s="36" t="n">
        <x:v>46241</x:v>
      </x:c>
    </x:row>
    <x:row r="428">
      <x:c r="A428" s="36" t="str">
        <x:v>2026-08-07</x:v>
      </x:c>
      <x:c r="B428" s="18" t="str">
        <x:v>101437000_76091</x:v>
      </x:c>
      <x:c r="C428" s="18" t="str">
        <x:v>【沪村小电】恒信家园充电站</x:v>
      </x:c>
      <x:c r="D428" s="37" t="str">
        <x:v>2</x:v>
      </x:c>
      <x:c r="E428" s="37" t="str">
        <x:v>0</x:v>
      </x:c>
      <x:c r="F428" s="37" t="str">
        <x:v>36</x:v>
      </x:c>
      <x:c r="G428" s="37" t="str">
        <x:v>802.83</x:v>
      </x:c>
      <x:c r="H428" s="37" t="str">
        <x:v>0.00</x:v>
      </x:c>
      <x:c r="I428" s="37" t="str">
        <x:v>541.07</x:v>
      </x:c>
      <x:c r="J428" s="37" t="str">
        <x:v>0.00</x:v>
      </x:c>
      <x:c r="K428" s="37" t="str">
        <x:v>261.76</x:v>
      </x:c>
      <x:c r="L428" s="37" t="str">
        <x:v>1255</x:v>
      </x:c>
      <x:c r="M428" s="29" t="str">
        <x:v>812.90</x:v>
      </x:c>
      <x:c r="N428" s="29" t="str">
        <x:v>480.99</x:v>
      </x:c>
      <x:c r="O428" s="29" t="str">
        <x:v>331.91</x:v>
      </x:c>
      <x:c r="P428" s="18" t="str">
        <x:v>2026-08-07</x:v>
      </x:c>
      <x:c r="Q428" s="36" t="n">
        <x:v>46241</x:v>
      </x:c>
    </x:row>
    <x:row r="429">
      <x:c r="A429" s="36" t="str">
        <x:v>2026-08-07</x:v>
      </x:c>
      <x:c r="B429" s="18" t="str">
        <x:v>101437000_76417</x:v>
      </x:c>
      <x:c r="C429" s="18" t="str">
        <x:v>【沪村小电】新春一组充电站</x:v>
      </x:c>
      <x:c r="D429" s="37" t="str">
        <x:v>2</x:v>
      </x:c>
      <x:c r="E429" s="37" t="str">
        <x:v>0</x:v>
      </x:c>
      <x:c r="F429" s="37" t="str">
        <x:v>14</x:v>
      </x:c>
      <x:c r="G429" s="37" t="str">
        <x:v>407.44</x:v>
      </x:c>
      <x:c r="H429" s="37" t="str">
        <x:v>0.00</x:v>
      </x:c>
      <x:c r="I429" s="37" t="str">
        <x:v>202.79</x:v>
      </x:c>
      <x:c r="J429" s="37" t="str">
        <x:v>0.00</x:v>
      </x:c>
      <x:c r="K429" s="37" t="str">
        <x:v>204.65</x:v>
      </x:c>
      <x:c r="L429" s="37" t="str">
        <x:v>647</x:v>
      </x:c>
      <x:c r="M429" s="29" t="str">
        <x:v>385.47</x:v>
      </x:c>
      <x:c r="N429" s="29" t="str">
        <x:v>305.11</x:v>
      </x:c>
      <x:c r="O429" s="29" t="str">
        <x:v>80.36</x:v>
      </x:c>
      <x:c r="P429" s="18" t="str">
        <x:v>2026-08-07</x:v>
      </x:c>
      <x:c r="Q429" s="36" t="n">
        <x:v>46241</x:v>
      </x:c>
    </x:row>
    <x:row r="430">
      <x:c r="A430" s="36" t="str">
        <x:v>2026-08-07</x:v>
      </x:c>
      <x:c r="B430" s="18" t="str">
        <x:v>101437000_78235</x:v>
      </x:c>
      <x:c r="C430" s="18" t="str">
        <x:v>【沪村小电】欣秋苑充电站</x:v>
      </x:c>
      <x:c r="D430" s="37" t="str">
        <x:v>4</x:v>
      </x:c>
      <x:c r="E430" s="37" t="str">
        <x:v>0</x:v>
      </x:c>
      <x:c r="F430" s="37" t="str">
        <x:v>17</x:v>
      </x:c>
      <x:c r="G430" s="37" t="str">
        <x:v>427.25</x:v>
      </x:c>
      <x:c r="H430" s="37" t="str">
        <x:v>0.00</x:v>
      </x:c>
      <x:c r="I430" s="37" t="str">
        <x:v>349.64</x:v>
      </x:c>
      <x:c r="J430" s="37" t="str">
        <x:v>0.00</x:v>
      </x:c>
      <x:c r="K430" s="37" t="str">
        <x:v>77.61</x:v>
      </x:c>
      <x:c r="L430" s="37" t="str">
        <x:v>794</x:v>
      </x:c>
      <x:c r="M430" s="29" t="str">
        <x:v>390.66</x:v>
      </x:c>
      <x:c r="N430" s="29" t="str">
        <x:v>276.95</x:v>
      </x:c>
      <x:c r="O430" s="29" t="str">
        <x:v>113.71</x:v>
      </x:c>
      <x:c r="P430" s="18" t="str">
        <x:v>2026-08-07</x:v>
      </x:c>
      <x:c r="Q430" s="36" t="n">
        <x:v>46241</x:v>
      </x:c>
    </x:row>
    <x:row r="431">
      <x:c r="A431" s="36" t="str">
        <x:v>2026-08-07</x:v>
      </x:c>
      <x:c r="B431" s="18" t="str">
        <x:v>101437000_78237</x:v>
      </x:c>
      <x:c r="C431" s="18" t="str">
        <x:v>【沪村小电】奉馨苑西门小区内北侧充电站</x:v>
      </x:c>
      <x:c r="D431" s="37" t="str">
        <x:v>2</x:v>
      </x:c>
      <x:c r="E431" s="37" t="str">
        <x:v>0</x:v>
      </x:c>
      <x:c r="F431" s="37" t="str">
        <x:v>29</x:v>
      </x:c>
      <x:c r="G431" s="37" t="str">
        <x:v>805.23</x:v>
      </x:c>
      <x:c r="H431" s="37" t="str">
        <x:v>10.21</x:v>
      </x:c>
      <x:c r="I431" s="37" t="str">
        <x:v>144.33</x:v>
      </x:c>
      <x:c r="J431" s="37" t="str">
        <x:v>298.99</x:v>
      </x:c>
      <x:c r="K431" s="37" t="str">
        <x:v>351.71</x:v>
      </x:c>
      <x:c r="L431" s="37" t="str">
        <x:v>1183</x:v>
      </x:c>
      <x:c r="M431" s="29" t="str">
        <x:v>687.79</x:v>
      </x:c>
      <x:c r="N431" s="29" t="str">
        <x:v>523.74</x:v>
      </x:c>
      <x:c r="O431" s="29" t="str">
        <x:v>164.05</x:v>
      </x:c>
      <x:c r="P431" s="18" t="str">
        <x:v>2026-08-07</x:v>
      </x:c>
      <x:c r="Q431" s="36" t="n">
        <x:v>46241</x:v>
      </x:c>
    </x:row>
    <x:row r="432">
      <x:c r="A432" s="36" t="str">
        <x:v>2026-08-07</x:v>
      </x:c>
      <x:c r="B432" s="18" t="str">
        <x:v>101437000_80823</x:v>
      </x:c>
      <x:c r="C432" s="18" t="str">
        <x:v>【沪村小电】上湖轩充电站</x:v>
      </x:c>
      <x:c r="D432" s="37" t="str">
        <x:v>2</x:v>
      </x:c>
      <x:c r="E432" s="37" t="str">
        <x:v>0</x:v>
      </x:c>
      <x:c r="F432" s="37" t="str">
        <x:v>5</x:v>
      </x:c>
      <x:c r="G432" s="37" t="str">
        <x:v>124.38</x:v>
      </x:c>
      <x:c r="H432" s="37" t="str">
        <x:v>0.00</x:v>
      </x:c>
      <x:c r="I432" s="37" t="str">
        <x:v>0.00</x:v>
      </x:c>
      <x:c r="J432" s="37" t="str">
        <x:v>62.48</x:v>
      </x:c>
      <x:c r="K432" s="37" t="str">
        <x:v>61.90</x:v>
      </x:c>
      <x:c r="L432" s="37" t="str">
        <x:v>183</x:v>
      </x:c>
      <x:c r="M432" s="29" t="str">
        <x:v>95.02</x:v>
      </x:c>
      <x:c r="N432" s="29" t="str">
        <x:v>82.81</x:v>
      </x:c>
      <x:c r="O432" s="29" t="str">
        <x:v>12.21</x:v>
      </x:c>
      <x:c r="P432" s="18" t="str">
        <x:v>2026-08-07</x:v>
      </x:c>
      <x:c r="Q432" s="36" t="n">
        <x:v>46241</x:v>
      </x:c>
    </x:row>
    <x:row r="433">
      <x:c r="A433" s="36" t="str">
        <x:v>2026-08-07</x:v>
      </x:c>
      <x:c r="B433" s="18" t="str">
        <x:v>101437000_83019</x:v>
      </x:c>
      <x:c r="C433" s="18" t="str">
        <x:v>【沪村小电】首创禧瑞云启东区充电站</x:v>
      </x:c>
      <x:c r="D433" s="37" t="str">
        <x:v>2</x:v>
      </x:c>
      <x:c r="E433" s="37" t="str">
        <x:v>0</x:v>
      </x:c>
      <x:c r="F433" s="37" t="str">
        <x:v>28</x:v>
      </x:c>
      <x:c r="G433" s="37" t="str">
        <x:v>568.71</x:v>
      </x:c>
      <x:c r="H433" s="37" t="str">
        <x:v>0.00</x:v>
      </x:c>
      <x:c r="I433" s="37" t="str">
        <x:v>406.33</x:v>
      </x:c>
      <x:c r="J433" s="37" t="str">
        <x:v>0.00</x:v>
      </x:c>
      <x:c r="K433" s="37" t="str">
        <x:v>162.38</x:v>
      </x:c>
      <x:c r="L433" s="37" t="str">
        <x:v>721</x:v>
      </x:c>
      <x:c r="M433" s="29" t="str">
        <x:v>554.96</x:v>
      </x:c>
      <x:c r="N433" s="29" t="str">
        <x:v>348.53</x:v>
      </x:c>
      <x:c r="O433" s="29" t="str">
        <x:v>206.43</x:v>
      </x:c>
      <x:c r="P433" s="18" t="str">
        <x:v>2026-08-07</x:v>
      </x:c>
      <x:c r="Q433" s="36" t="n">
        <x:v>46241</x:v>
      </x:c>
    </x:row>
    <x:row r="434">
      <x:c r="A434" s="36" t="str">
        <x:v>2026-08-07</x:v>
      </x:c>
      <x:c r="B434" s="18" t="str">
        <x:v>101437000_83093</x:v>
      </x:c>
      <x:c r="C434" s="18" t="str">
        <x:v>【沪村小电】金茂未来时光里</x:v>
      </x:c>
      <x:c r="D434" s="37" t="str">
        <x:v>2</x:v>
      </x:c>
      <x:c r="E434" s="37" t="str">
        <x:v>0</x:v>
      </x:c>
      <x:c r="F434" s="37" t="str">
        <x:v>54</x:v>
      </x:c>
      <x:c r="G434" s="37" t="str">
        <x:v>1720.52</x:v>
      </x:c>
      <x:c r="H434" s="37" t="str">
        <x:v>0.00</x:v>
      </x:c>
      <x:c r="I434" s="37" t="str">
        <x:v>622.11</x:v>
      </x:c>
      <x:c r="J434" s="37" t="str">
        <x:v>0.00</x:v>
      </x:c>
      <x:c r="K434" s="37" t="str">
        <x:v>1098.40</x:v>
      </x:c>
      <x:c r="L434" s="37" t="str">
        <x:v>2704</x:v>
      </x:c>
      <x:c r="M434" s="29" t="str">
        <x:v>1070.80</x:v>
      </x:c>
      <x:c r="N434" s="29" t="str">
        <x:v>707.50</x:v>
      </x:c>
      <x:c r="O434" s="29" t="str">
        <x:v>363.30</x:v>
      </x:c>
      <x:c r="P434" s="18" t="str">
        <x:v>2026-08-07</x:v>
      </x:c>
      <x:c r="Q434" s="36" t="n">
        <x:v>46241</x:v>
      </x:c>
    </x:row>
    <x:row r="435">
      <x:c r="A435" s="36" t="str">
        <x:v>2026-08-07</x:v>
      </x:c>
      <x:c r="B435" s="18" t="str">
        <x:v>101437000_83911</x:v>
      </x:c>
      <x:c r="C435" s="18" t="str">
        <x:v>【沪村小电】金瀚园充电站</x:v>
      </x:c>
      <x:c r="D435" s="37" t="str">
        <x:v>2</x:v>
      </x:c>
      <x:c r="E435" s="37" t="str">
        <x:v>0</x:v>
      </x:c>
      <x:c r="F435" s="37" t="str">
        <x:v>53</x:v>
      </x:c>
      <x:c r="G435" s="37" t="str">
        <x:v>1395.59</x:v>
      </x:c>
      <x:c r="H435" s="37" t="str">
        <x:v>0.00</x:v>
      </x:c>
      <x:c r="I435" s="37" t="str">
        <x:v>748.78</x:v>
      </x:c>
      <x:c r="J435" s="37" t="str">
        <x:v>0.00</x:v>
      </x:c>
      <x:c r="K435" s="37" t="str">
        <x:v>646.81</x:v>
      </x:c>
      <x:c r="L435" s="37" t="str">
        <x:v>2025</x:v>
      </x:c>
      <x:c r="M435" s="29" t="str">
        <x:v>1204.05</x:v>
      </x:c>
      <x:c r="N435" s="29" t="str">
        <x:v>770.97</x:v>
      </x:c>
      <x:c r="O435" s="29" t="str">
        <x:v>433.08</x:v>
      </x:c>
      <x:c r="P435" s="18" t="str">
        <x:v>2026-08-07</x:v>
      </x:c>
      <x:c r="Q435" s="36" t="n">
        <x:v>46241</x:v>
      </x:c>
    </x:row>
    <x:row r="436">
      <x:c r="A436" s="36" t="str">
        <x:v>2026-08-07</x:v>
      </x:c>
      <x:c r="B436" s="18" t="str">
        <x:v>101437000_83913</x:v>
      </x:c>
      <x:c r="C436" s="18" t="str">
        <x:v>【沪村小电】新黎村充电站</x:v>
      </x:c>
      <x:c r="D436" s="37" t="str">
        <x:v>2</x:v>
      </x:c>
      <x:c r="E436" s="37" t="str">
        <x:v>0</x:v>
      </x:c>
      <x:c r="F436" s="37" t="str">
        <x:v>44</x:v>
      </x:c>
      <x:c r="G436" s="37" t="str">
        <x:v>1154.50</x:v>
      </x:c>
      <x:c r="H436" s="37" t="str">
        <x:v>0.00</x:v>
      </x:c>
      <x:c r="I436" s="37" t="str">
        <x:v>703.38</x:v>
      </x:c>
      <x:c r="J436" s="37" t="str">
        <x:v>0.00</x:v>
      </x:c>
      <x:c r="K436" s="37" t="str">
        <x:v>451.12</x:v>
      </x:c>
      <x:c r="L436" s="37" t="str">
        <x:v>1506</x:v>
      </x:c>
      <x:c r="M436" s="29" t="str">
        <x:v>1165.12</x:v>
      </x:c>
      <x:c r="N436" s="29" t="str">
        <x:v>926.41</x:v>
      </x:c>
      <x:c r="O436" s="29" t="str">
        <x:v>238.71</x:v>
      </x:c>
      <x:c r="P436" s="18" t="str">
        <x:v>2026-08-07</x:v>
      </x:c>
      <x:c r="Q436" s="36" t="n">
        <x:v>46241</x:v>
      </x:c>
    </x:row>
    <x:row r="437">
      <x:c r="A437" s="36" t="str">
        <x:v>2026-08-07</x:v>
      </x:c>
      <x:c r="B437" s="18" t="str">
        <x:v>101437000_83915</x:v>
      </x:c>
      <x:c r="C437" s="18" t="str">
        <x:v>【沪村小电】长泰西郊别墅充电站</x:v>
      </x:c>
      <x:c r="D437" s="37" t="str">
        <x:v>2</x:v>
      </x:c>
      <x:c r="E437" s="37" t="str">
        <x:v>0</x:v>
      </x:c>
      <x:c r="F437" s="37" t="str">
        <x:v>30</x:v>
      </x:c>
      <x:c r="G437" s="37" t="str">
        <x:v>631.08</x:v>
      </x:c>
      <x:c r="H437" s="37" t="str">
        <x:v>0.00</x:v>
      </x:c>
      <x:c r="I437" s="37" t="str">
        <x:v>381.44</x:v>
      </x:c>
      <x:c r="J437" s="37" t="str">
        <x:v>0.00</x:v>
      </x:c>
      <x:c r="K437" s="37" t="str">
        <x:v>249.65</x:v>
      </x:c>
      <x:c r="L437" s="37" t="str">
        <x:v>1073</x:v>
      </x:c>
      <x:c r="M437" s="29" t="str">
        <x:v>578.39</x:v>
      </x:c>
      <x:c r="N437" s="29" t="str">
        <x:v>363.16</x:v>
      </x:c>
      <x:c r="O437" s="29" t="str">
        <x:v>215.23</x:v>
      </x:c>
      <x:c r="P437" s="18" t="str">
        <x:v>2026-08-07</x:v>
      </x:c>
      <x:c r="Q437" s="36" t="n">
        <x:v>46241</x:v>
      </x:c>
    </x:row>
    <x:row r="438">
      <x:c r="A438" s="36" t="str">
        <x:v>2026-08-07</x:v>
      </x:c>
      <x:c r="B438" s="18" t="str">
        <x:v>101437000_83917</x:v>
      </x:c>
      <x:c r="C438" s="18" t="str">
        <x:v>【沪村小电】旭新华庭充电站</x:v>
      </x:c>
      <x:c r="D438" s="37" t="str">
        <x:v>4</x:v>
      </x:c>
      <x:c r="E438" s="37" t="str">
        <x:v>0</x:v>
      </x:c>
      <x:c r="F438" s="37" t="str">
        <x:v>28</x:v>
      </x:c>
      <x:c r="G438" s="37" t="str">
        <x:v>514.41</x:v>
      </x:c>
      <x:c r="H438" s="37" t="str">
        <x:v>0.00</x:v>
      </x:c>
      <x:c r="I438" s="37" t="str">
        <x:v>386.90</x:v>
      </x:c>
      <x:c r="J438" s="37" t="str">
        <x:v>0.00</x:v>
      </x:c>
      <x:c r="K438" s="37" t="str">
        <x:v>127.51</x:v>
      </x:c>
      <x:c r="L438" s="37" t="str">
        <x:v>718</x:v>
      </x:c>
      <x:c r="M438" s="29" t="str">
        <x:v>509.76</x:v>
      </x:c>
      <x:c r="N438" s="29" t="str">
        <x:v>321.89</x:v>
      </x:c>
      <x:c r="O438" s="29" t="str">
        <x:v>187.87</x:v>
      </x:c>
      <x:c r="P438" s="18" t="str">
        <x:v>2026-08-07</x:v>
      </x:c>
      <x:c r="Q438" s="36" t="n">
        <x:v>46241</x:v>
      </x:c>
    </x:row>
    <x:row r="439">
      <x:c r="A439" s="36" t="str">
        <x:v>2026-08-07</x:v>
      </x:c>
      <x:c r="B439" s="18" t="str">
        <x:v>101437000_83919</x:v>
      </x:c>
      <x:c r="C439" s="18" t="str">
        <x:v>【沪村小电】浦锦名仕嘉园充电站</x:v>
      </x:c>
      <x:c r="D439" s="37" t="str">
        <x:v>4</x:v>
      </x:c>
      <x:c r="E439" s="37" t="str">
        <x:v>0</x:v>
      </x:c>
      <x:c r="F439" s="37" t="str">
        <x:v>44</x:v>
      </x:c>
      <x:c r="G439" s="37" t="str">
        <x:v>902.10</x:v>
      </x:c>
      <x:c r="H439" s="37" t="str">
        <x:v>0.00</x:v>
      </x:c>
      <x:c r="I439" s="37" t="str">
        <x:v>0.00</x:v>
      </x:c>
      <x:c r="J439" s="37" t="str">
        <x:v>902.10</x:v>
      </x:c>
      <x:c r="K439" s="37" t="str">
        <x:v>0.00</x:v>
      </x:c>
      <x:c r="L439" s="37" t="str">
        <x:v>1462</x:v>
      </x:c>
      <x:c r="M439" s="29" t="str">
        <x:v>912.94</x:v>
      </x:c>
      <x:c r="N439" s="29" t="str">
        <x:v>631.49</x:v>
      </x:c>
      <x:c r="O439" s="29" t="str">
        <x:v>281.45</x:v>
      </x:c>
      <x:c r="P439" s="18" t="str">
        <x:v>2026-08-07</x:v>
      </x:c>
      <x:c r="Q439" s="36" t="n">
        <x:v>46241</x:v>
      </x:c>
    </x:row>
    <x:row r="440">
      <x:c r="A440" s="36" t="str">
        <x:v>2026-08-07</x:v>
      </x:c>
      <x:c r="B440" s="18" t="str">
        <x:v>101437000_83921</x:v>
      </x:c>
      <x:c r="C440" s="18" t="str">
        <x:v>【沪村小电】上海联怡枇杷乐园充电站（地库）</x:v>
      </x:c>
      <x:c r="D440" s="37" t="str">
        <x:v>8</x:v>
      </x:c>
      <x:c r="E440" s="37" t="str">
        <x:v>0</x:v>
      </x:c>
      <x:c r="F440" s="37" t="str">
        <x:v>29</x:v>
      </x:c>
      <x:c r="G440" s="37" t="str">
        <x:v>772.74</x:v>
      </x:c>
      <x:c r="H440" s="37" t="str">
        <x:v>0.00</x:v>
      </x:c>
      <x:c r="I440" s="37" t="str">
        <x:v>465.40</x:v>
      </x:c>
      <x:c r="J440" s="37" t="str">
        <x:v>0.00</x:v>
      </x:c>
      <x:c r="K440" s="37" t="str">
        <x:v>307.34</x:v>
      </x:c>
      <x:c r="L440" s="37" t="str">
        <x:v>1131</x:v>
      </x:c>
      <x:c r="M440" s="29" t="str">
        <x:v>685.02</x:v>
      </x:c>
      <x:c r="N440" s="29" t="str">
        <x:v>577.42</x:v>
      </x:c>
      <x:c r="O440" s="29" t="str">
        <x:v>107.60</x:v>
      </x:c>
      <x:c r="P440" s="18" t="str">
        <x:v>2026-08-07</x:v>
      </x:c>
      <x:c r="Q440" s="36" t="n">
        <x:v>46241</x:v>
      </x:c>
    </x:row>
    <x:row r="441">
      <x:c r="A441" s="36" t="str">
        <x:v>2026-08-07</x:v>
      </x:c>
      <x:c r="B441" s="18" t="str">
        <x:v>101437000_83923</x:v>
      </x:c>
      <x:c r="C441" s="18" t="str">
        <x:v>【沪村小电】明珠新苑充电站</x:v>
      </x:c>
      <x:c r="D441" s="37" t="str">
        <x:v>2</x:v>
      </x:c>
      <x:c r="E441" s="37" t="str">
        <x:v>0</x:v>
      </x:c>
      <x:c r="F441" s="37" t="str">
        <x:v>32</x:v>
      </x:c>
      <x:c r="G441" s="37" t="str">
        <x:v>861.36</x:v>
      </x:c>
      <x:c r="H441" s="37" t="str">
        <x:v>0.00</x:v>
      </x:c>
      <x:c r="I441" s="37" t="str">
        <x:v>426.31</x:v>
      </x:c>
      <x:c r="J441" s="37" t="str">
        <x:v>0.00</x:v>
      </x:c>
      <x:c r="K441" s="37" t="str">
        <x:v>435.05</x:v>
      </x:c>
      <x:c r="L441" s="37" t="str">
        <x:v>1294</x:v>
      </x:c>
      <x:c r="M441" s="29" t="str">
        <x:v>781.81</x:v>
      </x:c>
      <x:c r="N441" s="29" t="str">
        <x:v>463.63</x:v>
      </x:c>
      <x:c r="O441" s="29" t="str">
        <x:v>318.18</x:v>
      </x:c>
      <x:c r="P441" s="18" t="str">
        <x:v>2026-08-07</x:v>
      </x:c>
      <x:c r="Q441" s="36" t="n">
        <x:v>46241</x:v>
      </x:c>
    </x:row>
    <x:row r="442">
      <x:c r="A442" s="36" t="str">
        <x:v>2026-08-07</x:v>
      </x:c>
      <x:c r="B442" s="18" t="str">
        <x:v>101437000_84289</x:v>
      </x:c>
      <x:c r="C442" s="18" t="str">
        <x:v>【沪村小电】铁建芳华苑充电站</x:v>
      </x:c>
      <x:c r="D442" s="37" t="str">
        <x:v>4</x:v>
      </x:c>
      <x:c r="E442" s="37" t="str">
        <x:v>0</x:v>
      </x:c>
      <x:c r="F442" s="37" t="str">
        <x:v>67</x:v>
      </x:c>
      <x:c r="G442" s="37" t="str">
        <x:v>1629.48</x:v>
      </x:c>
      <x:c r="H442" s="37" t="str">
        <x:v>0.00</x:v>
      </x:c>
      <x:c r="I442" s="37" t="str">
        <x:v>1077.29</x:v>
      </x:c>
      <x:c r="J442" s="37" t="str">
        <x:v>0.00</x:v>
      </x:c>
      <x:c r="K442" s="37" t="str">
        <x:v>552.19</x:v>
      </x:c>
      <x:c r="L442" s="37" t="str">
        <x:v>2469</x:v>
      </x:c>
      <x:c r="M442" s="29" t="str">
        <x:v>1451.25</x:v>
      </x:c>
      <x:c r="N442" s="29" t="str">
        <x:v>969.19</x:v>
      </x:c>
      <x:c r="O442" s="29" t="str">
        <x:v>482.06</x:v>
      </x:c>
      <x:c r="P442" s="18" t="str">
        <x:v>2026-08-07</x:v>
      </x:c>
      <x:c r="Q442" s="36" t="n">
        <x:v>46241</x:v>
      </x:c>
    </x:row>
    <x:row r="443">
      <x:c r="A443" s="36" t="str">
        <x:v>2026-08-07</x:v>
      </x:c>
      <x:c r="B443" s="18" t="str">
        <x:v>101437000_86379</x:v>
      </x:c>
      <x:c r="C443" s="18" t="str">
        <x:v>【沪村小电】新宝社区充电站</x:v>
      </x:c>
      <x:c r="D443" s="37" t="str">
        <x:v>4</x:v>
      </x:c>
      <x:c r="E443" s="37" t="str">
        <x:v>0</x:v>
      </x:c>
      <x:c r="F443" s="37" t="str">
        <x:v>40</x:v>
      </x:c>
      <x:c r="G443" s="37" t="str">
        <x:v>940.22</x:v>
      </x:c>
      <x:c r="H443" s="37" t="str">
        <x:v>0.00</x:v>
      </x:c>
      <x:c r="I443" s="37" t="str">
        <x:v>687.15</x:v>
      </x:c>
      <x:c r="J443" s="37" t="str">
        <x:v>0.00</x:v>
      </x:c>
      <x:c r="K443" s="37" t="str">
        <x:v>253.08</x:v>
      </x:c>
      <x:c r="L443" s="37" t="str">
        <x:v>1597</x:v>
      </x:c>
      <x:c r="M443" s="29" t="str">
        <x:v>896.78</x:v>
      </x:c>
      <x:c r="N443" s="29" t="str">
        <x:v>581.51</x:v>
      </x:c>
      <x:c r="O443" s="29" t="str">
        <x:v>315.27</x:v>
      </x:c>
      <x:c r="P443" s="18" t="str">
        <x:v>2026-08-07</x:v>
      </x:c>
      <x:c r="Q443" s="36" t="n">
        <x:v>46241</x:v>
      </x:c>
    </x:row>
    <x:row r="444">
      <x:c r="A444" s="36" t="str">
        <x:v>2026-08-07</x:v>
      </x:c>
      <x:c r="B444" s="18" t="str">
        <x:v>101437000_89441</x:v>
      </x:c>
      <x:c r="C444" s="18" t="str">
        <x:v>【沪村小电】首创禧瑞云启西区充电站</x:v>
      </x:c>
      <x:c r="D444" s="37" t="str">
        <x:v>2</x:v>
      </x:c>
      <x:c r="E444" s="37" t="str">
        <x:v>0</x:v>
      </x:c>
      <x:c r="F444" s="37" t="str">
        <x:v>44</x:v>
      </x:c>
      <x:c r="G444" s="37" t="str">
        <x:v>1094.46</x:v>
      </x:c>
      <x:c r="H444" s="37" t="str">
        <x:v>0.00</x:v>
      </x:c>
      <x:c r="I444" s="37" t="str">
        <x:v>824.64</x:v>
      </x:c>
      <x:c r="J444" s="37" t="str">
        <x:v>0.00</x:v>
      </x:c>
      <x:c r="K444" s="37" t="str">
        <x:v>269.82</x:v>
      </x:c>
      <x:c r="L444" s="37" t="str">
        <x:v>1505</x:v>
      </x:c>
      <x:c r="M444" s="29" t="str">
        <x:v>1052.54</x:v>
      </x:c>
      <x:c r="N444" s="29" t="str">
        <x:v>685.36</x:v>
      </x:c>
      <x:c r="O444" s="29" t="str">
        <x:v>367.18</x:v>
      </x:c>
      <x:c r="P444" s="18" t="str">
        <x:v>2026-08-07</x:v>
      </x:c>
      <x:c r="Q444" s="36" t="n">
        <x:v>46241</x:v>
      </x:c>
    </x:row>
    <x:row r="445">
      <x:c r="A445" s="36" t="str">
        <x:v>2026-08-07</x:v>
      </x:c>
      <x:c r="B445" s="18" t="str">
        <x:v>101437000_89443</x:v>
      </x:c>
      <x:c r="C445" s="18" t="str">
        <x:v>【沪村小电】玉兰清苑二期充电站</x:v>
      </x:c>
      <x:c r="D445" s="37" t="str">
        <x:v>2</x:v>
      </x:c>
      <x:c r="E445" s="37" t="str">
        <x:v>0</x:v>
      </x:c>
      <x:c r="F445" s="37" t="str">
        <x:v>38</x:v>
      </x:c>
      <x:c r="G445" s="37" t="str">
        <x:v>730.59</x:v>
      </x:c>
      <x:c r="H445" s="37" t="str">
        <x:v>0.00</x:v>
      </x:c>
      <x:c r="I445" s="37" t="str">
        <x:v>538.81</x:v>
      </x:c>
      <x:c r="J445" s="37" t="str">
        <x:v>0.00</x:v>
      </x:c>
      <x:c r="K445" s="37" t="str">
        <x:v>191.78</x:v>
      </x:c>
      <x:c r="L445" s="37" t="str">
        <x:v>1118</x:v>
      </x:c>
      <x:c r="M445" s="29" t="str">
        <x:v>692.26</x:v>
      </x:c>
      <x:c r="N445" s="29" t="str">
        <x:v>453.50</x:v>
      </x:c>
      <x:c r="O445" s="29" t="str">
        <x:v>238.76</x:v>
      </x:c>
      <x:c r="P445" s="18" t="str">
        <x:v>2026-08-07</x:v>
      </x:c>
      <x:c r="Q445" s="36" t="n">
        <x:v>46241</x:v>
      </x:c>
    </x:row>
    <x:row r="446">
      <x:c r="A446" s="36" t="str">
        <x:v>2026-08-07</x:v>
      </x:c>
      <x:c r="B446" s="18" t="str">
        <x:v>101437000_93115</x:v>
      </x:c>
      <x:c r="C446" s="18" t="str">
        <x:v>【沪村小电】新南家园西北门</x:v>
      </x:c>
      <x:c r="D446" s="37" t="str">
        <x:v>2</x:v>
      </x:c>
      <x:c r="E446" s="37" t="str">
        <x:v>0</x:v>
      </x:c>
      <x:c r="F446" s="37" t="str">
        <x:v>25</x:v>
      </x:c>
      <x:c r="G446" s="37" t="str">
        <x:v>602.22</x:v>
      </x:c>
      <x:c r="H446" s="37" t="str">
        <x:v>0.00</x:v>
      </x:c>
      <x:c r="I446" s="37" t="str">
        <x:v>310.04</x:v>
      </x:c>
      <x:c r="J446" s="37" t="str">
        <x:v>0.00</x:v>
      </x:c>
      <x:c r="K446" s="37" t="str">
        <x:v>292.19</x:v>
      </x:c>
      <x:c r="L446" s="37" t="str">
        <x:v>785</x:v>
      </x:c>
      <x:c r="M446" s="29" t="str">
        <x:v>512.52</x:v>
      </x:c>
      <x:c r="N446" s="29" t="str">
        <x:v>328.24</x:v>
      </x:c>
      <x:c r="O446" s="29" t="str">
        <x:v>184.28</x:v>
      </x:c>
      <x:c r="P446" s="18" t="str">
        <x:v>2026-08-07</x:v>
      </x:c>
      <x:c r="Q446" s="36" t="n">
        <x:v>46241</x:v>
      </x:c>
    </x:row>
    <x:row r="447">
      <x:c r="A447" s="36" t="str">
        <x:v>2026-08-07</x:v>
      </x:c>
      <x:c r="B447" s="18" t="str">
        <x:v>101437000_94649</x:v>
      </x:c>
      <x:c r="C447" s="18" t="str">
        <x:v>【沪村小电】浪琴水岸花园</x:v>
      </x:c>
      <x:c r="D447" s="37" t="str">
        <x:v>4</x:v>
      </x:c>
      <x:c r="E447" s="37" t="str">
        <x:v>0</x:v>
      </x:c>
      <x:c r="F447" s="37" t="str">
        <x:v>33</x:v>
      </x:c>
      <x:c r="G447" s="37" t="str">
        <x:v>804.89</x:v>
      </x:c>
      <x:c r="H447" s="37" t="str">
        <x:v>0.00</x:v>
      </x:c>
      <x:c r="I447" s="37" t="str">
        <x:v>462.35</x:v>
      </x:c>
      <x:c r="J447" s="37" t="str">
        <x:v>0.00</x:v>
      </x:c>
      <x:c r="K447" s="37" t="str">
        <x:v>342.55</x:v>
      </x:c>
      <x:c r="L447" s="37" t="str">
        <x:v>1174</x:v>
      </x:c>
      <x:c r="M447" s="29" t="str">
        <x:v>715.32</x:v>
      </x:c>
      <x:c r="N447" s="29" t="str">
        <x:v>489.27</x:v>
      </x:c>
      <x:c r="O447" s="29" t="str">
        <x:v>226.05</x:v>
      </x:c>
      <x:c r="P447" s="18" t="str">
        <x:v>2026-08-07</x:v>
      </x:c>
      <x:c r="Q447" s="36" t="n">
        <x:v>46241</x:v>
      </x:c>
    </x:row>
    <x:row r="448">
      <x:c r="A448" s="36" t="str">
        <x:v>2026-08-07</x:v>
      </x:c>
      <x:c r="B448" s="18" t="str">
        <x:v>101437000_95079</x:v>
      </x:c>
      <x:c r="C448" s="18" t="str">
        <x:v>【沪村小电】民乐城惠益绿苑东苑充电站</x:v>
      </x:c>
      <x:c r="D448" s="37" t="str">
        <x:v>2</x:v>
      </x:c>
      <x:c r="E448" s="37" t="str">
        <x:v>0</x:v>
      </x:c>
      <x:c r="F448" s="37" t="str">
        <x:v>31</x:v>
      </x:c>
      <x:c r="G448" s="37" t="str">
        <x:v>701.16</x:v>
      </x:c>
      <x:c r="H448" s="37" t="str">
        <x:v>0.00</x:v>
      </x:c>
      <x:c r="I448" s="37" t="str">
        <x:v>514.57</x:v>
      </x:c>
      <x:c r="J448" s="37" t="str">
        <x:v>0.00</x:v>
      </x:c>
      <x:c r="K448" s="37" t="str">
        <x:v>186.59</x:v>
      </x:c>
      <x:c r="L448" s="37" t="str">
        <x:v>1176</x:v>
      </x:c>
      <x:c r="M448" s="29" t="str">
        <x:v>645.15</x:v>
      </x:c>
      <x:c r="N448" s="29" t="str">
        <x:v>434.38</x:v>
      </x:c>
      <x:c r="O448" s="29" t="str">
        <x:v>210.77</x:v>
      </x:c>
      <x:c r="P448" s="18" t="str">
        <x:v>2026-08-07</x:v>
      </x:c>
      <x:c r="Q448" s="36" t="n">
        <x:v>46241</x:v>
      </x:c>
    </x:row>
    <x:row r="449">
      <x:c r="A449" s="36" t="str">
        <x:v>2026-08-07</x:v>
      </x:c>
      <x:c r="B449" s="18" t="str">
        <x:v>101437000_95081</x:v>
      </x:c>
      <x:c r="C449" s="18" t="str">
        <x:v>【沪村小电】民乐城惠益绿苑西苑充电站</x:v>
      </x:c>
      <x:c r="D449" s="37" t="str">
        <x:v>2</x:v>
      </x:c>
      <x:c r="E449" s="37" t="str">
        <x:v>0</x:v>
      </x:c>
      <x:c r="F449" s="37" t="str">
        <x:v>8</x:v>
      </x:c>
      <x:c r="G449" s="37" t="str">
        <x:v>216.77</x:v>
      </x:c>
      <x:c r="H449" s="37" t="str">
        <x:v>0.00</x:v>
      </x:c>
      <x:c r="I449" s="37" t="str">
        <x:v>216.77</x:v>
      </x:c>
      <x:c r="J449" s="37" t="str">
        <x:v>0.00</x:v>
      </x:c>
      <x:c r="K449" s="37" t="str">
        <x:v>0.00</x:v>
      </x:c>
      <x:c r="L449" s="37" t="str">
        <x:v>298</x:v>
      </x:c>
      <x:c r="M449" s="29" t="str">
        <x:v>244.02</x:v>
      </x:c>
      <x:c r="N449" s="29" t="str">
        <x:v>153.91</x:v>
      </x:c>
      <x:c r="O449" s="29" t="str">
        <x:v>90.11</x:v>
      </x:c>
      <x:c r="P449" s="18" t="str">
        <x:v>2026-08-07</x:v>
      </x:c>
      <x:c r="Q449" s="36" t="n">
        <x:v>46241</x:v>
      </x:c>
    </x:row>
    <x:row r="450">
      <x:c r="A450" s="36" t="str">
        <x:v>2026-08-07</x:v>
      </x:c>
      <x:c r="B450" s="18" t="str">
        <x:v>101437000_95091</x:v>
      </x:c>
      <x:c r="C450" s="18" t="str">
        <x:v>【沪村小电】金悦学府2号站</x:v>
      </x:c>
      <x:c r="D450" s="37" t="str">
        <x:v>2</x:v>
      </x:c>
      <x:c r="E450" s="37" t="str">
        <x:v>0</x:v>
      </x:c>
      <x:c r="F450" s="37" t="str">
        <x:v>28</x:v>
      </x:c>
      <x:c r="G450" s="37" t="str">
        <x:v>813.44</x:v>
      </x:c>
      <x:c r="H450" s="37" t="str">
        <x:v>0.00</x:v>
      </x:c>
      <x:c r="I450" s="37" t="str">
        <x:v>0.00</x:v>
      </x:c>
      <x:c r="J450" s="37" t="str">
        <x:v>813.44</x:v>
      </x:c>
      <x:c r="K450" s="37" t="str">
        <x:v>0.00</x:v>
      </x:c>
      <x:c r="L450" s="37" t="str">
        <x:v>1294</x:v>
      </x:c>
      <x:c r="M450" s="29" t="str">
        <x:v>642.62</x:v>
      </x:c>
      <x:c r="N450" s="29" t="str">
        <x:v>455.54</x:v>
      </x:c>
      <x:c r="O450" s="29" t="str">
        <x:v>187.08</x:v>
      </x:c>
      <x:c r="P450" s="18" t="str">
        <x:v>2026-08-07</x:v>
      </x:c>
      <x:c r="Q450" s="36" t="n">
        <x:v>46241</x:v>
      </x:c>
    </x:row>
    <x:row r="451">
      <x:c r="A451" s="36" t="str">
        <x:v>2026-08-07</x:v>
      </x:c>
      <x:c r="B451" s="18" t="str">
        <x:v>101437000_95941</x:v>
      </x:c>
      <x:c r="C451" s="18" t="str">
        <x:v>【沪村小电】惠诚雅苑</x:v>
      </x:c>
      <x:c r="D451" s="37" t="str">
        <x:v>4</x:v>
      </x:c>
      <x:c r="E451" s="37" t="str">
        <x:v>0</x:v>
      </x:c>
      <x:c r="F451" s="37" t="str">
        <x:v>47</x:v>
      </x:c>
      <x:c r="G451" s="37" t="str">
        <x:v>1157.94</x:v>
      </x:c>
      <x:c r="H451" s="37" t="str">
        <x:v>0.00</x:v>
      </x:c>
      <x:c r="I451" s="37" t="str">
        <x:v>526.13</x:v>
      </x:c>
      <x:c r="J451" s="37" t="str">
        <x:v>0.00</x:v>
      </x:c>
      <x:c r="K451" s="37" t="str">
        <x:v>631.81</x:v>
      </x:c>
      <x:c r="L451" s="37" t="str">
        <x:v>1942</x:v>
      </x:c>
      <x:c r="M451" s="29" t="str">
        <x:v>770.94</x:v>
      </x:c>
      <x:c r="N451" s="29" t="str">
        <x:v>506.25</x:v>
      </x:c>
      <x:c r="O451" s="29" t="str">
        <x:v>264.69</x:v>
      </x:c>
      <x:c r="P451" s="18" t="str">
        <x:v>2026-08-07</x:v>
      </x:c>
      <x:c r="Q451" s="36" t="n">
        <x:v>46241</x:v>
      </x:c>
    </x:row>
    <x:row r="452">
      <x:c r="A452" s="36" t="str">
        <x:v>2026-08-07</x:v>
      </x:c>
      <x:c r="B452" s="18" t="str">
        <x:v>101437000_96401</x:v>
      </x:c>
      <x:c r="C452" s="18" t="str">
        <x:v>【沪村小电】上海联怡枇杷乐园地面站</x:v>
      </x:c>
      <x:c r="D452" s="37" t="str">
        <x:v>2</x:v>
      </x:c>
      <x:c r="E452" s="37" t="str">
        <x:v>0</x:v>
      </x:c>
      <x:c r="F452" s="37" t="str">
        <x:v>7</x:v>
      </x:c>
      <x:c r="G452" s="37" t="str">
        <x:v>168.12</x:v>
      </x:c>
      <x:c r="H452" s="37" t="str">
        <x:v>0.00</x:v>
      </x:c>
      <x:c r="I452" s="37" t="str">
        <x:v>47.88</x:v>
      </x:c>
      <x:c r="J452" s="37" t="str">
        <x:v>0.00</x:v>
      </x:c>
      <x:c r="K452" s="37" t="str">
        <x:v>120.24</x:v>
      </x:c>
      <x:c r="L452" s="37" t="str">
        <x:v>260</x:v>
      </x:c>
      <x:c r="M452" s="29" t="str">
        <x:v>137.83</x:v>
      </x:c>
      <x:c r="N452" s="29" t="str">
        <x:v>106.09</x:v>
      </x:c>
      <x:c r="O452" s="29" t="str">
        <x:v>31.74</x:v>
      </x:c>
      <x:c r="P452" s="18" t="str">
        <x:v>2026-08-07</x:v>
      </x:c>
      <x:c r="Q452" s="36" t="n">
        <x:v>46241</x:v>
      </x:c>
    </x:row>
    <x:row r="453">
      <x:c r="A453" s="36" t="str">
        <x:v>2026-08-07</x:v>
      </x:c>
      <x:c r="B453" s="18" t="str">
        <x:v>101437000_96719</x:v>
      </x:c>
      <x:c r="C453" s="18" t="str">
        <x:v>【沪村小电】四达路220弄充电站</x:v>
      </x:c>
      <x:c r="D453" s="37" t="str">
        <x:v>2</x:v>
      </x:c>
      <x:c r="E453" s="37" t="str">
        <x:v>0</x:v>
      </x:c>
      <x:c r="F453" s="37" t="str">
        <x:v>1</x:v>
      </x:c>
      <x:c r="G453" s="37" t="str">
        <x:v>22.03</x:v>
      </x:c>
      <x:c r="H453" s="37" t="str">
        <x:v>0.00</x:v>
      </x:c>
      <x:c r="I453" s="37" t="str">
        <x:v>22.03</x:v>
      </x:c>
      <x:c r="J453" s="37" t="str">
        <x:v>0.00</x:v>
      </x:c>
      <x:c r="K453" s="37" t="str">
        <x:v>0.00</x:v>
      </x:c>
      <x:c r="L453" s="37" t="str">
        <x:v>31</x:v>
      </x:c>
      <x:c r="M453" s="29" t="str">
        <x:v>29.23</x:v>
      </x:c>
      <x:c r="N453" s="29" t="str">
        <x:v>15.64</x:v>
      </x:c>
      <x:c r="O453" s="29" t="str">
        <x:v>13.59</x:v>
      </x:c>
      <x:c r="P453" s="18" t="str">
        <x:v>2026-08-07</x:v>
      </x:c>
      <x:c r="Q453" s="36" t="n">
        <x:v>46241</x:v>
      </x:c>
    </x:row>
    <x:row r="454">
      <x:c r="A454" s="36" t="str">
        <x:v>2026-08-07</x:v>
      </x:c>
      <x:c r="B454" s="18" t="str">
        <x:v>101437000_97421</x:v>
      </x:c>
      <x:c r="C454" s="18" t="str">
        <x:v>【沪村小电】玉兰清苑二期（小区外）充电站</x:v>
      </x:c>
      <x:c r="D454" s="37" t="str">
        <x:v>4</x:v>
      </x:c>
      <x:c r="E454" s="37" t="str">
        <x:v>0</x:v>
      </x:c>
      <x:c r="F454" s="37" t="str">
        <x:v>66</x:v>
      </x:c>
      <x:c r="G454" s="37" t="str">
        <x:v>1256.78</x:v>
      </x:c>
      <x:c r="H454" s="37" t="str">
        <x:v>0.00</x:v>
      </x:c>
      <x:c r="I454" s="37" t="str">
        <x:v>973.00</x:v>
      </x:c>
      <x:c r="J454" s="37" t="str">
        <x:v>0.00</x:v>
      </x:c>
      <x:c r="K454" s="37" t="str">
        <x:v>283.77</x:v>
      </x:c>
      <x:c r="L454" s="37" t="str">
        <x:v>2351</x:v>
      </x:c>
      <x:c r="M454" s="29" t="str">
        <x:v>1166.55</x:v>
      </x:c>
      <x:c r="N454" s="29" t="str">
        <x:v>795.84</x:v>
      </x:c>
      <x:c r="O454" s="29" t="str">
        <x:v>370.71</x:v>
      </x:c>
      <x:c r="P454" s="18" t="str">
        <x:v>2026-08-07</x:v>
      </x:c>
      <x:c r="Q454" s="36" t="n">
        <x:v>46241</x:v>
      </x:c>
    </x:row>
    <x:row r="455">
      <x:c r="A455" s="36" t="str">
        <x:v>2026-08-07</x:v>
      </x:c>
      <x:c r="B455" s="18" t="str">
        <x:v>101437000_98013</x:v>
      </x:c>
      <x:c r="C455" s="18" t="str">
        <x:v>【沪村小电】恒大滨江华府充电站</x:v>
      </x:c>
      <x:c r="D455" s="37" t="str">
        <x:v>4</x:v>
      </x:c>
      <x:c r="E455" s="37" t="str">
        <x:v>0</x:v>
      </x:c>
      <x:c r="F455" s="37" t="str">
        <x:v>51</x:v>
      </x:c>
      <x:c r="G455" s="37" t="str">
        <x:v>1012.98</x:v>
      </x:c>
      <x:c r="H455" s="37" t="str">
        <x:v>0.00</x:v>
      </x:c>
      <x:c r="I455" s="37" t="str">
        <x:v>863.92</x:v>
      </x:c>
      <x:c r="J455" s="37" t="str">
        <x:v>0.00</x:v>
      </x:c>
      <x:c r="K455" s="37" t="str">
        <x:v>149.06</x:v>
      </x:c>
      <x:c r="L455" s="37" t="str">
        <x:v>1690</x:v>
      </x:c>
      <x:c r="M455" s="29" t="str">
        <x:v>1122.25</x:v>
      </x:c>
      <x:c r="N455" s="29" t="str">
        <x:v>846.08</x:v>
      </x:c>
      <x:c r="O455" s="29" t="str">
        <x:v>276.17</x:v>
      </x:c>
      <x:c r="P455" s="18" t="str">
        <x:v>2026-08-07</x:v>
      </x:c>
      <x:c r="Q455" s="36" t="n">
        <x:v>46241</x:v>
      </x:c>
    </x:row>
    <x:row r="456">
      <x:c r="A456" s="36" t="str">
        <x:v>2026-08-07</x:v>
      </x:c>
      <x:c r="B456" s="18" t="str">
        <x:v>101437000_98863</x:v>
      </x:c>
      <x:c r="C456" s="18" t="str">
        <x:v>【沪村小电】欣菊苑充电站</x:v>
      </x:c>
      <x:c r="D456" s="37" t="str">
        <x:v>4</x:v>
      </x:c>
      <x:c r="E456" s="37" t="str">
        <x:v>0</x:v>
      </x:c>
      <x:c r="F456" s="37" t="str">
        <x:v>9</x:v>
      </x:c>
      <x:c r="G456" s="37" t="str">
        <x:v>197.46</x:v>
      </x:c>
      <x:c r="H456" s="37" t="str">
        <x:v>0.00</x:v>
      </x:c>
      <x:c r="I456" s="37" t="str">
        <x:v>166.05</x:v>
      </x:c>
      <x:c r="J456" s="37" t="str">
        <x:v>0.00</x:v>
      </x:c>
      <x:c r="K456" s="37" t="str">
        <x:v>31.41</x:v>
      </x:c>
      <x:c r="L456" s="37" t="str">
        <x:v>279</x:v>
      </x:c>
      <x:c r="M456" s="29" t="str">
        <x:v>191.67</x:v>
      </x:c>
      <x:c r="N456" s="29" t="str">
        <x:v>129.52</x:v>
      </x:c>
      <x:c r="O456" s="29" t="str">
        <x:v>62.15</x:v>
      </x:c>
      <x:c r="P456" s="18" t="str">
        <x:v>2026-08-07</x:v>
      </x:c>
      <x:c r="Q456" s="36" t="n">
        <x:v>46241</x:v>
      </x:c>
    </x:row>
    <x:row r="457">
      <x:c r="A457" s="36" t="str">
        <x:v>2026-08-07</x:v>
      </x:c>
      <x:c r="B457" s="18" t="str">
        <x:v>101437000_98865</x:v>
      </x:c>
      <x:c r="C457" s="18" t="str">
        <x:v>【沪村小电】欣松苑充电站</x:v>
      </x:c>
      <x:c r="D457" s="37" t="str">
        <x:v>4</x:v>
      </x:c>
      <x:c r="E457" s="37" t="str">
        <x:v>0</x:v>
      </x:c>
      <x:c r="F457" s="37" t="str">
        <x:v>26</x:v>
      </x:c>
      <x:c r="G457" s="37" t="str">
        <x:v>542.51</x:v>
      </x:c>
      <x:c r="H457" s="37" t="str">
        <x:v>0.00</x:v>
      </x:c>
      <x:c r="I457" s="37" t="str">
        <x:v>542.51</x:v>
      </x:c>
      <x:c r="J457" s="37" t="str">
        <x:v>0.00</x:v>
      </x:c>
      <x:c r="K457" s="37" t="str">
        <x:v>0.00</x:v>
      </x:c>
      <x:c r="L457" s="37" t="str">
        <x:v>955</x:v>
      </x:c>
      <x:c r="M457" s="29" t="str">
        <x:v>545.06</x:v>
      </x:c>
      <x:c r="N457" s="29" t="str">
        <x:v>385.18</x:v>
      </x:c>
      <x:c r="O457" s="29" t="str">
        <x:v>159.88</x:v>
      </x:c>
      <x:c r="P457" s="18" t="str">
        <x:v>2026-08-07</x:v>
      </x:c>
      <x:c r="Q457" s="36" t="n">
        <x:v>46241</x:v>
      </x:c>
    </x:row>
    <x:row r="458">
      <x:c r="A458" s="36" t="str">
        <x:v>2026-08-07</x:v>
      </x:c>
      <x:c r="B458" s="18" t="str">
        <x:v>101437000_98867</x:v>
      </x:c>
      <x:c r="C458" s="18" t="str">
        <x:v>【沪村小电】欣荷苑充电站</x:v>
      </x:c>
      <x:c r="D458" s="37" t="str">
        <x:v>4</x:v>
      </x:c>
      <x:c r="E458" s="37" t="str">
        <x:v>0</x:v>
      </x:c>
      <x:c r="F458" s="37" t="str">
        <x:v>9</x:v>
      </x:c>
      <x:c r="G458" s="37" t="str">
        <x:v>257.74</x:v>
      </x:c>
      <x:c r="H458" s="37" t="str">
        <x:v>0.00</x:v>
      </x:c>
      <x:c r="I458" s="37" t="str">
        <x:v>257.74</x:v>
      </x:c>
      <x:c r="J458" s="37" t="str">
        <x:v>0.00</x:v>
      </x:c>
      <x:c r="K458" s="37" t="str">
        <x:v>0.00</x:v>
      </x:c>
      <x:c r="L458" s="37" t="str">
        <x:v>375</x:v>
      </x:c>
      <x:c r="M458" s="29" t="str">
        <x:v>241.64</x:v>
      </x:c>
      <x:c r="N458" s="29" t="str">
        <x:v>183.00</x:v>
      </x:c>
      <x:c r="O458" s="29" t="str">
        <x:v>58.64</x:v>
      </x:c>
      <x:c r="P458" s="18" t="str">
        <x:v>2026-08-07</x:v>
      </x:c>
      <x:c r="Q458" s="36" t="n">
        <x:v>46241</x:v>
      </x:c>
    </x:row>
    <x:row r="459">
      <x:c r="A459" s="36" t="str">
        <x:v>2026-08-07</x:v>
      </x:c>
      <x:c r="B459" s="18" t="str">
        <x:v>101437000_99885</x:v>
      </x:c>
      <x:c r="C459" s="18" t="str">
        <x:v>【沪村小电】汇丰馨苑充电站</x:v>
      </x:c>
      <x:c r="D459" s="37" t="str">
        <x:v>4</x:v>
      </x:c>
      <x:c r="E459" s="37" t="str">
        <x:v>0</x:v>
      </x:c>
      <x:c r="F459" s="37" t="str">
        <x:v>13</x:v>
      </x:c>
      <x:c r="G459" s="37" t="str">
        <x:v>331.55</x:v>
      </x:c>
      <x:c r="H459" s="37" t="str">
        <x:v>0.00</x:v>
      </x:c>
      <x:c r="I459" s="37" t="str">
        <x:v>331.55</x:v>
      </x:c>
      <x:c r="J459" s="37" t="str">
        <x:v>0.00</x:v>
      </x:c>
      <x:c r="K459" s="37" t="str">
        <x:v>0.00</x:v>
      </x:c>
      <x:c r="L459" s="37" t="str">
        <x:v>532</x:v>
      </x:c>
      <x:c r="M459" s="29" t="str">
        <x:v>337.28</x:v>
      </x:c>
      <x:c r="N459" s="29" t="str">
        <x:v>235.40</x:v>
      </x:c>
      <x:c r="O459" s="29" t="str">
        <x:v>101.88</x:v>
      </x:c>
      <x:c r="P459" s="18" t="str">
        <x:v>2026-08-07</x:v>
      </x:c>
      <x:c r="Q459" s="36" t="n">
        <x:v>46241</x:v>
      </x:c>
    </x:row>
    <x:row r="460">
      <x:c r="A460" s="36" t="str">
        <x:v>2026-08-07</x:v>
      </x:c>
      <x:c r="B460" s="18" t="str">
        <x:v>101437000_99887</x:v>
      </x:c>
      <x:c r="C460" s="18" t="str">
        <x:v>【沪村小电】新南村河南小区充电站</x:v>
      </x:c>
      <x:c r="D460" s="37" t="str">
        <x:v>2</x:v>
      </x:c>
      <x:c r="E460" s="37" t="str">
        <x:v>0</x:v>
      </x:c>
      <x:c r="F460" s="37" t="str">
        <x:v>12</x:v>
      </x:c>
      <x:c r="G460" s="37" t="str">
        <x:v>290.27</x:v>
      </x:c>
      <x:c r="H460" s="37" t="str">
        <x:v>0.00</x:v>
      </x:c>
      <x:c r="I460" s="37" t="str">
        <x:v>168.03</x:v>
      </x:c>
      <x:c r="J460" s="37" t="str">
        <x:v>0.00</x:v>
      </x:c>
      <x:c r="K460" s="37" t="str">
        <x:v>122.24</x:v>
      </x:c>
      <x:c r="L460" s="37" t="str">
        <x:v>424</x:v>
      </x:c>
      <x:c r="M460" s="29" t="str">
        <x:v>216.89</x:v>
      </x:c>
      <x:c r="N460" s="29" t="str">
        <x:v>164.52</x:v>
      </x:c>
      <x:c r="O460" s="29" t="str">
        <x:v>52.37</x:v>
      </x:c>
      <x:c r="P460" s="18" t="str">
        <x:v>2026-08-07</x:v>
      </x:c>
      <x:c r="Q460" s="36" t="n">
        <x:v>46241</x:v>
      </x:c>
    </x:row>
    <x:row r="461">
      <x:c r="A461" s="36" t="str">
        <x:v>2026-08-07</x:v>
      </x:c>
      <x:c r="B461" s="18" t="str">
        <x:v>101437000_99889</x:v>
      </x:c>
      <x:c r="C461" s="18" t="str">
        <x:v>【沪村小电】漕泾郊野公园</x:v>
      </x:c>
      <x:c r="D461" s="37" t="str">
        <x:v>2</x:v>
      </x:c>
      <x:c r="E461" s="37" t="str">
        <x:v>0</x:v>
      </x:c>
      <x:c r="F461" s="37" t="str">
        <x:v>6</x:v>
      </x:c>
      <x:c r="G461" s="37" t="str">
        <x:v>150.32</x:v>
      </x:c>
      <x:c r="H461" s="37" t="str">
        <x:v>0.00</x:v>
      </x:c>
      <x:c r="I461" s="37" t="str">
        <x:v>150.32</x:v>
      </x:c>
      <x:c r="J461" s="37" t="str">
        <x:v>0.00</x:v>
      </x:c>
      <x:c r="K461" s="37" t="str">
        <x:v>0.00</x:v>
      </x:c>
      <x:c r="L461" s="37" t="str">
        <x:v>194</x:v>
      </x:c>
      <x:c r="M461" s="29" t="str">
        <x:v>158.94</x:v>
      </x:c>
      <x:c r="N461" s="29" t="str">
        <x:v>114.25</x:v>
      </x:c>
      <x:c r="O461" s="29" t="str">
        <x:v>44.69</x:v>
      </x:c>
      <x:c r="P461" s="18" t="str">
        <x:v>2026-08-07</x:v>
      </x:c>
      <x:c r="Q461" s="36" t="n">
        <x:v>46241</x:v>
      </x:c>
    </x:row>
    <x:row r="462">
      <x:c r="A462" s="36" t="str">
        <x:v>2026-08-07</x:v>
      </x:c>
      <x:c r="B462" s="18" t="str">
        <x:v>101437000_99891</x:v>
      </x:c>
      <x:c r="C462" s="18" t="str">
        <x:v>【沪村小电】水韵紫城充电站</x:v>
      </x:c>
      <x:c r="D462" s="37" t="str">
        <x:v>4</x:v>
      </x:c>
      <x:c r="E462" s="37" t="str">
        <x:v>0</x:v>
      </x:c>
      <x:c r="F462" s="37" t="str">
        <x:v>35</x:v>
      </x:c>
      <x:c r="G462" s="37" t="str">
        <x:v>868.64</x:v>
      </x:c>
      <x:c r="H462" s="37" t="str">
        <x:v>0.00</x:v>
      </x:c>
      <x:c r="I462" s="37" t="str">
        <x:v>590.74</x:v>
      </x:c>
      <x:c r="J462" s="37" t="str">
        <x:v>0.00</x:v>
      </x:c>
      <x:c r="K462" s="37" t="str">
        <x:v>277.90</x:v>
      </x:c>
      <x:c r="L462" s="37" t="str">
        <x:v>1470</x:v>
      </x:c>
      <x:c r="M462" s="29" t="str">
        <x:v>777.62</x:v>
      </x:c>
      <x:c r="N462" s="29" t="str">
        <x:v>522.27</x:v>
      </x:c>
      <x:c r="O462" s="29" t="str">
        <x:v>255.35</x:v>
      </x:c>
      <x:c r="P462" s="18" t="str">
        <x:v>2026-08-07</x:v>
      </x:c>
      <x:c r="Q462" s="36" t="n">
        <x:v>46241</x:v>
      </x:c>
    </x:row>
    <x:row r="463">
      <x:c r="A463" s="36" t="str">
        <x:v>2026-08-06</x:v>
      </x:c>
      <x:c r="B463" s="18" t="str">
        <x:v>101437000_100523</x:v>
      </x:c>
      <x:c r="C463" s="18" t="str">
        <x:v>【沪村小电】民旺苑南区</x:v>
      </x:c>
      <x:c r="D463" s="37" t="str">
        <x:v>4</x:v>
      </x:c>
      <x:c r="E463" s="37" t="str">
        <x:v>0</x:v>
      </x:c>
      <x:c r="F463" s="37" t="str">
        <x:v>9</x:v>
      </x:c>
      <x:c r="G463" s="37" t="str">
        <x:v>230.76</x:v>
      </x:c>
      <x:c r="H463" s="37" t="str">
        <x:v>0.00</x:v>
      </x:c>
      <x:c r="I463" s="37" t="str">
        <x:v>51.07</x:v>
      </x:c>
      <x:c r="J463" s="37" t="str">
        <x:v>0.00</x:v>
      </x:c>
      <x:c r="K463" s="37" t="str">
        <x:v>179.69</x:v>
      </x:c>
      <x:c r="L463" s="37" t="str">
        <x:v>332</x:v>
      </x:c>
      <x:c r="M463" s="29" t="str">
        <x:v>149.03</x:v>
      </x:c>
      <x:c r="N463" s="29" t="str">
        <x:v>120.69</x:v>
      </x:c>
      <x:c r="O463" s="29" t="str">
        <x:v>28.34</x:v>
      </x:c>
      <x:c r="P463" s="18" t="str">
        <x:v>2026-08-06</x:v>
      </x:c>
      <x:c r="Q463" s="36" t="n">
        <x:v>46240</x:v>
      </x:c>
    </x:row>
    <x:row r="464">
      <x:c r="A464" s="36" t="str">
        <x:v>2026-08-06</x:v>
      </x:c>
      <x:c r="B464" s="18" t="str">
        <x:v>101437000_101531</x:v>
      </x:c>
      <x:c r="C464" s="18" t="str">
        <x:v>【沪村小电】汇中苑充电站</x:v>
      </x:c>
      <x:c r="D464" s="37" t="str">
        <x:v>2</x:v>
      </x:c>
      <x:c r="E464" s="37" t="str">
        <x:v>0</x:v>
      </x:c>
      <x:c r="F464" s="37" t="str">
        <x:v>14</x:v>
      </x:c>
      <x:c r="G464" s="37" t="str">
        <x:v>292.29</x:v>
      </x:c>
      <x:c r="H464" s="37" t="str">
        <x:v>0.00</x:v>
      </x:c>
      <x:c r="I464" s="37" t="str">
        <x:v>0.00</x:v>
      </x:c>
      <x:c r="J464" s="37" t="str">
        <x:v>188.05</x:v>
      </x:c>
      <x:c r="K464" s="37" t="str">
        <x:v>104.23</x:v>
      </x:c>
      <x:c r="L464" s="37" t="str">
        <x:v>522</x:v>
      </x:c>
      <x:c r="M464" s="29" t="str">
        <x:v>315.27</x:v>
      </x:c>
      <x:c r="N464" s="29" t="str">
        <x:v>173.33</x:v>
      </x:c>
      <x:c r="O464" s="29" t="str">
        <x:v>141.94</x:v>
      </x:c>
      <x:c r="P464" s="18" t="str">
        <x:v>2026-08-06</x:v>
      </x:c>
      <x:c r="Q464" s="36" t="n">
        <x:v>46240</x:v>
      </x:c>
    </x:row>
    <x:row r="465">
      <x:c r="A465" s="36" t="str">
        <x:v>2026-08-06</x:v>
      </x:c>
      <x:c r="B465" s="18" t="str">
        <x:v>101437000_102047</x:v>
      </x:c>
      <x:c r="C465" s="18" t="str">
        <x:v>【沪村小电】后浜小区9弄小区南面停车场充电站</x:v>
      </x:c>
      <x:c r="D465" s="37" t="str">
        <x:v>8</x:v>
      </x:c>
      <x:c r="E465" s="37" t="str">
        <x:v>0</x:v>
      </x:c>
      <x:c r="F465" s="37" t="str">
        <x:v>68</x:v>
      </x:c>
      <x:c r="G465" s="37" t="str">
        <x:v>1540.49</x:v>
      </x:c>
      <x:c r="H465" s="37" t="str">
        <x:v>0.00</x:v>
      </x:c>
      <x:c r="I465" s="37" t="str">
        <x:v>1090.81</x:v>
      </x:c>
      <x:c r="J465" s="37" t="str">
        <x:v>0.00</x:v>
      </x:c>
      <x:c r="K465" s="37" t="str">
        <x:v>449.68</x:v>
      </x:c>
      <x:c r="L465" s="37" t="str">
        <x:v>2271</x:v>
      </x:c>
      <x:c r="M465" s="29" t="str">
        <x:v>1617.79</x:v>
      </x:c>
      <x:c r="N465" s="29" t="str">
        <x:v>985.81</x:v>
      </x:c>
      <x:c r="O465" s="29" t="str">
        <x:v>631.98</x:v>
      </x:c>
      <x:c r="P465" s="18" t="str">
        <x:v>2026-08-06</x:v>
      </x:c>
      <x:c r="Q465" s="36" t="n">
        <x:v>46240</x:v>
      </x:c>
    </x:row>
    <x:row r="466">
      <x:c r="A466" s="36" t="str">
        <x:v>2026-08-06</x:v>
      </x:c>
      <x:c r="B466" s="18" t="str">
        <x:v>101437000_103503</x:v>
      </x:c>
      <x:c r="C466" s="18" t="str">
        <x:v>【沪村小电】阳光城新界充电站</x:v>
      </x:c>
      <x:c r="D466" s="37" t="str">
        <x:v>4</x:v>
      </x:c>
      <x:c r="E466" s="37" t="str">
        <x:v>0</x:v>
      </x:c>
      <x:c r="F466" s="37" t="str">
        <x:v>37</x:v>
      </x:c>
      <x:c r="G466" s="37" t="str">
        <x:v>817.15</x:v>
      </x:c>
      <x:c r="H466" s="37" t="str">
        <x:v>0.00</x:v>
      </x:c>
      <x:c r="I466" s="37" t="str">
        <x:v>646.37</x:v>
      </x:c>
      <x:c r="J466" s="37" t="str">
        <x:v>0.00</x:v>
      </x:c>
      <x:c r="K466" s="37" t="str">
        <x:v>170.79</x:v>
      </x:c>
      <x:c r="L466" s="37" t="str">
        <x:v>1328</x:v>
      </x:c>
      <x:c r="M466" s="29" t="str">
        <x:v>867.32</x:v>
      </x:c>
      <x:c r="N466" s="29" t="str">
        <x:v>572.45</x:v>
      </x:c>
      <x:c r="O466" s="29" t="str">
        <x:v>294.87</x:v>
      </x:c>
      <x:c r="P466" s="18" t="str">
        <x:v>2026-08-06</x:v>
      </x:c>
      <x:c r="Q466" s="36" t="n">
        <x:v>46240</x:v>
      </x:c>
    </x:row>
    <x:row r="467">
      <x:c r="A467" s="36" t="str">
        <x:v>2026-08-06</x:v>
      </x:c>
      <x:c r="B467" s="18" t="str">
        <x:v>101437000_41561</x:v>
      </x:c>
      <x:c r="C467" s="18" t="str">
        <x:v>【沪村小电】张施小区大门处快充站</x:v>
      </x:c>
      <x:c r="D467" s="37" t="str">
        <x:v>2</x:v>
      </x:c>
      <x:c r="E467" s="37" t="str">
        <x:v>0</x:v>
      </x:c>
      <x:c r="F467" s="37" t="str">
        <x:v>47</x:v>
      </x:c>
      <x:c r="G467" s="37" t="str">
        <x:v>1204.10</x:v>
      </x:c>
      <x:c r="H467" s="37" t="str">
        <x:v>0.00</x:v>
      </x:c>
      <x:c r="I467" s="37" t="str">
        <x:v>541.76</x:v>
      </x:c>
      <x:c r="J467" s="37" t="str">
        <x:v>0.00</x:v>
      </x:c>
      <x:c r="K467" s="37" t="str">
        <x:v>662.34</x:v>
      </x:c>
      <x:c r="L467" s="37" t="str">
        <x:v>2030</x:v>
      </x:c>
      <x:c r="M467" s="29" t="str">
        <x:v>882.61</x:v>
      </x:c>
      <x:c r="N467" s="29" t="str">
        <x:v>629.72</x:v>
      </x:c>
      <x:c r="O467" s="29" t="str">
        <x:v>252.89</x:v>
      </x:c>
      <x:c r="P467" s="18" t="str">
        <x:v>2026-08-06</x:v>
      </x:c>
      <x:c r="Q467" s="36" t="n">
        <x:v>46240</x:v>
      </x:c>
    </x:row>
    <x:row r="468">
      <x:c r="A468" s="36" t="str">
        <x:v>2026-08-06</x:v>
      </x:c>
      <x:c r="B468" s="18" t="str">
        <x:v>101437000_41563</x:v>
      </x:c>
      <x:c r="C468" s="18" t="str">
        <x:v>【沪村小电】同心村快充站</x:v>
      </x:c>
      <x:c r="D468" s="37" t="str">
        <x:v>4</x:v>
      </x:c>
      <x:c r="E468" s="37" t="str">
        <x:v>0</x:v>
      </x:c>
      <x:c r="F468" s="37" t="str">
        <x:v>60</x:v>
      </x:c>
      <x:c r="G468" s="37" t="str">
        <x:v>1405.63</x:v>
      </x:c>
      <x:c r="H468" s="37" t="str">
        <x:v>0.00</x:v>
      </x:c>
      <x:c r="I468" s="37" t="str">
        <x:v>994.77</x:v>
      </x:c>
      <x:c r="J468" s="37" t="str">
        <x:v>0.00</x:v>
      </x:c>
      <x:c r="K468" s="37" t="str">
        <x:v>410.86</x:v>
      </x:c>
      <x:c r="L468" s="37" t="str">
        <x:v>2263</x:v>
      </x:c>
      <x:c r="M468" s="29" t="str">
        <x:v>1368.72</x:v>
      </x:c>
      <x:c r="N468" s="29" t="str">
        <x:v>858.29</x:v>
      </x:c>
      <x:c r="O468" s="29" t="str">
        <x:v>510.43</x:v>
      </x:c>
      <x:c r="P468" s="18" t="str">
        <x:v>2026-08-06</x:v>
      </x:c>
      <x:c r="Q468" s="36" t="n">
        <x:v>46240</x:v>
      </x:c>
    </x:row>
    <x:row r="469">
      <x:c r="A469" s="36" t="str">
        <x:v>2026-08-06</x:v>
      </x:c>
      <x:c r="B469" s="18" t="str">
        <x:v>101437000_69629</x:v>
      </x:c>
      <x:c r="C469" s="18" t="str">
        <x:v>【沪村小电】骏丰玲珑坊西苑充电站</x:v>
      </x:c>
      <x:c r="D469" s="37" t="str">
        <x:v>2</x:v>
      </x:c>
      <x:c r="E469" s="37" t="str">
        <x:v>0</x:v>
      </x:c>
      <x:c r="F469" s="37" t="str">
        <x:v>72</x:v>
      </x:c>
      <x:c r="G469" s="37" t="str">
        <x:v>1570.61</x:v>
      </x:c>
      <x:c r="H469" s="37" t="str">
        <x:v>0.00</x:v>
      </x:c>
      <x:c r="I469" s="37" t="str">
        <x:v>932.17</x:v>
      </x:c>
      <x:c r="J469" s="37" t="str">
        <x:v>0.00</x:v>
      </x:c>
      <x:c r="K469" s="37" t="str">
        <x:v>638.44</x:v>
      </x:c>
      <x:c r="L469" s="37" t="str">
        <x:v>2824</x:v>
      </x:c>
      <x:c r="M469" s="29" t="str">
        <x:v>1350.65</x:v>
      </x:c>
      <x:c r="N469" s="29" t="str">
        <x:v>898.05</x:v>
      </x:c>
      <x:c r="O469" s="29" t="str">
        <x:v>452.60</x:v>
      </x:c>
      <x:c r="P469" s="18" t="str">
        <x:v>2026-08-06</x:v>
      </x:c>
      <x:c r="Q469" s="36" t="n">
        <x:v>46240</x:v>
      </x:c>
    </x:row>
    <x:row r="470">
      <x:c r="A470" s="36" t="str">
        <x:v>2026-08-06</x:v>
      </x:c>
      <x:c r="B470" s="18" t="str">
        <x:v>101437000_70547</x:v>
      </x:c>
      <x:c r="C470" s="18" t="str">
        <x:v>【沪村小电】农建村初心馆党群服务中心充电站</x:v>
      </x:c>
      <x:c r="D470" s="37" t="str">
        <x:v>4</x:v>
      </x:c>
      <x:c r="E470" s="37" t="str">
        <x:v>0</x:v>
      </x:c>
      <x:c r="F470" s="37" t="str">
        <x:v>29</x:v>
      </x:c>
      <x:c r="G470" s="37" t="str">
        <x:v>559.83</x:v>
      </x:c>
      <x:c r="H470" s="37" t="str">
        <x:v>0.00</x:v>
      </x:c>
      <x:c r="I470" s="37" t="str">
        <x:v>255.85</x:v>
      </x:c>
      <x:c r="J470" s="37" t="str">
        <x:v>0.00</x:v>
      </x:c>
      <x:c r="K470" s="37" t="str">
        <x:v>303.97</x:v>
      </x:c>
      <x:c r="L470" s="37" t="str">
        <x:v>1045</x:v>
      </x:c>
      <x:c r="M470" s="29" t="str">
        <x:v>504.80</x:v>
      </x:c>
      <x:c r="N470" s="29" t="str">
        <x:v>376.83</x:v>
      </x:c>
      <x:c r="O470" s="29" t="str">
        <x:v>127.97</x:v>
      </x:c>
      <x:c r="P470" s="18" t="str">
        <x:v>2026-08-06</x:v>
      </x:c>
      <x:c r="Q470" s="36" t="n">
        <x:v>46240</x:v>
      </x:c>
    </x:row>
    <x:row r="471">
      <x:c r="A471" s="36" t="str">
        <x:v>2026-08-06</x:v>
      </x:c>
      <x:c r="B471" s="18" t="str">
        <x:v>101437000_70549</x:v>
      </x:c>
      <x:c r="C471" s="18" t="str">
        <x:v>【沪村小电】学府路充电站</x:v>
      </x:c>
      <x:c r="D471" s="37" t="str">
        <x:v>2</x:v>
      </x:c>
      <x:c r="E471" s="37" t="str">
        <x:v>0</x:v>
      </x:c>
      <x:c r="F471" s="37" t="str">
        <x:v>8</x:v>
      </x:c>
      <x:c r="G471" s="37" t="str">
        <x:v>213.38</x:v>
      </x:c>
      <x:c r="H471" s="37" t="str">
        <x:v>0.00</x:v>
      </x:c>
      <x:c r="I471" s="37" t="str">
        <x:v>134.31</x:v>
      </x:c>
      <x:c r="J471" s="37" t="str">
        <x:v>0.00</x:v>
      </x:c>
      <x:c r="K471" s="37" t="str">
        <x:v>79.07</x:v>
      </x:c>
      <x:c r="L471" s="37" t="str">
        <x:v>340</x:v>
      </x:c>
      <x:c r="M471" s="29" t="str">
        <x:v>214.49</x:v>
      </x:c>
      <x:c r="N471" s="29" t="str">
        <x:v>160.87</x:v>
      </x:c>
      <x:c r="O471" s="29" t="str">
        <x:v>53.62</x:v>
      </x:c>
      <x:c r="P471" s="18" t="str">
        <x:v>2026-08-06</x:v>
      </x:c>
      <x:c r="Q471" s="36" t="n">
        <x:v>46240</x:v>
      </x:c>
    </x:row>
    <x:row r="472">
      <x:c r="A472" s="36" t="str">
        <x:v>2026-08-06</x:v>
      </x:c>
      <x:c r="B472" s="18" t="str">
        <x:v>101437000_71059</x:v>
      </x:c>
      <x:c r="C472" s="18" t="str">
        <x:v>【沪村小电】宝乐汇商业广场站</x:v>
      </x:c>
      <x:c r="D472" s="37" t="str">
        <x:v>4</x:v>
      </x:c>
      <x:c r="E472" s="37" t="str">
        <x:v>0</x:v>
      </x:c>
      <x:c r="F472" s="37" t="str">
        <x:v>26</x:v>
      </x:c>
      <x:c r="G472" s="37" t="str">
        <x:v>525.22</x:v>
      </x:c>
      <x:c r="H472" s="37" t="str">
        <x:v>0.00</x:v>
      </x:c>
      <x:c r="I472" s="37" t="str">
        <x:v>455.69</x:v>
      </x:c>
      <x:c r="J472" s="37" t="str">
        <x:v>0.00</x:v>
      </x:c>
      <x:c r="K472" s="37" t="str">
        <x:v>69.54</x:v>
      </x:c>
      <x:c r="L472" s="37" t="str">
        <x:v>823</x:v>
      </x:c>
      <x:c r="M472" s="29" t="str">
        <x:v>615.33</x:v>
      </x:c>
      <x:c r="N472" s="29" t="str">
        <x:v>442.11</x:v>
      </x:c>
      <x:c r="O472" s="29" t="str">
        <x:v>173.22</x:v>
      </x:c>
      <x:c r="P472" s="18" t="str">
        <x:v>2026-08-06</x:v>
      </x:c>
      <x:c r="Q472" s="36" t="n">
        <x:v>46240</x:v>
      </x:c>
    </x:row>
    <x:row r="473">
      <x:c r="A473" s="36" t="str">
        <x:v>2026-08-06</x:v>
      </x:c>
      <x:c r="B473" s="18" t="str">
        <x:v>101437000_72541</x:v>
      </x:c>
      <x:c r="C473" s="18" t="str">
        <x:v>【沪村小电】九干路1174弄充电站</x:v>
      </x:c>
      <x:c r="D473" s="37" t="str">
        <x:v>2</x:v>
      </x:c>
      <x:c r="E473" s="37" t="str">
        <x:v>0</x:v>
      </x:c>
      <x:c r="F473" s="37" t="str">
        <x:v>64</x:v>
      </x:c>
      <x:c r="G473" s="37" t="str">
        <x:v>1444.27</x:v>
      </x:c>
      <x:c r="H473" s="37" t="str">
        <x:v>0.00</x:v>
      </x:c>
      <x:c r="I473" s="37" t="str">
        <x:v>931.64</x:v>
      </x:c>
      <x:c r="J473" s="37" t="str">
        <x:v>0.00</x:v>
      </x:c>
      <x:c r="K473" s="37" t="str">
        <x:v>512.63</x:v>
      </x:c>
      <x:c r="L473" s="37" t="str">
        <x:v>2573</x:v>
      </x:c>
      <x:c r="M473" s="29" t="str">
        <x:v>1274.98</x:v>
      </x:c>
      <x:c r="N473" s="29" t="str">
        <x:v>851.14</x:v>
      </x:c>
      <x:c r="O473" s="29" t="str">
        <x:v>423.84</x:v>
      </x:c>
      <x:c r="P473" s="18" t="str">
        <x:v>2026-08-06</x:v>
      </x:c>
      <x:c r="Q473" s="36" t="n">
        <x:v>46240</x:v>
      </x:c>
    </x:row>
    <x:row r="474">
      <x:c r="A474" s="36" t="str">
        <x:v>2026-08-06</x:v>
      </x:c>
      <x:c r="B474" s="18" t="str">
        <x:v>101437000_72543</x:v>
      </x:c>
      <x:c r="C474" s="18" t="str">
        <x:v>【沪村小电】叶家中心村小区充电站</x:v>
      </x:c>
      <x:c r="D474" s="37" t="str">
        <x:v>2</x:v>
      </x:c>
      <x:c r="E474" s="37" t="str">
        <x:v>0</x:v>
      </x:c>
      <x:c r="F474" s="37" t="str">
        <x:v>40</x:v>
      </x:c>
      <x:c r="G474" s="37" t="str">
        <x:v>939.50</x:v>
      </x:c>
      <x:c r="H474" s="37" t="str">
        <x:v>0.00</x:v>
      </x:c>
      <x:c r="I474" s="37" t="str">
        <x:v>408.42</x:v>
      </x:c>
      <x:c r="J474" s="37" t="str">
        <x:v>0.00</x:v>
      </x:c>
      <x:c r="K474" s="37" t="str">
        <x:v>531.08</x:v>
      </x:c>
      <x:c r="L474" s="37" t="str">
        <x:v>1712</x:v>
      </x:c>
      <x:c r="M474" s="29" t="str">
        <x:v>686.34</x:v>
      </x:c>
      <x:c r="N474" s="29" t="str">
        <x:v>486.48</x:v>
      </x:c>
      <x:c r="O474" s="29" t="str">
        <x:v>199.86</x:v>
      </x:c>
      <x:c r="P474" s="18" t="str">
        <x:v>2026-08-06</x:v>
      </x:c>
      <x:c r="Q474" s="36" t="n">
        <x:v>46240</x:v>
      </x:c>
    </x:row>
    <x:row r="475">
      <x:c r="A475" s="36" t="str">
        <x:v>2026-08-06</x:v>
      </x:c>
      <x:c r="B475" s="18" t="str">
        <x:v>101437000_72937</x:v>
      </x:c>
      <x:c r="C475" s="18" t="str">
        <x:v>【沪村小电】佘北家园茸腾苑充电站</x:v>
      </x:c>
      <x:c r="D475" s="37" t="str">
        <x:v>4</x:v>
      </x:c>
      <x:c r="E475" s="37" t="str">
        <x:v>0</x:v>
      </x:c>
      <x:c r="F475" s="37" t="str">
        <x:v>25</x:v>
      </x:c>
      <x:c r="G475" s="37" t="str">
        <x:v>621.13</x:v>
      </x:c>
      <x:c r="H475" s="37" t="str">
        <x:v>0.00</x:v>
      </x:c>
      <x:c r="I475" s="37" t="str">
        <x:v>621.13</x:v>
      </x:c>
      <x:c r="J475" s="37" t="str">
        <x:v>0.00</x:v>
      </x:c>
      <x:c r="K475" s="37" t="str">
        <x:v>0.00</x:v>
      </x:c>
      <x:c r="L475" s="37" t="str">
        <x:v>986</x:v>
      </x:c>
      <x:c r="M475" s="29" t="str">
        <x:v>637.61</x:v>
      </x:c>
      <x:c r="N475" s="29" t="str">
        <x:v>440.99</x:v>
      </x:c>
      <x:c r="O475" s="29" t="str">
        <x:v>196.62</x:v>
      </x:c>
      <x:c r="P475" s="18" t="str">
        <x:v>2026-08-06</x:v>
      </x:c>
      <x:c r="Q475" s="36" t="n">
        <x:v>46240</x:v>
      </x:c>
    </x:row>
    <x:row r="476">
      <x:c r="A476" s="36" t="str">
        <x:v>2026-08-06</x:v>
      </x:c>
      <x:c r="B476" s="18" t="str">
        <x:v>101437000_74223</x:v>
      </x:c>
      <x:c r="C476" s="18" t="str">
        <x:v>【沪村小电】中兴村委会充电站</x:v>
      </x:c>
      <x:c r="D476" s="37" t="str">
        <x:v>2</x:v>
      </x:c>
      <x:c r="E476" s="37" t="str">
        <x:v>0</x:v>
      </x:c>
      <x:c r="F476" s="37" t="str">
        <x:v>27</x:v>
      </x:c>
      <x:c r="G476" s="37" t="str">
        <x:v>772.80</x:v>
      </x:c>
      <x:c r="H476" s="37" t="str">
        <x:v>0.00</x:v>
      </x:c>
      <x:c r="I476" s="37" t="str">
        <x:v>363.34</x:v>
      </x:c>
      <x:c r="J476" s="37" t="str">
        <x:v>0.00</x:v>
      </x:c>
      <x:c r="K476" s="37" t="str">
        <x:v>409.46</x:v>
      </x:c>
      <x:c r="L476" s="37" t="str">
        <x:v>928</x:v>
      </x:c>
      <x:c r="M476" s="29" t="str">
        <x:v>774.29</x:v>
      </x:c>
      <x:c r="N476" s="29" t="str">
        <x:v>492.88</x:v>
      </x:c>
      <x:c r="O476" s="29" t="str">
        <x:v>281.41</x:v>
      </x:c>
      <x:c r="P476" s="18" t="str">
        <x:v>2026-08-06</x:v>
      </x:c>
      <x:c r="Q476" s="36" t="n">
        <x:v>46240</x:v>
      </x:c>
    </x:row>
    <x:row r="477">
      <x:c r="A477" s="36" t="str">
        <x:v>2026-08-06</x:v>
      </x:c>
      <x:c r="B477" s="18" t="str">
        <x:v>101437000_74801</x:v>
      </x:c>
      <x:c r="C477" s="18" t="str">
        <x:v>【沪村小电】申良花园充电站</x:v>
      </x:c>
      <x:c r="D477" s="37" t="str">
        <x:v>4</x:v>
      </x:c>
      <x:c r="E477" s="37" t="str">
        <x:v>0</x:v>
      </x:c>
      <x:c r="F477" s="37" t="str">
        <x:v>23</x:v>
      </x:c>
      <x:c r="G477" s="37" t="str">
        <x:v>248.33</x:v>
      </x:c>
      <x:c r="H477" s="37" t="str">
        <x:v>0.00</x:v>
      </x:c>
      <x:c r="I477" s="37" t="str">
        <x:v>237.70</x:v>
      </x:c>
      <x:c r="J477" s="37" t="str">
        <x:v>0.00</x:v>
      </x:c>
      <x:c r="K477" s="37" t="str">
        <x:v>10.63</x:v>
      </x:c>
      <x:c r="L477" s="37" t="str">
        <x:v>398</x:v>
      </x:c>
      <x:c r="M477" s="29" t="str">
        <x:v>262.49</x:v>
      </x:c>
      <x:c r="N477" s="29" t="str">
        <x:v>172.69</x:v>
      </x:c>
      <x:c r="O477" s="29" t="str">
        <x:v>89.80</x:v>
      </x:c>
      <x:c r="P477" s="18" t="str">
        <x:v>2026-08-06</x:v>
      </x:c>
      <x:c r="Q477" s="36" t="n">
        <x:v>46240</x:v>
      </x:c>
    </x:row>
    <x:row r="478">
      <x:c r="A478" s="36" t="str">
        <x:v>2026-08-06</x:v>
      </x:c>
      <x:c r="B478" s="18" t="str">
        <x:v>101437000_74931</x:v>
      </x:c>
      <x:c r="C478" s="18" t="str">
        <x:v>【沪村小电】枫雅南居充电站</x:v>
      </x:c>
      <x:c r="D478" s="37" t="str">
        <x:v>2</x:v>
      </x:c>
      <x:c r="E478" s="37" t="str">
        <x:v>0</x:v>
      </x:c>
      <x:c r="F478" s="37" t="str">
        <x:v>47</x:v>
      </x:c>
      <x:c r="G478" s="37" t="str">
        <x:v>1410.30</x:v>
      </x:c>
      <x:c r="H478" s="37" t="str">
        <x:v>0.00</x:v>
      </x:c>
      <x:c r="I478" s="37" t="str">
        <x:v>474.56</x:v>
      </x:c>
      <x:c r="J478" s="37" t="str">
        <x:v>0.00</x:v>
      </x:c>
      <x:c r="K478" s="37" t="str">
        <x:v>935.74</x:v>
      </x:c>
      <x:c r="L478" s="37" t="str">
        <x:v>2104</x:v>
      </x:c>
      <x:c r="M478" s="29" t="str">
        <x:v>861.16</x:v>
      </x:c>
      <x:c r="N478" s="29" t="str">
        <x:v>570.06</x:v>
      </x:c>
      <x:c r="O478" s="29" t="str">
        <x:v>291.10</x:v>
      </x:c>
      <x:c r="P478" s="18" t="str">
        <x:v>2026-08-06</x:v>
      </x:c>
      <x:c r="Q478" s="36" t="n">
        <x:v>46240</x:v>
      </x:c>
    </x:row>
    <x:row r="479">
      <x:c r="A479" s="36" t="str">
        <x:v>2026-08-06</x:v>
      </x:c>
      <x:c r="B479" s="18" t="str">
        <x:v>101437000_75901</x:v>
      </x:c>
      <x:c r="C479" s="18" t="str">
        <x:v>【沪村小电】金悦学府</x:v>
      </x:c>
      <x:c r="D479" s="37" t="str">
        <x:v>2</x:v>
      </x:c>
      <x:c r="E479" s="37" t="str">
        <x:v>0</x:v>
      </x:c>
      <x:c r="F479" s="37" t="str">
        <x:v>47</x:v>
      </x:c>
      <x:c r="G479" s="37" t="str">
        <x:v>1282.81</x:v>
      </x:c>
      <x:c r="H479" s="37" t="str">
        <x:v>0.00</x:v>
      </x:c>
      <x:c r="I479" s="37" t="str">
        <x:v>479.60</x:v>
      </x:c>
      <x:c r="J479" s="37" t="str">
        <x:v>0.00</x:v>
      </x:c>
      <x:c r="K479" s="37" t="str">
        <x:v>803.21</x:v>
      </x:c>
      <x:c r="L479" s="37" t="str">
        <x:v>2038</x:v>
      </x:c>
      <x:c r="M479" s="29" t="str">
        <x:v>923.65</x:v>
      </x:c>
      <x:c r="N479" s="29" t="str">
        <x:v>531.97</x:v>
      </x:c>
      <x:c r="O479" s="29" t="str">
        <x:v>391.68</x:v>
      </x:c>
      <x:c r="P479" s="18" t="str">
        <x:v>2026-08-06</x:v>
      </x:c>
      <x:c r="Q479" s="36" t="n">
        <x:v>46240</x:v>
      </x:c>
    </x:row>
    <x:row r="480">
      <x:c r="A480" s="36" t="str">
        <x:v>2026-08-06</x:v>
      </x:c>
      <x:c r="B480" s="18" t="str">
        <x:v>101437000_76091</x:v>
      </x:c>
      <x:c r="C480" s="18" t="str">
        <x:v>【沪村小电】恒信家园充电站</x:v>
      </x:c>
      <x:c r="D480" s="37" t="str">
        <x:v>2</x:v>
      </x:c>
      <x:c r="E480" s="37" t="str">
        <x:v>0</x:v>
      </x:c>
      <x:c r="F480" s="37" t="str">
        <x:v>41</x:v>
      </x:c>
      <x:c r="G480" s="37" t="str">
        <x:v>1046.60</x:v>
      </x:c>
      <x:c r="H480" s="37" t="str">
        <x:v>0.00</x:v>
      </x:c>
      <x:c r="I480" s="37" t="str">
        <x:v>621.95</x:v>
      </x:c>
      <x:c r="J480" s="37" t="str">
        <x:v>0.00</x:v>
      </x:c>
      <x:c r="K480" s="37" t="str">
        <x:v>424.65</x:v>
      </x:c>
      <x:c r="L480" s="37" t="str">
        <x:v>1521</x:v>
      </x:c>
      <x:c r="M480" s="29" t="str">
        <x:v>1031.33</x:v>
      </x:c>
      <x:c r="N480" s="29" t="str">
        <x:v>598.72</x:v>
      </x:c>
      <x:c r="O480" s="29" t="str">
        <x:v>432.61</x:v>
      </x:c>
      <x:c r="P480" s="18" t="str">
        <x:v>2026-08-06</x:v>
      </x:c>
      <x:c r="Q480" s="36" t="n">
        <x:v>46240</x:v>
      </x:c>
    </x:row>
    <x:row r="481">
      <x:c r="A481" s="36" t="str">
        <x:v>2026-08-06</x:v>
      </x:c>
      <x:c r="B481" s="18" t="str">
        <x:v>101437000_76417</x:v>
      </x:c>
      <x:c r="C481" s="18" t="str">
        <x:v>【沪村小电】新春一组充电站</x:v>
      </x:c>
      <x:c r="D481" s="37" t="str">
        <x:v>2</x:v>
      </x:c>
      <x:c r="E481" s="37" t="str">
        <x:v>0</x:v>
      </x:c>
      <x:c r="F481" s="37" t="str">
        <x:v>18</x:v>
      </x:c>
      <x:c r="G481" s="37" t="str">
        <x:v>557.15</x:v>
      </x:c>
      <x:c r="H481" s="37" t="str">
        <x:v>0.00</x:v>
      </x:c>
      <x:c r="I481" s="37" t="str">
        <x:v>170.92</x:v>
      </x:c>
      <x:c r="J481" s="37" t="str">
        <x:v>0.00</x:v>
      </x:c>
      <x:c r="K481" s="37" t="str">
        <x:v>386.23</x:v>
      </x:c>
      <x:c r="L481" s="37" t="str">
        <x:v>872</x:v>
      </x:c>
      <x:c r="M481" s="29" t="str">
        <x:v>438.60</x:v>
      </x:c>
      <x:c r="N481" s="29" t="str">
        <x:v>327.33</x:v>
      </x:c>
      <x:c r="O481" s="29" t="str">
        <x:v>111.27</x:v>
      </x:c>
      <x:c r="P481" s="18" t="str">
        <x:v>2026-08-06</x:v>
      </x:c>
      <x:c r="Q481" s="36" t="n">
        <x:v>46240</x:v>
      </x:c>
    </x:row>
    <x:row r="482">
      <x:c r="A482" s="36" t="str">
        <x:v>2026-08-06</x:v>
      </x:c>
      <x:c r="B482" s="18" t="str">
        <x:v>101437000_78235</x:v>
      </x:c>
      <x:c r="C482" s="18" t="str">
        <x:v>【沪村小电】欣秋苑充电站</x:v>
      </x:c>
      <x:c r="D482" s="37" t="str">
        <x:v>4</x:v>
      </x:c>
      <x:c r="E482" s="37" t="str">
        <x:v>0</x:v>
      </x:c>
      <x:c r="F482" s="37" t="str">
        <x:v>20</x:v>
      </x:c>
      <x:c r="G482" s="37" t="str">
        <x:v>503.80</x:v>
      </x:c>
      <x:c r="H482" s="37" t="str">
        <x:v>0.00</x:v>
      </x:c>
      <x:c r="I482" s="37" t="str">
        <x:v>301.09</x:v>
      </x:c>
      <x:c r="J482" s="37" t="str">
        <x:v>0.00</x:v>
      </x:c>
      <x:c r="K482" s="37" t="str">
        <x:v>202.71</x:v>
      </x:c>
      <x:c r="L482" s="37" t="str">
        <x:v>879</x:v>
      </x:c>
      <x:c r="M482" s="29" t="str">
        <x:v>389.46</x:v>
      </x:c>
      <x:c r="N482" s="29" t="str">
        <x:v>288.76</x:v>
      </x:c>
      <x:c r="O482" s="29" t="str">
        <x:v>100.70</x:v>
      </x:c>
      <x:c r="P482" s="18" t="str">
        <x:v>2026-08-06</x:v>
      </x:c>
      <x:c r="Q482" s="36" t="n">
        <x:v>46240</x:v>
      </x:c>
    </x:row>
    <x:row r="483">
      <x:c r="A483" s="36" t="str">
        <x:v>2026-08-06</x:v>
      </x:c>
      <x:c r="B483" s="18" t="str">
        <x:v>101437000_78237</x:v>
      </x:c>
      <x:c r="C483" s="18" t="str">
        <x:v>【沪村小电】奉馨苑西门小区内北侧充电站</x:v>
      </x:c>
      <x:c r="D483" s="37" t="str">
        <x:v>2</x:v>
      </x:c>
      <x:c r="E483" s="37" t="str">
        <x:v>0</x:v>
      </x:c>
      <x:c r="F483" s="37" t="str">
        <x:v>28</x:v>
      </x:c>
      <x:c r="G483" s="37" t="str">
        <x:v>805.44</x:v>
      </x:c>
      <x:c r="H483" s="37" t="str">
        <x:v>52.62</x:v>
      </x:c>
      <x:c r="I483" s="37" t="str">
        <x:v>73.85</x:v>
      </x:c>
      <x:c r="J483" s="37" t="str">
        <x:v>121.75</x:v>
      </x:c>
      <x:c r="K483" s="37" t="str">
        <x:v>557.23</x:v>
      </x:c>
      <x:c r="L483" s="37" t="str">
        <x:v>1301</x:v>
      </x:c>
      <x:c r="M483" s="29" t="str">
        <x:v>625.94</x:v>
      </x:c>
      <x:c r="N483" s="29" t="str">
        <x:v>456.62</x:v>
      </x:c>
      <x:c r="O483" s="29" t="str">
        <x:v>169.32</x:v>
      </x:c>
      <x:c r="P483" s="18" t="str">
        <x:v>2026-08-06</x:v>
      </x:c>
      <x:c r="Q483" s="36" t="n">
        <x:v>46240</x:v>
      </x:c>
    </x:row>
    <x:row r="484">
      <x:c r="A484" s="36" t="str">
        <x:v>2026-08-06</x:v>
      </x:c>
      <x:c r="B484" s="18" t="str">
        <x:v>101437000_80823</x:v>
      </x:c>
      <x:c r="C484" s="18" t="str">
        <x:v>【沪村小电】上湖轩充电站</x:v>
      </x:c>
      <x:c r="D484" s="37" t="str">
        <x:v>2</x:v>
      </x:c>
      <x:c r="E484" s="37" t="str">
        <x:v>0</x:v>
      </x:c>
      <x:c r="F484" s="37" t="str">
        <x:v>6</x:v>
      </x:c>
      <x:c r="G484" s="37" t="str">
        <x:v>180.73</x:v>
      </x:c>
      <x:c r="H484" s="37" t="str">
        <x:v>0.00</x:v>
      </x:c>
      <x:c r="I484" s="37" t="str">
        <x:v>0.00</x:v>
      </x:c>
      <x:c r="J484" s="37" t="str">
        <x:v>50.99</x:v>
      </x:c>
      <x:c r="K484" s="37" t="str">
        <x:v>129.74</x:v>
      </x:c>
      <x:c r="L484" s="37" t="str">
        <x:v>223</x:v>
      </x:c>
      <x:c r="M484" s="29" t="str">
        <x:v>125.30</x:v>
      </x:c>
      <x:c r="N484" s="29" t="str">
        <x:v>107.98</x:v>
      </x:c>
      <x:c r="O484" s="29" t="str">
        <x:v>17.32</x:v>
      </x:c>
      <x:c r="P484" s="18" t="str">
        <x:v>2026-08-06</x:v>
      </x:c>
      <x:c r="Q484" s="36" t="n">
        <x:v>46240</x:v>
      </x:c>
    </x:row>
    <x:row r="485">
      <x:c r="A485" s="36" t="str">
        <x:v>2026-08-06</x:v>
      </x:c>
      <x:c r="B485" s="18" t="str">
        <x:v>101437000_83019</x:v>
      </x:c>
      <x:c r="C485" s="18" t="str">
        <x:v>【沪村小电】首创禧瑞云启东区充电站</x:v>
      </x:c>
      <x:c r="D485" s="37" t="str">
        <x:v>2</x:v>
      </x:c>
      <x:c r="E485" s="37" t="str">
        <x:v>0</x:v>
      </x:c>
      <x:c r="F485" s="37" t="str">
        <x:v>42</x:v>
      </x:c>
      <x:c r="G485" s="37" t="str">
        <x:v>861.29</x:v>
      </x:c>
      <x:c r="H485" s="37" t="str">
        <x:v>0.00</x:v>
      </x:c>
      <x:c r="I485" s="37" t="str">
        <x:v>629.28</x:v>
      </x:c>
      <x:c r="J485" s="37" t="str">
        <x:v>0.00</x:v>
      </x:c>
      <x:c r="K485" s="37" t="str">
        <x:v>232.02</x:v>
      </x:c>
      <x:c r="L485" s="37" t="str">
        <x:v>1181</x:v>
      </x:c>
      <x:c r="M485" s="29" t="str">
        <x:v>860.74</x:v>
      </x:c>
      <x:c r="N485" s="29" t="str">
        <x:v>532.63</x:v>
      </x:c>
      <x:c r="O485" s="29" t="str">
        <x:v>328.11</x:v>
      </x:c>
      <x:c r="P485" s="18" t="str">
        <x:v>2026-08-06</x:v>
      </x:c>
      <x:c r="Q485" s="36" t="n">
        <x:v>46240</x:v>
      </x:c>
    </x:row>
    <x:row r="486">
      <x:c r="A486" s="36" t="str">
        <x:v>2026-08-06</x:v>
      </x:c>
      <x:c r="B486" s="18" t="str">
        <x:v>101437000_83093</x:v>
      </x:c>
      <x:c r="C486" s="18" t="str">
        <x:v>【沪村小电】金茂未来时光里</x:v>
      </x:c>
      <x:c r="D486" s="37" t="str">
        <x:v>2</x:v>
      </x:c>
      <x:c r="E486" s="37" t="str">
        <x:v>0</x:v>
      </x:c>
      <x:c r="F486" s="37" t="str">
        <x:v>63</x:v>
      </x:c>
      <x:c r="G486" s="37" t="str">
        <x:v>1663.22</x:v>
      </x:c>
      <x:c r="H486" s="37" t="str">
        <x:v>0.00</x:v>
      </x:c>
      <x:c r="I486" s="37" t="str">
        <x:v>723.24</x:v>
      </x:c>
      <x:c r="J486" s="37" t="str">
        <x:v>0.00</x:v>
      </x:c>
      <x:c r="K486" s="37" t="str">
        <x:v>939.98</x:v>
      </x:c>
      <x:c r="L486" s="37" t="str">
        <x:v>2383</x:v>
      </x:c>
      <x:c r="M486" s="29" t="str">
        <x:v>1080.23</x:v>
      </x:c>
      <x:c r="N486" s="29" t="str">
        <x:v>718.10</x:v>
      </x:c>
      <x:c r="O486" s="29" t="str">
        <x:v>362.13</x:v>
      </x:c>
      <x:c r="P486" s="18" t="str">
        <x:v>2026-08-06</x:v>
      </x:c>
      <x:c r="Q486" s="36" t="n">
        <x:v>46240</x:v>
      </x:c>
    </x:row>
    <x:row r="487">
      <x:c r="A487" s="36" t="str">
        <x:v>2026-08-06</x:v>
      </x:c>
      <x:c r="B487" s="18" t="str">
        <x:v>101437000_83911</x:v>
      </x:c>
      <x:c r="C487" s="18" t="str">
        <x:v>【沪村小电】金瀚园充电站</x:v>
      </x:c>
      <x:c r="D487" s="37" t="str">
        <x:v>2</x:v>
      </x:c>
      <x:c r="E487" s="37" t="str">
        <x:v>0</x:v>
      </x:c>
      <x:c r="F487" s="37" t="str">
        <x:v>40</x:v>
      </x:c>
      <x:c r="G487" s="37" t="str">
        <x:v>1045.38</x:v>
      </x:c>
      <x:c r="H487" s="37" t="str">
        <x:v>0.00</x:v>
      </x:c>
      <x:c r="I487" s="37" t="str">
        <x:v>646.15</x:v>
      </x:c>
      <x:c r="J487" s="37" t="str">
        <x:v>0.00</x:v>
      </x:c>
      <x:c r="K487" s="37" t="str">
        <x:v>399.22</x:v>
      </x:c>
      <x:c r="L487" s="37" t="str">
        <x:v>1559</x:v>
      </x:c>
      <x:c r="M487" s="29" t="str">
        <x:v>950.51</x:v>
      </x:c>
      <x:c r="N487" s="29" t="str">
        <x:v>606.50</x:v>
      </x:c>
      <x:c r="O487" s="29" t="str">
        <x:v>344.01</x:v>
      </x:c>
      <x:c r="P487" s="18" t="str">
        <x:v>2026-08-06</x:v>
      </x:c>
      <x:c r="Q487" s="36" t="n">
        <x:v>46240</x:v>
      </x:c>
    </x:row>
    <x:row r="488">
      <x:c r="A488" s="36" t="str">
        <x:v>2026-08-06</x:v>
      </x:c>
      <x:c r="B488" s="18" t="str">
        <x:v>101437000_83913</x:v>
      </x:c>
      <x:c r="C488" s="18" t="str">
        <x:v>【沪村小电】新黎村充电站</x:v>
      </x:c>
      <x:c r="D488" s="37" t="str">
        <x:v>2</x:v>
      </x:c>
      <x:c r="E488" s="37" t="str">
        <x:v>0</x:v>
      </x:c>
      <x:c r="F488" s="37" t="str">
        <x:v>47</x:v>
      </x:c>
      <x:c r="G488" s="37" t="str">
        <x:v>1189.39</x:v>
      </x:c>
      <x:c r="H488" s="37" t="str">
        <x:v>0.00</x:v>
      </x:c>
      <x:c r="I488" s="37" t="str">
        <x:v>857.48</x:v>
      </x:c>
      <x:c r="J488" s="37" t="str">
        <x:v>0.00</x:v>
      </x:c>
      <x:c r="K488" s="37" t="str">
        <x:v>331.90</x:v>
      </x:c>
      <x:c r="L488" s="37" t="str">
        <x:v>1739</x:v>
      </x:c>
      <x:c r="M488" s="29" t="str">
        <x:v>1249.85</x:v>
      </x:c>
      <x:c r="N488" s="29" t="str">
        <x:v>912.67</x:v>
      </x:c>
      <x:c r="O488" s="29" t="str">
        <x:v>337.18</x:v>
      </x:c>
      <x:c r="P488" s="18" t="str">
        <x:v>2026-08-06</x:v>
      </x:c>
      <x:c r="Q488" s="36" t="n">
        <x:v>46240</x:v>
      </x:c>
    </x:row>
    <x:row r="489">
      <x:c r="A489" s="36" t="str">
        <x:v>2026-08-06</x:v>
      </x:c>
      <x:c r="B489" s="18" t="str">
        <x:v>101437000_83915</x:v>
      </x:c>
      <x:c r="C489" s="18" t="str">
        <x:v>【沪村小电】长泰西郊别墅充电站</x:v>
      </x:c>
      <x:c r="D489" s="37" t="str">
        <x:v>2</x:v>
      </x:c>
      <x:c r="E489" s="37" t="str">
        <x:v>0</x:v>
      </x:c>
      <x:c r="F489" s="37" t="str">
        <x:v>18</x:v>
      </x:c>
      <x:c r="G489" s="37" t="str">
        <x:v>437.60</x:v>
      </x:c>
      <x:c r="H489" s="37" t="str">
        <x:v>0.00</x:v>
      </x:c>
      <x:c r="I489" s="37" t="str">
        <x:v>370.59</x:v>
      </x:c>
      <x:c r="J489" s="37" t="str">
        <x:v>0.00</x:v>
      </x:c>
      <x:c r="K489" s="37" t="str">
        <x:v>67.01</x:v>
      </x:c>
      <x:c r="L489" s="37" t="str">
        <x:v>601</x:v>
      </x:c>
      <x:c r="M489" s="29" t="str">
        <x:v>460.93</x:v>
      </x:c>
      <x:c r="N489" s="29" t="str">
        <x:v>287.90</x:v>
      </x:c>
      <x:c r="O489" s="29" t="str">
        <x:v>173.03</x:v>
      </x:c>
      <x:c r="P489" s="18" t="str">
        <x:v>2026-08-06</x:v>
      </x:c>
      <x:c r="Q489" s="36" t="n">
        <x:v>46240</x:v>
      </x:c>
    </x:row>
    <x:row r="490">
      <x:c r="A490" s="36" t="str">
        <x:v>2026-08-06</x:v>
      </x:c>
      <x:c r="B490" s="18" t="str">
        <x:v>101437000_83917</x:v>
      </x:c>
      <x:c r="C490" s="18" t="str">
        <x:v>【沪村小电】旭新华庭充电站</x:v>
      </x:c>
      <x:c r="D490" s="37" t="str">
        <x:v>4</x:v>
      </x:c>
      <x:c r="E490" s="37" t="str">
        <x:v>0</x:v>
      </x:c>
      <x:c r="F490" s="37" t="str">
        <x:v>35</x:v>
      </x:c>
      <x:c r="G490" s="37" t="str">
        <x:v>823.90</x:v>
      </x:c>
      <x:c r="H490" s="37" t="str">
        <x:v>0.00</x:v>
      </x:c>
      <x:c r="I490" s="37" t="str">
        <x:v>521.78</x:v>
      </x:c>
      <x:c r="J490" s="37" t="str">
        <x:v>0.00</x:v>
      </x:c>
      <x:c r="K490" s="37" t="str">
        <x:v>302.13</x:v>
      </x:c>
      <x:c r="L490" s="37" t="str">
        <x:v>1257</x:v>
      </x:c>
      <x:c r="M490" s="29" t="str">
        <x:v>871.52</x:v>
      </x:c>
      <x:c r="N490" s="29" t="str">
        <x:v>482.22</x:v>
      </x:c>
      <x:c r="O490" s="29" t="str">
        <x:v>389.30</x:v>
      </x:c>
      <x:c r="P490" s="18" t="str">
        <x:v>2026-08-06</x:v>
      </x:c>
      <x:c r="Q490" s="36" t="n">
        <x:v>46240</x:v>
      </x:c>
    </x:row>
    <x:row r="491">
      <x:c r="A491" s="36" t="str">
        <x:v>2026-08-06</x:v>
      </x:c>
      <x:c r="B491" s="18" t="str">
        <x:v>101437000_83919</x:v>
      </x:c>
      <x:c r="C491" s="18" t="str">
        <x:v>【沪村小电】浦锦名仕嘉园充电站</x:v>
      </x:c>
      <x:c r="D491" s="37" t="str">
        <x:v>4</x:v>
      </x:c>
      <x:c r="E491" s="37" t="str">
        <x:v>0</x:v>
      </x:c>
      <x:c r="F491" s="37" t="str">
        <x:v>40</x:v>
      </x:c>
      <x:c r="G491" s="37" t="str">
        <x:v>949.52</x:v>
      </x:c>
      <x:c r="H491" s="37" t="str">
        <x:v>0.00</x:v>
      </x:c>
      <x:c r="I491" s="37" t="str">
        <x:v>0.00</x:v>
      </x:c>
      <x:c r="J491" s="37" t="str">
        <x:v>949.52</x:v>
      </x:c>
      <x:c r="K491" s="37" t="str">
        <x:v>0.00</x:v>
      </x:c>
      <x:c r="L491" s="37" t="str">
        <x:v>1285</x:v>
      </x:c>
      <x:c r="M491" s="29" t="str">
        <x:v>989.30</x:v>
      </x:c>
      <x:c r="N491" s="29" t="str">
        <x:v>664.66</x:v>
      </x:c>
      <x:c r="O491" s="29" t="str">
        <x:v>324.64</x:v>
      </x:c>
      <x:c r="P491" s="18" t="str">
        <x:v>2026-08-06</x:v>
      </x:c>
      <x:c r="Q491" s="36" t="n">
        <x:v>46240</x:v>
      </x:c>
    </x:row>
    <x:row r="492">
      <x:c r="A492" s="36" t="str">
        <x:v>2026-08-06</x:v>
      </x:c>
      <x:c r="B492" s="18" t="str">
        <x:v>101437000_83921</x:v>
      </x:c>
      <x:c r="C492" s="18" t="str">
        <x:v>【沪村小电】上海联怡枇杷乐园充电站（地库）</x:v>
      </x:c>
      <x:c r="D492" s="37" t="str">
        <x:v>8</x:v>
      </x:c>
      <x:c r="E492" s="37" t="str">
        <x:v>0</x:v>
      </x:c>
      <x:c r="F492" s="37" t="str">
        <x:v>26</x:v>
      </x:c>
      <x:c r="G492" s="37" t="str">
        <x:v>723.68</x:v>
      </x:c>
      <x:c r="H492" s="37" t="str">
        <x:v>0.00</x:v>
      </x:c>
      <x:c r="I492" s="37" t="str">
        <x:v>460.57</x:v>
      </x:c>
      <x:c r="J492" s="37" t="str">
        <x:v>0.00</x:v>
      </x:c>
      <x:c r="K492" s="37" t="str">
        <x:v>263.11</x:v>
      </x:c>
      <x:c r="L492" s="37" t="str">
        <x:v>998</x:v>
      </x:c>
      <x:c r="M492" s="29" t="str">
        <x:v>662.06</x:v>
      </x:c>
      <x:c r="N492" s="29" t="str">
        <x:v>535.54</x:v>
      </x:c>
      <x:c r="O492" s="29" t="str">
        <x:v>126.52</x:v>
      </x:c>
      <x:c r="P492" s="18" t="str">
        <x:v>2026-08-06</x:v>
      </x:c>
      <x:c r="Q492" s="36" t="n">
        <x:v>46240</x:v>
      </x:c>
    </x:row>
    <x:row r="493">
      <x:c r="A493" s="36" t="str">
        <x:v>2026-08-06</x:v>
      </x:c>
      <x:c r="B493" s="18" t="str">
        <x:v>101437000_83923</x:v>
      </x:c>
      <x:c r="C493" s="18" t="str">
        <x:v>【沪村小电】明珠新苑充电站</x:v>
      </x:c>
      <x:c r="D493" s="37" t="str">
        <x:v>2</x:v>
      </x:c>
      <x:c r="E493" s="37" t="str">
        <x:v>0</x:v>
      </x:c>
      <x:c r="F493" s="37" t="str">
        <x:v>35</x:v>
      </x:c>
      <x:c r="G493" s="37" t="str">
        <x:v>937.76</x:v>
      </x:c>
      <x:c r="H493" s="37" t="str">
        <x:v>0.00</x:v>
      </x:c>
      <x:c r="I493" s="37" t="str">
        <x:v>600.73</x:v>
      </x:c>
      <x:c r="J493" s="37" t="str">
        <x:v>0.00</x:v>
      </x:c>
      <x:c r="K493" s="37" t="str">
        <x:v>337.03</x:v>
      </x:c>
      <x:c r="L493" s="37" t="str">
        <x:v>1245</x:v>
      </x:c>
      <x:c r="M493" s="29" t="str">
        <x:v>887.08</x:v>
      </x:c>
      <x:c r="N493" s="29" t="str">
        <x:v>551.21</x:v>
      </x:c>
      <x:c r="O493" s="29" t="str">
        <x:v>335.87</x:v>
      </x:c>
      <x:c r="P493" s="18" t="str">
        <x:v>2026-08-06</x:v>
      </x:c>
      <x:c r="Q493" s="36" t="n">
        <x:v>46240</x:v>
      </x:c>
    </x:row>
    <x:row r="494">
      <x:c r="A494" s="36" t="str">
        <x:v>2026-08-06</x:v>
      </x:c>
      <x:c r="B494" s="18" t="str">
        <x:v>101437000_84289</x:v>
      </x:c>
      <x:c r="C494" s="18" t="str">
        <x:v>【沪村小电】铁建芳华苑充电站</x:v>
      </x:c>
      <x:c r="D494" s="37" t="str">
        <x:v>4</x:v>
      </x:c>
      <x:c r="E494" s="37" t="str">
        <x:v>0</x:v>
      </x:c>
      <x:c r="F494" s="37" t="str">
        <x:v>47</x:v>
      </x:c>
      <x:c r="G494" s="37" t="str">
        <x:v>1216.24</x:v>
      </x:c>
      <x:c r="H494" s="37" t="str">
        <x:v>0.00</x:v>
      </x:c>
      <x:c r="I494" s="37" t="str">
        <x:v>871.19</x:v>
      </x:c>
      <x:c r="J494" s="37" t="str">
        <x:v>0.00</x:v>
      </x:c>
      <x:c r="K494" s="37" t="str">
        <x:v>345.05</x:v>
      </x:c>
      <x:c r="L494" s="37" t="str">
        <x:v>1707</x:v>
      </x:c>
      <x:c r="M494" s="29" t="str">
        <x:v>1187.13</x:v>
      </x:c>
      <x:c r="N494" s="29" t="str">
        <x:v>746.21</x:v>
      </x:c>
      <x:c r="O494" s="29" t="str">
        <x:v>440.92</x:v>
      </x:c>
      <x:c r="P494" s="18" t="str">
        <x:v>2026-08-06</x:v>
      </x:c>
      <x:c r="Q494" s="36" t="n">
        <x:v>46240</x:v>
      </x:c>
    </x:row>
    <x:row r="495">
      <x:c r="A495" s="36" t="str">
        <x:v>2026-08-06</x:v>
      </x:c>
      <x:c r="B495" s="18" t="str">
        <x:v>101437000_86379</x:v>
      </x:c>
      <x:c r="C495" s="18" t="str">
        <x:v>【沪村小电】新宝社区充电站</x:v>
      </x:c>
      <x:c r="D495" s="37" t="str">
        <x:v>4</x:v>
      </x:c>
      <x:c r="E495" s="37" t="str">
        <x:v>0</x:v>
      </x:c>
      <x:c r="F495" s="37" t="str">
        <x:v>33</x:v>
      </x:c>
      <x:c r="G495" s="37" t="str">
        <x:v>808.57</x:v>
      </x:c>
      <x:c r="H495" s="37" t="str">
        <x:v>0.00</x:v>
      </x:c>
      <x:c r="I495" s="37" t="str">
        <x:v>471.95</x:v>
      </x:c>
      <x:c r="J495" s="37" t="str">
        <x:v>0.00</x:v>
      </x:c>
      <x:c r="K495" s="37" t="str">
        <x:v>336.62</x:v>
      </x:c>
      <x:c r="L495" s="37" t="str">
        <x:v>1519</x:v>
      </x:c>
      <x:c r="M495" s="29" t="str">
        <x:v>673.09</x:v>
      </x:c>
      <x:c r="N495" s="29" t="str">
        <x:v>459.65</x:v>
      </x:c>
      <x:c r="O495" s="29" t="str">
        <x:v>213.44</x:v>
      </x:c>
      <x:c r="P495" s="18" t="str">
        <x:v>2026-08-06</x:v>
      </x:c>
      <x:c r="Q495" s="36" t="n">
        <x:v>46240</x:v>
      </x:c>
    </x:row>
    <x:row r="496">
      <x:c r="A496" s="36" t="str">
        <x:v>2026-08-06</x:v>
      </x:c>
      <x:c r="B496" s="18" t="str">
        <x:v>101437000_89441</x:v>
      </x:c>
      <x:c r="C496" s="18" t="str">
        <x:v>【沪村小电】首创禧瑞云启西区充电站</x:v>
      </x:c>
      <x:c r="D496" s="37" t="str">
        <x:v>2</x:v>
      </x:c>
      <x:c r="E496" s="37" t="str">
        <x:v>0</x:v>
      </x:c>
      <x:c r="F496" s="37" t="str">
        <x:v>35</x:v>
      </x:c>
      <x:c r="G496" s="37" t="str">
        <x:v>724.03</x:v>
      </x:c>
      <x:c r="H496" s="37" t="str">
        <x:v>0.00</x:v>
      </x:c>
      <x:c r="I496" s="37" t="str">
        <x:v>648.49</x:v>
      </x:c>
      <x:c r="J496" s="37" t="str">
        <x:v>0.00</x:v>
      </x:c>
      <x:c r="K496" s="37" t="str">
        <x:v>75.53</x:v>
      </x:c>
      <x:c r="L496" s="37" t="str">
        <x:v>1170</x:v>
      </x:c>
      <x:c r="M496" s="29" t="str">
        <x:v>769.65</x:v>
      </x:c>
      <x:c r="N496" s="29" t="str">
        <x:v>488.39</x:v>
      </x:c>
      <x:c r="O496" s="29" t="str">
        <x:v>281.26</x:v>
      </x:c>
      <x:c r="P496" s="18" t="str">
        <x:v>2026-08-06</x:v>
      </x:c>
      <x:c r="Q496" s="36" t="n">
        <x:v>46240</x:v>
      </x:c>
    </x:row>
    <x:row r="497">
      <x:c r="A497" s="36" t="str">
        <x:v>2026-08-06</x:v>
      </x:c>
      <x:c r="B497" s="18" t="str">
        <x:v>101437000_89443</x:v>
      </x:c>
      <x:c r="C497" s="18" t="str">
        <x:v>【沪村小电】玉兰清苑二期充电站</x:v>
      </x:c>
      <x:c r="D497" s="37" t="str">
        <x:v>2</x:v>
      </x:c>
      <x:c r="E497" s="37" t="str">
        <x:v>0</x:v>
      </x:c>
      <x:c r="F497" s="37" t="str">
        <x:v>28</x:v>
      </x:c>
      <x:c r="G497" s="37" t="str">
        <x:v>736.74</x:v>
      </x:c>
      <x:c r="H497" s="37" t="str">
        <x:v>0.00</x:v>
      </x:c>
      <x:c r="I497" s="37" t="str">
        <x:v>597.59</x:v>
      </x:c>
      <x:c r="J497" s="37" t="str">
        <x:v>0.00</x:v>
      </x:c>
      <x:c r="K497" s="37" t="str">
        <x:v>139.15</x:v>
      </x:c>
      <x:c r="L497" s="37" t="str">
        <x:v>1079</x:v>
      </x:c>
      <x:c r="M497" s="29" t="str">
        <x:v>740.94</x:v>
      </x:c>
      <x:c r="N497" s="29" t="str">
        <x:v>475.81</x:v>
      </x:c>
      <x:c r="O497" s="29" t="str">
        <x:v>265.13</x:v>
      </x:c>
      <x:c r="P497" s="18" t="str">
        <x:v>2026-08-06</x:v>
      </x:c>
      <x:c r="Q497" s="36" t="n">
        <x:v>46240</x:v>
      </x:c>
    </x:row>
    <x:row r="498">
      <x:c r="A498" s="36" t="str">
        <x:v>2026-08-06</x:v>
      </x:c>
      <x:c r="B498" s="18" t="str">
        <x:v>101437000_93115</x:v>
      </x:c>
      <x:c r="C498" s="18" t="str">
        <x:v>【沪村小电】新南家园西北门</x:v>
      </x:c>
      <x:c r="D498" s="37" t="str">
        <x:v>2</x:v>
      </x:c>
      <x:c r="E498" s="37" t="str">
        <x:v>0</x:v>
      </x:c>
      <x:c r="F498" s="37" t="str">
        <x:v>27</x:v>
      </x:c>
      <x:c r="G498" s="37" t="str">
        <x:v>680.07</x:v>
      </x:c>
      <x:c r="H498" s="37" t="str">
        <x:v>0.00</x:v>
      </x:c>
      <x:c r="I498" s="37" t="str">
        <x:v>478.39</x:v>
      </x:c>
      <x:c r="J498" s="37" t="str">
        <x:v>0.00</x:v>
      </x:c>
      <x:c r="K498" s="37" t="str">
        <x:v>201.68</x:v>
      </x:c>
      <x:c r="L498" s="37" t="str">
        <x:v>1127</x:v>
      </x:c>
      <x:c r="M498" s="29" t="str">
        <x:v>651.22</x:v>
      </x:c>
      <x:c r="N498" s="29" t="str">
        <x:v>414.28</x:v>
      </x:c>
      <x:c r="O498" s="29" t="str">
        <x:v>236.94</x:v>
      </x:c>
      <x:c r="P498" s="18" t="str">
        <x:v>2026-08-06</x:v>
      </x:c>
      <x:c r="Q498" s="36" t="n">
        <x:v>46240</x:v>
      </x:c>
    </x:row>
    <x:row r="499">
      <x:c r="A499" s="36" t="str">
        <x:v>2026-08-06</x:v>
      </x:c>
      <x:c r="B499" s="18" t="str">
        <x:v>101437000_94649</x:v>
      </x:c>
      <x:c r="C499" s="18" t="str">
        <x:v>【沪村小电】浪琴水岸花园</x:v>
      </x:c>
      <x:c r="D499" s="37" t="str">
        <x:v>4</x:v>
      </x:c>
      <x:c r="E499" s="37" t="str">
        <x:v>0</x:v>
      </x:c>
      <x:c r="F499" s="37" t="str">
        <x:v>36</x:v>
      </x:c>
      <x:c r="G499" s="37" t="str">
        <x:v>771.81</x:v>
      </x:c>
      <x:c r="H499" s="37" t="str">
        <x:v>0.00</x:v>
      </x:c>
      <x:c r="I499" s="37" t="str">
        <x:v>570.59</x:v>
      </x:c>
      <x:c r="J499" s="37" t="str">
        <x:v>0.00</x:v>
      </x:c>
      <x:c r="K499" s="37" t="str">
        <x:v>201.22</x:v>
      </x:c>
      <x:c r="L499" s="37" t="str">
        <x:v>1368</x:v>
      </x:c>
      <x:c r="M499" s="29" t="str">
        <x:v>677.94</x:v>
      </x:c>
      <x:c r="N499" s="29" t="str">
        <x:v>499.69</x:v>
      </x:c>
      <x:c r="O499" s="29" t="str">
        <x:v>178.25</x:v>
      </x:c>
      <x:c r="P499" s="18" t="str">
        <x:v>2026-08-06</x:v>
      </x:c>
      <x:c r="Q499" s="36" t="n">
        <x:v>46240</x:v>
      </x:c>
    </x:row>
    <x:row r="500">
      <x:c r="A500" s="36" t="str">
        <x:v>2026-08-06</x:v>
      </x:c>
      <x:c r="B500" s="18" t="str">
        <x:v>101437000_95079</x:v>
      </x:c>
      <x:c r="C500" s="18" t="str">
        <x:v>【沪村小电】民乐城惠益绿苑东苑充电站</x:v>
      </x:c>
      <x:c r="D500" s="37" t="str">
        <x:v>2</x:v>
      </x:c>
      <x:c r="E500" s="37" t="str">
        <x:v>0</x:v>
      </x:c>
      <x:c r="F500" s="37" t="str">
        <x:v>25</x:v>
      </x:c>
      <x:c r="G500" s="37" t="str">
        <x:v>558.54</x:v>
      </x:c>
      <x:c r="H500" s="37" t="str">
        <x:v>0.00</x:v>
      </x:c>
      <x:c r="I500" s="37" t="str">
        <x:v>371.01</x:v>
      </x:c>
      <x:c r="J500" s="37" t="str">
        <x:v>0.00</x:v>
      </x:c>
      <x:c r="K500" s="37" t="str">
        <x:v>187.54</x:v>
      </x:c>
      <x:c r="L500" s="37" t="str">
        <x:v>960</x:v>
      </x:c>
      <x:c r="M500" s="29" t="str">
        <x:v>467.18</x:v>
      </x:c>
      <x:c r="N500" s="29" t="str">
        <x:v>332.80</x:v>
      </x:c>
      <x:c r="O500" s="29" t="str">
        <x:v>134.38</x:v>
      </x:c>
      <x:c r="P500" s="18" t="str">
        <x:v>2026-08-06</x:v>
      </x:c>
      <x:c r="Q500" s="36" t="n">
        <x:v>46240</x:v>
      </x:c>
    </x:row>
    <x:row r="501">
      <x:c r="A501" s="36" t="str">
        <x:v>2026-08-06</x:v>
      </x:c>
      <x:c r="B501" s="18" t="str">
        <x:v>101437000_95081</x:v>
      </x:c>
      <x:c r="C501" s="18" t="str">
        <x:v>【沪村小电】民乐城惠益绿苑西苑充电站</x:v>
      </x:c>
      <x:c r="D501" s="37" t="str">
        <x:v>2</x:v>
      </x:c>
      <x:c r="E501" s="37" t="str">
        <x:v>0</x:v>
      </x:c>
      <x:c r="F501" s="37" t="str">
        <x:v>10</x:v>
      </x:c>
      <x:c r="G501" s="37" t="str">
        <x:v>280.23</x:v>
      </x:c>
      <x:c r="H501" s="37" t="str">
        <x:v>0.00</x:v>
      </x:c>
      <x:c r="I501" s="37" t="str">
        <x:v>245.85</x:v>
      </x:c>
      <x:c r="J501" s="37" t="str">
        <x:v>0.00</x:v>
      </x:c>
      <x:c r="K501" s="37" t="str">
        <x:v>34.39</x:v>
      </x:c>
      <x:c r="L501" s="37" t="str">
        <x:v>355</x:v>
      </x:c>
      <x:c r="M501" s="29" t="str">
        <x:v>268.43</x:v>
      </x:c>
      <x:c r="N501" s="29" t="str">
        <x:v>187.28</x:v>
      </x:c>
      <x:c r="O501" s="29" t="str">
        <x:v>81.15</x:v>
      </x:c>
      <x:c r="P501" s="18" t="str">
        <x:v>2026-08-06</x:v>
      </x:c>
      <x:c r="Q501" s="36" t="n">
        <x:v>46240</x:v>
      </x:c>
    </x:row>
    <x:row r="502">
      <x:c r="A502" s="36" t="str">
        <x:v>2026-08-06</x:v>
      </x:c>
      <x:c r="B502" s="18" t="str">
        <x:v>101437000_95091</x:v>
      </x:c>
      <x:c r="C502" s="18" t="str">
        <x:v>【沪村小电】金悦学府2号站</x:v>
      </x:c>
      <x:c r="D502" s="37" t="str">
        <x:v>2</x:v>
      </x:c>
      <x:c r="E502" s="37" t="str">
        <x:v>0</x:v>
      </x:c>
      <x:c r="F502" s="37" t="str">
        <x:v>25</x:v>
      </x:c>
      <x:c r="G502" s="37" t="str">
        <x:v>673.51</x:v>
      </x:c>
      <x:c r="H502" s="37" t="str">
        <x:v>0.00</x:v>
      </x:c>
      <x:c r="I502" s="37" t="str">
        <x:v>0.00</x:v>
      </x:c>
      <x:c r="J502" s="37" t="str">
        <x:v>673.51</x:v>
      </x:c>
      <x:c r="K502" s="37" t="str">
        <x:v>0.00</x:v>
      </x:c>
      <x:c r="L502" s="37" t="str">
        <x:v>1002</x:v>
      </x:c>
      <x:c r="M502" s="29" t="str">
        <x:v>532.07</x:v>
      </x:c>
      <x:c r="N502" s="29" t="str">
        <x:v>377.16</x:v>
      </x:c>
      <x:c r="O502" s="29" t="str">
        <x:v>154.91</x:v>
      </x:c>
      <x:c r="P502" s="18" t="str">
        <x:v>2026-08-06</x:v>
      </x:c>
      <x:c r="Q502" s="36" t="n">
        <x:v>46240</x:v>
      </x:c>
    </x:row>
    <x:row r="503">
      <x:c r="A503" s="36" t="str">
        <x:v>2026-08-06</x:v>
      </x:c>
      <x:c r="B503" s="18" t="str">
        <x:v>101437000_95941</x:v>
      </x:c>
      <x:c r="C503" s="18" t="str">
        <x:v>【沪村小电】惠诚雅苑</x:v>
      </x:c>
      <x:c r="D503" s="37" t="str">
        <x:v>4</x:v>
      </x:c>
      <x:c r="E503" s="37" t="str">
        <x:v>0</x:v>
      </x:c>
      <x:c r="F503" s="37" t="str">
        <x:v>47</x:v>
      </x:c>
      <x:c r="G503" s="37" t="str">
        <x:v>1191.46</x:v>
      </x:c>
      <x:c r="H503" s="37" t="str">
        <x:v>0.00</x:v>
      </x:c>
      <x:c r="I503" s="37" t="str">
        <x:v>519.79</x:v>
      </x:c>
      <x:c r="J503" s="37" t="str">
        <x:v>0.00</x:v>
      </x:c>
      <x:c r="K503" s="37" t="str">
        <x:v>671.66</x:v>
      </x:c>
      <x:c r="L503" s="37" t="str">
        <x:v>1972</x:v>
      </x:c>
      <x:c r="M503" s="29" t="str">
        <x:v>789.30</x:v>
      </x:c>
      <x:c r="N503" s="29" t="str">
        <x:v>514.90</x:v>
      </x:c>
      <x:c r="O503" s="29" t="str">
        <x:v>274.40</x:v>
      </x:c>
      <x:c r="P503" s="18" t="str">
        <x:v>2026-08-06</x:v>
      </x:c>
      <x:c r="Q503" s="36" t="n">
        <x:v>46240</x:v>
      </x:c>
    </x:row>
    <x:row r="504">
      <x:c r="A504" s="36" t="str">
        <x:v>2026-08-06</x:v>
      </x:c>
      <x:c r="B504" s="18" t="str">
        <x:v>101437000_96401</x:v>
      </x:c>
      <x:c r="C504" s="18" t="str">
        <x:v>【沪村小电】上海联怡枇杷乐园地面站</x:v>
      </x:c>
      <x:c r="D504" s="37" t="str">
        <x:v>2</x:v>
      </x:c>
      <x:c r="E504" s="37" t="str">
        <x:v>0</x:v>
      </x:c>
      <x:c r="F504" s="37" t="str">
        <x:v>8</x:v>
      </x:c>
      <x:c r="G504" s="37" t="str">
        <x:v>256.11</x:v>
      </x:c>
      <x:c r="H504" s="37" t="str">
        <x:v>0.00</x:v>
      </x:c>
      <x:c r="I504" s="37" t="str">
        <x:v>10.03</x:v>
      </x:c>
      <x:c r="J504" s="37" t="str">
        <x:v>0.00</x:v>
      </x:c>
      <x:c r="K504" s="37" t="str">
        <x:v>246.08</x:v>
      </x:c>
      <x:c r="L504" s="37" t="str">
        <x:v>425</x:v>
      </x:c>
      <x:c r="M504" s="29" t="str">
        <x:v>153.82</x:v>
      </x:c>
      <x:c r="N504" s="29" t="str">
        <x:v>122.23</x:v>
      </x:c>
      <x:c r="O504" s="29" t="str">
        <x:v>31.59</x:v>
      </x:c>
      <x:c r="P504" s="18" t="str">
        <x:v>2026-08-06</x:v>
      </x:c>
      <x:c r="Q504" s="36" t="n">
        <x:v>46240</x:v>
      </x:c>
    </x:row>
    <x:row r="505">
      <x:c r="A505" s="36" t="str">
        <x:v>2026-08-06</x:v>
      </x:c>
      <x:c r="B505" s="18" t="str">
        <x:v>101437000_96719</x:v>
      </x:c>
      <x:c r="C505" s="18" t="str">
        <x:v>【沪村小电】四达路220弄充电站</x:v>
      </x:c>
      <x:c r="D505" s="37" t="str">
        <x:v>2</x:v>
      </x:c>
      <x:c r="E505" s="37" t="str">
        <x:v>0</x:v>
      </x:c>
      <x:c r="F505" s="37" t="str">
        <x:v>2</x:v>
      </x:c>
      <x:c r="G505" s="37" t="str">
        <x:v>22.14</x:v>
      </x:c>
      <x:c r="H505" s="37" t="str">
        <x:v>0.00</x:v>
      </x:c>
      <x:c r="I505" s="37" t="str">
        <x:v>11.69</x:v>
      </x:c>
      <x:c r="J505" s="37" t="str">
        <x:v>0.00</x:v>
      </x:c>
      <x:c r="K505" s="37" t="str">
        <x:v>10.46</x:v>
      </x:c>
      <x:c r="L505" s="37" t="str">
        <x:v>40</x:v>
      </x:c>
      <x:c r="M505" s="29" t="str">
        <x:v>19.54</x:v>
      </x:c>
      <x:c r="N505" s="29" t="str">
        <x:v>12.17</x:v>
      </x:c>
      <x:c r="O505" s="29" t="str">
        <x:v>7.37</x:v>
      </x:c>
      <x:c r="P505" s="18" t="str">
        <x:v>2026-08-06</x:v>
      </x:c>
      <x:c r="Q505" s="36" t="n">
        <x:v>46240</x:v>
      </x:c>
    </x:row>
    <x:row r="506">
      <x:c r="A506" s="36" t="str">
        <x:v>2026-08-06</x:v>
      </x:c>
      <x:c r="B506" s="18" t="str">
        <x:v>101437000_97421</x:v>
      </x:c>
      <x:c r="C506" s="18" t="str">
        <x:v>【沪村小电】玉兰清苑二期（小区外）充电站</x:v>
      </x:c>
      <x:c r="D506" s="37" t="str">
        <x:v>4</x:v>
      </x:c>
      <x:c r="E506" s="37" t="str">
        <x:v>0</x:v>
      </x:c>
      <x:c r="F506" s="37" t="str">
        <x:v>60</x:v>
      </x:c>
      <x:c r="G506" s="37" t="str">
        <x:v>1212.73</x:v>
      </x:c>
      <x:c r="H506" s="37" t="str">
        <x:v>0.00</x:v>
      </x:c>
      <x:c r="I506" s="37" t="str">
        <x:v>1022.17</x:v>
      </x:c>
      <x:c r="J506" s="37" t="str">
        <x:v>0.00</x:v>
      </x:c>
      <x:c r="K506" s="37" t="str">
        <x:v>190.56</x:v>
      </x:c>
      <x:c r="L506" s="37" t="str">
        <x:v>2122</x:v>
      </x:c>
      <x:c r="M506" s="29" t="str">
        <x:v>1174.89</x:v>
      </x:c>
      <x:c r="N506" s="29" t="str">
        <x:v>796.23</x:v>
      </x:c>
      <x:c r="O506" s="29" t="str">
        <x:v>378.66</x:v>
      </x:c>
      <x:c r="P506" s="18" t="str">
        <x:v>2026-08-06</x:v>
      </x:c>
      <x:c r="Q506" s="36" t="n">
        <x:v>46240</x:v>
      </x:c>
    </x:row>
    <x:row r="507">
      <x:c r="A507" s="36" t="str">
        <x:v>2026-08-06</x:v>
      </x:c>
      <x:c r="B507" s="18" t="str">
        <x:v>101437000_98013</x:v>
      </x:c>
      <x:c r="C507" s="18" t="str">
        <x:v>【沪村小电】恒大滨江华府充电站</x:v>
      </x:c>
      <x:c r="D507" s="37" t="str">
        <x:v>4</x:v>
      </x:c>
      <x:c r="E507" s="37" t="str">
        <x:v>0</x:v>
      </x:c>
      <x:c r="F507" s="37" t="str">
        <x:v>51</x:v>
      </x:c>
      <x:c r="G507" s="37" t="str">
        <x:v>1339.72</x:v>
      </x:c>
      <x:c r="H507" s="37" t="str">
        <x:v>0.00</x:v>
      </x:c>
      <x:c r="I507" s="37" t="str">
        <x:v>987.13</x:v>
      </x:c>
      <x:c r="J507" s="37" t="str">
        <x:v>0.00</x:v>
      </x:c>
      <x:c r="K507" s="37" t="str">
        <x:v>352.59</x:v>
      </x:c>
      <x:c r="L507" s="37" t="str">
        <x:v>2185</x:v>
      </x:c>
      <x:c r="M507" s="29" t="str">
        <x:v>1333.12</x:v>
      </x:c>
      <x:c r="N507" s="29" t="str">
        <x:v>1050.62</x:v>
      </x:c>
      <x:c r="O507" s="29" t="str">
        <x:v>282.50</x:v>
      </x:c>
      <x:c r="P507" s="18" t="str">
        <x:v>2026-08-06</x:v>
      </x:c>
      <x:c r="Q507" s="36" t="n">
        <x:v>46240</x:v>
      </x:c>
    </x:row>
    <x:row r="508">
      <x:c r="A508" s="36" t="str">
        <x:v>2026-08-06</x:v>
      </x:c>
      <x:c r="B508" s="18" t="str">
        <x:v>101437000_98863</x:v>
      </x:c>
      <x:c r="C508" s="18" t="str">
        <x:v>【沪村小电】欣菊苑充电站</x:v>
      </x:c>
      <x:c r="D508" s="37" t="str">
        <x:v>4</x:v>
      </x:c>
      <x:c r="E508" s="37" t="str">
        <x:v>0</x:v>
      </x:c>
      <x:c r="F508" s="37" t="str">
        <x:v>9</x:v>
      </x:c>
      <x:c r="G508" s="37" t="str">
        <x:v>207.71</x:v>
      </x:c>
      <x:c r="H508" s="37" t="str">
        <x:v>0.00</x:v>
      </x:c>
      <x:c r="I508" s="37" t="str">
        <x:v>178.08</x:v>
      </x:c>
      <x:c r="J508" s="37" t="str">
        <x:v>0.00</x:v>
      </x:c>
      <x:c r="K508" s="37" t="str">
        <x:v>29.64</x:v>
      </x:c>
      <x:c r="L508" s="37" t="str">
        <x:v>316</x:v>
      </x:c>
      <x:c r="M508" s="29" t="str">
        <x:v>229.67</x:v>
      </x:c>
      <x:c r="N508" s="29" t="str">
        <x:v>137.39</x:v>
      </x:c>
      <x:c r="O508" s="29" t="str">
        <x:v>92.28</x:v>
      </x:c>
      <x:c r="P508" s="18" t="str">
        <x:v>2026-08-06</x:v>
      </x:c>
      <x:c r="Q508" s="36" t="n">
        <x:v>46240</x:v>
      </x:c>
    </x:row>
    <x:row r="509">
      <x:c r="A509" s="36" t="str">
        <x:v>2026-08-06</x:v>
      </x:c>
      <x:c r="B509" s="18" t="str">
        <x:v>101437000_98865</x:v>
      </x:c>
      <x:c r="C509" s="18" t="str">
        <x:v>【沪村小电】欣松苑充电站</x:v>
      </x:c>
      <x:c r="D509" s="37" t="str">
        <x:v>4</x:v>
      </x:c>
      <x:c r="E509" s="37" t="str">
        <x:v>0</x:v>
      </x:c>
      <x:c r="F509" s="37" t="str">
        <x:v>17</x:v>
      </x:c>
      <x:c r="G509" s="37" t="str">
        <x:v>441.73</x:v>
      </x:c>
      <x:c r="H509" s="37" t="str">
        <x:v>0.00</x:v>
      </x:c>
      <x:c r="I509" s="37" t="str">
        <x:v>325.19</x:v>
      </x:c>
      <x:c r="J509" s="37" t="str">
        <x:v>0.00</x:v>
      </x:c>
      <x:c r="K509" s="37" t="str">
        <x:v>116.54</x:v>
      </x:c>
      <x:c r="L509" s="37" t="str">
        <x:v>568</x:v>
      </x:c>
      <x:c r="M509" s="29" t="str">
        <x:v>386.93</x:v>
      </x:c>
      <x:c r="N509" s="29" t="str">
        <x:v>273.97</x:v>
      </x:c>
      <x:c r="O509" s="29" t="str">
        <x:v>112.96</x:v>
      </x:c>
      <x:c r="P509" s="18" t="str">
        <x:v>2026-08-06</x:v>
      </x:c>
      <x:c r="Q509" s="36" t="n">
        <x:v>46240</x:v>
      </x:c>
    </x:row>
    <x:row r="510">
      <x:c r="A510" s="36" t="str">
        <x:v>2026-08-06</x:v>
      </x:c>
      <x:c r="B510" s="18" t="str">
        <x:v>101437000_98867</x:v>
      </x:c>
      <x:c r="C510" s="18" t="str">
        <x:v>【沪村小电】欣荷苑充电站</x:v>
      </x:c>
      <x:c r="D510" s="37" t="str">
        <x:v>4</x:v>
      </x:c>
      <x:c r="E510" s="37" t="str">
        <x:v>0</x:v>
      </x:c>
      <x:c r="F510" s="37" t="str">
        <x:v>13</x:v>
      </x:c>
      <x:c r="G510" s="37" t="str">
        <x:v>317.81</x:v>
      </x:c>
      <x:c r="H510" s="37" t="str">
        <x:v>0.00</x:v>
      </x:c>
      <x:c r="I510" s="37" t="str">
        <x:v>266.00</x:v>
      </x:c>
      <x:c r="J510" s="37" t="str">
        <x:v>0.00</x:v>
      </x:c>
      <x:c r="K510" s="37" t="str">
        <x:v>51.81</x:v>
      </x:c>
      <x:c r="L510" s="37" t="str">
        <x:v>548</x:v>
      </x:c>
      <x:c r="M510" s="29" t="str">
        <x:v>299.87</x:v>
      </x:c>
      <x:c r="N510" s="29" t="str">
        <x:v>208.03</x:v>
      </x:c>
      <x:c r="O510" s="29" t="str">
        <x:v>91.84</x:v>
      </x:c>
      <x:c r="P510" s="18" t="str">
        <x:v>2026-08-06</x:v>
      </x:c>
      <x:c r="Q510" s="36" t="n">
        <x:v>46240</x:v>
      </x:c>
    </x:row>
    <x:row r="511">
      <x:c r="A511" s="36" t="str">
        <x:v>2026-08-06</x:v>
      </x:c>
      <x:c r="B511" s="18" t="str">
        <x:v>101437000_99885</x:v>
      </x:c>
      <x:c r="C511" s="18" t="str">
        <x:v>【沪村小电】汇丰馨苑充电站</x:v>
      </x:c>
      <x:c r="D511" s="37" t="str">
        <x:v>4</x:v>
      </x:c>
      <x:c r="E511" s="37" t="str">
        <x:v>0</x:v>
      </x:c>
      <x:c r="F511" s="37" t="str">
        <x:v>11</x:v>
      </x:c>
      <x:c r="G511" s="37" t="str">
        <x:v>267.44</x:v>
      </x:c>
      <x:c r="H511" s="37" t="str">
        <x:v>0.00</x:v>
      </x:c>
      <x:c r="I511" s="37" t="str">
        <x:v>243.90</x:v>
      </x:c>
      <x:c r="J511" s="37" t="str">
        <x:v>0.00</x:v>
      </x:c>
      <x:c r="K511" s="37" t="str">
        <x:v>23.55</x:v>
      </x:c>
      <x:c r="L511" s="37" t="str">
        <x:v>366</x:v>
      </x:c>
      <x:c r="M511" s="29" t="str">
        <x:v>269.52</x:v>
      </x:c>
      <x:c r="N511" s="29" t="str">
        <x:v>181.88</x:v>
      </x:c>
      <x:c r="O511" s="29" t="str">
        <x:v>87.64</x:v>
      </x:c>
      <x:c r="P511" s="18" t="str">
        <x:v>2026-08-06</x:v>
      </x:c>
      <x:c r="Q511" s="36" t="n">
        <x:v>46240</x:v>
      </x:c>
    </x:row>
    <x:row r="512">
      <x:c r="A512" s="36" t="str">
        <x:v>2026-08-06</x:v>
      </x:c>
      <x:c r="B512" s="18" t="str">
        <x:v>101437000_99887</x:v>
      </x:c>
      <x:c r="C512" s="18" t="str">
        <x:v>【沪村小电】新南村河南小区充电站</x:v>
      </x:c>
      <x:c r="D512" s="37" t="str">
        <x:v>2</x:v>
      </x:c>
      <x:c r="E512" s="37" t="str">
        <x:v>0</x:v>
      </x:c>
      <x:c r="F512" s="37" t="str">
        <x:v>19</x:v>
      </x:c>
      <x:c r="G512" s="37" t="str">
        <x:v>443.06</x:v>
      </x:c>
      <x:c r="H512" s="37" t="str">
        <x:v>0.00</x:v>
      </x:c>
      <x:c r="I512" s="37" t="str">
        <x:v>248.98</x:v>
      </x:c>
      <x:c r="J512" s="37" t="str">
        <x:v>0.00</x:v>
      </x:c>
      <x:c r="K512" s="37" t="str">
        <x:v>194.08</x:v>
      </x:c>
      <x:c r="L512" s="37" t="str">
        <x:v>794</x:v>
      </x:c>
      <x:c r="M512" s="29" t="str">
        <x:v>337.99</x:v>
      </x:c>
      <x:c r="N512" s="29" t="str">
        <x:v>248.59</x:v>
      </x:c>
      <x:c r="O512" s="29" t="str">
        <x:v>89.40</x:v>
      </x:c>
      <x:c r="P512" s="18" t="str">
        <x:v>2026-08-06</x:v>
      </x:c>
      <x:c r="Q512" s="36" t="n">
        <x:v>46240</x:v>
      </x:c>
    </x:row>
    <x:row r="513">
      <x:c r="A513" s="36" t="str">
        <x:v>2026-08-06</x:v>
      </x:c>
      <x:c r="B513" s="18" t="str">
        <x:v>101437000_99889</x:v>
      </x:c>
      <x:c r="C513" s="18" t="str">
        <x:v>【沪村小电】漕泾郊野公园</x:v>
      </x:c>
      <x:c r="D513" s="37" t="str">
        <x:v>2</x:v>
      </x:c>
      <x:c r="E513" s="37" t="str">
        <x:v>0</x:v>
      </x:c>
      <x:c r="F513" s="37" t="str">
        <x:v>8</x:v>
      </x:c>
      <x:c r="G513" s="37" t="str">
        <x:v>205.18</x:v>
      </x:c>
      <x:c r="H513" s="37" t="str">
        <x:v>0.00</x:v>
      </x:c>
      <x:c r="I513" s="37" t="str">
        <x:v>158.05</x:v>
      </x:c>
      <x:c r="J513" s="37" t="str">
        <x:v>0.00</x:v>
      </x:c>
      <x:c r="K513" s="37" t="str">
        <x:v>47.14</x:v>
      </x:c>
      <x:c r="L513" s="37" t="str">
        <x:v>269</x:v>
      </x:c>
      <x:c r="M513" s="29" t="str">
        <x:v>222.22</x:v>
      </x:c>
      <x:c r="N513" s="29" t="str">
        <x:v>148.39</x:v>
      </x:c>
      <x:c r="O513" s="29" t="str">
        <x:v>73.83</x:v>
      </x:c>
      <x:c r="P513" s="18" t="str">
        <x:v>2026-08-06</x:v>
      </x:c>
      <x:c r="Q513" s="36" t="n">
        <x:v>46240</x:v>
      </x:c>
    </x:row>
    <x:row r="514">
      <x:c r="A514" s="36" t="str">
        <x:v>2026-08-06</x:v>
      </x:c>
      <x:c r="B514" s="18" t="str">
        <x:v>101437000_99891</x:v>
      </x:c>
      <x:c r="C514" s="18" t="str">
        <x:v>【沪村小电】水韵紫城充电站</x:v>
      </x:c>
      <x:c r="D514" s="37" t="str">
        <x:v>4</x:v>
      </x:c>
      <x:c r="E514" s="37" t="str">
        <x:v>0</x:v>
      </x:c>
      <x:c r="F514" s="37" t="str">
        <x:v>28</x:v>
      </x:c>
      <x:c r="G514" s="37" t="str">
        <x:v>673.75</x:v>
      </x:c>
      <x:c r="H514" s="37" t="str">
        <x:v>0.00</x:v>
      </x:c>
      <x:c r="I514" s="37" t="str">
        <x:v>409.76</x:v>
      </x:c>
      <x:c r="J514" s="37" t="str">
        <x:v>0.00</x:v>
      </x:c>
      <x:c r="K514" s="37" t="str">
        <x:v>263.99</x:v>
      </x:c>
      <x:c r="L514" s="37" t="str">
        <x:v>1085</x:v>
      </x:c>
      <x:c r="M514" s="29" t="str">
        <x:v>575.45</x:v>
      </x:c>
      <x:c r="N514" s="29" t="str">
        <x:v>388.61</x:v>
      </x:c>
      <x:c r="O514" s="29" t="str">
        <x:v>186.84</x:v>
      </x:c>
      <x:c r="P514" s="18" t="str">
        <x:v>2026-08-06</x:v>
      </x:c>
      <x:c r="Q514" s="36" t="n">
        <x:v>46240</x:v>
      </x:c>
    </x:row>
    <x:row r="515">
      <x:c r="A515" s="36" t="str">
        <x:v>2026-08-05</x:v>
      </x:c>
      <x:c r="B515" s="18" t="str">
        <x:v>101437000_100523</x:v>
      </x:c>
      <x:c r="C515" s="18" t="str">
        <x:v>【沪村小电】民旺苑南区</x:v>
      </x:c>
      <x:c r="D515" s="37" t="str">
        <x:v>4</x:v>
      </x:c>
      <x:c r="E515" s="37" t="str">
        <x:v>0</x:v>
      </x:c>
      <x:c r="F515" s="37" t="str">
        <x:v>11</x:v>
      </x:c>
      <x:c r="G515" s="37" t="str">
        <x:v>267.38</x:v>
      </x:c>
      <x:c r="H515" s="37" t="str">
        <x:v>0.00</x:v>
      </x:c>
      <x:c r="I515" s="37" t="str">
        <x:v>126.69</x:v>
      </x:c>
      <x:c r="J515" s="37" t="str">
        <x:v>0.00</x:v>
      </x:c>
      <x:c r="K515" s="37" t="str">
        <x:v>140.69</x:v>
      </x:c>
      <x:c r="L515" s="37" t="str">
        <x:v>323</x:v>
      </x:c>
      <x:c r="M515" s="29" t="str">
        <x:v>232.48</x:v>
      </x:c>
      <x:c r="N515" s="29" t="str">
        <x:v>156.07</x:v>
      </x:c>
      <x:c r="O515" s="29" t="str">
        <x:v>76.41</x:v>
      </x:c>
      <x:c r="P515" s="18" t="str">
        <x:v>2026-08-05</x:v>
      </x:c>
      <x:c r="Q515" s="36" t="n">
        <x:v>46239</x:v>
      </x:c>
    </x:row>
    <x:row r="516">
      <x:c r="A516" s="36" t="str">
        <x:v>2026-08-05</x:v>
      </x:c>
      <x:c r="B516" s="18" t="str">
        <x:v>101437000_101531</x:v>
      </x:c>
      <x:c r="C516" s="18" t="str">
        <x:v>【沪村小电】汇中苑充电站</x:v>
      </x:c>
      <x:c r="D516" s="37" t="str">
        <x:v>2</x:v>
      </x:c>
      <x:c r="E516" s="37" t="str">
        <x:v>0</x:v>
      </x:c>
      <x:c r="F516" s="37" t="str">
        <x:v>8</x:v>
      </x:c>
      <x:c r="G516" s="37" t="str">
        <x:v>216.68</x:v>
      </x:c>
      <x:c r="H516" s="37" t="str">
        <x:v>0.00</x:v>
      </x:c>
      <x:c r="I516" s="37" t="str">
        <x:v>26.12</x:v>
      </x:c>
      <x:c r="J516" s="37" t="str">
        <x:v>67.59</x:v>
      </x:c>
      <x:c r="K516" s="37" t="str">
        <x:v>122.97</x:v>
      </x:c>
      <x:c r="L516" s="37" t="str">
        <x:v>328</x:v>
      </x:c>
      <x:c r="M516" s="29" t="str">
        <x:v>229.80</x:v>
      </x:c>
      <x:c r="N516" s="29" t="str">
        <x:v>124.44</x:v>
      </x:c>
      <x:c r="O516" s="29" t="str">
        <x:v>105.36</x:v>
      </x:c>
      <x:c r="P516" s="18" t="str">
        <x:v>2026-08-05</x:v>
      </x:c>
      <x:c r="Q516" s="36" t="n">
        <x:v>46239</x:v>
      </x:c>
    </x:row>
    <x:row r="517">
      <x:c r="A517" s="36" t="str">
        <x:v>2026-08-05</x:v>
      </x:c>
      <x:c r="B517" s="18" t="str">
        <x:v>101437000_102047</x:v>
      </x:c>
      <x:c r="C517" s="18" t="str">
        <x:v>【沪村小电】后浜小区9弄小区南面停车场充电站</x:v>
      </x:c>
      <x:c r="D517" s="37" t="str">
        <x:v>8</x:v>
      </x:c>
      <x:c r="E517" s="37" t="str">
        <x:v>0</x:v>
      </x:c>
      <x:c r="F517" s="37" t="str">
        <x:v>57</x:v>
      </x:c>
      <x:c r="G517" s="37" t="str">
        <x:v>1218.82</x:v>
      </x:c>
      <x:c r="H517" s="37" t="str">
        <x:v>0.00</x:v>
      </x:c>
      <x:c r="I517" s="37" t="str">
        <x:v>614.24</x:v>
      </x:c>
      <x:c r="J517" s="37" t="str">
        <x:v>0.00</x:v>
      </x:c>
      <x:c r="K517" s="37" t="str">
        <x:v>604.58</x:v>
      </x:c>
      <x:c r="L517" s="37" t="str">
        <x:v>1804</x:v>
      </x:c>
      <x:c r="M517" s="29" t="str">
        <x:v>1111.73</x:v>
      </x:c>
      <x:c r="N517" s="29" t="str">
        <x:v>720.30</x:v>
      </x:c>
      <x:c r="O517" s="29" t="str">
        <x:v>391.43</x:v>
      </x:c>
      <x:c r="P517" s="18" t="str">
        <x:v>2026-08-05</x:v>
      </x:c>
      <x:c r="Q517" s="36" t="n">
        <x:v>46239</x:v>
      </x:c>
    </x:row>
    <x:row r="518">
      <x:c r="A518" s="36" t="str">
        <x:v>2026-08-05</x:v>
      </x:c>
      <x:c r="B518" s="18" t="str">
        <x:v>101437000_103503</x:v>
      </x:c>
      <x:c r="C518" s="18" t="str">
        <x:v>【沪村小电】阳光城新界充电站</x:v>
      </x:c>
      <x:c r="D518" s="37" t="str">
        <x:v>4</x:v>
      </x:c>
      <x:c r="E518" s="37" t="str">
        <x:v>0</x:v>
      </x:c>
      <x:c r="F518" s="37" t="str">
        <x:v>41</x:v>
      </x:c>
      <x:c r="G518" s="37" t="str">
        <x:v>923.29</x:v>
      </x:c>
      <x:c r="H518" s="37" t="str">
        <x:v>0.00</x:v>
      </x:c>
      <x:c r="I518" s="37" t="str">
        <x:v>731.00</x:v>
      </x:c>
      <x:c r="J518" s="37" t="str">
        <x:v>0.00</x:v>
      </x:c>
      <x:c r="K518" s="37" t="str">
        <x:v>192.29</x:v>
      </x:c>
      <x:c r="L518" s="37" t="str">
        <x:v>1365</x:v>
      </x:c>
      <x:c r="M518" s="29" t="str">
        <x:v>987.85</x:v>
      </x:c>
      <x:c r="N518" s="29" t="str">
        <x:v>647.09</x:v>
      </x:c>
      <x:c r="O518" s="29" t="str">
        <x:v>340.76</x:v>
      </x:c>
      <x:c r="P518" s="18" t="str">
        <x:v>2026-08-05</x:v>
      </x:c>
      <x:c r="Q518" s="36" t="n">
        <x:v>46239</x:v>
      </x:c>
    </x:row>
    <x:row r="519">
      <x:c r="A519" s="36" t="str">
        <x:v>2026-08-05</x:v>
      </x:c>
      <x:c r="B519" s="18" t="str">
        <x:v>101437000_41561</x:v>
      </x:c>
      <x:c r="C519" s="18" t="str">
        <x:v>【沪村小电】张施小区大门处快充站</x:v>
      </x:c>
      <x:c r="D519" s="37" t="str">
        <x:v>2</x:v>
      </x:c>
      <x:c r="E519" s="37" t="str">
        <x:v>0</x:v>
      </x:c>
      <x:c r="F519" s="37" t="str">
        <x:v>48</x:v>
      </x:c>
      <x:c r="G519" s="37" t="str">
        <x:v>1369.08</x:v>
      </x:c>
      <x:c r="H519" s="37" t="str">
        <x:v>0.00</x:v>
      </x:c>
      <x:c r="I519" s="37" t="str">
        <x:v>578.10</x:v>
      </x:c>
      <x:c r="J519" s="37" t="str">
        <x:v>0.00</x:v>
      </x:c>
      <x:c r="K519" s="37" t="str">
        <x:v>790.98</x:v>
      </x:c>
      <x:c r="L519" s="37" t="str">
        <x:v>2461</x:v>
      </x:c>
      <x:c r="M519" s="29" t="str">
        <x:v>1006.37</x:v>
      </x:c>
      <x:c r="N519" s="29" t="str">
        <x:v>703.10</x:v>
      </x:c>
      <x:c r="O519" s="29" t="str">
        <x:v>303.27</x:v>
      </x:c>
      <x:c r="P519" s="18" t="str">
        <x:v>2026-08-05</x:v>
      </x:c>
      <x:c r="Q519" s="36" t="n">
        <x:v>46239</x:v>
      </x:c>
    </x:row>
    <x:row r="520">
      <x:c r="A520" s="36" t="str">
        <x:v>2026-08-05</x:v>
      </x:c>
      <x:c r="B520" s="18" t="str">
        <x:v>101437000_41563</x:v>
      </x:c>
      <x:c r="C520" s="18" t="str">
        <x:v>【沪村小电】同心村快充站</x:v>
      </x:c>
      <x:c r="D520" s="37" t="str">
        <x:v>4</x:v>
      </x:c>
      <x:c r="E520" s="37" t="str">
        <x:v>0</x:v>
      </x:c>
      <x:c r="F520" s="37" t="str">
        <x:v>55</x:v>
      </x:c>
      <x:c r="G520" s="37" t="str">
        <x:v>1596.97</x:v>
      </x:c>
      <x:c r="H520" s="37" t="str">
        <x:v>0.00</x:v>
      </x:c>
      <x:c r="I520" s="37" t="str">
        <x:v>861.71</x:v>
      </x:c>
      <x:c r="J520" s="37" t="str">
        <x:v>0.00</x:v>
      </x:c>
      <x:c r="K520" s="37" t="str">
        <x:v>735.26</x:v>
      </x:c>
      <x:c r="L520" s="37" t="str">
        <x:v>2558</x:v>
      </x:c>
      <x:c r="M520" s="29" t="str">
        <x:v>1437.60</x:v>
      </x:c>
      <x:c r="N520" s="29" t="str">
        <x:v>883.83</x:v>
      </x:c>
      <x:c r="O520" s="29" t="str">
        <x:v>553.77</x:v>
      </x:c>
      <x:c r="P520" s="18" t="str">
        <x:v>2026-08-05</x:v>
      </x:c>
      <x:c r="Q520" s="36" t="n">
        <x:v>46239</x:v>
      </x:c>
    </x:row>
    <x:row r="521">
      <x:c r="A521" s="36" t="str">
        <x:v>2026-08-05</x:v>
      </x:c>
      <x:c r="B521" s="18" t="str">
        <x:v>101437000_69629</x:v>
      </x:c>
      <x:c r="C521" s="18" t="str">
        <x:v>【沪村小电】骏丰玲珑坊西苑充电站</x:v>
      </x:c>
      <x:c r="D521" s="37" t="str">
        <x:v>2</x:v>
      </x:c>
      <x:c r="E521" s="37" t="str">
        <x:v>0</x:v>
      </x:c>
      <x:c r="F521" s="37" t="str">
        <x:v>58</x:v>
      </x:c>
      <x:c r="G521" s="37" t="str">
        <x:v>1315.91</x:v>
      </x:c>
      <x:c r="H521" s="37" t="str">
        <x:v>0.00</x:v>
      </x:c>
      <x:c r="I521" s="37" t="str">
        <x:v>631.32</x:v>
      </x:c>
      <x:c r="J521" s="37" t="str">
        <x:v>0.00</x:v>
      </x:c>
      <x:c r="K521" s="37" t="str">
        <x:v>684.59</x:v>
      </x:c>
      <x:c r="L521" s="37" t="str">
        <x:v>2271</x:v>
      </x:c>
      <x:c r="M521" s="29" t="str">
        <x:v>1059.78</x:v>
      </x:c>
      <x:c r="N521" s="29" t="str">
        <x:v>701.53</x:v>
      </x:c>
      <x:c r="O521" s="29" t="str">
        <x:v>358.25</x:v>
      </x:c>
      <x:c r="P521" s="18" t="str">
        <x:v>2026-08-05</x:v>
      </x:c>
      <x:c r="Q521" s="36" t="n">
        <x:v>46239</x:v>
      </x:c>
    </x:row>
    <x:row r="522">
      <x:c r="A522" s="36" t="str">
        <x:v>2026-08-05</x:v>
      </x:c>
      <x:c r="B522" s="18" t="str">
        <x:v>101437000_70547</x:v>
      </x:c>
      <x:c r="C522" s="18" t="str">
        <x:v>【沪村小电】农建村初心馆党群服务中心充电站</x:v>
      </x:c>
      <x:c r="D522" s="37" t="str">
        <x:v>4</x:v>
      </x:c>
      <x:c r="E522" s="37" t="str">
        <x:v>0</x:v>
      </x:c>
      <x:c r="F522" s="37" t="str">
        <x:v>42</x:v>
      </x:c>
      <x:c r="G522" s="37" t="str">
        <x:v>872.69</x:v>
      </x:c>
      <x:c r="H522" s="37" t="str">
        <x:v>0.00</x:v>
      </x:c>
      <x:c r="I522" s="37" t="str">
        <x:v>466.72</x:v>
      </x:c>
      <x:c r="J522" s="37" t="str">
        <x:v>0.00</x:v>
      </x:c>
      <x:c r="K522" s="37" t="str">
        <x:v>405.97</x:v>
      </x:c>
      <x:c r="L522" s="37" t="str">
        <x:v>1653</x:v>
      </x:c>
      <x:c r="M522" s="29" t="str">
        <x:v>807.33</x:v>
      </x:c>
      <x:c r="N522" s="29" t="str">
        <x:v>481.60</x:v>
      </x:c>
      <x:c r="O522" s="29" t="str">
        <x:v>325.73</x:v>
      </x:c>
      <x:c r="P522" s="18" t="str">
        <x:v>2026-08-05</x:v>
      </x:c>
      <x:c r="Q522" s="36" t="n">
        <x:v>46239</x:v>
      </x:c>
    </x:row>
    <x:row r="523">
      <x:c r="A523" s="36" t="str">
        <x:v>2026-08-05</x:v>
      </x:c>
      <x:c r="B523" s="18" t="str">
        <x:v>101437000_70549</x:v>
      </x:c>
      <x:c r="C523" s="18" t="str">
        <x:v>【沪村小电】学府路充电站</x:v>
      </x:c>
      <x:c r="D523" s="37" t="str">
        <x:v>2</x:v>
      </x:c>
      <x:c r="E523" s="37" t="str">
        <x:v>0</x:v>
      </x:c>
      <x:c r="F523" s="37" t="str">
        <x:v>15</x:v>
      </x:c>
      <x:c r="G523" s="37" t="str">
        <x:v>293.41</x:v>
      </x:c>
      <x:c r="H523" s="37" t="str">
        <x:v>0.00</x:v>
      </x:c>
      <x:c r="I523" s="37" t="str">
        <x:v>194.08</x:v>
      </x:c>
      <x:c r="J523" s="37" t="str">
        <x:v>0.00</x:v>
      </x:c>
      <x:c r="K523" s="37" t="str">
        <x:v>99.33</x:v>
      </x:c>
      <x:c r="L523" s="37" t="str">
        <x:v>453</x:v>
      </x:c>
      <x:c r="M523" s="29" t="str">
        <x:v>338.89</x:v>
      </x:c>
      <x:c r="N523" s="29" t="str">
        <x:v>174.55</x:v>
      </x:c>
      <x:c r="O523" s="29" t="str">
        <x:v>164.34</x:v>
      </x:c>
      <x:c r="P523" s="18" t="str">
        <x:v>2026-08-05</x:v>
      </x:c>
      <x:c r="Q523" s="36" t="n">
        <x:v>46239</x:v>
      </x:c>
    </x:row>
    <x:row r="524">
      <x:c r="A524" s="36" t="str">
        <x:v>2026-08-05</x:v>
      </x:c>
      <x:c r="B524" s="18" t="str">
        <x:v>101437000_71059</x:v>
      </x:c>
      <x:c r="C524" s="18" t="str">
        <x:v>【沪村小电】宝乐汇商业广场站</x:v>
      </x:c>
      <x:c r="D524" s="37" t="str">
        <x:v>4</x:v>
      </x:c>
      <x:c r="E524" s="37" t="str">
        <x:v>0</x:v>
      </x:c>
      <x:c r="F524" s="37" t="str">
        <x:v>34</x:v>
      </x:c>
      <x:c r="G524" s="37" t="str">
        <x:v>655.09</x:v>
      </x:c>
      <x:c r="H524" s="37" t="str">
        <x:v>0.00</x:v>
      </x:c>
      <x:c r="I524" s="37" t="str">
        <x:v>321.16</x:v>
      </x:c>
      <x:c r="J524" s="37" t="str">
        <x:v>0.00</x:v>
      </x:c>
      <x:c r="K524" s="37" t="str">
        <x:v>333.93</x:v>
      </x:c>
      <x:c r="L524" s="37" t="str">
        <x:v>1173</x:v>
      </x:c>
      <x:c r="M524" s="29" t="str">
        <x:v>588.57</x:v>
      </x:c>
      <x:c r="N524" s="29" t="str">
        <x:v>442.67</x:v>
      </x:c>
      <x:c r="O524" s="29" t="str">
        <x:v>145.90</x:v>
      </x:c>
      <x:c r="P524" s="18" t="str">
        <x:v>2026-08-05</x:v>
      </x:c>
      <x:c r="Q524" s="36" t="n">
        <x:v>46239</x:v>
      </x:c>
    </x:row>
    <x:row r="525">
      <x:c r="A525" s="36" t="str">
        <x:v>2026-08-05</x:v>
      </x:c>
      <x:c r="B525" s="18" t="str">
        <x:v>101437000_72541</x:v>
      </x:c>
      <x:c r="C525" s="18" t="str">
        <x:v>【沪村小电】九干路1174弄充电站</x:v>
      </x:c>
      <x:c r="D525" s="37" t="str">
        <x:v>2</x:v>
      </x:c>
      <x:c r="E525" s="37" t="str">
        <x:v>0</x:v>
      </x:c>
      <x:c r="F525" s="37" t="str">
        <x:v>61</x:v>
      </x:c>
      <x:c r="G525" s="37" t="str">
        <x:v>1660.93</x:v>
      </x:c>
      <x:c r="H525" s="37" t="str">
        <x:v>0.00</x:v>
      </x:c>
      <x:c r="I525" s="37" t="str">
        <x:v>989.49</x:v>
      </x:c>
      <x:c r="J525" s="37" t="str">
        <x:v>0.00</x:v>
      </x:c>
      <x:c r="K525" s="37" t="str">
        <x:v>671.45</x:v>
      </x:c>
      <x:c r="L525" s="37" t="str">
        <x:v>2684</x:v>
      </x:c>
      <x:c r="M525" s="29" t="str">
        <x:v>1412.31</x:v>
      </x:c>
      <x:c r="N525" s="29" t="str">
        <x:v>950.99</x:v>
      </x:c>
      <x:c r="O525" s="29" t="str">
        <x:v>461.32</x:v>
      </x:c>
      <x:c r="P525" s="18" t="str">
        <x:v>2026-08-05</x:v>
      </x:c>
      <x:c r="Q525" s="36" t="n">
        <x:v>46239</x:v>
      </x:c>
    </x:row>
    <x:row r="526">
      <x:c r="A526" s="36" t="str">
        <x:v>2026-08-05</x:v>
      </x:c>
      <x:c r="B526" s="18" t="str">
        <x:v>101437000_72543</x:v>
      </x:c>
      <x:c r="C526" s="18" t="str">
        <x:v>【沪村小电】叶家中心村小区充电站</x:v>
      </x:c>
      <x:c r="D526" s="37" t="str">
        <x:v>2</x:v>
      </x:c>
      <x:c r="E526" s="37" t="str">
        <x:v>0</x:v>
      </x:c>
      <x:c r="F526" s="37" t="str">
        <x:v>42</x:v>
      </x:c>
      <x:c r="G526" s="37" t="str">
        <x:v>995.38</x:v>
      </x:c>
      <x:c r="H526" s="37" t="str">
        <x:v>0.00</x:v>
      </x:c>
      <x:c r="I526" s="37" t="str">
        <x:v>479.91</x:v>
      </x:c>
      <x:c r="J526" s="37" t="str">
        <x:v>0.00</x:v>
      </x:c>
      <x:c r="K526" s="37" t="str">
        <x:v>515.47</x:v>
      </x:c>
      <x:c r="L526" s="37" t="str">
        <x:v>1786</x:v>
      </x:c>
      <x:c r="M526" s="29" t="str">
        <x:v>765.29</x:v>
      </x:c>
      <x:c r="N526" s="29" t="str">
        <x:v>531.42</x:v>
      </x:c>
      <x:c r="O526" s="29" t="str">
        <x:v>233.87</x:v>
      </x:c>
      <x:c r="P526" s="18" t="str">
        <x:v>2026-08-05</x:v>
      </x:c>
      <x:c r="Q526" s="36" t="n">
        <x:v>46239</x:v>
      </x:c>
    </x:row>
    <x:row r="527">
      <x:c r="A527" s="36" t="str">
        <x:v>2026-08-05</x:v>
      </x:c>
      <x:c r="B527" s="18" t="str">
        <x:v>101437000_72937</x:v>
      </x:c>
      <x:c r="C527" s="18" t="str">
        <x:v>【沪村小电】佘北家园茸腾苑充电站</x:v>
      </x:c>
      <x:c r="D527" s="37" t="str">
        <x:v>4</x:v>
      </x:c>
      <x:c r="E527" s="37" t="str">
        <x:v>0</x:v>
      </x:c>
      <x:c r="F527" s="37" t="str">
        <x:v>40</x:v>
      </x:c>
      <x:c r="G527" s="37" t="str">
        <x:v>502.25</x:v>
      </x:c>
      <x:c r="H527" s="37" t="str">
        <x:v>0.00</x:v>
      </x:c>
      <x:c r="I527" s="37" t="str">
        <x:v>502.25</x:v>
      </x:c>
      <x:c r="J527" s="37" t="str">
        <x:v>0.00</x:v>
      </x:c>
      <x:c r="K527" s="37" t="str">
        <x:v>0.00</x:v>
      </x:c>
      <x:c r="L527" s="37" t="str">
        <x:v>862</x:v>
      </x:c>
      <x:c r="M527" s="29" t="str">
        <x:v>532.56</x:v>
      </x:c>
      <x:c r="N527" s="29" t="str">
        <x:v>356.56</x:v>
      </x:c>
      <x:c r="O527" s="29" t="str">
        <x:v>176.00</x:v>
      </x:c>
      <x:c r="P527" s="18" t="str">
        <x:v>2026-08-05</x:v>
      </x:c>
      <x:c r="Q527" s="36" t="n">
        <x:v>46239</x:v>
      </x:c>
    </x:row>
    <x:row r="528">
      <x:c r="A528" s="36" t="str">
        <x:v>2026-08-05</x:v>
      </x:c>
      <x:c r="B528" s="18" t="str">
        <x:v>101437000_74223</x:v>
      </x:c>
      <x:c r="C528" s="18" t="str">
        <x:v>【沪村小电】中兴村委会充电站</x:v>
      </x:c>
      <x:c r="D528" s="37" t="str">
        <x:v>2</x:v>
      </x:c>
      <x:c r="E528" s="37" t="str">
        <x:v>0</x:v>
      </x:c>
      <x:c r="F528" s="37" t="str">
        <x:v>40</x:v>
      </x:c>
      <x:c r="G528" s="37" t="str">
        <x:v>938.49</x:v>
      </x:c>
      <x:c r="H528" s="37" t="str">
        <x:v>0.00</x:v>
      </x:c>
      <x:c r="I528" s="37" t="str">
        <x:v>547.41</x:v>
      </x:c>
      <x:c r="J528" s="37" t="str">
        <x:v>0.00</x:v>
      </x:c>
      <x:c r="K528" s="37" t="str">
        <x:v>391.08</x:v>
      </x:c>
      <x:c r="L528" s="37" t="str">
        <x:v>1617</x:v>
      </x:c>
      <x:c r="M528" s="29" t="str">
        <x:v>869.55</x:v>
      </x:c>
      <x:c r="N528" s="29" t="str">
        <x:v>533.34</x:v>
      </x:c>
      <x:c r="O528" s="29" t="str">
        <x:v>336.21</x:v>
      </x:c>
      <x:c r="P528" s="18" t="str">
        <x:v>2026-08-05</x:v>
      </x:c>
      <x:c r="Q528" s="36" t="n">
        <x:v>46239</x:v>
      </x:c>
    </x:row>
    <x:row r="529">
      <x:c r="A529" s="36" t="str">
        <x:v>2026-08-05</x:v>
      </x:c>
      <x:c r="B529" s="18" t="str">
        <x:v>101437000_74801</x:v>
      </x:c>
      <x:c r="C529" s="18" t="str">
        <x:v>【沪村小电】申良花园充电站</x:v>
      </x:c>
      <x:c r="D529" s="37" t="str">
        <x:v>4</x:v>
      </x:c>
      <x:c r="E529" s="37" t="str">
        <x:v>0</x:v>
      </x:c>
      <x:c r="F529" s="37" t="str">
        <x:v>18</x:v>
      </x:c>
      <x:c r="G529" s="37" t="str">
        <x:v>356.22</x:v>
      </x:c>
      <x:c r="H529" s="37" t="str">
        <x:v>0.00</x:v>
      </x:c>
      <x:c r="I529" s="37" t="str">
        <x:v>356.22</x:v>
      </x:c>
      <x:c r="J529" s="37" t="str">
        <x:v>0.00</x:v>
      </x:c>
      <x:c r="K529" s="37" t="str">
        <x:v>0.00</x:v>
      </x:c>
      <x:c r="L529" s="37" t="str">
        <x:v>547</x:v>
      </x:c>
      <x:c r="M529" s="29" t="str">
        <x:v>417.47</x:v>
      </x:c>
      <x:c r="N529" s="29" t="str">
        <x:v>252.91</x:v>
      </x:c>
      <x:c r="O529" s="29" t="str">
        <x:v>164.56</x:v>
      </x:c>
      <x:c r="P529" s="18" t="str">
        <x:v>2026-08-05</x:v>
      </x:c>
      <x:c r="Q529" s="36" t="n">
        <x:v>46239</x:v>
      </x:c>
    </x:row>
    <x:row r="530">
      <x:c r="A530" s="36" t="str">
        <x:v>2026-08-05</x:v>
      </x:c>
      <x:c r="B530" s="18" t="str">
        <x:v>101437000_74931</x:v>
      </x:c>
      <x:c r="C530" s="18" t="str">
        <x:v>【沪村小电】枫雅南居充电站</x:v>
      </x:c>
      <x:c r="D530" s="37" t="str">
        <x:v>2</x:v>
      </x:c>
      <x:c r="E530" s="37" t="str">
        <x:v>0</x:v>
      </x:c>
      <x:c r="F530" s="37" t="str">
        <x:v>58</x:v>
      </x:c>
      <x:c r="G530" s="37" t="str">
        <x:v>1565.11</x:v>
      </x:c>
      <x:c r="H530" s="37" t="str">
        <x:v>0.00</x:v>
      </x:c>
      <x:c r="I530" s="37" t="str">
        <x:v>937.20</x:v>
      </x:c>
      <x:c r="J530" s="37" t="str">
        <x:v>0.00</x:v>
      </x:c>
      <x:c r="K530" s="37" t="str">
        <x:v>627.91</x:v>
      </x:c>
      <x:c r="L530" s="37" t="str">
        <x:v>2521</x:v>
      </x:c>
      <x:c r="M530" s="29" t="str">
        <x:v>1118.24</x:v>
      </x:c>
      <x:c r="N530" s="29" t="str">
        <x:v>747.60</x:v>
      </x:c>
      <x:c r="O530" s="29" t="str">
        <x:v>370.64</x:v>
      </x:c>
      <x:c r="P530" s="18" t="str">
        <x:v>2026-08-05</x:v>
      </x:c>
      <x:c r="Q530" s="36" t="n">
        <x:v>46239</x:v>
      </x:c>
    </x:row>
    <x:row r="531">
      <x:c r="A531" s="36" t="str">
        <x:v>2026-08-05</x:v>
      </x:c>
      <x:c r="B531" s="18" t="str">
        <x:v>101437000_75901</x:v>
      </x:c>
      <x:c r="C531" s="18" t="str">
        <x:v>【沪村小电】金悦学府</x:v>
      </x:c>
      <x:c r="D531" s="37" t="str">
        <x:v>2</x:v>
      </x:c>
      <x:c r="E531" s="37" t="str">
        <x:v>0</x:v>
      </x:c>
      <x:c r="F531" s="37" t="str">
        <x:v>41</x:v>
      </x:c>
      <x:c r="G531" s="37" t="str">
        <x:v>1086.55</x:v>
      </x:c>
      <x:c r="H531" s="37" t="str">
        <x:v>0.00</x:v>
      </x:c>
      <x:c r="I531" s="37" t="str">
        <x:v>446.45</x:v>
      </x:c>
      <x:c r="J531" s="37" t="str">
        <x:v>0.00</x:v>
      </x:c>
      <x:c r="K531" s="37" t="str">
        <x:v>640.10</x:v>
      </x:c>
      <x:c r="L531" s="37" t="str">
        <x:v>1817</x:v>
      </x:c>
      <x:c r="M531" s="29" t="str">
        <x:v>795.54</x:v>
      </x:c>
      <x:c r="N531" s="29" t="str">
        <x:v>461.83</x:v>
      </x:c>
      <x:c r="O531" s="29" t="str">
        <x:v>333.71</x:v>
      </x:c>
      <x:c r="P531" s="18" t="str">
        <x:v>2026-08-05</x:v>
      </x:c>
      <x:c r="Q531" s="36" t="n">
        <x:v>46239</x:v>
      </x:c>
    </x:row>
    <x:row r="532">
      <x:c r="A532" s="36" t="str">
        <x:v>2026-08-05</x:v>
      </x:c>
      <x:c r="B532" s="18" t="str">
        <x:v>101437000_76091</x:v>
      </x:c>
      <x:c r="C532" s="18" t="str">
        <x:v>【沪村小电】恒信家园充电站</x:v>
      </x:c>
      <x:c r="D532" s="37" t="str">
        <x:v>2</x:v>
      </x:c>
      <x:c r="E532" s="37" t="str">
        <x:v>0</x:v>
      </x:c>
      <x:c r="F532" s="37" t="str">
        <x:v>44</x:v>
      </x:c>
      <x:c r="G532" s="37" t="str">
        <x:v>960.08</x:v>
      </x:c>
      <x:c r="H532" s="37" t="str">
        <x:v>0.00</x:v>
      </x:c>
      <x:c r="I532" s="37" t="str">
        <x:v>587.89</x:v>
      </x:c>
      <x:c r="J532" s="37" t="str">
        <x:v>0.00</x:v>
      </x:c>
      <x:c r="K532" s="37" t="str">
        <x:v>372.19</x:v>
      </x:c>
      <x:c r="L532" s="37" t="str">
        <x:v>1429</x:v>
      </x:c>
      <x:c r="M532" s="29" t="str">
        <x:v>930.15</x:v>
      </x:c>
      <x:c r="N532" s="29" t="str">
        <x:v>555.13</x:v>
      </x:c>
      <x:c r="O532" s="29" t="str">
        <x:v>375.02</x:v>
      </x:c>
      <x:c r="P532" s="18" t="str">
        <x:v>2026-08-05</x:v>
      </x:c>
      <x:c r="Q532" s="36" t="n">
        <x:v>46239</x:v>
      </x:c>
    </x:row>
    <x:row r="533">
      <x:c r="A533" s="36" t="str">
        <x:v>2026-08-05</x:v>
      </x:c>
      <x:c r="B533" s="18" t="str">
        <x:v>101437000_76417</x:v>
      </x:c>
      <x:c r="C533" s="18" t="str">
        <x:v>【沪村小电】新春一组充电站</x:v>
      </x:c>
      <x:c r="D533" s="37" t="str">
        <x:v>2</x:v>
      </x:c>
      <x:c r="E533" s="37" t="str">
        <x:v>0</x:v>
      </x:c>
      <x:c r="F533" s="37" t="str">
        <x:v>33</x:v>
      </x:c>
      <x:c r="G533" s="37" t="str">
        <x:v>822.60</x:v>
      </x:c>
      <x:c r="H533" s="37" t="str">
        <x:v>0.00</x:v>
      </x:c>
      <x:c r="I533" s="37" t="str">
        <x:v>386.98</x:v>
      </x:c>
      <x:c r="J533" s="37" t="str">
        <x:v>0.00</x:v>
      </x:c>
      <x:c r="K533" s="37" t="str">
        <x:v>435.62</x:v>
      </x:c>
      <x:c r="L533" s="37" t="str">
        <x:v>1129</x:v>
      </x:c>
      <x:c r="M533" s="29" t="str">
        <x:v>656.37</x:v>
      </x:c>
      <x:c r="N533" s="29" t="str">
        <x:v>435.91</x:v>
      </x:c>
      <x:c r="O533" s="29" t="str">
        <x:v>220.46</x:v>
      </x:c>
      <x:c r="P533" s="18" t="str">
        <x:v>2026-08-05</x:v>
      </x:c>
      <x:c r="Q533" s="36" t="n">
        <x:v>46239</x:v>
      </x:c>
    </x:row>
    <x:row r="534">
      <x:c r="A534" s="36" t="str">
        <x:v>2026-08-05</x:v>
      </x:c>
      <x:c r="B534" s="18" t="str">
        <x:v>101437000_78235</x:v>
      </x:c>
      <x:c r="C534" s="18" t="str">
        <x:v>【沪村小电】欣秋苑充电站</x:v>
      </x:c>
      <x:c r="D534" s="37" t="str">
        <x:v>4</x:v>
      </x:c>
      <x:c r="E534" s="37" t="str">
        <x:v>0</x:v>
      </x:c>
      <x:c r="F534" s="37" t="str">
        <x:v>15</x:v>
      </x:c>
      <x:c r="G534" s="37" t="str">
        <x:v>337.08</x:v>
      </x:c>
      <x:c r="H534" s="37" t="str">
        <x:v>0.00</x:v>
      </x:c>
      <x:c r="I534" s="37" t="str">
        <x:v>225.43</x:v>
      </x:c>
      <x:c r="J534" s="37" t="str">
        <x:v>0.00</x:v>
      </x:c>
      <x:c r="K534" s="37" t="str">
        <x:v>111.66</x:v>
      </x:c>
      <x:c r="L534" s="37" t="str">
        <x:v>556</x:v>
      </x:c>
      <x:c r="M534" s="29" t="str">
        <x:v>310.22</x:v>
      </x:c>
      <x:c r="N534" s="29" t="str">
        <x:v>201.35</x:v>
      </x:c>
      <x:c r="O534" s="29" t="str">
        <x:v>108.87</x:v>
      </x:c>
      <x:c r="P534" s="18" t="str">
        <x:v>2026-08-05</x:v>
      </x:c>
      <x:c r="Q534" s="36" t="n">
        <x:v>46239</x:v>
      </x:c>
    </x:row>
    <x:row r="535">
      <x:c r="A535" s="36" t="str">
        <x:v>2026-08-05</x:v>
      </x:c>
      <x:c r="B535" s="18" t="str">
        <x:v>101437000_78237</x:v>
      </x:c>
      <x:c r="C535" s="18" t="str">
        <x:v>【沪村小电】奉馨苑西门小区内北侧充电站</x:v>
      </x:c>
      <x:c r="D535" s="37" t="str">
        <x:v>2</x:v>
      </x:c>
      <x:c r="E535" s="37" t="str">
        <x:v>0</x:v>
      </x:c>
      <x:c r="F535" s="37" t="str">
        <x:v>24</x:v>
      </x:c>
      <x:c r="G535" s="37" t="str">
        <x:v>806.09</x:v>
      </x:c>
      <x:c r="H535" s="37" t="str">
        <x:v>13.98</x:v>
      </x:c>
      <x:c r="I535" s="37" t="str">
        <x:v>164.99</x:v>
      </x:c>
      <x:c r="J535" s="37" t="str">
        <x:v>269.19</x:v>
      </x:c>
      <x:c r="K535" s="37" t="str">
        <x:v>357.94</x:v>
      </x:c>
      <x:c r="L535" s="37" t="str">
        <x:v>1014</x:v>
      </x:c>
      <x:c r="M535" s="29" t="str">
        <x:v>723.70</x:v>
      </x:c>
      <x:c r="N535" s="29" t="str">
        <x:v>532.97</x:v>
      </x:c>
      <x:c r="O535" s="29" t="str">
        <x:v>190.73</x:v>
      </x:c>
      <x:c r="P535" s="18" t="str">
        <x:v>2026-08-05</x:v>
      </x:c>
      <x:c r="Q535" s="36" t="n">
        <x:v>46239</x:v>
      </x:c>
    </x:row>
    <x:row r="536">
      <x:c r="A536" s="36" t="str">
        <x:v>2026-08-05</x:v>
      </x:c>
      <x:c r="B536" s="18" t="str">
        <x:v>101437000_80823</x:v>
      </x:c>
      <x:c r="C536" s="18" t="str">
        <x:v>【沪村小电】上湖轩充电站</x:v>
      </x:c>
      <x:c r="D536" s="37" t="str">
        <x:v>2</x:v>
      </x:c>
      <x:c r="E536" s="37" t="str">
        <x:v>0</x:v>
      </x:c>
      <x:c r="F536" s="37" t="str">
        <x:v>4</x:v>
      </x:c>
      <x:c r="G536" s="37" t="str">
        <x:v>54.10</x:v>
      </x:c>
      <x:c r="H536" s="37" t="str">
        <x:v>0.00</x:v>
      </x:c>
      <x:c r="I536" s="37" t="str">
        <x:v>16.32</x:v>
      </x:c>
      <x:c r="J536" s="37" t="str">
        <x:v>20.98</x:v>
      </x:c>
      <x:c r="K536" s="37" t="str">
        <x:v>16.79</x:v>
      </x:c>
      <x:c r="L536" s="37" t="str">
        <x:v>102</x:v>
      </x:c>
      <x:c r="M536" s="29" t="str">
        <x:v>52.58</x:v>
      </x:c>
      <x:c r="N536" s="29" t="str">
        <x:v>46.17</x:v>
      </x:c>
      <x:c r="O536" s="29" t="str">
        <x:v>6.41</x:v>
      </x:c>
      <x:c r="P536" s="18" t="str">
        <x:v>2026-08-05</x:v>
      </x:c>
      <x:c r="Q536" s="36" t="n">
        <x:v>46239</x:v>
      </x:c>
    </x:row>
    <x:row r="537">
      <x:c r="A537" s="36" t="str">
        <x:v>2026-08-05</x:v>
      </x:c>
      <x:c r="B537" s="18" t="str">
        <x:v>101437000_83019</x:v>
      </x:c>
      <x:c r="C537" s="18" t="str">
        <x:v>【沪村小电】首创禧瑞云启东区充电站</x:v>
      </x:c>
      <x:c r="D537" s="37" t="str">
        <x:v>2</x:v>
      </x:c>
      <x:c r="E537" s="37" t="str">
        <x:v>0</x:v>
      </x:c>
      <x:c r="F537" s="37" t="str">
        <x:v>30</x:v>
      </x:c>
      <x:c r="G537" s="37" t="str">
        <x:v>689.15</x:v>
      </x:c>
      <x:c r="H537" s="37" t="str">
        <x:v>0.00</x:v>
      </x:c>
      <x:c r="I537" s="37" t="str">
        <x:v>579.45</x:v>
      </x:c>
      <x:c r="J537" s="37" t="str">
        <x:v>0.00</x:v>
      </x:c>
      <x:c r="K537" s="37" t="str">
        <x:v>109.70</x:v>
      </x:c>
      <x:c r="L537" s="37" t="str">
        <x:v>902</x:v>
      </x:c>
      <x:c r="M537" s="29" t="str">
        <x:v>717.82</x:v>
      </x:c>
      <x:c r="N537" s="29" t="str">
        <x:v>452.01</x:v>
      </x:c>
      <x:c r="O537" s="29" t="str">
        <x:v>265.81</x:v>
      </x:c>
      <x:c r="P537" s="18" t="str">
        <x:v>2026-08-05</x:v>
      </x:c>
      <x:c r="Q537" s="36" t="n">
        <x:v>46239</x:v>
      </x:c>
    </x:row>
    <x:row r="538">
      <x:c r="A538" s="36" t="str">
        <x:v>2026-08-05</x:v>
      </x:c>
      <x:c r="B538" s="18" t="str">
        <x:v>101437000_83093</x:v>
      </x:c>
      <x:c r="C538" s="18" t="str">
        <x:v>【沪村小电】金茂未来时光里</x:v>
      </x:c>
      <x:c r="D538" s="37" t="str">
        <x:v>2</x:v>
      </x:c>
      <x:c r="E538" s="37" t="str">
        <x:v>0</x:v>
      </x:c>
      <x:c r="F538" s="37" t="str">
        <x:v>69</x:v>
      </x:c>
      <x:c r="G538" s="37" t="str">
        <x:v>1753.13</x:v>
      </x:c>
      <x:c r="H538" s="37" t="str">
        <x:v>0.00</x:v>
      </x:c>
      <x:c r="I538" s="37" t="str">
        <x:v>764.23</x:v>
      </x:c>
      <x:c r="J538" s="37" t="str">
        <x:v>0.00</x:v>
      </x:c>
      <x:c r="K538" s="37" t="str">
        <x:v>988.91</x:v>
      </x:c>
      <x:c r="L538" s="37" t="str">
        <x:v>2640</x:v>
      </x:c>
      <x:c r="M538" s="29" t="str">
        <x:v>1158.50</x:v>
      </x:c>
      <x:c r="N538" s="29" t="str">
        <x:v>757.46</x:v>
      </x:c>
      <x:c r="O538" s="29" t="str">
        <x:v>401.04</x:v>
      </x:c>
      <x:c r="P538" s="18" t="str">
        <x:v>2026-08-05</x:v>
      </x:c>
      <x:c r="Q538" s="36" t="n">
        <x:v>46239</x:v>
      </x:c>
    </x:row>
    <x:row r="539">
      <x:c r="A539" s="36" t="str">
        <x:v>2026-08-05</x:v>
      </x:c>
      <x:c r="B539" s="18" t="str">
        <x:v>101437000_83911</x:v>
      </x:c>
      <x:c r="C539" s="18" t="str">
        <x:v>【沪村小电】金瀚园充电站</x:v>
      </x:c>
      <x:c r="D539" s="37" t="str">
        <x:v>2</x:v>
      </x:c>
      <x:c r="E539" s="37" t="str">
        <x:v>0</x:v>
      </x:c>
      <x:c r="F539" s="37" t="str">
        <x:v>43</x:v>
      </x:c>
      <x:c r="G539" s="37" t="str">
        <x:v>1015.99</x:v>
      </x:c>
      <x:c r="H539" s="37" t="str">
        <x:v>0.00</x:v>
      </x:c>
      <x:c r="I539" s="37" t="str">
        <x:v>598.02</x:v>
      </x:c>
      <x:c r="J539" s="37" t="str">
        <x:v>0.00</x:v>
      </x:c>
      <x:c r="K539" s="37" t="str">
        <x:v>417.97</x:v>
      </x:c>
      <x:c r="L539" s="37" t="str">
        <x:v>1492</x:v>
      </x:c>
      <x:c r="M539" s="29" t="str">
        <x:v>871.86</x:v>
      </x:c>
      <x:c r="N539" s="29" t="str">
        <x:v>579.20</x:v>
      </x:c>
      <x:c r="O539" s="29" t="str">
        <x:v>292.66</x:v>
      </x:c>
      <x:c r="P539" s="18" t="str">
        <x:v>2026-08-05</x:v>
      </x:c>
      <x:c r="Q539" s="36" t="n">
        <x:v>46239</x:v>
      </x:c>
    </x:row>
    <x:row r="540">
      <x:c r="A540" s="36" t="str">
        <x:v>2026-08-05</x:v>
      </x:c>
      <x:c r="B540" s="18" t="str">
        <x:v>101437000_83913</x:v>
      </x:c>
      <x:c r="C540" s="18" t="str">
        <x:v>【沪村小电】新黎村充电站</x:v>
      </x:c>
      <x:c r="D540" s="37" t="str">
        <x:v>2</x:v>
      </x:c>
      <x:c r="E540" s="37" t="str">
        <x:v>0</x:v>
      </x:c>
      <x:c r="F540" s="37" t="str">
        <x:v>73</x:v>
      </x:c>
      <x:c r="G540" s="37" t="str">
        <x:v>1722.96</x:v>
      </x:c>
      <x:c r="H540" s="37" t="str">
        <x:v>0.00</x:v>
      </x:c>
      <x:c r="I540" s="37" t="str">
        <x:v>1258.61</x:v>
      </x:c>
      <x:c r="J540" s="37" t="str">
        <x:v>0.00</x:v>
      </x:c>
      <x:c r="K540" s="37" t="str">
        <x:v>464.36</x:v>
      </x:c>
      <x:c r="L540" s="37" t="str">
        <x:v>2534</x:v>
      </x:c>
      <x:c r="M540" s="29" t="str">
        <x:v>1535.46</x:v>
      </x:c>
      <x:c r="N540" s="29" t="str">
        <x:v>1065.46</x:v>
      </x:c>
      <x:c r="O540" s="29" t="str">
        <x:v>470.00</x:v>
      </x:c>
      <x:c r="P540" s="18" t="str">
        <x:v>2026-08-05</x:v>
      </x:c>
      <x:c r="Q540" s="36" t="n">
        <x:v>46239</x:v>
      </x:c>
    </x:row>
    <x:row r="541">
      <x:c r="A541" s="36" t="str">
        <x:v>2026-08-05</x:v>
      </x:c>
      <x:c r="B541" s="18" t="str">
        <x:v>101437000_83915</x:v>
      </x:c>
      <x:c r="C541" s="18" t="str">
        <x:v>【沪村小电】长泰西郊别墅充电站</x:v>
      </x:c>
      <x:c r="D541" s="37" t="str">
        <x:v>2</x:v>
      </x:c>
      <x:c r="E541" s="37" t="str">
        <x:v>0</x:v>
      </x:c>
      <x:c r="F541" s="37" t="str">
        <x:v>35</x:v>
      </x:c>
      <x:c r="G541" s="37" t="str">
        <x:v>917.66</x:v>
      </x:c>
      <x:c r="H541" s="37" t="str">
        <x:v>0.00</x:v>
      </x:c>
      <x:c r="I541" s="37" t="str">
        <x:v>544.72</x:v>
      </x:c>
      <x:c r="J541" s="37" t="str">
        <x:v>0.00</x:v>
      </x:c>
      <x:c r="K541" s="37" t="str">
        <x:v>372.95</x:v>
      </x:c>
      <x:c r="L541" s="37" t="str">
        <x:v>1097</x:v>
      </x:c>
      <x:c r="M541" s="29" t="str">
        <x:v>824.67</x:v>
      </x:c>
      <x:c r="N541" s="29" t="str">
        <x:v>524.77</x:v>
      </x:c>
      <x:c r="O541" s="29" t="str">
        <x:v>299.90</x:v>
      </x:c>
      <x:c r="P541" s="18" t="str">
        <x:v>2026-08-05</x:v>
      </x:c>
      <x:c r="Q541" s="36" t="n">
        <x:v>46239</x:v>
      </x:c>
    </x:row>
    <x:row r="542">
      <x:c r="A542" s="36" t="str">
        <x:v>2026-08-05</x:v>
      </x:c>
      <x:c r="B542" s="18" t="str">
        <x:v>101437000_83917</x:v>
      </x:c>
      <x:c r="C542" s="18" t="str">
        <x:v>【沪村小电】旭新华庭充电站</x:v>
      </x:c>
      <x:c r="D542" s="37" t="str">
        <x:v>4</x:v>
      </x:c>
      <x:c r="E542" s="37" t="str">
        <x:v>0</x:v>
      </x:c>
      <x:c r="F542" s="37" t="str">
        <x:v>28</x:v>
      </x:c>
      <x:c r="G542" s="37" t="str">
        <x:v>555.17</x:v>
      </x:c>
      <x:c r="H542" s="37" t="str">
        <x:v>0.00</x:v>
      </x:c>
      <x:c r="I542" s="37" t="str">
        <x:v>378.81</x:v>
      </x:c>
      <x:c r="J542" s="37" t="str">
        <x:v>0.00</x:v>
      </x:c>
      <x:c r="K542" s="37" t="str">
        <x:v>176.35</x:v>
      </x:c>
      <x:c r="L542" s="37" t="str">
        <x:v>873</x:v>
      </x:c>
      <x:c r="M542" s="29" t="str">
        <x:v>554.15</x:v>
      </x:c>
      <x:c r="N542" s="29" t="str">
        <x:v>334.19</x:v>
      </x:c>
      <x:c r="O542" s="29" t="str">
        <x:v>219.96</x:v>
      </x:c>
      <x:c r="P542" s="18" t="str">
        <x:v>2026-08-05</x:v>
      </x:c>
      <x:c r="Q542" s="36" t="n">
        <x:v>46239</x:v>
      </x:c>
    </x:row>
    <x:row r="543">
      <x:c r="A543" s="36" t="str">
        <x:v>2026-08-05</x:v>
      </x:c>
      <x:c r="B543" s="18" t="str">
        <x:v>101437000_83919</x:v>
      </x:c>
      <x:c r="C543" s="18" t="str">
        <x:v>【沪村小电】浦锦名仕嘉园充电站</x:v>
      </x:c>
      <x:c r="D543" s="37" t="str">
        <x:v>4</x:v>
      </x:c>
      <x:c r="E543" s="37" t="str">
        <x:v>0</x:v>
      </x:c>
      <x:c r="F543" s="37" t="str">
        <x:v>47</x:v>
      </x:c>
      <x:c r="G543" s="37" t="str">
        <x:v>1077.63</x:v>
      </x:c>
      <x:c r="H543" s="37" t="str">
        <x:v>0.00</x:v>
      </x:c>
      <x:c r="I543" s="37" t="str">
        <x:v>0.00</x:v>
      </x:c>
      <x:c r="J543" s="37" t="str">
        <x:v>1077.63</x:v>
      </x:c>
      <x:c r="K543" s="37" t="str">
        <x:v>0.00</x:v>
      </x:c>
      <x:c r="L543" s="37" t="str">
        <x:v>1427</x:v>
      </x:c>
      <x:c r="M543" s="29" t="str">
        <x:v>1124.47</x:v>
      </x:c>
      <x:c r="N543" s="29" t="str">
        <x:v>754.32</x:v>
      </x:c>
      <x:c r="O543" s="29" t="str">
        <x:v>370.15</x:v>
      </x:c>
      <x:c r="P543" s="18" t="str">
        <x:v>2026-08-05</x:v>
      </x:c>
      <x:c r="Q543" s="36" t="n">
        <x:v>46239</x:v>
      </x:c>
    </x:row>
    <x:row r="544">
      <x:c r="A544" s="36" t="str">
        <x:v>2026-08-05</x:v>
      </x:c>
      <x:c r="B544" s="18" t="str">
        <x:v>101437000_83921</x:v>
      </x:c>
      <x:c r="C544" s="18" t="str">
        <x:v>【沪村小电】上海联怡枇杷乐园充电站（地库）</x:v>
      </x:c>
      <x:c r="D544" s="37" t="str">
        <x:v>8</x:v>
      </x:c>
      <x:c r="E544" s="37" t="str">
        <x:v>0</x:v>
      </x:c>
      <x:c r="F544" s="37" t="str">
        <x:v>10</x:v>
      </x:c>
      <x:c r="G544" s="37" t="str">
        <x:v>262.33</x:v>
      </x:c>
      <x:c r="H544" s="37" t="str">
        <x:v>0.00</x:v>
      </x:c>
      <x:c r="I544" s="37" t="str">
        <x:v>120.49</x:v>
      </x:c>
      <x:c r="J544" s="37" t="str">
        <x:v>0.00</x:v>
      </x:c>
      <x:c r="K544" s="37" t="str">
        <x:v>141.84</x:v>
      </x:c>
      <x:c r="L544" s="37" t="str">
        <x:v>452</x:v>
      </x:c>
      <x:c r="M544" s="29" t="str">
        <x:v>202.51</x:v>
      </x:c>
      <x:c r="N544" s="29" t="str">
        <x:v>173.69</x:v>
      </x:c>
      <x:c r="O544" s="29" t="str">
        <x:v>28.82</x:v>
      </x:c>
      <x:c r="P544" s="18" t="str">
        <x:v>2026-08-05</x:v>
      </x:c>
      <x:c r="Q544" s="36" t="n">
        <x:v>46239</x:v>
      </x:c>
    </x:row>
    <x:row r="545">
      <x:c r="A545" s="36" t="str">
        <x:v>2026-08-05</x:v>
      </x:c>
      <x:c r="B545" s="18" t="str">
        <x:v>101437000_83923</x:v>
      </x:c>
      <x:c r="C545" s="18" t="str">
        <x:v>【沪村小电】明珠新苑充电站</x:v>
      </x:c>
      <x:c r="D545" s="37" t="str">
        <x:v>2</x:v>
      </x:c>
      <x:c r="E545" s="37" t="str">
        <x:v>0</x:v>
      </x:c>
      <x:c r="F545" s="37" t="str">
        <x:v>37</x:v>
      </x:c>
      <x:c r="G545" s="37" t="str">
        <x:v>946.60</x:v>
      </x:c>
      <x:c r="H545" s="37" t="str">
        <x:v>0.00</x:v>
      </x:c>
      <x:c r="I545" s="37" t="str">
        <x:v>596.70</x:v>
      </x:c>
      <x:c r="J545" s="37" t="str">
        <x:v>0.00</x:v>
      </x:c>
      <x:c r="K545" s="37" t="str">
        <x:v>349.90</x:v>
      </x:c>
      <x:c r="L545" s="37" t="str">
        <x:v>1302</x:v>
      </x:c>
      <x:c r="M545" s="29" t="str">
        <x:v>929.34</x:v>
      </x:c>
      <x:c r="N545" s="29" t="str">
        <x:v>553.12</x:v>
      </x:c>
      <x:c r="O545" s="29" t="str">
        <x:v>376.22</x:v>
      </x:c>
      <x:c r="P545" s="18" t="str">
        <x:v>2026-08-05</x:v>
      </x:c>
      <x:c r="Q545" s="36" t="n">
        <x:v>46239</x:v>
      </x:c>
    </x:row>
    <x:row r="546">
      <x:c r="A546" s="36" t="str">
        <x:v>2026-08-05</x:v>
      </x:c>
      <x:c r="B546" s="18" t="str">
        <x:v>101437000_84289</x:v>
      </x:c>
      <x:c r="C546" s="18" t="str">
        <x:v>【沪村小电】铁建芳华苑充电站</x:v>
      </x:c>
      <x:c r="D546" s="37" t="str">
        <x:v>4</x:v>
      </x:c>
      <x:c r="E546" s="37" t="str">
        <x:v>0</x:v>
      </x:c>
      <x:c r="F546" s="37" t="str">
        <x:v>52</x:v>
      </x:c>
      <x:c r="G546" s="37" t="str">
        <x:v>1403.31</x:v>
      </x:c>
      <x:c r="H546" s="37" t="str">
        <x:v>0.00</x:v>
      </x:c>
      <x:c r="I546" s="37" t="str">
        <x:v>921.00</x:v>
      </x:c>
      <x:c r="J546" s="37" t="str">
        <x:v>0.00</x:v>
      </x:c>
      <x:c r="K546" s="37" t="str">
        <x:v>482.32</x:v>
      </x:c>
      <x:c r="L546" s="37" t="str">
        <x:v>2164</x:v>
      </x:c>
      <x:c r="M546" s="29" t="str">
        <x:v>1324.11</x:v>
      </x:c>
      <x:c r="N546" s="29" t="str">
        <x:v>832.34</x:v>
      </x:c>
      <x:c r="O546" s="29" t="str">
        <x:v>491.77</x:v>
      </x:c>
      <x:c r="P546" s="18" t="str">
        <x:v>2026-08-05</x:v>
      </x:c>
      <x:c r="Q546" s="36" t="n">
        <x:v>46239</x:v>
      </x:c>
    </x:row>
    <x:row r="547">
      <x:c r="A547" s="36" t="str">
        <x:v>2026-08-05</x:v>
      </x:c>
      <x:c r="B547" s="18" t="str">
        <x:v>101437000_86379</x:v>
      </x:c>
      <x:c r="C547" s="18" t="str">
        <x:v>【沪村小电】新宝社区充电站</x:v>
      </x:c>
      <x:c r="D547" s="37" t="str">
        <x:v>4</x:v>
      </x:c>
      <x:c r="E547" s="37" t="str">
        <x:v>0</x:v>
      </x:c>
      <x:c r="F547" s="37" t="str">
        <x:v>40</x:v>
      </x:c>
      <x:c r="G547" s="37" t="str">
        <x:v>1077.45</x:v>
      </x:c>
      <x:c r="H547" s="37" t="str">
        <x:v>0.00</x:v>
      </x:c>
      <x:c r="I547" s="37" t="str">
        <x:v>518.67</x:v>
      </x:c>
      <x:c r="J547" s="37" t="str">
        <x:v>0.00</x:v>
      </x:c>
      <x:c r="K547" s="37" t="str">
        <x:v>558.78</x:v>
      </x:c>
      <x:c r="L547" s="37" t="str">
        <x:v>1706</x:v>
      </x:c>
      <x:c r="M547" s="29" t="str">
        <x:v>888.96</x:v>
      </x:c>
      <x:c r="N547" s="29" t="str">
        <x:v>575.03</x:v>
      </x:c>
      <x:c r="O547" s="29" t="str">
        <x:v>313.93</x:v>
      </x:c>
      <x:c r="P547" s="18" t="str">
        <x:v>2026-08-05</x:v>
      </x:c>
      <x:c r="Q547" s="36" t="n">
        <x:v>46239</x:v>
      </x:c>
    </x:row>
    <x:row r="548">
      <x:c r="A548" s="36" t="str">
        <x:v>2026-08-05</x:v>
      </x:c>
      <x:c r="B548" s="18" t="str">
        <x:v>101437000_89441</x:v>
      </x:c>
      <x:c r="C548" s="18" t="str">
        <x:v>【沪村小电】首创禧瑞云启西区充电站</x:v>
      </x:c>
      <x:c r="D548" s="37" t="str">
        <x:v>2</x:v>
      </x:c>
      <x:c r="E548" s="37" t="str">
        <x:v>0</x:v>
      </x:c>
      <x:c r="F548" s="37" t="str">
        <x:v>27</x:v>
      </x:c>
      <x:c r="G548" s="37" t="str">
        <x:v>754.94</x:v>
      </x:c>
      <x:c r="H548" s="37" t="str">
        <x:v>0.00</x:v>
      </x:c>
      <x:c r="I548" s="37" t="str">
        <x:v>580.49</x:v>
      </x:c>
      <x:c r="J548" s="37" t="str">
        <x:v>0.00</x:v>
      </x:c>
      <x:c r="K548" s="37" t="str">
        <x:v>174.45</x:v>
      </x:c>
      <x:c r="L548" s="37" t="str">
        <x:v>943</x:v>
      </x:c>
      <x:c r="M548" s="29" t="str">
        <x:v>758.31</x:v>
      </x:c>
      <x:c r="N548" s="29" t="str">
        <x:v>476.68</x:v>
      </x:c>
      <x:c r="O548" s="29" t="str">
        <x:v>281.63</x:v>
      </x:c>
      <x:c r="P548" s="18" t="str">
        <x:v>2026-08-05</x:v>
      </x:c>
      <x:c r="Q548" s="36" t="n">
        <x:v>46239</x:v>
      </x:c>
    </x:row>
    <x:row r="549">
      <x:c r="A549" s="36" t="str">
        <x:v>2026-08-05</x:v>
      </x:c>
      <x:c r="B549" s="18" t="str">
        <x:v>101437000_89443</x:v>
      </x:c>
      <x:c r="C549" s="18" t="str">
        <x:v>【沪村小电】玉兰清苑二期充电站</x:v>
      </x:c>
      <x:c r="D549" s="37" t="str">
        <x:v>2</x:v>
      </x:c>
      <x:c r="E549" s="37" t="str">
        <x:v>0</x:v>
      </x:c>
      <x:c r="F549" s="37" t="str">
        <x:v>34</x:v>
      </x:c>
      <x:c r="G549" s="37" t="str">
        <x:v>846.12</x:v>
      </x:c>
      <x:c r="H549" s="37" t="str">
        <x:v>0.00</x:v>
      </x:c>
      <x:c r="I549" s="37" t="str">
        <x:v>587.19</x:v>
      </x:c>
      <x:c r="J549" s="37" t="str">
        <x:v>0.00</x:v>
      </x:c>
      <x:c r="K549" s="37" t="str">
        <x:v>258.93</x:v>
      </x:c>
      <x:c r="L549" s="37" t="str">
        <x:v>1225</x:v>
      </x:c>
      <x:c r="M549" s="29" t="str">
        <x:v>775.44</x:v>
      </x:c>
      <x:c r="N549" s="29" t="str">
        <x:v>512.72</x:v>
      </x:c>
      <x:c r="O549" s="29" t="str">
        <x:v>262.72</x:v>
      </x:c>
      <x:c r="P549" s="18" t="str">
        <x:v>2026-08-05</x:v>
      </x:c>
      <x:c r="Q549" s="36" t="n">
        <x:v>46239</x:v>
      </x:c>
    </x:row>
    <x:row r="550">
      <x:c r="A550" s="36" t="str">
        <x:v>2026-08-05</x:v>
      </x:c>
      <x:c r="B550" s="18" t="str">
        <x:v>101437000_93115</x:v>
      </x:c>
      <x:c r="C550" s="18" t="str">
        <x:v>【沪村小电】新南家园西北门</x:v>
      </x:c>
      <x:c r="D550" s="37" t="str">
        <x:v>2</x:v>
      </x:c>
      <x:c r="E550" s="37" t="str">
        <x:v>0</x:v>
      </x:c>
      <x:c r="F550" s="37" t="str">
        <x:v>24</x:v>
      </x:c>
      <x:c r="G550" s="37" t="str">
        <x:v>643.96</x:v>
      </x:c>
      <x:c r="H550" s="37" t="str">
        <x:v>0.00</x:v>
      </x:c>
      <x:c r="I550" s="37" t="str">
        <x:v>368.99</x:v>
      </x:c>
      <x:c r="J550" s="37" t="str">
        <x:v>0.00</x:v>
      </x:c>
      <x:c r="K550" s="37" t="str">
        <x:v>274.97</x:v>
      </x:c>
      <x:c r="L550" s="37" t="str">
        <x:v>1013</x:v>
      </x:c>
      <x:c r="M550" s="29" t="str">
        <x:v>541.34</x:v>
      </x:c>
      <x:c r="N550" s="29" t="str">
        <x:v>363.72</x:v>
      </x:c>
      <x:c r="O550" s="29" t="str">
        <x:v>177.62</x:v>
      </x:c>
      <x:c r="P550" s="18" t="str">
        <x:v>2026-08-05</x:v>
      </x:c>
      <x:c r="Q550" s="36" t="n">
        <x:v>46239</x:v>
      </x:c>
    </x:row>
    <x:row r="551">
      <x:c r="A551" s="36" t="str">
        <x:v>2026-08-05</x:v>
      </x:c>
      <x:c r="B551" s="18" t="str">
        <x:v>101437000_94649</x:v>
      </x:c>
      <x:c r="C551" s="18" t="str">
        <x:v>【沪村小电】浪琴水岸花园</x:v>
      </x:c>
      <x:c r="D551" s="37" t="str">
        <x:v>4</x:v>
      </x:c>
      <x:c r="E551" s="37" t="str">
        <x:v>0</x:v>
      </x:c>
      <x:c r="F551" s="37" t="str">
        <x:v>39</x:v>
      </x:c>
      <x:c r="G551" s="37" t="str">
        <x:v>976.32</x:v>
      </x:c>
      <x:c r="H551" s="37" t="str">
        <x:v>0.00</x:v>
      </x:c>
      <x:c r="I551" s="37" t="str">
        <x:v>615.20</x:v>
      </x:c>
      <x:c r="J551" s="37" t="str">
        <x:v>0.00</x:v>
      </x:c>
      <x:c r="K551" s="37" t="str">
        <x:v>361.12</x:v>
      </x:c>
      <x:c r="L551" s="37" t="str">
        <x:v>1683</x:v>
      </x:c>
      <x:c r="M551" s="29" t="str">
        <x:v>838.15</x:v>
      </x:c>
      <x:c r="N551" s="29" t="str">
        <x:v>606.54</x:v>
      </x:c>
      <x:c r="O551" s="29" t="str">
        <x:v>231.61</x:v>
      </x:c>
      <x:c r="P551" s="18" t="str">
        <x:v>2026-08-05</x:v>
      </x:c>
      <x:c r="Q551" s="36" t="n">
        <x:v>46239</x:v>
      </x:c>
    </x:row>
    <x:row r="552">
      <x:c r="A552" s="36" t="str">
        <x:v>2026-08-05</x:v>
      </x:c>
      <x:c r="B552" s="18" t="str">
        <x:v>101437000_95079</x:v>
      </x:c>
      <x:c r="C552" s="18" t="str">
        <x:v>【沪村小电】民乐城惠益绿苑东苑充电站</x:v>
      </x:c>
      <x:c r="D552" s="37" t="str">
        <x:v>2</x:v>
      </x:c>
      <x:c r="E552" s="37" t="str">
        <x:v>0</x:v>
      </x:c>
      <x:c r="F552" s="37" t="str">
        <x:v>31</x:v>
      </x:c>
      <x:c r="G552" s="37" t="str">
        <x:v>798.71</x:v>
      </x:c>
      <x:c r="H552" s="37" t="str">
        <x:v>0.00</x:v>
      </x:c>
      <x:c r="I552" s="37" t="str">
        <x:v>622.24</x:v>
      </x:c>
      <x:c r="J552" s="37" t="str">
        <x:v>0.00</x:v>
      </x:c>
      <x:c r="K552" s="37" t="str">
        <x:v>176.47</x:v>
      </x:c>
      <x:c r="L552" s="37" t="str">
        <x:v>1222</x:v>
      </x:c>
      <x:c r="M552" s="29" t="str">
        <x:v>692.21</x:v>
      </x:c>
      <x:c r="N552" s="29" t="str">
        <x:v>507.06</x:v>
      </x:c>
      <x:c r="O552" s="29" t="str">
        <x:v>185.15</x:v>
      </x:c>
      <x:c r="P552" s="18" t="str">
        <x:v>2026-08-05</x:v>
      </x:c>
      <x:c r="Q552" s="36" t="n">
        <x:v>46239</x:v>
      </x:c>
    </x:row>
    <x:row r="553">
      <x:c r="A553" s="36" t="str">
        <x:v>2026-08-05</x:v>
      </x:c>
      <x:c r="B553" s="18" t="str">
        <x:v>101437000_95081</x:v>
      </x:c>
      <x:c r="C553" s="18" t="str">
        <x:v>【沪村小电】民乐城惠益绿苑西苑充电站</x:v>
      </x:c>
      <x:c r="D553" s="37" t="str">
        <x:v>2</x:v>
      </x:c>
      <x:c r="E553" s="37" t="str">
        <x:v>0</x:v>
      </x:c>
      <x:c r="F553" s="37" t="str">
        <x:v>12</x:v>
      </x:c>
      <x:c r="G553" s="37" t="str">
        <x:v>291.99</x:v>
      </x:c>
      <x:c r="H553" s="37" t="str">
        <x:v>0.00</x:v>
      </x:c>
      <x:c r="I553" s="37" t="str">
        <x:v>283.04</x:v>
      </x:c>
      <x:c r="J553" s="37" t="str">
        <x:v>0.00</x:v>
      </x:c>
      <x:c r="K553" s="37" t="str">
        <x:v>8.94</x:v>
      </x:c>
      <x:c r="L553" s="37" t="str">
        <x:v>501</x:v>
      </x:c>
      <x:c r="M553" s="29" t="str">
        <x:v>305.14</x:v>
      </x:c>
      <x:c r="N553" s="29" t="str">
        <x:v>204.27</x:v>
      </x:c>
      <x:c r="O553" s="29" t="str">
        <x:v>100.87</x:v>
      </x:c>
      <x:c r="P553" s="18" t="str">
        <x:v>2026-08-05</x:v>
      </x:c>
      <x:c r="Q553" s="36" t="n">
        <x:v>46239</x:v>
      </x:c>
    </x:row>
    <x:row r="554">
      <x:c r="A554" s="36" t="str">
        <x:v>2026-08-05</x:v>
      </x:c>
      <x:c r="B554" s="18" t="str">
        <x:v>101437000_95091</x:v>
      </x:c>
      <x:c r="C554" s="18" t="str">
        <x:v>【沪村小电】金悦学府2号站</x:v>
      </x:c>
      <x:c r="D554" s="37" t="str">
        <x:v>2</x:v>
      </x:c>
      <x:c r="E554" s="37" t="str">
        <x:v>0</x:v>
      </x:c>
      <x:c r="F554" s="37" t="str">
        <x:v>26</x:v>
      </x:c>
      <x:c r="G554" s="37" t="str">
        <x:v>587.25</x:v>
      </x:c>
      <x:c r="H554" s="37" t="str">
        <x:v>0.00</x:v>
      </x:c>
      <x:c r="I554" s="37" t="str">
        <x:v>0.00</x:v>
      </x:c>
      <x:c r="J554" s="37" t="str">
        <x:v>587.25</x:v>
      </x:c>
      <x:c r="K554" s="37" t="str">
        <x:v>0.00</x:v>
      </x:c>
      <x:c r="L554" s="37" t="str">
        <x:v>928</x:v>
      </x:c>
      <x:c r="M554" s="29" t="str">
        <x:v>463.90</x:v>
      </x:c>
      <x:c r="N554" s="29" t="str">
        <x:v>328.85</x:v>
      </x:c>
      <x:c r="O554" s="29" t="str">
        <x:v>135.05</x:v>
      </x:c>
      <x:c r="P554" s="18" t="str">
        <x:v>2026-08-05</x:v>
      </x:c>
      <x:c r="Q554" s="36" t="n">
        <x:v>46239</x:v>
      </x:c>
    </x:row>
    <x:row r="555">
      <x:c r="A555" s="36" t="str">
        <x:v>2026-08-05</x:v>
      </x:c>
      <x:c r="B555" s="18" t="str">
        <x:v>101437000_95941</x:v>
      </x:c>
      <x:c r="C555" s="18" t="str">
        <x:v>【沪村小电】惠诚雅苑</x:v>
      </x:c>
      <x:c r="D555" s="37" t="str">
        <x:v>4</x:v>
      </x:c>
      <x:c r="E555" s="37" t="str">
        <x:v>0</x:v>
      </x:c>
      <x:c r="F555" s="37" t="str">
        <x:v>57</x:v>
      </x:c>
      <x:c r="G555" s="37" t="str">
        <x:v>1442.51</x:v>
      </x:c>
      <x:c r="H555" s="37" t="str">
        <x:v>0.00</x:v>
      </x:c>
      <x:c r="I555" s="37" t="str">
        <x:v>516.79</x:v>
      </x:c>
      <x:c r="J555" s="37" t="str">
        <x:v>0.00</x:v>
      </x:c>
      <x:c r="K555" s="37" t="str">
        <x:v>925.72</x:v>
      </x:c>
      <x:c r="L555" s="37" t="str">
        <x:v>2461</x:v>
      </x:c>
      <x:c r="M555" s="29" t="str">
        <x:v>920.38</x:v>
      </x:c>
      <x:c r="N555" s="29" t="str">
        <x:v>591.88</x:v>
      </x:c>
      <x:c r="O555" s="29" t="str">
        <x:v>328.50</x:v>
      </x:c>
      <x:c r="P555" s="18" t="str">
        <x:v>2026-08-05</x:v>
      </x:c>
      <x:c r="Q555" s="36" t="n">
        <x:v>46239</x:v>
      </x:c>
    </x:row>
    <x:row r="556">
      <x:c r="A556" s="36" t="str">
        <x:v>2026-08-05</x:v>
      </x:c>
      <x:c r="B556" s="18" t="str">
        <x:v>101437000_96401</x:v>
      </x:c>
      <x:c r="C556" s="18" t="str">
        <x:v>【沪村小电】上海联怡枇杷乐园地面站</x:v>
      </x:c>
      <x:c r="D556" s="37" t="str">
        <x:v>2</x:v>
      </x:c>
      <x:c r="E556" s="37" t="str">
        <x:v>0</x:v>
      </x:c>
      <x:c r="F556" s="37" t="str">
        <x:v>13</x:v>
      </x:c>
      <x:c r="G556" s="37" t="str">
        <x:v>220.59</x:v>
      </x:c>
      <x:c r="H556" s="37" t="str">
        <x:v>0.00</x:v>
      </x:c>
      <x:c r="I556" s="37" t="str">
        <x:v>64.00</x:v>
      </x:c>
      <x:c r="J556" s="37" t="str">
        <x:v>0.00</x:v>
      </x:c>
      <x:c r="K556" s="37" t="str">
        <x:v>156.59</x:v>
      </x:c>
      <x:c r="L556" s="37" t="str">
        <x:v>432</x:v>
      </x:c>
      <x:c r="M556" s="29" t="str">
        <x:v>151.98</x:v>
      </x:c>
      <x:c r="N556" s="29" t="str">
        <x:v>129.62</x:v>
      </x:c>
      <x:c r="O556" s="29" t="str">
        <x:v>22.36</x:v>
      </x:c>
      <x:c r="P556" s="18" t="str">
        <x:v>2026-08-05</x:v>
      </x:c>
      <x:c r="Q556" s="36" t="n">
        <x:v>46239</x:v>
      </x:c>
    </x:row>
    <x:row r="557">
      <x:c r="A557" s="36" t="str">
        <x:v>2026-08-05</x:v>
      </x:c>
      <x:c r="B557" s="18" t="str">
        <x:v>101437000_96719</x:v>
      </x:c>
      <x:c r="C557" s="18" t="str">
        <x:v>【沪村小电】四达路220弄充电站</x:v>
      </x:c>
      <x:c r="D557" s="37" t="str">
        <x:v>2</x:v>
      </x:c>
      <x:c r="E557" s="37" t="str">
        <x:v>0</x:v>
      </x:c>
      <x:c r="F557" s="37" t="str">
        <x:v>1</x:v>
      </x:c>
      <x:c r="G557" s="37" t="str">
        <x:v>17.22</x:v>
      </x:c>
      <x:c r="H557" s="37" t="str">
        <x:v>0.00</x:v>
      </x:c>
      <x:c r="I557" s="37" t="str">
        <x:v>0.00</x:v>
      </x:c>
      <x:c r="J557" s="37" t="str">
        <x:v>0.00</x:v>
      </x:c>
      <x:c r="K557" s="37" t="str">
        <x:v>17.22</x:v>
      </x:c>
      <x:c r="L557" s="37" t="str">
        <x:v>31</x:v>
      </x:c>
      <x:c r="M557" s="29" t="str">
        <x:v>10.50</x:v>
      </x:c>
      <x:c r="N557" s="29" t="str">
        <x:v>6.37</x:v>
      </x:c>
      <x:c r="O557" s="29" t="str">
        <x:v>4.13</x:v>
      </x:c>
      <x:c r="P557" s="18" t="str">
        <x:v>2026-08-05</x:v>
      </x:c>
      <x:c r="Q557" s="36" t="n">
        <x:v>46239</x:v>
      </x:c>
    </x:row>
    <x:row r="558">
      <x:c r="A558" s="36" t="str">
        <x:v>2026-08-05</x:v>
      </x:c>
      <x:c r="B558" s="18" t="str">
        <x:v>101437000_97421</x:v>
      </x:c>
      <x:c r="C558" s="18" t="str">
        <x:v>【沪村小电】玉兰清苑二期（小区外）充电站</x:v>
      </x:c>
      <x:c r="D558" s="37" t="str">
        <x:v>4</x:v>
      </x:c>
      <x:c r="E558" s="37" t="str">
        <x:v>0</x:v>
      </x:c>
      <x:c r="F558" s="37" t="str">
        <x:v>50</x:v>
      </x:c>
      <x:c r="G558" s="37" t="str">
        <x:v>1161.39</x:v>
      </x:c>
      <x:c r="H558" s="37" t="str">
        <x:v>0.00</x:v>
      </x:c>
      <x:c r="I558" s="37" t="str">
        <x:v>888.60</x:v>
      </x:c>
      <x:c r="J558" s="37" t="str">
        <x:v>0.00</x:v>
      </x:c>
      <x:c r="K558" s="37" t="str">
        <x:v>272.79</x:v>
      </x:c>
      <x:c r="L558" s="37" t="str">
        <x:v>2087</x:v>
      </x:c>
      <x:c r="M558" s="29" t="str">
        <x:v>1044.16</x:v>
      </x:c>
      <x:c r="N558" s="29" t="str">
        <x:v>731.87</x:v>
      </x:c>
      <x:c r="O558" s="29" t="str">
        <x:v>312.29</x:v>
      </x:c>
      <x:c r="P558" s="18" t="str">
        <x:v>2026-08-05</x:v>
      </x:c>
      <x:c r="Q558" s="36" t="n">
        <x:v>46239</x:v>
      </x:c>
    </x:row>
    <x:row r="559">
      <x:c r="A559" s="36" t="str">
        <x:v>2026-08-05</x:v>
      </x:c>
      <x:c r="B559" s="18" t="str">
        <x:v>101437000_98013</x:v>
      </x:c>
      <x:c r="C559" s="18" t="str">
        <x:v>【沪村小电】恒大滨江华府充电站</x:v>
      </x:c>
      <x:c r="D559" s="37" t="str">
        <x:v>4</x:v>
      </x:c>
      <x:c r="E559" s="37" t="str">
        <x:v>0</x:v>
      </x:c>
      <x:c r="F559" s="37" t="str">
        <x:v>37</x:v>
      </x:c>
      <x:c r="G559" s="37" t="str">
        <x:v>906.60</x:v>
      </x:c>
      <x:c r="H559" s="37" t="str">
        <x:v>0.00</x:v>
      </x:c>
      <x:c r="I559" s="37" t="str">
        <x:v>701.72</x:v>
      </x:c>
      <x:c r="J559" s="37" t="str">
        <x:v>0.00</x:v>
      </x:c>
      <x:c r="K559" s="37" t="str">
        <x:v>204.88</x:v>
      </x:c>
      <x:c r="L559" s="37" t="str">
        <x:v>1488</x:v>
      </x:c>
      <x:c r="M559" s="29" t="str">
        <x:v>894.95</x:v>
      </x:c>
      <x:c r="N559" s="29" t="str">
        <x:v>725.74</x:v>
      </x:c>
      <x:c r="O559" s="29" t="str">
        <x:v>169.21</x:v>
      </x:c>
      <x:c r="P559" s="18" t="str">
        <x:v>2026-08-05</x:v>
      </x:c>
      <x:c r="Q559" s="36" t="n">
        <x:v>46239</x:v>
      </x:c>
    </x:row>
    <x:row r="560">
      <x:c r="A560" s="36" t="str">
        <x:v>2026-08-05</x:v>
      </x:c>
      <x:c r="B560" s="18" t="str">
        <x:v>101437000_98863</x:v>
      </x:c>
      <x:c r="C560" s="18" t="str">
        <x:v>【沪村小电】欣菊苑充电站</x:v>
      </x:c>
      <x:c r="D560" s="37" t="str">
        <x:v>4</x:v>
      </x:c>
      <x:c r="E560" s="37" t="str">
        <x:v>0</x:v>
      </x:c>
      <x:c r="F560" s="37" t="str">
        <x:v>12</x:v>
      </x:c>
      <x:c r="G560" s="37" t="str">
        <x:v>322.54</x:v>
      </x:c>
      <x:c r="H560" s="37" t="str">
        <x:v>0.00</x:v>
      </x:c>
      <x:c r="I560" s="37" t="str">
        <x:v>277.31</x:v>
      </x:c>
      <x:c r="J560" s="37" t="str">
        <x:v>0.00</x:v>
      </x:c>
      <x:c r="K560" s="37" t="str">
        <x:v>45.23</x:v>
      </x:c>
      <x:c r="L560" s="37" t="str">
        <x:v>406</x:v>
      </x:c>
      <x:c r="M560" s="29" t="str">
        <x:v>305.66</x:v>
      </x:c>
      <x:c r="N560" s="29" t="str">
        <x:v>213.63</x:v>
      </x:c>
      <x:c r="O560" s="29" t="str">
        <x:v>92.03</x:v>
      </x:c>
      <x:c r="P560" s="18" t="str">
        <x:v>2026-08-05</x:v>
      </x:c>
      <x:c r="Q560" s="36" t="n">
        <x:v>46239</x:v>
      </x:c>
    </x:row>
    <x:row r="561">
      <x:c r="A561" s="36" t="str">
        <x:v>2026-08-05</x:v>
      </x:c>
      <x:c r="B561" s="18" t="str">
        <x:v>101437000_98865</x:v>
      </x:c>
      <x:c r="C561" s="18" t="str">
        <x:v>【沪村小电】欣松苑充电站</x:v>
      </x:c>
      <x:c r="D561" s="37" t="str">
        <x:v>4</x:v>
      </x:c>
      <x:c r="E561" s="37" t="str">
        <x:v>0</x:v>
      </x:c>
      <x:c r="F561" s="37" t="str">
        <x:v>15</x:v>
      </x:c>
      <x:c r="G561" s="37" t="str">
        <x:v>329.46</x:v>
      </x:c>
      <x:c r="H561" s="37" t="str">
        <x:v>0.00</x:v>
      </x:c>
      <x:c r="I561" s="37" t="str">
        <x:v>252.81</x:v>
      </x:c>
      <x:c r="J561" s="37" t="str">
        <x:v>0.00</x:v>
      </x:c>
      <x:c r="K561" s="37" t="str">
        <x:v>76.65</x:v>
      </x:c>
      <x:c r="L561" s="37" t="str">
        <x:v>471</x:v>
      </x:c>
      <x:c r="M561" s="29" t="str">
        <x:v>309.72</x:v>
      </x:c>
      <x:c r="N561" s="29" t="str">
        <x:v>207.84</x:v>
      </x:c>
      <x:c r="O561" s="29" t="str">
        <x:v>101.88</x:v>
      </x:c>
      <x:c r="P561" s="18" t="str">
        <x:v>2026-08-05</x:v>
      </x:c>
      <x:c r="Q561" s="36" t="n">
        <x:v>46239</x:v>
      </x:c>
    </x:row>
    <x:row r="562">
      <x:c r="A562" s="36" t="str">
        <x:v>2026-08-05</x:v>
      </x:c>
      <x:c r="B562" s="18" t="str">
        <x:v>101437000_98867</x:v>
      </x:c>
      <x:c r="C562" s="18" t="str">
        <x:v>【沪村小电】欣荷苑充电站</x:v>
      </x:c>
      <x:c r="D562" s="37" t="str">
        <x:v>4</x:v>
      </x:c>
      <x:c r="E562" s="37" t="str">
        <x:v>0</x:v>
      </x:c>
      <x:c r="F562" s="37" t="str">
        <x:v>23</x:v>
      </x:c>
      <x:c r="G562" s="37" t="str">
        <x:v>422.26</x:v>
      </x:c>
      <x:c r="H562" s="37" t="str">
        <x:v>0.00</x:v>
      </x:c>
      <x:c r="I562" s="37" t="str">
        <x:v>384.74</x:v>
      </x:c>
      <x:c r="J562" s="37" t="str">
        <x:v>0.00</x:v>
      </x:c>
      <x:c r="K562" s="37" t="str">
        <x:v>37.52</x:v>
      </x:c>
      <x:c r="L562" s="37" t="str">
        <x:v>458</x:v>
      </x:c>
      <x:c r="M562" s="29" t="str">
        <x:v>404.07</x:v>
      </x:c>
      <x:c r="N562" s="29" t="str">
        <x:v>287.05</x:v>
      </x:c>
      <x:c r="O562" s="29" t="str">
        <x:v>117.02</x:v>
      </x:c>
      <x:c r="P562" s="18" t="str">
        <x:v>2026-08-05</x:v>
      </x:c>
      <x:c r="Q562" s="36" t="n">
        <x:v>46239</x:v>
      </x:c>
    </x:row>
    <x:row r="563">
      <x:c r="A563" s="36" t="str">
        <x:v>2026-08-05</x:v>
      </x:c>
      <x:c r="B563" s="18" t="str">
        <x:v>101437000_99885</x:v>
      </x:c>
      <x:c r="C563" s="18" t="str">
        <x:v>【沪村小电】汇丰馨苑充电站</x:v>
      </x:c>
      <x:c r="D563" s="37" t="str">
        <x:v>4</x:v>
      </x:c>
      <x:c r="E563" s="37" t="str">
        <x:v>0</x:v>
      </x:c>
      <x:c r="F563" s="37" t="str">
        <x:v>10</x:v>
      </x:c>
      <x:c r="G563" s="37" t="str">
        <x:v>308.06</x:v>
      </x:c>
      <x:c r="H563" s="37" t="str">
        <x:v>0.00</x:v>
      </x:c>
      <x:c r="I563" s="37" t="str">
        <x:v>245.50</x:v>
      </x:c>
      <x:c r="J563" s="37" t="str">
        <x:v>0.00</x:v>
      </x:c>
      <x:c r="K563" s="37" t="str">
        <x:v>62.57</x:v>
      </x:c>
      <x:c r="L563" s="37" t="str">
        <x:v>433</x:v>
      </x:c>
      <x:c r="M563" s="29" t="str">
        <x:v>291.64</x:v>
      </x:c>
      <x:c r="N563" s="29" t="str">
        <x:v>197.46</x:v>
      </x:c>
      <x:c r="O563" s="29" t="str">
        <x:v>94.18</x:v>
      </x:c>
      <x:c r="P563" s="18" t="str">
        <x:v>2026-08-05</x:v>
      </x:c>
      <x:c r="Q563" s="36" t="n">
        <x:v>46239</x:v>
      </x:c>
    </x:row>
    <x:row r="564">
      <x:c r="A564" s="36" t="str">
        <x:v>2026-08-05</x:v>
      </x:c>
      <x:c r="B564" s="18" t="str">
        <x:v>101437000_99887</x:v>
      </x:c>
      <x:c r="C564" s="18" t="str">
        <x:v>【沪村小电】新南村河南小区充电站</x:v>
      </x:c>
      <x:c r="D564" s="37" t="str">
        <x:v>2</x:v>
      </x:c>
      <x:c r="E564" s="37" t="str">
        <x:v>0</x:v>
      </x:c>
      <x:c r="F564" s="37" t="str">
        <x:v>15</x:v>
      </x:c>
      <x:c r="G564" s="37" t="str">
        <x:v>368.91</x:v>
      </x:c>
      <x:c r="H564" s="37" t="str">
        <x:v>0.00</x:v>
      </x:c>
      <x:c r="I564" s="37" t="str">
        <x:v>223.43</x:v>
      </x:c>
      <x:c r="J564" s="37" t="str">
        <x:v>0.00</x:v>
      </x:c>
      <x:c r="K564" s="37" t="str">
        <x:v>145.48</x:v>
      </x:c>
      <x:c r="L564" s="37" t="str">
        <x:v>777</x:v>
      </x:c>
      <x:c r="M564" s="29" t="str">
        <x:v>329.02</x:v>
      </x:c>
      <x:c r="N564" s="29" t="str">
        <x:v>212.46</x:v>
      </x:c>
      <x:c r="O564" s="29" t="str">
        <x:v>116.56</x:v>
      </x:c>
      <x:c r="P564" s="18" t="str">
        <x:v>2026-08-05</x:v>
      </x:c>
      <x:c r="Q564" s="36" t="n">
        <x:v>46239</x:v>
      </x:c>
    </x:row>
    <x:row r="565">
      <x:c r="A565" s="36" t="str">
        <x:v>2026-08-05</x:v>
      </x:c>
      <x:c r="B565" s="18" t="str">
        <x:v>101437000_99889</x:v>
      </x:c>
      <x:c r="C565" s="18" t="str">
        <x:v>【沪村小电】漕泾郊野公园</x:v>
      </x:c>
      <x:c r="D565" s="37" t="str">
        <x:v>2</x:v>
      </x:c>
      <x:c r="E565" s="37" t="str">
        <x:v>0</x:v>
      </x:c>
      <x:c r="F565" s="37" t="str">
        <x:v>7</x:v>
      </x:c>
      <x:c r="G565" s="37" t="str">
        <x:v>169.22</x:v>
      </x:c>
      <x:c r="H565" s="37" t="str">
        <x:v>0.00</x:v>
      </x:c>
      <x:c r="I565" s="37" t="str">
        <x:v>146.67</x:v>
      </x:c>
      <x:c r="J565" s="37" t="str">
        <x:v>0.00</x:v>
      </x:c>
      <x:c r="K565" s="37" t="str">
        <x:v>22.55</x:v>
      </x:c>
      <x:c r="L565" s="37" t="str">
        <x:v>287</x:v>
      </x:c>
      <x:c r="M565" s="29" t="str">
        <x:v>183.58</x:v>
      </x:c>
      <x:c r="N565" s="29" t="str">
        <x:v>125.00</x:v>
      </x:c>
      <x:c r="O565" s="29" t="str">
        <x:v>58.58</x:v>
      </x:c>
      <x:c r="P565" s="18" t="str">
        <x:v>2026-08-05</x:v>
      </x:c>
      <x:c r="Q565" s="36" t="n">
        <x:v>46239</x:v>
      </x:c>
    </x:row>
    <x:row r="566">
      <x:c r="A566" s="36" t="str">
        <x:v>2026-08-05</x:v>
      </x:c>
      <x:c r="B566" s="18" t="str">
        <x:v>101437000_99891</x:v>
      </x:c>
      <x:c r="C566" s="18" t="str">
        <x:v>【沪村小电】水韵紫城充电站</x:v>
      </x:c>
      <x:c r="D566" s="37" t="str">
        <x:v>4</x:v>
      </x:c>
      <x:c r="E566" s="37" t="str">
        <x:v>0</x:v>
      </x:c>
      <x:c r="F566" s="37" t="str">
        <x:v>30</x:v>
      </x:c>
      <x:c r="G566" s="37" t="str">
        <x:v>711.33</x:v>
      </x:c>
      <x:c r="H566" s="37" t="str">
        <x:v>0.00</x:v>
      </x:c>
      <x:c r="I566" s="37" t="str">
        <x:v>517.77</x:v>
      </x:c>
      <x:c r="J566" s="37" t="str">
        <x:v>0.00</x:v>
      </x:c>
      <x:c r="K566" s="37" t="str">
        <x:v>193.56</x:v>
      </x:c>
      <x:c r="L566" s="37" t="str">
        <x:v>1114</x:v>
      </x:c>
      <x:c r="M566" s="29" t="str">
        <x:v>627.99</x:v>
      </x:c>
      <x:c r="N566" s="29" t="str">
        <x:v>439.22</x:v>
      </x:c>
      <x:c r="O566" s="29" t="str">
        <x:v>188.77</x:v>
      </x:c>
      <x:c r="P566" s="18" t="str">
        <x:v>2026-08-05</x:v>
      </x:c>
      <x:c r="Q566" s="36" t="n">
        <x:v>46239</x:v>
      </x:c>
    </x:row>
    <x:row r="567">
      <x:c r="A567" s="36" t="str">
        <x:v>2026-08-04</x:v>
      </x:c>
      <x:c r="B567" s="18" t="str">
        <x:v>101437000_100523</x:v>
      </x:c>
      <x:c r="C567" s="18" t="str">
        <x:v>【沪村小电】民旺苑南区</x:v>
      </x:c>
      <x:c r="D567" s="37" t="str">
        <x:v>4</x:v>
      </x:c>
      <x:c r="E567" s="37" t="str">
        <x:v>0</x:v>
      </x:c>
      <x:c r="F567" s="37" t="str">
        <x:v>8</x:v>
      </x:c>
      <x:c r="G567" s="37" t="str">
        <x:v>322.26</x:v>
      </x:c>
      <x:c r="H567" s="37" t="str">
        <x:v>0.00</x:v>
      </x:c>
      <x:c r="I567" s="37" t="str">
        <x:v>151.51</x:v>
      </x:c>
      <x:c r="J567" s="37" t="str">
        <x:v>0.00</x:v>
      </x:c>
      <x:c r="K567" s="37" t="str">
        <x:v>170.75</x:v>
      </x:c>
      <x:c r="L567" s="37" t="str">
        <x:v>426</x:v>
      </x:c>
      <x:c r="M567" s="29" t="str">
        <x:v>273.45</x:v>
      </x:c>
      <x:c r="N567" s="29" t="str">
        <x:v>187.83</x:v>
      </x:c>
      <x:c r="O567" s="29" t="str">
        <x:v>85.62</x:v>
      </x:c>
      <x:c r="P567" s="18" t="str">
        <x:v>2026-08-04</x:v>
      </x:c>
      <x:c r="Q567" s="36" t="n">
        <x:v>46238</x:v>
      </x:c>
    </x:row>
    <x:row r="568">
      <x:c r="A568" s="36" t="str">
        <x:v>2026-08-04</x:v>
      </x:c>
      <x:c r="B568" s="18" t="str">
        <x:v>101437000_101531</x:v>
      </x:c>
      <x:c r="C568" s="18" t="str">
        <x:v>【沪村小电】汇中苑充电站</x:v>
      </x:c>
      <x:c r="D568" s="37" t="str">
        <x:v>2</x:v>
      </x:c>
      <x:c r="E568" s="37" t="str">
        <x:v>0</x:v>
      </x:c>
      <x:c r="F568" s="37" t="str">
        <x:v>9</x:v>
      </x:c>
      <x:c r="G568" s="37" t="str">
        <x:v>213.95</x:v>
      </x:c>
      <x:c r="H568" s="37" t="str">
        <x:v>0.00</x:v>
      </x:c>
      <x:c r="I568" s="37" t="str">
        <x:v>0.00</x:v>
      </x:c>
      <x:c r="J568" s="37" t="str">
        <x:v>129.78</x:v>
      </x:c>
      <x:c r="K568" s="37" t="str">
        <x:v>84.17</x:v>
      </x:c>
      <x:c r="L568" s="37" t="str">
        <x:v>356</x:v>
      </x:c>
      <x:c r="M568" s="29" t="str">
        <x:v>229.20</x:v>
      </x:c>
      <x:c r="N568" s="29" t="str">
        <x:v>124.51</x:v>
      </x:c>
      <x:c r="O568" s="29" t="str">
        <x:v>104.69</x:v>
      </x:c>
      <x:c r="P568" s="18" t="str">
        <x:v>2026-08-04</x:v>
      </x:c>
      <x:c r="Q568" s="36" t="n">
        <x:v>46238</x:v>
      </x:c>
    </x:row>
    <x:row r="569">
      <x:c r="A569" s="36" t="str">
        <x:v>2026-08-04</x:v>
      </x:c>
      <x:c r="B569" s="18" t="str">
        <x:v>101437000_102047</x:v>
      </x:c>
      <x:c r="C569" s="18" t="str">
        <x:v>【沪村小电】后浜小区9弄小区南面停车场充电站</x:v>
      </x:c>
      <x:c r="D569" s="37" t="str">
        <x:v>8</x:v>
      </x:c>
      <x:c r="E569" s="37" t="str">
        <x:v>0</x:v>
      </x:c>
      <x:c r="F569" s="37" t="str">
        <x:v>69</x:v>
      </x:c>
      <x:c r="G569" s="37" t="str">
        <x:v>1407.97</x:v>
      </x:c>
      <x:c r="H569" s="37" t="str">
        <x:v>0.00</x:v>
      </x:c>
      <x:c r="I569" s="37" t="str">
        <x:v>904.99</x:v>
      </x:c>
      <x:c r="J569" s="37" t="str">
        <x:v>0.00</x:v>
      </x:c>
      <x:c r="K569" s="37" t="str">
        <x:v>502.98</x:v>
      </x:c>
      <x:c r="L569" s="37" t="str">
        <x:v>2078</x:v>
      </x:c>
      <x:c r="M569" s="29" t="str">
        <x:v>1430.83</x:v>
      </x:c>
      <x:c r="N569" s="29" t="str">
        <x:v>878.94</x:v>
      </x:c>
      <x:c r="O569" s="29" t="str">
        <x:v>551.89</x:v>
      </x:c>
      <x:c r="P569" s="18" t="str">
        <x:v>2026-08-04</x:v>
      </x:c>
      <x:c r="Q569" s="36" t="n">
        <x:v>46238</x:v>
      </x:c>
    </x:row>
    <x:row r="570">
      <x:c r="A570" s="36" t="str">
        <x:v>2026-08-04</x:v>
      </x:c>
      <x:c r="B570" s="18" t="str">
        <x:v>101437000_103503</x:v>
      </x:c>
      <x:c r="C570" s="18" t="str">
        <x:v>【沪村小电】阳光城新界充电站</x:v>
      </x:c>
      <x:c r="D570" s="37" t="str">
        <x:v>4</x:v>
      </x:c>
      <x:c r="E570" s="37" t="str">
        <x:v>0</x:v>
      </x:c>
      <x:c r="F570" s="37" t="str">
        <x:v>34</x:v>
      </x:c>
      <x:c r="G570" s="37" t="str">
        <x:v>892.05</x:v>
      </x:c>
      <x:c r="H570" s="37" t="str">
        <x:v>0.00</x:v>
      </x:c>
      <x:c r="I570" s="37" t="str">
        <x:v>590.63</x:v>
      </x:c>
      <x:c r="J570" s="37" t="str">
        <x:v>0.00</x:v>
      </x:c>
      <x:c r="K570" s="37" t="str">
        <x:v>301.41</x:v>
      </x:c>
      <x:c r="L570" s="37" t="str">
        <x:v>1284</x:v>
      </x:c>
      <x:c r="M570" s="29" t="str">
        <x:v>845.40</x:v>
      </x:c>
      <x:c r="N570" s="29" t="str">
        <x:v>581.28</x:v>
      </x:c>
      <x:c r="O570" s="29" t="str">
        <x:v>264.12</x:v>
      </x:c>
      <x:c r="P570" s="18" t="str">
        <x:v>2026-08-04</x:v>
      </x:c>
      <x:c r="Q570" s="36" t="n">
        <x:v>46238</x:v>
      </x:c>
    </x:row>
    <x:row r="571">
      <x:c r="A571" s="36" t="str">
        <x:v>2026-08-04</x:v>
      </x:c>
      <x:c r="B571" s="18" t="str">
        <x:v>101437000_41561</x:v>
      </x:c>
      <x:c r="C571" s="18" t="str">
        <x:v>【沪村小电】张施小区大门处快充站</x:v>
      </x:c>
      <x:c r="D571" s="37" t="str">
        <x:v>2</x:v>
      </x:c>
      <x:c r="E571" s="37" t="str">
        <x:v>0</x:v>
      </x:c>
      <x:c r="F571" s="37" t="str">
        <x:v>47</x:v>
      </x:c>
      <x:c r="G571" s="37" t="str">
        <x:v>1213.65</x:v>
      </x:c>
      <x:c r="H571" s="37" t="str">
        <x:v>0.00</x:v>
      </x:c>
      <x:c r="I571" s="37" t="str">
        <x:v>548.45</x:v>
      </x:c>
      <x:c r="J571" s="37" t="str">
        <x:v>0.00</x:v>
      </x:c>
      <x:c r="K571" s="37" t="str">
        <x:v>665.20</x:v>
      </x:c>
      <x:c r="L571" s="37" t="str">
        <x:v>2138</x:v>
      </x:c>
      <x:c r="M571" s="29" t="str">
        <x:v>982.09</x:v>
      </x:c>
      <x:c r="N571" s="29" t="str">
        <x:v>635.51</x:v>
      </x:c>
      <x:c r="O571" s="29" t="str">
        <x:v>346.58</x:v>
      </x:c>
      <x:c r="P571" s="18" t="str">
        <x:v>2026-08-04</x:v>
      </x:c>
      <x:c r="Q571" s="36" t="n">
        <x:v>46238</x:v>
      </x:c>
    </x:row>
    <x:row r="572">
      <x:c r="A572" s="36" t="str">
        <x:v>2026-08-04</x:v>
      </x:c>
      <x:c r="B572" s="18" t="str">
        <x:v>101437000_41563</x:v>
      </x:c>
      <x:c r="C572" s="18" t="str">
        <x:v>【沪村小电】同心村快充站</x:v>
      </x:c>
      <x:c r="D572" s="37" t="str">
        <x:v>4</x:v>
      </x:c>
      <x:c r="E572" s="37" t="str">
        <x:v>0</x:v>
      </x:c>
      <x:c r="F572" s="37" t="str">
        <x:v>49</x:v>
      </x:c>
      <x:c r="G572" s="37" t="str">
        <x:v>1286.21</x:v>
      </x:c>
      <x:c r="H572" s="37" t="str">
        <x:v>0.00</x:v>
      </x:c>
      <x:c r="I572" s="37" t="str">
        <x:v>674.17</x:v>
      </x:c>
      <x:c r="J572" s="37" t="str">
        <x:v>0.00</x:v>
      </x:c>
      <x:c r="K572" s="37" t="str">
        <x:v>612.03</x:v>
      </x:c>
      <x:c r="L572" s="37" t="str">
        <x:v>2100</x:v>
      </x:c>
      <x:c r="M572" s="29" t="str">
        <x:v>1133.60</x:v>
      </x:c>
      <x:c r="N572" s="29" t="str">
        <x:v>705.12</x:v>
      </x:c>
      <x:c r="O572" s="29" t="str">
        <x:v>428.48</x:v>
      </x:c>
      <x:c r="P572" s="18" t="str">
        <x:v>2026-08-04</x:v>
      </x:c>
      <x:c r="Q572" s="36" t="n">
        <x:v>46238</x:v>
      </x:c>
    </x:row>
    <x:row r="573">
      <x:c r="A573" s="36" t="str">
        <x:v>2026-08-04</x:v>
      </x:c>
      <x:c r="B573" s="18" t="str">
        <x:v>101437000_69629</x:v>
      </x:c>
      <x:c r="C573" s="18" t="str">
        <x:v>【沪村小电】骏丰玲珑坊西苑充电站</x:v>
      </x:c>
      <x:c r="D573" s="37" t="str">
        <x:v>2</x:v>
      </x:c>
      <x:c r="E573" s="37" t="str">
        <x:v>0</x:v>
      </x:c>
      <x:c r="F573" s="37" t="str">
        <x:v>70</x:v>
      </x:c>
      <x:c r="G573" s="37" t="str">
        <x:v>1614.64</x:v>
      </x:c>
      <x:c r="H573" s="37" t="str">
        <x:v>0.00</x:v>
      </x:c>
      <x:c r="I573" s="37" t="str">
        <x:v>896.13</x:v>
      </x:c>
      <x:c r="J573" s="37" t="str">
        <x:v>0.00</x:v>
      </x:c>
      <x:c r="K573" s="37" t="str">
        <x:v>718.52</x:v>
      </x:c>
      <x:c r="L573" s="37" t="str">
        <x:v>2793</x:v>
      </x:c>
      <x:c r="M573" s="29" t="str">
        <x:v>1331.58</x:v>
      </x:c>
      <x:c r="N573" s="29" t="str">
        <x:v>902.11</x:v>
      </x:c>
      <x:c r="O573" s="29" t="str">
        <x:v>429.47</x:v>
      </x:c>
      <x:c r="P573" s="18" t="str">
        <x:v>2026-08-04</x:v>
      </x:c>
      <x:c r="Q573" s="36" t="n">
        <x:v>46238</x:v>
      </x:c>
    </x:row>
    <x:row r="574">
      <x:c r="A574" s="36" t="str">
        <x:v>2026-08-04</x:v>
      </x:c>
      <x:c r="B574" s="18" t="str">
        <x:v>101437000_70547</x:v>
      </x:c>
      <x:c r="C574" s="18" t="str">
        <x:v>【沪村小电】农建村初心馆党群服务中心充电站</x:v>
      </x:c>
      <x:c r="D574" s="37" t="str">
        <x:v>4</x:v>
      </x:c>
      <x:c r="E574" s="37" t="str">
        <x:v>0</x:v>
      </x:c>
      <x:c r="F574" s="37" t="str">
        <x:v>44</x:v>
      </x:c>
      <x:c r="G574" s="37" t="str">
        <x:v>998.73</x:v>
      </x:c>
      <x:c r="H574" s="37" t="str">
        <x:v>0.00</x:v>
      </x:c>
      <x:c r="I574" s="37" t="str">
        <x:v>717.02</x:v>
      </x:c>
      <x:c r="J574" s="37" t="str">
        <x:v>0.00</x:v>
      </x:c>
      <x:c r="K574" s="37" t="str">
        <x:v>281.72</x:v>
      </x:c>
      <x:c r="L574" s="37" t="str">
        <x:v>1495</x:v>
      </x:c>
      <x:c r="M574" s="29" t="str">
        <x:v>954.97</x:v>
      </x:c>
      <x:c r="N574" s="29" t="str">
        <x:v>613.30</x:v>
      </x:c>
      <x:c r="O574" s="29" t="str">
        <x:v>341.67</x:v>
      </x:c>
      <x:c r="P574" s="18" t="str">
        <x:v>2026-08-04</x:v>
      </x:c>
      <x:c r="Q574" s="36" t="n">
        <x:v>46238</x:v>
      </x:c>
    </x:row>
    <x:row r="575">
      <x:c r="A575" s="36" t="str">
        <x:v>2026-08-04</x:v>
      </x:c>
      <x:c r="B575" s="18" t="str">
        <x:v>101437000_70549</x:v>
      </x:c>
      <x:c r="C575" s="18" t="str">
        <x:v>【沪村小电】学府路充电站</x:v>
      </x:c>
      <x:c r="D575" s="37" t="str">
        <x:v>2</x:v>
      </x:c>
      <x:c r="E575" s="37" t="str">
        <x:v>0</x:v>
      </x:c>
      <x:c r="F575" s="37" t="str">
        <x:v>15</x:v>
      </x:c>
      <x:c r="G575" s="37" t="str">
        <x:v>332.01</x:v>
      </x:c>
      <x:c r="H575" s="37" t="str">
        <x:v>0.00</x:v>
      </x:c>
      <x:c r="I575" s="37" t="str">
        <x:v>209.88</x:v>
      </x:c>
      <x:c r="J575" s="37" t="str">
        <x:v>0.00</x:v>
      </x:c>
      <x:c r="K575" s="37" t="str">
        <x:v>122.12</x:v>
      </x:c>
      <x:c r="L575" s="37" t="str">
        <x:v>538</x:v>
      </x:c>
      <x:c r="M575" s="29" t="str">
        <x:v>334.13</x:v>
      </x:c>
      <x:c r="N575" s="29" t="str">
        <x:v>194.17</x:v>
      </x:c>
      <x:c r="O575" s="29" t="str">
        <x:v>139.96</x:v>
      </x:c>
      <x:c r="P575" s="18" t="str">
        <x:v>2026-08-04</x:v>
      </x:c>
      <x:c r="Q575" s="36" t="n">
        <x:v>46238</x:v>
      </x:c>
    </x:row>
    <x:row r="576">
      <x:c r="A576" s="36" t="str">
        <x:v>2026-08-04</x:v>
      </x:c>
      <x:c r="B576" s="18" t="str">
        <x:v>101437000_71059</x:v>
      </x:c>
      <x:c r="C576" s="18" t="str">
        <x:v>【沪村小电】宝乐汇商业广场站</x:v>
      </x:c>
      <x:c r="D576" s="37" t="str">
        <x:v>4</x:v>
      </x:c>
      <x:c r="E576" s="37" t="str">
        <x:v>0</x:v>
      </x:c>
      <x:c r="F576" s="37" t="str">
        <x:v>31</x:v>
      </x:c>
      <x:c r="G576" s="37" t="str">
        <x:v>654.70</x:v>
      </x:c>
      <x:c r="H576" s="37" t="str">
        <x:v>0.00</x:v>
      </x:c>
      <x:c r="I576" s="37" t="str">
        <x:v>374.22</x:v>
      </x:c>
      <x:c r="J576" s="37" t="str">
        <x:v>0.00</x:v>
      </x:c>
      <x:c r="K576" s="37" t="str">
        <x:v>280.48</x:v>
      </x:c>
      <x:c r="L576" s="37" t="str">
        <x:v>1113</x:v>
      </x:c>
      <x:c r="M576" s="29" t="str">
        <x:v>641.51</x:v>
      </x:c>
      <x:c r="N576" s="29" t="str">
        <x:v>465.80</x:v>
      </x:c>
      <x:c r="O576" s="29" t="str">
        <x:v>175.71</x:v>
      </x:c>
      <x:c r="P576" s="18" t="str">
        <x:v>2026-08-04</x:v>
      </x:c>
      <x:c r="Q576" s="36" t="n">
        <x:v>46238</x:v>
      </x:c>
    </x:row>
    <x:row r="577">
      <x:c r="A577" s="36" t="str">
        <x:v>2026-08-04</x:v>
      </x:c>
      <x:c r="B577" s="18" t="str">
        <x:v>101437000_72541</x:v>
      </x:c>
      <x:c r="C577" s="18" t="str">
        <x:v>【沪村小电】九干路1174弄充电站</x:v>
      </x:c>
      <x:c r="D577" s="37" t="str">
        <x:v>2</x:v>
      </x:c>
      <x:c r="E577" s="37" t="str">
        <x:v>0</x:v>
      </x:c>
      <x:c r="F577" s="37" t="str">
        <x:v>60</x:v>
      </x:c>
      <x:c r="G577" s="37" t="str">
        <x:v>1399.15</x:v>
      </x:c>
      <x:c r="H577" s="37" t="str">
        <x:v>0.00</x:v>
      </x:c>
      <x:c r="I577" s="37" t="str">
        <x:v>937.54</x:v>
      </x:c>
      <x:c r="J577" s="37" t="str">
        <x:v>0.00</x:v>
      </x:c>
      <x:c r="K577" s="37" t="str">
        <x:v>461.62</x:v>
      </x:c>
      <x:c r="L577" s="37" t="str">
        <x:v>2488</x:v>
      </x:c>
      <x:c r="M577" s="29" t="str">
        <x:v>1259.67</x:v>
      </x:c>
      <x:c r="N577" s="29" t="str">
        <x:v>836.45</x:v>
      </x:c>
      <x:c r="O577" s="29" t="str">
        <x:v>423.22</x:v>
      </x:c>
      <x:c r="P577" s="18" t="str">
        <x:v>2026-08-04</x:v>
      </x:c>
      <x:c r="Q577" s="36" t="n">
        <x:v>46238</x:v>
      </x:c>
    </x:row>
    <x:row r="578">
      <x:c r="A578" s="36" t="str">
        <x:v>2026-08-04</x:v>
      </x:c>
      <x:c r="B578" s="18" t="str">
        <x:v>101437000_72543</x:v>
      </x:c>
      <x:c r="C578" s="18" t="str">
        <x:v>【沪村小电】叶家中心村小区充电站</x:v>
      </x:c>
      <x:c r="D578" s="37" t="str">
        <x:v>2</x:v>
      </x:c>
      <x:c r="E578" s="37" t="str">
        <x:v>0</x:v>
      </x:c>
      <x:c r="F578" s="37" t="str">
        <x:v>53</x:v>
      </x:c>
      <x:c r="G578" s="37" t="str">
        <x:v>1254.00</x:v>
      </x:c>
      <x:c r="H578" s="37" t="str">
        <x:v>0.00</x:v>
      </x:c>
      <x:c r="I578" s="37" t="str">
        <x:v>716.93</x:v>
      </x:c>
      <x:c r="J578" s="37" t="str">
        <x:v>0.00</x:v>
      </x:c>
      <x:c r="K578" s="37" t="str">
        <x:v>537.07</x:v>
      </x:c>
      <x:c r="L578" s="37" t="str">
        <x:v>2236</x:v>
      </x:c>
      <x:c r="M578" s="29" t="str">
        <x:v>1020.43</x:v>
      </x:c>
      <x:c r="N578" s="29" t="str">
        <x:v>707.76</x:v>
      </x:c>
      <x:c r="O578" s="29" t="str">
        <x:v>312.67</x:v>
      </x:c>
      <x:c r="P578" s="18" t="str">
        <x:v>2026-08-04</x:v>
      </x:c>
      <x:c r="Q578" s="36" t="n">
        <x:v>46238</x:v>
      </x:c>
    </x:row>
    <x:row r="579">
      <x:c r="A579" s="36" t="str">
        <x:v>2026-08-04</x:v>
      </x:c>
      <x:c r="B579" s="18" t="str">
        <x:v>101437000_72937</x:v>
      </x:c>
      <x:c r="C579" s="18" t="str">
        <x:v>【沪村小电】佘北家园茸腾苑充电站</x:v>
      </x:c>
      <x:c r="D579" s="37" t="str">
        <x:v>4</x:v>
      </x:c>
      <x:c r="E579" s="37" t="str">
        <x:v>0</x:v>
      </x:c>
      <x:c r="F579" s="37" t="str">
        <x:v>31</x:v>
      </x:c>
      <x:c r="G579" s="37" t="str">
        <x:v>519.53</x:v>
      </x:c>
      <x:c r="H579" s="37" t="str">
        <x:v>0.00</x:v>
      </x:c>
      <x:c r="I579" s="37" t="str">
        <x:v>519.53</x:v>
      </x:c>
      <x:c r="J579" s="37" t="str">
        <x:v>0.00</x:v>
      </x:c>
      <x:c r="K579" s="37" t="str">
        <x:v>0.00</x:v>
      </x:c>
      <x:c r="L579" s="37" t="str">
        <x:v>1048</x:v>
      </x:c>
      <x:c r="M579" s="29" t="str">
        <x:v>545.74</x:v>
      </x:c>
      <x:c r="N579" s="29" t="str">
        <x:v>368.88</x:v>
      </x:c>
      <x:c r="O579" s="29" t="str">
        <x:v>176.86</x:v>
      </x:c>
      <x:c r="P579" s="18" t="str">
        <x:v>2026-08-04</x:v>
      </x:c>
      <x:c r="Q579" s="36" t="n">
        <x:v>46238</x:v>
      </x:c>
    </x:row>
    <x:row r="580">
      <x:c r="A580" s="36" t="str">
        <x:v>2026-08-04</x:v>
      </x:c>
      <x:c r="B580" s="18" t="str">
        <x:v>101437000_74223</x:v>
      </x:c>
      <x:c r="C580" s="18" t="str">
        <x:v>【沪村小电】中兴村委会充电站</x:v>
      </x:c>
      <x:c r="D580" s="37" t="str">
        <x:v>2</x:v>
      </x:c>
      <x:c r="E580" s="37" t="str">
        <x:v>0</x:v>
      </x:c>
      <x:c r="F580" s="37" t="str">
        <x:v>26</x:v>
      </x:c>
      <x:c r="G580" s="37" t="str">
        <x:v>689.83</x:v>
      </x:c>
      <x:c r="H580" s="37" t="str">
        <x:v>0.00</x:v>
      </x:c>
      <x:c r="I580" s="37" t="str">
        <x:v>396.33</x:v>
      </x:c>
      <x:c r="J580" s="37" t="str">
        <x:v>0.00</x:v>
      </x:c>
      <x:c r="K580" s="37" t="str">
        <x:v>293.50</x:v>
      </x:c>
      <x:c r="L580" s="37" t="str">
        <x:v>869</x:v>
      </x:c>
      <x:c r="M580" s="29" t="str">
        <x:v>686.76</x:v>
      </x:c>
      <x:c r="N580" s="29" t="str">
        <x:v>389.98</x:v>
      </x:c>
      <x:c r="O580" s="29" t="str">
        <x:v>296.78</x:v>
      </x:c>
      <x:c r="P580" s="18" t="str">
        <x:v>2026-08-04</x:v>
      </x:c>
      <x:c r="Q580" s="36" t="n">
        <x:v>46238</x:v>
      </x:c>
    </x:row>
    <x:row r="581">
      <x:c r="A581" s="36" t="str">
        <x:v>2026-08-04</x:v>
      </x:c>
      <x:c r="B581" s="18" t="str">
        <x:v>101437000_74801</x:v>
      </x:c>
      <x:c r="C581" s="18" t="str">
        <x:v>【沪村小电】申良花园充电站</x:v>
      </x:c>
      <x:c r="D581" s="37" t="str">
        <x:v>4</x:v>
      </x:c>
      <x:c r="E581" s="37" t="str">
        <x:v>0</x:v>
      </x:c>
      <x:c r="F581" s="37" t="str">
        <x:v>19</x:v>
      </x:c>
      <x:c r="G581" s="37" t="str">
        <x:v>329.22</x:v>
      </x:c>
      <x:c r="H581" s="37" t="str">
        <x:v>0.00</x:v>
      </x:c>
      <x:c r="I581" s="37" t="str">
        <x:v>329.22</x:v>
      </x:c>
      <x:c r="J581" s="37" t="str">
        <x:v>0.00</x:v>
      </x:c>
      <x:c r="K581" s="37" t="str">
        <x:v>0.00</x:v>
      </x:c>
      <x:c r="L581" s="37" t="str">
        <x:v>480</x:v>
      </x:c>
      <x:c r="M581" s="29" t="str">
        <x:v>352.07</x:v>
      </x:c>
      <x:c r="N581" s="29" t="str">
        <x:v>233.77</x:v>
      </x:c>
      <x:c r="O581" s="29" t="str">
        <x:v>118.30</x:v>
      </x:c>
      <x:c r="P581" s="18" t="str">
        <x:v>2026-08-04</x:v>
      </x:c>
      <x:c r="Q581" s="36" t="n">
        <x:v>46238</x:v>
      </x:c>
    </x:row>
    <x:row r="582">
      <x:c r="A582" s="36" t="str">
        <x:v>2026-08-04</x:v>
      </x:c>
      <x:c r="B582" s="18" t="str">
        <x:v>101437000_74931</x:v>
      </x:c>
      <x:c r="C582" s="18" t="str">
        <x:v>【沪村小电】枫雅南居充电站</x:v>
      </x:c>
      <x:c r="D582" s="37" t="str">
        <x:v>2</x:v>
      </x:c>
      <x:c r="E582" s="37" t="str">
        <x:v>0</x:v>
      </x:c>
      <x:c r="F582" s="37" t="str">
        <x:v>59</x:v>
      </x:c>
      <x:c r="G582" s="37" t="str">
        <x:v>1665.95</x:v>
      </x:c>
      <x:c r="H582" s="37" t="str">
        <x:v>0.00</x:v>
      </x:c>
      <x:c r="I582" s="37" t="str">
        <x:v>838.75</x:v>
      </x:c>
      <x:c r="J582" s="37" t="str">
        <x:v>0.00</x:v>
      </x:c>
      <x:c r="K582" s="37" t="str">
        <x:v>827.20</x:v>
      </x:c>
      <x:c r="L582" s="37" t="str">
        <x:v>2576</x:v>
      </x:c>
      <x:c r="M582" s="29" t="str">
        <x:v>1154.33</x:v>
      </x:c>
      <x:c r="N582" s="29" t="str">
        <x:v>751.32</x:v>
      </x:c>
      <x:c r="O582" s="29" t="str">
        <x:v>403.01</x:v>
      </x:c>
      <x:c r="P582" s="18" t="str">
        <x:v>2026-08-04</x:v>
      </x:c>
      <x:c r="Q582" s="36" t="n">
        <x:v>46238</x:v>
      </x:c>
    </x:row>
    <x:row r="583">
      <x:c r="A583" s="36" t="str">
        <x:v>2026-08-04</x:v>
      </x:c>
      <x:c r="B583" s="18" t="str">
        <x:v>101437000_75901</x:v>
      </x:c>
      <x:c r="C583" s="18" t="str">
        <x:v>【沪村小电】金悦学府</x:v>
      </x:c>
      <x:c r="D583" s="37" t="str">
        <x:v>2</x:v>
      </x:c>
      <x:c r="E583" s="37" t="str">
        <x:v>0</x:v>
      </x:c>
      <x:c r="F583" s="37" t="str">
        <x:v>49</x:v>
      </x:c>
      <x:c r="G583" s="37" t="str">
        <x:v>1339.01</x:v>
      </x:c>
      <x:c r="H583" s="37" t="str">
        <x:v>0.00</x:v>
      </x:c>
      <x:c r="I583" s="37" t="str">
        <x:v>642.66</x:v>
      </x:c>
      <x:c r="J583" s="37" t="str">
        <x:v>0.00</x:v>
      </x:c>
      <x:c r="K583" s="37" t="str">
        <x:v>696.35</x:v>
      </x:c>
      <x:c r="L583" s="37" t="str">
        <x:v>2045</x:v>
      </x:c>
      <x:c r="M583" s="29" t="str">
        <x:v>1015.63</x:v>
      </x:c>
      <x:c r="N583" s="29" t="str">
        <x:v>595.04</x:v>
      </x:c>
      <x:c r="O583" s="29" t="str">
        <x:v>420.59</x:v>
      </x:c>
      <x:c r="P583" s="18" t="str">
        <x:v>2026-08-04</x:v>
      </x:c>
      <x:c r="Q583" s="36" t="n">
        <x:v>46238</x:v>
      </x:c>
    </x:row>
    <x:row r="584">
      <x:c r="A584" s="36" t="str">
        <x:v>2026-08-04</x:v>
      </x:c>
      <x:c r="B584" s="18" t="str">
        <x:v>101437000_76091</x:v>
      </x:c>
      <x:c r="C584" s="18" t="str">
        <x:v>【沪村小电】恒信家园充电站</x:v>
      </x:c>
      <x:c r="D584" s="37" t="str">
        <x:v>2</x:v>
      </x:c>
      <x:c r="E584" s="37" t="str">
        <x:v>0</x:v>
      </x:c>
      <x:c r="F584" s="37" t="str">
        <x:v>47</x:v>
      </x:c>
      <x:c r="G584" s="37" t="str">
        <x:v>1127.60</x:v>
      </x:c>
      <x:c r="H584" s="37" t="str">
        <x:v>0.00</x:v>
      </x:c>
      <x:c r="I584" s="37" t="str">
        <x:v>708.86</x:v>
      </x:c>
      <x:c r="J584" s="37" t="str">
        <x:v>0.00</x:v>
      </x:c>
      <x:c r="K584" s="37" t="str">
        <x:v>418.73</x:v>
      </x:c>
      <x:c r="L584" s="37" t="str">
        <x:v>1757</x:v>
      </x:c>
      <x:c r="M584" s="29" t="str">
        <x:v>1083.60</x:v>
      </x:c>
      <x:c r="N584" s="29" t="str">
        <x:v>658.24</x:v>
      </x:c>
      <x:c r="O584" s="29" t="str">
        <x:v>425.36</x:v>
      </x:c>
      <x:c r="P584" s="18" t="str">
        <x:v>2026-08-04</x:v>
      </x:c>
      <x:c r="Q584" s="36" t="n">
        <x:v>46238</x:v>
      </x:c>
    </x:row>
    <x:row r="585">
      <x:c r="A585" s="36" t="str">
        <x:v>2026-08-04</x:v>
      </x:c>
      <x:c r="B585" s="18" t="str">
        <x:v>101437000_76417</x:v>
      </x:c>
      <x:c r="C585" s="18" t="str">
        <x:v>【沪村小电】新春一组充电站</x:v>
      </x:c>
      <x:c r="D585" s="37" t="str">
        <x:v>2</x:v>
      </x:c>
      <x:c r="E585" s="37" t="str">
        <x:v>0</x:v>
      </x:c>
      <x:c r="F585" s="37" t="str">
        <x:v>30</x:v>
      </x:c>
      <x:c r="G585" s="37" t="str">
        <x:v>887.36</x:v>
      </x:c>
      <x:c r="H585" s="37" t="str">
        <x:v>0.00</x:v>
      </x:c>
      <x:c r="I585" s="37" t="str">
        <x:v>264.60</x:v>
      </x:c>
      <x:c r="J585" s="37" t="str">
        <x:v>0.00</x:v>
      </x:c>
      <x:c r="K585" s="37" t="str">
        <x:v>622.76</x:v>
      </x:c>
      <x:c r="L585" s="37" t="str">
        <x:v>1341</x:v>
      </x:c>
      <x:c r="M585" s="29" t="str">
        <x:v>625.78</x:v>
      </x:c>
      <x:c r="N585" s="29" t="str">
        <x:v>418.29</x:v>
      </x:c>
      <x:c r="O585" s="29" t="str">
        <x:v>207.49</x:v>
      </x:c>
      <x:c r="P585" s="18" t="str">
        <x:v>2026-08-04</x:v>
      </x:c>
      <x:c r="Q585" s="36" t="n">
        <x:v>46238</x:v>
      </x:c>
    </x:row>
    <x:row r="586">
      <x:c r="A586" s="36" t="str">
        <x:v>2026-08-04</x:v>
      </x:c>
      <x:c r="B586" s="18" t="str">
        <x:v>101437000_78235</x:v>
      </x:c>
      <x:c r="C586" s="18" t="str">
        <x:v>【沪村小电】欣秋苑充电站</x:v>
      </x:c>
      <x:c r="D586" s="37" t="str">
        <x:v>4</x:v>
      </x:c>
      <x:c r="E586" s="37" t="str">
        <x:v>0</x:v>
      </x:c>
      <x:c r="F586" s="37" t="str">
        <x:v>20</x:v>
      </x:c>
      <x:c r="G586" s="37" t="str">
        <x:v>452.43</x:v>
      </x:c>
      <x:c r="H586" s="37" t="str">
        <x:v>0.00</x:v>
      </x:c>
      <x:c r="I586" s="37" t="str">
        <x:v>408.61</x:v>
      </x:c>
      <x:c r="J586" s="37" t="str">
        <x:v>0.00</x:v>
      </x:c>
      <x:c r="K586" s="37" t="str">
        <x:v>43.82</x:v>
      </x:c>
      <x:c r="L586" s="37" t="str">
        <x:v>767</x:v>
      </x:c>
      <x:c r="M586" s="29" t="str">
        <x:v>438.54</x:v>
      </x:c>
      <x:c r="N586" s="29" t="str">
        <x:v>306.34</x:v>
      </x:c>
      <x:c r="O586" s="29" t="str">
        <x:v>132.20</x:v>
      </x:c>
      <x:c r="P586" s="18" t="str">
        <x:v>2026-08-04</x:v>
      </x:c>
      <x:c r="Q586" s="36" t="n">
        <x:v>46238</x:v>
      </x:c>
    </x:row>
    <x:row r="587">
      <x:c r="A587" s="36" t="str">
        <x:v>2026-08-04</x:v>
      </x:c>
      <x:c r="B587" s="18" t="str">
        <x:v>101437000_78237</x:v>
      </x:c>
      <x:c r="C587" s="18" t="str">
        <x:v>【沪村小电】奉馨苑西门小区内北侧充电站</x:v>
      </x:c>
      <x:c r="D587" s="37" t="str">
        <x:v>2</x:v>
      </x:c>
      <x:c r="E587" s="37" t="str">
        <x:v>0</x:v>
      </x:c>
      <x:c r="F587" s="37" t="str">
        <x:v>35</x:v>
      </x:c>
      <x:c r="G587" s="37" t="str">
        <x:v>988.32</x:v>
      </x:c>
      <x:c r="H587" s="37" t="str">
        <x:v>48.80</x:v>
      </x:c>
      <x:c r="I587" s="37" t="str">
        <x:v>157.25</x:v>
      </x:c>
      <x:c r="J587" s="37" t="str">
        <x:v>303.22</x:v>
      </x:c>
      <x:c r="K587" s="37" t="str">
        <x:v>479.05</x:v>
      </x:c>
      <x:c r="L587" s="37" t="str">
        <x:v>1540</x:v>
      </x:c>
      <x:c r="M587" s="29" t="str">
        <x:v>895.16</x:v>
      </x:c>
      <x:c r="N587" s="29" t="str">
        <x:v>644.69</x:v>
      </x:c>
      <x:c r="O587" s="29" t="str">
        <x:v>250.47</x:v>
      </x:c>
      <x:c r="P587" s="18" t="str">
        <x:v>2026-08-04</x:v>
      </x:c>
      <x:c r="Q587" s="36" t="n">
        <x:v>46238</x:v>
      </x:c>
    </x:row>
    <x:row r="588">
      <x:c r="A588" s="36" t="str">
        <x:v>2026-08-04</x:v>
      </x:c>
      <x:c r="B588" s="18" t="str">
        <x:v>101437000_80823</x:v>
      </x:c>
      <x:c r="C588" s="18" t="str">
        <x:v>【沪村小电】上湖轩充电站</x:v>
      </x:c>
      <x:c r="D588" s="37" t="str">
        <x:v>2</x:v>
      </x:c>
      <x:c r="E588" s="37" t="str">
        <x:v>0</x:v>
      </x:c>
      <x:c r="F588" s="37" t="str">
        <x:v>13</x:v>
      </x:c>
      <x:c r="G588" s="37" t="str">
        <x:v>328.48</x:v>
      </x:c>
      <x:c r="H588" s="37" t="str">
        <x:v>34.43</x:v>
      </x:c>
      <x:c r="I588" s="37" t="str">
        <x:v>11.10</x:v>
      </x:c>
      <x:c r="J588" s="37" t="str">
        <x:v>52.74</x:v>
      </x:c>
      <x:c r="K588" s="37" t="str">
        <x:v>230.21</x:v>
      </x:c>
      <x:c r="L588" s="37" t="str">
        <x:v>492</x:v>
      </x:c>
      <x:c r="M588" s="29" t="str">
        <x:v>259.38</x:v>
      </x:c>
      <x:c r="N588" s="29" t="str">
        <x:v>221.01</x:v>
      </x:c>
      <x:c r="O588" s="29" t="str">
        <x:v>38.37</x:v>
      </x:c>
      <x:c r="P588" s="18" t="str">
        <x:v>2026-08-04</x:v>
      </x:c>
      <x:c r="Q588" s="36" t="n">
        <x:v>46238</x:v>
      </x:c>
    </x:row>
    <x:row r="589">
      <x:c r="A589" s="36" t="str">
        <x:v>2026-08-04</x:v>
      </x:c>
      <x:c r="B589" s="18" t="str">
        <x:v>101437000_83019</x:v>
      </x:c>
      <x:c r="C589" s="18" t="str">
        <x:v>【沪村小电】首创禧瑞云启东区充电站</x:v>
      </x:c>
      <x:c r="D589" s="37" t="str">
        <x:v>2</x:v>
      </x:c>
      <x:c r="E589" s="37" t="str">
        <x:v>0</x:v>
      </x:c>
      <x:c r="F589" s="37" t="str">
        <x:v>39</x:v>
      </x:c>
      <x:c r="G589" s="37" t="str">
        <x:v>846.44</x:v>
      </x:c>
      <x:c r="H589" s="37" t="str">
        <x:v>0.00</x:v>
      </x:c>
      <x:c r="I589" s="37" t="str">
        <x:v>545.55</x:v>
      </x:c>
      <x:c r="J589" s="37" t="str">
        <x:v>0.00</x:v>
      </x:c>
      <x:c r="K589" s="37" t="str">
        <x:v>300.89</x:v>
      </x:c>
      <x:c r="L589" s="37" t="str">
        <x:v>1169</x:v>
      </x:c>
      <x:c r="M589" s="29" t="str">
        <x:v>834.29</x:v>
      </x:c>
      <x:c r="N589" s="29" t="str">
        <x:v>498.67</x:v>
      </x:c>
      <x:c r="O589" s="29" t="str">
        <x:v>335.62</x:v>
      </x:c>
      <x:c r="P589" s="18" t="str">
        <x:v>2026-08-04</x:v>
      </x:c>
      <x:c r="Q589" s="36" t="n">
        <x:v>46238</x:v>
      </x:c>
    </x:row>
    <x:row r="590">
      <x:c r="A590" s="36" t="str">
        <x:v>2026-08-04</x:v>
      </x:c>
      <x:c r="B590" s="18" t="str">
        <x:v>101437000_83093</x:v>
      </x:c>
      <x:c r="C590" s="18" t="str">
        <x:v>【沪村小电】金茂未来时光里</x:v>
      </x:c>
      <x:c r="D590" s="37" t="str">
        <x:v>2</x:v>
      </x:c>
      <x:c r="E590" s="37" t="str">
        <x:v>0</x:v>
      </x:c>
      <x:c r="F590" s="37" t="str">
        <x:v>68</x:v>
      </x:c>
      <x:c r="G590" s="37" t="str">
        <x:v>2348.45</x:v>
      </x:c>
      <x:c r="H590" s="37" t="str">
        <x:v>0.00</x:v>
      </x:c>
      <x:c r="I590" s="37" t="str">
        <x:v>1305.94</x:v>
      </x:c>
      <x:c r="J590" s="37" t="str">
        <x:v>0.00</x:v>
      </x:c>
      <x:c r="K590" s="37" t="str">
        <x:v>1042.50</x:v>
      </x:c>
      <x:c r="L590" s="37" t="str">
        <x:v>3299</x:v>
      </x:c>
      <x:c r="M590" s="29" t="str">
        <x:v>1630.49</x:v>
      </x:c>
      <x:c r="N590" s="29" t="str">
        <x:v>1093.67</x:v>
      </x:c>
      <x:c r="O590" s="29" t="str">
        <x:v>536.82</x:v>
      </x:c>
      <x:c r="P590" s="18" t="str">
        <x:v>2026-08-04</x:v>
      </x:c>
      <x:c r="Q590" s="36" t="n">
        <x:v>46238</x:v>
      </x:c>
    </x:row>
    <x:row r="591">
      <x:c r="A591" s="36" t="str">
        <x:v>2026-08-04</x:v>
      </x:c>
      <x:c r="B591" s="18" t="str">
        <x:v>101437000_83911</x:v>
      </x:c>
      <x:c r="C591" s="18" t="str">
        <x:v>【沪村小电】金瀚园充电站</x:v>
      </x:c>
      <x:c r="D591" s="37" t="str">
        <x:v>2</x:v>
      </x:c>
      <x:c r="E591" s="37" t="str">
        <x:v>0</x:v>
      </x:c>
      <x:c r="F591" s="37" t="str">
        <x:v>42</x:v>
      </x:c>
      <x:c r="G591" s="37" t="str">
        <x:v>1170.65</x:v>
      </x:c>
      <x:c r="H591" s="37" t="str">
        <x:v>0.00</x:v>
      </x:c>
      <x:c r="I591" s="37" t="str">
        <x:v>760.99</x:v>
      </x:c>
      <x:c r="J591" s="37" t="str">
        <x:v>0.00</x:v>
      </x:c>
      <x:c r="K591" s="37" t="str">
        <x:v>409.65</x:v>
      </x:c>
      <x:c r="L591" s="37" t="str">
        <x:v>1573</x:v>
      </x:c>
      <x:c r="M591" s="29" t="str">
        <x:v>1071.32</x:v>
      </x:c>
      <x:c r="N591" s="29" t="str">
        <x:v>691.90</x:v>
      </x:c>
      <x:c r="O591" s="29" t="str">
        <x:v>379.42</x:v>
      </x:c>
      <x:c r="P591" s="18" t="str">
        <x:v>2026-08-04</x:v>
      </x:c>
      <x:c r="Q591" s="36" t="n">
        <x:v>46238</x:v>
      </x:c>
    </x:row>
    <x:row r="592">
      <x:c r="A592" s="36" t="str">
        <x:v>2026-08-04</x:v>
      </x:c>
      <x:c r="B592" s="18" t="str">
        <x:v>101437000_83913</x:v>
      </x:c>
      <x:c r="C592" s="18" t="str">
        <x:v>【沪村小电】新黎村充电站</x:v>
      </x:c>
      <x:c r="D592" s="37" t="str">
        <x:v>2</x:v>
      </x:c>
      <x:c r="E592" s="37" t="str">
        <x:v>0</x:v>
      </x:c>
      <x:c r="F592" s="37" t="str">
        <x:v>75</x:v>
      </x:c>
      <x:c r="G592" s="37" t="str">
        <x:v>1714.34</x:v>
      </x:c>
      <x:c r="H592" s="37" t="str">
        <x:v>0.00</x:v>
      </x:c>
      <x:c r="I592" s="37" t="str">
        <x:v>1221.51</x:v>
      </x:c>
      <x:c r="J592" s="37" t="str">
        <x:v>0.00</x:v>
      </x:c>
      <x:c r="K592" s="37" t="str">
        <x:v>492.83</x:v>
      </x:c>
      <x:c r="L592" s="37" t="str">
        <x:v>2700</x:v>
      </x:c>
      <x:c r="M592" s="29" t="str">
        <x:v>1550.31</x:v>
      </x:c>
      <x:c r="N592" s="29" t="str">
        <x:v>1049.68</x:v>
      </x:c>
      <x:c r="O592" s="29" t="str">
        <x:v>500.63</x:v>
      </x:c>
      <x:c r="P592" s="18" t="str">
        <x:v>2026-08-04</x:v>
      </x:c>
      <x:c r="Q592" s="36" t="n">
        <x:v>46238</x:v>
      </x:c>
    </x:row>
    <x:row r="593">
      <x:c r="A593" s="36" t="str">
        <x:v>2026-08-04</x:v>
      </x:c>
      <x:c r="B593" s="18" t="str">
        <x:v>101437000_83915</x:v>
      </x:c>
      <x:c r="C593" s="18" t="str">
        <x:v>【沪村小电】长泰西郊别墅充电站</x:v>
      </x:c>
      <x:c r="D593" s="37" t="str">
        <x:v>2</x:v>
      </x:c>
      <x:c r="E593" s="37" t="str">
        <x:v>0</x:v>
      </x:c>
      <x:c r="F593" s="37" t="str">
        <x:v>20</x:v>
      </x:c>
      <x:c r="G593" s="37" t="str">
        <x:v>542.57</x:v>
      </x:c>
      <x:c r="H593" s="37" t="str">
        <x:v>0.00</x:v>
      </x:c>
      <x:c r="I593" s="37" t="str">
        <x:v>429.14</x:v>
      </x:c>
      <x:c r="J593" s="37" t="str">
        <x:v>0.00</x:v>
      </x:c>
      <x:c r="K593" s="37" t="str">
        <x:v>113.43</x:v>
      </x:c>
      <x:c r="L593" s="37" t="str">
        <x:v>678</x:v>
      </x:c>
      <x:c r="M593" s="29" t="str">
        <x:v>545.33</x:v>
      </x:c>
      <x:c r="N593" s="29" t="str">
        <x:v>346.65</x:v>
      </x:c>
      <x:c r="O593" s="29" t="str">
        <x:v>198.68</x:v>
      </x:c>
      <x:c r="P593" s="18" t="str">
        <x:v>2026-08-04</x:v>
      </x:c>
      <x:c r="Q593" s="36" t="n">
        <x:v>46238</x:v>
      </x:c>
    </x:row>
    <x:row r="594">
      <x:c r="A594" s="36" t="str">
        <x:v>2026-08-04</x:v>
      </x:c>
      <x:c r="B594" s="18" t="str">
        <x:v>101437000_83917</x:v>
      </x:c>
      <x:c r="C594" s="18" t="str">
        <x:v>【沪村小电】旭新华庭充电站</x:v>
      </x:c>
      <x:c r="D594" s="37" t="str">
        <x:v>4</x:v>
      </x:c>
      <x:c r="E594" s="37" t="str">
        <x:v>0</x:v>
      </x:c>
      <x:c r="F594" s="37" t="str">
        <x:v>32</x:v>
      </x:c>
      <x:c r="G594" s="37" t="str">
        <x:v>747.09</x:v>
      </x:c>
      <x:c r="H594" s="37" t="str">
        <x:v>0.00</x:v>
      </x:c>
      <x:c r="I594" s="37" t="str">
        <x:v>577.52</x:v>
      </x:c>
      <x:c r="J594" s="37" t="str">
        <x:v>0.00</x:v>
      </x:c>
      <x:c r="K594" s="37" t="str">
        <x:v>169.58</x:v>
      </x:c>
      <x:c r="L594" s="37" t="str">
        <x:v>1076</x:v>
      </x:c>
      <x:c r="M594" s="29" t="str">
        <x:v>822.55</x:v>
      </x:c>
      <x:c r="N594" s="29" t="str">
        <x:v>472.78</x:v>
      </x:c>
      <x:c r="O594" s="29" t="str">
        <x:v>349.77</x:v>
      </x:c>
      <x:c r="P594" s="18" t="str">
        <x:v>2026-08-04</x:v>
      </x:c>
      <x:c r="Q594" s="36" t="n">
        <x:v>46238</x:v>
      </x:c>
    </x:row>
    <x:row r="595">
      <x:c r="A595" s="36" t="str">
        <x:v>2026-08-04</x:v>
      </x:c>
      <x:c r="B595" s="18" t="str">
        <x:v>101437000_83919</x:v>
      </x:c>
      <x:c r="C595" s="18" t="str">
        <x:v>【沪村小电】浦锦名仕嘉园充电站</x:v>
      </x:c>
      <x:c r="D595" s="37" t="str">
        <x:v>4</x:v>
      </x:c>
      <x:c r="E595" s="37" t="str">
        <x:v>0</x:v>
      </x:c>
      <x:c r="F595" s="37" t="str">
        <x:v>40</x:v>
      </x:c>
      <x:c r="G595" s="37" t="str">
        <x:v>1072.40</x:v>
      </x:c>
      <x:c r="H595" s="37" t="str">
        <x:v>0.00</x:v>
      </x:c>
      <x:c r="I595" s="37" t="str">
        <x:v>0.00</x:v>
      </x:c>
      <x:c r="J595" s="37" t="str">
        <x:v>1072.40</x:v>
      </x:c>
      <x:c r="K595" s="37" t="str">
        <x:v>0.00</x:v>
      </x:c>
      <x:c r="L595" s="37" t="str">
        <x:v>1527</x:v>
      </x:c>
      <x:c r="M595" s="29" t="str">
        <x:v>1098.49</x:v>
      </x:c>
      <x:c r="N595" s="29" t="str">
        <x:v>750.67</x:v>
      </x:c>
      <x:c r="O595" s="29" t="str">
        <x:v>347.82</x:v>
      </x:c>
      <x:c r="P595" s="18" t="str">
        <x:v>2026-08-04</x:v>
      </x:c>
      <x:c r="Q595" s="36" t="n">
        <x:v>46238</x:v>
      </x:c>
    </x:row>
    <x:row r="596">
      <x:c r="A596" s="36" t="str">
        <x:v>2026-08-04</x:v>
      </x:c>
      <x:c r="B596" s="18" t="str">
        <x:v>101437000_83921</x:v>
      </x:c>
      <x:c r="C596" s="18" t="str">
        <x:v>【沪村小电】上海联怡枇杷乐园充电站（地库）</x:v>
      </x:c>
      <x:c r="D596" s="37" t="str">
        <x:v>8</x:v>
      </x:c>
      <x:c r="E596" s="37" t="str">
        <x:v>0</x:v>
      </x:c>
      <x:c r="F596" s="37" t="str">
        <x:v>21</x:v>
      </x:c>
      <x:c r="G596" s="37" t="str">
        <x:v>446.40</x:v>
      </x:c>
      <x:c r="H596" s="37" t="str">
        <x:v>0.00</x:v>
      </x:c>
      <x:c r="I596" s="37" t="str">
        <x:v>211.66</x:v>
      </x:c>
      <x:c r="J596" s="37" t="str">
        <x:v>0.00</x:v>
      </x:c>
      <x:c r="K596" s="37" t="str">
        <x:v>234.74</x:v>
      </x:c>
      <x:c r="L596" s="37" t="str">
        <x:v>735</x:v>
      </x:c>
      <x:c r="M596" s="29" t="str">
        <x:v>345.15</x:v>
      </x:c>
      <x:c r="N596" s="29" t="str">
        <x:v>298.47</x:v>
      </x:c>
      <x:c r="O596" s="29" t="str">
        <x:v>46.68</x:v>
      </x:c>
      <x:c r="P596" s="18" t="str">
        <x:v>2026-08-04</x:v>
      </x:c>
      <x:c r="Q596" s="36" t="n">
        <x:v>46238</x:v>
      </x:c>
    </x:row>
    <x:row r="597">
      <x:c r="A597" s="36" t="str">
        <x:v>2026-08-04</x:v>
      </x:c>
      <x:c r="B597" s="18" t="str">
        <x:v>101437000_83923</x:v>
      </x:c>
      <x:c r="C597" s="18" t="str">
        <x:v>【沪村小电】明珠新苑充电站</x:v>
      </x:c>
      <x:c r="D597" s="37" t="str">
        <x:v>2</x:v>
      </x:c>
      <x:c r="E597" s="37" t="str">
        <x:v>0</x:v>
      </x:c>
      <x:c r="F597" s="37" t="str">
        <x:v>26</x:v>
      </x:c>
      <x:c r="G597" s="37" t="str">
        <x:v>835.77</x:v>
      </x:c>
      <x:c r="H597" s="37" t="str">
        <x:v>0.00</x:v>
      </x:c>
      <x:c r="I597" s="37" t="str">
        <x:v>437.93</x:v>
      </x:c>
      <x:c r="J597" s="37" t="str">
        <x:v>0.00</x:v>
      </x:c>
      <x:c r="K597" s="37" t="str">
        <x:v>397.84</x:v>
      </x:c>
      <x:c r="L597" s="37" t="str">
        <x:v>978</x:v>
      </x:c>
      <x:c r="M597" s="29" t="str">
        <x:v>727.20</x:v>
      </x:c>
      <x:c r="N597" s="29" t="str">
        <x:v>458.12</x:v>
      </x:c>
      <x:c r="O597" s="29" t="str">
        <x:v>269.08</x:v>
      </x:c>
      <x:c r="P597" s="18" t="str">
        <x:v>2026-08-04</x:v>
      </x:c>
      <x:c r="Q597" s="36" t="n">
        <x:v>46238</x:v>
      </x:c>
    </x:row>
    <x:row r="598">
      <x:c r="A598" s="36" t="str">
        <x:v>2026-08-04</x:v>
      </x:c>
      <x:c r="B598" s="18" t="str">
        <x:v>101437000_84289</x:v>
      </x:c>
      <x:c r="C598" s="18" t="str">
        <x:v>【沪村小电】铁建芳华苑充电站</x:v>
      </x:c>
      <x:c r="D598" s="37" t="str">
        <x:v>4</x:v>
      </x:c>
      <x:c r="E598" s="37" t="str">
        <x:v>0</x:v>
      </x:c>
      <x:c r="F598" s="37" t="str">
        <x:v>57</x:v>
      </x:c>
      <x:c r="G598" s="37" t="str">
        <x:v>1735.90</x:v>
      </x:c>
      <x:c r="H598" s="37" t="str">
        <x:v>0.00</x:v>
      </x:c>
      <x:c r="I598" s="37" t="str">
        <x:v>1204.48</x:v>
      </x:c>
      <x:c r="J598" s="37" t="str">
        <x:v>0.00</x:v>
      </x:c>
      <x:c r="K598" s="37" t="str">
        <x:v>531.42</x:v>
      </x:c>
      <x:c r="L598" s="37" t="str">
        <x:v>2588</x:v>
      </x:c>
      <x:c r="M598" s="29" t="str">
        <x:v>1661.35</x:v>
      </x:c>
      <x:c r="N598" s="29" t="str">
        <x:v>1051.83</x:v>
      </x:c>
      <x:c r="O598" s="29" t="str">
        <x:v>609.52</x:v>
      </x:c>
      <x:c r="P598" s="18" t="str">
        <x:v>2026-08-04</x:v>
      </x:c>
      <x:c r="Q598" s="36" t="n">
        <x:v>46238</x:v>
      </x:c>
    </x:row>
    <x:row r="599">
      <x:c r="A599" s="36" t="str">
        <x:v>2026-08-04</x:v>
      </x:c>
      <x:c r="B599" s="18" t="str">
        <x:v>101437000_86379</x:v>
      </x:c>
      <x:c r="C599" s="18" t="str">
        <x:v>【沪村小电】新宝社区充电站</x:v>
      </x:c>
      <x:c r="D599" s="37" t="str">
        <x:v>4</x:v>
      </x:c>
      <x:c r="E599" s="37" t="str">
        <x:v>0</x:v>
      </x:c>
      <x:c r="F599" s="37" t="str">
        <x:v>33</x:v>
      </x:c>
      <x:c r="G599" s="37" t="str">
        <x:v>839.33</x:v>
      </x:c>
      <x:c r="H599" s="37" t="str">
        <x:v>0.00</x:v>
      </x:c>
      <x:c r="I599" s="37" t="str">
        <x:v>323.94</x:v>
      </x:c>
      <x:c r="J599" s="37" t="str">
        <x:v>0.00</x:v>
      </x:c>
      <x:c r="K599" s="37" t="str">
        <x:v>515.39</x:v>
      </x:c>
      <x:c r="L599" s="37" t="str">
        <x:v>1332</x:v>
      </x:c>
      <x:c r="M599" s="29" t="str">
        <x:v>611.35</x:v>
      </x:c>
      <x:c r="N599" s="29" t="str">
        <x:v>420.70</x:v>
      </x:c>
      <x:c r="O599" s="29" t="str">
        <x:v>190.65</x:v>
      </x:c>
      <x:c r="P599" s="18" t="str">
        <x:v>2026-08-04</x:v>
      </x:c>
      <x:c r="Q599" s="36" t="n">
        <x:v>46238</x:v>
      </x:c>
    </x:row>
    <x:row r="600">
      <x:c r="A600" s="36" t="str">
        <x:v>2026-08-04</x:v>
      </x:c>
      <x:c r="B600" s="18" t="str">
        <x:v>101437000_89441</x:v>
      </x:c>
      <x:c r="C600" s="18" t="str">
        <x:v>【沪村小电】首创禧瑞云启西区充电站</x:v>
      </x:c>
      <x:c r="D600" s="37" t="str">
        <x:v>2</x:v>
      </x:c>
      <x:c r="E600" s="37" t="str">
        <x:v>0</x:v>
      </x:c>
      <x:c r="F600" s="37" t="str">
        <x:v>45</x:v>
      </x:c>
      <x:c r="G600" s="37" t="str">
        <x:v>1090.58</x:v>
      </x:c>
      <x:c r="H600" s="37" t="str">
        <x:v>0.00</x:v>
      </x:c>
      <x:c r="I600" s="37" t="str">
        <x:v>834.59</x:v>
      </x:c>
      <x:c r="J600" s="37" t="str">
        <x:v>0.00</x:v>
      </x:c>
      <x:c r="K600" s="37" t="str">
        <x:v>255.99</x:v>
      </x:c>
      <x:c r="L600" s="37" t="str">
        <x:v>1401</x:v>
      </x:c>
      <x:c r="M600" s="29" t="str">
        <x:v>1083.17</x:v>
      </x:c>
      <x:c r="N600" s="29" t="str">
        <x:v>687.27</x:v>
      </x:c>
      <x:c r="O600" s="29" t="str">
        <x:v>395.90</x:v>
      </x:c>
      <x:c r="P600" s="18" t="str">
        <x:v>2026-08-04</x:v>
      </x:c>
      <x:c r="Q600" s="36" t="n">
        <x:v>46238</x:v>
      </x:c>
    </x:row>
    <x:row r="601">
      <x:c r="A601" s="36" t="str">
        <x:v>2026-08-04</x:v>
      </x:c>
      <x:c r="B601" s="18" t="str">
        <x:v>101437000_89443</x:v>
      </x:c>
      <x:c r="C601" s="18" t="str">
        <x:v>【沪村小电】玉兰清苑二期充电站</x:v>
      </x:c>
      <x:c r="D601" s="37" t="str">
        <x:v>2</x:v>
      </x:c>
      <x:c r="E601" s="37" t="str">
        <x:v>0</x:v>
      </x:c>
      <x:c r="F601" s="37" t="str">
        <x:v>39</x:v>
      </x:c>
      <x:c r="G601" s="37" t="str">
        <x:v>810.07</x:v>
      </x:c>
      <x:c r="H601" s="37" t="str">
        <x:v>0.00</x:v>
      </x:c>
      <x:c r="I601" s="37" t="str">
        <x:v>650.03</x:v>
      </x:c>
      <x:c r="J601" s="37" t="str">
        <x:v>0.00</x:v>
      </x:c>
      <x:c r="K601" s="37" t="str">
        <x:v>160.04</x:v>
      </x:c>
      <x:c r="L601" s="37" t="str">
        <x:v>1220</x:v>
      </x:c>
      <x:c r="M601" s="29" t="str">
        <x:v>820.71</x:v>
      </x:c>
      <x:c r="N601" s="29" t="str">
        <x:v>520.70</x:v>
      </x:c>
      <x:c r="O601" s="29" t="str">
        <x:v>300.01</x:v>
      </x:c>
      <x:c r="P601" s="18" t="str">
        <x:v>2026-08-04</x:v>
      </x:c>
      <x:c r="Q601" s="36" t="n">
        <x:v>46238</x:v>
      </x:c>
    </x:row>
    <x:row r="602">
      <x:c r="A602" s="36" t="str">
        <x:v>2026-08-04</x:v>
      </x:c>
      <x:c r="B602" s="18" t="str">
        <x:v>101437000_93115</x:v>
      </x:c>
      <x:c r="C602" s="18" t="str">
        <x:v>【沪村小电】新南家园西北门</x:v>
      </x:c>
      <x:c r="D602" s="37" t="str">
        <x:v>2</x:v>
      </x:c>
      <x:c r="E602" s="37" t="str">
        <x:v>0</x:v>
      </x:c>
      <x:c r="F602" s="37" t="str">
        <x:v>32</x:v>
      </x:c>
      <x:c r="G602" s="37" t="str">
        <x:v>854.81</x:v>
      </x:c>
      <x:c r="H602" s="37" t="str">
        <x:v>0.00</x:v>
      </x:c>
      <x:c r="I602" s="37" t="str">
        <x:v>399.77</x:v>
      </x:c>
      <x:c r="J602" s="37" t="str">
        <x:v>0.00</x:v>
      </x:c>
      <x:c r="K602" s="37" t="str">
        <x:v>455.04</x:v>
      </x:c>
      <x:c r="L602" s="37" t="str">
        <x:v>1229</x:v>
      </x:c>
      <x:c r="M602" s="29" t="str">
        <x:v>717.58</x:v>
      </x:c>
      <x:c r="N602" s="29" t="str">
        <x:v>452.22</x:v>
      </x:c>
      <x:c r="O602" s="29" t="str">
        <x:v>265.36</x:v>
      </x:c>
      <x:c r="P602" s="18" t="str">
        <x:v>2026-08-04</x:v>
      </x:c>
      <x:c r="Q602" s="36" t="n">
        <x:v>46238</x:v>
      </x:c>
    </x:row>
    <x:row r="603">
      <x:c r="A603" s="36" t="str">
        <x:v>2026-08-04</x:v>
      </x:c>
      <x:c r="B603" s="18" t="str">
        <x:v>101437000_94649</x:v>
      </x:c>
      <x:c r="C603" s="18" t="str">
        <x:v>【沪村小电】浪琴水岸花园</x:v>
      </x:c>
      <x:c r="D603" s="37" t="str">
        <x:v>4</x:v>
      </x:c>
      <x:c r="E603" s="37" t="str">
        <x:v>0</x:v>
      </x:c>
      <x:c r="F603" s="37" t="str">
        <x:v>30</x:v>
      </x:c>
      <x:c r="G603" s="37" t="str">
        <x:v>839.72</x:v>
      </x:c>
      <x:c r="H603" s="37" t="str">
        <x:v>0.00</x:v>
      </x:c>
      <x:c r="I603" s="37" t="str">
        <x:v>525.73</x:v>
      </x:c>
      <x:c r="J603" s="37" t="str">
        <x:v>0.00</x:v>
      </x:c>
      <x:c r="K603" s="37" t="str">
        <x:v>314.00</x:v>
      </x:c>
      <x:c r="L603" s="37" t="str">
        <x:v>1314</x:v>
      </x:c>
      <x:c r="M603" s="29" t="str">
        <x:v>698.99</x:v>
      </x:c>
      <x:c r="N603" s="29" t="str">
        <x:v>520.84</x:v>
      </x:c>
      <x:c r="O603" s="29" t="str">
        <x:v>178.15</x:v>
      </x:c>
      <x:c r="P603" s="18" t="str">
        <x:v>2026-08-04</x:v>
      </x:c>
      <x:c r="Q603" s="36" t="n">
        <x:v>46238</x:v>
      </x:c>
    </x:row>
    <x:row r="604">
      <x:c r="A604" s="36" t="str">
        <x:v>2026-08-04</x:v>
      </x:c>
      <x:c r="B604" s="18" t="str">
        <x:v>101437000_95079</x:v>
      </x:c>
      <x:c r="C604" s="18" t="str">
        <x:v>【沪村小电】民乐城惠益绿苑东苑充电站</x:v>
      </x:c>
      <x:c r="D604" s="37" t="str">
        <x:v>2</x:v>
      </x:c>
      <x:c r="E604" s="37" t="str">
        <x:v>0</x:v>
      </x:c>
      <x:c r="F604" s="37" t="str">
        <x:v>22</x:v>
      </x:c>
      <x:c r="G604" s="37" t="str">
        <x:v>462.09</x:v>
      </x:c>
      <x:c r="H604" s="37" t="str">
        <x:v>0.00</x:v>
      </x:c>
      <x:c r="I604" s="37" t="str">
        <x:v>377.66</x:v>
      </x:c>
      <x:c r="J604" s="37" t="str">
        <x:v>0.00</x:v>
      </x:c>
      <x:c r="K604" s="37" t="str">
        <x:v>84.43</x:v>
      </x:c>
      <x:c r="L604" s="37" t="str">
        <x:v>798</x:v>
      </x:c>
      <x:c r="M604" s="29" t="str">
        <x:v>415.56</x:v>
      </x:c>
      <x:c r="N604" s="29" t="str">
        <x:v>299.40</x:v>
      </x:c>
      <x:c r="O604" s="29" t="str">
        <x:v>116.16</x:v>
      </x:c>
      <x:c r="P604" s="18" t="str">
        <x:v>2026-08-04</x:v>
      </x:c>
      <x:c r="Q604" s="36" t="n">
        <x:v>46238</x:v>
      </x:c>
    </x:row>
    <x:row r="605">
      <x:c r="A605" s="36" t="str">
        <x:v>2026-08-04</x:v>
      </x:c>
      <x:c r="B605" s="18" t="str">
        <x:v>101437000_95081</x:v>
      </x:c>
      <x:c r="C605" s="18" t="str">
        <x:v>【沪村小电】民乐城惠益绿苑西苑充电站</x:v>
      </x:c>
      <x:c r="D605" s="37" t="str">
        <x:v>2</x:v>
      </x:c>
      <x:c r="E605" s="37" t="str">
        <x:v>0</x:v>
      </x:c>
      <x:c r="F605" s="37" t="str">
        <x:v>11</x:v>
      </x:c>
      <x:c r="G605" s="37" t="str">
        <x:v>218.35</x:v>
      </x:c>
      <x:c r="H605" s="37" t="str">
        <x:v>0.00</x:v>
      </x:c>
      <x:c r="I605" s="37" t="str">
        <x:v>187.77</x:v>
      </x:c>
      <x:c r="J605" s="37" t="str">
        <x:v>0.00</x:v>
      </x:c>
      <x:c r="K605" s="37" t="str">
        <x:v>30.57</x:v>
      </x:c>
      <x:c r="L605" s="37" t="str">
        <x:v>411</x:v>
      </x:c>
      <x:c r="M605" s="29" t="str">
        <x:v>224.64</x:v>
      </x:c>
      <x:c r="N605" s="29" t="str">
        <x:v>144.63</x:v>
      </x:c>
      <x:c r="O605" s="29" t="str">
        <x:v>80.01</x:v>
      </x:c>
      <x:c r="P605" s="18" t="str">
        <x:v>2026-08-04</x:v>
      </x:c>
      <x:c r="Q605" s="36" t="n">
        <x:v>46238</x:v>
      </x:c>
    </x:row>
    <x:row r="606">
      <x:c r="A606" s="36" t="str">
        <x:v>2026-08-04</x:v>
      </x:c>
      <x:c r="B606" s="18" t="str">
        <x:v>101437000_95091</x:v>
      </x:c>
      <x:c r="C606" s="18" t="str">
        <x:v>【沪村小电】金悦学府2号站</x:v>
      </x:c>
      <x:c r="D606" s="37" t="str">
        <x:v>2</x:v>
      </x:c>
      <x:c r="E606" s="37" t="str">
        <x:v>0</x:v>
      </x:c>
      <x:c r="F606" s="37" t="str">
        <x:v>39</x:v>
      </x:c>
      <x:c r="G606" s="37" t="str">
        <x:v>1117.61</x:v>
      </x:c>
      <x:c r="H606" s="37" t="str">
        <x:v>0.00</x:v>
      </x:c>
      <x:c r="I606" s="37" t="str">
        <x:v>0.00</x:v>
      </x:c>
      <x:c r="J606" s="37" t="str">
        <x:v>1117.61</x:v>
      </x:c>
      <x:c r="K606" s="37" t="str">
        <x:v>0.00</x:v>
      </x:c>
      <x:c r="L606" s="37" t="str">
        <x:v>1674</x:v>
      </x:c>
      <x:c r="M606" s="29" t="str">
        <x:v>882.89</x:v>
      </x:c>
      <x:c r="N606" s="29" t="str">
        <x:v>625.85</x:v>
      </x:c>
      <x:c r="O606" s="29" t="str">
        <x:v>257.04</x:v>
      </x:c>
      <x:c r="P606" s="18" t="str">
        <x:v>2026-08-04</x:v>
      </x:c>
      <x:c r="Q606" s="36" t="n">
        <x:v>46238</x:v>
      </x:c>
    </x:row>
    <x:row r="607">
      <x:c r="A607" s="36" t="str">
        <x:v>2026-08-04</x:v>
      </x:c>
      <x:c r="B607" s="18" t="str">
        <x:v>101437000_95941</x:v>
      </x:c>
      <x:c r="C607" s="18" t="str">
        <x:v>【沪村小电】惠诚雅苑</x:v>
      </x:c>
      <x:c r="D607" s="37" t="str">
        <x:v>4</x:v>
      </x:c>
      <x:c r="E607" s="37" t="str">
        <x:v>0</x:v>
      </x:c>
      <x:c r="F607" s="37" t="str">
        <x:v>50</x:v>
      </x:c>
      <x:c r="G607" s="37" t="str">
        <x:v>1267.58</x:v>
      </x:c>
      <x:c r="H607" s="37" t="str">
        <x:v>0.00</x:v>
      </x:c>
      <x:c r="I607" s="37" t="str">
        <x:v>661.88</x:v>
      </x:c>
      <x:c r="J607" s="37" t="str">
        <x:v>0.00</x:v>
      </x:c>
      <x:c r="K607" s="37" t="str">
        <x:v>605.69</x:v>
      </x:c>
      <x:c r="L607" s="37" t="str">
        <x:v>1948</x:v>
      </x:c>
      <x:c r="M607" s="29" t="str">
        <x:v>852.67</x:v>
      </x:c>
      <x:c r="N607" s="29" t="str">
        <x:v>578.26</x:v>
      </x:c>
      <x:c r="O607" s="29" t="str">
        <x:v>274.41</x:v>
      </x:c>
      <x:c r="P607" s="18" t="str">
        <x:v>2026-08-04</x:v>
      </x:c>
      <x:c r="Q607" s="36" t="n">
        <x:v>46238</x:v>
      </x:c>
    </x:row>
    <x:row r="608">
      <x:c r="A608" s="36" t="str">
        <x:v>2026-08-04</x:v>
      </x:c>
      <x:c r="B608" s="18" t="str">
        <x:v>101437000_96401</x:v>
      </x:c>
      <x:c r="C608" s="18" t="str">
        <x:v>【沪村小电】上海联怡枇杷乐园地面站</x:v>
      </x:c>
      <x:c r="D608" s="37" t="str">
        <x:v>2</x:v>
      </x:c>
      <x:c r="E608" s="37" t="str">
        <x:v>0</x:v>
      </x:c>
      <x:c r="F608" s="37" t="str">
        <x:v>9</x:v>
      </x:c>
      <x:c r="G608" s="37" t="str">
        <x:v>164.29</x:v>
      </x:c>
      <x:c r="H608" s="37" t="str">
        <x:v>0.00</x:v>
      </x:c>
      <x:c r="I608" s="37" t="str">
        <x:v>85.20</x:v>
      </x:c>
      <x:c r="J608" s="37" t="str">
        <x:v>0.00</x:v>
      </x:c>
      <x:c r="K608" s="37" t="str">
        <x:v>79.10</x:v>
      </x:c>
      <x:c r="L608" s="37" t="str">
        <x:v>291</x:v>
      </x:c>
      <x:c r="M608" s="29" t="str">
        <x:v>133.56</x:v>
      </x:c>
      <x:c r="N608" s="29" t="str">
        <x:v>113.06</x:v>
      </x:c>
      <x:c r="O608" s="29" t="str">
        <x:v>20.50</x:v>
      </x:c>
      <x:c r="P608" s="18" t="str">
        <x:v>2026-08-04</x:v>
      </x:c>
      <x:c r="Q608" s="36" t="n">
        <x:v>46238</x:v>
      </x:c>
    </x:row>
    <x:row r="609">
      <x:c r="A609" s="36" t="str">
        <x:v>2026-08-04</x:v>
      </x:c>
      <x:c r="B609" s="18" t="str">
        <x:v>101437000_96719</x:v>
      </x:c>
      <x:c r="C609" s="18" t="str">
        <x:v>【沪村小电】四达路220弄充电站</x:v>
      </x:c>
      <x:c r="D609" s="37" t="str">
        <x:v>2</x:v>
      </x:c>
      <x:c r="E609" s="37" t="str">
        <x:v>0</x:v>
      </x:c>
      <x:c r="F609" s="37" t="str">
        <x:v>1</x:v>
      </x:c>
      <x:c r="G609" s="37" t="str">
        <x:v>12.76</x:v>
      </x:c>
      <x:c r="H609" s="37" t="str">
        <x:v>0.00</x:v>
      </x:c>
      <x:c r="I609" s="37" t="str">
        <x:v>7.01</x:v>
      </x:c>
      <x:c r="J609" s="37" t="str">
        <x:v>0.00</x:v>
      </x:c>
      <x:c r="K609" s="37" t="str">
        <x:v>5.75</x:v>
      </x:c>
      <x:c r="L609" s="37" t="str">
        <x:v>79</x:v>
      </x:c>
      <x:c r="M609" s="29" t="str">
        <x:v>10.80</x:v>
      </x:c>
      <x:c r="N609" s="29" t="str">
        <x:v>7.11</x:v>
      </x:c>
      <x:c r="O609" s="29" t="str">
        <x:v>3.69</x:v>
      </x:c>
      <x:c r="P609" s="18" t="str">
        <x:v>2026-08-04</x:v>
      </x:c>
      <x:c r="Q609" s="36" t="n">
        <x:v>46238</x:v>
      </x:c>
    </x:row>
    <x:row r="610">
      <x:c r="A610" s="36" t="str">
        <x:v>2026-08-04</x:v>
      </x:c>
      <x:c r="B610" s="18" t="str">
        <x:v>101437000_97421</x:v>
      </x:c>
      <x:c r="C610" s="18" t="str">
        <x:v>【沪村小电】玉兰清苑二期（小区外）充电站</x:v>
      </x:c>
      <x:c r="D610" s="37" t="str">
        <x:v>4</x:v>
      </x:c>
      <x:c r="E610" s="37" t="str">
        <x:v>0</x:v>
      </x:c>
      <x:c r="F610" s="37" t="str">
        <x:v>51</x:v>
      </x:c>
      <x:c r="G610" s="37" t="str">
        <x:v>1117.07</x:v>
      </x:c>
      <x:c r="H610" s="37" t="str">
        <x:v>0.00</x:v>
      </x:c>
      <x:c r="I610" s="37" t="str">
        <x:v>871.65</x:v>
      </x:c>
      <x:c r="J610" s="37" t="str">
        <x:v>0.00</x:v>
      </x:c>
      <x:c r="K610" s="37" t="str">
        <x:v>245.41</x:v>
      </x:c>
      <x:c r="L610" s="37" t="str">
        <x:v>2009</x:v>
      </x:c>
      <x:c r="M610" s="29" t="str">
        <x:v>1038.08</x:v>
      </x:c>
      <x:c r="N610" s="29" t="str">
        <x:v>709.70</x:v>
      </x:c>
      <x:c r="O610" s="29" t="str">
        <x:v>328.38</x:v>
      </x:c>
      <x:c r="P610" s="18" t="str">
        <x:v>2026-08-04</x:v>
      </x:c>
      <x:c r="Q610" s="36" t="n">
        <x:v>46238</x:v>
      </x:c>
    </x:row>
    <x:row r="611">
      <x:c r="A611" s="36" t="str">
        <x:v>2026-08-04</x:v>
      </x:c>
      <x:c r="B611" s="18" t="str">
        <x:v>101437000_98013</x:v>
      </x:c>
      <x:c r="C611" s="18" t="str">
        <x:v>【沪村小电】恒大滨江华府充电站</x:v>
      </x:c>
      <x:c r="D611" s="37" t="str">
        <x:v>4</x:v>
      </x:c>
      <x:c r="E611" s="37" t="str">
        <x:v>0</x:v>
      </x:c>
      <x:c r="F611" s="37" t="str">
        <x:v>48</x:v>
      </x:c>
      <x:c r="G611" s="37" t="str">
        <x:v>1285.77</x:v>
      </x:c>
      <x:c r="H611" s="37" t="str">
        <x:v>0.00</x:v>
      </x:c>
      <x:c r="I611" s="37" t="str">
        <x:v>871.22</x:v>
      </x:c>
      <x:c r="J611" s="37" t="str">
        <x:v>0.00</x:v>
      </x:c>
      <x:c r="K611" s="37" t="str">
        <x:v>414.55</x:v>
      </x:c>
      <x:c r="L611" s="37" t="str">
        <x:v>1907</x:v>
      </x:c>
      <x:c r="M611" s="29" t="str">
        <x:v>1286.43</x:v>
      </x:c>
      <x:c r="N611" s="29" t="str">
        <x:v>974.85</x:v>
      </x:c>
      <x:c r="O611" s="29" t="str">
        <x:v>311.58</x:v>
      </x:c>
      <x:c r="P611" s="18" t="str">
        <x:v>2026-08-04</x:v>
      </x:c>
      <x:c r="Q611" s="36" t="n">
        <x:v>46238</x:v>
      </x:c>
    </x:row>
    <x:row r="612">
      <x:c r="A612" s="36" t="str">
        <x:v>2026-08-04</x:v>
      </x:c>
      <x:c r="B612" s="18" t="str">
        <x:v>101437000_98863</x:v>
      </x:c>
      <x:c r="C612" s="18" t="str">
        <x:v>【沪村小电】欣菊苑充电站</x:v>
      </x:c>
      <x:c r="D612" s="37" t="str">
        <x:v>4</x:v>
      </x:c>
      <x:c r="E612" s="37" t="str">
        <x:v>0</x:v>
      </x:c>
      <x:c r="F612" s="37" t="str">
        <x:v>11</x:v>
      </x:c>
      <x:c r="G612" s="37" t="str">
        <x:v>243.75</x:v>
      </x:c>
      <x:c r="H612" s="37" t="str">
        <x:v>0.00</x:v>
      </x:c>
      <x:c r="I612" s="37" t="str">
        <x:v>243.75</x:v>
      </x:c>
      <x:c r="J612" s="37" t="str">
        <x:v>0.00</x:v>
      </x:c>
      <x:c r="K612" s="37" t="str">
        <x:v>0.00</x:v>
      </x:c>
      <x:c r="L612" s="37" t="str">
        <x:v>354</x:v>
      </x:c>
      <x:c r="M612" s="29" t="str">
        <x:v>238.94</x:v>
      </x:c>
      <x:c r="N612" s="29" t="str">
        <x:v>173.08</x:v>
      </x:c>
      <x:c r="O612" s="29" t="str">
        <x:v>65.86</x:v>
      </x:c>
      <x:c r="P612" s="18" t="str">
        <x:v>2026-08-04</x:v>
      </x:c>
      <x:c r="Q612" s="36" t="n">
        <x:v>46238</x:v>
      </x:c>
    </x:row>
    <x:row r="613">
      <x:c r="A613" s="36" t="str">
        <x:v>2026-08-04</x:v>
      </x:c>
      <x:c r="B613" s="18" t="str">
        <x:v>101437000_98867</x:v>
      </x:c>
      <x:c r="C613" s="18" t="str">
        <x:v>【沪村小电】欣荷苑充电站</x:v>
      </x:c>
      <x:c r="D613" s="37" t="str">
        <x:v>4</x:v>
      </x:c>
      <x:c r="E613" s="37" t="str">
        <x:v>0</x:v>
      </x:c>
      <x:c r="F613" s="37" t="str">
        <x:v>14</x:v>
      </x:c>
      <x:c r="G613" s="37" t="str">
        <x:v>368.46</x:v>
      </x:c>
      <x:c r="H613" s="37" t="str">
        <x:v>0.00</x:v>
      </x:c>
      <x:c r="I613" s="37" t="str">
        <x:v>338.19</x:v>
      </x:c>
      <x:c r="J613" s="37" t="str">
        <x:v>0.00</x:v>
      </x:c>
      <x:c r="K613" s="37" t="str">
        <x:v>30.27</x:v>
      </x:c>
      <x:c r="L613" s="37" t="str">
        <x:v>522</x:v>
      </x:c>
      <x:c r="M613" s="29" t="str">
        <x:v>332.10</x:v>
      </x:c>
      <x:c r="N613" s="29" t="str">
        <x:v>251.32</x:v>
      </x:c>
      <x:c r="O613" s="29" t="str">
        <x:v>80.78</x:v>
      </x:c>
      <x:c r="P613" s="18" t="str">
        <x:v>2026-08-04</x:v>
      </x:c>
      <x:c r="Q613" s="36" t="n">
        <x:v>46238</x:v>
      </x:c>
    </x:row>
    <x:row r="614">
      <x:c r="A614" s="36" t="str">
        <x:v>2026-08-04</x:v>
      </x:c>
      <x:c r="B614" s="18" t="str">
        <x:v>101437000_99885</x:v>
      </x:c>
      <x:c r="C614" s="18" t="str">
        <x:v>【沪村小电】汇丰馨苑充电站</x:v>
      </x:c>
      <x:c r="D614" s="37" t="str">
        <x:v>4</x:v>
      </x:c>
      <x:c r="E614" s="37" t="str">
        <x:v>0</x:v>
      </x:c>
      <x:c r="F614" s="37" t="str">
        <x:v>4</x:v>
      </x:c>
      <x:c r="G614" s="37" t="str">
        <x:v>44.78</x:v>
      </x:c>
      <x:c r="H614" s="37" t="str">
        <x:v>0.00</x:v>
      </x:c>
      <x:c r="I614" s="37" t="str">
        <x:v>44.78</x:v>
      </x:c>
      <x:c r="J614" s="37" t="str">
        <x:v>0.00</x:v>
      </x:c>
      <x:c r="K614" s="37" t="str">
        <x:v>0.00</x:v>
      </x:c>
      <x:c r="L614" s="37" t="str">
        <x:v>68</x:v>
      </x:c>
      <x:c r="M614" s="29" t="str">
        <x:v>53.28</x:v>
      </x:c>
      <x:c r="N614" s="29" t="str">
        <x:v>31.78</x:v>
      </x:c>
      <x:c r="O614" s="29" t="str">
        <x:v>21.50</x:v>
      </x:c>
      <x:c r="P614" s="18" t="str">
        <x:v>2026-08-04</x:v>
      </x:c>
      <x:c r="Q614" s="36" t="n">
        <x:v>46238</x:v>
      </x:c>
    </x:row>
    <x:row r="615">
      <x:c r="A615" s="36" t="str">
        <x:v>2026-08-04</x:v>
      </x:c>
      <x:c r="B615" s="18" t="str">
        <x:v>101437000_99887</x:v>
      </x:c>
      <x:c r="C615" s="18" t="str">
        <x:v>【沪村小电】新南村河南小区充电站</x:v>
      </x:c>
      <x:c r="D615" s="37" t="str">
        <x:v>2</x:v>
      </x:c>
      <x:c r="E615" s="37" t="str">
        <x:v>0</x:v>
      </x:c>
      <x:c r="F615" s="37" t="str">
        <x:v>15</x:v>
      </x:c>
      <x:c r="G615" s="37" t="str">
        <x:v>382.87</x:v>
      </x:c>
      <x:c r="H615" s="37" t="str">
        <x:v>0.00</x:v>
      </x:c>
      <x:c r="I615" s="37" t="str">
        <x:v>187.62</x:v>
      </x:c>
      <x:c r="J615" s="37" t="str">
        <x:v>0.00</x:v>
      </x:c>
      <x:c r="K615" s="37" t="str">
        <x:v>195.25</x:v>
      </x:c>
      <x:c r="L615" s="37" t="str">
        <x:v>645</x:v>
      </x:c>
      <x:c r="M615" s="29" t="str">
        <x:v>277.91</x:v>
      </x:c>
      <x:c r="N615" s="29" t="str">
        <x:v>205.47</x:v>
      </x:c>
      <x:c r="O615" s="29" t="str">
        <x:v>72.44</x:v>
      </x:c>
      <x:c r="P615" s="18" t="str">
        <x:v>2026-08-04</x:v>
      </x:c>
      <x:c r="Q615" s="36" t="n">
        <x:v>46238</x:v>
      </x:c>
    </x:row>
    <x:row r="616">
      <x:c r="A616" s="36" t="str">
        <x:v>2026-08-04</x:v>
      </x:c>
      <x:c r="B616" s="18" t="str">
        <x:v>101437000_99889</x:v>
      </x:c>
      <x:c r="C616" s="18" t="str">
        <x:v>【沪村小电】漕泾郊野公园</x:v>
      </x:c>
      <x:c r="D616" s="37" t="str">
        <x:v>2</x:v>
      </x:c>
      <x:c r="E616" s="37" t="str">
        <x:v>0</x:v>
      </x:c>
      <x:c r="F616" s="37" t="str">
        <x:v>6</x:v>
      </x:c>
      <x:c r="G616" s="37" t="str">
        <x:v>158.97</x:v>
      </x:c>
      <x:c r="H616" s="37" t="str">
        <x:v>0.00</x:v>
      </x:c>
      <x:c r="I616" s="37" t="str">
        <x:v>134.95</x:v>
      </x:c>
      <x:c r="J616" s="37" t="str">
        <x:v>0.00</x:v>
      </x:c>
      <x:c r="K616" s="37" t="str">
        <x:v>24.02</x:v>
      </x:c>
      <x:c r="L616" s="37" t="str">
        <x:v>190</x:v>
      </x:c>
      <x:c r="M616" s="29" t="str">
        <x:v>181.41</x:v>
      </x:c>
      <x:c r="N616" s="29" t="str">
        <x:v>116.98</x:v>
      </x:c>
      <x:c r="O616" s="29" t="str">
        <x:v>64.43</x:v>
      </x:c>
      <x:c r="P616" s="18" t="str">
        <x:v>2026-08-04</x:v>
      </x:c>
      <x:c r="Q616" s="36" t="n">
        <x:v>46238</x:v>
      </x:c>
    </x:row>
    <x:row r="617">
      <x:c r="A617" s="36" t="str">
        <x:v>2026-08-04</x:v>
      </x:c>
      <x:c r="B617" s="18" t="str">
        <x:v>101437000_99891</x:v>
      </x:c>
      <x:c r="C617" s="18" t="str">
        <x:v>【沪村小电】水韵紫城充电站</x:v>
      </x:c>
      <x:c r="D617" s="37" t="str">
        <x:v>4</x:v>
      </x:c>
      <x:c r="E617" s="37" t="str">
        <x:v>0</x:v>
      </x:c>
      <x:c r="F617" s="37" t="str">
        <x:v>39</x:v>
      </x:c>
      <x:c r="G617" s="37" t="str">
        <x:v>961.37</x:v>
      </x:c>
      <x:c r="H617" s="37" t="str">
        <x:v>0.00</x:v>
      </x:c>
      <x:c r="I617" s="37" t="str">
        <x:v>685.60</x:v>
      </x:c>
      <x:c r="J617" s="37" t="str">
        <x:v>0.00</x:v>
      </x:c>
      <x:c r="K617" s="37" t="str">
        <x:v>275.77</x:v>
      </x:c>
      <x:c r="L617" s="37" t="str">
        <x:v>1542</x:v>
      </x:c>
      <x:c r="M617" s="29" t="str">
        <x:v>876.05</x:v>
      </x:c>
      <x:c r="N617" s="29" t="str">
        <x:v>588.80</x:v>
      </x:c>
      <x:c r="O617" s="29" t="str">
        <x:v>287.25</x:v>
      </x:c>
      <x:c r="P617" s="18" t="str">
        <x:v>2026-08-04</x:v>
      </x:c>
      <x:c r="Q617" s="36" t="n">
        <x:v>46238</x:v>
      </x:c>
    </x:row>
    <x:row r="618">
      <x:c r="A618" s="36" t="str">
        <x:v>2026-08-03</x:v>
      </x:c>
      <x:c r="B618" s="18" t="str">
        <x:v>101437000_100523</x:v>
      </x:c>
      <x:c r="C618" s="18" t="str">
        <x:v>【沪村小电】民旺苑南区</x:v>
      </x:c>
      <x:c r="D618" s="37" t="str">
        <x:v>4</x:v>
      </x:c>
      <x:c r="E618" s="37" t="str">
        <x:v>0</x:v>
      </x:c>
      <x:c r="F618" s="37" t="str">
        <x:v>6</x:v>
      </x:c>
      <x:c r="G618" s="37" t="str">
        <x:v>131.02</x:v>
      </x:c>
      <x:c r="H618" s="37" t="str">
        <x:v>0.00</x:v>
      </x:c>
      <x:c r="I618" s="37" t="str">
        <x:v>90.52</x:v>
      </x:c>
      <x:c r="J618" s="37" t="str">
        <x:v>0.00</x:v>
      </x:c>
      <x:c r="K618" s="37" t="str">
        <x:v>40.50</x:v>
      </x:c>
      <x:c r="L618" s="37" t="str">
        <x:v>210</x:v>
      </x:c>
      <x:c r="M618" s="29" t="str">
        <x:v>141.36</x:v>
      </x:c>
      <x:c r="N618" s="29" t="str">
        <x:v>83.31</x:v>
      </x:c>
      <x:c r="O618" s="29" t="str">
        <x:v>58.05</x:v>
      </x:c>
      <x:c r="P618" s="18" t="str">
        <x:v>2026-08-03</x:v>
      </x:c>
      <x:c r="Q618" s="36" t="n">
        <x:v>46237</x:v>
      </x:c>
    </x:row>
    <x:row r="619">
      <x:c r="A619" s="36" t="str">
        <x:v>2026-08-03</x:v>
      </x:c>
      <x:c r="B619" s="18" t="str">
        <x:v>101437000_101531</x:v>
      </x:c>
      <x:c r="C619" s="18" t="str">
        <x:v>【沪村小电】汇中苑充电站</x:v>
      </x:c>
      <x:c r="D619" s="37" t="str">
        <x:v>2</x:v>
      </x:c>
      <x:c r="E619" s="37" t="str">
        <x:v>0</x:v>
      </x:c>
      <x:c r="F619" s="37" t="str">
        <x:v>18</x:v>
      </x:c>
      <x:c r="G619" s="37" t="str">
        <x:v>382.20</x:v>
      </x:c>
      <x:c r="H619" s="37" t="str">
        <x:v>0.00</x:v>
      </x:c>
      <x:c r="I619" s="37" t="str">
        <x:v>104.05</x:v>
      </x:c>
      <x:c r="J619" s="37" t="str">
        <x:v>181.33</x:v>
      </x:c>
      <x:c r="K619" s="37" t="str">
        <x:v>96.83</x:v>
      </x:c>
      <x:c r="L619" s="37" t="str">
        <x:v>528</x:v>
      </x:c>
      <x:c r="M619" s="29" t="str">
        <x:v>440.98</x:v>
      </x:c>
      <x:c r="N619" s="29" t="str">
        <x:v>276.99</x:v>
      </x:c>
      <x:c r="O619" s="29" t="str">
        <x:v>163.99</x:v>
      </x:c>
      <x:c r="P619" s="18" t="str">
        <x:v>2026-08-03</x:v>
      </x:c>
      <x:c r="Q619" s="36" t="n">
        <x:v>46237</x:v>
      </x:c>
    </x:row>
    <x:row r="620">
      <x:c r="A620" s="36" t="str">
        <x:v>2026-08-03</x:v>
      </x:c>
      <x:c r="B620" s="18" t="str">
        <x:v>101437000_102047</x:v>
      </x:c>
      <x:c r="C620" s="18" t="str">
        <x:v>【沪村小电】后浜小区9弄小区南面停车场充电站</x:v>
      </x:c>
      <x:c r="D620" s="37" t="str">
        <x:v>8</x:v>
      </x:c>
      <x:c r="E620" s="37" t="str">
        <x:v>0</x:v>
      </x:c>
      <x:c r="F620" s="37" t="str">
        <x:v>58</x:v>
      </x:c>
      <x:c r="G620" s="37" t="str">
        <x:v>1310.98</x:v>
      </x:c>
      <x:c r="H620" s="37" t="str">
        <x:v>0.00</x:v>
      </x:c>
      <x:c r="I620" s="37" t="str">
        <x:v>910.50</x:v>
      </x:c>
      <x:c r="J620" s="37" t="str">
        <x:v>0.00</x:v>
      </x:c>
      <x:c r="K620" s="37" t="str">
        <x:v>400.48</x:v>
      </x:c>
      <x:c r="L620" s="37" t="str">
        <x:v>2004</x:v>
      </x:c>
      <x:c r="M620" s="29" t="str">
        <x:v>1333.24</x:v>
      </x:c>
      <x:c r="N620" s="29" t="str">
        <x:v>834.68</x:v>
      </x:c>
      <x:c r="O620" s="29" t="str">
        <x:v>498.56</x:v>
      </x:c>
      <x:c r="P620" s="18" t="str">
        <x:v>2026-08-03</x:v>
      </x:c>
      <x:c r="Q620" s="36" t="n">
        <x:v>46237</x:v>
      </x:c>
    </x:row>
    <x:row r="621">
      <x:c r="A621" s="36" t="str">
        <x:v>2026-08-03</x:v>
      </x:c>
      <x:c r="B621" s="18" t="str">
        <x:v>101437000_103503</x:v>
      </x:c>
      <x:c r="C621" s="18" t="str">
        <x:v>【沪村小电】阳光城新界充电站</x:v>
      </x:c>
      <x:c r="D621" s="37" t="str">
        <x:v>4</x:v>
      </x:c>
      <x:c r="E621" s="37" t="str">
        <x:v>0</x:v>
      </x:c>
      <x:c r="F621" s="37" t="str">
        <x:v>29</x:v>
      </x:c>
      <x:c r="G621" s="37" t="str">
        <x:v>543.64</x:v>
      </x:c>
      <x:c r="H621" s="37" t="str">
        <x:v>0.00</x:v>
      </x:c>
      <x:c r="I621" s="37" t="str">
        <x:v>512.11</x:v>
      </x:c>
      <x:c r="J621" s="37" t="str">
        <x:v>0.00</x:v>
      </x:c>
      <x:c r="K621" s="37" t="str">
        <x:v>31.53</x:v>
      </x:c>
      <x:c r="L621" s="37" t="str">
        <x:v>882</x:v>
      </x:c>
      <x:c r="M621" s="29" t="str">
        <x:v>622.95</x:v>
      </x:c>
      <x:c r="N621" s="29" t="str">
        <x:v>412.05</x:v>
      </x:c>
      <x:c r="O621" s="29" t="str">
        <x:v>210.90</x:v>
      </x:c>
      <x:c r="P621" s="18" t="str">
        <x:v>2026-08-03</x:v>
      </x:c>
      <x:c r="Q621" s="36" t="n">
        <x:v>46237</x:v>
      </x:c>
    </x:row>
    <x:row r="622">
      <x:c r="A622" s="36" t="str">
        <x:v>2026-08-03</x:v>
      </x:c>
      <x:c r="B622" s="18" t="str">
        <x:v>101437000_41561</x:v>
      </x:c>
      <x:c r="C622" s="18" t="str">
        <x:v>【沪村小电】张施小区大门处快充站</x:v>
      </x:c>
      <x:c r="D622" s="37" t="str">
        <x:v>2</x:v>
      </x:c>
      <x:c r="E622" s="37" t="str">
        <x:v>0</x:v>
      </x:c>
      <x:c r="F622" s="37" t="str">
        <x:v>50</x:v>
      </x:c>
      <x:c r="G622" s="37" t="str">
        <x:v>1366.71</x:v>
      </x:c>
      <x:c r="H622" s="37" t="str">
        <x:v>0.00</x:v>
      </x:c>
      <x:c r="I622" s="37" t="str">
        <x:v>711.10</x:v>
      </x:c>
      <x:c r="J622" s="37" t="str">
        <x:v>0.00</x:v>
      </x:c>
      <x:c r="K622" s="37" t="str">
        <x:v>655.62</x:v>
      </x:c>
      <x:c r="L622" s="37" t="str">
        <x:v>2393</x:v>
      </x:c>
      <x:c r="M622" s="29" t="str">
        <x:v>1112.13</x:v>
      </x:c>
      <x:c r="N622" s="29" t="str">
        <x:v>747.53</x:v>
      </x:c>
      <x:c r="O622" s="29" t="str">
        <x:v>364.60</x:v>
      </x:c>
      <x:c r="P622" s="18" t="str">
        <x:v>2026-08-03</x:v>
      </x:c>
      <x:c r="Q622" s="36" t="n">
        <x:v>46237</x:v>
      </x:c>
    </x:row>
    <x:row r="623">
      <x:c r="A623" s="36" t="str">
        <x:v>2026-08-03</x:v>
      </x:c>
      <x:c r="B623" s="18" t="str">
        <x:v>101437000_41563</x:v>
      </x:c>
      <x:c r="C623" s="18" t="str">
        <x:v>【沪村小电】同心村快充站</x:v>
      </x:c>
      <x:c r="D623" s="37" t="str">
        <x:v>4</x:v>
      </x:c>
      <x:c r="E623" s="37" t="str">
        <x:v>0</x:v>
      </x:c>
      <x:c r="F623" s="37" t="str">
        <x:v>60</x:v>
      </x:c>
      <x:c r="G623" s="37" t="str">
        <x:v>1511.34</x:v>
      </x:c>
      <x:c r="H623" s="37" t="str">
        <x:v>0.00</x:v>
      </x:c>
      <x:c r="I623" s="37" t="str">
        <x:v>945.48</x:v>
      </x:c>
      <x:c r="J623" s="37" t="str">
        <x:v>0.00</x:v>
      </x:c>
      <x:c r="K623" s="37" t="str">
        <x:v>565.87</x:v>
      </x:c>
      <x:c r="L623" s="37" t="str">
        <x:v>2655</x:v>
      </x:c>
      <x:c r="M623" s="29" t="str">
        <x:v>1354.58</x:v>
      </x:c>
      <x:c r="N623" s="29" t="str">
        <x:v>880.68</x:v>
      </x:c>
      <x:c r="O623" s="29" t="str">
        <x:v>473.90</x:v>
      </x:c>
      <x:c r="P623" s="18" t="str">
        <x:v>2026-08-03</x:v>
      </x:c>
      <x:c r="Q623" s="36" t="n">
        <x:v>46237</x:v>
      </x:c>
    </x:row>
    <x:row r="624">
      <x:c r="A624" s="36" t="str">
        <x:v>2026-08-03</x:v>
      </x:c>
      <x:c r="B624" s="18" t="str">
        <x:v>101437000_69629</x:v>
      </x:c>
      <x:c r="C624" s="18" t="str">
        <x:v>【沪村小电】骏丰玲珑坊西苑充电站</x:v>
      </x:c>
      <x:c r="D624" s="37" t="str">
        <x:v>2</x:v>
      </x:c>
      <x:c r="E624" s="37" t="str">
        <x:v>0</x:v>
      </x:c>
      <x:c r="F624" s="37" t="str">
        <x:v>72</x:v>
      </x:c>
      <x:c r="G624" s="37" t="str">
        <x:v>1524.35</x:v>
      </x:c>
      <x:c r="H624" s="37" t="str">
        <x:v>0.00</x:v>
      </x:c>
      <x:c r="I624" s="37" t="str">
        <x:v>954.51</x:v>
      </x:c>
      <x:c r="J624" s="37" t="str">
        <x:v>0.00</x:v>
      </x:c>
      <x:c r="K624" s="37" t="str">
        <x:v>569.84</x:v>
      </x:c>
      <x:c r="L624" s="37" t="str">
        <x:v>2552</x:v>
      </x:c>
      <x:c r="M624" s="29" t="str">
        <x:v>1302.68</x:v>
      </x:c>
      <x:c r="N624" s="29" t="str">
        <x:v>888.53</x:v>
      </x:c>
      <x:c r="O624" s="29" t="str">
        <x:v>414.15</x:v>
      </x:c>
      <x:c r="P624" s="18" t="str">
        <x:v>2026-08-03</x:v>
      </x:c>
      <x:c r="Q624" s="36" t="n">
        <x:v>46237</x:v>
      </x:c>
    </x:row>
    <x:row r="625">
      <x:c r="A625" s="36" t="str">
        <x:v>2026-08-03</x:v>
      </x:c>
      <x:c r="B625" s="18" t="str">
        <x:v>101437000_70547</x:v>
      </x:c>
      <x:c r="C625" s="18" t="str">
        <x:v>【沪村小电】农建村初心馆党群服务中心充电站</x:v>
      </x:c>
      <x:c r="D625" s="37" t="str">
        <x:v>4</x:v>
      </x:c>
      <x:c r="E625" s="37" t="str">
        <x:v>0</x:v>
      </x:c>
      <x:c r="F625" s="37" t="str">
        <x:v>33</x:v>
      </x:c>
      <x:c r="G625" s="37" t="str">
        <x:v>782.62</x:v>
      </x:c>
      <x:c r="H625" s="37" t="str">
        <x:v>0.00</x:v>
      </x:c>
      <x:c r="I625" s="37" t="str">
        <x:v>446.30</x:v>
      </x:c>
      <x:c r="J625" s="37" t="str">
        <x:v>0.00</x:v>
      </x:c>
      <x:c r="K625" s="37" t="str">
        <x:v>336.32</x:v>
      </x:c>
      <x:c r="L625" s="37" t="str">
        <x:v>1288</x:v>
      </x:c>
      <x:c r="M625" s="29" t="str">
        <x:v>709.54</x:v>
      </x:c>
      <x:c r="N625" s="29" t="str">
        <x:v>441.34</x:v>
      </x:c>
      <x:c r="O625" s="29" t="str">
        <x:v>268.20</x:v>
      </x:c>
      <x:c r="P625" s="18" t="str">
        <x:v>2026-08-03</x:v>
      </x:c>
      <x:c r="Q625" s="36" t="n">
        <x:v>46237</x:v>
      </x:c>
    </x:row>
    <x:row r="626">
      <x:c r="A626" s="36" t="str">
        <x:v>2026-08-03</x:v>
      </x:c>
      <x:c r="B626" s="18" t="str">
        <x:v>101437000_70549</x:v>
      </x:c>
      <x:c r="C626" s="18" t="str">
        <x:v>【沪村小电】学府路充电站</x:v>
      </x:c>
      <x:c r="D626" s="37" t="str">
        <x:v>2</x:v>
      </x:c>
      <x:c r="E626" s="37" t="str">
        <x:v>0</x:v>
      </x:c>
      <x:c r="F626" s="37" t="str">
        <x:v>11</x:v>
      </x:c>
      <x:c r="G626" s="37" t="str">
        <x:v>281.42</x:v>
      </x:c>
      <x:c r="H626" s="37" t="str">
        <x:v>0.00</x:v>
      </x:c>
      <x:c r="I626" s="37" t="str">
        <x:v>162.35</x:v>
      </x:c>
      <x:c r="J626" s="37" t="str">
        <x:v>0.00</x:v>
      </x:c>
      <x:c r="K626" s="37" t="str">
        <x:v>119.06</x:v>
      </x:c>
      <x:c r="L626" s="37" t="str">
        <x:v>417</x:v>
      </x:c>
      <x:c r="M626" s="29" t="str">
        <x:v>289.18</x:v>
      </x:c>
      <x:c r="N626" s="29" t="str">
        <x:v>159.33</x:v>
      </x:c>
      <x:c r="O626" s="29" t="str">
        <x:v>129.85</x:v>
      </x:c>
      <x:c r="P626" s="18" t="str">
        <x:v>2026-08-03</x:v>
      </x:c>
      <x:c r="Q626" s="36" t="n">
        <x:v>46237</x:v>
      </x:c>
    </x:row>
    <x:row r="627">
      <x:c r="A627" s="36" t="str">
        <x:v>2026-08-03</x:v>
      </x:c>
      <x:c r="B627" s="18" t="str">
        <x:v>101437000_71059</x:v>
      </x:c>
      <x:c r="C627" s="18" t="str">
        <x:v>【沪村小电】宝乐汇商业广场站</x:v>
      </x:c>
      <x:c r="D627" s="37" t="str">
        <x:v>4</x:v>
      </x:c>
      <x:c r="E627" s="37" t="str">
        <x:v>0</x:v>
      </x:c>
      <x:c r="F627" s="37" t="str">
        <x:v>27</x:v>
      </x:c>
      <x:c r="G627" s="37" t="str">
        <x:v>638.67</x:v>
      </x:c>
      <x:c r="H627" s="37" t="str">
        <x:v>0.00</x:v>
      </x:c>
      <x:c r="I627" s="37" t="str">
        <x:v>321.86</x:v>
      </x:c>
      <x:c r="J627" s="37" t="str">
        <x:v>0.00</x:v>
      </x:c>
      <x:c r="K627" s="37" t="str">
        <x:v>316.81</x:v>
      </x:c>
      <x:c r="L627" s="37" t="str">
        <x:v>1042</x:v>
      </x:c>
      <x:c r="M627" s="29" t="str">
        <x:v>641.94</x:v>
      </x:c>
      <x:c r="N627" s="29" t="str">
        <x:v>435.44</x:v>
      </x:c>
      <x:c r="O627" s="29" t="str">
        <x:v>206.50</x:v>
      </x:c>
      <x:c r="P627" s="18" t="str">
        <x:v>2026-08-03</x:v>
      </x:c>
      <x:c r="Q627" s="36" t="n">
        <x:v>46237</x:v>
      </x:c>
    </x:row>
    <x:row r="628">
      <x:c r="A628" s="36" t="str">
        <x:v>2026-08-03</x:v>
      </x:c>
      <x:c r="B628" s="18" t="str">
        <x:v>101437000_72541</x:v>
      </x:c>
      <x:c r="C628" s="18" t="str">
        <x:v>【沪村小电】九干路1174弄充电站</x:v>
      </x:c>
      <x:c r="D628" s="37" t="str">
        <x:v>2</x:v>
      </x:c>
      <x:c r="E628" s="37" t="str">
        <x:v>0</x:v>
      </x:c>
      <x:c r="F628" s="37" t="str">
        <x:v>57</x:v>
      </x:c>
      <x:c r="G628" s="37" t="str">
        <x:v>1216.88</x:v>
      </x:c>
      <x:c r="H628" s="37" t="str">
        <x:v>0.00</x:v>
      </x:c>
      <x:c r="I628" s="37" t="str">
        <x:v>701.01</x:v>
      </x:c>
      <x:c r="J628" s="37" t="str">
        <x:v>0.00</x:v>
      </x:c>
      <x:c r="K628" s="37" t="str">
        <x:v>515.87</x:v>
      </x:c>
      <x:c r="L628" s="37" t="str">
        <x:v>2183</x:v>
      </x:c>
      <x:c r="M628" s="29" t="str">
        <x:v>1044.57</x:v>
      </x:c>
      <x:c r="N628" s="29" t="str">
        <x:v>688.58</x:v>
      </x:c>
      <x:c r="O628" s="29" t="str">
        <x:v>355.99</x:v>
      </x:c>
      <x:c r="P628" s="18" t="str">
        <x:v>2026-08-03</x:v>
      </x:c>
      <x:c r="Q628" s="36" t="n">
        <x:v>46237</x:v>
      </x:c>
    </x:row>
    <x:row r="629">
      <x:c r="A629" s="36" t="str">
        <x:v>2026-08-03</x:v>
      </x:c>
      <x:c r="B629" s="18" t="str">
        <x:v>101437000_72543</x:v>
      </x:c>
      <x:c r="C629" s="18" t="str">
        <x:v>【沪村小电】叶家中心村小区充电站</x:v>
      </x:c>
      <x:c r="D629" s="37" t="str">
        <x:v>2</x:v>
      </x:c>
      <x:c r="E629" s="37" t="str">
        <x:v>0</x:v>
      </x:c>
      <x:c r="F629" s="37" t="str">
        <x:v>38</x:v>
      </x:c>
      <x:c r="G629" s="37" t="str">
        <x:v>950.66</x:v>
      </x:c>
      <x:c r="H629" s="37" t="str">
        <x:v>0.00</x:v>
      </x:c>
      <x:c r="I629" s="37" t="str">
        <x:v>465.61</x:v>
      </x:c>
      <x:c r="J629" s="37" t="str">
        <x:v>0.00</x:v>
      </x:c>
      <x:c r="K629" s="37" t="str">
        <x:v>485.05</x:v>
      </x:c>
      <x:c r="L629" s="37" t="str">
        <x:v>1771</x:v>
      </x:c>
      <x:c r="M629" s="29" t="str">
        <x:v>751.52</x:v>
      </x:c>
      <x:c r="N629" s="29" t="str">
        <x:v>510.03</x:v>
      </x:c>
      <x:c r="O629" s="29" t="str">
        <x:v>241.49</x:v>
      </x:c>
      <x:c r="P629" s="18" t="str">
        <x:v>2026-08-03</x:v>
      </x:c>
      <x:c r="Q629" s="36" t="n">
        <x:v>46237</x:v>
      </x:c>
    </x:row>
    <x:row r="630">
      <x:c r="A630" s="36" t="str">
        <x:v>2026-08-03</x:v>
      </x:c>
      <x:c r="B630" s="18" t="str">
        <x:v>101437000_72937</x:v>
      </x:c>
      <x:c r="C630" s="18" t="str">
        <x:v>【沪村小电】佘北家园茸腾苑充电站</x:v>
      </x:c>
      <x:c r="D630" s="37" t="str">
        <x:v>4</x:v>
      </x:c>
      <x:c r="E630" s="37" t="str">
        <x:v>0</x:v>
      </x:c>
      <x:c r="F630" s="37" t="str">
        <x:v>22</x:v>
      </x:c>
      <x:c r="G630" s="37" t="str">
        <x:v>566.42</x:v>
      </x:c>
      <x:c r="H630" s="37" t="str">
        <x:v>0.00</x:v>
      </x:c>
      <x:c r="I630" s="37" t="str">
        <x:v>566.42</x:v>
      </x:c>
      <x:c r="J630" s="37" t="str">
        <x:v>0.00</x:v>
      </x:c>
      <x:c r="K630" s="37" t="str">
        <x:v>0.00</x:v>
      </x:c>
      <x:c r="L630" s="37" t="str">
        <x:v>840</x:v>
      </x:c>
      <x:c r="M630" s="29" t="str">
        <x:v>597.53</x:v>
      </x:c>
      <x:c r="N630" s="29" t="str">
        <x:v>402.14</x:v>
      </x:c>
      <x:c r="O630" s="29" t="str">
        <x:v>195.39</x:v>
      </x:c>
      <x:c r="P630" s="18" t="str">
        <x:v>2026-08-03</x:v>
      </x:c>
      <x:c r="Q630" s="36" t="n">
        <x:v>46237</x:v>
      </x:c>
    </x:row>
    <x:row r="631">
      <x:c r="A631" s="36" t="str">
        <x:v>2026-08-03</x:v>
      </x:c>
      <x:c r="B631" s="18" t="str">
        <x:v>101437000_74223</x:v>
      </x:c>
      <x:c r="C631" s="18" t="str">
        <x:v>【沪村小电】中兴村委会充电站</x:v>
      </x:c>
      <x:c r="D631" s="37" t="str">
        <x:v>2</x:v>
      </x:c>
      <x:c r="E631" s="37" t="str">
        <x:v>0</x:v>
      </x:c>
      <x:c r="F631" s="37" t="str">
        <x:v>30</x:v>
      </x:c>
      <x:c r="G631" s="37" t="str">
        <x:v>761.01</x:v>
      </x:c>
      <x:c r="H631" s="37" t="str">
        <x:v>0.00</x:v>
      </x:c>
      <x:c r="I631" s="37" t="str">
        <x:v>503.60</x:v>
      </x:c>
      <x:c r="J631" s="37" t="str">
        <x:v>0.00</x:v>
      </x:c>
      <x:c r="K631" s="37" t="str">
        <x:v>257.41</x:v>
      </x:c>
      <x:c r="L631" s="37" t="str">
        <x:v>1234</x:v>
      </x:c>
      <x:c r="M631" s="29" t="str">
        <x:v>708.94</x:v>
      </x:c>
      <x:c r="N631" s="29" t="str">
        <x:v>452.77</x:v>
      </x:c>
      <x:c r="O631" s="29" t="str">
        <x:v>256.17</x:v>
      </x:c>
      <x:c r="P631" s="18" t="str">
        <x:v>2026-08-03</x:v>
      </x:c>
      <x:c r="Q631" s="36" t="n">
        <x:v>46237</x:v>
      </x:c>
    </x:row>
    <x:row r="632">
      <x:c r="A632" s="36" t="str">
        <x:v>2026-08-03</x:v>
      </x:c>
      <x:c r="B632" s="18" t="str">
        <x:v>101437000_74801</x:v>
      </x:c>
      <x:c r="C632" s="18" t="str">
        <x:v>【沪村小电】申良花园充电站</x:v>
      </x:c>
      <x:c r="D632" s="37" t="str">
        <x:v>4</x:v>
      </x:c>
      <x:c r="E632" s="37" t="str">
        <x:v>0</x:v>
      </x:c>
      <x:c r="F632" s="37" t="str">
        <x:v>23</x:v>
      </x:c>
      <x:c r="G632" s="37" t="str">
        <x:v>399.23</x:v>
      </x:c>
      <x:c r="H632" s="37" t="str">
        <x:v>0.00</x:v>
      </x:c>
      <x:c r="I632" s="37" t="str">
        <x:v>347.52</x:v>
      </x:c>
      <x:c r="J632" s="37" t="str">
        <x:v>0.00</x:v>
      </x:c>
      <x:c r="K632" s="37" t="str">
        <x:v>51.71</x:v>
      </x:c>
      <x:c r="L632" s="37" t="str">
        <x:v>562</x:v>
      </x:c>
      <x:c r="M632" s="29" t="str">
        <x:v>434.61</x:v>
      </x:c>
      <x:c r="N632" s="29" t="str">
        <x:v>265.86</x:v>
      </x:c>
      <x:c r="O632" s="29" t="str">
        <x:v>168.75</x:v>
      </x:c>
      <x:c r="P632" s="18" t="str">
        <x:v>2026-08-03</x:v>
      </x:c>
      <x:c r="Q632" s="36" t="n">
        <x:v>46237</x:v>
      </x:c>
    </x:row>
    <x:row r="633">
      <x:c r="A633" s="36" t="str">
        <x:v>2026-08-03</x:v>
      </x:c>
      <x:c r="B633" s="18" t="str">
        <x:v>101437000_74931</x:v>
      </x:c>
      <x:c r="C633" s="18" t="str">
        <x:v>【沪村小电】枫雅南居充电站</x:v>
      </x:c>
      <x:c r="D633" s="37" t="str">
        <x:v>2</x:v>
      </x:c>
      <x:c r="E633" s="37" t="str">
        <x:v>0</x:v>
      </x:c>
      <x:c r="F633" s="37" t="str">
        <x:v>58</x:v>
      </x:c>
      <x:c r="G633" s="37" t="str">
        <x:v>1308.24</x:v>
      </x:c>
      <x:c r="H633" s="37" t="str">
        <x:v>0.00</x:v>
      </x:c>
      <x:c r="I633" s="37" t="str">
        <x:v>711.19</x:v>
      </x:c>
      <x:c r="J633" s="37" t="str">
        <x:v>0.00</x:v>
      </x:c>
      <x:c r="K633" s="37" t="str">
        <x:v>597.04</x:v>
      </x:c>
      <x:c r="L633" s="37" t="str">
        <x:v>2134</x:v>
      </x:c>
      <x:c r="M633" s="29" t="str">
        <x:v>923.26</x:v>
      </x:c>
      <x:c r="N633" s="29" t="str">
        <x:v>604.69</x:v>
      </x:c>
      <x:c r="O633" s="29" t="str">
        <x:v>318.57</x:v>
      </x:c>
      <x:c r="P633" s="18" t="str">
        <x:v>2026-08-03</x:v>
      </x:c>
      <x:c r="Q633" s="36" t="n">
        <x:v>46237</x:v>
      </x:c>
    </x:row>
    <x:row r="634">
      <x:c r="A634" s="36" t="str">
        <x:v>2026-08-03</x:v>
      </x:c>
      <x:c r="B634" s="18" t="str">
        <x:v>101437000_75901</x:v>
      </x:c>
      <x:c r="C634" s="18" t="str">
        <x:v>【沪村小电】金悦学府</x:v>
      </x:c>
      <x:c r="D634" s="37" t="str">
        <x:v>2</x:v>
      </x:c>
      <x:c r="E634" s="37" t="str">
        <x:v>0</x:v>
      </x:c>
      <x:c r="F634" s="37" t="str">
        <x:v>50</x:v>
      </x:c>
      <x:c r="G634" s="37" t="str">
        <x:v>1284.72</x:v>
      </x:c>
      <x:c r="H634" s="37" t="str">
        <x:v>0.00</x:v>
      </x:c>
      <x:c r="I634" s="37" t="str">
        <x:v>774.17</x:v>
      </x:c>
      <x:c r="J634" s="37" t="str">
        <x:v>0.00</x:v>
      </x:c>
      <x:c r="K634" s="37" t="str">
        <x:v>510.55</x:v>
      </x:c>
      <x:c r="L634" s="37" t="str">
        <x:v>2013</x:v>
      </x:c>
      <x:c r="M634" s="29" t="str">
        <x:v>1021.63</x:v>
      </x:c>
      <x:c r="N634" s="29" t="str">
        <x:v>615.03</x:v>
      </x:c>
      <x:c r="O634" s="29" t="str">
        <x:v>406.60</x:v>
      </x:c>
      <x:c r="P634" s="18" t="str">
        <x:v>2026-08-03</x:v>
      </x:c>
      <x:c r="Q634" s="36" t="n">
        <x:v>46237</x:v>
      </x:c>
    </x:row>
    <x:row r="635">
      <x:c r="A635" s="36" t="str">
        <x:v>2026-08-03</x:v>
      </x:c>
      <x:c r="B635" s="18" t="str">
        <x:v>101437000_76091</x:v>
      </x:c>
      <x:c r="C635" s="18" t="str">
        <x:v>【沪村小电】恒信家园充电站</x:v>
      </x:c>
      <x:c r="D635" s="37" t="str">
        <x:v>2</x:v>
      </x:c>
      <x:c r="E635" s="37" t="str">
        <x:v>0</x:v>
      </x:c>
      <x:c r="F635" s="37" t="str">
        <x:v>40</x:v>
      </x:c>
      <x:c r="G635" s="37" t="str">
        <x:v>972.67</x:v>
      </x:c>
      <x:c r="H635" s="37" t="str">
        <x:v>0.00</x:v>
      </x:c>
      <x:c r="I635" s="37" t="str">
        <x:v>577.87</x:v>
      </x:c>
      <x:c r="J635" s="37" t="str">
        <x:v>0.00</x:v>
      </x:c>
      <x:c r="K635" s="37" t="str">
        <x:v>394.80</x:v>
      </x:c>
      <x:c r="L635" s="37" t="str">
        <x:v>1351</x:v>
      </x:c>
      <x:c r="M635" s="29" t="str">
        <x:v>908.15</x:v>
      </x:c>
      <x:c r="N635" s="29" t="str">
        <x:v>556.39</x:v>
      </x:c>
      <x:c r="O635" s="29" t="str">
        <x:v>351.76</x:v>
      </x:c>
      <x:c r="P635" s="18" t="str">
        <x:v>2026-08-03</x:v>
      </x:c>
      <x:c r="Q635" s="36" t="n">
        <x:v>46237</x:v>
      </x:c>
    </x:row>
    <x:row r="636">
      <x:c r="A636" s="36" t="str">
        <x:v>2026-08-03</x:v>
      </x:c>
      <x:c r="B636" s="18" t="str">
        <x:v>101437000_76417</x:v>
      </x:c>
      <x:c r="C636" s="18" t="str">
        <x:v>【沪村小电】新春一组充电站</x:v>
      </x:c>
      <x:c r="D636" s="37" t="str">
        <x:v>2</x:v>
      </x:c>
      <x:c r="E636" s="37" t="str">
        <x:v>0</x:v>
      </x:c>
      <x:c r="F636" s="37" t="str">
        <x:v>36</x:v>
      </x:c>
      <x:c r="G636" s="37" t="str">
        <x:v>969.01</x:v>
      </x:c>
      <x:c r="H636" s="37" t="str">
        <x:v>0.00</x:v>
      </x:c>
      <x:c r="I636" s="37" t="str">
        <x:v>413.80</x:v>
      </x:c>
      <x:c r="J636" s="37" t="str">
        <x:v>0.00</x:v>
      </x:c>
      <x:c r="K636" s="37" t="str">
        <x:v>555.21</x:v>
      </x:c>
      <x:c r="L636" s="37" t="str">
        <x:v>1530</x:v>
      </x:c>
      <x:c r="M636" s="29" t="str">
        <x:v>749.69</x:v>
      </x:c>
      <x:c r="N636" s="29" t="str">
        <x:v>499.24</x:v>
      </x:c>
      <x:c r="O636" s="29" t="str">
        <x:v>250.45</x:v>
      </x:c>
      <x:c r="P636" s="18" t="str">
        <x:v>2026-08-03</x:v>
      </x:c>
      <x:c r="Q636" s="36" t="n">
        <x:v>46237</x:v>
      </x:c>
    </x:row>
    <x:row r="637">
      <x:c r="A637" s="36" t="str">
        <x:v>2026-08-03</x:v>
      </x:c>
      <x:c r="B637" s="18" t="str">
        <x:v>101437000_78235</x:v>
      </x:c>
      <x:c r="C637" s="18" t="str">
        <x:v>【沪村小电】欣秋苑充电站</x:v>
      </x:c>
      <x:c r="D637" s="37" t="str">
        <x:v>4</x:v>
      </x:c>
      <x:c r="E637" s="37" t="str">
        <x:v>0</x:v>
      </x:c>
      <x:c r="F637" s="37" t="str">
        <x:v>22</x:v>
      </x:c>
      <x:c r="G637" s="37" t="str">
        <x:v>545.92</x:v>
      </x:c>
      <x:c r="H637" s="37" t="str">
        <x:v>0.00</x:v>
      </x:c>
      <x:c r="I637" s="37" t="str">
        <x:v>428.65</x:v>
      </x:c>
      <x:c r="J637" s="37" t="str">
        <x:v>0.00</x:v>
      </x:c>
      <x:c r="K637" s="37" t="str">
        <x:v>117.27</x:v>
      </x:c>
      <x:c r="L637" s="37" t="str">
        <x:v>903</x:v>
      </x:c>
      <x:c r="M637" s="29" t="str">
        <x:v>499.13</x:v>
      </x:c>
      <x:c r="N637" s="29" t="str">
        <x:v>347.75</x:v>
      </x:c>
      <x:c r="O637" s="29" t="str">
        <x:v>151.38</x:v>
      </x:c>
      <x:c r="P637" s="18" t="str">
        <x:v>2026-08-03</x:v>
      </x:c>
      <x:c r="Q637" s="36" t="n">
        <x:v>46237</x:v>
      </x:c>
    </x:row>
    <x:row r="638">
      <x:c r="A638" s="36" t="str">
        <x:v>2026-08-03</x:v>
      </x:c>
      <x:c r="B638" s="18" t="str">
        <x:v>101437000_78237</x:v>
      </x:c>
      <x:c r="C638" s="18" t="str">
        <x:v>【沪村小电】奉馨苑西门小区内北侧充电站</x:v>
      </x:c>
      <x:c r="D638" s="37" t="str">
        <x:v>2</x:v>
      </x:c>
      <x:c r="E638" s="37" t="str">
        <x:v>0</x:v>
      </x:c>
      <x:c r="F638" s="37" t="str">
        <x:v>27</x:v>
      </x:c>
      <x:c r="G638" s="37" t="str">
        <x:v>670.42</x:v>
      </x:c>
      <x:c r="H638" s="37" t="str">
        <x:v>11.18</x:v>
      </x:c>
      <x:c r="I638" s="37" t="str">
        <x:v>107.05</x:v>
      </x:c>
      <x:c r="J638" s="37" t="str">
        <x:v>248.82</x:v>
      </x:c>
      <x:c r="K638" s="37" t="str">
        <x:v>303.37</x:v>
      </x:c>
      <x:c r="L638" s="37" t="str">
        <x:v>1052</x:v>
      </x:c>
      <x:c r="M638" s="29" t="str">
        <x:v>555.65</x:v>
      </x:c>
      <x:c r="N638" s="29" t="str">
        <x:v>429.24</x:v>
      </x:c>
      <x:c r="O638" s="29" t="str">
        <x:v>126.41</x:v>
      </x:c>
      <x:c r="P638" s="18" t="str">
        <x:v>2026-08-03</x:v>
      </x:c>
      <x:c r="Q638" s="36" t="n">
        <x:v>46237</x:v>
      </x:c>
    </x:row>
    <x:row r="639">
      <x:c r="A639" s="36" t="str">
        <x:v>2026-08-03</x:v>
      </x:c>
      <x:c r="B639" s="18" t="str">
        <x:v>101437000_80823</x:v>
      </x:c>
      <x:c r="C639" s="18" t="str">
        <x:v>【沪村小电】上湖轩充电站</x:v>
      </x:c>
      <x:c r="D639" s="37" t="str">
        <x:v>2</x:v>
      </x:c>
      <x:c r="E639" s="37" t="str">
        <x:v>0</x:v>
      </x:c>
      <x:c r="F639" s="37" t="str">
        <x:v>9</x:v>
      </x:c>
      <x:c r="G639" s="37" t="str">
        <x:v>165.00</x:v>
      </x:c>
      <x:c r="H639" s="37" t="str">
        <x:v>0.00</x:v>
      </x:c>
      <x:c r="I639" s="37" t="str">
        <x:v>0.00</x:v>
      </x:c>
      <x:c r="J639" s="37" t="str">
        <x:v>36.30</x:v>
      </x:c>
      <x:c r="K639" s="37" t="str">
        <x:v>128.70</x:v>
      </x:c>
      <x:c r="L639" s="37" t="str">
        <x:v>203</x:v>
      </x:c>
      <x:c r="M639" s="29" t="str">
        <x:v>113.23</x:v>
      </x:c>
      <x:c r="N639" s="29" t="str">
        <x:v>95.40</x:v>
      </x:c>
      <x:c r="O639" s="29" t="str">
        <x:v>17.83</x:v>
      </x:c>
      <x:c r="P639" s="18" t="str">
        <x:v>2026-08-03</x:v>
      </x:c>
      <x:c r="Q639" s="36" t="n">
        <x:v>46237</x:v>
      </x:c>
    </x:row>
    <x:row r="640">
      <x:c r="A640" s="36" t="str">
        <x:v>2026-08-03</x:v>
      </x:c>
      <x:c r="B640" s="18" t="str">
        <x:v>101437000_83019</x:v>
      </x:c>
      <x:c r="C640" s="18" t="str">
        <x:v>【沪村小电】首创禧瑞云启东区充电站</x:v>
      </x:c>
      <x:c r="D640" s="37" t="str">
        <x:v>2</x:v>
      </x:c>
      <x:c r="E640" s="37" t="str">
        <x:v>0</x:v>
      </x:c>
      <x:c r="F640" s="37" t="str">
        <x:v>39</x:v>
      </x:c>
      <x:c r="G640" s="37" t="str">
        <x:v>857.93</x:v>
      </x:c>
      <x:c r="H640" s="37" t="str">
        <x:v>0.00</x:v>
      </x:c>
      <x:c r="I640" s="37" t="str">
        <x:v>595.25</x:v>
      </x:c>
      <x:c r="J640" s="37" t="str">
        <x:v>0.00</x:v>
      </x:c>
      <x:c r="K640" s="37" t="str">
        <x:v>262.68</x:v>
      </x:c>
      <x:c r="L640" s="37" t="str">
        <x:v>1138</x:v>
      </x:c>
      <x:c r="M640" s="29" t="str">
        <x:v>782.56</x:v>
      </x:c>
      <x:c r="N640" s="29" t="str">
        <x:v>519.85</x:v>
      </x:c>
      <x:c r="O640" s="29" t="str">
        <x:v>262.71</x:v>
      </x:c>
      <x:c r="P640" s="18" t="str">
        <x:v>2026-08-03</x:v>
      </x:c>
      <x:c r="Q640" s="36" t="n">
        <x:v>46237</x:v>
      </x:c>
    </x:row>
    <x:row r="641">
      <x:c r="A641" s="36" t="str">
        <x:v>2026-08-03</x:v>
      </x:c>
      <x:c r="B641" s="18" t="str">
        <x:v>101437000_83093</x:v>
      </x:c>
      <x:c r="C641" s="18" t="str">
        <x:v>【沪村小电】金茂未来时光里</x:v>
      </x:c>
      <x:c r="D641" s="37" t="str">
        <x:v>2</x:v>
      </x:c>
      <x:c r="E641" s="37" t="str">
        <x:v>0</x:v>
      </x:c>
      <x:c r="F641" s="37" t="str">
        <x:v>67</x:v>
      </x:c>
      <x:c r="G641" s="37" t="str">
        <x:v>2020.28</x:v>
      </x:c>
      <x:c r="H641" s="37" t="str">
        <x:v>0.00</x:v>
      </x:c>
      <x:c r="I641" s="37" t="str">
        <x:v>967.35</x:v>
      </x:c>
      <x:c r="J641" s="37" t="str">
        <x:v>0.00</x:v>
      </x:c>
      <x:c r="K641" s="37" t="str">
        <x:v>1052.92</x:v>
      </x:c>
      <x:c r="L641" s="37" t="str">
        <x:v>3288</x:v>
      </x:c>
      <x:c r="M641" s="29" t="str">
        <x:v>1367.63</x:v>
      </x:c>
      <x:c r="N641" s="29" t="str">
        <x:v>897.15</x:v>
      </x:c>
      <x:c r="O641" s="29" t="str">
        <x:v>470.48</x:v>
      </x:c>
      <x:c r="P641" s="18" t="str">
        <x:v>2026-08-03</x:v>
      </x:c>
      <x:c r="Q641" s="36" t="n">
        <x:v>46237</x:v>
      </x:c>
    </x:row>
    <x:row r="642">
      <x:c r="A642" s="36" t="str">
        <x:v>2026-08-03</x:v>
      </x:c>
      <x:c r="B642" s="18" t="str">
        <x:v>101437000_83911</x:v>
      </x:c>
      <x:c r="C642" s="18" t="str">
        <x:v>【沪村小电】金瀚园充电站</x:v>
      </x:c>
      <x:c r="D642" s="37" t="str">
        <x:v>2</x:v>
      </x:c>
      <x:c r="E642" s="37" t="str">
        <x:v>0</x:v>
      </x:c>
      <x:c r="F642" s="37" t="str">
        <x:v>48</x:v>
      </x:c>
      <x:c r="G642" s="37" t="str">
        <x:v>997.41</x:v>
      </x:c>
      <x:c r="H642" s="37" t="str">
        <x:v>0.00</x:v>
      </x:c>
      <x:c r="I642" s="37" t="str">
        <x:v>616.30</x:v>
      </x:c>
      <x:c r="J642" s="37" t="str">
        <x:v>0.00</x:v>
      </x:c>
      <x:c r="K642" s="37" t="str">
        <x:v>381.12</x:v>
      </x:c>
      <x:c r="L642" s="37" t="str">
        <x:v>1478</x:v>
      </x:c>
      <x:c r="M642" s="29" t="str">
        <x:v>882.71</x:v>
      </x:c>
      <x:c r="N642" s="29" t="str">
        <x:v>578.56</x:v>
      </x:c>
      <x:c r="O642" s="29" t="str">
        <x:v>304.15</x:v>
      </x:c>
      <x:c r="P642" s="18" t="str">
        <x:v>2026-08-03</x:v>
      </x:c>
      <x:c r="Q642" s="36" t="n">
        <x:v>46237</x:v>
      </x:c>
    </x:row>
    <x:row r="643">
      <x:c r="A643" s="36" t="str">
        <x:v>2026-08-03</x:v>
      </x:c>
      <x:c r="B643" s="18" t="str">
        <x:v>101437000_83913</x:v>
      </x:c>
      <x:c r="C643" s="18" t="str">
        <x:v>【沪村小电】新黎村充电站</x:v>
      </x:c>
      <x:c r="D643" s="37" t="str">
        <x:v>2</x:v>
      </x:c>
      <x:c r="E643" s="37" t="str">
        <x:v>0</x:v>
      </x:c>
      <x:c r="F643" s="37" t="str">
        <x:v>74</x:v>
      </x:c>
      <x:c r="G643" s="37" t="str">
        <x:v>2049.34</x:v>
      </x:c>
      <x:c r="H643" s="37" t="str">
        <x:v>0.00</x:v>
      </x:c>
      <x:c r="I643" s="37" t="str">
        <x:v>1544.83</x:v>
      </x:c>
      <x:c r="J643" s="37" t="str">
        <x:v>0.00</x:v>
      </x:c>
      <x:c r="K643" s="37" t="str">
        <x:v>504.50</x:v>
      </x:c>
      <x:c r="L643" s="37" t="str">
        <x:v>3078</x:v>
      </x:c>
      <x:c r="M643" s="29" t="str">
        <x:v>1905.87</x:v>
      </x:c>
      <x:c r="N643" s="29" t="str">
        <x:v>1283.50</x:v>
      </x:c>
      <x:c r="O643" s="29" t="str">
        <x:v>622.37</x:v>
      </x:c>
      <x:c r="P643" s="18" t="str">
        <x:v>2026-08-03</x:v>
      </x:c>
      <x:c r="Q643" s="36" t="n">
        <x:v>46237</x:v>
      </x:c>
    </x:row>
    <x:row r="644">
      <x:c r="A644" s="36" t="str">
        <x:v>2026-08-03</x:v>
      </x:c>
      <x:c r="B644" s="18" t="str">
        <x:v>101437000_83915</x:v>
      </x:c>
      <x:c r="C644" s="18" t="str">
        <x:v>【沪村小电】长泰西郊别墅充电站</x:v>
      </x:c>
      <x:c r="D644" s="37" t="str">
        <x:v>2</x:v>
      </x:c>
      <x:c r="E644" s="37" t="str">
        <x:v>0</x:v>
      </x:c>
      <x:c r="F644" s="37" t="str">
        <x:v>18</x:v>
      </x:c>
      <x:c r="G644" s="37" t="str">
        <x:v>418.78</x:v>
      </x:c>
      <x:c r="H644" s="37" t="str">
        <x:v>0.00</x:v>
      </x:c>
      <x:c r="I644" s="37" t="str">
        <x:v>264.54</x:v>
      </x:c>
      <x:c r="J644" s="37" t="str">
        <x:v>0.00</x:v>
      </x:c>
      <x:c r="K644" s="37" t="str">
        <x:v>154.24</x:v>
      </x:c>
      <x:c r="L644" s="37" t="str">
        <x:v>667</x:v>
      </x:c>
      <x:c r="M644" s="29" t="str">
        <x:v>413.87</x:v>
      </x:c>
      <x:c r="N644" s="29" t="str">
        <x:v>244.90</x:v>
      </x:c>
      <x:c r="O644" s="29" t="str">
        <x:v>168.97</x:v>
      </x:c>
      <x:c r="P644" s="18" t="str">
        <x:v>2026-08-03</x:v>
      </x:c>
      <x:c r="Q644" s="36" t="n">
        <x:v>46237</x:v>
      </x:c>
    </x:row>
    <x:row r="645">
      <x:c r="A645" s="36" t="str">
        <x:v>2026-08-03</x:v>
      </x:c>
      <x:c r="B645" s="18" t="str">
        <x:v>101437000_83917</x:v>
      </x:c>
      <x:c r="C645" s="18" t="str">
        <x:v>【沪村小电】旭新华庭充电站</x:v>
      </x:c>
      <x:c r="D645" s="37" t="str">
        <x:v>4</x:v>
      </x:c>
      <x:c r="E645" s="37" t="str">
        <x:v>0</x:v>
      </x:c>
      <x:c r="F645" s="37" t="str">
        <x:v>36</x:v>
      </x:c>
      <x:c r="G645" s="37" t="str">
        <x:v>681.91</x:v>
      </x:c>
      <x:c r="H645" s="37" t="str">
        <x:v>0.00</x:v>
      </x:c>
      <x:c r="I645" s="37" t="str">
        <x:v>447.64</x:v>
      </x:c>
      <x:c r="J645" s="37" t="str">
        <x:v>0.00</x:v>
      </x:c>
      <x:c r="K645" s="37" t="str">
        <x:v>234.27</x:v>
      </x:c>
      <x:c r="L645" s="37" t="str">
        <x:v>1001</x:v>
      </x:c>
      <x:c r="M645" s="29" t="str">
        <x:v>717.40</x:v>
      </x:c>
      <x:c r="N645" s="29" t="str">
        <x:v>404.50</x:v>
      </x:c>
      <x:c r="O645" s="29" t="str">
        <x:v>312.90</x:v>
      </x:c>
      <x:c r="P645" s="18" t="str">
        <x:v>2026-08-03</x:v>
      </x:c>
      <x:c r="Q645" s="36" t="n">
        <x:v>46237</x:v>
      </x:c>
    </x:row>
    <x:row r="646">
      <x:c r="A646" s="36" t="str">
        <x:v>2026-08-03</x:v>
      </x:c>
      <x:c r="B646" s="18" t="str">
        <x:v>101437000_83919</x:v>
      </x:c>
      <x:c r="C646" s="18" t="str">
        <x:v>【沪村小电】浦锦名仕嘉园充电站</x:v>
      </x:c>
      <x:c r="D646" s="37" t="str">
        <x:v>4</x:v>
      </x:c>
      <x:c r="E646" s="37" t="str">
        <x:v>0</x:v>
      </x:c>
      <x:c r="F646" s="37" t="str">
        <x:v>54</x:v>
      </x:c>
      <x:c r="G646" s="37" t="str">
        <x:v>1418.81</x:v>
      </x:c>
      <x:c r="H646" s="37" t="str">
        <x:v>0.00</x:v>
      </x:c>
      <x:c r="I646" s="37" t="str">
        <x:v>0.00</x:v>
      </x:c>
      <x:c r="J646" s="37" t="str">
        <x:v>1418.81</x:v>
      </x:c>
      <x:c r="K646" s="37" t="str">
        <x:v>0.00</x:v>
      </x:c>
      <x:c r="L646" s="37" t="str">
        <x:v>2066</x:v>
      </x:c>
      <x:c r="M646" s="29" t="str">
        <x:v>1472.46</x:v>
      </x:c>
      <x:c r="N646" s="29" t="str">
        <x:v>993.16</x:v>
      </x:c>
      <x:c r="O646" s="29" t="str">
        <x:v>479.30</x:v>
      </x:c>
      <x:c r="P646" s="18" t="str">
        <x:v>2026-08-03</x:v>
      </x:c>
      <x:c r="Q646" s="36" t="n">
        <x:v>46237</x:v>
      </x:c>
    </x:row>
    <x:row r="647">
      <x:c r="A647" s="36" t="str">
        <x:v>2026-08-03</x:v>
      </x:c>
      <x:c r="B647" s="18" t="str">
        <x:v>101437000_83921</x:v>
      </x:c>
      <x:c r="C647" s="18" t="str">
        <x:v>【沪村小电】上海联怡枇杷乐园充电站（地库）</x:v>
      </x:c>
      <x:c r="D647" s="37" t="str">
        <x:v>8</x:v>
      </x:c>
      <x:c r="E647" s="37" t="str">
        <x:v>0</x:v>
      </x:c>
      <x:c r="F647" s="37" t="str">
        <x:v>17</x:v>
      </x:c>
      <x:c r="G647" s="37" t="str">
        <x:v>398.40</x:v>
      </x:c>
      <x:c r="H647" s="37" t="str">
        <x:v>0.00</x:v>
      </x:c>
      <x:c r="I647" s="37" t="str">
        <x:v>52.87</x:v>
      </x:c>
      <x:c r="J647" s="37" t="str">
        <x:v>0.00</x:v>
      </x:c>
      <x:c r="K647" s="37" t="str">
        <x:v>345.53</x:v>
      </x:c>
      <x:c r="L647" s="37" t="str">
        <x:v>683</x:v>
      </x:c>
      <x:c r="M647" s="29" t="str">
        <x:v>248.69</x:v>
      </x:c>
      <x:c r="N647" s="29" t="str">
        <x:v>206.52</x:v>
      </x:c>
      <x:c r="O647" s="29" t="str">
        <x:v>42.17</x:v>
      </x:c>
      <x:c r="P647" s="18" t="str">
        <x:v>2026-08-03</x:v>
      </x:c>
      <x:c r="Q647" s="36" t="n">
        <x:v>46237</x:v>
      </x:c>
    </x:row>
    <x:row r="648">
      <x:c r="A648" s="36" t="str">
        <x:v>2026-08-03</x:v>
      </x:c>
      <x:c r="B648" s="18" t="str">
        <x:v>101437000_83923</x:v>
      </x:c>
      <x:c r="C648" s="18" t="str">
        <x:v>【沪村小电】明珠新苑充电站</x:v>
      </x:c>
      <x:c r="D648" s="37" t="str">
        <x:v>2</x:v>
      </x:c>
      <x:c r="E648" s="37" t="str">
        <x:v>0</x:v>
      </x:c>
      <x:c r="F648" s="37" t="str">
        <x:v>36</x:v>
      </x:c>
      <x:c r="G648" s="37" t="str">
        <x:v>880.83</x:v>
      </x:c>
      <x:c r="H648" s="37" t="str">
        <x:v>0.00</x:v>
      </x:c>
      <x:c r="I648" s="37" t="str">
        <x:v>420.86</x:v>
      </x:c>
      <x:c r="J648" s="37" t="str">
        <x:v>0.00</x:v>
      </x:c>
      <x:c r="K648" s="37" t="str">
        <x:v>459.98</x:v>
      </x:c>
      <x:c r="L648" s="37" t="str">
        <x:v>1178</x:v>
      </x:c>
      <x:c r="M648" s="29" t="str">
        <x:v>757.04</x:v>
      </x:c>
      <x:c r="N648" s="29" t="str">
        <x:v>468.97</x:v>
      </x:c>
      <x:c r="O648" s="29" t="str">
        <x:v>288.07</x:v>
      </x:c>
      <x:c r="P648" s="18" t="str">
        <x:v>2026-08-03</x:v>
      </x:c>
      <x:c r="Q648" s="36" t="n">
        <x:v>46237</x:v>
      </x:c>
    </x:row>
    <x:row r="649">
      <x:c r="A649" s="36" t="str">
        <x:v>2026-08-03</x:v>
      </x:c>
      <x:c r="B649" s="18" t="str">
        <x:v>101437000_84289</x:v>
      </x:c>
      <x:c r="C649" s="18" t="str">
        <x:v>【沪村小电】铁建芳华苑充电站</x:v>
      </x:c>
      <x:c r="D649" s="37" t="str">
        <x:v>4</x:v>
      </x:c>
      <x:c r="E649" s="37" t="str">
        <x:v>0</x:v>
      </x:c>
      <x:c r="F649" s="37" t="str">
        <x:v>50</x:v>
      </x:c>
      <x:c r="G649" s="37" t="str">
        <x:v>1360.21</x:v>
      </x:c>
      <x:c r="H649" s="37" t="str">
        <x:v>0.00</x:v>
      </x:c>
      <x:c r="I649" s="37" t="str">
        <x:v>963.53</x:v>
      </x:c>
      <x:c r="J649" s="37" t="str">
        <x:v>0.00</x:v>
      </x:c>
      <x:c r="K649" s="37" t="str">
        <x:v>396.68</x:v>
      </x:c>
      <x:c r="L649" s="37" t="str">
        <x:v>2069</x:v>
      </x:c>
      <x:c r="M649" s="29" t="str">
        <x:v>1253.64</x:v>
      </x:c>
      <x:c r="N649" s="29" t="str">
        <x:v>830.86</x:v>
      </x:c>
      <x:c r="O649" s="29" t="str">
        <x:v>422.78</x:v>
      </x:c>
      <x:c r="P649" s="18" t="str">
        <x:v>2026-08-03</x:v>
      </x:c>
      <x:c r="Q649" s="36" t="n">
        <x:v>46237</x:v>
      </x:c>
    </x:row>
    <x:row r="650">
      <x:c r="A650" s="36" t="str">
        <x:v>2026-08-03</x:v>
      </x:c>
      <x:c r="B650" s="18" t="str">
        <x:v>101437000_86379</x:v>
      </x:c>
      <x:c r="C650" s="18" t="str">
        <x:v>【沪村小电】新宝社区充电站</x:v>
      </x:c>
      <x:c r="D650" s="37" t="str">
        <x:v>4</x:v>
      </x:c>
      <x:c r="E650" s="37" t="str">
        <x:v>0</x:v>
      </x:c>
      <x:c r="F650" s="37" t="str">
        <x:v>29</x:v>
      </x:c>
      <x:c r="G650" s="37" t="str">
        <x:v>713.13</x:v>
      </x:c>
      <x:c r="H650" s="37" t="str">
        <x:v>0.00</x:v>
      </x:c>
      <x:c r="I650" s="37" t="str">
        <x:v>330.13</x:v>
      </x:c>
      <x:c r="J650" s="37" t="str">
        <x:v>0.00</x:v>
      </x:c>
      <x:c r="K650" s="37" t="str">
        <x:v>383.00</x:v>
      </x:c>
      <x:c r="L650" s="37" t="str">
        <x:v>1073</x:v>
      </x:c>
      <x:c r="M650" s="29" t="str">
        <x:v>534.01</x:v>
      </x:c>
      <x:c r="N650" s="29" t="str">
        <x:v>376.09</x:v>
      </x:c>
      <x:c r="O650" s="29" t="str">
        <x:v>157.92</x:v>
      </x:c>
      <x:c r="P650" s="18" t="str">
        <x:v>2026-08-03</x:v>
      </x:c>
      <x:c r="Q650" s="36" t="n">
        <x:v>46237</x:v>
      </x:c>
    </x:row>
    <x:row r="651">
      <x:c r="A651" s="36" t="str">
        <x:v>2026-08-03</x:v>
      </x:c>
      <x:c r="B651" s="18" t="str">
        <x:v>101437000_89441</x:v>
      </x:c>
      <x:c r="C651" s="18" t="str">
        <x:v>【沪村小电】首创禧瑞云启西区充电站</x:v>
      </x:c>
      <x:c r="D651" s="37" t="str">
        <x:v>2</x:v>
      </x:c>
      <x:c r="E651" s="37" t="str">
        <x:v>0</x:v>
      </x:c>
      <x:c r="F651" s="37" t="str">
        <x:v>42</x:v>
      </x:c>
      <x:c r="G651" s="37" t="str">
        <x:v>1061.82</x:v>
      </x:c>
      <x:c r="H651" s="37" t="str">
        <x:v>0.00</x:v>
      </x:c>
      <x:c r="I651" s="37" t="str">
        <x:v>723.36</x:v>
      </x:c>
      <x:c r="J651" s="37" t="str">
        <x:v>0.00</x:v>
      </x:c>
      <x:c r="K651" s="37" t="str">
        <x:v>338.46</x:v>
      </x:c>
      <x:c r="L651" s="37" t="str">
        <x:v>1429</x:v>
      </x:c>
      <x:c r="M651" s="29" t="str">
        <x:v>1032.05</x:v>
      </x:c>
      <x:c r="N651" s="29" t="str">
        <x:v>638.80</x:v>
      </x:c>
      <x:c r="O651" s="29" t="str">
        <x:v>393.25</x:v>
      </x:c>
      <x:c r="P651" s="18" t="str">
        <x:v>2026-08-03</x:v>
      </x:c>
      <x:c r="Q651" s="36" t="n">
        <x:v>46237</x:v>
      </x:c>
    </x:row>
    <x:row r="652">
      <x:c r="A652" s="36" t="str">
        <x:v>2026-08-03</x:v>
      </x:c>
      <x:c r="B652" s="18" t="str">
        <x:v>101437000_89443</x:v>
      </x:c>
      <x:c r="C652" s="18" t="str">
        <x:v>【沪村小电】玉兰清苑二期充电站</x:v>
      </x:c>
      <x:c r="D652" s="37" t="str">
        <x:v>2</x:v>
      </x:c>
      <x:c r="E652" s="37" t="str">
        <x:v>0</x:v>
      </x:c>
      <x:c r="F652" s="37" t="str">
        <x:v>29</x:v>
      </x:c>
      <x:c r="G652" s="37" t="str">
        <x:v>784.63</x:v>
      </x:c>
      <x:c r="H652" s="37" t="str">
        <x:v>0.00</x:v>
      </x:c>
      <x:c r="I652" s="37" t="str">
        <x:v>613.84</x:v>
      </x:c>
      <x:c r="J652" s="37" t="str">
        <x:v>0.00</x:v>
      </x:c>
      <x:c r="K652" s="37" t="str">
        <x:v>170.79</x:v>
      </x:c>
      <x:c r="L652" s="37" t="str">
        <x:v>1202</x:v>
      </x:c>
      <x:c r="M652" s="29" t="str">
        <x:v>755.18</x:v>
      </x:c>
      <x:c r="N652" s="29" t="str">
        <x:v>499.02</x:v>
      </x:c>
      <x:c r="O652" s="29" t="str">
        <x:v>256.16</x:v>
      </x:c>
      <x:c r="P652" s="18" t="str">
        <x:v>2026-08-03</x:v>
      </x:c>
      <x:c r="Q652" s="36" t="n">
        <x:v>46237</x:v>
      </x:c>
    </x:row>
    <x:row r="653">
      <x:c r="A653" s="36" t="str">
        <x:v>2026-08-03</x:v>
      </x:c>
      <x:c r="B653" s="18" t="str">
        <x:v>101437000_93115</x:v>
      </x:c>
      <x:c r="C653" s="18" t="str">
        <x:v>【沪村小电】新南家园西北门</x:v>
      </x:c>
      <x:c r="D653" s="37" t="str">
        <x:v>2</x:v>
      </x:c>
      <x:c r="E653" s="37" t="str">
        <x:v>0</x:v>
      </x:c>
      <x:c r="F653" s="37" t="str">
        <x:v>26</x:v>
      </x:c>
      <x:c r="G653" s="37" t="str">
        <x:v>797.70</x:v>
      </x:c>
      <x:c r="H653" s="37" t="str">
        <x:v>0.00</x:v>
      </x:c>
      <x:c r="I653" s="37" t="str">
        <x:v>449.85</x:v>
      </x:c>
      <x:c r="J653" s="37" t="str">
        <x:v>0.00</x:v>
      </x:c>
      <x:c r="K653" s="37" t="str">
        <x:v>347.85</x:v>
      </x:c>
      <x:c r="L653" s="37" t="str">
        <x:v>1208</x:v>
      </x:c>
      <x:c r="M653" s="29" t="str">
        <x:v>707.51</x:v>
      </x:c>
      <x:c r="N653" s="29" t="str">
        <x:v>448.05</x:v>
      </x:c>
      <x:c r="O653" s="29" t="str">
        <x:v>259.46</x:v>
      </x:c>
      <x:c r="P653" s="18" t="str">
        <x:v>2026-08-03</x:v>
      </x:c>
      <x:c r="Q653" s="36" t="n">
        <x:v>46237</x:v>
      </x:c>
    </x:row>
    <x:row r="654">
      <x:c r="A654" s="36" t="str">
        <x:v>2026-08-03</x:v>
      </x:c>
      <x:c r="B654" s="18" t="str">
        <x:v>101437000_94649</x:v>
      </x:c>
      <x:c r="C654" s="18" t="str">
        <x:v>【沪村小电】浪琴水岸花园</x:v>
      </x:c>
      <x:c r="D654" s="37" t="str">
        <x:v>4</x:v>
      </x:c>
      <x:c r="E654" s="37" t="str">
        <x:v>0</x:v>
      </x:c>
      <x:c r="F654" s="37" t="str">
        <x:v>27</x:v>
      </x:c>
      <x:c r="G654" s="37" t="str">
        <x:v>659.78</x:v>
      </x:c>
      <x:c r="H654" s="37" t="str">
        <x:v>0.00</x:v>
      </x:c>
      <x:c r="I654" s="37" t="str">
        <x:v>424.03</x:v>
      </x:c>
      <x:c r="J654" s="37" t="str">
        <x:v>0.00</x:v>
      </x:c>
      <x:c r="K654" s="37" t="str">
        <x:v>235.76</x:v>
      </x:c>
      <x:c r="L654" s="37" t="str">
        <x:v>1143</x:v>
      </x:c>
      <x:c r="M654" s="29" t="str">
        <x:v>546.56</x:v>
      </x:c>
      <x:c r="N654" s="29" t="str">
        <x:v>411.82</x:v>
      </x:c>
      <x:c r="O654" s="29" t="str">
        <x:v>134.74</x:v>
      </x:c>
      <x:c r="P654" s="18" t="str">
        <x:v>2026-08-03</x:v>
      </x:c>
      <x:c r="Q654" s="36" t="n">
        <x:v>46237</x:v>
      </x:c>
    </x:row>
    <x:row r="655">
      <x:c r="A655" s="36" t="str">
        <x:v>2026-08-03</x:v>
      </x:c>
      <x:c r="B655" s="18" t="str">
        <x:v>101437000_95079</x:v>
      </x:c>
      <x:c r="C655" s="18" t="str">
        <x:v>【沪村小电】民乐城惠益绿苑东苑充电站</x:v>
      </x:c>
      <x:c r="D655" s="37" t="str">
        <x:v>2</x:v>
      </x:c>
      <x:c r="E655" s="37" t="str">
        <x:v>0</x:v>
      </x:c>
      <x:c r="F655" s="37" t="str">
        <x:v>26</x:v>
      </x:c>
      <x:c r="G655" s="37" t="str">
        <x:v>533.76</x:v>
      </x:c>
      <x:c r="H655" s="37" t="str">
        <x:v>0.00</x:v>
      </x:c>
      <x:c r="I655" s="37" t="str">
        <x:v>403.50</x:v>
      </x:c>
      <x:c r="J655" s="37" t="str">
        <x:v>0.00</x:v>
      </x:c>
      <x:c r="K655" s="37" t="str">
        <x:v>130.27</x:v>
      </x:c>
      <x:c r="L655" s="37" t="str">
        <x:v>905</x:v>
      </x:c>
      <x:c r="M655" s="29" t="str">
        <x:v>495.52</x:v>
      </x:c>
      <x:c r="N655" s="29" t="str">
        <x:v>334.70</x:v>
      </x:c>
      <x:c r="O655" s="29" t="str">
        <x:v>160.82</x:v>
      </x:c>
      <x:c r="P655" s="18" t="str">
        <x:v>2026-08-03</x:v>
      </x:c>
      <x:c r="Q655" s="36" t="n">
        <x:v>46237</x:v>
      </x:c>
    </x:row>
    <x:row r="656">
      <x:c r="A656" s="36" t="str">
        <x:v>2026-08-03</x:v>
      </x:c>
      <x:c r="B656" s="18" t="str">
        <x:v>101437000_95081</x:v>
      </x:c>
      <x:c r="C656" s="18" t="str">
        <x:v>【沪村小电】民乐城惠益绿苑西苑充电站</x:v>
      </x:c>
      <x:c r="D656" s="37" t="str">
        <x:v>2</x:v>
      </x:c>
      <x:c r="E656" s="37" t="str">
        <x:v>0</x:v>
      </x:c>
      <x:c r="F656" s="37" t="str">
        <x:v>10</x:v>
      </x:c>
      <x:c r="G656" s="37" t="str">
        <x:v>302.50</x:v>
      </x:c>
      <x:c r="H656" s="37" t="str">
        <x:v>0.00</x:v>
      </x:c>
      <x:c r="I656" s="37" t="str">
        <x:v>187.89</x:v>
      </x:c>
      <x:c r="J656" s="37" t="str">
        <x:v>0.00</x:v>
      </x:c>
      <x:c r="K656" s="37" t="str">
        <x:v>114.60</x:v>
      </x:c>
      <x:c r="L656" s="37" t="str">
        <x:v>479</x:v>
      </x:c>
      <x:c r="M656" s="29" t="str">
        <x:v>255.04</x:v>
      </x:c>
      <x:c r="N656" s="29" t="str">
        <x:v>175.80</x:v>
      </x:c>
      <x:c r="O656" s="29" t="str">
        <x:v>79.24</x:v>
      </x:c>
      <x:c r="P656" s="18" t="str">
        <x:v>2026-08-03</x:v>
      </x:c>
      <x:c r="Q656" s="36" t="n">
        <x:v>46237</x:v>
      </x:c>
    </x:row>
    <x:row r="657">
      <x:c r="A657" s="36" t="str">
        <x:v>2026-08-03</x:v>
      </x:c>
      <x:c r="B657" s="18" t="str">
        <x:v>101437000_95091</x:v>
      </x:c>
      <x:c r="C657" s="18" t="str">
        <x:v>【沪村小电】金悦学府2号站</x:v>
      </x:c>
      <x:c r="D657" s="37" t="str">
        <x:v>2</x:v>
      </x:c>
      <x:c r="E657" s="37" t="str">
        <x:v>0</x:v>
      </x:c>
      <x:c r="F657" s="37" t="str">
        <x:v>39</x:v>
      </x:c>
      <x:c r="G657" s="37" t="str">
        <x:v>934.84</x:v>
      </x:c>
      <x:c r="H657" s="37" t="str">
        <x:v>0.00</x:v>
      </x:c>
      <x:c r="I657" s="37" t="str">
        <x:v>0.00</x:v>
      </x:c>
      <x:c r="J657" s="37" t="str">
        <x:v>934.84</x:v>
      </x:c>
      <x:c r="K657" s="37" t="str">
        <x:v>0.00</x:v>
      </x:c>
      <x:c r="L657" s="37" t="str">
        <x:v>1598</x:v>
      </x:c>
      <x:c r="M657" s="29" t="str">
        <x:v>738.51</x:v>
      </x:c>
      <x:c r="N657" s="29" t="str">
        <x:v>523.49</x:v>
      </x:c>
      <x:c r="O657" s="29" t="str">
        <x:v>215.02</x:v>
      </x:c>
      <x:c r="P657" s="18" t="str">
        <x:v>2026-08-03</x:v>
      </x:c>
      <x:c r="Q657" s="36" t="n">
        <x:v>46237</x:v>
      </x:c>
    </x:row>
    <x:row r="658">
      <x:c r="A658" s="36" t="str">
        <x:v>2026-08-03</x:v>
      </x:c>
      <x:c r="B658" s="18" t="str">
        <x:v>101437000_95941</x:v>
      </x:c>
      <x:c r="C658" s="18" t="str">
        <x:v>【沪村小电】惠诚雅苑</x:v>
      </x:c>
      <x:c r="D658" s="37" t="str">
        <x:v>4</x:v>
      </x:c>
      <x:c r="E658" s="37" t="str">
        <x:v>0</x:v>
      </x:c>
      <x:c r="F658" s="37" t="str">
        <x:v>40</x:v>
      </x:c>
      <x:c r="G658" s="37" t="str">
        <x:v>1103.97</x:v>
      </x:c>
      <x:c r="H658" s="37" t="str">
        <x:v>0.00</x:v>
      </x:c>
      <x:c r="I658" s="37" t="str">
        <x:v>488.75</x:v>
      </x:c>
      <x:c r="J658" s="37" t="str">
        <x:v>0.00</x:v>
      </x:c>
      <x:c r="K658" s="37" t="str">
        <x:v>615.22</x:v>
      </x:c>
      <x:c r="L658" s="37" t="str">
        <x:v>1639</x:v>
      </x:c>
      <x:c r="M658" s="29" t="str">
        <x:v>735.79</x:v>
      </x:c>
      <x:c r="N658" s="29" t="str">
        <x:v>479.09</x:v>
      </x:c>
      <x:c r="O658" s="29" t="str">
        <x:v>256.70</x:v>
      </x:c>
      <x:c r="P658" s="18" t="str">
        <x:v>2026-08-03</x:v>
      </x:c>
      <x:c r="Q658" s="36" t="n">
        <x:v>46237</x:v>
      </x:c>
    </x:row>
    <x:row r="659">
      <x:c r="A659" s="36" t="str">
        <x:v>2026-08-03</x:v>
      </x:c>
      <x:c r="B659" s="18" t="str">
        <x:v>101437000_96401</x:v>
      </x:c>
      <x:c r="C659" s="18" t="str">
        <x:v>【沪村小电】上海联怡枇杷乐园地面站</x:v>
      </x:c>
      <x:c r="D659" s="37" t="str">
        <x:v>2</x:v>
      </x:c>
      <x:c r="E659" s="37" t="str">
        <x:v>0</x:v>
      </x:c>
      <x:c r="F659" s="37" t="str">
        <x:v>13</x:v>
      </x:c>
      <x:c r="G659" s="37" t="str">
        <x:v>311.75</x:v>
      </x:c>
      <x:c r="H659" s="37" t="str">
        <x:v>0.00</x:v>
      </x:c>
      <x:c r="I659" s="37" t="str">
        <x:v>160.65</x:v>
      </x:c>
      <x:c r="J659" s="37" t="str">
        <x:v>0.00</x:v>
      </x:c>
      <x:c r="K659" s="37" t="str">
        <x:v>151.09</x:v>
      </x:c>
      <x:c r="L659" s="37" t="str">
        <x:v>512</x:v>
      </x:c>
      <x:c r="M659" s="29" t="str">
        <x:v>274.45</x:v>
      </x:c>
      <x:c r="N659" s="29" t="str">
        <x:v>214.09</x:v>
      </x:c>
      <x:c r="O659" s="29" t="str">
        <x:v>60.36</x:v>
      </x:c>
      <x:c r="P659" s="18" t="str">
        <x:v>2026-08-03</x:v>
      </x:c>
      <x:c r="Q659" s="36" t="n">
        <x:v>46237</x:v>
      </x:c>
    </x:row>
    <x:row r="660">
      <x:c r="A660" s="36" t="str">
        <x:v>2026-08-03</x:v>
      </x:c>
      <x:c r="B660" s="18" t="str">
        <x:v>101437000_96719</x:v>
      </x:c>
      <x:c r="C660" s="18" t="str">
        <x:v>【沪村小电】四达路220弄充电站</x:v>
      </x:c>
      <x:c r="D660" s="37" t="str">
        <x:v>2</x:v>
      </x:c>
      <x:c r="E660" s="37" t="str">
        <x:v>0</x:v>
      </x:c>
      <x:c r="F660" s="37" t="str">
        <x:v>1</x:v>
      </x:c>
      <x:c r="G660" s="37" t="str">
        <x:v>17.09</x:v>
      </x:c>
      <x:c r="H660" s="37" t="str">
        <x:v>0.00</x:v>
      </x:c>
      <x:c r="I660" s="37" t="str">
        <x:v>17.09</x:v>
      </x:c>
      <x:c r="J660" s="37" t="str">
        <x:v>0.00</x:v>
      </x:c>
      <x:c r="K660" s="37" t="str">
        <x:v>0.00</x:v>
      </x:c>
      <x:c r="L660" s="37" t="str">
        <x:v>31</x:v>
      </x:c>
      <x:c r="M660" s="29" t="str">
        <x:v>20.16</x:v>
      </x:c>
      <x:c r="N660" s="29" t="str">
        <x:v>12.13</x:v>
      </x:c>
      <x:c r="O660" s="29" t="str">
        <x:v>8.03</x:v>
      </x:c>
      <x:c r="P660" s="18" t="str">
        <x:v>2026-08-03</x:v>
      </x:c>
      <x:c r="Q660" s="36" t="n">
        <x:v>46237</x:v>
      </x:c>
    </x:row>
    <x:row r="661">
      <x:c r="A661" s="36" t="str">
        <x:v>2026-08-03</x:v>
      </x:c>
      <x:c r="B661" s="18" t="str">
        <x:v>101437000_97421</x:v>
      </x:c>
      <x:c r="C661" s="18" t="str">
        <x:v>【沪村小电】玉兰清苑二期（小区外）充电站</x:v>
      </x:c>
      <x:c r="D661" s="37" t="str">
        <x:v>4</x:v>
      </x:c>
      <x:c r="E661" s="37" t="str">
        <x:v>0</x:v>
      </x:c>
      <x:c r="F661" s="37" t="str">
        <x:v>49</x:v>
      </x:c>
      <x:c r="G661" s="37" t="str">
        <x:v>1087.64</x:v>
      </x:c>
      <x:c r="H661" s="37" t="str">
        <x:v>0.00</x:v>
      </x:c>
      <x:c r="I661" s="37" t="str">
        <x:v>878.68</x:v>
      </x:c>
      <x:c r="J661" s="37" t="str">
        <x:v>0.00</x:v>
      </x:c>
      <x:c r="K661" s="37" t="str">
        <x:v>208.96</x:v>
      </x:c>
      <x:c r="L661" s="37" t="str">
        <x:v>1944</x:v>
      </x:c>
      <x:c r="M661" s="29" t="str">
        <x:v>1043.92</x:v>
      </x:c>
      <x:c r="N661" s="29" t="str">
        <x:v>701.19</x:v>
      </x:c>
      <x:c r="O661" s="29" t="str">
        <x:v>342.73</x:v>
      </x:c>
      <x:c r="P661" s="18" t="str">
        <x:v>2026-08-03</x:v>
      </x:c>
      <x:c r="Q661" s="36" t="n">
        <x:v>46237</x:v>
      </x:c>
    </x:row>
    <x:row r="662">
      <x:c r="A662" s="36" t="str">
        <x:v>2026-08-03</x:v>
      </x:c>
      <x:c r="B662" s="18" t="str">
        <x:v>101437000_98013</x:v>
      </x:c>
      <x:c r="C662" s="18" t="str">
        <x:v>【沪村小电】恒大滨江华府充电站</x:v>
      </x:c>
      <x:c r="D662" s="37" t="str">
        <x:v>4</x:v>
      </x:c>
      <x:c r="E662" s="37" t="str">
        <x:v>0</x:v>
      </x:c>
      <x:c r="F662" s="37" t="str">
        <x:v>52</x:v>
      </x:c>
      <x:c r="G662" s="37" t="str">
        <x:v>1107.90</x:v>
      </x:c>
      <x:c r="H662" s="37" t="str">
        <x:v>0.00</x:v>
      </x:c>
      <x:c r="I662" s="37" t="str">
        <x:v>842.60</x:v>
      </x:c>
      <x:c r="J662" s="37" t="str">
        <x:v>0.00</x:v>
      </x:c>
      <x:c r="K662" s="37" t="str">
        <x:v>265.31</x:v>
      </x:c>
      <x:c r="L662" s="37" t="str">
        <x:v>1653</x:v>
      </x:c>
      <x:c r="M662" s="29" t="str">
        <x:v>1118.08</x:v>
      </x:c>
      <x:c r="N662" s="29" t="str">
        <x:v>880.38</x:v>
      </x:c>
      <x:c r="O662" s="29" t="str">
        <x:v>237.70</x:v>
      </x:c>
      <x:c r="P662" s="18" t="str">
        <x:v>2026-08-03</x:v>
      </x:c>
      <x:c r="Q662" s="36" t="n">
        <x:v>46237</x:v>
      </x:c>
    </x:row>
    <x:row r="663">
      <x:c r="A663" s="36" t="str">
        <x:v>2026-08-03</x:v>
      </x:c>
      <x:c r="B663" s="18" t="str">
        <x:v>101437000_98863</x:v>
      </x:c>
      <x:c r="C663" s="18" t="str">
        <x:v>【沪村小电】欣菊苑充电站</x:v>
      </x:c>
      <x:c r="D663" s="37" t="str">
        <x:v>4</x:v>
      </x:c>
      <x:c r="E663" s="37" t="str">
        <x:v>0</x:v>
      </x:c>
      <x:c r="F663" s="37" t="str">
        <x:v>20</x:v>
      </x:c>
      <x:c r="G663" s="37" t="str">
        <x:v>380.21</x:v>
      </x:c>
      <x:c r="H663" s="37" t="str">
        <x:v>0.00</x:v>
      </x:c>
      <x:c r="I663" s="37" t="str">
        <x:v>319.50</x:v>
      </x:c>
      <x:c r="J663" s="37" t="str">
        <x:v>0.00</x:v>
      </x:c>
      <x:c r="K663" s="37" t="str">
        <x:v>60.71</x:v>
      </x:c>
      <x:c r="L663" s="37" t="str">
        <x:v>539</x:v>
      </x:c>
      <x:c r="M663" s="29" t="str">
        <x:v>407.48</x:v>
      </x:c>
      <x:c r="N663" s="29" t="str">
        <x:v>249.31</x:v>
      </x:c>
      <x:c r="O663" s="29" t="str">
        <x:v>158.17</x:v>
      </x:c>
      <x:c r="P663" s="18" t="str">
        <x:v>2026-08-03</x:v>
      </x:c>
      <x:c r="Q663" s="36" t="n">
        <x:v>46237</x:v>
      </x:c>
    </x:row>
    <x:row r="664">
      <x:c r="A664" s="36" t="str">
        <x:v>2026-08-03</x:v>
      </x:c>
      <x:c r="B664" s="18" t="str">
        <x:v>101437000_98867</x:v>
      </x:c>
      <x:c r="C664" s="18" t="str">
        <x:v>【沪村小电】欣荷苑充电站</x:v>
      </x:c>
      <x:c r="D664" s="37" t="str">
        <x:v>4</x:v>
      </x:c>
      <x:c r="E664" s="37" t="str">
        <x:v>0</x:v>
      </x:c>
      <x:c r="F664" s="37" t="str">
        <x:v>18</x:v>
      </x:c>
      <x:c r="G664" s="37" t="str">
        <x:v>466.60</x:v>
      </x:c>
      <x:c r="H664" s="37" t="str">
        <x:v>0.00</x:v>
      </x:c>
      <x:c r="I664" s="37" t="str">
        <x:v>433.25</x:v>
      </x:c>
      <x:c r="J664" s="37" t="str">
        <x:v>0.00</x:v>
      </x:c>
      <x:c r="K664" s="37" t="str">
        <x:v>33.34</x:v>
      </x:c>
      <x:c r="L664" s="37" t="str">
        <x:v>649</x:v>
      </x:c>
      <x:c r="M664" s="29" t="str">
        <x:v>484.07</x:v>
      </x:c>
      <x:c r="N664" s="29" t="str">
        <x:v>319.96</x:v>
      </x:c>
      <x:c r="O664" s="29" t="str">
        <x:v>164.11</x:v>
      </x:c>
      <x:c r="P664" s="18" t="str">
        <x:v>2026-08-03</x:v>
      </x:c>
      <x:c r="Q664" s="36" t="n">
        <x:v>46237</x:v>
      </x:c>
    </x:row>
    <x:row r="665">
      <x:c r="A665" s="36" t="str">
        <x:v>2026-08-03</x:v>
      </x:c>
      <x:c r="B665" s="18" t="str">
        <x:v>101437000_99887</x:v>
      </x:c>
      <x:c r="C665" s="18" t="str">
        <x:v>【沪村小电】新南村河南小区充电站</x:v>
      </x:c>
      <x:c r="D665" s="37" t="str">
        <x:v>2</x:v>
      </x:c>
      <x:c r="E665" s="37" t="str">
        <x:v>0</x:v>
      </x:c>
      <x:c r="F665" s="37" t="str">
        <x:v>25</x:v>
      </x:c>
      <x:c r="G665" s="37" t="str">
        <x:v>574.75</x:v>
      </x:c>
      <x:c r="H665" s="37" t="str">
        <x:v>0.00</x:v>
      </x:c>
      <x:c r="I665" s="37" t="str">
        <x:v>369.24</x:v>
      </x:c>
      <x:c r="J665" s="37" t="str">
        <x:v>0.00</x:v>
      </x:c>
      <x:c r="K665" s="37" t="str">
        <x:v>205.51</x:v>
      </x:c>
      <x:c r="L665" s="37" t="str">
        <x:v>936</x:v>
      </x:c>
      <x:c r="M665" s="29" t="str">
        <x:v>507.28</x:v>
      </x:c>
      <x:c r="N665" s="29" t="str">
        <x:v>338.21</x:v>
      </x:c>
      <x:c r="O665" s="29" t="str">
        <x:v>169.07</x:v>
      </x:c>
      <x:c r="P665" s="18" t="str">
        <x:v>2026-08-03</x:v>
      </x:c>
      <x:c r="Q665" s="36" t="n">
        <x:v>46237</x:v>
      </x:c>
    </x:row>
    <x:row r="666">
      <x:c r="A666" s="36" t="str">
        <x:v>2026-08-03</x:v>
      </x:c>
      <x:c r="B666" s="18" t="str">
        <x:v>101437000_99889</x:v>
      </x:c>
      <x:c r="C666" s="18" t="str">
        <x:v>【沪村小电】漕泾郊野公园</x:v>
      </x:c>
      <x:c r="D666" s="37" t="str">
        <x:v>2</x:v>
      </x:c>
      <x:c r="E666" s="37" t="str">
        <x:v>0</x:v>
      </x:c>
      <x:c r="F666" s="37" t="str">
        <x:v>5</x:v>
      </x:c>
      <x:c r="G666" s="37" t="str">
        <x:v>80.97</x:v>
      </x:c>
      <x:c r="H666" s="37" t="str">
        <x:v>0.00</x:v>
      </x:c>
      <x:c r="I666" s="37" t="str">
        <x:v>80.97</x:v>
      </x:c>
      <x:c r="J666" s="37" t="str">
        <x:v>0.00</x:v>
      </x:c>
      <x:c r="K666" s="37" t="str">
        <x:v>0.00</x:v>
      </x:c>
      <x:c r="L666" s="37" t="str">
        <x:v>122</x:v>
      </x:c>
      <x:c r="M666" s="29" t="str">
        <x:v>89.45</x:v>
      </x:c>
      <x:c r="N666" s="29" t="str">
        <x:v>61.54</x:v>
      </x:c>
      <x:c r="O666" s="29" t="str">
        <x:v>27.91</x:v>
      </x:c>
      <x:c r="P666" s="18" t="str">
        <x:v>2026-08-03</x:v>
      </x:c>
      <x:c r="Q666" s="36" t="n">
        <x:v>46237</x:v>
      </x:c>
    </x:row>
    <x:row r="667">
      <x:c r="A667" s="36" t="str">
        <x:v>2026-08-03</x:v>
      </x:c>
      <x:c r="B667" s="18" t="str">
        <x:v>101437000_99891</x:v>
      </x:c>
      <x:c r="C667" s="18" t="str">
        <x:v>【沪村小电】水韵紫城充电站</x:v>
      </x:c>
      <x:c r="D667" s="37" t="str">
        <x:v>4</x:v>
      </x:c>
      <x:c r="E667" s="37" t="str">
        <x:v>0</x:v>
      </x:c>
      <x:c r="F667" s="37" t="str">
        <x:v>35</x:v>
      </x:c>
      <x:c r="G667" s="37" t="str">
        <x:v>848.40</x:v>
      </x:c>
      <x:c r="H667" s="37" t="str">
        <x:v>0.00</x:v>
      </x:c>
      <x:c r="I667" s="37" t="str">
        <x:v>604.90</x:v>
      </x:c>
      <x:c r="J667" s="37" t="str">
        <x:v>0.00</x:v>
      </x:c>
      <x:c r="K667" s="37" t="str">
        <x:v>243.50</x:v>
      </x:c>
      <x:c r="L667" s="37" t="str">
        <x:v>1513</x:v>
      </x:c>
      <x:c r="M667" s="29" t="str">
        <x:v>780.49</x:v>
      </x:c>
      <x:c r="N667" s="29" t="str">
        <x:v>519.56</x:v>
      </x:c>
      <x:c r="O667" s="29" t="str">
        <x:v>260.93</x:v>
      </x:c>
      <x:c r="P667" s="18" t="str">
        <x:v>2026-08-03</x:v>
      </x:c>
      <x:c r="Q667" s="36" t="n">
        <x:v>46237</x:v>
      </x:c>
    </x:row>
    <x:row r="668">
      <x:c r="A668" s="36" t="str">
        <x:v>2026-08-02</x:v>
      </x:c>
      <x:c r="B668" s="18" t="str">
        <x:v>101437000_100523</x:v>
      </x:c>
      <x:c r="C668" s="18" t="str">
        <x:v>【沪村小电】民旺苑南区</x:v>
      </x:c>
      <x:c r="D668" s="37" t="str">
        <x:v>4</x:v>
      </x:c>
      <x:c r="E668" s="37" t="str">
        <x:v>0</x:v>
      </x:c>
      <x:c r="F668" s="37" t="str">
        <x:v>5</x:v>
      </x:c>
      <x:c r="G668" s="37" t="str">
        <x:v>126.05</x:v>
      </x:c>
      <x:c r="H668" s="37" t="str">
        <x:v>0.00</x:v>
      </x:c>
      <x:c r="I668" s="37" t="str">
        <x:v>96.96</x:v>
      </x:c>
      <x:c r="J668" s="37" t="str">
        <x:v>0.00</x:v>
      </x:c>
      <x:c r="K668" s="37" t="str">
        <x:v>29.09</x:v>
      </x:c>
      <x:c r="L668" s="37" t="str">
        <x:v>171</x:v>
      </x:c>
      <x:c r="M668" s="29" t="str">
        <x:v>108.98</x:v>
      </x:c>
      <x:c r="N668" s="29" t="str">
        <x:v>82.52</x:v>
      </x:c>
      <x:c r="O668" s="29" t="str">
        <x:v>26.46</x:v>
      </x:c>
      <x:c r="P668" s="18" t="str">
        <x:v>2026-08-02</x:v>
      </x:c>
      <x:c r="Q668" s="36" t="n">
        <x:v>46236</x:v>
      </x:c>
    </x:row>
    <x:row r="669">
      <x:c r="A669" s="36" t="str">
        <x:v>2026-08-02</x:v>
      </x:c>
      <x:c r="B669" s="18" t="str">
        <x:v>101437000_101531</x:v>
      </x:c>
      <x:c r="C669" s="18" t="str">
        <x:v>【沪村小电】汇中苑充电站</x:v>
      </x:c>
      <x:c r="D669" s="37" t="str">
        <x:v>2</x:v>
      </x:c>
      <x:c r="E669" s="37" t="str">
        <x:v>0</x:v>
      </x:c>
      <x:c r="F669" s="37" t="str">
        <x:v>10</x:v>
      </x:c>
      <x:c r="G669" s="37" t="str">
        <x:v>225.94</x:v>
      </x:c>
      <x:c r="H669" s="37" t="str">
        <x:v>0.00</x:v>
      </x:c>
      <x:c r="I669" s="37" t="str">
        <x:v>22.67</x:v>
      </x:c>
      <x:c r="J669" s="37" t="str">
        <x:v>105.81</x:v>
      </x:c>
      <x:c r="K669" s="37" t="str">
        <x:v>97.47</x:v>
      </x:c>
      <x:c r="L669" s="37" t="str">
        <x:v>310</x:v>
      </x:c>
      <x:c r="M669" s="29" t="str">
        <x:v>244.87</x:v>
      </x:c>
      <x:c r="N669" s="29" t="str">
        <x:v>137.29</x:v>
      </x:c>
      <x:c r="O669" s="29" t="str">
        <x:v>107.58</x:v>
      </x:c>
      <x:c r="P669" s="18" t="str">
        <x:v>2026-08-02</x:v>
      </x:c>
      <x:c r="Q669" s="36" t="n">
        <x:v>46236</x:v>
      </x:c>
    </x:row>
    <x:row r="670">
      <x:c r="A670" s="36" t="str">
        <x:v>2026-08-02</x:v>
      </x:c>
      <x:c r="B670" s="18" t="str">
        <x:v>101437000_102047</x:v>
      </x:c>
      <x:c r="C670" s="18" t="str">
        <x:v>【沪村小电】后浜小区9弄小区南面停车场充电站</x:v>
      </x:c>
      <x:c r="D670" s="37" t="str">
        <x:v>8</x:v>
      </x:c>
      <x:c r="E670" s="37" t="str">
        <x:v>0</x:v>
      </x:c>
      <x:c r="F670" s="37" t="str">
        <x:v>57</x:v>
      </x:c>
      <x:c r="G670" s="37" t="str">
        <x:v>1204.54</x:v>
      </x:c>
      <x:c r="H670" s="37" t="str">
        <x:v>0.00</x:v>
      </x:c>
      <x:c r="I670" s="37" t="str">
        <x:v>774.78</x:v>
      </x:c>
      <x:c r="J670" s="37" t="str">
        <x:v>0.00</x:v>
      </x:c>
      <x:c r="K670" s="37" t="str">
        <x:v>429.76</x:v>
      </x:c>
      <x:c r="L670" s="37" t="str">
        <x:v>1793</x:v>
      </x:c>
      <x:c r="M670" s="29" t="str">
        <x:v>1235.18</x:v>
      </x:c>
      <x:c r="N670" s="29" t="str">
        <x:v>752.09</x:v>
      </x:c>
      <x:c r="O670" s="29" t="str">
        <x:v>483.09</x:v>
      </x:c>
      <x:c r="P670" s="18" t="str">
        <x:v>2026-08-02</x:v>
      </x:c>
      <x:c r="Q670" s="36" t="n">
        <x:v>46236</x:v>
      </x:c>
    </x:row>
    <x:row r="671">
      <x:c r="A671" s="36" t="str">
        <x:v>2026-08-02</x:v>
      </x:c>
      <x:c r="B671" s="18" t="str">
        <x:v>101437000_103503</x:v>
      </x:c>
      <x:c r="C671" s="18" t="str">
        <x:v>【沪村小电】阳光城新界充电站</x:v>
      </x:c>
      <x:c r="D671" s="37" t="str">
        <x:v>4</x:v>
      </x:c>
      <x:c r="E671" s="37" t="str">
        <x:v>0</x:v>
      </x:c>
      <x:c r="F671" s="37" t="str">
        <x:v>21</x:v>
      </x:c>
      <x:c r="G671" s="37" t="str">
        <x:v>440.51</x:v>
      </x:c>
      <x:c r="H671" s="37" t="str">
        <x:v>0.00</x:v>
      </x:c>
      <x:c r="I671" s="37" t="str">
        <x:v>311.48</x:v>
      </x:c>
      <x:c r="J671" s="37" t="str">
        <x:v>0.00</x:v>
      </x:c>
      <x:c r="K671" s="37" t="str">
        <x:v>129.03</x:v>
      </x:c>
      <x:c r="L671" s="37" t="str">
        <x:v>690</x:v>
      </x:c>
      <x:c r="M671" s="29" t="str">
        <x:v>511.91</x:v>
      </x:c>
      <x:c r="N671" s="29" t="str">
        <x:v>294.59</x:v>
      </x:c>
      <x:c r="O671" s="29" t="str">
        <x:v>217.32</x:v>
      </x:c>
      <x:c r="P671" s="18" t="str">
        <x:v>2026-08-02</x:v>
      </x:c>
      <x:c r="Q671" s="36" t="n">
        <x:v>46236</x:v>
      </x:c>
    </x:row>
    <x:row r="672">
      <x:c r="A672" s="36" t="str">
        <x:v>2026-08-02</x:v>
      </x:c>
      <x:c r="B672" s="18" t="str">
        <x:v>101437000_41561</x:v>
      </x:c>
      <x:c r="C672" s="18" t="str">
        <x:v>【沪村小电】张施小区大门处快充站</x:v>
      </x:c>
      <x:c r="D672" s="37" t="str">
        <x:v>2</x:v>
      </x:c>
      <x:c r="E672" s="37" t="str">
        <x:v>0</x:v>
      </x:c>
      <x:c r="F672" s="37" t="str">
        <x:v>46</x:v>
      </x:c>
      <x:c r="G672" s="37" t="str">
        <x:v>1236.16</x:v>
      </x:c>
      <x:c r="H672" s="37" t="str">
        <x:v>0.00</x:v>
      </x:c>
      <x:c r="I672" s="37" t="str">
        <x:v>699.64</x:v>
      </x:c>
      <x:c r="J672" s="37" t="str">
        <x:v>0.00</x:v>
      </x:c>
      <x:c r="K672" s="37" t="str">
        <x:v>536.52</x:v>
      </x:c>
      <x:c r="L672" s="37" t="str">
        <x:v>2106</x:v>
      </x:c>
      <x:c r="M672" s="29" t="str">
        <x:v>998.72</x:v>
      </x:c>
      <x:c r="N672" s="29" t="str">
        <x:v>695.23</x:v>
      </x:c>
      <x:c r="O672" s="29" t="str">
        <x:v>303.49</x:v>
      </x:c>
      <x:c r="P672" s="18" t="str">
        <x:v>2026-08-02</x:v>
      </x:c>
      <x:c r="Q672" s="36" t="n">
        <x:v>46236</x:v>
      </x:c>
    </x:row>
    <x:row r="673">
      <x:c r="A673" s="36" t="str">
        <x:v>2026-08-02</x:v>
      </x:c>
      <x:c r="B673" s="18" t="str">
        <x:v>101437000_41563</x:v>
      </x:c>
      <x:c r="C673" s="18" t="str">
        <x:v>【沪村小电】同心村快充站</x:v>
      </x:c>
      <x:c r="D673" s="37" t="str">
        <x:v>4</x:v>
      </x:c>
      <x:c r="E673" s="37" t="str">
        <x:v>0</x:v>
      </x:c>
      <x:c r="F673" s="37" t="str">
        <x:v>38</x:v>
      </x:c>
      <x:c r="G673" s="37" t="str">
        <x:v>942.10</x:v>
      </x:c>
      <x:c r="H673" s="37" t="str">
        <x:v>0.00</x:v>
      </x:c>
      <x:c r="I673" s="37" t="str">
        <x:v>684.92</x:v>
      </x:c>
      <x:c r="J673" s="37" t="str">
        <x:v>0.00</x:v>
      </x:c>
      <x:c r="K673" s="37" t="str">
        <x:v>257.18</x:v>
      </x:c>
      <x:c r="L673" s="37" t="str">
        <x:v>1567</x:v>
      </x:c>
      <x:c r="M673" s="29" t="str">
        <x:v>896.40</x:v>
      </x:c>
      <x:c r="N673" s="29" t="str">
        <x:v>581.45</x:v>
      </x:c>
      <x:c r="O673" s="29" t="str">
        <x:v>314.95</x:v>
      </x:c>
      <x:c r="P673" s="18" t="str">
        <x:v>2026-08-02</x:v>
      </x:c>
      <x:c r="Q673" s="36" t="n">
        <x:v>46236</x:v>
      </x:c>
    </x:row>
    <x:row r="674">
      <x:c r="A674" s="36" t="str">
        <x:v>2026-08-02</x:v>
      </x:c>
      <x:c r="B674" s="18" t="str">
        <x:v>101437000_69629</x:v>
      </x:c>
      <x:c r="C674" s="18" t="str">
        <x:v>【沪村小电】骏丰玲珑坊西苑充电站</x:v>
      </x:c>
      <x:c r="D674" s="37" t="str">
        <x:v>2</x:v>
      </x:c>
      <x:c r="E674" s="37" t="str">
        <x:v>0</x:v>
      </x:c>
      <x:c r="F674" s="37" t="str">
        <x:v>57</x:v>
      </x:c>
      <x:c r="G674" s="37" t="str">
        <x:v>1483.86</x:v>
      </x:c>
      <x:c r="H674" s="37" t="str">
        <x:v>0.00</x:v>
      </x:c>
      <x:c r="I674" s="37" t="str">
        <x:v>891.28</x:v>
      </x:c>
      <x:c r="J674" s="37" t="str">
        <x:v>0.00</x:v>
      </x:c>
      <x:c r="K674" s="37" t="str">
        <x:v>592.58</x:v>
      </x:c>
      <x:c r="L674" s="37" t="str">
        <x:v>2561</x:v>
      </x:c>
      <x:c r="M674" s="29" t="str">
        <x:v>1253.48</x:v>
      </x:c>
      <x:c r="N674" s="29" t="str">
        <x:v>852.04</x:v>
      </x:c>
      <x:c r="O674" s="29" t="str">
        <x:v>401.44</x:v>
      </x:c>
      <x:c r="P674" s="18" t="str">
        <x:v>2026-08-02</x:v>
      </x:c>
      <x:c r="Q674" s="36" t="n">
        <x:v>46236</x:v>
      </x:c>
    </x:row>
    <x:row r="675">
      <x:c r="A675" s="36" t="str">
        <x:v>2026-08-02</x:v>
      </x:c>
      <x:c r="B675" s="18" t="str">
        <x:v>101437000_70547</x:v>
      </x:c>
      <x:c r="C675" s="18" t="str">
        <x:v>【沪村小电】农建村初心馆党群服务中心充电站</x:v>
      </x:c>
      <x:c r="D675" s="37" t="str">
        <x:v>4</x:v>
      </x:c>
      <x:c r="E675" s="37" t="str">
        <x:v>0</x:v>
      </x:c>
      <x:c r="F675" s="37" t="str">
        <x:v>30</x:v>
      </x:c>
      <x:c r="G675" s="37" t="str">
        <x:v>809.34</x:v>
      </x:c>
      <x:c r="H675" s="37" t="str">
        <x:v>0.00</x:v>
      </x:c>
      <x:c r="I675" s="37" t="str">
        <x:v>420.08</x:v>
      </x:c>
      <x:c r="J675" s="37" t="str">
        <x:v>0.00</x:v>
      </x:c>
      <x:c r="K675" s="37" t="str">
        <x:v>389.26</x:v>
      </x:c>
      <x:c r="L675" s="37" t="str">
        <x:v>1308</x:v>
      </x:c>
      <x:c r="M675" s="29" t="str">
        <x:v>692.12</x:v>
      </x:c>
      <x:c r="N675" s="29" t="str">
        <x:v>442.32</x:v>
      </x:c>
      <x:c r="O675" s="29" t="str">
        <x:v>249.80</x:v>
      </x:c>
      <x:c r="P675" s="18" t="str">
        <x:v>2026-08-02</x:v>
      </x:c>
      <x:c r="Q675" s="36" t="n">
        <x:v>46236</x:v>
      </x:c>
    </x:row>
    <x:row r="676">
      <x:c r="A676" s="36" t="str">
        <x:v>2026-08-02</x:v>
      </x:c>
      <x:c r="B676" s="18" t="str">
        <x:v>101437000_70549</x:v>
      </x:c>
      <x:c r="C676" s="18" t="str">
        <x:v>【沪村小电】学府路充电站</x:v>
      </x:c>
      <x:c r="D676" s="37" t="str">
        <x:v>2</x:v>
      </x:c>
      <x:c r="E676" s="37" t="str">
        <x:v>0</x:v>
      </x:c>
      <x:c r="F676" s="37" t="str">
        <x:v>9</x:v>
      </x:c>
      <x:c r="G676" s="37" t="str">
        <x:v>190.56</x:v>
      </x:c>
      <x:c r="H676" s="37" t="str">
        <x:v>0.00</x:v>
      </x:c>
      <x:c r="I676" s="37" t="str">
        <x:v>69.68</x:v>
      </x:c>
      <x:c r="J676" s="37" t="str">
        <x:v>0.00</x:v>
      </x:c>
      <x:c r="K676" s="37" t="str">
        <x:v>120.88</x:v>
      </x:c>
      <x:c r="L676" s="37" t="str">
        <x:v>307</x:v>
      </x:c>
      <x:c r="M676" s="29" t="str">
        <x:v>159.68</x:v>
      </x:c>
      <x:c r="N676" s="29" t="str">
        <x:v>94.20</x:v>
      </x:c>
      <x:c r="O676" s="29" t="str">
        <x:v>65.48</x:v>
      </x:c>
      <x:c r="P676" s="18" t="str">
        <x:v>2026-08-02</x:v>
      </x:c>
      <x:c r="Q676" s="36" t="n">
        <x:v>46236</x:v>
      </x:c>
    </x:row>
    <x:row r="677">
      <x:c r="A677" s="36" t="str">
        <x:v>2026-08-02</x:v>
      </x:c>
      <x:c r="B677" s="18" t="str">
        <x:v>101437000_71059</x:v>
      </x:c>
      <x:c r="C677" s="18" t="str">
        <x:v>【沪村小电】宝乐汇商业广场站</x:v>
      </x:c>
      <x:c r="D677" s="37" t="str">
        <x:v>4</x:v>
      </x:c>
      <x:c r="E677" s="37" t="str">
        <x:v>0</x:v>
      </x:c>
      <x:c r="F677" s="37" t="str">
        <x:v>17</x:v>
      </x:c>
      <x:c r="G677" s="37" t="str">
        <x:v>430.73</x:v>
      </x:c>
      <x:c r="H677" s="37" t="str">
        <x:v>0.00</x:v>
      </x:c>
      <x:c r="I677" s="37" t="str">
        <x:v>283.60</x:v>
      </x:c>
      <x:c r="J677" s="37" t="str">
        <x:v>0.00</x:v>
      </x:c>
      <x:c r="K677" s="37" t="str">
        <x:v>147.13</x:v>
      </x:c>
      <x:c r="L677" s="37" t="str">
        <x:v>605</x:v>
      </x:c>
      <x:c r="M677" s="29" t="str">
        <x:v>438.61</x:v>
      </x:c>
      <x:c r="N677" s="29" t="str">
        <x:v>322.92</x:v>
      </x:c>
      <x:c r="O677" s="29" t="str">
        <x:v>115.69</x:v>
      </x:c>
      <x:c r="P677" s="18" t="str">
        <x:v>2026-08-02</x:v>
      </x:c>
      <x:c r="Q677" s="36" t="n">
        <x:v>46236</x:v>
      </x:c>
    </x:row>
    <x:row r="678">
      <x:c r="A678" s="36" t="str">
        <x:v>2026-08-02</x:v>
      </x:c>
      <x:c r="B678" s="18" t="str">
        <x:v>101437000_72541</x:v>
      </x:c>
      <x:c r="C678" s="18" t="str">
        <x:v>【沪村小电】九干路1174弄充电站</x:v>
      </x:c>
      <x:c r="D678" s="37" t="str">
        <x:v>2</x:v>
      </x:c>
      <x:c r="E678" s="37" t="str">
        <x:v>0</x:v>
      </x:c>
      <x:c r="F678" s="37" t="str">
        <x:v>48</x:v>
      </x:c>
      <x:c r="G678" s="37" t="str">
        <x:v>959.38</x:v>
      </x:c>
      <x:c r="H678" s="37" t="str">
        <x:v>0.00</x:v>
      </x:c>
      <x:c r="I678" s="37" t="str">
        <x:v>599.77</x:v>
      </x:c>
      <x:c r="J678" s="37" t="str">
        <x:v>0.00</x:v>
      </x:c>
      <x:c r="K678" s="37" t="str">
        <x:v>359.61</x:v>
      </x:c>
      <x:c r="L678" s="37" t="str">
        <x:v>1645</x:v>
      </x:c>
      <x:c r="M678" s="29" t="str">
        <x:v>808.76</x:v>
      </x:c>
      <x:c r="N678" s="29" t="str">
        <x:v>558.92</x:v>
      </x:c>
      <x:c r="O678" s="29" t="str">
        <x:v>249.84</x:v>
      </x:c>
      <x:c r="P678" s="18" t="str">
        <x:v>2026-08-02</x:v>
      </x:c>
      <x:c r="Q678" s="36" t="n">
        <x:v>46236</x:v>
      </x:c>
    </x:row>
    <x:row r="679">
      <x:c r="A679" s="36" t="str">
        <x:v>2026-08-02</x:v>
      </x:c>
      <x:c r="B679" s="18" t="str">
        <x:v>101437000_72543</x:v>
      </x:c>
      <x:c r="C679" s="18" t="str">
        <x:v>【沪村小电】叶家中心村小区充电站</x:v>
      </x:c>
      <x:c r="D679" s="37" t="str">
        <x:v>2</x:v>
      </x:c>
      <x:c r="E679" s="37" t="str">
        <x:v>0</x:v>
      </x:c>
      <x:c r="F679" s="37" t="str">
        <x:v>44</x:v>
      </x:c>
      <x:c r="G679" s="37" t="str">
        <x:v>1092.10</x:v>
      </x:c>
      <x:c r="H679" s="37" t="str">
        <x:v>0.00</x:v>
      </x:c>
      <x:c r="I679" s="37" t="str">
        <x:v>606.06</x:v>
      </x:c>
      <x:c r="J679" s="37" t="str">
        <x:v>0.00</x:v>
      </x:c>
      <x:c r="K679" s="37" t="str">
        <x:v>486.04</x:v>
      </x:c>
      <x:c r="L679" s="37" t="str">
        <x:v>1976</x:v>
      </x:c>
      <x:c r="M679" s="29" t="str">
        <x:v>880.34</x:v>
      </x:c>
      <x:c r="N679" s="29" t="str">
        <x:v>610.15</x:v>
      </x:c>
      <x:c r="O679" s="29" t="str">
        <x:v>270.19</x:v>
      </x:c>
      <x:c r="P679" s="18" t="str">
        <x:v>2026-08-02</x:v>
      </x:c>
      <x:c r="Q679" s="36" t="n">
        <x:v>46236</x:v>
      </x:c>
    </x:row>
    <x:row r="680">
      <x:c r="A680" s="36" t="str">
        <x:v>2026-08-02</x:v>
      </x:c>
      <x:c r="B680" s="18" t="str">
        <x:v>101437000_72937</x:v>
      </x:c>
      <x:c r="C680" s="18" t="str">
        <x:v>【沪村小电】佘北家园茸腾苑充电站</x:v>
      </x:c>
      <x:c r="D680" s="37" t="str">
        <x:v>4</x:v>
      </x:c>
      <x:c r="E680" s="37" t="str">
        <x:v>0</x:v>
      </x:c>
      <x:c r="F680" s="37" t="str">
        <x:v>45</x:v>
      </x:c>
      <x:c r="G680" s="37" t="str">
        <x:v>1015.57</x:v>
      </x:c>
      <x:c r="H680" s="37" t="str">
        <x:v>0.00</x:v>
      </x:c>
      <x:c r="I680" s="37" t="str">
        <x:v>712.96</x:v>
      </x:c>
      <x:c r="J680" s="37" t="str">
        <x:v>0.00</x:v>
      </x:c>
      <x:c r="K680" s="37" t="str">
        <x:v>302.61</x:v>
      </x:c>
      <x:c r="L680" s="37" t="str">
        <x:v>1671</x:v>
      </x:c>
      <x:c r="M680" s="29" t="str">
        <x:v>918.03</x:v>
      </x:c>
      <x:c r="N680" s="29" t="str">
        <x:v>618.18</x:v>
      </x:c>
      <x:c r="O680" s="29" t="str">
        <x:v>299.85</x:v>
      </x:c>
      <x:c r="P680" s="18" t="str">
        <x:v>2026-08-02</x:v>
      </x:c>
      <x:c r="Q680" s="36" t="n">
        <x:v>46236</x:v>
      </x:c>
    </x:row>
    <x:row r="681">
      <x:c r="A681" s="36" t="str">
        <x:v>2026-08-02</x:v>
      </x:c>
      <x:c r="B681" s="18" t="str">
        <x:v>101437000_74223</x:v>
      </x:c>
      <x:c r="C681" s="18" t="str">
        <x:v>【沪村小电】中兴村委会充电站</x:v>
      </x:c>
      <x:c r="D681" s="37" t="str">
        <x:v>2</x:v>
      </x:c>
      <x:c r="E681" s="37" t="str">
        <x:v>0</x:v>
      </x:c>
      <x:c r="F681" s="37" t="str">
        <x:v>25</x:v>
      </x:c>
      <x:c r="G681" s="37" t="str">
        <x:v>606.76</x:v>
      </x:c>
      <x:c r="H681" s="37" t="str">
        <x:v>0.00</x:v>
      </x:c>
      <x:c r="I681" s="37" t="str">
        <x:v>238.20</x:v>
      </x:c>
      <x:c r="J681" s="37" t="str">
        <x:v>0.00</x:v>
      </x:c>
      <x:c r="K681" s="37" t="str">
        <x:v>368.56</x:v>
      </x:c>
      <x:c r="L681" s="37" t="str">
        <x:v>940</x:v>
      </x:c>
      <x:c r="M681" s="29" t="str">
        <x:v>482.69</x:v>
      </x:c>
      <x:c r="N681" s="29" t="str">
        <x:v>305.49</x:v>
      </x:c>
      <x:c r="O681" s="29" t="str">
        <x:v>177.20</x:v>
      </x:c>
      <x:c r="P681" s="18" t="str">
        <x:v>2026-08-02</x:v>
      </x:c>
      <x:c r="Q681" s="36" t="n">
        <x:v>46236</x:v>
      </x:c>
    </x:row>
    <x:row r="682">
      <x:c r="A682" s="36" t="str">
        <x:v>2026-08-02</x:v>
      </x:c>
      <x:c r="B682" s="18" t="str">
        <x:v>101437000_74801</x:v>
      </x:c>
      <x:c r="C682" s="18" t="str">
        <x:v>【沪村小电】申良花园充电站</x:v>
      </x:c>
      <x:c r="D682" s="37" t="str">
        <x:v>4</x:v>
      </x:c>
      <x:c r="E682" s="37" t="str">
        <x:v>0</x:v>
      </x:c>
      <x:c r="F682" s="37" t="str">
        <x:v>4</x:v>
      </x:c>
      <x:c r="G682" s="37" t="str">
        <x:v>86.72</x:v>
      </x:c>
      <x:c r="H682" s="37" t="str">
        <x:v>0.00</x:v>
      </x:c>
      <x:c r="I682" s="37" t="str">
        <x:v>30.70</x:v>
      </x:c>
      <x:c r="J682" s="37" t="str">
        <x:v>0.00</x:v>
      </x:c>
      <x:c r="K682" s="37" t="str">
        <x:v>56.02</x:v>
      </x:c>
      <x:c r="L682" s="37" t="str">
        <x:v>92</x:v>
      </x:c>
      <x:c r="M682" s="29" t="str">
        <x:v>68.81</x:v>
      </x:c>
      <x:c r="N682" s="29" t="str">
        <x:v>42.52</x:v>
      </x:c>
      <x:c r="O682" s="29" t="str">
        <x:v>26.29</x:v>
      </x:c>
      <x:c r="P682" s="18" t="str">
        <x:v>2026-08-02</x:v>
      </x:c>
      <x:c r="Q682" s="36" t="n">
        <x:v>46236</x:v>
      </x:c>
    </x:row>
    <x:row r="683">
      <x:c r="A683" s="36" t="str">
        <x:v>2026-08-02</x:v>
      </x:c>
      <x:c r="B683" s="18" t="str">
        <x:v>101437000_74931</x:v>
      </x:c>
      <x:c r="C683" s="18" t="str">
        <x:v>【沪村小电】枫雅南居充电站</x:v>
      </x:c>
      <x:c r="D683" s="37" t="str">
        <x:v>2</x:v>
      </x:c>
      <x:c r="E683" s="37" t="str">
        <x:v>0</x:v>
      </x:c>
      <x:c r="F683" s="37" t="str">
        <x:v>61</x:v>
      </x:c>
      <x:c r="G683" s="37" t="str">
        <x:v>1654.14</x:v>
      </x:c>
      <x:c r="H683" s="37" t="str">
        <x:v>0.00</x:v>
      </x:c>
      <x:c r="I683" s="37" t="str">
        <x:v>830.05</x:v>
      </x:c>
      <x:c r="J683" s="37" t="str">
        <x:v>0.00</x:v>
      </x:c>
      <x:c r="K683" s="37" t="str">
        <x:v>824.09</x:v>
      </x:c>
      <x:c r="L683" s="37" t="str">
        <x:v>2602</x:v>
      </x:c>
      <x:c r="M683" s="29" t="str">
        <x:v>1147.10</x:v>
      </x:c>
      <x:c r="N683" s="29" t="str">
        <x:v>745.19</x:v>
      </x:c>
      <x:c r="O683" s="29" t="str">
        <x:v>401.91</x:v>
      </x:c>
      <x:c r="P683" s="18" t="str">
        <x:v>2026-08-02</x:v>
      </x:c>
      <x:c r="Q683" s="36" t="n">
        <x:v>46236</x:v>
      </x:c>
    </x:row>
    <x:row r="684">
      <x:c r="A684" s="36" t="str">
        <x:v>2026-08-02</x:v>
      </x:c>
      <x:c r="B684" s="18" t="str">
        <x:v>101437000_75901</x:v>
      </x:c>
      <x:c r="C684" s="18" t="str">
        <x:v>【沪村小电】金悦学府</x:v>
      </x:c>
      <x:c r="D684" s="37" t="str">
        <x:v>2</x:v>
      </x:c>
      <x:c r="E684" s="37" t="str">
        <x:v>0</x:v>
      </x:c>
      <x:c r="F684" s="37" t="str">
        <x:v>57</x:v>
      </x:c>
      <x:c r="G684" s="37" t="str">
        <x:v>1537.09</x:v>
      </x:c>
      <x:c r="H684" s="37" t="str">
        <x:v>0.00</x:v>
      </x:c>
      <x:c r="I684" s="37" t="str">
        <x:v>772.00</x:v>
      </x:c>
      <x:c r="J684" s="37" t="str">
        <x:v>0.00</x:v>
      </x:c>
      <x:c r="K684" s="37" t="str">
        <x:v>765.09</x:v>
      </x:c>
      <x:c r="L684" s="37" t="str">
        <x:v>2553</x:v>
      </x:c>
      <x:c r="M684" s="29" t="str">
        <x:v>1172.86</x:v>
      </x:c>
      <x:c r="N684" s="29" t="str">
        <x:v>692.66</x:v>
      </x:c>
      <x:c r="O684" s="29" t="str">
        <x:v>480.20</x:v>
      </x:c>
      <x:c r="P684" s="18" t="str">
        <x:v>2026-08-02</x:v>
      </x:c>
      <x:c r="Q684" s="36" t="n">
        <x:v>46236</x:v>
      </x:c>
    </x:row>
    <x:row r="685">
      <x:c r="A685" s="36" t="str">
        <x:v>2026-08-02</x:v>
      </x:c>
      <x:c r="B685" s="18" t="str">
        <x:v>101437000_76091</x:v>
      </x:c>
      <x:c r="C685" s="18" t="str">
        <x:v>【沪村小电】恒信家园充电站</x:v>
      </x:c>
      <x:c r="D685" s="37" t="str">
        <x:v>2</x:v>
      </x:c>
      <x:c r="E685" s="37" t="str">
        <x:v>0</x:v>
      </x:c>
      <x:c r="F685" s="37" t="str">
        <x:v>35</x:v>
      </x:c>
      <x:c r="G685" s="37" t="str">
        <x:v>879.03</x:v>
      </x:c>
      <x:c r="H685" s="37" t="str">
        <x:v>0.00</x:v>
      </x:c>
      <x:c r="I685" s="37" t="str">
        <x:v>524.81</x:v>
      </x:c>
      <x:c r="J685" s="37" t="str">
        <x:v>0.00</x:v>
      </x:c>
      <x:c r="K685" s="37" t="str">
        <x:v>354.22</x:v>
      </x:c>
      <x:c r="L685" s="37" t="str">
        <x:v>1106</x:v>
      </x:c>
      <x:c r="M685" s="29" t="str">
        <x:v>882.35</x:v>
      </x:c>
      <x:c r="N685" s="29" t="str">
        <x:v>503.70</x:v>
      </x:c>
      <x:c r="O685" s="29" t="str">
        <x:v>378.65</x:v>
      </x:c>
      <x:c r="P685" s="18" t="str">
        <x:v>2026-08-02</x:v>
      </x:c>
      <x:c r="Q685" s="36" t="n">
        <x:v>46236</x:v>
      </x:c>
    </x:row>
    <x:row r="686">
      <x:c r="A686" s="36" t="str">
        <x:v>2026-08-02</x:v>
      </x:c>
      <x:c r="B686" s="18" t="str">
        <x:v>101437000_76417</x:v>
      </x:c>
      <x:c r="C686" s="18" t="str">
        <x:v>【沪村小电】新春一组充电站</x:v>
      </x:c>
      <x:c r="D686" s="37" t="str">
        <x:v>2</x:v>
      </x:c>
      <x:c r="E686" s="37" t="str">
        <x:v>0</x:v>
      </x:c>
      <x:c r="F686" s="37" t="str">
        <x:v>25</x:v>
      </x:c>
      <x:c r="G686" s="37" t="str">
        <x:v>671.83</x:v>
      </x:c>
      <x:c r="H686" s="37" t="str">
        <x:v>0.00</x:v>
      </x:c>
      <x:c r="I686" s="37" t="str">
        <x:v>377.34</x:v>
      </x:c>
      <x:c r="J686" s="37" t="str">
        <x:v>0.00</x:v>
      </x:c>
      <x:c r="K686" s="37" t="str">
        <x:v>294.48</x:v>
      </x:c>
      <x:c r="L686" s="37" t="str">
        <x:v>1031</x:v>
      </x:c>
      <x:c r="M686" s="29" t="str">
        <x:v>551.56</x:v>
      </x:c>
      <x:c r="N686" s="29" t="str">
        <x:v>376.84</x:v>
      </x:c>
      <x:c r="O686" s="29" t="str">
        <x:v>174.72</x:v>
      </x:c>
      <x:c r="P686" s="18" t="str">
        <x:v>2026-08-02</x:v>
      </x:c>
      <x:c r="Q686" s="36" t="n">
        <x:v>46236</x:v>
      </x:c>
    </x:row>
    <x:row r="687">
      <x:c r="A687" s="36" t="str">
        <x:v>2026-08-02</x:v>
      </x:c>
      <x:c r="B687" s="18" t="str">
        <x:v>101437000_78235</x:v>
      </x:c>
      <x:c r="C687" s="18" t="str">
        <x:v>【沪村小电】欣秋苑充电站</x:v>
      </x:c>
      <x:c r="D687" s="37" t="str">
        <x:v>4</x:v>
      </x:c>
      <x:c r="E687" s="37" t="str">
        <x:v>0</x:v>
      </x:c>
      <x:c r="F687" s="37" t="str">
        <x:v>24</x:v>
      </x:c>
      <x:c r="G687" s="37" t="str">
        <x:v>746.17</x:v>
      </x:c>
      <x:c r="H687" s="37" t="str">
        <x:v>0.00</x:v>
      </x:c>
      <x:c r="I687" s="37" t="str">
        <x:v>529.79</x:v>
      </x:c>
      <x:c r="J687" s="37" t="str">
        <x:v>0.00</x:v>
      </x:c>
      <x:c r="K687" s="37" t="str">
        <x:v>216.38</x:v>
      </x:c>
      <x:c r="L687" s="37" t="str">
        <x:v>1182</x:v>
      </x:c>
      <x:c r="M687" s="29" t="str">
        <x:v>640.72</x:v>
      </x:c>
      <x:c r="N687" s="29" t="str">
        <x:v>456.21</x:v>
      </x:c>
      <x:c r="O687" s="29" t="str">
        <x:v>184.51</x:v>
      </x:c>
      <x:c r="P687" s="18" t="str">
        <x:v>2026-08-02</x:v>
      </x:c>
      <x:c r="Q687" s="36" t="n">
        <x:v>46236</x:v>
      </x:c>
    </x:row>
    <x:row r="688">
      <x:c r="A688" s="36" t="str">
        <x:v>2026-08-02</x:v>
      </x:c>
      <x:c r="B688" s="18" t="str">
        <x:v>101437000_78237</x:v>
      </x:c>
      <x:c r="C688" s="18" t="str">
        <x:v>【沪村小电】奉馨苑西门小区内北侧充电站</x:v>
      </x:c>
      <x:c r="D688" s="37" t="str">
        <x:v>2</x:v>
      </x:c>
      <x:c r="E688" s="37" t="str">
        <x:v>0</x:v>
      </x:c>
      <x:c r="F688" s="37" t="str">
        <x:v>26</x:v>
      </x:c>
      <x:c r="G688" s="37" t="str">
        <x:v>725.96</x:v>
      </x:c>
      <x:c r="H688" s="37" t="str">
        <x:v>89.83</x:v>
      </x:c>
      <x:c r="I688" s="37" t="str">
        <x:v>70.77</x:v>
      </x:c>
      <x:c r="J688" s="37" t="str">
        <x:v>232.60</x:v>
      </x:c>
      <x:c r="K688" s="37" t="str">
        <x:v>332.76</x:v>
      </x:c>
      <x:c r="L688" s="37" t="str">
        <x:v>967</x:v>
      </x:c>
      <x:c r="M688" s="29" t="str">
        <x:v>642.93</x:v>
      </x:c>
      <x:c r="N688" s="29" t="str">
        <x:v>500.94</x:v>
      </x:c>
      <x:c r="O688" s="29" t="str">
        <x:v>141.99</x:v>
      </x:c>
      <x:c r="P688" s="18" t="str">
        <x:v>2026-08-02</x:v>
      </x:c>
      <x:c r="Q688" s="36" t="n">
        <x:v>46236</x:v>
      </x:c>
    </x:row>
    <x:row r="689">
      <x:c r="A689" s="36" t="str">
        <x:v>2026-08-02</x:v>
      </x:c>
      <x:c r="B689" s="18" t="str">
        <x:v>101437000_80823</x:v>
      </x:c>
      <x:c r="C689" s="18" t="str">
        <x:v>【沪村小电】上湖轩充电站</x:v>
      </x:c>
      <x:c r="D689" s="37" t="str">
        <x:v>2</x:v>
      </x:c>
      <x:c r="E689" s="37" t="str">
        <x:v>0</x:v>
      </x:c>
      <x:c r="F689" s="37" t="str">
        <x:v>11</x:v>
      </x:c>
      <x:c r="G689" s="37" t="str">
        <x:v>296.34</x:v>
      </x:c>
      <x:c r="H689" s="37" t="str">
        <x:v>23.14</x:v>
      </x:c>
      <x:c r="I689" s="37" t="str">
        <x:v>49.40</x:v>
      </x:c>
      <x:c r="J689" s="37" t="str">
        <x:v>43.85</x:v>
      </x:c>
      <x:c r="K689" s="37" t="str">
        <x:v>179.94</x:v>
      </x:c>
      <x:c r="L689" s="37" t="str">
        <x:v>473</x:v>
      </x:c>
      <x:c r="M689" s="29" t="str">
        <x:v>251.51</x:v>
      </x:c>
      <x:c r="N689" s="29" t="str">
        <x:v>220.71</x:v>
      </x:c>
      <x:c r="O689" s="29" t="str">
        <x:v>30.80</x:v>
      </x:c>
      <x:c r="P689" s="18" t="str">
        <x:v>2026-08-02</x:v>
      </x:c>
      <x:c r="Q689" s="36" t="n">
        <x:v>46236</x:v>
      </x:c>
    </x:row>
    <x:row r="690">
      <x:c r="A690" s="36" t="str">
        <x:v>2026-08-02</x:v>
      </x:c>
      <x:c r="B690" s="18" t="str">
        <x:v>101437000_83019</x:v>
      </x:c>
      <x:c r="C690" s="18" t="str">
        <x:v>【沪村小电】首创禧瑞云启东区充电站</x:v>
      </x:c>
      <x:c r="D690" s="37" t="str">
        <x:v>2</x:v>
      </x:c>
      <x:c r="E690" s="37" t="str">
        <x:v>0</x:v>
      </x:c>
      <x:c r="F690" s="37" t="str">
        <x:v>25</x:v>
      </x:c>
      <x:c r="G690" s="37" t="str">
        <x:v>694.34</x:v>
      </x:c>
      <x:c r="H690" s="37" t="str">
        <x:v>0.00</x:v>
      </x:c>
      <x:c r="I690" s="37" t="str">
        <x:v>481.86</x:v>
      </x:c>
      <x:c r="J690" s="37" t="str">
        <x:v>0.00</x:v>
      </x:c>
      <x:c r="K690" s="37" t="str">
        <x:v>212.48</x:v>
      </x:c>
      <x:c r="L690" s="37" t="str">
        <x:v>938</x:v>
      </x:c>
      <x:c r="M690" s="29" t="str">
        <x:v>654.98</x:v>
      </x:c>
      <x:c r="N690" s="29" t="str">
        <x:v>420.76</x:v>
      </x:c>
      <x:c r="O690" s="29" t="str">
        <x:v>234.22</x:v>
      </x:c>
      <x:c r="P690" s="18" t="str">
        <x:v>2026-08-02</x:v>
      </x:c>
      <x:c r="Q690" s="36" t="n">
        <x:v>46236</x:v>
      </x:c>
    </x:row>
    <x:row r="691">
      <x:c r="A691" s="36" t="str">
        <x:v>2026-08-02</x:v>
      </x:c>
      <x:c r="B691" s="18" t="str">
        <x:v>101437000_83093</x:v>
      </x:c>
      <x:c r="C691" s="18" t="str">
        <x:v>【沪村小电】金茂未来时光里</x:v>
      </x:c>
      <x:c r="D691" s="37" t="str">
        <x:v>2</x:v>
      </x:c>
      <x:c r="E691" s="37" t="str">
        <x:v>0</x:v>
      </x:c>
      <x:c r="F691" s="37" t="str">
        <x:v>59</x:v>
      </x:c>
      <x:c r="G691" s="37" t="str">
        <x:v>1780.40</x:v>
      </x:c>
      <x:c r="H691" s="37" t="str">
        <x:v>0.00</x:v>
      </x:c>
      <x:c r="I691" s="37" t="str">
        <x:v>829.55</x:v>
      </x:c>
      <x:c r="J691" s="37" t="str">
        <x:v>0.00</x:v>
      </x:c>
      <x:c r="K691" s="37" t="str">
        <x:v>950.85</x:v>
      </x:c>
      <x:c r="L691" s="37" t="str">
        <x:v>2744</x:v>
      </x:c>
      <x:c r="M691" s="29" t="str">
        <x:v>1178.57</x:v>
      </x:c>
      <x:c r="N691" s="29" t="str">
        <x:v>784.21</x:v>
      </x:c>
      <x:c r="O691" s="29" t="str">
        <x:v>394.36</x:v>
      </x:c>
      <x:c r="P691" s="18" t="str">
        <x:v>2026-08-02</x:v>
      </x:c>
      <x:c r="Q691" s="36" t="n">
        <x:v>46236</x:v>
      </x:c>
    </x:row>
    <x:row r="692">
      <x:c r="A692" s="36" t="str">
        <x:v>2026-08-02</x:v>
      </x:c>
      <x:c r="B692" s="18" t="str">
        <x:v>101437000_83911</x:v>
      </x:c>
      <x:c r="C692" s="18" t="str">
        <x:v>【沪村小电】金瀚园充电站</x:v>
      </x:c>
      <x:c r="D692" s="37" t="str">
        <x:v>2</x:v>
      </x:c>
      <x:c r="E692" s="37" t="str">
        <x:v>0</x:v>
      </x:c>
      <x:c r="F692" s="37" t="str">
        <x:v>46</x:v>
      </x:c>
      <x:c r="G692" s="37" t="str">
        <x:v>1271.01</x:v>
      </x:c>
      <x:c r="H692" s="37" t="str">
        <x:v>0.00</x:v>
      </x:c>
      <x:c r="I692" s="37" t="str">
        <x:v>872.50</x:v>
      </x:c>
      <x:c r="J692" s="37" t="str">
        <x:v>0.00</x:v>
      </x:c>
      <x:c r="K692" s="37" t="str">
        <x:v>398.52</x:v>
      </x:c>
      <x:c r="L692" s="37" t="str">
        <x:v>1774</x:v>
      </x:c>
      <x:c r="M692" s="29" t="str">
        <x:v>1220.64</x:v>
      </x:c>
      <x:c r="N692" s="29" t="str">
        <x:v>766.87</x:v>
      </x:c>
      <x:c r="O692" s="29" t="str">
        <x:v>453.77</x:v>
      </x:c>
      <x:c r="P692" s="18" t="str">
        <x:v>2026-08-02</x:v>
      </x:c>
      <x:c r="Q692" s="36" t="n">
        <x:v>46236</x:v>
      </x:c>
    </x:row>
    <x:row r="693">
      <x:c r="A693" s="36" t="str">
        <x:v>2026-08-02</x:v>
      </x:c>
      <x:c r="B693" s="18" t="str">
        <x:v>101437000_83913</x:v>
      </x:c>
      <x:c r="C693" s="18" t="str">
        <x:v>【沪村小电】新黎村充电站</x:v>
      </x:c>
      <x:c r="D693" s="37" t="str">
        <x:v>2</x:v>
      </x:c>
      <x:c r="E693" s="37" t="str">
        <x:v>0</x:v>
      </x:c>
      <x:c r="F693" s="37" t="str">
        <x:v>57</x:v>
      </x:c>
      <x:c r="G693" s="37" t="str">
        <x:v>1446.90</x:v>
      </x:c>
      <x:c r="H693" s="37" t="str">
        <x:v>0.00</x:v>
      </x:c>
      <x:c r="I693" s="37" t="str">
        <x:v>837.17</x:v>
      </x:c>
      <x:c r="J693" s="37" t="str">
        <x:v>0.00</x:v>
      </x:c>
      <x:c r="K693" s="37" t="str">
        <x:v>609.73</x:v>
      </x:c>
      <x:c r="L693" s="37" t="str">
        <x:v>2342</x:v>
      </x:c>
      <x:c r="M693" s="29" t="str">
        <x:v>1262.93</x:v>
      </x:c>
      <x:c r="N693" s="29" t="str">
        <x:v>819.97</x:v>
      </x:c>
      <x:c r="O693" s="29" t="str">
        <x:v>442.96</x:v>
      </x:c>
      <x:c r="P693" s="18" t="str">
        <x:v>2026-08-02</x:v>
      </x:c>
      <x:c r="Q693" s="36" t="n">
        <x:v>46236</x:v>
      </x:c>
    </x:row>
    <x:row r="694">
      <x:c r="A694" s="36" t="str">
        <x:v>2026-08-02</x:v>
      </x:c>
      <x:c r="B694" s="18" t="str">
        <x:v>101437000_83915</x:v>
      </x:c>
      <x:c r="C694" s="18" t="str">
        <x:v>【沪村小电】长泰西郊别墅充电站</x:v>
      </x:c>
      <x:c r="D694" s="37" t="str">
        <x:v>2</x:v>
      </x:c>
      <x:c r="E694" s="37" t="str">
        <x:v>0</x:v>
      </x:c>
      <x:c r="F694" s="37" t="str">
        <x:v>31</x:v>
      </x:c>
      <x:c r="G694" s="37" t="str">
        <x:v>898.07</x:v>
      </x:c>
      <x:c r="H694" s="37" t="str">
        <x:v>0.00</x:v>
      </x:c>
      <x:c r="I694" s="37" t="str">
        <x:v>542.73</x:v>
      </x:c>
      <x:c r="J694" s="37" t="str">
        <x:v>0.00</x:v>
      </x:c>
      <x:c r="K694" s="37" t="str">
        <x:v>355.35</x:v>
      </x:c>
      <x:c r="L694" s="37" t="str">
        <x:v>1310</x:v>
      </x:c>
      <x:c r="M694" s="29" t="str">
        <x:v>881.69</x:v>
      </x:c>
      <x:c r="N694" s="29" t="str">
        <x:v>516.80</x:v>
      </x:c>
      <x:c r="O694" s="29" t="str">
        <x:v>364.89</x:v>
      </x:c>
      <x:c r="P694" s="18" t="str">
        <x:v>2026-08-02</x:v>
      </x:c>
      <x:c r="Q694" s="36" t="n">
        <x:v>46236</x:v>
      </x:c>
    </x:row>
    <x:row r="695">
      <x:c r="A695" s="36" t="str">
        <x:v>2026-08-02</x:v>
      </x:c>
      <x:c r="B695" s="18" t="str">
        <x:v>101437000_83917</x:v>
      </x:c>
      <x:c r="C695" s="18" t="str">
        <x:v>【沪村小电】旭新华庭充电站</x:v>
      </x:c>
      <x:c r="D695" s="37" t="str">
        <x:v>4</x:v>
      </x:c>
      <x:c r="E695" s="37" t="str">
        <x:v>0</x:v>
      </x:c>
      <x:c r="F695" s="37" t="str">
        <x:v>31</x:v>
      </x:c>
      <x:c r="G695" s="37" t="str">
        <x:v>819.16</x:v>
      </x:c>
      <x:c r="H695" s="37" t="str">
        <x:v>0.00</x:v>
      </x:c>
      <x:c r="I695" s="37" t="str">
        <x:v>588.87</x:v>
      </x:c>
      <x:c r="J695" s="37" t="str">
        <x:v>0.00</x:v>
      </x:c>
      <x:c r="K695" s="37" t="str">
        <x:v>230.29</x:v>
      </x:c>
      <x:c r="L695" s="37" t="str">
        <x:v>1309</x:v>
      </x:c>
      <x:c r="M695" s="29" t="str">
        <x:v>870.22</x:v>
      </x:c>
      <x:c r="N695" s="29" t="str">
        <x:v>503.27</x:v>
      </x:c>
      <x:c r="O695" s="29" t="str">
        <x:v>366.95</x:v>
      </x:c>
      <x:c r="P695" s="18" t="str">
        <x:v>2026-08-02</x:v>
      </x:c>
      <x:c r="Q695" s="36" t="n">
        <x:v>46236</x:v>
      </x:c>
    </x:row>
    <x:row r="696">
      <x:c r="A696" s="36" t="str">
        <x:v>2026-08-02</x:v>
      </x:c>
      <x:c r="B696" s="18" t="str">
        <x:v>101437000_83919</x:v>
      </x:c>
      <x:c r="C696" s="18" t="str">
        <x:v>【沪村小电】浦锦名仕嘉园充电站</x:v>
      </x:c>
      <x:c r="D696" s="37" t="str">
        <x:v>4</x:v>
      </x:c>
      <x:c r="E696" s="37" t="str">
        <x:v>0</x:v>
      </x:c>
      <x:c r="F696" s="37" t="str">
        <x:v>49</x:v>
      </x:c>
      <x:c r="G696" s="37" t="str">
        <x:v>1370.90</x:v>
      </x:c>
      <x:c r="H696" s="37" t="str">
        <x:v>0.00</x:v>
      </x:c>
      <x:c r="I696" s="37" t="str">
        <x:v>0.00</x:v>
      </x:c>
      <x:c r="J696" s="37" t="str">
        <x:v>1370.90</x:v>
      </x:c>
      <x:c r="K696" s="37" t="str">
        <x:v>0.00</x:v>
      </x:c>
      <x:c r="L696" s="37" t="str">
        <x:v>1897</x:v>
      </x:c>
      <x:c r="M696" s="29" t="str">
        <x:v>1319.97</x:v>
      </x:c>
      <x:c r="N696" s="29" t="str">
        <x:v>959.59</x:v>
      </x:c>
      <x:c r="O696" s="29" t="str">
        <x:v>360.38</x:v>
      </x:c>
      <x:c r="P696" s="18" t="str">
        <x:v>2026-08-02</x:v>
      </x:c>
      <x:c r="Q696" s="36" t="n">
        <x:v>46236</x:v>
      </x:c>
    </x:row>
    <x:row r="697">
      <x:c r="A697" s="36" t="str">
        <x:v>2026-08-02</x:v>
      </x:c>
      <x:c r="B697" s="18" t="str">
        <x:v>101437000_83921</x:v>
      </x:c>
      <x:c r="C697" s="18" t="str">
        <x:v>【沪村小电】上海联怡枇杷乐园充电站（地库）</x:v>
      </x:c>
      <x:c r="D697" s="37" t="str">
        <x:v>8</x:v>
      </x:c>
      <x:c r="E697" s="37" t="str">
        <x:v>0</x:v>
      </x:c>
      <x:c r="F697" s="37" t="str">
        <x:v>21</x:v>
      </x:c>
      <x:c r="G697" s="37" t="str">
        <x:v>495.26</x:v>
      </x:c>
      <x:c r="H697" s="37" t="str">
        <x:v>0.00</x:v>
      </x:c>
      <x:c r="I697" s="37" t="str">
        <x:v>63.11</x:v>
      </x:c>
      <x:c r="J697" s="37" t="str">
        <x:v>0.00</x:v>
      </x:c>
      <x:c r="K697" s="37" t="str">
        <x:v>432.15</x:v>
      </x:c>
      <x:c r="L697" s="37" t="str">
        <x:v>814</x:v>
      </x:c>
      <x:c r="M697" s="29" t="str">
        <x:v>306.45</x:v>
      </x:c>
      <x:c r="N697" s="29" t="str">
        <x:v>255.57</x:v>
      </x:c>
      <x:c r="O697" s="29" t="str">
        <x:v>50.88</x:v>
      </x:c>
      <x:c r="P697" s="18" t="str">
        <x:v>2026-08-02</x:v>
      </x:c>
      <x:c r="Q697" s="36" t="n">
        <x:v>46236</x:v>
      </x:c>
    </x:row>
    <x:row r="698">
      <x:c r="A698" s="36" t="str">
        <x:v>2026-08-02</x:v>
      </x:c>
      <x:c r="B698" s="18" t="str">
        <x:v>101437000_83923</x:v>
      </x:c>
      <x:c r="C698" s="18" t="str">
        <x:v>【沪村小电】明珠新苑充电站</x:v>
      </x:c>
      <x:c r="D698" s="37" t="str">
        <x:v>2</x:v>
      </x:c>
      <x:c r="E698" s="37" t="str">
        <x:v>0</x:v>
      </x:c>
      <x:c r="F698" s="37" t="str">
        <x:v>40</x:v>
      </x:c>
      <x:c r="G698" s="37" t="str">
        <x:v>1132.22</x:v>
      </x:c>
      <x:c r="H698" s="37" t="str">
        <x:v>0.00</x:v>
      </x:c>
      <x:c r="I698" s="37" t="str">
        <x:v>713.47</x:v>
      </x:c>
      <x:c r="J698" s="37" t="str">
        <x:v>0.00</x:v>
      </x:c>
      <x:c r="K698" s="37" t="str">
        <x:v>418.75</x:v>
      </x:c>
      <x:c r="L698" s="37" t="str">
        <x:v>1604</x:v>
      </x:c>
      <x:c r="M698" s="29" t="str">
        <x:v>1052.54</x:v>
      </x:c>
      <x:c r="N698" s="29" t="str">
        <x:v>661.46</x:v>
      </x:c>
      <x:c r="O698" s="29" t="str">
        <x:v>391.08</x:v>
      </x:c>
      <x:c r="P698" s="18" t="str">
        <x:v>2026-08-02</x:v>
      </x:c>
      <x:c r="Q698" s="36" t="n">
        <x:v>46236</x:v>
      </x:c>
    </x:row>
    <x:row r="699">
      <x:c r="A699" s="36" t="str">
        <x:v>2026-08-02</x:v>
      </x:c>
      <x:c r="B699" s="18" t="str">
        <x:v>101437000_84289</x:v>
      </x:c>
      <x:c r="C699" s="18" t="str">
        <x:v>【沪村小电】铁建芳华苑充电站</x:v>
      </x:c>
      <x:c r="D699" s="37" t="str">
        <x:v>4</x:v>
      </x:c>
      <x:c r="E699" s="37" t="str">
        <x:v>0</x:v>
      </x:c>
      <x:c r="F699" s="37" t="str">
        <x:v>59</x:v>
      </x:c>
      <x:c r="G699" s="37" t="str">
        <x:v>1526.44</x:v>
      </x:c>
      <x:c r="H699" s="37" t="str">
        <x:v>0.00</x:v>
      </x:c>
      <x:c r="I699" s="37" t="str">
        <x:v>876.97</x:v>
      </x:c>
      <x:c r="J699" s="37" t="str">
        <x:v>0.00</x:v>
      </x:c>
      <x:c r="K699" s="37" t="str">
        <x:v>649.47</x:v>
      </x:c>
      <x:c r="L699" s="37" t="str">
        <x:v>2205</x:v>
      </x:c>
      <x:c r="M699" s="29" t="str">
        <x:v>1358.89</x:v>
      </x:c>
      <x:c r="N699" s="29" t="str">
        <x:v>862.95</x:v>
      </x:c>
      <x:c r="O699" s="29" t="str">
        <x:v>495.94</x:v>
      </x:c>
      <x:c r="P699" s="18" t="str">
        <x:v>2026-08-02</x:v>
      </x:c>
      <x:c r="Q699" s="36" t="n">
        <x:v>46236</x:v>
      </x:c>
    </x:row>
    <x:row r="700">
      <x:c r="A700" s="36" t="str">
        <x:v>2026-08-02</x:v>
      </x:c>
      <x:c r="B700" s="18" t="str">
        <x:v>101437000_86379</x:v>
      </x:c>
      <x:c r="C700" s="18" t="str">
        <x:v>【沪村小电】新宝社区充电站</x:v>
      </x:c>
      <x:c r="D700" s="37" t="str">
        <x:v>4</x:v>
      </x:c>
      <x:c r="E700" s="37" t="str">
        <x:v>0</x:v>
      </x:c>
      <x:c r="F700" s="37" t="str">
        <x:v>40</x:v>
      </x:c>
      <x:c r="G700" s="37" t="str">
        <x:v>891.29</x:v>
      </x:c>
      <x:c r="H700" s="37" t="str">
        <x:v>0.00</x:v>
      </x:c>
      <x:c r="I700" s="37" t="str">
        <x:v>360.10</x:v>
      </x:c>
      <x:c r="J700" s="37" t="str">
        <x:v>0.00</x:v>
      </x:c>
      <x:c r="K700" s="37" t="str">
        <x:v>531.19</x:v>
      </x:c>
      <x:c r="L700" s="37" t="str">
        <x:v>1441</x:v>
      </x:c>
      <x:c r="M700" s="29" t="str">
        <x:v>652.49</x:v>
      </x:c>
      <x:c r="N700" s="29" t="str">
        <x:v>452.23</x:v>
      </x:c>
      <x:c r="O700" s="29" t="str">
        <x:v>200.26</x:v>
      </x:c>
      <x:c r="P700" s="18" t="str">
        <x:v>2026-08-02</x:v>
      </x:c>
      <x:c r="Q700" s="36" t="n">
        <x:v>46236</x:v>
      </x:c>
    </x:row>
    <x:row r="701">
      <x:c r="A701" s="36" t="str">
        <x:v>2026-08-02</x:v>
      </x:c>
      <x:c r="B701" s="18" t="str">
        <x:v>101437000_89441</x:v>
      </x:c>
      <x:c r="C701" s="18" t="str">
        <x:v>【沪村小电】首创禧瑞云启西区充电站</x:v>
      </x:c>
      <x:c r="D701" s="37" t="str">
        <x:v>2</x:v>
      </x:c>
      <x:c r="E701" s="37" t="str">
        <x:v>0</x:v>
      </x:c>
      <x:c r="F701" s="37" t="str">
        <x:v>29</x:v>
      </x:c>
      <x:c r="G701" s="37" t="str">
        <x:v>846.34</x:v>
      </x:c>
      <x:c r="H701" s="37" t="str">
        <x:v>0.00</x:v>
      </x:c>
      <x:c r="I701" s="37" t="str">
        <x:v>695.04</x:v>
      </x:c>
      <x:c r="J701" s="37" t="str">
        <x:v>0.00</x:v>
      </x:c>
      <x:c r="K701" s="37" t="str">
        <x:v>151.30</x:v>
      </x:c>
      <x:c r="L701" s="37" t="str">
        <x:v>1011</x:v>
      </x:c>
      <x:c r="M701" s="29" t="str">
        <x:v>873.28</x:v>
      </x:c>
      <x:c r="N701" s="29" t="str">
        <x:v>549.44</x:v>
      </x:c>
      <x:c r="O701" s="29" t="str">
        <x:v>323.84</x:v>
      </x:c>
      <x:c r="P701" s="18" t="str">
        <x:v>2026-08-02</x:v>
      </x:c>
      <x:c r="Q701" s="36" t="n">
        <x:v>46236</x:v>
      </x:c>
    </x:row>
    <x:row r="702">
      <x:c r="A702" s="36" t="str">
        <x:v>2026-08-02</x:v>
      </x:c>
      <x:c r="B702" s="18" t="str">
        <x:v>101437000_89443</x:v>
      </x:c>
      <x:c r="C702" s="18" t="str">
        <x:v>【沪村小电】玉兰清苑二期充电站</x:v>
      </x:c>
      <x:c r="D702" s="37" t="str">
        <x:v>2</x:v>
      </x:c>
      <x:c r="E702" s="37" t="str">
        <x:v>0</x:v>
      </x:c>
      <x:c r="F702" s="37" t="str">
        <x:v>37</x:v>
      </x:c>
      <x:c r="G702" s="37" t="str">
        <x:v>741.28</x:v>
      </x:c>
      <x:c r="H702" s="37" t="str">
        <x:v>0.00</x:v>
      </x:c>
      <x:c r="I702" s="37" t="str">
        <x:v>577.89</x:v>
      </x:c>
      <x:c r="J702" s="37" t="str">
        <x:v>0.00</x:v>
      </x:c>
      <x:c r="K702" s="37" t="str">
        <x:v>163.40</x:v>
      </x:c>
      <x:c r="L702" s="37" t="str">
        <x:v>1125</x:v>
      </x:c>
      <x:c r="M702" s="29" t="str">
        <x:v>705.18</x:v>
      </x:c>
      <x:c r="N702" s="29" t="str">
        <x:v>470.77</x:v>
      </x:c>
      <x:c r="O702" s="29" t="str">
        <x:v>234.41</x:v>
      </x:c>
      <x:c r="P702" s="18" t="str">
        <x:v>2026-08-02</x:v>
      </x:c>
      <x:c r="Q702" s="36" t="n">
        <x:v>46236</x:v>
      </x:c>
    </x:row>
    <x:row r="703">
      <x:c r="A703" s="36" t="str">
        <x:v>2026-08-02</x:v>
      </x:c>
      <x:c r="B703" s="18" t="str">
        <x:v>101437000_93115</x:v>
      </x:c>
      <x:c r="C703" s="18" t="str">
        <x:v>【沪村小电】新南家园西北门</x:v>
      </x:c>
      <x:c r="D703" s="37" t="str">
        <x:v>2</x:v>
      </x:c>
      <x:c r="E703" s="37" t="str">
        <x:v>0</x:v>
      </x:c>
      <x:c r="F703" s="37" t="str">
        <x:v>26</x:v>
      </x:c>
      <x:c r="G703" s="37" t="str">
        <x:v>570.71</x:v>
      </x:c>
      <x:c r="H703" s="37" t="str">
        <x:v>0.00</x:v>
      </x:c>
      <x:c r="I703" s="37" t="str">
        <x:v>358.91</x:v>
      </x:c>
      <x:c r="J703" s="37" t="str">
        <x:v>0.00</x:v>
      </x:c>
      <x:c r="K703" s="37" t="str">
        <x:v>211.81</x:v>
      </x:c>
      <x:c r="L703" s="37" t="str">
        <x:v>961</x:v>
      </x:c>
      <x:c r="M703" s="29" t="str">
        <x:v>492.67</x:v>
      </x:c>
      <x:c r="N703" s="29" t="str">
        <x:v>333.19</x:v>
      </x:c>
      <x:c r="O703" s="29" t="str">
        <x:v>159.48</x:v>
      </x:c>
      <x:c r="P703" s="18" t="str">
        <x:v>2026-08-02</x:v>
      </x:c>
      <x:c r="Q703" s="36" t="n">
        <x:v>46236</x:v>
      </x:c>
    </x:row>
    <x:row r="704">
      <x:c r="A704" s="36" t="str">
        <x:v>2026-08-02</x:v>
      </x:c>
      <x:c r="B704" s="18" t="str">
        <x:v>101437000_94649</x:v>
      </x:c>
      <x:c r="C704" s="18" t="str">
        <x:v>【沪村小电】浪琴水岸花园</x:v>
      </x:c>
      <x:c r="D704" s="37" t="str">
        <x:v>4</x:v>
      </x:c>
      <x:c r="E704" s="37" t="str">
        <x:v>0</x:v>
      </x:c>
      <x:c r="F704" s="37" t="str">
        <x:v>39</x:v>
      </x:c>
      <x:c r="G704" s="37" t="str">
        <x:v>939.45</x:v>
      </x:c>
      <x:c r="H704" s="37" t="str">
        <x:v>0.00</x:v>
      </x:c>
      <x:c r="I704" s="37" t="str">
        <x:v>465.41</x:v>
      </x:c>
      <x:c r="J704" s="37" t="str">
        <x:v>0.00</x:v>
      </x:c>
      <x:c r="K704" s="37" t="str">
        <x:v>474.04</x:v>
      </x:c>
      <x:c r="L704" s="37" t="str">
        <x:v>1343</x:v>
      </x:c>
      <x:c r="M704" s="29" t="str">
        <x:v>749.03</x:v>
      </x:c>
      <x:c r="N704" s="29" t="str">
        <x:v>553.21</x:v>
      </x:c>
      <x:c r="O704" s="29" t="str">
        <x:v>195.82</x:v>
      </x:c>
      <x:c r="P704" s="18" t="str">
        <x:v>2026-08-02</x:v>
      </x:c>
      <x:c r="Q704" s="36" t="n">
        <x:v>46236</x:v>
      </x:c>
    </x:row>
    <x:row r="705">
      <x:c r="A705" s="36" t="str">
        <x:v>2026-08-02</x:v>
      </x:c>
      <x:c r="B705" s="18" t="str">
        <x:v>101437000_95077</x:v>
      </x:c>
      <x:c r="C705" s="18" t="str">
        <x:v>【沪村小电】民乐城惠益绿苑255弄充电站</x:v>
      </x:c>
      <x:c r="D705" s="37" t="str">
        <x:v>2</x:v>
      </x:c>
      <x:c r="E705" s="37" t="str">
        <x:v>0</x:v>
      </x:c>
      <x:c r="F705" s="37" t="str">
        <x:v>2</x:v>
      </x:c>
      <x:c r="G705" s="37" t="str">
        <x:v>30.49</x:v>
      </x:c>
      <x:c r="H705" s="37" t="str">
        <x:v>0.00</x:v>
      </x:c>
      <x:c r="I705" s="37" t="str">
        <x:v>0.00</x:v>
      </x:c>
      <x:c r="J705" s="37" t="str">
        <x:v>0.00</x:v>
      </x:c>
      <x:c r="K705" s="37" t="str">
        <x:v>30.49</x:v>
      </x:c>
      <x:c r="L705" s="37" t="str">
        <x:v>93</x:v>
      </x:c>
      <x:c r="M705" s="29" t="str">
        <x:v>17.21</x:v>
      </x:c>
      <x:c r="N705" s="29" t="str">
        <x:v>11.28</x:v>
      </x:c>
      <x:c r="O705" s="29" t="str">
        <x:v>5.93</x:v>
      </x:c>
      <x:c r="P705" s="18" t="str">
        <x:v>2026-08-02</x:v>
      </x:c>
      <x:c r="Q705" s="36" t="n">
        <x:v>46236</x:v>
      </x:c>
    </x:row>
    <x:row r="706">
      <x:c r="A706" s="36" t="str">
        <x:v>2026-08-02</x:v>
      </x:c>
      <x:c r="B706" s="18" t="str">
        <x:v>101437000_95079</x:v>
      </x:c>
      <x:c r="C706" s="18" t="str">
        <x:v>【沪村小电】民乐城惠益绿苑东苑充电站</x:v>
      </x:c>
      <x:c r="D706" s="37" t="str">
        <x:v>2</x:v>
      </x:c>
      <x:c r="E706" s="37" t="str">
        <x:v>0</x:v>
      </x:c>
      <x:c r="F706" s="37" t="str">
        <x:v>19</x:v>
      </x:c>
      <x:c r="G706" s="37" t="str">
        <x:v>445.09</x:v>
      </x:c>
      <x:c r="H706" s="37" t="str">
        <x:v>0.00</x:v>
      </x:c>
      <x:c r="I706" s="37" t="str">
        <x:v>321.99</x:v>
      </x:c>
      <x:c r="J706" s="37" t="str">
        <x:v>0.00</x:v>
      </x:c>
      <x:c r="K706" s="37" t="str">
        <x:v>123.11</x:v>
      </x:c>
      <x:c r="L706" s="37" t="str">
        <x:v>682</x:v>
      </x:c>
      <x:c r="M706" s="29" t="str">
        <x:v>412.58</x:v>
      </x:c>
      <x:c r="N706" s="29" t="str">
        <x:v>274.14</x:v>
      </x:c>
      <x:c r="O706" s="29" t="str">
        <x:v>138.44</x:v>
      </x:c>
      <x:c r="P706" s="18" t="str">
        <x:v>2026-08-02</x:v>
      </x:c>
      <x:c r="Q706" s="36" t="n">
        <x:v>46236</x:v>
      </x:c>
    </x:row>
    <x:row r="707">
      <x:c r="A707" s="36" t="str">
        <x:v>2026-08-02</x:v>
      </x:c>
      <x:c r="B707" s="18" t="str">
        <x:v>101437000_95081</x:v>
      </x:c>
      <x:c r="C707" s="18" t="str">
        <x:v>【沪村小电】民乐城惠益绿苑西苑充电站</x:v>
      </x:c>
      <x:c r="D707" s="37" t="str">
        <x:v>2</x:v>
      </x:c>
      <x:c r="E707" s="37" t="str">
        <x:v>0</x:v>
      </x:c>
      <x:c r="F707" s="37" t="str">
        <x:v>6</x:v>
      </x:c>
      <x:c r="G707" s="37" t="str">
        <x:v>199.34</x:v>
      </x:c>
      <x:c r="H707" s="37" t="str">
        <x:v>0.00</x:v>
      </x:c>
      <x:c r="I707" s="37" t="str">
        <x:v>199.34</x:v>
      </x:c>
      <x:c r="J707" s="37" t="str">
        <x:v>0.00</x:v>
      </x:c>
      <x:c r="K707" s="37" t="str">
        <x:v>0.00</x:v>
      </x:c>
      <x:c r="L707" s="37" t="str">
        <x:v>216</x:v>
      </x:c>
      <x:c r="M707" s="29" t="str">
        <x:v>205.55</x:v>
      </x:c>
      <x:c r="N707" s="29" t="str">
        <x:v>141.53</x:v>
      </x:c>
      <x:c r="O707" s="29" t="str">
        <x:v>64.02</x:v>
      </x:c>
      <x:c r="P707" s="18" t="str">
        <x:v>2026-08-02</x:v>
      </x:c>
      <x:c r="Q707" s="36" t="n">
        <x:v>46236</x:v>
      </x:c>
    </x:row>
    <x:row r="708">
      <x:c r="A708" s="36" t="str">
        <x:v>2026-08-02</x:v>
      </x:c>
      <x:c r="B708" s="18" t="str">
        <x:v>101437000_95091</x:v>
      </x:c>
      <x:c r="C708" s="18" t="str">
        <x:v>【沪村小电】金悦学府2号站</x:v>
      </x:c>
      <x:c r="D708" s="37" t="str">
        <x:v>2</x:v>
      </x:c>
      <x:c r="E708" s="37" t="str">
        <x:v>0</x:v>
      </x:c>
      <x:c r="F708" s="37" t="str">
        <x:v>31</x:v>
      </x:c>
      <x:c r="G708" s="37" t="str">
        <x:v>884.91</x:v>
      </x:c>
      <x:c r="H708" s="37" t="str">
        <x:v>0.00</x:v>
      </x:c>
      <x:c r="I708" s="37" t="str">
        <x:v>0.00</x:v>
      </x:c>
      <x:c r="J708" s="37" t="str">
        <x:v>884.91</x:v>
      </x:c>
      <x:c r="K708" s="37" t="str">
        <x:v>0.00</x:v>
      </x:c>
      <x:c r="L708" s="37" t="str">
        <x:v>1494</x:v>
      </x:c>
      <x:c r="M708" s="29" t="str">
        <x:v>699.11</x:v>
      </x:c>
      <x:c r="N708" s="29" t="str">
        <x:v>495.57</x:v>
      </x:c>
      <x:c r="O708" s="29" t="str">
        <x:v>203.54</x:v>
      </x:c>
      <x:c r="P708" s="18" t="str">
        <x:v>2026-08-02</x:v>
      </x:c>
      <x:c r="Q708" s="36" t="n">
        <x:v>46236</x:v>
      </x:c>
    </x:row>
    <x:row r="709">
      <x:c r="A709" s="36" t="str">
        <x:v>2026-08-02</x:v>
      </x:c>
      <x:c r="B709" s="18" t="str">
        <x:v>101437000_95941</x:v>
      </x:c>
      <x:c r="C709" s="18" t="str">
        <x:v>【沪村小电】惠诚雅苑</x:v>
      </x:c>
      <x:c r="D709" s="37" t="str">
        <x:v>4</x:v>
      </x:c>
      <x:c r="E709" s="37" t="str">
        <x:v>0</x:v>
      </x:c>
      <x:c r="F709" s="37" t="str">
        <x:v>39</x:v>
      </x:c>
      <x:c r="G709" s="37" t="str">
        <x:v>1060.46</x:v>
      </x:c>
      <x:c r="H709" s="37" t="str">
        <x:v>0.00</x:v>
      </x:c>
      <x:c r="I709" s="37" t="str">
        <x:v>415.28</x:v>
      </x:c>
      <x:c r="J709" s="37" t="str">
        <x:v>0.00</x:v>
      </x:c>
      <x:c r="K709" s="37" t="str">
        <x:v>645.18</x:v>
      </x:c>
      <x:c r="L709" s="37" t="str">
        <x:v>1425</x:v>
      </x:c>
      <x:c r="M709" s="29" t="str">
        <x:v>667.70</x:v>
      </x:c>
      <x:c r="N709" s="29" t="str">
        <x:v>445.03</x:v>
      </x:c>
      <x:c r="O709" s="29" t="str">
        <x:v>222.67</x:v>
      </x:c>
      <x:c r="P709" s="18" t="str">
        <x:v>2026-08-02</x:v>
      </x:c>
      <x:c r="Q709" s="36" t="n">
        <x:v>46236</x:v>
      </x:c>
    </x:row>
    <x:row r="710">
      <x:c r="A710" s="36" t="str">
        <x:v>2026-08-02</x:v>
      </x:c>
      <x:c r="B710" s="18" t="str">
        <x:v>101437000_96401</x:v>
      </x:c>
      <x:c r="C710" s="18" t="str">
        <x:v>【沪村小电】上海联怡枇杷乐园地面站</x:v>
      </x:c>
      <x:c r="D710" s="37" t="str">
        <x:v>2</x:v>
      </x:c>
      <x:c r="E710" s="37" t="str">
        <x:v>0</x:v>
      </x:c>
      <x:c r="F710" s="37" t="str">
        <x:v>6</x:v>
      </x:c>
      <x:c r="G710" s="37" t="str">
        <x:v>156.07</x:v>
      </x:c>
      <x:c r="H710" s="37" t="str">
        <x:v>0.00</x:v>
      </x:c>
      <x:c r="I710" s="37" t="str">
        <x:v>33.42</x:v>
      </x:c>
      <x:c r="J710" s="37" t="str">
        <x:v>0.00</x:v>
      </x:c>
      <x:c r="K710" s="37" t="str">
        <x:v>122.65</x:v>
      </x:c>
      <x:c r="L710" s="37" t="str">
        <x:v>284</x:v>
      </x:c>
      <x:c r="M710" s="29" t="str">
        <x:v>119.43</x:v>
      </x:c>
      <x:c r="N710" s="29" t="str">
        <x:v>86.51</x:v>
      </x:c>
      <x:c r="O710" s="29" t="str">
        <x:v>32.92</x:v>
      </x:c>
      <x:c r="P710" s="18" t="str">
        <x:v>2026-08-02</x:v>
      </x:c>
      <x:c r="Q710" s="36" t="n">
        <x:v>46236</x:v>
      </x:c>
    </x:row>
    <x:row r="711">
      <x:c r="A711" s="36" t="str">
        <x:v>2026-08-02</x:v>
      </x:c>
      <x:c r="B711" s="18" t="str">
        <x:v>101437000_96719</x:v>
      </x:c>
      <x:c r="C711" s="18" t="str">
        <x:v>【沪村小电】四达路220弄充电站</x:v>
      </x:c>
      <x:c r="D711" s="37" t="str">
        <x:v>2</x:v>
      </x:c>
      <x:c r="E711" s="37" t="str">
        <x:v>0</x:v>
      </x:c>
      <x:c r="F711" s="37" t="str">
        <x:v>2</x:v>
      </x:c>
      <x:c r="G711" s="37" t="str">
        <x:v>48.17</x:v>
      </x:c>
      <x:c r="H711" s="37" t="str">
        <x:v>0.00</x:v>
      </x:c>
      <x:c r="I711" s="37" t="str">
        <x:v>16.03</x:v>
      </x:c>
      <x:c r="J711" s="37" t="str">
        <x:v>0.00</x:v>
      </x:c>
      <x:c r="K711" s="37" t="str">
        <x:v>32.14</x:v>
      </x:c>
      <x:c r="L711" s="37" t="str">
        <x:v>79</x:v>
      </x:c>
      <x:c r="M711" s="29" t="str">
        <x:v>35.31</x:v>
      </x:c>
      <x:c r="N711" s="29" t="str">
        <x:v>23.27</x:v>
      </x:c>
      <x:c r="O711" s="29" t="str">
        <x:v>12.04</x:v>
      </x:c>
      <x:c r="P711" s="18" t="str">
        <x:v>2026-08-02</x:v>
      </x:c>
      <x:c r="Q711" s="36" t="n">
        <x:v>46236</x:v>
      </x:c>
    </x:row>
    <x:row r="712">
      <x:c r="A712" s="36" t="str">
        <x:v>2026-08-02</x:v>
      </x:c>
      <x:c r="B712" s="18" t="str">
        <x:v>101437000_97421</x:v>
      </x:c>
      <x:c r="C712" s="18" t="str">
        <x:v>【沪村小电】玉兰清苑二期（小区外）充电站</x:v>
      </x:c>
      <x:c r="D712" s="37" t="str">
        <x:v>4</x:v>
      </x:c>
      <x:c r="E712" s="37" t="str">
        <x:v>0</x:v>
      </x:c>
      <x:c r="F712" s="37" t="str">
        <x:v>52</x:v>
      </x:c>
      <x:c r="G712" s="37" t="str">
        <x:v>1300.20</x:v>
      </x:c>
      <x:c r="H712" s="37" t="str">
        <x:v>0.00</x:v>
      </x:c>
      <x:c r="I712" s="37" t="str">
        <x:v>881.76</x:v>
      </x:c>
      <x:c r="J712" s="37" t="str">
        <x:v>0.00</x:v>
      </x:c>
      <x:c r="K712" s="37" t="str">
        <x:v>418.45</x:v>
      </x:c>
      <x:c r="L712" s="37" t="str">
        <x:v>2461</x:v>
      </x:c>
      <x:c r="M712" s="29" t="str">
        <x:v>1178.66</x:v>
      </x:c>
      <x:c r="N712" s="29" t="str">
        <x:v>780.90</x:v>
      </x:c>
      <x:c r="O712" s="29" t="str">
        <x:v>397.76</x:v>
      </x:c>
      <x:c r="P712" s="18" t="str">
        <x:v>2026-08-02</x:v>
      </x:c>
      <x:c r="Q712" s="36" t="n">
        <x:v>46236</x:v>
      </x:c>
    </x:row>
    <x:row r="713">
      <x:c r="A713" s="36" t="str">
        <x:v>2026-08-02</x:v>
      </x:c>
      <x:c r="B713" s="18" t="str">
        <x:v>101437000_98013</x:v>
      </x:c>
      <x:c r="C713" s="18" t="str">
        <x:v>【沪村小电】恒大滨江华府充电站</x:v>
      </x:c>
      <x:c r="D713" s="37" t="str">
        <x:v>4</x:v>
      </x:c>
      <x:c r="E713" s="37" t="str">
        <x:v>0</x:v>
      </x:c>
      <x:c r="F713" s="37" t="str">
        <x:v>46</x:v>
      </x:c>
      <x:c r="G713" s="37" t="str">
        <x:v>1058.55</x:v>
      </x:c>
      <x:c r="H713" s="37" t="str">
        <x:v>0.00</x:v>
      </x:c>
      <x:c r="I713" s="37" t="str">
        <x:v>798.73</x:v>
      </x:c>
      <x:c r="J713" s="37" t="str">
        <x:v>0.00</x:v>
      </x:c>
      <x:c r="K713" s="37" t="str">
        <x:v>259.82</x:v>
      </x:c>
      <x:c r="L713" s="37" t="str">
        <x:v>1635</x:v>
      </x:c>
      <x:c r="M713" s="29" t="str">
        <x:v>1114.23</x:v>
      </x:c>
      <x:c r="N713" s="29" t="str">
        <x:v>838.40</x:v>
      </x:c>
      <x:c r="O713" s="29" t="str">
        <x:v>275.83</x:v>
      </x:c>
      <x:c r="P713" s="18" t="str">
        <x:v>2026-08-02</x:v>
      </x:c>
      <x:c r="Q713" s="36" t="n">
        <x:v>46236</x:v>
      </x:c>
    </x:row>
    <x:row r="714">
      <x:c r="A714" s="36" t="str">
        <x:v>2026-08-02</x:v>
      </x:c>
      <x:c r="B714" s="18" t="str">
        <x:v>101437000_98863</x:v>
      </x:c>
      <x:c r="C714" s="18" t="str">
        <x:v>【沪村小电】欣菊苑充电站</x:v>
      </x:c>
      <x:c r="D714" s="37" t="str">
        <x:v>4</x:v>
      </x:c>
      <x:c r="E714" s="37" t="str">
        <x:v>0</x:v>
      </x:c>
      <x:c r="F714" s="37" t="str">
        <x:v>15</x:v>
      </x:c>
      <x:c r="G714" s="37" t="str">
        <x:v>317.03</x:v>
      </x:c>
      <x:c r="H714" s="37" t="str">
        <x:v>0.00</x:v>
      </x:c>
      <x:c r="I714" s="37" t="str">
        <x:v>317.03</x:v>
      </x:c>
      <x:c r="J714" s="37" t="str">
        <x:v>0.00</x:v>
      </x:c>
      <x:c r="K714" s="37" t="str">
        <x:v>0.00</x:v>
      </x:c>
      <x:c r="L714" s="37" t="str">
        <x:v>507</x:v>
      </x:c>
      <x:c r="M714" s="29" t="str">
        <x:v>342.60</x:v>
      </x:c>
      <x:c r="N714" s="29" t="str">
        <x:v>225.09</x:v>
      </x:c>
      <x:c r="O714" s="29" t="str">
        <x:v>117.51</x:v>
      </x:c>
      <x:c r="P714" s="18" t="str">
        <x:v>2026-08-02</x:v>
      </x:c>
      <x:c r="Q714" s="36" t="n">
        <x:v>46236</x:v>
      </x:c>
    </x:row>
    <x:row r="715">
      <x:c r="A715" s="36" t="str">
        <x:v>2026-08-02</x:v>
      </x:c>
      <x:c r="B715" s="18" t="str">
        <x:v>101437000_98867</x:v>
      </x:c>
      <x:c r="C715" s="18" t="str">
        <x:v>【沪村小电】欣荷苑充电站</x:v>
      </x:c>
      <x:c r="D715" s="37" t="str">
        <x:v>4</x:v>
      </x:c>
      <x:c r="E715" s="37" t="str">
        <x:v>0</x:v>
      </x:c>
      <x:c r="F715" s="37" t="str">
        <x:v>10</x:v>
      </x:c>
      <x:c r="G715" s="37" t="str">
        <x:v>298.51</x:v>
      </x:c>
      <x:c r="H715" s="37" t="str">
        <x:v>0.00</x:v>
      </x:c>
      <x:c r="I715" s="37" t="str">
        <x:v>264.20</x:v>
      </x:c>
      <x:c r="J715" s="37" t="str">
        <x:v>0.00</x:v>
      </x:c>
      <x:c r="K715" s="37" t="str">
        <x:v>34.31</x:v>
      </x:c>
      <x:c r="L715" s="37" t="str">
        <x:v>510</x:v>
      </x:c>
      <x:c r="M715" s="29" t="str">
        <x:v>273.67</x:v>
      </x:c>
      <x:c r="N715" s="29" t="str">
        <x:v>200.28</x:v>
      </x:c>
      <x:c r="O715" s="29" t="str">
        <x:v>73.39</x:v>
      </x:c>
      <x:c r="P715" s="18" t="str">
        <x:v>2026-08-02</x:v>
      </x:c>
      <x:c r="Q715" s="36" t="n">
        <x:v>46236</x:v>
      </x:c>
    </x:row>
    <x:row r="716">
      <x:c r="A716" s="36" t="str">
        <x:v>2026-08-02</x:v>
      </x:c>
      <x:c r="B716" s="18" t="str">
        <x:v>101437000_99885</x:v>
      </x:c>
      <x:c r="C716" s="18" t="str">
        <x:v>【沪村小电】汇丰馨苑充电站</x:v>
      </x:c>
      <x:c r="D716" s="37" t="str">
        <x:v>4</x:v>
      </x:c>
      <x:c r="E716" s="37" t="str">
        <x:v>0</x:v>
      </x:c>
      <x:c r="F716" s="37" t="str">
        <x:v>7</x:v>
      </x:c>
      <x:c r="G716" s="37" t="str">
        <x:v>141.96</x:v>
      </x:c>
      <x:c r="H716" s="37" t="str">
        <x:v>0.00</x:v>
      </x:c>
      <x:c r="I716" s="37" t="str">
        <x:v>72.67</x:v>
      </x:c>
      <x:c r="J716" s="37" t="str">
        <x:v>0.00</x:v>
      </x:c>
      <x:c r="K716" s="37" t="str">
        <x:v>69.30</x:v>
      </x:c>
      <x:c r="L716" s="37" t="str">
        <x:v>241</x:v>
      </x:c>
      <x:c r="M716" s="29" t="str">
        <x:v>118.63</x:v>
      </x:c>
      <x:c r="N716" s="29" t="str">
        <x:v>77.24</x:v>
      </x:c>
      <x:c r="O716" s="29" t="str">
        <x:v>41.39</x:v>
      </x:c>
      <x:c r="P716" s="18" t="str">
        <x:v>2026-08-02</x:v>
      </x:c>
      <x:c r="Q716" s="36" t="n">
        <x:v>46236</x:v>
      </x:c>
    </x:row>
    <x:row r="717">
      <x:c r="A717" s="36" t="str">
        <x:v>2026-08-02</x:v>
      </x:c>
      <x:c r="B717" s="18" t="str">
        <x:v>101437000_99887</x:v>
      </x:c>
      <x:c r="C717" s="18" t="str">
        <x:v>【沪村小电】新南村河南小区充电站</x:v>
      </x:c>
      <x:c r="D717" s="37" t="str">
        <x:v>2</x:v>
      </x:c>
      <x:c r="E717" s="37" t="str">
        <x:v>0</x:v>
      </x:c>
      <x:c r="F717" s="37" t="str">
        <x:v>14</x:v>
      </x:c>
      <x:c r="G717" s="37" t="str">
        <x:v>334.43</x:v>
      </x:c>
      <x:c r="H717" s="37" t="str">
        <x:v>0.00</x:v>
      </x:c>
      <x:c r="I717" s="37" t="str">
        <x:v>140.63</x:v>
      </x:c>
      <x:c r="J717" s="37" t="str">
        <x:v>0.00</x:v>
      </x:c>
      <x:c r="K717" s="37" t="str">
        <x:v>193.80</x:v>
      </x:c>
      <x:c r="L717" s="37" t="str">
        <x:v>573</x:v>
      </x:c>
      <x:c r="M717" s="29" t="str">
        <x:v>247.62</x:v>
      </x:c>
      <x:c r="N717" s="29" t="str">
        <x:v>171.55</x:v>
      </x:c>
      <x:c r="O717" s="29" t="str">
        <x:v>76.07</x:v>
      </x:c>
      <x:c r="P717" s="18" t="str">
        <x:v>2026-08-02</x:v>
      </x:c>
      <x:c r="Q717" s="36" t="n">
        <x:v>46236</x:v>
      </x:c>
    </x:row>
    <x:row r="718">
      <x:c r="A718" s="36" t="str">
        <x:v>2026-08-02</x:v>
      </x:c>
      <x:c r="B718" s="18" t="str">
        <x:v>101437000_99889</x:v>
      </x:c>
      <x:c r="C718" s="18" t="str">
        <x:v>【沪村小电】漕泾郊野公园</x:v>
      </x:c>
      <x:c r="D718" s="37" t="str">
        <x:v>2</x:v>
      </x:c>
      <x:c r="E718" s="37" t="str">
        <x:v>0</x:v>
      </x:c>
      <x:c r="F718" s="37" t="str">
        <x:v>5</x:v>
      </x:c>
      <x:c r="G718" s="37" t="str">
        <x:v>154.36</x:v>
      </x:c>
      <x:c r="H718" s="37" t="str">
        <x:v>0.00</x:v>
      </x:c>
      <x:c r="I718" s="37" t="str">
        <x:v>70.02</x:v>
      </x:c>
      <x:c r="J718" s="37" t="str">
        <x:v>0.00</x:v>
      </x:c>
      <x:c r="K718" s="37" t="str">
        <x:v>84.34</x:v>
      </x:c>
      <x:c r="L718" s="37" t="str">
        <x:v>235</x:v>
      </x:c>
      <x:c r="M718" s="29" t="str">
        <x:v>135.65</x:v>
      </x:c>
      <x:c r="N718" s="29" t="str">
        <x:v>103.82</x:v>
      </x:c>
      <x:c r="O718" s="29" t="str">
        <x:v>31.83</x:v>
      </x:c>
      <x:c r="P718" s="18" t="str">
        <x:v>2026-08-02</x:v>
      </x:c>
      <x:c r="Q718" s="36" t="n">
        <x:v>46236</x:v>
      </x:c>
    </x:row>
    <x:row r="719">
      <x:c r="A719" s="36" t="str">
        <x:v>2026-08-02</x:v>
      </x:c>
      <x:c r="B719" s="18" t="str">
        <x:v>101437000_99891</x:v>
      </x:c>
      <x:c r="C719" s="18" t="str">
        <x:v>【沪村小电】水韵紫城充电站</x:v>
      </x:c>
      <x:c r="D719" s="37" t="str">
        <x:v>4</x:v>
      </x:c>
      <x:c r="E719" s="37" t="str">
        <x:v>0</x:v>
      </x:c>
      <x:c r="F719" s="37" t="str">
        <x:v>45</x:v>
      </x:c>
      <x:c r="G719" s="37" t="str">
        <x:v>939.49</x:v>
      </x:c>
      <x:c r="H719" s="37" t="str">
        <x:v>0.00</x:v>
      </x:c>
      <x:c r="I719" s="37" t="str">
        <x:v>708.70</x:v>
      </x:c>
      <x:c r="J719" s="37" t="str">
        <x:v>0.00</x:v>
      </x:c>
      <x:c r="K719" s="37" t="str">
        <x:v>230.79</x:v>
      </x:c>
      <x:c r="L719" s="37" t="str">
        <x:v>1417</x:v>
      </x:c>
      <x:c r="M719" s="29" t="str">
        <x:v>937.13</x:v>
      </x:c>
      <x:c r="N719" s="29" t="str">
        <x:v>588.56</x:v>
      </x:c>
      <x:c r="O719" s="29" t="str">
        <x:v>348.57</x:v>
      </x:c>
      <x:c r="P719" s="18" t="str">
        <x:v>2026-08-02</x:v>
      </x:c>
      <x:c r="Q719" s="36" t="n">
        <x:v>46236</x:v>
      </x:c>
    </x:row>
    <x:row r="720">
      <x:c r="A720" s="36" t="str">
        <x:v>2026-08-01</x:v>
      </x:c>
      <x:c r="B720" s="18" t="str">
        <x:v>101437000_100523</x:v>
      </x:c>
      <x:c r="C720" s="18" t="str">
        <x:v>【沪村小电】民旺苑南区</x:v>
      </x:c>
      <x:c r="D720" s="37" t="str">
        <x:v>4</x:v>
      </x:c>
      <x:c r="E720" s="37" t="str">
        <x:v>0</x:v>
      </x:c>
      <x:c r="F720" s="37" t="str">
        <x:v>8</x:v>
      </x:c>
      <x:c r="G720" s="37" t="str">
        <x:v>240.75</x:v>
      </x:c>
      <x:c r="H720" s="37" t="str">
        <x:v>0.00</x:v>
      </x:c>
      <x:c r="I720" s="37" t="str">
        <x:v>240.75</x:v>
      </x:c>
      <x:c r="J720" s="37" t="str">
        <x:v>0.00</x:v>
      </x:c>
      <x:c r="K720" s="37" t="str">
        <x:v>0.00</x:v>
      </x:c>
      <x:c r="L720" s="37" t="str">
        <x:v>300</x:v>
      </x:c>
      <x:c r="M720" s="29" t="str">
        <x:v>324.72</x:v>
      </x:c>
      <x:c r="N720" s="29" t="str">
        <x:v>170.93</x:v>
      </x:c>
      <x:c r="O720" s="29" t="str">
        <x:v>153.79</x:v>
      </x:c>
      <x:c r="P720" s="18" t="str">
        <x:v>2026-08-01</x:v>
      </x:c>
      <x:c r="Q720" s="36" t="n">
        <x:v>46235</x:v>
      </x:c>
    </x:row>
    <x:row r="721">
      <x:c r="A721" s="36" t="str">
        <x:v>2026-08-01</x:v>
      </x:c>
      <x:c r="B721" s="18" t="str">
        <x:v>101437000_101531</x:v>
      </x:c>
      <x:c r="C721" s="18" t="str">
        <x:v>【沪村小电】汇中苑充电站</x:v>
      </x:c>
      <x:c r="D721" s="37" t="str">
        <x:v>2</x:v>
      </x:c>
      <x:c r="E721" s="37" t="str">
        <x:v>0</x:v>
      </x:c>
      <x:c r="F721" s="37" t="str">
        <x:v>10</x:v>
      </x:c>
      <x:c r="G721" s="37" t="str">
        <x:v>281.90</x:v>
      </x:c>
      <x:c r="H721" s="37" t="str">
        <x:v>0.00</x:v>
      </x:c>
      <x:c r="I721" s="37" t="str">
        <x:v>22.24</x:v>
      </x:c>
      <x:c r="J721" s="37" t="str">
        <x:v>153.19</x:v>
      </x:c>
      <x:c r="K721" s="37" t="str">
        <x:v>106.46</x:v>
      </x:c>
      <x:c r="L721" s="37" t="str">
        <x:v>487</x:v>
      </x:c>
      <x:c r="M721" s="29" t="str">
        <x:v>307.35</x:v>
      </x:c>
      <x:c r="N721" s="29" t="str">
        <x:v>173.62</x:v>
      </x:c>
      <x:c r="O721" s="29" t="str">
        <x:v>133.73</x:v>
      </x:c>
      <x:c r="P721" s="18" t="str">
        <x:v>2026-08-01</x:v>
      </x:c>
      <x:c r="Q721" s="36" t="n">
        <x:v>46235</x:v>
      </x:c>
    </x:row>
    <x:row r="722">
      <x:c r="A722" s="36" t="str">
        <x:v>2026-08-01</x:v>
      </x:c>
      <x:c r="B722" s="18" t="str">
        <x:v>101437000_102047</x:v>
      </x:c>
      <x:c r="C722" s="18" t="str">
        <x:v>【沪村小电】后浜小区9弄小区南面停车场充电站</x:v>
      </x:c>
      <x:c r="D722" s="37" t="str">
        <x:v>8</x:v>
      </x:c>
      <x:c r="E722" s="37" t="str">
        <x:v>0</x:v>
      </x:c>
      <x:c r="F722" s="37" t="str">
        <x:v>52</x:v>
      </x:c>
      <x:c r="G722" s="37" t="str">
        <x:v>1181.37</x:v>
      </x:c>
      <x:c r="H722" s="37" t="str">
        <x:v>0.00</x:v>
      </x:c>
      <x:c r="I722" s="37" t="str">
        <x:v>654.65</x:v>
      </x:c>
      <x:c r="J722" s="37" t="str">
        <x:v>0.00</x:v>
      </x:c>
      <x:c r="K722" s="37" t="str">
        <x:v>526.73</x:v>
      </x:c>
      <x:c r="L722" s="37" t="str">
        <x:v>1691</x:v>
      </x:c>
      <x:c r="M722" s="29" t="str">
        <x:v>1155.72</x:v>
      </x:c>
      <x:c r="N722" s="29" t="str">
        <x:v>712.38</x:v>
      </x:c>
      <x:c r="O722" s="29" t="str">
        <x:v>443.34</x:v>
      </x:c>
      <x:c r="P722" s="18" t="str">
        <x:v>2026-08-01</x:v>
      </x:c>
      <x:c r="Q722" s="36" t="n">
        <x:v>46235</x:v>
      </x:c>
    </x:row>
    <x:row r="723">
      <x:c r="A723" s="36" t="str">
        <x:v>2026-08-01</x:v>
      </x:c>
      <x:c r="B723" s="18" t="str">
        <x:v>101437000_103503</x:v>
      </x:c>
      <x:c r="C723" s="18" t="str">
        <x:v>【沪村小电】阳光城新界充电站</x:v>
      </x:c>
      <x:c r="D723" s="37" t="str">
        <x:v>4</x:v>
      </x:c>
      <x:c r="E723" s="37" t="str">
        <x:v>0</x:v>
      </x:c>
      <x:c r="F723" s="37" t="str">
        <x:v>28</x:v>
      </x:c>
      <x:c r="G723" s="37" t="str">
        <x:v>448.66</x:v>
      </x:c>
      <x:c r="H723" s="37" t="str">
        <x:v>0.00</x:v>
      </x:c>
      <x:c r="I723" s="37" t="str">
        <x:v>350.07</x:v>
      </x:c>
      <x:c r="J723" s="37" t="str">
        <x:v>0.00</x:v>
      </x:c>
      <x:c r="K723" s="37" t="str">
        <x:v>98.60</x:v>
      </x:c>
      <x:c r="L723" s="37" t="str">
        <x:v>625</x:v>
      </x:c>
      <x:c r="M723" s="29" t="str">
        <x:v>515.90</x:v>
      </x:c>
      <x:c r="N723" s="29" t="str">
        <x:v>312.49</x:v>
      </x:c>
      <x:c r="O723" s="29" t="str">
        <x:v>203.41</x:v>
      </x:c>
      <x:c r="P723" s="18" t="str">
        <x:v>2026-08-01</x:v>
      </x:c>
      <x:c r="Q723" s="36" t="n">
        <x:v>46235</x:v>
      </x:c>
    </x:row>
    <x:row r="724">
      <x:c r="A724" s="36" t="str">
        <x:v>2026-08-01</x:v>
      </x:c>
      <x:c r="B724" s="18" t="str">
        <x:v>101437000_41561</x:v>
      </x:c>
      <x:c r="C724" s="18" t="str">
        <x:v>【沪村小电】张施小区大门处快充站</x:v>
      </x:c>
      <x:c r="D724" s="37" t="str">
        <x:v>2</x:v>
      </x:c>
      <x:c r="E724" s="37" t="str">
        <x:v>0</x:v>
      </x:c>
      <x:c r="F724" s="37" t="str">
        <x:v>44</x:v>
      </x:c>
      <x:c r="G724" s="37" t="str">
        <x:v>1245.39</x:v>
      </x:c>
      <x:c r="H724" s="37" t="str">
        <x:v>0.00</x:v>
      </x:c>
      <x:c r="I724" s="37" t="str">
        <x:v>538.92</x:v>
      </x:c>
      <x:c r="J724" s="37" t="str">
        <x:v>0.00</x:v>
      </x:c>
      <x:c r="K724" s="37" t="str">
        <x:v>706.47</x:v>
      </x:c>
      <x:c r="L724" s="37" t="str">
        <x:v>2076</x:v>
      </x:c>
      <x:c r="M724" s="29" t="str">
        <x:v>927.24</x:v>
      </x:c>
      <x:c r="N724" s="29" t="str">
        <x:v>644.02</x:v>
      </x:c>
      <x:c r="O724" s="29" t="str">
        <x:v>283.22</x:v>
      </x:c>
      <x:c r="P724" s="18" t="str">
        <x:v>2026-08-01</x:v>
      </x:c>
      <x:c r="Q724" s="36" t="n">
        <x:v>46235</x:v>
      </x:c>
    </x:row>
    <x:row r="725">
      <x:c r="A725" s="36" t="str">
        <x:v>2026-08-01</x:v>
      </x:c>
      <x:c r="B725" s="18" t="str">
        <x:v>101437000_41563</x:v>
      </x:c>
      <x:c r="C725" s="18" t="str">
        <x:v>【沪村小电】同心村快充站</x:v>
      </x:c>
      <x:c r="D725" s="37" t="str">
        <x:v>4</x:v>
      </x:c>
      <x:c r="E725" s="37" t="str">
        <x:v>0</x:v>
      </x:c>
      <x:c r="F725" s="37" t="str">
        <x:v>56</x:v>
      </x:c>
      <x:c r="G725" s="37" t="str">
        <x:v>1227.94</x:v>
      </x:c>
      <x:c r="H725" s="37" t="str">
        <x:v>0.00</x:v>
      </x:c>
      <x:c r="I725" s="37" t="str">
        <x:v>826.32</x:v>
      </x:c>
      <x:c r="J725" s="37" t="str">
        <x:v>0.00</x:v>
      </x:c>
      <x:c r="K725" s="37" t="str">
        <x:v>401.61</x:v>
      </x:c>
      <x:c r="L725" s="37" t="str">
        <x:v>2012</x:v>
      </x:c>
      <x:c r="M725" s="29" t="str">
        <x:v>1206.84</x:v>
      </x:c>
      <x:c r="N725" s="29" t="str">
        <x:v>735.29</x:v>
      </x:c>
      <x:c r="O725" s="29" t="str">
        <x:v>471.55</x:v>
      </x:c>
      <x:c r="P725" s="18" t="str">
        <x:v>2026-08-01</x:v>
      </x:c>
      <x:c r="Q725" s="36" t="n">
        <x:v>46235</x:v>
      </x:c>
    </x:row>
    <x:row r="726">
      <x:c r="A726" s="36" t="str">
        <x:v>2026-08-01</x:v>
      </x:c>
      <x:c r="B726" s="18" t="str">
        <x:v>101437000_69629</x:v>
      </x:c>
      <x:c r="C726" s="18" t="str">
        <x:v>【沪村小电】骏丰玲珑坊西苑充电站</x:v>
      </x:c>
      <x:c r="D726" s="37" t="str">
        <x:v>2</x:v>
      </x:c>
      <x:c r="E726" s="37" t="str">
        <x:v>0</x:v>
      </x:c>
      <x:c r="F726" s="37" t="str">
        <x:v>89</x:v>
      </x:c>
      <x:c r="G726" s="37" t="str">
        <x:v>1813.87</x:v>
      </x:c>
      <x:c r="H726" s="37" t="str">
        <x:v>0.00</x:v>
      </x:c>
      <x:c r="I726" s="37" t="str">
        <x:v>1011.86</x:v>
      </x:c>
      <x:c r="J726" s="37" t="str">
        <x:v>0.00</x:v>
      </x:c>
      <x:c r="K726" s="37" t="str">
        <x:v>802.01</x:v>
      </x:c>
      <x:c r="L726" s="37" t="str">
        <x:v>3120</x:v>
      </x:c>
      <x:c r="M726" s="29" t="str">
        <x:v>1538.50</x:v>
      </x:c>
      <x:c r="N726" s="29" t="str">
        <x:v>1015.20</x:v>
      </x:c>
      <x:c r="O726" s="29" t="str">
        <x:v>523.30</x:v>
      </x:c>
      <x:c r="P726" s="18" t="str">
        <x:v>2026-08-01</x:v>
      </x:c>
      <x:c r="Q726" s="36" t="n">
        <x:v>46235</x:v>
      </x:c>
    </x:row>
    <x:row r="727">
      <x:c r="A727" s="36" t="str">
        <x:v>2026-08-01</x:v>
      </x:c>
      <x:c r="B727" s="18" t="str">
        <x:v>101437000_70547</x:v>
      </x:c>
      <x:c r="C727" s="18" t="str">
        <x:v>【沪村小电】农建村初心馆党群服务中心充电站</x:v>
      </x:c>
      <x:c r="D727" s="37" t="str">
        <x:v>4</x:v>
      </x:c>
      <x:c r="E727" s="37" t="str">
        <x:v>0</x:v>
      </x:c>
      <x:c r="F727" s="37" t="str">
        <x:v>38</x:v>
      </x:c>
      <x:c r="G727" s="37" t="str">
        <x:v>935.90</x:v>
      </x:c>
      <x:c r="H727" s="37" t="str">
        <x:v>0.00</x:v>
      </x:c>
      <x:c r="I727" s="37" t="str">
        <x:v>554.53</x:v>
      </x:c>
      <x:c r="J727" s="37" t="str">
        <x:v>0.00</x:v>
      </x:c>
      <x:c r="K727" s="37" t="str">
        <x:v>381.38</x:v>
      </x:c>
      <x:c r="L727" s="37" t="str">
        <x:v>1660</x:v>
      </x:c>
      <x:c r="M727" s="29" t="str">
        <x:v>875.39</x:v>
      </x:c>
      <x:c r="N727" s="29" t="str">
        <x:v>534.81</x:v>
      </x:c>
      <x:c r="O727" s="29" t="str">
        <x:v>340.58</x:v>
      </x:c>
      <x:c r="P727" s="18" t="str">
        <x:v>2026-08-01</x:v>
      </x:c>
      <x:c r="Q727" s="36" t="n">
        <x:v>46235</x:v>
      </x:c>
    </x:row>
    <x:row r="728">
      <x:c r="A728" s="36" t="str">
        <x:v>2026-08-01</x:v>
      </x:c>
      <x:c r="B728" s="18" t="str">
        <x:v>101437000_70549</x:v>
      </x:c>
      <x:c r="C728" s="18" t="str">
        <x:v>【沪村小电】学府路充电站</x:v>
      </x:c>
      <x:c r="D728" s="37" t="str">
        <x:v>2</x:v>
      </x:c>
      <x:c r="E728" s="37" t="str">
        <x:v>0</x:v>
      </x:c>
      <x:c r="F728" s="37" t="str">
        <x:v>5</x:v>
      </x:c>
      <x:c r="G728" s="37" t="str">
        <x:v>178.32</x:v>
      </x:c>
      <x:c r="H728" s="37" t="str">
        <x:v>0.00</x:v>
      </x:c>
      <x:c r="I728" s="37" t="str">
        <x:v>128.73</x:v>
      </x:c>
      <x:c r="J728" s="37" t="str">
        <x:v>0.00</x:v>
      </x:c>
      <x:c r="K728" s="37" t="str">
        <x:v>49.59</x:v>
      </x:c>
      <x:c r="L728" s="37" t="str">
        <x:v>265</x:v>
      </x:c>
      <x:c r="M728" s="29" t="str">
        <x:v>173.00</x:v>
      </x:c>
      <x:c r="N728" s="29" t="str">
        <x:v>109.74</x:v>
      </x:c>
      <x:c r="O728" s="29" t="str">
        <x:v>63.26</x:v>
      </x:c>
      <x:c r="P728" s="18" t="str">
        <x:v>2026-08-01</x:v>
      </x:c>
      <x:c r="Q728" s="36" t="n">
        <x:v>46235</x:v>
      </x:c>
    </x:row>
    <x:row r="729">
      <x:c r="A729" s="36" t="str">
        <x:v>2026-08-01</x:v>
      </x:c>
      <x:c r="B729" s="18" t="str">
        <x:v>101437000_71059</x:v>
      </x:c>
      <x:c r="C729" s="18" t="str">
        <x:v>【沪村小电】宝乐汇商业广场站</x:v>
      </x:c>
      <x:c r="D729" s="37" t="str">
        <x:v>4</x:v>
      </x:c>
      <x:c r="E729" s="37" t="str">
        <x:v>0</x:v>
      </x:c>
      <x:c r="F729" s="37" t="str">
        <x:v>11</x:v>
      </x:c>
      <x:c r="G729" s="37" t="str">
        <x:v>216.62</x:v>
      </x:c>
      <x:c r="H729" s="37" t="str">
        <x:v>0.00</x:v>
      </x:c>
      <x:c r="I729" s="37" t="str">
        <x:v>171.74</x:v>
      </x:c>
      <x:c r="J729" s="37" t="str">
        <x:v>0.00</x:v>
      </x:c>
      <x:c r="K729" s="37" t="str">
        <x:v>44.88</x:v>
      </x:c>
      <x:c r="L729" s="37" t="str">
        <x:v>383</x:v>
      </x:c>
      <x:c r="M729" s="29" t="str">
        <x:v>253.41</x:v>
      </x:c>
      <x:c r="N729" s="29" t="str">
        <x:v>175.20</x:v>
      </x:c>
      <x:c r="O729" s="29" t="str">
        <x:v>78.21</x:v>
      </x:c>
      <x:c r="P729" s="18" t="str">
        <x:v>2026-08-01</x:v>
      </x:c>
      <x:c r="Q729" s="36" t="n">
        <x:v>46235</x:v>
      </x:c>
    </x:row>
    <x:row r="730">
      <x:c r="A730" s="36" t="str">
        <x:v>2026-08-01</x:v>
      </x:c>
      <x:c r="B730" s="18" t="str">
        <x:v>101437000_72541</x:v>
      </x:c>
      <x:c r="C730" s="18" t="str">
        <x:v>【沪村小电】九干路1174弄充电站</x:v>
      </x:c>
      <x:c r="D730" s="37" t="str">
        <x:v>2</x:v>
      </x:c>
      <x:c r="E730" s="37" t="str">
        <x:v>0</x:v>
      </x:c>
      <x:c r="F730" s="37" t="str">
        <x:v>52</x:v>
      </x:c>
      <x:c r="G730" s="37" t="str">
        <x:v>1266.26</x:v>
      </x:c>
      <x:c r="H730" s="37" t="str">
        <x:v>0.00</x:v>
      </x:c>
      <x:c r="I730" s="37" t="str">
        <x:v>738.40</x:v>
      </x:c>
      <x:c r="J730" s="37" t="str">
        <x:v>0.00</x:v>
      </x:c>
      <x:c r="K730" s="37" t="str">
        <x:v>527.86</x:v>
      </x:c>
      <x:c r="L730" s="37" t="str">
        <x:v>1982</x:v>
      </x:c>
      <x:c r="M730" s="29" t="str">
        <x:v>1092.45</x:v>
      </x:c>
      <x:c r="N730" s="29" t="str">
        <x:v>719.59</x:v>
      </x:c>
      <x:c r="O730" s="29" t="str">
        <x:v>372.86</x:v>
      </x:c>
      <x:c r="P730" s="18" t="str">
        <x:v>2026-08-01</x:v>
      </x:c>
      <x:c r="Q730" s="36" t="n">
        <x:v>46235</x:v>
      </x:c>
    </x:row>
    <x:row r="731">
      <x:c r="A731" s="36" t="str">
        <x:v>2026-08-01</x:v>
      </x:c>
      <x:c r="B731" s="18" t="str">
        <x:v>101437000_72543</x:v>
      </x:c>
      <x:c r="C731" s="18" t="str">
        <x:v>【沪村小电】叶家中心村小区充电站</x:v>
      </x:c>
      <x:c r="D731" s="37" t="str">
        <x:v>2</x:v>
      </x:c>
      <x:c r="E731" s="37" t="str">
        <x:v>0</x:v>
      </x:c>
      <x:c r="F731" s="37" t="str">
        <x:v>45</x:v>
      </x:c>
      <x:c r="G731" s="37" t="str">
        <x:v>974.71</x:v>
      </x:c>
      <x:c r="H731" s="37" t="str">
        <x:v>0.00</x:v>
      </x:c>
      <x:c r="I731" s="37" t="str">
        <x:v>465.32</x:v>
      </x:c>
      <x:c r="J731" s="37" t="str">
        <x:v>0.00</x:v>
      </x:c>
      <x:c r="K731" s="37" t="str">
        <x:v>509.39</x:v>
      </x:c>
      <x:c r="L731" s="37" t="str">
        <x:v>1789</x:v>
      </x:c>
      <x:c r="M731" s="29" t="str">
        <x:v>749.73</x:v>
      </x:c>
      <x:c r="N731" s="29" t="str">
        <x:v>518.87</x:v>
      </x:c>
      <x:c r="O731" s="29" t="str">
        <x:v>230.86</x:v>
      </x:c>
      <x:c r="P731" s="18" t="str">
        <x:v>2026-08-01</x:v>
      </x:c>
      <x:c r="Q731" s="36" t="n">
        <x:v>46235</x:v>
      </x:c>
    </x:row>
    <x:row r="732">
      <x:c r="A732" s="36" t="str">
        <x:v>2026-08-01</x:v>
      </x:c>
      <x:c r="B732" s="18" t="str">
        <x:v>101437000_72937</x:v>
      </x:c>
      <x:c r="C732" s="18" t="str">
        <x:v>【沪村小电】佘北家园茸腾苑充电站</x:v>
      </x:c>
      <x:c r="D732" s="37" t="str">
        <x:v>4</x:v>
      </x:c>
      <x:c r="E732" s="37" t="str">
        <x:v>0</x:v>
      </x:c>
      <x:c r="F732" s="37" t="str">
        <x:v>36</x:v>
      </x:c>
      <x:c r="G732" s="37" t="str">
        <x:v>815.02</x:v>
      </x:c>
      <x:c r="H732" s="37" t="str">
        <x:v>0.00</x:v>
      </x:c>
      <x:c r="I732" s="37" t="str">
        <x:v>672.14</x:v>
      </x:c>
      <x:c r="J732" s="37" t="str">
        <x:v>0.00</x:v>
      </x:c>
      <x:c r="K732" s="37" t="str">
        <x:v>142.88</x:v>
      </x:c>
      <x:c r="L732" s="37" t="str">
        <x:v>1441</x:v>
      </x:c>
      <x:c r="M732" s="29" t="str">
        <x:v>774.67</x:v>
      </x:c>
      <x:c r="N732" s="29" t="str">
        <x:v>530.08</x:v>
      </x:c>
      <x:c r="O732" s="29" t="str">
        <x:v>244.59</x:v>
      </x:c>
      <x:c r="P732" s="18" t="str">
        <x:v>2026-08-01</x:v>
      </x:c>
      <x:c r="Q732" s="36" t="n">
        <x:v>46235</x:v>
      </x:c>
    </x:row>
    <x:row r="733">
      <x:c r="A733" s="36" t="str">
        <x:v>2026-08-01</x:v>
      </x:c>
      <x:c r="B733" s="18" t="str">
        <x:v>101437000_74223</x:v>
      </x:c>
      <x:c r="C733" s="18" t="str">
        <x:v>【沪村小电】中兴村委会充电站</x:v>
      </x:c>
      <x:c r="D733" s="37" t="str">
        <x:v>2</x:v>
      </x:c>
      <x:c r="E733" s="37" t="str">
        <x:v>0</x:v>
      </x:c>
      <x:c r="F733" s="37" t="str">
        <x:v>23</x:v>
      </x:c>
      <x:c r="G733" s="37" t="str">
        <x:v>439.22</x:v>
      </x:c>
      <x:c r="H733" s="37" t="str">
        <x:v>0.00</x:v>
      </x:c>
      <x:c r="I733" s="37" t="str">
        <x:v>306.32</x:v>
      </x:c>
      <x:c r="J733" s="37" t="str">
        <x:v>0.00</x:v>
      </x:c>
      <x:c r="K733" s="37" t="str">
        <x:v>132.90</x:v>
      </x:c>
      <x:c r="L733" s="37" t="str">
        <x:v>708</x:v>
      </x:c>
      <x:c r="M733" s="29" t="str">
        <x:v>410.04</x:v>
      </x:c>
      <x:c r="N733" s="29" t="str">
        <x:v>266.66</x:v>
      </x:c>
      <x:c r="O733" s="29" t="str">
        <x:v>143.38</x:v>
      </x:c>
      <x:c r="P733" s="18" t="str">
        <x:v>2026-08-01</x:v>
      </x:c>
      <x:c r="Q733" s="36" t="n">
        <x:v>46235</x:v>
      </x:c>
    </x:row>
    <x:row r="734">
      <x:c r="A734" s="36" t="str">
        <x:v>2026-08-01</x:v>
      </x:c>
      <x:c r="B734" s="18" t="str">
        <x:v>101437000_74801</x:v>
      </x:c>
      <x:c r="C734" s="18" t="str">
        <x:v>【沪村小电】申良花园充电站</x:v>
      </x:c>
      <x:c r="D734" s="37" t="str">
        <x:v>4</x:v>
      </x:c>
      <x:c r="E734" s="37" t="str">
        <x:v>0</x:v>
      </x:c>
      <x:c r="F734" s="37" t="str">
        <x:v>5</x:v>
      </x:c>
      <x:c r="G734" s="37" t="str">
        <x:v>86.71</x:v>
      </x:c>
      <x:c r="H734" s="37" t="str">
        <x:v>0.00</x:v>
      </x:c>
      <x:c r="I734" s="37" t="str">
        <x:v>86.71</x:v>
      </x:c>
      <x:c r="J734" s="37" t="str">
        <x:v>0.00</x:v>
      </x:c>
      <x:c r="K734" s="37" t="str">
        <x:v>0.00</x:v>
      </x:c>
      <x:c r="L734" s="37" t="str">
        <x:v>115</x:v>
      </x:c>
      <x:c r="M734" s="29" t="str">
        <x:v>109.37</x:v>
      </x:c>
      <x:c r="N734" s="29" t="str">
        <x:v>61.56</x:v>
      </x:c>
      <x:c r="O734" s="29" t="str">
        <x:v>47.81</x:v>
      </x:c>
      <x:c r="P734" s="18" t="str">
        <x:v>2026-08-01</x:v>
      </x:c>
      <x:c r="Q734" s="36" t="n">
        <x:v>46235</x:v>
      </x:c>
    </x:row>
    <x:row r="735">
      <x:c r="A735" s="36" t="str">
        <x:v>2026-08-01</x:v>
      </x:c>
      <x:c r="B735" s="18" t="str">
        <x:v>101437000_74931</x:v>
      </x:c>
      <x:c r="C735" s="18" t="str">
        <x:v>【沪村小电】枫雅南居充电站</x:v>
      </x:c>
      <x:c r="D735" s="37" t="str">
        <x:v>2</x:v>
      </x:c>
      <x:c r="E735" s="37" t="str">
        <x:v>0</x:v>
      </x:c>
      <x:c r="F735" s="37" t="str">
        <x:v>59</x:v>
      </x:c>
      <x:c r="G735" s="37" t="str">
        <x:v>1493.55</x:v>
      </x:c>
      <x:c r="H735" s="37" t="str">
        <x:v>0.00</x:v>
      </x:c>
      <x:c r="I735" s="37" t="str">
        <x:v>786.38</x:v>
      </x:c>
      <x:c r="J735" s="37" t="str">
        <x:v>0.00</x:v>
      </x:c>
      <x:c r="K735" s="37" t="str">
        <x:v>707.16</x:v>
      </x:c>
      <x:c r="L735" s="37" t="str">
        <x:v>2235</x:v>
      </x:c>
      <x:c r="M735" s="29" t="str">
        <x:v>1041.63</x:v>
      </x:c>
      <x:c r="N735" s="29" t="str">
        <x:v>683.18</x:v>
      </x:c>
      <x:c r="O735" s="29" t="str">
        <x:v>358.45</x:v>
      </x:c>
      <x:c r="P735" s="18" t="str">
        <x:v>2026-08-01</x:v>
      </x:c>
      <x:c r="Q735" s="36" t="n">
        <x:v>46235</x:v>
      </x:c>
    </x:row>
    <x:row r="736">
      <x:c r="A736" s="36" t="str">
        <x:v>2026-08-01</x:v>
      </x:c>
      <x:c r="B736" s="18" t="str">
        <x:v>101437000_75901</x:v>
      </x:c>
      <x:c r="C736" s="18" t="str">
        <x:v>【沪村小电】金悦学府</x:v>
      </x:c>
      <x:c r="D736" s="37" t="str">
        <x:v>2</x:v>
      </x:c>
      <x:c r="E736" s="37" t="str">
        <x:v>0</x:v>
      </x:c>
      <x:c r="F736" s="37" t="str">
        <x:v>53</x:v>
      </x:c>
      <x:c r="G736" s="37" t="str">
        <x:v>1663.24</x:v>
      </x:c>
      <x:c r="H736" s="37" t="str">
        <x:v>0.00</x:v>
      </x:c>
      <x:c r="I736" s="37" t="str">
        <x:v>685.84</x:v>
      </x:c>
      <x:c r="J736" s="37" t="str">
        <x:v>0.00</x:v>
      </x:c>
      <x:c r="K736" s="37" t="str">
        <x:v>977.40</x:v>
      </x:c>
      <x:c r="L736" s="37" t="str">
        <x:v>2533</x:v>
      </x:c>
      <x:c r="M736" s="29" t="str">
        <x:v>1214.77</x:v>
      </x:c>
      <x:c r="N736" s="29" t="str">
        <x:v>707.61</x:v>
      </x:c>
      <x:c r="O736" s="29" t="str">
        <x:v>507.16</x:v>
      </x:c>
      <x:c r="P736" s="18" t="str">
        <x:v>2026-08-01</x:v>
      </x:c>
      <x:c r="Q736" s="36" t="n">
        <x:v>46235</x:v>
      </x:c>
    </x:row>
    <x:row r="737">
      <x:c r="A737" s="36" t="str">
        <x:v>2026-08-01</x:v>
      </x:c>
      <x:c r="B737" s="18" t="str">
        <x:v>101437000_76091</x:v>
      </x:c>
      <x:c r="C737" s="18" t="str">
        <x:v>【沪村小电】恒信家园充电站</x:v>
      </x:c>
      <x:c r="D737" s="37" t="str">
        <x:v>2</x:v>
      </x:c>
      <x:c r="E737" s="37" t="str">
        <x:v>0</x:v>
      </x:c>
      <x:c r="F737" s="37" t="str">
        <x:v>45</x:v>
      </x:c>
      <x:c r="G737" s="37" t="str">
        <x:v>1020.83</x:v>
      </x:c>
      <x:c r="H737" s="37" t="str">
        <x:v>0.00</x:v>
      </x:c>
      <x:c r="I737" s="37" t="str">
        <x:v>566.05</x:v>
      </x:c>
      <x:c r="J737" s="37" t="str">
        <x:v>0.00</x:v>
      </x:c>
      <x:c r="K737" s="37" t="str">
        <x:v>454.77</x:v>
      </x:c>
      <x:c r="L737" s="37" t="str">
        <x:v>1531</x:v>
      </x:c>
      <x:c r="M737" s="29" t="str">
        <x:v>971.78</x:v>
      </x:c>
      <x:c r="N737" s="29" t="str">
        <x:v>570.14</x:v>
      </x:c>
      <x:c r="O737" s="29" t="str">
        <x:v>401.64</x:v>
      </x:c>
      <x:c r="P737" s="18" t="str">
        <x:v>2026-08-01</x:v>
      </x:c>
      <x:c r="Q737" s="36" t="n">
        <x:v>46235</x:v>
      </x:c>
    </x:row>
    <x:row r="738">
      <x:c r="A738" s="36" t="str">
        <x:v>2026-08-01</x:v>
      </x:c>
      <x:c r="B738" s="18" t="str">
        <x:v>101437000_76417</x:v>
      </x:c>
      <x:c r="C738" s="18" t="str">
        <x:v>【沪村小电】新春一组充电站</x:v>
      </x:c>
      <x:c r="D738" s="37" t="str">
        <x:v>2</x:v>
      </x:c>
      <x:c r="E738" s="37" t="str">
        <x:v>0</x:v>
      </x:c>
      <x:c r="F738" s="37" t="str">
        <x:v>38</x:v>
      </x:c>
      <x:c r="G738" s="37" t="str">
        <x:v>1087.80</x:v>
      </x:c>
      <x:c r="H738" s="37" t="str">
        <x:v>0.00</x:v>
      </x:c>
      <x:c r="I738" s="37" t="str">
        <x:v>586.22</x:v>
      </x:c>
      <x:c r="J738" s="37" t="str">
        <x:v>0.00</x:v>
      </x:c>
      <x:c r="K738" s="37" t="str">
        <x:v>501.58</x:v>
      </x:c>
      <x:c r="L738" s="37" t="str">
        <x:v>1689</x:v>
      </x:c>
      <x:c r="M738" s="29" t="str">
        <x:v>920.99</x:v>
      </x:c>
      <x:c r="N738" s="29" t="str">
        <x:v>601.81</x:v>
      </x:c>
      <x:c r="O738" s="29" t="str">
        <x:v>319.18</x:v>
      </x:c>
      <x:c r="P738" s="18" t="str">
        <x:v>2026-08-01</x:v>
      </x:c>
      <x:c r="Q738" s="36" t="n">
        <x:v>46235</x:v>
      </x:c>
    </x:row>
    <x:row r="739">
      <x:c r="A739" s="36" t="str">
        <x:v>2026-08-01</x:v>
      </x:c>
      <x:c r="B739" s="18" t="str">
        <x:v>101437000_78235</x:v>
      </x:c>
      <x:c r="C739" s="18" t="str">
        <x:v>【沪村小电】欣秋苑充电站</x:v>
      </x:c>
      <x:c r="D739" s="37" t="str">
        <x:v>4</x:v>
      </x:c>
      <x:c r="E739" s="37" t="str">
        <x:v>0</x:v>
      </x:c>
      <x:c r="F739" s="37" t="str">
        <x:v>18</x:v>
      </x:c>
      <x:c r="G739" s="37" t="str">
        <x:v>440.69</x:v>
      </x:c>
      <x:c r="H739" s="37" t="str">
        <x:v>0.00</x:v>
      </x:c>
      <x:c r="I739" s="37" t="str">
        <x:v>292.79</x:v>
      </x:c>
      <x:c r="J739" s="37" t="str">
        <x:v>0.00</x:v>
      </x:c>
      <x:c r="K739" s="37" t="str">
        <x:v>147.91</x:v>
      </x:c>
      <x:c r="L739" s="37" t="str">
        <x:v>821</x:v>
      </x:c>
      <x:c r="M739" s="29" t="str">
        <x:v>386.12</x:v>
      </x:c>
      <x:c r="N739" s="29" t="str">
        <x:v>262.61</x:v>
      </x:c>
      <x:c r="O739" s="29" t="str">
        <x:v>123.51</x:v>
      </x:c>
      <x:c r="P739" s="18" t="str">
        <x:v>2026-08-01</x:v>
      </x:c>
      <x:c r="Q739" s="36" t="n">
        <x:v>46235</x:v>
      </x:c>
    </x:row>
    <x:row r="740">
      <x:c r="A740" s="36" t="str">
        <x:v>2026-08-01</x:v>
      </x:c>
      <x:c r="B740" s="18" t="str">
        <x:v>101437000_78237</x:v>
      </x:c>
      <x:c r="C740" s="18" t="str">
        <x:v>【沪村小电】奉馨苑西门小区内北侧充电站</x:v>
      </x:c>
      <x:c r="D740" s="37" t="str">
        <x:v>2</x:v>
      </x:c>
      <x:c r="E740" s="37" t="str">
        <x:v>0</x:v>
      </x:c>
      <x:c r="F740" s="37" t="str">
        <x:v>34</x:v>
      </x:c>
      <x:c r="G740" s="37" t="str">
        <x:v>917.74</x:v>
      </x:c>
      <x:c r="H740" s="37" t="str">
        <x:v>53.58</x:v>
      </x:c>
      <x:c r="I740" s="37" t="str">
        <x:v>177.51</x:v>
      </x:c>
      <x:c r="J740" s="37" t="str">
        <x:v>387.70</x:v>
      </x:c>
      <x:c r="K740" s="37" t="str">
        <x:v>298.96</x:v>
      </x:c>
      <x:c r="L740" s="37" t="str">
        <x:v>1227</x:v>
      </x:c>
      <x:c r="M740" s="29" t="str">
        <x:v>843.74</x:v>
      </x:c>
      <x:c r="N740" s="29" t="str">
        <x:v>666.39</x:v>
      </x:c>
      <x:c r="O740" s="29" t="str">
        <x:v>177.35</x:v>
      </x:c>
      <x:c r="P740" s="18" t="str">
        <x:v>2026-08-01</x:v>
      </x:c>
      <x:c r="Q740" s="36" t="n">
        <x:v>46235</x:v>
      </x:c>
    </x:row>
    <x:row r="741">
      <x:c r="A741" s="36" t="str">
        <x:v>2026-08-01</x:v>
      </x:c>
      <x:c r="B741" s="18" t="str">
        <x:v>101437000_80823</x:v>
      </x:c>
      <x:c r="C741" s="18" t="str">
        <x:v>【沪村小电】上湖轩充电站</x:v>
      </x:c>
      <x:c r="D741" s="37" t="str">
        <x:v>2</x:v>
      </x:c>
      <x:c r="E741" s="37" t="str">
        <x:v>0</x:v>
      </x:c>
      <x:c r="F741" s="37" t="str">
        <x:v>6</x:v>
      </x:c>
      <x:c r="G741" s="37" t="str">
        <x:v>167.69</x:v>
      </x:c>
      <x:c r="H741" s="37" t="str">
        <x:v>0.00</x:v>
      </x:c>
      <x:c r="I741" s="37" t="str">
        <x:v>22.30</x:v>
      </x:c>
      <x:c r="J741" s="37" t="str">
        <x:v>59.33</x:v>
      </x:c>
      <x:c r="K741" s="37" t="str">
        <x:v>86.07</x:v>
      </x:c>
      <x:c r="L741" s="37" t="str">
        <x:v>148</x:v>
      </x:c>
      <x:c r="M741" s="29" t="str">
        <x:v>139.82</x:v>
      </x:c>
      <x:c r="N741" s="29" t="str">
        <x:v>120.42</x:v>
      </x:c>
      <x:c r="O741" s="29" t="str">
        <x:v>19.40</x:v>
      </x:c>
      <x:c r="P741" s="18" t="str">
        <x:v>2026-08-01</x:v>
      </x:c>
      <x:c r="Q741" s="36" t="n">
        <x:v>46235</x:v>
      </x:c>
    </x:row>
    <x:row r="742">
      <x:c r="A742" s="36" t="str">
        <x:v>2026-08-01</x:v>
      </x:c>
      <x:c r="B742" s="18" t="str">
        <x:v>101437000_83019</x:v>
      </x:c>
      <x:c r="C742" s="18" t="str">
        <x:v>【沪村小电】首创禧瑞云启东区充电站</x:v>
      </x:c>
      <x:c r="D742" s="37" t="str">
        <x:v>2</x:v>
      </x:c>
      <x:c r="E742" s="37" t="str">
        <x:v>0</x:v>
      </x:c>
      <x:c r="F742" s="37" t="str">
        <x:v>25</x:v>
      </x:c>
      <x:c r="G742" s="37" t="str">
        <x:v>636.87</x:v>
      </x:c>
      <x:c r="H742" s="37" t="str">
        <x:v>0.00</x:v>
      </x:c>
      <x:c r="I742" s="37" t="str">
        <x:v>580.71</x:v>
      </x:c>
      <x:c r="J742" s="37" t="str">
        <x:v>0.00</x:v>
      </x:c>
      <x:c r="K742" s="37" t="str">
        <x:v>56.17</x:v>
      </x:c>
      <x:c r="L742" s="37" t="str">
        <x:v>955</x:v>
      </x:c>
      <x:c r="M742" s="29" t="str">
        <x:v>706.86</x:v>
      </x:c>
      <x:c r="N742" s="29" t="str">
        <x:v>433.06</x:v>
      </x:c>
      <x:c r="O742" s="29" t="str">
        <x:v>273.80</x:v>
      </x:c>
      <x:c r="P742" s="18" t="str">
        <x:v>2026-08-01</x:v>
      </x:c>
      <x:c r="Q742" s="36" t="n">
        <x:v>46235</x:v>
      </x:c>
    </x:row>
    <x:row r="743">
      <x:c r="A743" s="36" t="str">
        <x:v>2026-08-01</x:v>
      </x:c>
      <x:c r="B743" s="18" t="str">
        <x:v>101437000_83093</x:v>
      </x:c>
      <x:c r="C743" s="18" t="str">
        <x:v>【沪村小电】金茂未来时光里</x:v>
      </x:c>
      <x:c r="D743" s="37" t="str">
        <x:v>2</x:v>
      </x:c>
      <x:c r="E743" s="37" t="str">
        <x:v>0</x:v>
      </x:c>
      <x:c r="F743" s="37" t="str">
        <x:v>69</x:v>
      </x:c>
      <x:c r="G743" s="37" t="str">
        <x:v>2257.85</x:v>
      </x:c>
      <x:c r="H743" s="37" t="str">
        <x:v>0.00</x:v>
      </x:c>
      <x:c r="I743" s="37" t="str">
        <x:v>1092.88</x:v>
      </x:c>
      <x:c r="J743" s="37" t="str">
        <x:v>0.00</x:v>
      </x:c>
      <x:c r="K743" s="37" t="str">
        <x:v>1164.97</x:v>
      </x:c>
      <x:c r="L743" s="37" t="str">
        <x:v>3481</x:v>
      </x:c>
      <x:c r="M743" s="29" t="str">
        <x:v>1503.30</x:v>
      </x:c>
      <x:c r="N743" s="29" t="str">
        <x:v>1005.92</x:v>
      </x:c>
      <x:c r="O743" s="29" t="str">
        <x:v>497.38</x:v>
      </x:c>
      <x:c r="P743" s="18" t="str">
        <x:v>2026-08-01</x:v>
      </x:c>
      <x:c r="Q743" s="36" t="n">
        <x:v>46235</x:v>
      </x:c>
    </x:row>
    <x:row r="744">
      <x:c r="A744" s="36" t="str">
        <x:v>2026-08-01</x:v>
      </x:c>
      <x:c r="B744" s="18" t="str">
        <x:v>101437000_83911</x:v>
      </x:c>
      <x:c r="C744" s="18" t="str">
        <x:v>【沪村小电】金瀚园充电站</x:v>
      </x:c>
      <x:c r="D744" s="37" t="str">
        <x:v>2</x:v>
      </x:c>
      <x:c r="E744" s="37" t="str">
        <x:v>0</x:v>
      </x:c>
      <x:c r="F744" s="37" t="str">
        <x:v>39</x:v>
      </x:c>
      <x:c r="G744" s="37" t="str">
        <x:v>981.20</x:v>
      </x:c>
      <x:c r="H744" s="37" t="str">
        <x:v>0.00</x:v>
      </x:c>
      <x:c r="I744" s="37" t="str">
        <x:v>475.37</x:v>
      </x:c>
      <x:c r="J744" s="37" t="str">
        <x:v>0.00</x:v>
      </x:c>
      <x:c r="K744" s="37" t="str">
        <x:v>505.82</x:v>
      </x:c>
      <x:c r="L744" s="37" t="str">
        <x:v>1511</x:v>
      </x:c>
      <x:c r="M744" s="29" t="str">
        <x:v>781.54</x:v>
      </x:c>
      <x:c r="N744" s="29" t="str">
        <x:v>524.70</x:v>
      </x:c>
      <x:c r="O744" s="29" t="str">
        <x:v>256.84</x:v>
      </x:c>
      <x:c r="P744" s="18" t="str">
        <x:v>2026-08-01</x:v>
      </x:c>
      <x:c r="Q744" s="36" t="n">
        <x:v>46235</x:v>
      </x:c>
    </x:row>
    <x:row r="745">
      <x:c r="A745" s="36" t="str">
        <x:v>2026-08-01</x:v>
      </x:c>
      <x:c r="B745" s="18" t="str">
        <x:v>101437000_83913</x:v>
      </x:c>
      <x:c r="C745" s="18" t="str">
        <x:v>【沪村小电】新黎村充电站</x:v>
      </x:c>
      <x:c r="D745" s="37" t="str">
        <x:v>2</x:v>
      </x:c>
      <x:c r="E745" s="37" t="str">
        <x:v>0</x:v>
      </x:c>
      <x:c r="F745" s="37" t="str">
        <x:v>52</x:v>
      </x:c>
      <x:c r="G745" s="37" t="str">
        <x:v>1176.99</x:v>
      </x:c>
      <x:c r="H745" s="37" t="str">
        <x:v>0.00</x:v>
      </x:c>
      <x:c r="I745" s="37" t="str">
        <x:v>861.42</x:v>
      </x:c>
      <x:c r="J745" s="37" t="str">
        <x:v>0.00</x:v>
      </x:c>
      <x:c r="K745" s="37" t="str">
        <x:v>315.57</x:v>
      </x:c>
      <x:c r="L745" s="37" t="str">
        <x:v>1724</x:v>
      </x:c>
      <x:c r="M745" s="29" t="str">
        <x:v>1042.91</x:v>
      </x:c>
      <x:c r="N745" s="29" t="str">
        <x:v>728.36</x:v>
      </x:c>
      <x:c r="O745" s="29" t="str">
        <x:v>314.55</x:v>
      </x:c>
      <x:c r="P745" s="18" t="str">
        <x:v>2026-08-01</x:v>
      </x:c>
      <x:c r="Q745" s="36" t="n">
        <x:v>46235</x:v>
      </x:c>
    </x:row>
    <x:row r="746">
      <x:c r="A746" s="36" t="str">
        <x:v>2026-08-01</x:v>
      </x:c>
      <x:c r="B746" s="18" t="str">
        <x:v>101437000_83915</x:v>
      </x:c>
      <x:c r="C746" s="18" t="str">
        <x:v>【沪村小电】长泰西郊别墅充电站</x:v>
      </x:c>
      <x:c r="D746" s="37" t="str">
        <x:v>2</x:v>
      </x:c>
      <x:c r="E746" s="37" t="str">
        <x:v>0</x:v>
      </x:c>
      <x:c r="F746" s="37" t="str">
        <x:v>32</x:v>
      </x:c>
      <x:c r="G746" s="37" t="str">
        <x:v>988.82</x:v>
      </x:c>
      <x:c r="H746" s="37" t="str">
        <x:v>0.00</x:v>
      </x:c>
      <x:c r="I746" s="37" t="str">
        <x:v>405.08</x:v>
      </x:c>
      <x:c r="J746" s="37" t="str">
        <x:v>0.00</x:v>
      </x:c>
      <x:c r="K746" s="37" t="str">
        <x:v>583.74</x:v>
      </x:c>
      <x:c r="L746" s="37" t="str">
        <x:v>1491</x:v>
      </x:c>
      <x:c r="M746" s="29" t="str">
        <x:v>829.78</x:v>
      </x:c>
      <x:c r="N746" s="29" t="str">
        <x:v>503.57</x:v>
      </x:c>
      <x:c r="O746" s="29" t="str">
        <x:v>326.21</x:v>
      </x:c>
      <x:c r="P746" s="18" t="str">
        <x:v>2026-08-01</x:v>
      </x:c>
      <x:c r="Q746" s="36" t="n">
        <x:v>46235</x:v>
      </x:c>
    </x:row>
    <x:row r="747">
      <x:c r="A747" s="36" t="str">
        <x:v>2026-08-01</x:v>
      </x:c>
      <x:c r="B747" s="18" t="str">
        <x:v>101437000_83917</x:v>
      </x:c>
      <x:c r="C747" s="18" t="str">
        <x:v>【沪村小电】旭新华庭充电站</x:v>
      </x:c>
      <x:c r="D747" s="37" t="str">
        <x:v>4</x:v>
      </x:c>
      <x:c r="E747" s="37" t="str">
        <x:v>0</x:v>
      </x:c>
      <x:c r="F747" s="37" t="str">
        <x:v>46</x:v>
      </x:c>
      <x:c r="G747" s="37" t="str">
        <x:v>1076.53</x:v>
      </x:c>
      <x:c r="H747" s="37" t="str">
        <x:v>0.00</x:v>
      </x:c>
      <x:c r="I747" s="37" t="str">
        <x:v>701.05</x:v>
      </x:c>
      <x:c r="J747" s="37" t="str">
        <x:v>0.00</x:v>
      </x:c>
      <x:c r="K747" s="37" t="str">
        <x:v>375.48</x:v>
      </x:c>
      <x:c r="L747" s="37" t="str">
        <x:v>1529</x:v>
      </x:c>
      <x:c r="M747" s="29" t="str">
        <x:v>1128.48</x:v>
      </x:c>
      <x:c r="N747" s="29" t="str">
        <x:v>636.74</x:v>
      </x:c>
      <x:c r="O747" s="29" t="str">
        <x:v>491.74</x:v>
      </x:c>
      <x:c r="P747" s="18" t="str">
        <x:v>2026-08-01</x:v>
      </x:c>
      <x:c r="Q747" s="36" t="n">
        <x:v>46235</x:v>
      </x:c>
    </x:row>
    <x:row r="748">
      <x:c r="A748" s="36" t="str">
        <x:v>2026-08-01</x:v>
      </x:c>
      <x:c r="B748" s="18" t="str">
        <x:v>101437000_83919</x:v>
      </x:c>
      <x:c r="C748" s="18" t="str">
        <x:v>【沪村小电】浦锦名仕嘉园充电站</x:v>
      </x:c>
      <x:c r="D748" s="37" t="str">
        <x:v>4</x:v>
      </x:c>
      <x:c r="E748" s="37" t="str">
        <x:v>0</x:v>
      </x:c>
      <x:c r="F748" s="37" t="str">
        <x:v>34</x:v>
      </x:c>
      <x:c r="G748" s="37" t="str">
        <x:v>1023.56</x:v>
      </x:c>
      <x:c r="H748" s="37" t="str">
        <x:v>0.00</x:v>
      </x:c>
      <x:c r="I748" s="37" t="str">
        <x:v>0.00</x:v>
      </x:c>
      <x:c r="J748" s="37" t="str">
        <x:v>1023.56</x:v>
      </x:c>
      <x:c r="K748" s="37" t="str">
        <x:v>0.00</x:v>
      </x:c>
      <x:c r="L748" s="37" t="str">
        <x:v>1266</x:v>
      </x:c>
      <x:c r="M748" s="29" t="str">
        <x:v>946.64</x:v>
      </x:c>
      <x:c r="N748" s="29" t="str">
        <x:v>716.50</x:v>
      </x:c>
      <x:c r="O748" s="29" t="str">
        <x:v>230.14</x:v>
      </x:c>
      <x:c r="P748" s="18" t="str">
        <x:v>2026-08-01</x:v>
      </x:c>
      <x:c r="Q748" s="36" t="n">
        <x:v>46235</x:v>
      </x:c>
    </x:row>
    <x:row r="749">
      <x:c r="A749" s="36" t="str">
        <x:v>2026-08-01</x:v>
      </x:c>
      <x:c r="B749" s="18" t="str">
        <x:v>101437000_83921</x:v>
      </x:c>
      <x:c r="C749" s="18" t="str">
        <x:v>【沪村小电】上海联怡枇杷乐园充电站（地库）</x:v>
      </x:c>
      <x:c r="D749" s="37" t="str">
        <x:v>8</x:v>
      </x:c>
      <x:c r="E749" s="37" t="str">
        <x:v>0</x:v>
      </x:c>
      <x:c r="F749" s="37" t="str">
        <x:v>8</x:v>
      </x:c>
      <x:c r="G749" s="37" t="str">
        <x:v>218.59</x:v>
      </x:c>
      <x:c r="H749" s="37" t="str">
        <x:v>0.00</x:v>
      </x:c>
      <x:c r="I749" s="37" t="str">
        <x:v>57.57</x:v>
      </x:c>
      <x:c r="J749" s="37" t="str">
        <x:v>0.00</x:v>
      </x:c>
      <x:c r="K749" s="37" t="str">
        <x:v>161.02</x:v>
      </x:c>
      <x:c r="L749" s="37" t="str">
        <x:v>326</x:v>
      </x:c>
      <x:c r="M749" s="29" t="str">
        <x:v>154.69</x:v>
      </x:c>
      <x:c r="N749" s="29" t="str">
        <x:v>125.89</x:v>
      </x:c>
      <x:c r="O749" s="29" t="str">
        <x:v>28.80</x:v>
      </x:c>
      <x:c r="P749" s="18" t="str">
        <x:v>2026-08-01</x:v>
      </x:c>
      <x:c r="Q749" s="36" t="n">
        <x:v>46235</x:v>
      </x:c>
    </x:row>
    <x:row r="750">
      <x:c r="A750" s="36" t="str">
        <x:v>2026-08-01</x:v>
      </x:c>
      <x:c r="B750" s="18" t="str">
        <x:v>101437000_83923</x:v>
      </x:c>
      <x:c r="C750" s="18" t="str">
        <x:v>【沪村小电】明珠新苑充电站</x:v>
      </x:c>
      <x:c r="D750" s="37" t="str">
        <x:v>2</x:v>
      </x:c>
      <x:c r="E750" s="37" t="str">
        <x:v>0</x:v>
      </x:c>
      <x:c r="F750" s="37" t="str">
        <x:v>35</x:v>
      </x:c>
      <x:c r="G750" s="37" t="str">
        <x:v>965.00</x:v>
      </x:c>
      <x:c r="H750" s="37" t="str">
        <x:v>0.00</x:v>
      </x:c>
      <x:c r="I750" s="37" t="str">
        <x:v>617.84</x:v>
      </x:c>
      <x:c r="J750" s="37" t="str">
        <x:v>0.00</x:v>
      </x:c>
      <x:c r="K750" s="37" t="str">
        <x:v>347.16</x:v>
      </x:c>
      <x:c r="L750" s="37" t="str">
        <x:v>1066</x:v>
      </x:c>
      <x:c r="M750" s="29" t="str">
        <x:v>895.53</x:v>
      </x:c>
      <x:c r="N750" s="29" t="str">
        <x:v>567.08</x:v>
      </x:c>
      <x:c r="O750" s="29" t="str">
        <x:v>328.45</x:v>
      </x:c>
      <x:c r="P750" s="18" t="str">
        <x:v>2026-08-01</x:v>
      </x:c>
      <x:c r="Q750" s="36" t="n">
        <x:v>46235</x:v>
      </x:c>
    </x:row>
    <x:row r="751">
      <x:c r="A751" s="36" t="str">
        <x:v>2026-08-01</x:v>
      </x:c>
      <x:c r="B751" s="18" t="str">
        <x:v>101437000_84289</x:v>
      </x:c>
      <x:c r="C751" s="18" t="str">
        <x:v>【沪村小电】铁建芳华苑充电站</x:v>
      </x:c>
      <x:c r="D751" s="37" t="str">
        <x:v>4</x:v>
      </x:c>
      <x:c r="E751" s="37" t="str">
        <x:v>0</x:v>
      </x:c>
      <x:c r="F751" s="37" t="str">
        <x:v>63</x:v>
      </x:c>
      <x:c r="G751" s="37" t="str">
        <x:v>1448.52</x:v>
      </x:c>
      <x:c r="H751" s="37" t="str">
        <x:v>0.00</x:v>
      </x:c>
      <x:c r="I751" s="37" t="str">
        <x:v>1057.33</x:v>
      </x:c>
      <x:c r="J751" s="37" t="str">
        <x:v>0.00</x:v>
      </x:c>
      <x:c r="K751" s="37" t="str">
        <x:v>391.20</x:v>
      </x:c>
      <x:c r="L751" s="37" t="str">
        <x:v>2259</x:v>
      </x:c>
      <x:c r="M751" s="29" t="str">
        <x:v>1415.52</x:v>
      </x:c>
      <x:c r="N751" s="29" t="str">
        <x:v>895.46</x:v>
      </x:c>
      <x:c r="O751" s="29" t="str">
        <x:v>520.06</x:v>
      </x:c>
      <x:c r="P751" s="18" t="str">
        <x:v>2026-08-01</x:v>
      </x:c>
      <x:c r="Q751" s="36" t="n">
        <x:v>46235</x:v>
      </x:c>
    </x:row>
    <x:row r="752">
      <x:c r="A752" s="36" t="str">
        <x:v>2026-08-01</x:v>
      </x:c>
      <x:c r="B752" s="18" t="str">
        <x:v>101437000_86379</x:v>
      </x:c>
      <x:c r="C752" s="18" t="str">
        <x:v>【沪村小电】新宝社区充电站</x:v>
      </x:c>
      <x:c r="D752" s="37" t="str">
        <x:v>4</x:v>
      </x:c>
      <x:c r="E752" s="37" t="str">
        <x:v>0</x:v>
      </x:c>
      <x:c r="F752" s="37" t="str">
        <x:v>22</x:v>
      </x:c>
      <x:c r="G752" s="37" t="str">
        <x:v>564.14</x:v>
      </x:c>
      <x:c r="H752" s="37" t="str">
        <x:v>0.00</x:v>
      </x:c>
      <x:c r="I752" s="37" t="str">
        <x:v>204.83</x:v>
      </x:c>
      <x:c r="J752" s="37" t="str">
        <x:v>0.00</x:v>
      </x:c>
      <x:c r="K752" s="37" t="str">
        <x:v>359.31</x:v>
      </x:c>
      <x:c r="L752" s="37" t="str">
        <x:v>1100</x:v>
      </x:c>
      <x:c r="M752" s="29" t="str">
        <x:v>403.28</x:v>
      </x:c>
      <x:c r="N752" s="29" t="str">
        <x:v>278.37</x:v>
      </x:c>
      <x:c r="O752" s="29" t="str">
        <x:v>124.91</x:v>
      </x:c>
      <x:c r="P752" s="18" t="str">
        <x:v>2026-08-01</x:v>
      </x:c>
      <x:c r="Q752" s="36" t="n">
        <x:v>46235</x:v>
      </x:c>
    </x:row>
    <x:row r="753">
      <x:c r="A753" s="36" t="str">
        <x:v>2026-08-01</x:v>
      </x:c>
      <x:c r="B753" s="18" t="str">
        <x:v>101437000_89441</x:v>
      </x:c>
      <x:c r="C753" s="18" t="str">
        <x:v>【沪村小电】首创禧瑞云启西区充电站</x:v>
      </x:c>
      <x:c r="D753" s="37" t="str">
        <x:v>2</x:v>
      </x:c>
      <x:c r="E753" s="37" t="str">
        <x:v>0</x:v>
      </x:c>
      <x:c r="F753" s="37" t="str">
        <x:v>27</x:v>
      </x:c>
      <x:c r="G753" s="37" t="str">
        <x:v>702.28</x:v>
      </x:c>
      <x:c r="H753" s="37" t="str">
        <x:v>0.00</x:v>
      </x:c>
      <x:c r="I753" s="37" t="str">
        <x:v>496.97</x:v>
      </x:c>
      <x:c r="J753" s="37" t="str">
        <x:v>0.00</x:v>
      </x:c>
      <x:c r="K753" s="37" t="str">
        <x:v>205.31</x:v>
      </x:c>
      <x:c r="L753" s="37" t="str">
        <x:v>930</x:v>
      </x:c>
      <x:c r="M753" s="29" t="str">
        <x:v>697.31</x:v>
      </x:c>
      <x:c r="N753" s="29" t="str">
        <x:v>428.81</x:v>
      </x:c>
      <x:c r="O753" s="29" t="str">
        <x:v>268.50</x:v>
      </x:c>
      <x:c r="P753" s="18" t="str">
        <x:v>2026-08-01</x:v>
      </x:c>
      <x:c r="Q753" s="36" t="n">
        <x:v>46235</x:v>
      </x:c>
    </x:row>
    <x:row r="754">
      <x:c r="A754" s="36" t="str">
        <x:v>2026-08-01</x:v>
      </x:c>
      <x:c r="B754" s="18" t="str">
        <x:v>101437000_89443</x:v>
      </x:c>
      <x:c r="C754" s="18" t="str">
        <x:v>【沪村小电】玉兰清苑二期充电站</x:v>
      </x:c>
      <x:c r="D754" s="37" t="str">
        <x:v>2</x:v>
      </x:c>
      <x:c r="E754" s="37" t="str">
        <x:v>0</x:v>
      </x:c>
      <x:c r="F754" s="37" t="str">
        <x:v>42</x:v>
      </x:c>
      <x:c r="G754" s="37" t="str">
        <x:v>657.87</x:v>
      </x:c>
      <x:c r="H754" s="37" t="str">
        <x:v>0.00</x:v>
      </x:c>
      <x:c r="I754" s="37" t="str">
        <x:v>535.42</x:v>
      </x:c>
      <x:c r="J754" s="37" t="str">
        <x:v>0.00</x:v>
      </x:c>
      <x:c r="K754" s="37" t="str">
        <x:v>122.45</x:v>
      </x:c>
      <x:c r="L754" s="37" t="str">
        <x:v>1034</x:v>
      </x:c>
      <x:c r="M754" s="29" t="str">
        <x:v>680.88</x:v>
      </x:c>
      <x:c r="N754" s="29" t="str">
        <x:v>425.46</x:v>
      </x:c>
      <x:c r="O754" s="29" t="str">
        <x:v>255.42</x:v>
      </x:c>
      <x:c r="P754" s="18" t="str">
        <x:v>2026-08-01</x:v>
      </x:c>
      <x:c r="Q754" s="36" t="n">
        <x:v>46235</x:v>
      </x:c>
    </x:row>
    <x:row r="755">
      <x:c r="A755" s="36" t="str">
        <x:v>2026-08-01</x:v>
      </x:c>
      <x:c r="B755" s="18" t="str">
        <x:v>101437000_93115</x:v>
      </x:c>
      <x:c r="C755" s="18" t="str">
        <x:v>【沪村小电】新南家园西北门</x:v>
      </x:c>
      <x:c r="D755" s="37" t="str">
        <x:v>2</x:v>
      </x:c>
      <x:c r="E755" s="37" t="str">
        <x:v>0</x:v>
      </x:c>
      <x:c r="F755" s="37" t="str">
        <x:v>26</x:v>
      </x:c>
      <x:c r="G755" s="37" t="str">
        <x:v>884.76</x:v>
      </x:c>
      <x:c r="H755" s="37" t="str">
        <x:v>0.00</x:v>
      </x:c>
      <x:c r="I755" s="37" t="str">
        <x:v>427.02</x:v>
      </x:c>
      <x:c r="J755" s="37" t="str">
        <x:v>0.00</x:v>
      </x:c>
      <x:c r="K755" s="37" t="str">
        <x:v>457.73</x:v>
      </x:c>
      <x:c r="L755" s="37" t="str">
        <x:v>1301</x:v>
      </x:c>
      <x:c r="M755" s="29" t="str">
        <x:v>719.32</x:v>
      </x:c>
      <x:c r="N755" s="29" t="str">
        <x:v>472.51</x:v>
      </x:c>
      <x:c r="O755" s="29" t="str">
        <x:v>246.81</x:v>
      </x:c>
      <x:c r="P755" s="18" t="str">
        <x:v>2026-08-01</x:v>
      </x:c>
      <x:c r="Q755" s="36" t="n">
        <x:v>46235</x:v>
      </x:c>
    </x:row>
    <x:row r="756">
      <x:c r="A756" s="36" t="str">
        <x:v>2026-08-01</x:v>
      </x:c>
      <x:c r="B756" s="18" t="str">
        <x:v>101437000_94649</x:v>
      </x:c>
      <x:c r="C756" s="18" t="str">
        <x:v>【沪村小电】浪琴水岸花园</x:v>
      </x:c>
      <x:c r="D756" s="37" t="str">
        <x:v>4</x:v>
      </x:c>
      <x:c r="E756" s="37" t="str">
        <x:v>0</x:v>
      </x:c>
      <x:c r="F756" s="37" t="str">
        <x:v>30</x:v>
      </x:c>
      <x:c r="G756" s="37" t="str">
        <x:v>682.37</x:v>
      </x:c>
      <x:c r="H756" s="37" t="str">
        <x:v>0.00</x:v>
      </x:c>
      <x:c r="I756" s="37" t="str">
        <x:v>404.76</x:v>
      </x:c>
      <x:c r="J756" s="37" t="str">
        <x:v>0.00</x:v>
      </x:c>
      <x:c r="K756" s="37" t="str">
        <x:v>277.61</x:v>
      </x:c>
      <x:c r="L756" s="37" t="str">
        <x:v>1115</x:v>
      </x:c>
      <x:c r="M756" s="29" t="str">
        <x:v>578.29</x:v>
      </x:c>
      <x:c r="N756" s="29" t="str">
        <x:v>417.86</x:v>
      </x:c>
      <x:c r="O756" s="29" t="str">
        <x:v>160.43</x:v>
      </x:c>
      <x:c r="P756" s="18" t="str">
        <x:v>2026-08-01</x:v>
      </x:c>
      <x:c r="Q756" s="36" t="n">
        <x:v>46235</x:v>
      </x:c>
    </x:row>
    <x:row r="757">
      <x:c r="A757" s="36" t="str">
        <x:v>2026-08-01</x:v>
      </x:c>
      <x:c r="B757" s="18" t="str">
        <x:v>101437000_95077</x:v>
      </x:c>
      <x:c r="C757" s="18" t="str">
        <x:v>【沪村小电】民乐城惠益绿苑255弄充电站</x:v>
      </x:c>
      <x:c r="D757" s="37" t="str">
        <x:v>2</x:v>
      </x:c>
      <x:c r="E757" s="37" t="str">
        <x:v>0</x:v>
      </x:c>
      <x:c r="F757" s="37" t="str">
        <x:v>12</x:v>
      </x:c>
      <x:c r="G757" s="37" t="str">
        <x:v>353.88</x:v>
      </x:c>
      <x:c r="H757" s="37" t="str">
        <x:v>0.00</x:v>
      </x:c>
      <x:c r="I757" s="37" t="str">
        <x:v>214.35</x:v>
      </x:c>
      <x:c r="J757" s="37" t="str">
        <x:v>0.00</x:v>
      </x:c>
      <x:c r="K757" s="37" t="str">
        <x:v>139.54</x:v>
      </x:c>
      <x:c r="L757" s="37" t="str">
        <x:v>525</x:v>
      </x:c>
      <x:c r="M757" s="29" t="str">
        <x:v>292.61</x:v>
      </x:c>
      <x:c r="N757" s="29" t="str">
        <x:v>203.82</x:v>
      </x:c>
      <x:c r="O757" s="29" t="str">
        <x:v>88.79</x:v>
      </x:c>
      <x:c r="P757" s="18" t="str">
        <x:v>2026-08-01</x:v>
      </x:c>
      <x:c r="Q757" s="36" t="n">
        <x:v>46235</x:v>
      </x:c>
    </x:row>
    <x:row r="758">
      <x:c r="A758" s="36" t="str">
        <x:v>2026-08-01</x:v>
      </x:c>
      <x:c r="B758" s="18" t="str">
        <x:v>101437000_95079</x:v>
      </x:c>
      <x:c r="C758" s="18" t="str">
        <x:v>【沪村小电】民乐城惠益绿苑东苑充电站</x:v>
      </x:c>
      <x:c r="D758" s="37" t="str">
        <x:v>2</x:v>
      </x:c>
      <x:c r="E758" s="37" t="str">
        <x:v>0</x:v>
      </x:c>
      <x:c r="F758" s="37" t="str">
        <x:v>26</x:v>
      </x:c>
      <x:c r="G758" s="37" t="str">
        <x:v>532.91</x:v>
      </x:c>
      <x:c r="H758" s="37" t="str">
        <x:v>0.00</x:v>
      </x:c>
      <x:c r="I758" s="37" t="str">
        <x:v>470.80</x:v>
      </x:c>
      <x:c r="J758" s="37" t="str">
        <x:v>0.00</x:v>
      </x:c>
      <x:c r="K758" s="37" t="str">
        <x:v>62.11</x:v>
      </x:c>
      <x:c r="L758" s="37" t="str">
        <x:v>800</x:v>
      </x:c>
      <x:c r="M758" s="29" t="str">
        <x:v>557.37</x:v>
      </x:c>
      <x:c r="N758" s="29" t="str">
        <x:v>357.24</x:v>
      </x:c>
      <x:c r="O758" s="29" t="str">
        <x:v>200.13</x:v>
      </x:c>
      <x:c r="P758" s="18" t="str">
        <x:v>2026-08-01</x:v>
      </x:c>
      <x:c r="Q758" s="36" t="n">
        <x:v>46235</x:v>
      </x:c>
    </x:row>
    <x:row r="759">
      <x:c r="A759" s="36" t="str">
        <x:v>2026-08-01</x:v>
      </x:c>
      <x:c r="B759" s="18" t="str">
        <x:v>101437000_95081</x:v>
      </x:c>
      <x:c r="C759" s="18" t="str">
        <x:v>【沪村小电】民乐城惠益绿苑西苑充电站</x:v>
      </x:c>
      <x:c r="D759" s="37" t="str">
        <x:v>2</x:v>
      </x:c>
      <x:c r="E759" s="37" t="str">
        <x:v>0</x:v>
      </x:c>
      <x:c r="F759" s="37" t="str">
        <x:v>9</x:v>
      </x:c>
      <x:c r="G759" s="37" t="str">
        <x:v>169.21</x:v>
      </x:c>
      <x:c r="H759" s="37" t="str">
        <x:v>0.00</x:v>
      </x:c>
      <x:c r="I759" s="37" t="str">
        <x:v>169.21</x:v>
      </x:c>
      <x:c r="J759" s="37" t="str">
        <x:v>0.00</x:v>
      </x:c>
      <x:c r="K759" s="37" t="str">
        <x:v>0.00</x:v>
      </x:c>
      <x:c r="L759" s="37" t="str">
        <x:v>205</x:v>
      </x:c>
      <x:c r="M759" s="29" t="str">
        <x:v>177.88</x:v>
      </x:c>
      <x:c r="N759" s="29" t="str">
        <x:v>120.15</x:v>
      </x:c>
      <x:c r="O759" s="29" t="str">
        <x:v>57.73</x:v>
      </x:c>
      <x:c r="P759" s="18" t="str">
        <x:v>2026-08-01</x:v>
      </x:c>
      <x:c r="Q759" s="36" t="n">
        <x:v>46235</x:v>
      </x:c>
    </x:row>
    <x:row r="760">
      <x:c r="A760" s="36" t="str">
        <x:v>2026-08-01</x:v>
      </x:c>
      <x:c r="B760" s="18" t="str">
        <x:v>101437000_95091</x:v>
      </x:c>
      <x:c r="C760" s="18" t="str">
        <x:v>【沪村小电】金悦学府2号站</x:v>
      </x:c>
      <x:c r="D760" s="37" t="str">
        <x:v>2</x:v>
      </x:c>
      <x:c r="E760" s="37" t="str">
        <x:v>0</x:v>
      </x:c>
      <x:c r="F760" s="37" t="str">
        <x:v>26</x:v>
      </x:c>
      <x:c r="G760" s="37" t="str">
        <x:v>619.46</x:v>
      </x:c>
      <x:c r="H760" s="37" t="str">
        <x:v>0.00</x:v>
      </x:c>
      <x:c r="I760" s="37" t="str">
        <x:v>0.00</x:v>
      </x:c>
      <x:c r="J760" s="37" t="str">
        <x:v>619.46</x:v>
      </x:c>
      <x:c r="K760" s="37" t="str">
        <x:v>0.00</x:v>
      </x:c>
      <x:c r="L760" s="37" t="str">
        <x:v>1024</x:v>
      </x:c>
      <x:c r="M760" s="29" t="str">
        <x:v>489.34</x:v>
      </x:c>
      <x:c r="N760" s="29" t="str">
        <x:v>346.89</x:v>
      </x:c>
      <x:c r="O760" s="29" t="str">
        <x:v>142.45</x:v>
      </x:c>
      <x:c r="P760" s="18" t="str">
        <x:v>2026-08-01</x:v>
      </x:c>
      <x:c r="Q760" s="36" t="n">
        <x:v>46235</x:v>
      </x:c>
    </x:row>
    <x:row r="761">
      <x:c r="A761" s="36" t="str">
        <x:v>2026-08-01</x:v>
      </x:c>
      <x:c r="B761" s="18" t="str">
        <x:v>101437000_95941</x:v>
      </x:c>
      <x:c r="C761" s="18" t="str">
        <x:v>【沪村小电】惠诚雅苑</x:v>
      </x:c>
      <x:c r="D761" s="37" t="str">
        <x:v>4</x:v>
      </x:c>
      <x:c r="E761" s="37" t="str">
        <x:v>0</x:v>
      </x:c>
      <x:c r="F761" s="37" t="str">
        <x:v>35</x:v>
      </x:c>
      <x:c r="G761" s="37" t="str">
        <x:v>1037.40</x:v>
      </x:c>
      <x:c r="H761" s="37" t="str">
        <x:v>0.00</x:v>
      </x:c>
      <x:c r="I761" s="37" t="str">
        <x:v>465.14</x:v>
      </x:c>
      <x:c r="J761" s="37" t="str">
        <x:v>0.00</x:v>
      </x:c>
      <x:c r="K761" s="37" t="str">
        <x:v>572.26</x:v>
      </x:c>
      <x:c r="L761" s="37" t="str">
        <x:v>1432</x:v>
      </x:c>
      <x:c r="M761" s="29" t="str">
        <x:v>685.40</x:v>
      </x:c>
      <x:c r="N761" s="29" t="str">
        <x:v>451.84</x:v>
      </x:c>
      <x:c r="O761" s="29" t="str">
        <x:v>233.56</x:v>
      </x:c>
      <x:c r="P761" s="18" t="str">
        <x:v>2026-08-01</x:v>
      </x:c>
      <x:c r="Q761" s="36" t="n">
        <x:v>46235</x:v>
      </x:c>
    </x:row>
    <x:row r="762">
      <x:c r="A762" s="36" t="str">
        <x:v>2026-08-01</x:v>
      </x:c>
      <x:c r="B762" s="18" t="str">
        <x:v>101437000_96401</x:v>
      </x:c>
      <x:c r="C762" s="18" t="str">
        <x:v>【沪村小电】上海联怡枇杷乐园地面站</x:v>
      </x:c>
      <x:c r="D762" s="37" t="str">
        <x:v>2</x:v>
      </x:c>
      <x:c r="E762" s="37" t="str">
        <x:v>0</x:v>
      </x:c>
      <x:c r="F762" s="37" t="str">
        <x:v>15</x:v>
      </x:c>
      <x:c r="G762" s="37" t="str">
        <x:v>305.74</x:v>
      </x:c>
      <x:c r="H762" s="37" t="str">
        <x:v>0.00</x:v>
      </x:c>
      <x:c r="I762" s="37" t="str">
        <x:v>130.90</x:v>
      </x:c>
      <x:c r="J762" s="37" t="str">
        <x:v>0.00</x:v>
      </x:c>
      <x:c r="K762" s="37" t="str">
        <x:v>174.83</x:v>
      </x:c>
      <x:c r="L762" s="37" t="str">
        <x:v>558</x:v>
      </x:c>
      <x:c r="M762" s="29" t="str">
        <x:v>284.74</x:v>
      </x:c>
      <x:c r="N762" s="29" t="str">
        <x:v>198.25</x:v>
      </x:c>
      <x:c r="O762" s="29" t="str">
        <x:v>86.49</x:v>
      </x:c>
      <x:c r="P762" s="18" t="str">
        <x:v>2026-08-01</x:v>
      </x:c>
      <x:c r="Q762" s="36" t="n">
        <x:v>46235</x:v>
      </x:c>
    </x:row>
    <x:row r="763">
      <x:c r="A763" s="36" t="str">
        <x:v>2026-08-01</x:v>
      </x:c>
      <x:c r="B763" s="18" t="str">
        <x:v>101437000_96719</x:v>
      </x:c>
      <x:c r="C763" s="18" t="str">
        <x:v>【沪村小电】四达路220弄充电站</x:v>
      </x:c>
      <x:c r="D763" s="37" t="str">
        <x:v>2</x:v>
      </x:c>
      <x:c r="E763" s="37" t="str">
        <x:v>0</x:v>
      </x:c>
      <x:c r="F763" s="37" t="str">
        <x:v>1</x:v>
      </x:c>
      <x:c r="G763" s="37" t="str">
        <x:v>20.18</x:v>
      </x:c>
      <x:c r="H763" s="37" t="str">
        <x:v>0.00</x:v>
      </x:c>
      <x:c r="I763" s="37" t="str">
        <x:v>0.00</x:v>
      </x:c>
      <x:c r="J763" s="37" t="str">
        <x:v>0.00</x:v>
      </x:c>
      <x:c r="K763" s="37" t="str">
        <x:v>20.18</x:v>
      </x:c>
      <x:c r="L763" s="37" t="str">
        <x:v>34</x:v>
      </x:c>
      <x:c r="M763" s="29" t="str">
        <x:v>12.31</x:v>
      </x:c>
      <x:c r="N763" s="29" t="str">
        <x:v>7.47</x:v>
      </x:c>
      <x:c r="O763" s="29" t="str">
        <x:v>4.84</x:v>
      </x:c>
      <x:c r="P763" s="18" t="str">
        <x:v>2026-08-01</x:v>
      </x:c>
      <x:c r="Q763" s="36" t="n">
        <x:v>46235</x:v>
      </x:c>
    </x:row>
    <x:row r="764">
      <x:c r="A764" s="36" t="str">
        <x:v>2026-08-01</x:v>
      </x:c>
      <x:c r="B764" s="18" t="str">
        <x:v>101437000_97421</x:v>
      </x:c>
      <x:c r="C764" s="18" t="str">
        <x:v>【沪村小电】玉兰清苑二期（小区外）充电站</x:v>
      </x:c>
      <x:c r="D764" s="37" t="str">
        <x:v>4</x:v>
      </x:c>
      <x:c r="E764" s="37" t="str">
        <x:v>0</x:v>
      </x:c>
      <x:c r="F764" s="37" t="str">
        <x:v>59</x:v>
      </x:c>
      <x:c r="G764" s="37" t="str">
        <x:v>1159.17</x:v>
      </x:c>
      <x:c r="H764" s="37" t="str">
        <x:v>0.00</x:v>
      </x:c>
      <x:c r="I764" s="37" t="str">
        <x:v>966.41</x:v>
      </x:c>
      <x:c r="J764" s="37" t="str">
        <x:v>0.00</x:v>
      </x:c>
      <x:c r="K764" s="37" t="str">
        <x:v>192.76</x:v>
      </x:c>
      <x:c r="L764" s="37" t="str">
        <x:v>2064</x:v>
      </x:c>
      <x:c r="M764" s="29" t="str">
        <x:v>1091.36</x:v>
      </x:c>
      <x:c r="N764" s="29" t="str">
        <x:v>757.45</x:v>
      </x:c>
      <x:c r="O764" s="29" t="str">
        <x:v>333.91</x:v>
      </x:c>
      <x:c r="P764" s="18" t="str">
        <x:v>2026-08-01</x:v>
      </x:c>
      <x:c r="Q764" s="36" t="n">
        <x:v>46235</x:v>
      </x:c>
    </x:row>
    <x:row r="765">
      <x:c r="A765" s="36" t="str">
        <x:v>2026-08-01</x:v>
      </x:c>
      <x:c r="B765" s="18" t="str">
        <x:v>101437000_98013</x:v>
      </x:c>
      <x:c r="C765" s="18" t="str">
        <x:v>【沪村小电】恒大滨江华府充电站</x:v>
      </x:c>
      <x:c r="D765" s="37" t="str">
        <x:v>4</x:v>
      </x:c>
      <x:c r="E765" s="37" t="str">
        <x:v>0</x:v>
      </x:c>
      <x:c r="F765" s="37" t="str">
        <x:v>46</x:v>
      </x:c>
      <x:c r="G765" s="37" t="str">
        <x:v>914.47</x:v>
      </x:c>
      <x:c r="H765" s="37" t="str">
        <x:v>0.00</x:v>
      </x:c>
      <x:c r="I765" s="37" t="str">
        <x:v>809.58</x:v>
      </x:c>
      <x:c r="J765" s="37" t="str">
        <x:v>0.00</x:v>
      </x:c>
      <x:c r="K765" s="37" t="str">
        <x:v>104.89</x:v>
      </x:c>
      <x:c r="L765" s="37" t="str">
        <x:v>1444</x:v>
      </x:c>
      <x:c r="M765" s="29" t="str">
        <x:v>1007.62</x:v>
      </x:c>
      <x:c r="N765" s="29" t="str">
        <x:v>776.86</x:v>
      </x:c>
      <x:c r="O765" s="29" t="str">
        <x:v>230.76</x:v>
      </x:c>
      <x:c r="P765" s="18" t="str">
        <x:v>2026-08-01</x:v>
      </x:c>
      <x:c r="Q765" s="36" t="n">
        <x:v>46235</x:v>
      </x:c>
    </x:row>
    <x:row r="766">
      <x:c r="A766" s="36" t="str">
        <x:v>2026-08-01</x:v>
      </x:c>
      <x:c r="B766" s="18" t="str">
        <x:v>101437000_98863</x:v>
      </x:c>
      <x:c r="C766" s="18" t="str">
        <x:v>【沪村小电】欣菊苑充电站</x:v>
      </x:c>
      <x:c r="D766" s="37" t="str">
        <x:v>4</x:v>
      </x:c>
      <x:c r="E766" s="37" t="str">
        <x:v>0</x:v>
      </x:c>
      <x:c r="F766" s="37" t="str">
        <x:v>8</x:v>
      </x:c>
      <x:c r="G766" s="37" t="str">
        <x:v>150.60</x:v>
      </x:c>
      <x:c r="H766" s="37" t="str">
        <x:v>0.00</x:v>
      </x:c>
      <x:c r="I766" s="37" t="str">
        <x:v>98.67</x:v>
      </x:c>
      <x:c r="J766" s="37" t="str">
        <x:v>0.00</x:v>
      </x:c>
      <x:c r="K766" s="37" t="str">
        <x:v>51.93</x:v>
      </x:c>
      <x:c r="L766" s="37" t="str">
        <x:v>269</x:v>
      </x:c>
      <x:c r="M766" s="29" t="str">
        <x:v>143.00</x:v>
      </x:c>
      <x:c r="N766" s="29" t="str">
        <x:v>89.28</x:v>
      </x:c>
      <x:c r="O766" s="29" t="str">
        <x:v>53.72</x:v>
      </x:c>
      <x:c r="P766" s="18" t="str">
        <x:v>2026-08-01</x:v>
      </x:c>
      <x:c r="Q766" s="36" t="n">
        <x:v>46235</x:v>
      </x:c>
    </x:row>
    <x:row r="767">
      <x:c r="A767" s="36" t="str">
        <x:v>2026-08-01</x:v>
      </x:c>
      <x:c r="B767" s="18" t="str">
        <x:v>101437000_98865</x:v>
      </x:c>
      <x:c r="C767" s="18" t="str">
        <x:v>【沪村小电】欣松苑充电站</x:v>
      </x:c>
      <x:c r="D767" s="37" t="str">
        <x:v>4</x:v>
      </x:c>
      <x:c r="E767" s="37" t="str">
        <x:v>0</x:v>
      </x:c>
      <x:c r="F767" s="37" t="str">
        <x:v>27</x:v>
      </x:c>
      <x:c r="G767" s="37" t="str">
        <x:v>533.57</x:v>
      </x:c>
      <x:c r="H767" s="37" t="str">
        <x:v>0.00</x:v>
      </x:c>
      <x:c r="I767" s="37" t="str">
        <x:v>385.10</x:v>
      </x:c>
      <x:c r="J767" s="37" t="str">
        <x:v>0.00</x:v>
      </x:c>
      <x:c r="K767" s="37" t="str">
        <x:v>148.47</x:v>
      </x:c>
      <x:c r="L767" s="37" t="str">
        <x:v>848</x:v>
      </x:c>
      <x:c r="M767" s="29" t="str">
        <x:v>530.20</x:v>
      </x:c>
      <x:c r="N767" s="29" t="str">
        <x:v>328.33</x:v>
      </x:c>
      <x:c r="O767" s="29" t="str">
        <x:v>201.87</x:v>
      </x:c>
      <x:c r="P767" s="18" t="str">
        <x:v>2026-08-01</x:v>
      </x:c>
      <x:c r="Q767" s="36" t="n">
        <x:v>46235</x:v>
      </x:c>
    </x:row>
    <x:row r="768">
      <x:c r="A768" s="36" t="str">
        <x:v>2026-08-01</x:v>
      </x:c>
      <x:c r="B768" s="18" t="str">
        <x:v>101437000_98867</x:v>
      </x:c>
      <x:c r="C768" s="18" t="str">
        <x:v>【沪村小电】欣荷苑充电站</x:v>
      </x:c>
      <x:c r="D768" s="37" t="str">
        <x:v>4</x:v>
      </x:c>
      <x:c r="E768" s="37" t="str">
        <x:v>0</x:v>
      </x:c>
      <x:c r="F768" s="37" t="str">
        <x:v>11</x:v>
      </x:c>
      <x:c r="G768" s="37" t="str">
        <x:v>227.85</x:v>
      </x:c>
      <x:c r="H768" s="37" t="str">
        <x:v>0.00</x:v>
      </x:c>
      <x:c r="I768" s="37" t="str">
        <x:v>227.85</x:v>
      </x:c>
      <x:c r="J768" s="37" t="str">
        <x:v>0.00</x:v>
      </x:c>
      <x:c r="K768" s="37" t="str">
        <x:v>0.00</x:v>
      </x:c>
      <x:c r="L768" s="37" t="str">
        <x:v>372</x:v>
      </x:c>
      <x:c r="M768" s="29" t="str">
        <x:v>229.92</x:v>
      </x:c>
      <x:c r="N768" s="29" t="str">
        <x:v>161.77</x:v>
      </x:c>
      <x:c r="O768" s="29" t="str">
        <x:v>68.15</x:v>
      </x:c>
      <x:c r="P768" s="18" t="str">
        <x:v>2026-08-01</x:v>
      </x:c>
      <x:c r="Q768" s="36" t="n">
        <x:v>46235</x:v>
      </x:c>
    </x:row>
    <x:row r="769">
      <x:c r="A769" s="36" t="str">
        <x:v>2026-08-01</x:v>
      </x:c>
      <x:c r="B769" s="18" t="str">
        <x:v>101437000_99885</x:v>
      </x:c>
      <x:c r="C769" s="18" t="str">
        <x:v>【沪村小电】汇丰馨苑充电站</x:v>
      </x:c>
      <x:c r="D769" s="37" t="str">
        <x:v>4</x:v>
      </x:c>
      <x:c r="E769" s="37" t="str">
        <x:v>0</x:v>
      </x:c>
      <x:c r="F769" s="37" t="str">
        <x:v>17</x:v>
      </x:c>
      <x:c r="G769" s="37" t="str">
        <x:v>332.59</x:v>
      </x:c>
      <x:c r="H769" s="37" t="str">
        <x:v>0.00</x:v>
      </x:c>
      <x:c r="I769" s="37" t="str">
        <x:v>305.16</x:v>
      </x:c>
      <x:c r="J769" s="37" t="str">
        <x:v>0.00</x:v>
      </x:c>
      <x:c r="K769" s="37" t="str">
        <x:v>27.43</x:v>
      </x:c>
      <x:c r="L769" s="37" t="str">
        <x:v>604</x:v>
      </x:c>
      <x:c r="M769" s="29" t="str">
        <x:v>335.50</x:v>
      </x:c>
      <x:c r="N769" s="29" t="str">
        <x:v>226.81</x:v>
      </x:c>
      <x:c r="O769" s="29" t="str">
        <x:v>108.69</x:v>
      </x:c>
      <x:c r="P769" s="18" t="str">
        <x:v>2026-08-01</x:v>
      </x:c>
      <x:c r="Q769" s="36" t="n">
        <x:v>46235</x:v>
      </x:c>
    </x:row>
    <x:row r="770">
      <x:c r="A770" s="36" t="str">
        <x:v>2026-08-01</x:v>
      </x:c>
      <x:c r="B770" s="18" t="str">
        <x:v>101437000_99887</x:v>
      </x:c>
      <x:c r="C770" s="18" t="str">
        <x:v>【沪村小电】新南村河南小区充电站</x:v>
      </x:c>
      <x:c r="D770" s="37" t="str">
        <x:v>2</x:v>
      </x:c>
      <x:c r="E770" s="37" t="str">
        <x:v>0</x:v>
      </x:c>
      <x:c r="F770" s="37" t="str">
        <x:v>11</x:v>
      </x:c>
      <x:c r="G770" s="37" t="str">
        <x:v>220.26</x:v>
      </x:c>
      <x:c r="H770" s="37" t="str">
        <x:v>0.00</x:v>
      </x:c>
      <x:c r="I770" s="37" t="str">
        <x:v>166.07</x:v>
      </x:c>
      <x:c r="J770" s="37" t="str">
        <x:v>0.00</x:v>
      </x:c>
      <x:c r="K770" s="37" t="str">
        <x:v>54.19</x:v>
      </x:c>
      <x:c r="L770" s="37" t="str">
        <x:v>434</x:v>
      </x:c>
      <x:c r="M770" s="29" t="str">
        <x:v>188.24</x:v>
      </x:c>
      <x:c r="N770" s="29" t="str">
        <x:v>137.98</x:v>
      </x:c>
      <x:c r="O770" s="29" t="str">
        <x:v>50.26</x:v>
      </x:c>
      <x:c r="P770" s="18" t="str">
        <x:v>2026-08-01</x:v>
      </x:c>
      <x:c r="Q770" s="36" t="n">
        <x:v>46235</x:v>
      </x:c>
    </x:row>
    <x:row r="771">
      <x:c r="A771" s="36" t="str">
        <x:v>2026-08-01</x:v>
      </x:c>
      <x:c r="B771" s="18" t="str">
        <x:v>101437000_99889</x:v>
      </x:c>
      <x:c r="C771" s="18" t="str">
        <x:v>【沪村小电】漕泾郊野公园</x:v>
      </x:c>
      <x:c r="D771" s="37" t="str">
        <x:v>2</x:v>
      </x:c>
      <x:c r="E771" s="37" t="str">
        <x:v>0</x:v>
      </x:c>
      <x:c r="F771" s="37" t="str">
        <x:v>9</x:v>
      </x:c>
      <x:c r="G771" s="37" t="str">
        <x:v>165.31</x:v>
      </x:c>
      <x:c r="H771" s="37" t="str">
        <x:v>0.00</x:v>
      </x:c>
      <x:c r="I771" s="37" t="str">
        <x:v>160.08</x:v>
      </x:c>
      <x:c r="J771" s="37" t="str">
        <x:v>0.00</x:v>
      </x:c>
      <x:c r="K771" s="37" t="str">
        <x:v>5.23</x:v>
      </x:c>
      <x:c r="L771" s="37" t="str">
        <x:v>180</x:v>
      </x:c>
      <x:c r="M771" s="29" t="str">
        <x:v>212.63</x:v>
      </x:c>
      <x:c r="N771" s="29" t="str">
        <x:v>124.81</x:v>
      </x:c>
      <x:c r="O771" s="29" t="str">
        <x:v>87.82</x:v>
      </x:c>
      <x:c r="P771" s="18" t="str">
        <x:v>2026-08-01</x:v>
      </x:c>
      <x:c r="Q771" s="36" t="n">
        <x:v>46235</x:v>
      </x:c>
    </x:row>
    <x:row r="772">
      <x:c r="A772" s="36" t="str">
        <x:v>2026-08-01</x:v>
      </x:c>
      <x:c r="B772" s="18" t="str">
        <x:v>101437000_99891</x:v>
      </x:c>
      <x:c r="C772" s="18" t="str">
        <x:v>【沪村小电】水韵紫城充电站</x:v>
      </x:c>
      <x:c r="D772" s="37" t="str">
        <x:v>4</x:v>
      </x:c>
      <x:c r="E772" s="37" t="str">
        <x:v>0</x:v>
      </x:c>
      <x:c r="F772" s="37" t="str">
        <x:v>29</x:v>
      </x:c>
      <x:c r="G772" s="37" t="str">
        <x:v>771.86</x:v>
      </x:c>
      <x:c r="H772" s="37" t="str">
        <x:v>0.00</x:v>
      </x:c>
      <x:c r="I772" s="37" t="str">
        <x:v>528.43</x:v>
      </x:c>
      <x:c r="J772" s="37" t="str">
        <x:v>0.00</x:v>
      </x:c>
      <x:c r="K772" s="37" t="str">
        <x:v>243.43</x:v>
      </x:c>
      <x:c r="L772" s="37" t="str">
        <x:v>1155</x:v>
      </x:c>
      <x:c r="M772" s="29" t="str">
        <x:v>683.77</x:v>
      </x:c>
      <x:c r="N772" s="29" t="str">
        <x:v>465.26</x:v>
      </x:c>
      <x:c r="O772" s="29" t="str">
        <x:v>218.51</x:v>
      </x:c>
      <x:c r="P772" s="18" t="str">
        <x:v>2026-08-01</x:v>
      </x:c>
      <x:c r="Q772" s="36" t="n">
        <x:v>46235</x:v>
      </x:c>
    </x:row>
    <x:row r="773">
      <x:c r="A773" s="36" t="str">
        <x:v>2026-07-31</x:v>
      </x:c>
      <x:c r="B773" s="18" t="str">
        <x:v>101437000_100523</x:v>
      </x:c>
      <x:c r="C773" s="18" t="str">
        <x:v>【沪村小电】民旺苑南区</x:v>
      </x:c>
      <x:c r="D773" s="37" t="str">
        <x:v>4</x:v>
      </x:c>
      <x:c r="E773" s="37" t="str">
        <x:v>0</x:v>
      </x:c>
      <x:c r="F773" s="37" t="str">
        <x:v>4</x:v>
      </x:c>
      <x:c r="G773" s="37" t="str">
        <x:v>30.16</x:v>
      </x:c>
      <x:c r="H773" s="37" t="str">
        <x:v>0.00</x:v>
      </x:c>
      <x:c r="I773" s="37" t="str">
        <x:v>0.37</x:v>
      </x:c>
      <x:c r="J773" s="37" t="str">
        <x:v>0.00</x:v>
      </x:c>
      <x:c r="K773" s="37" t="str">
        <x:v>29.79</x:v>
      </x:c>
      <x:c r="L773" s="37" t="str">
        <x:v>36</x:v>
      </x:c>
      <x:c r="M773" s="29" t="str">
        <x:v>28.79</x:v>
      </x:c>
      <x:c r="N773" s="29" t="str">
        <x:v>12.32</x:v>
      </x:c>
      <x:c r="O773" s="29" t="str">
        <x:v>16.47</x:v>
      </x:c>
      <x:c r="P773" s="18" t="str">
        <x:v>2026-07-31</x:v>
      </x:c>
      <x:c r="Q773" s="36" t="n">
        <x:v>46234</x:v>
      </x:c>
    </x:row>
    <x:row r="774">
      <x:c r="A774" s="36" t="str">
        <x:v>2026-07-31</x:v>
      </x:c>
      <x:c r="B774" s="18" t="str">
        <x:v>101437000_101531</x:v>
      </x:c>
      <x:c r="C774" s="18" t="str">
        <x:v>【沪村小电】汇中苑充电站</x:v>
      </x:c>
      <x:c r="D774" s="37" t="str">
        <x:v>2</x:v>
      </x:c>
      <x:c r="E774" s="37" t="str">
        <x:v>0</x:v>
      </x:c>
      <x:c r="F774" s="37" t="str">
        <x:v>17</x:v>
      </x:c>
      <x:c r="G774" s="37" t="str">
        <x:v>453.73</x:v>
      </x:c>
      <x:c r="H774" s="37" t="str">
        <x:v>0.00</x:v>
      </x:c>
      <x:c r="I774" s="37" t="str">
        <x:v>16.00</x:v>
      </x:c>
      <x:c r="J774" s="37" t="str">
        <x:v>283.52</x:v>
      </x:c>
      <x:c r="K774" s="37" t="str">
        <x:v>154.21</x:v>
      </x:c>
      <x:c r="L774" s="37" t="str">
        <x:v>799</x:v>
      </x:c>
      <x:c r="M774" s="29" t="str">
        <x:v>399.74</x:v>
      </x:c>
      <x:c r="N774" s="29" t="str">
        <x:v>277.26</x:v>
      </x:c>
      <x:c r="O774" s="29" t="str">
        <x:v>122.48</x:v>
      </x:c>
      <x:c r="P774" s="18" t="str">
        <x:v>2026-07-31</x:v>
      </x:c>
      <x:c r="Q774" s="36" t="n">
        <x:v>46234</x:v>
      </x:c>
    </x:row>
    <x:row r="775">
      <x:c r="A775" s="36" t="str">
        <x:v>2026-07-31</x:v>
      </x:c>
      <x:c r="B775" s="18" t="str">
        <x:v>101437000_102047</x:v>
      </x:c>
      <x:c r="C775" s="18" t="str">
        <x:v>【沪村小电】后浜小区9弄小区南面停车场充电站</x:v>
      </x:c>
      <x:c r="D775" s="37" t="str">
        <x:v>8</x:v>
      </x:c>
      <x:c r="E775" s="37" t="str">
        <x:v>0</x:v>
      </x:c>
      <x:c r="F775" s="37" t="str">
        <x:v>78</x:v>
      </x:c>
      <x:c r="G775" s="37" t="str">
        <x:v>1542.27</x:v>
      </x:c>
      <x:c r="H775" s="37" t="str">
        <x:v>0.00</x:v>
      </x:c>
      <x:c r="I775" s="37" t="str">
        <x:v>1031.92</x:v>
      </x:c>
      <x:c r="J775" s="37" t="str">
        <x:v>0.00</x:v>
      </x:c>
      <x:c r="K775" s="37" t="str">
        <x:v>510.35</x:v>
      </x:c>
      <x:c r="L775" s="37" t="str">
        <x:v>2506</x:v>
      </x:c>
      <x:c r="M775" s="29" t="str">
        <x:v>1631.53</x:v>
      </x:c>
      <x:c r="N775" s="29" t="str">
        <x:v>972.55</x:v>
      </x:c>
      <x:c r="O775" s="29" t="str">
        <x:v>658.98</x:v>
      </x:c>
      <x:c r="P775" s="18" t="str">
        <x:v>2026-07-31</x:v>
      </x:c>
      <x:c r="Q775" s="36" t="n">
        <x:v>46234</x:v>
      </x:c>
    </x:row>
    <x:row r="776">
      <x:c r="A776" s="36" t="str">
        <x:v>2026-07-31</x:v>
      </x:c>
      <x:c r="B776" s="18" t="str">
        <x:v>101437000_103503</x:v>
      </x:c>
      <x:c r="C776" s="18" t="str">
        <x:v>【沪村小电】阳光城新界充电站</x:v>
      </x:c>
      <x:c r="D776" s="37" t="str">
        <x:v>4</x:v>
      </x:c>
      <x:c r="E776" s="37" t="str">
        <x:v>0</x:v>
      </x:c>
      <x:c r="F776" s="37" t="str">
        <x:v>19</x:v>
      </x:c>
      <x:c r="G776" s="37" t="str">
        <x:v>406.68</x:v>
      </x:c>
      <x:c r="H776" s="37" t="str">
        <x:v>0.00</x:v>
      </x:c>
      <x:c r="I776" s="37" t="str">
        <x:v>356.95</x:v>
      </x:c>
      <x:c r="J776" s="37" t="str">
        <x:v>0.00</x:v>
      </x:c>
      <x:c r="K776" s="37" t="str">
        <x:v>49.74</x:v>
      </x:c>
      <x:c r="L776" s="37" t="str">
        <x:v>563</x:v>
      </x:c>
      <x:c r="M776" s="29" t="str">
        <x:v>468.38</x:v>
      </x:c>
      <x:c r="N776" s="29" t="str">
        <x:v>298.30</x:v>
      </x:c>
      <x:c r="O776" s="29" t="str">
        <x:v>170.08</x:v>
      </x:c>
      <x:c r="P776" s="18" t="str">
        <x:v>2026-07-31</x:v>
      </x:c>
      <x:c r="Q776" s="36" t="n">
        <x:v>46234</x:v>
      </x:c>
    </x:row>
    <x:row r="777">
      <x:c r="A777" s="36" t="str">
        <x:v>2026-07-31</x:v>
      </x:c>
      <x:c r="B777" s="18" t="str">
        <x:v>101437000_41561</x:v>
      </x:c>
      <x:c r="C777" s="18" t="str">
        <x:v>【沪村小电】张施小区大门处快充站</x:v>
      </x:c>
      <x:c r="D777" s="37" t="str">
        <x:v>2</x:v>
      </x:c>
      <x:c r="E777" s="37" t="str">
        <x:v>0</x:v>
      </x:c>
      <x:c r="F777" s="37" t="str">
        <x:v>44</x:v>
      </x:c>
      <x:c r="G777" s="37" t="str">
        <x:v>1151.11</x:v>
      </x:c>
      <x:c r="H777" s="37" t="str">
        <x:v>0.00</x:v>
      </x:c>
      <x:c r="I777" s="37" t="str">
        <x:v>519.40</x:v>
      </x:c>
      <x:c r="J777" s="37" t="str">
        <x:v>0.00</x:v>
      </x:c>
      <x:c r="K777" s="37" t="str">
        <x:v>631.71</x:v>
      </x:c>
      <x:c r="L777" s="37" t="str">
        <x:v>1924</x:v>
      </x:c>
      <x:c r="M777" s="29" t="str">
        <x:v>920.97</x:v>
      </x:c>
      <x:c r="N777" s="29" t="str">
        <x:v>602.49</x:v>
      </x:c>
      <x:c r="O777" s="29" t="str">
        <x:v>318.48</x:v>
      </x:c>
      <x:c r="P777" s="18" t="str">
        <x:v>2026-07-31</x:v>
      </x:c>
      <x:c r="Q777" s="36" t="n">
        <x:v>46234</x:v>
      </x:c>
    </x:row>
    <x:row r="778">
      <x:c r="A778" s="36" t="str">
        <x:v>2026-07-31</x:v>
      </x:c>
      <x:c r="B778" s="18" t="str">
        <x:v>101437000_41563</x:v>
      </x:c>
      <x:c r="C778" s="18" t="str">
        <x:v>【沪村小电】同心村快充站</x:v>
      </x:c>
      <x:c r="D778" s="37" t="str">
        <x:v>4</x:v>
      </x:c>
      <x:c r="E778" s="37" t="str">
        <x:v>0</x:v>
      </x:c>
      <x:c r="F778" s="37" t="str">
        <x:v>72</x:v>
      </x:c>
      <x:c r="G778" s="37" t="str">
        <x:v>1716.73</x:v>
      </x:c>
      <x:c r="H778" s="37" t="str">
        <x:v>0.00</x:v>
      </x:c>
      <x:c r="I778" s="37" t="str">
        <x:v>1226.01</x:v>
      </x:c>
      <x:c r="J778" s="37" t="str">
        <x:v>0.00</x:v>
      </x:c>
      <x:c r="K778" s="37" t="str">
        <x:v>490.72</x:v>
      </x:c>
      <x:c r="L778" s="37" t="str">
        <x:v>2840</x:v>
      </x:c>
      <x:c r="M778" s="29" t="str">
        <x:v>1669.21</x:v>
      </x:c>
      <x:c r="N778" s="29" t="str">
        <x:v>1052.06</x:v>
      </x:c>
      <x:c r="O778" s="29" t="str">
        <x:v>617.15</x:v>
      </x:c>
      <x:c r="P778" s="18" t="str">
        <x:v>2026-07-31</x:v>
      </x:c>
      <x:c r="Q778" s="36" t="n">
        <x:v>46234</x:v>
      </x:c>
    </x:row>
    <x:row r="779">
      <x:c r="A779" s="36" t="str">
        <x:v>2026-07-31</x:v>
      </x:c>
      <x:c r="B779" s="18" t="str">
        <x:v>101437000_69629</x:v>
      </x:c>
      <x:c r="C779" s="18" t="str">
        <x:v>【沪村小电】骏丰玲珑坊西苑充电站</x:v>
      </x:c>
      <x:c r="D779" s="37" t="str">
        <x:v>2</x:v>
      </x:c>
      <x:c r="E779" s="37" t="str">
        <x:v>0</x:v>
      </x:c>
      <x:c r="F779" s="37" t="str">
        <x:v>62</x:v>
      </x:c>
      <x:c r="G779" s="37" t="str">
        <x:v>1465.23</x:v>
      </x:c>
      <x:c r="H779" s="37" t="str">
        <x:v>0.00</x:v>
      </x:c>
      <x:c r="I779" s="37" t="str">
        <x:v>804.76</x:v>
      </x:c>
      <x:c r="J779" s="37" t="str">
        <x:v>0.00</x:v>
      </x:c>
      <x:c r="K779" s="37" t="str">
        <x:v>660.47</x:v>
      </x:c>
      <x:c r="L779" s="37" t="str">
        <x:v>2552</x:v>
      </x:c>
      <x:c r="M779" s="29" t="str">
        <x:v>1163.55</x:v>
      </x:c>
      <x:c r="N779" s="29" t="str">
        <x:v>815.76</x:v>
      </x:c>
      <x:c r="O779" s="29" t="str">
        <x:v>347.79</x:v>
      </x:c>
      <x:c r="P779" s="18" t="str">
        <x:v>2026-07-31</x:v>
      </x:c>
      <x:c r="Q779" s="36" t="n">
        <x:v>46234</x:v>
      </x:c>
    </x:row>
    <x:row r="780">
      <x:c r="A780" s="36" t="str">
        <x:v>2026-07-31</x:v>
      </x:c>
      <x:c r="B780" s="18" t="str">
        <x:v>101437000_70547</x:v>
      </x:c>
      <x:c r="C780" s="18" t="str">
        <x:v>【沪村小电】农建村初心馆党群服务中心充电站</x:v>
      </x:c>
      <x:c r="D780" s="37" t="str">
        <x:v>4</x:v>
      </x:c>
      <x:c r="E780" s="37" t="str">
        <x:v>0</x:v>
      </x:c>
      <x:c r="F780" s="37" t="str">
        <x:v>40</x:v>
      </x:c>
      <x:c r="G780" s="37" t="str">
        <x:v>776.72</x:v>
      </x:c>
      <x:c r="H780" s="37" t="str">
        <x:v>0.00</x:v>
      </x:c>
      <x:c r="I780" s="37" t="str">
        <x:v>483.50</x:v>
      </x:c>
      <x:c r="J780" s="37" t="str">
        <x:v>0.00</x:v>
      </x:c>
      <x:c r="K780" s="37" t="str">
        <x:v>293.21</x:v>
      </x:c>
      <x:c r="L780" s="37" t="str">
        <x:v>1568</x:v>
      </x:c>
      <x:c r="M780" s="29" t="str">
        <x:v>726.88</x:v>
      </x:c>
      <x:c r="N780" s="29" t="str">
        <x:v>451.80</x:v>
      </x:c>
      <x:c r="O780" s="29" t="str">
        <x:v>275.08</x:v>
      </x:c>
      <x:c r="P780" s="18" t="str">
        <x:v>2026-07-31</x:v>
      </x:c>
      <x:c r="Q780" s="36" t="n">
        <x:v>46234</x:v>
      </x:c>
    </x:row>
    <x:row r="781">
      <x:c r="A781" s="36" t="str">
        <x:v>2026-07-31</x:v>
      </x:c>
      <x:c r="B781" s="18" t="str">
        <x:v>101437000_70549</x:v>
      </x:c>
      <x:c r="C781" s="18" t="str">
        <x:v>【沪村小电】学府路充电站</x:v>
      </x:c>
      <x:c r="D781" s="37" t="str">
        <x:v>2</x:v>
      </x:c>
      <x:c r="E781" s="37" t="str">
        <x:v>0</x:v>
      </x:c>
      <x:c r="F781" s="37" t="str">
        <x:v>17</x:v>
      </x:c>
      <x:c r="G781" s="37" t="str">
        <x:v>416.18</x:v>
      </x:c>
      <x:c r="H781" s="37" t="str">
        <x:v>0.00</x:v>
      </x:c>
      <x:c r="I781" s="37" t="str">
        <x:v>326.98</x:v>
      </x:c>
      <x:c r="J781" s="37" t="str">
        <x:v>0.00</x:v>
      </x:c>
      <x:c r="K781" s="37" t="str">
        <x:v>89.19</x:v>
      </x:c>
      <x:c r="L781" s="37" t="str">
        <x:v>788</x:v>
      </x:c>
      <x:c r="M781" s="29" t="str">
        <x:v>459.83</x:v>
      </x:c>
      <x:c r="N781" s="29" t="str">
        <x:v>265.14</x:v>
      </x:c>
      <x:c r="O781" s="29" t="str">
        <x:v>194.69</x:v>
      </x:c>
      <x:c r="P781" s="18" t="str">
        <x:v>2026-07-31</x:v>
      </x:c>
      <x:c r="Q781" s="36" t="n">
        <x:v>46234</x:v>
      </x:c>
    </x:row>
    <x:row r="782">
      <x:c r="A782" s="36" t="str">
        <x:v>2026-07-31</x:v>
      </x:c>
      <x:c r="B782" s="18" t="str">
        <x:v>101437000_71059</x:v>
      </x:c>
      <x:c r="C782" s="18" t="str">
        <x:v>【沪村小电】宝乐汇商业广场站</x:v>
      </x:c>
      <x:c r="D782" s="37" t="str">
        <x:v>4</x:v>
      </x:c>
      <x:c r="E782" s="37" t="str">
        <x:v>0</x:v>
      </x:c>
      <x:c r="F782" s="37" t="str">
        <x:v>38</x:v>
      </x:c>
      <x:c r="G782" s="37" t="str">
        <x:v>616.60</x:v>
      </x:c>
      <x:c r="H782" s="37" t="str">
        <x:v>0.00</x:v>
      </x:c>
      <x:c r="I782" s="37" t="str">
        <x:v>288.29</x:v>
      </x:c>
      <x:c r="J782" s="37" t="str">
        <x:v>0.00</x:v>
      </x:c>
      <x:c r="K782" s="37" t="str">
        <x:v>328.31</x:v>
      </x:c>
      <x:c r="L782" s="37" t="str">
        <x:v>1038</x:v>
      </x:c>
      <x:c r="M782" s="29" t="str">
        <x:v>548.90</x:v>
      </x:c>
      <x:c r="N782" s="29" t="str">
        <x:v>410.49</x:v>
      </x:c>
      <x:c r="O782" s="29" t="str">
        <x:v>138.41</x:v>
      </x:c>
      <x:c r="P782" s="18" t="str">
        <x:v>2026-07-31</x:v>
      </x:c>
      <x:c r="Q782" s="36" t="n">
        <x:v>46234</x:v>
      </x:c>
    </x:row>
    <x:row r="783">
      <x:c r="A783" s="36" t="str">
        <x:v>2026-07-31</x:v>
      </x:c>
      <x:c r="B783" s="18" t="str">
        <x:v>101437000_72541</x:v>
      </x:c>
      <x:c r="C783" s="18" t="str">
        <x:v>【沪村小电】九干路1174弄充电站</x:v>
      </x:c>
      <x:c r="D783" s="37" t="str">
        <x:v>2</x:v>
      </x:c>
      <x:c r="E783" s="37" t="str">
        <x:v>0</x:v>
      </x:c>
      <x:c r="F783" s="37" t="str">
        <x:v>77</x:v>
      </x:c>
      <x:c r="G783" s="37" t="str">
        <x:v>1554.82</x:v>
      </x:c>
      <x:c r="H783" s="37" t="str">
        <x:v>0.00</x:v>
      </x:c>
      <x:c r="I783" s="37" t="str">
        <x:v>870.81</x:v>
      </x:c>
      <x:c r="J783" s="37" t="str">
        <x:v>0.00</x:v>
      </x:c>
      <x:c r="K783" s="37" t="str">
        <x:v>684.00</x:v>
      </x:c>
      <x:c r="L783" s="37" t="str">
        <x:v>2806</x:v>
      </x:c>
      <x:c r="M783" s="29" t="str">
        <x:v>1299.93</x:v>
      </x:c>
      <x:c r="N783" s="29" t="str">
        <x:v>871.34</x:v>
      </x:c>
      <x:c r="O783" s="29" t="str">
        <x:v>428.59</x:v>
      </x:c>
      <x:c r="P783" s="18" t="str">
        <x:v>2026-07-31</x:v>
      </x:c>
      <x:c r="Q783" s="36" t="n">
        <x:v>46234</x:v>
      </x:c>
    </x:row>
    <x:row r="784">
      <x:c r="A784" s="36" t="str">
        <x:v>2026-07-31</x:v>
      </x:c>
      <x:c r="B784" s="18" t="str">
        <x:v>101437000_72543</x:v>
      </x:c>
      <x:c r="C784" s="18" t="str">
        <x:v>【沪村小电】叶家中心村小区充电站</x:v>
      </x:c>
      <x:c r="D784" s="37" t="str">
        <x:v>2</x:v>
      </x:c>
      <x:c r="E784" s="37" t="str">
        <x:v>0</x:v>
      </x:c>
      <x:c r="F784" s="37" t="str">
        <x:v>38</x:v>
      </x:c>
      <x:c r="G784" s="37" t="str">
        <x:v>1011.22</x:v>
      </x:c>
      <x:c r="H784" s="37" t="str">
        <x:v>0.00</x:v>
      </x:c>
      <x:c r="I784" s="37" t="str">
        <x:v>495.39</x:v>
      </x:c>
      <x:c r="J784" s="37" t="str">
        <x:v>0.00</x:v>
      </x:c>
      <x:c r="K784" s="37" t="str">
        <x:v>515.83</x:v>
      </x:c>
      <x:c r="L784" s="37" t="str">
        <x:v>1735</x:v>
      </x:c>
      <x:c r="M784" s="29" t="str">
        <x:v>831.90</x:v>
      </x:c>
      <x:c r="N784" s="29" t="str">
        <x:v>542.57</x:v>
      </x:c>
      <x:c r="O784" s="29" t="str">
        <x:v>289.33</x:v>
      </x:c>
      <x:c r="P784" s="18" t="str">
        <x:v>2026-07-31</x:v>
      </x:c>
      <x:c r="Q784" s="36" t="n">
        <x:v>46234</x:v>
      </x:c>
    </x:row>
    <x:row r="785">
      <x:c r="A785" s="36" t="str">
        <x:v>2026-07-31</x:v>
      </x:c>
      <x:c r="B785" s="18" t="str">
        <x:v>101437000_72937</x:v>
      </x:c>
      <x:c r="C785" s="18" t="str">
        <x:v>【沪村小电】佘北家园茸腾苑充电站</x:v>
      </x:c>
      <x:c r="D785" s="37" t="str">
        <x:v>4</x:v>
      </x:c>
      <x:c r="E785" s="37" t="str">
        <x:v>0</x:v>
      </x:c>
      <x:c r="F785" s="37" t="str">
        <x:v>21</x:v>
      </x:c>
      <x:c r="G785" s="37" t="str">
        <x:v>443.78</x:v>
      </x:c>
      <x:c r="H785" s="37" t="str">
        <x:v>0.00</x:v>
      </x:c>
      <x:c r="I785" s="37" t="str">
        <x:v>443.78</x:v>
      </x:c>
      <x:c r="J785" s="37" t="str">
        <x:v>0.00</x:v>
      </x:c>
      <x:c r="K785" s="37" t="str">
        <x:v>0.00</x:v>
      </x:c>
      <x:c r="L785" s="37" t="str">
        <x:v>571</x:v>
      </x:c>
      <x:c r="M785" s="29" t="str">
        <x:v>471.20</x:v>
      </x:c>
      <x:c r="N785" s="29" t="str">
        <x:v>315.09</x:v>
      </x:c>
      <x:c r="O785" s="29" t="str">
        <x:v>156.11</x:v>
      </x:c>
      <x:c r="P785" s="18" t="str">
        <x:v>2026-07-31</x:v>
      </x:c>
      <x:c r="Q785" s="36" t="n">
        <x:v>46234</x:v>
      </x:c>
    </x:row>
    <x:row r="786">
      <x:c r="A786" s="36" t="str">
        <x:v>2026-07-31</x:v>
      </x:c>
      <x:c r="B786" s="18" t="str">
        <x:v>101437000_74223</x:v>
      </x:c>
      <x:c r="C786" s="18" t="str">
        <x:v>【沪村小电】中兴村委会充电站</x:v>
      </x:c>
      <x:c r="D786" s="37" t="str">
        <x:v>2</x:v>
      </x:c>
      <x:c r="E786" s="37" t="str">
        <x:v>0</x:v>
      </x:c>
      <x:c r="F786" s="37" t="str">
        <x:v>24</x:v>
      </x:c>
      <x:c r="G786" s="37" t="str">
        <x:v>580.53</x:v>
      </x:c>
      <x:c r="H786" s="37" t="str">
        <x:v>0.00</x:v>
      </x:c>
      <x:c r="I786" s="37" t="str">
        <x:v>341.36</x:v>
      </x:c>
      <x:c r="J786" s="37" t="str">
        <x:v>0.00</x:v>
      </x:c>
      <x:c r="K786" s="37" t="str">
        <x:v>239.17</x:v>
      </x:c>
      <x:c r="L786" s="37" t="str">
        <x:v>880</x:v>
      </x:c>
      <x:c r="M786" s="29" t="str">
        <x:v>522.11</x:v>
      </x:c>
      <x:c r="N786" s="29" t="str">
        <x:v>330.84</x:v>
      </x:c>
      <x:c r="O786" s="29" t="str">
        <x:v>191.27</x:v>
      </x:c>
      <x:c r="P786" s="18" t="str">
        <x:v>2026-07-31</x:v>
      </x:c>
      <x:c r="Q786" s="36" t="n">
        <x:v>46234</x:v>
      </x:c>
    </x:row>
    <x:row r="787">
      <x:c r="A787" s="36" t="str">
        <x:v>2026-07-31</x:v>
      </x:c>
      <x:c r="B787" s="18" t="str">
        <x:v>101437000_74801</x:v>
      </x:c>
      <x:c r="C787" s="18" t="str">
        <x:v>【沪村小电】申良花园充电站</x:v>
      </x:c>
      <x:c r="D787" s="37" t="str">
        <x:v>4</x:v>
      </x:c>
      <x:c r="E787" s="37" t="str">
        <x:v>0</x:v>
      </x:c>
      <x:c r="F787" s="37" t="str">
        <x:v>12</x:v>
      </x:c>
      <x:c r="G787" s="37" t="str">
        <x:v>303.78</x:v>
      </x:c>
      <x:c r="H787" s="37" t="str">
        <x:v>0.00</x:v>
      </x:c>
      <x:c r="I787" s="37" t="str">
        <x:v>228.43</x:v>
      </x:c>
      <x:c r="J787" s="37" t="str">
        <x:v>0.00</x:v>
      </x:c>
      <x:c r="K787" s="37" t="str">
        <x:v>75.35</x:v>
      </x:c>
      <x:c r="L787" s="37" t="str">
        <x:v>388</x:v>
      </x:c>
      <x:c r="M787" s="29" t="str">
        <x:v>277.23</x:v>
      </x:c>
      <x:c r="N787" s="29" t="str">
        <x:v>190.07</x:v>
      </x:c>
      <x:c r="O787" s="29" t="str">
        <x:v>87.16</x:v>
      </x:c>
      <x:c r="P787" s="18" t="str">
        <x:v>2026-07-31</x:v>
      </x:c>
      <x:c r="Q787" s="36" t="n">
        <x:v>46234</x:v>
      </x:c>
    </x:row>
    <x:row r="788">
      <x:c r="A788" s="36" t="str">
        <x:v>2026-07-31</x:v>
      </x:c>
      <x:c r="B788" s="18" t="str">
        <x:v>101437000_74931</x:v>
      </x:c>
      <x:c r="C788" s="18" t="str">
        <x:v>【沪村小电】枫雅南居充电站</x:v>
      </x:c>
      <x:c r="D788" s="37" t="str">
        <x:v>2</x:v>
      </x:c>
      <x:c r="E788" s="37" t="str">
        <x:v>0</x:v>
      </x:c>
      <x:c r="F788" s="37" t="str">
        <x:v>42</x:v>
      </x:c>
      <x:c r="G788" s="37" t="str">
        <x:v>1066.26</x:v>
      </x:c>
      <x:c r="H788" s="37" t="str">
        <x:v>0.00</x:v>
      </x:c>
      <x:c r="I788" s="37" t="str">
        <x:v>833.98</x:v>
      </x:c>
      <x:c r="J788" s="37" t="str">
        <x:v>0.00</x:v>
      </x:c>
      <x:c r="K788" s="37" t="str">
        <x:v>232.28</x:v>
      </x:c>
      <x:c r="L788" s="37" t="str">
        <x:v>1789</x:v>
      </x:c>
      <x:c r="M788" s="29" t="str">
        <x:v>829.49</x:v>
      </x:c>
      <x:c r="N788" s="29" t="str">
        <x:v>564.04</x:v>
      </x:c>
      <x:c r="O788" s="29" t="str">
        <x:v>265.45</x:v>
      </x:c>
      <x:c r="P788" s="18" t="str">
        <x:v>2026-07-31</x:v>
      </x:c>
      <x:c r="Q788" s="36" t="n">
        <x:v>46234</x:v>
      </x:c>
    </x:row>
    <x:row r="789">
      <x:c r="A789" s="36" t="str">
        <x:v>2026-07-31</x:v>
      </x:c>
      <x:c r="B789" s="18" t="str">
        <x:v>101437000_75901</x:v>
      </x:c>
      <x:c r="C789" s="18" t="str">
        <x:v>【沪村小电】金悦学府</x:v>
      </x:c>
      <x:c r="D789" s="37" t="str">
        <x:v>2</x:v>
      </x:c>
      <x:c r="E789" s="37" t="str">
        <x:v>0</x:v>
      </x:c>
      <x:c r="F789" s="37" t="str">
        <x:v>45</x:v>
      </x:c>
      <x:c r="G789" s="37" t="str">
        <x:v>1232.84</x:v>
      </x:c>
      <x:c r="H789" s="37" t="str">
        <x:v>0.00</x:v>
      </x:c>
      <x:c r="I789" s="37" t="str">
        <x:v>600.73</x:v>
      </x:c>
      <x:c r="J789" s="37" t="str">
        <x:v>0.00</x:v>
      </x:c>
      <x:c r="K789" s="37" t="str">
        <x:v>632.11</x:v>
      </x:c>
      <x:c r="L789" s="37" t="str">
        <x:v>1987</x:v>
      </x:c>
      <x:c r="M789" s="29" t="str">
        <x:v>946.85</x:v>
      </x:c>
      <x:c r="N789" s="29" t="str">
        <x:v>550.39</x:v>
      </x:c>
      <x:c r="O789" s="29" t="str">
        <x:v>396.46</x:v>
      </x:c>
      <x:c r="P789" s="18" t="str">
        <x:v>2026-07-31</x:v>
      </x:c>
      <x:c r="Q789" s="36" t="n">
        <x:v>46234</x:v>
      </x:c>
    </x:row>
    <x:row r="790">
      <x:c r="A790" s="36" t="str">
        <x:v>2026-07-31</x:v>
      </x:c>
      <x:c r="B790" s="18" t="str">
        <x:v>101437000_76091</x:v>
      </x:c>
      <x:c r="C790" s="18" t="str">
        <x:v>【沪村小电】恒信家园充电站</x:v>
      </x:c>
      <x:c r="D790" s="37" t="str">
        <x:v>2</x:v>
      </x:c>
      <x:c r="E790" s="37" t="str">
        <x:v>0</x:v>
      </x:c>
      <x:c r="F790" s="37" t="str">
        <x:v>36</x:v>
      </x:c>
      <x:c r="G790" s="37" t="str">
        <x:v>911.34</x:v>
      </x:c>
      <x:c r="H790" s="37" t="str">
        <x:v>0.00</x:v>
      </x:c>
      <x:c r="I790" s="37" t="str">
        <x:v>579.32</x:v>
      </x:c>
      <x:c r="J790" s="37" t="str">
        <x:v>0.00</x:v>
      </x:c>
      <x:c r="K790" s="37" t="str">
        <x:v>332.02</x:v>
      </x:c>
      <x:c r="L790" s="37" t="str">
        <x:v>1545</x:v>
      </x:c>
      <x:c r="M790" s="29" t="str">
        <x:v>886.82</x:v>
      </x:c>
      <x:c r="N790" s="29" t="str">
        <x:v>534.15</x:v>
      </x:c>
      <x:c r="O790" s="29" t="str">
        <x:v>352.67</x:v>
      </x:c>
      <x:c r="P790" s="18" t="str">
        <x:v>2026-07-31</x:v>
      </x:c>
      <x:c r="Q790" s="36" t="n">
        <x:v>46234</x:v>
      </x:c>
    </x:row>
    <x:row r="791">
      <x:c r="A791" s="36" t="str">
        <x:v>2026-07-31</x:v>
      </x:c>
      <x:c r="B791" s="18" t="str">
        <x:v>101437000_76417</x:v>
      </x:c>
      <x:c r="C791" s="18" t="str">
        <x:v>【沪村小电】新春一组充电站</x:v>
      </x:c>
      <x:c r="D791" s="37" t="str">
        <x:v>2</x:v>
      </x:c>
      <x:c r="E791" s="37" t="str">
        <x:v>0</x:v>
      </x:c>
      <x:c r="F791" s="37" t="str">
        <x:v>44</x:v>
      </x:c>
      <x:c r="G791" s="37" t="str">
        <x:v>1114.64</x:v>
      </x:c>
      <x:c r="H791" s="37" t="str">
        <x:v>0.00</x:v>
      </x:c>
      <x:c r="I791" s="37" t="str">
        <x:v>619.97</x:v>
      </x:c>
      <x:c r="J791" s="37" t="str">
        <x:v>0.00</x:v>
      </x:c>
      <x:c r="K791" s="37" t="str">
        <x:v>494.67</x:v>
      </x:c>
      <x:c r="L791" s="37" t="str">
        <x:v>1751</x:v>
      </x:c>
      <x:c r="M791" s="29" t="str">
        <x:v>908.45</x:v>
      </x:c>
      <x:c r="N791" s="29" t="str">
        <x:v>623.18</x:v>
      </x:c>
      <x:c r="O791" s="29" t="str">
        <x:v>285.27</x:v>
      </x:c>
      <x:c r="P791" s="18" t="str">
        <x:v>2026-07-31</x:v>
      </x:c>
      <x:c r="Q791" s="36" t="n">
        <x:v>46234</x:v>
      </x:c>
    </x:row>
    <x:row r="792">
      <x:c r="A792" s="36" t="str">
        <x:v>2026-07-31</x:v>
      </x:c>
      <x:c r="B792" s="18" t="str">
        <x:v>101437000_78235</x:v>
      </x:c>
      <x:c r="C792" s="18" t="str">
        <x:v>【沪村小电】欣秋苑充电站</x:v>
      </x:c>
      <x:c r="D792" s="37" t="str">
        <x:v>4</x:v>
      </x:c>
      <x:c r="E792" s="37" t="str">
        <x:v>0</x:v>
      </x:c>
      <x:c r="F792" s="37" t="str">
        <x:v>22</x:v>
      </x:c>
      <x:c r="G792" s="37" t="str">
        <x:v>559.36</x:v>
      </x:c>
      <x:c r="H792" s="37" t="str">
        <x:v>0.00</x:v>
      </x:c>
      <x:c r="I792" s="37" t="str">
        <x:v>419.16</x:v>
      </x:c>
      <x:c r="J792" s="37" t="str">
        <x:v>0.00</x:v>
      </x:c>
      <x:c r="K792" s="37" t="str">
        <x:v>140.21</x:v>
      </x:c>
      <x:c r="L792" s="37" t="str">
        <x:v>836</x:v>
      </x:c>
      <x:c r="M792" s="29" t="str">
        <x:v>559.49</x:v>
      </x:c>
      <x:c r="N792" s="29" t="str">
        <x:v>349.48</x:v>
      </x:c>
      <x:c r="O792" s="29" t="str">
        <x:v>210.01</x:v>
      </x:c>
      <x:c r="P792" s="18" t="str">
        <x:v>2026-07-31</x:v>
      </x:c>
      <x:c r="Q792" s="36" t="n">
        <x:v>46234</x:v>
      </x:c>
    </x:row>
    <x:row r="793">
      <x:c r="A793" s="36" t="str">
        <x:v>2026-07-31</x:v>
      </x:c>
      <x:c r="B793" s="18" t="str">
        <x:v>101437000_78237</x:v>
      </x:c>
      <x:c r="C793" s="18" t="str">
        <x:v>【沪村小电】奉馨苑西门小区内北侧充电站</x:v>
      </x:c>
      <x:c r="D793" s="37" t="str">
        <x:v>2</x:v>
      </x:c>
      <x:c r="E793" s="37" t="str">
        <x:v>0</x:v>
      </x:c>
      <x:c r="F793" s="37" t="str">
        <x:v>25</x:v>
      </x:c>
      <x:c r="G793" s="37" t="str">
        <x:v>640.40</x:v>
      </x:c>
      <x:c r="H793" s="37" t="str">
        <x:v>59.05</x:v>
      </x:c>
      <x:c r="I793" s="37" t="str">
        <x:v>48.81</x:v>
      </x:c>
      <x:c r="J793" s="37" t="str">
        <x:v>162.66</x:v>
      </x:c>
      <x:c r="K793" s="37" t="str">
        <x:v>369.88</x:v>
      </x:c>
      <x:c r="L793" s="37" t="str">
        <x:v>1111</x:v>
      </x:c>
      <x:c r="M793" s="29" t="str">
        <x:v>549.29</x:v>
      </x:c>
      <x:c r="N793" s="29" t="str">
        <x:v>396.30</x:v>
      </x:c>
      <x:c r="O793" s="29" t="str">
        <x:v>152.99</x:v>
      </x:c>
      <x:c r="P793" s="18" t="str">
        <x:v>2026-07-31</x:v>
      </x:c>
      <x:c r="Q793" s="36" t="n">
        <x:v>46234</x:v>
      </x:c>
    </x:row>
    <x:row r="794">
      <x:c r="A794" s="36" t="str">
        <x:v>2026-07-31</x:v>
      </x:c>
      <x:c r="B794" s="18" t="str">
        <x:v>101437000_83019</x:v>
      </x:c>
      <x:c r="C794" s="18" t="str">
        <x:v>【沪村小电】首创禧瑞云启东区充电站</x:v>
      </x:c>
      <x:c r="D794" s="37" t="str">
        <x:v>2</x:v>
      </x:c>
      <x:c r="E794" s="37" t="str">
        <x:v>0</x:v>
      </x:c>
      <x:c r="F794" s="37" t="str">
        <x:v>26</x:v>
      </x:c>
      <x:c r="G794" s="37" t="str">
        <x:v>708.03</x:v>
      </x:c>
      <x:c r="H794" s="37" t="str">
        <x:v>0.00</x:v>
      </x:c>
      <x:c r="I794" s="37" t="str">
        <x:v>612.53</x:v>
      </x:c>
      <x:c r="J794" s="37" t="str">
        <x:v>0.00</x:v>
      </x:c>
      <x:c r="K794" s="37" t="str">
        <x:v>95.50</x:v>
      </x:c>
      <x:c r="L794" s="37" t="str">
        <x:v>924</x:v>
      </x:c>
      <x:c r="M794" s="29" t="str">
        <x:v>736.61</x:v>
      </x:c>
      <x:c r="N794" s="29" t="str">
        <x:v>470.23</x:v>
      </x:c>
      <x:c r="O794" s="29" t="str">
        <x:v>266.38</x:v>
      </x:c>
      <x:c r="P794" s="18" t="str">
        <x:v>2026-07-31</x:v>
      </x:c>
      <x:c r="Q794" s="36" t="n">
        <x:v>46234</x:v>
      </x:c>
    </x:row>
    <x:row r="795">
      <x:c r="A795" s="36" t="str">
        <x:v>2026-07-31</x:v>
      </x:c>
      <x:c r="B795" s="18" t="str">
        <x:v>101437000_83093</x:v>
      </x:c>
      <x:c r="C795" s="18" t="str">
        <x:v>【沪村小电】金茂未来时光里</x:v>
      </x:c>
      <x:c r="D795" s="37" t="str">
        <x:v>2</x:v>
      </x:c>
      <x:c r="E795" s="37" t="str">
        <x:v>0</x:v>
      </x:c>
      <x:c r="F795" s="37" t="str">
        <x:v>68</x:v>
      </x:c>
      <x:c r="G795" s="37" t="str">
        <x:v>2136.10</x:v>
      </x:c>
      <x:c r="H795" s="37" t="str">
        <x:v>0.00</x:v>
      </x:c>
      <x:c r="I795" s="37" t="str">
        <x:v>988.28</x:v>
      </x:c>
      <x:c r="J795" s="37" t="str">
        <x:v>0.00</x:v>
      </x:c>
      <x:c r="K795" s="37" t="str">
        <x:v>1147.82</x:v>
      </x:c>
      <x:c r="L795" s="37" t="str">
        <x:v>3341</x:v>
      </x:c>
      <x:c r="M795" s="29" t="str">
        <x:v>1449.26</x:v>
      </x:c>
      <x:c r="N795" s="29" t="str">
        <x:v>938.86</x:v>
      </x:c>
      <x:c r="O795" s="29" t="str">
        <x:v>510.40</x:v>
      </x:c>
      <x:c r="P795" s="18" t="str">
        <x:v>2026-07-31</x:v>
      </x:c>
      <x:c r="Q795" s="36" t="n">
        <x:v>46234</x:v>
      </x:c>
    </x:row>
    <x:row r="796">
      <x:c r="A796" s="36" t="str">
        <x:v>2026-07-31</x:v>
      </x:c>
      <x:c r="B796" s="18" t="str">
        <x:v>101437000_83911</x:v>
      </x:c>
      <x:c r="C796" s="18" t="str">
        <x:v>【沪村小电】金瀚园充电站</x:v>
      </x:c>
      <x:c r="D796" s="37" t="str">
        <x:v>2</x:v>
      </x:c>
      <x:c r="E796" s="37" t="str">
        <x:v>0</x:v>
      </x:c>
      <x:c r="F796" s="37" t="str">
        <x:v>46</x:v>
      </x:c>
      <x:c r="G796" s="37" t="str">
        <x:v>1025.99</x:v>
      </x:c>
      <x:c r="H796" s="37" t="str">
        <x:v>0.00</x:v>
      </x:c>
      <x:c r="I796" s="37" t="str">
        <x:v>574.64</x:v>
      </x:c>
      <x:c r="J796" s="37" t="str">
        <x:v>0.00</x:v>
      </x:c>
      <x:c r="K796" s="37" t="str">
        <x:v>451.35</x:v>
      </x:c>
      <x:c r="L796" s="37" t="str">
        <x:v>1421</x:v>
      </x:c>
      <x:c r="M796" s="29" t="str">
        <x:v>888.78</x:v>
      </x:c>
      <x:c r="N796" s="29" t="str">
        <x:v>574.99</x:v>
      </x:c>
      <x:c r="O796" s="29" t="str">
        <x:v>313.79</x:v>
      </x:c>
      <x:c r="P796" s="18" t="str">
        <x:v>2026-07-31</x:v>
      </x:c>
      <x:c r="Q796" s="36" t="n">
        <x:v>46234</x:v>
      </x:c>
    </x:row>
    <x:row r="797">
      <x:c r="A797" s="36" t="str">
        <x:v>2026-07-31</x:v>
      </x:c>
      <x:c r="B797" s="18" t="str">
        <x:v>101437000_83913</x:v>
      </x:c>
      <x:c r="C797" s="18" t="str">
        <x:v>【沪村小电】新黎村充电站</x:v>
      </x:c>
      <x:c r="D797" s="37" t="str">
        <x:v>2</x:v>
      </x:c>
      <x:c r="E797" s="37" t="str">
        <x:v>0</x:v>
      </x:c>
      <x:c r="F797" s="37" t="str">
        <x:v>77</x:v>
      </x:c>
      <x:c r="G797" s="37" t="str">
        <x:v>1670.10</x:v>
      </x:c>
      <x:c r="H797" s="37" t="str">
        <x:v>0.00</x:v>
      </x:c>
      <x:c r="I797" s="37" t="str">
        <x:v>1206.45</x:v>
      </x:c>
      <x:c r="J797" s="37" t="str">
        <x:v>0.00</x:v>
      </x:c>
      <x:c r="K797" s="37" t="str">
        <x:v>463.65</x:v>
      </x:c>
      <x:c r="L797" s="37" t="str">
        <x:v>2696</x:v>
      </x:c>
      <x:c r="M797" s="29" t="str">
        <x:v>1544.16</x:v>
      </x:c>
      <x:c r="N797" s="29" t="str">
        <x:v>1028.11</x:v>
      </x:c>
      <x:c r="O797" s="29" t="str">
        <x:v>516.05</x:v>
      </x:c>
      <x:c r="P797" s="18" t="str">
        <x:v>2026-07-31</x:v>
      </x:c>
      <x:c r="Q797" s="36" t="n">
        <x:v>46234</x:v>
      </x:c>
    </x:row>
    <x:row r="798">
      <x:c r="A798" s="36" t="str">
        <x:v>2026-07-31</x:v>
      </x:c>
      <x:c r="B798" s="18" t="str">
        <x:v>101437000_83915</x:v>
      </x:c>
      <x:c r="C798" s="18" t="str">
        <x:v>【沪村小电】长泰西郊别墅充电站</x:v>
      </x:c>
      <x:c r="D798" s="37" t="str">
        <x:v>2</x:v>
      </x:c>
      <x:c r="E798" s="37" t="str">
        <x:v>0</x:v>
      </x:c>
      <x:c r="F798" s="37" t="str">
        <x:v>16</x:v>
      </x:c>
      <x:c r="G798" s="37" t="str">
        <x:v>414.67</x:v>
      </x:c>
      <x:c r="H798" s="37" t="str">
        <x:v>0.00</x:v>
      </x:c>
      <x:c r="I798" s="37" t="str">
        <x:v>239.20</x:v>
      </x:c>
      <x:c r="J798" s="37" t="str">
        <x:v>0.00</x:v>
      </x:c>
      <x:c r="K798" s="37" t="str">
        <x:v>175.47</x:v>
      </x:c>
      <x:c r="L798" s="37" t="str">
        <x:v>681</x:v>
      </x:c>
      <x:c r="M798" s="29" t="str">
        <x:v>370.89</x:v>
      </x:c>
      <x:c r="N798" s="29" t="str">
        <x:v>234.76</x:v>
      </x:c>
      <x:c r="O798" s="29" t="str">
        <x:v>136.13</x:v>
      </x:c>
      <x:c r="P798" s="18" t="str">
        <x:v>2026-07-31</x:v>
      </x:c>
      <x:c r="Q798" s="36" t="n">
        <x:v>46234</x:v>
      </x:c>
    </x:row>
    <x:row r="799">
      <x:c r="A799" s="36" t="str">
        <x:v>2026-07-31</x:v>
      </x:c>
      <x:c r="B799" s="18" t="str">
        <x:v>101437000_83917</x:v>
      </x:c>
      <x:c r="C799" s="18" t="str">
        <x:v>【沪村小电】旭新华庭充电站</x:v>
      </x:c>
      <x:c r="D799" s="37" t="str">
        <x:v>4</x:v>
      </x:c>
      <x:c r="E799" s="37" t="str">
        <x:v>0</x:v>
      </x:c>
      <x:c r="F799" s="37" t="str">
        <x:v>28</x:v>
      </x:c>
      <x:c r="G799" s="37" t="str">
        <x:v>814.71</x:v>
      </x:c>
      <x:c r="H799" s="37" t="str">
        <x:v>0.00</x:v>
      </x:c>
      <x:c r="I799" s="37" t="str">
        <x:v>534.61</x:v>
      </x:c>
      <x:c r="J799" s="37" t="str">
        <x:v>0.00</x:v>
      </x:c>
      <x:c r="K799" s="37" t="str">
        <x:v>280.11</x:v>
      </x:c>
      <x:c r="L799" s="37" t="str">
        <x:v>1056</x:v>
      </x:c>
      <x:c r="M799" s="29" t="str">
        <x:v>812.06</x:v>
      </x:c>
      <x:c r="N799" s="29" t="str">
        <x:v>483.19</x:v>
      </x:c>
      <x:c r="O799" s="29" t="str">
        <x:v>328.87</x:v>
      </x:c>
      <x:c r="P799" s="18" t="str">
        <x:v>2026-07-31</x:v>
      </x:c>
      <x:c r="Q799" s="36" t="n">
        <x:v>46234</x:v>
      </x:c>
    </x:row>
    <x:row r="800">
      <x:c r="A800" s="36" t="str">
        <x:v>2026-07-31</x:v>
      </x:c>
      <x:c r="B800" s="18" t="str">
        <x:v>101437000_83919</x:v>
      </x:c>
      <x:c r="C800" s="18" t="str">
        <x:v>【沪村小电】浦锦名仕嘉园充电站</x:v>
      </x:c>
      <x:c r="D800" s="37" t="str">
        <x:v>4</x:v>
      </x:c>
      <x:c r="E800" s="37" t="str">
        <x:v>0</x:v>
      </x:c>
      <x:c r="F800" s="37" t="str">
        <x:v>49</x:v>
      </x:c>
      <x:c r="G800" s="37" t="str">
        <x:v>1254.31</x:v>
      </x:c>
      <x:c r="H800" s="37" t="str">
        <x:v>0.00</x:v>
      </x:c>
      <x:c r="I800" s="37" t="str">
        <x:v>0.00</x:v>
      </x:c>
      <x:c r="J800" s="37" t="str">
        <x:v>1254.31</x:v>
      </x:c>
      <x:c r="K800" s="37" t="str">
        <x:v>0.00</x:v>
      </x:c>
      <x:c r="L800" s="37" t="str">
        <x:v>1821</x:v>
      </x:c>
      <x:c r="M800" s="29" t="str">
        <x:v>1356.99</x:v>
      </x:c>
      <x:c r="N800" s="29" t="str">
        <x:v>878.01</x:v>
      </x:c>
      <x:c r="O800" s="29" t="str">
        <x:v>478.98</x:v>
      </x:c>
      <x:c r="P800" s="18" t="str">
        <x:v>2026-07-31</x:v>
      </x:c>
      <x:c r="Q800" s="36" t="n">
        <x:v>46234</x:v>
      </x:c>
    </x:row>
    <x:row r="801">
      <x:c r="A801" s="36" t="str">
        <x:v>2026-07-31</x:v>
      </x:c>
      <x:c r="B801" s="18" t="str">
        <x:v>101437000_83921</x:v>
      </x:c>
      <x:c r="C801" s="18" t="str">
        <x:v>【沪村小电】上海联怡枇杷乐园充电站（地库）</x:v>
      </x:c>
      <x:c r="D801" s="37" t="str">
        <x:v>8</x:v>
      </x:c>
      <x:c r="E801" s="37" t="str">
        <x:v>0</x:v>
      </x:c>
      <x:c r="F801" s="37" t="str">
        <x:v>19</x:v>
      </x:c>
      <x:c r="G801" s="37" t="str">
        <x:v>472.17</x:v>
      </x:c>
      <x:c r="H801" s="37" t="str">
        <x:v>0.00</x:v>
      </x:c>
      <x:c r="I801" s="37" t="str">
        <x:v>222.80</x:v>
      </x:c>
      <x:c r="J801" s="37" t="str">
        <x:v>0.00</x:v>
      </x:c>
      <x:c r="K801" s="37" t="str">
        <x:v>249.38</x:v>
      </x:c>
      <x:c r="L801" s="37" t="str">
        <x:v>741</x:v>
      </x:c>
      <x:c r="M801" s="29" t="str">
        <x:v>369.18</x:v>
      </x:c>
      <x:c r="N801" s="29" t="str">
        <x:v>315.25</x:v>
      </x:c>
      <x:c r="O801" s="29" t="str">
        <x:v>53.93</x:v>
      </x:c>
      <x:c r="P801" s="18" t="str">
        <x:v>2026-07-31</x:v>
      </x:c>
      <x:c r="Q801" s="36" t="n">
        <x:v>46234</x:v>
      </x:c>
    </x:row>
    <x:row r="802">
      <x:c r="A802" s="36" t="str">
        <x:v>2026-07-31</x:v>
      </x:c>
      <x:c r="B802" s="18" t="str">
        <x:v>101437000_83923</x:v>
      </x:c>
      <x:c r="C802" s="18" t="str">
        <x:v>【沪村小电】明珠新苑充电站</x:v>
      </x:c>
      <x:c r="D802" s="37" t="str">
        <x:v>2</x:v>
      </x:c>
      <x:c r="E802" s="37" t="str">
        <x:v>0</x:v>
      </x:c>
      <x:c r="F802" s="37" t="str">
        <x:v>33</x:v>
      </x:c>
      <x:c r="G802" s="37" t="str">
        <x:v>786.08</x:v>
      </x:c>
      <x:c r="H802" s="37" t="str">
        <x:v>0.00</x:v>
      </x:c>
      <x:c r="I802" s="37" t="str">
        <x:v>515.84</x:v>
      </x:c>
      <x:c r="J802" s="37" t="str">
        <x:v>0.00</x:v>
      </x:c>
      <x:c r="K802" s="37" t="str">
        <x:v>270.24</x:v>
      </x:c>
      <x:c r="L802" s="37" t="str">
        <x:v>1083</x:v>
      </x:c>
      <x:c r="M802" s="29" t="str">
        <x:v>783.07</x:v>
      </x:c>
      <x:c r="N802" s="29" t="str">
        <x:v>466.24</x:v>
      </x:c>
      <x:c r="O802" s="29" t="str">
        <x:v>316.83</x:v>
      </x:c>
      <x:c r="P802" s="18" t="str">
        <x:v>2026-07-31</x:v>
      </x:c>
      <x:c r="Q802" s="36" t="n">
        <x:v>46234</x:v>
      </x:c>
    </x:row>
    <x:row r="803">
      <x:c r="A803" s="36" t="str">
        <x:v>2026-07-31</x:v>
      </x:c>
      <x:c r="B803" s="18" t="str">
        <x:v>101437000_84289</x:v>
      </x:c>
      <x:c r="C803" s="18" t="str">
        <x:v>【沪村小电】铁建芳华苑充电站</x:v>
      </x:c>
      <x:c r="D803" s="37" t="str">
        <x:v>4</x:v>
      </x:c>
      <x:c r="E803" s="37" t="str">
        <x:v>0</x:v>
      </x:c>
      <x:c r="F803" s="37" t="str">
        <x:v>60</x:v>
      </x:c>
      <x:c r="G803" s="37" t="str">
        <x:v>1523.73</x:v>
      </x:c>
      <x:c r="H803" s="37" t="str">
        <x:v>0.00</x:v>
      </x:c>
      <x:c r="I803" s="37" t="str">
        <x:v>979.44</x:v>
      </x:c>
      <x:c r="J803" s="37" t="str">
        <x:v>0.00</x:v>
      </x:c>
      <x:c r="K803" s="37" t="str">
        <x:v>544.29</x:v>
      </x:c>
      <x:c r="L803" s="37" t="str">
        <x:v>2154</x:v>
      </x:c>
      <x:c r="M803" s="29" t="str">
        <x:v>1394.20</x:v>
      </x:c>
      <x:c r="N803" s="29" t="str">
        <x:v>896.75</x:v>
      </x:c>
      <x:c r="O803" s="29" t="str">
        <x:v>497.45</x:v>
      </x:c>
      <x:c r="P803" s="18" t="str">
        <x:v>2026-07-31</x:v>
      </x:c>
      <x:c r="Q803" s="36" t="n">
        <x:v>46234</x:v>
      </x:c>
    </x:row>
    <x:row r="804">
      <x:c r="A804" s="36" t="str">
        <x:v>2026-07-31</x:v>
      </x:c>
      <x:c r="B804" s="18" t="str">
        <x:v>101437000_86379</x:v>
      </x:c>
      <x:c r="C804" s="18" t="str">
        <x:v>【沪村小电】新宝社区充电站</x:v>
      </x:c>
      <x:c r="D804" s="37" t="str">
        <x:v>4</x:v>
      </x:c>
      <x:c r="E804" s="37" t="str">
        <x:v>0</x:v>
      </x:c>
      <x:c r="F804" s="37" t="str">
        <x:v>27</x:v>
      </x:c>
      <x:c r="G804" s="37" t="str">
        <x:v>738.39</x:v>
      </x:c>
      <x:c r="H804" s="37" t="str">
        <x:v>0.00</x:v>
      </x:c>
      <x:c r="I804" s="37" t="str">
        <x:v>258.00</x:v>
      </x:c>
      <x:c r="J804" s="37" t="str">
        <x:v>0.00</x:v>
      </x:c>
      <x:c r="K804" s="37" t="str">
        <x:v>480.39</x:v>
      </x:c>
      <x:c r="L804" s="37" t="str">
        <x:v>1326</x:v>
      </x:c>
      <x:c r="M804" s="29" t="str">
        <x:v>546.66</x:v>
      </x:c>
      <x:c r="N804" s="29" t="str">
        <x:v>360.91</x:v>
      </x:c>
      <x:c r="O804" s="29" t="str">
        <x:v>185.75</x:v>
      </x:c>
      <x:c r="P804" s="18" t="str">
        <x:v>2026-07-31</x:v>
      </x:c>
      <x:c r="Q804" s="36" t="n">
        <x:v>46234</x:v>
      </x:c>
    </x:row>
    <x:row r="805">
      <x:c r="A805" s="36" t="str">
        <x:v>2026-07-31</x:v>
      </x:c>
      <x:c r="B805" s="18" t="str">
        <x:v>101437000_89441</x:v>
      </x:c>
      <x:c r="C805" s="18" t="str">
        <x:v>【沪村小电】首创禧瑞云启西区充电站</x:v>
      </x:c>
      <x:c r="D805" s="37" t="str">
        <x:v>2</x:v>
      </x:c>
      <x:c r="E805" s="37" t="str">
        <x:v>0</x:v>
      </x:c>
      <x:c r="F805" s="37" t="str">
        <x:v>29</x:v>
      </x:c>
      <x:c r="G805" s="37" t="str">
        <x:v>655.21</x:v>
      </x:c>
      <x:c r="H805" s="37" t="str">
        <x:v>0.00</x:v>
      </x:c>
      <x:c r="I805" s="37" t="str">
        <x:v>453.89</x:v>
      </x:c>
      <x:c r="J805" s="37" t="str">
        <x:v>0.00</x:v>
      </x:c>
      <x:c r="K805" s="37" t="str">
        <x:v>201.32</x:v>
      </x:c>
      <x:c r="L805" s="37" t="str">
        <x:v>929</x:v>
      </x:c>
      <x:c r="M805" s="29" t="str">
        <x:v>622.26</x:v>
      </x:c>
      <x:c r="N805" s="29" t="str">
        <x:v>396.74</x:v>
      </x:c>
      <x:c r="O805" s="29" t="str">
        <x:v>225.52</x:v>
      </x:c>
      <x:c r="P805" s="18" t="str">
        <x:v>2026-07-31</x:v>
      </x:c>
      <x:c r="Q805" s="36" t="n">
        <x:v>46234</x:v>
      </x:c>
    </x:row>
    <x:row r="806">
      <x:c r="A806" s="36" t="str">
        <x:v>2026-07-31</x:v>
      </x:c>
      <x:c r="B806" s="18" t="str">
        <x:v>101437000_89443</x:v>
      </x:c>
      <x:c r="C806" s="18" t="str">
        <x:v>【沪村小电】玉兰清苑二期充电站</x:v>
      </x:c>
      <x:c r="D806" s="37" t="str">
        <x:v>2</x:v>
      </x:c>
      <x:c r="E806" s="37" t="str">
        <x:v>0</x:v>
      </x:c>
      <x:c r="F806" s="37" t="str">
        <x:v>42</x:v>
      </x:c>
      <x:c r="G806" s="37" t="str">
        <x:v>959.56</x:v>
      </x:c>
      <x:c r="H806" s="37" t="str">
        <x:v>0.00</x:v>
      </x:c>
      <x:c r="I806" s="37" t="str">
        <x:v>751.99</x:v>
      </x:c>
      <x:c r="J806" s="37" t="str">
        <x:v>0.00</x:v>
      </x:c>
      <x:c r="K806" s="37" t="str">
        <x:v>207.57</x:v>
      </x:c>
      <x:c r="L806" s="37" t="str">
        <x:v>1367</x:v>
      </x:c>
      <x:c r="M806" s="29" t="str">
        <x:v>926.99</x:v>
      </x:c>
      <x:c r="N806" s="29" t="str">
        <x:v>610.73</x:v>
      </x:c>
      <x:c r="O806" s="29" t="str">
        <x:v>316.26</x:v>
      </x:c>
      <x:c r="P806" s="18" t="str">
        <x:v>2026-07-31</x:v>
      </x:c>
      <x:c r="Q806" s="36" t="n">
        <x:v>46234</x:v>
      </x:c>
    </x:row>
    <x:row r="807">
      <x:c r="A807" s="36" t="str">
        <x:v>2026-07-31</x:v>
      </x:c>
      <x:c r="B807" s="18" t="str">
        <x:v>101437000_93115</x:v>
      </x:c>
      <x:c r="C807" s="18" t="str">
        <x:v>【沪村小电】新南家园西北门</x:v>
      </x:c>
      <x:c r="D807" s="37" t="str">
        <x:v>2</x:v>
      </x:c>
      <x:c r="E807" s="37" t="str">
        <x:v>0</x:v>
      </x:c>
      <x:c r="F807" s="37" t="str">
        <x:v>32</x:v>
      </x:c>
      <x:c r="G807" s="37" t="str">
        <x:v>701.74</x:v>
      </x:c>
      <x:c r="H807" s="37" t="str">
        <x:v>0.00</x:v>
      </x:c>
      <x:c r="I807" s="37" t="str">
        <x:v>294.05</x:v>
      </x:c>
      <x:c r="J807" s="37" t="str">
        <x:v>0.00</x:v>
      </x:c>
      <x:c r="K807" s="37" t="str">
        <x:v>407.69</x:v>
      </x:c>
      <x:c r="L807" s="37" t="str">
        <x:v>1166</x:v>
      </x:c>
      <x:c r="M807" s="29" t="str">
        <x:v>566.58</x:v>
      </x:c>
      <x:c r="N807" s="29" t="str">
        <x:v>359.63</x:v>
      </x:c>
      <x:c r="O807" s="29" t="str">
        <x:v>206.95</x:v>
      </x:c>
      <x:c r="P807" s="18" t="str">
        <x:v>2026-07-31</x:v>
      </x:c>
      <x:c r="Q807" s="36" t="n">
        <x:v>46234</x:v>
      </x:c>
    </x:row>
    <x:row r="808">
      <x:c r="A808" s="36" t="str">
        <x:v>2026-07-31</x:v>
      </x:c>
      <x:c r="B808" s="18" t="str">
        <x:v>101437000_94649</x:v>
      </x:c>
      <x:c r="C808" s="18" t="str">
        <x:v>【沪村小电】浪琴水岸花园</x:v>
      </x:c>
      <x:c r="D808" s="37" t="str">
        <x:v>4</x:v>
      </x:c>
      <x:c r="E808" s="37" t="str">
        <x:v>0</x:v>
      </x:c>
      <x:c r="F808" s="37" t="str">
        <x:v>33</x:v>
      </x:c>
      <x:c r="G808" s="37" t="str">
        <x:v>895.92</x:v>
      </x:c>
      <x:c r="H808" s="37" t="str">
        <x:v>0.00</x:v>
      </x:c>
      <x:c r="I808" s="37" t="str">
        <x:v>514.78</x:v>
      </x:c>
      <x:c r="J808" s="37" t="str">
        <x:v>0.00</x:v>
      </x:c>
      <x:c r="K808" s="37" t="str">
        <x:v>381.14</x:v>
      </x:c>
      <x:c r="L808" s="37" t="str">
        <x:v>1507</x:v>
      </x:c>
      <x:c r="M808" s="29" t="str">
        <x:v>752.80</x:v>
      </x:c>
      <x:c r="N808" s="29" t="str">
        <x:v>544.61</x:v>
      </x:c>
      <x:c r="O808" s="29" t="str">
        <x:v>208.19</x:v>
      </x:c>
      <x:c r="P808" s="18" t="str">
        <x:v>2026-07-31</x:v>
      </x:c>
      <x:c r="Q808" s="36" t="n">
        <x:v>46234</x:v>
      </x:c>
    </x:row>
    <x:row r="809">
      <x:c r="A809" s="36" t="str">
        <x:v>2026-07-31</x:v>
      </x:c>
      <x:c r="B809" s="18" t="str">
        <x:v>101437000_95077</x:v>
      </x:c>
      <x:c r="C809" s="18" t="str">
        <x:v>【沪村小电】民乐城惠益绿苑255弄充电站</x:v>
      </x:c>
      <x:c r="D809" s="37" t="str">
        <x:v>2</x:v>
      </x:c>
      <x:c r="E809" s="37" t="str">
        <x:v>0</x:v>
      </x:c>
      <x:c r="F809" s="37" t="str">
        <x:v>6</x:v>
      </x:c>
      <x:c r="G809" s="37" t="str">
        <x:v>130.86</x:v>
      </x:c>
      <x:c r="H809" s="37" t="str">
        <x:v>0.00</x:v>
      </x:c>
      <x:c r="I809" s="37" t="str">
        <x:v>76.12</x:v>
      </x:c>
      <x:c r="J809" s="37" t="str">
        <x:v>0.00</x:v>
      </x:c>
      <x:c r="K809" s="37" t="str">
        <x:v>54.74</x:v>
      </x:c>
      <x:c r="L809" s="37" t="str">
        <x:v>238</x:v>
      </x:c>
      <x:c r="M809" s="29" t="str">
        <x:v>98.61</x:v>
      </x:c>
      <x:c r="N809" s="29" t="str">
        <x:v>74.30</x:v>
      </x:c>
      <x:c r="O809" s="29" t="str">
        <x:v>24.31</x:v>
      </x:c>
      <x:c r="P809" s="18" t="str">
        <x:v>2026-07-31</x:v>
      </x:c>
      <x:c r="Q809" s="36" t="n">
        <x:v>46234</x:v>
      </x:c>
    </x:row>
    <x:row r="810">
      <x:c r="A810" s="36" t="str">
        <x:v>2026-07-31</x:v>
      </x:c>
      <x:c r="B810" s="18" t="str">
        <x:v>101437000_95079</x:v>
      </x:c>
      <x:c r="C810" s="18" t="str">
        <x:v>【沪村小电】民乐城惠益绿苑东苑充电站</x:v>
      </x:c>
      <x:c r="D810" s="37" t="str">
        <x:v>2</x:v>
      </x:c>
      <x:c r="E810" s="37" t="str">
        <x:v>0</x:v>
      </x:c>
      <x:c r="F810" s="37" t="str">
        <x:v>34</x:v>
      </x:c>
      <x:c r="G810" s="37" t="str">
        <x:v>775.19</x:v>
      </x:c>
      <x:c r="H810" s="37" t="str">
        <x:v>0.00</x:v>
      </x:c>
      <x:c r="I810" s="37" t="str">
        <x:v>581.46</x:v>
      </x:c>
      <x:c r="J810" s="37" t="str">
        <x:v>0.00</x:v>
      </x:c>
      <x:c r="K810" s="37" t="str">
        <x:v>193.73</x:v>
      </x:c>
      <x:c r="L810" s="37" t="str">
        <x:v>1147</x:v>
      </x:c>
      <x:c r="M810" s="29" t="str">
        <x:v>662.76</x:v>
      </x:c>
      <x:c r="N810" s="29" t="str">
        <x:v>484.54</x:v>
      </x:c>
      <x:c r="O810" s="29" t="str">
        <x:v>178.22</x:v>
      </x:c>
      <x:c r="P810" s="18" t="str">
        <x:v>2026-07-31</x:v>
      </x:c>
      <x:c r="Q810" s="36" t="n">
        <x:v>46234</x:v>
      </x:c>
    </x:row>
    <x:row r="811">
      <x:c r="A811" s="36" t="str">
        <x:v>2026-07-31</x:v>
      </x:c>
      <x:c r="B811" s="18" t="str">
        <x:v>101437000_95081</x:v>
      </x:c>
      <x:c r="C811" s="18" t="str">
        <x:v>【沪村小电】民乐城惠益绿苑西苑充电站</x:v>
      </x:c>
      <x:c r="D811" s="37" t="str">
        <x:v>2</x:v>
      </x:c>
      <x:c r="E811" s="37" t="str">
        <x:v>0</x:v>
      </x:c>
      <x:c r="F811" s="37" t="str">
        <x:v>6</x:v>
      </x:c>
      <x:c r="G811" s="37" t="str">
        <x:v>150.37</x:v>
      </x:c>
      <x:c r="H811" s="37" t="str">
        <x:v>0.00</x:v>
      </x:c>
      <x:c r="I811" s="37" t="str">
        <x:v>150.37</x:v>
      </x:c>
      <x:c r="J811" s="37" t="str">
        <x:v>0.00</x:v>
      </x:c>
      <x:c r="K811" s="37" t="str">
        <x:v>0.00</x:v>
      </x:c>
      <x:c r="L811" s="37" t="str">
        <x:v>195</x:v>
      </x:c>
      <x:c r="M811" s="29" t="str">
        <x:v>164.41</x:v>
      </x:c>
      <x:c r="N811" s="29" t="str">
        <x:v>106.76</x:v>
      </x:c>
      <x:c r="O811" s="29" t="str">
        <x:v>57.65</x:v>
      </x:c>
      <x:c r="P811" s="18" t="str">
        <x:v>2026-07-31</x:v>
      </x:c>
      <x:c r="Q811" s="36" t="n">
        <x:v>46234</x:v>
      </x:c>
    </x:row>
    <x:row r="812">
      <x:c r="A812" s="36" t="str">
        <x:v>2026-07-31</x:v>
      </x:c>
      <x:c r="B812" s="18" t="str">
        <x:v>101437000_95091</x:v>
      </x:c>
      <x:c r="C812" s="18" t="str">
        <x:v>【沪村小电】金悦学府2号站</x:v>
      </x:c>
      <x:c r="D812" s="37" t="str">
        <x:v>2</x:v>
      </x:c>
      <x:c r="E812" s="37" t="str">
        <x:v>0</x:v>
      </x:c>
      <x:c r="F812" s="37" t="str">
        <x:v>24</x:v>
      </x:c>
      <x:c r="G812" s="37" t="str">
        <x:v>676.56</x:v>
      </x:c>
      <x:c r="H812" s="37" t="str">
        <x:v>0.00</x:v>
      </x:c>
      <x:c r="I812" s="37" t="str">
        <x:v>0.00</x:v>
      </x:c>
      <x:c r="J812" s="37" t="str">
        <x:v>676.56</x:v>
      </x:c>
      <x:c r="K812" s="37" t="str">
        <x:v>0.00</x:v>
      </x:c>
      <x:c r="L812" s="37" t="str">
        <x:v>970</x:v>
      </x:c>
      <x:c r="M812" s="29" t="str">
        <x:v>534.49</x:v>
      </x:c>
      <x:c r="N812" s="29" t="str">
        <x:v>378.89</x:v>
      </x:c>
      <x:c r="O812" s="29" t="str">
        <x:v>155.60</x:v>
      </x:c>
      <x:c r="P812" s="18" t="str">
        <x:v>2026-07-31</x:v>
      </x:c>
      <x:c r="Q812" s="36" t="n">
        <x:v>46234</x:v>
      </x:c>
    </x:row>
    <x:row r="813">
      <x:c r="A813" s="36" t="str">
        <x:v>2026-07-31</x:v>
      </x:c>
      <x:c r="B813" s="18" t="str">
        <x:v>101437000_95941</x:v>
      </x:c>
      <x:c r="C813" s="18" t="str">
        <x:v>【沪村小电】惠诚雅苑</x:v>
      </x:c>
      <x:c r="D813" s="37" t="str">
        <x:v>4</x:v>
      </x:c>
      <x:c r="E813" s="37" t="str">
        <x:v>0</x:v>
      </x:c>
      <x:c r="F813" s="37" t="str">
        <x:v>52</x:v>
      </x:c>
      <x:c r="G813" s="37" t="str">
        <x:v>1001.47</x:v>
      </x:c>
      <x:c r="H813" s="37" t="str">
        <x:v>0.00</x:v>
      </x:c>
      <x:c r="I813" s="37" t="str">
        <x:v>413.85</x:v>
      </x:c>
      <x:c r="J813" s="37" t="str">
        <x:v>0.00</x:v>
      </x:c>
      <x:c r="K813" s="37" t="str">
        <x:v>587.62</x:v>
      </x:c>
      <x:c r="L813" s="37" t="str">
        <x:v>1401</x:v>
      </x:c>
      <x:c r="M813" s="29" t="str">
        <x:v>650.92</x:v>
      </x:c>
      <x:c r="N813" s="29" t="str">
        <x:v>426.35</x:v>
      </x:c>
      <x:c r="O813" s="29" t="str">
        <x:v>224.57</x:v>
      </x:c>
      <x:c r="P813" s="18" t="str">
        <x:v>2026-07-31</x:v>
      </x:c>
      <x:c r="Q813" s="36" t="n">
        <x:v>46234</x:v>
      </x:c>
    </x:row>
    <x:row r="814">
      <x:c r="A814" s="36" t="str">
        <x:v>2026-07-31</x:v>
      </x:c>
      <x:c r="B814" s="18" t="str">
        <x:v>101437000_96401</x:v>
      </x:c>
      <x:c r="C814" s="18" t="str">
        <x:v>【沪村小电】上海联怡枇杷乐园地面站</x:v>
      </x:c>
      <x:c r="D814" s="37" t="str">
        <x:v>2</x:v>
      </x:c>
      <x:c r="E814" s="37" t="str">
        <x:v>0</x:v>
      </x:c>
      <x:c r="F814" s="37" t="str">
        <x:v>12</x:v>
      </x:c>
      <x:c r="G814" s="37" t="str">
        <x:v>399.12</x:v>
      </x:c>
      <x:c r="H814" s="37" t="str">
        <x:v>0.00</x:v>
      </x:c>
      <x:c r="I814" s="37" t="str">
        <x:v>144.12</x:v>
      </x:c>
      <x:c r="J814" s="37" t="str">
        <x:v>0.00</x:v>
      </x:c>
      <x:c r="K814" s="37" t="str">
        <x:v>255.00</x:v>
      </x:c>
      <x:c r="L814" s="37" t="str">
        <x:v>597</x:v>
      </x:c>
      <x:c r="M814" s="29" t="str">
        <x:v>339.90</x:v>
      </x:c>
      <x:c r="N814" s="29" t="str">
        <x:v>247.01</x:v>
      </x:c>
      <x:c r="O814" s="29" t="str">
        <x:v>92.89</x:v>
      </x:c>
      <x:c r="P814" s="18" t="str">
        <x:v>2026-07-31</x:v>
      </x:c>
      <x:c r="Q814" s="36" t="n">
        <x:v>46234</x:v>
      </x:c>
    </x:row>
    <x:row r="815">
      <x:c r="A815" s="36" t="str">
        <x:v>2026-07-31</x:v>
      </x:c>
      <x:c r="B815" s="18" t="str">
        <x:v>101437000_97421</x:v>
      </x:c>
      <x:c r="C815" s="18" t="str">
        <x:v>【沪村小电】玉兰清苑二期（小区外）充电站</x:v>
      </x:c>
      <x:c r="D815" s="37" t="str">
        <x:v>4</x:v>
      </x:c>
      <x:c r="E815" s="37" t="str">
        <x:v>0</x:v>
      </x:c>
      <x:c r="F815" s="37" t="str">
        <x:v>58</x:v>
      </x:c>
      <x:c r="G815" s="37" t="str">
        <x:v>1320.27</x:v>
      </x:c>
      <x:c r="H815" s="37" t="str">
        <x:v>0.00</x:v>
      </x:c>
      <x:c r="I815" s="37" t="str">
        <x:v>1107.08</x:v>
      </x:c>
      <x:c r="J815" s="37" t="str">
        <x:v>0.00</x:v>
      </x:c>
      <x:c r="K815" s="37" t="str">
        <x:v>213.19</x:v>
      </x:c>
      <x:c r="L815" s="37" t="str">
        <x:v>2388</x:v>
      </x:c>
      <x:c r="M815" s="29" t="str">
        <x:v>1259.19</x:v>
      </x:c>
      <x:c r="N815" s="29" t="str">
        <x:v>864.88</x:v>
      </x:c>
      <x:c r="O815" s="29" t="str">
        <x:v>394.31</x:v>
      </x:c>
      <x:c r="P815" s="18" t="str">
        <x:v>2026-07-31</x:v>
      </x:c>
      <x:c r="Q815" s="36" t="n">
        <x:v>46234</x:v>
      </x:c>
    </x:row>
    <x:row r="816">
      <x:c r="A816" s="36" t="str">
        <x:v>2026-07-31</x:v>
      </x:c>
      <x:c r="B816" s="18" t="str">
        <x:v>101437000_98013</x:v>
      </x:c>
      <x:c r="C816" s="18" t="str">
        <x:v>【沪村小电】恒大滨江华府充电站</x:v>
      </x:c>
      <x:c r="D816" s="37" t="str">
        <x:v>4</x:v>
      </x:c>
      <x:c r="E816" s="37" t="str">
        <x:v>0</x:v>
      </x:c>
      <x:c r="F816" s="37" t="str">
        <x:v>47</x:v>
      </x:c>
      <x:c r="G816" s="37" t="str">
        <x:v>1071.22</x:v>
      </x:c>
      <x:c r="H816" s="37" t="str">
        <x:v>0.00</x:v>
      </x:c>
      <x:c r="I816" s="37" t="str">
        <x:v>918.54</x:v>
      </x:c>
      <x:c r="J816" s="37" t="str">
        <x:v>0.00</x:v>
      </x:c>
      <x:c r="K816" s="37" t="str">
        <x:v>152.68</x:v>
      </x:c>
      <x:c r="L816" s="37" t="str">
        <x:v>1696</x:v>
      </x:c>
      <x:c r="M816" s="29" t="str">
        <x:v>1188.05</x:v>
      </x:c>
      <x:c r="N816" s="29" t="str">
        <x:v>896.92</x:v>
      </x:c>
      <x:c r="O816" s="29" t="str">
        <x:v>291.13</x:v>
      </x:c>
      <x:c r="P816" s="18" t="str">
        <x:v>2026-07-31</x:v>
      </x:c>
      <x:c r="Q816" s="36" t="n">
        <x:v>46234</x:v>
      </x:c>
    </x:row>
    <x:row r="817">
      <x:c r="A817" s="36" t="str">
        <x:v>2026-07-31</x:v>
      </x:c>
      <x:c r="B817" s="18" t="str">
        <x:v>101437000_98863</x:v>
      </x:c>
      <x:c r="C817" s="18" t="str">
        <x:v>【沪村小电】欣菊苑充电站</x:v>
      </x:c>
      <x:c r="D817" s="37" t="str">
        <x:v>4</x:v>
      </x:c>
      <x:c r="E817" s="37" t="str">
        <x:v>0</x:v>
      </x:c>
      <x:c r="F817" s="37" t="str">
        <x:v>9</x:v>
      </x:c>
      <x:c r="G817" s="37" t="str">
        <x:v>147.27</x:v>
      </x:c>
      <x:c r="H817" s="37" t="str">
        <x:v>0.00</x:v>
      </x:c>
      <x:c r="I817" s="37" t="str">
        <x:v>118.58</x:v>
      </x:c>
      <x:c r="J817" s="37" t="str">
        <x:v>0.00</x:v>
      </x:c>
      <x:c r="K817" s="37" t="str">
        <x:v>28.70</x:v>
      </x:c>
      <x:c r="L817" s="37" t="str">
        <x:v>238</x:v>
      </x:c>
      <x:c r="M817" s="29" t="str">
        <x:v>135.42</x:v>
      </x:c>
      <x:c r="N817" s="29" t="str">
        <x:v>94.81</x:v>
      </x:c>
      <x:c r="O817" s="29" t="str">
        <x:v>40.61</x:v>
      </x:c>
      <x:c r="P817" s="18" t="str">
        <x:v>2026-07-31</x:v>
      </x:c>
      <x:c r="Q817" s="36" t="n">
        <x:v>46234</x:v>
      </x:c>
    </x:row>
    <x:row r="818">
      <x:c r="A818" s="36" t="str">
        <x:v>2026-07-31</x:v>
      </x:c>
      <x:c r="B818" s="18" t="str">
        <x:v>101437000_98865</x:v>
      </x:c>
      <x:c r="C818" s="18" t="str">
        <x:v>【沪村小电】欣松苑充电站</x:v>
      </x:c>
      <x:c r="D818" s="37" t="str">
        <x:v>4</x:v>
      </x:c>
      <x:c r="E818" s="37" t="str">
        <x:v>0</x:v>
      </x:c>
      <x:c r="F818" s="37" t="str">
        <x:v>24</x:v>
      </x:c>
      <x:c r="G818" s="37" t="str">
        <x:v>633.47</x:v>
      </x:c>
      <x:c r="H818" s="37" t="str">
        <x:v>0.00</x:v>
      </x:c>
      <x:c r="I818" s="37" t="str">
        <x:v>514.21</x:v>
      </x:c>
      <x:c r="J818" s="37" t="str">
        <x:v>0.00</x:v>
      </x:c>
      <x:c r="K818" s="37" t="str">
        <x:v>119.26</x:v>
      </x:c>
      <x:c r="L818" s="37" t="str">
        <x:v>893</x:v>
      </x:c>
      <x:c r="M818" s="29" t="str">
        <x:v>583.36</x:v>
      </x:c>
      <x:c r="N818" s="29" t="str">
        <x:v>409.23</x:v>
      </x:c>
      <x:c r="O818" s="29" t="str">
        <x:v>174.13</x:v>
      </x:c>
      <x:c r="P818" s="18" t="str">
        <x:v>2026-07-31</x:v>
      </x:c>
      <x:c r="Q818" s="36" t="n">
        <x:v>46234</x:v>
      </x:c>
    </x:row>
    <x:row r="819">
      <x:c r="A819" s="36" t="str">
        <x:v>2026-07-31</x:v>
      </x:c>
      <x:c r="B819" s="18" t="str">
        <x:v>101437000_98867</x:v>
      </x:c>
      <x:c r="C819" s="18" t="str">
        <x:v>【沪村小电】欣荷苑充电站</x:v>
      </x:c>
      <x:c r="D819" s="37" t="str">
        <x:v>4</x:v>
      </x:c>
      <x:c r="E819" s="37" t="str">
        <x:v>0</x:v>
      </x:c>
      <x:c r="F819" s="37" t="str">
        <x:v>15</x:v>
      </x:c>
      <x:c r="G819" s="37" t="str">
        <x:v>245.38</x:v>
      </x:c>
      <x:c r="H819" s="37" t="str">
        <x:v>0.00</x:v>
      </x:c>
      <x:c r="I819" s="37" t="str">
        <x:v>245.38</x:v>
      </x:c>
      <x:c r="J819" s="37" t="str">
        <x:v>0.00</x:v>
      </x:c>
      <x:c r="K819" s="37" t="str">
        <x:v>0.00</x:v>
      </x:c>
      <x:c r="L819" s="37" t="str">
        <x:v>446</x:v>
      </x:c>
      <x:c r="M819" s="29" t="str">
        <x:v>230.30</x:v>
      </x:c>
      <x:c r="N819" s="29" t="str">
        <x:v>174.23</x:v>
      </x:c>
      <x:c r="O819" s="29" t="str">
        <x:v>56.07</x:v>
      </x:c>
      <x:c r="P819" s="18" t="str">
        <x:v>2026-07-31</x:v>
      </x:c>
      <x:c r="Q819" s="36" t="n">
        <x:v>46234</x:v>
      </x:c>
    </x:row>
    <x:row r="820">
      <x:c r="A820" s="36" t="str">
        <x:v>2026-07-31</x:v>
      </x:c>
      <x:c r="B820" s="18" t="str">
        <x:v>101437000_99885</x:v>
      </x:c>
      <x:c r="C820" s="18" t="str">
        <x:v>【沪村小电】汇丰馨苑充电站</x:v>
      </x:c>
      <x:c r="D820" s="37" t="str">
        <x:v>4</x:v>
      </x:c>
      <x:c r="E820" s="37" t="str">
        <x:v>0</x:v>
      </x:c>
      <x:c r="F820" s="37" t="str">
        <x:v>25</x:v>
      </x:c>
      <x:c r="G820" s="37" t="str">
        <x:v>539.83</x:v>
      </x:c>
      <x:c r="H820" s="37" t="str">
        <x:v>0.00</x:v>
      </x:c>
      <x:c r="I820" s="37" t="str">
        <x:v>465.63</x:v>
      </x:c>
      <x:c r="J820" s="37" t="str">
        <x:v>0.00</x:v>
      </x:c>
      <x:c r="K820" s="37" t="str">
        <x:v>74.20</x:v>
      </x:c>
      <x:c r="L820" s="37" t="str">
        <x:v>807</x:v>
      </x:c>
      <x:c r="M820" s="29" t="str">
        <x:v>512.99</x:v>
      </x:c>
      <x:c r="N820" s="29" t="str">
        <x:v>358.06</x:v>
      </x:c>
      <x:c r="O820" s="29" t="str">
        <x:v>154.93</x:v>
      </x:c>
      <x:c r="P820" s="18" t="str">
        <x:v>2026-07-31</x:v>
      </x:c>
      <x:c r="Q820" s="36" t="n">
        <x:v>46234</x:v>
      </x:c>
    </x:row>
    <x:row r="821">
      <x:c r="A821" s="36" t="str">
        <x:v>2026-07-31</x:v>
      </x:c>
      <x:c r="B821" s="18" t="str">
        <x:v>101437000_99887</x:v>
      </x:c>
      <x:c r="C821" s="18" t="str">
        <x:v>【沪村小电】新南村河南小区充电站</x:v>
      </x:c>
      <x:c r="D821" s="37" t="str">
        <x:v>2</x:v>
      </x:c>
      <x:c r="E821" s="37" t="str">
        <x:v>0</x:v>
      </x:c>
      <x:c r="F821" s="37" t="str">
        <x:v>14</x:v>
      </x:c>
      <x:c r="G821" s="37" t="str">
        <x:v>431.09</x:v>
      </x:c>
      <x:c r="H821" s="37" t="str">
        <x:v>0.00</x:v>
      </x:c>
      <x:c r="I821" s="37" t="str">
        <x:v>143.33</x:v>
      </x:c>
      <x:c r="J821" s="37" t="str">
        <x:v>0.00</x:v>
      </x:c>
      <x:c r="K821" s="37" t="str">
        <x:v>287.77</x:v>
      </x:c>
      <x:c r="L821" s="37" t="str">
        <x:v>719</x:v>
      </x:c>
      <x:c r="M821" s="29" t="str">
        <x:v>293.12</x:v>
      </x:c>
      <x:c r="N821" s="29" t="str">
        <x:v>208.25</x:v>
      </x:c>
      <x:c r="O821" s="29" t="str">
        <x:v>84.87</x:v>
      </x:c>
      <x:c r="P821" s="18" t="str">
        <x:v>2026-07-31</x:v>
      </x:c>
      <x:c r="Q821" s="36" t="n">
        <x:v>46234</x:v>
      </x:c>
    </x:row>
    <x:row r="822">
      <x:c r="A822" s="36" t="str">
        <x:v>2026-07-31</x:v>
      </x:c>
      <x:c r="B822" s="18" t="str">
        <x:v>101437000_99889</x:v>
      </x:c>
      <x:c r="C822" s="18" t="str">
        <x:v>【沪村小电】漕泾郊野公园</x:v>
      </x:c>
      <x:c r="D822" s="37" t="str">
        <x:v>2</x:v>
      </x:c>
      <x:c r="E822" s="37" t="str">
        <x:v>0</x:v>
      </x:c>
      <x:c r="F822" s="37" t="str">
        <x:v>10</x:v>
      </x:c>
      <x:c r="G822" s="37" t="str">
        <x:v>253.52</x:v>
      </x:c>
      <x:c r="H822" s="37" t="str">
        <x:v>0.00</x:v>
      </x:c>
      <x:c r="I822" s="37" t="str">
        <x:v>221.42</x:v>
      </x:c>
      <x:c r="J822" s="37" t="str">
        <x:v>0.00</x:v>
      </x:c>
      <x:c r="K822" s="37" t="str">
        <x:v>32.10</x:v>
      </x:c>
      <x:c r="L822" s="37" t="str">
        <x:v>347</x:v>
      </x:c>
      <x:c r="M822" s="29" t="str">
        <x:v>257.99</x:v>
      </x:c>
      <x:c r="N822" s="29" t="str">
        <x:v>187.53</x:v>
      </x:c>
      <x:c r="O822" s="29" t="str">
        <x:v>70.46</x:v>
      </x:c>
      <x:c r="P822" s="18" t="str">
        <x:v>2026-07-31</x:v>
      </x:c>
      <x:c r="Q822" s="36" t="n">
        <x:v>46234</x:v>
      </x:c>
    </x:row>
    <x:row r="823">
      <x:c r="A823" s="36" t="str">
        <x:v>2026-07-31</x:v>
      </x:c>
      <x:c r="B823" s="18" t="str">
        <x:v>101437000_99891</x:v>
      </x:c>
      <x:c r="C823" s="18" t="str">
        <x:v>【沪村小电】水韵紫城充电站</x:v>
      </x:c>
      <x:c r="D823" s="37" t="str">
        <x:v>4</x:v>
      </x:c>
      <x:c r="E823" s="37" t="str">
        <x:v>0</x:v>
      </x:c>
      <x:c r="F823" s="37" t="str">
        <x:v>39</x:v>
      </x:c>
      <x:c r="G823" s="37" t="str">
        <x:v>850.05</x:v>
      </x:c>
      <x:c r="H823" s="37" t="str">
        <x:v>0.00</x:v>
      </x:c>
      <x:c r="I823" s="37" t="str">
        <x:v>545.84</x:v>
      </x:c>
      <x:c r="J823" s="37" t="str">
        <x:v>0.00</x:v>
      </x:c>
      <x:c r="K823" s="37" t="str">
        <x:v>304.21</x:v>
      </x:c>
      <x:c r="L823" s="37" t="str">
        <x:v>1334</x:v>
      </x:c>
      <x:c r="M823" s="29" t="str">
        <x:v>765.56</x:v>
      </x:c>
      <x:c r="N823" s="29" t="str">
        <x:v>500.09</x:v>
      </x:c>
      <x:c r="O823" s="29" t="str">
        <x:v>265.47</x:v>
      </x:c>
      <x:c r="P823" s="18" t="str">
        <x:v>2026-07-31</x:v>
      </x:c>
      <x:c r="Q823" s="36" t="n">
        <x:v>46234</x:v>
      </x:c>
    </x:row>
    <x:row r="824">
      <x:c r="A824" s="36" t="str">
        <x:v>2026-07-30</x:v>
      </x:c>
      <x:c r="B824" s="18" t="str">
        <x:v>101437000_101531</x:v>
      </x:c>
      <x:c r="C824" s="18" t="str">
        <x:v>【沪村小电】汇中苑充电站</x:v>
      </x:c>
      <x:c r="D824" s="37" t="str">
        <x:v>2</x:v>
      </x:c>
      <x:c r="E824" s="37" t="str">
        <x:v>0</x:v>
      </x:c>
      <x:c r="F824" s="37" t="str">
        <x:v>14</x:v>
      </x:c>
      <x:c r="G824" s="37" t="str">
        <x:v>306.33</x:v>
      </x:c>
      <x:c r="H824" s="37" t="str">
        <x:v>0.00</x:v>
      </x:c>
      <x:c r="I824" s="37" t="str">
        <x:v>20.02</x:v>
      </x:c>
      <x:c r="J824" s="37" t="str">
        <x:v>255.30</x:v>
      </x:c>
      <x:c r="K824" s="37" t="str">
        <x:v>31.02</x:v>
      </x:c>
      <x:c r="L824" s="37" t="str">
        <x:v>468</x:v>
      </x:c>
      <x:c r="M824" s="29" t="str">
        <x:v>286.94</x:v>
      </x:c>
      <x:c r="N824" s="29" t="str">
        <x:v>212.53</x:v>
      </x:c>
      <x:c r="O824" s="29" t="str">
        <x:v>74.41</x:v>
      </x:c>
      <x:c r="P824" s="18" t="str">
        <x:v>2026-07-30</x:v>
      </x:c>
      <x:c r="Q824" s="36" t="n">
        <x:v>46233</x:v>
      </x:c>
    </x:row>
    <x:row r="825">
      <x:c r="A825" s="36" t="str">
        <x:v>2026-07-30</x:v>
      </x:c>
      <x:c r="B825" s="18" t="str">
        <x:v>101437000_102047</x:v>
      </x:c>
      <x:c r="C825" s="18" t="str">
        <x:v>【沪村小电】后浜小区9弄小区南面停车场充电站</x:v>
      </x:c>
      <x:c r="D825" s="37" t="str">
        <x:v>8</x:v>
      </x:c>
      <x:c r="E825" s="37" t="str">
        <x:v>0</x:v>
      </x:c>
      <x:c r="F825" s="37" t="str">
        <x:v>61</x:v>
      </x:c>
      <x:c r="G825" s="37" t="str">
        <x:v>1117.89</x:v>
      </x:c>
      <x:c r="H825" s="37" t="str">
        <x:v>0.00</x:v>
      </x:c>
      <x:c r="I825" s="37" t="str">
        <x:v>805.53</x:v>
      </x:c>
      <x:c r="J825" s="37" t="str">
        <x:v>0.00</x:v>
      </x:c>
      <x:c r="K825" s="37" t="str">
        <x:v>312.36</x:v>
      </x:c>
      <x:c r="L825" s="37" t="str">
        <x:v>1737</x:v>
      </x:c>
      <x:c r="M825" s="29" t="str">
        <x:v>1161.91</x:v>
      </x:c>
      <x:c r="N825" s="29" t="str">
        <x:v>718.74</x:v>
      </x:c>
      <x:c r="O825" s="29" t="str">
        <x:v>443.17</x:v>
      </x:c>
      <x:c r="P825" s="18" t="str">
        <x:v>2026-07-30</x:v>
      </x:c>
      <x:c r="Q825" s="36" t="n">
        <x:v>46233</x:v>
      </x:c>
    </x:row>
    <x:row r="826">
      <x:c r="A826" s="36" t="str">
        <x:v>2026-07-30</x:v>
      </x:c>
      <x:c r="B826" s="18" t="str">
        <x:v>101437000_103503</x:v>
      </x:c>
      <x:c r="C826" s="18" t="str">
        <x:v>【沪村小电】阳光城新界充电站</x:v>
      </x:c>
      <x:c r="D826" s="37" t="str">
        <x:v>4</x:v>
      </x:c>
      <x:c r="E826" s="37" t="str">
        <x:v>0</x:v>
      </x:c>
      <x:c r="F826" s="37" t="str">
        <x:v>28</x:v>
      </x:c>
      <x:c r="G826" s="37" t="str">
        <x:v>462.31</x:v>
      </x:c>
      <x:c r="H826" s="37" t="str">
        <x:v>0.00</x:v>
      </x:c>
      <x:c r="I826" s="37" t="str">
        <x:v>364.31</x:v>
      </x:c>
      <x:c r="J826" s="37" t="str">
        <x:v>0.00</x:v>
      </x:c>
      <x:c r="K826" s="37" t="str">
        <x:v>98.00</x:v>
      </x:c>
      <x:c r="L826" s="37" t="str">
        <x:v>746</x:v>
      </x:c>
      <x:c r="M826" s="29" t="str">
        <x:v>532.43</x:v>
      </x:c>
      <x:c r="N826" s="29" t="str">
        <x:v>323.34</x:v>
      </x:c>
      <x:c r="O826" s="29" t="str">
        <x:v>209.09</x:v>
      </x:c>
      <x:c r="P826" s="18" t="str">
        <x:v>2026-07-30</x:v>
      </x:c>
      <x:c r="Q826" s="36" t="n">
        <x:v>46233</x:v>
      </x:c>
    </x:row>
    <x:row r="827">
      <x:c r="A827" s="36" t="str">
        <x:v>2026-07-30</x:v>
      </x:c>
      <x:c r="B827" s="18" t="str">
        <x:v>101437000_41561</x:v>
      </x:c>
      <x:c r="C827" s="18" t="str">
        <x:v>【沪村小电】张施小区大门处快充站</x:v>
      </x:c>
      <x:c r="D827" s="37" t="str">
        <x:v>2</x:v>
      </x:c>
      <x:c r="E827" s="37" t="str">
        <x:v>0</x:v>
      </x:c>
      <x:c r="F827" s="37" t="str">
        <x:v>46</x:v>
      </x:c>
      <x:c r="G827" s="37" t="str">
        <x:v>1309.32</x:v>
      </x:c>
      <x:c r="H827" s="37" t="str">
        <x:v>0.00</x:v>
      </x:c>
      <x:c r="I827" s="37" t="str">
        <x:v>577.39</x:v>
      </x:c>
      <x:c r="J827" s="37" t="str">
        <x:v>0.00</x:v>
      </x:c>
      <x:c r="K827" s="37" t="str">
        <x:v>731.93</x:v>
      </x:c>
      <x:c r="L827" s="37" t="str">
        <x:v>2326</x:v>
      </x:c>
      <x:c r="M827" s="29" t="str">
        <x:v>1003.83</x:v>
      </x:c>
      <x:c r="N827" s="29" t="str">
        <x:v>680.77</x:v>
      </x:c>
      <x:c r="O827" s="29" t="str">
        <x:v>323.06</x:v>
      </x:c>
      <x:c r="P827" s="18" t="str">
        <x:v>2026-07-30</x:v>
      </x:c>
      <x:c r="Q827" s="36" t="n">
        <x:v>46233</x:v>
      </x:c>
    </x:row>
    <x:row r="828">
      <x:c r="A828" s="36" t="str">
        <x:v>2026-07-30</x:v>
      </x:c>
      <x:c r="B828" s="18" t="str">
        <x:v>101437000_41563</x:v>
      </x:c>
      <x:c r="C828" s="18" t="str">
        <x:v>【沪村小电】同心村快充站</x:v>
      </x:c>
      <x:c r="D828" s="37" t="str">
        <x:v>4</x:v>
      </x:c>
      <x:c r="E828" s="37" t="str">
        <x:v>0</x:v>
      </x:c>
      <x:c r="F828" s="37" t="str">
        <x:v>56</x:v>
      </x:c>
      <x:c r="G828" s="37" t="str">
        <x:v>1322.74</x:v>
      </x:c>
      <x:c r="H828" s="37" t="str">
        <x:v>0.00</x:v>
      </x:c>
      <x:c r="I828" s="37" t="str">
        <x:v>804.59</x:v>
      </x:c>
      <x:c r="J828" s="37" t="str">
        <x:v>0.00</x:v>
      </x:c>
      <x:c r="K828" s="37" t="str">
        <x:v>518.15</x:v>
      </x:c>
      <x:c r="L828" s="37" t="str">
        <x:v>2355</x:v>
      </x:c>
      <x:c r="M828" s="29" t="str">
        <x:v>1178.79</x:v>
      </x:c>
      <x:c r="N828" s="29" t="str">
        <x:v>763.00</x:v>
      </x:c>
      <x:c r="O828" s="29" t="str">
        <x:v>415.79</x:v>
      </x:c>
      <x:c r="P828" s="18" t="str">
        <x:v>2026-07-30</x:v>
      </x:c>
      <x:c r="Q828" s="36" t="n">
        <x:v>46233</x:v>
      </x:c>
    </x:row>
    <x:row r="829">
      <x:c r="A829" s="36" t="str">
        <x:v>2026-07-30</x:v>
      </x:c>
      <x:c r="B829" s="18" t="str">
        <x:v>101437000_69629</x:v>
      </x:c>
      <x:c r="C829" s="18" t="str">
        <x:v>【沪村小电】骏丰玲珑坊西苑充电站</x:v>
      </x:c>
      <x:c r="D829" s="37" t="str">
        <x:v>2</x:v>
      </x:c>
      <x:c r="E829" s="37" t="str">
        <x:v>0</x:v>
      </x:c>
      <x:c r="F829" s="37" t="str">
        <x:v>55</x:v>
      </x:c>
      <x:c r="G829" s="37" t="str">
        <x:v>1386.63</x:v>
      </x:c>
      <x:c r="H829" s="37" t="str">
        <x:v>0.00</x:v>
      </x:c>
      <x:c r="I829" s="37" t="str">
        <x:v>766.39</x:v>
      </x:c>
      <x:c r="J829" s="37" t="str">
        <x:v>0.00</x:v>
      </x:c>
      <x:c r="K829" s="37" t="str">
        <x:v>620.23</x:v>
      </x:c>
      <x:c r="L829" s="37" t="str">
        <x:v>2439</x:v>
      </x:c>
      <x:c r="M829" s="29" t="str">
        <x:v>1092.89</x:v>
      </x:c>
      <x:c r="N829" s="29" t="str">
        <x:v>773.59</x:v>
      </x:c>
      <x:c r="O829" s="29" t="str">
        <x:v>319.30</x:v>
      </x:c>
      <x:c r="P829" s="18" t="str">
        <x:v>2026-07-30</x:v>
      </x:c>
      <x:c r="Q829" s="36" t="n">
        <x:v>46233</x:v>
      </x:c>
    </x:row>
    <x:row r="830">
      <x:c r="A830" s="36" t="str">
        <x:v>2026-07-30</x:v>
      </x:c>
      <x:c r="B830" s="18" t="str">
        <x:v>101437000_70547</x:v>
      </x:c>
      <x:c r="C830" s="18" t="str">
        <x:v>【沪村小电】农建村初心馆党群服务中心充电站</x:v>
      </x:c>
      <x:c r="D830" s="37" t="str">
        <x:v>4</x:v>
      </x:c>
      <x:c r="E830" s="37" t="str">
        <x:v>0</x:v>
      </x:c>
      <x:c r="F830" s="37" t="str">
        <x:v>29</x:v>
      </x:c>
      <x:c r="G830" s="37" t="str">
        <x:v>686.82</x:v>
      </x:c>
      <x:c r="H830" s="37" t="str">
        <x:v>0.00</x:v>
      </x:c>
      <x:c r="I830" s="37" t="str">
        <x:v>455.13</x:v>
      </x:c>
      <x:c r="J830" s="37" t="str">
        <x:v>0.00</x:v>
      </x:c>
      <x:c r="K830" s="37" t="str">
        <x:v>231.69</x:v>
      </x:c>
      <x:c r="L830" s="37" t="str">
        <x:v>1230</x:v>
      </x:c>
      <x:c r="M830" s="29" t="str">
        <x:v>662.13</x:v>
      </x:c>
      <x:c r="N830" s="29" t="str">
        <x:v>408.88</x:v>
      </x:c>
      <x:c r="O830" s="29" t="str">
        <x:v>253.25</x:v>
      </x:c>
      <x:c r="P830" s="18" t="str">
        <x:v>2026-07-30</x:v>
      </x:c>
      <x:c r="Q830" s="36" t="n">
        <x:v>46233</x:v>
      </x:c>
    </x:row>
    <x:row r="831">
      <x:c r="A831" s="36" t="str">
        <x:v>2026-07-30</x:v>
      </x:c>
      <x:c r="B831" s="18" t="str">
        <x:v>101437000_70549</x:v>
      </x:c>
      <x:c r="C831" s="18" t="str">
        <x:v>【沪村小电】学府路充电站</x:v>
      </x:c>
      <x:c r="D831" s="37" t="str">
        <x:v>2</x:v>
      </x:c>
      <x:c r="E831" s="37" t="str">
        <x:v>0</x:v>
      </x:c>
      <x:c r="F831" s="37" t="str">
        <x:v>9</x:v>
      </x:c>
      <x:c r="G831" s="37" t="str">
        <x:v>249.36</x:v>
      </x:c>
      <x:c r="H831" s="37" t="str">
        <x:v>0.00</x:v>
      </x:c>
      <x:c r="I831" s="37" t="str">
        <x:v>164.69</x:v>
      </x:c>
      <x:c r="J831" s="37" t="str">
        <x:v>0.00</x:v>
      </x:c>
      <x:c r="K831" s="37" t="str">
        <x:v>84.68</x:v>
      </x:c>
      <x:c r="L831" s="37" t="str">
        <x:v>425</x:v>
      </x:c>
      <x:c r="M831" s="29" t="str">
        <x:v>267.58</x:v>
      </x:c>
      <x:c r="N831" s="29" t="str">
        <x:v>148.27</x:v>
      </x:c>
      <x:c r="O831" s="29" t="str">
        <x:v>119.31</x:v>
      </x:c>
      <x:c r="P831" s="18" t="str">
        <x:v>2026-07-30</x:v>
      </x:c>
      <x:c r="Q831" s="36" t="n">
        <x:v>46233</x:v>
      </x:c>
    </x:row>
    <x:row r="832">
      <x:c r="A832" s="36" t="str">
        <x:v>2026-07-30</x:v>
      </x:c>
      <x:c r="B832" s="18" t="str">
        <x:v>101437000_71059</x:v>
      </x:c>
      <x:c r="C832" s="18" t="str">
        <x:v>【沪村小电】宝乐汇商业广场站</x:v>
      </x:c>
      <x:c r="D832" s="37" t="str">
        <x:v>4</x:v>
      </x:c>
      <x:c r="E832" s="37" t="str">
        <x:v>0</x:v>
      </x:c>
      <x:c r="F832" s="37" t="str">
        <x:v>21</x:v>
      </x:c>
      <x:c r="G832" s="37" t="str">
        <x:v>557.38</x:v>
      </x:c>
      <x:c r="H832" s="37" t="str">
        <x:v>0.00</x:v>
      </x:c>
      <x:c r="I832" s="37" t="str">
        <x:v>345.51</x:v>
      </x:c>
      <x:c r="J832" s="37" t="str">
        <x:v>0.00</x:v>
      </x:c>
      <x:c r="K832" s="37" t="str">
        <x:v>211.88</x:v>
      </x:c>
      <x:c r="L832" s="37" t="str">
        <x:v>791</x:v>
      </x:c>
      <x:c r="M832" s="29" t="str">
        <x:v>539.39</x:v>
      </x:c>
      <x:c r="N832" s="29" t="str">
        <x:v>408.40</x:v>
      </x:c>
      <x:c r="O832" s="29" t="str">
        <x:v>130.99</x:v>
      </x:c>
      <x:c r="P832" s="18" t="str">
        <x:v>2026-07-30</x:v>
      </x:c>
      <x:c r="Q832" s="36" t="n">
        <x:v>46233</x:v>
      </x:c>
    </x:row>
    <x:row r="833">
      <x:c r="A833" s="36" t="str">
        <x:v>2026-07-30</x:v>
      </x:c>
      <x:c r="B833" s="18" t="str">
        <x:v>101437000_72541</x:v>
      </x:c>
      <x:c r="C833" s="18" t="str">
        <x:v>【沪村小电】九干路1174弄充电站</x:v>
      </x:c>
      <x:c r="D833" s="37" t="str">
        <x:v>2</x:v>
      </x:c>
      <x:c r="E833" s="37" t="str">
        <x:v>0</x:v>
      </x:c>
      <x:c r="F833" s="37" t="str">
        <x:v>72</x:v>
      </x:c>
      <x:c r="G833" s="37" t="str">
        <x:v>1514.73</x:v>
      </x:c>
      <x:c r="H833" s="37" t="str">
        <x:v>0.00</x:v>
      </x:c>
      <x:c r="I833" s="37" t="str">
        <x:v>951.19</x:v>
      </x:c>
      <x:c r="J833" s="37" t="str">
        <x:v>0.00</x:v>
      </x:c>
      <x:c r="K833" s="37" t="str">
        <x:v>563.54</x:v>
      </x:c>
      <x:c r="L833" s="37" t="str">
        <x:v>2501</x:v>
      </x:c>
      <x:c r="M833" s="29" t="str">
        <x:v>1254.65</x:v>
      </x:c>
      <x:c r="N833" s="29" t="str">
        <x:v>883.86</x:v>
      </x:c>
      <x:c r="O833" s="29" t="str">
        <x:v>370.79</x:v>
      </x:c>
      <x:c r="P833" s="18" t="str">
        <x:v>2026-07-30</x:v>
      </x:c>
      <x:c r="Q833" s="36" t="n">
        <x:v>46233</x:v>
      </x:c>
    </x:row>
    <x:row r="834">
      <x:c r="A834" s="36" t="str">
        <x:v>2026-07-30</x:v>
      </x:c>
      <x:c r="B834" s="18" t="str">
        <x:v>101437000_72543</x:v>
      </x:c>
      <x:c r="C834" s="18" t="str">
        <x:v>【沪村小电】叶家中心村小区充电站</x:v>
      </x:c>
      <x:c r="D834" s="37" t="str">
        <x:v>2</x:v>
      </x:c>
      <x:c r="E834" s="37" t="str">
        <x:v>0</x:v>
      </x:c>
      <x:c r="F834" s="37" t="str">
        <x:v>43</x:v>
      </x:c>
      <x:c r="G834" s="37" t="str">
        <x:v>1088.07</x:v>
      </x:c>
      <x:c r="H834" s="37" t="str">
        <x:v>0.00</x:v>
      </x:c>
      <x:c r="I834" s="37" t="str">
        <x:v>571.50</x:v>
      </x:c>
      <x:c r="J834" s="37" t="str">
        <x:v>0.00</x:v>
      </x:c>
      <x:c r="K834" s="37" t="str">
        <x:v>516.57</x:v>
      </x:c>
      <x:c r="L834" s="37" t="str">
        <x:v>2086</x:v>
      </x:c>
      <x:c r="M834" s="29" t="str">
        <x:v>860.68</x:v>
      </x:c>
      <x:c r="N834" s="29" t="str">
        <x:v>596.91</x:v>
      </x:c>
      <x:c r="O834" s="29" t="str">
        <x:v>263.77</x:v>
      </x:c>
      <x:c r="P834" s="18" t="str">
        <x:v>2026-07-30</x:v>
      </x:c>
      <x:c r="Q834" s="36" t="n">
        <x:v>46233</x:v>
      </x:c>
    </x:row>
    <x:row r="835">
      <x:c r="A835" s="36" t="str">
        <x:v>2026-07-30</x:v>
      </x:c>
      <x:c r="B835" s="18" t="str">
        <x:v>101437000_72937</x:v>
      </x:c>
      <x:c r="C835" s="18" t="str">
        <x:v>【沪村小电】佘北家园茸腾苑充电站</x:v>
      </x:c>
      <x:c r="D835" s="37" t="str">
        <x:v>4</x:v>
      </x:c>
      <x:c r="E835" s="37" t="str">
        <x:v>0</x:v>
      </x:c>
      <x:c r="F835" s="37" t="str">
        <x:v>18</x:v>
      </x:c>
      <x:c r="G835" s="37" t="str">
        <x:v>333.33</x:v>
      </x:c>
      <x:c r="H835" s="37" t="str">
        <x:v>0.00</x:v>
      </x:c>
      <x:c r="I835" s="37" t="str">
        <x:v>333.33</x:v>
      </x:c>
      <x:c r="J835" s="37" t="str">
        <x:v>0.00</x:v>
      </x:c>
      <x:c r="K835" s="37" t="str">
        <x:v>0.00</x:v>
      </x:c>
      <x:c r="L835" s="37" t="str">
        <x:v>523</x:v>
      </x:c>
      <x:c r="M835" s="29" t="str">
        <x:v>363.71</x:v>
      </x:c>
      <x:c r="N835" s="29" t="str">
        <x:v>236.68</x:v>
      </x:c>
      <x:c r="O835" s="29" t="str">
        <x:v>127.03</x:v>
      </x:c>
      <x:c r="P835" s="18" t="str">
        <x:v>2026-07-30</x:v>
      </x:c>
      <x:c r="Q835" s="36" t="n">
        <x:v>46233</x:v>
      </x:c>
    </x:row>
    <x:row r="836">
      <x:c r="A836" s="36" t="str">
        <x:v>2026-07-30</x:v>
      </x:c>
      <x:c r="B836" s="18" t="str">
        <x:v>101437000_74223</x:v>
      </x:c>
      <x:c r="C836" s="18" t="str">
        <x:v>【沪村小电】中兴村委会充电站</x:v>
      </x:c>
      <x:c r="D836" s="37" t="str">
        <x:v>2</x:v>
      </x:c>
      <x:c r="E836" s="37" t="str">
        <x:v>0</x:v>
      </x:c>
      <x:c r="F836" s="37" t="str">
        <x:v>23</x:v>
      </x:c>
      <x:c r="G836" s="37" t="str">
        <x:v>549.95</x:v>
      </x:c>
      <x:c r="H836" s="37" t="str">
        <x:v>0.00</x:v>
      </x:c>
      <x:c r="I836" s="37" t="str">
        <x:v>331.69</x:v>
      </x:c>
      <x:c r="J836" s="37" t="str">
        <x:v>0.00</x:v>
      </x:c>
      <x:c r="K836" s="37" t="str">
        <x:v>218.26</x:v>
      </x:c>
      <x:c r="L836" s="37" t="str">
        <x:v>875</x:v>
      </x:c>
      <x:c r="M836" s="29" t="str">
        <x:v>491.93</x:v>
      </x:c>
      <x:c r="N836" s="29" t="str">
        <x:v>316.27</x:v>
      </x:c>
      <x:c r="O836" s="29" t="str">
        <x:v>175.66</x:v>
      </x:c>
      <x:c r="P836" s="18" t="str">
        <x:v>2026-07-30</x:v>
      </x:c>
      <x:c r="Q836" s="36" t="n">
        <x:v>46233</x:v>
      </x:c>
    </x:row>
    <x:row r="837">
      <x:c r="A837" s="36" t="str">
        <x:v>2026-07-30</x:v>
      </x:c>
      <x:c r="B837" s="18" t="str">
        <x:v>101437000_74801</x:v>
      </x:c>
      <x:c r="C837" s="18" t="str">
        <x:v>【沪村小电】申良花园充电站</x:v>
      </x:c>
      <x:c r="D837" s="37" t="str">
        <x:v>4</x:v>
      </x:c>
      <x:c r="E837" s="37" t="str">
        <x:v>0</x:v>
      </x:c>
      <x:c r="F837" s="37" t="str">
        <x:v>16</x:v>
      </x:c>
      <x:c r="G837" s="37" t="str">
        <x:v>250.97</x:v>
      </x:c>
      <x:c r="H837" s="37" t="str">
        <x:v>0.00</x:v>
      </x:c>
      <x:c r="I837" s="37" t="str">
        <x:v>169.68</x:v>
      </x:c>
      <x:c r="J837" s="37" t="str">
        <x:v>0.00</x:v>
      </x:c>
      <x:c r="K837" s="37" t="str">
        <x:v>81.29</x:v>
      </x:c>
      <x:c r="L837" s="37" t="str">
        <x:v>325</x:v>
      </x:c>
      <x:c r="M837" s="29" t="str">
        <x:v>228.70</x:v>
      </x:c>
      <x:c r="N837" s="29" t="str">
        <x:v>150.56</x:v>
      </x:c>
      <x:c r="O837" s="29" t="str">
        <x:v>78.14</x:v>
      </x:c>
      <x:c r="P837" s="18" t="str">
        <x:v>2026-07-30</x:v>
      </x:c>
      <x:c r="Q837" s="36" t="n">
        <x:v>46233</x:v>
      </x:c>
    </x:row>
    <x:row r="838">
      <x:c r="A838" s="36" t="str">
        <x:v>2026-07-30</x:v>
      </x:c>
      <x:c r="B838" s="18" t="str">
        <x:v>101437000_74931</x:v>
      </x:c>
      <x:c r="C838" s="18" t="str">
        <x:v>【沪村小电】枫雅南居充电站</x:v>
      </x:c>
      <x:c r="D838" s="37" t="str">
        <x:v>2</x:v>
      </x:c>
      <x:c r="E838" s="37" t="str">
        <x:v>0</x:v>
      </x:c>
      <x:c r="F838" s="37" t="str">
        <x:v>15</x:v>
      </x:c>
      <x:c r="G838" s="37" t="str">
        <x:v>481.59</x:v>
      </x:c>
      <x:c r="H838" s="37" t="str">
        <x:v>0.00</x:v>
      </x:c>
      <x:c r="I838" s="37" t="str">
        <x:v>155.40</x:v>
      </x:c>
      <x:c r="J838" s="37" t="str">
        <x:v>0.00</x:v>
      </x:c>
      <x:c r="K838" s="37" t="str">
        <x:v>326.18</x:v>
      </x:c>
      <x:c r="L838" s="37" t="str">
        <x:v>2038</x:v>
      </x:c>
      <x:c r="M838" s="29" t="str">
        <x:v>300.86</x:v>
      </x:c>
      <x:c r="N838" s="29" t="str">
        <x:v>192.81</x:v>
      </x:c>
      <x:c r="O838" s="29" t="str">
        <x:v>108.05</x:v>
      </x:c>
      <x:c r="P838" s="18" t="str">
        <x:v>2026-07-30</x:v>
      </x:c>
      <x:c r="Q838" s="36" t="n">
        <x:v>46233</x:v>
      </x:c>
    </x:row>
    <x:row r="839">
      <x:c r="A839" s="36" t="str">
        <x:v>2026-07-30</x:v>
      </x:c>
      <x:c r="B839" s="18" t="str">
        <x:v>101437000_75901</x:v>
      </x:c>
      <x:c r="C839" s="18" t="str">
        <x:v>【沪村小电】金悦学府</x:v>
      </x:c>
      <x:c r="D839" s="37" t="str">
        <x:v>2</x:v>
      </x:c>
      <x:c r="E839" s="37" t="str">
        <x:v>0</x:v>
      </x:c>
      <x:c r="F839" s="37" t="str">
        <x:v>47</x:v>
      </x:c>
      <x:c r="G839" s="37" t="str">
        <x:v>1288.60</x:v>
      </x:c>
      <x:c r="H839" s="37" t="str">
        <x:v>0.00</x:v>
      </x:c>
      <x:c r="I839" s="37" t="str">
        <x:v>667.46</x:v>
      </x:c>
      <x:c r="J839" s="37" t="str">
        <x:v>0.00</x:v>
      </x:c>
      <x:c r="K839" s="37" t="str">
        <x:v>621.14</x:v>
      </x:c>
      <x:c r="L839" s="37" t="str">
        <x:v>1964</x:v>
      </x:c>
      <x:c r="M839" s="29" t="str">
        <x:v>996.97</x:v>
      </x:c>
      <x:c r="N839" s="29" t="str">
        <x:v>586.36</x:v>
      </x:c>
      <x:c r="O839" s="29" t="str">
        <x:v>410.61</x:v>
      </x:c>
      <x:c r="P839" s="18" t="str">
        <x:v>2026-07-30</x:v>
      </x:c>
      <x:c r="Q839" s="36" t="n">
        <x:v>46233</x:v>
      </x:c>
    </x:row>
    <x:row r="840">
      <x:c r="A840" s="36" t="str">
        <x:v>2026-07-30</x:v>
      </x:c>
      <x:c r="B840" s="18" t="str">
        <x:v>101437000_76091</x:v>
      </x:c>
      <x:c r="C840" s="18" t="str">
        <x:v>【沪村小电】恒信家园充电站</x:v>
      </x:c>
      <x:c r="D840" s="37" t="str">
        <x:v>2</x:v>
      </x:c>
      <x:c r="E840" s="37" t="str">
        <x:v>0</x:v>
      </x:c>
      <x:c r="F840" s="37" t="str">
        <x:v>49</x:v>
      </x:c>
      <x:c r="G840" s="37" t="str">
        <x:v>1386.27</x:v>
      </x:c>
      <x:c r="H840" s="37" t="str">
        <x:v>0.00</x:v>
      </x:c>
      <x:c r="I840" s="37" t="str">
        <x:v>937.09</x:v>
      </x:c>
      <x:c r="J840" s="37" t="str">
        <x:v>0.00</x:v>
      </x:c>
      <x:c r="K840" s="37" t="str">
        <x:v>449.18</x:v>
      </x:c>
      <x:c r="L840" s="37" t="str">
        <x:v>1988</x:v>
      </x:c>
      <x:c r="M840" s="29" t="str">
        <x:v>1399.91</x:v>
      </x:c>
      <x:c r="N840" s="29" t="str">
        <x:v>831.54</x:v>
      </x:c>
      <x:c r="O840" s="29" t="str">
        <x:v>568.37</x:v>
      </x:c>
      <x:c r="P840" s="18" t="str">
        <x:v>2026-07-30</x:v>
      </x:c>
      <x:c r="Q840" s="36" t="n">
        <x:v>46233</x:v>
      </x:c>
    </x:row>
    <x:row r="841">
      <x:c r="A841" s="36" t="str">
        <x:v>2026-07-30</x:v>
      </x:c>
      <x:c r="B841" s="18" t="str">
        <x:v>101437000_76417</x:v>
      </x:c>
      <x:c r="C841" s="18" t="str">
        <x:v>【沪村小电】新春一组充电站</x:v>
      </x:c>
      <x:c r="D841" s="37" t="str">
        <x:v>2</x:v>
      </x:c>
      <x:c r="E841" s="37" t="str">
        <x:v>0</x:v>
      </x:c>
      <x:c r="F841" s="37" t="str">
        <x:v>38</x:v>
      </x:c>
      <x:c r="G841" s="37" t="str">
        <x:v>1115.29</x:v>
      </x:c>
      <x:c r="H841" s="37" t="str">
        <x:v>0.00</x:v>
      </x:c>
      <x:c r="I841" s="37" t="str">
        <x:v>319.13</x:v>
      </x:c>
      <x:c r="J841" s="37" t="str">
        <x:v>0.00</x:v>
      </x:c>
      <x:c r="K841" s="37" t="str">
        <x:v>796.16</x:v>
      </x:c>
      <x:c r="L841" s="37" t="str">
        <x:v>1815</x:v>
      </x:c>
      <x:c r="M841" s="29" t="str">
        <x:v>771.37</x:v>
      </x:c>
      <x:c r="N841" s="29" t="str">
        <x:v>521.15</x:v>
      </x:c>
      <x:c r="O841" s="29" t="str">
        <x:v>250.22</x:v>
      </x:c>
      <x:c r="P841" s="18" t="str">
        <x:v>2026-07-30</x:v>
      </x:c>
      <x:c r="Q841" s="36" t="n">
        <x:v>46233</x:v>
      </x:c>
    </x:row>
    <x:row r="842">
      <x:c r="A842" s="36" t="str">
        <x:v>2026-07-30</x:v>
      </x:c>
      <x:c r="B842" s="18" t="str">
        <x:v>101437000_78235</x:v>
      </x:c>
      <x:c r="C842" s="18" t="str">
        <x:v>【沪村小电】欣秋苑充电站</x:v>
      </x:c>
      <x:c r="D842" s="37" t="str">
        <x:v>4</x:v>
      </x:c>
      <x:c r="E842" s="37" t="str">
        <x:v>0</x:v>
      </x:c>
      <x:c r="F842" s="37" t="str">
        <x:v>21</x:v>
      </x:c>
      <x:c r="G842" s="37" t="str">
        <x:v>496.18</x:v>
      </x:c>
      <x:c r="H842" s="37" t="str">
        <x:v>0.00</x:v>
      </x:c>
      <x:c r="I842" s="37" t="str">
        <x:v>324.07</x:v>
      </x:c>
      <x:c r="J842" s="37" t="str">
        <x:v>0.00</x:v>
      </x:c>
      <x:c r="K842" s="37" t="str">
        <x:v>172.11</x:v>
      </x:c>
      <x:c r="L842" s="37" t="str">
        <x:v>800</x:v>
      </x:c>
      <x:c r="M842" s="29" t="str">
        <x:v>451.37</x:v>
      </x:c>
      <x:c r="N842" s="29" t="str">
        <x:v>293.78</x:v>
      </x:c>
      <x:c r="O842" s="29" t="str">
        <x:v>157.59</x:v>
      </x:c>
      <x:c r="P842" s="18" t="str">
        <x:v>2026-07-30</x:v>
      </x:c>
      <x:c r="Q842" s="36" t="n">
        <x:v>46233</x:v>
      </x:c>
    </x:row>
    <x:row r="843">
      <x:c r="A843" s="36" t="str">
        <x:v>2026-07-30</x:v>
      </x:c>
      <x:c r="B843" s="18" t="str">
        <x:v>101437000_78237</x:v>
      </x:c>
      <x:c r="C843" s="18" t="str">
        <x:v>【沪村小电】奉馨苑西门小区内北侧充电站</x:v>
      </x:c>
      <x:c r="D843" s="37" t="str">
        <x:v>2</x:v>
      </x:c>
      <x:c r="E843" s="37" t="str">
        <x:v>0</x:v>
      </x:c>
      <x:c r="F843" s="37" t="str">
        <x:v>31</x:v>
      </x:c>
      <x:c r="G843" s="37" t="str">
        <x:v>1092.43</x:v>
      </x:c>
      <x:c r="H843" s="37" t="str">
        <x:v>57.15</x:v>
      </x:c>
      <x:c r="I843" s="37" t="str">
        <x:v>248.29</x:v>
      </x:c>
      <x:c r="J843" s="37" t="str">
        <x:v>339.04</x:v>
      </x:c>
      <x:c r="K843" s="37" t="str">
        <x:v>447.95</x:v>
      </x:c>
      <x:c r="L843" s="37" t="str">
        <x:v>1529</x:v>
      </x:c>
      <x:c r="M843" s="29" t="str">
        <x:v>972.68</x:v>
      </x:c>
      <x:c r="N843" s="29" t="str">
        <x:v>771.64</x:v>
      </x:c>
      <x:c r="O843" s="29" t="str">
        <x:v>201.04</x:v>
      </x:c>
      <x:c r="P843" s="18" t="str">
        <x:v>2026-07-30</x:v>
      </x:c>
      <x:c r="Q843" s="36" t="n">
        <x:v>46233</x:v>
      </x:c>
    </x:row>
    <x:row r="844">
      <x:c r="A844" s="36" t="str">
        <x:v>2026-07-30</x:v>
      </x:c>
      <x:c r="B844" s="18" t="str">
        <x:v>101437000_83019</x:v>
      </x:c>
      <x:c r="C844" s="18" t="str">
        <x:v>【沪村小电】首创禧瑞云启东区充电站</x:v>
      </x:c>
      <x:c r="D844" s="37" t="str">
        <x:v>2</x:v>
      </x:c>
      <x:c r="E844" s="37" t="str">
        <x:v>0</x:v>
      </x:c>
      <x:c r="F844" s="37" t="str">
        <x:v>26</x:v>
      </x:c>
      <x:c r="G844" s="37" t="str">
        <x:v>677.02</x:v>
      </x:c>
      <x:c r="H844" s="37" t="str">
        <x:v>0.00</x:v>
      </x:c>
      <x:c r="I844" s="37" t="str">
        <x:v>502.37</x:v>
      </x:c>
      <x:c r="J844" s="37" t="str">
        <x:v>0.00</x:v>
      </x:c>
      <x:c r="K844" s="37" t="str">
        <x:v>174.65</x:v>
      </x:c>
      <x:c r="L844" s="37" t="str">
        <x:v>1018</x:v>
      </x:c>
      <x:c r="M844" s="29" t="str">
        <x:v>674.27</x:v>
      </x:c>
      <x:c r="N844" s="29" t="str">
        <x:v>421.31</x:v>
      </x:c>
      <x:c r="O844" s="29" t="str">
        <x:v>252.96</x:v>
      </x:c>
      <x:c r="P844" s="18" t="str">
        <x:v>2026-07-30</x:v>
      </x:c>
      <x:c r="Q844" s="36" t="n">
        <x:v>46233</x:v>
      </x:c>
    </x:row>
    <x:row r="845">
      <x:c r="A845" s="36" t="str">
        <x:v>2026-07-30</x:v>
      </x:c>
      <x:c r="B845" s="18" t="str">
        <x:v>101437000_83093</x:v>
      </x:c>
      <x:c r="C845" s="18" t="str">
        <x:v>【沪村小电】金茂未来时光里</x:v>
      </x:c>
      <x:c r="D845" s="37" t="str">
        <x:v>2</x:v>
      </x:c>
      <x:c r="E845" s="37" t="str">
        <x:v>0</x:v>
      </x:c>
      <x:c r="F845" s="37" t="str">
        <x:v>73</x:v>
      </x:c>
      <x:c r="G845" s="37" t="str">
        <x:v>2302.91</x:v>
      </x:c>
      <x:c r="H845" s="37" t="str">
        <x:v>0.00</x:v>
      </x:c>
      <x:c r="I845" s="37" t="str">
        <x:v>1142.11</x:v>
      </x:c>
      <x:c r="J845" s="37" t="str">
        <x:v>0.00</x:v>
      </x:c>
      <x:c r="K845" s="37" t="str">
        <x:v>1160.80</x:v>
      </x:c>
      <x:c r="L845" s="37" t="str">
        <x:v>3508</x:v>
      </x:c>
      <x:c r="M845" s="29" t="str">
        <x:v>1592.85</x:v>
      </x:c>
      <x:c r="N845" s="29" t="str">
        <x:v>1033.74</x:v>
      </x:c>
      <x:c r="O845" s="29" t="str">
        <x:v>559.11</x:v>
      </x:c>
      <x:c r="P845" s="18" t="str">
        <x:v>2026-07-30</x:v>
      </x:c>
      <x:c r="Q845" s="36" t="n">
        <x:v>46233</x:v>
      </x:c>
    </x:row>
    <x:row r="846">
      <x:c r="A846" s="36" t="str">
        <x:v>2026-07-30</x:v>
      </x:c>
      <x:c r="B846" s="18" t="str">
        <x:v>101437000_83911</x:v>
      </x:c>
      <x:c r="C846" s="18" t="str">
        <x:v>【沪村小电】金瀚园充电站</x:v>
      </x:c>
      <x:c r="D846" s="37" t="str">
        <x:v>2</x:v>
      </x:c>
      <x:c r="E846" s="37" t="str">
        <x:v>0</x:v>
      </x:c>
      <x:c r="F846" s="37" t="str">
        <x:v>48</x:v>
      </x:c>
      <x:c r="G846" s="37" t="str">
        <x:v>1210.51</x:v>
      </x:c>
      <x:c r="H846" s="37" t="str">
        <x:v>0.00</x:v>
      </x:c>
      <x:c r="I846" s="37" t="str">
        <x:v>731.82</x:v>
      </x:c>
      <x:c r="J846" s="37" t="str">
        <x:v>0.00</x:v>
      </x:c>
      <x:c r="K846" s="37" t="str">
        <x:v>478.69</x:v>
      </x:c>
      <x:c r="L846" s="37" t="str">
        <x:v>1568</x:v>
      </x:c>
      <x:c r="M846" s="29" t="str">
        <x:v>1089.76</x:v>
      </x:c>
      <x:c r="N846" s="29" t="str">
        <x:v>696.69</x:v>
      </x:c>
      <x:c r="O846" s="29" t="str">
        <x:v>393.07</x:v>
      </x:c>
      <x:c r="P846" s="18" t="str">
        <x:v>2026-07-30</x:v>
      </x:c>
      <x:c r="Q846" s="36" t="n">
        <x:v>46233</x:v>
      </x:c>
    </x:row>
    <x:row r="847">
      <x:c r="A847" s="36" t="str">
        <x:v>2026-07-30</x:v>
      </x:c>
      <x:c r="B847" s="18" t="str">
        <x:v>101437000_83913</x:v>
      </x:c>
      <x:c r="C847" s="18" t="str">
        <x:v>【沪村小电】新黎村充电站</x:v>
      </x:c>
      <x:c r="D847" s="37" t="str">
        <x:v>2</x:v>
      </x:c>
      <x:c r="E847" s="37" t="str">
        <x:v>0</x:v>
      </x:c>
      <x:c r="F847" s="37" t="str">
        <x:v>68</x:v>
      </x:c>
      <x:c r="G847" s="37" t="str">
        <x:v>1619.07</x:v>
      </x:c>
      <x:c r="H847" s="37" t="str">
        <x:v>0.00</x:v>
      </x:c>
      <x:c r="I847" s="37" t="str">
        <x:v>1283.08</x:v>
      </x:c>
      <x:c r="J847" s="37" t="str">
        <x:v>0.00</x:v>
      </x:c>
      <x:c r="K847" s="37" t="str">
        <x:v>335.99</x:v>
      </x:c>
      <x:c r="L847" s="37" t="str">
        <x:v>2526</x:v>
      </x:c>
      <x:c r="M847" s="29" t="str">
        <x:v>1511.87</x:v>
      </x:c>
      <x:c r="N847" s="29" t="str">
        <x:v>1035.33</x:v>
      </x:c>
      <x:c r="O847" s="29" t="str">
        <x:v>476.54</x:v>
      </x:c>
      <x:c r="P847" s="18" t="str">
        <x:v>2026-07-30</x:v>
      </x:c>
      <x:c r="Q847" s="36" t="n">
        <x:v>46233</x:v>
      </x:c>
    </x:row>
    <x:row r="848">
      <x:c r="A848" s="36" t="str">
        <x:v>2026-07-30</x:v>
      </x:c>
      <x:c r="B848" s="18" t="str">
        <x:v>101437000_83915</x:v>
      </x:c>
      <x:c r="C848" s="18" t="str">
        <x:v>【沪村小电】长泰西郊别墅充电站</x:v>
      </x:c>
      <x:c r="D848" s="37" t="str">
        <x:v>2</x:v>
      </x:c>
      <x:c r="E848" s="37" t="str">
        <x:v>0</x:v>
      </x:c>
      <x:c r="F848" s="37" t="str">
        <x:v>18</x:v>
      </x:c>
      <x:c r="G848" s="37" t="str">
        <x:v>492.19</x:v>
      </x:c>
      <x:c r="H848" s="37" t="str">
        <x:v>0.00</x:v>
      </x:c>
      <x:c r="I848" s="37" t="str">
        <x:v>286.36</x:v>
      </x:c>
      <x:c r="J848" s="37" t="str">
        <x:v>0.00</x:v>
      </x:c>
      <x:c r="K848" s="37" t="str">
        <x:v>205.83</x:v>
      </x:c>
      <x:c r="L848" s="37" t="str">
        <x:v>840</x:v>
      </x:c>
      <x:c r="M848" s="29" t="str">
        <x:v>444.22</x:v>
      </x:c>
      <x:c r="N848" s="29" t="str">
        <x:v>279.46</x:v>
      </x:c>
      <x:c r="O848" s="29" t="str">
        <x:v>164.76</x:v>
      </x:c>
      <x:c r="P848" s="18" t="str">
        <x:v>2026-07-30</x:v>
      </x:c>
      <x:c r="Q848" s="36" t="n">
        <x:v>46233</x:v>
      </x:c>
    </x:row>
    <x:row r="849">
      <x:c r="A849" s="36" t="str">
        <x:v>2026-07-30</x:v>
      </x:c>
      <x:c r="B849" s="18" t="str">
        <x:v>101437000_83917</x:v>
      </x:c>
      <x:c r="C849" s="18" t="str">
        <x:v>【沪村小电】旭新华庭充电站</x:v>
      </x:c>
      <x:c r="D849" s="37" t="str">
        <x:v>4</x:v>
      </x:c>
      <x:c r="E849" s="37" t="str">
        <x:v>0</x:v>
      </x:c>
      <x:c r="F849" s="37" t="str">
        <x:v>38</x:v>
      </x:c>
      <x:c r="G849" s="37" t="str">
        <x:v>887.11</x:v>
      </x:c>
      <x:c r="H849" s="37" t="str">
        <x:v>0.00</x:v>
      </x:c>
      <x:c r="I849" s="37" t="str">
        <x:v>554.24</x:v>
      </x:c>
      <x:c r="J849" s="37" t="str">
        <x:v>0.00</x:v>
      </x:c>
      <x:c r="K849" s="37" t="str">
        <x:v>332.87</x:v>
      </x:c>
      <x:c r="L849" s="37" t="str">
        <x:v>1329</x:v>
      </x:c>
      <x:c r="M849" s="29" t="str">
        <x:v>855.04</x:v>
      </x:c>
      <x:c r="N849" s="29" t="str">
        <x:v>516.63</x:v>
      </x:c>
      <x:c r="O849" s="29" t="str">
        <x:v>338.41</x:v>
      </x:c>
      <x:c r="P849" s="18" t="str">
        <x:v>2026-07-30</x:v>
      </x:c>
      <x:c r="Q849" s="36" t="n">
        <x:v>46233</x:v>
      </x:c>
    </x:row>
    <x:row r="850">
      <x:c r="A850" s="36" t="str">
        <x:v>2026-07-30</x:v>
      </x:c>
      <x:c r="B850" s="18" t="str">
        <x:v>101437000_83919</x:v>
      </x:c>
      <x:c r="C850" s="18" t="str">
        <x:v>【沪村小电】浦锦名仕嘉园充电站</x:v>
      </x:c>
      <x:c r="D850" s="37" t="str">
        <x:v>4</x:v>
      </x:c>
      <x:c r="E850" s="37" t="str">
        <x:v>0</x:v>
      </x:c>
      <x:c r="F850" s="37" t="str">
        <x:v>55</x:v>
      </x:c>
      <x:c r="G850" s="37" t="str">
        <x:v>1450.67</x:v>
      </x:c>
      <x:c r="H850" s="37" t="str">
        <x:v>0.00</x:v>
      </x:c>
      <x:c r="I850" s="37" t="str">
        <x:v>0.00</x:v>
      </x:c>
      <x:c r="J850" s="37" t="str">
        <x:v>1450.67</x:v>
      </x:c>
      <x:c r="K850" s="37" t="str">
        <x:v>0.00</x:v>
      </x:c>
      <x:c r="L850" s="37" t="str">
        <x:v>2026</x:v>
      </x:c>
      <x:c r="M850" s="29" t="str">
        <x:v>1427.25</x:v>
      </x:c>
      <x:c r="N850" s="29" t="str">
        <x:v>1015.44</x:v>
      </x:c>
      <x:c r="O850" s="29" t="str">
        <x:v>411.81</x:v>
      </x:c>
      <x:c r="P850" s="18" t="str">
        <x:v>2026-07-30</x:v>
      </x:c>
      <x:c r="Q850" s="36" t="n">
        <x:v>46233</x:v>
      </x:c>
    </x:row>
    <x:row r="851">
      <x:c r="A851" s="36" t="str">
        <x:v>2026-07-30</x:v>
      </x:c>
      <x:c r="B851" s="18" t="str">
        <x:v>101437000_83921</x:v>
      </x:c>
      <x:c r="C851" s="18" t="str">
        <x:v>【沪村小电】上海联怡枇杷乐园充电站（地库）</x:v>
      </x:c>
      <x:c r="D851" s="37" t="str">
        <x:v>8</x:v>
      </x:c>
      <x:c r="E851" s="37" t="str">
        <x:v>0</x:v>
      </x:c>
      <x:c r="F851" s="37" t="str">
        <x:v>18</x:v>
      </x:c>
      <x:c r="G851" s="37" t="str">
        <x:v>527.64</x:v>
      </x:c>
      <x:c r="H851" s="37" t="str">
        <x:v>0.00</x:v>
      </x:c>
      <x:c r="I851" s="37" t="str">
        <x:v>164.40</x:v>
      </x:c>
      <x:c r="J851" s="37" t="str">
        <x:v>0.00</x:v>
      </x:c>
      <x:c r="K851" s="37" t="str">
        <x:v>363.24</x:v>
      </x:c>
      <x:c r="L851" s="37" t="str">
        <x:v>910</x:v>
      </x:c>
      <x:c r="M851" s="29" t="str">
        <x:v>392.54</x:v>
      </x:c>
      <x:c r="N851" s="29" t="str">
        <x:v>315.05</x:v>
      </x:c>
      <x:c r="O851" s="29" t="str">
        <x:v>77.49</x:v>
      </x:c>
      <x:c r="P851" s="18" t="str">
        <x:v>2026-07-30</x:v>
      </x:c>
      <x:c r="Q851" s="36" t="n">
        <x:v>46233</x:v>
      </x:c>
    </x:row>
    <x:row r="852">
      <x:c r="A852" s="36" t="str">
        <x:v>2026-07-30</x:v>
      </x:c>
      <x:c r="B852" s="18" t="str">
        <x:v>101437000_83923</x:v>
      </x:c>
      <x:c r="C852" s="18" t="str">
        <x:v>【沪村小电】明珠新苑充电站</x:v>
      </x:c>
      <x:c r="D852" s="37" t="str">
        <x:v>2</x:v>
      </x:c>
      <x:c r="E852" s="37" t="str">
        <x:v>0</x:v>
      </x:c>
      <x:c r="F852" s="37" t="str">
        <x:v>27</x:v>
      </x:c>
      <x:c r="G852" s="37" t="str">
        <x:v>737.12</x:v>
      </x:c>
      <x:c r="H852" s="37" t="str">
        <x:v>0.00</x:v>
      </x:c>
      <x:c r="I852" s="37" t="str">
        <x:v>456.55</x:v>
      </x:c>
      <x:c r="J852" s="37" t="str">
        <x:v>0.00</x:v>
      </x:c>
      <x:c r="K852" s="37" t="str">
        <x:v>280.57</x:v>
      </x:c>
      <x:c r="L852" s="37" t="str">
        <x:v>1020</x:v>
      </x:c>
      <x:c r="M852" s="29" t="str">
        <x:v>660.52</x:v>
      </x:c>
      <x:c r="N852" s="29" t="str">
        <x:v>427.95</x:v>
      </x:c>
      <x:c r="O852" s="29" t="str">
        <x:v>232.57</x:v>
      </x:c>
      <x:c r="P852" s="18" t="str">
        <x:v>2026-07-30</x:v>
      </x:c>
      <x:c r="Q852" s="36" t="n">
        <x:v>46233</x:v>
      </x:c>
    </x:row>
    <x:row r="853">
      <x:c r="A853" s="36" t="str">
        <x:v>2026-07-30</x:v>
      </x:c>
      <x:c r="B853" s="18" t="str">
        <x:v>101437000_84289</x:v>
      </x:c>
      <x:c r="C853" s="18" t="str">
        <x:v>【沪村小电】铁建芳华苑充电站</x:v>
      </x:c>
      <x:c r="D853" s="37" t="str">
        <x:v>4</x:v>
      </x:c>
      <x:c r="E853" s="37" t="str">
        <x:v>0</x:v>
      </x:c>
      <x:c r="F853" s="37" t="str">
        <x:v>40</x:v>
      </x:c>
      <x:c r="G853" s="37" t="str">
        <x:v>1231.36</x:v>
      </x:c>
      <x:c r="H853" s="37" t="str">
        <x:v>0.00</x:v>
      </x:c>
      <x:c r="I853" s="37" t="str">
        <x:v>770.21</x:v>
      </x:c>
      <x:c r="J853" s="37" t="str">
        <x:v>0.00</x:v>
      </x:c>
      <x:c r="K853" s="37" t="str">
        <x:v>461.15</x:v>
      </x:c>
      <x:c r="L853" s="37" t="str">
        <x:v>1852</x:v>
      </x:c>
      <x:c r="M853" s="29" t="str">
        <x:v>1145.83</x:v>
      </x:c>
      <x:c r="N853" s="29" t="str">
        <x:v>717.45</x:v>
      </x:c>
      <x:c r="O853" s="29" t="str">
        <x:v>428.38</x:v>
      </x:c>
      <x:c r="P853" s="18" t="str">
        <x:v>2026-07-30</x:v>
      </x:c>
      <x:c r="Q853" s="36" t="n">
        <x:v>46233</x:v>
      </x:c>
    </x:row>
    <x:row r="854">
      <x:c r="A854" s="36" t="str">
        <x:v>2026-07-30</x:v>
      </x:c>
      <x:c r="B854" s="18" t="str">
        <x:v>101437000_86379</x:v>
      </x:c>
      <x:c r="C854" s="18" t="str">
        <x:v>【沪村小电】新宝社区充电站</x:v>
      </x:c>
      <x:c r="D854" s="37" t="str">
        <x:v>4</x:v>
      </x:c>
      <x:c r="E854" s="37" t="str">
        <x:v>0</x:v>
      </x:c>
      <x:c r="F854" s="37" t="str">
        <x:v>33</x:v>
      </x:c>
      <x:c r="G854" s="37" t="str">
        <x:v>745.89</x:v>
      </x:c>
      <x:c r="H854" s="37" t="str">
        <x:v>0.00</x:v>
      </x:c>
      <x:c r="I854" s="37" t="str">
        <x:v>442.26</x:v>
      </x:c>
      <x:c r="J854" s="37" t="str">
        <x:v>0.00</x:v>
      </x:c>
      <x:c r="K854" s="37" t="str">
        <x:v>303.63</x:v>
      </x:c>
      <x:c r="L854" s="37" t="str">
        <x:v>1288</x:v>
      </x:c>
      <x:c r="M854" s="29" t="str">
        <x:v>627.04</x:v>
      </x:c>
      <x:c r="N854" s="29" t="str">
        <x:v>426.36</x:v>
      </x:c>
      <x:c r="O854" s="29" t="str">
        <x:v>200.68</x:v>
      </x:c>
      <x:c r="P854" s="18" t="str">
        <x:v>2026-07-30</x:v>
      </x:c>
      <x:c r="Q854" s="36" t="n">
        <x:v>46233</x:v>
      </x:c>
    </x:row>
    <x:row r="855">
      <x:c r="A855" s="36" t="str">
        <x:v>2026-07-30</x:v>
      </x:c>
      <x:c r="B855" s="18" t="str">
        <x:v>101437000_89441</x:v>
      </x:c>
      <x:c r="C855" s="18" t="str">
        <x:v>【沪村小电】首创禧瑞云启西区充电站</x:v>
      </x:c>
      <x:c r="D855" s="37" t="str">
        <x:v>2</x:v>
      </x:c>
      <x:c r="E855" s="37" t="str">
        <x:v>0</x:v>
      </x:c>
      <x:c r="F855" s="37" t="str">
        <x:v>21</x:v>
      </x:c>
      <x:c r="G855" s="37" t="str">
        <x:v>406.07</x:v>
      </x:c>
      <x:c r="H855" s="37" t="str">
        <x:v>0.00</x:v>
      </x:c>
      <x:c r="I855" s="37" t="str">
        <x:v>365.39</x:v>
      </x:c>
      <x:c r="J855" s="37" t="str">
        <x:v>0.00</x:v>
      </x:c>
      <x:c r="K855" s="37" t="str">
        <x:v>40.68</x:v>
      </x:c>
      <x:c r="L855" s="37" t="str">
        <x:v>470</x:v>
      </x:c>
      <x:c r="M855" s="29" t="str">
        <x:v>390.28</x:v>
      </x:c>
      <x:c r="N855" s="29" t="str">
        <x:v>274.47</x:v>
      </x:c>
      <x:c r="O855" s="29" t="str">
        <x:v>115.81</x:v>
      </x:c>
      <x:c r="P855" s="18" t="str">
        <x:v>2026-07-30</x:v>
      </x:c>
      <x:c r="Q855" s="36" t="n">
        <x:v>46233</x:v>
      </x:c>
    </x:row>
    <x:row r="856">
      <x:c r="A856" s="36" t="str">
        <x:v>2026-07-30</x:v>
      </x:c>
      <x:c r="B856" s="18" t="str">
        <x:v>101437000_89443</x:v>
      </x:c>
      <x:c r="C856" s="18" t="str">
        <x:v>【沪村小电】玉兰清苑二期充电站</x:v>
      </x:c>
      <x:c r="D856" s="37" t="str">
        <x:v>2</x:v>
      </x:c>
      <x:c r="E856" s="37" t="str">
        <x:v>0</x:v>
      </x:c>
      <x:c r="F856" s="37" t="str">
        <x:v>27</x:v>
      </x:c>
      <x:c r="G856" s="37" t="str">
        <x:v>591.88</x:v>
      </x:c>
      <x:c r="H856" s="37" t="str">
        <x:v>0.00</x:v>
      </x:c>
      <x:c r="I856" s="37" t="str">
        <x:v>480.89</x:v>
      </x:c>
      <x:c r="J856" s="37" t="str">
        <x:v>0.00</x:v>
      </x:c>
      <x:c r="K856" s="37" t="str">
        <x:v>110.99</x:v>
      </x:c>
      <x:c r="L856" s="37" t="str">
        <x:v>859</x:v>
      </x:c>
      <x:c r="M856" s="29" t="str">
        <x:v>577.98</x:v>
      </x:c>
      <x:c r="N856" s="29" t="str">
        <x:v>382.51</x:v>
      </x:c>
      <x:c r="O856" s="29" t="str">
        <x:v>195.47</x:v>
      </x:c>
      <x:c r="P856" s="18" t="str">
        <x:v>2026-07-30</x:v>
      </x:c>
      <x:c r="Q856" s="36" t="n">
        <x:v>46233</x:v>
      </x:c>
    </x:row>
    <x:row r="857">
      <x:c r="A857" s="36" t="str">
        <x:v>2026-07-30</x:v>
      </x:c>
      <x:c r="B857" s="18" t="str">
        <x:v>101437000_93115</x:v>
      </x:c>
      <x:c r="C857" s="18" t="str">
        <x:v>【沪村小电】新南家园西北门</x:v>
      </x:c>
      <x:c r="D857" s="37" t="str">
        <x:v>2</x:v>
      </x:c>
      <x:c r="E857" s="37" t="str">
        <x:v>0</x:v>
      </x:c>
      <x:c r="F857" s="37" t="str">
        <x:v>26</x:v>
      </x:c>
      <x:c r="G857" s="37" t="str">
        <x:v>723.66</x:v>
      </x:c>
      <x:c r="H857" s="37" t="str">
        <x:v>0.00</x:v>
      </x:c>
      <x:c r="I857" s="37" t="str">
        <x:v>436.23</x:v>
      </x:c>
      <x:c r="J857" s="37" t="str">
        <x:v>0.00</x:v>
      </x:c>
      <x:c r="K857" s="37" t="str">
        <x:v>287.44</x:v>
      </x:c>
      <x:c r="L857" s="37" t="str">
        <x:v>962</x:v>
      </x:c>
      <x:c r="M857" s="29" t="str">
        <x:v>605.00</x:v>
      </x:c>
      <x:c r="N857" s="29" t="str">
        <x:v>416.08</x:v>
      </x:c>
      <x:c r="O857" s="29" t="str">
        <x:v>188.92</x:v>
      </x:c>
      <x:c r="P857" s="18" t="str">
        <x:v>2026-07-30</x:v>
      </x:c>
      <x:c r="Q857" s="36" t="n">
        <x:v>46233</x:v>
      </x:c>
    </x:row>
    <x:row r="858">
      <x:c r="A858" s="36" t="str">
        <x:v>2026-07-30</x:v>
      </x:c>
      <x:c r="B858" s="18" t="str">
        <x:v>101437000_94649</x:v>
      </x:c>
      <x:c r="C858" s="18" t="str">
        <x:v>【沪村小电】浪琴水岸花园</x:v>
      </x:c>
      <x:c r="D858" s="37" t="str">
        <x:v>4</x:v>
      </x:c>
      <x:c r="E858" s="37" t="str">
        <x:v>0</x:v>
      </x:c>
      <x:c r="F858" s="37" t="str">
        <x:v>33</x:v>
      </x:c>
      <x:c r="G858" s="37" t="str">
        <x:v>971.47</x:v>
      </x:c>
      <x:c r="H858" s="37" t="str">
        <x:v>0.00</x:v>
      </x:c>
      <x:c r="I858" s="37" t="str">
        <x:v>567.07</x:v>
      </x:c>
      <x:c r="J858" s="37" t="str">
        <x:v>0.00</x:v>
      </x:c>
      <x:c r="K858" s="37" t="str">
        <x:v>404.40</x:v>
      </x:c>
      <x:c r="L858" s="37" t="str">
        <x:v>1652</x:v>
      </x:c>
      <x:c r="M858" s="29" t="str">
        <x:v>788.36</x:v>
      </x:c>
      <x:c r="N858" s="29" t="str">
        <x:v>592.70</x:v>
      </x:c>
      <x:c r="O858" s="29" t="str">
        <x:v>195.66</x:v>
      </x:c>
      <x:c r="P858" s="18" t="str">
        <x:v>2026-07-30</x:v>
      </x:c>
      <x:c r="Q858" s="36" t="n">
        <x:v>46233</x:v>
      </x:c>
    </x:row>
    <x:row r="859">
      <x:c r="A859" s="36" t="str">
        <x:v>2026-07-30</x:v>
      </x:c>
      <x:c r="B859" s="18" t="str">
        <x:v>101437000_95077</x:v>
      </x:c>
      <x:c r="C859" s="18" t="str">
        <x:v>【沪村小电】民乐城惠益绿苑255弄充电站</x:v>
      </x:c>
      <x:c r="D859" s="37" t="str">
        <x:v>2</x:v>
      </x:c>
      <x:c r="E859" s="37" t="str">
        <x:v>0</x:v>
      </x:c>
      <x:c r="F859" s="37" t="str">
        <x:v>13</x:v>
      </x:c>
      <x:c r="G859" s="37" t="str">
        <x:v>291.39</x:v>
      </x:c>
      <x:c r="H859" s="37" t="str">
        <x:v>0.00</x:v>
      </x:c>
      <x:c r="I859" s="37" t="str">
        <x:v>226.79</x:v>
      </x:c>
      <x:c r="J859" s="37" t="str">
        <x:v>0.00</x:v>
      </x:c>
      <x:c r="K859" s="37" t="str">
        <x:v>64.60</x:v>
      </x:c>
      <x:c r="L859" s="37" t="str">
        <x:v>465</x:v>
      </x:c>
      <x:c r="M859" s="29" t="str">
        <x:v>323.57</x:v>
      </x:c>
      <x:c r="N859" s="29" t="str">
        <x:v>184.92</x:v>
      </x:c>
      <x:c r="O859" s="29" t="str">
        <x:v>138.65</x:v>
      </x:c>
      <x:c r="P859" s="18" t="str">
        <x:v>2026-07-30</x:v>
      </x:c>
      <x:c r="Q859" s="36" t="n">
        <x:v>46233</x:v>
      </x:c>
    </x:row>
    <x:row r="860">
      <x:c r="A860" s="36" t="str">
        <x:v>2026-07-30</x:v>
      </x:c>
      <x:c r="B860" s="18" t="str">
        <x:v>101437000_95079</x:v>
      </x:c>
      <x:c r="C860" s="18" t="str">
        <x:v>【沪村小电】民乐城惠益绿苑东苑充电站</x:v>
      </x:c>
      <x:c r="D860" s="37" t="str">
        <x:v>2</x:v>
      </x:c>
      <x:c r="E860" s="37" t="str">
        <x:v>0</x:v>
      </x:c>
      <x:c r="F860" s="37" t="str">
        <x:v>21</x:v>
      </x:c>
      <x:c r="G860" s="37" t="str">
        <x:v>527.52</x:v>
      </x:c>
      <x:c r="H860" s="37" t="str">
        <x:v>0.00</x:v>
      </x:c>
      <x:c r="I860" s="37" t="str">
        <x:v>428.64</x:v>
      </x:c>
      <x:c r="J860" s="37" t="str">
        <x:v>0.00</x:v>
      </x:c>
      <x:c r="K860" s="37" t="str">
        <x:v>98.88</x:v>
      </x:c>
      <x:c r="L860" s="37" t="str">
        <x:v>919</x:v>
      </x:c>
      <x:c r="M860" s="29" t="str">
        <x:v>476.59</x:v>
      </x:c>
      <x:c r="N860" s="29" t="str">
        <x:v>340.93</x:v>
      </x:c>
      <x:c r="O860" s="29" t="str">
        <x:v>135.66</x:v>
      </x:c>
      <x:c r="P860" s="18" t="str">
        <x:v>2026-07-30</x:v>
      </x:c>
      <x:c r="Q860" s="36" t="n">
        <x:v>46233</x:v>
      </x:c>
    </x:row>
    <x:row r="861">
      <x:c r="A861" s="36" t="str">
        <x:v>2026-07-30</x:v>
      </x:c>
      <x:c r="B861" s="18" t="str">
        <x:v>101437000_95081</x:v>
      </x:c>
      <x:c r="C861" s="18" t="str">
        <x:v>【沪村小电】民乐城惠益绿苑西苑充电站</x:v>
      </x:c>
      <x:c r="D861" s="37" t="str">
        <x:v>2</x:v>
      </x:c>
      <x:c r="E861" s="37" t="str">
        <x:v>0</x:v>
      </x:c>
      <x:c r="F861" s="37" t="str">
        <x:v>13</x:v>
      </x:c>
      <x:c r="G861" s="37" t="str">
        <x:v>250.13</x:v>
      </x:c>
      <x:c r="H861" s="37" t="str">
        <x:v>0.00</x:v>
      </x:c>
      <x:c r="I861" s="37" t="str">
        <x:v>250.13</x:v>
      </x:c>
      <x:c r="J861" s="37" t="str">
        <x:v>0.00</x:v>
      </x:c>
      <x:c r="K861" s="37" t="str">
        <x:v>0.00</x:v>
      </x:c>
      <x:c r="L861" s="37" t="str">
        <x:v>370</x:v>
      </x:c>
      <x:c r="M861" s="29" t="str">
        <x:v>242.86</x:v>
      </x:c>
      <x:c r="N861" s="29" t="str">
        <x:v>177.63</x:v>
      </x:c>
      <x:c r="O861" s="29" t="str">
        <x:v>65.23</x:v>
      </x:c>
      <x:c r="P861" s="18" t="str">
        <x:v>2026-07-30</x:v>
      </x:c>
      <x:c r="Q861" s="36" t="n">
        <x:v>46233</x:v>
      </x:c>
    </x:row>
    <x:row r="862">
      <x:c r="A862" s="36" t="str">
        <x:v>2026-07-30</x:v>
      </x:c>
      <x:c r="B862" s="18" t="str">
        <x:v>101437000_95091</x:v>
      </x:c>
      <x:c r="C862" s="18" t="str">
        <x:v>【沪村小电】金悦学府2号站</x:v>
      </x:c>
      <x:c r="D862" s="37" t="str">
        <x:v>2</x:v>
      </x:c>
      <x:c r="E862" s="37" t="str">
        <x:v>0</x:v>
      </x:c>
      <x:c r="F862" s="37" t="str">
        <x:v>32</x:v>
      </x:c>
      <x:c r="G862" s="37" t="str">
        <x:v>694.03</x:v>
      </x:c>
      <x:c r="H862" s="37" t="str">
        <x:v>0.00</x:v>
      </x:c>
      <x:c r="I862" s="37" t="str">
        <x:v>0.00</x:v>
      </x:c>
      <x:c r="J862" s="37" t="str">
        <x:v>694.03</x:v>
      </x:c>
      <x:c r="K862" s="37" t="str">
        <x:v>0.00</x:v>
      </x:c>
      <x:c r="L862" s="37" t="str">
        <x:v>1254</x:v>
      </x:c>
      <x:c r="M862" s="29" t="str">
        <x:v>548.26</x:v>
      </x:c>
      <x:c r="N862" s="29" t="str">
        <x:v>388.65</x:v>
      </x:c>
      <x:c r="O862" s="29" t="str">
        <x:v>159.61</x:v>
      </x:c>
      <x:c r="P862" s="18" t="str">
        <x:v>2026-07-30</x:v>
      </x:c>
      <x:c r="Q862" s="36" t="n">
        <x:v>46233</x:v>
      </x:c>
    </x:row>
    <x:row r="863">
      <x:c r="A863" s="36" t="str">
        <x:v>2026-07-30</x:v>
      </x:c>
      <x:c r="B863" s="18" t="str">
        <x:v>101437000_95941</x:v>
      </x:c>
      <x:c r="C863" s="18" t="str">
        <x:v>【沪村小电】惠诚雅苑</x:v>
      </x:c>
      <x:c r="D863" s="37" t="str">
        <x:v>4</x:v>
      </x:c>
      <x:c r="E863" s="37" t="str">
        <x:v>0</x:v>
      </x:c>
      <x:c r="F863" s="37" t="str">
        <x:v>53</x:v>
      </x:c>
      <x:c r="G863" s="37" t="str">
        <x:v>1449.72</x:v>
      </x:c>
      <x:c r="H863" s="37" t="str">
        <x:v>0.00</x:v>
      </x:c>
      <x:c r="I863" s="37" t="str">
        <x:v>647.27</x:v>
      </x:c>
      <x:c r="J863" s="37" t="str">
        <x:v>0.00</x:v>
      </x:c>
      <x:c r="K863" s="37" t="str">
        <x:v>802.45</x:v>
      </x:c>
      <x:c r="L863" s="37" t="str">
        <x:v>2412</x:v>
      </x:c>
      <x:c r="M863" s="29" t="str">
        <x:v>978.32</x:v>
      </x:c>
      <x:c r="N863" s="29" t="str">
        <x:v>630.63</x:v>
      </x:c>
      <x:c r="O863" s="29" t="str">
        <x:v>347.69</x:v>
      </x:c>
      <x:c r="P863" s="18" t="str">
        <x:v>2026-07-30</x:v>
      </x:c>
      <x:c r="Q863" s="36" t="n">
        <x:v>46233</x:v>
      </x:c>
    </x:row>
    <x:row r="864">
      <x:c r="A864" s="36" t="str">
        <x:v>2026-07-30</x:v>
      </x:c>
      <x:c r="B864" s="18" t="str">
        <x:v>101437000_96401</x:v>
      </x:c>
      <x:c r="C864" s="18" t="str">
        <x:v>【沪村小电】上海联怡枇杷乐园地面站</x:v>
      </x:c>
      <x:c r="D864" s="37" t="str">
        <x:v>2</x:v>
      </x:c>
      <x:c r="E864" s="37" t="str">
        <x:v>0</x:v>
      </x:c>
      <x:c r="F864" s="37" t="str">
        <x:v>6</x:v>
      </x:c>
      <x:c r="G864" s="37" t="str">
        <x:v>211.23</x:v>
      </x:c>
      <x:c r="H864" s="37" t="str">
        <x:v>0.00</x:v>
      </x:c>
      <x:c r="I864" s="37" t="str">
        <x:v>95.59</x:v>
      </x:c>
      <x:c r="J864" s="37" t="str">
        <x:v>0.00</x:v>
      </x:c>
      <x:c r="K864" s="37" t="str">
        <x:v>115.64</x:v>
      </x:c>
      <x:c r="L864" s="37" t="str">
        <x:v>281</x:v>
      </x:c>
      <x:c r="M864" s="29" t="str">
        <x:v>188.68</x:v>
      </x:c>
      <x:c r="N864" s="29" t="str">
        <x:v>139.23</x:v>
      </x:c>
      <x:c r="O864" s="29" t="str">
        <x:v>49.45</x:v>
      </x:c>
      <x:c r="P864" s="18" t="str">
        <x:v>2026-07-30</x:v>
      </x:c>
      <x:c r="Q864" s="36" t="n">
        <x:v>46233</x:v>
      </x:c>
    </x:row>
    <x:row r="865">
      <x:c r="A865" s="36" t="str">
        <x:v>2026-07-30</x:v>
      </x:c>
      <x:c r="B865" s="18" t="str">
        <x:v>101437000_96719</x:v>
      </x:c>
      <x:c r="C865" s="18" t="str">
        <x:v>【沪村小电】四达路220弄充电站</x:v>
      </x:c>
      <x:c r="D865" s="37" t="str">
        <x:v>2</x:v>
      </x:c>
      <x:c r="E865" s="37" t="str">
        <x:v>0</x:v>
      </x:c>
      <x:c r="F865" s="37" t="str">
        <x:v>2</x:v>
      </x:c>
      <x:c r="G865" s="37" t="str">
        <x:v>38.06</x:v>
      </x:c>
      <x:c r="H865" s="37" t="str">
        <x:v>0.00</x:v>
      </x:c>
      <x:c r="I865" s="37" t="str">
        <x:v>19.08</x:v>
      </x:c>
      <x:c r="J865" s="37" t="str">
        <x:v>0.00</x:v>
      </x:c>
      <x:c r="K865" s="37" t="str">
        <x:v>18.99</x:v>
      </x:c>
      <x:c r="L865" s="37" t="str">
        <x:v>66</x:v>
      </x:c>
      <x:c r="M865" s="29" t="str">
        <x:v>31.44</x:v>
      </x:c>
      <x:c r="N865" s="29" t="str">
        <x:v>20.58</x:v>
      </x:c>
      <x:c r="O865" s="29" t="str">
        <x:v>10.86</x:v>
      </x:c>
      <x:c r="P865" s="18" t="str">
        <x:v>2026-07-30</x:v>
      </x:c>
      <x:c r="Q865" s="36" t="n">
        <x:v>46233</x:v>
      </x:c>
    </x:row>
    <x:row r="866">
      <x:c r="A866" s="36" t="str">
        <x:v>2026-07-30</x:v>
      </x:c>
      <x:c r="B866" s="18" t="str">
        <x:v>101437000_97421</x:v>
      </x:c>
      <x:c r="C866" s="18" t="str">
        <x:v>【沪村小电】玉兰清苑二期（小区外）充电站</x:v>
      </x:c>
      <x:c r="D866" s="37" t="str">
        <x:v>4</x:v>
      </x:c>
      <x:c r="E866" s="37" t="str">
        <x:v>0</x:v>
      </x:c>
      <x:c r="F866" s="37" t="str">
        <x:v>55</x:v>
      </x:c>
      <x:c r="G866" s="37" t="str">
        <x:v>1148.93</x:v>
      </x:c>
      <x:c r="H866" s="37" t="str">
        <x:v>0.00</x:v>
      </x:c>
      <x:c r="I866" s="37" t="str">
        <x:v>899.96</x:v>
      </x:c>
      <x:c r="J866" s="37" t="str">
        <x:v>0.00</x:v>
      </x:c>
      <x:c r="K866" s="37" t="str">
        <x:v>248.97</x:v>
      </x:c>
      <x:c r="L866" s="37" t="str">
        <x:v>2149</x:v>
      </x:c>
      <x:c r="M866" s="29" t="str">
        <x:v>1044.21</x:v>
      </x:c>
      <x:c r="N866" s="29" t="str">
        <x:v>731.11</x:v>
      </x:c>
      <x:c r="O866" s="29" t="str">
        <x:v>313.10</x:v>
      </x:c>
      <x:c r="P866" s="18" t="str">
        <x:v>2026-07-30</x:v>
      </x:c>
      <x:c r="Q866" s="36" t="n">
        <x:v>46233</x:v>
      </x:c>
    </x:row>
    <x:row r="867">
      <x:c r="A867" s="36" t="str">
        <x:v>2026-07-30</x:v>
      </x:c>
      <x:c r="B867" s="18" t="str">
        <x:v>101437000_98013</x:v>
      </x:c>
      <x:c r="C867" s="18" t="str">
        <x:v>【沪村小电】恒大滨江华府充电站</x:v>
      </x:c>
      <x:c r="D867" s="37" t="str">
        <x:v>4</x:v>
      </x:c>
      <x:c r="E867" s="37" t="str">
        <x:v>0</x:v>
      </x:c>
      <x:c r="F867" s="37" t="str">
        <x:v>40</x:v>
      </x:c>
      <x:c r="G867" s="37" t="str">
        <x:v>997.46</x:v>
      </x:c>
      <x:c r="H867" s="37" t="str">
        <x:v>0.00</x:v>
      </x:c>
      <x:c r="I867" s="37" t="str">
        <x:v>832.86</x:v>
      </x:c>
      <x:c r="J867" s="37" t="str">
        <x:v>0.00</x:v>
      </x:c>
      <x:c r="K867" s="37" t="str">
        <x:v>164.60</x:v>
      </x:c>
      <x:c r="L867" s="37" t="str">
        <x:v>1575</x:v>
      </x:c>
      <x:c r="M867" s="29" t="str">
        <x:v>1051.22</x:v>
      </x:c>
      <x:c r="N867" s="29" t="str">
        <x:v>825.30</x:v>
      </x:c>
      <x:c r="O867" s="29" t="str">
        <x:v>225.92</x:v>
      </x:c>
      <x:c r="P867" s="18" t="str">
        <x:v>2026-07-30</x:v>
      </x:c>
      <x:c r="Q867" s="36" t="n">
        <x:v>46233</x:v>
      </x:c>
    </x:row>
    <x:row r="868">
      <x:c r="A868" s="36" t="str">
        <x:v>2026-07-30</x:v>
      </x:c>
      <x:c r="B868" s="18" t="str">
        <x:v>101437000_98863</x:v>
      </x:c>
      <x:c r="C868" s="18" t="str">
        <x:v>【沪村小电】欣菊苑充电站</x:v>
      </x:c>
      <x:c r="D868" s="37" t="str">
        <x:v>4</x:v>
      </x:c>
      <x:c r="E868" s="37" t="str">
        <x:v>0</x:v>
      </x:c>
      <x:c r="F868" s="37" t="str">
        <x:v>3</x:v>
      </x:c>
      <x:c r="G868" s="37" t="str">
        <x:v>74.82</x:v>
      </x:c>
      <x:c r="H868" s="37" t="str">
        <x:v>0.00</x:v>
      </x:c>
      <x:c r="I868" s="37" t="str">
        <x:v>48.48</x:v>
      </x:c>
      <x:c r="J868" s="37" t="str">
        <x:v>0.00</x:v>
      </x:c>
      <x:c r="K868" s="37" t="str">
        <x:v>26.33</x:v>
      </x:c>
      <x:c r="L868" s="37" t="str">
        <x:v>96</x:v>
      </x:c>
      <x:c r="M868" s="29" t="str">
        <x:v>63.47</x:v>
      </x:c>
      <x:c r="N868" s="29" t="str">
        <x:v>44.16</x:v>
      </x:c>
      <x:c r="O868" s="29" t="str">
        <x:v>19.31</x:v>
      </x:c>
      <x:c r="P868" s="18" t="str">
        <x:v>2026-07-30</x:v>
      </x:c>
      <x:c r="Q868" s="36" t="n">
        <x:v>46233</x:v>
      </x:c>
    </x:row>
    <x:row r="869">
      <x:c r="A869" s="36" t="str">
        <x:v>2026-07-30</x:v>
      </x:c>
      <x:c r="B869" s="18" t="str">
        <x:v>101437000_98865</x:v>
      </x:c>
      <x:c r="C869" s="18" t="str">
        <x:v>【沪村小电】欣松苑充电站</x:v>
      </x:c>
      <x:c r="D869" s="37" t="str">
        <x:v>4</x:v>
      </x:c>
      <x:c r="E869" s="37" t="str">
        <x:v>0</x:v>
      </x:c>
      <x:c r="F869" s="37" t="str">
        <x:v>24</x:v>
      </x:c>
      <x:c r="G869" s="37" t="str">
        <x:v>518.00</x:v>
      </x:c>
      <x:c r="H869" s="37" t="str">
        <x:v>0.00</x:v>
      </x:c>
      <x:c r="I869" s="37" t="str">
        <x:v>518.00</x:v>
      </x:c>
      <x:c r="J869" s="37" t="str">
        <x:v>0.00</x:v>
      </x:c>
      <x:c r="K869" s="37" t="str">
        <x:v>0.00</x:v>
      </x:c>
      <x:c r="L869" s="37" t="str">
        <x:v>836</x:v>
      </x:c>
      <x:c r="M869" s="29" t="str">
        <x:v>471.55</x:v>
      </x:c>
      <x:c r="N869" s="29" t="str">
        <x:v>367.78</x:v>
      </x:c>
      <x:c r="O869" s="29" t="str">
        <x:v>103.77</x:v>
      </x:c>
      <x:c r="P869" s="18" t="str">
        <x:v>2026-07-30</x:v>
      </x:c>
      <x:c r="Q869" s="36" t="n">
        <x:v>46233</x:v>
      </x:c>
    </x:row>
    <x:row r="870">
      <x:c r="A870" s="36" t="str">
        <x:v>2026-07-30</x:v>
      </x:c>
      <x:c r="B870" s="18" t="str">
        <x:v>101437000_98867</x:v>
      </x:c>
      <x:c r="C870" s="18" t="str">
        <x:v>【沪村小电】欣荷苑充电站</x:v>
      </x:c>
      <x:c r="D870" s="37" t="str">
        <x:v>4</x:v>
      </x:c>
      <x:c r="E870" s="37" t="str">
        <x:v>0</x:v>
      </x:c>
      <x:c r="F870" s="37" t="str">
        <x:v>5</x:v>
      </x:c>
      <x:c r="G870" s="37" t="str">
        <x:v>151.64</x:v>
      </x:c>
      <x:c r="H870" s="37" t="str">
        <x:v>0.00</x:v>
      </x:c>
      <x:c r="I870" s="37" t="str">
        <x:v>122.47</x:v>
      </x:c>
      <x:c r="J870" s="37" t="str">
        <x:v>0.00</x:v>
      </x:c>
      <x:c r="K870" s="37" t="str">
        <x:v>29.16</x:v>
      </x:c>
      <x:c r="L870" s="37" t="str">
        <x:v>193</x:v>
      </x:c>
      <x:c r="M870" s="29" t="str">
        <x:v>148.65</x:v>
      </x:c>
      <x:c r="N870" s="29" t="str">
        <x:v>97.75</x:v>
      </x:c>
      <x:c r="O870" s="29" t="str">
        <x:v>50.90</x:v>
      </x:c>
      <x:c r="P870" s="18" t="str">
        <x:v>2026-07-30</x:v>
      </x:c>
      <x:c r="Q870" s="36" t="n">
        <x:v>46233</x:v>
      </x:c>
    </x:row>
    <x:row r="871">
      <x:c r="A871" s="36" t="str">
        <x:v>2026-07-30</x:v>
      </x:c>
      <x:c r="B871" s="18" t="str">
        <x:v>101437000_99885</x:v>
      </x:c>
      <x:c r="C871" s="18" t="str">
        <x:v>【沪村小电】汇丰馨苑充电站</x:v>
      </x:c>
      <x:c r="D871" s="37" t="str">
        <x:v>4</x:v>
      </x:c>
      <x:c r="E871" s="37" t="str">
        <x:v>0</x:v>
      </x:c>
      <x:c r="F871" s="37" t="str">
        <x:v>17</x:v>
      </x:c>
      <x:c r="G871" s="37" t="str">
        <x:v>372.71</x:v>
      </x:c>
      <x:c r="H871" s="37" t="str">
        <x:v>0.00</x:v>
      </x:c>
      <x:c r="I871" s="37" t="str">
        <x:v>314.68</x:v>
      </x:c>
      <x:c r="J871" s="37" t="str">
        <x:v>0.00</x:v>
      </x:c>
      <x:c r="K871" s="37" t="str">
        <x:v>58.03</x:v>
      </x:c>
      <x:c r="L871" s="37" t="str">
        <x:v>558</x:v>
      </x:c>
      <x:c r="M871" s="29" t="str">
        <x:v>367.13</x:v>
      </x:c>
      <x:c r="N871" s="29" t="str">
        <x:v>244.92</x:v>
      </x:c>
      <x:c r="O871" s="29" t="str">
        <x:v>122.21</x:v>
      </x:c>
      <x:c r="P871" s="18" t="str">
        <x:v>2026-07-30</x:v>
      </x:c>
      <x:c r="Q871" s="36" t="n">
        <x:v>46233</x:v>
      </x:c>
    </x:row>
    <x:row r="872">
      <x:c r="A872" s="36" t="str">
        <x:v>2026-07-30</x:v>
      </x:c>
      <x:c r="B872" s="18" t="str">
        <x:v>101437000_99887</x:v>
      </x:c>
      <x:c r="C872" s="18" t="str">
        <x:v>【沪村小电】新南村河南小区充电站</x:v>
      </x:c>
      <x:c r="D872" s="37" t="str">
        <x:v>2</x:v>
      </x:c>
      <x:c r="E872" s="37" t="str">
        <x:v>0</x:v>
      </x:c>
      <x:c r="F872" s="37" t="str">
        <x:v>11</x:v>
      </x:c>
      <x:c r="G872" s="37" t="str">
        <x:v>324.23</x:v>
      </x:c>
      <x:c r="H872" s="37" t="str">
        <x:v>0.00</x:v>
      </x:c>
      <x:c r="I872" s="37" t="str">
        <x:v>128.91</x:v>
      </x:c>
      <x:c r="J872" s="37" t="str">
        <x:v>0.00</x:v>
      </x:c>
      <x:c r="K872" s="37" t="str">
        <x:v>195.32</x:v>
      </x:c>
      <x:c r="L872" s="37" t="str">
        <x:v>485</x:v>
      </x:c>
      <x:c r="M872" s="29" t="str">
        <x:v>224.61</x:v>
      </x:c>
      <x:c r="N872" s="29" t="str">
        <x:v>163.81</x:v>
      </x:c>
      <x:c r="O872" s="29" t="str">
        <x:v>60.80</x:v>
      </x:c>
      <x:c r="P872" s="18" t="str">
        <x:v>2026-07-30</x:v>
      </x:c>
      <x:c r="Q872" s="36" t="n">
        <x:v>46233</x:v>
      </x:c>
    </x:row>
    <x:row r="873">
      <x:c r="A873" s="36" t="str">
        <x:v>2026-07-30</x:v>
      </x:c>
      <x:c r="B873" s="18" t="str">
        <x:v>101437000_99889</x:v>
      </x:c>
      <x:c r="C873" s="18" t="str">
        <x:v>【沪村小电】漕泾郊野公园</x:v>
      </x:c>
      <x:c r="D873" s="37" t="str">
        <x:v>2</x:v>
      </x:c>
      <x:c r="E873" s="37" t="str">
        <x:v>0</x:v>
      </x:c>
      <x:c r="F873" s="37" t="str">
        <x:v>5</x:v>
      </x:c>
      <x:c r="G873" s="37" t="str">
        <x:v>141.42</x:v>
      </x:c>
      <x:c r="H873" s="37" t="str">
        <x:v>0.00</x:v>
      </x:c>
      <x:c r="I873" s="37" t="str">
        <x:v>141.42</x:v>
      </x:c>
      <x:c r="J873" s="37" t="str">
        <x:v>0.00</x:v>
      </x:c>
      <x:c r="K873" s="37" t="str">
        <x:v>0.00</x:v>
      </x:c>
      <x:c r="L873" s="37" t="str">
        <x:v>188</x:v>
      </x:c>
      <x:c r="M873" s="29" t="str">
        <x:v>178.96</x:v>
      </x:c>
      <x:c r="N873" s="29" t="str">
        <x:v>107.47</x:v>
      </x:c>
      <x:c r="O873" s="29" t="str">
        <x:v>71.49</x:v>
      </x:c>
      <x:c r="P873" s="18" t="str">
        <x:v>2026-07-30</x:v>
      </x:c>
      <x:c r="Q873" s="36" t="n">
        <x:v>46233</x:v>
      </x:c>
    </x:row>
    <x:row r="874">
      <x:c r="A874" s="36" t="str">
        <x:v>2026-07-30</x:v>
      </x:c>
      <x:c r="B874" s="18" t="str">
        <x:v>101437000_99891</x:v>
      </x:c>
      <x:c r="C874" s="18" t="str">
        <x:v>【沪村小电】水韵紫城充电站</x:v>
      </x:c>
      <x:c r="D874" s="37" t="str">
        <x:v>4</x:v>
      </x:c>
      <x:c r="E874" s="37" t="str">
        <x:v>0</x:v>
      </x:c>
      <x:c r="F874" s="37" t="str">
        <x:v>39</x:v>
      </x:c>
      <x:c r="G874" s="37" t="str">
        <x:v>737.88</x:v>
      </x:c>
      <x:c r="H874" s="37" t="str">
        <x:v>0.00</x:v>
      </x:c>
      <x:c r="I874" s="37" t="str">
        <x:v>507.71</x:v>
      </x:c>
      <x:c r="J874" s="37" t="str">
        <x:v>0.00</x:v>
      </x:c>
      <x:c r="K874" s="37" t="str">
        <x:v>230.17</x:v>
      </x:c>
      <x:c r="L874" s="37" t="str">
        <x:v>1148</x:v>
      </x:c>
      <x:c r="M874" s="29" t="str">
        <x:v>679.95</x:v>
      </x:c>
      <x:c r="N874" s="29" t="str">
        <x:v>445.63</x:v>
      </x:c>
      <x:c r="O874" s="29" t="str">
        <x:v>234.32</x:v>
      </x:c>
      <x:c r="P874" s="18" t="str">
        <x:v>2026-07-30</x:v>
      </x:c>
      <x:c r="Q874" s="36" t="n">
        <x:v>46233</x:v>
      </x:c>
    </x:row>
    <x:row r="875">
      <x:c r="A875" s="36" t="str">
        <x:v>2026-07-29</x:v>
      </x:c>
      <x:c r="B875" s="18" t="str">
        <x:v>101437000_101531</x:v>
      </x:c>
      <x:c r="C875" s="18" t="str">
        <x:v>【沪村小电】汇中苑充电站</x:v>
      </x:c>
      <x:c r="D875" s="37" t="str">
        <x:v>2</x:v>
      </x:c>
      <x:c r="E875" s="37" t="str">
        <x:v>0</x:v>
      </x:c>
      <x:c r="F875" s="37" t="str">
        <x:v>16</x:v>
      </x:c>
      <x:c r="G875" s="37" t="str">
        <x:v>408.90</x:v>
      </x:c>
      <x:c r="H875" s="37" t="str">
        <x:v>0.00</x:v>
      </x:c>
      <x:c r="I875" s="37" t="str">
        <x:v>30.27</x:v>
      </x:c>
      <x:c r="J875" s="37" t="str">
        <x:v>312.65</x:v>
      </x:c>
      <x:c r="K875" s="37" t="str">
        <x:v>65.98</x:v>
      </x:c>
      <x:c r="L875" s="37" t="str">
        <x:v>663</x:v>
      </x:c>
      <x:c r="M875" s="29" t="str">
        <x:v>371.42</x:v>
      </x:c>
      <x:c r="N875" s="29" t="str">
        <x:v>277.65</x:v>
      </x:c>
      <x:c r="O875" s="29" t="str">
        <x:v>93.77</x:v>
      </x:c>
      <x:c r="P875" s="18" t="str">
        <x:v>2026-07-29</x:v>
      </x:c>
      <x:c r="Q875" s="36" t="n">
        <x:v>46232</x:v>
      </x:c>
    </x:row>
    <x:row r="876">
      <x:c r="A876" s="36" t="str">
        <x:v>2026-07-29</x:v>
      </x:c>
      <x:c r="B876" s="18" t="str">
        <x:v>101437000_102047</x:v>
      </x:c>
      <x:c r="C876" s="18" t="str">
        <x:v>【沪村小电】后浜小区9弄小区南面停车场充电站</x:v>
      </x:c>
      <x:c r="D876" s="37" t="str">
        <x:v>8</x:v>
      </x:c>
      <x:c r="E876" s="37" t="str">
        <x:v>0</x:v>
      </x:c>
      <x:c r="F876" s="37" t="str">
        <x:v>64</x:v>
      </x:c>
      <x:c r="G876" s="37" t="str">
        <x:v>1147.89</x:v>
      </x:c>
      <x:c r="H876" s="37" t="str">
        <x:v>0.00</x:v>
      </x:c>
      <x:c r="I876" s="37" t="str">
        <x:v>667.56</x:v>
      </x:c>
      <x:c r="J876" s="37" t="str">
        <x:v>0.00</x:v>
      </x:c>
      <x:c r="K876" s="37" t="str">
        <x:v>480.33</x:v>
      </x:c>
      <x:c r="L876" s="37" t="str">
        <x:v>1669</x:v>
      </x:c>
      <x:c r="M876" s="29" t="str">
        <x:v>1113.74</x:v>
      </x:c>
      <x:c r="N876" s="29" t="str">
        <x:v>699.74</x:v>
      </x:c>
      <x:c r="O876" s="29" t="str">
        <x:v>414.00</x:v>
      </x:c>
      <x:c r="P876" s="18" t="str">
        <x:v>2026-07-29</x:v>
      </x:c>
      <x:c r="Q876" s="36" t="n">
        <x:v>46232</x:v>
      </x:c>
    </x:row>
    <x:row r="877">
      <x:c r="A877" s="36" t="str">
        <x:v>2026-07-29</x:v>
      </x:c>
      <x:c r="B877" s="18" t="str">
        <x:v>101437000_103503</x:v>
      </x:c>
      <x:c r="C877" s="18" t="str">
        <x:v>【沪村小电】阳光城新界充电站</x:v>
      </x:c>
      <x:c r="D877" s="37" t="str">
        <x:v>4</x:v>
      </x:c>
      <x:c r="E877" s="37" t="str">
        <x:v>0</x:v>
      </x:c>
      <x:c r="F877" s="37" t="str">
        <x:v>17</x:v>
      </x:c>
      <x:c r="G877" s="37" t="str">
        <x:v>407.02</x:v>
      </x:c>
      <x:c r="H877" s="37" t="str">
        <x:v>0.00</x:v>
      </x:c>
      <x:c r="I877" s="37" t="str">
        <x:v>330.63</x:v>
      </x:c>
      <x:c r="J877" s="37" t="str">
        <x:v>0.00</x:v>
      </x:c>
      <x:c r="K877" s="37" t="str">
        <x:v>76.39</x:v>
      </x:c>
      <x:c r="L877" s="37" t="str">
        <x:v>544</x:v>
      </x:c>
      <x:c r="M877" s="29" t="str">
        <x:v>444.63</x:v>
      </x:c>
      <x:c r="N877" s="29" t="str">
        <x:v>288.44</x:v>
      </x:c>
      <x:c r="O877" s="29" t="str">
        <x:v>156.19</x:v>
      </x:c>
      <x:c r="P877" s="18" t="str">
        <x:v>2026-07-29</x:v>
      </x:c>
      <x:c r="Q877" s="36" t="n">
        <x:v>46232</x:v>
      </x:c>
    </x:row>
    <x:row r="878">
      <x:c r="A878" s="36" t="str">
        <x:v>2026-07-29</x:v>
      </x:c>
      <x:c r="B878" s="18" t="str">
        <x:v>101437000_41561</x:v>
      </x:c>
      <x:c r="C878" s="18" t="str">
        <x:v>【沪村小电】张施小区大门处快充站</x:v>
      </x:c>
      <x:c r="D878" s="37" t="str">
        <x:v>2</x:v>
      </x:c>
      <x:c r="E878" s="37" t="str">
        <x:v>0</x:v>
      </x:c>
      <x:c r="F878" s="37" t="str">
        <x:v>43</x:v>
      </x:c>
      <x:c r="G878" s="37" t="str">
        <x:v>1163.14</x:v>
      </x:c>
      <x:c r="H878" s="37" t="str">
        <x:v>0.00</x:v>
      </x:c>
      <x:c r="I878" s="37" t="str">
        <x:v>466.84</x:v>
      </x:c>
      <x:c r="J878" s="37" t="str">
        <x:v>0.00</x:v>
      </x:c>
      <x:c r="K878" s="37" t="str">
        <x:v>696.30</x:v>
      </x:c>
      <x:c r="L878" s="37" t="str">
        <x:v>2107</x:v>
      </x:c>
      <x:c r="M878" s="29" t="str">
        <x:v>857.02</x:v>
      </x:c>
      <x:c r="N878" s="29" t="str">
        <x:v>589.08</x:v>
      </x:c>
      <x:c r="O878" s="29" t="str">
        <x:v>267.94</x:v>
      </x:c>
      <x:c r="P878" s="18" t="str">
        <x:v>2026-07-29</x:v>
      </x:c>
      <x:c r="Q878" s="36" t="n">
        <x:v>46232</x:v>
      </x:c>
    </x:row>
    <x:row r="879">
      <x:c r="A879" s="36" t="str">
        <x:v>2026-07-29</x:v>
      </x:c>
      <x:c r="B879" s="18" t="str">
        <x:v>101437000_41563</x:v>
      </x:c>
      <x:c r="C879" s="18" t="str">
        <x:v>【沪村小电】同心村快充站</x:v>
      </x:c>
      <x:c r="D879" s="37" t="str">
        <x:v>4</x:v>
      </x:c>
      <x:c r="E879" s="37" t="str">
        <x:v>0</x:v>
      </x:c>
      <x:c r="F879" s="37" t="str">
        <x:v>55</x:v>
      </x:c>
      <x:c r="G879" s="37" t="str">
        <x:v>1201.62</x:v>
      </x:c>
      <x:c r="H879" s="37" t="str">
        <x:v>0.00</x:v>
      </x:c>
      <x:c r="I879" s="37" t="str">
        <x:v>809.17</x:v>
      </x:c>
      <x:c r="J879" s="37" t="str">
        <x:v>0.00</x:v>
      </x:c>
      <x:c r="K879" s="37" t="str">
        <x:v>392.46</x:v>
      </x:c>
      <x:c r="L879" s="37" t="str">
        <x:v>2186</x:v>
      </x:c>
      <x:c r="M879" s="29" t="str">
        <x:v>1095.45</x:v>
      </x:c>
      <x:c r="N879" s="29" t="str">
        <x:v>719.70</x:v>
      </x:c>
      <x:c r="O879" s="29" t="str">
        <x:v>375.75</x:v>
      </x:c>
      <x:c r="P879" s="18" t="str">
        <x:v>2026-07-29</x:v>
      </x:c>
      <x:c r="Q879" s="36" t="n">
        <x:v>46232</x:v>
      </x:c>
    </x:row>
    <x:row r="880">
      <x:c r="A880" s="36" t="str">
        <x:v>2026-07-29</x:v>
      </x:c>
      <x:c r="B880" s="18" t="str">
        <x:v>101437000_69629</x:v>
      </x:c>
      <x:c r="C880" s="18" t="str">
        <x:v>【沪村小电】骏丰玲珑坊西苑充电站</x:v>
      </x:c>
      <x:c r="D880" s="37" t="str">
        <x:v>2</x:v>
      </x:c>
      <x:c r="E880" s="37" t="str">
        <x:v>0</x:v>
      </x:c>
      <x:c r="F880" s="37" t="str">
        <x:v>55</x:v>
      </x:c>
      <x:c r="G880" s="37" t="str">
        <x:v>1186.67</x:v>
      </x:c>
      <x:c r="H880" s="37" t="str">
        <x:v>0.00</x:v>
      </x:c>
      <x:c r="I880" s="37" t="str">
        <x:v>722.45</x:v>
      </x:c>
      <x:c r="J880" s="37" t="str">
        <x:v>0.00</x:v>
      </x:c>
      <x:c r="K880" s="37" t="str">
        <x:v>464.23</x:v>
      </x:c>
      <x:c r="L880" s="37" t="str">
        <x:v>2113</x:v>
      </x:c>
      <x:c r="M880" s="29" t="str">
        <x:v>982.35</x:v>
      </x:c>
      <x:c r="N880" s="29" t="str">
        <x:v>684.66</x:v>
      </x:c>
      <x:c r="O880" s="29" t="str">
        <x:v>297.69</x:v>
      </x:c>
      <x:c r="P880" s="18" t="str">
        <x:v>2026-07-29</x:v>
      </x:c>
      <x:c r="Q880" s="36" t="n">
        <x:v>46232</x:v>
      </x:c>
    </x:row>
    <x:row r="881">
      <x:c r="A881" s="36" t="str">
        <x:v>2026-07-29</x:v>
      </x:c>
      <x:c r="B881" s="18" t="str">
        <x:v>101437000_70547</x:v>
      </x:c>
      <x:c r="C881" s="18" t="str">
        <x:v>【沪村小电】农建村初心馆党群服务中心充电站</x:v>
      </x:c>
      <x:c r="D881" s="37" t="str">
        <x:v>4</x:v>
      </x:c>
      <x:c r="E881" s="37" t="str">
        <x:v>0</x:v>
      </x:c>
      <x:c r="F881" s="37" t="str">
        <x:v>36</x:v>
      </x:c>
      <x:c r="G881" s="37" t="str">
        <x:v>843.54</x:v>
      </x:c>
      <x:c r="H881" s="37" t="str">
        <x:v>0.00</x:v>
      </x:c>
      <x:c r="I881" s="37" t="str">
        <x:v>449.33</x:v>
      </x:c>
      <x:c r="J881" s="37" t="str">
        <x:v>0.00</x:v>
      </x:c>
      <x:c r="K881" s="37" t="str">
        <x:v>394.21</x:v>
      </x:c>
      <x:c r="L881" s="37" t="str">
        <x:v>1544</x:v>
      </x:c>
      <x:c r="M881" s="29" t="str">
        <x:v>696.65</x:v>
      </x:c>
      <x:c r="N881" s="29" t="str">
        <x:v>464.92</x:v>
      </x:c>
      <x:c r="O881" s="29" t="str">
        <x:v>231.73</x:v>
      </x:c>
      <x:c r="P881" s="18" t="str">
        <x:v>2026-07-29</x:v>
      </x:c>
      <x:c r="Q881" s="36" t="n">
        <x:v>46232</x:v>
      </x:c>
    </x:row>
    <x:row r="882">
      <x:c r="A882" s="36" t="str">
        <x:v>2026-07-29</x:v>
      </x:c>
      <x:c r="B882" s="18" t="str">
        <x:v>101437000_70549</x:v>
      </x:c>
      <x:c r="C882" s="18" t="str">
        <x:v>【沪村小电】学府路充电站</x:v>
      </x:c>
      <x:c r="D882" s="37" t="str">
        <x:v>2</x:v>
      </x:c>
      <x:c r="E882" s="37" t="str">
        <x:v>0</x:v>
      </x:c>
      <x:c r="F882" s="37" t="str">
        <x:v>6</x:v>
      </x:c>
      <x:c r="G882" s="37" t="str">
        <x:v>156.58</x:v>
      </x:c>
      <x:c r="H882" s="37" t="str">
        <x:v>0.00</x:v>
      </x:c>
      <x:c r="I882" s="37" t="str">
        <x:v>109.58</x:v>
      </x:c>
      <x:c r="J882" s="37" t="str">
        <x:v>0.00</x:v>
      </x:c>
      <x:c r="K882" s="37" t="str">
        <x:v>47.00</x:v>
      </x:c>
      <x:c r="L882" s="37" t="str">
        <x:v>244</x:v>
      </x:c>
      <x:c r="M882" s="29" t="str">
        <x:v>159.74</x:v>
      </x:c>
      <x:c r="N882" s="29" t="str">
        <x:v>95.18</x:v>
      </x:c>
      <x:c r="O882" s="29" t="str">
        <x:v>64.56</x:v>
      </x:c>
      <x:c r="P882" s="18" t="str">
        <x:v>2026-07-29</x:v>
      </x:c>
      <x:c r="Q882" s="36" t="n">
        <x:v>46232</x:v>
      </x:c>
    </x:row>
    <x:row r="883">
      <x:c r="A883" s="36" t="str">
        <x:v>2026-07-29</x:v>
      </x:c>
      <x:c r="B883" s="18" t="str">
        <x:v>101437000_71059</x:v>
      </x:c>
      <x:c r="C883" s="18" t="str">
        <x:v>【沪村小电】宝乐汇商业广场站</x:v>
      </x:c>
      <x:c r="D883" s="37" t="str">
        <x:v>4</x:v>
      </x:c>
      <x:c r="E883" s="37" t="str">
        <x:v>0</x:v>
      </x:c>
      <x:c r="F883" s="37" t="str">
        <x:v>13</x:v>
      </x:c>
      <x:c r="G883" s="37" t="str">
        <x:v>275.78</x:v>
      </x:c>
      <x:c r="H883" s="37" t="str">
        <x:v>0.00</x:v>
      </x:c>
      <x:c r="I883" s="37" t="str">
        <x:v>144.26</x:v>
      </x:c>
      <x:c r="J883" s="37" t="str">
        <x:v>0.00</x:v>
      </x:c>
      <x:c r="K883" s="37" t="str">
        <x:v>131.52</x:v>
      </x:c>
      <x:c r="L883" s="37" t="str">
        <x:v>507</x:v>
      </x:c>
      <x:c r="M883" s="29" t="str">
        <x:v>243.26</x:v>
      </x:c>
      <x:c r="N883" s="29" t="str">
        <x:v>190.33</x:v>
      </x:c>
      <x:c r="O883" s="29" t="str">
        <x:v>52.93</x:v>
      </x:c>
      <x:c r="P883" s="18" t="str">
        <x:v>2026-07-29</x:v>
      </x:c>
      <x:c r="Q883" s="36" t="n">
        <x:v>46232</x:v>
      </x:c>
    </x:row>
    <x:row r="884">
      <x:c r="A884" s="36" t="str">
        <x:v>2026-07-29</x:v>
      </x:c>
      <x:c r="B884" s="18" t="str">
        <x:v>101437000_72541</x:v>
      </x:c>
      <x:c r="C884" s="18" t="str">
        <x:v>【沪村小电】九干路1174弄充电站</x:v>
      </x:c>
      <x:c r="D884" s="37" t="str">
        <x:v>2</x:v>
      </x:c>
      <x:c r="E884" s="37" t="str">
        <x:v>0</x:v>
      </x:c>
      <x:c r="F884" s="37" t="str">
        <x:v>47</x:v>
      </x:c>
      <x:c r="G884" s="37" t="str">
        <x:v>1170.61</x:v>
      </x:c>
      <x:c r="H884" s="37" t="str">
        <x:v>0.00</x:v>
      </x:c>
      <x:c r="I884" s="37" t="str">
        <x:v>783.69</x:v>
      </x:c>
      <x:c r="J884" s="37" t="str">
        <x:v>0.00</x:v>
      </x:c>
      <x:c r="K884" s="37" t="str">
        <x:v>386.92</x:v>
      </x:c>
      <x:c r="L884" s="37" t="str">
        <x:v>1836</x:v>
      </x:c>
      <x:c r="M884" s="29" t="str">
        <x:v>1036.99</x:v>
      </x:c>
      <x:c r="N884" s="29" t="str">
        <x:v>699.56</x:v>
      </x:c>
      <x:c r="O884" s="29" t="str">
        <x:v>337.43</x:v>
      </x:c>
      <x:c r="P884" s="18" t="str">
        <x:v>2026-07-29</x:v>
      </x:c>
      <x:c r="Q884" s="36" t="n">
        <x:v>46232</x:v>
      </x:c>
    </x:row>
    <x:row r="885">
      <x:c r="A885" s="36" t="str">
        <x:v>2026-07-29</x:v>
      </x:c>
      <x:c r="B885" s="18" t="str">
        <x:v>101437000_72543</x:v>
      </x:c>
      <x:c r="C885" s="18" t="str">
        <x:v>【沪村小电】叶家中心村小区充电站</x:v>
      </x:c>
      <x:c r="D885" s="37" t="str">
        <x:v>2</x:v>
      </x:c>
      <x:c r="E885" s="37" t="str">
        <x:v>0</x:v>
      </x:c>
      <x:c r="F885" s="37" t="str">
        <x:v>46</x:v>
      </x:c>
      <x:c r="G885" s="37" t="str">
        <x:v>1066.94</x:v>
      </x:c>
      <x:c r="H885" s="37" t="str">
        <x:v>0.00</x:v>
      </x:c>
      <x:c r="I885" s="37" t="str">
        <x:v>603.81</x:v>
      </x:c>
      <x:c r="J885" s="37" t="str">
        <x:v>0.00</x:v>
      </x:c>
      <x:c r="K885" s="37" t="str">
        <x:v>463.13</x:v>
      </x:c>
      <x:c r="L885" s="37" t="str">
        <x:v>2018</x:v>
      </x:c>
      <x:c r="M885" s="29" t="str">
        <x:v>859.69</x:v>
      </x:c>
      <x:c r="N885" s="29" t="str">
        <x:v>600.05</x:v>
      </x:c>
      <x:c r="O885" s="29" t="str">
        <x:v>259.64</x:v>
      </x:c>
      <x:c r="P885" s="18" t="str">
        <x:v>2026-07-29</x:v>
      </x:c>
      <x:c r="Q885" s="36" t="n">
        <x:v>46232</x:v>
      </x:c>
    </x:row>
    <x:row r="886">
      <x:c r="A886" s="36" t="str">
        <x:v>2026-07-29</x:v>
      </x:c>
      <x:c r="B886" s="18" t="str">
        <x:v>101437000_72937</x:v>
      </x:c>
      <x:c r="C886" s="18" t="str">
        <x:v>【沪村小电】佘北家园茸腾苑充电站</x:v>
      </x:c>
      <x:c r="D886" s="37" t="str">
        <x:v>4</x:v>
      </x:c>
      <x:c r="E886" s="37" t="str">
        <x:v>0</x:v>
      </x:c>
      <x:c r="F886" s="37" t="str">
        <x:v>21</x:v>
      </x:c>
      <x:c r="G886" s="37" t="str">
        <x:v>413.28</x:v>
      </x:c>
      <x:c r="H886" s="37" t="str">
        <x:v>0.00</x:v>
      </x:c>
      <x:c r="I886" s="37" t="str">
        <x:v>413.28</x:v>
      </x:c>
      <x:c r="J886" s="37" t="str">
        <x:v>0.00</x:v>
      </x:c>
      <x:c r="K886" s="37" t="str">
        <x:v>0.00</x:v>
      </x:c>
      <x:c r="L886" s="37" t="str">
        <x:v>726</x:v>
      </x:c>
      <x:c r="M886" s="29" t="str">
        <x:v>425.95</x:v>
      </x:c>
      <x:c r="N886" s="29" t="str">
        <x:v>293.44</x:v>
      </x:c>
      <x:c r="O886" s="29" t="str">
        <x:v>132.51</x:v>
      </x:c>
      <x:c r="P886" s="18" t="str">
        <x:v>2026-07-29</x:v>
      </x:c>
      <x:c r="Q886" s="36" t="n">
        <x:v>46232</x:v>
      </x:c>
    </x:row>
    <x:row r="887">
      <x:c r="A887" s="36" t="str">
        <x:v>2026-07-29</x:v>
      </x:c>
      <x:c r="B887" s="18" t="str">
        <x:v>101437000_74223</x:v>
      </x:c>
      <x:c r="C887" s="18" t="str">
        <x:v>【沪村小电】中兴村委会充电站</x:v>
      </x:c>
      <x:c r="D887" s="37" t="str">
        <x:v>2</x:v>
      </x:c>
      <x:c r="E887" s="37" t="str">
        <x:v>0</x:v>
      </x:c>
      <x:c r="F887" s="37" t="str">
        <x:v>21</x:v>
      </x:c>
      <x:c r="G887" s="37" t="str">
        <x:v>407.32</x:v>
      </x:c>
      <x:c r="H887" s="37" t="str">
        <x:v>0.00</x:v>
      </x:c>
      <x:c r="I887" s="37" t="str">
        <x:v>325.19</x:v>
      </x:c>
      <x:c r="J887" s="37" t="str">
        <x:v>0.00</x:v>
      </x:c>
      <x:c r="K887" s="37" t="str">
        <x:v>82.13</x:v>
      </x:c>
      <x:c r="L887" s="37" t="str">
        <x:v>654</x:v>
      </x:c>
      <x:c r="M887" s="29" t="str">
        <x:v>389.01</x:v>
      </x:c>
      <x:c r="N887" s="29" t="str">
        <x:v>261.29</x:v>
      </x:c>
      <x:c r="O887" s="29" t="str">
        <x:v>127.72</x:v>
      </x:c>
      <x:c r="P887" s="18" t="str">
        <x:v>2026-07-29</x:v>
      </x:c>
      <x:c r="Q887" s="36" t="n">
        <x:v>46232</x:v>
      </x:c>
    </x:row>
    <x:row r="888">
      <x:c r="A888" s="36" t="str">
        <x:v>2026-07-29</x:v>
      </x:c>
      <x:c r="B888" s="18" t="str">
        <x:v>101437000_74801</x:v>
      </x:c>
      <x:c r="C888" s="18" t="str">
        <x:v>【沪村小电】申良花园充电站</x:v>
      </x:c>
      <x:c r="D888" s="37" t="str">
        <x:v>4</x:v>
      </x:c>
      <x:c r="E888" s="37" t="str">
        <x:v>0</x:v>
      </x:c>
      <x:c r="F888" s="37" t="str">
        <x:v>5</x:v>
      </x:c>
      <x:c r="G888" s="37" t="str">
        <x:v>138.07</x:v>
      </x:c>
      <x:c r="H888" s="37" t="str">
        <x:v>0.00</x:v>
      </x:c>
      <x:c r="I888" s="37" t="str">
        <x:v>91.45</x:v>
      </x:c>
      <x:c r="J888" s="37" t="str">
        <x:v>0.00</x:v>
      </x:c>
      <x:c r="K888" s="37" t="str">
        <x:v>46.62</x:v>
      </x:c>
      <x:c r="L888" s="37" t="str">
        <x:v>179</x:v>
      </x:c>
      <x:c r="M888" s="29" t="str">
        <x:v>127.39</x:v>
      </x:c>
      <x:c r="N888" s="29" t="str">
        <x:v>82.18</x:v>
      </x:c>
      <x:c r="O888" s="29" t="str">
        <x:v>45.21</x:v>
      </x:c>
      <x:c r="P888" s="18" t="str">
        <x:v>2026-07-29</x:v>
      </x:c>
      <x:c r="Q888" s="36" t="n">
        <x:v>46232</x:v>
      </x:c>
    </x:row>
    <x:row r="889">
      <x:c r="A889" s="36" t="str">
        <x:v>2026-07-29</x:v>
      </x:c>
      <x:c r="B889" s="18" t="str">
        <x:v>101437000_74931</x:v>
      </x:c>
      <x:c r="C889" s="18" t="str">
        <x:v>【沪村小电】枫雅南居充电站</x:v>
      </x:c>
      <x:c r="D889" s="37" t="str">
        <x:v>2</x:v>
      </x:c>
      <x:c r="E889" s="37" t="str">
        <x:v>0</x:v>
      </x:c>
      <x:c r="F889" s="37" t="str">
        <x:v>68</x:v>
      </x:c>
      <x:c r="G889" s="37" t="str">
        <x:v>2002.24</x:v>
      </x:c>
      <x:c r="H889" s="37" t="str">
        <x:v>0.00</x:v>
      </x:c>
      <x:c r="I889" s="37" t="str">
        <x:v>974.04</x:v>
      </x:c>
      <x:c r="J889" s="37" t="str">
        <x:v>0.00</x:v>
      </x:c>
      <x:c r="K889" s="37" t="str">
        <x:v>1028.20</x:v>
      </x:c>
      <x:c r="L889" s="37" t="str">
        <x:v>3249</x:v>
      </x:c>
      <x:c r="M889" s="29" t="str">
        <x:v>1364.08</x:v>
      </x:c>
      <x:c r="N889" s="29" t="str">
        <x:v>893.46</x:v>
      </x:c>
      <x:c r="O889" s="29" t="str">
        <x:v>470.62</x:v>
      </x:c>
      <x:c r="P889" s="18" t="str">
        <x:v>2026-07-29</x:v>
      </x:c>
      <x:c r="Q889" s="36" t="n">
        <x:v>46232</x:v>
      </x:c>
    </x:row>
    <x:row r="890">
      <x:c r="A890" s="36" t="str">
        <x:v>2026-07-29</x:v>
      </x:c>
      <x:c r="B890" s="18" t="str">
        <x:v>101437000_75901</x:v>
      </x:c>
      <x:c r="C890" s="18" t="str">
        <x:v>【沪村小电】金悦学府</x:v>
      </x:c>
      <x:c r="D890" s="37" t="str">
        <x:v>2</x:v>
      </x:c>
      <x:c r="E890" s="37" t="str">
        <x:v>0</x:v>
      </x:c>
      <x:c r="F890" s="37" t="str">
        <x:v>46</x:v>
      </x:c>
      <x:c r="G890" s="37" t="str">
        <x:v>1373.05</x:v>
      </x:c>
      <x:c r="H890" s="37" t="str">
        <x:v>0.00</x:v>
      </x:c>
      <x:c r="I890" s="37" t="str">
        <x:v>822.44</x:v>
      </x:c>
      <x:c r="J890" s="37" t="str">
        <x:v>0.00</x:v>
      </x:c>
      <x:c r="K890" s="37" t="str">
        <x:v>550.61</x:v>
      </x:c>
      <x:c r="L890" s="37" t="str">
        <x:v>2189</x:v>
      </x:c>
      <x:c r="M890" s="29" t="str">
        <x:v>1089.33</x:v>
      </x:c>
      <x:c r="N890" s="29" t="str">
        <x:v>655.93</x:v>
      </x:c>
      <x:c r="O890" s="29" t="str">
        <x:v>433.40</x:v>
      </x:c>
      <x:c r="P890" s="18" t="str">
        <x:v>2026-07-29</x:v>
      </x:c>
      <x:c r="Q890" s="36" t="n">
        <x:v>46232</x:v>
      </x:c>
    </x:row>
    <x:row r="891">
      <x:c r="A891" s="36" t="str">
        <x:v>2026-07-29</x:v>
      </x:c>
      <x:c r="B891" s="18" t="str">
        <x:v>101437000_76091</x:v>
      </x:c>
      <x:c r="C891" s="18" t="str">
        <x:v>【沪村小电】恒信家园充电站</x:v>
      </x:c>
      <x:c r="D891" s="37" t="str">
        <x:v>2</x:v>
      </x:c>
      <x:c r="E891" s="37" t="str">
        <x:v>0</x:v>
      </x:c>
      <x:c r="F891" s="37" t="str">
        <x:v>35</x:v>
      </x:c>
      <x:c r="G891" s="37" t="str">
        <x:v>870.94</x:v>
      </x:c>
      <x:c r="H891" s="37" t="str">
        <x:v>0.00</x:v>
      </x:c>
      <x:c r="I891" s="37" t="str">
        <x:v>503.44</x:v>
      </x:c>
      <x:c r="J891" s="37" t="str">
        <x:v>0.00</x:v>
      </x:c>
      <x:c r="K891" s="37" t="str">
        <x:v>367.49</x:v>
      </x:c>
      <x:c r="L891" s="37" t="str">
        <x:v>1405</x:v>
      </x:c>
      <x:c r="M891" s="29" t="str">
        <x:v>802.49</x:v>
      </x:c>
      <x:c r="N891" s="29" t="str">
        <x:v>493.40</x:v>
      </x:c>
      <x:c r="O891" s="29" t="str">
        <x:v>309.09</x:v>
      </x:c>
      <x:c r="P891" s="18" t="str">
        <x:v>2026-07-29</x:v>
      </x:c>
      <x:c r="Q891" s="36" t="n">
        <x:v>46232</x:v>
      </x:c>
    </x:row>
    <x:row r="892">
      <x:c r="A892" s="36" t="str">
        <x:v>2026-07-29</x:v>
      </x:c>
      <x:c r="B892" s="18" t="str">
        <x:v>101437000_76417</x:v>
      </x:c>
      <x:c r="C892" s="18" t="str">
        <x:v>【沪村小电】新春一组充电站</x:v>
      </x:c>
      <x:c r="D892" s="37" t="str">
        <x:v>2</x:v>
      </x:c>
      <x:c r="E892" s="37" t="str">
        <x:v>0</x:v>
      </x:c>
      <x:c r="F892" s="37" t="str">
        <x:v>34</x:v>
      </x:c>
      <x:c r="G892" s="37" t="str">
        <x:v>1017.26</x:v>
      </x:c>
      <x:c r="H892" s="37" t="str">
        <x:v>0.00</x:v>
      </x:c>
      <x:c r="I892" s="37" t="str">
        <x:v>580.06</x:v>
      </x:c>
      <x:c r="J892" s="37" t="str">
        <x:v>0.00</x:v>
      </x:c>
      <x:c r="K892" s="37" t="str">
        <x:v>437.20</x:v>
      </x:c>
      <x:c r="L892" s="37" t="str">
        <x:v>1470</x:v>
      </x:c>
      <x:c r="M892" s="29" t="str">
        <x:v>855.07</x:v>
      </x:c>
      <x:c r="N892" s="29" t="str">
        <x:v>573.64</x:v>
      </x:c>
      <x:c r="O892" s="29" t="str">
        <x:v>281.43</x:v>
      </x:c>
      <x:c r="P892" s="18" t="str">
        <x:v>2026-07-29</x:v>
      </x:c>
      <x:c r="Q892" s="36" t="n">
        <x:v>46232</x:v>
      </x:c>
    </x:row>
    <x:row r="893">
      <x:c r="A893" s="36" t="str">
        <x:v>2026-07-29</x:v>
      </x:c>
      <x:c r="B893" s="18" t="str">
        <x:v>101437000_78235</x:v>
      </x:c>
      <x:c r="C893" s="18" t="str">
        <x:v>【沪村小电】欣秋苑充电站</x:v>
      </x:c>
      <x:c r="D893" s="37" t="str">
        <x:v>4</x:v>
      </x:c>
      <x:c r="E893" s="37" t="str">
        <x:v>0</x:v>
      </x:c>
      <x:c r="F893" s="37" t="str">
        <x:v>15</x:v>
      </x:c>
      <x:c r="G893" s="37" t="str">
        <x:v>302.25</x:v>
      </x:c>
      <x:c r="H893" s="37" t="str">
        <x:v>0.00</x:v>
      </x:c>
      <x:c r="I893" s="37" t="str">
        <x:v>169.13</x:v>
      </x:c>
      <x:c r="J893" s="37" t="str">
        <x:v>0.00</x:v>
      </x:c>
      <x:c r="K893" s="37" t="str">
        <x:v>133.12</x:v>
      </x:c>
      <x:c r="L893" s="37" t="str">
        <x:v>487</x:v>
      </x:c>
      <x:c r="M893" s="29" t="str">
        <x:v>232.80</x:v>
      </x:c>
      <x:c r="N893" s="29" t="str">
        <x:v>169.32</x:v>
      </x:c>
      <x:c r="O893" s="29" t="str">
        <x:v>63.48</x:v>
      </x:c>
      <x:c r="P893" s="18" t="str">
        <x:v>2026-07-29</x:v>
      </x:c>
      <x:c r="Q893" s="36" t="n">
        <x:v>46232</x:v>
      </x:c>
    </x:row>
    <x:row r="894">
      <x:c r="A894" s="36" t="str">
        <x:v>2026-07-29</x:v>
      </x:c>
      <x:c r="B894" s="18" t="str">
        <x:v>101437000_78237</x:v>
      </x:c>
      <x:c r="C894" s="18" t="str">
        <x:v>【沪村小电】奉馨苑西门小区内北侧充电站</x:v>
      </x:c>
      <x:c r="D894" s="37" t="str">
        <x:v>2</x:v>
      </x:c>
      <x:c r="E894" s="37" t="str">
        <x:v>0</x:v>
      </x:c>
      <x:c r="F894" s="37" t="str">
        <x:v>26</x:v>
      </x:c>
      <x:c r="G894" s="37" t="str">
        <x:v>816.08</x:v>
      </x:c>
      <x:c r="H894" s="37" t="str">
        <x:v>79.08</x:v>
      </x:c>
      <x:c r="I894" s="37" t="str">
        <x:v>214.63</x:v>
      </x:c>
      <x:c r="J894" s="37" t="str">
        <x:v>144.47</x:v>
      </x:c>
      <x:c r="K894" s="37" t="str">
        <x:v>377.90</x:v>
      </x:c>
      <x:c r="L894" s="37" t="str">
        <x:v>997</x:v>
      </x:c>
      <x:c r="M894" s="29" t="str">
        <x:v>741.75</x:v>
      </x:c>
      <x:c r="N894" s="29" t="str">
        <x:v>598.93</x:v>
      </x:c>
      <x:c r="O894" s="29" t="str">
        <x:v>142.82</x:v>
      </x:c>
      <x:c r="P894" s="18" t="str">
        <x:v>2026-07-29</x:v>
      </x:c>
      <x:c r="Q894" s="36" t="n">
        <x:v>46232</x:v>
      </x:c>
    </x:row>
    <x:row r="895">
      <x:c r="A895" s="36" t="str">
        <x:v>2026-07-29</x:v>
      </x:c>
      <x:c r="B895" s="18" t="str">
        <x:v>101437000_83019</x:v>
      </x:c>
      <x:c r="C895" s="18" t="str">
        <x:v>【沪村小电】首创禧瑞云启东区充电站</x:v>
      </x:c>
      <x:c r="D895" s="37" t="str">
        <x:v>2</x:v>
      </x:c>
      <x:c r="E895" s="37" t="str">
        <x:v>0</x:v>
      </x:c>
      <x:c r="F895" s="37" t="str">
        <x:v>27</x:v>
      </x:c>
      <x:c r="G895" s="37" t="str">
        <x:v>725.80</x:v>
      </x:c>
      <x:c r="H895" s="37" t="str">
        <x:v>0.00</x:v>
      </x:c>
      <x:c r="I895" s="37" t="str">
        <x:v>522.37</x:v>
      </x:c>
      <x:c r="J895" s="37" t="str">
        <x:v>0.00</x:v>
      </x:c>
      <x:c r="K895" s="37" t="str">
        <x:v>203.43</x:v>
      </x:c>
      <x:c r="L895" s="37" t="str">
        <x:v>819</x:v>
      </x:c>
      <x:c r="M895" s="29" t="str">
        <x:v>705.54</x:v>
      </x:c>
      <x:c r="N895" s="29" t="str">
        <x:v>446.16</x:v>
      </x:c>
      <x:c r="O895" s="29" t="str">
        <x:v>259.38</x:v>
      </x:c>
      <x:c r="P895" s="18" t="str">
        <x:v>2026-07-29</x:v>
      </x:c>
      <x:c r="Q895" s="36" t="n">
        <x:v>46232</x:v>
      </x:c>
    </x:row>
    <x:row r="896">
      <x:c r="A896" s="36" t="str">
        <x:v>2026-07-29</x:v>
      </x:c>
      <x:c r="B896" s="18" t="str">
        <x:v>101437000_83093</x:v>
      </x:c>
      <x:c r="C896" s="18" t="str">
        <x:v>【沪村小电】金茂未来时光里</x:v>
      </x:c>
      <x:c r="D896" s="37" t="str">
        <x:v>2</x:v>
      </x:c>
      <x:c r="E896" s="37" t="str">
        <x:v>0</x:v>
      </x:c>
      <x:c r="F896" s="37" t="str">
        <x:v>45</x:v>
      </x:c>
      <x:c r="G896" s="37" t="str">
        <x:v>1319.37</x:v>
      </x:c>
      <x:c r="H896" s="37" t="str">
        <x:v>0.00</x:v>
      </x:c>
      <x:c r="I896" s="37" t="str">
        <x:v>482.17</x:v>
      </x:c>
      <x:c r="J896" s="37" t="str">
        <x:v>0.00</x:v>
      </x:c>
      <x:c r="K896" s="37" t="str">
        <x:v>837.19</x:v>
      </x:c>
      <x:c r="L896" s="37" t="str">
        <x:v>1945</x:v>
      </x:c>
      <x:c r="M896" s="29" t="str">
        <x:v>855.93</x:v>
      </x:c>
      <x:c r="N896" s="29" t="str">
        <x:v>543.99</x:v>
      </x:c>
      <x:c r="O896" s="29" t="str">
        <x:v>311.94</x:v>
      </x:c>
      <x:c r="P896" s="18" t="str">
        <x:v>2026-07-29</x:v>
      </x:c>
      <x:c r="Q896" s="36" t="n">
        <x:v>46232</x:v>
      </x:c>
    </x:row>
    <x:row r="897">
      <x:c r="A897" s="36" t="str">
        <x:v>2026-07-29</x:v>
      </x:c>
      <x:c r="B897" s="18" t="str">
        <x:v>101437000_83911</x:v>
      </x:c>
      <x:c r="C897" s="18" t="str">
        <x:v>【沪村小电】金瀚园充电站</x:v>
      </x:c>
      <x:c r="D897" s="37" t="str">
        <x:v>2</x:v>
      </x:c>
      <x:c r="E897" s="37" t="str">
        <x:v>0</x:v>
      </x:c>
      <x:c r="F897" s="37" t="str">
        <x:v>43</x:v>
      </x:c>
      <x:c r="G897" s="37" t="str">
        <x:v>1070.00</x:v>
      </x:c>
      <x:c r="H897" s="37" t="str">
        <x:v>0.00</x:v>
      </x:c>
      <x:c r="I897" s="37" t="str">
        <x:v>693.19</x:v>
      </x:c>
      <x:c r="J897" s="37" t="str">
        <x:v>0.00</x:v>
      </x:c>
      <x:c r="K897" s="37" t="str">
        <x:v>376.81</x:v>
      </x:c>
      <x:c r="L897" s="37" t="str">
        <x:v>1590</x:v>
      </x:c>
      <x:c r="M897" s="29" t="str">
        <x:v>919.89</x:v>
      </x:c>
      <x:c r="N897" s="29" t="str">
        <x:v>631.57</x:v>
      </x:c>
      <x:c r="O897" s="29" t="str">
        <x:v>288.32</x:v>
      </x:c>
      <x:c r="P897" s="18" t="str">
        <x:v>2026-07-29</x:v>
      </x:c>
      <x:c r="Q897" s="36" t="n">
        <x:v>46232</x:v>
      </x:c>
    </x:row>
    <x:row r="898">
      <x:c r="A898" s="36" t="str">
        <x:v>2026-07-29</x:v>
      </x:c>
      <x:c r="B898" s="18" t="str">
        <x:v>101437000_83913</x:v>
      </x:c>
      <x:c r="C898" s="18" t="str">
        <x:v>【沪村小电】新黎村充电站</x:v>
      </x:c>
      <x:c r="D898" s="37" t="str">
        <x:v>2</x:v>
      </x:c>
      <x:c r="E898" s="37" t="str">
        <x:v>0</x:v>
      </x:c>
      <x:c r="F898" s="37" t="str">
        <x:v>71</x:v>
      </x:c>
      <x:c r="G898" s="37" t="str">
        <x:v>1522.44</x:v>
      </x:c>
      <x:c r="H898" s="37" t="str">
        <x:v>0.00</x:v>
      </x:c>
      <x:c r="I898" s="37" t="str">
        <x:v>1157.08</x:v>
      </x:c>
      <x:c r="J898" s="37" t="str">
        <x:v>0.00</x:v>
      </x:c>
      <x:c r="K898" s="37" t="str">
        <x:v>365.35</x:v>
      </x:c>
      <x:c r="L898" s="37" t="str">
        <x:v>2427</x:v>
      </x:c>
      <x:c r="M898" s="29" t="str">
        <x:v>1373.13</x:v>
      </x:c>
      <x:c r="N898" s="29" t="str">
        <x:v>956.69</x:v>
      </x:c>
      <x:c r="O898" s="29" t="str">
        <x:v>416.44</x:v>
      </x:c>
      <x:c r="P898" s="18" t="str">
        <x:v>2026-07-29</x:v>
      </x:c>
      <x:c r="Q898" s="36" t="n">
        <x:v>46232</x:v>
      </x:c>
    </x:row>
    <x:row r="899">
      <x:c r="A899" s="36" t="str">
        <x:v>2026-07-29</x:v>
      </x:c>
      <x:c r="B899" s="18" t="str">
        <x:v>101437000_83915</x:v>
      </x:c>
      <x:c r="C899" s="18" t="str">
        <x:v>【沪村小电】长泰西郊别墅充电站</x:v>
      </x:c>
      <x:c r="D899" s="37" t="str">
        <x:v>2</x:v>
      </x:c>
      <x:c r="E899" s="37" t="str">
        <x:v>0</x:v>
      </x:c>
      <x:c r="F899" s="37" t="str">
        <x:v>18</x:v>
      </x:c>
      <x:c r="G899" s="37" t="str">
        <x:v>451.41</x:v>
      </x:c>
      <x:c r="H899" s="37" t="str">
        <x:v>0.00</x:v>
      </x:c>
      <x:c r="I899" s="37" t="str">
        <x:v>211.82</x:v>
      </x:c>
      <x:c r="J899" s="37" t="str">
        <x:v>0.00</x:v>
      </x:c>
      <x:c r="K899" s="37" t="str">
        <x:v>239.59</x:v>
      </x:c>
      <x:c r="L899" s="37" t="str">
        <x:v>655</x:v>
      </x:c>
      <x:c r="M899" s="29" t="str">
        <x:v>395.15</x:v>
      </x:c>
      <x:c r="N899" s="29" t="str">
        <x:v>239.06</x:v>
      </x:c>
      <x:c r="O899" s="29" t="str">
        <x:v>156.09</x:v>
      </x:c>
      <x:c r="P899" s="18" t="str">
        <x:v>2026-07-29</x:v>
      </x:c>
      <x:c r="Q899" s="36" t="n">
        <x:v>46232</x:v>
      </x:c>
    </x:row>
    <x:row r="900">
      <x:c r="A900" s="36" t="str">
        <x:v>2026-07-29</x:v>
      </x:c>
      <x:c r="B900" s="18" t="str">
        <x:v>101437000_83917</x:v>
      </x:c>
      <x:c r="C900" s="18" t="str">
        <x:v>【沪村小电】旭新华庭充电站</x:v>
      </x:c>
      <x:c r="D900" s="37" t="str">
        <x:v>4</x:v>
      </x:c>
      <x:c r="E900" s="37" t="str">
        <x:v>0</x:v>
      </x:c>
      <x:c r="F900" s="37" t="str">
        <x:v>30</x:v>
      </x:c>
      <x:c r="G900" s="37" t="str">
        <x:v>703.06</x:v>
      </x:c>
      <x:c r="H900" s="37" t="str">
        <x:v>0.00</x:v>
      </x:c>
      <x:c r="I900" s="37" t="str">
        <x:v>566.81</x:v>
      </x:c>
      <x:c r="J900" s="37" t="str">
        <x:v>0.00</x:v>
      </x:c>
      <x:c r="K900" s="37" t="str">
        <x:v>136.25</x:v>
      </x:c>
      <x:c r="L900" s="37" t="str">
        <x:v>1140</x:v>
      </x:c>
      <x:c r="M900" s="29" t="str">
        <x:v>750.32</x:v>
      </x:c>
      <x:c r="N900" s="29" t="str">
        <x:v>452.85</x:v>
      </x:c>
      <x:c r="O900" s="29" t="str">
        <x:v>297.47</x:v>
      </x:c>
      <x:c r="P900" s="18" t="str">
        <x:v>2026-07-29</x:v>
      </x:c>
      <x:c r="Q900" s="36" t="n">
        <x:v>46232</x:v>
      </x:c>
    </x:row>
    <x:row r="901">
      <x:c r="A901" s="36" t="str">
        <x:v>2026-07-29</x:v>
      </x:c>
      <x:c r="B901" s="18" t="str">
        <x:v>101437000_83919</x:v>
      </x:c>
      <x:c r="C901" s="18" t="str">
        <x:v>【沪村小电】浦锦名仕嘉园充电站</x:v>
      </x:c>
      <x:c r="D901" s="37" t="str">
        <x:v>4</x:v>
      </x:c>
      <x:c r="E901" s="37" t="str">
        <x:v>0</x:v>
      </x:c>
      <x:c r="F901" s="37" t="str">
        <x:v>40</x:v>
      </x:c>
      <x:c r="G901" s="37" t="str">
        <x:v>1215.64</x:v>
      </x:c>
      <x:c r="H901" s="37" t="str">
        <x:v>0.00</x:v>
      </x:c>
      <x:c r="I901" s="37" t="str">
        <x:v>0.00</x:v>
      </x:c>
      <x:c r="J901" s="37" t="str">
        <x:v>1215.64</x:v>
      </x:c>
      <x:c r="K901" s="37" t="str">
        <x:v>0.00</x:v>
      </x:c>
      <x:c r="L901" s="37" t="str">
        <x:v>1844</x:v>
      </x:c>
      <x:c r="M901" s="29" t="str">
        <x:v>1194.63</x:v>
      </x:c>
      <x:c r="N901" s="29" t="str">
        <x:v>851.01</x:v>
      </x:c>
      <x:c r="O901" s="29" t="str">
        <x:v>343.62</x:v>
      </x:c>
      <x:c r="P901" s="18" t="str">
        <x:v>2026-07-29</x:v>
      </x:c>
      <x:c r="Q901" s="36" t="n">
        <x:v>46232</x:v>
      </x:c>
    </x:row>
    <x:row r="902">
      <x:c r="A902" s="36" t="str">
        <x:v>2026-07-29</x:v>
      </x:c>
      <x:c r="B902" s="18" t="str">
        <x:v>101437000_83921</x:v>
      </x:c>
      <x:c r="C902" s="18" t="str">
        <x:v>【沪村小电】上海联怡枇杷乐园充电站（地库）</x:v>
      </x:c>
      <x:c r="D902" s="37" t="str">
        <x:v>8</x:v>
      </x:c>
      <x:c r="E902" s="37" t="str">
        <x:v>0</x:v>
      </x:c>
      <x:c r="F902" s="37" t="str">
        <x:v>11</x:v>
      </x:c>
      <x:c r="G902" s="37" t="str">
        <x:v>281.09</x:v>
      </x:c>
      <x:c r="H902" s="37" t="str">
        <x:v>0.00</x:v>
      </x:c>
      <x:c r="I902" s="37" t="str">
        <x:v>115.23</x:v>
      </x:c>
      <x:c r="J902" s="37" t="str">
        <x:v>0.00</x:v>
      </x:c>
      <x:c r="K902" s="37" t="str">
        <x:v>165.86</x:v>
      </x:c>
      <x:c r="L902" s="37" t="str">
        <x:v>650</x:v>
      </x:c>
      <x:c r="M902" s="29" t="str">
        <x:v>208.82</x:v>
      </x:c>
      <x:c r="N902" s="29" t="str">
        <x:v>180.01</x:v>
      </x:c>
      <x:c r="O902" s="29" t="str">
        <x:v>28.81</x:v>
      </x:c>
      <x:c r="P902" s="18" t="str">
        <x:v>2026-07-29</x:v>
      </x:c>
      <x:c r="Q902" s="36" t="n">
        <x:v>46232</x:v>
      </x:c>
    </x:row>
    <x:row r="903">
      <x:c r="A903" s="36" t="str">
        <x:v>2026-07-29</x:v>
      </x:c>
      <x:c r="B903" s="18" t="str">
        <x:v>101437000_83923</x:v>
      </x:c>
      <x:c r="C903" s="18" t="str">
        <x:v>【沪村小电】明珠新苑充电站</x:v>
      </x:c>
      <x:c r="D903" s="37" t="str">
        <x:v>2</x:v>
      </x:c>
      <x:c r="E903" s="37" t="str">
        <x:v>0</x:v>
      </x:c>
      <x:c r="F903" s="37" t="str">
        <x:v>25</x:v>
      </x:c>
      <x:c r="G903" s="37" t="str">
        <x:v>754.11</x:v>
      </x:c>
      <x:c r="H903" s="37" t="str">
        <x:v>0.00</x:v>
      </x:c>
      <x:c r="I903" s="37" t="str">
        <x:v>490.57</x:v>
      </x:c>
      <x:c r="J903" s="37" t="str">
        <x:v>0.00</x:v>
      </x:c>
      <x:c r="K903" s="37" t="str">
        <x:v>263.54</x:v>
      </x:c>
      <x:c r="L903" s="37" t="str">
        <x:v>1067</x:v>
      </x:c>
      <x:c r="M903" s="29" t="str">
        <x:v>687.47</x:v>
      </x:c>
      <x:c r="N903" s="29" t="str">
        <x:v>445.82</x:v>
      </x:c>
      <x:c r="O903" s="29" t="str">
        <x:v>241.65</x:v>
      </x:c>
      <x:c r="P903" s="18" t="str">
        <x:v>2026-07-29</x:v>
      </x:c>
      <x:c r="Q903" s="36" t="n">
        <x:v>46232</x:v>
      </x:c>
    </x:row>
    <x:row r="904">
      <x:c r="A904" s="36" t="str">
        <x:v>2026-07-29</x:v>
      </x:c>
      <x:c r="B904" s="18" t="str">
        <x:v>101437000_84289</x:v>
      </x:c>
      <x:c r="C904" s="18" t="str">
        <x:v>【沪村小电】铁建芳华苑充电站</x:v>
      </x:c>
      <x:c r="D904" s="37" t="str">
        <x:v>4</x:v>
      </x:c>
      <x:c r="E904" s="37" t="str">
        <x:v>0</x:v>
      </x:c>
      <x:c r="F904" s="37" t="str">
        <x:v>44</x:v>
      </x:c>
      <x:c r="G904" s="37" t="str">
        <x:v>1158.77</x:v>
      </x:c>
      <x:c r="H904" s="37" t="str">
        <x:v>0.00</x:v>
      </x:c>
      <x:c r="I904" s="37" t="str">
        <x:v>682.86</x:v>
      </x:c>
      <x:c r="J904" s="37" t="str">
        <x:v>0.00</x:v>
      </x:c>
      <x:c r="K904" s="37" t="str">
        <x:v>475.91</x:v>
      </x:c>
      <x:c r="L904" s="37" t="str">
        <x:v>1840</x:v>
      </x:c>
      <x:c r="M904" s="29" t="str">
        <x:v>1002.50</x:v>
      </x:c>
      <x:c r="N904" s="29" t="str">
        <x:v>660.90</x:v>
      </x:c>
      <x:c r="O904" s="29" t="str">
        <x:v>341.60</x:v>
      </x:c>
      <x:c r="P904" s="18" t="str">
        <x:v>2026-07-29</x:v>
      </x:c>
      <x:c r="Q904" s="36" t="n">
        <x:v>46232</x:v>
      </x:c>
    </x:row>
    <x:row r="905">
      <x:c r="A905" s="36" t="str">
        <x:v>2026-07-29</x:v>
      </x:c>
      <x:c r="B905" s="18" t="str">
        <x:v>101437000_86379</x:v>
      </x:c>
      <x:c r="C905" s="18" t="str">
        <x:v>【沪村小电】新宝社区充电站</x:v>
      </x:c>
      <x:c r="D905" s="37" t="str">
        <x:v>4</x:v>
      </x:c>
      <x:c r="E905" s="37" t="str">
        <x:v>0</x:v>
      </x:c>
      <x:c r="F905" s="37" t="str">
        <x:v>48</x:v>
      </x:c>
      <x:c r="G905" s="37" t="str">
        <x:v>1092.53</x:v>
      </x:c>
      <x:c r="H905" s="37" t="str">
        <x:v>0.00</x:v>
      </x:c>
      <x:c r="I905" s="37" t="str">
        <x:v>511.06</x:v>
      </x:c>
      <x:c r="J905" s="37" t="str">
        <x:v>0.00</x:v>
      </x:c>
      <x:c r="K905" s="37" t="str">
        <x:v>581.47</x:v>
      </x:c>
      <x:c r="L905" s="37" t="str">
        <x:v>1724</x:v>
      </x:c>
      <x:c r="M905" s="29" t="str">
        <x:v>938.43</x:v>
      </x:c>
      <x:c r="N905" s="29" t="str">
        <x:v>578.01</x:v>
      </x:c>
      <x:c r="O905" s="29" t="str">
        <x:v>360.42</x:v>
      </x:c>
      <x:c r="P905" s="18" t="str">
        <x:v>2026-07-29</x:v>
      </x:c>
      <x:c r="Q905" s="36" t="n">
        <x:v>46232</x:v>
      </x:c>
    </x:row>
    <x:row r="906">
      <x:c r="A906" s="36" t="str">
        <x:v>2026-07-29</x:v>
      </x:c>
      <x:c r="B906" s="18" t="str">
        <x:v>101437000_89441</x:v>
      </x:c>
      <x:c r="C906" s="18" t="str">
        <x:v>【沪村小电】首创禧瑞云启西区充电站</x:v>
      </x:c>
      <x:c r="D906" s="37" t="str">
        <x:v>2</x:v>
      </x:c>
      <x:c r="E906" s="37" t="str">
        <x:v>0</x:v>
      </x:c>
      <x:c r="F906" s="37" t="str">
        <x:v>28</x:v>
      </x:c>
      <x:c r="G906" s="37" t="str">
        <x:v>850.38</x:v>
      </x:c>
      <x:c r="H906" s="37" t="str">
        <x:v>0.00</x:v>
      </x:c>
      <x:c r="I906" s="37" t="str">
        <x:v>652.84</x:v>
      </x:c>
      <x:c r="J906" s="37" t="str">
        <x:v>0.00</x:v>
      </x:c>
      <x:c r="K906" s="37" t="str">
        <x:v>197.53</x:v>
      </x:c>
      <x:c r="L906" s="37" t="str">
        <x:v>1058</x:v>
      </x:c>
      <x:c r="M906" s="29" t="str">
        <x:v>874.02</x:v>
      </x:c>
      <x:c r="N906" s="29" t="str">
        <x:v>536.61</x:v>
      </x:c>
      <x:c r="O906" s="29" t="str">
        <x:v>337.41</x:v>
      </x:c>
      <x:c r="P906" s="18" t="str">
        <x:v>2026-07-29</x:v>
      </x:c>
      <x:c r="Q906" s="36" t="n">
        <x:v>46232</x:v>
      </x:c>
    </x:row>
    <x:row r="907">
      <x:c r="A907" s="36" t="str">
        <x:v>2026-07-29</x:v>
      </x:c>
      <x:c r="B907" s="18" t="str">
        <x:v>101437000_89443</x:v>
      </x:c>
      <x:c r="C907" s="18" t="str">
        <x:v>【沪村小电】玉兰清苑二期充电站</x:v>
      </x:c>
      <x:c r="D907" s="37" t="str">
        <x:v>2</x:v>
      </x:c>
      <x:c r="E907" s="37" t="str">
        <x:v>0</x:v>
      </x:c>
      <x:c r="F907" s="37" t="str">
        <x:v>27</x:v>
      </x:c>
      <x:c r="G907" s="37" t="str">
        <x:v>768.89</x:v>
      </x:c>
      <x:c r="H907" s="37" t="str">
        <x:v>0.00</x:v>
      </x:c>
      <x:c r="I907" s="37" t="str">
        <x:v>600.12</x:v>
      </x:c>
      <x:c r="J907" s="37" t="str">
        <x:v>0.00</x:v>
      </x:c>
      <x:c r="K907" s="37" t="str">
        <x:v>168.78</x:v>
      </x:c>
      <x:c r="L907" s="37" t="str">
        <x:v>1052</x:v>
      </x:c>
      <x:c r="M907" s="29" t="str">
        <x:v>717.67</x:v>
      </x:c>
      <x:c r="N907" s="29" t="str">
        <x:v>488.53</x:v>
      </x:c>
      <x:c r="O907" s="29" t="str">
        <x:v>229.14</x:v>
      </x:c>
      <x:c r="P907" s="18" t="str">
        <x:v>2026-07-29</x:v>
      </x:c>
      <x:c r="Q907" s="36" t="n">
        <x:v>46232</x:v>
      </x:c>
    </x:row>
    <x:row r="908">
      <x:c r="A908" s="36" t="str">
        <x:v>2026-07-29</x:v>
      </x:c>
      <x:c r="B908" s="18" t="str">
        <x:v>101437000_93115</x:v>
      </x:c>
      <x:c r="C908" s="18" t="str">
        <x:v>【沪村小电】新南家园西北门</x:v>
      </x:c>
      <x:c r="D908" s="37" t="str">
        <x:v>2</x:v>
      </x:c>
      <x:c r="E908" s="37" t="str">
        <x:v>0</x:v>
      </x:c>
      <x:c r="F908" s="37" t="str">
        <x:v>36</x:v>
      </x:c>
      <x:c r="G908" s="37" t="str">
        <x:v>937.32</x:v>
      </x:c>
      <x:c r="H908" s="37" t="str">
        <x:v>0.00</x:v>
      </x:c>
      <x:c r="I908" s="37" t="str">
        <x:v>651.53</x:v>
      </x:c>
      <x:c r="J908" s="37" t="str">
        <x:v>0.00</x:v>
      </x:c>
      <x:c r="K908" s="37" t="str">
        <x:v>285.79</x:v>
      </x:c>
      <x:c r="L908" s="37" t="str">
        <x:v>1444</x:v>
      </x:c>
      <x:c r="M908" s="29" t="str">
        <x:v>901.87</x:v>
      </x:c>
      <x:c r="N908" s="29" t="str">
        <x:v>568.31</x:v>
      </x:c>
      <x:c r="O908" s="29" t="str">
        <x:v>333.56</x:v>
      </x:c>
      <x:c r="P908" s="18" t="str">
        <x:v>2026-07-29</x:v>
      </x:c>
      <x:c r="Q908" s="36" t="n">
        <x:v>46232</x:v>
      </x:c>
    </x:row>
    <x:row r="909">
      <x:c r="A909" s="36" t="str">
        <x:v>2026-07-29</x:v>
      </x:c>
      <x:c r="B909" s="18" t="str">
        <x:v>101437000_94649</x:v>
      </x:c>
      <x:c r="C909" s="18" t="str">
        <x:v>【沪村小电】浪琴水岸花园</x:v>
      </x:c>
      <x:c r="D909" s="37" t="str">
        <x:v>4</x:v>
      </x:c>
      <x:c r="E909" s="37" t="str">
        <x:v>0</x:v>
      </x:c>
      <x:c r="F909" s="37" t="str">
        <x:v>29</x:v>
      </x:c>
      <x:c r="G909" s="37" t="str">
        <x:v>670.48</x:v>
      </x:c>
      <x:c r="H909" s="37" t="str">
        <x:v>0.00</x:v>
      </x:c>
      <x:c r="I909" s="37" t="str">
        <x:v>450.61</x:v>
      </x:c>
      <x:c r="J909" s="37" t="str">
        <x:v>0.00</x:v>
      </x:c>
      <x:c r="K909" s="37" t="str">
        <x:v>219.88</x:v>
      </x:c>
      <x:c r="L909" s="37" t="str">
        <x:v>1206</x:v>
      </x:c>
      <x:c r="M909" s="29" t="str">
        <x:v>547.73</x:v>
      </x:c>
      <x:c r="N909" s="29" t="str">
        <x:v>423.27</x:v>
      </x:c>
      <x:c r="O909" s="29" t="str">
        <x:v>124.46</x:v>
      </x:c>
      <x:c r="P909" s="18" t="str">
        <x:v>2026-07-29</x:v>
      </x:c>
      <x:c r="Q909" s="36" t="n">
        <x:v>46232</x:v>
      </x:c>
    </x:row>
    <x:row r="910">
      <x:c r="A910" s="36" t="str">
        <x:v>2026-07-29</x:v>
      </x:c>
      <x:c r="B910" s="18" t="str">
        <x:v>101437000_95077</x:v>
      </x:c>
      <x:c r="C910" s="18" t="str">
        <x:v>【沪村小电】民乐城惠益绿苑255弄充电站</x:v>
      </x:c>
      <x:c r="D910" s="37" t="str">
        <x:v>2</x:v>
      </x:c>
      <x:c r="E910" s="37" t="str">
        <x:v>0</x:v>
      </x:c>
      <x:c r="F910" s="37" t="str">
        <x:v>13</x:v>
      </x:c>
      <x:c r="G910" s="37" t="str">
        <x:v>358.24</x:v>
      </x:c>
      <x:c r="H910" s="37" t="str">
        <x:v>0.00</x:v>
      </x:c>
      <x:c r="I910" s="37" t="str">
        <x:v>265.22</x:v>
      </x:c>
      <x:c r="J910" s="37" t="str">
        <x:v>0.00</x:v>
      </x:c>
      <x:c r="K910" s="37" t="str">
        <x:v>93.02</x:v>
      </x:c>
      <x:c r="L910" s="37" t="str">
        <x:v>477</x:v>
      </x:c>
      <x:c r="M910" s="29" t="str">
        <x:v>306.88</x:v>
      </x:c>
      <x:c r="N910" s="29" t="str">
        <x:v>222.72</x:v>
      </x:c>
      <x:c r="O910" s="29" t="str">
        <x:v>84.16</x:v>
      </x:c>
      <x:c r="P910" s="18" t="str">
        <x:v>2026-07-29</x:v>
      </x:c>
      <x:c r="Q910" s="36" t="n">
        <x:v>46232</x:v>
      </x:c>
    </x:row>
    <x:row r="911">
      <x:c r="A911" s="36" t="str">
        <x:v>2026-07-29</x:v>
      </x:c>
      <x:c r="B911" s="18" t="str">
        <x:v>101437000_95079</x:v>
      </x:c>
      <x:c r="C911" s="18" t="str">
        <x:v>【沪村小电】民乐城惠益绿苑东苑充电站</x:v>
      </x:c>
      <x:c r="D911" s="37" t="str">
        <x:v>2</x:v>
      </x:c>
      <x:c r="E911" s="37" t="str">
        <x:v>0</x:v>
      </x:c>
      <x:c r="F911" s="37" t="str">
        <x:v>21</x:v>
      </x:c>
      <x:c r="G911" s="37" t="str">
        <x:v>493.68</x:v>
      </x:c>
      <x:c r="H911" s="37" t="str">
        <x:v>0.00</x:v>
      </x:c>
      <x:c r="I911" s="37" t="str">
        <x:v>349.18</x:v>
      </x:c>
      <x:c r="J911" s="37" t="str">
        <x:v>0.00</x:v>
      </x:c>
      <x:c r="K911" s="37" t="str">
        <x:v>144.50</x:v>
      </x:c>
      <x:c r="L911" s="37" t="str">
        <x:v>723</x:v>
      </x:c>
      <x:c r="M911" s="29" t="str">
        <x:v>439.81</x:v>
      </x:c>
      <x:c r="N911" s="29" t="str">
        <x:v>301.37</x:v>
      </x:c>
      <x:c r="O911" s="29" t="str">
        <x:v>138.44</x:v>
      </x:c>
      <x:c r="P911" s="18" t="str">
        <x:v>2026-07-29</x:v>
      </x:c>
      <x:c r="Q911" s="36" t="n">
        <x:v>46232</x:v>
      </x:c>
    </x:row>
    <x:row r="912">
      <x:c r="A912" s="36" t="str">
        <x:v>2026-07-29</x:v>
      </x:c>
      <x:c r="B912" s="18" t="str">
        <x:v>101437000_95081</x:v>
      </x:c>
      <x:c r="C912" s="18" t="str">
        <x:v>【沪村小电】民乐城惠益绿苑西苑充电站</x:v>
      </x:c>
      <x:c r="D912" s="37" t="str">
        <x:v>2</x:v>
      </x:c>
      <x:c r="E912" s="37" t="str">
        <x:v>0</x:v>
      </x:c>
      <x:c r="F912" s="37" t="str">
        <x:v>7</x:v>
      </x:c>
      <x:c r="G912" s="37" t="str">
        <x:v>175.27</x:v>
      </x:c>
      <x:c r="H912" s="37" t="str">
        <x:v>0.00</x:v>
      </x:c>
      <x:c r="I912" s="37" t="str">
        <x:v>175.27</x:v>
      </x:c>
      <x:c r="J912" s="37" t="str">
        <x:v>0.00</x:v>
      </x:c>
      <x:c r="K912" s="37" t="str">
        <x:v>0.00</x:v>
      </x:c>
      <x:c r="L912" s="37" t="str">
        <x:v>318</x:v>
      </x:c>
      <x:c r="M912" s="29" t="str">
        <x:v>163.85</x:v>
      </x:c>
      <x:c r="N912" s="29" t="str">
        <x:v>124.44</x:v>
      </x:c>
      <x:c r="O912" s="29" t="str">
        <x:v>39.41</x:v>
      </x:c>
      <x:c r="P912" s="18" t="str">
        <x:v>2026-07-29</x:v>
      </x:c>
      <x:c r="Q912" s="36" t="n">
        <x:v>46232</x:v>
      </x:c>
    </x:row>
    <x:row r="913">
      <x:c r="A913" s="36" t="str">
        <x:v>2026-07-29</x:v>
      </x:c>
      <x:c r="B913" s="18" t="str">
        <x:v>101437000_95091</x:v>
      </x:c>
      <x:c r="C913" s="18" t="str">
        <x:v>【沪村小电】金悦学府2号站</x:v>
      </x:c>
      <x:c r="D913" s="37" t="str">
        <x:v>2</x:v>
      </x:c>
      <x:c r="E913" s="37" t="str">
        <x:v>0</x:v>
      </x:c>
      <x:c r="F913" s="37" t="str">
        <x:v>14</x:v>
      </x:c>
      <x:c r="G913" s="37" t="str">
        <x:v>307.05</x:v>
      </x:c>
      <x:c r="H913" s="37" t="str">
        <x:v>0.00</x:v>
      </x:c>
      <x:c r="I913" s="37" t="str">
        <x:v>0.00</x:v>
      </x:c>
      <x:c r="J913" s="37" t="str">
        <x:v>307.05</x:v>
      </x:c>
      <x:c r="K913" s="37" t="str">
        <x:v>0.00</x:v>
      </x:c>
      <x:c r="L913" s="37" t="str">
        <x:v>532</x:v>
      </x:c>
      <x:c r="M913" s="29" t="str">
        <x:v>242.57</x:v>
      </x:c>
      <x:c r="N913" s="29" t="str">
        <x:v>171.95</x:v>
      </x:c>
      <x:c r="O913" s="29" t="str">
        <x:v>70.62</x:v>
      </x:c>
      <x:c r="P913" s="18" t="str">
        <x:v>2026-07-29</x:v>
      </x:c>
      <x:c r="Q913" s="36" t="n">
        <x:v>46232</x:v>
      </x:c>
    </x:row>
    <x:row r="914">
      <x:c r="A914" s="36" t="str">
        <x:v>2026-07-29</x:v>
      </x:c>
      <x:c r="B914" s="18" t="str">
        <x:v>101437000_95941</x:v>
      </x:c>
      <x:c r="C914" s="18" t="str">
        <x:v>【沪村小电】惠诚雅苑</x:v>
      </x:c>
      <x:c r="D914" s="37" t="str">
        <x:v>4</x:v>
      </x:c>
      <x:c r="E914" s="37" t="str">
        <x:v>0</x:v>
      </x:c>
      <x:c r="F914" s="37" t="str">
        <x:v>49</x:v>
      </x:c>
      <x:c r="G914" s="37" t="str">
        <x:v>1366.61</x:v>
      </x:c>
      <x:c r="H914" s="37" t="str">
        <x:v>0.00</x:v>
      </x:c>
      <x:c r="I914" s="37" t="str">
        <x:v>706.53</x:v>
      </x:c>
      <x:c r="J914" s="37" t="str">
        <x:v>0.00</x:v>
      </x:c>
      <x:c r="K914" s="37" t="str">
        <x:v>660.08</x:v>
      </x:c>
      <x:c r="L914" s="37" t="str">
        <x:v>2139</x:v>
      </x:c>
      <x:c r="M914" s="29" t="str">
        <x:v>910.26</x:v>
      </x:c>
      <x:c r="N914" s="29" t="str">
        <x:v>621.44</x:v>
      </x:c>
      <x:c r="O914" s="29" t="str">
        <x:v>288.82</x:v>
      </x:c>
      <x:c r="P914" s="18" t="str">
        <x:v>2026-07-29</x:v>
      </x:c>
      <x:c r="Q914" s="36" t="n">
        <x:v>46232</x:v>
      </x:c>
    </x:row>
    <x:row r="915">
      <x:c r="A915" s="36" t="str">
        <x:v>2026-07-29</x:v>
      </x:c>
      <x:c r="B915" s="18" t="str">
        <x:v>101437000_96401</x:v>
      </x:c>
      <x:c r="C915" s="18" t="str">
        <x:v>【沪村小电】上海联怡枇杷乐园地面站</x:v>
      </x:c>
      <x:c r="D915" s="37" t="str">
        <x:v>2</x:v>
      </x:c>
      <x:c r="E915" s="37" t="str">
        <x:v>0</x:v>
      </x:c>
      <x:c r="F915" s="37" t="str">
        <x:v>10</x:v>
      </x:c>
      <x:c r="G915" s="37" t="str">
        <x:v>256.34</x:v>
      </x:c>
      <x:c r="H915" s="37" t="str">
        <x:v>0.00</x:v>
      </x:c>
      <x:c r="I915" s="37" t="str">
        <x:v>80.15</x:v>
      </x:c>
      <x:c r="J915" s="37" t="str">
        <x:v>0.00</x:v>
      </x:c>
      <x:c r="K915" s="37" t="str">
        <x:v>176.19</x:v>
      </x:c>
      <x:c r="L915" s="37" t="str">
        <x:v>436</x:v>
      </x:c>
      <x:c r="M915" s="29" t="str">
        <x:v>195.78</x:v>
      </x:c>
      <x:c r="N915" s="29" t="str">
        <x:v>153.18</x:v>
      </x:c>
      <x:c r="O915" s="29" t="str">
        <x:v>42.60</x:v>
      </x:c>
      <x:c r="P915" s="18" t="str">
        <x:v>2026-07-29</x:v>
      </x:c>
      <x:c r="Q915" s="36" t="n">
        <x:v>46232</x:v>
      </x:c>
    </x:row>
    <x:row r="916">
      <x:c r="A916" s="36" t="str">
        <x:v>2026-07-29</x:v>
      </x:c>
      <x:c r="B916" s="18" t="str">
        <x:v>101437000_97421</x:v>
      </x:c>
      <x:c r="C916" s="18" t="str">
        <x:v>【沪村小电】玉兰清苑二期（小区外）充电站</x:v>
      </x:c>
      <x:c r="D916" s="37" t="str">
        <x:v>4</x:v>
      </x:c>
      <x:c r="E916" s="37" t="str">
        <x:v>0</x:v>
      </x:c>
      <x:c r="F916" s="37" t="str">
        <x:v>46</x:v>
      </x:c>
      <x:c r="G916" s="37" t="str">
        <x:v>1062.54</x:v>
      </x:c>
      <x:c r="H916" s="37" t="str">
        <x:v>0.00</x:v>
      </x:c>
      <x:c r="I916" s="37" t="str">
        <x:v>908.21</x:v>
      </x:c>
      <x:c r="J916" s="37" t="str">
        <x:v>0.00</x:v>
      </x:c>
      <x:c r="K916" s="37" t="str">
        <x:v>154.33</x:v>
      </x:c>
      <x:c r="L916" s="37" t="str">
        <x:v>1935</x:v>
      </x:c>
      <x:c r="M916" s="29" t="str">
        <x:v>974.97</x:v>
      </x:c>
      <x:c r="N916" s="29" t="str">
        <x:v>701.94</x:v>
      </x:c>
      <x:c r="O916" s="29" t="str">
        <x:v>273.03</x:v>
      </x:c>
      <x:c r="P916" s="18" t="str">
        <x:v>2026-07-29</x:v>
      </x:c>
      <x:c r="Q916" s="36" t="n">
        <x:v>46232</x:v>
      </x:c>
    </x:row>
    <x:row r="917">
      <x:c r="A917" s="36" t="str">
        <x:v>2026-07-29</x:v>
      </x:c>
      <x:c r="B917" s="18" t="str">
        <x:v>101437000_98013</x:v>
      </x:c>
      <x:c r="C917" s="18" t="str">
        <x:v>【沪村小电】恒大滨江华府充电站</x:v>
      </x:c>
      <x:c r="D917" s="37" t="str">
        <x:v>4</x:v>
      </x:c>
      <x:c r="E917" s="37" t="str">
        <x:v>0</x:v>
      </x:c>
      <x:c r="F917" s="37" t="str">
        <x:v>49</x:v>
      </x:c>
      <x:c r="G917" s="37" t="str">
        <x:v>1092.53</x:v>
      </x:c>
      <x:c r="H917" s="37" t="str">
        <x:v>0.00</x:v>
      </x:c>
      <x:c r="I917" s="37" t="str">
        <x:v>926.80</x:v>
      </x:c>
      <x:c r="J917" s="37" t="str">
        <x:v>0.00</x:v>
      </x:c>
      <x:c r="K917" s="37" t="str">
        <x:v>165.73</x:v>
      </x:c>
      <x:c r="L917" s="37" t="str">
        <x:v>1759</x:v>
      </x:c>
      <x:c r="M917" s="29" t="str">
        <x:v>1135.16</x:v>
      </x:c>
      <x:c r="N917" s="29" t="str">
        <x:v>910.33</x:v>
      </x:c>
      <x:c r="O917" s="29" t="str">
        <x:v>224.83</x:v>
      </x:c>
      <x:c r="P917" s="18" t="str">
        <x:v>2026-07-29</x:v>
      </x:c>
      <x:c r="Q917" s="36" t="n">
        <x:v>46232</x:v>
      </x:c>
    </x:row>
    <x:row r="918">
      <x:c r="A918" s="36" t="str">
        <x:v>2026-07-29</x:v>
      </x:c>
      <x:c r="B918" s="18" t="str">
        <x:v>101437000_98863</x:v>
      </x:c>
      <x:c r="C918" s="18" t="str">
        <x:v>【沪村小电】欣菊苑充电站</x:v>
      </x:c>
      <x:c r="D918" s="37" t="str">
        <x:v>4</x:v>
      </x:c>
      <x:c r="E918" s="37" t="str">
        <x:v>0</x:v>
      </x:c>
      <x:c r="F918" s="37" t="str">
        <x:v>7</x:v>
      </x:c>
      <x:c r="G918" s="37" t="str">
        <x:v>204.67</x:v>
      </x:c>
      <x:c r="H918" s="37" t="str">
        <x:v>0.00</x:v>
      </x:c>
      <x:c r="I918" s="37" t="str">
        <x:v>204.67</x:v>
      </x:c>
      <x:c r="J918" s="37" t="str">
        <x:v>0.00</x:v>
      </x:c>
      <x:c r="K918" s="37" t="str">
        <x:v>0.00</x:v>
      </x:c>
      <x:c r="L918" s="37" t="str">
        <x:v>266</x:v>
      </x:c>
      <x:c r="M918" s="29" t="str">
        <x:v>181.24</x:v>
      </x:c>
      <x:c r="N918" s="29" t="str">
        <x:v>145.33</x:v>
      </x:c>
      <x:c r="O918" s="29" t="str">
        <x:v>35.91</x:v>
      </x:c>
      <x:c r="P918" s="18" t="str">
        <x:v>2026-07-29</x:v>
      </x:c>
      <x:c r="Q918" s="36" t="n">
        <x:v>46232</x:v>
      </x:c>
    </x:row>
    <x:row r="919">
      <x:c r="A919" s="36" t="str">
        <x:v>2026-07-29</x:v>
      </x:c>
      <x:c r="B919" s="18" t="str">
        <x:v>101437000_98865</x:v>
      </x:c>
      <x:c r="C919" s="18" t="str">
        <x:v>【沪村小电】欣松苑充电站</x:v>
      </x:c>
      <x:c r="D919" s="37" t="str">
        <x:v>4</x:v>
      </x:c>
      <x:c r="E919" s="37" t="str">
        <x:v>0</x:v>
      </x:c>
      <x:c r="F919" s="37" t="str">
        <x:v>25</x:v>
      </x:c>
      <x:c r="G919" s="37" t="str">
        <x:v>636.81</x:v>
      </x:c>
      <x:c r="H919" s="37" t="str">
        <x:v>0.00</x:v>
      </x:c>
      <x:c r="I919" s="37" t="str">
        <x:v>636.81</x:v>
      </x:c>
      <x:c r="J919" s="37" t="str">
        <x:v>0.00</x:v>
      </x:c>
      <x:c r="K919" s="37" t="str">
        <x:v>0.00</x:v>
      </x:c>
      <x:c r="L919" s="37" t="str">
        <x:v>888</x:v>
      </x:c>
      <x:c r="M919" s="29" t="str">
        <x:v>659.94</x:v>
      </x:c>
      <x:c r="N919" s="29" t="str">
        <x:v>452.13</x:v>
      </x:c>
      <x:c r="O919" s="29" t="str">
        <x:v>207.81</x:v>
      </x:c>
      <x:c r="P919" s="18" t="str">
        <x:v>2026-07-29</x:v>
      </x:c>
      <x:c r="Q919" s="36" t="n">
        <x:v>46232</x:v>
      </x:c>
    </x:row>
    <x:row r="920">
      <x:c r="A920" s="36" t="str">
        <x:v>2026-07-29</x:v>
      </x:c>
      <x:c r="B920" s="18" t="str">
        <x:v>101437000_98867</x:v>
      </x:c>
      <x:c r="C920" s="18" t="str">
        <x:v>【沪村小电】欣荷苑充电站</x:v>
      </x:c>
      <x:c r="D920" s="37" t="str">
        <x:v>4</x:v>
      </x:c>
      <x:c r="E920" s="37" t="str">
        <x:v>0</x:v>
      </x:c>
      <x:c r="F920" s="37" t="str">
        <x:v>6</x:v>
      </x:c>
      <x:c r="G920" s="37" t="str">
        <x:v>151.27</x:v>
      </x:c>
      <x:c r="H920" s="37" t="str">
        <x:v>0.00</x:v>
      </x:c>
      <x:c r="I920" s="37" t="str">
        <x:v>120.39</x:v>
      </x:c>
      <x:c r="J920" s="37" t="str">
        <x:v>0.00</x:v>
      </x:c>
      <x:c r="K920" s="37" t="str">
        <x:v>30.88</x:v>
      </x:c>
      <x:c r="L920" s="37" t="str">
        <x:v>265</x:v>
      </x:c>
      <x:c r="M920" s="29" t="str">
        <x:v>118.52</x:v>
      </x:c>
      <x:c r="N920" s="29" t="str">
        <x:v>96.91</x:v>
      </x:c>
      <x:c r="O920" s="29" t="str">
        <x:v>21.61</x:v>
      </x:c>
      <x:c r="P920" s="18" t="str">
        <x:v>2026-07-29</x:v>
      </x:c>
      <x:c r="Q920" s="36" t="n">
        <x:v>46232</x:v>
      </x:c>
    </x:row>
    <x:row r="921">
      <x:c r="A921" s="36" t="str">
        <x:v>2026-07-29</x:v>
      </x:c>
      <x:c r="B921" s="18" t="str">
        <x:v>101437000_99885</x:v>
      </x:c>
      <x:c r="C921" s="18" t="str">
        <x:v>【沪村小电】汇丰馨苑充电站</x:v>
      </x:c>
      <x:c r="D921" s="37" t="str">
        <x:v>4</x:v>
      </x:c>
      <x:c r="E921" s="37" t="str">
        <x:v>0</x:v>
      </x:c>
      <x:c r="F921" s="37" t="str">
        <x:v>13</x:v>
      </x:c>
      <x:c r="G921" s="37" t="str">
        <x:v>314.40</x:v>
      </x:c>
      <x:c r="H921" s="37" t="str">
        <x:v>0.00</x:v>
      </x:c>
      <x:c r="I921" s="37" t="str">
        <x:v>194.30</x:v>
      </x:c>
      <x:c r="J921" s="37" t="str">
        <x:v>0.00</x:v>
      </x:c>
      <x:c r="K921" s="37" t="str">
        <x:v>120.10</x:v>
      </x:c>
      <x:c r="L921" s="37" t="str">
        <x:v>484</x:v>
      </x:c>
      <x:c r="M921" s="29" t="str">
        <x:v>257.59</x:v>
      </x:c>
      <x:c r="N921" s="29" t="str">
        <x:v>182.39</x:v>
      </x:c>
      <x:c r="O921" s="29" t="str">
        <x:v>75.20</x:v>
      </x:c>
      <x:c r="P921" s="18" t="str">
        <x:v>2026-07-29</x:v>
      </x:c>
      <x:c r="Q921" s="36" t="n">
        <x:v>46232</x:v>
      </x:c>
    </x:row>
    <x:row r="922">
      <x:c r="A922" s="36" t="str">
        <x:v>2026-07-29</x:v>
      </x:c>
      <x:c r="B922" s="18" t="str">
        <x:v>101437000_99887</x:v>
      </x:c>
      <x:c r="C922" s="18" t="str">
        <x:v>【沪村小电】新南村河南小区充电站</x:v>
      </x:c>
      <x:c r="D922" s="37" t="str">
        <x:v>2</x:v>
      </x:c>
      <x:c r="E922" s="37" t="str">
        <x:v>0</x:v>
      </x:c>
      <x:c r="F922" s="37" t="str">
        <x:v>12</x:v>
      </x:c>
      <x:c r="G922" s="37" t="str">
        <x:v>367.99</x:v>
      </x:c>
      <x:c r="H922" s="37" t="str">
        <x:v>0.00</x:v>
      </x:c>
      <x:c r="I922" s="37" t="str">
        <x:v>156.24</x:v>
      </x:c>
      <x:c r="J922" s="37" t="str">
        <x:v>0.00</x:v>
      </x:c>
      <x:c r="K922" s="37" t="str">
        <x:v>211.75</x:v>
      </x:c>
      <x:c r="L922" s="37" t="str">
        <x:v>600</x:v>
      </x:c>
      <x:c r="M922" s="29" t="str">
        <x:v>253.61</x:v>
      </x:c>
      <x:c r="N922" s="29" t="str">
        <x:v>189.25</x:v>
      </x:c>
      <x:c r="O922" s="29" t="str">
        <x:v>64.36</x:v>
      </x:c>
      <x:c r="P922" s="18" t="str">
        <x:v>2026-07-29</x:v>
      </x:c>
      <x:c r="Q922" s="36" t="n">
        <x:v>46232</x:v>
      </x:c>
    </x:row>
    <x:row r="923">
      <x:c r="A923" s="36" t="str">
        <x:v>2026-07-29</x:v>
      </x:c>
      <x:c r="B923" s="18" t="str">
        <x:v>101437000_99889</x:v>
      </x:c>
      <x:c r="C923" s="18" t="str">
        <x:v>【沪村小电】漕泾郊野公园</x:v>
      </x:c>
      <x:c r="D923" s="37" t="str">
        <x:v>2</x:v>
      </x:c>
      <x:c r="E923" s="37" t="str">
        <x:v>0</x:v>
      </x:c>
      <x:c r="F923" s="37" t="str">
        <x:v>6</x:v>
      </x:c>
      <x:c r="G923" s="37" t="str">
        <x:v>143.08</x:v>
      </x:c>
      <x:c r="H923" s="37" t="str">
        <x:v>0.00</x:v>
      </x:c>
      <x:c r="I923" s="37" t="str">
        <x:v>143.08</x:v>
      </x:c>
      <x:c r="J923" s="37" t="str">
        <x:v>0.00</x:v>
      </x:c>
      <x:c r="K923" s="37" t="str">
        <x:v>0.00</x:v>
      </x:c>
      <x:c r="L923" s="37" t="str">
        <x:v>212</x:v>
      </x:c>
      <x:c r="M923" s="29" t="str">
        <x:v>163.67</x:v>
      </x:c>
      <x:c r="N923" s="29" t="str">
        <x:v>108.74</x:v>
      </x:c>
      <x:c r="O923" s="29" t="str">
        <x:v>54.93</x:v>
      </x:c>
      <x:c r="P923" s="18" t="str">
        <x:v>2026-07-29</x:v>
      </x:c>
      <x:c r="Q923" s="36" t="n">
        <x:v>46232</x:v>
      </x:c>
    </x:row>
    <x:row r="924">
      <x:c r="A924" s="36" t="str">
        <x:v>2026-07-29</x:v>
      </x:c>
      <x:c r="B924" s="18" t="str">
        <x:v>101437000_99891</x:v>
      </x:c>
      <x:c r="C924" s="18" t="str">
        <x:v>【沪村小电】水韵紫城充电站</x:v>
      </x:c>
      <x:c r="D924" s="37" t="str">
        <x:v>4</x:v>
      </x:c>
      <x:c r="E924" s="37" t="str">
        <x:v>0</x:v>
      </x:c>
      <x:c r="F924" s="37" t="str">
        <x:v>40</x:v>
      </x:c>
      <x:c r="G924" s="37" t="str">
        <x:v>873.87</x:v>
      </x:c>
      <x:c r="H924" s="37" t="str">
        <x:v>0.00</x:v>
      </x:c>
      <x:c r="I924" s="37" t="str">
        <x:v>671.51</x:v>
      </x:c>
      <x:c r="J924" s="37" t="str">
        <x:v>0.00</x:v>
      </x:c>
      <x:c r="K924" s="37" t="str">
        <x:v>202.35</x:v>
      </x:c>
      <x:c r="L924" s="37" t="str">
        <x:v>1217</x:v>
      </x:c>
      <x:c r="M924" s="29" t="str">
        <x:v>862.46</x:v>
      </x:c>
      <x:c r="N924" s="29" t="str">
        <x:v>551.64</x:v>
      </x:c>
      <x:c r="O924" s="29" t="str">
        <x:v>310.82</x:v>
      </x:c>
      <x:c r="P924" s="18" t="str">
        <x:v>2026-07-29</x:v>
      </x:c>
      <x:c r="Q924" s="36" t="n">
        <x:v>46232</x:v>
      </x:c>
    </x:row>
    <x:row r="925">
      <x:c r="A925" s="36" t="str">
        <x:v>2026-07-28</x:v>
      </x:c>
      <x:c r="B925" s="18" t="str">
        <x:v>101437000_101531</x:v>
      </x:c>
      <x:c r="C925" s="18" t="str">
        <x:v>【沪村小电】汇中苑充电站</x:v>
      </x:c>
      <x:c r="D925" s="37" t="str">
        <x:v>2</x:v>
      </x:c>
      <x:c r="E925" s="37" t="str">
        <x:v>0</x:v>
      </x:c>
      <x:c r="F925" s="37" t="str">
        <x:v>16</x:v>
      </x:c>
      <x:c r="G925" s="37" t="str">
        <x:v>384.89</x:v>
      </x:c>
      <x:c r="H925" s="37" t="str">
        <x:v>0.00</x:v>
      </x:c>
      <x:c r="I925" s="37" t="str">
        <x:v>0.00</x:v>
      </x:c>
      <x:c r="J925" s="37" t="str">
        <x:v>240.12</x:v>
      </x:c>
      <x:c r="K925" s="37" t="str">
        <x:v>144.77</x:v>
      </x:c>
      <x:c r="L925" s="37" t="str">
        <x:v>760</x:v>
      </x:c>
      <x:c r="M925" s="29" t="str">
        <x:v>336.69</x:v>
      </x:c>
      <x:c r="N925" s="29" t="str">
        <x:v>225.99</x:v>
      </x:c>
      <x:c r="O925" s="29" t="str">
        <x:v>110.70</x:v>
      </x:c>
      <x:c r="P925" s="18" t="str">
        <x:v>2026-07-28</x:v>
      </x:c>
      <x:c r="Q925" s="36" t="n">
        <x:v>46231</x:v>
      </x:c>
    </x:row>
    <x:row r="926">
      <x:c r="A926" s="36" t="str">
        <x:v>2026-07-28</x:v>
      </x:c>
      <x:c r="B926" s="18" t="str">
        <x:v>101437000_102043</x:v>
      </x:c>
      <x:c r="C926" s="18" t="str">
        <x:v>【沪村小电】市民广场停车场充电站</x:v>
      </x:c>
      <x:c r="D926" s="37" t="str">
        <x:v>2</x:v>
      </x:c>
      <x:c r="E926" s="37" t="str">
        <x:v>0</x:v>
      </x:c>
      <x:c r="F926" s="37" t="str">
        <x:v>1</x:v>
      </x:c>
      <x:c r="G926" s="37" t="str">
        <x:v>11.36</x:v>
      </x:c>
      <x:c r="H926" s="37" t="str">
        <x:v>0.00</x:v>
      </x:c>
      <x:c r="I926" s="37" t="str">
        <x:v>0.00</x:v>
      </x:c>
      <x:c r="J926" s="37" t="str">
        <x:v>11.36</x:v>
      </x:c>
      <x:c r="K926" s="37" t="str">
        <x:v>0.00</x:v>
      </x:c>
      <x:c r="L926" s="37" t="str">
        <x:v>21</x:v>
      </x:c>
      <x:c r="M926" s="29" t="str">
        <x:v>13.07</x:v>
      </x:c>
      <x:c r="N926" s="29" t="str">
        <x:v>8.07</x:v>
      </x:c>
      <x:c r="O926" s="29" t="str">
        <x:v>5.00</x:v>
      </x:c>
      <x:c r="P926" s="18" t="str">
        <x:v>2026-07-28</x:v>
      </x:c>
      <x:c r="Q926" s="36" t="n">
        <x:v>46231</x:v>
      </x:c>
    </x:row>
    <x:row r="927">
      <x:c r="A927" s="36" t="str">
        <x:v>2026-07-28</x:v>
      </x:c>
      <x:c r="B927" s="18" t="str">
        <x:v>101437000_102047</x:v>
      </x:c>
      <x:c r="C927" s="18" t="str">
        <x:v>【沪村小电】后浜小区9弄小区南面停车场充电站</x:v>
      </x:c>
      <x:c r="D927" s="37" t="str">
        <x:v>8</x:v>
      </x:c>
      <x:c r="E927" s="37" t="str">
        <x:v>0</x:v>
      </x:c>
      <x:c r="F927" s="37" t="str">
        <x:v>35</x:v>
      </x:c>
      <x:c r="G927" s="37" t="str">
        <x:v>672.67</x:v>
      </x:c>
      <x:c r="H927" s="37" t="str">
        <x:v>0.00</x:v>
      </x:c>
      <x:c r="I927" s="37" t="str">
        <x:v>541.84</x:v>
      </x:c>
      <x:c r="J927" s="37" t="str">
        <x:v>0.00</x:v>
      </x:c>
      <x:c r="K927" s="37" t="str">
        <x:v>130.83</x:v>
      </x:c>
      <x:c r="L927" s="37" t="str">
        <x:v>1050</x:v>
      </x:c>
      <x:c r="M927" s="29" t="str">
        <x:v>705.00</x:v>
      </x:c>
      <x:c r="N927" s="29" t="str">
        <x:v>446.19</x:v>
      </x:c>
      <x:c r="O927" s="29" t="str">
        <x:v>258.81</x:v>
      </x:c>
      <x:c r="P927" s="18" t="str">
        <x:v>2026-07-28</x:v>
      </x:c>
      <x:c r="Q927" s="36" t="n">
        <x:v>46231</x:v>
      </x:c>
    </x:row>
    <x:row r="928">
      <x:c r="A928" s="36" t="str">
        <x:v>2026-07-28</x:v>
      </x:c>
      <x:c r="B928" s="18" t="str">
        <x:v>101437000_103503</x:v>
      </x:c>
      <x:c r="C928" s="18" t="str">
        <x:v>【沪村小电】阳光城新界充电站</x:v>
      </x:c>
      <x:c r="D928" s="37" t="str">
        <x:v>4</x:v>
      </x:c>
      <x:c r="E928" s="37" t="str">
        <x:v>0</x:v>
      </x:c>
      <x:c r="F928" s="37" t="str">
        <x:v>15</x:v>
      </x:c>
      <x:c r="G928" s="37" t="str">
        <x:v>345.61</x:v>
      </x:c>
      <x:c r="H928" s="37" t="str">
        <x:v>0.00</x:v>
      </x:c>
      <x:c r="I928" s="37" t="str">
        <x:v>281.05</x:v>
      </x:c>
      <x:c r="J928" s="37" t="str">
        <x:v>0.00</x:v>
      </x:c>
      <x:c r="K928" s="37" t="str">
        <x:v>64.56</x:v>
      </x:c>
      <x:c r="L928" s="37" t="str">
        <x:v>515</x:v>
      </x:c>
      <x:c r="M928" s="29" t="str">
        <x:v>386.46</x:v>
      </x:c>
      <x:c r="N928" s="29" t="str">
        <x:v>245.04</x:v>
      </x:c>
      <x:c r="O928" s="29" t="str">
        <x:v>141.42</x:v>
      </x:c>
      <x:c r="P928" s="18" t="str">
        <x:v>2026-07-28</x:v>
      </x:c>
      <x:c r="Q928" s="36" t="n">
        <x:v>46231</x:v>
      </x:c>
    </x:row>
    <x:row r="929">
      <x:c r="A929" s="36" t="str">
        <x:v>2026-07-28</x:v>
      </x:c>
      <x:c r="B929" s="18" t="str">
        <x:v>101437000_41561</x:v>
      </x:c>
      <x:c r="C929" s="18" t="str">
        <x:v>【沪村小电】张施小区大门处快充站</x:v>
      </x:c>
      <x:c r="D929" s="37" t="str">
        <x:v>2</x:v>
      </x:c>
      <x:c r="E929" s="37" t="str">
        <x:v>0</x:v>
      </x:c>
      <x:c r="F929" s="37" t="str">
        <x:v>41</x:v>
      </x:c>
      <x:c r="G929" s="37" t="str">
        <x:v>1146.64</x:v>
      </x:c>
      <x:c r="H929" s="37" t="str">
        <x:v>0.00</x:v>
      </x:c>
      <x:c r="I929" s="37" t="str">
        <x:v>453.49</x:v>
      </x:c>
      <x:c r="J929" s="37" t="str">
        <x:v>0.00</x:v>
      </x:c>
      <x:c r="K929" s="37" t="str">
        <x:v>693.15</x:v>
      </x:c>
      <x:c r="L929" s="37" t="str">
        <x:v>1985</x:v>
      </x:c>
      <x:c r="M929" s="29" t="str">
        <x:v>829.40</x:v>
      </x:c>
      <x:c r="N929" s="29" t="str">
        <x:v>578.40</x:v>
      </x:c>
      <x:c r="O929" s="29" t="str">
        <x:v>251.00</x:v>
      </x:c>
      <x:c r="P929" s="18" t="str">
        <x:v>2026-07-28</x:v>
      </x:c>
      <x:c r="Q929" s="36" t="n">
        <x:v>46231</x:v>
      </x:c>
    </x:row>
    <x:row r="930">
      <x:c r="A930" s="36" t="str">
        <x:v>2026-07-28</x:v>
      </x:c>
      <x:c r="B930" s="18" t="str">
        <x:v>101437000_41563</x:v>
      </x:c>
      <x:c r="C930" s="18" t="str">
        <x:v>【沪村小电】同心村快充站</x:v>
      </x:c>
      <x:c r="D930" s="37" t="str">
        <x:v>4</x:v>
      </x:c>
      <x:c r="E930" s="37" t="str">
        <x:v>0</x:v>
      </x:c>
      <x:c r="F930" s="37" t="str">
        <x:v>58</x:v>
      </x:c>
      <x:c r="G930" s="37" t="str">
        <x:v>1360.02</x:v>
      </x:c>
      <x:c r="H930" s="37" t="str">
        <x:v>0.00</x:v>
      </x:c>
      <x:c r="I930" s="37" t="str">
        <x:v>972.41</x:v>
      </x:c>
      <x:c r="J930" s="37" t="str">
        <x:v>0.00</x:v>
      </x:c>
      <x:c r="K930" s="37" t="str">
        <x:v>387.61</x:v>
      </x:c>
      <x:c r="L930" s="37" t="str">
        <x:v>2477</x:v>
      </x:c>
      <x:c r="M930" s="29" t="str">
        <x:v>1294.57</x:v>
      </x:c>
      <x:c r="N930" s="29" t="str">
        <x:v>833.81</x:v>
      </x:c>
      <x:c r="O930" s="29" t="str">
        <x:v>460.76</x:v>
      </x:c>
      <x:c r="P930" s="18" t="str">
        <x:v>2026-07-28</x:v>
      </x:c>
      <x:c r="Q930" s="36" t="n">
        <x:v>46231</x:v>
      </x:c>
    </x:row>
    <x:row r="931">
      <x:c r="A931" s="36" t="str">
        <x:v>2026-07-28</x:v>
      </x:c>
      <x:c r="B931" s="18" t="str">
        <x:v>101437000_69629</x:v>
      </x:c>
      <x:c r="C931" s="18" t="str">
        <x:v>【沪村小电】骏丰玲珑坊西苑充电站</x:v>
      </x:c>
      <x:c r="D931" s="37" t="str">
        <x:v>2</x:v>
      </x:c>
      <x:c r="E931" s="37" t="str">
        <x:v>0</x:v>
      </x:c>
      <x:c r="F931" s="37" t="str">
        <x:v>58</x:v>
      </x:c>
      <x:c r="G931" s="37" t="str">
        <x:v>1375.31</x:v>
      </x:c>
      <x:c r="H931" s="37" t="str">
        <x:v>0.00</x:v>
      </x:c>
      <x:c r="I931" s="37" t="str">
        <x:v>793.90</x:v>
      </x:c>
      <x:c r="J931" s="37" t="str">
        <x:v>0.00</x:v>
      </x:c>
      <x:c r="K931" s="37" t="str">
        <x:v>581.41</x:v>
      </x:c>
      <x:c r="L931" s="37" t="str">
        <x:v>2560</x:v>
      </x:c>
      <x:c r="M931" s="29" t="str">
        <x:v>1184.96</x:v>
      </x:c>
      <x:c r="N931" s="29" t="str">
        <x:v>778.77</x:v>
      </x:c>
      <x:c r="O931" s="29" t="str">
        <x:v>406.19</x:v>
      </x:c>
      <x:c r="P931" s="18" t="str">
        <x:v>2026-07-28</x:v>
      </x:c>
      <x:c r="Q931" s="36" t="n">
        <x:v>46231</x:v>
      </x:c>
    </x:row>
    <x:row r="932">
      <x:c r="A932" s="36" t="str">
        <x:v>2026-07-28</x:v>
      </x:c>
      <x:c r="B932" s="18" t="str">
        <x:v>101437000_70547</x:v>
      </x:c>
      <x:c r="C932" s="18" t="str">
        <x:v>【沪村小电】农建村初心馆党群服务中心充电站</x:v>
      </x:c>
      <x:c r="D932" s="37" t="str">
        <x:v>4</x:v>
      </x:c>
      <x:c r="E932" s="37" t="str">
        <x:v>0</x:v>
      </x:c>
      <x:c r="F932" s="37" t="str">
        <x:v>27</x:v>
      </x:c>
      <x:c r="G932" s="37" t="str">
        <x:v>492.70</x:v>
      </x:c>
      <x:c r="H932" s="37" t="str">
        <x:v>0.00</x:v>
      </x:c>
      <x:c r="I932" s="37" t="str">
        <x:v>268.22</x:v>
      </x:c>
      <x:c r="J932" s="37" t="str">
        <x:v>0.00</x:v>
      </x:c>
      <x:c r="K932" s="37" t="str">
        <x:v>224.48</x:v>
      </x:c>
      <x:c r="L932" s="37" t="str">
        <x:v>944</x:v>
      </x:c>
      <x:c r="M932" s="29" t="str">
        <x:v>447.97</x:v>
      </x:c>
      <x:c r="N932" s="29" t="str">
        <x:v>273.50</x:v>
      </x:c>
      <x:c r="O932" s="29" t="str">
        <x:v>174.47</x:v>
      </x:c>
      <x:c r="P932" s="18" t="str">
        <x:v>2026-07-28</x:v>
      </x:c>
      <x:c r="Q932" s="36" t="n">
        <x:v>46231</x:v>
      </x:c>
    </x:row>
    <x:row r="933">
      <x:c r="A933" s="36" t="str">
        <x:v>2026-07-28</x:v>
      </x:c>
      <x:c r="B933" s="18" t="str">
        <x:v>101437000_70549</x:v>
      </x:c>
      <x:c r="C933" s="18" t="str">
        <x:v>【沪村小电】学府路充电站</x:v>
      </x:c>
      <x:c r="D933" s="37" t="str">
        <x:v>2</x:v>
      </x:c>
      <x:c r="E933" s="37" t="str">
        <x:v>0</x:v>
      </x:c>
      <x:c r="F933" s="37" t="str">
        <x:v>6</x:v>
      </x:c>
      <x:c r="G933" s="37" t="str">
        <x:v>204.88</x:v>
      </x:c>
      <x:c r="H933" s="37" t="str">
        <x:v>0.00</x:v>
      </x:c>
      <x:c r="I933" s="37" t="str">
        <x:v>29.08</x:v>
      </x:c>
      <x:c r="J933" s="37" t="str">
        <x:v>0.00</x:v>
      </x:c>
      <x:c r="K933" s="37" t="str">
        <x:v>175.79</x:v>
      </x:c>
      <x:c r="L933" s="37" t="str">
        <x:v>396</x:v>
      </x:c>
      <x:c r="M933" s="29" t="str">
        <x:v>146.32</x:v>
      </x:c>
      <x:c r="N933" s="29" t="str">
        <x:v>85.69</x:v>
      </x:c>
      <x:c r="O933" s="29" t="str">
        <x:v>60.63</x:v>
      </x:c>
      <x:c r="P933" s="18" t="str">
        <x:v>2026-07-28</x:v>
      </x:c>
      <x:c r="Q933" s="36" t="n">
        <x:v>46231</x:v>
      </x:c>
    </x:row>
    <x:row r="934">
      <x:c r="A934" s="36" t="str">
        <x:v>2026-07-28</x:v>
      </x:c>
      <x:c r="B934" s="18" t="str">
        <x:v>101437000_71059</x:v>
      </x:c>
      <x:c r="C934" s="18" t="str">
        <x:v>【沪村小电】宝乐汇商业广场站</x:v>
      </x:c>
      <x:c r="D934" s="37" t="str">
        <x:v>4</x:v>
      </x:c>
      <x:c r="E934" s="37" t="str">
        <x:v>0</x:v>
      </x:c>
      <x:c r="F934" s="37" t="str">
        <x:v>21</x:v>
      </x:c>
      <x:c r="G934" s="37" t="str">
        <x:v>482.32</x:v>
      </x:c>
      <x:c r="H934" s="37" t="str">
        <x:v>0.00</x:v>
      </x:c>
      <x:c r="I934" s="37" t="str">
        <x:v>263.21</x:v>
      </x:c>
      <x:c r="J934" s="37" t="str">
        <x:v>0.00</x:v>
      </x:c>
      <x:c r="K934" s="37" t="str">
        <x:v>219.11</x:v>
      </x:c>
      <x:c r="L934" s="37" t="str">
        <x:v>795</x:v>
      </x:c>
      <x:c r="M934" s="29" t="str">
        <x:v>444.24</x:v>
      </x:c>
      <x:c r="N934" s="29" t="str">
        <x:v>337.69</x:v>
      </x:c>
      <x:c r="O934" s="29" t="str">
        <x:v>106.55</x:v>
      </x:c>
      <x:c r="P934" s="18" t="str">
        <x:v>2026-07-28</x:v>
      </x:c>
      <x:c r="Q934" s="36" t="n">
        <x:v>46231</x:v>
      </x:c>
    </x:row>
    <x:row r="935">
      <x:c r="A935" s="36" t="str">
        <x:v>2026-07-28</x:v>
      </x:c>
      <x:c r="B935" s="18" t="str">
        <x:v>101437000_72541</x:v>
      </x:c>
      <x:c r="C935" s="18" t="str">
        <x:v>【沪村小电】九干路1174弄充电站</x:v>
      </x:c>
      <x:c r="D935" s="37" t="str">
        <x:v>2</x:v>
      </x:c>
      <x:c r="E935" s="37" t="str">
        <x:v>0</x:v>
      </x:c>
      <x:c r="F935" s="37" t="str">
        <x:v>52</x:v>
      </x:c>
      <x:c r="G935" s="37" t="str">
        <x:v>1405.26</x:v>
      </x:c>
      <x:c r="H935" s="37" t="str">
        <x:v>0.00</x:v>
      </x:c>
      <x:c r="I935" s="37" t="str">
        <x:v>968.97</x:v>
      </x:c>
      <x:c r="J935" s="37" t="str">
        <x:v>0.00</x:v>
      </x:c>
      <x:c r="K935" s="37" t="str">
        <x:v>436.29</x:v>
      </x:c>
      <x:c r="L935" s="37" t="str">
        <x:v>2175</x:v>
      </x:c>
      <x:c r="M935" s="29" t="str">
        <x:v>1267.81</x:v>
      </x:c>
      <x:c r="N935" s="29" t="str">
        <x:v>849.40</x:v>
      </x:c>
      <x:c r="O935" s="29" t="str">
        <x:v>418.41</x:v>
      </x:c>
      <x:c r="P935" s="18" t="str">
        <x:v>2026-07-28</x:v>
      </x:c>
      <x:c r="Q935" s="36" t="n">
        <x:v>46231</x:v>
      </x:c>
    </x:row>
    <x:row r="936">
      <x:c r="A936" s="36" t="str">
        <x:v>2026-07-28</x:v>
      </x:c>
      <x:c r="B936" s="18" t="str">
        <x:v>101437000_72543</x:v>
      </x:c>
      <x:c r="C936" s="18" t="str">
        <x:v>【沪村小电】叶家中心村小区充电站</x:v>
      </x:c>
      <x:c r="D936" s="37" t="str">
        <x:v>2</x:v>
      </x:c>
      <x:c r="E936" s="37" t="str">
        <x:v>0</x:v>
      </x:c>
      <x:c r="F936" s="37" t="str">
        <x:v>42</x:v>
      </x:c>
      <x:c r="G936" s="37" t="str">
        <x:v>1197.77</x:v>
      </x:c>
      <x:c r="H936" s="37" t="str">
        <x:v>0.00</x:v>
      </x:c>
      <x:c r="I936" s="37" t="str">
        <x:v>593.37</x:v>
      </x:c>
      <x:c r="J936" s="37" t="str">
        <x:v>0.00</x:v>
      </x:c>
      <x:c r="K936" s="37" t="str">
        <x:v>604.40</x:v>
      </x:c>
      <x:c r="L936" s="37" t="str">
        <x:v>2152</x:v>
      </x:c>
      <x:c r="M936" s="29" t="str">
        <x:v>938.33</x:v>
      </x:c>
      <x:c r="N936" s="29" t="str">
        <x:v>644.92</x:v>
      </x:c>
      <x:c r="O936" s="29" t="str">
        <x:v>293.41</x:v>
      </x:c>
      <x:c r="P936" s="18" t="str">
        <x:v>2026-07-28</x:v>
      </x:c>
      <x:c r="Q936" s="36" t="n">
        <x:v>46231</x:v>
      </x:c>
    </x:row>
    <x:row r="937">
      <x:c r="A937" s="36" t="str">
        <x:v>2026-07-28</x:v>
      </x:c>
      <x:c r="B937" s="18" t="str">
        <x:v>101437000_72937</x:v>
      </x:c>
      <x:c r="C937" s="18" t="str">
        <x:v>【沪村小电】佘北家园茸腾苑充电站</x:v>
      </x:c>
      <x:c r="D937" s="37" t="str">
        <x:v>4</x:v>
      </x:c>
      <x:c r="E937" s="37" t="str">
        <x:v>0</x:v>
      </x:c>
      <x:c r="F937" s="37" t="str">
        <x:v>21</x:v>
      </x:c>
      <x:c r="G937" s="37" t="str">
        <x:v>513.41</x:v>
      </x:c>
      <x:c r="H937" s="37" t="str">
        <x:v>0.00</x:v>
      </x:c>
      <x:c r="I937" s="37" t="str">
        <x:v>513.41</x:v>
      </x:c>
      <x:c r="J937" s="37" t="str">
        <x:v>0.00</x:v>
      </x:c>
      <x:c r="K937" s="37" t="str">
        <x:v>0.00</x:v>
      </x:c>
      <x:c r="L937" s="37" t="str">
        <x:v>823</x:v>
      </x:c>
      <x:c r="M937" s="29" t="str">
        <x:v>530.78</x:v>
      </x:c>
      <x:c r="N937" s="29" t="str">
        <x:v>364.53</x:v>
      </x:c>
      <x:c r="O937" s="29" t="str">
        <x:v>166.25</x:v>
      </x:c>
      <x:c r="P937" s="18" t="str">
        <x:v>2026-07-28</x:v>
      </x:c>
      <x:c r="Q937" s="36" t="n">
        <x:v>46231</x:v>
      </x:c>
    </x:row>
    <x:row r="938">
      <x:c r="A938" s="36" t="str">
        <x:v>2026-07-28</x:v>
      </x:c>
      <x:c r="B938" s="18" t="str">
        <x:v>101437000_74223</x:v>
      </x:c>
      <x:c r="C938" s="18" t="str">
        <x:v>【沪村小电】中兴村委会充电站</x:v>
      </x:c>
      <x:c r="D938" s="37" t="str">
        <x:v>2</x:v>
      </x:c>
      <x:c r="E938" s="37" t="str">
        <x:v>0</x:v>
      </x:c>
      <x:c r="F938" s="37" t="str">
        <x:v>23</x:v>
      </x:c>
      <x:c r="G938" s="37" t="str">
        <x:v>718.79</x:v>
      </x:c>
      <x:c r="H938" s="37" t="str">
        <x:v>0.00</x:v>
      </x:c>
      <x:c r="I938" s="37" t="str">
        <x:v>412.44</x:v>
      </x:c>
      <x:c r="J938" s="37" t="str">
        <x:v>0.00</x:v>
      </x:c>
      <x:c r="K938" s="37" t="str">
        <x:v>306.34</x:v>
      </x:c>
      <x:c r="L938" s="37" t="str">
        <x:v>887</x:v>
      </x:c>
      <x:c r="M938" s="29" t="str">
        <x:v>648.06</x:v>
      </x:c>
      <x:c r="N938" s="29" t="str">
        <x:v>406.19</x:v>
      </x:c>
      <x:c r="O938" s="29" t="str">
        <x:v>241.87</x:v>
      </x:c>
      <x:c r="P938" s="18" t="str">
        <x:v>2026-07-28</x:v>
      </x:c>
      <x:c r="Q938" s="36" t="n">
        <x:v>46231</x:v>
      </x:c>
    </x:row>
    <x:row r="939">
      <x:c r="A939" s="36" t="str">
        <x:v>2026-07-28</x:v>
      </x:c>
      <x:c r="B939" s="18" t="str">
        <x:v>101437000_74801</x:v>
      </x:c>
      <x:c r="C939" s="18" t="str">
        <x:v>【沪村小电】申良花园充电站</x:v>
      </x:c>
      <x:c r="D939" s="37" t="str">
        <x:v>4</x:v>
      </x:c>
      <x:c r="E939" s="37" t="str">
        <x:v>0</x:v>
      </x:c>
      <x:c r="F939" s="37" t="str">
        <x:v>17</x:v>
      </x:c>
      <x:c r="G939" s="37" t="str">
        <x:v>237.85</x:v>
      </x:c>
      <x:c r="H939" s="37" t="str">
        <x:v>0.00</x:v>
      </x:c>
      <x:c r="I939" s="37" t="str">
        <x:v>192.62</x:v>
      </x:c>
      <x:c r="J939" s="37" t="str">
        <x:v>0.00</x:v>
      </x:c>
      <x:c r="K939" s="37" t="str">
        <x:v>45.23</x:v>
      </x:c>
      <x:c r="L939" s="37" t="str">
        <x:v>364</x:v>
      </x:c>
      <x:c r="M939" s="29" t="str">
        <x:v>252.86</x:v>
      </x:c>
      <x:c r="N939" s="29" t="str">
        <x:v>153.49</x:v>
      </x:c>
      <x:c r="O939" s="29" t="str">
        <x:v>99.37</x:v>
      </x:c>
      <x:c r="P939" s="18" t="str">
        <x:v>2026-07-28</x:v>
      </x:c>
      <x:c r="Q939" s="36" t="n">
        <x:v>46231</x:v>
      </x:c>
    </x:row>
    <x:row r="940">
      <x:c r="A940" s="36" t="str">
        <x:v>2026-07-28</x:v>
      </x:c>
      <x:c r="B940" s="18" t="str">
        <x:v>101437000_74931</x:v>
      </x:c>
      <x:c r="C940" s="18" t="str">
        <x:v>【沪村小电】枫雅南居充电站</x:v>
      </x:c>
      <x:c r="D940" s="37" t="str">
        <x:v>2</x:v>
      </x:c>
      <x:c r="E940" s="37" t="str">
        <x:v>0</x:v>
      </x:c>
      <x:c r="F940" s="37" t="str">
        <x:v>54</x:v>
      </x:c>
      <x:c r="G940" s="37" t="str">
        <x:v>1521.53</x:v>
      </x:c>
      <x:c r="H940" s="37" t="str">
        <x:v>0.00</x:v>
      </x:c>
      <x:c r="I940" s="37" t="str">
        <x:v>640.33</x:v>
      </x:c>
      <x:c r="J940" s="37" t="str">
        <x:v>0.00</x:v>
      </x:c>
      <x:c r="K940" s="37" t="str">
        <x:v>881.20</x:v>
      </x:c>
      <x:c r="L940" s="37" t="str">
        <x:v>2404</x:v>
      </x:c>
      <x:c r="M940" s="29" t="str">
        <x:v>985.32</x:v>
      </x:c>
      <x:c r="N940" s="29" t="str">
        <x:v>650.95</x:v>
      </x:c>
      <x:c r="O940" s="29" t="str">
        <x:v>334.37</x:v>
      </x:c>
      <x:c r="P940" s="18" t="str">
        <x:v>2026-07-28</x:v>
      </x:c>
      <x:c r="Q940" s="36" t="n">
        <x:v>46231</x:v>
      </x:c>
    </x:row>
    <x:row r="941">
      <x:c r="A941" s="36" t="str">
        <x:v>2026-07-28</x:v>
      </x:c>
      <x:c r="B941" s="18" t="str">
        <x:v>101437000_75901</x:v>
      </x:c>
      <x:c r="C941" s="18" t="str">
        <x:v>【沪村小电】金悦学府</x:v>
      </x:c>
      <x:c r="D941" s="37" t="str">
        <x:v>2</x:v>
      </x:c>
      <x:c r="E941" s="37" t="str">
        <x:v>0</x:v>
      </x:c>
      <x:c r="F941" s="37" t="str">
        <x:v>60</x:v>
      </x:c>
      <x:c r="G941" s="37" t="str">
        <x:v>1458.02</x:v>
      </x:c>
      <x:c r="H941" s="37" t="str">
        <x:v>0.00</x:v>
      </x:c>
      <x:c r="I941" s="37" t="str">
        <x:v>743.80</x:v>
      </x:c>
      <x:c r="J941" s="37" t="str">
        <x:v>0.00</x:v>
      </x:c>
      <x:c r="K941" s="37" t="str">
        <x:v>714.21</x:v>
      </x:c>
      <x:c r="L941" s="37" t="str">
        <x:v>2359</x:v>
      </x:c>
      <x:c r="M941" s="29" t="str">
        <x:v>1104.88</x:v>
      </x:c>
      <x:c r="N941" s="29" t="str">
        <x:v>660.24</x:v>
      </x:c>
      <x:c r="O941" s="29" t="str">
        <x:v>444.64</x:v>
      </x:c>
      <x:c r="P941" s="18" t="str">
        <x:v>2026-07-28</x:v>
      </x:c>
      <x:c r="Q941" s="36" t="n">
        <x:v>46231</x:v>
      </x:c>
    </x:row>
    <x:row r="942">
      <x:c r="A942" s="36" t="str">
        <x:v>2026-07-28</x:v>
      </x:c>
      <x:c r="B942" s="18" t="str">
        <x:v>101437000_76091</x:v>
      </x:c>
      <x:c r="C942" s="18" t="str">
        <x:v>【沪村小电】恒信家园充电站</x:v>
      </x:c>
      <x:c r="D942" s="37" t="str">
        <x:v>2</x:v>
      </x:c>
      <x:c r="E942" s="37" t="str">
        <x:v>0</x:v>
      </x:c>
      <x:c r="F942" s="37" t="str">
        <x:v>35</x:v>
      </x:c>
      <x:c r="G942" s="37" t="str">
        <x:v>972.92</x:v>
      </x:c>
      <x:c r="H942" s="37" t="str">
        <x:v>0.00</x:v>
      </x:c>
      <x:c r="I942" s="37" t="str">
        <x:v>533.51</x:v>
      </x:c>
      <x:c r="J942" s="37" t="str">
        <x:v>0.00</x:v>
      </x:c>
      <x:c r="K942" s="37" t="str">
        <x:v>439.41</x:v>
      </x:c>
      <x:c r="L942" s="37" t="str">
        <x:v>1489</x:v>
      </x:c>
      <x:c r="M942" s="29" t="str">
        <x:v>952.26</x:v>
      </x:c>
      <x:c r="N942" s="29" t="str">
        <x:v>541.35</x:v>
      </x:c>
      <x:c r="O942" s="29" t="str">
        <x:v>410.91</x:v>
      </x:c>
      <x:c r="P942" s="18" t="str">
        <x:v>2026-07-28</x:v>
      </x:c>
      <x:c r="Q942" s="36" t="n">
        <x:v>46231</x:v>
      </x:c>
    </x:row>
    <x:row r="943">
      <x:c r="A943" s="36" t="str">
        <x:v>2026-07-28</x:v>
      </x:c>
      <x:c r="B943" s="18" t="str">
        <x:v>101437000_76417</x:v>
      </x:c>
      <x:c r="C943" s="18" t="str">
        <x:v>【沪村小电】新春一组充电站</x:v>
      </x:c>
      <x:c r="D943" s="37" t="str">
        <x:v>2</x:v>
      </x:c>
      <x:c r="E943" s="37" t="str">
        <x:v>0</x:v>
      </x:c>
      <x:c r="F943" s="37" t="str">
        <x:v>31</x:v>
      </x:c>
      <x:c r="G943" s="37" t="str">
        <x:v>872.71</x:v>
      </x:c>
      <x:c r="H943" s="37" t="str">
        <x:v>0.00</x:v>
      </x:c>
      <x:c r="I943" s="37" t="str">
        <x:v>370.91</x:v>
      </x:c>
      <x:c r="J943" s="37" t="str">
        <x:v>0.00</x:v>
      </x:c>
      <x:c r="K943" s="37" t="str">
        <x:v>501.80</x:v>
      </x:c>
      <x:c r="L943" s="37" t="str">
        <x:v>1411</x:v>
      </x:c>
      <x:c r="M943" s="29" t="str">
        <x:v>660.41</x:v>
      </x:c>
      <x:c r="N943" s="29" t="str">
        <x:v>449.01</x:v>
      </x:c>
      <x:c r="O943" s="29" t="str">
        <x:v>211.40</x:v>
      </x:c>
      <x:c r="P943" s="18" t="str">
        <x:v>2026-07-28</x:v>
      </x:c>
      <x:c r="Q943" s="36" t="n">
        <x:v>46231</x:v>
      </x:c>
    </x:row>
    <x:row r="944">
      <x:c r="A944" s="36" t="str">
        <x:v>2026-07-28</x:v>
      </x:c>
      <x:c r="B944" s="18" t="str">
        <x:v>101437000_78235</x:v>
      </x:c>
      <x:c r="C944" s="18" t="str">
        <x:v>【沪村小电】欣秋苑充电站</x:v>
      </x:c>
      <x:c r="D944" s="37" t="str">
        <x:v>4</x:v>
      </x:c>
      <x:c r="E944" s="37" t="str">
        <x:v>0</x:v>
      </x:c>
      <x:c r="F944" s="37" t="str">
        <x:v>11</x:v>
      </x:c>
      <x:c r="G944" s="37" t="str">
        <x:v>263.63</x:v>
      </x:c>
      <x:c r="H944" s="37" t="str">
        <x:v>0.00</x:v>
      </x:c>
      <x:c r="I944" s="37" t="str">
        <x:v>142.19</x:v>
      </x:c>
      <x:c r="J944" s="37" t="str">
        <x:v>0.00</x:v>
      </x:c>
      <x:c r="K944" s="37" t="str">
        <x:v>121.43</x:v>
      </x:c>
      <x:c r="L944" s="37" t="str">
        <x:v>470</x:v>
      </x:c>
      <x:c r="M944" s="29" t="str">
        <x:v>206.05</x:v>
      </x:c>
      <x:c r="N944" s="29" t="str">
        <x:v>145.91</x:v>
      </x:c>
      <x:c r="O944" s="29" t="str">
        <x:v>60.14</x:v>
      </x:c>
      <x:c r="P944" s="18" t="str">
        <x:v>2026-07-28</x:v>
      </x:c>
      <x:c r="Q944" s="36" t="n">
        <x:v>46231</x:v>
      </x:c>
    </x:row>
    <x:row r="945">
      <x:c r="A945" s="36" t="str">
        <x:v>2026-07-28</x:v>
      </x:c>
      <x:c r="B945" s="18" t="str">
        <x:v>101437000_78237</x:v>
      </x:c>
      <x:c r="C945" s="18" t="str">
        <x:v>【沪村小电】奉馨苑西门小区内北侧充电站</x:v>
      </x:c>
      <x:c r="D945" s="37" t="str">
        <x:v>2</x:v>
      </x:c>
      <x:c r="E945" s="37" t="str">
        <x:v>0</x:v>
      </x:c>
      <x:c r="F945" s="37" t="str">
        <x:v>29</x:v>
      </x:c>
      <x:c r="G945" s="37" t="str">
        <x:v>796.79</x:v>
      </x:c>
      <x:c r="H945" s="37" t="str">
        <x:v>2.00</x:v>
      </x:c>
      <x:c r="I945" s="37" t="str">
        <x:v>193.93</x:v>
      </x:c>
      <x:c r="J945" s="37" t="str">
        <x:v>306.95</x:v>
      </x:c>
      <x:c r="K945" s="37" t="str">
        <x:v>293.90</x:v>
      </x:c>
      <x:c r="L945" s="37" t="str">
        <x:v>1128</x:v>
      </x:c>
      <x:c r="M945" s="29" t="str">
        <x:v>701.39</x:v>
      </x:c>
      <x:c r="N945" s="29" t="str">
        <x:v>550.81</x:v>
      </x:c>
      <x:c r="O945" s="29" t="str">
        <x:v>150.58</x:v>
      </x:c>
      <x:c r="P945" s="18" t="str">
        <x:v>2026-07-28</x:v>
      </x:c>
      <x:c r="Q945" s="36" t="n">
        <x:v>46231</x:v>
      </x:c>
    </x:row>
    <x:row r="946">
      <x:c r="A946" s="36" t="str">
        <x:v>2026-07-28</x:v>
      </x:c>
      <x:c r="B946" s="18" t="str">
        <x:v>101437000_78239</x:v>
      </x:c>
      <x:c r="C946" s="18" t="str">
        <x:v>【沪村小电】恒大佘山首府东门充电站</x:v>
      </x:c>
      <x:c r="D946" s="37" t="str">
        <x:v>2</x:v>
      </x:c>
      <x:c r="E946" s="37" t="str">
        <x:v>0</x:v>
      </x:c>
      <x:c r="F946" s="37" t="str">
        <x:v>19</x:v>
      </x:c>
      <x:c r="G946" s="37" t="str">
        <x:v>524.12</x:v>
      </x:c>
      <x:c r="H946" s="37" t="str">
        <x:v>0.00</x:v>
      </x:c>
      <x:c r="I946" s="37" t="str">
        <x:v>253.01</x:v>
      </x:c>
      <x:c r="J946" s="37" t="str">
        <x:v>0.00</x:v>
      </x:c>
      <x:c r="K946" s="37" t="str">
        <x:v>271.11</x:v>
      </x:c>
      <x:c r="L946" s="37" t="str">
        <x:v>750</x:v>
      </x:c>
      <x:c r="M946" s="29" t="str">
        <x:v>460.56</x:v>
      </x:c>
      <x:c r="N946" s="29" t="str">
        <x:v>279.95</x:v>
      </x:c>
      <x:c r="O946" s="29" t="str">
        <x:v>180.61</x:v>
      </x:c>
      <x:c r="P946" s="18" t="str">
        <x:v>2026-07-28</x:v>
      </x:c>
      <x:c r="Q946" s="36" t="n">
        <x:v>46231</x:v>
      </x:c>
    </x:row>
    <x:row r="947">
      <x:c r="A947" s="36" t="str">
        <x:v>2026-07-28</x:v>
      </x:c>
      <x:c r="B947" s="18" t="str">
        <x:v>101437000_83019</x:v>
      </x:c>
      <x:c r="C947" s="18" t="str">
        <x:v>【沪村小电】首创禧瑞云启东区充电站</x:v>
      </x:c>
      <x:c r="D947" s="37" t="str">
        <x:v>2</x:v>
      </x:c>
      <x:c r="E947" s="37" t="str">
        <x:v>0</x:v>
      </x:c>
      <x:c r="F947" s="37" t="str">
        <x:v>24</x:v>
      </x:c>
      <x:c r="G947" s="37" t="str">
        <x:v>534.94</x:v>
      </x:c>
      <x:c r="H947" s="37" t="str">
        <x:v>0.00</x:v>
      </x:c>
      <x:c r="I947" s="37" t="str">
        <x:v>325.49</x:v>
      </x:c>
      <x:c r="J947" s="37" t="str">
        <x:v>0.00</x:v>
      </x:c>
      <x:c r="K947" s="37" t="str">
        <x:v>209.45</x:v>
      </x:c>
      <x:c r="L947" s="37" t="str">
        <x:v>715</x:v>
      </x:c>
      <x:c r="M947" s="29" t="str">
        <x:v>493.68</x:v>
      </x:c>
      <x:c r="N947" s="29" t="str">
        <x:v>308.59</x:v>
      </x:c>
      <x:c r="O947" s="29" t="str">
        <x:v>185.09</x:v>
      </x:c>
      <x:c r="P947" s="18" t="str">
        <x:v>2026-07-28</x:v>
      </x:c>
      <x:c r="Q947" s="36" t="n">
        <x:v>46231</x:v>
      </x:c>
    </x:row>
    <x:row r="948">
      <x:c r="A948" s="36" t="str">
        <x:v>2026-07-28</x:v>
      </x:c>
      <x:c r="B948" s="18" t="str">
        <x:v>101437000_83093</x:v>
      </x:c>
      <x:c r="C948" s="18" t="str">
        <x:v>【沪村小电】金茂未来时光里</x:v>
      </x:c>
      <x:c r="D948" s="37" t="str">
        <x:v>2</x:v>
      </x:c>
      <x:c r="E948" s="37" t="str">
        <x:v>0</x:v>
      </x:c>
      <x:c r="F948" s="37" t="str">
        <x:v>53</x:v>
      </x:c>
      <x:c r="G948" s="37" t="str">
        <x:v>1590.77</x:v>
      </x:c>
      <x:c r="H948" s="37" t="str">
        <x:v>0.00</x:v>
      </x:c>
      <x:c r="I948" s="37" t="str">
        <x:v>648.62</x:v>
      </x:c>
      <x:c r="J948" s="37" t="str">
        <x:v>0.00</x:v>
      </x:c>
      <x:c r="K948" s="37" t="str">
        <x:v>942.15</x:v>
      </x:c>
      <x:c r="L948" s="37" t="str">
        <x:v>2271</x:v>
      </x:c>
      <x:c r="M948" s="29" t="str">
        <x:v>1036.92</x:v>
      </x:c>
      <x:c r="N948" s="29" t="str">
        <x:v>674.72</x:v>
      </x:c>
      <x:c r="O948" s="29" t="str">
        <x:v>362.20</x:v>
      </x:c>
      <x:c r="P948" s="18" t="str">
        <x:v>2026-07-28</x:v>
      </x:c>
      <x:c r="Q948" s="36" t="n">
        <x:v>46231</x:v>
      </x:c>
    </x:row>
    <x:row r="949">
      <x:c r="A949" s="36" t="str">
        <x:v>2026-07-28</x:v>
      </x:c>
      <x:c r="B949" s="18" t="str">
        <x:v>101437000_83911</x:v>
      </x:c>
      <x:c r="C949" s="18" t="str">
        <x:v>【沪村小电】金瀚园充电站</x:v>
      </x:c>
      <x:c r="D949" s="37" t="str">
        <x:v>2</x:v>
      </x:c>
      <x:c r="E949" s="37" t="str">
        <x:v>0</x:v>
      </x:c>
      <x:c r="F949" s="37" t="str">
        <x:v>38</x:v>
      </x:c>
      <x:c r="G949" s="37" t="str">
        <x:v>970.06</x:v>
      </x:c>
      <x:c r="H949" s="37" t="str">
        <x:v>0.00</x:v>
      </x:c>
      <x:c r="I949" s="37" t="str">
        <x:v>468.86</x:v>
      </x:c>
      <x:c r="J949" s="37" t="str">
        <x:v>0.00</x:v>
      </x:c>
      <x:c r="K949" s="37" t="str">
        <x:v>501.20</x:v>
      </x:c>
      <x:c r="L949" s="37" t="str">
        <x:v>1468</x:v>
      </x:c>
      <x:c r="M949" s="29" t="str">
        <x:v>757.34</x:v>
      </x:c>
      <x:c r="N949" s="29" t="str">
        <x:v>518.35</x:v>
      </x:c>
      <x:c r="O949" s="29" t="str">
        <x:v>238.99</x:v>
      </x:c>
      <x:c r="P949" s="18" t="str">
        <x:v>2026-07-28</x:v>
      </x:c>
      <x:c r="Q949" s="36" t="n">
        <x:v>46231</x:v>
      </x:c>
    </x:row>
    <x:row r="950">
      <x:c r="A950" s="36" t="str">
        <x:v>2026-07-28</x:v>
      </x:c>
      <x:c r="B950" s="18" t="str">
        <x:v>101437000_83913</x:v>
      </x:c>
      <x:c r="C950" s="18" t="str">
        <x:v>【沪村小电】新黎村充电站</x:v>
      </x:c>
      <x:c r="D950" s="37" t="str">
        <x:v>2</x:v>
      </x:c>
      <x:c r="E950" s="37" t="str">
        <x:v>0</x:v>
      </x:c>
      <x:c r="F950" s="37" t="str">
        <x:v>65</x:v>
      </x:c>
      <x:c r="G950" s="37" t="str">
        <x:v>1542.18</x:v>
      </x:c>
      <x:c r="H950" s="37" t="str">
        <x:v>0.00</x:v>
      </x:c>
      <x:c r="I950" s="37" t="str">
        <x:v>1114.92</x:v>
      </x:c>
      <x:c r="J950" s="37" t="str">
        <x:v>0.00</x:v>
      </x:c>
      <x:c r="K950" s="37" t="str">
        <x:v>427.26</x:v>
      </x:c>
      <x:c r="L950" s="37" t="str">
        <x:v>2542</x:v>
      </x:c>
      <x:c r="M950" s="29" t="str">
        <x:v>1361.02</x:v>
      </x:c>
      <x:c r="N950" s="29" t="str">
        <x:v>949.67</x:v>
      </x:c>
      <x:c r="O950" s="29" t="str">
        <x:v>411.35</x:v>
      </x:c>
      <x:c r="P950" s="18" t="str">
        <x:v>2026-07-28</x:v>
      </x:c>
      <x:c r="Q950" s="36" t="n">
        <x:v>46231</x:v>
      </x:c>
    </x:row>
    <x:row r="951">
      <x:c r="A951" s="36" t="str">
        <x:v>2026-07-28</x:v>
      </x:c>
      <x:c r="B951" s="18" t="str">
        <x:v>101437000_83915</x:v>
      </x:c>
      <x:c r="C951" s="18" t="str">
        <x:v>【沪村小电】长泰西郊别墅充电站</x:v>
      </x:c>
      <x:c r="D951" s="37" t="str">
        <x:v>2</x:v>
      </x:c>
      <x:c r="E951" s="37" t="str">
        <x:v>0</x:v>
      </x:c>
      <x:c r="F951" s="37" t="str">
        <x:v>16</x:v>
      </x:c>
      <x:c r="G951" s="37" t="str">
        <x:v>392.03</x:v>
      </x:c>
      <x:c r="H951" s="37" t="str">
        <x:v>0.00</x:v>
      </x:c>
      <x:c r="I951" s="37" t="str">
        <x:v>148.23</x:v>
      </x:c>
      <x:c r="J951" s="37" t="str">
        <x:v>0.00</x:v>
      </x:c>
      <x:c r="K951" s="37" t="str">
        <x:v>243.80</x:v>
      </x:c>
      <x:c r="L951" s="37" t="str">
        <x:v>607</x:v>
      </x:c>
      <x:c r="M951" s="29" t="str">
        <x:v>313.40</x:v>
      </x:c>
      <x:c r="N951" s="29" t="str">
        <x:v>195.46</x:v>
      </x:c>
      <x:c r="O951" s="29" t="str">
        <x:v>117.94</x:v>
      </x:c>
      <x:c r="P951" s="18" t="str">
        <x:v>2026-07-28</x:v>
      </x:c>
      <x:c r="Q951" s="36" t="n">
        <x:v>46231</x:v>
      </x:c>
    </x:row>
    <x:row r="952">
      <x:c r="A952" s="36" t="str">
        <x:v>2026-07-28</x:v>
      </x:c>
      <x:c r="B952" s="18" t="str">
        <x:v>101437000_83917</x:v>
      </x:c>
      <x:c r="C952" s="18" t="str">
        <x:v>【沪村小电】旭新华庭充电站</x:v>
      </x:c>
      <x:c r="D952" s="37" t="str">
        <x:v>4</x:v>
      </x:c>
      <x:c r="E952" s="37" t="str">
        <x:v>0</x:v>
      </x:c>
      <x:c r="F952" s="37" t="str">
        <x:v>19</x:v>
      </x:c>
      <x:c r="G952" s="37" t="str">
        <x:v>450.29</x:v>
      </x:c>
      <x:c r="H952" s="37" t="str">
        <x:v>0.00</x:v>
      </x:c>
      <x:c r="I952" s="37" t="str">
        <x:v>246.30</x:v>
      </x:c>
      <x:c r="J952" s="37" t="str">
        <x:v>0.00</x:v>
      </x:c>
      <x:c r="K952" s="37" t="str">
        <x:v>203.99</x:v>
      </x:c>
      <x:c r="L952" s="37" t="str">
        <x:v>620</x:v>
      </x:c>
      <x:c r="M952" s="29" t="str">
        <x:v>428.07</x:v>
      </x:c>
      <x:c r="N952" s="29" t="str">
        <x:v>250.34</x:v>
      </x:c>
      <x:c r="O952" s="29" t="str">
        <x:v>177.73</x:v>
      </x:c>
      <x:c r="P952" s="18" t="str">
        <x:v>2026-07-28</x:v>
      </x:c>
      <x:c r="Q952" s="36" t="n">
        <x:v>46231</x:v>
      </x:c>
    </x:row>
    <x:row r="953">
      <x:c r="A953" s="36" t="str">
        <x:v>2026-07-28</x:v>
      </x:c>
      <x:c r="B953" s="18" t="str">
        <x:v>101437000_83919</x:v>
      </x:c>
      <x:c r="C953" s="18" t="str">
        <x:v>【沪村小电】浦锦名仕嘉园充电站</x:v>
      </x:c>
      <x:c r="D953" s="37" t="str">
        <x:v>4</x:v>
      </x:c>
      <x:c r="E953" s="37" t="str">
        <x:v>0</x:v>
      </x:c>
      <x:c r="F953" s="37" t="str">
        <x:v>42</x:v>
      </x:c>
      <x:c r="G953" s="37" t="str">
        <x:v>1074.64</x:v>
      </x:c>
      <x:c r="H953" s="37" t="str">
        <x:v>0.00</x:v>
      </x:c>
      <x:c r="I953" s="37" t="str">
        <x:v>0.00</x:v>
      </x:c>
      <x:c r="J953" s="37" t="str">
        <x:v>1074.64</x:v>
      </x:c>
      <x:c r="K953" s="37" t="str">
        <x:v>0.00</x:v>
      </x:c>
      <x:c r="L953" s="37" t="str">
        <x:v>1441</x:v>
      </x:c>
      <x:c r="M953" s="29" t="str">
        <x:v>1101.79</x:v>
      </x:c>
      <x:c r="N953" s="29" t="str">
        <x:v>752.27</x:v>
      </x:c>
      <x:c r="O953" s="29" t="str">
        <x:v>349.52</x:v>
      </x:c>
      <x:c r="P953" s="18" t="str">
        <x:v>2026-07-28</x:v>
      </x:c>
      <x:c r="Q953" s="36" t="n">
        <x:v>46231</x:v>
      </x:c>
    </x:row>
    <x:row r="954">
      <x:c r="A954" s="36" t="str">
        <x:v>2026-07-28</x:v>
      </x:c>
      <x:c r="B954" s="18" t="str">
        <x:v>101437000_83921</x:v>
      </x:c>
      <x:c r="C954" s="18" t="str">
        <x:v>【沪村小电】上海联怡枇杷乐园充电站（地库）</x:v>
      </x:c>
      <x:c r="D954" s="37" t="str">
        <x:v>8</x:v>
      </x:c>
      <x:c r="E954" s="37" t="str">
        <x:v>0</x:v>
      </x:c>
      <x:c r="F954" s="37" t="str">
        <x:v>23</x:v>
      </x:c>
      <x:c r="G954" s="37" t="str">
        <x:v>231.91</x:v>
      </x:c>
      <x:c r="H954" s="37" t="str">
        <x:v>0.00</x:v>
      </x:c>
      <x:c r="I954" s="37" t="str">
        <x:v>57.67</x:v>
      </x:c>
      <x:c r="J954" s="37" t="str">
        <x:v>0.00</x:v>
      </x:c>
      <x:c r="K954" s="37" t="str">
        <x:v>174.24</x:v>
      </x:c>
      <x:c r="L954" s="37" t="str">
        <x:v>436</x:v>
      </x:c>
      <x:c r="M954" s="29" t="str">
        <x:v>169.50</x:v>
      </x:c>
      <x:c r="N954" s="29" t="str">
        <x:v>132.05</x:v>
      </x:c>
      <x:c r="O954" s="29" t="str">
        <x:v>37.45</x:v>
      </x:c>
      <x:c r="P954" s="18" t="str">
        <x:v>2026-07-28</x:v>
      </x:c>
      <x:c r="Q954" s="36" t="n">
        <x:v>46231</x:v>
      </x:c>
    </x:row>
    <x:row r="955">
      <x:c r="A955" s="36" t="str">
        <x:v>2026-07-28</x:v>
      </x:c>
      <x:c r="B955" s="18" t="str">
        <x:v>101437000_83923</x:v>
      </x:c>
      <x:c r="C955" s="18" t="str">
        <x:v>【沪村小电】明珠新苑充电站</x:v>
      </x:c>
      <x:c r="D955" s="37" t="str">
        <x:v>2</x:v>
      </x:c>
      <x:c r="E955" s="37" t="str">
        <x:v>0</x:v>
      </x:c>
      <x:c r="F955" s="37" t="str">
        <x:v>41</x:v>
      </x:c>
      <x:c r="G955" s="37" t="str">
        <x:v>1078.60</x:v>
      </x:c>
      <x:c r="H955" s="37" t="str">
        <x:v>0.00</x:v>
      </x:c>
      <x:c r="I955" s="37" t="str">
        <x:v>560.63</x:v>
      </x:c>
      <x:c r="J955" s="37" t="str">
        <x:v>0.00</x:v>
      </x:c>
      <x:c r="K955" s="37" t="str">
        <x:v>517.97</x:v>
      </x:c>
      <x:c r="L955" s="37" t="str">
        <x:v>1525</x:v>
      </x:c>
      <x:c r="M955" s="29" t="str">
        <x:v>952.09</x:v>
      </x:c>
      <x:c r="N955" s="29" t="str">
        <x:v>589.67</x:v>
      </x:c>
      <x:c r="O955" s="29" t="str">
        <x:v>362.42</x:v>
      </x:c>
      <x:c r="P955" s="18" t="str">
        <x:v>2026-07-28</x:v>
      </x:c>
      <x:c r="Q955" s="36" t="n">
        <x:v>46231</x:v>
      </x:c>
    </x:row>
    <x:row r="956">
      <x:c r="A956" s="36" t="str">
        <x:v>2026-07-28</x:v>
      </x:c>
      <x:c r="B956" s="18" t="str">
        <x:v>101437000_84289</x:v>
      </x:c>
      <x:c r="C956" s="18" t="str">
        <x:v>【沪村小电】铁建芳华苑充电站</x:v>
      </x:c>
      <x:c r="D956" s="37" t="str">
        <x:v>4</x:v>
      </x:c>
      <x:c r="E956" s="37" t="str">
        <x:v>0</x:v>
      </x:c>
      <x:c r="F956" s="37" t="str">
        <x:v>39</x:v>
      </x:c>
      <x:c r="G956" s="37" t="str">
        <x:v>1009.20</x:v>
      </x:c>
      <x:c r="H956" s="37" t="str">
        <x:v>0.00</x:v>
      </x:c>
      <x:c r="I956" s="37" t="str">
        <x:v>666.18</x:v>
      </x:c>
      <x:c r="J956" s="37" t="str">
        <x:v>0.00</x:v>
      </x:c>
      <x:c r="K956" s="37" t="str">
        <x:v>343.02</x:v>
      </x:c>
      <x:c r="L956" s="37" t="str">
        <x:v>1499</x:v>
      </x:c>
      <x:c r="M956" s="29" t="str">
        <x:v>915.28</x:v>
      </x:c>
      <x:c r="N956" s="29" t="str">
        <x:v>599.91</x:v>
      </x:c>
      <x:c r="O956" s="29" t="str">
        <x:v>315.37</x:v>
      </x:c>
      <x:c r="P956" s="18" t="str">
        <x:v>2026-07-28</x:v>
      </x:c>
      <x:c r="Q956" s="36" t="n">
        <x:v>46231</x:v>
      </x:c>
    </x:row>
    <x:row r="957">
      <x:c r="A957" s="36" t="str">
        <x:v>2026-07-28</x:v>
      </x:c>
      <x:c r="B957" s="18" t="str">
        <x:v>101437000_86379</x:v>
      </x:c>
      <x:c r="C957" s="18" t="str">
        <x:v>【沪村小电】新宝社区充电站</x:v>
      </x:c>
      <x:c r="D957" s="37" t="str">
        <x:v>4</x:v>
      </x:c>
      <x:c r="E957" s="37" t="str">
        <x:v>0</x:v>
      </x:c>
      <x:c r="F957" s="37" t="str">
        <x:v>26</x:v>
      </x:c>
      <x:c r="G957" s="37" t="str">
        <x:v>685.83</x:v>
      </x:c>
      <x:c r="H957" s="37" t="str">
        <x:v>0.00</x:v>
      </x:c>
      <x:c r="I957" s="37" t="str">
        <x:v>293.89</x:v>
      </x:c>
      <x:c r="J957" s="37" t="str">
        <x:v>0.00</x:v>
      </x:c>
      <x:c r="K957" s="37" t="str">
        <x:v>391.93</x:v>
      </x:c>
      <x:c r="L957" s="37" t="str">
        <x:v>1218</x:v>
      </x:c>
      <x:c r="M957" s="29" t="str">
        <x:v>527.03</x:v>
      </x:c>
      <x:c r="N957" s="29" t="str">
        <x:v>353.71</x:v>
      </x:c>
      <x:c r="O957" s="29" t="str">
        <x:v>173.32</x:v>
      </x:c>
      <x:c r="P957" s="18" t="str">
        <x:v>2026-07-28</x:v>
      </x:c>
      <x:c r="Q957" s="36" t="n">
        <x:v>46231</x:v>
      </x:c>
    </x:row>
    <x:row r="958">
      <x:c r="A958" s="36" t="str">
        <x:v>2026-07-28</x:v>
      </x:c>
      <x:c r="B958" s="18" t="str">
        <x:v>101437000_89441</x:v>
      </x:c>
      <x:c r="C958" s="18" t="str">
        <x:v>【沪村小电】首创禧瑞云启西区充电站</x:v>
      </x:c>
      <x:c r="D958" s="37" t="str">
        <x:v>2</x:v>
      </x:c>
      <x:c r="E958" s="37" t="str">
        <x:v>0</x:v>
      </x:c>
      <x:c r="F958" s="37" t="str">
        <x:v>41</x:v>
      </x:c>
      <x:c r="G958" s="37" t="str">
        <x:v>895.57</x:v>
      </x:c>
      <x:c r="H958" s="37" t="str">
        <x:v>0.00</x:v>
      </x:c>
      <x:c r="I958" s="37" t="str">
        <x:v>567.74</x:v>
      </x:c>
      <x:c r="J958" s="37" t="str">
        <x:v>0.00</x:v>
      </x:c>
      <x:c r="K958" s="37" t="str">
        <x:v>327.84</x:v>
      </x:c>
      <x:c r="L958" s="37" t="str">
        <x:v>1288</x:v>
      </x:c>
      <x:c r="M958" s="29" t="str">
        <x:v>852.87</x:v>
      </x:c>
      <x:c r="N958" s="29" t="str">
        <x:v>524.39</x:v>
      </x:c>
      <x:c r="O958" s="29" t="str">
        <x:v>328.48</x:v>
      </x:c>
      <x:c r="P958" s="18" t="str">
        <x:v>2026-07-28</x:v>
      </x:c>
      <x:c r="Q958" s="36" t="n">
        <x:v>46231</x:v>
      </x:c>
    </x:row>
    <x:row r="959">
      <x:c r="A959" s="36" t="str">
        <x:v>2026-07-28</x:v>
      </x:c>
      <x:c r="B959" s="18" t="str">
        <x:v>101437000_89443</x:v>
      </x:c>
      <x:c r="C959" s="18" t="str">
        <x:v>【沪村小电】玉兰清苑二期充电站</x:v>
      </x:c>
      <x:c r="D959" s="37" t="str">
        <x:v>2</x:v>
      </x:c>
      <x:c r="E959" s="37" t="str">
        <x:v>0</x:v>
      </x:c>
      <x:c r="F959" s="37" t="str">
        <x:v>25</x:v>
      </x:c>
      <x:c r="G959" s="37" t="str">
        <x:v>529.19</x:v>
      </x:c>
      <x:c r="H959" s="37" t="str">
        <x:v>0.00</x:v>
      </x:c>
      <x:c r="I959" s="37" t="str">
        <x:v>374.70</x:v>
      </x:c>
      <x:c r="J959" s="37" t="str">
        <x:v>0.00</x:v>
      </x:c>
      <x:c r="K959" s="37" t="str">
        <x:v>154.50</x:v>
      </x:c>
      <x:c r="L959" s="37" t="str">
        <x:v>777</x:v>
      </x:c>
      <x:c r="M959" s="29" t="str">
        <x:v>484.28</x:v>
      </x:c>
      <x:c r="N959" s="29" t="str">
        <x:v>323.20</x:v>
      </x:c>
      <x:c r="O959" s="29" t="str">
        <x:v>161.08</x:v>
      </x:c>
      <x:c r="P959" s="18" t="str">
        <x:v>2026-07-28</x:v>
      </x:c>
      <x:c r="Q959" s="36" t="n">
        <x:v>46231</x:v>
      </x:c>
    </x:row>
    <x:row r="960">
      <x:c r="A960" s="36" t="str">
        <x:v>2026-07-28</x:v>
      </x:c>
      <x:c r="B960" s="18" t="str">
        <x:v>101437000_93115</x:v>
      </x:c>
      <x:c r="C960" s="18" t="str">
        <x:v>【沪村小电】新南家园西北门</x:v>
      </x:c>
      <x:c r="D960" s="37" t="str">
        <x:v>2</x:v>
      </x:c>
      <x:c r="E960" s="37" t="str">
        <x:v>0</x:v>
      </x:c>
      <x:c r="F960" s="37" t="str">
        <x:v>30</x:v>
      </x:c>
      <x:c r="G960" s="37" t="str">
        <x:v>811.87</x:v>
      </x:c>
      <x:c r="H960" s="37" t="str">
        <x:v>0.00</x:v>
      </x:c>
      <x:c r="I960" s="37" t="str">
        <x:v>500.69</x:v>
      </x:c>
      <x:c r="J960" s="37" t="str">
        <x:v>0.00</x:v>
      </x:c>
      <x:c r="K960" s="37" t="str">
        <x:v>311.18</x:v>
      </x:c>
      <x:c r="L960" s="37" t="str">
        <x:v>1081</x:v>
      </x:c>
      <x:c r="M960" s="29" t="str">
        <x:v>733.84</x:v>
      </x:c>
      <x:c r="N960" s="29" t="str">
        <x:v>470.65</x:v>
      </x:c>
      <x:c r="O960" s="29" t="str">
        <x:v>263.19</x:v>
      </x:c>
      <x:c r="P960" s="18" t="str">
        <x:v>2026-07-28</x:v>
      </x:c>
      <x:c r="Q960" s="36" t="n">
        <x:v>46231</x:v>
      </x:c>
    </x:row>
    <x:row r="961">
      <x:c r="A961" s="36" t="str">
        <x:v>2026-07-28</x:v>
      </x:c>
      <x:c r="B961" s="18" t="str">
        <x:v>101437000_94649</x:v>
      </x:c>
      <x:c r="C961" s="18" t="str">
        <x:v>【沪村小电】浪琴水岸花园</x:v>
      </x:c>
      <x:c r="D961" s="37" t="str">
        <x:v>4</x:v>
      </x:c>
      <x:c r="E961" s="37" t="str">
        <x:v>0</x:v>
      </x:c>
      <x:c r="F961" s="37" t="str">
        <x:v>32</x:v>
      </x:c>
      <x:c r="G961" s="37" t="str">
        <x:v>699.01</x:v>
      </x:c>
      <x:c r="H961" s="37" t="str">
        <x:v>0.00</x:v>
      </x:c>
      <x:c r="I961" s="37" t="str">
        <x:v>391.22</x:v>
      </x:c>
      <x:c r="J961" s="37" t="str">
        <x:v>0.00</x:v>
      </x:c>
      <x:c r="K961" s="37" t="str">
        <x:v>307.78</x:v>
      </x:c>
      <x:c r="L961" s="37" t="str">
        <x:v>1192</x:v>
      </x:c>
      <x:c r="M961" s="29" t="str">
        <x:v>538.01</x:v>
      </x:c>
      <x:c r="N961" s="29" t="str">
        <x:v>422.41</x:v>
      </x:c>
      <x:c r="O961" s="29" t="str">
        <x:v>115.60</x:v>
      </x:c>
      <x:c r="P961" s="18" t="str">
        <x:v>2026-07-28</x:v>
      </x:c>
      <x:c r="Q961" s="36" t="n">
        <x:v>46231</x:v>
      </x:c>
    </x:row>
    <x:row r="962">
      <x:c r="A962" s="36" t="str">
        <x:v>2026-07-28</x:v>
      </x:c>
      <x:c r="B962" s="18" t="str">
        <x:v>101437000_95077</x:v>
      </x:c>
      <x:c r="C962" s="18" t="str">
        <x:v>【沪村小电】民乐城惠益绿苑255弄充电站</x:v>
      </x:c>
      <x:c r="D962" s="37" t="str">
        <x:v>2</x:v>
      </x:c>
      <x:c r="E962" s="37" t="str">
        <x:v>0</x:v>
      </x:c>
      <x:c r="F962" s="37" t="str">
        <x:v>11</x:v>
      </x:c>
      <x:c r="G962" s="37" t="str">
        <x:v>248.29</x:v>
      </x:c>
      <x:c r="H962" s="37" t="str">
        <x:v>0.00</x:v>
      </x:c>
      <x:c r="I962" s="37" t="str">
        <x:v>204.63</x:v>
      </x:c>
      <x:c r="J962" s="37" t="str">
        <x:v>0.00</x:v>
      </x:c>
      <x:c r="K962" s="37" t="str">
        <x:v>43.66</x:v>
      </x:c>
      <x:c r="L962" s="37" t="str">
        <x:v>383</x:v>
      </x:c>
      <x:c r="M962" s="29" t="str">
        <x:v>232.94</x:v>
      </x:c>
      <x:c r="N962" s="29" t="str">
        <x:v>161.44</x:v>
      </x:c>
      <x:c r="O962" s="29" t="str">
        <x:v>71.50</x:v>
      </x:c>
      <x:c r="P962" s="18" t="str">
        <x:v>2026-07-28</x:v>
      </x:c>
      <x:c r="Q962" s="36" t="n">
        <x:v>46231</x:v>
      </x:c>
    </x:row>
    <x:row r="963">
      <x:c r="A963" s="36" t="str">
        <x:v>2026-07-28</x:v>
      </x:c>
      <x:c r="B963" s="18" t="str">
        <x:v>101437000_95079</x:v>
      </x:c>
      <x:c r="C963" s="18" t="str">
        <x:v>【沪村小电】民乐城惠益绿苑东苑充电站</x:v>
      </x:c>
      <x:c r="D963" s="37" t="str">
        <x:v>2</x:v>
      </x:c>
      <x:c r="E963" s="37" t="str">
        <x:v>0</x:v>
      </x:c>
      <x:c r="F963" s="37" t="str">
        <x:v>21</x:v>
      </x:c>
      <x:c r="G963" s="37" t="str">
        <x:v>514.74</x:v>
      </x:c>
      <x:c r="H963" s="37" t="str">
        <x:v>0.00</x:v>
      </x:c>
      <x:c r="I963" s="37" t="str">
        <x:v>380.33</x:v>
      </x:c>
      <x:c r="J963" s="37" t="str">
        <x:v>0.00</x:v>
      </x:c>
      <x:c r="K963" s="37" t="str">
        <x:v>134.41</x:v>
      </x:c>
      <x:c r="L963" s="37" t="str">
        <x:v>790</x:v>
      </x:c>
      <x:c r="M963" s="29" t="str">
        <x:v>459.03</x:v>
      </x:c>
      <x:c r="N963" s="29" t="str">
        <x:v>319.75</x:v>
      </x:c>
      <x:c r="O963" s="29" t="str">
        <x:v>139.28</x:v>
      </x:c>
      <x:c r="P963" s="18" t="str">
        <x:v>2026-07-28</x:v>
      </x:c>
      <x:c r="Q963" s="36" t="n">
        <x:v>46231</x:v>
      </x:c>
    </x:row>
    <x:row r="964">
      <x:c r="A964" s="36" t="str">
        <x:v>2026-07-28</x:v>
      </x:c>
      <x:c r="B964" s="18" t="str">
        <x:v>101437000_95081</x:v>
      </x:c>
      <x:c r="C964" s="18" t="str">
        <x:v>【沪村小电】民乐城惠益绿苑西苑充电站</x:v>
      </x:c>
      <x:c r="D964" s="37" t="str">
        <x:v>2</x:v>
      </x:c>
      <x:c r="E964" s="37" t="str">
        <x:v>0</x:v>
      </x:c>
      <x:c r="F964" s="37" t="str">
        <x:v>6</x:v>
      </x:c>
      <x:c r="G964" s="37" t="str">
        <x:v>158.13</x:v>
      </x:c>
      <x:c r="H964" s="37" t="str">
        <x:v>0.00</x:v>
      </x:c>
      <x:c r="I964" s="37" t="str">
        <x:v>158.13</x:v>
      </x:c>
      <x:c r="J964" s="37" t="str">
        <x:v>0.00</x:v>
      </x:c>
      <x:c r="K964" s="37" t="str">
        <x:v>0.00</x:v>
      </x:c>
      <x:c r="L964" s="37" t="str">
        <x:v>227</x:v>
      </x:c>
      <x:c r="M964" s="29" t="str">
        <x:v>166.94</x:v>
      </x:c>
      <x:c r="N964" s="29" t="str">
        <x:v>112.28</x:v>
      </x:c>
      <x:c r="O964" s="29" t="str">
        <x:v>54.66</x:v>
      </x:c>
      <x:c r="P964" s="18" t="str">
        <x:v>2026-07-28</x:v>
      </x:c>
      <x:c r="Q964" s="36" t="n">
        <x:v>46231</x:v>
      </x:c>
    </x:row>
    <x:row r="965">
      <x:c r="A965" s="36" t="str">
        <x:v>2026-07-28</x:v>
      </x:c>
      <x:c r="B965" s="18" t="str">
        <x:v>101437000_95941</x:v>
      </x:c>
      <x:c r="C965" s="18" t="str">
        <x:v>【沪村小电】惠诚雅苑</x:v>
      </x:c>
      <x:c r="D965" s="37" t="str">
        <x:v>4</x:v>
      </x:c>
      <x:c r="E965" s="37" t="str">
        <x:v>0</x:v>
      </x:c>
      <x:c r="F965" s="37" t="str">
        <x:v>43</x:v>
      </x:c>
      <x:c r="G965" s="37" t="str">
        <x:v>1204.68</x:v>
      </x:c>
      <x:c r="H965" s="37" t="str">
        <x:v>0.00</x:v>
      </x:c>
      <x:c r="I965" s="37" t="str">
        <x:v>485.88</x:v>
      </x:c>
      <x:c r="J965" s="37" t="str">
        <x:v>0.00</x:v>
      </x:c>
      <x:c r="K965" s="37" t="str">
        <x:v>718.80</x:v>
      </x:c>
      <x:c r="L965" s="37" t="str">
        <x:v>1989</x:v>
      </x:c>
      <x:c r="M965" s="29" t="str">
        <x:v>822.10</x:v>
      </x:c>
      <x:c r="N965" s="29" t="str">
        <x:v>509.47</x:v>
      </x:c>
      <x:c r="O965" s="29" t="str">
        <x:v>312.63</x:v>
      </x:c>
      <x:c r="P965" s="18" t="str">
        <x:v>2026-07-28</x:v>
      </x:c>
      <x:c r="Q965" s="36" t="n">
        <x:v>46231</x:v>
      </x:c>
    </x:row>
    <x:row r="966">
      <x:c r="A966" s="36" t="str">
        <x:v>2026-07-28</x:v>
      </x:c>
      <x:c r="B966" s="18" t="str">
        <x:v>101437000_96401</x:v>
      </x:c>
      <x:c r="C966" s="18" t="str">
        <x:v>【沪村小电】上海联怡枇杷乐园地面站</x:v>
      </x:c>
      <x:c r="D966" s="37" t="str">
        <x:v>2</x:v>
      </x:c>
      <x:c r="E966" s="37" t="str">
        <x:v>0</x:v>
      </x:c>
      <x:c r="F966" s="37" t="str">
        <x:v>5</x:v>
      </x:c>
      <x:c r="G966" s="37" t="str">
        <x:v>86.91</x:v>
      </x:c>
      <x:c r="H966" s="37" t="str">
        <x:v>0.00</x:v>
      </x:c>
      <x:c r="I966" s="37" t="str">
        <x:v>13.84</x:v>
      </x:c>
      <x:c r="J966" s="37" t="str">
        <x:v>0.00</x:v>
      </x:c>
      <x:c r="K966" s="37" t="str">
        <x:v>73.07</x:v>
      </x:c>
      <x:c r="L966" s="37" t="str">
        <x:v>224</x:v>
      </x:c>
      <x:c r="M966" s="29" t="str">
        <x:v>56.45</x:v>
      </x:c>
      <x:c r="N966" s="29" t="str">
        <x:v>46.07</x:v>
      </x:c>
      <x:c r="O966" s="29" t="str">
        <x:v>10.38</x:v>
      </x:c>
      <x:c r="P966" s="18" t="str">
        <x:v>2026-07-28</x:v>
      </x:c>
      <x:c r="Q966" s="36" t="n">
        <x:v>46231</x:v>
      </x:c>
    </x:row>
    <x:row r="967">
      <x:c r="A967" s="36" t="str">
        <x:v>2026-07-28</x:v>
      </x:c>
      <x:c r="B967" s="18" t="str">
        <x:v>101437000_96719</x:v>
      </x:c>
      <x:c r="C967" s="18" t="str">
        <x:v>【沪村小电】四达路220弄充电站</x:v>
      </x:c>
      <x:c r="D967" s="37" t="str">
        <x:v>2</x:v>
      </x:c>
      <x:c r="E967" s="37" t="str">
        <x:v>0</x:v>
      </x:c>
      <x:c r="F967" s="37" t="str">
        <x:v>2</x:v>
      </x:c>
      <x:c r="G967" s="37" t="str">
        <x:v>31.88</x:v>
      </x:c>
      <x:c r="H967" s="37" t="str">
        <x:v>0.00</x:v>
      </x:c>
      <x:c r="I967" s="37" t="str">
        <x:v>15.42</x:v>
      </x:c>
      <x:c r="J967" s="37" t="str">
        <x:v>0.00</x:v>
      </x:c>
      <x:c r="K967" s="37" t="str">
        <x:v>16.46</x:v>
      </x:c>
      <x:c r="L967" s="37" t="str">
        <x:v>59</x:v>
      </x:c>
      <x:c r="M967" s="29" t="str">
        <x:v>33.37</x:v>
      </x:c>
      <x:c r="N967" s="29" t="str">
        <x:v>17.04</x:v>
      </x:c>
      <x:c r="O967" s="29" t="str">
        <x:v>16.33</x:v>
      </x:c>
      <x:c r="P967" s="18" t="str">
        <x:v>2026-07-28</x:v>
      </x:c>
      <x:c r="Q967" s="36" t="n">
        <x:v>46231</x:v>
      </x:c>
    </x:row>
    <x:row r="968">
      <x:c r="A968" s="36" t="str">
        <x:v>2026-07-28</x:v>
      </x:c>
      <x:c r="B968" s="18" t="str">
        <x:v>101437000_97421</x:v>
      </x:c>
      <x:c r="C968" s="18" t="str">
        <x:v>【沪村小电】玉兰清苑二期（小区外）充电站</x:v>
      </x:c>
      <x:c r="D968" s="37" t="str">
        <x:v>4</x:v>
      </x:c>
      <x:c r="E968" s="37" t="str">
        <x:v>0</x:v>
      </x:c>
      <x:c r="F968" s="37" t="str">
        <x:v>35</x:v>
      </x:c>
      <x:c r="G968" s="37" t="str">
        <x:v>809.51</x:v>
      </x:c>
      <x:c r="H968" s="37" t="str">
        <x:v>0.00</x:v>
      </x:c>
      <x:c r="I968" s="37" t="str">
        <x:v>631.15</x:v>
      </x:c>
      <x:c r="J968" s="37" t="str">
        <x:v>0.00</x:v>
      </x:c>
      <x:c r="K968" s="37" t="str">
        <x:v>178.35</x:v>
      </x:c>
      <x:c r="L968" s="37" t="str">
        <x:v>1461</x:v>
      </x:c>
      <x:c r="M968" s="29" t="str">
        <x:v>707.77</x:v>
      </x:c>
      <x:c r="N968" s="29" t="str">
        <x:v>514.12</x:v>
      </x:c>
      <x:c r="O968" s="29" t="str">
        <x:v>193.65</x:v>
      </x:c>
      <x:c r="P968" s="18" t="str">
        <x:v>2026-07-28</x:v>
      </x:c>
      <x:c r="Q968" s="36" t="n">
        <x:v>46231</x:v>
      </x:c>
    </x:row>
    <x:row r="969">
      <x:c r="A969" s="36" t="str">
        <x:v>2026-07-28</x:v>
      </x:c>
      <x:c r="B969" s="18" t="str">
        <x:v>101437000_98013</x:v>
      </x:c>
      <x:c r="C969" s="18" t="str">
        <x:v>【沪村小电】恒大滨江华府充电站</x:v>
      </x:c>
      <x:c r="D969" s="37" t="str">
        <x:v>4</x:v>
      </x:c>
      <x:c r="E969" s="37" t="str">
        <x:v>0</x:v>
      </x:c>
      <x:c r="F969" s="37" t="str">
        <x:v>33</x:v>
      </x:c>
      <x:c r="G969" s="37" t="str">
        <x:v>661.23</x:v>
      </x:c>
      <x:c r="H969" s="37" t="str">
        <x:v>0.00</x:v>
      </x:c>
      <x:c r="I969" s="37" t="str">
        <x:v>597.24</x:v>
      </x:c>
      <x:c r="J969" s="37" t="str">
        <x:v>0.00</x:v>
      </x:c>
      <x:c r="K969" s="37" t="str">
        <x:v>63.99</x:v>
      </x:c>
      <x:c r="L969" s="37" t="str">
        <x:v>1212</x:v>
      </x:c>
      <x:c r="M969" s="29" t="str">
        <x:v>704.29</x:v>
      </x:c>
      <x:c r="N969" s="29" t="str">
        <x:v>566.93</x:v>
      </x:c>
      <x:c r="O969" s="29" t="str">
        <x:v>137.36</x:v>
      </x:c>
      <x:c r="P969" s="18" t="str">
        <x:v>2026-07-28</x:v>
      </x:c>
      <x:c r="Q969" s="36" t="n">
        <x:v>46231</x:v>
      </x:c>
    </x:row>
    <x:row r="970">
      <x:c r="A970" s="36" t="str">
        <x:v>2026-07-28</x:v>
      </x:c>
      <x:c r="B970" s="18" t="str">
        <x:v>101437000_98863</x:v>
      </x:c>
      <x:c r="C970" s="18" t="str">
        <x:v>【沪村小电】欣菊苑充电站</x:v>
      </x:c>
      <x:c r="D970" s="37" t="str">
        <x:v>4</x:v>
      </x:c>
      <x:c r="E970" s="37" t="str">
        <x:v>0</x:v>
      </x:c>
      <x:c r="F970" s="37" t="str">
        <x:v>2</x:v>
      </x:c>
      <x:c r="G970" s="37" t="str">
        <x:v>40.67</x:v>
      </x:c>
      <x:c r="H970" s="37" t="str">
        <x:v>0.00</x:v>
      </x:c>
      <x:c r="I970" s="37" t="str">
        <x:v>40.67</x:v>
      </x:c>
      <x:c r="J970" s="37" t="str">
        <x:v>0.00</x:v>
      </x:c>
      <x:c r="K970" s="37" t="str">
        <x:v>0.00</x:v>
      </x:c>
      <x:c r="L970" s="37" t="str">
        <x:v>87</x:v>
      </x:c>
      <x:c r="M970" s="29" t="str">
        <x:v>41.44</x:v>
      </x:c>
      <x:c r="N970" s="29" t="str">
        <x:v>28.88</x:v>
      </x:c>
      <x:c r="O970" s="29" t="str">
        <x:v>12.56</x:v>
      </x:c>
      <x:c r="P970" s="18" t="str">
        <x:v>2026-07-28</x:v>
      </x:c>
      <x:c r="Q970" s="36" t="n">
        <x:v>46231</x:v>
      </x:c>
    </x:row>
    <x:row r="971">
      <x:c r="A971" s="36" t="str">
        <x:v>2026-07-28</x:v>
      </x:c>
      <x:c r="B971" s="18" t="str">
        <x:v>101437000_98865</x:v>
      </x:c>
      <x:c r="C971" s="18" t="str">
        <x:v>【沪村小电】欣松苑充电站</x:v>
      </x:c>
      <x:c r="D971" s="37" t="str">
        <x:v>4</x:v>
      </x:c>
      <x:c r="E971" s="37" t="str">
        <x:v>0</x:v>
      </x:c>
      <x:c r="F971" s="37" t="str">
        <x:v>16</x:v>
      </x:c>
      <x:c r="G971" s="37" t="str">
        <x:v>284.16</x:v>
      </x:c>
      <x:c r="H971" s="37" t="str">
        <x:v>0.00</x:v>
      </x:c>
      <x:c r="I971" s="37" t="str">
        <x:v>237.05</x:v>
      </x:c>
      <x:c r="J971" s="37" t="str">
        <x:v>0.00</x:v>
      </x:c>
      <x:c r="K971" s="37" t="str">
        <x:v>47.11</x:v>
      </x:c>
      <x:c r="L971" s="37" t="str">
        <x:v>478</x:v>
      </x:c>
      <x:c r="M971" s="29" t="str">
        <x:v>316.53</x:v>
      </x:c>
      <x:c r="N971" s="29" t="str">
        <x:v>185.73</x:v>
      </x:c>
      <x:c r="O971" s="29" t="str">
        <x:v>130.80</x:v>
      </x:c>
      <x:c r="P971" s="18" t="str">
        <x:v>2026-07-28</x:v>
      </x:c>
      <x:c r="Q971" s="36" t="n">
        <x:v>46231</x:v>
      </x:c>
    </x:row>
    <x:row r="972">
      <x:c r="A972" s="36" t="str">
        <x:v>2026-07-28</x:v>
      </x:c>
      <x:c r="B972" s="18" t="str">
        <x:v>101437000_98867</x:v>
      </x:c>
      <x:c r="C972" s="18" t="str">
        <x:v>【沪村小电】欣荷苑充电站</x:v>
      </x:c>
      <x:c r="D972" s="37" t="str">
        <x:v>4</x:v>
      </x:c>
      <x:c r="E972" s="37" t="str">
        <x:v>0</x:v>
      </x:c>
      <x:c r="F972" s="37" t="str">
        <x:v>9</x:v>
      </x:c>
      <x:c r="G972" s="37" t="str">
        <x:v>192.81</x:v>
      </x:c>
      <x:c r="H972" s="37" t="str">
        <x:v>0.00</x:v>
      </x:c>
      <x:c r="I972" s="37" t="str">
        <x:v>192.81</x:v>
      </x:c>
      <x:c r="J972" s="37" t="str">
        <x:v>0.00</x:v>
      </x:c>
      <x:c r="K972" s="37" t="str">
        <x:v>0.00</x:v>
      </x:c>
      <x:c r="L972" s="37" t="str">
        <x:v>345</x:v>
      </x:c>
      <x:c r="M972" s="29" t="str">
        <x:v>186.91</x:v>
      </x:c>
      <x:c r="N972" s="29" t="str">
        <x:v>136.90</x:v>
      </x:c>
      <x:c r="O972" s="29" t="str">
        <x:v>50.01</x:v>
      </x:c>
      <x:c r="P972" s="18" t="str">
        <x:v>2026-07-28</x:v>
      </x:c>
      <x:c r="Q972" s="36" t="n">
        <x:v>46231</x:v>
      </x:c>
    </x:row>
    <x:row r="973">
      <x:c r="A973" s="36" t="str">
        <x:v>2026-07-28</x:v>
      </x:c>
      <x:c r="B973" s="18" t="str">
        <x:v>101437000_99885</x:v>
      </x:c>
      <x:c r="C973" s="18" t="str">
        <x:v>【沪村小电】汇丰馨苑充电站</x:v>
      </x:c>
      <x:c r="D973" s="37" t="str">
        <x:v>4</x:v>
      </x:c>
      <x:c r="E973" s="37" t="str">
        <x:v>0</x:v>
      </x:c>
      <x:c r="F973" s="37" t="str">
        <x:v>12</x:v>
      </x:c>
      <x:c r="G973" s="37" t="str">
        <x:v>285.22</x:v>
      </x:c>
      <x:c r="H973" s="37" t="str">
        <x:v>0.00</x:v>
      </x:c>
      <x:c r="I973" s="37" t="str">
        <x:v>213.66</x:v>
      </x:c>
      <x:c r="J973" s="37" t="str">
        <x:v>0.00</x:v>
      </x:c>
      <x:c r="K973" s="37" t="str">
        <x:v>71.56</x:v>
      </x:c>
      <x:c r="L973" s="37" t="str">
        <x:v>602</x:v>
      </x:c>
      <x:c r="M973" s="29" t="str">
        <x:v>252.98</x:v>
      </x:c>
      <x:c r="N973" s="29" t="str">
        <x:v>178.18</x:v>
      </x:c>
      <x:c r="O973" s="29" t="str">
        <x:v>74.80</x:v>
      </x:c>
      <x:c r="P973" s="18" t="str">
        <x:v>2026-07-28</x:v>
      </x:c>
      <x:c r="Q973" s="36" t="n">
        <x:v>46231</x:v>
      </x:c>
    </x:row>
    <x:row r="974">
      <x:c r="A974" s="36" t="str">
        <x:v>2026-07-28</x:v>
      </x:c>
      <x:c r="B974" s="18" t="str">
        <x:v>101437000_99887</x:v>
      </x:c>
      <x:c r="C974" s="18" t="str">
        <x:v>【沪村小电】新南村河南小区充电站</x:v>
      </x:c>
      <x:c r="D974" s="37" t="str">
        <x:v>2</x:v>
      </x:c>
      <x:c r="E974" s="37" t="str">
        <x:v>0</x:v>
      </x:c>
      <x:c r="F974" s="37" t="str">
        <x:v>25</x:v>
      </x:c>
      <x:c r="G974" s="37" t="str">
        <x:v>510.15</x:v>
      </x:c>
      <x:c r="H974" s="37" t="str">
        <x:v>0.00</x:v>
      </x:c>
      <x:c r="I974" s="37" t="str">
        <x:v>307.92</x:v>
      </x:c>
      <x:c r="J974" s="37" t="str">
        <x:v>0.00</x:v>
      </x:c>
      <x:c r="K974" s="37" t="str">
        <x:v>202.23</x:v>
      </x:c>
      <x:c r="L974" s="37" t="str">
        <x:v>785</x:v>
      </x:c>
      <x:c r="M974" s="29" t="str">
        <x:v>403.78</x:v>
      </x:c>
      <x:c r="N974" s="29" t="str">
        <x:v>293.44</x:v>
      </x:c>
      <x:c r="O974" s="29" t="str">
        <x:v>110.34</x:v>
      </x:c>
      <x:c r="P974" s="18" t="str">
        <x:v>2026-07-28</x:v>
      </x:c>
      <x:c r="Q974" s="36" t="n">
        <x:v>46231</x:v>
      </x:c>
    </x:row>
    <x:row r="975">
      <x:c r="A975" s="36" t="str">
        <x:v>2026-07-28</x:v>
      </x:c>
      <x:c r="B975" s="18" t="str">
        <x:v>101437000_99889</x:v>
      </x:c>
      <x:c r="C975" s="18" t="str">
        <x:v>【沪村小电】漕泾郊野公园</x:v>
      </x:c>
      <x:c r="D975" s="37" t="str">
        <x:v>2</x:v>
      </x:c>
      <x:c r="E975" s="37" t="str">
        <x:v>0</x:v>
      </x:c>
      <x:c r="F975" s="37" t="str">
        <x:v>7</x:v>
      </x:c>
      <x:c r="G975" s="37" t="str">
        <x:v>138.19</x:v>
      </x:c>
      <x:c r="H975" s="37" t="str">
        <x:v>0.00</x:v>
      </x:c>
      <x:c r="I975" s="37" t="str">
        <x:v>117.92</x:v>
      </x:c>
      <x:c r="J975" s="37" t="str">
        <x:v>0.00</x:v>
      </x:c>
      <x:c r="K975" s="37" t="str">
        <x:v>20.28</x:v>
      </x:c>
      <x:c r="L975" s="37" t="str">
        <x:v>188</x:v>
      </x:c>
      <x:c r="M975" s="29" t="str">
        <x:v>138.38</x:v>
      </x:c>
      <x:c r="N975" s="29" t="str">
        <x:v>101.79</x:v>
      </x:c>
      <x:c r="O975" s="29" t="str">
        <x:v>36.59</x:v>
      </x:c>
      <x:c r="P975" s="18" t="str">
        <x:v>2026-07-28</x:v>
      </x:c>
      <x:c r="Q975" s="36" t="n">
        <x:v>46231</x:v>
      </x:c>
    </x:row>
    <x:row r="976">
      <x:c r="A976" s="36" t="str">
        <x:v>2026-07-28</x:v>
      </x:c>
      <x:c r="B976" s="18" t="str">
        <x:v>101437000_99891</x:v>
      </x:c>
      <x:c r="C976" s="18" t="str">
        <x:v>【沪村小电】水韵紫城充电站</x:v>
      </x:c>
      <x:c r="D976" s="37" t="str">
        <x:v>4</x:v>
      </x:c>
      <x:c r="E976" s="37" t="str">
        <x:v>0</x:v>
      </x:c>
      <x:c r="F976" s="37" t="str">
        <x:v>40</x:v>
      </x:c>
      <x:c r="G976" s="37" t="str">
        <x:v>728.08</x:v>
      </x:c>
      <x:c r="H976" s="37" t="str">
        <x:v>0.00</x:v>
      </x:c>
      <x:c r="I976" s="37" t="str">
        <x:v>534.53</x:v>
      </x:c>
      <x:c r="J976" s="37" t="str">
        <x:v>0.00</x:v>
      </x:c>
      <x:c r="K976" s="37" t="str">
        <x:v>193.55</x:v>
      </x:c>
      <x:c r="L976" s="37" t="str">
        <x:v>1171</x:v>
      </x:c>
      <x:c r="M976" s="29" t="str">
        <x:v>655.47</x:v>
      </x:c>
      <x:c r="N976" s="29" t="str">
        <x:v>451.09</x:v>
      </x:c>
      <x:c r="O976" s="29" t="str">
        <x:v>204.38</x:v>
      </x:c>
      <x:c r="P976" s="18" t="str">
        <x:v>2026-07-28</x:v>
      </x:c>
      <x:c r="Q976" s="36" t="n">
        <x:v>46231</x:v>
      </x:c>
    </x:row>
    <x:row r="977">
      <x:c r="A977" s="36" t="str">
        <x:v>2026-07-27</x:v>
      </x:c>
      <x:c r="B977" s="18" t="str">
        <x:v>101437000_101531</x:v>
      </x:c>
      <x:c r="C977" s="18" t="str">
        <x:v>【沪村小电】汇中苑充电站</x:v>
      </x:c>
      <x:c r="D977" s="37" t="str">
        <x:v>2</x:v>
      </x:c>
      <x:c r="E977" s="37" t="str">
        <x:v>0</x:v>
      </x:c>
      <x:c r="F977" s="37" t="str">
        <x:v>14</x:v>
      </x:c>
      <x:c r="G977" s="37" t="str">
        <x:v>253.83</x:v>
      </x:c>
      <x:c r="H977" s="37" t="str">
        <x:v>0.00</x:v>
      </x:c>
      <x:c r="I977" s="37" t="str">
        <x:v>0.00</x:v>
      </x:c>
      <x:c r="J977" s="37" t="str">
        <x:v>234.73</x:v>
      </x:c>
      <x:c r="K977" s="37" t="str">
        <x:v>19.10</x:v>
      </x:c>
      <x:c r="L977" s="37" t="str">
        <x:v>372</x:v>
      </x:c>
      <x:c r="M977" s="29" t="str">
        <x:v>233.05</x:v>
      </x:c>
      <x:c r="N977" s="29" t="str">
        <x:v>171.94</x:v>
      </x:c>
      <x:c r="O977" s="29" t="str">
        <x:v>61.11</x:v>
      </x:c>
      <x:c r="P977" s="18" t="str">
        <x:v>2026-07-27</x:v>
      </x:c>
      <x:c r="Q977" s="36" t="n">
        <x:v>46230</x:v>
      </x:c>
    </x:row>
    <x:row r="978">
      <x:c r="A978" s="36" t="str">
        <x:v>2026-07-27</x:v>
      </x:c>
      <x:c r="B978" s="18" t="str">
        <x:v>101437000_102047</x:v>
      </x:c>
      <x:c r="C978" s="18" t="str">
        <x:v>【沪村小电】后浜小区9弄小区南面停车场充电站</x:v>
      </x:c>
      <x:c r="D978" s="37" t="str">
        <x:v>8</x:v>
      </x:c>
      <x:c r="E978" s="37" t="str">
        <x:v>0</x:v>
      </x:c>
      <x:c r="F978" s="37" t="str">
        <x:v>35</x:v>
      </x:c>
      <x:c r="G978" s="37" t="str">
        <x:v>845.77</x:v>
      </x:c>
      <x:c r="H978" s="37" t="str">
        <x:v>0.00</x:v>
      </x:c>
      <x:c r="I978" s="37" t="str">
        <x:v>673.78</x:v>
      </x:c>
      <x:c r="J978" s="37" t="str">
        <x:v>0.00</x:v>
      </x:c>
      <x:c r="K978" s="37" t="str">
        <x:v>171.99</x:v>
      </x:c>
      <x:c r="L978" s="37" t="str">
        <x:v>1249</x:v>
      </x:c>
      <x:c r="M978" s="29" t="str">
        <x:v>932.19</x:v>
      </x:c>
      <x:c r="N978" s="29" t="str">
        <x:v>559.20</x:v>
      </x:c>
      <x:c r="O978" s="29" t="str">
        <x:v>372.99</x:v>
      </x:c>
      <x:c r="P978" s="18" t="str">
        <x:v>2026-07-27</x:v>
      </x:c>
      <x:c r="Q978" s="36" t="n">
        <x:v>46230</x:v>
      </x:c>
    </x:row>
    <x:row r="979">
      <x:c r="A979" s="36" t="str">
        <x:v>2026-07-27</x:v>
      </x:c>
      <x:c r="B979" s="18" t="str">
        <x:v>101437000_103503</x:v>
      </x:c>
      <x:c r="C979" s="18" t="str">
        <x:v>【沪村小电】阳光城新界充电站</x:v>
      </x:c>
      <x:c r="D979" s="37" t="str">
        <x:v>4</x:v>
      </x:c>
      <x:c r="E979" s="37" t="str">
        <x:v>0</x:v>
      </x:c>
      <x:c r="F979" s="37" t="str">
        <x:v>21</x:v>
      </x:c>
      <x:c r="G979" s="37" t="str">
        <x:v>425.13</x:v>
      </x:c>
      <x:c r="H979" s="37" t="str">
        <x:v>0.00</x:v>
      </x:c>
      <x:c r="I979" s="37" t="str">
        <x:v>351.27</x:v>
      </x:c>
      <x:c r="J979" s="37" t="str">
        <x:v>0.00</x:v>
      </x:c>
      <x:c r="K979" s="37" t="str">
        <x:v>73.86</x:v>
      </x:c>
      <x:c r="L979" s="37" t="str">
        <x:v>773</x:v>
      </x:c>
      <x:c r="M979" s="29" t="str">
        <x:v>460.76</x:v>
      </x:c>
      <x:c r="N979" s="29" t="str">
        <x:v>303.51</x:v>
      </x:c>
      <x:c r="O979" s="29" t="str">
        <x:v>157.25</x:v>
      </x:c>
      <x:c r="P979" s="18" t="str">
        <x:v>2026-07-27</x:v>
      </x:c>
      <x:c r="Q979" s="36" t="n">
        <x:v>46230</x:v>
      </x:c>
    </x:row>
    <x:row r="980">
      <x:c r="A980" s="36" t="str">
        <x:v>2026-07-27</x:v>
      </x:c>
      <x:c r="B980" s="18" t="str">
        <x:v>101437000_41561</x:v>
      </x:c>
      <x:c r="C980" s="18" t="str">
        <x:v>【沪村小电】张施小区大门处快充站</x:v>
      </x:c>
      <x:c r="D980" s="37" t="str">
        <x:v>2</x:v>
      </x:c>
      <x:c r="E980" s="37" t="str">
        <x:v>0</x:v>
      </x:c>
      <x:c r="F980" s="37" t="str">
        <x:v>44</x:v>
      </x:c>
      <x:c r="G980" s="37" t="str">
        <x:v>1276.57</x:v>
      </x:c>
      <x:c r="H980" s="37" t="str">
        <x:v>0.00</x:v>
      </x:c>
      <x:c r="I980" s="37" t="str">
        <x:v>568.24</x:v>
      </x:c>
      <x:c r="J980" s="37" t="str">
        <x:v>0.00</x:v>
      </x:c>
      <x:c r="K980" s="37" t="str">
        <x:v>708.34</x:v>
      </x:c>
      <x:c r="L980" s="37" t="str">
        <x:v>2003</x:v>
      </x:c>
      <x:c r="M980" s="29" t="str">
        <x:v>934.82</x:v>
      </x:c>
      <x:c r="N980" s="29" t="str">
        <x:v>665.53</x:v>
      </x:c>
      <x:c r="O980" s="29" t="str">
        <x:v>269.29</x:v>
      </x:c>
      <x:c r="P980" s="18" t="str">
        <x:v>2026-07-27</x:v>
      </x:c>
      <x:c r="Q980" s="36" t="n">
        <x:v>46230</x:v>
      </x:c>
    </x:row>
    <x:row r="981">
      <x:c r="A981" s="36" t="str">
        <x:v>2026-07-27</x:v>
      </x:c>
      <x:c r="B981" s="18" t="str">
        <x:v>101437000_41563</x:v>
      </x:c>
      <x:c r="C981" s="18" t="str">
        <x:v>【沪村小电】同心村快充站</x:v>
      </x:c>
      <x:c r="D981" s="37" t="str">
        <x:v>4</x:v>
      </x:c>
      <x:c r="E981" s="37" t="str">
        <x:v>0</x:v>
      </x:c>
      <x:c r="F981" s="37" t="str">
        <x:v>53</x:v>
      </x:c>
      <x:c r="G981" s="37" t="str">
        <x:v>1209.13</x:v>
      </x:c>
      <x:c r="H981" s="37" t="str">
        <x:v>0.00</x:v>
      </x:c>
      <x:c r="I981" s="37" t="str">
        <x:v>780.50</x:v>
      </x:c>
      <x:c r="J981" s="37" t="str">
        <x:v>0.00</x:v>
      </x:c>
      <x:c r="K981" s="37" t="str">
        <x:v>428.63</x:v>
      </x:c>
      <x:c r="L981" s="37" t="str">
        <x:v>2291</x:v>
      </x:c>
      <x:c r="M981" s="29" t="str">
        <x:v>1142.20</x:v>
      </x:c>
      <x:c r="N981" s="29" t="str">
        <x:v>712.74</x:v>
      </x:c>
      <x:c r="O981" s="29" t="str">
        <x:v>429.46</x:v>
      </x:c>
      <x:c r="P981" s="18" t="str">
        <x:v>2026-07-27</x:v>
      </x:c>
      <x:c r="Q981" s="36" t="n">
        <x:v>46230</x:v>
      </x:c>
    </x:row>
    <x:row r="982">
      <x:c r="A982" s="36" t="str">
        <x:v>2026-07-27</x:v>
      </x:c>
      <x:c r="B982" s="18" t="str">
        <x:v>101437000_69629</x:v>
      </x:c>
      <x:c r="C982" s="18" t="str">
        <x:v>【沪村小电】骏丰玲珑坊西苑充电站</x:v>
      </x:c>
      <x:c r="D982" s="37" t="str">
        <x:v>2</x:v>
      </x:c>
      <x:c r="E982" s="37" t="str">
        <x:v>0</x:v>
      </x:c>
      <x:c r="F982" s="37" t="str">
        <x:v>57</x:v>
      </x:c>
      <x:c r="G982" s="37" t="str">
        <x:v>1428.85</x:v>
      </x:c>
      <x:c r="H982" s="37" t="str">
        <x:v>0.00</x:v>
      </x:c>
      <x:c r="I982" s="37" t="str">
        <x:v>800.03</x:v>
      </x:c>
      <x:c r="J982" s="37" t="str">
        <x:v>0.00</x:v>
      </x:c>
      <x:c r="K982" s="37" t="str">
        <x:v>628.82</x:v>
      </x:c>
      <x:c r="L982" s="37" t="str">
        <x:v>2590</x:v>
      </x:c>
      <x:c r="M982" s="29" t="str">
        <x:v>1156.69</x:v>
      </x:c>
      <x:c r="N982" s="29" t="str">
        <x:v>800.68</x:v>
      </x:c>
      <x:c r="O982" s="29" t="str">
        <x:v>356.01</x:v>
      </x:c>
      <x:c r="P982" s="18" t="str">
        <x:v>2026-07-27</x:v>
      </x:c>
      <x:c r="Q982" s="36" t="n">
        <x:v>46230</x:v>
      </x:c>
    </x:row>
    <x:row r="983">
      <x:c r="A983" s="36" t="str">
        <x:v>2026-07-27</x:v>
      </x:c>
      <x:c r="B983" s="18" t="str">
        <x:v>101437000_70547</x:v>
      </x:c>
      <x:c r="C983" s="18" t="str">
        <x:v>【沪村小电】农建村初心馆党群服务中心充电站</x:v>
      </x:c>
      <x:c r="D983" s="37" t="str">
        <x:v>4</x:v>
      </x:c>
      <x:c r="E983" s="37" t="str">
        <x:v>0</x:v>
      </x:c>
      <x:c r="F983" s="37" t="str">
        <x:v>35</x:v>
      </x:c>
      <x:c r="G983" s="37" t="str">
        <x:v>759.21</x:v>
      </x:c>
      <x:c r="H983" s="37" t="str">
        <x:v>0.00</x:v>
      </x:c>
      <x:c r="I983" s="37" t="str">
        <x:v>426.86</x:v>
      </x:c>
      <x:c r="J983" s="37" t="str">
        <x:v>0.00</x:v>
      </x:c>
      <x:c r="K983" s="37" t="str">
        <x:v>332.36</x:v>
      </x:c>
      <x:c r="L983" s="37" t="str">
        <x:v>1324</x:v>
      </x:c>
      <x:c r="M983" s="29" t="str">
        <x:v>673.12</x:v>
      </x:c>
      <x:c r="N983" s="29" t="str">
        <x:v>426.02</x:v>
      </x:c>
      <x:c r="O983" s="29" t="str">
        <x:v>247.10</x:v>
      </x:c>
      <x:c r="P983" s="18" t="str">
        <x:v>2026-07-27</x:v>
      </x:c>
      <x:c r="Q983" s="36" t="n">
        <x:v>46230</x:v>
      </x:c>
    </x:row>
    <x:row r="984">
      <x:c r="A984" s="36" t="str">
        <x:v>2026-07-27</x:v>
      </x:c>
      <x:c r="B984" s="18" t="str">
        <x:v>101437000_70549</x:v>
      </x:c>
      <x:c r="C984" s="18" t="str">
        <x:v>【沪村小电】学府路充电站</x:v>
      </x:c>
      <x:c r="D984" s="37" t="str">
        <x:v>2</x:v>
      </x:c>
      <x:c r="E984" s="37" t="str">
        <x:v>0</x:v>
      </x:c>
      <x:c r="F984" s="37" t="str">
        <x:v>11</x:v>
      </x:c>
      <x:c r="G984" s="37" t="str">
        <x:v>236.67</x:v>
      </x:c>
      <x:c r="H984" s="37" t="str">
        <x:v>0.00</x:v>
      </x:c>
      <x:c r="I984" s="37" t="str">
        <x:v>164.66</x:v>
      </x:c>
      <x:c r="J984" s="37" t="str">
        <x:v>0.00</x:v>
      </x:c>
      <x:c r="K984" s="37" t="str">
        <x:v>72.01</x:v>
      </x:c>
      <x:c r="L984" s="37" t="str">
        <x:v>413</x:v>
      </x:c>
      <x:c r="M984" s="29" t="str">
        <x:v>244.22</x:v>
      </x:c>
      <x:c r="N984" s="29" t="str">
        <x:v>143.54</x:v>
      </x:c>
      <x:c r="O984" s="29" t="str">
        <x:v>100.68</x:v>
      </x:c>
      <x:c r="P984" s="18" t="str">
        <x:v>2026-07-27</x:v>
      </x:c>
      <x:c r="Q984" s="36" t="n">
        <x:v>46230</x:v>
      </x:c>
    </x:row>
    <x:row r="985">
      <x:c r="A985" s="36" t="str">
        <x:v>2026-07-27</x:v>
      </x:c>
      <x:c r="B985" s="18" t="str">
        <x:v>101437000_71059</x:v>
      </x:c>
      <x:c r="C985" s="18" t="str">
        <x:v>【沪村小电】宝乐汇商业广场站</x:v>
      </x:c>
      <x:c r="D985" s="37" t="str">
        <x:v>4</x:v>
      </x:c>
      <x:c r="E985" s="37" t="str">
        <x:v>0</x:v>
      </x:c>
      <x:c r="F985" s="37" t="str">
        <x:v>17</x:v>
      </x:c>
      <x:c r="G985" s="37" t="str">
        <x:v>440.37</x:v>
      </x:c>
      <x:c r="H985" s="37" t="str">
        <x:v>0.00</x:v>
      </x:c>
      <x:c r="I985" s="37" t="str">
        <x:v>265.32</x:v>
      </x:c>
      <x:c r="J985" s="37" t="str">
        <x:v>0.00</x:v>
      </x:c>
      <x:c r="K985" s="37" t="str">
        <x:v>175.05</x:v>
      </x:c>
      <x:c r="L985" s="37" t="str">
        <x:v>836</x:v>
      </x:c>
      <x:c r="M985" s="29" t="str">
        <x:v>411.66</x:v>
      </x:c>
      <x:c r="N985" s="29" t="str">
        <x:v>319.30</x:v>
      </x:c>
      <x:c r="O985" s="29" t="str">
        <x:v>92.36</x:v>
      </x:c>
      <x:c r="P985" s="18" t="str">
        <x:v>2026-07-27</x:v>
      </x:c>
      <x:c r="Q985" s="36" t="n">
        <x:v>46230</x:v>
      </x:c>
    </x:row>
    <x:row r="986">
      <x:c r="A986" s="36" t="str">
        <x:v>2026-07-27</x:v>
      </x:c>
      <x:c r="B986" s="18" t="str">
        <x:v>101437000_72541</x:v>
      </x:c>
      <x:c r="C986" s="18" t="str">
        <x:v>【沪村小电】九干路1174弄充电站</x:v>
      </x:c>
      <x:c r="D986" s="37" t="str">
        <x:v>2</x:v>
      </x:c>
      <x:c r="E986" s="37" t="str">
        <x:v>0</x:v>
      </x:c>
      <x:c r="F986" s="37" t="str">
        <x:v>49</x:v>
      </x:c>
      <x:c r="G986" s="37" t="str">
        <x:v>1020.59</x:v>
      </x:c>
      <x:c r="H986" s="37" t="str">
        <x:v>0.00</x:v>
      </x:c>
      <x:c r="I986" s="37" t="str">
        <x:v>716.73</x:v>
      </x:c>
      <x:c r="J986" s="37" t="str">
        <x:v>0.00</x:v>
      </x:c>
      <x:c r="K986" s="37" t="str">
        <x:v>303.86</x:v>
      </x:c>
      <x:c r="L986" s="37" t="str">
        <x:v>1775</x:v>
      </x:c>
      <x:c r="M986" s="29" t="str">
        <x:v>899.51</x:v>
      </x:c>
      <x:c r="N986" s="29" t="str">
        <x:v>621.33</x:v>
      </x:c>
      <x:c r="O986" s="29" t="str">
        <x:v>278.18</x:v>
      </x:c>
      <x:c r="P986" s="18" t="str">
        <x:v>2026-07-27</x:v>
      </x:c>
      <x:c r="Q986" s="36" t="n">
        <x:v>46230</x:v>
      </x:c>
    </x:row>
    <x:row r="987">
      <x:c r="A987" s="36" t="str">
        <x:v>2026-07-27</x:v>
      </x:c>
      <x:c r="B987" s="18" t="str">
        <x:v>101437000_72543</x:v>
      </x:c>
      <x:c r="C987" s="18" t="str">
        <x:v>【沪村小电】叶家中心村小区充电站</x:v>
      </x:c>
      <x:c r="D987" s="37" t="str">
        <x:v>2</x:v>
      </x:c>
      <x:c r="E987" s="37" t="str">
        <x:v>0</x:v>
      </x:c>
      <x:c r="F987" s="37" t="str">
        <x:v>39</x:v>
      </x:c>
      <x:c r="G987" s="37" t="str">
        <x:v>889.58</x:v>
      </x:c>
      <x:c r="H987" s="37" t="str">
        <x:v>0.00</x:v>
      </x:c>
      <x:c r="I987" s="37" t="str">
        <x:v>458.52</x:v>
      </x:c>
      <x:c r="J987" s="37" t="str">
        <x:v>0.00</x:v>
      </x:c>
      <x:c r="K987" s="37" t="str">
        <x:v>431.06</x:v>
      </x:c>
      <x:c r="L987" s="37" t="str">
        <x:v>1637</x:v>
      </x:c>
      <x:c r="M987" s="29" t="str">
        <x:v>634.78</x:v>
      </x:c>
      <x:c r="N987" s="29" t="str">
        <x:v>485.06</x:v>
      </x:c>
      <x:c r="O987" s="29" t="str">
        <x:v>149.72</x:v>
      </x:c>
      <x:c r="P987" s="18" t="str">
        <x:v>2026-07-27</x:v>
      </x:c>
      <x:c r="Q987" s="36" t="n">
        <x:v>46230</x:v>
      </x:c>
    </x:row>
    <x:row r="988">
      <x:c r="A988" s="36" t="str">
        <x:v>2026-07-27</x:v>
      </x:c>
      <x:c r="B988" s="18" t="str">
        <x:v>101437000_72937</x:v>
      </x:c>
      <x:c r="C988" s="18" t="str">
        <x:v>【沪村小电】佘北家园茸腾苑充电站</x:v>
      </x:c>
      <x:c r="D988" s="37" t="str">
        <x:v>4</x:v>
      </x:c>
      <x:c r="E988" s="37" t="str">
        <x:v>0</x:v>
      </x:c>
      <x:c r="F988" s="37" t="str">
        <x:v>16</x:v>
      </x:c>
      <x:c r="G988" s="37" t="str">
        <x:v>354.48</x:v>
      </x:c>
      <x:c r="H988" s="37" t="str">
        <x:v>0.00</x:v>
      </x:c>
      <x:c r="I988" s="37" t="str">
        <x:v>354.48</x:v>
      </x:c>
      <x:c r="J988" s="37" t="str">
        <x:v>0.00</x:v>
      </x:c>
      <x:c r="K988" s="37" t="str">
        <x:v>0.00</x:v>
      </x:c>
      <x:c r="L988" s="37" t="str">
        <x:v>548</x:v>
      </x:c>
      <x:c r="M988" s="29" t="str">
        <x:v>369.95</x:v>
      </x:c>
      <x:c r="N988" s="29" t="str">
        <x:v>251.68</x:v>
      </x:c>
      <x:c r="O988" s="29" t="str">
        <x:v>118.27</x:v>
      </x:c>
      <x:c r="P988" s="18" t="str">
        <x:v>2026-07-27</x:v>
      </x:c>
      <x:c r="Q988" s="36" t="n">
        <x:v>46230</x:v>
      </x:c>
    </x:row>
    <x:row r="989">
      <x:c r="A989" s="36" t="str">
        <x:v>2026-07-27</x:v>
      </x:c>
      <x:c r="B989" s="18" t="str">
        <x:v>101437000_74223</x:v>
      </x:c>
      <x:c r="C989" s="18" t="str">
        <x:v>【沪村小电】中兴村委会充电站</x:v>
      </x:c>
      <x:c r="D989" s="37" t="str">
        <x:v>2</x:v>
      </x:c>
      <x:c r="E989" s="37" t="str">
        <x:v>0</x:v>
      </x:c>
      <x:c r="F989" s="37" t="str">
        <x:v>20</x:v>
      </x:c>
      <x:c r="G989" s="37" t="str">
        <x:v>517.70</x:v>
      </x:c>
      <x:c r="H989" s="37" t="str">
        <x:v>0.00</x:v>
      </x:c>
      <x:c r="I989" s="37" t="str">
        <x:v>399.92</x:v>
      </x:c>
      <x:c r="J989" s="37" t="str">
        <x:v>0.00</x:v>
      </x:c>
      <x:c r="K989" s="37" t="str">
        <x:v>117.77</x:v>
      </x:c>
      <x:c r="L989" s="37" t="str">
        <x:v>699</x:v>
      </x:c>
      <x:c r="M989" s="29" t="str">
        <x:v>509.44</x:v>
      </x:c>
      <x:c r="N989" s="29" t="str">
        <x:v>327.52</x:v>
      </x:c>
      <x:c r="O989" s="29" t="str">
        <x:v>181.92</x:v>
      </x:c>
      <x:c r="P989" s="18" t="str">
        <x:v>2026-07-27</x:v>
      </x:c>
      <x:c r="Q989" s="36" t="n">
        <x:v>46230</x:v>
      </x:c>
    </x:row>
    <x:row r="990">
      <x:c r="A990" s="36" t="str">
        <x:v>2026-07-27</x:v>
      </x:c>
      <x:c r="B990" s="18" t="str">
        <x:v>101437000_74801</x:v>
      </x:c>
      <x:c r="C990" s="18" t="str">
        <x:v>【沪村小电】申良花园充电站</x:v>
      </x:c>
      <x:c r="D990" s="37" t="str">
        <x:v>4</x:v>
      </x:c>
      <x:c r="E990" s="37" t="str">
        <x:v>0</x:v>
      </x:c>
      <x:c r="F990" s="37" t="str">
        <x:v>9</x:v>
      </x:c>
      <x:c r="G990" s="37" t="str">
        <x:v>212.96</x:v>
      </x:c>
      <x:c r="H990" s="37" t="str">
        <x:v>0.00</x:v>
      </x:c>
      <x:c r="I990" s="37" t="str">
        <x:v>192.20</x:v>
      </x:c>
      <x:c r="J990" s="37" t="str">
        <x:v>0.00</x:v>
      </x:c>
      <x:c r="K990" s="37" t="str">
        <x:v>20.76</x:v>
      </x:c>
      <x:c r="L990" s="37" t="str">
        <x:v>298</x:v>
      </x:c>
      <x:c r="M990" s="29" t="str">
        <x:v>206.81</x:v>
      </x:c>
      <x:c r="N990" s="29" t="str">
        <x:v>144.15</x:v>
      </x:c>
      <x:c r="O990" s="29" t="str">
        <x:v>62.66</x:v>
      </x:c>
      <x:c r="P990" s="18" t="str">
        <x:v>2026-07-27</x:v>
      </x:c>
      <x:c r="Q990" s="36" t="n">
        <x:v>46230</x:v>
      </x:c>
    </x:row>
    <x:row r="991">
      <x:c r="A991" s="36" t="str">
        <x:v>2026-07-27</x:v>
      </x:c>
      <x:c r="B991" s="18" t="str">
        <x:v>101437000_74931</x:v>
      </x:c>
      <x:c r="C991" s="18" t="str">
        <x:v>【沪村小电】枫雅南居充电站</x:v>
      </x:c>
      <x:c r="D991" s="37" t="str">
        <x:v>2</x:v>
      </x:c>
      <x:c r="E991" s="37" t="str">
        <x:v>0</x:v>
      </x:c>
      <x:c r="F991" s="37" t="str">
        <x:v>50</x:v>
      </x:c>
      <x:c r="G991" s="37" t="str">
        <x:v>1421.78</x:v>
      </x:c>
      <x:c r="H991" s="37" t="str">
        <x:v>0.00</x:v>
      </x:c>
      <x:c r="I991" s="37" t="str">
        <x:v>980.30</x:v>
      </x:c>
      <x:c r="J991" s="37" t="str">
        <x:v>0.00</x:v>
      </x:c>
      <x:c r="K991" s="37" t="str">
        <x:v>441.47</x:v>
      </x:c>
      <x:c r="L991" s="37" t="str">
        <x:v>2272</x:v>
      </x:c>
      <x:c r="M991" s="29" t="str">
        <x:v>1060.82</x:v>
      </x:c>
      <x:c r="N991" s="29" t="str">
        <x:v>715.22</x:v>
      </x:c>
      <x:c r="O991" s="29" t="str">
        <x:v>345.60</x:v>
      </x:c>
      <x:c r="P991" s="18" t="str">
        <x:v>2026-07-27</x:v>
      </x:c>
      <x:c r="Q991" s="36" t="n">
        <x:v>46230</x:v>
      </x:c>
    </x:row>
    <x:row r="992">
      <x:c r="A992" s="36" t="str">
        <x:v>2026-07-27</x:v>
      </x:c>
      <x:c r="B992" s="18" t="str">
        <x:v>101437000_75901</x:v>
      </x:c>
      <x:c r="C992" s="18" t="str">
        <x:v>【沪村小电】金悦学府</x:v>
      </x:c>
      <x:c r="D992" s="37" t="str">
        <x:v>2</x:v>
      </x:c>
      <x:c r="E992" s="37" t="str">
        <x:v>0</x:v>
      </x:c>
      <x:c r="F992" s="37" t="str">
        <x:v>44</x:v>
      </x:c>
      <x:c r="G992" s="37" t="str">
        <x:v>1219.72</x:v>
      </x:c>
      <x:c r="H992" s="37" t="str">
        <x:v>0.00</x:v>
      </x:c>
      <x:c r="I992" s="37" t="str">
        <x:v>819.39</x:v>
      </x:c>
      <x:c r="J992" s="37" t="str">
        <x:v>0.00</x:v>
      </x:c>
      <x:c r="K992" s="37" t="str">
        <x:v>400.33</x:v>
      </x:c>
      <x:c r="L992" s="37" t="str">
        <x:v>2052</x:v>
      </x:c>
      <x:c r="M992" s="29" t="str">
        <x:v>999.32</x:v>
      </x:c>
      <x:c r="N992" s="29" t="str">
        <x:v>607.57</x:v>
      </x:c>
      <x:c r="O992" s="29" t="str">
        <x:v>391.75</x:v>
      </x:c>
      <x:c r="P992" s="18" t="str">
        <x:v>2026-07-27</x:v>
      </x:c>
      <x:c r="Q992" s="36" t="n">
        <x:v>46230</x:v>
      </x:c>
    </x:row>
    <x:row r="993">
      <x:c r="A993" s="36" t="str">
        <x:v>2026-07-27</x:v>
      </x:c>
      <x:c r="B993" s="18" t="str">
        <x:v>101437000_76091</x:v>
      </x:c>
      <x:c r="C993" s="18" t="str">
        <x:v>【沪村小电】恒信家园充电站</x:v>
      </x:c>
      <x:c r="D993" s="37" t="str">
        <x:v>2</x:v>
      </x:c>
      <x:c r="E993" s="37" t="str">
        <x:v>0</x:v>
      </x:c>
      <x:c r="F993" s="37" t="str">
        <x:v>70</x:v>
      </x:c>
      <x:c r="G993" s="37" t="str">
        <x:v>1293.19</x:v>
      </x:c>
      <x:c r="H993" s="37" t="str">
        <x:v>0.00</x:v>
      </x:c>
      <x:c r="I993" s="37" t="str">
        <x:v>799.79</x:v>
      </x:c>
      <x:c r="J993" s="37" t="str">
        <x:v>0.00</x:v>
      </x:c>
      <x:c r="K993" s="37" t="str">
        <x:v>493.40</x:v>
      </x:c>
      <x:c r="L993" s="37" t="str">
        <x:v>2003</x:v>
      </x:c>
      <x:c r="M993" s="29" t="str">
        <x:v>1246.99</x:v>
      </x:c>
      <x:c r="N993" s="29" t="str">
        <x:v>750.42</x:v>
      </x:c>
      <x:c r="O993" s="29" t="str">
        <x:v>496.57</x:v>
      </x:c>
      <x:c r="P993" s="18" t="str">
        <x:v>2026-07-27</x:v>
      </x:c>
      <x:c r="Q993" s="36" t="n">
        <x:v>46230</x:v>
      </x:c>
    </x:row>
    <x:row r="994">
      <x:c r="A994" s="36" t="str">
        <x:v>2026-07-27</x:v>
      </x:c>
      <x:c r="B994" s="18" t="str">
        <x:v>101437000_76417</x:v>
      </x:c>
      <x:c r="C994" s="18" t="str">
        <x:v>【沪村小电】新春一组充电站</x:v>
      </x:c>
      <x:c r="D994" s="37" t="str">
        <x:v>2</x:v>
      </x:c>
      <x:c r="E994" s="37" t="str">
        <x:v>0</x:v>
      </x:c>
      <x:c r="F994" s="37" t="str">
        <x:v>35</x:v>
      </x:c>
      <x:c r="G994" s="37" t="str">
        <x:v>1021.22</x:v>
      </x:c>
      <x:c r="H994" s="37" t="str">
        <x:v>0.00</x:v>
      </x:c>
      <x:c r="I994" s="37" t="str">
        <x:v>401.55</x:v>
      </x:c>
      <x:c r="J994" s="37" t="str">
        <x:v>0.00</x:v>
      </x:c>
      <x:c r="K994" s="37" t="str">
        <x:v>619.66</x:v>
      </x:c>
      <x:c r="L994" s="37" t="str">
        <x:v>1555</x:v>
      </x:c>
      <x:c r="M994" s="29" t="str">
        <x:v>750.79</x:v>
      </x:c>
      <x:c r="N994" s="29" t="str">
        <x:v>514.37</x:v>
      </x:c>
      <x:c r="O994" s="29" t="str">
        <x:v>236.42</x:v>
      </x:c>
      <x:c r="P994" s="18" t="str">
        <x:v>2026-07-27</x:v>
      </x:c>
      <x:c r="Q994" s="36" t="n">
        <x:v>46230</x:v>
      </x:c>
    </x:row>
    <x:row r="995">
      <x:c r="A995" s="36" t="str">
        <x:v>2026-07-27</x:v>
      </x:c>
      <x:c r="B995" s="18" t="str">
        <x:v>101437000_78235</x:v>
      </x:c>
      <x:c r="C995" s="18" t="str">
        <x:v>【沪村小电】欣秋苑充电站</x:v>
      </x:c>
      <x:c r="D995" s="37" t="str">
        <x:v>4</x:v>
      </x:c>
      <x:c r="E995" s="37" t="str">
        <x:v>0</x:v>
      </x:c>
      <x:c r="F995" s="37" t="str">
        <x:v>18</x:v>
      </x:c>
      <x:c r="G995" s="37" t="str">
        <x:v>494.38</x:v>
      </x:c>
      <x:c r="H995" s="37" t="str">
        <x:v>0.00</x:v>
      </x:c>
      <x:c r="I995" s="37" t="str">
        <x:v>353.86</x:v>
      </x:c>
      <x:c r="J995" s="37" t="str">
        <x:v>0.00</x:v>
      </x:c>
      <x:c r="K995" s="37" t="str">
        <x:v>140.52</x:v>
      </x:c>
      <x:c r="L995" s="37" t="str">
        <x:v>915</x:v>
      </x:c>
      <x:c r="M995" s="29" t="str">
        <x:v>437.47</x:v>
      </x:c>
      <x:c r="N995" s="29" t="str">
        <x:v>303.25</x:v>
      </x:c>
      <x:c r="O995" s="29" t="str">
        <x:v>134.22</x:v>
      </x:c>
      <x:c r="P995" s="18" t="str">
        <x:v>2026-07-27</x:v>
      </x:c>
      <x:c r="Q995" s="36" t="n">
        <x:v>46230</x:v>
      </x:c>
    </x:row>
    <x:row r="996">
      <x:c r="A996" s="36" t="str">
        <x:v>2026-07-27</x:v>
      </x:c>
      <x:c r="B996" s="18" t="str">
        <x:v>101437000_78237</x:v>
      </x:c>
      <x:c r="C996" s="18" t="str">
        <x:v>【沪村小电】奉馨苑西门小区内北侧充电站</x:v>
      </x:c>
      <x:c r="D996" s="37" t="str">
        <x:v>2</x:v>
      </x:c>
      <x:c r="E996" s="37" t="str">
        <x:v>0</x:v>
      </x:c>
      <x:c r="F996" s="37" t="str">
        <x:v>30</x:v>
      </x:c>
      <x:c r="G996" s="37" t="str">
        <x:v>729.61</x:v>
      </x:c>
      <x:c r="H996" s="37" t="str">
        <x:v>5.79</x:v>
      </x:c>
      <x:c r="I996" s="37" t="str">
        <x:v>238.65</x:v>
      </x:c>
      <x:c r="J996" s="37" t="str">
        <x:v>193.79</x:v>
      </x:c>
      <x:c r="K996" s="37" t="str">
        <x:v>291.37</x:v>
      </x:c>
      <x:c r="L996" s="37" t="str">
        <x:v>1086</x:v>
      </x:c>
      <x:c r="M996" s="29" t="str">
        <x:v>661.29</x:v>
      </x:c>
      <x:c r="N996" s="29" t="str">
        <x:v>523.43</x:v>
      </x:c>
      <x:c r="O996" s="29" t="str">
        <x:v>137.86</x:v>
      </x:c>
      <x:c r="P996" s="18" t="str">
        <x:v>2026-07-27</x:v>
      </x:c>
      <x:c r="Q996" s="36" t="n">
        <x:v>46230</x:v>
      </x:c>
    </x:row>
    <x:row r="997">
      <x:c r="A997" s="36" t="str">
        <x:v>2026-07-27</x:v>
      </x:c>
      <x:c r="B997" s="18" t="str">
        <x:v>101437000_78239</x:v>
      </x:c>
      <x:c r="C997" s="18" t="str">
        <x:v>【沪村小电】恒大佘山首府东门充电站</x:v>
      </x:c>
      <x:c r="D997" s="37" t="str">
        <x:v>2</x:v>
      </x:c>
      <x:c r="E997" s="37" t="str">
        <x:v>0</x:v>
      </x:c>
      <x:c r="F997" s="37" t="str">
        <x:v>42</x:v>
      </x:c>
      <x:c r="G997" s="37" t="str">
        <x:v>1011.06</x:v>
      </x:c>
      <x:c r="H997" s="37" t="str">
        <x:v>0.00</x:v>
      </x:c>
      <x:c r="I997" s="37" t="str">
        <x:v>683.01</x:v>
      </x:c>
      <x:c r="J997" s="37" t="str">
        <x:v>0.00</x:v>
      </x:c>
      <x:c r="K997" s="37" t="str">
        <x:v>328.06</x:v>
      </x:c>
      <x:c r="L997" s="37" t="str">
        <x:v>1630</x:v>
      </x:c>
      <x:c r="M997" s="29" t="str">
        <x:v>915.30</x:v>
      </x:c>
      <x:c r="N997" s="29" t="str">
        <x:v>606.32</x:v>
      </x:c>
      <x:c r="O997" s="29" t="str">
        <x:v>308.98</x:v>
      </x:c>
      <x:c r="P997" s="18" t="str">
        <x:v>2026-07-27</x:v>
      </x:c>
      <x:c r="Q997" s="36" t="n">
        <x:v>46230</x:v>
      </x:c>
    </x:row>
    <x:row r="998">
      <x:c r="A998" s="36" t="str">
        <x:v>2026-07-27</x:v>
      </x:c>
      <x:c r="B998" s="18" t="str">
        <x:v>101437000_83019</x:v>
      </x:c>
      <x:c r="C998" s="18" t="str">
        <x:v>【沪村小电】首创禧瑞云启东区充电站</x:v>
      </x:c>
      <x:c r="D998" s="37" t="str">
        <x:v>2</x:v>
      </x:c>
      <x:c r="E998" s="37" t="str">
        <x:v>0</x:v>
      </x:c>
      <x:c r="F998" s="37" t="str">
        <x:v>30</x:v>
      </x:c>
      <x:c r="G998" s="37" t="str">
        <x:v>739.45</x:v>
      </x:c>
      <x:c r="H998" s="37" t="str">
        <x:v>0.00</x:v>
      </x:c>
      <x:c r="I998" s="37" t="str">
        <x:v>562.15</x:v>
      </x:c>
      <x:c r="J998" s="37" t="str">
        <x:v>0.00</x:v>
      </x:c>
      <x:c r="K998" s="37" t="str">
        <x:v>177.29</x:v>
      </x:c>
      <x:c r="L998" s="37" t="str">
        <x:v>973</x:v>
      </x:c>
      <x:c r="M998" s="29" t="str">
        <x:v>725.81</x:v>
      </x:c>
      <x:c r="N998" s="29" t="str">
        <x:v>464.74</x:v>
      </x:c>
      <x:c r="O998" s="29" t="str">
        <x:v>261.07</x:v>
      </x:c>
      <x:c r="P998" s="18" t="str">
        <x:v>2026-07-27</x:v>
      </x:c>
      <x:c r="Q998" s="36" t="n">
        <x:v>46230</x:v>
      </x:c>
    </x:row>
    <x:row r="999">
      <x:c r="A999" s="36" t="str">
        <x:v>2026-07-27</x:v>
      </x:c>
      <x:c r="B999" s="18" t="str">
        <x:v>101437000_83093</x:v>
      </x:c>
      <x:c r="C999" s="18" t="str">
        <x:v>【沪村小电】金茂未来时光里</x:v>
      </x:c>
      <x:c r="D999" s="37" t="str">
        <x:v>2</x:v>
      </x:c>
      <x:c r="E999" s="37" t="str">
        <x:v>0</x:v>
      </x:c>
      <x:c r="F999" s="37" t="str">
        <x:v>56</x:v>
      </x:c>
      <x:c r="G999" s="37" t="str">
        <x:v>1700.62</x:v>
      </x:c>
      <x:c r="H999" s="37" t="str">
        <x:v>0.00</x:v>
      </x:c>
      <x:c r="I999" s="37" t="str">
        <x:v>850.05</x:v>
      </x:c>
      <x:c r="J999" s="37" t="str">
        <x:v>0.00</x:v>
      </x:c>
      <x:c r="K999" s="37" t="str">
        <x:v>850.57</x:v>
      </x:c>
      <x:c r="L999" s="37" t="str">
        <x:v>2526</x:v>
      </x:c>
      <x:c r="M999" s="29" t="str">
        <x:v>1134.46</x:v>
      </x:c>
      <x:c r="N999" s="29" t="str">
        <x:v>765.19</x:v>
      </x:c>
      <x:c r="O999" s="29" t="str">
        <x:v>369.27</x:v>
      </x:c>
      <x:c r="P999" s="18" t="str">
        <x:v>2026-07-27</x:v>
      </x:c>
      <x:c r="Q999" s="36" t="n">
        <x:v>46230</x:v>
      </x:c>
    </x:row>
    <x:row r="1000">
      <x:c r="A1000" s="36" t="str">
        <x:v>2026-07-27</x:v>
      </x:c>
      <x:c r="B1000" s="18" t="str">
        <x:v>101437000_83911</x:v>
      </x:c>
      <x:c r="C1000" s="18" t="str">
        <x:v>【沪村小电】金瀚园充电站</x:v>
      </x:c>
      <x:c r="D1000" s="37" t="str">
        <x:v>2</x:v>
      </x:c>
      <x:c r="E1000" s="37" t="str">
        <x:v>0</x:v>
      </x:c>
      <x:c r="F1000" s="37" t="str">
        <x:v>48</x:v>
      </x:c>
      <x:c r="G1000" s="37" t="str">
        <x:v>1168.78</x:v>
      </x:c>
      <x:c r="H1000" s="37" t="str">
        <x:v>0.00</x:v>
      </x:c>
      <x:c r="I1000" s="37" t="str">
        <x:v>698.64</x:v>
      </x:c>
      <x:c r="J1000" s="37" t="str">
        <x:v>0.00</x:v>
      </x:c>
      <x:c r="K1000" s="37" t="str">
        <x:v>470.14</x:v>
      </x:c>
      <x:c r="L1000" s="37" t="str">
        <x:v>1717</x:v>
      </x:c>
      <x:c r="M1000" s="29" t="str">
        <x:v>1010.63</x:v>
      </x:c>
      <x:c r="N1000" s="29" t="str">
        <x:v>669.98</x:v>
      </x:c>
      <x:c r="O1000" s="29" t="str">
        <x:v>340.65</x:v>
      </x:c>
      <x:c r="P1000" s="18" t="str">
        <x:v>2026-07-27</x:v>
      </x:c>
      <x:c r="Q1000" s="36" t="n">
        <x:v>46230</x:v>
      </x:c>
    </x:row>
    <x:row r="1001">
      <x:c r="A1001" s="36" t="str">
        <x:v>2026-07-27</x:v>
      </x:c>
      <x:c r="B1001" s="18" t="str">
        <x:v>101437000_83913</x:v>
      </x:c>
      <x:c r="C1001" s="18" t="str">
        <x:v>【沪村小电】新黎村充电站</x:v>
      </x:c>
      <x:c r="D1001" s="37" t="str">
        <x:v>2</x:v>
      </x:c>
      <x:c r="E1001" s="37" t="str">
        <x:v>0</x:v>
      </x:c>
      <x:c r="F1001" s="37" t="str">
        <x:v>59</x:v>
      </x:c>
      <x:c r="G1001" s="37" t="str">
        <x:v>1342.15</x:v>
      </x:c>
      <x:c r="H1001" s="37" t="str">
        <x:v>0.00</x:v>
      </x:c>
      <x:c r="I1001" s="37" t="str">
        <x:v>1085.59</x:v>
      </x:c>
      <x:c r="J1001" s="37" t="str">
        <x:v>0.00</x:v>
      </x:c>
      <x:c r="K1001" s="37" t="str">
        <x:v>256.56</x:v>
      </x:c>
      <x:c r="L1001" s="37" t="str">
        <x:v>2144</x:v>
      </x:c>
      <x:c r="M1001" s="29" t="str">
        <x:v>1252.20</x:v>
      </x:c>
      <x:c r="N1001" s="29" t="str">
        <x:v>865.76</x:v>
      </x:c>
      <x:c r="O1001" s="29" t="str">
        <x:v>386.44</x:v>
      </x:c>
      <x:c r="P1001" s="18" t="str">
        <x:v>2026-07-27</x:v>
      </x:c>
      <x:c r="Q1001" s="36" t="n">
        <x:v>46230</x:v>
      </x:c>
    </x:row>
    <x:row r="1002">
      <x:c r="A1002" s="36" t="str">
        <x:v>2026-07-27</x:v>
      </x:c>
      <x:c r="B1002" s="18" t="str">
        <x:v>101437000_83915</x:v>
      </x:c>
      <x:c r="C1002" s="18" t="str">
        <x:v>【沪村小电】长泰西郊别墅充电站</x:v>
      </x:c>
      <x:c r="D1002" s="37" t="str">
        <x:v>2</x:v>
      </x:c>
      <x:c r="E1002" s="37" t="str">
        <x:v>0</x:v>
      </x:c>
      <x:c r="F1002" s="37" t="str">
        <x:v>22</x:v>
      </x:c>
      <x:c r="G1002" s="37" t="str">
        <x:v>539.99</x:v>
      </x:c>
      <x:c r="H1002" s="37" t="str">
        <x:v>0.00</x:v>
      </x:c>
      <x:c r="I1002" s="37" t="str">
        <x:v>403.00</x:v>
      </x:c>
      <x:c r="J1002" s="37" t="str">
        <x:v>0.00</x:v>
      </x:c>
      <x:c r="K1002" s="37" t="str">
        <x:v>136.99</x:v>
      </x:c>
      <x:c r="L1002" s="37" t="str">
        <x:v>813</x:v>
      </x:c>
      <x:c r="M1002" s="29" t="str">
        <x:v>510.32</x:v>
      </x:c>
      <x:c r="N1002" s="29" t="str">
        <x:v>336.83</x:v>
      </x:c>
      <x:c r="O1002" s="29" t="str">
        <x:v>173.49</x:v>
      </x:c>
      <x:c r="P1002" s="18" t="str">
        <x:v>2026-07-27</x:v>
      </x:c>
      <x:c r="Q1002" s="36" t="n">
        <x:v>46230</x:v>
      </x:c>
    </x:row>
    <x:row r="1003">
      <x:c r="A1003" s="36" t="str">
        <x:v>2026-07-27</x:v>
      </x:c>
      <x:c r="B1003" s="18" t="str">
        <x:v>101437000_83917</x:v>
      </x:c>
      <x:c r="C1003" s="18" t="str">
        <x:v>【沪村小电】旭新华庭充电站</x:v>
      </x:c>
      <x:c r="D1003" s="37" t="str">
        <x:v>4</x:v>
      </x:c>
      <x:c r="E1003" s="37" t="str">
        <x:v>0</x:v>
      </x:c>
      <x:c r="F1003" s="37" t="str">
        <x:v>24</x:v>
      </x:c>
      <x:c r="G1003" s="37" t="str">
        <x:v>587.55</x:v>
      </x:c>
      <x:c r="H1003" s="37" t="str">
        <x:v>0.00</x:v>
      </x:c>
      <x:c r="I1003" s="37" t="str">
        <x:v>414.41</x:v>
      </x:c>
      <x:c r="J1003" s="37" t="str">
        <x:v>0.00</x:v>
      </x:c>
      <x:c r="K1003" s="37" t="str">
        <x:v>173.13</x:v>
      </x:c>
      <x:c r="L1003" s="37" t="str">
        <x:v>996</x:v>
      </x:c>
      <x:c r="M1003" s="29" t="str">
        <x:v>605.56</x:v>
      </x:c>
      <x:c r="N1003" s="29" t="str">
        <x:v>358.29</x:v>
      </x:c>
      <x:c r="O1003" s="29" t="str">
        <x:v>247.27</x:v>
      </x:c>
      <x:c r="P1003" s="18" t="str">
        <x:v>2026-07-27</x:v>
      </x:c>
      <x:c r="Q1003" s="36" t="n">
        <x:v>46230</x:v>
      </x:c>
    </x:row>
    <x:row r="1004">
      <x:c r="A1004" s="36" t="str">
        <x:v>2026-07-27</x:v>
      </x:c>
      <x:c r="B1004" s="18" t="str">
        <x:v>101437000_83919</x:v>
      </x:c>
      <x:c r="C1004" s="18" t="str">
        <x:v>【沪村小电】浦锦名仕嘉园充电站</x:v>
      </x:c>
      <x:c r="D1004" s="37" t="str">
        <x:v>4</x:v>
      </x:c>
      <x:c r="E1004" s="37" t="str">
        <x:v>0</x:v>
      </x:c>
      <x:c r="F1004" s="37" t="str">
        <x:v>45</x:v>
      </x:c>
      <x:c r="G1004" s="37" t="str">
        <x:v>1323.41</x:v>
      </x:c>
      <x:c r="H1004" s="37" t="str">
        <x:v>0.00</x:v>
      </x:c>
      <x:c r="I1004" s="37" t="str">
        <x:v>0.00</x:v>
      </x:c>
      <x:c r="J1004" s="37" t="str">
        <x:v>1323.41</x:v>
      </x:c>
      <x:c r="K1004" s="37" t="str">
        <x:v>0.00</x:v>
      </x:c>
      <x:c r="L1004" s="37" t="str">
        <x:v>1795</x:v>
      </x:c>
      <x:c r="M1004" s="29" t="str">
        <x:v>1300.18</x:v>
      </x:c>
      <x:c r="N1004" s="29" t="str">
        <x:v>926.40</x:v>
      </x:c>
      <x:c r="O1004" s="29" t="str">
        <x:v>373.78</x:v>
      </x:c>
      <x:c r="P1004" s="18" t="str">
        <x:v>2026-07-27</x:v>
      </x:c>
      <x:c r="Q1004" s="36" t="n">
        <x:v>46230</x:v>
      </x:c>
    </x:row>
    <x:row r="1005">
      <x:c r="A1005" s="36" t="str">
        <x:v>2026-07-27</x:v>
      </x:c>
      <x:c r="B1005" s="18" t="str">
        <x:v>101437000_83921</x:v>
      </x:c>
      <x:c r="C1005" s="18" t="str">
        <x:v>【沪村小电】上海联怡枇杷乐园充电站（地库）</x:v>
      </x:c>
      <x:c r="D1005" s="37" t="str">
        <x:v>8</x:v>
      </x:c>
      <x:c r="E1005" s="37" t="str">
        <x:v>0</x:v>
      </x:c>
      <x:c r="F1005" s="37" t="str">
        <x:v>20</x:v>
      </x:c>
      <x:c r="G1005" s="37" t="str">
        <x:v>453.16</x:v>
      </x:c>
      <x:c r="H1005" s="37" t="str">
        <x:v>0.00</x:v>
      </x:c>
      <x:c r="I1005" s="37" t="str">
        <x:v>180.28</x:v>
      </x:c>
      <x:c r="J1005" s="37" t="str">
        <x:v>0.00</x:v>
      </x:c>
      <x:c r="K1005" s="37" t="str">
        <x:v>272.89</x:v>
      </x:c>
      <x:c r="L1005" s="37" t="str">
        <x:v>722</x:v>
      </x:c>
      <x:c r="M1005" s="29" t="str">
        <x:v>342.71</x:v>
      </x:c>
      <x:c r="N1005" s="29" t="str">
        <x:v>287.77</x:v>
      </x:c>
      <x:c r="O1005" s="29" t="str">
        <x:v>54.94</x:v>
      </x:c>
      <x:c r="P1005" s="18" t="str">
        <x:v>2026-07-27</x:v>
      </x:c>
      <x:c r="Q1005" s="36" t="n">
        <x:v>46230</x:v>
      </x:c>
    </x:row>
    <x:row r="1006">
      <x:c r="A1006" s="36" t="str">
        <x:v>2026-07-27</x:v>
      </x:c>
      <x:c r="B1006" s="18" t="str">
        <x:v>101437000_83923</x:v>
      </x:c>
      <x:c r="C1006" s="18" t="str">
        <x:v>【沪村小电】明珠新苑充电站</x:v>
      </x:c>
      <x:c r="D1006" s="37" t="str">
        <x:v>2</x:v>
      </x:c>
      <x:c r="E1006" s="37" t="str">
        <x:v>0</x:v>
      </x:c>
      <x:c r="F1006" s="37" t="str">
        <x:v>28</x:v>
      </x:c>
      <x:c r="G1006" s="37" t="str">
        <x:v>676.42</x:v>
      </x:c>
      <x:c r="H1006" s="37" t="str">
        <x:v>0.00</x:v>
      </x:c>
      <x:c r="I1006" s="37" t="str">
        <x:v>470.31</x:v>
      </x:c>
      <x:c r="J1006" s="37" t="str">
        <x:v>0.00</x:v>
      </x:c>
      <x:c r="K1006" s="37" t="str">
        <x:v>206.12</x:v>
      </x:c>
      <x:c r="L1006" s="37" t="str">
        <x:v>1047</x:v>
      </x:c>
      <x:c r="M1006" s="29" t="str">
        <x:v>613.66</x:v>
      </x:c>
      <x:c r="N1006" s="29" t="str">
        <x:v>410.15</x:v>
      </x:c>
      <x:c r="O1006" s="29" t="str">
        <x:v>203.51</x:v>
      </x:c>
      <x:c r="P1006" s="18" t="str">
        <x:v>2026-07-27</x:v>
      </x:c>
      <x:c r="Q1006" s="36" t="n">
        <x:v>46230</x:v>
      </x:c>
    </x:row>
    <x:row r="1007">
      <x:c r="A1007" s="36" t="str">
        <x:v>2026-07-27</x:v>
      </x:c>
      <x:c r="B1007" s="18" t="str">
        <x:v>101437000_84289</x:v>
      </x:c>
      <x:c r="C1007" s="18" t="str">
        <x:v>【沪村小电】铁建芳华苑充电站</x:v>
      </x:c>
      <x:c r="D1007" s="37" t="str">
        <x:v>4</x:v>
      </x:c>
      <x:c r="E1007" s="37" t="str">
        <x:v>0</x:v>
      </x:c>
      <x:c r="F1007" s="37" t="str">
        <x:v>55</x:v>
      </x:c>
      <x:c r="G1007" s="37" t="str">
        <x:v>1270.66</x:v>
      </x:c>
      <x:c r="H1007" s="37" t="str">
        <x:v>0.00</x:v>
      </x:c>
      <x:c r="I1007" s="37" t="str">
        <x:v>880.09</x:v>
      </x:c>
      <x:c r="J1007" s="37" t="str">
        <x:v>0.00</x:v>
      </x:c>
      <x:c r="K1007" s="37" t="str">
        <x:v>390.57</x:v>
      </x:c>
      <x:c r="L1007" s="37" t="str">
        <x:v>2148</x:v>
      </x:c>
      <x:c r="M1007" s="29" t="str">
        <x:v>1146.14</x:v>
      </x:c>
      <x:c r="N1007" s="29" t="str">
        <x:v>769.35</x:v>
      </x:c>
      <x:c r="O1007" s="29" t="str">
        <x:v>376.79</x:v>
      </x:c>
      <x:c r="P1007" s="18" t="str">
        <x:v>2026-07-27</x:v>
      </x:c>
      <x:c r="Q1007" s="36" t="n">
        <x:v>46230</x:v>
      </x:c>
    </x:row>
    <x:row r="1008">
      <x:c r="A1008" s="36" t="str">
        <x:v>2026-07-27</x:v>
      </x:c>
      <x:c r="B1008" s="18" t="str">
        <x:v>101437000_86379</x:v>
      </x:c>
      <x:c r="C1008" s="18" t="str">
        <x:v>【沪村小电】新宝社区充电站</x:v>
      </x:c>
      <x:c r="D1008" s="37" t="str">
        <x:v>4</x:v>
      </x:c>
      <x:c r="E1008" s="37" t="str">
        <x:v>0</x:v>
      </x:c>
      <x:c r="F1008" s="37" t="str">
        <x:v>25</x:v>
      </x:c>
      <x:c r="G1008" s="37" t="str">
        <x:v>637.32</x:v>
      </x:c>
      <x:c r="H1008" s="37" t="str">
        <x:v>0.00</x:v>
      </x:c>
      <x:c r="I1008" s="37" t="str">
        <x:v>301.08</x:v>
      </x:c>
      <x:c r="J1008" s="37" t="str">
        <x:v>0.00</x:v>
      </x:c>
      <x:c r="K1008" s="37" t="str">
        <x:v>336.24</x:v>
      </x:c>
      <x:c r="L1008" s="37" t="str">
        <x:v>1050</x:v>
      </x:c>
      <x:c r="M1008" s="29" t="str">
        <x:v>492.57</x:v>
      </x:c>
      <x:c r="N1008" s="29" t="str">
        <x:v>338.18</x:v>
      </x:c>
      <x:c r="O1008" s="29" t="str">
        <x:v>154.39</x:v>
      </x:c>
      <x:c r="P1008" s="18" t="str">
        <x:v>2026-07-27</x:v>
      </x:c>
      <x:c r="Q1008" s="36" t="n">
        <x:v>46230</x:v>
      </x:c>
    </x:row>
    <x:row r="1009">
      <x:c r="A1009" s="36" t="str">
        <x:v>2026-07-27</x:v>
      </x:c>
      <x:c r="B1009" s="18" t="str">
        <x:v>101437000_89441</x:v>
      </x:c>
      <x:c r="C1009" s="18" t="str">
        <x:v>【沪村小电】首创禧瑞云启西区充电站</x:v>
      </x:c>
      <x:c r="D1009" s="37" t="str">
        <x:v>2</x:v>
      </x:c>
      <x:c r="E1009" s="37" t="str">
        <x:v>0</x:v>
      </x:c>
      <x:c r="F1009" s="37" t="str">
        <x:v>31</x:v>
      </x:c>
      <x:c r="G1009" s="37" t="str">
        <x:v>690.23</x:v>
      </x:c>
      <x:c r="H1009" s="37" t="str">
        <x:v>0.00</x:v>
      </x:c>
      <x:c r="I1009" s="37" t="str">
        <x:v>572.06</x:v>
      </x:c>
      <x:c r="J1009" s="37" t="str">
        <x:v>0.00</x:v>
      </x:c>
      <x:c r="K1009" s="37" t="str">
        <x:v>118.17</x:v>
      </x:c>
      <x:c r="L1009" s="37" t="str">
        <x:v>843</x:v>
      </x:c>
      <x:c r="M1009" s="29" t="str">
        <x:v>705.03</x:v>
      </x:c>
      <x:c r="N1009" s="29" t="str">
        <x:v>449.88</x:v>
      </x:c>
      <x:c r="O1009" s="29" t="str">
        <x:v>255.15</x:v>
      </x:c>
      <x:c r="P1009" s="18" t="str">
        <x:v>2026-07-27</x:v>
      </x:c>
      <x:c r="Q1009" s="36" t="n">
        <x:v>46230</x:v>
      </x:c>
    </x:row>
    <x:row r="1010">
      <x:c r="A1010" s="36" t="str">
        <x:v>2026-07-27</x:v>
      </x:c>
      <x:c r="B1010" s="18" t="str">
        <x:v>101437000_89443</x:v>
      </x:c>
      <x:c r="C1010" s="18" t="str">
        <x:v>【沪村小电】玉兰清苑二期充电站</x:v>
      </x:c>
      <x:c r="D1010" s="37" t="str">
        <x:v>2</x:v>
      </x:c>
      <x:c r="E1010" s="37" t="str">
        <x:v>0</x:v>
      </x:c>
      <x:c r="F1010" s="37" t="str">
        <x:v>22</x:v>
      </x:c>
      <x:c r="G1010" s="37" t="str">
        <x:v>517.02</x:v>
      </x:c>
      <x:c r="H1010" s="37" t="str">
        <x:v>0.00</x:v>
      </x:c>
      <x:c r="I1010" s="37" t="str">
        <x:v>408.95</x:v>
      </x:c>
      <x:c r="J1010" s="37" t="str">
        <x:v>0.00</x:v>
      </x:c>
      <x:c r="K1010" s="37" t="str">
        <x:v>108.07</x:v>
      </x:c>
      <x:c r="L1010" s="37" t="str">
        <x:v>692</x:v>
      </x:c>
      <x:c r="M1010" s="29" t="str">
        <x:v>538.98</x:v>
      </x:c>
      <x:c r="N1010" s="29" t="str">
        <x:v>330.35</x:v>
      </x:c>
      <x:c r="O1010" s="29" t="str">
        <x:v>208.63</x:v>
      </x:c>
      <x:c r="P1010" s="18" t="str">
        <x:v>2026-07-27</x:v>
      </x:c>
      <x:c r="Q1010" s="36" t="n">
        <x:v>46230</x:v>
      </x:c>
    </x:row>
    <x:row r="1011">
      <x:c r="A1011" s="36" t="str">
        <x:v>2026-07-27</x:v>
      </x:c>
      <x:c r="B1011" s="18" t="str">
        <x:v>101437000_93115</x:v>
      </x:c>
      <x:c r="C1011" s="18" t="str">
        <x:v>【沪村小电】新南家园西北门</x:v>
      </x:c>
      <x:c r="D1011" s="37" t="str">
        <x:v>2</x:v>
      </x:c>
      <x:c r="E1011" s="37" t="str">
        <x:v>0</x:v>
      </x:c>
      <x:c r="F1011" s="37" t="str">
        <x:v>22</x:v>
      </x:c>
      <x:c r="G1011" s="37" t="str">
        <x:v>747.41</x:v>
      </x:c>
      <x:c r="H1011" s="37" t="str">
        <x:v>0.00</x:v>
      </x:c>
      <x:c r="I1011" s="37" t="str">
        <x:v>347.29</x:v>
      </x:c>
      <x:c r="J1011" s="37" t="str">
        <x:v>0.00</x:v>
      </x:c>
      <x:c r="K1011" s="37" t="str">
        <x:v>400.12</x:v>
      </x:c>
      <x:c r="L1011" s="37" t="str">
        <x:v>1012</x:v>
      </x:c>
      <x:c r="M1011" s="29" t="str">
        <x:v>619.68</x:v>
      </x:c>
      <x:c r="N1011" s="29" t="str">
        <x:v>394.61</x:v>
      </x:c>
      <x:c r="O1011" s="29" t="str">
        <x:v>225.07</x:v>
      </x:c>
      <x:c r="P1011" s="18" t="str">
        <x:v>2026-07-27</x:v>
      </x:c>
      <x:c r="Q1011" s="36" t="n">
        <x:v>46230</x:v>
      </x:c>
    </x:row>
    <x:row r="1012">
      <x:c r="A1012" s="36" t="str">
        <x:v>2026-07-27</x:v>
      </x:c>
      <x:c r="B1012" s="18" t="str">
        <x:v>101437000_94649</x:v>
      </x:c>
      <x:c r="C1012" s="18" t="str">
        <x:v>【沪村小电】浪琴水岸花园</x:v>
      </x:c>
      <x:c r="D1012" s="37" t="str">
        <x:v>4</x:v>
      </x:c>
      <x:c r="E1012" s="37" t="str">
        <x:v>0</x:v>
      </x:c>
      <x:c r="F1012" s="37" t="str">
        <x:v>40</x:v>
      </x:c>
      <x:c r="G1012" s="37" t="str">
        <x:v>976.19</x:v>
      </x:c>
      <x:c r="H1012" s="37" t="str">
        <x:v>0.00</x:v>
      </x:c>
      <x:c r="I1012" s="37" t="str">
        <x:v>513.41</x:v>
      </x:c>
      <x:c r="J1012" s="37" t="str">
        <x:v>0.00</x:v>
      </x:c>
      <x:c r="K1012" s="37" t="str">
        <x:v>462.78</x:v>
      </x:c>
      <x:c r="L1012" s="37" t="str">
        <x:v>1524</x:v>
      </x:c>
      <x:c r="M1012" s="29" t="str">
        <x:v>786.58</x:v>
      </x:c>
      <x:c r="N1012" s="29" t="str">
        <x:v>582.03</x:v>
      </x:c>
      <x:c r="O1012" s="29" t="str">
        <x:v>204.55</x:v>
      </x:c>
      <x:c r="P1012" s="18" t="str">
        <x:v>2026-07-27</x:v>
      </x:c>
      <x:c r="Q1012" s="36" t="n">
        <x:v>46230</x:v>
      </x:c>
    </x:row>
    <x:row r="1013">
      <x:c r="A1013" s="36" t="str">
        <x:v>2026-07-27</x:v>
      </x:c>
      <x:c r="B1013" s="18" t="str">
        <x:v>101437000_95077</x:v>
      </x:c>
      <x:c r="C1013" s="18" t="str">
        <x:v>【沪村小电】民乐城惠益绿苑255弄充电站</x:v>
      </x:c>
      <x:c r="D1013" s="37" t="str">
        <x:v>2</x:v>
      </x:c>
      <x:c r="E1013" s="37" t="str">
        <x:v>0</x:v>
      </x:c>
      <x:c r="F1013" s="37" t="str">
        <x:v>12</x:v>
      </x:c>
      <x:c r="G1013" s="37" t="str">
        <x:v>302.08</x:v>
      </x:c>
      <x:c r="H1013" s="37" t="str">
        <x:v>0.00</x:v>
      </x:c>
      <x:c r="I1013" s="37" t="str">
        <x:v>248.37</x:v>
      </x:c>
      <x:c r="J1013" s="37" t="str">
        <x:v>0.00</x:v>
      </x:c>
      <x:c r="K1013" s="37" t="str">
        <x:v>53.71</x:v>
      </x:c>
      <x:c r="L1013" s="37" t="str">
        <x:v>462</x:v>
      </x:c>
      <x:c r="M1013" s="29" t="str">
        <x:v>299.31</x:v>
      </x:c>
      <x:c r="N1013" s="29" t="str">
        <x:v>196.22</x:v>
      </x:c>
      <x:c r="O1013" s="29" t="str">
        <x:v>103.09</x:v>
      </x:c>
      <x:c r="P1013" s="18" t="str">
        <x:v>2026-07-27</x:v>
      </x:c>
      <x:c r="Q1013" s="36" t="n">
        <x:v>46230</x:v>
      </x:c>
    </x:row>
    <x:row r="1014">
      <x:c r="A1014" s="36" t="str">
        <x:v>2026-07-27</x:v>
      </x:c>
      <x:c r="B1014" s="18" t="str">
        <x:v>101437000_95079</x:v>
      </x:c>
      <x:c r="C1014" s="18" t="str">
        <x:v>【沪村小电】民乐城惠益绿苑东苑充电站</x:v>
      </x:c>
      <x:c r="D1014" s="37" t="str">
        <x:v>2</x:v>
      </x:c>
      <x:c r="E1014" s="37" t="str">
        <x:v>0</x:v>
      </x:c>
      <x:c r="F1014" s="37" t="str">
        <x:v>20</x:v>
      </x:c>
      <x:c r="G1014" s="37" t="str">
        <x:v>502.64</x:v>
      </x:c>
      <x:c r="H1014" s="37" t="str">
        <x:v>0.00</x:v>
      </x:c>
      <x:c r="I1014" s="37" t="str">
        <x:v>376.41</x:v>
      </x:c>
      <x:c r="J1014" s="37" t="str">
        <x:v>0.00</x:v>
      </x:c>
      <x:c r="K1014" s="37" t="str">
        <x:v>126.23</x:v>
      </x:c>
      <x:c r="L1014" s="37" t="str">
        <x:v>853</x:v>
      </x:c>
      <x:c r="M1014" s="29" t="str">
        <x:v>425.90</x:v>
      </x:c>
      <x:c r="N1014" s="29" t="str">
        <x:v>313.97</x:v>
      </x:c>
      <x:c r="O1014" s="29" t="str">
        <x:v>111.93</x:v>
      </x:c>
      <x:c r="P1014" s="18" t="str">
        <x:v>2026-07-27</x:v>
      </x:c>
      <x:c r="Q1014" s="36" t="n">
        <x:v>46230</x:v>
      </x:c>
    </x:row>
    <x:row r="1015">
      <x:c r="A1015" s="36" t="str">
        <x:v>2026-07-27</x:v>
      </x:c>
      <x:c r="B1015" s="18" t="str">
        <x:v>101437000_95081</x:v>
      </x:c>
      <x:c r="C1015" s="18" t="str">
        <x:v>【沪村小电】民乐城惠益绿苑西苑充电站</x:v>
      </x:c>
      <x:c r="D1015" s="37" t="str">
        <x:v>2</x:v>
      </x:c>
      <x:c r="E1015" s="37" t="str">
        <x:v>0</x:v>
      </x:c>
      <x:c r="F1015" s="37" t="str">
        <x:v>8</x:v>
      </x:c>
      <x:c r="G1015" s="37" t="str">
        <x:v>132.97</x:v>
      </x:c>
      <x:c r="H1015" s="37" t="str">
        <x:v>0.00</x:v>
      </x:c>
      <x:c r="I1015" s="37" t="str">
        <x:v>132.97</x:v>
      </x:c>
      <x:c r="J1015" s="37" t="str">
        <x:v>0.00</x:v>
      </x:c>
      <x:c r="K1015" s="37" t="str">
        <x:v>0.00</x:v>
      </x:c>
      <x:c r="L1015" s="37" t="str">
        <x:v>302</x:v>
      </x:c>
      <x:c r="M1015" s="29" t="str">
        <x:v>137.28</x:v>
      </x:c>
      <x:c r="N1015" s="29" t="str">
        <x:v>94.40</x:v>
      </x:c>
      <x:c r="O1015" s="29" t="str">
        <x:v>42.88</x:v>
      </x:c>
      <x:c r="P1015" s="18" t="str">
        <x:v>2026-07-27</x:v>
      </x:c>
      <x:c r="Q1015" s="36" t="n">
        <x:v>46230</x:v>
      </x:c>
    </x:row>
    <x:row r="1016">
      <x:c r="A1016" s="36" t="str">
        <x:v>2026-07-27</x:v>
      </x:c>
      <x:c r="B1016" s="18" t="str">
        <x:v>101437000_95941</x:v>
      </x:c>
      <x:c r="C1016" s="18" t="str">
        <x:v>【沪村小电】惠诚雅苑</x:v>
      </x:c>
      <x:c r="D1016" s="37" t="str">
        <x:v>4</x:v>
      </x:c>
      <x:c r="E1016" s="37" t="str">
        <x:v>0</x:v>
      </x:c>
      <x:c r="F1016" s="37" t="str">
        <x:v>41</x:v>
      </x:c>
      <x:c r="G1016" s="37" t="str">
        <x:v>1223.57</x:v>
      </x:c>
      <x:c r="H1016" s="37" t="str">
        <x:v>0.00</x:v>
      </x:c>
      <x:c r="I1016" s="37" t="str">
        <x:v>536.57</x:v>
      </x:c>
      <x:c r="J1016" s="37" t="str">
        <x:v>0.00</x:v>
      </x:c>
      <x:c r="K1016" s="37" t="str">
        <x:v>687.00</x:v>
      </x:c>
      <x:c r="L1016" s="37" t="str">
        <x:v>1839</x:v>
      </x:c>
      <x:c r="M1016" s="29" t="str">
        <x:v>815.28</x:v>
      </x:c>
      <x:c r="N1016" s="29" t="str">
        <x:v>529.51</x:v>
      </x:c>
      <x:c r="O1016" s="29" t="str">
        <x:v>285.77</x:v>
      </x:c>
      <x:c r="P1016" s="18" t="str">
        <x:v>2026-07-27</x:v>
      </x:c>
      <x:c r="Q1016" s="36" t="n">
        <x:v>46230</x:v>
      </x:c>
    </x:row>
    <x:row r="1017">
      <x:c r="A1017" s="36" t="str">
        <x:v>2026-07-27</x:v>
      </x:c>
      <x:c r="B1017" s="18" t="str">
        <x:v>101437000_96401</x:v>
      </x:c>
      <x:c r="C1017" s="18" t="str">
        <x:v>【沪村小电】上海联怡枇杷乐园地面站</x:v>
      </x:c>
      <x:c r="D1017" s="37" t="str">
        <x:v>2</x:v>
      </x:c>
      <x:c r="E1017" s="37" t="str">
        <x:v>0</x:v>
      </x:c>
      <x:c r="F1017" s="37" t="str">
        <x:v>7</x:v>
      </x:c>
      <x:c r="G1017" s="37" t="str">
        <x:v>137.01</x:v>
      </x:c>
      <x:c r="H1017" s="37" t="str">
        <x:v>0.00</x:v>
      </x:c>
      <x:c r="I1017" s="37" t="str">
        <x:v>57.78</x:v>
      </x:c>
      <x:c r="J1017" s="37" t="str">
        <x:v>0.00</x:v>
      </x:c>
      <x:c r="K1017" s="37" t="str">
        <x:v>79.23</x:v>
      </x:c>
      <x:c r="L1017" s="37" t="str">
        <x:v>188</x:v>
      </x:c>
      <x:c r="M1017" s="29" t="str">
        <x:v>132.47</x:v>
      </x:c>
      <x:c r="N1017" s="29" t="str">
        <x:v>88.45</x:v>
      </x:c>
      <x:c r="O1017" s="29" t="str">
        <x:v>44.02</x:v>
      </x:c>
      <x:c r="P1017" s="18" t="str">
        <x:v>2026-07-27</x:v>
      </x:c>
      <x:c r="Q1017" s="36" t="n">
        <x:v>46230</x:v>
      </x:c>
    </x:row>
    <x:row r="1018">
      <x:c r="A1018" s="36" t="str">
        <x:v>2026-07-27</x:v>
      </x:c>
      <x:c r="B1018" s="18" t="str">
        <x:v>101437000_96719</x:v>
      </x:c>
      <x:c r="C1018" s="18" t="str">
        <x:v>【沪村小电】四达路220弄充电站</x:v>
      </x:c>
      <x:c r="D1018" s="37" t="str">
        <x:v>2</x:v>
      </x:c>
      <x:c r="E1018" s="37" t="str">
        <x:v>0</x:v>
      </x:c>
      <x:c r="F1018" s="37" t="str">
        <x:v>4</x:v>
      </x:c>
      <x:c r="G1018" s="37" t="str">
        <x:v>76.41</x:v>
      </x:c>
      <x:c r="H1018" s="37" t="str">
        <x:v>0.00</x:v>
      </x:c>
      <x:c r="I1018" s="37" t="str">
        <x:v>76.41</x:v>
      </x:c>
      <x:c r="J1018" s="37" t="str">
        <x:v>0.00</x:v>
      </x:c>
      <x:c r="K1018" s="37" t="str">
        <x:v>0.00</x:v>
      </x:c>
      <x:c r="L1018" s="37" t="str">
        <x:v>90</x:v>
      </x:c>
      <x:c r="M1018" s="29" t="str">
        <x:v>84.42</x:v>
      </x:c>
      <x:c r="N1018" s="29" t="str">
        <x:v>54.26</x:v>
      </x:c>
      <x:c r="O1018" s="29" t="str">
        <x:v>30.16</x:v>
      </x:c>
      <x:c r="P1018" s="18" t="str">
        <x:v>2026-07-27</x:v>
      </x:c>
      <x:c r="Q1018" s="36" t="n">
        <x:v>46230</x:v>
      </x:c>
    </x:row>
    <x:row r="1019">
      <x:c r="A1019" s="36" t="str">
        <x:v>2026-07-27</x:v>
      </x:c>
      <x:c r="B1019" s="18" t="str">
        <x:v>101437000_97421</x:v>
      </x:c>
      <x:c r="C1019" s="18" t="str">
        <x:v>【沪村小电】玉兰清苑二期（小区外）充电站</x:v>
      </x:c>
      <x:c r="D1019" s="37" t="str">
        <x:v>4</x:v>
      </x:c>
      <x:c r="E1019" s="37" t="str">
        <x:v>0</x:v>
      </x:c>
      <x:c r="F1019" s="37" t="str">
        <x:v>53</x:v>
      </x:c>
      <x:c r="G1019" s="37" t="str">
        <x:v>979.74</x:v>
      </x:c>
      <x:c r="H1019" s="37" t="str">
        <x:v>0.00</x:v>
      </x:c>
      <x:c r="I1019" s="37" t="str">
        <x:v>744.39</x:v>
      </x:c>
      <x:c r="J1019" s="37" t="str">
        <x:v>0.00</x:v>
      </x:c>
      <x:c r="K1019" s="37" t="str">
        <x:v>235.35</x:v>
      </x:c>
      <x:c r="L1019" s="37" t="str">
        <x:v>1966</x:v>
      </x:c>
      <x:c r="M1019" s="29" t="str">
        <x:v>886.92</x:v>
      </x:c>
      <x:c r="N1019" s="29" t="str">
        <x:v>615.57</x:v>
      </x:c>
      <x:c r="O1019" s="29" t="str">
        <x:v>271.35</x:v>
      </x:c>
      <x:c r="P1019" s="18" t="str">
        <x:v>2026-07-27</x:v>
      </x:c>
      <x:c r="Q1019" s="36" t="n">
        <x:v>46230</x:v>
      </x:c>
    </x:row>
    <x:row r="1020">
      <x:c r="A1020" s="36" t="str">
        <x:v>2026-07-27</x:v>
      </x:c>
      <x:c r="B1020" s="18" t="str">
        <x:v>101437000_98013</x:v>
      </x:c>
      <x:c r="C1020" s="18" t="str">
        <x:v>【沪村小电】恒大滨江华府充电站</x:v>
      </x:c>
      <x:c r="D1020" s="37" t="str">
        <x:v>4</x:v>
      </x:c>
      <x:c r="E1020" s="37" t="str">
        <x:v>0</x:v>
      </x:c>
      <x:c r="F1020" s="37" t="str">
        <x:v>38</x:v>
      </x:c>
      <x:c r="G1020" s="37" t="str">
        <x:v>882.77</x:v>
      </x:c>
      <x:c r="H1020" s="37" t="str">
        <x:v>0.00</x:v>
      </x:c>
      <x:c r="I1020" s="37" t="str">
        <x:v>742.48</x:v>
      </x:c>
      <x:c r="J1020" s="37" t="str">
        <x:v>0.00</x:v>
      </x:c>
      <x:c r="K1020" s="37" t="str">
        <x:v>140.29</x:v>
      </x:c>
      <x:c r="L1020" s="37" t="str">
        <x:v>1467</x:v>
      </x:c>
      <x:c r="M1020" s="29" t="str">
        <x:v>904.68</x:v>
      </x:c>
      <x:c r="N1020" s="29" t="str">
        <x:v>732.77</x:v>
      </x:c>
      <x:c r="O1020" s="29" t="str">
        <x:v>171.91</x:v>
      </x:c>
      <x:c r="P1020" s="18" t="str">
        <x:v>2026-07-27</x:v>
      </x:c>
      <x:c r="Q1020" s="36" t="n">
        <x:v>46230</x:v>
      </x:c>
    </x:row>
    <x:row r="1021">
      <x:c r="A1021" s="36" t="str">
        <x:v>2026-07-27</x:v>
      </x:c>
      <x:c r="B1021" s="18" t="str">
        <x:v>101437000_98863</x:v>
      </x:c>
      <x:c r="C1021" s="18" t="str">
        <x:v>【沪村小电】欣菊苑充电站</x:v>
      </x:c>
      <x:c r="D1021" s="37" t="str">
        <x:v>4</x:v>
      </x:c>
      <x:c r="E1021" s="37" t="str">
        <x:v>0</x:v>
      </x:c>
      <x:c r="F1021" s="37" t="str">
        <x:v>2</x:v>
      </x:c>
      <x:c r="G1021" s="37" t="str">
        <x:v>48.04</x:v>
      </x:c>
      <x:c r="H1021" s="37" t="str">
        <x:v>0.00</x:v>
      </x:c>
      <x:c r="I1021" s="37" t="str">
        <x:v>48.04</x:v>
      </x:c>
      <x:c r="J1021" s="37" t="str">
        <x:v>0.00</x:v>
      </x:c>
      <x:c r="K1021" s="37" t="str">
        <x:v>0.00</x:v>
      </x:c>
      <x:c r="L1021" s="37" t="str">
        <x:v>81</x:v>
      </x:c>
      <x:c r="M1021" s="29" t="str">
        <x:v>41.28</x:v>
      </x:c>
      <x:c r="N1021" s="29" t="str">
        <x:v>34.11</x:v>
      </x:c>
      <x:c r="O1021" s="29" t="str">
        <x:v>7.17</x:v>
      </x:c>
      <x:c r="P1021" s="18" t="str">
        <x:v>2026-07-27</x:v>
      </x:c>
      <x:c r="Q1021" s="36" t="n">
        <x:v>46230</x:v>
      </x:c>
    </x:row>
    <x:row r="1022">
      <x:c r="A1022" s="36" t="str">
        <x:v>2026-07-27</x:v>
      </x:c>
      <x:c r="B1022" s="18" t="str">
        <x:v>101437000_98865</x:v>
      </x:c>
      <x:c r="C1022" s="18" t="str">
        <x:v>【沪村小电】欣松苑充电站</x:v>
      </x:c>
      <x:c r="D1022" s="37" t="str">
        <x:v>4</x:v>
      </x:c>
      <x:c r="E1022" s="37" t="str">
        <x:v>0</x:v>
      </x:c>
      <x:c r="F1022" s="37" t="str">
        <x:v>26</x:v>
      </x:c>
      <x:c r="G1022" s="37" t="str">
        <x:v>593.51</x:v>
      </x:c>
      <x:c r="H1022" s="37" t="str">
        <x:v>0.00</x:v>
      </x:c>
      <x:c r="I1022" s="37" t="str">
        <x:v>503.56</x:v>
      </x:c>
      <x:c r="J1022" s="37" t="str">
        <x:v>0.00</x:v>
      </x:c>
      <x:c r="K1022" s="37" t="str">
        <x:v>89.95</x:v>
      </x:c>
      <x:c r="L1022" s="37" t="str">
        <x:v>976</x:v>
      </x:c>
      <x:c r="M1022" s="29" t="str">
        <x:v>531.31</x:v>
      </x:c>
      <x:c r="N1022" s="29" t="str">
        <x:v>390.82</x:v>
      </x:c>
      <x:c r="O1022" s="29" t="str">
        <x:v>140.49</x:v>
      </x:c>
      <x:c r="P1022" s="18" t="str">
        <x:v>2026-07-27</x:v>
      </x:c>
      <x:c r="Q1022" s="36" t="n">
        <x:v>46230</x:v>
      </x:c>
    </x:row>
    <x:row r="1023">
      <x:c r="A1023" s="36" t="str">
        <x:v>2026-07-27</x:v>
      </x:c>
      <x:c r="B1023" s="18" t="str">
        <x:v>101437000_98867</x:v>
      </x:c>
      <x:c r="C1023" s="18" t="str">
        <x:v>【沪村小电】欣荷苑充电站</x:v>
      </x:c>
      <x:c r="D1023" s="37" t="str">
        <x:v>4</x:v>
      </x:c>
      <x:c r="E1023" s="37" t="str">
        <x:v>0</x:v>
      </x:c>
      <x:c r="F1023" s="37" t="str">
        <x:v>11</x:v>
      </x:c>
      <x:c r="G1023" s="37" t="str">
        <x:v>243.62</x:v>
      </x:c>
      <x:c r="H1023" s="37" t="str">
        <x:v>0.00</x:v>
      </x:c>
      <x:c r="I1023" s="37" t="str">
        <x:v>168.87</x:v>
      </x:c>
      <x:c r="J1023" s="37" t="str">
        <x:v>0.00</x:v>
      </x:c>
      <x:c r="K1023" s="37" t="str">
        <x:v>74.74</x:v>
      </x:c>
      <x:c r="L1023" s="37" t="str">
        <x:v>377</x:v>
      </x:c>
      <x:c r="M1023" s="29" t="str">
        <x:v>211.67</x:v>
      </x:c>
      <x:c r="N1023" s="29" t="str">
        <x:v>147.54</x:v>
      </x:c>
      <x:c r="O1023" s="29" t="str">
        <x:v>64.13</x:v>
      </x:c>
      <x:c r="P1023" s="18" t="str">
        <x:v>2026-07-27</x:v>
      </x:c>
      <x:c r="Q1023" s="36" t="n">
        <x:v>46230</x:v>
      </x:c>
    </x:row>
    <x:row r="1024">
      <x:c r="A1024" s="36" t="str">
        <x:v>2026-07-27</x:v>
      </x:c>
      <x:c r="B1024" s="18" t="str">
        <x:v>101437000_99885</x:v>
      </x:c>
      <x:c r="C1024" s="18" t="str">
        <x:v>【沪村小电】汇丰馨苑充电站</x:v>
      </x:c>
      <x:c r="D1024" s="37" t="str">
        <x:v>4</x:v>
      </x:c>
      <x:c r="E1024" s="37" t="str">
        <x:v>0</x:v>
      </x:c>
      <x:c r="F1024" s="37" t="str">
        <x:v>12</x:v>
      </x:c>
      <x:c r="G1024" s="37" t="str">
        <x:v>230.56</x:v>
      </x:c>
      <x:c r="H1024" s="37" t="str">
        <x:v>0.00</x:v>
      </x:c>
      <x:c r="I1024" s="37" t="str">
        <x:v>183.82</x:v>
      </x:c>
      <x:c r="J1024" s="37" t="str">
        <x:v>0.00</x:v>
      </x:c>
      <x:c r="K1024" s="37" t="str">
        <x:v>46.75</x:v>
      </x:c>
      <x:c r="L1024" s="37" t="str">
        <x:v>521</x:v>
      </x:c>
      <x:c r="M1024" s="29" t="str">
        <x:v>222.32</x:v>
      </x:c>
      <x:c r="N1024" s="29" t="str">
        <x:v>147.79</x:v>
      </x:c>
      <x:c r="O1024" s="29" t="str">
        <x:v>74.53</x:v>
      </x:c>
      <x:c r="P1024" s="18" t="str">
        <x:v>2026-07-27</x:v>
      </x:c>
      <x:c r="Q1024" s="36" t="n">
        <x:v>46230</x:v>
      </x:c>
    </x:row>
    <x:row r="1025">
      <x:c r="A1025" s="36" t="str">
        <x:v>2026-07-27</x:v>
      </x:c>
      <x:c r="B1025" s="18" t="str">
        <x:v>101437000_99887</x:v>
      </x:c>
      <x:c r="C1025" s="18" t="str">
        <x:v>【沪村小电】新南村河南小区充电站</x:v>
      </x:c>
      <x:c r="D1025" s="37" t="str">
        <x:v>2</x:v>
      </x:c>
      <x:c r="E1025" s="37" t="str">
        <x:v>0</x:v>
      </x:c>
      <x:c r="F1025" s="37" t="str">
        <x:v>18</x:v>
      </x:c>
      <x:c r="G1025" s="37" t="str">
        <x:v>434.11</x:v>
      </x:c>
      <x:c r="H1025" s="37" t="str">
        <x:v>0.00</x:v>
      </x:c>
      <x:c r="I1025" s="37" t="str">
        <x:v>211.08</x:v>
      </x:c>
      <x:c r="J1025" s="37" t="str">
        <x:v>0.00</x:v>
      </x:c>
      <x:c r="K1025" s="37" t="str">
        <x:v>223.03</x:v>
      </x:c>
      <x:c r="L1025" s="37" t="str">
        <x:v>726</x:v>
      </x:c>
      <x:c r="M1025" s="29" t="str">
        <x:v>328.50</x:v>
      </x:c>
      <x:c r="N1025" s="29" t="str">
        <x:v>232.39</x:v>
      </x:c>
      <x:c r="O1025" s="29" t="str">
        <x:v>96.11</x:v>
      </x:c>
      <x:c r="P1025" s="18" t="str">
        <x:v>2026-07-27</x:v>
      </x:c>
      <x:c r="Q1025" s="36" t="n">
        <x:v>46230</x:v>
      </x:c>
    </x:row>
    <x:row r="1026">
      <x:c r="A1026" s="36" t="str">
        <x:v>2026-07-27</x:v>
      </x:c>
      <x:c r="B1026" s="18" t="str">
        <x:v>101437000_99889</x:v>
      </x:c>
      <x:c r="C1026" s="18" t="str">
        <x:v>【沪村小电】漕泾郊野公园</x:v>
      </x:c>
      <x:c r="D1026" s="37" t="str">
        <x:v>2</x:v>
      </x:c>
      <x:c r="E1026" s="37" t="str">
        <x:v>0</x:v>
      </x:c>
      <x:c r="F1026" s="37" t="str">
        <x:v>8</x:v>
      </x:c>
      <x:c r="G1026" s="37" t="str">
        <x:v>137.91</x:v>
      </x:c>
      <x:c r="H1026" s="37" t="str">
        <x:v>0.00</x:v>
      </x:c>
      <x:c r="I1026" s="37" t="str">
        <x:v>134.16</x:v>
      </x:c>
      <x:c r="J1026" s="37" t="str">
        <x:v>0.00</x:v>
      </x:c>
      <x:c r="K1026" s="37" t="str">
        <x:v>3.76</x:v>
      </x:c>
      <x:c r="L1026" s="37" t="str">
        <x:v>226</x:v>
      </x:c>
      <x:c r="M1026" s="29" t="str">
        <x:v>154.01</x:v>
      </x:c>
      <x:c r="N1026" s="29" t="str">
        <x:v>104.23</x:v>
      </x:c>
      <x:c r="O1026" s="29" t="str">
        <x:v>49.78</x:v>
      </x:c>
      <x:c r="P1026" s="18" t="str">
        <x:v>2026-07-27</x:v>
      </x:c>
      <x:c r="Q1026" s="36" t="n">
        <x:v>46230</x:v>
      </x:c>
    </x:row>
    <x:row r="1027">
      <x:c r="A1027" s="36" t="str">
        <x:v>2026-07-27</x:v>
      </x:c>
      <x:c r="B1027" s="18" t="str">
        <x:v>101437000_99891</x:v>
      </x:c>
      <x:c r="C1027" s="18" t="str">
        <x:v>【沪村小电】水韵紫城充电站</x:v>
      </x:c>
      <x:c r="D1027" s="37" t="str">
        <x:v>4</x:v>
      </x:c>
      <x:c r="E1027" s="37" t="str">
        <x:v>0</x:v>
      </x:c>
      <x:c r="F1027" s="37" t="str">
        <x:v>49</x:v>
      </x:c>
      <x:c r="G1027" s="37" t="str">
        <x:v>719.35</x:v>
      </x:c>
      <x:c r="H1027" s="37" t="str">
        <x:v>0.00</x:v>
      </x:c>
      <x:c r="I1027" s="37" t="str">
        <x:v>446.26</x:v>
      </x:c>
      <x:c r="J1027" s="37" t="str">
        <x:v>0.00</x:v>
      </x:c>
      <x:c r="K1027" s="37" t="str">
        <x:v>273.09</x:v>
      </x:c>
      <x:c r="L1027" s="37" t="str">
        <x:v>1117</x:v>
      </x:c>
      <x:c r="M1027" s="29" t="str">
        <x:v>627.63</x:v>
      </x:c>
      <x:c r="N1027" s="29" t="str">
        <x:v>417.92</x:v>
      </x:c>
      <x:c r="O1027" s="29" t="str">
        <x:v>209.71</x:v>
      </x:c>
      <x:c r="P1027" s="18" t="str">
        <x:v>2026-07-27</x:v>
      </x:c>
      <x:c r="Q1027" s="36" t="n">
        <x:v>46230</x:v>
      </x:c>
    </x:row>
    <x:row r="1028">
      <x:c r="A1028" s="36" t="str">
        <x:v>2026-07-26</x:v>
      </x:c>
      <x:c r="B1028" s="18" t="str">
        <x:v>101437000_101531</x:v>
      </x:c>
      <x:c r="C1028" s="18" t="str">
        <x:v>【沪村小电】汇中苑充电站</x:v>
      </x:c>
      <x:c r="D1028" s="37" t="str">
        <x:v>2</x:v>
      </x:c>
      <x:c r="E1028" s="37" t="str">
        <x:v>0</x:v>
      </x:c>
      <x:c r="F1028" s="37" t="str">
        <x:v>14</x:v>
      </x:c>
      <x:c r="G1028" s="37" t="str">
        <x:v>392.89</x:v>
      </x:c>
      <x:c r="H1028" s="37" t="str">
        <x:v>0.00</x:v>
      </x:c>
      <x:c r="I1028" s="37" t="str">
        <x:v>0.00</x:v>
      </x:c>
      <x:c r="J1028" s="37" t="str">
        <x:v>300.58</x:v>
      </x:c>
      <x:c r="K1028" s="37" t="str">
        <x:v>92.31</x:v>
      </x:c>
      <x:c r="L1028" s="37" t="str">
        <x:v>665</x:v>
      </x:c>
      <x:c r="M1028" s="29" t="str">
        <x:v>357.84</x:v>
      </x:c>
      <x:c r="N1028" s="29" t="str">
        <x:v>247.33</x:v>
      </x:c>
      <x:c r="O1028" s="29" t="str">
        <x:v>110.51</x:v>
      </x:c>
      <x:c r="P1028" s="18" t="str">
        <x:v>2026-07-26</x:v>
      </x:c>
      <x:c r="Q1028" s="36" t="n">
        <x:v>46229</x:v>
      </x:c>
    </x:row>
    <x:row r="1029">
      <x:c r="A1029" s="36" t="str">
        <x:v>2026-07-26</x:v>
      </x:c>
      <x:c r="B1029" s="18" t="str">
        <x:v>101437000_102047</x:v>
      </x:c>
      <x:c r="C1029" s="18" t="str">
        <x:v>【沪村小电】后浜小区9弄小区南面停车场充电站</x:v>
      </x:c>
      <x:c r="D1029" s="37" t="str">
        <x:v>8</x:v>
      </x:c>
      <x:c r="E1029" s="37" t="str">
        <x:v>0</x:v>
      </x:c>
      <x:c r="F1029" s="37" t="str">
        <x:v>53</x:v>
      </x:c>
      <x:c r="G1029" s="37" t="str">
        <x:v>1074.60</x:v>
      </x:c>
      <x:c r="H1029" s="37" t="str">
        <x:v>0.00</x:v>
      </x:c>
      <x:c r="I1029" s="37" t="str">
        <x:v>843.67</x:v>
      </x:c>
      <x:c r="J1029" s="37" t="str">
        <x:v>0.00</x:v>
      </x:c>
      <x:c r="K1029" s="37" t="str">
        <x:v>230.92</x:v>
      </x:c>
      <x:c r="L1029" s="37" t="str">
        <x:v>1563</x:v>
      </x:c>
      <x:c r="M1029" s="29" t="str">
        <x:v>1144.78</x:v>
      </x:c>
      <x:c r="N1029" s="29" t="str">
        <x:v>707.55</x:v>
      </x:c>
      <x:c r="O1029" s="29" t="str">
        <x:v>437.23</x:v>
      </x:c>
      <x:c r="P1029" s="18" t="str">
        <x:v>2026-07-26</x:v>
      </x:c>
      <x:c r="Q1029" s="36" t="n">
        <x:v>46229</x:v>
      </x:c>
    </x:row>
    <x:row r="1030">
      <x:c r="A1030" s="36" t="str">
        <x:v>2026-07-26</x:v>
      </x:c>
      <x:c r="B1030" s="18" t="str">
        <x:v>101437000_103503</x:v>
      </x:c>
      <x:c r="C1030" s="18" t="str">
        <x:v>【沪村小电】阳光城新界充电站</x:v>
      </x:c>
      <x:c r="D1030" s="37" t="str">
        <x:v>4</x:v>
      </x:c>
      <x:c r="E1030" s="37" t="str">
        <x:v>0</x:v>
      </x:c>
      <x:c r="F1030" s="37" t="str">
        <x:v>15</x:v>
      </x:c>
      <x:c r="G1030" s="37" t="str">
        <x:v>316.32</x:v>
      </x:c>
      <x:c r="H1030" s="37" t="str">
        <x:v>0.00</x:v>
      </x:c>
      <x:c r="I1030" s="37" t="str">
        <x:v>133.63</x:v>
      </x:c>
      <x:c r="J1030" s="37" t="str">
        <x:v>0.00</x:v>
      </x:c>
      <x:c r="K1030" s="37" t="str">
        <x:v>182.69</x:v>
      </x:c>
      <x:c r="L1030" s="37" t="str">
        <x:v>450</x:v>
      </x:c>
      <x:c r="M1030" s="29" t="str">
        <x:v>258.40</x:v>
      </x:c>
      <x:c r="N1030" s="29" t="str">
        <x:v>177.33</x:v>
      </x:c>
      <x:c r="O1030" s="29" t="str">
        <x:v>81.07</x:v>
      </x:c>
      <x:c r="P1030" s="18" t="str">
        <x:v>2026-07-26</x:v>
      </x:c>
      <x:c r="Q1030" s="36" t="n">
        <x:v>46229</x:v>
      </x:c>
    </x:row>
    <x:row r="1031">
      <x:c r="A1031" s="36" t="str">
        <x:v>2026-07-26</x:v>
      </x:c>
      <x:c r="B1031" s="18" t="str">
        <x:v>101437000_41561</x:v>
      </x:c>
      <x:c r="C1031" s="18" t="str">
        <x:v>【沪村小电】张施小区大门处快充站</x:v>
      </x:c>
      <x:c r="D1031" s="37" t="str">
        <x:v>2</x:v>
      </x:c>
      <x:c r="E1031" s="37" t="str">
        <x:v>0</x:v>
      </x:c>
      <x:c r="F1031" s="37" t="str">
        <x:v>47</x:v>
      </x:c>
      <x:c r="G1031" s="37" t="str">
        <x:v>1189.49</x:v>
      </x:c>
      <x:c r="H1031" s="37" t="str">
        <x:v>0.00</x:v>
      </x:c>
      <x:c r="I1031" s="37" t="str">
        <x:v>489.56</x:v>
      </x:c>
      <x:c r="J1031" s="37" t="str">
        <x:v>0.00</x:v>
      </x:c>
      <x:c r="K1031" s="37" t="str">
        <x:v>699.93</x:v>
      </x:c>
      <x:c r="L1031" s="37" t="str">
        <x:v>2081</x:v>
      </x:c>
      <x:c r="M1031" s="29" t="str">
        <x:v>885.23</x:v>
      </x:c>
      <x:c r="N1031" s="29" t="str">
        <x:v>606.59</x:v>
      </x:c>
      <x:c r="O1031" s="29" t="str">
        <x:v>278.64</x:v>
      </x:c>
      <x:c r="P1031" s="18" t="str">
        <x:v>2026-07-26</x:v>
      </x:c>
      <x:c r="Q1031" s="36" t="n">
        <x:v>46229</x:v>
      </x:c>
    </x:row>
    <x:row r="1032">
      <x:c r="A1032" s="36" t="str">
        <x:v>2026-07-26</x:v>
      </x:c>
      <x:c r="B1032" s="18" t="str">
        <x:v>101437000_41563</x:v>
      </x:c>
      <x:c r="C1032" s="18" t="str">
        <x:v>【沪村小电】同心村快充站</x:v>
      </x:c>
      <x:c r="D1032" s="37" t="str">
        <x:v>4</x:v>
      </x:c>
      <x:c r="E1032" s="37" t="str">
        <x:v>0</x:v>
      </x:c>
      <x:c r="F1032" s="37" t="str">
        <x:v>40</x:v>
      </x:c>
      <x:c r="G1032" s="37" t="str">
        <x:v>971.16</x:v>
      </x:c>
      <x:c r="H1032" s="37" t="str">
        <x:v>0.00</x:v>
      </x:c>
      <x:c r="I1032" s="37" t="str">
        <x:v>556.56</x:v>
      </x:c>
      <x:c r="J1032" s="37" t="str">
        <x:v>0.00</x:v>
      </x:c>
      <x:c r="K1032" s="37" t="str">
        <x:v>414.60</x:v>
      </x:c>
      <x:c r="L1032" s="37" t="str">
        <x:v>1701</x:v>
      </x:c>
      <x:c r="M1032" s="29" t="str">
        <x:v>840.11</x:v>
      </x:c>
      <x:c r="N1032" s="29" t="str">
        <x:v>548.56</x:v>
      </x:c>
      <x:c r="O1032" s="29" t="str">
        <x:v>291.55</x:v>
      </x:c>
      <x:c r="P1032" s="18" t="str">
        <x:v>2026-07-26</x:v>
      </x:c>
      <x:c r="Q1032" s="36" t="n">
        <x:v>46229</x:v>
      </x:c>
    </x:row>
    <x:row r="1033">
      <x:c r="A1033" s="36" t="str">
        <x:v>2026-07-26</x:v>
      </x:c>
      <x:c r="B1033" s="18" t="str">
        <x:v>101437000_69629</x:v>
      </x:c>
      <x:c r="C1033" s="18" t="str">
        <x:v>【沪村小电】骏丰玲珑坊西苑充电站</x:v>
      </x:c>
      <x:c r="D1033" s="37" t="str">
        <x:v>2</x:v>
      </x:c>
      <x:c r="E1033" s="37" t="str">
        <x:v>0</x:v>
      </x:c>
      <x:c r="F1033" s="37" t="str">
        <x:v>70</x:v>
      </x:c>
      <x:c r="G1033" s="37" t="str">
        <x:v>1767.38</x:v>
      </x:c>
      <x:c r="H1033" s="37" t="str">
        <x:v>0.00</x:v>
      </x:c>
      <x:c r="I1033" s="37" t="str">
        <x:v>1038.89</x:v>
      </x:c>
      <x:c r="J1033" s="37" t="str">
        <x:v>0.00</x:v>
      </x:c>
      <x:c r="K1033" s="37" t="str">
        <x:v>728.49</x:v>
      </x:c>
      <x:c r="L1033" s="37" t="str">
        <x:v>2989</x:v>
      </x:c>
      <x:c r="M1033" s="29" t="str">
        <x:v>1512.51</x:v>
      </x:c>
      <x:c r="N1033" s="29" t="str">
        <x:v>1007.18</x:v>
      </x:c>
      <x:c r="O1033" s="29" t="str">
        <x:v>505.33</x:v>
      </x:c>
      <x:c r="P1033" s="18" t="str">
        <x:v>2026-07-26</x:v>
      </x:c>
      <x:c r="Q1033" s="36" t="n">
        <x:v>46229</x:v>
      </x:c>
    </x:row>
    <x:row r="1034">
      <x:c r="A1034" s="36" t="str">
        <x:v>2026-07-26</x:v>
      </x:c>
      <x:c r="B1034" s="18" t="str">
        <x:v>101437000_70547</x:v>
      </x:c>
      <x:c r="C1034" s="18" t="str">
        <x:v>【沪村小电】农建村初心馆党群服务中心充电站</x:v>
      </x:c>
      <x:c r="D1034" s="37" t="str">
        <x:v>4</x:v>
      </x:c>
      <x:c r="E1034" s="37" t="str">
        <x:v>0</x:v>
      </x:c>
      <x:c r="F1034" s="37" t="str">
        <x:v>37</x:v>
      </x:c>
      <x:c r="G1034" s="37" t="str">
        <x:v>788.12</x:v>
      </x:c>
      <x:c r="H1034" s="37" t="str">
        <x:v>0.00</x:v>
      </x:c>
      <x:c r="I1034" s="37" t="str">
        <x:v>458.43</x:v>
      </x:c>
      <x:c r="J1034" s="37" t="str">
        <x:v>0.00</x:v>
      </x:c>
      <x:c r="K1034" s="37" t="str">
        <x:v>329.69</x:v>
      </x:c>
      <x:c r="L1034" s="37" t="str">
        <x:v>1337</x:v>
      </x:c>
      <x:c r="M1034" s="29" t="str">
        <x:v>711.94</x:v>
      </x:c>
      <x:c r="N1034" s="29" t="str">
        <x:v>447.48</x:v>
      </x:c>
      <x:c r="O1034" s="29" t="str">
        <x:v>264.46</x:v>
      </x:c>
      <x:c r="P1034" s="18" t="str">
        <x:v>2026-07-26</x:v>
      </x:c>
      <x:c r="Q1034" s="36" t="n">
        <x:v>46229</x:v>
      </x:c>
    </x:row>
    <x:row r="1035">
      <x:c r="A1035" s="36" t="str">
        <x:v>2026-07-26</x:v>
      </x:c>
      <x:c r="B1035" s="18" t="str">
        <x:v>101437000_70549</x:v>
      </x:c>
      <x:c r="C1035" s="18" t="str">
        <x:v>【沪村小电】学府路充电站</x:v>
      </x:c>
      <x:c r="D1035" s="37" t="str">
        <x:v>2</x:v>
      </x:c>
      <x:c r="E1035" s="37" t="str">
        <x:v>0</x:v>
      </x:c>
      <x:c r="F1035" s="37" t="str">
        <x:v>10</x:v>
      </x:c>
      <x:c r="G1035" s="37" t="str">
        <x:v>251.59</x:v>
      </x:c>
      <x:c r="H1035" s="37" t="str">
        <x:v>0.00</x:v>
      </x:c>
      <x:c r="I1035" s="37" t="str">
        <x:v>154.86</x:v>
      </x:c>
      <x:c r="J1035" s="37" t="str">
        <x:v>0.00</x:v>
      </x:c>
      <x:c r="K1035" s="37" t="str">
        <x:v>96.73</x:v>
      </x:c>
      <x:c r="L1035" s="37" t="str">
        <x:v>432</x:v>
      </x:c>
      <x:c r="M1035" s="29" t="str">
        <x:v>251.58</x:v>
      </x:c>
      <x:c r="N1035" s="29" t="str">
        <x:v>145.75</x:v>
      </x:c>
      <x:c r="O1035" s="29" t="str">
        <x:v>105.83</x:v>
      </x:c>
      <x:c r="P1035" s="18" t="str">
        <x:v>2026-07-26</x:v>
      </x:c>
      <x:c r="Q1035" s="36" t="n">
        <x:v>46229</x:v>
      </x:c>
    </x:row>
    <x:row r="1036">
      <x:c r="A1036" s="36" t="str">
        <x:v>2026-07-26</x:v>
      </x:c>
      <x:c r="B1036" s="18" t="str">
        <x:v>101437000_71059</x:v>
      </x:c>
      <x:c r="C1036" s="18" t="str">
        <x:v>【沪村小电】宝乐汇商业广场站</x:v>
      </x:c>
      <x:c r="D1036" s="37" t="str">
        <x:v>4</x:v>
      </x:c>
      <x:c r="E1036" s="37" t="str">
        <x:v>0</x:v>
      </x:c>
      <x:c r="F1036" s="37" t="str">
        <x:v>24</x:v>
      </x:c>
      <x:c r="G1036" s="37" t="str">
        <x:v>643.41</x:v>
      </x:c>
      <x:c r="H1036" s="37" t="str">
        <x:v>0.00</x:v>
      </x:c>
      <x:c r="I1036" s="37" t="str">
        <x:v>371.56</x:v>
      </x:c>
      <x:c r="J1036" s="37" t="str">
        <x:v>0.00</x:v>
      </x:c>
      <x:c r="K1036" s="37" t="str">
        <x:v>271.85</x:v>
      </x:c>
      <x:c r="L1036" s="37" t="str">
        <x:v>1072</x:v>
      </x:c>
      <x:c r="M1036" s="29" t="str">
        <x:v>596.96</x:v>
      </x:c>
      <x:c r="N1036" s="29" t="str">
        <x:v>459.48</x:v>
      </x:c>
      <x:c r="O1036" s="29" t="str">
        <x:v>137.48</x:v>
      </x:c>
      <x:c r="P1036" s="18" t="str">
        <x:v>2026-07-26</x:v>
      </x:c>
      <x:c r="Q1036" s="36" t="n">
        <x:v>46229</x:v>
      </x:c>
    </x:row>
    <x:row r="1037">
      <x:c r="A1037" s="36" t="str">
        <x:v>2026-07-26</x:v>
      </x:c>
      <x:c r="B1037" s="18" t="str">
        <x:v>101437000_72541</x:v>
      </x:c>
      <x:c r="C1037" s="18" t="str">
        <x:v>【沪村小电】九干路1174弄充电站</x:v>
      </x:c>
      <x:c r="D1037" s="37" t="str">
        <x:v>2</x:v>
      </x:c>
      <x:c r="E1037" s="37" t="str">
        <x:v>0</x:v>
      </x:c>
      <x:c r="F1037" s="37" t="str">
        <x:v>48</x:v>
      </x:c>
      <x:c r="G1037" s="37" t="str">
        <x:v>1240.94</x:v>
      </x:c>
      <x:c r="H1037" s="37" t="str">
        <x:v>0.00</x:v>
      </x:c>
      <x:c r="I1037" s="37" t="str">
        <x:v>787.10</x:v>
      </x:c>
      <x:c r="J1037" s="37" t="str">
        <x:v>0.00</x:v>
      </x:c>
      <x:c r="K1037" s="37" t="str">
        <x:v>453.84</x:v>
      </x:c>
      <x:c r="L1037" s="37" t="str">
        <x:v>1910</x:v>
      </x:c>
      <x:c r="M1037" s="29" t="str">
        <x:v>1045.65</x:v>
      </x:c>
      <x:c r="N1037" s="29" t="str">
        <x:v>726.74</x:v>
      </x:c>
      <x:c r="O1037" s="29" t="str">
        <x:v>318.91</x:v>
      </x:c>
      <x:c r="P1037" s="18" t="str">
        <x:v>2026-07-26</x:v>
      </x:c>
      <x:c r="Q1037" s="36" t="n">
        <x:v>46229</x:v>
      </x:c>
    </x:row>
    <x:row r="1038">
      <x:c r="A1038" s="36" t="str">
        <x:v>2026-07-26</x:v>
      </x:c>
      <x:c r="B1038" s="18" t="str">
        <x:v>101437000_72543</x:v>
      </x:c>
      <x:c r="C1038" s="18" t="str">
        <x:v>【沪村小电】叶家中心村小区充电站</x:v>
      </x:c>
      <x:c r="D1038" s="37" t="str">
        <x:v>2</x:v>
      </x:c>
      <x:c r="E1038" s="37" t="str">
        <x:v>0</x:v>
      </x:c>
      <x:c r="F1038" s="37" t="str">
        <x:v>41</x:v>
      </x:c>
      <x:c r="G1038" s="37" t="str">
        <x:v>1144.31</x:v>
      </x:c>
      <x:c r="H1038" s="37" t="str">
        <x:v>0.00</x:v>
      </x:c>
      <x:c r="I1038" s="37" t="str">
        <x:v>467.55</x:v>
      </x:c>
      <x:c r="J1038" s="37" t="str">
        <x:v>0.00</x:v>
      </x:c>
      <x:c r="K1038" s="37" t="str">
        <x:v>676.76</x:v>
      </x:c>
      <x:c r="L1038" s="37" t="str">
        <x:v>1955</x:v>
      </x:c>
      <x:c r="M1038" s="29" t="str">
        <x:v>836.90</x:v>
      </x:c>
      <x:c r="N1038" s="29" t="str">
        <x:v>582.38</x:v>
      </x:c>
      <x:c r="O1038" s="29" t="str">
        <x:v>254.52</x:v>
      </x:c>
      <x:c r="P1038" s="18" t="str">
        <x:v>2026-07-26</x:v>
      </x:c>
      <x:c r="Q1038" s="36" t="n">
        <x:v>46229</x:v>
      </x:c>
    </x:row>
    <x:row r="1039">
      <x:c r="A1039" s="36" t="str">
        <x:v>2026-07-26</x:v>
      </x:c>
      <x:c r="B1039" s="18" t="str">
        <x:v>101437000_72937</x:v>
      </x:c>
      <x:c r="C1039" s="18" t="str">
        <x:v>【沪村小电】佘北家园茸腾苑充电站</x:v>
      </x:c>
      <x:c r="D1039" s="37" t="str">
        <x:v>4</x:v>
      </x:c>
      <x:c r="E1039" s="37" t="str">
        <x:v>0</x:v>
      </x:c>
      <x:c r="F1039" s="37" t="str">
        <x:v>12</x:v>
      </x:c>
      <x:c r="G1039" s="37" t="str">
        <x:v>299.22</x:v>
      </x:c>
      <x:c r="H1039" s="37" t="str">
        <x:v>0.00</x:v>
      </x:c>
      <x:c r="I1039" s="37" t="str">
        <x:v>299.22</x:v>
      </x:c>
      <x:c r="J1039" s="37" t="str">
        <x:v>0.00</x:v>
      </x:c>
      <x:c r="K1039" s="37" t="str">
        <x:v>0.00</x:v>
      </x:c>
      <x:c r="L1039" s="37" t="str">
        <x:v>443</x:v>
      </x:c>
      <x:c r="M1039" s="29" t="str">
        <x:v>306.60</x:v>
      </x:c>
      <x:c r="N1039" s="29" t="str">
        <x:v>212.43</x:v>
      </x:c>
      <x:c r="O1039" s="29" t="str">
        <x:v>94.17</x:v>
      </x:c>
      <x:c r="P1039" s="18" t="str">
        <x:v>2026-07-26</x:v>
      </x:c>
      <x:c r="Q1039" s="36" t="n">
        <x:v>46229</x:v>
      </x:c>
    </x:row>
    <x:row r="1040">
      <x:c r="A1040" s="36" t="str">
        <x:v>2026-07-26</x:v>
      </x:c>
      <x:c r="B1040" s="18" t="str">
        <x:v>101437000_74223</x:v>
      </x:c>
      <x:c r="C1040" s="18" t="str">
        <x:v>【沪村小电】中兴村委会充电站</x:v>
      </x:c>
      <x:c r="D1040" s="37" t="str">
        <x:v>2</x:v>
      </x:c>
      <x:c r="E1040" s="37" t="str">
        <x:v>0</x:v>
      </x:c>
      <x:c r="F1040" s="37" t="str">
        <x:v>29</x:v>
      </x:c>
      <x:c r="G1040" s="37" t="str">
        <x:v>864.23</x:v>
      </x:c>
      <x:c r="H1040" s="37" t="str">
        <x:v>0.00</x:v>
      </x:c>
      <x:c r="I1040" s="37" t="str">
        <x:v>448.48</x:v>
      </x:c>
      <x:c r="J1040" s="37" t="str">
        <x:v>0.00</x:v>
      </x:c>
      <x:c r="K1040" s="37" t="str">
        <x:v>415.74</x:v>
      </x:c>
      <x:c r="L1040" s="37" t="str">
        <x:v>1213</x:v>
      </x:c>
      <x:c r="M1040" s="29" t="str">
        <x:v>737.03</x:v>
      </x:c>
      <x:c r="N1040" s="29" t="str">
        <x:v>472.27</x:v>
      </x:c>
      <x:c r="O1040" s="29" t="str">
        <x:v>264.76</x:v>
      </x:c>
      <x:c r="P1040" s="18" t="str">
        <x:v>2026-07-26</x:v>
      </x:c>
      <x:c r="Q1040" s="36" t="n">
        <x:v>46229</x:v>
      </x:c>
    </x:row>
    <x:row r="1041">
      <x:c r="A1041" s="36" t="str">
        <x:v>2026-07-26</x:v>
      </x:c>
      <x:c r="B1041" s="18" t="str">
        <x:v>101437000_74801</x:v>
      </x:c>
      <x:c r="C1041" s="18" t="str">
        <x:v>【沪村小电】申良花园充电站</x:v>
      </x:c>
      <x:c r="D1041" s="37" t="str">
        <x:v>4</x:v>
      </x:c>
      <x:c r="E1041" s="37" t="str">
        <x:v>0</x:v>
      </x:c>
      <x:c r="F1041" s="37" t="str">
        <x:v>8</x:v>
      </x:c>
      <x:c r="G1041" s="37" t="str">
        <x:v>126.29</x:v>
      </x:c>
      <x:c r="H1041" s="37" t="str">
        <x:v>0.00</x:v>
      </x:c>
      <x:c r="I1041" s="37" t="str">
        <x:v>126.29</x:v>
      </x:c>
      <x:c r="J1041" s="37" t="str">
        <x:v>0.00</x:v>
      </x:c>
      <x:c r="K1041" s="37" t="str">
        <x:v>0.00</x:v>
      </x:c>
      <x:c r="L1041" s="37" t="str">
        <x:v>260</x:v>
      </x:c>
      <x:c r="M1041" s="29" t="str">
        <x:v>144.15</x:v>
      </x:c>
      <x:c r="N1041" s="29" t="str">
        <x:v>89.66</x:v>
      </x:c>
      <x:c r="O1041" s="29" t="str">
        <x:v>54.49</x:v>
      </x:c>
      <x:c r="P1041" s="18" t="str">
        <x:v>2026-07-26</x:v>
      </x:c>
      <x:c r="Q1041" s="36" t="n">
        <x:v>46229</x:v>
      </x:c>
    </x:row>
    <x:row r="1042">
      <x:c r="A1042" s="36" t="str">
        <x:v>2026-07-26</x:v>
      </x:c>
      <x:c r="B1042" s="18" t="str">
        <x:v>101437000_74931</x:v>
      </x:c>
      <x:c r="C1042" s="18" t="str">
        <x:v>【沪村小电】枫雅南居充电站</x:v>
      </x:c>
      <x:c r="D1042" s="37" t="str">
        <x:v>2</x:v>
      </x:c>
      <x:c r="E1042" s="37" t="str">
        <x:v>0</x:v>
      </x:c>
      <x:c r="F1042" s="37" t="str">
        <x:v>47</x:v>
      </x:c>
      <x:c r="G1042" s="37" t="str">
        <x:v>1411.99</x:v>
      </x:c>
      <x:c r="H1042" s="37" t="str">
        <x:v>0.00</x:v>
      </x:c>
      <x:c r="I1042" s="37" t="str">
        <x:v>639.50</x:v>
      </x:c>
      <x:c r="J1042" s="37" t="str">
        <x:v>0.00</x:v>
      </x:c>
      <x:c r="K1042" s="37" t="str">
        <x:v>772.49</x:v>
      </x:c>
      <x:c r="L1042" s="37" t="str">
        <x:v>2212</x:v>
      </x:c>
      <x:c r="M1042" s="29" t="str">
        <x:v>951.93</x:v>
      </x:c>
      <x:c r="N1042" s="29" t="str">
        <x:v>616.77</x:v>
      </x:c>
      <x:c r="O1042" s="29" t="str">
        <x:v>335.16</x:v>
      </x:c>
      <x:c r="P1042" s="18" t="str">
        <x:v>2026-07-26</x:v>
      </x:c>
      <x:c r="Q1042" s="36" t="n">
        <x:v>46229</x:v>
      </x:c>
    </x:row>
    <x:row r="1043">
      <x:c r="A1043" s="36" t="str">
        <x:v>2026-07-26</x:v>
      </x:c>
      <x:c r="B1043" s="18" t="str">
        <x:v>101437000_75901</x:v>
      </x:c>
      <x:c r="C1043" s="18" t="str">
        <x:v>【沪村小电】金悦学府</x:v>
      </x:c>
      <x:c r="D1043" s="37" t="str">
        <x:v>2</x:v>
      </x:c>
      <x:c r="E1043" s="37" t="str">
        <x:v>0</x:v>
      </x:c>
      <x:c r="F1043" s="37" t="str">
        <x:v>44</x:v>
      </x:c>
      <x:c r="G1043" s="37" t="str">
        <x:v>1236.73</x:v>
      </x:c>
      <x:c r="H1043" s="37" t="str">
        <x:v>0.00</x:v>
      </x:c>
      <x:c r="I1043" s="37" t="str">
        <x:v>665.41</x:v>
      </x:c>
      <x:c r="J1043" s="37" t="str">
        <x:v>0.00</x:v>
      </x:c>
      <x:c r="K1043" s="37" t="str">
        <x:v>571.32</x:v>
      </x:c>
      <x:c r="L1043" s="37" t="str">
        <x:v>2042</x:v>
      </x:c>
      <x:c r="M1043" s="29" t="str">
        <x:v>957.16</x:v>
      </x:c>
      <x:c r="N1043" s="29" t="str">
        <x:v>569.71</x:v>
      </x:c>
      <x:c r="O1043" s="29" t="str">
        <x:v>387.45</x:v>
      </x:c>
      <x:c r="P1043" s="18" t="str">
        <x:v>2026-07-26</x:v>
      </x:c>
      <x:c r="Q1043" s="36" t="n">
        <x:v>46229</x:v>
      </x:c>
    </x:row>
    <x:row r="1044">
      <x:c r="A1044" s="36" t="str">
        <x:v>2026-07-26</x:v>
      </x:c>
      <x:c r="B1044" s="18" t="str">
        <x:v>101437000_76091</x:v>
      </x:c>
      <x:c r="C1044" s="18" t="str">
        <x:v>【沪村小电】恒信家园充电站</x:v>
      </x:c>
      <x:c r="D1044" s="37" t="str">
        <x:v>2</x:v>
      </x:c>
      <x:c r="E1044" s="37" t="str">
        <x:v>0</x:v>
      </x:c>
      <x:c r="F1044" s="37" t="str">
        <x:v>40</x:v>
      </x:c>
      <x:c r="G1044" s="37" t="str">
        <x:v>1068.55</x:v>
      </x:c>
      <x:c r="H1044" s="37" t="str">
        <x:v>0.00</x:v>
      </x:c>
      <x:c r="I1044" s="37" t="str">
        <x:v>561.22</x:v>
      </x:c>
      <x:c r="J1044" s="37" t="str">
        <x:v>0.00</x:v>
      </x:c>
      <x:c r="K1044" s="37" t="str">
        <x:v>507.34</x:v>
      </x:c>
      <x:c r="L1044" s="37" t="str">
        <x:v>1490</x:v>
      </x:c>
      <x:c r="M1044" s="29" t="str">
        <x:v>1032.74</x:v>
      </x:c>
      <x:c r="N1044" s="29" t="str">
        <x:v>586.19</x:v>
      </x:c>
      <x:c r="O1044" s="29" t="str">
        <x:v>446.55</x:v>
      </x:c>
      <x:c r="P1044" s="18" t="str">
        <x:v>2026-07-26</x:v>
      </x:c>
      <x:c r="Q1044" s="36" t="n">
        <x:v>46229</x:v>
      </x:c>
    </x:row>
    <x:row r="1045">
      <x:c r="A1045" s="36" t="str">
        <x:v>2026-07-26</x:v>
      </x:c>
      <x:c r="B1045" s="18" t="str">
        <x:v>101437000_76417</x:v>
      </x:c>
      <x:c r="C1045" s="18" t="str">
        <x:v>【沪村小电】新春一组充电站</x:v>
      </x:c>
      <x:c r="D1045" s="37" t="str">
        <x:v>2</x:v>
      </x:c>
      <x:c r="E1045" s="37" t="str">
        <x:v>0</x:v>
      </x:c>
      <x:c r="F1045" s="37" t="str">
        <x:v>31</x:v>
      </x:c>
      <x:c r="G1045" s="37" t="str">
        <x:v>771.32</x:v>
      </x:c>
      <x:c r="H1045" s="37" t="str">
        <x:v>0.00</x:v>
      </x:c>
      <x:c r="I1045" s="37" t="str">
        <x:v>273.92</x:v>
      </x:c>
      <x:c r="J1045" s="37" t="str">
        <x:v>0.00</x:v>
      </x:c>
      <x:c r="K1045" s="37" t="str">
        <x:v>497.41</x:v>
      </x:c>
      <x:c r="L1045" s="37" t="str">
        <x:v>1221</x:v>
      </x:c>
      <x:c r="M1045" s="29" t="str">
        <x:v>560.94</x:v>
      </x:c>
      <x:c r="N1045" s="29" t="str">
        <x:v>378.50</x:v>
      </x:c>
      <x:c r="O1045" s="29" t="str">
        <x:v>182.44</x:v>
      </x:c>
      <x:c r="P1045" s="18" t="str">
        <x:v>2026-07-26</x:v>
      </x:c>
      <x:c r="Q1045" s="36" t="n">
        <x:v>46229</x:v>
      </x:c>
    </x:row>
    <x:row r="1046">
      <x:c r="A1046" s="36" t="str">
        <x:v>2026-07-26</x:v>
      </x:c>
      <x:c r="B1046" s="18" t="str">
        <x:v>101437000_78235</x:v>
      </x:c>
      <x:c r="C1046" s="18" t="str">
        <x:v>【沪村小电】欣秋苑充电站</x:v>
      </x:c>
      <x:c r="D1046" s="37" t="str">
        <x:v>4</x:v>
      </x:c>
      <x:c r="E1046" s="37" t="str">
        <x:v>0</x:v>
      </x:c>
      <x:c r="F1046" s="37" t="str">
        <x:v>13</x:v>
      </x:c>
      <x:c r="G1046" s="37" t="str">
        <x:v>316.44</x:v>
      </x:c>
      <x:c r="H1046" s="37" t="str">
        <x:v>0.00</x:v>
      </x:c>
      <x:c r="I1046" s="37" t="str">
        <x:v>159.31</x:v>
      </x:c>
      <x:c r="J1046" s="37" t="str">
        <x:v>0.00</x:v>
      </x:c>
      <x:c r="K1046" s="37" t="str">
        <x:v>157.13</x:v>
      </x:c>
      <x:c r="L1046" s="37" t="str">
        <x:v>552</x:v>
      </x:c>
      <x:c r="M1046" s="29" t="str">
        <x:v>265.86</x:v>
      </x:c>
      <x:c r="N1046" s="29" t="str">
        <x:v>171.24</x:v>
      </x:c>
      <x:c r="O1046" s="29" t="str">
        <x:v>94.62</x:v>
      </x:c>
      <x:c r="P1046" s="18" t="str">
        <x:v>2026-07-26</x:v>
      </x:c>
      <x:c r="Q1046" s="36" t="n">
        <x:v>46229</x:v>
      </x:c>
    </x:row>
    <x:row r="1047">
      <x:c r="A1047" s="36" t="str">
        <x:v>2026-07-26</x:v>
      </x:c>
      <x:c r="B1047" s="18" t="str">
        <x:v>101437000_78237</x:v>
      </x:c>
      <x:c r="C1047" s="18" t="str">
        <x:v>【沪村小电】奉馨苑西门小区内北侧充电站</x:v>
      </x:c>
      <x:c r="D1047" s="37" t="str">
        <x:v>2</x:v>
      </x:c>
      <x:c r="E1047" s="37" t="str">
        <x:v>0</x:v>
      </x:c>
      <x:c r="F1047" s="37" t="str">
        <x:v>28</x:v>
      </x:c>
      <x:c r="G1047" s="37" t="str">
        <x:v>743.31</x:v>
      </x:c>
      <x:c r="H1047" s="37" t="str">
        <x:v>28.53</x:v>
      </x:c>
      <x:c r="I1047" s="37" t="str">
        <x:v>106.04</x:v>
      </x:c>
      <x:c r="J1047" s="37" t="str">
        <x:v>186.94</x:v>
      </x:c>
      <x:c r="K1047" s="37" t="str">
        <x:v>421.80</x:v>
      </x:c>
      <x:c r="L1047" s="37" t="str">
        <x:v>1224</x:v>
      </x:c>
      <x:c r="M1047" s="29" t="str">
        <x:v>622.50</x:v>
      </x:c>
      <x:c r="N1047" s="29" t="str">
        <x:v>453.38</x:v>
      </x:c>
      <x:c r="O1047" s="29" t="str">
        <x:v>169.12</x:v>
      </x:c>
      <x:c r="P1047" s="18" t="str">
        <x:v>2026-07-26</x:v>
      </x:c>
      <x:c r="Q1047" s="36" t="n">
        <x:v>46229</x:v>
      </x:c>
    </x:row>
    <x:row r="1048">
      <x:c r="A1048" s="36" t="str">
        <x:v>2026-07-26</x:v>
      </x:c>
      <x:c r="B1048" s="18" t="str">
        <x:v>101437000_78239</x:v>
      </x:c>
      <x:c r="C1048" s="18" t="str">
        <x:v>【沪村小电】恒大佘山首府东门充电站</x:v>
      </x:c>
      <x:c r="D1048" s="37" t="str">
        <x:v>2</x:v>
      </x:c>
      <x:c r="E1048" s="37" t="str">
        <x:v>0</x:v>
      </x:c>
      <x:c r="F1048" s="37" t="str">
        <x:v>32</x:v>
      </x:c>
      <x:c r="G1048" s="37" t="str">
        <x:v>982.27</x:v>
      </x:c>
      <x:c r="H1048" s="37" t="str">
        <x:v>0.00</x:v>
      </x:c>
      <x:c r="I1048" s="37" t="str">
        <x:v>731.78</x:v>
      </x:c>
      <x:c r="J1048" s="37" t="str">
        <x:v>0.00</x:v>
      </x:c>
      <x:c r="K1048" s="37" t="str">
        <x:v>250.49</x:v>
      </x:c>
      <x:c r="L1048" s="37" t="str">
        <x:v>1264</x:v>
      </x:c>
      <x:c r="M1048" s="29" t="str">
        <x:v>929.39</x:v>
      </x:c>
      <x:c r="N1048" s="29" t="str">
        <x:v>612.25</x:v>
      </x:c>
      <x:c r="O1048" s="29" t="str">
        <x:v>317.14</x:v>
      </x:c>
      <x:c r="P1048" s="18" t="str">
        <x:v>2026-07-26</x:v>
      </x:c>
      <x:c r="Q1048" s="36" t="n">
        <x:v>46229</x:v>
      </x:c>
    </x:row>
    <x:row r="1049">
      <x:c r="A1049" s="36" t="str">
        <x:v>2026-07-26</x:v>
      </x:c>
      <x:c r="B1049" s="18" t="str">
        <x:v>101437000_80823</x:v>
      </x:c>
      <x:c r="C1049" s="18" t="str">
        <x:v>【沪村小电】上湖轩充电站</x:v>
      </x:c>
      <x:c r="D1049" s="37" t="str">
        <x:v>2</x:v>
      </x:c>
      <x:c r="E1049" s="37" t="str">
        <x:v>0</x:v>
      </x:c>
      <x:c r="F1049" s="37" t="str">
        <x:v>1</x:v>
      </x:c>
      <x:c r="G1049" s="37" t="str">
        <x:v>13.45</x:v>
      </x:c>
      <x:c r="H1049" s="37" t="str">
        <x:v>0.00</x:v>
      </x:c>
      <x:c r="I1049" s="37" t="str">
        <x:v>0.00</x:v>
      </x:c>
      <x:c r="J1049" s="37" t="str">
        <x:v>0.00</x:v>
      </x:c>
      <x:c r="K1049" s="37" t="str">
        <x:v>13.45</x:v>
      </x:c>
      <x:c r="L1049" s="37" t="str">
        <x:v>42</x:v>
      </x:c>
      <x:c r="M1049" s="29" t="str">
        <x:v>8.74</x:v>
      </x:c>
      <x:c r="N1049" s="29" t="str">
        <x:v>6.86</x:v>
      </x:c>
      <x:c r="O1049" s="29" t="str">
        <x:v>1.88</x:v>
      </x:c>
      <x:c r="P1049" s="18" t="str">
        <x:v>2026-07-26</x:v>
      </x:c>
      <x:c r="Q1049" s="36" t="n">
        <x:v>46229</x:v>
      </x:c>
    </x:row>
    <x:row r="1050">
      <x:c r="A1050" s="36" t="str">
        <x:v>2026-07-26</x:v>
      </x:c>
      <x:c r="B1050" s="18" t="str">
        <x:v>101437000_83019</x:v>
      </x:c>
      <x:c r="C1050" s="18" t="str">
        <x:v>【沪村小电】首创禧瑞云启东区充电站</x:v>
      </x:c>
      <x:c r="D1050" s="37" t="str">
        <x:v>2</x:v>
      </x:c>
      <x:c r="E1050" s="37" t="str">
        <x:v>0</x:v>
      </x:c>
      <x:c r="F1050" s="37" t="str">
        <x:v>28</x:v>
      </x:c>
      <x:c r="G1050" s="37" t="str">
        <x:v>681.01</x:v>
      </x:c>
      <x:c r="H1050" s="37" t="str">
        <x:v>0.00</x:v>
      </x:c>
      <x:c r="I1050" s="37" t="str">
        <x:v>447.19</x:v>
      </x:c>
      <x:c r="J1050" s="37" t="str">
        <x:v>0.00</x:v>
      </x:c>
      <x:c r="K1050" s="37" t="str">
        <x:v>233.82</x:v>
      </x:c>
      <x:c r="L1050" s="37" t="str">
        <x:v>991</x:v>
      </x:c>
      <x:c r="M1050" s="29" t="str">
        <x:v>641.27</x:v>
      </x:c>
      <x:c r="N1050" s="29" t="str">
        <x:v>404.02</x:v>
      </x:c>
      <x:c r="O1050" s="29" t="str">
        <x:v>237.25</x:v>
      </x:c>
      <x:c r="P1050" s="18" t="str">
        <x:v>2026-07-26</x:v>
      </x:c>
      <x:c r="Q1050" s="36" t="n">
        <x:v>46229</x:v>
      </x:c>
    </x:row>
    <x:row r="1051">
      <x:c r="A1051" s="36" t="str">
        <x:v>2026-07-26</x:v>
      </x:c>
      <x:c r="B1051" s="18" t="str">
        <x:v>101437000_83093</x:v>
      </x:c>
      <x:c r="C1051" s="18" t="str">
        <x:v>【沪村小电】金茂未来时光里</x:v>
      </x:c>
      <x:c r="D1051" s="37" t="str">
        <x:v>2</x:v>
      </x:c>
      <x:c r="E1051" s="37" t="str">
        <x:v>0</x:v>
      </x:c>
      <x:c r="F1051" s="37" t="str">
        <x:v>66</x:v>
      </x:c>
      <x:c r="G1051" s="37" t="str">
        <x:v>1744.69</x:v>
      </x:c>
      <x:c r="H1051" s="37" t="str">
        <x:v>0.00</x:v>
      </x:c>
      <x:c r="I1051" s="37" t="str">
        <x:v>811.36</x:v>
      </x:c>
      <x:c r="J1051" s="37" t="str">
        <x:v>0.00</x:v>
      </x:c>
      <x:c r="K1051" s="37" t="str">
        <x:v>933.33</x:v>
      </x:c>
      <x:c r="L1051" s="37" t="str">
        <x:v>2563</x:v>
      </x:c>
      <x:c r="M1051" s="29" t="str">
        <x:v>1170.93</x:v>
      </x:c>
      <x:c r="N1051" s="29" t="str">
        <x:v>768.03</x:v>
      </x:c>
      <x:c r="O1051" s="29" t="str">
        <x:v>402.90</x:v>
      </x:c>
      <x:c r="P1051" s="18" t="str">
        <x:v>2026-07-26</x:v>
      </x:c>
      <x:c r="Q1051" s="36" t="n">
        <x:v>46229</x:v>
      </x:c>
    </x:row>
    <x:row r="1052">
      <x:c r="A1052" s="36" t="str">
        <x:v>2026-07-26</x:v>
      </x:c>
      <x:c r="B1052" s="18" t="str">
        <x:v>101437000_83911</x:v>
      </x:c>
      <x:c r="C1052" s="18" t="str">
        <x:v>【沪村小电】金瀚园充电站</x:v>
      </x:c>
      <x:c r="D1052" s="37" t="str">
        <x:v>2</x:v>
      </x:c>
      <x:c r="E1052" s="37" t="str">
        <x:v>0</x:v>
      </x:c>
      <x:c r="F1052" s="37" t="str">
        <x:v>47</x:v>
      </x:c>
      <x:c r="G1052" s="37" t="str">
        <x:v>1134.88</x:v>
      </x:c>
      <x:c r="H1052" s="37" t="str">
        <x:v>0.00</x:v>
      </x:c>
      <x:c r="I1052" s="37" t="str">
        <x:v>771.81</x:v>
      </x:c>
      <x:c r="J1052" s="37" t="str">
        <x:v>0.00</x:v>
      </x:c>
      <x:c r="K1052" s="37" t="str">
        <x:v>363.08</x:v>
      </x:c>
      <x:c r="L1052" s="37" t="str">
        <x:v>1739</x:v>
      </x:c>
      <x:c r="M1052" s="29" t="str">
        <x:v>1024.19</x:v>
      </x:c>
      <x:c r="N1052" s="29" t="str">
        <x:v>682.34</x:v>
      </x:c>
      <x:c r="O1052" s="29" t="str">
        <x:v>341.85</x:v>
      </x:c>
      <x:c r="P1052" s="18" t="str">
        <x:v>2026-07-26</x:v>
      </x:c>
      <x:c r="Q1052" s="36" t="n">
        <x:v>46229</x:v>
      </x:c>
    </x:row>
    <x:row r="1053">
      <x:c r="A1053" s="36" t="str">
        <x:v>2026-07-26</x:v>
      </x:c>
      <x:c r="B1053" s="18" t="str">
        <x:v>101437000_83913</x:v>
      </x:c>
      <x:c r="C1053" s="18" t="str">
        <x:v>【沪村小电】新黎村充电站</x:v>
      </x:c>
      <x:c r="D1053" s="37" t="str">
        <x:v>2</x:v>
      </x:c>
      <x:c r="E1053" s="37" t="str">
        <x:v>0</x:v>
      </x:c>
      <x:c r="F1053" s="37" t="str">
        <x:v>46</x:v>
      </x:c>
      <x:c r="G1053" s="37" t="str">
        <x:v>1177.84</x:v>
      </x:c>
      <x:c r="H1053" s="37" t="str">
        <x:v>0.00</x:v>
      </x:c>
      <x:c r="I1053" s="37" t="str">
        <x:v>942.62</x:v>
      </x:c>
      <x:c r="J1053" s="37" t="str">
        <x:v>0.00</x:v>
      </x:c>
      <x:c r="K1053" s="37" t="str">
        <x:v>235.22</x:v>
      </x:c>
      <x:c r="L1053" s="37" t="str">
        <x:v>1837</x:v>
      </x:c>
      <x:c r="M1053" s="29" t="str">
        <x:v>1099.85</x:v>
      </x:c>
      <x:c r="N1053" s="29" t="str">
        <x:v>756.32</x:v>
      </x:c>
      <x:c r="O1053" s="29" t="str">
        <x:v>343.53</x:v>
      </x:c>
      <x:c r="P1053" s="18" t="str">
        <x:v>2026-07-26</x:v>
      </x:c>
      <x:c r="Q1053" s="36" t="n">
        <x:v>46229</x:v>
      </x:c>
    </x:row>
    <x:row r="1054">
      <x:c r="A1054" s="36" t="str">
        <x:v>2026-07-26</x:v>
      </x:c>
      <x:c r="B1054" s="18" t="str">
        <x:v>101437000_83915</x:v>
      </x:c>
      <x:c r="C1054" s="18" t="str">
        <x:v>【沪村小电】长泰西郊别墅充电站</x:v>
      </x:c>
      <x:c r="D1054" s="37" t="str">
        <x:v>2</x:v>
      </x:c>
      <x:c r="E1054" s="37" t="str">
        <x:v>0</x:v>
      </x:c>
      <x:c r="F1054" s="37" t="str">
        <x:v>17</x:v>
      </x:c>
      <x:c r="G1054" s="37" t="str">
        <x:v>485.25</x:v>
      </x:c>
      <x:c r="H1054" s="37" t="str">
        <x:v>0.00</x:v>
      </x:c>
      <x:c r="I1054" s="37" t="str">
        <x:v>254.28</x:v>
      </x:c>
      <x:c r="J1054" s="37" t="str">
        <x:v>0.00</x:v>
      </x:c>
      <x:c r="K1054" s="37" t="str">
        <x:v>230.96</x:v>
      </x:c>
      <x:c r="L1054" s="37" t="str">
        <x:v>705</x:v>
      </x:c>
      <x:c r="M1054" s="29" t="str">
        <x:v>418.71</x:v>
      </x:c>
      <x:c r="N1054" s="29" t="str">
        <x:v>266.02</x:v>
      </x:c>
      <x:c r="O1054" s="29" t="str">
        <x:v>152.69</x:v>
      </x:c>
      <x:c r="P1054" s="18" t="str">
        <x:v>2026-07-26</x:v>
      </x:c>
      <x:c r="Q1054" s="36" t="n">
        <x:v>46229</x:v>
      </x:c>
    </x:row>
    <x:row r="1055">
      <x:c r="A1055" s="36" t="str">
        <x:v>2026-07-26</x:v>
      </x:c>
      <x:c r="B1055" s="18" t="str">
        <x:v>101437000_83917</x:v>
      </x:c>
      <x:c r="C1055" s="18" t="str">
        <x:v>【沪村小电】旭新华庭充电站</x:v>
      </x:c>
      <x:c r="D1055" s="37" t="str">
        <x:v>4</x:v>
      </x:c>
      <x:c r="E1055" s="37" t="str">
        <x:v>0</x:v>
      </x:c>
      <x:c r="F1055" s="37" t="str">
        <x:v>37</x:v>
      </x:c>
      <x:c r="G1055" s="37" t="str">
        <x:v>840.70</x:v>
      </x:c>
      <x:c r="H1055" s="37" t="str">
        <x:v>0.00</x:v>
      </x:c>
      <x:c r="I1055" s="37" t="str">
        <x:v>720.55</x:v>
      </x:c>
      <x:c r="J1055" s="37" t="str">
        <x:v>0.00</x:v>
      </x:c>
      <x:c r="K1055" s="37" t="str">
        <x:v>120.15</x:v>
      </x:c>
      <x:c r="L1055" s="37" t="str">
        <x:v>1242</x:v>
      </x:c>
      <x:c r="M1055" s="29" t="str">
        <x:v>940.78</x:v>
      </x:c>
      <x:c r="N1055" s="29" t="str">
        <x:v>556.05</x:v>
      </x:c>
      <x:c r="O1055" s="29" t="str">
        <x:v>384.73</x:v>
      </x:c>
      <x:c r="P1055" s="18" t="str">
        <x:v>2026-07-26</x:v>
      </x:c>
      <x:c r="Q1055" s="36" t="n">
        <x:v>46229</x:v>
      </x:c>
    </x:row>
    <x:row r="1056">
      <x:c r="A1056" s="36" t="str">
        <x:v>2026-07-26</x:v>
      </x:c>
      <x:c r="B1056" s="18" t="str">
        <x:v>101437000_83919</x:v>
      </x:c>
      <x:c r="C1056" s="18" t="str">
        <x:v>【沪村小电】浦锦名仕嘉园充电站</x:v>
      </x:c>
      <x:c r="D1056" s="37" t="str">
        <x:v>4</x:v>
      </x:c>
      <x:c r="E1056" s="37" t="str">
        <x:v>0</x:v>
      </x:c>
      <x:c r="F1056" s="37" t="str">
        <x:v>46</x:v>
      </x:c>
      <x:c r="G1056" s="37" t="str">
        <x:v>1432.19</x:v>
      </x:c>
      <x:c r="H1056" s="37" t="str">
        <x:v>0.00</x:v>
      </x:c>
      <x:c r="I1056" s="37" t="str">
        <x:v>0.00</x:v>
      </x:c>
      <x:c r="J1056" s="37" t="str">
        <x:v>1432.19</x:v>
      </x:c>
      <x:c r="K1056" s="37" t="str">
        <x:v>0.00</x:v>
      </x:c>
      <x:c r="L1056" s="37" t="str">
        <x:v>1780</x:v>
      </x:c>
      <x:c r="M1056" s="29" t="str">
        <x:v>1418.92</x:v>
      </x:c>
      <x:c r="N1056" s="29" t="str">
        <x:v>1002.54</x:v>
      </x:c>
      <x:c r="O1056" s="29" t="str">
        <x:v>416.38</x:v>
      </x:c>
      <x:c r="P1056" s="18" t="str">
        <x:v>2026-07-26</x:v>
      </x:c>
      <x:c r="Q1056" s="36" t="n">
        <x:v>46229</x:v>
      </x:c>
    </x:row>
    <x:row r="1057">
      <x:c r="A1057" s="36" t="str">
        <x:v>2026-07-26</x:v>
      </x:c>
      <x:c r="B1057" s="18" t="str">
        <x:v>101437000_83921</x:v>
      </x:c>
      <x:c r="C1057" s="18" t="str">
        <x:v>【沪村小电】上海联怡枇杷乐园充电站（地库）</x:v>
      </x:c>
      <x:c r="D1057" s="37" t="str">
        <x:v>8</x:v>
      </x:c>
      <x:c r="E1057" s="37" t="str">
        <x:v>0</x:v>
      </x:c>
      <x:c r="F1057" s="37" t="str">
        <x:v>25</x:v>
      </x:c>
      <x:c r="G1057" s="37" t="str">
        <x:v>678.97</x:v>
      </x:c>
      <x:c r="H1057" s="37" t="str">
        <x:v>0.00</x:v>
      </x:c>
      <x:c r="I1057" s="37" t="str">
        <x:v>149.67</x:v>
      </x:c>
      <x:c r="J1057" s="37" t="str">
        <x:v>0.00</x:v>
      </x:c>
      <x:c r="K1057" s="37" t="str">
        <x:v>529.30</x:v>
      </x:c>
      <x:c r="L1057" s="37" t="str">
        <x:v>1039</x:v>
      </x:c>
      <x:c r="M1057" s="29" t="str">
        <x:v>483.09</x:v>
      </x:c>
      <x:c r="N1057" s="29" t="str">
        <x:v>378.16</x:v>
      </x:c>
      <x:c r="O1057" s="29" t="str">
        <x:v>104.93</x:v>
      </x:c>
      <x:c r="P1057" s="18" t="str">
        <x:v>2026-07-26</x:v>
      </x:c>
      <x:c r="Q1057" s="36" t="n">
        <x:v>46229</x:v>
      </x:c>
    </x:row>
    <x:row r="1058">
      <x:c r="A1058" s="36" t="str">
        <x:v>2026-07-26</x:v>
      </x:c>
      <x:c r="B1058" s="18" t="str">
        <x:v>101437000_83923</x:v>
      </x:c>
      <x:c r="C1058" s="18" t="str">
        <x:v>【沪村小电】明珠新苑充电站</x:v>
      </x:c>
      <x:c r="D1058" s="37" t="str">
        <x:v>2</x:v>
      </x:c>
      <x:c r="E1058" s="37" t="str">
        <x:v>0</x:v>
      </x:c>
      <x:c r="F1058" s="37" t="str">
        <x:v>35</x:v>
      </x:c>
      <x:c r="G1058" s="37" t="str">
        <x:v>904.91</x:v>
      </x:c>
      <x:c r="H1058" s="37" t="str">
        <x:v>0.00</x:v>
      </x:c>
      <x:c r="I1058" s="37" t="str">
        <x:v>582.39</x:v>
      </x:c>
      <x:c r="J1058" s="37" t="str">
        <x:v>0.00</x:v>
      </x:c>
      <x:c r="K1058" s="37" t="str">
        <x:v>322.52</x:v>
      </x:c>
      <x:c r="L1058" s="37" t="str">
        <x:v>1156</x:v>
      </x:c>
      <x:c r="M1058" s="29" t="str">
        <x:v>876.86</x:v>
      </x:c>
      <x:c r="N1058" s="29" t="str">
        <x:v>532.78</x:v>
      </x:c>
      <x:c r="O1058" s="29" t="str">
        <x:v>344.08</x:v>
      </x:c>
      <x:c r="P1058" s="18" t="str">
        <x:v>2026-07-26</x:v>
      </x:c>
      <x:c r="Q1058" s="36" t="n">
        <x:v>46229</x:v>
      </x:c>
    </x:row>
    <x:row r="1059">
      <x:c r="A1059" s="36" t="str">
        <x:v>2026-07-26</x:v>
      </x:c>
      <x:c r="B1059" s="18" t="str">
        <x:v>101437000_84289</x:v>
      </x:c>
      <x:c r="C1059" s="18" t="str">
        <x:v>【沪村小电】铁建芳华苑充电站</x:v>
      </x:c>
      <x:c r="D1059" s="37" t="str">
        <x:v>4</x:v>
      </x:c>
      <x:c r="E1059" s="37" t="str">
        <x:v>0</x:v>
      </x:c>
      <x:c r="F1059" s="37" t="str">
        <x:v>49</x:v>
      </x:c>
      <x:c r="G1059" s="37" t="str">
        <x:v>1188.04</x:v>
      </x:c>
      <x:c r="H1059" s="37" t="str">
        <x:v>0.00</x:v>
      </x:c>
      <x:c r="I1059" s="37" t="str">
        <x:v>588.66</x:v>
      </x:c>
      <x:c r="J1059" s="37" t="str">
        <x:v>0.00</x:v>
      </x:c>
      <x:c r="K1059" s="37" t="str">
        <x:v>599.38</x:v>
      </x:c>
      <x:c r="L1059" s="37" t="str">
        <x:v>1581</x:v>
      </x:c>
      <x:c r="M1059" s="29" t="str">
        <x:v>1020.96</x:v>
      </x:c>
      <x:c r="N1059" s="29" t="str">
        <x:v>639.73</x:v>
      </x:c>
      <x:c r="O1059" s="29" t="str">
        <x:v>381.23</x:v>
      </x:c>
      <x:c r="P1059" s="18" t="str">
        <x:v>2026-07-26</x:v>
      </x:c>
      <x:c r="Q1059" s="36" t="n">
        <x:v>46229</x:v>
      </x:c>
    </x:row>
    <x:row r="1060">
      <x:c r="A1060" s="36" t="str">
        <x:v>2026-07-26</x:v>
      </x:c>
      <x:c r="B1060" s="18" t="str">
        <x:v>101437000_86379</x:v>
      </x:c>
      <x:c r="C1060" s="18" t="str">
        <x:v>【沪村小电】新宝社区充电站</x:v>
      </x:c>
      <x:c r="D1060" s="37" t="str">
        <x:v>4</x:v>
      </x:c>
      <x:c r="E1060" s="37" t="str">
        <x:v>0</x:v>
      </x:c>
      <x:c r="F1060" s="37" t="str">
        <x:v>25</x:v>
      </x:c>
      <x:c r="G1060" s="37" t="str">
        <x:v>559.65</x:v>
      </x:c>
      <x:c r="H1060" s="37" t="str">
        <x:v>0.00</x:v>
      </x:c>
      <x:c r="I1060" s="37" t="str">
        <x:v>264.44</x:v>
      </x:c>
      <x:c r="J1060" s="37" t="str">
        <x:v>0.00</x:v>
      </x:c>
      <x:c r="K1060" s="37" t="str">
        <x:v>295.22</x:v>
      </x:c>
      <x:c r="L1060" s="37" t="str">
        <x:v>1012</x:v>
      </x:c>
      <x:c r="M1060" s="29" t="str">
        <x:v>400.79</x:v>
      </x:c>
      <x:c r="N1060" s="29" t="str">
        <x:v>296.97</x:v>
      </x:c>
      <x:c r="O1060" s="29" t="str">
        <x:v>103.82</x:v>
      </x:c>
      <x:c r="P1060" s="18" t="str">
        <x:v>2026-07-26</x:v>
      </x:c>
      <x:c r="Q1060" s="36" t="n">
        <x:v>46229</x:v>
      </x:c>
    </x:row>
    <x:row r="1061">
      <x:c r="A1061" s="36" t="str">
        <x:v>2026-07-26</x:v>
      </x:c>
      <x:c r="B1061" s="18" t="str">
        <x:v>101437000_89441</x:v>
      </x:c>
      <x:c r="C1061" s="18" t="str">
        <x:v>【沪村小电】首创禧瑞云启西区充电站</x:v>
      </x:c>
      <x:c r="D1061" s="37" t="str">
        <x:v>2</x:v>
      </x:c>
      <x:c r="E1061" s="37" t="str">
        <x:v>0</x:v>
      </x:c>
      <x:c r="F1061" s="37" t="str">
        <x:v>26</x:v>
      </x:c>
      <x:c r="G1061" s="37" t="str">
        <x:v>733.89</x:v>
      </x:c>
      <x:c r="H1061" s="37" t="str">
        <x:v>0.00</x:v>
      </x:c>
      <x:c r="I1061" s="37" t="str">
        <x:v>392.28</x:v>
      </x:c>
      <x:c r="J1061" s="37" t="str">
        <x:v>0.00</x:v>
      </x:c>
      <x:c r="K1061" s="37" t="str">
        <x:v>341.61</x:v>
      </x:c>
      <x:c r="L1061" s="37" t="str">
        <x:v>861</x:v>
      </x:c>
      <x:c r="M1061" s="29" t="str">
        <x:v>636.98</x:v>
      </x:c>
      <x:c r="N1061" s="29" t="str">
        <x:v>404.90</x:v>
      </x:c>
      <x:c r="O1061" s="29" t="str">
        <x:v>232.08</x:v>
      </x:c>
      <x:c r="P1061" s="18" t="str">
        <x:v>2026-07-26</x:v>
      </x:c>
      <x:c r="Q1061" s="36" t="n">
        <x:v>46229</x:v>
      </x:c>
    </x:row>
    <x:row r="1062">
      <x:c r="A1062" s="36" t="str">
        <x:v>2026-07-26</x:v>
      </x:c>
      <x:c r="B1062" s="18" t="str">
        <x:v>101437000_89443</x:v>
      </x:c>
      <x:c r="C1062" s="18" t="str">
        <x:v>【沪村小电】玉兰清苑二期充电站</x:v>
      </x:c>
      <x:c r="D1062" s="37" t="str">
        <x:v>2</x:v>
      </x:c>
      <x:c r="E1062" s="37" t="str">
        <x:v>0</x:v>
      </x:c>
      <x:c r="F1062" s="37" t="str">
        <x:v>22</x:v>
      </x:c>
      <x:c r="G1062" s="37" t="str">
        <x:v>508.55</x:v>
      </x:c>
      <x:c r="H1062" s="37" t="str">
        <x:v>0.00</x:v>
      </x:c>
      <x:c r="I1062" s="37" t="str">
        <x:v>399.88</x:v>
      </x:c>
      <x:c r="J1062" s="37" t="str">
        <x:v>0.00</x:v>
      </x:c>
      <x:c r="K1062" s="37" t="str">
        <x:v>108.67</x:v>
      </x:c>
      <x:c r="L1062" s="37" t="str">
        <x:v>866</x:v>
      </x:c>
      <x:c r="M1062" s="29" t="str">
        <x:v>514.19</x:v>
      </x:c>
      <x:c r="N1062" s="29" t="str">
        <x:v>324.12</x:v>
      </x:c>
      <x:c r="O1062" s="29" t="str">
        <x:v>190.07</x:v>
      </x:c>
      <x:c r="P1062" s="18" t="str">
        <x:v>2026-07-26</x:v>
      </x:c>
      <x:c r="Q1062" s="36" t="n">
        <x:v>46229</x:v>
      </x:c>
    </x:row>
    <x:row r="1063">
      <x:c r="A1063" s="36" t="str">
        <x:v>2026-07-26</x:v>
      </x:c>
      <x:c r="B1063" s="18" t="str">
        <x:v>101437000_93115</x:v>
      </x:c>
      <x:c r="C1063" s="18" t="str">
        <x:v>【沪村小电】新南家园西北门</x:v>
      </x:c>
      <x:c r="D1063" s="37" t="str">
        <x:v>2</x:v>
      </x:c>
      <x:c r="E1063" s="37" t="str">
        <x:v>0</x:v>
      </x:c>
      <x:c r="F1063" s="37" t="str">
        <x:v>20</x:v>
      </x:c>
      <x:c r="G1063" s="37" t="str">
        <x:v>567.75</x:v>
      </x:c>
      <x:c r="H1063" s="37" t="str">
        <x:v>0.00</x:v>
      </x:c>
      <x:c r="I1063" s="37" t="str">
        <x:v>447.09</x:v>
      </x:c>
      <x:c r="J1063" s="37" t="str">
        <x:v>0.00</x:v>
      </x:c>
      <x:c r="K1063" s="37" t="str">
        <x:v>120.66</x:v>
      </x:c>
      <x:c r="L1063" s="37" t="str">
        <x:v>852</x:v>
      </x:c>
      <x:c r="M1063" s="29" t="str">
        <x:v>608.26</x:v>
      </x:c>
      <x:c r="N1063" s="29" t="str">
        <x:v>362.07</x:v>
      </x:c>
      <x:c r="O1063" s="29" t="str">
        <x:v>246.19</x:v>
      </x:c>
      <x:c r="P1063" s="18" t="str">
        <x:v>2026-07-26</x:v>
      </x:c>
      <x:c r="Q1063" s="36" t="n">
        <x:v>46229</x:v>
      </x:c>
    </x:row>
    <x:row r="1064">
      <x:c r="A1064" s="36" t="str">
        <x:v>2026-07-26</x:v>
      </x:c>
      <x:c r="B1064" s="18" t="str">
        <x:v>101437000_94649</x:v>
      </x:c>
      <x:c r="C1064" s="18" t="str">
        <x:v>【沪村小电】浪琴水岸花园</x:v>
      </x:c>
      <x:c r="D1064" s="37" t="str">
        <x:v>4</x:v>
      </x:c>
      <x:c r="E1064" s="37" t="str">
        <x:v>0</x:v>
      </x:c>
      <x:c r="F1064" s="37" t="str">
        <x:v>23</x:v>
      </x:c>
      <x:c r="G1064" s="37" t="str">
        <x:v>551.14</x:v>
      </x:c>
      <x:c r="H1064" s="37" t="str">
        <x:v>0.00</x:v>
      </x:c>
      <x:c r="I1064" s="37" t="str">
        <x:v>310.54</x:v>
      </x:c>
      <x:c r="J1064" s="37" t="str">
        <x:v>0.00</x:v>
      </x:c>
      <x:c r="K1064" s="37" t="str">
        <x:v>240.60</x:v>
      </x:c>
      <x:c r="L1064" s="37" t="str">
        <x:v>839</x:v>
      </x:c>
      <x:c r="M1064" s="29" t="str">
        <x:v>421.18</x:v>
      </x:c>
      <x:c r="N1064" s="29" t="str">
        <x:v>333.56</x:v>
      </x:c>
      <x:c r="O1064" s="29" t="str">
        <x:v>87.62</x:v>
      </x:c>
      <x:c r="P1064" s="18" t="str">
        <x:v>2026-07-26</x:v>
      </x:c>
      <x:c r="Q1064" s="36" t="n">
        <x:v>46229</x:v>
      </x:c>
    </x:row>
    <x:row r="1065">
      <x:c r="A1065" s="36" t="str">
        <x:v>2026-07-26</x:v>
      </x:c>
      <x:c r="B1065" s="18" t="str">
        <x:v>101437000_95077</x:v>
      </x:c>
      <x:c r="C1065" s="18" t="str">
        <x:v>【沪村小电】民乐城惠益绿苑255弄充电站</x:v>
      </x:c>
      <x:c r="D1065" s="37" t="str">
        <x:v>2</x:v>
      </x:c>
      <x:c r="E1065" s="37" t="str">
        <x:v>0</x:v>
      </x:c>
      <x:c r="F1065" s="37" t="str">
        <x:v>15</x:v>
      </x:c>
      <x:c r="G1065" s="37" t="str">
        <x:v>372.87</x:v>
      </x:c>
      <x:c r="H1065" s="37" t="str">
        <x:v>0.00</x:v>
      </x:c>
      <x:c r="I1065" s="37" t="str">
        <x:v>275.58</x:v>
      </x:c>
      <x:c r="J1065" s="37" t="str">
        <x:v>0.00</x:v>
      </x:c>
      <x:c r="K1065" s="37" t="str">
        <x:v>97.29</x:v>
      </x:c>
      <x:c r="L1065" s="37" t="str">
        <x:v>676</x:v>
      </x:c>
      <x:c r="M1065" s="29" t="str">
        <x:v>330.07</x:v>
      </x:c>
      <x:c r="N1065" s="29" t="str">
        <x:v>231.65</x:v>
      </x:c>
      <x:c r="O1065" s="29" t="str">
        <x:v>98.42</x:v>
      </x:c>
      <x:c r="P1065" s="18" t="str">
        <x:v>2026-07-26</x:v>
      </x:c>
      <x:c r="Q1065" s="36" t="n">
        <x:v>46229</x:v>
      </x:c>
    </x:row>
    <x:row r="1066">
      <x:c r="A1066" s="36" t="str">
        <x:v>2026-07-26</x:v>
      </x:c>
      <x:c r="B1066" s="18" t="str">
        <x:v>101437000_95079</x:v>
      </x:c>
      <x:c r="C1066" s="18" t="str">
        <x:v>【沪村小电】民乐城惠益绿苑东苑充电站</x:v>
      </x:c>
      <x:c r="D1066" s="37" t="str">
        <x:v>2</x:v>
      </x:c>
      <x:c r="E1066" s="37" t="str">
        <x:v>0</x:v>
      </x:c>
      <x:c r="F1066" s="37" t="str">
        <x:v>22</x:v>
      </x:c>
      <x:c r="G1066" s="37" t="str">
        <x:v>515.72</x:v>
      </x:c>
      <x:c r="H1066" s="37" t="str">
        <x:v>0.00</x:v>
      </x:c>
      <x:c r="I1066" s="37" t="str">
        <x:v>437.09</x:v>
      </x:c>
      <x:c r="J1066" s="37" t="str">
        <x:v>0.00</x:v>
      </x:c>
      <x:c r="K1066" s="37" t="str">
        <x:v>78.63</x:v>
      </x:c>
      <x:c r="L1066" s="37" t="str">
        <x:v>828</x:v>
      </x:c>
      <x:c r="M1066" s="29" t="str">
        <x:v>471.56</x:v>
      </x:c>
      <x:c r="N1066" s="29" t="str">
        <x:v>339.43</x:v>
      </x:c>
      <x:c r="O1066" s="29" t="str">
        <x:v>132.13</x:v>
      </x:c>
      <x:c r="P1066" s="18" t="str">
        <x:v>2026-07-26</x:v>
      </x:c>
      <x:c r="Q1066" s="36" t="n">
        <x:v>46229</x:v>
      </x:c>
    </x:row>
    <x:row r="1067">
      <x:c r="A1067" s="36" t="str">
        <x:v>2026-07-26</x:v>
      </x:c>
      <x:c r="B1067" s="18" t="str">
        <x:v>101437000_95081</x:v>
      </x:c>
      <x:c r="C1067" s="18" t="str">
        <x:v>【沪村小电】民乐城惠益绿苑西苑充电站</x:v>
      </x:c>
      <x:c r="D1067" s="37" t="str">
        <x:v>2</x:v>
      </x:c>
      <x:c r="E1067" s="37" t="str">
        <x:v>0</x:v>
      </x:c>
      <x:c r="F1067" s="37" t="str">
        <x:v>6</x:v>
      </x:c>
      <x:c r="G1067" s="37" t="str">
        <x:v>147.38</x:v>
      </x:c>
      <x:c r="H1067" s="37" t="str">
        <x:v>0.00</x:v>
      </x:c>
      <x:c r="I1067" s="37" t="str">
        <x:v>133.93</x:v>
      </x:c>
      <x:c r="J1067" s="37" t="str">
        <x:v>0.00</x:v>
      </x:c>
      <x:c r="K1067" s="37" t="str">
        <x:v>13.45</x:v>
      </x:c>
      <x:c r="L1067" s="37" t="str">
        <x:v>205</x:v>
      </x:c>
      <x:c r="M1067" s="29" t="str">
        <x:v>152.08</x:v>
      </x:c>
      <x:c r="N1067" s="29" t="str">
        <x:v>100.06</x:v>
      </x:c>
      <x:c r="O1067" s="29" t="str">
        <x:v>52.02</x:v>
      </x:c>
      <x:c r="P1067" s="18" t="str">
        <x:v>2026-07-26</x:v>
      </x:c>
      <x:c r="Q1067" s="36" t="n">
        <x:v>46229</x:v>
      </x:c>
    </x:row>
    <x:row r="1068">
      <x:c r="A1068" s="36" t="str">
        <x:v>2026-07-26</x:v>
      </x:c>
      <x:c r="B1068" s="18" t="str">
        <x:v>101437000_95941</x:v>
      </x:c>
      <x:c r="C1068" s="18" t="str">
        <x:v>【沪村小电】惠诚雅苑</x:v>
      </x:c>
      <x:c r="D1068" s="37" t="str">
        <x:v>4</x:v>
      </x:c>
      <x:c r="E1068" s="37" t="str">
        <x:v>0</x:v>
      </x:c>
      <x:c r="F1068" s="37" t="str">
        <x:v>52</x:v>
      </x:c>
      <x:c r="G1068" s="37" t="str">
        <x:v>1305.98</x:v>
      </x:c>
      <x:c r="H1068" s="37" t="str">
        <x:v>0.00</x:v>
      </x:c>
      <x:c r="I1068" s="37" t="str">
        <x:v>499.03</x:v>
      </x:c>
      <x:c r="J1068" s="37" t="str">
        <x:v>0.00</x:v>
      </x:c>
      <x:c r="K1068" s="37" t="str">
        <x:v>806.95</x:v>
      </x:c>
      <x:c r="L1068" s="37" t="str">
        <x:v>2301</x:v>
      </x:c>
      <x:c r="M1068" s="29" t="str">
        <x:v>826.31</x:v>
      </x:c>
      <x:c r="N1068" s="29" t="str">
        <x:v>544.56</x:v>
      </x:c>
      <x:c r="O1068" s="29" t="str">
        <x:v>281.75</x:v>
      </x:c>
      <x:c r="P1068" s="18" t="str">
        <x:v>2026-07-26</x:v>
      </x:c>
      <x:c r="Q1068" s="36" t="n">
        <x:v>46229</x:v>
      </x:c>
    </x:row>
    <x:row r="1069">
      <x:c r="A1069" s="36" t="str">
        <x:v>2026-07-26</x:v>
      </x:c>
      <x:c r="B1069" s="18" t="str">
        <x:v>101437000_96401</x:v>
      </x:c>
      <x:c r="C1069" s="18" t="str">
        <x:v>【沪村小电】上海联怡枇杷乐园地面站</x:v>
      </x:c>
      <x:c r="D1069" s="37" t="str">
        <x:v>2</x:v>
      </x:c>
      <x:c r="E1069" s="37" t="str">
        <x:v>0</x:v>
      </x:c>
      <x:c r="F1069" s="37" t="str">
        <x:v>6</x:v>
      </x:c>
      <x:c r="G1069" s="37" t="str">
        <x:v>155.08</x:v>
      </x:c>
      <x:c r="H1069" s="37" t="str">
        <x:v>0.00</x:v>
      </x:c>
      <x:c r="I1069" s="37" t="str">
        <x:v>36.11</x:v>
      </x:c>
      <x:c r="J1069" s="37" t="str">
        <x:v>0.00</x:v>
      </x:c>
      <x:c r="K1069" s="37" t="str">
        <x:v>118.97</x:v>
      </x:c>
      <x:c r="L1069" s="37" t="str">
        <x:v>304</x:v>
      </x:c>
      <x:c r="M1069" s="29" t="str">
        <x:v>107.78</x:v>
      </x:c>
      <x:c r="N1069" s="29" t="str">
        <x:v>87.22</x:v>
      </x:c>
      <x:c r="O1069" s="29" t="str">
        <x:v>20.56</x:v>
      </x:c>
      <x:c r="P1069" s="18" t="str">
        <x:v>2026-07-26</x:v>
      </x:c>
      <x:c r="Q1069" s="36" t="n">
        <x:v>46229</x:v>
      </x:c>
    </x:row>
    <x:row r="1070">
      <x:c r="A1070" s="36" t="str">
        <x:v>2026-07-26</x:v>
      </x:c>
      <x:c r="B1070" s="18" t="str">
        <x:v>101437000_96719</x:v>
      </x:c>
      <x:c r="C1070" s="18" t="str">
        <x:v>【沪村小电】四达路220弄充电站</x:v>
      </x:c>
      <x:c r="D1070" s="37" t="str">
        <x:v>2</x:v>
      </x:c>
      <x:c r="E1070" s="37" t="str">
        <x:v>0</x:v>
      </x:c>
      <x:c r="F1070" s="37" t="str">
        <x:v>1</x:v>
      </x:c>
      <x:c r="G1070" s="37" t="str">
        <x:v>41.61</x:v>
      </x:c>
      <x:c r="H1070" s="37" t="str">
        <x:v>0.00</x:v>
      </x:c>
      <x:c r="I1070" s="37" t="str">
        <x:v>0.00</x:v>
      </x:c>
      <x:c r="J1070" s="37" t="str">
        <x:v>0.00</x:v>
      </x:c>
      <x:c r="K1070" s="37" t="str">
        <x:v>41.61</x:v>
      </x:c>
      <x:c r="L1070" s="37" t="str">
        <x:v>51</x:v>
      </x:c>
      <x:c r="M1070" s="29" t="str">
        <x:v>24.13</x:v>
      </x:c>
      <x:c r="N1070" s="29" t="str">
        <x:v>15.39</x:v>
      </x:c>
      <x:c r="O1070" s="29" t="str">
        <x:v>8.74</x:v>
      </x:c>
      <x:c r="P1070" s="18" t="str">
        <x:v>2026-07-26</x:v>
      </x:c>
      <x:c r="Q1070" s="36" t="n">
        <x:v>46229</x:v>
      </x:c>
    </x:row>
    <x:row r="1071">
      <x:c r="A1071" s="36" t="str">
        <x:v>2026-07-26</x:v>
      </x:c>
      <x:c r="B1071" s="18" t="str">
        <x:v>101437000_97421</x:v>
      </x:c>
      <x:c r="C1071" s="18" t="str">
        <x:v>【沪村小电】玉兰清苑二期（小区外）充电站</x:v>
      </x:c>
      <x:c r="D1071" s="37" t="str">
        <x:v>4</x:v>
      </x:c>
      <x:c r="E1071" s="37" t="str">
        <x:v>0</x:v>
      </x:c>
      <x:c r="F1071" s="37" t="str">
        <x:v>45</x:v>
      </x:c>
      <x:c r="G1071" s="37" t="str">
        <x:v>993.11</x:v>
      </x:c>
      <x:c r="H1071" s="37" t="str">
        <x:v>0.00</x:v>
      </x:c>
      <x:c r="I1071" s="37" t="str">
        <x:v>843.18</x:v>
      </x:c>
      <x:c r="J1071" s="37" t="str">
        <x:v>0.00</x:v>
      </x:c>
      <x:c r="K1071" s="37" t="str">
        <x:v>149.94</x:v>
      </x:c>
      <x:c r="L1071" s="37" t="str">
        <x:v>1689</x:v>
      </x:c>
      <x:c r="M1071" s="29" t="str">
        <x:v>923.03</x:v>
      </x:c>
      <x:c r="N1071" s="29" t="str">
        <x:v>654.14</x:v>
      </x:c>
      <x:c r="O1071" s="29" t="str">
        <x:v>268.89</x:v>
      </x:c>
      <x:c r="P1071" s="18" t="str">
        <x:v>2026-07-26</x:v>
      </x:c>
      <x:c r="Q1071" s="36" t="n">
        <x:v>46229</x:v>
      </x:c>
    </x:row>
    <x:row r="1072">
      <x:c r="A1072" s="36" t="str">
        <x:v>2026-07-26</x:v>
      </x:c>
      <x:c r="B1072" s="18" t="str">
        <x:v>101437000_98013</x:v>
      </x:c>
      <x:c r="C1072" s="18" t="str">
        <x:v>【沪村小电】恒大滨江华府充电站</x:v>
      </x:c>
      <x:c r="D1072" s="37" t="str">
        <x:v>4</x:v>
      </x:c>
      <x:c r="E1072" s="37" t="str">
        <x:v>0</x:v>
      </x:c>
      <x:c r="F1072" s="37" t="str">
        <x:v>42</x:v>
      </x:c>
      <x:c r="G1072" s="37" t="str">
        <x:v>931.98</x:v>
      </x:c>
      <x:c r="H1072" s="37" t="str">
        <x:v>0.00</x:v>
      </x:c>
      <x:c r="I1072" s="37" t="str">
        <x:v>758.88</x:v>
      </x:c>
      <x:c r="J1072" s="37" t="str">
        <x:v>0.00</x:v>
      </x:c>
      <x:c r="K1072" s="37" t="str">
        <x:v>173.11</x:v>
      </x:c>
      <x:c r="L1072" s="37" t="str">
        <x:v>1508</x:v>
      </x:c>
      <x:c r="M1072" s="29" t="str">
        <x:v>964.46</x:v>
      </x:c>
      <x:c r="N1072" s="29" t="str">
        <x:v>762.59</x:v>
      </x:c>
      <x:c r="O1072" s="29" t="str">
        <x:v>201.87</x:v>
      </x:c>
      <x:c r="P1072" s="18" t="str">
        <x:v>2026-07-26</x:v>
      </x:c>
      <x:c r="Q1072" s="36" t="n">
        <x:v>46229</x:v>
      </x:c>
    </x:row>
    <x:row r="1073">
      <x:c r="A1073" s="36" t="str">
        <x:v>2026-07-26</x:v>
      </x:c>
      <x:c r="B1073" s="18" t="str">
        <x:v>101437000_98863</x:v>
      </x:c>
      <x:c r="C1073" s="18" t="str">
        <x:v>【沪村小电】欣菊苑充电站</x:v>
      </x:c>
      <x:c r="D1073" s="37" t="str">
        <x:v>4</x:v>
      </x:c>
      <x:c r="E1073" s="37" t="str">
        <x:v>0</x:v>
      </x:c>
      <x:c r="F1073" s="37" t="str">
        <x:v>1</x:v>
      </x:c>
      <x:c r="G1073" s="37" t="str">
        <x:v>41.76</x:v>
      </x:c>
      <x:c r="H1073" s="37" t="str">
        <x:v>0.00</x:v>
      </x:c>
      <x:c r="I1073" s="37" t="str">
        <x:v>41.76</x:v>
      </x:c>
      <x:c r="J1073" s="37" t="str">
        <x:v>0.00</x:v>
      </x:c>
      <x:c r="K1073" s="37" t="str">
        <x:v>0.00</x:v>
      </x:c>
      <x:c r="L1073" s="37" t="str">
        <x:v>34</x:v>
      </x:c>
      <x:c r="M1073" s="29" t="str">
        <x:v>49.80</x:v>
      </x:c>
      <x:c r="N1073" s="29" t="str">
        <x:v>29.65</x:v>
      </x:c>
      <x:c r="O1073" s="29" t="str">
        <x:v>20.15</x:v>
      </x:c>
      <x:c r="P1073" s="18" t="str">
        <x:v>2026-07-26</x:v>
      </x:c>
      <x:c r="Q1073" s="36" t="n">
        <x:v>46229</x:v>
      </x:c>
    </x:row>
    <x:row r="1074">
      <x:c r="A1074" s="36" t="str">
        <x:v>2026-07-26</x:v>
      </x:c>
      <x:c r="B1074" s="18" t="str">
        <x:v>101437000_98865</x:v>
      </x:c>
      <x:c r="C1074" s="18" t="str">
        <x:v>【沪村小电】欣松苑充电站</x:v>
      </x:c>
      <x:c r="D1074" s="37" t="str">
        <x:v>4</x:v>
      </x:c>
      <x:c r="E1074" s="37" t="str">
        <x:v>0</x:v>
      </x:c>
      <x:c r="F1074" s="37" t="str">
        <x:v>27</x:v>
      </x:c>
      <x:c r="G1074" s="37" t="str">
        <x:v>561.90</x:v>
      </x:c>
      <x:c r="H1074" s="37" t="str">
        <x:v>0.00</x:v>
      </x:c>
      <x:c r="I1074" s="37" t="str">
        <x:v>561.90</x:v>
      </x:c>
      <x:c r="J1074" s="37" t="str">
        <x:v>0.00</x:v>
      </x:c>
      <x:c r="K1074" s="37" t="str">
        <x:v>0.00</x:v>
      </x:c>
      <x:c r="L1074" s="37" t="str">
        <x:v>804</x:v>
      </x:c>
      <x:c r="M1074" s="29" t="str">
        <x:v>544.47</x:v>
      </x:c>
      <x:c r="N1074" s="29" t="str">
        <x:v>398.94</x:v>
      </x:c>
      <x:c r="O1074" s="29" t="str">
        <x:v>145.53</x:v>
      </x:c>
      <x:c r="P1074" s="18" t="str">
        <x:v>2026-07-26</x:v>
      </x:c>
      <x:c r="Q1074" s="36" t="n">
        <x:v>46229</x:v>
      </x:c>
    </x:row>
    <x:row r="1075">
      <x:c r="A1075" s="36" t="str">
        <x:v>2026-07-26</x:v>
      </x:c>
      <x:c r="B1075" s="18" t="str">
        <x:v>101437000_98867</x:v>
      </x:c>
      <x:c r="C1075" s="18" t="str">
        <x:v>【沪村小电】欣荷苑充电站</x:v>
      </x:c>
      <x:c r="D1075" s="37" t="str">
        <x:v>4</x:v>
      </x:c>
      <x:c r="E1075" s="37" t="str">
        <x:v>0</x:v>
      </x:c>
      <x:c r="F1075" s="37" t="str">
        <x:v>10</x:v>
      </x:c>
      <x:c r="G1075" s="37" t="str">
        <x:v>189.70</x:v>
      </x:c>
      <x:c r="H1075" s="37" t="str">
        <x:v>0.00</x:v>
      </x:c>
      <x:c r="I1075" s="37" t="str">
        <x:v>125.47</x:v>
      </x:c>
      <x:c r="J1075" s="37" t="str">
        <x:v>0.00</x:v>
      </x:c>
      <x:c r="K1075" s="37" t="str">
        <x:v>64.23</x:v>
      </x:c>
      <x:c r="L1075" s="37" t="str">
        <x:v>304</x:v>
      </x:c>
      <x:c r="M1075" s="29" t="str">
        <x:v>160.30</x:v>
      </x:c>
      <x:c r="N1075" s="29" t="str">
        <x:v>112.85</x:v>
      </x:c>
      <x:c r="O1075" s="29" t="str">
        <x:v>47.45</x:v>
      </x:c>
      <x:c r="P1075" s="18" t="str">
        <x:v>2026-07-26</x:v>
      </x:c>
      <x:c r="Q1075" s="36" t="n">
        <x:v>46229</x:v>
      </x:c>
    </x:row>
    <x:row r="1076">
      <x:c r="A1076" s="36" t="str">
        <x:v>2026-07-26</x:v>
      </x:c>
      <x:c r="B1076" s="18" t="str">
        <x:v>101437000_99885</x:v>
      </x:c>
      <x:c r="C1076" s="18" t="str">
        <x:v>【沪村小电】汇丰馨苑充电站</x:v>
      </x:c>
      <x:c r="D1076" s="37" t="str">
        <x:v>4</x:v>
      </x:c>
      <x:c r="E1076" s="37" t="str">
        <x:v>0</x:v>
      </x:c>
      <x:c r="F1076" s="37" t="str">
        <x:v>12</x:v>
      </x:c>
      <x:c r="G1076" s="37" t="str">
        <x:v>293.04</x:v>
      </x:c>
      <x:c r="H1076" s="37" t="str">
        <x:v>0.00</x:v>
      </x:c>
      <x:c r="I1076" s="37" t="str">
        <x:v>220.24</x:v>
      </x:c>
      <x:c r="J1076" s="37" t="str">
        <x:v>0.00</x:v>
      </x:c>
      <x:c r="K1076" s="37" t="str">
        <x:v>72.81</x:v>
      </x:c>
      <x:c r="L1076" s="37" t="str">
        <x:v>476</x:v>
      </x:c>
      <x:c r="M1076" s="29" t="str">
        <x:v>281.78</x:v>
      </x:c>
      <x:c r="N1076" s="29" t="str">
        <x:v>183.31</x:v>
      </x:c>
      <x:c r="O1076" s="29" t="str">
        <x:v>98.47</x:v>
      </x:c>
      <x:c r="P1076" s="18" t="str">
        <x:v>2026-07-26</x:v>
      </x:c>
      <x:c r="Q1076" s="36" t="n">
        <x:v>46229</x:v>
      </x:c>
    </x:row>
    <x:row r="1077">
      <x:c r="A1077" s="36" t="str">
        <x:v>2026-07-26</x:v>
      </x:c>
      <x:c r="B1077" s="18" t="str">
        <x:v>101437000_99887</x:v>
      </x:c>
      <x:c r="C1077" s="18" t="str">
        <x:v>【沪村小电】新南村河南小区充电站</x:v>
      </x:c>
      <x:c r="D1077" s="37" t="str">
        <x:v>2</x:v>
      </x:c>
      <x:c r="E1077" s="37" t="str">
        <x:v>0</x:v>
      </x:c>
      <x:c r="F1077" s="37" t="str">
        <x:v>17</x:v>
      </x:c>
      <x:c r="G1077" s="37" t="str">
        <x:v>470.13</x:v>
      </x:c>
      <x:c r="H1077" s="37" t="str">
        <x:v>0.00</x:v>
      </x:c>
      <x:c r="I1077" s="37" t="str">
        <x:v>185.28</x:v>
      </x:c>
      <x:c r="J1077" s="37" t="str">
        <x:v>0.00</x:v>
      </x:c>
      <x:c r="K1077" s="37" t="str">
        <x:v>284.85</x:v>
      </x:c>
      <x:c r="L1077" s="37" t="str">
        <x:v>730</x:v>
      </x:c>
      <x:c r="M1077" s="29" t="str">
        <x:v>312.45</x:v>
      </x:c>
      <x:c r="N1077" s="29" t="str">
        <x:v>236.95</x:v>
      </x:c>
      <x:c r="O1077" s="29" t="str">
        <x:v>75.50</x:v>
      </x:c>
      <x:c r="P1077" s="18" t="str">
        <x:v>2026-07-26</x:v>
      </x:c>
      <x:c r="Q1077" s="36" t="n">
        <x:v>46229</x:v>
      </x:c>
    </x:row>
    <x:row r="1078">
      <x:c r="A1078" s="36" t="str">
        <x:v>2026-07-26</x:v>
      </x:c>
      <x:c r="B1078" s="18" t="str">
        <x:v>101437000_99889</x:v>
      </x:c>
      <x:c r="C1078" s="18" t="str">
        <x:v>【沪村小电】漕泾郊野公园</x:v>
      </x:c>
      <x:c r="D1078" s="37" t="str">
        <x:v>2</x:v>
      </x:c>
      <x:c r="E1078" s="37" t="str">
        <x:v>0</x:v>
      </x:c>
      <x:c r="F1078" s="37" t="str">
        <x:v>9</x:v>
      </x:c>
      <x:c r="G1078" s="37" t="str">
        <x:v>201.32</x:v>
      </x:c>
      <x:c r="H1078" s="37" t="str">
        <x:v>0.00</x:v>
      </x:c>
      <x:c r="I1078" s="37" t="str">
        <x:v>118.02</x:v>
      </x:c>
      <x:c r="J1078" s="37" t="str">
        <x:v>0.00</x:v>
      </x:c>
      <x:c r="K1078" s="37" t="str">
        <x:v>83.29</x:v>
      </x:c>
      <x:c r="L1078" s="37" t="str">
        <x:v>267</x:v>
      </x:c>
      <x:c r="M1078" s="29" t="str">
        <x:v>192.37</x:v>
      </x:c>
      <x:c r="N1078" s="29" t="str">
        <x:v>139.66</x:v>
      </x:c>
      <x:c r="O1078" s="29" t="str">
        <x:v>52.71</x:v>
      </x:c>
      <x:c r="P1078" s="18" t="str">
        <x:v>2026-07-26</x:v>
      </x:c>
      <x:c r="Q1078" s="36" t="n">
        <x:v>46229</x:v>
      </x:c>
    </x:row>
    <x:row r="1079">
      <x:c r="A1079" s="36" t="str">
        <x:v>2026-07-26</x:v>
      </x:c>
      <x:c r="B1079" s="18" t="str">
        <x:v>101437000_99891</x:v>
      </x:c>
      <x:c r="C1079" s="18" t="str">
        <x:v>【沪村小电】水韵紫城充电站</x:v>
      </x:c>
      <x:c r="D1079" s="37" t="str">
        <x:v>4</x:v>
      </x:c>
      <x:c r="E1079" s="37" t="str">
        <x:v>0</x:v>
      </x:c>
      <x:c r="F1079" s="37" t="str">
        <x:v>33</x:v>
      </x:c>
      <x:c r="G1079" s="37" t="str">
        <x:v>782.54</x:v>
      </x:c>
      <x:c r="H1079" s="37" t="str">
        <x:v>0.00</x:v>
      </x:c>
      <x:c r="I1079" s="37" t="str">
        <x:v>608.80</x:v>
      </x:c>
      <x:c r="J1079" s="37" t="str">
        <x:v>0.00</x:v>
      </x:c>
      <x:c r="K1079" s="37" t="str">
        <x:v>173.74</x:v>
      </x:c>
      <x:c r="L1079" s="37" t="str">
        <x:v>1450</x:v>
      </x:c>
      <x:c r="M1079" s="29" t="str">
        <x:v>737.04</x:v>
      </x:c>
      <x:c r="N1079" s="29" t="str">
        <x:v>496.52</x:v>
      </x:c>
      <x:c r="O1079" s="29" t="str">
        <x:v>240.52</x:v>
      </x:c>
      <x:c r="P1079" s="18" t="str">
        <x:v>2026-07-26</x:v>
      </x:c>
      <x:c r="Q1079" s="36" t="n">
        <x:v>46229</x:v>
      </x:c>
    </x:row>
    <x:row r="1080">
      <x:c r="A1080" s="36" t="str">
        <x:v>2026-07-25</x:v>
      </x:c>
      <x:c r="B1080" s="18" t="str">
        <x:v>101437000_101531</x:v>
      </x:c>
      <x:c r="C1080" s="18" t="str">
        <x:v>【沪村小电】汇中苑充电站</x:v>
      </x:c>
      <x:c r="D1080" s="37" t="str">
        <x:v>2</x:v>
      </x:c>
      <x:c r="E1080" s="37" t="str">
        <x:v>0</x:v>
      </x:c>
      <x:c r="F1080" s="37" t="str">
        <x:v>13</x:v>
      </x:c>
      <x:c r="G1080" s="37" t="str">
        <x:v>354.36</x:v>
      </x:c>
      <x:c r="H1080" s="37" t="str">
        <x:v>0.00</x:v>
      </x:c>
      <x:c r="I1080" s="37" t="str">
        <x:v>5.07</x:v>
      </x:c>
      <x:c r="J1080" s="37" t="str">
        <x:v>267.39</x:v>
      </x:c>
      <x:c r="K1080" s="37" t="str">
        <x:v>81.90</x:v>
      </x:c>
      <x:c r="L1080" s="37" t="str">
        <x:v>636</x:v>
      </x:c>
      <x:c r="M1080" s="29" t="str">
        <x:v>316.09</x:v>
      </x:c>
      <x:c r="N1080" s="29" t="str">
        <x:v>225.36</x:v>
      </x:c>
      <x:c r="O1080" s="29" t="str">
        <x:v>90.73</x:v>
      </x:c>
      <x:c r="P1080" s="18" t="str">
        <x:v>2026-07-25</x:v>
      </x:c>
      <x:c r="Q1080" s="36" t="n">
        <x:v>46228</x:v>
      </x:c>
    </x:row>
    <x:row r="1081">
      <x:c r="A1081" s="36" t="str">
        <x:v>2026-07-25</x:v>
      </x:c>
      <x:c r="B1081" s="18" t="str">
        <x:v>101437000_102047</x:v>
      </x:c>
      <x:c r="C1081" s="18" t="str">
        <x:v>【沪村小电】后浜小区9弄小区南面停车场充电站</x:v>
      </x:c>
      <x:c r="D1081" s="37" t="str">
        <x:v>8</x:v>
      </x:c>
      <x:c r="E1081" s="37" t="str">
        <x:v>0</x:v>
      </x:c>
      <x:c r="F1081" s="37" t="str">
        <x:v>31</x:v>
      </x:c>
      <x:c r="G1081" s="37" t="str">
        <x:v>489.13</x:v>
      </x:c>
      <x:c r="H1081" s="37" t="str">
        <x:v>0.00</x:v>
      </x:c>
      <x:c r="I1081" s="37" t="str">
        <x:v>356.46</x:v>
      </x:c>
      <x:c r="J1081" s="37" t="str">
        <x:v>0.00</x:v>
      </x:c>
      <x:c r="K1081" s="37" t="str">
        <x:v>132.67</x:v>
      </x:c>
      <x:c r="L1081" s="37" t="str">
        <x:v>740</x:v>
      </x:c>
      <x:c r="M1081" s="29" t="str">
        <x:v>496.23</x:v>
      </x:c>
      <x:c r="N1081" s="29" t="str">
        <x:v>315.45</x:v>
      </x:c>
      <x:c r="O1081" s="29" t="str">
        <x:v>180.78</x:v>
      </x:c>
      <x:c r="P1081" s="18" t="str">
        <x:v>2026-07-25</x:v>
      </x:c>
      <x:c r="Q1081" s="36" t="n">
        <x:v>46228</x:v>
      </x:c>
    </x:row>
    <x:row r="1082">
      <x:c r="A1082" s="36" t="str">
        <x:v>2026-07-25</x:v>
      </x:c>
      <x:c r="B1082" s="18" t="str">
        <x:v>101437000_103503</x:v>
      </x:c>
      <x:c r="C1082" s="18" t="str">
        <x:v>【沪村小电】阳光城新界充电站</x:v>
      </x:c>
      <x:c r="D1082" s="37" t="str">
        <x:v>4</x:v>
      </x:c>
      <x:c r="E1082" s="37" t="str">
        <x:v>0</x:v>
      </x:c>
      <x:c r="F1082" s="37" t="str">
        <x:v>15</x:v>
      </x:c>
      <x:c r="G1082" s="37" t="str">
        <x:v>194.94</x:v>
      </x:c>
      <x:c r="H1082" s="37" t="str">
        <x:v>0.00</x:v>
      </x:c>
      <x:c r="I1082" s="37" t="str">
        <x:v>177.67</x:v>
      </x:c>
      <x:c r="J1082" s="37" t="str">
        <x:v>0.00</x:v>
      </x:c>
      <x:c r="K1082" s="37" t="str">
        <x:v>17.26</x:v>
      </x:c>
      <x:c r="L1082" s="37" t="str">
        <x:v>363</x:v>
      </x:c>
      <x:c r="M1082" s="29" t="str">
        <x:v>211.53</x:v>
      </x:c>
      <x:c r="N1082" s="29" t="str">
        <x:v>145.49</x:v>
      </x:c>
      <x:c r="O1082" s="29" t="str">
        <x:v>66.04</x:v>
      </x:c>
      <x:c r="P1082" s="18" t="str">
        <x:v>2026-07-25</x:v>
      </x:c>
      <x:c r="Q1082" s="36" t="n">
        <x:v>46228</x:v>
      </x:c>
    </x:row>
    <x:row r="1083">
      <x:c r="A1083" s="36" t="str">
        <x:v>2026-07-25</x:v>
      </x:c>
      <x:c r="B1083" s="18" t="str">
        <x:v>101437000_41561</x:v>
      </x:c>
      <x:c r="C1083" s="18" t="str">
        <x:v>【沪村小电】张施小区大门处快充站</x:v>
      </x:c>
      <x:c r="D1083" s="37" t="str">
        <x:v>2</x:v>
      </x:c>
      <x:c r="E1083" s="37" t="str">
        <x:v>0</x:v>
      </x:c>
      <x:c r="F1083" s="37" t="str">
        <x:v>48</x:v>
      </x:c>
      <x:c r="G1083" s="37" t="str">
        <x:v>1160.55</x:v>
      </x:c>
      <x:c r="H1083" s="37" t="str">
        <x:v>0.00</x:v>
      </x:c>
      <x:c r="I1083" s="37" t="str">
        <x:v>628.41</x:v>
      </x:c>
      <x:c r="J1083" s="37" t="str">
        <x:v>0.00</x:v>
      </x:c>
      <x:c r="K1083" s="37" t="str">
        <x:v>532.14</x:v>
      </x:c>
      <x:c r="L1083" s="37" t="str">
        <x:v>1956</x:v>
      </x:c>
      <x:c r="M1083" s="29" t="str">
        <x:v>912.92</x:v>
      </x:c>
      <x:c r="N1083" s="29" t="str">
        <x:v>643.09</x:v>
      </x:c>
      <x:c r="O1083" s="29" t="str">
        <x:v>269.83</x:v>
      </x:c>
      <x:c r="P1083" s="18" t="str">
        <x:v>2026-07-25</x:v>
      </x:c>
      <x:c r="Q1083" s="36" t="n">
        <x:v>46228</x:v>
      </x:c>
    </x:row>
    <x:row r="1084">
      <x:c r="A1084" s="36" t="str">
        <x:v>2026-07-25</x:v>
      </x:c>
      <x:c r="B1084" s="18" t="str">
        <x:v>101437000_41563</x:v>
      </x:c>
      <x:c r="C1084" s="18" t="str">
        <x:v>【沪村小电】同心村快充站</x:v>
      </x:c>
      <x:c r="D1084" s="37" t="str">
        <x:v>4</x:v>
      </x:c>
      <x:c r="E1084" s="37" t="str">
        <x:v>0</x:v>
      </x:c>
      <x:c r="F1084" s="37" t="str">
        <x:v>53</x:v>
      </x:c>
      <x:c r="G1084" s="37" t="str">
        <x:v>1376.88</x:v>
      </x:c>
      <x:c r="H1084" s="37" t="str">
        <x:v>0.00</x:v>
      </x:c>
      <x:c r="I1084" s="37" t="str">
        <x:v>892.87</x:v>
      </x:c>
      <x:c r="J1084" s="37" t="str">
        <x:v>0.00</x:v>
      </x:c>
      <x:c r="K1084" s="37" t="str">
        <x:v>484.02</x:v>
      </x:c>
      <x:c r="L1084" s="37" t="str">
        <x:v>2356</x:v>
      </x:c>
      <x:c r="M1084" s="29" t="str">
        <x:v>1259.83</x:v>
      </x:c>
      <x:c r="N1084" s="29" t="str">
        <x:v>813.05</x:v>
      </x:c>
      <x:c r="O1084" s="29" t="str">
        <x:v>446.78</x:v>
      </x:c>
      <x:c r="P1084" s="18" t="str">
        <x:v>2026-07-25</x:v>
      </x:c>
      <x:c r="Q1084" s="36" t="n">
        <x:v>46228</x:v>
      </x:c>
    </x:row>
    <x:row r="1085">
      <x:c r="A1085" s="36" t="str">
        <x:v>2026-07-25</x:v>
      </x:c>
      <x:c r="B1085" s="18" t="str">
        <x:v>101437000_69629</x:v>
      </x:c>
      <x:c r="C1085" s="18" t="str">
        <x:v>【沪村小电】骏丰玲珑坊西苑充电站</x:v>
      </x:c>
      <x:c r="D1085" s="37" t="str">
        <x:v>2</x:v>
      </x:c>
      <x:c r="E1085" s="37" t="str">
        <x:v>0</x:v>
      </x:c>
      <x:c r="F1085" s="37" t="str">
        <x:v>67</x:v>
      </x:c>
      <x:c r="G1085" s="37" t="str">
        <x:v>1700.03</x:v>
      </x:c>
      <x:c r="H1085" s="37" t="str">
        <x:v>0.00</x:v>
      </x:c>
      <x:c r="I1085" s="37" t="str">
        <x:v>994.11</x:v>
      </x:c>
      <x:c r="J1085" s="37" t="str">
        <x:v>0.00</x:v>
      </x:c>
      <x:c r="K1085" s="37" t="str">
        <x:v>705.91</x:v>
      </x:c>
      <x:c r="L1085" s="37" t="str">
        <x:v>2823</x:v>
      </x:c>
      <x:c r="M1085" s="29" t="str">
        <x:v>1413.44</x:v>
      </x:c>
      <x:c r="N1085" s="29" t="str">
        <x:v>967.03</x:v>
      </x:c>
      <x:c r="O1085" s="29" t="str">
        <x:v>446.41</x:v>
      </x:c>
      <x:c r="P1085" s="18" t="str">
        <x:v>2026-07-25</x:v>
      </x:c>
      <x:c r="Q1085" s="36" t="n">
        <x:v>46228</x:v>
      </x:c>
    </x:row>
    <x:row r="1086">
      <x:c r="A1086" s="36" t="str">
        <x:v>2026-07-25</x:v>
      </x:c>
      <x:c r="B1086" s="18" t="str">
        <x:v>101437000_70547</x:v>
      </x:c>
      <x:c r="C1086" s="18" t="str">
        <x:v>【沪村小电】农建村初心馆党群服务中心充电站</x:v>
      </x:c>
      <x:c r="D1086" s="37" t="str">
        <x:v>4</x:v>
      </x:c>
      <x:c r="E1086" s="37" t="str">
        <x:v>0</x:v>
      </x:c>
      <x:c r="F1086" s="37" t="str">
        <x:v>41</x:v>
      </x:c>
      <x:c r="G1086" s="37" t="str">
        <x:v>835.30</x:v>
      </x:c>
      <x:c r="H1086" s="37" t="str">
        <x:v>0.00</x:v>
      </x:c>
      <x:c r="I1086" s="37" t="str">
        <x:v>675.15</x:v>
      </x:c>
      <x:c r="J1086" s="37" t="str">
        <x:v>0.00</x:v>
      </x:c>
      <x:c r="K1086" s="37" t="str">
        <x:v>160.16</x:v>
      </x:c>
      <x:c r="L1086" s="37" t="str">
        <x:v>1628</x:v>
      </x:c>
      <x:c r="M1086" s="29" t="str">
        <x:v>883.38</x:v>
      </x:c>
      <x:c r="N1086" s="29" t="str">
        <x:v>538.64</x:v>
      </x:c>
      <x:c r="O1086" s="29" t="str">
        <x:v>344.74</x:v>
      </x:c>
      <x:c r="P1086" s="18" t="str">
        <x:v>2026-07-25</x:v>
      </x:c>
      <x:c r="Q1086" s="36" t="n">
        <x:v>46228</x:v>
      </x:c>
    </x:row>
    <x:row r="1087">
      <x:c r="A1087" s="36" t="str">
        <x:v>2026-07-25</x:v>
      </x:c>
      <x:c r="B1087" s="18" t="str">
        <x:v>101437000_70549</x:v>
      </x:c>
      <x:c r="C1087" s="18" t="str">
        <x:v>【沪村小电】学府路充电站</x:v>
      </x:c>
      <x:c r="D1087" s="37" t="str">
        <x:v>2</x:v>
      </x:c>
      <x:c r="E1087" s="37" t="str">
        <x:v>0</x:v>
      </x:c>
      <x:c r="F1087" s="37" t="str">
        <x:v>5</x:v>
      </x:c>
      <x:c r="G1087" s="37" t="str">
        <x:v>137.99</x:v>
      </x:c>
      <x:c r="H1087" s="37" t="str">
        <x:v>0.00</x:v>
      </x:c>
      <x:c r="I1087" s="37" t="str">
        <x:v>35.25</x:v>
      </x:c>
      <x:c r="J1087" s="37" t="str">
        <x:v>0.00</x:v>
      </x:c>
      <x:c r="K1087" s="37" t="str">
        <x:v>102.75</x:v>
      </x:c>
      <x:c r="L1087" s="37" t="str">
        <x:v>173</x:v>
      </x:c>
      <x:c r="M1087" s="29" t="str">
        <x:v>106.95</x:v>
      </x:c>
      <x:c r="N1087" s="29" t="str">
        <x:v>63.04</x:v>
      </x:c>
      <x:c r="O1087" s="29" t="str">
        <x:v>43.91</x:v>
      </x:c>
      <x:c r="P1087" s="18" t="str">
        <x:v>2026-07-25</x:v>
      </x:c>
      <x:c r="Q1087" s="36" t="n">
        <x:v>46228</x:v>
      </x:c>
    </x:row>
    <x:row r="1088">
      <x:c r="A1088" s="36" t="str">
        <x:v>2026-07-25</x:v>
      </x:c>
      <x:c r="B1088" s="18" t="str">
        <x:v>101437000_71059</x:v>
      </x:c>
      <x:c r="C1088" s="18" t="str">
        <x:v>【沪村小电】宝乐汇商业广场站</x:v>
      </x:c>
      <x:c r="D1088" s="37" t="str">
        <x:v>4</x:v>
      </x:c>
      <x:c r="E1088" s="37" t="str">
        <x:v>0</x:v>
      </x:c>
      <x:c r="F1088" s="37" t="str">
        <x:v>18</x:v>
      </x:c>
      <x:c r="G1088" s="37" t="str">
        <x:v>511.84</x:v>
      </x:c>
      <x:c r="H1088" s="37" t="str">
        <x:v>0.00</x:v>
      </x:c>
      <x:c r="I1088" s="37" t="str">
        <x:v>211.78</x:v>
      </x:c>
      <x:c r="J1088" s="37" t="str">
        <x:v>0.00</x:v>
      </x:c>
      <x:c r="K1088" s="37" t="str">
        <x:v>300.06</x:v>
      </x:c>
      <x:c r="L1088" s="37" t="str">
        <x:v>801</x:v>
      </x:c>
      <x:c r="M1088" s="29" t="str">
        <x:v>442.91</x:v>
      </x:c>
      <x:c r="N1088" s="29" t="str">
        <x:v>328.65</x:v>
      </x:c>
      <x:c r="O1088" s="29" t="str">
        <x:v>114.26</x:v>
      </x:c>
      <x:c r="P1088" s="18" t="str">
        <x:v>2026-07-25</x:v>
      </x:c>
      <x:c r="Q1088" s="36" t="n">
        <x:v>46228</x:v>
      </x:c>
    </x:row>
    <x:row r="1089">
      <x:c r="A1089" s="36" t="str">
        <x:v>2026-07-25</x:v>
      </x:c>
      <x:c r="B1089" s="18" t="str">
        <x:v>101437000_72541</x:v>
      </x:c>
      <x:c r="C1089" s="18" t="str">
        <x:v>【沪村小电】九干路1174弄充电站</x:v>
      </x:c>
      <x:c r="D1089" s="37" t="str">
        <x:v>2</x:v>
      </x:c>
      <x:c r="E1089" s="37" t="str">
        <x:v>0</x:v>
      </x:c>
      <x:c r="F1089" s="37" t="str">
        <x:v>39</x:v>
      </x:c>
      <x:c r="G1089" s="37" t="str">
        <x:v>867.88</x:v>
      </x:c>
      <x:c r="H1089" s="37" t="str">
        <x:v>0.00</x:v>
      </x:c>
      <x:c r="I1089" s="37" t="str">
        <x:v>642.07</x:v>
      </x:c>
      <x:c r="J1089" s="37" t="str">
        <x:v>0.00</x:v>
      </x:c>
      <x:c r="K1089" s="37" t="str">
        <x:v>225.81</x:v>
      </x:c>
      <x:c r="L1089" s="37" t="str">
        <x:v>1489</x:v>
      </x:c>
      <x:c r="M1089" s="29" t="str">
        <x:v>797.73</x:v>
      </x:c>
      <x:c r="N1089" s="29" t="str">
        <x:v>539.41</x:v>
      </x:c>
      <x:c r="O1089" s="29" t="str">
        <x:v>258.32</x:v>
      </x:c>
      <x:c r="P1089" s="18" t="str">
        <x:v>2026-07-25</x:v>
      </x:c>
      <x:c r="Q1089" s="36" t="n">
        <x:v>46228</x:v>
      </x:c>
    </x:row>
    <x:row r="1090">
      <x:c r="A1090" s="36" t="str">
        <x:v>2026-07-25</x:v>
      </x:c>
      <x:c r="B1090" s="18" t="str">
        <x:v>101437000_72543</x:v>
      </x:c>
      <x:c r="C1090" s="18" t="str">
        <x:v>【沪村小电】叶家中心村小区充电站</x:v>
      </x:c>
      <x:c r="D1090" s="37" t="str">
        <x:v>2</x:v>
      </x:c>
      <x:c r="E1090" s="37" t="str">
        <x:v>0</x:v>
      </x:c>
      <x:c r="F1090" s="37" t="str">
        <x:v>45</x:v>
      </x:c>
      <x:c r="G1090" s="37" t="str">
        <x:v>1081.04</x:v>
      </x:c>
      <x:c r="H1090" s="37" t="str">
        <x:v>0.00</x:v>
      </x:c>
      <x:c r="I1090" s="37" t="str">
        <x:v>524.44</x:v>
      </x:c>
      <x:c r="J1090" s="37" t="str">
        <x:v>0.00</x:v>
      </x:c>
      <x:c r="K1090" s="37" t="str">
        <x:v>556.60</x:v>
      </x:c>
      <x:c r="L1090" s="37" t="str">
        <x:v>1955</x:v>
      </x:c>
      <x:c r="M1090" s="29" t="str">
        <x:v>810.11</x:v>
      </x:c>
      <x:c r="N1090" s="29" t="str">
        <x:v>578.33</x:v>
      </x:c>
      <x:c r="O1090" s="29" t="str">
        <x:v>231.78</x:v>
      </x:c>
      <x:c r="P1090" s="18" t="str">
        <x:v>2026-07-25</x:v>
      </x:c>
      <x:c r="Q1090" s="36" t="n">
        <x:v>46228</x:v>
      </x:c>
    </x:row>
    <x:row r="1091">
      <x:c r="A1091" s="36" t="str">
        <x:v>2026-07-25</x:v>
      </x:c>
      <x:c r="B1091" s="18" t="str">
        <x:v>101437000_72937</x:v>
      </x:c>
      <x:c r="C1091" s="18" t="str">
        <x:v>【沪村小电】佘北家园茸腾苑充电站</x:v>
      </x:c>
      <x:c r="D1091" s="37" t="str">
        <x:v>4</x:v>
      </x:c>
      <x:c r="E1091" s="37" t="str">
        <x:v>0</x:v>
      </x:c>
      <x:c r="F1091" s="37" t="str">
        <x:v>17</x:v>
      </x:c>
      <x:c r="G1091" s="37" t="str">
        <x:v>378.31</x:v>
      </x:c>
      <x:c r="H1091" s="37" t="str">
        <x:v>0.00</x:v>
      </x:c>
      <x:c r="I1091" s="37" t="str">
        <x:v>378.31</x:v>
      </x:c>
      <x:c r="J1091" s="37" t="str">
        <x:v>0.00</x:v>
      </x:c>
      <x:c r="K1091" s="37" t="str">
        <x:v>0.00</x:v>
      </x:c>
      <x:c r="L1091" s="37" t="str">
        <x:v>612</x:v>
      </x:c>
      <x:c r="M1091" s="29" t="str">
        <x:v>369.83</x:v>
      </x:c>
      <x:c r="N1091" s="29" t="str">
        <x:v>268.60</x:v>
      </x:c>
      <x:c r="O1091" s="29" t="str">
        <x:v>101.23</x:v>
      </x:c>
      <x:c r="P1091" s="18" t="str">
        <x:v>2026-07-25</x:v>
      </x:c>
      <x:c r="Q1091" s="36" t="n">
        <x:v>46228</x:v>
      </x:c>
    </x:row>
    <x:row r="1092">
      <x:c r="A1092" s="36" t="str">
        <x:v>2026-07-25</x:v>
      </x:c>
      <x:c r="B1092" s="18" t="str">
        <x:v>101437000_74223</x:v>
      </x:c>
      <x:c r="C1092" s="18" t="str">
        <x:v>【沪村小电】中兴村委会充电站</x:v>
      </x:c>
      <x:c r="D1092" s="37" t="str">
        <x:v>2</x:v>
      </x:c>
      <x:c r="E1092" s="37" t="str">
        <x:v>0</x:v>
      </x:c>
      <x:c r="F1092" s="37" t="str">
        <x:v>25</x:v>
      </x:c>
      <x:c r="G1092" s="37" t="str">
        <x:v>618.91</x:v>
      </x:c>
      <x:c r="H1092" s="37" t="str">
        <x:v>0.00</x:v>
      </x:c>
      <x:c r="I1092" s="37" t="str">
        <x:v>441.40</x:v>
      </x:c>
      <x:c r="J1092" s="37" t="str">
        <x:v>0.00</x:v>
      </x:c>
      <x:c r="K1092" s="37" t="str">
        <x:v>177.51</x:v>
      </x:c>
      <x:c r="L1092" s="37" t="str">
        <x:v>889</x:v>
      </x:c>
      <x:c r="M1092" s="29" t="str">
        <x:v>581.00</x:v>
      </x:c>
      <x:c r="N1092" s="29" t="str">
        <x:v>379.06</x:v>
      </x:c>
      <x:c r="O1092" s="29" t="str">
        <x:v>201.94</x:v>
      </x:c>
      <x:c r="P1092" s="18" t="str">
        <x:v>2026-07-25</x:v>
      </x:c>
      <x:c r="Q1092" s="36" t="n">
        <x:v>46228</x:v>
      </x:c>
    </x:row>
    <x:row r="1093">
      <x:c r="A1093" s="36" t="str">
        <x:v>2026-07-25</x:v>
      </x:c>
      <x:c r="B1093" s="18" t="str">
        <x:v>101437000_74801</x:v>
      </x:c>
      <x:c r="C1093" s="18" t="str">
        <x:v>【沪村小电】申良花园充电站</x:v>
      </x:c>
      <x:c r="D1093" s="37" t="str">
        <x:v>4</x:v>
      </x:c>
      <x:c r="E1093" s="37" t="str">
        <x:v>0</x:v>
      </x:c>
      <x:c r="F1093" s="37" t="str">
        <x:v>1</x:v>
      </x:c>
      <x:c r="G1093" s="37" t="str">
        <x:v>8.73</x:v>
      </x:c>
      <x:c r="H1093" s="37" t="str">
        <x:v>0.00</x:v>
      </x:c>
      <x:c r="I1093" s="37" t="str">
        <x:v>8.73</x:v>
      </x:c>
      <x:c r="J1093" s="37" t="str">
        <x:v>0.00</x:v>
      </x:c>
      <x:c r="K1093" s="37" t="str">
        <x:v>0.00</x:v>
      </x:c>
      <x:c r="L1093" s="37" t="str">
        <x:v>10</x:v>
      </x:c>
      <x:c r="M1093" s="29" t="str">
        <x:v>10.39</x:v>
      </x:c>
      <x:c r="N1093" s="29" t="str">
        <x:v>6.20</x:v>
      </x:c>
      <x:c r="O1093" s="29" t="str">
        <x:v>4.19</x:v>
      </x:c>
      <x:c r="P1093" s="18" t="str">
        <x:v>2026-07-25</x:v>
      </x:c>
      <x:c r="Q1093" s="36" t="n">
        <x:v>46228</x:v>
      </x:c>
    </x:row>
    <x:row r="1094">
      <x:c r="A1094" s="36" t="str">
        <x:v>2026-07-25</x:v>
      </x:c>
      <x:c r="B1094" s="18" t="str">
        <x:v>101437000_74931</x:v>
      </x:c>
      <x:c r="C1094" s="18" t="str">
        <x:v>【沪村小电】枫雅南居充电站</x:v>
      </x:c>
      <x:c r="D1094" s="37" t="str">
        <x:v>2</x:v>
      </x:c>
      <x:c r="E1094" s="37" t="str">
        <x:v>0</x:v>
      </x:c>
      <x:c r="F1094" s="37" t="str">
        <x:v>74</x:v>
      </x:c>
      <x:c r="G1094" s="37" t="str">
        <x:v>2089.32</x:v>
      </x:c>
      <x:c r="H1094" s="37" t="str">
        <x:v>0.00</x:v>
      </x:c>
      <x:c r="I1094" s="37" t="str">
        <x:v>1028.19</x:v>
      </x:c>
      <x:c r="J1094" s="37" t="str">
        <x:v>0.00</x:v>
      </x:c>
      <x:c r="K1094" s="37" t="str">
        <x:v>1061.13</x:v>
      </x:c>
      <x:c r="L1094" s="37" t="str">
        <x:v>3012</x:v>
      </x:c>
      <x:c r="M1094" s="29" t="str">
        <x:v>1428.39</x:v>
      </x:c>
      <x:c r="N1094" s="29" t="str">
        <x:v>935.56</x:v>
      </x:c>
      <x:c r="O1094" s="29" t="str">
        <x:v>492.83</x:v>
      </x:c>
      <x:c r="P1094" s="18" t="str">
        <x:v>2026-07-25</x:v>
      </x:c>
      <x:c r="Q1094" s="36" t="n">
        <x:v>46228</x:v>
      </x:c>
    </x:row>
    <x:row r="1095">
      <x:c r="A1095" s="36" t="str">
        <x:v>2026-07-25</x:v>
      </x:c>
      <x:c r="B1095" s="18" t="str">
        <x:v>101437000_75901</x:v>
      </x:c>
      <x:c r="C1095" s="18" t="str">
        <x:v>【沪村小电】金悦学府</x:v>
      </x:c>
      <x:c r="D1095" s="37" t="str">
        <x:v>2</x:v>
      </x:c>
      <x:c r="E1095" s="37" t="str">
        <x:v>0</x:v>
      </x:c>
      <x:c r="F1095" s="37" t="str">
        <x:v>48</x:v>
      </x:c>
      <x:c r="G1095" s="37" t="str">
        <x:v>1393.74</x:v>
      </x:c>
      <x:c r="H1095" s="37" t="str">
        <x:v>0.00</x:v>
      </x:c>
      <x:c r="I1095" s="37" t="str">
        <x:v>749.57</x:v>
      </x:c>
      <x:c r="J1095" s="37" t="str">
        <x:v>0.00</x:v>
      </x:c>
      <x:c r="K1095" s="37" t="str">
        <x:v>644.18</x:v>
      </x:c>
      <x:c r="L1095" s="37" t="str">
        <x:v>2157</x:v>
      </x:c>
      <x:c r="M1095" s="29" t="str">
        <x:v>1078.81</x:v>
      </x:c>
      <x:c r="N1095" s="29" t="str">
        <x:v>641.91</x:v>
      </x:c>
      <x:c r="O1095" s="29" t="str">
        <x:v>436.90</x:v>
      </x:c>
      <x:c r="P1095" s="18" t="str">
        <x:v>2026-07-25</x:v>
      </x:c>
      <x:c r="Q1095" s="36" t="n">
        <x:v>46228</x:v>
      </x:c>
    </x:row>
    <x:row r="1096">
      <x:c r="A1096" s="36" t="str">
        <x:v>2026-07-25</x:v>
      </x:c>
      <x:c r="B1096" s="18" t="str">
        <x:v>101437000_76091</x:v>
      </x:c>
      <x:c r="C1096" s="18" t="str">
        <x:v>【沪村小电】恒信家园充电站</x:v>
      </x:c>
      <x:c r="D1096" s="37" t="str">
        <x:v>2</x:v>
      </x:c>
      <x:c r="E1096" s="37" t="str">
        <x:v>0</x:v>
      </x:c>
      <x:c r="F1096" s="37" t="str">
        <x:v>42</x:v>
      </x:c>
      <x:c r="G1096" s="37" t="str">
        <x:v>1047.42</x:v>
      </x:c>
      <x:c r="H1096" s="37" t="str">
        <x:v>0.00</x:v>
      </x:c>
      <x:c r="I1096" s="37" t="str">
        <x:v>694.23</x:v>
      </x:c>
      <x:c r="J1096" s="37" t="str">
        <x:v>0.00</x:v>
      </x:c>
      <x:c r="K1096" s="37" t="str">
        <x:v>353.19</x:v>
      </x:c>
      <x:c r="L1096" s="37" t="str">
        <x:v>1700</x:v>
      </x:c>
      <x:c r="M1096" s="29" t="str">
        <x:v>1054.66</x:v>
      </x:c>
      <x:c r="N1096" s="29" t="str">
        <x:v>623.61</x:v>
      </x:c>
      <x:c r="O1096" s="29" t="str">
        <x:v>431.05</x:v>
      </x:c>
      <x:c r="P1096" s="18" t="str">
        <x:v>2026-07-25</x:v>
      </x:c>
      <x:c r="Q1096" s="36" t="n">
        <x:v>46228</x:v>
      </x:c>
    </x:row>
    <x:row r="1097">
      <x:c r="A1097" s="36" t="str">
        <x:v>2026-07-25</x:v>
      </x:c>
      <x:c r="B1097" s="18" t="str">
        <x:v>101437000_76417</x:v>
      </x:c>
      <x:c r="C1097" s="18" t="str">
        <x:v>【沪村小电】新春一组充电站</x:v>
      </x:c>
      <x:c r="D1097" s="37" t="str">
        <x:v>2</x:v>
      </x:c>
      <x:c r="E1097" s="37" t="str">
        <x:v>0</x:v>
      </x:c>
      <x:c r="F1097" s="37" t="str">
        <x:v>31</x:v>
      </x:c>
      <x:c r="G1097" s="37" t="str">
        <x:v>963.27</x:v>
      </x:c>
      <x:c r="H1097" s="37" t="str">
        <x:v>0.00</x:v>
      </x:c>
      <x:c r="I1097" s="37" t="str">
        <x:v>434.47</x:v>
      </x:c>
      <x:c r="J1097" s="37" t="str">
        <x:v>0.00</x:v>
      </x:c>
      <x:c r="K1097" s="37" t="str">
        <x:v>528.81</x:v>
      </x:c>
      <x:c r="L1097" s="37" t="str">
        <x:v>1478</x:v>
      </x:c>
      <x:c r="M1097" s="29" t="str">
        <x:v>774.15</x:v>
      </x:c>
      <x:c r="N1097" s="29" t="str">
        <x:v>504.12</x:v>
      </x:c>
      <x:c r="O1097" s="29" t="str">
        <x:v>270.03</x:v>
      </x:c>
      <x:c r="P1097" s="18" t="str">
        <x:v>2026-07-25</x:v>
      </x:c>
      <x:c r="Q1097" s="36" t="n">
        <x:v>46228</x:v>
      </x:c>
    </x:row>
    <x:row r="1098">
      <x:c r="A1098" s="36" t="str">
        <x:v>2026-07-25</x:v>
      </x:c>
      <x:c r="B1098" s="18" t="str">
        <x:v>101437000_78235</x:v>
      </x:c>
      <x:c r="C1098" s="18" t="str">
        <x:v>【沪村小电】欣秋苑充电站</x:v>
      </x:c>
      <x:c r="D1098" s="37" t="str">
        <x:v>4</x:v>
      </x:c>
      <x:c r="E1098" s="37" t="str">
        <x:v>0</x:v>
      </x:c>
      <x:c r="F1098" s="37" t="str">
        <x:v>12</x:v>
      </x:c>
      <x:c r="G1098" s="37" t="str">
        <x:v>268.02</x:v>
      </x:c>
      <x:c r="H1098" s="37" t="str">
        <x:v>0.00</x:v>
      </x:c>
      <x:c r="I1098" s="37" t="str">
        <x:v>137.68</x:v>
      </x:c>
      <x:c r="J1098" s="37" t="str">
        <x:v>0.00</x:v>
      </x:c>
      <x:c r="K1098" s="37" t="str">
        <x:v>130.34</x:v>
      </x:c>
      <x:c r="L1098" s="37" t="str">
        <x:v>509</x:v>
      </x:c>
      <x:c r="M1098" s="29" t="str">
        <x:v>212.21</x:v>
      </x:c>
      <x:c r="N1098" s="29" t="str">
        <x:v>146.01</x:v>
      </x:c>
      <x:c r="O1098" s="29" t="str">
        <x:v>66.20</x:v>
      </x:c>
      <x:c r="P1098" s="18" t="str">
        <x:v>2026-07-25</x:v>
      </x:c>
      <x:c r="Q1098" s="36" t="n">
        <x:v>46228</x:v>
      </x:c>
    </x:row>
    <x:row r="1099">
      <x:c r="A1099" s="36" t="str">
        <x:v>2026-07-25</x:v>
      </x:c>
      <x:c r="B1099" s="18" t="str">
        <x:v>101437000_78237</x:v>
      </x:c>
      <x:c r="C1099" s="18" t="str">
        <x:v>【沪村小电】奉馨苑西门小区内北侧充电站</x:v>
      </x:c>
      <x:c r="D1099" s="37" t="str">
        <x:v>2</x:v>
      </x:c>
      <x:c r="E1099" s="37" t="str">
        <x:v>0</x:v>
      </x:c>
      <x:c r="F1099" s="37" t="str">
        <x:v>32</x:v>
      </x:c>
      <x:c r="G1099" s="37" t="str">
        <x:v>861.28</x:v>
      </x:c>
      <x:c r="H1099" s="37" t="str">
        <x:v>39.26</x:v>
      </x:c>
      <x:c r="I1099" s="37" t="str">
        <x:v>152.83</x:v>
      </x:c>
      <x:c r="J1099" s="37" t="str">
        <x:v>306.18</x:v>
      </x:c>
      <x:c r="K1099" s="37" t="str">
        <x:v>363.01</x:v>
      </x:c>
      <x:c r="L1099" s="37" t="str">
        <x:v>1154</x:v>
      </x:c>
      <x:c r="M1099" s="29" t="str">
        <x:v>742.16</x:v>
      </x:c>
      <x:c r="N1099" s="29" t="str">
        <x:v>584.19</x:v>
      </x:c>
      <x:c r="O1099" s="29" t="str">
        <x:v>157.97</x:v>
      </x:c>
      <x:c r="P1099" s="18" t="str">
        <x:v>2026-07-25</x:v>
      </x:c>
      <x:c r="Q1099" s="36" t="n">
        <x:v>46228</x:v>
      </x:c>
    </x:row>
    <x:row r="1100">
      <x:c r="A1100" s="36" t="str">
        <x:v>2026-07-25</x:v>
      </x:c>
      <x:c r="B1100" s="18" t="str">
        <x:v>101437000_78239</x:v>
      </x:c>
      <x:c r="C1100" s="18" t="str">
        <x:v>【沪村小电】恒大佘山首府东门充电站</x:v>
      </x:c>
      <x:c r="D1100" s="37" t="str">
        <x:v>2</x:v>
      </x:c>
      <x:c r="E1100" s="37" t="str">
        <x:v>0</x:v>
      </x:c>
      <x:c r="F1100" s="37" t="str">
        <x:v>38</x:v>
      </x:c>
      <x:c r="G1100" s="37" t="str">
        <x:v>931.89</x:v>
      </x:c>
      <x:c r="H1100" s="37" t="str">
        <x:v>0.00</x:v>
      </x:c>
      <x:c r="I1100" s="37" t="str">
        <x:v>523.90</x:v>
      </x:c>
      <x:c r="J1100" s="37" t="str">
        <x:v>0.00</x:v>
      </x:c>
      <x:c r="K1100" s="37" t="str">
        <x:v>407.99</x:v>
      </x:c>
      <x:c r="L1100" s="37" t="str">
        <x:v>1425</x:v>
      </x:c>
      <x:c r="M1100" s="29" t="str">
        <x:v>785.68</x:v>
      </x:c>
      <x:c r="N1100" s="29" t="str">
        <x:v>522.95</x:v>
      </x:c>
      <x:c r="O1100" s="29" t="str">
        <x:v>262.73</x:v>
      </x:c>
      <x:c r="P1100" s="18" t="str">
        <x:v>2026-07-25</x:v>
      </x:c>
      <x:c r="Q1100" s="36" t="n">
        <x:v>46228</x:v>
      </x:c>
    </x:row>
    <x:row r="1101">
      <x:c r="A1101" s="36" t="str">
        <x:v>2026-07-25</x:v>
      </x:c>
      <x:c r="B1101" s="18" t="str">
        <x:v>101437000_80823</x:v>
      </x:c>
      <x:c r="C1101" s="18" t="str">
        <x:v>【沪村小电】上湖轩充电站</x:v>
      </x:c>
      <x:c r="D1101" s="37" t="str">
        <x:v>2</x:v>
      </x:c>
      <x:c r="E1101" s="37" t="str">
        <x:v>0</x:v>
      </x:c>
      <x:c r="F1101" s="37" t="str">
        <x:v>1</x:v>
      </x:c>
      <x:c r="G1101" s="37" t="str">
        <x:v>61.40</x:v>
      </x:c>
      <x:c r="H1101" s="37" t="str">
        <x:v>0.00</x:v>
      </x:c>
      <x:c r="I1101" s="37" t="str">
        <x:v>0.00</x:v>
      </x:c>
      <x:c r="J1101" s="37" t="str">
        <x:v>61.40</x:v>
      </x:c>
      <x:c r="K1101" s="37" t="str">
        <x:v>0.00</x:v>
      </x:c>
      <x:c r="L1101" s="37" t="str">
        <x:v>40</x:v>
      </x:c>
      <x:c r="M1101" s="29" t="str">
        <x:v>58.33</x:v>
      </x:c>
      <x:c r="N1101" s="29" t="str">
        <x:v>50.35</x:v>
      </x:c>
      <x:c r="O1101" s="29" t="str">
        <x:v>7.98</x:v>
      </x:c>
      <x:c r="P1101" s="18" t="str">
        <x:v>2026-07-25</x:v>
      </x:c>
      <x:c r="Q1101" s="36" t="n">
        <x:v>46228</x:v>
      </x:c>
    </x:row>
    <x:row r="1102">
      <x:c r="A1102" s="36" t="str">
        <x:v>2026-07-25</x:v>
      </x:c>
      <x:c r="B1102" s="18" t="str">
        <x:v>101437000_83019</x:v>
      </x:c>
      <x:c r="C1102" s="18" t="str">
        <x:v>【沪村小电】首创禧瑞云启东区充电站</x:v>
      </x:c>
      <x:c r="D1102" s="37" t="str">
        <x:v>2</x:v>
      </x:c>
      <x:c r="E1102" s="37" t="str">
        <x:v>0</x:v>
      </x:c>
      <x:c r="F1102" s="37" t="str">
        <x:v>21</x:v>
      </x:c>
      <x:c r="G1102" s="37" t="str">
        <x:v>503.10</x:v>
      </x:c>
      <x:c r="H1102" s="37" t="str">
        <x:v>0.00</x:v>
      </x:c>
      <x:c r="I1102" s="37" t="str">
        <x:v>407.70</x:v>
      </x:c>
      <x:c r="J1102" s="37" t="str">
        <x:v>0.00</x:v>
      </x:c>
      <x:c r="K1102" s="37" t="str">
        <x:v>95.40</x:v>
      </x:c>
      <x:c r="L1102" s="37" t="str">
        <x:v>635</x:v>
      </x:c>
      <x:c r="M1102" s="29" t="str">
        <x:v>546.54</x:v>
      </x:c>
      <x:c r="N1102" s="29" t="str">
        <x:v>324.76</x:v>
      </x:c>
      <x:c r="O1102" s="29" t="str">
        <x:v>221.78</x:v>
      </x:c>
      <x:c r="P1102" s="18" t="str">
        <x:v>2026-07-25</x:v>
      </x:c>
      <x:c r="Q1102" s="36" t="n">
        <x:v>46228</x:v>
      </x:c>
    </x:row>
    <x:row r="1103">
      <x:c r="A1103" s="36" t="str">
        <x:v>2026-07-25</x:v>
      </x:c>
      <x:c r="B1103" s="18" t="str">
        <x:v>101437000_83093</x:v>
      </x:c>
      <x:c r="C1103" s="18" t="str">
        <x:v>【沪村小电】金茂未来时光里</x:v>
      </x:c>
      <x:c r="D1103" s="37" t="str">
        <x:v>2</x:v>
      </x:c>
      <x:c r="E1103" s="37" t="str">
        <x:v>0</x:v>
      </x:c>
      <x:c r="F1103" s="37" t="str">
        <x:v>70</x:v>
      </x:c>
      <x:c r="G1103" s="37" t="str">
        <x:v>2084.01</x:v>
      </x:c>
      <x:c r="H1103" s="37" t="str">
        <x:v>0.00</x:v>
      </x:c>
      <x:c r="I1103" s="37" t="str">
        <x:v>1138.76</x:v>
      </x:c>
      <x:c r="J1103" s="37" t="str">
        <x:v>0.00</x:v>
      </x:c>
      <x:c r="K1103" s="37" t="str">
        <x:v>945.25</x:v>
      </x:c>
      <x:c r="L1103" s="37" t="str">
        <x:v>3132</x:v>
      </x:c>
      <x:c r="M1103" s="29" t="str">
        <x:v>1510.41</x:v>
      </x:c>
      <x:c r="N1103" s="29" t="str">
        <x:v>964.90</x:v>
      </x:c>
      <x:c r="O1103" s="29" t="str">
        <x:v>545.51</x:v>
      </x:c>
      <x:c r="P1103" s="18" t="str">
        <x:v>2026-07-25</x:v>
      </x:c>
      <x:c r="Q1103" s="36" t="n">
        <x:v>46228</x:v>
      </x:c>
    </x:row>
    <x:row r="1104">
      <x:c r="A1104" s="36" t="str">
        <x:v>2026-07-25</x:v>
      </x:c>
      <x:c r="B1104" s="18" t="str">
        <x:v>101437000_83911</x:v>
      </x:c>
      <x:c r="C1104" s="18" t="str">
        <x:v>【沪村小电】金瀚园充电站</x:v>
      </x:c>
      <x:c r="D1104" s="37" t="str">
        <x:v>2</x:v>
      </x:c>
      <x:c r="E1104" s="37" t="str">
        <x:v>0</x:v>
      </x:c>
      <x:c r="F1104" s="37" t="str">
        <x:v>50</x:v>
      </x:c>
      <x:c r="G1104" s="37" t="str">
        <x:v>1296.60</x:v>
      </x:c>
      <x:c r="H1104" s="37" t="str">
        <x:v>0.00</x:v>
      </x:c>
      <x:c r="I1104" s="37" t="str">
        <x:v>682.11</x:v>
      </x:c>
      <x:c r="J1104" s="37" t="str">
        <x:v>0.00</x:v>
      </x:c>
      <x:c r="K1104" s="37" t="str">
        <x:v>614.48</x:v>
      </x:c>
      <x:c r="L1104" s="37" t="str">
        <x:v>1873</x:v>
      </x:c>
      <x:c r="M1104" s="29" t="str">
        <x:v>1062.90</x:v>
      </x:c>
      <x:c r="N1104" s="29" t="str">
        <x:v>711.69</x:v>
      </x:c>
      <x:c r="O1104" s="29" t="str">
        <x:v>351.21</x:v>
      </x:c>
      <x:c r="P1104" s="18" t="str">
        <x:v>2026-07-25</x:v>
      </x:c>
      <x:c r="Q1104" s="36" t="n">
        <x:v>46228</x:v>
      </x:c>
    </x:row>
    <x:row r="1105">
      <x:c r="A1105" s="36" t="str">
        <x:v>2026-07-25</x:v>
      </x:c>
      <x:c r="B1105" s="18" t="str">
        <x:v>101437000_83913</x:v>
      </x:c>
      <x:c r="C1105" s="18" t="str">
        <x:v>【沪村小电】新黎村充电站</x:v>
      </x:c>
      <x:c r="D1105" s="37" t="str">
        <x:v>2</x:v>
      </x:c>
      <x:c r="E1105" s="37" t="str">
        <x:v>0</x:v>
      </x:c>
      <x:c r="F1105" s="37" t="str">
        <x:v>60</x:v>
      </x:c>
      <x:c r="G1105" s="37" t="str">
        <x:v>1383.78</x:v>
      </x:c>
      <x:c r="H1105" s="37" t="str">
        <x:v>0.00</x:v>
      </x:c>
      <x:c r="I1105" s="37" t="str">
        <x:v>1114.94</x:v>
      </x:c>
      <x:c r="J1105" s="37" t="str">
        <x:v>0.00</x:v>
      </x:c>
      <x:c r="K1105" s="37" t="str">
        <x:v>268.84</x:v>
      </x:c>
      <x:c r="L1105" s="37" t="str">
        <x:v>2181</x:v>
      </x:c>
      <x:c r="M1105" s="29" t="str">
        <x:v>1286.03</x:v>
      </x:c>
      <x:c r="N1105" s="29" t="str">
        <x:v>891.09</x:v>
      </x:c>
      <x:c r="O1105" s="29" t="str">
        <x:v>394.94</x:v>
      </x:c>
      <x:c r="P1105" s="18" t="str">
        <x:v>2026-07-25</x:v>
      </x:c>
      <x:c r="Q1105" s="36" t="n">
        <x:v>46228</x:v>
      </x:c>
    </x:row>
    <x:row r="1106">
      <x:c r="A1106" s="36" t="str">
        <x:v>2026-07-25</x:v>
      </x:c>
      <x:c r="B1106" s="18" t="str">
        <x:v>101437000_83915</x:v>
      </x:c>
      <x:c r="C1106" s="18" t="str">
        <x:v>【沪村小电】长泰西郊别墅充电站</x:v>
      </x:c>
      <x:c r="D1106" s="37" t="str">
        <x:v>2</x:v>
      </x:c>
      <x:c r="E1106" s="37" t="str">
        <x:v>0</x:v>
      </x:c>
      <x:c r="F1106" s="37" t="str">
        <x:v>19</x:v>
      </x:c>
      <x:c r="G1106" s="37" t="str">
        <x:v>532.04</x:v>
      </x:c>
      <x:c r="H1106" s="37" t="str">
        <x:v>0.00</x:v>
      </x:c>
      <x:c r="I1106" s="37" t="str">
        <x:v>253.01</x:v>
      </x:c>
      <x:c r="J1106" s="37" t="str">
        <x:v>0.00</x:v>
      </x:c>
      <x:c r="K1106" s="37" t="str">
        <x:v>279.03</x:v>
      </x:c>
      <x:c r="L1106" s="37" t="str">
        <x:v>756</x:v>
      </x:c>
      <x:c r="M1106" s="29" t="str">
        <x:v>416.98</x:v>
      </x:c>
      <x:c r="N1106" s="29" t="str">
        <x:v>282.88</x:v>
      </x:c>
      <x:c r="O1106" s="29" t="str">
        <x:v>134.10</x:v>
      </x:c>
      <x:c r="P1106" s="18" t="str">
        <x:v>2026-07-25</x:v>
      </x:c>
      <x:c r="Q1106" s="36" t="n">
        <x:v>46228</x:v>
      </x:c>
    </x:row>
    <x:row r="1107">
      <x:c r="A1107" s="36" t="str">
        <x:v>2026-07-25</x:v>
      </x:c>
      <x:c r="B1107" s="18" t="str">
        <x:v>101437000_83917</x:v>
      </x:c>
      <x:c r="C1107" s="18" t="str">
        <x:v>【沪村小电】旭新华庭充电站</x:v>
      </x:c>
      <x:c r="D1107" s="37" t="str">
        <x:v>4</x:v>
      </x:c>
      <x:c r="E1107" s="37" t="str">
        <x:v>0</x:v>
      </x:c>
      <x:c r="F1107" s="37" t="str">
        <x:v>38</x:v>
      </x:c>
      <x:c r="G1107" s="37" t="str">
        <x:v>856.99</x:v>
      </x:c>
      <x:c r="H1107" s="37" t="str">
        <x:v>0.00</x:v>
      </x:c>
      <x:c r="I1107" s="37" t="str">
        <x:v>720.51</x:v>
      </x:c>
      <x:c r="J1107" s="37" t="str">
        <x:v>0.00</x:v>
      </x:c>
      <x:c r="K1107" s="37" t="str">
        <x:v>136.48</x:v>
      </x:c>
      <x:c r="L1107" s="37" t="str">
        <x:v>1215</x:v>
      </x:c>
      <x:c r="M1107" s="29" t="str">
        <x:v>956.18</x:v>
      </x:c>
      <x:c r="N1107" s="29" t="str">
        <x:v>562.06</x:v>
      </x:c>
      <x:c r="O1107" s="29" t="str">
        <x:v>394.12</x:v>
      </x:c>
      <x:c r="P1107" s="18" t="str">
        <x:v>2026-07-25</x:v>
      </x:c>
      <x:c r="Q1107" s="36" t="n">
        <x:v>46228</x:v>
      </x:c>
    </x:row>
    <x:row r="1108">
      <x:c r="A1108" s="36" t="str">
        <x:v>2026-07-25</x:v>
      </x:c>
      <x:c r="B1108" s="18" t="str">
        <x:v>101437000_83919</x:v>
      </x:c>
      <x:c r="C1108" s="18" t="str">
        <x:v>【沪村小电】浦锦名仕嘉园充电站</x:v>
      </x:c>
      <x:c r="D1108" s="37" t="str">
        <x:v>4</x:v>
      </x:c>
      <x:c r="E1108" s="37" t="str">
        <x:v>0</x:v>
      </x:c>
      <x:c r="F1108" s="37" t="str">
        <x:v>42</x:v>
      </x:c>
      <x:c r="G1108" s="37" t="str">
        <x:v>1189.41</x:v>
      </x:c>
      <x:c r="H1108" s="37" t="str">
        <x:v>0.00</x:v>
      </x:c>
      <x:c r="I1108" s="37" t="str">
        <x:v>0.00</x:v>
      </x:c>
      <x:c r="J1108" s="37" t="str">
        <x:v>1189.41</x:v>
      </x:c>
      <x:c r="K1108" s="37" t="str">
        <x:v>0.00</x:v>
      </x:c>
      <x:c r="L1108" s="37" t="str">
        <x:v>1765</x:v>
      </x:c>
      <x:c r="M1108" s="29" t="str">
        <x:v>1169.91</x:v>
      </x:c>
      <x:c r="N1108" s="29" t="str">
        <x:v>832.56</x:v>
      </x:c>
      <x:c r="O1108" s="29" t="str">
        <x:v>337.35</x:v>
      </x:c>
      <x:c r="P1108" s="18" t="str">
        <x:v>2026-07-25</x:v>
      </x:c>
      <x:c r="Q1108" s="36" t="n">
        <x:v>46228</x:v>
      </x:c>
    </x:row>
    <x:row r="1109">
      <x:c r="A1109" s="36" t="str">
        <x:v>2026-07-25</x:v>
      </x:c>
      <x:c r="B1109" s="18" t="str">
        <x:v>101437000_83921</x:v>
      </x:c>
      <x:c r="C1109" s="18" t="str">
        <x:v>【沪村小电】上海联怡枇杷乐园充电站（地库）</x:v>
      </x:c>
      <x:c r="D1109" s="37" t="str">
        <x:v>8</x:v>
      </x:c>
      <x:c r="E1109" s="37" t="str">
        <x:v>0</x:v>
      </x:c>
      <x:c r="F1109" s="37" t="str">
        <x:v>11</x:v>
      </x:c>
      <x:c r="G1109" s="37" t="str">
        <x:v>308.91</x:v>
      </x:c>
      <x:c r="H1109" s="37" t="str">
        <x:v>0.00</x:v>
      </x:c>
      <x:c r="I1109" s="37" t="str">
        <x:v>27.40</x:v>
      </x:c>
      <x:c r="J1109" s="37" t="str">
        <x:v>0.00</x:v>
      </x:c>
      <x:c r="K1109" s="37" t="str">
        <x:v>281.51</x:v>
      </x:c>
      <x:c r="L1109" s="37" t="str">
        <x:v>533</x:v>
      </x:c>
      <x:c r="M1109" s="29" t="str">
        <x:v>185.09</x:v>
      </x:c>
      <x:c r="N1109" s="29" t="str">
        <x:v>154.14</x:v>
      </x:c>
      <x:c r="O1109" s="29" t="str">
        <x:v>30.95</x:v>
      </x:c>
      <x:c r="P1109" s="18" t="str">
        <x:v>2026-07-25</x:v>
      </x:c>
      <x:c r="Q1109" s="36" t="n">
        <x:v>46228</x:v>
      </x:c>
    </x:row>
    <x:row r="1110">
      <x:c r="A1110" s="36" t="str">
        <x:v>2026-07-25</x:v>
      </x:c>
      <x:c r="B1110" s="18" t="str">
        <x:v>101437000_83923</x:v>
      </x:c>
      <x:c r="C1110" s="18" t="str">
        <x:v>【沪村小电】明珠新苑充电站</x:v>
      </x:c>
      <x:c r="D1110" s="37" t="str">
        <x:v>2</x:v>
      </x:c>
      <x:c r="E1110" s="37" t="str">
        <x:v>0</x:v>
      </x:c>
      <x:c r="F1110" s="37" t="str">
        <x:v>32</x:v>
      </x:c>
      <x:c r="G1110" s="37" t="str">
        <x:v>781.40</x:v>
      </x:c>
      <x:c r="H1110" s="37" t="str">
        <x:v>0.00</x:v>
      </x:c>
      <x:c r="I1110" s="37" t="str">
        <x:v>454.71</x:v>
      </x:c>
      <x:c r="J1110" s="37" t="str">
        <x:v>0.00</x:v>
      </x:c>
      <x:c r="K1110" s="37" t="str">
        <x:v>326.69</x:v>
      </x:c>
      <x:c r="L1110" s="37" t="str">
        <x:v>1053</x:v>
      </x:c>
      <x:c r="M1110" s="29" t="str">
        <x:v>693.09</x:v>
      </x:c>
      <x:c r="N1110" s="29" t="str">
        <x:v>443.71</x:v>
      </x:c>
      <x:c r="O1110" s="29" t="str">
        <x:v>249.38</x:v>
      </x:c>
      <x:c r="P1110" s="18" t="str">
        <x:v>2026-07-25</x:v>
      </x:c>
      <x:c r="Q1110" s="36" t="n">
        <x:v>46228</x:v>
      </x:c>
    </x:row>
    <x:row r="1111">
      <x:c r="A1111" s="36" t="str">
        <x:v>2026-07-25</x:v>
      </x:c>
      <x:c r="B1111" s="18" t="str">
        <x:v>101437000_84289</x:v>
      </x:c>
      <x:c r="C1111" s="18" t="str">
        <x:v>【沪村小电】铁建芳华苑充电站</x:v>
      </x:c>
      <x:c r="D1111" s="37" t="str">
        <x:v>4</x:v>
      </x:c>
      <x:c r="E1111" s="37" t="str">
        <x:v>0</x:v>
      </x:c>
      <x:c r="F1111" s="37" t="str">
        <x:v>57</x:v>
      </x:c>
      <x:c r="G1111" s="37" t="str">
        <x:v>1377.62</x:v>
      </x:c>
      <x:c r="H1111" s="37" t="str">
        <x:v>0.00</x:v>
      </x:c>
      <x:c r="I1111" s="37" t="str">
        <x:v>876.15</x:v>
      </x:c>
      <x:c r="J1111" s="37" t="str">
        <x:v>0.00</x:v>
      </x:c>
      <x:c r="K1111" s="37" t="str">
        <x:v>501.48</x:v>
      </x:c>
      <x:c r="L1111" s="37" t="str">
        <x:v>1976</x:v>
      </x:c>
      <x:c r="M1111" s="29" t="str">
        <x:v>1287.12</x:v>
      </x:c>
      <x:c r="N1111" s="29" t="str">
        <x:v>807.61</x:v>
      </x:c>
      <x:c r="O1111" s="29" t="str">
        <x:v>479.51</x:v>
      </x:c>
      <x:c r="P1111" s="18" t="str">
        <x:v>2026-07-25</x:v>
      </x:c>
      <x:c r="Q1111" s="36" t="n">
        <x:v>46228</x:v>
      </x:c>
    </x:row>
    <x:row r="1112">
      <x:c r="A1112" s="36" t="str">
        <x:v>2026-07-25</x:v>
      </x:c>
      <x:c r="B1112" s="18" t="str">
        <x:v>101437000_86379</x:v>
      </x:c>
      <x:c r="C1112" s="18" t="str">
        <x:v>【沪村小电】新宝社区充电站</x:v>
      </x:c>
      <x:c r="D1112" s="37" t="str">
        <x:v>4</x:v>
      </x:c>
      <x:c r="E1112" s="37" t="str">
        <x:v>0</x:v>
      </x:c>
      <x:c r="F1112" s="37" t="str">
        <x:v>29</x:v>
      </x:c>
      <x:c r="G1112" s="37" t="str">
        <x:v>562.95</x:v>
      </x:c>
      <x:c r="H1112" s="37" t="str">
        <x:v>0.00</x:v>
      </x:c>
      <x:c r="I1112" s="37" t="str">
        <x:v>219.10</x:v>
      </x:c>
      <x:c r="J1112" s="37" t="str">
        <x:v>0.00</x:v>
      </x:c>
      <x:c r="K1112" s="37" t="str">
        <x:v>343.85</x:v>
      </x:c>
      <x:c r="L1112" s="37" t="str">
        <x:v>993</x:v>
      </x:c>
      <x:c r="M1112" s="29" t="str">
        <x:v>420.95</x:v>
      </x:c>
      <x:c r="N1112" s="29" t="str">
        <x:v>282.78</x:v>
      </x:c>
      <x:c r="O1112" s="29" t="str">
        <x:v>138.17</x:v>
      </x:c>
      <x:c r="P1112" s="18" t="str">
        <x:v>2026-07-25</x:v>
      </x:c>
      <x:c r="Q1112" s="36" t="n">
        <x:v>46228</x:v>
      </x:c>
    </x:row>
    <x:row r="1113">
      <x:c r="A1113" s="36" t="str">
        <x:v>2026-07-25</x:v>
      </x:c>
      <x:c r="B1113" s="18" t="str">
        <x:v>101437000_89441</x:v>
      </x:c>
      <x:c r="C1113" s="18" t="str">
        <x:v>【沪村小电】首创禧瑞云启西区充电站</x:v>
      </x:c>
      <x:c r="D1113" s="37" t="str">
        <x:v>2</x:v>
      </x:c>
      <x:c r="E1113" s="37" t="str">
        <x:v>0</x:v>
      </x:c>
      <x:c r="F1113" s="37" t="str">
        <x:v>29</x:v>
      </x:c>
      <x:c r="G1113" s="37" t="str">
        <x:v>757.04</x:v>
      </x:c>
      <x:c r="H1113" s="37" t="str">
        <x:v>0.00</x:v>
      </x:c>
      <x:c r="I1113" s="37" t="str">
        <x:v>592.69</x:v>
      </x:c>
      <x:c r="J1113" s="37" t="str">
        <x:v>0.00</x:v>
      </x:c>
      <x:c r="K1113" s="37" t="str">
        <x:v>164.36</x:v>
      </x:c>
      <x:c r="L1113" s="37" t="str">
        <x:v>946</x:v>
      </x:c>
      <x:c r="M1113" s="29" t="str">
        <x:v>815.46</x:v>
      </x:c>
      <x:c r="N1113" s="29" t="str">
        <x:v>481.62</x:v>
      </x:c>
      <x:c r="O1113" s="29" t="str">
        <x:v>333.84</x:v>
      </x:c>
      <x:c r="P1113" s="18" t="str">
        <x:v>2026-07-25</x:v>
      </x:c>
      <x:c r="Q1113" s="36" t="n">
        <x:v>46228</x:v>
      </x:c>
    </x:row>
    <x:row r="1114">
      <x:c r="A1114" s="36" t="str">
        <x:v>2026-07-25</x:v>
      </x:c>
      <x:c r="B1114" s="18" t="str">
        <x:v>101437000_89443</x:v>
      </x:c>
      <x:c r="C1114" s="18" t="str">
        <x:v>【沪村小电】玉兰清苑二期充电站</x:v>
      </x:c>
      <x:c r="D1114" s="37" t="str">
        <x:v>2</x:v>
      </x:c>
      <x:c r="E1114" s="37" t="str">
        <x:v>0</x:v>
      </x:c>
      <x:c r="F1114" s="37" t="str">
        <x:v>35</x:v>
      </x:c>
      <x:c r="G1114" s="37" t="str">
        <x:v>825.35</x:v>
      </x:c>
      <x:c r="H1114" s="37" t="str">
        <x:v>0.00</x:v>
      </x:c>
      <x:c r="I1114" s="37" t="str">
        <x:v>561.05</x:v>
      </x:c>
      <x:c r="J1114" s="37" t="str">
        <x:v>0.00</x:v>
      </x:c>
      <x:c r="K1114" s="37" t="str">
        <x:v>264.30</x:v>
      </x:c>
      <x:c r="L1114" s="37" t="str">
        <x:v>1093</x:v>
      </x:c>
      <x:c r="M1114" s="29" t="str">
        <x:v>724.86</x:v>
      </x:c>
      <x:c r="N1114" s="29" t="str">
        <x:v>496.15</x:v>
      </x:c>
      <x:c r="O1114" s="29" t="str">
        <x:v>228.71</x:v>
      </x:c>
      <x:c r="P1114" s="18" t="str">
        <x:v>2026-07-25</x:v>
      </x:c>
      <x:c r="Q1114" s="36" t="n">
        <x:v>46228</x:v>
      </x:c>
    </x:row>
    <x:row r="1115">
      <x:c r="A1115" s="36" t="str">
        <x:v>2026-07-25</x:v>
      </x:c>
      <x:c r="B1115" s="18" t="str">
        <x:v>101437000_93115</x:v>
      </x:c>
      <x:c r="C1115" s="18" t="str">
        <x:v>【沪村小电】新南家园西北门</x:v>
      </x:c>
      <x:c r="D1115" s="37" t="str">
        <x:v>2</x:v>
      </x:c>
      <x:c r="E1115" s="37" t="str">
        <x:v>0</x:v>
      </x:c>
      <x:c r="F1115" s="37" t="str">
        <x:v>21</x:v>
      </x:c>
      <x:c r="G1115" s="37" t="str">
        <x:v>619.17</x:v>
      </x:c>
      <x:c r="H1115" s="37" t="str">
        <x:v>0.00</x:v>
      </x:c>
      <x:c r="I1115" s="37" t="str">
        <x:v>275.26</x:v>
      </x:c>
      <x:c r="J1115" s="37" t="str">
        <x:v>0.00</x:v>
      </x:c>
      <x:c r="K1115" s="37" t="str">
        <x:v>343.91</x:v>
      </x:c>
      <x:c r="L1115" s="37" t="str">
        <x:v>974</x:v>
      </x:c>
      <x:c r="M1115" s="29" t="str">
        <x:v>512.12</x:v>
      </x:c>
      <x:c r="N1115" s="29" t="str">
        <x:v>322.69</x:v>
      </x:c>
      <x:c r="O1115" s="29" t="str">
        <x:v>189.43</x:v>
      </x:c>
      <x:c r="P1115" s="18" t="str">
        <x:v>2026-07-25</x:v>
      </x:c>
      <x:c r="Q1115" s="36" t="n">
        <x:v>46228</x:v>
      </x:c>
    </x:row>
    <x:row r="1116">
      <x:c r="A1116" s="36" t="str">
        <x:v>2026-07-25</x:v>
      </x:c>
      <x:c r="B1116" s="18" t="str">
        <x:v>101437000_94649</x:v>
      </x:c>
      <x:c r="C1116" s="18" t="str">
        <x:v>【沪村小电】浪琴水岸花园</x:v>
      </x:c>
      <x:c r="D1116" s="37" t="str">
        <x:v>4</x:v>
      </x:c>
      <x:c r="E1116" s="37" t="str">
        <x:v>0</x:v>
      </x:c>
      <x:c r="F1116" s="37" t="str">
        <x:v>30</x:v>
      </x:c>
      <x:c r="G1116" s="37" t="str">
        <x:v>780.54</x:v>
      </x:c>
      <x:c r="H1116" s="37" t="str">
        <x:v>0.00</x:v>
      </x:c>
      <x:c r="I1116" s="37" t="str">
        <x:v>449.51</x:v>
      </x:c>
      <x:c r="J1116" s="37" t="str">
        <x:v>0.00</x:v>
      </x:c>
      <x:c r="K1116" s="37" t="str">
        <x:v>331.03</x:v>
      </x:c>
      <x:c r="L1116" s="37" t="str">
        <x:v>1346</x:v>
      </x:c>
      <x:c r="M1116" s="29" t="str">
        <x:v>651.83</x:v>
      </x:c>
      <x:c r="N1116" s="29" t="str">
        <x:v>474.73</x:v>
      </x:c>
      <x:c r="O1116" s="29" t="str">
        <x:v>177.10</x:v>
      </x:c>
      <x:c r="P1116" s="18" t="str">
        <x:v>2026-07-25</x:v>
      </x:c>
      <x:c r="Q1116" s="36" t="n">
        <x:v>46228</x:v>
      </x:c>
    </x:row>
    <x:row r="1117">
      <x:c r="A1117" s="36" t="str">
        <x:v>2026-07-25</x:v>
      </x:c>
      <x:c r="B1117" s="18" t="str">
        <x:v>101437000_95077</x:v>
      </x:c>
      <x:c r="C1117" s="18" t="str">
        <x:v>【沪村小电】民乐城惠益绿苑255弄充电站</x:v>
      </x:c>
      <x:c r="D1117" s="37" t="str">
        <x:v>2</x:v>
      </x:c>
      <x:c r="E1117" s="37" t="str">
        <x:v>0</x:v>
      </x:c>
      <x:c r="F1117" s="37" t="str">
        <x:v>18</x:v>
      </x:c>
      <x:c r="G1117" s="37" t="str">
        <x:v>483.46</x:v>
      </x:c>
      <x:c r="H1117" s="37" t="str">
        <x:v>0.00</x:v>
      </x:c>
      <x:c r="I1117" s="37" t="str">
        <x:v>188.36</x:v>
      </x:c>
      <x:c r="J1117" s="37" t="str">
        <x:v>0.00</x:v>
      </x:c>
      <x:c r="K1117" s="37" t="str">
        <x:v>295.10</x:v>
      </x:c>
      <x:c r="L1117" s="37" t="str">
        <x:v>681</x:v>
      </x:c>
      <x:c r="M1117" s="29" t="str">
        <x:v>379.36</x:v>
      </x:c>
      <x:c r="N1117" s="29" t="str">
        <x:v>242.94</x:v>
      </x:c>
      <x:c r="O1117" s="29" t="str">
        <x:v>136.42</x:v>
      </x:c>
      <x:c r="P1117" s="18" t="str">
        <x:v>2026-07-25</x:v>
      </x:c>
      <x:c r="Q1117" s="36" t="n">
        <x:v>46228</x:v>
      </x:c>
    </x:row>
    <x:row r="1118">
      <x:c r="A1118" s="36" t="str">
        <x:v>2026-07-25</x:v>
      </x:c>
      <x:c r="B1118" s="18" t="str">
        <x:v>101437000_95079</x:v>
      </x:c>
      <x:c r="C1118" s="18" t="str">
        <x:v>【沪村小电】民乐城惠益绿苑东苑充电站</x:v>
      </x:c>
      <x:c r="D1118" s="37" t="str">
        <x:v>2</x:v>
      </x:c>
      <x:c r="E1118" s="37" t="str">
        <x:v>0</x:v>
      </x:c>
      <x:c r="F1118" s="37" t="str">
        <x:v>23</x:v>
      </x:c>
      <x:c r="G1118" s="37" t="str">
        <x:v>474.24</x:v>
      </x:c>
      <x:c r="H1118" s="37" t="str">
        <x:v>0.00</x:v>
      </x:c>
      <x:c r="I1118" s="37" t="str">
        <x:v>418.33</x:v>
      </x:c>
      <x:c r="J1118" s="37" t="str">
        <x:v>0.00</x:v>
      </x:c>
      <x:c r="K1118" s="37" t="str">
        <x:v>55.91</x:v>
      </x:c>
      <x:c r="L1118" s="37" t="str">
        <x:v>706</x:v>
      </x:c>
      <x:c r="M1118" s="29" t="str">
        <x:v>430.16</x:v>
      </x:c>
      <x:c r="N1118" s="29" t="str">
        <x:v>317.68</x:v>
      </x:c>
      <x:c r="O1118" s="29" t="str">
        <x:v>112.48</x:v>
      </x:c>
      <x:c r="P1118" s="18" t="str">
        <x:v>2026-07-25</x:v>
      </x:c>
      <x:c r="Q1118" s="36" t="n">
        <x:v>46228</x:v>
      </x:c>
    </x:row>
    <x:row r="1119">
      <x:c r="A1119" s="36" t="str">
        <x:v>2026-07-25</x:v>
      </x:c>
      <x:c r="B1119" s="18" t="str">
        <x:v>101437000_95081</x:v>
      </x:c>
      <x:c r="C1119" s="18" t="str">
        <x:v>【沪村小电】民乐城惠益绿苑西苑充电站</x:v>
      </x:c>
      <x:c r="D1119" s="37" t="str">
        <x:v>2</x:v>
      </x:c>
      <x:c r="E1119" s="37" t="str">
        <x:v>0</x:v>
      </x:c>
      <x:c r="F1119" s="37" t="str">
        <x:v>6</x:v>
      </x:c>
      <x:c r="G1119" s="37" t="str">
        <x:v>129.00</x:v>
      </x:c>
      <x:c r="H1119" s="37" t="str">
        <x:v>0.00</x:v>
      </x:c>
      <x:c r="I1119" s="37" t="str">
        <x:v>87.69</x:v>
      </x:c>
      <x:c r="J1119" s="37" t="str">
        <x:v>0.00</x:v>
      </x:c>
      <x:c r="K1119" s="37" t="str">
        <x:v>41.32</x:v>
      </x:c>
      <x:c r="L1119" s="37" t="str">
        <x:v>222</x:v>
      </x:c>
      <x:c r="M1119" s="29" t="str">
        <x:v>102.16</x:v>
      </x:c>
      <x:c r="N1119" s="29" t="str">
        <x:v>77.54</x:v>
      </x:c>
      <x:c r="O1119" s="29" t="str">
        <x:v>24.62</x:v>
      </x:c>
      <x:c r="P1119" s="18" t="str">
        <x:v>2026-07-25</x:v>
      </x:c>
      <x:c r="Q1119" s="36" t="n">
        <x:v>46228</x:v>
      </x:c>
    </x:row>
    <x:row r="1120">
      <x:c r="A1120" s="36" t="str">
        <x:v>2026-07-25</x:v>
      </x:c>
      <x:c r="B1120" s="18" t="str">
        <x:v>101437000_95941</x:v>
      </x:c>
      <x:c r="C1120" s="18" t="str">
        <x:v>【沪村小电】惠诚雅苑</x:v>
      </x:c>
      <x:c r="D1120" s="37" t="str">
        <x:v>4</x:v>
      </x:c>
      <x:c r="E1120" s="37" t="str">
        <x:v>0</x:v>
      </x:c>
      <x:c r="F1120" s="37" t="str">
        <x:v>52</x:v>
      </x:c>
      <x:c r="G1120" s="37" t="str">
        <x:v>1287.36</x:v>
      </x:c>
      <x:c r="H1120" s="37" t="str">
        <x:v>0.00</x:v>
      </x:c>
      <x:c r="I1120" s="37" t="str">
        <x:v>618.57</x:v>
      </x:c>
      <x:c r="J1120" s="37" t="str">
        <x:v>0.00</x:v>
      </x:c>
      <x:c r="K1120" s="37" t="str">
        <x:v>668.79</x:v>
      </x:c>
      <x:c r="L1120" s="37" t="str">
        <x:v>2132</x:v>
      </x:c>
      <x:c r="M1120" s="29" t="str">
        <x:v>871.17</x:v>
      </x:c>
      <x:c r="N1120" s="29" t="str">
        <x:v>572.26</x:v>
      </x:c>
      <x:c r="O1120" s="29" t="str">
        <x:v>298.91</x:v>
      </x:c>
      <x:c r="P1120" s="18" t="str">
        <x:v>2026-07-25</x:v>
      </x:c>
      <x:c r="Q1120" s="36" t="n">
        <x:v>46228</x:v>
      </x:c>
    </x:row>
    <x:row r="1121">
      <x:c r="A1121" s="36" t="str">
        <x:v>2026-07-25</x:v>
      </x:c>
      <x:c r="B1121" s="18" t="str">
        <x:v>101437000_96401</x:v>
      </x:c>
      <x:c r="C1121" s="18" t="str">
        <x:v>【沪村小电】上海联怡枇杷乐园地面站</x:v>
      </x:c>
      <x:c r="D1121" s="37" t="str">
        <x:v>2</x:v>
      </x:c>
      <x:c r="E1121" s="37" t="str">
        <x:v>0</x:v>
      </x:c>
      <x:c r="F1121" s="37" t="str">
        <x:v>13</x:v>
      </x:c>
      <x:c r="G1121" s="37" t="str">
        <x:v>348.50</x:v>
      </x:c>
      <x:c r="H1121" s="37" t="str">
        <x:v>0.00</x:v>
      </x:c>
      <x:c r="I1121" s="37" t="str">
        <x:v>256.19</x:v>
      </x:c>
      <x:c r="J1121" s="37" t="str">
        <x:v>0.00</x:v>
      </x:c>
      <x:c r="K1121" s="37" t="str">
        <x:v>92.32</x:v>
      </x:c>
      <x:c r="L1121" s="37" t="str">
        <x:v>477</x:v>
      </x:c>
      <x:c r="M1121" s="29" t="str">
        <x:v>402.38</x:v>
      </x:c>
      <x:c r="N1121" s="29" t="str">
        <x:v>273.04</x:v>
      </x:c>
      <x:c r="O1121" s="29" t="str">
        <x:v>129.34</x:v>
      </x:c>
      <x:c r="P1121" s="18" t="str">
        <x:v>2026-07-25</x:v>
      </x:c>
      <x:c r="Q1121" s="36" t="n">
        <x:v>46228</x:v>
      </x:c>
    </x:row>
    <x:row r="1122">
      <x:c r="A1122" s="36" t="str">
        <x:v>2026-07-25</x:v>
      </x:c>
      <x:c r="B1122" s="18" t="str">
        <x:v>101437000_96719</x:v>
      </x:c>
      <x:c r="C1122" s="18" t="str">
        <x:v>【沪村小电】四达路220弄充电站</x:v>
      </x:c>
      <x:c r="D1122" s="37" t="str">
        <x:v>2</x:v>
      </x:c>
      <x:c r="E1122" s="37" t="str">
        <x:v>0</x:v>
      </x:c>
      <x:c r="F1122" s="37" t="str">
        <x:v>2</x:v>
      </x:c>
      <x:c r="G1122" s="37" t="str">
        <x:v>36.71</x:v>
      </x:c>
      <x:c r="H1122" s="37" t="str">
        <x:v>0.00</x:v>
      </x:c>
      <x:c r="I1122" s="37" t="str">
        <x:v>13.54</x:v>
      </x:c>
      <x:c r="J1122" s="37" t="str">
        <x:v>0.00</x:v>
      </x:c>
      <x:c r="K1122" s="37" t="str">
        <x:v>23.17</x:v>
      </x:c>
      <x:c r="L1122" s="37" t="str">
        <x:v>61</x:v>
      </x:c>
      <x:c r="M1122" s="29" t="str">
        <x:v>33.52</x:v>
      </x:c>
      <x:c r="N1122" s="29" t="str">
        <x:v>18.18</x:v>
      </x:c>
      <x:c r="O1122" s="29" t="str">
        <x:v>15.34</x:v>
      </x:c>
      <x:c r="P1122" s="18" t="str">
        <x:v>2026-07-25</x:v>
      </x:c>
      <x:c r="Q1122" s="36" t="n">
        <x:v>46228</x:v>
      </x:c>
    </x:row>
    <x:row r="1123">
      <x:c r="A1123" s="36" t="str">
        <x:v>2026-07-25</x:v>
      </x:c>
      <x:c r="B1123" s="18" t="str">
        <x:v>101437000_97421</x:v>
      </x:c>
      <x:c r="C1123" s="18" t="str">
        <x:v>【沪村小电】玉兰清苑二期（小区外）充电站</x:v>
      </x:c>
      <x:c r="D1123" s="37" t="str">
        <x:v>4</x:v>
      </x:c>
      <x:c r="E1123" s="37" t="str">
        <x:v>0</x:v>
      </x:c>
      <x:c r="F1123" s="37" t="str">
        <x:v>52</x:v>
      </x:c>
      <x:c r="G1123" s="37" t="str">
        <x:v>1227.76</x:v>
      </x:c>
      <x:c r="H1123" s="37" t="str">
        <x:v>0.00</x:v>
      </x:c>
      <x:c r="I1123" s="37" t="str">
        <x:v>837.36</x:v>
      </x:c>
      <x:c r="J1123" s="37" t="str">
        <x:v>0.00</x:v>
      </x:c>
      <x:c r="K1123" s="37" t="str">
        <x:v>390.41</x:v>
      </x:c>
      <x:c r="L1123" s="37" t="str">
        <x:v>2092</x:v>
      </x:c>
      <x:c r="M1123" s="29" t="str">
        <x:v>1071.25</x:v>
      </x:c>
      <x:c r="N1123" s="29" t="str">
        <x:v>738.96</x:v>
      </x:c>
      <x:c r="O1123" s="29" t="str">
        <x:v>332.29</x:v>
      </x:c>
      <x:c r="P1123" s="18" t="str">
        <x:v>2026-07-25</x:v>
      </x:c>
      <x:c r="Q1123" s="36" t="n">
        <x:v>46228</x:v>
      </x:c>
    </x:row>
    <x:row r="1124">
      <x:c r="A1124" s="36" t="str">
        <x:v>2026-07-25</x:v>
      </x:c>
      <x:c r="B1124" s="18" t="str">
        <x:v>101437000_98013</x:v>
      </x:c>
      <x:c r="C1124" s="18" t="str">
        <x:v>【沪村小电】恒大滨江华府充电站</x:v>
      </x:c>
      <x:c r="D1124" s="37" t="str">
        <x:v>4</x:v>
      </x:c>
      <x:c r="E1124" s="37" t="str">
        <x:v>0</x:v>
      </x:c>
      <x:c r="F1124" s="37" t="str">
        <x:v>36</x:v>
      </x:c>
      <x:c r="G1124" s="37" t="str">
        <x:v>936.89</x:v>
      </x:c>
      <x:c r="H1124" s="37" t="str">
        <x:v>0.00</x:v>
      </x:c>
      <x:c r="I1124" s="37" t="str">
        <x:v>697.59</x:v>
      </x:c>
      <x:c r="J1124" s="37" t="str">
        <x:v>0.00</x:v>
      </x:c>
      <x:c r="K1124" s="37" t="str">
        <x:v>239.30</x:v>
      </x:c>
      <x:c r="L1124" s="37" t="str">
        <x:v>1391</x:v>
      </x:c>
      <x:c r="M1124" s="29" t="str">
        <x:v>937.29</x:v>
      </x:c>
      <x:c r="N1124" s="29" t="str">
        <x:v>737.94</x:v>
      </x:c>
      <x:c r="O1124" s="29" t="str">
        <x:v>199.35</x:v>
      </x:c>
      <x:c r="P1124" s="18" t="str">
        <x:v>2026-07-25</x:v>
      </x:c>
      <x:c r="Q1124" s="36" t="n">
        <x:v>46228</x:v>
      </x:c>
    </x:row>
    <x:row r="1125">
      <x:c r="A1125" s="36" t="str">
        <x:v>2026-07-25</x:v>
      </x:c>
      <x:c r="B1125" s="18" t="str">
        <x:v>101437000_98863</x:v>
      </x:c>
      <x:c r="C1125" s="18" t="str">
        <x:v>【沪村小电】欣菊苑充电站</x:v>
      </x:c>
      <x:c r="D1125" s="37" t="str">
        <x:v>4</x:v>
      </x:c>
      <x:c r="E1125" s="37" t="str">
        <x:v>0</x:v>
      </x:c>
      <x:c r="F1125" s="37" t="str">
        <x:v>7</x:v>
      </x:c>
      <x:c r="G1125" s="37" t="str">
        <x:v>182.02</x:v>
      </x:c>
      <x:c r="H1125" s="37" t="str">
        <x:v>0.00</x:v>
      </x:c>
      <x:c r="I1125" s="37" t="str">
        <x:v>182.02</x:v>
      </x:c>
      <x:c r="J1125" s="37" t="str">
        <x:v>0.00</x:v>
      </x:c>
      <x:c r="K1125" s="37" t="str">
        <x:v>0.00</x:v>
      </x:c>
      <x:c r="L1125" s="37" t="str">
        <x:v>197</x:v>
      </x:c>
      <x:c r="M1125" s="29" t="str">
        <x:v>197.24</x:v>
      </x:c>
      <x:c r="N1125" s="29" t="str">
        <x:v>129.22</x:v>
      </x:c>
      <x:c r="O1125" s="29" t="str">
        <x:v>68.02</x:v>
      </x:c>
      <x:c r="P1125" s="18" t="str">
        <x:v>2026-07-25</x:v>
      </x:c>
      <x:c r="Q1125" s="36" t="n">
        <x:v>46228</x:v>
      </x:c>
    </x:row>
    <x:row r="1126">
      <x:c r="A1126" s="36" t="str">
        <x:v>2026-07-25</x:v>
      </x:c>
      <x:c r="B1126" s="18" t="str">
        <x:v>101437000_98865</x:v>
      </x:c>
      <x:c r="C1126" s="18" t="str">
        <x:v>【沪村小电】欣松苑充电站</x:v>
      </x:c>
      <x:c r="D1126" s="37" t="str">
        <x:v>4</x:v>
      </x:c>
      <x:c r="E1126" s="37" t="str">
        <x:v>0</x:v>
      </x:c>
      <x:c r="F1126" s="37" t="str">
        <x:v>26</x:v>
      </x:c>
      <x:c r="G1126" s="37" t="str">
        <x:v>525.90</x:v>
      </x:c>
      <x:c r="H1126" s="37" t="str">
        <x:v>0.00</x:v>
      </x:c>
      <x:c r="I1126" s="37" t="str">
        <x:v>511.16</x:v>
      </x:c>
      <x:c r="J1126" s="37" t="str">
        <x:v>0.00</x:v>
      </x:c>
      <x:c r="K1126" s="37" t="str">
        <x:v>14.74</x:v>
      </x:c>
      <x:c r="L1126" s="37" t="str">
        <x:v>926</x:v>
      </x:c>
      <x:c r="M1126" s="29" t="str">
        <x:v>520.25</x:v>
      </x:c>
      <x:c r="N1126" s="29" t="str">
        <x:v>368.36</x:v>
      </x:c>
      <x:c r="O1126" s="29" t="str">
        <x:v>151.89</x:v>
      </x:c>
      <x:c r="P1126" s="18" t="str">
        <x:v>2026-07-25</x:v>
      </x:c>
      <x:c r="Q1126" s="36" t="n">
        <x:v>46228</x:v>
      </x:c>
    </x:row>
    <x:row r="1127">
      <x:c r="A1127" s="36" t="str">
        <x:v>2026-07-25</x:v>
      </x:c>
      <x:c r="B1127" s="18" t="str">
        <x:v>101437000_98867</x:v>
      </x:c>
      <x:c r="C1127" s="18" t="str">
        <x:v>【沪村小电】欣荷苑充电站</x:v>
      </x:c>
      <x:c r="D1127" s="37" t="str">
        <x:v>4</x:v>
      </x:c>
      <x:c r="E1127" s="37" t="str">
        <x:v>0</x:v>
      </x:c>
      <x:c r="F1127" s="37" t="str">
        <x:v>12</x:v>
      </x:c>
      <x:c r="G1127" s="37" t="str">
        <x:v>251.17</x:v>
      </x:c>
      <x:c r="H1127" s="37" t="str">
        <x:v>0.00</x:v>
      </x:c>
      <x:c r="I1127" s="37" t="str">
        <x:v>184.89</x:v>
      </x:c>
      <x:c r="J1127" s="37" t="str">
        <x:v>0.00</x:v>
      </x:c>
      <x:c r="K1127" s="37" t="str">
        <x:v>66.28</x:v>
      </x:c>
      <x:c r="L1127" s="37" t="str">
        <x:v>458</x:v>
      </x:c>
      <x:c r="M1127" s="29" t="str">
        <x:v>224.69</x:v>
      </x:c>
      <x:c r="N1127" s="29" t="str">
        <x:v>155.79</x:v>
      </x:c>
      <x:c r="O1127" s="29" t="str">
        <x:v>68.90</x:v>
      </x:c>
      <x:c r="P1127" s="18" t="str">
        <x:v>2026-07-25</x:v>
      </x:c>
      <x:c r="Q1127" s="36" t="n">
        <x:v>46228</x:v>
      </x:c>
    </x:row>
    <x:row r="1128">
      <x:c r="A1128" s="36" t="str">
        <x:v>2026-07-25</x:v>
      </x:c>
      <x:c r="B1128" s="18" t="str">
        <x:v>101437000_99885</x:v>
      </x:c>
      <x:c r="C1128" s="18" t="str">
        <x:v>【沪村小电】汇丰馨苑充电站</x:v>
      </x:c>
      <x:c r="D1128" s="37" t="str">
        <x:v>4</x:v>
      </x:c>
      <x:c r="E1128" s="37" t="str">
        <x:v>0</x:v>
      </x:c>
      <x:c r="F1128" s="37" t="str">
        <x:v>14</x:v>
      </x:c>
      <x:c r="G1128" s="37" t="str">
        <x:v>301.15</x:v>
      </x:c>
      <x:c r="H1128" s="37" t="str">
        <x:v>0.00</x:v>
      </x:c>
      <x:c r="I1128" s="37" t="str">
        <x:v>257.44</x:v>
      </x:c>
      <x:c r="J1128" s="37" t="str">
        <x:v>0.00</x:v>
      </x:c>
      <x:c r="K1128" s="37" t="str">
        <x:v>43.71</x:v>
      </x:c>
      <x:c r="L1128" s="37" t="str">
        <x:v>446</x:v>
      </x:c>
      <x:c r="M1128" s="29" t="str">
        <x:v>297.84</x:v>
      </x:c>
      <x:c r="N1128" s="29" t="str">
        <x:v>198.93</x:v>
      </x:c>
      <x:c r="O1128" s="29" t="str">
        <x:v>98.91</x:v>
      </x:c>
      <x:c r="P1128" s="18" t="str">
        <x:v>2026-07-25</x:v>
      </x:c>
      <x:c r="Q1128" s="36" t="n">
        <x:v>46228</x:v>
      </x:c>
    </x:row>
    <x:row r="1129">
      <x:c r="A1129" s="36" t="str">
        <x:v>2026-07-25</x:v>
      </x:c>
      <x:c r="B1129" s="18" t="str">
        <x:v>101437000_99887</x:v>
      </x:c>
      <x:c r="C1129" s="18" t="str">
        <x:v>【沪村小电】新南村河南小区充电站</x:v>
      </x:c>
      <x:c r="D1129" s="37" t="str">
        <x:v>2</x:v>
      </x:c>
      <x:c r="E1129" s="37" t="str">
        <x:v>0</x:v>
      </x:c>
      <x:c r="F1129" s="37" t="str">
        <x:v>16</x:v>
      </x:c>
      <x:c r="G1129" s="37" t="str">
        <x:v>428.42</x:v>
      </x:c>
      <x:c r="H1129" s="37" t="str">
        <x:v>0.00</x:v>
      </x:c>
      <x:c r="I1129" s="37" t="str">
        <x:v>215.03</x:v>
      </x:c>
      <x:c r="J1129" s="37" t="str">
        <x:v>0.00</x:v>
      </x:c>
      <x:c r="K1129" s="37" t="str">
        <x:v>213.39</x:v>
      </x:c>
      <x:c r="L1129" s="37" t="str">
        <x:v>743</x:v>
      </x:c>
      <x:c r="M1129" s="29" t="str">
        <x:v>323.00</x:v>
      </x:c>
      <x:c r="N1129" s="29" t="str">
        <x:v>231.62</x:v>
      </x:c>
      <x:c r="O1129" s="29" t="str">
        <x:v>91.38</x:v>
      </x:c>
      <x:c r="P1129" s="18" t="str">
        <x:v>2026-07-25</x:v>
      </x:c>
      <x:c r="Q1129" s="36" t="n">
        <x:v>46228</x:v>
      </x:c>
    </x:row>
    <x:row r="1130">
      <x:c r="A1130" s="36" t="str">
        <x:v>2026-07-25</x:v>
      </x:c>
      <x:c r="B1130" s="18" t="str">
        <x:v>101437000_99889</x:v>
      </x:c>
      <x:c r="C1130" s="18" t="str">
        <x:v>【沪村小电】漕泾郊野公园</x:v>
      </x:c>
      <x:c r="D1130" s="37" t="str">
        <x:v>2</x:v>
      </x:c>
      <x:c r="E1130" s="37" t="str">
        <x:v>0</x:v>
      </x:c>
      <x:c r="F1130" s="37" t="str">
        <x:v>5</x:v>
      </x:c>
      <x:c r="G1130" s="37" t="str">
        <x:v>74.31</x:v>
      </x:c>
      <x:c r="H1130" s="37" t="str">
        <x:v>0.00</x:v>
      </x:c>
      <x:c r="I1130" s="37" t="str">
        <x:v>64.23</x:v>
      </x:c>
      <x:c r="J1130" s="37" t="str">
        <x:v>0.00</x:v>
      </x:c>
      <x:c r="K1130" s="37" t="str">
        <x:v>10.08</x:v>
      </x:c>
      <x:c r="L1130" s="37" t="str">
        <x:v>148</x:v>
      </x:c>
      <x:c r="M1130" s="29" t="str">
        <x:v>76.84</x:v>
      </x:c>
      <x:c r="N1130" s="29" t="str">
        <x:v>54.85</x:v>
      </x:c>
      <x:c r="O1130" s="29" t="str">
        <x:v>21.99</x:v>
      </x:c>
      <x:c r="P1130" s="18" t="str">
        <x:v>2026-07-25</x:v>
      </x:c>
      <x:c r="Q1130" s="36" t="n">
        <x:v>46228</x:v>
      </x:c>
    </x:row>
    <x:row r="1131">
      <x:c r="A1131" s="36" t="str">
        <x:v>2026-07-25</x:v>
      </x:c>
      <x:c r="B1131" s="18" t="str">
        <x:v>101437000_99891</x:v>
      </x:c>
      <x:c r="C1131" s="18" t="str">
        <x:v>【沪村小电】水韵紫城充电站</x:v>
      </x:c>
      <x:c r="D1131" s="37" t="str">
        <x:v>4</x:v>
      </x:c>
      <x:c r="E1131" s="37" t="str">
        <x:v>0</x:v>
      </x:c>
      <x:c r="F1131" s="37" t="str">
        <x:v>31</x:v>
      </x:c>
      <x:c r="G1131" s="37" t="str">
        <x:v>697.18</x:v>
      </x:c>
      <x:c r="H1131" s="37" t="str">
        <x:v>0.00</x:v>
      </x:c>
      <x:c r="I1131" s="37" t="str">
        <x:v>556.12</x:v>
      </x:c>
      <x:c r="J1131" s="37" t="str">
        <x:v>0.00</x:v>
      </x:c>
      <x:c r="K1131" s="37" t="str">
        <x:v>141.05</x:v>
      </x:c>
      <x:c r="L1131" s="37" t="str">
        <x:v>1053</x:v>
      </x:c>
      <x:c r="M1131" s="29" t="str">
        <x:v>605.26</x:v>
      </x:c>
      <x:c r="N1131" s="29" t="str">
        <x:v>447.06</x:v>
      </x:c>
      <x:c r="O1131" s="29" t="str">
        <x:v>158.20</x:v>
      </x:c>
      <x:c r="P1131" s="18" t="str">
        <x:v>2026-07-25</x:v>
      </x:c>
      <x:c r="Q1131" s="36" t="n">
        <x:v>46228</x:v>
      </x:c>
    </x:row>
    <x:row r="1132">
      <x:c r="A1132" s="36" t="str">
        <x:v>2026-07-24</x:v>
      </x:c>
      <x:c r="B1132" s="18" t="str">
        <x:v>101437000_101531</x:v>
      </x:c>
      <x:c r="C1132" s="18" t="str">
        <x:v>【沪村小电】汇中苑充电站</x:v>
      </x:c>
      <x:c r="D1132" s="37" t="str">
        <x:v>2</x:v>
      </x:c>
      <x:c r="E1132" s="37" t="str">
        <x:v>0</x:v>
      </x:c>
      <x:c r="F1132" s="37" t="str">
        <x:v>16</x:v>
      </x:c>
      <x:c r="G1132" s="37" t="str">
        <x:v>389.95</x:v>
      </x:c>
      <x:c r="H1132" s="37" t="str">
        <x:v>0.00</x:v>
      </x:c>
      <x:c r="I1132" s="37" t="str">
        <x:v>37.47</x:v>
      </x:c>
      <x:c r="J1132" s="37" t="str">
        <x:v>276.02</x:v>
      </x:c>
      <x:c r="K1132" s="37" t="str">
        <x:v>76.47</x:v>
      </x:c>
      <x:c r="L1132" s="37" t="str">
        <x:v>659</x:v>
      </x:c>
      <x:c r="M1132" s="29" t="str">
        <x:v>360.76</x:v>
      </x:c>
      <x:c r="N1132" s="29" t="str">
        <x:v>263.92</x:v>
      </x:c>
      <x:c r="O1132" s="29" t="str">
        <x:v>96.84</x:v>
      </x:c>
      <x:c r="P1132" s="18" t="str">
        <x:v>2026-07-24</x:v>
      </x:c>
      <x:c r="Q1132" s="36" t="n">
        <x:v>46227</x:v>
      </x:c>
    </x:row>
    <x:row r="1133">
      <x:c r="A1133" s="36" t="str">
        <x:v>2026-07-24</x:v>
      </x:c>
      <x:c r="B1133" s="18" t="str">
        <x:v>101437000_102047</x:v>
      </x:c>
      <x:c r="C1133" s="18" t="str">
        <x:v>【沪村小电】后浜小区9弄小区南面停车场充电站</x:v>
      </x:c>
      <x:c r="D1133" s="37" t="str">
        <x:v>8</x:v>
      </x:c>
      <x:c r="E1133" s="37" t="str">
        <x:v>0</x:v>
      </x:c>
      <x:c r="F1133" s="37" t="str">
        <x:v>43</x:v>
      </x:c>
      <x:c r="G1133" s="37" t="str">
        <x:v>900.86</x:v>
      </x:c>
      <x:c r="H1133" s="37" t="str">
        <x:v>0.00</x:v>
      </x:c>
      <x:c r="I1133" s="37" t="str">
        <x:v>773.97</x:v>
      </x:c>
      <x:c r="J1133" s="37" t="str">
        <x:v>0.00</x:v>
      </x:c>
      <x:c r="K1133" s="37" t="str">
        <x:v>126.88</x:v>
      </x:c>
      <x:c r="L1133" s="37" t="str">
        <x:v>1293</x:v>
      </x:c>
      <x:c r="M1133" s="29" t="str">
        <x:v>1018.08</x:v>
      </x:c>
      <x:c r="N1133" s="29" t="str">
        <x:v>609.18</x:v>
      </x:c>
      <x:c r="O1133" s="29" t="str">
        <x:v>408.90</x:v>
      </x:c>
      <x:c r="P1133" s="18" t="str">
        <x:v>2026-07-24</x:v>
      </x:c>
      <x:c r="Q1133" s="36" t="n">
        <x:v>46227</x:v>
      </x:c>
    </x:row>
    <x:row r="1134">
      <x:c r="A1134" s="36" t="str">
        <x:v>2026-07-24</x:v>
      </x:c>
      <x:c r="B1134" s="18" t="str">
        <x:v>101437000_103503</x:v>
      </x:c>
      <x:c r="C1134" s="18" t="str">
        <x:v>【沪村小电】阳光城新界充电站</x:v>
      </x:c>
      <x:c r="D1134" s="37" t="str">
        <x:v>4</x:v>
      </x:c>
      <x:c r="E1134" s="37" t="str">
        <x:v>0</x:v>
      </x:c>
      <x:c r="F1134" s="37" t="str">
        <x:v>18</x:v>
      </x:c>
      <x:c r="G1134" s="37" t="str">
        <x:v>389.51</x:v>
      </x:c>
      <x:c r="H1134" s="37" t="str">
        <x:v>0.00</x:v>
      </x:c>
      <x:c r="I1134" s="37" t="str">
        <x:v>311.94</x:v>
      </x:c>
      <x:c r="J1134" s="37" t="str">
        <x:v>0.00</x:v>
      </x:c>
      <x:c r="K1134" s="37" t="str">
        <x:v>77.58</x:v>
      </x:c>
      <x:c r="L1134" s="37" t="str">
        <x:v>561</x:v>
      </x:c>
      <x:c r="M1134" s="29" t="str">
        <x:v>406.94</x:v>
      </x:c>
      <x:c r="N1134" s="29" t="str">
        <x:v>274.33</x:v>
      </x:c>
      <x:c r="O1134" s="29" t="str">
        <x:v>132.61</x:v>
      </x:c>
      <x:c r="P1134" s="18" t="str">
        <x:v>2026-07-24</x:v>
      </x:c>
      <x:c r="Q1134" s="36" t="n">
        <x:v>46227</x:v>
      </x:c>
    </x:row>
    <x:row r="1135">
      <x:c r="A1135" s="36" t="str">
        <x:v>2026-07-24</x:v>
      </x:c>
      <x:c r="B1135" s="18" t="str">
        <x:v>101437000_106337</x:v>
      </x:c>
      <x:c r="C1135" s="18" t="str">
        <x:v>【沪村小电】柳湖景庭西门处外侧停车场充电站</x:v>
      </x:c>
      <x:c r="D1135" s="37" t="str">
        <x:v>2</x:v>
      </x:c>
      <x:c r="E1135" s="37" t="str">
        <x:v>0</x:v>
      </x:c>
      <x:c r="F1135" s="37" t="str">
        <x:v>2</x:v>
      </x:c>
      <x:c r="G1135" s="37" t="str">
        <x:v>9.62</x:v>
      </x:c>
      <x:c r="H1135" s="37" t="str">
        <x:v>0.00</x:v>
      </x:c>
      <x:c r="I1135" s="37" t="str">
        <x:v>9.62</x:v>
      </x:c>
      <x:c r="J1135" s="37" t="str">
        <x:v>0.00</x:v>
      </x:c>
      <x:c r="K1135" s="37" t="str">
        <x:v>0.00</x:v>
      </x:c>
      <x:c r="L1135" s="37" t="str">
        <x:v>15</x:v>
      </x:c>
      <x:c r="M1135" s="29" t="str">
        <x:v>12.98</x:v>
      </x:c>
      <x:c r="N1135" s="29" t="str">
        <x:v>11.83</x:v>
      </x:c>
      <x:c r="O1135" s="29" t="str">
        <x:v>1.15</x:v>
      </x:c>
      <x:c r="P1135" s="18" t="str">
        <x:v>2026-07-24</x:v>
      </x:c>
      <x:c r="Q1135" s="36" t="n">
        <x:v>46227</x:v>
      </x:c>
    </x:row>
    <x:row r="1136">
      <x:c r="A1136" s="36" t="str">
        <x:v>2026-07-24</x:v>
      </x:c>
      <x:c r="B1136" s="18" t="str">
        <x:v>101437000_106339</x:v>
      </x:c>
      <x:c r="C1136" s="18" t="str">
        <x:v>【沪村小电】华腾苑充电站</x:v>
      </x:c>
      <x:c r="D1136" s="37" t="str">
        <x:v>6</x:v>
      </x:c>
      <x:c r="E1136" s="37" t="str">
        <x:v>0</x:v>
      </x:c>
      <x:c r="F1136" s="37" t="str">
        <x:v>1</x:v>
      </x:c>
      <x:c r="G1136" s="37" t="str">
        <x:v>1.61</x:v>
      </x:c>
      <x:c r="H1136" s="37" t="str">
        <x:v>1.61</x:v>
      </x:c>
      <x:c r="I1136" s="37" t="str">
        <x:v>0.00</x:v>
      </x:c>
      <x:c r="J1136" s="37" t="str">
        <x:v>0.00</x:v>
      </x:c>
      <x:c r="K1136" s="37" t="str">
        <x:v>0.00</x:v>
      </x:c>
      <x:c r="L1136" s="37" t="str">
        <x:v>1</x:v>
      </x:c>
      <x:c r="M1136" s="29" t="str">
        <x:v>2.90</x:v>
      </x:c>
      <x:c r="N1136" s="29" t="str">
        <x:v>2.45</x:v>
      </x:c>
      <x:c r="O1136" s="29" t="str">
        <x:v>0.45</x:v>
      </x:c>
      <x:c r="P1136" s="18" t="str">
        <x:v>2026-07-24</x:v>
      </x:c>
      <x:c r="Q1136" s="36" t="n">
        <x:v>46227</x:v>
      </x:c>
    </x:row>
    <x:row r="1137">
      <x:c r="A1137" s="36" t="str">
        <x:v>2026-07-24</x:v>
      </x:c>
      <x:c r="B1137" s="18" t="str">
        <x:v>101437000_106343</x:v>
      </x:c>
      <x:c r="C1137" s="18" t="str">
        <x:v>【沪村小电】褚家荣苑充电站</x:v>
      </x:c>
      <x:c r="D1137" s="37" t="str">
        <x:v>4</x:v>
      </x:c>
      <x:c r="E1137" s="37" t="str">
        <x:v>0</x:v>
      </x:c>
      <x:c r="F1137" s="37" t="str">
        <x:v>1</x:v>
      </x:c>
      <x:c r="G1137" s="37" t="str">
        <x:v>2.07</x:v>
      </x:c>
      <x:c r="H1137" s="37" t="str">
        <x:v>2.07</x:v>
      </x:c>
      <x:c r="I1137" s="37" t="str">
        <x:v>0.00</x:v>
      </x:c>
      <x:c r="J1137" s="37" t="str">
        <x:v>0.00</x:v>
      </x:c>
      <x:c r="K1137" s="37" t="str">
        <x:v>0.00</x:v>
      </x:c>
      <x:c r="L1137" s="37" t="str">
        <x:v>3</x:v>
      </x:c>
      <x:c r="M1137" s="29" t="str">
        <x:v>3.72</x:v>
      </x:c>
      <x:c r="N1137" s="29" t="str">
        <x:v>3.14</x:v>
      </x:c>
      <x:c r="O1137" s="29" t="str">
        <x:v>0.58</x:v>
      </x:c>
      <x:c r="P1137" s="18" t="str">
        <x:v>2026-07-24</x:v>
      </x:c>
      <x:c r="Q1137" s="36" t="n">
        <x:v>46227</x:v>
      </x:c>
    </x:row>
    <x:row r="1138">
      <x:c r="A1138" s="36" t="str">
        <x:v>2026-07-24</x:v>
      </x:c>
      <x:c r="B1138" s="18" t="str">
        <x:v>101437000_106345</x:v>
      </x:c>
      <x:c r="C1138" s="18" t="str">
        <x:v>【沪村小电】锦桂苑充电站</x:v>
      </x:c>
      <x:c r="D1138" s="37" t="str">
        <x:v>4</x:v>
      </x:c>
      <x:c r="E1138" s="37" t="str">
        <x:v>0</x:v>
      </x:c>
      <x:c r="F1138" s="37" t="str">
        <x:v>1</x:v>
      </x:c>
      <x:c r="G1138" s="37" t="str">
        <x:v>3.45</x:v>
      </x:c>
      <x:c r="H1138" s="37" t="str">
        <x:v>3.45</x:v>
      </x:c>
      <x:c r="I1138" s="37" t="str">
        <x:v>0.00</x:v>
      </x:c>
      <x:c r="J1138" s="37" t="str">
        <x:v>0.00</x:v>
      </x:c>
      <x:c r="K1138" s="37" t="str">
        <x:v>0.00</x:v>
      </x:c>
      <x:c r="L1138" s="37" t="str">
        <x:v>5</x:v>
      </x:c>
      <x:c r="M1138" s="29" t="str">
        <x:v>6.22</x:v>
      </x:c>
      <x:c r="N1138" s="29" t="str">
        <x:v>5.25</x:v>
      </x:c>
      <x:c r="O1138" s="29" t="str">
        <x:v>0.97</x:v>
      </x:c>
      <x:c r="P1138" s="18" t="str">
        <x:v>2026-07-24</x:v>
      </x:c>
      <x:c r="Q1138" s="36" t="n">
        <x:v>46227</x:v>
      </x:c>
    </x:row>
    <x:row r="1139">
      <x:c r="A1139" s="36" t="str">
        <x:v>2026-07-24</x:v>
      </x:c>
      <x:c r="B1139" s="18" t="str">
        <x:v>101437000_41561</x:v>
      </x:c>
      <x:c r="C1139" s="18" t="str">
        <x:v>【沪村小电】张施小区大门处快充站</x:v>
      </x:c>
      <x:c r="D1139" s="37" t="str">
        <x:v>2</x:v>
      </x:c>
      <x:c r="E1139" s="37" t="str">
        <x:v>0</x:v>
      </x:c>
      <x:c r="F1139" s="37" t="str">
        <x:v>49</x:v>
      </x:c>
      <x:c r="G1139" s="37" t="str">
        <x:v>1240.91</x:v>
      </x:c>
      <x:c r="H1139" s="37" t="str">
        <x:v>0.00</x:v>
      </x:c>
      <x:c r="I1139" s="37" t="str">
        <x:v>543.87</x:v>
      </x:c>
      <x:c r="J1139" s="37" t="str">
        <x:v>0.00</x:v>
      </x:c>
      <x:c r="K1139" s="37" t="str">
        <x:v>697.04</x:v>
      </x:c>
      <x:c r="L1139" s="37" t="str">
        <x:v>2128</x:v>
      </x:c>
      <x:c r="M1139" s="29" t="str">
        <x:v>932.91</x:v>
      </x:c>
      <x:c r="N1139" s="29" t="str">
        <x:v>644.04</x:v>
      </x:c>
      <x:c r="O1139" s="29" t="str">
        <x:v>288.87</x:v>
      </x:c>
      <x:c r="P1139" s="18" t="str">
        <x:v>2026-07-24</x:v>
      </x:c>
      <x:c r="Q1139" s="36" t="n">
        <x:v>46227</x:v>
      </x:c>
    </x:row>
    <x:row r="1140">
      <x:c r="A1140" s="36" t="str">
        <x:v>2026-07-24</x:v>
      </x:c>
      <x:c r="B1140" s="18" t="str">
        <x:v>101437000_41563</x:v>
      </x:c>
      <x:c r="C1140" s="18" t="str">
        <x:v>【沪村小电】同心村快充站</x:v>
      </x:c>
      <x:c r="D1140" s="37" t="str">
        <x:v>4</x:v>
      </x:c>
      <x:c r="E1140" s="37" t="str">
        <x:v>0</x:v>
      </x:c>
      <x:c r="F1140" s="37" t="str">
        <x:v>64</x:v>
      </x:c>
      <x:c r="G1140" s="37" t="str">
        <x:v>1538.71</x:v>
      </x:c>
      <x:c r="H1140" s="37" t="str">
        <x:v>0.00</x:v>
      </x:c>
      <x:c r="I1140" s="37" t="str">
        <x:v>973.67</x:v>
      </x:c>
      <x:c r="J1140" s="37" t="str">
        <x:v>0.00</x:v>
      </x:c>
      <x:c r="K1140" s="37" t="str">
        <x:v>565.05</x:v>
      </x:c>
      <x:c r="L1140" s="37" t="str">
        <x:v>2927</x:v>
      </x:c>
      <x:c r="M1140" s="29" t="str">
        <x:v>1387.08</x:v>
      </x:c>
      <x:c r="N1140" s="29" t="str">
        <x:v>900.37</x:v>
      </x:c>
      <x:c r="O1140" s="29" t="str">
        <x:v>486.71</x:v>
      </x:c>
      <x:c r="P1140" s="18" t="str">
        <x:v>2026-07-24</x:v>
      </x:c>
      <x:c r="Q1140" s="36" t="n">
        <x:v>46227</x:v>
      </x:c>
    </x:row>
    <x:row r="1141">
      <x:c r="A1141" s="36" t="str">
        <x:v>2026-07-24</x:v>
      </x:c>
      <x:c r="B1141" s="18" t="str">
        <x:v>101437000_69629</x:v>
      </x:c>
      <x:c r="C1141" s="18" t="str">
        <x:v>【沪村小电】骏丰玲珑坊西苑充电站</x:v>
      </x:c>
      <x:c r="D1141" s="37" t="str">
        <x:v>2</x:v>
      </x:c>
      <x:c r="E1141" s="37" t="str">
        <x:v>0</x:v>
      </x:c>
      <x:c r="F1141" s="37" t="str">
        <x:v>73</x:v>
      </x:c>
      <x:c r="G1141" s="37" t="str">
        <x:v>1601.57</x:v>
      </x:c>
      <x:c r="H1141" s="37" t="str">
        <x:v>0.00</x:v>
      </x:c>
      <x:c r="I1141" s="37" t="str">
        <x:v>896.49</x:v>
      </x:c>
      <x:c r="J1141" s="37" t="str">
        <x:v>0.00</x:v>
      </x:c>
      <x:c r="K1141" s="37" t="str">
        <x:v>705.08</x:v>
      </x:c>
      <x:c r="L1141" s="37" t="str">
        <x:v>2786</x:v>
      </x:c>
      <x:c r="M1141" s="29" t="str">
        <x:v>1277.66</x:v>
      </x:c>
      <x:c r="N1141" s="29" t="str">
        <x:v>897.41</x:v>
      </x:c>
      <x:c r="O1141" s="29" t="str">
        <x:v>380.25</x:v>
      </x:c>
      <x:c r="P1141" s="18" t="str">
        <x:v>2026-07-24</x:v>
      </x:c>
      <x:c r="Q1141" s="36" t="n">
        <x:v>46227</x:v>
      </x:c>
    </x:row>
    <x:row r="1142">
      <x:c r="A1142" s="36" t="str">
        <x:v>2026-07-24</x:v>
      </x:c>
      <x:c r="B1142" s="18" t="str">
        <x:v>101437000_70547</x:v>
      </x:c>
      <x:c r="C1142" s="18" t="str">
        <x:v>【沪村小电】农建村初心馆党群服务中心充电站</x:v>
      </x:c>
      <x:c r="D1142" s="37" t="str">
        <x:v>4</x:v>
      </x:c>
      <x:c r="E1142" s="37" t="str">
        <x:v>0</x:v>
      </x:c>
      <x:c r="F1142" s="37" t="str">
        <x:v>29</x:v>
      </x:c>
      <x:c r="G1142" s="37" t="str">
        <x:v>603.55</x:v>
      </x:c>
      <x:c r="H1142" s="37" t="str">
        <x:v>0.00</x:v>
      </x:c>
      <x:c r="I1142" s="37" t="str">
        <x:v>283.30</x:v>
      </x:c>
      <x:c r="J1142" s="37" t="str">
        <x:v>0.00</x:v>
      </x:c>
      <x:c r="K1142" s="37" t="str">
        <x:v>320.25</x:v>
      </x:c>
      <x:c r="L1142" s="37" t="str">
        <x:v>1939</x:v>
      </x:c>
      <x:c r="M1142" s="29" t="str">
        <x:v>491.82</x:v>
      </x:c>
      <x:c r="N1142" s="29" t="str">
        <x:v>319.63</x:v>
      </x:c>
      <x:c r="O1142" s="29" t="str">
        <x:v>172.19</x:v>
      </x:c>
      <x:c r="P1142" s="18" t="str">
        <x:v>2026-07-24</x:v>
      </x:c>
      <x:c r="Q1142" s="36" t="n">
        <x:v>46227</x:v>
      </x:c>
    </x:row>
    <x:row r="1143">
      <x:c r="A1143" s="36" t="str">
        <x:v>2026-07-24</x:v>
      </x:c>
      <x:c r="B1143" s="18" t="str">
        <x:v>101437000_70549</x:v>
      </x:c>
      <x:c r="C1143" s="18" t="str">
        <x:v>【沪村小电】学府路充电站</x:v>
      </x:c>
      <x:c r="D1143" s="37" t="str">
        <x:v>2</x:v>
      </x:c>
      <x:c r="E1143" s="37" t="str">
        <x:v>0</x:v>
      </x:c>
      <x:c r="F1143" s="37" t="str">
        <x:v>9</x:v>
      </x:c>
      <x:c r="G1143" s="37" t="str">
        <x:v>199.85</x:v>
      </x:c>
      <x:c r="H1143" s="37" t="str">
        <x:v>0.00</x:v>
      </x:c>
      <x:c r="I1143" s="37" t="str">
        <x:v>47.28</x:v>
      </x:c>
      <x:c r="J1143" s="37" t="str">
        <x:v>0.00</x:v>
      </x:c>
      <x:c r="K1143" s="37" t="str">
        <x:v>152.57</x:v>
      </x:c>
      <x:c r="L1143" s="37" t="str">
        <x:v>356</x:v>
      </x:c>
      <x:c r="M1143" s="29" t="str">
        <x:v>158.08</x:v>
      </x:c>
      <x:c r="N1143" s="29" t="str">
        <x:v>90.01</x:v>
      </x:c>
      <x:c r="O1143" s="29" t="str">
        <x:v>68.07</x:v>
      </x:c>
      <x:c r="P1143" s="18" t="str">
        <x:v>2026-07-24</x:v>
      </x:c>
      <x:c r="Q1143" s="36" t="n">
        <x:v>46227</x:v>
      </x:c>
    </x:row>
    <x:row r="1144">
      <x:c r="A1144" s="36" t="str">
        <x:v>2026-07-24</x:v>
      </x:c>
      <x:c r="B1144" s="18" t="str">
        <x:v>101437000_71059</x:v>
      </x:c>
      <x:c r="C1144" s="18" t="str">
        <x:v>【沪村小电】宝乐汇商业广场站</x:v>
      </x:c>
      <x:c r="D1144" s="37" t="str">
        <x:v>4</x:v>
      </x:c>
      <x:c r="E1144" s="37" t="str">
        <x:v>0</x:v>
      </x:c>
      <x:c r="F1144" s="37" t="str">
        <x:v>21</x:v>
      </x:c>
      <x:c r="G1144" s="37" t="str">
        <x:v>452.33</x:v>
      </x:c>
      <x:c r="H1144" s="37" t="str">
        <x:v>0.00</x:v>
      </x:c>
      <x:c r="I1144" s="37" t="str">
        <x:v>366.11</x:v>
      </x:c>
      <x:c r="J1144" s="37" t="str">
        <x:v>0.00</x:v>
      </x:c>
      <x:c r="K1144" s="37" t="str">
        <x:v>86.22</x:v>
      </x:c>
      <x:c r="L1144" s="37" t="str">
        <x:v>737</x:v>
      </x:c>
      <x:c r="M1144" s="29" t="str">
        <x:v>497.53</x:v>
      </x:c>
      <x:c r="N1144" s="29" t="str">
        <x:v>369.18</x:v>
      </x:c>
      <x:c r="O1144" s="29" t="str">
        <x:v>128.35</x:v>
      </x:c>
      <x:c r="P1144" s="18" t="str">
        <x:v>2026-07-24</x:v>
      </x:c>
      <x:c r="Q1144" s="36" t="n">
        <x:v>46227</x:v>
      </x:c>
    </x:row>
    <x:row r="1145">
      <x:c r="A1145" s="36" t="str">
        <x:v>2026-07-24</x:v>
      </x:c>
      <x:c r="B1145" s="18" t="str">
        <x:v>101437000_72541</x:v>
      </x:c>
      <x:c r="C1145" s="18" t="str">
        <x:v>【沪村小电】九干路1174弄充电站</x:v>
      </x:c>
      <x:c r="D1145" s="37" t="str">
        <x:v>2</x:v>
      </x:c>
      <x:c r="E1145" s="37" t="str">
        <x:v>0</x:v>
      </x:c>
      <x:c r="F1145" s="37" t="str">
        <x:v>46</x:v>
      </x:c>
      <x:c r="G1145" s="37" t="str">
        <x:v>1167.78</x:v>
      </x:c>
      <x:c r="H1145" s="37" t="str">
        <x:v>0.00</x:v>
      </x:c>
      <x:c r="I1145" s="37" t="str">
        <x:v>801.61</x:v>
      </x:c>
      <x:c r="J1145" s="37" t="str">
        <x:v>0.00</x:v>
      </x:c>
      <x:c r="K1145" s="37" t="str">
        <x:v>366.18</x:v>
      </x:c>
      <x:c r="L1145" s="37" t="str">
        <x:v>1951</x:v>
      </x:c>
      <x:c r="M1145" s="29" t="str">
        <x:v>1021.19</x:v>
      </x:c>
      <x:c r="N1145" s="29" t="str">
        <x:v>704.64</x:v>
      </x:c>
      <x:c r="O1145" s="29" t="str">
        <x:v>316.55</x:v>
      </x:c>
      <x:c r="P1145" s="18" t="str">
        <x:v>2026-07-24</x:v>
      </x:c>
      <x:c r="Q1145" s="36" t="n">
        <x:v>46227</x:v>
      </x:c>
    </x:row>
    <x:row r="1146">
      <x:c r="A1146" s="36" t="str">
        <x:v>2026-07-24</x:v>
      </x:c>
      <x:c r="B1146" s="18" t="str">
        <x:v>101437000_72543</x:v>
      </x:c>
      <x:c r="C1146" s="18" t="str">
        <x:v>【沪村小电】叶家中心村小区充电站</x:v>
      </x:c>
      <x:c r="D1146" s="37" t="str">
        <x:v>2</x:v>
      </x:c>
      <x:c r="E1146" s="37" t="str">
        <x:v>0</x:v>
      </x:c>
      <x:c r="F1146" s="37" t="str">
        <x:v>44</x:v>
      </x:c>
      <x:c r="G1146" s="37" t="str">
        <x:v>857.67</x:v>
      </x:c>
      <x:c r="H1146" s="37" t="str">
        <x:v>0.00</x:v>
      </x:c>
      <x:c r="I1146" s="37" t="str">
        <x:v>378.95</x:v>
      </x:c>
      <x:c r="J1146" s="37" t="str">
        <x:v>0.00</x:v>
      </x:c>
      <x:c r="K1146" s="37" t="str">
        <x:v>478.72</x:v>
      </x:c>
      <x:c r="L1146" s="37" t="str">
        <x:v>1647</x:v>
      </x:c>
      <x:c r="M1146" s="29" t="str">
        <x:v>665.84</x:v>
      </x:c>
      <x:c r="N1146" s="29" t="str">
        <x:v>446.21</x:v>
      </x:c>
      <x:c r="O1146" s="29" t="str">
        <x:v>219.63</x:v>
      </x:c>
      <x:c r="P1146" s="18" t="str">
        <x:v>2026-07-24</x:v>
      </x:c>
      <x:c r="Q1146" s="36" t="n">
        <x:v>46227</x:v>
      </x:c>
    </x:row>
    <x:row r="1147">
      <x:c r="A1147" s="36" t="str">
        <x:v>2026-07-24</x:v>
      </x:c>
      <x:c r="B1147" s="18" t="str">
        <x:v>101437000_72937</x:v>
      </x:c>
      <x:c r="C1147" s="18" t="str">
        <x:v>【沪村小电】佘北家园茸腾苑充电站</x:v>
      </x:c>
      <x:c r="D1147" s="37" t="str">
        <x:v>4</x:v>
      </x:c>
      <x:c r="E1147" s="37" t="str">
        <x:v>0</x:v>
      </x:c>
      <x:c r="F1147" s="37" t="str">
        <x:v>17</x:v>
      </x:c>
      <x:c r="G1147" s="37" t="str">
        <x:v>437.13</x:v>
      </x:c>
      <x:c r="H1147" s="37" t="str">
        <x:v>0.00</x:v>
      </x:c>
      <x:c r="I1147" s="37" t="str">
        <x:v>437.13</x:v>
      </x:c>
      <x:c r="J1147" s="37" t="str">
        <x:v>0.00</x:v>
      </x:c>
      <x:c r="K1147" s="37" t="str">
        <x:v>0.00</x:v>
      </x:c>
      <x:c r="L1147" s="37" t="str">
        <x:v>649</x:v>
      </x:c>
      <x:c r="M1147" s="29" t="str">
        <x:v>450.92</x:v>
      </x:c>
      <x:c r="N1147" s="29" t="str">
        <x:v>310.36</x:v>
      </x:c>
      <x:c r="O1147" s="29" t="str">
        <x:v>140.56</x:v>
      </x:c>
      <x:c r="P1147" s="18" t="str">
        <x:v>2026-07-24</x:v>
      </x:c>
      <x:c r="Q1147" s="36" t="n">
        <x:v>46227</x:v>
      </x:c>
    </x:row>
    <x:row r="1148">
      <x:c r="A1148" s="36" t="str">
        <x:v>2026-07-24</x:v>
      </x:c>
      <x:c r="B1148" s="18" t="str">
        <x:v>101437000_74223</x:v>
      </x:c>
      <x:c r="C1148" s="18" t="str">
        <x:v>【沪村小电】中兴村委会充电站</x:v>
      </x:c>
      <x:c r="D1148" s="37" t="str">
        <x:v>2</x:v>
      </x:c>
      <x:c r="E1148" s="37" t="str">
        <x:v>0</x:v>
      </x:c>
      <x:c r="F1148" s="37" t="str">
        <x:v>36</x:v>
      </x:c>
      <x:c r="G1148" s="37" t="str">
        <x:v>630.82</x:v>
      </x:c>
      <x:c r="H1148" s="37" t="str">
        <x:v>0.00</x:v>
      </x:c>
      <x:c r="I1148" s="37" t="str">
        <x:v>423.65</x:v>
      </x:c>
      <x:c r="J1148" s="37" t="str">
        <x:v>0.00</x:v>
      </x:c>
      <x:c r="K1148" s="37" t="str">
        <x:v>207.17</x:v>
      </x:c>
      <x:c r="L1148" s="37" t="str">
        <x:v>1027</x:v>
      </x:c>
      <x:c r="M1148" s="29" t="str">
        <x:v>612.43</x:v>
      </x:c>
      <x:c r="N1148" s="29" t="str">
        <x:v>377.43</x:v>
      </x:c>
      <x:c r="O1148" s="29" t="str">
        <x:v>235.00</x:v>
      </x:c>
      <x:c r="P1148" s="18" t="str">
        <x:v>2026-07-24</x:v>
      </x:c>
      <x:c r="Q1148" s="36" t="n">
        <x:v>46227</x:v>
      </x:c>
    </x:row>
    <x:row r="1149">
      <x:c r="A1149" s="36" t="str">
        <x:v>2026-07-24</x:v>
      </x:c>
      <x:c r="B1149" s="18" t="str">
        <x:v>101437000_74801</x:v>
      </x:c>
      <x:c r="C1149" s="18" t="str">
        <x:v>【沪村小电】申良花园充电站</x:v>
      </x:c>
      <x:c r="D1149" s="37" t="str">
        <x:v>4</x:v>
      </x:c>
      <x:c r="E1149" s="37" t="str">
        <x:v>0</x:v>
      </x:c>
      <x:c r="F1149" s="37" t="str">
        <x:v>12</x:v>
      </x:c>
      <x:c r="G1149" s="37" t="str">
        <x:v>309.21</x:v>
      </x:c>
      <x:c r="H1149" s="37" t="str">
        <x:v>0.00</x:v>
      </x:c>
      <x:c r="I1149" s="37" t="str">
        <x:v>196.45</x:v>
      </x:c>
      <x:c r="J1149" s="37" t="str">
        <x:v>0.00</x:v>
      </x:c>
      <x:c r="K1149" s="37" t="str">
        <x:v>112.76</x:v>
      </x:c>
      <x:c r="L1149" s="37" t="str">
        <x:v>390</x:v>
      </x:c>
      <x:c r="M1149" s="29" t="str">
        <x:v>281.79</x:v>
      </x:c>
      <x:c r="N1149" s="29" t="str">
        <x:v>181.19</x:v>
      </x:c>
      <x:c r="O1149" s="29" t="str">
        <x:v>100.60</x:v>
      </x:c>
      <x:c r="P1149" s="18" t="str">
        <x:v>2026-07-24</x:v>
      </x:c>
      <x:c r="Q1149" s="36" t="n">
        <x:v>46227</x:v>
      </x:c>
    </x:row>
    <x:row r="1150">
      <x:c r="A1150" s="36" t="str">
        <x:v>2026-07-24</x:v>
      </x:c>
      <x:c r="B1150" s="18" t="str">
        <x:v>101437000_74931</x:v>
      </x:c>
      <x:c r="C1150" s="18" t="str">
        <x:v>【沪村小电】枫雅南居充电站</x:v>
      </x:c>
      <x:c r="D1150" s="37" t="str">
        <x:v>2</x:v>
      </x:c>
      <x:c r="E1150" s="37" t="str">
        <x:v>0</x:v>
      </x:c>
      <x:c r="F1150" s="37" t="str">
        <x:v>66</x:v>
      </x:c>
      <x:c r="G1150" s="37" t="str">
        <x:v>1892.21</x:v>
      </x:c>
      <x:c r="H1150" s="37" t="str">
        <x:v>0.00</x:v>
      </x:c>
      <x:c r="I1150" s="37" t="str">
        <x:v>992.14</x:v>
      </x:c>
      <x:c r="J1150" s="37" t="str">
        <x:v>0.00</x:v>
      </x:c>
      <x:c r="K1150" s="37" t="str">
        <x:v>900.07</x:v>
      </x:c>
      <x:c r="L1150" s="37" t="str">
        <x:v>3089</x:v>
      </x:c>
      <x:c r="M1150" s="29" t="str">
        <x:v>1337.70</x:v>
      </x:c>
      <x:c r="N1150" s="29" t="str">
        <x:v>864.39</x:v>
      </x:c>
      <x:c r="O1150" s="29" t="str">
        <x:v>473.31</x:v>
      </x:c>
      <x:c r="P1150" s="18" t="str">
        <x:v>2026-07-24</x:v>
      </x:c>
      <x:c r="Q1150" s="36" t="n">
        <x:v>46227</x:v>
      </x:c>
    </x:row>
    <x:row r="1151">
      <x:c r="A1151" s="36" t="str">
        <x:v>2026-07-24</x:v>
      </x:c>
      <x:c r="B1151" s="18" t="str">
        <x:v>101437000_75901</x:v>
      </x:c>
      <x:c r="C1151" s="18" t="str">
        <x:v>【沪村小电】金悦学府</x:v>
      </x:c>
      <x:c r="D1151" s="37" t="str">
        <x:v>2</x:v>
      </x:c>
      <x:c r="E1151" s="37" t="str">
        <x:v>0</x:v>
      </x:c>
      <x:c r="F1151" s="37" t="str">
        <x:v>44</x:v>
      </x:c>
      <x:c r="G1151" s="37" t="str">
        <x:v>1301.41</x:v>
      </x:c>
      <x:c r="H1151" s="37" t="str">
        <x:v>0.00</x:v>
      </x:c>
      <x:c r="I1151" s="37" t="str">
        <x:v>576.24</x:v>
      </x:c>
      <x:c r="J1151" s="37" t="str">
        <x:v>0.00</x:v>
      </x:c>
      <x:c r="K1151" s="37" t="str">
        <x:v>725.17</x:v>
      </x:c>
      <x:c r="L1151" s="37" t="str">
        <x:v>1951</x:v>
      </x:c>
      <x:c r="M1151" s="29" t="str">
        <x:v>983.29</x:v>
      </x:c>
      <x:c r="N1151" s="29" t="str">
        <x:v>564.79</x:v>
      </x:c>
      <x:c r="O1151" s="29" t="str">
        <x:v>418.50</x:v>
      </x:c>
      <x:c r="P1151" s="18" t="str">
        <x:v>2026-07-24</x:v>
      </x:c>
      <x:c r="Q1151" s="36" t="n">
        <x:v>46227</x:v>
      </x:c>
    </x:row>
    <x:row r="1152">
      <x:c r="A1152" s="36" t="str">
        <x:v>2026-07-24</x:v>
      </x:c>
      <x:c r="B1152" s="18" t="str">
        <x:v>101437000_76091</x:v>
      </x:c>
      <x:c r="C1152" s="18" t="str">
        <x:v>【沪村小电】恒信家园充电站</x:v>
      </x:c>
      <x:c r="D1152" s="37" t="str">
        <x:v>2</x:v>
      </x:c>
      <x:c r="E1152" s="37" t="str">
        <x:v>0</x:v>
      </x:c>
      <x:c r="F1152" s="37" t="str">
        <x:v>45</x:v>
      </x:c>
      <x:c r="G1152" s="37" t="str">
        <x:v>980.35</x:v>
      </x:c>
      <x:c r="H1152" s="37" t="str">
        <x:v>0.00</x:v>
      </x:c>
      <x:c r="I1152" s="37" t="str">
        <x:v>643.97</x:v>
      </x:c>
      <x:c r="J1152" s="37" t="str">
        <x:v>0.00</x:v>
      </x:c>
      <x:c r="K1152" s="37" t="str">
        <x:v>336.38</x:v>
      </x:c>
      <x:c r="L1152" s="37" t="str">
        <x:v>1274</x:v>
      </x:c>
      <x:c r="M1152" s="29" t="str">
        <x:v>955.47</x:v>
      </x:c>
      <x:c r="N1152" s="29" t="str">
        <x:v>581.67</x:v>
      </x:c>
      <x:c r="O1152" s="29" t="str">
        <x:v>373.80</x:v>
      </x:c>
      <x:c r="P1152" s="18" t="str">
        <x:v>2026-07-24</x:v>
      </x:c>
      <x:c r="Q1152" s="36" t="n">
        <x:v>46227</x:v>
      </x:c>
    </x:row>
    <x:row r="1153">
      <x:c r="A1153" s="36" t="str">
        <x:v>2026-07-24</x:v>
      </x:c>
      <x:c r="B1153" s="18" t="str">
        <x:v>101437000_76417</x:v>
      </x:c>
      <x:c r="C1153" s="18" t="str">
        <x:v>【沪村小电】新春一组充电站</x:v>
      </x:c>
      <x:c r="D1153" s="37" t="str">
        <x:v>2</x:v>
      </x:c>
      <x:c r="E1153" s="37" t="str">
        <x:v>0</x:v>
      </x:c>
      <x:c r="F1153" s="37" t="str">
        <x:v>38</x:v>
      </x:c>
      <x:c r="G1153" s="37" t="str">
        <x:v>912.47</x:v>
      </x:c>
      <x:c r="H1153" s="37" t="str">
        <x:v>0.00</x:v>
      </x:c>
      <x:c r="I1153" s="37" t="str">
        <x:v>384.65</x:v>
      </x:c>
      <x:c r="J1153" s="37" t="str">
        <x:v>0.00</x:v>
      </x:c>
      <x:c r="K1153" s="37" t="str">
        <x:v>527.82</x:v>
      </x:c>
      <x:c r="L1153" s="37" t="str">
        <x:v>1389</x:v>
      </x:c>
      <x:c r="M1153" s="29" t="str">
        <x:v>729.42</x:v>
      </x:c>
      <x:c r="N1153" s="29" t="str">
        <x:v>468.42</x:v>
      </x:c>
      <x:c r="O1153" s="29" t="str">
        <x:v>261.00</x:v>
      </x:c>
      <x:c r="P1153" s="18" t="str">
        <x:v>2026-07-24</x:v>
      </x:c>
      <x:c r="Q1153" s="36" t="n">
        <x:v>46227</x:v>
      </x:c>
    </x:row>
    <x:row r="1154">
      <x:c r="A1154" s="36" t="str">
        <x:v>2026-07-24</x:v>
      </x:c>
      <x:c r="B1154" s="18" t="str">
        <x:v>101437000_78235</x:v>
      </x:c>
      <x:c r="C1154" s="18" t="str">
        <x:v>【沪村小电】欣秋苑充电站</x:v>
      </x:c>
      <x:c r="D1154" s="37" t="str">
        <x:v>4</x:v>
      </x:c>
      <x:c r="E1154" s="37" t="str">
        <x:v>0</x:v>
      </x:c>
      <x:c r="F1154" s="37" t="str">
        <x:v>16</x:v>
      </x:c>
      <x:c r="G1154" s="37" t="str">
        <x:v>474.63</x:v>
      </x:c>
      <x:c r="H1154" s="37" t="str">
        <x:v>0.00</x:v>
      </x:c>
      <x:c r="I1154" s="37" t="str">
        <x:v>247.06</x:v>
      </x:c>
      <x:c r="J1154" s="37" t="str">
        <x:v>0.00</x:v>
      </x:c>
      <x:c r="K1154" s="37" t="str">
        <x:v>227.57</x:v>
      </x:c>
      <x:c r="L1154" s="37" t="str">
        <x:v>764</x:v>
      </x:c>
      <x:c r="M1154" s="29" t="str">
        <x:v>412.21</x:v>
      </x:c>
      <x:c r="N1154" s="29" t="str">
        <x:v>259.60</x:v>
      </x:c>
      <x:c r="O1154" s="29" t="str">
        <x:v>152.61</x:v>
      </x:c>
      <x:c r="P1154" s="18" t="str">
        <x:v>2026-07-24</x:v>
      </x:c>
      <x:c r="Q1154" s="36" t="n">
        <x:v>46227</x:v>
      </x:c>
    </x:row>
    <x:row r="1155">
      <x:c r="A1155" s="36" t="str">
        <x:v>2026-07-24</x:v>
      </x:c>
      <x:c r="B1155" s="18" t="str">
        <x:v>101437000_78237</x:v>
      </x:c>
      <x:c r="C1155" s="18" t="str">
        <x:v>【沪村小电】奉馨苑西门小区内北侧充电站</x:v>
      </x:c>
      <x:c r="D1155" s="37" t="str">
        <x:v>2</x:v>
      </x:c>
      <x:c r="E1155" s="37" t="str">
        <x:v>0</x:v>
      </x:c>
      <x:c r="F1155" s="37" t="str">
        <x:v>38</x:v>
      </x:c>
      <x:c r="G1155" s="37" t="str">
        <x:v>990.12</x:v>
      </x:c>
      <x:c r="H1155" s="37" t="str">
        <x:v>1.18</x:v>
      </x:c>
      <x:c r="I1155" s="37" t="str">
        <x:v>214.92</x:v>
      </x:c>
      <x:c r="J1155" s="37" t="str">
        <x:v>341.35</x:v>
      </x:c>
      <x:c r="K1155" s="37" t="str">
        <x:v>432.67</x:v>
      </x:c>
      <x:c r="L1155" s="37" t="str">
        <x:v>1477</x:v>
      </x:c>
      <x:c r="M1155" s="29" t="str">
        <x:v>837.17</x:v>
      </x:c>
      <x:c r="N1155" s="29" t="str">
        <x:v>650.45</x:v>
      </x:c>
      <x:c r="O1155" s="29" t="str">
        <x:v>186.72</x:v>
      </x:c>
      <x:c r="P1155" s="18" t="str">
        <x:v>2026-07-24</x:v>
      </x:c>
      <x:c r="Q1155" s="36" t="n">
        <x:v>46227</x:v>
      </x:c>
    </x:row>
    <x:row r="1156">
      <x:c r="A1156" s="36" t="str">
        <x:v>2026-07-24</x:v>
      </x:c>
      <x:c r="B1156" s="18" t="str">
        <x:v>101437000_78239</x:v>
      </x:c>
      <x:c r="C1156" s="18" t="str">
        <x:v>【沪村小电】恒大佘山首府东门充电站</x:v>
      </x:c>
      <x:c r="D1156" s="37" t="str">
        <x:v>2</x:v>
      </x:c>
      <x:c r="E1156" s="37" t="str">
        <x:v>0</x:v>
      </x:c>
      <x:c r="F1156" s="37" t="str">
        <x:v>50</x:v>
      </x:c>
      <x:c r="G1156" s="37" t="str">
        <x:v>1458.98</x:v>
      </x:c>
      <x:c r="H1156" s="37" t="str">
        <x:v>0.00</x:v>
      </x:c>
      <x:c r="I1156" s="37" t="str">
        <x:v>761.04</x:v>
      </x:c>
      <x:c r="J1156" s="37" t="str">
        <x:v>0.00</x:v>
      </x:c>
      <x:c r="K1156" s="37" t="str">
        <x:v>697.94</x:v>
      </x:c>
      <x:c r="L1156" s="37" t="str">
        <x:v>2020</x:v>
      </x:c>
      <x:c r="M1156" s="29" t="str">
        <x:v>1172.93</x:v>
      </x:c>
      <x:c r="N1156" s="29" t="str">
        <x:v>798.59</x:v>
      </x:c>
      <x:c r="O1156" s="29" t="str">
        <x:v>374.34</x:v>
      </x:c>
      <x:c r="P1156" s="18" t="str">
        <x:v>2026-07-24</x:v>
      </x:c>
      <x:c r="Q1156" s="36" t="n">
        <x:v>46227</x:v>
      </x:c>
    </x:row>
    <x:row r="1157">
      <x:c r="A1157" s="36" t="str">
        <x:v>2026-07-24</x:v>
      </x:c>
      <x:c r="B1157" s="18" t="str">
        <x:v>101437000_83019</x:v>
      </x:c>
      <x:c r="C1157" s="18" t="str">
        <x:v>【沪村小电】首创禧瑞云启东区充电站</x:v>
      </x:c>
      <x:c r="D1157" s="37" t="str">
        <x:v>2</x:v>
      </x:c>
      <x:c r="E1157" s="37" t="str">
        <x:v>0</x:v>
      </x:c>
      <x:c r="F1157" s="37" t="str">
        <x:v>36</x:v>
      </x:c>
      <x:c r="G1157" s="37" t="str">
        <x:v>685.82</x:v>
      </x:c>
      <x:c r="H1157" s="37" t="str">
        <x:v>0.00</x:v>
      </x:c>
      <x:c r="I1157" s="37" t="str">
        <x:v>456.42</x:v>
      </x:c>
      <x:c r="J1157" s="37" t="str">
        <x:v>0.00</x:v>
      </x:c>
      <x:c r="K1157" s="37" t="str">
        <x:v>229.40</x:v>
      </x:c>
      <x:c r="L1157" s="37" t="str">
        <x:v>1143</x:v>
      </x:c>
      <x:c r="M1157" s="29" t="str">
        <x:v>666.35</x:v>
      </x:c>
      <x:c r="N1157" s="29" t="str">
        <x:v>408.94</x:v>
      </x:c>
      <x:c r="O1157" s="29" t="str">
        <x:v>257.41</x:v>
      </x:c>
      <x:c r="P1157" s="18" t="str">
        <x:v>2026-07-24</x:v>
      </x:c>
      <x:c r="Q1157" s="36" t="n">
        <x:v>46227</x:v>
      </x:c>
    </x:row>
    <x:row r="1158">
      <x:c r="A1158" s="36" t="str">
        <x:v>2026-07-24</x:v>
      </x:c>
      <x:c r="B1158" s="18" t="str">
        <x:v>101437000_83093</x:v>
      </x:c>
      <x:c r="C1158" s="18" t="str">
        <x:v>【沪村小电】金茂未来时光里</x:v>
      </x:c>
      <x:c r="D1158" s="37" t="str">
        <x:v>2</x:v>
      </x:c>
      <x:c r="E1158" s="37" t="str">
        <x:v>0</x:v>
      </x:c>
      <x:c r="F1158" s="37" t="str">
        <x:v>74</x:v>
      </x:c>
      <x:c r="G1158" s="37" t="str">
        <x:v>2146.15</x:v>
      </x:c>
      <x:c r="H1158" s="37" t="str">
        <x:v>0.00</x:v>
      </x:c>
      <x:c r="I1158" s="37" t="str">
        <x:v>1036.59</x:v>
      </x:c>
      <x:c r="J1158" s="37" t="str">
        <x:v>0.00</x:v>
      </x:c>
      <x:c r="K1158" s="37" t="str">
        <x:v>1109.56</x:v>
      </x:c>
      <x:c r="L1158" s="37" t="str">
        <x:v>3126</x:v>
      </x:c>
      <x:c r="M1158" s="29" t="str">
        <x:v>1477.02</x:v>
      </x:c>
      <x:c r="N1158" s="29" t="str">
        <x:v>955.54</x:v>
      </x:c>
      <x:c r="O1158" s="29" t="str">
        <x:v>521.48</x:v>
      </x:c>
      <x:c r="P1158" s="18" t="str">
        <x:v>2026-07-24</x:v>
      </x:c>
      <x:c r="Q1158" s="36" t="n">
        <x:v>46227</x:v>
      </x:c>
    </x:row>
    <x:row r="1159">
      <x:c r="A1159" s="36" t="str">
        <x:v>2026-07-24</x:v>
      </x:c>
      <x:c r="B1159" s="18" t="str">
        <x:v>101437000_83911</x:v>
      </x:c>
      <x:c r="C1159" s="18" t="str">
        <x:v>【沪村小电】金瀚园充电站</x:v>
      </x:c>
      <x:c r="D1159" s="37" t="str">
        <x:v>2</x:v>
      </x:c>
      <x:c r="E1159" s="37" t="str">
        <x:v>0</x:v>
      </x:c>
      <x:c r="F1159" s="37" t="str">
        <x:v>47</x:v>
      </x:c>
      <x:c r="G1159" s="37" t="str">
        <x:v>1267.14</x:v>
      </x:c>
      <x:c r="H1159" s="37" t="str">
        <x:v>0.00</x:v>
      </x:c>
      <x:c r="I1159" s="37" t="str">
        <x:v>745.50</x:v>
      </x:c>
      <x:c r="J1159" s="37" t="str">
        <x:v>0.00</x:v>
      </x:c>
      <x:c r="K1159" s="37" t="str">
        <x:v>521.64</x:v>
      </x:c>
      <x:c r="L1159" s="37" t="str">
        <x:v>1894</x:v>
      </x:c>
      <x:c r="M1159" s="29" t="str">
        <x:v>1099.00</x:v>
      </x:c>
      <x:c r="N1159" s="29" t="str">
        <x:v>722.32</x:v>
      </x:c>
      <x:c r="O1159" s="29" t="str">
        <x:v>376.68</x:v>
      </x:c>
      <x:c r="P1159" s="18" t="str">
        <x:v>2026-07-24</x:v>
      </x:c>
      <x:c r="Q1159" s="36" t="n">
        <x:v>46227</x:v>
      </x:c>
    </x:row>
    <x:row r="1160">
      <x:c r="A1160" s="36" t="str">
        <x:v>2026-07-24</x:v>
      </x:c>
      <x:c r="B1160" s="18" t="str">
        <x:v>101437000_83913</x:v>
      </x:c>
      <x:c r="C1160" s="18" t="str">
        <x:v>【沪村小电】新黎村充电站</x:v>
      </x:c>
      <x:c r="D1160" s="37" t="str">
        <x:v>2</x:v>
      </x:c>
      <x:c r="E1160" s="37" t="str">
        <x:v>0</x:v>
      </x:c>
      <x:c r="F1160" s="37" t="str">
        <x:v>63</x:v>
      </x:c>
      <x:c r="G1160" s="37" t="str">
        <x:v>1582.36</x:v>
      </x:c>
      <x:c r="H1160" s="37" t="str">
        <x:v>0.00</x:v>
      </x:c>
      <x:c r="I1160" s="37" t="str">
        <x:v>1232.48</x:v>
      </x:c>
      <x:c r="J1160" s="37" t="str">
        <x:v>0.00</x:v>
      </x:c>
      <x:c r="K1160" s="37" t="str">
        <x:v>349.87</x:v>
      </x:c>
      <x:c r="L1160" s="37" t="str">
        <x:v>2348</x:v>
      </x:c>
      <x:c r="M1160" s="29" t="str">
        <x:v>1447.26</x:v>
      </x:c>
      <x:c r="N1160" s="29" t="str">
        <x:v>1004.55</x:v>
      </x:c>
      <x:c r="O1160" s="29" t="str">
        <x:v>442.71</x:v>
      </x:c>
      <x:c r="P1160" s="18" t="str">
        <x:v>2026-07-24</x:v>
      </x:c>
      <x:c r="Q1160" s="36" t="n">
        <x:v>46227</x:v>
      </x:c>
    </x:row>
    <x:row r="1161">
      <x:c r="A1161" s="36" t="str">
        <x:v>2026-07-24</x:v>
      </x:c>
      <x:c r="B1161" s="18" t="str">
        <x:v>101437000_83915</x:v>
      </x:c>
      <x:c r="C1161" s="18" t="str">
        <x:v>【沪村小电】长泰西郊别墅充电站</x:v>
      </x:c>
      <x:c r="D1161" s="37" t="str">
        <x:v>2</x:v>
      </x:c>
      <x:c r="E1161" s="37" t="str">
        <x:v>0</x:v>
      </x:c>
      <x:c r="F1161" s="37" t="str">
        <x:v>18</x:v>
      </x:c>
      <x:c r="G1161" s="37" t="str">
        <x:v>429.73</x:v>
      </x:c>
      <x:c r="H1161" s="37" t="str">
        <x:v>0.00</x:v>
      </x:c>
      <x:c r="I1161" s="37" t="str">
        <x:v>246.66</x:v>
      </x:c>
      <x:c r="J1161" s="37" t="str">
        <x:v>0.00</x:v>
      </x:c>
      <x:c r="K1161" s="37" t="str">
        <x:v>183.07</x:v>
      </x:c>
      <x:c r="L1161" s="37" t="str">
        <x:v>586</x:v>
      </x:c>
      <x:c r="M1161" s="29" t="str">
        <x:v>373.83</x:v>
      </x:c>
      <x:c r="N1161" s="29" t="str">
        <x:v>242.86</x:v>
      </x:c>
      <x:c r="O1161" s="29" t="str">
        <x:v>130.97</x:v>
      </x:c>
      <x:c r="P1161" s="18" t="str">
        <x:v>2026-07-24</x:v>
      </x:c>
      <x:c r="Q1161" s="36" t="n">
        <x:v>46227</x:v>
      </x:c>
    </x:row>
    <x:row r="1162">
      <x:c r="A1162" s="36" t="str">
        <x:v>2026-07-24</x:v>
      </x:c>
      <x:c r="B1162" s="18" t="str">
        <x:v>101437000_83917</x:v>
      </x:c>
      <x:c r="C1162" s="18" t="str">
        <x:v>【沪村小电】旭新华庭充电站</x:v>
      </x:c>
      <x:c r="D1162" s="37" t="str">
        <x:v>4</x:v>
      </x:c>
      <x:c r="E1162" s="37" t="str">
        <x:v>0</x:v>
      </x:c>
      <x:c r="F1162" s="37" t="str">
        <x:v>30</x:v>
      </x:c>
      <x:c r="G1162" s="37" t="str">
        <x:v>593.20</x:v>
      </x:c>
      <x:c r="H1162" s="37" t="str">
        <x:v>0.00</x:v>
      </x:c>
      <x:c r="I1162" s="37" t="str">
        <x:v>443.55</x:v>
      </x:c>
      <x:c r="J1162" s="37" t="str">
        <x:v>0.00</x:v>
      </x:c>
      <x:c r="K1162" s="37" t="str">
        <x:v>149.66</x:v>
      </x:c>
      <x:c r="L1162" s="37" t="str">
        <x:v>980</x:v>
      </x:c>
      <x:c r="M1162" s="29" t="str">
        <x:v>639.75</x:v>
      </x:c>
      <x:c r="N1162" s="29" t="str">
        <x:v>370.30</x:v>
      </x:c>
      <x:c r="O1162" s="29" t="str">
        <x:v>269.45</x:v>
      </x:c>
      <x:c r="P1162" s="18" t="str">
        <x:v>2026-07-24</x:v>
      </x:c>
      <x:c r="Q1162" s="36" t="n">
        <x:v>46227</x:v>
      </x:c>
    </x:row>
    <x:row r="1163">
      <x:c r="A1163" s="36" t="str">
        <x:v>2026-07-24</x:v>
      </x:c>
      <x:c r="B1163" s="18" t="str">
        <x:v>101437000_83919</x:v>
      </x:c>
      <x:c r="C1163" s="18" t="str">
        <x:v>【沪村小电】浦锦名仕嘉园充电站</x:v>
      </x:c>
      <x:c r="D1163" s="37" t="str">
        <x:v>4</x:v>
      </x:c>
      <x:c r="E1163" s="37" t="str">
        <x:v>0</x:v>
      </x:c>
      <x:c r="F1163" s="37" t="str">
        <x:v>43</x:v>
      </x:c>
      <x:c r="G1163" s="37" t="str">
        <x:v>1096.79</x:v>
      </x:c>
      <x:c r="H1163" s="37" t="str">
        <x:v>0.00</x:v>
      </x:c>
      <x:c r="I1163" s="37" t="str">
        <x:v>0.00</x:v>
      </x:c>
      <x:c r="J1163" s="37" t="str">
        <x:v>1096.79</x:v>
      </x:c>
      <x:c r="K1163" s="37" t="str">
        <x:v>0.00</x:v>
      </x:c>
      <x:c r="L1163" s="37" t="str">
        <x:v>1560</x:v>
      </x:c>
      <x:c r="M1163" s="29" t="str">
        <x:v>1165.21</x:v>
      </x:c>
      <x:c r="N1163" s="29" t="str">
        <x:v>767.74</x:v>
      </x:c>
      <x:c r="O1163" s="29" t="str">
        <x:v>397.47</x:v>
      </x:c>
      <x:c r="P1163" s="18" t="str">
        <x:v>2026-07-24</x:v>
      </x:c>
      <x:c r="Q1163" s="36" t="n">
        <x:v>46227</x:v>
      </x:c>
    </x:row>
    <x:row r="1164">
      <x:c r="A1164" s="36" t="str">
        <x:v>2026-07-24</x:v>
      </x:c>
      <x:c r="B1164" s="18" t="str">
        <x:v>101437000_83921</x:v>
      </x:c>
      <x:c r="C1164" s="18" t="str">
        <x:v>【沪村小电】上海联怡枇杷乐园充电站（地库）</x:v>
      </x:c>
      <x:c r="D1164" s="37" t="str">
        <x:v>8</x:v>
      </x:c>
      <x:c r="E1164" s="37" t="str">
        <x:v>0</x:v>
      </x:c>
      <x:c r="F1164" s="37" t="str">
        <x:v>20</x:v>
      </x:c>
      <x:c r="G1164" s="37" t="str">
        <x:v>419.15</x:v>
      </x:c>
      <x:c r="H1164" s="37" t="str">
        <x:v>0.00</x:v>
      </x:c>
      <x:c r="I1164" s="37" t="str">
        <x:v>182.79</x:v>
      </x:c>
      <x:c r="J1164" s="37" t="str">
        <x:v>0.00</x:v>
      </x:c>
      <x:c r="K1164" s="37" t="str">
        <x:v>236.37</x:v>
      </x:c>
      <x:c r="L1164" s="37" t="str">
        <x:v>788</x:v>
      </x:c>
      <x:c r="M1164" s="29" t="str">
        <x:v>312.96</x:v>
      </x:c>
      <x:c r="N1164" s="29" t="str">
        <x:v>273.22</x:v>
      </x:c>
      <x:c r="O1164" s="29" t="str">
        <x:v>39.74</x:v>
      </x:c>
      <x:c r="P1164" s="18" t="str">
        <x:v>2026-07-24</x:v>
      </x:c>
      <x:c r="Q1164" s="36" t="n">
        <x:v>46227</x:v>
      </x:c>
    </x:row>
    <x:row r="1165">
      <x:c r="A1165" s="36" t="str">
        <x:v>2026-07-24</x:v>
      </x:c>
      <x:c r="B1165" s="18" t="str">
        <x:v>101437000_83923</x:v>
      </x:c>
      <x:c r="C1165" s="18" t="str">
        <x:v>【沪村小电】明珠新苑充电站</x:v>
      </x:c>
      <x:c r="D1165" s="37" t="str">
        <x:v>2</x:v>
      </x:c>
      <x:c r="E1165" s="37" t="str">
        <x:v>0</x:v>
      </x:c>
      <x:c r="F1165" s="37" t="str">
        <x:v>31</x:v>
      </x:c>
      <x:c r="G1165" s="37" t="str">
        <x:v>872.15</x:v>
      </x:c>
      <x:c r="H1165" s="37" t="str">
        <x:v>0.00</x:v>
      </x:c>
      <x:c r="I1165" s="37" t="str">
        <x:v>697.91</x:v>
      </x:c>
      <x:c r="J1165" s="37" t="str">
        <x:v>0.00</x:v>
      </x:c>
      <x:c r="K1165" s="37" t="str">
        <x:v>174.24</x:v>
      </x:c>
      <x:c r="L1165" s="37" t="str">
        <x:v>1168</x:v>
      </x:c>
      <x:c r="M1165" s="29" t="str">
        <x:v>858.93</x:v>
      </x:c>
      <x:c r="N1165" s="29" t="str">
        <x:v>559.99</x:v>
      </x:c>
      <x:c r="O1165" s="29" t="str">
        <x:v>298.94</x:v>
      </x:c>
      <x:c r="P1165" s="18" t="str">
        <x:v>2026-07-24</x:v>
      </x:c>
      <x:c r="Q1165" s="36" t="n">
        <x:v>46227</x:v>
      </x:c>
    </x:row>
    <x:row r="1166">
      <x:c r="A1166" s="36" t="str">
        <x:v>2026-07-24</x:v>
      </x:c>
      <x:c r="B1166" s="18" t="str">
        <x:v>101437000_84289</x:v>
      </x:c>
      <x:c r="C1166" s="18" t="str">
        <x:v>【沪村小电】铁建芳华苑充电站</x:v>
      </x:c>
      <x:c r="D1166" s="37" t="str">
        <x:v>4</x:v>
      </x:c>
      <x:c r="E1166" s="37" t="str">
        <x:v>0</x:v>
      </x:c>
      <x:c r="F1166" s="37" t="str">
        <x:v>43</x:v>
      </x:c>
      <x:c r="G1166" s="37" t="str">
        <x:v>963.24</x:v>
      </x:c>
      <x:c r="H1166" s="37" t="str">
        <x:v>0.00</x:v>
      </x:c>
      <x:c r="I1166" s="37" t="str">
        <x:v>577.11</x:v>
      </x:c>
      <x:c r="J1166" s="37" t="str">
        <x:v>0.00</x:v>
      </x:c>
      <x:c r="K1166" s="37" t="str">
        <x:v>386.13</x:v>
      </x:c>
      <x:c r="L1166" s="37" t="str">
        <x:v>1557</x:v>
      </x:c>
      <x:c r="M1166" s="29" t="str">
        <x:v>872.04</x:v>
      </x:c>
      <x:c r="N1166" s="29" t="str">
        <x:v>552.62</x:v>
      </x:c>
      <x:c r="O1166" s="29" t="str">
        <x:v>319.42</x:v>
      </x:c>
      <x:c r="P1166" s="18" t="str">
        <x:v>2026-07-24</x:v>
      </x:c>
      <x:c r="Q1166" s="36" t="n">
        <x:v>46227</x:v>
      </x:c>
    </x:row>
    <x:row r="1167">
      <x:c r="A1167" s="36" t="str">
        <x:v>2026-07-24</x:v>
      </x:c>
      <x:c r="B1167" s="18" t="str">
        <x:v>101437000_86379</x:v>
      </x:c>
      <x:c r="C1167" s="18" t="str">
        <x:v>【沪村小电】新宝社区充电站</x:v>
      </x:c>
      <x:c r="D1167" s="37" t="str">
        <x:v>4</x:v>
      </x:c>
      <x:c r="E1167" s="37" t="str">
        <x:v>0</x:v>
      </x:c>
      <x:c r="F1167" s="37" t="str">
        <x:v>33</x:v>
      </x:c>
      <x:c r="G1167" s="37" t="str">
        <x:v>561.27</x:v>
      </x:c>
      <x:c r="H1167" s="37" t="str">
        <x:v>0.00</x:v>
      </x:c>
      <x:c r="I1167" s="37" t="str">
        <x:v>321.24</x:v>
      </x:c>
      <x:c r="J1167" s="37" t="str">
        <x:v>0.00</x:v>
      </x:c>
      <x:c r="K1167" s="37" t="str">
        <x:v>240.03</x:v>
      </x:c>
      <x:c r="L1167" s="37" t="str">
        <x:v>879</x:v>
      </x:c>
      <x:c r="M1167" s="29" t="str">
        <x:v>465.22</x:v>
      </x:c>
      <x:c r="N1167" s="29" t="str">
        <x:v>316.89</x:v>
      </x:c>
      <x:c r="O1167" s="29" t="str">
        <x:v>148.33</x:v>
      </x:c>
      <x:c r="P1167" s="18" t="str">
        <x:v>2026-07-24</x:v>
      </x:c>
      <x:c r="Q1167" s="36" t="n">
        <x:v>46227</x:v>
      </x:c>
    </x:row>
    <x:row r="1168">
      <x:c r="A1168" s="36" t="str">
        <x:v>2026-07-24</x:v>
      </x:c>
      <x:c r="B1168" s="18" t="str">
        <x:v>101437000_89441</x:v>
      </x:c>
      <x:c r="C1168" s="18" t="str">
        <x:v>【沪村小电】首创禧瑞云启西区充电站</x:v>
      </x:c>
      <x:c r="D1168" s="37" t="str">
        <x:v>2</x:v>
      </x:c>
      <x:c r="E1168" s="37" t="str">
        <x:v>0</x:v>
      </x:c>
      <x:c r="F1168" s="37" t="str">
        <x:v>38</x:v>
      </x:c>
      <x:c r="G1168" s="37" t="str">
        <x:v>978.95</x:v>
      </x:c>
      <x:c r="H1168" s="37" t="str">
        <x:v>0.00</x:v>
      </x:c>
      <x:c r="I1168" s="37" t="str">
        <x:v>573.42</x:v>
      </x:c>
      <x:c r="J1168" s="37" t="str">
        <x:v>0.00</x:v>
      </x:c>
      <x:c r="K1168" s="37" t="str">
        <x:v>405.53</x:v>
      </x:c>
      <x:c r="L1168" s="37" t="str">
        <x:v>1229</x:v>
      </x:c>
      <x:c r="M1168" s="29" t="str">
        <x:v>911.23</x:v>
      </x:c>
      <x:c r="N1168" s="29" t="str">
        <x:v>557.20</x:v>
      </x:c>
      <x:c r="O1168" s="29" t="str">
        <x:v>354.03</x:v>
      </x:c>
      <x:c r="P1168" s="18" t="str">
        <x:v>2026-07-24</x:v>
      </x:c>
      <x:c r="Q1168" s="36" t="n">
        <x:v>46227</x:v>
      </x:c>
    </x:row>
    <x:row r="1169">
      <x:c r="A1169" s="36" t="str">
        <x:v>2026-07-24</x:v>
      </x:c>
      <x:c r="B1169" s="18" t="str">
        <x:v>101437000_89443</x:v>
      </x:c>
      <x:c r="C1169" s="18" t="str">
        <x:v>【沪村小电】玉兰清苑二期充电站</x:v>
      </x:c>
      <x:c r="D1169" s="37" t="str">
        <x:v>2</x:v>
      </x:c>
      <x:c r="E1169" s="37" t="str">
        <x:v>0</x:v>
      </x:c>
      <x:c r="F1169" s="37" t="str">
        <x:v>29</x:v>
      </x:c>
      <x:c r="G1169" s="37" t="str">
        <x:v>616.54</x:v>
      </x:c>
      <x:c r="H1169" s="37" t="str">
        <x:v>0.00</x:v>
      </x:c>
      <x:c r="I1169" s="37" t="str">
        <x:v>561.13</x:v>
      </x:c>
      <x:c r="J1169" s="37" t="str">
        <x:v>0.00</x:v>
      </x:c>
      <x:c r="K1169" s="37" t="str">
        <x:v>55.42</x:v>
      </x:c>
      <x:c r="L1169" s="37" t="str">
        <x:v>927</x:v>
      </x:c>
      <x:c r="M1169" s="29" t="str">
        <x:v>630.20</x:v>
      </x:c>
      <x:c r="N1169" s="29" t="str">
        <x:v>418.88</x:v>
      </x:c>
      <x:c r="O1169" s="29" t="str">
        <x:v>211.32</x:v>
      </x:c>
      <x:c r="P1169" s="18" t="str">
        <x:v>2026-07-24</x:v>
      </x:c>
      <x:c r="Q1169" s="36" t="n">
        <x:v>46227</x:v>
      </x:c>
    </x:row>
    <x:row r="1170">
      <x:c r="A1170" s="36" t="str">
        <x:v>2026-07-24</x:v>
      </x:c>
      <x:c r="B1170" s="18" t="str">
        <x:v>101437000_93115</x:v>
      </x:c>
      <x:c r="C1170" s="18" t="str">
        <x:v>【沪村小电】新南家园西北门</x:v>
      </x:c>
      <x:c r="D1170" s="37" t="str">
        <x:v>2</x:v>
      </x:c>
      <x:c r="E1170" s="37" t="str">
        <x:v>0</x:v>
      </x:c>
      <x:c r="F1170" s="37" t="str">
        <x:v>21</x:v>
      </x:c>
      <x:c r="G1170" s="37" t="str">
        <x:v>612.83</x:v>
      </x:c>
      <x:c r="H1170" s="37" t="str">
        <x:v>0.00</x:v>
      </x:c>
      <x:c r="I1170" s="37" t="str">
        <x:v>339.26</x:v>
      </x:c>
      <x:c r="J1170" s="37" t="str">
        <x:v>0.00</x:v>
      </x:c>
      <x:c r="K1170" s="37" t="str">
        <x:v>273.57</x:v>
      </x:c>
      <x:c r="L1170" s="37" t="str">
        <x:v>969</x:v>
      </x:c>
      <x:c r="M1170" s="29" t="str">
        <x:v>519.84</x:v>
      </x:c>
      <x:c r="N1170" s="29" t="str">
        <x:v>342.11</x:v>
      </x:c>
      <x:c r="O1170" s="29" t="str">
        <x:v>177.73</x:v>
      </x:c>
      <x:c r="P1170" s="18" t="str">
        <x:v>2026-07-24</x:v>
      </x:c>
      <x:c r="Q1170" s="36" t="n">
        <x:v>46227</x:v>
      </x:c>
    </x:row>
    <x:row r="1171">
      <x:c r="A1171" s="36" t="str">
        <x:v>2026-07-24</x:v>
      </x:c>
      <x:c r="B1171" s="18" t="str">
        <x:v>101437000_94649</x:v>
      </x:c>
      <x:c r="C1171" s="18" t="str">
        <x:v>【沪村小电】浪琴水岸花园</x:v>
      </x:c>
      <x:c r="D1171" s="37" t="str">
        <x:v>4</x:v>
      </x:c>
      <x:c r="E1171" s="37" t="str">
        <x:v>0</x:v>
      </x:c>
      <x:c r="F1171" s="37" t="str">
        <x:v>35</x:v>
      </x:c>
      <x:c r="G1171" s="37" t="str">
        <x:v>805.66</x:v>
      </x:c>
      <x:c r="H1171" s="37" t="str">
        <x:v>0.00</x:v>
      </x:c>
      <x:c r="I1171" s="37" t="str">
        <x:v>323.56</x:v>
      </x:c>
      <x:c r="J1171" s="37" t="str">
        <x:v>0.00</x:v>
      </x:c>
      <x:c r="K1171" s="37" t="str">
        <x:v>482.09</x:v>
      </x:c>
      <x:c r="L1171" s="37" t="str">
        <x:v>1568</x:v>
      </x:c>
      <x:c r="M1171" s="29" t="str">
        <x:v>594.99</x:v>
      </x:c>
      <x:c r="N1171" s="29" t="str">
        <x:v>456.32</x:v>
      </x:c>
      <x:c r="O1171" s="29" t="str">
        <x:v>138.67</x:v>
      </x:c>
      <x:c r="P1171" s="18" t="str">
        <x:v>2026-07-24</x:v>
      </x:c>
      <x:c r="Q1171" s="36" t="n">
        <x:v>46227</x:v>
      </x:c>
    </x:row>
    <x:row r="1172">
      <x:c r="A1172" s="36" t="str">
        <x:v>2026-07-24</x:v>
      </x:c>
      <x:c r="B1172" s="18" t="str">
        <x:v>101437000_95077</x:v>
      </x:c>
      <x:c r="C1172" s="18" t="str">
        <x:v>【沪村小电】民乐城惠益绿苑255弄充电站</x:v>
      </x:c>
      <x:c r="D1172" s="37" t="str">
        <x:v>2</x:v>
      </x:c>
      <x:c r="E1172" s="37" t="str">
        <x:v>0</x:v>
      </x:c>
      <x:c r="F1172" s="37" t="str">
        <x:v>18</x:v>
      </x:c>
      <x:c r="G1172" s="37" t="str">
        <x:v>317.43</x:v>
      </x:c>
      <x:c r="H1172" s="37" t="str">
        <x:v>0.00</x:v>
      </x:c>
      <x:c r="I1172" s="37" t="str">
        <x:v>245.35</x:v>
      </x:c>
      <x:c r="J1172" s="37" t="str">
        <x:v>0.00</x:v>
      </x:c>
      <x:c r="K1172" s="37" t="str">
        <x:v>72.08</x:v>
      </x:c>
      <x:c r="L1172" s="37" t="str">
        <x:v>615</x:v>
      </x:c>
      <x:c r="M1172" s="29" t="str">
        <x:v>307.51</x:v>
      </x:c>
      <x:c r="N1172" s="29" t="str">
        <x:v>200.85</x:v>
      </x:c>
      <x:c r="O1172" s="29" t="str">
        <x:v>106.66</x:v>
      </x:c>
      <x:c r="P1172" s="18" t="str">
        <x:v>2026-07-24</x:v>
      </x:c>
      <x:c r="Q1172" s="36" t="n">
        <x:v>46227</x:v>
      </x:c>
    </x:row>
    <x:row r="1173">
      <x:c r="A1173" s="36" t="str">
        <x:v>2026-07-24</x:v>
      </x:c>
      <x:c r="B1173" s="18" t="str">
        <x:v>101437000_95079</x:v>
      </x:c>
      <x:c r="C1173" s="18" t="str">
        <x:v>【沪村小电】民乐城惠益绿苑东苑充电站</x:v>
      </x:c>
      <x:c r="D1173" s="37" t="str">
        <x:v>2</x:v>
      </x:c>
      <x:c r="E1173" s="37" t="str">
        <x:v>0</x:v>
      </x:c>
      <x:c r="F1173" s="37" t="str">
        <x:v>22</x:v>
      </x:c>
      <x:c r="G1173" s="37" t="str">
        <x:v>478.90</x:v>
      </x:c>
      <x:c r="H1173" s="37" t="str">
        <x:v>0.00</x:v>
      </x:c>
      <x:c r="I1173" s="37" t="str">
        <x:v>312.59</x:v>
      </x:c>
      <x:c r="J1173" s="37" t="str">
        <x:v>0.00</x:v>
      </x:c>
      <x:c r="K1173" s="37" t="str">
        <x:v>166.32</x:v>
      </x:c>
      <x:c r="L1173" s="37" t="str">
        <x:v>776</x:v>
      </x:c>
      <x:c r="M1173" s="29" t="str">
        <x:v>397.71</x:v>
      </x:c>
      <x:c r="N1173" s="29" t="str">
        <x:v>283.46</x:v>
      </x:c>
      <x:c r="O1173" s="29" t="str">
        <x:v>114.25</x:v>
      </x:c>
      <x:c r="P1173" s="18" t="str">
        <x:v>2026-07-24</x:v>
      </x:c>
      <x:c r="Q1173" s="36" t="n">
        <x:v>46227</x:v>
      </x:c>
    </x:row>
    <x:row r="1174">
      <x:c r="A1174" s="36" t="str">
        <x:v>2026-07-24</x:v>
      </x:c>
      <x:c r="B1174" s="18" t="str">
        <x:v>101437000_95081</x:v>
      </x:c>
      <x:c r="C1174" s="18" t="str">
        <x:v>【沪村小电】民乐城惠益绿苑西苑充电站</x:v>
      </x:c>
      <x:c r="D1174" s="37" t="str">
        <x:v>2</x:v>
      </x:c>
      <x:c r="E1174" s="37" t="str">
        <x:v>0</x:v>
      </x:c>
      <x:c r="F1174" s="37" t="str">
        <x:v>8</x:v>
      </x:c>
      <x:c r="G1174" s="37" t="str">
        <x:v>191.87</x:v>
      </x:c>
      <x:c r="H1174" s="37" t="str">
        <x:v>0.00</x:v>
      </x:c>
      <x:c r="I1174" s="37" t="str">
        <x:v>177.15</x:v>
      </x:c>
      <x:c r="J1174" s="37" t="str">
        <x:v>0.00</x:v>
      </x:c>
      <x:c r="K1174" s="37" t="str">
        <x:v>14.71</x:v>
      </x:c>
      <x:c r="L1174" s="37" t="str">
        <x:v>325</x:v>
      </x:c>
      <x:c r="M1174" s="29" t="str">
        <x:v>209.16</x:v>
      </x:c>
      <x:c r="N1174" s="29" t="str">
        <x:v>131.22</x:v>
      </x:c>
      <x:c r="O1174" s="29" t="str">
        <x:v>77.94</x:v>
      </x:c>
      <x:c r="P1174" s="18" t="str">
        <x:v>2026-07-24</x:v>
      </x:c>
      <x:c r="Q1174" s="36" t="n">
        <x:v>46227</x:v>
      </x:c>
    </x:row>
    <x:row r="1175">
      <x:c r="A1175" s="36" t="str">
        <x:v>2026-07-24</x:v>
      </x:c>
      <x:c r="B1175" s="18" t="str">
        <x:v>101437000_95941</x:v>
      </x:c>
      <x:c r="C1175" s="18" t="str">
        <x:v>【沪村小电】惠诚雅苑</x:v>
      </x:c>
      <x:c r="D1175" s="37" t="str">
        <x:v>4</x:v>
      </x:c>
      <x:c r="E1175" s="37" t="str">
        <x:v>0</x:v>
      </x:c>
      <x:c r="F1175" s="37" t="str">
        <x:v>46</x:v>
      </x:c>
      <x:c r="G1175" s="37" t="str">
        <x:v>1338.62</x:v>
      </x:c>
      <x:c r="H1175" s="37" t="str">
        <x:v>0.00</x:v>
      </x:c>
      <x:c r="I1175" s="37" t="str">
        <x:v>611.91</x:v>
      </x:c>
      <x:c r="J1175" s="37" t="str">
        <x:v>0.00</x:v>
      </x:c>
      <x:c r="K1175" s="37" t="str">
        <x:v>726.71</x:v>
      </x:c>
      <x:c r="L1175" s="37" t="str">
        <x:v>2168</x:v>
      </x:c>
      <x:c r="M1175" s="29" t="str">
        <x:v>878.27</x:v>
      </x:c>
      <x:c r="N1175" s="29" t="str">
        <x:v>586.31</x:v>
      </x:c>
      <x:c r="O1175" s="29" t="str">
        <x:v>291.96</x:v>
      </x:c>
      <x:c r="P1175" s="18" t="str">
        <x:v>2026-07-24</x:v>
      </x:c>
      <x:c r="Q1175" s="36" t="n">
        <x:v>46227</x:v>
      </x:c>
    </x:row>
    <x:row r="1176">
      <x:c r="A1176" s="36" t="str">
        <x:v>2026-07-24</x:v>
      </x:c>
      <x:c r="B1176" s="18" t="str">
        <x:v>101437000_96401</x:v>
      </x:c>
      <x:c r="C1176" s="18" t="str">
        <x:v>【沪村小电】上海联怡枇杷乐园地面站</x:v>
      </x:c>
      <x:c r="D1176" s="37" t="str">
        <x:v>2</x:v>
      </x:c>
      <x:c r="E1176" s="37" t="str">
        <x:v>0</x:v>
      </x:c>
      <x:c r="F1176" s="37" t="str">
        <x:v>10</x:v>
      </x:c>
      <x:c r="G1176" s="37" t="str">
        <x:v>202.05</x:v>
      </x:c>
      <x:c r="H1176" s="37" t="str">
        <x:v>0.00</x:v>
      </x:c>
      <x:c r="I1176" s="37" t="str">
        <x:v>97.16</x:v>
      </x:c>
      <x:c r="J1176" s="37" t="str">
        <x:v>0.00</x:v>
      </x:c>
      <x:c r="K1176" s="37" t="str">
        <x:v>104.89</x:v>
      </x:c>
      <x:c r="L1176" s="37" t="str">
        <x:v>398</x:v>
      </x:c>
      <x:c r="M1176" s="29" t="str">
        <x:v>165.08</x:v>
      </x:c>
      <x:c r="N1176" s="29" t="str">
        <x:v>135.70</x:v>
      </x:c>
      <x:c r="O1176" s="29" t="str">
        <x:v>29.38</x:v>
      </x:c>
      <x:c r="P1176" s="18" t="str">
        <x:v>2026-07-24</x:v>
      </x:c>
      <x:c r="Q1176" s="36" t="n">
        <x:v>46227</x:v>
      </x:c>
    </x:row>
    <x:row r="1177">
      <x:c r="A1177" s="36" t="str">
        <x:v>2026-07-24</x:v>
      </x:c>
      <x:c r="B1177" s="18" t="str">
        <x:v>101437000_96719</x:v>
      </x:c>
      <x:c r="C1177" s="18" t="str">
        <x:v>【沪村小电】四达路220弄充电站</x:v>
      </x:c>
      <x:c r="D1177" s="37" t="str">
        <x:v>2</x:v>
      </x:c>
      <x:c r="E1177" s="37" t="str">
        <x:v>0</x:v>
      </x:c>
      <x:c r="F1177" s="37" t="str">
        <x:v>4</x:v>
      </x:c>
      <x:c r="G1177" s="37" t="str">
        <x:v>79.69</x:v>
      </x:c>
      <x:c r="H1177" s="37" t="str">
        <x:v>0.00</x:v>
      </x:c>
      <x:c r="I1177" s="37" t="str">
        <x:v>62.75</x:v>
      </x:c>
      <x:c r="J1177" s="37" t="str">
        <x:v>0.00</x:v>
      </x:c>
      <x:c r="K1177" s="37" t="str">
        <x:v>16.95</x:v>
      </x:c>
      <x:c r="L1177" s="37" t="str">
        <x:v>85</x:v>
      </x:c>
      <x:c r="M1177" s="29" t="str">
        <x:v>81.99</x:v>
      </x:c>
      <x:c r="N1177" s="29" t="str">
        <x:v>50.82</x:v>
      </x:c>
      <x:c r="O1177" s="29" t="str">
        <x:v>31.17</x:v>
      </x:c>
      <x:c r="P1177" s="18" t="str">
        <x:v>2026-07-24</x:v>
      </x:c>
      <x:c r="Q1177" s="36" t="n">
        <x:v>46227</x:v>
      </x:c>
    </x:row>
    <x:row r="1178">
      <x:c r="A1178" s="36" t="str">
        <x:v>2026-07-24</x:v>
      </x:c>
      <x:c r="B1178" s="18" t="str">
        <x:v>101437000_97421</x:v>
      </x:c>
      <x:c r="C1178" s="18" t="str">
        <x:v>【沪村小电】玉兰清苑二期（小区外）充电站</x:v>
      </x:c>
      <x:c r="D1178" s="37" t="str">
        <x:v>4</x:v>
      </x:c>
      <x:c r="E1178" s="37" t="str">
        <x:v>0</x:v>
      </x:c>
      <x:c r="F1178" s="37" t="str">
        <x:v>48</x:v>
      </x:c>
      <x:c r="G1178" s="37" t="str">
        <x:v>1011.11</x:v>
      </x:c>
      <x:c r="H1178" s="37" t="str">
        <x:v>0.00</x:v>
      </x:c>
      <x:c r="I1178" s="37" t="str">
        <x:v>775.20</x:v>
      </x:c>
      <x:c r="J1178" s="37" t="str">
        <x:v>0.00</x:v>
      </x:c>
      <x:c r="K1178" s="37" t="str">
        <x:v>235.92</x:v>
      </x:c>
      <x:c r="L1178" s="37" t="str">
        <x:v>1971</x:v>
      </x:c>
      <x:c r="M1178" s="29" t="str">
        <x:v>911.82</x:v>
      </x:c>
      <x:c r="N1178" s="29" t="str">
        <x:v>637.65</x:v>
      </x:c>
      <x:c r="O1178" s="29" t="str">
        <x:v>274.17</x:v>
      </x:c>
      <x:c r="P1178" s="18" t="str">
        <x:v>2026-07-24</x:v>
      </x:c>
      <x:c r="Q1178" s="36" t="n">
        <x:v>46227</x:v>
      </x:c>
    </x:row>
    <x:row r="1179">
      <x:c r="A1179" s="36" t="str">
        <x:v>2026-07-24</x:v>
      </x:c>
      <x:c r="B1179" s="18" t="str">
        <x:v>101437000_98013</x:v>
      </x:c>
      <x:c r="C1179" s="18" t="str">
        <x:v>【沪村小电】恒大滨江华府充电站</x:v>
      </x:c>
      <x:c r="D1179" s="37" t="str">
        <x:v>4</x:v>
      </x:c>
      <x:c r="E1179" s="37" t="str">
        <x:v>0</x:v>
      </x:c>
      <x:c r="F1179" s="37" t="str">
        <x:v>54</x:v>
      </x:c>
      <x:c r="G1179" s="37" t="str">
        <x:v>953.93</x:v>
      </x:c>
      <x:c r="H1179" s="37" t="str">
        <x:v>0.00</x:v>
      </x:c>
      <x:c r="I1179" s="37" t="str">
        <x:v>918.37</x:v>
      </x:c>
      <x:c r="J1179" s="37" t="str">
        <x:v>0.00</x:v>
      </x:c>
      <x:c r="K1179" s="37" t="str">
        <x:v>35.56</x:v>
      </x:c>
      <x:c r="L1179" s="37" t="str">
        <x:v>1654</x:v>
      </x:c>
      <x:c r="M1179" s="29" t="str">
        <x:v>1066.30</x:v>
      </x:c>
      <x:c r="N1179" s="29" t="str">
        <x:v>842.91</x:v>
      </x:c>
      <x:c r="O1179" s="29" t="str">
        <x:v>223.39</x:v>
      </x:c>
      <x:c r="P1179" s="18" t="str">
        <x:v>2026-07-24</x:v>
      </x:c>
      <x:c r="Q1179" s="36" t="n">
        <x:v>46227</x:v>
      </x:c>
    </x:row>
    <x:row r="1180">
      <x:c r="A1180" s="36" t="str">
        <x:v>2026-07-24</x:v>
      </x:c>
      <x:c r="B1180" s="18" t="str">
        <x:v>101437000_98863</x:v>
      </x:c>
      <x:c r="C1180" s="18" t="str">
        <x:v>【沪村小电】欣菊苑充电站</x:v>
      </x:c>
      <x:c r="D1180" s="37" t="str">
        <x:v>4</x:v>
      </x:c>
      <x:c r="E1180" s="37" t="str">
        <x:v>0</x:v>
      </x:c>
      <x:c r="F1180" s="37" t="str">
        <x:v>9</x:v>
      </x:c>
      <x:c r="G1180" s="37" t="str">
        <x:v>177.72</x:v>
      </x:c>
      <x:c r="H1180" s="37" t="str">
        <x:v>0.00</x:v>
      </x:c>
      <x:c r="I1180" s="37" t="str">
        <x:v>156.98</x:v>
      </x:c>
      <x:c r="J1180" s="37" t="str">
        <x:v>0.00</x:v>
      </x:c>
      <x:c r="K1180" s="37" t="str">
        <x:v>20.73</x:v>
      </x:c>
      <x:c r="L1180" s="37" t="str">
        <x:v>287</x:v>
      </x:c>
      <x:c r="M1180" s="29" t="str">
        <x:v>166.31</x:v>
      </x:c>
      <x:c r="N1180" s="29" t="str">
        <x:v>119.13</x:v>
      </x:c>
      <x:c r="O1180" s="29" t="str">
        <x:v>47.18</x:v>
      </x:c>
      <x:c r="P1180" s="18" t="str">
        <x:v>2026-07-24</x:v>
      </x:c>
      <x:c r="Q1180" s="36" t="n">
        <x:v>46227</x:v>
      </x:c>
    </x:row>
    <x:row r="1181">
      <x:c r="A1181" s="36" t="str">
        <x:v>2026-07-24</x:v>
      </x:c>
      <x:c r="B1181" s="18" t="str">
        <x:v>101437000_98865</x:v>
      </x:c>
      <x:c r="C1181" s="18" t="str">
        <x:v>【沪村小电】欣松苑充电站</x:v>
      </x:c>
      <x:c r="D1181" s="37" t="str">
        <x:v>4</x:v>
      </x:c>
      <x:c r="E1181" s="37" t="str">
        <x:v>0</x:v>
      </x:c>
      <x:c r="F1181" s="37" t="str">
        <x:v>23</x:v>
      </x:c>
      <x:c r="G1181" s="37" t="str">
        <x:v>524.48</x:v>
      </x:c>
      <x:c r="H1181" s="37" t="str">
        <x:v>0.00</x:v>
      </x:c>
      <x:c r="I1181" s="37" t="str">
        <x:v>522.27</x:v>
      </x:c>
      <x:c r="J1181" s="37" t="str">
        <x:v>0.00</x:v>
      </x:c>
      <x:c r="K1181" s="37" t="str">
        <x:v>2.21</x:v>
      </x:c>
      <x:c r="L1181" s="37" t="str">
        <x:v>812</x:v>
      </x:c>
      <x:c r="M1181" s="29" t="str">
        <x:v>508.58</x:v>
      </x:c>
      <x:c r="N1181" s="29" t="str">
        <x:v>371.61</x:v>
      </x:c>
      <x:c r="O1181" s="29" t="str">
        <x:v>136.97</x:v>
      </x:c>
      <x:c r="P1181" s="18" t="str">
        <x:v>2026-07-24</x:v>
      </x:c>
      <x:c r="Q1181" s="36" t="n">
        <x:v>46227</x:v>
      </x:c>
    </x:row>
    <x:row r="1182">
      <x:c r="A1182" s="36" t="str">
        <x:v>2026-07-24</x:v>
      </x:c>
      <x:c r="B1182" s="18" t="str">
        <x:v>101437000_98867</x:v>
      </x:c>
      <x:c r="C1182" s="18" t="str">
        <x:v>【沪村小电】欣荷苑充电站</x:v>
      </x:c>
      <x:c r="D1182" s="37" t="str">
        <x:v>4</x:v>
      </x:c>
      <x:c r="E1182" s="37" t="str">
        <x:v>0</x:v>
      </x:c>
      <x:c r="F1182" s="37" t="str">
        <x:v>9</x:v>
      </x:c>
      <x:c r="G1182" s="37" t="str">
        <x:v>234.90</x:v>
      </x:c>
      <x:c r="H1182" s="37" t="str">
        <x:v>0.00</x:v>
      </x:c>
      <x:c r="I1182" s="37" t="str">
        <x:v>198.97</x:v>
      </x:c>
      <x:c r="J1182" s="37" t="str">
        <x:v>0.00</x:v>
      </x:c>
      <x:c r="K1182" s="37" t="str">
        <x:v>35.93</x:v>
      </x:c>
      <x:c r="L1182" s="37" t="str">
        <x:v>409</x:v>
      </x:c>
      <x:c r="M1182" s="29" t="str">
        <x:v>199.41</x:v>
      </x:c>
      <x:c r="N1182" s="29" t="str">
        <x:v>154.54</x:v>
      </x:c>
      <x:c r="O1182" s="29" t="str">
        <x:v>44.87</x:v>
      </x:c>
      <x:c r="P1182" s="18" t="str">
        <x:v>2026-07-24</x:v>
      </x:c>
      <x:c r="Q1182" s="36" t="n">
        <x:v>46227</x:v>
      </x:c>
    </x:row>
    <x:row r="1183">
      <x:c r="A1183" s="36" t="str">
        <x:v>2026-07-24</x:v>
      </x:c>
      <x:c r="B1183" s="18" t="str">
        <x:v>101437000_99885</x:v>
      </x:c>
      <x:c r="C1183" s="18" t="str">
        <x:v>【沪村小电】汇丰馨苑充电站</x:v>
      </x:c>
      <x:c r="D1183" s="37" t="str">
        <x:v>4</x:v>
      </x:c>
      <x:c r="E1183" s="37" t="str">
        <x:v>0</x:v>
      </x:c>
      <x:c r="F1183" s="37" t="str">
        <x:v>11</x:v>
      </x:c>
      <x:c r="G1183" s="37" t="str">
        <x:v>308.77</x:v>
      </x:c>
      <x:c r="H1183" s="37" t="str">
        <x:v>0.00</x:v>
      </x:c>
      <x:c r="I1183" s="37" t="str">
        <x:v>268.91</x:v>
      </x:c>
      <x:c r="J1183" s="37" t="str">
        <x:v>0.00</x:v>
      </x:c>
      <x:c r="K1183" s="37" t="str">
        <x:v>39.86</x:v>
      </x:c>
      <x:c r="L1183" s="37" t="str">
        <x:v>593</x:v>
      </x:c>
      <x:c r="M1183" s="29" t="str">
        <x:v>304.60</x:v>
      </x:c>
      <x:c r="N1183" s="29" t="str">
        <x:v>205.70</x:v>
      </x:c>
      <x:c r="O1183" s="29" t="str">
        <x:v>98.90</x:v>
      </x:c>
      <x:c r="P1183" s="18" t="str">
        <x:v>2026-07-24</x:v>
      </x:c>
      <x:c r="Q1183" s="36" t="n">
        <x:v>46227</x:v>
      </x:c>
    </x:row>
    <x:row r="1184">
      <x:c r="A1184" s="36" t="str">
        <x:v>2026-07-24</x:v>
      </x:c>
      <x:c r="B1184" s="18" t="str">
        <x:v>101437000_99887</x:v>
      </x:c>
      <x:c r="C1184" s="18" t="str">
        <x:v>【沪村小电】新南村河南小区充电站</x:v>
      </x:c>
      <x:c r="D1184" s="37" t="str">
        <x:v>2</x:v>
      </x:c>
      <x:c r="E1184" s="37" t="str">
        <x:v>0</x:v>
      </x:c>
      <x:c r="F1184" s="37" t="str">
        <x:v>21</x:v>
      </x:c>
      <x:c r="G1184" s="37" t="str">
        <x:v>526.23</x:v>
      </x:c>
      <x:c r="H1184" s="37" t="str">
        <x:v>0.00</x:v>
      </x:c>
      <x:c r="I1184" s="37" t="str">
        <x:v>294.77</x:v>
      </x:c>
      <x:c r="J1184" s="37" t="str">
        <x:v>0.00</x:v>
      </x:c>
      <x:c r="K1184" s="37" t="str">
        <x:v>231.46</x:v>
      </x:c>
      <x:c r="L1184" s="37" t="str">
        <x:v>959</x:v>
      </x:c>
      <x:c r="M1184" s="29" t="str">
        <x:v>427.45</x:v>
      </x:c>
      <x:c r="N1184" s="29" t="str">
        <x:v>294.94</x:v>
      </x:c>
      <x:c r="O1184" s="29" t="str">
        <x:v>132.51</x:v>
      </x:c>
      <x:c r="P1184" s="18" t="str">
        <x:v>2026-07-24</x:v>
      </x:c>
      <x:c r="Q1184" s="36" t="n">
        <x:v>46227</x:v>
      </x:c>
    </x:row>
    <x:row r="1185">
      <x:c r="A1185" s="36" t="str">
        <x:v>2026-07-24</x:v>
      </x:c>
      <x:c r="B1185" s="18" t="str">
        <x:v>101437000_99889</x:v>
      </x:c>
      <x:c r="C1185" s="18" t="str">
        <x:v>【沪村小电】漕泾郊野公园</x:v>
      </x:c>
      <x:c r="D1185" s="37" t="str">
        <x:v>2</x:v>
      </x:c>
      <x:c r="E1185" s="37" t="str">
        <x:v>0</x:v>
      </x:c>
      <x:c r="F1185" s="37" t="str">
        <x:v>5</x:v>
      </x:c>
      <x:c r="G1185" s="37" t="str">
        <x:v>149.11</x:v>
      </x:c>
      <x:c r="H1185" s="37" t="str">
        <x:v>0.00</x:v>
      </x:c>
      <x:c r="I1185" s="37" t="str">
        <x:v>89.64</x:v>
      </x:c>
      <x:c r="J1185" s="37" t="str">
        <x:v>0.00</x:v>
      </x:c>
      <x:c r="K1185" s="37" t="str">
        <x:v>59.47</x:v>
      </x:c>
      <x:c r="L1185" s="37" t="str">
        <x:v>144</x:v>
      </x:c>
      <x:c r="M1185" s="29" t="str">
        <x:v>139.83</x:v>
      </x:c>
      <x:c r="N1185" s="29" t="str">
        <x:v>103.81</x:v>
      </x:c>
      <x:c r="O1185" s="29" t="str">
        <x:v>36.02</x:v>
      </x:c>
      <x:c r="P1185" s="18" t="str">
        <x:v>2026-07-24</x:v>
      </x:c>
      <x:c r="Q1185" s="36" t="n">
        <x:v>46227</x:v>
      </x:c>
    </x:row>
    <x:row r="1186">
      <x:c r="A1186" s="36" t="str">
        <x:v>2026-07-24</x:v>
      </x:c>
      <x:c r="B1186" s="18" t="str">
        <x:v>101437000_99891</x:v>
      </x:c>
      <x:c r="C1186" s="18" t="str">
        <x:v>【沪村小电】水韵紫城充电站</x:v>
      </x:c>
      <x:c r="D1186" s="37" t="str">
        <x:v>4</x:v>
      </x:c>
      <x:c r="E1186" s="37" t="str">
        <x:v>0</x:v>
      </x:c>
      <x:c r="F1186" s="37" t="str">
        <x:v>34</x:v>
      </x:c>
      <x:c r="G1186" s="37" t="str">
        <x:v>699.28</x:v>
      </x:c>
      <x:c r="H1186" s="37" t="str">
        <x:v>0.00</x:v>
      </x:c>
      <x:c r="I1186" s="37" t="str">
        <x:v>546.07</x:v>
      </x:c>
      <x:c r="J1186" s="37" t="str">
        <x:v>0.00</x:v>
      </x:c>
      <x:c r="K1186" s="37" t="str">
        <x:v>153.21</x:v>
      </x:c>
      <x:c r="L1186" s="37" t="str">
        <x:v>1155</x:v>
      </x:c>
      <x:c r="M1186" s="29" t="str">
        <x:v>602.64</x:v>
      </x:c>
      <x:c r="N1186" s="29" t="str">
        <x:v>444.40</x:v>
      </x:c>
      <x:c r="O1186" s="29" t="str">
        <x:v>158.24</x:v>
      </x:c>
      <x:c r="P1186" s="18" t="str">
        <x:v>2026-07-24</x:v>
      </x:c>
      <x:c r="Q1186" s="36" t="n">
        <x:v>46227</x:v>
      </x:c>
    </x:row>
    <x:row r="1187">
      <x:c r="A1187" s="36" t="str">
        <x:v>2026-07-23</x:v>
      </x:c>
      <x:c r="B1187" s="18" t="str">
        <x:v>101437000_101531</x:v>
      </x:c>
      <x:c r="C1187" s="18" t="str">
        <x:v>【沪村小电】汇中苑充电站</x:v>
      </x:c>
      <x:c r="D1187" s="37" t="str">
        <x:v>2</x:v>
      </x:c>
      <x:c r="E1187" s="37" t="str">
        <x:v>0</x:v>
      </x:c>
      <x:c r="F1187" s="37" t="str">
        <x:v>12</x:v>
      </x:c>
      <x:c r="G1187" s="37" t="str">
        <x:v>345.71</x:v>
      </x:c>
      <x:c r="H1187" s="37" t="str">
        <x:v>0.00</x:v>
      </x:c>
      <x:c r="I1187" s="37" t="str">
        <x:v>3.48</x:v>
      </x:c>
      <x:c r="J1187" s="37" t="str">
        <x:v>255.37</x:v>
      </x:c>
      <x:c r="K1187" s="37" t="str">
        <x:v>86.86</x:v>
      </x:c>
      <x:c r="L1187" s="37" t="str">
        <x:v>599</x:v>
      </x:c>
      <x:c r="M1187" s="29" t="str">
        <x:v>303.94</x:v>
      </x:c>
      <x:c r="N1187" s="29" t="str">
        <x:v>217.23</x:v>
      </x:c>
      <x:c r="O1187" s="29" t="str">
        <x:v>86.71</x:v>
      </x:c>
      <x:c r="P1187" s="18" t="str">
        <x:v>2026-07-23</x:v>
      </x:c>
      <x:c r="Q1187" s="36" t="n">
        <x:v>46226</x:v>
      </x:c>
    </x:row>
    <x:row r="1188">
      <x:c r="A1188" s="36" t="str">
        <x:v>2026-07-23</x:v>
      </x:c>
      <x:c r="B1188" s="18" t="str">
        <x:v>101437000_102047</x:v>
      </x:c>
      <x:c r="C1188" s="18" t="str">
        <x:v>【沪村小电】后浜小区9弄小区南面停车场充电站</x:v>
      </x:c>
      <x:c r="D1188" s="37" t="str">
        <x:v>8</x:v>
      </x:c>
      <x:c r="E1188" s="37" t="str">
        <x:v>0</x:v>
      </x:c>
      <x:c r="F1188" s="37" t="str">
        <x:v>46</x:v>
      </x:c>
      <x:c r="G1188" s="37" t="str">
        <x:v>1085.63</x:v>
      </x:c>
      <x:c r="H1188" s="37" t="str">
        <x:v>0.00</x:v>
      </x:c>
      <x:c r="I1188" s="37" t="str">
        <x:v>632.30</x:v>
      </x:c>
      <x:c r="J1188" s="37" t="str">
        <x:v>0.00</x:v>
      </x:c>
      <x:c r="K1188" s="37" t="str">
        <x:v>453.33</x:v>
      </x:c>
      <x:c r="L1188" s="37" t="str">
        <x:v>1638</x:v>
      </x:c>
      <x:c r="M1188" s="29" t="str">
        <x:v>1054.65</x:v>
      </x:c>
      <x:c r="N1188" s="29" t="str">
        <x:v>661.97</x:v>
      </x:c>
      <x:c r="O1188" s="29" t="str">
        <x:v>392.68</x:v>
      </x:c>
      <x:c r="P1188" s="18" t="str">
        <x:v>2026-07-23</x:v>
      </x:c>
      <x:c r="Q1188" s="36" t="n">
        <x:v>46226</x:v>
      </x:c>
    </x:row>
    <x:row r="1189">
      <x:c r="A1189" s="36" t="str">
        <x:v>2026-07-23</x:v>
      </x:c>
      <x:c r="B1189" s="18" t="str">
        <x:v>101437000_103503</x:v>
      </x:c>
      <x:c r="C1189" s="18" t="str">
        <x:v>【沪村小电】阳光城新界充电站</x:v>
      </x:c>
      <x:c r="D1189" s="37" t="str">
        <x:v>4</x:v>
      </x:c>
      <x:c r="E1189" s="37" t="str">
        <x:v>0</x:v>
      </x:c>
      <x:c r="F1189" s="37" t="str">
        <x:v>19</x:v>
      </x:c>
      <x:c r="G1189" s="37" t="str">
        <x:v>447.16</x:v>
      </x:c>
      <x:c r="H1189" s="37" t="str">
        <x:v>0.00</x:v>
      </x:c>
      <x:c r="I1189" s="37" t="str">
        <x:v>380.51</x:v>
      </x:c>
      <x:c r="J1189" s="37" t="str">
        <x:v>0.00</x:v>
      </x:c>
      <x:c r="K1189" s="37" t="str">
        <x:v>66.65</x:v>
      </x:c>
      <x:c r="L1189" s="37" t="str">
        <x:v>672</x:v>
      </x:c>
      <x:c r="M1189" s="29" t="str">
        <x:v>480.34</x:v>
      </x:c>
      <x:c r="N1189" s="29" t="str">
        <x:v>323.46</x:v>
      </x:c>
      <x:c r="O1189" s="29" t="str">
        <x:v>156.88</x:v>
      </x:c>
      <x:c r="P1189" s="18" t="str">
        <x:v>2026-07-23</x:v>
      </x:c>
      <x:c r="Q1189" s="36" t="n">
        <x:v>46226</x:v>
      </x:c>
    </x:row>
    <x:row r="1190">
      <x:c r="A1190" s="36" t="str">
        <x:v>2026-07-23</x:v>
      </x:c>
      <x:c r="B1190" s="18" t="str">
        <x:v>101437000_41561</x:v>
      </x:c>
      <x:c r="C1190" s="18" t="str">
        <x:v>【沪村小电】张施小区大门处快充站</x:v>
      </x:c>
      <x:c r="D1190" s="37" t="str">
        <x:v>2</x:v>
      </x:c>
      <x:c r="E1190" s="37" t="str">
        <x:v>0</x:v>
      </x:c>
      <x:c r="F1190" s="37" t="str">
        <x:v>48</x:v>
      </x:c>
      <x:c r="G1190" s="37" t="str">
        <x:v>1298.54</x:v>
      </x:c>
      <x:c r="H1190" s="37" t="str">
        <x:v>0.00</x:v>
      </x:c>
      <x:c r="I1190" s="37" t="str">
        <x:v>544.03</x:v>
      </x:c>
      <x:c r="J1190" s="37" t="str">
        <x:v>0.00</x:v>
      </x:c>
      <x:c r="K1190" s="37" t="str">
        <x:v>754.51</x:v>
      </x:c>
      <x:c r="L1190" s="37" t="str">
        <x:v>2208</x:v>
      </x:c>
      <x:c r="M1190" s="29" t="str">
        <x:v>945.95</x:v>
      </x:c>
      <x:c r="N1190" s="29" t="str">
        <x:v>665.42</x:v>
      </x:c>
      <x:c r="O1190" s="29" t="str">
        <x:v>280.53</x:v>
      </x:c>
      <x:c r="P1190" s="18" t="str">
        <x:v>2026-07-23</x:v>
      </x:c>
      <x:c r="Q1190" s="36" t="n">
        <x:v>46226</x:v>
      </x:c>
    </x:row>
    <x:row r="1191">
      <x:c r="A1191" s="36" t="str">
        <x:v>2026-07-23</x:v>
      </x:c>
      <x:c r="B1191" s="18" t="str">
        <x:v>101437000_41563</x:v>
      </x:c>
      <x:c r="C1191" s="18" t="str">
        <x:v>【沪村小电】同心村快充站</x:v>
      </x:c>
      <x:c r="D1191" s="37" t="str">
        <x:v>4</x:v>
      </x:c>
      <x:c r="E1191" s="37" t="str">
        <x:v>0</x:v>
      </x:c>
      <x:c r="F1191" s="37" t="str">
        <x:v>56</x:v>
      </x:c>
      <x:c r="G1191" s="37" t="str">
        <x:v>1278.48</x:v>
      </x:c>
      <x:c r="H1191" s="37" t="str">
        <x:v>0.00</x:v>
      </x:c>
      <x:c r="I1191" s="37" t="str">
        <x:v>868.82</x:v>
      </x:c>
      <x:c r="J1191" s="37" t="str">
        <x:v>0.00</x:v>
      </x:c>
      <x:c r="K1191" s="37" t="str">
        <x:v>409.66</x:v>
      </x:c>
      <x:c r="L1191" s="37" t="str">
        <x:v>2249</x:v>
      </x:c>
      <x:c r="M1191" s="29" t="str">
        <x:v>1148.13</x:v>
      </x:c>
      <x:c r="N1191" s="29" t="str">
        <x:v>768.47</x:v>
      </x:c>
      <x:c r="O1191" s="29" t="str">
        <x:v>379.66</x:v>
      </x:c>
      <x:c r="P1191" s="18" t="str">
        <x:v>2026-07-23</x:v>
      </x:c>
      <x:c r="Q1191" s="36" t="n">
        <x:v>46226</x:v>
      </x:c>
    </x:row>
    <x:row r="1192">
      <x:c r="A1192" s="36" t="str">
        <x:v>2026-07-23</x:v>
      </x:c>
      <x:c r="B1192" s="18" t="str">
        <x:v>101437000_69629</x:v>
      </x:c>
      <x:c r="C1192" s="18" t="str">
        <x:v>【沪村小电】骏丰玲珑坊西苑充电站</x:v>
      </x:c>
      <x:c r="D1192" s="37" t="str">
        <x:v>2</x:v>
      </x:c>
      <x:c r="E1192" s="37" t="str">
        <x:v>0</x:v>
      </x:c>
      <x:c r="F1192" s="37" t="str">
        <x:v>82</x:v>
      </x:c>
      <x:c r="G1192" s="37" t="str">
        <x:v>1868.05</x:v>
      </x:c>
      <x:c r="H1192" s="37" t="str">
        <x:v>0.00</x:v>
      </x:c>
      <x:c r="I1192" s="37" t="str">
        <x:v>1158.80</x:v>
      </x:c>
      <x:c r="J1192" s="37" t="str">
        <x:v>0.00</x:v>
      </x:c>
      <x:c r="K1192" s="37" t="str">
        <x:v>709.25</x:v>
      </x:c>
      <x:c r="L1192" s="37" t="str">
        <x:v>3422</x:v>
      </x:c>
      <x:c r="M1192" s="29" t="str">
        <x:v>1639.31</x:v>
      </x:c>
      <x:c r="N1192" s="29" t="str">
        <x:v>1085.19</x:v>
      </x:c>
      <x:c r="O1192" s="29" t="str">
        <x:v>554.12</x:v>
      </x:c>
      <x:c r="P1192" s="18" t="str">
        <x:v>2026-07-23</x:v>
      </x:c>
      <x:c r="Q1192" s="36" t="n">
        <x:v>46226</x:v>
      </x:c>
    </x:row>
    <x:row r="1193">
      <x:c r="A1193" s="36" t="str">
        <x:v>2026-07-23</x:v>
      </x:c>
      <x:c r="B1193" s="18" t="str">
        <x:v>101437000_70547</x:v>
      </x:c>
      <x:c r="C1193" s="18" t="str">
        <x:v>【沪村小电】农建村初心馆党群服务中心充电站</x:v>
      </x:c>
      <x:c r="D1193" s="37" t="str">
        <x:v>4</x:v>
      </x:c>
      <x:c r="E1193" s="37" t="str">
        <x:v>0</x:v>
      </x:c>
      <x:c r="F1193" s="37" t="str">
        <x:v>25</x:v>
      </x:c>
      <x:c r="G1193" s="37" t="str">
        <x:v>469.54</x:v>
      </x:c>
      <x:c r="H1193" s="37" t="str">
        <x:v>0.00</x:v>
      </x:c>
      <x:c r="I1193" s="37" t="str">
        <x:v>336.67</x:v>
      </x:c>
      <x:c r="J1193" s="37" t="str">
        <x:v>0.00</x:v>
      </x:c>
      <x:c r="K1193" s="37" t="str">
        <x:v>132.87</x:v>
      </x:c>
      <x:c r="L1193" s="37" t="str">
        <x:v>819</x:v>
      </x:c>
      <x:c r="M1193" s="29" t="str">
        <x:v>448.20</x:v>
      </x:c>
      <x:c r="N1193" s="29" t="str">
        <x:v>288.23</x:v>
      </x:c>
      <x:c r="O1193" s="29" t="str">
        <x:v>159.97</x:v>
      </x:c>
      <x:c r="P1193" s="18" t="str">
        <x:v>2026-07-23</x:v>
      </x:c>
      <x:c r="Q1193" s="36" t="n">
        <x:v>46226</x:v>
      </x:c>
    </x:row>
    <x:row r="1194">
      <x:c r="A1194" s="36" t="str">
        <x:v>2026-07-23</x:v>
      </x:c>
      <x:c r="B1194" s="18" t="str">
        <x:v>101437000_70549</x:v>
      </x:c>
      <x:c r="C1194" s="18" t="str">
        <x:v>【沪村小电】学府路充电站</x:v>
      </x:c>
      <x:c r="D1194" s="37" t="str">
        <x:v>2</x:v>
      </x:c>
      <x:c r="E1194" s="37" t="str">
        <x:v>0</x:v>
      </x:c>
      <x:c r="F1194" s="37" t="str">
        <x:v>12</x:v>
      </x:c>
      <x:c r="G1194" s="37" t="str">
        <x:v>355.15</x:v>
      </x:c>
      <x:c r="H1194" s="37" t="str">
        <x:v>0.00</x:v>
      </x:c>
      <x:c r="I1194" s="37" t="str">
        <x:v>255.72</x:v>
      </x:c>
      <x:c r="J1194" s="37" t="str">
        <x:v>0.00</x:v>
      </x:c>
      <x:c r="K1194" s="37" t="str">
        <x:v>99.43</x:v>
      </x:c>
      <x:c r="L1194" s="37" t="str">
        <x:v>522</x:v>
      </x:c>
      <x:c r="M1194" s="29" t="str">
        <x:v>374.28</x:v>
      </x:c>
      <x:c r="N1194" s="29" t="str">
        <x:v>218.36</x:v>
      </x:c>
      <x:c r="O1194" s="29" t="str">
        <x:v>155.92</x:v>
      </x:c>
      <x:c r="P1194" s="18" t="str">
        <x:v>2026-07-23</x:v>
      </x:c>
      <x:c r="Q1194" s="36" t="n">
        <x:v>46226</x:v>
      </x:c>
    </x:row>
    <x:row r="1195">
      <x:c r="A1195" s="36" t="str">
        <x:v>2026-07-23</x:v>
      </x:c>
      <x:c r="B1195" s="18" t="str">
        <x:v>101437000_71059</x:v>
      </x:c>
      <x:c r="C1195" s="18" t="str">
        <x:v>【沪村小电】宝乐汇商业广场站</x:v>
      </x:c>
      <x:c r="D1195" s="37" t="str">
        <x:v>4</x:v>
      </x:c>
      <x:c r="E1195" s="37" t="str">
        <x:v>0</x:v>
      </x:c>
      <x:c r="F1195" s="37" t="str">
        <x:v>34</x:v>
      </x:c>
      <x:c r="G1195" s="37" t="str">
        <x:v>596.38</x:v>
      </x:c>
      <x:c r="H1195" s="37" t="str">
        <x:v>0.00</x:v>
      </x:c>
      <x:c r="I1195" s="37" t="str">
        <x:v>378.98</x:v>
      </x:c>
      <x:c r="J1195" s="37" t="str">
        <x:v>0.00</x:v>
      </x:c>
      <x:c r="K1195" s="37" t="str">
        <x:v>217.40</x:v>
      </x:c>
      <x:c r="L1195" s="37" t="str">
        <x:v>930</x:v>
      </x:c>
      <x:c r="M1195" s="29" t="str">
        <x:v>564.24</x:v>
      </x:c>
      <x:c r="N1195" s="29" t="str">
        <x:v>441.08</x:v>
      </x:c>
      <x:c r="O1195" s="29" t="str">
        <x:v>123.16</x:v>
      </x:c>
      <x:c r="P1195" s="18" t="str">
        <x:v>2026-07-23</x:v>
      </x:c>
      <x:c r="Q1195" s="36" t="n">
        <x:v>46226</x:v>
      </x:c>
    </x:row>
    <x:row r="1196">
      <x:c r="A1196" s="36" t="str">
        <x:v>2026-07-23</x:v>
      </x:c>
      <x:c r="B1196" s="18" t="str">
        <x:v>101437000_72541</x:v>
      </x:c>
      <x:c r="C1196" s="18" t="str">
        <x:v>【沪村小电】九干路1174弄充电站</x:v>
      </x:c>
      <x:c r="D1196" s="37" t="str">
        <x:v>2</x:v>
      </x:c>
      <x:c r="E1196" s="37" t="str">
        <x:v>0</x:v>
      </x:c>
      <x:c r="F1196" s="37" t="str">
        <x:v>84</x:v>
      </x:c>
      <x:c r="G1196" s="37" t="str">
        <x:v>1090.90</x:v>
      </x:c>
      <x:c r="H1196" s="37" t="str">
        <x:v>0.00</x:v>
      </x:c>
      <x:c r="I1196" s="37" t="str">
        <x:v>640.56</x:v>
      </x:c>
      <x:c r="J1196" s="37" t="str">
        <x:v>0.00</x:v>
      </x:c>
      <x:c r="K1196" s="37" t="str">
        <x:v>450.34</x:v>
      </x:c>
      <x:c r="L1196" s="37" t="str">
        <x:v>1865</x:v>
      </x:c>
      <x:c r="M1196" s="29" t="str">
        <x:v>900.73</x:v>
      </x:c>
      <x:c r="N1196" s="29" t="str">
        <x:v>621.46</x:v>
      </x:c>
      <x:c r="O1196" s="29" t="str">
        <x:v>279.27</x:v>
      </x:c>
      <x:c r="P1196" s="18" t="str">
        <x:v>2026-07-23</x:v>
      </x:c>
      <x:c r="Q1196" s="36" t="n">
        <x:v>46226</x:v>
      </x:c>
    </x:row>
    <x:row r="1197">
      <x:c r="A1197" s="36" t="str">
        <x:v>2026-07-23</x:v>
      </x:c>
      <x:c r="B1197" s="18" t="str">
        <x:v>101437000_72543</x:v>
      </x:c>
      <x:c r="C1197" s="18" t="str">
        <x:v>【沪村小电】叶家中心村小区充电站</x:v>
      </x:c>
      <x:c r="D1197" s="37" t="str">
        <x:v>2</x:v>
      </x:c>
      <x:c r="E1197" s="37" t="str">
        <x:v>0</x:v>
      </x:c>
      <x:c r="F1197" s="37" t="str">
        <x:v>56</x:v>
      </x:c>
      <x:c r="G1197" s="37" t="str">
        <x:v>1337.47</x:v>
      </x:c>
      <x:c r="H1197" s="37" t="str">
        <x:v>0.00</x:v>
      </x:c>
      <x:c r="I1197" s="37" t="str">
        <x:v>738.43</x:v>
      </x:c>
      <x:c r="J1197" s="37" t="str">
        <x:v>0.00</x:v>
      </x:c>
      <x:c r="K1197" s="37" t="str">
        <x:v>599.04</x:v>
      </x:c>
      <x:c r="L1197" s="37" t="str">
        <x:v>2431</x:v>
      </x:c>
      <x:c r="M1197" s="29" t="str">
        <x:v>1093.02</x:v>
      </x:c>
      <x:c r="N1197" s="29" t="str">
        <x:v>745.92</x:v>
      </x:c>
      <x:c r="O1197" s="29" t="str">
        <x:v>347.10</x:v>
      </x:c>
      <x:c r="P1197" s="18" t="str">
        <x:v>2026-07-23</x:v>
      </x:c>
      <x:c r="Q1197" s="36" t="n">
        <x:v>46226</x:v>
      </x:c>
    </x:row>
    <x:row r="1198">
      <x:c r="A1198" s="36" t="str">
        <x:v>2026-07-23</x:v>
      </x:c>
      <x:c r="B1198" s="18" t="str">
        <x:v>101437000_72937</x:v>
      </x:c>
      <x:c r="C1198" s="18" t="str">
        <x:v>【沪村小电】佘北家园茸腾苑充电站</x:v>
      </x:c>
      <x:c r="D1198" s="37" t="str">
        <x:v>4</x:v>
      </x:c>
      <x:c r="E1198" s="37" t="str">
        <x:v>0</x:v>
      </x:c>
      <x:c r="F1198" s="37" t="str">
        <x:v>16</x:v>
      </x:c>
      <x:c r="G1198" s="37" t="str">
        <x:v>276.41</x:v>
      </x:c>
      <x:c r="H1198" s="37" t="str">
        <x:v>0.00</x:v>
      </x:c>
      <x:c r="I1198" s="37" t="str">
        <x:v>276.41</x:v>
      </x:c>
      <x:c r="J1198" s="37" t="str">
        <x:v>0.00</x:v>
      </x:c>
      <x:c r="K1198" s="37" t="str">
        <x:v>0.00</x:v>
      </x:c>
      <x:c r="L1198" s="37" t="str">
        <x:v>356</x:v>
      </x:c>
      <x:c r="M1198" s="29" t="str">
        <x:v>262.94</x:v>
      </x:c>
      <x:c r="N1198" s="29" t="str">
        <x:v>196.25</x:v>
      </x:c>
      <x:c r="O1198" s="29" t="str">
        <x:v>66.69</x:v>
      </x:c>
      <x:c r="P1198" s="18" t="str">
        <x:v>2026-07-23</x:v>
      </x:c>
      <x:c r="Q1198" s="36" t="n">
        <x:v>46226</x:v>
      </x:c>
    </x:row>
    <x:row r="1199">
      <x:c r="A1199" s="36" t="str">
        <x:v>2026-07-23</x:v>
      </x:c>
      <x:c r="B1199" s="18" t="str">
        <x:v>101437000_74223</x:v>
      </x:c>
      <x:c r="C1199" s="18" t="str">
        <x:v>【沪村小电】中兴村委会充电站</x:v>
      </x:c>
      <x:c r="D1199" s="37" t="str">
        <x:v>2</x:v>
      </x:c>
      <x:c r="E1199" s="37" t="str">
        <x:v>0</x:v>
      </x:c>
      <x:c r="F1199" s="37" t="str">
        <x:v>28</x:v>
      </x:c>
      <x:c r="G1199" s="37" t="str">
        <x:v>576.33</x:v>
      </x:c>
      <x:c r="H1199" s="37" t="str">
        <x:v>0.00</x:v>
      </x:c>
      <x:c r="I1199" s="37" t="str">
        <x:v>401.11</x:v>
      </x:c>
      <x:c r="J1199" s="37" t="str">
        <x:v>0.00</x:v>
      </x:c>
      <x:c r="K1199" s="37" t="str">
        <x:v>175.22</x:v>
      </x:c>
      <x:c r="L1199" s="37" t="str">
        <x:v>981</x:v>
      </x:c>
      <x:c r="M1199" s="29" t="str">
        <x:v>536.02</x:v>
      </x:c>
      <x:c r="N1199" s="29" t="str">
        <x:v>349.63</x:v>
      </x:c>
      <x:c r="O1199" s="29" t="str">
        <x:v>186.39</x:v>
      </x:c>
      <x:c r="P1199" s="18" t="str">
        <x:v>2026-07-23</x:v>
      </x:c>
      <x:c r="Q1199" s="36" t="n">
        <x:v>46226</x:v>
      </x:c>
    </x:row>
    <x:row r="1200">
      <x:c r="A1200" s="36" t="str">
        <x:v>2026-07-23</x:v>
      </x:c>
      <x:c r="B1200" s="18" t="str">
        <x:v>101437000_74801</x:v>
      </x:c>
      <x:c r="C1200" s="18" t="str">
        <x:v>【沪村小电】申良花园充电站</x:v>
      </x:c>
      <x:c r="D1200" s="37" t="str">
        <x:v>4</x:v>
      </x:c>
      <x:c r="E1200" s="37" t="str">
        <x:v>0</x:v>
      </x:c>
      <x:c r="F1200" s="37" t="str">
        <x:v>12</x:v>
      </x:c>
      <x:c r="G1200" s="37" t="str">
        <x:v>241.81</x:v>
      </x:c>
      <x:c r="H1200" s="37" t="str">
        <x:v>0.00</x:v>
      </x:c>
      <x:c r="I1200" s="37" t="str">
        <x:v>241.81</x:v>
      </x:c>
      <x:c r="J1200" s="37" t="str">
        <x:v>0.00</x:v>
      </x:c>
      <x:c r="K1200" s="37" t="str">
        <x:v>0.00</x:v>
      </x:c>
      <x:c r="L1200" s="37" t="str">
        <x:v>319</x:v>
      </x:c>
      <x:c r="M1200" s="29" t="str">
        <x:v>279.35</x:v>
      </x:c>
      <x:c r="N1200" s="29" t="str">
        <x:v>171.69</x:v>
      </x:c>
      <x:c r="O1200" s="29" t="str">
        <x:v>107.66</x:v>
      </x:c>
      <x:c r="P1200" s="18" t="str">
        <x:v>2026-07-23</x:v>
      </x:c>
      <x:c r="Q1200" s="36" t="n">
        <x:v>46226</x:v>
      </x:c>
    </x:row>
    <x:row r="1201">
      <x:c r="A1201" s="36" t="str">
        <x:v>2026-07-23</x:v>
      </x:c>
      <x:c r="B1201" s="18" t="str">
        <x:v>101437000_74931</x:v>
      </x:c>
      <x:c r="C1201" s="18" t="str">
        <x:v>【沪村小电】枫雅南居充电站</x:v>
      </x:c>
      <x:c r="D1201" s="37" t="str">
        <x:v>2</x:v>
      </x:c>
      <x:c r="E1201" s="37" t="str">
        <x:v>0</x:v>
      </x:c>
      <x:c r="F1201" s="37" t="str">
        <x:v>61</x:v>
      </x:c>
      <x:c r="G1201" s="37" t="str">
        <x:v>1971.76</x:v>
      </x:c>
      <x:c r="H1201" s="37" t="str">
        <x:v>0.00</x:v>
      </x:c>
      <x:c r="I1201" s="37" t="str">
        <x:v>1048.47</x:v>
      </x:c>
      <x:c r="J1201" s="37" t="str">
        <x:v>0.00</x:v>
      </x:c>
      <x:c r="K1201" s="37" t="str">
        <x:v>923.30</x:v>
      </x:c>
      <x:c r="L1201" s="37" t="str">
        <x:v>3112</x:v>
      </x:c>
      <x:c r="M1201" s="29" t="str">
        <x:v>1366.87</x:v>
      </x:c>
      <x:c r="N1201" s="29" t="str">
        <x:v>904.88</x:v>
      </x:c>
      <x:c r="O1201" s="29" t="str">
        <x:v>461.99</x:v>
      </x:c>
      <x:c r="P1201" s="18" t="str">
        <x:v>2026-07-23</x:v>
      </x:c>
      <x:c r="Q1201" s="36" t="n">
        <x:v>46226</x:v>
      </x:c>
    </x:row>
    <x:row r="1202">
      <x:c r="A1202" s="36" t="str">
        <x:v>2026-07-23</x:v>
      </x:c>
      <x:c r="B1202" s="18" t="str">
        <x:v>101437000_75901</x:v>
      </x:c>
      <x:c r="C1202" s="18" t="str">
        <x:v>【沪村小电】金悦学府</x:v>
      </x:c>
      <x:c r="D1202" s="37" t="str">
        <x:v>2</x:v>
      </x:c>
      <x:c r="E1202" s="37" t="str">
        <x:v>0</x:v>
      </x:c>
      <x:c r="F1202" s="37" t="str">
        <x:v>63</x:v>
      </x:c>
      <x:c r="G1202" s="37" t="str">
        <x:v>1515.76</x:v>
      </x:c>
      <x:c r="H1202" s="37" t="str">
        <x:v>0.00</x:v>
      </x:c>
      <x:c r="I1202" s="37" t="str">
        <x:v>870.51</x:v>
      </x:c>
      <x:c r="J1202" s="37" t="str">
        <x:v>0.00</x:v>
      </x:c>
      <x:c r="K1202" s="37" t="str">
        <x:v>645.25</x:v>
      </x:c>
      <x:c r="L1202" s="37" t="str">
        <x:v>2344</x:v>
      </x:c>
      <x:c r="M1202" s="29" t="str">
        <x:v>1198.76</x:v>
      </x:c>
      <x:c r="N1202" s="29" t="str">
        <x:v>713.62</x:v>
      </x:c>
      <x:c r="O1202" s="29" t="str">
        <x:v>485.14</x:v>
      </x:c>
      <x:c r="P1202" s="18" t="str">
        <x:v>2026-07-23</x:v>
      </x:c>
      <x:c r="Q1202" s="36" t="n">
        <x:v>46226</x:v>
      </x:c>
    </x:row>
    <x:row r="1203">
      <x:c r="A1203" s="36" t="str">
        <x:v>2026-07-23</x:v>
      </x:c>
      <x:c r="B1203" s="18" t="str">
        <x:v>101437000_76091</x:v>
      </x:c>
      <x:c r="C1203" s="18" t="str">
        <x:v>【沪村小电】恒信家园充电站</x:v>
      </x:c>
      <x:c r="D1203" s="37" t="str">
        <x:v>2</x:v>
      </x:c>
      <x:c r="E1203" s="37" t="str">
        <x:v>0</x:v>
      </x:c>
      <x:c r="F1203" s="37" t="str">
        <x:v>41</x:v>
      </x:c>
      <x:c r="G1203" s="37" t="str">
        <x:v>1162.94</x:v>
      </x:c>
      <x:c r="H1203" s="37" t="str">
        <x:v>0.00</x:v>
      </x:c>
      <x:c r="I1203" s="37" t="str">
        <x:v>848.39</x:v>
      </x:c>
      <x:c r="J1203" s="37" t="str">
        <x:v>0.00</x:v>
      </x:c>
      <x:c r="K1203" s="37" t="str">
        <x:v>314.55</x:v>
      </x:c>
      <x:c r="L1203" s="37" t="str">
        <x:v>1655</x:v>
      </x:c>
      <x:c r="M1203" s="29" t="str">
        <x:v>1177.85</x:v>
      </x:c>
      <x:c r="N1203" s="29" t="str">
        <x:v>718.71</x:v>
      </x:c>
      <x:c r="O1203" s="29" t="str">
        <x:v>459.14</x:v>
      </x:c>
      <x:c r="P1203" s="18" t="str">
        <x:v>2026-07-23</x:v>
      </x:c>
      <x:c r="Q1203" s="36" t="n">
        <x:v>46226</x:v>
      </x:c>
    </x:row>
    <x:row r="1204">
      <x:c r="A1204" s="36" t="str">
        <x:v>2026-07-23</x:v>
      </x:c>
      <x:c r="B1204" s="18" t="str">
        <x:v>101437000_76417</x:v>
      </x:c>
      <x:c r="C1204" s="18" t="str">
        <x:v>【沪村小电】新春一组充电站</x:v>
      </x:c>
      <x:c r="D1204" s="37" t="str">
        <x:v>2</x:v>
      </x:c>
      <x:c r="E1204" s="37" t="str">
        <x:v>0</x:v>
      </x:c>
      <x:c r="F1204" s="37" t="str">
        <x:v>30</x:v>
      </x:c>
      <x:c r="G1204" s="37" t="str">
        <x:v>831.53</x:v>
      </x:c>
      <x:c r="H1204" s="37" t="str">
        <x:v>0.00</x:v>
      </x:c>
      <x:c r="I1204" s="37" t="str">
        <x:v>341.39</x:v>
      </x:c>
      <x:c r="J1204" s="37" t="str">
        <x:v>0.00</x:v>
      </x:c>
      <x:c r="K1204" s="37" t="str">
        <x:v>490.14</x:v>
      </x:c>
      <x:c r="L1204" s="37" t="str">
        <x:v>1233</x:v>
      </x:c>
      <x:c r="M1204" s="29" t="str">
        <x:v>618.09</x:v>
      </x:c>
      <x:c r="N1204" s="29" t="str">
        <x:v>423.71</x:v>
      </x:c>
      <x:c r="O1204" s="29" t="str">
        <x:v>194.38</x:v>
      </x:c>
      <x:c r="P1204" s="18" t="str">
        <x:v>2026-07-23</x:v>
      </x:c>
      <x:c r="Q1204" s="36" t="n">
        <x:v>46226</x:v>
      </x:c>
    </x:row>
    <x:row r="1205">
      <x:c r="A1205" s="36" t="str">
        <x:v>2026-07-23</x:v>
      </x:c>
      <x:c r="B1205" s="18" t="str">
        <x:v>101437000_78235</x:v>
      </x:c>
      <x:c r="C1205" s="18" t="str">
        <x:v>【沪村小电】欣秋苑充电站</x:v>
      </x:c>
      <x:c r="D1205" s="37" t="str">
        <x:v>4</x:v>
      </x:c>
      <x:c r="E1205" s="37" t="str">
        <x:v>0</x:v>
      </x:c>
      <x:c r="F1205" s="37" t="str">
        <x:v>22</x:v>
      </x:c>
      <x:c r="G1205" s="37" t="str">
        <x:v>554.15</x:v>
      </x:c>
      <x:c r="H1205" s="37" t="str">
        <x:v>0.00</x:v>
      </x:c>
      <x:c r="I1205" s="37" t="str">
        <x:v>404.05</x:v>
      </x:c>
      <x:c r="J1205" s="37" t="str">
        <x:v>0.00</x:v>
      </x:c>
      <x:c r="K1205" s="37" t="str">
        <x:v>150.09</x:v>
      </x:c>
      <x:c r="L1205" s="37" t="str">
        <x:v>862</x:v>
      </x:c>
      <x:c r="M1205" s="29" t="str">
        <x:v>505.64</x:v>
      </x:c>
      <x:c r="N1205" s="29" t="str">
        <x:v>342.43</x:v>
      </x:c>
      <x:c r="O1205" s="29" t="str">
        <x:v>163.21</x:v>
      </x:c>
      <x:c r="P1205" s="18" t="str">
        <x:v>2026-07-23</x:v>
      </x:c>
      <x:c r="Q1205" s="36" t="n">
        <x:v>46226</x:v>
      </x:c>
    </x:row>
    <x:row r="1206">
      <x:c r="A1206" s="36" t="str">
        <x:v>2026-07-23</x:v>
      </x:c>
      <x:c r="B1206" s="18" t="str">
        <x:v>101437000_78237</x:v>
      </x:c>
      <x:c r="C1206" s="18" t="str">
        <x:v>【沪村小电】奉馨苑西门小区内北侧充电站</x:v>
      </x:c>
      <x:c r="D1206" s="37" t="str">
        <x:v>2</x:v>
      </x:c>
      <x:c r="E1206" s="37" t="str">
        <x:v>0</x:v>
      </x:c>
      <x:c r="F1206" s="37" t="str">
        <x:v>35</x:v>
      </x:c>
      <x:c r="G1206" s="37" t="str">
        <x:v>1074.68</x:v>
      </x:c>
      <x:c r="H1206" s="37" t="str">
        <x:v>31.64</x:v>
      </x:c>
      <x:c r="I1206" s="37" t="str">
        <x:v>253.10</x:v>
      </x:c>
      <x:c r="J1206" s="37" t="str">
        <x:v>441.48</x:v>
      </x:c>
      <x:c r="K1206" s="37" t="str">
        <x:v>348.46</x:v>
      </x:c>
      <x:c r="L1206" s="37" t="str">
        <x:v>1302</x:v>
      </x:c>
      <x:c r="M1206" s="29" t="str">
        <x:v>995.80</x:v>
      </x:c>
      <x:c r="N1206" s="29" t="str">
        <x:v>776.44</x:v>
      </x:c>
      <x:c r="O1206" s="29" t="str">
        <x:v>219.36</x:v>
      </x:c>
      <x:c r="P1206" s="18" t="str">
        <x:v>2026-07-23</x:v>
      </x:c>
      <x:c r="Q1206" s="36" t="n">
        <x:v>46226</x:v>
      </x:c>
    </x:row>
    <x:row r="1207">
      <x:c r="A1207" s="36" t="str">
        <x:v>2026-07-23</x:v>
      </x:c>
      <x:c r="B1207" s="18" t="str">
        <x:v>101437000_78239</x:v>
      </x:c>
      <x:c r="C1207" s="18" t="str">
        <x:v>【沪村小电】恒大佘山首府东门充电站</x:v>
      </x:c>
      <x:c r="D1207" s="37" t="str">
        <x:v>2</x:v>
      </x:c>
      <x:c r="E1207" s="37" t="str">
        <x:v>0</x:v>
      </x:c>
      <x:c r="F1207" s="37" t="str">
        <x:v>41</x:v>
      </x:c>
      <x:c r="G1207" s="37" t="str">
        <x:v>1018.51</x:v>
      </x:c>
      <x:c r="H1207" s="37" t="str">
        <x:v>0.00</x:v>
      </x:c>
      <x:c r="I1207" s="37" t="str">
        <x:v>559.31</x:v>
      </x:c>
      <x:c r="J1207" s="37" t="str">
        <x:v>0.00</x:v>
      </x:c>
      <x:c r="K1207" s="37" t="str">
        <x:v>459.20</x:v>
      </x:c>
      <x:c r="L1207" s="37" t="str">
        <x:v>1451</x:v>
      </x:c>
      <x:c r="M1207" s="29" t="str">
        <x:v>851.33</x:v>
      </x:c>
      <x:c r="N1207" s="29" t="str">
        <x:v>567.03</x:v>
      </x:c>
      <x:c r="O1207" s="29" t="str">
        <x:v>284.30</x:v>
      </x:c>
      <x:c r="P1207" s="18" t="str">
        <x:v>2026-07-23</x:v>
      </x:c>
      <x:c r="Q1207" s="36" t="n">
        <x:v>46226</x:v>
      </x:c>
    </x:row>
    <x:row r="1208">
      <x:c r="A1208" s="36" t="str">
        <x:v>2026-07-23</x:v>
      </x:c>
      <x:c r="B1208" s="18" t="str">
        <x:v>101437000_83019</x:v>
      </x:c>
      <x:c r="C1208" s="18" t="str">
        <x:v>【沪村小电】首创禧瑞云启东区充电站</x:v>
      </x:c>
      <x:c r="D1208" s="37" t="str">
        <x:v>2</x:v>
      </x:c>
      <x:c r="E1208" s="37" t="str">
        <x:v>0</x:v>
      </x:c>
      <x:c r="F1208" s="37" t="str">
        <x:v>40</x:v>
      </x:c>
      <x:c r="G1208" s="37" t="str">
        <x:v>897.35</x:v>
      </x:c>
      <x:c r="H1208" s="37" t="str">
        <x:v>0.00</x:v>
      </x:c>
      <x:c r="I1208" s="37" t="str">
        <x:v>591.43</x:v>
      </x:c>
      <x:c r="J1208" s="37" t="str">
        <x:v>0.00</x:v>
      </x:c>
      <x:c r="K1208" s="37" t="str">
        <x:v>305.93</x:v>
      </x:c>
      <x:c r="L1208" s="37" t="str">
        <x:v>1321</x:v>
      </x:c>
      <x:c r="M1208" s="29" t="str">
        <x:v>861.48</x:v>
      </x:c>
      <x:c r="N1208" s="29" t="str">
        <x:v>533.07</x:v>
      </x:c>
      <x:c r="O1208" s="29" t="str">
        <x:v>328.41</x:v>
      </x:c>
      <x:c r="P1208" s="18" t="str">
        <x:v>2026-07-23</x:v>
      </x:c>
      <x:c r="Q1208" s="36" t="n">
        <x:v>46226</x:v>
      </x:c>
    </x:row>
    <x:row r="1209">
      <x:c r="A1209" s="36" t="str">
        <x:v>2026-07-23</x:v>
      </x:c>
      <x:c r="B1209" s="18" t="str">
        <x:v>101437000_83093</x:v>
      </x:c>
      <x:c r="C1209" s="18" t="str">
        <x:v>【沪村小电】金茂未来时光里</x:v>
      </x:c>
      <x:c r="D1209" s="37" t="str">
        <x:v>2</x:v>
      </x:c>
      <x:c r="E1209" s="37" t="str">
        <x:v>0</x:v>
      </x:c>
      <x:c r="F1209" s="37" t="str">
        <x:v>82</x:v>
      </x:c>
      <x:c r="G1209" s="37" t="str">
        <x:v>2316.19</x:v>
      </x:c>
      <x:c r="H1209" s="37" t="str">
        <x:v>0.00</x:v>
      </x:c>
      <x:c r="I1209" s="37" t="str">
        <x:v>1366.43</x:v>
      </x:c>
      <x:c r="J1209" s="37" t="str">
        <x:v>0.00</x:v>
      </x:c>
      <x:c r="K1209" s="37" t="str">
        <x:v>949.77</x:v>
      </x:c>
      <x:c r="L1209" s="37" t="str">
        <x:v>3221</x:v>
      </x:c>
      <x:c r="M1209" s="29" t="str">
        <x:v>1657.79</x:v>
      </x:c>
      <x:c r="N1209" s="29" t="str">
        <x:v>1100.65</x:v>
      </x:c>
      <x:c r="O1209" s="29" t="str">
        <x:v>557.14</x:v>
      </x:c>
      <x:c r="P1209" s="18" t="str">
        <x:v>2026-07-23</x:v>
      </x:c>
      <x:c r="Q1209" s="36" t="n">
        <x:v>46226</x:v>
      </x:c>
    </x:row>
    <x:row r="1210">
      <x:c r="A1210" s="36" t="str">
        <x:v>2026-07-23</x:v>
      </x:c>
      <x:c r="B1210" s="18" t="str">
        <x:v>101437000_83911</x:v>
      </x:c>
      <x:c r="C1210" s="18" t="str">
        <x:v>【沪村小电】金瀚园充电站</x:v>
      </x:c>
      <x:c r="D1210" s="37" t="str">
        <x:v>2</x:v>
      </x:c>
      <x:c r="E1210" s="37" t="str">
        <x:v>0</x:v>
      </x:c>
      <x:c r="F1210" s="37" t="str">
        <x:v>39</x:v>
      </x:c>
      <x:c r="G1210" s="37" t="str">
        <x:v>1039.12</x:v>
      </x:c>
      <x:c r="H1210" s="37" t="str">
        <x:v>0.00</x:v>
      </x:c>
      <x:c r="I1210" s="37" t="str">
        <x:v>736.11</x:v>
      </x:c>
      <x:c r="J1210" s="37" t="str">
        <x:v>0.00</x:v>
      </x:c>
      <x:c r="K1210" s="37" t="str">
        <x:v>303.01</x:v>
      </x:c>
      <x:c r="L1210" s="37" t="str">
        <x:v>1570</x:v>
      </x:c>
      <x:c r="M1210" s="29" t="str">
        <x:v>1017.26</x:v>
      </x:c>
      <x:c r="N1210" s="29" t="str">
        <x:v>634.74</x:v>
      </x:c>
      <x:c r="O1210" s="29" t="str">
        <x:v>382.52</x:v>
      </x:c>
      <x:c r="P1210" s="18" t="str">
        <x:v>2026-07-23</x:v>
      </x:c>
      <x:c r="Q1210" s="36" t="n">
        <x:v>46226</x:v>
      </x:c>
    </x:row>
    <x:row r="1211">
      <x:c r="A1211" s="36" t="str">
        <x:v>2026-07-23</x:v>
      </x:c>
      <x:c r="B1211" s="18" t="str">
        <x:v>101437000_83913</x:v>
      </x:c>
      <x:c r="C1211" s="18" t="str">
        <x:v>【沪村小电】新黎村充电站</x:v>
      </x:c>
      <x:c r="D1211" s="37" t="str">
        <x:v>2</x:v>
      </x:c>
      <x:c r="E1211" s="37" t="str">
        <x:v>0</x:v>
      </x:c>
      <x:c r="F1211" s="37" t="str">
        <x:v>56</x:v>
      </x:c>
      <x:c r="G1211" s="37" t="str">
        <x:v>1259.65</x:v>
      </x:c>
      <x:c r="H1211" s="37" t="str">
        <x:v>0.00</x:v>
      </x:c>
      <x:c r="I1211" s="37" t="str">
        <x:v>892.32</x:v>
      </x:c>
      <x:c r="J1211" s="37" t="str">
        <x:v>0.00</x:v>
      </x:c>
      <x:c r="K1211" s="37" t="str">
        <x:v>367.33</x:v>
      </x:c>
      <x:c r="L1211" s="37" t="str">
        <x:v>2620</x:v>
      </x:c>
      <x:c r="M1211" s="29" t="str">
        <x:v>1112.36</x:v>
      </x:c>
      <x:c r="N1211" s="29" t="str">
        <x:v>769.43</x:v>
      </x:c>
      <x:c r="O1211" s="29" t="str">
        <x:v>342.93</x:v>
      </x:c>
      <x:c r="P1211" s="18" t="str">
        <x:v>2026-07-23</x:v>
      </x:c>
      <x:c r="Q1211" s="36" t="n">
        <x:v>46226</x:v>
      </x:c>
    </x:row>
    <x:row r="1212">
      <x:c r="A1212" s="36" t="str">
        <x:v>2026-07-23</x:v>
      </x:c>
      <x:c r="B1212" s="18" t="str">
        <x:v>101437000_83915</x:v>
      </x:c>
      <x:c r="C1212" s="18" t="str">
        <x:v>【沪村小电】长泰西郊别墅充电站</x:v>
      </x:c>
      <x:c r="D1212" s="37" t="str">
        <x:v>2</x:v>
      </x:c>
      <x:c r="E1212" s="37" t="str">
        <x:v>0</x:v>
      </x:c>
      <x:c r="F1212" s="37" t="str">
        <x:v>24</x:v>
      </x:c>
      <x:c r="G1212" s="37" t="str">
        <x:v>455.40</x:v>
      </x:c>
      <x:c r="H1212" s="37" t="str">
        <x:v>0.00</x:v>
      </x:c>
      <x:c r="I1212" s="37" t="str">
        <x:v>194.05</x:v>
      </x:c>
      <x:c r="J1212" s="37" t="str">
        <x:v>0.00</x:v>
      </x:c>
      <x:c r="K1212" s="37" t="str">
        <x:v>261.36</x:v>
      </x:c>
      <x:c r="L1212" s="37" t="str">
        <x:v>722</x:v>
      </x:c>
      <x:c r="M1212" s="29" t="str">
        <x:v>358.09</x:v>
      </x:c>
      <x:c r="N1212" s="29" t="str">
        <x:v>234.47</x:v>
      </x:c>
      <x:c r="O1212" s="29" t="str">
        <x:v>123.62</x:v>
      </x:c>
      <x:c r="P1212" s="18" t="str">
        <x:v>2026-07-23</x:v>
      </x:c>
      <x:c r="Q1212" s="36" t="n">
        <x:v>46226</x:v>
      </x:c>
    </x:row>
    <x:row r="1213">
      <x:c r="A1213" s="36" t="str">
        <x:v>2026-07-23</x:v>
      </x:c>
      <x:c r="B1213" s="18" t="str">
        <x:v>101437000_83917</x:v>
      </x:c>
      <x:c r="C1213" s="18" t="str">
        <x:v>【沪村小电】旭新华庭充电站</x:v>
      </x:c>
      <x:c r="D1213" s="37" t="str">
        <x:v>4</x:v>
      </x:c>
      <x:c r="E1213" s="37" t="str">
        <x:v>0</x:v>
      </x:c>
      <x:c r="F1213" s="37" t="str">
        <x:v>27</x:v>
      </x:c>
      <x:c r="G1213" s="37" t="str">
        <x:v>690.79</x:v>
      </x:c>
      <x:c r="H1213" s="37" t="str">
        <x:v>0.00</x:v>
      </x:c>
      <x:c r="I1213" s="37" t="str">
        <x:v>503.59</x:v>
      </x:c>
      <x:c r="J1213" s="37" t="str">
        <x:v>0.00</x:v>
      </x:c>
      <x:c r="K1213" s="37" t="str">
        <x:v>187.20</x:v>
      </x:c>
      <x:c r="L1213" s="37" t="str">
        <x:v>1007</x:v>
      </x:c>
      <x:c r="M1213" s="29" t="str">
        <x:v>728.37</x:v>
      </x:c>
      <x:c r="N1213" s="29" t="str">
        <x:v>426.82</x:v>
      </x:c>
      <x:c r="O1213" s="29" t="str">
        <x:v>301.55</x:v>
      </x:c>
      <x:c r="P1213" s="18" t="str">
        <x:v>2026-07-23</x:v>
      </x:c>
      <x:c r="Q1213" s="36" t="n">
        <x:v>46226</x:v>
      </x:c>
    </x:row>
    <x:row r="1214">
      <x:c r="A1214" s="36" t="str">
        <x:v>2026-07-23</x:v>
      </x:c>
      <x:c r="B1214" s="18" t="str">
        <x:v>101437000_83919</x:v>
      </x:c>
      <x:c r="C1214" s="18" t="str">
        <x:v>【沪村小电】浦锦名仕嘉园充电站</x:v>
      </x:c>
      <x:c r="D1214" s="37" t="str">
        <x:v>4</x:v>
      </x:c>
      <x:c r="E1214" s="37" t="str">
        <x:v>0</x:v>
      </x:c>
      <x:c r="F1214" s="37" t="str">
        <x:v>46</x:v>
      </x:c>
      <x:c r="G1214" s="37" t="str">
        <x:v>1269.02</x:v>
      </x:c>
      <x:c r="H1214" s="37" t="str">
        <x:v>0.00</x:v>
      </x:c>
      <x:c r="I1214" s="37" t="str">
        <x:v>0.00</x:v>
      </x:c>
      <x:c r="J1214" s="37" t="str">
        <x:v>1269.02</x:v>
      </x:c>
      <x:c r="K1214" s="37" t="str">
        <x:v>0.00</x:v>
      </x:c>
      <x:c r="L1214" s="37" t="str">
        <x:v>1620</x:v>
      </x:c>
      <x:c r="M1214" s="29" t="str">
        <x:v>1304.33</x:v>
      </x:c>
      <x:c r="N1214" s="29" t="str">
        <x:v>888.33</x:v>
      </x:c>
      <x:c r="O1214" s="29" t="str">
        <x:v>416.00</x:v>
      </x:c>
      <x:c r="P1214" s="18" t="str">
        <x:v>2026-07-23</x:v>
      </x:c>
      <x:c r="Q1214" s="36" t="n">
        <x:v>46226</x:v>
      </x:c>
    </x:row>
    <x:row r="1215">
      <x:c r="A1215" s="36" t="str">
        <x:v>2026-07-23</x:v>
      </x:c>
      <x:c r="B1215" s="18" t="str">
        <x:v>101437000_83921</x:v>
      </x:c>
      <x:c r="C1215" s="18" t="str">
        <x:v>【沪村小电】上海联怡枇杷乐园充电站（地库）</x:v>
      </x:c>
      <x:c r="D1215" s="37" t="str">
        <x:v>8</x:v>
      </x:c>
      <x:c r="E1215" s="37" t="str">
        <x:v>0</x:v>
      </x:c>
      <x:c r="F1215" s="37" t="str">
        <x:v>13</x:v>
      </x:c>
      <x:c r="G1215" s="37" t="str">
        <x:v>283.37</x:v>
      </x:c>
      <x:c r="H1215" s="37" t="str">
        <x:v>0.00</x:v>
      </x:c>
      <x:c r="I1215" s="37" t="str">
        <x:v>154.79</x:v>
      </x:c>
      <x:c r="J1215" s="37" t="str">
        <x:v>0.00</x:v>
      </x:c>
      <x:c r="K1215" s="37" t="str">
        <x:v>128.58</x:v>
      </x:c>
      <x:c r="L1215" s="37" t="str">
        <x:v>392</x:v>
      </x:c>
      <x:c r="M1215" s="29" t="str">
        <x:v>222.29</x:v>
      </x:c>
      <x:c r="N1215" s="29" t="str">
        <x:v>198.46</x:v>
      </x:c>
      <x:c r="O1215" s="29" t="str">
        <x:v>23.83</x:v>
      </x:c>
      <x:c r="P1215" s="18" t="str">
        <x:v>2026-07-23</x:v>
      </x:c>
      <x:c r="Q1215" s="36" t="n">
        <x:v>46226</x:v>
      </x:c>
    </x:row>
    <x:row r="1216">
      <x:c r="A1216" s="36" t="str">
        <x:v>2026-07-23</x:v>
      </x:c>
      <x:c r="B1216" s="18" t="str">
        <x:v>101437000_83923</x:v>
      </x:c>
      <x:c r="C1216" s="18" t="str">
        <x:v>【沪村小电】明珠新苑充电站</x:v>
      </x:c>
      <x:c r="D1216" s="37" t="str">
        <x:v>2</x:v>
      </x:c>
      <x:c r="E1216" s="37" t="str">
        <x:v>0</x:v>
      </x:c>
      <x:c r="F1216" s="37" t="str">
        <x:v>32</x:v>
      </x:c>
      <x:c r="G1216" s="37" t="str">
        <x:v>837.93</x:v>
      </x:c>
      <x:c r="H1216" s="37" t="str">
        <x:v>0.00</x:v>
      </x:c>
      <x:c r="I1216" s="37" t="str">
        <x:v>687.66</x:v>
      </x:c>
      <x:c r="J1216" s="37" t="str">
        <x:v>0.00</x:v>
      </x:c>
      <x:c r="K1216" s="37" t="str">
        <x:v>150.27</x:v>
      </x:c>
      <x:c r="L1216" s="37" t="str">
        <x:v>1188</x:v>
      </x:c>
      <x:c r="M1216" s="29" t="str">
        <x:v>827.98</x:v>
      </x:c>
      <x:c r="N1216" s="29" t="str">
        <x:v>543.84</x:v>
      </x:c>
      <x:c r="O1216" s="29" t="str">
        <x:v>284.14</x:v>
      </x:c>
      <x:c r="P1216" s="18" t="str">
        <x:v>2026-07-23</x:v>
      </x:c>
      <x:c r="Q1216" s="36" t="n">
        <x:v>46226</x:v>
      </x:c>
    </x:row>
    <x:row r="1217">
      <x:c r="A1217" s="36" t="str">
        <x:v>2026-07-23</x:v>
      </x:c>
      <x:c r="B1217" s="18" t="str">
        <x:v>101437000_84289</x:v>
      </x:c>
      <x:c r="C1217" s="18" t="str">
        <x:v>【沪村小电】铁建芳华苑充电站</x:v>
      </x:c>
      <x:c r="D1217" s="37" t="str">
        <x:v>4</x:v>
      </x:c>
      <x:c r="E1217" s="37" t="str">
        <x:v>0</x:v>
      </x:c>
      <x:c r="F1217" s="37" t="str">
        <x:v>47</x:v>
      </x:c>
      <x:c r="G1217" s="37" t="str">
        <x:v>1141.70</x:v>
      </x:c>
      <x:c r="H1217" s="37" t="str">
        <x:v>0.00</x:v>
      </x:c>
      <x:c r="I1217" s="37" t="str">
        <x:v>794.79</x:v>
      </x:c>
      <x:c r="J1217" s="37" t="str">
        <x:v>0.00</x:v>
      </x:c>
      <x:c r="K1217" s="37" t="str">
        <x:v>346.91</x:v>
      </x:c>
      <x:c r="L1217" s="37" t="str">
        <x:v>1711</x:v>
      </x:c>
      <x:c r="M1217" s="29" t="str">
        <x:v>1049.32</x:v>
      </x:c>
      <x:c r="N1217" s="29" t="str">
        <x:v>692.71</x:v>
      </x:c>
      <x:c r="O1217" s="29" t="str">
        <x:v>356.61</x:v>
      </x:c>
      <x:c r="P1217" s="18" t="str">
        <x:v>2026-07-23</x:v>
      </x:c>
      <x:c r="Q1217" s="36" t="n">
        <x:v>46226</x:v>
      </x:c>
    </x:row>
    <x:row r="1218">
      <x:c r="A1218" s="36" t="str">
        <x:v>2026-07-23</x:v>
      </x:c>
      <x:c r="B1218" s="18" t="str">
        <x:v>101437000_86379</x:v>
      </x:c>
      <x:c r="C1218" s="18" t="str">
        <x:v>【沪村小电】新宝社区充电站</x:v>
      </x:c>
      <x:c r="D1218" s="37" t="str">
        <x:v>4</x:v>
      </x:c>
      <x:c r="E1218" s="37" t="str">
        <x:v>0</x:v>
      </x:c>
      <x:c r="F1218" s="37" t="str">
        <x:v>23</x:v>
      </x:c>
      <x:c r="G1218" s="37" t="str">
        <x:v>612.58</x:v>
      </x:c>
      <x:c r="H1218" s="37" t="str">
        <x:v>0.00</x:v>
      </x:c>
      <x:c r="I1218" s="37" t="str">
        <x:v>387.49</x:v>
      </x:c>
      <x:c r="J1218" s="37" t="str">
        <x:v>0.00</x:v>
      </x:c>
      <x:c r="K1218" s="37" t="str">
        <x:v>225.09</x:v>
      </x:c>
      <x:c r="L1218" s="37" t="str">
        <x:v>1067</x:v>
      </x:c>
      <x:c r="M1218" s="29" t="str">
        <x:v>507.69</x:v>
      </x:c>
      <x:c r="N1218" s="29" t="str">
        <x:v>358.41</x:v>
      </x:c>
      <x:c r="O1218" s="29" t="str">
        <x:v>149.28</x:v>
      </x:c>
      <x:c r="P1218" s="18" t="str">
        <x:v>2026-07-23</x:v>
      </x:c>
      <x:c r="Q1218" s="36" t="n">
        <x:v>46226</x:v>
      </x:c>
    </x:row>
    <x:row r="1219">
      <x:c r="A1219" s="36" t="str">
        <x:v>2026-07-23</x:v>
      </x:c>
      <x:c r="B1219" s="18" t="str">
        <x:v>101437000_89441</x:v>
      </x:c>
      <x:c r="C1219" s="18" t="str">
        <x:v>【沪村小电】首创禧瑞云启西区充电站</x:v>
      </x:c>
      <x:c r="D1219" s="37" t="str">
        <x:v>2</x:v>
      </x:c>
      <x:c r="E1219" s="37" t="str">
        <x:v>0</x:v>
      </x:c>
      <x:c r="F1219" s="37" t="str">
        <x:v>38</x:v>
      </x:c>
      <x:c r="G1219" s="37" t="str">
        <x:v>807.46</x:v>
      </x:c>
      <x:c r="H1219" s="37" t="str">
        <x:v>0.00</x:v>
      </x:c>
      <x:c r="I1219" s="37" t="str">
        <x:v>528.25</x:v>
      </x:c>
      <x:c r="J1219" s="37" t="str">
        <x:v>0.00</x:v>
      </x:c>
      <x:c r="K1219" s="37" t="str">
        <x:v>279.21</x:v>
      </x:c>
      <x:c r="L1219" s="37" t="str">
        <x:v>1182</x:v>
      </x:c>
      <x:c r="M1219" s="29" t="str">
        <x:v>758.83</x:v>
      </x:c>
      <x:c r="N1219" s="29" t="str">
        <x:v>478.34</x:v>
      </x:c>
      <x:c r="O1219" s="29" t="str">
        <x:v>280.49</x:v>
      </x:c>
      <x:c r="P1219" s="18" t="str">
        <x:v>2026-07-23</x:v>
      </x:c>
      <x:c r="Q1219" s="36" t="n">
        <x:v>46226</x:v>
      </x:c>
    </x:row>
    <x:row r="1220">
      <x:c r="A1220" s="36" t="str">
        <x:v>2026-07-23</x:v>
      </x:c>
      <x:c r="B1220" s="18" t="str">
        <x:v>101437000_89443</x:v>
      </x:c>
      <x:c r="C1220" s="18" t="str">
        <x:v>【沪村小电】玉兰清苑二期充电站</x:v>
      </x:c>
      <x:c r="D1220" s="37" t="str">
        <x:v>2</x:v>
      </x:c>
      <x:c r="E1220" s="37" t="str">
        <x:v>0</x:v>
      </x:c>
      <x:c r="F1220" s="37" t="str">
        <x:v>30</x:v>
      </x:c>
      <x:c r="G1220" s="37" t="str">
        <x:v>807.46</x:v>
      </x:c>
      <x:c r="H1220" s="37" t="str">
        <x:v>0.00</x:v>
      </x:c>
      <x:c r="I1220" s="37" t="str">
        <x:v>549.99</x:v>
      </x:c>
      <x:c r="J1220" s="37" t="str">
        <x:v>0.00</x:v>
      </x:c>
      <x:c r="K1220" s="37" t="str">
        <x:v>257.47</x:v>
      </x:c>
      <x:c r="L1220" s="37" t="str">
        <x:v>1238</x:v>
      </x:c>
      <x:c r="M1220" s="29" t="str">
        <x:v>748.71</x:v>
      </x:c>
      <x:c r="N1220" s="29" t="str">
        <x:v>485.76</x:v>
      </x:c>
      <x:c r="O1220" s="29" t="str">
        <x:v>262.95</x:v>
      </x:c>
      <x:c r="P1220" s="18" t="str">
        <x:v>2026-07-23</x:v>
      </x:c>
      <x:c r="Q1220" s="36" t="n">
        <x:v>46226</x:v>
      </x:c>
    </x:row>
    <x:row r="1221">
      <x:c r="A1221" s="36" t="str">
        <x:v>2026-07-23</x:v>
      </x:c>
      <x:c r="B1221" s="18" t="str">
        <x:v>101437000_93115</x:v>
      </x:c>
      <x:c r="C1221" s="18" t="str">
        <x:v>【沪村小电】新南家园西北门</x:v>
      </x:c>
      <x:c r="D1221" s="37" t="str">
        <x:v>2</x:v>
      </x:c>
      <x:c r="E1221" s="37" t="str">
        <x:v>0</x:v>
      </x:c>
      <x:c r="F1221" s="37" t="str">
        <x:v>28</x:v>
      </x:c>
      <x:c r="G1221" s="37" t="str">
        <x:v>782.69</x:v>
      </x:c>
      <x:c r="H1221" s="37" t="str">
        <x:v>0.00</x:v>
      </x:c>
      <x:c r="I1221" s="37" t="str">
        <x:v>518.20</x:v>
      </x:c>
      <x:c r="J1221" s="37" t="str">
        <x:v>0.00</x:v>
      </x:c>
      <x:c r="K1221" s="37" t="str">
        <x:v>264.49</x:v>
      </x:c>
      <x:c r="L1221" s="37" t="str">
        <x:v>1149</x:v>
      </x:c>
      <x:c r="M1221" s="29" t="str">
        <x:v>751.15</x:v>
      </x:c>
      <x:c r="N1221" s="29" t="str">
        <x:v>465.79</x:v>
      </x:c>
      <x:c r="O1221" s="29" t="str">
        <x:v>285.36</x:v>
      </x:c>
      <x:c r="P1221" s="18" t="str">
        <x:v>2026-07-23</x:v>
      </x:c>
      <x:c r="Q1221" s="36" t="n">
        <x:v>46226</x:v>
      </x:c>
    </x:row>
    <x:row r="1222">
      <x:c r="A1222" s="36" t="str">
        <x:v>2026-07-23</x:v>
      </x:c>
      <x:c r="B1222" s="18" t="str">
        <x:v>101437000_94649</x:v>
      </x:c>
      <x:c r="C1222" s="18" t="str">
        <x:v>【沪村小电】浪琴水岸花园</x:v>
      </x:c>
      <x:c r="D1222" s="37" t="str">
        <x:v>4</x:v>
      </x:c>
      <x:c r="E1222" s="37" t="str">
        <x:v>0</x:v>
      </x:c>
      <x:c r="F1222" s="37" t="str">
        <x:v>40</x:v>
      </x:c>
      <x:c r="G1222" s="37" t="str">
        <x:v>1040.74</x:v>
      </x:c>
      <x:c r="H1222" s="37" t="str">
        <x:v>0.00</x:v>
      </x:c>
      <x:c r="I1222" s="37" t="str">
        <x:v>674.86</x:v>
      </x:c>
      <x:c r="J1222" s="37" t="str">
        <x:v>0.00</x:v>
      </x:c>
      <x:c r="K1222" s="37" t="str">
        <x:v>365.88</x:v>
      </x:c>
      <x:c r="L1222" s="37" t="str">
        <x:v>1754</x:v>
      </x:c>
      <x:c r="M1222" s="29" t="str">
        <x:v>867.93</x:v>
      </x:c>
      <x:c r="N1222" s="29" t="str">
        <x:v>651.10</x:v>
      </x:c>
      <x:c r="O1222" s="29" t="str">
        <x:v>216.83</x:v>
      </x:c>
      <x:c r="P1222" s="18" t="str">
        <x:v>2026-07-23</x:v>
      </x:c>
      <x:c r="Q1222" s="36" t="n">
        <x:v>46226</x:v>
      </x:c>
    </x:row>
    <x:row r="1223">
      <x:c r="A1223" s="36" t="str">
        <x:v>2026-07-23</x:v>
      </x:c>
      <x:c r="B1223" s="18" t="str">
        <x:v>101437000_95077</x:v>
      </x:c>
      <x:c r="C1223" s="18" t="str">
        <x:v>【沪村小电】民乐城惠益绿苑255弄充电站</x:v>
      </x:c>
      <x:c r="D1223" s="37" t="str">
        <x:v>2</x:v>
      </x:c>
      <x:c r="E1223" s="37" t="str">
        <x:v>0</x:v>
      </x:c>
      <x:c r="F1223" s="37" t="str">
        <x:v>12</x:v>
      </x:c>
      <x:c r="G1223" s="37" t="str">
        <x:v>270.04</x:v>
      </x:c>
      <x:c r="H1223" s="37" t="str">
        <x:v>0.00</x:v>
      </x:c>
      <x:c r="I1223" s="37" t="str">
        <x:v>193.70</x:v>
      </x:c>
      <x:c r="J1223" s="37" t="str">
        <x:v>0.00</x:v>
      </x:c>
      <x:c r="K1223" s="37" t="str">
        <x:v>76.34</x:v>
      </x:c>
      <x:c r="L1223" s="37" t="str">
        <x:v>483</x:v>
      </x:c>
      <x:c r="M1223" s="29" t="str">
        <x:v>225.15</x:v>
      </x:c>
      <x:c r="N1223" s="29" t="str">
        <x:v>165.77</x:v>
      </x:c>
      <x:c r="O1223" s="29" t="str">
        <x:v>59.38</x:v>
      </x:c>
      <x:c r="P1223" s="18" t="str">
        <x:v>2026-07-23</x:v>
      </x:c>
      <x:c r="Q1223" s="36" t="n">
        <x:v>46226</x:v>
      </x:c>
    </x:row>
    <x:row r="1224">
      <x:c r="A1224" s="36" t="str">
        <x:v>2026-07-23</x:v>
      </x:c>
      <x:c r="B1224" s="18" t="str">
        <x:v>101437000_95079</x:v>
      </x:c>
      <x:c r="C1224" s="18" t="str">
        <x:v>【沪村小电】民乐城惠益绿苑东苑充电站</x:v>
      </x:c>
      <x:c r="D1224" s="37" t="str">
        <x:v>2</x:v>
      </x:c>
      <x:c r="E1224" s="37" t="str">
        <x:v>0</x:v>
      </x:c>
      <x:c r="F1224" s="37" t="str">
        <x:v>18</x:v>
      </x:c>
      <x:c r="G1224" s="37" t="str">
        <x:v>388.25</x:v>
      </x:c>
      <x:c r="H1224" s="37" t="str">
        <x:v>0.00</x:v>
      </x:c>
      <x:c r="I1224" s="37" t="str">
        <x:v>299.64</x:v>
      </x:c>
      <x:c r="J1224" s="37" t="str">
        <x:v>0.00</x:v>
      </x:c>
      <x:c r="K1224" s="37" t="str">
        <x:v>88.61</x:v>
      </x:c>
      <x:c r="L1224" s="37" t="str">
        <x:v>657</x:v>
      </x:c>
      <x:c r="M1224" s="29" t="str">
        <x:v>355.19</x:v>
      </x:c>
      <x:c r="N1224" s="29" t="str">
        <x:v>245.52</x:v>
      </x:c>
      <x:c r="O1224" s="29" t="str">
        <x:v>109.67</x:v>
      </x:c>
      <x:c r="P1224" s="18" t="str">
        <x:v>2026-07-23</x:v>
      </x:c>
      <x:c r="Q1224" s="36" t="n">
        <x:v>46226</x:v>
      </x:c>
    </x:row>
    <x:row r="1225">
      <x:c r="A1225" s="36" t="str">
        <x:v>2026-07-23</x:v>
      </x:c>
      <x:c r="B1225" s="18" t="str">
        <x:v>101437000_95081</x:v>
      </x:c>
      <x:c r="C1225" s="18" t="str">
        <x:v>【沪村小电】民乐城惠益绿苑西苑充电站</x:v>
      </x:c>
      <x:c r="D1225" s="37" t="str">
        <x:v>2</x:v>
      </x:c>
      <x:c r="E1225" s="37" t="str">
        <x:v>0</x:v>
      </x:c>
      <x:c r="F1225" s="37" t="str">
        <x:v>9</x:v>
      </x:c>
      <x:c r="G1225" s="37" t="str">
        <x:v>206.31</x:v>
      </x:c>
      <x:c r="H1225" s="37" t="str">
        <x:v>0.00</x:v>
      </x:c>
      <x:c r="I1225" s="37" t="str">
        <x:v>120.39</x:v>
      </x:c>
      <x:c r="J1225" s="37" t="str">
        <x:v>0.00</x:v>
      </x:c>
      <x:c r="K1225" s="37" t="str">
        <x:v>85.92</x:v>
      </x:c>
      <x:c r="L1225" s="37" t="str">
        <x:v>300</x:v>
      </x:c>
      <x:c r="M1225" s="29" t="str">
        <x:v>165.20</x:v>
      </x:c>
      <x:c r="N1225" s="29" t="str">
        <x:v>117.27</x:v>
      </x:c>
      <x:c r="O1225" s="29" t="str">
        <x:v>47.93</x:v>
      </x:c>
      <x:c r="P1225" s="18" t="str">
        <x:v>2026-07-23</x:v>
      </x:c>
      <x:c r="Q1225" s="36" t="n">
        <x:v>46226</x:v>
      </x:c>
    </x:row>
    <x:row r="1226">
      <x:c r="A1226" s="36" t="str">
        <x:v>2026-07-23</x:v>
      </x:c>
      <x:c r="B1226" s="18" t="str">
        <x:v>101437000_95941</x:v>
      </x:c>
      <x:c r="C1226" s="18" t="str">
        <x:v>【沪村小电】惠诚雅苑</x:v>
      </x:c>
      <x:c r="D1226" s="37" t="str">
        <x:v>4</x:v>
      </x:c>
      <x:c r="E1226" s="37" t="str">
        <x:v>0</x:v>
      </x:c>
      <x:c r="F1226" s="37" t="str">
        <x:v>45</x:v>
      </x:c>
      <x:c r="G1226" s="37" t="str">
        <x:v>1281.12</x:v>
      </x:c>
      <x:c r="H1226" s="37" t="str">
        <x:v>0.00</x:v>
      </x:c>
      <x:c r="I1226" s="37" t="str">
        <x:v>619.45</x:v>
      </x:c>
      <x:c r="J1226" s="37" t="str">
        <x:v>0.00</x:v>
      </x:c>
      <x:c r="K1226" s="37" t="str">
        <x:v>661.67</x:v>
      </x:c>
      <x:c r="L1226" s="37" t="str">
        <x:v>2063</x:v>
      </x:c>
      <x:c r="M1226" s="29" t="str">
        <x:v>846.88</x:v>
      </x:c>
      <x:c r="N1226" s="29" t="str">
        <x:v>570.65</x:v>
      </x:c>
      <x:c r="O1226" s="29" t="str">
        <x:v>276.23</x:v>
      </x:c>
      <x:c r="P1226" s="18" t="str">
        <x:v>2026-07-23</x:v>
      </x:c>
      <x:c r="Q1226" s="36" t="n">
        <x:v>46226</x:v>
      </x:c>
    </x:row>
    <x:row r="1227">
      <x:c r="A1227" s="36" t="str">
        <x:v>2026-07-23</x:v>
      </x:c>
      <x:c r="B1227" s="18" t="str">
        <x:v>101437000_96401</x:v>
      </x:c>
      <x:c r="C1227" s="18" t="str">
        <x:v>【沪村小电】上海联怡枇杷乐园地面站</x:v>
      </x:c>
      <x:c r="D1227" s="37" t="str">
        <x:v>2</x:v>
      </x:c>
      <x:c r="E1227" s="37" t="str">
        <x:v>0</x:v>
      </x:c>
      <x:c r="F1227" s="37" t="str">
        <x:v>9</x:v>
      </x:c>
      <x:c r="G1227" s="37" t="str">
        <x:v>309.54</x:v>
      </x:c>
      <x:c r="H1227" s="37" t="str">
        <x:v>0.00</x:v>
      </x:c>
      <x:c r="I1227" s="37" t="str">
        <x:v>221.08</x:v>
      </x:c>
      <x:c r="J1227" s="37" t="str">
        <x:v>0.00</x:v>
      </x:c>
      <x:c r="K1227" s="37" t="str">
        <x:v>88.46</x:v>
      </x:c>
      <x:c r="L1227" s="37" t="str">
        <x:v>424</x:v>
      </x:c>
      <x:c r="M1227" s="29" t="str">
        <x:v>349.28</x:v>
      </x:c>
      <x:c r="N1227" s="29" t="str">
        <x:v>239.67</x:v>
      </x:c>
      <x:c r="O1227" s="29" t="str">
        <x:v>109.61</x:v>
      </x:c>
      <x:c r="P1227" s="18" t="str">
        <x:v>2026-07-23</x:v>
      </x:c>
      <x:c r="Q1227" s="36" t="n">
        <x:v>46226</x:v>
      </x:c>
    </x:row>
    <x:row r="1228">
      <x:c r="A1228" s="36" t="str">
        <x:v>2026-07-23</x:v>
      </x:c>
      <x:c r="B1228" s="18" t="str">
        <x:v>101437000_96719</x:v>
      </x:c>
      <x:c r="C1228" s="18" t="str">
        <x:v>【沪村小电】四达路220弄充电站</x:v>
      </x:c>
      <x:c r="D1228" s="37" t="str">
        <x:v>2</x:v>
      </x:c>
      <x:c r="E1228" s="37" t="str">
        <x:v>0</x:v>
      </x:c>
      <x:c r="F1228" s="37" t="str">
        <x:v>2</x:v>
      </x:c>
      <x:c r="G1228" s="37" t="str">
        <x:v>62.64</x:v>
      </x:c>
      <x:c r="H1228" s="37" t="str">
        <x:v>0.00</x:v>
      </x:c>
      <x:c r="I1228" s="37" t="str">
        <x:v>40.29</x:v>
      </x:c>
      <x:c r="J1228" s="37" t="str">
        <x:v>0.00</x:v>
      </x:c>
      <x:c r="K1228" s="37" t="str">
        <x:v>22.35</x:v>
      </x:c>
      <x:c r="L1228" s="37" t="str">
        <x:v>65</x:v>
      </x:c>
      <x:c r="M1228" s="29" t="str">
        <x:v>67.57</x:v>
      </x:c>
      <x:c r="N1228" s="29" t="str">
        <x:v>36.88</x:v>
      </x:c>
      <x:c r="O1228" s="29" t="str">
        <x:v>30.69</x:v>
      </x:c>
      <x:c r="P1228" s="18" t="str">
        <x:v>2026-07-23</x:v>
      </x:c>
      <x:c r="Q1228" s="36" t="n">
        <x:v>46226</x:v>
      </x:c>
    </x:row>
    <x:row r="1229">
      <x:c r="A1229" s="36" t="str">
        <x:v>2026-07-23</x:v>
      </x:c>
      <x:c r="B1229" s="18" t="str">
        <x:v>101437000_97421</x:v>
      </x:c>
      <x:c r="C1229" s="18" t="str">
        <x:v>【沪村小电】玉兰清苑二期（小区外）充电站</x:v>
      </x:c>
      <x:c r="D1229" s="37" t="str">
        <x:v>4</x:v>
      </x:c>
      <x:c r="E1229" s="37" t="str">
        <x:v>0</x:v>
      </x:c>
      <x:c r="F1229" s="37" t="str">
        <x:v>74</x:v>
      </x:c>
      <x:c r="G1229" s="37" t="str">
        <x:v>1106.57</x:v>
      </x:c>
      <x:c r="H1229" s="37" t="str">
        <x:v>0.00</x:v>
      </x:c>
      <x:c r="I1229" s="37" t="str">
        <x:v>835.30</x:v>
      </x:c>
      <x:c r="J1229" s="37" t="str">
        <x:v>0.00</x:v>
      </x:c>
      <x:c r="K1229" s="37" t="str">
        <x:v>271.26</x:v>
      </x:c>
      <x:c r="L1229" s="37" t="str">
        <x:v>1938</x:v>
      </x:c>
      <x:c r="M1229" s="29" t="str">
        <x:v>1018.36</x:v>
      </x:c>
      <x:c r="N1229" s="29" t="str">
        <x:v>693.45</x:v>
      </x:c>
      <x:c r="O1229" s="29" t="str">
        <x:v>324.91</x:v>
      </x:c>
      <x:c r="P1229" s="18" t="str">
        <x:v>2026-07-23</x:v>
      </x:c>
      <x:c r="Q1229" s="36" t="n">
        <x:v>46226</x:v>
      </x:c>
    </x:row>
    <x:row r="1230">
      <x:c r="A1230" s="36" t="str">
        <x:v>2026-07-23</x:v>
      </x:c>
      <x:c r="B1230" s="18" t="str">
        <x:v>101437000_98013</x:v>
      </x:c>
      <x:c r="C1230" s="18" t="str">
        <x:v>【沪村小电】恒大滨江华府充电站</x:v>
      </x:c>
      <x:c r="D1230" s="37" t="str">
        <x:v>4</x:v>
      </x:c>
      <x:c r="E1230" s="37" t="str">
        <x:v>0</x:v>
      </x:c>
      <x:c r="F1230" s="37" t="str">
        <x:v>40</x:v>
      </x:c>
      <x:c r="G1230" s="37" t="str">
        <x:v>1013.54</x:v>
      </x:c>
      <x:c r="H1230" s="37" t="str">
        <x:v>0.00</x:v>
      </x:c>
      <x:c r="I1230" s="37" t="str">
        <x:v>799.72</x:v>
      </x:c>
      <x:c r="J1230" s="37" t="str">
        <x:v>0.00</x:v>
      </x:c>
      <x:c r="K1230" s="37" t="str">
        <x:v>213.82</x:v>
      </x:c>
      <x:c r="L1230" s="37" t="str">
        <x:v>1492</x:v>
      </x:c>
      <x:c r="M1230" s="29" t="str">
        <x:v>1052.61</x:v>
      </x:c>
      <x:c r="N1230" s="29" t="str">
        <x:v>818.09</x:v>
      </x:c>
      <x:c r="O1230" s="29" t="str">
        <x:v>234.52</x:v>
      </x:c>
      <x:c r="P1230" s="18" t="str">
        <x:v>2026-07-23</x:v>
      </x:c>
      <x:c r="Q1230" s="36" t="n">
        <x:v>46226</x:v>
      </x:c>
    </x:row>
    <x:row r="1231">
      <x:c r="A1231" s="36" t="str">
        <x:v>2026-07-23</x:v>
      </x:c>
      <x:c r="B1231" s="18" t="str">
        <x:v>101437000_98863</x:v>
      </x:c>
      <x:c r="C1231" s="18" t="str">
        <x:v>【沪村小电】欣菊苑充电站</x:v>
      </x:c>
      <x:c r="D1231" s="37" t="str">
        <x:v>4</x:v>
      </x:c>
      <x:c r="E1231" s="37" t="str">
        <x:v>0</x:v>
      </x:c>
      <x:c r="F1231" s="37" t="str">
        <x:v>8</x:v>
      </x:c>
      <x:c r="G1231" s="37" t="str">
        <x:v>169.93</x:v>
      </x:c>
      <x:c r="H1231" s="37" t="str">
        <x:v>0.00</x:v>
      </x:c>
      <x:c r="I1231" s="37" t="str">
        <x:v>169.93</x:v>
      </x:c>
      <x:c r="J1231" s="37" t="str">
        <x:v>0.00</x:v>
      </x:c>
      <x:c r="K1231" s="37" t="str">
        <x:v>0.00</x:v>
      </x:c>
      <x:c r="L1231" s="37" t="str">
        <x:v>180</x:v>
      </x:c>
      <x:c r="M1231" s="29" t="str">
        <x:v>162.37</x:v>
      </x:c>
      <x:c r="N1231" s="29" t="str">
        <x:v>120.65</x:v>
      </x:c>
      <x:c r="O1231" s="29" t="str">
        <x:v>41.72</x:v>
      </x:c>
      <x:c r="P1231" s="18" t="str">
        <x:v>2026-07-23</x:v>
      </x:c>
      <x:c r="Q1231" s="36" t="n">
        <x:v>46226</x:v>
      </x:c>
    </x:row>
    <x:row r="1232">
      <x:c r="A1232" s="36" t="str">
        <x:v>2026-07-23</x:v>
      </x:c>
      <x:c r="B1232" s="18" t="str">
        <x:v>101437000_98865</x:v>
      </x:c>
      <x:c r="C1232" s="18" t="str">
        <x:v>【沪村小电】欣松苑充电站</x:v>
      </x:c>
      <x:c r="D1232" s="37" t="str">
        <x:v>4</x:v>
      </x:c>
      <x:c r="E1232" s="37" t="str">
        <x:v>0</x:v>
      </x:c>
      <x:c r="F1232" s="37" t="str">
        <x:v>29</x:v>
      </x:c>
      <x:c r="G1232" s="37" t="str">
        <x:v>539.47</x:v>
      </x:c>
      <x:c r="H1232" s="37" t="str">
        <x:v>0.00</x:v>
      </x:c>
      <x:c r="I1232" s="37" t="str">
        <x:v>488.17</x:v>
      </x:c>
      <x:c r="J1232" s="37" t="str">
        <x:v>0.00</x:v>
      </x:c>
      <x:c r="K1232" s="37" t="str">
        <x:v>51.30</x:v>
      </x:c>
      <x:c r="L1232" s="37" t="str">
        <x:v>781</x:v>
      </x:c>
      <x:c r="M1232" s="29" t="str">
        <x:v>516.23</x:v>
      </x:c>
      <x:c r="N1232" s="29" t="str">
        <x:v>365.58</x:v>
      </x:c>
      <x:c r="O1232" s="29" t="str">
        <x:v>150.65</x:v>
      </x:c>
      <x:c r="P1232" s="18" t="str">
        <x:v>2026-07-23</x:v>
      </x:c>
      <x:c r="Q1232" s="36" t="n">
        <x:v>46226</x:v>
      </x:c>
    </x:row>
    <x:row r="1233">
      <x:c r="A1233" s="36" t="str">
        <x:v>2026-07-23</x:v>
      </x:c>
      <x:c r="B1233" s="18" t="str">
        <x:v>101437000_98867</x:v>
      </x:c>
      <x:c r="C1233" s="18" t="str">
        <x:v>【沪村小电】欣荷苑充电站</x:v>
      </x:c>
      <x:c r="D1233" s="37" t="str">
        <x:v>4</x:v>
      </x:c>
      <x:c r="E1233" s="37" t="str">
        <x:v>0</x:v>
      </x:c>
      <x:c r="F1233" s="37" t="str">
        <x:v>16</x:v>
      </x:c>
      <x:c r="G1233" s="37" t="str">
        <x:v>441.28</x:v>
      </x:c>
      <x:c r="H1233" s="37" t="str">
        <x:v>0.00</x:v>
      </x:c>
      <x:c r="I1233" s="37" t="str">
        <x:v>371.97</x:v>
      </x:c>
      <x:c r="J1233" s="37" t="str">
        <x:v>0.00</x:v>
      </x:c>
      <x:c r="K1233" s="37" t="str">
        <x:v>69.31</x:v>
      </x:c>
      <x:c r="L1233" s="37" t="str">
        <x:v>572</x:v>
      </x:c>
      <x:c r="M1233" s="29" t="str">
        <x:v>373.30</x:v>
      </x:c>
      <x:c r="N1233" s="29" t="str">
        <x:v>289.72</x:v>
      </x:c>
      <x:c r="O1233" s="29" t="str">
        <x:v>83.58</x:v>
      </x:c>
      <x:c r="P1233" s="18" t="str">
        <x:v>2026-07-23</x:v>
      </x:c>
      <x:c r="Q1233" s="36" t="n">
        <x:v>46226</x:v>
      </x:c>
    </x:row>
    <x:row r="1234">
      <x:c r="A1234" s="36" t="str">
        <x:v>2026-07-23</x:v>
      </x:c>
      <x:c r="B1234" s="18" t="str">
        <x:v>101437000_99885</x:v>
      </x:c>
      <x:c r="C1234" s="18" t="str">
        <x:v>【沪村小电】汇丰馨苑充电站</x:v>
      </x:c>
      <x:c r="D1234" s="37" t="str">
        <x:v>4</x:v>
      </x:c>
      <x:c r="E1234" s="37" t="str">
        <x:v>0</x:v>
      </x:c>
      <x:c r="F1234" s="37" t="str">
        <x:v>12</x:v>
      </x:c>
      <x:c r="G1234" s="37" t="str">
        <x:v>229.03</x:v>
      </x:c>
      <x:c r="H1234" s="37" t="str">
        <x:v>0.00</x:v>
      </x:c>
      <x:c r="I1234" s="37" t="str">
        <x:v>204.23</x:v>
      </x:c>
      <x:c r="J1234" s="37" t="str">
        <x:v>0.00</x:v>
      </x:c>
      <x:c r="K1234" s="37" t="str">
        <x:v>24.80</x:v>
      </x:c>
      <x:c r="L1234" s="37" t="str">
        <x:v>450</x:v>
      </x:c>
      <x:c r="M1234" s="29" t="str">
        <x:v>212.98</x:v>
      </x:c>
      <x:c r="N1234" s="29" t="str">
        <x:v>154.18</x:v>
      </x:c>
      <x:c r="O1234" s="29" t="str">
        <x:v>58.80</x:v>
      </x:c>
      <x:c r="P1234" s="18" t="str">
        <x:v>2026-07-23</x:v>
      </x:c>
      <x:c r="Q1234" s="36" t="n">
        <x:v>46226</x:v>
      </x:c>
    </x:row>
    <x:row r="1235">
      <x:c r="A1235" s="36" t="str">
        <x:v>2026-07-23</x:v>
      </x:c>
      <x:c r="B1235" s="18" t="str">
        <x:v>101437000_99887</x:v>
      </x:c>
      <x:c r="C1235" s="18" t="str">
        <x:v>【沪村小电】新南村河南小区充电站</x:v>
      </x:c>
      <x:c r="D1235" s="37" t="str">
        <x:v>2</x:v>
      </x:c>
      <x:c r="E1235" s="37" t="str">
        <x:v>0</x:v>
      </x:c>
      <x:c r="F1235" s="37" t="str">
        <x:v>14</x:v>
      </x:c>
      <x:c r="G1235" s="37" t="str">
        <x:v>350.98</x:v>
      </x:c>
      <x:c r="H1235" s="37" t="str">
        <x:v>0.00</x:v>
      </x:c>
      <x:c r="I1235" s="37" t="str">
        <x:v>215.81</x:v>
      </x:c>
      <x:c r="J1235" s="37" t="str">
        <x:v>0.00</x:v>
      </x:c>
      <x:c r="K1235" s="37" t="str">
        <x:v>135.16</x:v>
      </x:c>
      <x:c r="L1235" s="37" t="str">
        <x:v>725</x:v>
      </x:c>
      <x:c r="M1235" s="29" t="str">
        <x:v>274.61</x:v>
      </x:c>
      <x:c r="N1235" s="29" t="str">
        <x:v>203.24</x:v>
      </x:c>
      <x:c r="O1235" s="29" t="str">
        <x:v>71.37</x:v>
      </x:c>
      <x:c r="P1235" s="18" t="str">
        <x:v>2026-07-23</x:v>
      </x:c>
      <x:c r="Q1235" s="36" t="n">
        <x:v>46226</x:v>
      </x:c>
    </x:row>
    <x:row r="1236">
      <x:c r="A1236" s="36" t="str">
        <x:v>2026-07-23</x:v>
      </x:c>
      <x:c r="B1236" s="18" t="str">
        <x:v>101437000_99889</x:v>
      </x:c>
      <x:c r="C1236" s="18" t="str">
        <x:v>【沪村小电】漕泾郊野公园</x:v>
      </x:c>
      <x:c r="D1236" s="37" t="str">
        <x:v>2</x:v>
      </x:c>
      <x:c r="E1236" s="37" t="str">
        <x:v>0</x:v>
      </x:c>
      <x:c r="F1236" s="37" t="str">
        <x:v>6</x:v>
      </x:c>
      <x:c r="G1236" s="37" t="str">
        <x:v>159.61</x:v>
      </x:c>
      <x:c r="H1236" s="37" t="str">
        <x:v>0.00</x:v>
      </x:c>
      <x:c r="I1236" s="37" t="str">
        <x:v>159.61</x:v>
      </x:c>
      <x:c r="J1236" s="37" t="str">
        <x:v>0.00</x:v>
      </x:c>
      <x:c r="K1236" s="37" t="str">
        <x:v>0.00</x:v>
      </x:c>
      <x:c r="L1236" s="37" t="str">
        <x:v>196</x:v>
      </x:c>
      <x:c r="M1236" s="29" t="str">
        <x:v>181.91</x:v>
      </x:c>
      <x:c r="N1236" s="29" t="str">
        <x:v>121.31</x:v>
      </x:c>
      <x:c r="O1236" s="29" t="str">
        <x:v>60.60</x:v>
      </x:c>
      <x:c r="P1236" s="18" t="str">
        <x:v>2026-07-23</x:v>
      </x:c>
      <x:c r="Q1236" s="36" t="n">
        <x:v>46226</x:v>
      </x:c>
    </x:row>
    <x:row r="1237">
      <x:c r="A1237" s="36" t="str">
        <x:v>2026-07-23</x:v>
      </x:c>
      <x:c r="B1237" s="18" t="str">
        <x:v>101437000_99891</x:v>
      </x:c>
      <x:c r="C1237" s="18" t="str">
        <x:v>【沪村小电】水韵紫城充电站</x:v>
      </x:c>
      <x:c r="D1237" s="37" t="str">
        <x:v>4</x:v>
      </x:c>
      <x:c r="E1237" s="37" t="str">
        <x:v>0</x:v>
      </x:c>
      <x:c r="F1237" s="37" t="str">
        <x:v>34</x:v>
      </x:c>
      <x:c r="G1237" s="37" t="str">
        <x:v>761.96</x:v>
      </x:c>
      <x:c r="H1237" s="37" t="str">
        <x:v>0.00</x:v>
      </x:c>
      <x:c r="I1237" s="37" t="str">
        <x:v>599.23</x:v>
      </x:c>
      <x:c r="J1237" s="37" t="str">
        <x:v>0.00</x:v>
      </x:c>
      <x:c r="K1237" s="37" t="str">
        <x:v>162.73</x:v>
      </x:c>
      <x:c r="L1237" s="37" t="str">
        <x:v>1351</x:v>
      </x:c>
      <x:c r="M1237" s="29" t="str">
        <x:v>710.19</x:v>
      </x:c>
      <x:c r="N1237" s="29" t="str">
        <x:v>485.67</x:v>
      </x:c>
      <x:c r="O1237" s="29" t="str">
        <x:v>224.52</x:v>
      </x:c>
      <x:c r="P1237" s="18" t="str">
        <x:v>2026-07-23</x:v>
      </x:c>
      <x:c r="Q1237" s="36" t="n">
        <x:v>46226</x:v>
      </x:c>
    </x:row>
    <x:row r="1238">
      <x:c r="A1238" s="36" t="str">
        <x:v>2026-07-22</x:v>
      </x:c>
      <x:c r="B1238" s="18" t="str">
        <x:v>101437000_101531</x:v>
      </x:c>
      <x:c r="C1238" s="18" t="str">
        <x:v>【沪村小电】汇中苑充电站</x:v>
      </x:c>
      <x:c r="D1238" s="37" t="str">
        <x:v>2</x:v>
      </x:c>
      <x:c r="E1238" s="37" t="str">
        <x:v>0</x:v>
      </x:c>
      <x:c r="F1238" s="37" t="str">
        <x:v>8</x:v>
      </x:c>
      <x:c r="G1238" s="37" t="str">
        <x:v>162.16</x:v>
      </x:c>
      <x:c r="H1238" s="37" t="str">
        <x:v>0.00</x:v>
      </x:c>
      <x:c r="I1238" s="37" t="str">
        <x:v>0.00</x:v>
      </x:c>
      <x:c r="J1238" s="37" t="str">
        <x:v>162.16</x:v>
      </x:c>
      <x:c r="K1238" s="37" t="str">
        <x:v>0.00</x:v>
      </x:c>
      <x:c r="L1238" s="37" t="str">
        <x:v>306</x:v>
      </x:c>
      <x:c r="M1238" s="29" t="str">
        <x:v>154.15</x:v>
      </x:c>
      <x:c r="N1238" s="29" t="str">
        <x:v>113.50</x:v>
      </x:c>
      <x:c r="O1238" s="29" t="str">
        <x:v>40.65</x:v>
      </x:c>
      <x:c r="P1238" s="18" t="str">
        <x:v>2026-07-22</x:v>
      </x:c>
      <x:c r="Q1238" s="36" t="n">
        <x:v>46225</x:v>
      </x:c>
    </x:row>
    <x:row r="1239">
      <x:c r="A1239" s="36" t="str">
        <x:v>2026-07-22</x:v>
      </x:c>
      <x:c r="B1239" s="18" t="str">
        <x:v>101437000_102047</x:v>
      </x:c>
      <x:c r="C1239" s="18" t="str">
        <x:v>【沪村小电】后浜小区9弄小区南面停车场充电站</x:v>
      </x:c>
      <x:c r="D1239" s="37" t="str">
        <x:v>8</x:v>
      </x:c>
      <x:c r="E1239" s="37" t="str">
        <x:v>0</x:v>
      </x:c>
      <x:c r="F1239" s="37" t="str">
        <x:v>26</x:v>
      </x:c>
      <x:c r="G1239" s="37" t="str">
        <x:v>574.07</x:v>
      </x:c>
      <x:c r="H1239" s="37" t="str">
        <x:v>0.00</x:v>
      </x:c>
      <x:c r="I1239" s="37" t="str">
        <x:v>491.40</x:v>
      </x:c>
      <x:c r="J1239" s="37" t="str">
        <x:v>0.00</x:v>
      </x:c>
      <x:c r="K1239" s="37" t="str">
        <x:v>82.67</x:v>
      </x:c>
      <x:c r="L1239" s="37" t="str">
        <x:v>826</x:v>
      </x:c>
      <x:c r="M1239" s="29" t="str">
        <x:v>616.62</x:v>
      </x:c>
      <x:c r="N1239" s="29" t="str">
        <x:v>387.75</x:v>
      </x:c>
      <x:c r="O1239" s="29" t="str">
        <x:v>228.87</x:v>
      </x:c>
      <x:c r="P1239" s="18" t="str">
        <x:v>2026-07-22</x:v>
      </x:c>
      <x:c r="Q1239" s="36" t="n">
        <x:v>46225</x:v>
      </x:c>
    </x:row>
    <x:row r="1240">
      <x:c r="A1240" s="36" t="str">
        <x:v>2026-07-22</x:v>
      </x:c>
      <x:c r="B1240" s="18" t="str">
        <x:v>101437000_103503</x:v>
      </x:c>
      <x:c r="C1240" s="18" t="str">
        <x:v>【沪村小电】阳光城新界充电站</x:v>
      </x:c>
      <x:c r="D1240" s="37" t="str">
        <x:v>4</x:v>
      </x:c>
      <x:c r="E1240" s="37" t="str">
        <x:v>0</x:v>
      </x:c>
      <x:c r="F1240" s="37" t="str">
        <x:v>17</x:v>
      </x:c>
      <x:c r="G1240" s="37" t="str">
        <x:v>304.41</x:v>
      </x:c>
      <x:c r="H1240" s="37" t="str">
        <x:v>0.00</x:v>
      </x:c>
      <x:c r="I1240" s="37" t="str">
        <x:v>266.46</x:v>
      </x:c>
      <x:c r="J1240" s="37" t="str">
        <x:v>0.00</x:v>
      </x:c>
      <x:c r="K1240" s="37" t="str">
        <x:v>37.95</x:v>
      </x:c>
      <x:c r="L1240" s="37" t="str">
        <x:v>481</x:v>
      </x:c>
      <x:c r="M1240" s="29" t="str">
        <x:v>313.59</x:v>
      </x:c>
      <x:c r="N1240" s="29" t="str">
        <x:v>223.01</x:v>
      </x:c>
      <x:c r="O1240" s="29" t="str">
        <x:v>90.58</x:v>
      </x:c>
      <x:c r="P1240" s="18" t="str">
        <x:v>2026-07-22</x:v>
      </x:c>
      <x:c r="Q1240" s="36" t="n">
        <x:v>46225</x:v>
      </x:c>
    </x:row>
    <x:row r="1241">
      <x:c r="A1241" s="36" t="str">
        <x:v>2026-07-22</x:v>
      </x:c>
      <x:c r="B1241" s="18" t="str">
        <x:v>101437000_41561</x:v>
      </x:c>
      <x:c r="C1241" s="18" t="str">
        <x:v>【沪村小电】张施小区大门处快充站</x:v>
      </x:c>
      <x:c r="D1241" s="37" t="str">
        <x:v>2</x:v>
      </x:c>
      <x:c r="E1241" s="37" t="str">
        <x:v>0</x:v>
      </x:c>
      <x:c r="F1241" s="37" t="str">
        <x:v>42</x:v>
      </x:c>
      <x:c r="G1241" s="37" t="str">
        <x:v>1020.59</x:v>
      </x:c>
      <x:c r="H1241" s="37" t="str">
        <x:v>0.00</x:v>
      </x:c>
      <x:c r="I1241" s="37" t="str">
        <x:v>412.22</x:v>
      </x:c>
      <x:c r="J1241" s="37" t="str">
        <x:v>0.00</x:v>
      </x:c>
      <x:c r="K1241" s="37" t="str">
        <x:v>608.37</x:v>
      </x:c>
      <x:c r="L1241" s="37" t="str">
        <x:v>1797</x:v>
      </x:c>
      <x:c r="M1241" s="29" t="str">
        <x:v>747.14</x:v>
      </x:c>
      <x:c r="N1241" s="29" t="str">
        <x:v>517.74</x:v>
      </x:c>
      <x:c r="O1241" s="29" t="str">
        <x:v>229.40</x:v>
      </x:c>
      <x:c r="P1241" s="18" t="str">
        <x:v>2026-07-22</x:v>
      </x:c>
      <x:c r="Q1241" s="36" t="n">
        <x:v>46225</x:v>
      </x:c>
    </x:row>
    <x:row r="1242">
      <x:c r="A1242" s="36" t="str">
        <x:v>2026-07-22</x:v>
      </x:c>
      <x:c r="B1242" s="18" t="str">
        <x:v>101437000_41563</x:v>
      </x:c>
      <x:c r="C1242" s="18" t="str">
        <x:v>【沪村小电】同心村快充站</x:v>
      </x:c>
      <x:c r="D1242" s="37" t="str">
        <x:v>4</x:v>
      </x:c>
      <x:c r="E1242" s="37" t="str">
        <x:v>0</x:v>
      </x:c>
      <x:c r="F1242" s="37" t="str">
        <x:v>60</x:v>
      </x:c>
      <x:c r="G1242" s="37" t="str">
        <x:v>1425.46</x:v>
      </x:c>
      <x:c r="H1242" s="37" t="str">
        <x:v>0.00</x:v>
      </x:c>
      <x:c r="I1242" s="37" t="str">
        <x:v>1062.75</x:v>
      </x:c>
      <x:c r="J1242" s="37" t="str">
        <x:v>0.00</x:v>
      </x:c>
      <x:c r="K1242" s="37" t="str">
        <x:v>362.71</x:v>
      </x:c>
      <x:c r="L1242" s="37" t="str">
        <x:v>2510</x:v>
      </x:c>
      <x:c r="M1242" s="29" t="str">
        <x:v>1382.08</x:v>
      </x:c>
      <x:c r="N1242" s="29" t="str">
        <x:v>888.72</x:v>
      </x:c>
      <x:c r="O1242" s="29" t="str">
        <x:v>493.36</x:v>
      </x:c>
      <x:c r="P1242" s="18" t="str">
        <x:v>2026-07-22</x:v>
      </x:c>
      <x:c r="Q1242" s="36" t="n">
        <x:v>46225</x:v>
      </x:c>
    </x:row>
    <x:row r="1243">
      <x:c r="A1243" s="36" t="str">
        <x:v>2026-07-22</x:v>
      </x:c>
      <x:c r="B1243" s="18" t="str">
        <x:v>101437000_69629</x:v>
      </x:c>
      <x:c r="C1243" s="18" t="str">
        <x:v>【沪村小电】骏丰玲珑坊西苑充电站</x:v>
      </x:c>
      <x:c r="D1243" s="37" t="str">
        <x:v>2</x:v>
      </x:c>
      <x:c r="E1243" s="37" t="str">
        <x:v>0</x:v>
      </x:c>
      <x:c r="F1243" s="37" t="str">
        <x:v>62</x:v>
      </x:c>
      <x:c r="G1243" s="37" t="str">
        <x:v>1404.12</x:v>
      </x:c>
      <x:c r="H1243" s="37" t="str">
        <x:v>0.00</x:v>
      </x:c>
      <x:c r="I1243" s="37" t="str">
        <x:v>731.85</x:v>
      </x:c>
      <x:c r="J1243" s="37" t="str">
        <x:v>0.00</x:v>
      </x:c>
      <x:c r="K1243" s="37" t="str">
        <x:v>672.27</x:v>
      </x:c>
      <x:c r="L1243" s="37" t="str">
        <x:v>2583</x:v>
      </x:c>
      <x:c r="M1243" s="29" t="str">
        <x:v>1133.11</x:v>
      </x:c>
      <x:c r="N1243" s="29" t="str">
        <x:v>768.35</x:v>
      </x:c>
      <x:c r="O1243" s="29" t="str">
        <x:v>364.76</x:v>
      </x:c>
      <x:c r="P1243" s="18" t="str">
        <x:v>2026-07-22</x:v>
      </x:c>
      <x:c r="Q1243" s="36" t="n">
        <x:v>46225</x:v>
      </x:c>
    </x:row>
    <x:row r="1244">
      <x:c r="A1244" s="36" t="str">
        <x:v>2026-07-22</x:v>
      </x:c>
      <x:c r="B1244" s="18" t="str">
        <x:v>101437000_70547</x:v>
      </x:c>
      <x:c r="C1244" s="18" t="str">
        <x:v>【沪村小电】农建村初心馆党群服务中心充电站</x:v>
      </x:c>
      <x:c r="D1244" s="37" t="str">
        <x:v>4</x:v>
      </x:c>
      <x:c r="E1244" s="37" t="str">
        <x:v>0</x:v>
      </x:c>
      <x:c r="F1244" s="37" t="str">
        <x:v>49</x:v>
      </x:c>
      <x:c r="G1244" s="37" t="str">
        <x:v>1009.43</x:v>
      </x:c>
      <x:c r="H1244" s="37" t="str">
        <x:v>0.00</x:v>
      </x:c>
      <x:c r="I1244" s="37" t="str">
        <x:v>565.05</x:v>
      </x:c>
      <x:c r="J1244" s="37" t="str">
        <x:v>0.00</x:v>
      </x:c>
      <x:c r="K1244" s="37" t="str">
        <x:v>444.38</x:v>
      </x:c>
      <x:c r="L1244" s="37" t="str">
        <x:v>1849</x:v>
      </x:c>
      <x:c r="M1244" s="29" t="str">
        <x:v>911.67</x:v>
      </x:c>
      <x:c r="N1244" s="29" t="str">
        <x:v>565.62</x:v>
      </x:c>
      <x:c r="O1244" s="29" t="str">
        <x:v>346.05</x:v>
      </x:c>
      <x:c r="P1244" s="18" t="str">
        <x:v>2026-07-22</x:v>
      </x:c>
      <x:c r="Q1244" s="36" t="n">
        <x:v>46225</x:v>
      </x:c>
    </x:row>
    <x:row r="1245">
      <x:c r="A1245" s="36" t="str">
        <x:v>2026-07-22</x:v>
      </x:c>
      <x:c r="B1245" s="18" t="str">
        <x:v>101437000_70549</x:v>
      </x:c>
      <x:c r="C1245" s="18" t="str">
        <x:v>【沪村小电】学府路充电站</x:v>
      </x:c>
      <x:c r="D1245" s="37" t="str">
        <x:v>2</x:v>
      </x:c>
      <x:c r="E1245" s="37" t="str">
        <x:v>0</x:v>
      </x:c>
      <x:c r="F1245" s="37" t="str">
        <x:v>10</x:v>
      </x:c>
      <x:c r="G1245" s="37" t="str">
        <x:v>250.07</x:v>
      </x:c>
      <x:c r="H1245" s="37" t="str">
        <x:v>0.00</x:v>
      </x:c>
      <x:c r="I1245" s="37" t="str">
        <x:v>177.40</x:v>
      </x:c>
      <x:c r="J1245" s="37" t="str">
        <x:v>0.00</x:v>
      </x:c>
      <x:c r="K1245" s="37" t="str">
        <x:v>72.66</x:v>
      </x:c>
      <x:c r="L1245" s="37" t="str">
        <x:v>440</x:v>
      </x:c>
      <x:c r="M1245" s="29" t="str">
        <x:v>257.65</x:v>
      </x:c>
      <x:c r="N1245" s="29" t="str">
        <x:v>152.86</x:v>
      </x:c>
      <x:c r="O1245" s="29" t="str">
        <x:v>104.79</x:v>
      </x:c>
      <x:c r="P1245" s="18" t="str">
        <x:v>2026-07-22</x:v>
      </x:c>
      <x:c r="Q1245" s="36" t="n">
        <x:v>46225</x:v>
      </x:c>
    </x:row>
    <x:row r="1246">
      <x:c r="A1246" s="36" t="str">
        <x:v>2026-07-22</x:v>
      </x:c>
      <x:c r="B1246" s="18" t="str">
        <x:v>101437000_71059</x:v>
      </x:c>
      <x:c r="C1246" s="18" t="str">
        <x:v>【沪村小电】宝乐汇商业广场站</x:v>
      </x:c>
      <x:c r="D1246" s="37" t="str">
        <x:v>4</x:v>
      </x:c>
      <x:c r="E1246" s="37" t="str">
        <x:v>0</x:v>
      </x:c>
      <x:c r="F1246" s="37" t="str">
        <x:v>17</x:v>
      </x:c>
      <x:c r="G1246" s="37" t="str">
        <x:v>417.20</x:v>
      </x:c>
      <x:c r="H1246" s="37" t="str">
        <x:v>0.00</x:v>
      </x:c>
      <x:c r="I1246" s="37" t="str">
        <x:v>170.16</x:v>
      </x:c>
      <x:c r="J1246" s="37" t="str">
        <x:v>0.00</x:v>
      </x:c>
      <x:c r="K1246" s="37" t="str">
        <x:v>247.04</x:v>
      </x:c>
      <x:c r="L1246" s="37" t="str">
        <x:v>682</x:v>
      </x:c>
      <x:c r="M1246" s="29" t="str">
        <x:v>345.06</x:v>
      </x:c>
      <x:c r="N1246" s="29" t="str">
        <x:v>266.79</x:v>
      </x:c>
      <x:c r="O1246" s="29" t="str">
        <x:v>78.27</x:v>
      </x:c>
      <x:c r="P1246" s="18" t="str">
        <x:v>2026-07-22</x:v>
      </x:c>
      <x:c r="Q1246" s="36" t="n">
        <x:v>46225</x:v>
      </x:c>
    </x:row>
    <x:row r="1247">
      <x:c r="A1247" s="36" t="str">
        <x:v>2026-07-22</x:v>
      </x:c>
      <x:c r="B1247" s="18" t="str">
        <x:v>101437000_72541</x:v>
      </x:c>
      <x:c r="C1247" s="18" t="str">
        <x:v>【沪村小电】九干路1174弄充电站</x:v>
      </x:c>
      <x:c r="D1247" s="37" t="str">
        <x:v>2</x:v>
      </x:c>
      <x:c r="E1247" s="37" t="str">
        <x:v>0</x:v>
      </x:c>
      <x:c r="F1247" s="37" t="str">
        <x:v>79</x:v>
      </x:c>
      <x:c r="G1247" s="37" t="str">
        <x:v>767.26</x:v>
      </x:c>
      <x:c r="H1247" s="37" t="str">
        <x:v>0.00</x:v>
      </x:c>
      <x:c r="I1247" s="37" t="str">
        <x:v>465.00</x:v>
      </x:c>
      <x:c r="J1247" s="37" t="str">
        <x:v>0.00</x:v>
      </x:c>
      <x:c r="K1247" s="37" t="str">
        <x:v>302.26</x:v>
      </x:c>
      <x:c r="L1247" s="37" t="str">
        <x:v>1300</x:v>
      </x:c>
      <x:c r="M1247" s="29" t="str">
        <x:v>633.26</x:v>
      </x:c>
      <x:c r="N1247" s="29" t="str">
        <x:v>441.98</x:v>
      </x:c>
      <x:c r="O1247" s="29" t="str">
        <x:v>191.28</x:v>
      </x:c>
      <x:c r="P1247" s="18" t="str">
        <x:v>2026-07-22</x:v>
      </x:c>
      <x:c r="Q1247" s="36" t="n">
        <x:v>46225</x:v>
      </x:c>
    </x:row>
    <x:row r="1248">
      <x:c r="A1248" s="36" t="str">
        <x:v>2026-07-22</x:v>
      </x:c>
      <x:c r="B1248" s="18" t="str">
        <x:v>101437000_72543</x:v>
      </x:c>
      <x:c r="C1248" s="18" t="str">
        <x:v>【沪村小电】叶家中心村小区充电站</x:v>
      </x:c>
      <x:c r="D1248" s="37" t="str">
        <x:v>2</x:v>
      </x:c>
      <x:c r="E1248" s="37" t="str">
        <x:v>0</x:v>
      </x:c>
      <x:c r="F1248" s="37" t="str">
        <x:v>40</x:v>
      </x:c>
      <x:c r="G1248" s="37" t="str">
        <x:v>953.66</x:v>
      </x:c>
      <x:c r="H1248" s="37" t="str">
        <x:v>0.00</x:v>
      </x:c>
      <x:c r="I1248" s="37" t="str">
        <x:v>407.83</x:v>
      </x:c>
      <x:c r="J1248" s="37" t="str">
        <x:v>0.00</x:v>
      </x:c>
      <x:c r="K1248" s="37" t="str">
        <x:v>545.83</x:v>
      </x:c>
      <x:c r="L1248" s="37" t="str">
        <x:v>1823</x:v>
      </x:c>
      <x:c r="M1248" s="29" t="str">
        <x:v>738.74</x:v>
      </x:c>
      <x:c r="N1248" s="29" t="str">
        <x:v>491.54</x:v>
      </x:c>
      <x:c r="O1248" s="29" t="str">
        <x:v>247.20</x:v>
      </x:c>
      <x:c r="P1248" s="18" t="str">
        <x:v>2026-07-22</x:v>
      </x:c>
      <x:c r="Q1248" s="36" t="n">
        <x:v>46225</x:v>
      </x:c>
    </x:row>
    <x:row r="1249">
      <x:c r="A1249" s="36" t="str">
        <x:v>2026-07-22</x:v>
      </x:c>
      <x:c r="B1249" s="18" t="str">
        <x:v>101437000_72937</x:v>
      </x:c>
      <x:c r="C1249" s="18" t="str">
        <x:v>【沪村小电】佘北家园茸腾苑充电站</x:v>
      </x:c>
      <x:c r="D1249" s="37" t="str">
        <x:v>4</x:v>
      </x:c>
      <x:c r="E1249" s="37" t="str">
        <x:v>0</x:v>
      </x:c>
      <x:c r="F1249" s="37" t="str">
        <x:v>17</x:v>
      </x:c>
      <x:c r="G1249" s="37" t="str">
        <x:v>386.22</x:v>
      </x:c>
      <x:c r="H1249" s="37" t="str">
        <x:v>0.00</x:v>
      </x:c>
      <x:c r="I1249" s="37" t="str">
        <x:v>386.22</x:v>
      </x:c>
      <x:c r="J1249" s="37" t="str">
        <x:v>0.00</x:v>
      </x:c>
      <x:c r="K1249" s="37" t="str">
        <x:v>0.00</x:v>
      </x:c>
      <x:c r="L1249" s="37" t="str">
        <x:v>650</x:v>
      </x:c>
      <x:c r="M1249" s="29" t="str">
        <x:v>370.50</x:v>
      </x:c>
      <x:c r="N1249" s="29" t="str">
        <x:v>274.22</x:v>
      </x:c>
      <x:c r="O1249" s="29" t="str">
        <x:v>96.28</x:v>
      </x:c>
      <x:c r="P1249" s="18" t="str">
        <x:v>2026-07-22</x:v>
      </x:c>
      <x:c r="Q1249" s="36" t="n">
        <x:v>46225</x:v>
      </x:c>
    </x:row>
    <x:row r="1250">
      <x:c r="A1250" s="36" t="str">
        <x:v>2026-07-22</x:v>
      </x:c>
      <x:c r="B1250" s="18" t="str">
        <x:v>101437000_74223</x:v>
      </x:c>
      <x:c r="C1250" s="18" t="str">
        <x:v>【沪村小电】中兴村委会充电站</x:v>
      </x:c>
      <x:c r="D1250" s="37" t="str">
        <x:v>2</x:v>
      </x:c>
      <x:c r="E1250" s="37" t="str">
        <x:v>0</x:v>
      </x:c>
      <x:c r="F1250" s="37" t="str">
        <x:v>32</x:v>
      </x:c>
      <x:c r="G1250" s="37" t="str">
        <x:v>701.71</x:v>
      </x:c>
      <x:c r="H1250" s="37" t="str">
        <x:v>0.00</x:v>
      </x:c>
      <x:c r="I1250" s="37" t="str">
        <x:v>458.13</x:v>
      </x:c>
      <x:c r="J1250" s="37" t="str">
        <x:v>0.00</x:v>
      </x:c>
      <x:c r="K1250" s="37" t="str">
        <x:v>243.58</x:v>
      </x:c>
      <x:c r="L1250" s="37" t="str">
        <x:v>1109</x:v>
      </x:c>
      <x:c r="M1250" s="29" t="str">
        <x:v>630.01</x:v>
      </x:c>
      <x:c r="N1250" s="29" t="str">
        <x:v>415.41</x:v>
      </x:c>
      <x:c r="O1250" s="29" t="str">
        <x:v>214.60</x:v>
      </x:c>
      <x:c r="P1250" s="18" t="str">
        <x:v>2026-07-22</x:v>
      </x:c>
      <x:c r="Q1250" s="36" t="n">
        <x:v>46225</x:v>
      </x:c>
    </x:row>
    <x:row r="1251">
      <x:c r="A1251" s="36" t="str">
        <x:v>2026-07-22</x:v>
      </x:c>
      <x:c r="B1251" s="18" t="str">
        <x:v>101437000_74801</x:v>
      </x:c>
      <x:c r="C1251" s="18" t="str">
        <x:v>【沪村小电】申良花园充电站</x:v>
      </x:c>
      <x:c r="D1251" s="37" t="str">
        <x:v>4</x:v>
      </x:c>
      <x:c r="E1251" s="37" t="str">
        <x:v>0</x:v>
      </x:c>
      <x:c r="F1251" s="37" t="str">
        <x:v>6</x:v>
      </x:c>
      <x:c r="G1251" s="37" t="str">
        <x:v>182.24</x:v>
      </x:c>
      <x:c r="H1251" s="37" t="str">
        <x:v>0.00</x:v>
      </x:c>
      <x:c r="I1251" s="37" t="str">
        <x:v>182.24</x:v>
      </x:c>
      <x:c r="J1251" s="37" t="str">
        <x:v>0.00</x:v>
      </x:c>
      <x:c r="K1251" s="37" t="str">
        <x:v>0.00</x:v>
      </x:c>
      <x:c r="L1251" s="37" t="str">
        <x:v>257</x:v>
      </x:c>
      <x:c r="M1251" s="29" t="str">
        <x:v>217.53</x:v>
      </x:c>
      <x:c r="N1251" s="29" t="str">
        <x:v>129.38</x:v>
      </x:c>
      <x:c r="O1251" s="29" t="str">
        <x:v>88.15</x:v>
      </x:c>
      <x:c r="P1251" s="18" t="str">
        <x:v>2026-07-22</x:v>
      </x:c>
      <x:c r="Q1251" s="36" t="n">
        <x:v>46225</x:v>
      </x:c>
    </x:row>
    <x:row r="1252">
      <x:c r="A1252" s="36" t="str">
        <x:v>2026-07-22</x:v>
      </x:c>
      <x:c r="B1252" s="18" t="str">
        <x:v>101437000_74931</x:v>
      </x:c>
      <x:c r="C1252" s="18" t="str">
        <x:v>【沪村小电】枫雅南居充电站</x:v>
      </x:c>
      <x:c r="D1252" s="37" t="str">
        <x:v>2</x:v>
      </x:c>
      <x:c r="E1252" s="37" t="str">
        <x:v>0</x:v>
      </x:c>
      <x:c r="F1252" s="37" t="str">
        <x:v>63</x:v>
      </x:c>
      <x:c r="G1252" s="37" t="str">
        <x:v>1576.20</x:v>
      </x:c>
      <x:c r="H1252" s="37" t="str">
        <x:v>0.00</x:v>
      </x:c>
      <x:c r="I1252" s="37" t="str">
        <x:v>794.78</x:v>
      </x:c>
      <x:c r="J1252" s="37" t="str">
        <x:v>0.00</x:v>
      </x:c>
      <x:c r="K1252" s="37" t="str">
        <x:v>781.42</x:v>
      </x:c>
      <x:c r="L1252" s="37" t="str">
        <x:v>2321</x:v>
      </x:c>
      <x:c r="M1252" s="29" t="str">
        <x:v>1105.14</x:v>
      </x:c>
      <x:c r="N1252" s="29" t="str">
        <x:v>711.15</x:v>
      </x:c>
      <x:c r="O1252" s="29" t="str">
        <x:v>393.99</x:v>
      </x:c>
      <x:c r="P1252" s="18" t="str">
        <x:v>2026-07-22</x:v>
      </x:c>
      <x:c r="Q1252" s="36" t="n">
        <x:v>46225</x:v>
      </x:c>
    </x:row>
    <x:row r="1253">
      <x:c r="A1253" s="36" t="str">
        <x:v>2026-07-22</x:v>
      </x:c>
      <x:c r="B1253" s="18" t="str">
        <x:v>101437000_75901</x:v>
      </x:c>
      <x:c r="C1253" s="18" t="str">
        <x:v>【沪村小电】金悦学府</x:v>
      </x:c>
      <x:c r="D1253" s="37" t="str">
        <x:v>2</x:v>
      </x:c>
      <x:c r="E1253" s="37" t="str">
        <x:v>0</x:v>
      </x:c>
      <x:c r="F1253" s="37" t="str">
        <x:v>59</x:v>
      </x:c>
      <x:c r="G1253" s="37" t="str">
        <x:v>1648.15</x:v>
      </x:c>
      <x:c r="H1253" s="37" t="str">
        <x:v>0.00</x:v>
      </x:c>
      <x:c r="I1253" s="37" t="str">
        <x:v>864.69</x:v>
      </x:c>
      <x:c r="J1253" s="37" t="str">
        <x:v>0.00</x:v>
      </x:c>
      <x:c r="K1253" s="37" t="str">
        <x:v>783.46</x:v>
      </x:c>
      <x:c r="L1253" s="37" t="str">
        <x:v>2575</x:v>
      </x:c>
      <x:c r="M1253" s="29" t="str">
        <x:v>1275.51</x:v>
      </x:c>
      <x:c r="N1253" s="29" t="str">
        <x:v>753.04</x:v>
      </x:c>
      <x:c r="O1253" s="29" t="str">
        <x:v>522.47</x:v>
      </x:c>
      <x:c r="P1253" s="18" t="str">
        <x:v>2026-07-22</x:v>
      </x:c>
      <x:c r="Q1253" s="36" t="n">
        <x:v>46225</x:v>
      </x:c>
    </x:row>
    <x:row r="1254">
      <x:c r="A1254" s="36" t="str">
        <x:v>2026-07-22</x:v>
      </x:c>
      <x:c r="B1254" s="18" t="str">
        <x:v>101437000_76091</x:v>
      </x:c>
      <x:c r="C1254" s="18" t="str">
        <x:v>【沪村小电】恒信家园充电站</x:v>
      </x:c>
      <x:c r="D1254" s="37" t="str">
        <x:v>2</x:v>
      </x:c>
      <x:c r="E1254" s="37" t="str">
        <x:v>0</x:v>
      </x:c>
      <x:c r="F1254" s="37" t="str">
        <x:v>51</x:v>
      </x:c>
      <x:c r="G1254" s="37" t="str">
        <x:v>794.71</x:v>
      </x:c>
      <x:c r="H1254" s="37" t="str">
        <x:v>0.00</x:v>
      </x:c>
      <x:c r="I1254" s="37" t="str">
        <x:v>483.84</x:v>
      </x:c>
      <x:c r="J1254" s="37" t="str">
        <x:v>0.00</x:v>
      </x:c>
      <x:c r="K1254" s="37" t="str">
        <x:v>310.87</x:v>
      </x:c>
      <x:c r="L1254" s="37" t="str">
        <x:v>1252</x:v>
      </x:c>
      <x:c r="M1254" s="29" t="str">
        <x:v>742.68</x:v>
      </x:c>
      <x:c r="N1254" s="29" t="str">
        <x:v>458.56</x:v>
      </x:c>
      <x:c r="O1254" s="29" t="str">
        <x:v>284.12</x:v>
      </x:c>
      <x:c r="P1254" s="18" t="str">
        <x:v>2026-07-22</x:v>
      </x:c>
      <x:c r="Q1254" s="36" t="n">
        <x:v>46225</x:v>
      </x:c>
    </x:row>
    <x:row r="1255">
      <x:c r="A1255" s="36" t="str">
        <x:v>2026-07-22</x:v>
      </x:c>
      <x:c r="B1255" s="18" t="str">
        <x:v>101437000_76417</x:v>
      </x:c>
      <x:c r="C1255" s="18" t="str">
        <x:v>【沪村小电】新春一组充电站</x:v>
      </x:c>
      <x:c r="D1255" s="37" t="str">
        <x:v>2</x:v>
      </x:c>
      <x:c r="E1255" s="37" t="str">
        <x:v>0</x:v>
      </x:c>
      <x:c r="F1255" s="37" t="str">
        <x:v>20</x:v>
      </x:c>
      <x:c r="G1255" s="37" t="str">
        <x:v>643.53</x:v>
      </x:c>
      <x:c r="H1255" s="37" t="str">
        <x:v>0.00</x:v>
      </x:c>
      <x:c r="I1255" s="37" t="str">
        <x:v>214.41</x:v>
      </x:c>
      <x:c r="J1255" s="37" t="str">
        <x:v>0.00</x:v>
      </x:c>
      <x:c r="K1255" s="37" t="str">
        <x:v>429.12</x:v>
      </x:c>
      <x:c r="L1255" s="37" t="str">
        <x:v>903</x:v>
      </x:c>
      <x:c r="M1255" s="29" t="str">
        <x:v>481.69</x:v>
      </x:c>
      <x:c r="N1255" s="29" t="str">
        <x:v>310.99</x:v>
      </x:c>
      <x:c r="O1255" s="29" t="str">
        <x:v>170.70</x:v>
      </x:c>
      <x:c r="P1255" s="18" t="str">
        <x:v>2026-07-22</x:v>
      </x:c>
      <x:c r="Q1255" s="36" t="n">
        <x:v>46225</x:v>
      </x:c>
    </x:row>
    <x:row r="1256">
      <x:c r="A1256" s="36" t="str">
        <x:v>2026-07-22</x:v>
      </x:c>
      <x:c r="B1256" s="18" t="str">
        <x:v>101437000_78235</x:v>
      </x:c>
      <x:c r="C1256" s="18" t="str">
        <x:v>【沪村小电】欣秋苑充电站</x:v>
      </x:c>
      <x:c r="D1256" s="37" t="str">
        <x:v>4</x:v>
      </x:c>
      <x:c r="E1256" s="37" t="str">
        <x:v>0</x:v>
      </x:c>
      <x:c r="F1256" s="37" t="str">
        <x:v>14</x:v>
      </x:c>
      <x:c r="G1256" s="37" t="str">
        <x:v>409.99</x:v>
      </x:c>
      <x:c r="H1256" s="37" t="str">
        <x:v>0.00</x:v>
      </x:c>
      <x:c r="I1256" s="37" t="str">
        <x:v>288.46</x:v>
      </x:c>
      <x:c r="J1256" s="37" t="str">
        <x:v>0.00</x:v>
      </x:c>
      <x:c r="K1256" s="37" t="str">
        <x:v>121.53</x:v>
      </x:c>
      <x:c r="L1256" s="37" t="str">
        <x:v>622</x:v>
      </x:c>
      <x:c r="M1256" s="29" t="str">
        <x:v>410.32</x:v>
      </x:c>
      <x:c r="N1256" s="29" t="str">
        <x:v>249.78</x:v>
      </x:c>
      <x:c r="O1256" s="29" t="str">
        <x:v>160.54</x:v>
      </x:c>
      <x:c r="P1256" s="18" t="str">
        <x:v>2026-07-22</x:v>
      </x:c>
      <x:c r="Q1256" s="36" t="n">
        <x:v>46225</x:v>
      </x:c>
    </x:row>
    <x:row r="1257">
      <x:c r="A1257" s="36" t="str">
        <x:v>2026-07-22</x:v>
      </x:c>
      <x:c r="B1257" s="18" t="str">
        <x:v>101437000_78237</x:v>
      </x:c>
      <x:c r="C1257" s="18" t="str">
        <x:v>【沪村小电】奉馨苑西门小区内北侧充电站</x:v>
      </x:c>
      <x:c r="D1257" s="37" t="str">
        <x:v>2</x:v>
      </x:c>
      <x:c r="E1257" s="37" t="str">
        <x:v>0</x:v>
      </x:c>
      <x:c r="F1257" s="37" t="str">
        <x:v>29</x:v>
      </x:c>
      <x:c r="G1257" s="37" t="str">
        <x:v>829.27</x:v>
      </x:c>
      <x:c r="H1257" s="37" t="str">
        <x:v>44.75</x:v>
      </x:c>
      <x:c r="I1257" s="37" t="str">
        <x:v>209.30</x:v>
      </x:c>
      <x:c r="J1257" s="37" t="str">
        <x:v>175.39</x:v>
      </x:c>
      <x:c r="K1257" s="37" t="str">
        <x:v>399.83</x:v>
      </x:c>
      <x:c r="L1257" s="37" t="str">
        <x:v>1210</x:v>
      </x:c>
      <x:c r="M1257" s="29" t="str">
        <x:v>726.40</x:v>
      </x:c>
      <x:c r="N1257" s="29" t="str">
        <x:v>574.51</x:v>
      </x:c>
      <x:c r="O1257" s="29" t="str">
        <x:v>151.89</x:v>
      </x:c>
      <x:c r="P1257" s="18" t="str">
        <x:v>2026-07-22</x:v>
      </x:c>
      <x:c r="Q1257" s="36" t="n">
        <x:v>46225</x:v>
      </x:c>
    </x:row>
    <x:row r="1258">
      <x:c r="A1258" s="36" t="str">
        <x:v>2026-07-22</x:v>
      </x:c>
      <x:c r="B1258" s="18" t="str">
        <x:v>101437000_78239</x:v>
      </x:c>
      <x:c r="C1258" s="18" t="str">
        <x:v>【沪村小电】恒大佘山首府东门充电站</x:v>
      </x:c>
      <x:c r="D1258" s="37" t="str">
        <x:v>2</x:v>
      </x:c>
      <x:c r="E1258" s="37" t="str">
        <x:v>0</x:v>
      </x:c>
      <x:c r="F1258" s="37" t="str">
        <x:v>36</x:v>
      </x:c>
      <x:c r="G1258" s="37" t="str">
        <x:v>880.35</x:v>
      </x:c>
      <x:c r="H1258" s="37" t="str">
        <x:v>0.00</x:v>
      </x:c>
      <x:c r="I1258" s="37" t="str">
        <x:v>320.87</x:v>
      </x:c>
      <x:c r="J1258" s="37" t="str">
        <x:v>0.00</x:v>
      </x:c>
      <x:c r="K1258" s="37" t="str">
        <x:v>559.48</x:v>
      </x:c>
      <x:c r="L1258" s="37" t="str">
        <x:v>1356</x:v>
      </x:c>
      <x:c r="M1258" s="29" t="str">
        <x:v>654.55</x:v>
      </x:c>
      <x:c r="N1258" s="29" t="str">
        <x:v>434.83</x:v>
      </x:c>
      <x:c r="O1258" s="29" t="str">
        <x:v>219.72</x:v>
      </x:c>
      <x:c r="P1258" s="18" t="str">
        <x:v>2026-07-22</x:v>
      </x:c>
      <x:c r="Q1258" s="36" t="n">
        <x:v>46225</x:v>
      </x:c>
    </x:row>
    <x:row r="1259">
      <x:c r="A1259" s="36" t="str">
        <x:v>2026-07-22</x:v>
      </x:c>
      <x:c r="B1259" s="18" t="str">
        <x:v>101437000_83019</x:v>
      </x:c>
      <x:c r="C1259" s="18" t="str">
        <x:v>【沪村小电】首创禧瑞云启东区充电站</x:v>
      </x:c>
      <x:c r="D1259" s="37" t="str">
        <x:v>2</x:v>
      </x:c>
      <x:c r="E1259" s="37" t="str">
        <x:v>0</x:v>
      </x:c>
      <x:c r="F1259" s="37" t="str">
        <x:v>23</x:v>
      </x:c>
      <x:c r="G1259" s="37" t="str">
        <x:v>699.97</x:v>
      </x:c>
      <x:c r="H1259" s="37" t="str">
        <x:v>0.00</x:v>
      </x:c>
      <x:c r="I1259" s="37" t="str">
        <x:v>589.96</x:v>
      </x:c>
      <x:c r="J1259" s="37" t="str">
        <x:v>0.00</x:v>
      </x:c>
      <x:c r="K1259" s="37" t="str">
        <x:v>110.00</x:v>
      </x:c>
      <x:c r="L1259" s="37" t="str">
        <x:v>824</x:v>
      </x:c>
      <x:c r="M1259" s="29" t="str">
        <x:v>766.83</x:v>
      </x:c>
      <x:c r="N1259" s="29" t="str">
        <x:v>459.58</x:v>
      </x:c>
      <x:c r="O1259" s="29" t="str">
        <x:v>307.25</x:v>
      </x:c>
      <x:c r="P1259" s="18" t="str">
        <x:v>2026-07-22</x:v>
      </x:c>
      <x:c r="Q1259" s="36" t="n">
        <x:v>46225</x:v>
      </x:c>
    </x:row>
    <x:row r="1260">
      <x:c r="A1260" s="36" t="str">
        <x:v>2026-07-22</x:v>
      </x:c>
      <x:c r="B1260" s="18" t="str">
        <x:v>101437000_83093</x:v>
      </x:c>
      <x:c r="C1260" s="18" t="str">
        <x:v>【沪村小电】金茂未来时光里</x:v>
      </x:c>
      <x:c r="D1260" s="37" t="str">
        <x:v>2</x:v>
      </x:c>
      <x:c r="E1260" s="37" t="str">
        <x:v>0</x:v>
      </x:c>
      <x:c r="F1260" s="37" t="str">
        <x:v>78</x:v>
      </x:c>
      <x:c r="G1260" s="37" t="str">
        <x:v>2312.03</x:v>
      </x:c>
      <x:c r="H1260" s="37" t="str">
        <x:v>0.00</x:v>
      </x:c>
      <x:c r="I1260" s="37" t="str">
        <x:v>1141.32</x:v>
      </x:c>
      <x:c r="J1260" s="37" t="str">
        <x:v>0.00</x:v>
      </x:c>
      <x:c r="K1260" s="37" t="str">
        <x:v>1170.71</x:v>
      </x:c>
      <x:c r="L1260" s="37" t="str">
        <x:v>3164</x:v>
      </x:c>
      <x:c r="M1260" s="29" t="str">
        <x:v>1597.66</x:v>
      </x:c>
      <x:c r="N1260" s="29" t="str">
        <x:v>1036.29</x:v>
      </x:c>
      <x:c r="O1260" s="29" t="str">
        <x:v>561.37</x:v>
      </x:c>
      <x:c r="P1260" s="18" t="str">
        <x:v>2026-07-22</x:v>
      </x:c>
      <x:c r="Q1260" s="36" t="n">
        <x:v>46225</x:v>
      </x:c>
    </x:row>
    <x:row r="1261">
      <x:c r="A1261" s="36" t="str">
        <x:v>2026-07-22</x:v>
      </x:c>
      <x:c r="B1261" s="18" t="str">
        <x:v>101437000_83911</x:v>
      </x:c>
      <x:c r="C1261" s="18" t="str">
        <x:v>【沪村小电】金瀚园充电站</x:v>
      </x:c>
      <x:c r="D1261" s="37" t="str">
        <x:v>2</x:v>
      </x:c>
      <x:c r="E1261" s="37" t="str">
        <x:v>0</x:v>
      </x:c>
      <x:c r="F1261" s="37" t="str">
        <x:v>50</x:v>
      </x:c>
      <x:c r="G1261" s="37" t="str">
        <x:v>1331.79</x:v>
      </x:c>
      <x:c r="H1261" s="37" t="str">
        <x:v>0.00</x:v>
      </x:c>
      <x:c r="I1261" s="37" t="str">
        <x:v>807.64</x:v>
      </x:c>
      <x:c r="J1261" s="37" t="str">
        <x:v>0.00</x:v>
      </x:c>
      <x:c r="K1261" s="37" t="str">
        <x:v>524.15</x:v>
      </x:c>
      <x:c r="L1261" s="37" t="str">
        <x:v>1802</x:v>
      </x:c>
      <x:c r="M1261" s="29" t="str">
        <x:v>1199.13</x:v>
      </x:c>
      <x:c r="N1261" s="29" t="str">
        <x:v>767.35</x:v>
      </x:c>
      <x:c r="O1261" s="29" t="str">
        <x:v>431.78</x:v>
      </x:c>
      <x:c r="P1261" s="18" t="str">
        <x:v>2026-07-22</x:v>
      </x:c>
      <x:c r="Q1261" s="36" t="n">
        <x:v>46225</x:v>
      </x:c>
    </x:row>
    <x:row r="1262">
      <x:c r="A1262" s="36" t="str">
        <x:v>2026-07-22</x:v>
      </x:c>
      <x:c r="B1262" s="18" t="str">
        <x:v>101437000_83913</x:v>
      </x:c>
      <x:c r="C1262" s="18" t="str">
        <x:v>【沪村小电】新黎村充电站</x:v>
      </x:c>
      <x:c r="D1262" s="37" t="str">
        <x:v>2</x:v>
      </x:c>
      <x:c r="E1262" s="37" t="str">
        <x:v>0</x:v>
      </x:c>
      <x:c r="F1262" s="37" t="str">
        <x:v>50</x:v>
      </x:c>
      <x:c r="G1262" s="37" t="str">
        <x:v>1094.00</x:v>
      </x:c>
      <x:c r="H1262" s="37" t="str">
        <x:v>0.00</x:v>
      </x:c>
      <x:c r="I1262" s="37" t="str">
        <x:v>962.90</x:v>
      </x:c>
      <x:c r="J1262" s="37" t="str">
        <x:v>0.00</x:v>
      </x:c>
      <x:c r="K1262" s="37" t="str">
        <x:v>131.10</x:v>
      </x:c>
      <x:c r="L1262" s="37" t="str">
        <x:v>1955</x:v>
      </x:c>
      <x:c r="M1262" s="29" t="str">
        <x:v>1057.70</x:v>
      </x:c>
      <x:c r="N1262" s="29" t="str">
        <x:v>732.15</x:v>
      </x:c>
      <x:c r="O1262" s="29" t="str">
        <x:v>325.55</x:v>
      </x:c>
      <x:c r="P1262" s="18" t="str">
        <x:v>2026-07-22</x:v>
      </x:c>
      <x:c r="Q1262" s="36" t="n">
        <x:v>46225</x:v>
      </x:c>
    </x:row>
    <x:row r="1263">
      <x:c r="A1263" s="36" t="str">
        <x:v>2026-07-22</x:v>
      </x:c>
      <x:c r="B1263" s="18" t="str">
        <x:v>101437000_83915</x:v>
      </x:c>
      <x:c r="C1263" s="18" t="str">
        <x:v>【沪村小电】长泰西郊别墅充电站</x:v>
      </x:c>
      <x:c r="D1263" s="37" t="str">
        <x:v>2</x:v>
      </x:c>
      <x:c r="E1263" s="37" t="str">
        <x:v>0</x:v>
      </x:c>
      <x:c r="F1263" s="37" t="str">
        <x:v>19</x:v>
      </x:c>
      <x:c r="G1263" s="37" t="str">
        <x:v>457.19</x:v>
      </x:c>
      <x:c r="H1263" s="37" t="str">
        <x:v>0.00</x:v>
      </x:c>
      <x:c r="I1263" s="37" t="str">
        <x:v>216.82</x:v>
      </x:c>
      <x:c r="J1263" s="37" t="str">
        <x:v>0.00</x:v>
      </x:c>
      <x:c r="K1263" s="37" t="str">
        <x:v>240.37</x:v>
      </x:c>
      <x:c r="L1263" s="37" t="str">
        <x:v>576</x:v>
      </x:c>
      <x:c r="M1263" s="29" t="str">
        <x:v>372.82</x:v>
      </x:c>
      <x:c r="N1263" s="29" t="str">
        <x:v>242.89</x:v>
      </x:c>
      <x:c r="O1263" s="29" t="str">
        <x:v>129.93</x:v>
      </x:c>
      <x:c r="P1263" s="18" t="str">
        <x:v>2026-07-22</x:v>
      </x:c>
      <x:c r="Q1263" s="36" t="n">
        <x:v>46225</x:v>
      </x:c>
    </x:row>
    <x:row r="1264">
      <x:c r="A1264" s="36" t="str">
        <x:v>2026-07-22</x:v>
      </x:c>
      <x:c r="B1264" s="18" t="str">
        <x:v>101437000_83917</x:v>
      </x:c>
      <x:c r="C1264" s="18" t="str">
        <x:v>【沪村小电】旭新华庭充电站</x:v>
      </x:c>
      <x:c r="D1264" s="37" t="str">
        <x:v>4</x:v>
      </x:c>
      <x:c r="E1264" s="37" t="str">
        <x:v>0</x:v>
      </x:c>
      <x:c r="F1264" s="37" t="str">
        <x:v>34</x:v>
      </x:c>
      <x:c r="G1264" s="37" t="str">
        <x:v>974.45</x:v>
      </x:c>
      <x:c r="H1264" s="37" t="str">
        <x:v>0.00</x:v>
      </x:c>
      <x:c r="I1264" s="37" t="str">
        <x:v>647.06</x:v>
      </x:c>
      <x:c r="J1264" s="37" t="str">
        <x:v>0.00</x:v>
      </x:c>
      <x:c r="K1264" s="37" t="str">
        <x:v>327.38</x:v>
      </x:c>
      <x:c r="L1264" s="37" t="str">
        <x:v>1375</x:v>
      </x:c>
      <x:c r="M1264" s="29" t="str">
        <x:v>940.10</x:v>
      </x:c>
      <x:c r="N1264" s="29" t="str">
        <x:v>580.53</x:v>
      </x:c>
      <x:c r="O1264" s="29" t="str">
        <x:v>359.57</x:v>
      </x:c>
      <x:c r="P1264" s="18" t="str">
        <x:v>2026-07-22</x:v>
      </x:c>
      <x:c r="Q1264" s="36" t="n">
        <x:v>46225</x:v>
      </x:c>
    </x:row>
    <x:row r="1265">
      <x:c r="A1265" s="36" t="str">
        <x:v>2026-07-22</x:v>
      </x:c>
      <x:c r="B1265" s="18" t="str">
        <x:v>101437000_83919</x:v>
      </x:c>
      <x:c r="C1265" s="18" t="str">
        <x:v>【沪村小电】浦锦名仕嘉园充电站</x:v>
      </x:c>
      <x:c r="D1265" s="37" t="str">
        <x:v>4</x:v>
      </x:c>
      <x:c r="E1265" s="37" t="str">
        <x:v>0</x:v>
      </x:c>
      <x:c r="F1265" s="37" t="str">
        <x:v>54</x:v>
      </x:c>
      <x:c r="G1265" s="37" t="str">
        <x:v>1089.53</x:v>
      </x:c>
      <x:c r="H1265" s="37" t="str">
        <x:v>0.00</x:v>
      </x:c>
      <x:c r="I1265" s="37" t="str">
        <x:v>0.00</x:v>
      </x:c>
      <x:c r="J1265" s="37" t="str">
        <x:v>1089.53</x:v>
      </x:c>
      <x:c r="K1265" s="37" t="str">
        <x:v>0.00</x:v>
      </x:c>
      <x:c r="L1265" s="37" t="str">
        <x:v>1596</x:v>
      </x:c>
      <x:c r="M1265" s="29" t="str">
        <x:v>1078.96</x:v>
      </x:c>
      <x:c r="N1265" s="29" t="str">
        <x:v>762.67</x:v>
      </x:c>
      <x:c r="O1265" s="29" t="str">
        <x:v>316.29</x:v>
      </x:c>
      <x:c r="P1265" s="18" t="str">
        <x:v>2026-07-22</x:v>
      </x:c>
      <x:c r="Q1265" s="36" t="n">
        <x:v>46225</x:v>
      </x:c>
    </x:row>
    <x:row r="1266">
      <x:c r="A1266" s="36" t="str">
        <x:v>2026-07-22</x:v>
      </x:c>
      <x:c r="B1266" s="18" t="str">
        <x:v>101437000_83921</x:v>
      </x:c>
      <x:c r="C1266" s="18" t="str">
        <x:v>【沪村小电】上海联怡枇杷乐园充电站（地库）</x:v>
      </x:c>
      <x:c r="D1266" s="37" t="str">
        <x:v>8</x:v>
      </x:c>
      <x:c r="E1266" s="37" t="str">
        <x:v>0</x:v>
      </x:c>
      <x:c r="F1266" s="37" t="str">
        <x:v>13</x:v>
      </x:c>
      <x:c r="G1266" s="37" t="str">
        <x:v>376.67</x:v>
      </x:c>
      <x:c r="H1266" s="37" t="str">
        <x:v>0.00</x:v>
      </x:c>
      <x:c r="I1266" s="37" t="str">
        <x:v>130.31</x:v>
      </x:c>
      <x:c r="J1266" s="37" t="str">
        <x:v>0.00</x:v>
      </x:c>
      <x:c r="K1266" s="37" t="str">
        <x:v>246.36</x:v>
      </x:c>
      <x:c r="L1266" s="37" t="str">
        <x:v>728</x:v>
      </x:c>
      <x:c r="M1266" s="29" t="str">
        <x:v>285.57</x:v>
      </x:c>
      <x:c r="N1266" s="29" t="str">
        <x:v>230.63</x:v>
      </x:c>
      <x:c r="O1266" s="29" t="str">
        <x:v>54.94</x:v>
      </x:c>
      <x:c r="P1266" s="18" t="str">
        <x:v>2026-07-22</x:v>
      </x:c>
      <x:c r="Q1266" s="36" t="n">
        <x:v>46225</x:v>
      </x:c>
    </x:row>
    <x:row r="1267">
      <x:c r="A1267" s="36" t="str">
        <x:v>2026-07-22</x:v>
      </x:c>
      <x:c r="B1267" s="18" t="str">
        <x:v>101437000_83923</x:v>
      </x:c>
      <x:c r="C1267" s="18" t="str">
        <x:v>【沪村小电】明珠新苑充电站</x:v>
      </x:c>
      <x:c r="D1267" s="37" t="str">
        <x:v>2</x:v>
      </x:c>
      <x:c r="E1267" s="37" t="str">
        <x:v>0</x:v>
      </x:c>
      <x:c r="F1267" s="37" t="str">
        <x:v>24</x:v>
      </x:c>
      <x:c r="G1267" s="37" t="str">
        <x:v>673.44</x:v>
      </x:c>
      <x:c r="H1267" s="37" t="str">
        <x:v>0.00</x:v>
      </x:c>
      <x:c r="I1267" s="37" t="str">
        <x:v>385.95</x:v>
      </x:c>
      <x:c r="J1267" s="37" t="str">
        <x:v>0.00</x:v>
      </x:c>
      <x:c r="K1267" s="37" t="str">
        <x:v>287.49</x:v>
      </x:c>
      <x:c r="L1267" s="37" t="str">
        <x:v>894</x:v>
      </x:c>
      <x:c r="M1267" s="29" t="str">
        <x:v>583.35</x:v>
      </x:c>
      <x:c r="N1267" s="29" t="str">
        <x:v>380.39</x:v>
      </x:c>
      <x:c r="O1267" s="29" t="str">
        <x:v>202.96</x:v>
      </x:c>
      <x:c r="P1267" s="18" t="str">
        <x:v>2026-07-22</x:v>
      </x:c>
      <x:c r="Q1267" s="36" t="n">
        <x:v>46225</x:v>
      </x:c>
    </x:row>
    <x:row r="1268">
      <x:c r="A1268" s="36" t="str">
        <x:v>2026-07-22</x:v>
      </x:c>
      <x:c r="B1268" s="18" t="str">
        <x:v>101437000_84289</x:v>
      </x:c>
      <x:c r="C1268" s="18" t="str">
        <x:v>【沪村小电】铁建芳华苑充电站</x:v>
      </x:c>
      <x:c r="D1268" s="37" t="str">
        <x:v>4</x:v>
      </x:c>
      <x:c r="E1268" s="37" t="str">
        <x:v>0</x:v>
      </x:c>
      <x:c r="F1268" s="37" t="str">
        <x:v>40</x:v>
      </x:c>
      <x:c r="G1268" s="37" t="str">
        <x:v>757.57</x:v>
      </x:c>
      <x:c r="H1268" s="37" t="str">
        <x:v>0.00</x:v>
      </x:c>
      <x:c r="I1268" s="37" t="str">
        <x:v>475.45</x:v>
      </x:c>
      <x:c r="J1268" s="37" t="str">
        <x:v>0.00</x:v>
      </x:c>
      <x:c r="K1268" s="37" t="str">
        <x:v>282.12</x:v>
      </x:c>
      <x:c r="L1268" s="37" t="str">
        <x:v>1267</x:v>
      </x:c>
      <x:c r="M1268" s="29" t="str">
        <x:v>691.56</x:v>
      </x:c>
      <x:c r="N1268" s="29" t="str">
        <x:v>441.96</x:v>
      </x:c>
      <x:c r="O1268" s="29" t="str">
        <x:v>249.60</x:v>
      </x:c>
      <x:c r="P1268" s="18" t="str">
        <x:v>2026-07-22</x:v>
      </x:c>
      <x:c r="Q1268" s="36" t="n">
        <x:v>46225</x:v>
      </x:c>
    </x:row>
    <x:row r="1269">
      <x:c r="A1269" s="36" t="str">
        <x:v>2026-07-22</x:v>
      </x:c>
      <x:c r="B1269" s="18" t="str">
        <x:v>101437000_86379</x:v>
      </x:c>
      <x:c r="C1269" s="18" t="str">
        <x:v>【沪村小电】新宝社区充电站</x:v>
      </x:c>
      <x:c r="D1269" s="37" t="str">
        <x:v>4</x:v>
      </x:c>
      <x:c r="E1269" s="37" t="str">
        <x:v>0</x:v>
      </x:c>
      <x:c r="F1269" s="37" t="str">
        <x:v>25</x:v>
      </x:c>
      <x:c r="G1269" s="37" t="str">
        <x:v>540.21</x:v>
      </x:c>
      <x:c r="H1269" s="37" t="str">
        <x:v>0.00</x:v>
      </x:c>
      <x:c r="I1269" s="37" t="str">
        <x:v>313.66</x:v>
      </x:c>
      <x:c r="J1269" s="37" t="str">
        <x:v>0.00</x:v>
      </x:c>
      <x:c r="K1269" s="37" t="str">
        <x:v>226.55</x:v>
      </x:c>
      <x:c r="L1269" s="37" t="str">
        <x:v>919</x:v>
      </x:c>
      <x:c r="M1269" s="29" t="str">
        <x:v>474.44</x:v>
      </x:c>
      <x:c r="N1269" s="29" t="str">
        <x:v>306.53</x:v>
      </x:c>
      <x:c r="O1269" s="29" t="str">
        <x:v>167.91</x:v>
      </x:c>
      <x:c r="P1269" s="18" t="str">
        <x:v>2026-07-22</x:v>
      </x:c>
      <x:c r="Q1269" s="36" t="n">
        <x:v>46225</x:v>
      </x:c>
    </x:row>
    <x:row r="1270">
      <x:c r="A1270" s="36" t="str">
        <x:v>2026-07-22</x:v>
      </x:c>
      <x:c r="B1270" s="18" t="str">
        <x:v>101437000_89441</x:v>
      </x:c>
      <x:c r="C1270" s="18" t="str">
        <x:v>【沪村小电】首创禧瑞云启西区充电站</x:v>
      </x:c>
      <x:c r="D1270" s="37" t="str">
        <x:v>2</x:v>
      </x:c>
      <x:c r="E1270" s="37" t="str">
        <x:v>0</x:v>
      </x:c>
      <x:c r="F1270" s="37" t="str">
        <x:v>30</x:v>
      </x:c>
      <x:c r="G1270" s="37" t="str">
        <x:v>751.53</x:v>
      </x:c>
      <x:c r="H1270" s="37" t="str">
        <x:v>0.00</x:v>
      </x:c>
      <x:c r="I1270" s="37" t="str">
        <x:v>631.96</x:v>
      </x:c>
      <x:c r="J1270" s="37" t="str">
        <x:v>0.00</x:v>
      </x:c>
      <x:c r="K1270" s="37" t="str">
        <x:v>119.57</x:v>
      </x:c>
      <x:c r="L1270" s="37" t="str">
        <x:v>1022</x:v>
      </x:c>
      <x:c r="M1270" s="29" t="str">
        <x:v>803.25</x:v>
      </x:c>
      <x:c r="N1270" s="29" t="str">
        <x:v>492.93</x:v>
      </x:c>
      <x:c r="O1270" s="29" t="str">
        <x:v>310.32</x:v>
      </x:c>
      <x:c r="P1270" s="18" t="str">
        <x:v>2026-07-22</x:v>
      </x:c>
      <x:c r="Q1270" s="36" t="n">
        <x:v>46225</x:v>
      </x:c>
    </x:row>
    <x:row r="1271">
      <x:c r="A1271" s="36" t="str">
        <x:v>2026-07-22</x:v>
      </x:c>
      <x:c r="B1271" s="18" t="str">
        <x:v>101437000_89443</x:v>
      </x:c>
      <x:c r="C1271" s="18" t="str">
        <x:v>【沪村小电】玉兰清苑二期充电站</x:v>
      </x:c>
      <x:c r="D1271" s="37" t="str">
        <x:v>2</x:v>
      </x:c>
      <x:c r="E1271" s="37" t="str">
        <x:v>0</x:v>
      </x:c>
      <x:c r="F1271" s="37" t="str">
        <x:v>20</x:v>
      </x:c>
      <x:c r="G1271" s="37" t="str">
        <x:v>426.56</x:v>
      </x:c>
      <x:c r="H1271" s="37" t="str">
        <x:v>0.00</x:v>
      </x:c>
      <x:c r="I1271" s="37" t="str">
        <x:v>237.99</x:v>
      </x:c>
      <x:c r="J1271" s="37" t="str">
        <x:v>0.00</x:v>
      </x:c>
      <x:c r="K1271" s="37" t="str">
        <x:v>188.58</x:v>
      </x:c>
      <x:c r="L1271" s="37" t="str">
        <x:v>806</x:v>
      </x:c>
      <x:c r="M1271" s="29" t="str">
        <x:v>356.24</x:v>
      </x:c>
      <x:c r="N1271" s="29" t="str">
        <x:v>238.75</x:v>
      </x:c>
      <x:c r="O1271" s="29" t="str">
        <x:v>117.49</x:v>
      </x:c>
      <x:c r="P1271" s="18" t="str">
        <x:v>2026-07-22</x:v>
      </x:c>
      <x:c r="Q1271" s="36" t="n">
        <x:v>46225</x:v>
      </x:c>
    </x:row>
    <x:row r="1272">
      <x:c r="A1272" s="36" t="str">
        <x:v>2026-07-22</x:v>
      </x:c>
      <x:c r="B1272" s="18" t="str">
        <x:v>101437000_93115</x:v>
      </x:c>
      <x:c r="C1272" s="18" t="str">
        <x:v>【沪村小电】新南家园西北门</x:v>
      </x:c>
      <x:c r="D1272" s="37" t="str">
        <x:v>2</x:v>
      </x:c>
      <x:c r="E1272" s="37" t="str">
        <x:v>0</x:v>
      </x:c>
      <x:c r="F1272" s="37" t="str">
        <x:v>23</x:v>
      </x:c>
      <x:c r="G1272" s="37" t="str">
        <x:v>659.23</x:v>
      </x:c>
      <x:c r="H1272" s="37" t="str">
        <x:v>0.00</x:v>
      </x:c>
      <x:c r="I1272" s="37" t="str">
        <x:v>483.25</x:v>
      </x:c>
      <x:c r="J1272" s="37" t="str">
        <x:v>0.00</x:v>
      </x:c>
      <x:c r="K1272" s="37" t="str">
        <x:v>175.99</x:v>
      </x:c>
      <x:c r="L1272" s="37" t="str">
        <x:v>1027</x:v>
      </x:c>
      <x:c r="M1272" s="29" t="str">
        <x:v>626.44</x:v>
      </x:c>
      <x:c r="N1272" s="29" t="str">
        <x:v>408.20</x:v>
      </x:c>
      <x:c r="O1272" s="29" t="str">
        <x:v>218.24</x:v>
      </x:c>
      <x:c r="P1272" s="18" t="str">
        <x:v>2026-07-22</x:v>
      </x:c>
      <x:c r="Q1272" s="36" t="n">
        <x:v>46225</x:v>
      </x:c>
    </x:row>
    <x:row r="1273">
      <x:c r="A1273" s="36" t="str">
        <x:v>2026-07-22</x:v>
      </x:c>
      <x:c r="B1273" s="18" t="str">
        <x:v>101437000_94649</x:v>
      </x:c>
      <x:c r="C1273" s="18" t="str">
        <x:v>【沪村小电】浪琴水岸花园</x:v>
      </x:c>
      <x:c r="D1273" s="37" t="str">
        <x:v>4</x:v>
      </x:c>
      <x:c r="E1273" s="37" t="str">
        <x:v>0</x:v>
      </x:c>
      <x:c r="F1273" s="37" t="str">
        <x:v>33</x:v>
      </x:c>
      <x:c r="G1273" s="37" t="str">
        <x:v>885.03</x:v>
      </x:c>
      <x:c r="H1273" s="37" t="str">
        <x:v>0.00</x:v>
      </x:c>
      <x:c r="I1273" s="37" t="str">
        <x:v>514.34</x:v>
      </x:c>
      <x:c r="J1273" s="37" t="str">
        <x:v>0.00</x:v>
      </x:c>
      <x:c r="K1273" s="37" t="str">
        <x:v>370.68</x:v>
      </x:c>
      <x:c r="L1273" s="37" t="str">
        <x:v>1367</x:v>
      </x:c>
      <x:c r="M1273" s="29" t="str">
        <x:v>697.02</x:v>
      </x:c>
      <x:c r="N1273" s="29" t="str">
        <x:v>539.42</x:v>
      </x:c>
      <x:c r="O1273" s="29" t="str">
        <x:v>157.60</x:v>
      </x:c>
      <x:c r="P1273" s="18" t="str">
        <x:v>2026-07-22</x:v>
      </x:c>
      <x:c r="Q1273" s="36" t="n">
        <x:v>46225</x:v>
      </x:c>
    </x:row>
    <x:row r="1274">
      <x:c r="A1274" s="36" t="str">
        <x:v>2026-07-22</x:v>
      </x:c>
      <x:c r="B1274" s="18" t="str">
        <x:v>101437000_95077</x:v>
      </x:c>
      <x:c r="C1274" s="18" t="str">
        <x:v>【沪村小电】民乐城惠益绿苑255弄充电站</x:v>
      </x:c>
      <x:c r="D1274" s="37" t="str">
        <x:v>2</x:v>
      </x:c>
      <x:c r="E1274" s="37" t="str">
        <x:v>0</x:v>
      </x:c>
      <x:c r="F1274" s="37" t="str">
        <x:v>13</x:v>
      </x:c>
      <x:c r="G1274" s="37" t="str">
        <x:v>276.27</x:v>
      </x:c>
      <x:c r="H1274" s="37" t="str">
        <x:v>0.00</x:v>
      </x:c>
      <x:c r="I1274" s="37" t="str">
        <x:v>276.27</x:v>
      </x:c>
      <x:c r="J1274" s="37" t="str">
        <x:v>0.00</x:v>
      </x:c>
      <x:c r="K1274" s="37" t="str">
        <x:v>0.00</x:v>
      </x:c>
      <x:c r="L1274" s="37" t="str">
        <x:v>346</x:v>
      </x:c>
      <x:c r="M1274" s="29" t="str">
        <x:v>288.80</x:v>
      </x:c>
      <x:c r="N1274" s="29" t="str">
        <x:v>196.16</x:v>
      </x:c>
      <x:c r="O1274" s="29" t="str">
        <x:v>92.64</x:v>
      </x:c>
      <x:c r="P1274" s="18" t="str">
        <x:v>2026-07-22</x:v>
      </x:c>
      <x:c r="Q1274" s="36" t="n">
        <x:v>46225</x:v>
      </x:c>
    </x:row>
    <x:row r="1275">
      <x:c r="A1275" s="36" t="str">
        <x:v>2026-07-22</x:v>
      </x:c>
      <x:c r="B1275" s="18" t="str">
        <x:v>101437000_95079</x:v>
      </x:c>
      <x:c r="C1275" s="18" t="str">
        <x:v>【沪村小电】民乐城惠益绿苑东苑充电站</x:v>
      </x:c>
      <x:c r="D1275" s="37" t="str">
        <x:v>2</x:v>
      </x:c>
      <x:c r="E1275" s="37" t="str">
        <x:v>0</x:v>
      </x:c>
      <x:c r="F1275" s="37" t="str">
        <x:v>10</x:v>
      </x:c>
      <x:c r="G1275" s="37" t="str">
        <x:v>237.34</x:v>
      </x:c>
      <x:c r="H1275" s="37" t="str">
        <x:v>0.00</x:v>
      </x:c>
      <x:c r="I1275" s="37" t="str">
        <x:v>195.99</x:v>
      </x:c>
      <x:c r="J1275" s="37" t="str">
        <x:v>0.00</x:v>
      </x:c>
      <x:c r="K1275" s="37" t="str">
        <x:v>41.35</x:v>
      </x:c>
      <x:c r="L1275" s="37" t="str">
        <x:v>509</x:v>
      </x:c>
      <x:c r="M1275" s="29" t="str">
        <x:v>214.14</x:v>
      </x:c>
      <x:c r="N1275" s="29" t="str">
        <x:v>154.45</x:v>
      </x:c>
      <x:c r="O1275" s="29" t="str">
        <x:v>59.69</x:v>
      </x:c>
      <x:c r="P1275" s="18" t="str">
        <x:v>2026-07-22</x:v>
      </x:c>
      <x:c r="Q1275" s="36" t="n">
        <x:v>46225</x:v>
      </x:c>
    </x:row>
    <x:row r="1276">
      <x:c r="A1276" s="36" t="str">
        <x:v>2026-07-22</x:v>
      </x:c>
      <x:c r="B1276" s="18" t="str">
        <x:v>101437000_95081</x:v>
      </x:c>
      <x:c r="C1276" s="18" t="str">
        <x:v>【沪村小电】民乐城惠益绿苑西苑充电站</x:v>
      </x:c>
      <x:c r="D1276" s="37" t="str">
        <x:v>2</x:v>
      </x:c>
      <x:c r="E1276" s="37" t="str">
        <x:v>0</x:v>
      </x:c>
      <x:c r="F1276" s="37" t="str">
        <x:v>4</x:v>
      </x:c>
      <x:c r="G1276" s="37" t="str">
        <x:v>111.36</x:v>
      </x:c>
      <x:c r="H1276" s="37" t="str">
        <x:v>0.00</x:v>
      </x:c>
      <x:c r="I1276" s="37" t="str">
        <x:v>111.36</x:v>
      </x:c>
      <x:c r="J1276" s="37" t="str">
        <x:v>0.00</x:v>
      </x:c>
      <x:c r="K1276" s="37" t="str">
        <x:v>0.00</x:v>
      </x:c>
      <x:c r="L1276" s="37" t="str">
        <x:v>205</x:v>
      </x:c>
      <x:c r="M1276" s="29" t="str">
        <x:v>102.25</x:v>
      </x:c>
      <x:c r="N1276" s="29" t="str">
        <x:v>79.08</x:v>
      </x:c>
      <x:c r="O1276" s="29" t="str">
        <x:v>23.17</x:v>
      </x:c>
      <x:c r="P1276" s="18" t="str">
        <x:v>2026-07-22</x:v>
      </x:c>
      <x:c r="Q1276" s="36" t="n">
        <x:v>46225</x:v>
      </x:c>
    </x:row>
    <x:row r="1277">
      <x:c r="A1277" s="36" t="str">
        <x:v>2026-07-22</x:v>
      </x:c>
      <x:c r="B1277" s="18" t="str">
        <x:v>101437000_95941</x:v>
      </x:c>
      <x:c r="C1277" s="18" t="str">
        <x:v>【沪村小电】惠诚雅苑</x:v>
      </x:c>
      <x:c r="D1277" s="37" t="str">
        <x:v>4</x:v>
      </x:c>
      <x:c r="E1277" s="37" t="str">
        <x:v>0</x:v>
      </x:c>
      <x:c r="F1277" s="37" t="str">
        <x:v>35</x:v>
      </x:c>
      <x:c r="G1277" s="37" t="str">
        <x:v>798.12</x:v>
      </x:c>
      <x:c r="H1277" s="37" t="str">
        <x:v>0.00</x:v>
      </x:c>
      <x:c r="I1277" s="37" t="str">
        <x:v>400.20</x:v>
      </x:c>
      <x:c r="J1277" s="37" t="str">
        <x:v>0.00</x:v>
      </x:c>
      <x:c r="K1277" s="37" t="str">
        <x:v>397.92</x:v>
      </x:c>
      <x:c r="L1277" s="37" t="str">
        <x:v>1341</x:v>
      </x:c>
      <x:c r="M1277" s="29" t="str">
        <x:v>544.89</x:v>
      </x:c>
      <x:c r="N1277" s="29" t="str">
        <x:v>359.47</x:v>
      </x:c>
      <x:c r="O1277" s="29" t="str">
        <x:v>185.42</x:v>
      </x:c>
      <x:c r="P1277" s="18" t="str">
        <x:v>2026-07-22</x:v>
      </x:c>
      <x:c r="Q1277" s="36" t="n">
        <x:v>46225</x:v>
      </x:c>
    </x:row>
    <x:row r="1278">
      <x:c r="A1278" s="36" t="str">
        <x:v>2026-07-22</x:v>
      </x:c>
      <x:c r="B1278" s="18" t="str">
        <x:v>101437000_96401</x:v>
      </x:c>
      <x:c r="C1278" s="18" t="str">
        <x:v>【沪村小电】上海联怡枇杷乐园地面站</x:v>
      </x:c>
      <x:c r="D1278" s="37" t="str">
        <x:v>2</x:v>
      </x:c>
      <x:c r="E1278" s="37" t="str">
        <x:v>0</x:v>
      </x:c>
      <x:c r="F1278" s="37" t="str">
        <x:v>11</x:v>
      </x:c>
      <x:c r="G1278" s="37" t="str">
        <x:v>183.53</x:v>
      </x:c>
      <x:c r="H1278" s="37" t="str">
        <x:v>0.00</x:v>
      </x:c>
      <x:c r="I1278" s="37" t="str">
        <x:v>71.44</x:v>
      </x:c>
      <x:c r="J1278" s="37" t="str">
        <x:v>0.00</x:v>
      </x:c>
      <x:c r="K1278" s="37" t="str">
        <x:v>112.09</x:v>
      </x:c>
      <x:c r="L1278" s="37" t="str">
        <x:v>368</x:v>
      </x:c>
      <x:c r="M1278" s="29" t="str">
        <x:v>161.47</x:v>
      </x:c>
      <x:c r="N1278" s="29" t="str">
        <x:v>115.85</x:v>
      </x:c>
      <x:c r="O1278" s="29" t="str">
        <x:v>45.62</x:v>
      </x:c>
      <x:c r="P1278" s="18" t="str">
        <x:v>2026-07-22</x:v>
      </x:c>
      <x:c r="Q1278" s="36" t="n">
        <x:v>46225</x:v>
      </x:c>
    </x:row>
    <x:row r="1279">
      <x:c r="A1279" s="36" t="str">
        <x:v>2026-07-22</x:v>
      </x:c>
      <x:c r="B1279" s="18" t="str">
        <x:v>101437000_96719</x:v>
      </x:c>
      <x:c r="C1279" s="18" t="str">
        <x:v>【沪村小电】四达路220弄充电站</x:v>
      </x:c>
      <x:c r="D1279" s="37" t="str">
        <x:v>2</x:v>
      </x:c>
      <x:c r="E1279" s="37" t="str">
        <x:v>0</x:v>
      </x:c>
      <x:c r="F1279" s="37" t="str">
        <x:v>2</x:v>
      </x:c>
      <x:c r="G1279" s="37" t="str">
        <x:v>27.20</x:v>
      </x:c>
      <x:c r="H1279" s="37" t="str">
        <x:v>0.00</x:v>
      </x:c>
      <x:c r="I1279" s="37" t="str">
        <x:v>11.37</x:v>
      </x:c>
      <x:c r="J1279" s="37" t="str">
        <x:v>0.00</x:v>
      </x:c>
      <x:c r="K1279" s="37" t="str">
        <x:v>15.82</x:v>
      </x:c>
      <x:c r="L1279" s="37" t="str">
        <x:v>53</x:v>
      </x:c>
      <x:c r="M1279" s="29" t="str">
        <x:v>18.84</x:v>
      </x:c>
      <x:c r="N1279" s="29" t="str">
        <x:v>13.93</x:v>
      </x:c>
      <x:c r="O1279" s="29" t="str">
        <x:v>4.91</x:v>
      </x:c>
      <x:c r="P1279" s="18" t="str">
        <x:v>2026-07-22</x:v>
      </x:c>
      <x:c r="Q1279" s="36" t="n">
        <x:v>46225</x:v>
      </x:c>
    </x:row>
    <x:row r="1280">
      <x:c r="A1280" s="36" t="str">
        <x:v>2026-07-22</x:v>
      </x:c>
      <x:c r="B1280" s="18" t="str">
        <x:v>101437000_97421</x:v>
      </x:c>
      <x:c r="C1280" s="18" t="str">
        <x:v>【沪村小电】玉兰清苑二期（小区外）充电站</x:v>
      </x:c>
      <x:c r="D1280" s="37" t="str">
        <x:v>4</x:v>
      </x:c>
      <x:c r="E1280" s="37" t="str">
        <x:v>0</x:v>
      </x:c>
      <x:c r="F1280" s="37" t="str">
        <x:v>55</x:v>
      </x:c>
      <x:c r="G1280" s="37" t="str">
        <x:v>1044.09</x:v>
      </x:c>
      <x:c r="H1280" s="37" t="str">
        <x:v>0.00</x:v>
      </x:c>
      <x:c r="I1280" s="37" t="str">
        <x:v>808.31</x:v>
      </x:c>
      <x:c r="J1280" s="37" t="str">
        <x:v>0.00</x:v>
      </x:c>
      <x:c r="K1280" s="37" t="str">
        <x:v>235.78</x:v>
      </x:c>
      <x:c r="L1280" s="37" t="str">
        <x:v>1931</x:v>
      </x:c>
      <x:c r="M1280" s="29" t="str">
        <x:v>956.94</x:v>
      </x:c>
      <x:c r="N1280" s="29" t="str">
        <x:v>661.16</x:v>
      </x:c>
      <x:c r="O1280" s="29" t="str">
        <x:v>295.78</x:v>
      </x:c>
      <x:c r="P1280" s="18" t="str">
        <x:v>2026-07-22</x:v>
      </x:c>
      <x:c r="Q1280" s="36" t="n">
        <x:v>46225</x:v>
      </x:c>
    </x:row>
    <x:row r="1281">
      <x:c r="A1281" s="36" t="str">
        <x:v>2026-07-22</x:v>
      </x:c>
      <x:c r="B1281" s="18" t="str">
        <x:v>101437000_98013</x:v>
      </x:c>
      <x:c r="C1281" s="18" t="str">
        <x:v>【沪村小电】恒大滨江华府充电站</x:v>
      </x:c>
      <x:c r="D1281" s="37" t="str">
        <x:v>4</x:v>
      </x:c>
      <x:c r="E1281" s="37" t="str">
        <x:v>0</x:v>
      </x:c>
      <x:c r="F1281" s="37" t="str">
        <x:v>46</x:v>
      </x:c>
      <x:c r="G1281" s="37" t="str">
        <x:v>1032.96</x:v>
      </x:c>
      <x:c r="H1281" s="37" t="str">
        <x:v>0.00</x:v>
      </x:c>
      <x:c r="I1281" s="37" t="str">
        <x:v>761.25</x:v>
      </x:c>
      <x:c r="J1281" s="37" t="str">
        <x:v>0.00</x:v>
      </x:c>
      <x:c r="K1281" s="37" t="str">
        <x:v>271.71</x:v>
      </x:c>
      <x:c r="L1281" s="37" t="str">
        <x:v>1705</x:v>
      </x:c>
      <x:c r="M1281" s="29" t="str">
        <x:v>1026.63</x:v>
      </x:c>
      <x:c r="N1281" s="29" t="str">
        <x:v>810.12</x:v>
      </x:c>
      <x:c r="O1281" s="29" t="str">
        <x:v>216.51</x:v>
      </x:c>
      <x:c r="P1281" s="18" t="str">
        <x:v>2026-07-22</x:v>
      </x:c>
      <x:c r="Q1281" s="36" t="n">
        <x:v>46225</x:v>
      </x:c>
    </x:row>
    <x:row r="1282">
      <x:c r="A1282" s="36" t="str">
        <x:v>2026-07-22</x:v>
      </x:c>
      <x:c r="B1282" s="18" t="str">
        <x:v>101437000_98863</x:v>
      </x:c>
      <x:c r="C1282" s="18" t="str">
        <x:v>【沪村小电】欣菊苑充电站</x:v>
      </x:c>
      <x:c r="D1282" s="37" t="str">
        <x:v>4</x:v>
      </x:c>
      <x:c r="E1282" s="37" t="str">
        <x:v>0</x:v>
      </x:c>
      <x:c r="F1282" s="37" t="str">
        <x:v>9</x:v>
      </x:c>
      <x:c r="G1282" s="37" t="str">
        <x:v>187.43</x:v>
      </x:c>
      <x:c r="H1282" s="37" t="str">
        <x:v>0.00</x:v>
      </x:c>
      <x:c r="I1282" s="37" t="str">
        <x:v>169.31</x:v>
      </x:c>
      <x:c r="J1282" s="37" t="str">
        <x:v>0.00</x:v>
      </x:c>
      <x:c r="K1282" s="37" t="str">
        <x:v>18.11</x:v>
      </x:c>
      <x:c r="L1282" s="37" t="str">
        <x:v>311</x:v>
      </x:c>
      <x:c r="M1282" s="29" t="str">
        <x:v>160.05</x:v>
      </x:c>
      <x:c r="N1282" s="29" t="str">
        <x:v>126.92</x:v>
      </x:c>
      <x:c r="O1282" s="29" t="str">
        <x:v>33.13</x:v>
      </x:c>
      <x:c r="P1282" s="18" t="str">
        <x:v>2026-07-22</x:v>
      </x:c>
      <x:c r="Q1282" s="36" t="n">
        <x:v>46225</x:v>
      </x:c>
    </x:row>
    <x:row r="1283">
      <x:c r="A1283" s="36" t="str">
        <x:v>2026-07-22</x:v>
      </x:c>
      <x:c r="B1283" s="18" t="str">
        <x:v>101437000_98865</x:v>
      </x:c>
      <x:c r="C1283" s="18" t="str">
        <x:v>【沪村小电】欣松苑充电站</x:v>
      </x:c>
      <x:c r="D1283" s="37" t="str">
        <x:v>4</x:v>
      </x:c>
      <x:c r="E1283" s="37" t="str">
        <x:v>0</x:v>
      </x:c>
      <x:c r="F1283" s="37" t="str">
        <x:v>14</x:v>
      </x:c>
      <x:c r="G1283" s="37" t="str">
        <x:v>315.86</x:v>
      </x:c>
      <x:c r="H1283" s="37" t="str">
        <x:v>0.00</x:v>
      </x:c>
      <x:c r="I1283" s="37" t="str">
        <x:v>289.57</x:v>
      </x:c>
      <x:c r="J1283" s="37" t="str">
        <x:v>0.00</x:v>
      </x:c>
      <x:c r="K1283" s="37" t="str">
        <x:v>26.29</x:v>
      </x:c>
      <x:c r="L1283" s="37" t="str">
        <x:v>537</x:v>
      </x:c>
      <x:c r="M1283" s="29" t="str">
        <x:v>310.48</x:v>
      </x:c>
      <x:c r="N1283" s="29" t="str">
        <x:v>215.34</x:v>
      </x:c>
      <x:c r="O1283" s="29" t="str">
        <x:v>95.14</x:v>
      </x:c>
      <x:c r="P1283" s="18" t="str">
        <x:v>2026-07-22</x:v>
      </x:c>
      <x:c r="Q1283" s="36" t="n">
        <x:v>46225</x:v>
      </x:c>
    </x:row>
    <x:row r="1284">
      <x:c r="A1284" s="36" t="str">
        <x:v>2026-07-22</x:v>
      </x:c>
      <x:c r="B1284" s="18" t="str">
        <x:v>101437000_98867</x:v>
      </x:c>
      <x:c r="C1284" s="18" t="str">
        <x:v>【沪村小电】欣荷苑充电站</x:v>
      </x:c>
      <x:c r="D1284" s="37" t="str">
        <x:v>4</x:v>
      </x:c>
      <x:c r="E1284" s="37" t="str">
        <x:v>0</x:v>
      </x:c>
      <x:c r="F1284" s="37" t="str">
        <x:v>15</x:v>
      </x:c>
      <x:c r="G1284" s="37" t="str">
        <x:v>286.56</x:v>
      </x:c>
      <x:c r="H1284" s="37" t="str">
        <x:v>0.00</x:v>
      </x:c>
      <x:c r="I1284" s="37" t="str">
        <x:v>233.03</x:v>
      </x:c>
      <x:c r="J1284" s="37" t="str">
        <x:v>0.00</x:v>
      </x:c>
      <x:c r="K1284" s="37" t="str">
        <x:v>53.53</x:v>
      </x:c>
      <x:c r="L1284" s="37" t="str">
        <x:v>459</x:v>
      </x:c>
      <x:c r="M1284" s="29" t="str">
        <x:v>232.28</x:v>
      </x:c>
      <x:c r="N1284" s="29" t="str">
        <x:v>185.25</x:v>
      </x:c>
      <x:c r="O1284" s="29" t="str">
        <x:v>47.03</x:v>
      </x:c>
      <x:c r="P1284" s="18" t="str">
        <x:v>2026-07-22</x:v>
      </x:c>
      <x:c r="Q1284" s="36" t="n">
        <x:v>46225</x:v>
      </x:c>
    </x:row>
    <x:row r="1285">
      <x:c r="A1285" s="36" t="str">
        <x:v>2026-07-22</x:v>
      </x:c>
      <x:c r="B1285" s="18" t="str">
        <x:v>101437000_99885</x:v>
      </x:c>
      <x:c r="C1285" s="18" t="str">
        <x:v>【沪村小电】汇丰馨苑充电站</x:v>
      </x:c>
      <x:c r="D1285" s="37" t="str">
        <x:v>4</x:v>
      </x:c>
      <x:c r="E1285" s="37" t="str">
        <x:v>0</x:v>
      </x:c>
      <x:c r="F1285" s="37" t="str">
        <x:v>15</x:v>
      </x:c>
      <x:c r="G1285" s="37" t="str">
        <x:v>355.63</x:v>
      </x:c>
      <x:c r="H1285" s="37" t="str">
        <x:v>0.00</x:v>
      </x:c>
      <x:c r="I1285" s="37" t="str">
        <x:v>272.35</x:v>
      </x:c>
      <x:c r="J1285" s="37" t="str">
        <x:v>0.00</x:v>
      </x:c>
      <x:c r="K1285" s="37" t="str">
        <x:v>83.28</x:v>
      </x:c>
      <x:c r="L1285" s="37" t="str">
        <x:v>490</x:v>
      </x:c>
      <x:c r="M1285" s="29" t="str">
        <x:v>333.25</x:v>
      </x:c>
      <x:c r="N1285" s="29" t="str">
        <x:v>224.18</x:v>
      </x:c>
      <x:c r="O1285" s="29" t="str">
        <x:v>109.07</x:v>
      </x:c>
      <x:c r="P1285" s="18" t="str">
        <x:v>2026-07-22</x:v>
      </x:c>
      <x:c r="Q1285" s="36" t="n">
        <x:v>46225</x:v>
      </x:c>
    </x:row>
    <x:row r="1286">
      <x:c r="A1286" s="36" t="str">
        <x:v>2026-07-22</x:v>
      </x:c>
      <x:c r="B1286" s="18" t="str">
        <x:v>101437000_99887</x:v>
      </x:c>
      <x:c r="C1286" s="18" t="str">
        <x:v>【沪村小电】新南村河南小区充电站</x:v>
      </x:c>
      <x:c r="D1286" s="37" t="str">
        <x:v>2</x:v>
      </x:c>
      <x:c r="E1286" s="37" t="str">
        <x:v>0</x:v>
      </x:c>
      <x:c r="F1286" s="37" t="str">
        <x:v>18</x:v>
      </x:c>
      <x:c r="G1286" s="37" t="str">
        <x:v>368.90</x:v>
      </x:c>
      <x:c r="H1286" s="37" t="str">
        <x:v>0.00</x:v>
      </x:c>
      <x:c r="I1286" s="37" t="str">
        <x:v>218.98</x:v>
      </x:c>
      <x:c r="J1286" s="37" t="str">
        <x:v>0.00</x:v>
      </x:c>
      <x:c r="K1286" s="37" t="str">
        <x:v>149.91</x:v>
      </x:c>
      <x:c r="L1286" s="37" t="str">
        <x:v>602</x:v>
      </x:c>
      <x:c r="M1286" s="29" t="str">
        <x:v>299.60</x:v>
      </x:c>
      <x:c r="N1286" s="29" t="str">
        <x:v>210.96</x:v>
      </x:c>
      <x:c r="O1286" s="29" t="str">
        <x:v>88.64</x:v>
      </x:c>
      <x:c r="P1286" s="18" t="str">
        <x:v>2026-07-22</x:v>
      </x:c>
      <x:c r="Q1286" s="36" t="n">
        <x:v>46225</x:v>
      </x:c>
    </x:row>
    <x:row r="1287">
      <x:c r="A1287" s="36" t="str">
        <x:v>2026-07-22</x:v>
      </x:c>
      <x:c r="B1287" s="18" t="str">
        <x:v>101437000_99889</x:v>
      </x:c>
      <x:c r="C1287" s="18" t="str">
        <x:v>【沪村小电】漕泾郊野公园</x:v>
      </x:c>
      <x:c r="D1287" s="37" t="str">
        <x:v>2</x:v>
      </x:c>
      <x:c r="E1287" s="37" t="str">
        <x:v>0</x:v>
      </x:c>
      <x:c r="F1287" s="37" t="str">
        <x:v>6</x:v>
      </x:c>
      <x:c r="G1287" s="37" t="str">
        <x:v>162.98</x:v>
      </x:c>
      <x:c r="H1287" s="37" t="str">
        <x:v>0.00</x:v>
      </x:c>
      <x:c r="I1287" s="37" t="str">
        <x:v>98.62</x:v>
      </x:c>
      <x:c r="J1287" s="37" t="str">
        <x:v>0.00</x:v>
      </x:c>
      <x:c r="K1287" s="37" t="str">
        <x:v>64.36</x:v>
      </x:c>
      <x:c r="L1287" s="37" t="str">
        <x:v>195</x:v>
      </x:c>
      <x:c r="M1287" s="29" t="str">
        <x:v>208.79</x:v>
      </x:c>
      <x:c r="N1287" s="29" t="str">
        <x:v>113.57</x:v>
      </x:c>
      <x:c r="O1287" s="29" t="str">
        <x:v>95.22</x:v>
      </x:c>
      <x:c r="P1287" s="18" t="str">
        <x:v>2026-07-22</x:v>
      </x:c>
      <x:c r="Q1287" s="36" t="n">
        <x:v>46225</x:v>
      </x:c>
    </x:row>
    <x:row r="1288">
      <x:c r="A1288" s="36" t="str">
        <x:v>2026-07-22</x:v>
      </x:c>
      <x:c r="B1288" s="18" t="str">
        <x:v>101437000_99891</x:v>
      </x:c>
      <x:c r="C1288" s="18" t="str">
        <x:v>【沪村小电】水韵紫城充电站</x:v>
      </x:c>
      <x:c r="D1288" s="37" t="str">
        <x:v>4</x:v>
      </x:c>
      <x:c r="E1288" s="37" t="str">
        <x:v>0</x:v>
      </x:c>
      <x:c r="F1288" s="37" t="str">
        <x:v>26</x:v>
      </x:c>
      <x:c r="G1288" s="37" t="str">
        <x:v>712.32</x:v>
      </x:c>
      <x:c r="H1288" s="37" t="str">
        <x:v>0.00</x:v>
      </x:c>
      <x:c r="I1288" s="37" t="str">
        <x:v>499.10</x:v>
      </x:c>
      <x:c r="J1288" s="37" t="str">
        <x:v>0.00</x:v>
      </x:c>
      <x:c r="K1288" s="37" t="str">
        <x:v>213.22</x:v>
      </x:c>
      <x:c r="L1288" s="37" t="str">
        <x:v>1249</x:v>
      </x:c>
      <x:c r="M1288" s="29" t="str">
        <x:v>622.30</x:v>
      </x:c>
      <x:c r="N1288" s="29" t="str">
        <x:v>433.26</x:v>
      </x:c>
      <x:c r="O1288" s="29" t="str">
        <x:v>189.04</x:v>
      </x:c>
      <x:c r="P1288" s="18" t="str">
        <x:v>2026-07-22</x:v>
      </x:c>
      <x:c r="Q1288" s="36" t="n">
        <x:v>46225</x:v>
      </x:c>
    </x:row>
    <x:row r="1289">
      <x:c r="A1289" s="36" t="str">
        <x:v>2026-07-21</x:v>
      </x:c>
      <x:c r="B1289" s="18" t="str">
        <x:v>101437000_101531</x:v>
      </x:c>
      <x:c r="C1289" s="18" t="str">
        <x:v>【沪村小电】汇中苑充电站</x:v>
      </x:c>
      <x:c r="D1289" s="37" t="str">
        <x:v>2</x:v>
      </x:c>
      <x:c r="E1289" s="37" t="str">
        <x:v>0</x:v>
      </x:c>
      <x:c r="F1289" s="37" t="str">
        <x:v>12</x:v>
      </x:c>
      <x:c r="G1289" s="37" t="str">
        <x:v>338.40</x:v>
      </x:c>
      <x:c r="H1289" s="37" t="str">
        <x:v>0.00</x:v>
      </x:c>
      <x:c r="I1289" s="37" t="str">
        <x:v>48.73</x:v>
      </x:c>
      <x:c r="J1289" s="37" t="str">
        <x:v>235.90</x:v>
      </x:c>
      <x:c r="K1289" s="37" t="str">
        <x:v>53.77</x:v>
      </x:c>
      <x:c r="L1289" s="37" t="str">
        <x:v>565</x:v>
      </x:c>
      <x:c r="M1289" s="29" t="str">
        <x:v>324.74</x:v>
      </x:c>
      <x:c r="N1289" s="29" t="str">
        <x:v>238.80</x:v>
      </x:c>
      <x:c r="O1289" s="29" t="str">
        <x:v>85.94</x:v>
      </x:c>
      <x:c r="P1289" s="18" t="str">
        <x:v>2026-07-21</x:v>
      </x:c>
      <x:c r="Q1289" s="36" t="n">
        <x:v>46224</x:v>
      </x:c>
    </x:row>
    <x:row r="1290">
      <x:c r="A1290" s="36" t="str">
        <x:v>2026-07-21</x:v>
      </x:c>
      <x:c r="B1290" s="18" t="str">
        <x:v>101437000_102047</x:v>
      </x:c>
      <x:c r="C1290" s="18" t="str">
        <x:v>【沪村小电】后浜小区9弄小区南面停车场充电站</x:v>
      </x:c>
      <x:c r="D1290" s="37" t="str">
        <x:v>8</x:v>
      </x:c>
      <x:c r="E1290" s="37" t="str">
        <x:v>0</x:v>
      </x:c>
      <x:c r="F1290" s="37" t="str">
        <x:v>35</x:v>
      </x:c>
      <x:c r="G1290" s="37" t="str">
        <x:v>756.88</x:v>
      </x:c>
      <x:c r="H1290" s="37" t="str">
        <x:v>0.00</x:v>
      </x:c>
      <x:c r="I1290" s="37" t="str">
        <x:v>637.38</x:v>
      </x:c>
      <x:c r="J1290" s="37" t="str">
        <x:v>0.00</x:v>
      </x:c>
      <x:c r="K1290" s="37" t="str">
        <x:v>119.50</x:v>
      </x:c>
      <x:c r="L1290" s="37" t="str">
        <x:v>1314</x:v>
      </x:c>
      <x:c r="M1290" s="29" t="str">
        <x:v>826.38</x:v>
      </x:c>
      <x:c r="N1290" s="29" t="str">
        <x:v>508.70</x:v>
      </x:c>
      <x:c r="O1290" s="29" t="str">
        <x:v>317.68</x:v>
      </x:c>
      <x:c r="P1290" s="18" t="str">
        <x:v>2026-07-21</x:v>
      </x:c>
      <x:c r="Q1290" s="36" t="n">
        <x:v>46224</x:v>
      </x:c>
    </x:row>
    <x:row r="1291">
      <x:c r="A1291" s="36" t="str">
        <x:v>2026-07-21</x:v>
      </x:c>
      <x:c r="B1291" s="18" t="str">
        <x:v>101437000_103503</x:v>
      </x:c>
      <x:c r="C1291" s="18" t="str">
        <x:v>【沪村小电】阳光城新界充电站</x:v>
      </x:c>
      <x:c r="D1291" s="37" t="str">
        <x:v>4</x:v>
      </x:c>
      <x:c r="E1291" s="37" t="str">
        <x:v>0</x:v>
      </x:c>
      <x:c r="F1291" s="37" t="str">
        <x:v>11</x:v>
      </x:c>
      <x:c r="G1291" s="37" t="str">
        <x:v>322.04</x:v>
      </x:c>
      <x:c r="H1291" s="37" t="str">
        <x:v>0.00</x:v>
      </x:c>
      <x:c r="I1291" s="37" t="str">
        <x:v>263.18</x:v>
      </x:c>
      <x:c r="J1291" s="37" t="str">
        <x:v>0.00</x:v>
      </x:c>
      <x:c r="K1291" s="37" t="str">
        <x:v>58.87</x:v>
      </x:c>
      <x:c r="L1291" s="37" t="str">
        <x:v>449</x:v>
      </x:c>
      <x:c r="M1291" s="29" t="str">
        <x:v>369.37</x:v>
      </x:c>
      <x:c r="N1291" s="29" t="str">
        <x:v>228.84</x:v>
      </x:c>
      <x:c r="O1291" s="29" t="str">
        <x:v>140.53</x:v>
      </x:c>
      <x:c r="P1291" s="18" t="str">
        <x:v>2026-07-21</x:v>
      </x:c>
      <x:c r="Q1291" s="36" t="n">
        <x:v>46224</x:v>
      </x:c>
    </x:row>
    <x:row r="1292">
      <x:c r="A1292" s="36" t="str">
        <x:v>2026-07-21</x:v>
      </x:c>
      <x:c r="B1292" s="18" t="str">
        <x:v>101437000_41561</x:v>
      </x:c>
      <x:c r="C1292" s="18" t="str">
        <x:v>【沪村小电】张施小区大门处快充站</x:v>
      </x:c>
      <x:c r="D1292" s="37" t="str">
        <x:v>2</x:v>
      </x:c>
      <x:c r="E1292" s="37" t="str">
        <x:v>0</x:v>
      </x:c>
      <x:c r="F1292" s="37" t="str">
        <x:v>41</x:v>
      </x:c>
      <x:c r="G1292" s="37" t="str">
        <x:v>1141.61</x:v>
      </x:c>
      <x:c r="H1292" s="37" t="str">
        <x:v>0.00</x:v>
      </x:c>
      <x:c r="I1292" s="37" t="str">
        <x:v>523.45</x:v>
      </x:c>
      <x:c r="J1292" s="37" t="str">
        <x:v>0.00</x:v>
      </x:c>
      <x:c r="K1292" s="37" t="str">
        <x:v>618.16</x:v>
      </x:c>
      <x:c r="L1292" s="37" t="str">
        <x:v>1979</x:v>
      </x:c>
      <x:c r="M1292" s="29" t="str">
        <x:v>840.85</x:v>
      </x:c>
      <x:c r="N1292" s="29" t="str">
        <x:v>600.35</x:v>
      </x:c>
      <x:c r="O1292" s="29" t="str">
        <x:v>240.50</x:v>
      </x:c>
      <x:c r="P1292" s="18" t="str">
        <x:v>2026-07-21</x:v>
      </x:c>
      <x:c r="Q1292" s="36" t="n">
        <x:v>46224</x:v>
      </x:c>
    </x:row>
    <x:row r="1293">
      <x:c r="A1293" s="36" t="str">
        <x:v>2026-07-21</x:v>
      </x:c>
      <x:c r="B1293" s="18" t="str">
        <x:v>101437000_41563</x:v>
      </x:c>
      <x:c r="C1293" s="18" t="str">
        <x:v>【沪村小电】同心村快充站</x:v>
      </x:c>
      <x:c r="D1293" s="37" t="str">
        <x:v>4</x:v>
      </x:c>
      <x:c r="E1293" s="37" t="str">
        <x:v>0</x:v>
      </x:c>
      <x:c r="F1293" s="37" t="str">
        <x:v>62</x:v>
      </x:c>
      <x:c r="G1293" s="37" t="str">
        <x:v>1462.46</x:v>
      </x:c>
      <x:c r="H1293" s="37" t="str">
        <x:v>0.00</x:v>
      </x:c>
      <x:c r="I1293" s="37" t="str">
        <x:v>926.28</x:v>
      </x:c>
      <x:c r="J1293" s="37" t="str">
        <x:v>0.00</x:v>
      </x:c>
      <x:c r="K1293" s="37" t="str">
        <x:v>536.18</x:v>
      </x:c>
      <x:c r="L1293" s="37" t="str">
        <x:v>2481</x:v>
      </x:c>
      <x:c r="M1293" s="29" t="str">
        <x:v>1330.23</x:v>
      </x:c>
      <x:c r="N1293" s="29" t="str">
        <x:v>856.06</x:v>
      </x:c>
      <x:c r="O1293" s="29" t="str">
        <x:v>474.17</x:v>
      </x:c>
      <x:c r="P1293" s="18" t="str">
        <x:v>2026-07-21</x:v>
      </x:c>
      <x:c r="Q1293" s="36" t="n">
        <x:v>46224</x:v>
      </x:c>
    </x:row>
    <x:row r="1294">
      <x:c r="A1294" s="36" t="str">
        <x:v>2026-07-21</x:v>
      </x:c>
      <x:c r="B1294" s="18" t="str">
        <x:v>101437000_69629</x:v>
      </x:c>
      <x:c r="C1294" s="18" t="str">
        <x:v>【沪村小电】骏丰玲珑坊西苑充电站</x:v>
      </x:c>
      <x:c r="D1294" s="37" t="str">
        <x:v>2</x:v>
      </x:c>
      <x:c r="E1294" s="37" t="str">
        <x:v>0</x:v>
      </x:c>
      <x:c r="F1294" s="37" t="str">
        <x:v>68</x:v>
      </x:c>
      <x:c r="G1294" s="37" t="str">
        <x:v>1451.60</x:v>
      </x:c>
      <x:c r="H1294" s="37" t="str">
        <x:v>0.00</x:v>
      </x:c>
      <x:c r="I1294" s="37" t="str">
        <x:v>805.10</x:v>
      </x:c>
      <x:c r="J1294" s="37" t="str">
        <x:v>0.00</x:v>
      </x:c>
      <x:c r="K1294" s="37" t="str">
        <x:v>646.51</x:v>
      </x:c>
      <x:c r="L1294" s="37" t="str">
        <x:v>2599</x:v>
      </x:c>
      <x:c r="M1294" s="29" t="str">
        <x:v>1214.92</x:v>
      </x:c>
      <x:c r="N1294" s="29" t="str">
        <x:v>810.81</x:v>
      </x:c>
      <x:c r="O1294" s="29" t="str">
        <x:v>404.11</x:v>
      </x:c>
      <x:c r="P1294" s="18" t="str">
        <x:v>2026-07-21</x:v>
      </x:c>
      <x:c r="Q1294" s="36" t="n">
        <x:v>46224</x:v>
      </x:c>
    </x:row>
    <x:row r="1295">
      <x:c r="A1295" s="36" t="str">
        <x:v>2026-07-21</x:v>
      </x:c>
      <x:c r="B1295" s="18" t="str">
        <x:v>101437000_70547</x:v>
      </x:c>
      <x:c r="C1295" s="18" t="str">
        <x:v>【沪村小电】农建村初心馆党群服务中心充电站</x:v>
      </x:c>
      <x:c r="D1295" s="37" t="str">
        <x:v>4</x:v>
      </x:c>
      <x:c r="E1295" s="37" t="str">
        <x:v>0</x:v>
      </x:c>
      <x:c r="F1295" s="37" t="str">
        <x:v>31</x:v>
      </x:c>
      <x:c r="G1295" s="37" t="str">
        <x:v>514.59</x:v>
      </x:c>
      <x:c r="H1295" s="37" t="str">
        <x:v>0.00</x:v>
      </x:c>
      <x:c r="I1295" s="37" t="str">
        <x:v>327.23</x:v>
      </x:c>
      <x:c r="J1295" s="37" t="str">
        <x:v>0.00</x:v>
      </x:c>
      <x:c r="K1295" s="37" t="str">
        <x:v>187.36</x:v>
      </x:c>
      <x:c r="L1295" s="37" t="str">
        <x:v>1017</x:v>
      </x:c>
      <x:c r="M1295" s="29" t="str">
        <x:v>472.20</x:v>
      </x:c>
      <x:c r="N1295" s="29" t="str">
        <x:v>301.64</x:v>
      </x:c>
      <x:c r="O1295" s="29" t="str">
        <x:v>170.56</x:v>
      </x:c>
      <x:c r="P1295" s="18" t="str">
        <x:v>2026-07-21</x:v>
      </x:c>
      <x:c r="Q1295" s="36" t="n">
        <x:v>46224</x:v>
      </x:c>
    </x:row>
    <x:row r="1296">
      <x:c r="A1296" s="36" t="str">
        <x:v>2026-07-21</x:v>
      </x:c>
      <x:c r="B1296" s="18" t="str">
        <x:v>101437000_70549</x:v>
      </x:c>
      <x:c r="C1296" s="18" t="str">
        <x:v>【沪村小电】学府路充电站</x:v>
      </x:c>
      <x:c r="D1296" s="37" t="str">
        <x:v>2</x:v>
      </x:c>
      <x:c r="E1296" s="37" t="str">
        <x:v>0</x:v>
      </x:c>
      <x:c r="F1296" s="37" t="str">
        <x:v>2</x:v>
      </x:c>
      <x:c r="G1296" s="37" t="str">
        <x:v>59.30</x:v>
      </x:c>
      <x:c r="H1296" s="37" t="str">
        <x:v>0.00</x:v>
      </x:c>
      <x:c r="I1296" s="37" t="str">
        <x:v>1.99</x:v>
      </x:c>
      <x:c r="J1296" s="37" t="str">
        <x:v>0.00</x:v>
      </x:c>
      <x:c r="K1296" s="37" t="str">
        <x:v>57.31</x:v>
      </x:c>
      <x:c r="L1296" s="37" t="str">
        <x:v>108</x:v>
      </x:c>
      <x:c r="M1296" s="29" t="str">
        <x:v>38.66</x:v>
      </x:c>
      <x:c r="N1296" s="29" t="str">
        <x:v>22.61</x:v>
      </x:c>
      <x:c r="O1296" s="29" t="str">
        <x:v>16.05</x:v>
      </x:c>
      <x:c r="P1296" s="18" t="str">
        <x:v>2026-07-21</x:v>
      </x:c>
      <x:c r="Q1296" s="36" t="n">
        <x:v>46224</x:v>
      </x:c>
    </x:row>
    <x:row r="1297">
      <x:c r="A1297" s="36" t="str">
        <x:v>2026-07-21</x:v>
      </x:c>
      <x:c r="B1297" s="18" t="str">
        <x:v>101437000_71059</x:v>
      </x:c>
      <x:c r="C1297" s="18" t="str">
        <x:v>【沪村小电】宝乐汇商业广场站</x:v>
      </x:c>
      <x:c r="D1297" s="37" t="str">
        <x:v>4</x:v>
      </x:c>
      <x:c r="E1297" s="37" t="str">
        <x:v>0</x:v>
      </x:c>
      <x:c r="F1297" s="37" t="str">
        <x:v>15</x:v>
      </x:c>
      <x:c r="G1297" s="37" t="str">
        <x:v>396.25</x:v>
      </x:c>
      <x:c r="H1297" s="37" t="str">
        <x:v>0.00</x:v>
      </x:c>
      <x:c r="I1297" s="37" t="str">
        <x:v>206.59</x:v>
      </x:c>
      <x:c r="J1297" s="37" t="str">
        <x:v>0.00</x:v>
      </x:c>
      <x:c r="K1297" s="37" t="str">
        <x:v>189.66</x:v>
      </x:c>
      <x:c r="L1297" s="37" t="str">
        <x:v>597</x:v>
      </x:c>
      <x:c r="M1297" s="29" t="str">
        <x:v>398.08</x:v>
      </x:c>
      <x:c r="N1297" s="29" t="str">
        <x:v>273.18</x:v>
      </x:c>
      <x:c r="O1297" s="29" t="str">
        <x:v>124.90</x:v>
      </x:c>
      <x:c r="P1297" s="18" t="str">
        <x:v>2026-07-21</x:v>
      </x:c>
      <x:c r="Q1297" s="36" t="n">
        <x:v>46224</x:v>
      </x:c>
    </x:row>
    <x:row r="1298">
      <x:c r="A1298" s="36" t="str">
        <x:v>2026-07-21</x:v>
      </x:c>
      <x:c r="B1298" s="18" t="str">
        <x:v>101437000_72541</x:v>
      </x:c>
      <x:c r="C1298" s="18" t="str">
        <x:v>【沪村小电】九干路1174弄充电站</x:v>
      </x:c>
      <x:c r="D1298" s="37" t="str">
        <x:v>2</x:v>
      </x:c>
      <x:c r="E1298" s="37" t="str">
        <x:v>0</x:v>
      </x:c>
      <x:c r="F1298" s="37" t="str">
        <x:v>48</x:v>
      </x:c>
      <x:c r="G1298" s="37" t="str">
        <x:v>1057.94</x:v>
      </x:c>
      <x:c r="H1298" s="37" t="str">
        <x:v>0.00</x:v>
      </x:c>
      <x:c r="I1298" s="37" t="str">
        <x:v>607.90</x:v>
      </x:c>
      <x:c r="J1298" s="37" t="str">
        <x:v>0.00</x:v>
      </x:c>
      <x:c r="K1298" s="37" t="str">
        <x:v>450.04</x:v>
      </x:c>
      <x:c r="L1298" s="37" t="str">
        <x:v>1736</x:v>
      </x:c>
      <x:c r="M1298" s="29" t="str">
        <x:v>855.31</x:v>
      </x:c>
      <x:c r="N1298" s="29" t="str">
        <x:v>598.12</x:v>
      </x:c>
      <x:c r="O1298" s="29" t="str">
        <x:v>257.19</x:v>
      </x:c>
      <x:c r="P1298" s="18" t="str">
        <x:v>2026-07-21</x:v>
      </x:c>
      <x:c r="Q1298" s="36" t="n">
        <x:v>46224</x:v>
      </x:c>
    </x:row>
    <x:row r="1299">
      <x:c r="A1299" s="36" t="str">
        <x:v>2026-07-21</x:v>
      </x:c>
      <x:c r="B1299" s="18" t="str">
        <x:v>101437000_72543</x:v>
      </x:c>
      <x:c r="C1299" s="18" t="str">
        <x:v>【沪村小电】叶家中心村小区充电站</x:v>
      </x:c>
      <x:c r="D1299" s="37" t="str">
        <x:v>2</x:v>
      </x:c>
      <x:c r="E1299" s="37" t="str">
        <x:v>0</x:v>
      </x:c>
      <x:c r="F1299" s="37" t="str">
        <x:v>41</x:v>
      </x:c>
      <x:c r="G1299" s="37" t="str">
        <x:v>950.06</x:v>
      </x:c>
      <x:c r="H1299" s="37" t="str">
        <x:v>0.00</x:v>
      </x:c>
      <x:c r="I1299" s="37" t="str">
        <x:v>468.00</x:v>
      </x:c>
      <x:c r="J1299" s="37" t="str">
        <x:v>0.00</x:v>
      </x:c>
      <x:c r="K1299" s="37" t="str">
        <x:v>482.07</x:v>
      </x:c>
      <x:c r="L1299" s="37" t="str">
        <x:v>1806</x:v>
      </x:c>
      <x:c r="M1299" s="29" t="str">
        <x:v>769.33</x:v>
      </x:c>
      <x:c r="N1299" s="29" t="str">
        <x:v>510.68</x:v>
      </x:c>
      <x:c r="O1299" s="29" t="str">
        <x:v>258.65</x:v>
      </x:c>
      <x:c r="P1299" s="18" t="str">
        <x:v>2026-07-21</x:v>
      </x:c>
      <x:c r="Q1299" s="36" t="n">
        <x:v>46224</x:v>
      </x:c>
    </x:row>
    <x:row r="1300">
      <x:c r="A1300" s="36" t="str">
        <x:v>2026-07-21</x:v>
      </x:c>
      <x:c r="B1300" s="18" t="str">
        <x:v>101437000_72937</x:v>
      </x:c>
      <x:c r="C1300" s="18" t="str">
        <x:v>【沪村小电】佘北家园茸腾苑充电站</x:v>
      </x:c>
      <x:c r="D1300" s="37" t="str">
        <x:v>4</x:v>
      </x:c>
      <x:c r="E1300" s="37" t="str">
        <x:v>0</x:v>
      </x:c>
      <x:c r="F1300" s="37" t="str">
        <x:v>11</x:v>
      </x:c>
      <x:c r="G1300" s="37" t="str">
        <x:v>164.76</x:v>
      </x:c>
      <x:c r="H1300" s="37" t="str">
        <x:v>0.00</x:v>
      </x:c>
      <x:c r="I1300" s="37" t="str">
        <x:v>164.76</x:v>
      </x:c>
      <x:c r="J1300" s="37" t="str">
        <x:v>0.00</x:v>
      </x:c>
      <x:c r="K1300" s="37" t="str">
        <x:v>0.00</x:v>
      </x:c>
      <x:c r="L1300" s="37" t="str">
        <x:v>296</x:v>
      </x:c>
      <x:c r="M1300" s="29" t="str">
        <x:v>156.10</x:v>
      </x:c>
      <x:c r="N1300" s="29" t="str">
        <x:v>116.97</x:v>
      </x:c>
      <x:c r="O1300" s="29" t="str">
        <x:v>39.13</x:v>
      </x:c>
      <x:c r="P1300" s="18" t="str">
        <x:v>2026-07-21</x:v>
      </x:c>
      <x:c r="Q1300" s="36" t="n">
        <x:v>46224</x:v>
      </x:c>
    </x:row>
    <x:row r="1301">
      <x:c r="A1301" s="36" t="str">
        <x:v>2026-07-21</x:v>
      </x:c>
      <x:c r="B1301" s="18" t="str">
        <x:v>101437000_74223</x:v>
      </x:c>
      <x:c r="C1301" s="18" t="str">
        <x:v>【沪村小电】中兴村委会充电站</x:v>
      </x:c>
      <x:c r="D1301" s="37" t="str">
        <x:v>2</x:v>
      </x:c>
      <x:c r="E1301" s="37" t="str">
        <x:v>0</x:v>
      </x:c>
      <x:c r="F1301" s="37" t="str">
        <x:v>19</x:v>
      </x:c>
      <x:c r="G1301" s="37" t="str">
        <x:v>518.46</x:v>
      </x:c>
      <x:c r="H1301" s="37" t="str">
        <x:v>0.00</x:v>
      </x:c>
      <x:c r="I1301" s="37" t="str">
        <x:v>492.78</x:v>
      </x:c>
      <x:c r="J1301" s="37" t="str">
        <x:v>0.00</x:v>
      </x:c>
      <x:c r="K1301" s="37" t="str">
        <x:v>25.68</x:v>
      </x:c>
      <x:c r="L1301" s="37" t="str">
        <x:v>751</x:v>
      </x:c>
      <x:c r="M1301" s="29" t="str">
        <x:v>515.27</x:v>
      </x:c>
      <x:c r="N1301" s="29" t="str">
        <x:v>359.40</x:v>
      </x:c>
      <x:c r="O1301" s="29" t="str">
        <x:v>155.87</x:v>
      </x:c>
      <x:c r="P1301" s="18" t="str">
        <x:v>2026-07-21</x:v>
      </x:c>
      <x:c r="Q1301" s="36" t="n">
        <x:v>46224</x:v>
      </x:c>
    </x:row>
    <x:row r="1302">
      <x:c r="A1302" s="36" t="str">
        <x:v>2026-07-21</x:v>
      </x:c>
      <x:c r="B1302" s="18" t="str">
        <x:v>101437000_74801</x:v>
      </x:c>
      <x:c r="C1302" s="18" t="str">
        <x:v>【沪村小电】申良花园充电站</x:v>
      </x:c>
      <x:c r="D1302" s="37" t="str">
        <x:v>4</x:v>
      </x:c>
      <x:c r="E1302" s="37" t="str">
        <x:v>0</x:v>
      </x:c>
      <x:c r="F1302" s="37" t="str">
        <x:v>10</x:v>
      </x:c>
      <x:c r="G1302" s="37" t="str">
        <x:v>151.20</x:v>
      </x:c>
      <x:c r="H1302" s="37" t="str">
        <x:v>0.00</x:v>
      </x:c>
      <x:c r="I1302" s="37" t="str">
        <x:v>150.31</x:v>
      </x:c>
      <x:c r="J1302" s="37" t="str">
        <x:v>0.00</x:v>
      </x:c>
      <x:c r="K1302" s="37" t="str">
        <x:v>0.89</x:v>
      </x:c>
      <x:c r="L1302" s="37" t="str">
        <x:v>202</x:v>
      </x:c>
      <x:c r="M1302" s="29" t="str">
        <x:v>154.09</x:v>
      </x:c>
      <x:c r="N1302" s="29" t="str">
        <x:v>107.05</x:v>
      </x:c>
      <x:c r="O1302" s="29" t="str">
        <x:v>47.04</x:v>
      </x:c>
      <x:c r="P1302" s="18" t="str">
        <x:v>2026-07-21</x:v>
      </x:c>
      <x:c r="Q1302" s="36" t="n">
        <x:v>46224</x:v>
      </x:c>
    </x:row>
    <x:row r="1303">
      <x:c r="A1303" s="36" t="str">
        <x:v>2026-07-21</x:v>
      </x:c>
      <x:c r="B1303" s="18" t="str">
        <x:v>101437000_74931</x:v>
      </x:c>
      <x:c r="C1303" s="18" t="str">
        <x:v>【沪村小电】枫雅南居充电站</x:v>
      </x:c>
      <x:c r="D1303" s="37" t="str">
        <x:v>2</x:v>
      </x:c>
      <x:c r="E1303" s="37" t="str">
        <x:v>0</x:v>
      </x:c>
      <x:c r="F1303" s="37" t="str">
        <x:v>63</x:v>
      </x:c>
      <x:c r="G1303" s="37" t="str">
        <x:v>1813.12</x:v>
      </x:c>
      <x:c r="H1303" s="37" t="str">
        <x:v>0.00</x:v>
      </x:c>
      <x:c r="I1303" s="37" t="str">
        <x:v>1004.02</x:v>
      </x:c>
      <x:c r="J1303" s="37" t="str">
        <x:v>0.00</x:v>
      </x:c>
      <x:c r="K1303" s="37" t="str">
        <x:v>809.10</x:v>
      </x:c>
      <x:c r="L1303" s="37" t="str">
        <x:v>2924</x:v>
      </x:c>
      <x:c r="M1303" s="29" t="str">
        <x:v>1318.85</x:v>
      </x:c>
      <x:c r="N1303" s="29" t="str">
        <x:v>843.18</x:v>
      </x:c>
      <x:c r="O1303" s="29" t="str">
        <x:v>475.67</x:v>
      </x:c>
      <x:c r="P1303" s="18" t="str">
        <x:v>2026-07-21</x:v>
      </x:c>
      <x:c r="Q1303" s="36" t="n">
        <x:v>46224</x:v>
      </x:c>
    </x:row>
    <x:row r="1304">
      <x:c r="A1304" s="36" t="str">
        <x:v>2026-07-21</x:v>
      </x:c>
      <x:c r="B1304" s="18" t="str">
        <x:v>101437000_75901</x:v>
      </x:c>
      <x:c r="C1304" s="18" t="str">
        <x:v>【沪村小电】金悦学府</x:v>
      </x:c>
      <x:c r="D1304" s="37" t="str">
        <x:v>2</x:v>
      </x:c>
      <x:c r="E1304" s="37" t="str">
        <x:v>0</x:v>
      </x:c>
      <x:c r="F1304" s="37" t="str">
        <x:v>66</x:v>
      </x:c>
      <x:c r="G1304" s="37" t="str">
        <x:v>1689.31</x:v>
      </x:c>
      <x:c r="H1304" s="37" t="str">
        <x:v>0.00</x:v>
      </x:c>
      <x:c r="I1304" s="37" t="str">
        <x:v>978.78</x:v>
      </x:c>
      <x:c r="J1304" s="37" t="str">
        <x:v>0.00</x:v>
      </x:c>
      <x:c r="K1304" s="37" t="str">
        <x:v>710.52</x:v>
      </x:c>
      <x:c r="L1304" s="37" t="str">
        <x:v>2422</x:v>
      </x:c>
      <x:c r="M1304" s="29" t="str">
        <x:v>1316.90</x:v>
      </x:c>
      <x:c r="N1304" s="29" t="str">
        <x:v>797.73</x:v>
      </x:c>
      <x:c r="O1304" s="29" t="str">
        <x:v>519.17</x:v>
      </x:c>
      <x:c r="P1304" s="18" t="str">
        <x:v>2026-07-21</x:v>
      </x:c>
      <x:c r="Q1304" s="36" t="n">
        <x:v>46224</x:v>
      </x:c>
    </x:row>
    <x:row r="1305">
      <x:c r="A1305" s="36" t="str">
        <x:v>2026-07-21</x:v>
      </x:c>
      <x:c r="B1305" s="18" t="str">
        <x:v>101437000_76091</x:v>
      </x:c>
      <x:c r="C1305" s="18" t="str">
        <x:v>【沪村小电】恒信家园充电站</x:v>
      </x:c>
      <x:c r="D1305" s="37" t="str">
        <x:v>2</x:v>
      </x:c>
      <x:c r="E1305" s="37" t="str">
        <x:v>0</x:v>
      </x:c>
      <x:c r="F1305" s="37" t="str">
        <x:v>57</x:v>
      </x:c>
      <x:c r="G1305" s="37" t="str">
        <x:v>647.10</x:v>
      </x:c>
      <x:c r="H1305" s="37" t="str">
        <x:v>0.00</x:v>
      </x:c>
      <x:c r="I1305" s="37" t="str">
        <x:v>529.31</x:v>
      </x:c>
      <x:c r="J1305" s="37" t="str">
        <x:v>0.00</x:v>
      </x:c>
      <x:c r="K1305" s="37" t="str">
        <x:v>117.79</x:v>
      </x:c>
      <x:c r="L1305" s="37" t="str">
        <x:v>1087</x:v>
      </x:c>
      <x:c r="M1305" s="29" t="str">
        <x:v>692.74</x:v>
      </x:c>
      <x:c r="N1305" s="29" t="str">
        <x:v>419.41</x:v>
      </x:c>
      <x:c r="O1305" s="29" t="str">
        <x:v>273.33</x:v>
      </x:c>
      <x:c r="P1305" s="18" t="str">
        <x:v>2026-07-21</x:v>
      </x:c>
      <x:c r="Q1305" s="36" t="n">
        <x:v>46224</x:v>
      </x:c>
    </x:row>
    <x:row r="1306">
      <x:c r="A1306" s="36" t="str">
        <x:v>2026-07-21</x:v>
      </x:c>
      <x:c r="B1306" s="18" t="str">
        <x:v>101437000_76417</x:v>
      </x:c>
      <x:c r="C1306" s="18" t="str">
        <x:v>【沪村小电】新春一组充电站</x:v>
      </x:c>
      <x:c r="D1306" s="37" t="str">
        <x:v>2</x:v>
      </x:c>
      <x:c r="E1306" s="37" t="str">
        <x:v>0</x:v>
      </x:c>
      <x:c r="F1306" s="37" t="str">
        <x:v>30</x:v>
      </x:c>
      <x:c r="G1306" s="37" t="str">
        <x:v>731.92</x:v>
      </x:c>
      <x:c r="H1306" s="37" t="str">
        <x:v>0.00</x:v>
      </x:c>
      <x:c r="I1306" s="37" t="str">
        <x:v>261.36</x:v>
      </x:c>
      <x:c r="J1306" s="37" t="str">
        <x:v>0.00</x:v>
      </x:c>
      <x:c r="K1306" s="37" t="str">
        <x:v>470.55</x:v>
      </x:c>
      <x:c r="L1306" s="37" t="str">
        <x:v>1124</x:v>
      </x:c>
      <x:c r="M1306" s="29" t="str">
        <x:v>553.71</x:v>
      </x:c>
      <x:c r="N1306" s="29" t="str">
        <x:v>359.69</x:v>
      </x:c>
      <x:c r="O1306" s="29" t="str">
        <x:v>194.02</x:v>
      </x:c>
      <x:c r="P1306" s="18" t="str">
        <x:v>2026-07-21</x:v>
      </x:c>
      <x:c r="Q1306" s="36" t="n">
        <x:v>46224</x:v>
      </x:c>
    </x:row>
    <x:row r="1307">
      <x:c r="A1307" s="36" t="str">
        <x:v>2026-07-21</x:v>
      </x:c>
      <x:c r="B1307" s="18" t="str">
        <x:v>101437000_78235</x:v>
      </x:c>
      <x:c r="C1307" s="18" t="str">
        <x:v>【沪村小电】欣秋苑充电站</x:v>
      </x:c>
      <x:c r="D1307" s="37" t="str">
        <x:v>4</x:v>
      </x:c>
      <x:c r="E1307" s="37" t="str">
        <x:v>0</x:v>
      </x:c>
      <x:c r="F1307" s="37" t="str">
        <x:v>19</x:v>
      </x:c>
      <x:c r="G1307" s="37" t="str">
        <x:v>506.37</x:v>
      </x:c>
      <x:c r="H1307" s="37" t="str">
        <x:v>0.00</x:v>
      </x:c>
      <x:c r="I1307" s="37" t="str">
        <x:v>273.67</x:v>
      </x:c>
      <x:c r="J1307" s="37" t="str">
        <x:v>0.00</x:v>
      </x:c>
      <x:c r="K1307" s="37" t="str">
        <x:v>232.70</x:v>
      </x:c>
      <x:c r="L1307" s="37" t="str">
        <x:v>777</x:v>
      </x:c>
      <x:c r="M1307" s="29" t="str">
        <x:v>420.67</x:v>
      </x:c>
      <x:c r="N1307" s="29" t="str">
        <x:v>280.41</x:v>
      </x:c>
      <x:c r="O1307" s="29" t="str">
        <x:v>140.26</x:v>
      </x:c>
      <x:c r="P1307" s="18" t="str">
        <x:v>2026-07-21</x:v>
      </x:c>
      <x:c r="Q1307" s="36" t="n">
        <x:v>46224</x:v>
      </x:c>
    </x:row>
    <x:row r="1308">
      <x:c r="A1308" s="36" t="str">
        <x:v>2026-07-21</x:v>
      </x:c>
      <x:c r="B1308" s="18" t="str">
        <x:v>101437000_78237</x:v>
      </x:c>
      <x:c r="C1308" s="18" t="str">
        <x:v>【沪村小电】奉馨苑西门小区内北侧充电站</x:v>
      </x:c>
      <x:c r="D1308" s="37" t="str">
        <x:v>2</x:v>
      </x:c>
      <x:c r="E1308" s="37" t="str">
        <x:v>0</x:v>
      </x:c>
      <x:c r="F1308" s="37" t="str">
        <x:v>29</x:v>
      </x:c>
      <x:c r="G1308" s="37" t="str">
        <x:v>945.82</x:v>
      </x:c>
      <x:c r="H1308" s="37" t="str">
        <x:v>10.29</x:v>
      </x:c>
      <x:c r="I1308" s="37" t="str">
        <x:v>167.65</x:v>
      </x:c>
      <x:c r="J1308" s="37" t="str">
        <x:v>287.58</x:v>
      </x:c>
      <x:c r="K1308" s="37" t="str">
        <x:v>480.29</x:v>
      </x:c>
      <x:c r="L1308" s="37" t="str">
        <x:v>1220</x:v>
      </x:c>
      <x:c r="M1308" s="29" t="str">
        <x:v>776.61</x:v>
      </x:c>
      <x:c r="N1308" s="29" t="str">
        <x:v>590.36</x:v>
      </x:c>
      <x:c r="O1308" s="29" t="str">
        <x:v>186.25</x:v>
      </x:c>
      <x:c r="P1308" s="18" t="str">
        <x:v>2026-07-21</x:v>
      </x:c>
      <x:c r="Q1308" s="36" t="n">
        <x:v>46224</x:v>
      </x:c>
    </x:row>
    <x:row r="1309">
      <x:c r="A1309" s="36" t="str">
        <x:v>2026-07-21</x:v>
      </x:c>
      <x:c r="B1309" s="18" t="str">
        <x:v>101437000_78239</x:v>
      </x:c>
      <x:c r="C1309" s="18" t="str">
        <x:v>【沪村小电】恒大佘山首府东门充电站</x:v>
      </x:c>
      <x:c r="D1309" s="37" t="str">
        <x:v>2</x:v>
      </x:c>
      <x:c r="E1309" s="37" t="str">
        <x:v>0</x:v>
      </x:c>
      <x:c r="F1309" s="37" t="str">
        <x:v>52</x:v>
      </x:c>
      <x:c r="G1309" s="37" t="str">
        <x:v>1210.94</x:v>
      </x:c>
      <x:c r="H1309" s="37" t="str">
        <x:v>0.00</x:v>
      </x:c>
      <x:c r="I1309" s="37" t="str">
        <x:v>646.53</x:v>
      </x:c>
      <x:c r="J1309" s="37" t="str">
        <x:v>0.00</x:v>
      </x:c>
      <x:c r="K1309" s="37" t="str">
        <x:v>564.41</x:v>
      </x:c>
      <x:c r="L1309" s="37" t="str">
        <x:v>1879</x:v>
      </x:c>
      <x:c r="M1309" s="29" t="str">
        <x:v>975.98</x:v>
      </x:c>
      <x:c r="N1309" s="29" t="str">
        <x:v>667.87</x:v>
      </x:c>
      <x:c r="O1309" s="29" t="str">
        <x:v>308.11</x:v>
      </x:c>
      <x:c r="P1309" s="18" t="str">
        <x:v>2026-07-21</x:v>
      </x:c>
      <x:c r="Q1309" s="36" t="n">
        <x:v>46224</x:v>
      </x:c>
    </x:row>
    <x:row r="1310">
      <x:c r="A1310" s="36" t="str">
        <x:v>2026-07-21</x:v>
      </x:c>
      <x:c r="B1310" s="18" t="str">
        <x:v>101437000_83019</x:v>
      </x:c>
      <x:c r="C1310" s="18" t="str">
        <x:v>【沪村小电】首创禧瑞云启东区充电站</x:v>
      </x:c>
      <x:c r="D1310" s="37" t="str">
        <x:v>2</x:v>
      </x:c>
      <x:c r="E1310" s="37" t="str">
        <x:v>0</x:v>
      </x:c>
      <x:c r="F1310" s="37" t="str">
        <x:v>28</x:v>
      </x:c>
      <x:c r="G1310" s="37" t="str">
        <x:v>660.48</x:v>
      </x:c>
      <x:c r="H1310" s="37" t="str">
        <x:v>0.00</x:v>
      </x:c>
      <x:c r="I1310" s="37" t="str">
        <x:v>429.24</x:v>
      </x:c>
      <x:c r="J1310" s="37" t="str">
        <x:v>0.00</x:v>
      </x:c>
      <x:c r="K1310" s="37" t="str">
        <x:v>231.24</x:v>
      </x:c>
      <x:c r="L1310" s="37" t="str">
        <x:v>863</x:v>
      </x:c>
      <x:c r="M1310" s="29" t="str">
        <x:v>626.16</x:v>
      </x:c>
      <x:c r="N1310" s="29" t="str">
        <x:v>390.31</x:v>
      </x:c>
      <x:c r="O1310" s="29" t="str">
        <x:v>235.85</x:v>
      </x:c>
      <x:c r="P1310" s="18" t="str">
        <x:v>2026-07-21</x:v>
      </x:c>
      <x:c r="Q1310" s="36" t="n">
        <x:v>46224</x:v>
      </x:c>
    </x:row>
    <x:row r="1311">
      <x:c r="A1311" s="36" t="str">
        <x:v>2026-07-21</x:v>
      </x:c>
      <x:c r="B1311" s="18" t="str">
        <x:v>101437000_83093</x:v>
      </x:c>
      <x:c r="C1311" s="18" t="str">
        <x:v>【沪村小电】金茂未来时光里</x:v>
      </x:c>
      <x:c r="D1311" s="37" t="str">
        <x:v>2</x:v>
      </x:c>
      <x:c r="E1311" s="37" t="str">
        <x:v>0</x:v>
      </x:c>
      <x:c r="F1311" s="37" t="str">
        <x:v>63</x:v>
      </x:c>
      <x:c r="G1311" s="37" t="str">
        <x:v>2010.79</x:v>
      </x:c>
      <x:c r="H1311" s="37" t="str">
        <x:v>0.00</x:v>
      </x:c>
      <x:c r="I1311" s="37" t="str">
        <x:v>967.84</x:v>
      </x:c>
      <x:c r="J1311" s="37" t="str">
        <x:v>0.00</x:v>
      </x:c>
      <x:c r="K1311" s="37" t="str">
        <x:v>1042.96</x:v>
      </x:c>
      <x:c r="L1311" s="37" t="str">
        <x:v>2772</x:v>
      </x:c>
      <x:c r="M1311" s="29" t="str">
        <x:v>1366.99</x:v>
      </x:c>
      <x:c r="N1311" s="29" t="str">
        <x:v>894.36</x:v>
      </x:c>
      <x:c r="O1311" s="29" t="str">
        <x:v>472.63</x:v>
      </x:c>
      <x:c r="P1311" s="18" t="str">
        <x:v>2026-07-21</x:v>
      </x:c>
      <x:c r="Q1311" s="36" t="n">
        <x:v>46224</x:v>
      </x:c>
    </x:row>
    <x:row r="1312">
      <x:c r="A1312" s="36" t="str">
        <x:v>2026-07-21</x:v>
      </x:c>
      <x:c r="B1312" s="18" t="str">
        <x:v>101437000_83911</x:v>
      </x:c>
      <x:c r="C1312" s="18" t="str">
        <x:v>【沪村小电】金瀚园充电站</x:v>
      </x:c>
      <x:c r="D1312" s="37" t="str">
        <x:v>2</x:v>
      </x:c>
      <x:c r="E1312" s="37" t="str">
        <x:v>0</x:v>
      </x:c>
      <x:c r="F1312" s="37" t="str">
        <x:v>35</x:v>
      </x:c>
      <x:c r="G1312" s="37" t="str">
        <x:v>858.66</x:v>
      </x:c>
      <x:c r="H1312" s="37" t="str">
        <x:v>0.00</x:v>
      </x:c>
      <x:c r="I1312" s="37" t="str">
        <x:v>399.01</x:v>
      </x:c>
      <x:c r="J1312" s="37" t="str">
        <x:v>0.00</x:v>
      </x:c>
      <x:c r="K1312" s="37" t="str">
        <x:v>459.66</x:v>
      </x:c>
      <x:c r="L1312" s="37" t="str">
        <x:v>1278</x:v>
      </x:c>
      <x:c r="M1312" s="29" t="str">
        <x:v>688.73</x:v>
      </x:c>
      <x:c r="N1312" s="29" t="str">
        <x:v>453.41</x:v>
      </x:c>
      <x:c r="O1312" s="29" t="str">
        <x:v>235.32</x:v>
      </x:c>
      <x:c r="P1312" s="18" t="str">
        <x:v>2026-07-21</x:v>
      </x:c>
      <x:c r="Q1312" s="36" t="n">
        <x:v>46224</x:v>
      </x:c>
    </x:row>
    <x:row r="1313">
      <x:c r="A1313" s="36" t="str">
        <x:v>2026-07-21</x:v>
      </x:c>
      <x:c r="B1313" s="18" t="str">
        <x:v>101437000_83913</x:v>
      </x:c>
      <x:c r="C1313" s="18" t="str">
        <x:v>【沪村小电】新黎村充电站</x:v>
      </x:c>
      <x:c r="D1313" s="37" t="str">
        <x:v>2</x:v>
      </x:c>
      <x:c r="E1313" s="37" t="str">
        <x:v>0</x:v>
      </x:c>
      <x:c r="F1313" s="37" t="str">
        <x:v>59</x:v>
      </x:c>
      <x:c r="G1313" s="37" t="str">
        <x:v>1464.30</x:v>
      </x:c>
      <x:c r="H1313" s="37" t="str">
        <x:v>0.00</x:v>
      </x:c>
      <x:c r="I1313" s="37" t="str">
        <x:v>1072.71</x:v>
      </x:c>
      <x:c r="J1313" s="37" t="str">
        <x:v>0.00</x:v>
      </x:c>
      <x:c r="K1313" s="37" t="str">
        <x:v>391.59</x:v>
      </x:c>
      <x:c r="L1313" s="37" t="str">
        <x:v>2333</x:v>
      </x:c>
      <x:c r="M1313" s="29" t="str">
        <x:v>1363.65</x:v>
      </x:c>
      <x:c r="N1313" s="29" t="str">
        <x:v>906.51</x:v>
      </x:c>
      <x:c r="O1313" s="29" t="str">
        <x:v>457.14</x:v>
      </x:c>
      <x:c r="P1313" s="18" t="str">
        <x:v>2026-07-21</x:v>
      </x:c>
      <x:c r="Q1313" s="36" t="n">
        <x:v>46224</x:v>
      </x:c>
    </x:row>
    <x:row r="1314">
      <x:c r="A1314" s="36" t="str">
        <x:v>2026-07-21</x:v>
      </x:c>
      <x:c r="B1314" s="18" t="str">
        <x:v>101437000_83915</x:v>
      </x:c>
      <x:c r="C1314" s="18" t="str">
        <x:v>【沪村小电】长泰西郊别墅充电站</x:v>
      </x:c>
      <x:c r="D1314" s="37" t="str">
        <x:v>2</x:v>
      </x:c>
      <x:c r="E1314" s="37" t="str">
        <x:v>0</x:v>
      </x:c>
      <x:c r="F1314" s="37" t="str">
        <x:v>16</x:v>
      </x:c>
      <x:c r="G1314" s="37" t="str">
        <x:v>360.60</x:v>
      </x:c>
      <x:c r="H1314" s="37" t="str">
        <x:v>0.00</x:v>
      </x:c>
      <x:c r="I1314" s="37" t="str">
        <x:v>259.00</x:v>
      </x:c>
      <x:c r="J1314" s="37" t="str">
        <x:v>0.00</x:v>
      </x:c>
      <x:c r="K1314" s="37" t="str">
        <x:v>101.61</x:v>
      </x:c>
      <x:c r="L1314" s="37" t="str">
        <x:v>532</x:v>
      </x:c>
      <x:c r="M1314" s="29" t="str">
        <x:v>337.65</x:v>
      </x:c>
      <x:c r="N1314" s="29" t="str">
        <x:v>221.47</x:v>
      </x:c>
      <x:c r="O1314" s="29" t="str">
        <x:v>116.18</x:v>
      </x:c>
      <x:c r="P1314" s="18" t="str">
        <x:v>2026-07-21</x:v>
      </x:c>
      <x:c r="Q1314" s="36" t="n">
        <x:v>46224</x:v>
      </x:c>
    </x:row>
    <x:row r="1315">
      <x:c r="A1315" s="36" t="str">
        <x:v>2026-07-21</x:v>
      </x:c>
      <x:c r="B1315" s="18" t="str">
        <x:v>101437000_83917</x:v>
      </x:c>
      <x:c r="C1315" s="18" t="str">
        <x:v>【沪村小电】旭新华庭充电站</x:v>
      </x:c>
      <x:c r="D1315" s="37" t="str">
        <x:v>4</x:v>
      </x:c>
      <x:c r="E1315" s="37" t="str">
        <x:v>0</x:v>
      </x:c>
      <x:c r="F1315" s="37" t="str">
        <x:v>26</x:v>
      </x:c>
      <x:c r="G1315" s="37" t="str">
        <x:v>559.99</x:v>
      </x:c>
      <x:c r="H1315" s="37" t="str">
        <x:v>0.00</x:v>
      </x:c>
      <x:c r="I1315" s="37" t="str">
        <x:v>413.09</x:v>
      </x:c>
      <x:c r="J1315" s="37" t="str">
        <x:v>0.00</x:v>
      </x:c>
      <x:c r="K1315" s="37" t="str">
        <x:v>146.90</x:v>
      </x:c>
      <x:c r="L1315" s="37" t="str">
        <x:v>932</x:v>
      </x:c>
      <x:c r="M1315" s="29" t="str">
        <x:v>550.80</x:v>
      </x:c>
      <x:c r="N1315" s="29" t="str">
        <x:v>347.63</x:v>
      </x:c>
      <x:c r="O1315" s="29" t="str">
        <x:v>203.17</x:v>
      </x:c>
      <x:c r="P1315" s="18" t="str">
        <x:v>2026-07-21</x:v>
      </x:c>
      <x:c r="Q1315" s="36" t="n">
        <x:v>46224</x:v>
      </x:c>
    </x:row>
    <x:row r="1316">
      <x:c r="A1316" s="36" t="str">
        <x:v>2026-07-21</x:v>
      </x:c>
      <x:c r="B1316" s="18" t="str">
        <x:v>101437000_83919</x:v>
      </x:c>
      <x:c r="C1316" s="18" t="str">
        <x:v>【沪村小电】浦锦名仕嘉园充电站</x:v>
      </x:c>
      <x:c r="D1316" s="37" t="str">
        <x:v>4</x:v>
      </x:c>
      <x:c r="E1316" s="37" t="str">
        <x:v>0</x:v>
      </x:c>
      <x:c r="F1316" s="37" t="str">
        <x:v>31</x:v>
      </x:c>
      <x:c r="G1316" s="37" t="str">
        <x:v>644.13</x:v>
      </x:c>
      <x:c r="H1316" s="37" t="str">
        <x:v>0.00</x:v>
      </x:c>
      <x:c r="I1316" s="37" t="str">
        <x:v>0.00</x:v>
      </x:c>
      <x:c r="J1316" s="37" t="str">
        <x:v>644.13</x:v>
      </x:c>
      <x:c r="K1316" s="37" t="str">
        <x:v>0.00</x:v>
      </x:c>
      <x:c r="L1316" s="37" t="str">
        <x:v>1036</x:v>
      </x:c>
      <x:c r="M1316" s="29" t="str">
        <x:v>646.21</x:v>
      </x:c>
      <x:c r="N1316" s="29" t="str">
        <x:v>450.90</x:v>
      </x:c>
      <x:c r="O1316" s="29" t="str">
        <x:v>195.31</x:v>
      </x:c>
      <x:c r="P1316" s="18" t="str">
        <x:v>2026-07-21</x:v>
      </x:c>
      <x:c r="Q1316" s="36" t="n">
        <x:v>46224</x:v>
      </x:c>
    </x:row>
    <x:row r="1317">
      <x:c r="A1317" s="36" t="str">
        <x:v>2026-07-21</x:v>
      </x:c>
      <x:c r="B1317" s="18" t="str">
        <x:v>101437000_83921</x:v>
      </x:c>
      <x:c r="C1317" s="18" t="str">
        <x:v>【沪村小电】上海联怡枇杷乐园充电站（地库）</x:v>
      </x:c>
      <x:c r="D1317" s="37" t="str">
        <x:v>8</x:v>
      </x:c>
      <x:c r="E1317" s="37" t="str">
        <x:v>0</x:v>
      </x:c>
      <x:c r="F1317" s="37" t="str">
        <x:v>3</x:v>
      </x:c>
      <x:c r="G1317" s="37" t="str">
        <x:v>109.66</x:v>
      </x:c>
      <x:c r="H1317" s="37" t="str">
        <x:v>0.00</x:v>
      </x:c>
      <x:c r="I1317" s="37" t="str">
        <x:v>30.28</x:v>
      </x:c>
      <x:c r="J1317" s="37" t="str">
        <x:v>0.00</x:v>
      </x:c>
      <x:c r="K1317" s="37" t="str">
        <x:v>79.38</x:v>
      </x:c>
      <x:c r="L1317" s="37" t="str">
        <x:v>192</x:v>
      </x:c>
      <x:c r="M1317" s="29" t="str">
        <x:v>72.42</x:v>
      </x:c>
      <x:c r="N1317" s="29" t="str">
        <x:v>63.77</x:v>
      </x:c>
      <x:c r="O1317" s="29" t="str">
        <x:v>8.65</x:v>
      </x:c>
      <x:c r="P1317" s="18" t="str">
        <x:v>2026-07-21</x:v>
      </x:c>
      <x:c r="Q1317" s="36" t="n">
        <x:v>46224</x:v>
      </x:c>
    </x:row>
    <x:row r="1318">
      <x:c r="A1318" s="36" t="str">
        <x:v>2026-07-21</x:v>
      </x:c>
      <x:c r="B1318" s="18" t="str">
        <x:v>101437000_83923</x:v>
      </x:c>
      <x:c r="C1318" s="18" t="str">
        <x:v>【沪村小电】明珠新苑充电站</x:v>
      </x:c>
      <x:c r="D1318" s="37" t="str">
        <x:v>2</x:v>
      </x:c>
      <x:c r="E1318" s="37" t="str">
        <x:v>0</x:v>
      </x:c>
      <x:c r="F1318" s="37" t="str">
        <x:v>23</x:v>
      </x:c>
      <x:c r="G1318" s="37" t="str">
        <x:v>626.64</x:v>
      </x:c>
      <x:c r="H1318" s="37" t="str">
        <x:v>0.00</x:v>
      </x:c>
      <x:c r="I1318" s="37" t="str">
        <x:v>552.97</x:v>
      </x:c>
      <x:c r="J1318" s="37" t="str">
        <x:v>0.00</x:v>
      </x:c>
      <x:c r="K1318" s="37" t="str">
        <x:v>73.67</x:v>
      </x:c>
      <x:c r="L1318" s="37" t="str">
        <x:v>791</x:v>
      </x:c>
      <x:c r="M1318" s="29" t="str">
        <x:v>646.47</x:v>
      </x:c>
      <x:c r="N1318" s="29" t="str">
        <x:v>419.87</x:v>
      </x:c>
      <x:c r="O1318" s="29" t="str">
        <x:v>226.60</x:v>
      </x:c>
      <x:c r="P1318" s="18" t="str">
        <x:v>2026-07-21</x:v>
      </x:c>
      <x:c r="Q1318" s="36" t="n">
        <x:v>46224</x:v>
      </x:c>
    </x:row>
    <x:row r="1319">
      <x:c r="A1319" s="36" t="str">
        <x:v>2026-07-21</x:v>
      </x:c>
      <x:c r="B1319" s="18" t="str">
        <x:v>101437000_84289</x:v>
      </x:c>
      <x:c r="C1319" s="18" t="str">
        <x:v>【沪村小电】铁建芳华苑充电站</x:v>
      </x:c>
      <x:c r="D1319" s="37" t="str">
        <x:v>4</x:v>
      </x:c>
      <x:c r="E1319" s="37" t="str">
        <x:v>0</x:v>
      </x:c>
      <x:c r="F1319" s="37" t="str">
        <x:v>48</x:v>
      </x:c>
      <x:c r="G1319" s="37" t="str">
        <x:v>1006.74</x:v>
      </x:c>
      <x:c r="H1319" s="37" t="str">
        <x:v>0.00</x:v>
      </x:c>
      <x:c r="I1319" s="37" t="str">
        <x:v>567.72</x:v>
      </x:c>
      <x:c r="J1319" s="37" t="str">
        <x:v>0.00</x:v>
      </x:c>
      <x:c r="K1319" s="37" t="str">
        <x:v>439.02</x:v>
      </x:c>
      <x:c r="L1319" s="37" t="str">
        <x:v>1736</x:v>
      </x:c>
      <x:c r="M1319" s="29" t="str">
        <x:v>831.61</x:v>
      </x:c>
      <x:c r="N1319" s="29" t="str">
        <x:v>565.55</x:v>
      </x:c>
      <x:c r="O1319" s="29" t="str">
        <x:v>266.06</x:v>
      </x:c>
      <x:c r="P1319" s="18" t="str">
        <x:v>2026-07-21</x:v>
      </x:c>
      <x:c r="Q1319" s="36" t="n">
        <x:v>46224</x:v>
      </x:c>
    </x:row>
    <x:row r="1320">
      <x:c r="A1320" s="36" t="str">
        <x:v>2026-07-21</x:v>
      </x:c>
      <x:c r="B1320" s="18" t="str">
        <x:v>101437000_86379</x:v>
      </x:c>
      <x:c r="C1320" s="18" t="str">
        <x:v>【沪村小电】新宝社区充电站</x:v>
      </x:c>
      <x:c r="D1320" s="37" t="str">
        <x:v>4</x:v>
      </x:c>
      <x:c r="E1320" s="37" t="str">
        <x:v>0</x:v>
      </x:c>
      <x:c r="F1320" s="37" t="str">
        <x:v>25</x:v>
      </x:c>
      <x:c r="G1320" s="37" t="str">
        <x:v>720.45</x:v>
      </x:c>
      <x:c r="H1320" s="37" t="str">
        <x:v>0.00</x:v>
      </x:c>
      <x:c r="I1320" s="37" t="str">
        <x:v>410.76</x:v>
      </x:c>
      <x:c r="J1320" s="37" t="str">
        <x:v>0.00</x:v>
      </x:c>
      <x:c r="K1320" s="37" t="str">
        <x:v>309.69</x:v>
      </x:c>
      <x:c r="L1320" s="37" t="str">
        <x:v>1131</x:v>
      </x:c>
      <x:c r="M1320" s="29" t="str">
        <x:v>625.87</x:v>
      </x:c>
      <x:c r="N1320" s="29" t="str">
        <x:v>406.21</x:v>
      </x:c>
      <x:c r="O1320" s="29" t="str">
        <x:v>219.66</x:v>
      </x:c>
      <x:c r="P1320" s="18" t="str">
        <x:v>2026-07-21</x:v>
      </x:c>
      <x:c r="Q1320" s="36" t="n">
        <x:v>46224</x:v>
      </x:c>
    </x:row>
    <x:row r="1321">
      <x:c r="A1321" s="36" t="str">
        <x:v>2026-07-21</x:v>
      </x:c>
      <x:c r="B1321" s="18" t="str">
        <x:v>101437000_89441</x:v>
      </x:c>
      <x:c r="C1321" s="18" t="str">
        <x:v>【沪村小电】首创禧瑞云启西区充电站</x:v>
      </x:c>
      <x:c r="D1321" s="37" t="str">
        <x:v>2</x:v>
      </x:c>
      <x:c r="E1321" s="37" t="str">
        <x:v>0</x:v>
      </x:c>
      <x:c r="F1321" s="37" t="str">
        <x:v>29</x:v>
      </x:c>
      <x:c r="G1321" s="37" t="str">
        <x:v>733.04</x:v>
      </x:c>
      <x:c r="H1321" s="37" t="str">
        <x:v>0.00</x:v>
      </x:c>
      <x:c r="I1321" s="37" t="str">
        <x:v>578.68</x:v>
      </x:c>
      <x:c r="J1321" s="37" t="str">
        <x:v>0.00</x:v>
      </x:c>
      <x:c r="K1321" s="37" t="str">
        <x:v>154.37</x:v>
      </x:c>
      <x:c r="L1321" s="37" t="str">
        <x:v>926</x:v>
      </x:c>
      <x:c r="M1321" s="29" t="str">
        <x:v>743.72</x:v>
      </x:c>
      <x:c r="N1321" s="29" t="str">
        <x:v>468.01</x:v>
      </x:c>
      <x:c r="O1321" s="29" t="str">
        <x:v>275.71</x:v>
      </x:c>
      <x:c r="P1321" s="18" t="str">
        <x:v>2026-07-21</x:v>
      </x:c>
      <x:c r="Q1321" s="36" t="n">
        <x:v>46224</x:v>
      </x:c>
    </x:row>
    <x:row r="1322">
      <x:c r="A1322" s="36" t="str">
        <x:v>2026-07-21</x:v>
      </x:c>
      <x:c r="B1322" s="18" t="str">
        <x:v>101437000_89443</x:v>
      </x:c>
      <x:c r="C1322" s="18" t="str">
        <x:v>【沪村小电】玉兰清苑二期充电站</x:v>
      </x:c>
      <x:c r="D1322" s="37" t="str">
        <x:v>2</x:v>
      </x:c>
      <x:c r="E1322" s="37" t="str">
        <x:v>0</x:v>
      </x:c>
      <x:c r="F1322" s="37" t="str">
        <x:v>21</x:v>
      </x:c>
      <x:c r="G1322" s="37" t="str">
        <x:v>493.79</x:v>
      </x:c>
      <x:c r="H1322" s="37" t="str">
        <x:v>0.00</x:v>
      </x:c>
      <x:c r="I1322" s="37" t="str">
        <x:v>354.72</x:v>
      </x:c>
      <x:c r="J1322" s="37" t="str">
        <x:v>0.00</x:v>
      </x:c>
      <x:c r="K1322" s="37" t="str">
        <x:v>139.07</x:v>
      </x:c>
      <x:c r="L1322" s="37" t="str">
        <x:v>641</x:v>
      </x:c>
      <x:c r="M1322" s="29" t="str">
        <x:v>472.96</x:v>
      </x:c>
      <x:c r="N1322" s="29" t="str">
        <x:v>303.29</x:v>
      </x:c>
      <x:c r="O1322" s="29" t="str">
        <x:v>169.67</x:v>
      </x:c>
      <x:c r="P1322" s="18" t="str">
        <x:v>2026-07-21</x:v>
      </x:c>
      <x:c r="Q1322" s="36" t="n">
        <x:v>46224</x:v>
      </x:c>
    </x:row>
    <x:row r="1323">
      <x:c r="A1323" s="36" t="str">
        <x:v>2026-07-21</x:v>
      </x:c>
      <x:c r="B1323" s="18" t="str">
        <x:v>101437000_93115</x:v>
      </x:c>
      <x:c r="C1323" s="18" t="str">
        <x:v>【沪村小电】新南家园西北门</x:v>
      </x:c>
      <x:c r="D1323" s="37" t="str">
        <x:v>2</x:v>
      </x:c>
      <x:c r="E1323" s="37" t="str">
        <x:v>0</x:v>
      </x:c>
      <x:c r="F1323" s="37" t="str">
        <x:v>34</x:v>
      </x:c>
      <x:c r="G1323" s="37" t="str">
        <x:v>879.59</x:v>
      </x:c>
      <x:c r="H1323" s="37" t="str">
        <x:v>0.00</x:v>
      </x:c>
      <x:c r="I1323" s="37" t="str">
        <x:v>532.06</x:v>
      </x:c>
      <x:c r="J1323" s="37" t="str">
        <x:v>0.00</x:v>
      </x:c>
      <x:c r="K1323" s="37" t="str">
        <x:v>347.53</x:v>
      </x:c>
      <x:c r="L1323" s="37" t="str">
        <x:v>1218</x:v>
      </x:c>
      <x:c r="M1323" s="29" t="str">
        <x:v>801.64</x:v>
      </x:c>
      <x:c r="N1323" s="29" t="str">
        <x:v>506.35</x:v>
      </x:c>
      <x:c r="O1323" s="29" t="str">
        <x:v>295.29</x:v>
      </x:c>
      <x:c r="P1323" s="18" t="str">
        <x:v>2026-07-21</x:v>
      </x:c>
      <x:c r="Q1323" s="36" t="n">
        <x:v>46224</x:v>
      </x:c>
    </x:row>
    <x:row r="1324">
      <x:c r="A1324" s="36" t="str">
        <x:v>2026-07-21</x:v>
      </x:c>
      <x:c r="B1324" s="18" t="str">
        <x:v>101437000_94649</x:v>
      </x:c>
      <x:c r="C1324" s="18" t="str">
        <x:v>【沪村小电】浪琴水岸花园</x:v>
      </x:c>
      <x:c r="D1324" s="37" t="str">
        <x:v>4</x:v>
      </x:c>
      <x:c r="E1324" s="37" t="str">
        <x:v>0</x:v>
      </x:c>
      <x:c r="F1324" s="37" t="str">
        <x:v>31</x:v>
      </x:c>
      <x:c r="G1324" s="37" t="str">
        <x:v>749.46</x:v>
      </x:c>
      <x:c r="H1324" s="37" t="str">
        <x:v>0.00</x:v>
      </x:c>
      <x:c r="I1324" s="37" t="str">
        <x:v>522.00</x:v>
      </x:c>
      <x:c r="J1324" s="37" t="str">
        <x:v>0.00</x:v>
      </x:c>
      <x:c r="K1324" s="37" t="str">
        <x:v>227.46</x:v>
      </x:c>
      <x:c r="L1324" s="37" t="str">
        <x:v>1338</x:v>
      </x:c>
      <x:c r="M1324" s="29" t="str">
        <x:v>657.70</x:v>
      </x:c>
      <x:c r="N1324" s="29" t="str">
        <x:v>477.49</x:v>
      </x:c>
      <x:c r="O1324" s="29" t="str">
        <x:v>180.21</x:v>
      </x:c>
      <x:c r="P1324" s="18" t="str">
        <x:v>2026-07-21</x:v>
      </x:c>
      <x:c r="Q1324" s="36" t="n">
        <x:v>46224</x:v>
      </x:c>
    </x:row>
    <x:row r="1325">
      <x:c r="A1325" s="36" t="str">
        <x:v>2026-07-21</x:v>
      </x:c>
      <x:c r="B1325" s="18" t="str">
        <x:v>101437000_95077</x:v>
      </x:c>
      <x:c r="C1325" s="18" t="str">
        <x:v>【沪村小电】民乐城惠益绿苑255弄充电站</x:v>
      </x:c>
      <x:c r="D1325" s="37" t="str">
        <x:v>2</x:v>
      </x:c>
      <x:c r="E1325" s="37" t="str">
        <x:v>0</x:v>
      </x:c>
      <x:c r="F1325" s="37" t="str">
        <x:v>9</x:v>
      </x:c>
      <x:c r="G1325" s="37" t="str">
        <x:v>220.69</x:v>
      </x:c>
      <x:c r="H1325" s="37" t="str">
        <x:v>0.00</x:v>
      </x:c>
      <x:c r="I1325" s="37" t="str">
        <x:v>144.63</x:v>
      </x:c>
      <x:c r="J1325" s="37" t="str">
        <x:v>0.00</x:v>
      </x:c>
      <x:c r="K1325" s="37" t="str">
        <x:v>76.06</x:v>
      </x:c>
      <x:c r="L1325" s="37" t="str">
        <x:v>384</x:v>
      </x:c>
      <x:c r="M1325" s="29" t="str">
        <x:v>190.76</x:v>
      </x:c>
      <x:c r="N1325" s="29" t="str">
        <x:v>130.84</x:v>
      </x:c>
      <x:c r="O1325" s="29" t="str">
        <x:v>59.92</x:v>
      </x:c>
      <x:c r="P1325" s="18" t="str">
        <x:v>2026-07-21</x:v>
      </x:c>
      <x:c r="Q1325" s="36" t="n">
        <x:v>46224</x:v>
      </x:c>
    </x:row>
    <x:row r="1326">
      <x:c r="A1326" s="36" t="str">
        <x:v>2026-07-21</x:v>
      </x:c>
      <x:c r="B1326" s="18" t="str">
        <x:v>101437000_95079</x:v>
      </x:c>
      <x:c r="C1326" s="18" t="str">
        <x:v>【沪村小电】民乐城惠益绿苑东苑充电站</x:v>
      </x:c>
      <x:c r="D1326" s="37" t="str">
        <x:v>2</x:v>
      </x:c>
      <x:c r="E1326" s="37" t="str">
        <x:v>0</x:v>
      </x:c>
      <x:c r="F1326" s="37" t="str">
        <x:v>17</x:v>
      </x:c>
      <x:c r="G1326" s="37" t="str">
        <x:v>368.28</x:v>
      </x:c>
      <x:c r="H1326" s="37" t="str">
        <x:v>0.00</x:v>
      </x:c>
      <x:c r="I1326" s="37" t="str">
        <x:v>330.72</x:v>
      </x:c>
      <x:c r="J1326" s="37" t="str">
        <x:v>0.00</x:v>
      </x:c>
      <x:c r="K1326" s="37" t="str">
        <x:v>37.56</x:v>
      </x:c>
      <x:c r="L1326" s="37" t="str">
        <x:v>573</x:v>
      </x:c>
      <x:c r="M1326" s="29" t="str">
        <x:v>343.34</x:v>
      </x:c>
      <x:c r="N1326" s="29" t="str">
        <x:v>248.70</x:v>
      </x:c>
      <x:c r="O1326" s="29" t="str">
        <x:v>94.64</x:v>
      </x:c>
      <x:c r="P1326" s="18" t="str">
        <x:v>2026-07-21</x:v>
      </x:c>
      <x:c r="Q1326" s="36" t="n">
        <x:v>46224</x:v>
      </x:c>
    </x:row>
    <x:row r="1327">
      <x:c r="A1327" s="36" t="str">
        <x:v>2026-07-21</x:v>
      </x:c>
      <x:c r="B1327" s="18" t="str">
        <x:v>101437000_95081</x:v>
      </x:c>
      <x:c r="C1327" s="18" t="str">
        <x:v>【沪村小电】民乐城惠益绿苑西苑充电站</x:v>
      </x:c>
      <x:c r="D1327" s="37" t="str">
        <x:v>2</x:v>
      </x:c>
      <x:c r="E1327" s="37" t="str">
        <x:v>0</x:v>
      </x:c>
      <x:c r="F1327" s="37" t="str">
        <x:v>8</x:v>
      </x:c>
      <x:c r="G1327" s="37" t="str">
        <x:v>178.06</x:v>
      </x:c>
      <x:c r="H1327" s="37" t="str">
        <x:v>0.00</x:v>
      </x:c>
      <x:c r="I1327" s="37" t="str">
        <x:v>178.06</x:v>
      </x:c>
      <x:c r="J1327" s="37" t="str">
        <x:v>0.00</x:v>
      </x:c>
      <x:c r="K1327" s="37" t="str">
        <x:v>0.00</x:v>
      </x:c>
      <x:c r="L1327" s="37" t="str">
        <x:v>232</x:v>
      </x:c>
      <x:c r="M1327" s="29" t="str">
        <x:v>168.40</x:v>
      </x:c>
      <x:c r="N1327" s="29" t="str">
        <x:v>126.42</x:v>
      </x:c>
      <x:c r="O1327" s="29" t="str">
        <x:v>41.98</x:v>
      </x:c>
      <x:c r="P1327" s="18" t="str">
        <x:v>2026-07-21</x:v>
      </x:c>
      <x:c r="Q1327" s="36" t="n">
        <x:v>46224</x:v>
      </x:c>
    </x:row>
    <x:row r="1328">
      <x:c r="A1328" s="36" t="str">
        <x:v>2026-07-21</x:v>
      </x:c>
      <x:c r="B1328" s="18" t="str">
        <x:v>101437000_95941</x:v>
      </x:c>
      <x:c r="C1328" s="18" t="str">
        <x:v>【沪村小电】惠诚雅苑</x:v>
      </x:c>
      <x:c r="D1328" s="37" t="str">
        <x:v>4</x:v>
      </x:c>
      <x:c r="E1328" s="37" t="str">
        <x:v>0</x:v>
      </x:c>
      <x:c r="F1328" s="37" t="str">
        <x:v>35</x:v>
      </x:c>
      <x:c r="G1328" s="37" t="str">
        <x:v>961.93</x:v>
      </x:c>
      <x:c r="H1328" s="37" t="str">
        <x:v>0.00</x:v>
      </x:c>
      <x:c r="I1328" s="37" t="str">
        <x:v>484.70</x:v>
      </x:c>
      <x:c r="J1328" s="37" t="str">
        <x:v>0.00</x:v>
      </x:c>
      <x:c r="K1328" s="37" t="str">
        <x:v>477.23</x:v>
      </x:c>
      <x:c r="L1328" s="37" t="str">
        <x:v>1522</x:v>
      </x:c>
      <x:c r="M1328" s="29" t="str">
        <x:v>650.86</x:v>
      </x:c>
      <x:c r="N1328" s="29" t="str">
        <x:v>433.91</x:v>
      </x:c>
      <x:c r="O1328" s="29" t="str">
        <x:v>216.95</x:v>
      </x:c>
      <x:c r="P1328" s="18" t="str">
        <x:v>2026-07-21</x:v>
      </x:c>
      <x:c r="Q1328" s="36" t="n">
        <x:v>46224</x:v>
      </x:c>
    </x:row>
    <x:row r="1329">
      <x:c r="A1329" s="36" t="str">
        <x:v>2026-07-21</x:v>
      </x:c>
      <x:c r="B1329" s="18" t="str">
        <x:v>101437000_96401</x:v>
      </x:c>
      <x:c r="C1329" s="18" t="str">
        <x:v>【沪村小电】上海联怡枇杷乐园地面站</x:v>
      </x:c>
      <x:c r="D1329" s="37" t="str">
        <x:v>2</x:v>
      </x:c>
      <x:c r="E1329" s="37" t="str">
        <x:v>0</x:v>
      </x:c>
      <x:c r="F1329" s="37" t="str">
        <x:v>7</x:v>
      </x:c>
      <x:c r="G1329" s="37" t="str">
        <x:v>152.63</x:v>
      </x:c>
      <x:c r="H1329" s="37" t="str">
        <x:v>0.00</x:v>
      </x:c>
      <x:c r="I1329" s="37" t="str">
        <x:v>82.76</x:v>
      </x:c>
      <x:c r="J1329" s="37" t="str">
        <x:v>0.00</x:v>
      </x:c>
      <x:c r="K1329" s="37" t="str">
        <x:v>69.87</x:v>
      </x:c>
      <x:c r="L1329" s="37" t="str">
        <x:v>220</x:v>
      </x:c>
      <x:c r="M1329" s="29" t="str">
        <x:v>145.40</x:v>
      </x:c>
      <x:c r="N1329" s="29" t="str">
        <x:v>106.62</x:v>
      </x:c>
      <x:c r="O1329" s="29" t="str">
        <x:v>38.78</x:v>
      </x:c>
      <x:c r="P1329" s="18" t="str">
        <x:v>2026-07-21</x:v>
      </x:c>
      <x:c r="Q1329" s="36" t="n">
        <x:v>46224</x:v>
      </x:c>
    </x:row>
    <x:row r="1330">
      <x:c r="A1330" s="36" t="str">
        <x:v>2026-07-21</x:v>
      </x:c>
      <x:c r="B1330" s="18" t="str">
        <x:v>101437000_96719</x:v>
      </x:c>
      <x:c r="C1330" s="18" t="str">
        <x:v>【沪村小电】四达路220弄充电站</x:v>
      </x:c>
      <x:c r="D1330" s="37" t="str">
        <x:v>2</x:v>
      </x:c>
      <x:c r="E1330" s="37" t="str">
        <x:v>0</x:v>
      </x:c>
      <x:c r="F1330" s="37" t="str">
        <x:v>2</x:v>
      </x:c>
      <x:c r="G1330" s="37" t="str">
        <x:v>41.24</x:v>
      </x:c>
      <x:c r="H1330" s="37" t="str">
        <x:v>0.00</x:v>
      </x:c>
      <x:c r="I1330" s="37" t="str">
        <x:v>26.89</x:v>
      </x:c>
      <x:c r="J1330" s="37" t="str">
        <x:v>0.00</x:v>
      </x:c>
      <x:c r="K1330" s="37" t="str">
        <x:v>14.35</x:v>
      </x:c>
      <x:c r="L1330" s="37" t="str">
        <x:v>67</x:v>
      </x:c>
      <x:c r="M1330" s="29" t="str">
        <x:v>39.24</x:v>
      </x:c>
      <x:c r="N1330" s="29" t="str">
        <x:v>24.40</x:v>
      </x:c>
      <x:c r="O1330" s="29" t="str">
        <x:v>14.84</x:v>
      </x:c>
      <x:c r="P1330" s="18" t="str">
        <x:v>2026-07-21</x:v>
      </x:c>
      <x:c r="Q1330" s="36" t="n">
        <x:v>46224</x:v>
      </x:c>
    </x:row>
    <x:row r="1331">
      <x:c r="A1331" s="36" t="str">
        <x:v>2026-07-21</x:v>
      </x:c>
      <x:c r="B1331" s="18" t="str">
        <x:v>101437000_97421</x:v>
      </x:c>
      <x:c r="C1331" s="18" t="str">
        <x:v>【沪村小电】玉兰清苑二期（小区外）充电站</x:v>
      </x:c>
      <x:c r="D1331" s="37" t="str">
        <x:v>4</x:v>
      </x:c>
      <x:c r="E1331" s="37" t="str">
        <x:v>0</x:v>
      </x:c>
      <x:c r="F1331" s="37" t="str">
        <x:v>47</x:v>
      </x:c>
      <x:c r="G1331" s="37" t="str">
        <x:v>915.31</x:v>
      </x:c>
      <x:c r="H1331" s="37" t="str">
        <x:v>0.00</x:v>
      </x:c>
      <x:c r="I1331" s="37" t="str">
        <x:v>788.15</x:v>
      </x:c>
      <x:c r="J1331" s="37" t="str">
        <x:v>0.00</x:v>
      </x:c>
      <x:c r="K1331" s="37" t="str">
        <x:v>127.15</x:v>
      </x:c>
      <x:c r="L1331" s="37" t="str">
        <x:v>1725</x:v>
      </x:c>
      <x:c r="M1331" s="29" t="str">
        <x:v>886.93</x:v>
      </x:c>
      <x:c r="N1331" s="29" t="str">
        <x:v>606.62</x:v>
      </x:c>
      <x:c r="O1331" s="29" t="str">
        <x:v>280.31</x:v>
      </x:c>
      <x:c r="P1331" s="18" t="str">
        <x:v>2026-07-21</x:v>
      </x:c>
      <x:c r="Q1331" s="36" t="n">
        <x:v>46224</x:v>
      </x:c>
    </x:row>
    <x:row r="1332">
      <x:c r="A1332" s="36" t="str">
        <x:v>2026-07-21</x:v>
      </x:c>
      <x:c r="B1332" s="18" t="str">
        <x:v>101437000_98013</x:v>
      </x:c>
      <x:c r="C1332" s="18" t="str">
        <x:v>【沪村小电】恒大滨江华府充电站</x:v>
      </x:c>
      <x:c r="D1332" s="37" t="str">
        <x:v>4</x:v>
      </x:c>
      <x:c r="E1332" s="37" t="str">
        <x:v>0</x:v>
      </x:c>
      <x:c r="F1332" s="37" t="str">
        <x:v>35</x:v>
      </x:c>
      <x:c r="G1332" s="37" t="str">
        <x:v>636.97</x:v>
      </x:c>
      <x:c r="H1332" s="37" t="str">
        <x:v>0.00</x:v>
      </x:c>
      <x:c r="I1332" s="37" t="str">
        <x:v>510.55</x:v>
      </x:c>
      <x:c r="J1332" s="37" t="str">
        <x:v>0.00</x:v>
      </x:c>
      <x:c r="K1332" s="37" t="str">
        <x:v>126.42</x:v>
      </x:c>
      <x:c r="L1332" s="37" t="str">
        <x:v>936</x:v>
      </x:c>
      <x:c r="M1332" s="29" t="str">
        <x:v>636.21</x:v>
      </x:c>
      <x:c r="N1332" s="29" t="str">
        <x:v>517.67</x:v>
      </x:c>
      <x:c r="O1332" s="29" t="str">
        <x:v>118.54</x:v>
      </x:c>
      <x:c r="P1332" s="18" t="str">
        <x:v>2026-07-21</x:v>
      </x:c>
      <x:c r="Q1332" s="36" t="n">
        <x:v>46224</x:v>
      </x:c>
    </x:row>
    <x:row r="1333">
      <x:c r="A1333" s="36" t="str">
        <x:v>2026-07-21</x:v>
      </x:c>
      <x:c r="B1333" s="18" t="str">
        <x:v>101437000_98863</x:v>
      </x:c>
      <x:c r="C1333" s="18" t="str">
        <x:v>【沪村小电】欣菊苑充电站</x:v>
      </x:c>
      <x:c r="D1333" s="37" t="str">
        <x:v>4</x:v>
      </x:c>
      <x:c r="E1333" s="37" t="str">
        <x:v>0</x:v>
      </x:c>
      <x:c r="F1333" s="37" t="str">
        <x:v>6</x:v>
      </x:c>
      <x:c r="G1333" s="37" t="str">
        <x:v>175.02</x:v>
      </x:c>
      <x:c r="H1333" s="37" t="str">
        <x:v>0.00</x:v>
      </x:c>
      <x:c r="I1333" s="37" t="str">
        <x:v>175.02</x:v>
      </x:c>
      <x:c r="J1333" s="37" t="str">
        <x:v>0.00</x:v>
      </x:c>
      <x:c r="K1333" s="37" t="str">
        <x:v>0.00</x:v>
      </x:c>
      <x:c r="L1333" s="37" t="str">
        <x:v>238</x:v>
      </x:c>
      <x:c r="M1333" s="29" t="str">
        <x:v>163.13</x:v>
      </x:c>
      <x:c r="N1333" s="29" t="str">
        <x:v>124.27</x:v>
      </x:c>
      <x:c r="O1333" s="29" t="str">
        <x:v>38.86</x:v>
      </x:c>
      <x:c r="P1333" s="18" t="str">
        <x:v>2026-07-21</x:v>
      </x:c>
      <x:c r="Q1333" s="36" t="n">
        <x:v>46224</x:v>
      </x:c>
    </x:row>
    <x:row r="1334">
      <x:c r="A1334" s="36" t="str">
        <x:v>2026-07-21</x:v>
      </x:c>
      <x:c r="B1334" s="18" t="str">
        <x:v>101437000_98865</x:v>
      </x:c>
      <x:c r="C1334" s="18" t="str">
        <x:v>【沪村小电】欣松苑充电站</x:v>
      </x:c>
      <x:c r="D1334" s="37" t="str">
        <x:v>4</x:v>
      </x:c>
      <x:c r="E1334" s="37" t="str">
        <x:v>0</x:v>
      </x:c>
      <x:c r="F1334" s="37" t="str">
        <x:v>20</x:v>
      </x:c>
      <x:c r="G1334" s="37" t="str">
        <x:v>407.56</x:v>
      </x:c>
      <x:c r="H1334" s="37" t="str">
        <x:v>0.00</x:v>
      </x:c>
      <x:c r="I1334" s="37" t="str">
        <x:v>391.43</x:v>
      </x:c>
      <x:c r="J1334" s="37" t="str">
        <x:v>0.00</x:v>
      </x:c>
      <x:c r="K1334" s="37" t="str">
        <x:v>16.13</x:v>
      </x:c>
      <x:c r="L1334" s="37" t="str">
        <x:v>673</x:v>
      </x:c>
      <x:c r="M1334" s="29" t="str">
        <x:v>422.72</x:v>
      </x:c>
      <x:c r="N1334" s="29" t="str">
        <x:v>283.89</x:v>
      </x:c>
      <x:c r="O1334" s="29" t="str">
        <x:v>138.83</x:v>
      </x:c>
      <x:c r="P1334" s="18" t="str">
        <x:v>2026-07-21</x:v>
      </x:c>
      <x:c r="Q1334" s="36" t="n">
        <x:v>46224</x:v>
      </x:c>
    </x:row>
    <x:row r="1335">
      <x:c r="A1335" s="36" t="str">
        <x:v>2026-07-21</x:v>
      </x:c>
      <x:c r="B1335" s="18" t="str">
        <x:v>101437000_98867</x:v>
      </x:c>
      <x:c r="C1335" s="18" t="str">
        <x:v>【沪村小电】欣荷苑充电站</x:v>
      </x:c>
      <x:c r="D1335" s="37" t="str">
        <x:v>4</x:v>
      </x:c>
      <x:c r="E1335" s="37" t="str">
        <x:v>0</x:v>
      </x:c>
      <x:c r="F1335" s="37" t="str">
        <x:v>8</x:v>
      </x:c>
      <x:c r="G1335" s="37" t="str">
        <x:v>162.11</x:v>
      </x:c>
      <x:c r="H1335" s="37" t="str">
        <x:v>0.00</x:v>
      </x:c>
      <x:c r="I1335" s="37" t="str">
        <x:v>140.83</x:v>
      </x:c>
      <x:c r="J1335" s="37" t="str">
        <x:v>0.00</x:v>
      </x:c>
      <x:c r="K1335" s="37" t="str">
        <x:v>21.28</x:v>
      </x:c>
      <x:c r="L1335" s="37" t="str">
        <x:v>297</x:v>
      </x:c>
      <x:c r="M1335" s="29" t="str">
        <x:v>144.47</x:v>
      </x:c>
      <x:c r="N1335" s="29" t="str">
        <x:v>107.87</x:v>
      </x:c>
      <x:c r="O1335" s="29" t="str">
        <x:v>36.60</x:v>
      </x:c>
      <x:c r="P1335" s="18" t="str">
        <x:v>2026-07-21</x:v>
      </x:c>
      <x:c r="Q1335" s="36" t="n">
        <x:v>46224</x:v>
      </x:c>
    </x:row>
    <x:row r="1336">
      <x:c r="A1336" s="36" t="str">
        <x:v>2026-07-21</x:v>
      </x:c>
      <x:c r="B1336" s="18" t="str">
        <x:v>101437000_99885</x:v>
      </x:c>
      <x:c r="C1336" s="18" t="str">
        <x:v>【沪村小电】汇丰馨苑充电站</x:v>
      </x:c>
      <x:c r="D1336" s="37" t="str">
        <x:v>4</x:v>
      </x:c>
      <x:c r="E1336" s="37" t="str">
        <x:v>0</x:v>
      </x:c>
      <x:c r="F1336" s="37" t="str">
        <x:v>12</x:v>
      </x:c>
      <x:c r="G1336" s="37" t="str">
        <x:v>283.64</x:v>
      </x:c>
      <x:c r="H1336" s="37" t="str">
        <x:v>0.00</x:v>
      </x:c>
      <x:c r="I1336" s="37" t="str">
        <x:v>283.64</x:v>
      </x:c>
      <x:c r="J1336" s="37" t="str">
        <x:v>0.00</x:v>
      </x:c>
      <x:c r="K1336" s="37" t="str">
        <x:v>0.00</x:v>
      </x:c>
      <x:c r="L1336" s="37" t="str">
        <x:v>394</x:v>
      </x:c>
      <x:c r="M1336" s="29" t="str">
        <x:v>276.52</x:v>
      </x:c>
      <x:c r="N1336" s="29" t="str">
        <x:v>201.42</x:v>
      </x:c>
      <x:c r="O1336" s="29" t="str">
        <x:v>75.10</x:v>
      </x:c>
      <x:c r="P1336" s="18" t="str">
        <x:v>2026-07-21</x:v>
      </x:c>
      <x:c r="Q1336" s="36" t="n">
        <x:v>46224</x:v>
      </x:c>
    </x:row>
    <x:row r="1337">
      <x:c r="A1337" s="36" t="str">
        <x:v>2026-07-21</x:v>
      </x:c>
      <x:c r="B1337" s="18" t="str">
        <x:v>101437000_99887</x:v>
      </x:c>
      <x:c r="C1337" s="18" t="str">
        <x:v>【沪村小电】新南村河南小区充电站</x:v>
      </x:c>
      <x:c r="D1337" s="37" t="str">
        <x:v>2</x:v>
      </x:c>
      <x:c r="E1337" s="37" t="str">
        <x:v>0</x:v>
      </x:c>
      <x:c r="F1337" s="37" t="str">
        <x:v>14</x:v>
      </x:c>
      <x:c r="G1337" s="37" t="str">
        <x:v>361.80</x:v>
      </x:c>
      <x:c r="H1337" s="37" t="str">
        <x:v>0.00</x:v>
      </x:c>
      <x:c r="I1337" s="37" t="str">
        <x:v>160.05</x:v>
      </x:c>
      <x:c r="J1337" s="37" t="str">
        <x:v>0.00</x:v>
      </x:c>
      <x:c r="K1337" s="37" t="str">
        <x:v>201.75</x:v>
      </x:c>
      <x:c r="L1337" s="37" t="str">
        <x:v>691</x:v>
      </x:c>
      <x:c r="M1337" s="29" t="str">
        <x:v>256.91</x:v>
      </x:c>
      <x:c r="N1337" s="29" t="str">
        <x:v>188.31</x:v>
      </x:c>
      <x:c r="O1337" s="29" t="str">
        <x:v>68.60</x:v>
      </x:c>
      <x:c r="P1337" s="18" t="str">
        <x:v>2026-07-21</x:v>
      </x:c>
      <x:c r="Q1337" s="36" t="n">
        <x:v>46224</x:v>
      </x:c>
    </x:row>
    <x:row r="1338">
      <x:c r="A1338" s="36" t="str">
        <x:v>2026-07-21</x:v>
      </x:c>
      <x:c r="B1338" s="18" t="str">
        <x:v>101437000_99889</x:v>
      </x:c>
      <x:c r="C1338" s="18" t="str">
        <x:v>【沪村小电】漕泾郊野公园</x:v>
      </x:c>
      <x:c r="D1338" s="37" t="str">
        <x:v>2</x:v>
      </x:c>
      <x:c r="E1338" s="37" t="str">
        <x:v>0</x:v>
      </x:c>
      <x:c r="F1338" s="37" t="str">
        <x:v>7</x:v>
      </x:c>
      <x:c r="G1338" s="37" t="str">
        <x:v>84.25</x:v>
      </x:c>
      <x:c r="H1338" s="37" t="str">
        <x:v>0.00</x:v>
      </x:c>
      <x:c r="I1338" s="37" t="str">
        <x:v>84.25</x:v>
      </x:c>
      <x:c r="J1338" s="37" t="str">
        <x:v>0.00</x:v>
      </x:c>
      <x:c r="K1338" s="37" t="str">
        <x:v>0.00</x:v>
      </x:c>
      <x:c r="L1338" s="37" t="str">
        <x:v>176</x:v>
      </x:c>
      <x:c r="M1338" s="29" t="str">
        <x:v>98.27</x:v>
      </x:c>
      <x:c r="N1338" s="29" t="str">
        <x:v>64.03</x:v>
      </x:c>
      <x:c r="O1338" s="29" t="str">
        <x:v>34.24</x:v>
      </x:c>
      <x:c r="P1338" s="18" t="str">
        <x:v>2026-07-21</x:v>
      </x:c>
      <x:c r="Q1338" s="36" t="n">
        <x:v>46224</x:v>
      </x:c>
    </x:row>
    <x:row r="1339">
      <x:c r="A1339" s="36" t="str">
        <x:v>2026-07-21</x:v>
      </x:c>
      <x:c r="B1339" s="18" t="str">
        <x:v>101437000_99891</x:v>
      </x:c>
      <x:c r="C1339" s="18" t="str">
        <x:v>【沪村小电】水韵紫城充电站</x:v>
      </x:c>
      <x:c r="D1339" s="37" t="str">
        <x:v>4</x:v>
      </x:c>
      <x:c r="E1339" s="37" t="str">
        <x:v>0</x:v>
      </x:c>
      <x:c r="F1339" s="37" t="str">
        <x:v>35</x:v>
      </x:c>
      <x:c r="G1339" s="37" t="str">
        <x:v>861.47</x:v>
      </x:c>
      <x:c r="H1339" s="37" t="str">
        <x:v>0.00</x:v>
      </x:c>
      <x:c r="I1339" s="37" t="str">
        <x:v>605.98</x:v>
      </x:c>
      <x:c r="J1339" s="37" t="str">
        <x:v>0.00</x:v>
      </x:c>
      <x:c r="K1339" s="37" t="str">
        <x:v>255.49</x:v>
      </x:c>
      <x:c r="L1339" s="37" t="str">
        <x:v>1295</x:v>
      </x:c>
      <x:c r="M1339" s="29" t="str">
        <x:v>757.97</x:v>
      </x:c>
      <x:c r="N1339" s="29" t="str">
        <x:v>524.76</x:v>
      </x:c>
      <x:c r="O1339" s="29" t="str">
        <x:v>233.21</x:v>
      </x:c>
      <x:c r="P1339" s="18" t="str">
        <x:v>2026-07-21</x:v>
      </x:c>
      <x:c r="Q1339" s="36" t="n">
        <x:v>46224</x:v>
      </x:c>
    </x:row>
    <x:row r="1340">
      <x:c r="A1340" s="36" t="str">
        <x:v>2026-07-20</x:v>
      </x:c>
      <x:c r="B1340" s="18" t="str">
        <x:v>101437000_101531</x:v>
      </x:c>
      <x:c r="C1340" s="18" t="str">
        <x:v>【沪村小电】汇中苑充电站</x:v>
      </x:c>
      <x:c r="D1340" s="37" t="str">
        <x:v>2</x:v>
      </x:c>
      <x:c r="E1340" s="37" t="str">
        <x:v>0</x:v>
      </x:c>
      <x:c r="F1340" s="37" t="str">
        <x:v>18</x:v>
      </x:c>
      <x:c r="G1340" s="37" t="str">
        <x:v>209.32</x:v>
      </x:c>
      <x:c r="H1340" s="37" t="str">
        <x:v>0.00</x:v>
      </x:c>
      <x:c r="I1340" s="37" t="str">
        <x:v>12.75</x:v>
      </x:c>
      <x:c r="J1340" s="37" t="str">
        <x:v>196.57</x:v>
      </x:c>
      <x:c r="K1340" s="37" t="str">
        <x:v>0.00</x:v>
      </x:c>
      <x:c r="L1340" s="37" t="str">
        <x:v>345</x:v>
      </x:c>
      <x:c r="M1340" s="29" t="str">
        <x:v>199.87</x:v>
      </x:c>
      <x:c r="N1340" s="29" t="str">
        <x:v>151.24</x:v>
      </x:c>
      <x:c r="O1340" s="29" t="str">
        <x:v>48.63</x:v>
      </x:c>
      <x:c r="P1340" s="18" t="str">
        <x:v>2026-07-20</x:v>
      </x:c>
      <x:c r="Q1340" s="36" t="n">
        <x:v>46223</x:v>
      </x:c>
    </x:row>
    <x:row r="1341">
      <x:c r="A1341" s="36" t="str">
        <x:v>2026-07-20</x:v>
      </x:c>
      <x:c r="B1341" s="18" t="str">
        <x:v>101437000_102047</x:v>
      </x:c>
      <x:c r="C1341" s="18" t="str">
        <x:v>【沪村小电】后浜小区9弄小区南面停车场充电站</x:v>
      </x:c>
      <x:c r="D1341" s="37" t="str">
        <x:v>8</x:v>
      </x:c>
      <x:c r="E1341" s="37" t="str">
        <x:v>0</x:v>
      </x:c>
      <x:c r="F1341" s="37" t="str">
        <x:v>5</x:v>
      </x:c>
      <x:c r="G1341" s="37" t="str">
        <x:v>91.36</x:v>
      </x:c>
      <x:c r="H1341" s="37" t="str">
        <x:v>0.00</x:v>
      </x:c>
      <x:c r="I1341" s="37" t="str">
        <x:v>40.98</x:v>
      </x:c>
      <x:c r="J1341" s="37" t="str">
        <x:v>0.00</x:v>
      </x:c>
      <x:c r="K1341" s="37" t="str">
        <x:v>50.38</x:v>
      </x:c>
      <x:c r="L1341" s="37" t="str">
        <x:v>101</x:v>
      </x:c>
      <x:c r="M1341" s="29" t="str">
        <x:v>80.93</x:v>
      </x:c>
      <x:c r="N1341" s="29" t="str">
        <x:v>56.13</x:v>
      </x:c>
      <x:c r="O1341" s="29" t="str">
        <x:v>24.80</x:v>
      </x:c>
      <x:c r="P1341" s="18" t="str">
        <x:v>2026-07-20</x:v>
      </x:c>
      <x:c r="Q1341" s="36" t="n">
        <x:v>46223</x:v>
      </x:c>
    </x:row>
    <x:row r="1342">
      <x:c r="A1342" s="36" t="str">
        <x:v>2026-07-20</x:v>
      </x:c>
      <x:c r="B1342" s="18" t="str">
        <x:v>101437000_103503</x:v>
      </x:c>
      <x:c r="C1342" s="18" t="str">
        <x:v>【沪村小电】阳光城新界充电站</x:v>
      </x:c>
      <x:c r="D1342" s="37" t="str">
        <x:v>4</x:v>
      </x:c>
      <x:c r="E1342" s="37" t="str">
        <x:v>0</x:v>
      </x:c>
      <x:c r="F1342" s="37" t="str">
        <x:v>12</x:v>
      </x:c>
      <x:c r="G1342" s="37" t="str">
        <x:v>260.97</x:v>
      </x:c>
      <x:c r="H1342" s="37" t="str">
        <x:v>0.00</x:v>
      </x:c>
      <x:c r="I1342" s="37" t="str">
        <x:v>215.72</x:v>
      </x:c>
      <x:c r="J1342" s="37" t="str">
        <x:v>0.00</x:v>
      </x:c>
      <x:c r="K1342" s="37" t="str">
        <x:v>45.26</x:v>
      </x:c>
      <x:c r="L1342" s="37" t="str">
        <x:v>370</x:v>
      </x:c>
      <x:c r="M1342" s="29" t="str">
        <x:v>287.86</x:v>
      </x:c>
      <x:c r="N1342" s="29" t="str">
        <x:v>186.34</x:v>
      </x:c>
      <x:c r="O1342" s="29" t="str">
        <x:v>101.52</x:v>
      </x:c>
      <x:c r="P1342" s="18" t="str">
        <x:v>2026-07-20</x:v>
      </x:c>
      <x:c r="Q1342" s="36" t="n">
        <x:v>46223</x:v>
      </x:c>
    </x:row>
    <x:row r="1343">
      <x:c r="A1343" s="36" t="str">
        <x:v>2026-07-20</x:v>
      </x:c>
      <x:c r="B1343" s="18" t="str">
        <x:v>101437000_41561</x:v>
      </x:c>
      <x:c r="C1343" s="18" t="str">
        <x:v>【沪村小电】张施小区大门处快充站</x:v>
      </x:c>
      <x:c r="D1343" s="37" t="str">
        <x:v>2</x:v>
      </x:c>
      <x:c r="E1343" s="37" t="str">
        <x:v>0</x:v>
      </x:c>
      <x:c r="F1343" s="37" t="str">
        <x:v>49</x:v>
      </x:c>
      <x:c r="G1343" s="37" t="str">
        <x:v>1232.16</x:v>
      </x:c>
      <x:c r="H1343" s="37" t="str">
        <x:v>0.00</x:v>
      </x:c>
      <x:c r="I1343" s="37" t="str">
        <x:v>696.10</x:v>
      </x:c>
      <x:c r="J1343" s="37" t="str">
        <x:v>0.00</x:v>
      </x:c>
      <x:c r="K1343" s="37" t="str">
        <x:v>536.06</x:v>
      </x:c>
      <x:c r="L1343" s="37" t="str">
        <x:v>2027</x:v>
      </x:c>
      <x:c r="M1343" s="29" t="str">
        <x:v>975.67</x:v>
      </x:c>
      <x:c r="N1343" s="29" t="str">
        <x:v>692.58</x:v>
      </x:c>
      <x:c r="O1343" s="29" t="str">
        <x:v>283.09</x:v>
      </x:c>
      <x:c r="P1343" s="18" t="str">
        <x:v>2026-07-20</x:v>
      </x:c>
      <x:c r="Q1343" s="36" t="n">
        <x:v>46223</x:v>
      </x:c>
    </x:row>
    <x:row r="1344">
      <x:c r="A1344" s="36" t="str">
        <x:v>2026-07-20</x:v>
      </x:c>
      <x:c r="B1344" s="18" t="str">
        <x:v>101437000_41563</x:v>
      </x:c>
      <x:c r="C1344" s="18" t="str">
        <x:v>【沪村小电】同心村快充站</x:v>
      </x:c>
      <x:c r="D1344" s="37" t="str">
        <x:v>4</x:v>
      </x:c>
      <x:c r="E1344" s="37" t="str">
        <x:v>0</x:v>
      </x:c>
      <x:c r="F1344" s="37" t="str">
        <x:v>68</x:v>
      </x:c>
      <x:c r="G1344" s="37" t="str">
        <x:v>1531.84</x:v>
      </x:c>
      <x:c r="H1344" s="37" t="str">
        <x:v>0.00</x:v>
      </x:c>
      <x:c r="I1344" s="37" t="str">
        <x:v>1077.85</x:v>
      </x:c>
      <x:c r="J1344" s="37" t="str">
        <x:v>0.00</x:v>
      </x:c>
      <x:c r="K1344" s="37" t="str">
        <x:v>453.99</x:v>
      </x:c>
      <x:c r="L1344" s="37" t="str">
        <x:v>2668</x:v>
      </x:c>
      <x:c r="M1344" s="29" t="str">
        <x:v>1419.55</x:v>
      </x:c>
      <x:c r="N1344" s="29" t="str">
        <x:v>933.26</x:v>
      </x:c>
      <x:c r="O1344" s="29" t="str">
        <x:v>486.29</x:v>
      </x:c>
      <x:c r="P1344" s="18" t="str">
        <x:v>2026-07-20</x:v>
      </x:c>
      <x:c r="Q1344" s="36" t="n">
        <x:v>46223</x:v>
      </x:c>
    </x:row>
    <x:row r="1345">
      <x:c r="A1345" s="36" t="str">
        <x:v>2026-07-20</x:v>
      </x:c>
      <x:c r="B1345" s="18" t="str">
        <x:v>101437000_69629</x:v>
      </x:c>
      <x:c r="C1345" s="18" t="str">
        <x:v>【沪村小电】骏丰玲珑坊西苑充电站</x:v>
      </x:c>
      <x:c r="D1345" s="37" t="str">
        <x:v>2</x:v>
      </x:c>
      <x:c r="E1345" s="37" t="str">
        <x:v>0</x:v>
      </x:c>
      <x:c r="F1345" s="37" t="str">
        <x:v>61</x:v>
      </x:c>
      <x:c r="G1345" s="37" t="str">
        <x:v>1447.59</x:v>
      </x:c>
      <x:c r="H1345" s="37" t="str">
        <x:v>0.00</x:v>
      </x:c>
      <x:c r="I1345" s="37" t="str">
        <x:v>817.32</x:v>
      </x:c>
      <x:c r="J1345" s="37" t="str">
        <x:v>0.00</x:v>
      </x:c>
      <x:c r="K1345" s="37" t="str">
        <x:v>630.27</x:v>
      </x:c>
      <x:c r="L1345" s="37" t="str">
        <x:v>2482</x:v>
      </x:c>
      <x:c r="M1345" s="29" t="str">
        <x:v>1202.48</x:v>
      </x:c>
      <x:c r="N1345" s="29" t="str">
        <x:v>813.48</x:v>
      </x:c>
      <x:c r="O1345" s="29" t="str">
        <x:v>389.00</x:v>
      </x:c>
      <x:c r="P1345" s="18" t="str">
        <x:v>2026-07-20</x:v>
      </x:c>
      <x:c r="Q1345" s="36" t="n">
        <x:v>46223</x:v>
      </x:c>
    </x:row>
    <x:row r="1346">
      <x:c r="A1346" s="36" t="str">
        <x:v>2026-07-20</x:v>
      </x:c>
      <x:c r="B1346" s="18" t="str">
        <x:v>101437000_70547</x:v>
      </x:c>
      <x:c r="C1346" s="18" t="str">
        <x:v>【沪村小电】农建村初心馆党群服务中心充电站</x:v>
      </x:c>
      <x:c r="D1346" s="37" t="str">
        <x:v>4</x:v>
      </x:c>
      <x:c r="E1346" s="37" t="str">
        <x:v>0</x:v>
      </x:c>
      <x:c r="F1346" s="37" t="str">
        <x:v>36</x:v>
      </x:c>
      <x:c r="G1346" s="37" t="str">
        <x:v>767.80</x:v>
      </x:c>
      <x:c r="H1346" s="37" t="str">
        <x:v>0.00</x:v>
      </x:c>
      <x:c r="I1346" s="37" t="str">
        <x:v>522.84</x:v>
      </x:c>
      <x:c r="J1346" s="37" t="str">
        <x:v>0.00</x:v>
      </x:c>
      <x:c r="K1346" s="37" t="str">
        <x:v>244.96</x:v>
      </x:c>
      <x:c r="L1346" s="37" t="str">
        <x:v>1431</x:v>
      </x:c>
      <x:c r="M1346" s="29" t="str">
        <x:v>714.14</x:v>
      </x:c>
      <x:c r="N1346" s="29" t="str">
        <x:v>461.87</x:v>
      </x:c>
      <x:c r="O1346" s="29" t="str">
        <x:v>252.27</x:v>
      </x:c>
      <x:c r="P1346" s="18" t="str">
        <x:v>2026-07-20</x:v>
      </x:c>
      <x:c r="Q1346" s="36" t="n">
        <x:v>46223</x:v>
      </x:c>
    </x:row>
    <x:row r="1347">
      <x:c r="A1347" s="36" t="str">
        <x:v>2026-07-20</x:v>
      </x:c>
      <x:c r="B1347" s="18" t="str">
        <x:v>101437000_70549</x:v>
      </x:c>
      <x:c r="C1347" s="18" t="str">
        <x:v>【沪村小电】学府路充电站</x:v>
      </x:c>
      <x:c r="D1347" s="37" t="str">
        <x:v>2</x:v>
      </x:c>
      <x:c r="E1347" s="37" t="str">
        <x:v>0</x:v>
      </x:c>
      <x:c r="F1347" s="37" t="str">
        <x:v>15</x:v>
      </x:c>
      <x:c r="G1347" s="37" t="str">
        <x:v>316.27</x:v>
      </x:c>
      <x:c r="H1347" s="37" t="str">
        <x:v>0.00</x:v>
      </x:c>
      <x:c r="I1347" s="37" t="str">
        <x:v>175.98</x:v>
      </x:c>
      <x:c r="J1347" s="37" t="str">
        <x:v>0.00</x:v>
      </x:c>
      <x:c r="K1347" s="37" t="str">
        <x:v>140.29</x:v>
      </x:c>
      <x:c r="L1347" s="37" t="str">
        <x:v>568</x:v>
      </x:c>
      <x:c r="M1347" s="29" t="str">
        <x:v>296.34</x:v>
      </x:c>
      <x:c r="N1347" s="29" t="str">
        <x:v>176.86</x:v>
      </x:c>
      <x:c r="O1347" s="29" t="str">
        <x:v>119.48</x:v>
      </x:c>
      <x:c r="P1347" s="18" t="str">
        <x:v>2026-07-20</x:v>
      </x:c>
      <x:c r="Q1347" s="36" t="n">
        <x:v>46223</x:v>
      </x:c>
    </x:row>
    <x:row r="1348">
      <x:c r="A1348" s="36" t="str">
        <x:v>2026-07-20</x:v>
      </x:c>
      <x:c r="B1348" s="18" t="str">
        <x:v>101437000_71059</x:v>
      </x:c>
      <x:c r="C1348" s="18" t="str">
        <x:v>【沪村小电】宝乐汇商业广场站</x:v>
      </x:c>
      <x:c r="D1348" s="37" t="str">
        <x:v>4</x:v>
      </x:c>
      <x:c r="E1348" s="37" t="str">
        <x:v>0</x:v>
      </x:c>
      <x:c r="F1348" s="37" t="str">
        <x:v>23</x:v>
      </x:c>
      <x:c r="G1348" s="37" t="str">
        <x:v>549.53</x:v>
      </x:c>
      <x:c r="H1348" s="37" t="str">
        <x:v>0.00</x:v>
      </x:c>
      <x:c r="I1348" s="37" t="str">
        <x:v>276.47</x:v>
      </x:c>
      <x:c r="J1348" s="37" t="str">
        <x:v>0.00</x:v>
      </x:c>
      <x:c r="K1348" s="37" t="str">
        <x:v>273.06</x:v>
      </x:c>
      <x:c r="L1348" s="37" t="str">
        <x:v>1045</x:v>
      </x:c>
      <x:c r="M1348" s="29" t="str">
        <x:v>512.85</x:v>
      </x:c>
      <x:c r="N1348" s="29" t="str">
        <x:v>374.43</x:v>
      </x:c>
      <x:c r="O1348" s="29" t="str">
        <x:v>138.42</x:v>
      </x:c>
      <x:c r="P1348" s="18" t="str">
        <x:v>2026-07-20</x:v>
      </x:c>
      <x:c r="Q1348" s="36" t="n">
        <x:v>46223</x:v>
      </x:c>
    </x:row>
    <x:row r="1349">
      <x:c r="A1349" s="36" t="str">
        <x:v>2026-07-20</x:v>
      </x:c>
      <x:c r="B1349" s="18" t="str">
        <x:v>101437000_72541</x:v>
      </x:c>
      <x:c r="C1349" s="18" t="str">
        <x:v>【沪村小电】九干路1174弄充电站</x:v>
      </x:c>
      <x:c r="D1349" s="37" t="str">
        <x:v>2</x:v>
      </x:c>
      <x:c r="E1349" s="37" t="str">
        <x:v>0</x:v>
      </x:c>
      <x:c r="F1349" s="37" t="str">
        <x:v>53</x:v>
      </x:c>
      <x:c r="G1349" s="37" t="str">
        <x:v>1358.81</x:v>
      </x:c>
      <x:c r="H1349" s="37" t="str">
        <x:v>0.00</x:v>
      </x:c>
      <x:c r="I1349" s="37" t="str">
        <x:v>673.95</x:v>
      </x:c>
      <x:c r="J1349" s="37" t="str">
        <x:v>0.00</x:v>
      </x:c>
      <x:c r="K1349" s="37" t="str">
        <x:v>684.85</x:v>
      </x:c>
      <x:c r="L1349" s="37" t="str">
        <x:v>1944</x:v>
      </x:c>
      <x:c r="M1349" s="29" t="str">
        <x:v>1078.13</x:v>
      </x:c>
      <x:c r="N1349" s="29" t="str">
        <x:v>731.95</x:v>
      </x:c>
      <x:c r="O1349" s="29" t="str">
        <x:v>346.18</x:v>
      </x:c>
      <x:c r="P1349" s="18" t="str">
        <x:v>2026-07-20</x:v>
      </x:c>
      <x:c r="Q1349" s="36" t="n">
        <x:v>46223</x:v>
      </x:c>
    </x:row>
    <x:row r="1350">
      <x:c r="A1350" s="36" t="str">
        <x:v>2026-07-20</x:v>
      </x:c>
      <x:c r="B1350" s="18" t="str">
        <x:v>101437000_72543</x:v>
      </x:c>
      <x:c r="C1350" s="18" t="str">
        <x:v>【沪村小电】叶家中心村小区充电站</x:v>
      </x:c>
      <x:c r="D1350" s="37" t="str">
        <x:v>2</x:v>
      </x:c>
      <x:c r="E1350" s="37" t="str">
        <x:v>0</x:v>
      </x:c>
      <x:c r="F1350" s="37" t="str">
        <x:v>30</x:v>
      </x:c>
      <x:c r="G1350" s="37" t="str">
        <x:v>757.37</x:v>
      </x:c>
      <x:c r="H1350" s="37" t="str">
        <x:v>0.00</x:v>
      </x:c>
      <x:c r="I1350" s="37" t="str">
        <x:v>315.30</x:v>
      </x:c>
      <x:c r="J1350" s="37" t="str">
        <x:v>0.00</x:v>
      </x:c>
      <x:c r="K1350" s="37" t="str">
        <x:v>442.07</x:v>
      </x:c>
      <x:c r="L1350" s="37" t="str">
        <x:v>1464</x:v>
      </x:c>
      <x:c r="M1350" s="29" t="str">
        <x:v>616.69</x:v>
      </x:c>
      <x:c r="N1350" s="29" t="str">
        <x:v>387.43</x:v>
      </x:c>
      <x:c r="O1350" s="29" t="str">
        <x:v>229.26</x:v>
      </x:c>
      <x:c r="P1350" s="18" t="str">
        <x:v>2026-07-20</x:v>
      </x:c>
      <x:c r="Q1350" s="36" t="n">
        <x:v>46223</x:v>
      </x:c>
    </x:row>
    <x:row r="1351">
      <x:c r="A1351" s="36" t="str">
        <x:v>2026-07-20</x:v>
      </x:c>
      <x:c r="B1351" s="18" t="str">
        <x:v>101437000_72937</x:v>
      </x:c>
      <x:c r="C1351" s="18" t="str">
        <x:v>【沪村小电】佘北家园茸腾苑充电站</x:v>
      </x:c>
      <x:c r="D1351" s="37" t="str">
        <x:v>4</x:v>
      </x:c>
      <x:c r="E1351" s="37" t="str">
        <x:v>0</x:v>
      </x:c>
      <x:c r="F1351" s="37" t="str">
        <x:v>17</x:v>
      </x:c>
      <x:c r="G1351" s="37" t="str">
        <x:v>350.19</x:v>
      </x:c>
      <x:c r="H1351" s="37" t="str">
        <x:v>0.00</x:v>
      </x:c>
      <x:c r="I1351" s="37" t="str">
        <x:v>350.19</x:v>
      </x:c>
      <x:c r="J1351" s="37" t="str">
        <x:v>0.00</x:v>
      </x:c>
      <x:c r="K1351" s="37" t="str">
        <x:v>0.00</x:v>
      </x:c>
      <x:c r="L1351" s="37" t="str">
        <x:v>741</x:v>
      </x:c>
      <x:c r="M1351" s="29" t="str">
        <x:v>363.37</x:v>
      </x:c>
      <x:c r="N1351" s="29" t="str">
        <x:v>248.64</x:v>
      </x:c>
      <x:c r="O1351" s="29" t="str">
        <x:v>114.73</x:v>
      </x:c>
      <x:c r="P1351" s="18" t="str">
        <x:v>2026-07-20</x:v>
      </x:c>
      <x:c r="Q1351" s="36" t="n">
        <x:v>46223</x:v>
      </x:c>
    </x:row>
    <x:row r="1352">
      <x:c r="A1352" s="36" t="str">
        <x:v>2026-07-20</x:v>
      </x:c>
      <x:c r="B1352" s="18" t="str">
        <x:v>101437000_74223</x:v>
      </x:c>
      <x:c r="C1352" s="18" t="str">
        <x:v>【沪村小电】中兴村委会充电站</x:v>
      </x:c>
      <x:c r="D1352" s="37" t="str">
        <x:v>2</x:v>
      </x:c>
      <x:c r="E1352" s="37" t="str">
        <x:v>0</x:v>
      </x:c>
      <x:c r="F1352" s="37" t="str">
        <x:v>39</x:v>
      </x:c>
      <x:c r="G1352" s="37" t="str">
        <x:v>898.76</x:v>
      </x:c>
      <x:c r="H1352" s="37" t="str">
        <x:v>0.00</x:v>
      </x:c>
      <x:c r="I1352" s="37" t="str">
        <x:v>605.03</x:v>
      </x:c>
      <x:c r="J1352" s="37" t="str">
        <x:v>0.00</x:v>
      </x:c>
      <x:c r="K1352" s="37" t="str">
        <x:v>293.73</x:v>
      </x:c>
      <x:c r="L1352" s="37" t="str">
        <x:v>1523</x:v>
      </x:c>
      <x:c r="M1352" s="29" t="str">
        <x:v>821.63</x:v>
      </x:c>
      <x:c r="N1352" s="29" t="str">
        <x:v>538.26</x:v>
      </x:c>
      <x:c r="O1352" s="29" t="str">
        <x:v>283.37</x:v>
      </x:c>
      <x:c r="P1352" s="18" t="str">
        <x:v>2026-07-20</x:v>
      </x:c>
      <x:c r="Q1352" s="36" t="n">
        <x:v>46223</x:v>
      </x:c>
    </x:row>
    <x:row r="1353">
      <x:c r="A1353" s="36" t="str">
        <x:v>2026-07-20</x:v>
      </x:c>
      <x:c r="B1353" s="18" t="str">
        <x:v>101437000_74801</x:v>
      </x:c>
      <x:c r="C1353" s="18" t="str">
        <x:v>【沪村小电】申良花园充电站</x:v>
      </x:c>
      <x:c r="D1353" s="37" t="str">
        <x:v>4</x:v>
      </x:c>
      <x:c r="E1353" s="37" t="str">
        <x:v>0</x:v>
      </x:c>
      <x:c r="F1353" s="37" t="str">
        <x:v>9</x:v>
      </x:c>
      <x:c r="G1353" s="37" t="str">
        <x:v>286.77</x:v>
      </x:c>
      <x:c r="H1353" s="37" t="str">
        <x:v>0.00</x:v>
      </x:c>
      <x:c r="I1353" s="37" t="str">
        <x:v>239.24</x:v>
      </x:c>
      <x:c r="J1353" s="37" t="str">
        <x:v>0.00</x:v>
      </x:c>
      <x:c r="K1353" s="37" t="str">
        <x:v>47.53</x:v>
      </x:c>
      <x:c r="L1353" s="37" t="str">
        <x:v>360</x:v>
      </x:c>
      <x:c r="M1353" s="29" t="str">
        <x:v>277.06</x:v>
      </x:c>
      <x:c r="N1353" s="29" t="str">
        <x:v>187.44</x:v>
      </x:c>
      <x:c r="O1353" s="29" t="str">
        <x:v>89.62</x:v>
      </x:c>
      <x:c r="P1353" s="18" t="str">
        <x:v>2026-07-20</x:v>
      </x:c>
      <x:c r="Q1353" s="36" t="n">
        <x:v>46223</x:v>
      </x:c>
    </x:row>
    <x:row r="1354">
      <x:c r="A1354" s="36" t="str">
        <x:v>2026-07-20</x:v>
      </x:c>
      <x:c r="B1354" s="18" t="str">
        <x:v>101437000_74931</x:v>
      </x:c>
      <x:c r="C1354" s="18" t="str">
        <x:v>【沪村小电】枫雅南居充电站</x:v>
      </x:c>
      <x:c r="D1354" s="37" t="str">
        <x:v>2</x:v>
      </x:c>
      <x:c r="E1354" s="37" t="str">
        <x:v>0</x:v>
      </x:c>
      <x:c r="F1354" s="37" t="str">
        <x:v>64</x:v>
      </x:c>
      <x:c r="G1354" s="37" t="str">
        <x:v>1860.24</x:v>
      </x:c>
      <x:c r="H1354" s="37" t="str">
        <x:v>0.00</x:v>
      </x:c>
      <x:c r="I1354" s="37" t="str">
        <x:v>1101.12</x:v>
      </x:c>
      <x:c r="J1354" s="37" t="str">
        <x:v>0.00</x:v>
      </x:c>
      <x:c r="K1354" s="37" t="str">
        <x:v>759.12</x:v>
      </x:c>
      <x:c r="L1354" s="37" t="str">
        <x:v>2644</x:v>
      </x:c>
      <x:c r="M1354" s="29" t="str">
        <x:v>1362.06</x:v>
      </x:c>
      <x:c r="N1354" s="29" t="str">
        <x:v>884.99</x:v>
      </x:c>
      <x:c r="O1354" s="29" t="str">
        <x:v>477.07</x:v>
      </x:c>
      <x:c r="P1354" s="18" t="str">
        <x:v>2026-07-20</x:v>
      </x:c>
      <x:c r="Q1354" s="36" t="n">
        <x:v>46223</x:v>
      </x:c>
    </x:row>
    <x:row r="1355">
      <x:c r="A1355" s="36" t="str">
        <x:v>2026-07-20</x:v>
      </x:c>
      <x:c r="B1355" s="18" t="str">
        <x:v>101437000_75901</x:v>
      </x:c>
      <x:c r="C1355" s="18" t="str">
        <x:v>【沪村小电】金悦学府</x:v>
      </x:c>
      <x:c r="D1355" s="37" t="str">
        <x:v>2</x:v>
      </x:c>
      <x:c r="E1355" s="37" t="str">
        <x:v>0</x:v>
      </x:c>
      <x:c r="F1355" s="37" t="str">
        <x:v>41</x:v>
      </x:c>
      <x:c r="G1355" s="37" t="str">
        <x:v>1090.84</x:v>
      </x:c>
      <x:c r="H1355" s="37" t="str">
        <x:v>0.00</x:v>
      </x:c>
      <x:c r="I1355" s="37" t="str">
        <x:v>523.22</x:v>
      </x:c>
      <x:c r="J1355" s="37" t="str">
        <x:v>0.00</x:v>
      </x:c>
      <x:c r="K1355" s="37" t="str">
        <x:v>567.61</x:v>
      </x:c>
      <x:c r="L1355" s="37" t="str">
        <x:v>1699</x:v>
      </x:c>
      <x:c r="M1355" s="29" t="str">
        <x:v>836.03</x:v>
      </x:c>
      <x:c r="N1355" s="29" t="str">
        <x:v>484.64</x:v>
      </x:c>
      <x:c r="O1355" s="29" t="str">
        <x:v>351.39</x:v>
      </x:c>
      <x:c r="P1355" s="18" t="str">
        <x:v>2026-07-20</x:v>
      </x:c>
      <x:c r="Q1355" s="36" t="n">
        <x:v>46223</x:v>
      </x:c>
    </x:row>
    <x:row r="1356">
      <x:c r="A1356" s="36" t="str">
        <x:v>2026-07-20</x:v>
      </x:c>
      <x:c r="B1356" s="18" t="str">
        <x:v>101437000_76091</x:v>
      </x:c>
      <x:c r="C1356" s="18" t="str">
        <x:v>【沪村小电】恒信家园充电站</x:v>
      </x:c>
      <x:c r="D1356" s="37" t="str">
        <x:v>2</x:v>
      </x:c>
      <x:c r="E1356" s="37" t="str">
        <x:v>0</x:v>
      </x:c>
      <x:c r="F1356" s="37" t="str">
        <x:v>47</x:v>
      </x:c>
      <x:c r="G1356" s="37" t="str">
        <x:v>632.12</x:v>
      </x:c>
      <x:c r="H1356" s="37" t="str">
        <x:v>0.00</x:v>
      </x:c>
      <x:c r="I1356" s="37" t="str">
        <x:v>384.43</x:v>
      </x:c>
      <x:c r="J1356" s="37" t="str">
        <x:v>0.00</x:v>
      </x:c>
      <x:c r="K1356" s="37" t="str">
        <x:v>247.69</x:v>
      </x:c>
      <x:c r="L1356" s="37" t="str">
        <x:v>1117</x:v>
      </x:c>
      <x:c r="M1356" s="29" t="str">
        <x:v>606.14</x:v>
      </x:c>
      <x:c r="N1356" s="29" t="str">
        <x:v>364.57</x:v>
      </x:c>
      <x:c r="O1356" s="29" t="str">
        <x:v>241.57</x:v>
      </x:c>
      <x:c r="P1356" s="18" t="str">
        <x:v>2026-07-20</x:v>
      </x:c>
      <x:c r="Q1356" s="36" t="n">
        <x:v>46223</x:v>
      </x:c>
    </x:row>
    <x:row r="1357">
      <x:c r="A1357" s="36" t="str">
        <x:v>2026-07-20</x:v>
      </x:c>
      <x:c r="B1357" s="18" t="str">
        <x:v>101437000_76417</x:v>
      </x:c>
      <x:c r="C1357" s="18" t="str">
        <x:v>【沪村小电】新春一组充电站</x:v>
      </x:c>
      <x:c r="D1357" s="37" t="str">
        <x:v>2</x:v>
      </x:c>
      <x:c r="E1357" s="37" t="str">
        <x:v>0</x:v>
      </x:c>
      <x:c r="F1357" s="37" t="str">
        <x:v>26</x:v>
      </x:c>
      <x:c r="G1357" s="37" t="str">
        <x:v>761.85</x:v>
      </x:c>
      <x:c r="H1357" s="37" t="str">
        <x:v>0.00</x:v>
      </x:c>
      <x:c r="I1357" s="37" t="str">
        <x:v>330.36</x:v>
      </x:c>
      <x:c r="J1357" s="37" t="str">
        <x:v>0.00</x:v>
      </x:c>
      <x:c r="K1357" s="37" t="str">
        <x:v>431.49</x:v>
      </x:c>
      <x:c r="L1357" s="37" t="str">
        <x:v>1197</x:v>
      </x:c>
      <x:c r="M1357" s="29" t="str">
        <x:v>572.24</x:v>
      </x:c>
      <x:c r="N1357" s="29" t="str">
        <x:v>394.18</x:v>
      </x:c>
      <x:c r="O1357" s="29" t="str">
        <x:v>178.06</x:v>
      </x:c>
      <x:c r="P1357" s="18" t="str">
        <x:v>2026-07-20</x:v>
      </x:c>
      <x:c r="Q1357" s="36" t="n">
        <x:v>46223</x:v>
      </x:c>
    </x:row>
    <x:row r="1358">
      <x:c r="A1358" s="36" t="str">
        <x:v>2026-07-20</x:v>
      </x:c>
      <x:c r="B1358" s="18" t="str">
        <x:v>101437000_78235</x:v>
      </x:c>
      <x:c r="C1358" s="18" t="str">
        <x:v>【沪村小电】欣秋苑充电站</x:v>
      </x:c>
      <x:c r="D1358" s="37" t="str">
        <x:v>4</x:v>
      </x:c>
      <x:c r="E1358" s="37" t="str">
        <x:v>0</x:v>
      </x:c>
      <x:c r="F1358" s="37" t="str">
        <x:v>18</x:v>
      </x:c>
      <x:c r="G1358" s="37" t="str">
        <x:v>432.32</x:v>
      </x:c>
      <x:c r="H1358" s="37" t="str">
        <x:v>0.00</x:v>
      </x:c>
      <x:c r="I1358" s="37" t="str">
        <x:v>330.90</x:v>
      </x:c>
      <x:c r="J1358" s="37" t="str">
        <x:v>0.00</x:v>
      </x:c>
      <x:c r="K1358" s="37" t="str">
        <x:v>101.42</x:v>
      </x:c>
      <x:c r="L1358" s="37" t="str">
        <x:v>686</x:v>
      </x:c>
      <x:c r="M1358" s="29" t="str">
        <x:v>382.02</x:v>
      </x:c>
      <x:c r="N1358" s="29" t="str">
        <x:v>272.47</x:v>
      </x:c>
      <x:c r="O1358" s="29" t="str">
        <x:v>109.55</x:v>
      </x:c>
      <x:c r="P1358" s="18" t="str">
        <x:v>2026-07-20</x:v>
      </x:c>
      <x:c r="Q1358" s="36" t="n">
        <x:v>46223</x:v>
      </x:c>
    </x:row>
    <x:row r="1359">
      <x:c r="A1359" s="36" t="str">
        <x:v>2026-07-20</x:v>
      </x:c>
      <x:c r="B1359" s="18" t="str">
        <x:v>101437000_78237</x:v>
      </x:c>
      <x:c r="C1359" s="18" t="str">
        <x:v>【沪村小电】奉馨苑西门小区内北侧充电站</x:v>
      </x:c>
      <x:c r="D1359" s="37" t="str">
        <x:v>2</x:v>
      </x:c>
      <x:c r="E1359" s="37" t="str">
        <x:v>0</x:v>
      </x:c>
      <x:c r="F1359" s="37" t="str">
        <x:v>29</x:v>
      </x:c>
      <x:c r="G1359" s="37" t="str">
        <x:v>718.47</x:v>
      </x:c>
      <x:c r="H1359" s="37" t="str">
        <x:v>0.00</x:v>
      </x:c>
      <x:c r="I1359" s="37" t="str">
        <x:v>168.05</x:v>
      </x:c>
      <x:c r="J1359" s="37" t="str">
        <x:v>233.89</x:v>
      </x:c>
      <x:c r="K1359" s="37" t="str">
        <x:v>316.54</x:v>
      </x:c>
      <x:c r="L1359" s="37" t="str">
        <x:v>972</x:v>
      </x:c>
      <x:c r="M1359" s="29" t="str">
        <x:v>614.39</x:v>
      </x:c>
      <x:c r="N1359" s="29" t="str">
        <x:v>475.22</x:v>
      </x:c>
      <x:c r="O1359" s="29" t="str">
        <x:v>139.17</x:v>
      </x:c>
      <x:c r="P1359" s="18" t="str">
        <x:v>2026-07-20</x:v>
      </x:c>
      <x:c r="Q1359" s="36" t="n">
        <x:v>46223</x:v>
      </x:c>
    </x:row>
    <x:row r="1360">
      <x:c r="A1360" s="36" t="str">
        <x:v>2026-07-20</x:v>
      </x:c>
      <x:c r="B1360" s="18" t="str">
        <x:v>101437000_78239</x:v>
      </x:c>
      <x:c r="C1360" s="18" t="str">
        <x:v>【沪村小电】恒大佘山首府东门充电站</x:v>
      </x:c>
      <x:c r="D1360" s="37" t="str">
        <x:v>2</x:v>
      </x:c>
      <x:c r="E1360" s="37" t="str">
        <x:v>0</x:v>
      </x:c>
      <x:c r="F1360" s="37" t="str">
        <x:v>39</x:v>
      </x:c>
      <x:c r="G1360" s="37" t="str">
        <x:v>932.82</x:v>
      </x:c>
      <x:c r="H1360" s="37" t="str">
        <x:v>0.00</x:v>
      </x:c>
      <x:c r="I1360" s="37" t="str">
        <x:v>472.51</x:v>
      </x:c>
      <x:c r="J1360" s="37" t="str">
        <x:v>0.00</x:v>
      </x:c>
      <x:c r="K1360" s="37" t="str">
        <x:v>460.31</x:v>
      </x:c>
      <x:c r="L1360" s="37" t="str">
        <x:v>1343</x:v>
      </x:c>
      <x:c r="M1360" s="29" t="str">
        <x:v>764.85</x:v>
      </x:c>
      <x:c r="N1360" s="29" t="str">
        <x:v>505.80</x:v>
      </x:c>
      <x:c r="O1360" s="29" t="str">
        <x:v>259.05</x:v>
      </x:c>
      <x:c r="P1360" s="18" t="str">
        <x:v>2026-07-20</x:v>
      </x:c>
      <x:c r="Q1360" s="36" t="n">
        <x:v>46223</x:v>
      </x:c>
    </x:row>
    <x:row r="1361">
      <x:c r="A1361" s="36" t="str">
        <x:v>2026-07-20</x:v>
      </x:c>
      <x:c r="B1361" s="18" t="str">
        <x:v>101437000_80823</x:v>
      </x:c>
      <x:c r="C1361" s="18" t="str">
        <x:v>【沪村小电】上湖轩充电站</x:v>
      </x:c>
      <x:c r="D1361" s="37" t="str">
        <x:v>2</x:v>
      </x:c>
      <x:c r="E1361" s="37" t="str">
        <x:v>0</x:v>
      </x:c>
      <x:c r="F1361" s="37" t="str">
        <x:v>6</x:v>
      </x:c>
      <x:c r="G1361" s="37" t="str">
        <x:v>213.86</x:v>
      </x:c>
      <x:c r="H1361" s="37" t="str">
        <x:v>0.00</x:v>
      </x:c>
      <x:c r="I1361" s="37" t="str">
        <x:v>0.00</x:v>
      </x:c>
      <x:c r="J1361" s="37" t="str">
        <x:v>58.35</x:v>
      </x:c>
      <x:c r="K1361" s="37" t="str">
        <x:v>155.51</x:v>
      </x:c>
      <x:c r="L1361" s="37" t="str">
        <x:v>197</x:v>
      </x:c>
      <x:c r="M1361" s="29" t="str">
        <x:v>149.70</x:v>
      </x:c>
      <x:c r="N1361" s="29" t="str">
        <x:v>127.16</x:v>
      </x:c>
      <x:c r="O1361" s="29" t="str">
        <x:v>22.54</x:v>
      </x:c>
      <x:c r="P1361" s="18" t="str">
        <x:v>2026-07-20</x:v>
      </x:c>
      <x:c r="Q1361" s="36" t="n">
        <x:v>46223</x:v>
      </x:c>
    </x:row>
    <x:row r="1362">
      <x:c r="A1362" s="36" t="str">
        <x:v>2026-07-20</x:v>
      </x:c>
      <x:c r="B1362" s="18" t="str">
        <x:v>101437000_83019</x:v>
      </x:c>
      <x:c r="C1362" s="18" t="str">
        <x:v>【沪村小电】首创禧瑞云启东区充电站</x:v>
      </x:c>
      <x:c r="D1362" s="37" t="str">
        <x:v>2</x:v>
      </x:c>
      <x:c r="E1362" s="37" t="str">
        <x:v>0</x:v>
      </x:c>
      <x:c r="F1362" s="37" t="str">
        <x:v>32</x:v>
      </x:c>
      <x:c r="G1362" s="37" t="str">
        <x:v>882.47</x:v>
      </x:c>
      <x:c r="H1362" s="37" t="str">
        <x:v>0.00</x:v>
      </x:c>
      <x:c r="I1362" s="37" t="str">
        <x:v>632.52</x:v>
      </x:c>
      <x:c r="J1362" s="37" t="str">
        <x:v>0.00</x:v>
      </x:c>
      <x:c r="K1362" s="37" t="str">
        <x:v>249.95</x:v>
      </x:c>
      <x:c r="L1362" s="37" t="str">
        <x:v>1060</x:v>
      </x:c>
      <x:c r="M1362" s="29" t="str">
        <x:v>885.56</x:v>
      </x:c>
      <x:c r="N1362" s="29" t="str">
        <x:v>541.56</x:v>
      </x:c>
      <x:c r="O1362" s="29" t="str">
        <x:v>344.00</x:v>
      </x:c>
      <x:c r="P1362" s="18" t="str">
        <x:v>2026-07-20</x:v>
      </x:c>
      <x:c r="Q1362" s="36" t="n">
        <x:v>46223</x:v>
      </x:c>
    </x:row>
    <x:row r="1363">
      <x:c r="A1363" s="36" t="str">
        <x:v>2026-07-20</x:v>
      </x:c>
      <x:c r="B1363" s="18" t="str">
        <x:v>101437000_83093</x:v>
      </x:c>
      <x:c r="C1363" s="18" t="str">
        <x:v>【沪村小电】金茂未来时光里</x:v>
      </x:c>
      <x:c r="D1363" s="37" t="str">
        <x:v>2</x:v>
      </x:c>
      <x:c r="E1363" s="37" t="str">
        <x:v>0</x:v>
      </x:c>
      <x:c r="F1363" s="37" t="str">
        <x:v>61</x:v>
      </x:c>
      <x:c r="G1363" s="37" t="str">
        <x:v>1629.81</x:v>
      </x:c>
      <x:c r="H1363" s="37" t="str">
        <x:v>0.00</x:v>
      </x:c>
      <x:c r="I1363" s="37" t="str">
        <x:v>837.57</x:v>
      </x:c>
      <x:c r="J1363" s="37" t="str">
        <x:v>0.00</x:v>
      </x:c>
      <x:c r="K1363" s="37" t="str">
        <x:v>792.24</x:v>
      </x:c>
      <x:c r="L1363" s="37" t="str">
        <x:v>2176</x:v>
      </x:c>
      <x:c r="M1363" s="29" t="str">
        <x:v>1139.88</x:v>
      </x:c>
      <x:c r="N1363" s="29" t="str">
        <x:v>739.77</x:v>
      </x:c>
      <x:c r="O1363" s="29" t="str">
        <x:v>400.11</x:v>
      </x:c>
      <x:c r="P1363" s="18" t="str">
        <x:v>2026-07-20</x:v>
      </x:c>
      <x:c r="Q1363" s="36" t="n">
        <x:v>46223</x:v>
      </x:c>
    </x:row>
    <x:row r="1364">
      <x:c r="A1364" s="36" t="str">
        <x:v>2026-07-20</x:v>
      </x:c>
      <x:c r="B1364" s="18" t="str">
        <x:v>101437000_83911</x:v>
      </x:c>
      <x:c r="C1364" s="18" t="str">
        <x:v>【沪村小电】金瀚园充电站</x:v>
      </x:c>
      <x:c r="D1364" s="37" t="str">
        <x:v>2</x:v>
      </x:c>
      <x:c r="E1364" s="37" t="str">
        <x:v>0</x:v>
      </x:c>
      <x:c r="F1364" s="37" t="str">
        <x:v>45</x:v>
      </x:c>
      <x:c r="G1364" s="37" t="str">
        <x:v>1020.75</x:v>
      </x:c>
      <x:c r="H1364" s="37" t="str">
        <x:v>0.00</x:v>
      </x:c>
      <x:c r="I1364" s="37" t="str">
        <x:v>659.11</x:v>
      </x:c>
      <x:c r="J1364" s="37" t="str">
        <x:v>0.00</x:v>
      </x:c>
      <x:c r="K1364" s="37" t="str">
        <x:v>361.64</x:v>
      </x:c>
      <x:c r="L1364" s="37" t="str">
        <x:v>1532</x:v>
      </x:c>
      <x:c r="M1364" s="29" t="str">
        <x:v>890.09</x:v>
      </x:c>
      <x:c r="N1364" s="29" t="str">
        <x:v>601.79</x:v>
      </x:c>
      <x:c r="O1364" s="29" t="str">
        <x:v>288.30</x:v>
      </x:c>
      <x:c r="P1364" s="18" t="str">
        <x:v>2026-07-20</x:v>
      </x:c>
      <x:c r="Q1364" s="36" t="n">
        <x:v>46223</x:v>
      </x:c>
    </x:row>
    <x:row r="1365">
      <x:c r="A1365" s="36" t="str">
        <x:v>2026-07-20</x:v>
      </x:c>
      <x:c r="B1365" s="18" t="str">
        <x:v>101437000_83913</x:v>
      </x:c>
      <x:c r="C1365" s="18" t="str">
        <x:v>【沪村小电】新黎村充电站</x:v>
      </x:c>
      <x:c r="D1365" s="37" t="str">
        <x:v>2</x:v>
      </x:c>
      <x:c r="E1365" s="37" t="str">
        <x:v>0</x:v>
      </x:c>
      <x:c r="F1365" s="37" t="str">
        <x:v>71</x:v>
      </x:c>
      <x:c r="G1365" s="37" t="str">
        <x:v>1501.43</x:v>
      </x:c>
      <x:c r="H1365" s="37" t="str">
        <x:v>0.00</x:v>
      </x:c>
      <x:c r="I1365" s="37" t="str">
        <x:v>1228.80</x:v>
      </x:c>
      <x:c r="J1365" s="37" t="str">
        <x:v>0.00</x:v>
      </x:c>
      <x:c r="K1365" s="37" t="str">
        <x:v>272.63</x:v>
      </x:c>
      <x:c r="L1365" s="37" t="str">
        <x:v>2294</x:v>
      </x:c>
      <x:c r="M1365" s="29" t="str">
        <x:v>1372.48</x:v>
      </x:c>
      <x:c r="N1365" s="29" t="str">
        <x:v>973.32</x:v>
      </x:c>
      <x:c r="O1365" s="29" t="str">
        <x:v>399.16</x:v>
      </x:c>
      <x:c r="P1365" s="18" t="str">
        <x:v>2026-07-20</x:v>
      </x:c>
      <x:c r="Q1365" s="36" t="n">
        <x:v>46223</x:v>
      </x:c>
    </x:row>
    <x:row r="1366">
      <x:c r="A1366" s="36" t="str">
        <x:v>2026-07-20</x:v>
      </x:c>
      <x:c r="B1366" s="18" t="str">
        <x:v>101437000_83915</x:v>
      </x:c>
      <x:c r="C1366" s="18" t="str">
        <x:v>【沪村小电】长泰西郊别墅充电站</x:v>
      </x:c>
      <x:c r="D1366" s="37" t="str">
        <x:v>2</x:v>
      </x:c>
      <x:c r="E1366" s="37" t="str">
        <x:v>0</x:v>
      </x:c>
      <x:c r="F1366" s="37" t="str">
        <x:v>13</x:v>
      </x:c>
      <x:c r="G1366" s="37" t="str">
        <x:v>326.31</x:v>
      </x:c>
      <x:c r="H1366" s="37" t="str">
        <x:v>0.00</x:v>
      </x:c>
      <x:c r="I1366" s="37" t="str">
        <x:v>227.78</x:v>
      </x:c>
      <x:c r="J1366" s="37" t="str">
        <x:v>0.00</x:v>
      </x:c>
      <x:c r="K1366" s="37" t="str">
        <x:v>98.53</x:v>
      </x:c>
      <x:c r="L1366" s="37" t="str">
        <x:v>628</x:v>
      </x:c>
      <x:c r="M1366" s="29" t="str">
        <x:v>339.04</x:v>
      </x:c>
      <x:c r="N1366" s="29" t="str">
        <x:v>198.20</x:v>
      </x:c>
      <x:c r="O1366" s="29" t="str">
        <x:v>140.84</x:v>
      </x:c>
      <x:c r="P1366" s="18" t="str">
        <x:v>2026-07-20</x:v>
      </x:c>
      <x:c r="Q1366" s="36" t="n">
        <x:v>46223</x:v>
      </x:c>
    </x:row>
    <x:row r="1367">
      <x:c r="A1367" s="36" t="str">
        <x:v>2026-07-20</x:v>
      </x:c>
      <x:c r="B1367" s="18" t="str">
        <x:v>101437000_83917</x:v>
      </x:c>
      <x:c r="C1367" s="18" t="str">
        <x:v>【沪村小电】旭新华庭充电站</x:v>
      </x:c>
      <x:c r="D1367" s="37" t="str">
        <x:v>4</x:v>
      </x:c>
      <x:c r="E1367" s="37" t="str">
        <x:v>0</x:v>
      </x:c>
      <x:c r="F1367" s="37" t="str">
        <x:v>29</x:v>
      </x:c>
      <x:c r="G1367" s="37" t="str">
        <x:v>772.61</x:v>
      </x:c>
      <x:c r="H1367" s="37" t="str">
        <x:v>0.00</x:v>
      </x:c>
      <x:c r="I1367" s="37" t="str">
        <x:v>532.96</x:v>
      </x:c>
      <x:c r="J1367" s="37" t="str">
        <x:v>0.00</x:v>
      </x:c>
      <x:c r="K1367" s="37" t="str">
        <x:v>239.65</x:v>
      </x:c>
      <x:c r="L1367" s="37" t="str">
        <x:v>1207</x:v>
      </x:c>
      <x:c r="M1367" s="29" t="str">
        <x:v>814.01</x:v>
      </x:c>
      <x:c r="N1367" s="29" t="str">
        <x:v>467.06</x:v>
      </x:c>
      <x:c r="O1367" s="29" t="str">
        <x:v>346.95</x:v>
      </x:c>
      <x:c r="P1367" s="18" t="str">
        <x:v>2026-07-20</x:v>
      </x:c>
      <x:c r="Q1367" s="36" t="n">
        <x:v>46223</x:v>
      </x:c>
    </x:row>
    <x:row r="1368">
      <x:c r="A1368" s="36" t="str">
        <x:v>2026-07-20</x:v>
      </x:c>
      <x:c r="B1368" s="18" t="str">
        <x:v>101437000_83919</x:v>
      </x:c>
      <x:c r="C1368" s="18" t="str">
        <x:v>【沪村小电】浦锦名仕嘉园充电站</x:v>
      </x:c>
      <x:c r="D1368" s="37" t="str">
        <x:v>4</x:v>
      </x:c>
      <x:c r="E1368" s="37" t="str">
        <x:v>0</x:v>
      </x:c>
      <x:c r="F1368" s="37" t="str">
        <x:v>48</x:v>
      </x:c>
      <x:c r="G1368" s="37" t="str">
        <x:v>1123.00</x:v>
      </x:c>
      <x:c r="H1368" s="37" t="str">
        <x:v>0.00</x:v>
      </x:c>
      <x:c r="I1368" s="37" t="str">
        <x:v>0.00</x:v>
      </x:c>
      <x:c r="J1368" s="37" t="str">
        <x:v>1123.00</x:v>
      </x:c>
      <x:c r="K1368" s="37" t="str">
        <x:v>0.00</x:v>
      </x:c>
      <x:c r="L1368" s="37" t="str">
        <x:v>1723</x:v>
      </x:c>
      <x:c r="M1368" s="29" t="str">
        <x:v>1176.48</x:v>
      </x:c>
      <x:c r="N1368" s="29" t="str">
        <x:v>786.12</x:v>
      </x:c>
      <x:c r="O1368" s="29" t="str">
        <x:v>390.36</x:v>
      </x:c>
      <x:c r="P1368" s="18" t="str">
        <x:v>2026-07-20</x:v>
      </x:c>
      <x:c r="Q1368" s="36" t="n">
        <x:v>46223</x:v>
      </x:c>
    </x:row>
    <x:row r="1369">
      <x:c r="A1369" s="36" t="str">
        <x:v>2026-07-20</x:v>
      </x:c>
      <x:c r="B1369" s="18" t="str">
        <x:v>101437000_83921</x:v>
      </x:c>
      <x:c r="C1369" s="18" t="str">
        <x:v>【沪村小电】上海联怡枇杷乐园充电站（地库）</x:v>
      </x:c>
      <x:c r="D1369" s="37" t="str">
        <x:v>8</x:v>
      </x:c>
      <x:c r="E1369" s="37" t="str">
        <x:v>0</x:v>
      </x:c>
      <x:c r="F1369" s="37" t="str">
        <x:v>19</x:v>
      </x:c>
      <x:c r="G1369" s="37" t="str">
        <x:v>533.22</x:v>
      </x:c>
      <x:c r="H1369" s="37" t="str">
        <x:v>0.00</x:v>
      </x:c>
      <x:c r="I1369" s="37" t="str">
        <x:v>275.25</x:v>
      </x:c>
      <x:c r="J1369" s="37" t="str">
        <x:v>0.00</x:v>
      </x:c>
      <x:c r="K1369" s="37" t="str">
        <x:v>257.97</x:v>
      </x:c>
      <x:c r="L1369" s="37" t="str">
        <x:v>672</x:v>
      </x:c>
      <x:c r="M1369" s="29" t="str">
        <x:v>456.19</x:v>
      </x:c>
      <x:c r="N1369" s="29" t="str">
        <x:v>366.40</x:v>
      </x:c>
      <x:c r="O1369" s="29" t="str">
        <x:v>89.79</x:v>
      </x:c>
      <x:c r="P1369" s="18" t="str">
        <x:v>2026-07-20</x:v>
      </x:c>
      <x:c r="Q1369" s="36" t="n">
        <x:v>46223</x:v>
      </x:c>
    </x:row>
    <x:row r="1370">
      <x:c r="A1370" s="36" t="str">
        <x:v>2026-07-20</x:v>
      </x:c>
      <x:c r="B1370" s="18" t="str">
        <x:v>101437000_83923</x:v>
      </x:c>
      <x:c r="C1370" s="18" t="str">
        <x:v>【沪村小电】明珠新苑充电站</x:v>
      </x:c>
      <x:c r="D1370" s="37" t="str">
        <x:v>2</x:v>
      </x:c>
      <x:c r="E1370" s="37" t="str">
        <x:v>0</x:v>
      </x:c>
      <x:c r="F1370" s="37" t="str">
        <x:v>27</x:v>
      </x:c>
      <x:c r="G1370" s="37" t="str">
        <x:v>708.34</x:v>
      </x:c>
      <x:c r="H1370" s="37" t="str">
        <x:v>0.00</x:v>
      </x:c>
      <x:c r="I1370" s="37" t="str">
        <x:v>290.26</x:v>
      </x:c>
      <x:c r="J1370" s="37" t="str">
        <x:v>0.00</x:v>
      </x:c>
      <x:c r="K1370" s="37" t="str">
        <x:v>418.08</x:v>
      </x:c>
      <x:c r="L1370" s="37" t="str">
        <x:v>960</x:v>
      </x:c>
      <x:c r="M1370" s="29" t="str">
        <x:v>569.78</x:v>
      </x:c>
      <x:c r="N1370" s="29" t="str">
        <x:v>360.79</x:v>
      </x:c>
      <x:c r="O1370" s="29" t="str">
        <x:v>208.99</x:v>
      </x:c>
      <x:c r="P1370" s="18" t="str">
        <x:v>2026-07-20</x:v>
      </x:c>
      <x:c r="Q1370" s="36" t="n">
        <x:v>46223</x:v>
      </x:c>
    </x:row>
    <x:row r="1371">
      <x:c r="A1371" s="36" t="str">
        <x:v>2026-07-20</x:v>
      </x:c>
      <x:c r="B1371" s="18" t="str">
        <x:v>101437000_84289</x:v>
      </x:c>
      <x:c r="C1371" s="18" t="str">
        <x:v>【沪村小电】铁建芳华苑充电站</x:v>
      </x:c>
      <x:c r="D1371" s="37" t="str">
        <x:v>4</x:v>
      </x:c>
      <x:c r="E1371" s="37" t="str">
        <x:v>0</x:v>
      </x:c>
      <x:c r="F1371" s="37" t="str">
        <x:v>35</x:v>
      </x:c>
      <x:c r="G1371" s="37" t="str">
        <x:v>1000.89</x:v>
      </x:c>
      <x:c r="H1371" s="37" t="str">
        <x:v>0.00</x:v>
      </x:c>
      <x:c r="I1371" s="37" t="str">
        <x:v>700.48</x:v>
      </x:c>
      <x:c r="J1371" s="37" t="str">
        <x:v>0.00</x:v>
      </x:c>
      <x:c r="K1371" s="37" t="str">
        <x:v>300.41</x:v>
      </x:c>
      <x:c r="L1371" s="37" t="str">
        <x:v>1549</x:v>
      </x:c>
      <x:c r="M1371" s="29" t="str">
        <x:v>966.17</x:v>
      </x:c>
      <x:c r="N1371" s="29" t="str">
        <x:v>608.49</x:v>
      </x:c>
      <x:c r="O1371" s="29" t="str">
        <x:v>357.68</x:v>
      </x:c>
      <x:c r="P1371" s="18" t="str">
        <x:v>2026-07-20</x:v>
      </x:c>
      <x:c r="Q1371" s="36" t="n">
        <x:v>46223</x:v>
      </x:c>
    </x:row>
    <x:row r="1372">
      <x:c r="A1372" s="36" t="str">
        <x:v>2026-07-20</x:v>
      </x:c>
      <x:c r="B1372" s="18" t="str">
        <x:v>101437000_86379</x:v>
      </x:c>
      <x:c r="C1372" s="18" t="str">
        <x:v>【沪村小电】新宝社区充电站</x:v>
      </x:c>
      <x:c r="D1372" s="37" t="str">
        <x:v>4</x:v>
      </x:c>
      <x:c r="E1372" s="37" t="str">
        <x:v>0</x:v>
      </x:c>
      <x:c r="F1372" s="37" t="str">
        <x:v>28</x:v>
      </x:c>
      <x:c r="G1372" s="37" t="str">
        <x:v>688.16</x:v>
      </x:c>
      <x:c r="H1372" s="37" t="str">
        <x:v>0.00</x:v>
      </x:c>
      <x:c r="I1372" s="37" t="str">
        <x:v>425.12</x:v>
      </x:c>
      <x:c r="J1372" s="37" t="str">
        <x:v>0.00</x:v>
      </x:c>
      <x:c r="K1372" s="37" t="str">
        <x:v>263.04</x:v>
      </x:c>
      <x:c r="L1372" s="37" t="str">
        <x:v>1054</x:v>
      </x:c>
      <x:c r="M1372" s="29" t="str">
        <x:v>588.19</x:v>
      </x:c>
      <x:c r="N1372" s="29" t="str">
        <x:v>399.15</x:v>
      </x:c>
      <x:c r="O1372" s="29" t="str">
        <x:v>189.04</x:v>
      </x:c>
      <x:c r="P1372" s="18" t="str">
        <x:v>2026-07-20</x:v>
      </x:c>
      <x:c r="Q1372" s="36" t="n">
        <x:v>46223</x:v>
      </x:c>
    </x:row>
    <x:row r="1373">
      <x:c r="A1373" s="36" t="str">
        <x:v>2026-07-20</x:v>
      </x:c>
      <x:c r="B1373" s="18" t="str">
        <x:v>101437000_89441</x:v>
      </x:c>
      <x:c r="C1373" s="18" t="str">
        <x:v>【沪村小电】首创禧瑞云启西区充电站</x:v>
      </x:c>
      <x:c r="D1373" s="37" t="str">
        <x:v>2</x:v>
      </x:c>
      <x:c r="E1373" s="37" t="str">
        <x:v>0</x:v>
      </x:c>
      <x:c r="F1373" s="37" t="str">
        <x:v>36</x:v>
      </x:c>
      <x:c r="G1373" s="37" t="str">
        <x:v>935.11</x:v>
      </x:c>
      <x:c r="H1373" s="37" t="str">
        <x:v>0.00</x:v>
      </x:c>
      <x:c r="I1373" s="37" t="str">
        <x:v>688.24</x:v>
      </x:c>
      <x:c r="J1373" s="37" t="str">
        <x:v>0.00</x:v>
      </x:c>
      <x:c r="K1373" s="37" t="str">
        <x:v>246.87</x:v>
      </x:c>
      <x:c r="L1373" s="37" t="str">
        <x:v>1202</x:v>
      </x:c>
      <x:c r="M1373" s="29" t="str">
        <x:v>979.12</x:v>
      </x:c>
      <x:c r="N1373" s="29" t="str">
        <x:v>580.05</x:v>
      </x:c>
      <x:c r="O1373" s="29" t="str">
        <x:v>399.07</x:v>
      </x:c>
      <x:c r="P1373" s="18" t="str">
        <x:v>2026-07-20</x:v>
      </x:c>
      <x:c r="Q1373" s="36" t="n">
        <x:v>46223</x:v>
      </x:c>
    </x:row>
    <x:row r="1374">
      <x:c r="A1374" s="36" t="str">
        <x:v>2026-07-20</x:v>
      </x:c>
      <x:c r="B1374" s="18" t="str">
        <x:v>101437000_89443</x:v>
      </x:c>
      <x:c r="C1374" s="18" t="str">
        <x:v>【沪村小电】玉兰清苑二期充电站</x:v>
      </x:c>
      <x:c r="D1374" s="37" t="str">
        <x:v>2</x:v>
      </x:c>
      <x:c r="E1374" s="37" t="str">
        <x:v>0</x:v>
      </x:c>
      <x:c r="F1374" s="37" t="str">
        <x:v>20</x:v>
      </x:c>
      <x:c r="G1374" s="37" t="str">
        <x:v>430.90</x:v>
      </x:c>
      <x:c r="H1374" s="37" t="str">
        <x:v>0.00</x:v>
      </x:c>
      <x:c r="I1374" s="37" t="str">
        <x:v>383.68</x:v>
      </x:c>
      <x:c r="J1374" s="37" t="str">
        <x:v>0.00</x:v>
      </x:c>
      <x:c r="K1374" s="37" t="str">
        <x:v>47.22</x:v>
      </x:c>
      <x:c r="L1374" s="37" t="str">
        <x:v>580</x:v>
      </x:c>
      <x:c r="M1374" s="29" t="str">
        <x:v>431.73</x:v>
      </x:c>
      <x:c r="N1374" s="29" t="str">
        <x:v>289.88</x:v>
      </x:c>
      <x:c r="O1374" s="29" t="str">
        <x:v>141.85</x:v>
      </x:c>
      <x:c r="P1374" s="18" t="str">
        <x:v>2026-07-20</x:v>
      </x:c>
      <x:c r="Q1374" s="36" t="n">
        <x:v>46223</x:v>
      </x:c>
    </x:row>
    <x:row r="1375">
      <x:c r="A1375" s="36" t="str">
        <x:v>2026-07-20</x:v>
      </x:c>
      <x:c r="B1375" s="18" t="str">
        <x:v>101437000_93115</x:v>
      </x:c>
      <x:c r="C1375" s="18" t="str">
        <x:v>【沪村小电】新南家园西北门</x:v>
      </x:c>
      <x:c r="D1375" s="37" t="str">
        <x:v>2</x:v>
      </x:c>
      <x:c r="E1375" s="37" t="str">
        <x:v>0</x:v>
      </x:c>
      <x:c r="F1375" s="37" t="str">
        <x:v>31</x:v>
      </x:c>
      <x:c r="G1375" s="37" t="str">
        <x:v>822.69</x:v>
      </x:c>
      <x:c r="H1375" s="37" t="str">
        <x:v>0.00</x:v>
      </x:c>
      <x:c r="I1375" s="37" t="str">
        <x:v>600.40</x:v>
      </x:c>
      <x:c r="J1375" s="37" t="str">
        <x:v>0.00</x:v>
      </x:c>
      <x:c r="K1375" s="37" t="str">
        <x:v>222.29</x:v>
      </x:c>
      <x:c r="L1375" s="37" t="str">
        <x:v>1125</x:v>
      </x:c>
      <x:c r="M1375" s="29" t="str">
        <x:v>850.46</x:v>
      </x:c>
      <x:c r="N1375" s="29" t="str">
        <x:v>508.53</x:v>
      </x:c>
      <x:c r="O1375" s="29" t="str">
        <x:v>341.93</x:v>
      </x:c>
      <x:c r="P1375" s="18" t="str">
        <x:v>2026-07-20</x:v>
      </x:c>
      <x:c r="Q1375" s="36" t="n">
        <x:v>46223</x:v>
      </x:c>
    </x:row>
    <x:row r="1376">
      <x:c r="A1376" s="36" t="str">
        <x:v>2026-07-20</x:v>
      </x:c>
      <x:c r="B1376" s="18" t="str">
        <x:v>101437000_94649</x:v>
      </x:c>
      <x:c r="C1376" s="18" t="str">
        <x:v>【沪村小电】浪琴水岸花园</x:v>
      </x:c>
      <x:c r="D1376" s="37" t="str">
        <x:v>4</x:v>
      </x:c>
      <x:c r="E1376" s="37" t="str">
        <x:v>0</x:v>
      </x:c>
      <x:c r="F1376" s="37" t="str">
        <x:v>31</x:v>
      </x:c>
      <x:c r="G1376" s="37" t="str">
        <x:v>782.32</x:v>
      </x:c>
      <x:c r="H1376" s="37" t="str">
        <x:v>0.00</x:v>
      </x:c>
      <x:c r="I1376" s="37" t="str">
        <x:v>493.02</x:v>
      </x:c>
      <x:c r="J1376" s="37" t="str">
        <x:v>0.00</x:v>
      </x:c>
      <x:c r="K1376" s="37" t="str">
        <x:v>289.30</x:v>
      </x:c>
      <x:c r="L1376" s="37" t="str">
        <x:v>1225</x:v>
      </x:c>
      <x:c r="M1376" s="29" t="str">
        <x:v>665.00</x:v>
      </x:c>
      <x:c r="N1376" s="29" t="str">
        <x:v>486.00</x:v>
      </x:c>
      <x:c r="O1376" s="29" t="str">
        <x:v>179.00</x:v>
      </x:c>
      <x:c r="P1376" s="18" t="str">
        <x:v>2026-07-20</x:v>
      </x:c>
      <x:c r="Q1376" s="36" t="n">
        <x:v>46223</x:v>
      </x:c>
    </x:row>
    <x:row r="1377">
      <x:c r="A1377" s="36" t="str">
        <x:v>2026-07-20</x:v>
      </x:c>
      <x:c r="B1377" s="18" t="str">
        <x:v>101437000_95077</x:v>
      </x:c>
      <x:c r="C1377" s="18" t="str">
        <x:v>【沪村小电】民乐城惠益绿苑255弄充电站</x:v>
      </x:c>
      <x:c r="D1377" s="37" t="str">
        <x:v>2</x:v>
      </x:c>
      <x:c r="E1377" s="37" t="str">
        <x:v>0</x:v>
      </x:c>
      <x:c r="F1377" s="37" t="str">
        <x:v>10</x:v>
      </x:c>
      <x:c r="G1377" s="37" t="str">
        <x:v>299.32</x:v>
      </x:c>
      <x:c r="H1377" s="37" t="str">
        <x:v>0.00</x:v>
      </x:c>
      <x:c r="I1377" s="37" t="str">
        <x:v>180.92</x:v>
      </x:c>
      <x:c r="J1377" s="37" t="str">
        <x:v>0.00</x:v>
      </x:c>
      <x:c r="K1377" s="37" t="str">
        <x:v>118.40</x:v>
      </x:c>
      <x:c r="L1377" s="37" t="str">
        <x:v>470</x:v>
      </x:c>
      <x:c r="M1377" s="29" t="str">
        <x:v>264.22</x:v>
      </x:c>
      <x:c r="N1377" s="29" t="str">
        <x:v>172.25</x:v>
      </x:c>
      <x:c r="O1377" s="29" t="str">
        <x:v>91.97</x:v>
      </x:c>
      <x:c r="P1377" s="18" t="str">
        <x:v>2026-07-20</x:v>
      </x:c>
      <x:c r="Q1377" s="36" t="n">
        <x:v>46223</x:v>
      </x:c>
    </x:row>
    <x:row r="1378">
      <x:c r="A1378" s="36" t="str">
        <x:v>2026-07-20</x:v>
      </x:c>
      <x:c r="B1378" s="18" t="str">
        <x:v>101437000_95079</x:v>
      </x:c>
      <x:c r="C1378" s="18" t="str">
        <x:v>【沪村小电】民乐城惠益绿苑东苑充电站</x:v>
      </x:c>
      <x:c r="D1378" s="37" t="str">
        <x:v>2</x:v>
      </x:c>
      <x:c r="E1378" s="37" t="str">
        <x:v>0</x:v>
      </x:c>
      <x:c r="F1378" s="37" t="str">
        <x:v>19</x:v>
      </x:c>
      <x:c r="G1378" s="37" t="str">
        <x:v>497.87</x:v>
      </x:c>
      <x:c r="H1378" s="37" t="str">
        <x:v>0.00</x:v>
      </x:c>
      <x:c r="I1378" s="37" t="str">
        <x:v>330.08</x:v>
      </x:c>
      <x:c r="J1378" s="37" t="str">
        <x:v>0.00</x:v>
      </x:c>
      <x:c r="K1378" s="37" t="str">
        <x:v>167.80</x:v>
      </x:c>
      <x:c r="L1378" s="37" t="str">
        <x:v>774</x:v>
      </x:c>
      <x:c r="M1378" s="29" t="str">
        <x:v>442.54</x:v>
      </x:c>
      <x:c r="N1378" s="29" t="str">
        <x:v>296.44</x:v>
      </x:c>
      <x:c r="O1378" s="29" t="str">
        <x:v>146.10</x:v>
      </x:c>
      <x:c r="P1378" s="18" t="str">
        <x:v>2026-07-20</x:v>
      </x:c>
      <x:c r="Q1378" s="36" t="n">
        <x:v>46223</x:v>
      </x:c>
    </x:row>
    <x:row r="1379">
      <x:c r="A1379" s="36" t="str">
        <x:v>2026-07-20</x:v>
      </x:c>
      <x:c r="B1379" s="18" t="str">
        <x:v>101437000_95081</x:v>
      </x:c>
      <x:c r="C1379" s="18" t="str">
        <x:v>【沪村小电】民乐城惠益绿苑西苑充电站</x:v>
      </x:c>
      <x:c r="D1379" s="37" t="str">
        <x:v>2</x:v>
      </x:c>
      <x:c r="E1379" s="37" t="str">
        <x:v>0</x:v>
      </x:c>
      <x:c r="F1379" s="37" t="str">
        <x:v>8</x:v>
      </x:c>
      <x:c r="G1379" s="37" t="str">
        <x:v>138.10</x:v>
      </x:c>
      <x:c r="H1379" s="37" t="str">
        <x:v>0.00</x:v>
      </x:c>
      <x:c r="I1379" s="37" t="str">
        <x:v>138.10</x:v>
      </x:c>
      <x:c r="J1379" s="37" t="str">
        <x:v>0.00</x:v>
      </x:c>
      <x:c r="K1379" s="37" t="str">
        <x:v>0.00</x:v>
      </x:c>
      <x:c r="L1379" s="37" t="str">
        <x:v>169</x:v>
      </x:c>
      <x:c r="M1379" s="29" t="str">
        <x:v>131.56</x:v>
      </x:c>
      <x:c r="N1379" s="29" t="str">
        <x:v>98.06</x:v>
      </x:c>
      <x:c r="O1379" s="29" t="str">
        <x:v>33.50</x:v>
      </x:c>
      <x:c r="P1379" s="18" t="str">
        <x:v>2026-07-20</x:v>
      </x:c>
      <x:c r="Q1379" s="36" t="n">
        <x:v>46223</x:v>
      </x:c>
    </x:row>
    <x:row r="1380">
      <x:c r="A1380" s="36" t="str">
        <x:v>2026-07-20</x:v>
      </x:c>
      <x:c r="B1380" s="18" t="str">
        <x:v>101437000_95091</x:v>
      </x:c>
      <x:c r="C1380" s="18" t="str">
        <x:v>【沪村小电】金悦学府2号站</x:v>
      </x:c>
      <x:c r="D1380" s="37" t="str">
        <x:v>2</x:v>
      </x:c>
      <x:c r="E1380" s="37" t="str">
        <x:v>0</x:v>
      </x:c>
      <x:c r="F1380" s="37" t="str">
        <x:v>14</x:v>
      </x:c>
      <x:c r="G1380" s="37" t="str">
        <x:v>385.26</x:v>
      </x:c>
      <x:c r="H1380" s="37" t="str">
        <x:v>0.00</x:v>
      </x:c>
      <x:c r="I1380" s="37" t="str">
        <x:v>0.00</x:v>
      </x:c>
      <x:c r="J1380" s="37" t="str">
        <x:v>385.26</x:v>
      </x:c>
      <x:c r="K1380" s="37" t="str">
        <x:v>0.00</x:v>
      </x:c>
      <x:c r="L1380" s="37" t="str">
        <x:v>770</x:v>
      </x:c>
      <x:c r="M1380" s="29" t="str">
        <x:v>304.36</x:v>
      </x:c>
      <x:c r="N1380" s="29" t="str">
        <x:v>215.76</x:v>
      </x:c>
      <x:c r="O1380" s="29" t="str">
        <x:v>88.60</x:v>
      </x:c>
      <x:c r="P1380" s="18" t="str">
        <x:v>2026-07-20</x:v>
      </x:c>
      <x:c r="Q1380" s="36" t="n">
        <x:v>46223</x:v>
      </x:c>
    </x:row>
    <x:row r="1381">
      <x:c r="A1381" s="36" t="str">
        <x:v>2026-07-20</x:v>
      </x:c>
      <x:c r="B1381" s="18" t="str">
        <x:v>101437000_95941</x:v>
      </x:c>
      <x:c r="C1381" s="18" t="str">
        <x:v>【沪村小电】惠诚雅苑</x:v>
      </x:c>
      <x:c r="D1381" s="37" t="str">
        <x:v>4</x:v>
      </x:c>
      <x:c r="E1381" s="37" t="str">
        <x:v>0</x:v>
      </x:c>
      <x:c r="F1381" s="37" t="str">
        <x:v>61</x:v>
      </x:c>
      <x:c r="G1381" s="37" t="str">
        <x:v>1117.17</x:v>
      </x:c>
      <x:c r="H1381" s="37" t="str">
        <x:v>0.00</x:v>
      </x:c>
      <x:c r="I1381" s="37" t="str">
        <x:v>417.76</x:v>
      </x:c>
      <x:c r="J1381" s="37" t="str">
        <x:v>0.00</x:v>
      </x:c>
      <x:c r="K1381" s="37" t="str">
        <x:v>699.41</x:v>
      </x:c>
      <x:c r="L1381" s="37" t="str">
        <x:v>1874</x:v>
      </x:c>
      <x:c r="M1381" s="29" t="str">
        <x:v>730.81</x:v>
      </x:c>
      <x:c r="N1381" s="29" t="str">
        <x:v>463.28</x:v>
      </x:c>
      <x:c r="O1381" s="29" t="str">
        <x:v>267.53</x:v>
      </x:c>
      <x:c r="P1381" s="18" t="str">
        <x:v>2026-07-20</x:v>
      </x:c>
      <x:c r="Q1381" s="36" t="n">
        <x:v>46223</x:v>
      </x:c>
    </x:row>
    <x:row r="1382">
      <x:c r="A1382" s="36" t="str">
        <x:v>2026-07-20</x:v>
      </x:c>
      <x:c r="B1382" s="18" t="str">
        <x:v>101437000_96401</x:v>
      </x:c>
      <x:c r="C1382" s="18" t="str">
        <x:v>【沪村小电】上海联怡枇杷乐园地面站</x:v>
      </x:c>
      <x:c r="D1382" s="37" t="str">
        <x:v>2</x:v>
      </x:c>
      <x:c r="E1382" s="37" t="str">
        <x:v>0</x:v>
      </x:c>
      <x:c r="F1382" s="37" t="str">
        <x:v>8</x:v>
      </x:c>
      <x:c r="G1382" s="37" t="str">
        <x:v>239.25</x:v>
      </x:c>
      <x:c r="H1382" s="37" t="str">
        <x:v>0.00</x:v>
      </x:c>
      <x:c r="I1382" s="37" t="str">
        <x:v>109.99</x:v>
      </x:c>
      <x:c r="J1382" s="37" t="str">
        <x:v>0.00</x:v>
      </x:c>
      <x:c r="K1382" s="37" t="str">
        <x:v>129.26</x:v>
      </x:c>
      <x:c r="L1382" s="37" t="str">
        <x:v>338</x:v>
      </x:c>
      <x:c r="M1382" s="29" t="str">
        <x:v>231.06</x:v>
      </x:c>
      <x:c r="N1382" s="29" t="str">
        <x:v>158.44</x:v>
      </x:c>
      <x:c r="O1382" s="29" t="str">
        <x:v>72.62</x:v>
      </x:c>
      <x:c r="P1382" s="18" t="str">
        <x:v>2026-07-20</x:v>
      </x:c>
      <x:c r="Q1382" s="36" t="n">
        <x:v>46223</x:v>
      </x:c>
    </x:row>
    <x:row r="1383">
      <x:c r="A1383" s="36" t="str">
        <x:v>2026-07-20</x:v>
      </x:c>
      <x:c r="B1383" s="18" t="str">
        <x:v>101437000_96719</x:v>
      </x:c>
      <x:c r="C1383" s="18" t="str">
        <x:v>【沪村小电】四达路220弄充电站</x:v>
      </x:c>
      <x:c r="D1383" s="37" t="str">
        <x:v>2</x:v>
      </x:c>
      <x:c r="E1383" s="37" t="str">
        <x:v>0</x:v>
      </x:c>
      <x:c r="F1383" s="37" t="str">
        <x:v>1</x:v>
      </x:c>
      <x:c r="G1383" s="37" t="str">
        <x:v>46.54</x:v>
      </x:c>
      <x:c r="H1383" s="37" t="str">
        <x:v>0.00</x:v>
      </x:c>
      <x:c r="I1383" s="37" t="str">
        <x:v>46.54</x:v>
      </x:c>
      <x:c r="J1383" s="37" t="str">
        <x:v>0.00</x:v>
      </x:c>
      <x:c r="K1383" s="37" t="str">
        <x:v>0.00</x:v>
      </x:c>
      <x:c r="L1383" s="37" t="str">
        <x:v>94</x:v>
      </x:c>
      <x:c r="M1383" s="29" t="str">
        <x:v>39.55</x:v>
      </x:c>
      <x:c r="N1383" s="29" t="str">
        <x:v>33.04</x:v>
      </x:c>
      <x:c r="O1383" s="29" t="str">
        <x:v>6.51</x:v>
      </x:c>
      <x:c r="P1383" s="18" t="str">
        <x:v>2026-07-20</x:v>
      </x:c>
      <x:c r="Q1383" s="36" t="n">
        <x:v>46223</x:v>
      </x:c>
    </x:row>
    <x:row r="1384">
      <x:c r="A1384" s="36" t="str">
        <x:v>2026-07-20</x:v>
      </x:c>
      <x:c r="B1384" s="18" t="str">
        <x:v>101437000_97421</x:v>
      </x:c>
      <x:c r="C1384" s="18" t="str">
        <x:v>【沪村小电】玉兰清苑二期（小区外）充电站</x:v>
      </x:c>
      <x:c r="D1384" s="37" t="str">
        <x:v>4</x:v>
      </x:c>
      <x:c r="E1384" s="37" t="str">
        <x:v>0</x:v>
      </x:c>
      <x:c r="F1384" s="37" t="str">
        <x:v>44</x:v>
      </x:c>
      <x:c r="G1384" s="37" t="str">
        <x:v>1037.89</x:v>
      </x:c>
      <x:c r="H1384" s="37" t="str">
        <x:v>0.00</x:v>
      </x:c>
      <x:c r="I1384" s="37" t="str">
        <x:v>823.42</x:v>
      </x:c>
      <x:c r="J1384" s="37" t="str">
        <x:v>0.00</x:v>
      </x:c>
      <x:c r="K1384" s="37" t="str">
        <x:v>214.48</x:v>
      </x:c>
      <x:c r="L1384" s="37" t="str">
        <x:v>1823</x:v>
      </x:c>
      <x:c r="M1384" s="29" t="str">
        <x:v>1000.88</x:v>
      </x:c>
      <x:c r="N1384" s="29" t="str">
        <x:v>664.01</x:v>
      </x:c>
      <x:c r="O1384" s="29" t="str">
        <x:v>336.87</x:v>
      </x:c>
      <x:c r="P1384" s="18" t="str">
        <x:v>2026-07-20</x:v>
      </x:c>
      <x:c r="Q1384" s="36" t="n">
        <x:v>46223</x:v>
      </x:c>
    </x:row>
    <x:row r="1385">
      <x:c r="A1385" s="36" t="str">
        <x:v>2026-07-20</x:v>
      </x:c>
      <x:c r="B1385" s="18" t="str">
        <x:v>101437000_98013</x:v>
      </x:c>
      <x:c r="C1385" s="18" t="str">
        <x:v>【沪村小电】恒大滨江华府充电站</x:v>
      </x:c>
      <x:c r="D1385" s="37" t="str">
        <x:v>4</x:v>
      </x:c>
      <x:c r="E1385" s="37" t="str">
        <x:v>0</x:v>
      </x:c>
      <x:c r="F1385" s="37" t="str">
        <x:v>53</x:v>
      </x:c>
      <x:c r="G1385" s="37" t="str">
        <x:v>1311.57</x:v>
      </x:c>
      <x:c r="H1385" s="37" t="str">
        <x:v>0.00</x:v>
      </x:c>
      <x:c r="I1385" s="37" t="str">
        <x:v>959.35</x:v>
      </x:c>
      <x:c r="J1385" s="37" t="str">
        <x:v>0.00</x:v>
      </x:c>
      <x:c r="K1385" s="37" t="str">
        <x:v>352.22</x:v>
      </x:c>
      <x:c r="L1385" s="37" t="str">
        <x:v>2025</x:v>
      </x:c>
      <x:c r="M1385" s="29" t="str">
        <x:v>1338.45</x:v>
      </x:c>
      <x:c r="N1385" s="29" t="str">
        <x:v>1025.45</x:v>
      </x:c>
      <x:c r="O1385" s="29" t="str">
        <x:v>313.00</x:v>
      </x:c>
      <x:c r="P1385" s="18" t="str">
        <x:v>2026-07-20</x:v>
      </x:c>
      <x:c r="Q1385" s="36" t="n">
        <x:v>46223</x:v>
      </x:c>
    </x:row>
    <x:row r="1386">
      <x:c r="A1386" s="36" t="str">
        <x:v>2026-07-20</x:v>
      </x:c>
      <x:c r="B1386" s="18" t="str">
        <x:v>101437000_98863</x:v>
      </x:c>
      <x:c r="C1386" s="18" t="str">
        <x:v>【沪村小电】欣菊苑充电站</x:v>
      </x:c>
      <x:c r="D1386" s="37" t="str">
        <x:v>4</x:v>
      </x:c>
      <x:c r="E1386" s="37" t="str">
        <x:v>0</x:v>
      </x:c>
      <x:c r="F1386" s="37" t="str">
        <x:v>6</x:v>
      </x:c>
      <x:c r="G1386" s="37" t="str">
        <x:v>144.77</x:v>
      </x:c>
      <x:c r="H1386" s="37" t="str">
        <x:v>0.00</x:v>
      </x:c>
      <x:c r="I1386" s="37" t="str">
        <x:v>144.77</x:v>
      </x:c>
      <x:c r="J1386" s="37" t="str">
        <x:v>0.00</x:v>
      </x:c>
      <x:c r="K1386" s="37" t="str">
        <x:v>0.00</x:v>
      </x:c>
      <x:c r="L1386" s="37" t="str">
        <x:v>224</x:v>
      </x:c>
      <x:c r="M1386" s="29" t="str">
        <x:v>130.41</x:v>
      </x:c>
      <x:c r="N1386" s="29" t="str">
        <x:v>102.79</x:v>
      </x:c>
      <x:c r="O1386" s="29" t="str">
        <x:v>27.62</x:v>
      </x:c>
      <x:c r="P1386" s="18" t="str">
        <x:v>2026-07-20</x:v>
      </x:c>
      <x:c r="Q1386" s="36" t="n">
        <x:v>46223</x:v>
      </x:c>
    </x:row>
    <x:row r="1387">
      <x:c r="A1387" s="36" t="str">
        <x:v>2026-07-20</x:v>
      </x:c>
      <x:c r="B1387" s="18" t="str">
        <x:v>101437000_98865</x:v>
      </x:c>
      <x:c r="C1387" s="18" t="str">
        <x:v>【沪村小电】欣松苑充电站</x:v>
      </x:c>
      <x:c r="D1387" s="37" t="str">
        <x:v>4</x:v>
      </x:c>
      <x:c r="E1387" s="37" t="str">
        <x:v>0</x:v>
      </x:c>
      <x:c r="F1387" s="37" t="str">
        <x:v>22</x:v>
      </x:c>
      <x:c r="G1387" s="37" t="str">
        <x:v>486.14</x:v>
      </x:c>
      <x:c r="H1387" s="37" t="str">
        <x:v>0.00</x:v>
      </x:c>
      <x:c r="I1387" s="37" t="str">
        <x:v>441.98</x:v>
      </x:c>
      <x:c r="J1387" s="37" t="str">
        <x:v>0.00</x:v>
      </x:c>
      <x:c r="K1387" s="37" t="str">
        <x:v>44.16</x:v>
      </x:c>
      <x:c r="L1387" s="37" t="str">
        <x:v>807</x:v>
      </x:c>
      <x:c r="M1387" s="29" t="str">
        <x:v>451.34</x:v>
      </x:c>
      <x:c r="N1387" s="29" t="str">
        <x:v>330.16</x:v>
      </x:c>
      <x:c r="O1387" s="29" t="str">
        <x:v>121.18</x:v>
      </x:c>
      <x:c r="P1387" s="18" t="str">
        <x:v>2026-07-20</x:v>
      </x:c>
      <x:c r="Q1387" s="36" t="n">
        <x:v>46223</x:v>
      </x:c>
    </x:row>
    <x:row r="1388">
      <x:c r="A1388" s="36" t="str">
        <x:v>2026-07-20</x:v>
      </x:c>
      <x:c r="B1388" s="18" t="str">
        <x:v>101437000_98867</x:v>
      </x:c>
      <x:c r="C1388" s="18" t="str">
        <x:v>【沪村小电】欣荷苑充电站</x:v>
      </x:c>
      <x:c r="D1388" s="37" t="str">
        <x:v>4</x:v>
      </x:c>
      <x:c r="E1388" s="37" t="str">
        <x:v>0</x:v>
      </x:c>
      <x:c r="F1388" s="37" t="str">
        <x:v>16</x:v>
      </x:c>
      <x:c r="G1388" s="37" t="str">
        <x:v>352.97</x:v>
      </x:c>
      <x:c r="H1388" s="37" t="str">
        <x:v>0.00</x:v>
      </x:c>
      <x:c r="I1388" s="37" t="str">
        <x:v>264.18</x:v>
      </x:c>
      <x:c r="J1388" s="37" t="str">
        <x:v>0.00</x:v>
      </x:c>
      <x:c r="K1388" s="37" t="str">
        <x:v>88.79</x:v>
      </x:c>
      <x:c r="L1388" s="37" t="str">
        <x:v>536</x:v>
      </x:c>
      <x:c r="M1388" s="29" t="str">
        <x:v>320.54</x:v>
      </x:c>
      <x:c r="N1388" s="29" t="str">
        <x:v>220.43</x:v>
      </x:c>
      <x:c r="O1388" s="29" t="str">
        <x:v>100.11</x:v>
      </x:c>
      <x:c r="P1388" s="18" t="str">
        <x:v>2026-07-20</x:v>
      </x:c>
      <x:c r="Q1388" s="36" t="n">
        <x:v>46223</x:v>
      </x:c>
    </x:row>
    <x:row r="1389">
      <x:c r="A1389" s="36" t="str">
        <x:v>2026-07-20</x:v>
      </x:c>
      <x:c r="B1389" s="18" t="str">
        <x:v>101437000_99885</x:v>
      </x:c>
      <x:c r="C1389" s="18" t="str">
        <x:v>【沪村小电】汇丰馨苑充电站</x:v>
      </x:c>
      <x:c r="D1389" s="37" t="str">
        <x:v>4</x:v>
      </x:c>
      <x:c r="E1389" s="37" t="str">
        <x:v>0</x:v>
      </x:c>
      <x:c r="F1389" s="37" t="str">
        <x:v>17</x:v>
      </x:c>
      <x:c r="G1389" s="37" t="str">
        <x:v>256.68</x:v>
      </x:c>
      <x:c r="H1389" s="37" t="str">
        <x:v>0.00</x:v>
      </x:c>
      <x:c r="I1389" s="37" t="str">
        <x:v>256.68</x:v>
      </x:c>
      <x:c r="J1389" s="37" t="str">
        <x:v>0.00</x:v>
      </x:c>
      <x:c r="K1389" s="37" t="str">
        <x:v>0.00</x:v>
      </x:c>
      <x:c r="L1389" s="37" t="str">
        <x:v>388</x:v>
      </x:c>
      <x:c r="M1389" s="29" t="str">
        <x:v>289.72</x:v>
      </x:c>
      <x:c r="N1389" s="29" t="str">
        <x:v>182.26</x:v>
      </x:c>
      <x:c r="O1389" s="29" t="str">
        <x:v>107.46</x:v>
      </x:c>
      <x:c r="P1389" s="18" t="str">
        <x:v>2026-07-20</x:v>
      </x:c>
      <x:c r="Q1389" s="36" t="n">
        <x:v>46223</x:v>
      </x:c>
    </x:row>
    <x:row r="1390">
      <x:c r="A1390" s="36" t="str">
        <x:v>2026-07-20</x:v>
      </x:c>
      <x:c r="B1390" s="18" t="str">
        <x:v>101437000_99887</x:v>
      </x:c>
      <x:c r="C1390" s="18" t="str">
        <x:v>【沪村小电】新南村河南小区充电站</x:v>
      </x:c>
      <x:c r="D1390" s="37" t="str">
        <x:v>2</x:v>
      </x:c>
      <x:c r="E1390" s="37" t="str">
        <x:v>0</x:v>
      </x:c>
      <x:c r="F1390" s="37" t="str">
        <x:v>12</x:v>
      </x:c>
      <x:c r="G1390" s="37" t="str">
        <x:v>321.23</x:v>
      </x:c>
      <x:c r="H1390" s="37" t="str">
        <x:v>0.00</x:v>
      </x:c>
      <x:c r="I1390" s="37" t="str">
        <x:v>169.29</x:v>
      </x:c>
      <x:c r="J1390" s="37" t="str">
        <x:v>0.00</x:v>
      </x:c>
      <x:c r="K1390" s="37" t="str">
        <x:v>151.94</x:v>
      </x:c>
      <x:c r="L1390" s="37" t="str">
        <x:v>706</x:v>
      </x:c>
      <x:c r="M1390" s="29" t="str">
        <x:v>225.77</x:v>
      </x:c>
      <x:c r="N1390" s="29" t="str">
        <x:v>176.43</x:v>
      </x:c>
      <x:c r="O1390" s="29" t="str">
        <x:v>49.34</x:v>
      </x:c>
      <x:c r="P1390" s="18" t="str">
        <x:v>2026-07-20</x:v>
      </x:c>
      <x:c r="Q1390" s="36" t="n">
        <x:v>46223</x:v>
      </x:c>
    </x:row>
    <x:row r="1391">
      <x:c r="A1391" s="36" t="str">
        <x:v>2026-07-20</x:v>
      </x:c>
      <x:c r="B1391" s="18" t="str">
        <x:v>101437000_99889</x:v>
      </x:c>
      <x:c r="C1391" s="18" t="str">
        <x:v>【沪村小电】漕泾郊野公园</x:v>
      </x:c>
      <x:c r="D1391" s="37" t="str">
        <x:v>2</x:v>
      </x:c>
      <x:c r="E1391" s="37" t="str">
        <x:v>0</x:v>
      </x:c>
      <x:c r="F1391" s="37" t="str">
        <x:v>4</x:v>
      </x:c>
      <x:c r="G1391" s="37" t="str">
        <x:v>104.71</x:v>
      </x:c>
      <x:c r="H1391" s="37" t="str">
        <x:v>0.00</x:v>
      </x:c>
      <x:c r="I1391" s="37" t="str">
        <x:v>104.71</x:v>
      </x:c>
      <x:c r="J1391" s="37" t="str">
        <x:v>0.00</x:v>
      </x:c>
      <x:c r="K1391" s="37" t="str">
        <x:v>0.00</x:v>
      </x:c>
      <x:c r="L1391" s="37" t="str">
        <x:v>123</x:v>
      </x:c>
      <x:c r="M1391" s="29" t="str">
        <x:v>124.99</x:v>
      </x:c>
      <x:c r="N1391" s="29" t="str">
        <x:v>79.57</x:v>
      </x:c>
      <x:c r="O1391" s="29" t="str">
        <x:v>45.42</x:v>
      </x:c>
      <x:c r="P1391" s="18" t="str">
        <x:v>2026-07-20</x:v>
      </x:c>
      <x:c r="Q1391" s="36" t="n">
        <x:v>46223</x:v>
      </x:c>
    </x:row>
    <x:row r="1392">
      <x:c r="A1392" s="36" t="str">
        <x:v>2026-07-20</x:v>
      </x:c>
      <x:c r="B1392" s="18" t="str">
        <x:v>101437000_99891</x:v>
      </x:c>
      <x:c r="C1392" s="18" t="str">
        <x:v>【沪村小电】水韵紫城充电站</x:v>
      </x:c>
      <x:c r="D1392" s="37" t="str">
        <x:v>4</x:v>
      </x:c>
      <x:c r="E1392" s="37" t="str">
        <x:v>0</x:v>
      </x:c>
      <x:c r="F1392" s="37" t="str">
        <x:v>37</x:v>
      </x:c>
      <x:c r="G1392" s="37" t="str">
        <x:v>784.63</x:v>
      </x:c>
      <x:c r="H1392" s="37" t="str">
        <x:v>0.00</x:v>
      </x:c>
      <x:c r="I1392" s="37" t="str">
        <x:v>629.98</x:v>
      </x:c>
      <x:c r="J1392" s="37" t="str">
        <x:v>0.00</x:v>
      </x:c>
      <x:c r="K1392" s="37" t="str">
        <x:v>154.66</x:v>
      </x:c>
      <x:c r="L1392" s="37" t="str">
        <x:v>1275</x:v>
      </x:c>
      <x:c r="M1392" s="29" t="str">
        <x:v>716.60</x:v>
      </x:c>
      <x:c r="N1392" s="29" t="str">
        <x:v>504.49</x:v>
      </x:c>
      <x:c r="O1392" s="29" t="str">
        <x:v>212.11</x:v>
      </x:c>
      <x:c r="P1392" s="18" t="str">
        <x:v>2026-07-20</x:v>
      </x:c>
      <x:c r="Q1392" s="36" t="n">
        <x:v>46223</x:v>
      </x:c>
    </x:row>
    <x:row r="1393">
      <x:c r="A1393" s="36" t="str">
        <x:v>2026-07-19</x:v>
      </x:c>
      <x:c r="B1393" s="18" t="str">
        <x:v>101437000_101531</x:v>
      </x:c>
      <x:c r="C1393" s="18" t="str">
        <x:v>【沪村小电】汇中苑充电站</x:v>
      </x:c>
      <x:c r="D1393" s="37" t="str">
        <x:v>2</x:v>
      </x:c>
      <x:c r="E1393" s="37" t="str">
        <x:v>0</x:v>
      </x:c>
      <x:c r="F1393" s="37" t="str">
        <x:v>13</x:v>
      </x:c>
      <x:c r="G1393" s="37" t="str">
        <x:v>404.11</x:v>
      </x:c>
      <x:c r="H1393" s="37" t="str">
        <x:v>0.00</x:v>
      </x:c>
      <x:c r="I1393" s="37" t="str">
        <x:v>5.20</x:v>
      </x:c>
      <x:c r="J1393" s="37" t="str">
        <x:v>315.92</x:v>
      </x:c>
      <x:c r="K1393" s="37" t="str">
        <x:v>83.00</x:v>
      </x:c>
      <x:c r="L1393" s="37" t="str">
        <x:v>560</x:v>
      </x:c>
      <x:c r="M1393" s="29" t="str">
        <x:v>382.46</x:v>
      </x:c>
      <x:c r="N1393" s="29" t="str">
        <x:v>259.91</x:v>
      </x:c>
      <x:c r="O1393" s="29" t="str">
        <x:v>122.55</x:v>
      </x:c>
      <x:c r="P1393" s="18" t="str">
        <x:v>2026-07-19</x:v>
      </x:c>
      <x:c r="Q1393" s="36" t="n">
        <x:v>46222</x:v>
      </x:c>
    </x:row>
    <x:row r="1394">
      <x:c r="A1394" s="36" t="str">
        <x:v>2026-07-19</x:v>
      </x:c>
      <x:c r="B1394" s="18" t="str">
        <x:v>101437000_103503</x:v>
      </x:c>
      <x:c r="C1394" s="18" t="str">
        <x:v>【沪村小电】阳光城新界充电站</x:v>
      </x:c>
      <x:c r="D1394" s="37" t="str">
        <x:v>4</x:v>
      </x:c>
      <x:c r="E1394" s="37" t="str">
        <x:v>0</x:v>
      </x:c>
      <x:c r="F1394" s="37" t="str">
        <x:v>23</x:v>
      </x:c>
      <x:c r="G1394" s="37" t="str">
        <x:v>529.46</x:v>
      </x:c>
      <x:c r="H1394" s="37" t="str">
        <x:v>0.00</x:v>
      </x:c>
      <x:c r="I1394" s="37" t="str">
        <x:v>492.53</x:v>
      </x:c>
      <x:c r="J1394" s="37" t="str">
        <x:v>0.00</x:v>
      </x:c>
      <x:c r="K1394" s="37" t="str">
        <x:v>36.93</x:v>
      </x:c>
      <x:c r="L1394" s="37" t="str">
        <x:v>768</x:v>
      </x:c>
      <x:c r="M1394" s="29" t="str">
        <x:v>610.69</x:v>
      </x:c>
      <x:c r="N1394" s="29" t="str">
        <x:v>398.94</x:v>
      </x:c>
      <x:c r="O1394" s="29" t="str">
        <x:v>211.75</x:v>
      </x:c>
      <x:c r="P1394" s="18" t="str">
        <x:v>2026-07-19</x:v>
      </x:c>
      <x:c r="Q1394" s="36" t="n">
        <x:v>46222</x:v>
      </x:c>
    </x:row>
    <x:row r="1395">
      <x:c r="A1395" s="36" t="str">
        <x:v>2026-07-19</x:v>
      </x:c>
      <x:c r="B1395" s="18" t="str">
        <x:v>101437000_41561</x:v>
      </x:c>
      <x:c r="C1395" s="18" t="str">
        <x:v>【沪村小电】张施小区大门处快充站</x:v>
      </x:c>
      <x:c r="D1395" s="37" t="str">
        <x:v>2</x:v>
      </x:c>
      <x:c r="E1395" s="37" t="str">
        <x:v>0</x:v>
      </x:c>
      <x:c r="F1395" s="37" t="str">
        <x:v>45</x:v>
      </x:c>
      <x:c r="G1395" s="37" t="str">
        <x:v>1150.06</x:v>
      </x:c>
      <x:c r="H1395" s="37" t="str">
        <x:v>0.00</x:v>
      </x:c>
      <x:c r="I1395" s="37" t="str">
        <x:v>551.09</x:v>
      </x:c>
      <x:c r="J1395" s="37" t="str">
        <x:v>0.00</x:v>
      </x:c>
      <x:c r="K1395" s="37" t="str">
        <x:v>598.97</x:v>
      </x:c>
      <x:c r="L1395" s="37" t="str">
        <x:v>2150</x:v>
      </x:c>
      <x:c r="M1395" s="29" t="str">
        <x:v>875.18</x:v>
      </x:c>
      <x:c r="N1395" s="29" t="str">
        <x:v>612.84</x:v>
      </x:c>
      <x:c r="O1395" s="29" t="str">
        <x:v>262.34</x:v>
      </x:c>
      <x:c r="P1395" s="18" t="str">
        <x:v>2026-07-19</x:v>
      </x:c>
      <x:c r="Q1395" s="36" t="n">
        <x:v>46222</x:v>
      </x:c>
    </x:row>
    <x:row r="1396">
      <x:c r="A1396" s="36" t="str">
        <x:v>2026-07-19</x:v>
      </x:c>
      <x:c r="B1396" s="18" t="str">
        <x:v>101437000_41563</x:v>
      </x:c>
      <x:c r="C1396" s="18" t="str">
        <x:v>【沪村小电】同心村快充站</x:v>
      </x:c>
      <x:c r="D1396" s="37" t="str">
        <x:v>4</x:v>
      </x:c>
      <x:c r="E1396" s="37" t="str">
        <x:v>0</x:v>
      </x:c>
      <x:c r="F1396" s="37" t="str">
        <x:v>52</x:v>
      </x:c>
      <x:c r="G1396" s="37" t="str">
        <x:v>1254.66</x:v>
      </x:c>
      <x:c r="H1396" s="37" t="str">
        <x:v>0.00</x:v>
      </x:c>
      <x:c r="I1396" s="37" t="str">
        <x:v>980.52</x:v>
      </x:c>
      <x:c r="J1396" s="37" t="str">
        <x:v>0.00</x:v>
      </x:c>
      <x:c r="K1396" s="37" t="str">
        <x:v>274.14</x:v>
      </x:c>
      <x:c r="L1396" s="37" t="str">
        <x:v>2037</x:v>
      </x:c>
      <x:c r="M1396" s="29" t="str">
        <x:v>1214.79</x:v>
      </x:c>
      <x:c r="N1396" s="29" t="str">
        <x:v>797.59</x:v>
      </x:c>
      <x:c r="O1396" s="29" t="str">
        <x:v>417.20</x:v>
      </x:c>
      <x:c r="P1396" s="18" t="str">
        <x:v>2026-07-19</x:v>
      </x:c>
      <x:c r="Q1396" s="36" t="n">
        <x:v>46222</x:v>
      </x:c>
    </x:row>
    <x:row r="1397">
      <x:c r="A1397" s="36" t="str">
        <x:v>2026-07-19</x:v>
      </x:c>
      <x:c r="B1397" s="18" t="str">
        <x:v>101437000_69629</x:v>
      </x:c>
      <x:c r="C1397" s="18" t="str">
        <x:v>【沪村小电】骏丰玲珑坊西苑充电站</x:v>
      </x:c>
      <x:c r="D1397" s="37" t="str">
        <x:v>2</x:v>
      </x:c>
      <x:c r="E1397" s="37" t="str">
        <x:v>0</x:v>
      </x:c>
      <x:c r="F1397" s="37" t="str">
        <x:v>65</x:v>
      </x:c>
      <x:c r="G1397" s="37" t="str">
        <x:v>1561.99</x:v>
      </x:c>
      <x:c r="H1397" s="37" t="str">
        <x:v>0.00</x:v>
      </x:c>
      <x:c r="I1397" s="37" t="str">
        <x:v>855.07</x:v>
      </x:c>
      <x:c r="J1397" s="37" t="str">
        <x:v>0.00</x:v>
      </x:c>
      <x:c r="K1397" s="37" t="str">
        <x:v>706.93</x:v>
      </x:c>
      <x:c r="L1397" s="37" t="str">
        <x:v>2682</x:v>
      </x:c>
      <x:c r="M1397" s="29" t="str">
        <x:v>1327.93</x:v>
      </x:c>
      <x:c r="N1397" s="29" t="str">
        <x:v>868.64</x:v>
      </x:c>
      <x:c r="O1397" s="29" t="str">
        <x:v>459.29</x:v>
      </x:c>
      <x:c r="P1397" s="18" t="str">
        <x:v>2026-07-19</x:v>
      </x:c>
      <x:c r="Q1397" s="36" t="n">
        <x:v>46222</x:v>
      </x:c>
    </x:row>
    <x:row r="1398">
      <x:c r="A1398" s="36" t="str">
        <x:v>2026-07-19</x:v>
      </x:c>
      <x:c r="B1398" s="18" t="str">
        <x:v>101437000_70547</x:v>
      </x:c>
      <x:c r="C1398" s="18" t="str">
        <x:v>【沪村小电】农建村初心馆党群服务中心充电站</x:v>
      </x:c>
      <x:c r="D1398" s="37" t="str">
        <x:v>4</x:v>
      </x:c>
      <x:c r="E1398" s="37" t="str">
        <x:v>0</x:v>
      </x:c>
      <x:c r="F1398" s="37" t="str">
        <x:v>34</x:v>
      </x:c>
      <x:c r="G1398" s="37" t="str">
        <x:v>586.57</x:v>
      </x:c>
      <x:c r="H1398" s="37" t="str">
        <x:v>0.00</x:v>
      </x:c>
      <x:c r="I1398" s="37" t="str">
        <x:v>321.78</x:v>
      </x:c>
      <x:c r="J1398" s="37" t="str">
        <x:v>0.00</x:v>
      </x:c>
      <x:c r="K1398" s="37" t="str">
        <x:v>264.79</x:v>
      </x:c>
      <x:c r="L1398" s="37" t="str">
        <x:v>1277</x:v>
      </x:c>
      <x:c r="M1398" s="29" t="str">
        <x:v>495.48</x:v>
      </x:c>
      <x:c r="N1398" s="29" t="str">
        <x:v>326.43</x:v>
      </x:c>
      <x:c r="O1398" s="29" t="str">
        <x:v>169.05</x:v>
      </x:c>
      <x:c r="P1398" s="18" t="str">
        <x:v>2026-07-19</x:v>
      </x:c>
      <x:c r="Q1398" s="36" t="n">
        <x:v>46222</x:v>
      </x:c>
    </x:row>
    <x:row r="1399">
      <x:c r="A1399" s="36" t="str">
        <x:v>2026-07-19</x:v>
      </x:c>
      <x:c r="B1399" s="18" t="str">
        <x:v>101437000_70549</x:v>
      </x:c>
      <x:c r="C1399" s="18" t="str">
        <x:v>【沪村小电】学府路充电站</x:v>
      </x:c>
      <x:c r="D1399" s="37" t="str">
        <x:v>2</x:v>
      </x:c>
      <x:c r="E1399" s="37" t="str">
        <x:v>0</x:v>
      </x:c>
      <x:c r="F1399" s="37" t="str">
        <x:v>16</x:v>
      </x:c>
      <x:c r="G1399" s="37" t="str">
        <x:v>299.75</x:v>
      </x:c>
      <x:c r="H1399" s="37" t="str">
        <x:v>0.00</x:v>
      </x:c>
      <x:c r="I1399" s="37" t="str">
        <x:v>258.37</x:v>
      </x:c>
      <x:c r="J1399" s="37" t="str">
        <x:v>0.00</x:v>
      </x:c>
      <x:c r="K1399" s="37" t="str">
        <x:v>41.38</x:v>
      </x:c>
      <x:c r="L1399" s="37" t="str">
        <x:v>600</x:v>
      </x:c>
      <x:c r="M1399" s="29" t="str">
        <x:v>345.38</x:v>
      </x:c>
      <x:c r="N1399" s="29" t="str">
        <x:v>198.75</x:v>
      </x:c>
      <x:c r="O1399" s="29" t="str">
        <x:v>146.63</x:v>
      </x:c>
      <x:c r="P1399" s="18" t="str">
        <x:v>2026-07-19</x:v>
      </x:c>
      <x:c r="Q1399" s="36" t="n">
        <x:v>46222</x:v>
      </x:c>
    </x:row>
    <x:row r="1400">
      <x:c r="A1400" s="36" t="str">
        <x:v>2026-07-19</x:v>
      </x:c>
      <x:c r="B1400" s="18" t="str">
        <x:v>101437000_71059</x:v>
      </x:c>
      <x:c r="C1400" s="18" t="str">
        <x:v>【沪村小电】宝乐汇商业广场站</x:v>
      </x:c>
      <x:c r="D1400" s="37" t="str">
        <x:v>4</x:v>
      </x:c>
      <x:c r="E1400" s="37" t="str">
        <x:v>0</x:v>
      </x:c>
      <x:c r="F1400" s="37" t="str">
        <x:v>27</x:v>
      </x:c>
      <x:c r="G1400" s="37" t="str">
        <x:v>531.45</x:v>
      </x:c>
      <x:c r="H1400" s="37" t="str">
        <x:v>0.00</x:v>
      </x:c>
      <x:c r="I1400" s="37" t="str">
        <x:v>277.23</x:v>
      </x:c>
      <x:c r="J1400" s="37" t="str">
        <x:v>0.00</x:v>
      </x:c>
      <x:c r="K1400" s="37" t="str">
        <x:v>254.22</x:v>
      </x:c>
      <x:c r="L1400" s="37" t="str">
        <x:v>900</x:v>
      </x:c>
      <x:c r="M1400" s="29" t="str">
        <x:v>488.98</x:v>
      </x:c>
      <x:c r="N1400" s="29" t="str">
        <x:v>366.44</x:v>
      </x:c>
      <x:c r="O1400" s="29" t="str">
        <x:v>122.54</x:v>
      </x:c>
      <x:c r="P1400" s="18" t="str">
        <x:v>2026-07-19</x:v>
      </x:c>
      <x:c r="Q1400" s="36" t="n">
        <x:v>46222</x:v>
      </x:c>
    </x:row>
    <x:row r="1401">
      <x:c r="A1401" s="36" t="str">
        <x:v>2026-07-19</x:v>
      </x:c>
      <x:c r="B1401" s="18" t="str">
        <x:v>101437000_72541</x:v>
      </x:c>
      <x:c r="C1401" s="18" t="str">
        <x:v>【沪村小电】九干路1174弄充电站</x:v>
      </x:c>
      <x:c r="D1401" s="37" t="str">
        <x:v>2</x:v>
      </x:c>
      <x:c r="E1401" s="37" t="str">
        <x:v>0</x:v>
      </x:c>
      <x:c r="F1401" s="37" t="str">
        <x:v>46</x:v>
      </x:c>
      <x:c r="G1401" s="37" t="str">
        <x:v>1304.95</x:v>
      </x:c>
      <x:c r="H1401" s="37" t="str">
        <x:v>0.00</x:v>
      </x:c>
      <x:c r="I1401" s="37" t="str">
        <x:v>843.63</x:v>
      </x:c>
      <x:c r="J1401" s="37" t="str">
        <x:v>0.00</x:v>
      </x:c>
      <x:c r="K1401" s="37" t="str">
        <x:v>461.32</x:v>
      </x:c>
      <x:c r="L1401" s="37" t="str">
        <x:v>1933</x:v>
      </x:c>
      <x:c r="M1401" s="29" t="str">
        <x:v>1111.81</x:v>
      </x:c>
      <x:c r="N1401" s="29" t="str">
        <x:v>769.66</x:v>
      </x:c>
      <x:c r="O1401" s="29" t="str">
        <x:v>342.15</x:v>
      </x:c>
      <x:c r="P1401" s="18" t="str">
        <x:v>2026-07-19</x:v>
      </x:c>
      <x:c r="Q1401" s="36" t="n">
        <x:v>46222</x:v>
      </x:c>
    </x:row>
    <x:row r="1402">
      <x:c r="A1402" s="36" t="str">
        <x:v>2026-07-19</x:v>
      </x:c>
      <x:c r="B1402" s="18" t="str">
        <x:v>101437000_72543</x:v>
      </x:c>
      <x:c r="C1402" s="18" t="str">
        <x:v>【沪村小电】叶家中心村小区充电站</x:v>
      </x:c>
      <x:c r="D1402" s="37" t="str">
        <x:v>2</x:v>
      </x:c>
      <x:c r="E1402" s="37" t="str">
        <x:v>0</x:v>
      </x:c>
      <x:c r="F1402" s="37" t="str">
        <x:v>37</x:v>
      </x:c>
      <x:c r="G1402" s="37" t="str">
        <x:v>929.68</x:v>
      </x:c>
      <x:c r="H1402" s="37" t="str">
        <x:v>0.00</x:v>
      </x:c>
      <x:c r="I1402" s="37" t="str">
        <x:v>467.24</x:v>
      </x:c>
      <x:c r="J1402" s="37" t="str">
        <x:v>0.00</x:v>
      </x:c>
      <x:c r="K1402" s="37" t="str">
        <x:v>462.44</x:v>
      </x:c>
      <x:c r="L1402" s="37" t="str">
        <x:v>1604</x:v>
      </x:c>
      <x:c r="M1402" s="29" t="str">
        <x:v>735.93</x:v>
      </x:c>
      <x:c r="N1402" s="29" t="str">
        <x:v>502.83</x:v>
      </x:c>
      <x:c r="O1402" s="29" t="str">
        <x:v>233.10</x:v>
      </x:c>
      <x:c r="P1402" s="18" t="str">
        <x:v>2026-07-19</x:v>
      </x:c>
      <x:c r="Q1402" s="36" t="n">
        <x:v>46222</x:v>
      </x:c>
    </x:row>
    <x:row r="1403">
      <x:c r="A1403" s="36" t="str">
        <x:v>2026-07-19</x:v>
      </x:c>
      <x:c r="B1403" s="18" t="str">
        <x:v>101437000_72937</x:v>
      </x:c>
      <x:c r="C1403" s="18" t="str">
        <x:v>【沪村小电】佘北家园茸腾苑充电站</x:v>
      </x:c>
      <x:c r="D1403" s="37" t="str">
        <x:v>4</x:v>
      </x:c>
      <x:c r="E1403" s="37" t="str">
        <x:v>0</x:v>
      </x:c>
      <x:c r="F1403" s="37" t="str">
        <x:v>14</x:v>
      </x:c>
      <x:c r="G1403" s="37" t="str">
        <x:v>330.29</x:v>
      </x:c>
      <x:c r="H1403" s="37" t="str">
        <x:v>0.00</x:v>
      </x:c>
      <x:c r="I1403" s="37" t="str">
        <x:v>330.29</x:v>
      </x:c>
      <x:c r="J1403" s="37" t="str">
        <x:v>0.00</x:v>
      </x:c>
      <x:c r="K1403" s="37" t="str">
        <x:v>0.00</x:v>
      </x:c>
      <x:c r="L1403" s="37" t="str">
        <x:v>525</x:v>
      </x:c>
      <x:c r="M1403" s="29" t="str">
        <x:v>330.69</x:v>
      </x:c>
      <x:c r="N1403" s="29" t="str">
        <x:v>234.50</x:v>
      </x:c>
      <x:c r="O1403" s="29" t="str">
        <x:v>96.19</x:v>
      </x:c>
      <x:c r="P1403" s="18" t="str">
        <x:v>2026-07-19</x:v>
      </x:c>
      <x:c r="Q1403" s="36" t="n">
        <x:v>46222</x:v>
      </x:c>
    </x:row>
    <x:row r="1404">
      <x:c r="A1404" s="36" t="str">
        <x:v>2026-07-19</x:v>
      </x:c>
      <x:c r="B1404" s="18" t="str">
        <x:v>101437000_74223</x:v>
      </x:c>
      <x:c r="C1404" s="18" t="str">
        <x:v>【沪村小电】中兴村委会充电站</x:v>
      </x:c>
      <x:c r="D1404" s="37" t="str">
        <x:v>2</x:v>
      </x:c>
      <x:c r="E1404" s="37" t="str">
        <x:v>0</x:v>
      </x:c>
      <x:c r="F1404" s="37" t="str">
        <x:v>21</x:v>
      </x:c>
      <x:c r="G1404" s="37" t="str">
        <x:v>481.31</x:v>
      </x:c>
      <x:c r="H1404" s="37" t="str">
        <x:v>0.00</x:v>
      </x:c>
      <x:c r="I1404" s="37" t="str">
        <x:v>292.29</x:v>
      </x:c>
      <x:c r="J1404" s="37" t="str">
        <x:v>0.00</x:v>
      </x:c>
      <x:c r="K1404" s="37" t="str">
        <x:v>189.02</x:v>
      </x:c>
      <x:c r="L1404" s="37" t="str">
        <x:v>745</x:v>
      </x:c>
      <x:c r="M1404" s="29" t="str">
        <x:v>440.42</x:v>
      </x:c>
      <x:c r="N1404" s="29" t="str">
        <x:v>277.47</x:v>
      </x:c>
      <x:c r="O1404" s="29" t="str">
        <x:v>162.95</x:v>
      </x:c>
      <x:c r="P1404" s="18" t="str">
        <x:v>2026-07-19</x:v>
      </x:c>
      <x:c r="Q1404" s="36" t="n">
        <x:v>46222</x:v>
      </x:c>
    </x:row>
    <x:row r="1405">
      <x:c r="A1405" s="36" t="str">
        <x:v>2026-07-19</x:v>
      </x:c>
      <x:c r="B1405" s="18" t="str">
        <x:v>101437000_74801</x:v>
      </x:c>
      <x:c r="C1405" s="18" t="str">
        <x:v>【沪村小电】申良花园充电站</x:v>
      </x:c>
      <x:c r="D1405" s="37" t="str">
        <x:v>4</x:v>
      </x:c>
      <x:c r="E1405" s="37" t="str">
        <x:v>0</x:v>
      </x:c>
      <x:c r="F1405" s="37" t="str">
        <x:v>2</x:v>
      </x:c>
      <x:c r="G1405" s="37" t="str">
        <x:v>83.88</x:v>
      </x:c>
      <x:c r="H1405" s="37" t="str">
        <x:v>0.00</x:v>
      </x:c>
      <x:c r="I1405" s="37" t="str">
        <x:v>83.88</x:v>
      </x:c>
      <x:c r="J1405" s="37" t="str">
        <x:v>0.00</x:v>
      </x:c>
      <x:c r="K1405" s="37" t="str">
        <x:v>0.00</x:v>
      </x:c>
      <x:c r="L1405" s="37" t="str">
        <x:v>88</x:v>
      </x:c>
      <x:c r="M1405" s="29" t="str">
        <x:v>100.10</x:v>
      </x:c>
      <x:c r="N1405" s="29" t="str">
        <x:v>59.56</x:v>
      </x:c>
      <x:c r="O1405" s="29" t="str">
        <x:v>40.54</x:v>
      </x:c>
      <x:c r="P1405" s="18" t="str">
        <x:v>2026-07-19</x:v>
      </x:c>
      <x:c r="Q1405" s="36" t="n">
        <x:v>46222</x:v>
      </x:c>
    </x:row>
    <x:row r="1406">
      <x:c r="A1406" s="36" t="str">
        <x:v>2026-07-19</x:v>
      </x:c>
      <x:c r="B1406" s="18" t="str">
        <x:v>101437000_74931</x:v>
      </x:c>
      <x:c r="C1406" s="18" t="str">
        <x:v>【沪村小电】枫雅南居充电站</x:v>
      </x:c>
      <x:c r="D1406" s="37" t="str">
        <x:v>2</x:v>
      </x:c>
      <x:c r="E1406" s="37" t="str">
        <x:v>0</x:v>
      </x:c>
      <x:c r="F1406" s="37" t="str">
        <x:v>55</x:v>
      </x:c>
      <x:c r="G1406" s="37" t="str">
        <x:v>1682.91</x:v>
      </x:c>
      <x:c r="H1406" s="37" t="str">
        <x:v>0.00</x:v>
      </x:c>
      <x:c r="I1406" s="37" t="str">
        <x:v>977.49</x:v>
      </x:c>
      <x:c r="J1406" s="37" t="str">
        <x:v>0.00</x:v>
      </x:c>
      <x:c r="K1406" s="37" t="str">
        <x:v>705.42</x:v>
      </x:c>
      <x:c r="L1406" s="37" t="str">
        <x:v>2596</x:v>
      </x:c>
      <x:c r="M1406" s="29" t="str">
        <x:v>1197.61</x:v>
      </x:c>
      <x:c r="N1406" s="29" t="str">
        <x:v>795.42</x:v>
      </x:c>
      <x:c r="O1406" s="29" t="str">
        <x:v>402.19</x:v>
      </x:c>
      <x:c r="P1406" s="18" t="str">
        <x:v>2026-07-19</x:v>
      </x:c>
      <x:c r="Q1406" s="36" t="n">
        <x:v>46222</x:v>
      </x:c>
    </x:row>
    <x:row r="1407">
      <x:c r="A1407" s="36" t="str">
        <x:v>2026-07-19</x:v>
      </x:c>
      <x:c r="B1407" s="18" t="str">
        <x:v>101437000_75901</x:v>
      </x:c>
      <x:c r="C1407" s="18" t="str">
        <x:v>【沪村小电】金悦学府</x:v>
      </x:c>
      <x:c r="D1407" s="37" t="str">
        <x:v>2</x:v>
      </x:c>
      <x:c r="E1407" s="37" t="str">
        <x:v>0</x:v>
      </x:c>
      <x:c r="F1407" s="37" t="str">
        <x:v>58</x:v>
      </x:c>
      <x:c r="G1407" s="37" t="str">
        <x:v>1388.99</x:v>
      </x:c>
      <x:c r="H1407" s="37" t="str">
        <x:v>0.00</x:v>
      </x:c>
      <x:c r="I1407" s="37" t="str">
        <x:v>634.86</x:v>
      </x:c>
      <x:c r="J1407" s="37" t="str">
        <x:v>0.00</x:v>
      </x:c>
      <x:c r="K1407" s="37" t="str">
        <x:v>754.13</x:v>
      </x:c>
      <x:c r="L1407" s="37" t="str">
        <x:v>2006</x:v>
      </x:c>
      <x:c r="M1407" s="29" t="str">
        <x:v>1056.87</x:v>
      </x:c>
      <x:c r="N1407" s="29" t="str">
        <x:v>608.30</x:v>
      </x:c>
      <x:c r="O1407" s="29" t="str">
        <x:v>448.57</x:v>
      </x:c>
      <x:c r="P1407" s="18" t="str">
        <x:v>2026-07-19</x:v>
      </x:c>
      <x:c r="Q1407" s="36" t="n">
        <x:v>46222</x:v>
      </x:c>
    </x:row>
    <x:row r="1408">
      <x:c r="A1408" s="36" t="str">
        <x:v>2026-07-19</x:v>
      </x:c>
      <x:c r="B1408" s="18" t="str">
        <x:v>101437000_76091</x:v>
      </x:c>
      <x:c r="C1408" s="18" t="str">
        <x:v>【沪村小电】恒信家园充电站</x:v>
      </x:c>
      <x:c r="D1408" s="37" t="str">
        <x:v>2</x:v>
      </x:c>
      <x:c r="E1408" s="37" t="str">
        <x:v>0</x:v>
      </x:c>
      <x:c r="F1408" s="37" t="str">
        <x:v>59</x:v>
      </x:c>
      <x:c r="G1408" s="37" t="str">
        <x:v>779.38</x:v>
      </x:c>
      <x:c r="H1408" s="37" t="str">
        <x:v>0.00</x:v>
      </x:c>
      <x:c r="I1408" s="37" t="str">
        <x:v>501.50</x:v>
      </x:c>
      <x:c r="J1408" s="37" t="str">
        <x:v>0.00</x:v>
      </x:c>
      <x:c r="K1408" s="37" t="str">
        <x:v>277.89</x:v>
      </x:c>
      <x:c r="L1408" s="37" t="str">
        <x:v>1247</x:v>
      </x:c>
      <x:c r="M1408" s="29" t="str">
        <x:v>764.37</x:v>
      </x:c>
      <x:c r="N1408" s="29" t="str">
        <x:v>458.90</x:v>
      </x:c>
      <x:c r="O1408" s="29" t="str">
        <x:v>305.47</x:v>
      </x:c>
      <x:c r="P1408" s="18" t="str">
        <x:v>2026-07-19</x:v>
      </x:c>
      <x:c r="Q1408" s="36" t="n">
        <x:v>46222</x:v>
      </x:c>
    </x:row>
    <x:row r="1409">
      <x:c r="A1409" s="36" t="str">
        <x:v>2026-07-19</x:v>
      </x:c>
      <x:c r="B1409" s="18" t="str">
        <x:v>101437000_76417</x:v>
      </x:c>
      <x:c r="C1409" s="18" t="str">
        <x:v>【沪村小电】新春一组充电站</x:v>
      </x:c>
      <x:c r="D1409" s="37" t="str">
        <x:v>2</x:v>
      </x:c>
      <x:c r="E1409" s="37" t="str">
        <x:v>0</x:v>
      </x:c>
      <x:c r="F1409" s="37" t="str">
        <x:v>33</x:v>
      </x:c>
      <x:c r="G1409" s="37" t="str">
        <x:v>962.36</x:v>
      </x:c>
      <x:c r="H1409" s="37" t="str">
        <x:v>0.00</x:v>
      </x:c>
      <x:c r="I1409" s="37" t="str">
        <x:v>352.31</x:v>
      </x:c>
      <x:c r="J1409" s="37" t="str">
        <x:v>0.00</x:v>
      </x:c>
      <x:c r="K1409" s="37" t="str">
        <x:v>610.05</x:v>
      </x:c>
      <x:c r="L1409" s="37" t="str">
        <x:v>1444</x:v>
      </x:c>
      <x:c r="M1409" s="29" t="str">
        <x:v>718.19</x:v>
      </x:c>
      <x:c r="N1409" s="29" t="str">
        <x:v>475.83</x:v>
      </x:c>
      <x:c r="O1409" s="29" t="str">
        <x:v>242.36</x:v>
      </x:c>
      <x:c r="P1409" s="18" t="str">
        <x:v>2026-07-19</x:v>
      </x:c>
      <x:c r="Q1409" s="36" t="n">
        <x:v>46222</x:v>
      </x:c>
    </x:row>
    <x:row r="1410">
      <x:c r="A1410" s="36" t="str">
        <x:v>2026-07-19</x:v>
      </x:c>
      <x:c r="B1410" s="18" t="str">
        <x:v>101437000_78235</x:v>
      </x:c>
      <x:c r="C1410" s="18" t="str">
        <x:v>【沪村小电】欣秋苑充电站</x:v>
      </x:c>
      <x:c r="D1410" s="37" t="str">
        <x:v>4</x:v>
      </x:c>
      <x:c r="E1410" s="37" t="str">
        <x:v>0</x:v>
      </x:c>
      <x:c r="F1410" s="37" t="str">
        <x:v>18</x:v>
      </x:c>
      <x:c r="G1410" s="37" t="str">
        <x:v>524.88</x:v>
      </x:c>
      <x:c r="H1410" s="37" t="str">
        <x:v>0.00</x:v>
      </x:c>
      <x:c r="I1410" s="37" t="str">
        <x:v>302.48</x:v>
      </x:c>
      <x:c r="J1410" s="37" t="str">
        <x:v>0.00</x:v>
      </x:c>
      <x:c r="K1410" s="37" t="str">
        <x:v>222.40</x:v>
      </x:c>
      <x:c r="L1410" s="37" t="str">
        <x:v>792</x:v>
      </x:c>
      <x:c r="M1410" s="29" t="str">
        <x:v>434.29</x:v>
      </x:c>
      <x:c r="N1410" s="29" t="str">
        <x:v>297.04</x:v>
      </x:c>
      <x:c r="O1410" s="29" t="str">
        <x:v>137.25</x:v>
      </x:c>
      <x:c r="P1410" s="18" t="str">
        <x:v>2026-07-19</x:v>
      </x:c>
      <x:c r="Q1410" s="36" t="n">
        <x:v>46222</x:v>
      </x:c>
    </x:row>
    <x:row r="1411">
      <x:c r="A1411" s="36" t="str">
        <x:v>2026-07-19</x:v>
      </x:c>
      <x:c r="B1411" s="18" t="str">
        <x:v>101437000_78237</x:v>
      </x:c>
      <x:c r="C1411" s="18" t="str">
        <x:v>【沪村小电】奉馨苑西门小区内北侧充电站</x:v>
      </x:c>
      <x:c r="D1411" s="37" t="str">
        <x:v>2</x:v>
      </x:c>
      <x:c r="E1411" s="37" t="str">
        <x:v>0</x:v>
      </x:c>
      <x:c r="F1411" s="37" t="str">
        <x:v>36</x:v>
      </x:c>
      <x:c r="G1411" s="37" t="str">
        <x:v>1111.20</x:v>
      </x:c>
      <x:c r="H1411" s="37" t="str">
        <x:v>30.51</x:v>
      </x:c>
      <x:c r="I1411" s="37" t="str">
        <x:v>212.43</x:v>
      </x:c>
      <x:c r="J1411" s="37" t="str">
        <x:v>285.28</x:v>
      </x:c>
      <x:c r="K1411" s="37" t="str">
        <x:v>582.99</x:v>
      </x:c>
      <x:c r="L1411" s="37" t="str">
        <x:v>1543</x:v>
      </x:c>
      <x:c r="M1411" s="29" t="str">
        <x:v>916.35</x:v>
      </x:c>
      <x:c r="N1411" s="29" t="str">
        <x:v>706.34</x:v>
      </x:c>
      <x:c r="O1411" s="29" t="str">
        <x:v>210.01</x:v>
      </x:c>
      <x:c r="P1411" s="18" t="str">
        <x:v>2026-07-19</x:v>
      </x:c>
      <x:c r="Q1411" s="36" t="n">
        <x:v>46222</x:v>
      </x:c>
    </x:row>
    <x:row r="1412">
      <x:c r="A1412" s="36" t="str">
        <x:v>2026-07-19</x:v>
      </x:c>
      <x:c r="B1412" s="18" t="str">
        <x:v>101437000_78239</x:v>
      </x:c>
      <x:c r="C1412" s="18" t="str">
        <x:v>【沪村小电】恒大佘山首府东门充电站</x:v>
      </x:c>
      <x:c r="D1412" s="37" t="str">
        <x:v>2</x:v>
      </x:c>
      <x:c r="E1412" s="37" t="str">
        <x:v>0</x:v>
      </x:c>
      <x:c r="F1412" s="37" t="str">
        <x:v>35</x:v>
      </x:c>
      <x:c r="G1412" s="37" t="str">
        <x:v>917.29</x:v>
      </x:c>
      <x:c r="H1412" s="37" t="str">
        <x:v>0.00</x:v>
      </x:c>
      <x:c r="I1412" s="37" t="str">
        <x:v>444.70</x:v>
      </x:c>
      <x:c r="J1412" s="37" t="str">
        <x:v>0.00</x:v>
      </x:c>
      <x:c r="K1412" s="37" t="str">
        <x:v>472.59</x:v>
      </x:c>
      <x:c r="L1412" s="37" t="str">
        <x:v>1301</x:v>
      </x:c>
      <x:c r="M1412" s="29" t="str">
        <x:v>772.55</x:v>
      </x:c>
      <x:c r="N1412" s="29" t="str">
        <x:v>490.60</x:v>
      </x:c>
      <x:c r="O1412" s="29" t="str">
        <x:v>281.95</x:v>
      </x:c>
      <x:c r="P1412" s="18" t="str">
        <x:v>2026-07-19</x:v>
      </x:c>
      <x:c r="Q1412" s="36" t="n">
        <x:v>46222</x:v>
      </x:c>
    </x:row>
    <x:row r="1413">
      <x:c r="A1413" s="36" t="str">
        <x:v>2026-07-19</x:v>
      </x:c>
      <x:c r="B1413" s="18" t="str">
        <x:v>101437000_80823</x:v>
      </x:c>
      <x:c r="C1413" s="18" t="str">
        <x:v>【沪村小电】上湖轩充电站</x:v>
      </x:c>
      <x:c r="D1413" s="37" t="str">
        <x:v>2</x:v>
      </x:c>
      <x:c r="E1413" s="37" t="str">
        <x:v>0</x:v>
      </x:c>
      <x:c r="F1413" s="37" t="str">
        <x:v>12</x:v>
      </x:c>
      <x:c r="G1413" s="37" t="str">
        <x:v>299.49</x:v>
      </x:c>
      <x:c r="H1413" s="37" t="str">
        <x:v>33.50</x:v>
      </x:c>
      <x:c r="I1413" s="37" t="str">
        <x:v>12.78</x:v>
      </x:c>
      <x:c r="J1413" s="37" t="str">
        <x:v>24.10</x:v>
      </x:c>
      <x:c r="K1413" s="37" t="str">
        <x:v>229.11</x:v>
      </x:c>
      <x:c r="L1413" s="37" t="str">
        <x:v>473</x:v>
      </x:c>
      <x:c r="M1413" s="29" t="str">
        <x:v>223.94</x:v>
      </x:c>
      <x:c r="N1413" s="29" t="str">
        <x:v>197.82</x:v>
      </x:c>
      <x:c r="O1413" s="29" t="str">
        <x:v>26.12</x:v>
      </x:c>
      <x:c r="P1413" s="18" t="str">
        <x:v>2026-07-19</x:v>
      </x:c>
      <x:c r="Q1413" s="36" t="n">
        <x:v>46222</x:v>
      </x:c>
    </x:row>
    <x:row r="1414">
      <x:c r="A1414" s="36" t="str">
        <x:v>2026-07-19</x:v>
      </x:c>
      <x:c r="B1414" s="18" t="str">
        <x:v>101437000_83019</x:v>
      </x:c>
      <x:c r="C1414" s="18" t="str">
        <x:v>【沪村小电】首创禧瑞云启东区充电站</x:v>
      </x:c>
      <x:c r="D1414" s="37" t="str">
        <x:v>2</x:v>
      </x:c>
      <x:c r="E1414" s="37" t="str">
        <x:v>0</x:v>
      </x:c>
      <x:c r="F1414" s="37" t="str">
        <x:v>18</x:v>
      </x:c>
      <x:c r="G1414" s="37" t="str">
        <x:v>455.85</x:v>
      </x:c>
      <x:c r="H1414" s="37" t="str">
        <x:v>0.00</x:v>
      </x:c>
      <x:c r="I1414" s="37" t="str">
        <x:v>279.55</x:v>
      </x:c>
      <x:c r="J1414" s="37" t="str">
        <x:v>0.00</x:v>
      </x:c>
      <x:c r="K1414" s="37" t="str">
        <x:v>176.30</x:v>
      </x:c>
      <x:c r="L1414" s="37" t="str">
        <x:v>603</x:v>
      </x:c>
      <x:c r="M1414" s="29" t="str">
        <x:v>443.29</x:v>
      </x:c>
      <x:c r="N1414" s="29" t="str">
        <x:v>263.72</x:v>
      </x:c>
      <x:c r="O1414" s="29" t="str">
        <x:v>179.57</x:v>
      </x:c>
      <x:c r="P1414" s="18" t="str">
        <x:v>2026-07-19</x:v>
      </x:c>
      <x:c r="Q1414" s="36" t="n">
        <x:v>46222</x:v>
      </x:c>
    </x:row>
    <x:row r="1415">
      <x:c r="A1415" s="36" t="str">
        <x:v>2026-07-19</x:v>
      </x:c>
      <x:c r="B1415" s="18" t="str">
        <x:v>101437000_83093</x:v>
      </x:c>
      <x:c r="C1415" s="18" t="str">
        <x:v>【沪村小电】金茂未来时光里</x:v>
      </x:c>
      <x:c r="D1415" s="37" t="str">
        <x:v>2</x:v>
      </x:c>
      <x:c r="E1415" s="37" t="str">
        <x:v>0</x:v>
      </x:c>
      <x:c r="F1415" s="37" t="str">
        <x:v>55</x:v>
      </x:c>
      <x:c r="G1415" s="37" t="str">
        <x:v>1612.04</x:v>
      </x:c>
      <x:c r="H1415" s="37" t="str">
        <x:v>0.00</x:v>
      </x:c>
      <x:c r="I1415" s="37" t="str">
        <x:v>860.69</x:v>
      </x:c>
      <x:c r="J1415" s="37" t="str">
        <x:v>0.00</x:v>
      </x:c>
      <x:c r="K1415" s="37" t="str">
        <x:v>751.35</x:v>
      </x:c>
      <x:c r="L1415" s="37" t="str">
        <x:v>2401</x:v>
      </x:c>
      <x:c r="M1415" s="29" t="str">
        <x:v>1103.59</x:v>
      </x:c>
      <x:c r="N1415" s="29" t="str">
        <x:v>740.70</x:v>
      </x:c>
      <x:c r="O1415" s="29" t="str">
        <x:v>362.89</x:v>
      </x:c>
      <x:c r="P1415" s="18" t="str">
        <x:v>2026-07-19</x:v>
      </x:c>
      <x:c r="Q1415" s="36" t="n">
        <x:v>46222</x:v>
      </x:c>
    </x:row>
    <x:row r="1416">
      <x:c r="A1416" s="36" t="str">
        <x:v>2026-07-19</x:v>
      </x:c>
      <x:c r="B1416" s="18" t="str">
        <x:v>101437000_83911</x:v>
      </x:c>
      <x:c r="C1416" s="18" t="str">
        <x:v>【沪村小电】金瀚园充电站</x:v>
      </x:c>
      <x:c r="D1416" s="37" t="str">
        <x:v>2</x:v>
      </x:c>
      <x:c r="E1416" s="37" t="str">
        <x:v>0</x:v>
      </x:c>
      <x:c r="F1416" s="37" t="str">
        <x:v>44</x:v>
      </x:c>
      <x:c r="G1416" s="37" t="str">
        <x:v>1130.72</x:v>
      </x:c>
      <x:c r="H1416" s="37" t="str">
        <x:v>0.00</x:v>
      </x:c>
      <x:c r="I1416" s="37" t="str">
        <x:v>741.78</x:v>
      </x:c>
      <x:c r="J1416" s="37" t="str">
        <x:v>0.00</x:v>
      </x:c>
      <x:c r="K1416" s="37" t="str">
        <x:v>388.94</x:v>
      </x:c>
      <x:c r="L1416" s="37" t="str">
        <x:v>1764</x:v>
      </x:c>
      <x:c r="M1416" s="29" t="str">
        <x:v>1030.19</x:v>
      </x:c>
      <x:c r="N1416" s="29" t="str">
        <x:v>670.57</x:v>
      </x:c>
      <x:c r="O1416" s="29" t="str">
        <x:v>359.62</x:v>
      </x:c>
      <x:c r="P1416" s="18" t="str">
        <x:v>2026-07-19</x:v>
      </x:c>
      <x:c r="Q1416" s="36" t="n">
        <x:v>46222</x:v>
      </x:c>
    </x:row>
    <x:row r="1417">
      <x:c r="A1417" s="36" t="str">
        <x:v>2026-07-19</x:v>
      </x:c>
      <x:c r="B1417" s="18" t="str">
        <x:v>101437000_83913</x:v>
      </x:c>
      <x:c r="C1417" s="18" t="str">
        <x:v>【沪村小电】新黎村充电站</x:v>
      </x:c>
      <x:c r="D1417" s="37" t="str">
        <x:v>2</x:v>
      </x:c>
      <x:c r="E1417" s="37" t="str">
        <x:v>0</x:v>
      </x:c>
      <x:c r="F1417" s="37" t="str">
        <x:v>52</x:v>
      </x:c>
      <x:c r="G1417" s="37" t="str">
        <x:v>1332.90</x:v>
      </x:c>
      <x:c r="H1417" s="37" t="str">
        <x:v>0.00</x:v>
      </x:c>
      <x:c r="I1417" s="37" t="str">
        <x:v>950.65</x:v>
      </x:c>
      <x:c r="J1417" s="37" t="str">
        <x:v>0.00</x:v>
      </x:c>
      <x:c r="K1417" s="37" t="str">
        <x:v>382.25</x:v>
      </x:c>
      <x:c r="L1417" s="37" t="str">
        <x:v>1963</x:v>
      </x:c>
      <x:c r="M1417" s="29" t="str">
        <x:v>1208.54</x:v>
      </x:c>
      <x:c r="N1417" s="29" t="str">
        <x:v>816.38</x:v>
      </x:c>
      <x:c r="O1417" s="29" t="str">
        <x:v>392.16</x:v>
      </x:c>
      <x:c r="P1417" s="18" t="str">
        <x:v>2026-07-19</x:v>
      </x:c>
      <x:c r="Q1417" s="36" t="n">
        <x:v>46222</x:v>
      </x:c>
    </x:row>
    <x:row r="1418">
      <x:c r="A1418" s="36" t="str">
        <x:v>2026-07-19</x:v>
      </x:c>
      <x:c r="B1418" s="18" t="str">
        <x:v>101437000_83915</x:v>
      </x:c>
      <x:c r="C1418" s="18" t="str">
        <x:v>【沪村小电】长泰西郊别墅充电站</x:v>
      </x:c>
      <x:c r="D1418" s="37" t="str">
        <x:v>2</x:v>
      </x:c>
      <x:c r="E1418" s="37" t="str">
        <x:v>0</x:v>
      </x:c>
      <x:c r="F1418" s="37" t="str">
        <x:v>22</x:v>
      </x:c>
      <x:c r="G1418" s="37" t="str">
        <x:v>589.91</x:v>
      </x:c>
      <x:c r="H1418" s="37" t="str">
        <x:v>0.00</x:v>
      </x:c>
      <x:c r="I1418" s="37" t="str">
        <x:v>299.40</x:v>
      </x:c>
      <x:c r="J1418" s="37" t="str">
        <x:v>0.00</x:v>
      </x:c>
      <x:c r="K1418" s="37" t="str">
        <x:v>290.51</x:v>
      </x:c>
      <x:c r="L1418" s="37" t="str">
        <x:v>824</x:v>
      </x:c>
      <x:c r="M1418" s="29" t="str">
        <x:v>514.52</x:v>
      </x:c>
      <x:c r="N1418" s="29" t="str">
        <x:v>320.02</x:v>
      </x:c>
      <x:c r="O1418" s="29" t="str">
        <x:v>194.50</x:v>
      </x:c>
      <x:c r="P1418" s="18" t="str">
        <x:v>2026-07-19</x:v>
      </x:c>
      <x:c r="Q1418" s="36" t="n">
        <x:v>46222</x:v>
      </x:c>
    </x:row>
    <x:row r="1419">
      <x:c r="A1419" s="36" t="str">
        <x:v>2026-07-19</x:v>
      </x:c>
      <x:c r="B1419" s="18" t="str">
        <x:v>101437000_83917</x:v>
      </x:c>
      <x:c r="C1419" s="18" t="str">
        <x:v>【沪村小电】旭新华庭充电站</x:v>
      </x:c>
      <x:c r="D1419" s="37" t="str">
        <x:v>4</x:v>
      </x:c>
      <x:c r="E1419" s="37" t="str">
        <x:v>0</x:v>
      </x:c>
      <x:c r="F1419" s="37" t="str">
        <x:v>40</x:v>
      </x:c>
      <x:c r="G1419" s="37" t="str">
        <x:v>885.82</x:v>
      </x:c>
      <x:c r="H1419" s="37" t="str">
        <x:v>0.00</x:v>
      </x:c>
      <x:c r="I1419" s="37" t="str">
        <x:v>600.60</x:v>
      </x:c>
      <x:c r="J1419" s="37" t="str">
        <x:v>0.00</x:v>
      </x:c>
      <x:c r="K1419" s="37" t="str">
        <x:v>285.22</x:v>
      </x:c>
      <x:c r="L1419" s="37" t="str">
        <x:v>1259</x:v>
      </x:c>
      <x:c r="M1419" s="29" t="str">
        <x:v>890.26</x:v>
      </x:c>
      <x:c r="N1419" s="29" t="str">
        <x:v>531.99</x:v>
      </x:c>
      <x:c r="O1419" s="29" t="str">
        <x:v>358.27</x:v>
      </x:c>
      <x:c r="P1419" s="18" t="str">
        <x:v>2026-07-19</x:v>
      </x:c>
      <x:c r="Q1419" s="36" t="n">
        <x:v>46222</x:v>
      </x:c>
    </x:row>
    <x:row r="1420">
      <x:c r="A1420" s="36" t="str">
        <x:v>2026-07-19</x:v>
      </x:c>
      <x:c r="B1420" s="18" t="str">
        <x:v>101437000_83919</x:v>
      </x:c>
      <x:c r="C1420" s="18" t="str">
        <x:v>【沪村小电】浦锦名仕嘉园充电站</x:v>
      </x:c>
      <x:c r="D1420" s="37" t="str">
        <x:v>4</x:v>
      </x:c>
      <x:c r="E1420" s="37" t="str">
        <x:v>0</x:v>
      </x:c>
      <x:c r="F1420" s="37" t="str">
        <x:v>55</x:v>
      </x:c>
      <x:c r="G1420" s="37" t="str">
        <x:v>1207.47</x:v>
      </x:c>
      <x:c r="H1420" s="37" t="str">
        <x:v>0.00</x:v>
      </x:c>
      <x:c r="I1420" s="37" t="str">
        <x:v>0.00</x:v>
      </x:c>
      <x:c r="J1420" s="37" t="str">
        <x:v>1207.47</x:v>
      </x:c>
      <x:c r="K1420" s="37" t="str">
        <x:v>0.00</x:v>
      </x:c>
      <x:c r="L1420" s="37" t="str">
        <x:v>1721</x:v>
      </x:c>
      <x:c r="M1420" s="29" t="str">
        <x:v>1293.18</x:v>
      </x:c>
      <x:c r="N1420" s="29" t="str">
        <x:v>845.24</x:v>
      </x:c>
      <x:c r="O1420" s="29" t="str">
        <x:v>447.94</x:v>
      </x:c>
      <x:c r="P1420" s="18" t="str">
        <x:v>2026-07-19</x:v>
      </x:c>
      <x:c r="Q1420" s="36" t="n">
        <x:v>46222</x:v>
      </x:c>
    </x:row>
    <x:row r="1421">
      <x:c r="A1421" s="36" t="str">
        <x:v>2026-07-19</x:v>
      </x:c>
      <x:c r="B1421" s="18" t="str">
        <x:v>101437000_83921</x:v>
      </x:c>
      <x:c r="C1421" s="18" t="str">
        <x:v>【沪村小电】上海联怡枇杷乐园充电站（地库）</x:v>
      </x:c>
      <x:c r="D1421" s="37" t="str">
        <x:v>8</x:v>
      </x:c>
      <x:c r="E1421" s="37" t="str">
        <x:v>0</x:v>
      </x:c>
      <x:c r="F1421" s="37" t="str">
        <x:v>22</x:v>
      </x:c>
      <x:c r="G1421" s="37" t="str">
        <x:v>694.72</x:v>
      </x:c>
      <x:c r="H1421" s="37" t="str">
        <x:v>0.00</x:v>
      </x:c>
      <x:c r="I1421" s="37" t="str">
        <x:v>229.54</x:v>
      </x:c>
      <x:c r="J1421" s="37" t="str">
        <x:v>0.00</x:v>
      </x:c>
      <x:c r="K1421" s="37" t="str">
        <x:v>465.19</x:v>
      </x:c>
      <x:c r="L1421" s="37" t="str">
        <x:v>1032</x:v>
      </x:c>
      <x:c r="M1421" s="29" t="str">
        <x:v>527.21</x:v>
      </x:c>
      <x:c r="N1421" s="29" t="str">
        <x:v>420.57</x:v>
      </x:c>
      <x:c r="O1421" s="29" t="str">
        <x:v>106.64</x:v>
      </x:c>
      <x:c r="P1421" s="18" t="str">
        <x:v>2026-07-19</x:v>
      </x:c>
      <x:c r="Q1421" s="36" t="n">
        <x:v>46222</x:v>
      </x:c>
    </x:row>
    <x:row r="1422">
      <x:c r="A1422" s="36" t="str">
        <x:v>2026-07-19</x:v>
      </x:c>
      <x:c r="B1422" s="18" t="str">
        <x:v>101437000_83923</x:v>
      </x:c>
      <x:c r="C1422" s="18" t="str">
        <x:v>【沪村小电】明珠新苑充电站</x:v>
      </x:c>
      <x:c r="D1422" s="37" t="str">
        <x:v>2</x:v>
      </x:c>
      <x:c r="E1422" s="37" t="str">
        <x:v>0</x:v>
      </x:c>
      <x:c r="F1422" s="37" t="str">
        <x:v>43</x:v>
      </x:c>
      <x:c r="G1422" s="37" t="str">
        <x:v>1052.88</x:v>
      </x:c>
      <x:c r="H1422" s="37" t="str">
        <x:v>0.00</x:v>
      </x:c>
      <x:c r="I1422" s="37" t="str">
        <x:v>587.20</x:v>
      </x:c>
      <x:c r="J1422" s="37" t="str">
        <x:v>0.00</x:v>
      </x:c>
      <x:c r="K1422" s="37" t="str">
        <x:v>465.68</x:v>
      </x:c>
      <x:c r="L1422" s="37" t="str">
        <x:v>1365</x:v>
      </x:c>
      <x:c r="M1422" s="29" t="str">
        <x:v>942.84</x:v>
      </x:c>
      <x:c r="N1422" s="29" t="str">
        <x:v>589.20</x:v>
      </x:c>
      <x:c r="O1422" s="29" t="str">
        <x:v>353.64</x:v>
      </x:c>
      <x:c r="P1422" s="18" t="str">
        <x:v>2026-07-19</x:v>
      </x:c>
      <x:c r="Q1422" s="36" t="n">
        <x:v>46222</x:v>
      </x:c>
    </x:row>
    <x:row r="1423">
      <x:c r="A1423" s="36" t="str">
        <x:v>2026-07-19</x:v>
      </x:c>
      <x:c r="B1423" s="18" t="str">
        <x:v>101437000_84289</x:v>
      </x:c>
      <x:c r="C1423" s="18" t="str">
        <x:v>【沪村小电】铁建芳华苑充电站</x:v>
      </x:c>
      <x:c r="D1423" s="37" t="str">
        <x:v>4</x:v>
      </x:c>
      <x:c r="E1423" s="37" t="str">
        <x:v>0</x:v>
      </x:c>
      <x:c r="F1423" s="37" t="str">
        <x:v>39</x:v>
      </x:c>
      <x:c r="G1423" s="37" t="str">
        <x:v>760.97</x:v>
      </x:c>
      <x:c r="H1423" s="37" t="str">
        <x:v>0.00</x:v>
      </x:c>
      <x:c r="I1423" s="37" t="str">
        <x:v>524.21</x:v>
      </x:c>
      <x:c r="J1423" s="37" t="str">
        <x:v>0.00</x:v>
      </x:c>
      <x:c r="K1423" s="37" t="str">
        <x:v>236.76</x:v>
      </x:c>
      <x:c r="L1423" s="37" t="str">
        <x:v>1163</x:v>
      </x:c>
      <x:c r="M1423" s="29" t="str">
        <x:v>705.13</x:v>
      </x:c>
      <x:c r="N1423" s="29" t="str">
        <x:v>459.79</x:v>
      </x:c>
      <x:c r="O1423" s="29" t="str">
        <x:v>245.34</x:v>
      </x:c>
      <x:c r="P1423" s="18" t="str">
        <x:v>2026-07-19</x:v>
      </x:c>
      <x:c r="Q1423" s="36" t="n">
        <x:v>46222</x:v>
      </x:c>
    </x:row>
    <x:row r="1424">
      <x:c r="A1424" s="36" t="str">
        <x:v>2026-07-19</x:v>
      </x:c>
      <x:c r="B1424" s="18" t="str">
        <x:v>101437000_86379</x:v>
      </x:c>
      <x:c r="C1424" s="18" t="str">
        <x:v>【沪村小电】新宝社区充电站</x:v>
      </x:c>
      <x:c r="D1424" s="37" t="str">
        <x:v>4</x:v>
      </x:c>
      <x:c r="E1424" s="37" t="str">
        <x:v>0</x:v>
      </x:c>
      <x:c r="F1424" s="37" t="str">
        <x:v>15</x:v>
      </x:c>
      <x:c r="G1424" s="37" t="str">
        <x:v>449.55</x:v>
      </x:c>
      <x:c r="H1424" s="37" t="str">
        <x:v>0.00</x:v>
      </x:c>
      <x:c r="I1424" s="37" t="str">
        <x:v>190.28</x:v>
      </x:c>
      <x:c r="J1424" s="37" t="str">
        <x:v>0.00</x:v>
      </x:c>
      <x:c r="K1424" s="37" t="str">
        <x:v>259.28</x:v>
      </x:c>
      <x:c r="L1424" s="37" t="str">
        <x:v>841</x:v>
      </x:c>
      <x:c r="M1424" s="29" t="str">
        <x:v>342.85</x:v>
      </x:c>
      <x:c r="N1424" s="29" t="str">
        <x:v>231.05</x:v>
      </x:c>
      <x:c r="O1424" s="29" t="str">
        <x:v>111.80</x:v>
      </x:c>
      <x:c r="P1424" s="18" t="str">
        <x:v>2026-07-19</x:v>
      </x:c>
      <x:c r="Q1424" s="36" t="n">
        <x:v>46222</x:v>
      </x:c>
    </x:row>
    <x:row r="1425">
      <x:c r="A1425" s="36" t="str">
        <x:v>2026-07-19</x:v>
      </x:c>
      <x:c r="B1425" s="18" t="str">
        <x:v>101437000_89441</x:v>
      </x:c>
      <x:c r="C1425" s="18" t="str">
        <x:v>【沪村小电】首创禧瑞云启西区充电站</x:v>
      </x:c>
      <x:c r="D1425" s="37" t="str">
        <x:v>2</x:v>
      </x:c>
      <x:c r="E1425" s="37" t="str">
        <x:v>0</x:v>
      </x:c>
      <x:c r="F1425" s="37" t="str">
        <x:v>37</x:v>
      </x:c>
      <x:c r="G1425" s="37" t="str">
        <x:v>991.86</x:v>
      </x:c>
      <x:c r="H1425" s="37" t="str">
        <x:v>0.00</x:v>
      </x:c>
      <x:c r="I1425" s="37" t="str">
        <x:v>633.26</x:v>
      </x:c>
      <x:c r="J1425" s="37" t="str">
        <x:v>0.00</x:v>
      </x:c>
      <x:c r="K1425" s="37" t="str">
        <x:v>358.60</x:v>
      </x:c>
      <x:c r="L1425" s="37" t="str">
        <x:v>1309</x:v>
      </x:c>
      <x:c r="M1425" s="29" t="str">
        <x:v>1021.14</x:v>
      </x:c>
      <x:c r="N1425" s="29" t="str">
        <x:v>582.31</x:v>
      </x:c>
      <x:c r="O1425" s="29" t="str">
        <x:v>438.83</x:v>
      </x:c>
      <x:c r="P1425" s="18" t="str">
        <x:v>2026-07-19</x:v>
      </x:c>
      <x:c r="Q1425" s="36" t="n">
        <x:v>46222</x:v>
      </x:c>
    </x:row>
    <x:row r="1426">
      <x:c r="A1426" s="36" t="str">
        <x:v>2026-07-19</x:v>
      </x:c>
      <x:c r="B1426" s="18" t="str">
        <x:v>101437000_89443</x:v>
      </x:c>
      <x:c r="C1426" s="18" t="str">
        <x:v>【沪村小电】玉兰清苑二期充电站</x:v>
      </x:c>
      <x:c r="D1426" s="37" t="str">
        <x:v>2</x:v>
      </x:c>
      <x:c r="E1426" s="37" t="str">
        <x:v>0</x:v>
      </x:c>
      <x:c r="F1426" s="37" t="str">
        <x:v>23</x:v>
      </x:c>
      <x:c r="G1426" s="37" t="str">
        <x:v>569.35</x:v>
      </x:c>
      <x:c r="H1426" s="37" t="str">
        <x:v>0.00</x:v>
      </x:c>
      <x:c r="I1426" s="37" t="str">
        <x:v>433.93</x:v>
      </x:c>
      <x:c r="J1426" s="37" t="str">
        <x:v>0.00</x:v>
      </x:c>
      <x:c r="K1426" s="37" t="str">
        <x:v>135.42</x:v>
      </x:c>
      <x:c r="L1426" s="37" t="str">
        <x:v>726</x:v>
      </x:c>
      <x:c r="M1426" s="29" t="str">
        <x:v>536.38</x:v>
      </x:c>
      <x:c r="N1426" s="29" t="str">
        <x:v>358.21</x:v>
      </x:c>
      <x:c r="O1426" s="29" t="str">
        <x:v>178.17</x:v>
      </x:c>
      <x:c r="P1426" s="18" t="str">
        <x:v>2026-07-19</x:v>
      </x:c>
      <x:c r="Q1426" s="36" t="n">
        <x:v>46222</x:v>
      </x:c>
    </x:row>
    <x:row r="1427">
      <x:c r="A1427" s="36" t="str">
        <x:v>2026-07-19</x:v>
      </x:c>
      <x:c r="B1427" s="18" t="str">
        <x:v>101437000_93115</x:v>
      </x:c>
      <x:c r="C1427" s="18" t="str">
        <x:v>【沪村小电】新南家园西北门</x:v>
      </x:c>
      <x:c r="D1427" s="37" t="str">
        <x:v>2</x:v>
      </x:c>
      <x:c r="E1427" s="37" t="str">
        <x:v>0</x:v>
      </x:c>
      <x:c r="F1427" s="37" t="str">
        <x:v>22</x:v>
      </x:c>
      <x:c r="G1427" s="37" t="str">
        <x:v>590.63</x:v>
      </x:c>
      <x:c r="H1427" s="37" t="str">
        <x:v>0.00</x:v>
      </x:c>
      <x:c r="I1427" s="37" t="str">
        <x:v>419.72</x:v>
      </x:c>
      <x:c r="J1427" s="37" t="str">
        <x:v>0.00</x:v>
      </x:c>
      <x:c r="K1427" s="37" t="str">
        <x:v>170.91</x:v>
      </x:c>
      <x:c r="L1427" s="37" t="str">
        <x:v>943</x:v>
      </x:c>
      <x:c r="M1427" s="29" t="str">
        <x:v>599.36</x:v>
      </x:c>
      <x:c r="N1427" s="29" t="str">
        <x:v>361.23</x:v>
      </x:c>
      <x:c r="O1427" s="29" t="str">
        <x:v>238.13</x:v>
      </x:c>
      <x:c r="P1427" s="18" t="str">
        <x:v>2026-07-19</x:v>
      </x:c>
      <x:c r="Q1427" s="36" t="n">
        <x:v>46222</x:v>
      </x:c>
    </x:row>
    <x:row r="1428">
      <x:c r="A1428" s="36" t="str">
        <x:v>2026-07-19</x:v>
      </x:c>
      <x:c r="B1428" s="18" t="str">
        <x:v>101437000_94649</x:v>
      </x:c>
      <x:c r="C1428" s="18" t="str">
        <x:v>【沪村小电】浪琴水岸花园</x:v>
      </x:c>
      <x:c r="D1428" s="37" t="str">
        <x:v>4</x:v>
      </x:c>
      <x:c r="E1428" s="37" t="str">
        <x:v>0</x:v>
      </x:c>
      <x:c r="F1428" s="37" t="str">
        <x:v>37</x:v>
      </x:c>
      <x:c r="G1428" s="37" t="str">
        <x:v>994.23</x:v>
      </x:c>
      <x:c r="H1428" s="37" t="str">
        <x:v>0.00</x:v>
      </x:c>
      <x:c r="I1428" s="37" t="str">
        <x:v>587.94</x:v>
      </x:c>
      <x:c r="J1428" s="37" t="str">
        <x:v>0.00</x:v>
      </x:c>
      <x:c r="K1428" s="37" t="str">
        <x:v>406.29</x:v>
      </x:c>
      <x:c r="L1428" s="37" t="str">
        <x:v>1543</x:v>
      </x:c>
      <x:c r="M1428" s="29" t="str">
        <x:v>823.97</x:v>
      </x:c>
      <x:c r="N1428" s="29" t="str">
        <x:v>608.39</x:v>
      </x:c>
      <x:c r="O1428" s="29" t="str">
        <x:v>215.58</x:v>
      </x:c>
      <x:c r="P1428" s="18" t="str">
        <x:v>2026-07-19</x:v>
      </x:c>
      <x:c r="Q1428" s="36" t="n">
        <x:v>46222</x:v>
      </x:c>
    </x:row>
    <x:row r="1429">
      <x:c r="A1429" s="36" t="str">
        <x:v>2026-07-19</x:v>
      </x:c>
      <x:c r="B1429" s="18" t="str">
        <x:v>101437000_95077</x:v>
      </x:c>
      <x:c r="C1429" s="18" t="str">
        <x:v>【沪村小电】民乐城惠益绿苑255弄充电站</x:v>
      </x:c>
      <x:c r="D1429" s="37" t="str">
        <x:v>2</x:v>
      </x:c>
      <x:c r="E1429" s="37" t="str">
        <x:v>0</x:v>
      </x:c>
      <x:c r="F1429" s="37" t="str">
        <x:v>11</x:v>
      </x:c>
      <x:c r="G1429" s="37" t="str">
        <x:v>305.85</x:v>
      </x:c>
      <x:c r="H1429" s="37" t="str">
        <x:v>0.00</x:v>
      </x:c>
      <x:c r="I1429" s="37" t="str">
        <x:v>286.42</x:v>
      </x:c>
      <x:c r="J1429" s="37" t="str">
        <x:v>0.00</x:v>
      </x:c>
      <x:c r="K1429" s="37" t="str">
        <x:v>19.43</x:v>
      </x:c>
      <x:c r="L1429" s="37" t="str">
        <x:v>493</x:v>
      </x:c>
      <x:c r="M1429" s="29" t="str">
        <x:v>314.30</x:v>
      </x:c>
      <x:c r="N1429" s="29" t="str">
        <x:v>210.56</x:v>
      </x:c>
      <x:c r="O1429" s="29" t="str">
        <x:v>103.74</x:v>
      </x:c>
      <x:c r="P1429" s="18" t="str">
        <x:v>2026-07-19</x:v>
      </x:c>
      <x:c r="Q1429" s="36" t="n">
        <x:v>46222</x:v>
      </x:c>
    </x:row>
    <x:row r="1430">
      <x:c r="A1430" s="36" t="str">
        <x:v>2026-07-19</x:v>
      </x:c>
      <x:c r="B1430" s="18" t="str">
        <x:v>101437000_95079</x:v>
      </x:c>
      <x:c r="C1430" s="18" t="str">
        <x:v>【沪村小电】民乐城惠益绿苑东苑充电站</x:v>
      </x:c>
      <x:c r="D1430" s="37" t="str">
        <x:v>2</x:v>
      </x:c>
      <x:c r="E1430" s="37" t="str">
        <x:v>0</x:v>
      </x:c>
      <x:c r="F1430" s="37" t="str">
        <x:v>19</x:v>
      </x:c>
      <x:c r="G1430" s="37" t="str">
        <x:v>376.45</x:v>
      </x:c>
      <x:c r="H1430" s="37" t="str">
        <x:v>0.00</x:v>
      </x:c>
      <x:c r="I1430" s="37" t="str">
        <x:v>376.45</x:v>
      </x:c>
      <x:c r="J1430" s="37" t="str">
        <x:v>0.00</x:v>
      </x:c>
      <x:c r="K1430" s="37" t="str">
        <x:v>0.00</x:v>
      </x:c>
      <x:c r="L1430" s="37" t="str">
        <x:v>561</x:v>
      </x:c>
      <x:c r="M1430" s="29" t="str">
        <x:v>366.58</x:v>
      </x:c>
      <x:c r="N1430" s="29" t="str">
        <x:v>267.29</x:v>
      </x:c>
      <x:c r="O1430" s="29" t="str">
        <x:v>99.29</x:v>
      </x:c>
      <x:c r="P1430" s="18" t="str">
        <x:v>2026-07-19</x:v>
      </x:c>
      <x:c r="Q1430" s="36" t="n">
        <x:v>46222</x:v>
      </x:c>
    </x:row>
    <x:row r="1431">
      <x:c r="A1431" s="36" t="str">
        <x:v>2026-07-19</x:v>
      </x:c>
      <x:c r="B1431" s="18" t="str">
        <x:v>101437000_95081</x:v>
      </x:c>
      <x:c r="C1431" s="18" t="str">
        <x:v>【沪村小电】民乐城惠益绿苑西苑充电站</x:v>
      </x:c>
      <x:c r="D1431" s="37" t="str">
        <x:v>2</x:v>
      </x:c>
      <x:c r="E1431" s="37" t="str">
        <x:v>0</x:v>
      </x:c>
      <x:c r="F1431" s="37" t="str">
        <x:v>11</x:v>
      </x:c>
      <x:c r="G1431" s="37" t="str">
        <x:v>188.61</x:v>
      </x:c>
      <x:c r="H1431" s="37" t="str">
        <x:v>0.00</x:v>
      </x:c>
      <x:c r="I1431" s="37" t="str">
        <x:v>188.61</x:v>
      </x:c>
      <x:c r="J1431" s="37" t="str">
        <x:v>0.00</x:v>
      </x:c>
      <x:c r="K1431" s="37" t="str">
        <x:v>0.00</x:v>
      </x:c>
      <x:c r="L1431" s="37" t="str">
        <x:v>290</x:v>
      </x:c>
      <x:c r="M1431" s="29" t="str">
        <x:v>186.44</x:v>
      </x:c>
      <x:c r="N1431" s="29" t="str">
        <x:v>133.91</x:v>
      </x:c>
      <x:c r="O1431" s="29" t="str">
        <x:v>52.53</x:v>
      </x:c>
      <x:c r="P1431" s="18" t="str">
        <x:v>2026-07-19</x:v>
      </x:c>
      <x:c r="Q1431" s="36" t="n">
        <x:v>46222</x:v>
      </x:c>
    </x:row>
    <x:row r="1432">
      <x:c r="A1432" s="36" t="str">
        <x:v>2026-07-19</x:v>
      </x:c>
      <x:c r="B1432" s="18" t="str">
        <x:v>101437000_95091</x:v>
      </x:c>
      <x:c r="C1432" s="18" t="str">
        <x:v>【沪村小电】金悦学府2号站</x:v>
      </x:c>
      <x:c r="D1432" s="37" t="str">
        <x:v>2</x:v>
      </x:c>
      <x:c r="E1432" s="37" t="str">
        <x:v>0</x:v>
      </x:c>
      <x:c r="F1432" s="37" t="str">
        <x:v>10</x:v>
      </x:c>
      <x:c r="G1432" s="37" t="str">
        <x:v>321.27</x:v>
      </x:c>
      <x:c r="H1432" s="37" t="str">
        <x:v>0.00</x:v>
      </x:c>
      <x:c r="I1432" s="37" t="str">
        <x:v>0.00</x:v>
      </x:c>
      <x:c r="J1432" s="37" t="str">
        <x:v>321.27</x:v>
      </x:c>
      <x:c r="K1432" s="37" t="str">
        <x:v>0.00</x:v>
      </x:c>
      <x:c r="L1432" s="37" t="str">
        <x:v>1801</x:v>
      </x:c>
      <x:c r="M1432" s="29" t="str">
        <x:v>253.83</x:v>
      </x:c>
      <x:c r="N1432" s="29" t="str">
        <x:v>179.93</x:v>
      </x:c>
      <x:c r="O1432" s="29" t="str">
        <x:v>73.90</x:v>
      </x:c>
      <x:c r="P1432" s="18" t="str">
        <x:v>2026-07-19</x:v>
      </x:c>
      <x:c r="Q1432" s="36" t="n">
        <x:v>46222</x:v>
      </x:c>
    </x:row>
    <x:row r="1433">
      <x:c r="A1433" s="36" t="str">
        <x:v>2026-07-19</x:v>
      </x:c>
      <x:c r="B1433" s="18" t="str">
        <x:v>101437000_95941</x:v>
      </x:c>
      <x:c r="C1433" s="18" t="str">
        <x:v>【沪村小电】惠诚雅苑</x:v>
      </x:c>
      <x:c r="D1433" s="37" t="str">
        <x:v>4</x:v>
      </x:c>
      <x:c r="E1433" s="37" t="str">
        <x:v>0</x:v>
      </x:c>
      <x:c r="F1433" s="37" t="str">
        <x:v>47</x:v>
      </x:c>
      <x:c r="G1433" s="37" t="str">
        <x:v>1213.25</x:v>
      </x:c>
      <x:c r="H1433" s="37" t="str">
        <x:v>0.00</x:v>
      </x:c>
      <x:c r="I1433" s="37" t="str">
        <x:v>559.63</x:v>
      </x:c>
      <x:c r="J1433" s="37" t="str">
        <x:v>0.00</x:v>
      </x:c>
      <x:c r="K1433" s="37" t="str">
        <x:v>653.62</x:v>
      </x:c>
      <x:c r="L1433" s="37" t="str">
        <x:v>1943</x:v>
      </x:c>
      <x:c r="M1433" s="29" t="str">
        <x:v>790.45</x:v>
      </x:c>
      <x:c r="N1433" s="29" t="str">
        <x:v>532.78</x:v>
      </x:c>
      <x:c r="O1433" s="29" t="str">
        <x:v>257.67</x:v>
      </x:c>
      <x:c r="P1433" s="18" t="str">
        <x:v>2026-07-19</x:v>
      </x:c>
      <x:c r="Q1433" s="36" t="n">
        <x:v>46222</x:v>
      </x:c>
    </x:row>
    <x:row r="1434">
      <x:c r="A1434" s="36" t="str">
        <x:v>2026-07-19</x:v>
      </x:c>
      <x:c r="B1434" s="18" t="str">
        <x:v>101437000_96401</x:v>
      </x:c>
      <x:c r="C1434" s="18" t="str">
        <x:v>【沪村小电】上海联怡枇杷乐园地面站</x:v>
      </x:c>
      <x:c r="D1434" s="37" t="str">
        <x:v>2</x:v>
      </x:c>
      <x:c r="E1434" s="37" t="str">
        <x:v>0</x:v>
      </x:c>
      <x:c r="F1434" s="37" t="str">
        <x:v>13</x:v>
      </x:c>
      <x:c r="G1434" s="37" t="str">
        <x:v>230.52</x:v>
      </x:c>
      <x:c r="H1434" s="37" t="str">
        <x:v>0.00</x:v>
      </x:c>
      <x:c r="I1434" s="37" t="str">
        <x:v>158.48</x:v>
      </x:c>
      <x:c r="J1434" s="37" t="str">
        <x:v>0.00</x:v>
      </x:c>
      <x:c r="K1434" s="37" t="str">
        <x:v>72.04</x:v>
      </x:c>
      <x:c r="L1434" s="37" t="str">
        <x:v>376</x:v>
      </x:c>
      <x:c r="M1434" s="29" t="str">
        <x:v>245.38</x:v>
      </x:c>
      <x:c r="N1434" s="29" t="str">
        <x:v>175.78</x:v>
      </x:c>
      <x:c r="O1434" s="29" t="str">
        <x:v>69.60</x:v>
      </x:c>
      <x:c r="P1434" s="18" t="str">
        <x:v>2026-07-19</x:v>
      </x:c>
      <x:c r="Q1434" s="36" t="n">
        <x:v>46222</x:v>
      </x:c>
    </x:row>
    <x:row r="1435">
      <x:c r="A1435" s="36" t="str">
        <x:v>2026-07-19</x:v>
      </x:c>
      <x:c r="B1435" s="18" t="str">
        <x:v>101437000_96719</x:v>
      </x:c>
      <x:c r="C1435" s="18" t="str">
        <x:v>【沪村小电】四达路220弄充电站</x:v>
      </x:c>
      <x:c r="D1435" s="37" t="str">
        <x:v>2</x:v>
      </x:c>
      <x:c r="E1435" s="37" t="str">
        <x:v>0</x:v>
      </x:c>
      <x:c r="F1435" s="37" t="str">
        <x:v>4</x:v>
      </x:c>
      <x:c r="G1435" s="37" t="str">
        <x:v>108.78</x:v>
      </x:c>
      <x:c r="H1435" s="37" t="str">
        <x:v>0.00</x:v>
      </x:c>
      <x:c r="I1435" s="37" t="str">
        <x:v>108.78</x:v>
      </x:c>
      <x:c r="J1435" s="37" t="str">
        <x:v>0.00</x:v>
      </x:c>
      <x:c r="K1435" s="37" t="str">
        <x:v>0.00</x:v>
      </x:c>
      <x:c r="L1435" s="37" t="str">
        <x:v>150</x:v>
      </x:c>
      <x:c r="M1435" s="29" t="str">
        <x:v>115.11</x:v>
      </x:c>
      <x:c r="N1435" s="29" t="str">
        <x:v>77.23</x:v>
      </x:c>
      <x:c r="O1435" s="29" t="str">
        <x:v>37.88</x:v>
      </x:c>
      <x:c r="P1435" s="18" t="str">
        <x:v>2026-07-19</x:v>
      </x:c>
      <x:c r="Q1435" s="36" t="n">
        <x:v>46222</x:v>
      </x:c>
    </x:row>
    <x:row r="1436">
      <x:c r="A1436" s="36" t="str">
        <x:v>2026-07-19</x:v>
      </x:c>
      <x:c r="B1436" s="18" t="str">
        <x:v>101437000_97421</x:v>
      </x:c>
      <x:c r="C1436" s="18" t="str">
        <x:v>【沪村小电】玉兰清苑二期（小区外）充电站</x:v>
      </x:c>
      <x:c r="D1436" s="37" t="str">
        <x:v>4</x:v>
      </x:c>
      <x:c r="E1436" s="37" t="str">
        <x:v>0</x:v>
      </x:c>
      <x:c r="F1436" s="37" t="str">
        <x:v>55</x:v>
      </x:c>
      <x:c r="G1436" s="37" t="str">
        <x:v>921.72</x:v>
      </x:c>
      <x:c r="H1436" s="37" t="str">
        <x:v>0.00</x:v>
      </x:c>
      <x:c r="I1436" s="37" t="str">
        <x:v>729.27</x:v>
      </x:c>
      <x:c r="J1436" s="37" t="str">
        <x:v>0.00</x:v>
      </x:c>
      <x:c r="K1436" s="37" t="str">
        <x:v>192.45</x:v>
      </x:c>
      <x:c r="L1436" s="37" t="str">
        <x:v>1738</x:v>
      </x:c>
      <x:c r="M1436" s="29" t="str">
        <x:v>849.14</x:v>
      </x:c>
      <x:c r="N1436" s="29" t="str">
        <x:v>589.00</x:v>
      </x:c>
      <x:c r="O1436" s="29" t="str">
        <x:v>260.14</x:v>
      </x:c>
      <x:c r="P1436" s="18" t="str">
        <x:v>2026-07-19</x:v>
      </x:c>
      <x:c r="Q1436" s="36" t="n">
        <x:v>46222</x:v>
      </x:c>
    </x:row>
    <x:row r="1437">
      <x:c r="A1437" s="36" t="str">
        <x:v>2026-07-19</x:v>
      </x:c>
      <x:c r="B1437" s="18" t="str">
        <x:v>101437000_98013</x:v>
      </x:c>
      <x:c r="C1437" s="18" t="str">
        <x:v>【沪村小电】恒大滨江华府充电站</x:v>
      </x:c>
      <x:c r="D1437" s="37" t="str">
        <x:v>4</x:v>
      </x:c>
      <x:c r="E1437" s="37" t="str">
        <x:v>0</x:v>
      </x:c>
      <x:c r="F1437" s="37" t="str">
        <x:v>34</x:v>
      </x:c>
      <x:c r="G1437" s="37" t="str">
        <x:v>865.16</x:v>
      </x:c>
      <x:c r="H1437" s="37" t="str">
        <x:v>0.00</x:v>
      </x:c>
      <x:c r="I1437" s="37" t="str">
        <x:v>659.54</x:v>
      </x:c>
      <x:c r="J1437" s="37" t="str">
        <x:v>0.00</x:v>
      </x:c>
      <x:c r="K1437" s="37" t="str">
        <x:v>205.62</x:v>
      </x:c>
      <x:c r="L1437" s="37" t="str">
        <x:v>1312</x:v>
      </x:c>
      <x:c r="M1437" s="29" t="str">
        <x:v>907.32</x:v>
      </x:c>
      <x:c r="N1437" s="29" t="str">
        <x:v>688.18</x:v>
      </x:c>
      <x:c r="O1437" s="29" t="str">
        <x:v>219.14</x:v>
      </x:c>
      <x:c r="P1437" s="18" t="str">
        <x:v>2026-07-19</x:v>
      </x:c>
      <x:c r="Q1437" s="36" t="n">
        <x:v>46222</x:v>
      </x:c>
    </x:row>
    <x:row r="1438">
      <x:c r="A1438" s="36" t="str">
        <x:v>2026-07-19</x:v>
      </x:c>
      <x:c r="B1438" s="18" t="str">
        <x:v>101437000_98863</x:v>
      </x:c>
      <x:c r="C1438" s="18" t="str">
        <x:v>【沪村小电】欣菊苑充电站</x:v>
      </x:c>
      <x:c r="D1438" s="37" t="str">
        <x:v>4</x:v>
      </x:c>
      <x:c r="E1438" s="37" t="str">
        <x:v>0</x:v>
      </x:c>
      <x:c r="F1438" s="37" t="str">
        <x:v>9</x:v>
      </x:c>
      <x:c r="G1438" s="37" t="str">
        <x:v>145.82</x:v>
      </x:c>
      <x:c r="H1438" s="37" t="str">
        <x:v>0.00</x:v>
      </x:c>
      <x:c r="I1438" s="37" t="str">
        <x:v>124.49</x:v>
      </x:c>
      <x:c r="J1438" s="37" t="str">
        <x:v>0.00</x:v>
      </x:c>
      <x:c r="K1438" s="37" t="str">
        <x:v>21.33</x:v>
      </x:c>
      <x:c r="L1438" s="37" t="str">
        <x:v>250</x:v>
      </x:c>
      <x:c r="M1438" s="29" t="str">
        <x:v>144.31</x:v>
      </x:c>
      <x:c r="N1438" s="29" t="str">
        <x:v>96.28</x:v>
      </x:c>
      <x:c r="O1438" s="29" t="str">
        <x:v>48.03</x:v>
      </x:c>
      <x:c r="P1438" s="18" t="str">
        <x:v>2026-07-19</x:v>
      </x:c>
      <x:c r="Q1438" s="36" t="n">
        <x:v>46222</x:v>
      </x:c>
    </x:row>
    <x:row r="1439">
      <x:c r="A1439" s="36" t="str">
        <x:v>2026-07-19</x:v>
      </x:c>
      <x:c r="B1439" s="18" t="str">
        <x:v>101437000_98865</x:v>
      </x:c>
      <x:c r="C1439" s="18" t="str">
        <x:v>【沪村小电】欣松苑充电站</x:v>
      </x:c>
      <x:c r="D1439" s="37" t="str">
        <x:v>4</x:v>
      </x:c>
      <x:c r="E1439" s="37" t="str">
        <x:v>0</x:v>
      </x:c>
      <x:c r="F1439" s="37" t="str">
        <x:v>12</x:v>
      </x:c>
      <x:c r="G1439" s="37" t="str">
        <x:v>293.19</x:v>
      </x:c>
      <x:c r="H1439" s="37" t="str">
        <x:v>0.00</x:v>
      </x:c>
      <x:c r="I1439" s="37" t="str">
        <x:v>261.03</x:v>
      </x:c>
      <x:c r="J1439" s="37" t="str">
        <x:v>0.00</x:v>
      </x:c>
      <x:c r="K1439" s="37" t="str">
        <x:v>32.16</x:v>
      </x:c>
      <x:c r="L1439" s="37" t="str">
        <x:v>407</x:v>
      </x:c>
      <x:c r="M1439" s="29" t="str">
        <x:v>275.78</x:v>
      </x:c>
      <x:c r="N1439" s="29" t="str">
        <x:v>197.23</x:v>
      </x:c>
      <x:c r="O1439" s="29" t="str">
        <x:v>78.55</x:v>
      </x:c>
      <x:c r="P1439" s="18" t="str">
        <x:v>2026-07-19</x:v>
      </x:c>
      <x:c r="Q1439" s="36" t="n">
        <x:v>46222</x:v>
      </x:c>
    </x:row>
    <x:row r="1440">
      <x:c r="A1440" s="36" t="str">
        <x:v>2026-07-19</x:v>
      </x:c>
      <x:c r="B1440" s="18" t="str">
        <x:v>101437000_98867</x:v>
      </x:c>
      <x:c r="C1440" s="18" t="str">
        <x:v>【沪村小电】欣荷苑充电站</x:v>
      </x:c>
      <x:c r="D1440" s="37" t="str">
        <x:v>4</x:v>
      </x:c>
      <x:c r="E1440" s="37" t="str">
        <x:v>0</x:v>
      </x:c>
      <x:c r="F1440" s="37" t="str">
        <x:v>7</x:v>
      </x:c>
      <x:c r="G1440" s="37" t="str">
        <x:v>152.79</x:v>
      </x:c>
      <x:c r="H1440" s="37" t="str">
        <x:v>0.00</x:v>
      </x:c>
      <x:c r="I1440" s="37" t="str">
        <x:v>101.71</x:v>
      </x:c>
      <x:c r="J1440" s="37" t="str">
        <x:v>0.00</x:v>
      </x:c>
      <x:c r="K1440" s="37" t="str">
        <x:v>51.08</x:v>
      </x:c>
      <x:c r="L1440" s="37" t="str">
        <x:v>177</x:v>
      </x:c>
      <x:c r="M1440" s="29" t="str">
        <x:v>114.21</x:v>
      </x:c>
      <x:c r="N1440" s="29" t="str">
        <x:v>91.11</x:v>
      </x:c>
      <x:c r="O1440" s="29" t="str">
        <x:v>23.10</x:v>
      </x:c>
      <x:c r="P1440" s="18" t="str">
        <x:v>2026-07-19</x:v>
      </x:c>
      <x:c r="Q1440" s="36" t="n">
        <x:v>46222</x:v>
      </x:c>
    </x:row>
    <x:row r="1441">
      <x:c r="A1441" s="36" t="str">
        <x:v>2026-07-19</x:v>
      </x:c>
      <x:c r="B1441" s="18" t="str">
        <x:v>101437000_99885</x:v>
      </x:c>
      <x:c r="C1441" s="18" t="str">
        <x:v>【沪村小电】汇丰馨苑充电站</x:v>
      </x:c>
      <x:c r="D1441" s="37" t="str">
        <x:v>4</x:v>
      </x:c>
      <x:c r="E1441" s="37" t="str">
        <x:v>0</x:v>
      </x:c>
      <x:c r="F1441" s="37" t="str">
        <x:v>8</x:v>
      </x:c>
      <x:c r="G1441" s="37" t="str">
        <x:v>199.29</x:v>
      </x:c>
      <x:c r="H1441" s="37" t="str">
        <x:v>0.00</x:v>
      </x:c>
      <x:c r="I1441" s="37" t="str">
        <x:v>119.96</x:v>
      </x:c>
      <x:c r="J1441" s="37" t="str">
        <x:v>0.00</x:v>
      </x:c>
      <x:c r="K1441" s="37" t="str">
        <x:v>79.32</x:v>
      </x:c>
      <x:c r="L1441" s="37" t="str">
        <x:v>275</x:v>
      </x:c>
      <x:c r="M1441" s="29" t="str">
        <x:v>177.38</x:v>
      </x:c>
      <x:c r="N1441" s="29" t="str">
        <x:v>114.53</x:v>
      </x:c>
      <x:c r="O1441" s="29" t="str">
        <x:v>62.85</x:v>
      </x:c>
      <x:c r="P1441" s="18" t="str">
        <x:v>2026-07-19</x:v>
      </x:c>
      <x:c r="Q1441" s="36" t="n">
        <x:v>46222</x:v>
      </x:c>
    </x:row>
    <x:row r="1442">
      <x:c r="A1442" s="36" t="str">
        <x:v>2026-07-19</x:v>
      </x:c>
      <x:c r="B1442" s="18" t="str">
        <x:v>101437000_99887</x:v>
      </x:c>
      <x:c r="C1442" s="18" t="str">
        <x:v>【沪村小电】新南村河南小区充电站</x:v>
      </x:c>
      <x:c r="D1442" s="37" t="str">
        <x:v>2</x:v>
      </x:c>
      <x:c r="E1442" s="37" t="str">
        <x:v>0</x:v>
      </x:c>
      <x:c r="F1442" s="37" t="str">
        <x:v>10</x:v>
      </x:c>
      <x:c r="G1442" s="37" t="str">
        <x:v>206.87</x:v>
      </x:c>
      <x:c r="H1442" s="37" t="str">
        <x:v>0.00</x:v>
      </x:c>
      <x:c r="I1442" s="37" t="str">
        <x:v>182.66</x:v>
      </x:c>
      <x:c r="J1442" s="37" t="str">
        <x:v>0.00</x:v>
      </x:c>
      <x:c r="K1442" s="37" t="str">
        <x:v>24.21</x:v>
      </x:c>
      <x:c r="L1442" s="37" t="str">
        <x:v>474</x:v>
      </x:c>
      <x:c r="M1442" s="29" t="str">
        <x:v>186.95</x:v>
      </x:c>
      <x:c r="N1442" s="29" t="str">
        <x:v>138.66</x:v>
      </x:c>
      <x:c r="O1442" s="29" t="str">
        <x:v>48.29</x:v>
      </x:c>
      <x:c r="P1442" s="18" t="str">
        <x:v>2026-07-19</x:v>
      </x:c>
      <x:c r="Q1442" s="36" t="n">
        <x:v>46222</x:v>
      </x:c>
    </x:row>
    <x:row r="1443">
      <x:c r="A1443" s="36" t="str">
        <x:v>2026-07-19</x:v>
      </x:c>
      <x:c r="B1443" s="18" t="str">
        <x:v>101437000_99889</x:v>
      </x:c>
      <x:c r="C1443" s="18" t="str">
        <x:v>【沪村小电】漕泾郊野公园</x:v>
      </x:c>
      <x:c r="D1443" s="37" t="str">
        <x:v>2</x:v>
      </x:c>
      <x:c r="E1443" s="37" t="str">
        <x:v>0</x:v>
      </x:c>
      <x:c r="F1443" s="37" t="str">
        <x:v>10</x:v>
      </x:c>
      <x:c r="G1443" s="37" t="str">
        <x:v>105.37</x:v>
      </x:c>
      <x:c r="H1443" s="37" t="str">
        <x:v>0.00</x:v>
      </x:c>
      <x:c r="I1443" s="37" t="str">
        <x:v>105.37</x:v>
      </x:c>
      <x:c r="J1443" s="37" t="str">
        <x:v>0.00</x:v>
      </x:c>
      <x:c r="K1443" s="37" t="str">
        <x:v>0.00</x:v>
      </x:c>
      <x:c r="L1443" s="37" t="str">
        <x:v>220</x:v>
      </x:c>
      <x:c r="M1443" s="29" t="str">
        <x:v>122.33</x:v>
      </x:c>
      <x:c r="N1443" s="29" t="str">
        <x:v>80.07</x:v>
      </x:c>
      <x:c r="O1443" s="29" t="str">
        <x:v>42.26</x:v>
      </x:c>
      <x:c r="P1443" s="18" t="str">
        <x:v>2026-07-19</x:v>
      </x:c>
      <x:c r="Q1443" s="36" t="n">
        <x:v>46222</x:v>
      </x:c>
    </x:row>
    <x:row r="1444">
      <x:c r="A1444" s="36" t="str">
        <x:v>2026-07-19</x:v>
      </x:c>
      <x:c r="B1444" s="18" t="str">
        <x:v>101437000_99891</x:v>
      </x:c>
      <x:c r="C1444" s="18" t="str">
        <x:v>【沪村小电】水韵紫城充电站</x:v>
      </x:c>
      <x:c r="D1444" s="37" t="str">
        <x:v>4</x:v>
      </x:c>
      <x:c r="E1444" s="37" t="str">
        <x:v>0</x:v>
      </x:c>
      <x:c r="F1444" s="37" t="str">
        <x:v>37</x:v>
      </x:c>
      <x:c r="G1444" s="37" t="str">
        <x:v>865.62</x:v>
      </x:c>
      <x:c r="H1444" s="37" t="str">
        <x:v>0.00</x:v>
      </x:c>
      <x:c r="I1444" s="37" t="str">
        <x:v>584.39</x:v>
      </x:c>
      <x:c r="J1444" s="37" t="str">
        <x:v>0.00</x:v>
      </x:c>
      <x:c r="K1444" s="37" t="str">
        <x:v>281.23</x:v>
      </x:c>
      <x:c r="L1444" s="37" t="str">
        <x:v>1410</x:v>
      </x:c>
      <x:c r="M1444" s="29" t="str">
        <x:v>821.39</x:v>
      </x:c>
      <x:c r="N1444" s="29" t="str">
        <x:v>519.00</x:v>
      </x:c>
      <x:c r="O1444" s="29" t="str">
        <x:v>302.39</x:v>
      </x:c>
      <x:c r="P1444" s="18" t="str">
        <x:v>2026-07-19</x:v>
      </x:c>
      <x:c r="Q1444" s="36" t="n">
        <x:v>46222</x:v>
      </x:c>
    </x:row>
    <x:row r="1445">
      <x:c r="A1445" s="36" t="str">
        <x:v>2026-07-18</x:v>
      </x:c>
      <x:c r="B1445" s="18" t="str">
        <x:v>101437000_101531</x:v>
      </x:c>
      <x:c r="C1445" s="18" t="str">
        <x:v>【沪村小电】汇中苑充电站</x:v>
      </x:c>
      <x:c r="D1445" s="37" t="str">
        <x:v>2</x:v>
      </x:c>
      <x:c r="E1445" s="37" t="str">
        <x:v>0</x:v>
      </x:c>
      <x:c r="F1445" s="37" t="str">
        <x:v>9</x:v>
      </x:c>
      <x:c r="G1445" s="37" t="str">
        <x:v>200.37</x:v>
      </x:c>
      <x:c r="H1445" s="37" t="str">
        <x:v>0.00</x:v>
      </x:c>
      <x:c r="I1445" s="37" t="str">
        <x:v>10.71</x:v>
      </x:c>
      <x:c r="J1445" s="37" t="str">
        <x:v>146.60</x:v>
      </x:c>
      <x:c r="K1445" s="37" t="str">
        <x:v>43.06</x:v>
      </x:c>
      <x:c r="L1445" s="37" t="str">
        <x:v>400</x:v>
      </x:c>
      <x:c r="M1445" s="29" t="str">
        <x:v>193.12</x:v>
      </x:c>
      <x:c r="N1445" s="29" t="str">
        <x:v>131.30</x:v>
      </x:c>
      <x:c r="O1445" s="29" t="str">
        <x:v>61.82</x:v>
      </x:c>
      <x:c r="P1445" s="18" t="str">
        <x:v>2026-07-18</x:v>
      </x:c>
      <x:c r="Q1445" s="36" t="n">
        <x:v>46221</x:v>
      </x:c>
    </x:row>
    <x:row r="1446">
      <x:c r="A1446" s="36" t="str">
        <x:v>2026-07-18</x:v>
      </x:c>
      <x:c r="B1446" s="18" t="str">
        <x:v>101437000_103503</x:v>
      </x:c>
      <x:c r="C1446" s="18" t="str">
        <x:v>【沪村小电】阳光城新界充电站</x:v>
      </x:c>
      <x:c r="D1446" s="37" t="str">
        <x:v>4</x:v>
      </x:c>
      <x:c r="E1446" s="37" t="str">
        <x:v>0</x:v>
      </x:c>
      <x:c r="F1446" s="37" t="str">
        <x:v>21</x:v>
      </x:c>
      <x:c r="G1446" s="37" t="str">
        <x:v>323.88</x:v>
      </x:c>
      <x:c r="H1446" s="37" t="str">
        <x:v>0.00</x:v>
      </x:c>
      <x:c r="I1446" s="37" t="str">
        <x:v>283.61</x:v>
      </x:c>
      <x:c r="J1446" s="37" t="str">
        <x:v>0.00</x:v>
      </x:c>
      <x:c r="K1446" s="37" t="str">
        <x:v>40.28</x:v>
      </x:c>
      <x:c r="L1446" s="37" t="str">
        <x:v>612</x:v>
      </x:c>
      <x:c r="M1446" s="29" t="str">
        <x:v>341.27</x:v>
      </x:c>
      <x:c r="N1446" s="29" t="str">
        <x:v>237.30</x:v>
      </x:c>
      <x:c r="O1446" s="29" t="str">
        <x:v>103.97</x:v>
      </x:c>
      <x:c r="P1446" s="18" t="str">
        <x:v>2026-07-18</x:v>
      </x:c>
      <x:c r="Q1446" s="36" t="n">
        <x:v>46221</x:v>
      </x:c>
    </x:row>
    <x:row r="1447">
      <x:c r="A1447" s="36" t="str">
        <x:v>2026-07-18</x:v>
      </x:c>
      <x:c r="B1447" s="18" t="str">
        <x:v>101437000_41561</x:v>
      </x:c>
      <x:c r="C1447" s="18" t="str">
        <x:v>【沪村小电】张施小区大门处快充站</x:v>
      </x:c>
      <x:c r="D1447" s="37" t="str">
        <x:v>2</x:v>
      </x:c>
      <x:c r="E1447" s="37" t="str">
        <x:v>0</x:v>
      </x:c>
      <x:c r="F1447" s="37" t="str">
        <x:v>43</x:v>
      </x:c>
      <x:c r="G1447" s="37" t="str">
        <x:v>1251.15</x:v>
      </x:c>
      <x:c r="H1447" s="37" t="str">
        <x:v>0.00</x:v>
      </x:c>
      <x:c r="I1447" s="37" t="str">
        <x:v>579.82</x:v>
      </x:c>
      <x:c r="J1447" s="37" t="str">
        <x:v>0.00</x:v>
      </x:c>
      <x:c r="K1447" s="37" t="str">
        <x:v>671.33</x:v>
      </x:c>
      <x:c r="L1447" s="37" t="str">
        <x:v>2089</x:v>
      </x:c>
      <x:c r="M1447" s="29" t="str">
        <x:v>914.93</x:v>
      </x:c>
      <x:c r="N1447" s="29" t="str">
        <x:v>660.05</x:v>
      </x:c>
      <x:c r="O1447" s="29" t="str">
        <x:v>254.88</x:v>
      </x:c>
      <x:c r="P1447" s="18" t="str">
        <x:v>2026-07-18</x:v>
      </x:c>
      <x:c r="Q1447" s="36" t="n">
        <x:v>46221</x:v>
      </x:c>
    </x:row>
    <x:row r="1448">
      <x:c r="A1448" s="36" t="str">
        <x:v>2026-07-18</x:v>
      </x:c>
      <x:c r="B1448" s="18" t="str">
        <x:v>101437000_41563</x:v>
      </x:c>
      <x:c r="C1448" s="18" t="str">
        <x:v>【沪村小电】同心村快充站</x:v>
      </x:c>
      <x:c r="D1448" s="37" t="str">
        <x:v>4</x:v>
      </x:c>
      <x:c r="E1448" s="37" t="str">
        <x:v>0</x:v>
      </x:c>
      <x:c r="F1448" s="37" t="str">
        <x:v>69</x:v>
      </x:c>
      <x:c r="G1448" s="37" t="str">
        <x:v>1537.66</x:v>
      </x:c>
      <x:c r="H1448" s="37" t="str">
        <x:v>0.00</x:v>
      </x:c>
      <x:c r="I1448" s="37" t="str">
        <x:v>952.94</x:v>
      </x:c>
      <x:c r="J1448" s="37" t="str">
        <x:v>0.00</x:v>
      </x:c>
      <x:c r="K1448" s="37" t="str">
        <x:v>584.72</x:v>
      </x:c>
      <x:c r="L1448" s="37" t="str">
        <x:v>2649</x:v>
      </x:c>
      <x:c r="M1448" s="29" t="str">
        <x:v>1414.04</x:v>
      </x:c>
      <x:c r="N1448" s="29" t="str">
        <x:v>892.95</x:v>
      </x:c>
      <x:c r="O1448" s="29" t="str">
        <x:v>521.09</x:v>
      </x:c>
      <x:c r="P1448" s="18" t="str">
        <x:v>2026-07-18</x:v>
      </x:c>
      <x:c r="Q1448" s="36" t="n">
        <x:v>46221</x:v>
      </x:c>
    </x:row>
    <x:row r="1449">
      <x:c r="A1449" s="36" t="str">
        <x:v>2026-07-18</x:v>
      </x:c>
      <x:c r="B1449" s="18" t="str">
        <x:v>101437000_69629</x:v>
      </x:c>
      <x:c r="C1449" s="18" t="str">
        <x:v>【沪村小电】骏丰玲珑坊西苑充电站</x:v>
      </x:c>
      <x:c r="D1449" s="37" t="str">
        <x:v>2</x:v>
      </x:c>
      <x:c r="E1449" s="37" t="str">
        <x:v>0</x:v>
      </x:c>
      <x:c r="F1449" s="37" t="str">
        <x:v>69</x:v>
      </x:c>
      <x:c r="G1449" s="37" t="str">
        <x:v>1833.55</x:v>
      </x:c>
      <x:c r="H1449" s="37" t="str">
        <x:v>0.00</x:v>
      </x:c>
      <x:c r="I1449" s="37" t="str">
        <x:v>1012.99</x:v>
      </x:c>
      <x:c r="J1449" s="37" t="str">
        <x:v>0.00</x:v>
      </x:c>
      <x:c r="K1449" s="37" t="str">
        <x:v>820.56</x:v>
      </x:c>
      <x:c r="L1449" s="37" t="str">
        <x:v>3093</x:v>
      </x:c>
      <x:c r="M1449" s="29" t="str">
        <x:v>1510.50</x:v>
      </x:c>
      <x:c r="N1449" s="29" t="str">
        <x:v>1022.81</x:v>
      </x:c>
      <x:c r="O1449" s="29" t="str">
        <x:v>487.69</x:v>
      </x:c>
      <x:c r="P1449" s="18" t="str">
        <x:v>2026-07-18</x:v>
      </x:c>
      <x:c r="Q1449" s="36" t="n">
        <x:v>46221</x:v>
      </x:c>
    </x:row>
    <x:row r="1450">
      <x:c r="A1450" s="36" t="str">
        <x:v>2026-07-18</x:v>
      </x:c>
      <x:c r="B1450" s="18" t="str">
        <x:v>101437000_70547</x:v>
      </x:c>
      <x:c r="C1450" s="18" t="str">
        <x:v>【沪村小电】农建村初心馆党群服务中心充电站</x:v>
      </x:c>
      <x:c r="D1450" s="37" t="str">
        <x:v>4</x:v>
      </x:c>
      <x:c r="E1450" s="37" t="str">
        <x:v>0</x:v>
      </x:c>
      <x:c r="F1450" s="37" t="str">
        <x:v>36</x:v>
      </x:c>
      <x:c r="G1450" s="37" t="str">
        <x:v>741.50</x:v>
      </x:c>
      <x:c r="H1450" s="37" t="str">
        <x:v>0.00</x:v>
      </x:c>
      <x:c r="I1450" s="37" t="str">
        <x:v>428.70</x:v>
      </x:c>
      <x:c r="J1450" s="37" t="str">
        <x:v>0.00</x:v>
      </x:c>
      <x:c r="K1450" s="37" t="str">
        <x:v>312.79</x:v>
      </x:c>
      <x:c r="L1450" s="37" t="str">
        <x:v>1272</x:v>
      </x:c>
      <x:c r="M1450" s="29" t="str">
        <x:v>639.07</x:v>
      </x:c>
      <x:c r="N1450" s="29" t="str">
        <x:v>420.12</x:v>
      </x:c>
      <x:c r="O1450" s="29" t="str">
        <x:v>218.95</x:v>
      </x:c>
      <x:c r="P1450" s="18" t="str">
        <x:v>2026-07-18</x:v>
      </x:c>
      <x:c r="Q1450" s="36" t="n">
        <x:v>46221</x:v>
      </x:c>
    </x:row>
    <x:row r="1451">
      <x:c r="A1451" s="36" t="str">
        <x:v>2026-07-18</x:v>
      </x:c>
      <x:c r="B1451" s="18" t="str">
        <x:v>101437000_70549</x:v>
      </x:c>
      <x:c r="C1451" s="18" t="str">
        <x:v>【沪村小电】学府路充电站</x:v>
      </x:c>
      <x:c r="D1451" s="37" t="str">
        <x:v>2</x:v>
      </x:c>
      <x:c r="E1451" s="37" t="str">
        <x:v>0</x:v>
      </x:c>
      <x:c r="F1451" s="37" t="str">
        <x:v>9</x:v>
      </x:c>
      <x:c r="G1451" s="37" t="str">
        <x:v>158.08</x:v>
      </x:c>
      <x:c r="H1451" s="37" t="str">
        <x:v>0.00</x:v>
      </x:c>
      <x:c r="I1451" s="37" t="str">
        <x:v>63.12</x:v>
      </x:c>
      <x:c r="J1451" s="37" t="str">
        <x:v>0.00</x:v>
      </x:c>
      <x:c r="K1451" s="37" t="str">
        <x:v>94.96</x:v>
      </x:c>
      <x:c r="L1451" s="37" t="str">
        <x:v>283</x:v>
      </x:c>
      <x:c r="M1451" s="29" t="str">
        <x:v>143.57</x:v>
      </x:c>
      <x:c r="N1451" s="29" t="str">
        <x:v>79.98</x:v>
      </x:c>
      <x:c r="O1451" s="29" t="str">
        <x:v>63.59</x:v>
      </x:c>
      <x:c r="P1451" s="18" t="str">
        <x:v>2026-07-18</x:v>
      </x:c>
      <x:c r="Q1451" s="36" t="n">
        <x:v>46221</x:v>
      </x:c>
    </x:row>
    <x:row r="1452">
      <x:c r="A1452" s="36" t="str">
        <x:v>2026-07-18</x:v>
      </x:c>
      <x:c r="B1452" s="18" t="str">
        <x:v>101437000_71059</x:v>
      </x:c>
      <x:c r="C1452" s="18" t="str">
        <x:v>【沪村小电】宝乐汇商业广场站</x:v>
      </x:c>
      <x:c r="D1452" s="37" t="str">
        <x:v>4</x:v>
      </x:c>
      <x:c r="E1452" s="37" t="str">
        <x:v>0</x:v>
      </x:c>
      <x:c r="F1452" s="37" t="str">
        <x:v>22</x:v>
      </x:c>
      <x:c r="G1452" s="37" t="str">
        <x:v>675.23</x:v>
      </x:c>
      <x:c r="H1452" s="37" t="str">
        <x:v>0.00</x:v>
      </x:c>
      <x:c r="I1452" s="37" t="str">
        <x:v>377.51</x:v>
      </x:c>
      <x:c r="J1452" s="37" t="str">
        <x:v>0.00</x:v>
      </x:c>
      <x:c r="K1452" s="37" t="str">
        <x:v>297.72</x:v>
      </x:c>
      <x:c r="L1452" s="37" t="str">
        <x:v>999</x:v>
      </x:c>
      <x:c r="M1452" s="29" t="str">
        <x:v>664.85</x:v>
      </x:c>
      <x:c r="N1452" s="29" t="str">
        <x:v>476.70</x:v>
      </x:c>
      <x:c r="O1452" s="29" t="str">
        <x:v>188.15</x:v>
      </x:c>
      <x:c r="P1452" s="18" t="str">
        <x:v>2026-07-18</x:v>
      </x:c>
      <x:c r="Q1452" s="36" t="n">
        <x:v>46221</x:v>
      </x:c>
    </x:row>
    <x:row r="1453">
      <x:c r="A1453" s="36" t="str">
        <x:v>2026-07-18</x:v>
      </x:c>
      <x:c r="B1453" s="18" t="str">
        <x:v>101437000_72541</x:v>
      </x:c>
      <x:c r="C1453" s="18" t="str">
        <x:v>【沪村小电】九干路1174弄充电站</x:v>
      </x:c>
      <x:c r="D1453" s="37" t="str">
        <x:v>2</x:v>
      </x:c>
      <x:c r="E1453" s="37" t="str">
        <x:v>0</x:v>
      </x:c>
      <x:c r="F1453" s="37" t="str">
        <x:v>36</x:v>
      </x:c>
      <x:c r="G1453" s="37" t="str">
        <x:v>533.99</x:v>
      </x:c>
      <x:c r="H1453" s="37" t="str">
        <x:v>0.00</x:v>
      </x:c>
      <x:c r="I1453" s="37" t="str">
        <x:v>431.21</x:v>
      </x:c>
      <x:c r="J1453" s="37" t="str">
        <x:v>0.00</x:v>
      </x:c>
      <x:c r="K1453" s="37" t="str">
        <x:v>102.78</x:v>
      </x:c>
      <x:c r="L1453" s="37" t="str">
        <x:v>878</x:v>
      </x:c>
      <x:c r="M1453" s="29" t="str">
        <x:v>518.37</x:v>
      </x:c>
      <x:c r="N1453" s="29" t="str">
        <x:v>344.19</x:v>
      </x:c>
      <x:c r="O1453" s="29" t="str">
        <x:v>174.18</x:v>
      </x:c>
      <x:c r="P1453" s="18" t="str">
        <x:v>2026-07-18</x:v>
      </x:c>
      <x:c r="Q1453" s="36" t="n">
        <x:v>46221</x:v>
      </x:c>
    </x:row>
    <x:row r="1454">
      <x:c r="A1454" s="36" t="str">
        <x:v>2026-07-18</x:v>
      </x:c>
      <x:c r="B1454" s="18" t="str">
        <x:v>101437000_72543</x:v>
      </x:c>
      <x:c r="C1454" s="18" t="str">
        <x:v>【沪村小电】叶家中心村小区充电站</x:v>
      </x:c>
      <x:c r="D1454" s="37" t="str">
        <x:v>2</x:v>
      </x:c>
      <x:c r="E1454" s="37" t="str">
        <x:v>0</x:v>
      </x:c>
      <x:c r="F1454" s="37" t="str">
        <x:v>53</x:v>
      </x:c>
      <x:c r="G1454" s="37" t="str">
        <x:v>1124.96</x:v>
      </x:c>
      <x:c r="H1454" s="37" t="str">
        <x:v>0.00</x:v>
      </x:c>
      <x:c r="I1454" s="37" t="str">
        <x:v>610.81</x:v>
      </x:c>
      <x:c r="J1454" s="37" t="str">
        <x:v>0.00</x:v>
      </x:c>
      <x:c r="K1454" s="37" t="str">
        <x:v>514.16</x:v>
      </x:c>
      <x:c r="L1454" s="37" t="str">
        <x:v>2050</x:v>
      </x:c>
      <x:c r="M1454" s="29" t="str">
        <x:v>927.80</x:v>
      </x:c>
      <x:c r="N1454" s="29" t="str">
        <x:v>623.95</x:v>
      </x:c>
      <x:c r="O1454" s="29" t="str">
        <x:v>303.85</x:v>
      </x:c>
      <x:c r="P1454" s="18" t="str">
        <x:v>2026-07-18</x:v>
      </x:c>
      <x:c r="Q1454" s="36" t="n">
        <x:v>46221</x:v>
      </x:c>
    </x:row>
    <x:row r="1455">
      <x:c r="A1455" s="36" t="str">
        <x:v>2026-07-18</x:v>
      </x:c>
      <x:c r="B1455" s="18" t="str">
        <x:v>101437000_72937</x:v>
      </x:c>
      <x:c r="C1455" s="18" t="str">
        <x:v>【沪村小电】佘北家园茸腾苑充电站</x:v>
      </x:c>
      <x:c r="D1455" s="37" t="str">
        <x:v>4</x:v>
      </x:c>
      <x:c r="E1455" s="37" t="str">
        <x:v>0</x:v>
      </x:c>
      <x:c r="F1455" s="37" t="str">
        <x:v>17</x:v>
      </x:c>
      <x:c r="G1455" s="37" t="str">
        <x:v>383.35</x:v>
      </x:c>
      <x:c r="H1455" s="37" t="str">
        <x:v>0.00</x:v>
      </x:c>
      <x:c r="I1455" s="37" t="str">
        <x:v>383.35</x:v>
      </x:c>
      <x:c r="J1455" s="37" t="str">
        <x:v>0.00</x:v>
      </x:c>
      <x:c r="K1455" s="37" t="str">
        <x:v>0.00</x:v>
      </x:c>
      <x:c r="L1455" s="37" t="str">
        <x:v>914</x:v>
      </x:c>
      <x:c r="M1455" s="29" t="str">
        <x:v>359.73</x:v>
      </x:c>
      <x:c r="N1455" s="29" t="str">
        <x:v>272.17</x:v>
      </x:c>
      <x:c r="O1455" s="29" t="str">
        <x:v>87.56</x:v>
      </x:c>
      <x:c r="P1455" s="18" t="str">
        <x:v>2026-07-18</x:v>
      </x:c>
      <x:c r="Q1455" s="36" t="n">
        <x:v>46221</x:v>
      </x:c>
    </x:row>
    <x:row r="1456">
      <x:c r="A1456" s="36" t="str">
        <x:v>2026-07-18</x:v>
      </x:c>
      <x:c r="B1456" s="18" t="str">
        <x:v>101437000_74223</x:v>
      </x:c>
      <x:c r="C1456" s="18" t="str">
        <x:v>【沪村小电】中兴村委会充电站</x:v>
      </x:c>
      <x:c r="D1456" s="37" t="str">
        <x:v>2</x:v>
      </x:c>
      <x:c r="E1456" s="37" t="str">
        <x:v>0</x:v>
      </x:c>
      <x:c r="F1456" s="37" t="str">
        <x:v>21</x:v>
      </x:c>
      <x:c r="G1456" s="37" t="str">
        <x:v>519.42</x:v>
      </x:c>
      <x:c r="H1456" s="37" t="str">
        <x:v>0.00</x:v>
      </x:c>
      <x:c r="I1456" s="37" t="str">
        <x:v>290.68</x:v>
      </x:c>
      <x:c r="J1456" s="37" t="str">
        <x:v>0.00</x:v>
      </x:c>
      <x:c r="K1456" s="37" t="str">
        <x:v>228.74</x:v>
      </x:c>
      <x:c r="L1456" s="37" t="str">
        <x:v>887</x:v>
      </x:c>
      <x:c r="M1456" s="29" t="str">
        <x:v>475.45</x:v>
      </x:c>
      <x:c r="N1456" s="29" t="str">
        <x:v>291.03</x:v>
      </x:c>
      <x:c r="O1456" s="29" t="str">
        <x:v>184.42</x:v>
      </x:c>
      <x:c r="P1456" s="18" t="str">
        <x:v>2026-07-18</x:v>
      </x:c>
      <x:c r="Q1456" s="36" t="n">
        <x:v>46221</x:v>
      </x:c>
    </x:row>
    <x:row r="1457">
      <x:c r="A1457" s="36" t="str">
        <x:v>2026-07-18</x:v>
      </x:c>
      <x:c r="B1457" s="18" t="str">
        <x:v>101437000_74801</x:v>
      </x:c>
      <x:c r="C1457" s="18" t="str">
        <x:v>【沪村小电】申良花园充电站</x:v>
      </x:c>
      <x:c r="D1457" s="37" t="str">
        <x:v>4</x:v>
      </x:c>
      <x:c r="E1457" s="37" t="str">
        <x:v>0</x:v>
      </x:c>
      <x:c r="F1457" s="37" t="str">
        <x:v>1</x:v>
      </x:c>
      <x:c r="G1457" s="37" t="str">
        <x:v>46.14</x:v>
      </x:c>
      <x:c r="H1457" s="37" t="str">
        <x:v>0.00</x:v>
      </x:c>
      <x:c r="I1457" s="37" t="str">
        <x:v>46.14</x:v>
      </x:c>
      <x:c r="J1457" s="37" t="str">
        <x:v>0.00</x:v>
      </x:c>
      <x:c r="K1457" s="37" t="str">
        <x:v>0.00</x:v>
      </x:c>
      <x:c r="L1457" s="37" t="str">
        <x:v>53</x:v>
      </x:c>
      <x:c r="M1457" s="29" t="str">
        <x:v>53.06</x:v>
      </x:c>
      <x:c r="N1457" s="29" t="str">
        <x:v>32.76</x:v>
      </x:c>
      <x:c r="O1457" s="29" t="str">
        <x:v>20.30</x:v>
      </x:c>
      <x:c r="P1457" s="18" t="str">
        <x:v>2026-07-18</x:v>
      </x:c>
      <x:c r="Q1457" s="36" t="n">
        <x:v>46221</x:v>
      </x:c>
    </x:row>
    <x:row r="1458">
      <x:c r="A1458" s="36" t="str">
        <x:v>2026-07-18</x:v>
      </x:c>
      <x:c r="B1458" s="18" t="str">
        <x:v>101437000_74931</x:v>
      </x:c>
      <x:c r="C1458" s="18" t="str">
        <x:v>【沪村小电】枫雅南居充电站</x:v>
      </x:c>
      <x:c r="D1458" s="37" t="str">
        <x:v>2</x:v>
      </x:c>
      <x:c r="E1458" s="37" t="str">
        <x:v>0</x:v>
      </x:c>
      <x:c r="F1458" s="37" t="str">
        <x:v>64</x:v>
      </x:c>
      <x:c r="G1458" s="37" t="str">
        <x:v>1847.33</x:v>
      </x:c>
      <x:c r="H1458" s="37" t="str">
        <x:v>0.00</x:v>
      </x:c>
      <x:c r="I1458" s="37" t="str">
        <x:v>852.14</x:v>
      </x:c>
      <x:c r="J1458" s="37" t="str">
        <x:v>0.00</x:v>
      </x:c>
      <x:c r="K1458" s="37" t="str">
        <x:v>995.19</x:v>
      </x:c>
      <x:c r="L1458" s="37" t="str">
        <x:v>2711</x:v>
      </x:c>
      <x:c r="M1458" s="29" t="str">
        <x:v>1262.34</x:v>
      </x:c>
      <x:c r="N1458" s="29" t="str">
        <x:v>811.28</x:v>
      </x:c>
      <x:c r="O1458" s="29" t="str">
        <x:v>451.06</x:v>
      </x:c>
      <x:c r="P1458" s="18" t="str">
        <x:v>2026-07-18</x:v>
      </x:c>
      <x:c r="Q1458" s="36" t="n">
        <x:v>46221</x:v>
      </x:c>
    </x:row>
    <x:row r="1459">
      <x:c r="A1459" s="36" t="str">
        <x:v>2026-07-18</x:v>
      </x:c>
      <x:c r="B1459" s="18" t="str">
        <x:v>101437000_75901</x:v>
      </x:c>
      <x:c r="C1459" s="18" t="str">
        <x:v>【沪村小电】金悦学府</x:v>
      </x:c>
      <x:c r="D1459" s="37" t="str">
        <x:v>2</x:v>
      </x:c>
      <x:c r="E1459" s="37" t="str">
        <x:v>0</x:v>
      </x:c>
      <x:c r="F1459" s="37" t="str">
        <x:v>61</x:v>
      </x:c>
      <x:c r="G1459" s="37" t="str">
        <x:v>1575.63</x:v>
      </x:c>
      <x:c r="H1459" s="37" t="str">
        <x:v>0.00</x:v>
      </x:c>
      <x:c r="I1459" s="37" t="str">
        <x:v>813.07</x:v>
      </x:c>
      <x:c r="J1459" s="37" t="str">
        <x:v>0.00</x:v>
      </x:c>
      <x:c r="K1459" s="37" t="str">
        <x:v>762.56</x:v>
      </x:c>
      <x:c r="L1459" s="37" t="str">
        <x:v>2354</x:v>
      </x:c>
      <x:c r="M1459" s="29" t="str">
        <x:v>1215.93</x:v>
      </x:c>
      <x:c r="N1459" s="29" t="str">
        <x:v>716.08</x:v>
      </x:c>
      <x:c r="O1459" s="29" t="str">
        <x:v>499.85</x:v>
      </x:c>
      <x:c r="P1459" s="18" t="str">
        <x:v>2026-07-18</x:v>
      </x:c>
      <x:c r="Q1459" s="36" t="n">
        <x:v>46221</x:v>
      </x:c>
    </x:row>
    <x:row r="1460">
      <x:c r="A1460" s="36" t="str">
        <x:v>2026-07-18</x:v>
      </x:c>
      <x:c r="B1460" s="18" t="str">
        <x:v>101437000_76091</x:v>
      </x:c>
      <x:c r="C1460" s="18" t="str">
        <x:v>【沪村小电】恒信家园充电站</x:v>
      </x:c>
      <x:c r="D1460" s="37" t="str">
        <x:v>2</x:v>
      </x:c>
      <x:c r="E1460" s="37" t="str">
        <x:v>0</x:v>
      </x:c>
      <x:c r="F1460" s="37" t="str">
        <x:v>42</x:v>
      </x:c>
      <x:c r="G1460" s="37" t="str">
        <x:v>1021.11</x:v>
      </x:c>
      <x:c r="H1460" s="37" t="str">
        <x:v>0.00</x:v>
      </x:c>
      <x:c r="I1460" s="37" t="str">
        <x:v>618.39</x:v>
      </x:c>
      <x:c r="J1460" s="37" t="str">
        <x:v>0.00</x:v>
      </x:c>
      <x:c r="K1460" s="37" t="str">
        <x:v>402.73</x:v>
      </x:c>
      <x:c r="L1460" s="37" t="str">
        <x:v>1688</x:v>
      </x:c>
      <x:c r="M1460" s="29" t="str">
        <x:v>995.05</x:v>
      </x:c>
      <x:c r="N1460" s="29" t="str">
        <x:v>588.09</x:v>
      </x:c>
      <x:c r="O1460" s="29" t="str">
        <x:v>406.96</x:v>
      </x:c>
      <x:c r="P1460" s="18" t="str">
        <x:v>2026-07-18</x:v>
      </x:c>
      <x:c r="Q1460" s="36" t="n">
        <x:v>46221</x:v>
      </x:c>
    </x:row>
    <x:row r="1461">
      <x:c r="A1461" s="36" t="str">
        <x:v>2026-07-18</x:v>
      </x:c>
      <x:c r="B1461" s="18" t="str">
        <x:v>101437000_76417</x:v>
      </x:c>
      <x:c r="C1461" s="18" t="str">
        <x:v>【沪村小电】新春一组充电站</x:v>
      </x:c>
      <x:c r="D1461" s="37" t="str">
        <x:v>2</x:v>
      </x:c>
      <x:c r="E1461" s="37" t="str">
        <x:v>0</x:v>
      </x:c>
      <x:c r="F1461" s="37" t="str">
        <x:v>31</x:v>
      </x:c>
      <x:c r="G1461" s="37" t="str">
        <x:v>931.55</x:v>
      </x:c>
      <x:c r="H1461" s="37" t="str">
        <x:v>0.00</x:v>
      </x:c>
      <x:c r="I1461" s="37" t="str">
        <x:v>442.19</x:v>
      </x:c>
      <x:c r="J1461" s="37" t="str">
        <x:v>0.00</x:v>
      </x:c>
      <x:c r="K1461" s="37" t="str">
        <x:v>489.36</x:v>
      </x:c>
      <x:c r="L1461" s="37" t="str">
        <x:v>1375</x:v>
      </x:c>
      <x:c r="M1461" s="29" t="str">
        <x:v>756.49</x:v>
      </x:c>
      <x:c r="N1461" s="29" t="str">
        <x:v>495.00</x:v>
      </x:c>
      <x:c r="O1461" s="29" t="str">
        <x:v>261.49</x:v>
      </x:c>
      <x:c r="P1461" s="18" t="str">
        <x:v>2026-07-18</x:v>
      </x:c>
      <x:c r="Q1461" s="36" t="n">
        <x:v>46221</x:v>
      </x:c>
    </x:row>
    <x:row r="1462">
      <x:c r="A1462" s="36" t="str">
        <x:v>2026-07-18</x:v>
      </x:c>
      <x:c r="B1462" s="18" t="str">
        <x:v>101437000_78235</x:v>
      </x:c>
      <x:c r="C1462" s="18" t="str">
        <x:v>【沪村小电】欣秋苑充电站</x:v>
      </x:c>
      <x:c r="D1462" s="37" t="str">
        <x:v>4</x:v>
      </x:c>
      <x:c r="E1462" s="37" t="str">
        <x:v>0</x:v>
      </x:c>
      <x:c r="F1462" s="37" t="str">
        <x:v>12</x:v>
      </x:c>
      <x:c r="G1462" s="37" t="str">
        <x:v>363.06</x:v>
      </x:c>
      <x:c r="H1462" s="37" t="str">
        <x:v>0.00</x:v>
      </x:c>
      <x:c r="I1462" s="37" t="str">
        <x:v>199.77</x:v>
      </x:c>
      <x:c r="J1462" s="37" t="str">
        <x:v>0.00</x:v>
      </x:c>
      <x:c r="K1462" s="37" t="str">
        <x:v>163.29</x:v>
      </x:c>
      <x:c r="L1462" s="37" t="str">
        <x:v>572</x:v>
      </x:c>
      <x:c r="M1462" s="29" t="str">
        <x:v>266.93</x:v>
      </x:c>
      <x:c r="N1462" s="29" t="str">
        <x:v>202.26</x:v>
      </x:c>
      <x:c r="O1462" s="29" t="str">
        <x:v>64.67</x:v>
      </x:c>
      <x:c r="P1462" s="18" t="str">
        <x:v>2026-07-18</x:v>
      </x:c>
      <x:c r="Q1462" s="36" t="n">
        <x:v>46221</x:v>
      </x:c>
    </x:row>
    <x:row r="1463">
      <x:c r="A1463" s="36" t="str">
        <x:v>2026-07-18</x:v>
      </x:c>
      <x:c r="B1463" s="18" t="str">
        <x:v>101437000_78237</x:v>
      </x:c>
      <x:c r="C1463" s="18" t="str">
        <x:v>【沪村小电】奉馨苑西门小区内北侧充电站</x:v>
      </x:c>
      <x:c r="D1463" s="37" t="str">
        <x:v>2</x:v>
      </x:c>
      <x:c r="E1463" s="37" t="str">
        <x:v>0</x:v>
      </x:c>
      <x:c r="F1463" s="37" t="str">
        <x:v>44</x:v>
      </x:c>
      <x:c r="G1463" s="37" t="str">
        <x:v>1062.32</x:v>
      </x:c>
      <x:c r="H1463" s="37" t="str">
        <x:v>119.31</x:v>
      </x:c>
      <x:c r="I1463" s="37" t="str">
        <x:v>210.44</x:v>
      </x:c>
      <x:c r="J1463" s="37" t="str">
        <x:v>323.18</x:v>
      </x:c>
      <x:c r="K1463" s="37" t="str">
        <x:v>409.39</x:v>
      </x:c>
      <x:c r="L1463" s="37" t="str">
        <x:v>1493</x:v>
      </x:c>
      <x:c r="M1463" s="29" t="str">
        <x:v>1019.55</x:v>
      </x:c>
      <x:c r="N1463" s="29" t="str">
        <x:v>792.46</x:v>
      </x:c>
      <x:c r="O1463" s="29" t="str">
        <x:v>227.09</x:v>
      </x:c>
      <x:c r="P1463" s="18" t="str">
        <x:v>2026-07-18</x:v>
      </x:c>
      <x:c r="Q1463" s="36" t="n">
        <x:v>46221</x:v>
      </x:c>
    </x:row>
    <x:row r="1464">
      <x:c r="A1464" s="36" t="str">
        <x:v>2026-07-18</x:v>
      </x:c>
      <x:c r="B1464" s="18" t="str">
        <x:v>101437000_78239</x:v>
      </x:c>
      <x:c r="C1464" s="18" t="str">
        <x:v>【沪村小电】恒大佘山首府东门充电站</x:v>
      </x:c>
      <x:c r="D1464" s="37" t="str">
        <x:v>2</x:v>
      </x:c>
      <x:c r="E1464" s="37" t="str">
        <x:v>0</x:v>
      </x:c>
      <x:c r="F1464" s="37" t="str">
        <x:v>44</x:v>
      </x:c>
      <x:c r="G1464" s="37" t="str">
        <x:v>1061.09</x:v>
      </x:c>
      <x:c r="H1464" s="37" t="str">
        <x:v>0.00</x:v>
      </x:c>
      <x:c r="I1464" s="37" t="str">
        <x:v>594.57</x:v>
      </x:c>
      <x:c r="J1464" s="37" t="str">
        <x:v>0.00</x:v>
      </x:c>
      <x:c r="K1464" s="37" t="str">
        <x:v>466.52</x:v>
      </x:c>
      <x:c r="L1464" s="37" t="str">
        <x:v>1526</x:v>
      </x:c>
      <x:c r="M1464" s="29" t="str">
        <x:v>884.22</x:v>
      </x:c>
      <x:c r="N1464" s="29" t="str">
        <x:v>594.75</x:v>
      </x:c>
      <x:c r="O1464" s="29" t="str">
        <x:v>289.47</x:v>
      </x:c>
      <x:c r="P1464" s="18" t="str">
        <x:v>2026-07-18</x:v>
      </x:c>
      <x:c r="Q1464" s="36" t="n">
        <x:v>46221</x:v>
      </x:c>
    </x:row>
    <x:row r="1465">
      <x:c r="A1465" s="36" t="str">
        <x:v>2026-07-18</x:v>
      </x:c>
      <x:c r="B1465" s="18" t="str">
        <x:v>101437000_80823</x:v>
      </x:c>
      <x:c r="C1465" s="18" t="str">
        <x:v>【沪村小电】上湖轩充电站</x:v>
      </x:c>
      <x:c r="D1465" s="37" t="str">
        <x:v>2</x:v>
      </x:c>
      <x:c r="E1465" s="37" t="str">
        <x:v>0</x:v>
      </x:c>
      <x:c r="F1465" s="37" t="str">
        <x:v>13</x:v>
      </x:c>
      <x:c r="G1465" s="37" t="str">
        <x:v>266.59</x:v>
      </x:c>
      <x:c r="H1465" s="37" t="str">
        <x:v>26.79</x:v>
      </x:c>
      <x:c r="I1465" s="37" t="str">
        <x:v>0.00</x:v>
      </x:c>
      <x:c r="J1465" s="37" t="str">
        <x:v>28.68</x:v>
      </x:c>
      <x:c r="K1465" s="37" t="str">
        <x:v>211.12</x:v>
      </x:c>
      <x:c r="L1465" s="37" t="str">
        <x:v>407</x:v>
      </x:c>
      <x:c r="M1465" s="29" t="str">
        <x:v>192.21</x:v>
      </x:c>
      <x:c r="N1465" s="29" t="str">
        <x:v>167.35</x:v>
      </x:c>
      <x:c r="O1465" s="29" t="str">
        <x:v>24.86</x:v>
      </x:c>
      <x:c r="P1465" s="18" t="str">
        <x:v>2026-07-18</x:v>
      </x:c>
      <x:c r="Q1465" s="36" t="n">
        <x:v>46221</x:v>
      </x:c>
    </x:row>
    <x:row r="1466">
      <x:c r="A1466" s="36" t="str">
        <x:v>2026-07-18</x:v>
      </x:c>
      <x:c r="B1466" s="18" t="str">
        <x:v>101437000_83019</x:v>
      </x:c>
      <x:c r="C1466" s="18" t="str">
        <x:v>【沪村小电】首创禧瑞云启东区充电站</x:v>
      </x:c>
      <x:c r="D1466" s="37" t="str">
        <x:v>2</x:v>
      </x:c>
      <x:c r="E1466" s="37" t="str">
        <x:v>0</x:v>
      </x:c>
      <x:c r="F1466" s="37" t="str">
        <x:v>33</x:v>
      </x:c>
      <x:c r="G1466" s="37" t="str">
        <x:v>666.51</x:v>
      </x:c>
      <x:c r="H1466" s="37" t="str">
        <x:v>0.00</x:v>
      </x:c>
      <x:c r="I1466" s="37" t="str">
        <x:v>412.00</x:v>
      </x:c>
      <x:c r="J1466" s="37" t="str">
        <x:v>0.00</x:v>
      </x:c>
      <x:c r="K1466" s="37" t="str">
        <x:v>254.51</x:v>
      </x:c>
      <x:c r="L1466" s="37" t="str">
        <x:v>916</x:v>
      </x:c>
      <x:c r="M1466" s="29" t="str">
        <x:v>642.49</x:v>
      </x:c>
      <x:c r="N1466" s="29" t="str">
        <x:v>386.70</x:v>
      </x:c>
      <x:c r="O1466" s="29" t="str">
        <x:v>255.79</x:v>
      </x:c>
      <x:c r="P1466" s="18" t="str">
        <x:v>2026-07-18</x:v>
      </x:c>
      <x:c r="Q1466" s="36" t="n">
        <x:v>46221</x:v>
      </x:c>
    </x:row>
    <x:row r="1467">
      <x:c r="A1467" s="36" t="str">
        <x:v>2026-07-18</x:v>
      </x:c>
      <x:c r="B1467" s="18" t="str">
        <x:v>101437000_83093</x:v>
      </x:c>
      <x:c r="C1467" s="18" t="str">
        <x:v>【沪村小电】金茂未来时光里</x:v>
      </x:c>
      <x:c r="D1467" s="37" t="str">
        <x:v>2</x:v>
      </x:c>
      <x:c r="E1467" s="37" t="str">
        <x:v>0</x:v>
      </x:c>
      <x:c r="F1467" s="37" t="str">
        <x:v>73</x:v>
      </x:c>
      <x:c r="G1467" s="37" t="str">
        <x:v>2033.63</x:v>
      </x:c>
      <x:c r="H1467" s="37" t="str">
        <x:v>0.00</x:v>
      </x:c>
      <x:c r="I1467" s="37" t="str">
        <x:v>983.89</x:v>
      </x:c>
      <x:c r="J1467" s="37" t="str">
        <x:v>0.00</x:v>
      </x:c>
      <x:c r="K1467" s="37" t="str">
        <x:v>1049.75</x:v>
      </x:c>
      <x:c r="L1467" s="37" t="str">
        <x:v>3014</x:v>
      </x:c>
      <x:c r="M1467" s="29" t="str">
        <x:v>1381.56</x:v>
      </x:c>
      <x:c r="N1467" s="29" t="str">
        <x:v>905.88</x:v>
      </x:c>
      <x:c r="O1467" s="29" t="str">
        <x:v>475.68</x:v>
      </x:c>
      <x:c r="P1467" s="18" t="str">
        <x:v>2026-07-18</x:v>
      </x:c>
      <x:c r="Q1467" s="36" t="n">
        <x:v>46221</x:v>
      </x:c>
    </x:row>
    <x:row r="1468">
      <x:c r="A1468" s="36" t="str">
        <x:v>2026-07-18</x:v>
      </x:c>
      <x:c r="B1468" s="18" t="str">
        <x:v>101437000_83911</x:v>
      </x:c>
      <x:c r="C1468" s="18" t="str">
        <x:v>【沪村小电】金瀚园充电站</x:v>
      </x:c>
      <x:c r="D1468" s="37" t="str">
        <x:v>2</x:v>
      </x:c>
      <x:c r="E1468" s="37" t="str">
        <x:v>0</x:v>
      </x:c>
      <x:c r="F1468" s="37" t="str">
        <x:v>62</x:v>
      </x:c>
      <x:c r="G1468" s="37" t="str">
        <x:v>1539.88</x:v>
      </x:c>
      <x:c r="H1468" s="37" t="str">
        <x:v>0.00</x:v>
      </x:c>
      <x:c r="I1468" s="37" t="str">
        <x:v>869.91</x:v>
      </x:c>
      <x:c r="J1468" s="37" t="str">
        <x:v>0.00</x:v>
      </x:c>
      <x:c r="K1468" s="37" t="str">
        <x:v>669.97</x:v>
      </x:c>
      <x:c r="L1468" s="37" t="str">
        <x:v>2416</x:v>
      </x:c>
      <x:c r="M1468" s="29" t="str">
        <x:v>1361.09</x:v>
      </x:c>
      <x:c r="N1468" s="29" t="str">
        <x:v>865.53</x:v>
      </x:c>
      <x:c r="O1468" s="29" t="str">
        <x:v>495.56</x:v>
      </x:c>
      <x:c r="P1468" s="18" t="str">
        <x:v>2026-07-18</x:v>
      </x:c>
      <x:c r="Q1468" s="36" t="n">
        <x:v>46221</x:v>
      </x:c>
    </x:row>
    <x:row r="1469">
      <x:c r="A1469" s="36" t="str">
        <x:v>2026-07-18</x:v>
      </x:c>
      <x:c r="B1469" s="18" t="str">
        <x:v>101437000_83913</x:v>
      </x:c>
      <x:c r="C1469" s="18" t="str">
        <x:v>【沪村小电】新黎村充电站</x:v>
      </x:c>
      <x:c r="D1469" s="37" t="str">
        <x:v>2</x:v>
      </x:c>
      <x:c r="E1469" s="37" t="str">
        <x:v>0</x:v>
      </x:c>
      <x:c r="F1469" s="37" t="str">
        <x:v>65</x:v>
      </x:c>
      <x:c r="G1469" s="37" t="str">
        <x:v>1606.92</x:v>
      </x:c>
      <x:c r="H1469" s="37" t="str">
        <x:v>0.00</x:v>
      </x:c>
      <x:c r="I1469" s="37" t="str">
        <x:v>1081.63</x:v>
      </x:c>
      <x:c r="J1469" s="37" t="str">
        <x:v>0.00</x:v>
      </x:c>
      <x:c r="K1469" s="37" t="str">
        <x:v>525.29</x:v>
      </x:c>
      <x:c r="L1469" s="37" t="str">
        <x:v>2446</x:v>
      </x:c>
      <x:c r="M1469" s="29" t="str">
        <x:v>1450.69</x:v>
      </x:c>
      <x:c r="N1469" s="29" t="str">
        <x:v>962.30</x:v>
      </x:c>
      <x:c r="O1469" s="29" t="str">
        <x:v>488.39</x:v>
      </x:c>
      <x:c r="P1469" s="18" t="str">
        <x:v>2026-07-18</x:v>
      </x:c>
      <x:c r="Q1469" s="36" t="n">
        <x:v>46221</x:v>
      </x:c>
    </x:row>
    <x:row r="1470">
      <x:c r="A1470" s="36" t="str">
        <x:v>2026-07-18</x:v>
      </x:c>
      <x:c r="B1470" s="18" t="str">
        <x:v>101437000_83915</x:v>
      </x:c>
      <x:c r="C1470" s="18" t="str">
        <x:v>【沪村小电】长泰西郊别墅充电站</x:v>
      </x:c>
      <x:c r="D1470" s="37" t="str">
        <x:v>2</x:v>
      </x:c>
      <x:c r="E1470" s="37" t="str">
        <x:v>0</x:v>
      </x:c>
      <x:c r="F1470" s="37" t="str">
        <x:v>20</x:v>
      </x:c>
      <x:c r="G1470" s="37" t="str">
        <x:v>399.79</x:v>
      </x:c>
      <x:c r="H1470" s="37" t="str">
        <x:v>0.00</x:v>
      </x:c>
      <x:c r="I1470" s="37" t="str">
        <x:v>188.30</x:v>
      </x:c>
      <x:c r="J1470" s="37" t="str">
        <x:v>0.00</x:v>
      </x:c>
      <x:c r="K1470" s="37" t="str">
        <x:v>211.49</x:v>
      </x:c>
      <x:c r="L1470" s="37" t="str">
        <x:v>617</x:v>
      </x:c>
      <x:c r="M1470" s="29" t="str">
        <x:v>322.76</x:v>
      </x:c>
      <x:c r="N1470" s="29" t="str">
        <x:v>211.96</x:v>
      </x:c>
      <x:c r="O1470" s="29" t="str">
        <x:v>110.80</x:v>
      </x:c>
      <x:c r="P1470" s="18" t="str">
        <x:v>2026-07-18</x:v>
      </x:c>
      <x:c r="Q1470" s="36" t="n">
        <x:v>46221</x:v>
      </x:c>
    </x:row>
    <x:row r="1471">
      <x:c r="A1471" s="36" t="str">
        <x:v>2026-07-18</x:v>
      </x:c>
      <x:c r="B1471" s="18" t="str">
        <x:v>101437000_83917</x:v>
      </x:c>
      <x:c r="C1471" s="18" t="str">
        <x:v>【沪村小电】旭新华庭充电站</x:v>
      </x:c>
      <x:c r="D1471" s="37" t="str">
        <x:v>4</x:v>
      </x:c>
      <x:c r="E1471" s="37" t="str">
        <x:v>0</x:v>
      </x:c>
      <x:c r="F1471" s="37" t="str">
        <x:v>29</x:v>
      </x:c>
      <x:c r="G1471" s="37" t="str">
        <x:v>876.30</x:v>
      </x:c>
      <x:c r="H1471" s="37" t="str">
        <x:v>0.00</x:v>
      </x:c>
      <x:c r="I1471" s="37" t="str">
        <x:v>662.86</x:v>
      </x:c>
      <x:c r="J1471" s="37" t="str">
        <x:v>0.00</x:v>
      </x:c>
      <x:c r="K1471" s="37" t="str">
        <x:v>213.44</x:v>
      </x:c>
      <x:c r="L1471" s="37" t="str">
        <x:v>1288</x:v>
      </x:c>
      <x:c r="M1471" s="29" t="str">
        <x:v>938.34</x:v>
      </x:c>
      <x:c r="N1471" s="29" t="str">
        <x:v>549.58</x:v>
      </x:c>
      <x:c r="O1471" s="29" t="str">
        <x:v>388.76</x:v>
      </x:c>
      <x:c r="P1471" s="18" t="str">
        <x:v>2026-07-18</x:v>
      </x:c>
      <x:c r="Q1471" s="36" t="n">
        <x:v>46221</x:v>
      </x:c>
    </x:row>
    <x:row r="1472">
      <x:c r="A1472" s="36" t="str">
        <x:v>2026-07-18</x:v>
      </x:c>
      <x:c r="B1472" s="18" t="str">
        <x:v>101437000_83919</x:v>
      </x:c>
      <x:c r="C1472" s="18" t="str">
        <x:v>【沪村小电】浦锦名仕嘉园充电站</x:v>
      </x:c>
      <x:c r="D1472" s="37" t="str">
        <x:v>4</x:v>
      </x:c>
      <x:c r="E1472" s="37" t="str">
        <x:v>0</x:v>
      </x:c>
      <x:c r="F1472" s="37" t="str">
        <x:v>38</x:v>
      </x:c>
      <x:c r="G1472" s="37" t="str">
        <x:v>1066.68</x:v>
      </x:c>
      <x:c r="H1472" s="37" t="str">
        <x:v>0.00</x:v>
      </x:c>
      <x:c r="I1472" s="37" t="str">
        <x:v>0.00</x:v>
      </x:c>
      <x:c r="J1472" s="37" t="str">
        <x:v>1066.68</x:v>
      </x:c>
      <x:c r="K1472" s="37" t="str">
        <x:v>0.00</x:v>
      </x:c>
      <x:c r="L1472" s="37" t="str">
        <x:v>1456</x:v>
      </x:c>
      <x:c r="M1472" s="29" t="str">
        <x:v>1115.34</x:v>
      </x:c>
      <x:c r="N1472" s="29" t="str">
        <x:v>746.66</x:v>
      </x:c>
      <x:c r="O1472" s="29" t="str">
        <x:v>368.68</x:v>
      </x:c>
      <x:c r="P1472" s="18" t="str">
        <x:v>2026-07-18</x:v>
      </x:c>
      <x:c r="Q1472" s="36" t="n">
        <x:v>46221</x:v>
      </x:c>
    </x:row>
    <x:row r="1473">
      <x:c r="A1473" s="36" t="str">
        <x:v>2026-07-18</x:v>
      </x:c>
      <x:c r="B1473" s="18" t="str">
        <x:v>101437000_83921</x:v>
      </x:c>
      <x:c r="C1473" s="18" t="str">
        <x:v>【沪村小电】上海联怡枇杷乐园充电站（地库）</x:v>
      </x:c>
      <x:c r="D1473" s="37" t="str">
        <x:v>8</x:v>
      </x:c>
      <x:c r="E1473" s="37" t="str">
        <x:v>0</x:v>
      </x:c>
      <x:c r="F1473" s="37" t="str">
        <x:v>17</x:v>
      </x:c>
      <x:c r="G1473" s="37" t="str">
        <x:v>518.68</x:v>
      </x:c>
      <x:c r="H1473" s="37" t="str">
        <x:v>0.00</x:v>
      </x:c>
      <x:c r="I1473" s="37" t="str">
        <x:v>134.63</x:v>
      </x:c>
      <x:c r="J1473" s="37" t="str">
        <x:v>0.00</x:v>
      </x:c>
      <x:c r="K1473" s="37" t="str">
        <x:v>384.05</x:v>
      </x:c>
      <x:c r="L1473" s="37" t="str">
        <x:v>675</x:v>
      </x:c>
      <x:c r="M1473" s="29" t="str">
        <x:v>354.93</x:v>
      </x:c>
      <x:c r="N1473" s="29" t="str">
        <x:v>297.85</x:v>
      </x:c>
      <x:c r="O1473" s="29" t="str">
        <x:v>57.08</x:v>
      </x:c>
      <x:c r="P1473" s="18" t="str">
        <x:v>2026-07-18</x:v>
      </x:c>
      <x:c r="Q1473" s="36" t="n">
        <x:v>46221</x:v>
      </x:c>
    </x:row>
    <x:row r="1474">
      <x:c r="A1474" s="36" t="str">
        <x:v>2026-07-18</x:v>
      </x:c>
      <x:c r="B1474" s="18" t="str">
        <x:v>101437000_83923</x:v>
      </x:c>
      <x:c r="C1474" s="18" t="str">
        <x:v>【沪村小电】明珠新苑充电站</x:v>
      </x:c>
      <x:c r="D1474" s="37" t="str">
        <x:v>2</x:v>
      </x:c>
      <x:c r="E1474" s="37" t="str">
        <x:v>0</x:v>
      </x:c>
      <x:c r="F1474" s="37" t="str">
        <x:v>34</x:v>
      </x:c>
      <x:c r="G1474" s="37" t="str">
        <x:v>777.50</x:v>
      </x:c>
      <x:c r="H1474" s="37" t="str">
        <x:v>0.00</x:v>
      </x:c>
      <x:c r="I1474" s="37" t="str">
        <x:v>569.99</x:v>
      </x:c>
      <x:c r="J1474" s="37" t="str">
        <x:v>0.00</x:v>
      </x:c>
      <x:c r="K1474" s="37" t="str">
        <x:v>207.51</x:v>
      </x:c>
      <x:c r="L1474" s="37" t="str">
        <x:v>924</x:v>
      </x:c>
      <x:c r="M1474" s="29" t="str">
        <x:v>755.73</x:v>
      </x:c>
      <x:c r="N1474" s="29" t="str">
        <x:v>481.44</x:v>
      </x:c>
      <x:c r="O1474" s="29" t="str">
        <x:v>274.29</x:v>
      </x:c>
      <x:c r="P1474" s="18" t="str">
        <x:v>2026-07-18</x:v>
      </x:c>
      <x:c r="Q1474" s="36" t="n">
        <x:v>46221</x:v>
      </x:c>
    </x:row>
    <x:row r="1475">
      <x:c r="A1475" s="36" t="str">
        <x:v>2026-07-18</x:v>
      </x:c>
      <x:c r="B1475" s="18" t="str">
        <x:v>101437000_84289</x:v>
      </x:c>
      <x:c r="C1475" s="18" t="str">
        <x:v>【沪村小电】铁建芳华苑充电站</x:v>
      </x:c>
      <x:c r="D1475" s="37" t="str">
        <x:v>4</x:v>
      </x:c>
      <x:c r="E1475" s="37" t="str">
        <x:v>0</x:v>
      </x:c>
      <x:c r="F1475" s="37" t="str">
        <x:v>36</x:v>
      </x:c>
      <x:c r="G1475" s="37" t="str">
        <x:v>931.17</x:v>
      </x:c>
      <x:c r="H1475" s="37" t="str">
        <x:v>0.00</x:v>
      </x:c>
      <x:c r="I1475" s="37" t="str">
        <x:v>585.79</x:v>
      </x:c>
      <x:c r="J1475" s="37" t="str">
        <x:v>0.00</x:v>
      </x:c>
      <x:c r="K1475" s="37" t="str">
        <x:v>345.38</x:v>
      </x:c>
      <x:c r="L1475" s="37" t="str">
        <x:v>1419</x:v>
      </x:c>
      <x:c r="M1475" s="29" t="str">
        <x:v>862.76</x:v>
      </x:c>
      <x:c r="N1475" s="29" t="str">
        <x:v>543.70</x:v>
      </x:c>
      <x:c r="O1475" s="29" t="str">
        <x:v>319.06</x:v>
      </x:c>
      <x:c r="P1475" s="18" t="str">
        <x:v>2026-07-18</x:v>
      </x:c>
      <x:c r="Q1475" s="36" t="n">
        <x:v>46221</x:v>
      </x:c>
    </x:row>
    <x:row r="1476">
      <x:c r="A1476" s="36" t="str">
        <x:v>2026-07-18</x:v>
      </x:c>
      <x:c r="B1476" s="18" t="str">
        <x:v>101437000_86379</x:v>
      </x:c>
      <x:c r="C1476" s="18" t="str">
        <x:v>【沪村小电】新宝社区充电站</x:v>
      </x:c>
      <x:c r="D1476" s="37" t="str">
        <x:v>4</x:v>
      </x:c>
      <x:c r="E1476" s="37" t="str">
        <x:v>0</x:v>
      </x:c>
      <x:c r="F1476" s="37" t="str">
        <x:v>22</x:v>
      </x:c>
      <x:c r="G1476" s="37" t="str">
        <x:v>385.37</x:v>
      </x:c>
      <x:c r="H1476" s="37" t="str">
        <x:v>0.00</x:v>
      </x:c>
      <x:c r="I1476" s="37" t="str">
        <x:v>145.15</x:v>
      </x:c>
      <x:c r="J1476" s="37" t="str">
        <x:v>0.00</x:v>
      </x:c>
      <x:c r="K1476" s="37" t="str">
        <x:v>240.22</x:v>
      </x:c>
      <x:c r="L1476" s="37" t="str">
        <x:v>673</x:v>
      </x:c>
      <x:c r="M1476" s="29" t="str">
        <x:v>295.26</x:v>
      </x:c>
      <x:c r="N1476" s="29" t="str">
        <x:v>191.93</x:v>
      </x:c>
      <x:c r="O1476" s="29" t="str">
        <x:v>103.33</x:v>
      </x:c>
      <x:c r="P1476" s="18" t="str">
        <x:v>2026-07-18</x:v>
      </x:c>
      <x:c r="Q1476" s="36" t="n">
        <x:v>46221</x:v>
      </x:c>
    </x:row>
    <x:row r="1477">
      <x:c r="A1477" s="36" t="str">
        <x:v>2026-07-18</x:v>
      </x:c>
      <x:c r="B1477" s="18" t="str">
        <x:v>101437000_89441</x:v>
      </x:c>
      <x:c r="C1477" s="18" t="str">
        <x:v>【沪村小电】首创禧瑞云启西区充电站</x:v>
      </x:c>
      <x:c r="D1477" s="37" t="str">
        <x:v>2</x:v>
      </x:c>
      <x:c r="E1477" s="37" t="str">
        <x:v>0</x:v>
      </x:c>
      <x:c r="F1477" s="37" t="str">
        <x:v>38</x:v>
      </x:c>
      <x:c r="G1477" s="37" t="str">
        <x:v>913.81</x:v>
      </x:c>
      <x:c r="H1477" s="37" t="str">
        <x:v>0.00</x:v>
      </x:c>
      <x:c r="I1477" s="37" t="str">
        <x:v>673.24</x:v>
      </x:c>
      <x:c r="J1477" s="37" t="str">
        <x:v>0.00</x:v>
      </x:c>
      <x:c r="K1477" s="37" t="str">
        <x:v>240.58</x:v>
      </x:c>
      <x:c r="L1477" s="37" t="str">
        <x:v>1254</x:v>
      </x:c>
      <x:c r="M1477" s="29" t="str">
        <x:v>917.01</x:v>
      </x:c>
      <x:c r="N1477" s="29" t="str">
        <x:v>567.02</x:v>
      </x:c>
      <x:c r="O1477" s="29" t="str">
        <x:v>349.99</x:v>
      </x:c>
      <x:c r="P1477" s="18" t="str">
        <x:v>2026-07-18</x:v>
      </x:c>
      <x:c r="Q1477" s="36" t="n">
        <x:v>46221</x:v>
      </x:c>
    </x:row>
    <x:row r="1478">
      <x:c r="A1478" s="36" t="str">
        <x:v>2026-07-18</x:v>
      </x:c>
      <x:c r="B1478" s="18" t="str">
        <x:v>101437000_89443</x:v>
      </x:c>
      <x:c r="C1478" s="18" t="str">
        <x:v>【沪村小电】玉兰清苑二期充电站</x:v>
      </x:c>
      <x:c r="D1478" s="37" t="str">
        <x:v>2</x:v>
      </x:c>
      <x:c r="E1478" s="37" t="str">
        <x:v>0</x:v>
      </x:c>
      <x:c r="F1478" s="37" t="str">
        <x:v>29</x:v>
      </x:c>
      <x:c r="G1478" s="37" t="str">
        <x:v>682.01</x:v>
      </x:c>
      <x:c r="H1478" s="37" t="str">
        <x:v>0.00</x:v>
      </x:c>
      <x:c r="I1478" s="37" t="str">
        <x:v>402.64</x:v>
      </x:c>
      <x:c r="J1478" s="37" t="str">
        <x:v>0.00</x:v>
      </x:c>
      <x:c r="K1478" s="37" t="str">
        <x:v>279.37</x:v>
      </x:c>
      <x:c r="L1478" s="37" t="str">
        <x:v>940</x:v>
      </x:c>
      <x:c r="M1478" s="29" t="str">
        <x:v>608.26</x:v>
      </x:c>
      <x:c r="N1478" s="29" t="str">
        <x:v>389.25</x:v>
      </x:c>
      <x:c r="O1478" s="29" t="str">
        <x:v>219.01</x:v>
      </x:c>
      <x:c r="P1478" s="18" t="str">
        <x:v>2026-07-18</x:v>
      </x:c>
      <x:c r="Q1478" s="36" t="n">
        <x:v>46221</x:v>
      </x:c>
    </x:row>
    <x:row r="1479">
      <x:c r="A1479" s="36" t="str">
        <x:v>2026-07-18</x:v>
      </x:c>
      <x:c r="B1479" s="18" t="str">
        <x:v>101437000_93115</x:v>
      </x:c>
      <x:c r="C1479" s="18" t="str">
        <x:v>【沪村小电】新南家园西北门</x:v>
      </x:c>
      <x:c r="D1479" s="37" t="str">
        <x:v>2</x:v>
      </x:c>
      <x:c r="E1479" s="37" t="str">
        <x:v>0</x:v>
      </x:c>
      <x:c r="F1479" s="37" t="str">
        <x:v>20</x:v>
      </x:c>
      <x:c r="G1479" s="37" t="str">
        <x:v>516.35</x:v>
      </x:c>
      <x:c r="H1479" s="37" t="str">
        <x:v>0.00</x:v>
      </x:c>
      <x:c r="I1479" s="37" t="str">
        <x:v>362.17</x:v>
      </x:c>
      <x:c r="J1479" s="37" t="str">
        <x:v>0.00</x:v>
      </x:c>
      <x:c r="K1479" s="37" t="str">
        <x:v>154.18</x:v>
      </x:c>
      <x:c r="L1479" s="37" t="str">
        <x:v>900</x:v>
      </x:c>
      <x:c r="M1479" s="29" t="str">
        <x:v>518.06</x:v>
      </x:c>
      <x:c r="N1479" s="29" t="str">
        <x:v>314.17</x:v>
      </x:c>
      <x:c r="O1479" s="29" t="str">
        <x:v>203.89</x:v>
      </x:c>
      <x:c r="P1479" s="18" t="str">
        <x:v>2026-07-18</x:v>
      </x:c>
      <x:c r="Q1479" s="36" t="n">
        <x:v>46221</x:v>
      </x:c>
    </x:row>
    <x:row r="1480">
      <x:c r="A1480" s="36" t="str">
        <x:v>2026-07-18</x:v>
      </x:c>
      <x:c r="B1480" s="18" t="str">
        <x:v>101437000_94649</x:v>
      </x:c>
      <x:c r="C1480" s="18" t="str">
        <x:v>【沪村小电】浪琴水岸花园</x:v>
      </x:c>
      <x:c r="D1480" s="37" t="str">
        <x:v>4</x:v>
      </x:c>
      <x:c r="E1480" s="37" t="str">
        <x:v>0</x:v>
      </x:c>
      <x:c r="F1480" s="37" t="str">
        <x:v>41</x:v>
      </x:c>
      <x:c r="G1480" s="37" t="str">
        <x:v>1048.95</x:v>
      </x:c>
      <x:c r="H1480" s="37" t="str">
        <x:v>0.00</x:v>
      </x:c>
      <x:c r="I1480" s="37" t="str">
        <x:v>580.82</x:v>
      </x:c>
      <x:c r="J1480" s="37" t="str">
        <x:v>0.00</x:v>
      </x:c>
      <x:c r="K1480" s="37" t="str">
        <x:v>468.13</x:v>
      </x:c>
      <x:c r="L1480" s="37" t="str">
        <x:v>1688</x:v>
      </x:c>
      <x:c r="M1480" s="29" t="str">
        <x:v>852.54</x:v>
      </x:c>
      <x:c r="N1480" s="29" t="str">
        <x:v>632.42</x:v>
      </x:c>
      <x:c r="O1480" s="29" t="str">
        <x:v>220.12</x:v>
      </x:c>
      <x:c r="P1480" s="18" t="str">
        <x:v>2026-07-18</x:v>
      </x:c>
      <x:c r="Q1480" s="36" t="n">
        <x:v>46221</x:v>
      </x:c>
    </x:row>
    <x:row r="1481">
      <x:c r="A1481" s="36" t="str">
        <x:v>2026-07-18</x:v>
      </x:c>
      <x:c r="B1481" s="18" t="str">
        <x:v>101437000_95077</x:v>
      </x:c>
      <x:c r="C1481" s="18" t="str">
        <x:v>【沪村小电】民乐城惠益绿苑255弄充电站</x:v>
      </x:c>
      <x:c r="D1481" s="37" t="str">
        <x:v>2</x:v>
      </x:c>
      <x:c r="E1481" s="37" t="str">
        <x:v>0</x:v>
      </x:c>
      <x:c r="F1481" s="37" t="str">
        <x:v>11</x:v>
      </x:c>
      <x:c r="G1481" s="37" t="str">
        <x:v>298.92</x:v>
      </x:c>
      <x:c r="H1481" s="37" t="str">
        <x:v>0.00</x:v>
      </x:c>
      <x:c r="I1481" s="37" t="str">
        <x:v>140.75</x:v>
      </x:c>
      <x:c r="J1481" s="37" t="str">
        <x:v>0.00</x:v>
      </x:c>
      <x:c r="K1481" s="37" t="str">
        <x:v>158.17</x:v>
      </x:c>
      <x:c r="L1481" s="37" t="str">
        <x:v>540</x:v>
      </x:c>
      <x:c r="M1481" s="29" t="str">
        <x:v>233.31</x:v>
      </x:c>
      <x:c r="N1481" s="29" t="str">
        <x:v>158.47</x:v>
      </x:c>
      <x:c r="O1481" s="29" t="str">
        <x:v>74.84</x:v>
      </x:c>
      <x:c r="P1481" s="18" t="str">
        <x:v>2026-07-18</x:v>
      </x:c>
      <x:c r="Q1481" s="36" t="n">
        <x:v>46221</x:v>
      </x:c>
    </x:row>
    <x:row r="1482">
      <x:c r="A1482" s="36" t="str">
        <x:v>2026-07-18</x:v>
      </x:c>
      <x:c r="B1482" s="18" t="str">
        <x:v>101437000_95079</x:v>
      </x:c>
      <x:c r="C1482" s="18" t="str">
        <x:v>【沪村小电】民乐城惠益绿苑东苑充电站</x:v>
      </x:c>
      <x:c r="D1482" s="37" t="str">
        <x:v>2</x:v>
      </x:c>
      <x:c r="E1482" s="37" t="str">
        <x:v>0</x:v>
      </x:c>
      <x:c r="F1482" s="37" t="str">
        <x:v>18</x:v>
      </x:c>
      <x:c r="G1482" s="37" t="str">
        <x:v>485.71</x:v>
      </x:c>
      <x:c r="H1482" s="37" t="str">
        <x:v>0.00</x:v>
      </x:c>
      <x:c r="I1482" s="37" t="str">
        <x:v>412.20</x:v>
      </x:c>
      <x:c r="J1482" s="37" t="str">
        <x:v>0.00</x:v>
      </x:c>
      <x:c r="K1482" s="37" t="str">
        <x:v>73.50</x:v>
      </x:c>
      <x:c r="L1482" s="37" t="str">
        <x:v>595</x:v>
      </x:c>
      <x:c r="M1482" s="29" t="str">
        <x:v>479.37</x:v>
      </x:c>
      <x:c r="N1482" s="29" t="str">
        <x:v>319.86</x:v>
      </x:c>
      <x:c r="O1482" s="29" t="str">
        <x:v>159.51</x:v>
      </x:c>
      <x:c r="P1482" s="18" t="str">
        <x:v>2026-07-18</x:v>
      </x:c>
      <x:c r="Q1482" s="36" t="n">
        <x:v>46221</x:v>
      </x:c>
    </x:row>
    <x:row r="1483">
      <x:c r="A1483" s="36" t="str">
        <x:v>2026-07-18</x:v>
      </x:c>
      <x:c r="B1483" s="18" t="str">
        <x:v>101437000_95081</x:v>
      </x:c>
      <x:c r="C1483" s="18" t="str">
        <x:v>【沪村小电】民乐城惠益绿苑西苑充电站</x:v>
      </x:c>
      <x:c r="D1483" s="37" t="str">
        <x:v>2</x:v>
      </x:c>
      <x:c r="E1483" s="37" t="str">
        <x:v>0</x:v>
      </x:c>
      <x:c r="F1483" s="37" t="str">
        <x:v>3</x:v>
      </x:c>
      <x:c r="G1483" s="37" t="str">
        <x:v>63.82</x:v>
      </x:c>
      <x:c r="H1483" s="37" t="str">
        <x:v>0.00</x:v>
      </x:c>
      <x:c r="I1483" s="37" t="str">
        <x:v>63.82</x:v>
      </x:c>
      <x:c r="J1483" s="37" t="str">
        <x:v>0.00</x:v>
      </x:c>
      <x:c r="K1483" s="37" t="str">
        <x:v>0.00</x:v>
      </x:c>
      <x:c r="L1483" s="37" t="str">
        <x:v>124</x:v>
      </x:c>
      <x:c r="M1483" s="29" t="str">
        <x:v>61.19</x:v>
      </x:c>
      <x:c r="N1483" s="29" t="str">
        <x:v>45.31</x:v>
      </x:c>
      <x:c r="O1483" s="29" t="str">
        <x:v>15.88</x:v>
      </x:c>
      <x:c r="P1483" s="18" t="str">
        <x:v>2026-07-18</x:v>
      </x:c>
      <x:c r="Q1483" s="36" t="n">
        <x:v>46221</x:v>
      </x:c>
    </x:row>
    <x:row r="1484">
      <x:c r="A1484" s="36" t="str">
        <x:v>2026-07-18</x:v>
      </x:c>
      <x:c r="B1484" s="18" t="str">
        <x:v>101437000_95091</x:v>
      </x:c>
      <x:c r="C1484" s="18" t="str">
        <x:v>【沪村小电】金悦学府2号站</x:v>
      </x:c>
      <x:c r="D1484" s="37" t="str">
        <x:v>2</x:v>
      </x:c>
      <x:c r="E1484" s="37" t="str">
        <x:v>0</x:v>
      </x:c>
      <x:c r="F1484" s="37" t="str">
        <x:v>25</x:v>
      </x:c>
      <x:c r="G1484" s="37" t="str">
        <x:v>647.99</x:v>
      </x:c>
      <x:c r="H1484" s="37" t="str">
        <x:v>0.00</x:v>
      </x:c>
      <x:c r="I1484" s="37" t="str">
        <x:v>0.00</x:v>
      </x:c>
      <x:c r="J1484" s="37" t="str">
        <x:v>647.99</x:v>
      </x:c>
      <x:c r="K1484" s="37" t="str">
        <x:v>0.00</x:v>
      </x:c>
      <x:c r="L1484" s="37" t="str">
        <x:v>1115</x:v>
      </x:c>
      <x:c r="M1484" s="29" t="str">
        <x:v>511.92</x:v>
      </x:c>
      <x:c r="N1484" s="29" t="str">
        <x:v>362.89</x:v>
      </x:c>
      <x:c r="O1484" s="29" t="str">
        <x:v>149.03</x:v>
      </x:c>
      <x:c r="P1484" s="18" t="str">
        <x:v>2026-07-18</x:v>
      </x:c>
      <x:c r="Q1484" s="36" t="n">
        <x:v>46221</x:v>
      </x:c>
    </x:row>
    <x:row r="1485">
      <x:c r="A1485" s="36" t="str">
        <x:v>2026-07-18</x:v>
      </x:c>
      <x:c r="B1485" s="18" t="str">
        <x:v>101437000_95941</x:v>
      </x:c>
      <x:c r="C1485" s="18" t="str">
        <x:v>【沪村小电】惠诚雅苑</x:v>
      </x:c>
      <x:c r="D1485" s="37" t="str">
        <x:v>4</x:v>
      </x:c>
      <x:c r="E1485" s="37" t="str">
        <x:v>0</x:v>
      </x:c>
      <x:c r="F1485" s="37" t="str">
        <x:v>54</x:v>
      </x:c>
      <x:c r="G1485" s="37" t="str">
        <x:v>1320.74</x:v>
      </x:c>
      <x:c r="H1485" s="37" t="str">
        <x:v>0.00</x:v>
      </x:c>
      <x:c r="I1485" s="37" t="str">
        <x:v>476.04</x:v>
      </x:c>
      <x:c r="J1485" s="37" t="str">
        <x:v>0.00</x:v>
      </x:c>
      <x:c r="K1485" s="37" t="str">
        <x:v>844.70</x:v>
      </x:c>
      <x:c r="L1485" s="37" t="str">
        <x:v>2211</x:v>
      </x:c>
      <x:c r="M1485" s="29" t="str">
        <x:v>836.85</x:v>
      </x:c>
      <x:c r="N1485" s="29" t="str">
        <x:v>542.72</x:v>
      </x:c>
      <x:c r="O1485" s="29" t="str">
        <x:v>294.13</x:v>
      </x:c>
      <x:c r="P1485" s="18" t="str">
        <x:v>2026-07-18</x:v>
      </x:c>
      <x:c r="Q1485" s="36" t="n">
        <x:v>46221</x:v>
      </x:c>
    </x:row>
    <x:row r="1486">
      <x:c r="A1486" s="36" t="str">
        <x:v>2026-07-18</x:v>
      </x:c>
      <x:c r="B1486" s="18" t="str">
        <x:v>101437000_96401</x:v>
      </x:c>
      <x:c r="C1486" s="18" t="str">
        <x:v>【沪村小电】上海联怡枇杷乐园地面站</x:v>
      </x:c>
      <x:c r="D1486" s="37" t="str">
        <x:v>2</x:v>
      </x:c>
      <x:c r="E1486" s="37" t="str">
        <x:v>0</x:v>
      </x:c>
      <x:c r="F1486" s="37" t="str">
        <x:v>12</x:v>
      </x:c>
      <x:c r="G1486" s="37" t="str">
        <x:v>244.76</x:v>
      </x:c>
      <x:c r="H1486" s="37" t="str">
        <x:v>0.00</x:v>
      </x:c>
      <x:c r="I1486" s="37" t="str">
        <x:v>183.20</x:v>
      </x:c>
      <x:c r="J1486" s="37" t="str">
        <x:v>0.00</x:v>
      </x:c>
      <x:c r="K1486" s="37" t="str">
        <x:v>61.56</x:v>
      </x:c>
      <x:c r="L1486" s="37" t="str">
        <x:v>461</x:v>
      </x:c>
      <x:c r="M1486" s="29" t="str">
        <x:v>252.37</x:v>
      </x:c>
      <x:c r="N1486" s="29" t="str">
        <x:v>193.20</x:v>
      </x:c>
      <x:c r="O1486" s="29" t="str">
        <x:v>59.17</x:v>
      </x:c>
      <x:c r="P1486" s="18" t="str">
        <x:v>2026-07-18</x:v>
      </x:c>
      <x:c r="Q1486" s="36" t="n">
        <x:v>46221</x:v>
      </x:c>
    </x:row>
    <x:row r="1487">
      <x:c r="A1487" s="36" t="str">
        <x:v>2026-07-18</x:v>
      </x:c>
      <x:c r="B1487" s="18" t="str">
        <x:v>101437000_96719</x:v>
      </x:c>
      <x:c r="C1487" s="18" t="str">
        <x:v>【沪村小电】四达路220弄充电站</x:v>
      </x:c>
      <x:c r="D1487" s="37" t="str">
        <x:v>2</x:v>
      </x:c>
      <x:c r="E1487" s="37" t="str">
        <x:v>0</x:v>
      </x:c>
      <x:c r="F1487" s="37" t="str">
        <x:v>9</x:v>
      </x:c>
      <x:c r="G1487" s="37" t="str">
        <x:v>214.85</x:v>
      </x:c>
      <x:c r="H1487" s="37" t="str">
        <x:v>0.00</x:v>
      </x:c>
      <x:c r="I1487" s="37" t="str">
        <x:v>175.28</x:v>
      </x:c>
      <x:c r="J1487" s="37" t="str">
        <x:v>0.00</x:v>
      </x:c>
      <x:c r="K1487" s="37" t="str">
        <x:v>39.57</x:v>
      </x:c>
      <x:c r="L1487" s="37" t="str">
        <x:v>332</x:v>
      </x:c>
      <x:c r="M1487" s="29" t="str">
        <x:v>197.95</x:v>
      </x:c>
      <x:c r="N1487" s="29" t="str">
        <x:v>139.10</x:v>
      </x:c>
      <x:c r="O1487" s="29" t="str">
        <x:v>58.85</x:v>
      </x:c>
      <x:c r="P1487" s="18" t="str">
        <x:v>2026-07-18</x:v>
      </x:c>
      <x:c r="Q1487" s="36" t="n">
        <x:v>46221</x:v>
      </x:c>
    </x:row>
    <x:row r="1488">
      <x:c r="A1488" s="36" t="str">
        <x:v>2026-07-18</x:v>
      </x:c>
      <x:c r="B1488" s="18" t="str">
        <x:v>101437000_97421</x:v>
      </x:c>
      <x:c r="C1488" s="18" t="str">
        <x:v>【沪村小电】玉兰清苑二期（小区外）充电站</x:v>
      </x:c>
      <x:c r="D1488" s="37" t="str">
        <x:v>4</x:v>
      </x:c>
      <x:c r="E1488" s="37" t="str">
        <x:v>0</x:v>
      </x:c>
      <x:c r="F1488" s="37" t="str">
        <x:v>42</x:v>
      </x:c>
      <x:c r="G1488" s="37" t="str">
        <x:v>982.85</x:v>
      </x:c>
      <x:c r="H1488" s="37" t="str">
        <x:v>0.00</x:v>
      </x:c>
      <x:c r="I1488" s="37" t="str">
        <x:v>727.92</x:v>
      </x:c>
      <x:c r="J1488" s="37" t="str">
        <x:v>0.00</x:v>
      </x:c>
      <x:c r="K1488" s="37" t="str">
        <x:v>254.94</x:v>
      </x:c>
      <x:c r="L1488" s="37" t="str">
        <x:v>1727</x:v>
      </x:c>
      <x:c r="M1488" s="29" t="str">
        <x:v>905.60</x:v>
      </x:c>
      <x:c r="N1488" s="29" t="str">
        <x:v>611.13</x:v>
      </x:c>
      <x:c r="O1488" s="29" t="str">
        <x:v>294.47</x:v>
      </x:c>
      <x:c r="P1488" s="18" t="str">
        <x:v>2026-07-18</x:v>
      </x:c>
      <x:c r="Q1488" s="36" t="n">
        <x:v>46221</x:v>
      </x:c>
    </x:row>
    <x:row r="1489">
      <x:c r="A1489" s="36" t="str">
        <x:v>2026-07-18</x:v>
      </x:c>
      <x:c r="B1489" s="18" t="str">
        <x:v>101437000_98013</x:v>
      </x:c>
      <x:c r="C1489" s="18" t="str">
        <x:v>【沪村小电】恒大滨江华府充电站</x:v>
      </x:c>
      <x:c r="D1489" s="37" t="str">
        <x:v>4</x:v>
      </x:c>
      <x:c r="E1489" s="37" t="str">
        <x:v>0</x:v>
      </x:c>
      <x:c r="F1489" s="37" t="str">
        <x:v>34</x:v>
      </x:c>
      <x:c r="G1489" s="37" t="str">
        <x:v>859.52</x:v>
      </x:c>
      <x:c r="H1489" s="37" t="str">
        <x:v>0.00</x:v>
      </x:c>
      <x:c r="I1489" s="37" t="str">
        <x:v>661.49</x:v>
      </x:c>
      <x:c r="J1489" s="37" t="str">
        <x:v>0.00</x:v>
      </x:c>
      <x:c r="K1489" s="37" t="str">
        <x:v>198.03</x:v>
      </x:c>
      <x:c r="L1489" s="37" t="str">
        <x:v>1332</x:v>
      </x:c>
      <x:c r="M1489" s="29" t="str">
        <x:v>852.45</x:v>
      </x:c>
      <x:c r="N1489" s="29" t="str">
        <x:v>686.46</x:v>
      </x:c>
      <x:c r="O1489" s="29" t="str">
        <x:v>165.99</x:v>
      </x:c>
      <x:c r="P1489" s="18" t="str">
        <x:v>2026-07-18</x:v>
      </x:c>
      <x:c r="Q1489" s="36" t="n">
        <x:v>46221</x:v>
      </x:c>
    </x:row>
    <x:row r="1490">
      <x:c r="A1490" s="36" t="str">
        <x:v>2026-07-18</x:v>
      </x:c>
      <x:c r="B1490" s="18" t="str">
        <x:v>101437000_98863</x:v>
      </x:c>
      <x:c r="C1490" s="18" t="str">
        <x:v>【沪村小电】欣菊苑充电站</x:v>
      </x:c>
      <x:c r="D1490" s="37" t="str">
        <x:v>4</x:v>
      </x:c>
      <x:c r="E1490" s="37" t="str">
        <x:v>0</x:v>
      </x:c>
      <x:c r="F1490" s="37" t="str">
        <x:v>8</x:v>
      </x:c>
      <x:c r="G1490" s="37" t="str">
        <x:v>170.09</x:v>
      </x:c>
      <x:c r="H1490" s="37" t="str">
        <x:v>0.00</x:v>
      </x:c>
      <x:c r="I1490" s="37" t="str">
        <x:v>170.09</x:v>
      </x:c>
      <x:c r="J1490" s="37" t="str">
        <x:v>0.00</x:v>
      </x:c>
      <x:c r="K1490" s="37" t="str">
        <x:v>0.00</x:v>
      </x:c>
      <x:c r="L1490" s="37" t="str">
        <x:v>238</x:v>
      </x:c>
      <x:c r="M1490" s="29" t="str">
        <x:v>181.92</x:v>
      </x:c>
      <x:c r="N1490" s="29" t="str">
        <x:v>120.75</x:v>
      </x:c>
      <x:c r="O1490" s="29" t="str">
        <x:v>61.17</x:v>
      </x:c>
      <x:c r="P1490" s="18" t="str">
        <x:v>2026-07-18</x:v>
      </x:c>
      <x:c r="Q1490" s="36" t="n">
        <x:v>46221</x:v>
      </x:c>
    </x:row>
    <x:row r="1491">
      <x:c r="A1491" s="36" t="str">
        <x:v>2026-07-18</x:v>
      </x:c>
      <x:c r="B1491" s="18" t="str">
        <x:v>101437000_98865</x:v>
      </x:c>
      <x:c r="C1491" s="18" t="str">
        <x:v>【沪村小电】欣松苑充电站</x:v>
      </x:c>
      <x:c r="D1491" s="37" t="str">
        <x:v>4</x:v>
      </x:c>
      <x:c r="E1491" s="37" t="str">
        <x:v>0</x:v>
      </x:c>
      <x:c r="F1491" s="37" t="str">
        <x:v>21</x:v>
      </x:c>
      <x:c r="G1491" s="37" t="str">
        <x:v>530.48</x:v>
      </x:c>
      <x:c r="H1491" s="37" t="str">
        <x:v>0.00</x:v>
      </x:c>
      <x:c r="I1491" s="37" t="str">
        <x:v>487.44</x:v>
      </x:c>
      <x:c r="J1491" s="37" t="str">
        <x:v>0.00</x:v>
      </x:c>
      <x:c r="K1491" s="37" t="str">
        <x:v>43.05</x:v>
      </x:c>
      <x:c r="L1491" s="37" t="str">
        <x:v>792</x:v>
      </x:c>
      <x:c r="M1491" s="29" t="str">
        <x:v>470.37</x:v>
      </x:c>
      <x:c r="N1491" s="29" t="str">
        <x:v>362.02</x:v>
      </x:c>
      <x:c r="O1491" s="29" t="str">
        <x:v>108.35</x:v>
      </x:c>
      <x:c r="P1491" s="18" t="str">
        <x:v>2026-07-18</x:v>
      </x:c>
      <x:c r="Q1491" s="36" t="n">
        <x:v>46221</x:v>
      </x:c>
    </x:row>
    <x:row r="1492">
      <x:c r="A1492" s="36" t="str">
        <x:v>2026-07-18</x:v>
      </x:c>
      <x:c r="B1492" s="18" t="str">
        <x:v>101437000_98867</x:v>
      </x:c>
      <x:c r="C1492" s="18" t="str">
        <x:v>【沪村小电】欣荷苑充电站</x:v>
      </x:c>
      <x:c r="D1492" s="37" t="str">
        <x:v>4</x:v>
      </x:c>
      <x:c r="E1492" s="37" t="str">
        <x:v>0</x:v>
      </x:c>
      <x:c r="F1492" s="37" t="str">
        <x:v>7</x:v>
      </x:c>
      <x:c r="G1492" s="37" t="str">
        <x:v>187.71</x:v>
      </x:c>
      <x:c r="H1492" s="37" t="str">
        <x:v>0.00</x:v>
      </x:c>
      <x:c r="I1492" s="37" t="str">
        <x:v>187.71</x:v>
      </x:c>
      <x:c r="J1492" s="37" t="str">
        <x:v>0.00</x:v>
      </x:c>
      <x:c r="K1492" s="37" t="str">
        <x:v>0.00</x:v>
      </x:c>
      <x:c r="L1492" s="37" t="str">
        <x:v>254</x:v>
      </x:c>
      <x:c r="M1492" s="29" t="str">
        <x:v>180.07</x:v>
      </x:c>
      <x:c r="N1492" s="29" t="str">
        <x:v>133.28</x:v>
      </x:c>
      <x:c r="O1492" s="29" t="str">
        <x:v>46.79</x:v>
      </x:c>
      <x:c r="P1492" s="18" t="str">
        <x:v>2026-07-18</x:v>
      </x:c>
      <x:c r="Q1492" s="36" t="n">
        <x:v>46221</x:v>
      </x:c>
    </x:row>
    <x:row r="1493">
      <x:c r="A1493" s="36" t="str">
        <x:v>2026-07-18</x:v>
      </x:c>
      <x:c r="B1493" s="18" t="str">
        <x:v>101437000_99885</x:v>
      </x:c>
      <x:c r="C1493" s="18" t="str">
        <x:v>【沪村小电】汇丰馨苑充电站</x:v>
      </x:c>
      <x:c r="D1493" s="37" t="str">
        <x:v>4</x:v>
      </x:c>
      <x:c r="E1493" s="37" t="str">
        <x:v>0</x:v>
      </x:c>
      <x:c r="F1493" s="37" t="str">
        <x:v>9</x:v>
      </x:c>
      <x:c r="G1493" s="37" t="str">
        <x:v>234.55</x:v>
      </x:c>
      <x:c r="H1493" s="37" t="str">
        <x:v>0.00</x:v>
      </x:c>
      <x:c r="I1493" s="37" t="str">
        <x:v>228.99</x:v>
      </x:c>
      <x:c r="J1493" s="37" t="str">
        <x:v>0.00</x:v>
      </x:c>
      <x:c r="K1493" s="37" t="str">
        <x:v>5.56</x:v>
      </x:c>
      <x:c r="L1493" s="37" t="str">
        <x:v>365</x:v>
      </x:c>
      <x:c r="M1493" s="29" t="str">
        <x:v>241.84</x:v>
      </x:c>
      <x:c r="N1493" s="29" t="str">
        <x:v>164.64</x:v>
      </x:c>
      <x:c r="O1493" s="29" t="str">
        <x:v>77.20</x:v>
      </x:c>
      <x:c r="P1493" s="18" t="str">
        <x:v>2026-07-18</x:v>
      </x:c>
      <x:c r="Q1493" s="36" t="n">
        <x:v>46221</x:v>
      </x:c>
    </x:row>
    <x:row r="1494">
      <x:c r="A1494" s="36" t="str">
        <x:v>2026-07-18</x:v>
      </x:c>
      <x:c r="B1494" s="18" t="str">
        <x:v>101437000_99887</x:v>
      </x:c>
      <x:c r="C1494" s="18" t="str">
        <x:v>【沪村小电】新南村河南小区充电站</x:v>
      </x:c>
      <x:c r="D1494" s="37" t="str">
        <x:v>2</x:v>
      </x:c>
      <x:c r="E1494" s="37" t="str">
        <x:v>0</x:v>
      </x:c>
      <x:c r="F1494" s="37" t="str">
        <x:v>13</x:v>
      </x:c>
      <x:c r="G1494" s="37" t="str">
        <x:v>284.81</x:v>
      </x:c>
      <x:c r="H1494" s="37" t="str">
        <x:v>0.00</x:v>
      </x:c>
      <x:c r="I1494" s="37" t="str">
        <x:v>93.43</x:v>
      </x:c>
      <x:c r="J1494" s="37" t="str">
        <x:v>0.00</x:v>
      </x:c>
      <x:c r="K1494" s="37" t="str">
        <x:v>191.37</x:v>
      </x:c>
      <x:c r="L1494" s="37" t="str">
        <x:v>1348</x:v>
      </x:c>
      <x:c r="M1494" s="29" t="str">
        <x:v>190.55</x:v>
      </x:c>
      <x:c r="N1494" s="29" t="str">
        <x:v>137.14</x:v>
      </x:c>
      <x:c r="O1494" s="29" t="str">
        <x:v>53.41</x:v>
      </x:c>
      <x:c r="P1494" s="18" t="str">
        <x:v>2026-07-18</x:v>
      </x:c>
      <x:c r="Q1494" s="36" t="n">
        <x:v>46221</x:v>
      </x:c>
    </x:row>
    <x:row r="1495">
      <x:c r="A1495" s="36" t="str">
        <x:v>2026-07-18</x:v>
      </x:c>
      <x:c r="B1495" s="18" t="str">
        <x:v>101437000_99889</x:v>
      </x:c>
      <x:c r="C1495" s="18" t="str">
        <x:v>【沪村小电】漕泾郊野公园</x:v>
      </x:c>
      <x:c r="D1495" s="37" t="str">
        <x:v>2</x:v>
      </x:c>
      <x:c r="E1495" s="37" t="str">
        <x:v>0</x:v>
      </x:c>
      <x:c r="F1495" s="37" t="str">
        <x:v>6</x:v>
      </x:c>
      <x:c r="G1495" s="37" t="str">
        <x:v>119.70</x:v>
      </x:c>
      <x:c r="H1495" s="37" t="str">
        <x:v>0.00</x:v>
      </x:c>
      <x:c r="I1495" s="37" t="str">
        <x:v>119.70</x:v>
      </x:c>
      <x:c r="J1495" s="37" t="str">
        <x:v>0.00</x:v>
      </x:c>
      <x:c r="K1495" s="37" t="str">
        <x:v>0.00</x:v>
      </x:c>
      <x:c r="L1495" s="37" t="str">
        <x:v>150</x:v>
      </x:c>
      <x:c r="M1495" s="29" t="str">
        <x:v>164.48</x:v>
      </x:c>
      <x:c r="N1495" s="29" t="str">
        <x:v>90.97</x:v>
      </x:c>
      <x:c r="O1495" s="29" t="str">
        <x:v>73.51</x:v>
      </x:c>
      <x:c r="P1495" s="18" t="str">
        <x:v>2026-07-18</x:v>
      </x:c>
      <x:c r="Q1495" s="36" t="n">
        <x:v>46221</x:v>
      </x:c>
    </x:row>
    <x:row r="1496">
      <x:c r="A1496" s="36" t="str">
        <x:v>2026-07-18</x:v>
      </x:c>
      <x:c r="B1496" s="18" t="str">
        <x:v>101437000_99891</x:v>
      </x:c>
      <x:c r="C1496" s="18" t="str">
        <x:v>【沪村小电】水韵紫城充电站</x:v>
      </x:c>
      <x:c r="D1496" s="37" t="str">
        <x:v>4</x:v>
      </x:c>
      <x:c r="E1496" s="37" t="str">
        <x:v>0</x:v>
      </x:c>
      <x:c r="F1496" s="37" t="str">
        <x:v>34</x:v>
      </x:c>
      <x:c r="G1496" s="37" t="str">
        <x:v>909.99</x:v>
      </x:c>
      <x:c r="H1496" s="37" t="str">
        <x:v>0.00</x:v>
      </x:c>
      <x:c r="I1496" s="37" t="str">
        <x:v>631.55</x:v>
      </x:c>
      <x:c r="J1496" s="37" t="str">
        <x:v>0.00</x:v>
      </x:c>
      <x:c r="K1496" s="37" t="str">
        <x:v>278.44</x:v>
      </x:c>
      <x:c r="L1496" s="37" t="str">
        <x:v>1466</x:v>
      </x:c>
      <x:c r="M1496" s="29" t="str">
        <x:v>810.92</x:v>
      </x:c>
      <x:c r="N1496" s="29" t="str">
        <x:v>551.45</x:v>
      </x:c>
      <x:c r="O1496" s="29" t="str">
        <x:v>259.47</x:v>
      </x:c>
      <x:c r="P1496" s="18" t="str">
        <x:v>2026-07-18</x:v>
      </x:c>
      <x:c r="Q1496" s="36" t="n">
        <x:v>46221</x:v>
      </x:c>
    </x:row>
    <x:row r="1497">
      <x:c r="A1497" s="36" t="str">
        <x:v>2026-07-17</x:v>
      </x:c>
      <x:c r="B1497" s="18" t="str">
        <x:v>101437000_101531</x:v>
      </x:c>
      <x:c r="C1497" s="18" t="str">
        <x:v>【沪村小电】汇中苑充电站</x:v>
      </x:c>
      <x:c r="D1497" s="37" t="str">
        <x:v>2</x:v>
      </x:c>
      <x:c r="E1497" s="37" t="str">
        <x:v>0</x:v>
      </x:c>
      <x:c r="F1497" s="37" t="str">
        <x:v>10</x:v>
      </x:c>
      <x:c r="G1497" s="37" t="str">
        <x:v>239.93</x:v>
      </x:c>
      <x:c r="H1497" s="37" t="str">
        <x:v>0.00</x:v>
      </x:c>
      <x:c r="I1497" s="37" t="str">
        <x:v>0.00</x:v>
      </x:c>
      <x:c r="J1497" s="37" t="str">
        <x:v>233.94</x:v>
      </x:c>
      <x:c r="K1497" s="37" t="str">
        <x:v>5.99</x:v>
      </x:c>
      <x:c r="L1497" s="37" t="str">
        <x:v>435</x:v>
      </x:c>
      <x:c r="M1497" s="29" t="str">
        <x:v>225.93</x:v>
      </x:c>
      <x:c r="N1497" s="29" t="str">
        <x:v>166.16</x:v>
      </x:c>
      <x:c r="O1497" s="29" t="str">
        <x:v>59.77</x:v>
      </x:c>
      <x:c r="P1497" s="18" t="str">
        <x:v>2026-07-17</x:v>
      </x:c>
      <x:c r="Q1497" s="36" t="n">
        <x:v>46220</x:v>
      </x:c>
    </x:row>
    <x:row r="1498">
      <x:c r="A1498" s="36" t="str">
        <x:v>2026-07-17</x:v>
      </x:c>
      <x:c r="B1498" s="18" t="str">
        <x:v>101437000_103503</x:v>
      </x:c>
      <x:c r="C1498" s="18" t="str">
        <x:v>【沪村小电】阳光城新界充电站</x:v>
      </x:c>
      <x:c r="D1498" s="37" t="str">
        <x:v>4</x:v>
      </x:c>
      <x:c r="E1498" s="37" t="str">
        <x:v>0</x:v>
      </x:c>
      <x:c r="F1498" s="37" t="str">
        <x:v>27</x:v>
      </x:c>
      <x:c r="G1498" s="37" t="str">
        <x:v>566.05</x:v>
      </x:c>
      <x:c r="H1498" s="37" t="str">
        <x:v>0.00</x:v>
      </x:c>
      <x:c r="I1498" s="37" t="str">
        <x:v>547.50</x:v>
      </x:c>
      <x:c r="J1498" s="37" t="str">
        <x:v>0.00</x:v>
      </x:c>
      <x:c r="K1498" s="37" t="str">
        <x:v>18.54</x:v>
      </x:c>
      <x:c r="L1498" s="37" t="str">
        <x:v>882</x:v>
      </x:c>
      <x:c r="M1498" s="29" t="str">
        <x:v>613.25</x:v>
      </x:c>
      <x:c r="N1498" s="29" t="str">
        <x:v>468.64</x:v>
      </x:c>
      <x:c r="O1498" s="29" t="str">
        <x:v>144.61</x:v>
      </x:c>
      <x:c r="P1498" s="18" t="str">
        <x:v>2026-07-17</x:v>
      </x:c>
      <x:c r="Q1498" s="36" t="n">
        <x:v>46220</x:v>
      </x:c>
    </x:row>
    <x:row r="1499">
      <x:c r="A1499" s="36" t="str">
        <x:v>2026-07-17</x:v>
      </x:c>
      <x:c r="B1499" s="18" t="str">
        <x:v>101437000_41561</x:v>
      </x:c>
      <x:c r="C1499" s="18" t="str">
        <x:v>【沪村小电】张施小区大门处快充站</x:v>
      </x:c>
      <x:c r="D1499" s="37" t="str">
        <x:v>2</x:v>
      </x:c>
      <x:c r="E1499" s="37" t="str">
        <x:v>0</x:v>
      </x:c>
      <x:c r="F1499" s="37" t="str">
        <x:v>47</x:v>
      </x:c>
      <x:c r="G1499" s="37" t="str">
        <x:v>1312.30</x:v>
      </x:c>
      <x:c r="H1499" s="37" t="str">
        <x:v>0.00</x:v>
      </x:c>
      <x:c r="I1499" s="37" t="str">
        <x:v>563.19</x:v>
      </x:c>
      <x:c r="J1499" s="37" t="str">
        <x:v>0.00</x:v>
      </x:c>
      <x:c r="K1499" s="37" t="str">
        <x:v>749.11</x:v>
      </x:c>
      <x:c r="L1499" s="37" t="str">
        <x:v>2370</x:v>
      </x:c>
      <x:c r="M1499" s="29" t="str">
        <x:v>950.42</x:v>
      </x:c>
      <x:c r="N1499" s="29" t="str">
        <x:v>677.06</x:v>
      </x:c>
      <x:c r="O1499" s="29" t="str">
        <x:v>273.36</x:v>
      </x:c>
      <x:c r="P1499" s="18" t="str">
        <x:v>2026-07-17</x:v>
      </x:c>
      <x:c r="Q1499" s="36" t="n">
        <x:v>46220</x:v>
      </x:c>
    </x:row>
    <x:row r="1500">
      <x:c r="A1500" s="36" t="str">
        <x:v>2026-07-17</x:v>
      </x:c>
      <x:c r="B1500" s="18" t="str">
        <x:v>101437000_41563</x:v>
      </x:c>
      <x:c r="C1500" s="18" t="str">
        <x:v>【沪村小电】同心村快充站</x:v>
      </x:c>
      <x:c r="D1500" s="37" t="str">
        <x:v>4</x:v>
      </x:c>
      <x:c r="E1500" s="37" t="str">
        <x:v>0</x:v>
      </x:c>
      <x:c r="F1500" s="37" t="str">
        <x:v>65</x:v>
      </x:c>
      <x:c r="G1500" s="37" t="str">
        <x:v>1601.11</x:v>
      </x:c>
      <x:c r="H1500" s="37" t="str">
        <x:v>0.00</x:v>
      </x:c>
      <x:c r="I1500" s="37" t="str">
        <x:v>1064.08</x:v>
      </x:c>
      <x:c r="J1500" s="37" t="str">
        <x:v>0.00</x:v>
      </x:c>
      <x:c r="K1500" s="37" t="str">
        <x:v>537.03</x:v>
      </x:c>
      <x:c r="L1500" s="37" t="str">
        <x:v>2913</x:v>
      </x:c>
      <x:c r="M1500" s="29" t="str">
        <x:v>1502.61</x:v>
      </x:c>
      <x:c r="N1500" s="29" t="str">
        <x:v>954.17</x:v>
      </x:c>
      <x:c r="O1500" s="29" t="str">
        <x:v>548.44</x:v>
      </x:c>
      <x:c r="P1500" s="18" t="str">
        <x:v>2026-07-17</x:v>
      </x:c>
      <x:c r="Q1500" s="36" t="n">
        <x:v>46220</x:v>
      </x:c>
    </x:row>
    <x:row r="1501">
      <x:c r="A1501" s="36" t="str">
        <x:v>2026-07-17</x:v>
      </x:c>
      <x:c r="B1501" s="18" t="str">
        <x:v>101437000_69629</x:v>
      </x:c>
      <x:c r="C1501" s="18" t="str">
        <x:v>【沪村小电】骏丰玲珑坊西苑充电站</x:v>
      </x:c>
      <x:c r="D1501" s="37" t="str">
        <x:v>2</x:v>
      </x:c>
      <x:c r="E1501" s="37" t="str">
        <x:v>0</x:v>
      </x:c>
      <x:c r="F1501" s="37" t="str">
        <x:v>84</x:v>
      </x:c>
      <x:c r="G1501" s="37" t="str">
        <x:v>1877.92</x:v>
      </x:c>
      <x:c r="H1501" s="37" t="str">
        <x:v>0.00</x:v>
      </x:c>
      <x:c r="I1501" s="37" t="str">
        <x:v>1021.73</x:v>
      </x:c>
      <x:c r="J1501" s="37" t="str">
        <x:v>0.00</x:v>
      </x:c>
      <x:c r="K1501" s="37" t="str">
        <x:v>856.20</x:v>
      </x:c>
      <x:c r="L1501" s="37" t="str">
        <x:v>3404</x:v>
      </x:c>
      <x:c r="M1501" s="29" t="str">
        <x:v>1558.56</x:v>
      </x:c>
      <x:c r="N1501" s="29" t="str">
        <x:v>1042.23</x:v>
      </x:c>
      <x:c r="O1501" s="29" t="str">
        <x:v>516.33</x:v>
      </x:c>
      <x:c r="P1501" s="18" t="str">
        <x:v>2026-07-17</x:v>
      </x:c>
      <x:c r="Q1501" s="36" t="n">
        <x:v>46220</x:v>
      </x:c>
    </x:row>
    <x:row r="1502">
      <x:c r="A1502" s="36" t="str">
        <x:v>2026-07-17</x:v>
      </x:c>
      <x:c r="B1502" s="18" t="str">
        <x:v>101437000_70547</x:v>
      </x:c>
      <x:c r="C1502" s="18" t="str">
        <x:v>【沪村小电】农建村初心馆党群服务中心充电站</x:v>
      </x:c>
      <x:c r="D1502" s="37" t="str">
        <x:v>4</x:v>
      </x:c>
      <x:c r="E1502" s="37" t="str">
        <x:v>0</x:v>
      </x:c>
      <x:c r="F1502" s="37" t="str">
        <x:v>36</x:v>
      </x:c>
      <x:c r="G1502" s="37" t="str">
        <x:v>857.84</x:v>
      </x:c>
      <x:c r="H1502" s="37" t="str">
        <x:v>0.00</x:v>
      </x:c>
      <x:c r="I1502" s="37" t="str">
        <x:v>542.77</x:v>
      </x:c>
      <x:c r="J1502" s="37" t="str">
        <x:v>0.00</x:v>
      </x:c>
      <x:c r="K1502" s="37" t="str">
        <x:v>315.07</x:v>
      </x:c>
      <x:c r="L1502" s="37" t="str">
        <x:v>1422</x:v>
      </x:c>
      <x:c r="M1502" s="29" t="str">
        <x:v>761.78</x:v>
      </x:c>
      <x:c r="N1502" s="29" t="str">
        <x:v>501.91</x:v>
      </x:c>
      <x:c r="O1502" s="29" t="str">
        <x:v>259.87</x:v>
      </x:c>
      <x:c r="P1502" s="18" t="str">
        <x:v>2026-07-17</x:v>
      </x:c>
      <x:c r="Q1502" s="36" t="n">
        <x:v>46220</x:v>
      </x:c>
    </x:row>
    <x:row r="1503">
      <x:c r="A1503" s="36" t="str">
        <x:v>2026-07-17</x:v>
      </x:c>
      <x:c r="B1503" s="18" t="str">
        <x:v>101437000_70549</x:v>
      </x:c>
      <x:c r="C1503" s="18" t="str">
        <x:v>【沪村小电】学府路充电站</x:v>
      </x:c>
      <x:c r="D1503" s="37" t="str">
        <x:v>2</x:v>
      </x:c>
      <x:c r="E1503" s="37" t="str">
        <x:v>0</x:v>
      </x:c>
      <x:c r="F1503" s="37" t="str">
        <x:v>17</x:v>
      </x:c>
      <x:c r="G1503" s="37" t="str">
        <x:v>360.42</x:v>
      </x:c>
      <x:c r="H1503" s="37" t="str">
        <x:v>0.00</x:v>
      </x:c>
      <x:c r="I1503" s="37" t="str">
        <x:v>242.69</x:v>
      </x:c>
      <x:c r="J1503" s="37" t="str">
        <x:v>0.00</x:v>
      </x:c>
      <x:c r="K1503" s="37" t="str">
        <x:v>117.73</x:v>
      </x:c>
      <x:c r="L1503" s="37" t="str">
        <x:v>612</x:v>
      </x:c>
      <x:c r="M1503" s="29" t="str">
        <x:v>372.41</x:v>
      </x:c>
      <x:c r="N1503" s="29" t="str">
        <x:v>215.89</x:v>
      </x:c>
      <x:c r="O1503" s="29" t="str">
        <x:v>156.52</x:v>
      </x:c>
      <x:c r="P1503" s="18" t="str">
        <x:v>2026-07-17</x:v>
      </x:c>
      <x:c r="Q1503" s="36" t="n">
        <x:v>46220</x:v>
      </x:c>
    </x:row>
    <x:row r="1504">
      <x:c r="A1504" s="36" t="str">
        <x:v>2026-07-17</x:v>
      </x:c>
      <x:c r="B1504" s="18" t="str">
        <x:v>101437000_71059</x:v>
      </x:c>
      <x:c r="C1504" s="18" t="str">
        <x:v>【沪村小电】宝乐汇商业广场站</x:v>
      </x:c>
      <x:c r="D1504" s="37" t="str">
        <x:v>4</x:v>
      </x:c>
      <x:c r="E1504" s="37" t="str">
        <x:v>0</x:v>
      </x:c>
      <x:c r="F1504" s="37" t="str">
        <x:v>21</x:v>
      </x:c>
      <x:c r="G1504" s="37" t="str">
        <x:v>536.96</x:v>
      </x:c>
      <x:c r="H1504" s="37" t="str">
        <x:v>0.00</x:v>
      </x:c>
      <x:c r="I1504" s="37" t="str">
        <x:v>267.87</x:v>
      </x:c>
      <x:c r="J1504" s="37" t="str">
        <x:v>0.00</x:v>
      </x:c>
      <x:c r="K1504" s="37" t="str">
        <x:v>269.09</x:v>
      </x:c>
      <x:c r="L1504" s="37" t="str">
        <x:v>860</x:v>
      </x:c>
      <x:c r="M1504" s="29" t="str">
        <x:v>498.31</x:v>
      </x:c>
      <x:c r="N1504" s="29" t="str">
        <x:v>364.86</x:v>
      </x:c>
      <x:c r="O1504" s="29" t="str">
        <x:v>133.45</x:v>
      </x:c>
      <x:c r="P1504" s="18" t="str">
        <x:v>2026-07-17</x:v>
      </x:c>
      <x:c r="Q1504" s="36" t="n">
        <x:v>46220</x:v>
      </x:c>
    </x:row>
    <x:row r="1505">
      <x:c r="A1505" s="36" t="str">
        <x:v>2026-07-17</x:v>
      </x:c>
      <x:c r="B1505" s="18" t="str">
        <x:v>101437000_72541</x:v>
      </x:c>
      <x:c r="C1505" s="18" t="str">
        <x:v>【沪村小电】九干路1174弄充电站</x:v>
      </x:c>
      <x:c r="D1505" s="37" t="str">
        <x:v>2</x:v>
      </x:c>
      <x:c r="E1505" s="37" t="str">
        <x:v>0</x:v>
      </x:c>
      <x:c r="F1505" s="37" t="str">
        <x:v>51</x:v>
      </x:c>
      <x:c r="G1505" s="37" t="str">
        <x:v>1124.42</x:v>
      </x:c>
      <x:c r="H1505" s="37" t="str">
        <x:v>0.00</x:v>
      </x:c>
      <x:c r="I1505" s="37" t="str">
        <x:v>667.43</x:v>
      </x:c>
      <x:c r="J1505" s="37" t="str">
        <x:v>0.00</x:v>
      </x:c>
      <x:c r="K1505" s="37" t="str">
        <x:v>457.00</x:v>
      </x:c>
      <x:c r="L1505" s="37" t="str">
        <x:v>1838</x:v>
      </x:c>
      <x:c r="M1505" s="29" t="str">
        <x:v>936.33</x:v>
      </x:c>
      <x:c r="N1505" s="29" t="str">
        <x:v>642.94</x:v>
      </x:c>
      <x:c r="O1505" s="29" t="str">
        <x:v>293.39</x:v>
      </x:c>
      <x:c r="P1505" s="18" t="str">
        <x:v>2026-07-17</x:v>
      </x:c>
      <x:c r="Q1505" s="36" t="n">
        <x:v>46220</x:v>
      </x:c>
    </x:row>
    <x:row r="1506">
      <x:c r="A1506" s="36" t="str">
        <x:v>2026-07-17</x:v>
      </x:c>
      <x:c r="B1506" s="18" t="str">
        <x:v>101437000_72543</x:v>
      </x:c>
      <x:c r="C1506" s="18" t="str">
        <x:v>【沪村小电】叶家中心村小区充电站</x:v>
      </x:c>
      <x:c r="D1506" s="37" t="str">
        <x:v>2</x:v>
      </x:c>
      <x:c r="E1506" s="37" t="str">
        <x:v>0</x:v>
      </x:c>
      <x:c r="F1506" s="37" t="str">
        <x:v>50</x:v>
      </x:c>
      <x:c r="G1506" s="37" t="str">
        <x:v>1189.12</x:v>
      </x:c>
      <x:c r="H1506" s="37" t="str">
        <x:v>0.00</x:v>
      </x:c>
      <x:c r="I1506" s="37" t="str">
        <x:v>574.60</x:v>
      </x:c>
      <x:c r="J1506" s="37" t="str">
        <x:v>0.00</x:v>
      </x:c>
      <x:c r="K1506" s="37" t="str">
        <x:v>614.51</x:v>
      </x:c>
      <x:c r="L1506" s="37" t="str">
        <x:v>2177</x:v>
      </x:c>
      <x:c r="M1506" s="29" t="str">
        <x:v>931.97</x:v>
      </x:c>
      <x:c r="N1506" s="29" t="str">
        <x:v>635.33</x:v>
      </x:c>
      <x:c r="O1506" s="29" t="str">
        <x:v>296.64</x:v>
      </x:c>
      <x:c r="P1506" s="18" t="str">
        <x:v>2026-07-17</x:v>
      </x:c>
      <x:c r="Q1506" s="36" t="n">
        <x:v>46220</x:v>
      </x:c>
    </x:row>
    <x:row r="1507">
      <x:c r="A1507" s="36" t="str">
        <x:v>2026-07-17</x:v>
      </x:c>
      <x:c r="B1507" s="18" t="str">
        <x:v>101437000_72937</x:v>
      </x:c>
      <x:c r="C1507" s="18" t="str">
        <x:v>【沪村小电】佘北家园茸腾苑充电站</x:v>
      </x:c>
      <x:c r="D1507" s="37" t="str">
        <x:v>4</x:v>
      </x:c>
      <x:c r="E1507" s="37" t="str">
        <x:v>0</x:v>
      </x:c>
      <x:c r="F1507" s="37" t="str">
        <x:v>23</x:v>
      </x:c>
      <x:c r="G1507" s="37" t="str">
        <x:v>522.39</x:v>
      </x:c>
      <x:c r="H1507" s="37" t="str">
        <x:v>0.00</x:v>
      </x:c>
      <x:c r="I1507" s="37" t="str">
        <x:v>522.39</x:v>
      </x:c>
      <x:c r="J1507" s="37" t="str">
        <x:v>0.00</x:v>
      </x:c>
      <x:c r="K1507" s="37" t="str">
        <x:v>0.00</x:v>
      </x:c>
      <x:c r="L1507" s="37" t="str">
        <x:v>1198</x:v>
      </x:c>
      <x:c r="M1507" s="29" t="str">
        <x:v>556.65</x:v>
      </x:c>
      <x:c r="N1507" s="29" t="str">
        <x:v>370.89</x:v>
      </x:c>
      <x:c r="O1507" s="29" t="str">
        <x:v>185.76</x:v>
      </x:c>
      <x:c r="P1507" s="18" t="str">
        <x:v>2026-07-17</x:v>
      </x:c>
      <x:c r="Q1507" s="36" t="n">
        <x:v>46220</x:v>
      </x:c>
    </x:row>
    <x:row r="1508">
      <x:c r="A1508" s="36" t="str">
        <x:v>2026-07-17</x:v>
      </x:c>
      <x:c r="B1508" s="18" t="str">
        <x:v>101437000_74223</x:v>
      </x:c>
      <x:c r="C1508" s="18" t="str">
        <x:v>【沪村小电】中兴村委会充电站</x:v>
      </x:c>
      <x:c r="D1508" s="37" t="str">
        <x:v>2</x:v>
      </x:c>
      <x:c r="E1508" s="37" t="str">
        <x:v>0</x:v>
      </x:c>
      <x:c r="F1508" s="37" t="str">
        <x:v>31</x:v>
      </x:c>
      <x:c r="G1508" s="37" t="str">
        <x:v>817.50</x:v>
      </x:c>
      <x:c r="H1508" s="37" t="str">
        <x:v>0.00</x:v>
      </x:c>
      <x:c r="I1508" s="37" t="str">
        <x:v>386.09</x:v>
      </x:c>
      <x:c r="J1508" s="37" t="str">
        <x:v>0.00</x:v>
      </x:c>
      <x:c r="K1508" s="37" t="str">
        <x:v>431.41</x:v>
      </x:c>
      <x:c r="L1508" s="37" t="str">
        <x:v>1268</x:v>
      </x:c>
      <x:c r="M1508" s="29" t="str">
        <x:v>680.90</x:v>
      </x:c>
      <x:c r="N1508" s="29" t="str">
        <x:v>433.74</x:v>
      </x:c>
      <x:c r="O1508" s="29" t="str">
        <x:v>247.16</x:v>
      </x:c>
      <x:c r="P1508" s="18" t="str">
        <x:v>2026-07-17</x:v>
      </x:c>
      <x:c r="Q1508" s="36" t="n">
        <x:v>46220</x:v>
      </x:c>
    </x:row>
    <x:row r="1509">
      <x:c r="A1509" s="36" t="str">
        <x:v>2026-07-17</x:v>
      </x:c>
      <x:c r="B1509" s="18" t="str">
        <x:v>101437000_74801</x:v>
      </x:c>
      <x:c r="C1509" s="18" t="str">
        <x:v>【沪村小电】申良花园充电站</x:v>
      </x:c>
      <x:c r="D1509" s="37" t="str">
        <x:v>4</x:v>
      </x:c>
      <x:c r="E1509" s="37" t="str">
        <x:v>0</x:v>
      </x:c>
      <x:c r="F1509" s="37" t="str">
        <x:v>22</x:v>
      </x:c>
      <x:c r="G1509" s="37" t="str">
        <x:v>484.88</x:v>
      </x:c>
      <x:c r="H1509" s="37" t="str">
        <x:v>0.00</x:v>
      </x:c>
      <x:c r="I1509" s="37" t="str">
        <x:v>466.42</x:v>
      </x:c>
      <x:c r="J1509" s="37" t="str">
        <x:v>0.00</x:v>
      </x:c>
      <x:c r="K1509" s="37" t="str">
        <x:v>18.46</x:v>
      </x:c>
      <x:c r="L1509" s="37" t="str">
        <x:v>622</x:v>
      </x:c>
      <x:c r="M1509" s="29" t="str">
        <x:v>508.20</x:v>
      </x:c>
      <x:c r="N1509" s="29" t="str">
        <x:v>337.96</x:v>
      </x:c>
      <x:c r="O1509" s="29" t="str">
        <x:v>170.24</x:v>
      </x:c>
      <x:c r="P1509" s="18" t="str">
        <x:v>2026-07-17</x:v>
      </x:c>
      <x:c r="Q1509" s="36" t="n">
        <x:v>46220</x:v>
      </x:c>
    </x:row>
    <x:row r="1510">
      <x:c r="A1510" s="36" t="str">
        <x:v>2026-07-17</x:v>
      </x:c>
      <x:c r="B1510" s="18" t="str">
        <x:v>101437000_74931</x:v>
      </x:c>
      <x:c r="C1510" s="18" t="str">
        <x:v>【沪村小电】枫雅南居充电站</x:v>
      </x:c>
      <x:c r="D1510" s="37" t="str">
        <x:v>2</x:v>
      </x:c>
      <x:c r="E1510" s="37" t="str">
        <x:v>0</x:v>
      </x:c>
      <x:c r="F1510" s="37" t="str">
        <x:v>61</x:v>
      </x:c>
      <x:c r="G1510" s="37" t="str">
        <x:v>1730.03</x:v>
      </x:c>
      <x:c r="H1510" s="37" t="str">
        <x:v>0.00</x:v>
      </x:c>
      <x:c r="I1510" s="37" t="str">
        <x:v>822.83</x:v>
      </x:c>
      <x:c r="J1510" s="37" t="str">
        <x:v>0.00</x:v>
      </x:c>
      <x:c r="K1510" s="37" t="str">
        <x:v>907.21</x:v>
      </x:c>
      <x:c r="L1510" s="37" t="str">
        <x:v>2576</x:v>
      </x:c>
      <x:c r="M1510" s="29" t="str">
        <x:v>1195.34</x:v>
      </x:c>
      <x:c r="N1510" s="29" t="str">
        <x:v>766.71</x:v>
      </x:c>
      <x:c r="O1510" s="29" t="str">
        <x:v>428.63</x:v>
      </x:c>
      <x:c r="P1510" s="18" t="str">
        <x:v>2026-07-17</x:v>
      </x:c>
      <x:c r="Q1510" s="36" t="n">
        <x:v>46220</x:v>
      </x:c>
    </x:row>
    <x:row r="1511">
      <x:c r="A1511" s="36" t="str">
        <x:v>2026-07-17</x:v>
      </x:c>
      <x:c r="B1511" s="18" t="str">
        <x:v>101437000_75901</x:v>
      </x:c>
      <x:c r="C1511" s="18" t="str">
        <x:v>【沪村小电】金悦学府</x:v>
      </x:c>
      <x:c r="D1511" s="37" t="str">
        <x:v>2</x:v>
      </x:c>
      <x:c r="E1511" s="37" t="str">
        <x:v>0</x:v>
      </x:c>
      <x:c r="F1511" s="37" t="str">
        <x:v>66</x:v>
      </x:c>
      <x:c r="G1511" s="37" t="str">
        <x:v>1614.77</x:v>
      </x:c>
      <x:c r="H1511" s="37" t="str">
        <x:v>0.00</x:v>
      </x:c>
      <x:c r="I1511" s="37" t="str">
        <x:v>919.66</x:v>
      </x:c>
      <x:c r="J1511" s="37" t="str">
        <x:v>0.00</x:v>
      </x:c>
      <x:c r="K1511" s="37" t="str">
        <x:v>695.11</x:v>
      </x:c>
      <x:c r="L1511" s="37" t="str">
        <x:v>2506</x:v>
      </x:c>
      <x:c r="M1511" s="29" t="str">
        <x:v>1262.44</x:v>
      </x:c>
      <x:c r="N1511" s="29" t="str">
        <x:v>758.05</x:v>
      </x:c>
      <x:c r="O1511" s="29" t="str">
        <x:v>504.39</x:v>
      </x:c>
      <x:c r="P1511" s="18" t="str">
        <x:v>2026-07-17</x:v>
      </x:c>
      <x:c r="Q1511" s="36" t="n">
        <x:v>46220</x:v>
      </x:c>
    </x:row>
    <x:row r="1512">
      <x:c r="A1512" s="36" t="str">
        <x:v>2026-07-17</x:v>
      </x:c>
      <x:c r="B1512" s="18" t="str">
        <x:v>101437000_76091</x:v>
      </x:c>
      <x:c r="C1512" s="18" t="str">
        <x:v>【沪村小电】恒信家园充电站</x:v>
      </x:c>
      <x:c r="D1512" s="37" t="str">
        <x:v>2</x:v>
      </x:c>
      <x:c r="E1512" s="37" t="str">
        <x:v>0</x:v>
      </x:c>
      <x:c r="F1512" s="37" t="str">
        <x:v>49</x:v>
      </x:c>
      <x:c r="G1512" s="37" t="str">
        <x:v>1241.26</x:v>
      </x:c>
      <x:c r="H1512" s="37" t="str">
        <x:v>0.00</x:v>
      </x:c>
      <x:c r="I1512" s="37" t="str">
        <x:v>817.19</x:v>
      </x:c>
      <x:c r="J1512" s="37" t="str">
        <x:v>0.00</x:v>
      </x:c>
      <x:c r="K1512" s="37" t="str">
        <x:v>424.07</x:v>
      </x:c>
      <x:c r="L1512" s="37" t="str">
        <x:v>1859</x:v>
      </x:c>
      <x:c r="M1512" s="29" t="str">
        <x:v>1255.14</x:v>
      </x:c>
      <x:c r="N1512" s="29" t="str">
        <x:v>737.15</x:v>
      </x:c>
      <x:c r="O1512" s="29" t="str">
        <x:v>517.99</x:v>
      </x:c>
      <x:c r="P1512" s="18" t="str">
        <x:v>2026-07-17</x:v>
      </x:c>
      <x:c r="Q1512" s="36" t="n">
        <x:v>46220</x:v>
      </x:c>
    </x:row>
    <x:row r="1513">
      <x:c r="A1513" s="36" t="str">
        <x:v>2026-07-17</x:v>
      </x:c>
      <x:c r="B1513" s="18" t="str">
        <x:v>101437000_76417</x:v>
      </x:c>
      <x:c r="C1513" s="18" t="str">
        <x:v>【沪村小电】新春一组充电站</x:v>
      </x:c>
      <x:c r="D1513" s="37" t="str">
        <x:v>2</x:v>
      </x:c>
      <x:c r="E1513" s="37" t="str">
        <x:v>0</x:v>
      </x:c>
      <x:c r="F1513" s="37" t="str">
        <x:v>19</x:v>
      </x:c>
      <x:c r="G1513" s="37" t="str">
        <x:v>641.88</x:v>
      </x:c>
      <x:c r="H1513" s="37" t="str">
        <x:v>0.00</x:v>
      </x:c>
      <x:c r="I1513" s="37" t="str">
        <x:v>159.16</x:v>
      </x:c>
      <x:c r="J1513" s="37" t="str">
        <x:v>0.00</x:v>
      </x:c>
      <x:c r="K1513" s="37" t="str">
        <x:v>482.72</x:v>
      </x:c>
      <x:c r="L1513" s="37" t="str">
        <x:v>1000</x:v>
      </x:c>
      <x:c r="M1513" s="29" t="str">
        <x:v>439.87</x:v>
      </x:c>
      <x:c r="N1513" s="29" t="str">
        <x:v>291.63</x:v>
      </x:c>
      <x:c r="O1513" s="29" t="str">
        <x:v>148.24</x:v>
      </x:c>
      <x:c r="P1513" s="18" t="str">
        <x:v>2026-07-17</x:v>
      </x:c>
      <x:c r="Q1513" s="36" t="n">
        <x:v>46220</x:v>
      </x:c>
    </x:row>
    <x:row r="1514">
      <x:c r="A1514" s="36" t="str">
        <x:v>2026-07-17</x:v>
      </x:c>
      <x:c r="B1514" s="18" t="str">
        <x:v>101437000_78235</x:v>
      </x:c>
      <x:c r="C1514" s="18" t="str">
        <x:v>【沪村小电】欣秋苑充电站</x:v>
      </x:c>
      <x:c r="D1514" s="37" t="str">
        <x:v>4</x:v>
      </x:c>
      <x:c r="E1514" s="37" t="str">
        <x:v>0</x:v>
      </x:c>
      <x:c r="F1514" s="37" t="str">
        <x:v>19</x:v>
      </x:c>
      <x:c r="G1514" s="37" t="str">
        <x:v>447.28</x:v>
      </x:c>
      <x:c r="H1514" s="37" t="str">
        <x:v>0.00</x:v>
      </x:c>
      <x:c r="I1514" s="37" t="str">
        <x:v>313.61</x:v>
      </x:c>
      <x:c r="J1514" s="37" t="str">
        <x:v>0.00</x:v>
      </x:c>
      <x:c r="K1514" s="37" t="str">
        <x:v>133.66</x:v>
      </x:c>
      <x:c r="L1514" s="37" t="str">
        <x:v>660</x:v>
      </x:c>
      <x:c r="M1514" s="29" t="str">
        <x:v>372.64</x:v>
      </x:c>
      <x:c r="N1514" s="29" t="str">
        <x:v>272.15</x:v>
      </x:c>
      <x:c r="O1514" s="29" t="str">
        <x:v>100.49</x:v>
      </x:c>
      <x:c r="P1514" s="18" t="str">
        <x:v>2026-07-17</x:v>
      </x:c>
      <x:c r="Q1514" s="36" t="n">
        <x:v>46220</x:v>
      </x:c>
    </x:row>
    <x:row r="1515">
      <x:c r="A1515" s="36" t="str">
        <x:v>2026-07-17</x:v>
      </x:c>
      <x:c r="B1515" s="18" t="str">
        <x:v>101437000_78237</x:v>
      </x:c>
      <x:c r="C1515" s="18" t="str">
        <x:v>【沪村小电】奉馨苑西门小区内北侧充电站</x:v>
      </x:c>
      <x:c r="D1515" s="37" t="str">
        <x:v>2</x:v>
      </x:c>
      <x:c r="E1515" s="37" t="str">
        <x:v>0</x:v>
      </x:c>
      <x:c r="F1515" s="37" t="str">
        <x:v>45</x:v>
      </x:c>
      <x:c r="G1515" s="37" t="str">
        <x:v>1256.06</x:v>
      </x:c>
      <x:c r="H1515" s="37" t="str">
        <x:v>53.23</x:v>
      </x:c>
      <x:c r="I1515" s="37" t="str">
        <x:v>63.00</x:v>
      </x:c>
      <x:c r="J1515" s="37" t="str">
        <x:v>392.83</x:v>
      </x:c>
      <x:c r="K1515" s="37" t="str">
        <x:v>747.00</x:v>
      </x:c>
      <x:c r="L1515" s="37" t="str">
        <x:v>1890</x:v>
      </x:c>
      <x:c r="M1515" s="29" t="str">
        <x:v>965.91</x:v>
      </x:c>
      <x:c r="N1515" s="29" t="str">
        <x:v>712.74</x:v>
      </x:c>
      <x:c r="O1515" s="29" t="str">
        <x:v>253.17</x:v>
      </x:c>
      <x:c r="P1515" s="18" t="str">
        <x:v>2026-07-17</x:v>
      </x:c>
      <x:c r="Q1515" s="36" t="n">
        <x:v>46220</x:v>
      </x:c>
    </x:row>
    <x:row r="1516">
      <x:c r="A1516" s="36" t="str">
        <x:v>2026-07-17</x:v>
      </x:c>
      <x:c r="B1516" s="18" t="str">
        <x:v>101437000_78239</x:v>
      </x:c>
      <x:c r="C1516" s="18" t="str">
        <x:v>【沪村小电】恒大佘山首府东门充电站</x:v>
      </x:c>
      <x:c r="D1516" s="37" t="str">
        <x:v>2</x:v>
      </x:c>
      <x:c r="E1516" s="37" t="str">
        <x:v>0</x:v>
      </x:c>
      <x:c r="F1516" s="37" t="str">
        <x:v>48</x:v>
      </x:c>
      <x:c r="G1516" s="37" t="str">
        <x:v>1164.11</x:v>
      </x:c>
      <x:c r="H1516" s="37" t="str">
        <x:v>0.00</x:v>
      </x:c>
      <x:c r="I1516" s="37" t="str">
        <x:v>649.67</x:v>
      </x:c>
      <x:c r="J1516" s="37" t="str">
        <x:v>0.00</x:v>
      </x:c>
      <x:c r="K1516" s="37" t="str">
        <x:v>514.44</x:v>
      </x:c>
      <x:c r="L1516" s="37" t="str">
        <x:v>2957</x:v>
      </x:c>
      <x:c r="M1516" s="29" t="str">
        <x:v>991.53</x:v>
      </x:c>
      <x:c r="N1516" s="29" t="str">
        <x:v>651.59</x:v>
      </x:c>
      <x:c r="O1516" s="29" t="str">
        <x:v>339.94</x:v>
      </x:c>
      <x:c r="P1516" s="18" t="str">
        <x:v>2026-07-17</x:v>
      </x:c>
      <x:c r="Q1516" s="36" t="n">
        <x:v>46220</x:v>
      </x:c>
    </x:row>
    <x:row r="1517">
      <x:c r="A1517" s="36" t="str">
        <x:v>2026-07-17</x:v>
      </x:c>
      <x:c r="B1517" s="18" t="str">
        <x:v>101437000_80823</x:v>
      </x:c>
      <x:c r="C1517" s="18" t="str">
        <x:v>【沪村小电】上湖轩充电站</x:v>
      </x:c>
      <x:c r="D1517" s="37" t="str">
        <x:v>2</x:v>
      </x:c>
      <x:c r="E1517" s="37" t="str">
        <x:v>0</x:v>
      </x:c>
      <x:c r="F1517" s="37" t="str">
        <x:v>16</x:v>
      </x:c>
      <x:c r="G1517" s="37" t="str">
        <x:v>377.79</x:v>
      </x:c>
      <x:c r="H1517" s="37" t="str">
        <x:v>47.39</x:v>
      </x:c>
      <x:c r="I1517" s="37" t="str">
        <x:v>40.68</x:v>
      </x:c>
      <x:c r="J1517" s="37" t="str">
        <x:v>102.78</x:v>
      </x:c>
      <x:c r="K1517" s="37" t="str">
        <x:v>186.94</x:v>
      </x:c>
      <x:c r="L1517" s="37" t="str">
        <x:v>539</x:v>
      </x:c>
      <x:c r="M1517" s="29" t="str">
        <x:v>326.88</x:v>
      </x:c>
      <x:c r="N1517" s="29" t="str">
        <x:v>294.45</x:v>
      </x:c>
      <x:c r="O1517" s="29" t="str">
        <x:v>32.43</x:v>
      </x:c>
      <x:c r="P1517" s="18" t="str">
        <x:v>2026-07-17</x:v>
      </x:c>
      <x:c r="Q1517" s="36" t="n">
        <x:v>46220</x:v>
      </x:c>
    </x:row>
    <x:row r="1518">
      <x:c r="A1518" s="36" t="str">
        <x:v>2026-07-17</x:v>
      </x:c>
      <x:c r="B1518" s="18" t="str">
        <x:v>101437000_83019</x:v>
      </x:c>
      <x:c r="C1518" s="18" t="str">
        <x:v>【沪村小电】首创禧瑞云启东区充电站</x:v>
      </x:c>
      <x:c r="D1518" s="37" t="str">
        <x:v>2</x:v>
      </x:c>
      <x:c r="E1518" s="37" t="str">
        <x:v>0</x:v>
      </x:c>
      <x:c r="F1518" s="37" t="str">
        <x:v>36</x:v>
      </x:c>
      <x:c r="G1518" s="37" t="str">
        <x:v>869.33</x:v>
      </x:c>
      <x:c r="H1518" s="37" t="str">
        <x:v>0.00</x:v>
      </x:c>
      <x:c r="I1518" s="37" t="str">
        <x:v>744.32</x:v>
      </x:c>
      <x:c r="J1518" s="37" t="str">
        <x:v>0.00</x:v>
      </x:c>
      <x:c r="K1518" s="37" t="str">
        <x:v>125.01</x:v>
      </x:c>
      <x:c r="L1518" s="37" t="str">
        <x:v>1014</x:v>
      </x:c>
      <x:c r="M1518" s="29" t="str">
        <x:v>899.09</x:v>
      </x:c>
      <x:c r="N1518" s="29" t="str">
        <x:v>574.74</x:v>
      </x:c>
      <x:c r="O1518" s="29" t="str">
        <x:v>324.35</x:v>
      </x:c>
      <x:c r="P1518" s="18" t="str">
        <x:v>2026-07-17</x:v>
      </x:c>
      <x:c r="Q1518" s="36" t="n">
        <x:v>46220</x:v>
      </x:c>
    </x:row>
    <x:row r="1519">
      <x:c r="A1519" s="36" t="str">
        <x:v>2026-07-17</x:v>
      </x:c>
      <x:c r="B1519" s="18" t="str">
        <x:v>101437000_83093</x:v>
      </x:c>
      <x:c r="C1519" s="18" t="str">
        <x:v>【沪村小电】金茂未来时光里</x:v>
      </x:c>
      <x:c r="D1519" s="37" t="str">
        <x:v>2</x:v>
      </x:c>
      <x:c r="E1519" s="37" t="str">
        <x:v>0</x:v>
      </x:c>
      <x:c r="F1519" s="37" t="str">
        <x:v>62</x:v>
      </x:c>
      <x:c r="G1519" s="37" t="str">
        <x:v>1854.19</x:v>
      </x:c>
      <x:c r="H1519" s="37" t="str">
        <x:v>0.00</x:v>
      </x:c>
      <x:c r="I1519" s="37" t="str">
        <x:v>919.07</x:v>
      </x:c>
      <x:c r="J1519" s="37" t="str">
        <x:v>0.00</x:v>
      </x:c>
      <x:c r="K1519" s="37" t="str">
        <x:v>935.12</x:v>
      </x:c>
      <x:c r="L1519" s="37" t="str">
        <x:v>2721</x:v>
      </x:c>
      <x:c r="M1519" s="29" t="str">
        <x:v>1296.64</x:v>
      </x:c>
      <x:c r="N1519" s="29" t="str">
        <x:v>832.16</x:v>
      </x:c>
      <x:c r="O1519" s="29" t="str">
        <x:v>464.48</x:v>
      </x:c>
      <x:c r="P1519" s="18" t="str">
        <x:v>2026-07-17</x:v>
      </x:c>
      <x:c r="Q1519" s="36" t="n">
        <x:v>46220</x:v>
      </x:c>
    </x:row>
    <x:row r="1520">
      <x:c r="A1520" s="36" t="str">
        <x:v>2026-07-17</x:v>
      </x:c>
      <x:c r="B1520" s="18" t="str">
        <x:v>101437000_83911</x:v>
      </x:c>
      <x:c r="C1520" s="18" t="str">
        <x:v>【沪村小电】金瀚园充电站</x:v>
      </x:c>
      <x:c r="D1520" s="37" t="str">
        <x:v>2</x:v>
      </x:c>
      <x:c r="E1520" s="37" t="str">
        <x:v>0</x:v>
      </x:c>
      <x:c r="F1520" s="37" t="str">
        <x:v>47</x:v>
      </x:c>
      <x:c r="G1520" s="37" t="str">
        <x:v>1409.76</x:v>
      </x:c>
      <x:c r="H1520" s="37" t="str">
        <x:v>0.00</x:v>
      </x:c>
      <x:c r="I1520" s="37" t="str">
        <x:v>889.18</x:v>
      </x:c>
      <x:c r="J1520" s="37" t="str">
        <x:v>0.00</x:v>
      </x:c>
      <x:c r="K1520" s="37" t="str">
        <x:v>520.59</x:v>
      </x:c>
      <x:c r="L1520" s="37" t="str">
        <x:v>1853</x:v>
      </x:c>
      <x:c r="M1520" s="29" t="str">
        <x:v>1273.67</x:v>
      </x:c>
      <x:c r="N1520" s="29" t="str">
        <x:v>823.95</x:v>
      </x:c>
      <x:c r="O1520" s="29" t="str">
        <x:v>449.72</x:v>
      </x:c>
      <x:c r="P1520" s="18" t="str">
        <x:v>2026-07-17</x:v>
      </x:c>
      <x:c r="Q1520" s="36" t="n">
        <x:v>46220</x:v>
      </x:c>
    </x:row>
    <x:row r="1521">
      <x:c r="A1521" s="36" t="str">
        <x:v>2026-07-17</x:v>
      </x:c>
      <x:c r="B1521" s="18" t="str">
        <x:v>101437000_83913</x:v>
      </x:c>
      <x:c r="C1521" s="18" t="str">
        <x:v>【沪村小电】新黎村充电站</x:v>
      </x:c>
      <x:c r="D1521" s="37" t="str">
        <x:v>2</x:v>
      </x:c>
      <x:c r="E1521" s="37" t="str">
        <x:v>0</x:v>
      </x:c>
      <x:c r="F1521" s="37" t="str">
        <x:v>69</x:v>
      </x:c>
      <x:c r="G1521" s="37" t="str">
        <x:v>1763.46</x:v>
      </x:c>
      <x:c r="H1521" s="37" t="str">
        <x:v>0.00</x:v>
      </x:c>
      <x:c r="I1521" s="37" t="str">
        <x:v>1343.48</x:v>
      </x:c>
      <x:c r="J1521" s="37" t="str">
        <x:v>0.00</x:v>
      </x:c>
      <x:c r="K1521" s="37" t="str">
        <x:v>419.98</x:v>
      </x:c>
      <x:c r="L1521" s="37" t="str">
        <x:v>2865</x:v>
      </x:c>
      <x:c r="M1521" s="29" t="str">
        <x:v>1639.32</x:v>
      </x:c>
      <x:c r="N1521" s="29" t="str">
        <x:v>1109.22</x:v>
      </x:c>
      <x:c r="O1521" s="29" t="str">
        <x:v>530.10</x:v>
      </x:c>
      <x:c r="P1521" s="18" t="str">
        <x:v>2026-07-17</x:v>
      </x:c>
      <x:c r="Q1521" s="36" t="n">
        <x:v>46220</x:v>
      </x:c>
    </x:row>
    <x:row r="1522">
      <x:c r="A1522" s="36" t="str">
        <x:v>2026-07-17</x:v>
      </x:c>
      <x:c r="B1522" s="18" t="str">
        <x:v>101437000_83915</x:v>
      </x:c>
      <x:c r="C1522" s="18" t="str">
        <x:v>【沪村小电】长泰西郊别墅充电站</x:v>
      </x:c>
      <x:c r="D1522" s="37" t="str">
        <x:v>2</x:v>
      </x:c>
      <x:c r="E1522" s="37" t="str">
        <x:v>0</x:v>
      </x:c>
      <x:c r="F1522" s="37" t="str">
        <x:v>31</x:v>
      </x:c>
      <x:c r="G1522" s="37" t="str">
        <x:v>612.20</x:v>
      </x:c>
      <x:c r="H1522" s="37" t="str">
        <x:v>0.00</x:v>
      </x:c>
      <x:c r="I1522" s="37" t="str">
        <x:v>405.79</x:v>
      </x:c>
      <x:c r="J1522" s="37" t="str">
        <x:v>0.00</x:v>
      </x:c>
      <x:c r="K1522" s="37" t="str">
        <x:v>206.41</x:v>
      </x:c>
      <x:c r="L1522" s="37" t="str">
        <x:v>939</x:v>
      </x:c>
      <x:c r="M1522" s="29" t="str">
        <x:v>548.33</x:v>
      </x:c>
      <x:c r="N1522" s="29" t="str">
        <x:v>364.51</x:v>
      </x:c>
      <x:c r="O1522" s="29" t="str">
        <x:v>183.82</x:v>
      </x:c>
      <x:c r="P1522" s="18" t="str">
        <x:v>2026-07-17</x:v>
      </x:c>
      <x:c r="Q1522" s="36" t="n">
        <x:v>46220</x:v>
      </x:c>
    </x:row>
    <x:row r="1523">
      <x:c r="A1523" s="36" t="str">
        <x:v>2026-07-17</x:v>
      </x:c>
      <x:c r="B1523" s="18" t="str">
        <x:v>101437000_83917</x:v>
      </x:c>
      <x:c r="C1523" s="18" t="str">
        <x:v>【沪村小电】旭新华庭充电站</x:v>
      </x:c>
      <x:c r="D1523" s="37" t="str">
        <x:v>4</x:v>
      </x:c>
      <x:c r="E1523" s="37" t="str">
        <x:v>0</x:v>
      </x:c>
      <x:c r="F1523" s="37" t="str">
        <x:v>45</x:v>
      </x:c>
      <x:c r="G1523" s="37" t="str">
        <x:v>755.97</x:v>
      </x:c>
      <x:c r="H1523" s="37" t="str">
        <x:v>0.00</x:v>
      </x:c>
      <x:c r="I1523" s="37" t="str">
        <x:v>542.52</x:v>
      </x:c>
      <x:c r="J1523" s="37" t="str">
        <x:v>0.00</x:v>
      </x:c>
      <x:c r="K1523" s="37" t="str">
        <x:v>213.45</x:v>
      </x:c>
      <x:c r="L1523" s="37" t="str">
        <x:v>1193</x:v>
      </x:c>
      <x:c r="M1523" s="29" t="str">
        <x:v>794.04</x:v>
      </x:c>
      <x:c r="N1523" s="29" t="str">
        <x:v>464.18</x:v>
      </x:c>
      <x:c r="O1523" s="29" t="str">
        <x:v>329.86</x:v>
      </x:c>
      <x:c r="P1523" s="18" t="str">
        <x:v>2026-07-17</x:v>
      </x:c>
      <x:c r="Q1523" s="36" t="n">
        <x:v>46220</x:v>
      </x:c>
    </x:row>
    <x:row r="1524">
      <x:c r="A1524" s="36" t="str">
        <x:v>2026-07-17</x:v>
      </x:c>
      <x:c r="B1524" s="18" t="str">
        <x:v>101437000_83919</x:v>
      </x:c>
      <x:c r="C1524" s="18" t="str">
        <x:v>【沪村小电】浦锦名仕嘉园充电站</x:v>
      </x:c>
      <x:c r="D1524" s="37" t="str">
        <x:v>4</x:v>
      </x:c>
      <x:c r="E1524" s="37" t="str">
        <x:v>0</x:v>
      </x:c>
      <x:c r="F1524" s="37" t="str">
        <x:v>49</x:v>
      </x:c>
      <x:c r="G1524" s="37" t="str">
        <x:v>1182.73</x:v>
      </x:c>
      <x:c r="H1524" s="37" t="str">
        <x:v>0.00</x:v>
      </x:c>
      <x:c r="I1524" s="37" t="str">
        <x:v>0.00</x:v>
      </x:c>
      <x:c r="J1524" s="37" t="str">
        <x:v>1182.73</x:v>
      </x:c>
      <x:c r="K1524" s="37" t="str">
        <x:v>0.00</x:v>
      </x:c>
      <x:c r="L1524" s="37" t="str">
        <x:v>1592</x:v>
      </x:c>
      <x:c r="M1524" s="29" t="str">
        <x:v>1204.31</x:v>
      </x:c>
      <x:c r="N1524" s="29" t="str">
        <x:v>827.88</x:v>
      </x:c>
      <x:c r="O1524" s="29" t="str">
        <x:v>376.43</x:v>
      </x:c>
      <x:c r="P1524" s="18" t="str">
        <x:v>2026-07-17</x:v>
      </x:c>
      <x:c r="Q1524" s="36" t="n">
        <x:v>46220</x:v>
      </x:c>
    </x:row>
    <x:row r="1525">
      <x:c r="A1525" s="36" t="str">
        <x:v>2026-07-17</x:v>
      </x:c>
      <x:c r="B1525" s="18" t="str">
        <x:v>101437000_83921</x:v>
      </x:c>
      <x:c r="C1525" s="18" t="str">
        <x:v>【沪村小电】上海联怡枇杷乐园充电站（地库）</x:v>
      </x:c>
      <x:c r="D1525" s="37" t="str">
        <x:v>8</x:v>
      </x:c>
      <x:c r="E1525" s="37" t="str">
        <x:v>0</x:v>
      </x:c>
      <x:c r="F1525" s="37" t="str">
        <x:v>16</x:v>
      </x:c>
      <x:c r="G1525" s="37" t="str">
        <x:v>507.54</x:v>
      </x:c>
      <x:c r="H1525" s="37" t="str">
        <x:v>0.00</x:v>
      </x:c>
      <x:c r="I1525" s="37" t="str">
        <x:v>91.35</x:v>
      </x:c>
      <x:c r="J1525" s="37" t="str">
        <x:v>0.00</x:v>
      </x:c>
      <x:c r="K1525" s="37" t="str">
        <x:v>416.19</x:v>
      </x:c>
      <x:c r="L1525" s="37" t="str">
        <x:v>739</x:v>
      </x:c>
      <x:c r="M1525" s="29" t="str">
        <x:v>326.84</x:v>
      </x:c>
      <x:c r="N1525" s="29" t="str">
        <x:v>273.66</x:v>
      </x:c>
      <x:c r="O1525" s="29" t="str">
        <x:v>53.18</x:v>
      </x:c>
      <x:c r="P1525" s="18" t="str">
        <x:v>2026-07-17</x:v>
      </x:c>
      <x:c r="Q1525" s="36" t="n">
        <x:v>46220</x:v>
      </x:c>
    </x:row>
    <x:row r="1526">
      <x:c r="A1526" s="36" t="str">
        <x:v>2026-07-17</x:v>
      </x:c>
      <x:c r="B1526" s="18" t="str">
        <x:v>101437000_83923</x:v>
      </x:c>
      <x:c r="C1526" s="18" t="str">
        <x:v>【沪村小电】明珠新苑充电站</x:v>
      </x:c>
      <x:c r="D1526" s="37" t="str">
        <x:v>2</x:v>
      </x:c>
      <x:c r="E1526" s="37" t="str">
        <x:v>0</x:v>
      </x:c>
      <x:c r="F1526" s="37" t="str">
        <x:v>46</x:v>
      </x:c>
      <x:c r="G1526" s="37" t="str">
        <x:v>1205.85</x:v>
      </x:c>
      <x:c r="H1526" s="37" t="str">
        <x:v>0.00</x:v>
      </x:c>
      <x:c r="I1526" s="37" t="str">
        <x:v>666.54</x:v>
      </x:c>
      <x:c r="J1526" s="37" t="str">
        <x:v>0.00</x:v>
      </x:c>
      <x:c r="K1526" s="37" t="str">
        <x:v>539.32</x:v>
      </x:c>
      <x:c r="L1526" s="37" t="str">
        <x:v>1738</x:v>
      </x:c>
      <x:c r="M1526" s="29" t="str">
        <x:v>1043.92</x:v>
      </x:c>
      <x:c r="N1526" s="29" t="str">
        <x:v>672.81</x:v>
      </x:c>
      <x:c r="O1526" s="29" t="str">
        <x:v>371.11</x:v>
      </x:c>
      <x:c r="P1526" s="18" t="str">
        <x:v>2026-07-17</x:v>
      </x:c>
      <x:c r="Q1526" s="36" t="n">
        <x:v>46220</x:v>
      </x:c>
    </x:row>
    <x:row r="1527">
      <x:c r="A1527" s="36" t="str">
        <x:v>2026-07-17</x:v>
      </x:c>
      <x:c r="B1527" s="18" t="str">
        <x:v>101437000_84289</x:v>
      </x:c>
      <x:c r="C1527" s="18" t="str">
        <x:v>【沪村小电】铁建芳华苑充电站</x:v>
      </x:c>
      <x:c r="D1527" s="37" t="str">
        <x:v>4</x:v>
      </x:c>
      <x:c r="E1527" s="37" t="str">
        <x:v>0</x:v>
      </x:c>
      <x:c r="F1527" s="37" t="str">
        <x:v>33</x:v>
      </x:c>
      <x:c r="G1527" s="37" t="str">
        <x:v>753.49</x:v>
      </x:c>
      <x:c r="H1527" s="37" t="str">
        <x:v>0.00</x:v>
      </x:c>
      <x:c r="I1527" s="37" t="str">
        <x:v>447.06</x:v>
      </x:c>
      <x:c r="J1527" s="37" t="str">
        <x:v>0.00</x:v>
      </x:c>
      <x:c r="K1527" s="37" t="str">
        <x:v>306.44</x:v>
      </x:c>
      <x:c r="L1527" s="37" t="str">
        <x:v>1231</x:v>
      </x:c>
      <x:c r="M1527" s="29" t="str">
        <x:v>641.39</x:v>
      </x:c>
      <x:c r="N1527" s="29" t="str">
        <x:v>430.80</x:v>
      </x:c>
      <x:c r="O1527" s="29" t="str">
        <x:v>210.59</x:v>
      </x:c>
      <x:c r="P1527" s="18" t="str">
        <x:v>2026-07-17</x:v>
      </x:c>
      <x:c r="Q1527" s="36" t="n">
        <x:v>46220</x:v>
      </x:c>
    </x:row>
    <x:row r="1528">
      <x:c r="A1528" s="36" t="str">
        <x:v>2026-07-17</x:v>
      </x:c>
      <x:c r="B1528" s="18" t="str">
        <x:v>101437000_86379</x:v>
      </x:c>
      <x:c r="C1528" s="18" t="str">
        <x:v>【沪村小电】新宝社区充电站</x:v>
      </x:c>
      <x:c r="D1528" s="37" t="str">
        <x:v>4</x:v>
      </x:c>
      <x:c r="E1528" s="37" t="str">
        <x:v>0</x:v>
      </x:c>
      <x:c r="F1528" s="37" t="str">
        <x:v>28</x:v>
      </x:c>
      <x:c r="G1528" s="37" t="str">
        <x:v>734.73</x:v>
      </x:c>
      <x:c r="H1528" s="37" t="str">
        <x:v>0.00</x:v>
      </x:c>
      <x:c r="I1528" s="37" t="str">
        <x:v>339.88</x:v>
      </x:c>
      <x:c r="J1528" s="37" t="str">
        <x:v>0.00</x:v>
      </x:c>
      <x:c r="K1528" s="37" t="str">
        <x:v>394.85</x:v>
      </x:c>
      <x:c r="L1528" s="37" t="str">
        <x:v>1291</x:v>
      </x:c>
      <x:c r="M1528" s="29" t="str">
        <x:v>572.73</x:v>
      </x:c>
      <x:c r="N1528" s="29" t="str">
        <x:v>387.40</x:v>
      </x:c>
      <x:c r="O1528" s="29" t="str">
        <x:v>185.33</x:v>
      </x:c>
      <x:c r="P1528" s="18" t="str">
        <x:v>2026-07-17</x:v>
      </x:c>
      <x:c r="Q1528" s="36" t="n">
        <x:v>46220</x:v>
      </x:c>
    </x:row>
    <x:row r="1529">
      <x:c r="A1529" s="36" t="str">
        <x:v>2026-07-17</x:v>
      </x:c>
      <x:c r="B1529" s="18" t="str">
        <x:v>101437000_89441</x:v>
      </x:c>
      <x:c r="C1529" s="18" t="str">
        <x:v>【沪村小电】首创禧瑞云启西区充电站</x:v>
      </x:c>
      <x:c r="D1529" s="37" t="str">
        <x:v>2</x:v>
      </x:c>
      <x:c r="E1529" s="37" t="str">
        <x:v>0</x:v>
      </x:c>
      <x:c r="F1529" s="37" t="str">
        <x:v>47</x:v>
      </x:c>
      <x:c r="G1529" s="37" t="str">
        <x:v>1230.46</x:v>
      </x:c>
      <x:c r="H1529" s="37" t="str">
        <x:v>0.00</x:v>
      </x:c>
      <x:c r="I1529" s="37" t="str">
        <x:v>827.46</x:v>
      </x:c>
      <x:c r="J1529" s="37" t="str">
        <x:v>0.00</x:v>
      </x:c>
      <x:c r="K1529" s="37" t="str">
        <x:v>403.00</x:v>
      </x:c>
      <x:c r="L1529" s="37" t="str">
        <x:v>1667</x:v>
      </x:c>
      <x:c r="M1529" s="29" t="str">
        <x:v>1216.22</x:v>
      </x:c>
      <x:c r="N1529" s="29" t="str">
        <x:v>736.61</x:v>
      </x:c>
      <x:c r="O1529" s="29" t="str">
        <x:v>479.61</x:v>
      </x:c>
      <x:c r="P1529" s="18" t="str">
        <x:v>2026-07-17</x:v>
      </x:c>
      <x:c r="Q1529" s="36" t="n">
        <x:v>46220</x:v>
      </x:c>
    </x:row>
    <x:row r="1530">
      <x:c r="A1530" s="36" t="str">
        <x:v>2026-07-17</x:v>
      </x:c>
      <x:c r="B1530" s="18" t="str">
        <x:v>101437000_89443</x:v>
      </x:c>
      <x:c r="C1530" s="18" t="str">
        <x:v>【沪村小电】玉兰清苑二期充电站</x:v>
      </x:c>
      <x:c r="D1530" s="37" t="str">
        <x:v>2</x:v>
      </x:c>
      <x:c r="E1530" s="37" t="str">
        <x:v>0</x:v>
      </x:c>
      <x:c r="F1530" s="37" t="str">
        <x:v>37</x:v>
      </x:c>
      <x:c r="G1530" s="37" t="str">
        <x:v>844.62</x:v>
      </x:c>
      <x:c r="H1530" s="37" t="str">
        <x:v>0.00</x:v>
      </x:c>
      <x:c r="I1530" s="37" t="str">
        <x:v>675.28</x:v>
      </x:c>
      <x:c r="J1530" s="37" t="str">
        <x:v>0.00</x:v>
      </x:c>
      <x:c r="K1530" s="37" t="str">
        <x:v>169.34</x:v>
      </x:c>
      <x:c r="L1530" s="37" t="str">
        <x:v>1332</x:v>
      </x:c>
      <x:c r="M1530" s="29" t="str">
        <x:v>809.56</x:v>
      </x:c>
      <x:c r="N1530" s="29" t="str">
        <x:v>542.10</x:v>
      </x:c>
      <x:c r="O1530" s="29" t="str">
        <x:v>267.46</x:v>
      </x:c>
      <x:c r="P1530" s="18" t="str">
        <x:v>2026-07-17</x:v>
      </x:c>
      <x:c r="Q1530" s="36" t="n">
        <x:v>46220</x:v>
      </x:c>
    </x:row>
    <x:row r="1531">
      <x:c r="A1531" s="36" t="str">
        <x:v>2026-07-17</x:v>
      </x:c>
      <x:c r="B1531" s="18" t="str">
        <x:v>101437000_93115</x:v>
      </x:c>
      <x:c r="C1531" s="18" t="str">
        <x:v>【沪村小电】新南家园西北门</x:v>
      </x:c>
      <x:c r="D1531" s="37" t="str">
        <x:v>2</x:v>
      </x:c>
      <x:c r="E1531" s="37" t="str">
        <x:v>0</x:v>
      </x:c>
      <x:c r="F1531" s="37" t="str">
        <x:v>33</x:v>
      </x:c>
      <x:c r="G1531" s="37" t="str">
        <x:v>746.50</x:v>
      </x:c>
      <x:c r="H1531" s="37" t="str">
        <x:v>0.00</x:v>
      </x:c>
      <x:c r="I1531" s="37" t="str">
        <x:v>477.48</x:v>
      </x:c>
      <x:c r="J1531" s="37" t="str">
        <x:v>0.00</x:v>
      </x:c>
      <x:c r="K1531" s="37" t="str">
        <x:v>269.02</x:v>
      </x:c>
      <x:c r="L1531" s="37" t="str">
        <x:v>1147</x:v>
      </x:c>
      <x:c r="M1531" s="29" t="str">
        <x:v>703.66</x:v>
      </x:c>
      <x:c r="N1531" s="29" t="str">
        <x:v>438.54</x:v>
      </x:c>
      <x:c r="O1531" s="29" t="str">
        <x:v>265.12</x:v>
      </x:c>
      <x:c r="P1531" s="18" t="str">
        <x:v>2026-07-17</x:v>
      </x:c>
      <x:c r="Q1531" s="36" t="n">
        <x:v>46220</x:v>
      </x:c>
    </x:row>
    <x:row r="1532">
      <x:c r="A1532" s="36" t="str">
        <x:v>2026-07-17</x:v>
      </x:c>
      <x:c r="B1532" s="18" t="str">
        <x:v>101437000_94649</x:v>
      </x:c>
      <x:c r="C1532" s="18" t="str">
        <x:v>【沪村小电】浪琴水岸花园</x:v>
      </x:c>
      <x:c r="D1532" s="37" t="str">
        <x:v>4</x:v>
      </x:c>
      <x:c r="E1532" s="37" t="str">
        <x:v>0</x:v>
      </x:c>
      <x:c r="F1532" s="37" t="str">
        <x:v>38</x:v>
      </x:c>
      <x:c r="G1532" s="37" t="str">
        <x:v>908.53</x:v>
      </x:c>
      <x:c r="H1532" s="37" t="str">
        <x:v>0.00</x:v>
      </x:c>
      <x:c r="I1532" s="37" t="str">
        <x:v>590.41</x:v>
      </x:c>
      <x:c r="J1532" s="37" t="str">
        <x:v>0.00</x:v>
      </x:c>
      <x:c r="K1532" s="37" t="str">
        <x:v>318.12</x:v>
      </x:c>
      <x:c r="L1532" s="37" t="str">
        <x:v>1622</x:v>
      </x:c>
      <x:c r="M1532" s="29" t="str">
        <x:v>756.30</x:v>
      </x:c>
      <x:c r="N1532" s="29" t="str">
        <x:v>568.75</x:v>
      </x:c>
      <x:c r="O1532" s="29" t="str">
        <x:v>187.55</x:v>
      </x:c>
      <x:c r="P1532" s="18" t="str">
        <x:v>2026-07-17</x:v>
      </x:c>
      <x:c r="Q1532" s="36" t="n">
        <x:v>46220</x:v>
      </x:c>
    </x:row>
    <x:row r="1533">
      <x:c r="A1533" s="36" t="str">
        <x:v>2026-07-17</x:v>
      </x:c>
      <x:c r="B1533" s="18" t="str">
        <x:v>101437000_95077</x:v>
      </x:c>
      <x:c r="C1533" s="18" t="str">
        <x:v>【沪村小电】民乐城惠益绿苑255弄充电站</x:v>
      </x:c>
      <x:c r="D1533" s="37" t="str">
        <x:v>2</x:v>
      </x:c>
      <x:c r="E1533" s="37" t="str">
        <x:v>0</x:v>
      </x:c>
      <x:c r="F1533" s="37" t="str">
        <x:v>15</x:v>
      </x:c>
      <x:c r="G1533" s="37" t="str">
        <x:v>297.96</x:v>
      </x:c>
      <x:c r="H1533" s="37" t="str">
        <x:v>0.00</x:v>
      </x:c>
      <x:c r="I1533" s="37" t="str">
        <x:v>226.58</x:v>
      </x:c>
      <x:c r="J1533" s="37" t="str">
        <x:v>0.00</x:v>
      </x:c>
      <x:c r="K1533" s="37" t="str">
        <x:v>71.38</x:v>
      </x:c>
      <x:c r="L1533" s="37" t="str">
        <x:v>522</x:v>
      </x:c>
      <x:c r="M1533" s="29" t="str">
        <x:v>256.83</x:v>
      </x:c>
      <x:c r="N1533" s="29" t="str">
        <x:v>187.28</x:v>
      </x:c>
      <x:c r="O1533" s="29" t="str">
        <x:v>69.55</x:v>
      </x:c>
      <x:c r="P1533" s="18" t="str">
        <x:v>2026-07-17</x:v>
      </x:c>
      <x:c r="Q1533" s="36" t="n">
        <x:v>46220</x:v>
      </x:c>
    </x:row>
    <x:row r="1534">
      <x:c r="A1534" s="36" t="str">
        <x:v>2026-07-17</x:v>
      </x:c>
      <x:c r="B1534" s="18" t="str">
        <x:v>101437000_95079</x:v>
      </x:c>
      <x:c r="C1534" s="18" t="str">
        <x:v>【沪村小电】民乐城惠益绿苑东苑充电站</x:v>
      </x:c>
      <x:c r="D1534" s="37" t="str">
        <x:v>2</x:v>
      </x:c>
      <x:c r="E1534" s="37" t="str">
        <x:v>0</x:v>
      </x:c>
      <x:c r="F1534" s="37" t="str">
        <x:v>18</x:v>
      </x:c>
      <x:c r="G1534" s="37" t="str">
        <x:v>428.11</x:v>
      </x:c>
      <x:c r="H1534" s="37" t="str">
        <x:v>0.00</x:v>
      </x:c>
      <x:c r="I1534" s="37" t="str">
        <x:v>405.67</x:v>
      </x:c>
      <x:c r="J1534" s="37" t="str">
        <x:v>0.00</x:v>
      </x:c>
      <x:c r="K1534" s="37" t="str">
        <x:v>22.44</x:v>
      </x:c>
      <x:c r="L1534" s="37" t="str">
        <x:v>612</x:v>
      </x:c>
      <x:c r="M1534" s="29" t="str">
        <x:v>410.99</x:v>
      </x:c>
      <x:c r="N1534" s="29" t="str">
        <x:v>296.34</x:v>
      </x:c>
      <x:c r="O1534" s="29" t="str">
        <x:v>114.65</x:v>
      </x:c>
      <x:c r="P1534" s="18" t="str">
        <x:v>2026-07-17</x:v>
      </x:c>
      <x:c r="Q1534" s="36" t="n">
        <x:v>46220</x:v>
      </x:c>
    </x:row>
    <x:row r="1535">
      <x:c r="A1535" s="36" t="str">
        <x:v>2026-07-17</x:v>
      </x:c>
      <x:c r="B1535" s="18" t="str">
        <x:v>101437000_95081</x:v>
      </x:c>
      <x:c r="C1535" s="18" t="str">
        <x:v>【沪村小电】民乐城惠益绿苑西苑充电站</x:v>
      </x:c>
      <x:c r="D1535" s="37" t="str">
        <x:v>2</x:v>
      </x:c>
      <x:c r="E1535" s="37" t="str">
        <x:v>0</x:v>
      </x:c>
      <x:c r="F1535" s="37" t="str">
        <x:v>12</x:v>
      </x:c>
      <x:c r="G1535" s="37" t="str">
        <x:v>258.02</x:v>
      </x:c>
      <x:c r="H1535" s="37" t="str">
        <x:v>0.00</x:v>
      </x:c>
      <x:c r="I1535" s="37" t="str">
        <x:v>258.02</x:v>
      </x:c>
      <x:c r="J1535" s="37" t="str">
        <x:v>0.00</x:v>
      </x:c>
      <x:c r="K1535" s="37" t="str">
        <x:v>0.00</x:v>
      </x:c>
      <x:c r="L1535" s="37" t="str">
        <x:v>387</x:v>
      </x:c>
      <x:c r="M1535" s="29" t="str">
        <x:v>272.28</x:v>
      </x:c>
      <x:c r="N1535" s="29" t="str">
        <x:v>183.20</x:v>
      </x:c>
      <x:c r="O1535" s="29" t="str">
        <x:v>89.08</x:v>
      </x:c>
      <x:c r="P1535" s="18" t="str">
        <x:v>2026-07-17</x:v>
      </x:c>
      <x:c r="Q1535" s="36" t="n">
        <x:v>46220</x:v>
      </x:c>
    </x:row>
    <x:row r="1536">
      <x:c r="A1536" s="36" t="str">
        <x:v>2026-07-17</x:v>
      </x:c>
      <x:c r="B1536" s="18" t="str">
        <x:v>101437000_95941</x:v>
      </x:c>
      <x:c r="C1536" s="18" t="str">
        <x:v>【沪村小电】惠诚雅苑</x:v>
      </x:c>
      <x:c r="D1536" s="37" t="str">
        <x:v>4</x:v>
      </x:c>
      <x:c r="E1536" s="37" t="str">
        <x:v>0</x:v>
      </x:c>
      <x:c r="F1536" s="37" t="str">
        <x:v>53</x:v>
      </x:c>
      <x:c r="G1536" s="37" t="str">
        <x:v>1387.64</x:v>
      </x:c>
      <x:c r="H1536" s="37" t="str">
        <x:v>0.00</x:v>
      </x:c>
      <x:c r="I1536" s="37" t="str">
        <x:v>632.53</x:v>
      </x:c>
      <x:c r="J1536" s="37" t="str">
        <x:v>0.00</x:v>
      </x:c>
      <x:c r="K1536" s="37" t="str">
        <x:v>755.11</x:v>
      </x:c>
      <x:c r="L1536" s="37" t="str">
        <x:v>2372</x:v>
      </x:c>
      <x:c r="M1536" s="29" t="str">
        <x:v>933.00</x:v>
      </x:c>
      <x:c r="N1536" s="29" t="str">
        <x:v>607.28</x:v>
      </x:c>
      <x:c r="O1536" s="29" t="str">
        <x:v>325.72</x:v>
      </x:c>
      <x:c r="P1536" s="18" t="str">
        <x:v>2026-07-17</x:v>
      </x:c>
      <x:c r="Q1536" s="36" t="n">
        <x:v>46220</x:v>
      </x:c>
    </x:row>
    <x:row r="1537">
      <x:c r="A1537" s="36" t="str">
        <x:v>2026-07-17</x:v>
      </x:c>
      <x:c r="B1537" s="18" t="str">
        <x:v>101437000_96401</x:v>
      </x:c>
      <x:c r="C1537" s="18" t="str">
        <x:v>【沪村小电】上海联怡枇杷乐园地面站</x:v>
      </x:c>
      <x:c r="D1537" s="37" t="str">
        <x:v>2</x:v>
      </x:c>
      <x:c r="E1537" s="37" t="str">
        <x:v>0</x:v>
      </x:c>
      <x:c r="F1537" s="37" t="str">
        <x:v>18</x:v>
      </x:c>
      <x:c r="G1537" s="37" t="str">
        <x:v>360.26</x:v>
      </x:c>
      <x:c r="H1537" s="37" t="str">
        <x:v>0.00</x:v>
      </x:c>
      <x:c r="I1537" s="37" t="str">
        <x:v>201.26</x:v>
      </x:c>
      <x:c r="J1537" s="37" t="str">
        <x:v>0.00</x:v>
      </x:c>
      <x:c r="K1537" s="37" t="str">
        <x:v>159.00</x:v>
      </x:c>
      <x:c r="L1537" s="37" t="str">
        <x:v>621</x:v>
      </x:c>
      <x:c r="M1537" s="29" t="str">
        <x:v>342.38</x:v>
      </x:c>
      <x:c r="N1537" s="29" t="str">
        <x:v>254.27</x:v>
      </x:c>
      <x:c r="O1537" s="29" t="str">
        <x:v>88.11</x:v>
      </x:c>
      <x:c r="P1537" s="18" t="str">
        <x:v>2026-07-17</x:v>
      </x:c>
      <x:c r="Q1537" s="36" t="n">
        <x:v>46220</x:v>
      </x:c>
    </x:row>
    <x:row r="1538">
      <x:c r="A1538" s="36" t="str">
        <x:v>2026-07-17</x:v>
      </x:c>
      <x:c r="B1538" s="18" t="str">
        <x:v>101437000_96719</x:v>
      </x:c>
      <x:c r="C1538" s="18" t="str">
        <x:v>【沪村小电】四达路220弄充电站</x:v>
      </x:c>
      <x:c r="D1538" s="37" t="str">
        <x:v>2</x:v>
      </x:c>
      <x:c r="E1538" s="37" t="str">
        <x:v>0</x:v>
      </x:c>
      <x:c r="F1538" s="37" t="str">
        <x:v>7</x:v>
      </x:c>
      <x:c r="G1538" s="37" t="str">
        <x:v>189.38</x:v>
      </x:c>
      <x:c r="H1538" s="37" t="str">
        <x:v>0.00</x:v>
      </x:c>
      <x:c r="I1538" s="37" t="str">
        <x:v>189.38</x:v>
      </x:c>
      <x:c r="J1538" s="37" t="str">
        <x:v>0.00</x:v>
      </x:c>
      <x:c r="K1538" s="37" t="str">
        <x:v>0.00</x:v>
      </x:c>
      <x:c r="L1538" s="37" t="str">
        <x:v>290</x:v>
      </x:c>
      <x:c r="M1538" s="29" t="str">
        <x:v>171.57</x:v>
      </x:c>
      <x:c r="N1538" s="29" t="str">
        <x:v>134.47</x:v>
      </x:c>
      <x:c r="O1538" s="29" t="str">
        <x:v>37.10</x:v>
      </x:c>
      <x:c r="P1538" s="18" t="str">
        <x:v>2026-07-17</x:v>
      </x:c>
      <x:c r="Q1538" s="36" t="n">
        <x:v>46220</x:v>
      </x:c>
    </x:row>
    <x:row r="1539">
      <x:c r="A1539" s="36" t="str">
        <x:v>2026-07-17</x:v>
      </x:c>
      <x:c r="B1539" s="18" t="str">
        <x:v>101437000_97421</x:v>
      </x:c>
      <x:c r="C1539" s="18" t="str">
        <x:v>【沪村小电】玉兰清苑二期（小区外）充电站</x:v>
      </x:c>
      <x:c r="D1539" s="37" t="str">
        <x:v>4</x:v>
      </x:c>
      <x:c r="E1539" s="37" t="str">
        <x:v>0</x:v>
      </x:c>
      <x:c r="F1539" s="37" t="str">
        <x:v>62</x:v>
      </x:c>
      <x:c r="G1539" s="37" t="str">
        <x:v>1208.20</x:v>
      </x:c>
      <x:c r="H1539" s="37" t="str">
        <x:v>0.00</x:v>
      </x:c>
      <x:c r="I1539" s="37" t="str">
        <x:v>849.61</x:v>
      </x:c>
      <x:c r="J1539" s="37" t="str">
        <x:v>0.00</x:v>
      </x:c>
      <x:c r="K1539" s="37" t="str">
        <x:v>358.59</x:v>
      </x:c>
      <x:c r="L1539" s="37" t="str">
        <x:v>2058</x:v>
      </x:c>
      <x:c r="M1539" s="29" t="str">
        <x:v>1114.65</x:v>
      </x:c>
      <x:c r="N1539" s="29" t="str">
        <x:v>735.92</x:v>
      </x:c>
      <x:c r="O1539" s="29" t="str">
        <x:v>378.73</x:v>
      </x:c>
      <x:c r="P1539" s="18" t="str">
        <x:v>2026-07-17</x:v>
      </x:c>
      <x:c r="Q1539" s="36" t="n">
        <x:v>46220</x:v>
      </x:c>
    </x:row>
    <x:row r="1540">
      <x:c r="A1540" s="36" t="str">
        <x:v>2026-07-17</x:v>
      </x:c>
      <x:c r="B1540" s="18" t="str">
        <x:v>101437000_98013</x:v>
      </x:c>
      <x:c r="C1540" s="18" t="str">
        <x:v>【沪村小电】恒大滨江华府充电站</x:v>
      </x:c>
      <x:c r="D1540" s="37" t="str">
        <x:v>4</x:v>
      </x:c>
      <x:c r="E1540" s="37" t="str">
        <x:v>0</x:v>
      </x:c>
      <x:c r="F1540" s="37" t="str">
        <x:v>59</x:v>
      </x:c>
      <x:c r="G1540" s="37" t="str">
        <x:v>1220.21</x:v>
      </x:c>
      <x:c r="H1540" s="37" t="str">
        <x:v>0.00</x:v>
      </x:c>
      <x:c r="I1540" s="37" t="str">
        <x:v>913.90</x:v>
      </x:c>
      <x:c r="J1540" s="37" t="str">
        <x:v>0.00</x:v>
      </x:c>
      <x:c r="K1540" s="37" t="str">
        <x:v>306.31</x:v>
      </x:c>
      <x:c r="L1540" s="37" t="str">
        <x:v>1860</x:v>
      </x:c>
      <x:c r="M1540" s="29" t="str">
        <x:v>1224.86</x:v>
      </x:c>
      <x:c r="N1540" s="29" t="str">
        <x:v>963.42</x:v>
      </x:c>
      <x:c r="O1540" s="29" t="str">
        <x:v>261.44</x:v>
      </x:c>
      <x:c r="P1540" s="18" t="str">
        <x:v>2026-07-17</x:v>
      </x:c>
      <x:c r="Q1540" s="36" t="n">
        <x:v>46220</x:v>
      </x:c>
    </x:row>
    <x:row r="1541">
      <x:c r="A1541" s="36" t="str">
        <x:v>2026-07-17</x:v>
      </x:c>
      <x:c r="B1541" s="18" t="str">
        <x:v>101437000_98863</x:v>
      </x:c>
      <x:c r="C1541" s="18" t="str">
        <x:v>【沪村小电】欣菊苑充电站</x:v>
      </x:c>
      <x:c r="D1541" s="37" t="str">
        <x:v>4</x:v>
      </x:c>
      <x:c r="E1541" s="37" t="str">
        <x:v>0</x:v>
      </x:c>
      <x:c r="F1541" s="37" t="str">
        <x:v>3</x:v>
      </x:c>
      <x:c r="G1541" s="37" t="str">
        <x:v>77.91</x:v>
      </x:c>
      <x:c r="H1541" s="37" t="str">
        <x:v>0.00</x:v>
      </x:c>
      <x:c r="I1541" s="37" t="str">
        <x:v>77.91</x:v>
      </x:c>
      <x:c r="J1541" s="37" t="str">
        <x:v>0.00</x:v>
      </x:c>
      <x:c r="K1541" s="37" t="str">
        <x:v>0.00</x:v>
      </x:c>
      <x:c r="L1541" s="37" t="str">
        <x:v>110</x:v>
      </x:c>
      <x:c r="M1541" s="29" t="str">
        <x:v>73.65</x:v>
      </x:c>
      <x:c r="N1541" s="29" t="str">
        <x:v>55.33</x:v>
      </x:c>
      <x:c r="O1541" s="29" t="str">
        <x:v>18.32</x:v>
      </x:c>
      <x:c r="P1541" s="18" t="str">
        <x:v>2026-07-17</x:v>
      </x:c>
      <x:c r="Q1541" s="36" t="n">
        <x:v>46220</x:v>
      </x:c>
    </x:row>
    <x:row r="1542">
      <x:c r="A1542" s="36" t="str">
        <x:v>2026-07-17</x:v>
      </x:c>
      <x:c r="B1542" s="18" t="str">
        <x:v>101437000_98865</x:v>
      </x:c>
      <x:c r="C1542" s="18" t="str">
        <x:v>【沪村小电】欣松苑充电站</x:v>
      </x:c>
      <x:c r="D1542" s="37" t="str">
        <x:v>4</x:v>
      </x:c>
      <x:c r="E1542" s="37" t="str">
        <x:v>0</x:v>
      </x:c>
      <x:c r="F1542" s="37" t="str">
        <x:v>26</x:v>
      </x:c>
      <x:c r="G1542" s="37" t="str">
        <x:v>584.64</x:v>
      </x:c>
      <x:c r="H1542" s="37" t="str">
        <x:v>0.00</x:v>
      </x:c>
      <x:c r="I1542" s="37" t="str">
        <x:v>584.64</x:v>
      </x:c>
      <x:c r="J1542" s="37" t="str">
        <x:v>0.00</x:v>
      </x:c>
      <x:c r="K1542" s="37" t="str">
        <x:v>0.00</x:v>
      </x:c>
      <x:c r="L1542" s="37" t="str">
        <x:v>879</x:v>
      </x:c>
      <x:c r="M1542" s="29" t="str">
        <x:v>566.26</x:v>
      </x:c>
      <x:c r="N1542" s="29" t="str">
        <x:v>415.06</x:v>
      </x:c>
      <x:c r="O1542" s="29" t="str">
        <x:v>151.20</x:v>
      </x:c>
      <x:c r="P1542" s="18" t="str">
        <x:v>2026-07-17</x:v>
      </x:c>
      <x:c r="Q1542" s="36" t="n">
        <x:v>46220</x:v>
      </x:c>
    </x:row>
    <x:row r="1543">
      <x:c r="A1543" s="36" t="str">
        <x:v>2026-07-17</x:v>
      </x:c>
      <x:c r="B1543" s="18" t="str">
        <x:v>101437000_98867</x:v>
      </x:c>
      <x:c r="C1543" s="18" t="str">
        <x:v>【沪村小电】欣荷苑充电站</x:v>
      </x:c>
      <x:c r="D1543" s="37" t="str">
        <x:v>4</x:v>
      </x:c>
      <x:c r="E1543" s="37" t="str">
        <x:v>0</x:v>
      </x:c>
      <x:c r="F1543" s="37" t="str">
        <x:v>15</x:v>
      </x:c>
      <x:c r="G1543" s="37" t="str">
        <x:v>350.58</x:v>
      </x:c>
      <x:c r="H1543" s="37" t="str">
        <x:v>0.00</x:v>
      </x:c>
      <x:c r="I1543" s="37" t="str">
        <x:v>266.76</x:v>
      </x:c>
      <x:c r="J1543" s="37" t="str">
        <x:v>0.00</x:v>
      </x:c>
      <x:c r="K1543" s="37" t="str">
        <x:v>83.81</x:v>
      </x:c>
      <x:c r="L1543" s="37" t="str">
        <x:v>544</x:v>
      </x:c>
      <x:c r="M1543" s="29" t="str">
        <x:v>315.18</x:v>
      </x:c>
      <x:c r="N1543" s="29" t="str">
        <x:v>220.42</x:v>
      </x:c>
      <x:c r="O1543" s="29" t="str">
        <x:v>94.76</x:v>
      </x:c>
      <x:c r="P1543" s="18" t="str">
        <x:v>2026-07-17</x:v>
      </x:c>
      <x:c r="Q1543" s="36" t="n">
        <x:v>46220</x:v>
      </x:c>
    </x:row>
    <x:row r="1544">
      <x:c r="A1544" s="36" t="str">
        <x:v>2026-07-17</x:v>
      </x:c>
      <x:c r="B1544" s="18" t="str">
        <x:v>101437000_99885</x:v>
      </x:c>
      <x:c r="C1544" s="18" t="str">
        <x:v>【沪村小电】汇丰馨苑充电站</x:v>
      </x:c>
      <x:c r="D1544" s="37" t="str">
        <x:v>4</x:v>
      </x:c>
      <x:c r="E1544" s="37" t="str">
        <x:v>0</x:v>
      </x:c>
      <x:c r="F1544" s="37" t="str">
        <x:v>22</x:v>
      </x:c>
      <x:c r="G1544" s="37" t="str">
        <x:v>433.49</x:v>
      </x:c>
      <x:c r="H1544" s="37" t="str">
        <x:v>0.00</x:v>
      </x:c>
      <x:c r="I1544" s="37" t="str">
        <x:v>336.68</x:v>
      </x:c>
      <x:c r="J1544" s="37" t="str">
        <x:v>0.00</x:v>
      </x:c>
      <x:c r="K1544" s="37" t="str">
        <x:v>96.81</x:v>
      </x:c>
      <x:c r="L1544" s="37" t="str">
        <x:v>732</x:v>
      </x:c>
      <x:c r="M1544" s="29" t="str">
        <x:v>431.27</x:v>
      </x:c>
      <x:c r="N1544" s="29" t="str">
        <x:v>274.88</x:v>
      </x:c>
      <x:c r="O1544" s="29" t="str">
        <x:v>156.39</x:v>
      </x:c>
      <x:c r="P1544" s="18" t="str">
        <x:v>2026-07-17</x:v>
      </x:c>
      <x:c r="Q1544" s="36" t="n">
        <x:v>46220</x:v>
      </x:c>
    </x:row>
    <x:row r="1545">
      <x:c r="A1545" s="36" t="str">
        <x:v>2026-07-17</x:v>
      </x:c>
      <x:c r="B1545" s="18" t="str">
        <x:v>101437000_99887</x:v>
      </x:c>
      <x:c r="C1545" s="18" t="str">
        <x:v>【沪村小电】新南村河南小区充电站</x:v>
      </x:c>
      <x:c r="D1545" s="37" t="str">
        <x:v>2</x:v>
      </x:c>
      <x:c r="E1545" s="37" t="str">
        <x:v>0</x:v>
      </x:c>
      <x:c r="F1545" s="37" t="str">
        <x:v>17</x:v>
      </x:c>
      <x:c r="G1545" s="37" t="str">
        <x:v>385.52</x:v>
      </x:c>
      <x:c r="H1545" s="37" t="str">
        <x:v>0.00</x:v>
      </x:c>
      <x:c r="I1545" s="37" t="str">
        <x:v>173.01</x:v>
      </x:c>
      <x:c r="J1545" s="37" t="str">
        <x:v>0.00</x:v>
      </x:c>
      <x:c r="K1545" s="37" t="str">
        <x:v>212.51</x:v>
      </x:c>
      <x:c r="L1545" s="37" t="str">
        <x:v>684</x:v>
      </x:c>
      <x:c r="M1545" s="29" t="str">
        <x:v>267.56</x:v>
      </x:c>
      <x:c r="N1545" s="29" t="str">
        <x:v>201.46</x:v>
      </x:c>
      <x:c r="O1545" s="29" t="str">
        <x:v>66.10</x:v>
      </x:c>
      <x:c r="P1545" s="18" t="str">
        <x:v>2026-07-17</x:v>
      </x:c>
      <x:c r="Q1545" s="36" t="n">
        <x:v>46220</x:v>
      </x:c>
    </x:row>
    <x:row r="1546">
      <x:c r="A1546" s="36" t="str">
        <x:v>2026-07-17</x:v>
      </x:c>
      <x:c r="B1546" s="18" t="str">
        <x:v>101437000_99889</x:v>
      </x:c>
      <x:c r="C1546" s="18" t="str">
        <x:v>【沪村小电】漕泾郊野公园</x:v>
      </x:c>
      <x:c r="D1546" s="37" t="str">
        <x:v>2</x:v>
      </x:c>
      <x:c r="E1546" s="37" t="str">
        <x:v>0</x:v>
      </x:c>
      <x:c r="F1546" s="37" t="str">
        <x:v>7</x:v>
      </x:c>
      <x:c r="G1546" s="37" t="str">
        <x:v>170.98</x:v>
      </x:c>
      <x:c r="H1546" s="37" t="str">
        <x:v>0.00</x:v>
      </x:c>
      <x:c r="I1546" s="37" t="str">
        <x:v>105.26</x:v>
      </x:c>
      <x:c r="J1546" s="37" t="str">
        <x:v>0.00</x:v>
      </x:c>
      <x:c r="K1546" s="37" t="str">
        <x:v>65.72</x:v>
      </x:c>
      <x:c r="L1546" s="37" t="str">
        <x:v>189</x:v>
      </x:c>
      <x:c r="M1546" s="29" t="str">
        <x:v>185.46</x:v>
      </x:c>
      <x:c r="N1546" s="29" t="str">
        <x:v>119.43</x:v>
      </x:c>
      <x:c r="O1546" s="29" t="str">
        <x:v>66.03</x:v>
      </x:c>
      <x:c r="P1546" s="18" t="str">
        <x:v>2026-07-17</x:v>
      </x:c>
      <x:c r="Q1546" s="36" t="n">
        <x:v>46220</x:v>
      </x:c>
    </x:row>
    <x:row r="1547">
      <x:c r="A1547" s="36" t="str">
        <x:v>2026-07-17</x:v>
      </x:c>
      <x:c r="B1547" s="18" t="str">
        <x:v>101437000_99891</x:v>
      </x:c>
      <x:c r="C1547" s="18" t="str">
        <x:v>【沪村小电】水韵紫城充电站</x:v>
      </x:c>
      <x:c r="D1547" s="37" t="str">
        <x:v>4</x:v>
      </x:c>
      <x:c r="E1547" s="37" t="str">
        <x:v>0</x:v>
      </x:c>
      <x:c r="F1547" s="37" t="str">
        <x:v>22</x:v>
      </x:c>
      <x:c r="G1547" s="37" t="str">
        <x:v>612.93</x:v>
      </x:c>
      <x:c r="H1547" s="37" t="str">
        <x:v>0.00</x:v>
      </x:c>
      <x:c r="I1547" s="37" t="str">
        <x:v>509.71</x:v>
      </x:c>
      <x:c r="J1547" s="37" t="str">
        <x:v>0.00</x:v>
      </x:c>
      <x:c r="K1547" s="37" t="str">
        <x:v>103.22</x:v>
      </x:c>
      <x:c r="L1547" s="37" t="str">
        <x:v>946</x:v>
      </x:c>
      <x:c r="M1547" s="29" t="str">
        <x:v>549.27</x:v>
      </x:c>
      <x:c r="N1547" s="29" t="str">
        <x:v>400.08</x:v>
      </x:c>
      <x:c r="O1547" s="29" t="str">
        <x:v>149.19</x:v>
      </x:c>
      <x:c r="P1547" s="18" t="str">
        <x:v>2026-07-17</x:v>
      </x:c>
      <x:c r="Q1547" s="36" t="n">
        <x:v>46220</x:v>
      </x:c>
    </x:row>
    <x:row r="1548">
      <x:c r="A1548" s="36" t="str">
        <x:v>2026-07-16</x:v>
      </x:c>
      <x:c r="B1548" s="18" t="str">
        <x:v>101437000_101531</x:v>
      </x:c>
      <x:c r="C1548" s="18" t="str">
        <x:v>【沪村小电】汇中苑充电站</x:v>
      </x:c>
      <x:c r="D1548" s="37" t="str">
        <x:v>2</x:v>
      </x:c>
      <x:c r="E1548" s="37" t="str">
        <x:v>0</x:v>
      </x:c>
      <x:c r="F1548" s="37" t="str">
        <x:v>8</x:v>
      </x:c>
      <x:c r="G1548" s="37" t="str">
        <x:v>225.27</x:v>
      </x:c>
      <x:c r="H1548" s="37" t="str">
        <x:v>0.00</x:v>
      </x:c>
      <x:c r="I1548" s="37" t="str">
        <x:v>2.27</x:v>
      </x:c>
      <x:c r="J1548" s="37" t="str">
        <x:v>202.35</x:v>
      </x:c>
      <x:c r="K1548" s="37" t="str">
        <x:v>20.65</x:v>
      </x:c>
      <x:c r="L1548" s="37" t="str">
        <x:v>380</x:v>
      </x:c>
      <x:c r="M1548" s="29" t="str">
        <x:v>204.25</x:v>
      </x:c>
      <x:c r="N1548" s="29" t="str">
        <x:v>152.33</x:v>
      </x:c>
      <x:c r="O1548" s="29" t="str">
        <x:v>51.92</x:v>
      </x:c>
      <x:c r="P1548" s="18" t="str">
        <x:v>2026-07-16</x:v>
      </x:c>
      <x:c r="Q1548" s="36" t="n">
        <x:v>46219</x:v>
      </x:c>
    </x:row>
    <x:row r="1549">
      <x:c r="A1549" s="36" t="str">
        <x:v>2026-07-16</x:v>
      </x:c>
      <x:c r="B1549" s="18" t="str">
        <x:v>101437000_103503</x:v>
      </x:c>
      <x:c r="C1549" s="18" t="str">
        <x:v>【沪村小电】阳光城新界充电站</x:v>
      </x:c>
      <x:c r="D1549" s="37" t="str">
        <x:v>4</x:v>
      </x:c>
      <x:c r="E1549" s="37" t="str">
        <x:v>0</x:v>
      </x:c>
      <x:c r="F1549" s="37" t="str">
        <x:v>11</x:v>
      </x:c>
      <x:c r="G1549" s="37" t="str">
        <x:v>184.51</x:v>
      </x:c>
      <x:c r="H1549" s="37" t="str">
        <x:v>0.00</x:v>
      </x:c>
      <x:c r="I1549" s="37" t="str">
        <x:v>51.04</x:v>
      </x:c>
      <x:c r="J1549" s="37" t="str">
        <x:v>83.14</x:v>
      </x:c>
      <x:c r="K1549" s="37" t="str">
        <x:v>50.34</x:v>
      </x:c>
      <x:c r="L1549" s="37" t="str">
        <x:v>306</x:v>
      </x:c>
      <x:c r="M1549" s="29" t="str">
        <x:v>204.28</x:v>
      </x:c>
      <x:c r="N1549" s="29" t="str">
        <x:v>140.23</x:v>
      </x:c>
      <x:c r="O1549" s="29" t="str">
        <x:v>64.05</x:v>
      </x:c>
      <x:c r="P1549" s="18" t="str">
        <x:v>2026-07-16</x:v>
      </x:c>
      <x:c r="Q1549" s="36" t="n">
        <x:v>46219</x:v>
      </x:c>
    </x:row>
    <x:row r="1550">
      <x:c r="A1550" s="36" t="str">
        <x:v>2026-07-16</x:v>
      </x:c>
      <x:c r="B1550" s="18" t="str">
        <x:v>101437000_41561</x:v>
      </x:c>
      <x:c r="C1550" s="18" t="str">
        <x:v>【沪村小电】张施小区大门处快充站</x:v>
      </x:c>
      <x:c r="D1550" s="37" t="str">
        <x:v>2</x:v>
      </x:c>
      <x:c r="E1550" s="37" t="str">
        <x:v>0</x:v>
      </x:c>
      <x:c r="F1550" s="37" t="str">
        <x:v>50</x:v>
      </x:c>
      <x:c r="G1550" s="37" t="str">
        <x:v>1247.02</x:v>
      </x:c>
      <x:c r="H1550" s="37" t="str">
        <x:v>0.00</x:v>
      </x:c>
      <x:c r="I1550" s="37" t="str">
        <x:v>746.32</x:v>
      </x:c>
      <x:c r="J1550" s="37" t="str">
        <x:v>0.00</x:v>
      </x:c>
      <x:c r="K1550" s="37" t="str">
        <x:v>500.71</x:v>
      </x:c>
      <x:c r="L1550" s="37" t="str">
        <x:v>2213</x:v>
      </x:c>
      <x:c r="M1550" s="29" t="str">
        <x:v>1007.23</x:v>
      </x:c>
      <x:c r="N1550" s="29" t="str">
        <x:v>715.14</x:v>
      </x:c>
      <x:c r="O1550" s="29" t="str">
        <x:v>292.09</x:v>
      </x:c>
      <x:c r="P1550" s="18" t="str">
        <x:v>2026-07-16</x:v>
      </x:c>
      <x:c r="Q1550" s="36" t="n">
        <x:v>46219</x:v>
      </x:c>
    </x:row>
    <x:row r="1551">
      <x:c r="A1551" s="36" t="str">
        <x:v>2026-07-16</x:v>
      </x:c>
      <x:c r="B1551" s="18" t="str">
        <x:v>101437000_41563</x:v>
      </x:c>
      <x:c r="C1551" s="18" t="str">
        <x:v>【沪村小电】同心村快充站</x:v>
      </x:c>
      <x:c r="D1551" s="37" t="str">
        <x:v>4</x:v>
      </x:c>
      <x:c r="E1551" s="37" t="str">
        <x:v>0</x:v>
      </x:c>
      <x:c r="F1551" s="37" t="str">
        <x:v>59</x:v>
      </x:c>
      <x:c r="G1551" s="37" t="str">
        <x:v>1310.70</x:v>
      </x:c>
      <x:c r="H1551" s="37" t="str">
        <x:v>0.00</x:v>
      </x:c>
      <x:c r="I1551" s="37" t="str">
        <x:v>849.73</x:v>
      </x:c>
      <x:c r="J1551" s="37" t="str">
        <x:v>0.00</x:v>
      </x:c>
      <x:c r="K1551" s="37" t="str">
        <x:v>460.97</x:v>
      </x:c>
      <x:c r="L1551" s="37" t="str">
        <x:v>2434</x:v>
      </x:c>
      <x:c r="M1551" s="29" t="str">
        <x:v>1246.10</x:v>
      </x:c>
      <x:c r="N1551" s="29" t="str">
        <x:v>773.82</x:v>
      </x:c>
      <x:c r="O1551" s="29" t="str">
        <x:v>472.28</x:v>
      </x:c>
      <x:c r="P1551" s="18" t="str">
        <x:v>2026-07-16</x:v>
      </x:c>
      <x:c r="Q1551" s="36" t="n">
        <x:v>46219</x:v>
      </x:c>
    </x:row>
    <x:row r="1552">
      <x:c r="A1552" s="36" t="str">
        <x:v>2026-07-16</x:v>
      </x:c>
      <x:c r="B1552" s="18" t="str">
        <x:v>101437000_69629</x:v>
      </x:c>
      <x:c r="C1552" s="18" t="str">
        <x:v>【沪村小电】骏丰玲珑坊西苑充电站</x:v>
      </x:c>
      <x:c r="D1552" s="37" t="str">
        <x:v>2</x:v>
      </x:c>
      <x:c r="E1552" s="37" t="str">
        <x:v>0</x:v>
      </x:c>
      <x:c r="F1552" s="37" t="str">
        <x:v>72</x:v>
      </x:c>
      <x:c r="G1552" s="37" t="str">
        <x:v>1699.28</x:v>
      </x:c>
      <x:c r="H1552" s="37" t="str">
        <x:v>0.00</x:v>
      </x:c>
      <x:c r="I1552" s="37" t="str">
        <x:v>939.19</x:v>
      </x:c>
      <x:c r="J1552" s="37" t="str">
        <x:v>0.00</x:v>
      </x:c>
      <x:c r="K1552" s="37" t="str">
        <x:v>760.09</x:v>
      </x:c>
      <x:c r="L1552" s="37" t="str">
        <x:v>2965</x:v>
      </x:c>
      <x:c r="M1552" s="29" t="str">
        <x:v>1389.87</x:v>
      </x:c>
      <x:c r="N1552" s="29" t="str">
        <x:v>948.03</x:v>
      </x:c>
      <x:c r="O1552" s="29" t="str">
        <x:v>441.84</x:v>
      </x:c>
      <x:c r="P1552" s="18" t="str">
        <x:v>2026-07-16</x:v>
      </x:c>
      <x:c r="Q1552" s="36" t="n">
        <x:v>46219</x:v>
      </x:c>
    </x:row>
    <x:row r="1553">
      <x:c r="A1553" s="36" t="str">
        <x:v>2026-07-16</x:v>
      </x:c>
      <x:c r="B1553" s="18" t="str">
        <x:v>101437000_70547</x:v>
      </x:c>
      <x:c r="C1553" s="18" t="str">
        <x:v>【沪村小电】农建村初心馆党群服务中心充电站</x:v>
      </x:c>
      <x:c r="D1553" s="37" t="str">
        <x:v>4</x:v>
      </x:c>
      <x:c r="E1553" s="37" t="str">
        <x:v>0</x:v>
      </x:c>
      <x:c r="F1553" s="37" t="str">
        <x:v>45</x:v>
      </x:c>
      <x:c r="G1553" s="37" t="str">
        <x:v>831.81</x:v>
      </x:c>
      <x:c r="H1553" s="37" t="str">
        <x:v>0.00</x:v>
      </x:c>
      <x:c r="I1553" s="37" t="str">
        <x:v>519.57</x:v>
      </x:c>
      <x:c r="J1553" s="37" t="str">
        <x:v>0.00</x:v>
      </x:c>
      <x:c r="K1553" s="37" t="str">
        <x:v>312.24</x:v>
      </x:c>
      <x:c r="L1553" s="37" t="str">
        <x:v>1264</x:v>
      </x:c>
      <x:c r="M1553" s="29" t="str">
        <x:v>796.11</x:v>
      </x:c>
      <x:c r="N1553" s="29" t="str">
        <x:v>484.45</x:v>
      </x:c>
      <x:c r="O1553" s="29" t="str">
        <x:v>311.66</x:v>
      </x:c>
      <x:c r="P1553" s="18" t="str">
        <x:v>2026-07-16</x:v>
      </x:c>
      <x:c r="Q1553" s="36" t="n">
        <x:v>46219</x:v>
      </x:c>
    </x:row>
    <x:row r="1554">
      <x:c r="A1554" s="36" t="str">
        <x:v>2026-07-16</x:v>
      </x:c>
      <x:c r="B1554" s="18" t="str">
        <x:v>101437000_70549</x:v>
      </x:c>
      <x:c r="C1554" s="18" t="str">
        <x:v>【沪村小电】学府路充电站</x:v>
      </x:c>
      <x:c r="D1554" s="37" t="str">
        <x:v>2</x:v>
      </x:c>
      <x:c r="E1554" s="37" t="str">
        <x:v>0</x:v>
      </x:c>
      <x:c r="F1554" s="37" t="str">
        <x:v>12</x:v>
      </x:c>
      <x:c r="G1554" s="37" t="str">
        <x:v>164.57</x:v>
      </x:c>
      <x:c r="H1554" s="37" t="str">
        <x:v>0.00</x:v>
      </x:c>
      <x:c r="I1554" s="37" t="str">
        <x:v>90.75</x:v>
      </x:c>
      <x:c r="J1554" s="37" t="str">
        <x:v>0.00</x:v>
      </x:c>
      <x:c r="K1554" s="37" t="str">
        <x:v>73.81</x:v>
      </x:c>
      <x:c r="L1554" s="37" t="str">
        <x:v>288</x:v>
      </x:c>
      <x:c r="M1554" s="29" t="str">
        <x:v>153.91</x:v>
      </x:c>
      <x:c r="N1554" s="29" t="str">
        <x:v>91.74</x:v>
      </x:c>
      <x:c r="O1554" s="29" t="str">
        <x:v>62.17</x:v>
      </x:c>
      <x:c r="P1554" s="18" t="str">
        <x:v>2026-07-16</x:v>
      </x:c>
      <x:c r="Q1554" s="36" t="n">
        <x:v>46219</x:v>
      </x:c>
    </x:row>
    <x:row r="1555">
      <x:c r="A1555" s="36" t="str">
        <x:v>2026-07-16</x:v>
      </x:c>
      <x:c r="B1555" s="18" t="str">
        <x:v>101437000_71059</x:v>
      </x:c>
      <x:c r="C1555" s="18" t="str">
        <x:v>【沪村小电】宝乐汇商业广场站</x:v>
      </x:c>
      <x:c r="D1555" s="37" t="str">
        <x:v>4</x:v>
      </x:c>
      <x:c r="E1555" s="37" t="str">
        <x:v>0</x:v>
      </x:c>
      <x:c r="F1555" s="37" t="str">
        <x:v>24</x:v>
      </x:c>
      <x:c r="G1555" s="37" t="str">
        <x:v>589.56</x:v>
      </x:c>
      <x:c r="H1555" s="37" t="str">
        <x:v>0.00</x:v>
      </x:c>
      <x:c r="I1555" s="37" t="str">
        <x:v>504.29</x:v>
      </x:c>
      <x:c r="J1555" s="37" t="str">
        <x:v>0.00</x:v>
      </x:c>
      <x:c r="K1555" s="37" t="str">
        <x:v>85.27</x:v>
      </x:c>
      <x:c r="L1555" s="37" t="str">
        <x:v>1010</x:v>
      </x:c>
      <x:c r="M1555" s="29" t="str">
        <x:v>720.13</x:v>
      </x:c>
      <x:c r="N1555" s="29" t="str">
        <x:v>493.09</x:v>
      </x:c>
      <x:c r="O1555" s="29" t="str">
        <x:v>227.04</x:v>
      </x:c>
      <x:c r="P1555" s="18" t="str">
        <x:v>2026-07-16</x:v>
      </x:c>
      <x:c r="Q1555" s="36" t="n">
        <x:v>46219</x:v>
      </x:c>
    </x:row>
    <x:row r="1556">
      <x:c r="A1556" s="36" t="str">
        <x:v>2026-07-16</x:v>
      </x:c>
      <x:c r="B1556" s="18" t="str">
        <x:v>101437000_72541</x:v>
      </x:c>
      <x:c r="C1556" s="18" t="str">
        <x:v>【沪村小电】九干路1174弄充电站</x:v>
      </x:c>
      <x:c r="D1556" s="37" t="str">
        <x:v>2</x:v>
      </x:c>
      <x:c r="E1556" s="37" t="str">
        <x:v>0</x:v>
      </x:c>
      <x:c r="F1556" s="37" t="str">
        <x:v>61</x:v>
      </x:c>
      <x:c r="G1556" s="37" t="str">
        <x:v>1206.96</x:v>
      </x:c>
      <x:c r="H1556" s="37" t="str">
        <x:v>0.00</x:v>
      </x:c>
      <x:c r="I1556" s="37" t="str">
        <x:v>816.83</x:v>
      </x:c>
      <x:c r="J1556" s="37" t="str">
        <x:v>0.00</x:v>
      </x:c>
      <x:c r="K1556" s="37" t="str">
        <x:v>390.13</x:v>
      </x:c>
      <x:c r="L1556" s="37" t="str">
        <x:v>2116</x:v>
      </x:c>
      <x:c r="M1556" s="29" t="str">
        <x:v>1042.11</x:v>
      </x:c>
      <x:c r="N1556" s="29" t="str">
        <x:v>724.32</x:v>
      </x:c>
      <x:c r="O1556" s="29" t="str">
        <x:v>317.79</x:v>
      </x:c>
      <x:c r="P1556" s="18" t="str">
        <x:v>2026-07-16</x:v>
      </x:c>
      <x:c r="Q1556" s="36" t="n">
        <x:v>46219</x:v>
      </x:c>
    </x:row>
    <x:row r="1557">
      <x:c r="A1557" s="36" t="str">
        <x:v>2026-07-16</x:v>
      </x:c>
      <x:c r="B1557" s="18" t="str">
        <x:v>101437000_72543</x:v>
      </x:c>
      <x:c r="C1557" s="18" t="str">
        <x:v>【沪村小电】叶家中心村小区充电站</x:v>
      </x:c>
      <x:c r="D1557" s="37" t="str">
        <x:v>2</x:v>
      </x:c>
      <x:c r="E1557" s="37" t="str">
        <x:v>0</x:v>
      </x:c>
      <x:c r="F1557" s="37" t="str">
        <x:v>55</x:v>
      </x:c>
      <x:c r="G1557" s="37" t="str">
        <x:v>1243.24</x:v>
      </x:c>
      <x:c r="H1557" s="37" t="str">
        <x:v>0.00</x:v>
      </x:c>
      <x:c r="I1557" s="37" t="str">
        <x:v>720.07</x:v>
      </x:c>
      <x:c r="J1557" s="37" t="str">
        <x:v>0.00</x:v>
      </x:c>
      <x:c r="K1557" s="37" t="str">
        <x:v>523.18</x:v>
      </x:c>
      <x:c r="L1557" s="37" t="str">
        <x:v>2264</x:v>
      </x:c>
      <x:c r="M1557" s="29" t="str">
        <x:v>1069.68</x:v>
      </x:c>
      <x:c r="N1557" s="29" t="str">
        <x:v>704.80</x:v>
      </x:c>
      <x:c r="O1557" s="29" t="str">
        <x:v>364.88</x:v>
      </x:c>
      <x:c r="P1557" s="18" t="str">
        <x:v>2026-07-16</x:v>
      </x:c>
      <x:c r="Q1557" s="36" t="n">
        <x:v>46219</x:v>
      </x:c>
    </x:row>
    <x:row r="1558">
      <x:c r="A1558" s="36" t="str">
        <x:v>2026-07-16</x:v>
      </x:c>
      <x:c r="B1558" s="18" t="str">
        <x:v>101437000_72937</x:v>
      </x:c>
      <x:c r="C1558" s="18" t="str">
        <x:v>【沪村小电】佘北家园茸腾苑充电站</x:v>
      </x:c>
      <x:c r="D1558" s="37" t="str">
        <x:v>4</x:v>
      </x:c>
      <x:c r="E1558" s="37" t="str">
        <x:v>0</x:v>
      </x:c>
      <x:c r="F1558" s="37" t="str">
        <x:v>18</x:v>
      </x:c>
      <x:c r="G1558" s="37" t="str">
        <x:v>474.43</x:v>
      </x:c>
      <x:c r="H1558" s="37" t="str">
        <x:v>0.00</x:v>
      </x:c>
      <x:c r="I1558" s="37" t="str">
        <x:v>474.43</x:v>
      </x:c>
      <x:c r="J1558" s="37" t="str">
        <x:v>0.00</x:v>
      </x:c>
      <x:c r="K1558" s="37" t="str">
        <x:v>0.00</x:v>
      </x:c>
      <x:c r="L1558" s="37" t="str">
        <x:v>1058</x:v>
      </x:c>
      <x:c r="M1558" s="29" t="str">
        <x:v>502.93</x:v>
      </x:c>
      <x:c r="N1558" s="29" t="str">
        <x:v>336.85</x:v>
      </x:c>
      <x:c r="O1558" s="29" t="str">
        <x:v>166.08</x:v>
      </x:c>
      <x:c r="P1558" s="18" t="str">
        <x:v>2026-07-16</x:v>
      </x:c>
      <x:c r="Q1558" s="36" t="n">
        <x:v>46219</x:v>
      </x:c>
    </x:row>
    <x:row r="1559">
      <x:c r="A1559" s="36" t="str">
        <x:v>2026-07-16</x:v>
      </x:c>
      <x:c r="B1559" s="18" t="str">
        <x:v>101437000_74223</x:v>
      </x:c>
      <x:c r="C1559" s="18" t="str">
        <x:v>【沪村小电】中兴村委会充电站</x:v>
      </x:c>
      <x:c r="D1559" s="37" t="str">
        <x:v>2</x:v>
      </x:c>
      <x:c r="E1559" s="37" t="str">
        <x:v>0</x:v>
      </x:c>
      <x:c r="F1559" s="37" t="str">
        <x:v>25</x:v>
      </x:c>
      <x:c r="G1559" s="37" t="str">
        <x:v>530.42</x:v>
      </x:c>
      <x:c r="H1559" s="37" t="str">
        <x:v>0.00</x:v>
      </x:c>
      <x:c r="I1559" s="37" t="str">
        <x:v>434.96</x:v>
      </x:c>
      <x:c r="J1559" s="37" t="str">
        <x:v>0.00</x:v>
      </x:c>
      <x:c r="K1559" s="37" t="str">
        <x:v>95.47</x:v>
      </x:c>
      <x:c r="L1559" s="37" t="str">
        <x:v>717</x:v>
      </x:c>
      <x:c r="M1559" s="29" t="str">
        <x:v>495.88</x:v>
      </x:c>
      <x:c r="N1559" s="29" t="str">
        <x:v>344.14</x:v>
      </x:c>
      <x:c r="O1559" s="29" t="str">
        <x:v>151.74</x:v>
      </x:c>
      <x:c r="P1559" s="18" t="str">
        <x:v>2026-07-16</x:v>
      </x:c>
      <x:c r="Q1559" s="36" t="n">
        <x:v>46219</x:v>
      </x:c>
    </x:row>
    <x:row r="1560">
      <x:c r="A1560" s="36" t="str">
        <x:v>2026-07-16</x:v>
      </x:c>
      <x:c r="B1560" s="18" t="str">
        <x:v>101437000_74801</x:v>
      </x:c>
      <x:c r="C1560" s="18" t="str">
        <x:v>【沪村小电】申良花园充电站</x:v>
      </x:c>
      <x:c r="D1560" s="37" t="str">
        <x:v>4</x:v>
      </x:c>
      <x:c r="E1560" s="37" t="str">
        <x:v>0</x:v>
      </x:c>
      <x:c r="F1560" s="37" t="str">
        <x:v>21</x:v>
      </x:c>
      <x:c r="G1560" s="37" t="str">
        <x:v>401.55</x:v>
      </x:c>
      <x:c r="H1560" s="37" t="str">
        <x:v>0.00</x:v>
      </x:c>
      <x:c r="I1560" s="37" t="str">
        <x:v>401.55</x:v>
      </x:c>
      <x:c r="J1560" s="37" t="str">
        <x:v>0.00</x:v>
      </x:c>
      <x:c r="K1560" s="37" t="str">
        <x:v>0.00</x:v>
      </x:c>
      <x:c r="L1560" s="37" t="str">
        <x:v>586</x:v>
      </x:c>
      <x:c r="M1560" s="29" t="str">
        <x:v>441.07</x:v>
      </x:c>
      <x:c r="N1560" s="29" t="str">
        <x:v>285.10</x:v>
      </x:c>
      <x:c r="O1560" s="29" t="str">
        <x:v>155.97</x:v>
      </x:c>
      <x:c r="P1560" s="18" t="str">
        <x:v>2026-07-16</x:v>
      </x:c>
      <x:c r="Q1560" s="36" t="n">
        <x:v>46219</x:v>
      </x:c>
    </x:row>
    <x:row r="1561">
      <x:c r="A1561" s="36" t="str">
        <x:v>2026-07-16</x:v>
      </x:c>
      <x:c r="B1561" s="18" t="str">
        <x:v>101437000_74931</x:v>
      </x:c>
      <x:c r="C1561" s="18" t="str">
        <x:v>【沪村小电】枫雅南居充电站</x:v>
      </x:c>
      <x:c r="D1561" s="37" t="str">
        <x:v>2</x:v>
      </x:c>
      <x:c r="E1561" s="37" t="str">
        <x:v>0</x:v>
      </x:c>
      <x:c r="F1561" s="37" t="str">
        <x:v>65</x:v>
      </x:c>
      <x:c r="G1561" s="37" t="str">
        <x:v>1858.94</x:v>
      </x:c>
      <x:c r="H1561" s="37" t="str">
        <x:v>0.00</x:v>
      </x:c>
      <x:c r="I1561" s="37" t="str">
        <x:v>940.84</x:v>
      </x:c>
      <x:c r="J1561" s="37" t="str">
        <x:v>0.00</x:v>
      </x:c>
      <x:c r="K1561" s="37" t="str">
        <x:v>918.10</x:v>
      </x:c>
      <x:c r="L1561" s="37" t="str">
        <x:v>2911</x:v>
      </x:c>
      <x:c r="M1561" s="29" t="str">
        <x:v>1311.38</x:v>
      </x:c>
      <x:c r="N1561" s="29" t="str">
        <x:v>839.72</x:v>
      </x:c>
      <x:c r="O1561" s="29" t="str">
        <x:v>471.66</x:v>
      </x:c>
      <x:c r="P1561" s="18" t="str">
        <x:v>2026-07-16</x:v>
      </x:c>
      <x:c r="Q1561" s="36" t="n">
        <x:v>46219</x:v>
      </x:c>
    </x:row>
    <x:row r="1562">
      <x:c r="A1562" s="36" t="str">
        <x:v>2026-07-16</x:v>
      </x:c>
      <x:c r="B1562" s="18" t="str">
        <x:v>101437000_75901</x:v>
      </x:c>
      <x:c r="C1562" s="18" t="str">
        <x:v>【沪村小电】金悦学府</x:v>
      </x:c>
      <x:c r="D1562" s="37" t="str">
        <x:v>2</x:v>
      </x:c>
      <x:c r="E1562" s="37" t="str">
        <x:v>0</x:v>
      </x:c>
      <x:c r="F1562" s="37" t="str">
        <x:v>55</x:v>
      </x:c>
      <x:c r="G1562" s="37" t="str">
        <x:v>1587.57</x:v>
      </x:c>
      <x:c r="H1562" s="37" t="str">
        <x:v>0.00</x:v>
      </x:c>
      <x:c r="I1562" s="37" t="str">
        <x:v>690.11</x:v>
      </x:c>
      <x:c r="J1562" s="37" t="str">
        <x:v>0.00</x:v>
      </x:c>
      <x:c r="K1562" s="37" t="str">
        <x:v>897.46</x:v>
      </x:c>
      <x:c r="L1562" s="37" t="str">
        <x:v>2731</x:v>
      </x:c>
      <x:c r="M1562" s="29" t="str">
        <x:v>1184.73</x:v>
      </x:c>
      <x:c r="N1562" s="29" t="str">
        <x:v>685.38</x:v>
      </x:c>
      <x:c r="O1562" s="29" t="str">
        <x:v>499.35</x:v>
      </x:c>
      <x:c r="P1562" s="18" t="str">
        <x:v>2026-07-16</x:v>
      </x:c>
      <x:c r="Q1562" s="36" t="n">
        <x:v>46219</x:v>
      </x:c>
    </x:row>
    <x:row r="1563">
      <x:c r="A1563" s="36" t="str">
        <x:v>2026-07-16</x:v>
      </x:c>
      <x:c r="B1563" s="18" t="str">
        <x:v>101437000_76091</x:v>
      </x:c>
      <x:c r="C1563" s="18" t="str">
        <x:v>【沪村小电】恒信家园充电站</x:v>
      </x:c>
      <x:c r="D1563" s="37" t="str">
        <x:v>2</x:v>
      </x:c>
      <x:c r="E1563" s="37" t="str">
        <x:v>0</x:v>
      </x:c>
      <x:c r="F1563" s="37" t="str">
        <x:v>44</x:v>
      </x:c>
      <x:c r="G1563" s="37" t="str">
        <x:v>1035.76</x:v>
      </x:c>
      <x:c r="H1563" s="37" t="str">
        <x:v>0.00</x:v>
      </x:c>
      <x:c r="I1563" s="37" t="str">
        <x:v>652.39</x:v>
      </x:c>
      <x:c r="J1563" s="37" t="str">
        <x:v>0.00</x:v>
      </x:c>
      <x:c r="K1563" s="37" t="str">
        <x:v>383.37</x:v>
      </x:c>
      <x:c r="L1563" s="37" t="str">
        <x:v>1567</x:v>
      </x:c>
      <x:c r="M1563" s="29" t="str">
        <x:v>939.98</x:v>
      </x:c>
      <x:c r="N1563" s="29" t="str">
        <x:v>605.05</x:v>
      </x:c>
      <x:c r="O1563" s="29" t="str">
        <x:v>334.93</x:v>
      </x:c>
      <x:c r="P1563" s="18" t="str">
        <x:v>2026-07-16</x:v>
      </x:c>
      <x:c r="Q1563" s="36" t="n">
        <x:v>46219</x:v>
      </x:c>
    </x:row>
    <x:row r="1564">
      <x:c r="A1564" s="36" t="str">
        <x:v>2026-07-16</x:v>
      </x:c>
      <x:c r="B1564" s="18" t="str">
        <x:v>101437000_76417</x:v>
      </x:c>
      <x:c r="C1564" s="18" t="str">
        <x:v>【沪村小电】新春一组充电站</x:v>
      </x:c>
      <x:c r="D1564" s="37" t="str">
        <x:v>2</x:v>
      </x:c>
      <x:c r="E1564" s="37" t="str">
        <x:v>0</x:v>
      </x:c>
      <x:c r="F1564" s="37" t="str">
        <x:v>31</x:v>
      </x:c>
      <x:c r="G1564" s="37" t="str">
        <x:v>907.67</x:v>
      </x:c>
      <x:c r="H1564" s="37" t="str">
        <x:v>0.00</x:v>
      </x:c>
      <x:c r="I1564" s="37" t="str">
        <x:v>423.48</x:v>
      </x:c>
      <x:c r="J1564" s="37" t="str">
        <x:v>0.00</x:v>
      </x:c>
      <x:c r="K1564" s="37" t="str">
        <x:v>484.19</x:v>
      </x:c>
      <x:c r="L1564" s="37" t="str">
        <x:v>1454</x:v>
      </x:c>
      <x:c r="M1564" s="29" t="str">
        <x:v>716.34</x:v>
      </x:c>
      <x:c r="N1564" s="29" t="str">
        <x:v>479.84</x:v>
      </x:c>
      <x:c r="O1564" s="29" t="str">
        <x:v>236.50</x:v>
      </x:c>
      <x:c r="P1564" s="18" t="str">
        <x:v>2026-07-16</x:v>
      </x:c>
      <x:c r="Q1564" s="36" t="n">
        <x:v>46219</x:v>
      </x:c>
    </x:row>
    <x:row r="1565">
      <x:c r="A1565" s="36" t="str">
        <x:v>2026-07-16</x:v>
      </x:c>
      <x:c r="B1565" s="18" t="str">
        <x:v>101437000_78235</x:v>
      </x:c>
      <x:c r="C1565" s="18" t="str">
        <x:v>【沪村小电】欣秋苑充电站</x:v>
      </x:c>
      <x:c r="D1565" s="37" t="str">
        <x:v>4</x:v>
      </x:c>
      <x:c r="E1565" s="37" t="str">
        <x:v>0</x:v>
      </x:c>
      <x:c r="F1565" s="37" t="str">
        <x:v>17</x:v>
      </x:c>
      <x:c r="G1565" s="37" t="str">
        <x:v>385.13</x:v>
      </x:c>
      <x:c r="H1565" s="37" t="str">
        <x:v>0.00</x:v>
      </x:c>
      <x:c r="I1565" s="37" t="str">
        <x:v>259.77</x:v>
      </x:c>
      <x:c r="J1565" s="37" t="str">
        <x:v>0.00</x:v>
      </x:c>
      <x:c r="K1565" s="37" t="str">
        <x:v>125.36</x:v>
      </x:c>
      <x:c r="L1565" s="37" t="str">
        <x:v>662</x:v>
      </x:c>
      <x:c r="M1565" s="29" t="str">
        <x:v>371.70</x:v>
      </x:c>
      <x:c r="N1565" s="29" t="str">
        <x:v>230.82</x:v>
      </x:c>
      <x:c r="O1565" s="29" t="str">
        <x:v>140.88</x:v>
      </x:c>
      <x:c r="P1565" s="18" t="str">
        <x:v>2026-07-16</x:v>
      </x:c>
      <x:c r="Q1565" s="36" t="n">
        <x:v>46219</x:v>
      </x:c>
    </x:row>
    <x:row r="1566">
      <x:c r="A1566" s="36" t="str">
        <x:v>2026-07-16</x:v>
      </x:c>
      <x:c r="B1566" s="18" t="str">
        <x:v>101437000_78237</x:v>
      </x:c>
      <x:c r="C1566" s="18" t="str">
        <x:v>【沪村小电】奉馨苑西门小区内北侧充电站</x:v>
      </x:c>
      <x:c r="D1566" s="37" t="str">
        <x:v>2</x:v>
      </x:c>
      <x:c r="E1566" s="37" t="str">
        <x:v>0</x:v>
      </x:c>
      <x:c r="F1566" s="37" t="str">
        <x:v>36</x:v>
      </x:c>
      <x:c r="G1566" s="37" t="str">
        <x:v>1029.61</x:v>
      </x:c>
      <x:c r="H1566" s="37" t="str">
        <x:v>29.76</x:v>
      </x:c>
      <x:c r="I1566" s="37" t="str">
        <x:v>107.77</x:v>
      </x:c>
      <x:c r="J1566" s="37" t="str">
        <x:v>425.15</x:v>
      </x:c>
      <x:c r="K1566" s="37" t="str">
        <x:v>466.93</x:v>
      </x:c>
      <x:c r="L1566" s="37" t="str">
        <x:v>1414</x:v>
      </x:c>
      <x:c r="M1566" s="29" t="str">
        <x:v>848.28</x:v>
      </x:c>
      <x:c r="N1566" s="29" t="str">
        <x:v>645.73</x:v>
      </x:c>
      <x:c r="O1566" s="29" t="str">
        <x:v>202.55</x:v>
      </x:c>
      <x:c r="P1566" s="18" t="str">
        <x:v>2026-07-16</x:v>
      </x:c>
      <x:c r="Q1566" s="36" t="n">
        <x:v>46219</x:v>
      </x:c>
    </x:row>
    <x:row r="1567">
      <x:c r="A1567" s="36" t="str">
        <x:v>2026-07-16</x:v>
      </x:c>
      <x:c r="B1567" s="18" t="str">
        <x:v>101437000_78239</x:v>
      </x:c>
      <x:c r="C1567" s="18" t="str">
        <x:v>【沪村小电】恒大佘山首府东门充电站</x:v>
      </x:c>
      <x:c r="D1567" s="37" t="str">
        <x:v>2</x:v>
      </x:c>
      <x:c r="E1567" s="37" t="str">
        <x:v>0</x:v>
      </x:c>
      <x:c r="F1567" s="37" t="str">
        <x:v>39</x:v>
      </x:c>
      <x:c r="G1567" s="37" t="str">
        <x:v>1063.00</x:v>
      </x:c>
      <x:c r="H1567" s="37" t="str">
        <x:v>0.00</x:v>
      </x:c>
      <x:c r="I1567" s="37" t="str">
        <x:v>604.14</x:v>
      </x:c>
      <x:c r="J1567" s="37" t="str">
        <x:v>0.00</x:v>
      </x:c>
      <x:c r="K1567" s="37" t="str">
        <x:v>458.86</x:v>
      </x:c>
      <x:c r="L1567" s="37" t="str">
        <x:v>1509</x:v>
      </x:c>
      <x:c r="M1567" s="29" t="str">
        <x:v>880.53</x:v>
      </x:c>
      <x:c r="N1567" s="29" t="str">
        <x:v>598.68</x:v>
      </x:c>
      <x:c r="O1567" s="29" t="str">
        <x:v>281.85</x:v>
      </x:c>
      <x:c r="P1567" s="18" t="str">
        <x:v>2026-07-16</x:v>
      </x:c>
      <x:c r="Q1567" s="36" t="n">
        <x:v>46219</x:v>
      </x:c>
    </x:row>
    <x:row r="1568">
      <x:c r="A1568" s="36" t="str">
        <x:v>2026-07-16</x:v>
      </x:c>
      <x:c r="B1568" s="18" t="str">
        <x:v>101437000_80823</x:v>
      </x:c>
      <x:c r="C1568" s="18" t="str">
        <x:v>【沪村小电】上湖轩充电站</x:v>
      </x:c>
      <x:c r="D1568" s="37" t="str">
        <x:v>2</x:v>
      </x:c>
      <x:c r="E1568" s="37" t="str">
        <x:v>0</x:v>
      </x:c>
      <x:c r="F1568" s="37" t="str">
        <x:v>11</x:v>
      </x:c>
      <x:c r="G1568" s="37" t="str">
        <x:v>338.10</x:v>
      </x:c>
      <x:c r="H1568" s="37" t="str">
        <x:v>0.00</x:v>
      </x:c>
      <x:c r="I1568" s="37" t="str">
        <x:v>7.99</x:v>
      </x:c>
      <x:c r="J1568" s="37" t="str">
        <x:v>27.94</x:v>
      </x:c>
      <x:c r="K1568" s="37" t="str">
        <x:v>302.17</x:v>
      </x:c>
      <x:c r="L1568" s="37" t="str">
        <x:v>451</x:v>
      </x:c>
      <x:c r="M1568" s="29" t="str">
        <x:v>222.84</x:v>
      </x:c>
      <x:c r="N1568" s="29" t="str">
        <x:v>187.00</x:v>
      </x:c>
      <x:c r="O1568" s="29" t="str">
        <x:v>35.84</x:v>
      </x:c>
      <x:c r="P1568" s="18" t="str">
        <x:v>2026-07-16</x:v>
      </x:c>
      <x:c r="Q1568" s="36" t="n">
        <x:v>46219</x:v>
      </x:c>
    </x:row>
    <x:row r="1569">
      <x:c r="A1569" s="36" t="str">
        <x:v>2026-07-16</x:v>
      </x:c>
      <x:c r="B1569" s="18" t="str">
        <x:v>101437000_83019</x:v>
      </x:c>
      <x:c r="C1569" s="18" t="str">
        <x:v>【沪村小电】首创禧瑞云启东区充电站</x:v>
      </x:c>
      <x:c r="D1569" s="37" t="str">
        <x:v>2</x:v>
      </x:c>
      <x:c r="E1569" s="37" t="str">
        <x:v>0</x:v>
      </x:c>
      <x:c r="F1569" s="37" t="str">
        <x:v>31</x:v>
      </x:c>
      <x:c r="G1569" s="37" t="str">
        <x:v>690.02</x:v>
      </x:c>
      <x:c r="H1569" s="37" t="str">
        <x:v>0.00</x:v>
      </x:c>
      <x:c r="I1569" s="37" t="str">
        <x:v>397.73</x:v>
      </x:c>
      <x:c r="J1569" s="37" t="str">
        <x:v>0.00</x:v>
      </x:c>
      <x:c r="K1569" s="37" t="str">
        <x:v>292.29</x:v>
      </x:c>
      <x:c r="L1569" s="37" t="str">
        <x:v>923</x:v>
      </x:c>
      <x:c r="M1569" s="29" t="str">
        <x:v>628.47</x:v>
      </x:c>
      <x:c r="N1569" s="29" t="str">
        <x:v>390.55</x:v>
      </x:c>
      <x:c r="O1569" s="29" t="str">
        <x:v>237.92</x:v>
      </x:c>
      <x:c r="P1569" s="18" t="str">
        <x:v>2026-07-16</x:v>
      </x:c>
      <x:c r="Q1569" s="36" t="n">
        <x:v>46219</x:v>
      </x:c>
    </x:row>
    <x:row r="1570">
      <x:c r="A1570" s="36" t="str">
        <x:v>2026-07-16</x:v>
      </x:c>
      <x:c r="B1570" s="18" t="str">
        <x:v>101437000_83093</x:v>
      </x:c>
      <x:c r="C1570" s="18" t="str">
        <x:v>【沪村小电】金茂未来时光里</x:v>
      </x:c>
      <x:c r="D1570" s="37" t="str">
        <x:v>2</x:v>
      </x:c>
      <x:c r="E1570" s="37" t="str">
        <x:v>0</x:v>
      </x:c>
      <x:c r="F1570" s="37" t="str">
        <x:v>86</x:v>
      </x:c>
      <x:c r="G1570" s="37" t="str">
        <x:v>2316.79</x:v>
      </x:c>
      <x:c r="H1570" s="37" t="str">
        <x:v>0.00</x:v>
      </x:c>
      <x:c r="I1570" s="37" t="str">
        <x:v>1153.76</x:v>
      </x:c>
      <x:c r="J1570" s="37" t="str">
        <x:v>0.00</x:v>
      </x:c>
      <x:c r="K1570" s="37" t="str">
        <x:v>1163.03</x:v>
      </x:c>
      <x:c r="L1570" s="37" t="str">
        <x:v>3237</x:v>
      </x:c>
      <x:c r="M1570" s="29" t="str">
        <x:v>1539.06</x:v>
      </x:c>
      <x:c r="N1570" s="29" t="str">
        <x:v>1041.27</x:v>
      </x:c>
      <x:c r="O1570" s="29" t="str">
        <x:v>497.79</x:v>
      </x:c>
      <x:c r="P1570" s="18" t="str">
        <x:v>2026-07-16</x:v>
      </x:c>
      <x:c r="Q1570" s="36" t="n">
        <x:v>46219</x:v>
      </x:c>
    </x:row>
    <x:row r="1571">
      <x:c r="A1571" s="36" t="str">
        <x:v>2026-07-16</x:v>
      </x:c>
      <x:c r="B1571" s="18" t="str">
        <x:v>101437000_83911</x:v>
      </x:c>
      <x:c r="C1571" s="18" t="str">
        <x:v>【沪村小电】金瀚园充电站</x:v>
      </x:c>
      <x:c r="D1571" s="37" t="str">
        <x:v>2</x:v>
      </x:c>
      <x:c r="E1571" s="37" t="str">
        <x:v>0</x:v>
      </x:c>
      <x:c r="F1571" s="37" t="str">
        <x:v>56</x:v>
      </x:c>
      <x:c r="G1571" s="37" t="str">
        <x:v>1334.36</x:v>
      </x:c>
      <x:c r="H1571" s="37" t="str">
        <x:v>0.00</x:v>
      </x:c>
      <x:c r="I1571" s="37" t="str">
        <x:v>831.71</x:v>
      </x:c>
      <x:c r="J1571" s="37" t="str">
        <x:v>0.00</x:v>
      </x:c>
      <x:c r="K1571" s="37" t="str">
        <x:v>502.65</x:v>
      </x:c>
      <x:c r="L1571" s="37" t="str">
        <x:v>1885</x:v>
      </x:c>
      <x:c r="M1571" s="29" t="str">
        <x:v>1187.57</x:v>
      </x:c>
      <x:c r="N1571" s="29" t="str">
        <x:v>776.48</x:v>
      </x:c>
      <x:c r="O1571" s="29" t="str">
        <x:v>411.09</x:v>
      </x:c>
      <x:c r="P1571" s="18" t="str">
        <x:v>2026-07-16</x:v>
      </x:c>
      <x:c r="Q1571" s="36" t="n">
        <x:v>46219</x:v>
      </x:c>
    </x:row>
    <x:row r="1572">
      <x:c r="A1572" s="36" t="str">
        <x:v>2026-07-16</x:v>
      </x:c>
      <x:c r="B1572" s="18" t="str">
        <x:v>101437000_83913</x:v>
      </x:c>
      <x:c r="C1572" s="18" t="str">
        <x:v>【沪村小电】新黎村充电站</x:v>
      </x:c>
      <x:c r="D1572" s="37" t="str">
        <x:v>2</x:v>
      </x:c>
      <x:c r="E1572" s="37" t="str">
        <x:v>0</x:v>
      </x:c>
      <x:c r="F1572" s="37" t="str">
        <x:v>72</x:v>
      </x:c>
      <x:c r="G1572" s="37" t="str">
        <x:v>1468.94</x:v>
      </x:c>
      <x:c r="H1572" s="37" t="str">
        <x:v>0.00</x:v>
      </x:c>
      <x:c r="I1572" s="37" t="str">
        <x:v>1150.54</x:v>
      </x:c>
      <x:c r="J1572" s="37" t="str">
        <x:v>0.00</x:v>
      </x:c>
      <x:c r="K1572" s="37" t="str">
        <x:v>318.41</x:v>
      </x:c>
      <x:c r="L1572" s="37" t="str">
        <x:v>2404</x:v>
      </x:c>
      <x:c r="M1572" s="29" t="str">
        <x:v>1337.30</x:v>
      </x:c>
      <x:c r="N1572" s="29" t="str">
        <x:v>934.67</x:v>
      </x:c>
      <x:c r="O1572" s="29" t="str">
        <x:v>402.63</x:v>
      </x:c>
      <x:c r="P1572" s="18" t="str">
        <x:v>2026-07-16</x:v>
      </x:c>
      <x:c r="Q1572" s="36" t="n">
        <x:v>46219</x:v>
      </x:c>
    </x:row>
    <x:row r="1573">
      <x:c r="A1573" s="36" t="str">
        <x:v>2026-07-16</x:v>
      </x:c>
      <x:c r="B1573" s="18" t="str">
        <x:v>101437000_83915</x:v>
      </x:c>
      <x:c r="C1573" s="18" t="str">
        <x:v>【沪村小电】长泰西郊别墅充电站</x:v>
      </x:c>
      <x:c r="D1573" s="37" t="str">
        <x:v>2</x:v>
      </x:c>
      <x:c r="E1573" s="37" t="str">
        <x:v>0</x:v>
      </x:c>
      <x:c r="F1573" s="37" t="str">
        <x:v>26</x:v>
      </x:c>
      <x:c r="G1573" s="37" t="str">
        <x:v>574.91</x:v>
      </x:c>
      <x:c r="H1573" s="37" t="str">
        <x:v>0.00</x:v>
      </x:c>
      <x:c r="I1573" s="37" t="str">
        <x:v>323.22</x:v>
      </x:c>
      <x:c r="J1573" s="37" t="str">
        <x:v>0.00</x:v>
      </x:c>
      <x:c r="K1573" s="37" t="str">
        <x:v>251.69</x:v>
      </x:c>
      <x:c r="L1573" s="37" t="str">
        <x:v>963</x:v>
      </x:c>
      <x:c r="M1573" s="29" t="str">
        <x:v>488.95</x:v>
      </x:c>
      <x:c r="N1573" s="29" t="str">
        <x:v>322.59</x:v>
      </x:c>
      <x:c r="O1573" s="29" t="str">
        <x:v>166.36</x:v>
      </x:c>
      <x:c r="P1573" s="18" t="str">
        <x:v>2026-07-16</x:v>
      </x:c>
      <x:c r="Q1573" s="36" t="n">
        <x:v>46219</x:v>
      </x:c>
    </x:row>
    <x:row r="1574">
      <x:c r="A1574" s="36" t="str">
        <x:v>2026-07-16</x:v>
      </x:c>
      <x:c r="B1574" s="18" t="str">
        <x:v>101437000_83917</x:v>
      </x:c>
      <x:c r="C1574" s="18" t="str">
        <x:v>【沪村小电】旭新华庭充电站</x:v>
      </x:c>
      <x:c r="D1574" s="37" t="str">
        <x:v>4</x:v>
      </x:c>
      <x:c r="E1574" s="37" t="str">
        <x:v>0</x:v>
      </x:c>
      <x:c r="F1574" s="37" t="str">
        <x:v>25</x:v>
      </x:c>
      <x:c r="G1574" s="37" t="str">
        <x:v>655.43</x:v>
      </x:c>
      <x:c r="H1574" s="37" t="str">
        <x:v>0.00</x:v>
      </x:c>
      <x:c r="I1574" s="37" t="str">
        <x:v>460.55</x:v>
      </x:c>
      <x:c r="J1574" s="37" t="str">
        <x:v>0.00</x:v>
      </x:c>
      <x:c r="K1574" s="37" t="str">
        <x:v>194.89</x:v>
      </x:c>
      <x:c r="L1574" s="37" t="str">
        <x:v>1003</x:v>
      </x:c>
      <x:c r="M1574" s="29" t="str">
        <x:v>671.36</x:v>
      </x:c>
      <x:c r="N1574" s="29" t="str">
        <x:v>399.11</x:v>
      </x:c>
      <x:c r="O1574" s="29" t="str">
        <x:v>272.25</x:v>
      </x:c>
      <x:c r="P1574" s="18" t="str">
        <x:v>2026-07-16</x:v>
      </x:c>
      <x:c r="Q1574" s="36" t="n">
        <x:v>46219</x:v>
      </x:c>
    </x:row>
    <x:row r="1575">
      <x:c r="A1575" s="36" t="str">
        <x:v>2026-07-16</x:v>
      </x:c>
      <x:c r="B1575" s="18" t="str">
        <x:v>101437000_83919</x:v>
      </x:c>
      <x:c r="C1575" s="18" t="str">
        <x:v>【沪村小电】浦锦名仕嘉园充电站</x:v>
      </x:c>
      <x:c r="D1575" s="37" t="str">
        <x:v>4</x:v>
      </x:c>
      <x:c r="E1575" s="37" t="str">
        <x:v>0</x:v>
      </x:c>
      <x:c r="F1575" s="37" t="str">
        <x:v>32</x:v>
      </x:c>
      <x:c r="G1575" s="37" t="str">
        <x:v>758.57</x:v>
      </x:c>
      <x:c r="H1575" s="37" t="str">
        <x:v>0.00</x:v>
      </x:c>
      <x:c r="I1575" s="37" t="str">
        <x:v>0.00</x:v>
      </x:c>
      <x:c r="J1575" s="37" t="str">
        <x:v>758.57</x:v>
      </x:c>
      <x:c r="K1575" s="37" t="str">
        <x:v>0.00</x:v>
      </x:c>
      <x:c r="L1575" s="37" t="str">
        <x:v>1181</x:v>
      </x:c>
      <x:c r="M1575" s="29" t="str">
        <x:v>750.10</x:v>
      </x:c>
      <x:c r="N1575" s="29" t="str">
        <x:v>531.00</x:v>
      </x:c>
      <x:c r="O1575" s="29" t="str">
        <x:v>219.10</x:v>
      </x:c>
      <x:c r="P1575" s="18" t="str">
        <x:v>2026-07-16</x:v>
      </x:c>
      <x:c r="Q1575" s="36" t="n">
        <x:v>46219</x:v>
      </x:c>
    </x:row>
    <x:row r="1576">
      <x:c r="A1576" s="36" t="str">
        <x:v>2026-07-16</x:v>
      </x:c>
      <x:c r="B1576" s="18" t="str">
        <x:v>101437000_83921</x:v>
      </x:c>
      <x:c r="C1576" s="18" t="str">
        <x:v>【沪村小电】上海联怡枇杷乐园充电站（地库）</x:v>
      </x:c>
      <x:c r="D1576" s="37" t="str">
        <x:v>8</x:v>
      </x:c>
      <x:c r="E1576" s="37" t="str">
        <x:v>0</x:v>
      </x:c>
      <x:c r="F1576" s="37" t="str">
        <x:v>13</x:v>
      </x:c>
      <x:c r="G1576" s="37" t="str">
        <x:v>350.11</x:v>
      </x:c>
      <x:c r="H1576" s="37" t="str">
        <x:v>0.00</x:v>
      </x:c>
      <x:c r="I1576" s="37" t="str">
        <x:v>249.16</x:v>
      </x:c>
      <x:c r="J1576" s="37" t="str">
        <x:v>0.00</x:v>
      </x:c>
      <x:c r="K1576" s="37" t="str">
        <x:v>100.94</x:v>
      </x:c>
      <x:c r="L1576" s="37" t="str">
        <x:v>508</x:v>
      </x:c>
      <x:c r="M1576" s="29" t="str">
        <x:v>340.43</x:v>
      </x:c>
      <x:c r="N1576" s="29" t="str">
        <x:v>270.68</x:v>
      </x:c>
      <x:c r="O1576" s="29" t="str">
        <x:v>69.75</x:v>
      </x:c>
      <x:c r="P1576" s="18" t="str">
        <x:v>2026-07-16</x:v>
      </x:c>
      <x:c r="Q1576" s="36" t="n">
        <x:v>46219</x:v>
      </x:c>
    </x:row>
    <x:row r="1577">
      <x:c r="A1577" s="36" t="str">
        <x:v>2026-07-16</x:v>
      </x:c>
      <x:c r="B1577" s="18" t="str">
        <x:v>101437000_83923</x:v>
      </x:c>
      <x:c r="C1577" s="18" t="str">
        <x:v>【沪村小电】明珠新苑充电站</x:v>
      </x:c>
      <x:c r="D1577" s="37" t="str">
        <x:v>2</x:v>
      </x:c>
      <x:c r="E1577" s="37" t="str">
        <x:v>0</x:v>
      </x:c>
      <x:c r="F1577" s="37" t="str">
        <x:v>37</x:v>
      </x:c>
      <x:c r="G1577" s="37" t="str">
        <x:v>958.39</x:v>
      </x:c>
      <x:c r="H1577" s="37" t="str">
        <x:v>0.00</x:v>
      </x:c>
      <x:c r="I1577" s="37" t="str">
        <x:v>690.74</x:v>
      </x:c>
      <x:c r="J1577" s="37" t="str">
        <x:v>0.00</x:v>
      </x:c>
      <x:c r="K1577" s="37" t="str">
        <x:v>267.65</x:v>
      </x:c>
      <x:c r="L1577" s="37" t="str">
        <x:v>1374</x:v>
      </x:c>
      <x:c r="M1577" s="29" t="str">
        <x:v>912.40</x:v>
      </x:c>
      <x:c r="N1577" s="29" t="str">
        <x:v>589.46</x:v>
      </x:c>
      <x:c r="O1577" s="29" t="str">
        <x:v>322.94</x:v>
      </x:c>
      <x:c r="P1577" s="18" t="str">
        <x:v>2026-07-16</x:v>
      </x:c>
      <x:c r="Q1577" s="36" t="n">
        <x:v>46219</x:v>
      </x:c>
    </x:row>
    <x:row r="1578">
      <x:c r="A1578" s="36" t="str">
        <x:v>2026-07-16</x:v>
      </x:c>
      <x:c r="B1578" s="18" t="str">
        <x:v>101437000_84289</x:v>
      </x:c>
      <x:c r="C1578" s="18" t="str">
        <x:v>【沪村小电】铁建芳华苑充电站</x:v>
      </x:c>
      <x:c r="D1578" s="37" t="str">
        <x:v>4</x:v>
      </x:c>
      <x:c r="E1578" s="37" t="str">
        <x:v>0</x:v>
      </x:c>
      <x:c r="F1578" s="37" t="str">
        <x:v>31</x:v>
      </x:c>
      <x:c r="G1578" s="37" t="str">
        <x:v>625.33</x:v>
      </x:c>
      <x:c r="H1578" s="37" t="str">
        <x:v>0.00</x:v>
      </x:c>
      <x:c r="I1578" s="37" t="str">
        <x:v>430.83</x:v>
      </x:c>
      <x:c r="J1578" s="37" t="str">
        <x:v>0.00</x:v>
      </x:c>
      <x:c r="K1578" s="37" t="str">
        <x:v>194.50</x:v>
      </x:c>
      <x:c r="L1578" s="37" t="str">
        <x:v>1035</x:v>
      </x:c>
      <x:c r="M1578" s="29" t="str">
        <x:v>562.00</x:v>
      </x:c>
      <x:c r="N1578" s="29" t="str">
        <x:v>377.86</x:v>
      </x:c>
      <x:c r="O1578" s="29" t="str">
        <x:v>184.14</x:v>
      </x:c>
      <x:c r="P1578" s="18" t="str">
        <x:v>2026-07-16</x:v>
      </x:c>
      <x:c r="Q1578" s="36" t="n">
        <x:v>46219</x:v>
      </x:c>
    </x:row>
    <x:row r="1579">
      <x:c r="A1579" s="36" t="str">
        <x:v>2026-07-16</x:v>
      </x:c>
      <x:c r="B1579" s="18" t="str">
        <x:v>101437000_86379</x:v>
      </x:c>
      <x:c r="C1579" s="18" t="str">
        <x:v>【沪村小电】新宝社区充电站</x:v>
      </x:c>
      <x:c r="D1579" s="37" t="str">
        <x:v>4</x:v>
      </x:c>
      <x:c r="E1579" s="37" t="str">
        <x:v>0</x:v>
      </x:c>
      <x:c r="F1579" s="37" t="str">
        <x:v>38</x:v>
      </x:c>
      <x:c r="G1579" s="37" t="str">
        <x:v>976.19</x:v>
      </x:c>
      <x:c r="H1579" s="37" t="str">
        <x:v>0.00</x:v>
      </x:c>
      <x:c r="I1579" s="37" t="str">
        <x:v>667.59</x:v>
      </x:c>
      <x:c r="J1579" s="37" t="str">
        <x:v>0.00</x:v>
      </x:c>
      <x:c r="K1579" s="37" t="str">
        <x:v>308.60</x:v>
      </x:c>
      <x:c r="L1579" s="37" t="str">
        <x:v>1632</x:v>
      </x:c>
      <x:c r="M1579" s="29" t="str">
        <x:v>942.70</x:v>
      </x:c>
      <x:c r="N1579" s="29" t="str">
        <x:v>588.18</x:v>
      </x:c>
      <x:c r="O1579" s="29" t="str">
        <x:v>354.52</x:v>
      </x:c>
      <x:c r="P1579" s="18" t="str">
        <x:v>2026-07-16</x:v>
      </x:c>
      <x:c r="Q1579" s="36" t="n">
        <x:v>46219</x:v>
      </x:c>
    </x:row>
    <x:row r="1580">
      <x:c r="A1580" s="36" t="str">
        <x:v>2026-07-16</x:v>
      </x:c>
      <x:c r="B1580" s="18" t="str">
        <x:v>101437000_89441</x:v>
      </x:c>
      <x:c r="C1580" s="18" t="str">
        <x:v>【沪村小电】首创禧瑞云启西区充电站</x:v>
      </x:c>
      <x:c r="D1580" s="37" t="str">
        <x:v>2</x:v>
      </x:c>
      <x:c r="E1580" s="37" t="str">
        <x:v>0</x:v>
      </x:c>
      <x:c r="F1580" s="37" t="str">
        <x:v>24</x:v>
      </x:c>
      <x:c r="G1580" s="37" t="str">
        <x:v>718.94</x:v>
      </x:c>
      <x:c r="H1580" s="37" t="str">
        <x:v>0.00</x:v>
      </x:c>
      <x:c r="I1580" s="37" t="str">
        <x:v>493.01</x:v>
      </x:c>
      <x:c r="J1580" s="37" t="str">
        <x:v>0.00</x:v>
      </x:c>
      <x:c r="K1580" s="37" t="str">
        <x:v>225.93</x:v>
      </x:c>
      <x:c r="L1580" s="37" t="str">
        <x:v>882</x:v>
      </x:c>
      <x:c r="M1580" s="29" t="str">
        <x:v>703.24</x:v>
      </x:c>
      <x:c r="N1580" s="29" t="str">
        <x:v>433.63</x:v>
      </x:c>
      <x:c r="O1580" s="29" t="str">
        <x:v>269.61</x:v>
      </x:c>
      <x:c r="P1580" s="18" t="str">
        <x:v>2026-07-16</x:v>
      </x:c>
      <x:c r="Q1580" s="36" t="n">
        <x:v>46219</x:v>
      </x:c>
    </x:row>
    <x:row r="1581">
      <x:c r="A1581" s="36" t="str">
        <x:v>2026-07-16</x:v>
      </x:c>
      <x:c r="B1581" s="18" t="str">
        <x:v>101437000_89443</x:v>
      </x:c>
      <x:c r="C1581" s="18" t="str">
        <x:v>【沪村小电】玉兰清苑二期充电站</x:v>
      </x:c>
      <x:c r="D1581" s="37" t="str">
        <x:v>2</x:v>
      </x:c>
      <x:c r="E1581" s="37" t="str">
        <x:v>0</x:v>
      </x:c>
      <x:c r="F1581" s="37" t="str">
        <x:v>45</x:v>
      </x:c>
      <x:c r="G1581" s="37" t="str">
        <x:v>807.02</x:v>
      </x:c>
      <x:c r="H1581" s="37" t="str">
        <x:v>0.00</x:v>
      </x:c>
      <x:c r="I1581" s="37" t="str">
        <x:v>676.99</x:v>
      </x:c>
      <x:c r="J1581" s="37" t="str">
        <x:v>0.00</x:v>
      </x:c>
      <x:c r="K1581" s="37" t="str">
        <x:v>130.03</x:v>
      </x:c>
      <x:c r="L1581" s="37" t="str">
        <x:v>1289</x:v>
      </x:c>
      <x:c r="M1581" s="29" t="str">
        <x:v>789.39</x:v>
      </x:c>
      <x:c r="N1581" s="29" t="str">
        <x:v>528.80</x:v>
      </x:c>
      <x:c r="O1581" s="29" t="str">
        <x:v>260.59</x:v>
      </x:c>
      <x:c r="P1581" s="18" t="str">
        <x:v>2026-07-16</x:v>
      </x:c>
      <x:c r="Q1581" s="36" t="n">
        <x:v>46219</x:v>
      </x:c>
    </x:row>
    <x:row r="1582">
      <x:c r="A1582" s="36" t="str">
        <x:v>2026-07-16</x:v>
      </x:c>
      <x:c r="B1582" s="18" t="str">
        <x:v>101437000_93115</x:v>
      </x:c>
      <x:c r="C1582" s="18" t="str">
        <x:v>【沪村小电】新南家园西北门</x:v>
      </x:c>
      <x:c r="D1582" s="37" t="str">
        <x:v>2</x:v>
      </x:c>
      <x:c r="E1582" s="37" t="str">
        <x:v>0</x:v>
      </x:c>
      <x:c r="F1582" s="37" t="str">
        <x:v>25</x:v>
      </x:c>
      <x:c r="G1582" s="37" t="str">
        <x:v>729.23</x:v>
      </x:c>
      <x:c r="H1582" s="37" t="str">
        <x:v>0.00</x:v>
      </x:c>
      <x:c r="I1582" s="37" t="str">
        <x:v>297.84</x:v>
      </x:c>
      <x:c r="J1582" s="37" t="str">
        <x:v>0.00</x:v>
      </x:c>
      <x:c r="K1582" s="37" t="str">
        <x:v>431.39</x:v>
      </x:c>
      <x:c r="L1582" s="37" t="str">
        <x:v>1176</x:v>
      </x:c>
      <x:c r="M1582" s="29" t="str">
        <x:v>613.74</x:v>
      </x:c>
      <x:c r="N1582" s="29" t="str">
        <x:v>371.09</x:v>
      </x:c>
      <x:c r="O1582" s="29" t="str">
        <x:v>242.65</x:v>
      </x:c>
      <x:c r="P1582" s="18" t="str">
        <x:v>2026-07-16</x:v>
      </x:c>
      <x:c r="Q1582" s="36" t="n">
        <x:v>46219</x:v>
      </x:c>
    </x:row>
    <x:row r="1583">
      <x:c r="A1583" s="36" t="str">
        <x:v>2026-07-16</x:v>
      </x:c>
      <x:c r="B1583" s="18" t="str">
        <x:v>101437000_94649</x:v>
      </x:c>
      <x:c r="C1583" s="18" t="str">
        <x:v>【沪村小电】浪琴水岸花园</x:v>
      </x:c>
      <x:c r="D1583" s="37" t="str">
        <x:v>4</x:v>
      </x:c>
      <x:c r="E1583" s="37" t="str">
        <x:v>0</x:v>
      </x:c>
      <x:c r="F1583" s="37" t="str">
        <x:v>34</x:v>
      </x:c>
      <x:c r="G1583" s="37" t="str">
        <x:v>761.92</x:v>
      </x:c>
      <x:c r="H1583" s="37" t="str">
        <x:v>0.00</x:v>
      </x:c>
      <x:c r="I1583" s="37" t="str">
        <x:v>402.99</x:v>
      </x:c>
      <x:c r="J1583" s="37" t="str">
        <x:v>0.00</x:v>
      </x:c>
      <x:c r="K1583" s="37" t="str">
        <x:v>358.93</x:v>
      </x:c>
      <x:c r="L1583" s="37" t="str">
        <x:v>1220</x:v>
      </x:c>
      <x:c r="M1583" s="29" t="str">
        <x:v>589.51</x:v>
      </x:c>
      <x:c r="N1583" s="29" t="str">
        <x:v>454.84</x:v>
      </x:c>
      <x:c r="O1583" s="29" t="str">
        <x:v>134.67</x:v>
      </x:c>
      <x:c r="P1583" s="18" t="str">
        <x:v>2026-07-16</x:v>
      </x:c>
      <x:c r="Q1583" s="36" t="n">
        <x:v>46219</x:v>
      </x:c>
    </x:row>
    <x:row r="1584">
      <x:c r="A1584" s="36" t="str">
        <x:v>2026-07-16</x:v>
      </x:c>
      <x:c r="B1584" s="18" t="str">
        <x:v>101437000_95077</x:v>
      </x:c>
      <x:c r="C1584" s="18" t="str">
        <x:v>【沪村小电】民乐城惠益绿苑255弄充电站</x:v>
      </x:c>
      <x:c r="D1584" s="37" t="str">
        <x:v>2</x:v>
      </x:c>
      <x:c r="E1584" s="37" t="str">
        <x:v>0</x:v>
      </x:c>
      <x:c r="F1584" s="37" t="str">
        <x:v>4</x:v>
      </x:c>
      <x:c r="G1584" s="37" t="str">
        <x:v>155.22</x:v>
      </x:c>
      <x:c r="H1584" s="37" t="str">
        <x:v>0.00</x:v>
      </x:c>
      <x:c r="I1584" s="37" t="str">
        <x:v>103.07</x:v>
      </x:c>
      <x:c r="J1584" s="37" t="str">
        <x:v>0.00</x:v>
      </x:c>
      <x:c r="K1584" s="37" t="str">
        <x:v>52.14</x:v>
      </x:c>
      <x:c r="L1584" s="37" t="str">
        <x:v>247</x:v>
      </x:c>
      <x:c r="M1584" s="29" t="str">
        <x:v>126.68</x:v>
      </x:c>
      <x:c r="N1584" s="29" t="str">
        <x:v>92.47</x:v>
      </x:c>
      <x:c r="O1584" s="29" t="str">
        <x:v>34.21</x:v>
      </x:c>
      <x:c r="P1584" s="18" t="str">
        <x:v>2026-07-16</x:v>
      </x:c>
      <x:c r="Q1584" s="36" t="n">
        <x:v>46219</x:v>
      </x:c>
    </x:row>
    <x:row r="1585">
      <x:c r="A1585" s="36" t="str">
        <x:v>2026-07-16</x:v>
      </x:c>
      <x:c r="B1585" s="18" t="str">
        <x:v>101437000_95079</x:v>
      </x:c>
      <x:c r="C1585" s="18" t="str">
        <x:v>【沪村小电】民乐城惠益绿苑东苑充电站</x:v>
      </x:c>
      <x:c r="D1585" s="37" t="str">
        <x:v>2</x:v>
      </x:c>
      <x:c r="E1585" s="37" t="str">
        <x:v>0</x:v>
      </x:c>
      <x:c r="F1585" s="37" t="str">
        <x:v>18</x:v>
      </x:c>
      <x:c r="G1585" s="37" t="str">
        <x:v>404.52</x:v>
      </x:c>
      <x:c r="H1585" s="37" t="str">
        <x:v>0.00</x:v>
      </x:c>
      <x:c r="I1585" s="37" t="str">
        <x:v>287.94</x:v>
      </x:c>
      <x:c r="J1585" s="37" t="str">
        <x:v>0.00</x:v>
      </x:c>
      <x:c r="K1585" s="37" t="str">
        <x:v>116.58</x:v>
      </x:c>
      <x:c r="L1585" s="37" t="str">
        <x:v>595</x:v>
      </x:c>
      <x:c r="M1585" s="29" t="str">
        <x:v>335.36</x:v>
      </x:c>
      <x:c r="N1585" s="29" t="str">
        <x:v>247.58</x:v>
      </x:c>
      <x:c r="O1585" s="29" t="str">
        <x:v>87.78</x:v>
      </x:c>
      <x:c r="P1585" s="18" t="str">
        <x:v>2026-07-16</x:v>
      </x:c>
      <x:c r="Q1585" s="36" t="n">
        <x:v>46219</x:v>
      </x:c>
    </x:row>
    <x:row r="1586">
      <x:c r="A1586" s="36" t="str">
        <x:v>2026-07-16</x:v>
      </x:c>
      <x:c r="B1586" s="18" t="str">
        <x:v>101437000_95081</x:v>
      </x:c>
      <x:c r="C1586" s="18" t="str">
        <x:v>【沪村小电】民乐城惠益绿苑西苑充电站</x:v>
      </x:c>
      <x:c r="D1586" s="37" t="str">
        <x:v>2</x:v>
      </x:c>
      <x:c r="E1586" s="37" t="str">
        <x:v>0</x:v>
      </x:c>
      <x:c r="F1586" s="37" t="str">
        <x:v>7</x:v>
      </x:c>
      <x:c r="G1586" s="37" t="str">
        <x:v>182.71</x:v>
      </x:c>
      <x:c r="H1586" s="37" t="str">
        <x:v>0.00</x:v>
      </x:c>
      <x:c r="I1586" s="37" t="str">
        <x:v>182.71</x:v>
      </x:c>
      <x:c r="J1586" s="37" t="str">
        <x:v>0.00</x:v>
      </x:c>
      <x:c r="K1586" s="37" t="str">
        <x:v>0.00</x:v>
      </x:c>
      <x:c r="L1586" s="37" t="str">
        <x:v>263</x:v>
      </x:c>
      <x:c r="M1586" s="29" t="str">
        <x:v>180.63</x:v>
      </x:c>
      <x:c r="N1586" s="29" t="str">
        <x:v>129.73</x:v>
      </x:c>
      <x:c r="O1586" s="29" t="str">
        <x:v>50.90</x:v>
      </x:c>
      <x:c r="P1586" s="18" t="str">
        <x:v>2026-07-16</x:v>
      </x:c>
      <x:c r="Q1586" s="36" t="n">
        <x:v>46219</x:v>
      </x:c>
    </x:row>
    <x:row r="1587">
      <x:c r="A1587" s="36" t="str">
        <x:v>2026-07-16</x:v>
      </x:c>
      <x:c r="B1587" s="18" t="str">
        <x:v>101437000_95941</x:v>
      </x:c>
      <x:c r="C1587" s="18" t="str">
        <x:v>【沪村小电】惠诚雅苑</x:v>
      </x:c>
      <x:c r="D1587" s="37" t="str">
        <x:v>4</x:v>
      </x:c>
      <x:c r="E1587" s="37" t="str">
        <x:v>0</x:v>
      </x:c>
      <x:c r="F1587" s="37" t="str">
        <x:v>35</x:v>
      </x:c>
      <x:c r="G1587" s="37" t="str">
        <x:v>825.47</x:v>
      </x:c>
      <x:c r="H1587" s="37" t="str">
        <x:v>0.00</x:v>
      </x:c>
      <x:c r="I1587" s="37" t="str">
        <x:v>532.99</x:v>
      </x:c>
      <x:c r="J1587" s="37" t="str">
        <x:v>0.00</x:v>
      </x:c>
      <x:c r="K1587" s="37" t="str">
        <x:v>292.49</x:v>
      </x:c>
      <x:c r="L1587" s="37" t="str">
        <x:v>1525</x:v>
      </x:c>
      <x:c r="M1587" s="29" t="str">
        <x:v>608.56</x:v>
      </x:c>
      <x:c r="N1587" s="29" t="str">
        <x:v>405.17</x:v>
      </x:c>
      <x:c r="O1587" s="29" t="str">
        <x:v>203.39</x:v>
      </x:c>
      <x:c r="P1587" s="18" t="str">
        <x:v>2026-07-16</x:v>
      </x:c>
      <x:c r="Q1587" s="36" t="n">
        <x:v>46219</x:v>
      </x:c>
    </x:row>
    <x:row r="1588">
      <x:c r="A1588" s="36" t="str">
        <x:v>2026-07-16</x:v>
      </x:c>
      <x:c r="B1588" s="18" t="str">
        <x:v>101437000_96401</x:v>
      </x:c>
      <x:c r="C1588" s="18" t="str">
        <x:v>【沪村小电】上海联怡枇杷乐园地面站</x:v>
      </x:c>
      <x:c r="D1588" s="37" t="str">
        <x:v>2</x:v>
      </x:c>
      <x:c r="E1588" s="37" t="str">
        <x:v>0</x:v>
      </x:c>
      <x:c r="F1588" s="37" t="str">
        <x:v>12</x:v>
      </x:c>
      <x:c r="G1588" s="37" t="str">
        <x:v>205.96</x:v>
      </x:c>
      <x:c r="H1588" s="37" t="str">
        <x:v>0.00</x:v>
      </x:c>
      <x:c r="I1588" s="37" t="str">
        <x:v>138.61</x:v>
      </x:c>
      <x:c r="J1588" s="37" t="str">
        <x:v>0.00</x:v>
      </x:c>
      <x:c r="K1588" s="37" t="str">
        <x:v>67.35</x:v>
      </x:c>
      <x:c r="L1588" s="37" t="str">
        <x:v>374</x:v>
      </x:c>
      <x:c r="M1588" s="29" t="str">
        <x:v>223.62</x:v>
      </x:c>
      <x:c r="N1588" s="29" t="str">
        <x:v>155.74</x:v>
      </x:c>
      <x:c r="O1588" s="29" t="str">
        <x:v>67.88</x:v>
      </x:c>
      <x:c r="P1588" s="18" t="str">
        <x:v>2026-07-16</x:v>
      </x:c>
      <x:c r="Q1588" s="36" t="n">
        <x:v>46219</x:v>
      </x:c>
    </x:row>
    <x:row r="1589">
      <x:c r="A1589" s="36" t="str">
        <x:v>2026-07-16</x:v>
      </x:c>
      <x:c r="B1589" s="18" t="str">
        <x:v>101437000_96719</x:v>
      </x:c>
      <x:c r="C1589" s="18" t="str">
        <x:v>【沪村小电】四达路220弄充电站</x:v>
      </x:c>
      <x:c r="D1589" s="37" t="str">
        <x:v>2</x:v>
      </x:c>
      <x:c r="E1589" s="37" t="str">
        <x:v>0</x:v>
      </x:c>
      <x:c r="F1589" s="37" t="str">
        <x:v>7</x:v>
      </x:c>
      <x:c r="G1589" s="37" t="str">
        <x:v>155.35</x:v>
      </x:c>
      <x:c r="H1589" s="37" t="str">
        <x:v>0.00</x:v>
      </x:c>
      <x:c r="I1589" s="37" t="str">
        <x:v>140.97</x:v>
      </x:c>
      <x:c r="J1589" s="37" t="str">
        <x:v>0.00</x:v>
      </x:c>
      <x:c r="K1589" s="37" t="str">
        <x:v>14.38</x:v>
      </x:c>
      <x:c r="L1589" s="37" t="str">
        <x:v>326</x:v>
      </x:c>
      <x:c r="M1589" s="29" t="str">
        <x:v>137.07</x:v>
      </x:c>
      <x:c r="N1589" s="29" t="str">
        <x:v>105.42</x:v>
      </x:c>
      <x:c r="O1589" s="29" t="str">
        <x:v>31.65</x:v>
      </x:c>
      <x:c r="P1589" s="18" t="str">
        <x:v>2026-07-16</x:v>
      </x:c>
      <x:c r="Q1589" s="36" t="n">
        <x:v>46219</x:v>
      </x:c>
    </x:row>
    <x:row r="1590">
      <x:c r="A1590" s="36" t="str">
        <x:v>2026-07-16</x:v>
      </x:c>
      <x:c r="B1590" s="18" t="str">
        <x:v>101437000_97421</x:v>
      </x:c>
      <x:c r="C1590" s="18" t="str">
        <x:v>【沪村小电】玉兰清苑二期（小区外）充电站</x:v>
      </x:c>
      <x:c r="D1590" s="37" t="str">
        <x:v>4</x:v>
      </x:c>
      <x:c r="E1590" s="37" t="str">
        <x:v>0</x:v>
      </x:c>
      <x:c r="F1590" s="37" t="str">
        <x:v>48</x:v>
      </x:c>
      <x:c r="G1590" s="37" t="str">
        <x:v>1123.16</x:v>
      </x:c>
      <x:c r="H1590" s="37" t="str">
        <x:v>0.00</x:v>
      </x:c>
      <x:c r="I1590" s="37" t="str">
        <x:v>874.26</x:v>
      </x:c>
      <x:c r="J1590" s="37" t="str">
        <x:v>0.00</x:v>
      </x:c>
      <x:c r="K1590" s="37" t="str">
        <x:v>248.90</x:v>
      </x:c>
      <x:c r="L1590" s="37" t="str">
        <x:v>1996</x:v>
      </x:c>
      <x:c r="M1590" s="29" t="str">
        <x:v>1054.09</x:v>
      </x:c>
      <x:c r="N1590" s="29" t="str">
        <x:v>712.82</x:v>
      </x:c>
      <x:c r="O1590" s="29" t="str">
        <x:v>341.27</x:v>
      </x:c>
      <x:c r="P1590" s="18" t="str">
        <x:v>2026-07-16</x:v>
      </x:c>
      <x:c r="Q1590" s="36" t="n">
        <x:v>46219</x:v>
      </x:c>
    </x:row>
    <x:row r="1591">
      <x:c r="A1591" s="36" t="str">
        <x:v>2026-07-16</x:v>
      </x:c>
      <x:c r="B1591" s="18" t="str">
        <x:v>101437000_98013</x:v>
      </x:c>
      <x:c r="C1591" s="18" t="str">
        <x:v>【沪村小电】恒大滨江华府充电站</x:v>
      </x:c>
      <x:c r="D1591" s="37" t="str">
        <x:v>4</x:v>
      </x:c>
      <x:c r="E1591" s="37" t="str">
        <x:v>0</x:v>
      </x:c>
      <x:c r="F1591" s="37" t="str">
        <x:v>60</x:v>
      </x:c>
      <x:c r="G1591" s="37" t="str">
        <x:v>1219.12</x:v>
      </x:c>
      <x:c r="H1591" s="37" t="str">
        <x:v>0.00</x:v>
      </x:c>
      <x:c r="I1591" s="37" t="str">
        <x:v>858.84</x:v>
      </x:c>
      <x:c r="J1591" s="37" t="str">
        <x:v>0.00</x:v>
      </x:c>
      <x:c r="K1591" s="37" t="str">
        <x:v>360.27</x:v>
      </x:c>
      <x:c r="L1591" s="37" t="str">
        <x:v>1997</x:v>
      </x:c>
      <x:c r="M1591" s="29" t="str">
        <x:v>1197.35</x:v>
      </x:c>
      <x:c r="N1591" s="29" t="str">
        <x:v>938.71</x:v>
      </x:c>
      <x:c r="O1591" s="29" t="str">
        <x:v>258.64</x:v>
      </x:c>
      <x:c r="P1591" s="18" t="str">
        <x:v>2026-07-16</x:v>
      </x:c>
      <x:c r="Q1591" s="36" t="n">
        <x:v>46219</x:v>
      </x:c>
    </x:row>
    <x:row r="1592">
      <x:c r="A1592" s="36" t="str">
        <x:v>2026-07-16</x:v>
      </x:c>
      <x:c r="B1592" s="18" t="str">
        <x:v>101437000_98863</x:v>
      </x:c>
      <x:c r="C1592" s="18" t="str">
        <x:v>【沪村小电】欣菊苑充电站</x:v>
      </x:c>
      <x:c r="D1592" s="37" t="str">
        <x:v>4</x:v>
      </x:c>
      <x:c r="E1592" s="37" t="str">
        <x:v>0</x:v>
      </x:c>
      <x:c r="F1592" s="37" t="str">
        <x:v>10</x:v>
      </x:c>
      <x:c r="G1592" s="37" t="str">
        <x:v>195.31</x:v>
      </x:c>
      <x:c r="H1592" s="37" t="str">
        <x:v>0.00</x:v>
      </x:c>
      <x:c r="I1592" s="37" t="str">
        <x:v>190.99</x:v>
      </x:c>
      <x:c r="J1592" s="37" t="str">
        <x:v>0.00</x:v>
      </x:c>
      <x:c r="K1592" s="37" t="str">
        <x:v>4.32</x:v>
      </x:c>
      <x:c r="L1592" s="37" t="str">
        <x:v>321</x:v>
      </x:c>
      <x:c r="M1592" s="29" t="str">
        <x:v>191.66</x:v>
      </x:c>
      <x:c r="N1592" s="29" t="str">
        <x:v>137.20</x:v>
      </x:c>
      <x:c r="O1592" s="29" t="str">
        <x:v>54.46</x:v>
      </x:c>
      <x:c r="P1592" s="18" t="str">
        <x:v>2026-07-16</x:v>
      </x:c>
      <x:c r="Q1592" s="36" t="n">
        <x:v>46219</x:v>
      </x:c>
    </x:row>
    <x:row r="1593">
      <x:c r="A1593" s="36" t="str">
        <x:v>2026-07-16</x:v>
      </x:c>
      <x:c r="B1593" s="18" t="str">
        <x:v>101437000_98865</x:v>
      </x:c>
      <x:c r="C1593" s="18" t="str">
        <x:v>【沪村小电】欣松苑充电站</x:v>
      </x:c>
      <x:c r="D1593" s="37" t="str">
        <x:v>4</x:v>
      </x:c>
      <x:c r="E1593" s="37" t="str">
        <x:v>0</x:v>
      </x:c>
      <x:c r="F1593" s="37" t="str">
        <x:v>27</x:v>
      </x:c>
      <x:c r="G1593" s="37" t="str">
        <x:v>635.78</x:v>
      </x:c>
      <x:c r="H1593" s="37" t="str">
        <x:v>0.00</x:v>
      </x:c>
      <x:c r="I1593" s="37" t="str">
        <x:v>560.32</x:v>
      </x:c>
      <x:c r="J1593" s="37" t="str">
        <x:v>0.00</x:v>
      </x:c>
      <x:c r="K1593" s="37" t="str">
        <x:v>75.45</x:v>
      </x:c>
      <x:c r="L1593" s="37" t="str">
        <x:v>962</x:v>
      </x:c>
      <x:c r="M1593" s="29" t="str">
        <x:v>607.14</x:v>
      </x:c>
      <x:c r="N1593" s="29" t="str">
        <x:v>425.77</x:v>
      </x:c>
      <x:c r="O1593" s="29" t="str">
        <x:v>181.37</x:v>
      </x:c>
      <x:c r="P1593" s="18" t="str">
        <x:v>2026-07-16</x:v>
      </x:c>
      <x:c r="Q1593" s="36" t="n">
        <x:v>46219</x:v>
      </x:c>
    </x:row>
    <x:row r="1594">
      <x:c r="A1594" s="36" t="str">
        <x:v>2026-07-16</x:v>
      </x:c>
      <x:c r="B1594" s="18" t="str">
        <x:v>101437000_98867</x:v>
      </x:c>
      <x:c r="C1594" s="18" t="str">
        <x:v>【沪村小电】欣荷苑充电站</x:v>
      </x:c>
      <x:c r="D1594" s="37" t="str">
        <x:v>4</x:v>
      </x:c>
      <x:c r="E1594" s="37" t="str">
        <x:v>0</x:v>
      </x:c>
      <x:c r="F1594" s="37" t="str">
        <x:v>13</x:v>
      </x:c>
      <x:c r="G1594" s="37" t="str">
        <x:v>280.28</x:v>
      </x:c>
      <x:c r="H1594" s="37" t="str">
        <x:v>0.00</x:v>
      </x:c>
      <x:c r="I1594" s="37" t="str">
        <x:v>235.86</x:v>
      </x:c>
      <x:c r="J1594" s="37" t="str">
        <x:v>0.00</x:v>
      </x:c>
      <x:c r="K1594" s="37" t="str">
        <x:v>44.42</x:v>
      </x:c>
      <x:c r="L1594" s="37" t="str">
        <x:v>428</x:v>
      </x:c>
      <x:c r="M1594" s="29" t="str">
        <x:v>224.23</x:v>
      </x:c>
      <x:c r="N1594" s="29" t="str">
        <x:v>183.89</x:v>
      </x:c>
      <x:c r="O1594" s="29" t="str">
        <x:v>40.34</x:v>
      </x:c>
      <x:c r="P1594" s="18" t="str">
        <x:v>2026-07-16</x:v>
      </x:c>
      <x:c r="Q1594" s="36" t="n">
        <x:v>46219</x:v>
      </x:c>
    </x:row>
    <x:row r="1595">
      <x:c r="A1595" s="36" t="str">
        <x:v>2026-07-16</x:v>
      </x:c>
      <x:c r="B1595" s="18" t="str">
        <x:v>101437000_99885</x:v>
      </x:c>
      <x:c r="C1595" s="18" t="str">
        <x:v>【沪村小电】汇丰馨苑充电站</x:v>
      </x:c>
      <x:c r="D1595" s="37" t="str">
        <x:v>4</x:v>
      </x:c>
      <x:c r="E1595" s="37" t="str">
        <x:v>0</x:v>
      </x:c>
      <x:c r="F1595" s="37" t="str">
        <x:v>17</x:v>
      </x:c>
      <x:c r="G1595" s="37" t="str">
        <x:v>451.32</x:v>
      </x:c>
      <x:c r="H1595" s="37" t="str">
        <x:v>0.00</x:v>
      </x:c>
      <x:c r="I1595" s="37" t="str">
        <x:v>338.95</x:v>
      </x:c>
      <x:c r="J1595" s="37" t="str">
        <x:v>0.00</x:v>
      </x:c>
      <x:c r="K1595" s="37" t="str">
        <x:v>112.37</x:v>
      </x:c>
      <x:c r="L1595" s="37" t="str">
        <x:v>706</x:v>
      </x:c>
      <x:c r="M1595" s="29" t="str">
        <x:v>434.81</x:v>
      </x:c>
      <x:c r="N1595" s="29" t="str">
        <x:v>282.22</x:v>
      </x:c>
      <x:c r="O1595" s="29" t="str">
        <x:v>152.59</x:v>
      </x:c>
      <x:c r="P1595" s="18" t="str">
        <x:v>2026-07-16</x:v>
      </x:c>
      <x:c r="Q1595" s="36" t="n">
        <x:v>46219</x:v>
      </x:c>
    </x:row>
    <x:row r="1596">
      <x:c r="A1596" s="36" t="str">
        <x:v>2026-07-16</x:v>
      </x:c>
      <x:c r="B1596" s="18" t="str">
        <x:v>101437000_99887</x:v>
      </x:c>
      <x:c r="C1596" s="18" t="str">
        <x:v>【沪村小电】新南村河南小区充电站</x:v>
      </x:c>
      <x:c r="D1596" s="37" t="str">
        <x:v>2</x:v>
      </x:c>
      <x:c r="E1596" s="37" t="str">
        <x:v>0</x:v>
      </x:c>
      <x:c r="F1596" s="37" t="str">
        <x:v>13</x:v>
      </x:c>
      <x:c r="G1596" s="37" t="str">
        <x:v>398.87</x:v>
      </x:c>
      <x:c r="H1596" s="37" t="str">
        <x:v>0.00</x:v>
      </x:c>
      <x:c r="I1596" s="37" t="str">
        <x:v>238.12</x:v>
      </x:c>
      <x:c r="J1596" s="37" t="str">
        <x:v>0.00</x:v>
      </x:c>
      <x:c r="K1596" s="37" t="str">
        <x:v>160.75</x:v>
      </x:c>
      <x:c r="L1596" s="37" t="str">
        <x:v>739</x:v>
      </x:c>
      <x:c r="M1596" s="29" t="str">
        <x:v>300.38</x:v>
      </x:c>
      <x:c r="N1596" s="29" t="str">
        <x:v>228.53</x:v>
      </x:c>
      <x:c r="O1596" s="29" t="str">
        <x:v>71.85</x:v>
      </x:c>
      <x:c r="P1596" s="18" t="str">
        <x:v>2026-07-16</x:v>
      </x:c>
      <x:c r="Q1596" s="36" t="n">
        <x:v>46219</x:v>
      </x:c>
    </x:row>
    <x:row r="1597">
      <x:c r="A1597" s="36" t="str">
        <x:v>2026-07-16</x:v>
      </x:c>
      <x:c r="B1597" s="18" t="str">
        <x:v>101437000_99889</x:v>
      </x:c>
      <x:c r="C1597" s="18" t="str">
        <x:v>【沪村小电】漕泾郊野公园</x:v>
      </x:c>
      <x:c r="D1597" s="37" t="str">
        <x:v>2</x:v>
      </x:c>
      <x:c r="E1597" s="37" t="str">
        <x:v>0</x:v>
      </x:c>
      <x:c r="F1597" s="37" t="str">
        <x:v>6</x:v>
      </x:c>
      <x:c r="G1597" s="37" t="str">
        <x:v>165.86</x:v>
      </x:c>
      <x:c r="H1597" s="37" t="str">
        <x:v>0.00</x:v>
      </x:c>
      <x:c r="I1597" s="37" t="str">
        <x:v>136.81</x:v>
      </x:c>
      <x:c r="J1597" s="37" t="str">
        <x:v>0.00</x:v>
      </x:c>
      <x:c r="K1597" s="37" t="str">
        <x:v>29.05</x:v>
      </x:c>
      <x:c r="L1597" s="37" t="str">
        <x:v>252</x:v>
      </x:c>
      <x:c r="M1597" s="29" t="str">
        <x:v>198.15</x:v>
      </x:c>
      <x:c r="N1597" s="29" t="str">
        <x:v>121.40</x:v>
      </x:c>
      <x:c r="O1597" s="29" t="str">
        <x:v>76.75</x:v>
      </x:c>
      <x:c r="P1597" s="18" t="str">
        <x:v>2026-07-16</x:v>
      </x:c>
      <x:c r="Q1597" s="36" t="n">
        <x:v>46219</x:v>
      </x:c>
    </x:row>
    <x:row r="1598">
      <x:c r="A1598" s="36" t="str">
        <x:v>2026-07-16</x:v>
      </x:c>
      <x:c r="B1598" s="18" t="str">
        <x:v>101437000_99891</x:v>
      </x:c>
      <x:c r="C1598" s="18" t="str">
        <x:v>【沪村小电】水韵紫城充电站</x:v>
      </x:c>
      <x:c r="D1598" s="37" t="str">
        <x:v>4</x:v>
      </x:c>
      <x:c r="E1598" s="37" t="str">
        <x:v>0</x:v>
      </x:c>
      <x:c r="F1598" s="37" t="str">
        <x:v>38</x:v>
      </x:c>
      <x:c r="G1598" s="37" t="str">
        <x:v>1059.35</x:v>
      </x:c>
      <x:c r="H1598" s="37" t="str">
        <x:v>0.00</x:v>
      </x:c>
      <x:c r="I1598" s="37" t="str">
        <x:v>806.74</x:v>
      </x:c>
      <x:c r="J1598" s="37" t="str">
        <x:v>0.00</x:v>
      </x:c>
      <x:c r="K1598" s="37" t="str">
        <x:v>252.61</x:v>
      </x:c>
      <x:c r="L1598" s="37" t="str">
        <x:v>1599</x:v>
      </x:c>
      <x:c r="M1598" s="29" t="str">
        <x:v>992.79</x:v>
      </x:c>
      <x:c r="N1598" s="29" t="str">
        <x:v>666.22</x:v>
      </x:c>
      <x:c r="O1598" s="29" t="str">
        <x:v>326.57</x:v>
      </x:c>
      <x:c r="P1598" s="18" t="str">
        <x:v>2026-07-16</x:v>
      </x:c>
      <x:c r="Q1598" s="36" t="n">
        <x:v>46219</x:v>
      </x:c>
    </x:row>
    <x:row r="1599">
      <x:c r="A1599" s="36" t="str">
        <x:v>2026-07-15</x:v>
      </x:c>
      <x:c r="B1599" s="18" t="str">
        <x:v>101437000_103503</x:v>
      </x:c>
      <x:c r="C1599" s="18" t="str">
        <x:v>【沪村小电】阳光城新界充电站</x:v>
      </x:c>
      <x:c r="D1599" s="37" t="str">
        <x:v>4</x:v>
      </x:c>
      <x:c r="E1599" s="37" t="str">
        <x:v>0</x:v>
      </x:c>
      <x:c r="F1599" s="37" t="str">
        <x:v>4</x:v>
      </x:c>
      <x:c r="G1599" s="37" t="str">
        <x:v>105.85</x:v>
      </x:c>
      <x:c r="H1599" s="37" t="str">
        <x:v>30.66</x:v>
      </x:c>
      <x:c r="I1599" s="37" t="str">
        <x:v>51.28</x:v>
      </x:c>
      <x:c r="J1599" s="37" t="str">
        <x:v>23.91</x:v>
      </x:c>
      <x:c r="K1599" s="37" t="str">
        <x:v>0.00</x:v>
      </x:c>
      <x:c r="L1599" s="37" t="str">
        <x:v>172</x:v>
      </x:c>
      <x:c r="M1599" s="29" t="str">
        <x:v>138.55</x:v>
      </x:c>
      <x:c r="N1599" s="29" t="str">
        <x:v>124.75</x:v>
      </x:c>
      <x:c r="O1599" s="29" t="str">
        <x:v>13.80</x:v>
      </x:c>
      <x:c r="P1599" s="18" t="str">
        <x:v>2026-07-15</x:v>
      </x:c>
      <x:c r="Q1599" s="36" t="n">
        <x:v>46218</x:v>
      </x:c>
    </x:row>
    <x:row r="1600">
      <x:c r="A1600" s="36" t="str">
        <x:v>2026-07-15</x:v>
      </x:c>
      <x:c r="B1600" s="18" t="str">
        <x:v>101437000_41561</x:v>
      </x:c>
      <x:c r="C1600" s="18" t="str">
        <x:v>【沪村小电】张施小区大门处快充站</x:v>
      </x:c>
      <x:c r="D1600" s="37" t="str">
        <x:v>2</x:v>
      </x:c>
      <x:c r="E1600" s="37" t="str">
        <x:v>0</x:v>
      </x:c>
      <x:c r="F1600" s="37" t="str">
        <x:v>51</x:v>
      </x:c>
      <x:c r="G1600" s="37" t="str">
        <x:v>1471.69</x:v>
      </x:c>
      <x:c r="H1600" s="37" t="str">
        <x:v>0.00</x:v>
      </x:c>
      <x:c r="I1600" s="37" t="str">
        <x:v>726.54</x:v>
      </x:c>
      <x:c r="J1600" s="37" t="str">
        <x:v>0.00</x:v>
      </x:c>
      <x:c r="K1600" s="37" t="str">
        <x:v>745.15</x:v>
      </x:c>
      <x:c r="L1600" s="37" t="str">
        <x:v>2564</x:v>
      </x:c>
      <x:c r="M1600" s="29" t="str">
        <x:v>1140.48</x:v>
      </x:c>
      <x:c r="N1600" s="29" t="str">
        <x:v>791.53</x:v>
      </x:c>
      <x:c r="O1600" s="29" t="str">
        <x:v>348.95</x:v>
      </x:c>
      <x:c r="P1600" s="18" t="str">
        <x:v>2026-07-15</x:v>
      </x:c>
      <x:c r="Q1600" s="36" t="n">
        <x:v>46218</x:v>
      </x:c>
    </x:row>
    <x:row r="1601">
      <x:c r="A1601" s="36" t="str">
        <x:v>2026-07-15</x:v>
      </x:c>
      <x:c r="B1601" s="18" t="str">
        <x:v>101437000_41563</x:v>
      </x:c>
      <x:c r="C1601" s="18" t="str">
        <x:v>【沪村小电】同心村快充站</x:v>
      </x:c>
      <x:c r="D1601" s="37" t="str">
        <x:v>4</x:v>
      </x:c>
      <x:c r="E1601" s="37" t="str">
        <x:v>0</x:v>
      </x:c>
      <x:c r="F1601" s="37" t="str">
        <x:v>49</x:v>
      </x:c>
      <x:c r="G1601" s="37" t="str">
        <x:v>1415.97</x:v>
      </x:c>
      <x:c r="H1601" s="37" t="str">
        <x:v>0.00</x:v>
      </x:c>
      <x:c r="I1601" s="37" t="str">
        <x:v>910.82</x:v>
      </x:c>
      <x:c r="J1601" s="37" t="str">
        <x:v>0.00</x:v>
      </x:c>
      <x:c r="K1601" s="37" t="str">
        <x:v>505.15</x:v>
      </x:c>
      <x:c r="L1601" s="37" t="str">
        <x:v>2404</x:v>
      </x:c>
      <x:c r="M1601" s="29" t="str">
        <x:v>1307.01</x:v>
      </x:c>
      <x:c r="N1601" s="29" t="str">
        <x:v>833.57</x:v>
      </x:c>
      <x:c r="O1601" s="29" t="str">
        <x:v>473.44</x:v>
      </x:c>
      <x:c r="P1601" s="18" t="str">
        <x:v>2026-07-15</x:v>
      </x:c>
      <x:c r="Q1601" s="36" t="n">
        <x:v>46218</x:v>
      </x:c>
    </x:row>
    <x:row r="1602">
      <x:c r="A1602" s="36" t="str">
        <x:v>2026-07-15</x:v>
      </x:c>
      <x:c r="B1602" s="18" t="str">
        <x:v>101437000_69629</x:v>
      </x:c>
      <x:c r="C1602" s="18" t="str">
        <x:v>【沪村小电】骏丰玲珑坊西苑充电站</x:v>
      </x:c>
      <x:c r="D1602" s="37" t="str">
        <x:v>2</x:v>
      </x:c>
      <x:c r="E1602" s="37" t="str">
        <x:v>0</x:v>
      </x:c>
      <x:c r="F1602" s="37" t="str">
        <x:v>83</x:v>
      </x:c>
      <x:c r="G1602" s="37" t="str">
        <x:v>2071.21</x:v>
      </x:c>
      <x:c r="H1602" s="37" t="str">
        <x:v>0.00</x:v>
      </x:c>
      <x:c r="I1602" s="37" t="str">
        <x:v>1215.74</x:v>
      </x:c>
      <x:c r="J1602" s="37" t="str">
        <x:v>0.00</x:v>
      </x:c>
      <x:c r="K1602" s="37" t="str">
        <x:v>855.47</x:v>
      </x:c>
      <x:c r="L1602" s="37" t="str">
        <x:v>3479</x:v>
      </x:c>
      <x:c r="M1602" s="29" t="str">
        <x:v>1766.00</x:v>
      </x:c>
      <x:c r="N1602" s="29" t="str">
        <x:v>1179.69</x:v>
      </x:c>
      <x:c r="O1602" s="29" t="str">
        <x:v>586.31</x:v>
      </x:c>
      <x:c r="P1602" s="18" t="str">
        <x:v>2026-07-15</x:v>
      </x:c>
      <x:c r="Q1602" s="36" t="n">
        <x:v>46218</x:v>
      </x:c>
    </x:row>
    <x:row r="1603">
      <x:c r="A1603" s="36" t="str">
        <x:v>2026-07-15</x:v>
      </x:c>
      <x:c r="B1603" s="18" t="str">
        <x:v>101437000_70547</x:v>
      </x:c>
      <x:c r="C1603" s="18" t="str">
        <x:v>【沪村小电】农建村初心馆党群服务中心充电站</x:v>
      </x:c>
      <x:c r="D1603" s="37" t="str">
        <x:v>4</x:v>
      </x:c>
      <x:c r="E1603" s="37" t="str">
        <x:v>0</x:v>
      </x:c>
      <x:c r="F1603" s="37" t="str">
        <x:v>46</x:v>
      </x:c>
      <x:c r="G1603" s="37" t="str">
        <x:v>1044.08</x:v>
      </x:c>
      <x:c r="H1603" s="37" t="str">
        <x:v>0.00</x:v>
      </x:c>
      <x:c r="I1603" s="37" t="str">
        <x:v>596.86</x:v>
      </x:c>
      <x:c r="J1603" s="37" t="str">
        <x:v>0.00</x:v>
      </x:c>
      <x:c r="K1603" s="37" t="str">
        <x:v>447.22</x:v>
      </x:c>
      <x:c r="L1603" s="37" t="str">
        <x:v>1716</x:v>
      </x:c>
      <x:c r="M1603" s="29" t="str">
        <x:v>928.83</x:v>
      </x:c>
      <x:c r="N1603" s="29" t="str">
        <x:v>589.23</x:v>
      </x:c>
      <x:c r="O1603" s="29" t="str">
        <x:v>339.60</x:v>
      </x:c>
      <x:c r="P1603" s="18" t="str">
        <x:v>2026-07-15</x:v>
      </x:c>
      <x:c r="Q1603" s="36" t="n">
        <x:v>46218</x:v>
      </x:c>
    </x:row>
    <x:row r="1604">
      <x:c r="A1604" s="36" t="str">
        <x:v>2026-07-15</x:v>
      </x:c>
      <x:c r="B1604" s="18" t="str">
        <x:v>101437000_70549</x:v>
      </x:c>
      <x:c r="C1604" s="18" t="str">
        <x:v>【沪村小电】学府路充电站</x:v>
      </x:c>
      <x:c r="D1604" s="37" t="str">
        <x:v>2</x:v>
      </x:c>
      <x:c r="E1604" s="37" t="str">
        <x:v>0</x:v>
      </x:c>
      <x:c r="F1604" s="37" t="str">
        <x:v>13</x:v>
      </x:c>
      <x:c r="G1604" s="37" t="str">
        <x:v>306.18</x:v>
      </x:c>
      <x:c r="H1604" s="37" t="str">
        <x:v>0.00</x:v>
      </x:c>
      <x:c r="I1604" s="37" t="str">
        <x:v>219.92</x:v>
      </x:c>
      <x:c r="J1604" s="37" t="str">
        <x:v>0.00</x:v>
      </x:c>
      <x:c r="K1604" s="37" t="str">
        <x:v>86.26</x:v>
      </x:c>
      <x:c r="L1604" s="37" t="str">
        <x:v>484</x:v>
      </x:c>
      <x:c r="M1604" s="29" t="str">
        <x:v>334.03</x:v>
      </x:c>
      <x:c r="N1604" s="29" t="str">
        <x:v>188.07</x:v>
      </x:c>
      <x:c r="O1604" s="29" t="str">
        <x:v>145.96</x:v>
      </x:c>
      <x:c r="P1604" s="18" t="str">
        <x:v>2026-07-15</x:v>
      </x:c>
      <x:c r="Q1604" s="36" t="n">
        <x:v>46218</x:v>
      </x:c>
    </x:row>
    <x:row r="1605">
      <x:c r="A1605" s="36" t="str">
        <x:v>2026-07-15</x:v>
      </x:c>
      <x:c r="B1605" s="18" t="str">
        <x:v>101437000_71059</x:v>
      </x:c>
      <x:c r="C1605" s="18" t="str">
        <x:v>【沪村小电】宝乐汇商业广场站</x:v>
      </x:c>
      <x:c r="D1605" s="37" t="str">
        <x:v>4</x:v>
      </x:c>
      <x:c r="E1605" s="37" t="str">
        <x:v>0</x:v>
      </x:c>
      <x:c r="F1605" s="37" t="str">
        <x:v>28</x:v>
      </x:c>
      <x:c r="G1605" s="37" t="str">
        <x:v>646.95</x:v>
      </x:c>
      <x:c r="H1605" s="37" t="str">
        <x:v>0.00</x:v>
      </x:c>
      <x:c r="I1605" s="37" t="str">
        <x:v>524.45</x:v>
      </x:c>
      <x:c r="J1605" s="37" t="str">
        <x:v>0.00</x:v>
      </x:c>
      <x:c r="K1605" s="37" t="str">
        <x:v>122.49</x:v>
      </x:c>
      <x:c r="L1605" s="37" t="str">
        <x:v>943</x:v>
      </x:c>
      <x:c r="M1605" s="29" t="str">
        <x:v>727.65</x:v>
      </x:c>
      <x:c r="N1605" s="29" t="str">
        <x:v>528.35</x:v>
      </x:c>
      <x:c r="O1605" s="29" t="str">
        <x:v>199.30</x:v>
      </x:c>
      <x:c r="P1605" s="18" t="str">
        <x:v>2026-07-15</x:v>
      </x:c>
      <x:c r="Q1605" s="36" t="n">
        <x:v>46218</x:v>
      </x:c>
    </x:row>
    <x:row r="1606">
      <x:c r="A1606" s="36" t="str">
        <x:v>2026-07-15</x:v>
      </x:c>
      <x:c r="B1606" s="18" t="str">
        <x:v>101437000_72541</x:v>
      </x:c>
      <x:c r="C1606" s="18" t="str">
        <x:v>【沪村小电】九干路1174弄充电站</x:v>
      </x:c>
      <x:c r="D1606" s="37" t="str">
        <x:v>2</x:v>
      </x:c>
      <x:c r="E1606" s="37" t="str">
        <x:v>0</x:v>
      </x:c>
      <x:c r="F1606" s="37" t="str">
        <x:v>50</x:v>
      </x:c>
      <x:c r="G1606" s="37" t="str">
        <x:v>1142.20</x:v>
      </x:c>
      <x:c r="H1606" s="37" t="str">
        <x:v>0.00</x:v>
      </x:c>
      <x:c r="I1606" s="37" t="str">
        <x:v>812.35</x:v>
      </x:c>
      <x:c r="J1606" s="37" t="str">
        <x:v>0.00</x:v>
      </x:c>
      <x:c r="K1606" s="37" t="str">
        <x:v>329.85</x:v>
      </x:c>
      <x:c r="L1606" s="37" t="str">
        <x:v>1971</x:v>
      </x:c>
      <x:c r="M1606" s="29" t="str">
        <x:v>1010.24</x:v>
      </x:c>
      <x:c r="N1606" s="29" t="str">
        <x:v>698.81</x:v>
      </x:c>
      <x:c r="O1606" s="29" t="str">
        <x:v>311.43</x:v>
      </x:c>
      <x:c r="P1606" s="18" t="str">
        <x:v>2026-07-15</x:v>
      </x:c>
      <x:c r="Q1606" s="36" t="n">
        <x:v>46218</x:v>
      </x:c>
    </x:row>
    <x:row r="1607">
      <x:c r="A1607" s="36" t="str">
        <x:v>2026-07-15</x:v>
      </x:c>
      <x:c r="B1607" s="18" t="str">
        <x:v>101437000_72543</x:v>
      </x:c>
      <x:c r="C1607" s="18" t="str">
        <x:v>【沪村小电】叶家中心村小区充电站</x:v>
      </x:c>
      <x:c r="D1607" s="37" t="str">
        <x:v>2</x:v>
      </x:c>
      <x:c r="E1607" s="37" t="str">
        <x:v>0</x:v>
      </x:c>
      <x:c r="F1607" s="37" t="str">
        <x:v>58</x:v>
      </x:c>
      <x:c r="G1607" s="37" t="str">
        <x:v>1446.03</x:v>
      </x:c>
      <x:c r="H1607" s="37" t="str">
        <x:v>0.00</x:v>
      </x:c>
      <x:c r="I1607" s="37" t="str">
        <x:v>707.08</x:v>
      </x:c>
      <x:c r="J1607" s="37" t="str">
        <x:v>0.00</x:v>
      </x:c>
      <x:c r="K1607" s="37" t="str">
        <x:v>738.96</x:v>
      </x:c>
      <x:c r="L1607" s="37" t="str">
        <x:v>2445</x:v>
      </x:c>
      <x:c r="M1607" s="29" t="str">
        <x:v>1250.32</x:v>
      </x:c>
      <x:c r="N1607" s="29" t="str">
        <x:v>775.44</x:v>
      </x:c>
      <x:c r="O1607" s="29" t="str">
        <x:v>474.88</x:v>
      </x:c>
      <x:c r="P1607" s="18" t="str">
        <x:v>2026-07-15</x:v>
      </x:c>
      <x:c r="Q1607" s="36" t="n">
        <x:v>46218</x:v>
      </x:c>
    </x:row>
    <x:row r="1608">
      <x:c r="A1608" s="36" t="str">
        <x:v>2026-07-15</x:v>
      </x:c>
      <x:c r="B1608" s="18" t="str">
        <x:v>101437000_72937</x:v>
      </x:c>
      <x:c r="C1608" s="18" t="str">
        <x:v>【沪村小电】佘北家园茸腾苑充电站</x:v>
      </x:c>
      <x:c r="D1608" s="37" t="str">
        <x:v>4</x:v>
      </x:c>
      <x:c r="E1608" s="37" t="str">
        <x:v>0</x:v>
      </x:c>
      <x:c r="F1608" s="37" t="str">
        <x:v>20</x:v>
      </x:c>
      <x:c r="G1608" s="37" t="str">
        <x:v>507.31</x:v>
      </x:c>
      <x:c r="H1608" s="37" t="str">
        <x:v>0.00</x:v>
      </x:c>
      <x:c r="I1608" s="37" t="str">
        <x:v>507.31</x:v>
      </x:c>
      <x:c r="J1608" s="37" t="str">
        <x:v>0.00</x:v>
      </x:c>
      <x:c r="K1608" s="37" t="str">
        <x:v>0.00</x:v>
      </x:c>
      <x:c r="L1608" s="37" t="str">
        <x:v>980</x:v>
      </x:c>
      <x:c r="M1608" s="29" t="str">
        <x:v>587.74</x:v>
      </x:c>
      <x:c r="N1608" s="29" t="str">
        <x:v>360.18</x:v>
      </x:c>
      <x:c r="O1608" s="29" t="str">
        <x:v>227.56</x:v>
      </x:c>
      <x:c r="P1608" s="18" t="str">
        <x:v>2026-07-15</x:v>
      </x:c>
      <x:c r="Q1608" s="36" t="n">
        <x:v>46218</x:v>
      </x:c>
    </x:row>
    <x:row r="1609">
      <x:c r="A1609" s="36" t="str">
        <x:v>2026-07-15</x:v>
      </x:c>
      <x:c r="B1609" s="18" t="str">
        <x:v>101437000_74223</x:v>
      </x:c>
      <x:c r="C1609" s="18" t="str">
        <x:v>【沪村小电】中兴村委会充电站</x:v>
      </x:c>
      <x:c r="D1609" s="37" t="str">
        <x:v>2</x:v>
      </x:c>
      <x:c r="E1609" s="37" t="str">
        <x:v>0</x:v>
      </x:c>
      <x:c r="F1609" s="37" t="str">
        <x:v>32</x:v>
      </x:c>
      <x:c r="G1609" s="37" t="str">
        <x:v>659.62</x:v>
      </x:c>
      <x:c r="H1609" s="37" t="str">
        <x:v>0.00</x:v>
      </x:c>
      <x:c r="I1609" s="37" t="str">
        <x:v>512.45</x:v>
      </x:c>
      <x:c r="J1609" s="37" t="str">
        <x:v>0.00</x:v>
      </x:c>
      <x:c r="K1609" s="37" t="str">
        <x:v>147.17</x:v>
      </x:c>
      <x:c r="L1609" s="37" t="str">
        <x:v>1043</x:v>
      </x:c>
      <x:c r="M1609" s="29" t="str">
        <x:v>625.14</x:v>
      </x:c>
      <x:c r="N1609" s="29" t="str">
        <x:v>418.29</x:v>
      </x:c>
      <x:c r="O1609" s="29" t="str">
        <x:v>206.85</x:v>
      </x:c>
      <x:c r="P1609" s="18" t="str">
        <x:v>2026-07-15</x:v>
      </x:c>
      <x:c r="Q1609" s="36" t="n">
        <x:v>46218</x:v>
      </x:c>
    </x:row>
    <x:row r="1610">
      <x:c r="A1610" s="36" t="str">
        <x:v>2026-07-15</x:v>
      </x:c>
      <x:c r="B1610" s="18" t="str">
        <x:v>101437000_74801</x:v>
      </x:c>
      <x:c r="C1610" s="18" t="str">
        <x:v>【沪村小电】申良花园充电站</x:v>
      </x:c>
      <x:c r="D1610" s="37" t="str">
        <x:v>4</x:v>
      </x:c>
      <x:c r="E1610" s="37" t="str">
        <x:v>0</x:v>
      </x:c>
      <x:c r="F1610" s="37" t="str">
        <x:v>19</x:v>
      </x:c>
      <x:c r="G1610" s="37" t="str">
        <x:v>328.39</x:v>
      </x:c>
      <x:c r="H1610" s="37" t="str">
        <x:v>0.00</x:v>
      </x:c>
      <x:c r="I1610" s="37" t="str">
        <x:v>270.37</x:v>
      </x:c>
      <x:c r="J1610" s="37" t="str">
        <x:v>0.00</x:v>
      </x:c>
      <x:c r="K1610" s="37" t="str">
        <x:v>58.02</x:v>
      </x:c>
      <x:c r="L1610" s="37" t="str">
        <x:v>416</x:v>
      </x:c>
      <x:c r="M1610" s="29" t="str">
        <x:v>314.53</x:v>
      </x:c>
      <x:c r="N1610" s="29" t="str">
        <x:v>213.42</x:v>
      </x:c>
      <x:c r="O1610" s="29" t="str">
        <x:v>101.11</x:v>
      </x:c>
      <x:c r="P1610" s="18" t="str">
        <x:v>2026-07-15</x:v>
      </x:c>
      <x:c r="Q1610" s="36" t="n">
        <x:v>46218</x:v>
      </x:c>
    </x:row>
    <x:row r="1611">
      <x:c r="A1611" s="36" t="str">
        <x:v>2026-07-15</x:v>
      </x:c>
      <x:c r="B1611" s="18" t="str">
        <x:v>101437000_74931</x:v>
      </x:c>
      <x:c r="C1611" s="18" t="str">
        <x:v>【沪村小电】枫雅南居充电站</x:v>
      </x:c>
      <x:c r="D1611" s="37" t="str">
        <x:v>2</x:v>
      </x:c>
      <x:c r="E1611" s="37" t="str">
        <x:v>0</x:v>
      </x:c>
      <x:c r="F1611" s="37" t="str">
        <x:v>69</x:v>
      </x:c>
      <x:c r="G1611" s="37" t="str">
        <x:v>1862.62</x:v>
      </x:c>
      <x:c r="H1611" s="37" t="str">
        <x:v>0.00</x:v>
      </x:c>
      <x:c r="I1611" s="37" t="str">
        <x:v>958.11</x:v>
      </x:c>
      <x:c r="J1611" s="37" t="str">
        <x:v>0.00</x:v>
      </x:c>
      <x:c r="K1611" s="37" t="str">
        <x:v>904.51</x:v>
      </x:c>
      <x:c r="L1611" s="37" t="str">
        <x:v>2864</x:v>
      </x:c>
      <x:c r="M1611" s="29" t="str">
        <x:v>1317.92</x:v>
      </x:c>
      <x:c r="N1611" s="29" t="str">
        <x:v>845.69</x:v>
      </x:c>
      <x:c r="O1611" s="29" t="str">
        <x:v>472.23</x:v>
      </x:c>
      <x:c r="P1611" s="18" t="str">
        <x:v>2026-07-15</x:v>
      </x:c>
      <x:c r="Q1611" s="36" t="n">
        <x:v>46218</x:v>
      </x:c>
    </x:row>
    <x:row r="1612">
      <x:c r="A1612" s="36" t="str">
        <x:v>2026-07-15</x:v>
      </x:c>
      <x:c r="B1612" s="18" t="str">
        <x:v>101437000_75901</x:v>
      </x:c>
      <x:c r="C1612" s="18" t="str">
        <x:v>【沪村小电】金悦学府</x:v>
      </x:c>
      <x:c r="D1612" s="37" t="str">
        <x:v>2</x:v>
      </x:c>
      <x:c r="E1612" s="37" t="str">
        <x:v>0</x:v>
      </x:c>
      <x:c r="F1612" s="37" t="str">
        <x:v>47</x:v>
      </x:c>
      <x:c r="G1612" s="37" t="str">
        <x:v>1448.64</x:v>
      </x:c>
      <x:c r="H1612" s="37" t="str">
        <x:v>0.00</x:v>
      </x:c>
      <x:c r="I1612" s="37" t="str">
        <x:v>708.39</x:v>
      </x:c>
      <x:c r="J1612" s="37" t="str">
        <x:v>0.00</x:v>
      </x:c>
      <x:c r="K1612" s="37" t="str">
        <x:v>740.24</x:v>
      </x:c>
      <x:c r="L1612" s="37" t="str">
        <x:v>2262</x:v>
      </x:c>
      <x:c r="M1612" s="29" t="str">
        <x:v>1113.96</x:v>
      </x:c>
      <x:c r="N1612" s="29" t="str">
        <x:v>647.47</x:v>
      </x:c>
      <x:c r="O1612" s="29" t="str">
        <x:v>466.49</x:v>
      </x:c>
      <x:c r="P1612" s="18" t="str">
        <x:v>2026-07-15</x:v>
      </x:c>
      <x:c r="Q1612" s="36" t="n">
        <x:v>46218</x:v>
      </x:c>
    </x:row>
    <x:row r="1613">
      <x:c r="A1613" s="36" t="str">
        <x:v>2026-07-15</x:v>
      </x:c>
      <x:c r="B1613" s="18" t="str">
        <x:v>101437000_76091</x:v>
      </x:c>
      <x:c r="C1613" s="18" t="str">
        <x:v>【沪村小电】恒信家园充电站</x:v>
      </x:c>
      <x:c r="D1613" s="37" t="str">
        <x:v>2</x:v>
      </x:c>
      <x:c r="E1613" s="37" t="str">
        <x:v>0</x:v>
      </x:c>
      <x:c r="F1613" s="37" t="str">
        <x:v>43</x:v>
      </x:c>
      <x:c r="G1613" s="37" t="str">
        <x:v>1069.23</x:v>
      </x:c>
      <x:c r="H1613" s="37" t="str">
        <x:v>0.00</x:v>
      </x:c>
      <x:c r="I1613" s="37" t="str">
        <x:v>771.73</x:v>
      </x:c>
      <x:c r="J1613" s="37" t="str">
        <x:v>0.00</x:v>
      </x:c>
      <x:c r="K1613" s="37" t="str">
        <x:v>297.50</x:v>
      </x:c>
      <x:c r="L1613" s="37" t="str">
        <x:v>1926</x:v>
      </x:c>
      <x:c r="M1613" s="29" t="str">
        <x:v>1094.08</x:v>
      </x:c>
      <x:c r="N1613" s="29" t="str">
        <x:v>657.96</x:v>
      </x:c>
      <x:c r="O1613" s="29" t="str">
        <x:v>436.12</x:v>
      </x:c>
      <x:c r="P1613" s="18" t="str">
        <x:v>2026-07-15</x:v>
      </x:c>
      <x:c r="Q1613" s="36" t="n">
        <x:v>46218</x:v>
      </x:c>
    </x:row>
    <x:row r="1614">
      <x:c r="A1614" s="36" t="str">
        <x:v>2026-07-15</x:v>
      </x:c>
      <x:c r="B1614" s="18" t="str">
        <x:v>101437000_76417</x:v>
      </x:c>
      <x:c r="C1614" s="18" t="str">
        <x:v>【沪村小电】新春一组充电站</x:v>
      </x:c>
      <x:c r="D1614" s="37" t="str">
        <x:v>2</x:v>
      </x:c>
      <x:c r="E1614" s="37" t="str">
        <x:v>0</x:v>
      </x:c>
      <x:c r="F1614" s="37" t="str">
        <x:v>29</x:v>
      </x:c>
      <x:c r="G1614" s="37" t="str">
        <x:v>839.25</x:v>
      </x:c>
      <x:c r="H1614" s="37" t="str">
        <x:v>0.00</x:v>
      </x:c>
      <x:c r="I1614" s="37" t="str">
        <x:v>371.27</x:v>
      </x:c>
      <x:c r="J1614" s="37" t="str">
        <x:v>0.00</x:v>
      </x:c>
      <x:c r="K1614" s="37" t="str">
        <x:v>467.98</x:v>
      </x:c>
      <x:c r="L1614" s="37" t="str">
        <x:v>1294</x:v>
      </x:c>
      <x:c r="M1614" s="29" t="str">
        <x:v>655.46</x:v>
      </x:c>
      <x:c r="N1614" s="29" t="str">
        <x:v>436.74</x:v>
      </x:c>
      <x:c r="O1614" s="29" t="str">
        <x:v>218.72</x:v>
      </x:c>
      <x:c r="P1614" s="18" t="str">
        <x:v>2026-07-15</x:v>
      </x:c>
      <x:c r="Q1614" s="36" t="n">
        <x:v>46218</x:v>
      </x:c>
    </x:row>
    <x:row r="1615">
      <x:c r="A1615" s="36" t="str">
        <x:v>2026-07-15</x:v>
      </x:c>
      <x:c r="B1615" s="18" t="str">
        <x:v>101437000_78235</x:v>
      </x:c>
      <x:c r="C1615" s="18" t="str">
        <x:v>【沪村小电】欣秋苑充电站</x:v>
      </x:c>
      <x:c r="D1615" s="37" t="str">
        <x:v>4</x:v>
      </x:c>
      <x:c r="E1615" s="37" t="str">
        <x:v>0</x:v>
      </x:c>
      <x:c r="F1615" s="37" t="str">
        <x:v>20</x:v>
      </x:c>
      <x:c r="G1615" s="37" t="str">
        <x:v>517.83</x:v>
      </x:c>
      <x:c r="H1615" s="37" t="str">
        <x:v>0.00</x:v>
      </x:c>
      <x:c r="I1615" s="37" t="str">
        <x:v>292.53</x:v>
      </x:c>
      <x:c r="J1615" s="37" t="str">
        <x:v>0.00</x:v>
      </x:c>
      <x:c r="K1615" s="37" t="str">
        <x:v>225.30</x:v>
      </x:c>
      <x:c r="L1615" s="37" t="str">
        <x:v>802</x:v>
      </x:c>
      <x:c r="M1615" s="29" t="str">
        <x:v>457.72</x:v>
      </x:c>
      <x:c r="N1615" s="29" t="str">
        <x:v>291.05</x:v>
      </x:c>
      <x:c r="O1615" s="29" t="str">
        <x:v>166.67</x:v>
      </x:c>
      <x:c r="P1615" s="18" t="str">
        <x:v>2026-07-15</x:v>
      </x:c>
      <x:c r="Q1615" s="36" t="n">
        <x:v>46218</x:v>
      </x:c>
    </x:row>
    <x:row r="1616">
      <x:c r="A1616" s="36" t="str">
        <x:v>2026-07-15</x:v>
      </x:c>
      <x:c r="B1616" s="18" t="str">
        <x:v>101437000_78237</x:v>
      </x:c>
      <x:c r="C1616" s="18" t="str">
        <x:v>【沪村小电】奉馨苑西门小区内北侧充电站</x:v>
      </x:c>
      <x:c r="D1616" s="37" t="str">
        <x:v>2</x:v>
      </x:c>
      <x:c r="E1616" s="37" t="str">
        <x:v>0</x:v>
      </x:c>
      <x:c r="F1616" s="37" t="str">
        <x:v>28</x:v>
      </x:c>
      <x:c r="G1616" s="37" t="str">
        <x:v>883.13</x:v>
      </x:c>
      <x:c r="H1616" s="37" t="str">
        <x:v>0.00</x:v>
      </x:c>
      <x:c r="I1616" s="37" t="str">
        <x:v>72.40</x:v>
      </x:c>
      <x:c r="J1616" s="37" t="str">
        <x:v>365.92</x:v>
      </x:c>
      <x:c r="K1616" s="37" t="str">
        <x:v>444.81</x:v>
      </x:c>
      <x:c r="L1616" s="37" t="str">
        <x:v>1206</x:v>
      </x:c>
      <x:c r="M1616" s="29" t="str">
        <x:v>684.58</x:v>
      </x:c>
      <x:c r="N1616" s="29" t="str">
        <x:v>512.84</x:v>
      </x:c>
      <x:c r="O1616" s="29" t="str">
        <x:v>171.74</x:v>
      </x:c>
      <x:c r="P1616" s="18" t="str">
        <x:v>2026-07-15</x:v>
      </x:c>
      <x:c r="Q1616" s="36" t="n">
        <x:v>46218</x:v>
      </x:c>
    </x:row>
    <x:row r="1617">
      <x:c r="A1617" s="36" t="str">
        <x:v>2026-07-15</x:v>
      </x:c>
      <x:c r="B1617" s="18" t="str">
        <x:v>101437000_78239</x:v>
      </x:c>
      <x:c r="C1617" s="18" t="str">
        <x:v>【沪村小电】恒大佘山首府东门充电站</x:v>
      </x:c>
      <x:c r="D1617" s="37" t="str">
        <x:v>2</x:v>
      </x:c>
      <x:c r="E1617" s="37" t="str">
        <x:v>0</x:v>
      </x:c>
      <x:c r="F1617" s="37" t="str">
        <x:v>51</x:v>
      </x:c>
      <x:c r="G1617" s="37" t="str">
        <x:v>1345.76</x:v>
      </x:c>
      <x:c r="H1617" s="37" t="str">
        <x:v>0.00</x:v>
      </x:c>
      <x:c r="I1617" s="37" t="str">
        <x:v>828.99</x:v>
      </x:c>
      <x:c r="J1617" s="37" t="str">
        <x:v>0.00</x:v>
      </x:c>
      <x:c r="K1617" s="37" t="str">
        <x:v>516.77</x:v>
      </x:c>
      <x:c r="L1617" s="37" t="str">
        <x:v>1899</x:v>
      </x:c>
      <x:c r="M1617" s="29" t="str">
        <x:v>1204.34</x:v>
      </x:c>
      <x:c r="N1617" s="29" t="str">
        <x:v>779.75</x:v>
      </x:c>
      <x:c r="O1617" s="29" t="str">
        <x:v>424.59</x:v>
      </x:c>
      <x:c r="P1617" s="18" t="str">
        <x:v>2026-07-15</x:v>
      </x:c>
      <x:c r="Q1617" s="36" t="n">
        <x:v>46218</x:v>
      </x:c>
    </x:row>
    <x:row r="1618">
      <x:c r="A1618" s="36" t="str">
        <x:v>2026-07-15</x:v>
      </x:c>
      <x:c r="B1618" s="18" t="str">
        <x:v>101437000_80823</x:v>
      </x:c>
      <x:c r="C1618" s="18" t="str">
        <x:v>【沪村小电】上湖轩充电站</x:v>
      </x:c>
      <x:c r="D1618" s="37" t="str">
        <x:v>2</x:v>
      </x:c>
      <x:c r="E1618" s="37" t="str">
        <x:v>0</x:v>
      </x:c>
      <x:c r="F1618" s="37" t="str">
        <x:v>14</x:v>
      </x:c>
      <x:c r="G1618" s="37" t="str">
        <x:v>354.50</x:v>
      </x:c>
      <x:c r="H1618" s="37" t="str">
        <x:v>29.04</x:v>
      </x:c>
      <x:c r="I1618" s="37" t="str">
        <x:v>0.00</x:v>
      </x:c>
      <x:c r="J1618" s="37" t="str">
        <x:v>17.46</x:v>
      </x:c>
      <x:c r="K1618" s="37" t="str">
        <x:v>308.00</x:v>
      </x:c>
      <x:c r="L1618" s="37" t="str">
        <x:v>508</x:v>
      </x:c>
      <x:c r="M1618" s="29" t="str">
        <x:v>246.67</x:v>
      </x:c>
      <x:c r="N1618" s="29" t="str">
        <x:v>210.61</x:v>
      </x:c>
      <x:c r="O1618" s="29" t="str">
        <x:v>36.06</x:v>
      </x:c>
      <x:c r="P1618" s="18" t="str">
        <x:v>2026-07-15</x:v>
      </x:c>
      <x:c r="Q1618" s="36" t="n">
        <x:v>46218</x:v>
      </x:c>
    </x:row>
    <x:row r="1619">
      <x:c r="A1619" s="36" t="str">
        <x:v>2026-07-15</x:v>
      </x:c>
      <x:c r="B1619" s="18" t="str">
        <x:v>101437000_83019</x:v>
      </x:c>
      <x:c r="C1619" s="18" t="str">
        <x:v>【沪村小电】首创禧瑞云启东区充电站</x:v>
      </x:c>
      <x:c r="D1619" s="37" t="str">
        <x:v>2</x:v>
      </x:c>
      <x:c r="E1619" s="37" t="str">
        <x:v>0</x:v>
      </x:c>
      <x:c r="F1619" s="37" t="str">
        <x:v>36</x:v>
      </x:c>
      <x:c r="G1619" s="37" t="str">
        <x:v>757.88</x:v>
      </x:c>
      <x:c r="H1619" s="37" t="str">
        <x:v>0.00</x:v>
      </x:c>
      <x:c r="I1619" s="37" t="str">
        <x:v>533.23</x:v>
      </x:c>
      <x:c r="J1619" s="37" t="str">
        <x:v>0.00</x:v>
      </x:c>
      <x:c r="K1619" s="37" t="str">
        <x:v>224.65</x:v>
      </x:c>
      <x:c r="L1619" s="37" t="str">
        <x:v>1137</x:v>
      </x:c>
      <x:c r="M1619" s="29" t="str">
        <x:v>739.12</x:v>
      </x:c>
      <x:c r="N1619" s="29" t="str">
        <x:v>461.69</x:v>
      </x:c>
      <x:c r="O1619" s="29" t="str">
        <x:v>277.43</x:v>
      </x:c>
      <x:c r="P1619" s="18" t="str">
        <x:v>2026-07-15</x:v>
      </x:c>
      <x:c r="Q1619" s="36" t="n">
        <x:v>46218</x:v>
      </x:c>
    </x:row>
    <x:row r="1620">
      <x:c r="A1620" s="36" t="str">
        <x:v>2026-07-15</x:v>
      </x:c>
      <x:c r="B1620" s="18" t="str">
        <x:v>101437000_83093</x:v>
      </x:c>
      <x:c r="C1620" s="18" t="str">
        <x:v>【沪村小电】金茂未来时光里</x:v>
      </x:c>
      <x:c r="D1620" s="37" t="str">
        <x:v>2</x:v>
      </x:c>
      <x:c r="E1620" s="37" t="str">
        <x:v>0</x:v>
      </x:c>
      <x:c r="F1620" s="37" t="str">
        <x:v>72</x:v>
      </x:c>
      <x:c r="G1620" s="37" t="str">
        <x:v>1814.48</x:v>
      </x:c>
      <x:c r="H1620" s="37" t="str">
        <x:v>0.00</x:v>
      </x:c>
      <x:c r="I1620" s="37" t="str">
        <x:v>1008.04</x:v>
      </x:c>
      <x:c r="J1620" s="37" t="str">
        <x:v>0.00</x:v>
      </x:c>
      <x:c r="K1620" s="37" t="str">
        <x:v>806.44</x:v>
      </x:c>
      <x:c r="L1620" s="37" t="str">
        <x:v>2454</x:v>
      </x:c>
      <x:c r="M1620" s="29" t="str">
        <x:v>1301.38</x:v>
      </x:c>
      <x:c r="N1620" s="29" t="str">
        <x:v>844.77</x:v>
      </x:c>
      <x:c r="O1620" s="29" t="str">
        <x:v>456.61</x:v>
      </x:c>
      <x:c r="P1620" s="18" t="str">
        <x:v>2026-07-15</x:v>
      </x:c>
      <x:c r="Q1620" s="36" t="n">
        <x:v>46218</x:v>
      </x:c>
    </x:row>
    <x:row r="1621">
      <x:c r="A1621" s="36" t="str">
        <x:v>2026-07-15</x:v>
      </x:c>
      <x:c r="B1621" s="18" t="str">
        <x:v>101437000_83911</x:v>
      </x:c>
      <x:c r="C1621" s="18" t="str">
        <x:v>【沪村小电】金瀚园充电站</x:v>
      </x:c>
      <x:c r="D1621" s="37" t="str">
        <x:v>2</x:v>
      </x:c>
      <x:c r="E1621" s="37" t="str">
        <x:v>0</x:v>
      </x:c>
      <x:c r="F1621" s="37" t="str">
        <x:v>44</x:v>
      </x:c>
      <x:c r="G1621" s="37" t="str">
        <x:v>1073.02</x:v>
      </x:c>
      <x:c r="H1621" s="37" t="str">
        <x:v>0.00</x:v>
      </x:c>
      <x:c r="I1621" s="37" t="str">
        <x:v>572.35</x:v>
      </x:c>
      <x:c r="J1621" s="37" t="str">
        <x:v>0.00</x:v>
      </x:c>
      <x:c r="K1621" s="37" t="str">
        <x:v>500.67</x:v>
      </x:c>
      <x:c r="L1621" s="37" t="str">
        <x:v>1629</x:v>
      </x:c>
      <x:c r="M1621" s="29" t="str">
        <x:v>899.82</x:v>
      </x:c>
      <x:c r="N1621" s="29" t="str">
        <x:v>591.63</x:v>
      </x:c>
      <x:c r="O1621" s="29" t="str">
        <x:v>308.19</x:v>
      </x:c>
      <x:c r="P1621" s="18" t="str">
        <x:v>2026-07-15</x:v>
      </x:c>
      <x:c r="Q1621" s="36" t="n">
        <x:v>46218</x:v>
      </x:c>
    </x:row>
    <x:row r="1622">
      <x:c r="A1622" s="36" t="str">
        <x:v>2026-07-15</x:v>
      </x:c>
      <x:c r="B1622" s="18" t="str">
        <x:v>101437000_83913</x:v>
      </x:c>
      <x:c r="C1622" s="18" t="str">
        <x:v>【沪村小电】新黎村充电站</x:v>
      </x:c>
      <x:c r="D1622" s="37" t="str">
        <x:v>2</x:v>
      </x:c>
      <x:c r="E1622" s="37" t="str">
        <x:v>0</x:v>
      </x:c>
      <x:c r="F1622" s="37" t="str">
        <x:v>69</x:v>
      </x:c>
      <x:c r="G1622" s="37" t="str">
        <x:v>1550.36</x:v>
      </x:c>
      <x:c r="H1622" s="37" t="str">
        <x:v>0.00</x:v>
      </x:c>
      <x:c r="I1622" s="37" t="str">
        <x:v>1277.65</x:v>
      </x:c>
      <x:c r="J1622" s="37" t="str">
        <x:v>0.00</x:v>
      </x:c>
      <x:c r="K1622" s="37" t="str">
        <x:v>272.71</x:v>
      </x:c>
      <x:c r="L1622" s="37" t="str">
        <x:v>2496</x:v>
      </x:c>
      <x:c r="M1622" s="29" t="str">
        <x:v>1499.04</x:v>
      </x:c>
      <x:c r="N1622" s="29" t="str">
        <x:v>1008.04</x:v>
      </x:c>
      <x:c r="O1622" s="29" t="str">
        <x:v>491.00</x:v>
      </x:c>
      <x:c r="P1622" s="18" t="str">
        <x:v>2026-07-15</x:v>
      </x:c>
      <x:c r="Q1622" s="36" t="n">
        <x:v>46218</x:v>
      </x:c>
    </x:row>
    <x:row r="1623">
      <x:c r="A1623" s="36" t="str">
        <x:v>2026-07-15</x:v>
      </x:c>
      <x:c r="B1623" s="18" t="str">
        <x:v>101437000_83915</x:v>
      </x:c>
      <x:c r="C1623" s="18" t="str">
        <x:v>【沪村小电】长泰西郊别墅充电站</x:v>
      </x:c>
      <x:c r="D1623" s="37" t="str">
        <x:v>2</x:v>
      </x:c>
      <x:c r="E1623" s="37" t="str">
        <x:v>0</x:v>
      </x:c>
      <x:c r="F1623" s="37" t="str">
        <x:v>30</x:v>
      </x:c>
      <x:c r="G1623" s="37" t="str">
        <x:v>678.79</x:v>
      </x:c>
      <x:c r="H1623" s="37" t="str">
        <x:v>0.00</x:v>
      </x:c>
      <x:c r="I1623" s="37" t="str">
        <x:v>381.60</x:v>
      </x:c>
      <x:c r="J1623" s="37" t="str">
        <x:v>0.00</x:v>
      </x:c>
      <x:c r="K1623" s="37" t="str">
        <x:v>297.19</x:v>
      </x:c>
      <x:c r="L1623" s="37" t="str">
        <x:v>1088</x:v>
      </x:c>
      <x:c r="M1623" s="29" t="str">
        <x:v>610.14</x:v>
      </x:c>
      <x:c r="N1623" s="29" t="str">
        <x:v>380.90</x:v>
      </x:c>
      <x:c r="O1623" s="29" t="str">
        <x:v>229.24</x:v>
      </x:c>
      <x:c r="P1623" s="18" t="str">
        <x:v>2026-07-15</x:v>
      </x:c>
      <x:c r="Q1623" s="36" t="n">
        <x:v>46218</x:v>
      </x:c>
    </x:row>
    <x:row r="1624">
      <x:c r="A1624" s="36" t="str">
        <x:v>2026-07-15</x:v>
      </x:c>
      <x:c r="B1624" s="18" t="str">
        <x:v>101437000_83917</x:v>
      </x:c>
      <x:c r="C1624" s="18" t="str">
        <x:v>【沪村小电】旭新华庭充电站</x:v>
      </x:c>
      <x:c r="D1624" s="37" t="str">
        <x:v>4</x:v>
      </x:c>
      <x:c r="E1624" s="37" t="str">
        <x:v>0</x:v>
      </x:c>
      <x:c r="F1624" s="37" t="str">
        <x:v>39</x:v>
      </x:c>
      <x:c r="G1624" s="37" t="str">
        <x:v>936.29</x:v>
      </x:c>
      <x:c r="H1624" s="37" t="str">
        <x:v>0.00</x:v>
      </x:c>
      <x:c r="I1624" s="37" t="str">
        <x:v>759.02</x:v>
      </x:c>
      <x:c r="J1624" s="37" t="str">
        <x:v>0.00</x:v>
      </x:c>
      <x:c r="K1624" s="37" t="str">
        <x:v>177.27</x:v>
      </x:c>
      <x:c r="L1624" s="37" t="str">
        <x:v>1495</x:v>
      </x:c>
      <x:c r="M1624" s="29" t="str">
        <x:v>975.46</x:v>
      </x:c>
      <x:c r="N1624" s="29" t="str">
        <x:v>604.51</x:v>
      </x:c>
      <x:c r="O1624" s="29" t="str">
        <x:v>370.95</x:v>
      </x:c>
      <x:c r="P1624" s="18" t="str">
        <x:v>2026-07-15</x:v>
      </x:c>
      <x:c r="Q1624" s="36" t="n">
        <x:v>46218</x:v>
      </x:c>
    </x:row>
    <x:row r="1625">
      <x:c r="A1625" s="36" t="str">
        <x:v>2026-07-15</x:v>
      </x:c>
      <x:c r="B1625" s="18" t="str">
        <x:v>101437000_83919</x:v>
      </x:c>
      <x:c r="C1625" s="18" t="str">
        <x:v>【沪村小电】浦锦名仕嘉园充电站</x:v>
      </x:c>
      <x:c r="D1625" s="37" t="str">
        <x:v>4</x:v>
      </x:c>
      <x:c r="E1625" s="37" t="str">
        <x:v>0</x:v>
      </x:c>
      <x:c r="F1625" s="37" t="str">
        <x:v>36</x:v>
      </x:c>
      <x:c r="G1625" s="37" t="str">
        <x:v>937.00</x:v>
      </x:c>
      <x:c r="H1625" s="37" t="str">
        <x:v>0.00</x:v>
      </x:c>
      <x:c r="I1625" s="37" t="str">
        <x:v>246.42</x:v>
      </x:c>
      <x:c r="J1625" s="37" t="str">
        <x:v>598.50</x:v>
      </x:c>
      <x:c r="K1625" s="37" t="str">
        <x:v>92.07</x:v>
      </x:c>
      <x:c r="L1625" s="37" t="str">
        <x:v>1468</x:v>
      </x:c>
      <x:c r="M1625" s="29" t="str">
        <x:v>919.78</x:v>
      </x:c>
      <x:c r="N1625" s="29" t="str">
        <x:v>627.98</x:v>
      </x:c>
      <x:c r="O1625" s="29" t="str">
        <x:v>291.80</x:v>
      </x:c>
      <x:c r="P1625" s="18" t="str">
        <x:v>2026-07-15</x:v>
      </x:c>
      <x:c r="Q1625" s="36" t="n">
        <x:v>46218</x:v>
      </x:c>
    </x:row>
    <x:row r="1626">
      <x:c r="A1626" s="36" t="str">
        <x:v>2026-07-15</x:v>
      </x:c>
      <x:c r="B1626" s="18" t="str">
        <x:v>101437000_83921</x:v>
      </x:c>
      <x:c r="C1626" s="18" t="str">
        <x:v>【沪村小电】上海联怡枇杷乐园充电站（地库）</x:v>
      </x:c>
      <x:c r="D1626" s="37" t="str">
        <x:v>8</x:v>
      </x:c>
      <x:c r="E1626" s="37" t="str">
        <x:v>0</x:v>
      </x:c>
      <x:c r="F1626" s="37" t="str">
        <x:v>15</x:v>
      </x:c>
      <x:c r="G1626" s="37" t="str">
        <x:v>509.20</x:v>
      </x:c>
      <x:c r="H1626" s="37" t="str">
        <x:v>0.00</x:v>
      </x:c>
      <x:c r="I1626" s="37" t="str">
        <x:v>295.48</x:v>
      </x:c>
      <x:c r="J1626" s="37" t="str">
        <x:v>0.00</x:v>
      </x:c>
      <x:c r="K1626" s="37" t="str">
        <x:v>213.73</x:v>
      </x:c>
      <x:c r="L1626" s="37" t="str">
        <x:v>755</x:v>
      </x:c>
      <x:c r="M1626" s="29" t="str">
        <x:v>443.16</x:v>
      </x:c>
      <x:c r="N1626" s="29" t="str">
        <x:v>364.26</x:v>
      </x:c>
      <x:c r="O1626" s="29" t="str">
        <x:v>78.90</x:v>
      </x:c>
      <x:c r="P1626" s="18" t="str">
        <x:v>2026-07-15</x:v>
      </x:c>
      <x:c r="Q1626" s="36" t="n">
        <x:v>46218</x:v>
      </x:c>
    </x:row>
    <x:row r="1627">
      <x:c r="A1627" s="36" t="str">
        <x:v>2026-07-15</x:v>
      </x:c>
      <x:c r="B1627" s="18" t="str">
        <x:v>101437000_83923</x:v>
      </x:c>
      <x:c r="C1627" s="18" t="str">
        <x:v>【沪村小电】明珠新苑充电站</x:v>
      </x:c>
      <x:c r="D1627" s="37" t="str">
        <x:v>2</x:v>
      </x:c>
      <x:c r="E1627" s="37" t="str">
        <x:v>0</x:v>
      </x:c>
      <x:c r="F1627" s="37" t="str">
        <x:v>36</x:v>
      </x:c>
      <x:c r="G1627" s="37" t="str">
        <x:v>1133.68</x:v>
      </x:c>
      <x:c r="H1627" s="37" t="str">
        <x:v>0.00</x:v>
      </x:c>
      <x:c r="I1627" s="37" t="str">
        <x:v>663.39</x:v>
      </x:c>
      <x:c r="J1627" s="37" t="str">
        <x:v>0.00</x:v>
      </x:c>
      <x:c r="K1627" s="37" t="str">
        <x:v>470.30</x:v>
      </x:c>
      <x:c r="L1627" s="37" t="str">
        <x:v>1575</x:v>
      </x:c>
      <x:c r="M1627" s="29" t="str">
        <x:v>985.84</x:v>
      </x:c>
      <x:c r="N1627" s="29" t="str">
        <x:v>645.02</x:v>
      </x:c>
      <x:c r="O1627" s="29" t="str">
        <x:v>340.82</x:v>
      </x:c>
      <x:c r="P1627" s="18" t="str">
        <x:v>2026-07-15</x:v>
      </x:c>
      <x:c r="Q1627" s="36" t="n">
        <x:v>46218</x:v>
      </x:c>
    </x:row>
    <x:row r="1628">
      <x:c r="A1628" s="36" t="str">
        <x:v>2026-07-15</x:v>
      </x:c>
      <x:c r="B1628" s="18" t="str">
        <x:v>101437000_84289</x:v>
      </x:c>
      <x:c r="C1628" s="18" t="str">
        <x:v>【沪村小电】铁建芳华苑充电站</x:v>
      </x:c>
      <x:c r="D1628" s="37" t="str">
        <x:v>4</x:v>
      </x:c>
      <x:c r="E1628" s="37" t="str">
        <x:v>0</x:v>
      </x:c>
      <x:c r="F1628" s="37" t="str">
        <x:v>53</x:v>
      </x:c>
      <x:c r="G1628" s="37" t="str">
        <x:v>866.45</x:v>
      </x:c>
      <x:c r="H1628" s="37" t="str">
        <x:v>0.00</x:v>
      </x:c>
      <x:c r="I1628" s="37" t="str">
        <x:v>672.39</x:v>
      </x:c>
      <x:c r="J1628" s="37" t="str">
        <x:v>0.00</x:v>
      </x:c>
      <x:c r="K1628" s="37" t="str">
        <x:v>194.05</x:v>
      </x:c>
      <x:c r="L1628" s="37" t="str">
        <x:v>1299</x:v>
      </x:c>
      <x:c r="M1628" s="29" t="str">
        <x:v>806.67</x:v>
      </x:c>
      <x:c r="N1628" s="29" t="str">
        <x:v>549.18</x:v>
      </x:c>
      <x:c r="O1628" s="29" t="str">
        <x:v>257.49</x:v>
      </x:c>
      <x:c r="P1628" s="18" t="str">
        <x:v>2026-07-15</x:v>
      </x:c>
      <x:c r="Q1628" s="36" t="n">
        <x:v>46218</x:v>
      </x:c>
    </x:row>
    <x:row r="1629">
      <x:c r="A1629" s="36" t="str">
        <x:v>2026-07-15</x:v>
      </x:c>
      <x:c r="B1629" s="18" t="str">
        <x:v>101437000_86379</x:v>
      </x:c>
      <x:c r="C1629" s="18" t="str">
        <x:v>【沪村小电】新宝社区充电站</x:v>
      </x:c>
      <x:c r="D1629" s="37" t="str">
        <x:v>4</x:v>
      </x:c>
      <x:c r="E1629" s="37" t="str">
        <x:v>0</x:v>
      </x:c>
      <x:c r="F1629" s="37" t="str">
        <x:v>35</x:v>
      </x:c>
      <x:c r="G1629" s="37" t="str">
        <x:v>1030.48</x:v>
      </x:c>
      <x:c r="H1629" s="37" t="str">
        <x:v>0.00</x:v>
      </x:c>
      <x:c r="I1629" s="37" t="str">
        <x:v>488.40</x:v>
      </x:c>
      <x:c r="J1629" s="37" t="str">
        <x:v>0.00</x:v>
      </x:c>
      <x:c r="K1629" s="37" t="str">
        <x:v>542.09</x:v>
      </x:c>
      <x:c r="L1629" s="37" t="str">
        <x:v>1708</x:v>
      </x:c>
      <x:c r="M1629" s="29" t="str">
        <x:v>789.31</x:v>
      </x:c>
      <x:c r="N1629" s="29" t="str">
        <x:v>547.37</x:v>
      </x:c>
      <x:c r="O1629" s="29" t="str">
        <x:v>241.94</x:v>
      </x:c>
      <x:c r="P1629" s="18" t="str">
        <x:v>2026-07-15</x:v>
      </x:c>
      <x:c r="Q1629" s="36" t="n">
        <x:v>46218</x:v>
      </x:c>
    </x:row>
    <x:row r="1630">
      <x:c r="A1630" s="36" t="str">
        <x:v>2026-07-15</x:v>
      </x:c>
      <x:c r="B1630" s="18" t="str">
        <x:v>101437000_89441</x:v>
      </x:c>
      <x:c r="C1630" s="18" t="str">
        <x:v>【沪村小电】首创禧瑞云启西区充电站</x:v>
      </x:c>
      <x:c r="D1630" s="37" t="str">
        <x:v>2</x:v>
      </x:c>
      <x:c r="E1630" s="37" t="str">
        <x:v>0</x:v>
      </x:c>
      <x:c r="F1630" s="37" t="str">
        <x:v>29</x:v>
      </x:c>
      <x:c r="G1630" s="37" t="str">
        <x:v>820.30</x:v>
      </x:c>
      <x:c r="H1630" s="37" t="str">
        <x:v>0.00</x:v>
      </x:c>
      <x:c r="I1630" s="37" t="str">
        <x:v>569.13</x:v>
      </x:c>
      <x:c r="J1630" s="37" t="str">
        <x:v>0.00</x:v>
      </x:c>
      <x:c r="K1630" s="37" t="str">
        <x:v>251.16</x:v>
      </x:c>
      <x:c r="L1630" s="37" t="str">
        <x:v>1050</x:v>
      </x:c>
      <x:c r="M1630" s="29" t="str">
        <x:v>813.31</x:v>
      </x:c>
      <x:c r="N1630" s="29" t="str">
        <x:v>497.02</x:v>
      </x:c>
      <x:c r="O1630" s="29" t="str">
        <x:v>316.29</x:v>
      </x:c>
      <x:c r="P1630" s="18" t="str">
        <x:v>2026-07-15</x:v>
      </x:c>
      <x:c r="Q1630" s="36" t="n">
        <x:v>46218</x:v>
      </x:c>
    </x:row>
    <x:row r="1631">
      <x:c r="A1631" s="36" t="str">
        <x:v>2026-07-15</x:v>
      </x:c>
      <x:c r="B1631" s="18" t="str">
        <x:v>101437000_89443</x:v>
      </x:c>
      <x:c r="C1631" s="18" t="str">
        <x:v>【沪村小电】玉兰清苑二期充电站</x:v>
      </x:c>
      <x:c r="D1631" s="37" t="str">
        <x:v>2</x:v>
      </x:c>
      <x:c r="E1631" s="37" t="str">
        <x:v>0</x:v>
      </x:c>
      <x:c r="F1631" s="37" t="str">
        <x:v>23</x:v>
      </x:c>
      <x:c r="G1631" s="37" t="str">
        <x:v>497.73</x:v>
      </x:c>
      <x:c r="H1631" s="37" t="str">
        <x:v>0.00</x:v>
      </x:c>
      <x:c r="I1631" s="37" t="str">
        <x:v>399.69</x:v>
      </x:c>
      <x:c r="J1631" s="37" t="str">
        <x:v>0.00</x:v>
      </x:c>
      <x:c r="K1631" s="37" t="str">
        <x:v>98.04</x:v>
      </x:c>
      <x:c r="L1631" s="37" t="str">
        <x:v>1120</x:v>
      </x:c>
      <x:c r="M1631" s="29" t="str">
        <x:v>483.73</x:v>
      </x:c>
      <x:c r="N1631" s="29" t="str">
        <x:v>320.04</x:v>
      </x:c>
      <x:c r="O1631" s="29" t="str">
        <x:v>163.69</x:v>
      </x:c>
      <x:c r="P1631" s="18" t="str">
        <x:v>2026-07-15</x:v>
      </x:c>
      <x:c r="Q1631" s="36" t="n">
        <x:v>46218</x:v>
      </x:c>
    </x:row>
    <x:row r="1632">
      <x:c r="A1632" s="36" t="str">
        <x:v>2026-07-15</x:v>
      </x:c>
      <x:c r="B1632" s="18" t="str">
        <x:v>101437000_93115</x:v>
      </x:c>
      <x:c r="C1632" s="18" t="str">
        <x:v>【沪村小电】新南家园西北门</x:v>
      </x:c>
      <x:c r="D1632" s="37" t="str">
        <x:v>2</x:v>
      </x:c>
      <x:c r="E1632" s="37" t="str">
        <x:v>0</x:v>
      </x:c>
      <x:c r="F1632" s="37" t="str">
        <x:v>28</x:v>
      </x:c>
      <x:c r="G1632" s="37" t="str">
        <x:v>735.51</x:v>
      </x:c>
      <x:c r="H1632" s="37" t="str">
        <x:v>0.00</x:v>
      </x:c>
      <x:c r="I1632" s="37" t="str">
        <x:v>452.02</x:v>
      </x:c>
      <x:c r="J1632" s="37" t="str">
        <x:v>0.00</x:v>
      </x:c>
      <x:c r="K1632" s="37" t="str">
        <x:v>283.49</x:v>
      </x:c>
      <x:c r="L1632" s="37" t="str">
        <x:v>997</x:v>
      </x:c>
      <x:c r="M1632" s="29" t="str">
        <x:v>677.04</x:v>
      </x:c>
      <x:c r="N1632" s="29" t="str">
        <x:v>425.83</x:v>
      </x:c>
      <x:c r="O1632" s="29" t="str">
        <x:v>251.21</x:v>
      </x:c>
      <x:c r="P1632" s="18" t="str">
        <x:v>2026-07-15</x:v>
      </x:c>
      <x:c r="Q1632" s="36" t="n">
        <x:v>46218</x:v>
      </x:c>
    </x:row>
    <x:row r="1633">
      <x:c r="A1633" s="36" t="str">
        <x:v>2026-07-15</x:v>
      </x:c>
      <x:c r="B1633" s="18" t="str">
        <x:v>101437000_94649</x:v>
      </x:c>
      <x:c r="C1633" s="18" t="str">
        <x:v>【沪村小电】浪琴水岸花园</x:v>
      </x:c>
      <x:c r="D1633" s="37" t="str">
        <x:v>4</x:v>
      </x:c>
      <x:c r="E1633" s="37" t="str">
        <x:v>0</x:v>
      </x:c>
      <x:c r="F1633" s="37" t="str">
        <x:v>48</x:v>
      </x:c>
      <x:c r="G1633" s="37" t="str">
        <x:v>1222.26</x:v>
      </x:c>
      <x:c r="H1633" s="37" t="str">
        <x:v>0.00</x:v>
      </x:c>
      <x:c r="I1633" s="37" t="str">
        <x:v>840.55</x:v>
      </x:c>
      <x:c r="J1633" s="37" t="str">
        <x:v>0.00</x:v>
      </x:c>
      <x:c r="K1633" s="37" t="str">
        <x:v>381.70</x:v>
      </x:c>
      <x:c r="L1633" s="37" t="str">
        <x:v>1982</x:v>
      </x:c>
      <x:c r="M1633" s="29" t="str">
        <x:v>1110.31</x:v>
      </x:c>
      <x:c r="N1633" s="29" t="str">
        <x:v>776.20</x:v>
      </x:c>
      <x:c r="O1633" s="29" t="str">
        <x:v>334.11</x:v>
      </x:c>
      <x:c r="P1633" s="18" t="str">
        <x:v>2026-07-15</x:v>
      </x:c>
      <x:c r="Q1633" s="36" t="n">
        <x:v>46218</x:v>
      </x:c>
    </x:row>
    <x:row r="1634">
      <x:c r="A1634" s="36" t="str">
        <x:v>2026-07-15</x:v>
      </x:c>
      <x:c r="B1634" s="18" t="str">
        <x:v>101437000_95077</x:v>
      </x:c>
      <x:c r="C1634" s="18" t="str">
        <x:v>【沪村小电】民乐城惠益绿苑255弄充电站</x:v>
      </x:c>
      <x:c r="D1634" s="37" t="str">
        <x:v>2</x:v>
      </x:c>
      <x:c r="E1634" s="37" t="str">
        <x:v>0</x:v>
      </x:c>
      <x:c r="F1634" s="37" t="str">
        <x:v>13</x:v>
      </x:c>
      <x:c r="G1634" s="37" t="str">
        <x:v>370.60</x:v>
      </x:c>
      <x:c r="H1634" s="37" t="str">
        <x:v>0.00</x:v>
      </x:c>
      <x:c r="I1634" s="37" t="str">
        <x:v>325.31</x:v>
      </x:c>
      <x:c r="J1634" s="37" t="str">
        <x:v>0.00</x:v>
      </x:c>
      <x:c r="K1634" s="37" t="str">
        <x:v>45.30</x:v>
      </x:c>
      <x:c r="L1634" s="37" t="str">
        <x:v>492</x:v>
      </x:c>
      <x:c r="M1634" s="29" t="str">
        <x:v>359.95</x:v>
      </x:c>
      <x:c r="N1634" s="29" t="str">
        <x:v>247.74</x:v>
      </x:c>
      <x:c r="O1634" s="29" t="str">
        <x:v>112.21</x:v>
      </x:c>
      <x:c r="P1634" s="18" t="str">
        <x:v>2026-07-15</x:v>
      </x:c>
      <x:c r="Q1634" s="36" t="n">
        <x:v>46218</x:v>
      </x:c>
    </x:row>
    <x:row r="1635">
      <x:c r="A1635" s="36" t="str">
        <x:v>2026-07-15</x:v>
      </x:c>
      <x:c r="B1635" s="18" t="str">
        <x:v>101437000_95079</x:v>
      </x:c>
      <x:c r="C1635" s="18" t="str">
        <x:v>【沪村小电】民乐城惠益绿苑东苑充电站</x:v>
      </x:c>
      <x:c r="D1635" s="37" t="str">
        <x:v>2</x:v>
      </x:c>
      <x:c r="E1635" s="37" t="str">
        <x:v>0</x:v>
      </x:c>
      <x:c r="F1635" s="37" t="str">
        <x:v>15</x:v>
      </x:c>
      <x:c r="G1635" s="37" t="str">
        <x:v>263.15</x:v>
      </x:c>
      <x:c r="H1635" s="37" t="str">
        <x:v>0.00</x:v>
      </x:c>
      <x:c r="I1635" s="37" t="str">
        <x:v>198.19</x:v>
      </x:c>
      <x:c r="J1635" s="37" t="str">
        <x:v>0.00</x:v>
      </x:c>
      <x:c r="K1635" s="37" t="str">
        <x:v>64.97</x:v>
      </x:c>
      <x:c r="L1635" s="37" t="str">
        <x:v>396</x:v>
      </x:c>
      <x:c r="M1635" s="29" t="str">
        <x:v>239.44</x:v>
      </x:c>
      <x:c r="N1635" s="29" t="str">
        <x:v>164.75</x:v>
      </x:c>
      <x:c r="O1635" s="29" t="str">
        <x:v>74.69</x:v>
      </x:c>
      <x:c r="P1635" s="18" t="str">
        <x:v>2026-07-15</x:v>
      </x:c>
      <x:c r="Q1635" s="36" t="n">
        <x:v>46218</x:v>
      </x:c>
    </x:row>
    <x:row r="1636">
      <x:c r="A1636" s="36" t="str">
        <x:v>2026-07-15</x:v>
      </x:c>
      <x:c r="B1636" s="18" t="str">
        <x:v>101437000_95081</x:v>
      </x:c>
      <x:c r="C1636" s="18" t="str">
        <x:v>【沪村小电】民乐城惠益绿苑西苑充电站</x:v>
      </x:c>
      <x:c r="D1636" s="37" t="str">
        <x:v>2</x:v>
      </x:c>
      <x:c r="E1636" s="37" t="str">
        <x:v>0</x:v>
      </x:c>
      <x:c r="F1636" s="37" t="str">
        <x:v>5</x:v>
      </x:c>
      <x:c r="G1636" s="37" t="str">
        <x:v>126.91</x:v>
      </x:c>
      <x:c r="H1636" s="37" t="str">
        <x:v>0.00</x:v>
      </x:c>
      <x:c r="I1636" s="37" t="str">
        <x:v>126.91</x:v>
      </x:c>
      <x:c r="J1636" s="37" t="str">
        <x:v>0.00</x:v>
      </x:c>
      <x:c r="K1636" s="37" t="str">
        <x:v>0.00</x:v>
      </x:c>
      <x:c r="L1636" s="37" t="str">
        <x:v>206</x:v>
      </x:c>
      <x:c r="M1636" s="29" t="str">
        <x:v>125.25</x:v>
      </x:c>
      <x:c r="N1636" s="29" t="str">
        <x:v>90.11</x:v>
      </x:c>
      <x:c r="O1636" s="29" t="str">
        <x:v>35.14</x:v>
      </x:c>
      <x:c r="P1636" s="18" t="str">
        <x:v>2026-07-15</x:v>
      </x:c>
      <x:c r="Q1636" s="36" t="n">
        <x:v>46218</x:v>
      </x:c>
    </x:row>
    <x:row r="1637">
      <x:c r="A1637" s="36" t="str">
        <x:v>2026-07-15</x:v>
      </x:c>
      <x:c r="B1637" s="18" t="str">
        <x:v>101437000_95941</x:v>
      </x:c>
      <x:c r="C1637" s="18" t="str">
        <x:v>【沪村小电】惠诚雅苑</x:v>
      </x:c>
      <x:c r="D1637" s="37" t="str">
        <x:v>4</x:v>
      </x:c>
      <x:c r="E1637" s="37" t="str">
        <x:v>0</x:v>
      </x:c>
      <x:c r="F1637" s="37" t="str">
        <x:v>63</x:v>
      </x:c>
      <x:c r="G1637" s="37" t="str">
        <x:v>1145.76</x:v>
      </x:c>
      <x:c r="H1637" s="37" t="str">
        <x:v>0.00</x:v>
      </x:c>
      <x:c r="I1637" s="37" t="str">
        <x:v>771.20</x:v>
      </x:c>
      <x:c r="J1637" s="37" t="str">
        <x:v>0.00</x:v>
      </x:c>
      <x:c r="K1637" s="37" t="str">
        <x:v>374.56</x:v>
      </x:c>
      <x:c r="L1637" s="37" t="str">
        <x:v>1908</x:v>
      </x:c>
      <x:c r="M1637" s="29" t="str">
        <x:v>835.95</x:v>
      </x:c>
      <x:c r="N1637" s="29" t="str">
        <x:v>571.08</x:v>
      </x:c>
      <x:c r="O1637" s="29" t="str">
        <x:v>264.87</x:v>
      </x:c>
      <x:c r="P1637" s="18" t="str">
        <x:v>2026-07-15</x:v>
      </x:c>
      <x:c r="Q1637" s="36" t="n">
        <x:v>46218</x:v>
      </x:c>
    </x:row>
    <x:row r="1638">
      <x:c r="A1638" s="36" t="str">
        <x:v>2026-07-15</x:v>
      </x:c>
      <x:c r="B1638" s="18" t="str">
        <x:v>101437000_96401</x:v>
      </x:c>
      <x:c r="C1638" s="18" t="str">
        <x:v>【沪村小电】上海联怡枇杷乐园地面站</x:v>
      </x:c>
      <x:c r="D1638" s="37" t="str">
        <x:v>2</x:v>
      </x:c>
      <x:c r="E1638" s="37" t="str">
        <x:v>0</x:v>
      </x:c>
      <x:c r="F1638" s="37" t="str">
        <x:v>13</x:v>
      </x:c>
      <x:c r="G1638" s="37" t="str">
        <x:v>177.35</x:v>
      </x:c>
      <x:c r="H1638" s="37" t="str">
        <x:v>0.00</x:v>
      </x:c>
      <x:c r="I1638" s="37" t="str">
        <x:v>114.17</x:v>
      </x:c>
      <x:c r="J1638" s="37" t="str">
        <x:v>0.00</x:v>
      </x:c>
      <x:c r="K1638" s="37" t="str">
        <x:v>63.17</x:v>
      </x:c>
      <x:c r="L1638" s="37" t="str">
        <x:v>319</x:v>
      </x:c>
      <x:c r="M1638" s="29" t="str">
        <x:v>155.80</x:v>
      </x:c>
      <x:c r="N1638" s="29" t="str">
        <x:v>131.82</x:v>
      </x:c>
      <x:c r="O1638" s="29" t="str">
        <x:v>23.98</x:v>
      </x:c>
      <x:c r="P1638" s="18" t="str">
        <x:v>2026-07-15</x:v>
      </x:c>
      <x:c r="Q1638" s="36" t="n">
        <x:v>46218</x:v>
      </x:c>
    </x:row>
    <x:row r="1639">
      <x:c r="A1639" s="36" t="str">
        <x:v>2026-07-15</x:v>
      </x:c>
      <x:c r="B1639" s="18" t="str">
        <x:v>101437000_96719</x:v>
      </x:c>
      <x:c r="C1639" s="18" t="str">
        <x:v>【沪村小电】四达路220弄充电站</x:v>
      </x:c>
      <x:c r="D1639" s="37" t="str">
        <x:v>2</x:v>
      </x:c>
      <x:c r="E1639" s="37" t="str">
        <x:v>0</x:v>
      </x:c>
      <x:c r="F1639" s="37" t="str">
        <x:v>11</x:v>
      </x:c>
      <x:c r="G1639" s="37" t="str">
        <x:v>216.39</x:v>
      </x:c>
      <x:c r="H1639" s="37" t="str">
        <x:v>0.00</x:v>
      </x:c>
      <x:c r="I1639" s="37" t="str">
        <x:v>200.02</x:v>
      </x:c>
      <x:c r="J1639" s="37" t="str">
        <x:v>0.00</x:v>
      </x:c>
      <x:c r="K1639" s="37" t="str">
        <x:v>16.37</x:v>
      </x:c>
      <x:c r="L1639" s="37" t="str">
        <x:v>331</x:v>
      </x:c>
      <x:c r="M1639" s="29" t="str">
        <x:v>242.50</x:v>
      </x:c>
      <x:c r="N1639" s="29" t="str">
        <x:v>148.07</x:v>
      </x:c>
      <x:c r="O1639" s="29" t="str">
        <x:v>94.43</x:v>
      </x:c>
      <x:c r="P1639" s="18" t="str">
        <x:v>2026-07-15</x:v>
      </x:c>
      <x:c r="Q1639" s="36" t="n">
        <x:v>46218</x:v>
      </x:c>
    </x:row>
    <x:row r="1640">
      <x:c r="A1640" s="36" t="str">
        <x:v>2026-07-15</x:v>
      </x:c>
      <x:c r="B1640" s="18" t="str">
        <x:v>101437000_97421</x:v>
      </x:c>
      <x:c r="C1640" s="18" t="str">
        <x:v>【沪村小电】玉兰清苑二期（小区外）充电站</x:v>
      </x:c>
      <x:c r="D1640" s="37" t="str">
        <x:v>4</x:v>
      </x:c>
      <x:c r="E1640" s="37" t="str">
        <x:v>0</x:v>
      </x:c>
      <x:c r="F1640" s="37" t="str">
        <x:v>51</x:v>
      </x:c>
      <x:c r="G1640" s="37" t="str">
        <x:v>1243.46</x:v>
      </x:c>
      <x:c r="H1640" s="37" t="str">
        <x:v>0.00</x:v>
      </x:c>
      <x:c r="I1640" s="37" t="str">
        <x:v>952.06</x:v>
      </x:c>
      <x:c r="J1640" s="37" t="str">
        <x:v>0.00</x:v>
      </x:c>
      <x:c r="K1640" s="37" t="str">
        <x:v>291.40</x:v>
      </x:c>
      <x:c r="L1640" s="37" t="str">
        <x:v>2106</x:v>
      </x:c>
      <x:c r="M1640" s="29" t="str">
        <x:v>1145.34</x:v>
      </x:c>
      <x:c r="N1640" s="29" t="str">
        <x:v>783.79</x:v>
      </x:c>
      <x:c r="O1640" s="29" t="str">
        <x:v>361.55</x:v>
      </x:c>
      <x:c r="P1640" s="18" t="str">
        <x:v>2026-07-15</x:v>
      </x:c>
      <x:c r="Q1640" s="36" t="n">
        <x:v>46218</x:v>
      </x:c>
    </x:row>
    <x:row r="1641">
      <x:c r="A1641" s="36" t="str">
        <x:v>2026-07-15</x:v>
      </x:c>
      <x:c r="B1641" s="18" t="str">
        <x:v>101437000_98013</x:v>
      </x:c>
      <x:c r="C1641" s="18" t="str">
        <x:v>【沪村小电】恒大滨江华府充电站</x:v>
      </x:c>
      <x:c r="D1641" s="37" t="str">
        <x:v>4</x:v>
      </x:c>
      <x:c r="E1641" s="37" t="str">
        <x:v>0</x:v>
      </x:c>
      <x:c r="F1641" s="37" t="str">
        <x:v>52</x:v>
      </x:c>
      <x:c r="G1641" s="37" t="str">
        <x:v>1176.09</x:v>
      </x:c>
      <x:c r="H1641" s="37" t="str">
        <x:v>0.00</x:v>
      </x:c>
      <x:c r="I1641" s="37" t="str">
        <x:v>788.27</x:v>
      </x:c>
      <x:c r="J1641" s="37" t="str">
        <x:v>0.00</x:v>
      </x:c>
      <x:c r="K1641" s="37" t="str">
        <x:v>387.81</x:v>
      </x:c>
      <x:c r="L1641" s="37" t="str">
        <x:v>2039</x:v>
      </x:c>
      <x:c r="M1641" s="29" t="str">
        <x:v>1136.81</x:v>
      </x:c>
      <x:c r="N1641" s="29" t="str">
        <x:v>887.85</x:v>
      </x:c>
      <x:c r="O1641" s="29" t="str">
        <x:v>248.96</x:v>
      </x:c>
      <x:c r="P1641" s="18" t="str">
        <x:v>2026-07-15</x:v>
      </x:c>
      <x:c r="Q1641" s="36" t="n">
        <x:v>46218</x:v>
      </x:c>
    </x:row>
    <x:row r="1642">
      <x:c r="A1642" s="36" t="str">
        <x:v>2026-07-15</x:v>
      </x:c>
      <x:c r="B1642" s="18" t="str">
        <x:v>101437000_98863</x:v>
      </x:c>
      <x:c r="C1642" s="18" t="str">
        <x:v>【沪村小电】欣菊苑充电站</x:v>
      </x:c>
      <x:c r="D1642" s="37" t="str">
        <x:v>4</x:v>
      </x:c>
      <x:c r="E1642" s="37" t="str">
        <x:v>0</x:v>
      </x:c>
      <x:c r="F1642" s="37" t="str">
        <x:v>9</x:v>
      </x:c>
      <x:c r="G1642" s="37" t="str">
        <x:v>158.24</x:v>
      </x:c>
      <x:c r="H1642" s="37" t="str">
        <x:v>0.00</x:v>
      </x:c>
      <x:c r="I1642" s="37" t="str">
        <x:v>158.24</x:v>
      </x:c>
      <x:c r="J1642" s="37" t="str">
        <x:v>0.00</x:v>
      </x:c>
      <x:c r="K1642" s="37" t="str">
        <x:v>0.00</x:v>
      </x:c>
      <x:c r="L1642" s="37" t="str">
        <x:v>316</x:v>
      </x:c>
      <x:c r="M1642" s="29" t="str">
        <x:v>142.97</x:v>
      </x:c>
      <x:c r="N1642" s="29" t="str">
        <x:v>112.35</x:v>
      </x:c>
      <x:c r="O1642" s="29" t="str">
        <x:v>30.62</x:v>
      </x:c>
      <x:c r="P1642" s="18" t="str">
        <x:v>2026-07-15</x:v>
      </x:c>
      <x:c r="Q1642" s="36" t="n">
        <x:v>46218</x:v>
      </x:c>
    </x:row>
    <x:row r="1643">
      <x:c r="A1643" s="36" t="str">
        <x:v>2026-07-15</x:v>
      </x:c>
      <x:c r="B1643" s="18" t="str">
        <x:v>101437000_98865</x:v>
      </x:c>
      <x:c r="C1643" s="18" t="str">
        <x:v>【沪村小电】欣松苑充电站</x:v>
      </x:c>
      <x:c r="D1643" s="37" t="str">
        <x:v>4</x:v>
      </x:c>
      <x:c r="E1643" s="37" t="str">
        <x:v>0</x:v>
      </x:c>
      <x:c r="F1643" s="37" t="str">
        <x:v>27</x:v>
      </x:c>
      <x:c r="G1643" s="37" t="str">
        <x:v>523.51</x:v>
      </x:c>
      <x:c r="H1643" s="37" t="str">
        <x:v>0.00</x:v>
      </x:c>
      <x:c r="I1643" s="37" t="str">
        <x:v>522.04</x:v>
      </x:c>
      <x:c r="J1643" s="37" t="str">
        <x:v>0.00</x:v>
      </x:c>
      <x:c r="K1643" s="37" t="str">
        <x:v>1.46</x:v>
      </x:c>
      <x:c r="L1643" s="37" t="str">
        <x:v>830</x:v>
      </x:c>
      <x:c r="M1643" s="29" t="str">
        <x:v>490.04</x:v>
      </x:c>
      <x:c r="N1643" s="29" t="str">
        <x:v>371.19</x:v>
      </x:c>
      <x:c r="O1643" s="29" t="str">
        <x:v>118.85</x:v>
      </x:c>
      <x:c r="P1643" s="18" t="str">
        <x:v>2026-07-15</x:v>
      </x:c>
      <x:c r="Q1643" s="36" t="n">
        <x:v>46218</x:v>
      </x:c>
    </x:row>
    <x:row r="1644">
      <x:c r="A1644" s="36" t="str">
        <x:v>2026-07-15</x:v>
      </x:c>
      <x:c r="B1644" s="18" t="str">
        <x:v>101437000_98867</x:v>
      </x:c>
      <x:c r="C1644" s="18" t="str">
        <x:v>【沪村小电】欣荷苑充电站</x:v>
      </x:c>
      <x:c r="D1644" s="37" t="str">
        <x:v>4</x:v>
      </x:c>
      <x:c r="E1644" s="37" t="str">
        <x:v>0</x:v>
      </x:c>
      <x:c r="F1644" s="37" t="str">
        <x:v>16</x:v>
      </x:c>
      <x:c r="G1644" s="37" t="str">
        <x:v>313.94</x:v>
      </x:c>
      <x:c r="H1644" s="37" t="str">
        <x:v>0.00</x:v>
      </x:c>
      <x:c r="I1644" s="37" t="str">
        <x:v>286.64</x:v>
      </x:c>
      <x:c r="J1644" s="37" t="str">
        <x:v>0.00</x:v>
      </x:c>
      <x:c r="K1644" s="37" t="str">
        <x:v>27.30</x:v>
      </x:c>
      <x:c r="L1644" s="37" t="str">
        <x:v>575</x:v>
      </x:c>
      <x:c r="M1644" s="29" t="str">
        <x:v>281.14</x:v>
      </x:c>
      <x:c r="N1644" s="29" t="str">
        <x:v>213.60</x:v>
      </x:c>
      <x:c r="O1644" s="29" t="str">
        <x:v>67.54</x:v>
      </x:c>
      <x:c r="P1644" s="18" t="str">
        <x:v>2026-07-15</x:v>
      </x:c>
      <x:c r="Q1644" s="36" t="n">
        <x:v>46218</x:v>
      </x:c>
    </x:row>
    <x:row r="1645">
      <x:c r="A1645" s="36" t="str">
        <x:v>2026-07-15</x:v>
      </x:c>
      <x:c r="B1645" s="18" t="str">
        <x:v>101437000_99885</x:v>
      </x:c>
      <x:c r="C1645" s="18" t="str">
        <x:v>【沪村小电】汇丰馨苑充电站</x:v>
      </x:c>
      <x:c r="D1645" s="37" t="str">
        <x:v>4</x:v>
      </x:c>
      <x:c r="E1645" s="37" t="str">
        <x:v>0</x:v>
      </x:c>
      <x:c r="F1645" s="37" t="str">
        <x:v>12</x:v>
      </x:c>
      <x:c r="G1645" s="37" t="str">
        <x:v>263.46</x:v>
      </x:c>
      <x:c r="H1645" s="37" t="str">
        <x:v>0.00</x:v>
      </x:c>
      <x:c r="I1645" s="37" t="str">
        <x:v>251.88</x:v>
      </x:c>
      <x:c r="J1645" s="37" t="str">
        <x:v>0.00</x:v>
      </x:c>
      <x:c r="K1645" s="37" t="str">
        <x:v>11.58</x:v>
      </x:c>
      <x:c r="L1645" s="37" t="str">
        <x:v>407</x:v>
      </x:c>
      <x:c r="M1645" s="29" t="str">
        <x:v>263.11</x:v>
      </x:c>
      <x:c r="N1645" s="29" t="str">
        <x:v>183.13</x:v>
      </x:c>
      <x:c r="O1645" s="29" t="str">
        <x:v>79.98</x:v>
      </x:c>
      <x:c r="P1645" s="18" t="str">
        <x:v>2026-07-15</x:v>
      </x:c>
      <x:c r="Q1645" s="36" t="n">
        <x:v>46218</x:v>
      </x:c>
    </x:row>
    <x:row r="1646">
      <x:c r="A1646" s="36" t="str">
        <x:v>2026-07-15</x:v>
      </x:c>
      <x:c r="B1646" s="18" t="str">
        <x:v>101437000_99887</x:v>
      </x:c>
      <x:c r="C1646" s="18" t="str">
        <x:v>【沪村小电】新南村河南小区充电站</x:v>
      </x:c>
      <x:c r="D1646" s="37" t="str">
        <x:v>2</x:v>
      </x:c>
      <x:c r="E1646" s="37" t="str">
        <x:v>0</x:v>
      </x:c>
      <x:c r="F1646" s="37" t="str">
        <x:v>11</x:v>
      </x:c>
      <x:c r="G1646" s="37" t="str">
        <x:v>340.73</x:v>
      </x:c>
      <x:c r="H1646" s="37" t="str">
        <x:v>0.00</x:v>
      </x:c>
      <x:c r="I1646" s="37" t="str">
        <x:v>212.46</x:v>
      </x:c>
      <x:c r="J1646" s="37" t="str">
        <x:v>0.00</x:v>
      </x:c>
      <x:c r="K1646" s="37" t="str">
        <x:v>128.27</x:v>
      </x:c>
      <x:c r="L1646" s="37" t="str">
        <x:v>719</x:v>
      </x:c>
      <x:c r="M1646" s="29" t="str">
        <x:v>268.41</x:v>
      </x:c>
      <x:c r="N1646" s="29" t="str">
        <x:v>198.31</x:v>
      </x:c>
      <x:c r="O1646" s="29" t="str">
        <x:v>70.10</x:v>
      </x:c>
      <x:c r="P1646" s="18" t="str">
        <x:v>2026-07-15</x:v>
      </x:c>
      <x:c r="Q1646" s="36" t="n">
        <x:v>46218</x:v>
      </x:c>
    </x:row>
    <x:row r="1647">
      <x:c r="A1647" s="36" t="str">
        <x:v>2026-07-15</x:v>
      </x:c>
      <x:c r="B1647" s="18" t="str">
        <x:v>101437000_99889</x:v>
      </x:c>
      <x:c r="C1647" s="18" t="str">
        <x:v>【沪村小电】漕泾郊野公园</x:v>
      </x:c>
      <x:c r="D1647" s="37" t="str">
        <x:v>2</x:v>
      </x:c>
      <x:c r="E1647" s="37" t="str">
        <x:v>0</x:v>
      </x:c>
      <x:c r="F1647" s="37" t="str">
        <x:v>5</x:v>
      </x:c>
      <x:c r="G1647" s="37" t="str">
        <x:v>203.81</x:v>
      </x:c>
      <x:c r="H1647" s="37" t="str">
        <x:v>0.00</x:v>
      </x:c>
      <x:c r="I1647" s="37" t="str">
        <x:v>162.06</x:v>
      </x:c>
      <x:c r="J1647" s="37" t="str">
        <x:v>0.00</x:v>
      </x:c>
      <x:c r="K1647" s="37" t="str">
        <x:v>41.75</x:v>
      </x:c>
      <x:c r="L1647" s="37" t="str">
        <x:v>306</x:v>
      </x:c>
      <x:c r="M1647" s="29" t="str">
        <x:v>212.44</x:v>
      </x:c>
      <x:c r="N1647" s="29" t="str">
        <x:v>148.21</x:v>
      </x:c>
      <x:c r="O1647" s="29" t="str">
        <x:v>64.23</x:v>
      </x:c>
      <x:c r="P1647" s="18" t="str">
        <x:v>2026-07-15</x:v>
      </x:c>
      <x:c r="Q1647" s="36" t="n">
        <x:v>46218</x:v>
      </x:c>
    </x:row>
    <x:row r="1648">
      <x:c r="A1648" s="36" t="str">
        <x:v>2026-07-15</x:v>
      </x:c>
      <x:c r="B1648" s="18" t="str">
        <x:v>101437000_99891</x:v>
      </x:c>
      <x:c r="C1648" s="18" t="str">
        <x:v>【沪村小电】水韵紫城充电站</x:v>
      </x:c>
      <x:c r="D1648" s="37" t="str">
        <x:v>4</x:v>
      </x:c>
      <x:c r="E1648" s="37" t="str">
        <x:v>0</x:v>
      </x:c>
      <x:c r="F1648" s="37" t="str">
        <x:v>32</x:v>
      </x:c>
      <x:c r="G1648" s="37" t="str">
        <x:v>706.74</x:v>
      </x:c>
      <x:c r="H1648" s="37" t="str">
        <x:v>0.00</x:v>
      </x:c>
      <x:c r="I1648" s="37" t="str">
        <x:v>431.55</x:v>
      </x:c>
      <x:c r="J1648" s="37" t="str">
        <x:v>0.00</x:v>
      </x:c>
      <x:c r="K1648" s="37" t="str">
        <x:v>275.19</x:v>
      </x:c>
      <x:c r="L1648" s="37" t="str">
        <x:v>1235</x:v>
      </x:c>
      <x:c r="M1648" s="29" t="str">
        <x:v>588.34</x:v>
      </x:c>
      <x:c r="N1648" s="29" t="str">
        <x:v>408.22</x:v>
      </x:c>
      <x:c r="O1648" s="29" t="str">
        <x:v>180.12</x:v>
      </x:c>
      <x:c r="P1648" s="18" t="str">
        <x:v>2026-07-15</x:v>
      </x:c>
      <x:c r="Q1648" s="36" t="n">
        <x:v>46218</x:v>
      </x:c>
    </x:row>
    <x:row r="1649">
      <x:c r="A1649" s="36" t="str">
        <x:v>2026-07-14</x:v>
      </x:c>
      <x:c r="B1649" s="18" t="str">
        <x:v>101437000_103503</x:v>
      </x:c>
      <x:c r="C1649" s="18" t="str">
        <x:v>【沪村小电】阳光城新界充电站</x:v>
      </x:c>
      <x:c r="D1649" s="37" t="str">
        <x:v>4</x:v>
      </x:c>
      <x:c r="E1649" s="37" t="str">
        <x:v>0</x:v>
      </x:c>
      <x:c r="F1649" s="37" t="str">
        <x:v>1</x:v>
      </x:c>
      <x:c r="G1649" s="37" t="str">
        <x:v>18.42</x:v>
      </x:c>
      <x:c r="H1649" s="37" t="str">
        <x:v>0.00</x:v>
      </x:c>
      <x:c r="I1649" s="37" t="str">
        <x:v>0.00</x:v>
      </x:c>
      <x:c r="J1649" s="37" t="str">
        <x:v>18.42</x:v>
      </x:c>
      <x:c r="K1649" s="37" t="str">
        <x:v>0.00</x:v>
      </x:c>
      <x:c r="L1649" s="37" t="str">
        <x:v>24</x:v>
      </x:c>
      <x:c r="M1649" s="29" t="str">
        <x:v>16.02</x:v>
      </x:c>
      <x:c r="N1649" s="29" t="str">
        <x:v>13.26</x:v>
      </x:c>
      <x:c r="O1649" s="29" t="str">
        <x:v>2.76</x:v>
      </x:c>
      <x:c r="P1649" s="18" t="str">
        <x:v>2026-07-14</x:v>
      </x:c>
      <x:c r="Q1649" s="36" t="n">
        <x:v>46217</x:v>
      </x:c>
    </x:row>
    <x:row r="1650">
      <x:c r="A1650" s="36" t="str">
        <x:v>2026-07-14</x:v>
      </x:c>
      <x:c r="B1650" s="18" t="str">
        <x:v>101437000_41561</x:v>
      </x:c>
      <x:c r="C1650" s="18" t="str">
        <x:v>【沪村小电】张施小区大门处快充站</x:v>
      </x:c>
      <x:c r="D1650" s="37" t="str">
        <x:v>2</x:v>
      </x:c>
      <x:c r="E1650" s="37" t="str">
        <x:v>0</x:v>
      </x:c>
      <x:c r="F1650" s="37" t="str">
        <x:v>55</x:v>
      </x:c>
      <x:c r="G1650" s="37" t="str">
        <x:v>1341.23</x:v>
      </x:c>
      <x:c r="H1650" s="37" t="str">
        <x:v>0.00</x:v>
      </x:c>
      <x:c r="I1650" s="37" t="str">
        <x:v>593.71</x:v>
      </x:c>
      <x:c r="J1650" s="37" t="str">
        <x:v>0.00</x:v>
      </x:c>
      <x:c r="K1650" s="37" t="str">
        <x:v>747.52</x:v>
      </x:c>
      <x:c r="L1650" s="37" t="str">
        <x:v>2377</x:v>
      </x:c>
      <x:c r="M1650" s="29" t="str">
        <x:v>975.86</x:v>
      </x:c>
      <x:c r="N1650" s="29" t="str">
        <x:v>698.10</x:v>
      </x:c>
      <x:c r="O1650" s="29" t="str">
        <x:v>277.76</x:v>
      </x:c>
      <x:c r="P1650" s="18" t="str">
        <x:v>2026-07-14</x:v>
      </x:c>
      <x:c r="Q1650" s="36" t="n">
        <x:v>46217</x:v>
      </x:c>
    </x:row>
    <x:row r="1651">
      <x:c r="A1651" s="36" t="str">
        <x:v>2026-07-14</x:v>
      </x:c>
      <x:c r="B1651" s="18" t="str">
        <x:v>101437000_41563</x:v>
      </x:c>
      <x:c r="C1651" s="18" t="str">
        <x:v>【沪村小电】同心村快充站</x:v>
      </x:c>
      <x:c r="D1651" s="37" t="str">
        <x:v>4</x:v>
      </x:c>
      <x:c r="E1651" s="37" t="str">
        <x:v>0</x:v>
      </x:c>
      <x:c r="F1651" s="37" t="str">
        <x:v>62</x:v>
      </x:c>
      <x:c r="G1651" s="37" t="str">
        <x:v>1535.19</x:v>
      </x:c>
      <x:c r="H1651" s="37" t="str">
        <x:v>0.00</x:v>
      </x:c>
      <x:c r="I1651" s="37" t="str">
        <x:v>1098.99</x:v>
      </x:c>
      <x:c r="J1651" s="37" t="str">
        <x:v>0.00</x:v>
      </x:c>
      <x:c r="K1651" s="37" t="str">
        <x:v>436.20</x:v>
      </x:c>
      <x:c r="L1651" s="37" t="str">
        <x:v>2538</x:v>
      </x:c>
      <x:c r="M1651" s="29" t="str">
        <x:v>1523.40</x:v>
      </x:c>
      <x:c r="N1651" s="29" t="str">
        <x:v>941.66</x:v>
      </x:c>
      <x:c r="O1651" s="29" t="str">
        <x:v>581.74</x:v>
      </x:c>
      <x:c r="P1651" s="18" t="str">
        <x:v>2026-07-14</x:v>
      </x:c>
      <x:c r="Q1651" s="36" t="n">
        <x:v>46217</x:v>
      </x:c>
    </x:row>
    <x:row r="1652">
      <x:c r="A1652" s="36" t="str">
        <x:v>2026-07-14</x:v>
      </x:c>
      <x:c r="B1652" s="18" t="str">
        <x:v>101437000_69629</x:v>
      </x:c>
      <x:c r="C1652" s="18" t="str">
        <x:v>【沪村小电】骏丰玲珑坊西苑充电站</x:v>
      </x:c>
      <x:c r="D1652" s="37" t="str">
        <x:v>2</x:v>
      </x:c>
      <x:c r="E1652" s="37" t="str">
        <x:v>0</x:v>
      </x:c>
      <x:c r="F1652" s="37" t="str">
        <x:v>73</x:v>
      </x:c>
      <x:c r="G1652" s="37" t="str">
        <x:v>1661.46</x:v>
      </x:c>
      <x:c r="H1652" s="37" t="str">
        <x:v>0.00</x:v>
      </x:c>
      <x:c r="I1652" s="37" t="str">
        <x:v>951.86</x:v>
      </x:c>
      <x:c r="J1652" s="37" t="str">
        <x:v>0.00</x:v>
      </x:c>
      <x:c r="K1652" s="37" t="str">
        <x:v>709.60</x:v>
      </x:c>
      <x:c r="L1652" s="37" t="str">
        <x:v>2938</x:v>
      </x:c>
      <x:c r="M1652" s="29" t="str">
        <x:v>1392.33</x:v>
      </x:c>
      <x:c r="N1652" s="29" t="str">
        <x:v>938.38</x:v>
      </x:c>
      <x:c r="O1652" s="29" t="str">
        <x:v>453.95</x:v>
      </x:c>
      <x:c r="P1652" s="18" t="str">
        <x:v>2026-07-14</x:v>
      </x:c>
      <x:c r="Q1652" s="36" t="n">
        <x:v>46217</x:v>
      </x:c>
    </x:row>
    <x:row r="1653">
      <x:c r="A1653" s="36" t="str">
        <x:v>2026-07-14</x:v>
      </x:c>
      <x:c r="B1653" s="18" t="str">
        <x:v>101437000_70547</x:v>
      </x:c>
      <x:c r="C1653" s="18" t="str">
        <x:v>【沪村小电】农建村初心馆党群服务中心充电站</x:v>
      </x:c>
      <x:c r="D1653" s="37" t="str">
        <x:v>4</x:v>
      </x:c>
      <x:c r="E1653" s="37" t="str">
        <x:v>0</x:v>
      </x:c>
      <x:c r="F1653" s="37" t="str">
        <x:v>44</x:v>
      </x:c>
      <x:c r="G1653" s="37" t="str">
        <x:v>794.96</x:v>
      </x:c>
      <x:c r="H1653" s="37" t="str">
        <x:v>0.00</x:v>
      </x:c>
      <x:c r="I1653" s="37" t="str">
        <x:v>500.86</x:v>
      </x:c>
      <x:c r="J1653" s="37" t="str">
        <x:v>0.00</x:v>
      </x:c>
      <x:c r="K1653" s="37" t="str">
        <x:v>294.10</x:v>
      </x:c>
      <x:c r="L1653" s="37" t="str">
        <x:v>1469</x:v>
      </x:c>
      <x:c r="M1653" s="29" t="str">
        <x:v>731.73</x:v>
      </x:c>
      <x:c r="N1653" s="29" t="str">
        <x:v>464.43</x:v>
      </x:c>
      <x:c r="O1653" s="29" t="str">
        <x:v>267.30</x:v>
      </x:c>
      <x:c r="P1653" s="18" t="str">
        <x:v>2026-07-14</x:v>
      </x:c>
      <x:c r="Q1653" s="36" t="n">
        <x:v>46217</x:v>
      </x:c>
    </x:row>
    <x:row r="1654">
      <x:c r="A1654" s="36" t="str">
        <x:v>2026-07-14</x:v>
      </x:c>
      <x:c r="B1654" s="18" t="str">
        <x:v>101437000_70549</x:v>
      </x:c>
      <x:c r="C1654" s="18" t="str">
        <x:v>【沪村小电】学府路充电站</x:v>
      </x:c>
      <x:c r="D1654" s="37" t="str">
        <x:v>2</x:v>
      </x:c>
      <x:c r="E1654" s="37" t="str">
        <x:v>0</x:v>
      </x:c>
      <x:c r="F1654" s="37" t="str">
        <x:v>10</x:v>
      </x:c>
      <x:c r="G1654" s="37" t="str">
        <x:v>365.27</x:v>
      </x:c>
      <x:c r="H1654" s="37" t="str">
        <x:v>0.00</x:v>
      </x:c>
      <x:c r="I1654" s="37" t="str">
        <x:v>154.84</x:v>
      </x:c>
      <x:c r="J1654" s="37" t="str">
        <x:v>0.00</x:v>
      </x:c>
      <x:c r="K1654" s="37" t="str">
        <x:v>210.43</x:v>
      </x:c>
      <x:c r="L1654" s="37" t="str">
        <x:v>561</x:v>
      </x:c>
      <x:c r="M1654" s="29" t="str">
        <x:v>323.48</x:v>
      </x:c>
      <x:c r="N1654" s="29" t="str">
        <x:v>187.81</x:v>
      </x:c>
      <x:c r="O1654" s="29" t="str">
        <x:v>135.67</x:v>
      </x:c>
      <x:c r="P1654" s="18" t="str">
        <x:v>2026-07-14</x:v>
      </x:c>
      <x:c r="Q1654" s="36" t="n">
        <x:v>46217</x:v>
      </x:c>
    </x:row>
    <x:row r="1655">
      <x:c r="A1655" s="36" t="str">
        <x:v>2026-07-14</x:v>
      </x:c>
      <x:c r="B1655" s="18" t="str">
        <x:v>101437000_71059</x:v>
      </x:c>
      <x:c r="C1655" s="18" t="str">
        <x:v>【沪村小电】宝乐汇商业广场站</x:v>
      </x:c>
      <x:c r="D1655" s="37" t="str">
        <x:v>4</x:v>
      </x:c>
      <x:c r="E1655" s="37" t="str">
        <x:v>0</x:v>
      </x:c>
      <x:c r="F1655" s="37" t="str">
        <x:v>21</x:v>
      </x:c>
      <x:c r="G1655" s="37" t="str">
        <x:v>579.97</x:v>
      </x:c>
      <x:c r="H1655" s="37" t="str">
        <x:v>0.00</x:v>
      </x:c>
      <x:c r="I1655" s="37" t="str">
        <x:v>262.62</x:v>
      </x:c>
      <x:c r="J1655" s="37" t="str">
        <x:v>0.00</x:v>
      </x:c>
      <x:c r="K1655" s="37" t="str">
        <x:v>317.35</x:v>
      </x:c>
      <x:c r="L1655" s="37" t="str">
        <x:v>901</x:v>
      </x:c>
      <x:c r="M1655" s="29" t="str">
        <x:v>525.70</x:v>
      </x:c>
      <x:c r="N1655" s="29" t="str">
        <x:v>382.32</x:v>
      </x:c>
      <x:c r="O1655" s="29" t="str">
        <x:v>143.38</x:v>
      </x:c>
      <x:c r="P1655" s="18" t="str">
        <x:v>2026-07-14</x:v>
      </x:c>
      <x:c r="Q1655" s="36" t="n">
        <x:v>46217</x:v>
      </x:c>
    </x:row>
    <x:row r="1656">
      <x:c r="A1656" s="36" t="str">
        <x:v>2026-07-14</x:v>
      </x:c>
      <x:c r="B1656" s="18" t="str">
        <x:v>101437000_72541</x:v>
      </x:c>
      <x:c r="C1656" s="18" t="str">
        <x:v>【沪村小电】九干路1174弄充电站</x:v>
      </x:c>
      <x:c r="D1656" s="37" t="str">
        <x:v>2</x:v>
      </x:c>
      <x:c r="E1656" s="37" t="str">
        <x:v>0</x:v>
      </x:c>
      <x:c r="F1656" s="37" t="str">
        <x:v>41</x:v>
      </x:c>
      <x:c r="G1656" s="37" t="str">
        <x:v>906.15</x:v>
      </x:c>
      <x:c r="H1656" s="37" t="str">
        <x:v>0.00</x:v>
      </x:c>
      <x:c r="I1656" s="37" t="str">
        <x:v>500.49</x:v>
      </x:c>
      <x:c r="J1656" s="37" t="str">
        <x:v>0.00</x:v>
      </x:c>
      <x:c r="K1656" s="37" t="str">
        <x:v>405.66</x:v>
      </x:c>
      <x:c r="L1656" s="37" t="str">
        <x:v>1514</x:v>
      </x:c>
      <x:c r="M1656" s="29" t="str">
        <x:v>737.35</x:v>
      </x:c>
      <x:c r="N1656" s="29" t="str">
        <x:v>505.44</x:v>
      </x:c>
      <x:c r="O1656" s="29" t="str">
        <x:v>231.91</x:v>
      </x:c>
      <x:c r="P1656" s="18" t="str">
        <x:v>2026-07-14</x:v>
      </x:c>
      <x:c r="Q1656" s="36" t="n">
        <x:v>46217</x:v>
      </x:c>
    </x:row>
    <x:row r="1657">
      <x:c r="A1657" s="36" t="str">
        <x:v>2026-07-14</x:v>
      </x:c>
      <x:c r="B1657" s="18" t="str">
        <x:v>101437000_72543</x:v>
      </x:c>
      <x:c r="C1657" s="18" t="str">
        <x:v>【沪村小电】叶家中心村小区充电站</x:v>
      </x:c>
      <x:c r="D1657" s="37" t="str">
        <x:v>2</x:v>
      </x:c>
      <x:c r="E1657" s="37" t="str">
        <x:v>0</x:v>
      </x:c>
      <x:c r="F1657" s="37" t="str">
        <x:v>35</x:v>
      </x:c>
      <x:c r="G1657" s="37" t="str">
        <x:v>841.33</x:v>
      </x:c>
      <x:c r="H1657" s="37" t="str">
        <x:v>0.00</x:v>
      </x:c>
      <x:c r="I1657" s="37" t="str">
        <x:v>447.20</x:v>
      </x:c>
      <x:c r="J1657" s="37" t="str">
        <x:v>0.00</x:v>
      </x:c>
      <x:c r="K1657" s="37" t="str">
        <x:v>394.13</x:v>
      </x:c>
      <x:c r="L1657" s="37" t="str">
        <x:v>1563</x:v>
      </x:c>
      <x:c r="M1657" s="29" t="str">
        <x:v>685.38</x:v>
      </x:c>
      <x:c r="N1657" s="29" t="str">
        <x:v>463.32</x:v>
      </x:c>
      <x:c r="O1657" s="29" t="str">
        <x:v>222.06</x:v>
      </x:c>
      <x:c r="P1657" s="18" t="str">
        <x:v>2026-07-14</x:v>
      </x:c>
      <x:c r="Q1657" s="36" t="n">
        <x:v>46217</x:v>
      </x:c>
    </x:row>
    <x:row r="1658">
      <x:c r="A1658" s="36" t="str">
        <x:v>2026-07-14</x:v>
      </x:c>
      <x:c r="B1658" s="18" t="str">
        <x:v>101437000_72937</x:v>
      </x:c>
      <x:c r="C1658" s="18" t="str">
        <x:v>【沪村小电】佘北家园茸腾苑充电站</x:v>
      </x:c>
      <x:c r="D1658" s="37" t="str">
        <x:v>4</x:v>
      </x:c>
      <x:c r="E1658" s="37" t="str">
        <x:v>0</x:v>
      </x:c>
      <x:c r="F1658" s="37" t="str">
        <x:v>16</x:v>
      </x:c>
      <x:c r="G1658" s="37" t="str">
        <x:v>374.50</x:v>
      </x:c>
      <x:c r="H1658" s="37" t="str">
        <x:v>0.00</x:v>
      </x:c>
      <x:c r="I1658" s="37" t="str">
        <x:v>374.50</x:v>
      </x:c>
      <x:c r="J1658" s="37" t="str">
        <x:v>0.00</x:v>
      </x:c>
      <x:c r="K1658" s="37" t="str">
        <x:v>0.00</x:v>
      </x:c>
      <x:c r="L1658" s="37" t="str">
        <x:v>645</x:v>
      </x:c>
      <x:c r="M1658" s="29" t="str">
        <x:v>415.43</x:v>
      </x:c>
      <x:c r="N1658" s="29" t="str">
        <x:v>265.90</x:v>
      </x:c>
      <x:c r="O1658" s="29" t="str">
        <x:v>149.53</x:v>
      </x:c>
      <x:c r="P1658" s="18" t="str">
        <x:v>2026-07-14</x:v>
      </x:c>
      <x:c r="Q1658" s="36" t="n">
        <x:v>46217</x:v>
      </x:c>
    </x:row>
    <x:row r="1659">
      <x:c r="A1659" s="36" t="str">
        <x:v>2026-07-14</x:v>
      </x:c>
      <x:c r="B1659" s="18" t="str">
        <x:v>101437000_74223</x:v>
      </x:c>
      <x:c r="C1659" s="18" t="str">
        <x:v>【沪村小电】中兴村委会充电站</x:v>
      </x:c>
      <x:c r="D1659" s="37" t="str">
        <x:v>2</x:v>
      </x:c>
      <x:c r="E1659" s="37" t="str">
        <x:v>0</x:v>
      </x:c>
      <x:c r="F1659" s="37" t="str">
        <x:v>27</x:v>
      </x:c>
      <x:c r="G1659" s="37" t="str">
        <x:v>698.27</x:v>
      </x:c>
      <x:c r="H1659" s="37" t="str">
        <x:v>0.00</x:v>
      </x:c>
      <x:c r="I1659" s="37" t="str">
        <x:v>394.53</x:v>
      </x:c>
      <x:c r="J1659" s="37" t="str">
        <x:v>0.00</x:v>
      </x:c>
      <x:c r="K1659" s="37" t="str">
        <x:v>303.74</x:v>
      </x:c>
      <x:c r="L1659" s="37" t="str">
        <x:v>1146</x:v>
      </x:c>
      <x:c r="M1659" s="29" t="str">
        <x:v>611.22</x:v>
      </x:c>
      <x:c r="N1659" s="29" t="str">
        <x:v>392.50</x:v>
      </x:c>
      <x:c r="O1659" s="29" t="str">
        <x:v>218.72</x:v>
      </x:c>
      <x:c r="P1659" s="18" t="str">
        <x:v>2026-07-14</x:v>
      </x:c>
      <x:c r="Q1659" s="36" t="n">
        <x:v>46217</x:v>
      </x:c>
    </x:row>
    <x:row r="1660">
      <x:c r="A1660" s="36" t="str">
        <x:v>2026-07-14</x:v>
      </x:c>
      <x:c r="B1660" s="18" t="str">
        <x:v>101437000_74801</x:v>
      </x:c>
      <x:c r="C1660" s="18" t="str">
        <x:v>【沪村小电】申良花园充电站</x:v>
      </x:c>
      <x:c r="D1660" s="37" t="str">
        <x:v>4</x:v>
      </x:c>
      <x:c r="E1660" s="37" t="str">
        <x:v>0</x:v>
      </x:c>
      <x:c r="F1660" s="37" t="str">
        <x:v>23</x:v>
      </x:c>
      <x:c r="G1660" s="37" t="str">
        <x:v>377.17</x:v>
      </x:c>
      <x:c r="H1660" s="37" t="str">
        <x:v>0.00</x:v>
      </x:c>
      <x:c r="I1660" s="37" t="str">
        <x:v>354.36</x:v>
      </x:c>
      <x:c r="J1660" s="37" t="str">
        <x:v>0.00</x:v>
      </x:c>
      <x:c r="K1660" s="37" t="str">
        <x:v>22.81</x:v>
      </x:c>
      <x:c r="L1660" s="37" t="str">
        <x:v>532</x:v>
      </x:c>
      <x:c r="M1660" s="29" t="str">
        <x:v>400.33</x:v>
      </x:c>
      <x:c r="N1660" s="29" t="str">
        <x:v>260.01</x:v>
      </x:c>
      <x:c r="O1660" s="29" t="str">
        <x:v>140.32</x:v>
      </x:c>
      <x:c r="P1660" s="18" t="str">
        <x:v>2026-07-14</x:v>
      </x:c>
      <x:c r="Q1660" s="36" t="n">
        <x:v>46217</x:v>
      </x:c>
    </x:row>
    <x:row r="1661">
      <x:c r="A1661" s="36" t="str">
        <x:v>2026-07-14</x:v>
      </x:c>
      <x:c r="B1661" s="18" t="str">
        <x:v>101437000_74931</x:v>
      </x:c>
      <x:c r="C1661" s="18" t="str">
        <x:v>【沪村小电】枫雅南居充电站</x:v>
      </x:c>
      <x:c r="D1661" s="37" t="str">
        <x:v>2</x:v>
      </x:c>
      <x:c r="E1661" s="37" t="str">
        <x:v>0</x:v>
      </x:c>
      <x:c r="F1661" s="37" t="str">
        <x:v>60</x:v>
      </x:c>
      <x:c r="G1661" s="37" t="str">
        <x:v>1762.26</x:v>
      </x:c>
      <x:c r="H1661" s="37" t="str">
        <x:v>0.00</x:v>
      </x:c>
      <x:c r="I1661" s="37" t="str">
        <x:v>959.72</x:v>
      </x:c>
      <x:c r="J1661" s="37" t="str">
        <x:v>0.00</x:v>
      </x:c>
      <x:c r="K1661" s="37" t="str">
        <x:v>802.54</x:v>
      </x:c>
      <x:c r="L1661" s="37" t="str">
        <x:v>2588</x:v>
      </x:c>
      <x:c r="M1661" s="29" t="str">
        <x:v>1270.77</x:v>
      </x:c>
      <x:c r="N1661" s="29" t="str">
        <x:v>815.02</x:v>
      </x:c>
      <x:c r="O1661" s="29" t="str">
        <x:v>455.75</x:v>
      </x:c>
      <x:c r="P1661" s="18" t="str">
        <x:v>2026-07-14</x:v>
      </x:c>
      <x:c r="Q1661" s="36" t="n">
        <x:v>46217</x:v>
      </x:c>
    </x:row>
    <x:row r="1662">
      <x:c r="A1662" s="36" t="str">
        <x:v>2026-07-14</x:v>
      </x:c>
      <x:c r="B1662" s="18" t="str">
        <x:v>101437000_75901</x:v>
      </x:c>
      <x:c r="C1662" s="18" t="str">
        <x:v>【沪村小电】金悦学府</x:v>
      </x:c>
      <x:c r="D1662" s="37" t="str">
        <x:v>2</x:v>
      </x:c>
      <x:c r="E1662" s="37" t="str">
        <x:v>0</x:v>
      </x:c>
      <x:c r="F1662" s="37" t="str">
        <x:v>60</x:v>
      </x:c>
      <x:c r="G1662" s="37" t="str">
        <x:v>1342.74</x:v>
      </x:c>
      <x:c r="H1662" s="37" t="str">
        <x:v>0.00</x:v>
      </x:c>
      <x:c r="I1662" s="37" t="str">
        <x:v>843.15</x:v>
      </x:c>
      <x:c r="J1662" s="37" t="str">
        <x:v>0.00</x:v>
      </x:c>
      <x:c r="K1662" s="37" t="str">
        <x:v>499.58</x:v>
      </x:c>
      <x:c r="L1662" s="37" t="str">
        <x:v>2071</x:v>
      </x:c>
      <x:c r="M1662" s="29" t="str">
        <x:v>1072.79</x:v>
      </x:c>
      <x:c r="N1662" s="29" t="str">
        <x:v>652.32</x:v>
      </x:c>
      <x:c r="O1662" s="29" t="str">
        <x:v>420.47</x:v>
      </x:c>
      <x:c r="P1662" s="18" t="str">
        <x:v>2026-07-14</x:v>
      </x:c>
      <x:c r="Q1662" s="36" t="n">
        <x:v>46217</x:v>
      </x:c>
    </x:row>
    <x:row r="1663">
      <x:c r="A1663" s="36" t="str">
        <x:v>2026-07-14</x:v>
      </x:c>
      <x:c r="B1663" s="18" t="str">
        <x:v>101437000_76091</x:v>
      </x:c>
      <x:c r="C1663" s="18" t="str">
        <x:v>【沪村小电】恒信家园充电站</x:v>
      </x:c>
      <x:c r="D1663" s="37" t="str">
        <x:v>2</x:v>
      </x:c>
      <x:c r="E1663" s="37" t="str">
        <x:v>0</x:v>
      </x:c>
      <x:c r="F1663" s="37" t="str">
        <x:v>31</x:v>
      </x:c>
      <x:c r="G1663" s="37" t="str">
        <x:v>758.91</x:v>
      </x:c>
      <x:c r="H1663" s="37" t="str">
        <x:v>0.00</x:v>
      </x:c>
      <x:c r="I1663" s="37" t="str">
        <x:v>416.40</x:v>
      </x:c>
      <x:c r="J1663" s="37" t="str">
        <x:v>0.00</x:v>
      </x:c>
      <x:c r="K1663" s="37" t="str">
        <x:v>342.52</x:v>
      </x:c>
      <x:c r="L1663" s="37" t="str">
        <x:v>1130</x:v>
      </x:c>
      <x:c r="M1663" s="29" t="str">
        <x:v>714.62</x:v>
      </x:c>
      <x:c r="N1663" s="29" t="str">
        <x:v>422.38</x:v>
      </x:c>
      <x:c r="O1663" s="29" t="str">
        <x:v>292.24</x:v>
      </x:c>
      <x:c r="P1663" s="18" t="str">
        <x:v>2026-07-14</x:v>
      </x:c>
      <x:c r="Q1663" s="36" t="n">
        <x:v>46217</x:v>
      </x:c>
    </x:row>
    <x:row r="1664">
      <x:c r="A1664" s="36" t="str">
        <x:v>2026-07-14</x:v>
      </x:c>
      <x:c r="B1664" s="18" t="str">
        <x:v>101437000_76417</x:v>
      </x:c>
      <x:c r="C1664" s="18" t="str">
        <x:v>【沪村小电】新春一组充电站</x:v>
      </x:c>
      <x:c r="D1664" s="37" t="str">
        <x:v>2</x:v>
      </x:c>
      <x:c r="E1664" s="37" t="str">
        <x:v>0</x:v>
      </x:c>
      <x:c r="F1664" s="37" t="str">
        <x:v>40</x:v>
      </x:c>
      <x:c r="G1664" s="37" t="str">
        <x:v>1024.86</x:v>
      </x:c>
      <x:c r="H1664" s="37" t="str">
        <x:v>0.00</x:v>
      </x:c>
      <x:c r="I1664" s="37" t="str">
        <x:v>340.69</x:v>
      </x:c>
      <x:c r="J1664" s="37" t="str">
        <x:v>0.00</x:v>
      </x:c>
      <x:c r="K1664" s="37" t="str">
        <x:v>684.17</x:v>
      </x:c>
      <x:c r="L1664" s="37" t="str">
        <x:v>1439</x:v>
      </x:c>
      <x:c r="M1664" s="29" t="str">
        <x:v>750.08</x:v>
      </x:c>
      <x:c r="N1664" s="29" t="str">
        <x:v>495.01</x:v>
      </x:c>
      <x:c r="O1664" s="29" t="str">
        <x:v>255.07</x:v>
      </x:c>
      <x:c r="P1664" s="18" t="str">
        <x:v>2026-07-14</x:v>
      </x:c>
      <x:c r="Q1664" s="36" t="n">
        <x:v>46217</x:v>
      </x:c>
    </x:row>
    <x:row r="1665">
      <x:c r="A1665" s="36" t="str">
        <x:v>2026-07-14</x:v>
      </x:c>
      <x:c r="B1665" s="18" t="str">
        <x:v>101437000_78235</x:v>
      </x:c>
      <x:c r="C1665" s="18" t="str">
        <x:v>【沪村小电】欣秋苑充电站</x:v>
      </x:c>
      <x:c r="D1665" s="37" t="str">
        <x:v>4</x:v>
      </x:c>
      <x:c r="E1665" s="37" t="str">
        <x:v>0</x:v>
      </x:c>
      <x:c r="F1665" s="37" t="str">
        <x:v>16</x:v>
      </x:c>
      <x:c r="G1665" s="37" t="str">
        <x:v>402.23</x:v>
      </x:c>
      <x:c r="H1665" s="37" t="str">
        <x:v>0.00</x:v>
      </x:c>
      <x:c r="I1665" s="37" t="str">
        <x:v>293.36</x:v>
      </x:c>
      <x:c r="J1665" s="37" t="str">
        <x:v>0.00</x:v>
      </x:c>
      <x:c r="K1665" s="37" t="str">
        <x:v>108.87</x:v>
      </x:c>
      <x:c r="L1665" s="37" t="str">
        <x:v>647</x:v>
      </x:c>
      <x:c r="M1665" s="29" t="str">
        <x:v>366.59</x:v>
      </x:c>
      <x:c r="N1665" s="29" t="str">
        <x:v>248.55</x:v>
      </x:c>
      <x:c r="O1665" s="29" t="str">
        <x:v>118.04</x:v>
      </x:c>
      <x:c r="P1665" s="18" t="str">
        <x:v>2026-07-14</x:v>
      </x:c>
      <x:c r="Q1665" s="36" t="n">
        <x:v>46217</x:v>
      </x:c>
    </x:row>
    <x:row r="1666">
      <x:c r="A1666" s="36" t="str">
        <x:v>2026-07-14</x:v>
      </x:c>
      <x:c r="B1666" s="18" t="str">
        <x:v>101437000_78237</x:v>
      </x:c>
      <x:c r="C1666" s="18" t="str">
        <x:v>【沪村小电】奉馨苑西门小区内北侧充电站</x:v>
      </x:c>
      <x:c r="D1666" s="37" t="str">
        <x:v>2</x:v>
      </x:c>
      <x:c r="E1666" s="37" t="str">
        <x:v>0</x:v>
      </x:c>
      <x:c r="F1666" s="37" t="str">
        <x:v>39</x:v>
      </x:c>
      <x:c r="G1666" s="37" t="str">
        <x:v>1037.59</x:v>
      </x:c>
      <x:c r="H1666" s="37" t="str">
        <x:v>1.82</x:v>
      </x:c>
      <x:c r="I1666" s="37" t="str">
        <x:v>193.82</x:v>
      </x:c>
      <x:c r="J1666" s="37" t="str">
        <x:v>307.49</x:v>
      </x:c>
      <x:c r="K1666" s="37" t="str">
        <x:v>534.46</x:v>
      </x:c>
      <x:c r="L1666" s="37" t="str">
        <x:v>1461</x:v>
      </x:c>
      <x:c r="M1666" s="29" t="str">
        <x:v>825.61</x:v>
      </x:c>
      <x:c r="N1666" s="29" t="str">
        <x:v>642.24</x:v>
      </x:c>
      <x:c r="O1666" s="29" t="str">
        <x:v>183.37</x:v>
      </x:c>
      <x:c r="P1666" s="18" t="str">
        <x:v>2026-07-14</x:v>
      </x:c>
      <x:c r="Q1666" s="36" t="n">
        <x:v>46217</x:v>
      </x:c>
    </x:row>
    <x:row r="1667">
      <x:c r="A1667" s="36" t="str">
        <x:v>2026-07-14</x:v>
      </x:c>
      <x:c r="B1667" s="18" t="str">
        <x:v>101437000_78239</x:v>
      </x:c>
      <x:c r="C1667" s="18" t="str">
        <x:v>【沪村小电】恒大佘山首府东门充电站</x:v>
      </x:c>
      <x:c r="D1667" s="37" t="str">
        <x:v>2</x:v>
      </x:c>
      <x:c r="E1667" s="37" t="str">
        <x:v>0</x:v>
      </x:c>
      <x:c r="F1667" s="37" t="str">
        <x:v>47</x:v>
      </x:c>
      <x:c r="G1667" s="37" t="str">
        <x:v>1148.86</x:v>
      </x:c>
      <x:c r="H1667" s="37" t="str">
        <x:v>0.00</x:v>
      </x:c>
      <x:c r="I1667" s="37" t="str">
        <x:v>586.42</x:v>
      </x:c>
      <x:c r="J1667" s="37" t="str">
        <x:v>0.00</x:v>
      </x:c>
      <x:c r="K1667" s="37" t="str">
        <x:v>562.44</x:v>
      </x:c>
      <x:c r="L1667" s="37" t="str">
        <x:v>1783</x:v>
      </x:c>
      <x:c r="M1667" s="29" t="str">
        <x:v>956.61</x:v>
      </x:c>
      <x:c r="N1667" s="29" t="str">
        <x:v>624.46</x:v>
      </x:c>
      <x:c r="O1667" s="29" t="str">
        <x:v>332.15</x:v>
      </x:c>
      <x:c r="P1667" s="18" t="str">
        <x:v>2026-07-14</x:v>
      </x:c>
      <x:c r="Q1667" s="36" t="n">
        <x:v>46217</x:v>
      </x:c>
    </x:row>
    <x:row r="1668">
      <x:c r="A1668" s="36" t="str">
        <x:v>2026-07-14</x:v>
      </x:c>
      <x:c r="B1668" s="18" t="str">
        <x:v>101437000_80823</x:v>
      </x:c>
      <x:c r="C1668" s="18" t="str">
        <x:v>【沪村小电】上湖轩充电站</x:v>
      </x:c>
      <x:c r="D1668" s="37" t="str">
        <x:v>2</x:v>
      </x:c>
      <x:c r="E1668" s="37" t="str">
        <x:v>0</x:v>
      </x:c>
      <x:c r="F1668" s="37" t="str">
        <x:v>10</x:v>
      </x:c>
      <x:c r="G1668" s="37" t="str">
        <x:v>249.46</x:v>
      </x:c>
      <x:c r="H1668" s="37" t="str">
        <x:v>24.96</x:v>
      </x:c>
      <x:c r="I1668" s="37" t="str">
        <x:v>29.50</x:v>
      </x:c>
      <x:c r="J1668" s="37" t="str">
        <x:v>39.77</x:v>
      </x:c>
      <x:c r="K1668" s="37" t="str">
        <x:v>155.23</x:v>
      </x:c>
      <x:c r="L1668" s="37" t="str">
        <x:v>327</x:v>
      </x:c>
      <x:c r="M1668" s="29" t="str">
        <x:v>203.37</x:v>
      </x:c>
      <x:c r="N1668" s="29" t="str">
        <x:v>182.36</x:v>
      </x:c>
      <x:c r="O1668" s="29" t="str">
        <x:v>21.01</x:v>
      </x:c>
      <x:c r="P1668" s="18" t="str">
        <x:v>2026-07-14</x:v>
      </x:c>
      <x:c r="Q1668" s="36" t="n">
        <x:v>46217</x:v>
      </x:c>
    </x:row>
    <x:row r="1669">
      <x:c r="A1669" s="36" t="str">
        <x:v>2026-07-14</x:v>
      </x:c>
      <x:c r="B1669" s="18" t="str">
        <x:v>101437000_83019</x:v>
      </x:c>
      <x:c r="C1669" s="18" t="str">
        <x:v>【沪村小电】首创禧瑞云启东区充电站</x:v>
      </x:c>
      <x:c r="D1669" s="37" t="str">
        <x:v>2</x:v>
      </x:c>
      <x:c r="E1669" s="37" t="str">
        <x:v>0</x:v>
      </x:c>
      <x:c r="F1669" s="37" t="str">
        <x:v>32</x:v>
      </x:c>
      <x:c r="G1669" s="37" t="str">
        <x:v>634.65</x:v>
      </x:c>
      <x:c r="H1669" s="37" t="str">
        <x:v>0.00</x:v>
      </x:c>
      <x:c r="I1669" s="37" t="str">
        <x:v>449.94</x:v>
      </x:c>
      <x:c r="J1669" s="37" t="str">
        <x:v>0.00</x:v>
      </x:c>
      <x:c r="K1669" s="37" t="str">
        <x:v>184.71</x:v>
      </x:c>
      <x:c r="L1669" s="37" t="str">
        <x:v>921</x:v>
      </x:c>
      <x:c r="M1669" s="29" t="str">
        <x:v>657.75</x:v>
      </x:c>
      <x:c r="N1669" s="29" t="str">
        <x:v>387.79</x:v>
      </x:c>
      <x:c r="O1669" s="29" t="str">
        <x:v>269.96</x:v>
      </x:c>
      <x:c r="P1669" s="18" t="str">
        <x:v>2026-07-14</x:v>
      </x:c>
      <x:c r="Q1669" s="36" t="n">
        <x:v>46217</x:v>
      </x:c>
    </x:row>
    <x:row r="1670">
      <x:c r="A1670" s="36" t="str">
        <x:v>2026-07-14</x:v>
      </x:c>
      <x:c r="B1670" s="18" t="str">
        <x:v>101437000_83093</x:v>
      </x:c>
      <x:c r="C1670" s="18" t="str">
        <x:v>【沪村小电】金茂未来时光里</x:v>
      </x:c>
      <x:c r="D1670" s="37" t="str">
        <x:v>2</x:v>
      </x:c>
      <x:c r="E1670" s="37" t="str">
        <x:v>0</x:v>
      </x:c>
      <x:c r="F1670" s="37" t="str">
        <x:v>71</x:v>
      </x:c>
      <x:c r="G1670" s="37" t="str">
        <x:v>2312.90</x:v>
      </x:c>
      <x:c r="H1670" s="37" t="str">
        <x:v>0.00</x:v>
      </x:c>
      <x:c r="I1670" s="37" t="str">
        <x:v>1157.22</x:v>
      </x:c>
      <x:c r="J1670" s="37" t="str">
        <x:v>0.00</x:v>
      </x:c>
      <x:c r="K1670" s="37" t="str">
        <x:v>1155.68</x:v>
      </x:c>
      <x:c r="L1670" s="37" t="str">
        <x:v>3381</x:v>
      </x:c>
      <x:c r="M1670" s="29" t="str">
        <x:v>1649.73</x:v>
      </x:c>
      <x:c r="N1670" s="29" t="str">
        <x:v>1041.04</x:v>
      </x:c>
      <x:c r="O1670" s="29" t="str">
        <x:v>608.69</x:v>
      </x:c>
      <x:c r="P1670" s="18" t="str">
        <x:v>2026-07-14</x:v>
      </x:c>
      <x:c r="Q1670" s="36" t="n">
        <x:v>46217</x:v>
      </x:c>
    </x:row>
    <x:row r="1671">
      <x:c r="A1671" s="36" t="str">
        <x:v>2026-07-14</x:v>
      </x:c>
      <x:c r="B1671" s="18" t="str">
        <x:v>101437000_83911</x:v>
      </x:c>
      <x:c r="C1671" s="18" t="str">
        <x:v>【沪村小电】金瀚园充电站</x:v>
      </x:c>
      <x:c r="D1671" s="37" t="str">
        <x:v>2</x:v>
      </x:c>
      <x:c r="E1671" s="37" t="str">
        <x:v>0</x:v>
      </x:c>
      <x:c r="F1671" s="37" t="str">
        <x:v>42</x:v>
      </x:c>
      <x:c r="G1671" s="37" t="str">
        <x:v>1283.93</x:v>
      </x:c>
      <x:c r="H1671" s="37" t="str">
        <x:v>0.00</x:v>
      </x:c>
      <x:c r="I1671" s="37" t="str">
        <x:v>710.20</x:v>
      </x:c>
      <x:c r="J1671" s="37" t="str">
        <x:v>0.00</x:v>
      </x:c>
      <x:c r="K1671" s="37" t="str">
        <x:v>573.73</x:v>
      </x:c>
      <x:c r="L1671" s="37" t="str">
        <x:v>1896</x:v>
      </x:c>
      <x:c r="M1671" s="29" t="str">
        <x:v>1097.40</x:v>
      </x:c>
      <x:c r="N1671" s="29" t="str">
        <x:v>716.47</x:v>
      </x:c>
      <x:c r="O1671" s="29" t="str">
        <x:v>380.93</x:v>
      </x:c>
      <x:c r="P1671" s="18" t="str">
        <x:v>2026-07-14</x:v>
      </x:c>
      <x:c r="Q1671" s="36" t="n">
        <x:v>46217</x:v>
      </x:c>
    </x:row>
    <x:row r="1672">
      <x:c r="A1672" s="36" t="str">
        <x:v>2026-07-14</x:v>
      </x:c>
      <x:c r="B1672" s="18" t="str">
        <x:v>101437000_83913</x:v>
      </x:c>
      <x:c r="C1672" s="18" t="str">
        <x:v>【沪村小电】新黎村充电站</x:v>
      </x:c>
      <x:c r="D1672" s="37" t="str">
        <x:v>2</x:v>
      </x:c>
      <x:c r="E1672" s="37" t="str">
        <x:v>0</x:v>
      </x:c>
      <x:c r="F1672" s="37" t="str">
        <x:v>54</x:v>
      </x:c>
      <x:c r="G1672" s="37" t="str">
        <x:v>1611.48</x:v>
      </x:c>
      <x:c r="H1672" s="37" t="str">
        <x:v>0.00</x:v>
      </x:c>
      <x:c r="I1672" s="37" t="str">
        <x:v>1033.94</x:v>
      </x:c>
      <x:c r="J1672" s="37" t="str">
        <x:v>0.00</x:v>
      </x:c>
      <x:c r="K1672" s="37" t="str">
        <x:v>577.54</x:v>
      </x:c>
      <x:c r="L1672" s="37" t="str">
        <x:v>2598</x:v>
      </x:c>
      <x:c r="M1672" s="29" t="str">
        <x:v>1475.97</x:v>
      </x:c>
      <x:c r="N1672" s="29" t="str">
        <x:v>947.78</x:v>
      </x:c>
      <x:c r="O1672" s="29" t="str">
        <x:v>528.19</x:v>
      </x:c>
      <x:c r="P1672" s="18" t="str">
        <x:v>2026-07-14</x:v>
      </x:c>
      <x:c r="Q1672" s="36" t="n">
        <x:v>46217</x:v>
      </x:c>
    </x:row>
    <x:row r="1673">
      <x:c r="A1673" s="36" t="str">
        <x:v>2026-07-14</x:v>
      </x:c>
      <x:c r="B1673" s="18" t="str">
        <x:v>101437000_83915</x:v>
      </x:c>
      <x:c r="C1673" s="18" t="str">
        <x:v>【沪村小电】长泰西郊别墅充电站</x:v>
      </x:c>
      <x:c r="D1673" s="37" t="str">
        <x:v>2</x:v>
      </x:c>
      <x:c r="E1673" s="37" t="str">
        <x:v>0</x:v>
      </x:c>
      <x:c r="F1673" s="37" t="str">
        <x:v>19</x:v>
      </x:c>
      <x:c r="G1673" s="37" t="str">
        <x:v>516.83</x:v>
      </x:c>
      <x:c r="H1673" s="37" t="str">
        <x:v>0.00</x:v>
      </x:c>
      <x:c r="I1673" s="37" t="str">
        <x:v>277.34</x:v>
      </x:c>
      <x:c r="J1673" s="37" t="str">
        <x:v>0.00</x:v>
      </x:c>
      <x:c r="K1673" s="37" t="str">
        <x:v>239.49</x:v>
      </x:c>
      <x:c r="L1673" s="37" t="str">
        <x:v>792</x:v>
      </x:c>
      <x:c r="M1673" s="29" t="str">
        <x:v>421.77</x:v>
      </x:c>
      <x:c r="N1673" s="29" t="str">
        <x:v>285.51</x:v>
      </x:c>
      <x:c r="O1673" s="29" t="str">
        <x:v>136.26</x:v>
      </x:c>
      <x:c r="P1673" s="18" t="str">
        <x:v>2026-07-14</x:v>
      </x:c>
      <x:c r="Q1673" s="36" t="n">
        <x:v>46217</x:v>
      </x:c>
    </x:row>
    <x:row r="1674">
      <x:c r="A1674" s="36" t="str">
        <x:v>2026-07-14</x:v>
      </x:c>
      <x:c r="B1674" s="18" t="str">
        <x:v>101437000_83917</x:v>
      </x:c>
      <x:c r="C1674" s="18" t="str">
        <x:v>【沪村小电】旭新华庭充电站</x:v>
      </x:c>
      <x:c r="D1674" s="37" t="str">
        <x:v>4</x:v>
      </x:c>
      <x:c r="E1674" s="37" t="str">
        <x:v>0</x:v>
      </x:c>
      <x:c r="F1674" s="37" t="str">
        <x:v>27</x:v>
      </x:c>
      <x:c r="G1674" s="37" t="str">
        <x:v>654.87</x:v>
      </x:c>
      <x:c r="H1674" s="37" t="str">
        <x:v>0.00</x:v>
      </x:c>
      <x:c r="I1674" s="37" t="str">
        <x:v>466.43</x:v>
      </x:c>
      <x:c r="J1674" s="37" t="str">
        <x:v>0.00</x:v>
      </x:c>
      <x:c r="K1674" s="37" t="str">
        <x:v>188.44</x:v>
      </x:c>
      <x:c r="L1674" s="37" t="str">
        <x:v>1013</x:v>
      </x:c>
      <x:c r="M1674" s="29" t="str">
        <x:v>665.82</x:v>
      </x:c>
      <x:c r="N1674" s="29" t="str">
        <x:v>400.89</x:v>
      </x:c>
      <x:c r="O1674" s="29" t="str">
        <x:v>264.93</x:v>
      </x:c>
      <x:c r="P1674" s="18" t="str">
        <x:v>2026-07-14</x:v>
      </x:c>
      <x:c r="Q1674" s="36" t="n">
        <x:v>46217</x:v>
      </x:c>
    </x:row>
    <x:row r="1675">
      <x:c r="A1675" s="36" t="str">
        <x:v>2026-07-14</x:v>
      </x:c>
      <x:c r="B1675" s="18" t="str">
        <x:v>101437000_83919</x:v>
      </x:c>
      <x:c r="C1675" s="18" t="str">
        <x:v>【沪村小电】浦锦名仕嘉园充电站</x:v>
      </x:c>
      <x:c r="D1675" s="37" t="str">
        <x:v>4</x:v>
      </x:c>
      <x:c r="E1675" s="37" t="str">
        <x:v>0</x:v>
      </x:c>
      <x:c r="F1675" s="37" t="str">
        <x:v>48</x:v>
      </x:c>
      <x:c r="G1675" s="37" t="str">
        <x:v>1167.92</x:v>
      </x:c>
      <x:c r="H1675" s="37" t="str">
        <x:v>0.00</x:v>
      </x:c>
      <x:c r="I1675" s="37" t="str">
        <x:v>848.11</x:v>
      </x:c>
      <x:c r="J1675" s="37" t="str">
        <x:v>0.00</x:v>
      </x:c>
      <x:c r="K1675" s="37" t="str">
        <x:v>319.81</x:v>
      </x:c>
      <x:c r="L1675" s="37" t="str">
        <x:v>1774</x:v>
      </x:c>
      <x:c r="M1675" s="29" t="str">
        <x:v>1168.25</x:v>
      </x:c>
      <x:c r="N1675" s="29" t="str">
        <x:v>720.48</x:v>
      </x:c>
      <x:c r="O1675" s="29" t="str">
        <x:v>447.77</x:v>
      </x:c>
      <x:c r="P1675" s="18" t="str">
        <x:v>2026-07-14</x:v>
      </x:c>
      <x:c r="Q1675" s="36" t="n">
        <x:v>46217</x:v>
      </x:c>
    </x:row>
    <x:row r="1676">
      <x:c r="A1676" s="36" t="str">
        <x:v>2026-07-14</x:v>
      </x:c>
      <x:c r="B1676" s="18" t="str">
        <x:v>101437000_83921</x:v>
      </x:c>
      <x:c r="C1676" s="18" t="str">
        <x:v>【沪村小电】上海联怡枇杷乐园充电站（地库）</x:v>
      </x:c>
      <x:c r="D1676" s="37" t="str">
        <x:v>8</x:v>
      </x:c>
      <x:c r="E1676" s="37" t="str">
        <x:v>0</x:v>
      </x:c>
      <x:c r="F1676" s="37" t="str">
        <x:v>13</x:v>
      </x:c>
      <x:c r="G1676" s="37" t="str">
        <x:v>448.19</x:v>
      </x:c>
      <x:c r="H1676" s="37" t="str">
        <x:v>0.00</x:v>
      </x:c>
      <x:c r="I1676" s="37" t="str">
        <x:v>154.28</x:v>
      </x:c>
      <x:c r="J1676" s="37" t="str">
        <x:v>0.00</x:v>
      </x:c>
      <x:c r="K1676" s="37" t="str">
        <x:v>293.91</x:v>
      </x:c>
      <x:c r="L1676" s="37" t="str">
        <x:v>622</x:v>
      </x:c>
      <x:c r="M1676" s="29" t="str">
        <x:v>345.22</x:v>
      </x:c>
      <x:c r="N1676" s="29" t="str">
        <x:v>274.04</x:v>
      </x:c>
      <x:c r="O1676" s="29" t="str">
        <x:v>71.18</x:v>
      </x:c>
      <x:c r="P1676" s="18" t="str">
        <x:v>2026-07-14</x:v>
      </x:c>
      <x:c r="Q1676" s="36" t="n">
        <x:v>46217</x:v>
      </x:c>
    </x:row>
    <x:row r="1677">
      <x:c r="A1677" s="36" t="str">
        <x:v>2026-07-14</x:v>
      </x:c>
      <x:c r="B1677" s="18" t="str">
        <x:v>101437000_83923</x:v>
      </x:c>
      <x:c r="C1677" s="18" t="str">
        <x:v>【沪村小电】明珠新苑充电站</x:v>
      </x:c>
      <x:c r="D1677" s="37" t="str">
        <x:v>2</x:v>
      </x:c>
      <x:c r="E1677" s="37" t="str">
        <x:v>0</x:v>
      </x:c>
      <x:c r="F1677" s="37" t="str">
        <x:v>29</x:v>
      </x:c>
      <x:c r="G1677" s="37" t="str">
        <x:v>817.49</x:v>
      </x:c>
      <x:c r="H1677" s="37" t="str">
        <x:v>0.00</x:v>
      </x:c>
      <x:c r="I1677" s="37" t="str">
        <x:v>467.05</x:v>
      </x:c>
      <x:c r="J1677" s="37" t="str">
        <x:v>0.00</x:v>
      </x:c>
      <x:c r="K1677" s="37" t="str">
        <x:v>350.44</x:v>
      </x:c>
      <x:c r="L1677" s="37" t="str">
        <x:v>1218</x:v>
      </x:c>
      <x:c r="M1677" s="29" t="str">
        <x:v>693.42</x:v>
      </x:c>
      <x:c r="N1677" s="29" t="str">
        <x:v>461.24</x:v>
      </x:c>
      <x:c r="O1677" s="29" t="str">
        <x:v>232.18</x:v>
      </x:c>
      <x:c r="P1677" s="18" t="str">
        <x:v>2026-07-14</x:v>
      </x:c>
      <x:c r="Q1677" s="36" t="n">
        <x:v>46217</x:v>
      </x:c>
    </x:row>
    <x:row r="1678">
      <x:c r="A1678" s="36" t="str">
        <x:v>2026-07-14</x:v>
      </x:c>
      <x:c r="B1678" s="18" t="str">
        <x:v>101437000_84289</x:v>
      </x:c>
      <x:c r="C1678" s="18" t="str">
        <x:v>【沪村小电】铁建芳华苑充电站</x:v>
      </x:c>
      <x:c r="D1678" s="37" t="str">
        <x:v>4</x:v>
      </x:c>
      <x:c r="E1678" s="37" t="str">
        <x:v>0</x:v>
      </x:c>
      <x:c r="F1678" s="37" t="str">
        <x:v>30</x:v>
      </x:c>
      <x:c r="G1678" s="37" t="str">
        <x:v>842.72</x:v>
      </x:c>
      <x:c r="H1678" s="37" t="str">
        <x:v>0.00</x:v>
      </x:c>
      <x:c r="I1678" s="37" t="str">
        <x:v>501.11</x:v>
      </x:c>
      <x:c r="J1678" s="37" t="str">
        <x:v>0.00</x:v>
      </x:c>
      <x:c r="K1678" s="37" t="str">
        <x:v>341.62</x:v>
      </x:c>
      <x:c r="L1678" s="37" t="str">
        <x:v>1326</x:v>
      </x:c>
      <x:c r="M1678" s="29" t="str">
        <x:v>754.71</x:v>
      </x:c>
      <x:c r="N1678" s="29" t="str">
        <x:v>482.17</x:v>
      </x:c>
      <x:c r="O1678" s="29" t="str">
        <x:v>272.54</x:v>
      </x:c>
      <x:c r="P1678" s="18" t="str">
        <x:v>2026-07-14</x:v>
      </x:c>
      <x:c r="Q1678" s="36" t="n">
        <x:v>46217</x:v>
      </x:c>
    </x:row>
    <x:row r="1679">
      <x:c r="A1679" s="36" t="str">
        <x:v>2026-07-14</x:v>
      </x:c>
      <x:c r="B1679" s="18" t="str">
        <x:v>101437000_86379</x:v>
      </x:c>
      <x:c r="C1679" s="18" t="str">
        <x:v>【沪村小电】新宝社区充电站</x:v>
      </x:c>
      <x:c r="D1679" s="37" t="str">
        <x:v>4</x:v>
      </x:c>
      <x:c r="E1679" s="37" t="str">
        <x:v>0</x:v>
      </x:c>
      <x:c r="F1679" s="37" t="str">
        <x:v>28</x:v>
      </x:c>
      <x:c r="G1679" s="37" t="str">
        <x:v>691.88</x:v>
      </x:c>
      <x:c r="H1679" s="37" t="str">
        <x:v>0.00</x:v>
      </x:c>
      <x:c r="I1679" s="37" t="str">
        <x:v>493.42</x:v>
      </x:c>
      <x:c r="J1679" s="37" t="str">
        <x:v>0.00</x:v>
      </x:c>
      <x:c r="K1679" s="37" t="str">
        <x:v>198.46</x:v>
      </x:c>
      <x:c r="L1679" s="37" t="str">
        <x:v>1102</x:v>
      </x:c>
      <x:c r="M1679" s="29" t="str">
        <x:v>608.90</x:v>
      </x:c>
      <x:c r="N1679" s="29" t="str">
        <x:v>423.76</x:v>
      </x:c>
      <x:c r="O1679" s="29" t="str">
        <x:v>185.14</x:v>
      </x:c>
      <x:c r="P1679" s="18" t="str">
        <x:v>2026-07-14</x:v>
      </x:c>
      <x:c r="Q1679" s="36" t="n">
        <x:v>46217</x:v>
      </x:c>
    </x:row>
    <x:row r="1680">
      <x:c r="A1680" s="36" t="str">
        <x:v>2026-07-14</x:v>
      </x:c>
      <x:c r="B1680" s="18" t="str">
        <x:v>101437000_89441</x:v>
      </x:c>
      <x:c r="C1680" s="18" t="str">
        <x:v>【沪村小电】首创禧瑞云启西区充电站</x:v>
      </x:c>
      <x:c r="D1680" s="37" t="str">
        <x:v>2</x:v>
      </x:c>
      <x:c r="E1680" s="37" t="str">
        <x:v>0</x:v>
      </x:c>
      <x:c r="F1680" s="37" t="str">
        <x:v>38</x:v>
      </x:c>
      <x:c r="G1680" s="37" t="str">
        <x:v>912.14</x:v>
      </x:c>
      <x:c r="H1680" s="37" t="str">
        <x:v>0.00</x:v>
      </x:c>
      <x:c r="I1680" s="37" t="str">
        <x:v>679.65</x:v>
      </x:c>
      <x:c r="J1680" s="37" t="str">
        <x:v>0.00</x:v>
      </x:c>
      <x:c r="K1680" s="37" t="str">
        <x:v>232.48</x:v>
      </x:c>
      <x:c r="L1680" s="37" t="str">
        <x:v>1349</x:v>
      </x:c>
      <x:c r="M1680" s="29" t="str">
        <x:v>909.49</x:v>
      </x:c>
      <x:c r="N1680" s="29" t="str">
        <x:v>568.57</x:v>
      </x:c>
      <x:c r="O1680" s="29" t="str">
        <x:v>340.92</x:v>
      </x:c>
      <x:c r="P1680" s="18" t="str">
        <x:v>2026-07-14</x:v>
      </x:c>
      <x:c r="Q1680" s="36" t="n">
        <x:v>46217</x:v>
      </x:c>
    </x:row>
    <x:row r="1681">
      <x:c r="A1681" s="36" t="str">
        <x:v>2026-07-14</x:v>
      </x:c>
      <x:c r="B1681" s="18" t="str">
        <x:v>101437000_89443</x:v>
      </x:c>
      <x:c r="C1681" s="18" t="str">
        <x:v>【沪村小电】玉兰清苑二期充电站</x:v>
      </x:c>
      <x:c r="D1681" s="37" t="str">
        <x:v>2</x:v>
      </x:c>
      <x:c r="E1681" s="37" t="str">
        <x:v>0</x:v>
      </x:c>
      <x:c r="F1681" s="37" t="str">
        <x:v>20</x:v>
      </x:c>
      <x:c r="G1681" s="37" t="str">
        <x:v>495.38</x:v>
      </x:c>
      <x:c r="H1681" s="37" t="str">
        <x:v>0.00</x:v>
      </x:c>
      <x:c r="I1681" s="37" t="str">
        <x:v>372.76</x:v>
      </x:c>
      <x:c r="J1681" s="37" t="str">
        <x:v>0.00</x:v>
      </x:c>
      <x:c r="K1681" s="37" t="str">
        <x:v>122.62</x:v>
      </x:c>
      <x:c r="L1681" s="37" t="str">
        <x:v>1175</x:v>
      </x:c>
      <x:c r="M1681" s="29" t="str">
        <x:v>483.21</x:v>
      </x:c>
      <x:c r="N1681" s="29" t="str">
        <x:v>310.00</x:v>
      </x:c>
      <x:c r="O1681" s="29" t="str">
        <x:v>173.21</x:v>
      </x:c>
      <x:c r="P1681" s="18" t="str">
        <x:v>2026-07-14</x:v>
      </x:c>
      <x:c r="Q1681" s="36" t="n">
        <x:v>46217</x:v>
      </x:c>
    </x:row>
    <x:row r="1682">
      <x:c r="A1682" s="36" t="str">
        <x:v>2026-07-14</x:v>
      </x:c>
      <x:c r="B1682" s="18" t="str">
        <x:v>101437000_93115</x:v>
      </x:c>
      <x:c r="C1682" s="18" t="str">
        <x:v>【沪村小电】新南家园西北门</x:v>
      </x:c>
      <x:c r="D1682" s="37" t="str">
        <x:v>2</x:v>
      </x:c>
      <x:c r="E1682" s="37" t="str">
        <x:v>0</x:v>
      </x:c>
      <x:c r="F1682" s="37" t="str">
        <x:v>19</x:v>
      </x:c>
      <x:c r="G1682" s="37" t="str">
        <x:v>438.26</x:v>
      </x:c>
      <x:c r="H1682" s="37" t="str">
        <x:v>0.00</x:v>
      </x:c>
      <x:c r="I1682" s="37" t="str">
        <x:v>256.44</x:v>
      </x:c>
      <x:c r="J1682" s="37" t="str">
        <x:v>0.00</x:v>
      </x:c>
      <x:c r="K1682" s="37" t="str">
        <x:v>181.82</x:v>
      </x:c>
      <x:c r="L1682" s="37" t="str">
        <x:v>822</x:v>
      </x:c>
      <x:c r="M1682" s="29" t="str">
        <x:v>397.74</x:v>
      </x:c>
      <x:c r="N1682" s="29" t="str">
        <x:v>249.35</x:v>
      </x:c>
      <x:c r="O1682" s="29" t="str">
        <x:v>148.39</x:v>
      </x:c>
      <x:c r="P1682" s="18" t="str">
        <x:v>2026-07-14</x:v>
      </x:c>
      <x:c r="Q1682" s="36" t="n">
        <x:v>46217</x:v>
      </x:c>
    </x:row>
    <x:row r="1683">
      <x:c r="A1683" s="36" t="str">
        <x:v>2026-07-14</x:v>
      </x:c>
      <x:c r="B1683" s="18" t="str">
        <x:v>101437000_94649</x:v>
      </x:c>
      <x:c r="C1683" s="18" t="str">
        <x:v>【沪村小电】浪琴水岸花园</x:v>
      </x:c>
      <x:c r="D1683" s="37" t="str">
        <x:v>4</x:v>
      </x:c>
      <x:c r="E1683" s="37" t="str">
        <x:v>0</x:v>
      </x:c>
      <x:c r="F1683" s="37" t="str">
        <x:v>33</x:v>
      </x:c>
      <x:c r="G1683" s="37" t="str">
        <x:v>795.54</x:v>
      </x:c>
      <x:c r="H1683" s="37" t="str">
        <x:v>0.00</x:v>
      </x:c>
      <x:c r="I1683" s="37" t="str">
        <x:v>480.87</x:v>
      </x:c>
      <x:c r="J1683" s="37" t="str">
        <x:v>0.00</x:v>
      </x:c>
      <x:c r="K1683" s="37" t="str">
        <x:v>314.67</x:v>
      </x:c>
      <x:c r="L1683" s="37" t="str">
        <x:v>1332</x:v>
      </x:c>
      <x:c r="M1683" s="29" t="str">
        <x:v>680.86</x:v>
      </x:c>
      <x:c r="N1683" s="29" t="str">
        <x:v>489.32</x:v>
      </x:c>
      <x:c r="O1683" s="29" t="str">
        <x:v>191.54</x:v>
      </x:c>
      <x:c r="P1683" s="18" t="str">
        <x:v>2026-07-14</x:v>
      </x:c>
      <x:c r="Q1683" s="36" t="n">
        <x:v>46217</x:v>
      </x:c>
    </x:row>
    <x:row r="1684">
      <x:c r="A1684" s="36" t="str">
        <x:v>2026-07-14</x:v>
      </x:c>
      <x:c r="B1684" s="18" t="str">
        <x:v>101437000_95077</x:v>
      </x:c>
      <x:c r="C1684" s="18" t="str">
        <x:v>【沪村小电】民乐城惠益绿苑255弄充电站</x:v>
      </x:c>
      <x:c r="D1684" s="37" t="str">
        <x:v>2</x:v>
      </x:c>
      <x:c r="E1684" s="37" t="str">
        <x:v>0</x:v>
      </x:c>
      <x:c r="F1684" s="37" t="str">
        <x:v>14</x:v>
      </x:c>
      <x:c r="G1684" s="37" t="str">
        <x:v>295.20</x:v>
      </x:c>
      <x:c r="H1684" s="37" t="str">
        <x:v>0.00</x:v>
      </x:c>
      <x:c r="I1684" s="37" t="str">
        <x:v>186.53</x:v>
      </x:c>
      <x:c r="J1684" s="37" t="str">
        <x:v>0.00</x:v>
      </x:c>
      <x:c r="K1684" s="37" t="str">
        <x:v>108.66</x:v>
      </x:c>
      <x:c r="L1684" s="37" t="str">
        <x:v>479</x:v>
      </x:c>
      <x:c r="M1684" s="29" t="str">
        <x:v>258.07</x:v>
      </x:c>
      <x:c r="N1684" s="29" t="str">
        <x:v>172.65</x:v>
      </x:c>
      <x:c r="O1684" s="29" t="str">
        <x:v>85.42</x:v>
      </x:c>
      <x:c r="P1684" s="18" t="str">
        <x:v>2026-07-14</x:v>
      </x:c>
      <x:c r="Q1684" s="36" t="n">
        <x:v>46217</x:v>
      </x:c>
    </x:row>
    <x:row r="1685">
      <x:c r="A1685" s="36" t="str">
        <x:v>2026-07-14</x:v>
      </x:c>
      <x:c r="B1685" s="18" t="str">
        <x:v>101437000_95079</x:v>
      </x:c>
      <x:c r="C1685" s="18" t="str">
        <x:v>【沪村小电】民乐城惠益绿苑东苑充电站</x:v>
      </x:c>
      <x:c r="D1685" s="37" t="str">
        <x:v>2</x:v>
      </x:c>
      <x:c r="E1685" s="37" t="str">
        <x:v>0</x:v>
      </x:c>
      <x:c r="F1685" s="37" t="str">
        <x:v>26</x:v>
      </x:c>
      <x:c r="G1685" s="37" t="str">
        <x:v>561.72</x:v>
      </x:c>
      <x:c r="H1685" s="37" t="str">
        <x:v>0.00</x:v>
      </x:c>
      <x:c r="I1685" s="37" t="str">
        <x:v>422.32</x:v>
      </x:c>
      <x:c r="J1685" s="37" t="str">
        <x:v>0.00</x:v>
      </x:c>
      <x:c r="K1685" s="37" t="str">
        <x:v>139.39</x:v>
      </x:c>
      <x:c r="L1685" s="37" t="str">
        <x:v>814</x:v>
      </x:c>
      <x:c r="M1685" s="29" t="str">
        <x:v>499.03</x:v>
      </x:c>
      <x:c r="N1685" s="29" t="str">
        <x:v>351.42</x:v>
      </x:c>
      <x:c r="O1685" s="29" t="str">
        <x:v>147.61</x:v>
      </x:c>
      <x:c r="P1685" s="18" t="str">
        <x:v>2026-07-14</x:v>
      </x:c>
      <x:c r="Q1685" s="36" t="n">
        <x:v>46217</x:v>
      </x:c>
    </x:row>
    <x:row r="1686">
      <x:c r="A1686" s="36" t="str">
        <x:v>2026-07-14</x:v>
      </x:c>
      <x:c r="B1686" s="18" t="str">
        <x:v>101437000_95081</x:v>
      </x:c>
      <x:c r="C1686" s="18" t="str">
        <x:v>【沪村小电】民乐城惠益绿苑西苑充电站</x:v>
      </x:c>
      <x:c r="D1686" s="37" t="str">
        <x:v>2</x:v>
      </x:c>
      <x:c r="E1686" s="37" t="str">
        <x:v>0</x:v>
      </x:c>
      <x:c r="F1686" s="37" t="str">
        <x:v>9</x:v>
      </x:c>
      <x:c r="G1686" s="37" t="str">
        <x:v>201.82</x:v>
      </x:c>
      <x:c r="H1686" s="37" t="str">
        <x:v>0.00</x:v>
      </x:c>
      <x:c r="I1686" s="37" t="str">
        <x:v>201.82</x:v>
      </x:c>
      <x:c r="J1686" s="37" t="str">
        <x:v>0.00</x:v>
      </x:c>
      <x:c r="K1686" s="37" t="str">
        <x:v>0.00</x:v>
      </x:c>
      <x:c r="L1686" s="37" t="str">
        <x:v>350</x:v>
      </x:c>
      <x:c r="M1686" s="29" t="str">
        <x:v>225.89</x:v>
      </x:c>
      <x:c r="N1686" s="29" t="str">
        <x:v>143.29</x:v>
      </x:c>
      <x:c r="O1686" s="29" t="str">
        <x:v>82.60</x:v>
      </x:c>
      <x:c r="P1686" s="18" t="str">
        <x:v>2026-07-14</x:v>
      </x:c>
      <x:c r="Q1686" s="36" t="n">
        <x:v>46217</x:v>
      </x:c>
    </x:row>
    <x:row r="1687">
      <x:c r="A1687" s="36" t="str">
        <x:v>2026-07-14</x:v>
      </x:c>
      <x:c r="B1687" s="18" t="str">
        <x:v>101437000_95941</x:v>
      </x:c>
      <x:c r="C1687" s="18" t="str">
        <x:v>【沪村小电】惠诚雅苑</x:v>
      </x:c>
      <x:c r="D1687" s="37" t="str">
        <x:v>4</x:v>
      </x:c>
      <x:c r="E1687" s="37" t="str">
        <x:v>0</x:v>
      </x:c>
      <x:c r="F1687" s="37" t="str">
        <x:v>52</x:v>
      </x:c>
      <x:c r="G1687" s="37" t="str">
        <x:v>1279.73</x:v>
      </x:c>
      <x:c r="H1687" s="37" t="str">
        <x:v>0.00</x:v>
      </x:c>
      <x:c r="I1687" s="37" t="str">
        <x:v>540.59</x:v>
      </x:c>
      <x:c r="J1687" s="37" t="str">
        <x:v>0.00</x:v>
      </x:c>
      <x:c r="K1687" s="37" t="str">
        <x:v>739.15</x:v>
      </x:c>
      <x:c r="L1687" s="37" t="str">
        <x:v>2203</x:v>
      </x:c>
      <x:c r="M1687" s="29" t="str">
        <x:v>829.78</x:v>
      </x:c>
      <x:c r="N1687" s="29" t="str">
        <x:v>548.12</x:v>
      </x:c>
      <x:c r="O1687" s="29" t="str">
        <x:v>281.66</x:v>
      </x:c>
      <x:c r="P1687" s="18" t="str">
        <x:v>2026-07-14</x:v>
      </x:c>
      <x:c r="Q1687" s="36" t="n">
        <x:v>46217</x:v>
      </x:c>
    </x:row>
    <x:row r="1688">
      <x:c r="A1688" s="36" t="str">
        <x:v>2026-07-14</x:v>
      </x:c>
      <x:c r="B1688" s="18" t="str">
        <x:v>101437000_96401</x:v>
      </x:c>
      <x:c r="C1688" s="18" t="str">
        <x:v>【沪村小电】上海联怡枇杷乐园地面站</x:v>
      </x:c>
      <x:c r="D1688" s="37" t="str">
        <x:v>2</x:v>
      </x:c>
      <x:c r="E1688" s="37" t="str">
        <x:v>0</x:v>
      </x:c>
      <x:c r="F1688" s="37" t="str">
        <x:v>9</x:v>
      </x:c>
      <x:c r="G1688" s="37" t="str">
        <x:v>220.54</x:v>
      </x:c>
      <x:c r="H1688" s="37" t="str">
        <x:v>0.00</x:v>
      </x:c>
      <x:c r="I1688" s="37" t="str">
        <x:v>148.42</x:v>
      </x:c>
      <x:c r="J1688" s="37" t="str">
        <x:v>0.00</x:v>
      </x:c>
      <x:c r="K1688" s="37" t="str">
        <x:v>72.12</x:v>
      </x:c>
      <x:c r="L1688" s="37" t="str">
        <x:v>312</x:v>
      </x:c>
      <x:c r="M1688" s="29" t="str">
        <x:v>261.50</x:v>
      </x:c>
      <x:c r="N1688" s="29" t="str">
        <x:v>166.77</x:v>
      </x:c>
      <x:c r="O1688" s="29" t="str">
        <x:v>94.73</x:v>
      </x:c>
      <x:c r="P1688" s="18" t="str">
        <x:v>2026-07-14</x:v>
      </x:c>
      <x:c r="Q1688" s="36" t="n">
        <x:v>46217</x:v>
      </x:c>
    </x:row>
    <x:row r="1689">
      <x:c r="A1689" s="36" t="str">
        <x:v>2026-07-14</x:v>
      </x:c>
      <x:c r="B1689" s="18" t="str">
        <x:v>101437000_96719</x:v>
      </x:c>
      <x:c r="C1689" s="18" t="str">
        <x:v>【沪村小电】四达路220弄充电站</x:v>
      </x:c>
      <x:c r="D1689" s="37" t="str">
        <x:v>2</x:v>
      </x:c>
      <x:c r="E1689" s="37" t="str">
        <x:v>0</x:v>
      </x:c>
      <x:c r="F1689" s="37" t="str">
        <x:v>23</x:v>
      </x:c>
      <x:c r="G1689" s="37" t="str">
        <x:v>288.32</x:v>
      </x:c>
      <x:c r="H1689" s="37" t="str">
        <x:v>0.00</x:v>
      </x:c>
      <x:c r="I1689" s="37" t="str">
        <x:v>268.25</x:v>
      </x:c>
      <x:c r="J1689" s="37" t="str">
        <x:v>0.00</x:v>
      </x:c>
      <x:c r="K1689" s="37" t="str">
        <x:v>20.07</x:v>
      </x:c>
      <x:c r="L1689" s="37" t="str">
        <x:v>438</x:v>
      </x:c>
      <x:c r="M1689" s="29" t="str">
        <x:v>265.87</x:v>
      </x:c>
      <x:c r="N1689" s="29" t="str">
        <x:v>197.88</x:v>
      </x:c>
      <x:c r="O1689" s="29" t="str">
        <x:v>67.99</x:v>
      </x:c>
      <x:c r="P1689" s="18" t="str">
        <x:v>2026-07-14</x:v>
      </x:c>
      <x:c r="Q1689" s="36" t="n">
        <x:v>46217</x:v>
      </x:c>
    </x:row>
    <x:row r="1690">
      <x:c r="A1690" s="36" t="str">
        <x:v>2026-07-14</x:v>
      </x:c>
      <x:c r="B1690" s="18" t="str">
        <x:v>101437000_97421</x:v>
      </x:c>
      <x:c r="C1690" s="18" t="str">
        <x:v>【沪村小电】玉兰清苑二期（小区外）充电站</x:v>
      </x:c>
      <x:c r="D1690" s="37" t="str">
        <x:v>4</x:v>
      </x:c>
      <x:c r="E1690" s="37" t="str">
        <x:v>0</x:v>
      </x:c>
      <x:c r="F1690" s="37" t="str">
        <x:v>50</x:v>
      </x:c>
      <x:c r="G1690" s="37" t="str">
        <x:v>1013.90</x:v>
      </x:c>
      <x:c r="H1690" s="37" t="str">
        <x:v>0.00</x:v>
      </x:c>
      <x:c r="I1690" s="37" t="str">
        <x:v>792.98</x:v>
      </x:c>
      <x:c r="J1690" s="37" t="str">
        <x:v>0.00</x:v>
      </x:c>
      <x:c r="K1690" s="37" t="str">
        <x:v>220.92</x:v>
      </x:c>
      <x:c r="L1690" s="37" t="str">
        <x:v>2014</x:v>
      </x:c>
      <x:c r="M1690" s="29" t="str">
        <x:v>968.04</x:v>
      </x:c>
      <x:c r="N1690" s="29" t="str">
        <x:v>644.77</x:v>
      </x:c>
      <x:c r="O1690" s="29" t="str">
        <x:v>323.27</x:v>
      </x:c>
      <x:c r="P1690" s="18" t="str">
        <x:v>2026-07-14</x:v>
      </x:c>
      <x:c r="Q1690" s="36" t="n">
        <x:v>46217</x:v>
      </x:c>
    </x:row>
    <x:row r="1691">
      <x:c r="A1691" s="36" t="str">
        <x:v>2026-07-14</x:v>
      </x:c>
      <x:c r="B1691" s="18" t="str">
        <x:v>101437000_98013</x:v>
      </x:c>
      <x:c r="C1691" s="18" t="str">
        <x:v>【沪村小电】恒大滨江华府充电站</x:v>
      </x:c>
      <x:c r="D1691" s="37" t="str">
        <x:v>4</x:v>
      </x:c>
      <x:c r="E1691" s="37" t="str">
        <x:v>0</x:v>
      </x:c>
      <x:c r="F1691" s="37" t="str">
        <x:v>41</x:v>
      </x:c>
      <x:c r="G1691" s="37" t="str">
        <x:v>943.15</x:v>
      </x:c>
      <x:c r="H1691" s="37" t="str">
        <x:v>0.00</x:v>
      </x:c>
      <x:c r="I1691" s="37" t="str">
        <x:v>844.18</x:v>
      </x:c>
      <x:c r="J1691" s="37" t="str">
        <x:v>0.00</x:v>
      </x:c>
      <x:c r="K1691" s="37" t="str">
        <x:v>98.96</x:v>
      </x:c>
      <x:c r="L1691" s="37" t="str">
        <x:v>1530</x:v>
      </x:c>
      <x:c r="M1691" s="29" t="str">
        <x:v>980.43</x:v>
      </x:c>
      <x:c r="N1691" s="29" t="str">
        <x:v>805.29</x:v>
      </x:c>
      <x:c r="O1691" s="29" t="str">
        <x:v>175.14</x:v>
      </x:c>
      <x:c r="P1691" s="18" t="str">
        <x:v>2026-07-14</x:v>
      </x:c>
      <x:c r="Q1691" s="36" t="n">
        <x:v>46217</x:v>
      </x:c>
    </x:row>
    <x:row r="1692">
      <x:c r="A1692" s="36" t="str">
        <x:v>2026-07-14</x:v>
      </x:c>
      <x:c r="B1692" s="18" t="str">
        <x:v>101437000_98863</x:v>
      </x:c>
      <x:c r="C1692" s="18" t="str">
        <x:v>【沪村小电】欣菊苑充电站</x:v>
      </x:c>
      <x:c r="D1692" s="37" t="str">
        <x:v>4</x:v>
      </x:c>
      <x:c r="E1692" s="37" t="str">
        <x:v>0</x:v>
      </x:c>
      <x:c r="F1692" s="37" t="str">
        <x:v>7</x:v>
      </x:c>
      <x:c r="G1692" s="37" t="str">
        <x:v>161.07</x:v>
      </x:c>
      <x:c r="H1692" s="37" t="str">
        <x:v>0.00</x:v>
      </x:c>
      <x:c r="I1692" s="37" t="str">
        <x:v>137.14</x:v>
      </x:c>
      <x:c r="J1692" s="37" t="str">
        <x:v>0.00</x:v>
      </x:c>
      <x:c r="K1692" s="37" t="str">
        <x:v>23.93</x:v>
      </x:c>
      <x:c r="L1692" s="37" t="str">
        <x:v>317</x:v>
      </x:c>
      <x:c r="M1692" s="29" t="str">
        <x:v>142.82</x:v>
      </x:c>
      <x:c r="N1692" s="29" t="str">
        <x:v>106.22</x:v>
      </x:c>
      <x:c r="O1692" s="29" t="str">
        <x:v>36.60</x:v>
      </x:c>
      <x:c r="P1692" s="18" t="str">
        <x:v>2026-07-14</x:v>
      </x:c>
      <x:c r="Q1692" s="36" t="n">
        <x:v>46217</x:v>
      </x:c>
    </x:row>
    <x:row r="1693">
      <x:c r="A1693" s="36" t="str">
        <x:v>2026-07-14</x:v>
      </x:c>
      <x:c r="B1693" s="18" t="str">
        <x:v>101437000_98865</x:v>
      </x:c>
      <x:c r="C1693" s="18" t="str">
        <x:v>【沪村小电】欣松苑充电站</x:v>
      </x:c>
      <x:c r="D1693" s="37" t="str">
        <x:v>4</x:v>
      </x:c>
      <x:c r="E1693" s="37" t="str">
        <x:v>0</x:v>
      </x:c>
      <x:c r="F1693" s="37" t="str">
        <x:v>22</x:v>
      </x:c>
      <x:c r="G1693" s="37" t="str">
        <x:v>354.27</x:v>
      </x:c>
      <x:c r="H1693" s="37" t="str">
        <x:v>0.00</x:v>
      </x:c>
      <x:c r="I1693" s="37" t="str">
        <x:v>327.50</x:v>
      </x:c>
      <x:c r="J1693" s="37" t="str">
        <x:v>0.00</x:v>
      </x:c>
      <x:c r="K1693" s="37" t="str">
        <x:v>26.76</x:v>
      </x:c>
      <x:c r="L1693" s="37" t="str">
        <x:v>676</x:v>
      </x:c>
      <x:c r="M1693" s="29" t="str">
        <x:v>333.88</x:v>
      </x:c>
      <x:c r="N1693" s="29" t="str">
        <x:v>242.46</x:v>
      </x:c>
      <x:c r="O1693" s="29" t="str">
        <x:v>91.42</x:v>
      </x:c>
      <x:c r="P1693" s="18" t="str">
        <x:v>2026-07-14</x:v>
      </x:c>
      <x:c r="Q1693" s="36" t="n">
        <x:v>46217</x:v>
      </x:c>
    </x:row>
    <x:row r="1694">
      <x:c r="A1694" s="36" t="str">
        <x:v>2026-07-14</x:v>
      </x:c>
      <x:c r="B1694" s="18" t="str">
        <x:v>101437000_98867</x:v>
      </x:c>
      <x:c r="C1694" s="18" t="str">
        <x:v>【沪村小电】欣荷苑充电站</x:v>
      </x:c>
      <x:c r="D1694" s="37" t="str">
        <x:v>4</x:v>
      </x:c>
      <x:c r="E1694" s="37" t="str">
        <x:v>0</x:v>
      </x:c>
      <x:c r="F1694" s="37" t="str">
        <x:v>18</x:v>
      </x:c>
      <x:c r="G1694" s="37" t="str">
        <x:v>360.39</x:v>
      </x:c>
      <x:c r="H1694" s="37" t="str">
        <x:v>0.00</x:v>
      </x:c>
      <x:c r="I1694" s="37" t="str">
        <x:v>290.89</x:v>
      </x:c>
      <x:c r="J1694" s="37" t="str">
        <x:v>0.00</x:v>
      </x:c>
      <x:c r="K1694" s="37" t="str">
        <x:v>69.50</x:v>
      </x:c>
      <x:c r="L1694" s="37" t="str">
        <x:v>568</x:v>
      </x:c>
      <x:c r="M1694" s="29" t="str">
        <x:v>341.61</x:v>
      </x:c>
      <x:c r="N1694" s="29" t="str">
        <x:v>232.24</x:v>
      </x:c>
      <x:c r="O1694" s="29" t="str">
        <x:v>109.37</x:v>
      </x:c>
      <x:c r="P1694" s="18" t="str">
        <x:v>2026-07-14</x:v>
      </x:c>
      <x:c r="Q1694" s="36" t="n">
        <x:v>46217</x:v>
      </x:c>
    </x:row>
    <x:row r="1695">
      <x:c r="A1695" s="36" t="str">
        <x:v>2026-07-14</x:v>
      </x:c>
      <x:c r="B1695" s="18" t="str">
        <x:v>101437000_99885</x:v>
      </x:c>
      <x:c r="C1695" s="18" t="str">
        <x:v>【沪村小电】汇丰馨苑充电站</x:v>
      </x:c>
      <x:c r="D1695" s="37" t="str">
        <x:v>4</x:v>
      </x:c>
      <x:c r="E1695" s="37" t="str">
        <x:v>0</x:v>
      </x:c>
      <x:c r="F1695" s="37" t="str">
        <x:v>11</x:v>
      </x:c>
      <x:c r="G1695" s="37" t="str">
        <x:v>253.35</x:v>
      </x:c>
      <x:c r="H1695" s="37" t="str">
        <x:v>0.00</x:v>
      </x:c>
      <x:c r="I1695" s="37" t="str">
        <x:v>230.47</x:v>
      </x:c>
      <x:c r="J1695" s="37" t="str">
        <x:v>0.00</x:v>
      </x:c>
      <x:c r="K1695" s="37" t="str">
        <x:v>22.88</x:v>
      </x:c>
      <x:c r="L1695" s="37" t="str">
        <x:v>390</x:v>
      </x:c>
      <x:c r="M1695" s="29" t="str">
        <x:v>255.15</x:v>
      </x:c>
      <x:c r="N1695" s="29" t="str">
        <x:v>172.11</x:v>
      </x:c>
      <x:c r="O1695" s="29" t="str">
        <x:v>83.04</x:v>
      </x:c>
      <x:c r="P1695" s="18" t="str">
        <x:v>2026-07-14</x:v>
      </x:c>
      <x:c r="Q1695" s="36" t="n">
        <x:v>46217</x:v>
      </x:c>
    </x:row>
    <x:row r="1696">
      <x:c r="A1696" s="36" t="str">
        <x:v>2026-07-14</x:v>
      </x:c>
      <x:c r="B1696" s="18" t="str">
        <x:v>101437000_99887</x:v>
      </x:c>
      <x:c r="C1696" s="18" t="str">
        <x:v>【沪村小电】新南村河南小区充电站</x:v>
      </x:c>
      <x:c r="D1696" s="37" t="str">
        <x:v>2</x:v>
      </x:c>
      <x:c r="E1696" s="37" t="str">
        <x:v>0</x:v>
      </x:c>
      <x:c r="F1696" s="37" t="str">
        <x:v>15</x:v>
      </x:c>
      <x:c r="G1696" s="37" t="str">
        <x:v>385.67</x:v>
      </x:c>
      <x:c r="H1696" s="37" t="str">
        <x:v>0.00</x:v>
      </x:c>
      <x:c r="I1696" s="37" t="str">
        <x:v>233.75</x:v>
      </x:c>
      <x:c r="J1696" s="37" t="str">
        <x:v>0.00</x:v>
      </x:c>
      <x:c r="K1696" s="37" t="str">
        <x:v>151.92</x:v>
      </x:c>
      <x:c r="L1696" s="37" t="str">
        <x:v>547</x:v>
      </x:c>
      <x:c r="M1696" s="29" t="str">
        <x:v>328.28</x:v>
      </x:c>
      <x:c r="N1696" s="29" t="str">
        <x:v>222.18</x:v>
      </x:c>
      <x:c r="O1696" s="29" t="str">
        <x:v>106.10</x:v>
      </x:c>
      <x:c r="P1696" s="18" t="str">
        <x:v>2026-07-14</x:v>
      </x:c>
      <x:c r="Q1696" s="36" t="n">
        <x:v>46217</x:v>
      </x:c>
    </x:row>
    <x:row r="1697">
      <x:c r="A1697" s="36" t="str">
        <x:v>2026-07-14</x:v>
      </x:c>
      <x:c r="B1697" s="18" t="str">
        <x:v>101437000_99889</x:v>
      </x:c>
      <x:c r="C1697" s="18" t="str">
        <x:v>【沪村小电】漕泾郊野公园</x:v>
      </x:c>
      <x:c r="D1697" s="37" t="str">
        <x:v>2</x:v>
      </x:c>
      <x:c r="E1697" s="37" t="str">
        <x:v>0</x:v>
      </x:c>
      <x:c r="F1697" s="37" t="str">
        <x:v>7</x:v>
      </x:c>
      <x:c r="G1697" s="37" t="str">
        <x:v>174.14</x:v>
      </x:c>
      <x:c r="H1697" s="37" t="str">
        <x:v>0.00</x:v>
      </x:c>
      <x:c r="I1697" s="37" t="str">
        <x:v>150.66</x:v>
      </x:c>
      <x:c r="J1697" s="37" t="str">
        <x:v>0.00</x:v>
      </x:c>
      <x:c r="K1697" s="37" t="str">
        <x:v>23.48</x:v>
      </x:c>
      <x:c r="L1697" s="37" t="str">
        <x:v>269</x:v>
      </x:c>
      <x:c r="M1697" s="29" t="str">
        <x:v>189.57</x:v>
      </x:c>
      <x:c r="N1697" s="29" t="str">
        <x:v>128.59</x:v>
      </x:c>
      <x:c r="O1697" s="29" t="str">
        <x:v>60.98</x:v>
      </x:c>
      <x:c r="P1697" s="18" t="str">
        <x:v>2026-07-14</x:v>
      </x:c>
      <x:c r="Q1697" s="36" t="n">
        <x:v>46217</x:v>
      </x:c>
    </x:row>
    <x:row r="1698">
      <x:c r="A1698" s="36" t="str">
        <x:v>2026-07-14</x:v>
      </x:c>
      <x:c r="B1698" s="18" t="str">
        <x:v>101437000_99891</x:v>
      </x:c>
      <x:c r="C1698" s="18" t="str">
        <x:v>【沪村小电】水韵紫城充电站</x:v>
      </x:c>
      <x:c r="D1698" s="37" t="str">
        <x:v>4</x:v>
      </x:c>
      <x:c r="E1698" s="37" t="str">
        <x:v>0</x:v>
      </x:c>
      <x:c r="F1698" s="37" t="str">
        <x:v>31</x:v>
      </x:c>
      <x:c r="G1698" s="37" t="str">
        <x:v>716.21</x:v>
      </x:c>
      <x:c r="H1698" s="37" t="str">
        <x:v>0.00</x:v>
      </x:c>
      <x:c r="I1698" s="37" t="str">
        <x:v>515.99</x:v>
      </x:c>
      <x:c r="J1698" s="37" t="str">
        <x:v>0.00</x:v>
      </x:c>
      <x:c r="K1698" s="37" t="str">
        <x:v>200.22</x:v>
      </x:c>
      <x:c r="L1698" s="37" t="str">
        <x:v>1101</x:v>
      </x:c>
      <x:c r="M1698" s="29" t="str">
        <x:v>635.31</x:v>
      </x:c>
      <x:c r="N1698" s="29" t="str">
        <x:v>440.45</x:v>
      </x:c>
      <x:c r="O1698" s="29" t="str">
        <x:v>194.86</x:v>
      </x:c>
      <x:c r="P1698" s="18" t="str">
        <x:v>2026-07-14</x:v>
      </x:c>
      <x:c r="Q1698" s="36" t="n">
        <x:v>46217</x:v>
      </x:c>
    </x:row>
    <x:row r="1699">
      <x:c r="A1699" s="36" t="str">
        <x:v>2026-07-13</x:v>
      </x:c>
      <x:c r="B1699" s="18" t="str">
        <x:v>101437000_41561</x:v>
      </x:c>
      <x:c r="C1699" s="18" t="str">
        <x:v>【沪村小电】张施小区大门处快充站</x:v>
      </x:c>
      <x:c r="D1699" s="37" t="str">
        <x:v>2</x:v>
      </x:c>
      <x:c r="E1699" s="37" t="str">
        <x:v>0</x:v>
      </x:c>
      <x:c r="F1699" s="37" t="str">
        <x:v>56</x:v>
      </x:c>
      <x:c r="G1699" s="37" t="str">
        <x:v>1295.19</x:v>
      </x:c>
      <x:c r="H1699" s="37" t="str">
        <x:v>0.00</x:v>
      </x:c>
      <x:c r="I1699" s="37" t="str">
        <x:v>597.36</x:v>
      </x:c>
      <x:c r="J1699" s="37" t="str">
        <x:v>0.00</x:v>
      </x:c>
      <x:c r="K1699" s="37" t="str">
        <x:v>697.84</x:v>
      </x:c>
      <x:c r="L1699" s="37" t="str">
        <x:v>2206</x:v>
      </x:c>
      <x:c r="M1699" s="29" t="str">
        <x:v>1018.25</x:v>
      </x:c>
      <x:c r="N1699" s="29" t="str">
        <x:v>682.31</x:v>
      </x:c>
      <x:c r="O1699" s="29" t="str">
        <x:v>335.94</x:v>
      </x:c>
      <x:c r="P1699" s="18" t="str">
        <x:v>2026-07-13</x:v>
      </x:c>
      <x:c r="Q1699" s="36" t="n">
        <x:v>46216</x:v>
      </x:c>
    </x:row>
    <x:row r="1700">
      <x:c r="A1700" s="36" t="str">
        <x:v>2026-07-13</x:v>
      </x:c>
      <x:c r="B1700" s="18" t="str">
        <x:v>101437000_41563</x:v>
      </x:c>
      <x:c r="C1700" s="18" t="str">
        <x:v>【沪村小电】同心村快充站</x:v>
      </x:c>
      <x:c r="D1700" s="37" t="str">
        <x:v>4</x:v>
      </x:c>
      <x:c r="E1700" s="37" t="str">
        <x:v>0</x:v>
      </x:c>
      <x:c r="F1700" s="37" t="str">
        <x:v>72</x:v>
      </x:c>
      <x:c r="G1700" s="37" t="str">
        <x:v>1500.39</x:v>
      </x:c>
      <x:c r="H1700" s="37" t="str">
        <x:v>0.00</x:v>
      </x:c>
      <x:c r="I1700" s="37" t="str">
        <x:v>1011.22</x:v>
      </x:c>
      <x:c r="J1700" s="37" t="str">
        <x:v>0.00</x:v>
      </x:c>
      <x:c r="K1700" s="37" t="str">
        <x:v>489.17</x:v>
      </x:c>
      <x:c r="L1700" s="37" t="str">
        <x:v>2675</x:v>
      </x:c>
      <x:c r="M1700" s="29" t="str">
        <x:v>1400.38</x:v>
      </x:c>
      <x:c r="N1700" s="29" t="str">
        <x:v>898.96</x:v>
      </x:c>
      <x:c r="O1700" s="29" t="str">
        <x:v>501.42</x:v>
      </x:c>
      <x:c r="P1700" s="18" t="str">
        <x:v>2026-07-13</x:v>
      </x:c>
      <x:c r="Q1700" s="36" t="n">
        <x:v>46216</x:v>
      </x:c>
    </x:row>
    <x:row r="1701">
      <x:c r="A1701" s="36" t="str">
        <x:v>2026-07-13</x:v>
      </x:c>
      <x:c r="B1701" s="18" t="str">
        <x:v>101437000_69629</x:v>
      </x:c>
      <x:c r="C1701" s="18" t="str">
        <x:v>【沪村小电】骏丰玲珑坊西苑充电站</x:v>
      </x:c>
      <x:c r="D1701" s="37" t="str">
        <x:v>2</x:v>
      </x:c>
      <x:c r="E1701" s="37" t="str">
        <x:v>0</x:v>
      </x:c>
      <x:c r="F1701" s="37" t="str">
        <x:v>66</x:v>
      </x:c>
      <x:c r="G1701" s="37" t="str">
        <x:v>1494.36</x:v>
      </x:c>
      <x:c r="H1701" s="37" t="str">
        <x:v>0.00</x:v>
      </x:c>
      <x:c r="I1701" s="37" t="str">
        <x:v>1062.77</x:v>
      </x:c>
      <x:c r="J1701" s="37" t="str">
        <x:v>0.00</x:v>
      </x:c>
      <x:c r="K1701" s="37" t="str">
        <x:v>431.59</x:v>
      </x:c>
      <x:c r="L1701" s="37" t="str">
        <x:v>2624</x:v>
      </x:c>
      <x:c r="M1701" s="29" t="str">
        <x:v>1347.70</x:v>
      </x:c>
      <x:c r="N1701" s="29" t="str">
        <x:v>914.25</x:v>
      </x:c>
      <x:c r="O1701" s="29" t="str">
        <x:v>433.45</x:v>
      </x:c>
      <x:c r="P1701" s="18" t="str">
        <x:v>2026-07-13</x:v>
      </x:c>
      <x:c r="Q1701" s="36" t="n">
        <x:v>46216</x:v>
      </x:c>
    </x:row>
    <x:row r="1702">
      <x:c r="A1702" s="36" t="str">
        <x:v>2026-07-13</x:v>
      </x:c>
      <x:c r="B1702" s="18" t="str">
        <x:v>101437000_70547</x:v>
      </x:c>
      <x:c r="C1702" s="18" t="str">
        <x:v>【沪村小电】农建村初心馆党群服务中心充电站</x:v>
      </x:c>
      <x:c r="D1702" s="37" t="str">
        <x:v>4</x:v>
      </x:c>
      <x:c r="E1702" s="37" t="str">
        <x:v>0</x:v>
      </x:c>
      <x:c r="F1702" s="37" t="str">
        <x:v>31</x:v>
      </x:c>
      <x:c r="G1702" s="37" t="str">
        <x:v>572.33</x:v>
      </x:c>
      <x:c r="H1702" s="37" t="str">
        <x:v>0.00</x:v>
      </x:c>
      <x:c r="I1702" s="37" t="str">
        <x:v>408.41</x:v>
      </x:c>
      <x:c r="J1702" s="37" t="str">
        <x:v>0.00</x:v>
      </x:c>
      <x:c r="K1702" s="37" t="str">
        <x:v>163.92</x:v>
      </x:c>
      <x:c r="L1702" s="37" t="str">
        <x:v>1093</x:v>
      </x:c>
      <x:c r="M1702" s="29" t="str">
        <x:v>540.05</x:v>
      </x:c>
      <x:c r="N1702" s="29" t="str">
        <x:v>350.63</x:v>
      </x:c>
      <x:c r="O1702" s="29" t="str">
        <x:v>189.42</x:v>
      </x:c>
      <x:c r="P1702" s="18" t="str">
        <x:v>2026-07-13</x:v>
      </x:c>
      <x:c r="Q1702" s="36" t="n">
        <x:v>46216</x:v>
      </x:c>
    </x:row>
    <x:row r="1703">
      <x:c r="A1703" s="36" t="str">
        <x:v>2026-07-13</x:v>
      </x:c>
      <x:c r="B1703" s="18" t="str">
        <x:v>101437000_70549</x:v>
      </x:c>
      <x:c r="C1703" s="18" t="str">
        <x:v>【沪村小电】学府路充电站</x:v>
      </x:c>
      <x:c r="D1703" s="37" t="str">
        <x:v>2</x:v>
      </x:c>
      <x:c r="E1703" s="37" t="str">
        <x:v>0</x:v>
      </x:c>
      <x:c r="F1703" s="37" t="str">
        <x:v>13</x:v>
      </x:c>
      <x:c r="G1703" s="37" t="str">
        <x:v>257.28</x:v>
      </x:c>
      <x:c r="H1703" s="37" t="str">
        <x:v>0.00</x:v>
      </x:c>
      <x:c r="I1703" s="37" t="str">
        <x:v>159.14</x:v>
      </x:c>
      <x:c r="J1703" s="37" t="str">
        <x:v>0.00</x:v>
      </x:c>
      <x:c r="K1703" s="37" t="str">
        <x:v>98.14</x:v>
      </x:c>
      <x:c r="L1703" s="37" t="str">
        <x:v>423</x:v>
      </x:c>
      <x:c r="M1703" s="29" t="str">
        <x:v>249.71</x:v>
      </x:c>
      <x:c r="N1703" s="29" t="str">
        <x:v>149.30</x:v>
      </x:c>
      <x:c r="O1703" s="29" t="str">
        <x:v>100.41</x:v>
      </x:c>
      <x:c r="P1703" s="18" t="str">
        <x:v>2026-07-13</x:v>
      </x:c>
      <x:c r="Q1703" s="36" t="n">
        <x:v>46216</x:v>
      </x:c>
    </x:row>
    <x:row r="1704">
      <x:c r="A1704" s="36" t="str">
        <x:v>2026-07-13</x:v>
      </x:c>
      <x:c r="B1704" s="18" t="str">
        <x:v>101437000_71059</x:v>
      </x:c>
      <x:c r="C1704" s="18" t="str">
        <x:v>【沪村小电】宝乐汇商业广场站</x:v>
      </x:c>
      <x:c r="D1704" s="37" t="str">
        <x:v>4</x:v>
      </x:c>
      <x:c r="E1704" s="37" t="str">
        <x:v>0</x:v>
      </x:c>
      <x:c r="F1704" s="37" t="str">
        <x:v>24</x:v>
      </x:c>
      <x:c r="G1704" s="37" t="str">
        <x:v>632.47</x:v>
      </x:c>
      <x:c r="H1704" s="37" t="str">
        <x:v>0.00</x:v>
      </x:c>
      <x:c r="I1704" s="37" t="str">
        <x:v>399.37</x:v>
      </x:c>
      <x:c r="J1704" s="37" t="str">
        <x:v>0.00</x:v>
      </x:c>
      <x:c r="K1704" s="37" t="str">
        <x:v>233.10</x:v>
      </x:c>
      <x:c r="L1704" s="37" t="str">
        <x:v>1053</x:v>
      </x:c>
      <x:c r="M1704" s="29" t="str">
        <x:v>620.33</x:v>
      </x:c>
      <x:c r="N1704" s="29" t="str">
        <x:v>466.64</x:v>
      </x:c>
      <x:c r="O1704" s="29" t="str">
        <x:v>153.69</x:v>
      </x:c>
      <x:c r="P1704" s="18" t="str">
        <x:v>2026-07-13</x:v>
      </x:c>
      <x:c r="Q1704" s="36" t="n">
        <x:v>46216</x:v>
      </x:c>
    </x:row>
    <x:row r="1705">
      <x:c r="A1705" s="36" t="str">
        <x:v>2026-07-13</x:v>
      </x:c>
      <x:c r="B1705" s="18" t="str">
        <x:v>101437000_72541</x:v>
      </x:c>
      <x:c r="C1705" s="18" t="str">
        <x:v>【沪村小电】九干路1174弄充电站</x:v>
      </x:c>
      <x:c r="D1705" s="37" t="str">
        <x:v>2</x:v>
      </x:c>
      <x:c r="E1705" s="37" t="str">
        <x:v>0</x:v>
      </x:c>
      <x:c r="F1705" s="37" t="str">
        <x:v>60</x:v>
      </x:c>
      <x:c r="G1705" s="37" t="str">
        <x:v>641.39</x:v>
      </x:c>
      <x:c r="H1705" s="37" t="str">
        <x:v>0.00</x:v>
      </x:c>
      <x:c r="I1705" s="37" t="str">
        <x:v>511.75</x:v>
      </x:c>
      <x:c r="J1705" s="37" t="str">
        <x:v>0.00</x:v>
      </x:c>
      <x:c r="K1705" s="37" t="str">
        <x:v>129.63</x:v>
      </x:c>
      <x:c r="L1705" s="37" t="str">
        <x:v>1023</x:v>
      </x:c>
      <x:c r="M1705" s="29" t="str">
        <x:v>620.12</x:v>
      </x:c>
      <x:c r="N1705" s="29" t="str">
        <x:v>411.31</x:v>
      </x:c>
      <x:c r="O1705" s="29" t="str">
        <x:v>208.81</x:v>
      </x:c>
      <x:c r="P1705" s="18" t="str">
        <x:v>2026-07-13</x:v>
      </x:c>
      <x:c r="Q1705" s="36" t="n">
        <x:v>46216</x:v>
      </x:c>
    </x:row>
    <x:row r="1706">
      <x:c r="A1706" s="36" t="str">
        <x:v>2026-07-13</x:v>
      </x:c>
      <x:c r="B1706" s="18" t="str">
        <x:v>101437000_72543</x:v>
      </x:c>
      <x:c r="C1706" s="18" t="str">
        <x:v>【沪村小电】叶家中心村小区充电站</x:v>
      </x:c>
      <x:c r="D1706" s="37" t="str">
        <x:v>2</x:v>
      </x:c>
      <x:c r="E1706" s="37" t="str">
        <x:v>0</x:v>
      </x:c>
      <x:c r="F1706" s="37" t="str">
        <x:v>47</x:v>
      </x:c>
      <x:c r="G1706" s="37" t="str">
        <x:v>1034.44</x:v>
      </x:c>
      <x:c r="H1706" s="37" t="str">
        <x:v>0.00</x:v>
      </x:c>
      <x:c r="I1706" s="37" t="str">
        <x:v>546.79</x:v>
      </x:c>
      <x:c r="J1706" s="37" t="str">
        <x:v>0.00</x:v>
      </x:c>
      <x:c r="K1706" s="37" t="str">
        <x:v>487.66</x:v>
      </x:c>
      <x:c r="L1706" s="37" t="str">
        <x:v>1905</x:v>
      </x:c>
      <x:c r="M1706" s="29" t="str">
        <x:v>841.63</x:v>
      </x:c>
      <x:c r="N1706" s="29" t="str">
        <x:v>568.65</x:v>
      </x:c>
      <x:c r="O1706" s="29" t="str">
        <x:v>272.98</x:v>
      </x:c>
      <x:c r="P1706" s="18" t="str">
        <x:v>2026-07-13</x:v>
      </x:c>
      <x:c r="Q1706" s="36" t="n">
        <x:v>46216</x:v>
      </x:c>
    </x:row>
    <x:row r="1707">
      <x:c r="A1707" s="36" t="str">
        <x:v>2026-07-13</x:v>
      </x:c>
      <x:c r="B1707" s="18" t="str">
        <x:v>101437000_72937</x:v>
      </x:c>
      <x:c r="C1707" s="18" t="str">
        <x:v>【沪村小电】佘北家园茸腾苑充电站</x:v>
      </x:c>
      <x:c r="D1707" s="37" t="str">
        <x:v>4</x:v>
      </x:c>
      <x:c r="E1707" s="37" t="str">
        <x:v>0</x:v>
      </x:c>
      <x:c r="F1707" s="37" t="str">
        <x:v>23</x:v>
      </x:c>
      <x:c r="G1707" s="37" t="str">
        <x:v>553.27</x:v>
      </x:c>
      <x:c r="H1707" s="37" t="str">
        <x:v>0.00</x:v>
      </x:c>
      <x:c r="I1707" s="37" t="str">
        <x:v>553.27</x:v>
      </x:c>
      <x:c r="J1707" s="37" t="str">
        <x:v>0.00</x:v>
      </x:c>
      <x:c r="K1707" s="37" t="str">
        <x:v>0.00</x:v>
      </x:c>
      <x:c r="L1707" s="37" t="str">
        <x:v>824</x:v>
      </x:c>
      <x:c r="M1707" s="29" t="str">
        <x:v>575.72</x:v>
      </x:c>
      <x:c r="N1707" s="29" t="str">
        <x:v>392.83</x:v>
      </x:c>
      <x:c r="O1707" s="29" t="str">
        <x:v>182.89</x:v>
      </x:c>
      <x:c r="P1707" s="18" t="str">
        <x:v>2026-07-13</x:v>
      </x:c>
      <x:c r="Q1707" s="36" t="n">
        <x:v>46216</x:v>
      </x:c>
    </x:row>
    <x:row r="1708">
      <x:c r="A1708" s="36" t="str">
        <x:v>2026-07-13</x:v>
      </x:c>
      <x:c r="B1708" s="18" t="str">
        <x:v>101437000_74223</x:v>
      </x:c>
      <x:c r="C1708" s="18" t="str">
        <x:v>【沪村小电】中兴村委会充电站</x:v>
      </x:c>
      <x:c r="D1708" s="37" t="str">
        <x:v>2</x:v>
      </x:c>
      <x:c r="E1708" s="37" t="str">
        <x:v>0</x:v>
      </x:c>
      <x:c r="F1708" s="37" t="str">
        <x:v>29</x:v>
      </x:c>
      <x:c r="G1708" s="37" t="str">
        <x:v>694.04</x:v>
      </x:c>
      <x:c r="H1708" s="37" t="str">
        <x:v>0.00</x:v>
      </x:c>
      <x:c r="I1708" s="37" t="str">
        <x:v>419.58</x:v>
      </x:c>
      <x:c r="J1708" s="37" t="str">
        <x:v>0.00</x:v>
      </x:c>
      <x:c r="K1708" s="37" t="str">
        <x:v>274.46</x:v>
      </x:c>
      <x:c r="L1708" s="37" t="str">
        <x:v>1122</x:v>
      </x:c>
      <x:c r="M1708" s="29" t="str">
        <x:v>604.74</x:v>
      </x:c>
      <x:c r="N1708" s="29" t="str">
        <x:v>399.43</x:v>
      </x:c>
      <x:c r="O1708" s="29" t="str">
        <x:v>205.31</x:v>
      </x:c>
      <x:c r="P1708" s="18" t="str">
        <x:v>2026-07-13</x:v>
      </x:c>
      <x:c r="Q1708" s="36" t="n">
        <x:v>46216</x:v>
      </x:c>
    </x:row>
    <x:row r="1709">
      <x:c r="A1709" s="36" t="str">
        <x:v>2026-07-13</x:v>
      </x:c>
      <x:c r="B1709" s="18" t="str">
        <x:v>101437000_74801</x:v>
      </x:c>
      <x:c r="C1709" s="18" t="str">
        <x:v>【沪村小电】申良花园充电站</x:v>
      </x:c>
      <x:c r="D1709" s="37" t="str">
        <x:v>4</x:v>
      </x:c>
      <x:c r="E1709" s="37" t="str">
        <x:v>0</x:v>
      </x:c>
      <x:c r="F1709" s="37" t="str">
        <x:v>14</x:v>
      </x:c>
      <x:c r="G1709" s="37" t="str">
        <x:v>325.01</x:v>
      </x:c>
      <x:c r="H1709" s="37" t="str">
        <x:v>0.00</x:v>
      </x:c>
      <x:c r="I1709" s="37" t="str">
        <x:v>278.22</x:v>
      </x:c>
      <x:c r="J1709" s="37" t="str">
        <x:v>0.00</x:v>
      </x:c>
      <x:c r="K1709" s="37" t="str">
        <x:v>46.79</x:v>
      </x:c>
      <x:c r="L1709" s="37" t="str">
        <x:v>419</x:v>
      </x:c>
      <x:c r="M1709" s="29" t="str">
        <x:v>349.34</x:v>
      </x:c>
      <x:c r="N1709" s="29" t="str">
        <x:v>214.85</x:v>
      </x:c>
      <x:c r="O1709" s="29" t="str">
        <x:v>134.49</x:v>
      </x:c>
      <x:c r="P1709" s="18" t="str">
        <x:v>2026-07-13</x:v>
      </x:c>
      <x:c r="Q1709" s="36" t="n">
        <x:v>46216</x:v>
      </x:c>
    </x:row>
    <x:row r="1710">
      <x:c r="A1710" s="36" t="str">
        <x:v>2026-07-13</x:v>
      </x:c>
      <x:c r="B1710" s="18" t="str">
        <x:v>101437000_74931</x:v>
      </x:c>
      <x:c r="C1710" s="18" t="str">
        <x:v>【沪村小电】枫雅南居充电站</x:v>
      </x:c>
      <x:c r="D1710" s="37" t="str">
        <x:v>2</x:v>
      </x:c>
      <x:c r="E1710" s="37" t="str">
        <x:v>0</x:v>
      </x:c>
      <x:c r="F1710" s="37" t="str">
        <x:v>46</x:v>
      </x:c>
      <x:c r="G1710" s="37" t="str">
        <x:v>1322.81</x:v>
      </x:c>
      <x:c r="H1710" s="37" t="str">
        <x:v>0.00</x:v>
      </x:c>
      <x:c r="I1710" s="37" t="str">
        <x:v>747.79</x:v>
      </x:c>
      <x:c r="J1710" s="37" t="str">
        <x:v>0.00</x:v>
      </x:c>
      <x:c r="K1710" s="37" t="str">
        <x:v>575.03</x:v>
      </x:c>
      <x:c r="L1710" s="37" t="str">
        <x:v>1955</x:v>
      </x:c>
      <x:c r="M1710" s="29" t="str">
        <x:v>985.95</x:v>
      </x:c>
      <x:c r="N1710" s="29" t="str">
        <x:v>619.46</x:v>
      </x:c>
      <x:c r="O1710" s="29" t="str">
        <x:v>366.49</x:v>
      </x:c>
      <x:c r="P1710" s="18" t="str">
        <x:v>2026-07-13</x:v>
      </x:c>
      <x:c r="Q1710" s="36" t="n">
        <x:v>46216</x:v>
      </x:c>
    </x:row>
    <x:row r="1711">
      <x:c r="A1711" s="36" t="str">
        <x:v>2026-07-13</x:v>
      </x:c>
      <x:c r="B1711" s="18" t="str">
        <x:v>101437000_75901</x:v>
      </x:c>
      <x:c r="C1711" s="18" t="str">
        <x:v>【沪村小电】金悦学府</x:v>
      </x:c>
      <x:c r="D1711" s="37" t="str">
        <x:v>2</x:v>
      </x:c>
      <x:c r="E1711" s="37" t="str">
        <x:v>0</x:v>
      </x:c>
      <x:c r="F1711" s="37" t="str">
        <x:v>43</x:v>
      </x:c>
      <x:c r="G1711" s="37" t="str">
        <x:v>1012.94</x:v>
      </x:c>
      <x:c r="H1711" s="37" t="str">
        <x:v>0.00</x:v>
      </x:c>
      <x:c r="I1711" s="37" t="str">
        <x:v>594.44</x:v>
      </x:c>
      <x:c r="J1711" s="37" t="str">
        <x:v>0.00</x:v>
      </x:c>
      <x:c r="K1711" s="37" t="str">
        <x:v>418.50</x:v>
      </x:c>
      <x:c r="L1711" s="37" t="str">
        <x:v>1483</x:v>
      </x:c>
      <x:c r="M1711" s="29" t="str">
        <x:v>794.00</x:v>
      </x:c>
      <x:c r="N1711" s="29" t="str">
        <x:v>480.46</x:v>
      </x:c>
      <x:c r="O1711" s="29" t="str">
        <x:v>313.54</x:v>
      </x:c>
      <x:c r="P1711" s="18" t="str">
        <x:v>2026-07-13</x:v>
      </x:c>
      <x:c r="Q1711" s="36" t="n">
        <x:v>46216</x:v>
      </x:c>
    </x:row>
    <x:row r="1712">
      <x:c r="A1712" s="36" t="str">
        <x:v>2026-07-13</x:v>
      </x:c>
      <x:c r="B1712" s="18" t="str">
        <x:v>101437000_76091</x:v>
      </x:c>
      <x:c r="C1712" s="18" t="str">
        <x:v>【沪村小电】恒信家园充电站</x:v>
      </x:c>
      <x:c r="D1712" s="37" t="str">
        <x:v>2</x:v>
      </x:c>
      <x:c r="E1712" s="37" t="str">
        <x:v>0</x:v>
      </x:c>
      <x:c r="F1712" s="37" t="str">
        <x:v>44</x:v>
      </x:c>
      <x:c r="G1712" s="37" t="str">
        <x:v>1070.19</x:v>
      </x:c>
      <x:c r="H1712" s="37" t="str">
        <x:v>0.00</x:v>
      </x:c>
      <x:c r="I1712" s="37" t="str">
        <x:v>815.82</x:v>
      </x:c>
      <x:c r="J1712" s="37" t="str">
        <x:v>0.00</x:v>
      </x:c>
      <x:c r="K1712" s="37" t="str">
        <x:v>254.37</x:v>
      </x:c>
      <x:c r="L1712" s="37" t="str">
        <x:v>1602</x:v>
      </x:c>
      <x:c r="M1712" s="29" t="str">
        <x:v>1098.92</x:v>
      </x:c>
      <x:c r="N1712" s="29" t="str">
        <x:v>673.33</x:v>
      </x:c>
      <x:c r="O1712" s="29" t="str">
        <x:v>425.59</x:v>
      </x:c>
      <x:c r="P1712" s="18" t="str">
        <x:v>2026-07-13</x:v>
      </x:c>
      <x:c r="Q1712" s="36" t="n">
        <x:v>46216</x:v>
      </x:c>
    </x:row>
    <x:row r="1713">
      <x:c r="A1713" s="36" t="str">
        <x:v>2026-07-13</x:v>
      </x:c>
      <x:c r="B1713" s="18" t="str">
        <x:v>101437000_76417</x:v>
      </x:c>
      <x:c r="C1713" s="18" t="str">
        <x:v>【沪村小电】新春一组充电站</x:v>
      </x:c>
      <x:c r="D1713" s="37" t="str">
        <x:v>2</x:v>
      </x:c>
      <x:c r="E1713" s="37" t="str">
        <x:v>0</x:v>
      </x:c>
      <x:c r="F1713" s="37" t="str">
        <x:v>28</x:v>
      </x:c>
      <x:c r="G1713" s="37" t="str">
        <x:v>871.46</x:v>
      </x:c>
      <x:c r="H1713" s="37" t="str">
        <x:v>0.00</x:v>
      </x:c>
      <x:c r="I1713" s="37" t="str">
        <x:v>423.10</x:v>
      </x:c>
      <x:c r="J1713" s="37" t="str">
        <x:v>0.00</x:v>
      </x:c>
      <x:c r="K1713" s="37" t="str">
        <x:v>448.37</x:v>
      </x:c>
      <x:c r="L1713" s="37" t="str">
        <x:v>1167</x:v>
      </x:c>
      <x:c r="M1713" s="29" t="str">
        <x:v>681.45</x:v>
      </x:c>
      <x:c r="N1713" s="29" t="str">
        <x:v>466.28</x:v>
      </x:c>
      <x:c r="O1713" s="29" t="str">
        <x:v>215.17</x:v>
      </x:c>
      <x:c r="P1713" s="18" t="str">
        <x:v>2026-07-13</x:v>
      </x:c>
      <x:c r="Q1713" s="36" t="n">
        <x:v>46216</x:v>
      </x:c>
    </x:row>
    <x:row r="1714">
      <x:c r="A1714" s="36" t="str">
        <x:v>2026-07-13</x:v>
      </x:c>
      <x:c r="B1714" s="18" t="str">
        <x:v>101437000_78235</x:v>
      </x:c>
      <x:c r="C1714" s="18" t="str">
        <x:v>【沪村小电】欣秋苑充电站</x:v>
      </x:c>
      <x:c r="D1714" s="37" t="str">
        <x:v>4</x:v>
      </x:c>
      <x:c r="E1714" s="37" t="str">
        <x:v>0</x:v>
      </x:c>
      <x:c r="F1714" s="37" t="str">
        <x:v>21</x:v>
      </x:c>
      <x:c r="G1714" s="37" t="str">
        <x:v>562.78</x:v>
      </x:c>
      <x:c r="H1714" s="37" t="str">
        <x:v>0.00</x:v>
      </x:c>
      <x:c r="I1714" s="37" t="str">
        <x:v>475.41</x:v>
      </x:c>
      <x:c r="J1714" s="37" t="str">
        <x:v>0.00</x:v>
      </x:c>
      <x:c r="K1714" s="37" t="str">
        <x:v>87.37</x:v>
      </x:c>
      <x:c r="L1714" s="37" t="str">
        <x:v>815</x:v>
      </x:c>
      <x:c r="M1714" s="29" t="str">
        <x:v>555.11</x:v>
      </x:c>
      <x:c r="N1714" s="29" t="str">
        <x:v>369.86</x:v>
      </x:c>
      <x:c r="O1714" s="29" t="str">
        <x:v>185.25</x:v>
      </x:c>
      <x:c r="P1714" s="18" t="str">
        <x:v>2026-07-13</x:v>
      </x:c>
      <x:c r="Q1714" s="36" t="n">
        <x:v>46216</x:v>
      </x:c>
    </x:row>
    <x:row r="1715">
      <x:c r="A1715" s="36" t="str">
        <x:v>2026-07-13</x:v>
      </x:c>
      <x:c r="B1715" s="18" t="str">
        <x:v>101437000_78237</x:v>
      </x:c>
      <x:c r="C1715" s="18" t="str">
        <x:v>【沪村小电】奉馨苑西门小区内北侧充电站</x:v>
      </x:c>
      <x:c r="D1715" s="37" t="str">
        <x:v>2</x:v>
      </x:c>
      <x:c r="E1715" s="37" t="str">
        <x:v>0</x:v>
      </x:c>
      <x:c r="F1715" s="37" t="str">
        <x:v>34</x:v>
      </x:c>
      <x:c r="G1715" s="37" t="str">
        <x:v>958.60</x:v>
      </x:c>
      <x:c r="H1715" s="37" t="str">
        <x:v>27.15</x:v>
      </x:c>
      <x:c r="I1715" s="37" t="str">
        <x:v>111.02</x:v>
      </x:c>
      <x:c r="J1715" s="37" t="str">
        <x:v>339.14</x:v>
      </x:c>
      <x:c r="K1715" s="37" t="str">
        <x:v>481.29</x:v>
      </x:c>
      <x:c r="L1715" s="37" t="str">
        <x:v>1322</x:v>
      </x:c>
      <x:c r="M1715" s="29" t="str">
        <x:v>779.24</x:v>
      </x:c>
      <x:c r="N1715" s="29" t="str">
        <x:v>589.15</x:v>
      </x:c>
      <x:c r="O1715" s="29" t="str">
        <x:v>190.09</x:v>
      </x:c>
      <x:c r="P1715" s="18" t="str">
        <x:v>2026-07-13</x:v>
      </x:c>
      <x:c r="Q1715" s="36" t="n">
        <x:v>46216</x:v>
      </x:c>
    </x:row>
    <x:row r="1716">
      <x:c r="A1716" s="36" t="str">
        <x:v>2026-07-13</x:v>
      </x:c>
      <x:c r="B1716" s="18" t="str">
        <x:v>101437000_78239</x:v>
      </x:c>
      <x:c r="C1716" s="18" t="str">
        <x:v>【沪村小电】恒大佘山首府东门充电站</x:v>
      </x:c>
      <x:c r="D1716" s="37" t="str">
        <x:v>2</x:v>
      </x:c>
      <x:c r="E1716" s="37" t="str">
        <x:v>0</x:v>
      </x:c>
      <x:c r="F1716" s="37" t="str">
        <x:v>37</x:v>
      </x:c>
      <x:c r="G1716" s="37" t="str">
        <x:v>1055.77</x:v>
      </x:c>
      <x:c r="H1716" s="37" t="str">
        <x:v>0.00</x:v>
      </x:c>
      <x:c r="I1716" s="37" t="str">
        <x:v>561.08</x:v>
      </x:c>
      <x:c r="J1716" s="37" t="str">
        <x:v>0.00</x:v>
      </x:c>
      <x:c r="K1716" s="37" t="str">
        <x:v>494.69</x:v>
      </x:c>
      <x:c r="L1716" s="37" t="str">
        <x:v>1394</x:v>
      </x:c>
      <x:c r="M1716" s="29" t="str">
        <x:v>860.07</x:v>
      </x:c>
      <x:c r="N1716" s="29" t="str">
        <x:v>581.41</x:v>
      </x:c>
      <x:c r="O1716" s="29" t="str">
        <x:v>278.66</x:v>
      </x:c>
      <x:c r="P1716" s="18" t="str">
        <x:v>2026-07-13</x:v>
      </x:c>
      <x:c r="Q1716" s="36" t="n">
        <x:v>46216</x:v>
      </x:c>
    </x:row>
    <x:row r="1717">
      <x:c r="A1717" s="36" t="str">
        <x:v>2026-07-13</x:v>
      </x:c>
      <x:c r="B1717" s="18" t="str">
        <x:v>101437000_80823</x:v>
      </x:c>
      <x:c r="C1717" s="18" t="str">
        <x:v>【沪村小电】上湖轩充电站</x:v>
      </x:c>
      <x:c r="D1717" s="37" t="str">
        <x:v>2</x:v>
      </x:c>
      <x:c r="E1717" s="37" t="str">
        <x:v>0</x:v>
      </x:c>
      <x:c r="F1717" s="37" t="str">
        <x:v>8</x:v>
      </x:c>
      <x:c r="G1717" s="37" t="str">
        <x:v>202.98</x:v>
      </x:c>
      <x:c r="H1717" s="37" t="str">
        <x:v>22.51</x:v>
      </x:c>
      <x:c r="I1717" s="37" t="str">
        <x:v>0.00</x:v>
      </x:c>
      <x:c r="J1717" s="37" t="str">
        <x:v>86.75</x:v>
      </x:c>
      <x:c r="K1717" s="37" t="str">
        <x:v>93.72</x:v>
      </x:c>
      <x:c r="L1717" s="37" t="str">
        <x:v>290</x:v>
      </x:c>
      <x:c r="M1717" s="29" t="str">
        <x:v>175.11</x:v>
      </x:c>
      <x:c r="N1717" s="29" t="str">
        <x:v>149.32</x:v>
      </x:c>
      <x:c r="O1717" s="29" t="str">
        <x:v>25.79</x:v>
      </x:c>
      <x:c r="P1717" s="18" t="str">
        <x:v>2026-07-13</x:v>
      </x:c>
      <x:c r="Q1717" s="36" t="n">
        <x:v>46216</x:v>
      </x:c>
    </x:row>
    <x:row r="1718">
      <x:c r="A1718" s="36" t="str">
        <x:v>2026-07-13</x:v>
      </x:c>
      <x:c r="B1718" s="18" t="str">
        <x:v>101437000_83019</x:v>
      </x:c>
      <x:c r="C1718" s="18" t="str">
        <x:v>【沪村小电】首创禧瑞云启东区充电站</x:v>
      </x:c>
      <x:c r="D1718" s="37" t="str">
        <x:v>2</x:v>
      </x:c>
      <x:c r="E1718" s="37" t="str">
        <x:v>0</x:v>
      </x:c>
      <x:c r="F1718" s="37" t="str">
        <x:v>34</x:v>
      </x:c>
      <x:c r="G1718" s="37" t="str">
        <x:v>696.94</x:v>
      </x:c>
      <x:c r="H1718" s="37" t="str">
        <x:v>0.00</x:v>
      </x:c>
      <x:c r="I1718" s="37" t="str">
        <x:v>613.71</x:v>
      </x:c>
      <x:c r="J1718" s="37" t="str">
        <x:v>0.00</x:v>
      </x:c>
      <x:c r="K1718" s="37" t="str">
        <x:v>83.23</x:v>
      </x:c>
      <x:c r="L1718" s="37" t="str">
        <x:v>1075</x:v>
      </x:c>
      <x:c r="M1718" s="29" t="str">
        <x:v>707.42</x:v>
      </x:c>
      <x:c r="N1718" s="29" t="str">
        <x:v>466.50</x:v>
      </x:c>
      <x:c r="O1718" s="29" t="str">
        <x:v>240.92</x:v>
      </x:c>
      <x:c r="P1718" s="18" t="str">
        <x:v>2026-07-13</x:v>
      </x:c>
      <x:c r="Q1718" s="36" t="n">
        <x:v>46216</x:v>
      </x:c>
    </x:row>
    <x:row r="1719">
      <x:c r="A1719" s="36" t="str">
        <x:v>2026-07-13</x:v>
      </x:c>
      <x:c r="B1719" s="18" t="str">
        <x:v>101437000_83093</x:v>
      </x:c>
      <x:c r="C1719" s="18" t="str">
        <x:v>【沪村小电】金茂未来时光里</x:v>
      </x:c>
      <x:c r="D1719" s="37" t="str">
        <x:v>2</x:v>
      </x:c>
      <x:c r="E1719" s="37" t="str">
        <x:v>0</x:v>
      </x:c>
      <x:c r="F1719" s="37" t="str">
        <x:v>68</x:v>
      </x:c>
      <x:c r="G1719" s="37" t="str">
        <x:v>2201.10</x:v>
      </x:c>
      <x:c r="H1719" s="37" t="str">
        <x:v>0.00</x:v>
      </x:c>
      <x:c r="I1719" s="37" t="str">
        <x:v>1123.14</x:v>
      </x:c>
      <x:c r="J1719" s="37" t="str">
        <x:v>0.00</x:v>
      </x:c>
      <x:c r="K1719" s="37" t="str">
        <x:v>1077.96</x:v>
      </x:c>
      <x:c r="L1719" s="37" t="str">
        <x:v>3117</x:v>
      </x:c>
      <x:c r="M1719" s="29" t="str">
        <x:v>1508.44</x:v>
      </x:c>
      <x:c r="N1719" s="29" t="str">
        <x:v>996.80</x:v>
      </x:c>
      <x:c r="O1719" s="29" t="str">
        <x:v>511.64</x:v>
      </x:c>
      <x:c r="P1719" s="18" t="str">
        <x:v>2026-07-13</x:v>
      </x:c>
      <x:c r="Q1719" s="36" t="n">
        <x:v>46216</x:v>
      </x:c>
    </x:row>
    <x:row r="1720">
      <x:c r="A1720" s="36" t="str">
        <x:v>2026-07-13</x:v>
      </x:c>
      <x:c r="B1720" s="18" t="str">
        <x:v>101437000_83911</x:v>
      </x:c>
      <x:c r="C1720" s="18" t="str">
        <x:v>【沪村小电】金瀚园充电站</x:v>
      </x:c>
      <x:c r="D1720" s="37" t="str">
        <x:v>2</x:v>
      </x:c>
      <x:c r="E1720" s="37" t="str">
        <x:v>0</x:v>
      </x:c>
      <x:c r="F1720" s="37" t="str">
        <x:v>46</x:v>
      </x:c>
      <x:c r="G1720" s="37" t="str">
        <x:v>992.47</x:v>
      </x:c>
      <x:c r="H1720" s="37" t="str">
        <x:v>0.00</x:v>
      </x:c>
      <x:c r="I1720" s="37" t="str">
        <x:v>651.53</x:v>
      </x:c>
      <x:c r="J1720" s="37" t="str">
        <x:v>0.00</x:v>
      </x:c>
      <x:c r="K1720" s="37" t="str">
        <x:v>340.95</x:v>
      </x:c>
      <x:c r="L1720" s="37" t="str">
        <x:v>1418</x:v>
      </x:c>
      <x:c r="M1720" s="29" t="str">
        <x:v>928.94</x:v>
      </x:c>
      <x:c r="N1720" s="29" t="str">
        <x:v>588.77</x:v>
      </x:c>
      <x:c r="O1720" s="29" t="str">
        <x:v>340.17</x:v>
      </x:c>
      <x:c r="P1720" s="18" t="str">
        <x:v>2026-07-13</x:v>
      </x:c>
      <x:c r="Q1720" s="36" t="n">
        <x:v>46216</x:v>
      </x:c>
    </x:row>
    <x:row r="1721">
      <x:c r="A1721" s="36" t="str">
        <x:v>2026-07-13</x:v>
      </x:c>
      <x:c r="B1721" s="18" t="str">
        <x:v>101437000_83913</x:v>
      </x:c>
      <x:c r="C1721" s="18" t="str">
        <x:v>【沪村小电】新黎村充电站</x:v>
      </x:c>
      <x:c r="D1721" s="37" t="str">
        <x:v>2</x:v>
      </x:c>
      <x:c r="E1721" s="37" t="str">
        <x:v>0</x:v>
      </x:c>
      <x:c r="F1721" s="37" t="str">
        <x:v>55</x:v>
      </x:c>
      <x:c r="G1721" s="37" t="str">
        <x:v>1430.49</x:v>
      </x:c>
      <x:c r="H1721" s="37" t="str">
        <x:v>0.00</x:v>
      </x:c>
      <x:c r="I1721" s="37" t="str">
        <x:v>1213.83</x:v>
      </x:c>
      <x:c r="J1721" s="37" t="str">
        <x:v>0.00</x:v>
      </x:c>
      <x:c r="K1721" s="37" t="str">
        <x:v>216.66</x:v>
      </x:c>
      <x:c r="L1721" s="37" t="str">
        <x:v>2091</x:v>
      </x:c>
      <x:c r="M1721" s="29" t="str">
        <x:v>1389.98</x:v>
      </x:c>
      <x:c r="N1721" s="29" t="str">
        <x:v>941.98</x:v>
      </x:c>
      <x:c r="O1721" s="29" t="str">
        <x:v>448.00</x:v>
      </x:c>
      <x:c r="P1721" s="18" t="str">
        <x:v>2026-07-13</x:v>
      </x:c>
      <x:c r="Q1721" s="36" t="n">
        <x:v>46216</x:v>
      </x:c>
    </x:row>
    <x:row r="1722">
      <x:c r="A1722" s="36" t="str">
        <x:v>2026-07-13</x:v>
      </x:c>
      <x:c r="B1722" s="18" t="str">
        <x:v>101437000_83915</x:v>
      </x:c>
      <x:c r="C1722" s="18" t="str">
        <x:v>【沪村小电】长泰西郊别墅充电站</x:v>
      </x:c>
      <x:c r="D1722" s="37" t="str">
        <x:v>2</x:v>
      </x:c>
      <x:c r="E1722" s="37" t="str">
        <x:v>0</x:v>
      </x:c>
      <x:c r="F1722" s="37" t="str">
        <x:v>23</x:v>
      </x:c>
      <x:c r="G1722" s="37" t="str">
        <x:v>475.77</x:v>
      </x:c>
      <x:c r="H1722" s="37" t="str">
        <x:v>0.00</x:v>
      </x:c>
      <x:c r="I1722" s="37" t="str">
        <x:v>412.32</x:v>
      </x:c>
      <x:c r="J1722" s="37" t="str">
        <x:v>0.00</x:v>
      </x:c>
      <x:c r="K1722" s="37" t="str">
        <x:v>63.46</x:v>
      </x:c>
      <x:c r="L1722" s="37" t="str">
        <x:v>688</x:v>
      </x:c>
      <x:c r="M1722" s="29" t="str">
        <x:v>528.20</x:v>
      </x:c>
      <x:c r="N1722" s="29" t="str">
        <x:v>316.24</x:v>
      </x:c>
      <x:c r="O1722" s="29" t="str">
        <x:v>211.96</x:v>
      </x:c>
      <x:c r="P1722" s="18" t="str">
        <x:v>2026-07-13</x:v>
      </x:c>
      <x:c r="Q1722" s="36" t="n">
        <x:v>46216</x:v>
      </x:c>
    </x:row>
    <x:row r="1723">
      <x:c r="A1723" s="36" t="str">
        <x:v>2026-07-13</x:v>
      </x:c>
      <x:c r="B1723" s="18" t="str">
        <x:v>101437000_83917</x:v>
      </x:c>
      <x:c r="C1723" s="18" t="str">
        <x:v>【沪村小电】旭新华庭充电站</x:v>
      </x:c>
      <x:c r="D1723" s="37" t="str">
        <x:v>4</x:v>
      </x:c>
      <x:c r="E1723" s="37" t="str">
        <x:v>0</x:v>
      </x:c>
      <x:c r="F1723" s="37" t="str">
        <x:v>33</x:v>
      </x:c>
      <x:c r="G1723" s="37" t="str">
        <x:v>781.82</x:v>
      </x:c>
      <x:c r="H1723" s="37" t="str">
        <x:v>0.00</x:v>
      </x:c>
      <x:c r="I1723" s="37" t="str">
        <x:v>468.35</x:v>
      </x:c>
      <x:c r="J1723" s="37" t="str">
        <x:v>0.00</x:v>
      </x:c>
      <x:c r="K1723" s="37" t="str">
        <x:v>313.47</x:v>
      </x:c>
      <x:c r="L1723" s="37" t="str">
        <x:v>1227</x:v>
      </x:c>
      <x:c r="M1723" s="29" t="str">
        <x:v>734.17</x:v>
      </x:c>
      <x:c r="N1723" s="29" t="str">
        <x:v>448.55</x:v>
      </x:c>
      <x:c r="O1723" s="29" t="str">
        <x:v>285.62</x:v>
      </x:c>
      <x:c r="P1723" s="18" t="str">
        <x:v>2026-07-13</x:v>
      </x:c>
      <x:c r="Q1723" s="36" t="n">
        <x:v>46216</x:v>
      </x:c>
    </x:row>
    <x:row r="1724">
      <x:c r="A1724" s="36" t="str">
        <x:v>2026-07-13</x:v>
      </x:c>
      <x:c r="B1724" s="18" t="str">
        <x:v>101437000_83919</x:v>
      </x:c>
      <x:c r="C1724" s="18" t="str">
        <x:v>【沪村小电】浦锦名仕嘉园充电站</x:v>
      </x:c>
      <x:c r="D1724" s="37" t="str">
        <x:v>4</x:v>
      </x:c>
      <x:c r="E1724" s="37" t="str">
        <x:v>0</x:v>
      </x:c>
      <x:c r="F1724" s="37" t="str">
        <x:v>40</x:v>
      </x:c>
      <x:c r="G1724" s="37" t="str">
        <x:v>967.26</x:v>
      </x:c>
      <x:c r="H1724" s="37" t="str">
        <x:v>0.00</x:v>
      </x:c>
      <x:c r="I1724" s="37" t="str">
        <x:v>684.74</x:v>
      </x:c>
      <x:c r="J1724" s="37" t="str">
        <x:v>0.00</x:v>
      </x:c>
      <x:c r="K1724" s="37" t="str">
        <x:v>282.52</x:v>
      </x:c>
      <x:c r="L1724" s="37" t="str">
        <x:v>1559</x:v>
      </x:c>
      <x:c r="M1724" s="29" t="str">
        <x:v>917.63</x:v>
      </x:c>
      <x:c r="N1724" s="29" t="str">
        <x:v>590.72</x:v>
      </x:c>
      <x:c r="O1724" s="29" t="str">
        <x:v>326.91</x:v>
      </x:c>
      <x:c r="P1724" s="18" t="str">
        <x:v>2026-07-13</x:v>
      </x:c>
      <x:c r="Q1724" s="36" t="n">
        <x:v>46216</x:v>
      </x:c>
    </x:row>
    <x:row r="1725">
      <x:c r="A1725" s="36" t="str">
        <x:v>2026-07-13</x:v>
      </x:c>
      <x:c r="B1725" s="18" t="str">
        <x:v>101437000_83921</x:v>
      </x:c>
      <x:c r="C1725" s="18" t="str">
        <x:v>【沪村小电】上海联怡枇杷乐园充电站（地库）</x:v>
      </x:c>
      <x:c r="D1725" s="37" t="str">
        <x:v>8</x:v>
      </x:c>
      <x:c r="E1725" s="37" t="str">
        <x:v>0</x:v>
      </x:c>
      <x:c r="F1725" s="37" t="str">
        <x:v>8</x:v>
      </x:c>
      <x:c r="G1725" s="37" t="str">
        <x:v>202.91</x:v>
      </x:c>
      <x:c r="H1725" s="37" t="str">
        <x:v>0.00</x:v>
      </x:c>
      <x:c r="I1725" s="37" t="str">
        <x:v>92.52</x:v>
      </x:c>
      <x:c r="J1725" s="37" t="str">
        <x:v>0.00</x:v>
      </x:c>
      <x:c r="K1725" s="37" t="str">
        <x:v>110.39</x:v>
      </x:c>
      <x:c r="L1725" s="37" t="str">
        <x:v>351</x:v>
      </x:c>
      <x:c r="M1725" s="29" t="str">
        <x:v>158.78</x:v>
      </x:c>
      <x:c r="N1725" s="29" t="str">
        <x:v>134.05</x:v>
      </x:c>
      <x:c r="O1725" s="29" t="str">
        <x:v>24.73</x:v>
      </x:c>
      <x:c r="P1725" s="18" t="str">
        <x:v>2026-07-13</x:v>
      </x:c>
      <x:c r="Q1725" s="36" t="n">
        <x:v>46216</x:v>
      </x:c>
    </x:row>
    <x:row r="1726">
      <x:c r="A1726" s="36" t="str">
        <x:v>2026-07-13</x:v>
      </x:c>
      <x:c r="B1726" s="18" t="str">
        <x:v>101437000_83923</x:v>
      </x:c>
      <x:c r="C1726" s="18" t="str">
        <x:v>【沪村小电】明珠新苑充电站</x:v>
      </x:c>
      <x:c r="D1726" s="37" t="str">
        <x:v>2</x:v>
      </x:c>
      <x:c r="E1726" s="37" t="str">
        <x:v>0</x:v>
      </x:c>
      <x:c r="F1726" s="37" t="str">
        <x:v>31</x:v>
      </x:c>
      <x:c r="G1726" s="37" t="str">
        <x:v>839.90</x:v>
      </x:c>
      <x:c r="H1726" s="37" t="str">
        <x:v>0.00</x:v>
      </x:c>
      <x:c r="I1726" s="37" t="str">
        <x:v>564.28</x:v>
      </x:c>
      <x:c r="J1726" s="37" t="str">
        <x:v>0.00</x:v>
      </x:c>
      <x:c r="K1726" s="37" t="str">
        <x:v>275.62</x:v>
      </x:c>
      <x:c r="L1726" s="37" t="str">
        <x:v>1167</x:v>
      </x:c>
      <x:c r="M1726" s="29" t="str">
        <x:v>749.45</x:v>
      </x:c>
      <x:c r="N1726" s="29" t="str">
        <x:v>502.62</x:v>
      </x:c>
      <x:c r="O1726" s="29" t="str">
        <x:v>246.83</x:v>
      </x:c>
      <x:c r="P1726" s="18" t="str">
        <x:v>2026-07-13</x:v>
      </x:c>
      <x:c r="Q1726" s="36" t="n">
        <x:v>46216</x:v>
      </x:c>
    </x:row>
    <x:row r="1727">
      <x:c r="A1727" s="36" t="str">
        <x:v>2026-07-13</x:v>
      </x:c>
      <x:c r="B1727" s="18" t="str">
        <x:v>101437000_84289</x:v>
      </x:c>
      <x:c r="C1727" s="18" t="str">
        <x:v>【沪村小电】铁建芳华苑充电站</x:v>
      </x:c>
      <x:c r="D1727" s="37" t="str">
        <x:v>4</x:v>
      </x:c>
      <x:c r="E1727" s="37" t="str">
        <x:v>0</x:v>
      </x:c>
      <x:c r="F1727" s="37" t="str">
        <x:v>38</x:v>
      </x:c>
      <x:c r="G1727" s="37" t="str">
        <x:v>1108.84</x:v>
      </x:c>
      <x:c r="H1727" s="37" t="str">
        <x:v>0.00</x:v>
      </x:c>
      <x:c r="I1727" s="37" t="str">
        <x:v>694.14</x:v>
      </x:c>
      <x:c r="J1727" s="37" t="str">
        <x:v>0.00</x:v>
      </x:c>
      <x:c r="K1727" s="37" t="str">
        <x:v>414.70</x:v>
      </x:c>
      <x:c r="L1727" s="37" t="str">
        <x:v>1635</x:v>
      </x:c>
      <x:c r="M1727" s="29" t="str">
        <x:v>1043.80</x:v>
      </x:c>
      <x:c r="N1727" s="29" t="str">
        <x:v>646.29</x:v>
      </x:c>
      <x:c r="O1727" s="29" t="str">
        <x:v>397.51</x:v>
      </x:c>
      <x:c r="P1727" s="18" t="str">
        <x:v>2026-07-13</x:v>
      </x:c>
      <x:c r="Q1727" s="36" t="n">
        <x:v>46216</x:v>
      </x:c>
    </x:row>
    <x:row r="1728">
      <x:c r="A1728" s="36" t="str">
        <x:v>2026-07-13</x:v>
      </x:c>
      <x:c r="B1728" s="18" t="str">
        <x:v>101437000_86379</x:v>
      </x:c>
      <x:c r="C1728" s="18" t="str">
        <x:v>【沪村小电】新宝社区充电站</x:v>
      </x:c>
      <x:c r="D1728" s="37" t="str">
        <x:v>4</x:v>
      </x:c>
      <x:c r="E1728" s="37" t="str">
        <x:v>0</x:v>
      </x:c>
      <x:c r="F1728" s="37" t="str">
        <x:v>25</x:v>
      </x:c>
      <x:c r="G1728" s="37" t="str">
        <x:v>507.99</x:v>
      </x:c>
      <x:c r="H1728" s="37" t="str">
        <x:v>0.00</x:v>
      </x:c>
      <x:c r="I1728" s="37" t="str">
        <x:v>277.74</x:v>
      </x:c>
      <x:c r="J1728" s="37" t="str">
        <x:v>0.00</x:v>
      </x:c>
      <x:c r="K1728" s="37" t="str">
        <x:v>230.25</x:v>
      </x:c>
      <x:c r="L1728" s="37" t="str">
        <x:v>966</x:v>
      </x:c>
      <x:c r="M1728" s="29" t="str">
        <x:v>405.91</x:v>
      </x:c>
      <x:c r="N1728" s="29" t="str">
        <x:v>282.41</x:v>
      </x:c>
      <x:c r="O1728" s="29" t="str">
        <x:v>123.50</x:v>
      </x:c>
      <x:c r="P1728" s="18" t="str">
        <x:v>2026-07-13</x:v>
      </x:c>
      <x:c r="Q1728" s="36" t="n">
        <x:v>46216</x:v>
      </x:c>
    </x:row>
    <x:row r="1729">
      <x:c r="A1729" s="36" t="str">
        <x:v>2026-07-13</x:v>
      </x:c>
      <x:c r="B1729" s="18" t="str">
        <x:v>101437000_89441</x:v>
      </x:c>
      <x:c r="C1729" s="18" t="str">
        <x:v>【沪村小电】首创禧瑞云启西区充电站</x:v>
      </x:c>
      <x:c r="D1729" s="37" t="str">
        <x:v>2</x:v>
      </x:c>
      <x:c r="E1729" s="37" t="str">
        <x:v>0</x:v>
      </x:c>
      <x:c r="F1729" s="37" t="str">
        <x:v>38</x:v>
      </x:c>
      <x:c r="G1729" s="37" t="str">
        <x:v>847.49</x:v>
      </x:c>
      <x:c r="H1729" s="37" t="str">
        <x:v>0.00</x:v>
      </x:c>
      <x:c r="I1729" s="37" t="str">
        <x:v>638.25</x:v>
      </x:c>
      <x:c r="J1729" s="37" t="str">
        <x:v>0.00</x:v>
      </x:c>
      <x:c r="K1729" s="37" t="str">
        <x:v>209.24</x:v>
      </x:c>
      <x:c r="L1729" s="37" t="str">
        <x:v>1173</x:v>
      </x:c>
      <x:c r="M1729" s="29" t="str">
        <x:v>845.46</x:v>
      </x:c>
      <x:c r="N1729" s="29" t="str">
        <x:v>530.57</x:v>
      </x:c>
      <x:c r="O1729" s="29" t="str">
        <x:v>314.89</x:v>
      </x:c>
      <x:c r="P1729" s="18" t="str">
        <x:v>2026-07-13</x:v>
      </x:c>
      <x:c r="Q1729" s="36" t="n">
        <x:v>46216</x:v>
      </x:c>
    </x:row>
    <x:row r="1730">
      <x:c r="A1730" s="36" t="str">
        <x:v>2026-07-13</x:v>
      </x:c>
      <x:c r="B1730" s="18" t="str">
        <x:v>101437000_89443</x:v>
      </x:c>
      <x:c r="C1730" s="18" t="str">
        <x:v>【沪村小电】玉兰清苑二期充电站</x:v>
      </x:c>
      <x:c r="D1730" s="37" t="str">
        <x:v>2</x:v>
      </x:c>
      <x:c r="E1730" s="37" t="str">
        <x:v>0</x:v>
      </x:c>
      <x:c r="F1730" s="37" t="str">
        <x:v>25</x:v>
      </x:c>
      <x:c r="G1730" s="37" t="str">
        <x:v>546.31</x:v>
      </x:c>
      <x:c r="H1730" s="37" t="str">
        <x:v>0.00</x:v>
      </x:c>
      <x:c r="I1730" s="37" t="str">
        <x:v>394.45</x:v>
      </x:c>
      <x:c r="J1730" s="37" t="str">
        <x:v>0.00</x:v>
      </x:c>
      <x:c r="K1730" s="37" t="str">
        <x:v>151.87</x:v>
      </x:c>
      <x:c r="L1730" s="37" t="str">
        <x:v>786</x:v>
      </x:c>
      <x:c r="M1730" s="29" t="str">
        <x:v>509.53</x:v>
      </x:c>
      <x:c r="N1730" s="29" t="str">
        <x:v>336.24</x:v>
      </x:c>
      <x:c r="O1730" s="29" t="str">
        <x:v>173.29</x:v>
      </x:c>
      <x:c r="P1730" s="18" t="str">
        <x:v>2026-07-13</x:v>
      </x:c>
      <x:c r="Q1730" s="36" t="n">
        <x:v>46216</x:v>
      </x:c>
    </x:row>
    <x:row r="1731">
      <x:c r="A1731" s="36" t="str">
        <x:v>2026-07-13</x:v>
      </x:c>
      <x:c r="B1731" s="18" t="str">
        <x:v>101437000_93115</x:v>
      </x:c>
      <x:c r="C1731" s="18" t="str">
        <x:v>【沪村小电】新南家园西北门</x:v>
      </x:c>
      <x:c r="D1731" s="37" t="str">
        <x:v>2</x:v>
      </x:c>
      <x:c r="E1731" s="37" t="str">
        <x:v>0</x:v>
      </x:c>
      <x:c r="F1731" s="37" t="str">
        <x:v>23</x:v>
      </x:c>
      <x:c r="G1731" s="37" t="str">
        <x:v>550.28</x:v>
      </x:c>
      <x:c r="H1731" s="37" t="str">
        <x:v>0.00</x:v>
      </x:c>
      <x:c r="I1731" s="37" t="str">
        <x:v>295.99</x:v>
      </x:c>
      <x:c r="J1731" s="37" t="str">
        <x:v>0.00</x:v>
      </x:c>
      <x:c r="K1731" s="37" t="str">
        <x:v>254.29</x:v>
      </x:c>
      <x:c r="L1731" s="37" t="str">
        <x:v>849</x:v>
      </x:c>
      <x:c r="M1731" s="29" t="str">
        <x:v>488.61</x:v>
      </x:c>
      <x:c r="N1731" s="29" t="str">
        <x:v>304.20</x:v>
      </x:c>
      <x:c r="O1731" s="29" t="str">
        <x:v>184.41</x:v>
      </x:c>
      <x:c r="P1731" s="18" t="str">
        <x:v>2026-07-13</x:v>
      </x:c>
      <x:c r="Q1731" s="36" t="n">
        <x:v>46216</x:v>
      </x:c>
    </x:row>
    <x:row r="1732">
      <x:c r="A1732" s="36" t="str">
        <x:v>2026-07-13</x:v>
      </x:c>
      <x:c r="B1732" s="18" t="str">
        <x:v>101437000_94649</x:v>
      </x:c>
      <x:c r="C1732" s="18" t="str">
        <x:v>【沪村小电】浪琴水岸花园</x:v>
      </x:c>
      <x:c r="D1732" s="37" t="str">
        <x:v>4</x:v>
      </x:c>
      <x:c r="E1732" s="37" t="str">
        <x:v>0</x:v>
      </x:c>
      <x:c r="F1732" s="37" t="str">
        <x:v>34</x:v>
      </x:c>
      <x:c r="G1732" s="37" t="str">
        <x:v>1018.71</x:v>
      </x:c>
      <x:c r="H1732" s="37" t="str">
        <x:v>0.00</x:v>
      </x:c>
      <x:c r="I1732" s="37" t="str">
        <x:v>637.20</x:v>
      </x:c>
      <x:c r="J1732" s="37" t="str">
        <x:v>0.00</x:v>
      </x:c>
      <x:c r="K1732" s="37" t="str">
        <x:v>381.51</x:v>
      </x:c>
      <x:c r="L1732" s="37" t="str">
        <x:v>1484</x:v>
      </x:c>
      <x:c r="M1732" s="29" t="str">
        <x:v>853.72</x:v>
      </x:c>
      <x:c r="N1732" s="29" t="str">
        <x:v>631.75</x:v>
      </x:c>
      <x:c r="O1732" s="29" t="str">
        <x:v>221.97</x:v>
      </x:c>
      <x:c r="P1732" s="18" t="str">
        <x:v>2026-07-13</x:v>
      </x:c>
      <x:c r="Q1732" s="36" t="n">
        <x:v>46216</x:v>
      </x:c>
    </x:row>
    <x:row r="1733">
      <x:c r="A1733" s="36" t="str">
        <x:v>2026-07-13</x:v>
      </x:c>
      <x:c r="B1733" s="18" t="str">
        <x:v>101437000_95077</x:v>
      </x:c>
      <x:c r="C1733" s="18" t="str">
        <x:v>【沪村小电】民乐城惠益绿苑255弄充电站</x:v>
      </x:c>
      <x:c r="D1733" s="37" t="str">
        <x:v>2</x:v>
      </x:c>
      <x:c r="E1733" s="37" t="str">
        <x:v>0</x:v>
      </x:c>
      <x:c r="F1733" s="37" t="str">
        <x:v>13</x:v>
      </x:c>
      <x:c r="G1733" s="37" t="str">
        <x:v>246.35</x:v>
      </x:c>
      <x:c r="H1733" s="37" t="str">
        <x:v>0.00</x:v>
      </x:c>
      <x:c r="I1733" s="37" t="str">
        <x:v>237.17</x:v>
      </x:c>
      <x:c r="J1733" s="37" t="str">
        <x:v>0.00</x:v>
      </x:c>
      <x:c r="K1733" s="37" t="str">
        <x:v>9.18</x:v>
      </x:c>
      <x:c r="L1733" s="37" t="str">
        <x:v>405</x:v>
      </x:c>
      <x:c r="M1733" s="29" t="str">
        <x:v>232.27</x:v>
      </x:c>
      <x:c r="N1733" s="29" t="str">
        <x:v>171.80</x:v>
      </x:c>
      <x:c r="O1733" s="29" t="str">
        <x:v>60.47</x:v>
      </x:c>
      <x:c r="P1733" s="18" t="str">
        <x:v>2026-07-13</x:v>
      </x:c>
      <x:c r="Q1733" s="36" t="n">
        <x:v>46216</x:v>
      </x:c>
    </x:row>
    <x:row r="1734">
      <x:c r="A1734" s="36" t="str">
        <x:v>2026-07-13</x:v>
      </x:c>
      <x:c r="B1734" s="18" t="str">
        <x:v>101437000_95079</x:v>
      </x:c>
      <x:c r="C1734" s="18" t="str">
        <x:v>【沪村小电】民乐城惠益绿苑东苑充电站</x:v>
      </x:c>
      <x:c r="D1734" s="37" t="str">
        <x:v>2</x:v>
      </x:c>
      <x:c r="E1734" s="37" t="str">
        <x:v>0</x:v>
      </x:c>
      <x:c r="F1734" s="37" t="str">
        <x:v>18</x:v>
      </x:c>
      <x:c r="G1734" s="37" t="str">
        <x:v>447.73</x:v>
      </x:c>
      <x:c r="H1734" s="37" t="str">
        <x:v>0.00</x:v>
      </x:c>
      <x:c r="I1734" s="37" t="str">
        <x:v>410.79</x:v>
      </x:c>
      <x:c r="J1734" s="37" t="str">
        <x:v>0.00</x:v>
      </x:c>
      <x:c r="K1734" s="37" t="str">
        <x:v>36.95</x:v>
      </x:c>
      <x:c r="L1734" s="37" t="str">
        <x:v>756</x:v>
      </x:c>
      <x:c r="M1734" s="29" t="str">
        <x:v>417.90</x:v>
      </x:c>
      <x:c r="N1734" s="29" t="str">
        <x:v>305.34</x:v>
      </x:c>
      <x:c r="O1734" s="29" t="str">
        <x:v>112.56</x:v>
      </x:c>
      <x:c r="P1734" s="18" t="str">
        <x:v>2026-07-13</x:v>
      </x:c>
      <x:c r="Q1734" s="36" t="n">
        <x:v>46216</x:v>
      </x:c>
    </x:row>
    <x:row r="1735">
      <x:c r="A1735" s="36" t="str">
        <x:v>2026-07-13</x:v>
      </x:c>
      <x:c r="B1735" s="18" t="str">
        <x:v>101437000_95081</x:v>
      </x:c>
      <x:c r="C1735" s="18" t="str">
        <x:v>【沪村小电】民乐城惠益绿苑西苑充电站</x:v>
      </x:c>
      <x:c r="D1735" s="37" t="str">
        <x:v>2</x:v>
      </x:c>
      <x:c r="E1735" s="37" t="str">
        <x:v>0</x:v>
      </x:c>
      <x:c r="F1735" s="37" t="str">
        <x:v>10</x:v>
      </x:c>
      <x:c r="G1735" s="37" t="str">
        <x:v>267.07</x:v>
      </x:c>
      <x:c r="H1735" s="37" t="str">
        <x:v>0.00</x:v>
      </x:c>
      <x:c r="I1735" s="37" t="str">
        <x:v>153.75</x:v>
      </x:c>
      <x:c r="J1735" s="37" t="str">
        <x:v>0.00</x:v>
      </x:c>
      <x:c r="K1735" s="37" t="str">
        <x:v>113.31</x:v>
      </x:c>
      <x:c r="L1735" s="37" t="str">
        <x:v>368</x:v>
      </x:c>
      <x:c r="M1735" s="29" t="str">
        <x:v>214.00</x:v>
      </x:c>
      <x:c r="N1735" s="29" t="str">
        <x:v>151.09</x:v>
      </x:c>
      <x:c r="O1735" s="29" t="str">
        <x:v>62.91</x:v>
      </x:c>
      <x:c r="P1735" s="18" t="str">
        <x:v>2026-07-13</x:v>
      </x:c>
      <x:c r="Q1735" s="36" t="n">
        <x:v>46216</x:v>
      </x:c>
    </x:row>
    <x:row r="1736">
      <x:c r="A1736" s="36" t="str">
        <x:v>2026-07-13</x:v>
      </x:c>
      <x:c r="B1736" s="18" t="str">
        <x:v>101437000_95941</x:v>
      </x:c>
      <x:c r="C1736" s="18" t="str">
        <x:v>【沪村小电】惠诚雅苑</x:v>
      </x:c>
      <x:c r="D1736" s="37" t="str">
        <x:v>4</x:v>
      </x:c>
      <x:c r="E1736" s="37" t="str">
        <x:v>0</x:v>
      </x:c>
      <x:c r="F1736" s="37" t="str">
        <x:v>56</x:v>
      </x:c>
      <x:c r="G1736" s="37" t="str">
        <x:v>1436.05</x:v>
      </x:c>
      <x:c r="H1736" s="37" t="str">
        <x:v>0.00</x:v>
      </x:c>
      <x:c r="I1736" s="37" t="str">
        <x:v>718.92</x:v>
      </x:c>
      <x:c r="J1736" s="37" t="str">
        <x:v>0.00</x:v>
      </x:c>
      <x:c r="K1736" s="37" t="str">
        <x:v>717.13</x:v>
      </x:c>
      <x:c r="L1736" s="37" t="str">
        <x:v>2457</x:v>
      </x:c>
      <x:c r="M1736" s="29" t="str">
        <x:v>954.97</x:v>
      </x:c>
      <x:c r="N1736" s="29" t="str">
        <x:v>646.44</x:v>
      </x:c>
      <x:c r="O1736" s="29" t="str">
        <x:v>308.53</x:v>
      </x:c>
      <x:c r="P1736" s="18" t="str">
        <x:v>2026-07-13</x:v>
      </x:c>
      <x:c r="Q1736" s="36" t="n">
        <x:v>46216</x:v>
      </x:c>
    </x:row>
    <x:row r="1737">
      <x:c r="A1737" s="36" t="str">
        <x:v>2026-07-13</x:v>
      </x:c>
      <x:c r="B1737" s="18" t="str">
        <x:v>101437000_96401</x:v>
      </x:c>
      <x:c r="C1737" s="18" t="str">
        <x:v>【沪村小电】上海联怡枇杷乐园地面站</x:v>
      </x:c>
      <x:c r="D1737" s="37" t="str">
        <x:v>2</x:v>
      </x:c>
      <x:c r="E1737" s="37" t="str">
        <x:v>0</x:v>
      </x:c>
      <x:c r="F1737" s="37" t="str">
        <x:v>6</x:v>
      </x:c>
      <x:c r="G1737" s="37" t="str">
        <x:v>185.38</x:v>
      </x:c>
      <x:c r="H1737" s="37" t="str">
        <x:v>0.00</x:v>
      </x:c>
      <x:c r="I1737" s="37" t="str">
        <x:v>62.23</x:v>
      </x:c>
      <x:c r="J1737" s="37" t="str">
        <x:v>0.00</x:v>
      </x:c>
      <x:c r="K1737" s="37" t="str">
        <x:v>123.15</x:v>
      </x:c>
      <x:c r="L1737" s="37" t="str">
        <x:v>348</x:v>
      </x:c>
      <x:c r="M1737" s="29" t="str">
        <x:v>134.40</x:v>
      </x:c>
      <x:c r="N1737" s="29" t="str">
        <x:v>112.66</x:v>
      </x:c>
      <x:c r="O1737" s="29" t="str">
        <x:v>21.74</x:v>
      </x:c>
      <x:c r="P1737" s="18" t="str">
        <x:v>2026-07-13</x:v>
      </x:c>
      <x:c r="Q1737" s="36" t="n">
        <x:v>46216</x:v>
      </x:c>
    </x:row>
    <x:row r="1738">
      <x:c r="A1738" s="36" t="str">
        <x:v>2026-07-13</x:v>
      </x:c>
      <x:c r="B1738" s="18" t="str">
        <x:v>101437000_96719</x:v>
      </x:c>
      <x:c r="C1738" s="18" t="str">
        <x:v>【沪村小电】四达路220弄充电站</x:v>
      </x:c>
      <x:c r="D1738" s="37" t="str">
        <x:v>2</x:v>
      </x:c>
      <x:c r="E1738" s="37" t="str">
        <x:v>0</x:v>
      </x:c>
      <x:c r="F1738" s="37" t="str">
        <x:v>12</x:v>
      </x:c>
      <x:c r="G1738" s="37" t="str">
        <x:v>303.20</x:v>
      </x:c>
      <x:c r="H1738" s="37" t="str">
        <x:v>0.00</x:v>
      </x:c>
      <x:c r="I1738" s="37" t="str">
        <x:v>299.70</x:v>
      </x:c>
      <x:c r="J1738" s="37" t="str">
        <x:v>0.00</x:v>
      </x:c>
      <x:c r="K1738" s="37" t="str">
        <x:v>3.50</x:v>
      </x:c>
      <x:c r="L1738" s="37" t="str">
        <x:v>498</x:v>
      </x:c>
      <x:c r="M1738" s="29" t="str">
        <x:v>315.87</x:v>
      </x:c>
      <x:c r="N1738" s="29" t="str">
        <x:v>214.10</x:v>
      </x:c>
      <x:c r="O1738" s="29" t="str">
        <x:v>101.77</x:v>
      </x:c>
      <x:c r="P1738" s="18" t="str">
        <x:v>2026-07-13</x:v>
      </x:c>
      <x:c r="Q1738" s="36" t="n">
        <x:v>46216</x:v>
      </x:c>
    </x:row>
    <x:row r="1739">
      <x:c r="A1739" s="36" t="str">
        <x:v>2026-07-13</x:v>
      </x:c>
      <x:c r="B1739" s="18" t="str">
        <x:v>101437000_97421</x:v>
      </x:c>
      <x:c r="C1739" s="18" t="str">
        <x:v>【沪村小电】玉兰清苑二期（小区外）充电站</x:v>
      </x:c>
      <x:c r="D1739" s="37" t="str">
        <x:v>4</x:v>
      </x:c>
      <x:c r="E1739" s="37" t="str">
        <x:v>0</x:v>
      </x:c>
      <x:c r="F1739" s="37" t="str">
        <x:v>38</x:v>
      </x:c>
      <x:c r="G1739" s="37" t="str">
        <x:v>989.22</x:v>
      </x:c>
      <x:c r="H1739" s="37" t="str">
        <x:v>0.00</x:v>
      </x:c>
      <x:c r="I1739" s="37" t="str">
        <x:v>831.20</x:v>
      </x:c>
      <x:c r="J1739" s="37" t="str">
        <x:v>0.00</x:v>
      </x:c>
      <x:c r="K1739" s="37" t="str">
        <x:v>158.02</x:v>
      </x:c>
      <x:c r="L1739" s="37" t="str">
        <x:v>1936</x:v>
      </x:c>
      <x:c r="M1739" s="29" t="str">
        <x:v>932.39</x:v>
      </x:c>
      <x:c r="N1739" s="29" t="str">
        <x:v>648.61</x:v>
      </x:c>
      <x:c r="O1739" s="29" t="str">
        <x:v>283.78</x:v>
      </x:c>
      <x:c r="P1739" s="18" t="str">
        <x:v>2026-07-13</x:v>
      </x:c>
      <x:c r="Q1739" s="36" t="n">
        <x:v>46216</x:v>
      </x:c>
    </x:row>
    <x:row r="1740">
      <x:c r="A1740" s="36" t="str">
        <x:v>2026-07-13</x:v>
      </x:c>
      <x:c r="B1740" s="18" t="str">
        <x:v>101437000_98013</x:v>
      </x:c>
      <x:c r="C1740" s="18" t="str">
        <x:v>【沪村小电】恒大滨江华府充电站</x:v>
      </x:c>
      <x:c r="D1740" s="37" t="str">
        <x:v>4</x:v>
      </x:c>
      <x:c r="E1740" s="37" t="str">
        <x:v>0</x:v>
      </x:c>
      <x:c r="F1740" s="37" t="str">
        <x:v>45</x:v>
      </x:c>
      <x:c r="G1740" s="37" t="str">
        <x:v>932.62</x:v>
      </x:c>
      <x:c r="H1740" s="37" t="str">
        <x:v>0.00</x:v>
      </x:c>
      <x:c r="I1740" s="37" t="str">
        <x:v>704.42</x:v>
      </x:c>
      <x:c r="J1740" s="37" t="str">
        <x:v>0.00</x:v>
      </x:c>
      <x:c r="K1740" s="37" t="str">
        <x:v>228.20</x:v>
      </x:c>
      <x:c r="L1740" s="37" t="str">
        <x:v>1567</x:v>
      </x:c>
      <x:c r="M1740" s="29" t="str">
        <x:v>943.95</x:v>
      </x:c>
      <x:c r="N1740" s="29" t="str">
        <x:v>738.97</x:v>
      </x:c>
      <x:c r="O1740" s="29" t="str">
        <x:v>204.98</x:v>
      </x:c>
      <x:c r="P1740" s="18" t="str">
        <x:v>2026-07-13</x:v>
      </x:c>
      <x:c r="Q1740" s="36" t="n">
        <x:v>46216</x:v>
      </x:c>
    </x:row>
    <x:row r="1741">
      <x:c r="A1741" s="36" t="str">
        <x:v>2026-07-13</x:v>
      </x:c>
      <x:c r="B1741" s="18" t="str">
        <x:v>101437000_98863</x:v>
      </x:c>
      <x:c r="C1741" s="18" t="str">
        <x:v>【沪村小电】欣菊苑充电站</x:v>
      </x:c>
      <x:c r="D1741" s="37" t="str">
        <x:v>4</x:v>
      </x:c>
      <x:c r="E1741" s="37" t="str">
        <x:v>0</x:v>
      </x:c>
      <x:c r="F1741" s="37" t="str">
        <x:v>5</x:v>
      </x:c>
      <x:c r="G1741" s="37" t="str">
        <x:v>92.75</x:v>
      </x:c>
      <x:c r="H1741" s="37" t="str">
        <x:v>0.00</x:v>
      </x:c>
      <x:c r="I1741" s="37" t="str">
        <x:v>92.75</x:v>
      </x:c>
      <x:c r="J1741" s="37" t="str">
        <x:v>0.00</x:v>
      </x:c>
      <x:c r="K1741" s="37" t="str">
        <x:v>0.00</x:v>
      </x:c>
      <x:c r="L1741" s="37" t="str">
        <x:v>126</x:v>
      </x:c>
      <x:c r="M1741" s="29" t="str">
        <x:v>84.39</x:v>
      </x:c>
      <x:c r="N1741" s="29" t="str">
        <x:v>65.86</x:v>
      </x:c>
      <x:c r="O1741" s="29" t="str">
        <x:v>18.53</x:v>
      </x:c>
      <x:c r="P1741" s="18" t="str">
        <x:v>2026-07-13</x:v>
      </x:c>
      <x:c r="Q1741" s="36" t="n">
        <x:v>46216</x:v>
      </x:c>
    </x:row>
    <x:row r="1742">
      <x:c r="A1742" s="36" t="str">
        <x:v>2026-07-13</x:v>
      </x:c>
      <x:c r="B1742" s="18" t="str">
        <x:v>101437000_98865</x:v>
      </x:c>
      <x:c r="C1742" s="18" t="str">
        <x:v>【沪村小电】欣松苑充电站</x:v>
      </x:c>
      <x:c r="D1742" s="37" t="str">
        <x:v>4</x:v>
      </x:c>
      <x:c r="E1742" s="37" t="str">
        <x:v>0</x:v>
      </x:c>
      <x:c r="F1742" s="37" t="str">
        <x:v>16</x:v>
      </x:c>
      <x:c r="G1742" s="37" t="str">
        <x:v>425.80</x:v>
      </x:c>
      <x:c r="H1742" s="37" t="str">
        <x:v>0.00</x:v>
      </x:c>
      <x:c r="I1742" s="37" t="str">
        <x:v>417.63</x:v>
      </x:c>
      <x:c r="J1742" s="37" t="str">
        <x:v>0.00</x:v>
      </x:c>
      <x:c r="K1742" s="37" t="str">
        <x:v>8.17</x:v>
      </x:c>
      <x:c r="L1742" s="37" t="str">
        <x:v>652</x:v>
      </x:c>
      <x:c r="M1742" s="29" t="str">
        <x:v>413.49</x:v>
      </x:c>
      <x:c r="N1742" s="29" t="str">
        <x:v>299.52</x:v>
      </x:c>
      <x:c r="O1742" s="29" t="str">
        <x:v>113.97</x:v>
      </x:c>
      <x:c r="P1742" s="18" t="str">
        <x:v>2026-07-13</x:v>
      </x:c>
      <x:c r="Q1742" s="36" t="n">
        <x:v>46216</x:v>
      </x:c>
    </x:row>
    <x:row r="1743">
      <x:c r="A1743" s="36" t="str">
        <x:v>2026-07-13</x:v>
      </x:c>
      <x:c r="B1743" s="18" t="str">
        <x:v>101437000_98867</x:v>
      </x:c>
      <x:c r="C1743" s="18" t="str">
        <x:v>【沪村小电】欣荷苑充电站</x:v>
      </x:c>
      <x:c r="D1743" s="37" t="str">
        <x:v>4</x:v>
      </x:c>
      <x:c r="E1743" s="37" t="str">
        <x:v>0</x:v>
      </x:c>
      <x:c r="F1743" s="37" t="str">
        <x:v>10</x:v>
      </x:c>
      <x:c r="G1743" s="37" t="str">
        <x:v>239.68</x:v>
      </x:c>
      <x:c r="H1743" s="37" t="str">
        <x:v>0.00</x:v>
      </x:c>
      <x:c r="I1743" s="37" t="str">
        <x:v>191.62</x:v>
      </x:c>
      <x:c r="J1743" s="37" t="str">
        <x:v>0.00</x:v>
      </x:c>
      <x:c r="K1743" s="37" t="str">
        <x:v>48.06</x:v>
      </x:c>
      <x:c r="L1743" s="37" t="str">
        <x:v>408</x:v>
      </x:c>
      <x:c r="M1743" s="29" t="str">
        <x:v>216.41</x:v>
      </x:c>
      <x:c r="N1743" s="29" t="str">
        <x:v>153.82</x:v>
      </x:c>
      <x:c r="O1743" s="29" t="str">
        <x:v>62.59</x:v>
      </x:c>
      <x:c r="P1743" s="18" t="str">
        <x:v>2026-07-13</x:v>
      </x:c>
      <x:c r="Q1743" s="36" t="n">
        <x:v>46216</x:v>
      </x:c>
    </x:row>
    <x:row r="1744">
      <x:c r="A1744" s="36" t="str">
        <x:v>2026-07-13</x:v>
      </x:c>
      <x:c r="B1744" s="18" t="str">
        <x:v>101437000_99885</x:v>
      </x:c>
      <x:c r="C1744" s="18" t="str">
        <x:v>【沪村小电】汇丰馨苑充电站</x:v>
      </x:c>
      <x:c r="D1744" s="37" t="str">
        <x:v>4</x:v>
      </x:c>
      <x:c r="E1744" s="37" t="str">
        <x:v>0</x:v>
      </x:c>
      <x:c r="F1744" s="37" t="str">
        <x:v>13</x:v>
      </x:c>
      <x:c r="G1744" s="37" t="str">
        <x:v>254.39</x:v>
      </x:c>
      <x:c r="H1744" s="37" t="str">
        <x:v>0.00</x:v>
      </x:c>
      <x:c r="I1744" s="37" t="str">
        <x:v>165.13</x:v>
      </x:c>
      <x:c r="J1744" s="37" t="str">
        <x:v>0.00</x:v>
      </x:c>
      <x:c r="K1744" s="37" t="str">
        <x:v>89.27</x:v>
      </x:c>
      <x:c r="L1744" s="37" t="str">
        <x:v>393</x:v>
      </x:c>
      <x:c r="M1744" s="29" t="str">
        <x:v>248.26</x:v>
      </x:c>
      <x:c r="N1744" s="29" t="str">
        <x:v>150.25</x:v>
      </x:c>
      <x:c r="O1744" s="29" t="str">
        <x:v>98.01</x:v>
      </x:c>
      <x:c r="P1744" s="18" t="str">
        <x:v>2026-07-13</x:v>
      </x:c>
      <x:c r="Q1744" s="36" t="n">
        <x:v>46216</x:v>
      </x:c>
    </x:row>
    <x:row r="1745">
      <x:c r="A1745" s="36" t="str">
        <x:v>2026-07-13</x:v>
      </x:c>
      <x:c r="B1745" s="18" t="str">
        <x:v>101437000_99887</x:v>
      </x:c>
      <x:c r="C1745" s="18" t="str">
        <x:v>【沪村小电】新南村河南小区充电站</x:v>
      </x:c>
      <x:c r="D1745" s="37" t="str">
        <x:v>2</x:v>
      </x:c>
      <x:c r="E1745" s="37" t="str">
        <x:v>0</x:v>
      </x:c>
      <x:c r="F1745" s="37" t="str">
        <x:v>3</x:v>
      </x:c>
      <x:c r="G1745" s="37" t="str">
        <x:v>35.98</x:v>
      </x:c>
      <x:c r="H1745" s="37" t="str">
        <x:v>0.00</x:v>
      </x:c>
      <x:c r="I1745" s="37" t="str">
        <x:v>12.64</x:v>
      </x:c>
      <x:c r="J1745" s="37" t="str">
        <x:v>0.00</x:v>
      </x:c>
      <x:c r="K1745" s="37" t="str">
        <x:v>23.34</x:v>
      </x:c>
      <x:c r="L1745" s="37" t="str">
        <x:v>110</x:v>
      </x:c>
      <x:c r="M1745" s="29" t="str">
        <x:v>31.66</x:v>
      </x:c>
      <x:c r="N1745" s="29" t="str">
        <x:v>17.60</x:v>
      </x:c>
      <x:c r="O1745" s="29" t="str">
        <x:v>14.06</x:v>
      </x:c>
      <x:c r="P1745" s="18" t="str">
        <x:v>2026-07-13</x:v>
      </x:c>
      <x:c r="Q1745" s="36" t="n">
        <x:v>46216</x:v>
      </x:c>
    </x:row>
    <x:row r="1746">
      <x:c r="A1746" s="36" t="str">
        <x:v>2026-07-13</x:v>
      </x:c>
      <x:c r="B1746" s="18" t="str">
        <x:v>101437000_99889</x:v>
      </x:c>
      <x:c r="C1746" s="18" t="str">
        <x:v>【沪村小电】漕泾郊野公园</x:v>
      </x:c>
      <x:c r="D1746" s="37" t="str">
        <x:v>2</x:v>
      </x:c>
      <x:c r="E1746" s="37" t="str">
        <x:v>0</x:v>
      </x:c>
      <x:c r="F1746" s="37" t="str">
        <x:v>9</x:v>
      </x:c>
      <x:c r="G1746" s="37" t="str">
        <x:v>171.26</x:v>
      </x:c>
      <x:c r="H1746" s="37" t="str">
        <x:v>0.00</x:v>
      </x:c>
      <x:c r="I1746" s="37" t="str">
        <x:v>171.26</x:v>
      </x:c>
      <x:c r="J1746" s="37" t="str">
        <x:v>0.00</x:v>
      </x:c>
      <x:c r="K1746" s="37" t="str">
        <x:v>0.00</x:v>
      </x:c>
      <x:c r="L1746" s="37" t="str">
        <x:v>266</x:v>
      </x:c>
      <x:c r="M1746" s="29" t="str">
        <x:v>194.85</x:v>
      </x:c>
      <x:c r="N1746" s="29" t="str">
        <x:v>130.15</x:v>
      </x:c>
      <x:c r="O1746" s="29" t="str">
        <x:v>64.70</x:v>
      </x:c>
      <x:c r="P1746" s="18" t="str">
        <x:v>2026-07-13</x:v>
      </x:c>
      <x:c r="Q1746" s="36" t="n">
        <x:v>46216</x:v>
      </x:c>
    </x:row>
    <x:row r="1747">
      <x:c r="A1747" s="36" t="str">
        <x:v>2026-07-13</x:v>
      </x:c>
      <x:c r="B1747" s="18" t="str">
        <x:v>101437000_99891</x:v>
      </x:c>
      <x:c r="C1747" s="18" t="str">
        <x:v>【沪村小电】水韵紫城充电站</x:v>
      </x:c>
      <x:c r="D1747" s="37" t="str">
        <x:v>4</x:v>
      </x:c>
      <x:c r="E1747" s="37" t="str">
        <x:v>0</x:v>
      </x:c>
      <x:c r="F1747" s="37" t="str">
        <x:v>23</x:v>
      </x:c>
      <x:c r="G1747" s="37" t="str">
        <x:v>620.63</x:v>
      </x:c>
      <x:c r="H1747" s="37" t="str">
        <x:v>0.00</x:v>
      </x:c>
      <x:c r="I1747" s="37" t="str">
        <x:v>389.23</x:v>
      </x:c>
      <x:c r="J1747" s="37" t="str">
        <x:v>0.00</x:v>
      </x:c>
      <x:c r="K1747" s="37" t="str">
        <x:v>231.39</x:v>
      </x:c>
      <x:c r="L1747" s="37" t="str">
        <x:v>951</x:v>
      </x:c>
      <x:c r="M1747" s="29" t="str">
        <x:v>551.64</x:v>
      </x:c>
      <x:c r="N1747" s="29" t="str">
        <x:v>361.97</x:v>
      </x:c>
      <x:c r="O1747" s="29" t="str">
        <x:v>189.67</x:v>
      </x:c>
      <x:c r="P1747" s="18" t="str">
        <x:v>2026-07-13</x:v>
      </x:c>
      <x:c r="Q1747" s="36" t="n">
        <x:v>46216</x:v>
      </x:c>
    </x:row>
    <x:row r="1748">
      <x:c r="A1748" s="36" t="str">
        <x:v>2026-07-12</x:v>
      </x:c>
      <x:c r="B1748" s="18" t="str">
        <x:v>101437000_41561</x:v>
      </x:c>
      <x:c r="C1748" s="18" t="str">
        <x:v>【沪村小电】张施小区大门处快充站</x:v>
      </x:c>
      <x:c r="D1748" s="37" t="str">
        <x:v>2</x:v>
      </x:c>
      <x:c r="E1748" s="37" t="str">
        <x:v>0</x:v>
      </x:c>
      <x:c r="F1748" s="37" t="str">
        <x:v>42</x:v>
      </x:c>
      <x:c r="G1748" s="37" t="str">
        <x:v>846.43</x:v>
      </x:c>
      <x:c r="H1748" s="37" t="str">
        <x:v>0.00</x:v>
      </x:c>
      <x:c r="I1748" s="37" t="str">
        <x:v>374.29</x:v>
      </x:c>
      <x:c r="J1748" s="37" t="str">
        <x:v>0.00</x:v>
      </x:c>
      <x:c r="K1748" s="37" t="str">
        <x:v>472.14</x:v>
      </x:c>
      <x:c r="L1748" s="37" t="str">
        <x:v>1573</x:v>
      </x:c>
      <x:c r="M1748" s="29" t="str">
        <x:v>611.81</x:v>
      </x:c>
      <x:c r="N1748" s="29" t="str">
        <x:v>440.43</x:v>
      </x:c>
      <x:c r="O1748" s="29" t="str">
        <x:v>171.38</x:v>
      </x:c>
      <x:c r="P1748" s="18" t="str">
        <x:v>2026-07-12</x:v>
      </x:c>
      <x:c r="Q1748" s="36" t="n">
        <x:v>46215</x:v>
      </x:c>
    </x:row>
    <x:row r="1749">
      <x:c r="A1749" s="36" t="str">
        <x:v>2026-07-12</x:v>
      </x:c>
      <x:c r="B1749" s="18" t="str">
        <x:v>101437000_41563</x:v>
      </x:c>
      <x:c r="C1749" s="18" t="str">
        <x:v>【沪村小电】同心村快充站</x:v>
      </x:c>
      <x:c r="D1749" s="37" t="str">
        <x:v>4</x:v>
      </x:c>
      <x:c r="E1749" s="37" t="str">
        <x:v>0</x:v>
      </x:c>
      <x:c r="F1749" s="37" t="str">
        <x:v>41</x:v>
      </x:c>
      <x:c r="G1749" s="37" t="str">
        <x:v>882.75</x:v>
      </x:c>
      <x:c r="H1749" s="37" t="str">
        <x:v>0.00</x:v>
      </x:c>
      <x:c r="I1749" s="37" t="str">
        <x:v>565.22</x:v>
      </x:c>
      <x:c r="J1749" s="37" t="str">
        <x:v>0.00</x:v>
      </x:c>
      <x:c r="K1749" s="37" t="str">
        <x:v>317.53</x:v>
      </x:c>
      <x:c r="L1749" s="37" t="str">
        <x:v>1440</x:v>
      </x:c>
      <x:c r="M1749" s="29" t="str">
        <x:v>795.83</x:v>
      </x:c>
      <x:c r="N1749" s="29" t="str">
        <x:v>518.77</x:v>
      </x:c>
      <x:c r="O1749" s="29" t="str">
        <x:v>277.06</x:v>
      </x:c>
      <x:c r="P1749" s="18" t="str">
        <x:v>2026-07-12</x:v>
      </x:c>
      <x:c r="Q1749" s="36" t="n">
        <x:v>46215</x:v>
      </x:c>
    </x:row>
    <x:row r="1750">
      <x:c r="A1750" s="36" t="str">
        <x:v>2026-07-12</x:v>
      </x:c>
      <x:c r="B1750" s="18" t="str">
        <x:v>101437000_69629</x:v>
      </x:c>
      <x:c r="C1750" s="18" t="str">
        <x:v>【沪村小电】骏丰玲珑坊西苑充电站</x:v>
      </x:c>
      <x:c r="D1750" s="37" t="str">
        <x:v>2</x:v>
      </x:c>
      <x:c r="E1750" s="37" t="str">
        <x:v>0</x:v>
      </x:c>
      <x:c r="F1750" s="37" t="str">
        <x:v>53</x:v>
      </x:c>
      <x:c r="G1750" s="37" t="str">
        <x:v>1452.76</x:v>
      </x:c>
      <x:c r="H1750" s="37" t="str">
        <x:v>0.00</x:v>
      </x:c>
      <x:c r="I1750" s="37" t="str">
        <x:v>685.19</x:v>
      </x:c>
      <x:c r="J1750" s="37" t="str">
        <x:v>0.00</x:v>
      </x:c>
      <x:c r="K1750" s="37" t="str">
        <x:v>767.57</x:v>
      </x:c>
      <x:c r="L1750" s="37" t="str">
        <x:v>2558</x:v>
      </x:c>
      <x:c r="M1750" s="29" t="str">
        <x:v>1099.90</x:v>
      </x:c>
      <x:c r="N1750" s="29" t="str">
        <x:v>770.45</x:v>
      </x:c>
      <x:c r="O1750" s="29" t="str">
        <x:v>329.45</x:v>
      </x:c>
      <x:c r="P1750" s="18" t="str">
        <x:v>2026-07-12</x:v>
      </x:c>
      <x:c r="Q1750" s="36" t="n">
        <x:v>46215</x:v>
      </x:c>
    </x:row>
    <x:row r="1751">
      <x:c r="A1751" s="36" t="str">
        <x:v>2026-07-12</x:v>
      </x:c>
      <x:c r="B1751" s="18" t="str">
        <x:v>101437000_70547</x:v>
      </x:c>
      <x:c r="C1751" s="18" t="str">
        <x:v>【沪村小电】农建村初心馆党群服务中心充电站</x:v>
      </x:c>
      <x:c r="D1751" s="37" t="str">
        <x:v>4</x:v>
      </x:c>
      <x:c r="E1751" s="37" t="str">
        <x:v>0</x:v>
      </x:c>
      <x:c r="F1751" s="37" t="str">
        <x:v>24</x:v>
      </x:c>
      <x:c r="G1751" s="37" t="str">
        <x:v>529.53</x:v>
      </x:c>
      <x:c r="H1751" s="37" t="str">
        <x:v>0.00</x:v>
      </x:c>
      <x:c r="I1751" s="37" t="str">
        <x:v>293.54</x:v>
      </x:c>
      <x:c r="J1751" s="37" t="str">
        <x:v>0.00</x:v>
      </x:c>
      <x:c r="K1751" s="37" t="str">
        <x:v>235.99</x:v>
      </x:c>
      <x:c r="L1751" s="37" t="str">
        <x:v>908</x:v>
      </x:c>
      <x:c r="M1751" s="29" t="str">
        <x:v>497.02</x:v>
      </x:c>
      <x:c r="N1751" s="29" t="str">
        <x:v>295.75</x:v>
      </x:c>
      <x:c r="O1751" s="29" t="str">
        <x:v>201.27</x:v>
      </x:c>
      <x:c r="P1751" s="18" t="str">
        <x:v>2026-07-12</x:v>
      </x:c>
      <x:c r="Q1751" s="36" t="n">
        <x:v>46215</x:v>
      </x:c>
    </x:row>
    <x:row r="1752">
      <x:c r="A1752" s="36" t="str">
        <x:v>2026-07-12</x:v>
      </x:c>
      <x:c r="B1752" s="18" t="str">
        <x:v>101437000_70549</x:v>
      </x:c>
      <x:c r="C1752" s="18" t="str">
        <x:v>【沪村小电】学府路充电站</x:v>
      </x:c>
      <x:c r="D1752" s="37" t="str">
        <x:v>2</x:v>
      </x:c>
      <x:c r="E1752" s="37" t="str">
        <x:v>0</x:v>
      </x:c>
      <x:c r="F1752" s="37" t="str">
        <x:v>12</x:v>
      </x:c>
      <x:c r="G1752" s="37" t="str">
        <x:v>302.05</x:v>
      </x:c>
      <x:c r="H1752" s="37" t="str">
        <x:v>0.00</x:v>
      </x:c>
      <x:c r="I1752" s="37" t="str">
        <x:v>221.31</x:v>
      </x:c>
      <x:c r="J1752" s="37" t="str">
        <x:v>0.00</x:v>
      </x:c>
      <x:c r="K1752" s="37" t="str">
        <x:v>80.74</x:v>
      </x:c>
      <x:c r="L1752" s="37" t="str">
        <x:v>558</x:v>
      </x:c>
      <x:c r="M1752" s="29" t="str">
        <x:v>299.97</x:v>
      </x:c>
      <x:c r="N1752" s="29" t="str">
        <x:v>187.00</x:v>
      </x:c>
      <x:c r="O1752" s="29" t="str">
        <x:v>112.97</x:v>
      </x:c>
      <x:c r="P1752" s="18" t="str">
        <x:v>2026-07-12</x:v>
      </x:c>
      <x:c r="Q1752" s="36" t="n">
        <x:v>46215</x:v>
      </x:c>
    </x:row>
    <x:row r="1753">
      <x:c r="A1753" s="36" t="str">
        <x:v>2026-07-12</x:v>
      </x:c>
      <x:c r="B1753" s="18" t="str">
        <x:v>101437000_71059</x:v>
      </x:c>
      <x:c r="C1753" s="18" t="str">
        <x:v>【沪村小电】宝乐汇商业广场站</x:v>
      </x:c>
      <x:c r="D1753" s="37" t="str">
        <x:v>4</x:v>
      </x:c>
      <x:c r="E1753" s="37" t="str">
        <x:v>0</x:v>
      </x:c>
      <x:c r="F1753" s="37" t="str">
        <x:v>17</x:v>
      </x:c>
      <x:c r="G1753" s="37" t="str">
        <x:v>422.30</x:v>
      </x:c>
      <x:c r="H1753" s="37" t="str">
        <x:v>0.00</x:v>
      </x:c>
      <x:c r="I1753" s="37" t="str">
        <x:v>304.30</x:v>
      </x:c>
      <x:c r="J1753" s="37" t="str">
        <x:v>0.00</x:v>
      </x:c>
      <x:c r="K1753" s="37" t="str">
        <x:v>118.01</x:v>
      </x:c>
      <x:c r="L1753" s="37" t="str">
        <x:v>544</x:v>
      </x:c>
      <x:c r="M1753" s="29" t="str">
        <x:v>430.26</x:v>
      </x:c>
      <x:c r="N1753" s="29" t="str">
        <x:v>328.18</x:v>
      </x:c>
      <x:c r="O1753" s="29" t="str">
        <x:v>102.08</x:v>
      </x:c>
      <x:c r="P1753" s="18" t="str">
        <x:v>2026-07-12</x:v>
      </x:c>
      <x:c r="Q1753" s="36" t="n">
        <x:v>46215</x:v>
      </x:c>
    </x:row>
    <x:row r="1754">
      <x:c r="A1754" s="36" t="str">
        <x:v>2026-07-12</x:v>
      </x:c>
      <x:c r="B1754" s="18" t="str">
        <x:v>101437000_72541</x:v>
      </x:c>
      <x:c r="C1754" s="18" t="str">
        <x:v>【沪村小电】九干路1174弄充电站</x:v>
      </x:c>
      <x:c r="D1754" s="37" t="str">
        <x:v>2</x:v>
      </x:c>
      <x:c r="E1754" s="37" t="str">
        <x:v>0</x:v>
      </x:c>
      <x:c r="F1754" s="37" t="str">
        <x:v>25</x:v>
      </x:c>
      <x:c r="G1754" s="37" t="str">
        <x:v>188.01</x:v>
      </x:c>
      <x:c r="H1754" s="37" t="str">
        <x:v>0.00</x:v>
      </x:c>
      <x:c r="I1754" s="37" t="str">
        <x:v>64.07</x:v>
      </x:c>
      <x:c r="J1754" s="37" t="str">
        <x:v>0.00</x:v>
      </x:c>
      <x:c r="K1754" s="37" t="str">
        <x:v>123.95</x:v>
      </x:c>
      <x:c r="L1754" s="37" t="str">
        <x:v>283</x:v>
      </x:c>
      <x:c r="M1754" s="29" t="str">
        <x:v>155.23</x:v>
      </x:c>
      <x:c r="N1754" s="29" t="str">
        <x:v>91.35</x:v>
      </x:c>
      <x:c r="O1754" s="29" t="str">
        <x:v>63.88</x:v>
      </x:c>
      <x:c r="P1754" s="18" t="str">
        <x:v>2026-07-12</x:v>
      </x:c>
      <x:c r="Q1754" s="36" t="n">
        <x:v>46215</x:v>
      </x:c>
    </x:row>
    <x:row r="1755">
      <x:c r="A1755" s="36" t="str">
        <x:v>2026-07-12</x:v>
      </x:c>
      <x:c r="B1755" s="18" t="str">
        <x:v>101437000_72543</x:v>
      </x:c>
      <x:c r="C1755" s="18" t="str">
        <x:v>【沪村小电】叶家中心村小区充电站</x:v>
      </x:c>
      <x:c r="D1755" s="37" t="str">
        <x:v>2</x:v>
      </x:c>
      <x:c r="E1755" s="37" t="str">
        <x:v>0</x:v>
      </x:c>
      <x:c r="F1755" s="37" t="str">
        <x:v>39</x:v>
      </x:c>
      <x:c r="G1755" s="37" t="str">
        <x:v>784.09</x:v>
      </x:c>
      <x:c r="H1755" s="37" t="str">
        <x:v>0.00</x:v>
      </x:c>
      <x:c r="I1755" s="37" t="str">
        <x:v>398.17</x:v>
      </x:c>
      <x:c r="J1755" s="37" t="str">
        <x:v>0.00</x:v>
      </x:c>
      <x:c r="K1755" s="37" t="str">
        <x:v>385.92</x:v>
      </x:c>
      <x:c r="L1755" s="37" t="str">
        <x:v>1608</x:v>
      </x:c>
      <x:c r="M1755" s="29" t="str">
        <x:v>645.67</x:v>
      </x:c>
      <x:c r="N1755" s="29" t="str">
        <x:v>425.50</x:v>
      </x:c>
      <x:c r="O1755" s="29" t="str">
        <x:v>220.17</x:v>
      </x:c>
      <x:c r="P1755" s="18" t="str">
        <x:v>2026-07-12</x:v>
      </x:c>
      <x:c r="Q1755" s="36" t="n">
        <x:v>46215</x:v>
      </x:c>
    </x:row>
    <x:row r="1756">
      <x:c r="A1756" s="36" t="str">
        <x:v>2026-07-12</x:v>
      </x:c>
      <x:c r="B1756" s="18" t="str">
        <x:v>101437000_72937</x:v>
      </x:c>
      <x:c r="C1756" s="18" t="str">
        <x:v>【沪村小电】佘北家园茸腾苑充电站</x:v>
      </x:c>
      <x:c r="D1756" s="37" t="str">
        <x:v>4</x:v>
      </x:c>
      <x:c r="E1756" s="37" t="str">
        <x:v>0</x:v>
      </x:c>
      <x:c r="F1756" s="37" t="str">
        <x:v>11</x:v>
      </x:c>
      <x:c r="G1756" s="37" t="str">
        <x:v>273.36</x:v>
      </x:c>
      <x:c r="H1756" s="37" t="str">
        <x:v>0.00</x:v>
      </x:c>
      <x:c r="I1756" s="37" t="str">
        <x:v>273.36</x:v>
      </x:c>
      <x:c r="J1756" s="37" t="str">
        <x:v>0.00</x:v>
      </x:c>
      <x:c r="K1756" s="37" t="str">
        <x:v>0.00</x:v>
      </x:c>
      <x:c r="L1756" s="37" t="str">
        <x:v>360</x:v>
      </x:c>
      <x:c r="M1756" s="29" t="str">
        <x:v>283.21</x:v>
      </x:c>
      <x:c r="N1756" s="29" t="str">
        <x:v>194.09</x:v>
      </x:c>
      <x:c r="O1756" s="29" t="str">
        <x:v>89.12</x:v>
      </x:c>
      <x:c r="P1756" s="18" t="str">
        <x:v>2026-07-12</x:v>
      </x:c>
      <x:c r="Q1756" s="36" t="n">
        <x:v>46215</x:v>
      </x:c>
    </x:row>
    <x:row r="1757">
      <x:c r="A1757" s="36" t="str">
        <x:v>2026-07-12</x:v>
      </x:c>
      <x:c r="B1757" s="18" t="str">
        <x:v>101437000_74223</x:v>
      </x:c>
      <x:c r="C1757" s="18" t="str">
        <x:v>【沪村小电】中兴村委会充电站</x:v>
      </x:c>
      <x:c r="D1757" s="37" t="str">
        <x:v>2</x:v>
      </x:c>
      <x:c r="E1757" s="37" t="str">
        <x:v>0</x:v>
      </x:c>
      <x:c r="F1757" s="37" t="str">
        <x:v>18</x:v>
      </x:c>
      <x:c r="G1757" s="37" t="str">
        <x:v>395.01</x:v>
      </x:c>
      <x:c r="H1757" s="37" t="str">
        <x:v>0.00</x:v>
      </x:c>
      <x:c r="I1757" s="37" t="str">
        <x:v>200.91</x:v>
      </x:c>
      <x:c r="J1757" s="37" t="str">
        <x:v>0.00</x:v>
      </x:c>
      <x:c r="K1757" s="37" t="str">
        <x:v>194.10</x:v>
      </x:c>
      <x:c r="L1757" s="37" t="str">
        <x:v>541</x:v>
      </x:c>
      <x:c r="M1757" s="29" t="str">
        <x:v>330.01</x:v>
      </x:c>
      <x:c r="N1757" s="29" t="str">
        <x:v>214.47</x:v>
      </x:c>
      <x:c r="O1757" s="29" t="str">
        <x:v>115.54</x:v>
      </x:c>
      <x:c r="P1757" s="18" t="str">
        <x:v>2026-07-12</x:v>
      </x:c>
      <x:c r="Q1757" s="36" t="n">
        <x:v>46215</x:v>
      </x:c>
    </x:row>
    <x:row r="1758">
      <x:c r="A1758" s="36" t="str">
        <x:v>2026-07-12</x:v>
      </x:c>
      <x:c r="B1758" s="18" t="str">
        <x:v>101437000_74801</x:v>
      </x:c>
      <x:c r="C1758" s="18" t="str">
        <x:v>【沪村小电】申良花园充电站</x:v>
      </x:c>
      <x:c r="D1758" s="37" t="str">
        <x:v>4</x:v>
      </x:c>
      <x:c r="E1758" s="37" t="str">
        <x:v>0</x:v>
      </x:c>
      <x:c r="F1758" s="37" t="str">
        <x:v>3</x:v>
      </x:c>
      <x:c r="G1758" s="37" t="str">
        <x:v>89.87</x:v>
      </x:c>
      <x:c r="H1758" s="37" t="str">
        <x:v>0.00</x:v>
      </x:c>
      <x:c r="I1758" s="37" t="str">
        <x:v>59.21</x:v>
      </x:c>
      <x:c r="J1758" s="37" t="str">
        <x:v>0.00</x:v>
      </x:c>
      <x:c r="K1758" s="37" t="str">
        <x:v>30.66</x:v>
      </x:c>
      <x:c r="L1758" s="37" t="str">
        <x:v>125</x:v>
      </x:c>
      <x:c r="M1758" s="29" t="str">
        <x:v>90.46</x:v>
      </x:c>
      <x:c r="N1758" s="29" t="str">
        <x:v>53.38</x:v>
      </x:c>
      <x:c r="O1758" s="29" t="str">
        <x:v>37.08</x:v>
      </x:c>
      <x:c r="P1758" s="18" t="str">
        <x:v>2026-07-12</x:v>
      </x:c>
      <x:c r="Q1758" s="36" t="n">
        <x:v>46215</x:v>
      </x:c>
    </x:row>
    <x:row r="1759">
      <x:c r="A1759" s="36" t="str">
        <x:v>2026-07-12</x:v>
      </x:c>
      <x:c r="B1759" s="18" t="str">
        <x:v>101437000_74931</x:v>
      </x:c>
      <x:c r="C1759" s="18" t="str">
        <x:v>【沪村小电】枫雅南居充电站</x:v>
      </x:c>
      <x:c r="D1759" s="37" t="str">
        <x:v>2</x:v>
      </x:c>
      <x:c r="E1759" s="37" t="str">
        <x:v>0</x:v>
      </x:c>
      <x:c r="F1759" s="37" t="str">
        <x:v>30</x:v>
      </x:c>
      <x:c r="G1759" s="37" t="str">
        <x:v>877.38</x:v>
      </x:c>
      <x:c r="H1759" s="37" t="str">
        <x:v>0.00</x:v>
      </x:c>
      <x:c r="I1759" s="37" t="str">
        <x:v>460.08</x:v>
      </x:c>
      <x:c r="J1759" s="37" t="str">
        <x:v>0.00</x:v>
      </x:c>
      <x:c r="K1759" s="37" t="str">
        <x:v>417.30</x:v>
      </x:c>
      <x:c r="L1759" s="37" t="str">
        <x:v>1313</x:v>
      </x:c>
      <x:c r="M1759" s="29" t="str">
        <x:v>607.60</x:v>
      </x:c>
      <x:c r="N1759" s="29" t="str">
        <x:v>400.81</x:v>
      </x:c>
      <x:c r="O1759" s="29" t="str">
        <x:v>206.79</x:v>
      </x:c>
      <x:c r="P1759" s="18" t="str">
        <x:v>2026-07-12</x:v>
      </x:c>
      <x:c r="Q1759" s="36" t="n">
        <x:v>46215</x:v>
      </x:c>
    </x:row>
    <x:row r="1760">
      <x:c r="A1760" s="36" t="str">
        <x:v>2026-07-12</x:v>
      </x:c>
      <x:c r="B1760" s="18" t="str">
        <x:v>101437000_75901</x:v>
      </x:c>
      <x:c r="C1760" s="18" t="str">
        <x:v>【沪村小电】金悦学府</x:v>
      </x:c>
      <x:c r="D1760" s="37" t="str">
        <x:v>2</x:v>
      </x:c>
      <x:c r="E1760" s="37" t="str">
        <x:v>0</x:v>
      </x:c>
      <x:c r="F1760" s="37" t="str">
        <x:v>31</x:v>
      </x:c>
      <x:c r="G1760" s="37" t="str">
        <x:v>778.89</x:v>
      </x:c>
      <x:c r="H1760" s="37" t="str">
        <x:v>0.00</x:v>
      </x:c>
      <x:c r="I1760" s="37" t="str">
        <x:v>449.52</x:v>
      </x:c>
      <x:c r="J1760" s="37" t="str">
        <x:v>0.00</x:v>
      </x:c>
      <x:c r="K1760" s="37" t="str">
        <x:v>329.37</x:v>
      </x:c>
      <x:c r="L1760" s="37" t="str">
        <x:v>1079</x:v>
      </x:c>
      <x:c r="M1760" s="29" t="str">
        <x:v>609.55</x:v>
      </x:c>
      <x:c r="N1760" s="29" t="str">
        <x:v>367.28</x:v>
      </x:c>
      <x:c r="O1760" s="29" t="str">
        <x:v>242.27</x:v>
      </x:c>
      <x:c r="P1760" s="18" t="str">
        <x:v>2026-07-12</x:v>
      </x:c>
      <x:c r="Q1760" s="36" t="n">
        <x:v>46215</x:v>
      </x:c>
    </x:row>
    <x:row r="1761">
      <x:c r="A1761" s="36" t="str">
        <x:v>2026-07-12</x:v>
      </x:c>
      <x:c r="B1761" s="18" t="str">
        <x:v>101437000_76091</x:v>
      </x:c>
      <x:c r="C1761" s="18" t="str">
        <x:v>【沪村小电】恒信家园充电站</x:v>
      </x:c>
      <x:c r="D1761" s="37" t="str">
        <x:v>2</x:v>
      </x:c>
      <x:c r="E1761" s="37" t="str">
        <x:v>0</x:v>
      </x:c>
      <x:c r="F1761" s="37" t="str">
        <x:v>41</x:v>
      </x:c>
      <x:c r="G1761" s="37" t="str">
        <x:v>782.49</x:v>
      </x:c>
      <x:c r="H1761" s="37" t="str">
        <x:v>0.00</x:v>
      </x:c>
      <x:c r="I1761" s="37" t="str">
        <x:v>425.61</x:v>
      </x:c>
      <x:c r="J1761" s="37" t="str">
        <x:v>0.00</x:v>
      </x:c>
      <x:c r="K1761" s="37" t="str">
        <x:v>356.88</x:v>
      </x:c>
      <x:c r="L1761" s="37" t="str">
        <x:v>1196</x:v>
      </x:c>
      <x:c r="M1761" s="29" t="str">
        <x:v>744.81</x:v>
      </x:c>
      <x:c r="N1761" s="29" t="str">
        <x:v>434.23</x:v>
      </x:c>
      <x:c r="O1761" s="29" t="str">
        <x:v>310.58</x:v>
      </x:c>
      <x:c r="P1761" s="18" t="str">
        <x:v>2026-07-12</x:v>
      </x:c>
      <x:c r="Q1761" s="36" t="n">
        <x:v>46215</x:v>
      </x:c>
    </x:row>
    <x:row r="1762">
      <x:c r="A1762" s="36" t="str">
        <x:v>2026-07-12</x:v>
      </x:c>
      <x:c r="B1762" s="18" t="str">
        <x:v>101437000_76417</x:v>
      </x:c>
      <x:c r="C1762" s="18" t="str">
        <x:v>【沪村小电】新春一组充电站</x:v>
      </x:c>
      <x:c r="D1762" s="37" t="str">
        <x:v>2</x:v>
      </x:c>
      <x:c r="E1762" s="37" t="str">
        <x:v>0</x:v>
      </x:c>
      <x:c r="F1762" s="37" t="str">
        <x:v>18</x:v>
      </x:c>
      <x:c r="G1762" s="37" t="str">
        <x:v>508.50</x:v>
      </x:c>
      <x:c r="H1762" s="37" t="str">
        <x:v>0.00</x:v>
      </x:c>
      <x:c r="I1762" s="37" t="str">
        <x:v>133.86</x:v>
      </x:c>
      <x:c r="J1762" s="37" t="str">
        <x:v>0.00</x:v>
      </x:c>
      <x:c r="K1762" s="37" t="str">
        <x:v>374.64</x:v>
      </x:c>
      <x:c r="L1762" s="37" t="str">
        <x:v>739</x:v>
      </x:c>
      <x:c r="M1762" s="29" t="str">
        <x:v>350.57</x:v>
      </x:c>
      <x:c r="N1762" s="29" t="str">
        <x:v>233.66</x:v>
      </x:c>
      <x:c r="O1762" s="29" t="str">
        <x:v>116.91</x:v>
      </x:c>
      <x:c r="P1762" s="18" t="str">
        <x:v>2026-07-12</x:v>
      </x:c>
      <x:c r="Q1762" s="36" t="n">
        <x:v>46215</x:v>
      </x:c>
    </x:row>
    <x:row r="1763">
      <x:c r="A1763" s="36" t="str">
        <x:v>2026-07-12</x:v>
      </x:c>
      <x:c r="B1763" s="18" t="str">
        <x:v>101437000_78235</x:v>
      </x:c>
      <x:c r="C1763" s="18" t="str">
        <x:v>【沪村小电】欣秋苑充电站</x:v>
      </x:c>
      <x:c r="D1763" s="37" t="str">
        <x:v>4</x:v>
      </x:c>
      <x:c r="E1763" s="37" t="str">
        <x:v>0</x:v>
      </x:c>
      <x:c r="F1763" s="37" t="str">
        <x:v>10</x:v>
      </x:c>
      <x:c r="G1763" s="37" t="str">
        <x:v>308.07</x:v>
      </x:c>
      <x:c r="H1763" s="37" t="str">
        <x:v>0.00</x:v>
      </x:c>
      <x:c r="I1763" s="37" t="str">
        <x:v>136.12</x:v>
      </x:c>
      <x:c r="J1763" s="37" t="str">
        <x:v>0.00</x:v>
      </x:c>
      <x:c r="K1763" s="37" t="str">
        <x:v>171.95</x:v>
      </x:c>
      <x:c r="L1763" s="37" t="str">
        <x:v>492</x:v>
      </x:c>
      <x:c r="M1763" s="29" t="str">
        <x:v>273.88</x:v>
      </x:c>
      <x:c r="N1763" s="29" t="str">
        <x:v>160.26</x:v>
      </x:c>
      <x:c r="O1763" s="29" t="str">
        <x:v>113.62</x:v>
      </x:c>
      <x:c r="P1763" s="18" t="str">
        <x:v>2026-07-12</x:v>
      </x:c>
      <x:c r="Q1763" s="36" t="n">
        <x:v>46215</x:v>
      </x:c>
    </x:row>
    <x:row r="1764">
      <x:c r="A1764" s="36" t="str">
        <x:v>2026-07-12</x:v>
      </x:c>
      <x:c r="B1764" s="18" t="str">
        <x:v>101437000_78237</x:v>
      </x:c>
      <x:c r="C1764" s="18" t="str">
        <x:v>【沪村小电】奉馨苑西门小区内北侧充电站</x:v>
      </x:c>
      <x:c r="D1764" s="37" t="str">
        <x:v>2</x:v>
      </x:c>
      <x:c r="E1764" s="37" t="str">
        <x:v>0</x:v>
      </x:c>
      <x:c r="F1764" s="37" t="str">
        <x:v>22</x:v>
      </x:c>
      <x:c r="G1764" s="37" t="str">
        <x:v>673.02</x:v>
      </x:c>
      <x:c r="H1764" s="37" t="str">
        <x:v>32.89</x:v>
      </x:c>
      <x:c r="I1764" s="37" t="str">
        <x:v>146.39</x:v>
      </x:c>
      <x:c r="J1764" s="37" t="str">
        <x:v>253.69</x:v>
      </x:c>
      <x:c r="K1764" s="37" t="str">
        <x:v>240.05</x:v>
      </x:c>
      <x:c r="L1764" s="37" t="str">
        <x:v>865</x:v>
      </x:c>
      <x:c r="M1764" s="29" t="str">
        <x:v>641.53</x:v>
      </x:c>
      <x:c r="N1764" s="29" t="str">
        <x:v>483.40</x:v>
      </x:c>
      <x:c r="O1764" s="29" t="str">
        <x:v>158.13</x:v>
      </x:c>
      <x:c r="P1764" s="18" t="str">
        <x:v>2026-07-12</x:v>
      </x:c>
      <x:c r="Q1764" s="36" t="n">
        <x:v>46215</x:v>
      </x:c>
    </x:row>
    <x:row r="1765">
      <x:c r="A1765" s="36" t="str">
        <x:v>2026-07-12</x:v>
      </x:c>
      <x:c r="B1765" s="18" t="str">
        <x:v>101437000_78239</x:v>
      </x:c>
      <x:c r="C1765" s="18" t="str">
        <x:v>【沪村小电】恒大佘山首府东门充电站</x:v>
      </x:c>
      <x:c r="D1765" s="37" t="str">
        <x:v>2</x:v>
      </x:c>
      <x:c r="E1765" s="37" t="str">
        <x:v>0</x:v>
      </x:c>
      <x:c r="F1765" s="37" t="str">
        <x:v>25</x:v>
      </x:c>
      <x:c r="G1765" s="37" t="str">
        <x:v>659.33</x:v>
      </x:c>
      <x:c r="H1765" s="37" t="str">
        <x:v>0.00</x:v>
      </x:c>
      <x:c r="I1765" s="37" t="str">
        <x:v>444.19</x:v>
      </x:c>
      <x:c r="J1765" s="37" t="str">
        <x:v>0.00</x:v>
      </x:c>
      <x:c r="K1765" s="37" t="str">
        <x:v>215.14</x:v>
      </x:c>
      <x:c r="L1765" s="37" t="str">
        <x:v>826</x:v>
      </x:c>
      <x:c r="M1765" s="29" t="str">
        <x:v>606.72</x:v>
      </x:c>
      <x:c r="N1765" s="29" t="str">
        <x:v>394.98</x:v>
      </x:c>
      <x:c r="O1765" s="29" t="str">
        <x:v>211.74</x:v>
      </x:c>
      <x:c r="P1765" s="18" t="str">
        <x:v>2026-07-12</x:v>
      </x:c>
      <x:c r="Q1765" s="36" t="n">
        <x:v>46215</x:v>
      </x:c>
    </x:row>
    <x:row r="1766">
      <x:c r="A1766" s="36" t="str">
        <x:v>2026-07-12</x:v>
      </x:c>
      <x:c r="B1766" s="18" t="str">
        <x:v>101437000_80823</x:v>
      </x:c>
      <x:c r="C1766" s="18" t="str">
        <x:v>【沪村小电】上湖轩充电站</x:v>
      </x:c>
      <x:c r="D1766" s="37" t="str">
        <x:v>2</x:v>
      </x:c>
      <x:c r="E1766" s="37" t="str">
        <x:v>0</x:v>
      </x:c>
      <x:c r="F1766" s="37" t="str">
        <x:v>8</x:v>
      </x:c>
      <x:c r="G1766" s="37" t="str">
        <x:v>237.13</x:v>
      </x:c>
      <x:c r="H1766" s="37" t="str">
        <x:v>0.00</x:v>
      </x:c>
      <x:c r="I1766" s="37" t="str">
        <x:v>5.77</x:v>
      </x:c>
      <x:c r="J1766" s="37" t="str">
        <x:v>95.74</x:v>
      </x:c>
      <x:c r="K1766" s="37" t="str">
        <x:v>135.62</x:v>
      </x:c>
      <x:c r="L1766" s="37" t="str">
        <x:v>386</x:v>
      </x:c>
      <x:c r="M1766" s="29" t="str">
        <x:v>184.49</x:v>
      </x:c>
      <x:c r="N1766" s="29" t="str">
        <x:v>154.88</x:v>
      </x:c>
      <x:c r="O1766" s="29" t="str">
        <x:v>29.61</x:v>
      </x:c>
      <x:c r="P1766" s="18" t="str">
        <x:v>2026-07-12</x:v>
      </x:c>
      <x:c r="Q1766" s="36" t="n">
        <x:v>46215</x:v>
      </x:c>
    </x:row>
    <x:row r="1767">
      <x:c r="A1767" s="36" t="str">
        <x:v>2026-07-12</x:v>
      </x:c>
      <x:c r="B1767" s="18" t="str">
        <x:v>101437000_83019</x:v>
      </x:c>
      <x:c r="C1767" s="18" t="str">
        <x:v>【沪村小电】首创禧瑞云启东区充电站</x:v>
      </x:c>
      <x:c r="D1767" s="37" t="str">
        <x:v>2</x:v>
      </x:c>
      <x:c r="E1767" s="37" t="str">
        <x:v>0</x:v>
      </x:c>
      <x:c r="F1767" s="37" t="str">
        <x:v>14</x:v>
      </x:c>
      <x:c r="G1767" s="37" t="str">
        <x:v>345.85</x:v>
      </x:c>
      <x:c r="H1767" s="37" t="str">
        <x:v>0.00</x:v>
      </x:c>
      <x:c r="I1767" s="37" t="str">
        <x:v>219.30</x:v>
      </x:c>
      <x:c r="J1767" s="37" t="str">
        <x:v>0.00</x:v>
      </x:c>
      <x:c r="K1767" s="37" t="str">
        <x:v>126.55</x:v>
      </x:c>
      <x:c r="L1767" s="37" t="str">
        <x:v>457</x:v>
      </x:c>
      <x:c r="M1767" s="29" t="str">
        <x:v>351.51</x:v>
      </x:c>
      <x:c r="N1767" s="29" t="str">
        <x:v>202.52</x:v>
      </x:c>
      <x:c r="O1767" s="29" t="str">
        <x:v>148.99</x:v>
      </x:c>
      <x:c r="P1767" s="18" t="str">
        <x:v>2026-07-12</x:v>
      </x:c>
      <x:c r="Q1767" s="36" t="n">
        <x:v>46215</x:v>
      </x:c>
    </x:row>
    <x:row r="1768">
      <x:c r="A1768" s="36" t="str">
        <x:v>2026-07-12</x:v>
      </x:c>
      <x:c r="B1768" s="18" t="str">
        <x:v>101437000_83093</x:v>
      </x:c>
      <x:c r="C1768" s="18" t="str">
        <x:v>【沪村小电】金茂未来时光里</x:v>
      </x:c>
      <x:c r="D1768" s="37" t="str">
        <x:v>2</x:v>
      </x:c>
      <x:c r="E1768" s="37" t="str">
        <x:v>0</x:v>
      </x:c>
      <x:c r="F1768" s="37" t="str">
        <x:v>49</x:v>
      </x:c>
      <x:c r="G1768" s="37" t="str">
        <x:v>1668.45</x:v>
      </x:c>
      <x:c r="H1768" s="37" t="str">
        <x:v>0.00</x:v>
      </x:c>
      <x:c r="I1768" s="37" t="str">
        <x:v>917.53</x:v>
      </x:c>
      <x:c r="J1768" s="37" t="str">
        <x:v>0.00</x:v>
      </x:c>
      <x:c r="K1768" s="37" t="str">
        <x:v>750.92</x:v>
      </x:c>
      <x:c r="L1768" s="37" t="str">
        <x:v>1934</x:v>
      </x:c>
      <x:c r="M1768" s="29" t="str">
        <x:v>1152.30</x:v>
      </x:c>
      <x:c r="N1768" s="29" t="str">
        <x:v>774.14</x:v>
      </x:c>
      <x:c r="O1768" s="29" t="str">
        <x:v>378.16</x:v>
      </x:c>
      <x:c r="P1768" s="18" t="str">
        <x:v>2026-07-12</x:v>
      </x:c>
      <x:c r="Q1768" s="36" t="n">
        <x:v>46215</x:v>
      </x:c>
    </x:row>
    <x:row r="1769">
      <x:c r="A1769" s="36" t="str">
        <x:v>2026-07-12</x:v>
      </x:c>
      <x:c r="B1769" s="18" t="str">
        <x:v>101437000_83911</x:v>
      </x:c>
      <x:c r="C1769" s="18" t="str">
        <x:v>【沪村小电】金瀚园充电站</x:v>
      </x:c>
      <x:c r="D1769" s="37" t="str">
        <x:v>2</x:v>
      </x:c>
      <x:c r="E1769" s="37" t="str">
        <x:v>0</x:v>
      </x:c>
      <x:c r="F1769" s="37" t="str">
        <x:v>26</x:v>
      </x:c>
      <x:c r="G1769" s="37" t="str">
        <x:v>672.83</x:v>
      </x:c>
      <x:c r="H1769" s="37" t="str">
        <x:v>0.00</x:v>
      </x:c>
      <x:c r="I1769" s="37" t="str">
        <x:v>435.55</x:v>
      </x:c>
      <x:c r="J1769" s="37" t="str">
        <x:v>0.00</x:v>
      </x:c>
      <x:c r="K1769" s="37" t="str">
        <x:v>237.28</x:v>
      </x:c>
      <x:c r="L1769" s="37" t="str">
        <x:v>876</x:v>
      </x:c>
      <x:c r="M1769" s="29" t="str">
        <x:v>582.71</x:v>
      </x:c>
      <x:c r="N1769" s="29" t="str">
        <x:v>397.04</x:v>
      </x:c>
      <x:c r="O1769" s="29" t="str">
        <x:v>185.67</x:v>
      </x:c>
      <x:c r="P1769" s="18" t="str">
        <x:v>2026-07-12</x:v>
      </x:c>
      <x:c r="Q1769" s="36" t="n">
        <x:v>46215</x:v>
      </x:c>
    </x:row>
    <x:row r="1770">
      <x:c r="A1770" s="36" t="str">
        <x:v>2026-07-12</x:v>
      </x:c>
      <x:c r="B1770" s="18" t="str">
        <x:v>101437000_83913</x:v>
      </x:c>
      <x:c r="C1770" s="18" t="str">
        <x:v>【沪村小电】新黎村充电站</x:v>
      </x:c>
      <x:c r="D1770" s="37" t="str">
        <x:v>2</x:v>
      </x:c>
      <x:c r="E1770" s="37" t="str">
        <x:v>0</x:v>
      </x:c>
      <x:c r="F1770" s="37" t="str">
        <x:v>25</x:v>
      </x:c>
      <x:c r="G1770" s="37" t="str">
        <x:v>683.49</x:v>
      </x:c>
      <x:c r="H1770" s="37" t="str">
        <x:v>0.00</x:v>
      </x:c>
      <x:c r="I1770" s="37" t="str">
        <x:v>463.29</x:v>
      </x:c>
      <x:c r="J1770" s="37" t="str">
        <x:v>0.00</x:v>
      </x:c>
      <x:c r="K1770" s="37" t="str">
        <x:v>220.19</x:v>
      </x:c>
      <x:c r="L1770" s="37" t="str">
        <x:v>916</x:v>
      </x:c>
      <x:c r="M1770" s="29" t="str">
        <x:v>583.92</x:v>
      </x:c>
      <x:c r="N1770" s="29" t="str">
        <x:v>410.41</x:v>
      </x:c>
      <x:c r="O1770" s="29" t="str">
        <x:v>173.51</x:v>
      </x:c>
      <x:c r="P1770" s="18" t="str">
        <x:v>2026-07-12</x:v>
      </x:c>
      <x:c r="Q1770" s="36" t="n">
        <x:v>46215</x:v>
      </x:c>
    </x:row>
    <x:row r="1771">
      <x:c r="A1771" s="36" t="str">
        <x:v>2026-07-12</x:v>
      </x:c>
      <x:c r="B1771" s="18" t="str">
        <x:v>101437000_83915</x:v>
      </x:c>
      <x:c r="C1771" s="18" t="str">
        <x:v>【沪村小电】长泰西郊别墅充电站</x:v>
      </x:c>
      <x:c r="D1771" s="37" t="str">
        <x:v>2</x:v>
      </x:c>
      <x:c r="E1771" s="37" t="str">
        <x:v>0</x:v>
      </x:c>
      <x:c r="F1771" s="37" t="str">
        <x:v>20</x:v>
      </x:c>
      <x:c r="G1771" s="37" t="str">
        <x:v>588.04</x:v>
      </x:c>
      <x:c r="H1771" s="37" t="str">
        <x:v>0.00</x:v>
      </x:c>
      <x:c r="I1771" s="37" t="str">
        <x:v>427.63</x:v>
      </x:c>
      <x:c r="J1771" s="37" t="str">
        <x:v>0.00</x:v>
      </x:c>
      <x:c r="K1771" s="37" t="str">
        <x:v>160.41</x:v>
      </x:c>
      <x:c r="L1771" s="37" t="str">
        <x:v>894</x:v>
      </x:c>
      <x:c r="M1771" s="29" t="str">
        <x:v>546.68</x:v>
      </x:c>
      <x:c r="N1771" s="29" t="str">
        <x:v>362.94</x:v>
      </x:c>
      <x:c r="O1771" s="29" t="str">
        <x:v>183.74</x:v>
      </x:c>
      <x:c r="P1771" s="18" t="str">
        <x:v>2026-07-12</x:v>
      </x:c>
      <x:c r="Q1771" s="36" t="n">
        <x:v>46215</x:v>
      </x:c>
    </x:row>
    <x:row r="1772">
      <x:c r="A1772" s="36" t="str">
        <x:v>2026-07-12</x:v>
      </x:c>
      <x:c r="B1772" s="18" t="str">
        <x:v>101437000_83917</x:v>
      </x:c>
      <x:c r="C1772" s="18" t="str">
        <x:v>【沪村小电】旭新华庭充电站</x:v>
      </x:c>
      <x:c r="D1772" s="37" t="str">
        <x:v>4</x:v>
      </x:c>
      <x:c r="E1772" s="37" t="str">
        <x:v>0</x:v>
      </x:c>
      <x:c r="F1772" s="37" t="str">
        <x:v>24</x:v>
      </x:c>
      <x:c r="G1772" s="37" t="str">
        <x:v>545.80</x:v>
      </x:c>
      <x:c r="H1772" s="37" t="str">
        <x:v>0.00</x:v>
      </x:c>
      <x:c r="I1772" s="37" t="str">
        <x:v>390.11</x:v>
      </x:c>
      <x:c r="J1772" s="37" t="str">
        <x:v>0.00</x:v>
      </x:c>
      <x:c r="K1772" s="37" t="str">
        <x:v>155.70</x:v>
      </x:c>
      <x:c r="L1772" s="37" t="str">
        <x:v>837</x:v>
      </x:c>
      <x:c r="M1772" s="29" t="str">
        <x:v>565.78</x:v>
      </x:c>
      <x:c r="N1772" s="29" t="str">
        <x:v>334.58</x:v>
      </x:c>
      <x:c r="O1772" s="29" t="str">
        <x:v>231.20</x:v>
      </x:c>
      <x:c r="P1772" s="18" t="str">
        <x:v>2026-07-12</x:v>
      </x:c>
      <x:c r="Q1772" s="36" t="n">
        <x:v>46215</x:v>
      </x:c>
    </x:row>
    <x:row r="1773">
      <x:c r="A1773" s="36" t="str">
        <x:v>2026-07-12</x:v>
      </x:c>
      <x:c r="B1773" s="18" t="str">
        <x:v>101437000_83919</x:v>
      </x:c>
      <x:c r="C1773" s="18" t="str">
        <x:v>【沪村小电】浦锦名仕嘉园充电站</x:v>
      </x:c>
      <x:c r="D1773" s="37" t="str">
        <x:v>4</x:v>
      </x:c>
      <x:c r="E1773" s="37" t="str">
        <x:v>0</x:v>
      </x:c>
      <x:c r="F1773" s="37" t="str">
        <x:v>31</x:v>
      </x:c>
      <x:c r="G1773" s="37" t="str">
        <x:v>849.55</x:v>
      </x:c>
      <x:c r="H1773" s="37" t="str">
        <x:v>0.00</x:v>
      </x:c>
      <x:c r="I1773" s="37" t="str">
        <x:v>663.69</x:v>
      </x:c>
      <x:c r="J1773" s="37" t="str">
        <x:v>0.00</x:v>
      </x:c>
      <x:c r="K1773" s="37" t="str">
        <x:v>185.86</x:v>
      </x:c>
      <x:c r="L1773" s="37" t="str">
        <x:v>1307</x:v>
      </x:c>
      <x:c r="M1773" s="29" t="str">
        <x:v>870.09</x:v>
      </x:c>
      <x:c r="N1773" s="29" t="str">
        <x:v>540.01</x:v>
      </x:c>
      <x:c r="O1773" s="29" t="str">
        <x:v>330.08</x:v>
      </x:c>
      <x:c r="P1773" s="18" t="str">
        <x:v>2026-07-12</x:v>
      </x:c>
      <x:c r="Q1773" s="36" t="n">
        <x:v>46215</x:v>
      </x:c>
    </x:row>
    <x:row r="1774">
      <x:c r="A1774" s="36" t="str">
        <x:v>2026-07-12</x:v>
      </x:c>
      <x:c r="B1774" s="18" t="str">
        <x:v>101437000_83921</x:v>
      </x:c>
      <x:c r="C1774" s="18" t="str">
        <x:v>【沪村小电】上海联怡枇杷乐园充电站（地库）</x:v>
      </x:c>
      <x:c r="D1774" s="37" t="str">
        <x:v>8</x:v>
      </x:c>
      <x:c r="E1774" s="37" t="str">
        <x:v>0</x:v>
      </x:c>
      <x:c r="F1774" s="37" t="str">
        <x:v>10</x:v>
      </x:c>
      <x:c r="G1774" s="37" t="str">
        <x:v>185.02</x:v>
      </x:c>
      <x:c r="H1774" s="37" t="str">
        <x:v>0.00</x:v>
      </x:c>
      <x:c r="I1774" s="37" t="str">
        <x:v>69.16</x:v>
      </x:c>
      <x:c r="J1774" s="37" t="str">
        <x:v>0.00</x:v>
      </x:c>
      <x:c r="K1774" s="37" t="str">
        <x:v>115.85</x:v>
      </x:c>
      <x:c r="L1774" s="37" t="str">
        <x:v>297</x:v>
      </x:c>
      <x:c r="M1774" s="29" t="str">
        <x:v>136.67</x:v>
      </x:c>
      <x:c r="N1774" s="29" t="str">
        <x:v>115.53</x:v>
      </x:c>
      <x:c r="O1774" s="29" t="str">
        <x:v>21.14</x:v>
      </x:c>
      <x:c r="P1774" s="18" t="str">
        <x:v>2026-07-12</x:v>
      </x:c>
      <x:c r="Q1774" s="36" t="n">
        <x:v>46215</x:v>
      </x:c>
    </x:row>
    <x:row r="1775">
      <x:c r="A1775" s="36" t="str">
        <x:v>2026-07-12</x:v>
      </x:c>
      <x:c r="B1775" s="18" t="str">
        <x:v>101437000_83923</x:v>
      </x:c>
      <x:c r="C1775" s="18" t="str">
        <x:v>【沪村小电】明珠新苑充电站</x:v>
      </x:c>
      <x:c r="D1775" s="37" t="str">
        <x:v>2</x:v>
      </x:c>
      <x:c r="E1775" s="37" t="str">
        <x:v>0</x:v>
      </x:c>
      <x:c r="F1775" s="37" t="str">
        <x:v>29</x:v>
      </x:c>
      <x:c r="G1775" s="37" t="str">
        <x:v>793.02</x:v>
      </x:c>
      <x:c r="H1775" s="37" t="str">
        <x:v>0.00</x:v>
      </x:c>
      <x:c r="I1775" s="37" t="str">
        <x:v>514.86</x:v>
      </x:c>
      <x:c r="J1775" s="37" t="str">
        <x:v>0.00</x:v>
      </x:c>
      <x:c r="K1775" s="37" t="str">
        <x:v>278.16</x:v>
      </x:c>
      <x:c r="L1775" s="37" t="str">
        <x:v>925</x:v>
      </x:c>
      <x:c r="M1775" s="29" t="str">
        <x:v>739.32</x:v>
      </x:c>
      <x:c r="N1775" s="29" t="str">
        <x:v>468.47</x:v>
      </x:c>
      <x:c r="O1775" s="29" t="str">
        <x:v>270.85</x:v>
      </x:c>
      <x:c r="P1775" s="18" t="str">
        <x:v>2026-07-12</x:v>
      </x:c>
      <x:c r="Q1775" s="36" t="n">
        <x:v>46215</x:v>
      </x:c>
    </x:row>
    <x:row r="1776">
      <x:c r="A1776" s="36" t="str">
        <x:v>2026-07-12</x:v>
      </x:c>
      <x:c r="B1776" s="18" t="str">
        <x:v>101437000_84289</x:v>
      </x:c>
      <x:c r="C1776" s="18" t="str">
        <x:v>【沪村小电】铁建芳华苑充电站</x:v>
      </x:c>
      <x:c r="D1776" s="37" t="str">
        <x:v>4</x:v>
      </x:c>
      <x:c r="E1776" s="37" t="str">
        <x:v>0</x:v>
      </x:c>
      <x:c r="F1776" s="37" t="str">
        <x:v>32</x:v>
      </x:c>
      <x:c r="G1776" s="37" t="str">
        <x:v>717.10</x:v>
      </x:c>
      <x:c r="H1776" s="37" t="str">
        <x:v>0.00</x:v>
      </x:c>
      <x:c r="I1776" s="37" t="str">
        <x:v>387.39</x:v>
      </x:c>
      <x:c r="J1776" s="37" t="str">
        <x:v>0.00</x:v>
      </x:c>
      <x:c r="K1776" s="37" t="str">
        <x:v>329.72</x:v>
      </x:c>
      <x:c r="L1776" s="37" t="str">
        <x:v>1053</x:v>
      </x:c>
      <x:c r="M1776" s="29" t="str">
        <x:v>667.75</x:v>
      </x:c>
      <x:c r="N1776" s="29" t="str">
        <x:v>397.04</x:v>
      </x:c>
      <x:c r="O1776" s="29" t="str">
        <x:v>270.71</x:v>
      </x:c>
      <x:c r="P1776" s="18" t="str">
        <x:v>2026-07-12</x:v>
      </x:c>
      <x:c r="Q1776" s="36" t="n">
        <x:v>46215</x:v>
      </x:c>
    </x:row>
    <x:row r="1777">
      <x:c r="A1777" s="36" t="str">
        <x:v>2026-07-12</x:v>
      </x:c>
      <x:c r="B1777" s="18" t="str">
        <x:v>101437000_86379</x:v>
      </x:c>
      <x:c r="C1777" s="18" t="str">
        <x:v>【沪村小电】新宝社区充电站</x:v>
      </x:c>
      <x:c r="D1777" s="37" t="str">
        <x:v>4</x:v>
      </x:c>
      <x:c r="E1777" s="37" t="str">
        <x:v>0</x:v>
      </x:c>
      <x:c r="F1777" s="37" t="str">
        <x:v>11</x:v>
      </x:c>
      <x:c r="G1777" s="37" t="str">
        <x:v>282.00</x:v>
      </x:c>
      <x:c r="H1777" s="37" t="str">
        <x:v>0.00</x:v>
      </x:c>
      <x:c r="I1777" s="37" t="str">
        <x:v>122.06</x:v>
      </x:c>
      <x:c r="J1777" s="37" t="str">
        <x:v>0.00</x:v>
      </x:c>
      <x:c r="K1777" s="37" t="str">
        <x:v>159.94</x:v>
      </x:c>
      <x:c r="L1777" s="37" t="str">
        <x:v>397</x:v>
      </x:c>
      <x:c r="M1777" s="29" t="str">
        <x:v>202.21</x:v>
      </x:c>
      <x:c r="N1777" s="29" t="str">
        <x:v>145.86</x:v>
      </x:c>
      <x:c r="O1777" s="29" t="str">
        <x:v>56.35</x:v>
      </x:c>
      <x:c r="P1777" s="18" t="str">
        <x:v>2026-07-12</x:v>
      </x:c>
      <x:c r="Q1777" s="36" t="n">
        <x:v>46215</x:v>
      </x:c>
    </x:row>
    <x:row r="1778">
      <x:c r="A1778" s="36" t="str">
        <x:v>2026-07-12</x:v>
      </x:c>
      <x:c r="B1778" s="18" t="str">
        <x:v>101437000_89441</x:v>
      </x:c>
      <x:c r="C1778" s="18" t="str">
        <x:v>【沪村小电】首创禧瑞云启西区充电站</x:v>
      </x:c>
      <x:c r="D1778" s="37" t="str">
        <x:v>2</x:v>
      </x:c>
      <x:c r="E1778" s="37" t="str">
        <x:v>0</x:v>
      </x:c>
      <x:c r="F1778" s="37" t="str">
        <x:v>19</x:v>
      </x:c>
      <x:c r="G1778" s="37" t="str">
        <x:v>435.21</x:v>
      </x:c>
      <x:c r="H1778" s="37" t="str">
        <x:v>0.00</x:v>
      </x:c>
      <x:c r="I1778" s="37" t="str">
        <x:v>323.07</x:v>
      </x:c>
      <x:c r="J1778" s="37" t="str">
        <x:v>0.00</x:v>
      </x:c>
      <x:c r="K1778" s="37" t="str">
        <x:v>112.15</x:v>
      </x:c>
      <x:c r="L1778" s="37" t="str">
        <x:v>571</x:v>
      </x:c>
      <x:c r="M1778" s="29" t="str">
        <x:v>444.31</x:v>
      </x:c>
      <x:c r="N1778" s="29" t="str">
        <x:v>270.88</x:v>
      </x:c>
      <x:c r="O1778" s="29" t="str">
        <x:v>173.43</x:v>
      </x:c>
      <x:c r="P1778" s="18" t="str">
        <x:v>2026-07-12</x:v>
      </x:c>
      <x:c r="Q1778" s="36" t="n">
        <x:v>46215</x:v>
      </x:c>
    </x:row>
    <x:row r="1779">
      <x:c r="A1779" s="36" t="str">
        <x:v>2026-07-12</x:v>
      </x:c>
      <x:c r="B1779" s="18" t="str">
        <x:v>101437000_89443</x:v>
      </x:c>
      <x:c r="C1779" s="18" t="str">
        <x:v>【沪村小电】玉兰清苑二期充电站</x:v>
      </x:c>
      <x:c r="D1779" s="37" t="str">
        <x:v>2</x:v>
      </x:c>
      <x:c r="E1779" s="37" t="str">
        <x:v>0</x:v>
      </x:c>
      <x:c r="F1779" s="37" t="str">
        <x:v>23</x:v>
      </x:c>
      <x:c r="G1779" s="37" t="str">
        <x:v>429.67</x:v>
      </x:c>
      <x:c r="H1779" s="37" t="str">
        <x:v>0.00</x:v>
      </x:c>
      <x:c r="I1779" s="37" t="str">
        <x:v>367.28</x:v>
      </x:c>
      <x:c r="J1779" s="37" t="str">
        <x:v>0.00</x:v>
      </x:c>
      <x:c r="K1779" s="37" t="str">
        <x:v>62.39</x:v>
      </x:c>
      <x:c r="L1779" s="37" t="str">
        <x:v>602</x:v>
      </x:c>
      <x:c r="M1779" s="29" t="str">
        <x:v>418.51</x:v>
      </x:c>
      <x:c r="N1779" s="29" t="str">
        <x:v>283.85</x:v>
      </x:c>
      <x:c r="O1779" s="29" t="str">
        <x:v>134.66</x:v>
      </x:c>
      <x:c r="P1779" s="18" t="str">
        <x:v>2026-07-12</x:v>
      </x:c>
      <x:c r="Q1779" s="36" t="n">
        <x:v>46215</x:v>
      </x:c>
    </x:row>
    <x:row r="1780">
      <x:c r="A1780" s="36" t="str">
        <x:v>2026-07-12</x:v>
      </x:c>
      <x:c r="B1780" s="18" t="str">
        <x:v>101437000_93115</x:v>
      </x:c>
      <x:c r="C1780" s="18" t="str">
        <x:v>【沪村小电】新南家园西北门</x:v>
      </x:c>
      <x:c r="D1780" s="37" t="str">
        <x:v>2</x:v>
      </x:c>
      <x:c r="E1780" s="37" t="str">
        <x:v>0</x:v>
      </x:c>
      <x:c r="F1780" s="37" t="str">
        <x:v>13</x:v>
      </x:c>
      <x:c r="G1780" s="37" t="str">
        <x:v>268.60</x:v>
      </x:c>
      <x:c r="H1780" s="37" t="str">
        <x:v>0.00</x:v>
      </x:c>
      <x:c r="I1780" s="37" t="str">
        <x:v>130.52</x:v>
      </x:c>
      <x:c r="J1780" s="37" t="str">
        <x:v>0.00</x:v>
      </x:c>
      <x:c r="K1780" s="37" t="str">
        <x:v>138.08</x:v>
      </x:c>
      <x:c r="L1780" s="37" t="str">
        <x:v>449</x:v>
      </x:c>
      <x:c r="M1780" s="29" t="str">
        <x:v>243.30</x:v>
      </x:c>
      <x:c r="N1780" s="29" t="str">
        <x:v>143.75</x:v>
      </x:c>
      <x:c r="O1780" s="29" t="str">
        <x:v>99.55</x:v>
      </x:c>
      <x:c r="P1780" s="18" t="str">
        <x:v>2026-07-12</x:v>
      </x:c>
      <x:c r="Q1780" s="36" t="n">
        <x:v>46215</x:v>
      </x:c>
    </x:row>
    <x:row r="1781">
      <x:c r="A1781" s="36" t="str">
        <x:v>2026-07-12</x:v>
      </x:c>
      <x:c r="B1781" s="18" t="str">
        <x:v>101437000_94649</x:v>
      </x:c>
      <x:c r="C1781" s="18" t="str">
        <x:v>【沪村小电】浪琴水岸花园</x:v>
      </x:c>
      <x:c r="D1781" s="37" t="str">
        <x:v>4</x:v>
      </x:c>
      <x:c r="E1781" s="37" t="str">
        <x:v>0</x:v>
      </x:c>
      <x:c r="F1781" s="37" t="str">
        <x:v>48</x:v>
      </x:c>
      <x:c r="G1781" s="37" t="str">
        <x:v>572.04</x:v>
      </x:c>
      <x:c r="H1781" s="37" t="str">
        <x:v>0.00</x:v>
      </x:c>
      <x:c r="I1781" s="37" t="str">
        <x:v>424.81</x:v>
      </x:c>
      <x:c r="J1781" s="37" t="str">
        <x:v>0.00</x:v>
      </x:c>
      <x:c r="K1781" s="37" t="str">
        <x:v>147.23</x:v>
      </x:c>
      <x:c r="L1781" s="37" t="str">
        <x:v>867</x:v>
      </x:c>
      <x:c r="M1781" s="29" t="str">
        <x:v>502.36</x:v>
      </x:c>
      <x:c r="N1781" s="29" t="str">
        <x:v>370.83</x:v>
      </x:c>
      <x:c r="O1781" s="29" t="str">
        <x:v>131.53</x:v>
      </x:c>
      <x:c r="P1781" s="18" t="str">
        <x:v>2026-07-12</x:v>
      </x:c>
      <x:c r="Q1781" s="36" t="n">
        <x:v>46215</x:v>
      </x:c>
    </x:row>
    <x:row r="1782">
      <x:c r="A1782" s="36" t="str">
        <x:v>2026-07-12</x:v>
      </x:c>
      <x:c r="B1782" s="18" t="str">
        <x:v>101437000_95077</x:v>
      </x:c>
      <x:c r="C1782" s="18" t="str">
        <x:v>【沪村小电】民乐城惠益绿苑255弄充电站</x:v>
      </x:c>
      <x:c r="D1782" s="37" t="str">
        <x:v>2</x:v>
      </x:c>
      <x:c r="E1782" s="37" t="str">
        <x:v>0</x:v>
      </x:c>
      <x:c r="F1782" s="37" t="str">
        <x:v>12</x:v>
      </x:c>
      <x:c r="G1782" s="37" t="str">
        <x:v>275.90</x:v>
      </x:c>
      <x:c r="H1782" s="37" t="str">
        <x:v>0.00</x:v>
      </x:c>
      <x:c r="I1782" s="37" t="str">
        <x:v>208.09</x:v>
      </x:c>
      <x:c r="J1782" s="37" t="str">
        <x:v>0.00</x:v>
      </x:c>
      <x:c r="K1782" s="37" t="str">
        <x:v>67.81</x:v>
      </x:c>
      <x:c r="L1782" s="37" t="str">
        <x:v>456</x:v>
      </x:c>
      <x:c r="M1782" s="29" t="str">
        <x:v>264.46</x:v>
      </x:c>
      <x:c r="N1782" s="29" t="str">
        <x:v>172.85</x:v>
      </x:c>
      <x:c r="O1782" s="29" t="str">
        <x:v>91.61</x:v>
      </x:c>
      <x:c r="P1782" s="18" t="str">
        <x:v>2026-07-12</x:v>
      </x:c>
      <x:c r="Q1782" s="36" t="n">
        <x:v>46215</x:v>
      </x:c>
    </x:row>
    <x:row r="1783">
      <x:c r="A1783" s="36" t="str">
        <x:v>2026-07-12</x:v>
      </x:c>
      <x:c r="B1783" s="18" t="str">
        <x:v>101437000_95079</x:v>
      </x:c>
      <x:c r="C1783" s="18" t="str">
        <x:v>【沪村小电】民乐城惠益绿苑东苑充电站</x:v>
      </x:c>
      <x:c r="D1783" s="37" t="str">
        <x:v>2</x:v>
      </x:c>
      <x:c r="E1783" s="37" t="str">
        <x:v>0</x:v>
      </x:c>
      <x:c r="F1783" s="37" t="str">
        <x:v>13</x:v>
      </x:c>
      <x:c r="G1783" s="37" t="str">
        <x:v>319.78</x:v>
      </x:c>
      <x:c r="H1783" s="37" t="str">
        <x:v>0.00</x:v>
      </x:c>
      <x:c r="I1783" s="37" t="str">
        <x:v>178.55</x:v>
      </x:c>
      <x:c r="J1783" s="37" t="str">
        <x:v>0.00</x:v>
      </x:c>
      <x:c r="K1783" s="37" t="str">
        <x:v>141.24</x:v>
      </x:c>
      <x:c r="L1783" s="37" t="str">
        <x:v>422</x:v>
      </x:c>
      <x:c r="M1783" s="29" t="str">
        <x:v>262.33</x:v>
      </x:c>
      <x:c r="N1783" s="29" t="str">
        <x:v>179.03</x:v>
      </x:c>
      <x:c r="O1783" s="29" t="str">
        <x:v>83.30</x:v>
      </x:c>
      <x:c r="P1783" s="18" t="str">
        <x:v>2026-07-12</x:v>
      </x:c>
      <x:c r="Q1783" s="36" t="n">
        <x:v>46215</x:v>
      </x:c>
    </x:row>
    <x:row r="1784">
      <x:c r="A1784" s="36" t="str">
        <x:v>2026-07-12</x:v>
      </x:c>
      <x:c r="B1784" s="18" t="str">
        <x:v>101437000_95081</x:v>
      </x:c>
      <x:c r="C1784" s="18" t="str">
        <x:v>【沪村小电】民乐城惠益绿苑西苑充电站</x:v>
      </x:c>
      <x:c r="D1784" s="37" t="str">
        <x:v>2</x:v>
      </x:c>
      <x:c r="E1784" s="37" t="str">
        <x:v>0</x:v>
      </x:c>
      <x:c r="F1784" s="37" t="str">
        <x:v>8</x:v>
      </x:c>
      <x:c r="G1784" s="37" t="str">
        <x:v>172.31</x:v>
      </x:c>
      <x:c r="H1784" s="37" t="str">
        <x:v>0.00</x:v>
      </x:c>
      <x:c r="I1784" s="37" t="str">
        <x:v>98.19</x:v>
      </x:c>
      <x:c r="J1784" s="37" t="str">
        <x:v>0.00</x:v>
      </x:c>
      <x:c r="K1784" s="37" t="str">
        <x:v>74.12</x:v>
      </x:c>
      <x:c r="L1784" s="37" t="str">
        <x:v>241</x:v>
      </x:c>
      <x:c r="M1784" s="29" t="str">
        <x:v>130.84</x:v>
      </x:c>
      <x:c r="N1784" s="29" t="str">
        <x:v>97.14</x:v>
      </x:c>
      <x:c r="O1784" s="29" t="str">
        <x:v>33.70</x:v>
      </x:c>
      <x:c r="P1784" s="18" t="str">
        <x:v>2026-07-12</x:v>
      </x:c>
      <x:c r="Q1784" s="36" t="n">
        <x:v>46215</x:v>
      </x:c>
    </x:row>
    <x:row r="1785">
      <x:c r="A1785" s="36" t="str">
        <x:v>2026-07-12</x:v>
      </x:c>
      <x:c r="B1785" s="18" t="str">
        <x:v>101437000_95941</x:v>
      </x:c>
      <x:c r="C1785" s="18" t="str">
        <x:v>【沪村小电】惠诚雅苑</x:v>
      </x:c>
      <x:c r="D1785" s="37" t="str">
        <x:v>4</x:v>
      </x:c>
      <x:c r="E1785" s="37" t="str">
        <x:v>0</x:v>
      </x:c>
      <x:c r="F1785" s="37" t="str">
        <x:v>29</x:v>
      </x:c>
      <x:c r="G1785" s="37" t="str">
        <x:v>822.07</x:v>
      </x:c>
      <x:c r="H1785" s="37" t="str">
        <x:v>0.00</x:v>
      </x:c>
      <x:c r="I1785" s="37" t="str">
        <x:v>312.07</x:v>
      </x:c>
      <x:c r="J1785" s="37" t="str">
        <x:v>0.00</x:v>
      </x:c>
      <x:c r="K1785" s="37" t="str">
        <x:v>510.01</x:v>
      </x:c>
      <x:c r="L1785" s="37" t="str">
        <x:v>1260</x:v>
      </x:c>
      <x:c r="M1785" s="29" t="str">
        <x:v>520.78</x:v>
      </x:c>
      <x:c r="N1785" s="29" t="str">
        <x:v>342.22</x:v>
      </x:c>
      <x:c r="O1785" s="29" t="str">
        <x:v>178.56</x:v>
      </x:c>
      <x:c r="P1785" s="18" t="str">
        <x:v>2026-07-12</x:v>
      </x:c>
      <x:c r="Q1785" s="36" t="n">
        <x:v>46215</x:v>
      </x:c>
    </x:row>
    <x:row r="1786">
      <x:c r="A1786" s="36" t="str">
        <x:v>2026-07-12</x:v>
      </x:c>
      <x:c r="B1786" s="18" t="str">
        <x:v>101437000_96401</x:v>
      </x:c>
      <x:c r="C1786" s="18" t="str">
        <x:v>【沪村小电】上海联怡枇杷乐园地面站</x:v>
      </x:c>
      <x:c r="D1786" s="37" t="str">
        <x:v>2</x:v>
      </x:c>
      <x:c r="E1786" s="37" t="str">
        <x:v>0</x:v>
      </x:c>
      <x:c r="F1786" s="37" t="str">
        <x:v>9</x:v>
      </x:c>
      <x:c r="G1786" s="37" t="str">
        <x:v>267.65</x:v>
      </x:c>
      <x:c r="H1786" s="37" t="str">
        <x:v>0.00</x:v>
      </x:c>
      <x:c r="I1786" s="37" t="str">
        <x:v>197.80</x:v>
      </x:c>
      <x:c r="J1786" s="37" t="str">
        <x:v>0.00</x:v>
      </x:c>
      <x:c r="K1786" s="37" t="str">
        <x:v>69.84</x:v>
      </x:c>
      <x:c r="L1786" s="37" t="str">
        <x:v>354</x:v>
      </x:c>
      <x:c r="M1786" s="29" t="str">
        <x:v>277.48</x:v>
      </x:c>
      <x:c r="N1786" s="29" t="str">
        <x:v>210.15</x:v>
      </x:c>
      <x:c r="O1786" s="29" t="str">
        <x:v>67.33</x:v>
      </x:c>
      <x:c r="P1786" s="18" t="str">
        <x:v>2026-07-12</x:v>
      </x:c>
      <x:c r="Q1786" s="36" t="n">
        <x:v>46215</x:v>
      </x:c>
    </x:row>
    <x:row r="1787">
      <x:c r="A1787" s="36" t="str">
        <x:v>2026-07-12</x:v>
      </x:c>
      <x:c r="B1787" s="18" t="str">
        <x:v>101437000_96719</x:v>
      </x:c>
      <x:c r="C1787" s="18" t="str">
        <x:v>【沪村小电】四达路220弄充电站</x:v>
      </x:c>
      <x:c r="D1787" s="37" t="str">
        <x:v>2</x:v>
      </x:c>
      <x:c r="E1787" s="37" t="str">
        <x:v>0</x:v>
      </x:c>
      <x:c r="F1787" s="37" t="str">
        <x:v>7</x:v>
      </x:c>
      <x:c r="G1787" s="37" t="str">
        <x:v>163.75</x:v>
      </x:c>
      <x:c r="H1787" s="37" t="str">
        <x:v>0.00</x:v>
      </x:c>
      <x:c r="I1787" s="37" t="str">
        <x:v>163.75</x:v>
      </x:c>
      <x:c r="J1787" s="37" t="str">
        <x:v>0.00</x:v>
      </x:c>
      <x:c r="K1787" s="37" t="str">
        <x:v>0.00</x:v>
      </x:c>
      <x:c r="L1787" s="37" t="str">
        <x:v>236</x:v>
      </x:c>
      <x:c r="M1787" s="29" t="str">
        <x:v>172.17</x:v>
      </x:c>
      <x:c r="N1787" s="29" t="str">
        <x:v>116.25</x:v>
      </x:c>
      <x:c r="O1787" s="29" t="str">
        <x:v>55.92</x:v>
      </x:c>
      <x:c r="P1787" s="18" t="str">
        <x:v>2026-07-12</x:v>
      </x:c>
      <x:c r="Q1787" s="36" t="n">
        <x:v>46215</x:v>
      </x:c>
    </x:row>
    <x:row r="1788">
      <x:c r="A1788" s="36" t="str">
        <x:v>2026-07-12</x:v>
      </x:c>
      <x:c r="B1788" s="18" t="str">
        <x:v>101437000_97421</x:v>
      </x:c>
      <x:c r="C1788" s="18" t="str">
        <x:v>【沪村小电】玉兰清苑二期（小区外）充电站</x:v>
      </x:c>
      <x:c r="D1788" s="37" t="str">
        <x:v>4</x:v>
      </x:c>
      <x:c r="E1788" s="37" t="str">
        <x:v>0</x:v>
      </x:c>
      <x:c r="F1788" s="37" t="str">
        <x:v>53</x:v>
      </x:c>
      <x:c r="G1788" s="37" t="str">
        <x:v>1034.21</x:v>
      </x:c>
      <x:c r="H1788" s="37" t="str">
        <x:v>0.00</x:v>
      </x:c>
      <x:c r="I1788" s="37" t="str">
        <x:v>829.42</x:v>
      </x:c>
      <x:c r="J1788" s="37" t="str">
        <x:v>0.00</x:v>
      </x:c>
      <x:c r="K1788" s="37" t="str">
        <x:v>204.79</x:v>
      </x:c>
      <x:c r="L1788" s="37" t="str">
        <x:v>1755</x:v>
      </x:c>
      <x:c r="M1788" s="29" t="str">
        <x:v>1029.26</x:v>
      </x:c>
      <x:c r="N1788" s="29" t="str">
        <x:v>664.68</x:v>
      </x:c>
      <x:c r="O1788" s="29" t="str">
        <x:v>364.58</x:v>
      </x:c>
      <x:c r="P1788" s="18" t="str">
        <x:v>2026-07-12</x:v>
      </x:c>
      <x:c r="Q1788" s="36" t="n">
        <x:v>46215</x:v>
      </x:c>
    </x:row>
    <x:row r="1789">
      <x:c r="A1789" s="36" t="str">
        <x:v>2026-07-12</x:v>
      </x:c>
      <x:c r="B1789" s="18" t="str">
        <x:v>101437000_98013</x:v>
      </x:c>
      <x:c r="C1789" s="18" t="str">
        <x:v>【沪村小电】恒大滨江华府充电站</x:v>
      </x:c>
      <x:c r="D1789" s="37" t="str">
        <x:v>4</x:v>
      </x:c>
      <x:c r="E1789" s="37" t="str">
        <x:v>0</x:v>
      </x:c>
      <x:c r="F1789" s="37" t="str">
        <x:v>34</x:v>
      </x:c>
      <x:c r="G1789" s="37" t="str">
        <x:v>886.07</x:v>
      </x:c>
      <x:c r="H1789" s="37" t="str">
        <x:v>0.00</x:v>
      </x:c>
      <x:c r="I1789" s="37" t="str">
        <x:v>754.60</x:v>
      </x:c>
      <x:c r="J1789" s="37" t="str">
        <x:v>0.00</x:v>
      </x:c>
      <x:c r="K1789" s="37" t="str">
        <x:v>131.47</x:v>
      </x:c>
      <x:c r="L1789" s="37" t="str">
        <x:v>1245</x:v>
      </x:c>
      <x:c r="M1789" s="29" t="str">
        <x:v>915.72</x:v>
      </x:c>
      <x:c r="N1789" s="29" t="str">
        <x:v>739.62</x:v>
      </x:c>
      <x:c r="O1789" s="29" t="str">
        <x:v>176.10</x:v>
      </x:c>
      <x:c r="P1789" s="18" t="str">
        <x:v>2026-07-12</x:v>
      </x:c>
      <x:c r="Q1789" s="36" t="n">
        <x:v>46215</x:v>
      </x:c>
    </x:row>
    <x:row r="1790">
      <x:c r="A1790" s="36" t="str">
        <x:v>2026-07-12</x:v>
      </x:c>
      <x:c r="B1790" s="18" t="str">
        <x:v>101437000_98863</x:v>
      </x:c>
      <x:c r="C1790" s="18" t="str">
        <x:v>【沪村小电】欣菊苑充电站</x:v>
      </x:c>
      <x:c r="D1790" s="37" t="str">
        <x:v>4</x:v>
      </x:c>
      <x:c r="E1790" s="37" t="str">
        <x:v>0</x:v>
      </x:c>
      <x:c r="F1790" s="37" t="str">
        <x:v>7</x:v>
      </x:c>
      <x:c r="G1790" s="37" t="str">
        <x:v>151.49</x:v>
      </x:c>
      <x:c r="H1790" s="37" t="str">
        <x:v>0.00</x:v>
      </x:c>
      <x:c r="I1790" s="37" t="str">
        <x:v>133.87</x:v>
      </x:c>
      <x:c r="J1790" s="37" t="str">
        <x:v>0.00</x:v>
      </x:c>
      <x:c r="K1790" s="37" t="str">
        <x:v>17.62</x:v>
      </x:c>
      <x:c r="L1790" s="37" t="str">
        <x:v>263</x:v>
      </x:c>
      <x:c r="M1790" s="29" t="str">
        <x:v>166.52</x:v>
      </x:c>
      <x:c r="N1790" s="29" t="str">
        <x:v>101.58</x:v>
      </x:c>
      <x:c r="O1790" s="29" t="str">
        <x:v>64.94</x:v>
      </x:c>
      <x:c r="P1790" s="18" t="str">
        <x:v>2026-07-12</x:v>
      </x:c>
      <x:c r="Q1790" s="36" t="n">
        <x:v>46215</x:v>
      </x:c>
    </x:row>
    <x:row r="1791">
      <x:c r="A1791" s="36" t="str">
        <x:v>2026-07-12</x:v>
      </x:c>
      <x:c r="B1791" s="18" t="str">
        <x:v>101437000_98865</x:v>
      </x:c>
      <x:c r="C1791" s="18" t="str">
        <x:v>【沪村小电】欣松苑充电站</x:v>
      </x:c>
      <x:c r="D1791" s="37" t="str">
        <x:v>4</x:v>
      </x:c>
      <x:c r="E1791" s="37" t="str">
        <x:v>0</x:v>
      </x:c>
      <x:c r="F1791" s="37" t="str">
        <x:v>13</x:v>
      </x:c>
      <x:c r="G1791" s="37" t="str">
        <x:v>310.45</x:v>
      </x:c>
      <x:c r="H1791" s="37" t="str">
        <x:v>0.00</x:v>
      </x:c>
      <x:c r="I1791" s="37" t="str">
        <x:v>310.45</x:v>
      </x:c>
      <x:c r="J1791" s="37" t="str">
        <x:v>0.00</x:v>
      </x:c>
      <x:c r="K1791" s="37" t="str">
        <x:v>0.00</x:v>
      </x:c>
      <x:c r="L1791" s="37" t="str">
        <x:v>532</x:v>
      </x:c>
      <x:c r="M1791" s="29" t="str">
        <x:v>283.83</x:v>
      </x:c>
      <x:c r="N1791" s="29" t="str">
        <x:v>220.41</x:v>
      </x:c>
      <x:c r="O1791" s="29" t="str">
        <x:v>63.42</x:v>
      </x:c>
      <x:c r="P1791" s="18" t="str">
        <x:v>2026-07-12</x:v>
      </x:c>
      <x:c r="Q1791" s="36" t="n">
        <x:v>46215</x:v>
      </x:c>
    </x:row>
    <x:row r="1792">
      <x:c r="A1792" s="36" t="str">
        <x:v>2026-07-12</x:v>
      </x:c>
      <x:c r="B1792" s="18" t="str">
        <x:v>101437000_98867</x:v>
      </x:c>
      <x:c r="C1792" s="18" t="str">
        <x:v>【沪村小电】欣荷苑充电站</x:v>
      </x:c>
      <x:c r="D1792" s="37" t="str">
        <x:v>4</x:v>
      </x:c>
      <x:c r="E1792" s="37" t="str">
        <x:v>0</x:v>
      </x:c>
      <x:c r="F1792" s="37" t="str">
        <x:v>7</x:v>
      </x:c>
      <x:c r="G1792" s="37" t="str">
        <x:v>80.90</x:v>
      </x:c>
      <x:c r="H1792" s="37" t="str">
        <x:v>0.00</x:v>
      </x:c>
      <x:c r="I1792" s="37" t="str">
        <x:v>80.90</x:v>
      </x:c>
      <x:c r="J1792" s="37" t="str">
        <x:v>0.00</x:v>
      </x:c>
      <x:c r="K1792" s="37" t="str">
        <x:v>0.00</x:v>
      </x:c>
      <x:c r="L1792" s="37" t="str">
        <x:v>76</x:v>
      </x:c>
      <x:c r="M1792" s="29" t="str">
        <x:v>71.29</x:v>
      </x:c>
      <x:c r="N1792" s="29" t="str">
        <x:v>57.44</x:v>
      </x:c>
      <x:c r="O1792" s="29" t="str">
        <x:v>13.85</x:v>
      </x:c>
      <x:c r="P1792" s="18" t="str">
        <x:v>2026-07-12</x:v>
      </x:c>
      <x:c r="Q1792" s="36" t="n">
        <x:v>46215</x:v>
      </x:c>
    </x:row>
    <x:row r="1793">
      <x:c r="A1793" s="36" t="str">
        <x:v>2026-07-12</x:v>
      </x:c>
      <x:c r="B1793" s="18" t="str">
        <x:v>101437000_99885</x:v>
      </x:c>
      <x:c r="C1793" s="18" t="str">
        <x:v>【沪村小电】汇丰馨苑充电站</x:v>
      </x:c>
      <x:c r="D1793" s="37" t="str">
        <x:v>4</x:v>
      </x:c>
      <x:c r="E1793" s="37" t="str">
        <x:v>0</x:v>
      </x:c>
      <x:c r="F1793" s="37" t="str">
        <x:v>8</x:v>
      </x:c>
      <x:c r="G1793" s="37" t="str">
        <x:v>201.39</x:v>
      </x:c>
      <x:c r="H1793" s="37" t="str">
        <x:v>0.00</x:v>
      </x:c>
      <x:c r="I1793" s="37" t="str">
        <x:v>188.09</x:v>
      </x:c>
      <x:c r="J1793" s="37" t="str">
        <x:v>0.00</x:v>
      </x:c>
      <x:c r="K1793" s="37" t="str">
        <x:v>13.30</x:v>
      </x:c>
      <x:c r="L1793" s="37" t="str">
        <x:v>355</x:v>
      </x:c>
      <x:c r="M1793" s="29" t="str">
        <x:v>206.11</x:v>
      </x:c>
      <x:c r="N1793" s="29" t="str">
        <x:v>138.45</x:v>
      </x:c>
      <x:c r="O1793" s="29" t="str">
        <x:v>67.66</x:v>
      </x:c>
      <x:c r="P1793" s="18" t="str">
        <x:v>2026-07-12</x:v>
      </x:c>
      <x:c r="Q1793" s="36" t="n">
        <x:v>46215</x:v>
      </x:c>
    </x:row>
    <x:row r="1794">
      <x:c r="A1794" s="36" t="str">
        <x:v>2026-07-12</x:v>
      </x:c>
      <x:c r="B1794" s="18" t="str">
        <x:v>101437000_99889</x:v>
      </x:c>
      <x:c r="C1794" s="18" t="str">
        <x:v>【沪村小电】漕泾郊野公园</x:v>
      </x:c>
      <x:c r="D1794" s="37" t="str">
        <x:v>2</x:v>
      </x:c>
      <x:c r="E1794" s="37" t="str">
        <x:v>0</x:v>
      </x:c>
      <x:c r="F1794" s="37" t="str">
        <x:v>3</x:v>
      </x:c>
      <x:c r="G1794" s="37" t="str">
        <x:v>67.19</x:v>
      </x:c>
      <x:c r="H1794" s="37" t="str">
        <x:v>0.00</x:v>
      </x:c>
      <x:c r="I1794" s="37" t="str">
        <x:v>67.19</x:v>
      </x:c>
      <x:c r="J1794" s="37" t="str">
        <x:v>0.00</x:v>
      </x:c>
      <x:c r="K1794" s="37" t="str">
        <x:v>0.00</x:v>
      </x:c>
      <x:c r="L1794" s="37" t="str">
        <x:v>77</x:v>
      </x:c>
      <x:c r="M1794" s="29" t="str">
        <x:v>79.66</x:v>
      </x:c>
      <x:c r="N1794" s="29" t="str">
        <x:v>51.06</x:v>
      </x:c>
      <x:c r="O1794" s="29" t="str">
        <x:v>28.60</x:v>
      </x:c>
      <x:c r="P1794" s="18" t="str">
        <x:v>2026-07-12</x:v>
      </x:c>
      <x:c r="Q1794" s="36" t="n">
        <x:v>46215</x:v>
      </x:c>
    </x:row>
    <x:row r="1795">
      <x:c r="A1795" s="36" t="str">
        <x:v>2026-07-12</x:v>
      </x:c>
      <x:c r="B1795" s="18" t="str">
        <x:v>101437000_99891</x:v>
      </x:c>
      <x:c r="C1795" s="18" t="str">
        <x:v>【沪村小电】水韵紫城充电站</x:v>
      </x:c>
      <x:c r="D1795" s="37" t="str">
        <x:v>4</x:v>
      </x:c>
      <x:c r="E1795" s="37" t="str">
        <x:v>0</x:v>
      </x:c>
      <x:c r="F1795" s="37" t="str">
        <x:v>28</x:v>
      </x:c>
      <x:c r="G1795" s="37" t="str">
        <x:v>635.86</x:v>
      </x:c>
      <x:c r="H1795" s="37" t="str">
        <x:v>0.00</x:v>
      </x:c>
      <x:c r="I1795" s="37" t="str">
        <x:v>381.73</x:v>
      </x:c>
      <x:c r="J1795" s="37" t="str">
        <x:v>0.00</x:v>
      </x:c>
      <x:c r="K1795" s="37" t="str">
        <x:v>254.13</x:v>
      </x:c>
      <x:c r="L1795" s="37" t="str">
        <x:v>986</x:v>
      </x:c>
      <x:c r="M1795" s="29" t="str">
        <x:v>514.05</x:v>
      </x:c>
      <x:c r="N1795" s="29" t="str">
        <x:v>365.08</x:v>
      </x:c>
      <x:c r="O1795" s="29" t="str">
        <x:v>148.97</x:v>
      </x:c>
      <x:c r="P1795" s="18" t="str">
        <x:v>2026-07-12</x:v>
      </x:c>
      <x:c r="Q1795" s="36" t="n">
        <x:v>46215</x:v>
      </x:c>
    </x:row>
    <x:row r="1796">
      <x:c r="A1796" s="36" t="str">
        <x:v>2026-07-11</x:v>
      </x:c>
      <x:c r="B1796" s="18" t="str">
        <x:v>101437000_41561</x:v>
      </x:c>
      <x:c r="C1796" s="18" t="str">
        <x:v>【沪村小电】张施小区大门处快充站</x:v>
      </x:c>
      <x:c r="D1796" s="37" t="str">
        <x:v>2</x:v>
      </x:c>
      <x:c r="E1796" s="37" t="str">
        <x:v>0</x:v>
      </x:c>
      <x:c r="F1796" s="37" t="str">
        <x:v>53</x:v>
      </x:c>
      <x:c r="G1796" s="37" t="str">
        <x:v>1331.76</x:v>
      </x:c>
      <x:c r="H1796" s="37" t="str">
        <x:v>0.00</x:v>
      </x:c>
      <x:c r="I1796" s="37" t="str">
        <x:v>683.49</x:v>
      </x:c>
      <x:c r="J1796" s="37" t="str">
        <x:v>0.00</x:v>
      </x:c>
      <x:c r="K1796" s="37" t="str">
        <x:v>648.27</x:v>
      </x:c>
      <x:c r="L1796" s="37" t="str">
        <x:v>2440</x:v>
      </x:c>
      <x:c r="M1796" s="29" t="str">
        <x:v>1056.93</x:v>
      </x:c>
      <x:c r="N1796" s="29" t="str">
        <x:v>725.15</x:v>
      </x:c>
      <x:c r="O1796" s="29" t="str">
        <x:v>331.78</x:v>
      </x:c>
      <x:c r="P1796" s="18" t="str">
        <x:v>2026-07-11</x:v>
      </x:c>
      <x:c r="Q1796" s="36" t="n">
        <x:v>46214</x:v>
      </x:c>
    </x:row>
    <x:row r="1797">
      <x:c r="A1797" s="36" t="str">
        <x:v>2026-07-11</x:v>
      </x:c>
      <x:c r="B1797" s="18" t="str">
        <x:v>101437000_41563</x:v>
      </x:c>
      <x:c r="C1797" s="18" t="str">
        <x:v>【沪村小电】同心村快充站</x:v>
      </x:c>
      <x:c r="D1797" s="37" t="str">
        <x:v>4</x:v>
      </x:c>
      <x:c r="E1797" s="37" t="str">
        <x:v>0</x:v>
      </x:c>
      <x:c r="F1797" s="37" t="str">
        <x:v>53</x:v>
      </x:c>
      <x:c r="G1797" s="37" t="str">
        <x:v>1156.01</x:v>
      </x:c>
      <x:c r="H1797" s="37" t="str">
        <x:v>0.00</x:v>
      </x:c>
      <x:c r="I1797" s="37" t="str">
        <x:v>703.89</x:v>
      </x:c>
      <x:c r="J1797" s="37" t="str">
        <x:v>0.00</x:v>
      </x:c>
      <x:c r="K1797" s="37" t="str">
        <x:v>452.12</x:v>
      </x:c>
      <x:c r="L1797" s="37" t="str">
        <x:v>1954</x:v>
      </x:c>
      <x:c r="M1797" s="29" t="str">
        <x:v>1016.35</x:v>
      </x:c>
      <x:c r="N1797" s="29" t="str">
        <x:v>667.06</x:v>
      </x:c>
      <x:c r="O1797" s="29" t="str">
        <x:v>349.29</x:v>
      </x:c>
      <x:c r="P1797" s="18" t="str">
        <x:v>2026-07-11</x:v>
      </x:c>
      <x:c r="Q1797" s="36" t="n">
        <x:v>46214</x:v>
      </x:c>
    </x:row>
    <x:row r="1798">
      <x:c r="A1798" s="36" t="str">
        <x:v>2026-07-11</x:v>
      </x:c>
      <x:c r="B1798" s="18" t="str">
        <x:v>101437000_69629</x:v>
      </x:c>
      <x:c r="C1798" s="18" t="str">
        <x:v>【沪村小电】骏丰玲珑坊西苑充电站</x:v>
      </x:c>
      <x:c r="D1798" s="37" t="str">
        <x:v>2</x:v>
      </x:c>
      <x:c r="E1798" s="37" t="str">
        <x:v>0</x:v>
      </x:c>
      <x:c r="F1798" s="37" t="str">
        <x:v>74</x:v>
      </x:c>
      <x:c r="G1798" s="37" t="str">
        <x:v>1640.15</x:v>
      </x:c>
      <x:c r="H1798" s="37" t="str">
        <x:v>0.00</x:v>
      </x:c>
      <x:c r="I1798" s="37" t="str">
        <x:v>837.38</x:v>
      </x:c>
      <x:c r="J1798" s="37" t="str">
        <x:v>0.00</x:v>
      </x:c>
      <x:c r="K1798" s="37" t="str">
        <x:v>802.77</x:v>
      </x:c>
      <x:c r="L1798" s="37" t="str">
        <x:v>2929</x:v>
      </x:c>
      <x:c r="M1798" s="29" t="str">
        <x:v>1286.02</x:v>
      </x:c>
      <x:c r="N1798" s="29" t="str">
        <x:v>891.56</x:v>
      </x:c>
      <x:c r="O1798" s="29" t="str">
        <x:v>394.46</x:v>
      </x:c>
      <x:c r="P1798" s="18" t="str">
        <x:v>2026-07-11</x:v>
      </x:c>
      <x:c r="Q1798" s="36" t="n">
        <x:v>46214</x:v>
      </x:c>
    </x:row>
    <x:row r="1799">
      <x:c r="A1799" s="36" t="str">
        <x:v>2026-07-11</x:v>
      </x:c>
      <x:c r="B1799" s="18" t="str">
        <x:v>101437000_70547</x:v>
      </x:c>
      <x:c r="C1799" s="18" t="str">
        <x:v>【沪村小电】农建村初心馆党群服务中心充电站</x:v>
      </x:c>
      <x:c r="D1799" s="37" t="str">
        <x:v>4</x:v>
      </x:c>
      <x:c r="E1799" s="37" t="str">
        <x:v>0</x:v>
      </x:c>
      <x:c r="F1799" s="37" t="str">
        <x:v>42</x:v>
      </x:c>
      <x:c r="G1799" s="37" t="str">
        <x:v>631.67</x:v>
      </x:c>
      <x:c r="H1799" s="37" t="str">
        <x:v>0.00</x:v>
      </x:c>
      <x:c r="I1799" s="37" t="str">
        <x:v>454.12</x:v>
      </x:c>
      <x:c r="J1799" s="37" t="str">
        <x:v>0.00</x:v>
      </x:c>
      <x:c r="K1799" s="37" t="str">
        <x:v>177.55</x:v>
      </x:c>
      <x:c r="L1799" s="37" t="str">
        <x:v>1142</x:v>
      </x:c>
      <x:c r="M1799" s="29" t="str">
        <x:v>619.18</x:v>
      </x:c>
      <x:c r="N1799" s="29" t="str">
        <x:v>388.13</x:v>
      </x:c>
      <x:c r="O1799" s="29" t="str">
        <x:v>231.05</x:v>
      </x:c>
      <x:c r="P1799" s="18" t="str">
        <x:v>2026-07-11</x:v>
      </x:c>
      <x:c r="Q1799" s="36" t="n">
        <x:v>46214</x:v>
      </x:c>
    </x:row>
    <x:row r="1800">
      <x:c r="A1800" s="36" t="str">
        <x:v>2026-07-11</x:v>
      </x:c>
      <x:c r="B1800" s="18" t="str">
        <x:v>101437000_70549</x:v>
      </x:c>
      <x:c r="C1800" s="18" t="str">
        <x:v>【沪村小电】学府路充电站</x:v>
      </x:c>
      <x:c r="D1800" s="37" t="str">
        <x:v>2</x:v>
      </x:c>
      <x:c r="E1800" s="37" t="str">
        <x:v>0</x:v>
      </x:c>
      <x:c r="F1800" s="37" t="str">
        <x:v>9</x:v>
      </x:c>
      <x:c r="G1800" s="37" t="str">
        <x:v>200.26</x:v>
      </x:c>
      <x:c r="H1800" s="37" t="str">
        <x:v>0.00</x:v>
      </x:c>
      <x:c r="I1800" s="37" t="str">
        <x:v>177.99</x:v>
      </x:c>
      <x:c r="J1800" s="37" t="str">
        <x:v>0.00</x:v>
      </x:c>
      <x:c r="K1800" s="37" t="str">
        <x:v>22.27</x:v>
      </x:c>
      <x:c r="L1800" s="37" t="str">
        <x:v>360</x:v>
      </x:c>
      <x:c r="M1800" s="29" t="str">
        <x:v>216.92</x:v>
      </x:c>
      <x:c r="N1800" s="29" t="str">
        <x:v>134.61</x:v>
      </x:c>
      <x:c r="O1800" s="29" t="str">
        <x:v>82.31</x:v>
      </x:c>
      <x:c r="P1800" s="18" t="str">
        <x:v>2026-07-11</x:v>
      </x:c>
      <x:c r="Q1800" s="36" t="n">
        <x:v>46214</x:v>
      </x:c>
    </x:row>
    <x:row r="1801">
      <x:c r="A1801" s="36" t="str">
        <x:v>2026-07-11</x:v>
      </x:c>
      <x:c r="B1801" s="18" t="str">
        <x:v>101437000_71059</x:v>
      </x:c>
      <x:c r="C1801" s="18" t="str">
        <x:v>【沪村小电】宝乐汇商业广场站</x:v>
      </x:c>
      <x:c r="D1801" s="37" t="str">
        <x:v>4</x:v>
      </x:c>
      <x:c r="E1801" s="37" t="str">
        <x:v>0</x:v>
      </x:c>
      <x:c r="F1801" s="37" t="str">
        <x:v>13</x:v>
      </x:c>
      <x:c r="G1801" s="37" t="str">
        <x:v>278.81</x:v>
      </x:c>
      <x:c r="H1801" s="37" t="str">
        <x:v>0.00</x:v>
      </x:c>
      <x:c r="I1801" s="37" t="str">
        <x:v>134.95</x:v>
      </x:c>
      <x:c r="J1801" s="37" t="str">
        <x:v>0.00</x:v>
      </x:c>
      <x:c r="K1801" s="37" t="str">
        <x:v>143.86</x:v>
      </x:c>
      <x:c r="L1801" s="37" t="str">
        <x:v>484</x:v>
      </x:c>
      <x:c r="M1801" s="29" t="str">
        <x:v>249.26</x:v>
      </x:c>
      <x:c r="N1801" s="29" t="str">
        <x:v>187.63</x:v>
      </x:c>
      <x:c r="O1801" s="29" t="str">
        <x:v>61.63</x:v>
      </x:c>
      <x:c r="P1801" s="18" t="str">
        <x:v>2026-07-11</x:v>
      </x:c>
      <x:c r="Q1801" s="36" t="n">
        <x:v>46214</x:v>
      </x:c>
    </x:row>
    <x:row r="1802">
      <x:c r="A1802" s="36" t="str">
        <x:v>2026-07-11</x:v>
      </x:c>
      <x:c r="B1802" s="18" t="str">
        <x:v>101437000_72541</x:v>
      </x:c>
      <x:c r="C1802" s="18" t="str">
        <x:v>【沪村小电】九干路1174弄充电站</x:v>
      </x:c>
      <x:c r="D1802" s="37" t="str">
        <x:v>2</x:v>
      </x:c>
      <x:c r="E1802" s="37" t="str">
        <x:v>0</x:v>
      </x:c>
      <x:c r="F1802" s="37" t="str">
        <x:v>110</x:v>
      </x:c>
      <x:c r="G1802" s="37" t="str">
        <x:v>571.58</x:v>
      </x:c>
      <x:c r="H1802" s="37" t="str">
        <x:v>0.00</x:v>
      </x:c>
      <x:c r="I1802" s="37" t="str">
        <x:v>419.38</x:v>
      </x:c>
      <x:c r="J1802" s="37" t="str">
        <x:v>0.00</x:v>
      </x:c>
      <x:c r="K1802" s="37" t="str">
        <x:v>152.20</x:v>
      </x:c>
      <x:c r="L1802" s="37" t="str">
        <x:v>1118</x:v>
      </x:c>
      <x:c r="M1802" s="29" t="str">
        <x:v>516.31</x:v>
      </x:c>
      <x:c r="N1802" s="29" t="str">
        <x:v>354.06</x:v>
      </x:c>
      <x:c r="O1802" s="29" t="str">
        <x:v>162.25</x:v>
      </x:c>
      <x:c r="P1802" s="18" t="str">
        <x:v>2026-07-11</x:v>
      </x:c>
      <x:c r="Q1802" s="36" t="n">
        <x:v>46214</x:v>
      </x:c>
    </x:row>
    <x:row r="1803">
      <x:c r="A1803" s="36" t="str">
        <x:v>2026-07-11</x:v>
      </x:c>
      <x:c r="B1803" s="18" t="str">
        <x:v>101437000_72543</x:v>
      </x:c>
      <x:c r="C1803" s="18" t="str">
        <x:v>【沪村小电】叶家中心村小区充电站</x:v>
      </x:c>
      <x:c r="D1803" s="37" t="str">
        <x:v>2</x:v>
      </x:c>
      <x:c r="E1803" s="37" t="str">
        <x:v>0</x:v>
      </x:c>
      <x:c r="F1803" s="37" t="str">
        <x:v>45</x:v>
      </x:c>
      <x:c r="G1803" s="37" t="str">
        <x:v>995.24</x:v>
      </x:c>
      <x:c r="H1803" s="37" t="str">
        <x:v>0.00</x:v>
      </x:c>
      <x:c r="I1803" s="37" t="str">
        <x:v>549.52</x:v>
      </x:c>
      <x:c r="J1803" s="37" t="str">
        <x:v>0.00</x:v>
      </x:c>
      <x:c r="K1803" s="37" t="str">
        <x:v>445.72</x:v>
      </x:c>
      <x:c r="L1803" s="37" t="str">
        <x:v>1907</x:v>
      </x:c>
      <x:c r="M1803" s="29" t="str">
        <x:v>822.30</x:v>
      </x:c>
      <x:c r="N1803" s="29" t="str">
        <x:v>555.08</x:v>
      </x:c>
      <x:c r="O1803" s="29" t="str">
        <x:v>267.22</x:v>
      </x:c>
      <x:c r="P1803" s="18" t="str">
        <x:v>2026-07-11</x:v>
      </x:c>
      <x:c r="Q1803" s="36" t="n">
        <x:v>46214</x:v>
      </x:c>
    </x:row>
    <x:row r="1804">
      <x:c r="A1804" s="36" t="str">
        <x:v>2026-07-11</x:v>
      </x:c>
      <x:c r="B1804" s="18" t="str">
        <x:v>101437000_72937</x:v>
      </x:c>
      <x:c r="C1804" s="18" t="str">
        <x:v>【沪村小电】佘北家园茸腾苑充电站</x:v>
      </x:c>
      <x:c r="D1804" s="37" t="str">
        <x:v>4</x:v>
      </x:c>
      <x:c r="E1804" s="37" t="str">
        <x:v>0</x:v>
      </x:c>
      <x:c r="F1804" s="37" t="str">
        <x:v>14</x:v>
      </x:c>
      <x:c r="G1804" s="37" t="str">
        <x:v>411.59</x:v>
      </x:c>
      <x:c r="H1804" s="37" t="str">
        <x:v>0.00</x:v>
      </x:c>
      <x:c r="I1804" s="37" t="str">
        <x:v>411.59</x:v>
      </x:c>
      <x:c r="J1804" s="37" t="str">
        <x:v>0.00</x:v>
      </x:c>
      <x:c r="K1804" s="37" t="str">
        <x:v>0.00</x:v>
      </x:c>
      <x:c r="L1804" s="37" t="str">
        <x:v>595</x:v>
      </x:c>
      <x:c r="M1804" s="29" t="str">
        <x:v>425.78</x:v>
      </x:c>
      <x:c r="N1804" s="29" t="str">
        <x:v>292.20</x:v>
      </x:c>
      <x:c r="O1804" s="29" t="str">
        <x:v>133.58</x:v>
      </x:c>
      <x:c r="P1804" s="18" t="str">
        <x:v>2026-07-11</x:v>
      </x:c>
      <x:c r="Q1804" s="36" t="n">
        <x:v>46214</x:v>
      </x:c>
    </x:row>
    <x:row r="1805">
      <x:c r="A1805" s="36" t="str">
        <x:v>2026-07-11</x:v>
      </x:c>
      <x:c r="B1805" s="18" t="str">
        <x:v>101437000_74223</x:v>
      </x:c>
      <x:c r="C1805" s="18" t="str">
        <x:v>【沪村小电】中兴村委会充电站</x:v>
      </x:c>
      <x:c r="D1805" s="37" t="str">
        <x:v>2</x:v>
      </x:c>
      <x:c r="E1805" s="37" t="str">
        <x:v>0</x:v>
      </x:c>
      <x:c r="F1805" s="37" t="str">
        <x:v>14</x:v>
      </x:c>
      <x:c r="G1805" s="37" t="str">
        <x:v>353.61</x:v>
      </x:c>
      <x:c r="H1805" s="37" t="str">
        <x:v>0.00</x:v>
      </x:c>
      <x:c r="I1805" s="37" t="str">
        <x:v>135.51</x:v>
      </x:c>
      <x:c r="J1805" s="37" t="str">
        <x:v>0.00</x:v>
      </x:c>
      <x:c r="K1805" s="37" t="str">
        <x:v>218.10</x:v>
      </x:c>
      <x:c r="L1805" s="37" t="str">
        <x:v>572</x:v>
      </x:c>
      <x:c r="M1805" s="29" t="str">
        <x:v>286.63</x:v>
      </x:c>
      <x:c r="N1805" s="29" t="str">
        <x:v>176.91</x:v>
      </x:c>
      <x:c r="O1805" s="29" t="str">
        <x:v>109.72</x:v>
      </x:c>
      <x:c r="P1805" s="18" t="str">
        <x:v>2026-07-11</x:v>
      </x:c>
      <x:c r="Q1805" s="36" t="n">
        <x:v>46214</x:v>
      </x:c>
    </x:row>
    <x:row r="1806">
      <x:c r="A1806" s="36" t="str">
        <x:v>2026-07-11</x:v>
      </x:c>
      <x:c r="B1806" s="18" t="str">
        <x:v>101437000_74931</x:v>
      </x:c>
      <x:c r="C1806" s="18" t="str">
        <x:v>【沪村小电】枫雅南居充电站</x:v>
      </x:c>
      <x:c r="D1806" s="37" t="str">
        <x:v>2</x:v>
      </x:c>
      <x:c r="E1806" s="37" t="str">
        <x:v>0</x:v>
      </x:c>
      <x:c r="F1806" s="37" t="str">
        <x:v>40</x:v>
      </x:c>
      <x:c r="G1806" s="37" t="str">
        <x:v>1122.63</x:v>
      </x:c>
      <x:c r="H1806" s="37" t="str">
        <x:v>0.00</x:v>
      </x:c>
      <x:c r="I1806" s="37" t="str">
        <x:v>544.00</x:v>
      </x:c>
      <x:c r="J1806" s="37" t="str">
        <x:v>0.00</x:v>
      </x:c>
      <x:c r="K1806" s="37" t="str">
        <x:v>578.63</x:v>
      </x:c>
      <x:c r="L1806" s="37" t="str">
        <x:v>1371</x:v>
      </x:c>
      <x:c r="M1806" s="29" t="str">
        <x:v>764.18</x:v>
      </x:c>
      <x:c r="N1806" s="29" t="str">
        <x:v>500.35</x:v>
      </x:c>
      <x:c r="O1806" s="29" t="str">
        <x:v>263.83</x:v>
      </x:c>
      <x:c r="P1806" s="18" t="str">
        <x:v>2026-07-11</x:v>
      </x:c>
      <x:c r="Q1806" s="36" t="n">
        <x:v>46214</x:v>
      </x:c>
    </x:row>
    <x:row r="1807">
      <x:c r="A1807" s="36" t="str">
        <x:v>2026-07-11</x:v>
      </x:c>
      <x:c r="B1807" s="18" t="str">
        <x:v>101437000_75901</x:v>
      </x:c>
      <x:c r="C1807" s="18" t="str">
        <x:v>【沪村小电】金悦学府</x:v>
      </x:c>
      <x:c r="D1807" s="37" t="str">
        <x:v>2</x:v>
      </x:c>
      <x:c r="E1807" s="37" t="str">
        <x:v>0</x:v>
      </x:c>
      <x:c r="F1807" s="37" t="str">
        <x:v>26</x:v>
      </x:c>
      <x:c r="G1807" s="37" t="str">
        <x:v>683.58</x:v>
      </x:c>
      <x:c r="H1807" s="37" t="str">
        <x:v>0.00</x:v>
      </x:c>
      <x:c r="I1807" s="37" t="str">
        <x:v>433.68</x:v>
      </x:c>
      <x:c r="J1807" s="37" t="str">
        <x:v>0.00</x:v>
      </x:c>
      <x:c r="K1807" s="37" t="str">
        <x:v>249.91</x:v>
      </x:c>
      <x:c r="L1807" s="37" t="str">
        <x:v>1035</x:v>
      </x:c>
      <x:c r="M1807" s="29" t="str">
        <x:v>547.96</x:v>
      </x:c>
      <x:c r="N1807" s="29" t="str">
        <x:v>333.34</x:v>
      </x:c>
      <x:c r="O1807" s="29" t="str">
        <x:v>214.62</x:v>
      </x:c>
      <x:c r="P1807" s="18" t="str">
        <x:v>2026-07-11</x:v>
      </x:c>
      <x:c r="Q1807" s="36" t="n">
        <x:v>46214</x:v>
      </x:c>
    </x:row>
    <x:row r="1808">
      <x:c r="A1808" s="36" t="str">
        <x:v>2026-07-11</x:v>
      </x:c>
      <x:c r="B1808" s="18" t="str">
        <x:v>101437000_76091</x:v>
      </x:c>
      <x:c r="C1808" s="18" t="str">
        <x:v>【沪村小电】恒信家园充电站</x:v>
      </x:c>
      <x:c r="D1808" s="37" t="str">
        <x:v>2</x:v>
      </x:c>
      <x:c r="E1808" s="37" t="str">
        <x:v>0</x:v>
      </x:c>
      <x:c r="F1808" s="37" t="str">
        <x:v>33</x:v>
      </x:c>
      <x:c r="G1808" s="37" t="str">
        <x:v>713.46</x:v>
      </x:c>
      <x:c r="H1808" s="37" t="str">
        <x:v>0.00</x:v>
      </x:c>
      <x:c r="I1808" s="37" t="str">
        <x:v>496.03</x:v>
      </x:c>
      <x:c r="J1808" s="37" t="str">
        <x:v>0.00</x:v>
      </x:c>
      <x:c r="K1808" s="37" t="str">
        <x:v>217.43</x:v>
      </x:c>
      <x:c r="L1808" s="37" t="str">
        <x:v>1045</x:v>
      </x:c>
      <x:c r="M1808" s="29" t="str">
        <x:v>745.18</x:v>
      </x:c>
      <x:c r="N1808" s="29" t="str">
        <x:v>432.62</x:v>
      </x:c>
      <x:c r="O1808" s="29" t="str">
        <x:v>312.56</x:v>
      </x:c>
      <x:c r="P1808" s="18" t="str">
        <x:v>2026-07-11</x:v>
      </x:c>
      <x:c r="Q1808" s="36" t="n">
        <x:v>46214</x:v>
      </x:c>
    </x:row>
    <x:row r="1809">
      <x:c r="A1809" s="36" t="str">
        <x:v>2026-07-11</x:v>
      </x:c>
      <x:c r="B1809" s="18" t="str">
        <x:v>101437000_76417</x:v>
      </x:c>
      <x:c r="C1809" s="18" t="str">
        <x:v>【沪村小电】新春一组充电站</x:v>
      </x:c>
      <x:c r="D1809" s="37" t="str">
        <x:v>2</x:v>
      </x:c>
      <x:c r="E1809" s="37" t="str">
        <x:v>0</x:v>
      </x:c>
      <x:c r="F1809" s="37" t="str">
        <x:v>32</x:v>
      </x:c>
      <x:c r="G1809" s="37" t="str">
        <x:v>706.53</x:v>
      </x:c>
      <x:c r="H1809" s="37" t="str">
        <x:v>0.00</x:v>
      </x:c>
      <x:c r="I1809" s="37" t="str">
        <x:v>371.39</x:v>
      </x:c>
      <x:c r="J1809" s="37" t="str">
        <x:v>0.00</x:v>
      </x:c>
      <x:c r="K1809" s="37" t="str">
        <x:v>335.14</x:v>
      </x:c>
      <x:c r="L1809" s="37" t="str">
        <x:v>1039</x:v>
      </x:c>
      <x:c r="M1809" s="29" t="str">
        <x:v>591.78</x:v>
      </x:c>
      <x:c r="N1809" s="29" t="str">
        <x:v>387.66</x:v>
      </x:c>
      <x:c r="O1809" s="29" t="str">
        <x:v>204.12</x:v>
      </x:c>
      <x:c r="P1809" s="18" t="str">
        <x:v>2026-07-11</x:v>
      </x:c>
      <x:c r="Q1809" s="36" t="n">
        <x:v>46214</x:v>
      </x:c>
    </x:row>
    <x:row r="1810">
      <x:c r="A1810" s="36" t="str">
        <x:v>2026-07-11</x:v>
      </x:c>
      <x:c r="B1810" s="18" t="str">
        <x:v>101437000_78235</x:v>
      </x:c>
      <x:c r="C1810" s="18" t="str">
        <x:v>【沪村小电】欣秋苑充电站</x:v>
      </x:c>
      <x:c r="D1810" s="37" t="str">
        <x:v>4</x:v>
      </x:c>
      <x:c r="E1810" s="37" t="str">
        <x:v>0</x:v>
      </x:c>
      <x:c r="F1810" s="37" t="str">
        <x:v>9</x:v>
      </x:c>
      <x:c r="G1810" s="37" t="str">
        <x:v>254.76</x:v>
      </x:c>
      <x:c r="H1810" s="37" t="str">
        <x:v>0.00</x:v>
      </x:c>
      <x:c r="I1810" s="37" t="str">
        <x:v>148.05</x:v>
      </x:c>
      <x:c r="J1810" s="37" t="str">
        <x:v>0.00</x:v>
      </x:c>
      <x:c r="K1810" s="37" t="str">
        <x:v>106.71</x:v>
      </x:c>
      <x:c r="L1810" s="37" t="str">
        <x:v>421</x:v>
      </x:c>
      <x:c r="M1810" s="29" t="str">
        <x:v>213.03</x:v>
      </x:c>
      <x:c r="N1810" s="29" t="str">
        <x:v>144.61</x:v>
      </x:c>
      <x:c r="O1810" s="29" t="str">
        <x:v>68.42</x:v>
      </x:c>
      <x:c r="P1810" s="18" t="str">
        <x:v>2026-07-11</x:v>
      </x:c>
      <x:c r="Q1810" s="36" t="n">
        <x:v>46214</x:v>
      </x:c>
    </x:row>
    <x:row r="1811">
      <x:c r="A1811" s="36" t="str">
        <x:v>2026-07-11</x:v>
      </x:c>
      <x:c r="B1811" s="18" t="str">
        <x:v>101437000_78237</x:v>
      </x:c>
      <x:c r="C1811" s="18" t="str">
        <x:v>【沪村小电】奉馨苑西门小区内北侧充电站</x:v>
      </x:c>
      <x:c r="D1811" s="37" t="str">
        <x:v>2</x:v>
      </x:c>
      <x:c r="E1811" s="37" t="str">
        <x:v>0</x:v>
      </x:c>
      <x:c r="F1811" s="37" t="str">
        <x:v>25</x:v>
      </x:c>
      <x:c r="G1811" s="37" t="str">
        <x:v>875.67</x:v>
      </x:c>
      <x:c r="H1811" s="37" t="str">
        <x:v>22.72</x:v>
      </x:c>
      <x:c r="I1811" s="37" t="str">
        <x:v>365.90</x:v>
      </x:c>
      <x:c r="J1811" s="37" t="str">
        <x:v>224.63</x:v>
      </x:c>
      <x:c r="K1811" s="37" t="str">
        <x:v>262.42</x:v>
      </x:c>
      <x:c r="L1811" s="37" t="str">
        <x:v>1157</x:v>
      </x:c>
      <x:c r="M1811" s="29" t="str">
        <x:v>860.29</x:v>
      </x:c>
      <x:c r="N1811" s="29" t="str">
        <x:v>700.10</x:v>
      </x:c>
      <x:c r="O1811" s="29" t="str">
        <x:v>160.19</x:v>
      </x:c>
      <x:c r="P1811" s="18" t="str">
        <x:v>2026-07-11</x:v>
      </x:c>
      <x:c r="Q1811" s="36" t="n">
        <x:v>46214</x:v>
      </x:c>
    </x:row>
    <x:row r="1812">
      <x:c r="A1812" s="36" t="str">
        <x:v>2026-07-11</x:v>
      </x:c>
      <x:c r="B1812" s="18" t="str">
        <x:v>101437000_78239</x:v>
      </x:c>
      <x:c r="C1812" s="18" t="str">
        <x:v>【沪村小电】恒大佘山首府东门充电站</x:v>
      </x:c>
      <x:c r="D1812" s="37" t="str">
        <x:v>2</x:v>
      </x:c>
      <x:c r="E1812" s="37" t="str">
        <x:v>0</x:v>
      </x:c>
      <x:c r="F1812" s="37" t="str">
        <x:v>39</x:v>
      </x:c>
      <x:c r="G1812" s="37" t="str">
        <x:v>918.48</x:v>
      </x:c>
      <x:c r="H1812" s="37" t="str">
        <x:v>0.00</x:v>
      </x:c>
      <x:c r="I1812" s="37" t="str">
        <x:v>564.63</x:v>
      </x:c>
      <x:c r="J1812" s="37" t="str">
        <x:v>0.00</x:v>
      </x:c>
      <x:c r="K1812" s="37" t="str">
        <x:v>353.85</x:v>
      </x:c>
      <x:c r="L1812" s="37" t="str">
        <x:v>1418</x:v>
      </x:c>
      <x:c r="M1812" s="29" t="str">
        <x:v>832.98</x:v>
      </x:c>
      <x:c r="N1812" s="29" t="str">
        <x:v>531.81</x:v>
      </x:c>
      <x:c r="O1812" s="29" t="str">
        <x:v>301.17</x:v>
      </x:c>
      <x:c r="P1812" s="18" t="str">
        <x:v>2026-07-11</x:v>
      </x:c>
      <x:c r="Q1812" s="36" t="n">
        <x:v>46214</x:v>
      </x:c>
    </x:row>
    <x:row r="1813">
      <x:c r="A1813" s="36" t="str">
        <x:v>2026-07-11</x:v>
      </x:c>
      <x:c r="B1813" s="18" t="str">
        <x:v>101437000_80823</x:v>
      </x:c>
      <x:c r="C1813" s="18" t="str">
        <x:v>【沪村小电】上湖轩充电站</x:v>
      </x:c>
      <x:c r="D1813" s="37" t="str">
        <x:v>2</x:v>
      </x:c>
      <x:c r="E1813" s="37" t="str">
        <x:v>0</x:v>
      </x:c>
      <x:c r="F1813" s="37" t="str">
        <x:v>23</x:v>
      </x:c>
      <x:c r="G1813" s="37" t="str">
        <x:v>546.69</x:v>
      </x:c>
      <x:c r="H1813" s="37" t="str">
        <x:v>1.45</x:v>
      </x:c>
      <x:c r="I1813" s="37" t="str">
        <x:v>78.56</x:v>
      </x:c>
      <x:c r="J1813" s="37" t="str">
        <x:v>14.78</x:v>
      </x:c>
      <x:c r="K1813" s="37" t="str">
        <x:v>451.90</x:v>
      </x:c>
      <x:c r="L1813" s="37" t="str">
        <x:v>797</x:v>
      </x:c>
      <x:c r="M1813" s="29" t="str">
        <x:v>358.17</x:v>
      </x:c>
      <x:c r="N1813" s="29" t="str">
        <x:v>272.20</x:v>
      </x:c>
      <x:c r="O1813" s="29" t="str">
        <x:v>85.97</x:v>
      </x:c>
      <x:c r="P1813" s="18" t="str">
        <x:v>2026-07-11</x:v>
      </x:c>
      <x:c r="Q1813" s="36" t="n">
        <x:v>46214</x:v>
      </x:c>
    </x:row>
    <x:row r="1814">
      <x:c r="A1814" s="36" t="str">
        <x:v>2026-07-11</x:v>
      </x:c>
      <x:c r="B1814" s="18" t="str">
        <x:v>101437000_83019</x:v>
      </x:c>
      <x:c r="C1814" s="18" t="str">
        <x:v>【沪村小电】首创禧瑞云启东区充电站</x:v>
      </x:c>
      <x:c r="D1814" s="37" t="str">
        <x:v>2</x:v>
      </x:c>
      <x:c r="E1814" s="37" t="str">
        <x:v>0</x:v>
      </x:c>
      <x:c r="F1814" s="37" t="str">
        <x:v>23</x:v>
      </x:c>
      <x:c r="G1814" s="37" t="str">
        <x:v>485.23</x:v>
      </x:c>
      <x:c r="H1814" s="37" t="str">
        <x:v>0.00</x:v>
      </x:c>
      <x:c r="I1814" s="37" t="str">
        <x:v>300.09</x:v>
      </x:c>
      <x:c r="J1814" s="37" t="str">
        <x:v>0.00</x:v>
      </x:c>
      <x:c r="K1814" s="37" t="str">
        <x:v>185.13</x:v>
      </x:c>
      <x:c r="L1814" s="37" t="str">
        <x:v>640</x:v>
      </x:c>
      <x:c r="M1814" s="29" t="str">
        <x:v>472.31</x:v>
      </x:c>
      <x:c r="N1814" s="29" t="str">
        <x:v>281.56</x:v>
      </x:c>
      <x:c r="O1814" s="29" t="str">
        <x:v>190.75</x:v>
      </x:c>
      <x:c r="P1814" s="18" t="str">
        <x:v>2026-07-11</x:v>
      </x:c>
      <x:c r="Q1814" s="36" t="n">
        <x:v>46214</x:v>
      </x:c>
    </x:row>
    <x:row r="1815">
      <x:c r="A1815" s="36" t="str">
        <x:v>2026-07-11</x:v>
      </x:c>
      <x:c r="B1815" s="18" t="str">
        <x:v>101437000_83093</x:v>
      </x:c>
      <x:c r="C1815" s="18" t="str">
        <x:v>【沪村小电】金茂未来时光里</x:v>
      </x:c>
      <x:c r="D1815" s="37" t="str">
        <x:v>2</x:v>
      </x:c>
      <x:c r="E1815" s="37" t="str">
        <x:v>0</x:v>
      </x:c>
      <x:c r="F1815" s="37" t="str">
        <x:v>57</x:v>
      </x:c>
      <x:c r="G1815" s="37" t="str">
        <x:v>1976.26</x:v>
      </x:c>
      <x:c r="H1815" s="37" t="str">
        <x:v>0.00</x:v>
      </x:c>
      <x:c r="I1815" s="37" t="str">
        <x:v>997.45</x:v>
      </x:c>
      <x:c r="J1815" s="37" t="str">
        <x:v>0.00</x:v>
      </x:c>
      <x:c r="K1815" s="37" t="str">
        <x:v>978.82</x:v>
      </x:c>
      <x:c r="L1815" s="37" t="str">
        <x:v>2508</x:v>
      </x:c>
      <x:c r="M1815" s="29" t="str">
        <x:v>1356.84</x:v>
      </x:c>
      <x:c r="N1815" s="29" t="str">
        <x:v>891.93</x:v>
      </x:c>
      <x:c r="O1815" s="29" t="str">
        <x:v>464.91</x:v>
      </x:c>
      <x:c r="P1815" s="18" t="str">
        <x:v>2026-07-11</x:v>
      </x:c>
      <x:c r="Q1815" s="36" t="n">
        <x:v>46214</x:v>
      </x:c>
    </x:row>
    <x:row r="1816">
      <x:c r="A1816" s="36" t="str">
        <x:v>2026-07-11</x:v>
      </x:c>
      <x:c r="B1816" s="18" t="str">
        <x:v>101437000_83911</x:v>
      </x:c>
      <x:c r="C1816" s="18" t="str">
        <x:v>【沪村小电】金瀚园充电站</x:v>
      </x:c>
      <x:c r="D1816" s="37" t="str">
        <x:v>2</x:v>
      </x:c>
      <x:c r="E1816" s="37" t="str">
        <x:v>0</x:v>
      </x:c>
      <x:c r="F1816" s="37" t="str">
        <x:v>35</x:v>
      </x:c>
      <x:c r="G1816" s="37" t="str">
        <x:v>916.48</x:v>
      </x:c>
      <x:c r="H1816" s="37" t="str">
        <x:v>0.00</x:v>
      </x:c>
      <x:c r="I1816" s="37" t="str">
        <x:v>614.21</x:v>
      </x:c>
      <x:c r="J1816" s="37" t="str">
        <x:v>0.00</x:v>
      </x:c>
      <x:c r="K1816" s="37" t="str">
        <x:v>302.26</x:v>
      </x:c>
      <x:c r="L1816" s="37" t="str">
        <x:v>1367</x:v>
      </x:c>
      <x:c r="M1816" s="29" t="str">
        <x:v>824.72</x:v>
      </x:c>
      <x:c r="N1816" s="29" t="str">
        <x:v>547.93</x:v>
      </x:c>
      <x:c r="O1816" s="29" t="str">
        <x:v>276.79</x:v>
      </x:c>
      <x:c r="P1816" s="18" t="str">
        <x:v>2026-07-11</x:v>
      </x:c>
      <x:c r="Q1816" s="36" t="n">
        <x:v>46214</x:v>
      </x:c>
    </x:row>
    <x:row r="1817">
      <x:c r="A1817" s="36" t="str">
        <x:v>2026-07-11</x:v>
      </x:c>
      <x:c r="B1817" s="18" t="str">
        <x:v>101437000_83913</x:v>
      </x:c>
      <x:c r="C1817" s="18" t="str">
        <x:v>【沪村小电】新黎村充电站</x:v>
      </x:c>
      <x:c r="D1817" s="37" t="str">
        <x:v>2</x:v>
      </x:c>
      <x:c r="E1817" s="37" t="str">
        <x:v>0</x:v>
      </x:c>
      <x:c r="F1817" s="37" t="str">
        <x:v>57</x:v>
      </x:c>
      <x:c r="G1817" s="37" t="str">
        <x:v>1147.20</x:v>
      </x:c>
      <x:c r="H1817" s="37" t="str">
        <x:v>0.00</x:v>
      </x:c>
      <x:c r="I1817" s="37" t="str">
        <x:v>905.04</x:v>
      </x:c>
      <x:c r="J1817" s="37" t="str">
        <x:v>0.00</x:v>
      </x:c>
      <x:c r="K1817" s="37" t="str">
        <x:v>242.17</x:v>
      </x:c>
      <x:c r="L1817" s="37" t="str">
        <x:v>1679</x:v>
      </x:c>
      <x:c r="M1817" s="29" t="str">
        <x:v>1058.86</x:v>
      </x:c>
      <x:c r="N1817" s="29" t="str">
        <x:v>732.20</x:v>
      </x:c>
      <x:c r="O1817" s="29" t="str">
        <x:v>326.66</x:v>
      </x:c>
      <x:c r="P1817" s="18" t="str">
        <x:v>2026-07-11</x:v>
      </x:c>
      <x:c r="Q1817" s="36" t="n">
        <x:v>46214</x:v>
      </x:c>
    </x:row>
    <x:row r="1818">
      <x:c r="A1818" s="36" t="str">
        <x:v>2026-07-11</x:v>
      </x:c>
      <x:c r="B1818" s="18" t="str">
        <x:v>101437000_83915</x:v>
      </x:c>
      <x:c r="C1818" s="18" t="str">
        <x:v>【沪村小电】长泰西郊别墅充电站</x:v>
      </x:c>
      <x:c r="D1818" s="37" t="str">
        <x:v>2</x:v>
      </x:c>
      <x:c r="E1818" s="37" t="str">
        <x:v>0</x:v>
      </x:c>
      <x:c r="F1818" s="37" t="str">
        <x:v>18</x:v>
      </x:c>
      <x:c r="G1818" s="37" t="str">
        <x:v>508.88</x:v>
      </x:c>
      <x:c r="H1818" s="37" t="str">
        <x:v>0.00</x:v>
      </x:c>
      <x:c r="I1818" s="37" t="str">
        <x:v>394.95</x:v>
      </x:c>
      <x:c r="J1818" s="37" t="str">
        <x:v>0.00</x:v>
      </x:c>
      <x:c r="K1818" s="37" t="str">
        <x:v>113.93</x:v>
      </x:c>
      <x:c r="L1818" s="37" t="str">
        <x:v>715</x:v>
      </x:c>
      <x:c r="M1818" s="29" t="str">
        <x:v>496.58</x:v>
      </x:c>
      <x:c r="N1818" s="29" t="str">
        <x:v>322.57</x:v>
      </x:c>
      <x:c r="O1818" s="29" t="str">
        <x:v>174.01</x:v>
      </x:c>
      <x:c r="P1818" s="18" t="str">
        <x:v>2026-07-11</x:v>
      </x:c>
      <x:c r="Q1818" s="36" t="n">
        <x:v>46214</x:v>
      </x:c>
    </x:row>
    <x:row r="1819">
      <x:c r="A1819" s="36" t="str">
        <x:v>2026-07-11</x:v>
      </x:c>
      <x:c r="B1819" s="18" t="str">
        <x:v>101437000_83917</x:v>
      </x:c>
      <x:c r="C1819" s="18" t="str">
        <x:v>【沪村小电】旭新华庭充电站</x:v>
      </x:c>
      <x:c r="D1819" s="37" t="str">
        <x:v>4</x:v>
      </x:c>
      <x:c r="E1819" s="37" t="str">
        <x:v>0</x:v>
      </x:c>
      <x:c r="F1819" s="37" t="str">
        <x:v>20</x:v>
      </x:c>
      <x:c r="G1819" s="37" t="str">
        <x:v>498.58</x:v>
      </x:c>
      <x:c r="H1819" s="37" t="str">
        <x:v>0.00</x:v>
      </x:c>
      <x:c r="I1819" s="37" t="str">
        <x:v>390.52</x:v>
      </x:c>
      <x:c r="J1819" s="37" t="str">
        <x:v>0.00</x:v>
      </x:c>
      <x:c r="K1819" s="37" t="str">
        <x:v>108.07</x:v>
      </x:c>
      <x:c r="L1819" s="37" t="str">
        <x:v>669</x:v>
      </x:c>
      <x:c r="M1819" s="29" t="str">
        <x:v>558.95</x:v>
      </x:c>
      <x:c r="N1819" s="29" t="str">
        <x:v>317.26</x:v>
      </x:c>
      <x:c r="O1819" s="29" t="str">
        <x:v>241.69</x:v>
      </x:c>
      <x:c r="P1819" s="18" t="str">
        <x:v>2026-07-11</x:v>
      </x:c>
      <x:c r="Q1819" s="36" t="n">
        <x:v>46214</x:v>
      </x:c>
    </x:row>
    <x:row r="1820">
      <x:c r="A1820" s="36" t="str">
        <x:v>2026-07-11</x:v>
      </x:c>
      <x:c r="B1820" s="18" t="str">
        <x:v>101437000_83919</x:v>
      </x:c>
      <x:c r="C1820" s="18" t="str">
        <x:v>【沪村小电】浦锦名仕嘉园充电站</x:v>
      </x:c>
      <x:c r="D1820" s="37" t="str">
        <x:v>4</x:v>
      </x:c>
      <x:c r="E1820" s="37" t="str">
        <x:v>0</x:v>
      </x:c>
      <x:c r="F1820" s="37" t="str">
        <x:v>32</x:v>
      </x:c>
      <x:c r="G1820" s="37" t="str">
        <x:v>751.12</x:v>
      </x:c>
      <x:c r="H1820" s="37" t="str">
        <x:v>0.00</x:v>
      </x:c>
      <x:c r="I1820" s="37" t="str">
        <x:v>533.93</x:v>
      </x:c>
      <x:c r="J1820" s="37" t="str">
        <x:v>0.00</x:v>
      </x:c>
      <x:c r="K1820" s="37" t="str">
        <x:v>217.19</x:v>
      </x:c>
      <x:c r="L1820" s="37" t="str">
        <x:v>1192</x:v>
      </x:c>
      <x:c r="M1820" s="29" t="str">
        <x:v>700.54</x:v>
      </x:c>
      <x:c r="N1820" s="29" t="str">
        <x:v>459.45</x:v>
      </x:c>
      <x:c r="O1820" s="29" t="str">
        <x:v>241.09</x:v>
      </x:c>
      <x:c r="P1820" s="18" t="str">
        <x:v>2026-07-11</x:v>
      </x:c>
      <x:c r="Q1820" s="36" t="n">
        <x:v>46214</x:v>
      </x:c>
    </x:row>
    <x:row r="1821">
      <x:c r="A1821" s="36" t="str">
        <x:v>2026-07-11</x:v>
      </x:c>
      <x:c r="B1821" s="18" t="str">
        <x:v>101437000_83921</x:v>
      </x:c>
      <x:c r="C1821" s="18" t="str">
        <x:v>【沪村小电】上海联怡枇杷乐园充电站（地库）</x:v>
      </x:c>
      <x:c r="D1821" s="37" t="str">
        <x:v>8</x:v>
      </x:c>
      <x:c r="E1821" s="37" t="str">
        <x:v>0</x:v>
      </x:c>
      <x:c r="F1821" s="37" t="str">
        <x:v>4</x:v>
      </x:c>
      <x:c r="G1821" s="37" t="str">
        <x:v>103.34</x:v>
      </x:c>
      <x:c r="H1821" s="37" t="str">
        <x:v>0.00</x:v>
      </x:c>
      <x:c r="I1821" s="37" t="str">
        <x:v>8.44</x:v>
      </x:c>
      <x:c r="J1821" s="37" t="str">
        <x:v>0.00</x:v>
      </x:c>
      <x:c r="K1821" s="37" t="str">
        <x:v>94.90</x:v>
      </x:c>
      <x:c r="L1821" s="37" t="str">
        <x:v>177</x:v>
      </x:c>
      <x:c r="M1821" s="29" t="str">
        <x:v>62.23</x:v>
      </x:c>
      <x:c r="N1821" s="29" t="str">
        <x:v>51.25</x:v>
      </x:c>
      <x:c r="O1821" s="29" t="str">
        <x:v>10.98</x:v>
      </x:c>
      <x:c r="P1821" s="18" t="str">
        <x:v>2026-07-11</x:v>
      </x:c>
      <x:c r="Q1821" s="36" t="n">
        <x:v>46214</x:v>
      </x:c>
    </x:row>
    <x:row r="1822">
      <x:c r="A1822" s="36" t="str">
        <x:v>2026-07-11</x:v>
      </x:c>
      <x:c r="B1822" s="18" t="str">
        <x:v>101437000_83923</x:v>
      </x:c>
      <x:c r="C1822" s="18" t="str">
        <x:v>【沪村小电】明珠新苑充电站</x:v>
      </x:c>
      <x:c r="D1822" s="37" t="str">
        <x:v>2</x:v>
      </x:c>
      <x:c r="E1822" s="37" t="str">
        <x:v>0</x:v>
      </x:c>
      <x:c r="F1822" s="37" t="str">
        <x:v>32</x:v>
      </x:c>
      <x:c r="G1822" s="37" t="str">
        <x:v>759.25</x:v>
      </x:c>
      <x:c r="H1822" s="37" t="str">
        <x:v>0.00</x:v>
      </x:c>
      <x:c r="I1822" s="37" t="str">
        <x:v>396.17</x:v>
      </x:c>
      <x:c r="J1822" s="37" t="str">
        <x:v>0.00</x:v>
      </x:c>
      <x:c r="K1822" s="37" t="str">
        <x:v>363.08</x:v>
      </x:c>
      <x:c r="L1822" s="37" t="str">
        <x:v>1121</x:v>
      </x:c>
      <x:c r="M1822" s="29" t="str">
        <x:v>670.97</x:v>
      </x:c>
      <x:c r="N1822" s="29" t="str">
        <x:v>415.64</x:v>
      </x:c>
      <x:c r="O1822" s="29" t="str">
        <x:v>255.33</x:v>
      </x:c>
      <x:c r="P1822" s="18" t="str">
        <x:v>2026-07-11</x:v>
      </x:c>
      <x:c r="Q1822" s="36" t="n">
        <x:v>46214</x:v>
      </x:c>
    </x:row>
    <x:row r="1823">
      <x:c r="A1823" s="36" t="str">
        <x:v>2026-07-11</x:v>
      </x:c>
      <x:c r="B1823" s="18" t="str">
        <x:v>101437000_84289</x:v>
      </x:c>
      <x:c r="C1823" s="18" t="str">
        <x:v>【沪村小电】铁建芳华苑充电站</x:v>
      </x:c>
      <x:c r="D1823" s="37" t="str">
        <x:v>4</x:v>
      </x:c>
      <x:c r="E1823" s="37" t="str">
        <x:v>0</x:v>
      </x:c>
      <x:c r="F1823" s="37" t="str">
        <x:v>30</x:v>
      </x:c>
      <x:c r="G1823" s="37" t="str">
        <x:v>701.47</x:v>
      </x:c>
      <x:c r="H1823" s="37" t="str">
        <x:v>0.00</x:v>
      </x:c>
      <x:c r="I1823" s="37" t="str">
        <x:v>545.45</x:v>
      </x:c>
      <x:c r="J1823" s="37" t="str">
        <x:v>0.00</x:v>
      </x:c>
      <x:c r="K1823" s="37" t="str">
        <x:v>156.02</x:v>
      </x:c>
      <x:c r="L1823" s="37" t="str">
        <x:v>1053</x:v>
      </x:c>
      <x:c r="M1823" s="29" t="str">
        <x:v>731.68</x:v>
      </x:c>
      <x:c r="N1823" s="29" t="str">
        <x:v>445.01</x:v>
      </x:c>
      <x:c r="O1823" s="29" t="str">
        <x:v>286.67</x:v>
      </x:c>
      <x:c r="P1823" s="18" t="str">
        <x:v>2026-07-11</x:v>
      </x:c>
      <x:c r="Q1823" s="36" t="n">
        <x:v>46214</x:v>
      </x:c>
    </x:row>
    <x:row r="1824">
      <x:c r="A1824" s="36" t="str">
        <x:v>2026-07-11</x:v>
      </x:c>
      <x:c r="B1824" s="18" t="str">
        <x:v>101437000_86379</x:v>
      </x:c>
      <x:c r="C1824" s="18" t="str">
        <x:v>【沪村小电】新宝社区充电站</x:v>
      </x:c>
      <x:c r="D1824" s="37" t="str">
        <x:v>4</x:v>
      </x:c>
      <x:c r="E1824" s="37" t="str">
        <x:v>0</x:v>
      </x:c>
      <x:c r="F1824" s="37" t="str">
        <x:v>19</x:v>
      </x:c>
      <x:c r="G1824" s="37" t="str">
        <x:v>531.43</x:v>
      </x:c>
      <x:c r="H1824" s="37" t="str">
        <x:v>0.00</x:v>
      </x:c>
      <x:c r="I1824" s="37" t="str">
        <x:v>281.90</x:v>
      </x:c>
      <x:c r="J1824" s="37" t="str">
        <x:v>0.00</x:v>
      </x:c>
      <x:c r="K1824" s="37" t="str">
        <x:v>249.53</x:v>
      </x:c>
      <x:c r="L1824" s="37" t="str">
        <x:v>774</x:v>
      </x:c>
      <x:c r="M1824" s="29" t="str">
        <x:v>411.00</x:v>
      </x:c>
      <x:c r="N1824" s="29" t="str">
        <x:v>292.49</x:v>
      </x:c>
      <x:c r="O1824" s="29" t="str">
        <x:v>118.51</x:v>
      </x:c>
      <x:c r="P1824" s="18" t="str">
        <x:v>2026-07-11</x:v>
      </x:c>
      <x:c r="Q1824" s="36" t="n">
        <x:v>46214</x:v>
      </x:c>
    </x:row>
    <x:row r="1825">
      <x:c r="A1825" s="36" t="str">
        <x:v>2026-07-11</x:v>
      </x:c>
      <x:c r="B1825" s="18" t="str">
        <x:v>101437000_89441</x:v>
      </x:c>
      <x:c r="C1825" s="18" t="str">
        <x:v>【沪村小电】首创禧瑞云启西区充电站</x:v>
      </x:c>
      <x:c r="D1825" s="37" t="str">
        <x:v>2</x:v>
      </x:c>
      <x:c r="E1825" s="37" t="str">
        <x:v>0</x:v>
      </x:c>
      <x:c r="F1825" s="37" t="str">
        <x:v>30</x:v>
      </x:c>
      <x:c r="G1825" s="37" t="str">
        <x:v>659.63</x:v>
      </x:c>
      <x:c r="H1825" s="37" t="str">
        <x:v>0.00</x:v>
      </x:c>
      <x:c r="I1825" s="37" t="str">
        <x:v>475.75</x:v>
      </x:c>
      <x:c r="J1825" s="37" t="str">
        <x:v>0.00</x:v>
      </x:c>
      <x:c r="K1825" s="37" t="str">
        <x:v>183.88</x:v>
      </x:c>
      <x:c r="L1825" s="37" t="str">
        <x:v>934</x:v>
      </x:c>
      <x:c r="M1825" s="29" t="str">
        <x:v>642.80</x:v>
      </x:c>
      <x:c r="N1825" s="29" t="str">
        <x:v>405.83</x:v>
      </x:c>
      <x:c r="O1825" s="29" t="str">
        <x:v>236.97</x:v>
      </x:c>
      <x:c r="P1825" s="18" t="str">
        <x:v>2026-07-11</x:v>
      </x:c>
      <x:c r="Q1825" s="36" t="n">
        <x:v>46214</x:v>
      </x:c>
    </x:row>
    <x:row r="1826">
      <x:c r="A1826" s="36" t="str">
        <x:v>2026-07-11</x:v>
      </x:c>
      <x:c r="B1826" s="18" t="str">
        <x:v>101437000_89443</x:v>
      </x:c>
      <x:c r="C1826" s="18" t="str">
        <x:v>【沪村小电】玉兰清苑二期充电站</x:v>
      </x:c>
      <x:c r="D1826" s="37" t="str">
        <x:v>2</x:v>
      </x:c>
      <x:c r="E1826" s="37" t="str">
        <x:v>0</x:v>
      </x:c>
      <x:c r="F1826" s="37" t="str">
        <x:v>43</x:v>
      </x:c>
      <x:c r="G1826" s="37" t="str">
        <x:v>833.29</x:v>
      </x:c>
      <x:c r="H1826" s="37" t="str">
        <x:v>0.00</x:v>
      </x:c>
      <x:c r="I1826" s="37" t="str">
        <x:v>730.06</x:v>
      </x:c>
      <x:c r="J1826" s="37" t="str">
        <x:v>0.00</x:v>
      </x:c>
      <x:c r="K1826" s="37" t="str">
        <x:v>103.23</x:v>
      </x:c>
      <x:c r="L1826" s="37" t="str">
        <x:v>1250</x:v>
      </x:c>
      <x:c r="M1826" s="29" t="str">
        <x:v>828.34</x:v>
      </x:c>
      <x:c r="N1826" s="29" t="str">
        <x:v>556.56</x:v>
      </x:c>
      <x:c r="O1826" s="29" t="str">
        <x:v>271.78</x:v>
      </x:c>
      <x:c r="P1826" s="18" t="str">
        <x:v>2026-07-11</x:v>
      </x:c>
      <x:c r="Q1826" s="36" t="n">
        <x:v>46214</x:v>
      </x:c>
    </x:row>
    <x:row r="1827">
      <x:c r="A1827" s="36" t="str">
        <x:v>2026-07-11</x:v>
      </x:c>
      <x:c r="B1827" s="18" t="str">
        <x:v>101437000_93115</x:v>
      </x:c>
      <x:c r="C1827" s="18" t="str">
        <x:v>【沪村小电】新南家园西北门</x:v>
      </x:c>
      <x:c r="D1827" s="37" t="str">
        <x:v>2</x:v>
      </x:c>
      <x:c r="E1827" s="37" t="str">
        <x:v>0</x:v>
      </x:c>
      <x:c r="F1827" s="37" t="str">
        <x:v>24</x:v>
      </x:c>
      <x:c r="G1827" s="37" t="str">
        <x:v>659.49</x:v>
      </x:c>
      <x:c r="H1827" s="37" t="str">
        <x:v>0.00</x:v>
      </x:c>
      <x:c r="I1827" s="37" t="str">
        <x:v>438.68</x:v>
      </x:c>
      <x:c r="J1827" s="37" t="str">
        <x:v>0.00</x:v>
      </x:c>
      <x:c r="K1827" s="37" t="str">
        <x:v>220.81</x:v>
      </x:c>
      <x:c r="L1827" s="37" t="str">
        <x:v>1006</x:v>
      </x:c>
      <x:c r="M1827" s="29" t="str">
        <x:v>631.59</x:v>
      </x:c>
      <x:c r="N1827" s="29" t="str">
        <x:v>393.17</x:v>
      </x:c>
      <x:c r="O1827" s="29" t="str">
        <x:v>238.42</x:v>
      </x:c>
      <x:c r="P1827" s="18" t="str">
        <x:v>2026-07-11</x:v>
      </x:c>
      <x:c r="Q1827" s="36" t="n">
        <x:v>46214</x:v>
      </x:c>
    </x:row>
    <x:row r="1828">
      <x:c r="A1828" s="36" t="str">
        <x:v>2026-07-11</x:v>
      </x:c>
      <x:c r="B1828" s="18" t="str">
        <x:v>101437000_94649</x:v>
      </x:c>
      <x:c r="C1828" s="18" t="str">
        <x:v>【沪村小电】浪琴水岸花园</x:v>
      </x:c>
      <x:c r="D1828" s="37" t="str">
        <x:v>4</x:v>
      </x:c>
      <x:c r="E1828" s="37" t="str">
        <x:v>0</x:v>
      </x:c>
      <x:c r="F1828" s="37" t="str">
        <x:v>33</x:v>
      </x:c>
      <x:c r="G1828" s="37" t="str">
        <x:v>867.51</x:v>
      </x:c>
      <x:c r="H1828" s="37" t="str">
        <x:v>0.00</x:v>
      </x:c>
      <x:c r="I1828" s="37" t="str">
        <x:v>509.92</x:v>
      </x:c>
      <x:c r="J1828" s="37" t="str">
        <x:v>0.00</x:v>
      </x:c>
      <x:c r="K1828" s="37" t="str">
        <x:v>357.59</x:v>
      </x:c>
      <x:c r="L1828" s="37" t="str">
        <x:v>1257</x:v>
      </x:c>
      <x:c r="M1828" s="29" t="str">
        <x:v>699.91</x:v>
      </x:c>
      <x:c r="N1828" s="29" t="str">
        <x:v>530.11</x:v>
      </x:c>
      <x:c r="O1828" s="29" t="str">
        <x:v>169.80</x:v>
      </x:c>
      <x:c r="P1828" s="18" t="str">
        <x:v>2026-07-11</x:v>
      </x:c>
      <x:c r="Q1828" s="36" t="n">
        <x:v>46214</x:v>
      </x:c>
    </x:row>
    <x:row r="1829">
      <x:c r="A1829" s="36" t="str">
        <x:v>2026-07-11</x:v>
      </x:c>
      <x:c r="B1829" s="18" t="str">
        <x:v>101437000_95077</x:v>
      </x:c>
      <x:c r="C1829" s="18" t="str">
        <x:v>【沪村小电】民乐城惠益绿苑255弄充电站</x:v>
      </x:c>
      <x:c r="D1829" s="37" t="str">
        <x:v>2</x:v>
      </x:c>
      <x:c r="E1829" s="37" t="str">
        <x:v>0</x:v>
      </x:c>
      <x:c r="F1829" s="37" t="str">
        <x:v>11</x:v>
      </x:c>
      <x:c r="G1829" s="37" t="str">
        <x:v>255.94</x:v>
      </x:c>
      <x:c r="H1829" s="37" t="str">
        <x:v>0.00</x:v>
      </x:c>
      <x:c r="I1829" s="37" t="str">
        <x:v>207.48</x:v>
      </x:c>
      <x:c r="J1829" s="37" t="str">
        <x:v>0.00</x:v>
      </x:c>
      <x:c r="K1829" s="37" t="str">
        <x:v>48.46</x:v>
      </x:c>
      <x:c r="L1829" s="37" t="str">
        <x:v>439</x:v>
      </x:c>
      <x:c r="M1829" s="29" t="str">
        <x:v>269.22</x:v>
      </x:c>
      <x:c r="N1829" s="29" t="str">
        <x:v>165.22</x:v>
      </x:c>
      <x:c r="O1829" s="29" t="str">
        <x:v>104.00</x:v>
      </x:c>
      <x:c r="P1829" s="18" t="str">
        <x:v>2026-07-11</x:v>
      </x:c>
      <x:c r="Q1829" s="36" t="n">
        <x:v>46214</x:v>
      </x:c>
    </x:row>
    <x:row r="1830">
      <x:c r="A1830" s="36" t="str">
        <x:v>2026-07-11</x:v>
      </x:c>
      <x:c r="B1830" s="18" t="str">
        <x:v>101437000_95079</x:v>
      </x:c>
      <x:c r="C1830" s="18" t="str">
        <x:v>【沪村小电】民乐城惠益绿苑东苑充电站</x:v>
      </x:c>
      <x:c r="D1830" s="37" t="str">
        <x:v>2</x:v>
      </x:c>
      <x:c r="E1830" s="37" t="str">
        <x:v>0</x:v>
      </x:c>
      <x:c r="F1830" s="37" t="str">
        <x:v>14</x:v>
      </x:c>
      <x:c r="G1830" s="37" t="str">
        <x:v>299.62</x:v>
      </x:c>
      <x:c r="H1830" s="37" t="str">
        <x:v>0.00</x:v>
      </x:c>
      <x:c r="I1830" s="37" t="str">
        <x:v>278.75</x:v>
      </x:c>
      <x:c r="J1830" s="37" t="str">
        <x:v>0.00</x:v>
      </x:c>
      <x:c r="K1830" s="37" t="str">
        <x:v>20.87</x:v>
      </x:c>
      <x:c r="L1830" s="37" t="str">
        <x:v>467</x:v>
      </x:c>
      <x:c r="M1830" s="29" t="str">
        <x:v>274.91</x:v>
      </x:c>
      <x:c r="N1830" s="29" t="str">
        <x:v>205.65</x:v>
      </x:c>
      <x:c r="O1830" s="29" t="str">
        <x:v>69.26</x:v>
      </x:c>
      <x:c r="P1830" s="18" t="str">
        <x:v>2026-07-11</x:v>
      </x:c>
      <x:c r="Q1830" s="36" t="n">
        <x:v>46214</x:v>
      </x:c>
    </x:row>
    <x:row r="1831">
      <x:c r="A1831" s="36" t="str">
        <x:v>2026-07-11</x:v>
      </x:c>
      <x:c r="B1831" s="18" t="str">
        <x:v>101437000_95081</x:v>
      </x:c>
      <x:c r="C1831" s="18" t="str">
        <x:v>【沪村小电】民乐城惠益绿苑西苑充电站</x:v>
      </x:c>
      <x:c r="D1831" s="37" t="str">
        <x:v>2</x:v>
      </x:c>
      <x:c r="E1831" s="37" t="str">
        <x:v>0</x:v>
      </x:c>
      <x:c r="F1831" s="37" t="str">
        <x:v>5</x:v>
      </x:c>
      <x:c r="G1831" s="37" t="str">
        <x:v>118.23</x:v>
      </x:c>
      <x:c r="H1831" s="37" t="str">
        <x:v>0.00</x:v>
      </x:c>
      <x:c r="I1831" s="37" t="str">
        <x:v>118.23</x:v>
      </x:c>
      <x:c r="J1831" s="37" t="str">
        <x:v>0.00</x:v>
      </x:c>
      <x:c r="K1831" s="37" t="str">
        <x:v>0.00</x:v>
      </x:c>
      <x:c r="L1831" s="37" t="str">
        <x:v>175</x:v>
      </x:c>
      <x:c r="M1831" s="29" t="str">
        <x:v>128.87</x:v>
      </x:c>
      <x:c r="N1831" s="29" t="str">
        <x:v>83.95</x:v>
      </x:c>
      <x:c r="O1831" s="29" t="str">
        <x:v>44.92</x:v>
      </x:c>
      <x:c r="P1831" s="18" t="str">
        <x:v>2026-07-11</x:v>
      </x:c>
      <x:c r="Q1831" s="36" t="n">
        <x:v>46214</x:v>
      </x:c>
    </x:row>
    <x:row r="1832">
      <x:c r="A1832" s="36" t="str">
        <x:v>2026-07-11</x:v>
      </x:c>
      <x:c r="B1832" s="18" t="str">
        <x:v>101437000_95091</x:v>
      </x:c>
      <x:c r="C1832" s="18" t="str">
        <x:v>【沪村小电】金悦学府2号站</x:v>
      </x:c>
      <x:c r="D1832" s="37" t="str">
        <x:v>2</x:v>
      </x:c>
      <x:c r="E1832" s="37" t="str">
        <x:v>0</x:v>
      </x:c>
      <x:c r="F1832" s="37" t="str">
        <x:v>16</x:v>
      </x:c>
      <x:c r="G1832" s="37" t="str">
        <x:v>429.65</x:v>
      </x:c>
      <x:c r="H1832" s="37" t="str">
        <x:v>0.00</x:v>
      </x:c>
      <x:c r="I1832" s="37" t="str">
        <x:v>0.00</x:v>
      </x:c>
      <x:c r="J1832" s="37" t="str">
        <x:v>429.65</x:v>
      </x:c>
      <x:c r="K1832" s="37" t="str">
        <x:v>0.00</x:v>
      </x:c>
      <x:c r="L1832" s="37" t="str">
        <x:v>658</x:v>
      </x:c>
      <x:c r="M1832" s="29" t="str">
        <x:v>339.43</x:v>
      </x:c>
      <x:c r="N1832" s="29" t="str">
        <x:v>240.61</x:v>
      </x:c>
      <x:c r="O1832" s="29" t="str">
        <x:v>98.82</x:v>
      </x:c>
      <x:c r="P1832" s="18" t="str">
        <x:v>2026-07-11</x:v>
      </x:c>
      <x:c r="Q1832" s="36" t="n">
        <x:v>46214</x:v>
      </x:c>
    </x:row>
    <x:row r="1833">
      <x:c r="A1833" s="36" t="str">
        <x:v>2026-07-11</x:v>
      </x:c>
      <x:c r="B1833" s="18" t="str">
        <x:v>101437000_95941</x:v>
      </x:c>
      <x:c r="C1833" s="18" t="str">
        <x:v>【沪村小电】惠诚雅苑</x:v>
      </x:c>
      <x:c r="D1833" s="37" t="str">
        <x:v>4</x:v>
      </x:c>
      <x:c r="E1833" s="37" t="str">
        <x:v>0</x:v>
      </x:c>
      <x:c r="F1833" s="37" t="str">
        <x:v>38</x:v>
      </x:c>
      <x:c r="G1833" s="37" t="str">
        <x:v>994.24</x:v>
      </x:c>
      <x:c r="H1833" s="37" t="str">
        <x:v>0.00</x:v>
      </x:c>
      <x:c r="I1833" s="37" t="str">
        <x:v>411.59</x:v>
      </x:c>
      <x:c r="J1833" s="37" t="str">
        <x:v>0.00</x:v>
      </x:c>
      <x:c r="K1833" s="37" t="str">
        <x:v>582.65</x:v>
      </x:c>
      <x:c r="L1833" s="37" t="str">
        <x:v>1582</x:v>
      </x:c>
      <x:c r="M1833" s="29" t="str">
        <x:v>642.00</x:v>
      </x:c>
      <x:c r="N1833" s="29" t="str">
        <x:v>423.48</x:v>
      </x:c>
      <x:c r="O1833" s="29" t="str">
        <x:v>218.52</x:v>
      </x:c>
      <x:c r="P1833" s="18" t="str">
        <x:v>2026-07-11</x:v>
      </x:c>
      <x:c r="Q1833" s="36" t="n">
        <x:v>46214</x:v>
      </x:c>
    </x:row>
    <x:row r="1834">
      <x:c r="A1834" s="36" t="str">
        <x:v>2026-07-11</x:v>
      </x:c>
      <x:c r="B1834" s="18" t="str">
        <x:v>101437000_96401</x:v>
      </x:c>
      <x:c r="C1834" s="18" t="str">
        <x:v>【沪村小电】上海联怡枇杷乐园地面站</x:v>
      </x:c>
      <x:c r="D1834" s="37" t="str">
        <x:v>2</x:v>
      </x:c>
      <x:c r="E1834" s="37" t="str">
        <x:v>0</x:v>
      </x:c>
      <x:c r="F1834" s="37" t="str">
        <x:v>19</x:v>
      </x:c>
      <x:c r="G1834" s="37" t="str">
        <x:v>395.83</x:v>
      </x:c>
      <x:c r="H1834" s="37" t="str">
        <x:v>0.00</x:v>
      </x:c>
      <x:c r="I1834" s="37" t="str">
        <x:v>251.78</x:v>
      </x:c>
      <x:c r="J1834" s="37" t="str">
        <x:v>0.00</x:v>
      </x:c>
      <x:c r="K1834" s="37" t="str">
        <x:v>144.05</x:v>
      </x:c>
      <x:c r="L1834" s="37" t="str">
        <x:v>627</x:v>
      </x:c>
      <x:c r="M1834" s="29" t="str">
        <x:v>369.41</x:v>
      </x:c>
      <x:c r="N1834" s="29" t="str">
        <x:v>292.88</x:v>
      </x:c>
      <x:c r="O1834" s="29" t="str">
        <x:v>76.53</x:v>
      </x:c>
      <x:c r="P1834" s="18" t="str">
        <x:v>2026-07-11</x:v>
      </x:c>
      <x:c r="Q1834" s="36" t="n">
        <x:v>46214</x:v>
      </x:c>
    </x:row>
    <x:row r="1835">
      <x:c r="A1835" s="36" t="str">
        <x:v>2026-07-11</x:v>
      </x:c>
      <x:c r="B1835" s="18" t="str">
        <x:v>101437000_96719</x:v>
      </x:c>
      <x:c r="C1835" s="18" t="str">
        <x:v>【沪村小电】四达路220弄充电站</x:v>
      </x:c>
      <x:c r="D1835" s="37" t="str">
        <x:v>2</x:v>
      </x:c>
      <x:c r="E1835" s="37" t="str">
        <x:v>0</x:v>
      </x:c>
      <x:c r="F1835" s="37" t="str">
        <x:v>4</x:v>
      </x:c>
      <x:c r="G1835" s="37" t="str">
        <x:v>122.40</x:v>
      </x:c>
      <x:c r="H1835" s="37" t="str">
        <x:v>0.00</x:v>
      </x:c>
      <x:c r="I1835" s="37" t="str">
        <x:v>98.49</x:v>
      </x:c>
      <x:c r="J1835" s="37" t="str">
        <x:v>0.00</x:v>
      </x:c>
      <x:c r="K1835" s="37" t="str">
        <x:v>23.91</x:v>
      </x:c>
      <x:c r="L1835" s="37" t="str">
        <x:v>176</x:v>
      </x:c>
      <x:c r="M1835" s="29" t="str">
        <x:v>153.18</x:v>
      </x:c>
      <x:c r="N1835" s="29" t="str">
        <x:v>78.77</x:v>
      </x:c>
      <x:c r="O1835" s="29" t="str">
        <x:v>74.41</x:v>
      </x:c>
      <x:c r="P1835" s="18" t="str">
        <x:v>2026-07-11</x:v>
      </x:c>
      <x:c r="Q1835" s="36" t="n">
        <x:v>46214</x:v>
      </x:c>
    </x:row>
    <x:row r="1836">
      <x:c r="A1836" s="36" t="str">
        <x:v>2026-07-11</x:v>
      </x:c>
      <x:c r="B1836" s="18" t="str">
        <x:v>101437000_97421</x:v>
      </x:c>
      <x:c r="C1836" s="18" t="str">
        <x:v>【沪村小电】玉兰清苑二期（小区外）充电站</x:v>
      </x:c>
      <x:c r="D1836" s="37" t="str">
        <x:v>4</x:v>
      </x:c>
      <x:c r="E1836" s="37" t="str">
        <x:v>0</x:v>
      </x:c>
      <x:c r="F1836" s="37" t="str">
        <x:v>61</x:v>
      </x:c>
      <x:c r="G1836" s="37" t="str">
        <x:v>1077.08</x:v>
      </x:c>
      <x:c r="H1836" s="37" t="str">
        <x:v>0.00</x:v>
      </x:c>
      <x:c r="I1836" s="37" t="str">
        <x:v>744.21</x:v>
      </x:c>
      <x:c r="J1836" s="37" t="str">
        <x:v>0.00</x:v>
      </x:c>
      <x:c r="K1836" s="37" t="str">
        <x:v>332.88</x:v>
      </x:c>
      <x:c r="L1836" s="37" t="str">
        <x:v>1875</x:v>
      </x:c>
      <x:c r="M1836" s="29" t="str">
        <x:v>959.90</x:v>
      </x:c>
      <x:c r="N1836" s="29" t="str">
        <x:v>651.55</x:v>
      </x:c>
      <x:c r="O1836" s="29" t="str">
        <x:v>308.35</x:v>
      </x:c>
      <x:c r="P1836" s="18" t="str">
        <x:v>2026-07-11</x:v>
      </x:c>
      <x:c r="Q1836" s="36" t="n">
        <x:v>46214</x:v>
      </x:c>
    </x:row>
    <x:row r="1837">
      <x:c r="A1837" s="36" t="str">
        <x:v>2026-07-11</x:v>
      </x:c>
      <x:c r="B1837" s="18" t="str">
        <x:v>101437000_98013</x:v>
      </x:c>
      <x:c r="C1837" s="18" t="str">
        <x:v>【沪村小电】恒大滨江华府充电站</x:v>
      </x:c>
      <x:c r="D1837" s="37" t="str">
        <x:v>4</x:v>
      </x:c>
      <x:c r="E1837" s="37" t="str">
        <x:v>0</x:v>
      </x:c>
      <x:c r="F1837" s="37" t="str">
        <x:v>37</x:v>
      </x:c>
      <x:c r="G1837" s="37" t="str">
        <x:v>762.19</x:v>
      </x:c>
      <x:c r="H1837" s="37" t="str">
        <x:v>0.00</x:v>
      </x:c>
      <x:c r="I1837" s="37" t="str">
        <x:v>616.06</x:v>
      </x:c>
      <x:c r="J1837" s="37" t="str">
        <x:v>0.00</x:v>
      </x:c>
      <x:c r="K1837" s="37" t="str">
        <x:v>146.13</x:v>
      </x:c>
      <x:c r="L1837" s="37" t="str">
        <x:v>1367</x:v>
      </x:c>
      <x:c r="M1837" s="29" t="str">
        <x:v>770.61</x:v>
      </x:c>
      <x:c r="N1837" s="29" t="str">
        <x:v>621.69</x:v>
      </x:c>
      <x:c r="O1837" s="29" t="str">
        <x:v>148.92</x:v>
      </x:c>
      <x:c r="P1837" s="18" t="str">
        <x:v>2026-07-11</x:v>
      </x:c>
      <x:c r="Q1837" s="36" t="n">
        <x:v>46214</x:v>
      </x:c>
    </x:row>
    <x:row r="1838">
      <x:c r="A1838" s="36" t="str">
        <x:v>2026-07-11</x:v>
      </x:c>
      <x:c r="B1838" s="18" t="str">
        <x:v>101437000_98863</x:v>
      </x:c>
      <x:c r="C1838" s="18" t="str">
        <x:v>【沪村小电】欣菊苑充电站</x:v>
      </x:c>
      <x:c r="D1838" s="37" t="str">
        <x:v>4</x:v>
      </x:c>
      <x:c r="E1838" s="37" t="str">
        <x:v>0</x:v>
      </x:c>
      <x:c r="F1838" s="37" t="str">
        <x:v>4</x:v>
      </x:c>
      <x:c r="G1838" s="37" t="str">
        <x:v>66.58</x:v>
      </x:c>
      <x:c r="H1838" s="37" t="str">
        <x:v>0.00</x:v>
      </x:c>
      <x:c r="I1838" s="37" t="str">
        <x:v>66.58</x:v>
      </x:c>
      <x:c r="J1838" s="37" t="str">
        <x:v>0.00</x:v>
      </x:c>
      <x:c r="K1838" s="37" t="str">
        <x:v>0.00</x:v>
      </x:c>
      <x:c r="L1838" s="37" t="str">
        <x:v>124</x:v>
      </x:c>
      <x:c r="M1838" s="29" t="str">
        <x:v>60.99</x:v>
      </x:c>
      <x:c r="N1838" s="29" t="str">
        <x:v>47.27</x:v>
      </x:c>
      <x:c r="O1838" s="29" t="str">
        <x:v>13.72</x:v>
      </x:c>
      <x:c r="P1838" s="18" t="str">
        <x:v>2026-07-11</x:v>
      </x:c>
      <x:c r="Q1838" s="36" t="n">
        <x:v>46214</x:v>
      </x:c>
    </x:row>
    <x:row r="1839">
      <x:c r="A1839" s="36" t="str">
        <x:v>2026-07-11</x:v>
      </x:c>
      <x:c r="B1839" s="18" t="str">
        <x:v>101437000_98865</x:v>
      </x:c>
      <x:c r="C1839" s="18" t="str">
        <x:v>【沪村小电】欣松苑充电站</x:v>
      </x:c>
      <x:c r="D1839" s="37" t="str">
        <x:v>4</x:v>
      </x:c>
      <x:c r="E1839" s="37" t="str">
        <x:v>0</x:v>
      </x:c>
      <x:c r="F1839" s="37" t="str">
        <x:v>14</x:v>
      </x:c>
      <x:c r="G1839" s="37" t="str">
        <x:v>289.71</x:v>
      </x:c>
      <x:c r="H1839" s="37" t="str">
        <x:v>0.00</x:v>
      </x:c>
      <x:c r="I1839" s="37" t="str">
        <x:v>289.71</x:v>
      </x:c>
      <x:c r="J1839" s="37" t="str">
        <x:v>0.00</x:v>
      </x:c>
      <x:c r="K1839" s="37" t="str">
        <x:v>0.00</x:v>
      </x:c>
      <x:c r="L1839" s="37" t="str">
        <x:v>444</x:v>
      </x:c>
      <x:c r="M1839" s="29" t="str">
        <x:v>310.37</x:v>
      </x:c>
      <x:c r="N1839" s="29" t="str">
        <x:v>205.71</x:v>
      </x:c>
      <x:c r="O1839" s="29" t="str">
        <x:v>104.66</x:v>
      </x:c>
      <x:c r="P1839" s="18" t="str">
        <x:v>2026-07-11</x:v>
      </x:c>
      <x:c r="Q1839" s="36" t="n">
        <x:v>46214</x:v>
      </x:c>
    </x:row>
    <x:row r="1840">
      <x:c r="A1840" s="36" t="str">
        <x:v>2026-07-11</x:v>
      </x:c>
      <x:c r="B1840" s="18" t="str">
        <x:v>101437000_98867</x:v>
      </x:c>
      <x:c r="C1840" s="18" t="str">
        <x:v>【沪村小电】欣荷苑充电站</x:v>
      </x:c>
      <x:c r="D1840" s="37" t="str">
        <x:v>4</x:v>
      </x:c>
      <x:c r="E1840" s="37" t="str">
        <x:v>0</x:v>
      </x:c>
      <x:c r="F1840" s="37" t="str">
        <x:v>5</x:v>
      </x:c>
      <x:c r="G1840" s="37" t="str">
        <x:v>92.01</x:v>
      </x:c>
      <x:c r="H1840" s="37" t="str">
        <x:v>0.00</x:v>
      </x:c>
      <x:c r="I1840" s="37" t="str">
        <x:v>92.01</x:v>
      </x:c>
      <x:c r="J1840" s="37" t="str">
        <x:v>0.00</x:v>
      </x:c>
      <x:c r="K1840" s="37" t="str">
        <x:v>0.00</x:v>
      </x:c>
      <x:c r="L1840" s="37" t="str">
        <x:v>124</x:v>
      </x:c>
      <x:c r="M1840" s="29" t="str">
        <x:v>85.35</x:v>
      </x:c>
      <x:c r="N1840" s="29" t="str">
        <x:v>65.33</x:v>
      </x:c>
      <x:c r="O1840" s="29" t="str">
        <x:v>20.02</x:v>
      </x:c>
      <x:c r="P1840" s="18" t="str">
        <x:v>2026-07-11</x:v>
      </x:c>
      <x:c r="Q1840" s="36" t="n">
        <x:v>46214</x:v>
      </x:c>
    </x:row>
    <x:row r="1841">
      <x:c r="A1841" s="36" t="str">
        <x:v>2026-07-11</x:v>
      </x:c>
      <x:c r="B1841" s="18" t="str">
        <x:v>101437000_99885</x:v>
      </x:c>
      <x:c r="C1841" s="18" t="str">
        <x:v>【沪村小电】汇丰馨苑充电站</x:v>
      </x:c>
      <x:c r="D1841" s="37" t="str">
        <x:v>4</x:v>
      </x:c>
      <x:c r="E1841" s="37" t="str">
        <x:v>0</x:v>
      </x:c>
      <x:c r="F1841" s="37" t="str">
        <x:v>12</x:v>
      </x:c>
      <x:c r="G1841" s="37" t="str">
        <x:v>200.89</x:v>
      </x:c>
      <x:c r="H1841" s="37" t="str">
        <x:v>0.00</x:v>
      </x:c>
      <x:c r="I1841" s="37" t="str">
        <x:v>182.33</x:v>
      </x:c>
      <x:c r="J1841" s="37" t="str">
        <x:v>0.00</x:v>
      </x:c>
      <x:c r="K1841" s="37" t="str">
        <x:v>18.56</x:v>
      </x:c>
      <x:c r="L1841" s="37" t="str">
        <x:v>283</x:v>
      </x:c>
      <x:c r="M1841" s="29" t="str">
        <x:v>197.02</x:v>
      </x:c>
      <x:c r="N1841" s="29" t="str">
        <x:v>136.33</x:v>
      </x:c>
      <x:c r="O1841" s="29" t="str">
        <x:v>60.69</x:v>
      </x:c>
      <x:c r="P1841" s="18" t="str">
        <x:v>2026-07-11</x:v>
      </x:c>
      <x:c r="Q1841" s="36" t="n">
        <x:v>46214</x:v>
      </x:c>
    </x:row>
    <x:row r="1842">
      <x:c r="A1842" s="36" t="str">
        <x:v>2026-07-11</x:v>
      </x:c>
      <x:c r="B1842" s="18" t="str">
        <x:v>101437000_99889</x:v>
      </x:c>
      <x:c r="C1842" s="18" t="str">
        <x:v>【沪村小电】漕泾郊野公园</x:v>
      </x:c>
      <x:c r="D1842" s="37" t="str">
        <x:v>2</x:v>
      </x:c>
      <x:c r="E1842" s="37" t="str">
        <x:v>0</x:v>
      </x:c>
      <x:c r="F1842" s="37" t="str">
        <x:v>2</x:v>
      </x:c>
      <x:c r="G1842" s="37" t="str">
        <x:v>44.69</x:v>
      </x:c>
      <x:c r="H1842" s="37" t="str">
        <x:v>0.00</x:v>
      </x:c>
      <x:c r="I1842" s="37" t="str">
        <x:v>44.69</x:v>
      </x:c>
      <x:c r="J1842" s="37" t="str">
        <x:v>0.00</x:v>
      </x:c>
      <x:c r="K1842" s="37" t="str">
        <x:v>0.00</x:v>
      </x:c>
      <x:c r="L1842" s="37" t="str">
        <x:v>45</x:v>
      </x:c>
      <x:c r="M1842" s="29" t="str">
        <x:v>77.52</x:v>
      </x:c>
      <x:c r="N1842" s="29" t="str">
        <x:v>33.96</x:v>
      </x:c>
      <x:c r="O1842" s="29" t="str">
        <x:v>43.56</x:v>
      </x:c>
      <x:c r="P1842" s="18" t="str">
        <x:v>2026-07-11</x:v>
      </x:c>
      <x:c r="Q1842" s="36" t="n">
        <x:v>46214</x:v>
      </x:c>
    </x:row>
    <x:row r="1843">
      <x:c r="A1843" s="36" t="str">
        <x:v>2026-07-11</x:v>
      </x:c>
      <x:c r="B1843" s="18" t="str">
        <x:v>101437000_99891</x:v>
      </x:c>
      <x:c r="C1843" s="18" t="str">
        <x:v>【沪村小电】水韵紫城充电站</x:v>
      </x:c>
      <x:c r="D1843" s="37" t="str">
        <x:v>4</x:v>
      </x:c>
      <x:c r="E1843" s="37" t="str">
        <x:v>0</x:v>
      </x:c>
      <x:c r="F1843" s="37" t="str">
        <x:v>29</x:v>
      </x:c>
      <x:c r="G1843" s="37" t="str">
        <x:v>490.57</x:v>
      </x:c>
      <x:c r="H1843" s="37" t="str">
        <x:v>0.00</x:v>
      </x:c>
      <x:c r="I1843" s="37" t="str">
        <x:v>426.54</x:v>
      </x:c>
      <x:c r="J1843" s="37" t="str">
        <x:v>0.00</x:v>
      </x:c>
      <x:c r="K1843" s="37" t="str">
        <x:v>64.04</x:v>
      </x:c>
      <x:c r="L1843" s="37" t="str">
        <x:v>771</x:v>
      </x:c>
      <x:c r="M1843" s="29" t="str">
        <x:v>457.43</x:v>
      </x:c>
      <x:c r="N1843" s="29" t="str">
        <x:v>326.50</x:v>
      </x:c>
      <x:c r="O1843" s="29" t="str">
        <x:v>130.93</x:v>
      </x:c>
      <x:c r="P1843" s="18" t="str">
        <x:v>2026-07-11</x:v>
      </x:c>
      <x:c r="Q1843" s="36" t="n">
        <x:v>46214</x:v>
      </x:c>
    </x:row>
    <x:row r="1844">
      <x:c r="A1844" s="36" t="str">
        <x:v>2026-07-10</x:v>
      </x:c>
      <x:c r="B1844" s="18" t="str">
        <x:v>101437000_41561</x:v>
      </x:c>
      <x:c r="C1844" s="18" t="str">
        <x:v>【沪村小电】张施小区大门处快充站</x:v>
      </x:c>
      <x:c r="D1844" s="37" t="str">
        <x:v>2</x:v>
      </x:c>
      <x:c r="E1844" s="37" t="str">
        <x:v>0</x:v>
      </x:c>
      <x:c r="F1844" s="37" t="str">
        <x:v>55</x:v>
      </x:c>
      <x:c r="G1844" s="37" t="str">
        <x:v>1435.36</x:v>
      </x:c>
      <x:c r="H1844" s="37" t="str">
        <x:v>0.00</x:v>
      </x:c>
      <x:c r="I1844" s="37" t="str">
        <x:v>808.21</x:v>
      </x:c>
      <x:c r="J1844" s="37" t="str">
        <x:v>0.00</x:v>
      </x:c>
      <x:c r="K1844" s="37" t="str">
        <x:v>627.15</x:v>
      </x:c>
      <x:c r="L1844" s="37" t="str">
        <x:v>2386</x:v>
      </x:c>
      <x:c r="M1844" s="29" t="str">
        <x:v>1136.87</x:v>
      </x:c>
      <x:c r="N1844" s="29" t="str">
        <x:v>814.27</x:v>
      </x:c>
      <x:c r="O1844" s="29" t="str">
        <x:v>322.60</x:v>
      </x:c>
      <x:c r="P1844" s="18" t="str">
        <x:v>2026-07-10</x:v>
      </x:c>
      <x:c r="Q1844" s="36" t="n">
        <x:v>46213</x:v>
      </x:c>
    </x:row>
    <x:row r="1845">
      <x:c r="A1845" s="36" t="str">
        <x:v>2026-07-10</x:v>
      </x:c>
      <x:c r="B1845" s="18" t="str">
        <x:v>101437000_41563</x:v>
      </x:c>
      <x:c r="C1845" s="18" t="str">
        <x:v>【沪村小电】同心村快充站</x:v>
      </x:c>
      <x:c r="D1845" s="37" t="str">
        <x:v>4</x:v>
      </x:c>
      <x:c r="E1845" s="37" t="str">
        <x:v>0</x:v>
      </x:c>
      <x:c r="F1845" s="37" t="str">
        <x:v>67</x:v>
      </x:c>
      <x:c r="G1845" s="37" t="str">
        <x:v>1607.39</x:v>
      </x:c>
      <x:c r="H1845" s="37" t="str">
        <x:v>0.00</x:v>
      </x:c>
      <x:c r="I1845" s="37" t="str">
        <x:v>1109.45</x:v>
      </x:c>
      <x:c r="J1845" s="37" t="str">
        <x:v>0.00</x:v>
      </x:c>
      <x:c r="K1845" s="37" t="str">
        <x:v>497.93</x:v>
      </x:c>
      <x:c r="L1845" s="37" t="str">
        <x:v>2622</x:v>
      </x:c>
      <x:c r="M1845" s="29" t="str">
        <x:v>1450.92</x:v>
      </x:c>
      <x:c r="N1845" s="29" t="str">
        <x:v>965.34</x:v>
      </x:c>
      <x:c r="O1845" s="29" t="str">
        <x:v>485.58</x:v>
      </x:c>
      <x:c r="P1845" s="18" t="str">
        <x:v>2026-07-10</x:v>
      </x:c>
      <x:c r="Q1845" s="36" t="n">
        <x:v>46213</x:v>
      </x:c>
    </x:row>
    <x:row r="1846">
      <x:c r="A1846" s="36" t="str">
        <x:v>2026-07-10</x:v>
      </x:c>
      <x:c r="B1846" s="18" t="str">
        <x:v>101437000_69629</x:v>
      </x:c>
      <x:c r="C1846" s="18" t="str">
        <x:v>【沪村小电】骏丰玲珑坊西苑充电站</x:v>
      </x:c>
      <x:c r="D1846" s="37" t="str">
        <x:v>2</x:v>
      </x:c>
      <x:c r="E1846" s="37" t="str">
        <x:v>0</x:v>
      </x:c>
      <x:c r="F1846" s="37" t="str">
        <x:v>79</x:v>
      </x:c>
      <x:c r="G1846" s="37" t="str">
        <x:v>1970.75</x:v>
      </x:c>
      <x:c r="H1846" s="37" t="str">
        <x:v>0.00</x:v>
      </x:c>
      <x:c r="I1846" s="37" t="str">
        <x:v>1226.45</x:v>
      </x:c>
      <x:c r="J1846" s="37" t="str">
        <x:v>0.00</x:v>
      </x:c>
      <x:c r="K1846" s="37" t="str">
        <x:v>744.30</x:v>
      </x:c>
      <x:c r="L1846" s="37" t="str">
        <x:v>3319</x:v>
      </x:c>
      <x:c r="M1846" s="29" t="str">
        <x:v>1638.38</x:v>
      </x:c>
      <x:c r="N1846" s="29" t="str">
        <x:v>1159.04</x:v>
      </x:c>
      <x:c r="O1846" s="29" t="str">
        <x:v>479.34</x:v>
      </x:c>
      <x:c r="P1846" s="18" t="str">
        <x:v>2026-07-10</x:v>
      </x:c>
      <x:c r="Q1846" s="36" t="n">
        <x:v>46213</x:v>
      </x:c>
    </x:row>
    <x:row r="1847">
      <x:c r="A1847" s="36" t="str">
        <x:v>2026-07-10</x:v>
      </x:c>
      <x:c r="B1847" s="18" t="str">
        <x:v>101437000_70547</x:v>
      </x:c>
      <x:c r="C1847" s="18" t="str">
        <x:v>【沪村小电】农建村初心馆党群服务中心充电站</x:v>
      </x:c>
      <x:c r="D1847" s="37" t="str">
        <x:v>4</x:v>
      </x:c>
      <x:c r="E1847" s="37" t="str">
        <x:v>0</x:v>
      </x:c>
      <x:c r="F1847" s="37" t="str">
        <x:v>42</x:v>
      </x:c>
      <x:c r="G1847" s="37" t="str">
        <x:v>611.05</x:v>
      </x:c>
      <x:c r="H1847" s="37" t="str">
        <x:v>0.00</x:v>
      </x:c>
      <x:c r="I1847" s="37" t="str">
        <x:v>348.25</x:v>
      </x:c>
      <x:c r="J1847" s="37" t="str">
        <x:v>0.00</x:v>
      </x:c>
      <x:c r="K1847" s="37" t="str">
        <x:v>262.81</x:v>
      </x:c>
      <x:c r="L1847" s="37" t="str">
        <x:v>1074</x:v>
      </x:c>
      <x:c r="M1847" s="29" t="str">
        <x:v>563.27</x:v>
      </x:c>
      <x:c r="N1847" s="29" t="str">
        <x:v>379.66</x:v>
      </x:c>
      <x:c r="O1847" s="29" t="str">
        <x:v>183.61</x:v>
      </x:c>
      <x:c r="P1847" s="18" t="str">
        <x:v>2026-07-10</x:v>
      </x:c>
      <x:c r="Q1847" s="36" t="n">
        <x:v>46213</x:v>
      </x:c>
    </x:row>
    <x:row r="1848">
      <x:c r="A1848" s="36" t="str">
        <x:v>2026-07-10</x:v>
      </x:c>
      <x:c r="B1848" s="18" t="str">
        <x:v>101437000_70549</x:v>
      </x:c>
      <x:c r="C1848" s="18" t="str">
        <x:v>【沪村小电】学府路充电站</x:v>
      </x:c>
      <x:c r="D1848" s="37" t="str">
        <x:v>2</x:v>
      </x:c>
      <x:c r="E1848" s="37" t="str">
        <x:v>0</x:v>
      </x:c>
      <x:c r="F1848" s="37" t="str">
        <x:v>11</x:v>
      </x:c>
      <x:c r="G1848" s="37" t="str">
        <x:v>220.53</x:v>
      </x:c>
      <x:c r="H1848" s="37" t="str">
        <x:v>0.00</x:v>
      </x:c>
      <x:c r="I1848" s="37" t="str">
        <x:v>129.98</x:v>
      </x:c>
      <x:c r="J1848" s="37" t="str">
        <x:v>0.00</x:v>
      </x:c>
      <x:c r="K1848" s="37" t="str">
        <x:v>90.55</x:v>
      </x:c>
      <x:c r="L1848" s="37" t="str">
        <x:v>402</x:v>
      </x:c>
      <x:c r="M1848" s="29" t="str">
        <x:v>207.03</x:v>
      </x:c>
      <x:c r="N1848" s="29" t="str">
        <x:v>134.73</x:v>
      </x:c>
      <x:c r="O1848" s="29" t="str">
        <x:v>72.30</x:v>
      </x:c>
      <x:c r="P1848" s="18" t="str">
        <x:v>2026-07-10</x:v>
      </x:c>
      <x:c r="Q1848" s="36" t="n">
        <x:v>46213</x:v>
      </x:c>
    </x:row>
    <x:row r="1849">
      <x:c r="A1849" s="36" t="str">
        <x:v>2026-07-10</x:v>
      </x:c>
      <x:c r="B1849" s="18" t="str">
        <x:v>101437000_71059</x:v>
      </x:c>
      <x:c r="C1849" s="18" t="str">
        <x:v>【沪村小电】宝乐汇商业广场站</x:v>
      </x:c>
      <x:c r="D1849" s="37" t="str">
        <x:v>4</x:v>
      </x:c>
      <x:c r="E1849" s="37" t="str">
        <x:v>0</x:v>
      </x:c>
      <x:c r="F1849" s="37" t="str">
        <x:v>20</x:v>
      </x:c>
      <x:c r="G1849" s="37" t="str">
        <x:v>457.32</x:v>
      </x:c>
      <x:c r="H1849" s="37" t="str">
        <x:v>0.00</x:v>
      </x:c>
      <x:c r="I1849" s="37" t="str">
        <x:v>395.54</x:v>
      </x:c>
      <x:c r="J1849" s="37" t="str">
        <x:v>0.00</x:v>
      </x:c>
      <x:c r="K1849" s="37" t="str">
        <x:v>61.78</x:v>
      </x:c>
      <x:c r="L1849" s="37" t="str">
        <x:v>689</x:v>
      </x:c>
      <x:c r="M1849" s="29" t="str">
        <x:v>558.71</x:v>
      </x:c>
      <x:c r="N1849" s="29" t="str">
        <x:v>378.67</x:v>
      </x:c>
      <x:c r="O1849" s="29" t="str">
        <x:v>180.04</x:v>
      </x:c>
      <x:c r="P1849" s="18" t="str">
        <x:v>2026-07-10</x:v>
      </x:c>
      <x:c r="Q1849" s="36" t="n">
        <x:v>46213</x:v>
      </x:c>
    </x:row>
    <x:row r="1850">
      <x:c r="A1850" s="36" t="str">
        <x:v>2026-07-10</x:v>
      </x:c>
      <x:c r="B1850" s="18" t="str">
        <x:v>101437000_72541</x:v>
      </x:c>
      <x:c r="C1850" s="18" t="str">
        <x:v>【沪村小电】九干路1174弄充电站</x:v>
      </x:c>
      <x:c r="D1850" s="37" t="str">
        <x:v>2</x:v>
      </x:c>
      <x:c r="E1850" s="37" t="str">
        <x:v>0</x:v>
      </x:c>
      <x:c r="F1850" s="37" t="str">
        <x:v>113</x:v>
      </x:c>
      <x:c r="G1850" s="37" t="str">
        <x:v>325.05</x:v>
      </x:c>
      <x:c r="H1850" s="37" t="str">
        <x:v>0.00</x:v>
      </x:c>
      <x:c r="I1850" s="37" t="str">
        <x:v>269.75</x:v>
      </x:c>
      <x:c r="J1850" s="37" t="str">
        <x:v>0.00</x:v>
      </x:c>
      <x:c r="K1850" s="37" t="str">
        <x:v>55.30</x:v>
      </x:c>
      <x:c r="L1850" s="37" t="str">
        <x:v>672</x:v>
      </x:c>
      <x:c r="M1850" s="29" t="str">
        <x:v>286.01</x:v>
      </x:c>
      <x:c r="N1850" s="29" t="str">
        <x:v>213.23</x:v>
      </x:c>
      <x:c r="O1850" s="29" t="str">
        <x:v>72.78</x:v>
      </x:c>
      <x:c r="P1850" s="18" t="str">
        <x:v>2026-07-10</x:v>
      </x:c>
      <x:c r="Q1850" s="36" t="n">
        <x:v>46213</x:v>
      </x:c>
    </x:row>
    <x:row r="1851">
      <x:c r="A1851" s="36" t="str">
        <x:v>2026-07-10</x:v>
      </x:c>
      <x:c r="B1851" s="18" t="str">
        <x:v>101437000_72543</x:v>
      </x:c>
      <x:c r="C1851" s="18" t="str">
        <x:v>【沪村小电】叶家中心村小区充电站</x:v>
      </x:c>
      <x:c r="D1851" s="37" t="str">
        <x:v>2</x:v>
      </x:c>
      <x:c r="E1851" s="37" t="str">
        <x:v>0</x:v>
      </x:c>
      <x:c r="F1851" s="37" t="str">
        <x:v>56</x:v>
      </x:c>
      <x:c r="G1851" s="37" t="str">
        <x:v>1309.66</x:v>
      </x:c>
      <x:c r="H1851" s="37" t="str">
        <x:v>0.00</x:v>
      </x:c>
      <x:c r="I1851" s="37" t="str">
        <x:v>669.40</x:v>
      </x:c>
      <x:c r="J1851" s="37" t="str">
        <x:v>0.00</x:v>
      </x:c>
      <x:c r="K1851" s="37" t="str">
        <x:v>640.25</x:v>
      </x:c>
      <x:c r="L1851" s="37" t="str">
        <x:v>2272</x:v>
      </x:c>
      <x:c r="M1851" s="29" t="str">
        <x:v>1060.39</x:v>
      </x:c>
      <x:c r="N1851" s="29" t="str">
        <x:v>717.51</x:v>
      </x:c>
      <x:c r="O1851" s="29" t="str">
        <x:v>342.88</x:v>
      </x:c>
      <x:c r="P1851" s="18" t="str">
        <x:v>2026-07-10</x:v>
      </x:c>
      <x:c r="Q1851" s="36" t="n">
        <x:v>46213</x:v>
      </x:c>
    </x:row>
    <x:row r="1852">
      <x:c r="A1852" s="36" t="str">
        <x:v>2026-07-10</x:v>
      </x:c>
      <x:c r="B1852" s="18" t="str">
        <x:v>101437000_72937</x:v>
      </x:c>
      <x:c r="C1852" s="18" t="str">
        <x:v>【沪村小电】佘北家园茸腾苑充电站</x:v>
      </x:c>
      <x:c r="D1852" s="37" t="str">
        <x:v>4</x:v>
      </x:c>
      <x:c r="E1852" s="37" t="str">
        <x:v>0</x:v>
      </x:c>
      <x:c r="F1852" s="37" t="str">
        <x:v>19</x:v>
      </x:c>
      <x:c r="G1852" s="37" t="str">
        <x:v>471.75</x:v>
      </x:c>
      <x:c r="H1852" s="37" t="str">
        <x:v>0.00</x:v>
      </x:c>
      <x:c r="I1852" s="37" t="str">
        <x:v>471.75</x:v>
      </x:c>
      <x:c r="J1852" s="37" t="str">
        <x:v>0.00</x:v>
      </x:c>
      <x:c r="K1852" s="37" t="str">
        <x:v>0.00</x:v>
      </x:c>
      <x:c r="L1852" s="37" t="str">
        <x:v>630</x:v>
      </x:c>
      <x:c r="M1852" s="29" t="str">
        <x:v>483.88</x:v>
      </x:c>
      <x:c r="N1852" s="29" t="str">
        <x:v>336.19</x:v>
      </x:c>
      <x:c r="O1852" s="29" t="str">
        <x:v>147.69</x:v>
      </x:c>
      <x:c r="P1852" s="18" t="str">
        <x:v>2026-07-10</x:v>
      </x:c>
      <x:c r="Q1852" s="36" t="n">
        <x:v>46213</x:v>
      </x:c>
    </x:row>
    <x:row r="1853">
      <x:c r="A1853" s="36" t="str">
        <x:v>2026-07-10</x:v>
      </x:c>
      <x:c r="B1853" s="18" t="str">
        <x:v>101437000_74223</x:v>
      </x:c>
      <x:c r="C1853" s="18" t="str">
        <x:v>【沪村小电】中兴村委会充电站</x:v>
      </x:c>
      <x:c r="D1853" s="37" t="str">
        <x:v>2</x:v>
      </x:c>
      <x:c r="E1853" s="37" t="str">
        <x:v>0</x:v>
      </x:c>
      <x:c r="F1853" s="37" t="str">
        <x:v>26</x:v>
      </x:c>
      <x:c r="G1853" s="37" t="str">
        <x:v>669.54</x:v>
      </x:c>
      <x:c r="H1853" s="37" t="str">
        <x:v>0.00</x:v>
      </x:c>
      <x:c r="I1853" s="37" t="str">
        <x:v>544.67</x:v>
      </x:c>
      <x:c r="J1853" s="37" t="str">
        <x:v>0.00</x:v>
      </x:c>
      <x:c r="K1853" s="37" t="str">
        <x:v>124.87</x:v>
      </x:c>
      <x:c r="L1853" s="37" t="str">
        <x:v>823</x:v>
      </x:c>
      <x:c r="M1853" s="29" t="str">
        <x:v>702.74</x:v>
      </x:c>
      <x:c r="N1853" s="29" t="str">
        <x:v>471.33</x:v>
      </x:c>
      <x:c r="O1853" s="29" t="str">
        <x:v>231.41</x:v>
      </x:c>
      <x:c r="P1853" s="18" t="str">
        <x:v>2026-07-10</x:v>
      </x:c>
      <x:c r="Q1853" s="36" t="n">
        <x:v>46213</x:v>
      </x:c>
    </x:row>
    <x:row r="1854">
      <x:c r="A1854" s="36" t="str">
        <x:v>2026-07-10</x:v>
      </x:c>
      <x:c r="B1854" s="18" t="str">
        <x:v>101437000_74801</x:v>
      </x:c>
      <x:c r="C1854" s="18" t="str">
        <x:v>【沪村小电】申良花园充电站</x:v>
      </x:c>
      <x:c r="D1854" s="37" t="str">
        <x:v>4</x:v>
      </x:c>
      <x:c r="E1854" s="37" t="str">
        <x:v>0</x:v>
      </x:c>
      <x:c r="F1854" s="37" t="str">
        <x:v>6</x:v>
      </x:c>
      <x:c r="G1854" s="37" t="str">
        <x:v>207.99</x:v>
      </x:c>
      <x:c r="H1854" s="37" t="str">
        <x:v>0.00</x:v>
      </x:c>
      <x:c r="I1854" s="37" t="str">
        <x:v>207.99</x:v>
      </x:c>
      <x:c r="J1854" s="37" t="str">
        <x:v>0.00</x:v>
      </x:c>
      <x:c r="K1854" s="37" t="str">
        <x:v>0.00</x:v>
      </x:c>
      <x:c r="L1854" s="37" t="str">
        <x:v>275</x:v>
      </x:c>
      <x:c r="M1854" s="29" t="str">
        <x:v>231.75</x:v>
      </x:c>
      <x:c r="N1854" s="29" t="str">
        <x:v>149.79</x:v>
      </x:c>
      <x:c r="O1854" s="29" t="str">
        <x:v>81.96</x:v>
      </x:c>
      <x:c r="P1854" s="18" t="str">
        <x:v>2026-07-10</x:v>
      </x:c>
      <x:c r="Q1854" s="36" t="n">
        <x:v>46213</x:v>
      </x:c>
    </x:row>
    <x:row r="1855">
      <x:c r="A1855" s="36" t="str">
        <x:v>2026-07-10</x:v>
      </x:c>
      <x:c r="B1855" s="18" t="str">
        <x:v>101437000_74931</x:v>
      </x:c>
      <x:c r="C1855" s="18" t="str">
        <x:v>【沪村小电】枫雅南居充电站</x:v>
      </x:c>
      <x:c r="D1855" s="37" t="str">
        <x:v>2</x:v>
      </x:c>
      <x:c r="E1855" s="37" t="str">
        <x:v>0</x:v>
      </x:c>
      <x:c r="F1855" s="37" t="str">
        <x:v>64</x:v>
      </x:c>
      <x:c r="G1855" s="37" t="str">
        <x:v>1830.73</x:v>
      </x:c>
      <x:c r="H1855" s="37" t="str">
        <x:v>0.00</x:v>
      </x:c>
      <x:c r="I1855" s="37" t="str">
        <x:v>1106.16</x:v>
      </x:c>
      <x:c r="J1855" s="37" t="str">
        <x:v>0.00</x:v>
      </x:c>
      <x:c r="K1855" s="37" t="str">
        <x:v>724.56</x:v>
      </x:c>
      <x:c r="L1855" s="37" t="str">
        <x:v>2503</x:v>
      </x:c>
      <x:c r="M1855" s="29" t="str">
        <x:v>1351.46</x:v>
      </x:c>
      <x:c r="N1855" s="29" t="str">
        <x:v>877.24</x:v>
      </x:c>
      <x:c r="O1855" s="29" t="str">
        <x:v>474.22</x:v>
      </x:c>
      <x:c r="P1855" s="18" t="str">
        <x:v>2026-07-10</x:v>
      </x:c>
      <x:c r="Q1855" s="36" t="n">
        <x:v>46213</x:v>
      </x:c>
    </x:row>
    <x:row r="1856">
      <x:c r="A1856" s="36" t="str">
        <x:v>2026-07-10</x:v>
      </x:c>
      <x:c r="B1856" s="18" t="str">
        <x:v>101437000_75901</x:v>
      </x:c>
      <x:c r="C1856" s="18" t="str">
        <x:v>【沪村小电】金悦学府</x:v>
      </x:c>
      <x:c r="D1856" s="37" t="str">
        <x:v>2</x:v>
      </x:c>
      <x:c r="E1856" s="37" t="str">
        <x:v>0</x:v>
      </x:c>
      <x:c r="F1856" s="37" t="str">
        <x:v>27</x:v>
      </x:c>
      <x:c r="G1856" s="37" t="str">
        <x:v>346.40</x:v>
      </x:c>
      <x:c r="H1856" s="37" t="str">
        <x:v>0.00</x:v>
      </x:c>
      <x:c r="I1856" s="37" t="str">
        <x:v>155.16</x:v>
      </x:c>
      <x:c r="J1856" s="37" t="str">
        <x:v>0.00</x:v>
      </x:c>
      <x:c r="K1856" s="37" t="str">
        <x:v>191.24</x:v>
      </x:c>
      <x:c r="L1856" s="37" t="str">
        <x:v>448</x:v>
      </x:c>
      <x:c r="M1856" s="29" t="str">
        <x:v>268.56</x:v>
      </x:c>
      <x:c r="N1856" s="29" t="str">
        <x:v>150.84</x:v>
      </x:c>
      <x:c r="O1856" s="29" t="str">
        <x:v>117.72</x:v>
      </x:c>
      <x:c r="P1856" s="18" t="str">
        <x:v>2026-07-10</x:v>
      </x:c>
      <x:c r="Q1856" s="36" t="n">
        <x:v>46213</x:v>
      </x:c>
    </x:row>
    <x:row r="1857">
      <x:c r="A1857" s="36" t="str">
        <x:v>2026-07-10</x:v>
      </x:c>
      <x:c r="B1857" s="18" t="str">
        <x:v>101437000_76091</x:v>
      </x:c>
      <x:c r="C1857" s="18" t="str">
        <x:v>【沪村小电】恒信家园充电站</x:v>
      </x:c>
      <x:c r="D1857" s="37" t="str">
        <x:v>2</x:v>
      </x:c>
      <x:c r="E1857" s="37" t="str">
        <x:v>0</x:v>
      </x:c>
      <x:c r="F1857" s="37" t="str">
        <x:v>38</x:v>
      </x:c>
      <x:c r="G1857" s="37" t="str">
        <x:v>1004.47</x:v>
      </x:c>
      <x:c r="H1857" s="37" t="str">
        <x:v>0.00</x:v>
      </x:c>
      <x:c r="I1857" s="37" t="str">
        <x:v>537.03</x:v>
      </x:c>
      <x:c r="J1857" s="37" t="str">
        <x:v>0.00</x:v>
      </x:c>
      <x:c r="K1857" s="37" t="str">
        <x:v>467.45</x:v>
      </x:c>
      <x:c r="L1857" s="37" t="str">
        <x:v>1516</x:v>
      </x:c>
      <x:c r="M1857" s="29" t="str">
        <x:v>913.10</x:v>
      </x:c>
      <x:c r="N1857" s="29" t="str">
        <x:v>558.88</x:v>
      </x:c>
      <x:c r="O1857" s="29" t="str">
        <x:v>354.22</x:v>
      </x:c>
      <x:c r="P1857" s="18" t="str">
        <x:v>2026-07-10</x:v>
      </x:c>
      <x:c r="Q1857" s="36" t="n">
        <x:v>46213</x:v>
      </x:c>
    </x:row>
    <x:row r="1858">
      <x:c r="A1858" s="36" t="str">
        <x:v>2026-07-10</x:v>
      </x:c>
      <x:c r="B1858" s="18" t="str">
        <x:v>101437000_76417</x:v>
      </x:c>
      <x:c r="C1858" s="18" t="str">
        <x:v>【沪村小电】新春一组充电站</x:v>
      </x:c>
      <x:c r="D1858" s="37" t="str">
        <x:v>2</x:v>
      </x:c>
      <x:c r="E1858" s="37" t="str">
        <x:v>0</x:v>
      </x:c>
      <x:c r="F1858" s="37" t="str">
        <x:v>31</x:v>
      </x:c>
      <x:c r="G1858" s="37" t="str">
        <x:v>782.76</x:v>
      </x:c>
      <x:c r="H1858" s="37" t="str">
        <x:v>0.00</x:v>
      </x:c>
      <x:c r="I1858" s="37" t="str">
        <x:v>482.71</x:v>
      </x:c>
      <x:c r="J1858" s="37" t="str">
        <x:v>0.00</x:v>
      </x:c>
      <x:c r="K1858" s="37" t="str">
        <x:v>300.04</x:v>
      </x:c>
      <x:c r="L1858" s="37" t="str">
        <x:v>1210</x:v>
      </x:c>
      <x:c r="M1858" s="29" t="str">
        <x:v>667.48</x:v>
      </x:c>
      <x:c r="N1858" s="29" t="str">
        <x:v>489.62</x:v>
      </x:c>
      <x:c r="O1858" s="29" t="str">
        <x:v>177.86</x:v>
      </x:c>
      <x:c r="P1858" s="18" t="str">
        <x:v>2026-07-10</x:v>
      </x:c>
      <x:c r="Q1858" s="36" t="n">
        <x:v>46213</x:v>
      </x:c>
    </x:row>
    <x:row r="1859">
      <x:c r="A1859" s="36" t="str">
        <x:v>2026-07-10</x:v>
      </x:c>
      <x:c r="B1859" s="18" t="str">
        <x:v>101437000_78235</x:v>
      </x:c>
      <x:c r="C1859" s="18" t="str">
        <x:v>【沪村小电】欣秋苑充电站</x:v>
      </x:c>
      <x:c r="D1859" s="37" t="str">
        <x:v>4</x:v>
      </x:c>
      <x:c r="E1859" s="37" t="str">
        <x:v>0</x:v>
      </x:c>
      <x:c r="F1859" s="37" t="str">
        <x:v>26</x:v>
      </x:c>
      <x:c r="G1859" s="37" t="str">
        <x:v>705.74</x:v>
      </x:c>
      <x:c r="H1859" s="37" t="str">
        <x:v>0.00</x:v>
      </x:c>
      <x:c r="I1859" s="37" t="str">
        <x:v>442.01</x:v>
      </x:c>
      <x:c r="J1859" s="37" t="str">
        <x:v>0.00</x:v>
      </x:c>
      <x:c r="K1859" s="37" t="str">
        <x:v>263.73</x:v>
      </x:c>
      <x:c r="L1859" s="37" t="str">
        <x:v>1081</x:v>
      </x:c>
      <x:c r="M1859" s="29" t="str">
        <x:v>566.28</x:v>
      </x:c>
      <x:c r="N1859" s="29" t="str">
        <x:v>412.72</x:v>
      </x:c>
      <x:c r="O1859" s="29" t="str">
        <x:v>153.56</x:v>
      </x:c>
      <x:c r="P1859" s="18" t="str">
        <x:v>2026-07-10</x:v>
      </x:c>
      <x:c r="Q1859" s="36" t="n">
        <x:v>46213</x:v>
      </x:c>
    </x:row>
    <x:row r="1860">
      <x:c r="A1860" s="36" t="str">
        <x:v>2026-07-10</x:v>
      </x:c>
      <x:c r="B1860" s="18" t="str">
        <x:v>101437000_78237</x:v>
      </x:c>
      <x:c r="C1860" s="18" t="str">
        <x:v>【沪村小电】奉馨苑西门小区内北侧充电站</x:v>
      </x:c>
      <x:c r="D1860" s="37" t="str">
        <x:v>2</x:v>
      </x:c>
      <x:c r="E1860" s="37" t="str">
        <x:v>0</x:v>
      </x:c>
      <x:c r="F1860" s="37" t="str">
        <x:v>52</x:v>
      </x:c>
      <x:c r="G1860" s="37" t="str">
        <x:v>1467.39</x:v>
      </x:c>
      <x:c r="H1860" s="37" t="str">
        <x:v>0.00</x:v>
      </x:c>
      <x:c r="I1860" s="37" t="str">
        <x:v>929.11</x:v>
      </x:c>
      <x:c r="J1860" s="37" t="str">
        <x:v>46.20</x:v>
      </x:c>
      <x:c r="K1860" s="37" t="str">
        <x:v>492.08</x:v>
      </x:c>
      <x:c r="L1860" s="37" t="str">
        <x:v>2278</x:v>
      </x:c>
      <x:c r="M1860" s="29" t="str">
        <x:v>1306.74</x:v>
      </x:c>
      <x:c r="N1860" s="29" t="str">
        <x:v>883.74</x:v>
      </x:c>
      <x:c r="O1860" s="29" t="str">
        <x:v>423.00</x:v>
      </x:c>
      <x:c r="P1860" s="18" t="str">
        <x:v>2026-07-10</x:v>
      </x:c>
      <x:c r="Q1860" s="36" t="n">
        <x:v>46213</x:v>
      </x:c>
    </x:row>
    <x:row r="1861">
      <x:c r="A1861" s="36" t="str">
        <x:v>2026-07-10</x:v>
      </x:c>
      <x:c r="B1861" s="18" t="str">
        <x:v>101437000_78239</x:v>
      </x:c>
      <x:c r="C1861" s="18" t="str">
        <x:v>【沪村小电】恒大佘山首府东门充电站</x:v>
      </x:c>
      <x:c r="D1861" s="37" t="str">
        <x:v>2</x:v>
      </x:c>
      <x:c r="E1861" s="37" t="str">
        <x:v>0</x:v>
      </x:c>
      <x:c r="F1861" s="37" t="str">
        <x:v>50</x:v>
      </x:c>
      <x:c r="G1861" s="37" t="str">
        <x:v>1233.03</x:v>
      </x:c>
      <x:c r="H1861" s="37" t="str">
        <x:v>0.00</x:v>
      </x:c>
      <x:c r="I1861" s="37" t="str">
        <x:v>732.76</x:v>
      </x:c>
      <x:c r="J1861" s="37" t="str">
        <x:v>0.00</x:v>
      </x:c>
      <x:c r="K1861" s="37" t="str">
        <x:v>500.27</x:v>
      </x:c>
      <x:c r="L1861" s="37" t="str">
        <x:v>1799</x:v>
      </x:c>
      <x:c r="M1861" s="29" t="str">
        <x:v>1040.18</x:v>
      </x:c>
      <x:c r="N1861" s="29" t="str">
        <x:v>711.86</x:v>
      </x:c>
      <x:c r="O1861" s="29" t="str">
        <x:v>328.32</x:v>
      </x:c>
      <x:c r="P1861" s="18" t="str">
        <x:v>2026-07-10</x:v>
      </x:c>
      <x:c r="Q1861" s="36" t="n">
        <x:v>46213</x:v>
      </x:c>
    </x:row>
    <x:row r="1862">
      <x:c r="A1862" s="36" t="str">
        <x:v>2026-07-10</x:v>
      </x:c>
      <x:c r="B1862" s="18" t="str">
        <x:v>101437000_80823</x:v>
      </x:c>
      <x:c r="C1862" s="18" t="str">
        <x:v>【沪村小电】上湖轩充电站</x:v>
      </x:c>
      <x:c r="D1862" s="37" t="str">
        <x:v>2</x:v>
      </x:c>
      <x:c r="E1862" s="37" t="str">
        <x:v>0</x:v>
      </x:c>
      <x:c r="F1862" s="37" t="str">
        <x:v>31</x:v>
      </x:c>
      <x:c r="G1862" s="37" t="str">
        <x:v>702.07</x:v>
      </x:c>
      <x:c r="H1862" s="37" t="str">
        <x:v>63.02</x:v>
      </x:c>
      <x:c r="I1862" s="37" t="str">
        <x:v>57.78</x:v>
      </x:c>
      <x:c r="J1862" s="37" t="str">
        <x:v>84.87</x:v>
      </x:c>
      <x:c r="K1862" s="37" t="str">
        <x:v>496.38</x:v>
      </x:c>
      <x:c r="L1862" s="37" t="str">
        <x:v>856</x:v>
      </x:c>
      <x:c r="M1862" s="29" t="str">
        <x:v>490.15</x:v>
      </x:c>
      <x:c r="N1862" s="29" t="str">
        <x:v>360.01</x:v>
      </x:c>
      <x:c r="O1862" s="29" t="str">
        <x:v>130.14</x:v>
      </x:c>
      <x:c r="P1862" s="18" t="str">
        <x:v>2026-07-10</x:v>
      </x:c>
      <x:c r="Q1862" s="36" t="n">
        <x:v>46213</x:v>
      </x:c>
    </x:row>
    <x:row r="1863">
      <x:c r="A1863" s="36" t="str">
        <x:v>2026-07-10</x:v>
      </x:c>
      <x:c r="B1863" s="18" t="str">
        <x:v>101437000_83019</x:v>
      </x:c>
      <x:c r="C1863" s="18" t="str">
        <x:v>【沪村小电】首创禧瑞云启东区充电站</x:v>
      </x:c>
      <x:c r="D1863" s="37" t="str">
        <x:v>2</x:v>
      </x:c>
      <x:c r="E1863" s="37" t="str">
        <x:v>0</x:v>
      </x:c>
      <x:c r="F1863" s="37" t="str">
        <x:v>37</x:v>
      </x:c>
      <x:c r="G1863" s="37" t="str">
        <x:v>786.27</x:v>
      </x:c>
      <x:c r="H1863" s="37" t="str">
        <x:v>0.00</x:v>
      </x:c>
      <x:c r="I1863" s="37" t="str">
        <x:v>618.53</x:v>
      </x:c>
      <x:c r="J1863" s="37" t="str">
        <x:v>0.00</x:v>
      </x:c>
      <x:c r="K1863" s="37" t="str">
        <x:v>167.74</x:v>
      </x:c>
      <x:c r="L1863" s="37" t="str">
        <x:v>1251</x:v>
      </x:c>
      <x:c r="M1863" s="29" t="str">
        <x:v>781.06</x:v>
      </x:c>
      <x:c r="N1863" s="29" t="str">
        <x:v>498.62</x:v>
      </x:c>
      <x:c r="O1863" s="29" t="str">
        <x:v>282.44</x:v>
      </x:c>
      <x:c r="P1863" s="18" t="str">
        <x:v>2026-07-10</x:v>
      </x:c>
      <x:c r="Q1863" s="36" t="n">
        <x:v>46213</x:v>
      </x:c>
    </x:row>
    <x:row r="1864">
      <x:c r="A1864" s="36" t="str">
        <x:v>2026-07-10</x:v>
      </x:c>
      <x:c r="B1864" s="18" t="str">
        <x:v>101437000_83093</x:v>
      </x:c>
      <x:c r="C1864" s="18" t="str">
        <x:v>【沪村小电】金茂未来时光里</x:v>
      </x:c>
      <x:c r="D1864" s="37" t="str">
        <x:v>2</x:v>
      </x:c>
      <x:c r="E1864" s="37" t="str">
        <x:v>0</x:v>
      </x:c>
      <x:c r="F1864" s="37" t="str">
        <x:v>54</x:v>
      </x:c>
      <x:c r="G1864" s="37" t="str">
        <x:v>1537.18</x:v>
      </x:c>
      <x:c r="H1864" s="37" t="str">
        <x:v>0.00</x:v>
      </x:c>
      <x:c r="I1864" s="37" t="str">
        <x:v>786.94</x:v>
      </x:c>
      <x:c r="J1864" s="37" t="str">
        <x:v>0.00</x:v>
      </x:c>
      <x:c r="K1864" s="37" t="str">
        <x:v>750.24</x:v>
      </x:c>
      <x:c r="L1864" s="37" t="str">
        <x:v>2020</x:v>
      </x:c>
      <x:c r="M1864" s="29" t="str">
        <x:v>1110.48</x:v>
      </x:c>
      <x:c r="N1864" s="29" t="str">
        <x:v>696.87</x:v>
      </x:c>
      <x:c r="O1864" s="29" t="str">
        <x:v>413.61</x:v>
      </x:c>
      <x:c r="P1864" s="18" t="str">
        <x:v>2026-07-10</x:v>
      </x:c>
      <x:c r="Q1864" s="36" t="n">
        <x:v>46213</x:v>
      </x:c>
    </x:row>
    <x:row r="1865">
      <x:c r="A1865" s="36" t="str">
        <x:v>2026-07-10</x:v>
      </x:c>
      <x:c r="B1865" s="18" t="str">
        <x:v>101437000_83911</x:v>
      </x:c>
      <x:c r="C1865" s="18" t="str">
        <x:v>【沪村小电】金瀚园充电站</x:v>
      </x:c>
      <x:c r="D1865" s="37" t="str">
        <x:v>2</x:v>
      </x:c>
      <x:c r="E1865" s="37" t="str">
        <x:v>0</x:v>
      </x:c>
      <x:c r="F1865" s="37" t="str">
        <x:v>50</x:v>
      </x:c>
      <x:c r="G1865" s="37" t="str">
        <x:v>1051.54</x:v>
      </x:c>
      <x:c r="H1865" s="37" t="str">
        <x:v>0.00</x:v>
      </x:c>
      <x:c r="I1865" s="37" t="str">
        <x:v>739.65</x:v>
      </x:c>
      <x:c r="J1865" s="37" t="str">
        <x:v>0.00</x:v>
      </x:c>
      <x:c r="K1865" s="37" t="str">
        <x:v>311.89</x:v>
      </x:c>
      <x:c r="L1865" s="37" t="str">
        <x:v>1803</x:v>
      </x:c>
      <x:c r="M1865" s="29" t="str">
        <x:v>972.52</x:v>
      </x:c>
      <x:c r="N1865" s="29" t="str">
        <x:v>647.50</x:v>
      </x:c>
      <x:c r="O1865" s="29" t="str">
        <x:v>325.02</x:v>
      </x:c>
      <x:c r="P1865" s="18" t="str">
        <x:v>2026-07-10</x:v>
      </x:c>
      <x:c r="Q1865" s="36" t="n">
        <x:v>46213</x:v>
      </x:c>
    </x:row>
    <x:row r="1866">
      <x:c r="A1866" s="36" t="str">
        <x:v>2026-07-10</x:v>
      </x:c>
      <x:c r="B1866" s="18" t="str">
        <x:v>101437000_83913</x:v>
      </x:c>
      <x:c r="C1866" s="18" t="str">
        <x:v>【沪村小电】新黎村充电站</x:v>
      </x:c>
      <x:c r="D1866" s="37" t="str">
        <x:v>2</x:v>
      </x:c>
      <x:c r="E1866" s="37" t="str">
        <x:v>0</x:v>
      </x:c>
      <x:c r="F1866" s="37" t="str">
        <x:v>50</x:v>
      </x:c>
      <x:c r="G1866" s="37" t="str">
        <x:v>1256.28</x:v>
      </x:c>
      <x:c r="H1866" s="37" t="str">
        <x:v>0.00</x:v>
      </x:c>
      <x:c r="I1866" s="37" t="str">
        <x:v>883.64</x:v>
      </x:c>
      <x:c r="J1866" s="37" t="str">
        <x:v>0.00</x:v>
      </x:c>
      <x:c r="K1866" s="37" t="str">
        <x:v>372.64</x:v>
      </x:c>
      <x:c r="L1866" s="37" t="str">
        <x:v>2133</x:v>
      </x:c>
      <x:c r="M1866" s="29" t="str">
        <x:v>1179.55</x:v>
      </x:c>
      <x:c r="N1866" s="29" t="str">
        <x:v>810.38</x:v>
      </x:c>
      <x:c r="O1866" s="29" t="str">
        <x:v>369.17</x:v>
      </x:c>
      <x:c r="P1866" s="18" t="str">
        <x:v>2026-07-10</x:v>
      </x:c>
      <x:c r="Q1866" s="36" t="n">
        <x:v>46213</x:v>
      </x:c>
    </x:row>
    <x:row r="1867">
      <x:c r="A1867" s="36" t="str">
        <x:v>2026-07-10</x:v>
      </x:c>
      <x:c r="B1867" s="18" t="str">
        <x:v>101437000_83915</x:v>
      </x:c>
      <x:c r="C1867" s="18" t="str">
        <x:v>【沪村小电】长泰西郊别墅充电站</x:v>
      </x:c>
      <x:c r="D1867" s="37" t="str">
        <x:v>2</x:v>
      </x:c>
      <x:c r="E1867" s="37" t="str">
        <x:v>0</x:v>
      </x:c>
      <x:c r="F1867" s="37" t="str">
        <x:v>21</x:v>
      </x:c>
      <x:c r="G1867" s="37" t="str">
        <x:v>488.77</x:v>
      </x:c>
      <x:c r="H1867" s="37" t="str">
        <x:v>0.00</x:v>
      </x:c>
      <x:c r="I1867" s="37" t="str">
        <x:v>418.01</x:v>
      </x:c>
      <x:c r="J1867" s="37" t="str">
        <x:v>0.00</x:v>
      </x:c>
      <x:c r="K1867" s="37" t="str">
        <x:v>70.77</x:v>
      </x:c>
      <x:c r="L1867" s="37" t="str">
        <x:v>652</x:v>
      </x:c>
      <x:c r="M1867" s="29" t="str">
        <x:v>489.88</x:v>
      </x:c>
      <x:c r="N1867" s="29" t="str">
        <x:v>325.09</x:v>
      </x:c>
      <x:c r="O1867" s="29" t="str">
        <x:v>164.79</x:v>
      </x:c>
      <x:c r="P1867" s="18" t="str">
        <x:v>2026-07-10</x:v>
      </x:c>
      <x:c r="Q1867" s="36" t="n">
        <x:v>46213</x:v>
      </x:c>
    </x:row>
    <x:row r="1868">
      <x:c r="A1868" s="36" t="str">
        <x:v>2026-07-10</x:v>
      </x:c>
      <x:c r="B1868" s="18" t="str">
        <x:v>101437000_83917</x:v>
      </x:c>
      <x:c r="C1868" s="18" t="str">
        <x:v>【沪村小电】旭新华庭充电站</x:v>
      </x:c>
      <x:c r="D1868" s="37" t="str">
        <x:v>4</x:v>
      </x:c>
      <x:c r="E1868" s="37" t="str">
        <x:v>0</x:v>
      </x:c>
      <x:c r="F1868" s="37" t="str">
        <x:v>31</x:v>
      </x:c>
      <x:c r="G1868" s="37" t="str">
        <x:v>851.32</x:v>
      </x:c>
      <x:c r="H1868" s="37" t="str">
        <x:v>0.00</x:v>
      </x:c>
      <x:c r="I1868" s="37" t="str">
        <x:v>536.23</x:v>
      </x:c>
      <x:c r="J1868" s="37" t="str">
        <x:v>0.00</x:v>
      </x:c>
      <x:c r="K1868" s="37" t="str">
        <x:v>315.09</x:v>
      </x:c>
      <x:c r="L1868" s="37" t="str">
        <x:v>1279</x:v>
      </x:c>
      <x:c r="M1868" s="29" t="str">
        <x:v>846.24</x:v>
      </x:c>
      <x:c r="N1868" s="29" t="str">
        <x:v>502.28</x:v>
      </x:c>
      <x:c r="O1868" s="29" t="str">
        <x:v>343.96</x:v>
      </x:c>
      <x:c r="P1868" s="18" t="str">
        <x:v>2026-07-10</x:v>
      </x:c>
      <x:c r="Q1868" s="36" t="n">
        <x:v>46213</x:v>
      </x:c>
    </x:row>
    <x:row r="1869">
      <x:c r="A1869" s="36" t="str">
        <x:v>2026-07-10</x:v>
      </x:c>
      <x:c r="B1869" s="18" t="str">
        <x:v>101437000_83919</x:v>
      </x:c>
      <x:c r="C1869" s="18" t="str">
        <x:v>【沪村小电】浦锦名仕嘉园充电站</x:v>
      </x:c>
      <x:c r="D1869" s="37" t="str">
        <x:v>4</x:v>
      </x:c>
      <x:c r="E1869" s="37" t="str">
        <x:v>0</x:v>
      </x:c>
      <x:c r="F1869" s="37" t="str">
        <x:v>46</x:v>
      </x:c>
      <x:c r="G1869" s="37" t="str">
        <x:v>707.45</x:v>
      </x:c>
      <x:c r="H1869" s="37" t="str">
        <x:v>0.00</x:v>
      </x:c>
      <x:c r="I1869" s="37" t="str">
        <x:v>427.85</x:v>
      </x:c>
      <x:c r="J1869" s="37" t="str">
        <x:v>194.69</x:v>
      </x:c>
      <x:c r="K1869" s="37" t="str">
        <x:v>84.91</x:v>
      </x:c>
      <x:c r="L1869" s="37" t="str">
        <x:v>1201</x:v>
      </x:c>
      <x:c r="M1869" s="29" t="str">
        <x:v>688.32</x:v>
      </x:c>
      <x:c r="N1869" s="29" t="str">
        <x:v>459.83</x:v>
      </x:c>
      <x:c r="O1869" s="29" t="str">
        <x:v>228.49</x:v>
      </x:c>
      <x:c r="P1869" s="18" t="str">
        <x:v>2026-07-10</x:v>
      </x:c>
      <x:c r="Q1869" s="36" t="n">
        <x:v>46213</x:v>
      </x:c>
    </x:row>
    <x:row r="1870">
      <x:c r="A1870" s="36" t="str">
        <x:v>2026-07-10</x:v>
      </x:c>
      <x:c r="B1870" s="18" t="str">
        <x:v>101437000_83921</x:v>
      </x:c>
      <x:c r="C1870" s="18" t="str">
        <x:v>【沪村小电】上海联怡枇杷乐园充电站（地库）</x:v>
      </x:c>
      <x:c r="D1870" s="37" t="str">
        <x:v>8</x:v>
      </x:c>
      <x:c r="E1870" s="37" t="str">
        <x:v>0</x:v>
      </x:c>
      <x:c r="F1870" s="37" t="str">
        <x:v>8</x:v>
      </x:c>
      <x:c r="G1870" s="37" t="str">
        <x:v>276.65</x:v>
      </x:c>
      <x:c r="H1870" s="37" t="str">
        <x:v>0.00</x:v>
      </x:c>
      <x:c r="I1870" s="37" t="str">
        <x:v>141.49</x:v>
      </x:c>
      <x:c r="J1870" s="37" t="str">
        <x:v>0.00</x:v>
      </x:c>
      <x:c r="K1870" s="37" t="str">
        <x:v>135.16</x:v>
      </x:c>
      <x:c r="L1870" s="37" t="str">
        <x:v>373</x:v>
      </x:c>
      <x:c r="M1870" s="29" t="str">
        <x:v>216.09</x:v>
      </x:c>
      <x:c r="N1870" s="29" t="str">
        <x:v>194.78</x:v>
      </x:c>
      <x:c r="O1870" s="29" t="str">
        <x:v>21.31</x:v>
      </x:c>
      <x:c r="P1870" s="18" t="str">
        <x:v>2026-07-10</x:v>
      </x:c>
      <x:c r="Q1870" s="36" t="n">
        <x:v>46213</x:v>
      </x:c>
    </x:row>
    <x:row r="1871">
      <x:c r="A1871" s="36" t="str">
        <x:v>2026-07-10</x:v>
      </x:c>
      <x:c r="B1871" s="18" t="str">
        <x:v>101437000_83923</x:v>
      </x:c>
      <x:c r="C1871" s="18" t="str">
        <x:v>【沪村小电】明珠新苑充电站</x:v>
      </x:c>
      <x:c r="D1871" s="37" t="str">
        <x:v>2</x:v>
      </x:c>
      <x:c r="E1871" s="37" t="str">
        <x:v>0</x:v>
      </x:c>
      <x:c r="F1871" s="37" t="str">
        <x:v>33</x:v>
      </x:c>
      <x:c r="G1871" s="37" t="str">
        <x:v>930.67</x:v>
      </x:c>
      <x:c r="H1871" s="37" t="str">
        <x:v>0.00</x:v>
      </x:c>
      <x:c r="I1871" s="37" t="str">
        <x:v>700.12</x:v>
      </x:c>
      <x:c r="J1871" s="37" t="str">
        <x:v>0.00</x:v>
      </x:c>
      <x:c r="K1871" s="37" t="str">
        <x:v>230.56</x:v>
      </x:c>
      <x:c r="L1871" s="37" t="str">
        <x:v>1261</x:v>
      </x:c>
      <x:c r="M1871" s="29" t="str">
        <x:v>879.51</x:v>
      </x:c>
      <x:c r="N1871" s="29" t="str">
        <x:v>584.36</x:v>
      </x:c>
      <x:c r="O1871" s="29" t="str">
        <x:v>295.15</x:v>
      </x:c>
      <x:c r="P1871" s="18" t="str">
        <x:v>2026-07-10</x:v>
      </x:c>
      <x:c r="Q1871" s="36" t="n">
        <x:v>46213</x:v>
      </x:c>
    </x:row>
    <x:row r="1872">
      <x:c r="A1872" s="36" t="str">
        <x:v>2026-07-10</x:v>
      </x:c>
      <x:c r="B1872" s="18" t="str">
        <x:v>101437000_84289</x:v>
      </x:c>
      <x:c r="C1872" s="18" t="str">
        <x:v>【沪村小电】铁建芳华苑充电站</x:v>
      </x:c>
      <x:c r="D1872" s="37" t="str">
        <x:v>4</x:v>
      </x:c>
      <x:c r="E1872" s="37" t="str">
        <x:v>0</x:v>
      </x:c>
      <x:c r="F1872" s="37" t="str">
        <x:v>38</x:v>
      </x:c>
      <x:c r="G1872" s="37" t="str">
        <x:v>1226.33</x:v>
      </x:c>
      <x:c r="H1872" s="37" t="str">
        <x:v>0.00</x:v>
      </x:c>
      <x:c r="I1872" s="37" t="str">
        <x:v>777.37</x:v>
      </x:c>
      <x:c r="J1872" s="37" t="str">
        <x:v>0.00</x:v>
      </x:c>
      <x:c r="K1872" s="37" t="str">
        <x:v>448.96</x:v>
      </x:c>
      <x:c r="L1872" s="37" t="str">
        <x:v>1857</x:v>
      </x:c>
      <x:c r="M1872" s="29" t="str">
        <x:v>1079.03</x:v>
      </x:c>
      <x:c r="N1872" s="29" t="str">
        <x:v>721.77</x:v>
      </x:c>
      <x:c r="O1872" s="29" t="str">
        <x:v>357.26</x:v>
      </x:c>
      <x:c r="P1872" s="18" t="str">
        <x:v>2026-07-10</x:v>
      </x:c>
      <x:c r="Q1872" s="36" t="n">
        <x:v>46213</x:v>
      </x:c>
    </x:row>
    <x:row r="1873">
      <x:c r="A1873" s="36" t="str">
        <x:v>2026-07-10</x:v>
      </x:c>
      <x:c r="B1873" s="18" t="str">
        <x:v>101437000_86379</x:v>
      </x:c>
      <x:c r="C1873" s="18" t="str">
        <x:v>【沪村小电】新宝社区充电站</x:v>
      </x:c>
      <x:c r="D1873" s="37" t="str">
        <x:v>4</x:v>
      </x:c>
      <x:c r="E1873" s="37" t="str">
        <x:v>0</x:v>
      </x:c>
      <x:c r="F1873" s="37" t="str">
        <x:v>33</x:v>
      </x:c>
      <x:c r="G1873" s="37" t="str">
        <x:v>694.30</x:v>
      </x:c>
      <x:c r="H1873" s="37" t="str">
        <x:v>0.00</x:v>
      </x:c>
      <x:c r="I1873" s="37" t="str">
        <x:v>485.25</x:v>
      </x:c>
      <x:c r="J1873" s="37" t="str">
        <x:v>0.00</x:v>
      </x:c>
      <x:c r="K1873" s="37" t="str">
        <x:v>209.04</x:v>
      </x:c>
      <x:c r="L1873" s="37" t="str">
        <x:v>1240</x:v>
      </x:c>
      <x:c r="M1873" s="29" t="str">
        <x:v>585.10</x:v>
      </x:c>
      <x:c r="N1873" s="29" t="str">
        <x:v>428.80</x:v>
      </x:c>
      <x:c r="O1873" s="29" t="str">
        <x:v>156.30</x:v>
      </x:c>
      <x:c r="P1873" s="18" t="str">
        <x:v>2026-07-10</x:v>
      </x:c>
      <x:c r="Q1873" s="36" t="n">
        <x:v>46213</x:v>
      </x:c>
    </x:row>
    <x:row r="1874">
      <x:c r="A1874" s="36" t="str">
        <x:v>2026-07-10</x:v>
      </x:c>
      <x:c r="B1874" s="18" t="str">
        <x:v>101437000_89441</x:v>
      </x:c>
      <x:c r="C1874" s="18" t="str">
        <x:v>【沪村小电】首创禧瑞云启西区充电站</x:v>
      </x:c>
      <x:c r="D1874" s="37" t="str">
        <x:v>2</x:v>
      </x:c>
      <x:c r="E1874" s="37" t="str">
        <x:v>0</x:v>
      </x:c>
      <x:c r="F1874" s="37" t="str">
        <x:v>48</x:v>
      </x:c>
      <x:c r="G1874" s="37" t="str">
        <x:v>1242.53</x:v>
      </x:c>
      <x:c r="H1874" s="37" t="str">
        <x:v>0.00</x:v>
      </x:c>
      <x:c r="I1874" s="37" t="str">
        <x:v>974.32</x:v>
      </x:c>
      <x:c r="J1874" s="37" t="str">
        <x:v>0.00</x:v>
      </x:c>
      <x:c r="K1874" s="37" t="str">
        <x:v>268.21</x:v>
      </x:c>
      <x:c r="L1874" s="37" t="str">
        <x:v>1836</x:v>
      </x:c>
      <x:c r="M1874" s="29" t="str">
        <x:v>1160.88</x:v>
      </x:c>
      <x:c r="N1874" s="29" t="str">
        <x:v>786.99</x:v>
      </x:c>
      <x:c r="O1874" s="29" t="str">
        <x:v>373.89</x:v>
      </x:c>
      <x:c r="P1874" s="18" t="str">
        <x:v>2026-07-10</x:v>
      </x:c>
      <x:c r="Q1874" s="36" t="n">
        <x:v>46213</x:v>
      </x:c>
    </x:row>
    <x:row r="1875">
      <x:c r="A1875" s="36" t="str">
        <x:v>2026-07-10</x:v>
      </x:c>
      <x:c r="B1875" s="18" t="str">
        <x:v>101437000_89443</x:v>
      </x:c>
      <x:c r="C1875" s="18" t="str">
        <x:v>【沪村小电】玉兰清苑二期充电站</x:v>
      </x:c>
      <x:c r="D1875" s="37" t="str">
        <x:v>2</x:v>
      </x:c>
      <x:c r="E1875" s="37" t="str">
        <x:v>0</x:v>
      </x:c>
      <x:c r="F1875" s="37" t="str">
        <x:v>50</x:v>
      </x:c>
      <x:c r="G1875" s="37" t="str">
        <x:v>1142.38</x:v>
      </x:c>
      <x:c r="H1875" s="37" t="str">
        <x:v>0.00</x:v>
      </x:c>
      <x:c r="I1875" s="37" t="str">
        <x:v>878.31</x:v>
      </x:c>
      <x:c r="J1875" s="37" t="str">
        <x:v>0.00</x:v>
      </x:c>
      <x:c r="K1875" s="37" t="str">
        <x:v>264.06</x:v>
      </x:c>
      <x:c r="L1875" s="37" t="str">
        <x:v>1702</x:v>
      </x:c>
      <x:c r="M1875" s="29" t="str">
        <x:v>1074.54</x:v>
      </x:c>
      <x:c r="N1875" s="29" t="str">
        <x:v>729.60</x:v>
      </x:c>
      <x:c r="O1875" s="29" t="str">
        <x:v>344.94</x:v>
      </x:c>
      <x:c r="P1875" s="18" t="str">
        <x:v>2026-07-10</x:v>
      </x:c>
      <x:c r="Q1875" s="36" t="n">
        <x:v>46213</x:v>
      </x:c>
    </x:row>
    <x:row r="1876">
      <x:c r="A1876" s="36" t="str">
        <x:v>2026-07-10</x:v>
      </x:c>
      <x:c r="B1876" s="18" t="str">
        <x:v>101437000_93115</x:v>
      </x:c>
      <x:c r="C1876" s="18" t="str">
        <x:v>【沪村小电】新南家园西北门</x:v>
      </x:c>
      <x:c r="D1876" s="37" t="str">
        <x:v>2</x:v>
      </x:c>
      <x:c r="E1876" s="37" t="str">
        <x:v>0</x:v>
      </x:c>
      <x:c r="F1876" s="37" t="str">
        <x:v>28</x:v>
      </x:c>
      <x:c r="G1876" s="37" t="str">
        <x:v>820.40</x:v>
      </x:c>
      <x:c r="H1876" s="37" t="str">
        <x:v>0.00</x:v>
      </x:c>
      <x:c r="I1876" s="37" t="str">
        <x:v>455.08</x:v>
      </x:c>
      <x:c r="J1876" s="37" t="str">
        <x:v>0.00</x:v>
      </x:c>
      <x:c r="K1876" s="37" t="str">
        <x:v>365.32</x:v>
      </x:c>
      <x:c r="L1876" s="37" t="str">
        <x:v>1327</x:v>
      </x:c>
      <x:c r="M1876" s="29" t="str">
        <x:v>705.38</x:v>
      </x:c>
      <x:c r="N1876" s="29" t="str">
        <x:v>454.84</x:v>
      </x:c>
      <x:c r="O1876" s="29" t="str">
        <x:v>250.54</x:v>
      </x:c>
      <x:c r="P1876" s="18" t="str">
        <x:v>2026-07-10</x:v>
      </x:c>
      <x:c r="Q1876" s="36" t="n">
        <x:v>46213</x:v>
      </x:c>
    </x:row>
    <x:row r="1877">
      <x:c r="A1877" s="36" t="str">
        <x:v>2026-07-10</x:v>
      </x:c>
      <x:c r="B1877" s="18" t="str">
        <x:v>101437000_94649</x:v>
      </x:c>
      <x:c r="C1877" s="18" t="str">
        <x:v>【沪村小电】浪琴水岸花园</x:v>
      </x:c>
      <x:c r="D1877" s="37" t="str">
        <x:v>4</x:v>
      </x:c>
      <x:c r="E1877" s="37" t="str">
        <x:v>0</x:v>
      </x:c>
      <x:c r="F1877" s="37" t="str">
        <x:v>53</x:v>
      </x:c>
      <x:c r="G1877" s="37" t="str">
        <x:v>1041.94</x:v>
      </x:c>
      <x:c r="H1877" s="37" t="str">
        <x:v>0.00</x:v>
      </x:c>
      <x:c r="I1877" s="37" t="str">
        <x:v>641.83</x:v>
      </x:c>
      <x:c r="J1877" s="37" t="str">
        <x:v>0.00</x:v>
      </x:c>
      <x:c r="K1877" s="37" t="str">
        <x:v>400.11</x:v>
      </x:c>
      <x:c r="L1877" s="37" t="str">
        <x:v>1655</x:v>
      </x:c>
      <x:c r="M1877" s="29" t="str">
        <x:v>868.69</x:v>
      </x:c>
      <x:c r="N1877" s="29" t="str">
        <x:v>625.65</x:v>
      </x:c>
      <x:c r="O1877" s="29" t="str">
        <x:v>243.04</x:v>
      </x:c>
      <x:c r="P1877" s="18" t="str">
        <x:v>2026-07-10</x:v>
      </x:c>
      <x:c r="Q1877" s="36" t="n">
        <x:v>46213</x:v>
      </x:c>
    </x:row>
    <x:row r="1878">
      <x:c r="A1878" s="36" t="str">
        <x:v>2026-07-10</x:v>
      </x:c>
      <x:c r="B1878" s="18" t="str">
        <x:v>101437000_95077</x:v>
      </x:c>
      <x:c r="C1878" s="18" t="str">
        <x:v>【沪村小电】民乐城惠益绿苑255弄充电站</x:v>
      </x:c>
      <x:c r="D1878" s="37" t="str">
        <x:v>2</x:v>
      </x:c>
      <x:c r="E1878" s="37" t="str">
        <x:v>0</x:v>
      </x:c>
      <x:c r="F1878" s="37" t="str">
        <x:v>14</x:v>
      </x:c>
      <x:c r="G1878" s="37" t="str">
        <x:v>363.53</x:v>
      </x:c>
      <x:c r="H1878" s="37" t="str">
        <x:v>0.00</x:v>
      </x:c>
      <x:c r="I1878" s="37" t="str">
        <x:v>269.03</x:v>
      </x:c>
      <x:c r="J1878" s="37" t="str">
        <x:v>0.00</x:v>
      </x:c>
      <x:c r="K1878" s="37" t="str">
        <x:v>94.50</x:v>
      </x:c>
      <x:c r="L1878" s="37" t="str">
        <x:v>564</x:v>
      </x:c>
      <x:c r="M1878" s="29" t="str">
        <x:v>316.97</x:v>
      </x:c>
      <x:c r="N1878" s="29" t="str">
        <x:v>227.76</x:v>
      </x:c>
      <x:c r="O1878" s="29" t="str">
        <x:v>89.21</x:v>
      </x:c>
      <x:c r="P1878" s="18" t="str">
        <x:v>2026-07-10</x:v>
      </x:c>
      <x:c r="Q1878" s="36" t="n">
        <x:v>46213</x:v>
      </x:c>
    </x:row>
    <x:row r="1879">
      <x:c r="A1879" s="36" t="str">
        <x:v>2026-07-10</x:v>
      </x:c>
      <x:c r="B1879" s="18" t="str">
        <x:v>101437000_95079</x:v>
      </x:c>
      <x:c r="C1879" s="18" t="str">
        <x:v>【沪村小电】民乐城惠益绿苑东苑充电站</x:v>
      </x:c>
      <x:c r="D1879" s="37" t="str">
        <x:v>2</x:v>
      </x:c>
      <x:c r="E1879" s="37" t="str">
        <x:v>0</x:v>
      </x:c>
      <x:c r="F1879" s="37" t="str">
        <x:v>4</x:v>
      </x:c>
      <x:c r="G1879" s="37" t="str">
        <x:v>82.60</x:v>
      </x:c>
      <x:c r="H1879" s="37" t="str">
        <x:v>0.00</x:v>
      </x:c>
      <x:c r="I1879" s="37" t="str">
        <x:v>82.60</x:v>
      </x:c>
      <x:c r="J1879" s="37" t="str">
        <x:v>0.00</x:v>
      </x:c>
      <x:c r="K1879" s="37" t="str">
        <x:v>0.00</x:v>
      </x:c>
      <x:c r="L1879" s="37" t="str">
        <x:v>128</x:v>
      </x:c>
      <x:c r="M1879" s="29" t="str">
        <x:v>71.23</x:v>
      </x:c>
      <x:c r="N1879" s="29" t="str">
        <x:v>58.65</x:v>
      </x:c>
      <x:c r="O1879" s="29" t="str">
        <x:v>12.58</x:v>
      </x:c>
      <x:c r="P1879" s="18" t="str">
        <x:v>2026-07-10</x:v>
      </x:c>
      <x:c r="Q1879" s="36" t="n">
        <x:v>46213</x:v>
      </x:c>
    </x:row>
    <x:row r="1880">
      <x:c r="A1880" s="36" t="str">
        <x:v>2026-07-10</x:v>
      </x:c>
      <x:c r="B1880" s="18" t="str">
        <x:v>101437000_95081</x:v>
      </x:c>
      <x:c r="C1880" s="18" t="str">
        <x:v>【沪村小电】民乐城惠益绿苑西苑充电站</x:v>
      </x:c>
      <x:c r="D1880" s="37" t="str">
        <x:v>2</x:v>
      </x:c>
      <x:c r="E1880" s="37" t="str">
        <x:v>0</x:v>
      </x:c>
      <x:c r="F1880" s="37" t="str">
        <x:v>11</x:v>
      </x:c>
      <x:c r="G1880" s="37" t="str">
        <x:v>206.47</x:v>
      </x:c>
      <x:c r="H1880" s="37" t="str">
        <x:v>0.00</x:v>
      </x:c>
      <x:c r="I1880" s="37" t="str">
        <x:v>162.65</x:v>
      </x:c>
      <x:c r="J1880" s="37" t="str">
        <x:v>0.00</x:v>
      </x:c>
      <x:c r="K1880" s="37" t="str">
        <x:v>43.82</x:v>
      </x:c>
      <x:c r="L1880" s="37" t="str">
        <x:v>253</x:v>
      </x:c>
      <x:c r="M1880" s="29" t="str">
        <x:v>224.62</x:v>
      </x:c>
      <x:c r="N1880" s="29" t="str">
        <x:v>130.90</x:v>
      </x:c>
      <x:c r="O1880" s="29" t="str">
        <x:v>93.72</x:v>
      </x:c>
      <x:c r="P1880" s="18" t="str">
        <x:v>2026-07-10</x:v>
      </x:c>
      <x:c r="Q1880" s="36" t="n">
        <x:v>46213</x:v>
      </x:c>
    </x:row>
    <x:row r="1881">
      <x:c r="A1881" s="36" t="str">
        <x:v>2026-07-10</x:v>
      </x:c>
      <x:c r="B1881" s="18" t="str">
        <x:v>101437000_95091</x:v>
      </x:c>
      <x:c r="C1881" s="18" t="str">
        <x:v>【沪村小电】金悦学府2号站</x:v>
      </x:c>
      <x:c r="D1881" s="37" t="str">
        <x:v>2</x:v>
      </x:c>
      <x:c r="E1881" s="37" t="str">
        <x:v>0</x:v>
      </x:c>
      <x:c r="F1881" s="37" t="str">
        <x:v>17</x:v>
      </x:c>
      <x:c r="G1881" s="37" t="str">
        <x:v>513.23</x:v>
      </x:c>
      <x:c r="H1881" s="37" t="str">
        <x:v>0.00</x:v>
      </x:c>
      <x:c r="I1881" s="37" t="str">
        <x:v>0.00</x:v>
      </x:c>
      <x:c r="J1881" s="37" t="str">
        <x:v>513.23</x:v>
      </x:c>
      <x:c r="K1881" s="37" t="str">
        <x:v>0.00</x:v>
      </x:c>
      <x:c r="L1881" s="37" t="str">
        <x:v>801</x:v>
      </x:c>
      <x:c r="M1881" s="29" t="str">
        <x:v>405.47</x:v>
      </x:c>
      <x:c r="N1881" s="29" t="str">
        <x:v>287.43</x:v>
      </x:c>
      <x:c r="O1881" s="29" t="str">
        <x:v>118.04</x:v>
      </x:c>
      <x:c r="P1881" s="18" t="str">
        <x:v>2026-07-10</x:v>
      </x:c>
      <x:c r="Q1881" s="36" t="n">
        <x:v>46213</x:v>
      </x:c>
    </x:row>
    <x:row r="1882">
      <x:c r="A1882" s="36" t="str">
        <x:v>2026-07-10</x:v>
      </x:c>
      <x:c r="B1882" s="18" t="str">
        <x:v>101437000_95941</x:v>
      </x:c>
      <x:c r="C1882" s="18" t="str">
        <x:v>【沪村小电】惠诚雅苑</x:v>
      </x:c>
      <x:c r="D1882" s="37" t="str">
        <x:v>4</x:v>
      </x:c>
      <x:c r="E1882" s="37" t="str">
        <x:v>0</x:v>
      </x:c>
      <x:c r="F1882" s="37" t="str">
        <x:v>50</x:v>
      </x:c>
      <x:c r="G1882" s="37" t="str">
        <x:v>1280.03</x:v>
      </x:c>
      <x:c r="H1882" s="37" t="str">
        <x:v>0.00</x:v>
      </x:c>
      <x:c r="I1882" s="37" t="str">
        <x:v>552.57</x:v>
      </x:c>
      <x:c r="J1882" s="37" t="str">
        <x:v>0.00</x:v>
      </x:c>
      <x:c r="K1882" s="37" t="str">
        <x:v>727.46</x:v>
      </x:c>
      <x:c r="L1882" s="37" t="str">
        <x:v>2229</x:v>
      </x:c>
      <x:c r="M1882" s="29" t="str">
        <x:v>861.89</x:v>
      </x:c>
      <x:c r="N1882" s="29" t="str">
        <x:v>551.55</x:v>
      </x:c>
      <x:c r="O1882" s="29" t="str">
        <x:v>310.34</x:v>
      </x:c>
      <x:c r="P1882" s="18" t="str">
        <x:v>2026-07-10</x:v>
      </x:c>
      <x:c r="Q1882" s="36" t="n">
        <x:v>46213</x:v>
      </x:c>
    </x:row>
    <x:row r="1883">
      <x:c r="A1883" s="36" t="str">
        <x:v>2026-07-10</x:v>
      </x:c>
      <x:c r="B1883" s="18" t="str">
        <x:v>101437000_96401</x:v>
      </x:c>
      <x:c r="C1883" s="18" t="str">
        <x:v>【沪村小电】上海联怡枇杷乐园地面站</x:v>
      </x:c>
      <x:c r="D1883" s="37" t="str">
        <x:v>2</x:v>
      </x:c>
      <x:c r="E1883" s="37" t="str">
        <x:v>0</x:v>
      </x:c>
      <x:c r="F1883" s="37" t="str">
        <x:v>14</x:v>
      </x:c>
      <x:c r="G1883" s="37" t="str">
        <x:v>184.02</x:v>
      </x:c>
      <x:c r="H1883" s="37" t="str">
        <x:v>0.00</x:v>
      </x:c>
      <x:c r="I1883" s="37" t="str">
        <x:v>117.00</x:v>
      </x:c>
      <x:c r="J1883" s="37" t="str">
        <x:v>0.00</x:v>
      </x:c>
      <x:c r="K1883" s="37" t="str">
        <x:v>67.02</x:v>
      </x:c>
      <x:c r="L1883" s="37" t="str">
        <x:v>395</x:v>
      </x:c>
      <x:c r="M1883" s="29" t="str">
        <x:v>173.48</x:v>
      </x:c>
      <x:c r="N1883" s="29" t="str">
        <x:v>136.13</x:v>
      </x:c>
      <x:c r="O1883" s="29" t="str">
        <x:v>37.35</x:v>
      </x:c>
      <x:c r="P1883" s="18" t="str">
        <x:v>2026-07-10</x:v>
      </x:c>
      <x:c r="Q1883" s="36" t="n">
        <x:v>46213</x:v>
      </x:c>
    </x:row>
    <x:row r="1884">
      <x:c r="A1884" s="36" t="str">
        <x:v>2026-07-10</x:v>
      </x:c>
      <x:c r="B1884" s="18" t="str">
        <x:v>101437000_96719</x:v>
      </x:c>
      <x:c r="C1884" s="18" t="str">
        <x:v>【沪村小电】四达路220弄充电站</x:v>
      </x:c>
      <x:c r="D1884" s="37" t="str">
        <x:v>2</x:v>
      </x:c>
      <x:c r="E1884" s="37" t="str">
        <x:v>0</x:v>
      </x:c>
      <x:c r="F1884" s="37" t="str">
        <x:v>2</x:v>
      </x:c>
      <x:c r="G1884" s="37" t="str">
        <x:v>41.85</x:v>
      </x:c>
      <x:c r="H1884" s="37" t="str">
        <x:v>0.00</x:v>
      </x:c>
      <x:c r="I1884" s="37" t="str">
        <x:v>29.99</x:v>
      </x:c>
      <x:c r="J1884" s="37" t="str">
        <x:v>0.00</x:v>
      </x:c>
      <x:c r="K1884" s="37" t="str">
        <x:v>11.87</x:v>
      </x:c>
      <x:c r="L1884" s="37" t="str">
        <x:v>54</x:v>
      </x:c>
      <x:c r="M1884" s="29" t="str">
        <x:v>48.67</x:v>
      </x:c>
      <x:c r="N1884" s="29" t="str">
        <x:v>40.92</x:v>
      </x:c>
      <x:c r="O1884" s="29" t="str">
        <x:v>7.75</x:v>
      </x:c>
      <x:c r="P1884" s="18" t="str">
        <x:v>2026-07-10</x:v>
      </x:c>
      <x:c r="Q1884" s="36" t="n">
        <x:v>46213</x:v>
      </x:c>
    </x:row>
    <x:row r="1885">
      <x:c r="A1885" s="36" t="str">
        <x:v>2026-07-10</x:v>
      </x:c>
      <x:c r="B1885" s="18" t="str">
        <x:v>101437000_97421</x:v>
      </x:c>
      <x:c r="C1885" s="18" t="str">
        <x:v>【沪村小电】玉兰清苑二期（小区外）充电站</x:v>
      </x:c>
      <x:c r="D1885" s="37" t="str">
        <x:v>4</x:v>
      </x:c>
      <x:c r="E1885" s="37" t="str">
        <x:v>0</x:v>
      </x:c>
      <x:c r="F1885" s="37" t="str">
        <x:v>45</x:v>
      </x:c>
      <x:c r="G1885" s="37" t="str">
        <x:v>1116.14</x:v>
      </x:c>
      <x:c r="H1885" s="37" t="str">
        <x:v>0.00</x:v>
      </x:c>
      <x:c r="I1885" s="37" t="str">
        <x:v>950.77</x:v>
      </x:c>
      <x:c r="J1885" s="37" t="str">
        <x:v>0.00</x:v>
      </x:c>
      <x:c r="K1885" s="37" t="str">
        <x:v>165.37</x:v>
      </x:c>
      <x:c r="L1885" s="37" t="str">
        <x:v>2019</x:v>
      </x:c>
      <x:c r="M1885" s="29" t="str">
        <x:v>1019.90</x:v>
      </x:c>
      <x:c r="N1885" s="29" t="str">
        <x:v>742.92</x:v>
      </x:c>
      <x:c r="O1885" s="29" t="str">
        <x:v>276.98</x:v>
      </x:c>
      <x:c r="P1885" s="18" t="str">
        <x:v>2026-07-10</x:v>
      </x:c>
      <x:c r="Q1885" s="36" t="n">
        <x:v>46213</x:v>
      </x:c>
    </x:row>
    <x:row r="1886">
      <x:c r="A1886" s="36" t="str">
        <x:v>2026-07-10</x:v>
      </x:c>
      <x:c r="B1886" s="18" t="str">
        <x:v>101437000_98013</x:v>
      </x:c>
      <x:c r="C1886" s="18" t="str">
        <x:v>【沪村小电】恒大滨江华府充电站</x:v>
      </x:c>
      <x:c r="D1886" s="37" t="str">
        <x:v>4</x:v>
      </x:c>
      <x:c r="E1886" s="37" t="str">
        <x:v>0</x:v>
      </x:c>
      <x:c r="F1886" s="37" t="str">
        <x:v>40</x:v>
      </x:c>
      <x:c r="G1886" s="37" t="str">
        <x:v>1038.64</x:v>
      </x:c>
      <x:c r="H1886" s="37" t="str">
        <x:v>0.00</x:v>
      </x:c>
      <x:c r="I1886" s="37" t="str">
        <x:v>910.15</x:v>
      </x:c>
      <x:c r="J1886" s="37" t="str">
        <x:v>0.00</x:v>
      </x:c>
      <x:c r="K1886" s="37" t="str">
        <x:v>128.49</x:v>
      </x:c>
      <x:c r="L1886" s="37" t="str">
        <x:v>1686</x:v>
      </x:c>
      <x:c r="M1886" s="29" t="str">
        <x:v>1127.82</x:v>
      </x:c>
      <x:c r="N1886" s="29" t="str">
        <x:v>902.53</x:v>
      </x:c>
      <x:c r="O1886" s="29" t="str">
        <x:v>225.29</x:v>
      </x:c>
      <x:c r="P1886" s="18" t="str">
        <x:v>2026-07-10</x:v>
      </x:c>
      <x:c r="Q1886" s="36" t="n">
        <x:v>46213</x:v>
      </x:c>
    </x:row>
    <x:row r="1887">
      <x:c r="A1887" s="36" t="str">
        <x:v>2026-07-10</x:v>
      </x:c>
      <x:c r="B1887" s="18" t="str">
        <x:v>101437000_98863</x:v>
      </x:c>
      <x:c r="C1887" s="18" t="str">
        <x:v>【沪村小电】欣菊苑充电站</x:v>
      </x:c>
      <x:c r="D1887" s="37" t="str">
        <x:v>4</x:v>
      </x:c>
      <x:c r="E1887" s="37" t="str">
        <x:v>0</x:v>
      </x:c>
      <x:c r="F1887" s="37" t="str">
        <x:v>14</x:v>
      </x:c>
      <x:c r="G1887" s="37" t="str">
        <x:v>201.90</x:v>
      </x:c>
      <x:c r="H1887" s="37" t="str">
        <x:v>0.00</x:v>
      </x:c>
      <x:c r="I1887" s="37" t="str">
        <x:v>201.90</x:v>
      </x:c>
      <x:c r="J1887" s="37" t="str">
        <x:v>0.00</x:v>
      </x:c>
      <x:c r="K1887" s="37" t="str">
        <x:v>0.00</x:v>
      </x:c>
      <x:c r="L1887" s="37" t="str">
        <x:v>247</x:v>
      </x:c>
      <x:c r="M1887" s="29" t="str">
        <x:v>216.71</x:v>
      </x:c>
      <x:c r="N1887" s="29" t="str">
        <x:v>144.33</x:v>
      </x:c>
      <x:c r="O1887" s="29" t="str">
        <x:v>72.38</x:v>
      </x:c>
      <x:c r="P1887" s="18" t="str">
        <x:v>2026-07-10</x:v>
      </x:c>
      <x:c r="Q1887" s="36" t="n">
        <x:v>46213</x:v>
      </x:c>
    </x:row>
    <x:row r="1888">
      <x:c r="A1888" s="36" t="str">
        <x:v>2026-07-10</x:v>
      </x:c>
      <x:c r="B1888" s="18" t="str">
        <x:v>101437000_98865</x:v>
      </x:c>
      <x:c r="C1888" s="18" t="str">
        <x:v>【沪村小电】欣松苑充电站</x:v>
      </x:c>
      <x:c r="D1888" s="37" t="str">
        <x:v>4</x:v>
      </x:c>
      <x:c r="E1888" s="37" t="str">
        <x:v>0</x:v>
      </x:c>
      <x:c r="F1888" s="37" t="str">
        <x:v>23</x:v>
      </x:c>
      <x:c r="G1888" s="37" t="str">
        <x:v>538.30</x:v>
      </x:c>
      <x:c r="H1888" s="37" t="str">
        <x:v>0.00</x:v>
      </x:c>
      <x:c r="I1888" s="37" t="str">
        <x:v>476.68</x:v>
      </x:c>
      <x:c r="J1888" s="37" t="str">
        <x:v>0.00</x:v>
      </x:c>
      <x:c r="K1888" s="37" t="str">
        <x:v>61.62</x:v>
      </x:c>
      <x:c r="L1888" s="37" t="str">
        <x:v>857</x:v>
      </x:c>
      <x:c r="M1888" s="29" t="str">
        <x:v>481.14</x:v>
      </x:c>
      <x:c r="N1888" s="29" t="str">
        <x:v>364.43</x:v>
      </x:c>
      <x:c r="O1888" s="29" t="str">
        <x:v>116.71</x:v>
      </x:c>
      <x:c r="P1888" s="18" t="str">
        <x:v>2026-07-10</x:v>
      </x:c>
      <x:c r="Q1888" s="36" t="n">
        <x:v>46213</x:v>
      </x:c>
    </x:row>
    <x:row r="1889">
      <x:c r="A1889" s="36" t="str">
        <x:v>2026-07-10</x:v>
      </x:c>
      <x:c r="B1889" s="18" t="str">
        <x:v>101437000_98867</x:v>
      </x:c>
      <x:c r="C1889" s="18" t="str">
        <x:v>【沪村小电】欣荷苑充电站</x:v>
      </x:c>
      <x:c r="D1889" s="37" t="str">
        <x:v>4</x:v>
      </x:c>
      <x:c r="E1889" s="37" t="str">
        <x:v>0</x:v>
      </x:c>
      <x:c r="F1889" s="37" t="str">
        <x:v>15</x:v>
      </x:c>
      <x:c r="G1889" s="37" t="str">
        <x:v>329.44</x:v>
      </x:c>
      <x:c r="H1889" s="37" t="str">
        <x:v>0.00</x:v>
      </x:c>
      <x:c r="I1889" s="37" t="str">
        <x:v>223.19</x:v>
      </x:c>
      <x:c r="J1889" s="37" t="str">
        <x:v>0.00</x:v>
      </x:c>
      <x:c r="K1889" s="37" t="str">
        <x:v>106.25</x:v>
      </x:c>
      <x:c r="L1889" s="37" t="str">
        <x:v>475</x:v>
      </x:c>
      <x:c r="M1889" s="29" t="str">
        <x:v>262.97</x:v>
      </x:c>
      <x:c r="N1889" s="29" t="str">
        <x:v>199.24</x:v>
      </x:c>
      <x:c r="O1889" s="29" t="str">
        <x:v>63.73</x:v>
      </x:c>
      <x:c r="P1889" s="18" t="str">
        <x:v>2026-07-10</x:v>
      </x:c>
      <x:c r="Q1889" s="36" t="n">
        <x:v>46213</x:v>
      </x:c>
    </x:row>
    <x:row r="1890">
      <x:c r="A1890" s="36" t="str">
        <x:v>2026-07-10</x:v>
      </x:c>
      <x:c r="B1890" s="18" t="str">
        <x:v>101437000_99885</x:v>
      </x:c>
      <x:c r="C1890" s="18" t="str">
        <x:v>【沪村小电】汇丰馨苑充电站</x:v>
      </x:c>
      <x:c r="D1890" s="37" t="str">
        <x:v>4</x:v>
      </x:c>
      <x:c r="E1890" s="37" t="str">
        <x:v>0</x:v>
      </x:c>
      <x:c r="F1890" s="37" t="str">
        <x:v>7</x:v>
      </x:c>
      <x:c r="G1890" s="37" t="str">
        <x:v>183.68</x:v>
      </x:c>
      <x:c r="H1890" s="37" t="str">
        <x:v>0.00</x:v>
      </x:c>
      <x:c r="I1890" s="37" t="str">
        <x:v>183.68</x:v>
      </x:c>
      <x:c r="J1890" s="37" t="str">
        <x:v>0.00</x:v>
      </x:c>
      <x:c r="K1890" s="37" t="str">
        <x:v>0.00</x:v>
      </x:c>
      <x:c r="L1890" s="37" t="str">
        <x:v>287</x:v>
      </x:c>
      <x:c r="M1890" s="29" t="str">
        <x:v>192.42</x:v>
      </x:c>
      <x:c r="N1890" s="29" t="str">
        <x:v>130.42</x:v>
      </x:c>
      <x:c r="O1890" s="29" t="str">
        <x:v>62.00</x:v>
      </x:c>
      <x:c r="P1890" s="18" t="str">
        <x:v>2026-07-10</x:v>
      </x:c>
      <x:c r="Q1890" s="36" t="n">
        <x:v>46213</x:v>
      </x:c>
    </x:row>
    <x:row r="1891">
      <x:c r="A1891" s="36" t="str">
        <x:v>2026-07-10</x:v>
      </x:c>
      <x:c r="B1891" s="18" t="str">
        <x:v>101437000_99887</x:v>
      </x:c>
      <x:c r="C1891" s="18" t="str">
        <x:v>【沪村小电】新南村河南小区充电站</x:v>
      </x:c>
      <x:c r="D1891" s="37" t="str">
        <x:v>2</x:v>
      </x:c>
      <x:c r="E1891" s="37" t="str">
        <x:v>0</x:v>
      </x:c>
      <x:c r="F1891" s="37" t="str">
        <x:v>16</x:v>
      </x:c>
      <x:c r="G1891" s="37" t="str">
        <x:v>420.74</x:v>
      </x:c>
      <x:c r="H1891" s="37" t="str">
        <x:v>0.00</x:v>
      </x:c>
      <x:c r="I1891" s="37" t="str">
        <x:v>420.74</x:v>
      </x:c>
      <x:c r="J1891" s="37" t="str">
        <x:v>0.00</x:v>
      </x:c>
      <x:c r="K1891" s="37" t="str">
        <x:v>0.00</x:v>
      </x:c>
      <x:c r="L1891" s="37" t="str">
        <x:v>621</x:v>
      </x:c>
      <x:c r="M1891" s="29" t="str">
        <x:v>450.06</x:v>
      </x:c>
      <x:c r="N1891" s="29" t="str">
        <x:v>302.51</x:v>
      </x:c>
      <x:c r="O1891" s="29" t="str">
        <x:v>147.55</x:v>
      </x:c>
      <x:c r="P1891" s="18" t="str">
        <x:v>2026-07-10</x:v>
      </x:c>
      <x:c r="Q1891" s="36" t="n">
        <x:v>46213</x:v>
      </x:c>
    </x:row>
    <x:row r="1892">
      <x:c r="A1892" s="36" t="str">
        <x:v>2026-07-10</x:v>
      </x:c>
      <x:c r="B1892" s="18" t="str">
        <x:v>101437000_99889</x:v>
      </x:c>
      <x:c r="C1892" s="18" t="str">
        <x:v>【沪村小电】漕泾郊野公园</x:v>
      </x:c>
      <x:c r="D1892" s="37" t="str">
        <x:v>2</x:v>
      </x:c>
      <x:c r="E1892" s="37" t="str">
        <x:v>0</x:v>
      </x:c>
      <x:c r="F1892" s="37" t="str">
        <x:v>5</x:v>
      </x:c>
      <x:c r="G1892" s="37" t="str">
        <x:v>147.96</x:v>
      </x:c>
      <x:c r="H1892" s="37" t="str">
        <x:v>0.00</x:v>
      </x:c>
      <x:c r="I1892" s="37" t="str">
        <x:v>103.44</x:v>
      </x:c>
      <x:c r="J1892" s="37" t="str">
        <x:v>0.00</x:v>
      </x:c>
      <x:c r="K1892" s="37" t="str">
        <x:v>44.52</x:v>
      </x:c>
      <x:c r="L1892" s="37" t="str">
        <x:v>150</x:v>
      </x:c>
      <x:c r="M1892" s="29" t="str">
        <x:v>174.01</x:v>
      </x:c>
      <x:c r="N1892" s="29" t="str">
        <x:v>110.04</x:v>
      </x:c>
      <x:c r="O1892" s="29" t="str">
        <x:v>63.97</x:v>
      </x:c>
      <x:c r="P1892" s="18" t="str">
        <x:v>2026-07-10</x:v>
      </x:c>
      <x:c r="Q1892" s="36" t="n">
        <x:v>46213</x:v>
      </x:c>
    </x:row>
    <x:row r="1893">
      <x:c r="A1893" s="36" t="str">
        <x:v>2026-07-10</x:v>
      </x:c>
      <x:c r="B1893" s="18" t="str">
        <x:v>101437000_99891</x:v>
      </x:c>
      <x:c r="C1893" s="18" t="str">
        <x:v>【沪村小电】水韵紫城充电站</x:v>
      </x:c>
      <x:c r="D1893" s="37" t="str">
        <x:v>4</x:v>
      </x:c>
      <x:c r="E1893" s="37" t="str">
        <x:v>0</x:v>
      </x:c>
      <x:c r="F1893" s="37" t="str">
        <x:v>27</x:v>
      </x:c>
      <x:c r="G1893" s="37" t="str">
        <x:v>623.48</x:v>
      </x:c>
      <x:c r="H1893" s="37" t="str">
        <x:v>0.00</x:v>
      </x:c>
      <x:c r="I1893" s="37" t="str">
        <x:v>507.54</x:v>
      </x:c>
      <x:c r="J1893" s="37" t="str">
        <x:v>0.00</x:v>
      </x:c>
      <x:c r="K1893" s="37" t="str">
        <x:v>115.95</x:v>
      </x:c>
      <x:c r="L1893" s="37" t="str">
        <x:v>939</x:v>
      </x:c>
      <x:c r="M1893" s="29" t="str">
        <x:v>563.64</x:v>
      </x:c>
      <x:c r="N1893" s="29" t="str">
        <x:v>404.24</x:v>
      </x:c>
      <x:c r="O1893" s="29" t="str">
        <x:v>159.40</x:v>
      </x:c>
      <x:c r="P1893" s="18" t="str">
        <x:v>2026-07-10</x:v>
      </x:c>
      <x:c r="Q1893" s="36" t="n">
        <x:v>46213</x:v>
      </x:c>
    </x:row>
    <x:row r="1894">
      <x:c r="A1894" s="36" t="str">
        <x:v>2026-07-09</x:v>
      </x:c>
      <x:c r="B1894" s="18" t="str">
        <x:v>101437000_41561</x:v>
      </x:c>
      <x:c r="C1894" s="18" t="str">
        <x:v>【沪村小电】张施小区大门处快充站</x:v>
      </x:c>
      <x:c r="D1894" s="37" t="str">
        <x:v>2</x:v>
      </x:c>
      <x:c r="E1894" s="37" t="str">
        <x:v>0</x:v>
      </x:c>
      <x:c r="F1894" s="37" t="str">
        <x:v>55</x:v>
      </x:c>
      <x:c r="G1894" s="37" t="str">
        <x:v>1517.32</x:v>
      </x:c>
      <x:c r="H1894" s="37" t="str">
        <x:v>0.00</x:v>
      </x:c>
      <x:c r="I1894" s="37" t="str">
        <x:v>804.01</x:v>
      </x:c>
      <x:c r="J1894" s="37" t="str">
        <x:v>0.00</x:v>
      </x:c>
      <x:c r="K1894" s="37" t="str">
        <x:v>713.30</x:v>
      </x:c>
      <x:c r="L1894" s="37" t="str">
        <x:v>2622</x:v>
      </x:c>
      <x:c r="M1894" s="29" t="str">
        <x:v>1164.30</x:v>
      </x:c>
      <x:c r="N1894" s="29" t="str">
        <x:v>866.03</x:v>
      </x:c>
      <x:c r="O1894" s="29" t="str">
        <x:v>298.27</x:v>
      </x:c>
      <x:c r="P1894" s="18" t="str">
        <x:v>2026-07-09</x:v>
      </x:c>
      <x:c r="Q1894" s="36" t="n">
        <x:v>46212</x:v>
      </x:c>
    </x:row>
    <x:row r="1895">
      <x:c r="A1895" s="36" t="str">
        <x:v>2026-07-09</x:v>
      </x:c>
      <x:c r="B1895" s="18" t="str">
        <x:v>101437000_41563</x:v>
      </x:c>
      <x:c r="C1895" s="18" t="str">
        <x:v>【沪村小电】同心村快充站</x:v>
      </x:c>
      <x:c r="D1895" s="37" t="str">
        <x:v>4</x:v>
      </x:c>
      <x:c r="E1895" s="37" t="str">
        <x:v>0</x:v>
      </x:c>
      <x:c r="F1895" s="37" t="str">
        <x:v>72</x:v>
      </x:c>
      <x:c r="G1895" s="37" t="str">
        <x:v>1549.48</x:v>
      </x:c>
      <x:c r="H1895" s="37" t="str">
        <x:v>0.00</x:v>
      </x:c>
      <x:c r="I1895" s="37" t="str">
        <x:v>1170.88</x:v>
      </x:c>
      <x:c r="J1895" s="37" t="str">
        <x:v>0.00</x:v>
      </x:c>
      <x:c r="K1895" s="37" t="str">
        <x:v>378.61</x:v>
      </x:c>
      <x:c r="L1895" s="37" t="str">
        <x:v>2657</x:v>
      </x:c>
      <x:c r="M1895" s="29" t="str">
        <x:v>1358.29</x:v>
      </x:c>
      <x:c r="N1895" s="29" t="str">
        <x:v>944.18</x:v>
      </x:c>
      <x:c r="O1895" s="29" t="str">
        <x:v>414.11</x:v>
      </x:c>
      <x:c r="P1895" s="18" t="str">
        <x:v>2026-07-09</x:v>
      </x:c>
      <x:c r="Q1895" s="36" t="n">
        <x:v>46212</x:v>
      </x:c>
    </x:row>
    <x:row r="1896">
      <x:c r="A1896" s="36" t="str">
        <x:v>2026-07-09</x:v>
      </x:c>
      <x:c r="B1896" s="18" t="str">
        <x:v>101437000_69629</x:v>
      </x:c>
      <x:c r="C1896" s="18" t="str">
        <x:v>【沪村小电】骏丰玲珑坊西苑充电站</x:v>
      </x:c>
      <x:c r="D1896" s="37" t="str">
        <x:v>2</x:v>
      </x:c>
      <x:c r="E1896" s="37" t="str">
        <x:v>0</x:v>
      </x:c>
      <x:c r="F1896" s="37" t="str">
        <x:v>84</x:v>
      </x:c>
      <x:c r="G1896" s="37" t="str">
        <x:v>1793.32</x:v>
      </x:c>
      <x:c r="H1896" s="37" t="str">
        <x:v>0.00</x:v>
      </x:c>
      <x:c r="I1896" s="37" t="str">
        <x:v>994.70</x:v>
      </x:c>
      <x:c r="J1896" s="37" t="str">
        <x:v>0.00</x:v>
      </x:c>
      <x:c r="K1896" s="37" t="str">
        <x:v>798.62</x:v>
      </x:c>
      <x:c r="L1896" s="37" t="str">
        <x:v>3255</x:v>
      </x:c>
      <x:c r="M1896" s="29" t="str">
        <x:v>1374.96</x:v>
      </x:c>
      <x:c r="N1896" s="29" t="str">
        <x:v>1039.55</x:v>
      </x:c>
      <x:c r="O1896" s="29" t="str">
        <x:v>335.41</x:v>
      </x:c>
      <x:c r="P1896" s="18" t="str">
        <x:v>2026-07-09</x:v>
      </x:c>
      <x:c r="Q1896" s="36" t="n">
        <x:v>46212</x:v>
      </x:c>
    </x:row>
    <x:row r="1897">
      <x:c r="A1897" s="36" t="str">
        <x:v>2026-07-09</x:v>
      </x:c>
      <x:c r="B1897" s="18" t="str">
        <x:v>101437000_70547</x:v>
      </x:c>
      <x:c r="C1897" s="18" t="str">
        <x:v>【沪村小电】农建村初心馆党群服务中心充电站</x:v>
      </x:c>
      <x:c r="D1897" s="37" t="str">
        <x:v>4</x:v>
      </x:c>
      <x:c r="E1897" s="37" t="str">
        <x:v>0</x:v>
      </x:c>
      <x:c r="F1897" s="37" t="str">
        <x:v>38</x:v>
      </x:c>
      <x:c r="G1897" s="37" t="str">
        <x:v>827.65</x:v>
      </x:c>
      <x:c r="H1897" s="37" t="str">
        <x:v>0.00</x:v>
      </x:c>
      <x:c r="I1897" s="37" t="str">
        <x:v>443.21</x:v>
      </x:c>
      <x:c r="J1897" s="37" t="str">
        <x:v>0.00</x:v>
      </x:c>
      <x:c r="K1897" s="37" t="str">
        <x:v>384.44</x:v>
      </x:c>
      <x:c r="L1897" s="37" t="str">
        <x:v>1515</x:v>
      </x:c>
      <x:c r="M1897" s="29" t="str">
        <x:v>797.74</x:v>
      </x:c>
      <x:c r="N1897" s="29" t="str">
        <x:v>664.69</x:v>
      </x:c>
      <x:c r="O1897" s="29" t="str">
        <x:v>133.05</x:v>
      </x:c>
      <x:c r="P1897" s="18" t="str">
        <x:v>2026-07-09</x:v>
      </x:c>
      <x:c r="Q1897" s="36" t="n">
        <x:v>46212</x:v>
      </x:c>
    </x:row>
    <x:row r="1898">
      <x:c r="A1898" s="36" t="str">
        <x:v>2026-07-09</x:v>
      </x:c>
      <x:c r="B1898" s="18" t="str">
        <x:v>101437000_70549</x:v>
      </x:c>
      <x:c r="C1898" s="18" t="str">
        <x:v>【沪村小电】学府路充电站</x:v>
      </x:c>
      <x:c r="D1898" s="37" t="str">
        <x:v>2</x:v>
      </x:c>
      <x:c r="E1898" s="37" t="str">
        <x:v>0</x:v>
      </x:c>
      <x:c r="F1898" s="37" t="str">
        <x:v>12</x:v>
      </x:c>
      <x:c r="G1898" s="37" t="str">
        <x:v>382.25</x:v>
      </x:c>
      <x:c r="H1898" s="37" t="str">
        <x:v>0.00</x:v>
      </x:c>
      <x:c r="I1898" s="37" t="str">
        <x:v>314.30</x:v>
      </x:c>
      <x:c r="J1898" s="37" t="str">
        <x:v>0.00</x:v>
      </x:c>
      <x:c r="K1898" s="37" t="str">
        <x:v>67.95</x:v>
      </x:c>
      <x:c r="L1898" s="37" t="str">
        <x:v>591</x:v>
      </x:c>
      <x:c r="M1898" s="29" t="str">
        <x:v>439.85</x:v>
      </x:c>
      <x:c r="N1898" s="29" t="str">
        <x:v>362.89</x:v>
      </x:c>
      <x:c r="O1898" s="29" t="str">
        <x:v>76.96</x:v>
      </x:c>
      <x:c r="P1898" s="18" t="str">
        <x:v>2026-07-09</x:v>
      </x:c>
      <x:c r="Q1898" s="36" t="n">
        <x:v>46212</x:v>
      </x:c>
    </x:row>
    <x:row r="1899">
      <x:c r="A1899" s="36" t="str">
        <x:v>2026-07-09</x:v>
      </x:c>
      <x:c r="B1899" s="18" t="str">
        <x:v>101437000_71059</x:v>
      </x:c>
      <x:c r="C1899" s="18" t="str">
        <x:v>【沪村小电】宝乐汇商业广场站</x:v>
      </x:c>
      <x:c r="D1899" s="37" t="str">
        <x:v>4</x:v>
      </x:c>
      <x:c r="E1899" s="37" t="str">
        <x:v>0</x:v>
      </x:c>
      <x:c r="F1899" s="37" t="str">
        <x:v>20</x:v>
      </x:c>
      <x:c r="G1899" s="37" t="str">
        <x:v>460.18</x:v>
      </x:c>
      <x:c r="H1899" s="37" t="str">
        <x:v>63.35</x:v>
      </x:c>
      <x:c r="I1899" s="37" t="str">
        <x:v>120.79</x:v>
      </x:c>
      <x:c r="J1899" s="37" t="str">
        <x:v>133.65</x:v>
      </x:c>
      <x:c r="K1899" s="37" t="str">
        <x:v>142.38</x:v>
      </x:c>
      <x:c r="L1899" s="37" t="str">
        <x:v>800</x:v>
      </x:c>
      <x:c r="M1899" s="29" t="str">
        <x:v>476.40</x:v>
      </x:c>
      <x:c r="N1899" s="29" t="str">
        <x:v>389.52</x:v>
      </x:c>
      <x:c r="O1899" s="29" t="str">
        <x:v>86.88</x:v>
      </x:c>
      <x:c r="P1899" s="18" t="str">
        <x:v>2026-07-09</x:v>
      </x:c>
      <x:c r="Q1899" s="36" t="n">
        <x:v>46212</x:v>
      </x:c>
    </x:row>
    <x:row r="1900">
      <x:c r="A1900" s="36" t="str">
        <x:v>2026-07-09</x:v>
      </x:c>
      <x:c r="B1900" s="18" t="str">
        <x:v>101437000_72541</x:v>
      </x:c>
      <x:c r="C1900" s="18" t="str">
        <x:v>【沪村小电】九干路1174弄充电站</x:v>
      </x:c>
      <x:c r="D1900" s="37" t="str">
        <x:v>2</x:v>
      </x:c>
      <x:c r="E1900" s="37" t="str">
        <x:v>0</x:v>
      </x:c>
      <x:c r="F1900" s="37" t="str">
        <x:v>77</x:v>
      </x:c>
      <x:c r="G1900" s="37" t="str">
        <x:v>400.40</x:v>
      </x:c>
      <x:c r="H1900" s="37" t="str">
        <x:v>0.00</x:v>
      </x:c>
      <x:c r="I1900" s="37" t="str">
        <x:v>214.31</x:v>
      </x:c>
      <x:c r="J1900" s="37" t="str">
        <x:v>0.00</x:v>
      </x:c>
      <x:c r="K1900" s="37" t="str">
        <x:v>186.09</x:v>
      </x:c>
      <x:c r="L1900" s="37" t="str">
        <x:v>784</x:v>
      </x:c>
      <x:c r="M1900" s="29" t="str">
        <x:v>330.34</x:v>
      </x:c>
      <x:c r="N1900" s="29" t="str">
        <x:v>229.31</x:v>
      </x:c>
      <x:c r="O1900" s="29" t="str">
        <x:v>101.03</x:v>
      </x:c>
      <x:c r="P1900" s="18" t="str">
        <x:v>2026-07-09</x:v>
      </x:c>
      <x:c r="Q1900" s="36" t="n">
        <x:v>46212</x:v>
      </x:c>
    </x:row>
    <x:row r="1901">
      <x:c r="A1901" s="36" t="str">
        <x:v>2026-07-09</x:v>
      </x:c>
      <x:c r="B1901" s="18" t="str">
        <x:v>101437000_72543</x:v>
      </x:c>
      <x:c r="C1901" s="18" t="str">
        <x:v>【沪村小电】叶家中心村小区充电站</x:v>
      </x:c>
      <x:c r="D1901" s="37" t="str">
        <x:v>2</x:v>
      </x:c>
      <x:c r="E1901" s="37" t="str">
        <x:v>0</x:v>
      </x:c>
      <x:c r="F1901" s="37" t="str">
        <x:v>51</x:v>
      </x:c>
      <x:c r="G1901" s="37" t="str">
        <x:v>1336.97</x:v>
      </x:c>
      <x:c r="H1901" s="37" t="str">
        <x:v>0.00</x:v>
      </x:c>
      <x:c r="I1901" s="37" t="str">
        <x:v>770.71</x:v>
      </x:c>
      <x:c r="J1901" s="37" t="str">
        <x:v>0.00</x:v>
      </x:c>
      <x:c r="K1901" s="37" t="str">
        <x:v>566.26</x:v>
      </x:c>
      <x:c r="L1901" s="37" t="str">
        <x:v>2128</x:v>
      </x:c>
      <x:c r="M1901" s="29" t="str">
        <x:v>1103.30</x:v>
      </x:c>
      <x:c r="N1901" s="29" t="str">
        <x:v>785.50</x:v>
      </x:c>
      <x:c r="O1901" s="29" t="str">
        <x:v>317.80</x:v>
      </x:c>
      <x:c r="P1901" s="18" t="str">
        <x:v>2026-07-09</x:v>
      </x:c>
      <x:c r="Q1901" s="36" t="n">
        <x:v>46212</x:v>
      </x:c>
    </x:row>
    <x:row r="1902">
      <x:c r="A1902" s="36" t="str">
        <x:v>2026-07-09</x:v>
      </x:c>
      <x:c r="B1902" s="18" t="str">
        <x:v>101437000_72937</x:v>
      </x:c>
      <x:c r="C1902" s="18" t="str">
        <x:v>【沪村小电】佘北家园茸腾苑充电站</x:v>
      </x:c>
      <x:c r="D1902" s="37" t="str">
        <x:v>4</x:v>
      </x:c>
      <x:c r="E1902" s="37" t="str">
        <x:v>0</x:v>
      </x:c>
      <x:c r="F1902" s="37" t="str">
        <x:v>27</x:v>
      </x:c>
      <x:c r="G1902" s="37" t="str">
        <x:v>599.95</x:v>
      </x:c>
      <x:c r="H1902" s="37" t="str">
        <x:v>0.00</x:v>
      </x:c>
      <x:c r="I1902" s="37" t="str">
        <x:v>599.95</x:v>
      </x:c>
      <x:c r="J1902" s="37" t="str">
        <x:v>0.00</x:v>
      </x:c>
      <x:c r="K1902" s="37" t="str">
        <x:v>0.00</x:v>
      </x:c>
      <x:c r="L1902" s="37" t="str">
        <x:v>1112</x:v>
      </x:c>
      <x:c r="M1902" s="29" t="str">
        <x:v>535.67</x:v>
      </x:c>
      <x:c r="N1902" s="29" t="str">
        <x:v>443.98</x:v>
      </x:c>
      <x:c r="O1902" s="29" t="str">
        <x:v>91.69</x:v>
      </x:c>
      <x:c r="P1902" s="18" t="str">
        <x:v>2026-07-09</x:v>
      </x:c>
      <x:c r="Q1902" s="36" t="n">
        <x:v>46212</x:v>
      </x:c>
    </x:row>
    <x:row r="1903">
      <x:c r="A1903" s="36" t="str">
        <x:v>2026-07-09</x:v>
      </x:c>
      <x:c r="B1903" s="18" t="str">
        <x:v>101437000_74223</x:v>
      </x:c>
      <x:c r="C1903" s="18" t="str">
        <x:v>【沪村小电】中兴村委会充电站</x:v>
      </x:c>
      <x:c r="D1903" s="37" t="str">
        <x:v>2</x:v>
      </x:c>
      <x:c r="E1903" s="37" t="str">
        <x:v>0</x:v>
      </x:c>
      <x:c r="F1903" s="37" t="str">
        <x:v>18</x:v>
      </x:c>
      <x:c r="G1903" s="37" t="str">
        <x:v>459.86</x:v>
      </x:c>
      <x:c r="H1903" s="37" t="str">
        <x:v>0.00</x:v>
      </x:c>
      <x:c r="I1903" s="37" t="str">
        <x:v>144.30</x:v>
      </x:c>
      <x:c r="J1903" s="37" t="str">
        <x:v>0.00</x:v>
      </x:c>
      <x:c r="K1903" s="37" t="str">
        <x:v>315.56</x:v>
      </x:c>
      <x:c r="L1903" s="37" t="str">
        <x:v>770</x:v>
      </x:c>
      <x:c r="M1903" s="29" t="str">
        <x:v>382.28</x:v>
      </x:c>
      <x:c r="N1903" s="29" t="str">
        <x:v>317.32</x:v>
      </x:c>
      <x:c r="O1903" s="29" t="str">
        <x:v>64.96</x:v>
      </x:c>
      <x:c r="P1903" s="18" t="str">
        <x:v>2026-07-09</x:v>
      </x:c>
      <x:c r="Q1903" s="36" t="n">
        <x:v>46212</x:v>
      </x:c>
    </x:row>
    <x:row r="1904">
      <x:c r="A1904" s="36" t="str">
        <x:v>2026-07-09</x:v>
      </x:c>
      <x:c r="B1904" s="18" t="str">
        <x:v>101437000_74801</x:v>
      </x:c>
      <x:c r="C1904" s="18" t="str">
        <x:v>【沪村小电】申良花园充电站</x:v>
      </x:c>
      <x:c r="D1904" s="37" t="str">
        <x:v>4</x:v>
      </x:c>
      <x:c r="E1904" s="37" t="str">
        <x:v>0</x:v>
      </x:c>
      <x:c r="F1904" s="37" t="str">
        <x:v>16</x:v>
      </x:c>
      <x:c r="G1904" s="37" t="str">
        <x:v>263.36</x:v>
      </x:c>
      <x:c r="H1904" s="37" t="str">
        <x:v>0.00</x:v>
      </x:c>
      <x:c r="I1904" s="37" t="str">
        <x:v>162.49</x:v>
      </x:c>
      <x:c r="J1904" s="37" t="str">
        <x:v>0.00</x:v>
      </x:c>
      <x:c r="K1904" s="37" t="str">
        <x:v>100.87</x:v>
      </x:c>
      <x:c r="L1904" s="37" t="str">
        <x:v>423</x:v>
      </x:c>
      <x:c r="M1904" s="29" t="str">
        <x:v>250.92</x:v>
      </x:c>
      <x:c r="N1904" s="29" t="str">
        <x:v>158.56</x:v>
      </x:c>
      <x:c r="O1904" s="29" t="str">
        <x:v>92.36</x:v>
      </x:c>
      <x:c r="P1904" s="18" t="str">
        <x:v>2026-07-09</x:v>
      </x:c>
      <x:c r="Q1904" s="36" t="n">
        <x:v>46212</x:v>
      </x:c>
    </x:row>
    <x:row r="1905">
      <x:c r="A1905" s="36" t="str">
        <x:v>2026-07-09</x:v>
      </x:c>
      <x:c r="B1905" s="18" t="str">
        <x:v>101437000_74931</x:v>
      </x:c>
      <x:c r="C1905" s="18" t="str">
        <x:v>【沪村小电】枫雅南居充电站</x:v>
      </x:c>
      <x:c r="D1905" s="37" t="str">
        <x:v>2</x:v>
      </x:c>
      <x:c r="E1905" s="37" t="str">
        <x:v>0</x:v>
      </x:c>
      <x:c r="F1905" s="37" t="str">
        <x:v>63</x:v>
      </x:c>
      <x:c r="G1905" s="37" t="str">
        <x:v>1950.18</x:v>
      </x:c>
      <x:c r="H1905" s="37" t="str">
        <x:v>0.00</x:v>
      </x:c>
      <x:c r="I1905" s="37" t="str">
        <x:v>945.86</x:v>
      </x:c>
      <x:c r="J1905" s="37" t="str">
        <x:v>0.00</x:v>
      </x:c>
      <x:c r="K1905" s="37" t="str">
        <x:v>1004.33</x:v>
      </x:c>
      <x:c r="L1905" s="37" t="str">
        <x:v>2815</x:v>
      </x:c>
      <x:c r="M1905" s="29" t="str">
        <x:v>1412.98</x:v>
      </x:c>
      <x:c r="N1905" s="29" t="str">
        <x:v>869.43</x:v>
      </x:c>
      <x:c r="O1905" s="29" t="str">
        <x:v>543.55</x:v>
      </x:c>
      <x:c r="P1905" s="18" t="str">
        <x:v>2026-07-09</x:v>
      </x:c>
      <x:c r="Q1905" s="36" t="n">
        <x:v>46212</x:v>
      </x:c>
    </x:row>
    <x:row r="1906">
      <x:c r="A1906" s="36" t="str">
        <x:v>2026-07-09</x:v>
      </x:c>
      <x:c r="B1906" s="18" t="str">
        <x:v>101437000_75901</x:v>
      </x:c>
      <x:c r="C1906" s="18" t="str">
        <x:v>【沪村小电】金悦学府</x:v>
      </x:c>
      <x:c r="D1906" s="37" t="str">
        <x:v>2</x:v>
      </x:c>
      <x:c r="E1906" s="37" t="str">
        <x:v>0</x:v>
      </x:c>
      <x:c r="F1906" s="37" t="str">
        <x:v>23</x:v>
      </x:c>
      <x:c r="G1906" s="37" t="str">
        <x:v>373.72</x:v>
      </x:c>
      <x:c r="H1906" s="37" t="str">
        <x:v>0.00</x:v>
      </x:c>
      <x:c r="I1906" s="37" t="str">
        <x:v>208.62</x:v>
      </x:c>
      <x:c r="J1906" s="37" t="str">
        <x:v>0.00</x:v>
      </x:c>
      <x:c r="K1906" s="37" t="str">
        <x:v>165.11</x:v>
      </x:c>
      <x:c r="L1906" s="37" t="str">
        <x:v>458</x:v>
      </x:c>
      <x:c r="M1906" s="29" t="str">
        <x:v>298.98</x:v>
      </x:c>
      <x:c r="N1906" s="29" t="str">
        <x:v>174.25</x:v>
      </x:c>
      <x:c r="O1906" s="29" t="str">
        <x:v>124.73</x:v>
      </x:c>
      <x:c r="P1906" s="18" t="str">
        <x:v>2026-07-09</x:v>
      </x:c>
      <x:c r="Q1906" s="36" t="n">
        <x:v>46212</x:v>
      </x:c>
    </x:row>
    <x:row r="1907">
      <x:c r="A1907" s="36" t="str">
        <x:v>2026-07-09</x:v>
      </x:c>
      <x:c r="B1907" s="18" t="str">
        <x:v>101437000_76091</x:v>
      </x:c>
      <x:c r="C1907" s="18" t="str">
        <x:v>【沪村小电】恒信家园充电站</x:v>
      </x:c>
      <x:c r="D1907" s="37" t="str">
        <x:v>2</x:v>
      </x:c>
      <x:c r="E1907" s="37" t="str">
        <x:v>0</x:v>
      </x:c>
      <x:c r="F1907" s="37" t="str">
        <x:v>54</x:v>
      </x:c>
      <x:c r="G1907" s="37" t="str">
        <x:v>1078.13</x:v>
      </x:c>
      <x:c r="H1907" s="37" t="str">
        <x:v>0.00</x:v>
      </x:c>
      <x:c r="I1907" s="37" t="str">
        <x:v>747.38</x:v>
      </x:c>
      <x:c r="J1907" s="37" t="str">
        <x:v>0.00</x:v>
      </x:c>
      <x:c r="K1907" s="37" t="str">
        <x:v>330.75</x:v>
      </x:c>
      <x:c r="L1907" s="37" t="str">
        <x:v>1496</x:v>
      </x:c>
      <x:c r="M1907" s="29" t="str">
        <x:v>1075.13</x:v>
      </x:c>
      <x:c r="N1907" s="29" t="str">
        <x:v>678.78</x:v>
      </x:c>
      <x:c r="O1907" s="29" t="str">
        <x:v>396.35</x:v>
      </x:c>
      <x:c r="P1907" s="18" t="str">
        <x:v>2026-07-09</x:v>
      </x:c>
      <x:c r="Q1907" s="36" t="n">
        <x:v>46212</x:v>
      </x:c>
    </x:row>
    <x:row r="1908">
      <x:c r="A1908" s="36" t="str">
        <x:v>2026-07-09</x:v>
      </x:c>
      <x:c r="B1908" s="18" t="str">
        <x:v>101437000_76417</x:v>
      </x:c>
      <x:c r="C1908" s="18" t="str">
        <x:v>【沪村小电】新春一组充电站</x:v>
      </x:c>
      <x:c r="D1908" s="37" t="str">
        <x:v>2</x:v>
      </x:c>
      <x:c r="E1908" s="37" t="str">
        <x:v>0</x:v>
      </x:c>
      <x:c r="F1908" s="37" t="str">
        <x:v>18</x:v>
      </x:c>
      <x:c r="G1908" s="37" t="str">
        <x:v>647.45</x:v>
      </x:c>
      <x:c r="H1908" s="37" t="str">
        <x:v>0.00</x:v>
      </x:c>
      <x:c r="I1908" s="37" t="str">
        <x:v>182.41</x:v>
      </x:c>
      <x:c r="J1908" s="37" t="str">
        <x:v>0.00</x:v>
      </x:c>
      <x:c r="K1908" s="37" t="str">
        <x:v>465.04</x:v>
      </x:c>
      <x:c r="L1908" s="37" t="str">
        <x:v>750</x:v>
      </x:c>
      <x:c r="M1908" s="29" t="str">
        <x:v>538.45</x:v>
      </x:c>
      <x:c r="N1908" s="29" t="str">
        <x:v>436.17</x:v>
      </x:c>
      <x:c r="O1908" s="29" t="str">
        <x:v>102.28</x:v>
      </x:c>
      <x:c r="P1908" s="18" t="str">
        <x:v>2026-07-09</x:v>
      </x:c>
      <x:c r="Q1908" s="36" t="n">
        <x:v>46212</x:v>
      </x:c>
    </x:row>
    <x:row r="1909">
      <x:c r="A1909" s="36" t="str">
        <x:v>2026-07-09</x:v>
      </x:c>
      <x:c r="B1909" s="18" t="str">
        <x:v>101437000_78235</x:v>
      </x:c>
      <x:c r="C1909" s="18" t="str">
        <x:v>【沪村小电】欣秋苑充电站</x:v>
      </x:c>
      <x:c r="D1909" s="37" t="str">
        <x:v>4</x:v>
      </x:c>
      <x:c r="E1909" s="37" t="str">
        <x:v>0</x:v>
      </x:c>
      <x:c r="F1909" s="37" t="str">
        <x:v>25</x:v>
      </x:c>
      <x:c r="G1909" s="37" t="str">
        <x:v>641.84</x:v>
      </x:c>
      <x:c r="H1909" s="37" t="str">
        <x:v>0.00</x:v>
      </x:c>
      <x:c r="I1909" s="37" t="str">
        <x:v>587.13</x:v>
      </x:c>
      <x:c r="J1909" s="37" t="str">
        <x:v>0.00</x:v>
      </x:c>
      <x:c r="K1909" s="37" t="str">
        <x:v>54.71</x:v>
      </x:c>
      <x:c r="L1909" s="37" t="str">
        <x:v>1010</x:v>
      </x:c>
      <x:c r="M1909" s="29" t="str">
        <x:v>617.32</x:v>
      </x:c>
      <x:c r="N1909" s="29" t="str">
        <x:v>455.24</x:v>
      </x:c>
      <x:c r="O1909" s="29" t="str">
        <x:v>162.08</x:v>
      </x:c>
      <x:c r="P1909" s="18" t="str">
        <x:v>2026-07-09</x:v>
      </x:c>
      <x:c r="Q1909" s="36" t="n">
        <x:v>46212</x:v>
      </x:c>
    </x:row>
    <x:row r="1910">
      <x:c r="A1910" s="36" t="str">
        <x:v>2026-07-09</x:v>
      </x:c>
      <x:c r="B1910" s="18" t="str">
        <x:v>101437000_78237</x:v>
      </x:c>
      <x:c r="C1910" s="18" t="str">
        <x:v>【沪村小电】奉馨苑西门小区内北侧充电站</x:v>
      </x:c>
      <x:c r="D1910" s="37" t="str">
        <x:v>2</x:v>
      </x:c>
      <x:c r="E1910" s="37" t="str">
        <x:v>0</x:v>
      </x:c>
      <x:c r="F1910" s="37" t="str">
        <x:v>43</x:v>
      </x:c>
      <x:c r="G1910" s="37" t="str">
        <x:v>1076.80</x:v>
      </x:c>
      <x:c r="H1910" s="37" t="str">
        <x:v>0.00</x:v>
      </x:c>
      <x:c r="I1910" s="37" t="str">
        <x:v>819.94</x:v>
      </x:c>
      <x:c r="J1910" s="37" t="str">
        <x:v>0.00</x:v>
      </x:c>
      <x:c r="K1910" s="37" t="str">
        <x:v>256.86</x:v>
      </x:c>
      <x:c r="L1910" s="37" t="str">
        <x:v>1667</x:v>
      </x:c>
      <x:c r="M1910" s="29" t="str">
        <x:v>964.01</x:v>
      </x:c>
      <x:c r="N1910" s="29" t="str">
        <x:v>704.38</x:v>
      </x:c>
      <x:c r="O1910" s="29" t="str">
        <x:v>259.63</x:v>
      </x:c>
      <x:c r="P1910" s="18" t="str">
        <x:v>2026-07-09</x:v>
      </x:c>
      <x:c r="Q1910" s="36" t="n">
        <x:v>46212</x:v>
      </x:c>
    </x:row>
    <x:row r="1911">
      <x:c r="A1911" s="36" t="str">
        <x:v>2026-07-09</x:v>
      </x:c>
      <x:c r="B1911" s="18" t="str">
        <x:v>101437000_78239</x:v>
      </x:c>
      <x:c r="C1911" s="18" t="str">
        <x:v>【沪村小电】恒大佘山首府东门充电站</x:v>
      </x:c>
      <x:c r="D1911" s="37" t="str">
        <x:v>2</x:v>
      </x:c>
      <x:c r="E1911" s="37" t="str">
        <x:v>0</x:v>
      </x:c>
      <x:c r="F1911" s="37" t="str">
        <x:v>50</x:v>
      </x:c>
      <x:c r="G1911" s="37" t="str">
        <x:v>1175.34</x:v>
      </x:c>
      <x:c r="H1911" s="37" t="str">
        <x:v>0.00</x:v>
      </x:c>
      <x:c r="I1911" s="37" t="str">
        <x:v>638.72</x:v>
      </x:c>
      <x:c r="J1911" s="37" t="str">
        <x:v>0.00</x:v>
      </x:c>
      <x:c r="K1911" s="37" t="str">
        <x:v>536.62</x:v>
      </x:c>
      <x:c r="L1911" s="37" t="str">
        <x:v>1893</x:v>
      </x:c>
      <x:c r="M1911" s="29" t="str">
        <x:v>934.59</x:v>
      </x:c>
      <x:c r="N1911" s="29" t="str">
        <x:v>676.53</x:v>
      </x:c>
      <x:c r="O1911" s="29" t="str">
        <x:v>258.06</x:v>
      </x:c>
      <x:c r="P1911" s="18" t="str">
        <x:v>2026-07-09</x:v>
      </x:c>
      <x:c r="Q1911" s="36" t="n">
        <x:v>46212</x:v>
      </x:c>
    </x:row>
    <x:row r="1912">
      <x:c r="A1912" s="36" t="str">
        <x:v>2026-07-09</x:v>
      </x:c>
      <x:c r="B1912" s="18" t="str">
        <x:v>101437000_80823</x:v>
      </x:c>
      <x:c r="C1912" s="18" t="str">
        <x:v>【沪村小电】上湖轩充电站</x:v>
      </x:c>
      <x:c r="D1912" s="37" t="str">
        <x:v>2</x:v>
      </x:c>
      <x:c r="E1912" s="37" t="str">
        <x:v>0</x:v>
      </x:c>
      <x:c r="F1912" s="37" t="str">
        <x:v>24</x:v>
      </x:c>
      <x:c r="G1912" s="37" t="str">
        <x:v>642.08</x:v>
      </x:c>
      <x:c r="H1912" s="37" t="str">
        <x:v>45.94</x:v>
      </x:c>
      <x:c r="I1912" s="37" t="str">
        <x:v>82.35</x:v>
      </x:c>
      <x:c r="J1912" s="37" t="str">
        <x:v>60.32</x:v>
      </x:c>
      <x:c r="K1912" s="37" t="str">
        <x:v>453.47</x:v>
      </x:c>
      <x:c r="L1912" s="37" t="str">
        <x:v>916</x:v>
      </x:c>
      <x:c r="M1912" s="29" t="str">
        <x:v>454.88</x:v>
      </x:c>
      <x:c r="N1912" s="29" t="str">
        <x:v>335.30</x:v>
      </x:c>
      <x:c r="O1912" s="29" t="str">
        <x:v>119.58</x:v>
      </x:c>
      <x:c r="P1912" s="18" t="str">
        <x:v>2026-07-09</x:v>
      </x:c>
      <x:c r="Q1912" s="36" t="n">
        <x:v>46212</x:v>
      </x:c>
    </x:row>
    <x:row r="1913">
      <x:c r="A1913" s="36" t="str">
        <x:v>2026-07-09</x:v>
      </x:c>
      <x:c r="B1913" s="18" t="str">
        <x:v>101437000_83019</x:v>
      </x:c>
      <x:c r="C1913" s="18" t="str">
        <x:v>【沪村小电】首创禧瑞云启东区充电站</x:v>
      </x:c>
      <x:c r="D1913" s="37" t="str">
        <x:v>2</x:v>
      </x:c>
      <x:c r="E1913" s="37" t="str">
        <x:v>0</x:v>
      </x:c>
      <x:c r="F1913" s="37" t="str">
        <x:v>53</x:v>
      </x:c>
      <x:c r="G1913" s="37" t="str">
        <x:v>1408.37</x:v>
      </x:c>
      <x:c r="H1913" s="37" t="str">
        <x:v>0.00</x:v>
      </x:c>
      <x:c r="I1913" s="37" t="str">
        <x:v>1151.34</x:v>
      </x:c>
      <x:c r="J1913" s="37" t="str">
        <x:v>0.00</x:v>
      </x:c>
      <x:c r="K1913" s="37" t="str">
        <x:v>257.03</x:v>
      </x:c>
      <x:c r="L1913" s="37" t="str">
        <x:v>2058</x:v>
      </x:c>
      <x:c r="M1913" s="29" t="str">
        <x:v>1314.41</x:v>
      </x:c>
      <x:c r="N1913" s="29" t="str">
        <x:v>886.93</x:v>
      </x:c>
      <x:c r="O1913" s="29" t="str">
        <x:v>427.48</x:v>
      </x:c>
      <x:c r="P1913" s="18" t="str">
        <x:v>2026-07-09</x:v>
      </x:c>
      <x:c r="Q1913" s="36" t="n">
        <x:v>46212</x:v>
      </x:c>
    </x:row>
    <x:row r="1914">
      <x:c r="A1914" s="36" t="str">
        <x:v>2026-07-09</x:v>
      </x:c>
      <x:c r="B1914" s="18" t="str">
        <x:v>101437000_83093</x:v>
      </x:c>
      <x:c r="C1914" s="18" t="str">
        <x:v>【沪村小电】金茂未来时光里</x:v>
      </x:c>
      <x:c r="D1914" s="37" t="str">
        <x:v>2</x:v>
      </x:c>
      <x:c r="E1914" s="37" t="str">
        <x:v>0</x:v>
      </x:c>
      <x:c r="F1914" s="37" t="str">
        <x:v>42</x:v>
      </x:c>
      <x:c r="G1914" s="37" t="str">
        <x:v>1125.72</x:v>
      </x:c>
      <x:c r="H1914" s="37" t="str">
        <x:v>0.00</x:v>
      </x:c>
      <x:c r="I1914" s="37" t="str">
        <x:v>523.77</x:v>
      </x:c>
      <x:c r="J1914" s="37" t="str">
        <x:v>0.00</x:v>
      </x:c>
      <x:c r="K1914" s="37" t="str">
        <x:v>601.95</x:v>
      </x:c>
      <x:c r="L1914" s="37" t="str">
        <x:v>1353</x:v>
      </x:c>
      <x:c r="M1914" s="29" t="str">
        <x:v>809.87</x:v>
      </x:c>
      <x:c r="N1914" s="29" t="str">
        <x:v>495.61</x:v>
      </x:c>
      <x:c r="O1914" s="29" t="str">
        <x:v>314.26</x:v>
      </x:c>
      <x:c r="P1914" s="18" t="str">
        <x:v>2026-07-09</x:v>
      </x:c>
      <x:c r="Q1914" s="36" t="n">
        <x:v>46212</x:v>
      </x:c>
    </x:row>
    <x:row r="1915">
      <x:c r="A1915" s="36" t="str">
        <x:v>2026-07-09</x:v>
      </x:c>
      <x:c r="B1915" s="18" t="str">
        <x:v>101437000_83911</x:v>
      </x:c>
      <x:c r="C1915" s="18" t="str">
        <x:v>【沪村小电】金瀚园充电站</x:v>
      </x:c>
      <x:c r="D1915" s="37" t="str">
        <x:v>2</x:v>
      </x:c>
      <x:c r="E1915" s="37" t="str">
        <x:v>0</x:v>
      </x:c>
      <x:c r="F1915" s="37" t="str">
        <x:v>36</x:v>
      </x:c>
      <x:c r="G1915" s="37" t="str">
        <x:v>923.39</x:v>
      </x:c>
      <x:c r="H1915" s="37" t="str">
        <x:v>0.00</x:v>
      </x:c>
      <x:c r="I1915" s="37" t="str">
        <x:v>591.35</x:v>
      </x:c>
      <x:c r="J1915" s="37" t="str">
        <x:v>0.00</x:v>
      </x:c>
      <x:c r="K1915" s="37" t="str">
        <x:v>332.04</x:v>
      </x:c>
      <x:c r="L1915" s="37" t="str">
        <x:v>1339</x:v>
      </x:c>
      <x:c r="M1915" s="29" t="str">
        <x:v>927.05</x:v>
      </x:c>
      <x:c r="N1915" s="29" t="str">
        <x:v>563.74</x:v>
      </x:c>
      <x:c r="O1915" s="29" t="str">
        <x:v>363.31</x:v>
      </x:c>
      <x:c r="P1915" s="18" t="str">
        <x:v>2026-07-09</x:v>
      </x:c>
      <x:c r="Q1915" s="36" t="n">
        <x:v>46212</x:v>
      </x:c>
    </x:row>
    <x:row r="1916">
      <x:c r="A1916" s="36" t="str">
        <x:v>2026-07-09</x:v>
      </x:c>
      <x:c r="B1916" s="18" t="str">
        <x:v>101437000_83913</x:v>
      </x:c>
      <x:c r="C1916" s="18" t="str">
        <x:v>【沪村小电】新黎村充电站</x:v>
      </x:c>
      <x:c r="D1916" s="37" t="str">
        <x:v>2</x:v>
      </x:c>
      <x:c r="E1916" s="37" t="str">
        <x:v>0</x:v>
      </x:c>
      <x:c r="F1916" s="37" t="str">
        <x:v>28</x:v>
      </x:c>
      <x:c r="G1916" s="37" t="str">
        <x:v>640.33</x:v>
      </x:c>
      <x:c r="H1916" s="37" t="str">
        <x:v>0.00</x:v>
      </x:c>
      <x:c r="I1916" s="37" t="str">
        <x:v>344.23</x:v>
      </x:c>
      <x:c r="J1916" s="37" t="str">
        <x:v>0.00</x:v>
      </x:c>
      <x:c r="K1916" s="37" t="str">
        <x:v>296.10</x:v>
      </x:c>
      <x:c r="L1916" s="37" t="str">
        <x:v>858</x:v>
      </x:c>
      <x:c r="M1916" s="29" t="str">
        <x:v>665.45</x:v>
      </x:c>
      <x:c r="N1916" s="29" t="str">
        <x:v>514.92</x:v>
      </x:c>
      <x:c r="O1916" s="29" t="str">
        <x:v>150.53</x:v>
      </x:c>
      <x:c r="P1916" s="18" t="str">
        <x:v>2026-07-09</x:v>
      </x:c>
      <x:c r="Q1916" s="36" t="n">
        <x:v>46212</x:v>
      </x:c>
    </x:row>
    <x:row r="1917">
      <x:c r="A1917" s="36" t="str">
        <x:v>2026-07-09</x:v>
      </x:c>
      <x:c r="B1917" s="18" t="str">
        <x:v>101437000_83915</x:v>
      </x:c>
      <x:c r="C1917" s="18" t="str">
        <x:v>【沪村小电】长泰西郊别墅充电站</x:v>
      </x:c>
      <x:c r="D1917" s="37" t="str">
        <x:v>2</x:v>
      </x:c>
      <x:c r="E1917" s="37" t="str">
        <x:v>0</x:v>
      </x:c>
      <x:c r="F1917" s="37" t="str">
        <x:v>19</x:v>
      </x:c>
      <x:c r="G1917" s="37" t="str">
        <x:v>453.97</x:v>
      </x:c>
      <x:c r="H1917" s="37" t="str">
        <x:v>0.00</x:v>
      </x:c>
      <x:c r="I1917" s="37" t="str">
        <x:v>361.53</x:v>
      </x:c>
      <x:c r="J1917" s="37" t="str">
        <x:v>0.00</x:v>
      </x:c>
      <x:c r="K1917" s="37" t="str">
        <x:v>92.44</x:v>
      </x:c>
      <x:c r="L1917" s="37" t="str">
        <x:v>635</x:v>
      </x:c>
      <x:c r="M1917" s="29" t="str">
        <x:v>437.89</x:v>
      </x:c>
      <x:c r="N1917" s="29" t="str">
        <x:v>302.64</x:v>
      </x:c>
      <x:c r="O1917" s="29" t="str">
        <x:v>135.25</x:v>
      </x:c>
      <x:c r="P1917" s="18" t="str">
        <x:v>2026-07-09</x:v>
      </x:c>
      <x:c r="Q1917" s="36" t="n">
        <x:v>46212</x:v>
      </x:c>
    </x:row>
    <x:row r="1918">
      <x:c r="A1918" s="36" t="str">
        <x:v>2026-07-09</x:v>
      </x:c>
      <x:c r="B1918" s="18" t="str">
        <x:v>101437000_83917</x:v>
      </x:c>
      <x:c r="C1918" s="18" t="str">
        <x:v>【沪村小电】旭新华庭充电站</x:v>
      </x:c>
      <x:c r="D1918" s="37" t="str">
        <x:v>4</x:v>
      </x:c>
      <x:c r="E1918" s="37" t="str">
        <x:v>0</x:v>
      </x:c>
      <x:c r="F1918" s="37" t="str">
        <x:v>40</x:v>
      </x:c>
      <x:c r="G1918" s="37" t="str">
        <x:v>877.14</x:v>
      </x:c>
      <x:c r="H1918" s="37" t="str">
        <x:v>0.00</x:v>
      </x:c>
      <x:c r="I1918" s="37" t="str">
        <x:v>590.92</x:v>
      </x:c>
      <x:c r="J1918" s="37" t="str">
        <x:v>0.00</x:v>
      </x:c>
      <x:c r="K1918" s="37" t="str">
        <x:v>286.22</x:v>
      </x:c>
      <x:c r="L1918" s="37" t="str">
        <x:v>1445</x:v>
      </x:c>
      <x:c r="M1918" s="29" t="str">
        <x:v>870.83</x:v>
      </x:c>
      <x:c r="N1918" s="29" t="str">
        <x:v>546.05</x:v>
      </x:c>
      <x:c r="O1918" s="29" t="str">
        <x:v>324.78</x:v>
      </x:c>
      <x:c r="P1918" s="18" t="str">
        <x:v>2026-07-09</x:v>
      </x:c>
      <x:c r="Q1918" s="36" t="n">
        <x:v>46212</x:v>
      </x:c>
    </x:row>
    <x:row r="1919">
      <x:c r="A1919" s="36" t="str">
        <x:v>2026-07-09</x:v>
      </x:c>
      <x:c r="B1919" s="18" t="str">
        <x:v>101437000_83919</x:v>
      </x:c>
      <x:c r="C1919" s="18" t="str">
        <x:v>【沪村小电】浦锦名仕嘉园充电站</x:v>
      </x:c>
      <x:c r="D1919" s="37" t="str">
        <x:v>4</x:v>
      </x:c>
      <x:c r="E1919" s="37" t="str">
        <x:v>0</x:v>
      </x:c>
      <x:c r="F1919" s="37" t="str">
        <x:v>41</x:v>
      </x:c>
      <x:c r="G1919" s="37" t="str">
        <x:v>979.90</x:v>
      </x:c>
      <x:c r="H1919" s="37" t="str">
        <x:v>0.00</x:v>
      </x:c>
      <x:c r="I1919" s="37" t="str">
        <x:v>0.00</x:v>
      </x:c>
      <x:c r="J1919" s="37" t="str">
        <x:v>979.90</x:v>
      </x:c>
      <x:c r="K1919" s="37" t="str">
        <x:v>0.00</x:v>
      </x:c>
      <x:c r="L1919" s="37" t="str">
        <x:v>1520</x:v>
      </x:c>
      <x:c r="M1919" s="29" t="str">
        <x:v>929.78</x:v>
      </x:c>
      <x:c r="N1919" s="29" t="str">
        <x:v>627.13</x:v>
      </x:c>
      <x:c r="O1919" s="29" t="str">
        <x:v>302.65</x:v>
      </x:c>
      <x:c r="P1919" s="18" t="str">
        <x:v>2026-07-09</x:v>
      </x:c>
      <x:c r="Q1919" s="36" t="n">
        <x:v>46212</x:v>
      </x:c>
    </x:row>
    <x:row r="1920">
      <x:c r="A1920" s="36" t="str">
        <x:v>2026-07-09</x:v>
      </x:c>
      <x:c r="B1920" s="18" t="str">
        <x:v>101437000_83921</x:v>
      </x:c>
      <x:c r="C1920" s="18" t="str">
        <x:v>【沪村小电】上海联怡枇杷乐园充电站（地库）</x:v>
      </x:c>
      <x:c r="D1920" s="37" t="str">
        <x:v>8</x:v>
      </x:c>
      <x:c r="E1920" s="37" t="str">
        <x:v>0</x:v>
      </x:c>
      <x:c r="F1920" s="37" t="str">
        <x:v>8</x:v>
      </x:c>
      <x:c r="G1920" s="37" t="str">
        <x:v>255.39</x:v>
      </x:c>
      <x:c r="H1920" s="37" t="str">
        <x:v>0.00</x:v>
      </x:c>
      <x:c r="I1920" s="37" t="str">
        <x:v>57.66</x:v>
      </x:c>
      <x:c r="J1920" s="37" t="str">
        <x:v>0.00</x:v>
      </x:c>
      <x:c r="K1920" s="37" t="str">
        <x:v>197.73</x:v>
      </x:c>
      <x:c r="L1920" s="37" t="str">
        <x:v>354</x:v>
      </x:c>
      <x:c r="M1920" s="29" t="str">
        <x:v>190.52</x:v>
      </x:c>
      <x:c r="N1920" s="29" t="str">
        <x:v>164.77</x:v>
      </x:c>
      <x:c r="O1920" s="29" t="str">
        <x:v>25.75</x:v>
      </x:c>
      <x:c r="P1920" s="18" t="str">
        <x:v>2026-07-09</x:v>
      </x:c>
      <x:c r="Q1920" s="36" t="n">
        <x:v>46212</x:v>
      </x:c>
    </x:row>
    <x:row r="1921">
      <x:c r="A1921" s="36" t="str">
        <x:v>2026-07-09</x:v>
      </x:c>
      <x:c r="B1921" s="18" t="str">
        <x:v>101437000_83923</x:v>
      </x:c>
      <x:c r="C1921" s="18" t="str">
        <x:v>【沪村小电】明珠新苑充电站</x:v>
      </x:c>
      <x:c r="D1921" s="37" t="str">
        <x:v>2</x:v>
      </x:c>
      <x:c r="E1921" s="37" t="str">
        <x:v>0</x:v>
      </x:c>
      <x:c r="F1921" s="37" t="str">
        <x:v>25</x:v>
      </x:c>
      <x:c r="G1921" s="37" t="str">
        <x:v>634.36</x:v>
      </x:c>
      <x:c r="H1921" s="37" t="str">
        <x:v>0.00</x:v>
      </x:c>
      <x:c r="I1921" s="37" t="str">
        <x:v>496.76</x:v>
      </x:c>
      <x:c r="J1921" s="37" t="str">
        <x:v>0.00</x:v>
      </x:c>
      <x:c r="K1921" s="37" t="str">
        <x:v>137.61</x:v>
      </x:c>
      <x:c r="L1921" s="37" t="str">
        <x:v>956</x:v>
      </x:c>
      <x:c r="M1921" s="29" t="str">
        <x:v>580.58</x:v>
      </x:c>
      <x:c r="N1921" s="29" t="str">
        <x:v>419.88</x:v>
      </x:c>
      <x:c r="O1921" s="29" t="str">
        <x:v>160.70</x:v>
      </x:c>
      <x:c r="P1921" s="18" t="str">
        <x:v>2026-07-09</x:v>
      </x:c>
      <x:c r="Q1921" s="36" t="n">
        <x:v>46212</x:v>
      </x:c>
    </x:row>
    <x:row r="1922">
      <x:c r="A1922" s="36" t="str">
        <x:v>2026-07-09</x:v>
      </x:c>
      <x:c r="B1922" s="18" t="str">
        <x:v>101437000_84289</x:v>
      </x:c>
      <x:c r="C1922" s="18" t="str">
        <x:v>【沪村小电】铁建芳华苑充电站</x:v>
      </x:c>
      <x:c r="D1922" s="37" t="str">
        <x:v>4</x:v>
      </x:c>
      <x:c r="E1922" s="37" t="str">
        <x:v>0</x:v>
      </x:c>
      <x:c r="F1922" s="37" t="str">
        <x:v>45</x:v>
      </x:c>
      <x:c r="G1922" s="37" t="str">
        <x:v>1099.63</x:v>
      </x:c>
      <x:c r="H1922" s="37" t="str">
        <x:v>0.00</x:v>
      </x:c>
      <x:c r="I1922" s="37" t="str">
        <x:v>805.99</x:v>
      </x:c>
      <x:c r="J1922" s="37" t="str">
        <x:v>0.00</x:v>
      </x:c>
      <x:c r="K1922" s="37" t="str">
        <x:v>293.64</x:v>
      </x:c>
      <x:c r="L1922" s="37" t="str">
        <x:v>1734</x:v>
      </x:c>
      <x:c r="M1922" s="29" t="str">
        <x:v>1055.58</x:v>
      </x:c>
      <x:c r="N1922" s="29" t="str">
        <x:v>708.02</x:v>
      </x:c>
      <x:c r="O1922" s="29" t="str">
        <x:v>347.56</x:v>
      </x:c>
      <x:c r="P1922" s="18" t="str">
        <x:v>2026-07-09</x:v>
      </x:c>
      <x:c r="Q1922" s="36" t="n">
        <x:v>46212</x:v>
      </x:c>
    </x:row>
    <x:row r="1923">
      <x:c r="A1923" s="36" t="str">
        <x:v>2026-07-09</x:v>
      </x:c>
      <x:c r="B1923" s="18" t="str">
        <x:v>101437000_86379</x:v>
      </x:c>
      <x:c r="C1923" s="18" t="str">
        <x:v>【沪村小电】新宝社区充电站</x:v>
      </x:c>
      <x:c r="D1923" s="37" t="str">
        <x:v>4</x:v>
      </x:c>
      <x:c r="E1923" s="37" t="str">
        <x:v>0</x:v>
      </x:c>
      <x:c r="F1923" s="37" t="str">
        <x:v>36</x:v>
      </x:c>
      <x:c r="G1923" s="37" t="str">
        <x:v>683.72</x:v>
      </x:c>
      <x:c r="H1923" s="37" t="str">
        <x:v>0.00</x:v>
      </x:c>
      <x:c r="I1923" s="37" t="str">
        <x:v>460.26</x:v>
      </x:c>
      <x:c r="J1923" s="37" t="str">
        <x:v>0.00</x:v>
      </x:c>
      <x:c r="K1923" s="37" t="str">
        <x:v>223.46</x:v>
      </x:c>
      <x:c r="L1923" s="37" t="str">
        <x:v>1271</x:v>
      </x:c>
      <x:c r="M1923" s="29" t="str">
        <x:v>579.54</x:v>
      </x:c>
      <x:c r="N1923" s="29" t="str">
        <x:v>425.52</x:v>
      </x:c>
      <x:c r="O1923" s="29" t="str">
        <x:v>154.02</x:v>
      </x:c>
      <x:c r="P1923" s="18" t="str">
        <x:v>2026-07-09</x:v>
      </x:c>
      <x:c r="Q1923" s="36" t="n">
        <x:v>46212</x:v>
      </x:c>
    </x:row>
    <x:row r="1924">
      <x:c r="A1924" s="36" t="str">
        <x:v>2026-07-09</x:v>
      </x:c>
      <x:c r="B1924" s="18" t="str">
        <x:v>101437000_89441</x:v>
      </x:c>
      <x:c r="C1924" s="18" t="str">
        <x:v>【沪村小电】首创禧瑞云启西区充电站</x:v>
      </x:c>
      <x:c r="D1924" s="37" t="str">
        <x:v>2</x:v>
      </x:c>
      <x:c r="E1924" s="37" t="str">
        <x:v>0</x:v>
      </x:c>
      <x:c r="F1924" s="37" t="str">
        <x:v>55</x:v>
      </x:c>
      <x:c r="G1924" s="37" t="str">
        <x:v>1251.60</x:v>
      </x:c>
      <x:c r="H1924" s="37" t="str">
        <x:v>0.00</x:v>
      </x:c>
      <x:c r="I1924" s="37" t="str">
        <x:v>1076.08</x:v>
      </x:c>
      <x:c r="J1924" s="37" t="str">
        <x:v>0.00</x:v>
      </x:c>
      <x:c r="K1924" s="37" t="str">
        <x:v>175.52</x:v>
      </x:c>
      <x:c r="L1924" s="37" t="str">
        <x:v>1736</x:v>
      </x:c>
      <x:c r="M1924" s="29" t="str">
        <x:v>1172.19</x:v>
      </x:c>
      <x:c r="N1924" s="29" t="str">
        <x:v>805.68</x:v>
      </x:c>
      <x:c r="O1924" s="29" t="str">
        <x:v>366.51</x:v>
      </x:c>
      <x:c r="P1924" s="18" t="str">
        <x:v>2026-07-09</x:v>
      </x:c>
      <x:c r="Q1924" s="36" t="n">
        <x:v>46212</x:v>
      </x:c>
    </x:row>
    <x:row r="1925">
      <x:c r="A1925" s="36" t="str">
        <x:v>2026-07-09</x:v>
      </x:c>
      <x:c r="B1925" s="18" t="str">
        <x:v>101437000_89443</x:v>
      </x:c>
      <x:c r="C1925" s="18" t="str">
        <x:v>【沪村小电】玉兰清苑二期充电站</x:v>
      </x:c>
      <x:c r="D1925" s="37" t="str">
        <x:v>2</x:v>
      </x:c>
      <x:c r="E1925" s="37" t="str">
        <x:v>0</x:v>
      </x:c>
      <x:c r="F1925" s="37" t="str">
        <x:v>40</x:v>
      </x:c>
      <x:c r="G1925" s="37" t="str">
        <x:v>513.15</x:v>
      </x:c>
      <x:c r="H1925" s="37" t="str">
        <x:v>0.00</x:v>
      </x:c>
      <x:c r="I1925" s="37" t="str">
        <x:v>352.36</x:v>
      </x:c>
      <x:c r="J1925" s="37" t="str">
        <x:v>0.00</x:v>
      </x:c>
      <x:c r="K1925" s="37" t="str">
        <x:v>160.79</x:v>
      </x:c>
      <x:c r="L1925" s="37" t="str">
        <x:v>859</x:v>
      </x:c>
      <x:c r="M1925" s="29" t="str">
        <x:v>444.01</x:v>
      </x:c>
      <x:c r="N1925" s="29" t="str">
        <x:v>321.83</x:v>
      </x:c>
      <x:c r="O1925" s="29" t="str">
        <x:v>122.18</x:v>
      </x:c>
      <x:c r="P1925" s="18" t="str">
        <x:v>2026-07-09</x:v>
      </x:c>
      <x:c r="Q1925" s="36" t="n">
        <x:v>46212</x:v>
      </x:c>
    </x:row>
    <x:row r="1926">
      <x:c r="A1926" s="36" t="str">
        <x:v>2026-07-09</x:v>
      </x:c>
      <x:c r="B1926" s="18" t="str">
        <x:v>101437000_93115</x:v>
      </x:c>
      <x:c r="C1926" s="18" t="str">
        <x:v>【沪村小电】新南家园西北门</x:v>
      </x:c>
      <x:c r="D1926" s="37" t="str">
        <x:v>2</x:v>
      </x:c>
      <x:c r="E1926" s="37" t="str">
        <x:v>0</x:v>
      </x:c>
      <x:c r="F1926" s="37" t="str">
        <x:v>28</x:v>
      </x:c>
      <x:c r="G1926" s="37" t="str">
        <x:v>851.32</x:v>
      </x:c>
      <x:c r="H1926" s="37" t="str">
        <x:v>0.00</x:v>
      </x:c>
      <x:c r="I1926" s="37" t="str">
        <x:v>651.79</x:v>
      </x:c>
      <x:c r="J1926" s="37" t="str">
        <x:v>0.00</x:v>
      </x:c>
      <x:c r="K1926" s="37" t="str">
        <x:v>199.53</x:v>
      </x:c>
      <x:c r="L1926" s="37" t="str">
        <x:v>1107</x:v>
      </x:c>
      <x:c r="M1926" s="29" t="str">
        <x:v>772.67</x:v>
      </x:c>
      <x:c r="N1926" s="29" t="str">
        <x:v>521.53</x:v>
      </x:c>
      <x:c r="O1926" s="29" t="str">
        <x:v>251.14</x:v>
      </x:c>
      <x:c r="P1926" s="18" t="str">
        <x:v>2026-07-09</x:v>
      </x:c>
      <x:c r="Q1926" s="36" t="n">
        <x:v>46212</x:v>
      </x:c>
    </x:row>
    <x:row r="1927">
      <x:c r="A1927" s="36" t="str">
        <x:v>2026-07-09</x:v>
      </x:c>
      <x:c r="B1927" s="18" t="str">
        <x:v>101437000_94649</x:v>
      </x:c>
      <x:c r="C1927" s="18" t="str">
        <x:v>【沪村小电】浪琴水岸花园</x:v>
      </x:c>
      <x:c r="D1927" s="37" t="str">
        <x:v>4</x:v>
      </x:c>
      <x:c r="E1927" s="37" t="str">
        <x:v>0</x:v>
      </x:c>
      <x:c r="F1927" s="37" t="str">
        <x:v>47</x:v>
      </x:c>
      <x:c r="G1927" s="37" t="str">
        <x:v>920.89</x:v>
      </x:c>
      <x:c r="H1927" s="37" t="str">
        <x:v>0.00</x:v>
      </x:c>
      <x:c r="I1927" s="37" t="str">
        <x:v>729.05</x:v>
      </x:c>
      <x:c r="J1927" s="37" t="str">
        <x:v>0.00</x:v>
      </x:c>
      <x:c r="K1927" s="37" t="str">
        <x:v>191.83</x:v>
      </x:c>
      <x:c r="L1927" s="37" t="str">
        <x:v>1551</x:v>
      </x:c>
      <x:c r="M1927" s="29" t="str">
        <x:v>844.51</x:v>
      </x:c>
      <x:c r="N1927" s="29" t="str">
        <x:v>572.08</x:v>
      </x:c>
      <x:c r="O1927" s="29" t="str">
        <x:v>272.43</x:v>
      </x:c>
      <x:c r="P1927" s="18" t="str">
        <x:v>2026-07-09</x:v>
      </x:c>
      <x:c r="Q1927" s="36" t="n">
        <x:v>46212</x:v>
      </x:c>
    </x:row>
    <x:row r="1928">
      <x:c r="A1928" s="36" t="str">
        <x:v>2026-07-09</x:v>
      </x:c>
      <x:c r="B1928" s="18" t="str">
        <x:v>101437000_95077</x:v>
      </x:c>
      <x:c r="C1928" s="18" t="str">
        <x:v>【沪村小电】民乐城惠益绿苑255弄充电站</x:v>
      </x:c>
      <x:c r="D1928" s="37" t="str">
        <x:v>2</x:v>
      </x:c>
      <x:c r="E1928" s="37" t="str">
        <x:v>0</x:v>
      </x:c>
      <x:c r="F1928" s="37" t="str">
        <x:v>10</x:v>
      </x:c>
      <x:c r="G1928" s="37" t="str">
        <x:v>213.00</x:v>
      </x:c>
      <x:c r="H1928" s="37" t="str">
        <x:v>0.00</x:v>
      </x:c>
      <x:c r="I1928" s="37" t="str">
        <x:v>172.83</x:v>
      </x:c>
      <x:c r="J1928" s="37" t="str">
        <x:v>0.00</x:v>
      </x:c>
      <x:c r="K1928" s="37" t="str">
        <x:v>40.17</x:v>
      </x:c>
      <x:c r="L1928" s="37" t="str">
        <x:v>321</x:v>
      </x:c>
      <x:c r="M1928" s="29" t="str">
        <x:v>215.91</x:v>
      </x:c>
      <x:c r="N1928" s="29" t="str">
        <x:v>143.18</x:v>
      </x:c>
      <x:c r="O1928" s="29" t="str">
        <x:v>72.73</x:v>
      </x:c>
      <x:c r="P1928" s="18" t="str">
        <x:v>2026-07-09</x:v>
      </x:c>
      <x:c r="Q1928" s="36" t="n">
        <x:v>46212</x:v>
      </x:c>
    </x:row>
    <x:row r="1929">
      <x:c r="A1929" s="36" t="str">
        <x:v>2026-07-09</x:v>
      </x:c>
      <x:c r="B1929" s="18" t="str">
        <x:v>101437000_95079</x:v>
      </x:c>
      <x:c r="C1929" s="18" t="str">
        <x:v>【沪村小电】民乐城惠益绿苑东苑充电站</x:v>
      </x:c>
      <x:c r="D1929" s="37" t="str">
        <x:v>2</x:v>
      </x:c>
      <x:c r="E1929" s="37" t="str">
        <x:v>0</x:v>
      </x:c>
      <x:c r="F1929" s="37" t="str">
        <x:v>5</x:v>
      </x:c>
      <x:c r="G1929" s="37" t="str">
        <x:v>153.38</x:v>
      </x:c>
      <x:c r="H1929" s="37" t="str">
        <x:v>0.00</x:v>
      </x:c>
      <x:c r="I1929" s="37" t="str">
        <x:v>153.38</x:v>
      </x:c>
      <x:c r="J1929" s="37" t="str">
        <x:v>0.00</x:v>
      </x:c>
      <x:c r="K1929" s="37" t="str">
        <x:v>0.00</x:v>
      </x:c>
      <x:c r="L1929" s="37" t="str">
        <x:v>159</x:v>
      </x:c>
      <x:c r="M1929" s="29" t="str">
        <x:v>168.05</x:v>
      </x:c>
      <x:c r="N1929" s="29" t="str">
        <x:v>105.83</x:v>
      </x:c>
      <x:c r="O1929" s="29" t="str">
        <x:v>62.22</x:v>
      </x:c>
      <x:c r="P1929" s="18" t="str">
        <x:v>2026-07-09</x:v>
      </x:c>
      <x:c r="Q1929" s="36" t="n">
        <x:v>46212</x:v>
      </x:c>
    </x:row>
    <x:row r="1930">
      <x:c r="A1930" s="36" t="str">
        <x:v>2026-07-09</x:v>
      </x:c>
      <x:c r="B1930" s="18" t="str">
        <x:v>101437000_95081</x:v>
      </x:c>
      <x:c r="C1930" s="18" t="str">
        <x:v>【沪村小电】民乐城惠益绿苑西苑充电站</x:v>
      </x:c>
      <x:c r="D1930" s="37" t="str">
        <x:v>2</x:v>
      </x:c>
      <x:c r="E1930" s="37" t="str">
        <x:v>0</x:v>
      </x:c>
      <x:c r="F1930" s="37" t="str">
        <x:v>2</x:v>
      </x:c>
      <x:c r="G1930" s="37" t="str">
        <x:v>29.38</x:v>
      </x:c>
      <x:c r="H1930" s="37" t="str">
        <x:v>0.00</x:v>
      </x:c>
      <x:c r="I1930" s="37" t="str">
        <x:v>29.38</x:v>
      </x:c>
      <x:c r="J1930" s="37" t="str">
        <x:v>0.00</x:v>
      </x:c>
      <x:c r="K1930" s="37" t="str">
        <x:v>0.00</x:v>
      </x:c>
      <x:c r="L1930" s="37" t="str">
        <x:v>39</x:v>
      </x:c>
      <x:c r="M1930" s="29" t="str">
        <x:v>30.13</x:v>
      </x:c>
      <x:c r="N1930" s="29" t="str">
        <x:v>20.27</x:v>
      </x:c>
      <x:c r="O1930" s="29" t="str">
        <x:v>9.86</x:v>
      </x:c>
      <x:c r="P1930" s="18" t="str">
        <x:v>2026-07-09</x:v>
      </x:c>
      <x:c r="Q1930" s="36" t="n">
        <x:v>46212</x:v>
      </x:c>
    </x:row>
    <x:row r="1931">
      <x:c r="A1931" s="36" t="str">
        <x:v>2026-07-09</x:v>
      </x:c>
      <x:c r="B1931" s="18" t="str">
        <x:v>101437000_95091</x:v>
      </x:c>
      <x:c r="C1931" s="18" t="str">
        <x:v>【沪村小电】金悦学府2号站</x:v>
      </x:c>
      <x:c r="D1931" s="37" t="str">
        <x:v>2</x:v>
      </x:c>
      <x:c r="E1931" s="37" t="str">
        <x:v>0</x:v>
      </x:c>
      <x:c r="F1931" s="37" t="str">
        <x:v>1</x:v>
      </x:c>
      <x:c r="G1931" s="37" t="str">
        <x:v>8.86</x:v>
      </x:c>
      <x:c r="H1931" s="37" t="str">
        <x:v>0.00</x:v>
      </x:c>
      <x:c r="I1931" s="37" t="str">
        <x:v>0.00</x:v>
      </x:c>
      <x:c r="J1931" s="37" t="str">
        <x:v>8.86</x:v>
      </x:c>
      <x:c r="K1931" s="37" t="str">
        <x:v>0.00</x:v>
      </x:c>
      <x:c r="L1931" s="37" t="str">
        <x:v>79</x:v>
      </x:c>
      <x:c r="M1931" s="29" t="str">
        <x:v>7.00</x:v>
      </x:c>
      <x:c r="N1931" s="29" t="str">
        <x:v>4.96</x:v>
      </x:c>
      <x:c r="O1931" s="29" t="str">
        <x:v>2.04</x:v>
      </x:c>
      <x:c r="P1931" s="18" t="str">
        <x:v>2026-07-09</x:v>
      </x:c>
      <x:c r="Q1931" s="36" t="n">
        <x:v>46212</x:v>
      </x:c>
    </x:row>
    <x:row r="1932">
      <x:c r="A1932" s="36" t="str">
        <x:v>2026-07-09</x:v>
      </x:c>
      <x:c r="B1932" s="18" t="str">
        <x:v>101437000_95941</x:v>
      </x:c>
      <x:c r="C1932" s="18" t="str">
        <x:v>【沪村小电】惠诚雅苑</x:v>
      </x:c>
      <x:c r="D1932" s="37" t="str">
        <x:v>4</x:v>
      </x:c>
      <x:c r="E1932" s="37" t="str">
        <x:v>0</x:v>
      </x:c>
      <x:c r="F1932" s="37" t="str">
        <x:v>43</x:v>
      </x:c>
      <x:c r="G1932" s="37" t="str">
        <x:v>1152.95</x:v>
      </x:c>
      <x:c r="H1932" s="37" t="str">
        <x:v>0.00</x:v>
      </x:c>
      <x:c r="I1932" s="37" t="str">
        <x:v>397.12</x:v>
      </x:c>
      <x:c r="J1932" s="37" t="str">
        <x:v>0.00</x:v>
      </x:c>
      <x:c r="K1932" s="37" t="str">
        <x:v>755.83</x:v>
      </x:c>
      <x:c r="L1932" s="37" t="str">
        <x:v>1829</x:v>
      </x:c>
      <x:c r="M1932" s="29" t="str">
        <x:v>725.17</x:v>
      </x:c>
      <x:c r="N1932" s="29" t="str">
        <x:v>468.64</x:v>
      </x:c>
      <x:c r="O1932" s="29" t="str">
        <x:v>256.53</x:v>
      </x:c>
      <x:c r="P1932" s="18" t="str">
        <x:v>2026-07-09</x:v>
      </x:c>
      <x:c r="Q1932" s="36" t="n">
        <x:v>46212</x:v>
      </x:c>
    </x:row>
    <x:row r="1933">
      <x:c r="A1933" s="36" t="str">
        <x:v>2026-07-09</x:v>
      </x:c>
      <x:c r="B1933" s="18" t="str">
        <x:v>101437000_96719</x:v>
      </x:c>
      <x:c r="C1933" s="18" t="str">
        <x:v>【沪村小电】四达路220弄充电站</x:v>
      </x:c>
      <x:c r="D1933" s="37" t="str">
        <x:v>2</x:v>
      </x:c>
      <x:c r="E1933" s="37" t="str">
        <x:v>0</x:v>
      </x:c>
      <x:c r="F1933" s="37" t="str">
        <x:v>1</x:v>
      </x:c>
      <x:c r="G1933" s="37" t="str">
        <x:v>28.10</x:v>
      </x:c>
      <x:c r="H1933" s="37" t="str">
        <x:v>0.00</x:v>
      </x:c>
      <x:c r="I1933" s="37" t="str">
        <x:v>0.00</x:v>
      </x:c>
      <x:c r="J1933" s="37" t="str">
        <x:v>28.10</x:v>
      </x:c>
      <x:c r="K1933" s="37" t="str">
        <x:v>0.00</x:v>
      </x:c>
      <x:c r="L1933" s="37" t="str">
        <x:v>42</x:v>
      </x:c>
      <x:c r="M1933" s="29" t="str">
        <x:v>29.22</x:v>
      </x:c>
      <x:c r="N1933" s="29" t="str">
        <x:v>20.23</x:v>
      </x:c>
      <x:c r="O1933" s="29" t="str">
        <x:v>8.99</x:v>
      </x:c>
      <x:c r="P1933" s="18" t="str">
        <x:v>2026-07-09</x:v>
      </x:c>
      <x:c r="Q1933" s="36" t="n">
        <x:v>46212</x:v>
      </x:c>
    </x:row>
    <x:row r="1934">
      <x:c r="A1934" s="36" t="str">
        <x:v>2026-07-09</x:v>
      </x:c>
      <x:c r="B1934" s="18" t="str">
        <x:v>101437000_97421</x:v>
      </x:c>
      <x:c r="C1934" s="18" t="str">
        <x:v>【沪村小电】玉兰清苑二期（小区外）充电站</x:v>
      </x:c>
      <x:c r="D1934" s="37" t="str">
        <x:v>4</x:v>
      </x:c>
      <x:c r="E1934" s="37" t="str">
        <x:v>0</x:v>
      </x:c>
      <x:c r="F1934" s="37" t="str">
        <x:v>53</x:v>
      </x:c>
      <x:c r="G1934" s="37" t="str">
        <x:v>1119.77</x:v>
      </x:c>
      <x:c r="H1934" s="37" t="str">
        <x:v>0.00</x:v>
      </x:c>
      <x:c r="I1934" s="37" t="str">
        <x:v>959.02</x:v>
      </x:c>
      <x:c r="J1934" s="37" t="str">
        <x:v>0.00</x:v>
      </x:c>
      <x:c r="K1934" s="37" t="str">
        <x:v>160.75</x:v>
      </x:c>
      <x:c r="L1934" s="37" t="str">
        <x:v>2052</x:v>
      </x:c>
      <x:c r="M1934" s="29" t="str">
        <x:v>1055.58</x:v>
      </x:c>
      <x:c r="N1934" s="29" t="str">
        <x:v>770.75</x:v>
      </x:c>
      <x:c r="O1934" s="29" t="str">
        <x:v>284.83</x:v>
      </x:c>
      <x:c r="P1934" s="18" t="str">
        <x:v>2026-07-09</x:v>
      </x:c>
      <x:c r="Q1934" s="36" t="n">
        <x:v>46212</x:v>
      </x:c>
    </x:row>
    <x:row r="1935">
      <x:c r="A1935" s="36" t="str">
        <x:v>2026-07-09</x:v>
      </x:c>
      <x:c r="B1935" s="18" t="str">
        <x:v>101437000_98013</x:v>
      </x:c>
      <x:c r="C1935" s="18" t="str">
        <x:v>【沪村小电】恒大滨江华府充电站</x:v>
      </x:c>
      <x:c r="D1935" s="37" t="str">
        <x:v>4</x:v>
      </x:c>
      <x:c r="E1935" s="37" t="str">
        <x:v>0</x:v>
      </x:c>
      <x:c r="F1935" s="37" t="str">
        <x:v>20</x:v>
      </x:c>
      <x:c r="G1935" s="37" t="str">
        <x:v>394.06</x:v>
      </x:c>
      <x:c r="H1935" s="37" t="str">
        <x:v>0.00</x:v>
      </x:c>
      <x:c r="I1935" s="37" t="str">
        <x:v>298.51</x:v>
      </x:c>
      <x:c r="J1935" s="37" t="str">
        <x:v>0.00</x:v>
      </x:c>
      <x:c r="K1935" s="37" t="str">
        <x:v>95.54</x:v>
      </x:c>
      <x:c r="L1935" s="37" t="str">
        <x:v>643</x:v>
      </x:c>
      <x:c r="M1935" s="29" t="str">
        <x:v>430.56</x:v>
      </x:c>
      <x:c r="N1935" s="29" t="str">
        <x:v>361.10</x:v>
      </x:c>
      <x:c r="O1935" s="29" t="str">
        <x:v>69.46</x:v>
      </x:c>
      <x:c r="P1935" s="18" t="str">
        <x:v>2026-07-09</x:v>
      </x:c>
      <x:c r="Q1935" s="36" t="n">
        <x:v>46212</x:v>
      </x:c>
    </x:row>
    <x:row r="1936">
      <x:c r="A1936" s="36" t="str">
        <x:v>2026-07-09</x:v>
      </x:c>
      <x:c r="B1936" s="18" t="str">
        <x:v>101437000_98863</x:v>
      </x:c>
      <x:c r="C1936" s="18" t="str">
        <x:v>【沪村小电】欣菊苑充电站</x:v>
      </x:c>
      <x:c r="D1936" s="37" t="str">
        <x:v>4</x:v>
      </x:c>
      <x:c r="E1936" s="37" t="str">
        <x:v>0</x:v>
      </x:c>
      <x:c r="F1936" s="37" t="str">
        <x:v>13</x:v>
      </x:c>
      <x:c r="G1936" s="37" t="str">
        <x:v>340.94</x:v>
      </x:c>
      <x:c r="H1936" s="37" t="str">
        <x:v>0.00</x:v>
      </x:c>
      <x:c r="I1936" s="37" t="str">
        <x:v>284.57</x:v>
      </x:c>
      <x:c r="J1936" s="37" t="str">
        <x:v>0.00</x:v>
      </x:c>
      <x:c r="K1936" s="37" t="str">
        <x:v>56.37</x:v>
      </x:c>
      <x:c r="L1936" s="37" t="str">
        <x:v>449</x:v>
      </x:c>
      <x:c r="M1936" s="29" t="str">
        <x:v>281.90</x:v>
      </x:c>
      <x:c r="N1936" s="29" t="str">
        <x:v>231.99</x:v>
      </x:c>
      <x:c r="O1936" s="29" t="str">
        <x:v>49.91</x:v>
      </x:c>
      <x:c r="P1936" s="18" t="str">
        <x:v>2026-07-09</x:v>
      </x:c>
      <x:c r="Q1936" s="36" t="n">
        <x:v>46212</x:v>
      </x:c>
    </x:row>
    <x:row r="1937">
      <x:c r="A1937" s="36" t="str">
        <x:v>2026-07-09</x:v>
      </x:c>
      <x:c r="B1937" s="18" t="str">
        <x:v>101437000_98865</x:v>
      </x:c>
      <x:c r="C1937" s="18" t="str">
        <x:v>【沪村小电】欣松苑充电站</x:v>
      </x:c>
      <x:c r="D1937" s="37" t="str">
        <x:v>4</x:v>
      </x:c>
      <x:c r="E1937" s="37" t="str">
        <x:v>0</x:v>
      </x:c>
      <x:c r="F1937" s="37" t="str">
        <x:v>11</x:v>
      </x:c>
      <x:c r="G1937" s="37" t="str">
        <x:v>258.79</x:v>
      </x:c>
      <x:c r="H1937" s="37" t="str">
        <x:v>0.00</x:v>
      </x:c>
      <x:c r="I1937" s="37" t="str">
        <x:v>258.79</x:v>
      </x:c>
      <x:c r="J1937" s="37" t="str">
        <x:v>0.00</x:v>
      </x:c>
      <x:c r="K1937" s="37" t="str">
        <x:v>0.00</x:v>
      </x:c>
      <x:c r="L1937" s="37" t="str">
        <x:v>397</x:v>
      </x:c>
      <x:c r="M1937" s="29" t="str">
        <x:v>249.74</x:v>
      </x:c>
      <x:c r="N1937" s="29" t="str">
        <x:v>191.50</x:v>
      </x:c>
      <x:c r="O1937" s="29" t="str">
        <x:v>58.24</x:v>
      </x:c>
      <x:c r="P1937" s="18" t="str">
        <x:v>2026-07-09</x:v>
      </x:c>
      <x:c r="Q1937" s="36" t="n">
        <x:v>46212</x:v>
      </x:c>
    </x:row>
    <x:row r="1938">
      <x:c r="A1938" s="36" t="str">
        <x:v>2026-07-09</x:v>
      </x:c>
      <x:c r="B1938" s="18" t="str">
        <x:v>101437000_98867</x:v>
      </x:c>
      <x:c r="C1938" s="18" t="str">
        <x:v>【沪村小电】欣荷苑充电站</x:v>
      </x:c>
      <x:c r="D1938" s="37" t="str">
        <x:v>4</x:v>
      </x:c>
      <x:c r="E1938" s="37" t="str">
        <x:v>0</x:v>
      </x:c>
      <x:c r="F1938" s="37" t="str">
        <x:v>9</x:v>
      </x:c>
      <x:c r="G1938" s="37" t="str">
        <x:v>221.40</x:v>
      </x:c>
      <x:c r="H1938" s="37" t="str">
        <x:v>0.00</x:v>
      </x:c>
      <x:c r="I1938" s="37" t="str">
        <x:v>185.08</x:v>
      </x:c>
      <x:c r="J1938" s="37" t="str">
        <x:v>0.00</x:v>
      </x:c>
      <x:c r="K1938" s="37" t="str">
        <x:v>36.32</x:v>
      </x:c>
      <x:c r="L1938" s="37" t="str">
        <x:v>353</x:v>
      </x:c>
      <x:c r="M1938" s="29" t="str">
        <x:v>195.20</x:v>
      </x:c>
      <x:c r="N1938" s="29" t="str">
        <x:v>150.77</x:v>
      </x:c>
      <x:c r="O1938" s="29" t="str">
        <x:v>44.43</x:v>
      </x:c>
      <x:c r="P1938" s="18" t="str">
        <x:v>2026-07-09</x:v>
      </x:c>
      <x:c r="Q1938" s="36" t="n">
        <x:v>46212</x:v>
      </x:c>
    </x:row>
    <x:row r="1939">
      <x:c r="A1939" s="36" t="str">
        <x:v>2026-07-09</x:v>
      </x:c>
      <x:c r="B1939" s="18" t="str">
        <x:v>101437000_99885</x:v>
      </x:c>
      <x:c r="C1939" s="18" t="str">
        <x:v>【沪村小电】汇丰馨苑充电站</x:v>
      </x:c>
      <x:c r="D1939" s="37" t="str">
        <x:v>4</x:v>
      </x:c>
      <x:c r="E1939" s="37" t="str">
        <x:v>0</x:v>
      </x:c>
      <x:c r="F1939" s="37" t="str">
        <x:v>9</x:v>
      </x:c>
      <x:c r="G1939" s="37" t="str">
        <x:v>197.46</x:v>
      </x:c>
      <x:c r="H1939" s="37" t="str">
        <x:v>5.73</x:v>
      </x:c>
      <x:c r="I1939" s="37" t="str">
        <x:v>67.65</x:v>
      </x:c>
      <x:c r="J1939" s="37" t="str">
        <x:v>62.87</x:v>
      </x:c>
      <x:c r="K1939" s="37" t="str">
        <x:v>61.21</x:v>
      </x:c>
      <x:c r="L1939" s="37" t="str">
        <x:v>273</x:v>
      </x:c>
      <x:c r="M1939" s="29" t="str">
        <x:v>195.94</x:v>
      </x:c>
      <x:c r="N1939" s="29" t="str">
        <x:v>158.01</x:v>
      </x:c>
      <x:c r="O1939" s="29" t="str">
        <x:v>37.93</x:v>
      </x:c>
      <x:c r="P1939" s="18" t="str">
        <x:v>2026-07-09</x:v>
      </x:c>
      <x:c r="Q1939" s="36" t="n">
        <x:v>46212</x:v>
      </x:c>
    </x:row>
    <x:row r="1940">
      <x:c r="A1940" s="36" t="str">
        <x:v>2026-07-09</x:v>
      </x:c>
      <x:c r="B1940" s="18" t="str">
        <x:v>101437000_99887</x:v>
      </x:c>
      <x:c r="C1940" s="18" t="str">
        <x:v>【沪村小电】新南村河南小区充电站</x:v>
      </x:c>
      <x:c r="D1940" s="37" t="str">
        <x:v>2</x:v>
      </x:c>
      <x:c r="E1940" s="37" t="str">
        <x:v>0</x:v>
      </x:c>
      <x:c r="F1940" s="37" t="str">
        <x:v>16</x:v>
      </x:c>
      <x:c r="G1940" s="37" t="str">
        <x:v>262.86</x:v>
      </x:c>
      <x:c r="H1940" s="37" t="str">
        <x:v>0.00</x:v>
      </x:c>
      <x:c r="I1940" s="37" t="str">
        <x:v>121.72</x:v>
      </x:c>
      <x:c r="J1940" s="37" t="str">
        <x:v>0.00</x:v>
      </x:c>
      <x:c r="K1940" s="37" t="str">
        <x:v>141.14</x:v>
      </x:c>
      <x:c r="L1940" s="37" t="str">
        <x:v>476</x:v>
      </x:c>
      <x:c r="M1940" s="29" t="str">
        <x:v>183.25</x:v>
      </x:c>
      <x:c r="N1940" s="29" t="str">
        <x:v>143.72</x:v>
      </x:c>
      <x:c r="O1940" s="29" t="str">
        <x:v>39.53</x:v>
      </x:c>
      <x:c r="P1940" s="18" t="str">
        <x:v>2026-07-09</x:v>
      </x:c>
      <x:c r="Q1940" s="36" t="n">
        <x:v>46212</x:v>
      </x:c>
    </x:row>
    <x:row r="1941">
      <x:c r="A1941" s="36" t="str">
        <x:v>2026-07-09</x:v>
      </x:c>
      <x:c r="B1941" s="18" t="str">
        <x:v>101437000_99889</x:v>
      </x:c>
      <x:c r="C1941" s="18" t="str">
        <x:v>【沪村小电】漕泾郊野公园</x:v>
      </x:c>
      <x:c r="D1941" s="37" t="str">
        <x:v>2</x:v>
      </x:c>
      <x:c r="E1941" s="37" t="str">
        <x:v>0</x:v>
      </x:c>
      <x:c r="F1941" s="37" t="str">
        <x:v>2</x:v>
      </x:c>
      <x:c r="G1941" s="37" t="str">
        <x:v>80.88</x:v>
      </x:c>
      <x:c r="H1941" s="37" t="str">
        <x:v>0.00</x:v>
      </x:c>
      <x:c r="I1941" s="37" t="str">
        <x:v>20.94</x:v>
      </x:c>
      <x:c r="J1941" s="37" t="str">
        <x:v>12.36</x:v>
      </x:c>
      <x:c r="K1941" s="37" t="str">
        <x:v>47.58</x:v>
      </x:c>
      <x:c r="L1941" s="37" t="str">
        <x:v>90</x:v>
      </x:c>
      <x:c r="M1941" s="29" t="str">
        <x:v>73.13</x:v>
      </x:c>
      <x:c r="N1941" s="29" t="str">
        <x:v>59.25</x:v>
      </x:c>
      <x:c r="O1941" s="29" t="str">
        <x:v>13.88</x:v>
      </x:c>
      <x:c r="P1941" s="18" t="str">
        <x:v>2026-07-09</x:v>
      </x:c>
      <x:c r="Q1941" s="36" t="n">
        <x:v>46212</x:v>
      </x:c>
    </x:row>
    <x:row r="1942">
      <x:c r="A1942" s="36" t="str">
        <x:v>2026-07-09</x:v>
      </x:c>
      <x:c r="B1942" s="18" t="str">
        <x:v>101437000_99891</x:v>
      </x:c>
      <x:c r="C1942" s="18" t="str">
        <x:v>【沪村小电】水韵紫城充电站</x:v>
      </x:c>
      <x:c r="D1942" s="37" t="str">
        <x:v>4</x:v>
      </x:c>
      <x:c r="E1942" s="37" t="str">
        <x:v>0</x:v>
      </x:c>
      <x:c r="F1942" s="37" t="str">
        <x:v>28</x:v>
      </x:c>
      <x:c r="G1942" s="37" t="str">
        <x:v>486.55</x:v>
      </x:c>
      <x:c r="H1942" s="37" t="str">
        <x:v>0.00</x:v>
      </x:c>
      <x:c r="I1942" s="37" t="str">
        <x:v>312.83</x:v>
      </x:c>
      <x:c r="J1942" s="37" t="str">
        <x:v>0.00</x:v>
      </x:c>
      <x:c r="K1942" s="37" t="str">
        <x:v>173.71</x:v>
      </x:c>
      <x:c r="L1942" s="37" t="str">
        <x:v>694</x:v>
      </x:c>
      <x:c r="M1942" s="29" t="str">
        <x:v>448.66</x:v>
      </x:c>
      <x:c r="N1942" s="29" t="str">
        <x:v>297.50</x:v>
      </x:c>
      <x:c r="O1942" s="29" t="str">
        <x:v>151.16</x:v>
      </x:c>
      <x:c r="P1942" s="18" t="str">
        <x:v>2026-07-09</x:v>
      </x:c>
      <x:c r="Q1942" s="36" t="n">
        <x:v>46212</x:v>
      </x:c>
    </x:row>
    <x:row r="1943">
      <x:c r="A1943" s="36" t="str">
        <x:v>2026-07-08</x:v>
      </x:c>
      <x:c r="B1943" s="18" t="str">
        <x:v>101437000_41561</x:v>
      </x:c>
      <x:c r="C1943" s="18" t="str">
        <x:v>【沪村小电】张施小区大门处快充站</x:v>
      </x:c>
      <x:c r="D1943" s="37" t="str">
        <x:v>2</x:v>
      </x:c>
      <x:c r="E1943" s="37" t="str">
        <x:v>0</x:v>
      </x:c>
      <x:c r="F1943" s="37" t="str">
        <x:v>58</x:v>
      </x:c>
      <x:c r="G1943" s="37" t="str">
        <x:v>1465.62</x:v>
      </x:c>
      <x:c r="H1943" s="37" t="str">
        <x:v>0.00</x:v>
      </x:c>
      <x:c r="I1943" s="37" t="str">
        <x:v>832.03</x:v>
      </x:c>
      <x:c r="J1943" s="37" t="str">
        <x:v>0.00</x:v>
      </x:c>
      <x:c r="K1943" s="37" t="str">
        <x:v>633.59</x:v>
      </x:c>
      <x:c r="L1943" s="37" t="str">
        <x:v>2521</x:v>
      </x:c>
      <x:c r="M1943" s="29" t="str">
        <x:v>1134.55</x:v>
      </x:c>
      <x:c r="N1943" s="29" t="str">
        <x:v>856.46</x:v>
      </x:c>
      <x:c r="O1943" s="29" t="str">
        <x:v>278.09</x:v>
      </x:c>
      <x:c r="P1943" s="18" t="str">
        <x:v>2026-07-08</x:v>
      </x:c>
      <x:c r="Q1943" s="36" t="n">
        <x:v>46211</x:v>
      </x:c>
    </x:row>
    <x:row r="1944">
      <x:c r="A1944" s="36" t="str">
        <x:v>2026-07-08</x:v>
      </x:c>
      <x:c r="B1944" s="18" t="str">
        <x:v>101437000_41563</x:v>
      </x:c>
      <x:c r="C1944" s="18" t="str">
        <x:v>【沪村小电】同心村快充站</x:v>
      </x:c>
      <x:c r="D1944" s="37" t="str">
        <x:v>4</x:v>
      </x:c>
      <x:c r="E1944" s="37" t="str">
        <x:v>0</x:v>
      </x:c>
      <x:c r="F1944" s="37" t="str">
        <x:v>76</x:v>
      </x:c>
      <x:c r="G1944" s="37" t="str">
        <x:v>1663.55</x:v>
      </x:c>
      <x:c r="H1944" s="37" t="str">
        <x:v>0.00</x:v>
      </x:c>
      <x:c r="I1944" s="37" t="str">
        <x:v>1156.78</x:v>
      </x:c>
      <x:c r="J1944" s="37" t="str">
        <x:v>0.00</x:v>
      </x:c>
      <x:c r="K1944" s="37" t="str">
        <x:v>506.78</x:v>
      </x:c>
      <x:c r="L1944" s="37" t="str">
        <x:v>3395</x:v>
      </x:c>
      <x:c r="M1944" s="29" t="str">
        <x:v>1420.75</x:v>
      </x:c>
      <x:c r="N1944" s="29" t="str">
        <x:v>980.61</x:v>
      </x:c>
      <x:c r="O1944" s="29" t="str">
        <x:v>440.14</x:v>
      </x:c>
      <x:c r="P1944" s="18" t="str">
        <x:v>2026-07-08</x:v>
      </x:c>
      <x:c r="Q1944" s="36" t="n">
        <x:v>46211</x:v>
      </x:c>
    </x:row>
    <x:row r="1945">
      <x:c r="A1945" s="36" t="str">
        <x:v>2026-07-08</x:v>
      </x:c>
      <x:c r="B1945" s="18" t="str">
        <x:v>101437000_69629</x:v>
      </x:c>
      <x:c r="C1945" s="18" t="str">
        <x:v>【沪村小电】骏丰玲珑坊西苑充电站</x:v>
      </x:c>
      <x:c r="D1945" s="37" t="str">
        <x:v>2</x:v>
      </x:c>
      <x:c r="E1945" s="37" t="str">
        <x:v>0</x:v>
      </x:c>
      <x:c r="F1945" s="37" t="str">
        <x:v>76</x:v>
      </x:c>
      <x:c r="G1945" s="37" t="str">
        <x:v>1901.75</x:v>
      </x:c>
      <x:c r="H1945" s="37" t="str">
        <x:v>0.00</x:v>
      </x:c>
      <x:c r="I1945" s="37" t="str">
        <x:v>1161.05</x:v>
      </x:c>
      <x:c r="J1945" s="37" t="str">
        <x:v>0.00</x:v>
      </x:c>
      <x:c r="K1945" s="37" t="str">
        <x:v>740.70</x:v>
      </x:c>
      <x:c r="L1945" s="37" t="str">
        <x:v>3272</x:v>
      </x:c>
      <x:c r="M1945" s="29" t="str">
        <x:v>1544.09</x:v>
      </x:c>
      <x:c r="N1945" s="29" t="str">
        <x:v>1140.66</x:v>
      </x:c>
      <x:c r="O1945" s="29" t="str">
        <x:v>403.43</x:v>
      </x:c>
      <x:c r="P1945" s="18" t="str">
        <x:v>2026-07-08</x:v>
      </x:c>
      <x:c r="Q1945" s="36" t="n">
        <x:v>46211</x:v>
      </x:c>
    </x:row>
    <x:row r="1946">
      <x:c r="A1946" s="36" t="str">
        <x:v>2026-07-08</x:v>
      </x:c>
      <x:c r="B1946" s="18" t="str">
        <x:v>101437000_70547</x:v>
      </x:c>
      <x:c r="C1946" s="18" t="str">
        <x:v>【沪村小电】农建村初心馆党群服务中心充电站</x:v>
      </x:c>
      <x:c r="D1946" s="37" t="str">
        <x:v>4</x:v>
      </x:c>
      <x:c r="E1946" s="37" t="str">
        <x:v>0</x:v>
      </x:c>
      <x:c r="F1946" s="37" t="str">
        <x:v>44</x:v>
      </x:c>
      <x:c r="G1946" s="37" t="str">
        <x:v>784.09</x:v>
      </x:c>
      <x:c r="H1946" s="37" t="str">
        <x:v>0.00</x:v>
      </x:c>
      <x:c r="I1946" s="37" t="str">
        <x:v>466.89</x:v>
      </x:c>
      <x:c r="J1946" s="37" t="str">
        <x:v>0.00</x:v>
      </x:c>
      <x:c r="K1946" s="37" t="str">
        <x:v>317.21</x:v>
      </x:c>
      <x:c r="L1946" s="37" t="str">
        <x:v>1558</x:v>
      </x:c>
      <x:c r="M1946" s="29" t="str">
        <x:v>751.10</x:v>
      </x:c>
      <x:c r="N1946" s="29" t="str">
        <x:v>653.66</x:v>
      </x:c>
      <x:c r="O1946" s="29" t="str">
        <x:v>97.44</x:v>
      </x:c>
      <x:c r="P1946" s="18" t="str">
        <x:v>2026-07-08</x:v>
      </x:c>
      <x:c r="Q1946" s="36" t="n">
        <x:v>46211</x:v>
      </x:c>
    </x:row>
    <x:row r="1947">
      <x:c r="A1947" s="36" t="str">
        <x:v>2026-07-08</x:v>
      </x:c>
      <x:c r="B1947" s="18" t="str">
        <x:v>101437000_70549</x:v>
      </x:c>
      <x:c r="C1947" s="18" t="str">
        <x:v>【沪村小电】学府路充电站</x:v>
      </x:c>
      <x:c r="D1947" s="37" t="str">
        <x:v>2</x:v>
      </x:c>
      <x:c r="E1947" s="37" t="str">
        <x:v>0</x:v>
      </x:c>
      <x:c r="F1947" s="37" t="str">
        <x:v>16</x:v>
      </x:c>
      <x:c r="G1947" s="37" t="str">
        <x:v>448.94</x:v>
      </x:c>
      <x:c r="H1947" s="37" t="str">
        <x:v>0.00</x:v>
      </x:c>
      <x:c r="I1947" s="37" t="str">
        <x:v>241.89</x:v>
      </x:c>
      <x:c r="J1947" s="37" t="str">
        <x:v>0.00</x:v>
      </x:c>
      <x:c r="K1947" s="37" t="str">
        <x:v>207.06</x:v>
      </x:c>
      <x:c r="L1947" s="37" t="str">
        <x:v>710</x:v>
      </x:c>
      <x:c r="M1947" s="29" t="str">
        <x:v>439.70</x:v>
      </x:c>
      <x:c r="N1947" s="29" t="str">
        <x:v>361.29</x:v>
      </x:c>
      <x:c r="O1947" s="29" t="str">
        <x:v>78.41</x:v>
      </x:c>
      <x:c r="P1947" s="18" t="str">
        <x:v>2026-07-08</x:v>
      </x:c>
      <x:c r="Q1947" s="36" t="n">
        <x:v>46211</x:v>
      </x:c>
    </x:row>
    <x:row r="1948">
      <x:c r="A1948" s="36" t="str">
        <x:v>2026-07-08</x:v>
      </x:c>
      <x:c r="B1948" s="18" t="str">
        <x:v>101437000_71059</x:v>
      </x:c>
      <x:c r="C1948" s="18" t="str">
        <x:v>【沪村小电】宝乐汇商业广场站</x:v>
      </x:c>
      <x:c r="D1948" s="37" t="str">
        <x:v>4</x:v>
      </x:c>
      <x:c r="E1948" s="37" t="str">
        <x:v>0</x:v>
      </x:c>
      <x:c r="F1948" s="37" t="str">
        <x:v>10</x:v>
      </x:c>
      <x:c r="G1948" s="37" t="str">
        <x:v>279.96</x:v>
      </x:c>
      <x:c r="H1948" s="37" t="str">
        <x:v>0.00</x:v>
      </x:c>
      <x:c r="I1948" s="37" t="str">
        <x:v>123.23</x:v>
      </x:c>
      <x:c r="J1948" s="37" t="str">
        <x:v>19.05</x:v>
      </x:c>
      <x:c r="K1948" s="37" t="str">
        <x:v>137.68</x:v>
      </x:c>
      <x:c r="L1948" s="37" t="str">
        <x:v>538</x:v>
      </x:c>
      <x:c r="M1948" s="29" t="str">
        <x:v>267.76</x:v>
      </x:c>
      <x:c r="N1948" s="29" t="str">
        <x:v>212.09</x:v>
      </x:c>
      <x:c r="O1948" s="29" t="str">
        <x:v>55.67</x:v>
      </x:c>
      <x:c r="P1948" s="18" t="str">
        <x:v>2026-07-08</x:v>
      </x:c>
      <x:c r="Q1948" s="36" t="n">
        <x:v>46211</x:v>
      </x:c>
    </x:row>
    <x:row r="1949">
      <x:c r="A1949" s="36" t="str">
        <x:v>2026-07-08</x:v>
      </x:c>
      <x:c r="B1949" s="18" t="str">
        <x:v>101437000_72541</x:v>
      </x:c>
      <x:c r="C1949" s="18" t="str">
        <x:v>【沪村小电】九干路1174弄充电站</x:v>
      </x:c>
      <x:c r="D1949" s="37" t="str">
        <x:v>2</x:v>
      </x:c>
      <x:c r="E1949" s="37" t="str">
        <x:v>0</x:v>
      </x:c>
      <x:c r="F1949" s="37" t="str">
        <x:v>102</x:v>
      </x:c>
      <x:c r="G1949" s="37" t="str">
        <x:v>832.26</x:v>
      </x:c>
      <x:c r="H1949" s="37" t="str">
        <x:v>0.00</x:v>
      </x:c>
      <x:c r="I1949" s="37" t="str">
        <x:v>592.55</x:v>
      </x:c>
      <x:c r="J1949" s="37" t="str">
        <x:v>0.00</x:v>
      </x:c>
      <x:c r="K1949" s="37" t="str">
        <x:v>239.70</x:v>
      </x:c>
      <x:c r="L1949" s="37" t="str">
        <x:v>1296</x:v>
      </x:c>
      <x:c r="M1949" s="29" t="str">
        <x:v>729.50</x:v>
      </x:c>
      <x:c r="N1949" s="29" t="str">
        <x:v>529.55</x:v>
      </x:c>
      <x:c r="O1949" s="29" t="str">
        <x:v>199.95</x:v>
      </x:c>
      <x:c r="P1949" s="18" t="str">
        <x:v>2026-07-08</x:v>
      </x:c>
      <x:c r="Q1949" s="36" t="n">
        <x:v>46211</x:v>
      </x:c>
    </x:row>
    <x:row r="1950">
      <x:c r="A1950" s="36" t="str">
        <x:v>2026-07-08</x:v>
      </x:c>
      <x:c r="B1950" s="18" t="str">
        <x:v>101437000_72543</x:v>
      </x:c>
      <x:c r="C1950" s="18" t="str">
        <x:v>【沪村小电】叶家中心村小区充电站</x:v>
      </x:c>
      <x:c r="D1950" s="37" t="str">
        <x:v>2</x:v>
      </x:c>
      <x:c r="E1950" s="37" t="str">
        <x:v>0</x:v>
      </x:c>
      <x:c r="F1950" s="37" t="str">
        <x:v>53</x:v>
      </x:c>
      <x:c r="G1950" s="37" t="str">
        <x:v>1363.14</x:v>
      </x:c>
      <x:c r="H1950" s="37" t="str">
        <x:v>0.00</x:v>
      </x:c>
      <x:c r="I1950" s="37" t="str">
        <x:v>846.02</x:v>
      </x:c>
      <x:c r="J1950" s="37" t="str">
        <x:v>0.00</x:v>
      </x:c>
      <x:c r="K1950" s="37" t="str">
        <x:v>517.13</x:v>
      </x:c>
      <x:c r="L1950" s="37" t="str">
        <x:v>2385</x:v>
      </x:c>
      <x:c r="M1950" s="29" t="str">
        <x:v>1119.56</x:v>
      </x:c>
      <x:c r="N1950" s="29" t="str">
        <x:v>822.54</x:v>
      </x:c>
      <x:c r="O1950" s="29" t="str">
        <x:v>297.02</x:v>
      </x:c>
      <x:c r="P1950" s="18" t="str">
        <x:v>2026-07-08</x:v>
      </x:c>
      <x:c r="Q1950" s="36" t="n">
        <x:v>46211</x:v>
      </x:c>
    </x:row>
    <x:row r="1951">
      <x:c r="A1951" s="36" t="str">
        <x:v>2026-07-08</x:v>
      </x:c>
      <x:c r="B1951" s="18" t="str">
        <x:v>101437000_72937</x:v>
      </x:c>
      <x:c r="C1951" s="18" t="str">
        <x:v>【沪村小电】佘北家园茸腾苑充电站</x:v>
      </x:c>
      <x:c r="D1951" s="37" t="str">
        <x:v>4</x:v>
      </x:c>
      <x:c r="E1951" s="37" t="str">
        <x:v>0</x:v>
      </x:c>
      <x:c r="F1951" s="37" t="str">
        <x:v>27</x:v>
      </x:c>
      <x:c r="G1951" s="37" t="str">
        <x:v>783.40</x:v>
      </x:c>
      <x:c r="H1951" s="37" t="str">
        <x:v>0.00</x:v>
      </x:c>
      <x:c r="I1951" s="37" t="str">
        <x:v>783.40</x:v>
      </x:c>
      <x:c r="J1951" s="37" t="str">
        <x:v>0.00</x:v>
      </x:c>
      <x:c r="K1951" s="37" t="str">
        <x:v>0.00</x:v>
      </x:c>
      <x:c r="L1951" s="37" t="str">
        <x:v>1245</x:v>
      </x:c>
      <x:c r="M1951" s="29" t="str">
        <x:v>707.71</x:v>
      </x:c>
      <x:c r="N1951" s="29" t="str">
        <x:v>579.72</x:v>
      </x:c>
      <x:c r="O1951" s="29" t="str">
        <x:v>127.99</x:v>
      </x:c>
      <x:c r="P1951" s="18" t="str">
        <x:v>2026-07-08</x:v>
      </x:c>
      <x:c r="Q1951" s="36" t="n">
        <x:v>46211</x:v>
      </x:c>
    </x:row>
    <x:row r="1952">
      <x:c r="A1952" s="36" t="str">
        <x:v>2026-07-08</x:v>
      </x:c>
      <x:c r="B1952" s="18" t="str">
        <x:v>101437000_74223</x:v>
      </x:c>
      <x:c r="C1952" s="18" t="str">
        <x:v>【沪村小电】中兴村委会充电站</x:v>
      </x:c>
      <x:c r="D1952" s="37" t="str">
        <x:v>2</x:v>
      </x:c>
      <x:c r="E1952" s="37" t="str">
        <x:v>0</x:v>
      </x:c>
      <x:c r="F1952" s="37" t="str">
        <x:v>17</x:v>
      </x:c>
      <x:c r="G1952" s="37" t="str">
        <x:v>426.25</x:v>
      </x:c>
      <x:c r="H1952" s="37" t="str">
        <x:v>0.00</x:v>
      </x:c>
      <x:c r="I1952" s="37" t="str">
        <x:v>264.08</x:v>
      </x:c>
      <x:c r="J1952" s="37" t="str">
        <x:v>0.00</x:v>
      </x:c>
      <x:c r="K1952" s="37" t="str">
        <x:v>162.17</x:v>
      </x:c>
      <x:c r="L1952" s="37" t="str">
        <x:v>621</x:v>
      </x:c>
      <x:c r="M1952" s="29" t="str">
        <x:v>428.36</x:v>
      </x:c>
      <x:c r="N1952" s="29" t="str">
        <x:v>360.62</x:v>
      </x:c>
      <x:c r="O1952" s="29" t="str">
        <x:v>67.74</x:v>
      </x:c>
      <x:c r="P1952" s="18" t="str">
        <x:v>2026-07-08</x:v>
      </x:c>
      <x:c r="Q1952" s="36" t="n">
        <x:v>46211</x:v>
      </x:c>
    </x:row>
    <x:row r="1953">
      <x:c r="A1953" s="36" t="str">
        <x:v>2026-07-08</x:v>
      </x:c>
      <x:c r="B1953" s="18" t="str">
        <x:v>101437000_74801</x:v>
      </x:c>
      <x:c r="C1953" s="18" t="str">
        <x:v>【沪村小电】申良花园充电站</x:v>
      </x:c>
      <x:c r="D1953" s="37" t="str">
        <x:v>4</x:v>
      </x:c>
      <x:c r="E1953" s="37" t="str">
        <x:v>0</x:v>
      </x:c>
      <x:c r="F1953" s="37" t="str">
        <x:v>17</x:v>
      </x:c>
      <x:c r="G1953" s="37" t="str">
        <x:v>322.56</x:v>
      </x:c>
      <x:c r="H1953" s="37" t="str">
        <x:v>0.00</x:v>
      </x:c>
      <x:c r="I1953" s="37" t="str">
        <x:v>322.56</x:v>
      </x:c>
      <x:c r="J1953" s="37" t="str">
        <x:v>0.00</x:v>
      </x:c>
      <x:c r="K1953" s="37" t="str">
        <x:v>0.00</x:v>
      </x:c>
      <x:c r="L1953" s="37" t="str">
        <x:v>491</x:v>
      </x:c>
      <x:c r="M1953" s="29" t="str">
        <x:v>354.09</x:v>
      </x:c>
      <x:c r="N1953" s="29" t="str">
        <x:v>238.67</x:v>
      </x:c>
      <x:c r="O1953" s="29" t="str">
        <x:v>115.42</x:v>
      </x:c>
      <x:c r="P1953" s="18" t="str">
        <x:v>2026-07-08</x:v>
      </x:c>
      <x:c r="Q1953" s="36" t="n">
        <x:v>46211</x:v>
      </x:c>
    </x:row>
    <x:row r="1954">
      <x:c r="A1954" s="36" t="str">
        <x:v>2026-07-08</x:v>
      </x:c>
      <x:c r="B1954" s="18" t="str">
        <x:v>101437000_74931</x:v>
      </x:c>
      <x:c r="C1954" s="18" t="str">
        <x:v>【沪村小电】枫雅南居充电站</x:v>
      </x:c>
      <x:c r="D1954" s="37" t="str">
        <x:v>2</x:v>
      </x:c>
      <x:c r="E1954" s="37" t="str">
        <x:v>0</x:v>
      </x:c>
      <x:c r="F1954" s="37" t="str">
        <x:v>32</x:v>
      </x:c>
      <x:c r="G1954" s="37" t="str">
        <x:v>855.86</x:v>
      </x:c>
      <x:c r="H1954" s="37" t="str">
        <x:v>0.00</x:v>
      </x:c>
      <x:c r="I1954" s="37" t="str">
        <x:v>626.67</x:v>
      </x:c>
      <x:c r="J1954" s="37" t="str">
        <x:v>0.00</x:v>
      </x:c>
      <x:c r="K1954" s="37" t="str">
        <x:v>229.19</x:v>
      </x:c>
      <x:c r="L1954" s="37" t="str">
        <x:v>1374</x:v>
      </x:c>
      <x:c r="M1954" s="29" t="str">
        <x:v>671.62</x:v>
      </x:c>
      <x:c r="N1954" s="29" t="str">
        <x:v>440.80</x:v>
      </x:c>
      <x:c r="O1954" s="29" t="str">
        <x:v>230.82</x:v>
      </x:c>
      <x:c r="P1954" s="18" t="str">
        <x:v>2026-07-08</x:v>
      </x:c>
      <x:c r="Q1954" s="36" t="n">
        <x:v>46211</x:v>
      </x:c>
    </x:row>
    <x:row r="1955">
      <x:c r="A1955" s="36" t="str">
        <x:v>2026-07-08</x:v>
      </x:c>
      <x:c r="B1955" s="18" t="str">
        <x:v>101437000_75901</x:v>
      </x:c>
      <x:c r="C1955" s="18" t="str">
        <x:v>【沪村小电】金悦学府</x:v>
      </x:c>
      <x:c r="D1955" s="37" t="str">
        <x:v>2</x:v>
      </x:c>
      <x:c r="E1955" s="37" t="str">
        <x:v>0</x:v>
      </x:c>
      <x:c r="F1955" s="37" t="str">
        <x:v>15</x:v>
      </x:c>
      <x:c r="G1955" s="37" t="str">
        <x:v>432.42</x:v>
      </x:c>
      <x:c r="H1955" s="37" t="str">
        <x:v>0.00</x:v>
      </x:c>
      <x:c r="I1955" s="37" t="str">
        <x:v>268.19</x:v>
      </x:c>
      <x:c r="J1955" s="37" t="str">
        <x:v>0.00</x:v>
      </x:c>
      <x:c r="K1955" s="37" t="str">
        <x:v>164.23</x:v>
      </x:c>
      <x:c r="L1955" s="37" t="str">
        <x:v>543</x:v>
      </x:c>
      <x:c r="M1955" s="29" t="str">
        <x:v>349.28</x:v>
      </x:c>
      <x:c r="N1955" s="29" t="str">
        <x:v>209.14</x:v>
      </x:c>
      <x:c r="O1955" s="29" t="str">
        <x:v>140.14</x:v>
      </x:c>
      <x:c r="P1955" s="18" t="str">
        <x:v>2026-07-08</x:v>
      </x:c>
      <x:c r="Q1955" s="36" t="n">
        <x:v>46211</x:v>
      </x:c>
    </x:row>
    <x:row r="1956">
      <x:c r="A1956" s="36" t="str">
        <x:v>2026-07-08</x:v>
      </x:c>
      <x:c r="B1956" s="18" t="str">
        <x:v>101437000_76091</x:v>
      </x:c>
      <x:c r="C1956" s="18" t="str">
        <x:v>【沪村小电】恒信家园充电站</x:v>
      </x:c>
      <x:c r="D1956" s="37" t="str">
        <x:v>2</x:v>
      </x:c>
      <x:c r="E1956" s="37" t="str">
        <x:v>0</x:v>
      </x:c>
      <x:c r="F1956" s="37" t="str">
        <x:v>47</x:v>
      </x:c>
      <x:c r="G1956" s="37" t="str">
        <x:v>1125.45</x:v>
      </x:c>
      <x:c r="H1956" s="37" t="str">
        <x:v>0.00</x:v>
      </x:c>
      <x:c r="I1956" s="37" t="str">
        <x:v>655.81</x:v>
      </x:c>
      <x:c r="J1956" s="37" t="str">
        <x:v>0.00</x:v>
      </x:c>
      <x:c r="K1956" s="37" t="str">
        <x:v>469.64</x:v>
      </x:c>
      <x:c r="L1956" s="37" t="str">
        <x:v>1618</x:v>
      </x:c>
      <x:c r="M1956" s="29" t="str">
        <x:v>1066.94</x:v>
      </x:c>
      <x:c r="N1956" s="29" t="str">
        <x:v>663.79</x:v>
      </x:c>
      <x:c r="O1956" s="29" t="str">
        <x:v>403.15</x:v>
      </x:c>
      <x:c r="P1956" s="18" t="str">
        <x:v>2026-07-08</x:v>
      </x:c>
      <x:c r="Q1956" s="36" t="n">
        <x:v>46211</x:v>
      </x:c>
    </x:row>
    <x:row r="1957">
      <x:c r="A1957" s="36" t="str">
        <x:v>2026-07-08</x:v>
      </x:c>
      <x:c r="B1957" s="18" t="str">
        <x:v>101437000_76417</x:v>
      </x:c>
      <x:c r="C1957" s="18" t="str">
        <x:v>【沪村小电】新春一组充电站</x:v>
      </x:c>
      <x:c r="D1957" s="37" t="str">
        <x:v>2</x:v>
      </x:c>
      <x:c r="E1957" s="37" t="str">
        <x:v>0</x:v>
      </x:c>
      <x:c r="F1957" s="37" t="str">
        <x:v>16</x:v>
      </x:c>
      <x:c r="G1957" s="37" t="str">
        <x:v>368.58</x:v>
      </x:c>
      <x:c r="H1957" s="37" t="str">
        <x:v>0.00</x:v>
      </x:c>
      <x:c r="I1957" s="37" t="str">
        <x:v>141.53</x:v>
      </x:c>
      <x:c r="J1957" s="37" t="str">
        <x:v>0.00</x:v>
      </x:c>
      <x:c r="K1957" s="37" t="str">
        <x:v>227.05</x:v>
      </x:c>
      <x:c r="L1957" s="37" t="str">
        <x:v>661</x:v>
      </x:c>
      <x:c r="M1957" s="29" t="str">
        <x:v>317.95</x:v>
      </x:c>
      <x:c r="N1957" s="29" t="str">
        <x:v>267.53</x:v>
      </x:c>
      <x:c r="O1957" s="29" t="str">
        <x:v>50.42</x:v>
      </x:c>
      <x:c r="P1957" s="18" t="str">
        <x:v>2026-07-08</x:v>
      </x:c>
      <x:c r="Q1957" s="36" t="n">
        <x:v>46211</x:v>
      </x:c>
    </x:row>
    <x:row r="1958">
      <x:c r="A1958" s="36" t="str">
        <x:v>2026-07-08</x:v>
      </x:c>
      <x:c r="B1958" s="18" t="str">
        <x:v>101437000_78235</x:v>
      </x:c>
      <x:c r="C1958" s="18" t="str">
        <x:v>【沪村小电】欣秋苑充电站</x:v>
      </x:c>
      <x:c r="D1958" s="37" t="str">
        <x:v>4</x:v>
      </x:c>
      <x:c r="E1958" s="37" t="str">
        <x:v>0</x:v>
      </x:c>
      <x:c r="F1958" s="37" t="str">
        <x:v>29</x:v>
      </x:c>
      <x:c r="G1958" s="37" t="str">
        <x:v>610.74</x:v>
      </x:c>
      <x:c r="H1958" s="37" t="str">
        <x:v>0.00</x:v>
      </x:c>
      <x:c r="I1958" s="37" t="str">
        <x:v>510.99</x:v>
      </x:c>
      <x:c r="J1958" s="37" t="str">
        <x:v>0.00</x:v>
      </x:c>
      <x:c r="K1958" s="37" t="str">
        <x:v>99.75</x:v>
      </x:c>
      <x:c r="L1958" s="37" t="str">
        <x:v>961</x:v>
      </x:c>
      <x:c r="M1958" s="29" t="str">
        <x:v>540.17</x:v>
      </x:c>
      <x:c r="N1958" s="29" t="str">
        <x:v>416.07</x:v>
      </x:c>
      <x:c r="O1958" s="29" t="str">
        <x:v>124.10</x:v>
      </x:c>
      <x:c r="P1958" s="18" t="str">
        <x:v>2026-07-08</x:v>
      </x:c>
      <x:c r="Q1958" s="36" t="n">
        <x:v>46211</x:v>
      </x:c>
    </x:row>
    <x:row r="1959">
      <x:c r="A1959" s="36" t="str">
        <x:v>2026-07-08</x:v>
      </x:c>
      <x:c r="B1959" s="18" t="str">
        <x:v>101437000_78237</x:v>
      </x:c>
      <x:c r="C1959" s="18" t="str">
        <x:v>【沪村小电】奉馨苑西门小区内北侧充电站</x:v>
      </x:c>
      <x:c r="D1959" s="37" t="str">
        <x:v>2</x:v>
      </x:c>
      <x:c r="E1959" s="37" t="str">
        <x:v>0</x:v>
      </x:c>
      <x:c r="F1959" s="37" t="str">
        <x:v>44</x:v>
      </x:c>
      <x:c r="G1959" s="37" t="str">
        <x:v>1207.91</x:v>
      </x:c>
      <x:c r="H1959" s="37" t="str">
        <x:v>0.00</x:v>
      </x:c>
      <x:c r="I1959" s="37" t="str">
        <x:v>732.93</x:v>
      </x:c>
      <x:c r="J1959" s="37" t="str">
        <x:v>0.00</x:v>
      </x:c>
      <x:c r="K1959" s="37" t="str">
        <x:v>474.98</x:v>
      </x:c>
      <x:c r="L1959" s="37" t="str">
        <x:v>1868</x:v>
      </x:c>
      <x:c r="M1959" s="29" t="str">
        <x:v>1044.54</x:v>
      </x:c>
      <x:c r="N1959" s="29" t="str">
        <x:v>722.89</x:v>
      </x:c>
      <x:c r="O1959" s="29" t="str">
        <x:v>321.65</x:v>
      </x:c>
      <x:c r="P1959" s="18" t="str">
        <x:v>2026-07-08</x:v>
      </x:c>
      <x:c r="Q1959" s="36" t="n">
        <x:v>46211</x:v>
      </x:c>
    </x:row>
    <x:row r="1960">
      <x:c r="A1960" s="36" t="str">
        <x:v>2026-07-08</x:v>
      </x:c>
      <x:c r="B1960" s="18" t="str">
        <x:v>101437000_78239</x:v>
      </x:c>
      <x:c r="C1960" s="18" t="str">
        <x:v>【沪村小电】恒大佘山首府东门充电站</x:v>
      </x:c>
      <x:c r="D1960" s="37" t="str">
        <x:v>2</x:v>
      </x:c>
      <x:c r="E1960" s="37" t="str">
        <x:v>0</x:v>
      </x:c>
      <x:c r="F1960" s="37" t="str">
        <x:v>50</x:v>
      </x:c>
      <x:c r="G1960" s="37" t="str">
        <x:v>1269.08</x:v>
      </x:c>
      <x:c r="H1960" s="37" t="str">
        <x:v>0.00</x:v>
      </x:c>
      <x:c r="I1960" s="37" t="str">
        <x:v>660.32</x:v>
      </x:c>
      <x:c r="J1960" s="37" t="str">
        <x:v>0.00</x:v>
      </x:c>
      <x:c r="K1960" s="37" t="str">
        <x:v>608.76</x:v>
      </x:c>
      <x:c r="L1960" s="37" t="str">
        <x:v>1872</x:v>
      </x:c>
      <x:c r="M1960" s="29" t="str">
        <x:v>1031.95</x:v>
      </x:c>
      <x:c r="N1960" s="29" t="str">
        <x:v>719.99</x:v>
      </x:c>
      <x:c r="O1960" s="29" t="str">
        <x:v>311.96</x:v>
      </x:c>
      <x:c r="P1960" s="18" t="str">
        <x:v>2026-07-08</x:v>
      </x:c>
      <x:c r="Q1960" s="36" t="n">
        <x:v>46211</x:v>
      </x:c>
    </x:row>
    <x:row r="1961">
      <x:c r="A1961" s="36" t="str">
        <x:v>2026-07-08</x:v>
      </x:c>
      <x:c r="B1961" s="18" t="str">
        <x:v>101437000_80823</x:v>
      </x:c>
      <x:c r="C1961" s="18" t="str">
        <x:v>【沪村小电】上湖轩充电站</x:v>
      </x:c>
      <x:c r="D1961" s="37" t="str">
        <x:v>2</x:v>
      </x:c>
      <x:c r="E1961" s="37" t="str">
        <x:v>0</x:v>
      </x:c>
      <x:c r="F1961" s="37" t="str">
        <x:v>21</x:v>
      </x:c>
      <x:c r="G1961" s="37" t="str">
        <x:v>584.87</x:v>
      </x:c>
      <x:c r="H1961" s="37" t="str">
        <x:v>78.48</x:v>
      </x:c>
      <x:c r="I1961" s="37" t="str">
        <x:v>47.99</x:v>
      </x:c>
      <x:c r="J1961" s="37" t="str">
        <x:v>119.44</x:v>
      </x:c>
      <x:c r="K1961" s="37" t="str">
        <x:v>338.96</x:v>
      </x:c>
      <x:c r="L1961" s="37" t="str">
        <x:v>702</x:v>
      </x:c>
      <x:c r="M1961" s="29" t="str">
        <x:v>450.90</x:v>
      </x:c>
      <x:c r="N1961" s="29" t="str">
        <x:v>334.47</x:v>
      </x:c>
      <x:c r="O1961" s="29" t="str">
        <x:v>116.43</x:v>
      </x:c>
      <x:c r="P1961" s="18" t="str">
        <x:v>2026-07-08</x:v>
      </x:c>
      <x:c r="Q1961" s="36" t="n">
        <x:v>46211</x:v>
      </x:c>
    </x:row>
    <x:row r="1962">
      <x:c r="A1962" s="36" t="str">
        <x:v>2026-07-08</x:v>
      </x:c>
      <x:c r="B1962" s="18" t="str">
        <x:v>101437000_83019</x:v>
      </x:c>
      <x:c r="C1962" s="18" t="str">
        <x:v>【沪村小电】首创禧瑞云启东区充电站</x:v>
      </x:c>
      <x:c r="D1962" s="37" t="str">
        <x:v>2</x:v>
      </x:c>
      <x:c r="E1962" s="37" t="str">
        <x:v>0</x:v>
      </x:c>
      <x:c r="F1962" s="37" t="str">
        <x:v>60</x:v>
      </x:c>
      <x:c r="G1962" s="37" t="str">
        <x:v>1520.44</x:v>
      </x:c>
      <x:c r="H1962" s="37" t="str">
        <x:v>0.00</x:v>
      </x:c>
      <x:c r="I1962" s="37" t="str">
        <x:v>1276.40</x:v>
      </x:c>
      <x:c r="J1962" s="37" t="str">
        <x:v>0.00</x:v>
      </x:c>
      <x:c r="K1962" s="37" t="str">
        <x:v>244.04</x:v>
      </x:c>
      <x:c r="L1962" s="37" t="str">
        <x:v>2223</x:v>
      </x:c>
      <x:c r="M1962" s="29" t="str">
        <x:v>1367.10</x:v>
      </x:c>
      <x:c r="N1962" s="29" t="str">
        <x:v>968.57</x:v>
      </x:c>
      <x:c r="O1962" s="29" t="str">
        <x:v>398.53</x:v>
      </x:c>
      <x:c r="P1962" s="18" t="str">
        <x:v>2026-07-08</x:v>
      </x:c>
      <x:c r="Q1962" s="36" t="n">
        <x:v>46211</x:v>
      </x:c>
    </x:row>
    <x:row r="1963">
      <x:c r="A1963" s="36" t="str">
        <x:v>2026-07-08</x:v>
      </x:c>
      <x:c r="B1963" s="18" t="str">
        <x:v>101437000_83093</x:v>
      </x:c>
      <x:c r="C1963" s="18" t="str">
        <x:v>【沪村小电】金茂未来时光里</x:v>
      </x:c>
      <x:c r="D1963" s="37" t="str">
        <x:v>2</x:v>
      </x:c>
      <x:c r="E1963" s="37" t="str">
        <x:v>0</x:v>
      </x:c>
      <x:c r="F1963" s="37" t="str">
        <x:v>12</x:v>
      </x:c>
      <x:c r="G1963" s="37" t="str">
        <x:v>566.93</x:v>
      </x:c>
      <x:c r="H1963" s="37" t="str">
        <x:v>0.00</x:v>
      </x:c>
      <x:c r="I1963" s="37" t="str">
        <x:v>189.71</x:v>
      </x:c>
      <x:c r="J1963" s="37" t="str">
        <x:v>0.00</x:v>
      </x:c>
      <x:c r="K1963" s="37" t="str">
        <x:v>377.23</x:v>
      </x:c>
      <x:c r="L1963" s="37" t="str">
        <x:v>511</x:v>
      </x:c>
      <x:c r="M1963" s="29" t="str">
        <x:v>387.66</x:v>
      </x:c>
      <x:c r="N1963" s="29" t="str">
        <x:v>228.86</x:v>
      </x:c>
      <x:c r="O1963" s="29" t="str">
        <x:v>158.80</x:v>
      </x:c>
      <x:c r="P1963" s="18" t="str">
        <x:v>2026-07-08</x:v>
      </x:c>
      <x:c r="Q1963" s="36" t="n">
        <x:v>46211</x:v>
      </x:c>
    </x:row>
    <x:row r="1964">
      <x:c r="A1964" s="36" t="str">
        <x:v>2026-07-08</x:v>
      </x:c>
      <x:c r="B1964" s="18" t="str">
        <x:v>101437000_83911</x:v>
      </x:c>
      <x:c r="C1964" s="18" t="str">
        <x:v>【沪村小电】金瀚园充电站</x:v>
      </x:c>
      <x:c r="D1964" s="37" t="str">
        <x:v>2</x:v>
      </x:c>
      <x:c r="E1964" s="37" t="str">
        <x:v>0</x:v>
      </x:c>
      <x:c r="F1964" s="37" t="str">
        <x:v>37</x:v>
      </x:c>
      <x:c r="G1964" s="37" t="str">
        <x:v>890.85</x:v>
      </x:c>
      <x:c r="H1964" s="37" t="str">
        <x:v>0.00</x:v>
      </x:c>
      <x:c r="I1964" s="37" t="str">
        <x:v>636.12</x:v>
      </x:c>
      <x:c r="J1964" s="37" t="str">
        <x:v>0.00</x:v>
      </x:c>
      <x:c r="K1964" s="37" t="str">
        <x:v>254.73</x:v>
      </x:c>
      <x:c r="L1964" s="37" t="str">
        <x:v>1232</x:v>
      </x:c>
      <x:c r="M1964" s="29" t="str">
        <x:v>932.11</x:v>
      </x:c>
      <x:c r="N1964" s="29" t="str">
        <x:v>567.51</x:v>
      </x:c>
      <x:c r="O1964" s="29" t="str">
        <x:v>364.60</x:v>
      </x:c>
      <x:c r="P1964" s="18" t="str">
        <x:v>2026-07-08</x:v>
      </x:c>
      <x:c r="Q1964" s="36" t="n">
        <x:v>46211</x:v>
      </x:c>
    </x:row>
    <x:row r="1965">
      <x:c r="A1965" s="36" t="str">
        <x:v>2026-07-08</x:v>
      </x:c>
      <x:c r="B1965" s="18" t="str">
        <x:v>101437000_83913</x:v>
      </x:c>
      <x:c r="C1965" s="18" t="str">
        <x:v>【沪村小电】新黎村充电站</x:v>
      </x:c>
      <x:c r="D1965" s="37" t="str">
        <x:v>2</x:v>
      </x:c>
      <x:c r="E1965" s="37" t="str">
        <x:v>0</x:v>
      </x:c>
      <x:c r="F1965" s="37" t="str">
        <x:v>38</x:v>
      </x:c>
      <x:c r="G1965" s="37" t="str">
        <x:v>970.44</x:v>
      </x:c>
      <x:c r="H1965" s="37" t="str">
        <x:v>0.00</x:v>
      </x:c>
      <x:c r="I1965" s="37" t="str">
        <x:v>630.34</x:v>
      </x:c>
      <x:c r="J1965" s="37" t="str">
        <x:v>0.00</x:v>
      </x:c>
      <x:c r="K1965" s="37" t="str">
        <x:v>340.10</x:v>
      </x:c>
      <x:c r="L1965" s="37" t="str">
        <x:v>1293</x:v>
      </x:c>
      <x:c r="M1965" s="29" t="str">
        <x:v>1027.20</x:v>
      </x:c>
      <x:c r="N1965" s="29" t="str">
        <x:v>835.80</x:v>
      </x:c>
      <x:c r="O1965" s="29" t="str">
        <x:v>191.40</x:v>
      </x:c>
      <x:c r="P1965" s="18" t="str">
        <x:v>2026-07-08</x:v>
      </x:c>
      <x:c r="Q1965" s="36" t="n">
        <x:v>46211</x:v>
      </x:c>
    </x:row>
    <x:row r="1966">
      <x:c r="A1966" s="36" t="str">
        <x:v>2026-07-08</x:v>
      </x:c>
      <x:c r="B1966" s="18" t="str">
        <x:v>101437000_83915</x:v>
      </x:c>
      <x:c r="C1966" s="18" t="str">
        <x:v>【沪村小电】长泰西郊别墅充电站</x:v>
      </x:c>
      <x:c r="D1966" s="37" t="str">
        <x:v>2</x:v>
      </x:c>
      <x:c r="E1966" s="37" t="str">
        <x:v>0</x:v>
      </x:c>
      <x:c r="F1966" s="37" t="str">
        <x:v>22</x:v>
      </x:c>
      <x:c r="G1966" s="37" t="str">
        <x:v>446.97</x:v>
      </x:c>
      <x:c r="H1966" s="37" t="str">
        <x:v>0.00</x:v>
      </x:c>
      <x:c r="I1966" s="37" t="str">
        <x:v>304.78</x:v>
      </x:c>
      <x:c r="J1966" s="37" t="str">
        <x:v>0.00</x:v>
      </x:c>
      <x:c r="K1966" s="37" t="str">
        <x:v>142.19</x:v>
      </x:c>
      <x:c r="L1966" s="37" t="str">
        <x:v>789</x:v>
      </x:c>
      <x:c r="M1966" s="29" t="str">
        <x:v>413.77</x:v>
      </x:c>
      <x:c r="N1966" s="29" t="str">
        <x:v>279.57</x:v>
      </x:c>
      <x:c r="O1966" s="29" t="str">
        <x:v>134.20</x:v>
      </x:c>
      <x:c r="P1966" s="18" t="str">
        <x:v>2026-07-08</x:v>
      </x:c>
      <x:c r="Q1966" s="36" t="n">
        <x:v>46211</x:v>
      </x:c>
    </x:row>
    <x:row r="1967">
      <x:c r="A1967" s="36" t="str">
        <x:v>2026-07-08</x:v>
      </x:c>
      <x:c r="B1967" s="18" t="str">
        <x:v>101437000_83917</x:v>
      </x:c>
      <x:c r="C1967" s="18" t="str">
        <x:v>【沪村小电】旭新华庭充电站</x:v>
      </x:c>
      <x:c r="D1967" s="37" t="str">
        <x:v>4</x:v>
      </x:c>
      <x:c r="E1967" s="37" t="str">
        <x:v>0</x:v>
      </x:c>
      <x:c r="F1967" s="37" t="str">
        <x:v>28</x:v>
      </x:c>
      <x:c r="G1967" s="37" t="str">
        <x:v>773.75</x:v>
      </x:c>
      <x:c r="H1967" s="37" t="str">
        <x:v>0.00</x:v>
      </x:c>
      <x:c r="I1967" s="37" t="str">
        <x:v>632.07</x:v>
      </x:c>
      <x:c r="J1967" s="37" t="str">
        <x:v>0.00</x:v>
      </x:c>
      <x:c r="K1967" s="37" t="str">
        <x:v>141.68</x:v>
      </x:c>
      <x:c r="L1967" s="37" t="str">
        <x:v>1201</x:v>
      </x:c>
      <x:c r="M1967" s="29" t="str">
        <x:v>824.09</x:v>
      </x:c>
      <x:c r="N1967" s="29" t="str">
        <x:v>521.55</x:v>
      </x:c>
      <x:c r="O1967" s="29" t="str">
        <x:v>302.54</x:v>
      </x:c>
      <x:c r="P1967" s="18" t="str">
        <x:v>2026-07-08</x:v>
      </x:c>
      <x:c r="Q1967" s="36" t="n">
        <x:v>46211</x:v>
      </x:c>
    </x:row>
    <x:row r="1968">
      <x:c r="A1968" s="36" t="str">
        <x:v>2026-07-08</x:v>
      </x:c>
      <x:c r="B1968" s="18" t="str">
        <x:v>101437000_83919</x:v>
      </x:c>
      <x:c r="C1968" s="18" t="str">
        <x:v>【沪村小电】浦锦名仕嘉园充电站</x:v>
      </x:c>
      <x:c r="D1968" s="37" t="str">
        <x:v>4</x:v>
      </x:c>
      <x:c r="E1968" s="37" t="str">
        <x:v>0</x:v>
      </x:c>
      <x:c r="F1968" s="37" t="str">
        <x:v>37</x:v>
      </x:c>
      <x:c r="G1968" s="37" t="str">
        <x:v>819.45</x:v>
      </x:c>
      <x:c r="H1968" s="37" t="str">
        <x:v>0.00</x:v>
      </x:c>
      <x:c r="I1968" s="37" t="str">
        <x:v>0.00</x:v>
      </x:c>
      <x:c r="J1968" s="37" t="str">
        <x:v>819.45</x:v>
      </x:c>
      <x:c r="K1968" s="37" t="str">
        <x:v>0.00</x:v>
      </x:c>
      <x:c r="L1968" s="37" t="str">
        <x:v>1402</x:v>
      </x:c>
      <x:c r="M1968" s="29" t="str">
        <x:v>751.18</x:v>
      </x:c>
      <x:c r="N1968" s="29" t="str">
        <x:v>524.46</x:v>
      </x:c>
      <x:c r="O1968" s="29" t="str">
        <x:v>226.72</x:v>
      </x:c>
      <x:c r="P1968" s="18" t="str">
        <x:v>2026-07-08</x:v>
      </x:c>
      <x:c r="Q1968" s="36" t="n">
        <x:v>46211</x:v>
      </x:c>
    </x:row>
    <x:row r="1969">
      <x:c r="A1969" s="36" t="str">
        <x:v>2026-07-08</x:v>
      </x:c>
      <x:c r="B1969" s="18" t="str">
        <x:v>101437000_83921</x:v>
      </x:c>
      <x:c r="C1969" s="18" t="str">
        <x:v>【沪村小电】上海联怡枇杷乐园充电站（地库）</x:v>
      </x:c>
      <x:c r="D1969" s="37" t="str">
        <x:v>8</x:v>
      </x:c>
      <x:c r="E1969" s="37" t="str">
        <x:v>0</x:v>
      </x:c>
      <x:c r="F1969" s="37" t="str">
        <x:v>5</x:v>
      </x:c>
      <x:c r="G1969" s="37" t="str">
        <x:v>206.56</x:v>
      </x:c>
      <x:c r="H1969" s="37" t="str">
        <x:v>0.00</x:v>
      </x:c>
      <x:c r="I1969" s="37" t="str">
        <x:v>13.30</x:v>
      </x:c>
      <x:c r="J1969" s="37" t="str">
        <x:v>0.00</x:v>
      </x:c>
      <x:c r="K1969" s="37" t="str">
        <x:v>193.26</x:v>
      </x:c>
      <x:c r="L1969" s="37" t="str">
        <x:v>288</x:v>
      </x:c>
      <x:c r="M1969" s="29" t="str">
        <x:v>127.38</x:v>
      </x:c>
      <x:c r="N1969" s="29" t="str">
        <x:v>116.26</x:v>
      </x:c>
      <x:c r="O1969" s="29" t="str">
        <x:v>11.12</x:v>
      </x:c>
      <x:c r="P1969" s="18" t="str">
        <x:v>2026-07-08</x:v>
      </x:c>
      <x:c r="Q1969" s="36" t="n">
        <x:v>46211</x:v>
      </x:c>
    </x:row>
    <x:row r="1970">
      <x:c r="A1970" s="36" t="str">
        <x:v>2026-07-08</x:v>
      </x:c>
      <x:c r="B1970" s="18" t="str">
        <x:v>101437000_83923</x:v>
      </x:c>
      <x:c r="C1970" s="18" t="str">
        <x:v>【沪村小电】明珠新苑充电站</x:v>
      </x:c>
      <x:c r="D1970" s="37" t="str">
        <x:v>2</x:v>
      </x:c>
      <x:c r="E1970" s="37" t="str">
        <x:v>0</x:v>
      </x:c>
      <x:c r="F1970" s="37" t="str">
        <x:v>36</x:v>
      </x:c>
      <x:c r="G1970" s="37" t="str">
        <x:v>994.46</x:v>
      </x:c>
      <x:c r="H1970" s="37" t="str">
        <x:v>0.00</x:v>
      </x:c>
      <x:c r="I1970" s="37" t="str">
        <x:v>630.31</x:v>
      </x:c>
      <x:c r="J1970" s="37" t="str">
        <x:v>0.00</x:v>
      </x:c>
      <x:c r="K1970" s="37" t="str">
        <x:v>364.15</x:v>
      </x:c>
      <x:c r="L1970" s="37" t="str">
        <x:v>1395</x:v>
      </x:c>
      <x:c r="M1970" s="29" t="str">
        <x:v>949.33</x:v>
      </x:c>
      <x:c r="N1970" s="29" t="str">
        <x:v>604.82</x:v>
      </x:c>
      <x:c r="O1970" s="29" t="str">
        <x:v>344.51</x:v>
      </x:c>
      <x:c r="P1970" s="18" t="str">
        <x:v>2026-07-08</x:v>
      </x:c>
      <x:c r="Q1970" s="36" t="n">
        <x:v>46211</x:v>
      </x:c>
    </x:row>
    <x:row r="1971">
      <x:c r="A1971" s="36" t="str">
        <x:v>2026-07-08</x:v>
      </x:c>
      <x:c r="B1971" s="18" t="str">
        <x:v>101437000_84289</x:v>
      </x:c>
      <x:c r="C1971" s="18" t="str">
        <x:v>【沪村小电】铁建芳华苑充电站</x:v>
      </x:c>
      <x:c r="D1971" s="37" t="str">
        <x:v>4</x:v>
      </x:c>
      <x:c r="E1971" s="37" t="str">
        <x:v>0</x:v>
      </x:c>
      <x:c r="F1971" s="37" t="str">
        <x:v>63</x:v>
      </x:c>
      <x:c r="G1971" s="37" t="str">
        <x:v>1391.52</x:v>
      </x:c>
      <x:c r="H1971" s="37" t="str">
        <x:v>0.00</x:v>
      </x:c>
      <x:c r="I1971" s="37" t="str">
        <x:v>936.62</x:v>
      </x:c>
      <x:c r="J1971" s="37" t="str">
        <x:v>0.00</x:v>
      </x:c>
      <x:c r="K1971" s="37" t="str">
        <x:v>454.90</x:v>
      </x:c>
      <x:c r="L1971" s="37" t="str">
        <x:v>2077</x:v>
      </x:c>
      <x:c r="M1971" s="29" t="str">
        <x:v>1255.52</x:v>
      </x:c>
      <x:c r="N1971" s="29" t="str">
        <x:v>865.98</x:v>
      </x:c>
      <x:c r="O1971" s="29" t="str">
        <x:v>389.54</x:v>
      </x:c>
      <x:c r="P1971" s="18" t="str">
        <x:v>2026-07-08</x:v>
      </x:c>
      <x:c r="Q1971" s="36" t="n">
        <x:v>46211</x:v>
      </x:c>
    </x:row>
    <x:row r="1972">
      <x:c r="A1972" s="36" t="str">
        <x:v>2026-07-08</x:v>
      </x:c>
      <x:c r="B1972" s="18" t="str">
        <x:v>101437000_86379</x:v>
      </x:c>
      <x:c r="C1972" s="18" t="str">
        <x:v>【沪村小电】新宝社区充电站</x:v>
      </x:c>
      <x:c r="D1972" s="37" t="str">
        <x:v>4</x:v>
      </x:c>
      <x:c r="E1972" s="37" t="str">
        <x:v>0</x:v>
      </x:c>
      <x:c r="F1972" s="37" t="str">
        <x:v>27</x:v>
      </x:c>
      <x:c r="G1972" s="37" t="str">
        <x:v>800.30</x:v>
      </x:c>
      <x:c r="H1972" s="37" t="str">
        <x:v>0.00</x:v>
      </x:c>
      <x:c r="I1972" s="37" t="str">
        <x:v>589.20</x:v>
      </x:c>
      <x:c r="J1972" s="37" t="str">
        <x:v>0.00</x:v>
      </x:c>
      <x:c r="K1972" s="37" t="str">
        <x:v>211.10</x:v>
      </x:c>
      <x:c r="L1972" s="37" t="str">
        <x:v>1246</x:v>
      </x:c>
      <x:c r="M1972" s="29" t="str">
        <x:v>691.30</x:v>
      </x:c>
      <x:c r="N1972" s="29" t="str">
        <x:v>516.23</x:v>
      </x:c>
      <x:c r="O1972" s="29" t="str">
        <x:v>175.07</x:v>
      </x:c>
      <x:c r="P1972" s="18" t="str">
        <x:v>2026-07-08</x:v>
      </x:c>
      <x:c r="Q1972" s="36" t="n">
        <x:v>46211</x:v>
      </x:c>
    </x:row>
    <x:row r="1973">
      <x:c r="A1973" s="36" t="str">
        <x:v>2026-07-08</x:v>
      </x:c>
      <x:c r="B1973" s="18" t="str">
        <x:v>101437000_89441</x:v>
      </x:c>
      <x:c r="C1973" s="18" t="str">
        <x:v>【沪村小电】首创禧瑞云启西区充电站</x:v>
      </x:c>
      <x:c r="D1973" s="37" t="str">
        <x:v>2</x:v>
      </x:c>
      <x:c r="E1973" s="37" t="str">
        <x:v>0</x:v>
      </x:c>
      <x:c r="F1973" s="37" t="str">
        <x:v>56</x:v>
      </x:c>
      <x:c r="G1973" s="37" t="str">
        <x:v>1509.73</x:v>
      </x:c>
      <x:c r="H1973" s="37" t="str">
        <x:v>0.00</x:v>
      </x:c>
      <x:c r="I1973" s="37" t="str">
        <x:v>1304.51</x:v>
      </x:c>
      <x:c r="J1973" s="37" t="str">
        <x:v>0.00</x:v>
      </x:c>
      <x:c r="K1973" s="37" t="str">
        <x:v>205.22</x:v>
      </x:c>
      <x:c r="L1973" s="37" t="str">
        <x:v>2142</x:v>
      </x:c>
      <x:c r="M1973" s="29" t="str">
        <x:v>1382.25</x:v>
      </x:c>
      <x:c r="N1973" s="29" t="str">
        <x:v>973.99</x:v>
      </x:c>
      <x:c r="O1973" s="29" t="str">
        <x:v>408.26</x:v>
      </x:c>
      <x:c r="P1973" s="18" t="str">
        <x:v>2026-07-08</x:v>
      </x:c>
      <x:c r="Q1973" s="36" t="n">
        <x:v>46211</x:v>
      </x:c>
    </x:row>
    <x:row r="1974">
      <x:c r="A1974" s="36" t="str">
        <x:v>2026-07-08</x:v>
      </x:c>
      <x:c r="B1974" s="18" t="str">
        <x:v>101437000_89443</x:v>
      </x:c>
      <x:c r="C1974" s="18" t="str">
        <x:v>【沪村小电】玉兰清苑二期充电站</x:v>
      </x:c>
      <x:c r="D1974" s="37" t="str">
        <x:v>2</x:v>
      </x:c>
      <x:c r="E1974" s="37" t="str">
        <x:v>0</x:v>
      </x:c>
      <x:c r="F1974" s="37" t="str">
        <x:v>27</x:v>
      </x:c>
      <x:c r="G1974" s="37" t="str">
        <x:v>662.18</x:v>
      </x:c>
      <x:c r="H1974" s="37" t="str">
        <x:v>0.00</x:v>
      </x:c>
      <x:c r="I1974" s="37" t="str">
        <x:v>640.76</x:v>
      </x:c>
      <x:c r="J1974" s="37" t="str">
        <x:v>0.00</x:v>
      </x:c>
      <x:c r="K1974" s="37" t="str">
        <x:v>21.42</x:v>
      </x:c>
      <x:c r="L1974" s="37" t="str">
        <x:v>1047</x:v>
      </x:c>
      <x:c r="M1974" s="29" t="str">
        <x:v>654.67</x:v>
      </x:c>
      <x:c r="N1974" s="29" t="str">
        <x:v>482.30</x:v>
      </x:c>
      <x:c r="O1974" s="29" t="str">
        <x:v>172.37</x:v>
      </x:c>
      <x:c r="P1974" s="18" t="str">
        <x:v>2026-07-08</x:v>
      </x:c>
      <x:c r="Q1974" s="36" t="n">
        <x:v>46211</x:v>
      </x:c>
    </x:row>
    <x:row r="1975">
      <x:c r="A1975" s="36" t="str">
        <x:v>2026-07-08</x:v>
      </x:c>
      <x:c r="B1975" s="18" t="str">
        <x:v>101437000_93115</x:v>
      </x:c>
      <x:c r="C1975" s="18" t="str">
        <x:v>【沪村小电】新南家园西北门</x:v>
      </x:c>
      <x:c r="D1975" s="37" t="str">
        <x:v>2</x:v>
      </x:c>
      <x:c r="E1975" s="37" t="str">
        <x:v>0</x:v>
      </x:c>
      <x:c r="F1975" s="37" t="str">
        <x:v>44</x:v>
      </x:c>
      <x:c r="G1975" s="37" t="str">
        <x:v>1028.82</x:v>
      </x:c>
      <x:c r="H1975" s="37" t="str">
        <x:v>0.00</x:v>
      </x:c>
      <x:c r="I1975" s="37" t="str">
        <x:v>735.44</x:v>
      </x:c>
      <x:c r="J1975" s="37" t="str">
        <x:v>0.00</x:v>
      </x:c>
      <x:c r="K1975" s="37" t="str">
        <x:v>293.38</x:v>
      </x:c>
      <x:c r="L1975" s="37" t="str">
        <x:v>1810</x:v>
      </x:c>
      <x:c r="M1975" s="29" t="str">
        <x:v>927.53</x:v>
      </x:c>
      <x:c r="N1975" s="29" t="str">
        <x:v>613.02</x:v>
      </x:c>
      <x:c r="O1975" s="29" t="str">
        <x:v>314.51</x:v>
      </x:c>
      <x:c r="P1975" s="18" t="str">
        <x:v>2026-07-08</x:v>
      </x:c>
      <x:c r="Q1975" s="36" t="n">
        <x:v>46211</x:v>
      </x:c>
    </x:row>
    <x:row r="1976">
      <x:c r="A1976" s="36" t="str">
        <x:v>2026-07-08</x:v>
      </x:c>
      <x:c r="B1976" s="18" t="str">
        <x:v>101437000_94649</x:v>
      </x:c>
      <x:c r="C1976" s="18" t="str">
        <x:v>【沪村小电】浪琴水岸花园</x:v>
      </x:c>
      <x:c r="D1976" s="37" t="str">
        <x:v>4</x:v>
      </x:c>
      <x:c r="E1976" s="37" t="str">
        <x:v>0</x:v>
      </x:c>
      <x:c r="F1976" s="37" t="str">
        <x:v>45</x:v>
      </x:c>
      <x:c r="G1976" s="37" t="str">
        <x:v>1043.84</x:v>
      </x:c>
      <x:c r="H1976" s="37" t="str">
        <x:v>0.00</x:v>
      </x:c>
      <x:c r="I1976" s="37" t="str">
        <x:v>641.36</x:v>
      </x:c>
      <x:c r="J1976" s="37" t="str">
        <x:v>0.00</x:v>
      </x:c>
      <x:c r="K1976" s="37" t="str">
        <x:v>402.47</x:v>
      </x:c>
      <x:c r="L1976" s="37" t="str">
        <x:v>1811</x:v>
      </x:c>
      <x:c r="M1976" s="29" t="str">
        <x:v>849.96</x:v>
      </x:c>
      <x:c r="N1976" s="29" t="str">
        <x:v>587.44</x:v>
      </x:c>
      <x:c r="O1976" s="29" t="str">
        <x:v>262.52</x:v>
      </x:c>
      <x:c r="P1976" s="18" t="str">
        <x:v>2026-07-08</x:v>
      </x:c>
      <x:c r="Q1976" s="36" t="n">
        <x:v>46211</x:v>
      </x:c>
    </x:row>
    <x:row r="1977">
      <x:c r="A1977" s="36" t="str">
        <x:v>2026-07-08</x:v>
      </x:c>
      <x:c r="B1977" s="18" t="str">
        <x:v>101437000_95077</x:v>
      </x:c>
      <x:c r="C1977" s="18" t="str">
        <x:v>【沪村小电】民乐城惠益绿苑255弄充电站</x:v>
      </x:c>
      <x:c r="D1977" s="37" t="str">
        <x:v>2</x:v>
      </x:c>
      <x:c r="E1977" s="37" t="str">
        <x:v>0</x:v>
      </x:c>
      <x:c r="F1977" s="37" t="str">
        <x:v>11</x:v>
      </x:c>
      <x:c r="G1977" s="37" t="str">
        <x:v>312.20</x:v>
      </x:c>
      <x:c r="H1977" s="37" t="str">
        <x:v>0.00</x:v>
      </x:c>
      <x:c r="I1977" s="37" t="str">
        <x:v>268.28</x:v>
      </x:c>
      <x:c r="J1977" s="37" t="str">
        <x:v>0.00</x:v>
      </x:c>
      <x:c r="K1977" s="37" t="str">
        <x:v>43.91</x:v>
      </x:c>
      <x:c r="L1977" s="37" t="str">
        <x:v>523</x:v>
      </x:c>
      <x:c r="M1977" s="29" t="str">
        <x:v>297.28</x:v>
      </x:c>
      <x:c r="N1977" s="29" t="str">
        <x:v>215.21</x:v>
      </x:c>
      <x:c r="O1977" s="29" t="str">
        <x:v>82.07</x:v>
      </x:c>
      <x:c r="P1977" s="18" t="str">
        <x:v>2026-07-08</x:v>
      </x:c>
      <x:c r="Q1977" s="36" t="n">
        <x:v>46211</x:v>
      </x:c>
    </x:row>
    <x:row r="1978">
      <x:c r="A1978" s="36" t="str">
        <x:v>2026-07-08</x:v>
      </x:c>
      <x:c r="B1978" s="18" t="str">
        <x:v>101437000_95079</x:v>
      </x:c>
      <x:c r="C1978" s="18" t="str">
        <x:v>【沪村小电】民乐城惠益绿苑东苑充电站</x:v>
      </x:c>
      <x:c r="D1978" s="37" t="str">
        <x:v>2</x:v>
      </x:c>
      <x:c r="E1978" s="37" t="str">
        <x:v>0</x:v>
      </x:c>
      <x:c r="F1978" s="37" t="str">
        <x:v>16</x:v>
      </x:c>
      <x:c r="G1978" s="37" t="str">
        <x:v>337.41</x:v>
      </x:c>
      <x:c r="H1978" s="37" t="str">
        <x:v>0.00</x:v>
      </x:c>
      <x:c r="I1978" s="37" t="str">
        <x:v>288.32</x:v>
      </x:c>
      <x:c r="J1978" s="37" t="str">
        <x:v>0.00</x:v>
      </x:c>
      <x:c r="K1978" s="37" t="str">
        <x:v>49.09</x:v>
      </x:c>
      <x:c r="L1978" s="37" t="str">
        <x:v>503</x:v>
      </x:c>
      <x:c r="M1978" s="29" t="str">
        <x:v>324.96</x:v>
      </x:c>
      <x:c r="N1978" s="29" t="str">
        <x:v>216.60</x:v>
      </x:c>
      <x:c r="O1978" s="29" t="str">
        <x:v>108.36</x:v>
      </x:c>
      <x:c r="P1978" s="18" t="str">
        <x:v>2026-07-08</x:v>
      </x:c>
      <x:c r="Q1978" s="36" t="n">
        <x:v>46211</x:v>
      </x:c>
    </x:row>
    <x:row r="1979">
      <x:c r="A1979" s="36" t="str">
        <x:v>2026-07-08</x:v>
      </x:c>
      <x:c r="B1979" s="18" t="str">
        <x:v>101437000_95081</x:v>
      </x:c>
      <x:c r="C1979" s="18" t="str">
        <x:v>【沪村小电】民乐城惠益绿苑西苑充电站</x:v>
      </x:c>
      <x:c r="D1979" s="37" t="str">
        <x:v>2</x:v>
      </x:c>
      <x:c r="E1979" s="37" t="str">
        <x:v>0</x:v>
      </x:c>
      <x:c r="F1979" s="37" t="str">
        <x:v>11</x:v>
      </x:c>
      <x:c r="G1979" s="37" t="str">
        <x:v>176.94</x:v>
      </x:c>
      <x:c r="H1979" s="37" t="str">
        <x:v>0.00</x:v>
      </x:c>
      <x:c r="I1979" s="37" t="str">
        <x:v>176.94</x:v>
      </x:c>
      <x:c r="J1979" s="37" t="str">
        <x:v>0.00</x:v>
      </x:c>
      <x:c r="K1979" s="37" t="str">
        <x:v>0.00</x:v>
      </x:c>
      <x:c r="L1979" s="37" t="str">
        <x:v>350</x:v>
      </x:c>
      <x:c r="M1979" s="29" t="str">
        <x:v>170.28</x:v>
      </x:c>
      <x:c r="N1979" s="29" t="str">
        <x:v>122.09</x:v>
      </x:c>
      <x:c r="O1979" s="29" t="str">
        <x:v>48.19</x:v>
      </x:c>
      <x:c r="P1979" s="18" t="str">
        <x:v>2026-07-08</x:v>
      </x:c>
      <x:c r="Q1979" s="36" t="n">
        <x:v>46211</x:v>
      </x:c>
    </x:row>
    <x:row r="1980">
      <x:c r="A1980" s="36" t="str">
        <x:v>2026-07-08</x:v>
      </x:c>
      <x:c r="B1980" s="18" t="str">
        <x:v>101437000_95091</x:v>
      </x:c>
      <x:c r="C1980" s="18" t="str">
        <x:v>【沪村小电】金悦学府2号站</x:v>
      </x:c>
      <x:c r="D1980" s="37" t="str">
        <x:v>2</x:v>
      </x:c>
      <x:c r="E1980" s="37" t="str">
        <x:v>0</x:v>
      </x:c>
      <x:c r="F1980" s="37" t="str">
        <x:v>43</x:v>
      </x:c>
      <x:c r="G1980" s="37" t="str">
        <x:v>892.47</x:v>
      </x:c>
      <x:c r="H1980" s="37" t="str">
        <x:v>0.00</x:v>
      </x:c>
      <x:c r="I1980" s="37" t="str">
        <x:v>0.00</x:v>
      </x:c>
      <x:c r="J1980" s="37" t="str">
        <x:v>892.47</x:v>
      </x:c>
      <x:c r="K1980" s="37" t="str">
        <x:v>0.00</x:v>
      </x:c>
      <x:c r="L1980" s="37" t="str">
        <x:v>1621</x:v>
      </x:c>
      <x:c r="M1980" s="29" t="str">
        <x:v>705.04</x:v>
      </x:c>
      <x:c r="N1980" s="29" t="str">
        <x:v>499.76</x:v>
      </x:c>
      <x:c r="O1980" s="29" t="str">
        <x:v>205.28</x:v>
      </x:c>
      <x:c r="P1980" s="18" t="str">
        <x:v>2026-07-08</x:v>
      </x:c>
      <x:c r="Q1980" s="36" t="n">
        <x:v>46211</x:v>
      </x:c>
    </x:row>
    <x:row r="1981">
      <x:c r="A1981" s="36" t="str">
        <x:v>2026-07-08</x:v>
      </x:c>
      <x:c r="B1981" s="18" t="str">
        <x:v>101437000_95941</x:v>
      </x:c>
      <x:c r="C1981" s="18" t="str">
        <x:v>【沪村小电】惠诚雅苑</x:v>
      </x:c>
      <x:c r="D1981" s="37" t="str">
        <x:v>4</x:v>
      </x:c>
      <x:c r="E1981" s="37" t="str">
        <x:v>0</x:v>
      </x:c>
      <x:c r="F1981" s="37" t="str">
        <x:v>43</x:v>
      </x:c>
      <x:c r="G1981" s="37" t="str">
        <x:v>1074.32</x:v>
      </x:c>
      <x:c r="H1981" s="37" t="str">
        <x:v>0.00</x:v>
      </x:c>
      <x:c r="I1981" s="37" t="str">
        <x:v>597.54</x:v>
      </x:c>
      <x:c r="J1981" s="37" t="str">
        <x:v>0.00</x:v>
      </x:c>
      <x:c r="K1981" s="37" t="str">
        <x:v>476.78</x:v>
      </x:c>
      <x:c r="L1981" s="37" t="str">
        <x:v>1808</x:v>
      </x:c>
      <x:c r="M1981" s="29" t="str">
        <x:v>770.71</x:v>
      </x:c>
      <x:c r="N1981" s="29" t="str">
        <x:v>500.36</x:v>
      </x:c>
      <x:c r="O1981" s="29" t="str">
        <x:v>270.35</x:v>
      </x:c>
      <x:c r="P1981" s="18" t="str">
        <x:v>2026-07-08</x:v>
      </x:c>
      <x:c r="Q1981" s="36" t="n">
        <x:v>46211</x:v>
      </x:c>
    </x:row>
    <x:row r="1982">
      <x:c r="A1982" s="36" t="str">
        <x:v>2026-07-08</x:v>
      </x:c>
      <x:c r="B1982" s="18" t="str">
        <x:v>101437000_96401</x:v>
      </x:c>
      <x:c r="C1982" s="18" t="str">
        <x:v>【沪村小电】上海联怡枇杷乐园地面站</x:v>
      </x:c>
      <x:c r="D1982" s="37" t="str">
        <x:v>2</x:v>
      </x:c>
      <x:c r="E1982" s="37" t="str">
        <x:v>0</x:v>
      </x:c>
      <x:c r="F1982" s="37" t="str">
        <x:v>10</x:v>
      </x:c>
      <x:c r="G1982" s="37" t="str">
        <x:v>304.19</x:v>
      </x:c>
      <x:c r="H1982" s="37" t="str">
        <x:v>0.00</x:v>
      </x:c>
      <x:c r="I1982" s="37" t="str">
        <x:v>156.62</x:v>
      </x:c>
      <x:c r="J1982" s="37" t="str">
        <x:v>0.00</x:v>
      </x:c>
      <x:c r="K1982" s="37" t="str">
        <x:v>147.57</x:v>
      </x:c>
      <x:c r="L1982" s="37" t="str">
        <x:v>523</x:v>
      </x:c>
      <x:c r="M1982" s="29" t="str">
        <x:v>282.61</x:v>
      </x:c>
      <x:c r="N1982" s="29" t="str">
        <x:v>241.09</x:v>
      </x:c>
      <x:c r="O1982" s="29" t="str">
        <x:v>41.52</x:v>
      </x:c>
      <x:c r="P1982" s="18" t="str">
        <x:v>2026-07-08</x:v>
      </x:c>
      <x:c r="Q1982" s="36" t="n">
        <x:v>46211</x:v>
      </x:c>
    </x:row>
    <x:row r="1983">
      <x:c r="A1983" s="36" t="str">
        <x:v>2026-07-08</x:v>
      </x:c>
      <x:c r="B1983" s="18" t="str">
        <x:v>101437000_97421</x:v>
      </x:c>
      <x:c r="C1983" s="18" t="str">
        <x:v>【沪村小电】玉兰清苑二期（小区外）充电站</x:v>
      </x:c>
      <x:c r="D1983" s="37" t="str">
        <x:v>4</x:v>
      </x:c>
      <x:c r="E1983" s="37" t="str">
        <x:v>0</x:v>
      </x:c>
      <x:c r="F1983" s="37" t="str">
        <x:v>46</x:v>
      </x:c>
      <x:c r="G1983" s="37" t="str">
        <x:v>1023.40</x:v>
      </x:c>
      <x:c r="H1983" s="37" t="str">
        <x:v>0.00</x:v>
      </x:c>
      <x:c r="I1983" s="37" t="str">
        <x:v>935.04</x:v>
      </x:c>
      <x:c r="J1983" s="37" t="str">
        <x:v>0.00</x:v>
      </x:c>
      <x:c r="K1983" s="37" t="str">
        <x:v>88.36</x:v>
      </x:c>
      <x:c r="L1983" s="37" t="str">
        <x:v>1872</x:v>
      </x:c>
      <x:c r="M1983" s="29" t="str">
        <x:v>950.40</x:v>
      </x:c>
      <x:c r="N1983" s="29" t="str">
        <x:v>725.52</x:v>
      </x:c>
      <x:c r="O1983" s="29" t="str">
        <x:v>224.88</x:v>
      </x:c>
      <x:c r="P1983" s="18" t="str">
        <x:v>2026-07-08</x:v>
      </x:c>
      <x:c r="Q1983" s="36" t="n">
        <x:v>46211</x:v>
      </x:c>
    </x:row>
    <x:row r="1984">
      <x:c r="A1984" s="36" t="str">
        <x:v>2026-07-08</x:v>
      </x:c>
      <x:c r="B1984" s="18" t="str">
        <x:v>101437000_98013</x:v>
      </x:c>
      <x:c r="C1984" s="18" t="str">
        <x:v>【沪村小电】恒大滨江华府充电站</x:v>
      </x:c>
      <x:c r="D1984" s="37" t="str">
        <x:v>4</x:v>
      </x:c>
      <x:c r="E1984" s="37" t="str">
        <x:v>0</x:v>
      </x:c>
      <x:c r="F1984" s="37" t="str">
        <x:v>30</x:v>
      </x:c>
      <x:c r="G1984" s="37" t="str">
        <x:v>626.41</x:v>
      </x:c>
      <x:c r="H1984" s="37" t="str">
        <x:v>0.00</x:v>
      </x:c>
      <x:c r="I1984" s="37" t="str">
        <x:v>379.19</x:v>
      </x:c>
      <x:c r="J1984" s="37" t="str">
        <x:v>0.00</x:v>
      </x:c>
      <x:c r="K1984" s="37" t="str">
        <x:v>247.22</x:v>
      </x:c>
      <x:c r="L1984" s="37" t="str">
        <x:v>952</x:v>
      </x:c>
      <x:c r="M1984" s="29" t="str">
        <x:v>636.60</x:v>
      </x:c>
      <x:c r="N1984" s="29" t="str">
        <x:v>525.39</x:v>
      </x:c>
      <x:c r="O1984" s="29" t="str">
        <x:v>111.21</x:v>
      </x:c>
      <x:c r="P1984" s="18" t="str">
        <x:v>2026-07-08</x:v>
      </x:c>
      <x:c r="Q1984" s="36" t="n">
        <x:v>46211</x:v>
      </x:c>
    </x:row>
    <x:row r="1985">
      <x:c r="A1985" s="36" t="str">
        <x:v>2026-07-08</x:v>
      </x:c>
      <x:c r="B1985" s="18" t="str">
        <x:v>101437000_98863</x:v>
      </x:c>
      <x:c r="C1985" s="18" t="str">
        <x:v>【沪村小电】欣菊苑充电站</x:v>
      </x:c>
      <x:c r="D1985" s="37" t="str">
        <x:v>4</x:v>
      </x:c>
      <x:c r="E1985" s="37" t="str">
        <x:v>0</x:v>
      </x:c>
      <x:c r="F1985" s="37" t="str">
        <x:v>12</x:v>
      </x:c>
      <x:c r="G1985" s="37" t="str">
        <x:v>303.08</x:v>
      </x:c>
      <x:c r="H1985" s="37" t="str">
        <x:v>0.00</x:v>
      </x:c>
      <x:c r="I1985" s="37" t="str">
        <x:v>303.08</x:v>
      </x:c>
      <x:c r="J1985" s="37" t="str">
        <x:v>0.00</x:v>
      </x:c>
      <x:c r="K1985" s="37" t="str">
        <x:v>0.00</x:v>
      </x:c>
      <x:c r="L1985" s="37" t="str">
        <x:v>450</x:v>
      </x:c>
      <x:c r="M1985" s="29" t="str">
        <x:v>271.03</x:v>
      </x:c>
      <x:c r="N1985" s="29" t="str">
        <x:v>224.28</x:v>
      </x:c>
      <x:c r="O1985" s="29" t="str">
        <x:v>46.75</x:v>
      </x:c>
      <x:c r="P1985" s="18" t="str">
        <x:v>2026-07-08</x:v>
      </x:c>
      <x:c r="Q1985" s="36" t="n">
        <x:v>46211</x:v>
      </x:c>
    </x:row>
    <x:row r="1986">
      <x:c r="A1986" s="36" t="str">
        <x:v>2026-07-08</x:v>
      </x:c>
      <x:c r="B1986" s="18" t="str">
        <x:v>101437000_98865</x:v>
      </x:c>
      <x:c r="C1986" s="18" t="str">
        <x:v>【沪村小电】欣松苑充电站</x:v>
      </x:c>
      <x:c r="D1986" s="37" t="str">
        <x:v>4</x:v>
      </x:c>
      <x:c r="E1986" s="37" t="str">
        <x:v>0</x:v>
      </x:c>
      <x:c r="F1986" s="37" t="str">
        <x:v>11</x:v>
      </x:c>
      <x:c r="G1986" s="37" t="str">
        <x:v>353.20</x:v>
      </x:c>
      <x:c r="H1986" s="37" t="str">
        <x:v>0.00</x:v>
      </x:c>
      <x:c r="I1986" s="37" t="str">
        <x:v>224.64</x:v>
      </x:c>
      <x:c r="J1986" s="37" t="str">
        <x:v>0.00</x:v>
      </x:c>
      <x:c r="K1986" s="37" t="str">
        <x:v>128.56</x:v>
      </x:c>
      <x:c r="L1986" s="37" t="str">
        <x:v>517</x:v>
      </x:c>
      <x:c r="M1986" s="29" t="str">
        <x:v>290.06</x:v>
      </x:c>
      <x:c r="N1986" s="29" t="str">
        <x:v>215.10</x:v>
      </x:c>
      <x:c r="O1986" s="29" t="str">
        <x:v>74.96</x:v>
      </x:c>
      <x:c r="P1986" s="18" t="str">
        <x:v>2026-07-08</x:v>
      </x:c>
      <x:c r="Q1986" s="36" t="n">
        <x:v>46211</x:v>
      </x:c>
    </x:row>
    <x:row r="1987">
      <x:c r="A1987" s="36" t="str">
        <x:v>2026-07-08</x:v>
      </x:c>
      <x:c r="B1987" s="18" t="str">
        <x:v>101437000_98867</x:v>
      </x:c>
      <x:c r="C1987" s="18" t="str">
        <x:v>【沪村小电】欣荷苑充电站</x:v>
      </x:c>
      <x:c r="D1987" s="37" t="str">
        <x:v>4</x:v>
      </x:c>
      <x:c r="E1987" s="37" t="str">
        <x:v>0</x:v>
      </x:c>
      <x:c r="F1987" s="37" t="str">
        <x:v>16</x:v>
      </x:c>
      <x:c r="G1987" s="37" t="str">
        <x:v>454.57</x:v>
      </x:c>
      <x:c r="H1987" s="37" t="str">
        <x:v>0.00</x:v>
      </x:c>
      <x:c r="I1987" s="37" t="str">
        <x:v>387.03</x:v>
      </x:c>
      <x:c r="J1987" s="37" t="str">
        <x:v>0.00</x:v>
      </x:c>
      <x:c r="K1987" s="37" t="str">
        <x:v>67.54</x:v>
      </x:c>
      <x:c r="L1987" s="37" t="str">
        <x:v>645</x:v>
      </x:c>
      <x:c r="M1987" s="29" t="str">
        <x:v>411.00</x:v>
      </x:c>
      <x:c r="N1987" s="29" t="str">
        <x:v>312.08</x:v>
      </x:c>
      <x:c r="O1987" s="29" t="str">
        <x:v>98.92</x:v>
      </x:c>
      <x:c r="P1987" s="18" t="str">
        <x:v>2026-07-08</x:v>
      </x:c>
      <x:c r="Q1987" s="36" t="n">
        <x:v>46211</x:v>
      </x:c>
    </x:row>
    <x:row r="1988">
      <x:c r="A1988" s="36" t="str">
        <x:v>2026-07-08</x:v>
      </x:c>
      <x:c r="B1988" s="18" t="str">
        <x:v>101437000_99885</x:v>
      </x:c>
      <x:c r="C1988" s="18" t="str">
        <x:v>【沪村小电】汇丰馨苑充电站</x:v>
      </x:c>
      <x:c r="D1988" s="37" t="str">
        <x:v>4</x:v>
      </x:c>
      <x:c r="E1988" s="37" t="str">
        <x:v>0</x:v>
      </x:c>
      <x:c r="F1988" s="37" t="str">
        <x:v>8</x:v>
      </x:c>
      <x:c r="G1988" s="37" t="str">
        <x:v>172.34</x:v>
      </x:c>
      <x:c r="H1988" s="37" t="str">
        <x:v>0.00</x:v>
      </x:c>
      <x:c r="I1988" s="37" t="str">
        <x:v>41.93</x:v>
      </x:c>
      <x:c r="J1988" s="37" t="str">
        <x:v>79.97</x:v>
      </x:c>
      <x:c r="K1988" s="37" t="str">
        <x:v>50.44</x:v>
      </x:c>
      <x:c r="L1988" s="37" t="str">
        <x:v>266</x:v>
      </x:c>
      <x:c r="M1988" s="29" t="str">
        <x:v>166.78</x:v>
      </x:c>
      <x:c r="N1988" s="29" t="str">
        <x:v>126.30</x:v>
      </x:c>
      <x:c r="O1988" s="29" t="str">
        <x:v>40.48</x:v>
      </x:c>
      <x:c r="P1988" s="18" t="str">
        <x:v>2026-07-08</x:v>
      </x:c>
      <x:c r="Q1988" s="36" t="n">
        <x:v>46211</x:v>
      </x:c>
    </x:row>
    <x:row r="1989">
      <x:c r="A1989" s="36" t="str">
        <x:v>2026-07-08</x:v>
      </x:c>
      <x:c r="B1989" s="18" t="str">
        <x:v>101437000_99887</x:v>
      </x:c>
      <x:c r="C1989" s="18" t="str">
        <x:v>【沪村小电】新南村河南小区充电站</x:v>
      </x:c>
      <x:c r="D1989" s="37" t="str">
        <x:v>2</x:v>
      </x:c>
      <x:c r="E1989" s="37" t="str">
        <x:v>0</x:v>
      </x:c>
      <x:c r="F1989" s="37" t="str">
        <x:v>15</x:v>
      </x:c>
      <x:c r="G1989" s="37" t="str">
        <x:v>507.06</x:v>
      </x:c>
      <x:c r="H1989" s="37" t="str">
        <x:v>0.00</x:v>
      </x:c>
      <x:c r="I1989" s="37" t="str">
        <x:v>396.17</x:v>
      </x:c>
      <x:c r="J1989" s="37" t="str">
        <x:v>0.00</x:v>
      </x:c>
      <x:c r="K1989" s="37" t="str">
        <x:v>110.89</x:v>
      </x:c>
      <x:c r="L1989" s="37" t="str">
        <x:v>754</x:v>
      </x:c>
      <x:c r="M1989" s="29" t="str">
        <x:v>435.72</x:v>
      </x:c>
      <x:c r="N1989" s="29" t="str">
        <x:v>335.29</x:v>
      </x:c>
      <x:c r="O1989" s="29" t="str">
        <x:v>100.43</x:v>
      </x:c>
      <x:c r="P1989" s="18" t="str">
        <x:v>2026-07-08</x:v>
      </x:c>
      <x:c r="Q1989" s="36" t="n">
        <x:v>46211</x:v>
      </x:c>
    </x:row>
    <x:row r="1990">
      <x:c r="A1990" s="36" t="str">
        <x:v>2026-07-08</x:v>
      </x:c>
      <x:c r="B1990" s="18" t="str">
        <x:v>101437000_99889</x:v>
      </x:c>
      <x:c r="C1990" s="18" t="str">
        <x:v>【沪村小电】漕泾郊野公园</x:v>
      </x:c>
      <x:c r="D1990" s="37" t="str">
        <x:v>2</x:v>
      </x:c>
      <x:c r="E1990" s="37" t="str">
        <x:v>0</x:v>
      </x:c>
      <x:c r="F1990" s="37" t="str">
        <x:v>9</x:v>
      </x:c>
      <x:c r="G1990" s="37" t="str">
        <x:v>237.13</x:v>
      </x:c>
      <x:c r="H1990" s="37" t="str">
        <x:v>0.00</x:v>
      </x:c>
      <x:c r="I1990" s="37" t="str">
        <x:v>98.97</x:v>
      </x:c>
      <x:c r="J1990" s="37" t="str">
        <x:v>72.86</x:v>
      </x:c>
      <x:c r="K1990" s="37" t="str">
        <x:v>65.30</x:v>
      </x:c>
      <x:c r="L1990" s="37" t="str">
        <x:v>361</x:v>
      </x:c>
      <x:c r="M1990" s="29" t="str">
        <x:v>245.97</x:v>
      </x:c>
      <x:c r="N1990" s="29" t="str">
        <x:v>186.70</x:v>
      </x:c>
      <x:c r="O1990" s="29" t="str">
        <x:v>59.27</x:v>
      </x:c>
      <x:c r="P1990" s="18" t="str">
        <x:v>2026-07-08</x:v>
      </x:c>
      <x:c r="Q1990" s="36" t="n">
        <x:v>46211</x:v>
      </x:c>
    </x:row>
    <x:row r="1991">
      <x:c r="A1991" s="36" t="str">
        <x:v>2026-07-08</x:v>
      </x:c>
      <x:c r="B1991" s="18" t="str">
        <x:v>101437000_99891</x:v>
      </x:c>
      <x:c r="C1991" s="18" t="str">
        <x:v>【沪村小电】水韵紫城充电站</x:v>
      </x:c>
      <x:c r="D1991" s="37" t="str">
        <x:v>4</x:v>
      </x:c>
      <x:c r="E1991" s="37" t="str">
        <x:v>0</x:v>
      </x:c>
      <x:c r="F1991" s="37" t="str">
        <x:v>16</x:v>
      </x:c>
      <x:c r="G1991" s="37" t="str">
        <x:v>496.85</x:v>
      </x:c>
      <x:c r="H1991" s="37" t="str">
        <x:v>0.00</x:v>
      </x:c>
      <x:c r="I1991" s="37" t="str">
        <x:v>302.70</x:v>
      </x:c>
      <x:c r="J1991" s="37" t="str">
        <x:v>0.00</x:v>
      </x:c>
      <x:c r="K1991" s="37" t="str">
        <x:v>194.15</x:v>
      </x:c>
      <x:c r="L1991" s="37" t="str">
        <x:v>663</x:v>
      </x:c>
      <x:c r="M1991" s="29" t="str">
        <x:v>474.08</x:v>
      </x:c>
      <x:c r="N1991" s="29" t="str">
        <x:v>297.78</x:v>
      </x:c>
      <x:c r="O1991" s="29" t="str">
        <x:v>176.30</x:v>
      </x:c>
      <x:c r="P1991" s="18" t="str">
        <x:v>2026-07-08</x:v>
      </x:c>
      <x:c r="Q1991" s="36" t="n">
        <x:v>46211</x:v>
      </x:c>
    </x:row>
    <x:row r="1992">
      <x:c r="A1992" s="36" t="str">
        <x:v>2026-07-07</x:v>
      </x:c>
      <x:c r="B1992" s="18" t="str">
        <x:v>101437000_41561</x:v>
      </x:c>
      <x:c r="C1992" s="18" t="str">
        <x:v>【沪村小电】张施小区大门处快充站</x:v>
      </x:c>
      <x:c r="D1992" s="37" t="str">
        <x:v>2</x:v>
      </x:c>
      <x:c r="E1992" s="37" t="str">
        <x:v>0</x:v>
      </x:c>
      <x:c r="F1992" s="37" t="str">
        <x:v>59</x:v>
      </x:c>
      <x:c r="G1992" s="37" t="str">
        <x:v>1551.14</x:v>
      </x:c>
      <x:c r="H1992" s="37" t="str">
        <x:v>0.00</x:v>
      </x:c>
      <x:c r="I1992" s="37" t="str">
        <x:v>779.73</x:v>
      </x:c>
      <x:c r="J1992" s="37" t="str">
        <x:v>0.00</x:v>
      </x:c>
      <x:c r="K1992" s="37" t="str">
        <x:v>771.41</x:v>
      </x:c>
      <x:c r="L1992" s="37" t="str">
        <x:v>2765</x:v>
      </x:c>
      <x:c r="M1992" s="29" t="str">
        <x:v>1165.94</x:v>
      </x:c>
      <x:c r="N1992" s="29" t="str">
        <x:v>870.11</x:v>
      </x:c>
      <x:c r="O1992" s="29" t="str">
        <x:v>295.83</x:v>
      </x:c>
      <x:c r="P1992" s="18" t="str">
        <x:v>2026-07-07</x:v>
      </x:c>
      <x:c r="Q1992" s="36" t="n">
        <x:v>46210</x:v>
      </x:c>
    </x:row>
    <x:row r="1993">
      <x:c r="A1993" s="36" t="str">
        <x:v>2026-07-07</x:v>
      </x:c>
      <x:c r="B1993" s="18" t="str">
        <x:v>101437000_41563</x:v>
      </x:c>
      <x:c r="C1993" s="18" t="str">
        <x:v>【沪村小电】同心村快充站</x:v>
      </x:c>
      <x:c r="D1993" s="37" t="str">
        <x:v>4</x:v>
      </x:c>
      <x:c r="E1993" s="37" t="str">
        <x:v>0</x:v>
      </x:c>
      <x:c r="F1993" s="37" t="str">
        <x:v>81</x:v>
      </x:c>
      <x:c r="G1993" s="37" t="str">
        <x:v>1416.48</x:v>
      </x:c>
      <x:c r="H1993" s="37" t="str">
        <x:v>0.00</x:v>
      </x:c>
      <x:c r="I1993" s="37" t="str">
        <x:v>1042.35</x:v>
      </x:c>
      <x:c r="J1993" s="37" t="str">
        <x:v>0.00</x:v>
      </x:c>
      <x:c r="K1993" s="37" t="str">
        <x:v>374.12</x:v>
      </x:c>
      <x:c r="L1993" s="37" t="str">
        <x:v>3902</x:v>
      </x:c>
      <x:c r="M1993" s="29" t="str">
        <x:v>1208.30</x:v>
      </x:c>
      <x:c r="N1993" s="29" t="str">
        <x:v>853.93</x:v>
      </x:c>
      <x:c r="O1993" s="29" t="str">
        <x:v>354.37</x:v>
      </x:c>
      <x:c r="P1993" s="18" t="str">
        <x:v>2026-07-07</x:v>
      </x:c>
      <x:c r="Q1993" s="36" t="n">
        <x:v>46210</x:v>
      </x:c>
    </x:row>
    <x:row r="1994">
      <x:c r="A1994" s="36" t="str">
        <x:v>2026-07-07</x:v>
      </x:c>
      <x:c r="B1994" s="18" t="str">
        <x:v>101437000_69629</x:v>
      </x:c>
      <x:c r="C1994" s="18" t="str">
        <x:v>【沪村小电】骏丰玲珑坊西苑充电站</x:v>
      </x:c>
      <x:c r="D1994" s="37" t="str">
        <x:v>2</x:v>
      </x:c>
      <x:c r="E1994" s="37" t="str">
        <x:v>0</x:v>
      </x:c>
      <x:c r="F1994" s="37" t="str">
        <x:v>77</x:v>
      </x:c>
      <x:c r="G1994" s="37" t="str">
        <x:v>1751.73</x:v>
      </x:c>
      <x:c r="H1994" s="37" t="str">
        <x:v>0.00</x:v>
      </x:c>
      <x:c r="I1994" s="37" t="str">
        <x:v>1095.71</x:v>
      </x:c>
      <x:c r="J1994" s="37" t="str">
        <x:v>0.00</x:v>
      </x:c>
      <x:c r="K1994" s="37" t="str">
        <x:v>656.01</x:v>
      </x:c>
      <x:c r="L1994" s="37" t="str">
        <x:v>3167</x:v>
      </x:c>
      <x:c r="M1994" s="29" t="str">
        <x:v>1432.83</x:v>
      </x:c>
      <x:c r="N1994" s="29" t="str">
        <x:v>1060.11</x:v>
      </x:c>
      <x:c r="O1994" s="29" t="str">
        <x:v>372.72</x:v>
      </x:c>
      <x:c r="P1994" s="18" t="str">
        <x:v>2026-07-07</x:v>
      </x:c>
      <x:c r="Q1994" s="36" t="n">
        <x:v>46210</x:v>
      </x:c>
    </x:row>
    <x:row r="1995">
      <x:c r="A1995" s="36" t="str">
        <x:v>2026-07-07</x:v>
      </x:c>
      <x:c r="B1995" s="18" t="str">
        <x:v>101437000_70547</x:v>
      </x:c>
      <x:c r="C1995" s="18" t="str">
        <x:v>【沪村小电】农建村初心馆党群服务中心充电站</x:v>
      </x:c>
      <x:c r="D1995" s="37" t="str">
        <x:v>4</x:v>
      </x:c>
      <x:c r="E1995" s="37" t="str">
        <x:v>0</x:v>
      </x:c>
      <x:c r="F1995" s="37" t="str">
        <x:v>41</x:v>
      </x:c>
      <x:c r="G1995" s="37" t="str">
        <x:v>862.15</x:v>
      </x:c>
      <x:c r="H1995" s="37" t="str">
        <x:v>0.00</x:v>
      </x:c>
      <x:c r="I1995" s="37" t="str">
        <x:v>468.81</x:v>
      </x:c>
      <x:c r="J1995" s="37" t="str">
        <x:v>0.00</x:v>
      </x:c>
      <x:c r="K1995" s="37" t="str">
        <x:v>393.34</x:v>
      </x:c>
      <x:c r="L1995" s="37" t="str">
        <x:v>1589</x:v>
      </x:c>
      <x:c r="M1995" s="29" t="str">
        <x:v>811.48</x:v>
      </x:c>
      <x:c r="N1995" s="29" t="str">
        <x:v>696.02</x:v>
      </x:c>
      <x:c r="O1995" s="29" t="str">
        <x:v>115.46</x:v>
      </x:c>
      <x:c r="P1995" s="18" t="str">
        <x:v>2026-07-07</x:v>
      </x:c>
      <x:c r="Q1995" s="36" t="n">
        <x:v>46210</x:v>
      </x:c>
    </x:row>
    <x:row r="1996">
      <x:c r="A1996" s="36" t="str">
        <x:v>2026-07-07</x:v>
      </x:c>
      <x:c r="B1996" s="18" t="str">
        <x:v>101437000_70549</x:v>
      </x:c>
      <x:c r="C1996" s="18" t="str">
        <x:v>【沪村小电】学府路充电站</x:v>
      </x:c>
      <x:c r="D1996" s="37" t="str">
        <x:v>2</x:v>
      </x:c>
      <x:c r="E1996" s="37" t="str">
        <x:v>0</x:v>
      </x:c>
      <x:c r="F1996" s="37" t="str">
        <x:v>10</x:v>
      </x:c>
      <x:c r="G1996" s="37" t="str">
        <x:v>222.45</x:v>
      </x:c>
      <x:c r="H1996" s="37" t="str">
        <x:v>0.00</x:v>
      </x:c>
      <x:c r="I1996" s="37" t="str">
        <x:v>135.46</x:v>
      </x:c>
      <x:c r="J1996" s="37" t="str">
        <x:v>0.00</x:v>
      </x:c>
      <x:c r="K1996" s="37" t="str">
        <x:v>86.99</x:v>
      </x:c>
      <x:c r="L1996" s="37" t="str">
        <x:v>448</x:v>
      </x:c>
      <x:c r="M1996" s="29" t="str">
        <x:v>239.42</x:v>
      </x:c>
      <x:c r="N1996" s="29" t="str">
        <x:v>186.98</x:v>
      </x:c>
      <x:c r="O1996" s="29" t="str">
        <x:v>52.44</x:v>
      </x:c>
      <x:c r="P1996" s="18" t="str">
        <x:v>2026-07-07</x:v>
      </x:c>
      <x:c r="Q1996" s="36" t="n">
        <x:v>46210</x:v>
      </x:c>
    </x:row>
    <x:row r="1997">
      <x:c r="A1997" s="36" t="str">
        <x:v>2026-07-07</x:v>
      </x:c>
      <x:c r="B1997" s="18" t="str">
        <x:v>101437000_71059</x:v>
      </x:c>
      <x:c r="C1997" s="18" t="str">
        <x:v>【沪村小电】宝乐汇商业广场站</x:v>
      </x:c>
      <x:c r="D1997" s="37" t="str">
        <x:v>4</x:v>
      </x:c>
      <x:c r="E1997" s="37" t="str">
        <x:v>0</x:v>
      </x:c>
      <x:c r="F1997" s="37" t="str">
        <x:v>14</x:v>
      </x:c>
      <x:c r="G1997" s="37" t="str">
        <x:v>360.26</x:v>
      </x:c>
      <x:c r="H1997" s="37" t="str">
        <x:v>18.44</x:v>
      </x:c>
      <x:c r="I1997" s="37" t="str">
        <x:v>80.06</x:v>
      </x:c>
      <x:c r="J1997" s="37" t="str">
        <x:v>79.44</x:v>
      </x:c>
      <x:c r="K1997" s="37" t="str">
        <x:v>182.31</x:v>
      </x:c>
      <x:c r="L1997" s="37" t="str">
        <x:v>553</x:v>
      </x:c>
      <x:c r="M1997" s="29" t="str">
        <x:v>316.33</x:v>
      </x:c>
      <x:c r="N1997" s="29" t="str">
        <x:v>245.68</x:v>
      </x:c>
      <x:c r="O1997" s="29" t="str">
        <x:v>70.65</x:v>
      </x:c>
      <x:c r="P1997" s="18" t="str">
        <x:v>2026-07-07</x:v>
      </x:c>
      <x:c r="Q1997" s="36" t="n">
        <x:v>46210</x:v>
      </x:c>
    </x:row>
    <x:row r="1998">
      <x:c r="A1998" s="36" t="str">
        <x:v>2026-07-07</x:v>
      </x:c>
      <x:c r="B1998" s="18" t="str">
        <x:v>101437000_72541</x:v>
      </x:c>
      <x:c r="C1998" s="18" t="str">
        <x:v>【沪村小电】九干路1174弄充电站</x:v>
      </x:c>
      <x:c r="D1998" s="37" t="str">
        <x:v>2</x:v>
      </x:c>
      <x:c r="E1998" s="37" t="str">
        <x:v>0</x:v>
      </x:c>
      <x:c r="F1998" s="37" t="str">
        <x:v>61</x:v>
      </x:c>
      <x:c r="G1998" s="37" t="str">
        <x:v>829.57</x:v>
      </x:c>
      <x:c r="H1998" s="37" t="str">
        <x:v>0.00</x:v>
      </x:c>
      <x:c r="I1998" s="37" t="str">
        <x:v>575.24</x:v>
      </x:c>
      <x:c r="J1998" s="37" t="str">
        <x:v>0.00</x:v>
      </x:c>
      <x:c r="K1998" s="37" t="str">
        <x:v>254.33</x:v>
      </x:c>
      <x:c r="L1998" s="37" t="str">
        <x:v>1145</x:v>
      </x:c>
      <x:c r="M1998" s="29" t="str">
        <x:v>706.78</x:v>
      </x:c>
      <x:c r="N1998" s="29" t="str">
        <x:v>522.31</x:v>
      </x:c>
      <x:c r="O1998" s="29" t="str">
        <x:v>184.47</x:v>
      </x:c>
      <x:c r="P1998" s="18" t="str">
        <x:v>2026-07-07</x:v>
      </x:c>
      <x:c r="Q1998" s="36" t="n">
        <x:v>46210</x:v>
      </x:c>
    </x:row>
    <x:row r="1999">
      <x:c r="A1999" s="36" t="str">
        <x:v>2026-07-07</x:v>
      </x:c>
      <x:c r="B1999" s="18" t="str">
        <x:v>101437000_72543</x:v>
      </x:c>
      <x:c r="C1999" s="18" t="str">
        <x:v>【沪村小电】叶家中心村小区充电站</x:v>
      </x:c>
      <x:c r="D1999" s="37" t="str">
        <x:v>2</x:v>
      </x:c>
      <x:c r="E1999" s="37" t="str">
        <x:v>0</x:v>
      </x:c>
      <x:c r="F1999" s="37" t="str">
        <x:v>51</x:v>
      </x:c>
      <x:c r="G1999" s="37" t="str">
        <x:v>1423.26</x:v>
      </x:c>
      <x:c r="H1999" s="37" t="str">
        <x:v>0.00</x:v>
      </x:c>
      <x:c r="I1999" s="37" t="str">
        <x:v>713.89</x:v>
      </x:c>
      <x:c r="J1999" s="37" t="str">
        <x:v>0.00</x:v>
      </x:c>
      <x:c r="K1999" s="37" t="str">
        <x:v>709.37</x:v>
      </x:c>
      <x:c r="L1999" s="37" t="str">
        <x:v>2456</x:v>
      </x:c>
      <x:c r="M1999" s="29" t="str">
        <x:v>1065.45</x:v>
      </x:c>
      <x:c r="N1999" s="29" t="str">
        <x:v>797.82</x:v>
      </x:c>
      <x:c r="O1999" s="29" t="str">
        <x:v>267.63</x:v>
      </x:c>
      <x:c r="P1999" s="18" t="str">
        <x:v>2026-07-07</x:v>
      </x:c>
      <x:c r="Q1999" s="36" t="n">
        <x:v>46210</x:v>
      </x:c>
    </x:row>
    <x:row r="2000">
      <x:c r="A2000" s="36" t="str">
        <x:v>2026-07-07</x:v>
      </x:c>
      <x:c r="B2000" s="18" t="str">
        <x:v>101437000_72937</x:v>
      </x:c>
      <x:c r="C2000" s="18" t="str">
        <x:v>【沪村小电】佘北家园茸腾苑充电站</x:v>
      </x:c>
      <x:c r="D2000" s="37" t="str">
        <x:v>4</x:v>
      </x:c>
      <x:c r="E2000" s="37" t="str">
        <x:v>0</x:v>
      </x:c>
      <x:c r="F2000" s="37" t="str">
        <x:v>24</x:v>
      </x:c>
      <x:c r="G2000" s="37" t="str">
        <x:v>595.07</x:v>
      </x:c>
      <x:c r="H2000" s="37" t="str">
        <x:v>0.00</x:v>
      </x:c>
      <x:c r="I2000" s="37" t="str">
        <x:v>595.07</x:v>
      </x:c>
      <x:c r="J2000" s="37" t="str">
        <x:v>0.00</x:v>
      </x:c>
      <x:c r="K2000" s="37" t="str">
        <x:v>0.00</x:v>
      </x:c>
      <x:c r="L2000" s="37" t="str">
        <x:v>1021</x:v>
      </x:c>
      <x:c r="M2000" s="29" t="str">
        <x:v>538.26</x:v>
      </x:c>
      <x:c r="N2000" s="29" t="str">
        <x:v>440.36</x:v>
      </x:c>
      <x:c r="O2000" s="29" t="str">
        <x:v>97.90</x:v>
      </x:c>
      <x:c r="P2000" s="18" t="str">
        <x:v>2026-07-07</x:v>
      </x:c>
      <x:c r="Q2000" s="36" t="n">
        <x:v>46210</x:v>
      </x:c>
    </x:row>
    <x:row r="2001">
      <x:c r="A2001" s="36" t="str">
        <x:v>2026-07-07</x:v>
      </x:c>
      <x:c r="B2001" s="18" t="str">
        <x:v>101437000_74223</x:v>
      </x:c>
      <x:c r="C2001" s="18" t="str">
        <x:v>【沪村小电】中兴村委会充电站</x:v>
      </x:c>
      <x:c r="D2001" s="37" t="str">
        <x:v>2</x:v>
      </x:c>
      <x:c r="E2001" s="37" t="str">
        <x:v>0</x:v>
      </x:c>
      <x:c r="F2001" s="37" t="str">
        <x:v>27</x:v>
      </x:c>
      <x:c r="G2001" s="37" t="str">
        <x:v>710.35</x:v>
      </x:c>
      <x:c r="H2001" s="37" t="str">
        <x:v>0.00</x:v>
      </x:c>
      <x:c r="I2001" s="37" t="str">
        <x:v>505.90</x:v>
      </x:c>
      <x:c r="J2001" s="37" t="str">
        <x:v>0.00</x:v>
      </x:c>
      <x:c r="K2001" s="37" t="str">
        <x:v>204.45</x:v>
      </x:c>
      <x:c r="L2001" s="37" t="str">
        <x:v>987</x:v>
      </x:c>
      <x:c r="M2001" s="29" t="str">
        <x:v>760.02</x:v>
      </x:c>
      <x:c r="N2001" s="29" t="str">
        <x:v>634.52</x:v>
      </x:c>
      <x:c r="O2001" s="29" t="str">
        <x:v>125.50</x:v>
      </x:c>
      <x:c r="P2001" s="18" t="str">
        <x:v>2026-07-07</x:v>
      </x:c>
      <x:c r="Q2001" s="36" t="n">
        <x:v>46210</x:v>
      </x:c>
    </x:row>
    <x:row r="2002">
      <x:c r="A2002" s="36" t="str">
        <x:v>2026-07-07</x:v>
      </x:c>
      <x:c r="B2002" s="18" t="str">
        <x:v>101437000_74801</x:v>
      </x:c>
      <x:c r="C2002" s="18" t="str">
        <x:v>【沪村小电】申良花园充电站</x:v>
      </x:c>
      <x:c r="D2002" s="37" t="str">
        <x:v>4</x:v>
      </x:c>
      <x:c r="E2002" s="37" t="str">
        <x:v>0</x:v>
      </x:c>
      <x:c r="F2002" s="37" t="str">
        <x:v>12</x:v>
      </x:c>
      <x:c r="G2002" s="37" t="str">
        <x:v>269.72</x:v>
      </x:c>
      <x:c r="H2002" s="37" t="str">
        <x:v>0.00</x:v>
      </x:c>
      <x:c r="I2002" s="37" t="str">
        <x:v>269.72</x:v>
      </x:c>
      <x:c r="J2002" s="37" t="str">
        <x:v>0.00</x:v>
      </x:c>
      <x:c r="K2002" s="37" t="str">
        <x:v>0.00</x:v>
      </x:c>
      <x:c r="L2002" s="37" t="str">
        <x:v>321</x:v>
      </x:c>
      <x:c r="M2002" s="29" t="str">
        <x:v>317.65</x:v>
      </x:c>
      <x:c r="N2002" s="29" t="str">
        <x:v>199.62</x:v>
      </x:c>
      <x:c r="O2002" s="29" t="str">
        <x:v>118.03</x:v>
      </x:c>
      <x:c r="P2002" s="18" t="str">
        <x:v>2026-07-07</x:v>
      </x:c>
      <x:c r="Q2002" s="36" t="n">
        <x:v>46210</x:v>
      </x:c>
    </x:row>
    <x:row r="2003">
      <x:c r="A2003" s="36" t="str">
        <x:v>2026-07-07</x:v>
      </x:c>
      <x:c r="B2003" s="18" t="str">
        <x:v>101437000_74931</x:v>
      </x:c>
      <x:c r="C2003" s="18" t="str">
        <x:v>【沪村小电】枫雅南居充电站</x:v>
      </x:c>
      <x:c r="D2003" s="37" t="str">
        <x:v>2</x:v>
      </x:c>
      <x:c r="E2003" s="37" t="str">
        <x:v>0</x:v>
      </x:c>
      <x:c r="F2003" s="37" t="str">
        <x:v>9</x:v>
      </x:c>
      <x:c r="G2003" s="37" t="str">
        <x:v>182.28</x:v>
      </x:c>
      <x:c r="H2003" s="37" t="str">
        <x:v>0.00</x:v>
      </x:c>
      <x:c r="I2003" s="37" t="str">
        <x:v>144.21</x:v>
      </x:c>
      <x:c r="J2003" s="37" t="str">
        <x:v>0.00</x:v>
      </x:c>
      <x:c r="K2003" s="37" t="str">
        <x:v>38.08</x:v>
      </x:c>
      <x:c r="L2003" s="37" t="str">
        <x:v>328</x:v>
      </x:c>
      <x:c r="M2003" s="29" t="str">
        <x:v>137.77</x:v>
      </x:c>
      <x:c r="N2003" s="29" t="str">
        <x:v>96.88</x:v>
      </x:c>
      <x:c r="O2003" s="29" t="str">
        <x:v>40.89</x:v>
      </x:c>
      <x:c r="P2003" s="18" t="str">
        <x:v>2026-07-07</x:v>
      </x:c>
      <x:c r="Q2003" s="36" t="n">
        <x:v>46210</x:v>
      </x:c>
    </x:row>
    <x:row r="2004">
      <x:c r="A2004" s="36" t="str">
        <x:v>2026-07-07</x:v>
      </x:c>
      <x:c r="B2004" s="18" t="str">
        <x:v>101437000_75901</x:v>
      </x:c>
      <x:c r="C2004" s="18" t="str">
        <x:v>【沪村小电】金悦学府</x:v>
      </x:c>
      <x:c r="D2004" s="37" t="str">
        <x:v>2</x:v>
      </x:c>
      <x:c r="E2004" s="37" t="str">
        <x:v>0</x:v>
      </x:c>
      <x:c r="F2004" s="37" t="str">
        <x:v>9</x:v>
      </x:c>
      <x:c r="G2004" s="37" t="str">
        <x:v>229.64</x:v>
      </x:c>
      <x:c r="H2004" s="37" t="str">
        <x:v>0.00</x:v>
      </x:c>
      <x:c r="I2004" s="37" t="str">
        <x:v>137.59</x:v>
      </x:c>
      <x:c r="J2004" s="37" t="str">
        <x:v>0.00</x:v>
      </x:c>
      <x:c r="K2004" s="37" t="str">
        <x:v>92.05</x:v>
      </x:c>
      <x:c r="L2004" s="37" t="str">
        <x:v>303</x:v>
      </x:c>
      <x:c r="M2004" s="29" t="str">
        <x:v>177.93</x:v>
      </x:c>
      <x:c r="N2004" s="29" t="str">
        <x:v>109.71</x:v>
      </x:c>
      <x:c r="O2004" s="29" t="str">
        <x:v>68.22</x:v>
      </x:c>
      <x:c r="P2004" s="18" t="str">
        <x:v>2026-07-07</x:v>
      </x:c>
      <x:c r="Q2004" s="36" t="n">
        <x:v>46210</x:v>
      </x:c>
    </x:row>
    <x:row r="2005">
      <x:c r="A2005" s="36" t="str">
        <x:v>2026-07-07</x:v>
      </x:c>
      <x:c r="B2005" s="18" t="str">
        <x:v>101437000_76091</x:v>
      </x:c>
      <x:c r="C2005" s="18" t="str">
        <x:v>【沪村小电】恒信家园充电站</x:v>
      </x:c>
      <x:c r="D2005" s="37" t="str">
        <x:v>2</x:v>
      </x:c>
      <x:c r="E2005" s="37" t="str">
        <x:v>0</x:v>
      </x:c>
      <x:c r="F2005" s="37" t="str">
        <x:v>55</x:v>
      </x:c>
      <x:c r="G2005" s="37" t="str">
        <x:v>926.91</x:v>
      </x:c>
      <x:c r="H2005" s="37" t="str">
        <x:v>0.00</x:v>
      </x:c>
      <x:c r="I2005" s="37" t="str">
        <x:v>631.46</x:v>
      </x:c>
      <x:c r="J2005" s="37" t="str">
        <x:v>0.00</x:v>
      </x:c>
      <x:c r="K2005" s="37" t="str">
        <x:v>295.46</x:v>
      </x:c>
      <x:c r="L2005" s="37" t="str">
        <x:v>1512</x:v>
      </x:c>
      <x:c r="M2005" s="29" t="str">
        <x:v>873.58</x:v>
      </x:c>
      <x:c r="N2005" s="29" t="str">
        <x:v>579.55</x:v>
      </x:c>
      <x:c r="O2005" s="29" t="str">
        <x:v>294.03</x:v>
      </x:c>
      <x:c r="P2005" s="18" t="str">
        <x:v>2026-07-07</x:v>
      </x:c>
      <x:c r="Q2005" s="36" t="n">
        <x:v>46210</x:v>
      </x:c>
    </x:row>
    <x:row r="2006">
      <x:c r="A2006" s="36" t="str">
        <x:v>2026-07-07</x:v>
      </x:c>
      <x:c r="B2006" s="18" t="str">
        <x:v>101437000_76417</x:v>
      </x:c>
      <x:c r="C2006" s="18" t="str">
        <x:v>【沪村小电】新春一组充电站</x:v>
      </x:c>
      <x:c r="D2006" s="37" t="str">
        <x:v>2</x:v>
      </x:c>
      <x:c r="E2006" s="37" t="str">
        <x:v>0</x:v>
      </x:c>
      <x:c r="F2006" s="37" t="str">
        <x:v>21</x:v>
      </x:c>
      <x:c r="G2006" s="37" t="str">
        <x:v>564.03</x:v>
      </x:c>
      <x:c r="H2006" s="37" t="str">
        <x:v>0.00</x:v>
      </x:c>
      <x:c r="I2006" s="37" t="str">
        <x:v>235.28</x:v>
      </x:c>
      <x:c r="J2006" s="37" t="str">
        <x:v>0.00</x:v>
      </x:c>
      <x:c r="K2006" s="37" t="str">
        <x:v>328.75</x:v>
      </x:c>
      <x:c r="L2006" s="37" t="str">
        <x:v>937</x:v>
      </x:c>
      <x:c r="M2006" s="29" t="str">
        <x:v>509.83</x:v>
      </x:c>
      <x:c r="N2006" s="29" t="str">
        <x:v>418.92</x:v>
      </x:c>
      <x:c r="O2006" s="29" t="str">
        <x:v>90.91</x:v>
      </x:c>
      <x:c r="P2006" s="18" t="str">
        <x:v>2026-07-07</x:v>
      </x:c>
      <x:c r="Q2006" s="36" t="n">
        <x:v>46210</x:v>
      </x:c>
    </x:row>
    <x:row r="2007">
      <x:c r="A2007" s="36" t="str">
        <x:v>2026-07-07</x:v>
      </x:c>
      <x:c r="B2007" s="18" t="str">
        <x:v>101437000_78235</x:v>
      </x:c>
      <x:c r="C2007" s="18" t="str">
        <x:v>【沪村小电】欣秋苑充电站</x:v>
      </x:c>
      <x:c r="D2007" s="37" t="str">
        <x:v>4</x:v>
      </x:c>
      <x:c r="E2007" s="37" t="str">
        <x:v>0</x:v>
      </x:c>
      <x:c r="F2007" s="37" t="str">
        <x:v>28</x:v>
      </x:c>
      <x:c r="G2007" s="37" t="str">
        <x:v>747.22</x:v>
      </x:c>
      <x:c r="H2007" s="37" t="str">
        <x:v>0.00</x:v>
      </x:c>
      <x:c r="I2007" s="37" t="str">
        <x:v>571.96</x:v>
      </x:c>
      <x:c r="J2007" s="37" t="str">
        <x:v>0.00</x:v>
      </x:c>
      <x:c r="K2007" s="37" t="str">
        <x:v>175.26</x:v>
      </x:c>
      <x:c r="L2007" s="37" t="str">
        <x:v>1172</x:v>
      </x:c>
      <x:c r="M2007" s="29" t="str">
        <x:v>647.73</x:v>
      </x:c>
      <x:c r="N2007" s="29" t="str">
        <x:v>489.86</x:v>
      </x:c>
      <x:c r="O2007" s="29" t="str">
        <x:v>157.87</x:v>
      </x:c>
      <x:c r="P2007" s="18" t="str">
        <x:v>2026-07-07</x:v>
      </x:c>
      <x:c r="Q2007" s="36" t="n">
        <x:v>46210</x:v>
      </x:c>
    </x:row>
    <x:row r="2008">
      <x:c r="A2008" s="36" t="str">
        <x:v>2026-07-07</x:v>
      </x:c>
      <x:c r="B2008" s="18" t="str">
        <x:v>101437000_78237</x:v>
      </x:c>
      <x:c r="C2008" s="18" t="str">
        <x:v>【沪村小电】奉馨苑西门小区内北侧充电站</x:v>
      </x:c>
      <x:c r="D2008" s="37" t="str">
        <x:v>2</x:v>
      </x:c>
      <x:c r="E2008" s="37" t="str">
        <x:v>0</x:v>
      </x:c>
      <x:c r="F2008" s="37" t="str">
        <x:v>49</x:v>
      </x:c>
      <x:c r="G2008" s="37" t="str">
        <x:v>1218.99</x:v>
      </x:c>
      <x:c r="H2008" s="37" t="str">
        <x:v>0.00</x:v>
      </x:c>
      <x:c r="I2008" s="37" t="str">
        <x:v>716.55</x:v>
      </x:c>
      <x:c r="J2008" s="37" t="str">
        <x:v>0.00</x:v>
      </x:c>
      <x:c r="K2008" s="37" t="str">
        <x:v>502.44</x:v>
      </x:c>
      <x:c r="L2008" s="37" t="str">
        <x:v>1780</x:v>
      </x:c>
      <x:c r="M2008" s="29" t="str">
        <x:v>1016.98</x:v>
      </x:c>
      <x:c r="N2008" s="29" t="str">
        <x:v>721.14</x:v>
      </x:c>
      <x:c r="O2008" s="29" t="str">
        <x:v>295.84</x:v>
      </x:c>
      <x:c r="P2008" s="18" t="str">
        <x:v>2026-07-07</x:v>
      </x:c>
      <x:c r="Q2008" s="36" t="n">
        <x:v>46210</x:v>
      </x:c>
    </x:row>
    <x:row r="2009">
      <x:c r="A2009" s="36" t="str">
        <x:v>2026-07-07</x:v>
      </x:c>
      <x:c r="B2009" s="18" t="str">
        <x:v>101437000_78239</x:v>
      </x:c>
      <x:c r="C2009" s="18" t="str">
        <x:v>【沪村小电】恒大佘山首府东门充电站</x:v>
      </x:c>
      <x:c r="D2009" s="37" t="str">
        <x:v>2</x:v>
      </x:c>
      <x:c r="E2009" s="37" t="str">
        <x:v>0</x:v>
      </x:c>
      <x:c r="F2009" s="37" t="str">
        <x:v>54</x:v>
      </x:c>
      <x:c r="G2009" s="37" t="str">
        <x:v>1539.23</x:v>
      </x:c>
      <x:c r="H2009" s="37" t="str">
        <x:v>0.00</x:v>
      </x:c>
      <x:c r="I2009" s="37" t="str">
        <x:v>826.96</x:v>
      </x:c>
      <x:c r="J2009" s="37" t="str">
        <x:v>0.00</x:v>
      </x:c>
      <x:c r="K2009" s="37" t="str">
        <x:v>712.26</x:v>
      </x:c>
      <x:c r="L2009" s="37" t="str">
        <x:v>2112</x:v>
      </x:c>
      <x:c r="M2009" s="29" t="str">
        <x:v>1264.95</x:v>
      </x:c>
      <x:c r="N2009" s="29" t="str">
        <x:v>882.61</x:v>
      </x:c>
      <x:c r="O2009" s="29" t="str">
        <x:v>382.34</x:v>
      </x:c>
      <x:c r="P2009" s="18" t="str">
        <x:v>2026-07-07</x:v>
      </x:c>
      <x:c r="Q2009" s="36" t="n">
        <x:v>46210</x:v>
      </x:c>
    </x:row>
    <x:row r="2010">
      <x:c r="A2010" s="36" t="str">
        <x:v>2026-07-07</x:v>
      </x:c>
      <x:c r="B2010" s="18" t="str">
        <x:v>101437000_80823</x:v>
      </x:c>
      <x:c r="C2010" s="18" t="str">
        <x:v>【沪村小电】上湖轩充电站</x:v>
      </x:c>
      <x:c r="D2010" s="37" t="str">
        <x:v>2</x:v>
      </x:c>
      <x:c r="E2010" s="37" t="str">
        <x:v>0</x:v>
      </x:c>
      <x:c r="F2010" s="37" t="str">
        <x:v>15</x:v>
      </x:c>
      <x:c r="G2010" s="37" t="str">
        <x:v>446.96</x:v>
      </x:c>
      <x:c r="H2010" s="37" t="str">
        <x:v>95.68</x:v>
      </x:c>
      <x:c r="I2010" s="37" t="str">
        <x:v>0.00</x:v>
      </x:c>
      <x:c r="J2010" s="37" t="str">
        <x:v>23.54</x:v>
      </x:c>
      <x:c r="K2010" s="37" t="str">
        <x:v>327.74</x:v>
      </x:c>
      <x:c r="L2010" s="37" t="str">
        <x:v>563</x:v>
      </x:c>
      <x:c r="M2010" s="29" t="str">
        <x:v>311.05</x:v>
      </x:c>
      <x:c r="N2010" s="29" t="str">
        <x:v>238.86</x:v>
      </x:c>
      <x:c r="O2010" s="29" t="str">
        <x:v>72.19</x:v>
      </x:c>
      <x:c r="P2010" s="18" t="str">
        <x:v>2026-07-07</x:v>
      </x:c>
      <x:c r="Q2010" s="36" t="n">
        <x:v>46210</x:v>
      </x:c>
    </x:row>
    <x:row r="2011">
      <x:c r="A2011" s="36" t="str">
        <x:v>2026-07-07</x:v>
      </x:c>
      <x:c r="B2011" s="18" t="str">
        <x:v>101437000_83019</x:v>
      </x:c>
      <x:c r="C2011" s="18" t="str">
        <x:v>【沪村小电】首创禧瑞云启东区充电站</x:v>
      </x:c>
      <x:c r="D2011" s="37" t="str">
        <x:v>2</x:v>
      </x:c>
      <x:c r="E2011" s="37" t="str">
        <x:v>0</x:v>
      </x:c>
      <x:c r="F2011" s="37" t="str">
        <x:v>59</x:v>
      </x:c>
      <x:c r="G2011" s="37" t="str">
        <x:v>1408.68</x:v>
      </x:c>
      <x:c r="H2011" s="37" t="str">
        <x:v>0.00</x:v>
      </x:c>
      <x:c r="I2011" s="37" t="str">
        <x:v>1217.79</x:v>
      </x:c>
      <x:c r="J2011" s="37" t="str">
        <x:v>0.00</x:v>
      </x:c>
      <x:c r="K2011" s="37" t="str">
        <x:v>190.89</x:v>
      </x:c>
      <x:c r="L2011" s="37" t="str">
        <x:v>2021</x:v>
      </x:c>
      <x:c r="M2011" s="29" t="str">
        <x:v>1311.72</x:v>
      </x:c>
      <x:c r="N2011" s="29" t="str">
        <x:v>909.02</x:v>
      </x:c>
      <x:c r="O2011" s="29" t="str">
        <x:v>402.70</x:v>
      </x:c>
      <x:c r="P2011" s="18" t="str">
        <x:v>2026-07-07</x:v>
      </x:c>
      <x:c r="Q2011" s="36" t="n">
        <x:v>46210</x:v>
      </x:c>
    </x:row>
    <x:row r="2012">
      <x:c r="A2012" s="36" t="str">
        <x:v>2026-07-07</x:v>
      </x:c>
      <x:c r="B2012" s="18" t="str">
        <x:v>101437000_83093</x:v>
      </x:c>
      <x:c r="C2012" s="18" t="str">
        <x:v>【沪村小电】金茂未来时光里</x:v>
      </x:c>
      <x:c r="D2012" s="37" t="str">
        <x:v>2</x:v>
      </x:c>
      <x:c r="E2012" s="37" t="str">
        <x:v>0</x:v>
      </x:c>
      <x:c r="F2012" s="37" t="str">
        <x:v>7</x:v>
      </x:c>
      <x:c r="G2012" s="37" t="str">
        <x:v>171.34</x:v>
      </x:c>
      <x:c r="H2012" s="37" t="str">
        <x:v>0.00</x:v>
      </x:c>
      <x:c r="I2012" s="37" t="str">
        <x:v>116.06</x:v>
      </x:c>
      <x:c r="J2012" s="37" t="str">
        <x:v>0.00</x:v>
      </x:c>
      <x:c r="K2012" s="37" t="str">
        <x:v>55.28</x:v>
      </x:c>
      <x:c r="L2012" s="37" t="str">
        <x:v>203</x:v>
      </x:c>
      <x:c r="M2012" s="29" t="str">
        <x:v>121.59</x:v>
      </x:c>
      <x:c r="N2012" s="29" t="str">
        <x:v>85.61</x:v>
      </x:c>
      <x:c r="O2012" s="29" t="str">
        <x:v>35.98</x:v>
      </x:c>
      <x:c r="P2012" s="18" t="str">
        <x:v>2026-07-07</x:v>
      </x:c>
      <x:c r="Q2012" s="36" t="n">
        <x:v>46210</x:v>
      </x:c>
    </x:row>
    <x:row r="2013">
      <x:c r="A2013" s="36" t="str">
        <x:v>2026-07-07</x:v>
      </x:c>
      <x:c r="B2013" s="18" t="str">
        <x:v>101437000_83911</x:v>
      </x:c>
      <x:c r="C2013" s="18" t="str">
        <x:v>【沪村小电】金瀚园充电站</x:v>
      </x:c>
      <x:c r="D2013" s="37" t="str">
        <x:v>2</x:v>
      </x:c>
      <x:c r="E2013" s="37" t="str">
        <x:v>0</x:v>
      </x:c>
      <x:c r="F2013" s="37" t="str">
        <x:v>30</x:v>
      </x:c>
      <x:c r="G2013" s="37" t="str">
        <x:v>739.48</x:v>
      </x:c>
      <x:c r="H2013" s="37" t="str">
        <x:v>0.00</x:v>
      </x:c>
      <x:c r="I2013" s="37" t="str">
        <x:v>343.46</x:v>
      </x:c>
      <x:c r="J2013" s="37" t="str">
        <x:v>0.00</x:v>
      </x:c>
      <x:c r="K2013" s="37" t="str">
        <x:v>396.02</x:v>
      </x:c>
      <x:c r="L2013" s="37" t="str">
        <x:v>1095</x:v>
      </x:c>
      <x:c r="M2013" s="29" t="str">
        <x:v>677.69</x:v>
      </x:c>
      <x:c r="N2013" s="29" t="str">
        <x:v>404.64</x:v>
      </x:c>
      <x:c r="O2013" s="29" t="str">
        <x:v>273.05</x:v>
      </x:c>
      <x:c r="P2013" s="18" t="str">
        <x:v>2026-07-07</x:v>
      </x:c>
      <x:c r="Q2013" s="36" t="n">
        <x:v>46210</x:v>
      </x:c>
    </x:row>
    <x:row r="2014">
      <x:c r="A2014" s="36" t="str">
        <x:v>2026-07-07</x:v>
      </x:c>
      <x:c r="B2014" s="18" t="str">
        <x:v>101437000_83913</x:v>
      </x:c>
      <x:c r="C2014" s="18" t="str">
        <x:v>【沪村小电】新黎村充电站</x:v>
      </x:c>
      <x:c r="D2014" s="37" t="str">
        <x:v>2</x:v>
      </x:c>
      <x:c r="E2014" s="37" t="str">
        <x:v>0</x:v>
      </x:c>
      <x:c r="F2014" s="37" t="str">
        <x:v>41</x:v>
      </x:c>
      <x:c r="G2014" s="37" t="str">
        <x:v>1008.96</x:v>
      </x:c>
      <x:c r="H2014" s="37" t="str">
        <x:v>0.00</x:v>
      </x:c>
      <x:c r="I2014" s="37" t="str">
        <x:v>661.35</x:v>
      </x:c>
      <x:c r="J2014" s="37" t="str">
        <x:v>0.00</x:v>
      </x:c>
      <x:c r="K2014" s="37" t="str">
        <x:v>347.61</x:v>
      </x:c>
      <x:c r="L2014" s="37" t="str">
        <x:v>1314</x:v>
      </x:c>
      <x:c r="M2014" s="29" t="str">
        <x:v>1086.15</x:v>
      </x:c>
      <x:c r="N2014" s="29" t="str">
        <x:v>872.04</x:v>
      </x:c>
      <x:c r="O2014" s="29" t="str">
        <x:v>214.11</x:v>
      </x:c>
      <x:c r="P2014" s="18" t="str">
        <x:v>2026-07-07</x:v>
      </x:c>
      <x:c r="Q2014" s="36" t="n">
        <x:v>46210</x:v>
      </x:c>
    </x:row>
    <x:row r="2015">
      <x:c r="A2015" s="36" t="str">
        <x:v>2026-07-07</x:v>
      </x:c>
      <x:c r="B2015" s="18" t="str">
        <x:v>101437000_83915</x:v>
      </x:c>
      <x:c r="C2015" s="18" t="str">
        <x:v>【沪村小电】长泰西郊别墅充电站</x:v>
      </x:c>
      <x:c r="D2015" s="37" t="str">
        <x:v>2</x:v>
      </x:c>
      <x:c r="E2015" s="37" t="str">
        <x:v>0</x:v>
      </x:c>
      <x:c r="F2015" s="37" t="str">
        <x:v>21</x:v>
      </x:c>
      <x:c r="G2015" s="37" t="str">
        <x:v>405.22</x:v>
      </x:c>
      <x:c r="H2015" s="37" t="str">
        <x:v>0.00</x:v>
      </x:c>
      <x:c r="I2015" s="37" t="str">
        <x:v>351.07</x:v>
      </x:c>
      <x:c r="J2015" s="37" t="str">
        <x:v>0.00</x:v>
      </x:c>
      <x:c r="K2015" s="37" t="str">
        <x:v>54.15</x:v>
      </x:c>
      <x:c r="L2015" s="37" t="str">
        <x:v>709</x:v>
      </x:c>
      <x:c r="M2015" s="29" t="str">
        <x:v>401.04</x:v>
      </x:c>
      <x:c r="N2015" s="29" t="str">
        <x:v>280.38</x:v>
      </x:c>
      <x:c r="O2015" s="29" t="str">
        <x:v>120.66</x:v>
      </x:c>
      <x:c r="P2015" s="18" t="str">
        <x:v>2026-07-07</x:v>
      </x:c>
      <x:c r="Q2015" s="36" t="n">
        <x:v>46210</x:v>
      </x:c>
    </x:row>
    <x:row r="2016">
      <x:c r="A2016" s="36" t="str">
        <x:v>2026-07-07</x:v>
      </x:c>
      <x:c r="B2016" s="18" t="str">
        <x:v>101437000_83917</x:v>
      </x:c>
      <x:c r="C2016" s="18" t="str">
        <x:v>【沪村小电】旭新华庭充电站</x:v>
      </x:c>
      <x:c r="D2016" s="37" t="str">
        <x:v>4</x:v>
      </x:c>
      <x:c r="E2016" s="37" t="str">
        <x:v>0</x:v>
      </x:c>
      <x:c r="F2016" s="37" t="str">
        <x:v>49</x:v>
      </x:c>
      <x:c r="G2016" s="37" t="str">
        <x:v>1013.24</x:v>
      </x:c>
      <x:c r="H2016" s="37" t="str">
        <x:v>0.00</x:v>
      </x:c>
      <x:c r="I2016" s="37" t="str">
        <x:v>756.10</x:v>
      </x:c>
      <x:c r="J2016" s="37" t="str">
        <x:v>0.00</x:v>
      </x:c>
      <x:c r="K2016" s="37" t="str">
        <x:v>257.14</x:v>
      </x:c>
      <x:c r="L2016" s="37" t="str">
        <x:v>1689</x:v>
      </x:c>
      <x:c r="M2016" s="29" t="str">
        <x:v>1021.63</x:v>
      </x:c>
      <x:c r="N2016" s="29" t="str">
        <x:v>657.23</x:v>
      </x:c>
      <x:c r="O2016" s="29" t="str">
        <x:v>364.40</x:v>
      </x:c>
      <x:c r="P2016" s="18" t="str">
        <x:v>2026-07-07</x:v>
      </x:c>
      <x:c r="Q2016" s="36" t="n">
        <x:v>46210</x:v>
      </x:c>
    </x:row>
    <x:row r="2017">
      <x:c r="A2017" s="36" t="str">
        <x:v>2026-07-07</x:v>
      </x:c>
      <x:c r="B2017" s="18" t="str">
        <x:v>101437000_83919</x:v>
      </x:c>
      <x:c r="C2017" s="18" t="str">
        <x:v>【沪村小电】浦锦名仕嘉园充电站</x:v>
      </x:c>
      <x:c r="D2017" s="37" t="str">
        <x:v>4</x:v>
      </x:c>
      <x:c r="E2017" s="37" t="str">
        <x:v>0</x:v>
      </x:c>
      <x:c r="F2017" s="37" t="str">
        <x:v>42</x:v>
      </x:c>
      <x:c r="G2017" s="37" t="str">
        <x:v>1135.98</x:v>
      </x:c>
      <x:c r="H2017" s="37" t="str">
        <x:v>0.00</x:v>
      </x:c>
      <x:c r="I2017" s="37" t="str">
        <x:v>0.00</x:v>
      </x:c>
      <x:c r="J2017" s="37" t="str">
        <x:v>1135.98</x:v>
      </x:c>
      <x:c r="K2017" s="37" t="str">
        <x:v>0.00</x:v>
      </x:c>
      <x:c r="L2017" s="37" t="str">
        <x:v>1713</x:v>
      </x:c>
      <x:c r="M2017" s="29" t="str">
        <x:v>1040.23</x:v>
      </x:c>
      <x:c r="N2017" s="29" t="str">
        <x:v>727.05</x:v>
      </x:c>
      <x:c r="O2017" s="29" t="str">
        <x:v>313.18</x:v>
      </x:c>
      <x:c r="P2017" s="18" t="str">
        <x:v>2026-07-07</x:v>
      </x:c>
      <x:c r="Q2017" s="36" t="n">
        <x:v>46210</x:v>
      </x:c>
    </x:row>
    <x:row r="2018">
      <x:c r="A2018" s="36" t="str">
        <x:v>2026-07-07</x:v>
      </x:c>
      <x:c r="B2018" s="18" t="str">
        <x:v>101437000_83921</x:v>
      </x:c>
      <x:c r="C2018" s="18" t="str">
        <x:v>【沪村小电】上海联怡枇杷乐园充电站（地库）</x:v>
      </x:c>
      <x:c r="D2018" s="37" t="str">
        <x:v>8</x:v>
      </x:c>
      <x:c r="E2018" s="37" t="str">
        <x:v>0</x:v>
      </x:c>
      <x:c r="F2018" s="37" t="str">
        <x:v>7</x:v>
      </x:c>
      <x:c r="G2018" s="37" t="str">
        <x:v>105.56</x:v>
      </x:c>
      <x:c r="H2018" s="37" t="str">
        <x:v>0.00</x:v>
      </x:c>
      <x:c r="I2018" s="37" t="str">
        <x:v>104.11</x:v>
      </x:c>
      <x:c r="J2018" s="37" t="str">
        <x:v>0.00</x:v>
      </x:c>
      <x:c r="K2018" s="37" t="str">
        <x:v>1.45</x:v>
      </x:c>
      <x:c r="L2018" s="37" t="str">
        <x:v>167</x:v>
      </x:c>
      <x:c r="M2018" s="29" t="str">
        <x:v>126.85</x:v>
      </x:c>
      <x:c r="N2018" s="29" t="str">
        <x:v>109.04</x:v>
      </x:c>
      <x:c r="O2018" s="29" t="str">
        <x:v>17.81</x:v>
      </x:c>
      <x:c r="P2018" s="18" t="str">
        <x:v>2026-07-07</x:v>
      </x:c>
      <x:c r="Q2018" s="36" t="n">
        <x:v>46210</x:v>
      </x:c>
    </x:row>
    <x:row r="2019">
      <x:c r="A2019" s="36" t="str">
        <x:v>2026-07-07</x:v>
      </x:c>
      <x:c r="B2019" s="18" t="str">
        <x:v>101437000_83923</x:v>
      </x:c>
      <x:c r="C2019" s="18" t="str">
        <x:v>【沪村小电】明珠新苑充电站</x:v>
      </x:c>
      <x:c r="D2019" s="37" t="str">
        <x:v>2</x:v>
      </x:c>
      <x:c r="E2019" s="37" t="str">
        <x:v>0</x:v>
      </x:c>
      <x:c r="F2019" s="37" t="str">
        <x:v>35</x:v>
      </x:c>
      <x:c r="G2019" s="37" t="str">
        <x:v>723.43</x:v>
      </x:c>
      <x:c r="H2019" s="37" t="str">
        <x:v>0.00</x:v>
      </x:c>
      <x:c r="I2019" s="37" t="str">
        <x:v>534.91</x:v>
      </x:c>
      <x:c r="J2019" s="37" t="str">
        <x:v>0.00</x:v>
      </x:c>
      <x:c r="K2019" s="37" t="str">
        <x:v>188.52</x:v>
      </x:c>
      <x:c r="L2019" s="37" t="str">
        <x:v>1034</x:v>
      </x:c>
      <x:c r="M2019" s="29" t="str">
        <x:v>670.17</x:v>
      </x:c>
      <x:c r="N2019" s="29" t="str">
        <x:v>467.45</x:v>
      </x:c>
      <x:c r="O2019" s="29" t="str">
        <x:v>202.72</x:v>
      </x:c>
      <x:c r="P2019" s="18" t="str">
        <x:v>2026-07-07</x:v>
      </x:c>
      <x:c r="Q2019" s="36" t="n">
        <x:v>46210</x:v>
      </x:c>
    </x:row>
    <x:row r="2020">
      <x:c r="A2020" s="36" t="str">
        <x:v>2026-07-07</x:v>
      </x:c>
      <x:c r="B2020" s="18" t="str">
        <x:v>101437000_84289</x:v>
      </x:c>
      <x:c r="C2020" s="18" t="str">
        <x:v>【沪村小电】铁建芳华苑充电站</x:v>
      </x:c>
      <x:c r="D2020" s="37" t="str">
        <x:v>4</x:v>
      </x:c>
      <x:c r="E2020" s="37" t="str">
        <x:v>0</x:v>
      </x:c>
      <x:c r="F2020" s="37" t="str">
        <x:v>37</x:v>
      </x:c>
      <x:c r="G2020" s="37" t="str">
        <x:v>689.96</x:v>
      </x:c>
      <x:c r="H2020" s="37" t="str">
        <x:v>0.00</x:v>
      </x:c>
      <x:c r="I2020" s="37" t="str">
        <x:v>585.31</x:v>
      </x:c>
      <x:c r="J2020" s="37" t="str">
        <x:v>0.00</x:v>
      </x:c>
      <x:c r="K2020" s="37" t="str">
        <x:v>104.66</x:v>
      </x:c>
      <x:c r="L2020" s="37" t="str">
        <x:v>1026</x:v>
      </x:c>
      <x:c r="M2020" s="29" t="str">
        <x:v>647.02</x:v>
      </x:c>
      <x:c r="N2020" s="29" t="str">
        <x:v>472.87</x:v>
      </x:c>
      <x:c r="O2020" s="29" t="str">
        <x:v>174.15</x:v>
      </x:c>
      <x:c r="P2020" s="18" t="str">
        <x:v>2026-07-07</x:v>
      </x:c>
      <x:c r="Q2020" s="36" t="n">
        <x:v>46210</x:v>
      </x:c>
    </x:row>
    <x:row r="2021">
      <x:c r="A2021" s="36" t="str">
        <x:v>2026-07-07</x:v>
      </x:c>
      <x:c r="B2021" s="18" t="str">
        <x:v>101437000_86379</x:v>
      </x:c>
      <x:c r="C2021" s="18" t="str">
        <x:v>【沪村小电】新宝社区充电站</x:v>
      </x:c>
      <x:c r="D2021" s="37" t="str">
        <x:v>4</x:v>
      </x:c>
      <x:c r="E2021" s="37" t="str">
        <x:v>0</x:v>
      </x:c>
      <x:c r="F2021" s="37" t="str">
        <x:v>31</x:v>
      </x:c>
      <x:c r="G2021" s="37" t="str">
        <x:v>776.42</x:v>
      </x:c>
      <x:c r="H2021" s="37" t="str">
        <x:v>0.00</x:v>
      </x:c>
      <x:c r="I2021" s="37" t="str">
        <x:v>573.66</x:v>
      </x:c>
      <x:c r="J2021" s="37" t="str">
        <x:v>0.00</x:v>
      </x:c>
      <x:c r="K2021" s="37" t="str">
        <x:v>202.77</x:v>
      </x:c>
      <x:c r="L2021" s="37" t="str">
        <x:v>1364</x:v>
      </x:c>
      <x:c r="M2021" s="29" t="str">
        <x:v>644.86</x:v>
      </x:c>
      <x:c r="N2021" s="29" t="str">
        <x:v>501.59</x:v>
      </x:c>
      <x:c r="O2021" s="29" t="str">
        <x:v>143.27</x:v>
      </x:c>
      <x:c r="P2021" s="18" t="str">
        <x:v>2026-07-07</x:v>
      </x:c>
      <x:c r="Q2021" s="36" t="n">
        <x:v>46210</x:v>
      </x:c>
    </x:row>
    <x:row r="2022">
      <x:c r="A2022" s="36" t="str">
        <x:v>2026-07-07</x:v>
      </x:c>
      <x:c r="B2022" s="18" t="str">
        <x:v>101437000_89441</x:v>
      </x:c>
      <x:c r="C2022" s="18" t="str">
        <x:v>【沪村小电】首创禧瑞云启西区充电站</x:v>
      </x:c>
      <x:c r="D2022" s="37" t="str">
        <x:v>2</x:v>
      </x:c>
      <x:c r="E2022" s="37" t="str">
        <x:v>0</x:v>
      </x:c>
      <x:c r="F2022" s="37" t="str">
        <x:v>53</x:v>
      </x:c>
      <x:c r="G2022" s="37" t="str">
        <x:v>1224.99</x:v>
      </x:c>
      <x:c r="H2022" s="37" t="str">
        <x:v>0.00</x:v>
      </x:c>
      <x:c r="I2022" s="37" t="str">
        <x:v>979.39</x:v>
      </x:c>
      <x:c r="J2022" s="37" t="str">
        <x:v>0.00</x:v>
      </x:c>
      <x:c r="K2022" s="37" t="str">
        <x:v>245.59</x:v>
      </x:c>
      <x:c r="L2022" s="37" t="str">
        <x:v>1935</x:v>
      </x:c>
      <x:c r="M2022" s="29" t="str">
        <x:v>1121.40</x:v>
      </x:c>
      <x:c r="N2022" s="29" t="str">
        <x:v>764.24</x:v>
      </x:c>
      <x:c r="O2022" s="29" t="str">
        <x:v>357.16</x:v>
      </x:c>
      <x:c r="P2022" s="18" t="str">
        <x:v>2026-07-07</x:v>
      </x:c>
      <x:c r="Q2022" s="36" t="n">
        <x:v>46210</x:v>
      </x:c>
    </x:row>
    <x:row r="2023">
      <x:c r="A2023" s="36" t="str">
        <x:v>2026-07-07</x:v>
      </x:c>
      <x:c r="B2023" s="18" t="str">
        <x:v>101437000_89443</x:v>
      </x:c>
      <x:c r="C2023" s="18" t="str">
        <x:v>【沪村小电】玉兰清苑二期充电站</x:v>
      </x:c>
      <x:c r="D2023" s="37" t="str">
        <x:v>2</x:v>
      </x:c>
      <x:c r="E2023" s="37" t="str">
        <x:v>0</x:v>
      </x:c>
      <x:c r="F2023" s="37" t="str">
        <x:v>18</x:v>
      </x:c>
      <x:c r="G2023" s="37" t="str">
        <x:v>386.93</x:v>
      </x:c>
      <x:c r="H2023" s="37" t="str">
        <x:v>0.00</x:v>
      </x:c>
      <x:c r="I2023" s="37" t="str">
        <x:v>360.88</x:v>
      </x:c>
      <x:c r="J2023" s="37" t="str">
        <x:v>0.00</x:v>
      </x:c>
      <x:c r="K2023" s="37" t="str">
        <x:v>26.06</x:v>
      </x:c>
      <x:c r="L2023" s="37" t="str">
        <x:v>645</x:v>
      </x:c>
      <x:c r="M2023" s="29" t="str">
        <x:v>384.70</x:v>
      </x:c>
      <x:c r="N2023" s="29" t="str">
        <x:v>276.93</x:v>
      </x:c>
      <x:c r="O2023" s="29" t="str">
        <x:v>107.77</x:v>
      </x:c>
      <x:c r="P2023" s="18" t="str">
        <x:v>2026-07-07</x:v>
      </x:c>
      <x:c r="Q2023" s="36" t="n">
        <x:v>46210</x:v>
      </x:c>
    </x:row>
    <x:row r="2024">
      <x:c r="A2024" s="36" t="str">
        <x:v>2026-07-07</x:v>
      </x:c>
      <x:c r="B2024" s="18" t="str">
        <x:v>101437000_93115</x:v>
      </x:c>
      <x:c r="C2024" s="18" t="str">
        <x:v>【沪村小电】新南家园西北门</x:v>
      </x:c>
      <x:c r="D2024" s="37" t="str">
        <x:v>2</x:v>
      </x:c>
      <x:c r="E2024" s="37" t="str">
        <x:v>0</x:v>
      </x:c>
      <x:c r="F2024" s="37" t="str">
        <x:v>30</x:v>
      </x:c>
      <x:c r="G2024" s="37" t="str">
        <x:v>749.71</x:v>
      </x:c>
      <x:c r="H2024" s="37" t="str">
        <x:v>0.00</x:v>
      </x:c>
      <x:c r="I2024" s="37" t="str">
        <x:v>583.75</x:v>
      </x:c>
      <x:c r="J2024" s="37" t="str">
        <x:v>0.00</x:v>
      </x:c>
      <x:c r="K2024" s="37" t="str">
        <x:v>165.96</x:v>
      </x:c>
      <x:c r="L2024" s="37" t="str">
        <x:v>1145</x:v>
      </x:c>
      <x:c r="M2024" s="29" t="str">
        <x:v>698.47</x:v>
      </x:c>
      <x:c r="N2024" s="29" t="str">
        <x:v>462.56</x:v>
      </x:c>
      <x:c r="O2024" s="29" t="str">
        <x:v>235.91</x:v>
      </x:c>
      <x:c r="P2024" s="18" t="str">
        <x:v>2026-07-07</x:v>
      </x:c>
      <x:c r="Q2024" s="36" t="n">
        <x:v>46210</x:v>
      </x:c>
    </x:row>
    <x:row r="2025">
      <x:c r="A2025" s="36" t="str">
        <x:v>2026-07-07</x:v>
      </x:c>
      <x:c r="B2025" s="18" t="str">
        <x:v>101437000_94649</x:v>
      </x:c>
      <x:c r="C2025" s="18" t="str">
        <x:v>【沪村小电】浪琴水岸花园</x:v>
      </x:c>
      <x:c r="D2025" s="37" t="str">
        <x:v>4</x:v>
      </x:c>
      <x:c r="E2025" s="37" t="str">
        <x:v>0</x:v>
      </x:c>
      <x:c r="F2025" s="37" t="str">
        <x:v>35</x:v>
      </x:c>
      <x:c r="G2025" s="37" t="str">
        <x:v>634.48</x:v>
      </x:c>
      <x:c r="H2025" s="37" t="str">
        <x:v>0.00</x:v>
      </x:c>
      <x:c r="I2025" s="37" t="str">
        <x:v>522.58</x:v>
      </x:c>
      <x:c r="J2025" s="37" t="str">
        <x:v>0.00</x:v>
      </x:c>
      <x:c r="K2025" s="37" t="str">
        <x:v>111.90</x:v>
      </x:c>
      <x:c r="L2025" s="37" t="str">
        <x:v>1169</x:v>
      </x:c>
      <x:c r="M2025" s="29" t="str">
        <x:v>589.05</x:v>
      </x:c>
      <x:c r="N2025" s="29" t="str">
        <x:v>400.89</x:v>
      </x:c>
      <x:c r="O2025" s="29" t="str">
        <x:v>188.16</x:v>
      </x:c>
      <x:c r="P2025" s="18" t="str">
        <x:v>2026-07-07</x:v>
      </x:c>
      <x:c r="Q2025" s="36" t="n">
        <x:v>46210</x:v>
      </x:c>
    </x:row>
    <x:row r="2026">
      <x:c r="A2026" s="36" t="str">
        <x:v>2026-07-07</x:v>
      </x:c>
      <x:c r="B2026" s="18" t="str">
        <x:v>101437000_95077</x:v>
      </x:c>
      <x:c r="C2026" s="18" t="str">
        <x:v>【沪村小电】民乐城惠益绿苑255弄充电站</x:v>
      </x:c>
      <x:c r="D2026" s="37" t="str">
        <x:v>2</x:v>
      </x:c>
      <x:c r="E2026" s="37" t="str">
        <x:v>0</x:v>
      </x:c>
      <x:c r="F2026" s="37" t="str">
        <x:v>12</x:v>
      </x:c>
      <x:c r="G2026" s="37" t="str">
        <x:v>247.97</x:v>
      </x:c>
      <x:c r="H2026" s="37" t="str">
        <x:v>0.00</x:v>
      </x:c>
      <x:c r="I2026" s="37" t="str">
        <x:v>247.97</x:v>
      </x:c>
      <x:c r="J2026" s="37" t="str">
        <x:v>0.00</x:v>
      </x:c>
      <x:c r="K2026" s="37" t="str">
        <x:v>0.00</x:v>
      </x:c>
      <x:c r="L2026" s="37" t="str">
        <x:v>377</x:v>
      </x:c>
      <x:c r="M2026" s="29" t="str">
        <x:v>238.83</x:v>
      </x:c>
      <x:c r="N2026" s="29" t="str">
        <x:v>183.48</x:v>
      </x:c>
      <x:c r="O2026" s="29" t="str">
        <x:v>55.35</x:v>
      </x:c>
      <x:c r="P2026" s="18" t="str">
        <x:v>2026-07-07</x:v>
      </x:c>
      <x:c r="Q2026" s="36" t="n">
        <x:v>46210</x:v>
      </x:c>
    </x:row>
    <x:row r="2027">
      <x:c r="A2027" s="36" t="str">
        <x:v>2026-07-07</x:v>
      </x:c>
      <x:c r="B2027" s="18" t="str">
        <x:v>101437000_95079</x:v>
      </x:c>
      <x:c r="C2027" s="18" t="str">
        <x:v>【沪村小电】民乐城惠益绿苑东苑充电站</x:v>
      </x:c>
      <x:c r="D2027" s="37" t="str">
        <x:v>2</x:v>
      </x:c>
      <x:c r="E2027" s="37" t="str">
        <x:v>0</x:v>
      </x:c>
      <x:c r="F2027" s="37" t="str">
        <x:v>9</x:v>
      </x:c>
      <x:c r="G2027" s="37" t="str">
        <x:v>174.35</x:v>
      </x:c>
      <x:c r="H2027" s="37" t="str">
        <x:v>0.00</x:v>
      </x:c>
      <x:c r="I2027" s="37" t="str">
        <x:v>139.19</x:v>
      </x:c>
      <x:c r="J2027" s="37" t="str">
        <x:v>0.00</x:v>
      </x:c>
      <x:c r="K2027" s="37" t="str">
        <x:v>35.16</x:v>
      </x:c>
      <x:c r="L2027" s="37" t="str">
        <x:v>300</x:v>
      </x:c>
      <x:c r="M2027" s="29" t="str">
        <x:v>156.47</x:v>
      </x:c>
      <x:c r="N2027" s="29" t="str">
        <x:v>108.70</x:v>
      </x:c>
      <x:c r="O2027" s="29" t="str">
        <x:v>47.77</x:v>
      </x:c>
      <x:c r="P2027" s="18" t="str">
        <x:v>2026-07-07</x:v>
      </x:c>
      <x:c r="Q2027" s="36" t="n">
        <x:v>46210</x:v>
      </x:c>
    </x:row>
    <x:row r="2028">
      <x:c r="A2028" s="36" t="str">
        <x:v>2026-07-07</x:v>
      </x:c>
      <x:c r="B2028" s="18" t="str">
        <x:v>101437000_95081</x:v>
      </x:c>
      <x:c r="C2028" s="18" t="str">
        <x:v>【沪村小电】民乐城惠益绿苑西苑充电站</x:v>
      </x:c>
      <x:c r="D2028" s="37" t="str">
        <x:v>2</x:v>
      </x:c>
      <x:c r="E2028" s="37" t="str">
        <x:v>0</x:v>
      </x:c>
      <x:c r="F2028" s="37" t="str">
        <x:v>10</x:v>
      </x:c>
      <x:c r="G2028" s="37" t="str">
        <x:v>302.26</x:v>
      </x:c>
      <x:c r="H2028" s="37" t="str">
        <x:v>0.00</x:v>
      </x:c>
      <x:c r="I2028" s="37" t="str">
        <x:v>302.26</x:v>
      </x:c>
      <x:c r="J2028" s="37" t="str">
        <x:v>0.00</x:v>
      </x:c>
      <x:c r="K2028" s="37" t="str">
        <x:v>0.00</x:v>
      </x:c>
      <x:c r="L2028" s="37" t="str">
        <x:v>370</x:v>
      </x:c>
      <x:c r="M2028" s="29" t="str">
        <x:v>320.24</x:v>
      </x:c>
      <x:c r="N2028" s="29" t="str">
        <x:v>208.55</x:v>
      </x:c>
      <x:c r="O2028" s="29" t="str">
        <x:v>111.69</x:v>
      </x:c>
      <x:c r="P2028" s="18" t="str">
        <x:v>2026-07-07</x:v>
      </x:c>
      <x:c r="Q2028" s="36" t="n">
        <x:v>46210</x:v>
      </x:c>
    </x:row>
    <x:row r="2029">
      <x:c r="A2029" s="36" t="str">
        <x:v>2026-07-07</x:v>
      </x:c>
      <x:c r="B2029" s="18" t="str">
        <x:v>101437000_95091</x:v>
      </x:c>
      <x:c r="C2029" s="18" t="str">
        <x:v>【沪村小电】金悦学府2号站</x:v>
      </x:c>
      <x:c r="D2029" s="37" t="str">
        <x:v>2</x:v>
      </x:c>
      <x:c r="E2029" s="37" t="str">
        <x:v>0</x:v>
      </x:c>
      <x:c r="F2029" s="37" t="str">
        <x:v>36</x:v>
      </x:c>
      <x:c r="G2029" s="37" t="str">
        <x:v>630.40</x:v>
      </x:c>
      <x:c r="H2029" s="37" t="str">
        <x:v>0.00</x:v>
      </x:c>
      <x:c r="I2029" s="37" t="str">
        <x:v>0.00</x:v>
      </x:c>
      <x:c r="J2029" s="37" t="str">
        <x:v>630.40</x:v>
      </x:c>
      <x:c r="K2029" s="37" t="str">
        <x:v>0.00</x:v>
      </x:c>
      <x:c r="L2029" s="37" t="str">
        <x:v>1019</x:v>
      </x:c>
      <x:c r="M2029" s="29" t="str">
        <x:v>498.01</x:v>
      </x:c>
      <x:c r="N2029" s="29" t="str">
        <x:v>353.00</x:v>
      </x:c>
      <x:c r="O2029" s="29" t="str">
        <x:v>145.01</x:v>
      </x:c>
      <x:c r="P2029" s="18" t="str">
        <x:v>2026-07-07</x:v>
      </x:c>
      <x:c r="Q2029" s="36" t="n">
        <x:v>46210</x:v>
      </x:c>
    </x:row>
    <x:row r="2030">
      <x:c r="A2030" s="36" t="str">
        <x:v>2026-07-07</x:v>
      </x:c>
      <x:c r="B2030" s="18" t="str">
        <x:v>101437000_95941</x:v>
      </x:c>
      <x:c r="C2030" s="18" t="str">
        <x:v>【沪村小电】惠诚雅苑</x:v>
      </x:c>
      <x:c r="D2030" s="37" t="str">
        <x:v>4</x:v>
      </x:c>
      <x:c r="E2030" s="37" t="str">
        <x:v>0</x:v>
      </x:c>
      <x:c r="F2030" s="37" t="str">
        <x:v>55</x:v>
      </x:c>
      <x:c r="G2030" s="37" t="str">
        <x:v>1437.80</x:v>
      </x:c>
      <x:c r="H2030" s="37" t="str">
        <x:v>0.00</x:v>
      </x:c>
      <x:c r="I2030" s="37" t="str">
        <x:v>713.53</x:v>
      </x:c>
      <x:c r="J2030" s="37" t="str">
        <x:v>0.00</x:v>
      </x:c>
      <x:c r="K2030" s="37" t="str">
        <x:v>724.27</x:v>
      </x:c>
      <x:c r="L2030" s="37" t="str">
        <x:v>2501</x:v>
      </x:c>
      <x:c r="M2030" s="29" t="str">
        <x:v>991.56</x:v>
      </x:c>
      <x:c r="N2030" s="29" t="str">
        <x:v>645.49</x:v>
      </x:c>
      <x:c r="O2030" s="29" t="str">
        <x:v>346.07</x:v>
      </x:c>
      <x:c r="P2030" s="18" t="str">
        <x:v>2026-07-07</x:v>
      </x:c>
      <x:c r="Q2030" s="36" t="n">
        <x:v>46210</x:v>
      </x:c>
    </x:row>
    <x:row r="2031">
      <x:c r="A2031" s="36" t="str">
        <x:v>2026-07-07</x:v>
      </x:c>
      <x:c r="B2031" s="18" t="str">
        <x:v>101437000_96401</x:v>
      </x:c>
      <x:c r="C2031" s="18" t="str">
        <x:v>【沪村小电】上海联怡枇杷乐园地面站</x:v>
      </x:c>
      <x:c r="D2031" s="37" t="str">
        <x:v>2</x:v>
      </x:c>
      <x:c r="E2031" s="37" t="str">
        <x:v>0</x:v>
      </x:c>
      <x:c r="F2031" s="37" t="str">
        <x:v>8</x:v>
      </x:c>
      <x:c r="G2031" s="37" t="str">
        <x:v>193.83</x:v>
      </x:c>
      <x:c r="H2031" s="37" t="str">
        <x:v>0.00</x:v>
      </x:c>
      <x:c r="I2031" s="37" t="str">
        <x:v>100.74</x:v>
      </x:c>
      <x:c r="J2031" s="37" t="str">
        <x:v>0.00</x:v>
      </x:c>
      <x:c r="K2031" s="37" t="str">
        <x:v>93.09</x:v>
      </x:c>
      <x:c r="L2031" s="37" t="str">
        <x:v>335</x:v>
      </x:c>
      <x:c r="M2031" s="29" t="str">
        <x:v>191.36</x:v>
      </x:c>
      <x:c r="N2031" s="29" t="str">
        <x:v>154.10</x:v>
      </x:c>
      <x:c r="O2031" s="29" t="str">
        <x:v>37.26</x:v>
      </x:c>
      <x:c r="P2031" s="18" t="str">
        <x:v>2026-07-07</x:v>
      </x:c>
      <x:c r="Q2031" s="36" t="n">
        <x:v>46210</x:v>
      </x:c>
    </x:row>
    <x:row r="2032">
      <x:c r="A2032" s="36" t="str">
        <x:v>2026-07-07</x:v>
      </x:c>
      <x:c r="B2032" s="18" t="str">
        <x:v>101437000_96719</x:v>
      </x:c>
      <x:c r="C2032" s="18" t="str">
        <x:v>【沪村小电】四达路220弄充电站</x:v>
      </x:c>
      <x:c r="D2032" s="37" t="str">
        <x:v>2</x:v>
      </x:c>
      <x:c r="E2032" s="37" t="str">
        <x:v>0</x:v>
      </x:c>
      <x:c r="F2032" s="37" t="str">
        <x:v>3</x:v>
      </x:c>
      <x:c r="G2032" s="37" t="str">
        <x:v>39.48</x:v>
      </x:c>
      <x:c r="H2032" s="37" t="str">
        <x:v>0.00</x:v>
      </x:c>
      <x:c r="I2032" s="37" t="str">
        <x:v>0.00</x:v>
      </x:c>
      <x:c r="J2032" s="37" t="str">
        <x:v>18.38</x:v>
      </x:c>
      <x:c r="K2032" s="37" t="str">
        <x:v>21.10</x:v>
      </x:c>
      <x:c r="L2032" s="37" t="str">
        <x:v>97</x:v>
      </x:c>
      <x:c r="M2032" s="29" t="str">
        <x:v>32.94</x:v>
      </x:c>
      <x:c r="N2032" s="29" t="str">
        <x:v>20.41</x:v>
      </x:c>
      <x:c r="O2032" s="29" t="str">
        <x:v>12.53</x:v>
      </x:c>
      <x:c r="P2032" s="18" t="str">
        <x:v>2026-07-07</x:v>
      </x:c>
      <x:c r="Q2032" s="36" t="n">
        <x:v>46210</x:v>
      </x:c>
    </x:row>
    <x:row r="2033">
      <x:c r="A2033" s="36" t="str">
        <x:v>2026-07-07</x:v>
      </x:c>
      <x:c r="B2033" s="18" t="str">
        <x:v>101437000_97421</x:v>
      </x:c>
      <x:c r="C2033" s="18" t="str">
        <x:v>【沪村小电】玉兰清苑二期（小区外）充电站</x:v>
      </x:c>
      <x:c r="D2033" s="37" t="str">
        <x:v>4</x:v>
      </x:c>
      <x:c r="E2033" s="37" t="str">
        <x:v>0</x:v>
      </x:c>
      <x:c r="F2033" s="37" t="str">
        <x:v>52</x:v>
      </x:c>
      <x:c r="G2033" s="37" t="str">
        <x:v>1199.87</x:v>
      </x:c>
      <x:c r="H2033" s="37" t="str">
        <x:v>0.00</x:v>
      </x:c>
      <x:c r="I2033" s="37" t="str">
        <x:v>1075.02</x:v>
      </x:c>
      <x:c r="J2033" s="37" t="str">
        <x:v>0.00</x:v>
      </x:c>
      <x:c r="K2033" s="37" t="str">
        <x:v>124.85</x:v>
      </x:c>
      <x:c r="L2033" s="37" t="str">
        <x:v>2207</x:v>
      </x:c>
      <x:c r="M2033" s="29" t="str">
        <x:v>1150.61</x:v>
      </x:c>
      <x:c r="N2033" s="29" t="str">
        <x:v>842.97</x:v>
      </x:c>
      <x:c r="O2033" s="29" t="str">
        <x:v>307.64</x:v>
      </x:c>
      <x:c r="P2033" s="18" t="str">
        <x:v>2026-07-07</x:v>
      </x:c>
      <x:c r="Q2033" s="36" t="n">
        <x:v>46210</x:v>
      </x:c>
    </x:row>
    <x:row r="2034">
      <x:c r="A2034" s="36" t="str">
        <x:v>2026-07-07</x:v>
      </x:c>
      <x:c r="B2034" s="18" t="str">
        <x:v>101437000_98013</x:v>
      </x:c>
      <x:c r="C2034" s="18" t="str">
        <x:v>【沪村小电】恒大滨江华府充电站</x:v>
      </x:c>
      <x:c r="D2034" s="37" t="str">
        <x:v>4</x:v>
      </x:c>
      <x:c r="E2034" s="37" t="str">
        <x:v>0</x:v>
      </x:c>
      <x:c r="F2034" s="37" t="str">
        <x:v>37</x:v>
      </x:c>
      <x:c r="G2034" s="37" t="str">
        <x:v>642.53</x:v>
      </x:c>
      <x:c r="H2034" s="37" t="str">
        <x:v>0.00</x:v>
      </x:c>
      <x:c r="I2034" s="37" t="str">
        <x:v>429.32</x:v>
      </x:c>
      <x:c r="J2034" s="37" t="str">
        <x:v>0.00</x:v>
      </x:c>
      <x:c r="K2034" s="37" t="str">
        <x:v>213.22</x:v>
      </x:c>
      <x:c r="L2034" s="37" t="str">
        <x:v>1110</x:v>
      </x:c>
      <x:c r="M2034" s="29" t="str">
        <x:v>690.84</x:v>
      </x:c>
      <x:c r="N2034" s="29" t="str">
        <x:v>559.47</x:v>
      </x:c>
      <x:c r="O2034" s="29" t="str">
        <x:v>131.37</x:v>
      </x:c>
      <x:c r="P2034" s="18" t="str">
        <x:v>2026-07-07</x:v>
      </x:c>
      <x:c r="Q2034" s="36" t="n">
        <x:v>46210</x:v>
      </x:c>
    </x:row>
    <x:row r="2035">
      <x:c r="A2035" s="36" t="str">
        <x:v>2026-07-07</x:v>
      </x:c>
      <x:c r="B2035" s="18" t="str">
        <x:v>101437000_98863</x:v>
      </x:c>
      <x:c r="C2035" s="18" t="str">
        <x:v>【沪村小电】欣菊苑充电站</x:v>
      </x:c>
      <x:c r="D2035" s="37" t="str">
        <x:v>4</x:v>
      </x:c>
      <x:c r="E2035" s="37" t="str">
        <x:v>0</x:v>
      </x:c>
      <x:c r="F2035" s="37" t="str">
        <x:v>9</x:v>
      </x:c>
      <x:c r="G2035" s="37" t="str">
        <x:v>143.90</x:v>
      </x:c>
      <x:c r="H2035" s="37" t="str">
        <x:v>0.00</x:v>
      </x:c>
      <x:c r="I2035" s="37" t="str">
        <x:v>143.90</x:v>
      </x:c>
      <x:c r="J2035" s="37" t="str">
        <x:v>0.00</x:v>
      </x:c>
      <x:c r="K2035" s="37" t="str">
        <x:v>0.00</x:v>
      </x:c>
      <x:c r="L2035" s="37" t="str">
        <x:v>255</x:v>
      </x:c>
      <x:c r="M2035" s="29" t="str">
        <x:v>132.97</x:v>
      </x:c>
      <x:c r="N2035" s="29" t="str">
        <x:v>106.48</x:v>
      </x:c>
      <x:c r="O2035" s="29" t="str">
        <x:v>26.49</x:v>
      </x:c>
      <x:c r="P2035" s="18" t="str">
        <x:v>2026-07-07</x:v>
      </x:c>
      <x:c r="Q2035" s="36" t="n">
        <x:v>46210</x:v>
      </x:c>
    </x:row>
    <x:row r="2036">
      <x:c r="A2036" s="36" t="str">
        <x:v>2026-07-07</x:v>
      </x:c>
      <x:c r="B2036" s="18" t="str">
        <x:v>101437000_98865</x:v>
      </x:c>
      <x:c r="C2036" s="18" t="str">
        <x:v>【沪村小电】欣松苑充电站</x:v>
      </x:c>
      <x:c r="D2036" s="37" t="str">
        <x:v>4</x:v>
      </x:c>
      <x:c r="E2036" s="37" t="str">
        <x:v>0</x:v>
      </x:c>
      <x:c r="F2036" s="37" t="str">
        <x:v>19</x:v>
      </x:c>
      <x:c r="G2036" s="37" t="str">
        <x:v>430.15</x:v>
      </x:c>
      <x:c r="H2036" s="37" t="str">
        <x:v>0.00</x:v>
      </x:c>
      <x:c r="I2036" s="37" t="str">
        <x:v>400.14</x:v>
      </x:c>
      <x:c r="J2036" s="37" t="str">
        <x:v>0.00</x:v>
      </x:c>
      <x:c r="K2036" s="37" t="str">
        <x:v>30.01</x:v>
      </x:c>
      <x:c r="L2036" s="37" t="str">
        <x:v>732</x:v>
      </x:c>
      <x:c r="M2036" s="29" t="str">
        <x:v>365.31</x:v>
      </x:c>
      <x:c r="N2036" s="29" t="str">
        <x:v>307.49</x:v>
      </x:c>
      <x:c r="O2036" s="29" t="str">
        <x:v>57.82</x:v>
      </x:c>
      <x:c r="P2036" s="18" t="str">
        <x:v>2026-07-07</x:v>
      </x:c>
      <x:c r="Q2036" s="36" t="n">
        <x:v>46210</x:v>
      </x:c>
    </x:row>
    <x:row r="2037">
      <x:c r="A2037" s="36" t="str">
        <x:v>2026-07-07</x:v>
      </x:c>
      <x:c r="B2037" s="18" t="str">
        <x:v>101437000_98867</x:v>
      </x:c>
      <x:c r="C2037" s="18" t="str">
        <x:v>【沪村小电】欣荷苑充电站</x:v>
      </x:c>
      <x:c r="D2037" s="37" t="str">
        <x:v>4</x:v>
      </x:c>
      <x:c r="E2037" s="37" t="str">
        <x:v>0</x:v>
      </x:c>
      <x:c r="F2037" s="37" t="str">
        <x:v>9</x:v>
      </x:c>
      <x:c r="G2037" s="37" t="str">
        <x:v>202.41</x:v>
      </x:c>
      <x:c r="H2037" s="37" t="str">
        <x:v>0.00</x:v>
      </x:c>
      <x:c r="I2037" s="37" t="str">
        <x:v>167.53</x:v>
      </x:c>
      <x:c r="J2037" s="37" t="str">
        <x:v>0.00</x:v>
      </x:c>
      <x:c r="K2037" s="37" t="str">
        <x:v>34.88</x:v>
      </x:c>
      <x:c r="L2037" s="37" t="str">
        <x:v>280</x:v>
      </x:c>
      <x:c r="M2037" s="29" t="str">
        <x:v>160.02</x:v>
      </x:c>
      <x:c r="N2037" s="29" t="str">
        <x:v>137.24</x:v>
      </x:c>
      <x:c r="O2037" s="29" t="str">
        <x:v>22.78</x:v>
      </x:c>
      <x:c r="P2037" s="18" t="str">
        <x:v>2026-07-07</x:v>
      </x:c>
      <x:c r="Q2037" s="36" t="n">
        <x:v>46210</x:v>
      </x:c>
    </x:row>
    <x:row r="2038">
      <x:c r="A2038" s="36" t="str">
        <x:v>2026-07-07</x:v>
      </x:c>
      <x:c r="B2038" s="18" t="str">
        <x:v>101437000_99885</x:v>
      </x:c>
      <x:c r="C2038" s="18" t="str">
        <x:v>【沪村小电】汇丰馨苑充电站</x:v>
      </x:c>
      <x:c r="D2038" s="37" t="str">
        <x:v>4</x:v>
      </x:c>
      <x:c r="E2038" s="37" t="str">
        <x:v>0</x:v>
      </x:c>
      <x:c r="F2038" s="37" t="str">
        <x:v>8</x:v>
      </x:c>
      <x:c r="G2038" s="37" t="str">
        <x:v>116.11</x:v>
      </x:c>
      <x:c r="H2038" s="37" t="str">
        <x:v>2.21</x:v>
      </x:c>
      <x:c r="I2038" s="37" t="str">
        <x:v>15.34</x:v>
      </x:c>
      <x:c r="J2038" s="37" t="str">
        <x:v>44.37</x:v>
      </x:c>
      <x:c r="K2038" s="37" t="str">
        <x:v>54.19</x:v>
      </x:c>
      <x:c r="L2038" s="37" t="str">
        <x:v>232</x:v>
      </x:c>
      <x:c r="M2038" s="29" t="str">
        <x:v>108.55</x:v>
      </x:c>
      <x:c r="N2038" s="29" t="str">
        <x:v>72.61</x:v>
      </x:c>
      <x:c r="O2038" s="29" t="str">
        <x:v>35.94</x:v>
      </x:c>
      <x:c r="P2038" s="18" t="str">
        <x:v>2026-07-07</x:v>
      </x:c>
      <x:c r="Q2038" s="36" t="n">
        <x:v>46210</x:v>
      </x:c>
    </x:row>
    <x:row r="2039">
      <x:c r="A2039" s="36" t="str">
        <x:v>2026-07-07</x:v>
      </x:c>
      <x:c r="B2039" s="18" t="str">
        <x:v>101437000_99887</x:v>
      </x:c>
      <x:c r="C2039" s="18" t="str">
        <x:v>【沪村小电】新南村河南小区充电站</x:v>
      </x:c>
      <x:c r="D2039" s="37" t="str">
        <x:v>2</x:v>
      </x:c>
      <x:c r="E2039" s="37" t="str">
        <x:v>0</x:v>
      </x:c>
      <x:c r="F2039" s="37" t="str">
        <x:v>14</x:v>
      </x:c>
      <x:c r="G2039" s="37" t="str">
        <x:v>292.18</x:v>
      </x:c>
      <x:c r="H2039" s="37" t="str">
        <x:v>0.00</x:v>
      </x:c>
      <x:c r="I2039" s="37" t="str">
        <x:v>175.86</x:v>
      </x:c>
      <x:c r="J2039" s="37" t="str">
        <x:v>0.00</x:v>
      </x:c>
      <x:c r="K2039" s="37" t="str">
        <x:v>116.32</x:v>
      </x:c>
      <x:c r="L2039" s="37" t="str">
        <x:v>619</x:v>
      </x:c>
      <x:c r="M2039" s="29" t="str">
        <x:v>231.06</x:v>
      </x:c>
      <x:c r="N2039" s="29" t="str">
        <x:v>174.34</x:v>
      </x:c>
      <x:c r="O2039" s="29" t="str">
        <x:v>56.72</x:v>
      </x:c>
      <x:c r="P2039" s="18" t="str">
        <x:v>2026-07-07</x:v>
      </x:c>
      <x:c r="Q2039" s="36" t="n">
        <x:v>46210</x:v>
      </x:c>
    </x:row>
    <x:row r="2040">
      <x:c r="A2040" s="36" t="str">
        <x:v>2026-07-07</x:v>
      </x:c>
      <x:c r="B2040" s="18" t="str">
        <x:v>101437000_99889</x:v>
      </x:c>
      <x:c r="C2040" s="18" t="str">
        <x:v>【沪村小电】漕泾郊野公园</x:v>
      </x:c>
      <x:c r="D2040" s="37" t="str">
        <x:v>2</x:v>
      </x:c>
      <x:c r="E2040" s="37" t="str">
        <x:v>0</x:v>
      </x:c>
      <x:c r="F2040" s="37" t="str">
        <x:v>9</x:v>
      </x:c>
      <x:c r="G2040" s="37" t="str">
        <x:v>147.57</x:v>
      </x:c>
      <x:c r="H2040" s="37" t="str">
        <x:v>0.00</x:v>
      </x:c>
      <x:c r="I2040" s="37" t="str">
        <x:v>88.32</x:v>
      </x:c>
      <x:c r="J2040" s="37" t="str">
        <x:v>59.25</x:v>
      </x:c>
      <x:c r="K2040" s="37" t="str">
        <x:v>0.00</x:v>
      </x:c>
      <x:c r="L2040" s="37" t="str">
        <x:v>289</x:v>
      </x:c>
      <x:c r="M2040" s="29" t="str">
        <x:v>177.90</x:v>
      </x:c>
      <x:c r="N2040" s="29" t="str">
        <x:v>123.38</x:v>
      </x:c>
      <x:c r="O2040" s="29" t="str">
        <x:v>54.52</x:v>
      </x:c>
      <x:c r="P2040" s="18" t="str">
        <x:v>2026-07-07</x:v>
      </x:c>
      <x:c r="Q2040" s="36" t="n">
        <x:v>46210</x:v>
      </x:c>
    </x:row>
    <x:row r="2041">
      <x:c r="A2041" s="36" t="str">
        <x:v>2026-07-07</x:v>
      </x:c>
      <x:c r="B2041" s="18" t="str">
        <x:v>101437000_99891</x:v>
      </x:c>
      <x:c r="C2041" s="18" t="str">
        <x:v>【沪村小电】水韵紫城充电站</x:v>
      </x:c>
      <x:c r="D2041" s="37" t="str">
        <x:v>4</x:v>
      </x:c>
      <x:c r="E2041" s="37" t="str">
        <x:v>0</x:v>
      </x:c>
      <x:c r="F2041" s="37" t="str">
        <x:v>17</x:v>
      </x:c>
      <x:c r="G2041" s="37" t="str">
        <x:v>399.83</x:v>
      </x:c>
      <x:c r="H2041" s="37" t="str">
        <x:v>0.00</x:v>
      </x:c>
      <x:c r="I2041" s="37" t="str">
        <x:v>271.75</x:v>
      </x:c>
      <x:c r="J2041" s="37" t="str">
        <x:v>0.00</x:v>
      </x:c>
      <x:c r="K2041" s="37" t="str">
        <x:v>128.08</x:v>
      </x:c>
      <x:c r="L2041" s="37" t="str">
        <x:v>541</x:v>
      </x:c>
      <x:c r="M2041" s="29" t="str">
        <x:v>380.69</x:v>
      </x:c>
      <x:c r="N2041" s="29" t="str">
        <x:v>249.75</x:v>
      </x:c>
      <x:c r="O2041" s="29" t="str">
        <x:v>130.94</x:v>
      </x:c>
      <x:c r="P2041" s="18" t="str">
        <x:v>2026-07-07</x:v>
      </x:c>
      <x:c r="Q2041" s="36" t="n">
        <x:v>46210</x:v>
      </x:c>
    </x:row>
    <x:row r="2042">
      <x:c r="A2042" s="36" t="str">
        <x:v>2026-07-06</x:v>
      </x:c>
      <x:c r="B2042" s="18" t="str">
        <x:v>101437000_41561</x:v>
      </x:c>
      <x:c r="C2042" s="18" t="str">
        <x:v>【沪村小电】张施小区大门处快充站</x:v>
      </x:c>
      <x:c r="D2042" s="37" t="str">
        <x:v>2</x:v>
      </x:c>
      <x:c r="E2042" s="37" t="str">
        <x:v>0</x:v>
      </x:c>
      <x:c r="F2042" s="37" t="str">
        <x:v>51</x:v>
      </x:c>
      <x:c r="G2042" s="37" t="str">
        <x:v>1362.75</x:v>
      </x:c>
      <x:c r="H2042" s="37" t="str">
        <x:v>0.00</x:v>
      </x:c>
      <x:c r="I2042" s="37" t="str">
        <x:v>824.30</x:v>
      </x:c>
      <x:c r="J2042" s="37" t="str">
        <x:v>0.00</x:v>
      </x:c>
      <x:c r="K2042" s="37" t="str">
        <x:v>538.45</x:v>
      </x:c>
      <x:c r="L2042" s="37" t="str">
        <x:v>2264</x:v>
      </x:c>
      <x:c r="M2042" s="29" t="str">
        <x:v>1100.23</x:v>
      </x:c>
      <x:c r="N2042" s="29" t="str">
        <x:v>814.57</x:v>
      </x:c>
      <x:c r="O2042" s="29" t="str">
        <x:v>285.66</x:v>
      </x:c>
      <x:c r="P2042" s="18" t="str">
        <x:v>2026-07-06</x:v>
      </x:c>
      <x:c r="Q2042" s="36" t="n">
        <x:v>46209</x:v>
      </x:c>
    </x:row>
    <x:row r="2043">
      <x:c r="A2043" s="36" t="str">
        <x:v>2026-07-06</x:v>
      </x:c>
      <x:c r="B2043" s="18" t="str">
        <x:v>101437000_41563</x:v>
      </x:c>
      <x:c r="C2043" s="18" t="str">
        <x:v>【沪村小电】同心村快充站</x:v>
      </x:c>
      <x:c r="D2043" s="37" t="str">
        <x:v>4</x:v>
      </x:c>
      <x:c r="E2043" s="37" t="str">
        <x:v>0</x:v>
      </x:c>
      <x:c r="F2043" s="37" t="str">
        <x:v>71</x:v>
      </x:c>
      <x:c r="G2043" s="37" t="str">
        <x:v>1227.37</x:v>
      </x:c>
      <x:c r="H2043" s="37" t="str">
        <x:v>0.00</x:v>
      </x:c>
      <x:c r="I2043" s="37" t="str">
        <x:v>958.05</x:v>
      </x:c>
      <x:c r="J2043" s="37" t="str">
        <x:v>0.00</x:v>
      </x:c>
      <x:c r="K2043" s="37" t="str">
        <x:v>269.32</x:v>
      </x:c>
      <x:c r="L2043" s="37" t="str">
        <x:v>3153</x:v>
      </x:c>
      <x:c r="M2043" s="29" t="str">
        <x:v>1074.19</x:v>
      </x:c>
      <x:c r="N2043" s="29" t="str">
        <x:v>757.96</x:v>
      </x:c>
      <x:c r="O2043" s="29" t="str">
        <x:v>316.23</x:v>
      </x:c>
      <x:c r="P2043" s="18" t="str">
        <x:v>2026-07-06</x:v>
      </x:c>
      <x:c r="Q2043" s="36" t="n">
        <x:v>46209</x:v>
      </x:c>
    </x:row>
    <x:row r="2044">
      <x:c r="A2044" s="36" t="str">
        <x:v>2026-07-06</x:v>
      </x:c>
      <x:c r="B2044" s="18" t="str">
        <x:v>101437000_69629</x:v>
      </x:c>
      <x:c r="C2044" s="18" t="str">
        <x:v>【沪村小电】骏丰玲珑坊西苑充电站</x:v>
      </x:c>
      <x:c r="D2044" s="37" t="str">
        <x:v>2</x:v>
      </x:c>
      <x:c r="E2044" s="37" t="str">
        <x:v>0</x:v>
      </x:c>
      <x:c r="F2044" s="37" t="str">
        <x:v>79</x:v>
      </x:c>
      <x:c r="G2044" s="37" t="str">
        <x:v>1728.46</x:v>
      </x:c>
      <x:c r="H2044" s="37" t="str">
        <x:v>0.00</x:v>
      </x:c>
      <x:c r="I2044" s="37" t="str">
        <x:v>1149.19</x:v>
      </x:c>
      <x:c r="J2044" s="37" t="str">
        <x:v>0.00</x:v>
      </x:c>
      <x:c r="K2044" s="37" t="str">
        <x:v>579.27</x:v>
      </x:c>
      <x:c r="L2044" s="37" t="str">
        <x:v>3038</x:v>
      </x:c>
      <x:c r="M2044" s="29" t="str">
        <x:v>1474.18</x:v>
      </x:c>
      <x:c r="N2044" s="29" t="str">
        <x:v>1070.48</x:v>
      </x:c>
      <x:c r="O2044" s="29" t="str">
        <x:v>403.70</x:v>
      </x:c>
      <x:c r="P2044" s="18" t="str">
        <x:v>2026-07-06</x:v>
      </x:c>
      <x:c r="Q2044" s="36" t="n">
        <x:v>46209</x:v>
      </x:c>
    </x:row>
    <x:row r="2045">
      <x:c r="A2045" s="36" t="str">
        <x:v>2026-07-06</x:v>
      </x:c>
      <x:c r="B2045" s="18" t="str">
        <x:v>101437000_70547</x:v>
      </x:c>
      <x:c r="C2045" s="18" t="str">
        <x:v>【沪村小电】农建村初心馆党群服务中心充电站</x:v>
      </x:c>
      <x:c r="D2045" s="37" t="str">
        <x:v>4</x:v>
      </x:c>
      <x:c r="E2045" s="37" t="str">
        <x:v>0</x:v>
      </x:c>
      <x:c r="F2045" s="37" t="str">
        <x:v>31</x:v>
      </x:c>
      <x:c r="G2045" s="37" t="str">
        <x:v>609.92</x:v>
      </x:c>
      <x:c r="H2045" s="37" t="str">
        <x:v>0.00</x:v>
      </x:c>
      <x:c r="I2045" s="37" t="str">
        <x:v>376.34</x:v>
      </x:c>
      <x:c r="J2045" s="37" t="str">
        <x:v>0.00</x:v>
      </x:c>
      <x:c r="K2045" s="37" t="str">
        <x:v>233.59</x:v>
      </x:c>
      <x:c r="L2045" s="37" t="str">
        <x:v>1106</x:v>
      </x:c>
      <x:c r="M2045" s="29" t="str">
        <x:v>595.03</x:v>
      </x:c>
      <x:c r="N2045" s="29" t="str">
        <x:v>515.16</x:v>
      </x:c>
      <x:c r="O2045" s="29" t="str">
        <x:v>79.87</x:v>
      </x:c>
      <x:c r="P2045" s="18" t="str">
        <x:v>2026-07-06</x:v>
      </x:c>
      <x:c r="Q2045" s="36" t="n">
        <x:v>46209</x:v>
      </x:c>
    </x:row>
    <x:row r="2046">
      <x:c r="A2046" s="36" t="str">
        <x:v>2026-07-06</x:v>
      </x:c>
      <x:c r="B2046" s="18" t="str">
        <x:v>101437000_70549</x:v>
      </x:c>
      <x:c r="C2046" s="18" t="str">
        <x:v>【沪村小电】学府路充电站</x:v>
      </x:c>
      <x:c r="D2046" s="37" t="str">
        <x:v>2</x:v>
      </x:c>
      <x:c r="E2046" s="37" t="str">
        <x:v>0</x:v>
      </x:c>
      <x:c r="F2046" s="37" t="str">
        <x:v>9</x:v>
      </x:c>
      <x:c r="G2046" s="37" t="str">
        <x:v>273.71</x:v>
      </x:c>
      <x:c r="H2046" s="37" t="str">
        <x:v>0.00</x:v>
      </x:c>
      <x:c r="I2046" s="37" t="str">
        <x:v>171.88</x:v>
      </x:c>
      <x:c r="J2046" s="37" t="str">
        <x:v>0.00</x:v>
      </x:c>
      <x:c r="K2046" s="37" t="str">
        <x:v>101.83</x:v>
      </x:c>
      <x:c r="L2046" s="37" t="str">
        <x:v>547</x:v>
      </x:c>
      <x:c r="M2046" s="29" t="str">
        <x:v>277.75</x:v>
      </x:c>
      <x:c r="N2046" s="29" t="str">
        <x:v>232.74</x:v>
      </x:c>
      <x:c r="O2046" s="29" t="str">
        <x:v>45.01</x:v>
      </x:c>
      <x:c r="P2046" s="18" t="str">
        <x:v>2026-07-06</x:v>
      </x:c>
      <x:c r="Q2046" s="36" t="n">
        <x:v>46209</x:v>
      </x:c>
    </x:row>
    <x:row r="2047">
      <x:c r="A2047" s="36" t="str">
        <x:v>2026-07-06</x:v>
      </x:c>
      <x:c r="B2047" s="18" t="str">
        <x:v>101437000_71059</x:v>
      </x:c>
      <x:c r="C2047" s="18" t="str">
        <x:v>【沪村小电】宝乐汇商业广场站</x:v>
      </x:c>
      <x:c r="D2047" s="37" t="str">
        <x:v>4</x:v>
      </x:c>
      <x:c r="E2047" s="37" t="str">
        <x:v>0</x:v>
      </x:c>
      <x:c r="F2047" s="37" t="str">
        <x:v>16</x:v>
      </x:c>
      <x:c r="G2047" s="37" t="str">
        <x:v>328.44</x:v>
      </x:c>
      <x:c r="H2047" s="37" t="str">
        <x:v>0.00</x:v>
      </x:c>
      <x:c r="I2047" s="37" t="str">
        <x:v>104.77</x:v>
      </x:c>
      <x:c r="J2047" s="37" t="str">
        <x:v>71.85</x:v>
      </x:c>
      <x:c r="K2047" s="37" t="str">
        <x:v>151.82</x:v>
      </x:c>
      <x:c r="L2047" s="37" t="str">
        <x:v>633</x:v>
      </x:c>
      <x:c r="M2047" s="29" t="str">
        <x:v>299.56</x:v>
      </x:c>
      <x:c r="N2047" s="29" t="str">
        <x:v>232.22</x:v>
      </x:c>
      <x:c r="O2047" s="29" t="str">
        <x:v>67.34</x:v>
      </x:c>
      <x:c r="P2047" s="18" t="str">
        <x:v>2026-07-06</x:v>
      </x:c>
      <x:c r="Q2047" s="36" t="n">
        <x:v>46209</x:v>
      </x:c>
    </x:row>
    <x:row r="2048">
      <x:c r="A2048" s="36" t="str">
        <x:v>2026-07-06</x:v>
      </x:c>
      <x:c r="B2048" s="18" t="str">
        <x:v>101437000_72541</x:v>
      </x:c>
      <x:c r="C2048" s="18" t="str">
        <x:v>【沪村小电】九干路1174弄充电站</x:v>
      </x:c>
      <x:c r="D2048" s="37" t="str">
        <x:v>2</x:v>
      </x:c>
      <x:c r="E2048" s="37" t="str">
        <x:v>0</x:v>
      </x:c>
      <x:c r="F2048" s="37" t="str">
        <x:v>45</x:v>
      </x:c>
      <x:c r="G2048" s="37" t="str">
        <x:v>831.49</x:v>
      </x:c>
      <x:c r="H2048" s="37" t="str">
        <x:v>0.00</x:v>
      </x:c>
      <x:c r="I2048" s="37" t="str">
        <x:v>605.57</x:v>
      </x:c>
      <x:c r="J2048" s="37" t="str">
        <x:v>0.00</x:v>
      </x:c>
      <x:c r="K2048" s="37" t="str">
        <x:v>225.92</x:v>
      </x:c>
      <x:c r="L2048" s="37" t="str">
        <x:v>1446</x:v>
      </x:c>
      <x:c r="M2048" s="29" t="str">
        <x:v>737.46</x:v>
      </x:c>
      <x:c r="N2048" s="29" t="str">
        <x:v>533.97</x:v>
      </x:c>
      <x:c r="O2048" s="29" t="str">
        <x:v>203.49</x:v>
      </x:c>
      <x:c r="P2048" s="18" t="str">
        <x:v>2026-07-06</x:v>
      </x:c>
      <x:c r="Q2048" s="36" t="n">
        <x:v>46209</x:v>
      </x:c>
    </x:row>
    <x:row r="2049">
      <x:c r="A2049" s="36" t="str">
        <x:v>2026-07-06</x:v>
      </x:c>
      <x:c r="B2049" s="18" t="str">
        <x:v>101437000_72543</x:v>
      </x:c>
      <x:c r="C2049" s="18" t="str">
        <x:v>【沪村小电】叶家中心村小区充电站</x:v>
      </x:c>
      <x:c r="D2049" s="37" t="str">
        <x:v>2</x:v>
      </x:c>
      <x:c r="E2049" s="37" t="str">
        <x:v>0</x:v>
      </x:c>
      <x:c r="F2049" s="37" t="str">
        <x:v>57</x:v>
      </x:c>
      <x:c r="G2049" s="37" t="str">
        <x:v>1361.57</x:v>
      </x:c>
      <x:c r="H2049" s="37" t="str">
        <x:v>0.00</x:v>
      </x:c>
      <x:c r="I2049" s="37" t="str">
        <x:v>773.89</x:v>
      </x:c>
      <x:c r="J2049" s="37" t="str">
        <x:v>0.00</x:v>
      </x:c>
      <x:c r="K2049" s="37" t="str">
        <x:v>587.68</x:v>
      </x:c>
      <x:c r="L2049" s="37" t="str">
        <x:v>2307</x:v>
      </x:c>
      <x:c r="M2049" s="29" t="str">
        <x:v>1121.85</x:v>
      </x:c>
      <x:c r="N2049" s="29" t="str">
        <x:v>796.01</x:v>
      </x:c>
      <x:c r="O2049" s="29" t="str">
        <x:v>325.84</x:v>
      </x:c>
      <x:c r="P2049" s="18" t="str">
        <x:v>2026-07-06</x:v>
      </x:c>
      <x:c r="Q2049" s="36" t="n">
        <x:v>46209</x:v>
      </x:c>
    </x:row>
    <x:row r="2050">
      <x:c r="A2050" s="36" t="str">
        <x:v>2026-07-06</x:v>
      </x:c>
      <x:c r="B2050" s="18" t="str">
        <x:v>101437000_72937</x:v>
      </x:c>
      <x:c r="C2050" s="18" t="str">
        <x:v>【沪村小电】佘北家园茸腾苑充电站</x:v>
      </x:c>
      <x:c r="D2050" s="37" t="str">
        <x:v>4</x:v>
      </x:c>
      <x:c r="E2050" s="37" t="str">
        <x:v>0</x:v>
      </x:c>
      <x:c r="F2050" s="37" t="str">
        <x:v>29</x:v>
      </x:c>
      <x:c r="G2050" s="37" t="str">
        <x:v>696.75</x:v>
      </x:c>
      <x:c r="H2050" s="37" t="str">
        <x:v>0.00</x:v>
      </x:c>
      <x:c r="I2050" s="37" t="str">
        <x:v>696.75</x:v>
      </x:c>
      <x:c r="J2050" s="37" t="str">
        <x:v>0.00</x:v>
      </x:c>
      <x:c r="K2050" s="37" t="str">
        <x:v>0.00</x:v>
      </x:c>
      <x:c r="L2050" s="37" t="str">
        <x:v>1168</x:v>
      </x:c>
      <x:c r="M2050" s="29" t="str">
        <x:v>610.62</x:v>
      </x:c>
      <x:c r="N2050" s="29" t="str">
        <x:v>515.58</x:v>
      </x:c>
      <x:c r="O2050" s="29" t="str">
        <x:v>95.04</x:v>
      </x:c>
      <x:c r="P2050" s="18" t="str">
        <x:v>2026-07-06</x:v>
      </x:c>
      <x:c r="Q2050" s="36" t="n">
        <x:v>46209</x:v>
      </x:c>
    </x:row>
    <x:row r="2051">
      <x:c r="A2051" s="36" t="str">
        <x:v>2026-07-06</x:v>
      </x:c>
      <x:c r="B2051" s="18" t="str">
        <x:v>101437000_74223</x:v>
      </x:c>
      <x:c r="C2051" s="18" t="str">
        <x:v>【沪村小电】中兴村委会充电站</x:v>
      </x:c>
      <x:c r="D2051" s="37" t="str">
        <x:v>2</x:v>
      </x:c>
      <x:c r="E2051" s="37" t="str">
        <x:v>0</x:v>
      </x:c>
      <x:c r="F2051" s="37" t="str">
        <x:v>18</x:v>
      </x:c>
      <x:c r="G2051" s="37" t="str">
        <x:v>474.40</x:v>
      </x:c>
      <x:c r="H2051" s="37" t="str">
        <x:v>0.00</x:v>
      </x:c>
      <x:c r="I2051" s="37" t="str">
        <x:v>356.77</x:v>
      </x:c>
      <x:c r="J2051" s="37" t="str">
        <x:v>0.00</x:v>
      </x:c>
      <x:c r="K2051" s="37" t="str">
        <x:v>117.63</x:v>
      </x:c>
      <x:c r="L2051" s="37" t="str">
        <x:v>685</x:v>
      </x:c>
      <x:c r="M2051" s="29" t="str">
        <x:v>519.34</x:v>
      </x:c>
      <x:c r="N2051" s="29" t="str">
        <x:v>433.39</x:v>
      </x:c>
      <x:c r="O2051" s="29" t="str">
        <x:v>85.95</x:v>
      </x:c>
      <x:c r="P2051" s="18" t="str">
        <x:v>2026-07-06</x:v>
      </x:c>
      <x:c r="Q2051" s="36" t="n">
        <x:v>46209</x:v>
      </x:c>
    </x:row>
    <x:row r="2052">
      <x:c r="A2052" s="36" t="str">
        <x:v>2026-07-06</x:v>
      </x:c>
      <x:c r="B2052" s="18" t="str">
        <x:v>101437000_74801</x:v>
      </x:c>
      <x:c r="C2052" s="18" t="str">
        <x:v>【沪村小电】申良花园充电站</x:v>
      </x:c>
      <x:c r="D2052" s="37" t="str">
        <x:v>4</x:v>
      </x:c>
      <x:c r="E2052" s="37" t="str">
        <x:v>0</x:v>
      </x:c>
      <x:c r="F2052" s="37" t="str">
        <x:v>15</x:v>
      </x:c>
      <x:c r="G2052" s="37" t="str">
        <x:v>350.74</x:v>
      </x:c>
      <x:c r="H2052" s="37" t="str">
        <x:v>0.00</x:v>
      </x:c>
      <x:c r="I2052" s="37" t="str">
        <x:v>350.74</x:v>
      </x:c>
      <x:c r="J2052" s="37" t="str">
        <x:v>0.00</x:v>
      </x:c>
      <x:c r="K2052" s="37" t="str">
        <x:v>0.00</x:v>
      </x:c>
      <x:c r="L2052" s="37" t="str">
        <x:v>466</x:v>
      </x:c>
      <x:c r="M2052" s="29" t="str">
        <x:v>391.45</x:v>
      </x:c>
      <x:c r="N2052" s="29" t="str">
        <x:v>259.54</x:v>
      </x:c>
      <x:c r="O2052" s="29" t="str">
        <x:v>131.91</x:v>
      </x:c>
      <x:c r="P2052" s="18" t="str">
        <x:v>2026-07-06</x:v>
      </x:c>
      <x:c r="Q2052" s="36" t="n">
        <x:v>46209</x:v>
      </x:c>
    </x:row>
    <x:row r="2053">
      <x:c r="A2053" s="36" t="str">
        <x:v>2026-07-06</x:v>
      </x:c>
      <x:c r="B2053" s="18" t="str">
        <x:v>101437000_74931</x:v>
      </x:c>
      <x:c r="C2053" s="18" t="str">
        <x:v>【沪村小电】枫雅南居充电站</x:v>
      </x:c>
      <x:c r="D2053" s="37" t="str">
        <x:v>2</x:v>
      </x:c>
      <x:c r="E2053" s="37" t="str">
        <x:v>0</x:v>
      </x:c>
      <x:c r="F2053" s="37" t="str">
        <x:v>10</x:v>
      </x:c>
      <x:c r="G2053" s="37" t="str">
        <x:v>220.19</x:v>
      </x:c>
      <x:c r="H2053" s="37" t="str">
        <x:v>0.00</x:v>
      </x:c>
      <x:c r="I2053" s="37" t="str">
        <x:v>104.04</x:v>
      </x:c>
      <x:c r="J2053" s="37" t="str">
        <x:v>0.00</x:v>
      </x:c>
      <x:c r="K2053" s="37" t="str">
        <x:v>116.15</x:v>
      </x:c>
      <x:c r="L2053" s="37" t="str">
        <x:v>350</x:v>
      </x:c>
      <x:c r="M2053" s="29" t="str">
        <x:v>146.12</x:v>
      </x:c>
      <x:c r="N2053" s="29" t="str">
        <x:v>97.39</x:v>
      </x:c>
      <x:c r="O2053" s="29" t="str">
        <x:v>48.73</x:v>
      </x:c>
      <x:c r="P2053" s="18" t="str">
        <x:v>2026-07-06</x:v>
      </x:c>
      <x:c r="Q2053" s="36" t="n">
        <x:v>46209</x:v>
      </x:c>
    </x:row>
    <x:row r="2054">
      <x:c r="A2054" s="36" t="str">
        <x:v>2026-07-06</x:v>
      </x:c>
      <x:c r="B2054" s="18" t="str">
        <x:v>101437000_75901</x:v>
      </x:c>
      <x:c r="C2054" s="18" t="str">
        <x:v>【沪村小电】金悦学府</x:v>
      </x:c>
      <x:c r="D2054" s="37" t="str">
        <x:v>2</x:v>
      </x:c>
      <x:c r="E2054" s="37" t="str">
        <x:v>0</x:v>
      </x:c>
      <x:c r="F2054" s="37" t="str">
        <x:v>12</x:v>
      </x:c>
      <x:c r="G2054" s="37" t="str">
        <x:v>131.83</x:v>
      </x:c>
      <x:c r="H2054" s="37" t="str">
        <x:v>0.00</x:v>
      </x:c>
      <x:c r="I2054" s="37" t="str">
        <x:v>43.24</x:v>
      </x:c>
      <x:c r="J2054" s="37" t="str">
        <x:v>0.00</x:v>
      </x:c>
      <x:c r="K2054" s="37" t="str">
        <x:v>88.59</x:v>
      </x:c>
      <x:c r="L2054" s="37" t="str">
        <x:v>192</x:v>
      </x:c>
      <x:c r="M2054" s="29" t="str">
        <x:v>92.23</x:v>
      </x:c>
      <x:c r="N2054" s="29" t="str">
        <x:v>52.98</x:v>
      </x:c>
      <x:c r="O2054" s="29" t="str">
        <x:v>39.25</x:v>
      </x:c>
      <x:c r="P2054" s="18" t="str">
        <x:v>2026-07-06</x:v>
      </x:c>
      <x:c r="Q2054" s="36" t="n">
        <x:v>46209</x:v>
      </x:c>
    </x:row>
    <x:row r="2055">
      <x:c r="A2055" s="36" t="str">
        <x:v>2026-07-06</x:v>
      </x:c>
      <x:c r="B2055" s="18" t="str">
        <x:v>101437000_76091</x:v>
      </x:c>
      <x:c r="C2055" s="18" t="str">
        <x:v>【沪村小电】恒信家园充电站</x:v>
      </x:c>
      <x:c r="D2055" s="37" t="str">
        <x:v>2</x:v>
      </x:c>
      <x:c r="E2055" s="37" t="str">
        <x:v>0</x:v>
      </x:c>
      <x:c r="F2055" s="37" t="str">
        <x:v>53</x:v>
      </x:c>
      <x:c r="G2055" s="37" t="str">
        <x:v>1277.54</x:v>
      </x:c>
      <x:c r="H2055" s="37" t="str">
        <x:v>0.00</x:v>
      </x:c>
      <x:c r="I2055" s="37" t="str">
        <x:v>732.62</x:v>
      </x:c>
      <x:c r="J2055" s="37" t="str">
        <x:v>0.00</x:v>
      </x:c>
      <x:c r="K2055" s="37" t="str">
        <x:v>544.91</x:v>
      </x:c>
      <x:c r="L2055" s="37" t="str">
        <x:v>1978</x:v>
      </x:c>
      <x:c r="M2055" s="29" t="str">
        <x:v>1196.02</x:v>
      </x:c>
      <x:c r="N2055" s="29" t="str">
        <x:v>749.21</x:v>
      </x:c>
      <x:c r="O2055" s="29" t="str">
        <x:v>446.81</x:v>
      </x:c>
      <x:c r="P2055" s="18" t="str">
        <x:v>2026-07-06</x:v>
      </x:c>
      <x:c r="Q2055" s="36" t="n">
        <x:v>46209</x:v>
      </x:c>
    </x:row>
    <x:row r="2056">
      <x:c r="A2056" s="36" t="str">
        <x:v>2026-07-06</x:v>
      </x:c>
      <x:c r="B2056" s="18" t="str">
        <x:v>101437000_76417</x:v>
      </x:c>
      <x:c r="C2056" s="18" t="str">
        <x:v>【沪村小电】新春一组充电站</x:v>
      </x:c>
      <x:c r="D2056" s="37" t="str">
        <x:v>2</x:v>
      </x:c>
      <x:c r="E2056" s="37" t="str">
        <x:v>0</x:v>
      </x:c>
      <x:c r="F2056" s="37" t="str">
        <x:v>18</x:v>
      </x:c>
      <x:c r="G2056" s="37" t="str">
        <x:v>452.31</x:v>
      </x:c>
      <x:c r="H2056" s="37" t="str">
        <x:v>0.00</x:v>
      </x:c>
      <x:c r="I2056" s="37" t="str">
        <x:v>293.36</x:v>
      </x:c>
      <x:c r="J2056" s="37" t="str">
        <x:v>0.00</x:v>
      </x:c>
      <x:c r="K2056" s="37" t="str">
        <x:v>158.95</x:v>
      </x:c>
      <x:c r="L2056" s="37" t="str">
        <x:v>633</x:v>
      </x:c>
      <x:c r="M2056" s="29" t="str">
        <x:v>450.02</x:v>
      </x:c>
      <x:c r="N2056" s="29" t="str">
        <x:v>389.33</x:v>
      </x:c>
      <x:c r="O2056" s="29" t="str">
        <x:v>60.69</x:v>
      </x:c>
      <x:c r="P2056" s="18" t="str">
        <x:v>2026-07-06</x:v>
      </x:c>
      <x:c r="Q2056" s="36" t="n">
        <x:v>46209</x:v>
      </x:c>
    </x:row>
    <x:row r="2057">
      <x:c r="A2057" s="36" t="str">
        <x:v>2026-07-06</x:v>
      </x:c>
      <x:c r="B2057" s="18" t="str">
        <x:v>101437000_78235</x:v>
      </x:c>
      <x:c r="C2057" s="18" t="str">
        <x:v>【沪村小电】欣秋苑充电站</x:v>
      </x:c>
      <x:c r="D2057" s="37" t="str">
        <x:v>4</x:v>
      </x:c>
      <x:c r="E2057" s="37" t="str">
        <x:v>0</x:v>
      </x:c>
      <x:c r="F2057" s="37" t="str">
        <x:v>27</x:v>
      </x:c>
      <x:c r="G2057" s="37" t="str">
        <x:v>742.21</x:v>
      </x:c>
      <x:c r="H2057" s="37" t="str">
        <x:v>0.00</x:v>
      </x:c>
      <x:c r="I2057" s="37" t="str">
        <x:v>558.48</x:v>
      </x:c>
      <x:c r="J2057" s="37" t="str">
        <x:v>0.00</x:v>
      </x:c>
      <x:c r="K2057" s="37" t="str">
        <x:v>183.74</x:v>
      </x:c>
      <x:c r="L2057" s="37" t="str">
        <x:v>1195</x:v>
      </x:c>
      <x:c r="M2057" s="29" t="str">
        <x:v>609.81</x:v>
      </x:c>
      <x:c r="N2057" s="29" t="str">
        <x:v>483.12</x:v>
      </x:c>
      <x:c r="O2057" s="29" t="str">
        <x:v>126.69</x:v>
      </x:c>
      <x:c r="P2057" s="18" t="str">
        <x:v>2026-07-06</x:v>
      </x:c>
      <x:c r="Q2057" s="36" t="n">
        <x:v>46209</x:v>
      </x:c>
    </x:row>
    <x:row r="2058">
      <x:c r="A2058" s="36" t="str">
        <x:v>2026-07-06</x:v>
      </x:c>
      <x:c r="B2058" s="18" t="str">
        <x:v>101437000_78237</x:v>
      </x:c>
      <x:c r="C2058" s="18" t="str">
        <x:v>【沪村小电】奉馨苑西门小区内北侧充电站</x:v>
      </x:c>
      <x:c r="D2058" s="37" t="str">
        <x:v>2</x:v>
      </x:c>
      <x:c r="E2058" s="37" t="str">
        <x:v>0</x:v>
      </x:c>
      <x:c r="F2058" s="37" t="str">
        <x:v>39</x:v>
      </x:c>
      <x:c r="G2058" s="37" t="str">
        <x:v>1013.42</x:v>
      </x:c>
      <x:c r="H2058" s="37" t="str">
        <x:v>0.00</x:v>
      </x:c>
      <x:c r="I2058" s="37" t="str">
        <x:v>599.41</x:v>
      </x:c>
      <x:c r="J2058" s="37" t="str">
        <x:v>0.00</x:v>
      </x:c>
      <x:c r="K2058" s="37" t="str">
        <x:v>414.01</x:v>
      </x:c>
      <x:c r="L2058" s="37" t="str">
        <x:v>1507</x:v>
      </x:c>
      <x:c r="M2058" s="29" t="str">
        <x:v>870.54</x:v>
      </x:c>
      <x:c r="N2058" s="29" t="str">
        <x:v>600.88</x:v>
      </x:c>
      <x:c r="O2058" s="29" t="str">
        <x:v>269.66</x:v>
      </x:c>
      <x:c r="P2058" s="18" t="str">
        <x:v>2026-07-06</x:v>
      </x:c>
      <x:c r="Q2058" s="36" t="n">
        <x:v>46209</x:v>
      </x:c>
    </x:row>
    <x:row r="2059">
      <x:c r="A2059" s="36" t="str">
        <x:v>2026-07-06</x:v>
      </x:c>
      <x:c r="B2059" s="18" t="str">
        <x:v>101437000_78239</x:v>
      </x:c>
      <x:c r="C2059" s="18" t="str">
        <x:v>【沪村小电】恒大佘山首府东门充电站</x:v>
      </x:c>
      <x:c r="D2059" s="37" t="str">
        <x:v>2</x:v>
      </x:c>
      <x:c r="E2059" s="37" t="str">
        <x:v>0</x:v>
      </x:c>
      <x:c r="F2059" s="37" t="str">
        <x:v>46</x:v>
      </x:c>
      <x:c r="G2059" s="37" t="str">
        <x:v>1224.58</x:v>
      </x:c>
      <x:c r="H2059" s="37" t="str">
        <x:v>0.00</x:v>
      </x:c>
      <x:c r="I2059" s="37" t="str">
        <x:v>917.29</x:v>
      </x:c>
      <x:c r="J2059" s="37" t="str">
        <x:v>0.00</x:v>
      </x:c>
      <x:c r="K2059" s="37" t="str">
        <x:v>307.30</x:v>
      </x:c>
      <x:c r="L2059" s="37" t="str">
        <x:v>1885</x:v>
      </x:c>
      <x:c r="M2059" s="29" t="str">
        <x:v>1087.96</x:v>
      </x:c>
      <x:c r="N2059" s="29" t="str">
        <x:v>795.55</x:v>
      </x:c>
      <x:c r="O2059" s="29" t="str">
        <x:v>292.41</x:v>
      </x:c>
      <x:c r="P2059" s="18" t="str">
        <x:v>2026-07-06</x:v>
      </x:c>
      <x:c r="Q2059" s="36" t="n">
        <x:v>46209</x:v>
      </x:c>
    </x:row>
    <x:row r="2060">
      <x:c r="A2060" s="36" t="str">
        <x:v>2026-07-06</x:v>
      </x:c>
      <x:c r="B2060" s="18" t="str">
        <x:v>101437000_80823</x:v>
      </x:c>
      <x:c r="C2060" s="18" t="str">
        <x:v>【沪村小电】上湖轩充电站</x:v>
      </x:c>
      <x:c r="D2060" s="37" t="str">
        <x:v>2</x:v>
      </x:c>
      <x:c r="E2060" s="37" t="str">
        <x:v>0</x:v>
      </x:c>
      <x:c r="F2060" s="37" t="str">
        <x:v>15</x:v>
      </x:c>
      <x:c r="G2060" s="37" t="str">
        <x:v>463.95</x:v>
      </x:c>
      <x:c r="H2060" s="37" t="str">
        <x:v>1.01</x:v>
      </x:c>
      <x:c r="I2060" s="37" t="str">
        <x:v>80.72</x:v>
      </x:c>
      <x:c r="J2060" s="37" t="str">
        <x:v>95.11</x:v>
      </x:c>
      <x:c r="K2060" s="37" t="str">
        <x:v>287.12</x:v>
      </x:c>
      <x:c r="L2060" s="37" t="str">
        <x:v>675</x:v>
      </x:c>
      <x:c r="M2060" s="29" t="str">
        <x:v>338.14</x:v>
      </x:c>
      <x:c r="N2060" s="29" t="str">
        <x:v>246.45</x:v>
      </x:c>
      <x:c r="O2060" s="29" t="str">
        <x:v>91.69</x:v>
      </x:c>
      <x:c r="P2060" s="18" t="str">
        <x:v>2026-07-06</x:v>
      </x:c>
      <x:c r="Q2060" s="36" t="n">
        <x:v>46209</x:v>
      </x:c>
    </x:row>
    <x:row r="2061">
      <x:c r="A2061" s="36" t="str">
        <x:v>2026-07-06</x:v>
      </x:c>
      <x:c r="B2061" s="18" t="str">
        <x:v>101437000_83019</x:v>
      </x:c>
      <x:c r="C2061" s="18" t="str">
        <x:v>【沪村小电】首创禧瑞云启东区充电站</x:v>
      </x:c>
      <x:c r="D2061" s="37" t="str">
        <x:v>2</x:v>
      </x:c>
      <x:c r="E2061" s="37" t="str">
        <x:v>0</x:v>
      </x:c>
      <x:c r="F2061" s="37" t="str">
        <x:v>59</x:v>
      </x:c>
      <x:c r="G2061" s="37" t="str">
        <x:v>1311.28</x:v>
      </x:c>
      <x:c r="H2061" s="37" t="str">
        <x:v>0.00</x:v>
      </x:c>
      <x:c r="I2061" s="37" t="str">
        <x:v>1079.87</x:v>
      </x:c>
      <x:c r="J2061" s="37" t="str">
        <x:v>0.00</x:v>
      </x:c>
      <x:c r="K2061" s="37" t="str">
        <x:v>231.41</x:v>
      </x:c>
      <x:c r="L2061" s="37" t="str">
        <x:v>2153</x:v>
      </x:c>
      <x:c r="M2061" s="29" t="str">
        <x:v>1183.80</x:v>
      </x:c>
      <x:c r="N2061" s="29" t="str">
        <x:v>828.43</x:v>
      </x:c>
      <x:c r="O2061" s="29" t="str">
        <x:v>355.37</x:v>
      </x:c>
      <x:c r="P2061" s="18" t="str">
        <x:v>2026-07-06</x:v>
      </x:c>
      <x:c r="Q2061" s="36" t="n">
        <x:v>46209</x:v>
      </x:c>
    </x:row>
    <x:row r="2062">
      <x:c r="A2062" s="36" t="str">
        <x:v>2026-07-06</x:v>
      </x:c>
      <x:c r="B2062" s="18" t="str">
        <x:v>101437000_83093</x:v>
      </x:c>
      <x:c r="C2062" s="18" t="str">
        <x:v>【沪村小电】金茂未来时光里</x:v>
      </x:c>
      <x:c r="D2062" s="37" t="str">
        <x:v>2</x:v>
      </x:c>
      <x:c r="E2062" s="37" t="str">
        <x:v>0</x:v>
      </x:c>
      <x:c r="F2062" s="37" t="str">
        <x:v>6</x:v>
      </x:c>
      <x:c r="G2062" s="37" t="str">
        <x:v>151.37</x:v>
      </x:c>
      <x:c r="H2062" s="37" t="str">
        <x:v>0.00</x:v>
      </x:c>
      <x:c r="I2062" s="37" t="str">
        <x:v>86.74</x:v>
      </x:c>
      <x:c r="J2062" s="37" t="str">
        <x:v>0.00</x:v>
      </x:c>
      <x:c r="K2062" s="37" t="str">
        <x:v>64.63</x:v>
      </x:c>
      <x:c r="L2062" s="37" t="str">
        <x:v>277</x:v>
      </x:c>
      <x:c r="M2062" s="29" t="str">
        <x:v>100.22</x:v>
      </x:c>
      <x:c r="N2062" s="29" t="str">
        <x:v>71.21</x:v>
      </x:c>
      <x:c r="O2062" s="29" t="str">
        <x:v>29.01</x:v>
      </x:c>
      <x:c r="P2062" s="18" t="str">
        <x:v>2026-07-06</x:v>
      </x:c>
      <x:c r="Q2062" s="36" t="n">
        <x:v>46209</x:v>
      </x:c>
    </x:row>
    <x:row r="2063">
      <x:c r="A2063" s="36" t="str">
        <x:v>2026-07-06</x:v>
      </x:c>
      <x:c r="B2063" s="18" t="str">
        <x:v>101437000_83911</x:v>
      </x:c>
      <x:c r="C2063" s="18" t="str">
        <x:v>【沪村小电】金瀚园充电站</x:v>
      </x:c>
      <x:c r="D2063" s="37" t="str">
        <x:v>2</x:v>
      </x:c>
      <x:c r="E2063" s="37" t="str">
        <x:v>0</x:v>
      </x:c>
      <x:c r="F2063" s="37" t="str">
        <x:v>33</x:v>
      </x:c>
      <x:c r="G2063" s="37" t="str">
        <x:v>715.88</x:v>
      </x:c>
      <x:c r="H2063" s="37" t="str">
        <x:v>0.00</x:v>
      </x:c>
      <x:c r="I2063" s="37" t="str">
        <x:v>416.40</x:v>
      </x:c>
      <x:c r="J2063" s="37" t="str">
        <x:v>0.00</x:v>
      </x:c>
      <x:c r="K2063" s="37" t="str">
        <x:v>299.48</x:v>
      </x:c>
      <x:c r="L2063" s="37" t="str">
        <x:v>1008</x:v>
      </x:c>
      <x:c r="M2063" s="29" t="str">
        <x:v>687.86</x:v>
      </x:c>
      <x:c r="N2063" s="29" t="str">
        <x:v>421.90</x:v>
      </x:c>
      <x:c r="O2063" s="29" t="str">
        <x:v>265.96</x:v>
      </x:c>
      <x:c r="P2063" s="18" t="str">
        <x:v>2026-07-06</x:v>
      </x:c>
      <x:c r="Q2063" s="36" t="n">
        <x:v>46209</x:v>
      </x:c>
    </x:row>
    <x:row r="2064">
      <x:c r="A2064" s="36" t="str">
        <x:v>2026-07-06</x:v>
      </x:c>
      <x:c r="B2064" s="18" t="str">
        <x:v>101437000_83913</x:v>
      </x:c>
      <x:c r="C2064" s="18" t="str">
        <x:v>【沪村小电】新黎村充电站</x:v>
      </x:c>
      <x:c r="D2064" s="37" t="str">
        <x:v>2</x:v>
      </x:c>
      <x:c r="E2064" s="37" t="str">
        <x:v>0</x:v>
      </x:c>
      <x:c r="F2064" s="37" t="str">
        <x:v>30</x:v>
      </x:c>
      <x:c r="G2064" s="37" t="str">
        <x:v>730.17</x:v>
      </x:c>
      <x:c r="H2064" s="37" t="str">
        <x:v>0.00</x:v>
      </x:c>
      <x:c r="I2064" s="37" t="str">
        <x:v>377.12</x:v>
      </x:c>
      <x:c r="J2064" s="37" t="str">
        <x:v>0.00</x:v>
      </x:c>
      <x:c r="K2064" s="37" t="str">
        <x:v>353.06</x:v>
      </x:c>
      <x:c r="L2064" s="37" t="str">
        <x:v>1043</x:v>
      </x:c>
      <x:c r="M2064" s="29" t="str">
        <x:v>752.25</x:v>
      </x:c>
      <x:c r="N2064" s="29" t="str">
        <x:v>579.34</x:v>
      </x:c>
      <x:c r="O2064" s="29" t="str">
        <x:v>172.91</x:v>
      </x:c>
      <x:c r="P2064" s="18" t="str">
        <x:v>2026-07-06</x:v>
      </x:c>
      <x:c r="Q2064" s="36" t="n">
        <x:v>46209</x:v>
      </x:c>
    </x:row>
    <x:row r="2065">
      <x:c r="A2065" s="36" t="str">
        <x:v>2026-07-06</x:v>
      </x:c>
      <x:c r="B2065" s="18" t="str">
        <x:v>101437000_83915</x:v>
      </x:c>
      <x:c r="C2065" s="18" t="str">
        <x:v>【沪村小电】长泰西郊别墅充电站</x:v>
      </x:c>
      <x:c r="D2065" s="37" t="str">
        <x:v>2</x:v>
      </x:c>
      <x:c r="E2065" s="37" t="str">
        <x:v>0</x:v>
      </x:c>
      <x:c r="F2065" s="37" t="str">
        <x:v>16</x:v>
      </x:c>
      <x:c r="G2065" s="37" t="str">
        <x:v>411.30</x:v>
      </x:c>
      <x:c r="H2065" s="37" t="str">
        <x:v>0.00</x:v>
      </x:c>
      <x:c r="I2065" s="37" t="str">
        <x:v>275.09</x:v>
      </x:c>
      <x:c r="J2065" s="37" t="str">
        <x:v>0.00</x:v>
      </x:c>
      <x:c r="K2065" s="37" t="str">
        <x:v>136.21</x:v>
      </x:c>
      <x:c r="L2065" s="37" t="str">
        <x:v>645</x:v>
      </x:c>
      <x:c r="M2065" s="29" t="str">
        <x:v>406.86</x:v>
      </x:c>
      <x:c r="N2065" s="29" t="str">
        <x:v>255.32</x:v>
      </x:c>
      <x:c r="O2065" s="29" t="str">
        <x:v>151.54</x:v>
      </x:c>
      <x:c r="P2065" s="18" t="str">
        <x:v>2026-07-06</x:v>
      </x:c>
      <x:c r="Q2065" s="36" t="n">
        <x:v>46209</x:v>
      </x:c>
    </x:row>
    <x:row r="2066">
      <x:c r="A2066" s="36" t="str">
        <x:v>2026-07-06</x:v>
      </x:c>
      <x:c r="B2066" s="18" t="str">
        <x:v>101437000_83917</x:v>
      </x:c>
      <x:c r="C2066" s="18" t="str">
        <x:v>【沪村小电】旭新华庭充电站</x:v>
      </x:c>
      <x:c r="D2066" s="37" t="str">
        <x:v>4</x:v>
      </x:c>
      <x:c r="E2066" s="37" t="str">
        <x:v>0</x:v>
      </x:c>
      <x:c r="F2066" s="37" t="str">
        <x:v>37</x:v>
      </x:c>
      <x:c r="G2066" s="37" t="str">
        <x:v>859.92</x:v>
      </x:c>
      <x:c r="H2066" s="37" t="str">
        <x:v>0.00</x:v>
      </x:c>
      <x:c r="I2066" s="37" t="str">
        <x:v>578.41</x:v>
      </x:c>
      <x:c r="J2066" s="37" t="str">
        <x:v>0.00</x:v>
      </x:c>
      <x:c r="K2066" s="37" t="str">
        <x:v>281.51</x:v>
      </x:c>
      <x:c r="L2066" s="37" t="str">
        <x:v>1390</x:v>
      </x:c>
      <x:c r="M2066" s="29" t="str">
        <x:v>845.97</x:v>
      </x:c>
      <x:c r="N2066" s="29" t="str">
        <x:v>534.98</x:v>
      </x:c>
      <x:c r="O2066" s="29" t="str">
        <x:v>310.99</x:v>
      </x:c>
      <x:c r="P2066" s="18" t="str">
        <x:v>2026-07-06</x:v>
      </x:c>
      <x:c r="Q2066" s="36" t="n">
        <x:v>46209</x:v>
      </x:c>
    </x:row>
    <x:row r="2067">
      <x:c r="A2067" s="36" t="str">
        <x:v>2026-07-06</x:v>
      </x:c>
      <x:c r="B2067" s="18" t="str">
        <x:v>101437000_83919</x:v>
      </x:c>
      <x:c r="C2067" s="18" t="str">
        <x:v>【沪村小电】浦锦名仕嘉园充电站</x:v>
      </x:c>
      <x:c r="D2067" s="37" t="str">
        <x:v>4</x:v>
      </x:c>
      <x:c r="E2067" s="37" t="str">
        <x:v>0</x:v>
      </x:c>
      <x:c r="F2067" s="37" t="str">
        <x:v>56</x:v>
      </x:c>
      <x:c r="G2067" s="37" t="str">
        <x:v>1352.07</x:v>
      </x:c>
      <x:c r="H2067" s="37" t="str">
        <x:v>0.00</x:v>
      </x:c>
      <x:c r="I2067" s="37" t="str">
        <x:v>0.00</x:v>
      </x:c>
      <x:c r="J2067" s="37" t="str">
        <x:v>1352.07</x:v>
      </x:c>
      <x:c r="K2067" s="37" t="str">
        <x:v>0.00</x:v>
      </x:c>
      <x:c r="L2067" s="37" t="str">
        <x:v>3442</x:v>
      </x:c>
      <x:c r="M2067" s="29" t="str">
        <x:v>1233.63</x:v>
      </x:c>
      <x:c r="N2067" s="29" t="str">
        <x:v>865.31</x:v>
      </x:c>
      <x:c r="O2067" s="29" t="str">
        <x:v>368.32</x:v>
      </x:c>
      <x:c r="P2067" s="18" t="str">
        <x:v>2026-07-06</x:v>
      </x:c>
      <x:c r="Q2067" s="36" t="n">
        <x:v>46209</x:v>
      </x:c>
    </x:row>
    <x:row r="2068">
      <x:c r="A2068" s="36" t="str">
        <x:v>2026-07-06</x:v>
      </x:c>
      <x:c r="B2068" s="18" t="str">
        <x:v>101437000_83921</x:v>
      </x:c>
      <x:c r="C2068" s="18" t="str">
        <x:v>【沪村小电】上海联怡枇杷乐园充电站（地库）</x:v>
      </x:c>
      <x:c r="D2068" s="37" t="str">
        <x:v>8</x:v>
      </x:c>
      <x:c r="E2068" s="37" t="str">
        <x:v>0</x:v>
      </x:c>
      <x:c r="F2068" s="37" t="str">
        <x:v>4</x:v>
      </x:c>
      <x:c r="G2068" s="37" t="str">
        <x:v>67.16</x:v>
      </x:c>
      <x:c r="H2068" s="37" t="str">
        <x:v>0.00</x:v>
      </x:c>
      <x:c r="I2068" s="37" t="str">
        <x:v>24.55</x:v>
      </x:c>
      <x:c r="J2068" s="37" t="str">
        <x:v>0.00</x:v>
      </x:c>
      <x:c r="K2068" s="37" t="str">
        <x:v>42.61</x:v>
      </x:c>
      <x:c r="L2068" s="37" t="str">
        <x:v>72</x:v>
      </x:c>
      <x:c r="M2068" s="29" t="str">
        <x:v>55.33</x:v>
      </x:c>
      <x:c r="N2068" s="29" t="str">
        <x:v>48.11</x:v>
      </x:c>
      <x:c r="O2068" s="29" t="str">
        <x:v>7.22</x:v>
      </x:c>
      <x:c r="P2068" s="18" t="str">
        <x:v>2026-07-06</x:v>
      </x:c>
      <x:c r="Q2068" s="36" t="n">
        <x:v>46209</x:v>
      </x:c>
    </x:row>
    <x:row r="2069">
      <x:c r="A2069" s="36" t="str">
        <x:v>2026-07-06</x:v>
      </x:c>
      <x:c r="B2069" s="18" t="str">
        <x:v>101437000_83923</x:v>
      </x:c>
      <x:c r="C2069" s="18" t="str">
        <x:v>【沪村小电】明珠新苑充电站</x:v>
      </x:c>
      <x:c r="D2069" s="37" t="str">
        <x:v>2</x:v>
      </x:c>
      <x:c r="E2069" s="37" t="str">
        <x:v>0</x:v>
      </x:c>
      <x:c r="F2069" s="37" t="str">
        <x:v>27</x:v>
      </x:c>
      <x:c r="G2069" s="37" t="str">
        <x:v>673.54</x:v>
      </x:c>
      <x:c r="H2069" s="37" t="str">
        <x:v>0.00</x:v>
      </x:c>
      <x:c r="I2069" s="37" t="str">
        <x:v>341.08</x:v>
      </x:c>
      <x:c r="J2069" s="37" t="str">
        <x:v>0.00</x:v>
      </x:c>
      <x:c r="K2069" s="37" t="str">
        <x:v>332.46</x:v>
      </x:c>
      <x:c r="L2069" s="37" t="str">
        <x:v>939</x:v>
      </x:c>
      <x:c r="M2069" s="29" t="str">
        <x:v>606.61</x:v>
      </x:c>
      <x:c r="N2069" s="29" t="str">
        <x:v>378.73</x:v>
      </x:c>
      <x:c r="O2069" s="29" t="str">
        <x:v>227.88</x:v>
      </x:c>
      <x:c r="P2069" s="18" t="str">
        <x:v>2026-07-06</x:v>
      </x:c>
      <x:c r="Q2069" s="36" t="n">
        <x:v>46209</x:v>
      </x:c>
    </x:row>
    <x:row r="2070">
      <x:c r="A2070" s="36" t="str">
        <x:v>2026-07-06</x:v>
      </x:c>
      <x:c r="B2070" s="18" t="str">
        <x:v>101437000_86379</x:v>
      </x:c>
      <x:c r="C2070" s="18" t="str">
        <x:v>【沪村小电】新宝社区充电站</x:v>
      </x:c>
      <x:c r="D2070" s="37" t="str">
        <x:v>4</x:v>
      </x:c>
      <x:c r="E2070" s="37" t="str">
        <x:v>0</x:v>
      </x:c>
      <x:c r="F2070" s="37" t="str">
        <x:v>33</x:v>
      </x:c>
      <x:c r="G2070" s="37" t="str">
        <x:v>735.30</x:v>
      </x:c>
      <x:c r="H2070" s="37" t="str">
        <x:v>0.00</x:v>
      </x:c>
      <x:c r="I2070" s="37" t="str">
        <x:v>525.85</x:v>
      </x:c>
      <x:c r="J2070" s="37" t="str">
        <x:v>0.00</x:v>
      </x:c>
      <x:c r="K2070" s="37" t="str">
        <x:v>209.45</x:v>
      </x:c>
      <x:c r="L2070" s="37" t="str">
        <x:v>1193</x:v>
      </x:c>
      <x:c r="M2070" s="29" t="str">
        <x:v>594.99</x:v>
      </x:c>
      <x:c r="N2070" s="29" t="str">
        <x:v>468.71</x:v>
      </x:c>
      <x:c r="O2070" s="29" t="str">
        <x:v>126.28</x:v>
      </x:c>
      <x:c r="P2070" s="18" t="str">
        <x:v>2026-07-06</x:v>
      </x:c>
      <x:c r="Q2070" s="36" t="n">
        <x:v>46209</x:v>
      </x:c>
    </x:row>
    <x:row r="2071">
      <x:c r="A2071" s="36" t="str">
        <x:v>2026-07-06</x:v>
      </x:c>
      <x:c r="B2071" s="18" t="str">
        <x:v>101437000_89441</x:v>
      </x:c>
      <x:c r="C2071" s="18" t="str">
        <x:v>【沪村小电】首创禧瑞云启西区充电站</x:v>
      </x:c>
      <x:c r="D2071" s="37" t="str">
        <x:v>2</x:v>
      </x:c>
      <x:c r="E2071" s="37" t="str">
        <x:v>0</x:v>
      </x:c>
      <x:c r="F2071" s="37" t="str">
        <x:v>57</x:v>
      </x:c>
      <x:c r="G2071" s="37" t="str">
        <x:v>1252.07</x:v>
      </x:c>
      <x:c r="H2071" s="37" t="str">
        <x:v>0.00</x:v>
      </x:c>
      <x:c r="I2071" s="37" t="str">
        <x:v>1125.59</x:v>
      </x:c>
      <x:c r="J2071" s="37" t="str">
        <x:v>0.00</x:v>
      </x:c>
      <x:c r="K2071" s="37" t="str">
        <x:v>126.48</x:v>
      </x:c>
      <x:c r="L2071" s="37" t="str">
        <x:v>1969</x:v>
      </x:c>
      <x:c r="M2071" s="29" t="str">
        <x:v>1136.80</x:v>
      </x:c>
      <x:c r="N2071" s="29" t="str">
        <x:v>822.19</x:v>
      </x:c>
      <x:c r="O2071" s="29" t="str">
        <x:v>314.61</x:v>
      </x:c>
      <x:c r="P2071" s="18" t="str">
        <x:v>2026-07-06</x:v>
      </x:c>
      <x:c r="Q2071" s="36" t="n">
        <x:v>46209</x:v>
      </x:c>
    </x:row>
    <x:row r="2072">
      <x:c r="A2072" s="36" t="str">
        <x:v>2026-07-06</x:v>
      </x:c>
      <x:c r="B2072" s="18" t="str">
        <x:v>101437000_89443</x:v>
      </x:c>
      <x:c r="C2072" s="18" t="str">
        <x:v>【沪村小电】玉兰清苑二期充电站</x:v>
      </x:c>
      <x:c r="D2072" s="37" t="str">
        <x:v>2</x:v>
      </x:c>
      <x:c r="E2072" s="37" t="str">
        <x:v>0</x:v>
      </x:c>
      <x:c r="F2072" s="37" t="str">
        <x:v>27</x:v>
      </x:c>
      <x:c r="G2072" s="37" t="str">
        <x:v>609.49</x:v>
      </x:c>
      <x:c r="H2072" s="37" t="str">
        <x:v>0.00</x:v>
      </x:c>
      <x:c r="I2072" s="37" t="str">
        <x:v>461.81</x:v>
      </x:c>
      <x:c r="J2072" s="37" t="str">
        <x:v>0.00</x:v>
      </x:c>
      <x:c r="K2072" s="37" t="str">
        <x:v>147.68</x:v>
      </x:c>
      <x:c r="L2072" s="37" t="str">
        <x:v>1143</x:v>
      </x:c>
      <x:c r="M2072" s="29" t="str">
        <x:v>564.63</x:v>
      </x:c>
      <x:c r="N2072" s="29" t="str">
        <x:v>397.83</x:v>
      </x:c>
      <x:c r="O2072" s="29" t="str">
        <x:v>166.80</x:v>
      </x:c>
      <x:c r="P2072" s="18" t="str">
        <x:v>2026-07-06</x:v>
      </x:c>
      <x:c r="Q2072" s="36" t="n">
        <x:v>46209</x:v>
      </x:c>
    </x:row>
    <x:row r="2073">
      <x:c r="A2073" s="36" t="str">
        <x:v>2026-07-06</x:v>
      </x:c>
      <x:c r="B2073" s="18" t="str">
        <x:v>101437000_93115</x:v>
      </x:c>
      <x:c r="C2073" s="18" t="str">
        <x:v>【沪村小电】新南家园西北门</x:v>
      </x:c>
      <x:c r="D2073" s="37" t="str">
        <x:v>2</x:v>
      </x:c>
      <x:c r="E2073" s="37" t="str">
        <x:v>0</x:v>
      </x:c>
      <x:c r="F2073" s="37" t="str">
        <x:v>30</x:v>
      </x:c>
      <x:c r="G2073" s="37" t="str">
        <x:v>712.27</x:v>
      </x:c>
      <x:c r="H2073" s="37" t="str">
        <x:v>0.00</x:v>
      </x:c>
      <x:c r="I2073" s="37" t="str">
        <x:v>381.70</x:v>
      </x:c>
      <x:c r="J2073" s="37" t="str">
        <x:v>0.00</x:v>
      </x:c>
      <x:c r="K2073" s="37" t="str">
        <x:v>330.57</x:v>
      </x:c>
      <x:c r="L2073" s="37" t="str">
        <x:v>1048</x:v>
      </x:c>
      <x:c r="M2073" s="29" t="str">
        <x:v>598.11</x:v>
      </x:c>
      <x:c r="N2073" s="29" t="str">
        <x:v>382.34</x:v>
      </x:c>
      <x:c r="O2073" s="29" t="str">
        <x:v>215.77</x:v>
      </x:c>
      <x:c r="P2073" s="18" t="str">
        <x:v>2026-07-06</x:v>
      </x:c>
      <x:c r="Q2073" s="36" t="n">
        <x:v>46209</x:v>
      </x:c>
    </x:row>
    <x:row r="2074">
      <x:c r="A2074" s="36" t="str">
        <x:v>2026-07-06</x:v>
      </x:c>
      <x:c r="B2074" s="18" t="str">
        <x:v>101437000_94649</x:v>
      </x:c>
      <x:c r="C2074" s="18" t="str">
        <x:v>【沪村小电】浪琴水岸花园</x:v>
      </x:c>
      <x:c r="D2074" s="37" t="str">
        <x:v>4</x:v>
      </x:c>
      <x:c r="E2074" s="37" t="str">
        <x:v>0</x:v>
      </x:c>
      <x:c r="F2074" s="37" t="str">
        <x:v>22</x:v>
      </x:c>
      <x:c r="G2074" s="37" t="str">
        <x:v>477.14</x:v>
      </x:c>
      <x:c r="H2074" s="37" t="str">
        <x:v>0.00</x:v>
      </x:c>
      <x:c r="I2074" s="37" t="str">
        <x:v>245.36</x:v>
      </x:c>
      <x:c r="J2074" s="37" t="str">
        <x:v>0.00</x:v>
      </x:c>
      <x:c r="K2074" s="37" t="str">
        <x:v>231.79</x:v>
      </x:c>
      <x:c r="L2074" s="37" t="str">
        <x:v>913</x:v>
      </x:c>
      <x:c r="M2074" s="29" t="str">
        <x:v>391.08</x:v>
      </x:c>
      <x:c r="N2074" s="29" t="str">
        <x:v>252.70</x:v>
      </x:c>
      <x:c r="O2074" s="29" t="str">
        <x:v>138.38</x:v>
      </x:c>
      <x:c r="P2074" s="18" t="str">
        <x:v>2026-07-06</x:v>
      </x:c>
      <x:c r="Q2074" s="36" t="n">
        <x:v>46209</x:v>
      </x:c>
    </x:row>
    <x:row r="2075">
      <x:c r="A2075" s="36" t="str">
        <x:v>2026-07-06</x:v>
      </x:c>
      <x:c r="B2075" s="18" t="str">
        <x:v>101437000_95077</x:v>
      </x:c>
      <x:c r="C2075" s="18" t="str">
        <x:v>【沪村小电】民乐城惠益绿苑255弄充电站</x:v>
      </x:c>
      <x:c r="D2075" s="37" t="str">
        <x:v>2</x:v>
      </x:c>
      <x:c r="E2075" s="37" t="str">
        <x:v>0</x:v>
      </x:c>
      <x:c r="F2075" s="37" t="str">
        <x:v>13</x:v>
      </x:c>
      <x:c r="G2075" s="37" t="str">
        <x:v>292.86</x:v>
      </x:c>
      <x:c r="H2075" s="37" t="str">
        <x:v>0.00</x:v>
      </x:c>
      <x:c r="I2075" s="37" t="str">
        <x:v>276.23</x:v>
      </x:c>
      <x:c r="J2075" s="37" t="str">
        <x:v>0.00</x:v>
      </x:c>
      <x:c r="K2075" s="37" t="str">
        <x:v>16.62</x:v>
      </x:c>
      <x:c r="L2075" s="37" t="str">
        <x:v>474</x:v>
      </x:c>
      <x:c r="M2075" s="29" t="str">
        <x:v>290.59</x:v>
      </x:c>
      <x:c r="N2075" s="29" t="str">
        <x:v>210.74</x:v>
      </x:c>
      <x:c r="O2075" s="29" t="str">
        <x:v>79.85</x:v>
      </x:c>
      <x:c r="P2075" s="18" t="str">
        <x:v>2026-07-06</x:v>
      </x:c>
      <x:c r="Q2075" s="36" t="n">
        <x:v>46209</x:v>
      </x:c>
    </x:row>
    <x:row r="2076">
      <x:c r="A2076" s="36" t="str">
        <x:v>2026-07-06</x:v>
      </x:c>
      <x:c r="B2076" s="18" t="str">
        <x:v>101437000_95079</x:v>
      </x:c>
      <x:c r="C2076" s="18" t="str">
        <x:v>【沪村小电】民乐城惠益绿苑东苑充电站</x:v>
      </x:c>
      <x:c r="D2076" s="37" t="str">
        <x:v>2</x:v>
      </x:c>
      <x:c r="E2076" s="37" t="str">
        <x:v>0</x:v>
      </x:c>
      <x:c r="F2076" s="37" t="str">
        <x:v>8</x:v>
      </x:c>
      <x:c r="G2076" s="37" t="str">
        <x:v>286.05</x:v>
      </x:c>
      <x:c r="H2076" s="37" t="str">
        <x:v>0.00</x:v>
      </x:c>
      <x:c r="I2076" s="37" t="str">
        <x:v>236.96</x:v>
      </x:c>
      <x:c r="J2076" s="37" t="str">
        <x:v>0.00</x:v>
      </x:c>
      <x:c r="K2076" s="37" t="str">
        <x:v>49.09</x:v>
      </x:c>
      <x:c r="L2076" s="37" t="str">
        <x:v>386</x:v>
      </x:c>
      <x:c r="M2076" s="29" t="str">
        <x:v>257.65</x:v>
      </x:c>
      <x:c r="N2076" s="29" t="str">
        <x:v>181.16</x:v>
      </x:c>
      <x:c r="O2076" s="29" t="str">
        <x:v>76.49</x:v>
      </x:c>
      <x:c r="P2076" s="18" t="str">
        <x:v>2026-07-06</x:v>
      </x:c>
      <x:c r="Q2076" s="36" t="n">
        <x:v>46209</x:v>
      </x:c>
    </x:row>
    <x:row r="2077">
      <x:c r="A2077" s="36" t="str">
        <x:v>2026-07-06</x:v>
      </x:c>
      <x:c r="B2077" s="18" t="str">
        <x:v>101437000_95081</x:v>
      </x:c>
      <x:c r="C2077" s="18" t="str">
        <x:v>【沪村小电】民乐城惠益绿苑西苑充电站</x:v>
      </x:c>
      <x:c r="D2077" s="37" t="str">
        <x:v>2</x:v>
      </x:c>
      <x:c r="E2077" s="37" t="str">
        <x:v>0</x:v>
      </x:c>
      <x:c r="F2077" s="37" t="str">
        <x:v>8</x:v>
      </x:c>
      <x:c r="G2077" s="37" t="str">
        <x:v>180.60</x:v>
      </x:c>
      <x:c r="H2077" s="37" t="str">
        <x:v>0.00</x:v>
      </x:c>
      <x:c r="I2077" s="37" t="str">
        <x:v>169.60</x:v>
      </x:c>
      <x:c r="J2077" s="37" t="str">
        <x:v>0.00</x:v>
      </x:c>
      <x:c r="K2077" s="37" t="str">
        <x:v>11.00</x:v>
      </x:c>
      <x:c r="L2077" s="37" t="str">
        <x:v>288</x:v>
      </x:c>
      <x:c r="M2077" s="29" t="str">
        <x:v>185.20</x:v>
      </x:c>
      <x:c r="N2077" s="29" t="str">
        <x:v>120.99</x:v>
      </x:c>
      <x:c r="O2077" s="29" t="str">
        <x:v>64.21</x:v>
      </x:c>
      <x:c r="P2077" s="18" t="str">
        <x:v>2026-07-06</x:v>
      </x:c>
      <x:c r="Q2077" s="36" t="n">
        <x:v>46209</x:v>
      </x:c>
    </x:row>
    <x:row r="2078">
      <x:c r="A2078" s="36" t="str">
        <x:v>2026-07-06</x:v>
      </x:c>
      <x:c r="B2078" s="18" t="str">
        <x:v>101437000_95091</x:v>
      </x:c>
      <x:c r="C2078" s="18" t="str">
        <x:v>【沪村小电】金悦学府2号站</x:v>
      </x:c>
      <x:c r="D2078" s="37" t="str">
        <x:v>2</x:v>
      </x:c>
      <x:c r="E2078" s="37" t="str">
        <x:v>0</x:v>
      </x:c>
      <x:c r="F2078" s="37" t="str">
        <x:v>14</x:v>
      </x:c>
      <x:c r="G2078" s="37" t="str">
        <x:v>377.12</x:v>
      </x:c>
      <x:c r="H2078" s="37" t="str">
        <x:v>0.00</x:v>
      </x:c>
      <x:c r="I2078" s="37" t="str">
        <x:v>0.00</x:v>
      </x:c>
      <x:c r="J2078" s="37" t="str">
        <x:v>377.12</x:v>
      </x:c>
      <x:c r="K2078" s="37" t="str">
        <x:v>0.00</x:v>
      </x:c>
      <x:c r="L2078" s="37" t="str">
        <x:v>517</x:v>
      </x:c>
      <x:c r="M2078" s="29" t="str">
        <x:v>297.93</x:v>
      </x:c>
      <x:c r="N2078" s="29" t="str">
        <x:v>211.19</x:v>
      </x:c>
      <x:c r="O2078" s="29" t="str">
        <x:v>86.74</x:v>
      </x:c>
      <x:c r="P2078" s="18" t="str">
        <x:v>2026-07-06</x:v>
      </x:c>
      <x:c r="Q2078" s="36" t="n">
        <x:v>46209</x:v>
      </x:c>
    </x:row>
    <x:row r="2079">
      <x:c r="A2079" s="36" t="str">
        <x:v>2026-07-06</x:v>
      </x:c>
      <x:c r="B2079" s="18" t="str">
        <x:v>101437000_95941</x:v>
      </x:c>
      <x:c r="C2079" s="18" t="str">
        <x:v>【沪村小电】惠诚雅苑</x:v>
      </x:c>
      <x:c r="D2079" s="37" t="str">
        <x:v>4</x:v>
      </x:c>
      <x:c r="E2079" s="37" t="str">
        <x:v>0</x:v>
      </x:c>
      <x:c r="F2079" s="37" t="str">
        <x:v>49</x:v>
      </x:c>
      <x:c r="G2079" s="37" t="str">
        <x:v>1328.08</x:v>
      </x:c>
      <x:c r="H2079" s="37" t="str">
        <x:v>0.00</x:v>
      </x:c>
      <x:c r="I2079" s="37" t="str">
        <x:v>488.81</x:v>
      </x:c>
      <x:c r="J2079" s="37" t="str">
        <x:v>0.00</x:v>
      </x:c>
      <x:c r="K2079" s="37" t="str">
        <x:v>839.28</x:v>
      </x:c>
      <x:c r="L2079" s="37" t="str">
        <x:v>2165</x:v>
      </x:c>
      <x:c r="M2079" s="29" t="str">
        <x:v>840.34</x:v>
      </x:c>
      <x:c r="N2079" s="29" t="str">
        <x:v>548.60</x:v>
      </x:c>
      <x:c r="O2079" s="29" t="str">
        <x:v>291.74</x:v>
      </x:c>
      <x:c r="P2079" s="18" t="str">
        <x:v>2026-07-06</x:v>
      </x:c>
      <x:c r="Q2079" s="36" t="n">
        <x:v>46209</x:v>
      </x:c>
    </x:row>
    <x:row r="2080">
      <x:c r="A2080" s="36" t="str">
        <x:v>2026-07-06</x:v>
      </x:c>
      <x:c r="B2080" s="18" t="str">
        <x:v>101437000_96401</x:v>
      </x:c>
      <x:c r="C2080" s="18" t="str">
        <x:v>【沪村小电】上海联怡枇杷乐园地面站</x:v>
      </x:c>
      <x:c r="D2080" s="37" t="str">
        <x:v>2</x:v>
      </x:c>
      <x:c r="E2080" s="37" t="str">
        <x:v>0</x:v>
      </x:c>
      <x:c r="F2080" s="37" t="str">
        <x:v>8</x:v>
      </x:c>
      <x:c r="G2080" s="37" t="str">
        <x:v>207.24</x:v>
      </x:c>
      <x:c r="H2080" s="37" t="str">
        <x:v>0.00</x:v>
      </x:c>
      <x:c r="I2080" s="37" t="str">
        <x:v>19.74</x:v>
      </x:c>
      <x:c r="J2080" s="37" t="str">
        <x:v>0.00</x:v>
      </x:c>
      <x:c r="K2080" s="37" t="str">
        <x:v>187.51</x:v>
      </x:c>
      <x:c r="L2080" s="37" t="str">
        <x:v>348</x:v>
      </x:c>
      <x:c r="M2080" s="29" t="str">
        <x:v>137.68</x:v>
      </x:c>
      <x:c r="N2080" s="29" t="str">
        <x:v>119.90</x:v>
      </x:c>
      <x:c r="O2080" s="29" t="str">
        <x:v>17.78</x:v>
      </x:c>
      <x:c r="P2080" s="18" t="str">
        <x:v>2026-07-06</x:v>
      </x:c>
      <x:c r="Q2080" s="36" t="n">
        <x:v>46209</x:v>
      </x:c>
    </x:row>
    <x:row r="2081">
      <x:c r="A2081" s="36" t="str">
        <x:v>2026-07-06</x:v>
      </x:c>
      <x:c r="B2081" s="18" t="str">
        <x:v>101437000_96719</x:v>
      </x:c>
      <x:c r="C2081" s="18" t="str">
        <x:v>【沪村小电】四达路220弄充电站</x:v>
      </x:c>
      <x:c r="D2081" s="37" t="str">
        <x:v>2</x:v>
      </x:c>
      <x:c r="E2081" s="37" t="str">
        <x:v>0</x:v>
      </x:c>
      <x:c r="F2081" s="37" t="str">
        <x:v>1</x:v>
      </x:c>
      <x:c r="G2081" s="37" t="str">
        <x:v>6.56</x:v>
      </x:c>
      <x:c r="H2081" s="37" t="str">
        <x:v>0.00</x:v>
      </x:c>
      <x:c r="I2081" s="37" t="str">
        <x:v>0.00</x:v>
      </x:c>
      <x:c r="J2081" s="37" t="str">
        <x:v>0.00</x:v>
      </x:c>
      <x:c r="K2081" s="37" t="str">
        <x:v>6.56</x:v>
      </x:c>
      <x:c r="L2081" s="37" t="str">
        <x:v>17</x:v>
      </x:c>
      <x:c r="M2081" s="29" t="str">
        <x:v>4.53</x:v>
      </x:c>
      <x:c r="N2081" s="29" t="str">
        <x:v>2.23</x:v>
      </x:c>
      <x:c r="O2081" s="29" t="str">
        <x:v>2.30</x:v>
      </x:c>
      <x:c r="P2081" s="18" t="str">
        <x:v>2026-07-06</x:v>
      </x:c>
      <x:c r="Q2081" s="36" t="n">
        <x:v>46209</x:v>
      </x:c>
    </x:row>
    <x:row r="2082">
      <x:c r="A2082" s="36" t="str">
        <x:v>2026-07-06</x:v>
      </x:c>
      <x:c r="B2082" s="18" t="str">
        <x:v>101437000_97421</x:v>
      </x:c>
      <x:c r="C2082" s="18" t="str">
        <x:v>【沪村小电】玉兰清苑二期（小区外）充电站</x:v>
      </x:c>
      <x:c r="D2082" s="37" t="str">
        <x:v>4</x:v>
      </x:c>
      <x:c r="E2082" s="37" t="str">
        <x:v>0</x:v>
      </x:c>
      <x:c r="F2082" s="37" t="str">
        <x:v>48</x:v>
      </x:c>
      <x:c r="G2082" s="37" t="str">
        <x:v>1242.47</x:v>
      </x:c>
      <x:c r="H2082" s="37" t="str">
        <x:v>0.00</x:v>
      </x:c>
      <x:c r="I2082" s="37" t="str">
        <x:v>1077.76</x:v>
      </x:c>
      <x:c r="J2082" s="37" t="str">
        <x:v>0.00</x:v>
      </x:c>
      <x:c r="K2082" s="37" t="str">
        <x:v>164.70</x:v>
      </x:c>
      <x:c r="L2082" s="37" t="str">
        <x:v>2218</x:v>
      </x:c>
      <x:c r="M2082" s="29" t="str">
        <x:v>1161.57</x:v>
      </x:c>
      <x:c r="N2082" s="29" t="str">
        <x:v>860.13</x:v>
      </x:c>
      <x:c r="O2082" s="29" t="str">
        <x:v>301.44</x:v>
      </x:c>
      <x:c r="P2082" s="18" t="str">
        <x:v>2026-07-06</x:v>
      </x:c>
      <x:c r="Q2082" s="36" t="n">
        <x:v>46209</x:v>
      </x:c>
    </x:row>
    <x:row r="2083">
      <x:c r="A2083" s="36" t="str">
        <x:v>2026-07-06</x:v>
      </x:c>
      <x:c r="B2083" s="18" t="str">
        <x:v>101437000_98013</x:v>
      </x:c>
      <x:c r="C2083" s="18" t="str">
        <x:v>【沪村小电】恒大滨江华府充电站</x:v>
      </x:c>
      <x:c r="D2083" s="37" t="str">
        <x:v>4</x:v>
      </x:c>
      <x:c r="E2083" s="37" t="str">
        <x:v>0</x:v>
      </x:c>
      <x:c r="F2083" s="37" t="str">
        <x:v>24</x:v>
      </x:c>
      <x:c r="G2083" s="37" t="str">
        <x:v>434.02</x:v>
      </x:c>
      <x:c r="H2083" s="37" t="str">
        <x:v>0.00</x:v>
      </x:c>
      <x:c r="I2083" s="37" t="str">
        <x:v>340.73</x:v>
      </x:c>
      <x:c r="J2083" s="37" t="str">
        <x:v>0.00</x:v>
      </x:c>
      <x:c r="K2083" s="37" t="str">
        <x:v>93.29</x:v>
      </x:c>
      <x:c r="L2083" s="37" t="str">
        <x:v>603</x:v>
      </x:c>
      <x:c r="M2083" s="29" t="str">
        <x:v>497.10</x:v>
      </x:c>
      <x:c r="N2083" s="29" t="str">
        <x:v>403.80</x:v>
      </x:c>
      <x:c r="O2083" s="29" t="str">
        <x:v>93.30</x:v>
      </x:c>
      <x:c r="P2083" s="18" t="str">
        <x:v>2026-07-06</x:v>
      </x:c>
      <x:c r="Q2083" s="36" t="n">
        <x:v>46209</x:v>
      </x:c>
    </x:row>
    <x:row r="2084">
      <x:c r="A2084" s="36" t="str">
        <x:v>2026-07-06</x:v>
      </x:c>
      <x:c r="B2084" s="18" t="str">
        <x:v>101437000_98863</x:v>
      </x:c>
      <x:c r="C2084" s="18" t="str">
        <x:v>【沪村小电】欣菊苑充电站</x:v>
      </x:c>
      <x:c r="D2084" s="37" t="str">
        <x:v>4</x:v>
      </x:c>
      <x:c r="E2084" s="37" t="str">
        <x:v>0</x:v>
      </x:c>
      <x:c r="F2084" s="37" t="str">
        <x:v>10</x:v>
      </x:c>
      <x:c r="G2084" s="37" t="str">
        <x:v>219.06</x:v>
      </x:c>
      <x:c r="H2084" s="37" t="str">
        <x:v>0.00</x:v>
      </x:c>
      <x:c r="I2084" s="37" t="str">
        <x:v>219.06</x:v>
      </x:c>
      <x:c r="J2084" s="37" t="str">
        <x:v>0.00</x:v>
      </x:c>
      <x:c r="K2084" s="37" t="str">
        <x:v>0.00</x:v>
      </x:c>
      <x:c r="L2084" s="37" t="str">
        <x:v>263</x:v>
      </x:c>
      <x:c r="M2084" s="29" t="str">
        <x:v>189.75</x:v>
      </x:c>
      <x:c r="N2084" s="29" t="str">
        <x:v>162.11</x:v>
      </x:c>
      <x:c r="O2084" s="29" t="str">
        <x:v>27.64</x:v>
      </x:c>
      <x:c r="P2084" s="18" t="str">
        <x:v>2026-07-06</x:v>
      </x:c>
      <x:c r="Q2084" s="36" t="n">
        <x:v>46209</x:v>
      </x:c>
    </x:row>
    <x:row r="2085">
      <x:c r="A2085" s="36" t="str">
        <x:v>2026-07-06</x:v>
      </x:c>
      <x:c r="B2085" s="18" t="str">
        <x:v>101437000_98865</x:v>
      </x:c>
      <x:c r="C2085" s="18" t="str">
        <x:v>【沪村小电】欣松苑充电站</x:v>
      </x:c>
      <x:c r="D2085" s="37" t="str">
        <x:v>4</x:v>
      </x:c>
      <x:c r="E2085" s="37" t="str">
        <x:v>0</x:v>
      </x:c>
      <x:c r="F2085" s="37" t="str">
        <x:v>26</x:v>
      </x:c>
      <x:c r="G2085" s="37" t="str">
        <x:v>434.75</x:v>
      </x:c>
      <x:c r="H2085" s="37" t="str">
        <x:v>0.00</x:v>
      </x:c>
      <x:c r="I2085" s="37" t="str">
        <x:v>359.82</x:v>
      </x:c>
      <x:c r="J2085" s="37" t="str">
        <x:v>0.00</x:v>
      </x:c>
      <x:c r="K2085" s="37" t="str">
        <x:v>74.93</x:v>
      </x:c>
      <x:c r="L2085" s="37" t="str">
        <x:v>617</x:v>
      </x:c>
      <x:c r="M2085" s="29" t="str">
        <x:v>371.92</x:v>
      </x:c>
      <x:c r="N2085" s="29" t="str">
        <x:v>294.72</x:v>
      </x:c>
      <x:c r="O2085" s="29" t="str">
        <x:v>77.20</x:v>
      </x:c>
      <x:c r="P2085" s="18" t="str">
        <x:v>2026-07-06</x:v>
      </x:c>
      <x:c r="Q2085" s="36" t="n">
        <x:v>46209</x:v>
      </x:c>
    </x:row>
    <x:row r="2086">
      <x:c r="A2086" s="36" t="str">
        <x:v>2026-07-06</x:v>
      </x:c>
      <x:c r="B2086" s="18" t="str">
        <x:v>101437000_98867</x:v>
      </x:c>
      <x:c r="C2086" s="18" t="str">
        <x:v>【沪村小电】欣荷苑充电站</x:v>
      </x:c>
      <x:c r="D2086" s="37" t="str">
        <x:v>4</x:v>
      </x:c>
      <x:c r="E2086" s="37" t="str">
        <x:v>0</x:v>
      </x:c>
      <x:c r="F2086" s="37" t="str">
        <x:v>17</x:v>
      </x:c>
      <x:c r="G2086" s="37" t="str">
        <x:v>450.47</x:v>
      </x:c>
      <x:c r="H2086" s="37" t="str">
        <x:v>0.00</x:v>
      </x:c>
      <x:c r="I2086" s="37" t="str">
        <x:v>420.11</x:v>
      </x:c>
      <x:c r="J2086" s="37" t="str">
        <x:v>0.00</x:v>
      </x:c>
      <x:c r="K2086" s="37" t="str">
        <x:v>30.35</x:v>
      </x:c>
      <x:c r="L2086" s="37" t="str">
        <x:v>617</x:v>
      </x:c>
      <x:c r="M2086" s="29" t="str">
        <x:v>384.78</x:v>
      </x:c>
      <x:c r="N2086" s="29" t="str">
        <x:v>322.40</x:v>
      </x:c>
      <x:c r="O2086" s="29" t="str">
        <x:v>62.38</x:v>
      </x:c>
      <x:c r="P2086" s="18" t="str">
        <x:v>2026-07-06</x:v>
      </x:c>
      <x:c r="Q2086" s="36" t="n">
        <x:v>46209</x:v>
      </x:c>
    </x:row>
    <x:row r="2087">
      <x:c r="A2087" s="36" t="str">
        <x:v>2026-07-06</x:v>
      </x:c>
      <x:c r="B2087" s="18" t="str">
        <x:v>101437000_99885</x:v>
      </x:c>
      <x:c r="C2087" s="18" t="str">
        <x:v>【沪村小电】汇丰馨苑充电站</x:v>
      </x:c>
      <x:c r="D2087" s="37" t="str">
        <x:v>4</x:v>
      </x:c>
      <x:c r="E2087" s="37" t="str">
        <x:v>0</x:v>
      </x:c>
      <x:c r="F2087" s="37" t="str">
        <x:v>12</x:v>
      </x:c>
      <x:c r="G2087" s="37" t="str">
        <x:v>210.14</x:v>
      </x:c>
      <x:c r="H2087" s="37" t="str">
        <x:v>0.00</x:v>
      </x:c>
      <x:c r="I2087" s="37" t="str">
        <x:v>141.62</x:v>
      </x:c>
      <x:c r="J2087" s="37" t="str">
        <x:v>26.30</x:v>
      </x:c>
      <x:c r="K2087" s="37" t="str">
        <x:v>42.21</x:v>
      </x:c>
      <x:c r="L2087" s="37" t="str">
        <x:v>262</x:v>
      </x:c>
      <x:c r="M2087" s="29" t="str">
        <x:v>236.71</x:v>
      </x:c>
      <x:c r="N2087" s="29" t="str">
        <x:v>207.48</x:v>
      </x:c>
      <x:c r="O2087" s="29" t="str">
        <x:v>29.23</x:v>
      </x:c>
      <x:c r="P2087" s="18" t="str">
        <x:v>2026-07-06</x:v>
      </x:c>
      <x:c r="Q2087" s="36" t="n">
        <x:v>46209</x:v>
      </x:c>
    </x:row>
    <x:row r="2088">
      <x:c r="A2088" s="36" t="str">
        <x:v>2026-07-06</x:v>
      </x:c>
      <x:c r="B2088" s="18" t="str">
        <x:v>101437000_99887</x:v>
      </x:c>
      <x:c r="C2088" s="18" t="str">
        <x:v>【沪村小电】新南村河南小区充电站</x:v>
      </x:c>
      <x:c r="D2088" s="37" t="str">
        <x:v>2</x:v>
      </x:c>
      <x:c r="E2088" s="37" t="str">
        <x:v>0</x:v>
      </x:c>
      <x:c r="F2088" s="37" t="str">
        <x:v>17</x:v>
      </x:c>
      <x:c r="G2088" s="37" t="str">
        <x:v>380.52</x:v>
      </x:c>
      <x:c r="H2088" s="37" t="str">
        <x:v>0.00</x:v>
      </x:c>
      <x:c r="I2088" s="37" t="str">
        <x:v>309.67</x:v>
      </x:c>
      <x:c r="J2088" s="37" t="str">
        <x:v>0.00</x:v>
      </x:c>
      <x:c r="K2088" s="37" t="str">
        <x:v>70.84</x:v>
      </x:c>
      <x:c r="L2088" s="37" t="str">
        <x:v>747</x:v>
      </x:c>
      <x:c r="M2088" s="29" t="str">
        <x:v>335.21</x:v>
      </x:c>
      <x:c r="N2088" s="29" t="str">
        <x:v>256.08</x:v>
      </x:c>
      <x:c r="O2088" s="29" t="str">
        <x:v>79.13</x:v>
      </x:c>
      <x:c r="P2088" s="18" t="str">
        <x:v>2026-07-06</x:v>
      </x:c>
      <x:c r="Q2088" s="36" t="n">
        <x:v>46209</x:v>
      </x:c>
    </x:row>
    <x:row r="2089">
      <x:c r="A2089" s="36" t="str">
        <x:v>2026-07-06</x:v>
      </x:c>
      <x:c r="B2089" s="18" t="str">
        <x:v>101437000_99891</x:v>
      </x:c>
      <x:c r="C2089" s="18" t="str">
        <x:v>【沪村小电】水韵紫城充电站</x:v>
      </x:c>
      <x:c r="D2089" s="37" t="str">
        <x:v>4</x:v>
      </x:c>
      <x:c r="E2089" s="37" t="str">
        <x:v>0</x:v>
      </x:c>
      <x:c r="F2089" s="37" t="str">
        <x:v>25</x:v>
      </x:c>
      <x:c r="G2089" s="37" t="str">
        <x:v>560.80</x:v>
      </x:c>
      <x:c r="H2089" s="37" t="str">
        <x:v>0.00</x:v>
      </x:c>
      <x:c r="I2089" s="37" t="str">
        <x:v>359.82</x:v>
      </x:c>
      <x:c r="J2089" s="37" t="str">
        <x:v>0.00</x:v>
      </x:c>
      <x:c r="K2089" s="37" t="str">
        <x:v>200.97</x:v>
      </x:c>
      <x:c r="L2089" s="37" t="str">
        <x:v>764</x:v>
      </x:c>
      <x:c r="M2089" s="29" t="str">
        <x:v>540.21</x:v>
      </x:c>
      <x:c r="N2089" s="29" t="str">
        <x:v>342.63</x:v>
      </x:c>
      <x:c r="O2089" s="29" t="str">
        <x:v>197.58</x:v>
      </x:c>
      <x:c r="P2089" s="18" t="str">
        <x:v>2026-07-06</x:v>
      </x:c>
      <x:c r="Q2089" s="36" t="n">
        <x:v>46209</x:v>
      </x:c>
    </x:row>
    <x:row r="2090">
      <x:c r="A2090" s="36" t="str">
        <x:v>2026-07-05</x:v>
      </x:c>
      <x:c r="B2090" s="18" t="str">
        <x:v>101437000_41561</x:v>
      </x:c>
      <x:c r="C2090" s="18" t="str">
        <x:v>【沪村小电】张施小区大门处快充站</x:v>
      </x:c>
      <x:c r="D2090" s="37" t="str">
        <x:v>2</x:v>
      </x:c>
      <x:c r="E2090" s="37" t="str">
        <x:v>0</x:v>
      </x:c>
      <x:c r="F2090" s="37" t="str">
        <x:v>47</x:v>
      </x:c>
      <x:c r="G2090" s="37" t="str">
        <x:v>1001.92</x:v>
      </x:c>
      <x:c r="H2090" s="37" t="str">
        <x:v>0.00</x:v>
      </x:c>
      <x:c r="I2090" s="37" t="str">
        <x:v>670.15</x:v>
      </x:c>
      <x:c r="J2090" s="37" t="str">
        <x:v>0.00</x:v>
      </x:c>
      <x:c r="K2090" s="37" t="str">
        <x:v>331.77</x:v>
      </x:c>
      <x:c r="L2090" s="37" t="str">
        <x:v>1963</x:v>
      </x:c>
      <x:c r="M2090" s="29" t="str">
        <x:v>807.16</x:v>
      </x:c>
      <x:c r="N2090" s="29" t="str">
        <x:v>621.95</x:v>
      </x:c>
      <x:c r="O2090" s="29" t="str">
        <x:v>185.21</x:v>
      </x:c>
      <x:c r="P2090" s="18" t="str">
        <x:v>2026-07-05</x:v>
      </x:c>
      <x:c r="Q2090" s="36" t="n">
        <x:v>46208</x:v>
      </x:c>
    </x:row>
    <x:row r="2091">
      <x:c r="A2091" s="36" t="str">
        <x:v>2026-07-05</x:v>
      </x:c>
      <x:c r="B2091" s="18" t="str">
        <x:v>101437000_41563</x:v>
      </x:c>
      <x:c r="C2091" s="18" t="str">
        <x:v>【沪村小电】同心村快充站</x:v>
      </x:c>
      <x:c r="D2091" s="37" t="str">
        <x:v>4</x:v>
      </x:c>
      <x:c r="E2091" s="37" t="str">
        <x:v>0</x:v>
      </x:c>
      <x:c r="F2091" s="37" t="str">
        <x:v>68</x:v>
      </x:c>
      <x:c r="G2091" s="37" t="str">
        <x:v>1219.81</x:v>
      </x:c>
      <x:c r="H2091" s="37" t="str">
        <x:v>0.00</x:v>
      </x:c>
      <x:c r="I2091" s="37" t="str">
        <x:v>885.35</x:v>
      </x:c>
      <x:c r="J2091" s="37" t="str">
        <x:v>0.00</x:v>
      </x:c>
      <x:c r="K2091" s="37" t="str">
        <x:v>334.47</x:v>
      </x:c>
      <x:c r="L2091" s="37" t="str">
        <x:v>3058</x:v>
      </x:c>
      <x:c r="M2091" s="29" t="str">
        <x:v>1044.30</x:v>
      </x:c>
      <x:c r="N2091" s="29" t="str">
        <x:v>731.33</x:v>
      </x:c>
      <x:c r="O2091" s="29" t="str">
        <x:v>312.97</x:v>
      </x:c>
      <x:c r="P2091" s="18" t="str">
        <x:v>2026-07-05</x:v>
      </x:c>
      <x:c r="Q2091" s="36" t="n">
        <x:v>46208</x:v>
      </x:c>
    </x:row>
    <x:row r="2092">
      <x:c r="A2092" s="36" t="str">
        <x:v>2026-07-05</x:v>
      </x:c>
      <x:c r="B2092" s="18" t="str">
        <x:v>101437000_69629</x:v>
      </x:c>
      <x:c r="C2092" s="18" t="str">
        <x:v>【沪村小电】骏丰玲珑坊西苑充电站</x:v>
      </x:c>
      <x:c r="D2092" s="37" t="str">
        <x:v>2</x:v>
      </x:c>
      <x:c r="E2092" s="37" t="str">
        <x:v>0</x:v>
      </x:c>
      <x:c r="F2092" s="37" t="str">
        <x:v>76</x:v>
      </x:c>
      <x:c r="G2092" s="37" t="str">
        <x:v>1695.76</x:v>
      </x:c>
      <x:c r="H2092" s="37" t="str">
        <x:v>0.00</x:v>
      </x:c>
      <x:c r="I2092" s="37" t="str">
        <x:v>1064.00</x:v>
      </x:c>
      <x:c r="J2092" s="37" t="str">
        <x:v>0.00</x:v>
      </x:c>
      <x:c r="K2092" s="37" t="str">
        <x:v>631.76</x:v>
      </x:c>
      <x:c r="L2092" s="37" t="str">
        <x:v>3170</x:v>
      </x:c>
      <x:c r="M2092" s="29" t="str">
        <x:v>1399.90</x:v>
      </x:c>
      <x:c r="N2092" s="29" t="str">
        <x:v>1027.42</x:v>
      </x:c>
      <x:c r="O2092" s="29" t="str">
        <x:v>372.48</x:v>
      </x:c>
      <x:c r="P2092" s="18" t="str">
        <x:v>2026-07-05</x:v>
      </x:c>
      <x:c r="Q2092" s="36" t="n">
        <x:v>46208</x:v>
      </x:c>
    </x:row>
    <x:row r="2093">
      <x:c r="A2093" s="36" t="str">
        <x:v>2026-07-05</x:v>
      </x:c>
      <x:c r="B2093" s="18" t="str">
        <x:v>101437000_70547</x:v>
      </x:c>
      <x:c r="C2093" s="18" t="str">
        <x:v>【沪村小电】农建村初心馆党群服务中心充电站</x:v>
      </x:c>
      <x:c r="D2093" s="37" t="str">
        <x:v>4</x:v>
      </x:c>
      <x:c r="E2093" s="37" t="str">
        <x:v>0</x:v>
      </x:c>
      <x:c r="F2093" s="37" t="str">
        <x:v>35</x:v>
      </x:c>
      <x:c r="G2093" s="37" t="str">
        <x:v>707.79</x:v>
      </x:c>
      <x:c r="H2093" s="37" t="str">
        <x:v>0.00</x:v>
      </x:c>
      <x:c r="I2093" s="37" t="str">
        <x:v>398.45</x:v>
      </x:c>
      <x:c r="J2093" s="37" t="str">
        <x:v>0.00</x:v>
      </x:c>
      <x:c r="K2093" s="37" t="str">
        <x:v>309.34</x:v>
      </x:c>
      <x:c r="L2093" s="37" t="str">
        <x:v>1141</x:v>
      </x:c>
      <x:c r="M2093" s="29" t="str">
        <x:v>705.56</x:v>
      </x:c>
      <x:c r="N2093" s="29" t="str">
        <x:v>578.33</x:v>
      </x:c>
      <x:c r="O2093" s="29" t="str">
        <x:v>127.23</x:v>
      </x:c>
      <x:c r="P2093" s="18" t="str">
        <x:v>2026-07-05</x:v>
      </x:c>
      <x:c r="Q2093" s="36" t="n">
        <x:v>46208</x:v>
      </x:c>
    </x:row>
    <x:row r="2094">
      <x:c r="A2094" s="36" t="str">
        <x:v>2026-07-05</x:v>
      </x:c>
      <x:c r="B2094" s="18" t="str">
        <x:v>101437000_70549</x:v>
      </x:c>
      <x:c r="C2094" s="18" t="str">
        <x:v>【沪村小电】学府路充电站</x:v>
      </x:c>
      <x:c r="D2094" s="37" t="str">
        <x:v>2</x:v>
      </x:c>
      <x:c r="E2094" s="37" t="str">
        <x:v>0</x:v>
      </x:c>
      <x:c r="F2094" s="37" t="str">
        <x:v>9</x:v>
      </x:c>
      <x:c r="G2094" s="37" t="str">
        <x:v>232.54</x:v>
      </x:c>
      <x:c r="H2094" s="37" t="str">
        <x:v>0.00</x:v>
      </x:c>
      <x:c r="I2094" s="37" t="str">
        <x:v>111.32</x:v>
      </x:c>
      <x:c r="J2094" s="37" t="str">
        <x:v>0.00</x:v>
      </x:c>
      <x:c r="K2094" s="37" t="str">
        <x:v>121.22</x:v>
      </x:c>
      <x:c r="L2094" s="37" t="str">
        <x:v>387</x:v>
      </x:c>
      <x:c r="M2094" s="29" t="str">
        <x:v>225.34</x:v>
      </x:c>
      <x:c r="N2094" s="29" t="str">
        <x:v>180.02</x:v>
      </x:c>
      <x:c r="O2094" s="29" t="str">
        <x:v>45.32</x:v>
      </x:c>
      <x:c r="P2094" s="18" t="str">
        <x:v>2026-07-05</x:v>
      </x:c>
      <x:c r="Q2094" s="36" t="n">
        <x:v>46208</x:v>
      </x:c>
    </x:row>
    <x:row r="2095">
      <x:c r="A2095" s="36" t="str">
        <x:v>2026-07-05</x:v>
      </x:c>
      <x:c r="B2095" s="18" t="str">
        <x:v>101437000_71059</x:v>
      </x:c>
      <x:c r="C2095" s="18" t="str">
        <x:v>【沪村小电】宝乐汇商业广场站</x:v>
      </x:c>
      <x:c r="D2095" s="37" t="str">
        <x:v>4</x:v>
      </x:c>
      <x:c r="E2095" s="37" t="str">
        <x:v>0</x:v>
      </x:c>
      <x:c r="F2095" s="37" t="str">
        <x:v>11</x:v>
      </x:c>
      <x:c r="G2095" s="37" t="str">
        <x:v>291.06</x:v>
      </x:c>
      <x:c r="H2095" s="37" t="str">
        <x:v>0.00</x:v>
      </x:c>
      <x:c r="I2095" s="37" t="str">
        <x:v>120.31</x:v>
      </x:c>
      <x:c r="J2095" s="37" t="str">
        <x:v>48.38</x:v>
      </x:c>
      <x:c r="K2095" s="37" t="str">
        <x:v>122.37</x:v>
      </x:c>
      <x:c r="L2095" s="37" t="str">
        <x:v>542</x:v>
      </x:c>
      <x:c r="M2095" s="29" t="str">
        <x:v>290.53</x:v>
      </x:c>
      <x:c r="N2095" s="29" t="str">
        <x:v>224.42</x:v>
      </x:c>
      <x:c r="O2095" s="29" t="str">
        <x:v>66.11</x:v>
      </x:c>
      <x:c r="P2095" s="18" t="str">
        <x:v>2026-07-05</x:v>
      </x:c>
      <x:c r="Q2095" s="36" t="n">
        <x:v>46208</x:v>
      </x:c>
    </x:row>
    <x:row r="2096">
      <x:c r="A2096" s="36" t="str">
        <x:v>2026-07-05</x:v>
      </x:c>
      <x:c r="B2096" s="18" t="str">
        <x:v>101437000_72541</x:v>
      </x:c>
      <x:c r="C2096" s="18" t="str">
        <x:v>【沪村小电】九干路1174弄充电站</x:v>
      </x:c>
      <x:c r="D2096" s="37" t="str">
        <x:v>2</x:v>
      </x:c>
      <x:c r="E2096" s="37" t="str">
        <x:v>0</x:v>
      </x:c>
      <x:c r="F2096" s="37" t="str">
        <x:v>52</x:v>
      </x:c>
      <x:c r="G2096" s="37" t="str">
        <x:v>769.66</x:v>
      </x:c>
      <x:c r="H2096" s="37" t="str">
        <x:v>0.00</x:v>
      </x:c>
      <x:c r="I2096" s="37" t="str">
        <x:v>453.80</x:v>
      </x:c>
      <x:c r="J2096" s="37" t="str">
        <x:v>0.00</x:v>
      </x:c>
      <x:c r="K2096" s="37" t="str">
        <x:v>315.85</x:v>
      </x:c>
      <x:c r="L2096" s="37" t="str">
        <x:v>1347</x:v>
      </x:c>
      <x:c r="M2096" s="29" t="str">
        <x:v>640.20</x:v>
      </x:c>
      <x:c r="N2096" s="29" t="str">
        <x:v>455.84</x:v>
      </x:c>
      <x:c r="O2096" s="29" t="str">
        <x:v>184.36</x:v>
      </x:c>
      <x:c r="P2096" s="18" t="str">
        <x:v>2026-07-05</x:v>
      </x:c>
      <x:c r="Q2096" s="36" t="n">
        <x:v>46208</x:v>
      </x:c>
    </x:row>
    <x:row r="2097">
      <x:c r="A2097" s="36" t="str">
        <x:v>2026-07-05</x:v>
      </x:c>
      <x:c r="B2097" s="18" t="str">
        <x:v>101437000_72543</x:v>
      </x:c>
      <x:c r="C2097" s="18" t="str">
        <x:v>【沪村小电】叶家中心村小区充电站</x:v>
      </x:c>
      <x:c r="D2097" s="37" t="str">
        <x:v>2</x:v>
      </x:c>
      <x:c r="E2097" s="37" t="str">
        <x:v>0</x:v>
      </x:c>
      <x:c r="F2097" s="37" t="str">
        <x:v>51</x:v>
      </x:c>
      <x:c r="G2097" s="37" t="str">
        <x:v>1020.80</x:v>
      </x:c>
      <x:c r="H2097" s="37" t="str">
        <x:v>0.00</x:v>
      </x:c>
      <x:c r="I2097" s="37" t="str">
        <x:v>556.78</x:v>
      </x:c>
      <x:c r="J2097" s="37" t="str">
        <x:v>0.00</x:v>
      </x:c>
      <x:c r="K2097" s="37" t="str">
        <x:v>464.03</x:v>
      </x:c>
      <x:c r="L2097" s="37" t="str">
        <x:v>1841</x:v>
      </x:c>
      <x:c r="M2097" s="29" t="str">
        <x:v>833.94</x:v>
      </x:c>
      <x:c r="N2097" s="29" t="str">
        <x:v>588.35</x:v>
      </x:c>
      <x:c r="O2097" s="29" t="str">
        <x:v>245.59</x:v>
      </x:c>
      <x:c r="P2097" s="18" t="str">
        <x:v>2026-07-05</x:v>
      </x:c>
      <x:c r="Q2097" s="36" t="n">
        <x:v>46208</x:v>
      </x:c>
    </x:row>
    <x:row r="2098">
      <x:c r="A2098" s="36" t="str">
        <x:v>2026-07-05</x:v>
      </x:c>
      <x:c r="B2098" s="18" t="str">
        <x:v>101437000_72937</x:v>
      </x:c>
      <x:c r="C2098" s="18" t="str">
        <x:v>【沪村小电】佘北家园茸腾苑充电站</x:v>
      </x:c>
      <x:c r="D2098" s="37" t="str">
        <x:v>4</x:v>
      </x:c>
      <x:c r="E2098" s="37" t="str">
        <x:v>0</x:v>
      </x:c>
      <x:c r="F2098" s="37" t="str">
        <x:v>25</x:v>
      </x:c>
      <x:c r="G2098" s="37" t="str">
        <x:v>563.33</x:v>
      </x:c>
      <x:c r="H2098" s="37" t="str">
        <x:v>0.00</x:v>
      </x:c>
      <x:c r="I2098" s="37" t="str">
        <x:v>563.33</x:v>
      </x:c>
      <x:c r="J2098" s="37" t="str">
        <x:v>0.00</x:v>
      </x:c>
      <x:c r="K2098" s="37" t="str">
        <x:v>0.00</x:v>
      </x:c>
      <x:c r="L2098" s="37" t="str">
        <x:v>971</x:v>
      </x:c>
      <x:c r="M2098" s="29" t="str">
        <x:v>528.44</x:v>
      </x:c>
      <x:c r="N2098" s="29" t="str">
        <x:v>416.86</x:v>
      </x:c>
      <x:c r="O2098" s="29" t="str">
        <x:v>111.58</x:v>
      </x:c>
      <x:c r="P2098" s="18" t="str">
        <x:v>2026-07-05</x:v>
      </x:c>
      <x:c r="Q2098" s="36" t="n">
        <x:v>46208</x:v>
      </x:c>
    </x:row>
    <x:row r="2099">
      <x:c r="A2099" s="36" t="str">
        <x:v>2026-07-05</x:v>
      </x:c>
      <x:c r="B2099" s="18" t="str">
        <x:v>101437000_74223</x:v>
      </x:c>
      <x:c r="C2099" s="18" t="str">
        <x:v>【沪村小电】中兴村委会充电站</x:v>
      </x:c>
      <x:c r="D2099" s="37" t="str">
        <x:v>2</x:v>
      </x:c>
      <x:c r="E2099" s="37" t="str">
        <x:v>0</x:v>
      </x:c>
      <x:c r="F2099" s="37" t="str">
        <x:v>26</x:v>
      </x:c>
      <x:c r="G2099" s="37" t="str">
        <x:v>632.47</x:v>
      </x:c>
      <x:c r="H2099" s="37" t="str">
        <x:v>0.00</x:v>
      </x:c>
      <x:c r="I2099" s="37" t="str">
        <x:v>292.89</x:v>
      </x:c>
      <x:c r="J2099" s="37" t="str">
        <x:v>0.00</x:v>
      </x:c>
      <x:c r="K2099" s="37" t="str">
        <x:v>339.59</x:v>
      </x:c>
      <x:c r="L2099" s="37" t="str">
        <x:v>832</x:v>
      </x:c>
      <x:c r="M2099" s="29" t="str">
        <x:v>573.98</x:v>
      </x:c>
      <x:c r="N2099" s="29" t="str">
        <x:v>484.58</x:v>
      </x:c>
      <x:c r="O2099" s="29" t="str">
        <x:v>89.40</x:v>
      </x:c>
      <x:c r="P2099" s="18" t="str">
        <x:v>2026-07-05</x:v>
      </x:c>
      <x:c r="Q2099" s="36" t="n">
        <x:v>46208</x:v>
      </x:c>
    </x:row>
    <x:row r="2100">
      <x:c r="A2100" s="36" t="str">
        <x:v>2026-07-05</x:v>
      </x:c>
      <x:c r="B2100" s="18" t="str">
        <x:v>101437000_74801</x:v>
      </x:c>
      <x:c r="C2100" s="18" t="str">
        <x:v>【沪村小电】申良花园充电站</x:v>
      </x:c>
      <x:c r="D2100" s="37" t="str">
        <x:v>4</x:v>
      </x:c>
      <x:c r="E2100" s="37" t="str">
        <x:v>0</x:v>
      </x:c>
      <x:c r="F2100" s="37" t="str">
        <x:v>2</x:v>
      </x:c>
      <x:c r="G2100" s="37" t="str">
        <x:v>27.09</x:v>
      </x:c>
      <x:c r="H2100" s="37" t="str">
        <x:v>0.00</x:v>
      </x:c>
      <x:c r="I2100" s="37" t="str">
        <x:v>27.09</x:v>
      </x:c>
      <x:c r="J2100" s="37" t="str">
        <x:v>0.00</x:v>
      </x:c>
      <x:c r="K2100" s="37" t="str">
        <x:v>0.00</x:v>
      </x:c>
      <x:c r="L2100" s="37" t="str">
        <x:v>75</x:v>
      </x:c>
      <x:c r="M2100" s="29" t="str">
        <x:v>31.59</x:v>
      </x:c>
      <x:c r="N2100" s="29" t="str">
        <x:v>20.05</x:v>
      </x:c>
      <x:c r="O2100" s="29" t="str">
        <x:v>11.54</x:v>
      </x:c>
      <x:c r="P2100" s="18" t="str">
        <x:v>2026-07-05</x:v>
      </x:c>
      <x:c r="Q2100" s="36" t="n">
        <x:v>46208</x:v>
      </x:c>
    </x:row>
    <x:row r="2101">
      <x:c r="A2101" s="36" t="str">
        <x:v>2026-07-05</x:v>
      </x:c>
      <x:c r="B2101" s="18" t="str">
        <x:v>101437000_74931</x:v>
      </x:c>
      <x:c r="C2101" s="18" t="str">
        <x:v>【沪村小电】枫雅南居充电站</x:v>
      </x:c>
      <x:c r="D2101" s="37" t="str">
        <x:v>2</x:v>
      </x:c>
      <x:c r="E2101" s="37" t="str">
        <x:v>0</x:v>
      </x:c>
      <x:c r="F2101" s="37" t="str">
        <x:v>12</x:v>
      </x:c>
      <x:c r="G2101" s="37" t="str">
        <x:v>269.57</x:v>
      </x:c>
      <x:c r="H2101" s="37" t="str">
        <x:v>0.00</x:v>
      </x:c>
      <x:c r="I2101" s="37" t="str">
        <x:v>220.51</x:v>
      </x:c>
      <x:c r="J2101" s="37" t="str">
        <x:v>0.00</x:v>
      </x:c>
      <x:c r="K2101" s="37" t="str">
        <x:v>49.06</x:v>
      </x:c>
      <x:c r="L2101" s="37" t="str">
        <x:v>432</x:v>
      </x:c>
      <x:c r="M2101" s="29" t="str">
        <x:v>218.43</x:v>
      </x:c>
      <x:c r="N2101" s="29" t="str">
        <x:v>145.31</x:v>
      </x:c>
      <x:c r="O2101" s="29" t="str">
        <x:v>73.12</x:v>
      </x:c>
      <x:c r="P2101" s="18" t="str">
        <x:v>2026-07-05</x:v>
      </x:c>
      <x:c r="Q2101" s="36" t="n">
        <x:v>46208</x:v>
      </x:c>
    </x:row>
    <x:row r="2102">
      <x:c r="A2102" s="36" t="str">
        <x:v>2026-07-05</x:v>
      </x:c>
      <x:c r="B2102" s="18" t="str">
        <x:v>101437000_75901</x:v>
      </x:c>
      <x:c r="C2102" s="18" t="str">
        <x:v>【沪村小电】金悦学府</x:v>
      </x:c>
      <x:c r="D2102" s="37" t="str">
        <x:v>2</x:v>
      </x:c>
      <x:c r="E2102" s="37" t="str">
        <x:v>0</x:v>
      </x:c>
      <x:c r="F2102" s="37" t="str">
        <x:v>80</x:v>
      </x:c>
      <x:c r="G2102" s="37" t="str">
        <x:v>349.27</x:v>
      </x:c>
      <x:c r="H2102" s="37" t="str">
        <x:v>0.00</x:v>
      </x:c>
      <x:c r="I2102" s="37" t="str">
        <x:v>114.45</x:v>
      </x:c>
      <x:c r="J2102" s="37" t="str">
        <x:v>0.00</x:v>
      </x:c>
      <x:c r="K2102" s="37" t="str">
        <x:v>234.82</x:v>
      </x:c>
      <x:c r="L2102" s="37" t="str">
        <x:v>521</x:v>
      </x:c>
      <x:c r="M2102" s="29" t="str">
        <x:v>248.92</x:v>
      </x:c>
      <x:c r="N2102" s="29" t="str">
        <x:v>140.30</x:v>
      </x:c>
      <x:c r="O2102" s="29" t="str">
        <x:v>108.62</x:v>
      </x:c>
      <x:c r="P2102" s="18" t="str">
        <x:v>2026-07-05</x:v>
      </x:c>
      <x:c r="Q2102" s="36" t="n">
        <x:v>46208</x:v>
      </x:c>
    </x:row>
    <x:row r="2103">
      <x:c r="A2103" s="36" t="str">
        <x:v>2026-07-05</x:v>
      </x:c>
      <x:c r="B2103" s="18" t="str">
        <x:v>101437000_76091</x:v>
      </x:c>
      <x:c r="C2103" s="18" t="str">
        <x:v>【沪村小电】恒信家园充电站</x:v>
      </x:c>
      <x:c r="D2103" s="37" t="str">
        <x:v>2</x:v>
      </x:c>
      <x:c r="E2103" s="37" t="str">
        <x:v>0</x:v>
      </x:c>
      <x:c r="F2103" s="37" t="str">
        <x:v>47</x:v>
      </x:c>
      <x:c r="G2103" s="37" t="str">
        <x:v>1089.16</x:v>
      </x:c>
      <x:c r="H2103" s="37" t="str">
        <x:v>0.00</x:v>
      </x:c>
      <x:c r="I2103" s="37" t="str">
        <x:v>513.92</x:v>
      </x:c>
      <x:c r="J2103" s="37" t="str">
        <x:v>0.00</x:v>
      </x:c>
      <x:c r="K2103" s="37" t="str">
        <x:v>575.24</x:v>
      </x:c>
      <x:c r="L2103" s="37" t="str">
        <x:v>1888</x:v>
      </x:c>
      <x:c r="M2103" s="29" t="str">
        <x:v>977.51</x:v>
      </x:c>
      <x:c r="N2103" s="29" t="str">
        <x:v>598.87</x:v>
      </x:c>
      <x:c r="O2103" s="29" t="str">
        <x:v>378.64</x:v>
      </x:c>
      <x:c r="P2103" s="18" t="str">
        <x:v>2026-07-05</x:v>
      </x:c>
      <x:c r="Q2103" s="36" t="n">
        <x:v>46208</x:v>
      </x:c>
    </x:row>
    <x:row r="2104">
      <x:c r="A2104" s="36" t="str">
        <x:v>2026-07-05</x:v>
      </x:c>
      <x:c r="B2104" s="18" t="str">
        <x:v>101437000_76417</x:v>
      </x:c>
      <x:c r="C2104" s="18" t="str">
        <x:v>【沪村小电】新春一组充电站</x:v>
      </x:c>
      <x:c r="D2104" s="37" t="str">
        <x:v>2</x:v>
      </x:c>
      <x:c r="E2104" s="37" t="str">
        <x:v>0</x:v>
      </x:c>
      <x:c r="F2104" s="37" t="str">
        <x:v>5</x:v>
      </x:c>
      <x:c r="G2104" s="37" t="str">
        <x:v>114.87</x:v>
      </x:c>
      <x:c r="H2104" s="37" t="str">
        <x:v>0.00</x:v>
      </x:c>
      <x:c r="I2104" s="37" t="str">
        <x:v>59.37</x:v>
      </x:c>
      <x:c r="J2104" s="37" t="str">
        <x:v>0.00</x:v>
      </x:c>
      <x:c r="K2104" s="37" t="str">
        <x:v>55.49</x:v>
      </x:c>
      <x:c r="L2104" s="37" t="str">
        <x:v>244</x:v>
      </x:c>
      <x:c r="M2104" s="29" t="str">
        <x:v>126.27</x:v>
      </x:c>
      <x:c r="N2104" s="29" t="str">
        <x:v>91.16</x:v>
      </x:c>
      <x:c r="O2104" s="29" t="str">
        <x:v>35.11</x:v>
      </x:c>
      <x:c r="P2104" s="18" t="str">
        <x:v>2026-07-05</x:v>
      </x:c>
      <x:c r="Q2104" s="36" t="n">
        <x:v>46208</x:v>
      </x:c>
    </x:row>
    <x:row r="2105">
      <x:c r="A2105" s="36" t="str">
        <x:v>2026-07-05</x:v>
      </x:c>
      <x:c r="B2105" s="18" t="str">
        <x:v>101437000_78235</x:v>
      </x:c>
      <x:c r="C2105" s="18" t="str">
        <x:v>【沪村小电】欣秋苑充电站</x:v>
      </x:c>
      <x:c r="D2105" s="37" t="str">
        <x:v>4</x:v>
      </x:c>
      <x:c r="E2105" s="37" t="str">
        <x:v>0</x:v>
      </x:c>
      <x:c r="F2105" s="37" t="str">
        <x:v>16</x:v>
      </x:c>
      <x:c r="G2105" s="37" t="str">
        <x:v>423.36</x:v>
      </x:c>
      <x:c r="H2105" s="37" t="str">
        <x:v>0.00</x:v>
      </x:c>
      <x:c r="I2105" s="37" t="str">
        <x:v>210.94</x:v>
      </x:c>
      <x:c r="J2105" s="37" t="str">
        <x:v>0.00</x:v>
      </x:c>
      <x:c r="K2105" s="37" t="str">
        <x:v>212.41</x:v>
      </x:c>
      <x:c r="L2105" s="37" t="str">
        <x:v>699</x:v>
      </x:c>
      <x:c r="M2105" s="29" t="str">
        <x:v>329.70</x:v>
      </x:c>
      <x:c r="N2105" s="29" t="str">
        <x:v>236.82</x:v>
      </x:c>
      <x:c r="O2105" s="29" t="str">
        <x:v>92.88</x:v>
      </x:c>
      <x:c r="P2105" s="18" t="str">
        <x:v>2026-07-05</x:v>
      </x:c>
      <x:c r="Q2105" s="36" t="n">
        <x:v>46208</x:v>
      </x:c>
    </x:row>
    <x:row r="2106">
      <x:c r="A2106" s="36" t="str">
        <x:v>2026-07-05</x:v>
      </x:c>
      <x:c r="B2106" s="18" t="str">
        <x:v>101437000_78237</x:v>
      </x:c>
      <x:c r="C2106" s="18" t="str">
        <x:v>【沪村小电】奉馨苑西门小区内北侧充电站</x:v>
      </x:c>
      <x:c r="D2106" s="37" t="str">
        <x:v>2</x:v>
      </x:c>
      <x:c r="E2106" s="37" t="str">
        <x:v>0</x:v>
      </x:c>
      <x:c r="F2106" s="37" t="str">
        <x:v>39</x:v>
      </x:c>
      <x:c r="G2106" s="37" t="str">
        <x:v>1036.47</x:v>
      </x:c>
      <x:c r="H2106" s="37" t="str">
        <x:v>0.00</x:v>
      </x:c>
      <x:c r="I2106" s="37" t="str">
        <x:v>657.45</x:v>
      </x:c>
      <x:c r="J2106" s="37" t="str">
        <x:v>0.00</x:v>
      </x:c>
      <x:c r="K2106" s="37" t="str">
        <x:v>379.02</x:v>
      </x:c>
      <x:c r="L2106" s="37" t="str">
        <x:v>1572</x:v>
      </x:c>
      <x:c r="M2106" s="29" t="str">
        <x:v>984.52</x:v>
      </x:c>
      <x:c r="N2106" s="29" t="str">
        <x:v>630.55</x:v>
      </x:c>
      <x:c r="O2106" s="29" t="str">
        <x:v>353.97</x:v>
      </x:c>
      <x:c r="P2106" s="18" t="str">
        <x:v>2026-07-05</x:v>
      </x:c>
      <x:c r="Q2106" s="36" t="n">
        <x:v>46208</x:v>
      </x:c>
    </x:row>
    <x:row r="2107">
      <x:c r="A2107" s="36" t="str">
        <x:v>2026-07-05</x:v>
      </x:c>
      <x:c r="B2107" s="18" t="str">
        <x:v>101437000_78239</x:v>
      </x:c>
      <x:c r="C2107" s="18" t="str">
        <x:v>【沪村小电】恒大佘山首府东门充电站</x:v>
      </x:c>
      <x:c r="D2107" s="37" t="str">
        <x:v>2</x:v>
      </x:c>
      <x:c r="E2107" s="37" t="str">
        <x:v>0</x:v>
      </x:c>
      <x:c r="F2107" s="37" t="str">
        <x:v>40</x:v>
      </x:c>
      <x:c r="G2107" s="37" t="str">
        <x:v>1082.56</x:v>
      </x:c>
      <x:c r="H2107" s="37" t="str">
        <x:v>0.00</x:v>
      </x:c>
      <x:c r="I2107" s="37" t="str">
        <x:v>675.32</x:v>
      </x:c>
      <x:c r="J2107" s="37" t="str">
        <x:v>0.00</x:v>
      </x:c>
      <x:c r="K2107" s="37" t="str">
        <x:v>407.24</x:v>
      </x:c>
      <x:c r="L2107" s="37" t="str">
        <x:v>1510</x:v>
      </x:c>
      <x:c r="M2107" s="29" t="str">
        <x:v>953.53</x:v>
      </x:c>
      <x:c r="N2107" s="29" t="str">
        <x:v>654.47</x:v>
      </x:c>
      <x:c r="O2107" s="29" t="str">
        <x:v>299.06</x:v>
      </x:c>
      <x:c r="P2107" s="18" t="str">
        <x:v>2026-07-05</x:v>
      </x:c>
      <x:c r="Q2107" s="36" t="n">
        <x:v>46208</x:v>
      </x:c>
    </x:row>
    <x:row r="2108">
      <x:c r="A2108" s="36" t="str">
        <x:v>2026-07-05</x:v>
      </x:c>
      <x:c r="B2108" s="18" t="str">
        <x:v>101437000_80823</x:v>
      </x:c>
      <x:c r="C2108" s="18" t="str">
        <x:v>【沪村小电】上湖轩充电站</x:v>
      </x:c>
      <x:c r="D2108" s="37" t="str">
        <x:v>2</x:v>
      </x:c>
      <x:c r="E2108" s="37" t="str">
        <x:v>0</x:v>
      </x:c>
      <x:c r="F2108" s="37" t="str">
        <x:v>24</x:v>
      </x:c>
      <x:c r="G2108" s="37" t="str">
        <x:v>589.66</x:v>
      </x:c>
      <x:c r="H2108" s="37" t="str">
        <x:v>22.99</x:v>
      </x:c>
      <x:c r="I2108" s="37" t="str">
        <x:v>61.73</x:v>
      </x:c>
      <x:c r="J2108" s="37" t="str">
        <x:v>135.93</x:v>
      </x:c>
      <x:c r="K2108" s="37" t="str">
        <x:v>369.01</x:v>
      </x:c>
      <x:c r="L2108" s="37" t="str">
        <x:v>857</x:v>
      </x:c>
      <x:c r="M2108" s="29" t="str">
        <x:v>437.64</x:v>
      </x:c>
      <x:c r="N2108" s="29" t="str">
        <x:v>306.55</x:v>
      </x:c>
      <x:c r="O2108" s="29" t="str">
        <x:v>131.09</x:v>
      </x:c>
      <x:c r="P2108" s="18" t="str">
        <x:v>2026-07-05</x:v>
      </x:c>
      <x:c r="Q2108" s="36" t="n">
        <x:v>46208</x:v>
      </x:c>
    </x:row>
    <x:row r="2109">
      <x:c r="A2109" s="36" t="str">
        <x:v>2026-07-05</x:v>
      </x:c>
      <x:c r="B2109" s="18" t="str">
        <x:v>101437000_83019</x:v>
      </x:c>
      <x:c r="C2109" s="18" t="str">
        <x:v>【沪村小电】首创禧瑞云启东区充电站</x:v>
      </x:c>
      <x:c r="D2109" s="37" t="str">
        <x:v>2</x:v>
      </x:c>
      <x:c r="E2109" s="37" t="str">
        <x:v>0</x:v>
      </x:c>
      <x:c r="F2109" s="37" t="str">
        <x:v>42</x:v>
      </x:c>
      <x:c r="G2109" s="37" t="str">
        <x:v>1009.62</x:v>
      </x:c>
      <x:c r="H2109" s="37" t="str">
        <x:v>0.00</x:v>
      </x:c>
      <x:c r="I2109" s="37" t="str">
        <x:v>837.03</x:v>
      </x:c>
      <x:c r="J2109" s="37" t="str">
        <x:v>0.00</x:v>
      </x:c>
      <x:c r="K2109" s="37" t="str">
        <x:v>172.59</x:v>
      </x:c>
      <x:c r="L2109" s="37" t="str">
        <x:v>1679</x:v>
      </x:c>
      <x:c r="M2109" s="29" t="str">
        <x:v>915.07</x:v>
      </x:c>
      <x:c r="N2109" s="29" t="str">
        <x:v>639.69</x:v>
      </x:c>
      <x:c r="O2109" s="29" t="str">
        <x:v>275.38</x:v>
      </x:c>
      <x:c r="P2109" s="18" t="str">
        <x:v>2026-07-05</x:v>
      </x:c>
      <x:c r="Q2109" s="36" t="n">
        <x:v>46208</x:v>
      </x:c>
    </x:row>
    <x:row r="2110">
      <x:c r="A2110" s="36" t="str">
        <x:v>2026-07-05</x:v>
      </x:c>
      <x:c r="B2110" s="18" t="str">
        <x:v>101437000_83093</x:v>
      </x:c>
      <x:c r="C2110" s="18" t="str">
        <x:v>【沪村小电】金茂未来时光里</x:v>
      </x:c>
      <x:c r="D2110" s="37" t="str">
        <x:v>2</x:v>
      </x:c>
      <x:c r="E2110" s="37" t="str">
        <x:v>0</x:v>
      </x:c>
      <x:c r="F2110" s="37" t="str">
        <x:v>3</x:v>
      </x:c>
      <x:c r="G2110" s="37" t="str">
        <x:v>95.79</x:v>
      </x:c>
      <x:c r="H2110" s="37" t="str">
        <x:v>0.00</x:v>
      </x:c>
      <x:c r="I2110" s="37" t="str">
        <x:v>57.50</x:v>
      </x:c>
      <x:c r="J2110" s="37" t="str">
        <x:v>0.00</x:v>
      </x:c>
      <x:c r="K2110" s="37" t="str">
        <x:v>38.29</x:v>
      </x:c>
      <x:c r="L2110" s="37" t="str">
        <x:v>174</x:v>
      </x:c>
      <x:c r="M2110" s="29" t="str">
        <x:v>63.81</x:v>
      </x:c>
      <x:c r="N2110" s="29" t="str">
        <x:v>45.80</x:v>
      </x:c>
      <x:c r="O2110" s="29" t="str">
        <x:v>18.01</x:v>
      </x:c>
      <x:c r="P2110" s="18" t="str">
        <x:v>2026-07-05</x:v>
      </x:c>
      <x:c r="Q2110" s="36" t="n">
        <x:v>46208</x:v>
      </x:c>
    </x:row>
    <x:row r="2111">
      <x:c r="A2111" s="36" t="str">
        <x:v>2026-07-05</x:v>
      </x:c>
      <x:c r="B2111" s="18" t="str">
        <x:v>101437000_83911</x:v>
      </x:c>
      <x:c r="C2111" s="18" t="str">
        <x:v>【沪村小电】金瀚园充电站</x:v>
      </x:c>
      <x:c r="D2111" s="37" t="str">
        <x:v>2</x:v>
      </x:c>
      <x:c r="E2111" s="37" t="str">
        <x:v>0</x:v>
      </x:c>
      <x:c r="F2111" s="37" t="str">
        <x:v>31</x:v>
      </x:c>
      <x:c r="G2111" s="37" t="str">
        <x:v>821.75</x:v>
      </x:c>
      <x:c r="H2111" s="37" t="str">
        <x:v>0.00</x:v>
      </x:c>
      <x:c r="I2111" s="37" t="str">
        <x:v>519.34</x:v>
      </x:c>
      <x:c r="J2111" s="37" t="str">
        <x:v>0.00</x:v>
      </x:c>
      <x:c r="K2111" s="37" t="str">
        <x:v>302.41</x:v>
      </x:c>
      <x:c r="L2111" s="37" t="str">
        <x:v>1050</x:v>
      </x:c>
      <x:c r="M2111" s="29" t="str">
        <x:v>847.82</x:v>
      </x:c>
      <x:c r="N2111" s="29" t="str">
        <x:v>499.23</x:v>
      </x:c>
      <x:c r="O2111" s="29" t="str">
        <x:v>348.59</x:v>
      </x:c>
      <x:c r="P2111" s="18" t="str">
        <x:v>2026-07-05</x:v>
      </x:c>
      <x:c r="Q2111" s="36" t="n">
        <x:v>46208</x:v>
      </x:c>
    </x:row>
    <x:row r="2112">
      <x:c r="A2112" s="36" t="str">
        <x:v>2026-07-05</x:v>
      </x:c>
      <x:c r="B2112" s="18" t="str">
        <x:v>101437000_83913</x:v>
      </x:c>
      <x:c r="C2112" s="18" t="str">
        <x:v>【沪村小电】新黎村充电站</x:v>
      </x:c>
      <x:c r="D2112" s="37" t="str">
        <x:v>2</x:v>
      </x:c>
      <x:c r="E2112" s="37" t="str">
        <x:v>0</x:v>
      </x:c>
      <x:c r="F2112" s="37" t="str">
        <x:v>25</x:v>
      </x:c>
      <x:c r="G2112" s="37" t="str">
        <x:v>573.34</x:v>
      </x:c>
      <x:c r="H2112" s="37" t="str">
        <x:v>0.00</x:v>
      </x:c>
      <x:c r="I2112" s="37" t="str">
        <x:v>331.01</x:v>
      </x:c>
      <x:c r="J2112" s="37" t="str">
        <x:v>0.00</x:v>
      </x:c>
      <x:c r="K2112" s="37" t="str">
        <x:v>242.33</x:v>
      </x:c>
      <x:c r="L2112" s="37" t="str">
        <x:v>755</x:v>
      </x:c>
      <x:c r="M2112" s="29" t="str">
        <x:v>592.46</x:v>
      </x:c>
      <x:c r="N2112" s="29" t="str">
        <x:v>472.69</x:v>
      </x:c>
      <x:c r="O2112" s="29" t="str">
        <x:v>119.77</x:v>
      </x:c>
      <x:c r="P2112" s="18" t="str">
        <x:v>2026-07-05</x:v>
      </x:c>
      <x:c r="Q2112" s="36" t="n">
        <x:v>46208</x:v>
      </x:c>
    </x:row>
    <x:row r="2113">
      <x:c r="A2113" s="36" t="str">
        <x:v>2026-07-05</x:v>
      </x:c>
      <x:c r="B2113" s="18" t="str">
        <x:v>101437000_83915</x:v>
      </x:c>
      <x:c r="C2113" s="18" t="str">
        <x:v>【沪村小电】长泰西郊别墅充电站</x:v>
      </x:c>
      <x:c r="D2113" s="37" t="str">
        <x:v>2</x:v>
      </x:c>
      <x:c r="E2113" s="37" t="str">
        <x:v>0</x:v>
      </x:c>
      <x:c r="F2113" s="37" t="str">
        <x:v>15</x:v>
      </x:c>
      <x:c r="G2113" s="37" t="str">
        <x:v>293.48</x:v>
      </x:c>
      <x:c r="H2113" s="37" t="str">
        <x:v>0.00</x:v>
      </x:c>
      <x:c r="I2113" s="37" t="str">
        <x:v>265.13</x:v>
      </x:c>
      <x:c r="J2113" s="37" t="str">
        <x:v>0.00</x:v>
      </x:c>
      <x:c r="K2113" s="37" t="str">
        <x:v>28.35</x:v>
      </x:c>
      <x:c r="L2113" s="37" t="str">
        <x:v>441</x:v>
      </x:c>
      <x:c r="M2113" s="29" t="str">
        <x:v>294.01</x:v>
      </x:c>
      <x:c r="N2113" s="29" t="str">
        <x:v>206.96</x:v>
      </x:c>
      <x:c r="O2113" s="29" t="str">
        <x:v>87.05</x:v>
      </x:c>
      <x:c r="P2113" s="18" t="str">
        <x:v>2026-07-05</x:v>
      </x:c>
      <x:c r="Q2113" s="36" t="n">
        <x:v>46208</x:v>
      </x:c>
    </x:row>
    <x:row r="2114">
      <x:c r="A2114" s="36" t="str">
        <x:v>2026-07-05</x:v>
      </x:c>
      <x:c r="B2114" s="18" t="str">
        <x:v>101437000_83917</x:v>
      </x:c>
      <x:c r="C2114" s="18" t="str">
        <x:v>【沪村小电】旭新华庭充电站</x:v>
      </x:c>
      <x:c r="D2114" s="37" t="str">
        <x:v>4</x:v>
      </x:c>
      <x:c r="E2114" s="37" t="str">
        <x:v>0</x:v>
      </x:c>
      <x:c r="F2114" s="37" t="str">
        <x:v>31</x:v>
      </x:c>
      <x:c r="G2114" s="37" t="str">
        <x:v>930.64</x:v>
      </x:c>
      <x:c r="H2114" s="37" t="str">
        <x:v>0.00</x:v>
      </x:c>
      <x:c r="I2114" s="37" t="str">
        <x:v>773.97</x:v>
      </x:c>
      <x:c r="J2114" s="37" t="str">
        <x:v>0.00</x:v>
      </x:c>
      <x:c r="K2114" s="37" t="str">
        <x:v>156.67</x:v>
      </x:c>
      <x:c r="L2114" s="37" t="str">
        <x:v>1301</x:v>
      </x:c>
      <x:c r="M2114" s="29" t="str">
        <x:v>1012.23</x:v>
      </x:c>
      <x:c r="N2114" s="29" t="str">
        <x:v>632.27</x:v>
      </x:c>
      <x:c r="O2114" s="29" t="str">
        <x:v>379.96</x:v>
      </x:c>
      <x:c r="P2114" s="18" t="str">
        <x:v>2026-07-05</x:v>
      </x:c>
      <x:c r="Q2114" s="36" t="n">
        <x:v>46208</x:v>
      </x:c>
    </x:row>
    <x:row r="2115">
      <x:c r="A2115" s="36" t="str">
        <x:v>2026-07-05</x:v>
      </x:c>
      <x:c r="B2115" s="18" t="str">
        <x:v>101437000_83919</x:v>
      </x:c>
      <x:c r="C2115" s="18" t="str">
        <x:v>【沪村小电】浦锦名仕嘉园充电站</x:v>
      </x:c>
      <x:c r="D2115" s="37" t="str">
        <x:v>4</x:v>
      </x:c>
      <x:c r="E2115" s="37" t="str">
        <x:v>0</x:v>
      </x:c>
      <x:c r="F2115" s="37" t="str">
        <x:v>64</x:v>
      </x:c>
      <x:c r="G2115" s="37" t="str">
        <x:v>1932.87</x:v>
      </x:c>
      <x:c r="H2115" s="37" t="str">
        <x:v>0.00</x:v>
      </x:c>
      <x:c r="I2115" s="37" t="str">
        <x:v>0.00</x:v>
      </x:c>
      <x:c r="J2115" s="37" t="str">
        <x:v>1932.87</x:v>
      </x:c>
      <x:c r="K2115" s="37" t="str">
        <x:v>0.00</x:v>
      </x:c>
      <x:c r="L2115" s="37" t="str">
        <x:v>2811</x:v>
      </x:c>
      <x:c r="M2115" s="29" t="str">
        <x:v>1824.32</x:v>
      </x:c>
      <x:c r="N2115" s="29" t="str">
        <x:v>1237.03</x:v>
      </x:c>
      <x:c r="O2115" s="29" t="str">
        <x:v>587.29</x:v>
      </x:c>
      <x:c r="P2115" s="18" t="str">
        <x:v>2026-07-05</x:v>
      </x:c>
      <x:c r="Q2115" s="36" t="n">
        <x:v>46208</x:v>
      </x:c>
    </x:row>
    <x:row r="2116">
      <x:c r="A2116" s="36" t="str">
        <x:v>2026-07-05</x:v>
      </x:c>
      <x:c r="B2116" s="18" t="str">
        <x:v>101437000_83923</x:v>
      </x:c>
      <x:c r="C2116" s="18" t="str">
        <x:v>【沪村小电】明珠新苑充电站</x:v>
      </x:c>
      <x:c r="D2116" s="37" t="str">
        <x:v>2</x:v>
      </x:c>
      <x:c r="E2116" s="37" t="str">
        <x:v>0</x:v>
      </x:c>
      <x:c r="F2116" s="37" t="str">
        <x:v>28</x:v>
      </x:c>
      <x:c r="G2116" s="37" t="str">
        <x:v>646.00</x:v>
      </x:c>
      <x:c r="H2116" s="37" t="str">
        <x:v>0.00</x:v>
      </x:c>
      <x:c r="I2116" s="37" t="str">
        <x:v>469.76</x:v>
      </x:c>
      <x:c r="J2116" s="37" t="str">
        <x:v>0.00</x:v>
      </x:c>
      <x:c r="K2116" s="37" t="str">
        <x:v>176.24</x:v>
      </x:c>
      <x:c r="L2116" s="37" t="str">
        <x:v>985</x:v>
      </x:c>
      <x:c r="M2116" s="29" t="str">
        <x:v>635.28</x:v>
      </x:c>
      <x:c r="N2116" s="29" t="str">
        <x:v>414.59</x:v>
      </x:c>
      <x:c r="O2116" s="29" t="str">
        <x:v>220.69</x:v>
      </x:c>
      <x:c r="P2116" s="18" t="str">
        <x:v>2026-07-05</x:v>
      </x:c>
      <x:c r="Q2116" s="36" t="n">
        <x:v>46208</x:v>
      </x:c>
    </x:row>
    <x:row r="2117">
      <x:c r="A2117" s="36" t="str">
        <x:v>2026-07-05</x:v>
      </x:c>
      <x:c r="B2117" s="18" t="str">
        <x:v>101437000_86379</x:v>
      </x:c>
      <x:c r="C2117" s="18" t="str">
        <x:v>【沪村小电】新宝社区充电站</x:v>
      </x:c>
      <x:c r="D2117" s="37" t="str">
        <x:v>4</x:v>
      </x:c>
      <x:c r="E2117" s="37" t="str">
        <x:v>0</x:v>
      </x:c>
      <x:c r="F2117" s="37" t="str">
        <x:v>16</x:v>
      </x:c>
      <x:c r="G2117" s="37" t="str">
        <x:v>450.77</x:v>
      </x:c>
      <x:c r="H2117" s="37" t="str">
        <x:v>0.00</x:v>
      </x:c>
      <x:c r="I2117" s="37" t="str">
        <x:v>301.44</x:v>
      </x:c>
      <x:c r="J2117" s="37" t="str">
        <x:v>0.00</x:v>
      </x:c>
      <x:c r="K2117" s="37" t="str">
        <x:v>149.33</x:v>
      </x:c>
      <x:c r="L2117" s="37" t="str">
        <x:v>669</x:v>
      </x:c>
      <x:c r="M2117" s="29" t="str">
        <x:v>364.42</x:v>
      </x:c>
      <x:c r="N2117" s="29" t="str">
        <x:v>279.80</x:v>
      </x:c>
      <x:c r="O2117" s="29" t="str">
        <x:v>84.62</x:v>
      </x:c>
      <x:c r="P2117" s="18" t="str">
        <x:v>2026-07-05</x:v>
      </x:c>
      <x:c r="Q2117" s="36" t="n">
        <x:v>46208</x:v>
      </x:c>
    </x:row>
    <x:row r="2118">
      <x:c r="A2118" s="36" t="str">
        <x:v>2026-07-05</x:v>
      </x:c>
      <x:c r="B2118" s="18" t="str">
        <x:v>101437000_89441</x:v>
      </x:c>
      <x:c r="C2118" s="18" t="str">
        <x:v>【沪村小电】首创禧瑞云启西区充电站</x:v>
      </x:c>
      <x:c r="D2118" s="37" t="str">
        <x:v>2</x:v>
      </x:c>
      <x:c r="E2118" s="37" t="str">
        <x:v>0</x:v>
      </x:c>
      <x:c r="F2118" s="37" t="str">
        <x:v>42</x:v>
      </x:c>
      <x:c r="G2118" s="37" t="str">
        <x:v>1083.02</x:v>
      </x:c>
      <x:c r="H2118" s="37" t="str">
        <x:v>0.00</x:v>
      </x:c>
      <x:c r="I2118" s="37" t="str">
        <x:v>844.19</x:v>
      </x:c>
      <x:c r="J2118" s="37" t="str">
        <x:v>0.00</x:v>
      </x:c>
      <x:c r="K2118" s="37" t="str">
        <x:v>238.83</x:v>
      </x:c>
      <x:c r="L2118" s="37" t="str">
        <x:v>1501</x:v>
      </x:c>
      <x:c r="M2118" s="29" t="str">
        <x:v>988.89</x:v>
      </x:c>
      <x:c r="N2118" s="29" t="str">
        <x:v>668.49</x:v>
      </x:c>
      <x:c r="O2118" s="29" t="str">
        <x:v>320.40</x:v>
      </x:c>
      <x:c r="P2118" s="18" t="str">
        <x:v>2026-07-05</x:v>
      </x:c>
      <x:c r="Q2118" s="36" t="n">
        <x:v>46208</x:v>
      </x:c>
    </x:row>
    <x:row r="2119">
      <x:c r="A2119" s="36" t="str">
        <x:v>2026-07-05</x:v>
      </x:c>
      <x:c r="B2119" s="18" t="str">
        <x:v>101437000_89443</x:v>
      </x:c>
      <x:c r="C2119" s="18" t="str">
        <x:v>【沪村小电】玉兰清苑二期充电站</x:v>
      </x:c>
      <x:c r="D2119" s="37" t="str">
        <x:v>2</x:v>
      </x:c>
      <x:c r="E2119" s="37" t="str">
        <x:v>0</x:v>
      </x:c>
      <x:c r="F2119" s="37" t="str">
        <x:v>23</x:v>
      </x:c>
      <x:c r="G2119" s="37" t="str">
        <x:v>539.24</x:v>
      </x:c>
      <x:c r="H2119" s="37" t="str">
        <x:v>0.00</x:v>
      </x:c>
      <x:c r="I2119" s="37" t="str">
        <x:v>539.24</x:v>
      </x:c>
      <x:c r="J2119" s="37" t="str">
        <x:v>0.00</x:v>
      </x:c>
      <x:c r="K2119" s="37" t="str">
        <x:v>0.00</x:v>
      </x:c>
      <x:c r="L2119" s="37" t="str">
        <x:v>949</x:v>
      </x:c>
      <x:c r="M2119" s="29" t="str">
        <x:v>551.78</x:v>
      </x:c>
      <x:c r="N2119" s="29" t="str">
        <x:v>399.04</x:v>
      </x:c>
      <x:c r="O2119" s="29" t="str">
        <x:v>152.74</x:v>
      </x:c>
      <x:c r="P2119" s="18" t="str">
        <x:v>2026-07-05</x:v>
      </x:c>
      <x:c r="Q2119" s="36" t="n">
        <x:v>46208</x:v>
      </x:c>
    </x:row>
    <x:row r="2120">
      <x:c r="A2120" s="36" t="str">
        <x:v>2026-07-05</x:v>
      </x:c>
      <x:c r="B2120" s="18" t="str">
        <x:v>101437000_93115</x:v>
      </x:c>
      <x:c r="C2120" s="18" t="str">
        <x:v>【沪村小电】新南家园西北门</x:v>
      </x:c>
      <x:c r="D2120" s="37" t="str">
        <x:v>2</x:v>
      </x:c>
      <x:c r="E2120" s="37" t="str">
        <x:v>0</x:v>
      </x:c>
      <x:c r="F2120" s="37" t="str">
        <x:v>23</x:v>
      </x:c>
      <x:c r="G2120" s="37" t="str">
        <x:v>621.45</x:v>
      </x:c>
      <x:c r="H2120" s="37" t="str">
        <x:v>0.00</x:v>
      </x:c>
      <x:c r="I2120" s="37" t="str">
        <x:v>515.40</x:v>
      </x:c>
      <x:c r="J2120" s="37" t="str">
        <x:v>0.00</x:v>
      </x:c>
      <x:c r="K2120" s="37" t="str">
        <x:v>106.05</x:v>
      </x:c>
      <x:c r="L2120" s="37" t="str">
        <x:v>936</x:v>
      </x:c>
      <x:c r="M2120" s="29" t="str">
        <x:v>563.83</x:v>
      </x:c>
      <x:c r="N2120" s="29" t="str">
        <x:v>393.81</x:v>
      </x:c>
      <x:c r="O2120" s="29" t="str">
        <x:v>170.02</x:v>
      </x:c>
      <x:c r="P2120" s="18" t="str">
        <x:v>2026-07-05</x:v>
      </x:c>
      <x:c r="Q2120" s="36" t="n">
        <x:v>46208</x:v>
      </x:c>
    </x:row>
    <x:row r="2121">
      <x:c r="A2121" s="36" t="str">
        <x:v>2026-07-05</x:v>
      </x:c>
      <x:c r="B2121" s="18" t="str">
        <x:v>101437000_94649</x:v>
      </x:c>
      <x:c r="C2121" s="18" t="str">
        <x:v>【沪村小电】浪琴水岸花园</x:v>
      </x:c>
      <x:c r="D2121" s="37" t="str">
        <x:v>4</x:v>
      </x:c>
      <x:c r="E2121" s="37" t="str">
        <x:v>0</x:v>
      </x:c>
      <x:c r="F2121" s="37" t="str">
        <x:v>40</x:v>
      </x:c>
      <x:c r="G2121" s="37" t="str">
        <x:v>820.72</x:v>
      </x:c>
      <x:c r="H2121" s="37" t="str">
        <x:v>0.00</x:v>
      </x:c>
      <x:c r="I2121" s="37" t="str">
        <x:v>425.38</x:v>
      </x:c>
      <x:c r="J2121" s="37" t="str">
        <x:v>0.00</x:v>
      </x:c>
      <x:c r="K2121" s="37" t="str">
        <x:v>395.34</x:v>
      </x:c>
      <x:c r="L2121" s="37" t="str">
        <x:v>1369</x:v>
      </x:c>
      <x:c r="M2121" s="29" t="str">
        <x:v>650.79</x:v>
      </x:c>
      <x:c r="N2121" s="29" t="str">
        <x:v>435.87</x:v>
      </x:c>
      <x:c r="O2121" s="29" t="str">
        <x:v>214.92</x:v>
      </x:c>
      <x:c r="P2121" s="18" t="str">
        <x:v>2026-07-05</x:v>
      </x:c>
      <x:c r="Q2121" s="36" t="n">
        <x:v>46208</x:v>
      </x:c>
    </x:row>
    <x:row r="2122">
      <x:c r="A2122" s="36" t="str">
        <x:v>2026-07-05</x:v>
      </x:c>
      <x:c r="B2122" s="18" t="str">
        <x:v>101437000_95077</x:v>
      </x:c>
      <x:c r="C2122" s="18" t="str">
        <x:v>【沪村小电】民乐城惠益绿苑255弄充电站</x:v>
      </x:c>
      <x:c r="D2122" s="37" t="str">
        <x:v>2</x:v>
      </x:c>
      <x:c r="E2122" s="37" t="str">
        <x:v>0</x:v>
      </x:c>
      <x:c r="F2122" s="37" t="str">
        <x:v>12</x:v>
      </x:c>
      <x:c r="G2122" s="37" t="str">
        <x:v>244.99</x:v>
      </x:c>
      <x:c r="H2122" s="37" t="str">
        <x:v>0.00</x:v>
      </x:c>
      <x:c r="I2122" s="37" t="str">
        <x:v>152.73</x:v>
      </x:c>
      <x:c r="J2122" s="37" t="str">
        <x:v>0.00</x:v>
      </x:c>
      <x:c r="K2122" s="37" t="str">
        <x:v>92.26</x:v>
      </x:c>
      <x:c r="L2122" s="37" t="str">
        <x:v>415</x:v>
      </x:c>
      <x:c r="M2122" s="29" t="str">
        <x:v>219.30</x:v>
      </x:c>
      <x:c r="N2122" s="29" t="str">
        <x:v>148.08</x:v>
      </x:c>
      <x:c r="O2122" s="29" t="str">
        <x:v>71.22</x:v>
      </x:c>
      <x:c r="P2122" s="18" t="str">
        <x:v>2026-07-05</x:v>
      </x:c>
      <x:c r="Q2122" s="36" t="n">
        <x:v>46208</x:v>
      </x:c>
    </x:row>
    <x:row r="2123">
      <x:c r="A2123" s="36" t="str">
        <x:v>2026-07-05</x:v>
      </x:c>
      <x:c r="B2123" s="18" t="str">
        <x:v>101437000_95079</x:v>
      </x:c>
      <x:c r="C2123" s="18" t="str">
        <x:v>【沪村小电】民乐城惠益绿苑东苑充电站</x:v>
      </x:c>
      <x:c r="D2123" s="37" t="str">
        <x:v>2</x:v>
      </x:c>
      <x:c r="E2123" s="37" t="str">
        <x:v>0</x:v>
      </x:c>
      <x:c r="F2123" s="37" t="str">
        <x:v>19</x:v>
      </x:c>
      <x:c r="G2123" s="37" t="str">
        <x:v>274.78</x:v>
      </x:c>
      <x:c r="H2123" s="37" t="str">
        <x:v>0.00</x:v>
      </x:c>
      <x:c r="I2123" s="37" t="str">
        <x:v>274.78</x:v>
      </x:c>
      <x:c r="J2123" s="37" t="str">
        <x:v>0.00</x:v>
      </x:c>
      <x:c r="K2123" s="37" t="str">
        <x:v>0.00</x:v>
      </x:c>
      <x:c r="L2123" s="37" t="str">
        <x:v>459</x:v>
      </x:c>
      <x:c r="M2123" s="29" t="str">
        <x:v>281.34</x:v>
      </x:c>
      <x:c r="N2123" s="29" t="str">
        <x:v>189.61</x:v>
      </x:c>
      <x:c r="O2123" s="29" t="str">
        <x:v>91.73</x:v>
      </x:c>
      <x:c r="P2123" s="18" t="str">
        <x:v>2026-07-05</x:v>
      </x:c>
      <x:c r="Q2123" s="36" t="n">
        <x:v>46208</x:v>
      </x:c>
    </x:row>
    <x:row r="2124">
      <x:c r="A2124" s="36" t="str">
        <x:v>2026-07-05</x:v>
      </x:c>
      <x:c r="B2124" s="18" t="str">
        <x:v>101437000_95081</x:v>
      </x:c>
      <x:c r="C2124" s="18" t="str">
        <x:v>【沪村小电】民乐城惠益绿苑西苑充电站</x:v>
      </x:c>
      <x:c r="D2124" s="37" t="str">
        <x:v>2</x:v>
      </x:c>
      <x:c r="E2124" s="37" t="str">
        <x:v>0</x:v>
      </x:c>
      <x:c r="F2124" s="37" t="str">
        <x:v>1</x:v>
      </x:c>
      <x:c r="G2124" s="37" t="str">
        <x:v>36.09</x:v>
      </x:c>
      <x:c r="H2124" s="37" t="str">
        <x:v>0.00</x:v>
      </x:c>
      <x:c r="I2124" s="37" t="str">
        <x:v>36.09</x:v>
      </x:c>
      <x:c r="J2124" s="37" t="str">
        <x:v>0.00</x:v>
      </x:c>
      <x:c r="K2124" s="37" t="str">
        <x:v>0.00</x:v>
      </x:c>
      <x:c r="L2124" s="37" t="str">
        <x:v>39</x:v>
      </x:c>
      <x:c r="M2124" s="29" t="str">
        <x:v>41.50</x:v>
      </x:c>
      <x:c r="N2124" s="29" t="str">
        <x:v>24.90</x:v>
      </x:c>
      <x:c r="O2124" s="29" t="str">
        <x:v>16.60</x:v>
      </x:c>
      <x:c r="P2124" s="18" t="str">
        <x:v>2026-07-05</x:v>
      </x:c>
      <x:c r="Q2124" s="36" t="n">
        <x:v>46208</x:v>
      </x:c>
    </x:row>
    <x:row r="2125">
      <x:c r="A2125" s="36" t="str">
        <x:v>2026-07-05</x:v>
      </x:c>
      <x:c r="B2125" s="18" t="str">
        <x:v>101437000_95091</x:v>
      </x:c>
      <x:c r="C2125" s="18" t="str">
        <x:v>【沪村小电】金悦学府2号站</x:v>
      </x:c>
      <x:c r="D2125" s="37" t="str">
        <x:v>2</x:v>
      </x:c>
      <x:c r="E2125" s="37" t="str">
        <x:v>0</x:v>
      </x:c>
      <x:c r="F2125" s="37" t="str">
        <x:v>30</x:v>
      </x:c>
      <x:c r="G2125" s="37" t="str">
        <x:v>770.01</x:v>
      </x:c>
      <x:c r="H2125" s="37" t="str">
        <x:v>0.00</x:v>
      </x:c>
      <x:c r="I2125" s="37" t="str">
        <x:v>0.00</x:v>
      </x:c>
      <x:c r="J2125" s="37" t="str">
        <x:v>770.01</x:v>
      </x:c>
      <x:c r="K2125" s="37" t="str">
        <x:v>0.00</x:v>
      </x:c>
      <x:c r="L2125" s="37" t="str">
        <x:v>1094</x:v>
      </x:c>
      <x:c r="M2125" s="29" t="str">
        <x:v>608.32</x:v>
      </x:c>
      <x:c r="N2125" s="29" t="str">
        <x:v>431.22</x:v>
      </x:c>
      <x:c r="O2125" s="29" t="str">
        <x:v>177.10</x:v>
      </x:c>
      <x:c r="P2125" s="18" t="str">
        <x:v>2026-07-05</x:v>
      </x:c>
      <x:c r="Q2125" s="36" t="n">
        <x:v>46208</x:v>
      </x:c>
    </x:row>
    <x:row r="2126">
      <x:c r="A2126" s="36" t="str">
        <x:v>2026-07-05</x:v>
      </x:c>
      <x:c r="B2126" s="18" t="str">
        <x:v>101437000_95941</x:v>
      </x:c>
      <x:c r="C2126" s="18" t="str">
        <x:v>【沪村小电】惠诚雅苑</x:v>
      </x:c>
      <x:c r="D2126" s="37" t="str">
        <x:v>4</x:v>
      </x:c>
      <x:c r="E2126" s="37" t="str">
        <x:v>0</x:v>
      </x:c>
      <x:c r="F2126" s="37" t="str">
        <x:v>34</x:v>
      </x:c>
      <x:c r="G2126" s="37" t="str">
        <x:v>865.83</x:v>
      </x:c>
      <x:c r="H2126" s="37" t="str">
        <x:v>0.00</x:v>
      </x:c>
      <x:c r="I2126" s="37" t="str">
        <x:v>312.09</x:v>
      </x:c>
      <x:c r="J2126" s="37" t="str">
        <x:v>0.00</x:v>
      </x:c>
      <x:c r="K2126" s="37" t="str">
        <x:v>553.75</x:v>
      </x:c>
      <x:c r="L2126" s="37" t="str">
        <x:v>1535</x:v>
      </x:c>
      <x:c r="M2126" s="29" t="str">
        <x:v>562.36</x:v>
      </x:c>
      <x:c r="N2126" s="29" t="str">
        <x:v>355.79</x:v>
      </x:c>
      <x:c r="O2126" s="29" t="str">
        <x:v>206.57</x:v>
      </x:c>
      <x:c r="P2126" s="18" t="str">
        <x:v>2026-07-05</x:v>
      </x:c>
      <x:c r="Q2126" s="36" t="n">
        <x:v>46208</x:v>
      </x:c>
    </x:row>
    <x:row r="2127">
      <x:c r="A2127" s="36" t="str">
        <x:v>2026-07-05</x:v>
      </x:c>
      <x:c r="B2127" s="18" t="str">
        <x:v>101437000_96401</x:v>
      </x:c>
      <x:c r="C2127" s="18" t="str">
        <x:v>【沪村小电】上海联怡枇杷乐园地面站</x:v>
      </x:c>
      <x:c r="D2127" s="37" t="str">
        <x:v>2</x:v>
      </x:c>
      <x:c r="E2127" s="37" t="str">
        <x:v>0</x:v>
      </x:c>
      <x:c r="F2127" s="37" t="str">
        <x:v>6</x:v>
      </x:c>
      <x:c r="G2127" s="37" t="str">
        <x:v>162.54</x:v>
      </x:c>
      <x:c r="H2127" s="37" t="str">
        <x:v>0.00</x:v>
      </x:c>
      <x:c r="I2127" s="37" t="str">
        <x:v>53.85</x:v>
      </x:c>
      <x:c r="J2127" s="37" t="str">
        <x:v>0.00</x:v>
      </x:c>
      <x:c r="K2127" s="37" t="str">
        <x:v>108.69</x:v>
      </x:c>
      <x:c r="L2127" s="37" t="str">
        <x:v>303</x:v>
      </x:c>
      <x:c r="M2127" s="29" t="str">
        <x:v>134.64</x:v>
      </x:c>
      <x:c r="N2127" s="29" t="str">
        <x:v>113.61</x:v>
      </x:c>
      <x:c r="O2127" s="29" t="str">
        <x:v>21.03</x:v>
      </x:c>
      <x:c r="P2127" s="18" t="str">
        <x:v>2026-07-05</x:v>
      </x:c>
      <x:c r="Q2127" s="36" t="n">
        <x:v>46208</x:v>
      </x:c>
    </x:row>
    <x:row r="2128">
      <x:c r="A2128" s="36" t="str">
        <x:v>2026-07-05</x:v>
      </x:c>
      <x:c r="B2128" s="18" t="str">
        <x:v>101437000_96719</x:v>
      </x:c>
      <x:c r="C2128" s="18" t="str">
        <x:v>【沪村小电】四达路220弄充电站</x:v>
      </x:c>
      <x:c r="D2128" s="37" t="str">
        <x:v>2</x:v>
      </x:c>
      <x:c r="E2128" s="37" t="str">
        <x:v>0</x:v>
      </x:c>
      <x:c r="F2128" s="37" t="str">
        <x:v>1</x:v>
      </x:c>
      <x:c r="G2128" s="37" t="str">
        <x:v>25.36</x:v>
      </x:c>
      <x:c r="H2128" s="37" t="str">
        <x:v>0.00</x:v>
      </x:c>
      <x:c r="I2128" s="37" t="str">
        <x:v>25.36</x:v>
      </x:c>
      <x:c r="J2128" s="37" t="str">
        <x:v>0.00</x:v>
      </x:c>
      <x:c r="K2128" s="37" t="str">
        <x:v>0.00</x:v>
      </x:c>
      <x:c r="L2128" s="37" t="str">
        <x:v>32</x:v>
      </x:c>
      <x:c r="M2128" s="29" t="str">
        <x:v>32.98</x:v>
      </x:c>
      <x:c r="N2128" s="29" t="str">
        <x:v>31.20</x:v>
      </x:c>
      <x:c r="O2128" s="29" t="str">
        <x:v>1.78</x:v>
      </x:c>
      <x:c r="P2128" s="18" t="str">
        <x:v>2026-07-05</x:v>
      </x:c>
      <x:c r="Q2128" s="36" t="n">
        <x:v>46208</x:v>
      </x:c>
    </x:row>
    <x:row r="2129">
      <x:c r="A2129" s="36" t="str">
        <x:v>2026-07-05</x:v>
      </x:c>
      <x:c r="B2129" s="18" t="str">
        <x:v>101437000_97421</x:v>
      </x:c>
      <x:c r="C2129" s="18" t="str">
        <x:v>【沪村小电】玉兰清苑二期（小区外）充电站</x:v>
      </x:c>
      <x:c r="D2129" s="37" t="str">
        <x:v>4</x:v>
      </x:c>
      <x:c r="E2129" s="37" t="str">
        <x:v>0</x:v>
      </x:c>
      <x:c r="F2129" s="37" t="str">
        <x:v>37</x:v>
      </x:c>
      <x:c r="G2129" s="37" t="str">
        <x:v>829.17</x:v>
      </x:c>
      <x:c r="H2129" s="37" t="str">
        <x:v>0.00</x:v>
      </x:c>
      <x:c r="I2129" s="37" t="str">
        <x:v>600.01</x:v>
      </x:c>
      <x:c r="J2129" s="37" t="str">
        <x:v>0.00</x:v>
      </x:c>
      <x:c r="K2129" s="37" t="str">
        <x:v>229.16</x:v>
      </x:c>
      <x:c r="L2129" s="37" t="str">
        <x:v>1475</x:v>
      </x:c>
      <x:c r="M2129" s="29" t="str">
        <x:v>735.97</x:v>
      </x:c>
      <x:c r="N2129" s="29" t="str">
        <x:v>531.05</x:v>
      </x:c>
      <x:c r="O2129" s="29" t="str">
        <x:v>204.92</x:v>
      </x:c>
      <x:c r="P2129" s="18" t="str">
        <x:v>2026-07-05</x:v>
      </x:c>
      <x:c r="Q2129" s="36" t="n">
        <x:v>46208</x:v>
      </x:c>
    </x:row>
    <x:row r="2130">
      <x:c r="A2130" s="36" t="str">
        <x:v>2026-07-05</x:v>
      </x:c>
      <x:c r="B2130" s="18" t="str">
        <x:v>101437000_98013</x:v>
      </x:c>
      <x:c r="C2130" s="18" t="str">
        <x:v>【沪村小电】恒大滨江华府充电站</x:v>
      </x:c>
      <x:c r="D2130" s="37" t="str">
        <x:v>4</x:v>
      </x:c>
      <x:c r="E2130" s="37" t="str">
        <x:v>0</x:v>
      </x:c>
      <x:c r="F2130" s="37" t="str">
        <x:v>13</x:v>
      </x:c>
      <x:c r="G2130" s="37" t="str">
        <x:v>274.09</x:v>
      </x:c>
      <x:c r="H2130" s="37" t="str">
        <x:v>0.00</x:v>
      </x:c>
      <x:c r="I2130" s="37" t="str">
        <x:v>165.83</x:v>
      </x:c>
      <x:c r="J2130" s="37" t="str">
        <x:v>0.00</x:v>
      </x:c>
      <x:c r="K2130" s="37" t="str">
        <x:v>108.27</x:v>
      </x:c>
      <x:c r="L2130" s="37" t="str">
        <x:v>445</x:v>
      </x:c>
      <x:c r="M2130" s="29" t="str">
        <x:v>279.71</x:v>
      </x:c>
      <x:c r="N2130" s="29" t="str">
        <x:v>229.83</x:v>
      </x:c>
      <x:c r="O2130" s="29" t="str">
        <x:v>49.88</x:v>
      </x:c>
      <x:c r="P2130" s="18" t="str">
        <x:v>2026-07-05</x:v>
      </x:c>
      <x:c r="Q2130" s="36" t="n">
        <x:v>46208</x:v>
      </x:c>
    </x:row>
    <x:row r="2131">
      <x:c r="A2131" s="36" t="str">
        <x:v>2026-07-05</x:v>
      </x:c>
      <x:c r="B2131" s="18" t="str">
        <x:v>101437000_98865</x:v>
      </x:c>
      <x:c r="C2131" s="18" t="str">
        <x:v>【沪村小电】欣松苑充电站</x:v>
      </x:c>
      <x:c r="D2131" s="37" t="str">
        <x:v>4</x:v>
      </x:c>
      <x:c r="E2131" s="37" t="str">
        <x:v>0</x:v>
      </x:c>
      <x:c r="F2131" s="37" t="str">
        <x:v>17</x:v>
      </x:c>
      <x:c r="G2131" s="37" t="str">
        <x:v>418.74</x:v>
      </x:c>
      <x:c r="H2131" s="37" t="str">
        <x:v>0.00</x:v>
      </x:c>
      <x:c r="I2131" s="37" t="str">
        <x:v>361.89</x:v>
      </x:c>
      <x:c r="J2131" s="37" t="str">
        <x:v>0.00</x:v>
      </x:c>
      <x:c r="K2131" s="37" t="str">
        <x:v>56.85</x:v>
      </x:c>
      <x:c r="L2131" s="37" t="str">
        <x:v>649</x:v>
      </x:c>
      <x:c r="M2131" s="29" t="str">
        <x:v>388.96</x:v>
      </x:c>
      <x:c r="N2131" s="29" t="str">
        <x:v>289.39</x:v>
      </x:c>
      <x:c r="O2131" s="29" t="str">
        <x:v>99.57</x:v>
      </x:c>
      <x:c r="P2131" s="18" t="str">
        <x:v>2026-07-05</x:v>
      </x:c>
      <x:c r="Q2131" s="36" t="n">
        <x:v>46208</x:v>
      </x:c>
    </x:row>
    <x:row r="2132">
      <x:c r="A2132" s="36" t="str">
        <x:v>2026-07-05</x:v>
      </x:c>
      <x:c r="B2132" s="18" t="str">
        <x:v>101437000_98867</x:v>
      </x:c>
      <x:c r="C2132" s="18" t="str">
        <x:v>【沪村小电】欣荷苑充电站</x:v>
      </x:c>
      <x:c r="D2132" s="37" t="str">
        <x:v>4</x:v>
      </x:c>
      <x:c r="E2132" s="37" t="str">
        <x:v>0</x:v>
      </x:c>
      <x:c r="F2132" s="37" t="str">
        <x:v>10</x:v>
      </x:c>
      <x:c r="G2132" s="37" t="str">
        <x:v>255.63</x:v>
      </x:c>
      <x:c r="H2132" s="37" t="str">
        <x:v>0.00</x:v>
      </x:c>
      <x:c r="I2132" s="37" t="str">
        <x:v>227.59</x:v>
      </x:c>
      <x:c r="J2132" s="37" t="str">
        <x:v>0.00</x:v>
      </x:c>
      <x:c r="K2132" s="37" t="str">
        <x:v>28.04</x:v>
      </x:c>
      <x:c r="L2132" s="37" t="str">
        <x:v>378</x:v>
      </x:c>
      <x:c r="M2132" s="29" t="str">
        <x:v>226.68</x:v>
      </x:c>
      <x:c r="N2132" s="29" t="str">
        <x:v>179.06</x:v>
      </x:c>
      <x:c r="O2132" s="29" t="str">
        <x:v>47.62</x:v>
      </x:c>
      <x:c r="P2132" s="18" t="str">
        <x:v>2026-07-05</x:v>
      </x:c>
      <x:c r="Q2132" s="36" t="n">
        <x:v>46208</x:v>
      </x:c>
    </x:row>
    <x:row r="2133">
      <x:c r="A2133" s="36" t="str">
        <x:v>2026-07-05</x:v>
      </x:c>
      <x:c r="B2133" s="18" t="str">
        <x:v>101437000_99885</x:v>
      </x:c>
      <x:c r="C2133" s="18" t="str">
        <x:v>【沪村小电】汇丰馨苑充电站</x:v>
      </x:c>
      <x:c r="D2133" s="37" t="str">
        <x:v>4</x:v>
      </x:c>
      <x:c r="E2133" s="37" t="str">
        <x:v>0</x:v>
      </x:c>
      <x:c r="F2133" s="37" t="str">
        <x:v>5</x:v>
      </x:c>
      <x:c r="G2133" s="37" t="str">
        <x:v>135.85</x:v>
      </x:c>
      <x:c r="H2133" s="37" t="str">
        <x:v>0.00</x:v>
      </x:c>
      <x:c r="I2133" s="37" t="str">
        <x:v>14.76</x:v>
      </x:c>
      <x:c r="J2133" s="37" t="str">
        <x:v>30.69</x:v>
      </x:c>
      <x:c r="K2133" s="37" t="str">
        <x:v>90.40</x:v>
      </x:c>
      <x:c r="L2133" s="37" t="str">
        <x:v>239</x:v>
      </x:c>
      <x:c r="M2133" s="29" t="str">
        <x:v>110.50</x:v>
      </x:c>
      <x:c r="N2133" s="29" t="str">
        <x:v>70.99</x:v>
      </x:c>
      <x:c r="O2133" s="29" t="str">
        <x:v>39.51</x:v>
      </x:c>
      <x:c r="P2133" s="18" t="str">
        <x:v>2026-07-05</x:v>
      </x:c>
      <x:c r="Q2133" s="36" t="n">
        <x:v>46208</x:v>
      </x:c>
    </x:row>
    <x:row r="2134">
      <x:c r="A2134" s="36" t="str">
        <x:v>2026-07-05</x:v>
      </x:c>
      <x:c r="B2134" s="18" t="str">
        <x:v>101437000_99887</x:v>
      </x:c>
      <x:c r="C2134" s="18" t="str">
        <x:v>【沪村小电】新南村河南小区充电站</x:v>
      </x:c>
      <x:c r="D2134" s="37" t="str">
        <x:v>2</x:v>
      </x:c>
      <x:c r="E2134" s="37" t="str">
        <x:v>0</x:v>
      </x:c>
      <x:c r="F2134" s="37" t="str">
        <x:v>11</x:v>
      </x:c>
      <x:c r="G2134" s="37" t="str">
        <x:v>228.29</x:v>
      </x:c>
      <x:c r="H2134" s="37" t="str">
        <x:v>0.00</x:v>
      </x:c>
      <x:c r="I2134" s="37" t="str">
        <x:v>155.97</x:v>
      </x:c>
      <x:c r="J2134" s="37" t="str">
        <x:v>0.00</x:v>
      </x:c>
      <x:c r="K2134" s="37" t="str">
        <x:v>72.32</x:v>
      </x:c>
      <x:c r="L2134" s="37" t="str">
        <x:v>423</x:v>
      </x:c>
      <x:c r="M2134" s="29" t="str">
        <x:v>174.38</x:v>
      </x:c>
      <x:c r="N2134" s="29" t="str">
        <x:v>142.88</x:v>
      </x:c>
      <x:c r="O2134" s="29" t="str">
        <x:v>31.50</x:v>
      </x:c>
      <x:c r="P2134" s="18" t="str">
        <x:v>2026-07-05</x:v>
      </x:c>
      <x:c r="Q2134" s="36" t="n">
        <x:v>46208</x:v>
      </x:c>
    </x:row>
    <x:row r="2135">
      <x:c r="A2135" s="36" t="str">
        <x:v>2026-07-05</x:v>
      </x:c>
      <x:c r="B2135" s="18" t="str">
        <x:v>101437000_99889</x:v>
      </x:c>
      <x:c r="C2135" s="18" t="str">
        <x:v>【沪村小电】漕泾郊野公园</x:v>
      </x:c>
      <x:c r="D2135" s="37" t="str">
        <x:v>2</x:v>
      </x:c>
      <x:c r="E2135" s="37" t="str">
        <x:v>0</x:v>
      </x:c>
      <x:c r="F2135" s="37" t="str">
        <x:v>7</x:v>
      </x:c>
      <x:c r="G2135" s="37" t="str">
        <x:v>151.51</x:v>
      </x:c>
      <x:c r="H2135" s="37" t="str">
        <x:v>0.00</x:v>
      </x:c>
      <x:c r="I2135" s="37" t="str">
        <x:v>98.17</x:v>
      </x:c>
      <x:c r="J2135" s="37" t="str">
        <x:v>14.01</x:v>
      </x:c>
      <x:c r="K2135" s="37" t="str">
        <x:v>39.33</x:v>
      </x:c>
      <x:c r="L2135" s="37" t="str">
        <x:v>163</x:v>
      </x:c>
      <x:c r="M2135" s="29" t="str">
        <x:v>177.58</x:v>
      </x:c>
      <x:c r="N2135" s="29" t="str">
        <x:v>120.06</x:v>
      </x:c>
      <x:c r="O2135" s="29" t="str">
        <x:v>57.52</x:v>
      </x:c>
      <x:c r="P2135" s="18" t="str">
        <x:v>2026-07-05</x:v>
      </x:c>
      <x:c r="Q2135" s="36" t="n">
        <x:v>46208</x:v>
      </x:c>
    </x:row>
    <x:row r="2136">
      <x:c r="A2136" s="36" t="str">
        <x:v>2026-07-05</x:v>
      </x:c>
      <x:c r="B2136" s="18" t="str">
        <x:v>101437000_99891</x:v>
      </x:c>
      <x:c r="C2136" s="18" t="str">
        <x:v>【沪村小电】水韵紫城充电站</x:v>
      </x:c>
      <x:c r="D2136" s="37" t="str">
        <x:v>4</x:v>
      </x:c>
      <x:c r="E2136" s="37" t="str">
        <x:v>0</x:v>
      </x:c>
      <x:c r="F2136" s="37" t="str">
        <x:v>12</x:v>
      </x:c>
      <x:c r="G2136" s="37" t="str">
        <x:v>244.10</x:v>
      </x:c>
      <x:c r="H2136" s="37" t="str">
        <x:v>0.00</x:v>
      </x:c>
      <x:c r="I2136" s="37" t="str">
        <x:v>205.77</x:v>
      </x:c>
      <x:c r="J2136" s="37" t="str">
        <x:v>0.00</x:v>
      </x:c>
      <x:c r="K2136" s="37" t="str">
        <x:v>38.33</x:v>
      </x:c>
      <x:c r="L2136" s="37" t="str">
        <x:v>326</x:v>
      </x:c>
      <x:c r="M2136" s="29" t="str">
        <x:v>259.98</x:v>
      </x:c>
      <x:c r="N2136" s="29" t="str">
        <x:v>166.83</x:v>
      </x:c>
      <x:c r="O2136" s="29" t="str">
        <x:v>93.15</x:v>
      </x:c>
      <x:c r="P2136" s="18" t="str">
        <x:v>2026-07-05</x:v>
      </x:c>
      <x:c r="Q2136" s="36" t="n">
        <x:v>46208</x:v>
      </x:c>
    </x:row>
    <x:row r="2137">
      <x:c r="A2137" s="36" t="str">
        <x:v>2026-07-04</x:v>
      </x:c>
      <x:c r="B2137" s="18" t="str">
        <x:v>101437000_41561</x:v>
      </x:c>
      <x:c r="C2137" s="18" t="str">
        <x:v>【沪村小电】张施小区大门处快充站</x:v>
      </x:c>
      <x:c r="D2137" s="37" t="str">
        <x:v>2</x:v>
      </x:c>
      <x:c r="E2137" s="37" t="str">
        <x:v>0</x:v>
      </x:c>
      <x:c r="F2137" s="37" t="str">
        <x:v>52</x:v>
      </x:c>
      <x:c r="G2137" s="37" t="str">
        <x:v>1343.17</x:v>
      </x:c>
      <x:c r="H2137" s="37" t="str">
        <x:v>0.00</x:v>
      </x:c>
      <x:c r="I2137" s="37" t="str">
        <x:v>784.39</x:v>
      </x:c>
      <x:c r="J2137" s="37" t="str">
        <x:v>0.00</x:v>
      </x:c>
      <x:c r="K2137" s="37" t="str">
        <x:v>558.78</x:v>
      </x:c>
      <x:c r="L2137" s="37" t="str">
        <x:v>2377</x:v>
      </x:c>
      <x:c r="M2137" s="29" t="str">
        <x:v>1038.69</x:v>
      </x:c>
      <x:c r="N2137" s="29" t="str">
        <x:v>792.84</x:v>
      </x:c>
      <x:c r="O2137" s="29" t="str">
        <x:v>245.85</x:v>
      </x:c>
      <x:c r="P2137" s="18" t="str">
        <x:v>2026-07-04</x:v>
      </x:c>
      <x:c r="Q2137" s="36" t="n">
        <x:v>46207</x:v>
      </x:c>
    </x:row>
    <x:row r="2138">
      <x:c r="A2138" s="36" t="str">
        <x:v>2026-07-04</x:v>
      </x:c>
      <x:c r="B2138" s="18" t="str">
        <x:v>101437000_41563</x:v>
      </x:c>
      <x:c r="C2138" s="18" t="str">
        <x:v>【沪村小电】同心村快充站</x:v>
      </x:c>
      <x:c r="D2138" s="37" t="str">
        <x:v>4</x:v>
      </x:c>
      <x:c r="E2138" s="37" t="str">
        <x:v>0</x:v>
      </x:c>
      <x:c r="F2138" s="37" t="str">
        <x:v>57</x:v>
      </x:c>
      <x:c r="G2138" s="37" t="str">
        <x:v>954.72</x:v>
      </x:c>
      <x:c r="H2138" s="37" t="str">
        <x:v>0.00</x:v>
      </x:c>
      <x:c r="I2138" s="37" t="str">
        <x:v>684.58</x:v>
      </x:c>
      <x:c r="J2138" s="37" t="str">
        <x:v>0.00</x:v>
      </x:c>
      <x:c r="K2138" s="37" t="str">
        <x:v>270.15</x:v>
      </x:c>
      <x:c r="L2138" s="37" t="str">
        <x:v>2617</x:v>
      </x:c>
      <x:c r="M2138" s="29" t="str">
        <x:v>819.57</x:v>
      </x:c>
      <x:c r="N2138" s="29" t="str">
        <x:v>569.62</x:v>
      </x:c>
      <x:c r="O2138" s="29" t="str">
        <x:v>249.95</x:v>
      </x:c>
      <x:c r="P2138" s="18" t="str">
        <x:v>2026-07-04</x:v>
      </x:c>
      <x:c r="Q2138" s="36" t="n">
        <x:v>46207</x:v>
      </x:c>
    </x:row>
    <x:row r="2139">
      <x:c r="A2139" s="36" t="str">
        <x:v>2026-07-04</x:v>
      </x:c>
      <x:c r="B2139" s="18" t="str">
        <x:v>101437000_69629</x:v>
      </x:c>
      <x:c r="C2139" s="18" t="str">
        <x:v>【沪村小电】骏丰玲珑坊西苑充电站</x:v>
      </x:c>
      <x:c r="D2139" s="37" t="str">
        <x:v>2</x:v>
      </x:c>
      <x:c r="E2139" s="37" t="str">
        <x:v>0</x:v>
      </x:c>
      <x:c r="F2139" s="37" t="str">
        <x:v>78</x:v>
      </x:c>
      <x:c r="G2139" s="37" t="str">
        <x:v>1892.11</x:v>
      </x:c>
      <x:c r="H2139" s="37" t="str">
        <x:v>0.00</x:v>
      </x:c>
      <x:c r="I2139" s="37" t="str">
        <x:v>1140.28</x:v>
      </x:c>
      <x:c r="J2139" s="37" t="str">
        <x:v>0.00</x:v>
      </x:c>
      <x:c r="K2139" s="37" t="str">
        <x:v>751.83</x:v>
      </x:c>
      <x:c r="L2139" s="37" t="str">
        <x:v>3221</x:v>
      </x:c>
      <x:c r="M2139" s="29" t="str">
        <x:v>1554.49</x:v>
      </x:c>
      <x:c r="N2139" s="29" t="str">
        <x:v>1129.52</x:v>
      </x:c>
      <x:c r="O2139" s="29" t="str">
        <x:v>424.97</x:v>
      </x:c>
      <x:c r="P2139" s="18" t="str">
        <x:v>2026-07-04</x:v>
      </x:c>
      <x:c r="Q2139" s="36" t="n">
        <x:v>46207</x:v>
      </x:c>
    </x:row>
    <x:row r="2140">
      <x:c r="A2140" s="36" t="str">
        <x:v>2026-07-04</x:v>
      </x:c>
      <x:c r="B2140" s="18" t="str">
        <x:v>101437000_70547</x:v>
      </x:c>
      <x:c r="C2140" s="18" t="str">
        <x:v>【沪村小电】农建村初心馆党群服务中心充电站</x:v>
      </x:c>
      <x:c r="D2140" s="37" t="str">
        <x:v>4</x:v>
      </x:c>
      <x:c r="E2140" s="37" t="str">
        <x:v>0</x:v>
      </x:c>
      <x:c r="F2140" s="37" t="str">
        <x:v>20</x:v>
      </x:c>
      <x:c r="G2140" s="37" t="str">
        <x:v>451.44</x:v>
      </x:c>
      <x:c r="H2140" s="37" t="str">
        <x:v>0.00</x:v>
      </x:c>
      <x:c r="I2140" s="37" t="str">
        <x:v>303.11</x:v>
      </x:c>
      <x:c r="J2140" s="37" t="str">
        <x:v>0.00</x:v>
      </x:c>
      <x:c r="K2140" s="37" t="str">
        <x:v>148.32</x:v>
      </x:c>
      <x:c r="L2140" s="37" t="str">
        <x:v>719</x:v>
      </x:c>
      <x:c r="M2140" s="29" t="str">
        <x:v>462.31</x:v>
      </x:c>
      <x:c r="N2140" s="29" t="str">
        <x:v>393.85</x:v>
      </x:c>
      <x:c r="O2140" s="29" t="str">
        <x:v>68.46</x:v>
      </x:c>
      <x:c r="P2140" s="18" t="str">
        <x:v>2026-07-04</x:v>
      </x:c>
      <x:c r="Q2140" s="36" t="n">
        <x:v>46207</x:v>
      </x:c>
    </x:row>
    <x:row r="2141">
      <x:c r="A2141" s="36" t="str">
        <x:v>2026-07-04</x:v>
      </x:c>
      <x:c r="B2141" s="18" t="str">
        <x:v>101437000_70549</x:v>
      </x:c>
      <x:c r="C2141" s="18" t="str">
        <x:v>【沪村小电】学府路充电站</x:v>
      </x:c>
      <x:c r="D2141" s="37" t="str">
        <x:v>2</x:v>
      </x:c>
      <x:c r="E2141" s="37" t="str">
        <x:v>0</x:v>
      </x:c>
      <x:c r="F2141" s="37" t="str">
        <x:v>14</x:v>
      </x:c>
      <x:c r="G2141" s="37" t="str">
        <x:v>340.21</x:v>
      </x:c>
      <x:c r="H2141" s="37" t="str">
        <x:v>0.00</x:v>
      </x:c>
      <x:c r="I2141" s="37" t="str">
        <x:v>183.47</x:v>
      </x:c>
      <x:c r="J2141" s="37" t="str">
        <x:v>0.00</x:v>
      </x:c>
      <x:c r="K2141" s="37" t="str">
        <x:v>156.74</x:v>
      </x:c>
      <x:c r="L2141" s="37" t="str">
        <x:v>616</x:v>
      </x:c>
      <x:c r="M2141" s="29" t="str">
        <x:v>348.37</x:v>
      </x:c>
      <x:c r="N2141" s="29" t="str">
        <x:v>273.87</x:v>
      </x:c>
      <x:c r="O2141" s="29" t="str">
        <x:v>74.50</x:v>
      </x:c>
      <x:c r="P2141" s="18" t="str">
        <x:v>2026-07-04</x:v>
      </x:c>
      <x:c r="Q2141" s="36" t="n">
        <x:v>46207</x:v>
      </x:c>
    </x:row>
    <x:row r="2142">
      <x:c r="A2142" s="36" t="str">
        <x:v>2026-07-04</x:v>
      </x:c>
      <x:c r="B2142" s="18" t="str">
        <x:v>101437000_71059</x:v>
      </x:c>
      <x:c r="C2142" s="18" t="str">
        <x:v>【沪村小电】宝乐汇商业广场站</x:v>
      </x:c>
      <x:c r="D2142" s="37" t="str">
        <x:v>4</x:v>
      </x:c>
      <x:c r="E2142" s="37" t="str">
        <x:v>0</x:v>
      </x:c>
      <x:c r="F2142" s="37" t="str">
        <x:v>12</x:v>
      </x:c>
      <x:c r="G2142" s="37" t="str">
        <x:v>308.04</x:v>
      </x:c>
      <x:c r="H2142" s="37" t="str">
        <x:v>20.54</x:v>
      </x:c>
      <x:c r="I2142" s="37" t="str">
        <x:v>133.04</x:v>
      </x:c>
      <x:c r="J2142" s="37" t="str">
        <x:v>132.13</x:v>
      </x:c>
      <x:c r="K2142" s="37" t="str">
        <x:v>22.33</x:v>
      </x:c>
      <x:c r="L2142" s="37" t="str">
        <x:v>418</x:v>
      </x:c>
      <x:c r="M2142" s="29" t="str">
        <x:v>364.32</x:v>
      </x:c>
      <x:c r="N2142" s="29" t="str">
        <x:v>297.58</x:v>
      </x:c>
      <x:c r="O2142" s="29" t="str">
        <x:v>66.74</x:v>
      </x:c>
      <x:c r="P2142" s="18" t="str">
        <x:v>2026-07-04</x:v>
      </x:c>
      <x:c r="Q2142" s="36" t="n">
        <x:v>46207</x:v>
      </x:c>
    </x:row>
    <x:row r="2143">
      <x:c r="A2143" s="36" t="str">
        <x:v>2026-07-04</x:v>
      </x:c>
      <x:c r="B2143" s="18" t="str">
        <x:v>101437000_72541</x:v>
      </x:c>
      <x:c r="C2143" s="18" t="str">
        <x:v>【沪村小电】九干路1174弄充电站</x:v>
      </x:c>
      <x:c r="D2143" s="37" t="str">
        <x:v>2</x:v>
      </x:c>
      <x:c r="E2143" s="37" t="str">
        <x:v>0</x:v>
      </x:c>
      <x:c r="F2143" s="37" t="str">
        <x:v>70</x:v>
      </x:c>
      <x:c r="G2143" s="37" t="str">
        <x:v>897.81</x:v>
      </x:c>
      <x:c r="H2143" s="37" t="str">
        <x:v>0.00</x:v>
      </x:c>
      <x:c r="I2143" s="37" t="str">
        <x:v>534.36</x:v>
      </x:c>
      <x:c r="J2143" s="37" t="str">
        <x:v>0.00</x:v>
      </x:c>
      <x:c r="K2143" s="37" t="str">
        <x:v>363.45</x:v>
      </x:c>
      <x:c r="L2143" s="37" t="str">
        <x:v>1505</x:v>
      </x:c>
      <x:c r="M2143" s="29" t="str">
        <x:v>753.76</x:v>
      </x:c>
      <x:c r="N2143" s="29" t="str">
        <x:v>533.48</x:v>
      </x:c>
      <x:c r="O2143" s="29" t="str">
        <x:v>220.28</x:v>
      </x:c>
      <x:c r="P2143" s="18" t="str">
        <x:v>2026-07-04</x:v>
      </x:c>
      <x:c r="Q2143" s="36" t="n">
        <x:v>46207</x:v>
      </x:c>
    </x:row>
    <x:row r="2144">
      <x:c r="A2144" s="36" t="str">
        <x:v>2026-07-04</x:v>
      </x:c>
      <x:c r="B2144" s="18" t="str">
        <x:v>101437000_72543</x:v>
      </x:c>
      <x:c r="C2144" s="18" t="str">
        <x:v>【沪村小电】叶家中心村小区充电站</x:v>
      </x:c>
      <x:c r="D2144" s="37" t="str">
        <x:v>2</x:v>
      </x:c>
      <x:c r="E2144" s="37" t="str">
        <x:v>0</x:v>
      </x:c>
      <x:c r="F2144" s="37" t="str">
        <x:v>43</x:v>
      </x:c>
      <x:c r="G2144" s="37" t="str">
        <x:v>1026.21</x:v>
      </x:c>
      <x:c r="H2144" s="37" t="str">
        <x:v>0.00</x:v>
      </x:c>
      <x:c r="I2144" s="37" t="str">
        <x:v>601.15</x:v>
      </x:c>
      <x:c r="J2144" s="37" t="str">
        <x:v>0.00</x:v>
      </x:c>
      <x:c r="K2144" s="37" t="str">
        <x:v>425.06</x:v>
      </x:c>
      <x:c r="L2144" s="37" t="str">
        <x:v>1809</x:v>
      </x:c>
      <x:c r="M2144" s="29" t="str">
        <x:v>879.27</x:v>
      </x:c>
      <x:c r="N2144" s="29" t="str">
        <x:v>606.38</x:v>
      </x:c>
      <x:c r="O2144" s="29" t="str">
        <x:v>272.89</x:v>
      </x:c>
      <x:c r="P2144" s="18" t="str">
        <x:v>2026-07-04</x:v>
      </x:c>
      <x:c r="Q2144" s="36" t="n">
        <x:v>46207</x:v>
      </x:c>
    </x:row>
    <x:row r="2145">
      <x:c r="A2145" s="36" t="str">
        <x:v>2026-07-04</x:v>
      </x:c>
      <x:c r="B2145" s="18" t="str">
        <x:v>101437000_72937</x:v>
      </x:c>
      <x:c r="C2145" s="18" t="str">
        <x:v>【沪村小电】佘北家园茸腾苑充电站</x:v>
      </x:c>
      <x:c r="D2145" s="37" t="str">
        <x:v>4</x:v>
      </x:c>
      <x:c r="E2145" s="37" t="str">
        <x:v>0</x:v>
      </x:c>
      <x:c r="F2145" s="37" t="str">
        <x:v>20</x:v>
      </x:c>
      <x:c r="G2145" s="37" t="str">
        <x:v>471.50</x:v>
      </x:c>
      <x:c r="H2145" s="37" t="str">
        <x:v>0.00</x:v>
      </x:c>
      <x:c r="I2145" s="37" t="str">
        <x:v>471.50</x:v>
      </x:c>
      <x:c r="J2145" s="37" t="str">
        <x:v>0.00</x:v>
      </x:c>
      <x:c r="K2145" s="37" t="str">
        <x:v>0.00</x:v>
      </x:c>
      <x:c r="L2145" s="37" t="str">
        <x:v>899</x:v>
      </x:c>
      <x:c r="M2145" s="29" t="str">
        <x:v>419.14</x:v>
      </x:c>
      <x:c r="N2145" s="29" t="str">
        <x:v>348.92</x:v>
      </x:c>
      <x:c r="O2145" s="29" t="str">
        <x:v>70.22</x:v>
      </x:c>
      <x:c r="P2145" s="18" t="str">
        <x:v>2026-07-04</x:v>
      </x:c>
      <x:c r="Q2145" s="36" t="n">
        <x:v>46207</x:v>
      </x:c>
    </x:row>
    <x:row r="2146">
      <x:c r="A2146" s="36" t="str">
        <x:v>2026-07-04</x:v>
      </x:c>
      <x:c r="B2146" s="18" t="str">
        <x:v>101437000_74223</x:v>
      </x:c>
      <x:c r="C2146" s="18" t="str">
        <x:v>【沪村小电】中兴村委会充电站</x:v>
      </x:c>
      <x:c r="D2146" s="37" t="str">
        <x:v>2</x:v>
      </x:c>
      <x:c r="E2146" s="37" t="str">
        <x:v>0</x:v>
      </x:c>
      <x:c r="F2146" s="37" t="str">
        <x:v>13</x:v>
      </x:c>
      <x:c r="G2146" s="37" t="str">
        <x:v>333.60</x:v>
      </x:c>
      <x:c r="H2146" s="37" t="str">
        <x:v>0.00</x:v>
      </x:c>
      <x:c r="I2146" s="37" t="str">
        <x:v>174.41</x:v>
      </x:c>
      <x:c r="J2146" s="37" t="str">
        <x:v>0.00</x:v>
      </x:c>
      <x:c r="K2146" s="37" t="str">
        <x:v>159.18</x:v>
      </x:c>
      <x:c r="L2146" s="37" t="str">
        <x:v>496</x:v>
      </x:c>
      <x:c r="M2146" s="29" t="str">
        <x:v>326.25</x:v>
      </x:c>
      <x:c r="N2146" s="29" t="str">
        <x:v>265.75</x:v>
      </x:c>
      <x:c r="O2146" s="29" t="str">
        <x:v>60.50</x:v>
      </x:c>
      <x:c r="P2146" s="18" t="str">
        <x:v>2026-07-04</x:v>
      </x:c>
      <x:c r="Q2146" s="36" t="n">
        <x:v>46207</x:v>
      </x:c>
    </x:row>
    <x:row r="2147">
      <x:c r="A2147" s="36" t="str">
        <x:v>2026-07-04</x:v>
      </x:c>
      <x:c r="B2147" s="18" t="str">
        <x:v>101437000_74801</x:v>
      </x:c>
      <x:c r="C2147" s="18" t="str">
        <x:v>【沪村小电】申良花园充电站</x:v>
      </x:c>
      <x:c r="D2147" s="37" t="str">
        <x:v>4</x:v>
      </x:c>
      <x:c r="E2147" s="37" t="str">
        <x:v>0</x:v>
      </x:c>
      <x:c r="F2147" s="37" t="str">
        <x:v>7</x:v>
      </x:c>
      <x:c r="G2147" s="37" t="str">
        <x:v>141.36</x:v>
      </x:c>
      <x:c r="H2147" s="37" t="str">
        <x:v>0.00</x:v>
      </x:c>
      <x:c r="I2147" s="37" t="str">
        <x:v>106.11</x:v>
      </x:c>
      <x:c r="J2147" s="37" t="str">
        <x:v>0.00</x:v>
      </x:c>
      <x:c r="K2147" s="37" t="str">
        <x:v>35.24</x:v>
      </x:c>
      <x:c r="L2147" s="37" t="str">
        <x:v>234</x:v>
      </x:c>
      <x:c r="M2147" s="29" t="str">
        <x:v>174.75</x:v>
      </x:c>
      <x:c r="N2147" s="29" t="str">
        <x:v>91.92</x:v>
      </x:c>
      <x:c r="O2147" s="29" t="str">
        <x:v>82.83</x:v>
      </x:c>
      <x:c r="P2147" s="18" t="str">
        <x:v>2026-07-04</x:v>
      </x:c>
      <x:c r="Q2147" s="36" t="n">
        <x:v>46207</x:v>
      </x:c>
    </x:row>
    <x:row r="2148">
      <x:c r="A2148" s="36" t="str">
        <x:v>2026-07-04</x:v>
      </x:c>
      <x:c r="B2148" s="18" t="str">
        <x:v>101437000_74931</x:v>
      </x:c>
      <x:c r="C2148" s="18" t="str">
        <x:v>【沪村小电】枫雅南居充电站</x:v>
      </x:c>
      <x:c r="D2148" s="37" t="str">
        <x:v>2</x:v>
      </x:c>
      <x:c r="E2148" s="37" t="str">
        <x:v>0</x:v>
      </x:c>
      <x:c r="F2148" s="37" t="str">
        <x:v>14</x:v>
      </x:c>
      <x:c r="G2148" s="37" t="str">
        <x:v>238.57</x:v>
      </x:c>
      <x:c r="H2148" s="37" t="str">
        <x:v>0.00</x:v>
      </x:c>
      <x:c r="I2148" s="37" t="str">
        <x:v>171.34</x:v>
      </x:c>
      <x:c r="J2148" s="37" t="str">
        <x:v>0.00</x:v>
      </x:c>
      <x:c r="K2148" s="37" t="str">
        <x:v>67.23</x:v>
      </x:c>
      <x:c r="L2148" s="37" t="str">
        <x:v>377</x:v>
      </x:c>
      <x:c r="M2148" s="29" t="str">
        <x:v>183.34</x:v>
      </x:c>
      <x:c r="N2148" s="29" t="str">
        <x:v>121.95</x:v>
      </x:c>
      <x:c r="O2148" s="29" t="str">
        <x:v>61.39</x:v>
      </x:c>
      <x:c r="P2148" s="18" t="str">
        <x:v>2026-07-04</x:v>
      </x:c>
      <x:c r="Q2148" s="36" t="n">
        <x:v>46207</x:v>
      </x:c>
    </x:row>
    <x:row r="2149">
      <x:c r="A2149" s="36" t="str">
        <x:v>2026-07-04</x:v>
      </x:c>
      <x:c r="B2149" s="18" t="str">
        <x:v>101437000_75901</x:v>
      </x:c>
      <x:c r="C2149" s="18" t="str">
        <x:v>【沪村小电】金悦学府</x:v>
      </x:c>
      <x:c r="D2149" s="37" t="str">
        <x:v>2</x:v>
      </x:c>
      <x:c r="E2149" s="37" t="str">
        <x:v>0</x:v>
      </x:c>
      <x:c r="F2149" s="37" t="str">
        <x:v>42</x:v>
      </x:c>
      <x:c r="G2149" s="37" t="str">
        <x:v>970.22</x:v>
      </x:c>
      <x:c r="H2149" s="37" t="str">
        <x:v>0.00</x:v>
      </x:c>
      <x:c r="I2149" s="37" t="str">
        <x:v>195.91</x:v>
      </x:c>
      <x:c r="J2149" s="37" t="str">
        <x:v>0.00</x:v>
      </x:c>
      <x:c r="K2149" s="37" t="str">
        <x:v>774.30</x:v>
      </x:c>
      <x:c r="L2149" s="37" t="str">
        <x:v>1342</x:v>
      </x:c>
      <x:c r="M2149" s="29" t="str">
        <x:v>658.58</x:v>
      </x:c>
      <x:c r="N2149" s="29" t="str">
        <x:v>355.64</x:v>
      </x:c>
      <x:c r="O2149" s="29" t="str">
        <x:v>302.94</x:v>
      </x:c>
      <x:c r="P2149" s="18" t="str">
        <x:v>2026-07-04</x:v>
      </x:c>
      <x:c r="Q2149" s="36" t="n">
        <x:v>46207</x:v>
      </x:c>
    </x:row>
    <x:row r="2150">
      <x:c r="A2150" s="36" t="str">
        <x:v>2026-07-04</x:v>
      </x:c>
      <x:c r="B2150" s="18" t="str">
        <x:v>101437000_76091</x:v>
      </x:c>
      <x:c r="C2150" s="18" t="str">
        <x:v>【沪村小电】恒信家园充电站</x:v>
      </x:c>
      <x:c r="D2150" s="37" t="str">
        <x:v>2</x:v>
      </x:c>
      <x:c r="E2150" s="37" t="str">
        <x:v>0</x:v>
      </x:c>
      <x:c r="F2150" s="37" t="str">
        <x:v>44</x:v>
      </x:c>
      <x:c r="G2150" s="37" t="str">
        <x:v>1161.10</x:v>
      </x:c>
      <x:c r="H2150" s="37" t="str">
        <x:v>0.00</x:v>
      </x:c>
      <x:c r="I2150" s="37" t="str">
        <x:v>556.10</x:v>
      </x:c>
      <x:c r="J2150" s="37" t="str">
        <x:v>0.00</x:v>
      </x:c>
      <x:c r="K2150" s="37" t="str">
        <x:v>605.00</x:v>
      </x:c>
      <x:c r="L2150" s="37" t="str">
        <x:v>1786</x:v>
      </x:c>
      <x:c r="M2150" s="29" t="str">
        <x:v>1071.14</x:v>
      </x:c>
      <x:c r="N2150" s="29" t="str">
        <x:v>641.42</x:v>
      </x:c>
      <x:c r="O2150" s="29" t="str">
        <x:v>429.72</x:v>
      </x:c>
      <x:c r="P2150" s="18" t="str">
        <x:v>2026-07-04</x:v>
      </x:c>
      <x:c r="Q2150" s="36" t="n">
        <x:v>46207</x:v>
      </x:c>
    </x:row>
    <x:row r="2151">
      <x:c r="A2151" s="36" t="str">
        <x:v>2026-07-04</x:v>
      </x:c>
      <x:c r="B2151" s="18" t="str">
        <x:v>101437000_76417</x:v>
      </x:c>
      <x:c r="C2151" s="18" t="str">
        <x:v>【沪村小电】新春一组充电站</x:v>
      </x:c>
      <x:c r="D2151" s="37" t="str">
        <x:v>2</x:v>
      </x:c>
      <x:c r="E2151" s="37" t="str">
        <x:v>0</x:v>
      </x:c>
      <x:c r="F2151" s="37" t="str">
        <x:v>9</x:v>
      </x:c>
      <x:c r="G2151" s="37" t="str">
        <x:v>313.56</x:v>
      </x:c>
      <x:c r="H2151" s="37" t="str">
        <x:v>0.00</x:v>
      </x:c>
      <x:c r="I2151" s="37" t="str">
        <x:v>82.70</x:v>
      </x:c>
      <x:c r="J2151" s="37" t="str">
        <x:v>0.00</x:v>
      </x:c>
      <x:c r="K2151" s="37" t="str">
        <x:v>230.86</x:v>
      </x:c>
      <x:c r="L2151" s="37" t="str">
        <x:v>426</x:v>
      </x:c>
      <x:c r="M2151" s="29" t="str">
        <x:v>268.01</x:v>
      </x:c>
      <x:c r="N2151" s="29" t="str">
        <x:v>208.36</x:v>
      </x:c>
      <x:c r="O2151" s="29" t="str">
        <x:v>59.65</x:v>
      </x:c>
      <x:c r="P2151" s="18" t="str">
        <x:v>2026-07-04</x:v>
      </x:c>
      <x:c r="Q2151" s="36" t="n">
        <x:v>46207</x:v>
      </x:c>
    </x:row>
    <x:row r="2152">
      <x:c r="A2152" s="36" t="str">
        <x:v>2026-07-04</x:v>
      </x:c>
      <x:c r="B2152" s="18" t="str">
        <x:v>101437000_78235</x:v>
      </x:c>
      <x:c r="C2152" s="18" t="str">
        <x:v>【沪村小电】欣秋苑充电站</x:v>
      </x:c>
      <x:c r="D2152" s="37" t="str">
        <x:v>4</x:v>
      </x:c>
      <x:c r="E2152" s="37" t="str">
        <x:v>0</x:v>
      </x:c>
      <x:c r="F2152" s="37" t="str">
        <x:v>30</x:v>
      </x:c>
      <x:c r="G2152" s="37" t="str">
        <x:v>649.56</x:v>
      </x:c>
      <x:c r="H2152" s="37" t="str">
        <x:v>0.00</x:v>
      </x:c>
      <x:c r="I2152" s="37" t="str">
        <x:v>492.06</x:v>
      </x:c>
      <x:c r="J2152" s="37" t="str">
        <x:v>0.00</x:v>
      </x:c>
      <x:c r="K2152" s="37" t="str">
        <x:v>157.50</x:v>
      </x:c>
      <x:c r="L2152" s="37" t="str">
        <x:v>1302</x:v>
      </x:c>
      <x:c r="M2152" s="29" t="str">
        <x:v>544.97</x:v>
      </x:c>
      <x:c r="N2152" s="29" t="str">
        <x:v>423.98</x:v>
      </x:c>
      <x:c r="O2152" s="29" t="str">
        <x:v>120.99</x:v>
      </x:c>
      <x:c r="P2152" s="18" t="str">
        <x:v>2026-07-04</x:v>
      </x:c>
      <x:c r="Q2152" s="36" t="n">
        <x:v>46207</x:v>
      </x:c>
    </x:row>
    <x:row r="2153">
      <x:c r="A2153" s="36" t="str">
        <x:v>2026-07-04</x:v>
      </x:c>
      <x:c r="B2153" s="18" t="str">
        <x:v>101437000_78237</x:v>
      </x:c>
      <x:c r="C2153" s="18" t="str">
        <x:v>【沪村小电】奉馨苑西门小区内北侧充电站</x:v>
      </x:c>
      <x:c r="D2153" s="37" t="str">
        <x:v>2</x:v>
      </x:c>
      <x:c r="E2153" s="37" t="str">
        <x:v>0</x:v>
      </x:c>
      <x:c r="F2153" s="37" t="str">
        <x:v>41</x:v>
      </x:c>
      <x:c r="G2153" s="37" t="str">
        <x:v>1009.25</x:v>
      </x:c>
      <x:c r="H2153" s="37" t="str">
        <x:v>0.00</x:v>
      </x:c>
      <x:c r="I2153" s="37" t="str">
        <x:v>700.97</x:v>
      </x:c>
      <x:c r="J2153" s="37" t="str">
        <x:v>0.00</x:v>
      </x:c>
      <x:c r="K2153" s="37" t="str">
        <x:v>308.28</x:v>
      </x:c>
      <x:c r="L2153" s="37" t="str">
        <x:v>1497</x:v>
      </x:c>
      <x:c r="M2153" s="29" t="str">
        <x:v>984.28</x:v>
      </x:c>
      <x:c r="N2153" s="29" t="str">
        <x:v>635.86</x:v>
      </x:c>
      <x:c r="O2153" s="29" t="str">
        <x:v>348.42</x:v>
      </x:c>
      <x:c r="P2153" s="18" t="str">
        <x:v>2026-07-04</x:v>
      </x:c>
      <x:c r="Q2153" s="36" t="n">
        <x:v>46207</x:v>
      </x:c>
    </x:row>
    <x:row r="2154">
      <x:c r="A2154" s="36" t="str">
        <x:v>2026-07-04</x:v>
      </x:c>
      <x:c r="B2154" s="18" t="str">
        <x:v>101437000_78239</x:v>
      </x:c>
      <x:c r="C2154" s="18" t="str">
        <x:v>【沪村小电】恒大佘山首府东门充电站</x:v>
      </x:c>
      <x:c r="D2154" s="37" t="str">
        <x:v>2</x:v>
      </x:c>
      <x:c r="E2154" s="37" t="str">
        <x:v>0</x:v>
      </x:c>
      <x:c r="F2154" s="37" t="str">
        <x:v>42</x:v>
      </x:c>
      <x:c r="G2154" s="37" t="str">
        <x:v>1150.70</x:v>
      </x:c>
      <x:c r="H2154" s="37" t="str">
        <x:v>0.00</x:v>
      </x:c>
      <x:c r="I2154" s="37" t="str">
        <x:v>689.18</x:v>
      </x:c>
      <x:c r="J2154" s="37" t="str">
        <x:v>0.00</x:v>
      </x:c>
      <x:c r="K2154" s="37" t="str">
        <x:v>461.52</x:v>
      </x:c>
      <x:c r="L2154" s="37" t="str">
        <x:v>1743</x:v>
      </x:c>
      <x:c r="M2154" s="29" t="str">
        <x:v>934.89</x:v>
      </x:c>
      <x:c r="N2154" s="29" t="str">
        <x:v>685.35</x:v>
      </x:c>
      <x:c r="O2154" s="29" t="str">
        <x:v>249.54</x:v>
      </x:c>
      <x:c r="P2154" s="18" t="str">
        <x:v>2026-07-04</x:v>
      </x:c>
      <x:c r="Q2154" s="36" t="n">
        <x:v>46207</x:v>
      </x:c>
    </x:row>
    <x:row r="2155">
      <x:c r="A2155" s="36" t="str">
        <x:v>2026-07-04</x:v>
      </x:c>
      <x:c r="B2155" s="18" t="str">
        <x:v>101437000_80823</x:v>
      </x:c>
      <x:c r="C2155" s="18" t="str">
        <x:v>【沪村小电】上湖轩充电站</x:v>
      </x:c>
      <x:c r="D2155" s="37" t="str">
        <x:v>2</x:v>
      </x:c>
      <x:c r="E2155" s="37" t="str">
        <x:v>0</x:v>
      </x:c>
      <x:c r="F2155" s="37" t="str">
        <x:v>16</x:v>
      </x:c>
      <x:c r="G2155" s="37" t="str">
        <x:v>473.04</x:v>
      </x:c>
      <x:c r="H2155" s="37" t="str">
        <x:v>26.08</x:v>
      </x:c>
      <x:c r="I2155" s="37" t="str">
        <x:v>31.59</x:v>
      </x:c>
      <x:c r="J2155" s="37" t="str">
        <x:v>59.03</x:v>
      </x:c>
      <x:c r="K2155" s="37" t="str">
        <x:v>356.34</x:v>
      </x:c>
      <x:c r="L2155" s="37" t="str">
        <x:v>647</x:v>
      </x:c>
      <x:c r="M2155" s="29" t="str">
        <x:v>317.34</x:v>
      </x:c>
      <x:c r="N2155" s="29" t="str">
        <x:v>225.08</x:v>
      </x:c>
      <x:c r="O2155" s="29" t="str">
        <x:v>92.26</x:v>
      </x:c>
      <x:c r="P2155" s="18" t="str">
        <x:v>2026-07-04</x:v>
      </x:c>
      <x:c r="Q2155" s="36" t="n">
        <x:v>46207</x:v>
      </x:c>
    </x:row>
    <x:row r="2156">
      <x:c r="A2156" s="36" t="str">
        <x:v>2026-07-04</x:v>
      </x:c>
      <x:c r="B2156" s="18" t="str">
        <x:v>101437000_83019</x:v>
      </x:c>
      <x:c r="C2156" s="18" t="str">
        <x:v>【沪村小电】首创禧瑞云启东区充电站</x:v>
      </x:c>
      <x:c r="D2156" s="37" t="str">
        <x:v>2</x:v>
      </x:c>
      <x:c r="E2156" s="37" t="str">
        <x:v>0</x:v>
      </x:c>
      <x:c r="F2156" s="37" t="str">
        <x:v>49</x:v>
      </x:c>
      <x:c r="G2156" s="37" t="str">
        <x:v>869.79</x:v>
      </x:c>
      <x:c r="H2156" s="37" t="str">
        <x:v>0.00</x:v>
      </x:c>
      <x:c r="I2156" s="37" t="str">
        <x:v>670.75</x:v>
      </x:c>
      <x:c r="J2156" s="37" t="str">
        <x:v>0.00</x:v>
      </x:c>
      <x:c r="K2156" s="37" t="str">
        <x:v>199.04</x:v>
      </x:c>
      <x:c r="L2156" s="37" t="str">
        <x:v>1456</x:v>
      </x:c>
      <x:c r="M2156" s="29" t="str">
        <x:v>796.95</x:v>
      </x:c>
      <x:c r="N2156" s="29" t="str">
        <x:v>534.48</x:v>
      </x:c>
      <x:c r="O2156" s="29" t="str">
        <x:v>262.47</x:v>
      </x:c>
      <x:c r="P2156" s="18" t="str">
        <x:v>2026-07-04</x:v>
      </x:c>
      <x:c r="Q2156" s="36" t="n">
        <x:v>46207</x:v>
      </x:c>
    </x:row>
    <x:row r="2157">
      <x:c r="A2157" s="36" t="str">
        <x:v>2026-07-04</x:v>
      </x:c>
      <x:c r="B2157" s="18" t="str">
        <x:v>101437000_83093</x:v>
      </x:c>
      <x:c r="C2157" s="18" t="str">
        <x:v>【沪村小电】金茂未来时光里</x:v>
      </x:c>
      <x:c r="D2157" s="37" t="str">
        <x:v>2</x:v>
      </x:c>
      <x:c r="E2157" s="37" t="str">
        <x:v>0</x:v>
      </x:c>
      <x:c r="F2157" s="37" t="str">
        <x:v>4</x:v>
      </x:c>
      <x:c r="G2157" s="37" t="str">
        <x:v>66.33</x:v>
      </x:c>
      <x:c r="H2157" s="37" t="str">
        <x:v>0.00</x:v>
      </x:c>
      <x:c r="I2157" s="37" t="str">
        <x:v>37.55</x:v>
      </x:c>
      <x:c r="J2157" s="37" t="str">
        <x:v>0.00</x:v>
      </x:c>
      <x:c r="K2157" s="37" t="str">
        <x:v>28.78</x:v>
      </x:c>
      <x:c r="L2157" s="37" t="str">
        <x:v>160</x:v>
      </x:c>
      <x:c r="M2157" s="29" t="str">
        <x:v>43.48</x:v>
      </x:c>
      <x:c r="N2157" s="29" t="str">
        <x:v>31.08</x:v>
      </x:c>
      <x:c r="O2157" s="29" t="str">
        <x:v>12.40</x:v>
      </x:c>
      <x:c r="P2157" s="18" t="str">
        <x:v>2026-07-04</x:v>
      </x:c>
      <x:c r="Q2157" s="36" t="n">
        <x:v>46207</x:v>
      </x:c>
    </x:row>
    <x:row r="2158">
      <x:c r="A2158" s="36" t="str">
        <x:v>2026-07-04</x:v>
      </x:c>
      <x:c r="B2158" s="18" t="str">
        <x:v>101437000_83911</x:v>
      </x:c>
      <x:c r="C2158" s="18" t="str">
        <x:v>【沪村小电】金瀚园充电站</x:v>
      </x:c>
      <x:c r="D2158" s="37" t="str">
        <x:v>2</x:v>
      </x:c>
      <x:c r="E2158" s="37" t="str">
        <x:v>0</x:v>
      </x:c>
      <x:c r="F2158" s="37" t="str">
        <x:v>33</x:v>
      </x:c>
      <x:c r="G2158" s="37" t="str">
        <x:v>676.37</x:v>
      </x:c>
      <x:c r="H2158" s="37" t="str">
        <x:v>0.00</x:v>
      </x:c>
      <x:c r="I2158" s="37" t="str">
        <x:v>295.14</x:v>
      </x:c>
      <x:c r="J2158" s="37" t="str">
        <x:v>0.00</x:v>
      </x:c>
      <x:c r="K2158" s="37" t="str">
        <x:v>381.24</x:v>
      </x:c>
      <x:c r="L2158" s="37" t="str">
        <x:v>1107</x:v>
      </x:c>
      <x:c r="M2158" s="29" t="str">
        <x:v>606.73</x:v>
      </x:c>
      <x:c r="N2158" s="29" t="str">
        <x:v>363.23</x:v>
      </x:c>
      <x:c r="O2158" s="29" t="str">
        <x:v>243.50</x:v>
      </x:c>
      <x:c r="P2158" s="18" t="str">
        <x:v>2026-07-04</x:v>
      </x:c>
      <x:c r="Q2158" s="36" t="n">
        <x:v>46207</x:v>
      </x:c>
    </x:row>
    <x:row r="2159">
      <x:c r="A2159" s="36" t="str">
        <x:v>2026-07-04</x:v>
      </x:c>
      <x:c r="B2159" s="18" t="str">
        <x:v>101437000_83913</x:v>
      </x:c>
      <x:c r="C2159" s="18" t="str">
        <x:v>【沪村小电】新黎村充电站</x:v>
      </x:c>
      <x:c r="D2159" s="37" t="str">
        <x:v>2</x:v>
      </x:c>
      <x:c r="E2159" s="37" t="str">
        <x:v>0</x:v>
      </x:c>
      <x:c r="F2159" s="37" t="str">
        <x:v>23</x:v>
      </x:c>
      <x:c r="G2159" s="37" t="str">
        <x:v>492.68</x:v>
      </x:c>
      <x:c r="H2159" s="37" t="str">
        <x:v>0.00</x:v>
      </x:c>
      <x:c r="I2159" s="37" t="str">
        <x:v>192.10</x:v>
      </x:c>
      <x:c r="J2159" s="37" t="str">
        <x:v>0.00</x:v>
      </x:c>
      <x:c r="K2159" s="37" t="str">
        <x:v>300.57</x:v>
      </x:c>
      <x:c r="L2159" s="37" t="str">
        <x:v>745</x:v>
      </x:c>
      <x:c r="M2159" s="29" t="str">
        <x:v>441.83</x:v>
      </x:c>
      <x:c r="N2159" s="29" t="str">
        <x:v>359.11</x:v>
      </x:c>
      <x:c r="O2159" s="29" t="str">
        <x:v>82.72</x:v>
      </x:c>
      <x:c r="P2159" s="18" t="str">
        <x:v>2026-07-04</x:v>
      </x:c>
      <x:c r="Q2159" s="36" t="n">
        <x:v>46207</x:v>
      </x:c>
    </x:row>
    <x:row r="2160">
      <x:c r="A2160" s="36" t="str">
        <x:v>2026-07-04</x:v>
      </x:c>
      <x:c r="B2160" s="18" t="str">
        <x:v>101437000_83915</x:v>
      </x:c>
      <x:c r="C2160" s="18" t="str">
        <x:v>【沪村小电】长泰西郊别墅充电站</x:v>
      </x:c>
      <x:c r="D2160" s="37" t="str">
        <x:v>2</x:v>
      </x:c>
      <x:c r="E2160" s="37" t="str">
        <x:v>0</x:v>
      </x:c>
      <x:c r="F2160" s="37" t="str">
        <x:v>14</x:v>
      </x:c>
      <x:c r="G2160" s="37" t="str">
        <x:v>330.57</x:v>
      </x:c>
      <x:c r="H2160" s="37" t="str">
        <x:v>0.00</x:v>
      </x:c>
      <x:c r="I2160" s="37" t="str">
        <x:v>150.78</x:v>
      </x:c>
      <x:c r="J2160" s="37" t="str">
        <x:v>0.00</x:v>
      </x:c>
      <x:c r="K2160" s="37" t="str">
        <x:v>179.78</x:v>
      </x:c>
      <x:c r="L2160" s="37" t="str">
        <x:v>489</x:v>
      </x:c>
      <x:c r="M2160" s="29" t="str">
        <x:v>285.62</x:v>
      </x:c>
      <x:c r="N2160" s="29" t="str">
        <x:v>179.90</x:v>
      </x:c>
      <x:c r="O2160" s="29" t="str">
        <x:v>105.72</x:v>
      </x:c>
      <x:c r="P2160" s="18" t="str">
        <x:v>2026-07-04</x:v>
      </x:c>
      <x:c r="Q2160" s="36" t="n">
        <x:v>46207</x:v>
      </x:c>
    </x:row>
    <x:row r="2161">
      <x:c r="A2161" s="36" t="str">
        <x:v>2026-07-04</x:v>
      </x:c>
      <x:c r="B2161" s="18" t="str">
        <x:v>101437000_83917</x:v>
      </x:c>
      <x:c r="C2161" s="18" t="str">
        <x:v>【沪村小电】旭新华庭充电站</x:v>
      </x:c>
      <x:c r="D2161" s="37" t="str">
        <x:v>4</x:v>
      </x:c>
      <x:c r="E2161" s="37" t="str">
        <x:v>0</x:v>
      </x:c>
      <x:c r="F2161" s="37" t="str">
        <x:v>27</x:v>
      </x:c>
      <x:c r="G2161" s="37" t="str">
        <x:v>564.99</x:v>
      </x:c>
      <x:c r="H2161" s="37" t="str">
        <x:v>0.00</x:v>
      </x:c>
      <x:c r="I2161" s="37" t="str">
        <x:v>462.39</x:v>
      </x:c>
      <x:c r="J2161" s="37" t="str">
        <x:v>0.00</x:v>
      </x:c>
      <x:c r="K2161" s="37" t="str">
        <x:v>102.60</x:v>
      </x:c>
      <x:c r="L2161" s="37" t="str">
        <x:v>834</x:v>
      </x:c>
      <x:c r="M2161" s="29" t="str">
        <x:v>598.65</x:v>
      </x:c>
      <x:c r="N2161" s="29" t="str">
        <x:v>381.13</x:v>
      </x:c>
      <x:c r="O2161" s="29" t="str">
        <x:v>217.52</x:v>
      </x:c>
      <x:c r="P2161" s="18" t="str">
        <x:v>2026-07-04</x:v>
      </x:c>
      <x:c r="Q2161" s="36" t="n">
        <x:v>46207</x:v>
      </x:c>
    </x:row>
    <x:row r="2162">
      <x:c r="A2162" s="36" t="str">
        <x:v>2026-07-04</x:v>
      </x:c>
      <x:c r="B2162" s="18" t="str">
        <x:v>101437000_83919</x:v>
      </x:c>
      <x:c r="C2162" s="18" t="str">
        <x:v>【沪村小电】浦锦名仕嘉园充电站</x:v>
      </x:c>
      <x:c r="D2162" s="37" t="str">
        <x:v>4</x:v>
      </x:c>
      <x:c r="E2162" s="37" t="str">
        <x:v>0</x:v>
      </x:c>
      <x:c r="F2162" s="37" t="str">
        <x:v>61</x:v>
      </x:c>
      <x:c r="G2162" s="37" t="str">
        <x:v>1442.91</x:v>
      </x:c>
      <x:c r="H2162" s="37" t="str">
        <x:v>0.00</x:v>
      </x:c>
      <x:c r="I2162" s="37" t="str">
        <x:v>0.00</x:v>
      </x:c>
      <x:c r="J2162" s="37" t="str">
        <x:v>1442.91</x:v>
      </x:c>
      <x:c r="K2162" s="37" t="str">
        <x:v>0.00</x:v>
      </x:c>
      <x:c r="L2162" s="37" t="str">
        <x:v>2090</x:v>
      </x:c>
      <x:c r="M2162" s="29" t="str">
        <x:v>1385.66</x:v>
      </x:c>
      <x:c r="N2162" s="29" t="str">
        <x:v>923.48</x:v>
      </x:c>
      <x:c r="O2162" s="29" t="str">
        <x:v>462.18</x:v>
      </x:c>
      <x:c r="P2162" s="18" t="str">
        <x:v>2026-07-04</x:v>
      </x:c>
      <x:c r="Q2162" s="36" t="n">
        <x:v>46207</x:v>
      </x:c>
    </x:row>
    <x:row r="2163">
      <x:c r="A2163" s="36" t="str">
        <x:v>2026-07-04</x:v>
      </x:c>
      <x:c r="B2163" s="18" t="str">
        <x:v>101437000_83921</x:v>
      </x:c>
      <x:c r="C2163" s="18" t="str">
        <x:v>【沪村小电】上海联怡枇杷乐园充电站（地库）</x:v>
      </x:c>
      <x:c r="D2163" s="37" t="str">
        <x:v>8</x:v>
      </x:c>
      <x:c r="E2163" s="37" t="str">
        <x:v>0</x:v>
      </x:c>
      <x:c r="F2163" s="37" t="str">
        <x:v>27</x:v>
      </x:c>
      <x:c r="G2163" s="37" t="str">
        <x:v>38.57</x:v>
      </x:c>
      <x:c r="H2163" s="37" t="str">
        <x:v>0.00</x:v>
      </x:c>
      <x:c r="I2163" s="37" t="str">
        <x:v>16.32</x:v>
      </x:c>
      <x:c r="J2163" s="37" t="str">
        <x:v>0.00</x:v>
      </x:c>
      <x:c r="K2163" s="37" t="str">
        <x:v>22.25</x:v>
      </x:c>
      <x:c r="L2163" s="37" t="str">
        <x:v>97</x:v>
      </x:c>
      <x:c r="M2163" s="29" t="str">
        <x:v>39.07</x:v>
      </x:c>
      <x:c r="N2163" s="29" t="str">
        <x:v>28.76</x:v>
      </x:c>
      <x:c r="O2163" s="29" t="str">
        <x:v>10.31</x:v>
      </x:c>
      <x:c r="P2163" s="18" t="str">
        <x:v>2026-07-04</x:v>
      </x:c>
      <x:c r="Q2163" s="36" t="n">
        <x:v>46207</x:v>
      </x:c>
    </x:row>
    <x:row r="2164">
      <x:c r="A2164" s="36" t="str">
        <x:v>2026-07-04</x:v>
      </x:c>
      <x:c r="B2164" s="18" t="str">
        <x:v>101437000_83923</x:v>
      </x:c>
      <x:c r="C2164" s="18" t="str">
        <x:v>【沪村小电】明珠新苑充电站</x:v>
      </x:c>
      <x:c r="D2164" s="37" t="str">
        <x:v>2</x:v>
      </x:c>
      <x:c r="E2164" s="37" t="str">
        <x:v>0</x:v>
      </x:c>
      <x:c r="F2164" s="37" t="str">
        <x:v>23</x:v>
      </x:c>
      <x:c r="G2164" s="37" t="str">
        <x:v>615.14</x:v>
      </x:c>
      <x:c r="H2164" s="37" t="str">
        <x:v>0.00</x:v>
      </x:c>
      <x:c r="I2164" s="37" t="str">
        <x:v>459.65</x:v>
      </x:c>
      <x:c r="J2164" s="37" t="str">
        <x:v>0.00</x:v>
      </x:c>
      <x:c r="K2164" s="37" t="str">
        <x:v>155.49</x:v>
      </x:c>
      <x:c r="L2164" s="37" t="str">
        <x:v>666</x:v>
      </x:c>
      <x:c r="M2164" s="29" t="str">
        <x:v>611.94</x:v>
      </x:c>
      <x:c r="N2164" s="29" t="str">
        <x:v>399.23</x:v>
      </x:c>
      <x:c r="O2164" s="29" t="str">
        <x:v>212.71</x:v>
      </x:c>
      <x:c r="P2164" s="18" t="str">
        <x:v>2026-07-04</x:v>
      </x:c>
      <x:c r="Q2164" s="36" t="n">
        <x:v>46207</x:v>
      </x:c>
    </x:row>
    <x:row r="2165">
      <x:c r="A2165" s="36" t="str">
        <x:v>2026-07-04</x:v>
      </x:c>
      <x:c r="B2165" s="18" t="str">
        <x:v>101437000_86379</x:v>
      </x:c>
      <x:c r="C2165" s="18" t="str">
        <x:v>【沪村小电】新宝社区充电站</x:v>
      </x:c>
      <x:c r="D2165" s="37" t="str">
        <x:v>4</x:v>
      </x:c>
      <x:c r="E2165" s="37" t="str">
        <x:v>0</x:v>
      </x:c>
      <x:c r="F2165" s="37" t="str">
        <x:v>34</x:v>
      </x:c>
      <x:c r="G2165" s="37" t="str">
        <x:v>790.65</x:v>
      </x:c>
      <x:c r="H2165" s="37" t="str">
        <x:v>0.00</x:v>
      </x:c>
      <x:c r="I2165" s="37" t="str">
        <x:v>526.86</x:v>
      </x:c>
      <x:c r="J2165" s="37" t="str">
        <x:v>0.00</x:v>
      </x:c>
      <x:c r="K2165" s="37" t="str">
        <x:v>263.78</x:v>
      </x:c>
      <x:c r="L2165" s="37" t="str">
        <x:v>1410</x:v>
      </x:c>
      <x:c r="M2165" s="29" t="str">
        <x:v>620.97</x:v>
      </x:c>
      <x:c r="N2165" s="29" t="str">
        <x:v>490.12</x:v>
      </x:c>
      <x:c r="O2165" s="29" t="str">
        <x:v>130.85</x:v>
      </x:c>
      <x:c r="P2165" s="18" t="str">
        <x:v>2026-07-04</x:v>
      </x:c>
      <x:c r="Q2165" s="36" t="n">
        <x:v>46207</x:v>
      </x:c>
    </x:row>
    <x:row r="2166">
      <x:c r="A2166" s="36" t="str">
        <x:v>2026-07-04</x:v>
      </x:c>
      <x:c r="B2166" s="18" t="str">
        <x:v>101437000_89441</x:v>
      </x:c>
      <x:c r="C2166" s="18" t="str">
        <x:v>【沪村小电】首创禧瑞云启西区充电站</x:v>
      </x:c>
      <x:c r="D2166" s="37" t="str">
        <x:v>2</x:v>
      </x:c>
      <x:c r="E2166" s="37" t="str">
        <x:v>0</x:v>
      </x:c>
      <x:c r="F2166" s="37" t="str">
        <x:v>51</x:v>
      </x:c>
      <x:c r="G2166" s="37" t="str">
        <x:v>1171.84</x:v>
      </x:c>
      <x:c r="H2166" s="37" t="str">
        <x:v>0.00</x:v>
      </x:c>
      <x:c r="I2166" s="37" t="str">
        <x:v>1030.02</x:v>
      </x:c>
      <x:c r="J2166" s="37" t="str">
        <x:v>0.00</x:v>
      </x:c>
      <x:c r="K2166" s="37" t="str">
        <x:v>141.82</x:v>
      </x:c>
      <x:c r="L2166" s="37" t="str">
        <x:v>1861</x:v>
      </x:c>
      <x:c r="M2166" s="29" t="str">
        <x:v>1063.60</x:v>
      </x:c>
      <x:c r="N2166" s="29" t="str">
        <x:v>761.75</x:v>
      </x:c>
      <x:c r="O2166" s="29" t="str">
        <x:v>301.85</x:v>
      </x:c>
      <x:c r="P2166" s="18" t="str">
        <x:v>2026-07-04</x:v>
      </x:c>
      <x:c r="Q2166" s="36" t="n">
        <x:v>46207</x:v>
      </x:c>
    </x:row>
    <x:row r="2167">
      <x:c r="A2167" s="36" t="str">
        <x:v>2026-07-04</x:v>
      </x:c>
      <x:c r="B2167" s="18" t="str">
        <x:v>101437000_89443</x:v>
      </x:c>
      <x:c r="C2167" s="18" t="str">
        <x:v>【沪村小电】玉兰清苑二期充电站</x:v>
      </x:c>
      <x:c r="D2167" s="37" t="str">
        <x:v>2</x:v>
      </x:c>
      <x:c r="E2167" s="37" t="str">
        <x:v>0</x:v>
      </x:c>
      <x:c r="F2167" s="37" t="str">
        <x:v>23</x:v>
      </x:c>
      <x:c r="G2167" s="37" t="str">
        <x:v>640.14</x:v>
      </x:c>
      <x:c r="H2167" s="37" t="str">
        <x:v>0.00</x:v>
      </x:c>
      <x:c r="I2167" s="37" t="str">
        <x:v>590.75</x:v>
      </x:c>
      <x:c r="J2167" s="37" t="str">
        <x:v>0.00</x:v>
      </x:c>
      <x:c r="K2167" s="37" t="str">
        <x:v>49.38</x:v>
      </x:c>
      <x:c r="L2167" s="37" t="str">
        <x:v>917</x:v>
      </x:c>
      <x:c r="M2167" s="29" t="str">
        <x:v>583.72</x:v>
      </x:c>
      <x:c r="N2167" s="29" t="str">
        <x:v>455.96</x:v>
      </x:c>
      <x:c r="O2167" s="29" t="str">
        <x:v>127.76</x:v>
      </x:c>
      <x:c r="P2167" s="18" t="str">
        <x:v>2026-07-04</x:v>
      </x:c>
      <x:c r="Q2167" s="36" t="n">
        <x:v>46207</x:v>
      </x:c>
    </x:row>
    <x:row r="2168">
      <x:c r="A2168" s="36" t="str">
        <x:v>2026-07-04</x:v>
      </x:c>
      <x:c r="B2168" s="18" t="str">
        <x:v>101437000_93115</x:v>
      </x:c>
      <x:c r="C2168" s="18" t="str">
        <x:v>【沪村小电】新南家园西北门</x:v>
      </x:c>
      <x:c r="D2168" s="37" t="str">
        <x:v>2</x:v>
      </x:c>
      <x:c r="E2168" s="37" t="str">
        <x:v>0</x:v>
      </x:c>
      <x:c r="F2168" s="37" t="str">
        <x:v>24</x:v>
      </x:c>
      <x:c r="G2168" s="37" t="str">
        <x:v>538.21</x:v>
      </x:c>
      <x:c r="H2168" s="37" t="str">
        <x:v>0.00</x:v>
      </x:c>
      <x:c r="I2168" s="37" t="str">
        <x:v>346.00</x:v>
      </x:c>
      <x:c r="J2168" s="37" t="str">
        <x:v>0.00</x:v>
      </x:c>
      <x:c r="K2168" s="37" t="str">
        <x:v>192.21</x:v>
      </x:c>
      <x:c r="L2168" s="37" t="str">
        <x:v>886</x:v>
      </x:c>
      <x:c r="M2168" s="29" t="str">
        <x:v>479.63</x:v>
      </x:c>
      <x:c r="N2168" s="29" t="str">
        <x:v>307.94</x:v>
      </x:c>
      <x:c r="O2168" s="29" t="str">
        <x:v>171.69</x:v>
      </x:c>
      <x:c r="P2168" s="18" t="str">
        <x:v>2026-07-04</x:v>
      </x:c>
      <x:c r="Q2168" s="36" t="n">
        <x:v>46207</x:v>
      </x:c>
    </x:row>
    <x:row r="2169">
      <x:c r="A2169" s="36" t="str">
        <x:v>2026-07-04</x:v>
      </x:c>
      <x:c r="B2169" s="18" t="str">
        <x:v>101437000_94649</x:v>
      </x:c>
      <x:c r="C2169" s="18" t="str">
        <x:v>【沪村小电】浪琴水岸花园</x:v>
      </x:c>
      <x:c r="D2169" s="37" t="str">
        <x:v>4</x:v>
      </x:c>
      <x:c r="E2169" s="37" t="str">
        <x:v>0</x:v>
      </x:c>
      <x:c r="F2169" s="37" t="str">
        <x:v>31</x:v>
      </x:c>
      <x:c r="G2169" s="37" t="str">
        <x:v>834.04</x:v>
      </x:c>
      <x:c r="H2169" s="37" t="str">
        <x:v>0.00</x:v>
      </x:c>
      <x:c r="I2169" s="37" t="str">
        <x:v>463.01</x:v>
      </x:c>
      <x:c r="J2169" s="37" t="str">
        <x:v>0.00</x:v>
      </x:c>
      <x:c r="K2169" s="37" t="str">
        <x:v>371.04</x:v>
      </x:c>
      <x:c r="L2169" s="37" t="str">
        <x:v>1281</x:v>
      </x:c>
      <x:c r="M2169" s="29" t="str">
        <x:v>647.63</x:v>
      </x:c>
      <x:c r="N2169" s="29" t="str">
        <x:v>453.04</x:v>
      </x:c>
      <x:c r="O2169" s="29" t="str">
        <x:v>194.59</x:v>
      </x:c>
      <x:c r="P2169" s="18" t="str">
        <x:v>2026-07-04</x:v>
      </x:c>
      <x:c r="Q2169" s="36" t="n">
        <x:v>46207</x:v>
      </x:c>
    </x:row>
    <x:row r="2170">
      <x:c r="A2170" s="36" t="str">
        <x:v>2026-07-04</x:v>
      </x:c>
      <x:c r="B2170" s="18" t="str">
        <x:v>101437000_95077</x:v>
      </x:c>
      <x:c r="C2170" s="18" t="str">
        <x:v>【沪村小电】民乐城惠益绿苑255弄充电站</x:v>
      </x:c>
      <x:c r="D2170" s="37" t="str">
        <x:v>2</x:v>
      </x:c>
      <x:c r="E2170" s="37" t="str">
        <x:v>0</x:v>
      </x:c>
      <x:c r="F2170" s="37" t="str">
        <x:v>7</x:v>
      </x:c>
      <x:c r="G2170" s="37" t="str">
        <x:v>137.20</x:v>
      </x:c>
      <x:c r="H2170" s="37" t="str">
        <x:v>0.00</x:v>
      </x:c>
      <x:c r="I2170" s="37" t="str">
        <x:v>137.20</x:v>
      </x:c>
      <x:c r="J2170" s="37" t="str">
        <x:v>0.00</x:v>
      </x:c>
      <x:c r="K2170" s="37" t="str">
        <x:v>0.00</x:v>
      </x:c>
      <x:c r="L2170" s="37" t="str">
        <x:v>243</x:v>
      </x:c>
      <x:c r="M2170" s="29" t="str">
        <x:v>143.84</x:v>
      </x:c>
      <x:c r="N2170" s="29" t="str">
        <x:v>101.54</x:v>
      </x:c>
      <x:c r="O2170" s="29" t="str">
        <x:v>42.30</x:v>
      </x:c>
      <x:c r="P2170" s="18" t="str">
        <x:v>2026-07-04</x:v>
      </x:c>
      <x:c r="Q2170" s="36" t="n">
        <x:v>46207</x:v>
      </x:c>
    </x:row>
    <x:row r="2171">
      <x:c r="A2171" s="36" t="str">
        <x:v>2026-07-04</x:v>
      </x:c>
      <x:c r="B2171" s="18" t="str">
        <x:v>101437000_95079</x:v>
      </x:c>
      <x:c r="C2171" s="18" t="str">
        <x:v>【沪村小电】民乐城惠益绿苑东苑充电站</x:v>
      </x:c>
      <x:c r="D2171" s="37" t="str">
        <x:v>2</x:v>
      </x:c>
      <x:c r="E2171" s="37" t="str">
        <x:v>0</x:v>
      </x:c>
      <x:c r="F2171" s="37" t="str">
        <x:v>3</x:v>
      </x:c>
      <x:c r="G2171" s="37" t="str">
        <x:v>91.11</x:v>
      </x:c>
      <x:c r="H2171" s="37" t="str">
        <x:v>0.00</x:v>
      </x:c>
      <x:c r="I2171" s="37" t="str">
        <x:v>55.92</x:v>
      </x:c>
      <x:c r="J2171" s="37" t="str">
        <x:v>0.00</x:v>
      </x:c>
      <x:c r="K2171" s="37" t="str">
        <x:v>35.19</x:v>
      </x:c>
      <x:c r="L2171" s="37" t="str">
        <x:v>150</x:v>
      </x:c>
      <x:c r="M2171" s="29" t="str">
        <x:v>73.53</x:v>
      </x:c>
      <x:c r="N2171" s="29" t="str">
        <x:v>51.26</x:v>
      </x:c>
      <x:c r="O2171" s="29" t="str">
        <x:v>22.27</x:v>
      </x:c>
      <x:c r="P2171" s="18" t="str">
        <x:v>2026-07-04</x:v>
      </x:c>
      <x:c r="Q2171" s="36" t="n">
        <x:v>46207</x:v>
      </x:c>
    </x:row>
    <x:row r="2172">
      <x:c r="A2172" s="36" t="str">
        <x:v>2026-07-04</x:v>
      </x:c>
      <x:c r="B2172" s="18" t="str">
        <x:v>101437000_95081</x:v>
      </x:c>
      <x:c r="C2172" s="18" t="str">
        <x:v>【沪村小电】民乐城惠益绿苑西苑充电站</x:v>
      </x:c>
      <x:c r="D2172" s="37" t="str">
        <x:v>2</x:v>
      </x:c>
      <x:c r="E2172" s="37" t="str">
        <x:v>0</x:v>
      </x:c>
      <x:c r="F2172" s="37" t="str">
        <x:v>1</x:v>
      </x:c>
      <x:c r="G2172" s="37" t="str">
        <x:v>3.08</x:v>
      </x:c>
      <x:c r="H2172" s="37" t="str">
        <x:v>0.00</x:v>
      </x:c>
      <x:c r="I2172" s="37" t="str">
        <x:v>3.08</x:v>
      </x:c>
      <x:c r="J2172" s="37" t="str">
        <x:v>0.00</x:v>
      </x:c>
      <x:c r="K2172" s="37" t="str">
        <x:v>0.00</x:v>
      </x:c>
      <x:c r="L2172" s="37" t="str">
        <x:v>4</x:v>
      </x:c>
      <x:c r="M2172" s="29" t="str">
        <x:v>3.38</x:v>
      </x:c>
      <x:c r="N2172" s="29" t="str">
        <x:v>2.12</x:v>
      </x:c>
      <x:c r="O2172" s="29" t="str">
        <x:v>1.26</x:v>
      </x:c>
      <x:c r="P2172" s="18" t="str">
        <x:v>2026-07-04</x:v>
      </x:c>
      <x:c r="Q2172" s="36" t="n">
        <x:v>46207</x:v>
      </x:c>
    </x:row>
    <x:row r="2173">
      <x:c r="A2173" s="36" t="str">
        <x:v>2026-07-04</x:v>
      </x:c>
      <x:c r="B2173" s="18" t="str">
        <x:v>101437000_95091</x:v>
      </x:c>
      <x:c r="C2173" s="18" t="str">
        <x:v>【沪村小电】金悦学府2号站</x:v>
      </x:c>
      <x:c r="D2173" s="37" t="str">
        <x:v>2</x:v>
      </x:c>
      <x:c r="E2173" s="37" t="str">
        <x:v>0</x:v>
      </x:c>
      <x:c r="F2173" s="37" t="str">
        <x:v>33</x:v>
      </x:c>
      <x:c r="G2173" s="37" t="str">
        <x:v>796.57</x:v>
      </x:c>
      <x:c r="H2173" s="37" t="str">
        <x:v>0.00</x:v>
      </x:c>
      <x:c r="I2173" s="37" t="str">
        <x:v>0.00</x:v>
      </x:c>
      <x:c r="J2173" s="37" t="str">
        <x:v>796.57</x:v>
      </x:c>
      <x:c r="K2173" s="37" t="str">
        <x:v>0.00</x:v>
      </x:c>
      <x:c r="L2173" s="37" t="str">
        <x:v>1256</x:v>
      </x:c>
      <x:c r="M2173" s="29" t="str">
        <x:v>619.51</x:v>
      </x:c>
      <x:c r="N2173" s="29" t="str">
        <x:v>446.09</x:v>
      </x:c>
      <x:c r="O2173" s="29" t="str">
        <x:v>173.42</x:v>
      </x:c>
      <x:c r="P2173" s="18" t="str">
        <x:v>2026-07-04</x:v>
      </x:c>
      <x:c r="Q2173" s="36" t="n">
        <x:v>46207</x:v>
      </x:c>
    </x:row>
    <x:row r="2174">
      <x:c r="A2174" s="36" t="str">
        <x:v>2026-07-04</x:v>
      </x:c>
      <x:c r="B2174" s="18" t="str">
        <x:v>101437000_95941</x:v>
      </x:c>
      <x:c r="C2174" s="18" t="str">
        <x:v>【沪村小电】惠诚雅苑</x:v>
      </x:c>
      <x:c r="D2174" s="37" t="str">
        <x:v>4</x:v>
      </x:c>
      <x:c r="E2174" s="37" t="str">
        <x:v>0</x:v>
      </x:c>
      <x:c r="F2174" s="37" t="str">
        <x:v>32</x:v>
      </x:c>
      <x:c r="G2174" s="37" t="str">
        <x:v>838.84</x:v>
      </x:c>
      <x:c r="H2174" s="37" t="str">
        <x:v>0.00</x:v>
      </x:c>
      <x:c r="I2174" s="37" t="str">
        <x:v>314.80</x:v>
      </x:c>
      <x:c r="J2174" s="37" t="str">
        <x:v>0.00</x:v>
      </x:c>
      <x:c r="K2174" s="37" t="str">
        <x:v>524.04</x:v>
      </x:c>
      <x:c r="L2174" s="37" t="str">
        <x:v>1301</x:v>
      </x:c>
      <x:c r="M2174" s="29" t="str">
        <x:v>524.29</x:v>
      </x:c>
      <x:c r="N2174" s="29" t="str">
        <x:v>348.16</x:v>
      </x:c>
      <x:c r="O2174" s="29" t="str">
        <x:v>176.13</x:v>
      </x:c>
      <x:c r="P2174" s="18" t="str">
        <x:v>2026-07-04</x:v>
      </x:c>
      <x:c r="Q2174" s="36" t="n">
        <x:v>46207</x:v>
      </x:c>
    </x:row>
    <x:row r="2175">
      <x:c r="A2175" s="36" t="str">
        <x:v>2026-07-04</x:v>
      </x:c>
      <x:c r="B2175" s="18" t="str">
        <x:v>101437000_96401</x:v>
      </x:c>
      <x:c r="C2175" s="18" t="str">
        <x:v>【沪村小电】上海联怡枇杷乐园地面站</x:v>
      </x:c>
      <x:c r="D2175" s="37" t="str">
        <x:v>2</x:v>
      </x:c>
      <x:c r="E2175" s="37" t="str">
        <x:v>0</x:v>
      </x:c>
      <x:c r="F2175" s="37" t="str">
        <x:v>8</x:v>
      </x:c>
      <x:c r="G2175" s="37" t="str">
        <x:v>173.05</x:v>
      </x:c>
      <x:c r="H2175" s="37" t="str">
        <x:v>0.00</x:v>
      </x:c>
      <x:c r="I2175" s="37" t="str">
        <x:v>70.49</x:v>
      </x:c>
      <x:c r="J2175" s="37" t="str">
        <x:v>0.00</x:v>
      </x:c>
      <x:c r="K2175" s="37" t="str">
        <x:v>102.56</x:v>
      </x:c>
      <x:c r="L2175" s="37" t="str">
        <x:v>337</x:v>
      </x:c>
      <x:c r="M2175" s="29" t="str">
        <x:v>154.12</x:v>
      </x:c>
      <x:c r="N2175" s="29" t="str">
        <x:v>127.68</x:v>
      </x:c>
      <x:c r="O2175" s="29" t="str">
        <x:v>26.44</x:v>
      </x:c>
      <x:c r="P2175" s="18" t="str">
        <x:v>2026-07-04</x:v>
      </x:c>
      <x:c r="Q2175" s="36" t="n">
        <x:v>46207</x:v>
      </x:c>
    </x:row>
    <x:row r="2176">
      <x:c r="A2176" s="36" t="str">
        <x:v>2026-07-04</x:v>
      </x:c>
      <x:c r="B2176" s="18" t="str">
        <x:v>101437000_96719</x:v>
      </x:c>
      <x:c r="C2176" s="18" t="str">
        <x:v>【沪村小电】四达路220弄充电站</x:v>
      </x:c>
      <x:c r="D2176" s="37" t="str">
        <x:v>2</x:v>
      </x:c>
      <x:c r="E2176" s="37" t="str">
        <x:v>0</x:v>
      </x:c>
      <x:c r="F2176" s="37" t="str">
        <x:v>3</x:v>
      </x:c>
      <x:c r="G2176" s="37" t="str">
        <x:v>81.00</x:v>
      </x:c>
      <x:c r="H2176" s="37" t="str">
        <x:v>0.00</x:v>
      </x:c>
      <x:c r="I2176" s="37" t="str">
        <x:v>27.64</x:v>
      </x:c>
      <x:c r="J2176" s="37" t="str">
        <x:v>0.00</x:v>
      </x:c>
      <x:c r="K2176" s="37" t="str">
        <x:v>53.36</x:v>
      </x:c>
      <x:c r="L2176" s="37" t="str">
        <x:v>103</x:v>
      </x:c>
      <x:c r="M2176" s="29" t="str">
        <x:v>72.44</x:v>
      </x:c>
      <x:c r="N2176" s="29" t="str">
        <x:v>52.14</x:v>
      </x:c>
      <x:c r="O2176" s="29" t="str">
        <x:v>20.30</x:v>
      </x:c>
      <x:c r="P2176" s="18" t="str">
        <x:v>2026-07-04</x:v>
      </x:c>
      <x:c r="Q2176" s="36" t="n">
        <x:v>46207</x:v>
      </x:c>
    </x:row>
    <x:row r="2177">
      <x:c r="A2177" s="36" t="str">
        <x:v>2026-07-04</x:v>
      </x:c>
      <x:c r="B2177" s="18" t="str">
        <x:v>101437000_97421</x:v>
      </x:c>
      <x:c r="C2177" s="18" t="str">
        <x:v>【沪村小电】玉兰清苑二期（小区外）充电站</x:v>
      </x:c>
      <x:c r="D2177" s="37" t="str">
        <x:v>4</x:v>
      </x:c>
      <x:c r="E2177" s="37" t="str">
        <x:v>0</x:v>
      </x:c>
      <x:c r="F2177" s="37" t="str">
        <x:v>21</x:v>
      </x:c>
      <x:c r="G2177" s="37" t="str">
        <x:v>371.48</x:v>
      </x:c>
      <x:c r="H2177" s="37" t="str">
        <x:v>0.00</x:v>
      </x:c>
      <x:c r="I2177" s="37" t="str">
        <x:v>298.06</x:v>
      </x:c>
      <x:c r="J2177" s="37" t="str">
        <x:v>0.00</x:v>
      </x:c>
      <x:c r="K2177" s="37" t="str">
        <x:v>73.42</x:v>
      </x:c>
      <x:c r="L2177" s="37" t="str">
        <x:v>680</x:v>
      </x:c>
      <x:c r="M2177" s="29" t="str">
        <x:v>331.26</x:v>
      </x:c>
      <x:c r="N2177" s="29" t="str">
        <x:v>248.46</x:v>
      </x:c>
      <x:c r="O2177" s="29" t="str">
        <x:v>82.80</x:v>
      </x:c>
      <x:c r="P2177" s="18" t="str">
        <x:v>2026-07-04</x:v>
      </x:c>
      <x:c r="Q2177" s="36" t="n">
        <x:v>46207</x:v>
      </x:c>
    </x:row>
    <x:row r="2178">
      <x:c r="A2178" s="36" t="str">
        <x:v>2026-07-04</x:v>
      </x:c>
      <x:c r="B2178" s="18" t="str">
        <x:v>101437000_98013</x:v>
      </x:c>
      <x:c r="C2178" s="18" t="str">
        <x:v>【沪村小电】恒大滨江华府充电站</x:v>
      </x:c>
      <x:c r="D2178" s="37" t="str">
        <x:v>4</x:v>
      </x:c>
      <x:c r="E2178" s="37" t="str">
        <x:v>0</x:v>
      </x:c>
      <x:c r="F2178" s="37" t="str">
        <x:v>20</x:v>
      </x:c>
      <x:c r="G2178" s="37" t="str">
        <x:v>465.51</x:v>
      </x:c>
      <x:c r="H2178" s="37" t="str">
        <x:v>0.00</x:v>
      </x:c>
      <x:c r="I2178" s="37" t="str">
        <x:v>258.43</x:v>
      </x:c>
      <x:c r="J2178" s="37" t="str">
        <x:v>0.00</x:v>
      </x:c>
      <x:c r="K2178" s="37" t="str">
        <x:v>207.08</x:v>
      </x:c>
      <x:c r="L2178" s="37" t="str">
        <x:v>687</x:v>
      </x:c>
      <x:c r="M2178" s="29" t="str">
        <x:v>507.62</x:v>
      </x:c>
      <x:c r="N2178" s="29" t="str">
        <x:v>378.53</x:v>
      </x:c>
      <x:c r="O2178" s="29" t="str">
        <x:v>129.09</x:v>
      </x:c>
      <x:c r="P2178" s="18" t="str">
        <x:v>2026-07-04</x:v>
      </x:c>
      <x:c r="Q2178" s="36" t="n">
        <x:v>46207</x:v>
      </x:c>
    </x:row>
    <x:row r="2179">
      <x:c r="A2179" s="36" t="str">
        <x:v>2026-07-04</x:v>
      </x:c>
      <x:c r="B2179" s="18" t="str">
        <x:v>101437000_98865</x:v>
      </x:c>
      <x:c r="C2179" s="18" t="str">
        <x:v>【沪村小电】欣松苑充电站</x:v>
      </x:c>
      <x:c r="D2179" s="37" t="str">
        <x:v>4</x:v>
      </x:c>
      <x:c r="E2179" s="37" t="str">
        <x:v>0</x:v>
      </x:c>
      <x:c r="F2179" s="37" t="str">
        <x:v>20</x:v>
      </x:c>
      <x:c r="G2179" s="37" t="str">
        <x:v>430.11</x:v>
      </x:c>
      <x:c r="H2179" s="37" t="str">
        <x:v>0.00</x:v>
      </x:c>
      <x:c r="I2179" s="37" t="str">
        <x:v>374.44</x:v>
      </x:c>
      <x:c r="J2179" s="37" t="str">
        <x:v>0.00</x:v>
      </x:c>
      <x:c r="K2179" s="37" t="str">
        <x:v>55.67</x:v>
      </x:c>
      <x:c r="L2179" s="37" t="str">
        <x:v>708</x:v>
      </x:c>
      <x:c r="M2179" s="29" t="str">
        <x:v>399.22</x:v>
      </x:c>
      <x:c r="N2179" s="29" t="str">
        <x:v>298.22</x:v>
      </x:c>
      <x:c r="O2179" s="29" t="str">
        <x:v>101.00</x:v>
      </x:c>
      <x:c r="P2179" s="18" t="str">
        <x:v>2026-07-04</x:v>
      </x:c>
      <x:c r="Q2179" s="36" t="n">
        <x:v>46207</x:v>
      </x:c>
    </x:row>
    <x:row r="2180">
      <x:c r="A2180" s="36" t="str">
        <x:v>2026-07-04</x:v>
      </x:c>
      <x:c r="B2180" s="18" t="str">
        <x:v>101437000_98867</x:v>
      </x:c>
      <x:c r="C2180" s="18" t="str">
        <x:v>【沪村小电】欣荷苑充电站</x:v>
      </x:c>
      <x:c r="D2180" s="37" t="str">
        <x:v>4</x:v>
      </x:c>
      <x:c r="E2180" s="37" t="str">
        <x:v>0</x:v>
      </x:c>
      <x:c r="F2180" s="37" t="str">
        <x:v>7</x:v>
      </x:c>
      <x:c r="G2180" s="37" t="str">
        <x:v>198.58</x:v>
      </x:c>
      <x:c r="H2180" s="37" t="str">
        <x:v>0.00</x:v>
      </x:c>
      <x:c r="I2180" s="37" t="str">
        <x:v>198.58</x:v>
      </x:c>
      <x:c r="J2180" s="37" t="str">
        <x:v>0.00</x:v>
      </x:c>
      <x:c r="K2180" s="37" t="str">
        <x:v>0.00</x:v>
      </x:c>
      <x:c r="L2180" s="37" t="str">
        <x:v>320</x:v>
      </x:c>
      <x:c r="M2180" s="29" t="str">
        <x:v>186.83</x:v>
      </x:c>
      <x:c r="N2180" s="29" t="str">
        <x:v>146.96</x:v>
      </x:c>
      <x:c r="O2180" s="29" t="str">
        <x:v>39.87</x:v>
      </x:c>
      <x:c r="P2180" s="18" t="str">
        <x:v>2026-07-04</x:v>
      </x:c>
      <x:c r="Q2180" s="36" t="n">
        <x:v>46207</x:v>
      </x:c>
    </x:row>
    <x:row r="2181">
      <x:c r="A2181" s="36" t="str">
        <x:v>2026-07-04</x:v>
      </x:c>
      <x:c r="B2181" s="18" t="str">
        <x:v>101437000_99885</x:v>
      </x:c>
      <x:c r="C2181" s="18" t="str">
        <x:v>【沪村小电】汇丰馨苑充电站</x:v>
      </x:c>
      <x:c r="D2181" s="37" t="str">
        <x:v>4</x:v>
      </x:c>
      <x:c r="E2181" s="37" t="str">
        <x:v>0</x:v>
      </x:c>
      <x:c r="F2181" s="37" t="str">
        <x:v>6</x:v>
      </x:c>
      <x:c r="G2181" s="37" t="str">
        <x:v>134.53</x:v>
      </x:c>
      <x:c r="H2181" s="37" t="str">
        <x:v>35.96</x:v>
      </x:c>
      <x:c r="I2181" s="37" t="str">
        <x:v>73.38</x:v>
      </x:c>
      <x:c r="J2181" s="37" t="str">
        <x:v>25.19</x:v>
      </x:c>
      <x:c r="K2181" s="37" t="str">
        <x:v>0.00</x:v>
      </x:c>
      <x:c r="L2181" s="37" t="str">
        <x:v>173</x:v>
      </x:c>
      <x:c r="M2181" s="29" t="str">
        <x:v>185.93</x:v>
      </x:c>
      <x:c r="N2181" s="29" t="str">
        <x:v>163.05</x:v>
      </x:c>
      <x:c r="O2181" s="29" t="str">
        <x:v>22.88</x:v>
      </x:c>
      <x:c r="P2181" s="18" t="str">
        <x:v>2026-07-04</x:v>
      </x:c>
      <x:c r="Q2181" s="36" t="n">
        <x:v>46207</x:v>
      </x:c>
    </x:row>
    <x:row r="2182">
      <x:c r="A2182" s="36" t="str">
        <x:v>2026-07-04</x:v>
      </x:c>
      <x:c r="B2182" s="18" t="str">
        <x:v>101437000_99887</x:v>
      </x:c>
      <x:c r="C2182" s="18" t="str">
        <x:v>【沪村小电】新南村河南小区充电站</x:v>
      </x:c>
      <x:c r="D2182" s="37" t="str">
        <x:v>2</x:v>
      </x:c>
      <x:c r="E2182" s="37" t="str">
        <x:v>0</x:v>
      </x:c>
      <x:c r="F2182" s="37" t="str">
        <x:v>10</x:v>
      </x:c>
      <x:c r="G2182" s="37" t="str">
        <x:v>260.69</x:v>
      </x:c>
      <x:c r="H2182" s="37" t="str">
        <x:v>0.00</x:v>
      </x:c>
      <x:c r="I2182" s="37" t="str">
        <x:v>169.16</x:v>
      </x:c>
      <x:c r="J2182" s="37" t="str">
        <x:v>0.00</x:v>
      </x:c>
      <x:c r="K2182" s="37" t="str">
        <x:v>91.53</x:v>
      </x:c>
      <x:c r="L2182" s="37" t="str">
        <x:v>388</x:v>
      </x:c>
      <x:c r="M2182" s="29" t="str">
        <x:v>215.73</x:v>
      </x:c>
      <x:c r="N2182" s="29" t="str">
        <x:v>159.96</x:v>
      </x:c>
      <x:c r="O2182" s="29" t="str">
        <x:v>55.77</x:v>
      </x:c>
      <x:c r="P2182" s="18" t="str">
        <x:v>2026-07-04</x:v>
      </x:c>
      <x:c r="Q2182" s="36" t="n">
        <x:v>46207</x:v>
      </x:c>
    </x:row>
    <x:row r="2183">
      <x:c r="A2183" s="36" t="str">
        <x:v>2026-07-04</x:v>
      </x:c>
      <x:c r="B2183" s="18" t="str">
        <x:v>101437000_99889</x:v>
      </x:c>
      <x:c r="C2183" s="18" t="str">
        <x:v>【沪村小电】漕泾郊野公园</x:v>
      </x:c>
      <x:c r="D2183" s="37" t="str">
        <x:v>2</x:v>
      </x:c>
      <x:c r="E2183" s="37" t="str">
        <x:v>0</x:v>
      </x:c>
      <x:c r="F2183" s="37" t="str">
        <x:v>5</x:v>
      </x:c>
      <x:c r="G2183" s="37" t="str">
        <x:v>85.47</x:v>
      </x:c>
      <x:c r="H2183" s="37" t="str">
        <x:v>0.00</x:v>
      </x:c>
      <x:c r="I2183" s="37" t="str">
        <x:v>32.59</x:v>
      </x:c>
      <x:c r="J2183" s="37" t="str">
        <x:v>52.88</x:v>
      </x:c>
      <x:c r="K2183" s="37" t="str">
        <x:v>0.00</x:v>
      </x:c>
      <x:c r="L2183" s="37" t="str">
        <x:v>176</x:v>
      </x:c>
      <x:c r="M2183" s="29" t="str">
        <x:v>95.13</x:v>
      </x:c>
      <x:c r="N2183" s="29" t="str">
        <x:v>71.27</x:v>
      </x:c>
      <x:c r="O2183" s="29" t="str">
        <x:v>23.86</x:v>
      </x:c>
      <x:c r="P2183" s="18" t="str">
        <x:v>2026-07-04</x:v>
      </x:c>
      <x:c r="Q2183" s="36" t="n">
        <x:v>46207</x:v>
      </x:c>
    </x:row>
    <x:row r="2184">
      <x:c r="A2184" s="36" t="str">
        <x:v>2026-07-04</x:v>
      </x:c>
      <x:c r="B2184" s="18" t="str">
        <x:v>101437000_99891</x:v>
      </x:c>
      <x:c r="C2184" s="18" t="str">
        <x:v>【沪村小电】水韵紫城充电站</x:v>
      </x:c>
      <x:c r="D2184" s="37" t="str">
        <x:v>4</x:v>
      </x:c>
      <x:c r="E2184" s="37" t="str">
        <x:v>0</x:v>
      </x:c>
      <x:c r="F2184" s="37" t="str">
        <x:v>12</x:v>
      </x:c>
      <x:c r="G2184" s="37" t="str">
        <x:v>286.95</x:v>
      </x:c>
      <x:c r="H2184" s="37" t="str">
        <x:v>0.00</x:v>
      </x:c>
      <x:c r="I2184" s="37" t="str">
        <x:v>230.04</x:v>
      </x:c>
      <x:c r="J2184" s="37" t="str">
        <x:v>0.00</x:v>
      </x:c>
      <x:c r="K2184" s="37" t="str">
        <x:v>56.92</x:v>
      </x:c>
      <x:c r="L2184" s="37" t="str">
        <x:v>366</x:v>
      </x:c>
      <x:c r="M2184" s="29" t="str">
        <x:v>287.21</x:v>
      </x:c>
      <x:c r="N2184" s="29" t="str">
        <x:v>191.84</x:v>
      </x:c>
      <x:c r="O2184" s="29" t="str">
        <x:v>95.37</x:v>
      </x:c>
      <x:c r="P2184" s="18" t="str">
        <x:v>2026-07-04</x:v>
      </x:c>
      <x:c r="Q2184" s="36" t="n">
        <x:v>46207</x:v>
      </x:c>
    </x:row>
    <x:row r="2185">
      <x:c r="A2185" s="36" t="str">
        <x:v>2026-07-03</x:v>
      </x:c>
      <x:c r="B2185" s="18" t="str">
        <x:v>101437000_41561</x:v>
      </x:c>
      <x:c r="C2185" s="18" t="str">
        <x:v>【沪村小电】张施小区大门处快充站</x:v>
      </x:c>
      <x:c r="D2185" s="37" t="str">
        <x:v>2</x:v>
      </x:c>
      <x:c r="E2185" s="37" t="str">
        <x:v>0</x:v>
      </x:c>
      <x:c r="F2185" s="37" t="str">
        <x:v>55</x:v>
      </x:c>
      <x:c r="G2185" s="37" t="str">
        <x:v>1447.07</x:v>
      </x:c>
      <x:c r="H2185" s="37" t="str">
        <x:v>0.00</x:v>
      </x:c>
      <x:c r="I2185" s="37" t="str">
        <x:v>900.90</x:v>
      </x:c>
      <x:c r="J2185" s="37" t="str">
        <x:v>0.00</x:v>
      </x:c>
      <x:c r="K2185" s="37" t="str">
        <x:v>546.17</x:v>
      </x:c>
      <x:c r="L2185" s="37" t="str">
        <x:v>2690</x:v>
      </x:c>
      <x:c r="M2185" s="29" t="str">
        <x:v>1137.37</x:v>
      </x:c>
      <x:c r="N2185" s="29" t="str">
        <x:v>874.20</x:v>
      </x:c>
      <x:c r="O2185" s="29" t="str">
        <x:v>263.17</x:v>
      </x:c>
      <x:c r="P2185" s="18" t="str">
        <x:v>2026-07-03</x:v>
      </x:c>
      <x:c r="Q2185" s="36" t="n">
        <x:v>46206</x:v>
      </x:c>
    </x:row>
    <x:row r="2186">
      <x:c r="A2186" s="36" t="str">
        <x:v>2026-07-03</x:v>
      </x:c>
      <x:c r="B2186" s="18" t="str">
        <x:v>101437000_41563</x:v>
      </x:c>
      <x:c r="C2186" s="18" t="str">
        <x:v>【沪村小电】同心村快充站</x:v>
      </x:c>
      <x:c r="D2186" s="37" t="str">
        <x:v>4</x:v>
      </x:c>
      <x:c r="E2186" s="37" t="str">
        <x:v>0</x:v>
      </x:c>
      <x:c r="F2186" s="37" t="str">
        <x:v>62</x:v>
      </x:c>
      <x:c r="G2186" s="37" t="str">
        <x:v>1233.44</x:v>
      </x:c>
      <x:c r="H2186" s="37" t="str">
        <x:v>0.00</x:v>
      </x:c>
      <x:c r="I2186" s="37" t="str">
        <x:v>888.25</x:v>
      </x:c>
      <x:c r="J2186" s="37" t="str">
        <x:v>0.00</x:v>
      </x:c>
      <x:c r="K2186" s="37" t="str">
        <x:v>345.19</x:v>
      </x:c>
      <x:c r="L2186" s="37" t="str">
        <x:v>3306</x:v>
      </x:c>
      <x:c r="M2186" s="29" t="str">
        <x:v>1065.22</x:v>
      </x:c>
      <x:c r="N2186" s="29" t="str">
        <x:v>737.15</x:v>
      </x:c>
      <x:c r="O2186" s="29" t="str">
        <x:v>328.07</x:v>
      </x:c>
      <x:c r="P2186" s="18" t="str">
        <x:v>2026-07-03</x:v>
      </x:c>
      <x:c r="Q2186" s="36" t="n">
        <x:v>46206</x:v>
      </x:c>
    </x:row>
    <x:row r="2187">
      <x:c r="A2187" s="36" t="str">
        <x:v>2026-07-03</x:v>
      </x:c>
      <x:c r="B2187" s="18" t="str">
        <x:v>101437000_69629</x:v>
      </x:c>
      <x:c r="C2187" s="18" t="str">
        <x:v>【沪村小电】骏丰玲珑坊西苑充电站</x:v>
      </x:c>
      <x:c r="D2187" s="37" t="str">
        <x:v>2</x:v>
      </x:c>
      <x:c r="E2187" s="37" t="str">
        <x:v>0</x:v>
      </x:c>
      <x:c r="F2187" s="37" t="str">
        <x:v>68</x:v>
      </x:c>
      <x:c r="G2187" s="37" t="str">
        <x:v>1732.73</x:v>
      </x:c>
      <x:c r="H2187" s="37" t="str">
        <x:v>0.00</x:v>
      </x:c>
      <x:c r="I2187" s="37" t="str">
        <x:v>1113.67</x:v>
      </x:c>
      <x:c r="J2187" s="37" t="str">
        <x:v>0.00</x:v>
      </x:c>
      <x:c r="K2187" s="37" t="str">
        <x:v>619.06</x:v>
      </x:c>
      <x:c r="L2187" s="37" t="str">
        <x:v>2946</x:v>
      </x:c>
      <x:c r="M2187" s="29" t="str">
        <x:v>1470.44</x:v>
      </x:c>
      <x:c r="N2187" s="29" t="str">
        <x:v>1059.35</x:v>
      </x:c>
      <x:c r="O2187" s="29" t="str">
        <x:v>411.09</x:v>
      </x:c>
      <x:c r="P2187" s="18" t="str">
        <x:v>2026-07-03</x:v>
      </x:c>
      <x:c r="Q2187" s="36" t="n">
        <x:v>46206</x:v>
      </x:c>
    </x:row>
    <x:row r="2188">
      <x:c r="A2188" s="36" t="str">
        <x:v>2026-07-03</x:v>
      </x:c>
      <x:c r="B2188" s="18" t="str">
        <x:v>101437000_70547</x:v>
      </x:c>
      <x:c r="C2188" s="18" t="str">
        <x:v>【沪村小电】农建村初心馆党群服务中心充电站</x:v>
      </x:c>
      <x:c r="D2188" s="37" t="str">
        <x:v>4</x:v>
      </x:c>
      <x:c r="E2188" s="37" t="str">
        <x:v>0</x:v>
      </x:c>
      <x:c r="F2188" s="37" t="str">
        <x:v>23</x:v>
      </x:c>
      <x:c r="G2188" s="37" t="str">
        <x:v>493.78</x:v>
      </x:c>
      <x:c r="H2188" s="37" t="str">
        <x:v>0.00</x:v>
      </x:c>
      <x:c r="I2188" s="37" t="str">
        <x:v>280.28</x:v>
      </x:c>
      <x:c r="J2188" s="37" t="str">
        <x:v>0.00</x:v>
      </x:c>
      <x:c r="K2188" s="37" t="str">
        <x:v>213.49</x:v>
      </x:c>
      <x:c r="L2188" s="37" t="str">
        <x:v>813</x:v>
      </x:c>
      <x:c r="M2188" s="29" t="str">
        <x:v>472.38</x:v>
      </x:c>
      <x:c r="N2188" s="29" t="str">
        <x:v>404.67</x:v>
      </x:c>
      <x:c r="O2188" s="29" t="str">
        <x:v>67.71</x:v>
      </x:c>
      <x:c r="P2188" s="18" t="str">
        <x:v>2026-07-03</x:v>
      </x:c>
      <x:c r="Q2188" s="36" t="n">
        <x:v>46206</x:v>
      </x:c>
    </x:row>
    <x:row r="2189">
      <x:c r="A2189" s="36" t="str">
        <x:v>2026-07-03</x:v>
      </x:c>
      <x:c r="B2189" s="18" t="str">
        <x:v>101437000_70549</x:v>
      </x:c>
      <x:c r="C2189" s="18" t="str">
        <x:v>【沪村小电】学府路充电站</x:v>
      </x:c>
      <x:c r="D2189" s="37" t="str">
        <x:v>2</x:v>
      </x:c>
      <x:c r="E2189" s="37" t="str">
        <x:v>0</x:v>
      </x:c>
      <x:c r="F2189" s="37" t="str">
        <x:v>13</x:v>
      </x:c>
      <x:c r="G2189" s="37" t="str">
        <x:v>261.32</x:v>
      </x:c>
      <x:c r="H2189" s="37" t="str">
        <x:v>0.00</x:v>
      </x:c>
      <x:c r="I2189" s="37" t="str">
        <x:v>201.09</x:v>
      </x:c>
      <x:c r="J2189" s="37" t="str">
        <x:v>0.00</x:v>
      </x:c>
      <x:c r="K2189" s="37" t="str">
        <x:v>60.23</x:v>
      </x:c>
      <x:c r="L2189" s="37" t="str">
        <x:v>445</x:v>
      </x:c>
      <x:c r="M2189" s="29" t="str">
        <x:v>314.66</x:v>
      </x:c>
      <x:c r="N2189" s="29" t="str">
        <x:v>241.08</x:v>
      </x:c>
      <x:c r="O2189" s="29" t="str">
        <x:v>73.58</x:v>
      </x:c>
      <x:c r="P2189" s="18" t="str">
        <x:v>2026-07-03</x:v>
      </x:c>
      <x:c r="Q2189" s="36" t="n">
        <x:v>46206</x:v>
      </x:c>
    </x:row>
    <x:row r="2190">
      <x:c r="A2190" s="36" t="str">
        <x:v>2026-07-03</x:v>
      </x:c>
      <x:c r="B2190" s="18" t="str">
        <x:v>101437000_71059</x:v>
      </x:c>
      <x:c r="C2190" s="18" t="str">
        <x:v>【沪村小电】宝乐汇商业广场站</x:v>
      </x:c>
      <x:c r="D2190" s="37" t="str">
        <x:v>4</x:v>
      </x:c>
      <x:c r="E2190" s="37" t="str">
        <x:v>0</x:v>
      </x:c>
      <x:c r="F2190" s="37" t="str">
        <x:v>10</x:v>
      </x:c>
      <x:c r="G2190" s="37" t="str">
        <x:v>168.32</x:v>
      </x:c>
      <x:c r="H2190" s="37" t="str">
        <x:v>7.87</x:v>
      </x:c>
      <x:c r="I2190" s="37" t="str">
        <x:v>49.04</x:v>
      </x:c>
      <x:c r="J2190" s="37" t="str">
        <x:v>22.07</x:v>
      </x:c>
      <x:c r="K2190" s="37" t="str">
        <x:v>89.34</x:v>
      </x:c>
      <x:c r="L2190" s="37" t="str">
        <x:v>327</x:v>
      </x:c>
      <x:c r="M2190" s="29" t="str">
        <x:v>157.57</x:v>
      </x:c>
      <x:c r="N2190" s="29" t="str">
        <x:v>118.55</x:v>
      </x:c>
      <x:c r="O2190" s="29" t="str">
        <x:v>39.02</x:v>
      </x:c>
      <x:c r="P2190" s="18" t="str">
        <x:v>2026-07-03</x:v>
      </x:c>
      <x:c r="Q2190" s="36" t="n">
        <x:v>46206</x:v>
      </x:c>
    </x:row>
    <x:row r="2191">
      <x:c r="A2191" s="36" t="str">
        <x:v>2026-07-03</x:v>
      </x:c>
      <x:c r="B2191" s="18" t="str">
        <x:v>101437000_72541</x:v>
      </x:c>
      <x:c r="C2191" s="18" t="str">
        <x:v>【沪村小电】九干路1174弄充电站</x:v>
      </x:c>
      <x:c r="D2191" s="37" t="str">
        <x:v>2</x:v>
      </x:c>
      <x:c r="E2191" s="37" t="str">
        <x:v>0</x:v>
      </x:c>
      <x:c r="F2191" s="37" t="str">
        <x:v>74</x:v>
      </x:c>
      <x:c r="G2191" s="37" t="str">
        <x:v>547.62</x:v>
      </x:c>
      <x:c r="H2191" s="37" t="str">
        <x:v>0.00</x:v>
      </x:c>
      <x:c r="I2191" s="37" t="str">
        <x:v>364.99</x:v>
      </x:c>
      <x:c r="J2191" s="37" t="str">
        <x:v>0.00</x:v>
      </x:c>
      <x:c r="K2191" s="37" t="str">
        <x:v>182.63</x:v>
      </x:c>
      <x:c r="L2191" s="37" t="str">
        <x:v>923</x:v>
      </x:c>
      <x:c r="M2191" s="29" t="str">
        <x:v>469.91</x:v>
      </x:c>
      <x:c r="N2191" s="29" t="str">
        <x:v>339.46</x:v>
      </x:c>
      <x:c r="O2191" s="29" t="str">
        <x:v>130.45</x:v>
      </x:c>
      <x:c r="P2191" s="18" t="str">
        <x:v>2026-07-03</x:v>
      </x:c>
      <x:c r="Q2191" s="36" t="n">
        <x:v>46206</x:v>
      </x:c>
    </x:row>
    <x:row r="2192">
      <x:c r="A2192" s="36" t="str">
        <x:v>2026-07-03</x:v>
      </x:c>
      <x:c r="B2192" s="18" t="str">
        <x:v>101437000_72543</x:v>
      </x:c>
      <x:c r="C2192" s="18" t="str">
        <x:v>【沪村小电】叶家中心村小区充电站</x:v>
      </x:c>
      <x:c r="D2192" s="37" t="str">
        <x:v>2</x:v>
      </x:c>
      <x:c r="E2192" s="37" t="str">
        <x:v>0</x:v>
      </x:c>
      <x:c r="F2192" s="37" t="str">
        <x:v>60</x:v>
      </x:c>
      <x:c r="G2192" s="37" t="str">
        <x:v>1432.40</x:v>
      </x:c>
      <x:c r="H2192" s="37" t="str">
        <x:v>0.00</x:v>
      </x:c>
      <x:c r="I2192" s="37" t="str">
        <x:v>852.23</x:v>
      </x:c>
      <x:c r="J2192" s="37" t="str">
        <x:v>0.00</x:v>
      </x:c>
      <x:c r="K2192" s="37" t="str">
        <x:v>580.17</x:v>
      </x:c>
      <x:c r="L2192" s="37" t="str">
        <x:v>2456</x:v>
      </x:c>
      <x:c r="M2192" s="29" t="str">
        <x:v>1182.25</x:v>
      </x:c>
      <x:c r="N2192" s="29" t="str">
        <x:v>851.10</x:v>
      </x:c>
      <x:c r="O2192" s="29" t="str">
        <x:v>331.15</x:v>
      </x:c>
      <x:c r="P2192" s="18" t="str">
        <x:v>2026-07-03</x:v>
      </x:c>
      <x:c r="Q2192" s="36" t="n">
        <x:v>46206</x:v>
      </x:c>
    </x:row>
    <x:row r="2193">
      <x:c r="A2193" s="36" t="str">
        <x:v>2026-07-03</x:v>
      </x:c>
      <x:c r="B2193" s="18" t="str">
        <x:v>101437000_72937</x:v>
      </x:c>
      <x:c r="C2193" s="18" t="str">
        <x:v>【沪村小电】佘北家园茸腾苑充电站</x:v>
      </x:c>
      <x:c r="D2193" s="37" t="str">
        <x:v>4</x:v>
      </x:c>
      <x:c r="E2193" s="37" t="str">
        <x:v>0</x:v>
      </x:c>
      <x:c r="F2193" s="37" t="str">
        <x:v>44</x:v>
      </x:c>
      <x:c r="G2193" s="37" t="str">
        <x:v>854.81</x:v>
      </x:c>
      <x:c r="H2193" s="37" t="str">
        <x:v>0.00</x:v>
      </x:c>
      <x:c r="I2193" s="37" t="str">
        <x:v>854.81</x:v>
      </x:c>
      <x:c r="J2193" s="37" t="str">
        <x:v>0.00</x:v>
      </x:c>
      <x:c r="K2193" s="37" t="str">
        <x:v>0.00</x:v>
      </x:c>
      <x:c r="L2193" s="37" t="str">
        <x:v>1408</x:v>
      </x:c>
      <x:c r="M2193" s="29" t="str">
        <x:v>802.59</x:v>
      </x:c>
      <x:c r="N2193" s="29" t="str">
        <x:v>632.57</x:v>
      </x:c>
      <x:c r="O2193" s="29" t="str">
        <x:v>170.02</x:v>
      </x:c>
      <x:c r="P2193" s="18" t="str">
        <x:v>2026-07-03</x:v>
      </x:c>
      <x:c r="Q2193" s="36" t="n">
        <x:v>46206</x:v>
      </x:c>
    </x:row>
    <x:row r="2194">
      <x:c r="A2194" s="36" t="str">
        <x:v>2026-07-03</x:v>
      </x:c>
      <x:c r="B2194" s="18" t="str">
        <x:v>101437000_74223</x:v>
      </x:c>
      <x:c r="C2194" s="18" t="str">
        <x:v>【沪村小电】中兴村委会充电站</x:v>
      </x:c>
      <x:c r="D2194" s="37" t="str">
        <x:v>2</x:v>
      </x:c>
      <x:c r="E2194" s="37" t="str">
        <x:v>0</x:v>
      </x:c>
      <x:c r="F2194" s="37" t="str">
        <x:v>30</x:v>
      </x:c>
      <x:c r="G2194" s="37" t="str">
        <x:v>803.23</x:v>
      </x:c>
      <x:c r="H2194" s="37" t="str">
        <x:v>0.00</x:v>
      </x:c>
      <x:c r="I2194" s="37" t="str">
        <x:v>403.09</x:v>
      </x:c>
      <x:c r="J2194" s="37" t="str">
        <x:v>0.00</x:v>
      </x:c>
      <x:c r="K2194" s="37" t="str">
        <x:v>400.14</x:v>
      </x:c>
      <x:c r="L2194" s="37" t="str">
        <x:v>1246</x:v>
      </x:c>
      <x:c r="M2194" s="29" t="str">
        <x:v>768.57</x:v>
      </x:c>
      <x:c r="N2194" s="29" t="str">
        <x:v>631.27</x:v>
      </x:c>
      <x:c r="O2194" s="29" t="str">
        <x:v>137.30</x:v>
      </x:c>
      <x:c r="P2194" s="18" t="str">
        <x:v>2026-07-03</x:v>
      </x:c>
      <x:c r="Q2194" s="36" t="n">
        <x:v>46206</x:v>
      </x:c>
    </x:row>
    <x:row r="2195">
      <x:c r="A2195" s="36" t="str">
        <x:v>2026-07-03</x:v>
      </x:c>
      <x:c r="B2195" s="18" t="str">
        <x:v>101437000_74801</x:v>
      </x:c>
      <x:c r="C2195" s="18" t="str">
        <x:v>【沪村小电】申良花园充电站</x:v>
      </x:c>
      <x:c r="D2195" s="37" t="str">
        <x:v>4</x:v>
      </x:c>
      <x:c r="E2195" s="37" t="str">
        <x:v>0</x:v>
      </x:c>
      <x:c r="F2195" s="37" t="str">
        <x:v>14</x:v>
      </x:c>
      <x:c r="G2195" s="37" t="str">
        <x:v>279.28</x:v>
      </x:c>
      <x:c r="H2195" s="37" t="str">
        <x:v>0.00</x:v>
      </x:c>
      <x:c r="I2195" s="37" t="str">
        <x:v>238.18</x:v>
      </x:c>
      <x:c r="J2195" s="37" t="str">
        <x:v>0.00</x:v>
      </x:c>
      <x:c r="K2195" s="37" t="str">
        <x:v>41.11</x:v>
      </x:c>
      <x:c r="L2195" s="37" t="str">
        <x:v>347</x:v>
      </x:c>
      <x:c r="M2195" s="29" t="str">
        <x:v>274.88</x:v>
      </x:c>
      <x:c r="N2195" s="29" t="str">
        <x:v>191.87</x:v>
      </x:c>
      <x:c r="O2195" s="29" t="str">
        <x:v>83.01</x:v>
      </x:c>
      <x:c r="P2195" s="18" t="str">
        <x:v>2026-07-03</x:v>
      </x:c>
      <x:c r="Q2195" s="36" t="n">
        <x:v>46206</x:v>
      </x:c>
    </x:row>
    <x:row r="2196">
      <x:c r="A2196" s="36" t="str">
        <x:v>2026-07-03</x:v>
      </x:c>
      <x:c r="B2196" s="18" t="str">
        <x:v>101437000_74931</x:v>
      </x:c>
      <x:c r="C2196" s="18" t="str">
        <x:v>【沪村小电】枫雅南居充电站</x:v>
      </x:c>
      <x:c r="D2196" s="37" t="str">
        <x:v>2</x:v>
      </x:c>
      <x:c r="E2196" s="37" t="str">
        <x:v>0</x:v>
      </x:c>
      <x:c r="F2196" s="37" t="str">
        <x:v>9</x:v>
      </x:c>
      <x:c r="G2196" s="37" t="str">
        <x:v>209.05</x:v>
      </x:c>
      <x:c r="H2196" s="37" t="str">
        <x:v>0.00</x:v>
      </x:c>
      <x:c r="I2196" s="37" t="str">
        <x:v>155.79</x:v>
      </x:c>
      <x:c r="J2196" s="37" t="str">
        <x:v>0.00</x:v>
      </x:c>
      <x:c r="K2196" s="37" t="str">
        <x:v>53.26</x:v>
      </x:c>
      <x:c r="L2196" s="37" t="str">
        <x:v>342</x:v>
      </x:c>
      <x:c r="M2196" s="29" t="str">
        <x:v>156.35</x:v>
      </x:c>
      <x:c r="N2196" s="29" t="str">
        <x:v>108.41</x:v>
      </x:c>
      <x:c r="O2196" s="29" t="str">
        <x:v>47.94</x:v>
      </x:c>
      <x:c r="P2196" s="18" t="str">
        <x:v>2026-07-03</x:v>
      </x:c>
      <x:c r="Q2196" s="36" t="n">
        <x:v>46206</x:v>
      </x:c>
    </x:row>
    <x:row r="2197">
      <x:c r="A2197" s="36" t="str">
        <x:v>2026-07-03</x:v>
      </x:c>
      <x:c r="B2197" s="18" t="str">
        <x:v>101437000_75901</x:v>
      </x:c>
      <x:c r="C2197" s="18" t="str">
        <x:v>【沪村小电】金悦学府</x:v>
      </x:c>
      <x:c r="D2197" s="37" t="str">
        <x:v>2</x:v>
      </x:c>
      <x:c r="E2197" s="37" t="str">
        <x:v>0</x:v>
      </x:c>
      <x:c r="F2197" s="37" t="str">
        <x:v>29</x:v>
      </x:c>
      <x:c r="G2197" s="37" t="str">
        <x:v>837.58</x:v>
      </x:c>
      <x:c r="H2197" s="37" t="str">
        <x:v>0.00</x:v>
      </x:c>
      <x:c r="I2197" s="37" t="str">
        <x:v>305.18</x:v>
      </x:c>
      <x:c r="J2197" s="37" t="str">
        <x:v>0.00</x:v>
      </x:c>
      <x:c r="K2197" s="37" t="str">
        <x:v>532.40</x:v>
      </x:c>
      <x:c r="L2197" s="37" t="str">
        <x:v>1067</x:v>
      </x:c>
      <x:c r="M2197" s="29" t="str">
        <x:v>590.95</x:v>
      </x:c>
      <x:c r="N2197" s="29" t="str">
        <x:v>345.10</x:v>
      </x:c>
      <x:c r="O2197" s="29" t="str">
        <x:v>245.85</x:v>
      </x:c>
      <x:c r="P2197" s="18" t="str">
        <x:v>2026-07-03</x:v>
      </x:c>
      <x:c r="Q2197" s="36" t="n">
        <x:v>46206</x:v>
      </x:c>
    </x:row>
    <x:row r="2198">
      <x:c r="A2198" s="36" t="str">
        <x:v>2026-07-03</x:v>
      </x:c>
      <x:c r="B2198" s="18" t="str">
        <x:v>101437000_76091</x:v>
      </x:c>
      <x:c r="C2198" s="18" t="str">
        <x:v>【沪村小电】恒信家园充电站</x:v>
      </x:c>
      <x:c r="D2198" s="37" t="str">
        <x:v>2</x:v>
      </x:c>
      <x:c r="E2198" s="37" t="str">
        <x:v>0</x:v>
      </x:c>
      <x:c r="F2198" s="37" t="str">
        <x:v>46</x:v>
      </x:c>
      <x:c r="G2198" s="37" t="str">
        <x:v>1080.75</x:v>
      </x:c>
      <x:c r="H2198" s="37" t="str">
        <x:v>0.00</x:v>
      </x:c>
      <x:c r="I2198" s="37" t="str">
        <x:v>631.43</x:v>
      </x:c>
      <x:c r="J2198" s="37" t="str">
        <x:v>0.00</x:v>
      </x:c>
      <x:c r="K2198" s="37" t="str">
        <x:v>449.31</x:v>
      </x:c>
      <x:c r="L2198" s="37" t="str">
        <x:v>1747</x:v>
      </x:c>
      <x:c r="M2198" s="29" t="str">
        <x:v>1050.25</x:v>
      </x:c>
      <x:c r="N2198" s="29" t="str">
        <x:v>638.02</x:v>
      </x:c>
      <x:c r="O2198" s="29" t="str">
        <x:v>412.23</x:v>
      </x:c>
      <x:c r="P2198" s="18" t="str">
        <x:v>2026-07-03</x:v>
      </x:c>
      <x:c r="Q2198" s="36" t="n">
        <x:v>46206</x:v>
      </x:c>
    </x:row>
    <x:row r="2199">
      <x:c r="A2199" s="36" t="str">
        <x:v>2026-07-03</x:v>
      </x:c>
      <x:c r="B2199" s="18" t="str">
        <x:v>101437000_76417</x:v>
      </x:c>
      <x:c r="C2199" s="18" t="str">
        <x:v>【沪村小电】新春一组充电站</x:v>
      </x:c>
      <x:c r="D2199" s="37" t="str">
        <x:v>2</x:v>
      </x:c>
      <x:c r="E2199" s="37" t="str">
        <x:v>0</x:v>
      </x:c>
      <x:c r="F2199" s="37" t="str">
        <x:v>10</x:v>
      </x:c>
      <x:c r="G2199" s="37" t="str">
        <x:v>297.82</x:v>
      </x:c>
      <x:c r="H2199" s="37" t="str">
        <x:v>0.00</x:v>
      </x:c>
      <x:c r="I2199" s="37" t="str">
        <x:v>100.65</x:v>
      </x:c>
      <x:c r="J2199" s="37" t="str">
        <x:v>0.00</x:v>
      </x:c>
      <x:c r="K2199" s="37" t="str">
        <x:v>197.17</x:v>
      </x:c>
      <x:c r="L2199" s="37" t="str">
        <x:v>432</x:v>
      </x:c>
      <x:c r="M2199" s="29" t="str">
        <x:v>251.74</x:v>
      </x:c>
      <x:c r="N2199" s="29" t="str">
        <x:v>209.19</x:v>
      </x:c>
      <x:c r="O2199" s="29" t="str">
        <x:v>42.55</x:v>
      </x:c>
      <x:c r="P2199" s="18" t="str">
        <x:v>2026-07-03</x:v>
      </x:c>
      <x:c r="Q2199" s="36" t="n">
        <x:v>46206</x:v>
      </x:c>
    </x:row>
    <x:row r="2200">
      <x:c r="A2200" s="36" t="str">
        <x:v>2026-07-03</x:v>
      </x:c>
      <x:c r="B2200" s="18" t="str">
        <x:v>101437000_78235</x:v>
      </x:c>
      <x:c r="C2200" s="18" t="str">
        <x:v>【沪村小电】欣秋苑充电站</x:v>
      </x:c>
      <x:c r="D2200" s="37" t="str">
        <x:v>4</x:v>
      </x:c>
      <x:c r="E2200" s="37" t="str">
        <x:v>0</x:v>
      </x:c>
      <x:c r="F2200" s="37" t="str">
        <x:v>22</x:v>
      </x:c>
      <x:c r="G2200" s="37" t="str">
        <x:v>555.87</x:v>
      </x:c>
      <x:c r="H2200" s="37" t="str">
        <x:v>0.00</x:v>
      </x:c>
      <x:c r="I2200" s="37" t="str">
        <x:v>491.69</x:v>
      </x:c>
      <x:c r="J2200" s="37" t="str">
        <x:v>0.00</x:v>
      </x:c>
      <x:c r="K2200" s="37" t="str">
        <x:v>64.18</x:v>
      </x:c>
      <x:c r="L2200" s="37" t="str">
        <x:v>880</x:v>
      </x:c>
      <x:c r="M2200" s="29" t="str">
        <x:v>472.29</x:v>
      </x:c>
      <x:c r="N2200" s="29" t="str">
        <x:v>388.26</x:v>
      </x:c>
      <x:c r="O2200" s="29" t="str">
        <x:v>84.03</x:v>
      </x:c>
      <x:c r="P2200" s="18" t="str">
        <x:v>2026-07-03</x:v>
      </x:c>
      <x:c r="Q2200" s="36" t="n">
        <x:v>46206</x:v>
      </x:c>
    </x:row>
    <x:row r="2201">
      <x:c r="A2201" s="36" t="str">
        <x:v>2026-07-03</x:v>
      </x:c>
      <x:c r="B2201" s="18" t="str">
        <x:v>101437000_78237</x:v>
      </x:c>
      <x:c r="C2201" s="18" t="str">
        <x:v>【沪村小电】奉馨苑西门小区内北侧充电站</x:v>
      </x:c>
      <x:c r="D2201" s="37" t="str">
        <x:v>2</x:v>
      </x:c>
      <x:c r="E2201" s="37" t="str">
        <x:v>0</x:v>
      </x:c>
      <x:c r="F2201" s="37" t="str">
        <x:v>39</x:v>
      </x:c>
      <x:c r="G2201" s="37" t="str">
        <x:v>1106.22</x:v>
      </x:c>
      <x:c r="H2201" s="37" t="str">
        <x:v>0.00</x:v>
      </x:c>
      <x:c r="I2201" s="37" t="str">
        <x:v>653.11</x:v>
      </x:c>
      <x:c r="J2201" s="37" t="str">
        <x:v>0.00</x:v>
      </x:c>
      <x:c r="K2201" s="37" t="str">
        <x:v>453.11</x:v>
      </x:c>
      <x:c r="L2201" s="37" t="str">
        <x:v>1522</x:v>
      </x:c>
      <x:c r="M2201" s="29" t="str">
        <x:v>939.22</x:v>
      </x:c>
      <x:c r="N2201" s="29" t="str">
        <x:v>655.49</x:v>
      </x:c>
      <x:c r="O2201" s="29" t="str">
        <x:v>283.73</x:v>
      </x:c>
      <x:c r="P2201" s="18" t="str">
        <x:v>2026-07-03</x:v>
      </x:c>
      <x:c r="Q2201" s="36" t="n">
        <x:v>46206</x:v>
      </x:c>
    </x:row>
    <x:row r="2202">
      <x:c r="A2202" s="36" t="str">
        <x:v>2026-07-03</x:v>
      </x:c>
      <x:c r="B2202" s="18" t="str">
        <x:v>101437000_78239</x:v>
      </x:c>
      <x:c r="C2202" s="18" t="str">
        <x:v>【沪村小电】恒大佘山首府东门充电站</x:v>
      </x:c>
      <x:c r="D2202" s="37" t="str">
        <x:v>2</x:v>
      </x:c>
      <x:c r="E2202" s="37" t="str">
        <x:v>0</x:v>
      </x:c>
      <x:c r="F2202" s="37" t="str">
        <x:v>44</x:v>
      </x:c>
      <x:c r="G2202" s="37" t="str">
        <x:v>1092.04</x:v>
      </x:c>
      <x:c r="H2202" s="37" t="str">
        <x:v>0.00</x:v>
      </x:c>
      <x:c r="I2202" s="37" t="str">
        <x:v>719.27</x:v>
      </x:c>
      <x:c r="J2202" s="37" t="str">
        <x:v>0.00</x:v>
      </x:c>
      <x:c r="K2202" s="37" t="str">
        <x:v>372.77</x:v>
      </x:c>
      <x:c r="L2202" s="37" t="str">
        <x:v>1460</x:v>
      </x:c>
      <x:c r="M2202" s="29" t="str">
        <x:v>934.71</x:v>
      </x:c>
      <x:c r="N2202" s="29" t="str">
        <x:v>673.84</x:v>
      </x:c>
      <x:c r="O2202" s="29" t="str">
        <x:v>260.87</x:v>
      </x:c>
      <x:c r="P2202" s="18" t="str">
        <x:v>2026-07-03</x:v>
      </x:c>
      <x:c r="Q2202" s="36" t="n">
        <x:v>46206</x:v>
      </x:c>
    </x:row>
    <x:row r="2203">
      <x:c r="A2203" s="36" t="str">
        <x:v>2026-07-03</x:v>
      </x:c>
      <x:c r="B2203" s="18" t="str">
        <x:v>101437000_80823</x:v>
      </x:c>
      <x:c r="C2203" s="18" t="str">
        <x:v>【沪村小电】上湖轩充电站</x:v>
      </x:c>
      <x:c r="D2203" s="37" t="str">
        <x:v>2</x:v>
      </x:c>
      <x:c r="E2203" s="37" t="str">
        <x:v>0</x:v>
      </x:c>
      <x:c r="F2203" s="37" t="str">
        <x:v>14</x:v>
      </x:c>
      <x:c r="G2203" s="37" t="str">
        <x:v>316.75</x:v>
      </x:c>
      <x:c r="H2203" s="37" t="str">
        <x:v>8.47</x:v>
      </x:c>
      <x:c r="I2203" s="37" t="str">
        <x:v>27.06</x:v>
      </x:c>
      <x:c r="J2203" s="37" t="str">
        <x:v>35.27</x:v>
      </x:c>
      <x:c r="K2203" s="37" t="str">
        <x:v>245.96</x:v>
      </x:c>
      <x:c r="L2203" s="37" t="str">
        <x:v>475</x:v>
      </x:c>
      <x:c r="M2203" s="29" t="str">
        <x:v>204.95</x:v>
      </x:c>
      <x:c r="N2203" s="29" t="str">
        <x:v>146.43</x:v>
      </x:c>
      <x:c r="O2203" s="29" t="str">
        <x:v>58.52</x:v>
      </x:c>
      <x:c r="P2203" s="18" t="str">
        <x:v>2026-07-03</x:v>
      </x:c>
      <x:c r="Q2203" s="36" t="n">
        <x:v>46206</x:v>
      </x:c>
    </x:row>
    <x:row r="2204">
      <x:c r="A2204" s="36" t="str">
        <x:v>2026-07-03</x:v>
      </x:c>
      <x:c r="B2204" s="18" t="str">
        <x:v>101437000_83019</x:v>
      </x:c>
      <x:c r="C2204" s="18" t="str">
        <x:v>【沪村小电】首创禧瑞云启东区充电站</x:v>
      </x:c>
      <x:c r="D2204" s="37" t="str">
        <x:v>2</x:v>
      </x:c>
      <x:c r="E2204" s="37" t="str">
        <x:v>0</x:v>
      </x:c>
      <x:c r="F2204" s="37" t="str">
        <x:v>52</x:v>
      </x:c>
      <x:c r="G2204" s="37" t="str">
        <x:v>1251.42</x:v>
      </x:c>
      <x:c r="H2204" s="37" t="str">
        <x:v>0.00</x:v>
      </x:c>
      <x:c r="I2204" s="37" t="str">
        <x:v>930.58</x:v>
      </x:c>
      <x:c r="J2204" s="37" t="str">
        <x:v>0.00</x:v>
      </x:c>
      <x:c r="K2204" s="37" t="str">
        <x:v>320.84</x:v>
      </x:c>
      <x:c r="L2204" s="37" t="str">
        <x:v>2011</x:v>
      </x:c>
      <x:c r="M2204" s="29" t="str">
        <x:v>1150.22</x:v>
      </x:c>
      <x:c r="N2204" s="29" t="str">
        <x:v>757.62</x:v>
      </x:c>
      <x:c r="O2204" s="29" t="str">
        <x:v>392.60</x:v>
      </x:c>
      <x:c r="P2204" s="18" t="str">
        <x:v>2026-07-03</x:v>
      </x:c>
      <x:c r="Q2204" s="36" t="n">
        <x:v>46206</x:v>
      </x:c>
    </x:row>
    <x:row r="2205">
      <x:c r="A2205" s="36" t="str">
        <x:v>2026-07-03</x:v>
      </x:c>
      <x:c r="B2205" s="18" t="str">
        <x:v>101437000_83093</x:v>
      </x:c>
      <x:c r="C2205" s="18" t="str">
        <x:v>【沪村小电】金茂未来时光里</x:v>
      </x:c>
      <x:c r="D2205" s="37" t="str">
        <x:v>2</x:v>
      </x:c>
      <x:c r="E2205" s="37" t="str">
        <x:v>0</x:v>
      </x:c>
      <x:c r="F2205" s="37" t="str">
        <x:v>15</x:v>
      </x:c>
      <x:c r="G2205" s="37" t="str">
        <x:v>462.05</x:v>
      </x:c>
      <x:c r="H2205" s="37" t="str">
        <x:v>0.00</x:v>
      </x:c>
      <x:c r="I2205" s="37" t="str">
        <x:v>277.58</x:v>
      </x:c>
      <x:c r="J2205" s="37" t="str">
        <x:v>0.00</x:v>
      </x:c>
      <x:c r="K2205" s="37" t="str">
        <x:v>184.47</x:v>
      </x:c>
      <x:c r="L2205" s="37" t="str">
        <x:v>625</x:v>
      </x:c>
      <x:c r="M2205" s="29" t="str">
        <x:v>307.85</x:v>
      </x:c>
      <x:c r="N2205" s="29" t="str">
        <x:v>220.96</x:v>
      </x:c>
      <x:c r="O2205" s="29" t="str">
        <x:v>86.89</x:v>
      </x:c>
      <x:c r="P2205" s="18" t="str">
        <x:v>2026-07-03</x:v>
      </x:c>
      <x:c r="Q2205" s="36" t="n">
        <x:v>46206</x:v>
      </x:c>
    </x:row>
    <x:row r="2206">
      <x:c r="A2206" s="36" t="str">
        <x:v>2026-07-03</x:v>
      </x:c>
      <x:c r="B2206" s="18" t="str">
        <x:v>101437000_83911</x:v>
      </x:c>
      <x:c r="C2206" s="18" t="str">
        <x:v>【沪村小电】金瀚园充电站</x:v>
      </x:c>
      <x:c r="D2206" s="37" t="str">
        <x:v>2</x:v>
      </x:c>
      <x:c r="E2206" s="37" t="str">
        <x:v>0</x:v>
      </x:c>
      <x:c r="F2206" s="37" t="str">
        <x:v>40</x:v>
      </x:c>
      <x:c r="G2206" s="37" t="str">
        <x:v>928.74</x:v>
      </x:c>
      <x:c r="H2206" s="37" t="str">
        <x:v>0.00</x:v>
      </x:c>
      <x:c r="I2206" s="37" t="str">
        <x:v>423.82</x:v>
      </x:c>
      <x:c r="J2206" s="37" t="str">
        <x:v>0.00</x:v>
      </x:c>
      <x:c r="K2206" s="37" t="str">
        <x:v>504.92</x:v>
      </x:c>
      <x:c r="L2206" s="37" t="str">
        <x:v>1274</x:v>
      </x:c>
      <x:c r="M2206" s="29" t="str">
        <x:v>853.47</x:v>
      </x:c>
      <x:c r="N2206" s="29" t="str">
        <x:v>505.47</x:v>
      </x:c>
      <x:c r="O2206" s="29" t="str">
        <x:v>348.00</x:v>
      </x:c>
      <x:c r="P2206" s="18" t="str">
        <x:v>2026-07-03</x:v>
      </x:c>
      <x:c r="Q2206" s="36" t="n">
        <x:v>46206</x:v>
      </x:c>
    </x:row>
    <x:row r="2207">
      <x:c r="A2207" s="36" t="str">
        <x:v>2026-07-03</x:v>
      </x:c>
      <x:c r="B2207" s="18" t="str">
        <x:v>101437000_83913</x:v>
      </x:c>
      <x:c r="C2207" s="18" t="str">
        <x:v>【沪村小电】新黎村充电站</x:v>
      </x:c>
      <x:c r="D2207" s="37" t="str">
        <x:v>2</x:v>
      </x:c>
      <x:c r="E2207" s="37" t="str">
        <x:v>0</x:v>
      </x:c>
      <x:c r="F2207" s="37" t="str">
        <x:v>30</x:v>
      </x:c>
      <x:c r="G2207" s="37" t="str">
        <x:v>786.06</x:v>
      </x:c>
      <x:c r="H2207" s="37" t="str">
        <x:v>0.00</x:v>
      </x:c>
      <x:c r="I2207" s="37" t="str">
        <x:v>438.07</x:v>
      </x:c>
      <x:c r="J2207" s="37" t="str">
        <x:v>0.00</x:v>
      </x:c>
      <x:c r="K2207" s="37" t="str">
        <x:v>347.98</x:v>
      </x:c>
      <x:c r="L2207" s="37" t="str">
        <x:v>1212</x:v>
      </x:c>
      <x:c r="M2207" s="29" t="str">
        <x:v>864.10</x:v>
      </x:c>
      <x:c r="N2207" s="29" t="str">
        <x:v>640.03</x:v>
      </x:c>
      <x:c r="O2207" s="29" t="str">
        <x:v>224.07</x:v>
      </x:c>
      <x:c r="P2207" s="18" t="str">
        <x:v>2026-07-03</x:v>
      </x:c>
      <x:c r="Q2207" s="36" t="n">
        <x:v>46206</x:v>
      </x:c>
    </x:row>
    <x:row r="2208">
      <x:c r="A2208" s="36" t="str">
        <x:v>2026-07-03</x:v>
      </x:c>
      <x:c r="B2208" s="18" t="str">
        <x:v>101437000_83915</x:v>
      </x:c>
      <x:c r="C2208" s="18" t="str">
        <x:v>【沪村小电】长泰西郊别墅充电站</x:v>
      </x:c>
      <x:c r="D2208" s="37" t="str">
        <x:v>2</x:v>
      </x:c>
      <x:c r="E2208" s="37" t="str">
        <x:v>0</x:v>
      </x:c>
      <x:c r="F2208" s="37" t="str">
        <x:v>13</x:v>
      </x:c>
      <x:c r="G2208" s="37" t="str">
        <x:v>286.77</x:v>
      </x:c>
      <x:c r="H2208" s="37" t="str">
        <x:v>0.00</x:v>
      </x:c>
      <x:c r="I2208" s="37" t="str">
        <x:v>247.18</x:v>
      </x:c>
      <x:c r="J2208" s="37" t="str">
        <x:v>0.00</x:v>
      </x:c>
      <x:c r="K2208" s="37" t="str">
        <x:v>39.60</x:v>
      </x:c>
      <x:c r="L2208" s="37" t="str">
        <x:v>481</x:v>
      </x:c>
      <x:c r="M2208" s="29" t="str">
        <x:v>300.55</x:v>
      </x:c>
      <x:c r="N2208" s="29" t="str">
        <x:v>197.96</x:v>
      </x:c>
      <x:c r="O2208" s="29" t="str">
        <x:v>102.59</x:v>
      </x:c>
      <x:c r="P2208" s="18" t="str">
        <x:v>2026-07-03</x:v>
      </x:c>
      <x:c r="Q2208" s="36" t="n">
        <x:v>46206</x:v>
      </x:c>
    </x:row>
    <x:row r="2209">
      <x:c r="A2209" s="36" t="str">
        <x:v>2026-07-03</x:v>
      </x:c>
      <x:c r="B2209" s="18" t="str">
        <x:v>101437000_83917</x:v>
      </x:c>
      <x:c r="C2209" s="18" t="str">
        <x:v>【沪村小电】旭新华庭充电站</x:v>
      </x:c>
      <x:c r="D2209" s="37" t="str">
        <x:v>4</x:v>
      </x:c>
      <x:c r="E2209" s="37" t="str">
        <x:v>0</x:v>
      </x:c>
      <x:c r="F2209" s="37" t="str">
        <x:v>37</x:v>
      </x:c>
      <x:c r="G2209" s="37" t="str">
        <x:v>889.75</x:v>
      </x:c>
      <x:c r="H2209" s="37" t="str">
        <x:v>0.00</x:v>
      </x:c>
      <x:c r="I2209" s="37" t="str">
        <x:v>700.22</x:v>
      </x:c>
      <x:c r="J2209" s="37" t="str">
        <x:v>0.00</x:v>
      </x:c>
      <x:c r="K2209" s="37" t="str">
        <x:v>189.53</x:v>
      </x:c>
      <x:c r="L2209" s="37" t="str">
        <x:v>1399</x:v>
      </x:c>
      <x:c r="M2209" s="29" t="str">
        <x:v>916.51</x:v>
      </x:c>
      <x:c r="N2209" s="29" t="str">
        <x:v>590.22</x:v>
      </x:c>
      <x:c r="O2209" s="29" t="str">
        <x:v>326.29</x:v>
      </x:c>
      <x:c r="P2209" s="18" t="str">
        <x:v>2026-07-03</x:v>
      </x:c>
      <x:c r="Q2209" s="36" t="n">
        <x:v>46206</x:v>
      </x:c>
    </x:row>
    <x:row r="2210">
      <x:c r="A2210" s="36" t="str">
        <x:v>2026-07-03</x:v>
      </x:c>
      <x:c r="B2210" s="18" t="str">
        <x:v>101437000_83919</x:v>
      </x:c>
      <x:c r="C2210" s="18" t="str">
        <x:v>【沪村小电】浦锦名仕嘉园充电站</x:v>
      </x:c>
      <x:c r="D2210" s="37" t="str">
        <x:v>4</x:v>
      </x:c>
      <x:c r="E2210" s="37" t="str">
        <x:v>0</x:v>
      </x:c>
      <x:c r="F2210" s="37" t="str">
        <x:v>49</x:v>
      </x:c>
      <x:c r="G2210" s="37" t="str">
        <x:v>1452.96</x:v>
      </x:c>
      <x:c r="H2210" s="37" t="str">
        <x:v>0.00</x:v>
      </x:c>
      <x:c r="I2210" s="37" t="str">
        <x:v>0.00</x:v>
      </x:c>
      <x:c r="J2210" s="37" t="str">
        <x:v>1452.96</x:v>
      </x:c>
      <x:c r="K2210" s="37" t="str">
        <x:v>0.00</x:v>
      </x:c>
      <x:c r="L2210" s="37" t="str">
        <x:v>2097</x:v>
      </x:c>
      <x:c r="M2210" s="29" t="str">
        <x:v>1344.39</x:v>
      </x:c>
      <x:c r="N2210" s="29" t="str">
        <x:v>929.89</x:v>
      </x:c>
      <x:c r="O2210" s="29" t="str">
        <x:v>414.50</x:v>
      </x:c>
      <x:c r="P2210" s="18" t="str">
        <x:v>2026-07-03</x:v>
      </x:c>
      <x:c r="Q2210" s="36" t="n">
        <x:v>46206</x:v>
      </x:c>
    </x:row>
    <x:row r="2211">
      <x:c r="A2211" s="36" t="str">
        <x:v>2026-07-03</x:v>
      </x:c>
      <x:c r="B2211" s="18" t="str">
        <x:v>101437000_83921</x:v>
      </x:c>
      <x:c r="C2211" s="18" t="str">
        <x:v>【沪村小电】上海联怡枇杷乐园充电站（地库）</x:v>
      </x:c>
      <x:c r="D2211" s="37" t="str">
        <x:v>8</x:v>
      </x:c>
      <x:c r="E2211" s="37" t="str">
        <x:v>0</x:v>
      </x:c>
      <x:c r="F2211" s="37" t="str">
        <x:v>4</x:v>
      </x:c>
      <x:c r="G2211" s="37" t="str">
        <x:v>131.02</x:v>
      </x:c>
      <x:c r="H2211" s="37" t="str">
        <x:v>0.00</x:v>
      </x:c>
      <x:c r="I2211" s="37" t="str">
        <x:v>32.56</x:v>
      </x:c>
      <x:c r="J2211" s="37" t="str">
        <x:v>0.00</x:v>
      </x:c>
      <x:c r="K2211" s="37" t="str">
        <x:v>98.46</x:v>
      </x:c>
      <x:c r="L2211" s="37" t="str">
        <x:v>203</x:v>
      </x:c>
      <x:c r="M2211" s="29" t="str">
        <x:v>97.35</x:v>
      </x:c>
      <x:c r="N2211" s="29" t="str">
        <x:v>86.04</x:v>
      </x:c>
      <x:c r="O2211" s="29" t="str">
        <x:v>11.31</x:v>
      </x:c>
      <x:c r="P2211" s="18" t="str">
        <x:v>2026-07-03</x:v>
      </x:c>
      <x:c r="Q2211" s="36" t="n">
        <x:v>46206</x:v>
      </x:c>
    </x:row>
    <x:row r="2212">
      <x:c r="A2212" s="36" t="str">
        <x:v>2026-07-03</x:v>
      </x:c>
      <x:c r="B2212" s="18" t="str">
        <x:v>101437000_83923</x:v>
      </x:c>
      <x:c r="C2212" s="18" t="str">
        <x:v>【沪村小电】明珠新苑充电站</x:v>
      </x:c>
      <x:c r="D2212" s="37" t="str">
        <x:v>2</x:v>
      </x:c>
      <x:c r="E2212" s="37" t="str">
        <x:v>0</x:v>
      </x:c>
      <x:c r="F2212" s="37" t="str">
        <x:v>33</x:v>
      </x:c>
      <x:c r="G2212" s="37" t="str">
        <x:v>739.98</x:v>
      </x:c>
      <x:c r="H2212" s="37" t="str">
        <x:v>0.00</x:v>
      </x:c>
      <x:c r="I2212" s="37" t="str">
        <x:v>356.06</x:v>
      </x:c>
      <x:c r="J2212" s="37" t="str">
        <x:v>0.00</x:v>
      </x:c>
      <x:c r="K2212" s="37" t="str">
        <x:v>383.92</x:v>
      </x:c>
      <x:c r="L2212" s="37" t="str">
        <x:v>1017</x:v>
      </x:c>
      <x:c r="M2212" s="29" t="str">
        <x:v>637.54</x:v>
      </x:c>
      <x:c r="N2212" s="29" t="str">
        <x:v>409.38</x:v>
      </x:c>
      <x:c r="O2212" s="29" t="str">
        <x:v>228.16</x:v>
      </x:c>
      <x:c r="P2212" s="18" t="str">
        <x:v>2026-07-03</x:v>
      </x:c>
      <x:c r="Q2212" s="36" t="n">
        <x:v>46206</x:v>
      </x:c>
    </x:row>
    <x:row r="2213">
      <x:c r="A2213" s="36" t="str">
        <x:v>2026-07-03</x:v>
      </x:c>
      <x:c r="B2213" s="18" t="str">
        <x:v>101437000_86379</x:v>
      </x:c>
      <x:c r="C2213" s="18" t="str">
        <x:v>【沪村小电】新宝社区充电站</x:v>
      </x:c>
      <x:c r="D2213" s="37" t="str">
        <x:v>4</x:v>
      </x:c>
      <x:c r="E2213" s="37" t="str">
        <x:v>0</x:v>
      </x:c>
      <x:c r="F2213" s="37" t="str">
        <x:v>41</x:v>
      </x:c>
      <x:c r="G2213" s="37" t="str">
        <x:v>787.88</x:v>
      </x:c>
      <x:c r="H2213" s="37" t="str">
        <x:v>0.00</x:v>
      </x:c>
      <x:c r="I2213" s="37" t="str">
        <x:v>494.16</x:v>
      </x:c>
      <x:c r="J2213" s="37" t="str">
        <x:v>0.00</x:v>
      </x:c>
      <x:c r="K2213" s="37" t="str">
        <x:v>293.72</x:v>
      </x:c>
      <x:c r="L2213" s="37" t="str">
        <x:v>1364</x:v>
      </x:c>
      <x:c r="M2213" s="29" t="str">
        <x:v>686.38</x:v>
      </x:c>
      <x:c r="N2213" s="29" t="str">
        <x:v>477.29</x:v>
      </x:c>
      <x:c r="O2213" s="29" t="str">
        <x:v>209.09</x:v>
      </x:c>
      <x:c r="P2213" s="18" t="str">
        <x:v>2026-07-03</x:v>
      </x:c>
      <x:c r="Q2213" s="36" t="n">
        <x:v>46206</x:v>
      </x:c>
    </x:row>
    <x:row r="2214">
      <x:c r="A2214" s="36" t="str">
        <x:v>2026-07-03</x:v>
      </x:c>
      <x:c r="B2214" s="18" t="str">
        <x:v>101437000_89441</x:v>
      </x:c>
      <x:c r="C2214" s="18" t="str">
        <x:v>【沪村小电】首创禧瑞云启西区充电站</x:v>
      </x:c>
      <x:c r="D2214" s="37" t="str">
        <x:v>2</x:v>
      </x:c>
      <x:c r="E2214" s="37" t="str">
        <x:v>0</x:v>
      </x:c>
      <x:c r="F2214" s="37" t="str">
        <x:v>60</x:v>
      </x:c>
      <x:c r="G2214" s="37" t="str">
        <x:v>1365.36</x:v>
      </x:c>
      <x:c r="H2214" s="37" t="str">
        <x:v>0.00</x:v>
      </x:c>
      <x:c r="I2214" s="37" t="str">
        <x:v>1204.14</x:v>
      </x:c>
      <x:c r="J2214" s="37" t="str">
        <x:v>0.00</x:v>
      </x:c>
      <x:c r="K2214" s="37" t="str">
        <x:v>161.22</x:v>
      </x:c>
      <x:c r="L2214" s="37" t="str">
        <x:v>2094</x:v>
      </x:c>
      <x:c r="M2214" s="29" t="str">
        <x:v>1251.54</x:v>
      </x:c>
      <x:c r="N2214" s="29" t="str">
        <x:v>888.91</x:v>
      </x:c>
      <x:c r="O2214" s="29" t="str">
        <x:v>362.63</x:v>
      </x:c>
      <x:c r="P2214" s="18" t="str">
        <x:v>2026-07-03</x:v>
      </x:c>
      <x:c r="Q2214" s="36" t="n">
        <x:v>46206</x:v>
      </x:c>
    </x:row>
    <x:row r="2215">
      <x:c r="A2215" s="36" t="str">
        <x:v>2026-07-03</x:v>
      </x:c>
      <x:c r="B2215" s="18" t="str">
        <x:v>101437000_89443</x:v>
      </x:c>
      <x:c r="C2215" s="18" t="str">
        <x:v>【沪村小电】玉兰清苑二期充电站</x:v>
      </x:c>
      <x:c r="D2215" s="37" t="str">
        <x:v>2</x:v>
      </x:c>
      <x:c r="E2215" s="37" t="str">
        <x:v>0</x:v>
      </x:c>
      <x:c r="F2215" s="37" t="str">
        <x:v>32</x:v>
      </x:c>
      <x:c r="G2215" s="37" t="str">
        <x:v>702.84</x:v>
      </x:c>
      <x:c r="H2215" s="37" t="str">
        <x:v>0.00</x:v>
      </x:c>
      <x:c r="I2215" s="37" t="str">
        <x:v>663.15</x:v>
      </x:c>
      <x:c r="J2215" s="37" t="str">
        <x:v>0.00</x:v>
      </x:c>
      <x:c r="K2215" s="37" t="str">
        <x:v>39.69</x:v>
      </x:c>
      <x:c r="L2215" s="37" t="str">
        <x:v>1105</x:v>
      </x:c>
      <x:c r="M2215" s="29" t="str">
        <x:v>673.02</x:v>
      </x:c>
      <x:c r="N2215" s="29" t="str">
        <x:v>505.82</x:v>
      </x:c>
      <x:c r="O2215" s="29" t="str">
        <x:v>167.20</x:v>
      </x:c>
      <x:c r="P2215" s="18" t="str">
        <x:v>2026-07-03</x:v>
      </x:c>
      <x:c r="Q2215" s="36" t="n">
        <x:v>46206</x:v>
      </x:c>
    </x:row>
    <x:row r="2216">
      <x:c r="A2216" s="36" t="str">
        <x:v>2026-07-03</x:v>
      </x:c>
      <x:c r="B2216" s="18" t="str">
        <x:v>101437000_93115</x:v>
      </x:c>
      <x:c r="C2216" s="18" t="str">
        <x:v>【沪村小电】新南家园西北门</x:v>
      </x:c>
      <x:c r="D2216" s="37" t="str">
        <x:v>2</x:v>
      </x:c>
      <x:c r="E2216" s="37" t="str">
        <x:v>0</x:v>
      </x:c>
      <x:c r="F2216" s="37" t="str">
        <x:v>32</x:v>
      </x:c>
      <x:c r="G2216" s="37" t="str">
        <x:v>691.02</x:v>
      </x:c>
      <x:c r="H2216" s="37" t="str">
        <x:v>0.00</x:v>
      </x:c>
      <x:c r="I2216" s="37" t="str">
        <x:v>491.48</x:v>
      </x:c>
      <x:c r="J2216" s="37" t="str">
        <x:v>0.00</x:v>
      </x:c>
      <x:c r="K2216" s="37" t="str">
        <x:v>199.54</x:v>
      </x:c>
      <x:c r="L2216" s="37" t="str">
        <x:v>1171</x:v>
      </x:c>
      <x:c r="M2216" s="29" t="str">
        <x:v>638.88</x:v>
      </x:c>
      <x:c r="N2216" s="29" t="str">
        <x:v>410.97</x:v>
      </x:c>
      <x:c r="O2216" s="29" t="str">
        <x:v>227.91</x:v>
      </x:c>
      <x:c r="P2216" s="18" t="str">
        <x:v>2026-07-03</x:v>
      </x:c>
      <x:c r="Q2216" s="36" t="n">
        <x:v>46206</x:v>
      </x:c>
    </x:row>
    <x:row r="2217">
      <x:c r="A2217" s="36" t="str">
        <x:v>2026-07-03</x:v>
      </x:c>
      <x:c r="B2217" s="18" t="str">
        <x:v>101437000_94649</x:v>
      </x:c>
      <x:c r="C2217" s="18" t="str">
        <x:v>【沪村小电】浪琴水岸花园</x:v>
      </x:c>
      <x:c r="D2217" s="37" t="str">
        <x:v>4</x:v>
      </x:c>
      <x:c r="E2217" s="37" t="str">
        <x:v>0</x:v>
      </x:c>
      <x:c r="F2217" s="37" t="str">
        <x:v>36</x:v>
      </x:c>
      <x:c r="G2217" s="37" t="str">
        <x:v>709.54</x:v>
      </x:c>
      <x:c r="H2217" s="37" t="str">
        <x:v>0.00</x:v>
      </x:c>
      <x:c r="I2217" s="37" t="str">
        <x:v>550.94</x:v>
      </x:c>
      <x:c r="J2217" s="37" t="str">
        <x:v>0.00</x:v>
      </x:c>
      <x:c r="K2217" s="37" t="str">
        <x:v>158.60</x:v>
      </x:c>
      <x:c r="L2217" s="37" t="str">
        <x:v>1114</x:v>
      </x:c>
      <x:c r="M2217" s="29" t="str">
        <x:v>630.51</x:v>
      </x:c>
      <x:c r="N2217" s="29" t="str">
        <x:v>437.24</x:v>
      </x:c>
      <x:c r="O2217" s="29" t="str">
        <x:v>193.27</x:v>
      </x:c>
      <x:c r="P2217" s="18" t="str">
        <x:v>2026-07-03</x:v>
      </x:c>
      <x:c r="Q2217" s="36" t="n">
        <x:v>46206</x:v>
      </x:c>
    </x:row>
    <x:row r="2218">
      <x:c r="A2218" s="36" t="str">
        <x:v>2026-07-03</x:v>
      </x:c>
      <x:c r="B2218" s="18" t="str">
        <x:v>101437000_95077</x:v>
      </x:c>
      <x:c r="C2218" s="18" t="str">
        <x:v>【沪村小电】民乐城惠益绿苑255弄充电站</x:v>
      </x:c>
      <x:c r="D2218" s="37" t="str">
        <x:v>2</x:v>
      </x:c>
      <x:c r="E2218" s="37" t="str">
        <x:v>0</x:v>
      </x:c>
      <x:c r="F2218" s="37" t="str">
        <x:v>13</x:v>
      </x:c>
      <x:c r="G2218" s="37" t="str">
        <x:v>254.58</x:v>
      </x:c>
      <x:c r="H2218" s="37" t="str">
        <x:v>0.00</x:v>
      </x:c>
      <x:c r="I2218" s="37" t="str">
        <x:v>227.56</x:v>
      </x:c>
      <x:c r="J2218" s="37" t="str">
        <x:v>0.00</x:v>
      </x:c>
      <x:c r="K2218" s="37" t="str">
        <x:v>27.02</x:v>
      </x:c>
      <x:c r="L2218" s="37" t="str">
        <x:v>364</x:v>
      </x:c>
      <x:c r="M2218" s="29" t="str">
        <x:v>249.14</x:v>
      </x:c>
      <x:c r="N2218" s="29" t="str">
        <x:v>178.64</x:v>
      </x:c>
      <x:c r="O2218" s="29" t="str">
        <x:v>70.50</x:v>
      </x:c>
      <x:c r="P2218" s="18" t="str">
        <x:v>2026-07-03</x:v>
      </x:c>
      <x:c r="Q2218" s="36" t="n">
        <x:v>46206</x:v>
      </x:c>
    </x:row>
    <x:row r="2219">
      <x:c r="A2219" s="36" t="str">
        <x:v>2026-07-03</x:v>
      </x:c>
      <x:c r="B2219" s="18" t="str">
        <x:v>101437000_95079</x:v>
      </x:c>
      <x:c r="C2219" s="18" t="str">
        <x:v>【沪村小电】民乐城惠益绿苑东苑充电站</x:v>
      </x:c>
      <x:c r="D2219" s="37" t="str">
        <x:v>2</x:v>
      </x:c>
      <x:c r="E2219" s="37" t="str">
        <x:v>0</x:v>
      </x:c>
      <x:c r="F2219" s="37" t="str">
        <x:v>13</x:v>
      </x:c>
      <x:c r="G2219" s="37" t="str">
        <x:v>252.15</x:v>
      </x:c>
      <x:c r="H2219" s="37" t="str">
        <x:v>0.00</x:v>
      </x:c>
      <x:c r="I2219" s="37" t="str">
        <x:v>195.76</x:v>
      </x:c>
      <x:c r="J2219" s="37" t="str">
        <x:v>0.00</x:v>
      </x:c>
      <x:c r="K2219" s="37" t="str">
        <x:v>56.38</x:v>
      </x:c>
      <x:c r="L2219" s="37" t="str">
        <x:v>342</x:v>
      </x:c>
      <x:c r="M2219" s="29" t="str">
        <x:v>220.62</x:v>
      </x:c>
      <x:c r="N2219" s="29" t="str">
        <x:v>155.37</x:v>
      </x:c>
      <x:c r="O2219" s="29" t="str">
        <x:v>65.25</x:v>
      </x:c>
      <x:c r="P2219" s="18" t="str">
        <x:v>2026-07-03</x:v>
      </x:c>
      <x:c r="Q2219" s="36" t="n">
        <x:v>46206</x:v>
      </x:c>
    </x:row>
    <x:row r="2220">
      <x:c r="A2220" s="36" t="str">
        <x:v>2026-07-03</x:v>
      </x:c>
      <x:c r="B2220" s="18" t="str">
        <x:v>101437000_95081</x:v>
      </x:c>
      <x:c r="C2220" s="18" t="str">
        <x:v>【沪村小电】民乐城惠益绿苑西苑充电站</x:v>
      </x:c>
      <x:c r="D2220" s="37" t="str">
        <x:v>2</x:v>
      </x:c>
      <x:c r="E2220" s="37" t="str">
        <x:v>0</x:v>
      </x:c>
      <x:c r="F2220" s="37" t="str">
        <x:v>7</x:v>
      </x:c>
      <x:c r="G2220" s="37" t="str">
        <x:v>164.49</x:v>
      </x:c>
      <x:c r="H2220" s="37" t="str">
        <x:v>0.00</x:v>
      </x:c>
      <x:c r="I2220" s="37" t="str">
        <x:v>164.49</x:v>
      </x:c>
      <x:c r="J2220" s="37" t="str">
        <x:v>0.00</x:v>
      </x:c>
      <x:c r="K2220" s="37" t="str">
        <x:v>0.00</x:v>
      </x:c>
      <x:c r="L2220" s="37" t="str">
        <x:v>230</x:v>
      </x:c>
      <x:c r="M2220" s="29" t="str">
        <x:v>170.45</x:v>
      </x:c>
      <x:c r="N2220" s="29" t="str">
        <x:v>113.51</x:v>
      </x:c>
      <x:c r="O2220" s="29" t="str">
        <x:v>56.94</x:v>
      </x:c>
      <x:c r="P2220" s="18" t="str">
        <x:v>2026-07-03</x:v>
      </x:c>
      <x:c r="Q2220" s="36" t="n">
        <x:v>46206</x:v>
      </x:c>
    </x:row>
    <x:row r="2221">
      <x:c r="A2221" s="36" t="str">
        <x:v>2026-07-03</x:v>
      </x:c>
      <x:c r="B2221" s="18" t="str">
        <x:v>101437000_95091</x:v>
      </x:c>
      <x:c r="C2221" s="18" t="str">
        <x:v>【沪村小电】金悦学府2号站</x:v>
      </x:c>
      <x:c r="D2221" s="37" t="str">
        <x:v>2</x:v>
      </x:c>
      <x:c r="E2221" s="37" t="str">
        <x:v>0</x:v>
      </x:c>
      <x:c r="F2221" s="37" t="str">
        <x:v>21</x:v>
      </x:c>
      <x:c r="G2221" s="37" t="str">
        <x:v>553.09</x:v>
      </x:c>
      <x:c r="H2221" s="37" t="str">
        <x:v>0.00</x:v>
      </x:c>
      <x:c r="I2221" s="37" t="str">
        <x:v>0.00</x:v>
      </x:c>
      <x:c r="J2221" s="37" t="str">
        <x:v>553.09</x:v>
      </x:c>
      <x:c r="K2221" s="37" t="str">
        <x:v>0.00</x:v>
      </x:c>
      <x:c r="L2221" s="37" t="str">
        <x:v>855</x:v>
      </x:c>
      <x:c r="M2221" s="29" t="str">
        <x:v>433.52</x:v>
      </x:c>
      <x:c r="N2221" s="29" t="str">
        <x:v>309.73</x:v>
      </x:c>
      <x:c r="O2221" s="29" t="str">
        <x:v>123.79</x:v>
      </x:c>
      <x:c r="P2221" s="18" t="str">
        <x:v>2026-07-03</x:v>
      </x:c>
      <x:c r="Q2221" s="36" t="n">
        <x:v>46206</x:v>
      </x:c>
    </x:row>
    <x:row r="2222">
      <x:c r="A2222" s="36" t="str">
        <x:v>2026-07-03</x:v>
      </x:c>
      <x:c r="B2222" s="18" t="str">
        <x:v>101437000_95941</x:v>
      </x:c>
      <x:c r="C2222" s="18" t="str">
        <x:v>【沪村小电】惠诚雅苑</x:v>
      </x:c>
      <x:c r="D2222" s="37" t="str">
        <x:v>4</x:v>
      </x:c>
      <x:c r="E2222" s="37" t="str">
        <x:v>0</x:v>
      </x:c>
      <x:c r="F2222" s="37" t="str">
        <x:v>41</x:v>
      </x:c>
      <x:c r="G2222" s="37" t="str">
        <x:v>1232.90</x:v>
      </x:c>
      <x:c r="H2222" s="37" t="str">
        <x:v>0.00</x:v>
      </x:c>
      <x:c r="I2222" s="37" t="str">
        <x:v>638.37</x:v>
      </x:c>
      <x:c r="J2222" s="37" t="str">
        <x:v>0.00</x:v>
      </x:c>
      <x:c r="K2222" s="37" t="str">
        <x:v>594.53</x:v>
      </x:c>
      <x:c r="L2222" s="37" t="str">
        <x:v>1909</x:v>
      </x:c>
      <x:c r="M2222" s="29" t="str">
        <x:v>867.65</x:v>
      </x:c>
      <x:c r="N2222" s="29" t="str">
        <x:v>560.96</x:v>
      </x:c>
      <x:c r="O2222" s="29" t="str">
        <x:v>306.69</x:v>
      </x:c>
      <x:c r="P2222" s="18" t="str">
        <x:v>2026-07-03</x:v>
      </x:c>
      <x:c r="Q2222" s="36" t="n">
        <x:v>46206</x:v>
      </x:c>
    </x:row>
    <x:row r="2223">
      <x:c r="A2223" s="36" t="str">
        <x:v>2026-07-03</x:v>
      </x:c>
      <x:c r="B2223" s="18" t="str">
        <x:v>101437000_96401</x:v>
      </x:c>
      <x:c r="C2223" s="18" t="str">
        <x:v>【沪村小电】上海联怡枇杷乐园地面站</x:v>
      </x:c>
      <x:c r="D2223" s="37" t="str">
        <x:v>2</x:v>
      </x:c>
      <x:c r="E2223" s="37" t="str">
        <x:v>0</x:v>
      </x:c>
      <x:c r="F2223" s="37" t="str">
        <x:v>9</x:v>
      </x:c>
      <x:c r="G2223" s="37" t="str">
        <x:v>189.11</x:v>
      </x:c>
      <x:c r="H2223" s="37" t="str">
        <x:v>0.00</x:v>
      </x:c>
      <x:c r="I2223" s="37" t="str">
        <x:v>53.83</x:v>
      </x:c>
      <x:c r="J2223" s="37" t="str">
        <x:v>0.00</x:v>
      </x:c>
      <x:c r="K2223" s="37" t="str">
        <x:v>135.29</x:v>
      </x:c>
      <x:c r="L2223" s="37" t="str">
        <x:v>369</x:v>
      </x:c>
      <x:c r="M2223" s="29" t="str">
        <x:v>151.24</x:v>
      </x:c>
      <x:c r="N2223" s="29" t="str">
        <x:v>127.68</x:v>
      </x:c>
      <x:c r="O2223" s="29" t="str">
        <x:v>23.56</x:v>
      </x:c>
      <x:c r="P2223" s="18" t="str">
        <x:v>2026-07-03</x:v>
      </x:c>
      <x:c r="Q2223" s="36" t="n">
        <x:v>46206</x:v>
      </x:c>
    </x:row>
    <x:row r="2224">
      <x:c r="A2224" s="36" t="str">
        <x:v>2026-07-03</x:v>
      </x:c>
      <x:c r="B2224" s="18" t="str">
        <x:v>101437000_96719</x:v>
      </x:c>
      <x:c r="C2224" s="18" t="str">
        <x:v>【沪村小电】四达路220弄充电站</x:v>
      </x:c>
      <x:c r="D2224" s="37" t="str">
        <x:v>2</x:v>
      </x:c>
      <x:c r="E2224" s="37" t="str">
        <x:v>0</x:v>
      </x:c>
      <x:c r="F2224" s="37" t="str">
        <x:v>2</x:v>
      </x:c>
      <x:c r="G2224" s="37" t="str">
        <x:v>75.88</x:v>
      </x:c>
      <x:c r="H2224" s="37" t="str">
        <x:v>0.00</x:v>
      </x:c>
      <x:c r="I2224" s="37" t="str">
        <x:v>55.22</x:v>
      </x:c>
      <x:c r="J2224" s="37" t="str">
        <x:v>0.00</x:v>
      </x:c>
      <x:c r="K2224" s="37" t="str">
        <x:v>20.66</x:v>
      </x:c>
      <x:c r="L2224" s="37" t="str">
        <x:v>79</x:v>
      </x:c>
      <x:c r="M2224" s="29" t="str">
        <x:v>88.80</x:v>
      </x:c>
      <x:c r="N2224" s="29" t="str">
        <x:v>74.94</x:v>
      </x:c>
      <x:c r="O2224" s="29" t="str">
        <x:v>13.86</x:v>
      </x:c>
      <x:c r="P2224" s="18" t="str">
        <x:v>2026-07-03</x:v>
      </x:c>
      <x:c r="Q2224" s="36" t="n">
        <x:v>46206</x:v>
      </x:c>
    </x:row>
    <x:row r="2225">
      <x:c r="A2225" s="36" t="str">
        <x:v>2026-07-03</x:v>
      </x:c>
      <x:c r="B2225" s="18" t="str">
        <x:v>101437000_97421</x:v>
      </x:c>
      <x:c r="C2225" s="18" t="str">
        <x:v>【沪村小电】玉兰清苑二期（小区外）充电站</x:v>
      </x:c>
      <x:c r="D2225" s="37" t="str">
        <x:v>4</x:v>
      </x:c>
      <x:c r="E2225" s="37" t="str">
        <x:v>0</x:v>
      </x:c>
      <x:c r="F2225" s="37" t="str">
        <x:v>40</x:v>
      </x:c>
      <x:c r="G2225" s="37" t="str">
        <x:v>520.25</x:v>
      </x:c>
      <x:c r="H2225" s="37" t="str">
        <x:v>0.00</x:v>
      </x:c>
      <x:c r="I2225" s="37" t="str">
        <x:v>420.73</x:v>
      </x:c>
      <x:c r="J2225" s="37" t="str">
        <x:v>0.00</x:v>
      </x:c>
      <x:c r="K2225" s="37" t="str">
        <x:v>99.52</x:v>
      </x:c>
      <x:c r="L2225" s="37" t="str">
        <x:v>960</x:v>
      </x:c>
      <x:c r="M2225" s="29" t="str">
        <x:v>480.04</x:v>
      </x:c>
      <x:c r="N2225" s="29" t="str">
        <x:v>349.14</x:v>
      </x:c>
      <x:c r="O2225" s="29" t="str">
        <x:v>130.90</x:v>
      </x:c>
      <x:c r="P2225" s="18" t="str">
        <x:v>2026-07-03</x:v>
      </x:c>
      <x:c r="Q2225" s="36" t="n">
        <x:v>46206</x:v>
      </x:c>
    </x:row>
    <x:row r="2226">
      <x:c r="A2226" s="36" t="str">
        <x:v>2026-07-03</x:v>
      </x:c>
      <x:c r="B2226" s="18" t="str">
        <x:v>101437000_98013</x:v>
      </x:c>
      <x:c r="C2226" s="18" t="str">
        <x:v>【沪村小电】恒大滨江华府充电站</x:v>
      </x:c>
      <x:c r="D2226" s="37" t="str">
        <x:v>4</x:v>
      </x:c>
      <x:c r="E2226" s="37" t="str">
        <x:v>0</x:v>
      </x:c>
      <x:c r="F2226" s="37" t="str">
        <x:v>29</x:v>
      </x:c>
      <x:c r="G2226" s="37" t="str">
        <x:v>596.01</x:v>
      </x:c>
      <x:c r="H2226" s="37" t="str">
        <x:v>0.00</x:v>
      </x:c>
      <x:c r="I2226" s="37" t="str">
        <x:v>342.05</x:v>
      </x:c>
      <x:c r="J2226" s="37" t="str">
        <x:v>0.00</x:v>
      </x:c>
      <x:c r="K2226" s="37" t="str">
        <x:v>253.96</x:v>
      </x:c>
      <x:c r="L2226" s="37" t="str">
        <x:v>1072</x:v>
      </x:c>
      <x:c r="M2226" s="29" t="str">
        <x:v>595.99</x:v>
      </x:c>
      <x:c r="N2226" s="29" t="str">
        <x:v>490.34</x:v>
      </x:c>
      <x:c r="O2226" s="29" t="str">
        <x:v>105.65</x:v>
      </x:c>
      <x:c r="P2226" s="18" t="str">
        <x:v>2026-07-03</x:v>
      </x:c>
      <x:c r="Q2226" s="36" t="n">
        <x:v>46206</x:v>
      </x:c>
    </x:row>
    <x:row r="2227">
      <x:c r="A2227" s="36" t="str">
        <x:v>2026-07-03</x:v>
      </x:c>
      <x:c r="B2227" s="18" t="str">
        <x:v>101437000_98865</x:v>
      </x:c>
      <x:c r="C2227" s="18" t="str">
        <x:v>【沪村小电】欣松苑充电站</x:v>
      </x:c>
      <x:c r="D2227" s="37" t="str">
        <x:v>4</x:v>
      </x:c>
      <x:c r="E2227" s="37" t="str">
        <x:v>0</x:v>
      </x:c>
      <x:c r="F2227" s="37" t="str">
        <x:v>17</x:v>
      </x:c>
      <x:c r="G2227" s="37" t="str">
        <x:v>511.28</x:v>
      </x:c>
      <x:c r="H2227" s="37" t="str">
        <x:v>0.00</x:v>
      </x:c>
      <x:c r="I2227" s="37" t="str">
        <x:v>502.47</x:v>
      </x:c>
      <x:c r="J2227" s="37" t="str">
        <x:v>0.00</x:v>
      </x:c>
      <x:c r="K2227" s="37" t="str">
        <x:v>8.81</x:v>
      </x:c>
      <x:c r="L2227" s="37" t="str">
        <x:v>803</x:v>
      </x:c>
      <x:c r="M2227" s="29" t="str">
        <x:v>474.58</x:v>
      </x:c>
      <x:c r="N2227" s="29" t="str">
        <x:v>375.19</x:v>
      </x:c>
      <x:c r="O2227" s="29" t="str">
        <x:v>99.39</x:v>
      </x:c>
      <x:c r="P2227" s="18" t="str">
        <x:v>2026-07-03</x:v>
      </x:c>
      <x:c r="Q2227" s="36" t="n">
        <x:v>46206</x:v>
      </x:c>
    </x:row>
    <x:row r="2228">
      <x:c r="A2228" s="36" t="str">
        <x:v>2026-07-03</x:v>
      </x:c>
      <x:c r="B2228" s="18" t="str">
        <x:v>101437000_98867</x:v>
      </x:c>
      <x:c r="C2228" s="18" t="str">
        <x:v>【沪村小电】欣荷苑充电站</x:v>
      </x:c>
      <x:c r="D2228" s="37" t="str">
        <x:v>4</x:v>
      </x:c>
      <x:c r="E2228" s="37" t="str">
        <x:v>0</x:v>
      </x:c>
      <x:c r="F2228" s="37" t="str">
        <x:v>14</x:v>
      </x:c>
      <x:c r="G2228" s="37" t="str">
        <x:v>447.20</x:v>
      </x:c>
      <x:c r="H2228" s="37" t="str">
        <x:v>0.00</x:v>
      </x:c>
      <x:c r="I2228" s="37" t="str">
        <x:v>412.39</x:v>
      </x:c>
      <x:c r="J2228" s="37" t="str">
        <x:v>0.00</x:v>
      </x:c>
      <x:c r="K2228" s="37" t="str">
        <x:v>34.81</x:v>
      </x:c>
      <x:c r="L2228" s="37" t="str">
        <x:v>602</x:v>
      </x:c>
      <x:c r="M2228" s="29" t="str">
        <x:v>413.90</x:v>
      </x:c>
      <x:c r="N2228" s="29" t="str">
        <x:v>318.40</x:v>
      </x:c>
      <x:c r="O2228" s="29" t="str">
        <x:v>95.50</x:v>
      </x:c>
      <x:c r="P2228" s="18" t="str">
        <x:v>2026-07-03</x:v>
      </x:c>
      <x:c r="Q2228" s="36" t="n">
        <x:v>46206</x:v>
      </x:c>
    </x:row>
    <x:row r="2229">
      <x:c r="A2229" s="36" t="str">
        <x:v>2026-07-03</x:v>
      </x:c>
      <x:c r="B2229" s="18" t="str">
        <x:v>101437000_99885</x:v>
      </x:c>
      <x:c r="C2229" s="18" t="str">
        <x:v>【沪村小电】汇丰馨苑充电站</x:v>
      </x:c>
      <x:c r="D2229" s="37" t="str">
        <x:v>4</x:v>
      </x:c>
      <x:c r="E2229" s="37" t="str">
        <x:v>0</x:v>
      </x:c>
      <x:c r="F2229" s="37" t="str">
        <x:v>8</x:v>
      </x:c>
      <x:c r="G2229" s="37" t="str">
        <x:v>124.53</x:v>
      </x:c>
      <x:c r="H2229" s="37" t="str">
        <x:v>28.65</x:v>
      </x:c>
      <x:c r="I2229" s="37" t="str">
        <x:v>31.06</x:v>
      </x:c>
      <x:c r="J2229" s="37" t="str">
        <x:v>31.02</x:v>
      </x:c>
      <x:c r="K2229" s="37" t="str">
        <x:v>33.79</x:v>
      </x:c>
      <x:c r="L2229" s="37" t="str">
        <x:v>174</x:v>
      </x:c>
      <x:c r="M2229" s="29" t="str">
        <x:v>143.60</x:v>
      </x:c>
      <x:c r="N2229" s="29" t="str">
        <x:v>115.58</x:v>
      </x:c>
      <x:c r="O2229" s="29" t="str">
        <x:v>28.02</x:v>
      </x:c>
      <x:c r="P2229" s="18" t="str">
        <x:v>2026-07-03</x:v>
      </x:c>
      <x:c r="Q2229" s="36" t="n">
        <x:v>46206</x:v>
      </x:c>
    </x:row>
    <x:row r="2230">
      <x:c r="A2230" s="36" t="str">
        <x:v>2026-07-03</x:v>
      </x:c>
      <x:c r="B2230" s="18" t="str">
        <x:v>101437000_99887</x:v>
      </x:c>
      <x:c r="C2230" s="18" t="str">
        <x:v>【沪村小电】新南村河南小区充电站</x:v>
      </x:c>
      <x:c r="D2230" s="37" t="str">
        <x:v>2</x:v>
      </x:c>
      <x:c r="E2230" s="37" t="str">
        <x:v>0</x:v>
      </x:c>
      <x:c r="F2230" s="37" t="str">
        <x:v>24</x:v>
      </x:c>
      <x:c r="G2230" s="37" t="str">
        <x:v>590.87</x:v>
      </x:c>
      <x:c r="H2230" s="37" t="str">
        <x:v>0.00</x:v>
      </x:c>
      <x:c r="I2230" s="37" t="str">
        <x:v>289.20</x:v>
      </x:c>
      <x:c r="J2230" s="37" t="str">
        <x:v>0.00</x:v>
      </x:c>
      <x:c r="K2230" s="37" t="str">
        <x:v>301.67</x:v>
      </x:c>
      <x:c r="L2230" s="37" t="str">
        <x:v>800</x:v>
      </x:c>
      <x:c r="M2230" s="29" t="str">
        <x:v>448.84</x:v>
      </x:c>
      <x:c r="N2230" s="29" t="str">
        <x:v>328.64</x:v>
      </x:c>
      <x:c r="O2230" s="29" t="str">
        <x:v>120.20</x:v>
      </x:c>
      <x:c r="P2230" s="18" t="str">
        <x:v>2026-07-03</x:v>
      </x:c>
      <x:c r="Q2230" s="36" t="n">
        <x:v>46206</x:v>
      </x:c>
    </x:row>
    <x:row r="2231">
      <x:c r="A2231" s="36" t="str">
        <x:v>2026-07-03</x:v>
      </x:c>
      <x:c r="B2231" s="18" t="str">
        <x:v>101437000_99889</x:v>
      </x:c>
      <x:c r="C2231" s="18" t="str">
        <x:v>【沪村小电】漕泾郊野公园</x:v>
      </x:c>
      <x:c r="D2231" s="37" t="str">
        <x:v>2</x:v>
      </x:c>
      <x:c r="E2231" s="37" t="str">
        <x:v>0</x:v>
      </x:c>
      <x:c r="F2231" s="37" t="str">
        <x:v>11</x:v>
      </x:c>
      <x:c r="G2231" s="37" t="str">
        <x:v>308.53</x:v>
      </x:c>
      <x:c r="H2231" s="37" t="str">
        <x:v>0.00</x:v>
      </x:c>
      <x:c r="I2231" s="37" t="str">
        <x:v>152.24</x:v>
      </x:c>
      <x:c r="J2231" s="37" t="str">
        <x:v>137.57</x:v>
      </x:c>
      <x:c r="K2231" s="37" t="str">
        <x:v>18.72</x:v>
      </x:c>
      <x:c r="L2231" s="37" t="str">
        <x:v>399</x:v>
      </x:c>
      <x:c r="M2231" s="29" t="str">
        <x:v>335.42</x:v>
      </x:c>
      <x:c r="N2231" s="29" t="str">
        <x:v>254.41</x:v>
      </x:c>
      <x:c r="O2231" s="29" t="str">
        <x:v>81.01</x:v>
      </x:c>
      <x:c r="P2231" s="18" t="str">
        <x:v>2026-07-03</x:v>
      </x:c>
      <x:c r="Q2231" s="36" t="n">
        <x:v>46206</x:v>
      </x:c>
    </x:row>
    <x:row r="2232">
      <x:c r="A2232" s="36" t="str">
        <x:v>2026-07-03</x:v>
      </x:c>
      <x:c r="B2232" s="18" t="str">
        <x:v>101437000_99891</x:v>
      </x:c>
      <x:c r="C2232" s="18" t="str">
        <x:v>【沪村小电】水韵紫城充电站</x:v>
      </x:c>
      <x:c r="D2232" s="37" t="str">
        <x:v>4</x:v>
      </x:c>
      <x:c r="E2232" s="37" t="str">
        <x:v>0</x:v>
      </x:c>
      <x:c r="F2232" s="37" t="str">
        <x:v>14</x:v>
      </x:c>
      <x:c r="G2232" s="37" t="str">
        <x:v>309.22</x:v>
      </x:c>
      <x:c r="H2232" s="37" t="str">
        <x:v>0.00</x:v>
      </x:c>
      <x:c r="I2232" s="37" t="str">
        <x:v>218.58</x:v>
      </x:c>
      <x:c r="J2232" s="37" t="str">
        <x:v>0.00</x:v>
      </x:c>
      <x:c r="K2232" s="37" t="str">
        <x:v>90.64</x:v>
      </x:c>
      <x:c r="L2232" s="37" t="str">
        <x:v>452</x:v>
      </x:c>
      <x:c r="M2232" s="29" t="str">
        <x:v>303.72</x:v>
      </x:c>
      <x:c r="N2232" s="29" t="str">
        <x:v>196.18</x:v>
      </x:c>
      <x:c r="O2232" s="29" t="str">
        <x:v>107.54</x:v>
      </x:c>
      <x:c r="P2232" s="18" t="str">
        <x:v>2026-07-03</x:v>
      </x:c>
      <x:c r="Q2232" s="36" t="n">
        <x:v>46206</x:v>
      </x:c>
    </x:row>
    <x:row r="2233">
      <x:c r="A2233" s="36" t="str">
        <x:v>2026-07-02</x:v>
      </x:c>
      <x:c r="B2233" s="18" t="str">
        <x:v>101437000_41561</x:v>
      </x:c>
      <x:c r="C2233" s="18" t="str">
        <x:v>【沪村小电】张施小区大门处快充站</x:v>
      </x:c>
      <x:c r="D2233" s="37" t="str">
        <x:v>2</x:v>
      </x:c>
      <x:c r="E2233" s="37" t="str">
        <x:v>0</x:v>
      </x:c>
      <x:c r="F2233" s="37" t="str">
        <x:v>61</x:v>
      </x:c>
      <x:c r="G2233" s="37" t="str">
        <x:v>1574.02</x:v>
      </x:c>
      <x:c r="H2233" s="37" t="str">
        <x:v>0.00</x:v>
      </x:c>
      <x:c r="I2233" s="37" t="str">
        <x:v>877.63</x:v>
      </x:c>
      <x:c r="J2233" s="37" t="str">
        <x:v>0.00</x:v>
      </x:c>
      <x:c r="K2233" s="37" t="str">
        <x:v>696.39</x:v>
      </x:c>
      <x:c r="L2233" s="37" t="str">
        <x:v>2682</x:v>
      </x:c>
      <x:c r="M2233" s="29" t="str">
        <x:v>1231.25</x:v>
      </x:c>
      <x:c r="N2233" s="29" t="str">
        <x:v>914.02</x:v>
      </x:c>
      <x:c r="O2233" s="29" t="str">
        <x:v>317.23</x:v>
      </x:c>
      <x:c r="P2233" s="18" t="str">
        <x:v>2026-07-02</x:v>
      </x:c>
      <x:c r="Q2233" s="36" t="n">
        <x:v>46205</x:v>
      </x:c>
    </x:row>
    <x:row r="2234">
      <x:c r="A2234" s="36" t="str">
        <x:v>2026-07-02</x:v>
      </x:c>
      <x:c r="B2234" s="18" t="str">
        <x:v>101437000_41563</x:v>
      </x:c>
      <x:c r="C2234" s="18" t="str">
        <x:v>【沪村小电】同心村快充站</x:v>
      </x:c>
      <x:c r="D2234" s="37" t="str">
        <x:v>4</x:v>
      </x:c>
      <x:c r="E2234" s="37" t="str">
        <x:v>0</x:v>
      </x:c>
      <x:c r="F2234" s="37" t="str">
        <x:v>62</x:v>
      </x:c>
      <x:c r="G2234" s="37" t="str">
        <x:v>1206.20</x:v>
      </x:c>
      <x:c r="H2234" s="37" t="str">
        <x:v>0.00</x:v>
      </x:c>
      <x:c r="I2234" s="37" t="str">
        <x:v>922.76</x:v>
      </x:c>
      <x:c r="J2234" s="37" t="str">
        <x:v>0.00</x:v>
      </x:c>
      <x:c r="K2234" s="37" t="str">
        <x:v>283.44</x:v>
      </x:c>
      <x:c r="L2234" s="37" t="str">
        <x:v>3102</x:v>
      </x:c>
      <x:c r="M2234" s="29" t="str">
        <x:v>1060.52</x:v>
      </x:c>
      <x:c r="N2234" s="29" t="str">
        <x:v>738.73</x:v>
      </x:c>
      <x:c r="O2234" s="29" t="str">
        <x:v>321.79</x:v>
      </x:c>
      <x:c r="P2234" s="18" t="str">
        <x:v>2026-07-02</x:v>
      </x:c>
      <x:c r="Q2234" s="36" t="n">
        <x:v>46205</x:v>
      </x:c>
    </x:row>
    <x:row r="2235">
      <x:c r="A2235" s="36" t="str">
        <x:v>2026-07-02</x:v>
      </x:c>
      <x:c r="B2235" s="18" t="str">
        <x:v>101437000_69629</x:v>
      </x:c>
      <x:c r="C2235" s="18" t="str">
        <x:v>【沪村小电】骏丰玲珑坊西苑充电站</x:v>
      </x:c>
      <x:c r="D2235" s="37" t="str">
        <x:v>2</x:v>
      </x:c>
      <x:c r="E2235" s="37" t="str">
        <x:v>0</x:v>
      </x:c>
      <x:c r="F2235" s="37" t="str">
        <x:v>70</x:v>
      </x:c>
      <x:c r="G2235" s="37" t="str">
        <x:v>1490.63</x:v>
      </x:c>
      <x:c r="H2235" s="37" t="str">
        <x:v>0.00</x:v>
      </x:c>
      <x:c r="I2235" s="37" t="str">
        <x:v>932.00</x:v>
      </x:c>
      <x:c r="J2235" s="37" t="str">
        <x:v>0.00</x:v>
      </x:c>
      <x:c r="K2235" s="37" t="str">
        <x:v>558.63</x:v>
      </x:c>
      <x:c r="L2235" s="37" t="str">
        <x:v>2630</x:v>
      </x:c>
      <x:c r="M2235" s="29" t="str">
        <x:v>1205.14</x:v>
      </x:c>
      <x:c r="N2235" s="29" t="str">
        <x:v>901.92</x:v>
      </x:c>
      <x:c r="O2235" s="29" t="str">
        <x:v>303.22</x:v>
      </x:c>
      <x:c r="P2235" s="18" t="str">
        <x:v>2026-07-02</x:v>
      </x:c>
      <x:c r="Q2235" s="36" t="n">
        <x:v>46205</x:v>
      </x:c>
    </x:row>
    <x:row r="2236">
      <x:c r="A2236" s="36" t="str">
        <x:v>2026-07-02</x:v>
      </x:c>
      <x:c r="B2236" s="18" t="str">
        <x:v>101437000_70547</x:v>
      </x:c>
      <x:c r="C2236" s="18" t="str">
        <x:v>【沪村小电】农建村初心馆党群服务中心充电站</x:v>
      </x:c>
      <x:c r="D2236" s="37" t="str">
        <x:v>4</x:v>
      </x:c>
      <x:c r="E2236" s="37" t="str">
        <x:v>0</x:v>
      </x:c>
      <x:c r="F2236" s="37" t="str">
        <x:v>19</x:v>
      </x:c>
      <x:c r="G2236" s="37" t="str">
        <x:v>469.16</x:v>
      </x:c>
      <x:c r="H2236" s="37" t="str">
        <x:v>0.00</x:v>
      </x:c>
      <x:c r="I2236" s="37" t="str">
        <x:v>270.69</x:v>
      </x:c>
      <x:c r="J2236" s="37" t="str">
        <x:v>0.00</x:v>
      </x:c>
      <x:c r="K2236" s="37" t="str">
        <x:v>198.47</x:v>
      </x:c>
      <x:c r="L2236" s="37" t="str">
        <x:v>733</x:v>
      </x:c>
      <x:c r="M2236" s="29" t="str">
        <x:v>457.46</x:v>
      </x:c>
      <x:c r="N2236" s="29" t="str">
        <x:v>386.73</x:v>
      </x:c>
      <x:c r="O2236" s="29" t="str">
        <x:v>70.73</x:v>
      </x:c>
      <x:c r="P2236" s="18" t="str">
        <x:v>2026-07-02</x:v>
      </x:c>
      <x:c r="Q2236" s="36" t="n">
        <x:v>46205</x:v>
      </x:c>
    </x:row>
    <x:row r="2237">
      <x:c r="A2237" s="36" t="str">
        <x:v>2026-07-02</x:v>
      </x:c>
      <x:c r="B2237" s="18" t="str">
        <x:v>101437000_70549</x:v>
      </x:c>
      <x:c r="C2237" s="18" t="str">
        <x:v>【沪村小电】学府路充电站</x:v>
      </x:c>
      <x:c r="D2237" s="37" t="str">
        <x:v>2</x:v>
      </x:c>
      <x:c r="E2237" s="37" t="str">
        <x:v>0</x:v>
      </x:c>
      <x:c r="F2237" s="37" t="str">
        <x:v>9</x:v>
      </x:c>
      <x:c r="G2237" s="37" t="str">
        <x:v>199.41</x:v>
      </x:c>
      <x:c r="H2237" s="37" t="str">
        <x:v>0.00</x:v>
      </x:c>
      <x:c r="I2237" s="37" t="str">
        <x:v>140.65</x:v>
      </x:c>
      <x:c r="J2237" s="37" t="str">
        <x:v>0.00</x:v>
      </x:c>
      <x:c r="K2237" s="37" t="str">
        <x:v>58.76</x:v>
      </x:c>
      <x:c r="L2237" s="37" t="str">
        <x:v>372</x:v>
      </x:c>
      <x:c r="M2237" s="29" t="str">
        <x:v>202.26</x:v>
      </x:c>
      <x:c r="N2237" s="29" t="str">
        <x:v>177.41</x:v>
      </x:c>
      <x:c r="O2237" s="29" t="str">
        <x:v>24.85</x:v>
      </x:c>
      <x:c r="P2237" s="18" t="str">
        <x:v>2026-07-02</x:v>
      </x:c>
      <x:c r="Q2237" s="36" t="n">
        <x:v>46205</x:v>
      </x:c>
    </x:row>
    <x:row r="2238">
      <x:c r="A2238" s="36" t="str">
        <x:v>2026-07-02</x:v>
      </x:c>
      <x:c r="B2238" s="18" t="str">
        <x:v>101437000_71059</x:v>
      </x:c>
      <x:c r="C2238" s="18" t="str">
        <x:v>【沪村小电】宝乐汇商业广场站</x:v>
      </x:c>
      <x:c r="D2238" s="37" t="str">
        <x:v>4</x:v>
      </x:c>
      <x:c r="E2238" s="37" t="str">
        <x:v>0</x:v>
      </x:c>
      <x:c r="F2238" s="37" t="str">
        <x:v>7</x:v>
      </x:c>
      <x:c r="G2238" s="37" t="str">
        <x:v>127.35</x:v>
      </x:c>
      <x:c r="H2238" s="37" t="str">
        <x:v>0.00</x:v>
      </x:c>
      <x:c r="I2238" s="37" t="str">
        <x:v>27.64</x:v>
      </x:c>
      <x:c r="J2238" s="37" t="str">
        <x:v>40.70</x:v>
      </x:c>
      <x:c r="K2238" s="37" t="str">
        <x:v>59.01</x:v>
      </x:c>
      <x:c r="L2238" s="37" t="str">
        <x:v>184</x:v>
      </x:c>
      <x:c r="M2238" s="29" t="str">
        <x:v>115.12</x:v>
      </x:c>
      <x:c r="N2238" s="29" t="str">
        <x:v>83.36</x:v>
      </x:c>
      <x:c r="O2238" s="29" t="str">
        <x:v>31.76</x:v>
      </x:c>
      <x:c r="P2238" s="18" t="str">
        <x:v>2026-07-02</x:v>
      </x:c>
      <x:c r="Q2238" s="36" t="n">
        <x:v>46205</x:v>
      </x:c>
    </x:row>
    <x:row r="2239">
      <x:c r="A2239" s="36" t="str">
        <x:v>2026-07-02</x:v>
      </x:c>
      <x:c r="B2239" s="18" t="str">
        <x:v>101437000_72541</x:v>
      </x:c>
      <x:c r="C2239" s="18" t="str">
        <x:v>【沪村小电】九干路1174弄充电站</x:v>
      </x:c>
      <x:c r="D2239" s="37" t="str">
        <x:v>2</x:v>
      </x:c>
      <x:c r="E2239" s="37" t="str">
        <x:v>0</x:v>
      </x:c>
      <x:c r="F2239" s="37" t="str">
        <x:v>63</x:v>
      </x:c>
      <x:c r="G2239" s="37" t="str">
        <x:v>593.69</x:v>
      </x:c>
      <x:c r="H2239" s="37" t="str">
        <x:v>0.00</x:v>
      </x:c>
      <x:c r="I2239" s="37" t="str">
        <x:v>447.12</x:v>
      </x:c>
      <x:c r="J2239" s="37" t="str">
        <x:v>0.00</x:v>
      </x:c>
      <x:c r="K2239" s="37" t="str">
        <x:v>146.57</x:v>
      </x:c>
      <x:c r="L2239" s="37" t="str">
        <x:v>988</x:v>
      </x:c>
      <x:c r="M2239" s="29" t="str">
        <x:v>557.85</x:v>
      </x:c>
      <x:c r="N2239" s="29" t="str">
        <x:v>386.55</x:v>
      </x:c>
      <x:c r="O2239" s="29" t="str">
        <x:v>171.30</x:v>
      </x:c>
      <x:c r="P2239" s="18" t="str">
        <x:v>2026-07-02</x:v>
      </x:c>
      <x:c r="Q2239" s="36" t="n">
        <x:v>46205</x:v>
      </x:c>
    </x:row>
    <x:row r="2240">
      <x:c r="A2240" s="36" t="str">
        <x:v>2026-07-02</x:v>
      </x:c>
      <x:c r="B2240" s="18" t="str">
        <x:v>101437000_72543</x:v>
      </x:c>
      <x:c r="C2240" s="18" t="str">
        <x:v>【沪村小电】叶家中心村小区充电站</x:v>
      </x:c>
      <x:c r="D2240" s="37" t="str">
        <x:v>2</x:v>
      </x:c>
      <x:c r="E2240" s="37" t="str">
        <x:v>0</x:v>
      </x:c>
      <x:c r="F2240" s="37" t="str">
        <x:v>37</x:v>
      </x:c>
      <x:c r="G2240" s="37" t="str">
        <x:v>827.77</x:v>
      </x:c>
      <x:c r="H2240" s="37" t="str">
        <x:v>0.00</x:v>
      </x:c>
      <x:c r="I2240" s="37" t="str">
        <x:v>510.84</x:v>
      </x:c>
      <x:c r="J2240" s="37" t="str">
        <x:v>0.00</x:v>
      </x:c>
      <x:c r="K2240" s="37" t="str">
        <x:v>316.93</x:v>
      </x:c>
      <x:c r="L2240" s="37" t="str">
        <x:v>1567</x:v>
      </x:c>
      <x:c r="M2240" s="29" t="str">
        <x:v>676.83</x:v>
      </x:c>
      <x:c r="N2240" s="29" t="str">
        <x:v>498.48</x:v>
      </x:c>
      <x:c r="O2240" s="29" t="str">
        <x:v>178.35</x:v>
      </x:c>
      <x:c r="P2240" s="18" t="str">
        <x:v>2026-07-02</x:v>
      </x:c>
      <x:c r="Q2240" s="36" t="n">
        <x:v>46205</x:v>
      </x:c>
    </x:row>
    <x:row r="2241">
      <x:c r="A2241" s="36" t="str">
        <x:v>2026-07-02</x:v>
      </x:c>
      <x:c r="B2241" s="18" t="str">
        <x:v>101437000_72937</x:v>
      </x:c>
      <x:c r="C2241" s="18" t="str">
        <x:v>【沪村小电】佘北家园茸腾苑充电站</x:v>
      </x:c>
      <x:c r="D2241" s="37" t="str">
        <x:v>4</x:v>
      </x:c>
      <x:c r="E2241" s="37" t="str">
        <x:v>0</x:v>
      </x:c>
      <x:c r="F2241" s="37" t="str">
        <x:v>22</x:v>
      </x:c>
      <x:c r="G2241" s="37" t="str">
        <x:v>524.73</x:v>
      </x:c>
      <x:c r="H2241" s="37" t="str">
        <x:v>0.00</x:v>
      </x:c>
      <x:c r="I2241" s="37" t="str">
        <x:v>524.73</x:v>
      </x:c>
      <x:c r="J2241" s="37" t="str">
        <x:v>0.00</x:v>
      </x:c>
      <x:c r="K2241" s="37" t="str">
        <x:v>0.00</x:v>
      </x:c>
      <x:c r="L2241" s="37" t="str">
        <x:v>934</x:v>
      </x:c>
      <x:c r="M2241" s="29" t="str">
        <x:v>482.06</x:v>
      </x:c>
      <x:c r="N2241" s="29" t="str">
        <x:v>388.29</x:v>
      </x:c>
      <x:c r="O2241" s="29" t="str">
        <x:v>93.77</x:v>
      </x:c>
      <x:c r="P2241" s="18" t="str">
        <x:v>2026-07-02</x:v>
      </x:c>
      <x:c r="Q2241" s="36" t="n">
        <x:v>46205</x:v>
      </x:c>
    </x:row>
    <x:row r="2242">
      <x:c r="A2242" s="36" t="str">
        <x:v>2026-07-02</x:v>
      </x:c>
      <x:c r="B2242" s="18" t="str">
        <x:v>101437000_74223</x:v>
      </x:c>
      <x:c r="C2242" s="18" t="str">
        <x:v>【沪村小电】中兴村委会充电站</x:v>
      </x:c>
      <x:c r="D2242" s="37" t="str">
        <x:v>2</x:v>
      </x:c>
      <x:c r="E2242" s="37" t="str">
        <x:v>0</x:v>
      </x:c>
      <x:c r="F2242" s="37" t="str">
        <x:v>17</x:v>
      </x:c>
      <x:c r="G2242" s="37" t="str">
        <x:v>477.72</x:v>
      </x:c>
      <x:c r="H2242" s="37" t="str">
        <x:v>0.00</x:v>
      </x:c>
      <x:c r="I2242" s="37" t="str">
        <x:v>209.77</x:v>
      </x:c>
      <x:c r="J2242" s="37" t="str">
        <x:v>0.00</x:v>
      </x:c>
      <x:c r="K2242" s="37" t="str">
        <x:v>267.95</x:v>
      </x:c>
      <x:c r="L2242" s="37" t="str">
        <x:v>716</x:v>
      </x:c>
      <x:c r="M2242" s="29" t="str">
        <x:v>412.65</x:v>
      </x:c>
      <x:c r="N2242" s="29" t="str">
        <x:v>360.16</x:v>
      </x:c>
      <x:c r="O2242" s="29" t="str">
        <x:v>52.49</x:v>
      </x:c>
      <x:c r="P2242" s="18" t="str">
        <x:v>2026-07-02</x:v>
      </x:c>
      <x:c r="Q2242" s="36" t="n">
        <x:v>46205</x:v>
      </x:c>
    </x:row>
    <x:row r="2243">
      <x:c r="A2243" s="36" t="str">
        <x:v>2026-07-02</x:v>
      </x:c>
      <x:c r="B2243" s="18" t="str">
        <x:v>101437000_74801</x:v>
      </x:c>
      <x:c r="C2243" s="18" t="str">
        <x:v>【沪村小电】申良花园充电站</x:v>
      </x:c>
      <x:c r="D2243" s="37" t="str">
        <x:v>4</x:v>
      </x:c>
      <x:c r="E2243" s="37" t="str">
        <x:v>0</x:v>
      </x:c>
      <x:c r="F2243" s="37" t="str">
        <x:v>8</x:v>
      </x:c>
      <x:c r="G2243" s="37" t="str">
        <x:v>198.69</x:v>
      </x:c>
      <x:c r="H2243" s="37" t="str">
        <x:v>0.00</x:v>
      </x:c>
      <x:c r="I2243" s="37" t="str">
        <x:v>198.69</x:v>
      </x:c>
      <x:c r="J2243" s="37" t="str">
        <x:v>0.00</x:v>
      </x:c>
      <x:c r="K2243" s="37" t="str">
        <x:v>0.00</x:v>
      </x:c>
      <x:c r="L2243" s="37" t="str">
        <x:v>274</x:v>
      </x:c>
      <x:c r="M2243" s="29" t="str">
        <x:v>242.27</x:v>
      </x:c>
      <x:c r="N2243" s="29" t="str">
        <x:v>147.02</x:v>
      </x:c>
      <x:c r="O2243" s="29" t="str">
        <x:v>95.25</x:v>
      </x:c>
      <x:c r="P2243" s="18" t="str">
        <x:v>2026-07-02</x:v>
      </x:c>
      <x:c r="Q2243" s="36" t="n">
        <x:v>46205</x:v>
      </x:c>
    </x:row>
    <x:row r="2244">
      <x:c r="A2244" s="36" t="str">
        <x:v>2026-07-02</x:v>
      </x:c>
      <x:c r="B2244" s="18" t="str">
        <x:v>101437000_74931</x:v>
      </x:c>
      <x:c r="C2244" s="18" t="str">
        <x:v>【沪村小电】枫雅南居充电站</x:v>
      </x:c>
      <x:c r="D2244" s="37" t="str">
        <x:v>2</x:v>
      </x:c>
      <x:c r="E2244" s="37" t="str">
        <x:v>0</x:v>
      </x:c>
      <x:c r="F2244" s="37" t="str">
        <x:v>8</x:v>
      </x:c>
      <x:c r="G2244" s="37" t="str">
        <x:v>197.56</x:v>
      </x:c>
      <x:c r="H2244" s="37" t="str">
        <x:v>0.00</x:v>
      </x:c>
      <x:c r="I2244" s="37" t="str">
        <x:v>142.93</x:v>
      </x:c>
      <x:c r="J2244" s="37" t="str">
        <x:v>0.00</x:v>
      </x:c>
      <x:c r="K2244" s="37" t="str">
        <x:v>54.63</x:v>
      </x:c>
      <x:c r="L2244" s="37" t="str">
        <x:v>322</x:v>
      </x:c>
      <x:c r="M2244" s="29" t="str">
        <x:v>153.80</x:v>
      </x:c>
      <x:c r="N2244" s="29" t="str">
        <x:v>101.26</x:v>
      </x:c>
      <x:c r="O2244" s="29" t="str">
        <x:v>52.54</x:v>
      </x:c>
      <x:c r="P2244" s="18" t="str">
        <x:v>2026-07-02</x:v>
      </x:c>
      <x:c r="Q2244" s="36" t="n">
        <x:v>46205</x:v>
      </x:c>
    </x:row>
    <x:row r="2245">
      <x:c r="A2245" s="36" t="str">
        <x:v>2026-07-02</x:v>
      </x:c>
      <x:c r="B2245" s="18" t="str">
        <x:v>101437000_75901</x:v>
      </x:c>
      <x:c r="C2245" s="18" t="str">
        <x:v>【沪村小电】金悦学府</x:v>
      </x:c>
      <x:c r="D2245" s="37" t="str">
        <x:v>2</x:v>
      </x:c>
      <x:c r="E2245" s="37" t="str">
        <x:v>0</x:v>
      </x:c>
      <x:c r="F2245" s="37" t="str">
        <x:v>38</x:v>
      </x:c>
      <x:c r="G2245" s="37" t="str">
        <x:v>635.23</x:v>
      </x:c>
      <x:c r="H2245" s="37" t="str">
        <x:v>0.00</x:v>
      </x:c>
      <x:c r="I2245" s="37" t="str">
        <x:v>340.06</x:v>
      </x:c>
      <x:c r="J2245" s="37" t="str">
        <x:v>0.00</x:v>
      </x:c>
      <x:c r="K2245" s="37" t="str">
        <x:v>295.17</x:v>
      </x:c>
      <x:c r="L2245" s="37" t="str">
        <x:v>860</x:v>
      </x:c>
      <x:c r="M2245" s="29" t="str">
        <x:v>477.09</x:v>
      </x:c>
      <x:c r="N2245" s="29" t="str">
        <x:v>292.15</x:v>
      </x:c>
      <x:c r="O2245" s="29" t="str">
        <x:v>184.94</x:v>
      </x:c>
      <x:c r="P2245" s="18" t="str">
        <x:v>2026-07-02</x:v>
      </x:c>
      <x:c r="Q2245" s="36" t="n">
        <x:v>46205</x:v>
      </x:c>
    </x:row>
    <x:row r="2246">
      <x:c r="A2246" s="36" t="str">
        <x:v>2026-07-02</x:v>
      </x:c>
      <x:c r="B2246" s="18" t="str">
        <x:v>101437000_76091</x:v>
      </x:c>
      <x:c r="C2246" s="18" t="str">
        <x:v>【沪村小电】恒信家园充电站</x:v>
      </x:c>
      <x:c r="D2246" s="37" t="str">
        <x:v>2</x:v>
      </x:c>
      <x:c r="E2246" s="37" t="str">
        <x:v>0</x:v>
      </x:c>
      <x:c r="F2246" s="37" t="str">
        <x:v>49</x:v>
      </x:c>
      <x:c r="G2246" s="37" t="str">
        <x:v>1154.76</x:v>
      </x:c>
      <x:c r="H2246" s="37" t="str">
        <x:v>0.00</x:v>
      </x:c>
      <x:c r="I2246" s="37" t="str">
        <x:v>598.76</x:v>
      </x:c>
      <x:c r="J2246" s="37" t="str">
        <x:v>0.00</x:v>
      </x:c>
      <x:c r="K2246" s="37" t="str">
        <x:v>556.00</x:v>
      </x:c>
      <x:c r="L2246" s="37" t="str">
        <x:v>1770</x:v>
      </x:c>
      <x:c r="M2246" s="29" t="str">
        <x:v>1062.54</x:v>
      </x:c>
      <x:c r="N2246" s="29" t="str">
        <x:v>654.35</x:v>
      </x:c>
      <x:c r="O2246" s="29" t="str">
        <x:v>408.19</x:v>
      </x:c>
      <x:c r="P2246" s="18" t="str">
        <x:v>2026-07-02</x:v>
      </x:c>
      <x:c r="Q2246" s="36" t="n">
        <x:v>46205</x:v>
      </x:c>
    </x:row>
    <x:row r="2247">
      <x:c r="A2247" s="36" t="str">
        <x:v>2026-07-02</x:v>
      </x:c>
      <x:c r="B2247" s="18" t="str">
        <x:v>101437000_76417</x:v>
      </x:c>
      <x:c r="C2247" s="18" t="str">
        <x:v>【沪村小电】新春一组充电站</x:v>
      </x:c>
      <x:c r="D2247" s="37" t="str">
        <x:v>2</x:v>
      </x:c>
      <x:c r="E2247" s="37" t="str">
        <x:v>0</x:v>
      </x:c>
      <x:c r="F2247" s="37" t="str">
        <x:v>5</x:v>
      </x:c>
      <x:c r="G2247" s="37" t="str">
        <x:v>85.38</x:v>
      </x:c>
      <x:c r="H2247" s="37" t="str">
        <x:v>0.00</x:v>
      </x:c>
      <x:c r="I2247" s="37" t="str">
        <x:v>84.11</x:v>
      </x:c>
      <x:c r="J2247" s="37" t="str">
        <x:v>0.00</x:v>
      </x:c>
      <x:c r="K2247" s="37" t="str">
        <x:v>1.26</x:v>
      </x:c>
      <x:c r="L2247" s="37" t="str">
        <x:v>90</x:v>
      </x:c>
      <x:c r="M2247" s="29" t="str">
        <x:v>103.85</x:v>
      </x:c>
      <x:c r="N2247" s="29" t="str">
        <x:v>88.15</x:v>
      </x:c>
      <x:c r="O2247" s="29" t="str">
        <x:v>15.70</x:v>
      </x:c>
      <x:c r="P2247" s="18" t="str">
        <x:v>2026-07-02</x:v>
      </x:c>
      <x:c r="Q2247" s="36" t="n">
        <x:v>46205</x:v>
      </x:c>
    </x:row>
    <x:row r="2248">
      <x:c r="A2248" s="36" t="str">
        <x:v>2026-07-02</x:v>
      </x:c>
      <x:c r="B2248" s="18" t="str">
        <x:v>101437000_78235</x:v>
      </x:c>
      <x:c r="C2248" s="18" t="str">
        <x:v>【沪村小电】欣秋苑充电站</x:v>
      </x:c>
      <x:c r="D2248" s="37" t="str">
        <x:v>4</x:v>
      </x:c>
      <x:c r="E2248" s="37" t="str">
        <x:v>0</x:v>
      </x:c>
      <x:c r="F2248" s="37" t="str">
        <x:v>26</x:v>
      </x:c>
      <x:c r="G2248" s="37" t="str">
        <x:v>698.18</x:v>
      </x:c>
      <x:c r="H2248" s="37" t="str">
        <x:v>0.00</x:v>
      </x:c>
      <x:c r="I2248" s="37" t="str">
        <x:v>644.52</x:v>
      </x:c>
      <x:c r="J2248" s="37" t="str">
        <x:v>0.00</x:v>
      </x:c>
      <x:c r="K2248" s="37" t="str">
        <x:v>53.67</x:v>
      </x:c>
      <x:c r="L2248" s="37" t="str">
        <x:v>1130</x:v>
      </x:c>
      <x:c r="M2248" s="29" t="str">
        <x:v>632.51</x:v>
      </x:c>
      <x:c r="N2248" s="29" t="str">
        <x:v>497.34</x:v>
      </x:c>
      <x:c r="O2248" s="29" t="str">
        <x:v>135.17</x:v>
      </x:c>
      <x:c r="P2248" s="18" t="str">
        <x:v>2026-07-02</x:v>
      </x:c>
      <x:c r="Q2248" s="36" t="n">
        <x:v>46205</x:v>
      </x:c>
    </x:row>
    <x:row r="2249">
      <x:c r="A2249" s="36" t="str">
        <x:v>2026-07-02</x:v>
      </x:c>
      <x:c r="B2249" s="18" t="str">
        <x:v>101437000_78237</x:v>
      </x:c>
      <x:c r="C2249" s="18" t="str">
        <x:v>【沪村小电】奉馨苑西门小区内北侧充电站</x:v>
      </x:c>
      <x:c r="D2249" s="37" t="str">
        <x:v>2</x:v>
      </x:c>
      <x:c r="E2249" s="37" t="str">
        <x:v>0</x:v>
      </x:c>
      <x:c r="F2249" s="37" t="str">
        <x:v>34</x:v>
      </x:c>
      <x:c r="G2249" s="37" t="str">
        <x:v>981.72</x:v>
      </x:c>
      <x:c r="H2249" s="37" t="str">
        <x:v>0.00</x:v>
      </x:c>
      <x:c r="I2249" s="37" t="str">
        <x:v>598.47</x:v>
      </x:c>
      <x:c r="J2249" s="37" t="str">
        <x:v>0.00</x:v>
      </x:c>
      <x:c r="K2249" s="37" t="str">
        <x:v>383.26</x:v>
      </x:c>
      <x:c r="L2249" s="37" t="str">
        <x:v>1538</x:v>
      </x:c>
      <x:c r="M2249" s="29" t="str">
        <x:v>820.02</x:v>
      </x:c>
      <x:c r="N2249" s="29" t="str">
        <x:v>588.52</x:v>
      </x:c>
      <x:c r="O2249" s="29" t="str">
        <x:v>231.50</x:v>
      </x:c>
      <x:c r="P2249" s="18" t="str">
        <x:v>2026-07-02</x:v>
      </x:c>
      <x:c r="Q2249" s="36" t="n">
        <x:v>46205</x:v>
      </x:c>
    </x:row>
    <x:row r="2250">
      <x:c r="A2250" s="36" t="str">
        <x:v>2026-07-02</x:v>
      </x:c>
      <x:c r="B2250" s="18" t="str">
        <x:v>101437000_78239</x:v>
      </x:c>
      <x:c r="C2250" s="18" t="str">
        <x:v>【沪村小电】恒大佘山首府东门充电站</x:v>
      </x:c>
      <x:c r="D2250" s="37" t="str">
        <x:v>2</x:v>
      </x:c>
      <x:c r="E2250" s="37" t="str">
        <x:v>0</x:v>
      </x:c>
      <x:c r="F2250" s="37" t="str">
        <x:v>51</x:v>
      </x:c>
      <x:c r="G2250" s="37" t="str">
        <x:v>1350.47</x:v>
      </x:c>
      <x:c r="H2250" s="37" t="str">
        <x:v>0.00</x:v>
      </x:c>
      <x:c r="I2250" s="37" t="str">
        <x:v>680.07</x:v>
      </x:c>
      <x:c r="J2250" s="37" t="str">
        <x:v>0.00</x:v>
      </x:c>
      <x:c r="K2250" s="37" t="str">
        <x:v>670.41</x:v>
      </x:c>
      <x:c r="L2250" s="37" t="str">
        <x:v>2133</x:v>
      </x:c>
      <x:c r="M2250" s="29" t="str">
        <x:v>1029.31</x:v>
      </x:c>
      <x:c r="N2250" s="29" t="str">
        <x:v>758.00</x:v>
      </x:c>
      <x:c r="O2250" s="29" t="str">
        <x:v>271.31</x:v>
      </x:c>
      <x:c r="P2250" s="18" t="str">
        <x:v>2026-07-02</x:v>
      </x:c>
      <x:c r="Q2250" s="36" t="n">
        <x:v>46205</x:v>
      </x:c>
    </x:row>
    <x:row r="2251">
      <x:c r="A2251" s="36" t="str">
        <x:v>2026-07-02</x:v>
      </x:c>
      <x:c r="B2251" s="18" t="str">
        <x:v>101437000_80823</x:v>
      </x:c>
      <x:c r="C2251" s="18" t="str">
        <x:v>【沪村小电】上湖轩充电站</x:v>
      </x:c>
      <x:c r="D2251" s="37" t="str">
        <x:v>2</x:v>
      </x:c>
      <x:c r="E2251" s="37" t="str">
        <x:v>0</x:v>
      </x:c>
      <x:c r="F2251" s="37" t="str">
        <x:v>18</x:v>
      </x:c>
      <x:c r="G2251" s="37" t="str">
        <x:v>325.69</x:v>
      </x:c>
      <x:c r="H2251" s="37" t="str">
        <x:v>10.74</x:v>
      </x:c>
      <x:c r="I2251" s="37" t="str">
        <x:v>0.00</x:v>
      </x:c>
      <x:c r="J2251" s="37" t="str">
        <x:v>34.37</x:v>
      </x:c>
      <x:c r="K2251" s="37" t="str">
        <x:v>280.57</x:v>
      </x:c>
      <x:c r="L2251" s="37" t="str">
        <x:v>633</x:v>
      </x:c>
      <x:c r="M2251" s="29" t="str">
        <x:v>194.71</x:v>
      </x:c>
      <x:c r="N2251" s="29" t="str">
        <x:v>132.45</x:v>
      </x:c>
      <x:c r="O2251" s="29" t="str">
        <x:v>62.26</x:v>
      </x:c>
      <x:c r="P2251" s="18" t="str">
        <x:v>2026-07-02</x:v>
      </x:c>
      <x:c r="Q2251" s="36" t="n">
        <x:v>46205</x:v>
      </x:c>
    </x:row>
    <x:row r="2252">
      <x:c r="A2252" s="36" t="str">
        <x:v>2026-07-02</x:v>
      </x:c>
      <x:c r="B2252" s="18" t="str">
        <x:v>101437000_83019</x:v>
      </x:c>
      <x:c r="C2252" s="18" t="str">
        <x:v>【沪村小电】首创禧瑞云启东区充电站</x:v>
      </x:c>
      <x:c r="D2252" s="37" t="str">
        <x:v>2</x:v>
      </x:c>
      <x:c r="E2252" s="37" t="str">
        <x:v>0</x:v>
      </x:c>
      <x:c r="F2252" s="37" t="str">
        <x:v>60</x:v>
      </x:c>
      <x:c r="G2252" s="37" t="str">
        <x:v>1291.29</x:v>
      </x:c>
      <x:c r="H2252" s="37" t="str">
        <x:v>0.00</x:v>
      </x:c>
      <x:c r="I2252" s="37" t="str">
        <x:v>1042.89</x:v>
      </x:c>
      <x:c r="J2252" s="37" t="str">
        <x:v>0.00</x:v>
      </x:c>
      <x:c r="K2252" s="37" t="str">
        <x:v>248.40</x:v>
      </x:c>
      <x:c r="L2252" s="37" t="str">
        <x:v>1888</x:v>
      </x:c>
      <x:c r="M2252" s="29" t="str">
        <x:v>1132.81</x:v>
      </x:c>
      <x:c r="N2252" s="29" t="str">
        <x:v>809.02</x:v>
      </x:c>
      <x:c r="O2252" s="29" t="str">
        <x:v>323.79</x:v>
      </x:c>
      <x:c r="P2252" s="18" t="str">
        <x:v>2026-07-02</x:v>
      </x:c>
      <x:c r="Q2252" s="36" t="n">
        <x:v>46205</x:v>
      </x:c>
    </x:row>
    <x:row r="2253">
      <x:c r="A2253" s="36" t="str">
        <x:v>2026-07-02</x:v>
      </x:c>
      <x:c r="B2253" s="18" t="str">
        <x:v>101437000_83093</x:v>
      </x:c>
      <x:c r="C2253" s="18" t="str">
        <x:v>【沪村小电】金茂未来时光里</x:v>
      </x:c>
      <x:c r="D2253" s="37" t="str">
        <x:v>2</x:v>
      </x:c>
      <x:c r="E2253" s="37" t="str">
        <x:v>0</x:v>
      </x:c>
      <x:c r="F2253" s="37" t="str">
        <x:v>8</x:v>
      </x:c>
      <x:c r="G2253" s="37" t="str">
        <x:v>326.32</x:v>
      </x:c>
      <x:c r="H2253" s="37" t="str">
        <x:v>0.00</x:v>
      </x:c>
      <x:c r="I2253" s="37" t="str">
        <x:v>101.78</x:v>
      </x:c>
      <x:c r="J2253" s="37" t="str">
        <x:v>0.00</x:v>
      </x:c>
      <x:c r="K2253" s="37" t="str">
        <x:v>224.54</x:v>
      </x:c>
      <x:c r="L2253" s="37" t="str">
        <x:v>484</x:v>
      </x:c>
      <x:c r="M2253" s="29" t="str">
        <x:v>193.67</x:v>
      </x:c>
      <x:c r="N2253" s="29" t="str">
        <x:v>129.67</x:v>
      </x:c>
      <x:c r="O2253" s="29" t="str">
        <x:v>64.00</x:v>
      </x:c>
      <x:c r="P2253" s="18" t="str">
        <x:v>2026-07-02</x:v>
      </x:c>
      <x:c r="Q2253" s="36" t="n">
        <x:v>46205</x:v>
      </x:c>
    </x:row>
    <x:row r="2254">
      <x:c r="A2254" s="36" t="str">
        <x:v>2026-07-02</x:v>
      </x:c>
      <x:c r="B2254" s="18" t="str">
        <x:v>101437000_83911</x:v>
      </x:c>
      <x:c r="C2254" s="18" t="str">
        <x:v>【沪村小电】金瀚园充电站</x:v>
      </x:c>
      <x:c r="D2254" s="37" t="str">
        <x:v>2</x:v>
      </x:c>
      <x:c r="E2254" s="37" t="str">
        <x:v>0</x:v>
      </x:c>
      <x:c r="F2254" s="37" t="str">
        <x:v>38</x:v>
      </x:c>
      <x:c r="G2254" s="37" t="str">
        <x:v>985.38</x:v>
      </x:c>
      <x:c r="H2254" s="37" t="str">
        <x:v>0.00</x:v>
      </x:c>
      <x:c r="I2254" s="37" t="str">
        <x:v>599.10</x:v>
      </x:c>
      <x:c r="J2254" s="37" t="str">
        <x:v>0.00</x:v>
      </x:c>
      <x:c r="K2254" s="37" t="str">
        <x:v>386.28</x:v>
      </x:c>
      <x:c r="L2254" s="37" t="str">
        <x:v>1379</x:v>
      </x:c>
      <x:c r="M2254" s="29" t="str">
        <x:v>1005.64</x:v>
      </x:c>
      <x:c r="N2254" s="29" t="str">
        <x:v>590.13</x:v>
      </x:c>
      <x:c r="O2254" s="29" t="str">
        <x:v>415.51</x:v>
      </x:c>
      <x:c r="P2254" s="18" t="str">
        <x:v>2026-07-02</x:v>
      </x:c>
      <x:c r="Q2254" s="36" t="n">
        <x:v>46205</x:v>
      </x:c>
    </x:row>
    <x:row r="2255">
      <x:c r="A2255" s="36" t="str">
        <x:v>2026-07-02</x:v>
      </x:c>
      <x:c r="B2255" s="18" t="str">
        <x:v>101437000_83913</x:v>
      </x:c>
      <x:c r="C2255" s="18" t="str">
        <x:v>【沪村小电】新黎村充电站</x:v>
      </x:c>
      <x:c r="D2255" s="37" t="str">
        <x:v>2</x:v>
      </x:c>
      <x:c r="E2255" s="37" t="str">
        <x:v>0</x:v>
      </x:c>
      <x:c r="F2255" s="37" t="str">
        <x:v>19</x:v>
      </x:c>
      <x:c r="G2255" s="37" t="str">
        <x:v>494.51</x:v>
      </x:c>
      <x:c r="H2255" s="37" t="str">
        <x:v>0.00</x:v>
      </x:c>
      <x:c r="I2255" s="37" t="str">
        <x:v>317.85</x:v>
      </x:c>
      <x:c r="J2255" s="37" t="str">
        <x:v>0.00</x:v>
      </x:c>
      <x:c r="K2255" s="37" t="str">
        <x:v>176.65</x:v>
      </x:c>
      <x:c r="L2255" s="37" t="str">
        <x:v>702</x:v>
      </x:c>
      <x:c r="M2255" s="29" t="str">
        <x:v>531.02</x:v>
      </x:c>
      <x:c r="N2255" s="29" t="str">
        <x:v>424.20</x:v>
      </x:c>
      <x:c r="O2255" s="29" t="str">
        <x:v>106.82</x:v>
      </x:c>
      <x:c r="P2255" s="18" t="str">
        <x:v>2026-07-02</x:v>
      </x:c>
      <x:c r="Q2255" s="36" t="n">
        <x:v>46205</x:v>
      </x:c>
    </x:row>
    <x:row r="2256">
      <x:c r="A2256" s="36" t="str">
        <x:v>2026-07-02</x:v>
      </x:c>
      <x:c r="B2256" s="18" t="str">
        <x:v>101437000_83915</x:v>
      </x:c>
      <x:c r="C2256" s="18" t="str">
        <x:v>【沪村小电】长泰西郊别墅充电站</x:v>
      </x:c>
      <x:c r="D2256" s="37" t="str">
        <x:v>2</x:v>
      </x:c>
      <x:c r="E2256" s="37" t="str">
        <x:v>0</x:v>
      </x:c>
      <x:c r="F2256" s="37" t="str">
        <x:v>13</x:v>
      </x:c>
      <x:c r="G2256" s="37" t="str">
        <x:v>274.92</x:v>
      </x:c>
      <x:c r="H2256" s="37" t="str">
        <x:v>0.00</x:v>
      </x:c>
      <x:c r="I2256" s="37" t="str">
        <x:v>155.73</x:v>
      </x:c>
      <x:c r="J2256" s="37" t="str">
        <x:v>0.00</x:v>
      </x:c>
      <x:c r="K2256" s="37" t="str">
        <x:v>119.19</x:v>
      </x:c>
      <x:c r="L2256" s="37" t="str">
        <x:v>465</x:v>
      </x:c>
      <x:c r="M2256" s="29" t="str">
        <x:v>223.58</x:v>
      </x:c>
      <x:c r="N2256" s="29" t="str">
        <x:v>160.54</x:v>
      </x:c>
      <x:c r="O2256" s="29" t="str">
        <x:v>63.04</x:v>
      </x:c>
      <x:c r="P2256" s="18" t="str">
        <x:v>2026-07-02</x:v>
      </x:c>
      <x:c r="Q2256" s="36" t="n">
        <x:v>46205</x:v>
      </x:c>
    </x:row>
    <x:row r="2257">
      <x:c r="A2257" s="36" t="str">
        <x:v>2026-07-02</x:v>
      </x:c>
      <x:c r="B2257" s="18" t="str">
        <x:v>101437000_83917</x:v>
      </x:c>
      <x:c r="C2257" s="18" t="str">
        <x:v>【沪村小电】旭新华庭充电站</x:v>
      </x:c>
      <x:c r="D2257" s="37" t="str">
        <x:v>4</x:v>
      </x:c>
      <x:c r="E2257" s="37" t="str">
        <x:v>0</x:v>
      </x:c>
      <x:c r="F2257" s="37" t="str">
        <x:v>34</x:v>
      </x:c>
      <x:c r="G2257" s="37" t="str">
        <x:v>854.34</x:v>
      </x:c>
      <x:c r="H2257" s="37" t="str">
        <x:v>0.00</x:v>
      </x:c>
      <x:c r="I2257" s="37" t="str">
        <x:v>674.45</x:v>
      </x:c>
      <x:c r="J2257" s="37" t="str">
        <x:v>0.00</x:v>
      </x:c>
      <x:c r="K2257" s="37" t="str">
        <x:v>179.89</x:v>
      </x:c>
      <x:c r="L2257" s="37" t="str">
        <x:v>1224</x:v>
      </x:c>
      <x:c r="M2257" s="29" t="str">
        <x:v>938.54</x:v>
      </x:c>
      <x:c r="N2257" s="29" t="str">
        <x:v>567.48</x:v>
      </x:c>
      <x:c r="O2257" s="29" t="str">
        <x:v>371.06</x:v>
      </x:c>
      <x:c r="P2257" s="18" t="str">
        <x:v>2026-07-02</x:v>
      </x:c>
      <x:c r="Q2257" s="36" t="n">
        <x:v>46205</x:v>
      </x:c>
    </x:row>
    <x:row r="2258">
      <x:c r="A2258" s="36" t="str">
        <x:v>2026-07-02</x:v>
      </x:c>
      <x:c r="B2258" s="18" t="str">
        <x:v>101437000_83919</x:v>
      </x:c>
      <x:c r="C2258" s="18" t="str">
        <x:v>【沪村小电】浦锦名仕嘉园充电站</x:v>
      </x:c>
      <x:c r="D2258" s="37" t="str">
        <x:v>4</x:v>
      </x:c>
      <x:c r="E2258" s="37" t="str">
        <x:v>0</x:v>
      </x:c>
      <x:c r="F2258" s="37" t="str">
        <x:v>51</x:v>
      </x:c>
      <x:c r="G2258" s="37" t="str">
        <x:v>1370.42</x:v>
      </x:c>
      <x:c r="H2258" s="37" t="str">
        <x:v>0.00</x:v>
      </x:c>
      <x:c r="I2258" s="37" t="str">
        <x:v>0.00</x:v>
      </x:c>
      <x:c r="J2258" s="37" t="str">
        <x:v>1370.42</x:v>
      </x:c>
      <x:c r="K2258" s="37" t="str">
        <x:v>0.00</x:v>
      </x:c>
      <x:c r="L2258" s="37" t="str">
        <x:v>2039</x:v>
      </x:c>
      <x:c r="M2258" s="29" t="str">
        <x:v>1307.02</x:v>
      </x:c>
      <x:c r="N2258" s="29" t="str">
        <x:v>877.02</x:v>
      </x:c>
      <x:c r="O2258" s="29" t="str">
        <x:v>430.00</x:v>
      </x:c>
      <x:c r="P2258" s="18" t="str">
        <x:v>2026-07-02</x:v>
      </x:c>
      <x:c r="Q2258" s="36" t="n">
        <x:v>46205</x:v>
      </x:c>
    </x:row>
    <x:row r="2259">
      <x:c r="A2259" s="36" t="str">
        <x:v>2026-07-02</x:v>
      </x:c>
      <x:c r="B2259" s="18" t="str">
        <x:v>101437000_83921</x:v>
      </x:c>
      <x:c r="C2259" s="18" t="str">
        <x:v>【沪村小电】上海联怡枇杷乐园充电站（地库）</x:v>
      </x:c>
      <x:c r="D2259" s="37" t="str">
        <x:v>8</x:v>
      </x:c>
      <x:c r="E2259" s="37" t="str">
        <x:v>0</x:v>
      </x:c>
      <x:c r="F2259" s="37" t="str">
        <x:v>2</x:v>
      </x:c>
      <x:c r="G2259" s="37" t="str">
        <x:v>34.52</x:v>
      </x:c>
      <x:c r="H2259" s="37" t="str">
        <x:v>0.00</x:v>
      </x:c>
      <x:c r="I2259" s="37" t="str">
        <x:v>34.52</x:v>
      </x:c>
      <x:c r="J2259" s="37" t="str">
        <x:v>0.00</x:v>
      </x:c>
      <x:c r="K2259" s="37" t="str">
        <x:v>0.00</x:v>
      </x:c>
      <x:c r="L2259" s="37" t="str">
        <x:v>38</x:v>
      </x:c>
      <x:c r="M2259" s="29" t="str">
        <x:v>40.11</x:v>
      </x:c>
      <x:c r="N2259" s="29" t="str">
        <x:v>35.90</x:v>
      </x:c>
      <x:c r="O2259" s="29" t="str">
        <x:v>4.21</x:v>
      </x:c>
      <x:c r="P2259" s="18" t="str">
        <x:v>2026-07-02</x:v>
      </x:c>
      <x:c r="Q2259" s="36" t="n">
        <x:v>46205</x:v>
      </x:c>
    </x:row>
    <x:row r="2260">
      <x:c r="A2260" s="36" t="str">
        <x:v>2026-07-02</x:v>
      </x:c>
      <x:c r="B2260" s="18" t="str">
        <x:v>101437000_83923</x:v>
      </x:c>
      <x:c r="C2260" s="18" t="str">
        <x:v>【沪村小电】明珠新苑充电站</x:v>
      </x:c>
      <x:c r="D2260" s="37" t="str">
        <x:v>2</x:v>
      </x:c>
      <x:c r="E2260" s="37" t="str">
        <x:v>0</x:v>
      </x:c>
      <x:c r="F2260" s="37" t="str">
        <x:v>23</x:v>
      </x:c>
      <x:c r="G2260" s="37" t="str">
        <x:v>563.85</x:v>
      </x:c>
      <x:c r="H2260" s="37" t="str">
        <x:v>0.00</x:v>
      </x:c>
      <x:c r="I2260" s="37" t="str">
        <x:v>461.28</x:v>
      </x:c>
      <x:c r="J2260" s="37" t="str">
        <x:v>0.00</x:v>
      </x:c>
      <x:c r="K2260" s="37" t="str">
        <x:v>102.57</x:v>
      </x:c>
      <x:c r="L2260" s="37" t="str">
        <x:v>878</x:v>
      </x:c>
      <x:c r="M2260" s="29" t="str">
        <x:v>537.93</x:v>
      </x:c>
      <x:c r="N2260" s="29" t="str">
        <x:v>380.31</x:v>
      </x:c>
      <x:c r="O2260" s="29" t="str">
        <x:v>157.62</x:v>
      </x:c>
      <x:c r="P2260" s="18" t="str">
        <x:v>2026-07-02</x:v>
      </x:c>
      <x:c r="Q2260" s="36" t="n">
        <x:v>46205</x:v>
      </x:c>
    </x:row>
    <x:row r="2261">
      <x:c r="A2261" s="36" t="str">
        <x:v>2026-07-02</x:v>
      </x:c>
      <x:c r="B2261" s="18" t="str">
        <x:v>101437000_86379</x:v>
      </x:c>
      <x:c r="C2261" s="18" t="str">
        <x:v>【沪村小电】新宝社区充电站</x:v>
      </x:c>
      <x:c r="D2261" s="37" t="str">
        <x:v>4</x:v>
      </x:c>
      <x:c r="E2261" s="37" t="str">
        <x:v>0</x:v>
      </x:c>
      <x:c r="F2261" s="37" t="str">
        <x:v>34</x:v>
      </x:c>
      <x:c r="G2261" s="37" t="str">
        <x:v>870.66</x:v>
      </x:c>
      <x:c r="H2261" s="37" t="str">
        <x:v>0.00</x:v>
      </x:c>
      <x:c r="I2261" s="37" t="str">
        <x:v>613.39</x:v>
      </x:c>
      <x:c r="J2261" s="37" t="str">
        <x:v>0.00</x:v>
      </x:c>
      <x:c r="K2261" s="37" t="str">
        <x:v>257.27</x:v>
      </x:c>
      <x:c r="L2261" s="37" t="str">
        <x:v>1456</x:v>
      </x:c>
      <x:c r="M2261" s="29" t="str">
        <x:v>749.83</x:v>
      </x:c>
      <x:c r="N2261" s="29" t="str">
        <x:v>551.68</x:v>
      </x:c>
      <x:c r="O2261" s="29" t="str">
        <x:v>198.15</x:v>
      </x:c>
      <x:c r="P2261" s="18" t="str">
        <x:v>2026-07-02</x:v>
      </x:c>
      <x:c r="Q2261" s="36" t="n">
        <x:v>46205</x:v>
      </x:c>
    </x:row>
    <x:row r="2262">
      <x:c r="A2262" s="36" t="str">
        <x:v>2026-07-02</x:v>
      </x:c>
      <x:c r="B2262" s="18" t="str">
        <x:v>101437000_89441</x:v>
      </x:c>
      <x:c r="C2262" s="18" t="str">
        <x:v>【沪村小电】首创禧瑞云启西区充电站</x:v>
      </x:c>
      <x:c r="D2262" s="37" t="str">
        <x:v>2</x:v>
      </x:c>
      <x:c r="E2262" s="37" t="str">
        <x:v>0</x:v>
      </x:c>
      <x:c r="F2262" s="37" t="str">
        <x:v>59</x:v>
      </x:c>
      <x:c r="G2262" s="37" t="str">
        <x:v>1405.58</x:v>
      </x:c>
      <x:c r="H2262" s="37" t="str">
        <x:v>0.00</x:v>
      </x:c>
      <x:c r="I2262" s="37" t="str">
        <x:v>1177.14</x:v>
      </x:c>
      <x:c r="J2262" s="37" t="str">
        <x:v>0.00</x:v>
      </x:c>
      <x:c r="K2262" s="37" t="str">
        <x:v>228.43</x:v>
      </x:c>
      <x:c r="L2262" s="37" t="str">
        <x:v>2026</x:v>
      </x:c>
      <x:c r="M2262" s="29" t="str">
        <x:v>1249.09</x:v>
      </x:c>
      <x:c r="N2262" s="29" t="str">
        <x:v>894.44</x:v>
      </x:c>
      <x:c r="O2262" s="29" t="str">
        <x:v>354.65</x:v>
      </x:c>
      <x:c r="P2262" s="18" t="str">
        <x:v>2026-07-02</x:v>
      </x:c>
      <x:c r="Q2262" s="36" t="n">
        <x:v>46205</x:v>
      </x:c>
    </x:row>
    <x:row r="2263">
      <x:c r="A2263" s="36" t="str">
        <x:v>2026-07-02</x:v>
      </x:c>
      <x:c r="B2263" s="18" t="str">
        <x:v>101437000_89443</x:v>
      </x:c>
      <x:c r="C2263" s="18" t="str">
        <x:v>【沪村小电】玉兰清苑二期充电站</x:v>
      </x:c>
      <x:c r="D2263" s="37" t="str">
        <x:v>2</x:v>
      </x:c>
      <x:c r="E2263" s="37" t="str">
        <x:v>0</x:v>
      </x:c>
      <x:c r="F2263" s="37" t="str">
        <x:v>23</x:v>
      </x:c>
      <x:c r="G2263" s="37" t="str">
        <x:v>570.54</x:v>
      </x:c>
      <x:c r="H2263" s="37" t="str">
        <x:v>0.00</x:v>
      </x:c>
      <x:c r="I2263" s="37" t="str">
        <x:v>536.62</x:v>
      </x:c>
      <x:c r="J2263" s="37" t="str">
        <x:v>0.00</x:v>
      </x:c>
      <x:c r="K2263" s="37" t="str">
        <x:v>33.92</x:v>
      </x:c>
      <x:c r="L2263" s="37" t="str">
        <x:v>840</x:v>
      </x:c>
      <x:c r="M2263" s="29" t="str">
        <x:v>530.22</x:v>
      </x:c>
      <x:c r="N2263" s="29" t="str">
        <x:v>409.99</x:v>
      </x:c>
      <x:c r="O2263" s="29" t="str">
        <x:v>120.23</x:v>
      </x:c>
      <x:c r="P2263" s="18" t="str">
        <x:v>2026-07-02</x:v>
      </x:c>
      <x:c r="Q2263" s="36" t="n">
        <x:v>46205</x:v>
      </x:c>
    </x:row>
    <x:row r="2264">
      <x:c r="A2264" s="36" t="str">
        <x:v>2026-07-02</x:v>
      </x:c>
      <x:c r="B2264" s="18" t="str">
        <x:v>101437000_93115</x:v>
      </x:c>
      <x:c r="C2264" s="18" t="str">
        <x:v>【沪村小电】新南家园西北门</x:v>
      </x:c>
      <x:c r="D2264" s="37" t="str">
        <x:v>2</x:v>
      </x:c>
      <x:c r="E2264" s="37" t="str">
        <x:v>0</x:v>
      </x:c>
      <x:c r="F2264" s="37" t="str">
        <x:v>23</x:v>
      </x:c>
      <x:c r="G2264" s="37" t="str">
        <x:v>501.19</x:v>
      </x:c>
      <x:c r="H2264" s="37" t="str">
        <x:v>0.00</x:v>
      </x:c>
      <x:c r="I2264" s="37" t="str">
        <x:v>367.85</x:v>
      </x:c>
      <x:c r="J2264" s="37" t="str">
        <x:v>0.00</x:v>
      </x:c>
      <x:c r="K2264" s="37" t="str">
        <x:v>133.34</x:v>
      </x:c>
      <x:c r="L2264" s="37" t="str">
        <x:v>910</x:v>
      </x:c>
      <x:c r="M2264" s="29" t="str">
        <x:v>440.53</x:v>
      </x:c>
      <x:c r="N2264" s="29" t="str">
        <x:v>301.84</x:v>
      </x:c>
      <x:c r="O2264" s="29" t="str">
        <x:v>138.69</x:v>
      </x:c>
      <x:c r="P2264" s="18" t="str">
        <x:v>2026-07-02</x:v>
      </x:c>
      <x:c r="Q2264" s="36" t="n">
        <x:v>46205</x:v>
      </x:c>
    </x:row>
    <x:row r="2265">
      <x:c r="A2265" s="36" t="str">
        <x:v>2026-07-02</x:v>
      </x:c>
      <x:c r="B2265" s="18" t="str">
        <x:v>101437000_94649</x:v>
      </x:c>
      <x:c r="C2265" s="18" t="str">
        <x:v>【沪村小电】浪琴水岸花园</x:v>
      </x:c>
      <x:c r="D2265" s="37" t="str">
        <x:v>4</x:v>
      </x:c>
      <x:c r="E2265" s="37" t="str">
        <x:v>0</x:v>
      </x:c>
      <x:c r="F2265" s="37" t="str">
        <x:v>39</x:v>
      </x:c>
      <x:c r="G2265" s="37" t="str">
        <x:v>1140.12</x:v>
      </x:c>
      <x:c r="H2265" s="37" t="str">
        <x:v>0.00</x:v>
      </x:c>
      <x:c r="I2265" s="37" t="str">
        <x:v>741.70</x:v>
      </x:c>
      <x:c r="J2265" s="37" t="str">
        <x:v>0.00</x:v>
      </x:c>
      <x:c r="K2265" s="37" t="str">
        <x:v>398.42</x:v>
      </x:c>
      <x:c r="L2265" s="37" t="str">
        <x:v>1832</x:v>
      </x:c>
      <x:c r="M2265" s="29" t="str">
        <x:v>925.28</x:v>
      </x:c>
      <x:c r="N2265" s="29" t="str">
        <x:v>655.18</x:v>
      </x:c>
      <x:c r="O2265" s="29" t="str">
        <x:v>270.10</x:v>
      </x:c>
      <x:c r="P2265" s="18" t="str">
        <x:v>2026-07-02</x:v>
      </x:c>
      <x:c r="Q2265" s="36" t="n">
        <x:v>46205</x:v>
      </x:c>
    </x:row>
    <x:row r="2266">
      <x:c r="A2266" s="36" t="str">
        <x:v>2026-07-02</x:v>
      </x:c>
      <x:c r="B2266" s="18" t="str">
        <x:v>101437000_95077</x:v>
      </x:c>
      <x:c r="C2266" s="18" t="str">
        <x:v>【沪村小电】民乐城惠益绿苑255弄充电站</x:v>
      </x:c>
      <x:c r="D2266" s="37" t="str">
        <x:v>2</x:v>
      </x:c>
      <x:c r="E2266" s="37" t="str">
        <x:v>0</x:v>
      </x:c>
      <x:c r="F2266" s="37" t="str">
        <x:v>5</x:v>
      </x:c>
      <x:c r="G2266" s="37" t="str">
        <x:v>141.77</x:v>
      </x:c>
      <x:c r="H2266" s="37" t="str">
        <x:v>0.00</x:v>
      </x:c>
      <x:c r="I2266" s="37" t="str">
        <x:v>141.77</x:v>
      </x:c>
      <x:c r="J2266" s="37" t="str">
        <x:v>0.00</x:v>
      </x:c>
      <x:c r="K2266" s="37" t="str">
        <x:v>0.00</x:v>
      </x:c>
      <x:c r="L2266" s="37" t="str">
        <x:v>258</x:v>
      </x:c>
      <x:c r="M2266" s="29" t="str">
        <x:v>145.44</x:v>
      </x:c>
      <x:c r="N2266" s="29" t="str">
        <x:v>104.91</x:v>
      </x:c>
      <x:c r="O2266" s="29" t="str">
        <x:v>40.53</x:v>
      </x:c>
      <x:c r="P2266" s="18" t="str">
        <x:v>2026-07-02</x:v>
      </x:c>
      <x:c r="Q2266" s="36" t="n">
        <x:v>46205</x:v>
      </x:c>
    </x:row>
    <x:row r="2267">
      <x:c r="A2267" s="36" t="str">
        <x:v>2026-07-02</x:v>
      </x:c>
      <x:c r="B2267" s="18" t="str">
        <x:v>101437000_95079</x:v>
      </x:c>
      <x:c r="C2267" s="18" t="str">
        <x:v>【沪村小电】民乐城惠益绿苑东苑充电站</x:v>
      </x:c>
      <x:c r="D2267" s="37" t="str">
        <x:v>2</x:v>
      </x:c>
      <x:c r="E2267" s="37" t="str">
        <x:v>0</x:v>
      </x:c>
      <x:c r="F2267" s="37" t="str">
        <x:v>12</x:v>
      </x:c>
      <x:c r="G2267" s="37" t="str">
        <x:v>255.70</x:v>
      </x:c>
      <x:c r="H2267" s="37" t="str">
        <x:v>0.00</x:v>
      </x:c>
      <x:c r="I2267" s="37" t="str">
        <x:v>211.26</x:v>
      </x:c>
      <x:c r="J2267" s="37" t="str">
        <x:v>0.00</x:v>
      </x:c>
      <x:c r="K2267" s="37" t="str">
        <x:v>44.44</x:v>
      </x:c>
      <x:c r="L2267" s="37" t="str">
        <x:v>434</x:v>
      </x:c>
      <x:c r="M2267" s="29" t="str">
        <x:v>242.19</x:v>
      </x:c>
      <x:c r="N2267" s="29" t="str">
        <x:v>161.76</x:v>
      </x:c>
      <x:c r="O2267" s="29" t="str">
        <x:v>80.43</x:v>
      </x:c>
      <x:c r="P2267" s="18" t="str">
        <x:v>2026-07-02</x:v>
      </x:c>
      <x:c r="Q2267" s="36" t="n">
        <x:v>46205</x:v>
      </x:c>
    </x:row>
    <x:row r="2268">
      <x:c r="A2268" s="36" t="str">
        <x:v>2026-07-02</x:v>
      </x:c>
      <x:c r="B2268" s="18" t="str">
        <x:v>101437000_95081</x:v>
      </x:c>
      <x:c r="C2268" s="18" t="str">
        <x:v>【沪村小电】民乐城惠益绿苑西苑充电站</x:v>
      </x:c>
      <x:c r="D2268" s="37" t="str">
        <x:v>2</x:v>
      </x:c>
      <x:c r="E2268" s="37" t="str">
        <x:v>0</x:v>
      </x:c>
      <x:c r="F2268" s="37" t="str">
        <x:v>5</x:v>
      </x:c>
      <x:c r="G2268" s="37" t="str">
        <x:v>109.52</x:v>
      </x:c>
      <x:c r="H2268" s="37" t="str">
        <x:v>0.00</x:v>
      </x:c>
      <x:c r="I2268" s="37" t="str">
        <x:v>109.52</x:v>
      </x:c>
      <x:c r="J2268" s="37" t="str">
        <x:v>0.00</x:v>
      </x:c>
      <x:c r="K2268" s="37" t="str">
        <x:v>0.00</x:v>
      </x:c>
      <x:c r="L2268" s="37" t="str">
        <x:v>122</x:v>
      </x:c>
      <x:c r="M2268" s="29" t="str">
        <x:v>105.84</x:v>
      </x:c>
      <x:c r="N2268" s="29" t="str">
        <x:v>75.58</x:v>
      </x:c>
      <x:c r="O2268" s="29" t="str">
        <x:v>30.26</x:v>
      </x:c>
      <x:c r="P2268" s="18" t="str">
        <x:v>2026-07-02</x:v>
      </x:c>
      <x:c r="Q2268" s="36" t="n">
        <x:v>46205</x:v>
      </x:c>
    </x:row>
    <x:row r="2269">
      <x:c r="A2269" s="36" t="str">
        <x:v>2026-07-02</x:v>
      </x:c>
      <x:c r="B2269" s="18" t="str">
        <x:v>101437000_95091</x:v>
      </x:c>
      <x:c r="C2269" s="18" t="str">
        <x:v>【沪村小电】金悦学府2号站</x:v>
      </x:c>
      <x:c r="D2269" s="37" t="str">
        <x:v>2</x:v>
      </x:c>
      <x:c r="E2269" s="37" t="str">
        <x:v>0</x:v>
      </x:c>
      <x:c r="F2269" s="37" t="str">
        <x:v>23</x:v>
      </x:c>
      <x:c r="G2269" s="37" t="str">
        <x:v>598.32</x:v>
      </x:c>
      <x:c r="H2269" s="37" t="str">
        <x:v>0.00</x:v>
      </x:c>
      <x:c r="I2269" s="37" t="str">
        <x:v>0.00</x:v>
      </x:c>
      <x:c r="J2269" s="37" t="str">
        <x:v>598.32</x:v>
      </x:c>
      <x:c r="K2269" s="37" t="str">
        <x:v>0.00</x:v>
      </x:c>
      <x:c r="L2269" s="37" t="str">
        <x:v>969</x:v>
      </x:c>
      <x:c r="M2269" s="29" t="str">
        <x:v>492.83</x:v>
      </x:c>
      <x:c r="N2269" s="29" t="str">
        <x:v>335.05</x:v>
      </x:c>
      <x:c r="O2269" s="29" t="str">
        <x:v>157.78</x:v>
      </x:c>
      <x:c r="P2269" s="18" t="str">
        <x:v>2026-07-02</x:v>
      </x:c>
      <x:c r="Q2269" s="36" t="n">
        <x:v>46205</x:v>
      </x:c>
    </x:row>
    <x:row r="2270">
      <x:c r="A2270" s="36" t="str">
        <x:v>2026-07-02</x:v>
      </x:c>
      <x:c r="B2270" s="18" t="str">
        <x:v>101437000_95941</x:v>
      </x:c>
      <x:c r="C2270" s="18" t="str">
        <x:v>【沪村小电】惠诚雅苑</x:v>
      </x:c>
      <x:c r="D2270" s="37" t="str">
        <x:v>4</x:v>
      </x:c>
      <x:c r="E2270" s="37" t="str">
        <x:v>0</x:v>
      </x:c>
      <x:c r="F2270" s="37" t="str">
        <x:v>38</x:v>
      </x:c>
      <x:c r="G2270" s="37" t="str">
        <x:v>1080.27</x:v>
      </x:c>
      <x:c r="H2270" s="37" t="str">
        <x:v>0.00</x:v>
      </x:c>
      <x:c r="I2270" s="37" t="str">
        <x:v>561.53</x:v>
      </x:c>
      <x:c r="J2270" s="37" t="str">
        <x:v>0.00</x:v>
      </x:c>
      <x:c r="K2270" s="37" t="str">
        <x:v>518.74</x:v>
      </x:c>
      <x:c r="L2270" s="37" t="str">
        <x:v>1703</x:v>
      </x:c>
      <x:c r="M2270" s="29" t="str">
        <x:v>744.73</x:v>
      </x:c>
      <x:c r="N2270" s="29" t="str">
        <x:v>492.09</x:v>
      </x:c>
      <x:c r="O2270" s="29" t="str">
        <x:v>252.64</x:v>
      </x:c>
      <x:c r="P2270" s="18" t="str">
        <x:v>2026-07-02</x:v>
      </x:c>
      <x:c r="Q2270" s="36" t="n">
        <x:v>46205</x:v>
      </x:c>
    </x:row>
    <x:row r="2271">
      <x:c r="A2271" s="36" t="str">
        <x:v>2026-07-02</x:v>
      </x:c>
      <x:c r="B2271" s="18" t="str">
        <x:v>101437000_96401</x:v>
      </x:c>
      <x:c r="C2271" s="18" t="str">
        <x:v>【沪村小电】上海联怡枇杷乐园地面站</x:v>
      </x:c>
      <x:c r="D2271" s="37" t="str">
        <x:v>2</x:v>
      </x:c>
      <x:c r="E2271" s="37" t="str">
        <x:v>0</x:v>
      </x:c>
      <x:c r="F2271" s="37" t="str">
        <x:v>7</x:v>
      </x:c>
      <x:c r="G2271" s="37" t="str">
        <x:v>152.18</x:v>
      </x:c>
      <x:c r="H2271" s="37" t="str">
        <x:v>0.00</x:v>
      </x:c>
      <x:c r="I2271" s="37" t="str">
        <x:v>87.60</x:v>
      </x:c>
      <x:c r="J2271" s="37" t="str">
        <x:v>0.00</x:v>
      </x:c>
      <x:c r="K2271" s="37" t="str">
        <x:v>64.59</x:v>
      </x:c>
      <x:c r="L2271" s="37" t="str">
        <x:v>252</x:v>
      </x:c>
      <x:c r="M2271" s="29" t="str">
        <x:v>158.54</x:v>
      </x:c>
      <x:c r="N2271" s="29" t="str">
        <x:v>125.34</x:v>
      </x:c>
      <x:c r="O2271" s="29" t="str">
        <x:v>33.20</x:v>
      </x:c>
      <x:c r="P2271" s="18" t="str">
        <x:v>2026-07-02</x:v>
      </x:c>
      <x:c r="Q2271" s="36" t="n">
        <x:v>46205</x:v>
      </x:c>
    </x:row>
    <x:row r="2272">
      <x:c r="A2272" s="36" t="str">
        <x:v>2026-07-02</x:v>
      </x:c>
      <x:c r="B2272" s="18" t="str">
        <x:v>101437000_97421</x:v>
      </x:c>
      <x:c r="C2272" s="18" t="str">
        <x:v>【沪村小电】玉兰清苑二期（小区外）充电站</x:v>
      </x:c>
      <x:c r="D2272" s="37" t="str">
        <x:v>4</x:v>
      </x:c>
      <x:c r="E2272" s="37" t="str">
        <x:v>0</x:v>
      </x:c>
      <x:c r="F2272" s="37" t="str">
        <x:v>40</x:v>
      </x:c>
      <x:c r="G2272" s="37" t="str">
        <x:v>867.66</x:v>
      </x:c>
      <x:c r="H2272" s="37" t="str">
        <x:v>0.00</x:v>
      </x:c>
      <x:c r="I2272" s="37" t="str">
        <x:v>826.34</x:v>
      </x:c>
      <x:c r="J2272" s="37" t="str">
        <x:v>0.00</x:v>
      </x:c>
      <x:c r="K2272" s="37" t="str">
        <x:v>41.32</x:v>
      </x:c>
      <x:c r="L2272" s="37" t="str">
        <x:v>1676</x:v>
      </x:c>
      <x:c r="M2272" s="29" t="str">
        <x:v>830.62</x:v>
      </x:c>
      <x:c r="N2272" s="29" t="str">
        <x:v>627.20</x:v>
      </x:c>
      <x:c r="O2272" s="29" t="str">
        <x:v>203.42</x:v>
      </x:c>
      <x:c r="P2272" s="18" t="str">
        <x:v>2026-07-02</x:v>
      </x:c>
      <x:c r="Q2272" s="36" t="n">
        <x:v>46205</x:v>
      </x:c>
    </x:row>
    <x:row r="2273">
      <x:c r="A2273" s="36" t="str">
        <x:v>2026-07-02</x:v>
      </x:c>
      <x:c r="B2273" s="18" t="str">
        <x:v>101437000_98013</x:v>
      </x:c>
      <x:c r="C2273" s="18" t="str">
        <x:v>【沪村小电】恒大滨江华府充电站</x:v>
      </x:c>
      <x:c r="D2273" s="37" t="str">
        <x:v>4</x:v>
      </x:c>
      <x:c r="E2273" s="37" t="str">
        <x:v>0</x:v>
      </x:c>
      <x:c r="F2273" s="37" t="str">
        <x:v>12</x:v>
      </x:c>
      <x:c r="G2273" s="37" t="str">
        <x:v>223.42</x:v>
      </x:c>
      <x:c r="H2273" s="37" t="str">
        <x:v>0.00</x:v>
      </x:c>
      <x:c r="I2273" s="37" t="str">
        <x:v>205.60</x:v>
      </x:c>
      <x:c r="J2273" s="37" t="str">
        <x:v>0.00</x:v>
      </x:c>
      <x:c r="K2273" s="37" t="str">
        <x:v>17.82</x:v>
      </x:c>
      <x:c r="L2273" s="37" t="str">
        <x:v>315</x:v>
      </x:c>
      <x:c r="M2273" s="29" t="str">
        <x:v>271.71</x:v>
      </x:c>
      <x:c r="N2273" s="29" t="str">
        <x:v>223.26</x:v>
      </x:c>
      <x:c r="O2273" s="29" t="str">
        <x:v>48.45</x:v>
      </x:c>
      <x:c r="P2273" s="18" t="str">
        <x:v>2026-07-02</x:v>
      </x:c>
      <x:c r="Q2273" s="36" t="n">
        <x:v>46205</x:v>
      </x:c>
    </x:row>
    <x:row r="2274">
      <x:c r="A2274" s="36" t="str">
        <x:v>2026-07-02</x:v>
      </x:c>
      <x:c r="B2274" s="18" t="str">
        <x:v>101437000_98865</x:v>
      </x:c>
      <x:c r="C2274" s="18" t="str">
        <x:v>【沪村小电】欣松苑充电站</x:v>
      </x:c>
      <x:c r="D2274" s="37" t="str">
        <x:v>4</x:v>
      </x:c>
      <x:c r="E2274" s="37" t="str">
        <x:v>0</x:v>
      </x:c>
      <x:c r="F2274" s="37" t="str">
        <x:v>15</x:v>
      </x:c>
      <x:c r="G2274" s="37" t="str">
        <x:v>360.11</x:v>
      </x:c>
      <x:c r="H2274" s="37" t="str">
        <x:v>0.00</x:v>
      </x:c>
      <x:c r="I2274" s="37" t="str">
        <x:v>334.91</x:v>
      </x:c>
      <x:c r="J2274" s="37" t="str">
        <x:v>0.00</x:v>
      </x:c>
      <x:c r="K2274" s="37" t="str">
        <x:v>25.20</x:v>
      </x:c>
      <x:c r="L2274" s="37" t="str">
        <x:v>600</x:v>
      </x:c>
      <x:c r="M2274" s="29" t="str">
        <x:v>307.02</x:v>
      </x:c>
      <x:c r="N2274" s="29" t="str">
        <x:v>257.39</x:v>
      </x:c>
      <x:c r="O2274" s="29" t="str">
        <x:v>49.63</x:v>
      </x:c>
      <x:c r="P2274" s="18" t="str">
        <x:v>2026-07-02</x:v>
      </x:c>
      <x:c r="Q2274" s="36" t="n">
        <x:v>46205</x:v>
      </x:c>
    </x:row>
    <x:row r="2275">
      <x:c r="A2275" s="36" t="str">
        <x:v>2026-07-02</x:v>
      </x:c>
      <x:c r="B2275" s="18" t="str">
        <x:v>101437000_98867</x:v>
      </x:c>
      <x:c r="C2275" s="18" t="str">
        <x:v>【沪村小电】欣荷苑充电站</x:v>
      </x:c>
      <x:c r="D2275" s="37" t="str">
        <x:v>4</x:v>
      </x:c>
      <x:c r="E2275" s="37" t="str">
        <x:v>0</x:v>
      </x:c>
      <x:c r="F2275" s="37" t="str">
        <x:v>14</x:v>
      </x:c>
      <x:c r="G2275" s="37" t="str">
        <x:v>387.60</x:v>
      </x:c>
      <x:c r="H2275" s="37" t="str">
        <x:v>0.00</x:v>
      </x:c>
      <x:c r="I2275" s="37" t="str">
        <x:v>387.60</x:v>
      </x:c>
      <x:c r="J2275" s="37" t="str">
        <x:v>0.00</x:v>
      </x:c>
      <x:c r="K2275" s="37" t="str">
        <x:v>0.00</x:v>
      </x:c>
      <x:c r="L2275" s="37" t="str">
        <x:v>619</x:v>
      </x:c>
      <x:c r="M2275" s="29" t="str">
        <x:v>341.00</x:v>
      </x:c>
      <x:c r="N2275" s="29" t="str">
        <x:v>286.82</x:v>
      </x:c>
      <x:c r="O2275" s="29" t="str">
        <x:v>54.18</x:v>
      </x:c>
      <x:c r="P2275" s="18" t="str">
        <x:v>2026-07-02</x:v>
      </x:c>
      <x:c r="Q2275" s="36" t="n">
        <x:v>46205</x:v>
      </x:c>
    </x:row>
    <x:row r="2276">
      <x:c r="A2276" s="36" t="str">
        <x:v>2026-07-02</x:v>
      </x:c>
      <x:c r="B2276" s="18" t="str">
        <x:v>101437000_99885</x:v>
      </x:c>
      <x:c r="C2276" s="18" t="str">
        <x:v>【沪村小电】汇丰馨苑充电站</x:v>
      </x:c>
      <x:c r="D2276" s="37" t="str">
        <x:v>4</x:v>
      </x:c>
      <x:c r="E2276" s="37" t="str">
        <x:v>0</x:v>
      </x:c>
      <x:c r="F2276" s="37" t="str">
        <x:v>7</x:v>
      </x:c>
      <x:c r="G2276" s="37" t="str">
        <x:v>238.82</x:v>
      </x:c>
      <x:c r="H2276" s="37" t="str">
        <x:v>55.09</x:v>
      </x:c>
      <x:c r="I2276" s="37" t="str">
        <x:v>66.01</x:v>
      </x:c>
      <x:c r="J2276" s="37" t="str">
        <x:v>52.23</x:v>
      </x:c>
      <x:c r="K2276" s="37" t="str">
        <x:v>65.49</x:v>
      </x:c>
      <x:c r="L2276" s="37" t="str">
        <x:v>308</x:v>
      </x:c>
      <x:c r="M2276" s="29" t="str">
        <x:v>274.04</x:v>
      </x:c>
      <x:c r="N2276" s="29" t="str">
        <x:v>224.81</x:v>
      </x:c>
      <x:c r="O2276" s="29" t="str">
        <x:v>49.23</x:v>
      </x:c>
      <x:c r="P2276" s="18" t="str">
        <x:v>2026-07-02</x:v>
      </x:c>
      <x:c r="Q2276" s="36" t="n">
        <x:v>46205</x:v>
      </x:c>
    </x:row>
    <x:row r="2277">
      <x:c r="A2277" s="36" t="str">
        <x:v>2026-07-02</x:v>
      </x:c>
      <x:c r="B2277" s="18" t="str">
        <x:v>101437000_99887</x:v>
      </x:c>
      <x:c r="C2277" s="18" t="str">
        <x:v>【沪村小电】新南村河南小区充电站</x:v>
      </x:c>
      <x:c r="D2277" s="37" t="str">
        <x:v>2</x:v>
      </x:c>
      <x:c r="E2277" s="37" t="str">
        <x:v>0</x:v>
      </x:c>
      <x:c r="F2277" s="37" t="str">
        <x:v>28</x:v>
      </x:c>
      <x:c r="G2277" s="37" t="str">
        <x:v>564.56</x:v>
      </x:c>
      <x:c r="H2277" s="37" t="str">
        <x:v>0.00</x:v>
      </x:c>
      <x:c r="I2277" s="37" t="str">
        <x:v>269.30</x:v>
      </x:c>
      <x:c r="J2277" s="37" t="str">
        <x:v>0.00</x:v>
      </x:c>
      <x:c r="K2277" s="37" t="str">
        <x:v>295.26</x:v>
      </x:c>
      <x:c r="L2277" s="37" t="str">
        <x:v>979</x:v>
      </x:c>
      <x:c r="M2277" s="29" t="str">
        <x:v>440.79</x:v>
      </x:c>
      <x:c r="N2277" s="29" t="str">
        <x:v>311.48</x:v>
      </x:c>
      <x:c r="O2277" s="29" t="str">
        <x:v>129.31</x:v>
      </x:c>
      <x:c r="P2277" s="18" t="str">
        <x:v>2026-07-02</x:v>
      </x:c>
      <x:c r="Q2277" s="36" t="n">
        <x:v>46205</x:v>
      </x:c>
    </x:row>
    <x:row r="2278">
      <x:c r="A2278" s="36" t="str">
        <x:v>2026-07-02</x:v>
      </x:c>
      <x:c r="B2278" s="18" t="str">
        <x:v>101437000_99889</x:v>
      </x:c>
      <x:c r="C2278" s="18" t="str">
        <x:v>【沪村小电】漕泾郊野公园</x:v>
      </x:c>
      <x:c r="D2278" s="37" t="str">
        <x:v>2</x:v>
      </x:c>
      <x:c r="E2278" s="37" t="str">
        <x:v>0</x:v>
      </x:c>
      <x:c r="F2278" s="37" t="str">
        <x:v>8</x:v>
      </x:c>
      <x:c r="G2278" s="37" t="str">
        <x:v>206.87</x:v>
      </x:c>
      <x:c r="H2278" s="37" t="str">
        <x:v>0.00</x:v>
      </x:c>
      <x:c r="I2278" s="37" t="str">
        <x:v>78.43</x:v>
      </x:c>
      <x:c r="J2278" s="37" t="str">
        <x:v>80.67</x:v>
      </x:c>
      <x:c r="K2278" s="37" t="str">
        <x:v>47.78</x:v>
      </x:c>
      <x:c r="L2278" s="37" t="str">
        <x:v>288</x:v>
      </x:c>
      <x:c r="M2278" s="29" t="str">
        <x:v>208.27</x:v>
      </x:c>
      <x:c r="N2278" s="29" t="str">
        <x:v>164.37</x:v>
      </x:c>
      <x:c r="O2278" s="29" t="str">
        <x:v>43.90</x:v>
      </x:c>
      <x:c r="P2278" s="18" t="str">
        <x:v>2026-07-02</x:v>
      </x:c>
      <x:c r="Q2278" s="36" t="n">
        <x:v>46205</x:v>
      </x:c>
    </x:row>
    <x:row r="2279">
      <x:c r="A2279" s="36" t="str">
        <x:v>2026-07-02</x:v>
      </x:c>
      <x:c r="B2279" s="18" t="str">
        <x:v>101437000_99891</x:v>
      </x:c>
      <x:c r="C2279" s="18" t="str">
        <x:v>【沪村小电】水韵紫城充电站</x:v>
      </x:c>
      <x:c r="D2279" s="37" t="str">
        <x:v>4</x:v>
      </x:c>
      <x:c r="E2279" s="37" t="str">
        <x:v>0</x:v>
      </x:c>
      <x:c r="F2279" s="37" t="str">
        <x:v>8</x:v>
      </x:c>
      <x:c r="G2279" s="37" t="str">
        <x:v>145.07</x:v>
      </x:c>
      <x:c r="H2279" s="37" t="str">
        <x:v>0.00</x:v>
      </x:c>
      <x:c r="I2279" s="37" t="str">
        <x:v>93.95</x:v>
      </x:c>
      <x:c r="J2279" s="37" t="str">
        <x:v>0.00</x:v>
      </x:c>
      <x:c r="K2279" s="37" t="str">
        <x:v>51.12</x:v>
      </x:c>
      <x:c r="L2279" s="37" t="str">
        <x:v>173</x:v>
      </x:c>
      <x:c r="M2279" s="29" t="str">
        <x:v>129.63</x:v>
      </x:c>
      <x:c r="N2279" s="29" t="str">
        <x:v>88.95</x:v>
      </x:c>
      <x:c r="O2279" s="29" t="str">
        <x:v>40.68</x:v>
      </x:c>
      <x:c r="P2279" s="18" t="str">
        <x:v>2026-07-02</x:v>
      </x:c>
      <x:c r="Q2279" s="36" t="n">
        <x:v>46205</x:v>
      </x:c>
    </x:row>
    <x:row r="2280">
      <x:c r="A2280" s="36" t="str">
        <x:v>2026-07-01</x:v>
      </x:c>
      <x:c r="B2280" s="18" t="str">
        <x:v>101437000_41561</x:v>
      </x:c>
      <x:c r="C2280" s="18" t="str">
        <x:v>【沪村小电】张施小区大门处快充站</x:v>
      </x:c>
      <x:c r="D2280" s="37" t="str">
        <x:v>2</x:v>
      </x:c>
      <x:c r="E2280" s="37" t="str">
        <x:v>0</x:v>
      </x:c>
      <x:c r="F2280" s="37" t="str">
        <x:v>51</x:v>
      </x:c>
      <x:c r="G2280" s="37" t="str">
        <x:v>1363.48</x:v>
      </x:c>
      <x:c r="H2280" s="37" t="str">
        <x:v>0.00</x:v>
      </x:c>
      <x:c r="I2280" s="37" t="str">
        <x:v>819.35</x:v>
      </x:c>
      <x:c r="J2280" s="37" t="str">
        <x:v>0.00</x:v>
      </x:c>
      <x:c r="K2280" s="37" t="str">
        <x:v>544.14</x:v>
      </x:c>
      <x:c r="L2280" s="37" t="str">
        <x:v>2367</x:v>
      </x:c>
      <x:c r="M2280" s="29" t="str">
        <x:v>1074.94</x:v>
      </x:c>
      <x:c r="N2280" s="29" t="str">
        <x:v>813.06</x:v>
      </x:c>
      <x:c r="O2280" s="29" t="str">
        <x:v>261.88</x:v>
      </x:c>
      <x:c r="P2280" s="18" t="str">
        <x:v>2026-07-01</x:v>
      </x:c>
      <x:c r="Q2280" s="36" t="n">
        <x:v>46204</x:v>
      </x:c>
    </x:row>
    <x:row r="2281">
      <x:c r="A2281" s="36" t="str">
        <x:v>2026-07-01</x:v>
      </x:c>
      <x:c r="B2281" s="18" t="str">
        <x:v>101437000_41563</x:v>
      </x:c>
      <x:c r="C2281" s="18" t="str">
        <x:v>【沪村小电】同心村快充站</x:v>
      </x:c>
      <x:c r="D2281" s="37" t="str">
        <x:v>4</x:v>
      </x:c>
      <x:c r="E2281" s="37" t="str">
        <x:v>0</x:v>
      </x:c>
      <x:c r="F2281" s="37" t="str">
        <x:v>69</x:v>
      </x:c>
      <x:c r="G2281" s="37" t="str">
        <x:v>1355.59</x:v>
      </x:c>
      <x:c r="H2281" s="37" t="str">
        <x:v>0.00</x:v>
      </x:c>
      <x:c r="I2281" s="37" t="str">
        <x:v>926.36</x:v>
      </x:c>
      <x:c r="J2281" s="37" t="str">
        <x:v>0.00</x:v>
      </x:c>
      <x:c r="K2281" s="37" t="str">
        <x:v>429.23</x:v>
      </x:c>
      <x:c r="L2281" s="37" t="str">
        <x:v>3026</x:v>
      </x:c>
      <x:c r="M2281" s="29" t="str">
        <x:v>1189.95</x:v>
      </x:c>
      <x:c r="N2281" s="29" t="str">
        <x:v>793.74</x:v>
      </x:c>
      <x:c r="O2281" s="29" t="str">
        <x:v>396.21</x:v>
      </x:c>
      <x:c r="P2281" s="18" t="str">
        <x:v>2026-07-01</x:v>
      </x:c>
      <x:c r="Q2281" s="36" t="n">
        <x:v>46204</x:v>
      </x:c>
    </x:row>
    <x:row r="2282">
      <x:c r="A2282" s="36" t="str">
        <x:v>2026-07-01</x:v>
      </x:c>
      <x:c r="B2282" s="18" t="str">
        <x:v>101437000_69629</x:v>
      </x:c>
      <x:c r="C2282" s="18" t="str">
        <x:v>【沪村小电】骏丰玲珑坊西苑充电站</x:v>
      </x:c>
      <x:c r="D2282" s="37" t="str">
        <x:v>2</x:v>
      </x:c>
      <x:c r="E2282" s="37" t="str">
        <x:v>0</x:v>
      </x:c>
      <x:c r="F2282" s="37" t="str">
        <x:v>63</x:v>
      </x:c>
      <x:c r="G2282" s="37" t="str">
        <x:v>1495.34</x:v>
      </x:c>
      <x:c r="H2282" s="37" t="str">
        <x:v>0.00</x:v>
      </x:c>
      <x:c r="I2282" s="37" t="str">
        <x:v>1102.81</x:v>
      </x:c>
      <x:c r="J2282" s="37" t="str">
        <x:v>0.00</x:v>
      </x:c>
      <x:c r="K2282" s="37" t="str">
        <x:v>392.53</x:v>
      </x:c>
      <x:c r="L2282" s="37" t="str">
        <x:v>2545</x:v>
      </x:c>
      <x:c r="M2282" s="29" t="str">
        <x:v>1305.45</x:v>
      </x:c>
      <x:c r="N2282" s="29" t="str">
        <x:v>965.22</x:v>
      </x:c>
      <x:c r="O2282" s="29" t="str">
        <x:v>340.23</x:v>
      </x:c>
      <x:c r="P2282" s="18" t="str">
        <x:v>2026-07-01</x:v>
      </x:c>
      <x:c r="Q2282" s="36" t="n">
        <x:v>46204</x:v>
      </x:c>
    </x:row>
    <x:row r="2283">
      <x:c r="A2283" s="36" t="str">
        <x:v>2026-07-01</x:v>
      </x:c>
      <x:c r="B2283" s="18" t="str">
        <x:v>101437000_70547</x:v>
      </x:c>
      <x:c r="C2283" s="18" t="str">
        <x:v>【沪村小电】农建村初心馆党群服务中心充电站</x:v>
      </x:c>
      <x:c r="D2283" s="37" t="str">
        <x:v>4</x:v>
      </x:c>
      <x:c r="E2283" s="37" t="str">
        <x:v>0</x:v>
      </x:c>
      <x:c r="F2283" s="37" t="str">
        <x:v>24</x:v>
      </x:c>
      <x:c r="G2283" s="37" t="str">
        <x:v>689.45</x:v>
      </x:c>
      <x:c r="H2283" s="37" t="str">
        <x:v>0.00</x:v>
      </x:c>
      <x:c r="I2283" s="37" t="str">
        <x:v>387.27</x:v>
      </x:c>
      <x:c r="J2283" s="37" t="str">
        <x:v>0.00</x:v>
      </x:c>
      <x:c r="K2283" s="37" t="str">
        <x:v>302.18</x:v>
      </x:c>
      <x:c r="L2283" s="37" t="str">
        <x:v>1091</x:v>
      </x:c>
      <x:c r="M2283" s="29" t="str">
        <x:v>669.26</x:v>
      </x:c>
      <x:c r="N2283" s="29" t="str">
        <x:v>562.91</x:v>
      </x:c>
      <x:c r="O2283" s="29" t="str">
        <x:v>106.35</x:v>
      </x:c>
      <x:c r="P2283" s="18" t="str">
        <x:v>2026-07-01</x:v>
      </x:c>
      <x:c r="Q2283" s="36" t="n">
        <x:v>46204</x:v>
      </x:c>
    </x:row>
    <x:row r="2284">
      <x:c r="A2284" s="36" t="str">
        <x:v>2026-07-01</x:v>
      </x:c>
      <x:c r="B2284" s="18" t="str">
        <x:v>101437000_70549</x:v>
      </x:c>
      <x:c r="C2284" s="18" t="str">
        <x:v>【沪村小电】学府路充电站</x:v>
      </x:c>
      <x:c r="D2284" s="37" t="str">
        <x:v>2</x:v>
      </x:c>
      <x:c r="E2284" s="37" t="str">
        <x:v>0</x:v>
      </x:c>
      <x:c r="F2284" s="37" t="str">
        <x:v>6</x:v>
      </x:c>
      <x:c r="G2284" s="37" t="str">
        <x:v>91.59</x:v>
      </x:c>
      <x:c r="H2284" s="37" t="str">
        <x:v>0.00</x:v>
      </x:c>
      <x:c r="I2284" s="37" t="str">
        <x:v>45.98</x:v>
      </x:c>
      <x:c r="J2284" s="37" t="str">
        <x:v>0.00</x:v>
      </x:c>
      <x:c r="K2284" s="37" t="str">
        <x:v>45.61</x:v>
      </x:c>
      <x:c r="L2284" s="37" t="str">
        <x:v>193</x:v>
      </x:c>
      <x:c r="M2284" s="29" t="str">
        <x:v>89.45</x:v>
      </x:c>
      <x:c r="N2284" s="29" t="str">
        <x:v>71.99</x:v>
      </x:c>
      <x:c r="O2284" s="29" t="str">
        <x:v>17.46</x:v>
      </x:c>
      <x:c r="P2284" s="18" t="str">
        <x:v>2026-07-01</x:v>
      </x:c>
      <x:c r="Q2284" s="36" t="n">
        <x:v>46204</x:v>
      </x:c>
    </x:row>
    <x:row r="2285">
      <x:c r="A2285" s="36" t="str">
        <x:v>2026-07-01</x:v>
      </x:c>
      <x:c r="B2285" s="18" t="str">
        <x:v>101437000_71059</x:v>
      </x:c>
      <x:c r="C2285" s="18" t="str">
        <x:v>【沪村小电】宝乐汇商业广场站</x:v>
      </x:c>
      <x:c r="D2285" s="37" t="str">
        <x:v>4</x:v>
      </x:c>
      <x:c r="E2285" s="37" t="str">
        <x:v>0</x:v>
      </x:c>
      <x:c r="F2285" s="37" t="str">
        <x:v>16</x:v>
      </x:c>
      <x:c r="G2285" s="37" t="str">
        <x:v>401.38</x:v>
      </x:c>
      <x:c r="H2285" s="37" t="str">
        <x:v>0.00</x:v>
      </x:c>
      <x:c r="I2285" s="37" t="str">
        <x:v>93.07</x:v>
      </x:c>
      <x:c r="J2285" s="37" t="str">
        <x:v>180.21</x:v>
      </x:c>
      <x:c r="K2285" s="37" t="str">
        <x:v>128.09</x:v>
      </x:c>
      <x:c r="L2285" s="37" t="str">
        <x:v>664</x:v>
      </x:c>
      <x:c r="M2285" s="29" t="str">
        <x:v>391.94</x:v>
      </x:c>
      <x:c r="N2285" s="29" t="str">
        <x:v>287.78</x:v>
      </x:c>
      <x:c r="O2285" s="29" t="str">
        <x:v>104.16</x:v>
      </x:c>
      <x:c r="P2285" s="18" t="str">
        <x:v>2026-07-01</x:v>
      </x:c>
      <x:c r="Q2285" s="36" t="n">
        <x:v>46204</x:v>
      </x:c>
    </x:row>
    <x:row r="2286">
      <x:c r="A2286" s="36" t="str">
        <x:v>2026-07-01</x:v>
      </x:c>
      <x:c r="B2286" s="18" t="str">
        <x:v>101437000_72541</x:v>
      </x:c>
      <x:c r="C2286" s="18" t="str">
        <x:v>【沪村小电】九干路1174弄充电站</x:v>
      </x:c>
      <x:c r="D2286" s="37" t="str">
        <x:v>2</x:v>
      </x:c>
      <x:c r="E2286" s="37" t="str">
        <x:v>0</x:v>
      </x:c>
      <x:c r="F2286" s="37" t="str">
        <x:v>34</x:v>
      </x:c>
      <x:c r="G2286" s="37" t="str">
        <x:v>424.63</x:v>
      </x:c>
      <x:c r="H2286" s="37" t="str">
        <x:v>0.00</x:v>
      </x:c>
      <x:c r="I2286" s="37" t="str">
        <x:v>232.58</x:v>
      </x:c>
      <x:c r="J2286" s="37" t="str">
        <x:v>0.00</x:v>
      </x:c>
      <x:c r="K2286" s="37" t="str">
        <x:v>192.05</x:v>
      </x:c>
      <x:c r="L2286" s="37" t="str">
        <x:v>882</x:v>
      </x:c>
      <x:c r="M2286" s="29" t="str">
        <x:v>333.21</x:v>
      </x:c>
      <x:c r="N2286" s="29" t="str">
        <x:v>245.10</x:v>
      </x:c>
      <x:c r="O2286" s="29" t="str">
        <x:v>88.11</x:v>
      </x:c>
      <x:c r="P2286" s="18" t="str">
        <x:v>2026-07-01</x:v>
      </x:c>
      <x:c r="Q2286" s="36" t="n">
        <x:v>46204</x:v>
      </x:c>
    </x:row>
    <x:row r="2287">
      <x:c r="A2287" s="36" t="str">
        <x:v>2026-07-01</x:v>
      </x:c>
      <x:c r="B2287" s="18" t="str">
        <x:v>101437000_72543</x:v>
      </x:c>
      <x:c r="C2287" s="18" t="str">
        <x:v>【沪村小电】叶家中心村小区充电站</x:v>
      </x:c>
      <x:c r="D2287" s="37" t="str">
        <x:v>2</x:v>
      </x:c>
      <x:c r="E2287" s="37" t="str">
        <x:v>0</x:v>
      </x:c>
      <x:c r="F2287" s="37" t="str">
        <x:v>49</x:v>
      </x:c>
      <x:c r="G2287" s="37" t="str">
        <x:v>1077.41</x:v>
      </x:c>
      <x:c r="H2287" s="37" t="str">
        <x:v>0.00</x:v>
      </x:c>
      <x:c r="I2287" s="37" t="str">
        <x:v>626.68</x:v>
      </x:c>
      <x:c r="J2287" s="37" t="str">
        <x:v>0.00</x:v>
      </x:c>
      <x:c r="K2287" s="37" t="str">
        <x:v>450.73</x:v>
      </x:c>
      <x:c r="L2287" s="37" t="str">
        <x:v>1954</x:v>
      </x:c>
      <x:c r="M2287" s="29" t="str">
        <x:v>898.07</x:v>
      </x:c>
      <x:c r="N2287" s="29" t="str">
        <x:v>635.02</x:v>
      </x:c>
      <x:c r="O2287" s="29" t="str">
        <x:v>263.05</x:v>
      </x:c>
      <x:c r="P2287" s="18" t="str">
        <x:v>2026-07-01</x:v>
      </x:c>
      <x:c r="Q2287" s="36" t="n">
        <x:v>46204</x:v>
      </x:c>
    </x:row>
    <x:row r="2288">
      <x:c r="A2288" s="36" t="str">
        <x:v>2026-07-01</x:v>
      </x:c>
      <x:c r="B2288" s="18" t="str">
        <x:v>101437000_72937</x:v>
      </x:c>
      <x:c r="C2288" s="18" t="str">
        <x:v>【沪村小电】佘北家园茸腾苑充电站</x:v>
      </x:c>
      <x:c r="D2288" s="37" t="str">
        <x:v>4</x:v>
      </x:c>
      <x:c r="E2288" s="37" t="str">
        <x:v>0</x:v>
      </x:c>
      <x:c r="F2288" s="37" t="str">
        <x:v>23</x:v>
      </x:c>
      <x:c r="G2288" s="37" t="str">
        <x:v>614.91</x:v>
      </x:c>
      <x:c r="H2288" s="37" t="str">
        <x:v>0.00</x:v>
      </x:c>
      <x:c r="I2288" s="37" t="str">
        <x:v>614.91</x:v>
      </x:c>
      <x:c r="J2288" s="37" t="str">
        <x:v>0.00</x:v>
      </x:c>
      <x:c r="K2288" s="37" t="str">
        <x:v>0.00</x:v>
      </x:c>
      <x:c r="L2288" s="37" t="str">
        <x:v>983</x:v>
      </x:c>
      <x:c r="M2288" s="29" t="str">
        <x:v>545.20</x:v>
      </x:c>
      <x:c r="N2288" s="29" t="str">
        <x:v>455.01</x:v>
      </x:c>
      <x:c r="O2288" s="29" t="str">
        <x:v>90.19</x:v>
      </x:c>
      <x:c r="P2288" s="18" t="str">
        <x:v>2026-07-01</x:v>
      </x:c>
      <x:c r="Q2288" s="36" t="n">
        <x:v>46204</x:v>
      </x:c>
    </x:row>
    <x:row r="2289">
      <x:c r="A2289" s="36" t="str">
        <x:v>2026-07-01</x:v>
      </x:c>
      <x:c r="B2289" s="18" t="str">
        <x:v>101437000_74223</x:v>
      </x:c>
      <x:c r="C2289" s="18" t="str">
        <x:v>【沪村小电】中兴村委会充电站</x:v>
      </x:c>
      <x:c r="D2289" s="37" t="str">
        <x:v>2</x:v>
      </x:c>
      <x:c r="E2289" s="37" t="str">
        <x:v>0</x:v>
      </x:c>
      <x:c r="F2289" s="37" t="str">
        <x:v>25</x:v>
      </x:c>
      <x:c r="G2289" s="37" t="str">
        <x:v>684.78</x:v>
      </x:c>
      <x:c r="H2289" s="37" t="str">
        <x:v>0.00</x:v>
      </x:c>
      <x:c r="I2289" s="37" t="str">
        <x:v>324.62</x:v>
      </x:c>
      <x:c r="J2289" s="37" t="str">
        <x:v>0.00</x:v>
      </x:c>
      <x:c r="K2289" s="37" t="str">
        <x:v>360.17</x:v>
      </x:c>
      <x:c r="L2289" s="37" t="str">
        <x:v>1009</x:v>
      </x:c>
      <x:c r="M2289" s="29" t="str">
        <x:v>646.11</x:v>
      </x:c>
      <x:c r="N2289" s="29" t="str">
        <x:v>528.51</x:v>
      </x:c>
      <x:c r="O2289" s="29" t="str">
        <x:v>117.60</x:v>
      </x:c>
      <x:c r="P2289" s="18" t="str">
        <x:v>2026-07-01</x:v>
      </x:c>
      <x:c r="Q2289" s="36" t="n">
        <x:v>46204</x:v>
      </x:c>
    </x:row>
    <x:row r="2290">
      <x:c r="A2290" s="36" t="str">
        <x:v>2026-07-01</x:v>
      </x:c>
      <x:c r="B2290" s="18" t="str">
        <x:v>101437000_74801</x:v>
      </x:c>
      <x:c r="C2290" s="18" t="str">
        <x:v>【沪村小电】申良花园充电站</x:v>
      </x:c>
      <x:c r="D2290" s="37" t="str">
        <x:v>4</x:v>
      </x:c>
      <x:c r="E2290" s="37" t="str">
        <x:v>0</x:v>
      </x:c>
      <x:c r="F2290" s="37" t="str">
        <x:v>14</x:v>
      </x:c>
      <x:c r="G2290" s="37" t="str">
        <x:v>293.83</x:v>
      </x:c>
      <x:c r="H2290" s="37" t="str">
        <x:v>0.00</x:v>
      </x:c>
      <x:c r="I2290" s="37" t="str">
        <x:v>293.83</x:v>
      </x:c>
      <x:c r="J2290" s="37" t="str">
        <x:v>0.00</x:v>
      </x:c>
      <x:c r="K2290" s="37" t="str">
        <x:v>0.00</x:v>
      </x:c>
      <x:c r="L2290" s="37" t="str">
        <x:v>483</x:v>
      </x:c>
      <x:c r="M2290" s="29" t="str">
        <x:v>335.55</x:v>
      </x:c>
      <x:c r="N2290" s="29" t="str">
        <x:v>217.43</x:v>
      </x:c>
      <x:c r="O2290" s="29" t="str">
        <x:v>118.12</x:v>
      </x:c>
      <x:c r="P2290" s="18" t="str">
        <x:v>2026-07-01</x:v>
      </x:c>
      <x:c r="Q2290" s="36" t="n">
        <x:v>46204</x:v>
      </x:c>
    </x:row>
    <x:row r="2291">
      <x:c r="A2291" s="36" t="str">
        <x:v>2026-07-01</x:v>
      </x:c>
      <x:c r="B2291" s="18" t="str">
        <x:v>101437000_74931</x:v>
      </x:c>
      <x:c r="C2291" s="18" t="str">
        <x:v>【沪村小电】枫雅南居充电站</x:v>
      </x:c>
      <x:c r="D2291" s="37" t="str">
        <x:v>2</x:v>
      </x:c>
      <x:c r="E2291" s="37" t="str">
        <x:v>0</x:v>
      </x:c>
      <x:c r="F2291" s="37" t="str">
        <x:v>8</x:v>
      </x:c>
      <x:c r="G2291" s="37" t="str">
        <x:v>187.37</x:v>
      </x:c>
      <x:c r="H2291" s="37" t="str">
        <x:v>0.00</x:v>
      </x:c>
      <x:c r="I2291" s="37" t="str">
        <x:v>138.10</x:v>
      </x:c>
      <x:c r="J2291" s="37" t="str">
        <x:v>0.00</x:v>
      </x:c>
      <x:c r="K2291" s="37" t="str">
        <x:v>49.27</x:v>
      </x:c>
      <x:c r="L2291" s="37" t="str">
        <x:v>270</x:v>
      </x:c>
      <x:c r="M2291" s="29" t="str">
        <x:v>138.48</x:v>
      </x:c>
      <x:c r="N2291" s="29" t="str">
        <x:v>96.76</x:v>
      </x:c>
      <x:c r="O2291" s="29" t="str">
        <x:v>41.72</x:v>
      </x:c>
      <x:c r="P2291" s="18" t="str">
        <x:v>2026-07-01</x:v>
      </x:c>
      <x:c r="Q2291" s="36" t="n">
        <x:v>46204</x:v>
      </x:c>
    </x:row>
    <x:row r="2292">
      <x:c r="A2292" s="36" t="str">
        <x:v>2026-07-01</x:v>
      </x:c>
      <x:c r="B2292" s="18" t="str">
        <x:v>101437000_75901</x:v>
      </x:c>
      <x:c r="C2292" s="18" t="str">
        <x:v>【沪村小电】金悦学府</x:v>
      </x:c>
      <x:c r="D2292" s="37" t="str">
        <x:v>2</x:v>
      </x:c>
      <x:c r="E2292" s="37" t="str">
        <x:v>0</x:v>
      </x:c>
      <x:c r="F2292" s="37" t="str">
        <x:v>38</x:v>
      </x:c>
      <x:c r="G2292" s="37" t="str">
        <x:v>579.83</x:v>
      </x:c>
      <x:c r="H2292" s="37" t="str">
        <x:v>0.00</x:v>
      </x:c>
      <x:c r="I2292" s="37" t="str">
        <x:v>172.26</x:v>
      </x:c>
      <x:c r="J2292" s="37" t="str">
        <x:v>0.00</x:v>
      </x:c>
      <x:c r="K2292" s="37" t="str">
        <x:v>407.57</x:v>
      </x:c>
      <x:c r="L2292" s="37" t="str">
        <x:v>827</x:v>
      </x:c>
      <x:c r="M2292" s="29" t="str">
        <x:v>403.15</x:v>
      </x:c>
      <x:c r="N2292" s="29" t="str">
        <x:v>227.97</x:v>
      </x:c>
      <x:c r="O2292" s="29" t="str">
        <x:v>175.18</x:v>
      </x:c>
      <x:c r="P2292" s="18" t="str">
        <x:v>2026-07-01</x:v>
      </x:c>
      <x:c r="Q2292" s="36" t="n">
        <x:v>46204</x:v>
      </x:c>
    </x:row>
    <x:row r="2293">
      <x:c r="A2293" s="36" t="str">
        <x:v>2026-07-01</x:v>
      </x:c>
      <x:c r="B2293" s="18" t="str">
        <x:v>101437000_76091</x:v>
      </x:c>
      <x:c r="C2293" s="18" t="str">
        <x:v>【沪村小电】恒信家园充电站</x:v>
      </x:c>
      <x:c r="D2293" s="37" t="str">
        <x:v>2</x:v>
      </x:c>
      <x:c r="E2293" s="37" t="str">
        <x:v>0</x:v>
      </x:c>
      <x:c r="F2293" s="37" t="str">
        <x:v>44</x:v>
      </x:c>
      <x:c r="G2293" s="37" t="str">
        <x:v>921.77</x:v>
      </x:c>
      <x:c r="H2293" s="37" t="str">
        <x:v>0.00</x:v>
      </x:c>
      <x:c r="I2293" s="37" t="str">
        <x:v>512.81</x:v>
      </x:c>
      <x:c r="J2293" s="37" t="str">
        <x:v>0.00</x:v>
      </x:c>
      <x:c r="K2293" s="37" t="str">
        <x:v>408.96</x:v>
      </x:c>
      <x:c r="L2293" s="37" t="str">
        <x:v>1427</x:v>
      </x:c>
      <x:c r="M2293" s="29" t="str">
        <x:v>901.27</x:v>
      </x:c>
      <x:c r="N2293" s="29" t="str">
        <x:v>534.88</x:v>
      </x:c>
      <x:c r="O2293" s="29" t="str">
        <x:v>366.39</x:v>
      </x:c>
      <x:c r="P2293" s="18" t="str">
        <x:v>2026-07-01</x:v>
      </x:c>
      <x:c r="Q2293" s="36" t="n">
        <x:v>46204</x:v>
      </x:c>
    </x:row>
    <x:row r="2294">
      <x:c r="A2294" s="36" t="str">
        <x:v>2026-07-01</x:v>
      </x:c>
      <x:c r="B2294" s="18" t="str">
        <x:v>101437000_76417</x:v>
      </x:c>
      <x:c r="C2294" s="18" t="str">
        <x:v>【沪村小电】新春一组充电站</x:v>
      </x:c>
      <x:c r="D2294" s="37" t="str">
        <x:v>2</x:v>
      </x:c>
      <x:c r="E2294" s="37" t="str">
        <x:v>0</x:v>
      </x:c>
      <x:c r="F2294" s="37" t="str">
        <x:v>5</x:v>
      </x:c>
      <x:c r="G2294" s="37" t="str">
        <x:v>179.99</x:v>
      </x:c>
      <x:c r="H2294" s="37" t="str">
        <x:v>0.00</x:v>
      </x:c>
      <x:c r="I2294" s="37" t="str">
        <x:v>0.00</x:v>
      </x:c>
      <x:c r="J2294" s="37" t="str">
        <x:v>0.00</x:v>
      </x:c>
      <x:c r="K2294" s="37" t="str">
        <x:v>179.99</x:v>
      </x:c>
      <x:c r="L2294" s="37" t="str">
        <x:v>212</x:v>
      </x:c>
      <x:c r="M2294" s="29" t="str">
        <x:v>117.33</x:v>
      </x:c>
      <x:c r="N2294" s="29" t="str">
        <x:v>95.41</x:v>
      </x:c>
      <x:c r="O2294" s="29" t="str">
        <x:v>21.92</x:v>
      </x:c>
      <x:c r="P2294" s="18" t="str">
        <x:v>2026-07-01</x:v>
      </x:c>
      <x:c r="Q2294" s="36" t="n">
        <x:v>46204</x:v>
      </x:c>
    </x:row>
    <x:row r="2295">
      <x:c r="A2295" s="36" t="str">
        <x:v>2026-07-01</x:v>
      </x:c>
      <x:c r="B2295" s="18" t="str">
        <x:v>101437000_78235</x:v>
      </x:c>
      <x:c r="C2295" s="18" t="str">
        <x:v>【沪村小电】欣秋苑充电站</x:v>
      </x:c>
      <x:c r="D2295" s="37" t="str">
        <x:v>4</x:v>
      </x:c>
      <x:c r="E2295" s="37" t="str">
        <x:v>0</x:v>
      </x:c>
      <x:c r="F2295" s="37" t="str">
        <x:v>26</x:v>
      </x:c>
      <x:c r="G2295" s="37" t="str">
        <x:v>679.66</x:v>
      </x:c>
      <x:c r="H2295" s="37" t="str">
        <x:v>0.00</x:v>
      </x:c>
      <x:c r="I2295" s="37" t="str">
        <x:v>517.76</x:v>
      </x:c>
      <x:c r="J2295" s="37" t="str">
        <x:v>0.00</x:v>
      </x:c>
      <x:c r="K2295" s="37" t="str">
        <x:v>161.90</x:v>
      </x:c>
      <x:c r="L2295" s="37" t="str">
        <x:v>1161</x:v>
      </x:c>
      <x:c r="M2295" s="29" t="str">
        <x:v>584.65</x:v>
      </x:c>
      <x:c r="N2295" s="29" t="str">
        <x:v>444.69</x:v>
      </x:c>
      <x:c r="O2295" s="29" t="str">
        <x:v>139.96</x:v>
      </x:c>
      <x:c r="P2295" s="18" t="str">
        <x:v>2026-07-01</x:v>
      </x:c>
      <x:c r="Q2295" s="36" t="n">
        <x:v>46204</x:v>
      </x:c>
    </x:row>
    <x:row r="2296">
      <x:c r="A2296" s="36" t="str">
        <x:v>2026-07-01</x:v>
      </x:c>
      <x:c r="B2296" s="18" t="str">
        <x:v>101437000_78237</x:v>
      </x:c>
      <x:c r="C2296" s="18" t="str">
        <x:v>【沪村小电】奉馨苑西门小区内北侧充电站</x:v>
      </x:c>
      <x:c r="D2296" s="37" t="str">
        <x:v>2</x:v>
      </x:c>
      <x:c r="E2296" s="37" t="str">
        <x:v>0</x:v>
      </x:c>
      <x:c r="F2296" s="37" t="str">
        <x:v>33</x:v>
      </x:c>
      <x:c r="G2296" s="37" t="str">
        <x:v>848.19</x:v>
      </x:c>
      <x:c r="H2296" s="37" t="str">
        <x:v>0.00</x:v>
      </x:c>
      <x:c r="I2296" s="37" t="str">
        <x:v>493.47</x:v>
      </x:c>
      <x:c r="J2296" s="37" t="str">
        <x:v>0.00</x:v>
      </x:c>
      <x:c r="K2296" s="37" t="str">
        <x:v>354.71</x:v>
      </x:c>
      <x:c r="L2296" s="37" t="str">
        <x:v>1207</x:v>
      </x:c>
      <x:c r="M2296" s="29" t="str">
        <x:v>728.21</x:v>
      </x:c>
      <x:c r="N2296" s="29" t="str">
        <x:v>499.97</x:v>
      </x:c>
      <x:c r="O2296" s="29" t="str">
        <x:v>228.24</x:v>
      </x:c>
      <x:c r="P2296" s="18" t="str">
        <x:v>2026-07-01</x:v>
      </x:c>
      <x:c r="Q2296" s="36" t="n">
        <x:v>46204</x:v>
      </x:c>
    </x:row>
    <x:row r="2297">
      <x:c r="A2297" s="36" t="str">
        <x:v>2026-07-01</x:v>
      </x:c>
      <x:c r="B2297" s="18" t="str">
        <x:v>101437000_78239</x:v>
      </x:c>
      <x:c r="C2297" s="18" t="str">
        <x:v>【沪村小电】恒大佘山首府东门充电站</x:v>
      </x:c>
      <x:c r="D2297" s="37" t="str">
        <x:v>2</x:v>
      </x:c>
      <x:c r="E2297" s="37" t="str">
        <x:v>0</x:v>
      </x:c>
      <x:c r="F2297" s="37" t="str">
        <x:v>31</x:v>
      </x:c>
      <x:c r="G2297" s="37" t="str">
        <x:v>979.76</x:v>
      </x:c>
      <x:c r="H2297" s="37" t="str">
        <x:v>0.00</x:v>
      </x:c>
      <x:c r="I2297" s="37" t="str">
        <x:v>514.74</x:v>
      </x:c>
      <x:c r="J2297" s="37" t="str">
        <x:v>0.00</x:v>
      </x:c>
      <x:c r="K2297" s="37" t="str">
        <x:v>465.02</x:v>
      </x:c>
      <x:c r="L2297" s="37" t="str">
        <x:v>1323</x:v>
      </x:c>
      <x:c r="M2297" s="29" t="str">
        <x:v>704.22</x:v>
      </x:c>
      <x:c r="N2297" s="29" t="str">
        <x:v>557.63</x:v>
      </x:c>
      <x:c r="O2297" s="29" t="str">
        <x:v>146.59</x:v>
      </x:c>
      <x:c r="P2297" s="18" t="str">
        <x:v>2026-07-01</x:v>
      </x:c>
      <x:c r="Q2297" s="36" t="n">
        <x:v>46204</x:v>
      </x:c>
    </x:row>
    <x:row r="2298">
      <x:c r="A2298" s="36" t="str">
        <x:v>2026-07-01</x:v>
      </x:c>
      <x:c r="B2298" s="18" t="str">
        <x:v>101437000_80823</x:v>
      </x:c>
      <x:c r="C2298" s="18" t="str">
        <x:v>【沪村小电】上湖轩充电站</x:v>
      </x:c>
      <x:c r="D2298" s="37" t="str">
        <x:v>2</x:v>
      </x:c>
      <x:c r="E2298" s="37" t="str">
        <x:v>0</x:v>
      </x:c>
      <x:c r="F2298" s="37" t="str">
        <x:v>12</x:v>
      </x:c>
      <x:c r="G2298" s="37" t="str">
        <x:v>237.27</x:v>
      </x:c>
      <x:c r="H2298" s="37" t="str">
        <x:v>33.72</x:v>
      </x:c>
      <x:c r="I2298" s="37" t="str">
        <x:v>0.00</x:v>
      </x:c>
      <x:c r="J2298" s="37" t="str">
        <x:v>59.02</x:v>
      </x:c>
      <x:c r="K2298" s="37" t="str">
        <x:v>144.54</x:v>
      </x:c>
      <x:c r="L2298" s="37" t="str">
        <x:v>356</x:v>
      </x:c>
      <x:c r="M2298" s="29" t="str">
        <x:v>175.50</x:v>
      </x:c>
      <x:c r="N2298" s="29" t="str">
        <x:v>126.81</x:v>
      </x:c>
      <x:c r="O2298" s="29" t="str">
        <x:v>48.69</x:v>
      </x:c>
      <x:c r="P2298" s="18" t="str">
        <x:v>2026-07-01</x:v>
      </x:c>
      <x:c r="Q2298" s="36" t="n">
        <x:v>46204</x:v>
      </x:c>
    </x:row>
    <x:row r="2299">
      <x:c r="A2299" s="36" t="str">
        <x:v>2026-07-01</x:v>
      </x:c>
      <x:c r="B2299" s="18" t="str">
        <x:v>101437000_83019</x:v>
      </x:c>
      <x:c r="C2299" s="18" t="str">
        <x:v>【沪村小电】首创禧瑞云启东区充电站</x:v>
      </x:c>
      <x:c r="D2299" s="37" t="str">
        <x:v>2</x:v>
      </x:c>
      <x:c r="E2299" s="37" t="str">
        <x:v>0</x:v>
      </x:c>
      <x:c r="F2299" s="37" t="str">
        <x:v>52</x:v>
      </x:c>
      <x:c r="G2299" s="37" t="str">
        <x:v>1300.22</x:v>
      </x:c>
      <x:c r="H2299" s="37" t="str">
        <x:v>0.00</x:v>
      </x:c>
      <x:c r="I2299" s="37" t="str">
        <x:v>997.34</x:v>
      </x:c>
      <x:c r="J2299" s="37" t="str">
        <x:v>0.00</x:v>
      </x:c>
      <x:c r="K2299" s="37" t="str">
        <x:v>302.87</x:v>
      </x:c>
      <x:c r="L2299" s="37" t="str">
        <x:v>1935</x:v>
      </x:c>
      <x:c r="M2299" s="29" t="str">
        <x:v>1147.42</x:v>
      </x:c>
      <x:c r="N2299" s="29" t="str">
        <x:v>797.23</x:v>
      </x:c>
      <x:c r="O2299" s="29" t="str">
        <x:v>350.19</x:v>
      </x:c>
      <x:c r="P2299" s="18" t="str">
        <x:v>2026-07-01</x:v>
      </x:c>
      <x:c r="Q2299" s="36" t="n">
        <x:v>46204</x:v>
      </x:c>
    </x:row>
    <x:row r="2300">
      <x:c r="A2300" s="36" t="str">
        <x:v>2026-07-01</x:v>
      </x:c>
      <x:c r="B2300" s="18" t="str">
        <x:v>101437000_83093</x:v>
      </x:c>
      <x:c r="C2300" s="18" t="str">
        <x:v>【沪村小电】金茂未来时光里</x:v>
      </x:c>
      <x:c r="D2300" s="37" t="str">
        <x:v>2</x:v>
      </x:c>
      <x:c r="E2300" s="37" t="str">
        <x:v>0</x:v>
      </x:c>
      <x:c r="F2300" s="37" t="str">
        <x:v>20</x:v>
      </x:c>
      <x:c r="G2300" s="37" t="str">
        <x:v>657.55</x:v>
      </x:c>
      <x:c r="H2300" s="37" t="str">
        <x:v>0.00</x:v>
      </x:c>
      <x:c r="I2300" s="37" t="str">
        <x:v>336.74</x:v>
      </x:c>
      <x:c r="J2300" s="37" t="str">
        <x:v>0.00</x:v>
      </x:c>
      <x:c r="K2300" s="37" t="str">
        <x:v>320.81</x:v>
      </x:c>
      <x:c r="L2300" s="37" t="str">
        <x:v>1079</x:v>
      </x:c>
      <x:c r="M2300" s="29" t="str">
        <x:v>437.40</x:v>
      </x:c>
      <x:c r="N2300" s="29" t="str">
        <x:v>298.13</x:v>
      </x:c>
      <x:c r="O2300" s="29" t="str">
        <x:v>139.27</x:v>
      </x:c>
      <x:c r="P2300" s="18" t="str">
        <x:v>2026-07-01</x:v>
      </x:c>
      <x:c r="Q2300" s="36" t="n">
        <x:v>46204</x:v>
      </x:c>
    </x:row>
    <x:row r="2301">
      <x:c r="A2301" s="36" t="str">
        <x:v>2026-07-01</x:v>
      </x:c>
      <x:c r="B2301" s="18" t="str">
        <x:v>101437000_83911</x:v>
      </x:c>
      <x:c r="C2301" s="18" t="str">
        <x:v>【沪村小电】金瀚园充电站</x:v>
      </x:c>
      <x:c r="D2301" s="37" t="str">
        <x:v>2</x:v>
      </x:c>
      <x:c r="E2301" s="37" t="str">
        <x:v>0</x:v>
      </x:c>
      <x:c r="F2301" s="37" t="str">
        <x:v>24</x:v>
      </x:c>
      <x:c r="G2301" s="37" t="str">
        <x:v>626.33</x:v>
      </x:c>
      <x:c r="H2301" s="37" t="str">
        <x:v>0.00</x:v>
      </x:c>
      <x:c r="I2301" s="37" t="str">
        <x:v>309.69</x:v>
      </x:c>
      <x:c r="J2301" s="37" t="str">
        <x:v>0.00</x:v>
      </x:c>
      <x:c r="K2301" s="37" t="str">
        <x:v>316.64</x:v>
      </x:c>
      <x:c r="L2301" s="37" t="str">
        <x:v>846</x:v>
      </x:c>
      <x:c r="M2301" s="29" t="str">
        <x:v>573.07</x:v>
      </x:c>
      <x:c r="N2301" s="29" t="str">
        <x:v>349.49</x:v>
      </x:c>
      <x:c r="O2301" s="29" t="str">
        <x:v>223.58</x:v>
      </x:c>
      <x:c r="P2301" s="18" t="str">
        <x:v>2026-07-01</x:v>
      </x:c>
      <x:c r="Q2301" s="36" t="n">
        <x:v>46204</x:v>
      </x:c>
    </x:row>
    <x:row r="2302">
      <x:c r="A2302" s="36" t="str">
        <x:v>2026-07-01</x:v>
      </x:c>
      <x:c r="B2302" s="18" t="str">
        <x:v>101437000_83913</x:v>
      </x:c>
      <x:c r="C2302" s="18" t="str">
        <x:v>【沪村小电】新黎村充电站</x:v>
      </x:c>
      <x:c r="D2302" s="37" t="str">
        <x:v>2</x:v>
      </x:c>
      <x:c r="E2302" s="37" t="str">
        <x:v>0</x:v>
      </x:c>
      <x:c r="F2302" s="37" t="str">
        <x:v>22</x:v>
      </x:c>
      <x:c r="G2302" s="37" t="str">
        <x:v>564.91</x:v>
      </x:c>
      <x:c r="H2302" s="37" t="str">
        <x:v>0.00</x:v>
      </x:c>
      <x:c r="I2302" s="37" t="str">
        <x:v>305.46</x:v>
      </x:c>
      <x:c r="J2302" s="37" t="str">
        <x:v>0.00</x:v>
      </x:c>
      <x:c r="K2302" s="37" t="str">
        <x:v>259.45</x:v>
      </x:c>
      <x:c r="L2302" s="37" t="str">
        <x:v>747</x:v>
      </x:c>
      <x:c r="M2302" s="29" t="str">
        <x:v>626.45</x:v>
      </x:c>
      <x:c r="N2302" s="29" t="str">
        <x:v>455.20</x:v>
      </x:c>
      <x:c r="O2302" s="29" t="str">
        <x:v>171.25</x:v>
      </x:c>
      <x:c r="P2302" s="18" t="str">
        <x:v>2026-07-01</x:v>
      </x:c>
      <x:c r="Q2302" s="36" t="n">
        <x:v>46204</x:v>
      </x:c>
    </x:row>
    <x:row r="2303">
      <x:c r="A2303" s="36" t="str">
        <x:v>2026-07-01</x:v>
      </x:c>
      <x:c r="B2303" s="18" t="str">
        <x:v>101437000_83915</x:v>
      </x:c>
      <x:c r="C2303" s="18" t="str">
        <x:v>【沪村小电】长泰西郊别墅充电站</x:v>
      </x:c>
      <x:c r="D2303" s="37" t="str">
        <x:v>2</x:v>
      </x:c>
      <x:c r="E2303" s="37" t="str">
        <x:v>0</x:v>
      </x:c>
      <x:c r="F2303" s="37" t="str">
        <x:v>12</x:v>
      </x:c>
      <x:c r="G2303" s="37" t="str">
        <x:v>269.40</x:v>
      </x:c>
      <x:c r="H2303" s="37" t="str">
        <x:v>0.00</x:v>
      </x:c>
      <x:c r="I2303" s="37" t="str">
        <x:v>206.00</x:v>
      </x:c>
      <x:c r="J2303" s="37" t="str">
        <x:v>0.00</x:v>
      </x:c>
      <x:c r="K2303" s="37" t="str">
        <x:v>63.40</x:v>
      </x:c>
      <x:c r="L2303" s="37" t="str">
        <x:v>467</x:v>
      </x:c>
      <x:c r="M2303" s="29" t="str">
        <x:v>256.79</x:v>
      </x:c>
      <x:c r="N2303" s="29" t="str">
        <x:v>176.55</x:v>
      </x:c>
      <x:c r="O2303" s="29" t="str">
        <x:v>80.24</x:v>
      </x:c>
      <x:c r="P2303" s="18" t="str">
        <x:v>2026-07-01</x:v>
      </x:c>
      <x:c r="Q2303" s="36" t="n">
        <x:v>46204</x:v>
      </x:c>
    </x:row>
    <x:row r="2304">
      <x:c r="A2304" s="36" t="str">
        <x:v>2026-07-01</x:v>
      </x:c>
      <x:c r="B2304" s="18" t="str">
        <x:v>101437000_83917</x:v>
      </x:c>
      <x:c r="C2304" s="18" t="str">
        <x:v>【沪村小电】旭新华庭充电站</x:v>
      </x:c>
      <x:c r="D2304" s="37" t="str">
        <x:v>4</x:v>
      </x:c>
      <x:c r="E2304" s="37" t="str">
        <x:v>0</x:v>
      </x:c>
      <x:c r="F2304" s="37" t="str">
        <x:v>26</x:v>
      </x:c>
      <x:c r="G2304" s="37" t="str">
        <x:v>645.66</x:v>
      </x:c>
      <x:c r="H2304" s="37" t="str">
        <x:v>0.00</x:v>
      </x:c>
      <x:c r="I2304" s="37" t="str">
        <x:v>378.68</x:v>
      </x:c>
      <x:c r="J2304" s="37" t="str">
        <x:v>0.00</x:v>
      </x:c>
      <x:c r="K2304" s="37" t="str">
        <x:v>266.98</x:v>
      </x:c>
      <x:c r="L2304" s="37" t="str">
        <x:v>958</x:v>
      </x:c>
      <x:c r="M2304" s="29" t="str">
        <x:v>654.74</x:v>
      </x:c>
      <x:c r="N2304" s="29" t="str">
        <x:v>381.68</x:v>
      </x:c>
      <x:c r="O2304" s="29" t="str">
        <x:v>273.06</x:v>
      </x:c>
      <x:c r="P2304" s="18" t="str">
        <x:v>2026-07-01</x:v>
      </x:c>
      <x:c r="Q2304" s="36" t="n">
        <x:v>46204</x:v>
      </x:c>
    </x:row>
    <x:row r="2305">
      <x:c r="A2305" s="36" t="str">
        <x:v>2026-07-01</x:v>
      </x:c>
      <x:c r="B2305" s="18" t="str">
        <x:v>101437000_83919</x:v>
      </x:c>
      <x:c r="C2305" s="18" t="str">
        <x:v>【沪村小电】浦锦名仕嘉园充电站</x:v>
      </x:c>
      <x:c r="D2305" s="37" t="str">
        <x:v>4</x:v>
      </x:c>
      <x:c r="E2305" s="37" t="str">
        <x:v>0</x:v>
      </x:c>
      <x:c r="F2305" s="37" t="str">
        <x:v>55</x:v>
      </x:c>
      <x:c r="G2305" s="37" t="str">
        <x:v>1372.83</x:v>
      </x:c>
      <x:c r="H2305" s="37" t="str">
        <x:v>0.00</x:v>
      </x:c>
      <x:c r="I2305" s="37" t="str">
        <x:v>0.00</x:v>
      </x:c>
      <x:c r="J2305" s="37" t="str">
        <x:v>1372.83</x:v>
      </x:c>
      <x:c r="K2305" s="37" t="str">
        <x:v>0.00</x:v>
      </x:c>
      <x:c r="L2305" s="37" t="str">
        <x:v>1989</x:v>
      </x:c>
      <x:c r="M2305" s="29" t="str">
        <x:v>1317.53</x:v>
      </x:c>
      <x:c r="N2305" s="29" t="str">
        <x:v>878.62</x:v>
      </x:c>
      <x:c r="O2305" s="29" t="str">
        <x:v>438.91</x:v>
      </x:c>
      <x:c r="P2305" s="18" t="str">
        <x:v>2026-07-01</x:v>
      </x:c>
      <x:c r="Q2305" s="36" t="n">
        <x:v>46204</x:v>
      </x:c>
    </x:row>
    <x:row r="2306">
      <x:c r="A2306" s="36" t="str">
        <x:v>2026-07-01</x:v>
      </x:c>
      <x:c r="B2306" s="18" t="str">
        <x:v>101437000_83921</x:v>
      </x:c>
      <x:c r="C2306" s="18" t="str">
        <x:v>【沪村小电】上海联怡枇杷乐园充电站（地库）</x:v>
      </x:c>
      <x:c r="D2306" s="37" t="str">
        <x:v>8</x:v>
      </x:c>
      <x:c r="E2306" s="37" t="str">
        <x:v>0</x:v>
      </x:c>
      <x:c r="F2306" s="37" t="str">
        <x:v>10</x:v>
      </x:c>
      <x:c r="G2306" s="37" t="str">
        <x:v>156.37</x:v>
      </x:c>
      <x:c r="H2306" s="37" t="str">
        <x:v>0.00</x:v>
      </x:c>
      <x:c r="I2306" s="37" t="str">
        <x:v>54.14</x:v>
      </x:c>
      <x:c r="J2306" s="37" t="str">
        <x:v>0.00</x:v>
      </x:c>
      <x:c r="K2306" s="37" t="str">
        <x:v>102.22</x:v>
      </x:c>
      <x:c r="L2306" s="37" t="str">
        <x:v>203</x:v>
      </x:c>
      <x:c r="M2306" s="29" t="str">
        <x:v>128.73</x:v>
      </x:c>
      <x:c r="N2306" s="29" t="str">
        <x:v>110.48</x:v>
      </x:c>
      <x:c r="O2306" s="29" t="str">
        <x:v>18.25</x:v>
      </x:c>
      <x:c r="P2306" s="18" t="str">
        <x:v>2026-07-01</x:v>
      </x:c>
      <x:c r="Q2306" s="36" t="n">
        <x:v>46204</x:v>
      </x:c>
    </x:row>
    <x:row r="2307">
      <x:c r="A2307" s="36" t="str">
        <x:v>2026-07-01</x:v>
      </x:c>
      <x:c r="B2307" s="18" t="str">
        <x:v>101437000_83923</x:v>
      </x:c>
      <x:c r="C2307" s="18" t="str">
        <x:v>【沪村小电】明珠新苑充电站</x:v>
      </x:c>
      <x:c r="D2307" s="37" t="str">
        <x:v>2</x:v>
      </x:c>
      <x:c r="E2307" s="37" t="str">
        <x:v>0</x:v>
      </x:c>
      <x:c r="F2307" s="37" t="str">
        <x:v>21</x:v>
      </x:c>
      <x:c r="G2307" s="37" t="str">
        <x:v>471.39</x:v>
      </x:c>
      <x:c r="H2307" s="37" t="str">
        <x:v>0.00</x:v>
      </x:c>
      <x:c r="I2307" s="37" t="str">
        <x:v>386.93</x:v>
      </x:c>
      <x:c r="J2307" s="37" t="str">
        <x:v>0.00</x:v>
      </x:c>
      <x:c r="K2307" s="37" t="str">
        <x:v>84.46</x:v>
      </x:c>
      <x:c r="L2307" s="37" t="str">
        <x:v>797</x:v>
      </x:c>
      <x:c r="M2307" s="29" t="str">
        <x:v>453.29</x:v>
      </x:c>
      <x:c r="N2307" s="29" t="str">
        <x:v>318.42</x:v>
      </x:c>
      <x:c r="O2307" s="29" t="str">
        <x:v>134.87</x:v>
      </x:c>
      <x:c r="P2307" s="18" t="str">
        <x:v>2026-07-01</x:v>
      </x:c>
      <x:c r="Q2307" s="36" t="n">
        <x:v>46204</x:v>
      </x:c>
    </x:row>
    <x:row r="2308">
      <x:c r="A2308" s="36" t="str">
        <x:v>2026-07-01</x:v>
      </x:c>
      <x:c r="B2308" s="18" t="str">
        <x:v>101437000_86379</x:v>
      </x:c>
      <x:c r="C2308" s="18" t="str">
        <x:v>【沪村小电】新宝社区充电站</x:v>
      </x:c>
      <x:c r="D2308" s="37" t="str">
        <x:v>4</x:v>
      </x:c>
      <x:c r="E2308" s="37" t="str">
        <x:v>0</x:v>
      </x:c>
      <x:c r="F2308" s="37" t="str">
        <x:v>46</x:v>
      </x:c>
      <x:c r="G2308" s="37" t="str">
        <x:v>767.25</x:v>
      </x:c>
      <x:c r="H2308" s="37" t="str">
        <x:v>0.00</x:v>
      </x:c>
      <x:c r="I2308" s="37" t="str">
        <x:v>482.22</x:v>
      </x:c>
      <x:c r="J2308" s="37" t="str">
        <x:v>0.00</x:v>
      </x:c>
      <x:c r="K2308" s="37" t="str">
        <x:v>285.03</x:v>
      </x:c>
      <x:c r="L2308" s="37" t="str">
        <x:v>1268</x:v>
      </x:c>
      <x:c r="M2308" s="29" t="str">
        <x:v>627.71</x:v>
      </x:c>
      <x:c r="N2308" s="29" t="str">
        <x:v>465.19</x:v>
      </x:c>
      <x:c r="O2308" s="29" t="str">
        <x:v>162.52</x:v>
      </x:c>
      <x:c r="P2308" s="18" t="str">
        <x:v>2026-07-01</x:v>
      </x:c>
      <x:c r="Q2308" s="36" t="n">
        <x:v>46204</x:v>
      </x:c>
    </x:row>
    <x:row r="2309">
      <x:c r="A2309" s="36" t="str">
        <x:v>2026-07-01</x:v>
      </x:c>
      <x:c r="B2309" s="18" t="str">
        <x:v>101437000_89441</x:v>
      </x:c>
      <x:c r="C2309" s="18" t="str">
        <x:v>【沪村小电】首创禧瑞云启西区充电站</x:v>
      </x:c>
      <x:c r="D2309" s="37" t="str">
        <x:v>2</x:v>
      </x:c>
      <x:c r="E2309" s="37" t="str">
        <x:v>0</x:v>
      </x:c>
      <x:c r="F2309" s="37" t="str">
        <x:v>50</x:v>
      </x:c>
      <x:c r="G2309" s="37" t="str">
        <x:v>1359.62</x:v>
      </x:c>
      <x:c r="H2309" s="37" t="str">
        <x:v>0.00</x:v>
      </x:c>
      <x:c r="I2309" s="37" t="str">
        <x:v>1120.13</x:v>
      </x:c>
      <x:c r="J2309" s="37" t="str">
        <x:v>0.00</x:v>
      </x:c>
      <x:c r="K2309" s="37" t="str">
        <x:v>239.50</x:v>
      </x:c>
      <x:c r="L2309" s="37" t="str">
        <x:v>1911</x:v>
      </x:c>
      <x:c r="M2309" s="29" t="str">
        <x:v>1199.77</x:v>
      </x:c>
      <x:c r="N2309" s="29" t="str">
        <x:v>859.13</x:v>
      </x:c>
      <x:c r="O2309" s="29" t="str">
        <x:v>340.64</x:v>
      </x:c>
      <x:c r="P2309" s="18" t="str">
        <x:v>2026-07-01</x:v>
      </x:c>
      <x:c r="Q2309" s="36" t="n">
        <x:v>46204</x:v>
      </x:c>
    </x:row>
    <x:row r="2310">
      <x:c r="A2310" s="36" t="str">
        <x:v>2026-07-01</x:v>
      </x:c>
      <x:c r="B2310" s="18" t="str">
        <x:v>101437000_89443</x:v>
      </x:c>
      <x:c r="C2310" s="18" t="str">
        <x:v>【沪村小电】玉兰清苑二期充电站</x:v>
      </x:c>
      <x:c r="D2310" s="37" t="str">
        <x:v>2</x:v>
      </x:c>
      <x:c r="E2310" s="37" t="str">
        <x:v>0</x:v>
      </x:c>
      <x:c r="F2310" s="37" t="str">
        <x:v>31</x:v>
      </x:c>
      <x:c r="G2310" s="37" t="str">
        <x:v>599.66</x:v>
      </x:c>
      <x:c r="H2310" s="37" t="str">
        <x:v>0.00</x:v>
      </x:c>
      <x:c r="I2310" s="37" t="str">
        <x:v>484.87</x:v>
      </x:c>
      <x:c r="J2310" s="37" t="str">
        <x:v>0.00</x:v>
      </x:c>
      <x:c r="K2310" s="37" t="str">
        <x:v>114.79</x:v>
      </x:c>
      <x:c r="L2310" s="37" t="str">
        <x:v>902</x:v>
      </x:c>
      <x:c r="M2310" s="29" t="str">
        <x:v>528.50</x:v>
      </x:c>
      <x:c r="N2310" s="29" t="str">
        <x:v>402.43</x:v>
      </x:c>
      <x:c r="O2310" s="29" t="str">
        <x:v>126.07</x:v>
      </x:c>
      <x:c r="P2310" s="18" t="str">
        <x:v>2026-07-01</x:v>
      </x:c>
      <x:c r="Q2310" s="36" t="n">
        <x:v>46204</x:v>
      </x:c>
    </x:row>
    <x:row r="2311">
      <x:c r="A2311" s="36" t="str">
        <x:v>2026-07-01</x:v>
      </x:c>
      <x:c r="B2311" s="18" t="str">
        <x:v>101437000_93115</x:v>
      </x:c>
      <x:c r="C2311" s="18" t="str">
        <x:v>【沪村小电】新南家园西北门</x:v>
      </x:c>
      <x:c r="D2311" s="37" t="str">
        <x:v>2</x:v>
      </x:c>
      <x:c r="E2311" s="37" t="str">
        <x:v>0</x:v>
      </x:c>
      <x:c r="F2311" s="37" t="str">
        <x:v>16</x:v>
      </x:c>
      <x:c r="G2311" s="37" t="str">
        <x:v>417.01</x:v>
      </x:c>
      <x:c r="H2311" s="37" t="str">
        <x:v>0.00</x:v>
      </x:c>
      <x:c r="I2311" s="37" t="str">
        <x:v>344.12</x:v>
      </x:c>
      <x:c r="J2311" s="37" t="str">
        <x:v>0.00</x:v>
      </x:c>
      <x:c r="K2311" s="37" t="str">
        <x:v>72.89</x:v>
      </x:c>
      <x:c r="L2311" s="37" t="str">
        <x:v>625</x:v>
      </x:c>
      <x:c r="M2311" s="29" t="str">
        <x:v>387.80</x:v>
      </x:c>
      <x:c r="N2311" s="29" t="str">
        <x:v>263.68</x:v>
      </x:c>
      <x:c r="O2311" s="29" t="str">
        <x:v>124.12</x:v>
      </x:c>
      <x:c r="P2311" s="18" t="str">
        <x:v>2026-07-01</x:v>
      </x:c>
      <x:c r="Q2311" s="36" t="n">
        <x:v>46204</x:v>
      </x:c>
    </x:row>
    <x:row r="2312">
      <x:c r="A2312" s="36" t="str">
        <x:v>2026-07-01</x:v>
      </x:c>
      <x:c r="B2312" s="18" t="str">
        <x:v>101437000_94649</x:v>
      </x:c>
      <x:c r="C2312" s="18" t="str">
        <x:v>【沪村小电】浪琴水岸花园</x:v>
      </x:c>
      <x:c r="D2312" s="37" t="str">
        <x:v>4</x:v>
      </x:c>
      <x:c r="E2312" s="37" t="str">
        <x:v>0</x:v>
      </x:c>
      <x:c r="F2312" s="37" t="str">
        <x:v>39</x:v>
      </x:c>
      <x:c r="G2312" s="37" t="str">
        <x:v>704.42</x:v>
      </x:c>
      <x:c r="H2312" s="37" t="str">
        <x:v>0.00</x:v>
      </x:c>
      <x:c r="I2312" s="37" t="str">
        <x:v>528.90</x:v>
      </x:c>
      <x:c r="J2312" s="37" t="str">
        <x:v>0.00</x:v>
      </x:c>
      <x:c r="K2312" s="37" t="str">
        <x:v>175.52</x:v>
      </x:c>
      <x:c r="L2312" s="37" t="str">
        <x:v>1254</x:v>
      </x:c>
      <x:c r="M2312" s="29" t="str">
        <x:v>616.17</x:v>
      </x:c>
      <x:c r="N2312" s="29" t="str">
        <x:v>428.15</x:v>
      </x:c>
      <x:c r="O2312" s="29" t="str">
        <x:v>188.02</x:v>
      </x:c>
      <x:c r="P2312" s="18" t="str">
        <x:v>2026-07-01</x:v>
      </x:c>
      <x:c r="Q2312" s="36" t="n">
        <x:v>46204</x:v>
      </x:c>
    </x:row>
    <x:row r="2313">
      <x:c r="A2313" s="36" t="str">
        <x:v>2026-07-01</x:v>
      </x:c>
      <x:c r="B2313" s="18" t="str">
        <x:v>101437000_95077</x:v>
      </x:c>
      <x:c r="C2313" s="18" t="str">
        <x:v>【沪村小电】民乐城惠益绿苑255弄充电站</x:v>
      </x:c>
      <x:c r="D2313" s="37" t="str">
        <x:v>2</x:v>
      </x:c>
      <x:c r="E2313" s="37" t="str">
        <x:v>0</x:v>
      </x:c>
      <x:c r="F2313" s="37" t="str">
        <x:v>1</x:v>
      </x:c>
      <x:c r="G2313" s="37" t="str">
        <x:v>16.52</x:v>
      </x:c>
      <x:c r="H2313" s="37" t="str">
        <x:v>0.00</x:v>
      </x:c>
      <x:c r="I2313" s="37" t="str">
        <x:v>16.52</x:v>
      </x:c>
      <x:c r="J2313" s="37" t="str">
        <x:v>0.00</x:v>
      </x:c>
      <x:c r="K2313" s="37" t="str">
        <x:v>0.00</x:v>
      </x:c>
      <x:c r="L2313" s="37" t="str">
        <x:v>16</x:v>
      </x:c>
      <x:c r="M2313" s="29" t="str">
        <x:v>19.17</x:v>
      </x:c>
      <x:c r="N2313" s="29" t="str">
        <x:v>12.23</x:v>
      </x:c>
      <x:c r="O2313" s="29" t="str">
        <x:v>6.94</x:v>
      </x:c>
      <x:c r="P2313" s="18" t="str">
        <x:v>2026-07-01</x:v>
      </x:c>
      <x:c r="Q2313" s="36" t="n">
        <x:v>46204</x:v>
      </x:c>
    </x:row>
    <x:row r="2314">
      <x:c r="A2314" s="36" t="str">
        <x:v>2026-07-01</x:v>
      </x:c>
      <x:c r="B2314" s="18" t="str">
        <x:v>101437000_95079</x:v>
      </x:c>
      <x:c r="C2314" s="18" t="str">
        <x:v>【沪村小电】民乐城惠益绿苑东苑充电站</x:v>
      </x:c>
      <x:c r="D2314" s="37" t="str">
        <x:v>2</x:v>
      </x:c>
      <x:c r="E2314" s="37" t="str">
        <x:v>0</x:v>
      </x:c>
      <x:c r="F2314" s="37" t="str">
        <x:v>5</x:v>
      </x:c>
      <x:c r="G2314" s="37" t="str">
        <x:v>145.74</x:v>
      </x:c>
      <x:c r="H2314" s="37" t="str">
        <x:v>0.00</x:v>
      </x:c>
      <x:c r="I2314" s="37" t="str">
        <x:v>145.74</x:v>
      </x:c>
      <x:c r="J2314" s="37" t="str">
        <x:v>0.00</x:v>
      </x:c>
      <x:c r="K2314" s="37" t="str">
        <x:v>0.00</x:v>
      </x:c>
      <x:c r="L2314" s="37" t="str">
        <x:v>247</x:v>
      </x:c>
      <x:c r="M2314" s="29" t="str">
        <x:v>141.13</x:v>
      </x:c>
      <x:c r="N2314" s="29" t="str">
        <x:v>100.56</x:v>
      </x:c>
      <x:c r="O2314" s="29" t="str">
        <x:v>40.57</x:v>
      </x:c>
      <x:c r="P2314" s="18" t="str">
        <x:v>2026-07-01</x:v>
      </x:c>
      <x:c r="Q2314" s="36" t="n">
        <x:v>46204</x:v>
      </x:c>
    </x:row>
    <x:row r="2315">
      <x:c r="A2315" s="36" t="str">
        <x:v>2026-07-01</x:v>
      </x:c>
      <x:c r="B2315" s="18" t="str">
        <x:v>101437000_95081</x:v>
      </x:c>
      <x:c r="C2315" s="18" t="str">
        <x:v>【沪村小电】民乐城惠益绿苑西苑充电站</x:v>
      </x:c>
      <x:c r="D2315" s="37" t="str">
        <x:v>2</x:v>
      </x:c>
      <x:c r="E2315" s="37" t="str">
        <x:v>0</x:v>
      </x:c>
      <x:c r="F2315" s="37" t="str">
        <x:v>1</x:v>
      </x:c>
      <x:c r="G2315" s="37" t="str">
        <x:v>18.74</x:v>
      </x:c>
      <x:c r="H2315" s="37" t="str">
        <x:v>0.00</x:v>
      </x:c>
      <x:c r="I2315" s="37" t="str">
        <x:v>18.74</x:v>
      </x:c>
      <x:c r="J2315" s="37" t="str">
        <x:v>0.00</x:v>
      </x:c>
      <x:c r="K2315" s="37" t="str">
        <x:v>0.00</x:v>
      </x:c>
      <x:c r="L2315" s="37" t="str">
        <x:v>25</x:v>
      </x:c>
      <x:c r="M2315" s="29" t="str">
        <x:v>18.89</x:v>
      </x:c>
      <x:c r="N2315" s="29" t="str">
        <x:v>12.93</x:v>
      </x:c>
      <x:c r="O2315" s="29" t="str">
        <x:v>5.96</x:v>
      </x:c>
      <x:c r="P2315" s="18" t="str">
        <x:v>2026-07-01</x:v>
      </x:c>
      <x:c r="Q2315" s="36" t="n">
        <x:v>46204</x:v>
      </x:c>
    </x:row>
    <x:row r="2316">
      <x:c r="A2316" s="36" t="str">
        <x:v>2026-07-01</x:v>
      </x:c>
      <x:c r="B2316" s="18" t="str">
        <x:v>101437000_95091</x:v>
      </x:c>
      <x:c r="C2316" s="18" t="str">
        <x:v>【沪村小电】金悦学府2号站</x:v>
      </x:c>
      <x:c r="D2316" s="37" t="str">
        <x:v>2</x:v>
      </x:c>
      <x:c r="E2316" s="37" t="str">
        <x:v>0</x:v>
      </x:c>
      <x:c r="F2316" s="37" t="str">
        <x:v>18</x:v>
      </x:c>
      <x:c r="G2316" s="37" t="str">
        <x:v>434.66</x:v>
      </x:c>
      <x:c r="H2316" s="37" t="str">
        <x:v>0.00</x:v>
      </x:c>
      <x:c r="I2316" s="37" t="str">
        <x:v>0.00</x:v>
      </x:c>
      <x:c r="J2316" s="37" t="str">
        <x:v>434.66</x:v>
      </x:c>
      <x:c r="K2316" s="37" t="str">
        <x:v>0.00</x:v>
      </x:c>
      <x:c r="L2316" s="37" t="str">
        <x:v>755</x:v>
      </x:c>
      <x:c r="M2316" s="29" t="str">
        <x:v>350.78</x:v>
      </x:c>
      <x:c r="N2316" s="29" t="str">
        <x:v>243.40</x:v>
      </x:c>
      <x:c r="O2316" s="29" t="str">
        <x:v>107.38</x:v>
      </x:c>
      <x:c r="P2316" s="18" t="str">
        <x:v>2026-07-01</x:v>
      </x:c>
      <x:c r="Q2316" s="36" t="n">
        <x:v>46204</x:v>
      </x:c>
    </x:row>
    <x:row r="2317">
      <x:c r="A2317" s="36" t="str">
        <x:v>2026-07-01</x:v>
      </x:c>
      <x:c r="B2317" s="18" t="str">
        <x:v>101437000_95941</x:v>
      </x:c>
      <x:c r="C2317" s="18" t="str">
        <x:v>【沪村小电】惠诚雅苑</x:v>
      </x:c>
      <x:c r="D2317" s="37" t="str">
        <x:v>4</x:v>
      </x:c>
      <x:c r="E2317" s="37" t="str">
        <x:v>0</x:v>
      </x:c>
      <x:c r="F2317" s="37" t="str">
        <x:v>27</x:v>
      </x:c>
      <x:c r="G2317" s="37" t="str">
        <x:v>695.39</x:v>
      </x:c>
      <x:c r="H2317" s="37" t="str">
        <x:v>0.00</x:v>
      </x:c>
      <x:c r="I2317" s="37" t="str">
        <x:v>289.07</x:v>
      </x:c>
      <x:c r="J2317" s="37" t="str">
        <x:v>0.00</x:v>
      </x:c>
      <x:c r="K2317" s="37" t="str">
        <x:v>406.32</x:v>
      </x:c>
      <x:c r="L2317" s="37" t="str">
        <x:v>1108</x:v>
      </x:c>
      <x:c r="M2317" s="29" t="str">
        <x:v>474.52</x:v>
      </x:c>
      <x:c r="N2317" s="29" t="str">
        <x:v>296.49</x:v>
      </x:c>
      <x:c r="O2317" s="29" t="str">
        <x:v>178.03</x:v>
      </x:c>
      <x:c r="P2317" s="18" t="str">
        <x:v>2026-07-01</x:v>
      </x:c>
      <x:c r="Q2317" s="36" t="n">
        <x:v>46204</x:v>
      </x:c>
    </x:row>
    <x:row r="2318">
      <x:c r="A2318" s="36" t="str">
        <x:v>2026-07-01</x:v>
      </x:c>
      <x:c r="B2318" s="18" t="str">
        <x:v>101437000_96401</x:v>
      </x:c>
      <x:c r="C2318" s="18" t="str">
        <x:v>【沪村小电】上海联怡枇杷乐园地面站</x:v>
      </x:c>
      <x:c r="D2318" s="37" t="str">
        <x:v>2</x:v>
      </x:c>
      <x:c r="E2318" s="37" t="str">
        <x:v>0</x:v>
      </x:c>
      <x:c r="F2318" s="37" t="str">
        <x:v>6</x:v>
      </x:c>
      <x:c r="G2318" s="37" t="str">
        <x:v>127.11</x:v>
      </x:c>
      <x:c r="H2318" s="37" t="str">
        <x:v>0.00</x:v>
      </x:c>
      <x:c r="I2318" s="37" t="str">
        <x:v>36.36</x:v>
      </x:c>
      <x:c r="J2318" s="37" t="str">
        <x:v>0.00</x:v>
      </x:c>
      <x:c r="K2318" s="37" t="str">
        <x:v>90.75</x:v>
      </x:c>
      <x:c r="L2318" s="37" t="str">
        <x:v>223</x:v>
      </x:c>
      <x:c r="M2318" s="29" t="str">
        <x:v>98.12</x:v>
      </x:c>
      <x:c r="N2318" s="29" t="str">
        <x:v>85.90</x:v>
      </x:c>
      <x:c r="O2318" s="29" t="str">
        <x:v>12.22</x:v>
      </x:c>
      <x:c r="P2318" s="18" t="str">
        <x:v>2026-07-01</x:v>
      </x:c>
      <x:c r="Q2318" s="36" t="n">
        <x:v>46204</x:v>
      </x:c>
    </x:row>
    <x:row r="2319">
      <x:c r="A2319" s="36" t="str">
        <x:v>2026-07-01</x:v>
      </x:c>
      <x:c r="B2319" s="18" t="str">
        <x:v>101437000_96719</x:v>
      </x:c>
      <x:c r="C2319" s="18" t="str">
        <x:v>【沪村小电】四达路220弄充电站</x:v>
      </x:c>
      <x:c r="D2319" s="37" t="str">
        <x:v>2</x:v>
      </x:c>
      <x:c r="E2319" s="37" t="str">
        <x:v>0</x:v>
      </x:c>
      <x:c r="F2319" s="37" t="str">
        <x:v>2</x:v>
      </x:c>
      <x:c r="G2319" s="37" t="str">
        <x:v>30.36</x:v>
      </x:c>
      <x:c r="H2319" s="37" t="str">
        <x:v>0.00</x:v>
      </x:c>
      <x:c r="I2319" s="37" t="str">
        <x:v>12.19</x:v>
      </x:c>
      <x:c r="J2319" s="37" t="str">
        <x:v>18.17</x:v>
      </x:c>
      <x:c r="K2319" s="37" t="str">
        <x:v>0.00</x:v>
      </x:c>
      <x:c r="L2319" s="37" t="str">
        <x:v>57</x:v>
      </x:c>
      <x:c r="M2319" s="29" t="str">
        <x:v>35.00</x:v>
      </x:c>
      <x:c r="N2319" s="29" t="str">
        <x:v>28.08</x:v>
      </x:c>
      <x:c r="O2319" s="29" t="str">
        <x:v>6.92</x:v>
      </x:c>
      <x:c r="P2319" s="18" t="str">
        <x:v>2026-07-01</x:v>
      </x:c>
      <x:c r="Q2319" s="36" t="n">
        <x:v>46204</x:v>
      </x:c>
    </x:row>
    <x:row r="2320">
      <x:c r="A2320" s="36" t="str">
        <x:v>2026-07-01</x:v>
      </x:c>
      <x:c r="B2320" s="18" t="str">
        <x:v>101437000_97421</x:v>
      </x:c>
      <x:c r="C2320" s="18" t="str">
        <x:v>【沪村小电】玉兰清苑二期（小区外）充电站</x:v>
      </x:c>
      <x:c r="D2320" s="37" t="str">
        <x:v>4</x:v>
      </x:c>
      <x:c r="E2320" s="37" t="str">
        <x:v>0</x:v>
      </x:c>
      <x:c r="F2320" s="37" t="str">
        <x:v>41</x:v>
      </x:c>
      <x:c r="G2320" s="37" t="str">
        <x:v>993.61</x:v>
      </x:c>
      <x:c r="H2320" s="37" t="str">
        <x:v>0.00</x:v>
      </x:c>
      <x:c r="I2320" s="37" t="str">
        <x:v>894.33</x:v>
      </x:c>
      <x:c r="J2320" s="37" t="str">
        <x:v>0.00</x:v>
      </x:c>
      <x:c r="K2320" s="37" t="str">
        <x:v>99.28</x:v>
      </x:c>
      <x:c r="L2320" s="37" t="str">
        <x:v>1943</x:v>
      </x:c>
      <x:c r="M2320" s="29" t="str">
        <x:v>918.65</x:v>
      </x:c>
      <x:c r="N2320" s="29" t="str">
        <x:v>699.54</x:v>
      </x:c>
      <x:c r="O2320" s="29" t="str">
        <x:v>219.11</x:v>
      </x:c>
      <x:c r="P2320" s="18" t="str">
        <x:v>2026-07-01</x:v>
      </x:c>
      <x:c r="Q2320" s="36" t="n">
        <x:v>46204</x:v>
      </x:c>
    </x:row>
    <x:row r="2321">
      <x:c r="A2321" s="36" t="str">
        <x:v>2026-07-01</x:v>
      </x:c>
      <x:c r="B2321" s="18" t="str">
        <x:v>101437000_98013</x:v>
      </x:c>
      <x:c r="C2321" s="18" t="str">
        <x:v>【沪村小电】恒大滨江华府充电站</x:v>
      </x:c>
      <x:c r="D2321" s="37" t="str">
        <x:v>4</x:v>
      </x:c>
      <x:c r="E2321" s="37" t="str">
        <x:v>0</x:v>
      </x:c>
      <x:c r="F2321" s="37" t="str">
        <x:v>15</x:v>
      </x:c>
      <x:c r="G2321" s="37" t="str">
        <x:v>450.24</x:v>
      </x:c>
      <x:c r="H2321" s="37" t="str">
        <x:v>0.00</x:v>
      </x:c>
      <x:c r="I2321" s="37" t="str">
        <x:v>199.15</x:v>
      </x:c>
      <x:c r="J2321" s="37" t="str">
        <x:v>0.00</x:v>
      </x:c>
      <x:c r="K2321" s="37" t="str">
        <x:v>251.09</x:v>
      </x:c>
      <x:c r="L2321" s="37" t="str">
        <x:v>614</x:v>
      </x:c>
      <x:c r="M2321" s="29" t="str">
        <x:v>418.38</x:v>
      </x:c>
      <x:c r="N2321" s="29" t="str">
        <x:v>340.21</x:v>
      </x:c>
      <x:c r="O2321" s="29" t="str">
        <x:v>78.17</x:v>
      </x:c>
      <x:c r="P2321" s="18" t="str">
        <x:v>2026-07-01</x:v>
      </x:c>
      <x:c r="Q2321" s="36" t="n">
        <x:v>46204</x:v>
      </x:c>
    </x:row>
    <x:row r="2322">
      <x:c r="A2322" s="36" t="str">
        <x:v>2026-07-01</x:v>
      </x:c>
      <x:c r="B2322" s="18" t="str">
        <x:v>101437000_98865</x:v>
      </x:c>
      <x:c r="C2322" s="18" t="str">
        <x:v>【沪村小电】欣松苑充电站</x:v>
      </x:c>
      <x:c r="D2322" s="37" t="str">
        <x:v>4</x:v>
      </x:c>
      <x:c r="E2322" s="37" t="str">
        <x:v>0</x:v>
      </x:c>
      <x:c r="F2322" s="37" t="str">
        <x:v>11</x:v>
      </x:c>
      <x:c r="G2322" s="37" t="str">
        <x:v>306.49</x:v>
      </x:c>
      <x:c r="H2322" s="37" t="str">
        <x:v>0.00</x:v>
      </x:c>
      <x:c r="I2322" s="37" t="str">
        <x:v>306.49</x:v>
      </x:c>
      <x:c r="J2322" s="37" t="str">
        <x:v>0.00</x:v>
      </x:c>
      <x:c r="K2322" s="37" t="str">
        <x:v>0.00</x:v>
      </x:c>
      <x:c r="L2322" s="37" t="str">
        <x:v>465</x:v>
      </x:c>
      <x:c r="M2322" s="29" t="str">
        <x:v>262.92</x:v>
      </x:c>
      <x:c r="N2322" s="29" t="str">
        <x:v>226.82</x:v>
      </x:c>
      <x:c r="O2322" s="29" t="str">
        <x:v>36.10</x:v>
      </x:c>
      <x:c r="P2322" s="18" t="str">
        <x:v>2026-07-01</x:v>
      </x:c>
      <x:c r="Q2322" s="36" t="n">
        <x:v>46204</x:v>
      </x:c>
    </x:row>
    <x:row r="2323">
      <x:c r="A2323" s="36" t="str">
        <x:v>2026-07-01</x:v>
      </x:c>
      <x:c r="B2323" s="18" t="str">
        <x:v>101437000_98867</x:v>
      </x:c>
      <x:c r="C2323" s="18" t="str">
        <x:v>【沪村小电】欣荷苑充电站</x:v>
      </x:c>
      <x:c r="D2323" s="37" t="str">
        <x:v>4</x:v>
      </x:c>
      <x:c r="E2323" s="37" t="str">
        <x:v>0</x:v>
      </x:c>
      <x:c r="F2323" s="37" t="str">
        <x:v>16</x:v>
      </x:c>
      <x:c r="G2323" s="37" t="str">
        <x:v>350.12</x:v>
      </x:c>
      <x:c r="H2323" s="37" t="str">
        <x:v>0.00</x:v>
      </x:c>
      <x:c r="I2323" s="37" t="str">
        <x:v>306.04</x:v>
      </x:c>
      <x:c r="J2323" s="37" t="str">
        <x:v>0.00</x:v>
      </x:c>
      <x:c r="K2323" s="37" t="str">
        <x:v>44.08</x:v>
      </x:c>
      <x:c r="L2323" s="37" t="str">
        <x:v>407</x:v>
      </x:c>
      <x:c r="M2323" s="29" t="str">
        <x:v>306.49</x:v>
      </x:c>
      <x:c r="N2323" s="29" t="str">
        <x:v>243.22</x:v>
      </x:c>
      <x:c r="O2323" s="29" t="str">
        <x:v>63.27</x:v>
      </x:c>
      <x:c r="P2323" s="18" t="str">
        <x:v>2026-07-01</x:v>
      </x:c>
      <x:c r="Q2323" s="36" t="n">
        <x:v>46204</x:v>
      </x:c>
    </x:row>
    <x:row r="2324">
      <x:c r="A2324" s="36" t="str">
        <x:v>2026-07-01</x:v>
      </x:c>
      <x:c r="B2324" s="18" t="str">
        <x:v>101437000_99885</x:v>
      </x:c>
      <x:c r="C2324" s="18" t="str">
        <x:v>【沪村小电】汇丰馨苑充电站</x:v>
      </x:c>
      <x:c r="D2324" s="37" t="str">
        <x:v>4</x:v>
      </x:c>
      <x:c r="E2324" s="37" t="str">
        <x:v>0</x:v>
      </x:c>
      <x:c r="F2324" s="37" t="str">
        <x:v>8</x:v>
      </x:c>
      <x:c r="G2324" s="37" t="str">
        <x:v>190.06</x:v>
      </x:c>
      <x:c r="H2324" s="37" t="str">
        <x:v>0.00</x:v>
      </x:c>
      <x:c r="I2324" s="37" t="str">
        <x:v>27.20</x:v>
      </x:c>
      <x:c r="J2324" s="37" t="str">
        <x:v>88.47</x:v>
      </x:c>
      <x:c r="K2324" s="37" t="str">
        <x:v>74.39</x:v>
      </x:c>
      <x:c r="L2324" s="37" t="str">
        <x:v>238</x:v>
      </x:c>
      <x:c r="M2324" s="29" t="str">
        <x:v>178.79</x:v>
      </x:c>
      <x:c r="N2324" s="29" t="str">
        <x:v>122.45</x:v>
      </x:c>
      <x:c r="O2324" s="29" t="str">
        <x:v>56.34</x:v>
      </x:c>
      <x:c r="P2324" s="18" t="str">
        <x:v>2026-07-01</x:v>
      </x:c>
      <x:c r="Q2324" s="36" t="n">
        <x:v>46204</x:v>
      </x:c>
    </x:row>
    <x:row r="2325">
      <x:c r="A2325" s="36" t="str">
        <x:v>2026-07-01</x:v>
      </x:c>
      <x:c r="B2325" s="18" t="str">
        <x:v>101437000_99887</x:v>
      </x:c>
      <x:c r="C2325" s="18" t="str">
        <x:v>【沪村小电】新南村河南小区充电站</x:v>
      </x:c>
      <x:c r="D2325" s="37" t="str">
        <x:v>2</x:v>
      </x:c>
      <x:c r="E2325" s="37" t="str">
        <x:v>0</x:v>
      </x:c>
      <x:c r="F2325" s="37" t="str">
        <x:v>23</x:v>
      </x:c>
      <x:c r="G2325" s="37" t="str">
        <x:v>610.00</x:v>
      </x:c>
      <x:c r="H2325" s="37" t="str">
        <x:v>0.00</x:v>
      </x:c>
      <x:c r="I2325" s="37" t="str">
        <x:v>441.90</x:v>
      </x:c>
      <x:c r="J2325" s="37" t="str">
        <x:v>0.00</x:v>
      </x:c>
      <x:c r="K2325" s="37" t="str">
        <x:v>168.10</x:v>
      </x:c>
      <x:c r="L2325" s="37" t="str">
        <x:v>969</x:v>
      </x:c>
      <x:c r="M2325" s="29" t="str">
        <x:v>516.70</x:v>
      </x:c>
      <x:c r="N2325" s="29" t="str">
        <x:v>390.88</x:v>
      </x:c>
      <x:c r="O2325" s="29" t="str">
        <x:v>125.82</x:v>
      </x:c>
      <x:c r="P2325" s="18" t="str">
        <x:v>2026-07-01</x:v>
      </x:c>
      <x:c r="Q2325" s="36" t="n">
        <x:v>46204</x:v>
      </x:c>
    </x:row>
    <x:row r="2326">
      <x:c r="A2326" s="36" t="str">
        <x:v>2026-07-01</x:v>
      </x:c>
      <x:c r="B2326" s="18" t="str">
        <x:v>101437000_99889</x:v>
      </x:c>
      <x:c r="C2326" s="18" t="str">
        <x:v>【沪村小电】漕泾郊野公园</x:v>
      </x:c>
      <x:c r="D2326" s="37" t="str">
        <x:v>2</x:v>
      </x:c>
      <x:c r="E2326" s="37" t="str">
        <x:v>0</x:v>
      </x:c>
      <x:c r="F2326" s="37" t="str">
        <x:v>2</x:v>
      </x:c>
      <x:c r="G2326" s="37" t="str">
        <x:v>46.21</x:v>
      </x:c>
      <x:c r="H2326" s="37" t="str">
        <x:v>0.00</x:v>
      </x:c>
      <x:c r="I2326" s="37" t="str">
        <x:v>46.21</x:v>
      </x:c>
      <x:c r="J2326" s="37" t="str">
        <x:v>0.00</x:v>
      </x:c>
      <x:c r="K2326" s="37" t="str">
        <x:v>0.00</x:v>
      </x:c>
      <x:c r="L2326" s="37" t="str">
        <x:v>46</x:v>
      </x:c>
      <x:c r="M2326" s="29" t="str">
        <x:v>50.37</x:v>
      </x:c>
      <x:c r="N2326" s="29" t="str">
        <x:v>38.82</x:v>
      </x:c>
      <x:c r="O2326" s="29" t="str">
        <x:v>11.55</x:v>
      </x:c>
      <x:c r="P2326" s="18" t="str">
        <x:v>2026-07-01</x:v>
      </x:c>
      <x:c r="Q2326" s="36" t="n">
        <x:v>46204</x:v>
      </x:c>
    </x:row>
    <x:row r="2327">
      <x:c r="A2327" s="36" t="str">
        <x:v>2026-07-01</x:v>
      </x:c>
      <x:c r="B2327" s="18" t="str">
        <x:v>101437000_99891</x:v>
      </x:c>
      <x:c r="C2327" s="18" t="str">
        <x:v>【沪村小电】水韵紫城充电站</x:v>
      </x:c>
      <x:c r="D2327" s="37" t="str">
        <x:v>4</x:v>
      </x:c>
      <x:c r="E2327" s="37" t="str">
        <x:v>0</x:v>
      </x:c>
      <x:c r="F2327" s="37" t="str">
        <x:v>12</x:v>
      </x:c>
      <x:c r="G2327" s="37" t="str">
        <x:v>289.16</x:v>
      </x:c>
      <x:c r="H2327" s="37" t="str">
        <x:v>0.00</x:v>
      </x:c>
      <x:c r="I2327" s="37" t="str">
        <x:v>158.00</x:v>
      </x:c>
      <x:c r="J2327" s="37" t="str">
        <x:v>0.00</x:v>
      </x:c>
      <x:c r="K2327" s="37" t="str">
        <x:v>131.16</x:v>
      </x:c>
      <x:c r="L2327" s="37" t="str">
        <x:v>399</x:v>
      </x:c>
      <x:c r="M2327" s="29" t="str">
        <x:v>262.50</x:v>
      </x:c>
      <x:c r="N2327" s="29" t="str">
        <x:v>166.74</x:v>
      </x:c>
      <x:c r="O2327" s="29" t="str">
        <x:v>95.76</x:v>
      </x:c>
      <x:c r="P2327" s="18" t="str">
        <x:v>2026-07-01</x:v>
      </x:c>
      <x:c r="Q2327" s="36" t="n">
        <x:v>46204</x:v>
      </x:c>
    </x:row>
    <x:row r="2328">
      <x:c r="A2328" s="36" t="str">
        <x:v>2026-06-30</x:v>
      </x:c>
      <x:c r="B2328" s="18" t="str">
        <x:v>101437000_41561</x:v>
      </x:c>
      <x:c r="C2328" s="18" t="str">
        <x:v>【沪村小电】张施小区大门处快充站</x:v>
      </x:c>
      <x:c r="D2328" s="37" t="str">
        <x:v>2</x:v>
      </x:c>
      <x:c r="E2328" s="37" t="str">
        <x:v>0</x:v>
      </x:c>
      <x:c r="F2328" s="37" t="str">
        <x:v>40</x:v>
      </x:c>
      <x:c r="G2328" s="37" t="str">
        <x:v>989.94</x:v>
      </x:c>
      <x:c r="H2328" s="37" t="str">
        <x:v>0.00</x:v>
      </x:c>
      <x:c r="I2328" s="37" t="str">
        <x:v>330.92</x:v>
      </x:c>
      <x:c r="J2328" s="37" t="str">
        <x:v>0.00</x:v>
      </x:c>
      <x:c r="K2328" s="37" t="str">
        <x:v>659.02</x:v>
      </x:c>
      <x:c r="L2328" s="37" t="str">
        <x:v>1594</x:v>
      </x:c>
      <x:c r="M2328" s="29" t="str">
        <x:v>687.31</x:v>
      </x:c>
      <x:c r="N2328" s="29" t="str">
        <x:v>495.31</x:v>
      </x:c>
      <x:c r="O2328" s="29" t="str">
        <x:v>192.00</x:v>
      </x:c>
      <x:c r="P2328" s="18" t="str">
        <x:v>2026-06-30</x:v>
      </x:c>
      <x:c r="Q2328" s="36" t="n">
        <x:v>46203</x:v>
      </x:c>
    </x:row>
    <x:row r="2329">
      <x:c r="A2329" s="36" t="str">
        <x:v>2026-06-30</x:v>
      </x:c>
      <x:c r="B2329" s="18" t="str">
        <x:v>101437000_41563</x:v>
      </x:c>
      <x:c r="C2329" s="18" t="str">
        <x:v>【沪村小电】同心村快充站</x:v>
      </x:c>
      <x:c r="D2329" s="37" t="str">
        <x:v>4</x:v>
      </x:c>
      <x:c r="E2329" s="37" t="str">
        <x:v>0</x:v>
      </x:c>
      <x:c r="F2329" s="37" t="str">
        <x:v>59</x:v>
      </x:c>
      <x:c r="G2329" s="37" t="str">
        <x:v>1262.17</x:v>
      </x:c>
      <x:c r="H2329" s="37" t="str">
        <x:v>0.00</x:v>
      </x:c>
      <x:c r="I2329" s="37" t="str">
        <x:v>746.15</x:v>
      </x:c>
      <x:c r="J2329" s="37" t="str">
        <x:v>0.00</x:v>
      </x:c>
      <x:c r="K2329" s="37" t="str">
        <x:v>516.03</x:v>
      </x:c>
      <x:c r="L2329" s="37" t="str">
        <x:v>2771</x:v>
      </x:c>
      <x:c r="M2329" s="29" t="str">
        <x:v>1012.50</x:v>
      </x:c>
      <x:c r="N2329" s="29" t="str">
        <x:v>700.59</x:v>
      </x:c>
      <x:c r="O2329" s="29" t="str">
        <x:v>311.91</x:v>
      </x:c>
      <x:c r="P2329" s="18" t="str">
        <x:v>2026-06-30</x:v>
      </x:c>
      <x:c r="Q2329" s="36" t="n">
        <x:v>46203</x:v>
      </x:c>
    </x:row>
    <x:row r="2330">
      <x:c r="A2330" s="36" t="str">
        <x:v>2026-06-30</x:v>
      </x:c>
      <x:c r="B2330" s="18" t="str">
        <x:v>101437000_69629</x:v>
      </x:c>
      <x:c r="C2330" s="18" t="str">
        <x:v>【沪村小电】骏丰玲珑坊西苑充电站</x:v>
      </x:c>
      <x:c r="D2330" s="37" t="str">
        <x:v>2</x:v>
      </x:c>
      <x:c r="E2330" s="37" t="str">
        <x:v>0</x:v>
      </x:c>
      <x:c r="F2330" s="37" t="str">
        <x:v>73</x:v>
      </x:c>
      <x:c r="G2330" s="37" t="str">
        <x:v>1583.64</x:v>
      </x:c>
      <x:c r="H2330" s="37" t="str">
        <x:v>0.00</x:v>
      </x:c>
      <x:c r="I2330" s="37" t="str">
        <x:v>843.91</x:v>
      </x:c>
      <x:c r="J2330" s="37" t="str">
        <x:v>0.00</x:v>
      </x:c>
      <x:c r="K2330" s="37" t="str">
        <x:v>739.73</x:v>
      </x:c>
      <x:c r="L2330" s="37" t="str">
        <x:v>2772</x:v>
      </x:c>
      <x:c r="M2330" s="29" t="str">
        <x:v>1198.13</x:v>
      </x:c>
      <x:c r="N2330" s="29" t="str">
        <x:v>905.57</x:v>
      </x:c>
      <x:c r="O2330" s="29" t="str">
        <x:v>292.56</x:v>
      </x:c>
      <x:c r="P2330" s="18" t="str">
        <x:v>2026-06-30</x:v>
      </x:c>
      <x:c r="Q2330" s="36" t="n">
        <x:v>46203</x:v>
      </x:c>
    </x:row>
    <x:row r="2331">
      <x:c r="A2331" s="36" t="str">
        <x:v>2026-06-30</x:v>
      </x:c>
      <x:c r="B2331" s="18" t="str">
        <x:v>101437000_70547</x:v>
      </x:c>
      <x:c r="C2331" s="18" t="str">
        <x:v>【沪村小电】农建村初心馆党群服务中心充电站</x:v>
      </x:c>
      <x:c r="D2331" s="37" t="str">
        <x:v>4</x:v>
      </x:c>
      <x:c r="E2331" s="37" t="str">
        <x:v>0</x:v>
      </x:c>
      <x:c r="F2331" s="37" t="str">
        <x:v>22</x:v>
      </x:c>
      <x:c r="G2331" s="37" t="str">
        <x:v>574.01</x:v>
      </x:c>
      <x:c r="H2331" s="37" t="str">
        <x:v>0.00</x:v>
      </x:c>
      <x:c r="I2331" s="37" t="str">
        <x:v>204.45</x:v>
      </x:c>
      <x:c r="J2331" s="37" t="str">
        <x:v>0.00</x:v>
      </x:c>
      <x:c r="K2331" s="37" t="str">
        <x:v>369.56</x:v>
      </x:c>
      <x:c r="L2331" s="37" t="str">
        <x:v>912</x:v>
      </x:c>
      <x:c r="M2331" s="29" t="str">
        <x:v>482.18</x:v>
      </x:c>
      <x:c r="N2331" s="29" t="str">
        <x:v>408.51</x:v>
      </x:c>
      <x:c r="O2331" s="29" t="str">
        <x:v>73.67</x:v>
      </x:c>
      <x:c r="P2331" s="18" t="str">
        <x:v>2026-06-30</x:v>
      </x:c>
      <x:c r="Q2331" s="36" t="n">
        <x:v>46203</x:v>
      </x:c>
    </x:row>
    <x:row r="2332">
      <x:c r="A2332" s="36" t="str">
        <x:v>2026-06-30</x:v>
      </x:c>
      <x:c r="B2332" s="18" t="str">
        <x:v>101437000_70549</x:v>
      </x:c>
      <x:c r="C2332" s="18" t="str">
        <x:v>【沪村小电】学府路充电站</x:v>
      </x:c>
      <x:c r="D2332" s="37" t="str">
        <x:v>2</x:v>
      </x:c>
      <x:c r="E2332" s="37" t="str">
        <x:v>0</x:v>
      </x:c>
      <x:c r="F2332" s="37" t="str">
        <x:v>10</x:v>
      </x:c>
      <x:c r="G2332" s="37" t="str">
        <x:v>222.09</x:v>
      </x:c>
      <x:c r="H2332" s="37" t="str">
        <x:v>0.00</x:v>
      </x:c>
      <x:c r="I2332" s="37" t="str">
        <x:v>66.49</x:v>
      </x:c>
      <x:c r="J2332" s="37" t="str">
        <x:v>0.00</x:v>
      </x:c>
      <x:c r="K2332" s="37" t="str">
        <x:v>155.60</x:v>
      </x:c>
      <x:c r="L2332" s="37" t="str">
        <x:v>486</x:v>
      </x:c>
      <x:c r="M2332" s="29" t="str">
        <x:v>189.28</x:v>
      </x:c>
      <x:c r="N2332" s="29" t="str">
        <x:v>151.60</x:v>
      </x:c>
      <x:c r="O2332" s="29" t="str">
        <x:v>37.68</x:v>
      </x:c>
      <x:c r="P2332" s="18" t="str">
        <x:v>2026-06-30</x:v>
      </x:c>
      <x:c r="Q2332" s="36" t="n">
        <x:v>46203</x:v>
      </x:c>
    </x:row>
    <x:row r="2333">
      <x:c r="A2333" s="36" t="str">
        <x:v>2026-06-30</x:v>
      </x:c>
      <x:c r="B2333" s="18" t="str">
        <x:v>101437000_71059</x:v>
      </x:c>
      <x:c r="C2333" s="18" t="str">
        <x:v>【沪村小电】宝乐汇商业广场站</x:v>
      </x:c>
      <x:c r="D2333" s="37" t="str">
        <x:v>4</x:v>
      </x:c>
      <x:c r="E2333" s="37" t="str">
        <x:v>0</x:v>
      </x:c>
      <x:c r="F2333" s="37" t="str">
        <x:v>7</x:v>
      </x:c>
      <x:c r="G2333" s="37" t="str">
        <x:v>90.39</x:v>
      </x:c>
      <x:c r="H2333" s="37" t="str">
        <x:v>0.00</x:v>
      </x:c>
      <x:c r="I2333" s="37" t="str">
        <x:v>34.18</x:v>
      </x:c>
      <x:c r="J2333" s="37" t="str">
        <x:v>35.56</x:v>
      </x:c>
      <x:c r="K2333" s="37" t="str">
        <x:v>20.65</x:v>
      </x:c>
      <x:c r="L2333" s="37" t="str">
        <x:v>110</x:v>
      </x:c>
      <x:c r="M2333" s="29" t="str">
        <x:v>90.78</x:v>
      </x:c>
      <x:c r="N2333" s="29" t="str">
        <x:v>69.86</x:v>
      </x:c>
      <x:c r="O2333" s="29" t="str">
        <x:v>20.92</x:v>
      </x:c>
      <x:c r="P2333" s="18" t="str">
        <x:v>2026-06-30</x:v>
      </x:c>
      <x:c r="Q2333" s="36" t="n">
        <x:v>46203</x:v>
      </x:c>
    </x:row>
    <x:row r="2334">
      <x:c r="A2334" s="36" t="str">
        <x:v>2026-06-30</x:v>
      </x:c>
      <x:c r="B2334" s="18" t="str">
        <x:v>101437000_72541</x:v>
      </x:c>
      <x:c r="C2334" s="18" t="str">
        <x:v>【沪村小电】九干路1174弄充电站</x:v>
      </x:c>
      <x:c r="D2334" s="37" t="str">
        <x:v>2</x:v>
      </x:c>
      <x:c r="E2334" s="37" t="str">
        <x:v>0</x:v>
      </x:c>
      <x:c r="F2334" s="37" t="str">
        <x:v>56</x:v>
      </x:c>
      <x:c r="G2334" s="37" t="str">
        <x:v>512.74</x:v>
      </x:c>
      <x:c r="H2334" s="37" t="str">
        <x:v>0.00</x:v>
      </x:c>
      <x:c r="I2334" s="37" t="str">
        <x:v>382.94</x:v>
      </x:c>
      <x:c r="J2334" s="37" t="str">
        <x:v>0.00</x:v>
      </x:c>
      <x:c r="K2334" s="37" t="str">
        <x:v>129.80</x:v>
      </x:c>
      <x:c r="L2334" s="37" t="str">
        <x:v>879</x:v>
      </x:c>
      <x:c r="M2334" s="29" t="str">
        <x:v>448.55</x:v>
      </x:c>
      <x:c r="N2334" s="29" t="str">
        <x:v>332.69</x:v>
      </x:c>
      <x:c r="O2334" s="29" t="str">
        <x:v>115.86</x:v>
      </x:c>
      <x:c r="P2334" s="18" t="str">
        <x:v>2026-06-30</x:v>
      </x:c>
      <x:c r="Q2334" s="36" t="n">
        <x:v>46203</x:v>
      </x:c>
    </x:row>
    <x:row r="2335">
      <x:c r="A2335" s="36" t="str">
        <x:v>2026-06-30</x:v>
      </x:c>
      <x:c r="B2335" s="18" t="str">
        <x:v>101437000_72543</x:v>
      </x:c>
      <x:c r="C2335" s="18" t="str">
        <x:v>【沪村小电】叶家中心村小区充电站</x:v>
      </x:c>
      <x:c r="D2335" s="37" t="str">
        <x:v>2</x:v>
      </x:c>
      <x:c r="E2335" s="37" t="str">
        <x:v>0</x:v>
      </x:c>
      <x:c r="F2335" s="37" t="str">
        <x:v>34</x:v>
      </x:c>
      <x:c r="G2335" s="37" t="str">
        <x:v>820.06</x:v>
      </x:c>
      <x:c r="H2335" s="37" t="str">
        <x:v>0.00</x:v>
      </x:c>
      <x:c r="I2335" s="37" t="str">
        <x:v>266.22</x:v>
      </x:c>
      <x:c r="J2335" s="37" t="str">
        <x:v>0.00</x:v>
      </x:c>
      <x:c r="K2335" s="37" t="str">
        <x:v>553.84</x:v>
      </x:c>
      <x:c r="L2335" s="37" t="str">
        <x:v>1402</x:v>
      </x:c>
      <x:c r="M2335" s="29" t="str">
        <x:v>615.21</x:v>
      </x:c>
      <x:c r="N2335" s="29" t="str">
        <x:v>407.46</x:v>
      </x:c>
      <x:c r="O2335" s="29" t="str">
        <x:v>207.75</x:v>
      </x:c>
      <x:c r="P2335" s="18" t="str">
        <x:v>2026-06-30</x:v>
      </x:c>
      <x:c r="Q2335" s="36" t="n">
        <x:v>46203</x:v>
      </x:c>
    </x:row>
    <x:row r="2336">
      <x:c r="A2336" s="36" t="str">
        <x:v>2026-06-30</x:v>
      </x:c>
      <x:c r="B2336" s="18" t="str">
        <x:v>101437000_72937</x:v>
      </x:c>
      <x:c r="C2336" s="18" t="str">
        <x:v>【沪村小电】佘北家园茸腾苑充电站</x:v>
      </x:c>
      <x:c r="D2336" s="37" t="str">
        <x:v>4</x:v>
      </x:c>
      <x:c r="E2336" s="37" t="str">
        <x:v>0</x:v>
      </x:c>
      <x:c r="F2336" s="37" t="str">
        <x:v>11</x:v>
      </x:c>
      <x:c r="G2336" s="37" t="str">
        <x:v>257.75</x:v>
      </x:c>
      <x:c r="H2336" s="37" t="str">
        <x:v>0.00</x:v>
      </x:c>
      <x:c r="I2336" s="37" t="str">
        <x:v>257.75</x:v>
      </x:c>
      <x:c r="J2336" s="37" t="str">
        <x:v>0.00</x:v>
      </x:c>
      <x:c r="K2336" s="37" t="str">
        <x:v>0.00</x:v>
      </x:c>
      <x:c r="L2336" s="37" t="str">
        <x:v>463</x:v>
      </x:c>
      <x:c r="M2336" s="29" t="str">
        <x:v>237.05</x:v>
      </x:c>
      <x:c r="N2336" s="29" t="str">
        <x:v>190.72</x:v>
      </x:c>
      <x:c r="O2336" s="29" t="str">
        <x:v>46.33</x:v>
      </x:c>
      <x:c r="P2336" s="18" t="str">
        <x:v>2026-06-30</x:v>
      </x:c>
      <x:c r="Q2336" s="36" t="n">
        <x:v>46203</x:v>
      </x:c>
    </x:row>
    <x:row r="2337">
      <x:c r="A2337" s="36" t="str">
        <x:v>2026-06-30</x:v>
      </x:c>
      <x:c r="B2337" s="18" t="str">
        <x:v>101437000_74223</x:v>
      </x:c>
      <x:c r="C2337" s="18" t="str">
        <x:v>【沪村小电】中兴村委会充电站</x:v>
      </x:c>
      <x:c r="D2337" s="37" t="str">
        <x:v>2</x:v>
      </x:c>
      <x:c r="E2337" s="37" t="str">
        <x:v>0</x:v>
      </x:c>
      <x:c r="F2337" s="37" t="str">
        <x:v>21</x:v>
      </x:c>
      <x:c r="G2337" s="37" t="str">
        <x:v>445.83</x:v>
      </x:c>
      <x:c r="H2337" s="37" t="str">
        <x:v>0.00</x:v>
      </x:c>
      <x:c r="I2337" s="37" t="str">
        <x:v>228.31</x:v>
      </x:c>
      <x:c r="J2337" s="37" t="str">
        <x:v>0.00</x:v>
      </x:c>
      <x:c r="K2337" s="37" t="str">
        <x:v>217.52</x:v>
      </x:c>
      <x:c r="L2337" s="37" t="str">
        <x:v>756</x:v>
      </x:c>
      <x:c r="M2337" s="29" t="str">
        <x:v>397.48</x:v>
      </x:c>
      <x:c r="N2337" s="29" t="str">
        <x:v>352.73</x:v>
      </x:c>
      <x:c r="O2337" s="29" t="str">
        <x:v>44.75</x:v>
      </x:c>
      <x:c r="P2337" s="18" t="str">
        <x:v>2026-06-30</x:v>
      </x:c>
      <x:c r="Q2337" s="36" t="n">
        <x:v>46203</x:v>
      </x:c>
    </x:row>
    <x:row r="2338">
      <x:c r="A2338" s="36" t="str">
        <x:v>2026-06-30</x:v>
      </x:c>
      <x:c r="B2338" s="18" t="str">
        <x:v>101437000_74801</x:v>
      </x:c>
      <x:c r="C2338" s="18" t="str">
        <x:v>【沪村小电】申良花园充电站</x:v>
      </x:c>
      <x:c r="D2338" s="37" t="str">
        <x:v>4</x:v>
      </x:c>
      <x:c r="E2338" s="37" t="str">
        <x:v>0</x:v>
      </x:c>
      <x:c r="F2338" s="37" t="str">
        <x:v>5</x:v>
      </x:c>
      <x:c r="G2338" s="37" t="str">
        <x:v>151.60</x:v>
      </x:c>
      <x:c r="H2338" s="37" t="str">
        <x:v>0.00</x:v>
      </x:c>
      <x:c r="I2338" s="37" t="str">
        <x:v>76.77</x:v>
      </x:c>
      <x:c r="J2338" s="37" t="str">
        <x:v>0.00</x:v>
      </x:c>
      <x:c r="K2338" s="37" t="str">
        <x:v>74.84</x:v>
      </x:c>
      <x:c r="L2338" s="37" t="str">
        <x:v>197</x:v>
      </x:c>
      <x:c r="M2338" s="29" t="str">
        <x:v>133.87</x:v>
      </x:c>
      <x:c r="N2338" s="29" t="str">
        <x:v>85.25</x:v>
      </x:c>
      <x:c r="O2338" s="29" t="str">
        <x:v>48.62</x:v>
      </x:c>
      <x:c r="P2338" s="18" t="str">
        <x:v>2026-06-30</x:v>
      </x:c>
      <x:c r="Q2338" s="36" t="n">
        <x:v>46203</x:v>
      </x:c>
    </x:row>
    <x:row r="2339">
      <x:c r="A2339" s="36" t="str">
        <x:v>2026-06-30</x:v>
      </x:c>
      <x:c r="B2339" s="18" t="str">
        <x:v>101437000_74931</x:v>
      </x:c>
      <x:c r="C2339" s="18" t="str">
        <x:v>【沪村小电】枫雅南居充电站</x:v>
      </x:c>
      <x:c r="D2339" s="37" t="str">
        <x:v>2</x:v>
      </x:c>
      <x:c r="E2339" s="37" t="str">
        <x:v>0</x:v>
      </x:c>
      <x:c r="F2339" s="37" t="str">
        <x:v>8</x:v>
      </x:c>
      <x:c r="G2339" s="37" t="str">
        <x:v>203.51</x:v>
      </x:c>
      <x:c r="H2339" s="37" t="str">
        <x:v>0.00</x:v>
      </x:c>
      <x:c r="I2339" s="37" t="str">
        <x:v>180.98</x:v>
      </x:c>
      <x:c r="J2339" s="37" t="str">
        <x:v>0.00</x:v>
      </x:c>
      <x:c r="K2339" s="37" t="str">
        <x:v>22.53</x:v>
      </x:c>
      <x:c r="L2339" s="37" t="str">
        <x:v>310</x:v>
      </x:c>
      <x:c r="M2339" s="29" t="str">
        <x:v>159.95</x:v>
      </x:c>
      <x:c r="N2339" s="29" t="str">
        <x:v>113.77</x:v>
      </x:c>
      <x:c r="O2339" s="29" t="str">
        <x:v>46.18</x:v>
      </x:c>
      <x:c r="P2339" s="18" t="str">
        <x:v>2026-06-30</x:v>
      </x:c>
      <x:c r="Q2339" s="36" t="n">
        <x:v>46203</x:v>
      </x:c>
    </x:row>
    <x:row r="2340">
      <x:c r="A2340" s="36" t="str">
        <x:v>2026-06-30</x:v>
      </x:c>
      <x:c r="B2340" s="18" t="str">
        <x:v>101437000_75901</x:v>
      </x:c>
      <x:c r="C2340" s="18" t="str">
        <x:v>【沪村小电】金悦学府</x:v>
      </x:c>
      <x:c r="D2340" s="37" t="str">
        <x:v>2</x:v>
      </x:c>
      <x:c r="E2340" s="37" t="str">
        <x:v>0</x:v>
      </x:c>
      <x:c r="F2340" s="37" t="str">
        <x:v>21</x:v>
      </x:c>
      <x:c r="G2340" s="37" t="str">
        <x:v>501.97</x:v>
      </x:c>
      <x:c r="H2340" s="37" t="str">
        <x:v>0.00</x:v>
      </x:c>
      <x:c r="I2340" s="37" t="str">
        <x:v>366.45</x:v>
      </x:c>
      <x:c r="J2340" s="37" t="str">
        <x:v>0.00</x:v>
      </x:c>
      <x:c r="K2340" s="37" t="str">
        <x:v>135.52</x:v>
      </x:c>
      <x:c r="L2340" s="37" t="str">
        <x:v>635</x:v>
      </x:c>
      <x:c r="M2340" s="29" t="str">
        <x:v>414.28</x:v>
      </x:c>
      <x:c r="N2340" s="29" t="str">
        <x:v>258.21</x:v>
      </x:c>
      <x:c r="O2340" s="29" t="str">
        <x:v>156.07</x:v>
      </x:c>
      <x:c r="P2340" s="18" t="str">
        <x:v>2026-06-30</x:v>
      </x:c>
      <x:c r="Q2340" s="36" t="n">
        <x:v>46203</x:v>
      </x:c>
    </x:row>
    <x:row r="2341">
      <x:c r="A2341" s="36" t="str">
        <x:v>2026-06-30</x:v>
      </x:c>
      <x:c r="B2341" s="18" t="str">
        <x:v>101437000_76091</x:v>
      </x:c>
      <x:c r="C2341" s="18" t="str">
        <x:v>【沪村小电】恒信家园充电站</x:v>
      </x:c>
      <x:c r="D2341" s="37" t="str">
        <x:v>2</x:v>
      </x:c>
      <x:c r="E2341" s="37" t="str">
        <x:v>0</x:v>
      </x:c>
      <x:c r="F2341" s="37" t="str">
        <x:v>50</x:v>
      </x:c>
      <x:c r="G2341" s="37" t="str">
        <x:v>960.71</x:v>
      </x:c>
      <x:c r="H2341" s="37" t="str">
        <x:v>0.00</x:v>
      </x:c>
      <x:c r="I2341" s="37" t="str">
        <x:v>482.95</x:v>
      </x:c>
      <x:c r="J2341" s="37" t="str">
        <x:v>0.00</x:v>
      </x:c>
      <x:c r="K2341" s="37" t="str">
        <x:v>477.76</x:v>
      </x:c>
      <x:c r="L2341" s="37" t="str">
        <x:v>1416</x:v>
      </x:c>
      <x:c r="M2341" s="29" t="str">
        <x:v>815.98</x:v>
      </x:c>
      <x:c r="N2341" s="29" t="str">
        <x:v>538.88</x:v>
      </x:c>
      <x:c r="O2341" s="29" t="str">
        <x:v>277.10</x:v>
      </x:c>
      <x:c r="P2341" s="18" t="str">
        <x:v>2026-06-30</x:v>
      </x:c>
      <x:c r="Q2341" s="36" t="n">
        <x:v>46203</x:v>
      </x:c>
    </x:row>
    <x:row r="2342">
      <x:c r="A2342" s="36" t="str">
        <x:v>2026-06-30</x:v>
      </x:c>
      <x:c r="B2342" s="18" t="str">
        <x:v>101437000_76417</x:v>
      </x:c>
      <x:c r="C2342" s="18" t="str">
        <x:v>【沪村小电】新春一组充电站</x:v>
      </x:c>
      <x:c r="D2342" s="37" t="str">
        <x:v>2</x:v>
      </x:c>
      <x:c r="E2342" s="37" t="str">
        <x:v>0</x:v>
      </x:c>
      <x:c r="F2342" s="37" t="str">
        <x:v>8</x:v>
      </x:c>
      <x:c r="G2342" s="37" t="str">
        <x:v>158.18</x:v>
      </x:c>
      <x:c r="H2342" s="37" t="str">
        <x:v>0.00</x:v>
      </x:c>
      <x:c r="I2342" s="37" t="str">
        <x:v>46.55</x:v>
      </x:c>
      <x:c r="J2342" s="37" t="str">
        <x:v>0.00</x:v>
      </x:c>
      <x:c r="K2342" s="37" t="str">
        <x:v>111.63</x:v>
      </x:c>
      <x:c r="L2342" s="37" t="str">
        <x:v>252</x:v>
      </x:c>
      <x:c r="M2342" s="29" t="str">
        <x:v>127.38</x:v>
      </x:c>
      <x:c r="N2342" s="29" t="str">
        <x:v>107.58</x:v>
      </x:c>
      <x:c r="O2342" s="29" t="str">
        <x:v>19.80</x:v>
      </x:c>
      <x:c r="P2342" s="18" t="str">
        <x:v>2026-06-30</x:v>
      </x:c>
      <x:c r="Q2342" s="36" t="n">
        <x:v>46203</x:v>
      </x:c>
    </x:row>
    <x:row r="2343">
      <x:c r="A2343" s="36" t="str">
        <x:v>2026-06-30</x:v>
      </x:c>
      <x:c r="B2343" s="18" t="str">
        <x:v>101437000_78235</x:v>
      </x:c>
      <x:c r="C2343" s="18" t="str">
        <x:v>【沪村小电】欣秋苑充电站</x:v>
      </x:c>
      <x:c r="D2343" s="37" t="str">
        <x:v>4</x:v>
      </x:c>
      <x:c r="E2343" s="37" t="str">
        <x:v>0</x:v>
      </x:c>
      <x:c r="F2343" s="37" t="str">
        <x:v>14</x:v>
      </x:c>
      <x:c r="G2343" s="37" t="str">
        <x:v>354.83</x:v>
      </x:c>
      <x:c r="H2343" s="37" t="str">
        <x:v>0.00</x:v>
      </x:c>
      <x:c r="I2343" s="37" t="str">
        <x:v>242.03</x:v>
      </x:c>
      <x:c r="J2343" s="37" t="str">
        <x:v>0.00</x:v>
      </x:c>
      <x:c r="K2343" s="37" t="str">
        <x:v>112.80</x:v>
      </x:c>
      <x:c r="L2343" s="37" t="str">
        <x:v>510</x:v>
      </x:c>
      <x:c r="M2343" s="29" t="str">
        <x:v>297.71</x:v>
      </x:c>
      <x:c r="N2343" s="29" t="str">
        <x:v>221.98</x:v>
      </x:c>
      <x:c r="O2343" s="29" t="str">
        <x:v>75.73</x:v>
      </x:c>
      <x:c r="P2343" s="18" t="str">
        <x:v>2026-06-30</x:v>
      </x:c>
      <x:c r="Q2343" s="36" t="n">
        <x:v>46203</x:v>
      </x:c>
    </x:row>
    <x:row r="2344">
      <x:c r="A2344" s="36" t="str">
        <x:v>2026-06-30</x:v>
      </x:c>
      <x:c r="B2344" s="18" t="str">
        <x:v>101437000_78237</x:v>
      </x:c>
      <x:c r="C2344" s="18" t="str">
        <x:v>【沪村小电】奉馨苑西门小区内北侧充电站</x:v>
      </x:c>
      <x:c r="D2344" s="37" t="str">
        <x:v>2</x:v>
      </x:c>
      <x:c r="E2344" s="37" t="str">
        <x:v>0</x:v>
      </x:c>
      <x:c r="F2344" s="37" t="str">
        <x:v>27</x:v>
      </x:c>
      <x:c r="G2344" s="37" t="str">
        <x:v>651.24</x:v>
      </x:c>
      <x:c r="H2344" s="37" t="str">
        <x:v>0.00</x:v>
      </x:c>
      <x:c r="I2344" s="37" t="str">
        <x:v>383.92</x:v>
      </x:c>
      <x:c r="J2344" s="37" t="str">
        <x:v>0.00</x:v>
      </x:c>
      <x:c r="K2344" s="37" t="str">
        <x:v>267.32</x:v>
      </x:c>
      <x:c r="L2344" s="37" t="str">
        <x:v>992</x:v>
      </x:c>
      <x:c r="M2344" s="29" t="str">
        <x:v>559.65</x:v>
      </x:c>
      <x:c r="N2344" s="29" t="str">
        <x:v>385.68</x:v>
      </x:c>
      <x:c r="O2344" s="29" t="str">
        <x:v>173.97</x:v>
      </x:c>
      <x:c r="P2344" s="18" t="str">
        <x:v>2026-06-30</x:v>
      </x:c>
      <x:c r="Q2344" s="36" t="n">
        <x:v>46203</x:v>
      </x:c>
    </x:row>
    <x:row r="2345">
      <x:c r="A2345" s="36" t="str">
        <x:v>2026-06-30</x:v>
      </x:c>
      <x:c r="B2345" s="18" t="str">
        <x:v>101437000_78239</x:v>
      </x:c>
      <x:c r="C2345" s="18" t="str">
        <x:v>【沪村小电】恒大佘山首府东门充电站</x:v>
      </x:c>
      <x:c r="D2345" s="37" t="str">
        <x:v>2</x:v>
      </x:c>
      <x:c r="E2345" s="37" t="str">
        <x:v>0</x:v>
      </x:c>
      <x:c r="F2345" s="37" t="str">
        <x:v>30</x:v>
      </x:c>
      <x:c r="G2345" s="37" t="str">
        <x:v>948.64</x:v>
      </x:c>
      <x:c r="H2345" s="37" t="str">
        <x:v>0.00</x:v>
      </x:c>
      <x:c r="I2345" s="37" t="str">
        <x:v>373.22</x:v>
      </x:c>
      <x:c r="J2345" s="37" t="str">
        <x:v>0.00</x:v>
      </x:c>
      <x:c r="K2345" s="37" t="str">
        <x:v>575.42</x:v>
      </x:c>
      <x:c r="L2345" s="37" t="str">
        <x:v>1424</x:v>
      </x:c>
      <x:c r="M2345" s="29" t="str">
        <x:v>671.72</x:v>
      </x:c>
      <x:c r="N2345" s="29" t="str">
        <x:v>494.82</x:v>
      </x:c>
      <x:c r="O2345" s="29" t="str">
        <x:v>176.90</x:v>
      </x:c>
      <x:c r="P2345" s="18" t="str">
        <x:v>2026-06-30</x:v>
      </x:c>
      <x:c r="Q2345" s="36" t="n">
        <x:v>46203</x:v>
      </x:c>
    </x:row>
    <x:row r="2346">
      <x:c r="A2346" s="36" t="str">
        <x:v>2026-06-30</x:v>
      </x:c>
      <x:c r="B2346" s="18" t="str">
        <x:v>101437000_80823</x:v>
      </x:c>
      <x:c r="C2346" s="18" t="str">
        <x:v>【沪村小电】上湖轩充电站</x:v>
      </x:c>
      <x:c r="D2346" s="37" t="str">
        <x:v>2</x:v>
      </x:c>
      <x:c r="E2346" s="37" t="str">
        <x:v>0</x:v>
      </x:c>
      <x:c r="F2346" s="37" t="str">
        <x:v>5</x:v>
      </x:c>
      <x:c r="G2346" s="37" t="str">
        <x:v>53.64</x:v>
      </x:c>
      <x:c r="H2346" s="37" t="str">
        <x:v>0.00</x:v>
      </x:c>
      <x:c r="I2346" s="37" t="str">
        <x:v>53.64</x:v>
      </x:c>
      <x:c r="J2346" s="37" t="str">
        <x:v>0.00</x:v>
      </x:c>
      <x:c r="K2346" s="37" t="str">
        <x:v>0.00</x:v>
      </x:c>
      <x:c r="L2346" s="37" t="str">
        <x:v>82</x:v>
      </x:c>
      <x:c r="M2346" s="29" t="str">
        <x:v>55.05</x:v>
      </x:c>
      <x:c r="N2346" s="29" t="str">
        <x:v>43.99</x:v>
      </x:c>
      <x:c r="O2346" s="29" t="str">
        <x:v>11.06</x:v>
      </x:c>
      <x:c r="P2346" s="18" t="str">
        <x:v>2026-06-30</x:v>
      </x:c>
      <x:c r="Q2346" s="36" t="n">
        <x:v>46203</x:v>
      </x:c>
    </x:row>
    <x:row r="2347">
      <x:c r="A2347" s="36" t="str">
        <x:v>2026-06-30</x:v>
      </x:c>
      <x:c r="B2347" s="18" t="str">
        <x:v>101437000_83019</x:v>
      </x:c>
      <x:c r="C2347" s="18" t="str">
        <x:v>【沪村小电】首创禧瑞云启东区充电站</x:v>
      </x:c>
      <x:c r="D2347" s="37" t="str">
        <x:v>2</x:v>
      </x:c>
      <x:c r="E2347" s="37" t="str">
        <x:v>0</x:v>
      </x:c>
      <x:c r="F2347" s="37" t="str">
        <x:v>33</x:v>
      </x:c>
      <x:c r="G2347" s="37" t="str">
        <x:v>802.29</x:v>
      </x:c>
      <x:c r="H2347" s="37" t="str">
        <x:v>0.00</x:v>
      </x:c>
      <x:c r="I2347" s="37" t="str">
        <x:v>510.70</x:v>
      </x:c>
      <x:c r="J2347" s="37" t="str">
        <x:v>0.00</x:v>
      </x:c>
      <x:c r="K2347" s="37" t="str">
        <x:v>291.60</x:v>
      </x:c>
      <x:c r="L2347" s="37" t="str">
        <x:v>1123</x:v>
      </x:c>
      <x:c r="M2347" s="29" t="str">
        <x:v>660.28</x:v>
      </x:c>
      <x:c r="N2347" s="29" t="str">
        <x:v>457.35</x:v>
      </x:c>
      <x:c r="O2347" s="29" t="str">
        <x:v>202.93</x:v>
      </x:c>
      <x:c r="P2347" s="18" t="str">
        <x:v>2026-06-30</x:v>
      </x:c>
      <x:c r="Q2347" s="36" t="n">
        <x:v>46203</x:v>
      </x:c>
    </x:row>
    <x:row r="2348">
      <x:c r="A2348" s="36" t="str">
        <x:v>2026-06-30</x:v>
      </x:c>
      <x:c r="B2348" s="18" t="str">
        <x:v>101437000_83093</x:v>
      </x:c>
      <x:c r="C2348" s="18" t="str">
        <x:v>【沪村小电】金茂未来时光里</x:v>
      </x:c>
      <x:c r="D2348" s="37" t="str">
        <x:v>2</x:v>
      </x:c>
      <x:c r="E2348" s="37" t="str">
        <x:v>0</x:v>
      </x:c>
      <x:c r="F2348" s="37" t="str">
        <x:v>25</x:v>
      </x:c>
      <x:c r="G2348" s="37" t="str">
        <x:v>869.05</x:v>
      </x:c>
      <x:c r="H2348" s="37" t="str">
        <x:v>0.00</x:v>
      </x:c>
      <x:c r="I2348" s="37" t="str">
        <x:v>444.05</x:v>
      </x:c>
      <x:c r="J2348" s="37" t="str">
        <x:v>0.00</x:v>
      </x:c>
      <x:c r="K2348" s="37" t="str">
        <x:v>425.00</x:v>
      </x:c>
      <x:c r="L2348" s="37" t="str">
        <x:v>978</x:v>
      </x:c>
      <x:c r="M2348" s="29" t="str">
        <x:v>590.68</x:v>
      </x:c>
      <x:c r="N2348" s="29" t="str">
        <x:v>393.74</x:v>
      </x:c>
      <x:c r="O2348" s="29" t="str">
        <x:v>196.94</x:v>
      </x:c>
      <x:c r="P2348" s="18" t="str">
        <x:v>2026-06-30</x:v>
      </x:c>
      <x:c r="Q2348" s="36" t="n">
        <x:v>46203</x:v>
      </x:c>
    </x:row>
    <x:row r="2349">
      <x:c r="A2349" s="36" t="str">
        <x:v>2026-06-30</x:v>
      </x:c>
      <x:c r="B2349" s="18" t="str">
        <x:v>101437000_83911</x:v>
      </x:c>
      <x:c r="C2349" s="18" t="str">
        <x:v>【沪村小电】金瀚园充电站</x:v>
      </x:c>
      <x:c r="D2349" s="37" t="str">
        <x:v>2</x:v>
      </x:c>
      <x:c r="E2349" s="37" t="str">
        <x:v>0</x:v>
      </x:c>
      <x:c r="F2349" s="37" t="str">
        <x:v>21</x:v>
      </x:c>
      <x:c r="G2349" s="37" t="str">
        <x:v>590.93</x:v>
      </x:c>
      <x:c r="H2349" s="37" t="str">
        <x:v>0.00</x:v>
      </x:c>
      <x:c r="I2349" s="37" t="str">
        <x:v>212.77</x:v>
      </x:c>
      <x:c r="J2349" s="37" t="str">
        <x:v>0.00</x:v>
      </x:c>
      <x:c r="K2349" s="37" t="str">
        <x:v>378.16</x:v>
      </x:c>
      <x:c r="L2349" s="37" t="str">
        <x:v>809</x:v>
      </x:c>
      <x:c r="M2349" s="29" t="str">
        <x:v>501.76</x:v>
      </x:c>
      <x:c r="N2349" s="29" t="str">
        <x:v>301.17</x:v>
      </x:c>
      <x:c r="O2349" s="29" t="str">
        <x:v>200.59</x:v>
      </x:c>
      <x:c r="P2349" s="18" t="str">
        <x:v>2026-06-30</x:v>
      </x:c>
      <x:c r="Q2349" s="36" t="n">
        <x:v>46203</x:v>
      </x:c>
    </x:row>
    <x:row r="2350">
      <x:c r="A2350" s="36" t="str">
        <x:v>2026-06-30</x:v>
      </x:c>
      <x:c r="B2350" s="18" t="str">
        <x:v>101437000_83913</x:v>
      </x:c>
      <x:c r="C2350" s="18" t="str">
        <x:v>【沪村小电】新黎村充电站</x:v>
      </x:c>
      <x:c r="D2350" s="37" t="str">
        <x:v>2</x:v>
      </x:c>
      <x:c r="E2350" s="37" t="str">
        <x:v>0</x:v>
      </x:c>
      <x:c r="F2350" s="37" t="str">
        <x:v>34</x:v>
      </x:c>
      <x:c r="G2350" s="37" t="str">
        <x:v>879.56</x:v>
      </x:c>
      <x:c r="H2350" s="37" t="str">
        <x:v>0.00</x:v>
      </x:c>
      <x:c r="I2350" s="37" t="str">
        <x:v>640.47</x:v>
      </x:c>
      <x:c r="J2350" s="37" t="str">
        <x:v>0.00</x:v>
      </x:c>
      <x:c r="K2350" s="37" t="str">
        <x:v>239.09</x:v>
      </x:c>
      <x:c r="L2350" s="37" t="str">
        <x:v>1263</x:v>
      </x:c>
      <x:c r="M2350" s="29" t="str">
        <x:v>953.51</x:v>
      </x:c>
      <x:c r="N2350" s="29" t="str">
        <x:v>792.84</x:v>
      </x:c>
      <x:c r="O2350" s="29" t="str">
        <x:v>160.67</x:v>
      </x:c>
      <x:c r="P2350" s="18" t="str">
        <x:v>2026-06-30</x:v>
      </x:c>
      <x:c r="Q2350" s="36" t="n">
        <x:v>46203</x:v>
      </x:c>
    </x:row>
    <x:row r="2351">
      <x:c r="A2351" s="36" t="str">
        <x:v>2026-06-30</x:v>
      </x:c>
      <x:c r="B2351" s="18" t="str">
        <x:v>101437000_83915</x:v>
      </x:c>
      <x:c r="C2351" s="18" t="str">
        <x:v>【沪村小电】长泰西郊别墅充电站</x:v>
      </x:c>
      <x:c r="D2351" s="37" t="str">
        <x:v>2</x:v>
      </x:c>
      <x:c r="E2351" s="37" t="str">
        <x:v>0</x:v>
      </x:c>
      <x:c r="F2351" s="37" t="str">
        <x:v>18</x:v>
      </x:c>
      <x:c r="G2351" s="37" t="str">
        <x:v>386.36</x:v>
      </x:c>
      <x:c r="H2351" s="37" t="str">
        <x:v>0.00</x:v>
      </x:c>
      <x:c r="I2351" s="37" t="str">
        <x:v>247.09</x:v>
      </x:c>
      <x:c r="J2351" s="37" t="str">
        <x:v>0.00</x:v>
      </x:c>
      <x:c r="K2351" s="37" t="str">
        <x:v>139.28</x:v>
      </x:c>
      <x:c r="L2351" s="37" t="str">
        <x:v>640</x:v>
      </x:c>
      <x:c r="M2351" s="29" t="str">
        <x:v>335.37</x:v>
      </x:c>
      <x:c r="N2351" s="29" t="str">
        <x:v>235.76</x:v>
      </x:c>
      <x:c r="O2351" s="29" t="str">
        <x:v>99.61</x:v>
      </x:c>
      <x:c r="P2351" s="18" t="str">
        <x:v>2026-06-30</x:v>
      </x:c>
      <x:c r="Q2351" s="36" t="n">
        <x:v>46203</x:v>
      </x:c>
    </x:row>
    <x:row r="2352">
      <x:c r="A2352" s="36" t="str">
        <x:v>2026-06-30</x:v>
      </x:c>
      <x:c r="B2352" s="18" t="str">
        <x:v>101437000_83917</x:v>
      </x:c>
      <x:c r="C2352" s="18" t="str">
        <x:v>【沪村小电】旭新华庭充电站</x:v>
      </x:c>
      <x:c r="D2352" s="37" t="str">
        <x:v>4</x:v>
      </x:c>
      <x:c r="E2352" s="37" t="str">
        <x:v>0</x:v>
      </x:c>
      <x:c r="F2352" s="37" t="str">
        <x:v>28</x:v>
      </x:c>
      <x:c r="G2352" s="37" t="str">
        <x:v>541.17</x:v>
      </x:c>
      <x:c r="H2352" s="37" t="str">
        <x:v>0.00</x:v>
      </x:c>
      <x:c r="I2352" s="37" t="str">
        <x:v>364.85</x:v>
      </x:c>
      <x:c r="J2352" s="37" t="str">
        <x:v>0.00</x:v>
      </x:c>
      <x:c r="K2352" s="37" t="str">
        <x:v>176.32</x:v>
      </x:c>
      <x:c r="L2352" s="37" t="str">
        <x:v>805</x:v>
      </x:c>
      <x:c r="M2352" s="29" t="str">
        <x:v>523.77</x:v>
      </x:c>
      <x:c r="N2352" s="29" t="str">
        <x:v>337.01</x:v>
      </x:c>
      <x:c r="O2352" s="29" t="str">
        <x:v>186.76</x:v>
      </x:c>
      <x:c r="P2352" s="18" t="str">
        <x:v>2026-06-30</x:v>
      </x:c>
      <x:c r="Q2352" s="36" t="n">
        <x:v>46203</x:v>
      </x:c>
    </x:row>
    <x:row r="2353">
      <x:c r="A2353" s="36" t="str">
        <x:v>2026-06-30</x:v>
      </x:c>
      <x:c r="B2353" s="18" t="str">
        <x:v>101437000_83919</x:v>
      </x:c>
      <x:c r="C2353" s="18" t="str">
        <x:v>【沪村小电】浦锦名仕嘉园充电站</x:v>
      </x:c>
      <x:c r="D2353" s="37" t="str">
        <x:v>4</x:v>
      </x:c>
      <x:c r="E2353" s="37" t="str">
        <x:v>0</x:v>
      </x:c>
      <x:c r="F2353" s="37" t="str">
        <x:v>34</x:v>
      </x:c>
      <x:c r="G2353" s="37" t="str">
        <x:v>831.90</x:v>
      </x:c>
      <x:c r="H2353" s="37" t="str">
        <x:v>0.00</x:v>
      </x:c>
      <x:c r="I2353" s="37" t="str">
        <x:v>0.00</x:v>
      </x:c>
      <x:c r="J2353" s="37" t="str">
        <x:v>831.90</x:v>
      </x:c>
      <x:c r="K2353" s="37" t="str">
        <x:v>0.00</x:v>
      </x:c>
      <x:c r="L2353" s="37" t="str">
        <x:v>1203</x:v>
      </x:c>
      <x:c r="M2353" s="29" t="str">
        <x:v>805.75</x:v>
      </x:c>
      <x:c r="N2353" s="29" t="str">
        <x:v>532.42</x:v>
      </x:c>
      <x:c r="O2353" s="29" t="str">
        <x:v>273.33</x:v>
      </x:c>
      <x:c r="P2353" s="18" t="str">
        <x:v>2026-06-30</x:v>
      </x:c>
      <x:c r="Q2353" s="36" t="n">
        <x:v>46203</x:v>
      </x:c>
    </x:row>
    <x:row r="2354">
      <x:c r="A2354" s="36" t="str">
        <x:v>2026-06-30</x:v>
      </x:c>
      <x:c r="B2354" s="18" t="str">
        <x:v>101437000_83923</x:v>
      </x:c>
      <x:c r="C2354" s="18" t="str">
        <x:v>【沪村小电】明珠新苑充电站</x:v>
      </x:c>
      <x:c r="D2354" s="37" t="str">
        <x:v>2</x:v>
      </x:c>
      <x:c r="E2354" s="37" t="str">
        <x:v>0</x:v>
      </x:c>
      <x:c r="F2354" s="37" t="str">
        <x:v>30</x:v>
      </x:c>
      <x:c r="G2354" s="37" t="str">
        <x:v>766.21</x:v>
      </x:c>
      <x:c r="H2354" s="37" t="str">
        <x:v>0.00</x:v>
      </x:c>
      <x:c r="I2354" s="37" t="str">
        <x:v>509.61</x:v>
      </x:c>
      <x:c r="J2354" s="37" t="str">
        <x:v>0.00</x:v>
      </x:c>
      <x:c r="K2354" s="37" t="str">
        <x:v>256.60</x:v>
      </x:c>
      <x:c r="L2354" s="37" t="str">
        <x:v>1055</x:v>
      </x:c>
      <x:c r="M2354" s="29" t="str">
        <x:v>717.24</x:v>
      </x:c>
      <x:c r="N2354" s="29" t="str">
        <x:v>474.60</x:v>
      </x:c>
      <x:c r="O2354" s="29" t="str">
        <x:v>242.64</x:v>
      </x:c>
      <x:c r="P2354" s="18" t="str">
        <x:v>2026-06-30</x:v>
      </x:c>
      <x:c r="Q2354" s="36" t="n">
        <x:v>46203</x:v>
      </x:c>
    </x:row>
    <x:row r="2355">
      <x:c r="A2355" s="36" t="str">
        <x:v>2026-06-30</x:v>
      </x:c>
      <x:c r="B2355" s="18" t="str">
        <x:v>101437000_84289</x:v>
      </x:c>
      <x:c r="C2355" s="18" t="str">
        <x:v>【沪村小电】铁建芳华苑充电站</x:v>
      </x:c>
      <x:c r="D2355" s="37" t="str">
        <x:v>4</x:v>
      </x:c>
      <x:c r="E2355" s="37" t="str">
        <x:v>0</x:v>
      </x:c>
      <x:c r="F2355" s="37" t="str">
        <x:v>34</x:v>
      </x:c>
      <x:c r="G2355" s="37" t="str">
        <x:v>849.18</x:v>
      </x:c>
      <x:c r="H2355" s="37" t="str">
        <x:v>0.00</x:v>
      </x:c>
      <x:c r="I2355" s="37" t="str">
        <x:v>406.18</x:v>
      </x:c>
      <x:c r="J2355" s="37" t="str">
        <x:v>0.00</x:v>
      </x:c>
      <x:c r="K2355" s="37" t="str">
        <x:v>442.99</x:v>
      </x:c>
      <x:c r="L2355" s="37" t="str">
        <x:v>5723</x:v>
      </x:c>
      <x:c r="M2355" s="29" t="str">
        <x:v>751.15</x:v>
      </x:c>
      <x:c r="N2355" s="29" t="str">
        <x:v>468.91</x:v>
      </x:c>
      <x:c r="O2355" s="29" t="str">
        <x:v>282.24</x:v>
      </x:c>
      <x:c r="P2355" s="18" t="str">
        <x:v>2026-06-30</x:v>
      </x:c>
      <x:c r="Q2355" s="36" t="n">
        <x:v>46203</x:v>
      </x:c>
    </x:row>
    <x:row r="2356">
      <x:c r="A2356" s="36" t="str">
        <x:v>2026-06-30</x:v>
      </x:c>
      <x:c r="B2356" s="18" t="str">
        <x:v>101437000_86379</x:v>
      </x:c>
      <x:c r="C2356" s="18" t="str">
        <x:v>【沪村小电】新宝社区充电站</x:v>
      </x:c>
      <x:c r="D2356" s="37" t="str">
        <x:v>4</x:v>
      </x:c>
      <x:c r="E2356" s="37" t="str">
        <x:v>0</x:v>
      </x:c>
      <x:c r="F2356" s="37" t="str">
        <x:v>14</x:v>
      </x:c>
      <x:c r="G2356" s="37" t="str">
        <x:v>346.48</x:v>
      </x:c>
      <x:c r="H2356" s="37" t="str">
        <x:v>0.00</x:v>
      </x:c>
      <x:c r="I2356" s="37" t="str">
        <x:v>96.52</x:v>
      </x:c>
      <x:c r="J2356" s="37" t="str">
        <x:v>0.00</x:v>
      </x:c>
      <x:c r="K2356" s="37" t="str">
        <x:v>249.97</x:v>
      </x:c>
      <x:c r="L2356" s="37" t="str">
        <x:v>531</x:v>
      </x:c>
      <x:c r="M2356" s="29" t="str">
        <x:v>219.28</x:v>
      </x:c>
      <x:c r="N2356" s="29" t="str">
        <x:v>166.40</x:v>
      </x:c>
      <x:c r="O2356" s="29" t="str">
        <x:v>52.88</x:v>
      </x:c>
      <x:c r="P2356" s="18" t="str">
        <x:v>2026-06-30</x:v>
      </x:c>
      <x:c r="Q2356" s="36" t="n">
        <x:v>46203</x:v>
      </x:c>
    </x:row>
    <x:row r="2357">
      <x:c r="A2357" s="36" t="str">
        <x:v>2026-06-30</x:v>
      </x:c>
      <x:c r="B2357" s="18" t="str">
        <x:v>101437000_89441</x:v>
      </x:c>
      <x:c r="C2357" s="18" t="str">
        <x:v>【沪村小电】首创禧瑞云启西区充电站</x:v>
      </x:c>
      <x:c r="D2357" s="37" t="str">
        <x:v>2</x:v>
      </x:c>
      <x:c r="E2357" s="37" t="str">
        <x:v>0</x:v>
      </x:c>
      <x:c r="F2357" s="37" t="str">
        <x:v>36</x:v>
      </x:c>
      <x:c r="G2357" s="37" t="str">
        <x:v>919.84</x:v>
      </x:c>
      <x:c r="H2357" s="37" t="str">
        <x:v>0.00</x:v>
      </x:c>
      <x:c r="I2357" s="37" t="str">
        <x:v>725.15</x:v>
      </x:c>
      <x:c r="J2357" s="37" t="str">
        <x:v>0.00</x:v>
      </x:c>
      <x:c r="K2357" s="37" t="str">
        <x:v>194.69</x:v>
      </x:c>
      <x:c r="L2357" s="37" t="str">
        <x:v>1267</x:v>
      </x:c>
      <x:c r="M2357" s="29" t="str">
        <x:v>781.56</x:v>
      </x:c>
      <x:c r="N2357" s="29" t="str">
        <x:v>570.47</x:v>
      </x:c>
      <x:c r="O2357" s="29" t="str">
        <x:v>211.09</x:v>
      </x:c>
      <x:c r="P2357" s="18" t="str">
        <x:v>2026-06-30</x:v>
      </x:c>
      <x:c r="Q2357" s="36" t="n">
        <x:v>46203</x:v>
      </x:c>
    </x:row>
    <x:row r="2358">
      <x:c r="A2358" s="36" t="str">
        <x:v>2026-06-30</x:v>
      </x:c>
      <x:c r="B2358" s="18" t="str">
        <x:v>101437000_89443</x:v>
      </x:c>
      <x:c r="C2358" s="18" t="str">
        <x:v>【沪村小电】玉兰清苑二期充电站</x:v>
      </x:c>
      <x:c r="D2358" s="37" t="str">
        <x:v>2</x:v>
      </x:c>
      <x:c r="E2358" s="37" t="str">
        <x:v>0</x:v>
      </x:c>
      <x:c r="F2358" s="37" t="str">
        <x:v>24</x:v>
      </x:c>
      <x:c r="G2358" s="37" t="str">
        <x:v>392.72</x:v>
      </x:c>
      <x:c r="H2358" s="37" t="str">
        <x:v>0.00</x:v>
      </x:c>
      <x:c r="I2358" s="37" t="str">
        <x:v>313.81</x:v>
      </x:c>
      <x:c r="J2358" s="37" t="str">
        <x:v>0.00</x:v>
      </x:c>
      <x:c r="K2358" s="37" t="str">
        <x:v>78.91</x:v>
      </x:c>
      <x:c r="L2358" s="37" t="str">
        <x:v>637</x:v>
      </x:c>
      <x:c r="M2358" s="29" t="str">
        <x:v>334.13</x:v>
      </x:c>
      <x:c r="N2358" s="29" t="str">
        <x:v>262.19</x:v>
      </x:c>
      <x:c r="O2358" s="29" t="str">
        <x:v>71.94</x:v>
      </x:c>
      <x:c r="P2358" s="18" t="str">
        <x:v>2026-06-30</x:v>
      </x:c>
      <x:c r="Q2358" s="36" t="n">
        <x:v>46203</x:v>
      </x:c>
    </x:row>
    <x:row r="2359">
      <x:c r="A2359" s="36" t="str">
        <x:v>2026-06-30</x:v>
      </x:c>
      <x:c r="B2359" s="18" t="str">
        <x:v>101437000_93115</x:v>
      </x:c>
      <x:c r="C2359" s="18" t="str">
        <x:v>【沪村小电】新南家园西北门</x:v>
      </x:c>
      <x:c r="D2359" s="37" t="str">
        <x:v>2</x:v>
      </x:c>
      <x:c r="E2359" s="37" t="str">
        <x:v>0</x:v>
      </x:c>
      <x:c r="F2359" s="37" t="str">
        <x:v>12</x:v>
      </x:c>
      <x:c r="G2359" s="37" t="str">
        <x:v>242.35</x:v>
      </x:c>
      <x:c r="H2359" s="37" t="str">
        <x:v>0.00</x:v>
      </x:c>
      <x:c r="I2359" s="37" t="str">
        <x:v>193.25</x:v>
      </x:c>
      <x:c r="J2359" s="37" t="str">
        <x:v>0.00</x:v>
      </x:c>
      <x:c r="K2359" s="37" t="str">
        <x:v>49.09</x:v>
      </x:c>
      <x:c r="L2359" s="37" t="str">
        <x:v>398</x:v>
      </x:c>
      <x:c r="M2359" s="29" t="str">
        <x:v>217.41</x:v>
      </x:c>
      <x:c r="N2359" s="29" t="str">
        <x:v>151.02</x:v>
      </x:c>
      <x:c r="O2359" s="29" t="str">
        <x:v>66.39</x:v>
      </x:c>
      <x:c r="P2359" s="18" t="str">
        <x:v>2026-06-30</x:v>
      </x:c>
      <x:c r="Q2359" s="36" t="n">
        <x:v>46203</x:v>
      </x:c>
    </x:row>
    <x:row r="2360">
      <x:c r="A2360" s="36" t="str">
        <x:v>2026-06-30</x:v>
      </x:c>
      <x:c r="B2360" s="18" t="str">
        <x:v>101437000_94649</x:v>
      </x:c>
      <x:c r="C2360" s="18" t="str">
        <x:v>【沪村小电】浪琴水岸花园</x:v>
      </x:c>
      <x:c r="D2360" s="37" t="str">
        <x:v>4</x:v>
      </x:c>
      <x:c r="E2360" s="37" t="str">
        <x:v>0</x:v>
      </x:c>
      <x:c r="F2360" s="37" t="str">
        <x:v>30</x:v>
      </x:c>
      <x:c r="G2360" s="37" t="str">
        <x:v>737.08</x:v>
      </x:c>
      <x:c r="H2360" s="37" t="str">
        <x:v>0.00</x:v>
      </x:c>
      <x:c r="I2360" s="37" t="str">
        <x:v>486.14</x:v>
      </x:c>
      <x:c r="J2360" s="37" t="str">
        <x:v>0.00</x:v>
      </x:c>
      <x:c r="K2360" s="37" t="str">
        <x:v>250.94</x:v>
      </x:c>
      <x:c r="L2360" s="37" t="str">
        <x:v>1191</x:v>
      </x:c>
      <x:c r="M2360" s="29" t="str">
        <x:v>610.78</x:v>
      </x:c>
      <x:c r="N2360" s="29" t="str">
        <x:v>425.74</x:v>
      </x:c>
      <x:c r="O2360" s="29" t="str">
        <x:v>185.04</x:v>
      </x:c>
      <x:c r="P2360" s="18" t="str">
        <x:v>2026-06-30</x:v>
      </x:c>
      <x:c r="Q2360" s="36" t="n">
        <x:v>46203</x:v>
      </x:c>
    </x:row>
    <x:row r="2361">
      <x:c r="A2361" s="36" t="str">
        <x:v>2026-06-30</x:v>
      </x:c>
      <x:c r="B2361" s="18" t="str">
        <x:v>101437000_95077</x:v>
      </x:c>
      <x:c r="C2361" s="18" t="str">
        <x:v>【沪村小电】民乐城惠益绿苑255弄充电站</x:v>
      </x:c>
      <x:c r="D2361" s="37" t="str">
        <x:v>2</x:v>
      </x:c>
      <x:c r="E2361" s="37" t="str">
        <x:v>0</x:v>
      </x:c>
      <x:c r="F2361" s="37" t="str">
        <x:v>1</x:v>
      </x:c>
      <x:c r="G2361" s="37" t="str">
        <x:v>0.08</x:v>
      </x:c>
      <x:c r="H2361" s="37" t="str">
        <x:v>0.00</x:v>
      </x:c>
      <x:c r="I2361" s="37" t="str">
        <x:v>0.08</x:v>
      </x:c>
      <x:c r="J2361" s="37" t="str">
        <x:v>0.00</x:v>
      </x:c>
      <x:c r="K2361" s="37" t="str">
        <x:v>0.00</x:v>
      </x:c>
      <x:c r="L2361" s="37" t="str">
        <x:v>0</x:v>
      </x:c>
      <x:c r="M2361" s="29" t="str">
        <x:v>0.07</x:v>
      </x:c>
      <x:c r="N2361" s="29" t="str">
        <x:v>0.06</x:v>
      </x:c>
      <x:c r="O2361" s="29" t="str">
        <x:v>0.01</x:v>
      </x:c>
      <x:c r="P2361" s="18" t="str">
        <x:v>2026-06-30</x:v>
      </x:c>
      <x:c r="Q2361" s="36" t="n">
        <x:v>46203</x:v>
      </x:c>
    </x:row>
    <x:row r="2362">
      <x:c r="A2362" s="36" t="str">
        <x:v>2026-06-30</x:v>
      </x:c>
      <x:c r="B2362" s="18" t="str">
        <x:v>101437000_95079</x:v>
      </x:c>
      <x:c r="C2362" s="18" t="str">
        <x:v>【沪村小电】民乐城惠益绿苑东苑充电站</x:v>
      </x:c>
      <x:c r="D2362" s="37" t="str">
        <x:v>2</x:v>
      </x:c>
      <x:c r="E2362" s="37" t="str">
        <x:v>0</x:v>
      </x:c>
      <x:c r="F2362" s="37" t="str">
        <x:v>13</x:v>
      </x:c>
      <x:c r="G2362" s="37" t="str">
        <x:v>248.45</x:v>
      </x:c>
      <x:c r="H2362" s="37" t="str">
        <x:v>0.00</x:v>
      </x:c>
      <x:c r="I2362" s="37" t="str">
        <x:v>172.05</x:v>
      </x:c>
      <x:c r="J2362" s="37" t="str">
        <x:v>0.00</x:v>
      </x:c>
      <x:c r="K2362" s="37" t="str">
        <x:v>76.40</x:v>
      </x:c>
      <x:c r="L2362" s="37" t="str">
        <x:v>377</x:v>
      </x:c>
      <x:c r="M2362" s="29" t="str">
        <x:v>225.07</x:v>
      </x:c>
      <x:c r="N2362" s="29" t="str">
        <x:v>146.21</x:v>
      </x:c>
      <x:c r="O2362" s="29" t="str">
        <x:v>78.86</x:v>
      </x:c>
      <x:c r="P2362" s="18" t="str">
        <x:v>2026-06-30</x:v>
      </x:c>
      <x:c r="Q2362" s="36" t="n">
        <x:v>46203</x:v>
      </x:c>
    </x:row>
    <x:row r="2363">
      <x:c r="A2363" s="36" t="str">
        <x:v>2026-06-30</x:v>
      </x:c>
      <x:c r="B2363" s="18" t="str">
        <x:v>101437000_95081</x:v>
      </x:c>
      <x:c r="C2363" s="18" t="str">
        <x:v>【沪村小电】民乐城惠益绿苑西苑充电站</x:v>
      </x:c>
      <x:c r="D2363" s="37" t="str">
        <x:v>2</x:v>
      </x:c>
      <x:c r="E2363" s="37" t="str">
        <x:v>0</x:v>
      </x:c>
      <x:c r="F2363" s="37" t="str">
        <x:v>3</x:v>
      </x:c>
      <x:c r="G2363" s="37" t="str">
        <x:v>92.97</x:v>
      </x:c>
      <x:c r="H2363" s="37" t="str">
        <x:v>0.00</x:v>
      </x:c>
      <x:c r="I2363" s="37" t="str">
        <x:v>92.97</x:v>
      </x:c>
      <x:c r="J2363" s="37" t="str">
        <x:v>0.00</x:v>
      </x:c>
      <x:c r="K2363" s="37" t="str">
        <x:v>0.00</x:v>
      </x:c>
      <x:c r="L2363" s="37" t="str">
        <x:v>92</x:v>
      </x:c>
      <x:c r="M2363" s="29" t="str">
        <x:v>94.69</x:v>
      </x:c>
      <x:c r="N2363" s="29" t="str">
        <x:v>64.15</x:v>
      </x:c>
      <x:c r="O2363" s="29" t="str">
        <x:v>30.54</x:v>
      </x:c>
      <x:c r="P2363" s="18" t="str">
        <x:v>2026-06-30</x:v>
      </x:c>
      <x:c r="Q2363" s="36" t="n">
        <x:v>46203</x:v>
      </x:c>
    </x:row>
    <x:row r="2364">
      <x:c r="A2364" s="36" t="str">
        <x:v>2026-06-30</x:v>
      </x:c>
      <x:c r="B2364" s="18" t="str">
        <x:v>101437000_95091</x:v>
      </x:c>
      <x:c r="C2364" s="18" t="str">
        <x:v>【沪村小电】金悦学府2号站</x:v>
      </x:c>
      <x:c r="D2364" s="37" t="str">
        <x:v>2</x:v>
      </x:c>
      <x:c r="E2364" s="37" t="str">
        <x:v>0</x:v>
      </x:c>
      <x:c r="F2364" s="37" t="str">
        <x:v>16</x:v>
      </x:c>
      <x:c r="G2364" s="37" t="str">
        <x:v>375.10</x:v>
      </x:c>
      <x:c r="H2364" s="37" t="str">
        <x:v>0.00</x:v>
      </x:c>
      <x:c r="I2364" s="37" t="str">
        <x:v>0.00</x:v>
      </x:c>
      <x:c r="J2364" s="37" t="str">
        <x:v>375.10</x:v>
      </x:c>
      <x:c r="K2364" s="37" t="str">
        <x:v>0.00</x:v>
      </x:c>
      <x:c r="L2364" s="37" t="str">
        <x:v>586</x:v>
      </x:c>
      <x:c r="M2364" s="29" t="str">
        <x:v>296.35</x:v>
      </x:c>
      <x:c r="N2364" s="29" t="str">
        <x:v>210.08</x:v>
      </x:c>
      <x:c r="O2364" s="29" t="str">
        <x:v>86.27</x:v>
      </x:c>
      <x:c r="P2364" s="18" t="str">
        <x:v>2026-06-30</x:v>
      </x:c>
      <x:c r="Q2364" s="36" t="n">
        <x:v>46203</x:v>
      </x:c>
    </x:row>
    <x:row r="2365">
      <x:c r="A2365" s="36" t="str">
        <x:v>2026-06-30</x:v>
      </x:c>
      <x:c r="B2365" s="18" t="str">
        <x:v>101437000_95941</x:v>
      </x:c>
      <x:c r="C2365" s="18" t="str">
        <x:v>【沪村小电】惠诚雅苑</x:v>
      </x:c>
      <x:c r="D2365" s="37" t="str">
        <x:v>4</x:v>
      </x:c>
      <x:c r="E2365" s="37" t="str">
        <x:v>0</x:v>
      </x:c>
      <x:c r="F2365" s="37" t="str">
        <x:v>29</x:v>
      </x:c>
      <x:c r="G2365" s="37" t="str">
        <x:v>691.61</x:v>
      </x:c>
      <x:c r="H2365" s="37" t="str">
        <x:v>0.00</x:v>
      </x:c>
      <x:c r="I2365" s="37" t="str">
        <x:v>348.49</x:v>
      </x:c>
      <x:c r="J2365" s="37" t="str">
        <x:v>0.00</x:v>
      </x:c>
      <x:c r="K2365" s="37" t="str">
        <x:v>343.12</x:v>
      </x:c>
      <x:c r="L2365" s="37" t="str">
        <x:v>1183</x:v>
      </x:c>
      <x:c r="M2365" s="29" t="str">
        <x:v>463.71</x:v>
      </x:c>
      <x:c r="N2365" s="29" t="str">
        <x:v>311.95</x:v>
      </x:c>
      <x:c r="O2365" s="29" t="str">
        <x:v>151.76</x:v>
      </x:c>
      <x:c r="P2365" s="18" t="str">
        <x:v>2026-06-30</x:v>
      </x:c>
      <x:c r="Q2365" s="36" t="n">
        <x:v>46203</x:v>
      </x:c>
    </x:row>
    <x:row r="2366">
      <x:c r="A2366" s="36" t="str">
        <x:v>2026-06-30</x:v>
      </x:c>
      <x:c r="B2366" s="18" t="str">
        <x:v>101437000_96401</x:v>
      </x:c>
      <x:c r="C2366" s="18" t="str">
        <x:v>【沪村小电】上海联怡枇杷乐园地面站</x:v>
      </x:c>
      <x:c r="D2366" s="37" t="str">
        <x:v>2</x:v>
      </x:c>
      <x:c r="E2366" s="37" t="str">
        <x:v>0</x:v>
      </x:c>
      <x:c r="F2366" s="37" t="str">
        <x:v>6</x:v>
      </x:c>
      <x:c r="G2366" s="37" t="str">
        <x:v>164.86</x:v>
      </x:c>
      <x:c r="H2366" s="37" t="str">
        <x:v>0.00</x:v>
      </x:c>
      <x:c r="I2366" s="37" t="str">
        <x:v>16.43</x:v>
      </x:c>
      <x:c r="J2366" s="37" t="str">
        <x:v>0.00</x:v>
      </x:c>
      <x:c r="K2366" s="37" t="str">
        <x:v>148.42</x:v>
      </x:c>
      <x:c r="L2366" s="37" t="str">
        <x:v>279</x:v>
      </x:c>
      <x:c r="M2366" s="29" t="str">
        <x:v>106.76</x:v>
      </x:c>
      <x:c r="N2366" s="29" t="str">
        <x:v>95.76</x:v>
      </x:c>
      <x:c r="O2366" s="29" t="str">
        <x:v>11.00</x:v>
      </x:c>
      <x:c r="P2366" s="18" t="str">
        <x:v>2026-06-30</x:v>
      </x:c>
      <x:c r="Q2366" s="36" t="n">
        <x:v>46203</x:v>
      </x:c>
    </x:row>
    <x:row r="2367">
      <x:c r="A2367" s="36" t="str">
        <x:v>2026-06-30</x:v>
      </x:c>
      <x:c r="B2367" s="18" t="str">
        <x:v>101437000_96719</x:v>
      </x:c>
      <x:c r="C2367" s="18" t="str">
        <x:v>【沪村小电】四达路220弄充电站</x:v>
      </x:c>
      <x:c r="D2367" s="37" t="str">
        <x:v>2</x:v>
      </x:c>
      <x:c r="E2367" s="37" t="str">
        <x:v>0</x:v>
      </x:c>
      <x:c r="F2367" s="37" t="str">
        <x:v>1</x:v>
      </x:c>
      <x:c r="G2367" s="37" t="str">
        <x:v>25.77</x:v>
      </x:c>
      <x:c r="H2367" s="37" t="str">
        <x:v>0.00</x:v>
      </x:c>
      <x:c r="I2367" s="37" t="str">
        <x:v>0.00</x:v>
      </x:c>
      <x:c r="J2367" s="37" t="str">
        <x:v>3.55</x:v>
      </x:c>
      <x:c r="K2367" s="37" t="str">
        <x:v>22.22</x:v>
      </x:c>
      <x:c r="L2367" s="37" t="str">
        <x:v>40</x:v>
      </x:c>
      <x:c r="M2367" s="29" t="str">
        <x:v>22.67</x:v>
      </x:c>
      <x:c r="N2367" s="29" t="str">
        <x:v>11.38</x:v>
      </x:c>
      <x:c r="O2367" s="29" t="str">
        <x:v>11.29</x:v>
      </x:c>
      <x:c r="P2367" s="18" t="str">
        <x:v>2026-06-30</x:v>
      </x:c>
      <x:c r="Q2367" s="36" t="n">
        <x:v>46203</x:v>
      </x:c>
    </x:row>
    <x:row r="2368">
      <x:c r="A2368" s="36" t="str">
        <x:v>2026-06-30</x:v>
      </x:c>
      <x:c r="B2368" s="18" t="str">
        <x:v>101437000_97421</x:v>
      </x:c>
      <x:c r="C2368" s="18" t="str">
        <x:v>【沪村小电】玉兰清苑二期（小区外）充电站</x:v>
      </x:c>
      <x:c r="D2368" s="37" t="str">
        <x:v>4</x:v>
      </x:c>
      <x:c r="E2368" s="37" t="str">
        <x:v>0</x:v>
      </x:c>
      <x:c r="F2368" s="37" t="str">
        <x:v>28</x:v>
      </x:c>
      <x:c r="G2368" s="37" t="str">
        <x:v>589.58</x:v>
      </x:c>
      <x:c r="H2368" s="37" t="str">
        <x:v>0.00</x:v>
      </x:c>
      <x:c r="I2368" s="37" t="str">
        <x:v>516.58</x:v>
      </x:c>
      <x:c r="J2368" s="37" t="str">
        <x:v>0.00</x:v>
      </x:c>
      <x:c r="K2368" s="37" t="str">
        <x:v>73.00</x:v>
      </x:c>
      <x:c r="L2368" s="37" t="str">
        <x:v>1088</x:v>
      </x:c>
      <x:c r="M2368" s="29" t="str">
        <x:v>510.37</x:v>
      </x:c>
      <x:c r="N2368" s="29" t="str">
        <x:v>410.00</x:v>
      </x:c>
      <x:c r="O2368" s="29" t="str">
        <x:v>100.37</x:v>
      </x:c>
      <x:c r="P2368" s="18" t="str">
        <x:v>2026-06-30</x:v>
      </x:c>
      <x:c r="Q2368" s="36" t="n">
        <x:v>46203</x:v>
      </x:c>
    </x:row>
    <x:row r="2369">
      <x:c r="A2369" s="36" t="str">
        <x:v>2026-06-30</x:v>
      </x:c>
      <x:c r="B2369" s="18" t="str">
        <x:v>101437000_98013</x:v>
      </x:c>
      <x:c r="C2369" s="18" t="str">
        <x:v>【沪村小电】恒大滨江华府充电站</x:v>
      </x:c>
      <x:c r="D2369" s="37" t="str">
        <x:v>4</x:v>
      </x:c>
      <x:c r="E2369" s="37" t="str">
        <x:v>0</x:v>
      </x:c>
      <x:c r="F2369" s="37" t="str">
        <x:v>9</x:v>
      </x:c>
      <x:c r="G2369" s="37" t="str">
        <x:v>197.19</x:v>
      </x:c>
      <x:c r="H2369" s="37" t="str">
        <x:v>0.00</x:v>
      </x:c>
      <x:c r="I2369" s="37" t="str">
        <x:v>87.00</x:v>
      </x:c>
      <x:c r="J2369" s="37" t="str">
        <x:v>0.00</x:v>
      </x:c>
      <x:c r="K2369" s="37" t="str">
        <x:v>110.19</x:v>
      </x:c>
      <x:c r="L2369" s="37" t="str">
        <x:v>243</x:v>
      </x:c>
      <x:c r="M2369" s="29" t="str">
        <x:v>173.50</x:v>
      </x:c>
      <x:c r="N2369" s="29" t="str">
        <x:v>148.89</x:v>
      </x:c>
      <x:c r="O2369" s="29" t="str">
        <x:v>24.61</x:v>
      </x:c>
      <x:c r="P2369" s="18" t="str">
        <x:v>2026-06-30</x:v>
      </x:c>
      <x:c r="Q2369" s="36" t="n">
        <x:v>46203</x:v>
      </x:c>
    </x:row>
    <x:row r="2370">
      <x:c r="A2370" s="36" t="str">
        <x:v>2026-06-30</x:v>
      </x:c>
      <x:c r="B2370" s="18" t="str">
        <x:v>101437000_98865</x:v>
      </x:c>
      <x:c r="C2370" s="18" t="str">
        <x:v>【沪村小电】欣松苑充电站</x:v>
      </x:c>
      <x:c r="D2370" s="37" t="str">
        <x:v>4</x:v>
      </x:c>
      <x:c r="E2370" s="37" t="str">
        <x:v>0</x:v>
      </x:c>
      <x:c r="F2370" s="37" t="str">
        <x:v>2</x:v>
      </x:c>
      <x:c r="G2370" s="37" t="str">
        <x:v>45.85</x:v>
      </x:c>
      <x:c r="H2370" s="37" t="str">
        <x:v>0.00</x:v>
      </x:c>
      <x:c r="I2370" s="37" t="str">
        <x:v>45.85</x:v>
      </x:c>
      <x:c r="J2370" s="37" t="str">
        <x:v>0.00</x:v>
      </x:c>
      <x:c r="K2370" s="37" t="str">
        <x:v>0.00</x:v>
      </x:c>
      <x:c r="L2370" s="37" t="str">
        <x:v>60</x:v>
      </x:c>
      <x:c r="M2370" s="29" t="str">
        <x:v>37.75</x:v>
      </x:c>
      <x:c r="N2370" s="29" t="str">
        <x:v>33.93</x:v>
      </x:c>
      <x:c r="O2370" s="29" t="str">
        <x:v>3.82</x:v>
      </x:c>
      <x:c r="P2370" s="18" t="str">
        <x:v>2026-06-30</x:v>
      </x:c>
      <x:c r="Q2370" s="36" t="n">
        <x:v>46203</x:v>
      </x:c>
    </x:row>
    <x:row r="2371">
      <x:c r="A2371" s="36" t="str">
        <x:v>2026-06-30</x:v>
      </x:c>
      <x:c r="B2371" s="18" t="str">
        <x:v>101437000_98867</x:v>
      </x:c>
      <x:c r="C2371" s="18" t="str">
        <x:v>【沪村小电】欣荷苑充电站</x:v>
      </x:c>
      <x:c r="D2371" s="37" t="str">
        <x:v>4</x:v>
      </x:c>
      <x:c r="E2371" s="37" t="str">
        <x:v>0</x:v>
      </x:c>
      <x:c r="F2371" s="37" t="str">
        <x:v>3</x:v>
      </x:c>
      <x:c r="G2371" s="37" t="str">
        <x:v>105.64</x:v>
      </x:c>
      <x:c r="H2371" s="37" t="str">
        <x:v>0.00</x:v>
      </x:c>
      <x:c r="I2371" s="37" t="str">
        <x:v>105.64</x:v>
      </x:c>
      <x:c r="J2371" s="37" t="str">
        <x:v>0.00</x:v>
      </x:c>
      <x:c r="K2371" s="37" t="str">
        <x:v>0.00</x:v>
      </x:c>
      <x:c r="L2371" s="37" t="str">
        <x:v>120</x:v>
      </x:c>
      <x:c r="M2371" s="29" t="str">
        <x:v>128.10</x:v>
      </x:c>
      <x:c r="N2371" s="29" t="str">
        <x:v>78.18</x:v>
      </x:c>
      <x:c r="O2371" s="29" t="str">
        <x:v>49.92</x:v>
      </x:c>
      <x:c r="P2371" s="18" t="str">
        <x:v>2026-06-30</x:v>
      </x:c>
      <x:c r="Q2371" s="36" t="n">
        <x:v>46203</x:v>
      </x:c>
    </x:row>
    <x:row r="2372">
      <x:c r="A2372" s="36" t="str">
        <x:v>2026-06-30</x:v>
      </x:c>
      <x:c r="B2372" s="18" t="str">
        <x:v>101437000_99885</x:v>
      </x:c>
      <x:c r="C2372" s="18" t="str">
        <x:v>【沪村小电】汇丰馨苑充电站</x:v>
      </x:c>
      <x:c r="D2372" s="37" t="str">
        <x:v>4</x:v>
      </x:c>
      <x:c r="E2372" s="37" t="str">
        <x:v>0</x:v>
      </x:c>
      <x:c r="F2372" s="37" t="str">
        <x:v>7</x:v>
      </x:c>
      <x:c r="G2372" s="37" t="str">
        <x:v>114.06</x:v>
      </x:c>
      <x:c r="H2372" s="37" t="str">
        <x:v>0.00</x:v>
      </x:c>
      <x:c r="I2372" s="37" t="str">
        <x:v>14.91</x:v>
      </x:c>
      <x:c r="J2372" s="37" t="str">
        <x:v>91.98</x:v>
      </x:c>
      <x:c r="K2372" s="37" t="str">
        <x:v>7.17</x:v>
      </x:c>
      <x:c r="L2372" s="37" t="str">
        <x:v>199</x:v>
      </x:c>
      <x:c r="M2372" s="29" t="str">
        <x:v>111.30</x:v>
      </x:c>
      <x:c r="N2372" s="29" t="str">
        <x:v>84.27</x:v>
      </x:c>
      <x:c r="O2372" s="29" t="str">
        <x:v>27.03</x:v>
      </x:c>
      <x:c r="P2372" s="18" t="str">
        <x:v>2026-06-30</x:v>
      </x:c>
      <x:c r="Q2372" s="36" t="n">
        <x:v>46203</x:v>
      </x:c>
    </x:row>
    <x:row r="2373">
      <x:c r="A2373" s="36" t="str">
        <x:v>2026-06-30</x:v>
      </x:c>
      <x:c r="B2373" s="18" t="str">
        <x:v>101437000_99887</x:v>
      </x:c>
      <x:c r="C2373" s="18" t="str">
        <x:v>【沪村小电】新南村河南小区充电站</x:v>
      </x:c>
      <x:c r="D2373" s="37" t="str">
        <x:v>2</x:v>
      </x:c>
      <x:c r="E2373" s="37" t="str">
        <x:v>0</x:v>
      </x:c>
      <x:c r="F2373" s="37" t="str">
        <x:v>12</x:v>
      </x:c>
      <x:c r="G2373" s="37" t="str">
        <x:v>279.99</x:v>
      </x:c>
      <x:c r="H2373" s="37" t="str">
        <x:v>0.00</x:v>
      </x:c>
      <x:c r="I2373" s="37" t="str">
        <x:v>208.07</x:v>
      </x:c>
      <x:c r="J2373" s="37" t="str">
        <x:v>0.00</x:v>
      </x:c>
      <x:c r="K2373" s="37" t="str">
        <x:v>71.92</x:v>
      </x:c>
      <x:c r="L2373" s="37" t="str">
        <x:v>461</x:v>
      </x:c>
      <x:c r="M2373" s="29" t="str">
        <x:v>212.65</x:v>
      </x:c>
      <x:c r="N2373" s="29" t="str">
        <x:v>181.30</x:v>
      </x:c>
      <x:c r="O2373" s="29" t="str">
        <x:v>31.35</x:v>
      </x:c>
      <x:c r="P2373" s="18" t="str">
        <x:v>2026-06-30</x:v>
      </x:c>
      <x:c r="Q2373" s="36" t="n">
        <x:v>46203</x:v>
      </x:c>
    </x:row>
    <x:row r="2374">
      <x:c r="A2374" s="36" t="str">
        <x:v>2026-06-30</x:v>
      </x:c>
      <x:c r="B2374" s="18" t="str">
        <x:v>101437000_99891</x:v>
      </x:c>
      <x:c r="C2374" s="18" t="str">
        <x:v>【沪村小电】水韵紫城充电站</x:v>
      </x:c>
      <x:c r="D2374" s="37" t="str">
        <x:v>4</x:v>
      </x:c>
      <x:c r="E2374" s="37" t="str">
        <x:v>0</x:v>
      </x:c>
      <x:c r="F2374" s="37" t="str">
        <x:v>6</x:v>
      </x:c>
      <x:c r="G2374" s="37" t="str">
        <x:v>134.31</x:v>
      </x:c>
      <x:c r="H2374" s="37" t="str">
        <x:v>0.00</x:v>
      </x:c>
      <x:c r="I2374" s="37" t="str">
        <x:v>116.21</x:v>
      </x:c>
      <x:c r="J2374" s="37" t="str">
        <x:v>0.00</x:v>
      </x:c>
      <x:c r="K2374" s="37" t="str">
        <x:v>18.10</x:v>
      </x:c>
      <x:c r="L2374" s="37" t="str">
        <x:v>196</x:v>
      </x:c>
      <x:c r="M2374" s="29" t="str">
        <x:v>134.28</x:v>
      </x:c>
      <x:c r="N2374" s="29" t="str">
        <x:v>92.88</x:v>
      </x:c>
      <x:c r="O2374" s="29" t="str">
        <x:v>41.40</x:v>
      </x:c>
      <x:c r="P2374" s="18" t="str">
        <x:v>2026-06-30</x:v>
      </x:c>
      <x:c r="Q2374" s="36" t="n">
        <x:v>46203</x:v>
      </x:c>
    </x:row>
    <x:row r="2375">
      <x:c r="A2375" s="36" t="str">
        <x:v>2026-06-29</x:v>
      </x:c>
      <x:c r="B2375" s="18" t="str">
        <x:v>101437000_101531</x:v>
      </x:c>
      <x:c r="C2375" s="18" t="str">
        <x:v>【沪村小电】汇中苑充电站</x:v>
      </x:c>
      <x:c r="D2375" s="37" t="str">
        <x:v>2</x:v>
      </x:c>
      <x:c r="E2375" s="37" t="str">
        <x:v>0</x:v>
      </x:c>
      <x:c r="F2375" s="37" t="str">
        <x:v>3</x:v>
      </x:c>
      <x:c r="G2375" s="37" t="str">
        <x:v>79.08</x:v>
      </x:c>
      <x:c r="H2375" s="37" t="str">
        <x:v>0.00</x:v>
      </x:c>
      <x:c r="I2375" s="37" t="str">
        <x:v>0.00</x:v>
      </x:c>
      <x:c r="J2375" s="37" t="str">
        <x:v>79.08</x:v>
      </x:c>
      <x:c r="K2375" s="37" t="str">
        <x:v>0.00</x:v>
      </x:c>
      <x:c r="L2375" s="37" t="str">
        <x:v>84</x:v>
      </x:c>
      <x:c r="M2375" s="29" t="str">
        <x:v>76.71</x:v>
      </x:c>
      <x:c r="N2375" s="29" t="str">
        <x:v>55.36</x:v>
      </x:c>
      <x:c r="O2375" s="29" t="str">
        <x:v>21.35</x:v>
      </x:c>
      <x:c r="P2375" s="18" t="str">
        <x:v>2026-06-29</x:v>
      </x:c>
      <x:c r="Q2375" s="36" t="n">
        <x:v>46202</x:v>
      </x:c>
    </x:row>
    <x:row r="2376">
      <x:c r="A2376" s="36" t="str">
        <x:v>2026-06-29</x:v>
      </x:c>
      <x:c r="B2376" s="18" t="str">
        <x:v>101437000_41561</x:v>
      </x:c>
      <x:c r="C2376" s="18" t="str">
        <x:v>【沪村小电】张施小区大门处快充站</x:v>
      </x:c>
      <x:c r="D2376" s="37" t="str">
        <x:v>2</x:v>
      </x:c>
      <x:c r="E2376" s="37" t="str">
        <x:v>0</x:v>
      </x:c>
      <x:c r="F2376" s="37" t="str">
        <x:v>39</x:v>
      </x:c>
      <x:c r="G2376" s="37" t="str">
        <x:v>1018.18</x:v>
      </x:c>
      <x:c r="H2376" s="37" t="str">
        <x:v>0.00</x:v>
      </x:c>
      <x:c r="I2376" s="37" t="str">
        <x:v>404.54</x:v>
      </x:c>
      <x:c r="J2376" s="37" t="str">
        <x:v>0.00</x:v>
      </x:c>
      <x:c r="K2376" s="37" t="str">
        <x:v>613.64</x:v>
      </x:c>
      <x:c r="L2376" s="37" t="str">
        <x:v>1892</x:v>
      </x:c>
      <x:c r="M2376" s="29" t="str">
        <x:v>726.83</x:v>
      </x:c>
      <x:c r="N2376" s="29" t="str">
        <x:v>532.55</x:v>
      </x:c>
      <x:c r="O2376" s="29" t="str">
        <x:v>194.28</x:v>
      </x:c>
      <x:c r="P2376" s="18" t="str">
        <x:v>2026-06-29</x:v>
      </x:c>
      <x:c r="Q2376" s="36" t="n">
        <x:v>46202</x:v>
      </x:c>
    </x:row>
    <x:row r="2377">
      <x:c r="A2377" s="36" t="str">
        <x:v>2026-06-29</x:v>
      </x:c>
      <x:c r="B2377" s="18" t="str">
        <x:v>101437000_41563</x:v>
      </x:c>
      <x:c r="C2377" s="18" t="str">
        <x:v>【沪村小电】同心村快充站</x:v>
      </x:c>
      <x:c r="D2377" s="37" t="str">
        <x:v>4</x:v>
      </x:c>
      <x:c r="E2377" s="37" t="str">
        <x:v>0</x:v>
      </x:c>
      <x:c r="F2377" s="37" t="str">
        <x:v>69</x:v>
      </x:c>
      <x:c r="G2377" s="37" t="str">
        <x:v>1392.18</x:v>
      </x:c>
      <x:c r="H2377" s="37" t="str">
        <x:v>0.00</x:v>
      </x:c>
      <x:c r="I2377" s="37" t="str">
        <x:v>904.52</x:v>
      </x:c>
      <x:c r="J2377" s="37" t="str">
        <x:v>0.00</x:v>
      </x:c>
      <x:c r="K2377" s="37" t="str">
        <x:v>487.67</x:v>
      </x:c>
      <x:c r="L2377" s="37" t="str">
        <x:v>3257</x:v>
      </x:c>
      <x:c r="M2377" s="29" t="str">
        <x:v>1121.85</x:v>
      </x:c>
      <x:c r="N2377" s="29" t="str">
        <x:v>799.66</x:v>
      </x:c>
      <x:c r="O2377" s="29" t="str">
        <x:v>322.19</x:v>
      </x:c>
      <x:c r="P2377" s="18" t="str">
        <x:v>2026-06-29</x:v>
      </x:c>
      <x:c r="Q2377" s="36" t="n">
        <x:v>46202</x:v>
      </x:c>
    </x:row>
    <x:row r="2378">
      <x:c r="A2378" s="36" t="str">
        <x:v>2026-06-29</x:v>
      </x:c>
      <x:c r="B2378" s="18" t="str">
        <x:v>101437000_69629</x:v>
      </x:c>
      <x:c r="C2378" s="18" t="str">
        <x:v>【沪村小电】骏丰玲珑坊西苑充电站</x:v>
      </x:c>
      <x:c r="D2378" s="37" t="str">
        <x:v>2</x:v>
      </x:c>
      <x:c r="E2378" s="37" t="str">
        <x:v>0</x:v>
      </x:c>
      <x:c r="F2378" s="37" t="str">
        <x:v>53</x:v>
      </x:c>
      <x:c r="G2378" s="37" t="str">
        <x:v>1119.30</x:v>
      </x:c>
      <x:c r="H2378" s="37" t="str">
        <x:v>0.00</x:v>
      </x:c>
      <x:c r="I2378" s="37" t="str">
        <x:v>623.24</x:v>
      </x:c>
      <x:c r="J2378" s="37" t="str">
        <x:v>0.00</x:v>
      </x:c>
      <x:c r="K2378" s="37" t="str">
        <x:v>496.05</x:v>
      </x:c>
      <x:c r="L2378" s="37" t="str">
        <x:v>1903</x:v>
      </x:c>
      <x:c r="M2378" s="29" t="str">
        <x:v>924.53</x:v>
      </x:c>
      <x:c r="N2378" s="29" t="str">
        <x:v>649.69</x:v>
      </x:c>
      <x:c r="O2378" s="29" t="str">
        <x:v>274.84</x:v>
      </x:c>
      <x:c r="P2378" s="18" t="str">
        <x:v>2026-06-29</x:v>
      </x:c>
      <x:c r="Q2378" s="36" t="n">
        <x:v>46202</x:v>
      </x:c>
    </x:row>
    <x:row r="2379">
      <x:c r="A2379" s="36" t="str">
        <x:v>2026-06-29</x:v>
      </x:c>
      <x:c r="B2379" s="18" t="str">
        <x:v>101437000_70547</x:v>
      </x:c>
      <x:c r="C2379" s="18" t="str">
        <x:v>【沪村小电】农建村初心馆党群服务中心充电站</x:v>
      </x:c>
      <x:c r="D2379" s="37" t="str">
        <x:v>4</x:v>
      </x:c>
      <x:c r="E2379" s="37" t="str">
        <x:v>0</x:v>
      </x:c>
      <x:c r="F2379" s="37" t="str">
        <x:v>21</x:v>
      </x:c>
      <x:c r="G2379" s="37" t="str">
        <x:v>492.19</x:v>
      </x:c>
      <x:c r="H2379" s="37" t="str">
        <x:v>0.00</x:v>
      </x:c>
      <x:c r="I2379" s="37" t="str">
        <x:v>257.72</x:v>
      </x:c>
      <x:c r="J2379" s="37" t="str">
        <x:v>0.00</x:v>
      </x:c>
      <x:c r="K2379" s="37" t="str">
        <x:v>234.47</x:v>
      </x:c>
      <x:c r="L2379" s="37" t="str">
        <x:v>856</x:v>
      </x:c>
      <x:c r="M2379" s="29" t="str">
        <x:v>443.62</x:v>
      </x:c>
      <x:c r="N2379" s="29" t="str">
        <x:v>392.28</x:v>
      </x:c>
      <x:c r="O2379" s="29" t="str">
        <x:v>51.34</x:v>
      </x:c>
      <x:c r="P2379" s="18" t="str">
        <x:v>2026-06-29</x:v>
      </x:c>
      <x:c r="Q2379" s="36" t="n">
        <x:v>46202</x:v>
      </x:c>
    </x:row>
    <x:row r="2380">
      <x:c r="A2380" s="36" t="str">
        <x:v>2026-06-29</x:v>
      </x:c>
      <x:c r="B2380" s="18" t="str">
        <x:v>101437000_70549</x:v>
      </x:c>
      <x:c r="C2380" s="18" t="str">
        <x:v>【沪村小电】学府路充电站</x:v>
      </x:c>
      <x:c r="D2380" s="37" t="str">
        <x:v>2</x:v>
      </x:c>
      <x:c r="E2380" s="37" t="str">
        <x:v>0</x:v>
      </x:c>
      <x:c r="F2380" s="37" t="str">
        <x:v>11</x:v>
      </x:c>
      <x:c r="G2380" s="37" t="str">
        <x:v>253.79</x:v>
      </x:c>
      <x:c r="H2380" s="37" t="str">
        <x:v>0.00</x:v>
      </x:c>
      <x:c r="I2380" s="37" t="str">
        <x:v>31.75</x:v>
      </x:c>
      <x:c r="J2380" s="37" t="str">
        <x:v>0.00</x:v>
      </x:c>
      <x:c r="K2380" s="37" t="str">
        <x:v>222.04</x:v>
      </x:c>
      <x:c r="L2380" s="37" t="str">
        <x:v>533</x:v>
      </x:c>
      <x:c r="M2380" s="29" t="str">
        <x:v>180.72</x:v>
      </x:c>
      <x:c r="N2380" s="29" t="str">
        <x:v>150.70</x:v>
      </x:c>
      <x:c r="O2380" s="29" t="str">
        <x:v>30.02</x:v>
      </x:c>
      <x:c r="P2380" s="18" t="str">
        <x:v>2026-06-29</x:v>
      </x:c>
      <x:c r="Q2380" s="36" t="n">
        <x:v>46202</x:v>
      </x:c>
    </x:row>
    <x:row r="2381">
      <x:c r="A2381" s="36" t="str">
        <x:v>2026-06-29</x:v>
      </x:c>
      <x:c r="B2381" s="18" t="str">
        <x:v>101437000_71059</x:v>
      </x:c>
      <x:c r="C2381" s="18" t="str">
        <x:v>【沪村小电】宝乐汇商业广场站</x:v>
      </x:c>
      <x:c r="D2381" s="37" t="str">
        <x:v>4</x:v>
      </x:c>
      <x:c r="E2381" s="37" t="str">
        <x:v>0</x:v>
      </x:c>
      <x:c r="F2381" s="37" t="str">
        <x:v>16</x:v>
      </x:c>
      <x:c r="G2381" s="37" t="str">
        <x:v>317.23</x:v>
      </x:c>
      <x:c r="H2381" s="37" t="str">
        <x:v>0.00</x:v>
      </x:c>
      <x:c r="I2381" s="37" t="str">
        <x:v>127.30</x:v>
      </x:c>
      <x:c r="J2381" s="37" t="str">
        <x:v>122.73</x:v>
      </x:c>
      <x:c r="K2381" s="37" t="str">
        <x:v>67.20</x:v>
      </x:c>
      <x:c r="L2381" s="37" t="str">
        <x:v>575</x:v>
      </x:c>
      <x:c r="M2381" s="29" t="str">
        <x:v>331.48</x:v>
      </x:c>
      <x:c r="N2381" s="29" t="str">
        <x:v>249.62</x:v>
      </x:c>
      <x:c r="O2381" s="29" t="str">
        <x:v>81.86</x:v>
      </x:c>
      <x:c r="P2381" s="18" t="str">
        <x:v>2026-06-29</x:v>
      </x:c>
      <x:c r="Q2381" s="36" t="n">
        <x:v>46202</x:v>
      </x:c>
    </x:row>
    <x:row r="2382">
      <x:c r="A2382" s="36" t="str">
        <x:v>2026-06-29</x:v>
      </x:c>
      <x:c r="B2382" s="18" t="str">
        <x:v>101437000_72541</x:v>
      </x:c>
      <x:c r="C2382" s="18" t="str">
        <x:v>【沪村小电】九干路1174弄充电站</x:v>
      </x:c>
      <x:c r="D2382" s="37" t="str">
        <x:v>2</x:v>
      </x:c>
      <x:c r="E2382" s="37" t="str">
        <x:v>0</x:v>
      </x:c>
      <x:c r="F2382" s="37" t="str">
        <x:v>62</x:v>
      </x:c>
      <x:c r="G2382" s="37" t="str">
        <x:v>611.21</x:v>
      </x:c>
      <x:c r="H2382" s="37" t="str">
        <x:v>0.00</x:v>
      </x:c>
      <x:c r="I2382" s="37" t="str">
        <x:v>465.24</x:v>
      </x:c>
      <x:c r="J2382" s="37" t="str">
        <x:v>0.00</x:v>
      </x:c>
      <x:c r="K2382" s="37" t="str">
        <x:v>145.97</x:v>
      </x:c>
      <x:c r="L2382" s="37" t="str">
        <x:v>1145</x:v>
      </x:c>
      <x:c r="M2382" s="29" t="str">
        <x:v>581.28</x:v>
      </x:c>
      <x:c r="N2382" s="29" t="str">
        <x:v>399.77</x:v>
      </x:c>
      <x:c r="O2382" s="29" t="str">
        <x:v>181.51</x:v>
      </x:c>
      <x:c r="P2382" s="18" t="str">
        <x:v>2026-06-29</x:v>
      </x:c>
      <x:c r="Q2382" s="36" t="n">
        <x:v>46202</x:v>
      </x:c>
    </x:row>
    <x:row r="2383">
      <x:c r="A2383" s="36" t="str">
        <x:v>2026-06-29</x:v>
      </x:c>
      <x:c r="B2383" s="18" t="str">
        <x:v>101437000_72543</x:v>
      </x:c>
      <x:c r="C2383" s="18" t="str">
        <x:v>【沪村小电】叶家中心村小区充电站</x:v>
      </x:c>
      <x:c r="D2383" s="37" t="str">
        <x:v>2</x:v>
      </x:c>
      <x:c r="E2383" s="37" t="str">
        <x:v>0</x:v>
      </x:c>
      <x:c r="F2383" s="37" t="str">
        <x:v>51</x:v>
      </x:c>
      <x:c r="G2383" s="37" t="str">
        <x:v>1150.00</x:v>
      </x:c>
      <x:c r="H2383" s="37" t="str">
        <x:v>0.00</x:v>
      </x:c>
      <x:c r="I2383" s="37" t="str">
        <x:v>596.83</x:v>
      </x:c>
      <x:c r="J2383" s="37" t="str">
        <x:v>0.00</x:v>
      </x:c>
      <x:c r="K2383" s="37" t="str">
        <x:v>553.17</x:v>
      </x:c>
      <x:c r="L2383" s="37" t="str">
        <x:v>2103</x:v>
      </x:c>
      <x:c r="M2383" s="29" t="str">
        <x:v>910.38</x:v>
      </x:c>
      <x:c r="N2383" s="29" t="str">
        <x:v>651.83</x:v>
      </x:c>
      <x:c r="O2383" s="29" t="str">
        <x:v>258.55</x:v>
      </x:c>
      <x:c r="P2383" s="18" t="str">
        <x:v>2026-06-29</x:v>
      </x:c>
      <x:c r="Q2383" s="36" t="n">
        <x:v>46202</x:v>
      </x:c>
    </x:row>
    <x:row r="2384">
      <x:c r="A2384" s="36" t="str">
        <x:v>2026-06-29</x:v>
      </x:c>
      <x:c r="B2384" s="18" t="str">
        <x:v>101437000_72937</x:v>
      </x:c>
      <x:c r="C2384" s="18" t="str">
        <x:v>【沪村小电】佘北家园茸腾苑充电站</x:v>
      </x:c>
      <x:c r="D2384" s="37" t="str">
        <x:v>4</x:v>
      </x:c>
      <x:c r="E2384" s="37" t="str">
        <x:v>0</x:v>
      </x:c>
      <x:c r="F2384" s="37" t="str">
        <x:v>17</x:v>
      </x:c>
      <x:c r="G2384" s="37" t="str">
        <x:v>225.55</x:v>
      </x:c>
      <x:c r="H2384" s="37" t="str">
        <x:v>0.00</x:v>
      </x:c>
      <x:c r="I2384" s="37" t="str">
        <x:v>225.55</x:v>
      </x:c>
      <x:c r="J2384" s="37" t="str">
        <x:v>0.00</x:v>
      </x:c>
      <x:c r="K2384" s="37" t="str">
        <x:v>0.00</x:v>
      </x:c>
      <x:c r="L2384" s="37" t="str">
        <x:v>372</x:v>
      </x:c>
      <x:c r="M2384" s="29" t="str">
        <x:v>215.55</x:v>
      </x:c>
      <x:c r="N2384" s="29" t="str">
        <x:v>166.92</x:v>
      </x:c>
      <x:c r="O2384" s="29" t="str">
        <x:v>48.63</x:v>
      </x:c>
      <x:c r="P2384" s="18" t="str">
        <x:v>2026-06-29</x:v>
      </x:c>
      <x:c r="Q2384" s="36" t="n">
        <x:v>46202</x:v>
      </x:c>
    </x:row>
    <x:row r="2385">
      <x:c r="A2385" s="36" t="str">
        <x:v>2026-06-29</x:v>
      </x:c>
      <x:c r="B2385" s="18" t="str">
        <x:v>101437000_74223</x:v>
      </x:c>
      <x:c r="C2385" s="18" t="str">
        <x:v>【沪村小电】中兴村委会充电站</x:v>
      </x:c>
      <x:c r="D2385" s="37" t="str">
        <x:v>2</x:v>
      </x:c>
      <x:c r="E2385" s="37" t="str">
        <x:v>0</x:v>
      </x:c>
      <x:c r="F2385" s="37" t="str">
        <x:v>26</x:v>
      </x:c>
      <x:c r="G2385" s="37" t="str">
        <x:v>671.85</x:v>
      </x:c>
      <x:c r="H2385" s="37" t="str">
        <x:v>0.00</x:v>
      </x:c>
      <x:c r="I2385" s="37" t="str">
        <x:v>230.80</x:v>
      </x:c>
      <x:c r="J2385" s="37" t="str">
        <x:v>0.00</x:v>
      </x:c>
      <x:c r="K2385" s="37" t="str">
        <x:v>441.05</x:v>
      </x:c>
      <x:c r="L2385" s="37" t="str">
        <x:v>940</x:v>
      </x:c>
      <x:c r="M2385" s="29" t="str">
        <x:v>561.99</x:v>
      </x:c>
      <x:c r="N2385" s="29" t="str">
        <x:v>473.79</x:v>
      </x:c>
      <x:c r="O2385" s="29" t="str">
        <x:v>88.20</x:v>
      </x:c>
      <x:c r="P2385" s="18" t="str">
        <x:v>2026-06-29</x:v>
      </x:c>
      <x:c r="Q2385" s="36" t="n">
        <x:v>46202</x:v>
      </x:c>
    </x:row>
    <x:row r="2386">
      <x:c r="A2386" s="36" t="str">
        <x:v>2026-06-29</x:v>
      </x:c>
      <x:c r="B2386" s="18" t="str">
        <x:v>101437000_74801</x:v>
      </x:c>
      <x:c r="C2386" s="18" t="str">
        <x:v>【沪村小电】申良花园充电站</x:v>
      </x:c>
      <x:c r="D2386" s="37" t="str">
        <x:v>4</x:v>
      </x:c>
      <x:c r="E2386" s="37" t="str">
        <x:v>0</x:v>
      </x:c>
      <x:c r="F2386" s="37" t="str">
        <x:v>9</x:v>
      </x:c>
      <x:c r="G2386" s="37" t="str">
        <x:v>204.59</x:v>
      </x:c>
      <x:c r="H2386" s="37" t="str">
        <x:v>0.00</x:v>
      </x:c>
      <x:c r="I2386" s="37" t="str">
        <x:v>204.59</x:v>
      </x:c>
      <x:c r="J2386" s="37" t="str">
        <x:v>0.00</x:v>
      </x:c>
      <x:c r="K2386" s="37" t="str">
        <x:v>0.00</x:v>
      </x:c>
      <x:c r="L2386" s="37" t="str">
        <x:v>330</x:v>
      </x:c>
      <x:c r="M2386" s="29" t="str">
        <x:v>220.33</x:v>
      </x:c>
      <x:c r="N2386" s="29" t="str">
        <x:v>151.39</x:v>
      </x:c>
      <x:c r="O2386" s="29" t="str">
        <x:v>68.94</x:v>
      </x:c>
      <x:c r="P2386" s="18" t="str">
        <x:v>2026-06-29</x:v>
      </x:c>
      <x:c r="Q2386" s="36" t="n">
        <x:v>46202</x:v>
      </x:c>
    </x:row>
    <x:row r="2387">
      <x:c r="A2387" s="36" t="str">
        <x:v>2026-06-29</x:v>
      </x:c>
      <x:c r="B2387" s="18" t="str">
        <x:v>101437000_74931</x:v>
      </x:c>
      <x:c r="C2387" s="18" t="str">
        <x:v>【沪村小电】枫雅南居充电站</x:v>
      </x:c>
      <x:c r="D2387" s="37" t="str">
        <x:v>2</x:v>
      </x:c>
      <x:c r="E2387" s="37" t="str">
        <x:v>0</x:v>
      </x:c>
      <x:c r="F2387" s="37" t="str">
        <x:v>6</x:v>
      </x:c>
      <x:c r="G2387" s="37" t="str">
        <x:v>162.81</x:v>
      </x:c>
      <x:c r="H2387" s="37" t="str">
        <x:v>0.00</x:v>
      </x:c>
      <x:c r="I2387" s="37" t="str">
        <x:v>109.80</x:v>
      </x:c>
      <x:c r="J2387" s="37" t="str">
        <x:v>0.00</x:v>
      </x:c>
      <x:c r="K2387" s="37" t="str">
        <x:v>53.01</x:v>
      </x:c>
      <x:c r="L2387" s="37" t="str">
        <x:v>260</x:v>
      </x:c>
      <x:c r="M2387" s="29" t="str">
        <x:v>120.50</x:v>
      </x:c>
      <x:c r="N2387" s="29" t="str">
        <x:v>81.21</x:v>
      </x:c>
      <x:c r="O2387" s="29" t="str">
        <x:v>39.29</x:v>
      </x:c>
      <x:c r="P2387" s="18" t="str">
        <x:v>2026-06-29</x:v>
      </x:c>
      <x:c r="Q2387" s="36" t="n">
        <x:v>46202</x:v>
      </x:c>
    </x:row>
    <x:row r="2388">
      <x:c r="A2388" s="36" t="str">
        <x:v>2026-06-29</x:v>
      </x:c>
      <x:c r="B2388" s="18" t="str">
        <x:v>101437000_75901</x:v>
      </x:c>
      <x:c r="C2388" s="18" t="str">
        <x:v>【沪村小电】金悦学府</x:v>
      </x:c>
      <x:c r="D2388" s="37" t="str">
        <x:v>2</x:v>
      </x:c>
      <x:c r="E2388" s="37" t="str">
        <x:v>0</x:v>
      </x:c>
      <x:c r="F2388" s="37" t="str">
        <x:v>13</x:v>
      </x:c>
      <x:c r="G2388" s="37" t="str">
        <x:v>403.52</x:v>
      </x:c>
      <x:c r="H2388" s="37" t="str">
        <x:v>0.00</x:v>
      </x:c>
      <x:c r="I2388" s="37" t="str">
        <x:v>325.72</x:v>
      </x:c>
      <x:c r="J2388" s="37" t="str">
        <x:v>0.00</x:v>
      </x:c>
      <x:c r="K2388" s="37" t="str">
        <x:v>77.80</x:v>
      </x:c>
      <x:c r="L2388" s="37" t="str">
        <x:v>531</x:v>
      </x:c>
      <x:c r="M2388" s="29" t="str">
        <x:v>337.05</x:v>
      </x:c>
      <x:c r="N2388" s="29" t="str">
        <x:v>216.29</x:v>
      </x:c>
      <x:c r="O2388" s="29" t="str">
        <x:v>120.76</x:v>
      </x:c>
      <x:c r="P2388" s="18" t="str">
        <x:v>2026-06-29</x:v>
      </x:c>
      <x:c r="Q2388" s="36" t="n">
        <x:v>46202</x:v>
      </x:c>
    </x:row>
    <x:row r="2389">
      <x:c r="A2389" s="36" t="str">
        <x:v>2026-06-29</x:v>
      </x:c>
      <x:c r="B2389" s="18" t="str">
        <x:v>101437000_76091</x:v>
      </x:c>
      <x:c r="C2389" s="18" t="str">
        <x:v>【沪村小电】恒信家园充电站</x:v>
      </x:c>
      <x:c r="D2389" s="37" t="str">
        <x:v>2</x:v>
      </x:c>
      <x:c r="E2389" s="37" t="str">
        <x:v>0</x:v>
      </x:c>
      <x:c r="F2389" s="37" t="str">
        <x:v>46</x:v>
      </x:c>
      <x:c r="G2389" s="37" t="str">
        <x:v>1153.11</x:v>
      </x:c>
      <x:c r="H2389" s="37" t="str">
        <x:v>0.00</x:v>
      </x:c>
      <x:c r="I2389" s="37" t="str">
        <x:v>638.79</x:v>
      </x:c>
      <x:c r="J2389" s="37" t="str">
        <x:v>0.00</x:v>
      </x:c>
      <x:c r="K2389" s="37" t="str">
        <x:v>514.33</x:v>
      </x:c>
      <x:c r="L2389" s="37" t="str">
        <x:v>1668</x:v>
      </x:c>
      <x:c r="M2389" s="29" t="str">
        <x:v>1037.67</x:v>
      </x:c>
      <x:c r="N2389" s="29" t="str">
        <x:v>668.15</x:v>
      </x:c>
      <x:c r="O2389" s="29" t="str">
        <x:v>369.52</x:v>
      </x:c>
      <x:c r="P2389" s="18" t="str">
        <x:v>2026-06-29</x:v>
      </x:c>
      <x:c r="Q2389" s="36" t="n">
        <x:v>46202</x:v>
      </x:c>
    </x:row>
    <x:row r="2390">
      <x:c r="A2390" s="36" t="str">
        <x:v>2026-06-29</x:v>
      </x:c>
      <x:c r="B2390" s="18" t="str">
        <x:v>101437000_76417</x:v>
      </x:c>
      <x:c r="C2390" s="18" t="str">
        <x:v>【沪村小电】新春一组充电站</x:v>
      </x:c>
      <x:c r="D2390" s="37" t="str">
        <x:v>2</x:v>
      </x:c>
      <x:c r="E2390" s="37" t="str">
        <x:v>0</x:v>
      </x:c>
      <x:c r="F2390" s="37" t="str">
        <x:v>6</x:v>
      </x:c>
      <x:c r="G2390" s="37" t="str">
        <x:v>205.39</x:v>
      </x:c>
      <x:c r="H2390" s="37" t="str">
        <x:v>0.00</x:v>
      </x:c>
      <x:c r="I2390" s="37" t="str">
        <x:v>39.50</x:v>
      </x:c>
      <x:c r="J2390" s="37" t="str">
        <x:v>0.00</x:v>
      </x:c>
      <x:c r="K2390" s="37" t="str">
        <x:v>165.89</x:v>
      </x:c>
      <x:c r="L2390" s="37" t="str">
        <x:v>284</x:v>
      </x:c>
      <x:c r="M2390" s="29" t="str">
        <x:v>152.36</x:v>
      </x:c>
      <x:c r="N2390" s="29" t="str">
        <x:v>129.00</x:v>
      </x:c>
      <x:c r="O2390" s="29" t="str">
        <x:v>23.36</x:v>
      </x:c>
      <x:c r="P2390" s="18" t="str">
        <x:v>2026-06-29</x:v>
      </x:c>
      <x:c r="Q2390" s="36" t="n">
        <x:v>46202</x:v>
      </x:c>
    </x:row>
    <x:row r="2391">
      <x:c r="A2391" s="36" t="str">
        <x:v>2026-06-29</x:v>
      </x:c>
      <x:c r="B2391" s="18" t="str">
        <x:v>101437000_78235</x:v>
      </x:c>
      <x:c r="C2391" s="18" t="str">
        <x:v>【沪村小电】欣秋苑充电站</x:v>
      </x:c>
      <x:c r="D2391" s="37" t="str">
        <x:v>4</x:v>
      </x:c>
      <x:c r="E2391" s="37" t="str">
        <x:v>0</x:v>
      </x:c>
      <x:c r="F2391" s="37" t="str">
        <x:v>14</x:v>
      </x:c>
      <x:c r="G2391" s="37" t="str">
        <x:v>404.86</x:v>
      </x:c>
      <x:c r="H2391" s="37" t="str">
        <x:v>0.00</x:v>
      </x:c>
      <x:c r="I2391" s="37" t="str">
        <x:v>250.41</x:v>
      </x:c>
      <x:c r="J2391" s="37" t="str">
        <x:v>0.00</x:v>
      </x:c>
      <x:c r="K2391" s="37" t="str">
        <x:v>154.46</x:v>
      </x:c>
      <x:c r="L2391" s="37" t="str">
        <x:v>659</x:v>
      </x:c>
      <x:c r="M2391" s="29" t="str">
        <x:v>340.58</x:v>
      </x:c>
      <x:c r="N2391" s="29" t="str">
        <x:v>244.01</x:v>
      </x:c>
      <x:c r="O2391" s="29" t="str">
        <x:v>96.57</x:v>
      </x:c>
      <x:c r="P2391" s="18" t="str">
        <x:v>2026-06-29</x:v>
      </x:c>
      <x:c r="Q2391" s="36" t="n">
        <x:v>46202</x:v>
      </x:c>
    </x:row>
    <x:row r="2392">
      <x:c r="A2392" s="36" t="str">
        <x:v>2026-06-29</x:v>
      </x:c>
      <x:c r="B2392" s="18" t="str">
        <x:v>101437000_78237</x:v>
      </x:c>
      <x:c r="C2392" s="18" t="str">
        <x:v>【沪村小电】奉馨苑西门小区内北侧充电站</x:v>
      </x:c>
      <x:c r="D2392" s="37" t="str">
        <x:v>2</x:v>
      </x:c>
      <x:c r="E2392" s="37" t="str">
        <x:v>0</x:v>
      </x:c>
      <x:c r="F2392" s="37" t="str">
        <x:v>31</x:v>
      </x:c>
      <x:c r="G2392" s="37" t="str">
        <x:v>850.06</x:v>
      </x:c>
      <x:c r="H2392" s="37" t="str">
        <x:v>0.00</x:v>
      </x:c>
      <x:c r="I2392" s="37" t="str">
        <x:v>497.44</x:v>
      </x:c>
      <x:c r="J2392" s="37" t="str">
        <x:v>0.00</x:v>
      </x:c>
      <x:c r="K2392" s="37" t="str">
        <x:v>352.62</x:v>
      </x:c>
      <x:c r="L2392" s="37" t="str">
        <x:v>1440</x:v>
      </x:c>
      <x:c r="M2392" s="29" t="str">
        <x:v>762.77</x:v>
      </x:c>
      <x:c r="N2392" s="29" t="str">
        <x:v>502.10</x:v>
      </x:c>
      <x:c r="O2392" s="29" t="str">
        <x:v>260.67</x:v>
      </x:c>
      <x:c r="P2392" s="18" t="str">
        <x:v>2026-06-29</x:v>
      </x:c>
      <x:c r="Q2392" s="36" t="n">
        <x:v>46202</x:v>
      </x:c>
    </x:row>
    <x:row r="2393">
      <x:c r="A2393" s="36" t="str">
        <x:v>2026-06-29</x:v>
      </x:c>
      <x:c r="B2393" s="18" t="str">
        <x:v>101437000_78239</x:v>
      </x:c>
      <x:c r="C2393" s="18" t="str">
        <x:v>【沪村小电】恒大佘山首府东门充电站</x:v>
      </x:c>
      <x:c r="D2393" s="37" t="str">
        <x:v>2</x:v>
      </x:c>
      <x:c r="E2393" s="37" t="str">
        <x:v>0</x:v>
      </x:c>
      <x:c r="F2393" s="37" t="str">
        <x:v>39</x:v>
      </x:c>
      <x:c r="G2393" s="37" t="str">
        <x:v>983.65</x:v>
      </x:c>
      <x:c r="H2393" s="37" t="str">
        <x:v>0.00</x:v>
      </x:c>
      <x:c r="I2393" s="37" t="str">
        <x:v>619.20</x:v>
      </x:c>
      <x:c r="J2393" s="37" t="str">
        <x:v>0.00</x:v>
      </x:c>
      <x:c r="K2393" s="37" t="str">
        <x:v>364.45</x:v>
      </x:c>
      <x:c r="L2393" s="37" t="str">
        <x:v>1464</x:v>
      </x:c>
      <x:c r="M2393" s="29" t="str">
        <x:v>766.05</x:v>
      </x:c>
      <x:c r="N2393" s="29" t="str">
        <x:v>596.73</x:v>
      </x:c>
      <x:c r="O2393" s="29" t="str">
        <x:v>169.32</x:v>
      </x:c>
      <x:c r="P2393" s="18" t="str">
        <x:v>2026-06-29</x:v>
      </x:c>
      <x:c r="Q2393" s="36" t="n">
        <x:v>46202</x:v>
      </x:c>
    </x:row>
    <x:row r="2394">
      <x:c r="A2394" s="36" t="str">
        <x:v>2026-06-29</x:v>
      </x:c>
      <x:c r="B2394" s="18" t="str">
        <x:v>101437000_80823</x:v>
      </x:c>
      <x:c r="C2394" s="18" t="str">
        <x:v>【沪村小电】上湖轩充电站</x:v>
      </x:c>
      <x:c r="D2394" s="37" t="str">
        <x:v>2</x:v>
      </x:c>
      <x:c r="E2394" s="37" t="str">
        <x:v>0</x:v>
      </x:c>
      <x:c r="F2394" s="37" t="str">
        <x:v>2</x:v>
      </x:c>
      <x:c r="G2394" s="37" t="str">
        <x:v>25.21</x:v>
      </x:c>
      <x:c r="H2394" s="37" t="str">
        <x:v>0.00</x:v>
      </x:c>
      <x:c r="I2394" s="37" t="str">
        <x:v>15.88</x:v>
      </x:c>
      <x:c r="J2394" s="37" t="str">
        <x:v>9.34</x:v>
      </x:c>
      <x:c r="K2394" s="37" t="str">
        <x:v>0.00</x:v>
      </x:c>
      <x:c r="L2394" s="37" t="str">
        <x:v>41</x:v>
      </x:c>
      <x:c r="M2394" s="29" t="str">
        <x:v>25.45</x:v>
      </x:c>
      <x:c r="N2394" s="29" t="str">
        <x:v>18.72</x:v>
      </x:c>
      <x:c r="O2394" s="29" t="str">
        <x:v>6.73</x:v>
      </x:c>
      <x:c r="P2394" s="18" t="str">
        <x:v>2026-06-29</x:v>
      </x:c>
      <x:c r="Q2394" s="36" t="n">
        <x:v>46202</x:v>
      </x:c>
    </x:row>
    <x:row r="2395">
      <x:c r="A2395" s="36" t="str">
        <x:v>2026-06-29</x:v>
      </x:c>
      <x:c r="B2395" s="18" t="str">
        <x:v>101437000_83019</x:v>
      </x:c>
      <x:c r="C2395" s="18" t="str">
        <x:v>【沪村小电】首创禧瑞云启东区充电站</x:v>
      </x:c>
      <x:c r="D2395" s="37" t="str">
        <x:v>2</x:v>
      </x:c>
      <x:c r="E2395" s="37" t="str">
        <x:v>0</x:v>
      </x:c>
      <x:c r="F2395" s="37" t="str">
        <x:v>43</x:v>
      </x:c>
      <x:c r="G2395" s="37" t="str">
        <x:v>850.40</x:v>
      </x:c>
      <x:c r="H2395" s="37" t="str">
        <x:v>0.00</x:v>
      </x:c>
      <x:c r="I2395" s="37" t="str">
        <x:v>621.21</x:v>
      </x:c>
      <x:c r="J2395" s="37" t="str">
        <x:v>0.00</x:v>
      </x:c>
      <x:c r="K2395" s="37" t="str">
        <x:v>229.19</x:v>
      </x:c>
      <x:c r="L2395" s="37" t="str">
        <x:v>1154</x:v>
      </x:c>
      <x:c r="M2395" s="29" t="str">
        <x:v>730.29</x:v>
      </x:c>
      <x:c r="N2395" s="29" t="str">
        <x:v>511.12</x:v>
      </x:c>
      <x:c r="O2395" s="29" t="str">
        <x:v>219.17</x:v>
      </x:c>
      <x:c r="P2395" s="18" t="str">
        <x:v>2026-06-29</x:v>
      </x:c>
      <x:c r="Q2395" s="36" t="n">
        <x:v>46202</x:v>
      </x:c>
    </x:row>
    <x:row r="2396">
      <x:c r="A2396" s="36" t="str">
        <x:v>2026-06-29</x:v>
      </x:c>
      <x:c r="B2396" s="18" t="str">
        <x:v>101437000_83093</x:v>
      </x:c>
      <x:c r="C2396" s="18" t="str">
        <x:v>【沪村小电】金茂未来时光里</x:v>
      </x:c>
      <x:c r="D2396" s="37" t="str">
        <x:v>2</x:v>
      </x:c>
      <x:c r="E2396" s="37" t="str">
        <x:v>0</x:v>
      </x:c>
      <x:c r="F2396" s="37" t="str">
        <x:v>28</x:v>
      </x:c>
      <x:c r="G2396" s="37" t="str">
        <x:v>777.86</x:v>
      </x:c>
      <x:c r="H2396" s="37" t="str">
        <x:v>0.00</x:v>
      </x:c>
      <x:c r="I2396" s="37" t="str">
        <x:v>493.91</x:v>
      </x:c>
      <x:c r="J2396" s="37" t="str">
        <x:v>0.00</x:v>
      </x:c>
      <x:c r="K2396" s="37" t="str">
        <x:v>283.96</x:v>
      </x:c>
      <x:c r="L2396" s="37" t="str">
        <x:v>1189</x:v>
      </x:c>
      <x:c r="M2396" s="29" t="str">
        <x:v>576.74</x:v>
      </x:c>
      <x:c r="N2396" s="29" t="str">
        <x:v>379.44</x:v>
      </x:c>
      <x:c r="O2396" s="29" t="str">
        <x:v>197.30</x:v>
      </x:c>
      <x:c r="P2396" s="18" t="str">
        <x:v>2026-06-29</x:v>
      </x:c>
      <x:c r="Q2396" s="36" t="n">
        <x:v>46202</x:v>
      </x:c>
    </x:row>
    <x:row r="2397">
      <x:c r="A2397" s="36" t="str">
        <x:v>2026-06-29</x:v>
      </x:c>
      <x:c r="B2397" s="18" t="str">
        <x:v>101437000_83911</x:v>
      </x:c>
      <x:c r="C2397" s="18" t="str">
        <x:v>【沪村小电】金瀚园充电站</x:v>
      </x:c>
      <x:c r="D2397" s="37" t="str">
        <x:v>2</x:v>
      </x:c>
      <x:c r="E2397" s="37" t="str">
        <x:v>0</x:v>
      </x:c>
      <x:c r="F2397" s="37" t="str">
        <x:v>26</x:v>
      </x:c>
      <x:c r="G2397" s="37" t="str">
        <x:v>577.55</x:v>
      </x:c>
      <x:c r="H2397" s="37" t="str">
        <x:v>0.00</x:v>
      </x:c>
      <x:c r="I2397" s="37" t="str">
        <x:v>212.83</x:v>
      </x:c>
      <x:c r="J2397" s="37" t="str">
        <x:v>0.00</x:v>
      </x:c>
      <x:c r="K2397" s="37" t="str">
        <x:v>364.73</x:v>
      </x:c>
      <x:c r="L2397" s="37" t="str">
        <x:v>875</x:v>
      </x:c>
      <x:c r="M2397" s="29" t="str">
        <x:v>498.47</x:v>
      </x:c>
      <x:c r="N2397" s="29" t="str">
        <x:v>296.07</x:v>
      </x:c>
      <x:c r="O2397" s="29" t="str">
        <x:v>202.40</x:v>
      </x:c>
      <x:c r="P2397" s="18" t="str">
        <x:v>2026-06-29</x:v>
      </x:c>
      <x:c r="Q2397" s="36" t="n">
        <x:v>46202</x:v>
      </x:c>
    </x:row>
    <x:row r="2398">
      <x:c r="A2398" s="36" t="str">
        <x:v>2026-06-29</x:v>
      </x:c>
      <x:c r="B2398" s="18" t="str">
        <x:v>101437000_83913</x:v>
      </x:c>
      <x:c r="C2398" s="18" t="str">
        <x:v>【沪村小电】新黎村充电站</x:v>
      </x:c>
      <x:c r="D2398" s="37" t="str">
        <x:v>2</x:v>
      </x:c>
      <x:c r="E2398" s="37" t="str">
        <x:v>0</x:v>
      </x:c>
      <x:c r="F2398" s="37" t="str">
        <x:v>33</x:v>
      </x:c>
      <x:c r="G2398" s="37" t="str">
        <x:v>832.05</x:v>
      </x:c>
      <x:c r="H2398" s="37" t="str">
        <x:v>0.00</x:v>
      </x:c>
      <x:c r="I2398" s="37" t="str">
        <x:v>447.37</x:v>
      </x:c>
      <x:c r="J2398" s="37" t="str">
        <x:v>0.00</x:v>
      </x:c>
      <x:c r="K2398" s="37" t="str">
        <x:v>384.68</x:v>
      </x:c>
      <x:c r="L2398" s="37" t="str">
        <x:v>1195</x:v>
      </x:c>
      <x:c r="M2398" s="29" t="str">
        <x:v>796.37</x:v>
      </x:c>
      <x:c r="N2398" s="29" t="str">
        <x:v>669.15</x:v>
      </x:c>
      <x:c r="O2398" s="29" t="str">
        <x:v>127.22</x:v>
      </x:c>
      <x:c r="P2398" s="18" t="str">
        <x:v>2026-06-29</x:v>
      </x:c>
      <x:c r="Q2398" s="36" t="n">
        <x:v>46202</x:v>
      </x:c>
    </x:row>
    <x:row r="2399">
      <x:c r="A2399" s="36" t="str">
        <x:v>2026-06-29</x:v>
      </x:c>
      <x:c r="B2399" s="18" t="str">
        <x:v>101437000_83915</x:v>
      </x:c>
      <x:c r="C2399" s="18" t="str">
        <x:v>【沪村小电】长泰西郊别墅充电站</x:v>
      </x:c>
      <x:c r="D2399" s="37" t="str">
        <x:v>2</x:v>
      </x:c>
      <x:c r="E2399" s="37" t="str">
        <x:v>0</x:v>
      </x:c>
      <x:c r="F2399" s="37" t="str">
        <x:v>12</x:v>
      </x:c>
      <x:c r="G2399" s="37" t="str">
        <x:v>253.84</x:v>
      </x:c>
      <x:c r="H2399" s="37" t="str">
        <x:v>0.00</x:v>
      </x:c>
      <x:c r="I2399" s="37" t="str">
        <x:v>160.75</x:v>
      </x:c>
      <x:c r="J2399" s="37" t="str">
        <x:v>0.00</x:v>
      </x:c>
      <x:c r="K2399" s="37" t="str">
        <x:v>93.09</x:v>
      </x:c>
      <x:c r="L2399" s="37" t="str">
        <x:v>349</x:v>
      </x:c>
      <x:c r="M2399" s="29" t="str">
        <x:v>206.11</x:v>
      </x:c>
      <x:c r="N2399" s="29" t="str">
        <x:v>154.33</x:v>
      </x:c>
      <x:c r="O2399" s="29" t="str">
        <x:v>51.78</x:v>
      </x:c>
      <x:c r="P2399" s="18" t="str">
        <x:v>2026-06-29</x:v>
      </x:c>
      <x:c r="Q2399" s="36" t="n">
        <x:v>46202</x:v>
      </x:c>
    </x:row>
    <x:row r="2400">
      <x:c r="A2400" s="36" t="str">
        <x:v>2026-06-29</x:v>
      </x:c>
      <x:c r="B2400" s="18" t="str">
        <x:v>101437000_83917</x:v>
      </x:c>
      <x:c r="C2400" s="18" t="str">
        <x:v>【沪村小电】旭新华庭充电站</x:v>
      </x:c>
      <x:c r="D2400" s="37" t="str">
        <x:v>4</x:v>
      </x:c>
      <x:c r="E2400" s="37" t="str">
        <x:v>0</x:v>
      </x:c>
      <x:c r="F2400" s="37" t="str">
        <x:v>20</x:v>
      </x:c>
      <x:c r="G2400" s="37" t="str">
        <x:v>537.65</x:v>
      </x:c>
      <x:c r="H2400" s="37" t="str">
        <x:v>0.00</x:v>
      </x:c>
      <x:c r="I2400" s="37" t="str">
        <x:v>433.47</x:v>
      </x:c>
      <x:c r="J2400" s="37" t="str">
        <x:v>0.00</x:v>
      </x:c>
      <x:c r="K2400" s="37" t="str">
        <x:v>104.18</x:v>
      </x:c>
      <x:c r="L2400" s="37" t="str">
        <x:v>811</x:v>
      </x:c>
      <x:c r="M2400" s="29" t="str">
        <x:v>543.45</x:v>
      </x:c>
      <x:c r="N2400" s="29" t="str">
        <x:v>360.37</x:v>
      </x:c>
      <x:c r="O2400" s="29" t="str">
        <x:v>183.08</x:v>
      </x:c>
      <x:c r="P2400" s="18" t="str">
        <x:v>2026-06-29</x:v>
      </x:c>
      <x:c r="Q2400" s="36" t="n">
        <x:v>46202</x:v>
      </x:c>
    </x:row>
    <x:row r="2401">
      <x:c r="A2401" s="36" t="str">
        <x:v>2026-06-29</x:v>
      </x:c>
      <x:c r="B2401" s="18" t="str">
        <x:v>101437000_83919</x:v>
      </x:c>
      <x:c r="C2401" s="18" t="str">
        <x:v>【沪村小电】浦锦名仕嘉园充电站</x:v>
      </x:c>
      <x:c r="D2401" s="37" t="str">
        <x:v>4</x:v>
      </x:c>
      <x:c r="E2401" s="37" t="str">
        <x:v>0</x:v>
      </x:c>
      <x:c r="F2401" s="37" t="str">
        <x:v>31</x:v>
      </x:c>
      <x:c r="G2401" s="37" t="str">
        <x:v>668.15</x:v>
      </x:c>
      <x:c r="H2401" s="37" t="str">
        <x:v>0.00</x:v>
      </x:c>
      <x:c r="I2401" s="37" t="str">
        <x:v>0.00</x:v>
      </x:c>
      <x:c r="J2401" s="37" t="str">
        <x:v>668.15</x:v>
      </x:c>
      <x:c r="K2401" s="37" t="str">
        <x:v>0.00</x:v>
      </x:c>
      <x:c r="L2401" s="37" t="str">
        <x:v>884</x:v>
      </x:c>
      <x:c r="M2401" s="29" t="str">
        <x:v>632.95</x:v>
      </x:c>
      <x:c r="N2401" s="29" t="str">
        <x:v>427.59</x:v>
      </x:c>
      <x:c r="O2401" s="29" t="str">
        <x:v>205.36</x:v>
      </x:c>
      <x:c r="P2401" s="18" t="str">
        <x:v>2026-06-29</x:v>
      </x:c>
      <x:c r="Q2401" s="36" t="n">
        <x:v>46202</x:v>
      </x:c>
    </x:row>
    <x:row r="2402">
      <x:c r="A2402" s="36" t="str">
        <x:v>2026-06-29</x:v>
      </x:c>
      <x:c r="B2402" s="18" t="str">
        <x:v>101437000_83921</x:v>
      </x:c>
      <x:c r="C2402" s="18" t="str">
        <x:v>【沪村小电】上海联怡枇杷乐园充电站（地库）</x:v>
      </x:c>
      <x:c r="D2402" s="37" t="str">
        <x:v>8</x:v>
      </x:c>
      <x:c r="E2402" s="37" t="str">
        <x:v>0</x:v>
      </x:c>
      <x:c r="F2402" s="37" t="str">
        <x:v>1</x:v>
      </x:c>
      <x:c r="G2402" s="37" t="str">
        <x:v>17.32</x:v>
      </x:c>
      <x:c r="H2402" s="37" t="str">
        <x:v>0.00</x:v>
      </x:c>
      <x:c r="I2402" s="37" t="str">
        <x:v>0.00</x:v>
      </x:c>
      <x:c r="J2402" s="37" t="str">
        <x:v>0.00</x:v>
      </x:c>
      <x:c r="K2402" s="37" t="str">
        <x:v>17.32</x:v>
      </x:c>
      <x:c r="L2402" s="37" t="str">
        <x:v>32</x:v>
      </x:c>
      <x:c r="M2402" s="29" t="str">
        <x:v>10.74</x:v>
      </x:c>
      <x:c r="N2402" s="29" t="str">
        <x:v>9.18</x:v>
      </x:c>
      <x:c r="O2402" s="29" t="str">
        <x:v>1.56</x:v>
      </x:c>
      <x:c r="P2402" s="18" t="str">
        <x:v>2026-06-29</x:v>
      </x:c>
      <x:c r="Q2402" s="36" t="n">
        <x:v>46202</x:v>
      </x:c>
    </x:row>
    <x:row r="2403">
      <x:c r="A2403" s="36" t="str">
        <x:v>2026-06-29</x:v>
      </x:c>
      <x:c r="B2403" s="18" t="str">
        <x:v>101437000_83923</x:v>
      </x:c>
      <x:c r="C2403" s="18" t="str">
        <x:v>【沪村小电】明珠新苑充电站</x:v>
      </x:c>
      <x:c r="D2403" s="37" t="str">
        <x:v>2</x:v>
      </x:c>
      <x:c r="E2403" s="37" t="str">
        <x:v>0</x:v>
      </x:c>
      <x:c r="F2403" s="37" t="str">
        <x:v>23</x:v>
      </x:c>
      <x:c r="G2403" s="37" t="str">
        <x:v>577.84</x:v>
      </x:c>
      <x:c r="H2403" s="37" t="str">
        <x:v>0.00</x:v>
      </x:c>
      <x:c r="I2403" s="37" t="str">
        <x:v>370.76</x:v>
      </x:c>
      <x:c r="J2403" s="37" t="str">
        <x:v>0.00</x:v>
      </x:c>
      <x:c r="K2403" s="37" t="str">
        <x:v>207.08</x:v>
      </x:c>
      <x:c r="L2403" s="37" t="str">
        <x:v>764</x:v>
      </x:c>
      <x:c r="M2403" s="29" t="str">
        <x:v>527.12</x:v>
      </x:c>
      <x:c r="N2403" s="29" t="str">
        <x:v>353.06</x:v>
      </x:c>
      <x:c r="O2403" s="29" t="str">
        <x:v>174.06</x:v>
      </x:c>
      <x:c r="P2403" s="18" t="str">
        <x:v>2026-06-29</x:v>
      </x:c>
      <x:c r="Q2403" s="36" t="n">
        <x:v>46202</x:v>
      </x:c>
    </x:row>
    <x:row r="2404">
      <x:c r="A2404" s="36" t="str">
        <x:v>2026-06-29</x:v>
      </x:c>
      <x:c r="B2404" s="18" t="str">
        <x:v>101437000_84289</x:v>
      </x:c>
      <x:c r="C2404" s="18" t="str">
        <x:v>【沪村小电】铁建芳华苑充电站</x:v>
      </x:c>
      <x:c r="D2404" s="37" t="str">
        <x:v>4</x:v>
      </x:c>
      <x:c r="E2404" s="37" t="str">
        <x:v>0</x:v>
      </x:c>
      <x:c r="F2404" s="37" t="str">
        <x:v>33</x:v>
      </x:c>
      <x:c r="G2404" s="37" t="str">
        <x:v>799.10</x:v>
      </x:c>
      <x:c r="H2404" s="37" t="str">
        <x:v>0.00</x:v>
      </x:c>
      <x:c r="I2404" s="37" t="str">
        <x:v>506.44</x:v>
      </x:c>
      <x:c r="J2404" s="37" t="str">
        <x:v>0.00</x:v>
      </x:c>
      <x:c r="K2404" s="37" t="str">
        <x:v>292.66</x:v>
      </x:c>
      <x:c r="L2404" s="37" t="str">
        <x:v>1402</x:v>
      </x:c>
      <x:c r="M2404" s="29" t="str">
        <x:v>731.31</x:v>
      </x:c>
      <x:c r="N2404" s="29" t="str">
        <x:v>485.96</x:v>
      </x:c>
      <x:c r="O2404" s="29" t="str">
        <x:v>245.35</x:v>
      </x:c>
      <x:c r="P2404" s="18" t="str">
        <x:v>2026-06-29</x:v>
      </x:c>
      <x:c r="Q2404" s="36" t="n">
        <x:v>46202</x:v>
      </x:c>
    </x:row>
    <x:row r="2405">
      <x:c r="A2405" s="36" t="str">
        <x:v>2026-06-29</x:v>
      </x:c>
      <x:c r="B2405" s="18" t="str">
        <x:v>101437000_86379</x:v>
      </x:c>
      <x:c r="C2405" s="18" t="str">
        <x:v>【沪村小电】新宝社区充电站</x:v>
      </x:c>
      <x:c r="D2405" s="37" t="str">
        <x:v>4</x:v>
      </x:c>
      <x:c r="E2405" s="37" t="str">
        <x:v>0</x:v>
      </x:c>
      <x:c r="F2405" s="37" t="str">
        <x:v>15</x:v>
      </x:c>
      <x:c r="G2405" s="37" t="str">
        <x:v>381.14</x:v>
      </x:c>
      <x:c r="H2405" s="37" t="str">
        <x:v>0.00</x:v>
      </x:c>
      <x:c r="I2405" s="37" t="str">
        <x:v>221.87</x:v>
      </x:c>
      <x:c r="J2405" s="37" t="str">
        <x:v>0.00</x:v>
      </x:c>
      <x:c r="K2405" s="37" t="str">
        <x:v>159.26</x:v>
      </x:c>
      <x:c r="L2405" s="37" t="str">
        <x:v>598</x:v>
      </x:c>
      <x:c r="M2405" s="29" t="str">
        <x:v>349.56</x:v>
      </x:c>
      <x:c r="N2405" s="29" t="str">
        <x:v>224.70</x:v>
      </x:c>
      <x:c r="O2405" s="29" t="str">
        <x:v>124.86</x:v>
      </x:c>
      <x:c r="P2405" s="18" t="str">
        <x:v>2026-06-29</x:v>
      </x:c>
      <x:c r="Q2405" s="36" t="n">
        <x:v>46202</x:v>
      </x:c>
    </x:row>
    <x:row r="2406">
      <x:c r="A2406" s="36" t="str">
        <x:v>2026-06-29</x:v>
      </x:c>
      <x:c r="B2406" s="18" t="str">
        <x:v>101437000_89441</x:v>
      </x:c>
      <x:c r="C2406" s="18" t="str">
        <x:v>【沪村小电】首创禧瑞云启西区充电站</x:v>
      </x:c>
      <x:c r="D2406" s="37" t="str">
        <x:v>2</x:v>
      </x:c>
      <x:c r="E2406" s="37" t="str">
        <x:v>0</x:v>
      </x:c>
      <x:c r="F2406" s="37" t="str">
        <x:v>35</x:v>
      </x:c>
      <x:c r="G2406" s="37" t="str">
        <x:v>813.91</x:v>
      </x:c>
      <x:c r="H2406" s="37" t="str">
        <x:v>0.00</x:v>
      </x:c>
      <x:c r="I2406" s="37" t="str">
        <x:v>655.07</x:v>
      </x:c>
      <x:c r="J2406" s="37" t="str">
        <x:v>0.00</x:v>
      </x:c>
      <x:c r="K2406" s="37" t="str">
        <x:v>158.84</x:v>
      </x:c>
      <x:c r="L2406" s="37" t="str">
        <x:v>1194</x:v>
      </x:c>
      <x:c r="M2406" s="29" t="str">
        <x:v>702.74</x:v>
      </x:c>
      <x:c r="N2406" s="29" t="str">
        <x:v>509.14</x:v>
      </x:c>
      <x:c r="O2406" s="29" t="str">
        <x:v>193.60</x:v>
      </x:c>
      <x:c r="P2406" s="18" t="str">
        <x:v>2026-06-29</x:v>
      </x:c>
      <x:c r="Q2406" s="36" t="n">
        <x:v>46202</x:v>
      </x:c>
    </x:row>
    <x:row r="2407">
      <x:c r="A2407" s="36" t="str">
        <x:v>2026-06-29</x:v>
      </x:c>
      <x:c r="B2407" s="18" t="str">
        <x:v>101437000_89443</x:v>
      </x:c>
      <x:c r="C2407" s="18" t="str">
        <x:v>【沪村小电】玉兰清苑二期充电站</x:v>
      </x:c>
      <x:c r="D2407" s="37" t="str">
        <x:v>2</x:v>
      </x:c>
      <x:c r="E2407" s="37" t="str">
        <x:v>0</x:v>
      </x:c>
      <x:c r="F2407" s="37" t="str">
        <x:v>20</x:v>
      </x:c>
      <x:c r="G2407" s="37" t="str">
        <x:v>454.48</x:v>
      </x:c>
      <x:c r="H2407" s="37" t="str">
        <x:v>0.00</x:v>
      </x:c>
      <x:c r="I2407" s="37" t="str">
        <x:v>397.17</x:v>
      </x:c>
      <x:c r="J2407" s="37" t="str">
        <x:v>0.00</x:v>
      </x:c>
      <x:c r="K2407" s="37" t="str">
        <x:v>57.31</x:v>
      </x:c>
      <x:c r="L2407" s="37" t="str">
        <x:v>765</x:v>
      </x:c>
      <x:c r="M2407" s="29" t="str">
        <x:v>408.79</x:v>
      </x:c>
      <x:c r="N2407" s="29" t="str">
        <x:v>315.70</x:v>
      </x:c>
      <x:c r="O2407" s="29" t="str">
        <x:v>93.09</x:v>
      </x:c>
      <x:c r="P2407" s="18" t="str">
        <x:v>2026-06-29</x:v>
      </x:c>
      <x:c r="Q2407" s="36" t="n">
        <x:v>46202</x:v>
      </x:c>
    </x:row>
    <x:row r="2408">
      <x:c r="A2408" s="36" t="str">
        <x:v>2026-06-29</x:v>
      </x:c>
      <x:c r="B2408" s="18" t="str">
        <x:v>101437000_93115</x:v>
      </x:c>
      <x:c r="C2408" s="18" t="str">
        <x:v>【沪村小电】新南家园西北门</x:v>
      </x:c>
      <x:c r="D2408" s="37" t="str">
        <x:v>2</x:v>
      </x:c>
      <x:c r="E2408" s="37" t="str">
        <x:v>0</x:v>
      </x:c>
      <x:c r="F2408" s="37" t="str">
        <x:v>10</x:v>
      </x:c>
      <x:c r="G2408" s="37" t="str">
        <x:v>274.91</x:v>
      </x:c>
      <x:c r="H2408" s="37" t="str">
        <x:v>0.00</x:v>
      </x:c>
      <x:c r="I2408" s="37" t="str">
        <x:v>228.21</x:v>
      </x:c>
      <x:c r="J2408" s="37" t="str">
        <x:v>0.00</x:v>
      </x:c>
      <x:c r="K2408" s="37" t="str">
        <x:v>46.70</x:v>
      </x:c>
      <x:c r="L2408" s="37" t="str">
        <x:v>447</x:v>
      </x:c>
      <x:c r="M2408" s="29" t="str">
        <x:v>242.47</x:v>
      </x:c>
      <x:c r="N2408" s="29" t="str">
        <x:v>174.28</x:v>
      </x:c>
      <x:c r="O2408" s="29" t="str">
        <x:v>68.19</x:v>
      </x:c>
      <x:c r="P2408" s="18" t="str">
        <x:v>2026-06-29</x:v>
      </x:c>
      <x:c r="Q2408" s="36" t="n">
        <x:v>46202</x:v>
      </x:c>
    </x:row>
    <x:row r="2409">
      <x:c r="A2409" s="36" t="str">
        <x:v>2026-06-29</x:v>
      </x:c>
      <x:c r="B2409" s="18" t="str">
        <x:v>101437000_94649</x:v>
      </x:c>
      <x:c r="C2409" s="18" t="str">
        <x:v>【沪村小电】浪琴水岸花园</x:v>
      </x:c>
      <x:c r="D2409" s="37" t="str">
        <x:v>4</x:v>
      </x:c>
      <x:c r="E2409" s="37" t="str">
        <x:v>0</x:v>
      </x:c>
      <x:c r="F2409" s="37" t="str">
        <x:v>20</x:v>
      </x:c>
      <x:c r="G2409" s="37" t="str">
        <x:v>359.87</x:v>
      </x:c>
      <x:c r="H2409" s="37" t="str">
        <x:v>0.00</x:v>
      </x:c>
      <x:c r="I2409" s="37" t="str">
        <x:v>170.56</x:v>
      </x:c>
      <x:c r="J2409" s="37" t="str">
        <x:v>0.00</x:v>
      </x:c>
      <x:c r="K2409" s="37" t="str">
        <x:v>189.31</x:v>
      </x:c>
      <x:c r="L2409" s="37" t="str">
        <x:v>706</x:v>
      </x:c>
      <x:c r="M2409" s="29" t="str">
        <x:v>271.84</x:v>
      </x:c>
      <x:c r="N2409" s="29" t="str">
        <x:v>185.83</x:v>
      </x:c>
      <x:c r="O2409" s="29" t="str">
        <x:v>86.01</x:v>
      </x:c>
      <x:c r="P2409" s="18" t="str">
        <x:v>2026-06-29</x:v>
      </x:c>
      <x:c r="Q2409" s="36" t="n">
        <x:v>46202</x:v>
      </x:c>
    </x:row>
    <x:row r="2410">
      <x:c r="A2410" s="36" t="str">
        <x:v>2026-06-29</x:v>
      </x:c>
      <x:c r="B2410" s="18" t="str">
        <x:v>101437000_95077</x:v>
      </x:c>
      <x:c r="C2410" s="18" t="str">
        <x:v>【沪村小电】民乐城惠益绿苑255弄充电站</x:v>
      </x:c>
      <x:c r="D2410" s="37" t="str">
        <x:v>2</x:v>
      </x:c>
      <x:c r="E2410" s="37" t="str">
        <x:v>0</x:v>
      </x:c>
      <x:c r="F2410" s="37" t="str">
        <x:v>5</x:v>
      </x:c>
      <x:c r="G2410" s="37" t="str">
        <x:v>100.38</x:v>
      </x:c>
      <x:c r="H2410" s="37" t="str">
        <x:v>0.00</x:v>
      </x:c>
      <x:c r="I2410" s="37" t="str">
        <x:v>99.61</x:v>
      </x:c>
      <x:c r="J2410" s="37" t="str">
        <x:v>0.00</x:v>
      </x:c>
      <x:c r="K2410" s="37" t="str">
        <x:v>0.77</x:v>
      </x:c>
      <x:c r="L2410" s="37" t="str">
        <x:v>164</x:v>
      </x:c>
      <x:c r="M2410" s="29" t="str">
        <x:v>108.40</x:v>
      </x:c>
      <x:c r="N2410" s="29" t="str">
        <x:v>74.01</x:v>
      </x:c>
      <x:c r="O2410" s="29" t="str">
        <x:v>34.39</x:v>
      </x:c>
      <x:c r="P2410" s="18" t="str">
        <x:v>2026-06-29</x:v>
      </x:c>
      <x:c r="Q2410" s="36" t="n">
        <x:v>46202</x:v>
      </x:c>
    </x:row>
    <x:row r="2411">
      <x:c r="A2411" s="36" t="str">
        <x:v>2026-06-29</x:v>
      </x:c>
      <x:c r="B2411" s="18" t="str">
        <x:v>101437000_95079</x:v>
      </x:c>
      <x:c r="C2411" s="18" t="str">
        <x:v>【沪村小电】民乐城惠益绿苑东苑充电站</x:v>
      </x:c>
      <x:c r="D2411" s="37" t="str">
        <x:v>2</x:v>
      </x:c>
      <x:c r="E2411" s="37" t="str">
        <x:v>0</x:v>
      </x:c>
      <x:c r="F2411" s="37" t="str">
        <x:v>4</x:v>
      </x:c>
      <x:c r="G2411" s="37" t="str">
        <x:v>85.13</x:v>
      </x:c>
      <x:c r="H2411" s="37" t="str">
        <x:v>0.00</x:v>
      </x:c>
      <x:c r="I2411" s="37" t="str">
        <x:v>85.13</x:v>
      </x:c>
      <x:c r="J2411" s="37" t="str">
        <x:v>0.00</x:v>
      </x:c>
      <x:c r="K2411" s="37" t="str">
        <x:v>0.00</x:v>
      </x:c>
      <x:c r="L2411" s="37" t="str">
        <x:v>108</x:v>
      </x:c>
      <x:c r="M2411" s="29" t="str">
        <x:v>89.95</x:v>
      </x:c>
      <x:c r="N2411" s="29" t="str">
        <x:v>58.75</x:v>
      </x:c>
      <x:c r="O2411" s="29" t="str">
        <x:v>31.20</x:v>
      </x:c>
      <x:c r="P2411" s="18" t="str">
        <x:v>2026-06-29</x:v>
      </x:c>
      <x:c r="Q2411" s="36" t="n">
        <x:v>46202</x:v>
      </x:c>
    </x:row>
    <x:row r="2412">
      <x:c r="A2412" s="36" t="str">
        <x:v>2026-06-29</x:v>
      </x:c>
      <x:c r="B2412" s="18" t="str">
        <x:v>101437000_95081</x:v>
      </x:c>
      <x:c r="C2412" s="18" t="str">
        <x:v>【沪村小电】民乐城惠益绿苑西苑充电站</x:v>
      </x:c>
      <x:c r="D2412" s="37" t="str">
        <x:v>2</x:v>
      </x:c>
      <x:c r="E2412" s="37" t="str">
        <x:v>0</x:v>
      </x:c>
      <x:c r="F2412" s="37" t="str">
        <x:v>7</x:v>
      </x:c>
      <x:c r="G2412" s="37" t="str">
        <x:v>160.33</x:v>
      </x:c>
      <x:c r="H2412" s="37" t="str">
        <x:v>0.00</x:v>
      </x:c>
      <x:c r="I2412" s="37" t="str">
        <x:v>160.33</x:v>
      </x:c>
      <x:c r="J2412" s="37" t="str">
        <x:v>0.00</x:v>
      </x:c>
      <x:c r="K2412" s="37" t="str">
        <x:v>0.00</x:v>
      </x:c>
      <x:c r="L2412" s="37" t="str">
        <x:v>171</x:v>
      </x:c>
      <x:c r="M2412" s="29" t="str">
        <x:v>157.88</x:v>
      </x:c>
      <x:c r="N2412" s="29" t="str">
        <x:v>110.62</x:v>
      </x:c>
      <x:c r="O2412" s="29" t="str">
        <x:v>47.26</x:v>
      </x:c>
      <x:c r="P2412" s="18" t="str">
        <x:v>2026-06-29</x:v>
      </x:c>
      <x:c r="Q2412" s="36" t="n">
        <x:v>46202</x:v>
      </x:c>
    </x:row>
    <x:row r="2413">
      <x:c r="A2413" s="36" t="str">
        <x:v>2026-06-29</x:v>
      </x:c>
      <x:c r="B2413" s="18" t="str">
        <x:v>101437000_95091</x:v>
      </x:c>
      <x:c r="C2413" s="18" t="str">
        <x:v>【沪村小电】金悦学府2号站</x:v>
      </x:c>
      <x:c r="D2413" s="37" t="str">
        <x:v>2</x:v>
      </x:c>
      <x:c r="E2413" s="37" t="str">
        <x:v>0</x:v>
      </x:c>
      <x:c r="F2413" s="37" t="str">
        <x:v>15</x:v>
      </x:c>
      <x:c r="G2413" s="37" t="str">
        <x:v>414.80</x:v>
      </x:c>
      <x:c r="H2413" s="37" t="str">
        <x:v>0.00</x:v>
      </x:c>
      <x:c r="I2413" s="37" t="str">
        <x:v>0.00</x:v>
      </x:c>
      <x:c r="J2413" s="37" t="str">
        <x:v>414.80</x:v>
      </x:c>
      <x:c r="K2413" s="37" t="str">
        <x:v>0.00</x:v>
      </x:c>
      <x:c r="L2413" s="37" t="str">
        <x:v>602</x:v>
      </x:c>
      <x:c r="M2413" s="29" t="str">
        <x:v>327.69</x:v>
      </x:c>
      <x:c r="N2413" s="29" t="str">
        <x:v>232.28</x:v>
      </x:c>
      <x:c r="O2413" s="29" t="str">
        <x:v>95.41</x:v>
      </x:c>
      <x:c r="P2413" s="18" t="str">
        <x:v>2026-06-29</x:v>
      </x:c>
      <x:c r="Q2413" s="36" t="n">
        <x:v>46202</x:v>
      </x:c>
    </x:row>
    <x:row r="2414">
      <x:c r="A2414" s="36" t="str">
        <x:v>2026-06-29</x:v>
      </x:c>
      <x:c r="B2414" s="18" t="str">
        <x:v>101437000_95941</x:v>
      </x:c>
      <x:c r="C2414" s="18" t="str">
        <x:v>【沪村小电】惠诚雅苑</x:v>
      </x:c>
      <x:c r="D2414" s="37" t="str">
        <x:v>4</x:v>
      </x:c>
      <x:c r="E2414" s="37" t="str">
        <x:v>0</x:v>
      </x:c>
      <x:c r="F2414" s="37" t="str">
        <x:v>25</x:v>
      </x:c>
      <x:c r="G2414" s="37" t="str">
        <x:v>656.69</x:v>
      </x:c>
      <x:c r="H2414" s="37" t="str">
        <x:v>0.00</x:v>
      </x:c>
      <x:c r="I2414" s="37" t="str">
        <x:v>335.45</x:v>
      </x:c>
      <x:c r="J2414" s="37" t="str">
        <x:v>0.00</x:v>
      </x:c>
      <x:c r="K2414" s="37" t="str">
        <x:v>321.24</x:v>
      </x:c>
      <x:c r="L2414" s="37" t="str">
        <x:v>1014</x:v>
      </x:c>
      <x:c r="M2414" s="29" t="str">
        <x:v>468.21</x:v>
      </x:c>
      <x:c r="N2414" s="29" t="str">
        <x:v>297.51</x:v>
      </x:c>
      <x:c r="O2414" s="29" t="str">
        <x:v>170.70</x:v>
      </x:c>
      <x:c r="P2414" s="18" t="str">
        <x:v>2026-06-29</x:v>
      </x:c>
      <x:c r="Q2414" s="36" t="n">
        <x:v>46202</x:v>
      </x:c>
    </x:row>
    <x:row r="2415">
      <x:c r="A2415" s="36" t="str">
        <x:v>2026-06-29</x:v>
      </x:c>
      <x:c r="B2415" s="18" t="str">
        <x:v>101437000_96401</x:v>
      </x:c>
      <x:c r="C2415" s="18" t="str">
        <x:v>【沪村小电】上海联怡枇杷乐园地面站</x:v>
      </x:c>
      <x:c r="D2415" s="37" t="str">
        <x:v>2</x:v>
      </x:c>
      <x:c r="E2415" s="37" t="str">
        <x:v>0</x:v>
      </x:c>
      <x:c r="F2415" s="37" t="str">
        <x:v>11</x:v>
      </x:c>
      <x:c r="G2415" s="37" t="str">
        <x:v>266.68</x:v>
      </x:c>
      <x:c r="H2415" s="37" t="str">
        <x:v>0.00</x:v>
      </x:c>
      <x:c r="I2415" s="37" t="str">
        <x:v>140.97</x:v>
      </x:c>
      <x:c r="J2415" s="37" t="str">
        <x:v>0.00</x:v>
      </x:c>
      <x:c r="K2415" s="37" t="str">
        <x:v>125.70</x:v>
      </x:c>
      <x:c r="L2415" s="37" t="str">
        <x:v>350</x:v>
      </x:c>
      <x:c r="M2415" s="29" t="str">
        <x:v>250.57</x:v>
      </x:c>
      <x:c r="N2415" s="29" t="str">
        <x:v>213.26</x:v>
      </x:c>
      <x:c r="O2415" s="29" t="str">
        <x:v>37.31</x:v>
      </x:c>
      <x:c r="P2415" s="18" t="str">
        <x:v>2026-06-29</x:v>
      </x:c>
      <x:c r="Q2415" s="36" t="n">
        <x:v>46202</x:v>
      </x:c>
    </x:row>
    <x:row r="2416">
      <x:c r="A2416" s="36" t="str">
        <x:v>2026-06-29</x:v>
      </x:c>
      <x:c r="B2416" s="18" t="str">
        <x:v>101437000_97421</x:v>
      </x:c>
      <x:c r="C2416" s="18" t="str">
        <x:v>【沪村小电】玉兰清苑二期（小区外）充电站</x:v>
      </x:c>
      <x:c r="D2416" s="37" t="str">
        <x:v>4</x:v>
      </x:c>
      <x:c r="E2416" s="37" t="str">
        <x:v>0</x:v>
      </x:c>
      <x:c r="F2416" s="37" t="str">
        <x:v>28</x:v>
      </x:c>
      <x:c r="G2416" s="37" t="str">
        <x:v>625.13</x:v>
      </x:c>
      <x:c r="H2416" s="37" t="str">
        <x:v>0.00</x:v>
      </x:c>
      <x:c r="I2416" s="37" t="str">
        <x:v>610.47</x:v>
      </x:c>
      <x:c r="J2416" s="37" t="str">
        <x:v>0.00</x:v>
      </x:c>
      <x:c r="K2416" s="37" t="str">
        <x:v>14.67</x:v>
      </x:c>
      <x:c r="L2416" s="37" t="str">
        <x:v>1170</x:v>
      </x:c>
      <x:c r="M2416" s="29" t="str">
        <x:v>573.88</x:v>
      </x:c>
      <x:c r="N2416" s="29" t="str">
        <x:v>457.28</x:v>
      </x:c>
      <x:c r="O2416" s="29" t="str">
        <x:v>116.60</x:v>
      </x:c>
      <x:c r="P2416" s="18" t="str">
        <x:v>2026-06-29</x:v>
      </x:c>
      <x:c r="Q2416" s="36" t="n">
        <x:v>46202</x:v>
      </x:c>
    </x:row>
    <x:row r="2417">
      <x:c r="A2417" s="36" t="str">
        <x:v>2026-06-29</x:v>
      </x:c>
      <x:c r="B2417" s="18" t="str">
        <x:v>101437000_98013</x:v>
      </x:c>
      <x:c r="C2417" s="18" t="str">
        <x:v>【沪村小电】恒大滨江华府充电站</x:v>
      </x:c>
      <x:c r="D2417" s="37" t="str">
        <x:v>4</x:v>
      </x:c>
      <x:c r="E2417" s="37" t="str">
        <x:v>0</x:v>
      </x:c>
      <x:c r="F2417" s="37" t="str">
        <x:v>12</x:v>
      </x:c>
      <x:c r="G2417" s="37" t="str">
        <x:v>290.33</x:v>
      </x:c>
      <x:c r="H2417" s="37" t="str">
        <x:v>0.00</x:v>
      </x:c>
      <x:c r="I2417" s="37" t="str">
        <x:v>88.29</x:v>
      </x:c>
      <x:c r="J2417" s="37" t="str">
        <x:v>0.00</x:v>
      </x:c>
      <x:c r="K2417" s="37" t="str">
        <x:v>202.04</x:v>
      </x:c>
      <x:c r="L2417" s="37" t="str">
        <x:v>506</x:v>
      </x:c>
      <x:c r="M2417" s="29" t="str">
        <x:v>240.28</x:v>
      </x:c>
      <x:c r="N2417" s="29" t="str">
        <x:v>198.94</x:v>
      </x:c>
      <x:c r="O2417" s="29" t="str">
        <x:v>41.34</x:v>
      </x:c>
      <x:c r="P2417" s="18" t="str">
        <x:v>2026-06-29</x:v>
      </x:c>
      <x:c r="Q2417" s="36" t="n">
        <x:v>46202</x:v>
      </x:c>
    </x:row>
    <x:row r="2418">
      <x:c r="A2418" s="36" t="str">
        <x:v>2026-06-29</x:v>
      </x:c>
      <x:c r="B2418" s="18" t="str">
        <x:v>101437000_98863</x:v>
      </x:c>
      <x:c r="C2418" s="18" t="str">
        <x:v>【沪村小电】欣菊苑充电站</x:v>
      </x:c>
      <x:c r="D2418" s="37" t="str">
        <x:v>4</x:v>
      </x:c>
      <x:c r="E2418" s="37" t="str">
        <x:v>0</x:v>
      </x:c>
      <x:c r="F2418" s="37" t="str">
        <x:v>7</x:v>
      </x:c>
      <x:c r="G2418" s="37" t="str">
        <x:v>86.58</x:v>
      </x:c>
      <x:c r="H2418" s="37" t="str">
        <x:v>0.00</x:v>
      </x:c>
      <x:c r="I2418" s="37" t="str">
        <x:v>56.00</x:v>
      </x:c>
      <x:c r="J2418" s="37" t="str">
        <x:v>0.00</x:v>
      </x:c>
      <x:c r="K2418" s="37" t="str">
        <x:v>30.58</x:v>
      </x:c>
      <x:c r="L2418" s="37" t="str">
        <x:v>143</x:v>
      </x:c>
      <x:c r="M2418" s="29" t="str">
        <x:v>67.13</x:v>
      </x:c>
      <x:c r="N2418" s="29" t="str">
        <x:v>53.05</x:v>
      </x:c>
      <x:c r="O2418" s="29" t="str">
        <x:v>14.08</x:v>
      </x:c>
      <x:c r="P2418" s="18" t="str">
        <x:v>2026-06-29</x:v>
      </x:c>
      <x:c r="Q2418" s="36" t="n">
        <x:v>46202</x:v>
      </x:c>
    </x:row>
    <x:row r="2419">
      <x:c r="A2419" s="36" t="str">
        <x:v>2026-06-29</x:v>
      </x:c>
      <x:c r="B2419" s="18" t="str">
        <x:v>101437000_98865</x:v>
      </x:c>
      <x:c r="C2419" s="18" t="str">
        <x:v>【沪村小电】欣松苑充电站</x:v>
      </x:c>
      <x:c r="D2419" s="37" t="str">
        <x:v>4</x:v>
      </x:c>
      <x:c r="E2419" s="37" t="str">
        <x:v>0</x:v>
      </x:c>
      <x:c r="F2419" s="37" t="str">
        <x:v>4</x:v>
      </x:c>
      <x:c r="G2419" s="37" t="str">
        <x:v>69.83</x:v>
      </x:c>
      <x:c r="H2419" s="37" t="str">
        <x:v>0.00</x:v>
      </x:c>
      <x:c r="I2419" s="37" t="str">
        <x:v>51.12</x:v>
      </x:c>
      <x:c r="J2419" s="37" t="str">
        <x:v>0.00</x:v>
      </x:c>
      <x:c r="K2419" s="37" t="str">
        <x:v>18.70</x:v>
      </x:c>
      <x:c r="L2419" s="37" t="str">
        <x:v>103</x:v>
      </x:c>
      <x:c r="M2419" s="29" t="str">
        <x:v>79.98</x:v>
      </x:c>
      <x:c r="N2419" s="29" t="str">
        <x:v>44.94</x:v>
      </x:c>
      <x:c r="O2419" s="29" t="str">
        <x:v>35.04</x:v>
      </x:c>
      <x:c r="P2419" s="18" t="str">
        <x:v>2026-06-29</x:v>
      </x:c>
      <x:c r="Q2419" s="36" t="n">
        <x:v>46202</x:v>
      </x:c>
    </x:row>
    <x:row r="2420">
      <x:c r="A2420" s="36" t="str">
        <x:v>2026-06-29</x:v>
      </x:c>
      <x:c r="B2420" s="18" t="str">
        <x:v>101437000_98867</x:v>
      </x:c>
      <x:c r="C2420" s="18" t="str">
        <x:v>【沪村小电】欣荷苑充电站</x:v>
      </x:c>
      <x:c r="D2420" s="37" t="str">
        <x:v>4</x:v>
      </x:c>
      <x:c r="E2420" s="37" t="str">
        <x:v>0</x:v>
      </x:c>
      <x:c r="F2420" s="37" t="str">
        <x:v>3</x:v>
      </x:c>
      <x:c r="G2420" s="37" t="str">
        <x:v>107.75</x:v>
      </x:c>
      <x:c r="H2420" s="37" t="str">
        <x:v>0.00</x:v>
      </x:c>
      <x:c r="I2420" s="37" t="str">
        <x:v>0.00</x:v>
      </x:c>
      <x:c r="J2420" s="37" t="str">
        <x:v>0.00</x:v>
      </x:c>
      <x:c r="K2420" s="37" t="str">
        <x:v>107.75</x:v>
      </x:c>
      <x:c r="L2420" s="37" t="str">
        <x:v>147</x:v>
      </x:c>
      <x:c r="M2420" s="29" t="str">
        <x:v>78.08</x:v>
      </x:c>
      <x:c r="N2420" s="29" t="str">
        <x:v>40.94</x:v>
      </x:c>
      <x:c r="O2420" s="29" t="str">
        <x:v>37.14</x:v>
      </x:c>
      <x:c r="P2420" s="18" t="str">
        <x:v>2026-06-29</x:v>
      </x:c>
      <x:c r="Q2420" s="36" t="n">
        <x:v>46202</x:v>
      </x:c>
    </x:row>
    <x:row r="2421">
      <x:c r="A2421" s="36" t="str">
        <x:v>2026-06-29</x:v>
      </x:c>
      <x:c r="B2421" s="18" t="str">
        <x:v>101437000_99885</x:v>
      </x:c>
      <x:c r="C2421" s="18" t="str">
        <x:v>【沪村小电】汇丰馨苑充电站</x:v>
      </x:c>
      <x:c r="D2421" s="37" t="str">
        <x:v>4</x:v>
      </x:c>
      <x:c r="E2421" s="37" t="str">
        <x:v>0</x:v>
      </x:c>
      <x:c r="F2421" s="37" t="str">
        <x:v>9</x:v>
      </x:c>
      <x:c r="G2421" s="37" t="str">
        <x:v>158.08</x:v>
      </x:c>
      <x:c r="H2421" s="37" t="str">
        <x:v>0.00</x:v>
      </x:c>
      <x:c r="I2421" s="37" t="str">
        <x:v>0.00</x:v>
      </x:c>
      <x:c r="J2421" s="37" t="str">
        <x:v>116.32</x:v>
      </x:c>
      <x:c r="K2421" s="37" t="str">
        <x:v>41.76</x:v>
      </x:c>
      <x:c r="L2421" s="37" t="str">
        <x:v>359</x:v>
      </x:c>
      <x:c r="M2421" s="29" t="str">
        <x:v>135.98</x:v>
      </x:c>
      <x:c r="N2421" s="29" t="str">
        <x:v>99.29</x:v>
      </x:c>
      <x:c r="O2421" s="29" t="str">
        <x:v>36.69</x:v>
      </x:c>
      <x:c r="P2421" s="18" t="str">
        <x:v>2026-06-29</x:v>
      </x:c>
      <x:c r="Q2421" s="36" t="n">
        <x:v>46202</x:v>
      </x:c>
    </x:row>
    <x:row r="2422">
      <x:c r="A2422" s="36" t="str">
        <x:v>2026-06-29</x:v>
      </x:c>
      <x:c r="B2422" s="18" t="str">
        <x:v>101437000_99887</x:v>
      </x:c>
      <x:c r="C2422" s="18" t="str">
        <x:v>【沪村小电】新南村河南小区充电站</x:v>
      </x:c>
      <x:c r="D2422" s="37" t="str">
        <x:v>2</x:v>
      </x:c>
      <x:c r="E2422" s="37" t="str">
        <x:v>0</x:v>
      </x:c>
      <x:c r="F2422" s="37" t="str">
        <x:v>17</x:v>
      </x:c>
      <x:c r="G2422" s="37" t="str">
        <x:v>412.44</x:v>
      </x:c>
      <x:c r="H2422" s="37" t="str">
        <x:v>0.00</x:v>
      </x:c>
      <x:c r="I2422" s="37" t="str">
        <x:v>231.49</x:v>
      </x:c>
      <x:c r="J2422" s="37" t="str">
        <x:v>0.00</x:v>
      </x:c>
      <x:c r="K2422" s="37" t="str">
        <x:v>180.95</x:v>
      </x:c>
      <x:c r="L2422" s="37" t="str">
        <x:v>723</x:v>
      </x:c>
      <x:c r="M2422" s="29" t="str">
        <x:v>343.17</x:v>
      </x:c>
      <x:c r="N2422" s="29" t="str">
        <x:v>240.08</x:v>
      </x:c>
      <x:c r="O2422" s="29" t="str">
        <x:v>103.09</x:v>
      </x:c>
      <x:c r="P2422" s="18" t="str">
        <x:v>2026-06-29</x:v>
      </x:c>
      <x:c r="Q2422" s="36" t="n">
        <x:v>46202</x:v>
      </x:c>
    </x:row>
    <x:row r="2423">
      <x:c r="A2423" s="36" t="str">
        <x:v>2026-06-29</x:v>
      </x:c>
      <x:c r="B2423" s="18" t="str">
        <x:v>101437000_99889</x:v>
      </x:c>
      <x:c r="C2423" s="18" t="str">
        <x:v>【沪村小电】漕泾郊野公园</x:v>
      </x:c>
      <x:c r="D2423" s="37" t="str">
        <x:v>2</x:v>
      </x:c>
      <x:c r="E2423" s="37" t="str">
        <x:v>0</x:v>
      </x:c>
      <x:c r="F2423" s="37" t="str">
        <x:v>4</x:v>
      </x:c>
      <x:c r="G2423" s="37" t="str">
        <x:v>84.72</x:v>
      </x:c>
      <x:c r="H2423" s="37" t="str">
        <x:v>0.00</x:v>
      </x:c>
      <x:c r="I2423" s="37" t="str">
        <x:v>48.10</x:v>
      </x:c>
      <x:c r="J2423" s="37" t="str">
        <x:v>36.63</x:v>
      </x:c>
      <x:c r="K2423" s="37" t="str">
        <x:v>0.00</x:v>
      </x:c>
      <x:c r="L2423" s="37" t="str">
        <x:v>102</x:v>
      </x:c>
      <x:c r="M2423" s="29" t="str">
        <x:v>104.46</x:v>
      </x:c>
      <x:c r="N2423" s="29" t="str">
        <x:v>70.80</x:v>
      </x:c>
      <x:c r="O2423" s="29" t="str">
        <x:v>33.66</x:v>
      </x:c>
      <x:c r="P2423" s="18" t="str">
        <x:v>2026-06-29</x:v>
      </x:c>
      <x:c r="Q2423" s="36" t="n">
        <x:v>46202</x:v>
      </x:c>
    </x:row>
    <x:row r="2424">
      <x:c r="A2424" s="36" t="str">
        <x:v>2026-06-29</x:v>
      </x:c>
      <x:c r="B2424" s="18" t="str">
        <x:v>101437000_99891</x:v>
      </x:c>
      <x:c r="C2424" s="18" t="str">
        <x:v>【沪村小电】水韵紫城充电站</x:v>
      </x:c>
      <x:c r="D2424" s="37" t="str">
        <x:v>4</x:v>
      </x:c>
      <x:c r="E2424" s="37" t="str">
        <x:v>0</x:v>
      </x:c>
      <x:c r="F2424" s="37" t="str">
        <x:v>7</x:v>
      </x:c>
      <x:c r="G2424" s="37" t="str">
        <x:v>211.34</x:v>
      </x:c>
      <x:c r="H2424" s="37" t="str">
        <x:v>0.00</x:v>
      </x:c>
      <x:c r="I2424" s="37" t="str">
        <x:v>107.02</x:v>
      </x:c>
      <x:c r="J2424" s="37" t="str">
        <x:v>0.00</x:v>
      </x:c>
      <x:c r="K2424" s="37" t="str">
        <x:v>104.32</x:v>
      </x:c>
      <x:c r="L2424" s="37" t="str">
        <x:v>224</x:v>
      </x:c>
      <x:c r="M2424" s="29" t="str">
        <x:v>186.74</x:v>
      </x:c>
      <x:c r="N2424" s="29" t="str">
        <x:v>118.83</x:v>
      </x:c>
      <x:c r="O2424" s="29" t="str">
        <x:v>67.91</x:v>
      </x:c>
      <x:c r="P2424" s="18" t="str">
        <x:v>2026-06-29</x:v>
      </x:c>
      <x:c r="Q2424" s="36" t="n">
        <x:v>46202</x:v>
      </x:c>
    </x:row>
    <x:row r="2425">
      <x:c r="A2425" s="36" t="str">
        <x:v>2026-06-28</x:v>
      </x:c>
      <x:c r="B2425" s="18" t="str">
        <x:v>101437000_41561</x:v>
      </x:c>
      <x:c r="C2425" s="18" t="str">
        <x:v>【沪村小电】张施小区大门处快充站</x:v>
      </x:c>
      <x:c r="D2425" s="37" t="str">
        <x:v>2</x:v>
      </x:c>
      <x:c r="E2425" s="37" t="str">
        <x:v>0</x:v>
      </x:c>
      <x:c r="F2425" s="37" t="str">
        <x:v>51</x:v>
      </x:c>
      <x:c r="G2425" s="37" t="str">
        <x:v>1182.68</x:v>
      </x:c>
      <x:c r="H2425" s="37" t="str">
        <x:v>0.00</x:v>
      </x:c>
      <x:c r="I2425" s="37" t="str">
        <x:v>621.46</x:v>
      </x:c>
      <x:c r="J2425" s="37" t="str">
        <x:v>0.00</x:v>
      </x:c>
      <x:c r="K2425" s="37" t="str">
        <x:v>561.22</x:v>
      </x:c>
      <x:c r="L2425" s="37" t="str">
        <x:v>2142</x:v>
      </x:c>
      <x:c r="M2425" s="29" t="str">
        <x:v>875.07</x:v>
      </x:c>
      <x:c r="N2425" s="29" t="str">
        <x:v>673.20</x:v>
      </x:c>
      <x:c r="O2425" s="29" t="str">
        <x:v>201.87</x:v>
      </x:c>
      <x:c r="P2425" s="18" t="str">
        <x:v>2026-06-28</x:v>
      </x:c>
      <x:c r="Q2425" s="36" t="n">
        <x:v>46201</x:v>
      </x:c>
    </x:row>
    <x:row r="2426">
      <x:c r="A2426" s="36" t="str">
        <x:v>2026-06-28</x:v>
      </x:c>
      <x:c r="B2426" s="18" t="str">
        <x:v>101437000_41563</x:v>
      </x:c>
      <x:c r="C2426" s="18" t="str">
        <x:v>【沪村小电】同心村快充站</x:v>
      </x:c>
      <x:c r="D2426" s="37" t="str">
        <x:v>4</x:v>
      </x:c>
      <x:c r="E2426" s="37" t="str">
        <x:v>0</x:v>
      </x:c>
      <x:c r="F2426" s="37" t="str">
        <x:v>58</x:v>
      </x:c>
      <x:c r="G2426" s="37" t="str">
        <x:v>1134.72</x:v>
      </x:c>
      <x:c r="H2426" s="37" t="str">
        <x:v>0.00</x:v>
      </x:c>
      <x:c r="I2426" s="37" t="str">
        <x:v>818.83</x:v>
      </x:c>
      <x:c r="J2426" s="37" t="str">
        <x:v>0.00</x:v>
      </x:c>
      <x:c r="K2426" s="37" t="str">
        <x:v>315.89</x:v>
      </x:c>
      <x:c r="L2426" s="37" t="str">
        <x:v>2287</x:v>
      </x:c>
      <x:c r="M2426" s="29" t="str">
        <x:v>974.37</x:v>
      </x:c>
      <x:c r="N2426" s="29" t="str">
        <x:v>678.69</x:v>
      </x:c>
      <x:c r="O2426" s="29" t="str">
        <x:v>295.68</x:v>
      </x:c>
      <x:c r="P2426" s="18" t="str">
        <x:v>2026-06-28</x:v>
      </x:c>
      <x:c r="Q2426" s="36" t="n">
        <x:v>46201</x:v>
      </x:c>
    </x:row>
    <x:row r="2427">
      <x:c r="A2427" s="36" t="str">
        <x:v>2026-06-28</x:v>
      </x:c>
      <x:c r="B2427" s="18" t="str">
        <x:v>101437000_69629</x:v>
      </x:c>
      <x:c r="C2427" s="18" t="str">
        <x:v>【沪村小电】骏丰玲珑坊西苑充电站</x:v>
      </x:c>
      <x:c r="D2427" s="37" t="str">
        <x:v>2</x:v>
      </x:c>
      <x:c r="E2427" s="37" t="str">
        <x:v>0</x:v>
      </x:c>
      <x:c r="F2427" s="37" t="str">
        <x:v>51</x:v>
      </x:c>
      <x:c r="G2427" s="37" t="str">
        <x:v>1175.70</x:v>
      </x:c>
      <x:c r="H2427" s="37" t="str">
        <x:v>0.00</x:v>
      </x:c>
      <x:c r="I2427" s="37" t="str">
        <x:v>648.47</x:v>
      </x:c>
      <x:c r="J2427" s="37" t="str">
        <x:v>0.00</x:v>
      </x:c>
      <x:c r="K2427" s="37" t="str">
        <x:v>527.23</x:v>
      </x:c>
      <x:c r="L2427" s="37" t="str">
        <x:v>1895</x:v>
      </x:c>
      <x:c r="M2427" s="29" t="str">
        <x:v>955.42</x:v>
      </x:c>
      <x:c r="N2427" s="29" t="str">
        <x:v>680.23</x:v>
      </x:c>
      <x:c r="O2427" s="29" t="str">
        <x:v>275.19</x:v>
      </x:c>
      <x:c r="P2427" s="18" t="str">
        <x:v>2026-06-28</x:v>
      </x:c>
      <x:c r="Q2427" s="36" t="n">
        <x:v>46201</x:v>
      </x:c>
    </x:row>
    <x:row r="2428">
      <x:c r="A2428" s="36" t="str">
        <x:v>2026-06-28</x:v>
      </x:c>
      <x:c r="B2428" s="18" t="str">
        <x:v>101437000_70547</x:v>
      </x:c>
      <x:c r="C2428" s="18" t="str">
        <x:v>【沪村小电】农建村初心馆党群服务中心充电站</x:v>
      </x:c>
      <x:c r="D2428" s="37" t="str">
        <x:v>4</x:v>
      </x:c>
      <x:c r="E2428" s="37" t="str">
        <x:v>0</x:v>
      </x:c>
      <x:c r="F2428" s="37" t="str">
        <x:v>33</x:v>
      </x:c>
      <x:c r="G2428" s="37" t="str">
        <x:v>679.70</x:v>
      </x:c>
      <x:c r="H2428" s="37" t="str">
        <x:v>0.00</x:v>
      </x:c>
      <x:c r="I2428" s="37" t="str">
        <x:v>439.08</x:v>
      </x:c>
      <x:c r="J2428" s="37" t="str">
        <x:v>0.00</x:v>
      </x:c>
      <x:c r="K2428" s="37" t="str">
        <x:v>240.62</x:v>
      </x:c>
      <x:c r="L2428" s="37" t="str">
        <x:v>1271</x:v>
      </x:c>
      <x:c r="M2428" s="29" t="str">
        <x:v>645.64</x:v>
      </x:c>
      <x:c r="N2428" s="29" t="str">
        <x:v>584.16</x:v>
      </x:c>
      <x:c r="O2428" s="29" t="str">
        <x:v>61.48</x:v>
      </x:c>
      <x:c r="P2428" s="18" t="str">
        <x:v>2026-06-28</x:v>
      </x:c>
      <x:c r="Q2428" s="36" t="n">
        <x:v>46201</x:v>
      </x:c>
    </x:row>
    <x:row r="2429">
      <x:c r="A2429" s="36" t="str">
        <x:v>2026-06-28</x:v>
      </x:c>
      <x:c r="B2429" s="18" t="str">
        <x:v>101437000_70549</x:v>
      </x:c>
      <x:c r="C2429" s="18" t="str">
        <x:v>【沪村小电】学府路充电站</x:v>
      </x:c>
      <x:c r="D2429" s="37" t="str">
        <x:v>2</x:v>
      </x:c>
      <x:c r="E2429" s="37" t="str">
        <x:v>0</x:v>
      </x:c>
      <x:c r="F2429" s="37" t="str">
        <x:v>14</x:v>
      </x:c>
      <x:c r="G2429" s="37" t="str">
        <x:v>392.44</x:v>
      </x:c>
      <x:c r="H2429" s="37" t="str">
        <x:v>0.00</x:v>
      </x:c>
      <x:c r="I2429" s="37" t="str">
        <x:v>197.05</x:v>
      </x:c>
      <x:c r="J2429" s="37" t="str">
        <x:v>0.00</x:v>
      </x:c>
      <x:c r="K2429" s="37" t="str">
        <x:v>195.39</x:v>
      </x:c>
      <x:c r="L2429" s="37" t="str">
        <x:v>587</x:v>
      </x:c>
      <x:c r="M2429" s="29" t="str">
        <x:v>369.12</x:v>
      </x:c>
      <x:c r="N2429" s="29" t="str">
        <x:v>308.51</x:v>
      </x:c>
      <x:c r="O2429" s="29" t="str">
        <x:v>60.61</x:v>
      </x:c>
      <x:c r="P2429" s="18" t="str">
        <x:v>2026-06-28</x:v>
      </x:c>
      <x:c r="Q2429" s="36" t="n">
        <x:v>46201</x:v>
      </x:c>
    </x:row>
    <x:row r="2430">
      <x:c r="A2430" s="36" t="str">
        <x:v>2026-06-28</x:v>
      </x:c>
      <x:c r="B2430" s="18" t="str">
        <x:v>101437000_71059</x:v>
      </x:c>
      <x:c r="C2430" s="18" t="str">
        <x:v>【沪村小电】宝乐汇商业广场站</x:v>
      </x:c>
      <x:c r="D2430" s="37" t="str">
        <x:v>4</x:v>
      </x:c>
      <x:c r="E2430" s="37" t="str">
        <x:v>0</x:v>
      </x:c>
      <x:c r="F2430" s="37" t="str">
        <x:v>14</x:v>
      </x:c>
      <x:c r="G2430" s="37" t="str">
        <x:v>341.23</x:v>
      </x:c>
      <x:c r="H2430" s="37" t="str">
        <x:v>0.00</x:v>
      </x:c>
      <x:c r="I2430" s="37" t="str">
        <x:v>108.72</x:v>
      </x:c>
      <x:c r="J2430" s="37" t="str">
        <x:v>177.13</x:v>
      </x:c>
      <x:c r="K2430" s="37" t="str">
        <x:v>55.38</x:v>
      </x:c>
      <x:c r="L2430" s="37" t="str">
        <x:v>577</x:v>
      </x:c>
      <x:c r="M2430" s="29" t="str">
        <x:v>354.56</x:v>
      </x:c>
      <x:c r="N2430" s="29" t="str">
        <x:v>263.00</x:v>
      </x:c>
      <x:c r="O2430" s="29" t="str">
        <x:v>91.56</x:v>
      </x:c>
      <x:c r="P2430" s="18" t="str">
        <x:v>2026-06-28</x:v>
      </x:c>
      <x:c r="Q2430" s="36" t="n">
        <x:v>46201</x:v>
      </x:c>
    </x:row>
    <x:row r="2431">
      <x:c r="A2431" s="36" t="str">
        <x:v>2026-06-28</x:v>
      </x:c>
      <x:c r="B2431" s="18" t="str">
        <x:v>101437000_72541</x:v>
      </x:c>
      <x:c r="C2431" s="18" t="str">
        <x:v>【沪村小电】九干路1174弄充电站</x:v>
      </x:c>
      <x:c r="D2431" s="37" t="str">
        <x:v>2</x:v>
      </x:c>
      <x:c r="E2431" s="37" t="str">
        <x:v>0</x:v>
      </x:c>
      <x:c r="F2431" s="37" t="str">
        <x:v>47</x:v>
      </x:c>
      <x:c r="G2431" s="37" t="str">
        <x:v>476.32</x:v>
      </x:c>
      <x:c r="H2431" s="37" t="str">
        <x:v>0.00</x:v>
      </x:c>
      <x:c r="I2431" s="37" t="str">
        <x:v>380.44</x:v>
      </x:c>
      <x:c r="J2431" s="37" t="str">
        <x:v>0.00</x:v>
      </x:c>
      <x:c r="K2431" s="37" t="str">
        <x:v>95.88</x:v>
      </x:c>
      <x:c r="L2431" s="37" t="str">
        <x:v>820</x:v>
      </x:c>
      <x:c r="M2431" s="29" t="str">
        <x:v>437.22</x:v>
      </x:c>
      <x:c r="N2431" s="29" t="str">
        <x:v>317.95</x:v>
      </x:c>
      <x:c r="O2431" s="29" t="str">
        <x:v>119.27</x:v>
      </x:c>
      <x:c r="P2431" s="18" t="str">
        <x:v>2026-06-28</x:v>
      </x:c>
      <x:c r="Q2431" s="36" t="n">
        <x:v>46201</x:v>
      </x:c>
    </x:row>
    <x:row r="2432">
      <x:c r="A2432" s="36" t="str">
        <x:v>2026-06-28</x:v>
      </x:c>
      <x:c r="B2432" s="18" t="str">
        <x:v>101437000_72543</x:v>
      </x:c>
      <x:c r="C2432" s="18" t="str">
        <x:v>【沪村小电】叶家中心村小区充电站</x:v>
      </x:c>
      <x:c r="D2432" s="37" t="str">
        <x:v>2</x:v>
      </x:c>
      <x:c r="E2432" s="37" t="str">
        <x:v>0</x:v>
      </x:c>
      <x:c r="F2432" s="37" t="str">
        <x:v>49</x:v>
      </x:c>
      <x:c r="G2432" s="37" t="str">
        <x:v>1029.57</x:v>
      </x:c>
      <x:c r="H2432" s="37" t="str">
        <x:v>0.00</x:v>
      </x:c>
      <x:c r="I2432" s="37" t="str">
        <x:v>525.77</x:v>
      </x:c>
      <x:c r="J2432" s="37" t="str">
        <x:v>0.00</x:v>
      </x:c>
      <x:c r="K2432" s="37" t="str">
        <x:v>503.80</x:v>
      </x:c>
      <x:c r="L2432" s="37" t="str">
        <x:v>1974</x:v>
      </x:c>
      <x:c r="M2432" s="29" t="str">
        <x:v>843.58</x:v>
      </x:c>
      <x:c r="N2432" s="29" t="str">
        <x:v>580.49</x:v>
      </x:c>
      <x:c r="O2432" s="29" t="str">
        <x:v>263.09</x:v>
      </x:c>
      <x:c r="P2432" s="18" t="str">
        <x:v>2026-06-28</x:v>
      </x:c>
      <x:c r="Q2432" s="36" t="n">
        <x:v>46201</x:v>
      </x:c>
    </x:row>
    <x:row r="2433">
      <x:c r="A2433" s="36" t="str">
        <x:v>2026-06-28</x:v>
      </x:c>
      <x:c r="B2433" s="18" t="str">
        <x:v>101437000_72937</x:v>
      </x:c>
      <x:c r="C2433" s="18" t="str">
        <x:v>【沪村小电】佘北家园茸腾苑充电站</x:v>
      </x:c>
      <x:c r="D2433" s="37" t="str">
        <x:v>4</x:v>
      </x:c>
      <x:c r="E2433" s="37" t="str">
        <x:v>0</x:v>
      </x:c>
      <x:c r="F2433" s="37" t="str">
        <x:v>12</x:v>
      </x:c>
      <x:c r="G2433" s="37" t="str">
        <x:v>293.72</x:v>
      </x:c>
      <x:c r="H2433" s="37" t="str">
        <x:v>0.00</x:v>
      </x:c>
      <x:c r="I2433" s="37" t="str">
        <x:v>293.72</x:v>
      </x:c>
      <x:c r="J2433" s="37" t="str">
        <x:v>0.00</x:v>
      </x:c>
      <x:c r="K2433" s="37" t="str">
        <x:v>0.00</x:v>
      </x:c>
      <x:c r="L2433" s="37" t="str">
        <x:v>379</x:v>
      </x:c>
      <x:c r="M2433" s="29" t="str">
        <x:v>256.84</x:v>
      </x:c>
      <x:c r="N2433" s="29" t="str">
        <x:v>217.34</x:v>
      </x:c>
      <x:c r="O2433" s="29" t="str">
        <x:v>39.50</x:v>
      </x:c>
      <x:c r="P2433" s="18" t="str">
        <x:v>2026-06-28</x:v>
      </x:c>
      <x:c r="Q2433" s="36" t="n">
        <x:v>46201</x:v>
      </x:c>
    </x:row>
    <x:row r="2434">
      <x:c r="A2434" s="36" t="str">
        <x:v>2026-06-28</x:v>
      </x:c>
      <x:c r="B2434" s="18" t="str">
        <x:v>101437000_74223</x:v>
      </x:c>
      <x:c r="C2434" s="18" t="str">
        <x:v>【沪村小电】中兴村委会充电站</x:v>
      </x:c>
      <x:c r="D2434" s="37" t="str">
        <x:v>2</x:v>
      </x:c>
      <x:c r="E2434" s="37" t="str">
        <x:v>0</x:v>
      </x:c>
      <x:c r="F2434" s="37" t="str">
        <x:v>16</x:v>
      </x:c>
      <x:c r="G2434" s="37" t="str">
        <x:v>431.63</x:v>
      </x:c>
      <x:c r="H2434" s="37" t="str">
        <x:v>0.00</x:v>
      </x:c>
      <x:c r="I2434" s="37" t="str">
        <x:v>340.38</x:v>
      </x:c>
      <x:c r="J2434" s="37" t="str">
        <x:v>0.00</x:v>
      </x:c>
      <x:c r="K2434" s="37" t="str">
        <x:v>91.25</x:v>
      </x:c>
      <x:c r="L2434" s="37" t="str">
        <x:v>548</x:v>
      </x:c>
      <x:c r="M2434" s="29" t="str">
        <x:v>472.38</x:v>
      </x:c>
      <x:c r="N2434" s="29" t="str">
        <x:v>402.35</x:v>
      </x:c>
      <x:c r="O2434" s="29" t="str">
        <x:v>70.03</x:v>
      </x:c>
      <x:c r="P2434" s="18" t="str">
        <x:v>2026-06-28</x:v>
      </x:c>
      <x:c r="Q2434" s="36" t="n">
        <x:v>46201</x:v>
      </x:c>
    </x:row>
    <x:row r="2435">
      <x:c r="A2435" s="36" t="str">
        <x:v>2026-06-28</x:v>
      </x:c>
      <x:c r="B2435" s="18" t="str">
        <x:v>101437000_74801</x:v>
      </x:c>
      <x:c r="C2435" s="18" t="str">
        <x:v>【沪村小电】申良花园充电站</x:v>
      </x:c>
      <x:c r="D2435" s="37" t="str">
        <x:v>4</x:v>
      </x:c>
      <x:c r="E2435" s="37" t="str">
        <x:v>0</x:v>
      </x:c>
      <x:c r="F2435" s="37" t="str">
        <x:v>4</x:v>
      </x:c>
      <x:c r="G2435" s="37" t="str">
        <x:v>59.20</x:v>
      </x:c>
      <x:c r="H2435" s="37" t="str">
        <x:v>0.00</x:v>
      </x:c>
      <x:c r="I2435" s="37" t="str">
        <x:v>59.20</x:v>
      </x:c>
      <x:c r="J2435" s="37" t="str">
        <x:v>0.00</x:v>
      </x:c>
      <x:c r="K2435" s="37" t="str">
        <x:v>0.00</x:v>
      </x:c>
      <x:c r="L2435" s="37" t="str">
        <x:v>96</x:v>
      </x:c>
      <x:c r="M2435" s="29" t="str">
        <x:v>56.11</x:v>
      </x:c>
      <x:c r="N2435" s="29" t="str">
        <x:v>43.80</x:v>
      </x:c>
      <x:c r="O2435" s="29" t="str">
        <x:v>12.31</x:v>
      </x:c>
      <x:c r="P2435" s="18" t="str">
        <x:v>2026-06-28</x:v>
      </x:c>
      <x:c r="Q2435" s="36" t="n">
        <x:v>46201</x:v>
      </x:c>
    </x:row>
    <x:row r="2436">
      <x:c r="A2436" s="36" t="str">
        <x:v>2026-06-28</x:v>
      </x:c>
      <x:c r="B2436" s="18" t="str">
        <x:v>101437000_74931</x:v>
      </x:c>
      <x:c r="C2436" s="18" t="str">
        <x:v>【沪村小电】枫雅南居充电站</x:v>
      </x:c>
      <x:c r="D2436" s="37" t="str">
        <x:v>2</x:v>
      </x:c>
      <x:c r="E2436" s="37" t="str">
        <x:v>0</x:v>
      </x:c>
      <x:c r="F2436" s="37" t="str">
        <x:v>7</x:v>
      </x:c>
      <x:c r="G2436" s="37" t="str">
        <x:v>224.52</x:v>
      </x:c>
      <x:c r="H2436" s="37" t="str">
        <x:v>0.00</x:v>
      </x:c>
      <x:c r="I2436" s="37" t="str">
        <x:v>166.86</x:v>
      </x:c>
      <x:c r="J2436" s="37" t="str">
        <x:v>0.00</x:v>
      </x:c>
      <x:c r="K2436" s="37" t="str">
        <x:v>57.66</x:v>
      </x:c>
      <x:c r="L2436" s="37" t="str">
        <x:v>322</x:v>
      </x:c>
      <x:c r="M2436" s="29" t="str">
        <x:v>176.08</x:v>
      </x:c>
      <x:c r="N2436" s="29" t="str">
        <x:v>116.32</x:v>
      </x:c>
      <x:c r="O2436" s="29" t="str">
        <x:v>59.76</x:v>
      </x:c>
      <x:c r="P2436" s="18" t="str">
        <x:v>2026-06-28</x:v>
      </x:c>
      <x:c r="Q2436" s="36" t="n">
        <x:v>46201</x:v>
      </x:c>
    </x:row>
    <x:row r="2437">
      <x:c r="A2437" s="36" t="str">
        <x:v>2026-06-28</x:v>
      </x:c>
      <x:c r="B2437" s="18" t="str">
        <x:v>101437000_75901</x:v>
      </x:c>
      <x:c r="C2437" s="18" t="str">
        <x:v>【沪村小电】金悦学府</x:v>
      </x:c>
      <x:c r="D2437" s="37" t="str">
        <x:v>2</x:v>
      </x:c>
      <x:c r="E2437" s="37" t="str">
        <x:v>0</x:v>
      </x:c>
      <x:c r="F2437" s="37" t="str">
        <x:v>18</x:v>
      </x:c>
      <x:c r="G2437" s="37" t="str">
        <x:v>413.48</x:v>
      </x:c>
      <x:c r="H2437" s="37" t="str">
        <x:v>0.00</x:v>
      </x:c>
      <x:c r="I2437" s="37" t="str">
        <x:v>241.23</x:v>
      </x:c>
      <x:c r="J2437" s="37" t="str">
        <x:v>0.00</x:v>
      </x:c>
      <x:c r="K2437" s="37" t="str">
        <x:v>172.25</x:v>
      </x:c>
      <x:c r="L2437" s="37" t="str">
        <x:v>640</x:v>
      </x:c>
      <x:c r="M2437" s="29" t="str">
        <x:v>323.65</x:v>
      </x:c>
      <x:c r="N2437" s="29" t="str">
        <x:v>195.71</x:v>
      </x:c>
      <x:c r="O2437" s="29" t="str">
        <x:v>127.94</x:v>
      </x:c>
      <x:c r="P2437" s="18" t="str">
        <x:v>2026-06-28</x:v>
      </x:c>
      <x:c r="Q2437" s="36" t="n">
        <x:v>46201</x:v>
      </x:c>
    </x:row>
    <x:row r="2438">
      <x:c r="A2438" s="36" t="str">
        <x:v>2026-06-28</x:v>
      </x:c>
      <x:c r="B2438" s="18" t="str">
        <x:v>101437000_76091</x:v>
      </x:c>
      <x:c r="C2438" s="18" t="str">
        <x:v>【沪村小电】恒信家园充电站</x:v>
      </x:c>
      <x:c r="D2438" s="37" t="str">
        <x:v>2</x:v>
      </x:c>
      <x:c r="E2438" s="37" t="str">
        <x:v>0</x:v>
      </x:c>
      <x:c r="F2438" s="37" t="str">
        <x:v>42</x:v>
      </x:c>
      <x:c r="G2438" s="37" t="str">
        <x:v>1157.99</x:v>
      </x:c>
      <x:c r="H2438" s="37" t="str">
        <x:v>0.00</x:v>
      </x:c>
      <x:c r="I2438" s="37" t="str">
        <x:v>596.00</x:v>
      </x:c>
      <x:c r="J2438" s="37" t="str">
        <x:v>0.00</x:v>
      </x:c>
      <x:c r="K2438" s="37" t="str">
        <x:v>561.99</x:v>
      </x:c>
      <x:c r="L2438" s="37" t="str">
        <x:v>1582</x:v>
      </x:c>
      <x:c r="M2438" s="29" t="str">
        <x:v>1006.68</x:v>
      </x:c>
      <x:c r="N2438" s="29" t="str">
        <x:v>654.61</x:v>
      </x:c>
      <x:c r="O2438" s="29" t="str">
        <x:v>352.07</x:v>
      </x:c>
      <x:c r="P2438" s="18" t="str">
        <x:v>2026-06-28</x:v>
      </x:c>
      <x:c r="Q2438" s="36" t="n">
        <x:v>46201</x:v>
      </x:c>
    </x:row>
    <x:row r="2439">
      <x:c r="A2439" s="36" t="str">
        <x:v>2026-06-28</x:v>
      </x:c>
      <x:c r="B2439" s="18" t="str">
        <x:v>101437000_76417</x:v>
      </x:c>
      <x:c r="C2439" s="18" t="str">
        <x:v>【沪村小电】新春一组充电站</x:v>
      </x:c>
      <x:c r="D2439" s="37" t="str">
        <x:v>2</x:v>
      </x:c>
      <x:c r="E2439" s="37" t="str">
        <x:v>0</x:v>
      </x:c>
      <x:c r="F2439" s="37" t="str">
        <x:v>5</x:v>
      </x:c>
      <x:c r="G2439" s="37" t="str">
        <x:v>117.88</x:v>
      </x:c>
      <x:c r="H2439" s="37" t="str">
        <x:v>0.00</x:v>
      </x:c>
      <x:c r="I2439" s="37" t="str">
        <x:v>41.06</x:v>
      </x:c>
      <x:c r="J2439" s="37" t="str">
        <x:v>0.00</x:v>
      </x:c>
      <x:c r="K2439" s="37" t="str">
        <x:v>76.83</x:v>
      </x:c>
      <x:c r="L2439" s="37" t="str">
        <x:v>183</x:v>
      </x:c>
      <x:c r="M2439" s="29" t="str">
        <x:v>95.44</x:v>
      </x:c>
      <x:c r="N2439" s="29" t="str">
        <x:v>83.42</x:v>
      </x:c>
      <x:c r="O2439" s="29" t="str">
        <x:v>12.02</x:v>
      </x:c>
      <x:c r="P2439" s="18" t="str">
        <x:v>2026-06-28</x:v>
      </x:c>
      <x:c r="Q2439" s="36" t="n">
        <x:v>46201</x:v>
      </x:c>
    </x:row>
    <x:row r="2440">
      <x:c r="A2440" s="36" t="str">
        <x:v>2026-06-28</x:v>
      </x:c>
      <x:c r="B2440" s="18" t="str">
        <x:v>101437000_78235</x:v>
      </x:c>
      <x:c r="C2440" s="18" t="str">
        <x:v>【沪村小电】欣秋苑充电站</x:v>
      </x:c>
      <x:c r="D2440" s="37" t="str">
        <x:v>4</x:v>
      </x:c>
      <x:c r="E2440" s="37" t="str">
        <x:v>0</x:v>
      </x:c>
      <x:c r="F2440" s="37" t="str">
        <x:v>17</x:v>
      </x:c>
      <x:c r="G2440" s="37" t="str">
        <x:v>382.77</x:v>
      </x:c>
      <x:c r="H2440" s="37" t="str">
        <x:v>0.00</x:v>
      </x:c>
      <x:c r="I2440" s="37" t="str">
        <x:v>255.87</x:v>
      </x:c>
      <x:c r="J2440" s="37" t="str">
        <x:v>0.00</x:v>
      </x:c>
      <x:c r="K2440" s="37" t="str">
        <x:v>126.90</x:v>
      </x:c>
      <x:c r="L2440" s="37" t="str">
        <x:v>615</x:v>
      </x:c>
      <x:c r="M2440" s="29" t="str">
        <x:v>344.15</x:v>
      </x:c>
      <x:c r="N2440" s="29" t="str">
        <x:v>237.55</x:v>
      </x:c>
      <x:c r="O2440" s="29" t="str">
        <x:v>106.60</x:v>
      </x:c>
      <x:c r="P2440" s="18" t="str">
        <x:v>2026-06-28</x:v>
      </x:c>
      <x:c r="Q2440" s="36" t="n">
        <x:v>46201</x:v>
      </x:c>
    </x:row>
    <x:row r="2441">
      <x:c r="A2441" s="36" t="str">
        <x:v>2026-06-28</x:v>
      </x:c>
      <x:c r="B2441" s="18" t="str">
        <x:v>101437000_78237</x:v>
      </x:c>
      <x:c r="C2441" s="18" t="str">
        <x:v>【沪村小电】奉馨苑西门小区内北侧充电站</x:v>
      </x:c>
      <x:c r="D2441" s="37" t="str">
        <x:v>2</x:v>
      </x:c>
      <x:c r="E2441" s="37" t="str">
        <x:v>0</x:v>
      </x:c>
      <x:c r="F2441" s="37" t="str">
        <x:v>32</x:v>
      </x:c>
      <x:c r="G2441" s="37" t="str">
        <x:v>973.53</x:v>
      </x:c>
      <x:c r="H2441" s="37" t="str">
        <x:v>0.00</x:v>
      </x:c>
      <x:c r="I2441" s="37" t="str">
        <x:v>401.48</x:v>
      </x:c>
      <x:c r="J2441" s="37" t="str">
        <x:v>0.00</x:v>
      </x:c>
      <x:c r="K2441" s="37" t="str">
        <x:v>572.06</x:v>
      </x:c>
      <x:c r="L2441" s="37" t="str">
        <x:v>1276</x:v>
      </x:c>
      <x:c r="M2441" s="29" t="str">
        <x:v>757.48</x:v>
      </x:c>
      <x:c r="N2441" s="29" t="str">
        <x:v>514.51</x:v>
      </x:c>
      <x:c r="O2441" s="29" t="str">
        <x:v>242.97</x:v>
      </x:c>
      <x:c r="P2441" s="18" t="str">
        <x:v>2026-06-28</x:v>
      </x:c>
      <x:c r="Q2441" s="36" t="n">
        <x:v>46201</x:v>
      </x:c>
    </x:row>
    <x:row r="2442">
      <x:c r="A2442" s="36" t="str">
        <x:v>2026-06-28</x:v>
      </x:c>
      <x:c r="B2442" s="18" t="str">
        <x:v>101437000_78239</x:v>
      </x:c>
      <x:c r="C2442" s="18" t="str">
        <x:v>【沪村小电】恒大佘山首府东门充电站</x:v>
      </x:c>
      <x:c r="D2442" s="37" t="str">
        <x:v>2</x:v>
      </x:c>
      <x:c r="E2442" s="37" t="str">
        <x:v>0</x:v>
      </x:c>
      <x:c r="F2442" s="37" t="str">
        <x:v>35</x:v>
      </x:c>
      <x:c r="G2442" s="37" t="str">
        <x:v>1020.37</x:v>
      </x:c>
      <x:c r="H2442" s="37" t="str">
        <x:v>0.00</x:v>
      </x:c>
      <x:c r="I2442" s="37" t="str">
        <x:v>665.93</x:v>
      </x:c>
      <x:c r="J2442" s="37" t="str">
        <x:v>0.00</x:v>
      </x:c>
      <x:c r="K2442" s="37" t="str">
        <x:v>354.43</x:v>
      </x:c>
      <x:c r="L2442" s="37" t="str">
        <x:v>1296</x:v>
      </x:c>
      <x:c r="M2442" s="29" t="str">
        <x:v>856.45</x:v>
      </x:c>
      <x:c r="N2442" s="29" t="str">
        <x:v>627.47</x:v>
      </x:c>
      <x:c r="O2442" s="29" t="str">
        <x:v>228.98</x:v>
      </x:c>
      <x:c r="P2442" s="18" t="str">
        <x:v>2026-06-28</x:v>
      </x:c>
      <x:c r="Q2442" s="36" t="n">
        <x:v>46201</x:v>
      </x:c>
    </x:row>
    <x:row r="2443">
      <x:c r="A2443" s="36" t="str">
        <x:v>2026-06-28</x:v>
      </x:c>
      <x:c r="B2443" s="18" t="str">
        <x:v>101437000_80823</x:v>
      </x:c>
      <x:c r="C2443" s="18" t="str">
        <x:v>【沪村小电】上湖轩充电站</x:v>
      </x:c>
      <x:c r="D2443" s="37" t="str">
        <x:v>2</x:v>
      </x:c>
      <x:c r="E2443" s="37" t="str">
        <x:v>0</x:v>
      </x:c>
      <x:c r="F2443" s="37" t="str">
        <x:v>2</x:v>
      </x:c>
      <x:c r="G2443" s="37" t="str">
        <x:v>40.50</x:v>
      </x:c>
      <x:c r="H2443" s="37" t="str">
        <x:v>0.00</x:v>
      </x:c>
      <x:c r="I2443" s="37" t="str">
        <x:v>0.52</x:v>
      </x:c>
      <x:c r="J2443" s="37" t="str">
        <x:v>0.00</x:v>
      </x:c>
      <x:c r="K2443" s="37" t="str">
        <x:v>39.98</x:v>
      </x:c>
      <x:c r="L2443" s="37" t="str">
        <x:v>45</x:v>
      </x:c>
      <x:c r="M2443" s="29" t="str">
        <x:v>19.74</x:v>
      </x:c>
      <x:c r="N2443" s="29" t="str">
        <x:v>10.42</x:v>
      </x:c>
      <x:c r="O2443" s="29" t="str">
        <x:v>9.32</x:v>
      </x:c>
      <x:c r="P2443" s="18" t="str">
        <x:v>2026-06-28</x:v>
      </x:c>
      <x:c r="Q2443" s="36" t="n">
        <x:v>46201</x:v>
      </x:c>
    </x:row>
    <x:row r="2444">
      <x:c r="A2444" s="36" t="str">
        <x:v>2026-06-28</x:v>
      </x:c>
      <x:c r="B2444" s="18" t="str">
        <x:v>101437000_83019</x:v>
      </x:c>
      <x:c r="C2444" s="18" t="str">
        <x:v>【沪村小电】首创禧瑞云启东区充电站</x:v>
      </x:c>
      <x:c r="D2444" s="37" t="str">
        <x:v>2</x:v>
      </x:c>
      <x:c r="E2444" s="37" t="str">
        <x:v>0</x:v>
      </x:c>
      <x:c r="F2444" s="37" t="str">
        <x:v>35</x:v>
      </x:c>
      <x:c r="G2444" s="37" t="str">
        <x:v>889.27</x:v>
      </x:c>
      <x:c r="H2444" s="37" t="str">
        <x:v>0.00</x:v>
      </x:c>
      <x:c r="I2444" s="37" t="str">
        <x:v>710.32</x:v>
      </x:c>
      <x:c r="J2444" s="37" t="str">
        <x:v>0.00</x:v>
      </x:c>
      <x:c r="K2444" s="37" t="str">
        <x:v>178.95</x:v>
      </x:c>
      <x:c r="L2444" s="37" t="str">
        <x:v>1137</x:v>
      </x:c>
      <x:c r="M2444" s="29" t="str">
        <x:v>766.87</x:v>
      </x:c>
      <x:c r="N2444" s="29" t="str">
        <x:v>554.52</x:v>
      </x:c>
      <x:c r="O2444" s="29" t="str">
        <x:v>212.35</x:v>
      </x:c>
      <x:c r="P2444" s="18" t="str">
        <x:v>2026-06-28</x:v>
      </x:c>
      <x:c r="Q2444" s="36" t="n">
        <x:v>46201</x:v>
      </x:c>
    </x:row>
    <x:row r="2445">
      <x:c r="A2445" s="36" t="str">
        <x:v>2026-06-28</x:v>
      </x:c>
      <x:c r="B2445" s="18" t="str">
        <x:v>101437000_83093</x:v>
      </x:c>
      <x:c r="C2445" s="18" t="str">
        <x:v>【沪村小电】金茂未来时光里</x:v>
      </x:c>
      <x:c r="D2445" s="37" t="str">
        <x:v>2</x:v>
      </x:c>
      <x:c r="E2445" s="37" t="str">
        <x:v>0</x:v>
      </x:c>
      <x:c r="F2445" s="37" t="str">
        <x:v>21</x:v>
      </x:c>
      <x:c r="G2445" s="37" t="str">
        <x:v>546.07</x:v>
      </x:c>
      <x:c r="H2445" s="37" t="str">
        <x:v>0.00</x:v>
      </x:c>
      <x:c r="I2445" s="37" t="str">
        <x:v>173.02</x:v>
      </x:c>
      <x:c r="J2445" s="37" t="str">
        <x:v>0.00</x:v>
      </x:c>
      <x:c r="K2445" s="37" t="str">
        <x:v>373.05</x:v>
      </x:c>
      <x:c r="L2445" s="37" t="str">
        <x:v>1195</x:v>
      </x:c>
      <x:c r="M2445" s="29" t="str">
        <x:v>326.77</x:v>
      </x:c>
      <x:c r="N2445" s="29" t="str">
        <x:v>217.72</x:v>
      </x:c>
      <x:c r="O2445" s="29" t="str">
        <x:v>109.05</x:v>
      </x:c>
      <x:c r="P2445" s="18" t="str">
        <x:v>2026-06-28</x:v>
      </x:c>
      <x:c r="Q2445" s="36" t="n">
        <x:v>46201</x:v>
      </x:c>
    </x:row>
    <x:row r="2446">
      <x:c r="A2446" s="36" t="str">
        <x:v>2026-06-28</x:v>
      </x:c>
      <x:c r="B2446" s="18" t="str">
        <x:v>101437000_83911</x:v>
      </x:c>
      <x:c r="C2446" s="18" t="str">
        <x:v>【沪村小电】金瀚园充电站</x:v>
      </x:c>
      <x:c r="D2446" s="37" t="str">
        <x:v>2</x:v>
      </x:c>
      <x:c r="E2446" s="37" t="str">
        <x:v>0</x:v>
      </x:c>
      <x:c r="F2446" s="37" t="str">
        <x:v>33</x:v>
      </x:c>
      <x:c r="G2446" s="37" t="str">
        <x:v>810.04</x:v>
      </x:c>
      <x:c r="H2446" s="37" t="str">
        <x:v>0.00</x:v>
      </x:c>
      <x:c r="I2446" s="37" t="str">
        <x:v>473.09</x:v>
      </x:c>
      <x:c r="J2446" s="37" t="str">
        <x:v>0.00</x:v>
      </x:c>
      <x:c r="K2446" s="37" t="str">
        <x:v>336.95</x:v>
      </x:c>
      <x:c r="L2446" s="37" t="str">
        <x:v>947</x:v>
      </x:c>
      <x:c r="M2446" s="29" t="str">
        <x:v>780.23</x:v>
      </x:c>
      <x:c r="N2446" s="29" t="str">
        <x:v>478.13</x:v>
      </x:c>
      <x:c r="O2446" s="29" t="str">
        <x:v>302.10</x:v>
      </x:c>
      <x:c r="P2446" s="18" t="str">
        <x:v>2026-06-28</x:v>
      </x:c>
      <x:c r="Q2446" s="36" t="n">
        <x:v>46201</x:v>
      </x:c>
    </x:row>
    <x:row r="2447">
      <x:c r="A2447" s="36" t="str">
        <x:v>2026-06-28</x:v>
      </x:c>
      <x:c r="B2447" s="18" t="str">
        <x:v>101437000_83913</x:v>
      </x:c>
      <x:c r="C2447" s="18" t="str">
        <x:v>【沪村小电】新黎村充电站</x:v>
      </x:c>
      <x:c r="D2447" s="37" t="str">
        <x:v>2</x:v>
      </x:c>
      <x:c r="E2447" s="37" t="str">
        <x:v>0</x:v>
      </x:c>
      <x:c r="F2447" s="37" t="str">
        <x:v>35</x:v>
      </x:c>
      <x:c r="G2447" s="37" t="str">
        <x:v>986.39</x:v>
      </x:c>
      <x:c r="H2447" s="37" t="str">
        <x:v>0.00</x:v>
      </x:c>
      <x:c r="I2447" s="37" t="str">
        <x:v>544.81</x:v>
      </x:c>
      <x:c r="J2447" s="37" t="str">
        <x:v>0.00</x:v>
      </x:c>
      <x:c r="K2447" s="37" t="str">
        <x:v>441.57</x:v>
      </x:c>
      <x:c r="L2447" s="37" t="str">
        <x:v>1416</x:v>
      </x:c>
      <x:c r="M2447" s="29" t="str">
        <x:v>965.76</x:v>
      </x:c>
      <x:c r="N2447" s="29" t="str">
        <x:v>800.64</x:v>
      </x:c>
      <x:c r="O2447" s="29" t="str">
        <x:v>165.12</x:v>
      </x:c>
      <x:c r="P2447" s="18" t="str">
        <x:v>2026-06-28</x:v>
      </x:c>
      <x:c r="Q2447" s="36" t="n">
        <x:v>46201</x:v>
      </x:c>
    </x:row>
    <x:row r="2448">
      <x:c r="A2448" s="36" t="str">
        <x:v>2026-06-28</x:v>
      </x:c>
      <x:c r="B2448" s="18" t="str">
        <x:v>101437000_83915</x:v>
      </x:c>
      <x:c r="C2448" s="18" t="str">
        <x:v>【沪村小电】长泰西郊别墅充电站</x:v>
      </x:c>
      <x:c r="D2448" s="37" t="str">
        <x:v>2</x:v>
      </x:c>
      <x:c r="E2448" s="37" t="str">
        <x:v>0</x:v>
      </x:c>
      <x:c r="F2448" s="37" t="str">
        <x:v>21</x:v>
      </x:c>
      <x:c r="G2448" s="37" t="str">
        <x:v>498.90</x:v>
      </x:c>
      <x:c r="H2448" s="37" t="str">
        <x:v>0.00</x:v>
      </x:c>
      <x:c r="I2448" s="37" t="str">
        <x:v>293.60</x:v>
      </x:c>
      <x:c r="J2448" s="37" t="str">
        <x:v>0.00</x:v>
      </x:c>
      <x:c r="K2448" s="37" t="str">
        <x:v>205.30</x:v>
      </x:c>
      <x:c r="L2448" s="37" t="str">
        <x:v>790</x:v>
      </x:c>
      <x:c r="M2448" s="29" t="str">
        <x:v>426.26</x:v>
      </x:c>
      <x:c r="N2448" s="29" t="str">
        <x:v>295.28</x:v>
      </x:c>
      <x:c r="O2448" s="29" t="str">
        <x:v>130.98</x:v>
      </x:c>
      <x:c r="P2448" s="18" t="str">
        <x:v>2026-06-28</x:v>
      </x:c>
      <x:c r="Q2448" s="36" t="n">
        <x:v>46201</x:v>
      </x:c>
    </x:row>
    <x:row r="2449">
      <x:c r="A2449" s="36" t="str">
        <x:v>2026-06-28</x:v>
      </x:c>
      <x:c r="B2449" s="18" t="str">
        <x:v>101437000_83917</x:v>
      </x:c>
      <x:c r="C2449" s="18" t="str">
        <x:v>【沪村小电】旭新华庭充电站</x:v>
      </x:c>
      <x:c r="D2449" s="37" t="str">
        <x:v>4</x:v>
      </x:c>
      <x:c r="E2449" s="37" t="str">
        <x:v>0</x:v>
      </x:c>
      <x:c r="F2449" s="37" t="str">
        <x:v>40</x:v>
      </x:c>
      <x:c r="G2449" s="37" t="str">
        <x:v>973.54</x:v>
      </x:c>
      <x:c r="H2449" s="37" t="str">
        <x:v>0.00</x:v>
      </x:c>
      <x:c r="I2449" s="37" t="str">
        <x:v>714.29</x:v>
      </x:c>
      <x:c r="J2449" s="37" t="str">
        <x:v>0.00</x:v>
      </x:c>
      <x:c r="K2449" s="37" t="str">
        <x:v>259.26</x:v>
      </x:c>
      <x:c r="L2449" s="37" t="str">
        <x:v>1503</x:v>
      </x:c>
      <x:c r="M2449" s="29" t="str">
        <x:v>931.70</x:v>
      </x:c>
      <x:c r="N2449" s="29" t="str">
        <x:v>627.06</x:v>
      </x:c>
      <x:c r="O2449" s="29" t="str">
        <x:v>304.64</x:v>
      </x:c>
      <x:c r="P2449" s="18" t="str">
        <x:v>2026-06-28</x:v>
      </x:c>
      <x:c r="Q2449" s="36" t="n">
        <x:v>46201</x:v>
      </x:c>
    </x:row>
    <x:row r="2450">
      <x:c r="A2450" s="36" t="str">
        <x:v>2026-06-28</x:v>
      </x:c>
      <x:c r="B2450" s="18" t="str">
        <x:v>101437000_83919</x:v>
      </x:c>
      <x:c r="C2450" s="18" t="str">
        <x:v>【沪村小电】浦锦名仕嘉园充电站</x:v>
      </x:c>
      <x:c r="D2450" s="37" t="str">
        <x:v>4</x:v>
      </x:c>
      <x:c r="E2450" s="37" t="str">
        <x:v>0</x:v>
      </x:c>
      <x:c r="F2450" s="37" t="str">
        <x:v>42</x:v>
      </x:c>
      <x:c r="G2450" s="37" t="str">
        <x:v>979.27</x:v>
      </x:c>
      <x:c r="H2450" s="37" t="str">
        <x:v>0.00</x:v>
      </x:c>
      <x:c r="I2450" s="37" t="str">
        <x:v>0.00</x:v>
      </x:c>
      <x:c r="J2450" s="37" t="str">
        <x:v>979.27</x:v>
      </x:c>
      <x:c r="K2450" s="37" t="str">
        <x:v>0.00</x:v>
      </x:c>
      <x:c r="L2450" s="37" t="str">
        <x:v>1388</x:v>
      </x:c>
      <x:c r="M2450" s="29" t="str">
        <x:v>956.65</x:v>
      </x:c>
      <x:c r="N2450" s="29" t="str">
        <x:v>626.73</x:v>
      </x:c>
      <x:c r="O2450" s="29" t="str">
        <x:v>329.92</x:v>
      </x:c>
      <x:c r="P2450" s="18" t="str">
        <x:v>2026-06-28</x:v>
      </x:c>
      <x:c r="Q2450" s="36" t="n">
        <x:v>46201</x:v>
      </x:c>
    </x:row>
    <x:row r="2451">
      <x:c r="A2451" s="36" t="str">
        <x:v>2026-06-28</x:v>
      </x:c>
      <x:c r="B2451" s="18" t="str">
        <x:v>101437000_83921</x:v>
      </x:c>
      <x:c r="C2451" s="18" t="str">
        <x:v>【沪村小电】上海联怡枇杷乐园充电站（地库）</x:v>
      </x:c>
      <x:c r="D2451" s="37" t="str">
        <x:v>8</x:v>
      </x:c>
      <x:c r="E2451" s="37" t="str">
        <x:v>0</x:v>
      </x:c>
      <x:c r="F2451" s="37" t="str">
        <x:v>1</x:v>
      </x:c>
      <x:c r="G2451" s="37" t="str">
        <x:v>45.29</x:v>
      </x:c>
      <x:c r="H2451" s="37" t="str">
        <x:v>0.00</x:v>
      </x:c>
      <x:c r="I2451" s="37" t="str">
        <x:v>0.00</x:v>
      </x:c>
      <x:c r="J2451" s="37" t="str">
        <x:v>0.00</x:v>
      </x:c>
      <x:c r="K2451" s="37" t="str">
        <x:v>45.29</x:v>
      </x:c>
      <x:c r="L2451" s="37" t="str">
        <x:v>49</x:v>
      </x:c>
      <x:c r="M2451" s="29" t="str">
        <x:v>26.26</x:v>
      </x:c>
      <x:c r="N2451" s="29" t="str">
        <x:v>24.00</x:v>
      </x:c>
      <x:c r="O2451" s="29" t="str">
        <x:v>2.26</x:v>
      </x:c>
      <x:c r="P2451" s="18" t="str">
        <x:v>2026-06-28</x:v>
      </x:c>
      <x:c r="Q2451" s="36" t="n">
        <x:v>46201</x:v>
      </x:c>
    </x:row>
    <x:row r="2452">
      <x:c r="A2452" s="36" t="str">
        <x:v>2026-06-28</x:v>
      </x:c>
      <x:c r="B2452" s="18" t="str">
        <x:v>101437000_83923</x:v>
      </x:c>
      <x:c r="C2452" s="18" t="str">
        <x:v>【沪村小电】明珠新苑充电站</x:v>
      </x:c>
      <x:c r="D2452" s="37" t="str">
        <x:v>2</x:v>
      </x:c>
      <x:c r="E2452" s="37" t="str">
        <x:v>0</x:v>
      </x:c>
      <x:c r="F2452" s="37" t="str">
        <x:v>34</x:v>
      </x:c>
      <x:c r="G2452" s="37" t="str">
        <x:v>953.81</x:v>
      </x:c>
      <x:c r="H2452" s="37" t="str">
        <x:v>0.00</x:v>
      </x:c>
      <x:c r="I2452" s="37" t="str">
        <x:v>721.64</x:v>
      </x:c>
      <x:c r="J2452" s="37" t="str">
        <x:v>0.00</x:v>
      </x:c>
      <x:c r="K2452" s="37" t="str">
        <x:v>232.17</x:v>
      </x:c>
      <x:c r="L2452" s="37" t="str">
        <x:v>1370</x:v>
      </x:c>
      <x:c r="M2452" s="29" t="str">
        <x:v>909.60</x:v>
      </x:c>
      <x:c r="N2452" s="29" t="str">
        <x:v>622.22</x:v>
      </x:c>
      <x:c r="O2452" s="29" t="str">
        <x:v>287.38</x:v>
      </x:c>
      <x:c r="P2452" s="18" t="str">
        <x:v>2026-06-28</x:v>
      </x:c>
      <x:c r="Q2452" s="36" t="n">
        <x:v>46201</x:v>
      </x:c>
    </x:row>
    <x:row r="2453">
      <x:c r="A2453" s="36" t="str">
        <x:v>2026-06-28</x:v>
      </x:c>
      <x:c r="B2453" s="18" t="str">
        <x:v>101437000_84289</x:v>
      </x:c>
      <x:c r="C2453" s="18" t="str">
        <x:v>【沪村小电】铁建芳华苑充电站</x:v>
      </x:c>
      <x:c r="D2453" s="37" t="str">
        <x:v>4</x:v>
      </x:c>
      <x:c r="E2453" s="37" t="str">
        <x:v>0</x:v>
      </x:c>
      <x:c r="F2453" s="37" t="str">
        <x:v>31</x:v>
      </x:c>
      <x:c r="G2453" s="37" t="str">
        <x:v>801.41</x:v>
      </x:c>
      <x:c r="H2453" s="37" t="str">
        <x:v>0.00</x:v>
      </x:c>
      <x:c r="I2453" s="37" t="str">
        <x:v>505.27</x:v>
      </x:c>
      <x:c r="J2453" s="37" t="str">
        <x:v>0.00</x:v>
      </x:c>
      <x:c r="K2453" s="37" t="str">
        <x:v>296.15</x:v>
      </x:c>
      <x:c r="L2453" s="37" t="str">
        <x:v>1253</x:v>
      </x:c>
      <x:c r="M2453" s="29" t="str">
        <x:v>716.08</x:v>
      </x:c>
      <x:c r="N2453" s="29" t="str">
        <x:v>486.45</x:v>
      </x:c>
      <x:c r="O2453" s="29" t="str">
        <x:v>229.63</x:v>
      </x:c>
      <x:c r="P2453" s="18" t="str">
        <x:v>2026-06-28</x:v>
      </x:c>
      <x:c r="Q2453" s="36" t="n">
        <x:v>46201</x:v>
      </x:c>
    </x:row>
    <x:row r="2454">
      <x:c r="A2454" s="36" t="str">
        <x:v>2026-06-28</x:v>
      </x:c>
      <x:c r="B2454" s="18" t="str">
        <x:v>101437000_86379</x:v>
      </x:c>
      <x:c r="C2454" s="18" t="str">
        <x:v>【沪村小电】新宝社区充电站</x:v>
      </x:c>
      <x:c r="D2454" s="37" t="str">
        <x:v>4</x:v>
      </x:c>
      <x:c r="E2454" s="37" t="str">
        <x:v>0</x:v>
      </x:c>
      <x:c r="F2454" s="37" t="str">
        <x:v>13</x:v>
      </x:c>
      <x:c r="G2454" s="37" t="str">
        <x:v>386.83</x:v>
      </x:c>
      <x:c r="H2454" s="37" t="str">
        <x:v>0.00</x:v>
      </x:c>
      <x:c r="I2454" s="37" t="str">
        <x:v>111.25</x:v>
      </x:c>
      <x:c r="J2454" s="37" t="str">
        <x:v>0.00</x:v>
      </x:c>
      <x:c r="K2454" s="37" t="str">
        <x:v>275.58</x:v>
      </x:c>
      <x:c r="L2454" s="37" t="str">
        <x:v>605</x:v>
      </x:c>
      <x:c r="M2454" s="29" t="str">
        <x:v>281.98</x:v>
      </x:c>
      <x:c r="N2454" s="29" t="str">
        <x:v>187.06</x:v>
      </x:c>
      <x:c r="O2454" s="29" t="str">
        <x:v>94.92</x:v>
      </x:c>
      <x:c r="P2454" s="18" t="str">
        <x:v>2026-06-28</x:v>
      </x:c>
      <x:c r="Q2454" s="36" t="n">
        <x:v>46201</x:v>
      </x:c>
    </x:row>
    <x:row r="2455">
      <x:c r="A2455" s="36" t="str">
        <x:v>2026-06-28</x:v>
      </x:c>
      <x:c r="B2455" s="18" t="str">
        <x:v>101437000_89441</x:v>
      </x:c>
      <x:c r="C2455" s="18" t="str">
        <x:v>【沪村小电】首创禧瑞云启西区充电站</x:v>
      </x:c>
      <x:c r="D2455" s="37" t="str">
        <x:v>2</x:v>
      </x:c>
      <x:c r="E2455" s="37" t="str">
        <x:v>0</x:v>
      </x:c>
      <x:c r="F2455" s="37" t="str">
        <x:v>35</x:v>
      </x:c>
      <x:c r="G2455" s="37" t="str">
        <x:v>872.44</x:v>
      </x:c>
      <x:c r="H2455" s="37" t="str">
        <x:v>0.00</x:v>
      </x:c>
      <x:c r="I2455" s="37" t="str">
        <x:v>753.94</x:v>
      </x:c>
      <x:c r="J2455" s="37" t="str">
        <x:v>0.00</x:v>
      </x:c>
      <x:c r="K2455" s="37" t="str">
        <x:v>118.51</x:v>
      </x:c>
      <x:c r="L2455" s="37" t="str">
        <x:v>1017</x:v>
      </x:c>
      <x:c r="M2455" s="29" t="str">
        <x:v>776.86</x:v>
      </x:c>
      <x:c r="N2455" s="29" t="str">
        <x:v>562.91</x:v>
      </x:c>
      <x:c r="O2455" s="29" t="str">
        <x:v>213.95</x:v>
      </x:c>
      <x:c r="P2455" s="18" t="str">
        <x:v>2026-06-28</x:v>
      </x:c>
      <x:c r="Q2455" s="36" t="n">
        <x:v>46201</x:v>
      </x:c>
    </x:row>
    <x:row r="2456">
      <x:c r="A2456" s="36" t="str">
        <x:v>2026-06-28</x:v>
      </x:c>
      <x:c r="B2456" s="18" t="str">
        <x:v>101437000_89443</x:v>
      </x:c>
      <x:c r="C2456" s="18" t="str">
        <x:v>【沪村小电】玉兰清苑二期充电站</x:v>
      </x:c>
      <x:c r="D2456" s="37" t="str">
        <x:v>2</x:v>
      </x:c>
      <x:c r="E2456" s="37" t="str">
        <x:v>0</x:v>
      </x:c>
      <x:c r="F2456" s="37" t="str">
        <x:v>23</x:v>
      </x:c>
      <x:c r="G2456" s="37" t="str">
        <x:v>466.70</x:v>
      </x:c>
      <x:c r="H2456" s="37" t="str">
        <x:v>0.00</x:v>
      </x:c>
      <x:c r="I2456" s="37" t="str">
        <x:v>316.64</x:v>
      </x:c>
      <x:c r="J2456" s="37" t="str">
        <x:v>0.00</x:v>
      </x:c>
      <x:c r="K2456" s="37" t="str">
        <x:v>150.06</x:v>
      </x:c>
      <x:c r="L2456" s="37" t="str">
        <x:v>742</x:v>
      </x:c>
      <x:c r="M2456" s="29" t="str">
        <x:v>423.84</x:v>
      </x:c>
      <x:c r="N2456" s="29" t="str">
        <x:v>291.33</x:v>
      </x:c>
      <x:c r="O2456" s="29" t="str">
        <x:v>132.51</x:v>
      </x:c>
      <x:c r="P2456" s="18" t="str">
        <x:v>2026-06-28</x:v>
      </x:c>
      <x:c r="Q2456" s="36" t="n">
        <x:v>46201</x:v>
      </x:c>
    </x:row>
    <x:row r="2457">
      <x:c r="A2457" s="36" t="str">
        <x:v>2026-06-28</x:v>
      </x:c>
      <x:c r="B2457" s="18" t="str">
        <x:v>101437000_93115</x:v>
      </x:c>
      <x:c r="C2457" s="18" t="str">
        <x:v>【沪村小电】新南家园西北门</x:v>
      </x:c>
      <x:c r="D2457" s="37" t="str">
        <x:v>2</x:v>
      </x:c>
      <x:c r="E2457" s="37" t="str">
        <x:v>0</x:v>
      </x:c>
      <x:c r="F2457" s="37" t="str">
        <x:v>29</x:v>
      </x:c>
      <x:c r="G2457" s="37" t="str">
        <x:v>532.13</x:v>
      </x:c>
      <x:c r="H2457" s="37" t="str">
        <x:v>0.00</x:v>
      </x:c>
      <x:c r="I2457" s="37" t="str">
        <x:v>409.62</x:v>
      </x:c>
      <x:c r="J2457" s="37" t="str">
        <x:v>0.00</x:v>
      </x:c>
      <x:c r="K2457" s="37" t="str">
        <x:v>122.51</x:v>
      </x:c>
      <x:c r="L2457" s="37" t="str">
        <x:v>885</x:v>
      </x:c>
      <x:c r="M2457" s="29" t="str">
        <x:v>474.17</x:v>
      </x:c>
      <x:c r="N2457" s="29" t="str">
        <x:v>326.73</x:v>
      </x:c>
      <x:c r="O2457" s="29" t="str">
        <x:v>147.44</x:v>
      </x:c>
      <x:c r="P2457" s="18" t="str">
        <x:v>2026-06-28</x:v>
      </x:c>
      <x:c r="Q2457" s="36" t="n">
        <x:v>46201</x:v>
      </x:c>
    </x:row>
    <x:row r="2458">
      <x:c r="A2458" s="36" t="str">
        <x:v>2026-06-28</x:v>
      </x:c>
      <x:c r="B2458" s="18" t="str">
        <x:v>101437000_94649</x:v>
      </x:c>
      <x:c r="C2458" s="18" t="str">
        <x:v>【沪村小电】浪琴水岸花园</x:v>
      </x:c>
      <x:c r="D2458" s="37" t="str">
        <x:v>4</x:v>
      </x:c>
      <x:c r="E2458" s="37" t="str">
        <x:v>0</x:v>
      </x:c>
      <x:c r="F2458" s="37" t="str">
        <x:v>24</x:v>
      </x:c>
      <x:c r="G2458" s="37" t="str">
        <x:v>615.98</x:v>
      </x:c>
      <x:c r="H2458" s="37" t="str">
        <x:v>0.00</x:v>
      </x:c>
      <x:c r="I2458" s="37" t="str">
        <x:v>316.47</x:v>
      </x:c>
      <x:c r="J2458" s="37" t="str">
        <x:v>0.00</x:v>
      </x:c>
      <x:c r="K2458" s="37" t="str">
        <x:v>299.51</x:v>
      </x:c>
      <x:c r="L2458" s="37" t="str">
        <x:v>1021</x:v>
      </x:c>
      <x:c r="M2458" s="29" t="str">
        <x:v>460.53</x:v>
      </x:c>
      <x:c r="N2458" s="29" t="str">
        <x:v>326.21</x:v>
      </x:c>
      <x:c r="O2458" s="29" t="str">
        <x:v>134.32</x:v>
      </x:c>
      <x:c r="P2458" s="18" t="str">
        <x:v>2026-06-28</x:v>
      </x:c>
      <x:c r="Q2458" s="36" t="n">
        <x:v>46201</x:v>
      </x:c>
    </x:row>
    <x:row r="2459">
      <x:c r="A2459" s="36" t="str">
        <x:v>2026-06-28</x:v>
      </x:c>
      <x:c r="B2459" s="18" t="str">
        <x:v>101437000_95077</x:v>
      </x:c>
      <x:c r="C2459" s="18" t="str">
        <x:v>【沪村小电】民乐城惠益绿苑255弄充电站</x:v>
      </x:c>
      <x:c r="D2459" s="37" t="str">
        <x:v>2</x:v>
      </x:c>
      <x:c r="E2459" s="37" t="str">
        <x:v>0</x:v>
      </x:c>
      <x:c r="F2459" s="37" t="str">
        <x:v>11</x:v>
      </x:c>
      <x:c r="G2459" s="37" t="str">
        <x:v>261.55</x:v>
      </x:c>
      <x:c r="H2459" s="37" t="str">
        <x:v>0.00</x:v>
      </x:c>
      <x:c r="I2459" s="37" t="str">
        <x:v>106.68</x:v>
      </x:c>
      <x:c r="J2459" s="37" t="str">
        <x:v>0.00</x:v>
      </x:c>
      <x:c r="K2459" s="37" t="str">
        <x:v>154.87</x:v>
      </x:c>
      <x:c r="L2459" s="37" t="str">
        <x:v>365</x:v>
      </x:c>
      <x:c r="M2459" s="29" t="str">
        <x:v>218.29</x:v>
      </x:c>
      <x:c r="N2459" s="29" t="str">
        <x:v>137.79</x:v>
      </x:c>
      <x:c r="O2459" s="29" t="str">
        <x:v>80.50</x:v>
      </x:c>
      <x:c r="P2459" s="18" t="str">
        <x:v>2026-06-28</x:v>
      </x:c>
      <x:c r="Q2459" s="36" t="n">
        <x:v>46201</x:v>
      </x:c>
    </x:row>
    <x:row r="2460">
      <x:c r="A2460" s="36" t="str">
        <x:v>2026-06-28</x:v>
      </x:c>
      <x:c r="B2460" s="18" t="str">
        <x:v>101437000_95079</x:v>
      </x:c>
      <x:c r="C2460" s="18" t="str">
        <x:v>【沪村小电】民乐城惠益绿苑东苑充电站</x:v>
      </x:c>
      <x:c r="D2460" s="37" t="str">
        <x:v>2</x:v>
      </x:c>
      <x:c r="E2460" s="37" t="str">
        <x:v>0</x:v>
      </x:c>
      <x:c r="F2460" s="37" t="str">
        <x:v>5</x:v>
      </x:c>
      <x:c r="G2460" s="37" t="str">
        <x:v>153.41</x:v>
      </x:c>
      <x:c r="H2460" s="37" t="str">
        <x:v>0.00</x:v>
      </x:c>
      <x:c r="I2460" s="37" t="str">
        <x:v>153.41</x:v>
      </x:c>
      <x:c r="J2460" s="37" t="str">
        <x:v>0.00</x:v>
      </x:c>
      <x:c r="K2460" s="37" t="str">
        <x:v>0.00</x:v>
      </x:c>
      <x:c r="L2460" s="37" t="str">
        <x:v>211</x:v>
      </x:c>
      <x:c r="M2460" s="29" t="str">
        <x:v>134.54</x:v>
      </x:c>
      <x:c r="N2460" s="29" t="str">
        <x:v>105.85</x:v>
      </x:c>
      <x:c r="O2460" s="29" t="str">
        <x:v>28.69</x:v>
      </x:c>
      <x:c r="P2460" s="18" t="str">
        <x:v>2026-06-28</x:v>
      </x:c>
      <x:c r="Q2460" s="36" t="n">
        <x:v>46201</x:v>
      </x:c>
    </x:row>
    <x:row r="2461">
      <x:c r="A2461" s="36" t="str">
        <x:v>2026-06-28</x:v>
      </x:c>
      <x:c r="B2461" s="18" t="str">
        <x:v>101437000_95081</x:v>
      </x:c>
      <x:c r="C2461" s="18" t="str">
        <x:v>【沪村小电】民乐城惠益绿苑西苑充电站</x:v>
      </x:c>
      <x:c r="D2461" s="37" t="str">
        <x:v>2</x:v>
      </x:c>
      <x:c r="E2461" s="37" t="str">
        <x:v>0</x:v>
      </x:c>
      <x:c r="F2461" s="37" t="str">
        <x:v>3</x:v>
      </x:c>
      <x:c r="G2461" s="37" t="str">
        <x:v>90.10</x:v>
      </x:c>
      <x:c r="H2461" s="37" t="str">
        <x:v>0.00</x:v>
      </x:c>
      <x:c r="I2461" s="37" t="str">
        <x:v>90.10</x:v>
      </x:c>
      <x:c r="J2461" s="37" t="str">
        <x:v>0.00</x:v>
      </x:c>
      <x:c r="K2461" s="37" t="str">
        <x:v>0.00</x:v>
      </x:c>
      <x:c r="L2461" s="37" t="str">
        <x:v>125</x:v>
      </x:c>
      <x:c r="M2461" s="29" t="str">
        <x:v>90.01</x:v>
      </x:c>
      <x:c r="N2461" s="29" t="str">
        <x:v>62.17</x:v>
      </x:c>
      <x:c r="O2461" s="29" t="str">
        <x:v>27.84</x:v>
      </x:c>
      <x:c r="P2461" s="18" t="str">
        <x:v>2026-06-28</x:v>
      </x:c>
      <x:c r="Q2461" s="36" t="n">
        <x:v>46201</x:v>
      </x:c>
    </x:row>
    <x:row r="2462">
      <x:c r="A2462" s="36" t="str">
        <x:v>2026-06-28</x:v>
      </x:c>
      <x:c r="B2462" s="18" t="str">
        <x:v>101437000_95091</x:v>
      </x:c>
      <x:c r="C2462" s="18" t="str">
        <x:v>【沪村小电】金悦学府2号站</x:v>
      </x:c>
      <x:c r="D2462" s="37" t="str">
        <x:v>2</x:v>
      </x:c>
      <x:c r="E2462" s="37" t="str">
        <x:v>0</x:v>
      </x:c>
      <x:c r="F2462" s="37" t="str">
        <x:v>15</x:v>
      </x:c>
      <x:c r="G2462" s="37" t="str">
        <x:v>519.48</x:v>
      </x:c>
      <x:c r="H2462" s="37" t="str">
        <x:v>0.00</x:v>
      </x:c>
      <x:c r="I2462" s="37" t="str">
        <x:v>0.00</x:v>
      </x:c>
      <x:c r="J2462" s="37" t="str">
        <x:v>519.48</x:v>
      </x:c>
      <x:c r="K2462" s="37" t="str">
        <x:v>0.00</x:v>
      </x:c>
      <x:c r="L2462" s="37" t="str">
        <x:v>663</x:v>
      </x:c>
      <x:c r="M2462" s="29" t="str">
        <x:v>410.38</x:v>
      </x:c>
      <x:c r="N2462" s="29" t="str">
        <x:v>290.90</x:v>
      </x:c>
      <x:c r="O2462" s="29" t="str">
        <x:v>119.48</x:v>
      </x:c>
      <x:c r="P2462" s="18" t="str">
        <x:v>2026-06-28</x:v>
      </x:c>
      <x:c r="Q2462" s="36" t="n">
        <x:v>46201</x:v>
      </x:c>
    </x:row>
    <x:row r="2463">
      <x:c r="A2463" s="36" t="str">
        <x:v>2026-06-28</x:v>
      </x:c>
      <x:c r="B2463" s="18" t="str">
        <x:v>101437000_95941</x:v>
      </x:c>
      <x:c r="C2463" s="18" t="str">
        <x:v>【沪村小电】惠诚雅苑</x:v>
      </x:c>
      <x:c r="D2463" s="37" t="str">
        <x:v>4</x:v>
      </x:c>
      <x:c r="E2463" s="37" t="str">
        <x:v>0</x:v>
      </x:c>
      <x:c r="F2463" s="37" t="str">
        <x:v>29</x:v>
      </x:c>
      <x:c r="G2463" s="37" t="str">
        <x:v>718.52</x:v>
      </x:c>
      <x:c r="H2463" s="37" t="str">
        <x:v>0.00</x:v>
      </x:c>
      <x:c r="I2463" s="37" t="str">
        <x:v>343.11</x:v>
      </x:c>
      <x:c r="J2463" s="37" t="str">
        <x:v>0.00</x:v>
      </x:c>
      <x:c r="K2463" s="37" t="str">
        <x:v>375.41</x:v>
      </x:c>
      <x:c r="L2463" s="37" t="str">
        <x:v>1212</x:v>
      </x:c>
      <x:c r="M2463" s="29" t="str">
        <x:v>493.28</x:v>
      </x:c>
      <x:c r="N2463" s="29" t="str">
        <x:v>318.78</x:v>
      </x:c>
      <x:c r="O2463" s="29" t="str">
        <x:v>174.50</x:v>
      </x:c>
      <x:c r="P2463" s="18" t="str">
        <x:v>2026-06-28</x:v>
      </x:c>
      <x:c r="Q2463" s="36" t="n">
        <x:v>46201</x:v>
      </x:c>
    </x:row>
    <x:row r="2464">
      <x:c r="A2464" s="36" t="str">
        <x:v>2026-06-28</x:v>
      </x:c>
      <x:c r="B2464" s="18" t="str">
        <x:v>101437000_96401</x:v>
      </x:c>
      <x:c r="C2464" s="18" t="str">
        <x:v>【沪村小电】上海联怡枇杷乐园地面站</x:v>
      </x:c>
      <x:c r="D2464" s="37" t="str">
        <x:v>2</x:v>
      </x:c>
      <x:c r="E2464" s="37" t="str">
        <x:v>0</x:v>
      </x:c>
      <x:c r="F2464" s="37" t="str">
        <x:v>7</x:v>
      </x:c>
      <x:c r="G2464" s="37" t="str">
        <x:v>135.42</x:v>
      </x:c>
      <x:c r="H2464" s="37" t="str">
        <x:v>0.00</x:v>
      </x:c>
      <x:c r="I2464" s="37" t="str">
        <x:v>52.69</x:v>
      </x:c>
      <x:c r="J2464" s="37" t="str">
        <x:v>0.00</x:v>
      </x:c>
      <x:c r="K2464" s="37" t="str">
        <x:v>82.73</x:v>
      </x:c>
      <x:c r="L2464" s="37" t="str">
        <x:v>305</x:v>
      </x:c>
      <x:c r="M2464" s="29" t="str">
        <x:v>119.45</x:v>
      </x:c>
      <x:c r="N2464" s="29" t="str">
        <x:v>98.64</x:v>
      </x:c>
      <x:c r="O2464" s="29" t="str">
        <x:v>20.81</x:v>
      </x:c>
      <x:c r="P2464" s="18" t="str">
        <x:v>2026-06-28</x:v>
      </x:c>
      <x:c r="Q2464" s="36" t="n">
        <x:v>46201</x:v>
      </x:c>
    </x:row>
    <x:row r="2465">
      <x:c r="A2465" s="36" t="str">
        <x:v>2026-06-28</x:v>
      </x:c>
      <x:c r="B2465" s="18" t="str">
        <x:v>101437000_96719</x:v>
      </x:c>
      <x:c r="C2465" s="18" t="str">
        <x:v>【沪村小电】四达路220弄充电站</x:v>
      </x:c>
      <x:c r="D2465" s="37" t="str">
        <x:v>2</x:v>
      </x:c>
      <x:c r="E2465" s="37" t="str">
        <x:v>0</x:v>
      </x:c>
      <x:c r="F2465" s="37" t="str">
        <x:v>2</x:v>
      </x:c>
      <x:c r="G2465" s="37" t="str">
        <x:v>34.80</x:v>
      </x:c>
      <x:c r="H2465" s="37" t="str">
        <x:v>0.00</x:v>
      </x:c>
      <x:c r="I2465" s="37" t="str">
        <x:v>0.00</x:v>
      </x:c>
      <x:c r="J2465" s="37" t="str">
        <x:v>34.80</x:v>
      </x:c>
      <x:c r="K2465" s="37" t="str">
        <x:v>0.00</x:v>
      </x:c>
      <x:c r="L2465" s="37" t="str">
        <x:v>101</x:v>
      </x:c>
      <x:c r="M2465" s="29" t="str">
        <x:v>43.70</x:v>
      </x:c>
      <x:c r="N2465" s="29" t="str">
        <x:v>24.36</x:v>
      </x:c>
      <x:c r="O2465" s="29" t="str">
        <x:v>19.34</x:v>
      </x:c>
      <x:c r="P2465" s="18" t="str">
        <x:v>2026-06-28</x:v>
      </x:c>
      <x:c r="Q2465" s="36" t="n">
        <x:v>46201</x:v>
      </x:c>
    </x:row>
    <x:row r="2466">
      <x:c r="A2466" s="36" t="str">
        <x:v>2026-06-28</x:v>
      </x:c>
      <x:c r="B2466" s="18" t="str">
        <x:v>101437000_97421</x:v>
      </x:c>
      <x:c r="C2466" s="18" t="str">
        <x:v>【沪村小电】玉兰清苑二期（小区外）充电站</x:v>
      </x:c>
      <x:c r="D2466" s="37" t="str">
        <x:v>4</x:v>
      </x:c>
      <x:c r="E2466" s="37" t="str">
        <x:v>0</x:v>
      </x:c>
      <x:c r="F2466" s="37" t="str">
        <x:v>27</x:v>
      </x:c>
      <x:c r="G2466" s="37" t="str">
        <x:v>718.29</x:v>
      </x:c>
      <x:c r="H2466" s="37" t="str">
        <x:v>0.00</x:v>
      </x:c>
      <x:c r="I2466" s="37" t="str">
        <x:v>480.68</x:v>
      </x:c>
      <x:c r="J2466" s="37" t="str">
        <x:v>0.00</x:v>
      </x:c>
      <x:c r="K2466" s="37" t="str">
        <x:v>237.61</x:v>
      </x:c>
      <x:c r="L2466" s="37" t="str">
        <x:v>1376</x:v>
      </x:c>
      <x:c r="M2466" s="29" t="str">
        <x:v>606.33</x:v>
      </x:c>
      <x:c r="N2466" s="29" t="str">
        <x:v>446.01</x:v>
      </x:c>
      <x:c r="O2466" s="29" t="str">
        <x:v>160.32</x:v>
      </x:c>
      <x:c r="P2466" s="18" t="str">
        <x:v>2026-06-28</x:v>
      </x:c>
      <x:c r="Q2466" s="36" t="n">
        <x:v>46201</x:v>
      </x:c>
    </x:row>
    <x:row r="2467">
      <x:c r="A2467" s="36" t="str">
        <x:v>2026-06-28</x:v>
      </x:c>
      <x:c r="B2467" s="18" t="str">
        <x:v>101437000_98013</x:v>
      </x:c>
      <x:c r="C2467" s="18" t="str">
        <x:v>【沪村小电】恒大滨江华府充电站</x:v>
      </x:c>
      <x:c r="D2467" s="37" t="str">
        <x:v>4</x:v>
      </x:c>
      <x:c r="E2467" s="37" t="str">
        <x:v>0</x:v>
      </x:c>
      <x:c r="F2467" s="37" t="str">
        <x:v>6</x:v>
      </x:c>
      <x:c r="G2467" s="37" t="str">
        <x:v>118.04</x:v>
      </x:c>
      <x:c r="H2467" s="37" t="str">
        <x:v>0.00</x:v>
      </x:c>
      <x:c r="I2467" s="37" t="str">
        <x:v>69.69</x:v>
      </x:c>
      <x:c r="J2467" s="37" t="str">
        <x:v>0.00</x:v>
      </x:c>
      <x:c r="K2467" s="37" t="str">
        <x:v>48.35</x:v>
      </x:c>
      <x:c r="L2467" s="37" t="str">
        <x:v>176</x:v>
      </x:c>
      <x:c r="M2467" s="29" t="str">
        <x:v>116.13</x:v>
      </x:c>
      <x:c r="N2467" s="29" t="str">
        <x:v>98.10</x:v>
      </x:c>
      <x:c r="O2467" s="29" t="str">
        <x:v>18.03</x:v>
      </x:c>
      <x:c r="P2467" s="18" t="str">
        <x:v>2026-06-28</x:v>
      </x:c>
      <x:c r="Q2467" s="36" t="n">
        <x:v>46201</x:v>
      </x:c>
    </x:row>
    <x:row r="2468">
      <x:c r="A2468" s="36" t="str">
        <x:v>2026-06-28</x:v>
      </x:c>
      <x:c r="B2468" s="18" t="str">
        <x:v>101437000_98863</x:v>
      </x:c>
      <x:c r="C2468" s="18" t="str">
        <x:v>【沪村小电】欣菊苑充电站</x:v>
      </x:c>
      <x:c r="D2468" s="37" t="str">
        <x:v>4</x:v>
      </x:c>
      <x:c r="E2468" s="37" t="str">
        <x:v>0</x:v>
      </x:c>
      <x:c r="F2468" s="37" t="str">
        <x:v>13</x:v>
      </x:c>
      <x:c r="G2468" s="37" t="str">
        <x:v>324.98</x:v>
      </x:c>
      <x:c r="H2468" s="37" t="str">
        <x:v>0.00</x:v>
      </x:c>
      <x:c r="I2468" s="37" t="str">
        <x:v>217.30</x:v>
      </x:c>
      <x:c r="J2468" s="37" t="str">
        <x:v>0.00</x:v>
      </x:c>
      <x:c r="K2468" s="37" t="str">
        <x:v>107.68</x:v>
      </x:c>
      <x:c r="L2468" s="37" t="str">
        <x:v>533</x:v>
      </x:c>
      <x:c r="M2468" s="29" t="str">
        <x:v>267.15</x:v>
      </x:c>
      <x:c r="N2468" s="29" t="str">
        <x:v>201.70</x:v>
      </x:c>
      <x:c r="O2468" s="29" t="str">
        <x:v>65.45</x:v>
      </x:c>
      <x:c r="P2468" s="18" t="str">
        <x:v>2026-06-28</x:v>
      </x:c>
      <x:c r="Q2468" s="36" t="n">
        <x:v>46201</x:v>
      </x:c>
    </x:row>
    <x:row r="2469">
      <x:c r="A2469" s="36" t="str">
        <x:v>2026-06-28</x:v>
      </x:c>
      <x:c r="B2469" s="18" t="str">
        <x:v>101437000_98865</x:v>
      </x:c>
      <x:c r="C2469" s="18" t="str">
        <x:v>【沪村小电】欣松苑充电站</x:v>
      </x:c>
      <x:c r="D2469" s="37" t="str">
        <x:v>4</x:v>
      </x:c>
      <x:c r="E2469" s="37" t="str">
        <x:v>0</x:v>
      </x:c>
      <x:c r="F2469" s="37" t="str">
        <x:v>8</x:v>
      </x:c>
      <x:c r="G2469" s="37" t="str">
        <x:v>158.26</x:v>
      </x:c>
      <x:c r="H2469" s="37" t="str">
        <x:v>0.00</x:v>
      </x:c>
      <x:c r="I2469" s="37" t="str">
        <x:v>130.92</x:v>
      </x:c>
      <x:c r="J2469" s="37" t="str">
        <x:v>0.00</x:v>
      </x:c>
      <x:c r="K2469" s="37" t="str">
        <x:v>27.34</x:v>
      </x:c>
      <x:c r="L2469" s="37" t="str">
        <x:v>219</x:v>
      </x:c>
      <x:c r="M2469" s="29" t="str">
        <x:v>143.65</x:v>
      </x:c>
      <x:c r="N2469" s="29" t="str">
        <x:v>107.27</x:v>
      </x:c>
      <x:c r="O2469" s="29" t="str">
        <x:v>36.38</x:v>
      </x:c>
      <x:c r="P2469" s="18" t="str">
        <x:v>2026-06-28</x:v>
      </x:c>
      <x:c r="Q2469" s="36" t="n">
        <x:v>46201</x:v>
      </x:c>
    </x:row>
    <x:row r="2470">
      <x:c r="A2470" s="36" t="str">
        <x:v>2026-06-28</x:v>
      </x:c>
      <x:c r="B2470" s="18" t="str">
        <x:v>101437000_98867</x:v>
      </x:c>
      <x:c r="C2470" s="18" t="str">
        <x:v>【沪村小电】欣荷苑充电站</x:v>
      </x:c>
      <x:c r="D2470" s="37" t="str">
        <x:v>4</x:v>
      </x:c>
      <x:c r="E2470" s="37" t="str">
        <x:v>0</x:v>
      </x:c>
      <x:c r="F2470" s="37" t="str">
        <x:v>2</x:v>
      </x:c>
      <x:c r="G2470" s="37" t="str">
        <x:v>49.24</x:v>
      </x:c>
      <x:c r="H2470" s="37" t="str">
        <x:v>0.00</x:v>
      </x:c>
      <x:c r="I2470" s="37" t="str">
        <x:v>49.24</x:v>
      </x:c>
      <x:c r="J2470" s="37" t="str">
        <x:v>0.00</x:v>
      </x:c>
      <x:c r="K2470" s="37" t="str">
        <x:v>0.00</x:v>
      </x:c>
      <x:c r="L2470" s="37" t="str">
        <x:v>153</x:v>
      </x:c>
      <x:c r="M2470" s="29" t="str">
        <x:v>47.58</x:v>
      </x:c>
      <x:c r="N2470" s="29" t="str">
        <x:v>36.43</x:v>
      </x:c>
      <x:c r="O2470" s="29" t="str">
        <x:v>11.15</x:v>
      </x:c>
      <x:c r="P2470" s="18" t="str">
        <x:v>2026-06-28</x:v>
      </x:c>
      <x:c r="Q2470" s="36" t="n">
        <x:v>46201</x:v>
      </x:c>
    </x:row>
    <x:row r="2471">
      <x:c r="A2471" s="36" t="str">
        <x:v>2026-06-28</x:v>
      </x:c>
      <x:c r="B2471" s="18" t="str">
        <x:v>101437000_99885</x:v>
      </x:c>
      <x:c r="C2471" s="18" t="str">
        <x:v>【沪村小电】汇丰馨苑充电站</x:v>
      </x:c>
      <x:c r="D2471" s="37" t="str">
        <x:v>4</x:v>
      </x:c>
      <x:c r="E2471" s="37" t="str">
        <x:v>0</x:v>
      </x:c>
      <x:c r="F2471" s="37" t="str">
        <x:v>7</x:v>
      </x:c>
      <x:c r="G2471" s="37" t="str">
        <x:v>123.16</x:v>
      </x:c>
      <x:c r="H2471" s="37" t="str">
        <x:v>0.00</x:v>
      </x:c>
      <x:c r="I2471" s="37" t="str">
        <x:v>41.05</x:v>
      </x:c>
      <x:c r="J2471" s="37" t="str">
        <x:v>82.10</x:v>
      </x:c>
      <x:c r="K2471" s="37" t="str">
        <x:v>0.00</x:v>
      </x:c>
      <x:c r="L2471" s="37" t="str">
        <x:v>256</x:v>
      </x:c>
      <x:c r="M2471" s="29" t="str">
        <x:v>131.36</x:v>
      </x:c>
      <x:c r="N2471" s="29" t="str">
        <x:v>102.63</x:v>
      </x:c>
      <x:c r="O2471" s="29" t="str">
        <x:v>28.73</x:v>
      </x:c>
      <x:c r="P2471" s="18" t="str">
        <x:v>2026-06-28</x:v>
      </x:c>
      <x:c r="Q2471" s="36" t="n">
        <x:v>46201</x:v>
      </x:c>
    </x:row>
    <x:row r="2472">
      <x:c r="A2472" s="36" t="str">
        <x:v>2026-06-28</x:v>
      </x:c>
      <x:c r="B2472" s="18" t="str">
        <x:v>101437000_99887</x:v>
      </x:c>
      <x:c r="C2472" s="18" t="str">
        <x:v>【沪村小电】新南村河南小区充电站</x:v>
      </x:c>
      <x:c r="D2472" s="37" t="str">
        <x:v>2</x:v>
      </x:c>
      <x:c r="E2472" s="37" t="str">
        <x:v>0</x:v>
      </x:c>
      <x:c r="F2472" s="37" t="str">
        <x:v>14</x:v>
      </x:c>
      <x:c r="G2472" s="37" t="str">
        <x:v>346.38</x:v>
      </x:c>
      <x:c r="H2472" s="37" t="str">
        <x:v>0.00</x:v>
      </x:c>
      <x:c r="I2472" s="37" t="str">
        <x:v>178.57</x:v>
      </x:c>
      <x:c r="J2472" s="37" t="str">
        <x:v>0.00</x:v>
      </x:c>
      <x:c r="K2472" s="37" t="str">
        <x:v>167.81</x:v>
      </x:c>
      <x:c r="L2472" s="37" t="str">
        <x:v>507</x:v>
      </x:c>
      <x:c r="M2472" s="29" t="str">
        <x:v>258.48</x:v>
      </x:c>
      <x:c r="N2472" s="29" t="str">
        <x:v>195.92</x:v>
      </x:c>
      <x:c r="O2472" s="29" t="str">
        <x:v>62.56</x:v>
      </x:c>
      <x:c r="P2472" s="18" t="str">
        <x:v>2026-06-28</x:v>
      </x:c>
      <x:c r="Q2472" s="36" t="n">
        <x:v>46201</x:v>
      </x:c>
    </x:row>
    <x:row r="2473">
      <x:c r="A2473" s="36" t="str">
        <x:v>2026-06-28</x:v>
      </x:c>
      <x:c r="B2473" s="18" t="str">
        <x:v>101437000_99889</x:v>
      </x:c>
      <x:c r="C2473" s="18" t="str">
        <x:v>【沪村小电】漕泾郊野公园</x:v>
      </x:c>
      <x:c r="D2473" s="37" t="str">
        <x:v>2</x:v>
      </x:c>
      <x:c r="E2473" s="37" t="str">
        <x:v>0</x:v>
      </x:c>
      <x:c r="F2473" s="37" t="str">
        <x:v>6</x:v>
      </x:c>
      <x:c r="G2473" s="37" t="str">
        <x:v>106.46</x:v>
      </x:c>
      <x:c r="H2473" s="37" t="str">
        <x:v>0.00</x:v>
      </x:c>
      <x:c r="I2473" s="37" t="str">
        <x:v>81.94</x:v>
      </x:c>
      <x:c r="J2473" s="37" t="str">
        <x:v>24.52</x:v>
      </x:c>
      <x:c r="K2473" s="37" t="str">
        <x:v>0.00</x:v>
      </x:c>
      <x:c r="L2473" s="37" t="str">
        <x:v>132</x:v>
      </x:c>
      <x:c r="M2473" s="29" t="str">
        <x:v>125.54</x:v>
      </x:c>
      <x:c r="N2473" s="29" t="str">
        <x:v>89.17</x:v>
      </x:c>
      <x:c r="O2473" s="29" t="str">
        <x:v>36.37</x:v>
      </x:c>
      <x:c r="P2473" s="18" t="str">
        <x:v>2026-06-28</x:v>
      </x:c>
      <x:c r="Q2473" s="36" t="n">
        <x:v>46201</x:v>
      </x:c>
    </x:row>
    <x:row r="2474">
      <x:c r="A2474" s="36" t="str">
        <x:v>2026-06-28</x:v>
      </x:c>
      <x:c r="B2474" s="18" t="str">
        <x:v>101437000_99891</x:v>
      </x:c>
      <x:c r="C2474" s="18" t="str">
        <x:v>【沪村小电】水韵紫城充电站</x:v>
      </x:c>
      <x:c r="D2474" s="37" t="str">
        <x:v>4</x:v>
      </x:c>
      <x:c r="E2474" s="37" t="str">
        <x:v>0</x:v>
      </x:c>
      <x:c r="F2474" s="37" t="str">
        <x:v>8</x:v>
      </x:c>
      <x:c r="G2474" s="37" t="str">
        <x:v>210.68</x:v>
      </x:c>
      <x:c r="H2474" s="37" t="str">
        <x:v>0.00</x:v>
      </x:c>
      <x:c r="I2474" s="37" t="str">
        <x:v>167.31</x:v>
      </x:c>
      <x:c r="J2474" s="37" t="str">
        <x:v>0.00</x:v>
      </x:c>
      <x:c r="K2474" s="37" t="str">
        <x:v>43.37</x:v>
      </x:c>
      <x:c r="L2474" s="37" t="str">
        <x:v>262</x:v>
      </x:c>
      <x:c r="M2474" s="29" t="str">
        <x:v>194.74</x:v>
      </x:c>
      <x:c r="N2474" s="29" t="str">
        <x:v>140.29</x:v>
      </x:c>
      <x:c r="O2474" s="29" t="str">
        <x:v>54.45</x:v>
      </x:c>
      <x:c r="P2474" s="18" t="str">
        <x:v>2026-06-28</x:v>
      </x:c>
      <x:c r="Q2474" s="36" t="n">
        <x:v>46201</x:v>
      </x:c>
    </x:row>
    <x:row r="2475">
      <x:c r="A2475" s="36" t="str">
        <x:v>2026-06-27</x:v>
      </x:c>
      <x:c r="B2475" s="18" t="str">
        <x:v>101437000_41561</x:v>
      </x:c>
      <x:c r="C2475" s="18" t="str">
        <x:v>【沪村小电】张施小区大门处快充站</x:v>
      </x:c>
      <x:c r="D2475" s="37" t="str">
        <x:v>2</x:v>
      </x:c>
      <x:c r="E2475" s="37" t="str">
        <x:v>0</x:v>
      </x:c>
      <x:c r="F2475" s="37" t="str">
        <x:v>40</x:v>
      </x:c>
      <x:c r="G2475" s="37" t="str">
        <x:v>1060.75</x:v>
      </x:c>
      <x:c r="H2475" s="37" t="str">
        <x:v>0.00</x:v>
      </x:c>
      <x:c r="I2475" s="37" t="str">
        <x:v>423.76</x:v>
      </x:c>
      <x:c r="J2475" s="37" t="str">
        <x:v>0.00</x:v>
      </x:c>
      <x:c r="K2475" s="37" t="str">
        <x:v>636.99</x:v>
      </x:c>
      <x:c r="L2475" s="37" t="str">
        <x:v>1928</x:v>
      </x:c>
      <x:c r="M2475" s="29" t="str">
        <x:v>745.33</x:v>
      </x:c>
      <x:c r="N2475" s="29" t="str">
        <x:v>555.62</x:v>
      </x:c>
      <x:c r="O2475" s="29" t="str">
        <x:v>189.71</x:v>
      </x:c>
      <x:c r="P2475" s="18" t="str">
        <x:v>2026-06-27</x:v>
      </x:c>
      <x:c r="Q2475" s="36" t="n">
        <x:v>46200</x:v>
      </x:c>
    </x:row>
    <x:row r="2476">
      <x:c r="A2476" s="36" t="str">
        <x:v>2026-06-27</x:v>
      </x:c>
      <x:c r="B2476" s="18" t="str">
        <x:v>101437000_41563</x:v>
      </x:c>
      <x:c r="C2476" s="18" t="str">
        <x:v>【沪村小电】同心村快充站</x:v>
      </x:c>
      <x:c r="D2476" s="37" t="str">
        <x:v>4</x:v>
      </x:c>
      <x:c r="E2476" s="37" t="str">
        <x:v>0</x:v>
      </x:c>
      <x:c r="F2476" s="37" t="str">
        <x:v>64</x:v>
      </x:c>
      <x:c r="G2476" s="37" t="str">
        <x:v>1244.04</x:v>
      </x:c>
      <x:c r="H2476" s="37" t="str">
        <x:v>0.00</x:v>
      </x:c>
      <x:c r="I2476" s="37" t="str">
        <x:v>808.86</x:v>
      </x:c>
      <x:c r="J2476" s="37" t="str">
        <x:v>0.00</x:v>
      </x:c>
      <x:c r="K2476" s="37" t="str">
        <x:v>435.18</x:v>
      </x:c>
      <x:c r="L2476" s="37" t="str">
        <x:v>2787</x:v>
      </x:c>
      <x:c r="M2476" s="29" t="str">
        <x:v>1017.95</x:v>
      </x:c>
      <x:c r="N2476" s="29" t="str">
        <x:v>714.79</x:v>
      </x:c>
      <x:c r="O2476" s="29" t="str">
        <x:v>303.16</x:v>
      </x:c>
      <x:c r="P2476" s="18" t="str">
        <x:v>2026-06-27</x:v>
      </x:c>
      <x:c r="Q2476" s="36" t="n">
        <x:v>46200</x:v>
      </x:c>
    </x:row>
    <x:row r="2477">
      <x:c r="A2477" s="36" t="str">
        <x:v>2026-06-27</x:v>
      </x:c>
      <x:c r="B2477" s="18" t="str">
        <x:v>101437000_69629</x:v>
      </x:c>
      <x:c r="C2477" s="18" t="str">
        <x:v>【沪村小电】骏丰玲珑坊西苑充电站</x:v>
      </x:c>
      <x:c r="D2477" s="37" t="str">
        <x:v>2</x:v>
      </x:c>
      <x:c r="E2477" s="37" t="str">
        <x:v>0</x:v>
      </x:c>
      <x:c r="F2477" s="37" t="str">
        <x:v>61</x:v>
      </x:c>
      <x:c r="G2477" s="37" t="str">
        <x:v>1182.22</x:v>
      </x:c>
      <x:c r="H2477" s="37" t="str">
        <x:v>0.00</x:v>
      </x:c>
      <x:c r="I2477" s="37" t="str">
        <x:v>598.99</x:v>
      </x:c>
      <x:c r="J2477" s="37" t="str">
        <x:v>0.00</x:v>
      </x:c>
      <x:c r="K2477" s="37" t="str">
        <x:v>583.24</x:v>
      </x:c>
      <x:c r="L2477" s="37" t="str">
        <x:v>2444</x:v>
      </x:c>
      <x:c r="M2477" s="29" t="str">
        <x:v>938.80</x:v>
      </x:c>
      <x:c r="N2477" s="29" t="str">
        <x:v>664.92</x:v>
      </x:c>
      <x:c r="O2477" s="29" t="str">
        <x:v>273.88</x:v>
      </x:c>
      <x:c r="P2477" s="18" t="str">
        <x:v>2026-06-27</x:v>
      </x:c>
      <x:c r="Q2477" s="36" t="n">
        <x:v>46200</x:v>
      </x:c>
    </x:row>
    <x:row r="2478">
      <x:c r="A2478" s="36" t="str">
        <x:v>2026-06-27</x:v>
      </x:c>
      <x:c r="B2478" s="18" t="str">
        <x:v>101437000_70547</x:v>
      </x:c>
      <x:c r="C2478" s="18" t="str">
        <x:v>【沪村小电】农建村初心馆党群服务中心充电站</x:v>
      </x:c>
      <x:c r="D2478" s="37" t="str">
        <x:v>4</x:v>
      </x:c>
      <x:c r="E2478" s="37" t="str">
        <x:v>0</x:v>
      </x:c>
      <x:c r="F2478" s="37" t="str">
        <x:v>35</x:v>
      </x:c>
      <x:c r="G2478" s="37" t="str">
        <x:v>702.00</x:v>
      </x:c>
      <x:c r="H2478" s="37" t="str">
        <x:v>0.00</x:v>
      </x:c>
      <x:c r="I2478" s="37" t="str">
        <x:v>235.65</x:v>
      </x:c>
      <x:c r="J2478" s="37" t="str">
        <x:v>0.00</x:v>
      </x:c>
      <x:c r="K2478" s="37" t="str">
        <x:v>466.35</x:v>
      </x:c>
      <x:c r="L2478" s="37" t="str">
        <x:v>1227</x:v>
      </x:c>
      <x:c r="M2478" s="29" t="str">
        <x:v>583.07</x:v>
      </x:c>
      <x:c r="N2478" s="29" t="str">
        <x:v>492.24</x:v>
      </x:c>
      <x:c r="O2478" s="29" t="str">
        <x:v>90.83</x:v>
      </x:c>
      <x:c r="P2478" s="18" t="str">
        <x:v>2026-06-27</x:v>
      </x:c>
      <x:c r="Q2478" s="36" t="n">
        <x:v>46200</x:v>
      </x:c>
    </x:row>
    <x:row r="2479">
      <x:c r="A2479" s="36" t="str">
        <x:v>2026-06-27</x:v>
      </x:c>
      <x:c r="B2479" s="18" t="str">
        <x:v>101437000_70549</x:v>
      </x:c>
      <x:c r="C2479" s="18" t="str">
        <x:v>【沪村小电】学府路充电站</x:v>
      </x:c>
      <x:c r="D2479" s="37" t="str">
        <x:v>2</x:v>
      </x:c>
      <x:c r="E2479" s="37" t="str">
        <x:v>0</x:v>
      </x:c>
      <x:c r="F2479" s="37" t="str">
        <x:v>10</x:v>
      </x:c>
      <x:c r="G2479" s="37" t="str">
        <x:v>373.60</x:v>
      </x:c>
      <x:c r="H2479" s="37" t="str">
        <x:v>0.00</x:v>
      </x:c>
      <x:c r="I2479" s="37" t="str">
        <x:v>203.56</x:v>
      </x:c>
      <x:c r="J2479" s="37" t="str">
        <x:v>0.00</x:v>
      </x:c>
      <x:c r="K2479" s="37" t="str">
        <x:v>170.04</x:v>
      </x:c>
      <x:c r="L2479" s="37" t="str">
        <x:v>502</x:v>
      </x:c>
      <x:c r="M2479" s="29" t="str">
        <x:v>347.78</x:v>
      </x:c>
      <x:c r="N2479" s="29" t="str">
        <x:v>301.82</x:v>
      </x:c>
      <x:c r="O2479" s="29" t="str">
        <x:v>45.96</x:v>
      </x:c>
      <x:c r="P2479" s="18" t="str">
        <x:v>2026-06-27</x:v>
      </x:c>
      <x:c r="Q2479" s="36" t="n">
        <x:v>46200</x:v>
      </x:c>
    </x:row>
    <x:row r="2480">
      <x:c r="A2480" s="36" t="str">
        <x:v>2026-06-27</x:v>
      </x:c>
      <x:c r="B2480" s="18" t="str">
        <x:v>101437000_71059</x:v>
      </x:c>
      <x:c r="C2480" s="18" t="str">
        <x:v>【沪村小电】宝乐汇商业广场站</x:v>
      </x:c>
      <x:c r="D2480" s="37" t="str">
        <x:v>4</x:v>
      </x:c>
      <x:c r="E2480" s="37" t="str">
        <x:v>0</x:v>
      </x:c>
      <x:c r="F2480" s="37" t="str">
        <x:v>4</x:v>
      </x:c>
      <x:c r="G2480" s="37" t="str">
        <x:v>119.46</x:v>
      </x:c>
      <x:c r="H2480" s="37" t="str">
        <x:v>0.00</x:v>
      </x:c>
      <x:c r="I2480" s="37" t="str">
        <x:v>0.00</x:v>
      </x:c>
      <x:c r="J2480" s="37" t="str">
        <x:v>58.07</x:v>
      </x:c>
      <x:c r="K2480" s="37" t="str">
        <x:v>61.39</x:v>
      </x:c>
      <x:c r="L2480" s="37" t="str">
        <x:v>205</x:v>
      </x:c>
      <x:c r="M2480" s="29" t="str">
        <x:v>104.28</x:v>
      </x:c>
      <x:c r="N2480" s="29" t="str">
        <x:v>64.59</x:v>
      </x:c>
      <x:c r="O2480" s="29" t="str">
        <x:v>39.69</x:v>
      </x:c>
      <x:c r="P2480" s="18" t="str">
        <x:v>2026-06-27</x:v>
      </x:c>
      <x:c r="Q2480" s="36" t="n">
        <x:v>46200</x:v>
      </x:c>
    </x:row>
    <x:row r="2481">
      <x:c r="A2481" s="36" t="str">
        <x:v>2026-06-27</x:v>
      </x:c>
      <x:c r="B2481" s="18" t="str">
        <x:v>101437000_72541</x:v>
      </x:c>
      <x:c r="C2481" s="18" t="str">
        <x:v>【沪村小电】九干路1174弄充电站</x:v>
      </x:c>
      <x:c r="D2481" s="37" t="str">
        <x:v>2</x:v>
      </x:c>
      <x:c r="E2481" s="37" t="str">
        <x:v>0</x:v>
      </x:c>
      <x:c r="F2481" s="37" t="str">
        <x:v>46</x:v>
      </x:c>
      <x:c r="G2481" s="37" t="str">
        <x:v>354.96</x:v>
      </x:c>
      <x:c r="H2481" s="37" t="str">
        <x:v>0.00</x:v>
      </x:c>
      <x:c r="I2481" s="37" t="str">
        <x:v>305.77</x:v>
      </x:c>
      <x:c r="J2481" s="37" t="str">
        <x:v>0.00</x:v>
      </x:c>
      <x:c r="K2481" s="37" t="str">
        <x:v>49.19</x:v>
      </x:c>
      <x:c r="L2481" s="37" t="str">
        <x:v>693</x:v>
      </x:c>
      <x:c r="M2481" s="29" t="str">
        <x:v>338.28</x:v>
      </x:c>
      <x:c r="N2481" s="29" t="str">
        <x:v>244.97</x:v>
      </x:c>
      <x:c r="O2481" s="29" t="str">
        <x:v>93.31</x:v>
      </x:c>
      <x:c r="P2481" s="18" t="str">
        <x:v>2026-06-27</x:v>
      </x:c>
      <x:c r="Q2481" s="36" t="n">
        <x:v>46200</x:v>
      </x:c>
    </x:row>
    <x:row r="2482">
      <x:c r="A2482" s="36" t="str">
        <x:v>2026-06-27</x:v>
      </x:c>
      <x:c r="B2482" s="18" t="str">
        <x:v>101437000_72543</x:v>
      </x:c>
      <x:c r="C2482" s="18" t="str">
        <x:v>【沪村小电】叶家中心村小区充电站</x:v>
      </x:c>
      <x:c r="D2482" s="37" t="str">
        <x:v>2</x:v>
      </x:c>
      <x:c r="E2482" s="37" t="str">
        <x:v>0</x:v>
      </x:c>
      <x:c r="F2482" s="37" t="str">
        <x:v>45</x:v>
      </x:c>
      <x:c r="G2482" s="37" t="str">
        <x:v>1136.18</x:v>
      </x:c>
      <x:c r="H2482" s="37" t="str">
        <x:v>0.00</x:v>
      </x:c>
      <x:c r="I2482" s="37" t="str">
        <x:v>447.28</x:v>
      </x:c>
      <x:c r="J2482" s="37" t="str">
        <x:v>0.00</x:v>
      </x:c>
      <x:c r="K2482" s="37" t="str">
        <x:v>688.90</x:v>
      </x:c>
      <x:c r="L2482" s="37" t="str">
        <x:v>2149</x:v>
      </x:c>
      <x:c r="M2482" s="29" t="str">
        <x:v>835.14</x:v>
      </x:c>
      <x:c r="N2482" s="29" t="str">
        <x:v>592.76</x:v>
      </x:c>
      <x:c r="O2482" s="29" t="str">
        <x:v>242.38</x:v>
      </x:c>
      <x:c r="P2482" s="18" t="str">
        <x:v>2026-06-27</x:v>
      </x:c>
      <x:c r="Q2482" s="36" t="n">
        <x:v>46200</x:v>
      </x:c>
    </x:row>
    <x:row r="2483">
      <x:c r="A2483" s="36" t="str">
        <x:v>2026-06-27</x:v>
      </x:c>
      <x:c r="B2483" s="18" t="str">
        <x:v>101437000_72937</x:v>
      </x:c>
      <x:c r="C2483" s="18" t="str">
        <x:v>【沪村小电】佘北家园茸腾苑充电站</x:v>
      </x:c>
      <x:c r="D2483" s="37" t="str">
        <x:v>4</x:v>
      </x:c>
      <x:c r="E2483" s="37" t="str">
        <x:v>0</x:v>
      </x:c>
      <x:c r="F2483" s="37" t="str">
        <x:v>17</x:v>
      </x:c>
      <x:c r="G2483" s="37" t="str">
        <x:v>384.38</x:v>
      </x:c>
      <x:c r="H2483" s="37" t="str">
        <x:v>0.00</x:v>
      </x:c>
      <x:c r="I2483" s="37" t="str">
        <x:v>384.38</x:v>
      </x:c>
      <x:c r="J2483" s="37" t="str">
        <x:v>0.00</x:v>
      </x:c>
      <x:c r="K2483" s="37" t="str">
        <x:v>0.00</x:v>
      </x:c>
      <x:c r="L2483" s="37" t="str">
        <x:v>668</x:v>
      </x:c>
      <x:c r="M2483" s="29" t="str">
        <x:v>342.78</x:v>
      </x:c>
      <x:c r="N2483" s="29" t="str">
        <x:v>284.44</x:v>
      </x:c>
      <x:c r="O2483" s="29" t="str">
        <x:v>58.34</x:v>
      </x:c>
      <x:c r="P2483" s="18" t="str">
        <x:v>2026-06-27</x:v>
      </x:c>
      <x:c r="Q2483" s="36" t="n">
        <x:v>46200</x:v>
      </x:c>
    </x:row>
    <x:row r="2484">
      <x:c r="A2484" s="36" t="str">
        <x:v>2026-06-27</x:v>
      </x:c>
      <x:c r="B2484" s="18" t="str">
        <x:v>101437000_74223</x:v>
      </x:c>
      <x:c r="C2484" s="18" t="str">
        <x:v>【沪村小电】中兴村委会充电站</x:v>
      </x:c>
      <x:c r="D2484" s="37" t="str">
        <x:v>2</x:v>
      </x:c>
      <x:c r="E2484" s="37" t="str">
        <x:v>0</x:v>
      </x:c>
      <x:c r="F2484" s="37" t="str">
        <x:v>13</x:v>
      </x:c>
      <x:c r="G2484" s="37" t="str">
        <x:v>353.39</x:v>
      </x:c>
      <x:c r="H2484" s="37" t="str">
        <x:v>0.00</x:v>
      </x:c>
      <x:c r="I2484" s="37" t="str">
        <x:v>169.87</x:v>
      </x:c>
      <x:c r="J2484" s="37" t="str">
        <x:v>0.00</x:v>
      </x:c>
      <x:c r="K2484" s="37" t="str">
        <x:v>183.52</x:v>
      </x:c>
      <x:c r="L2484" s="37" t="str">
        <x:v>499</x:v>
      </x:c>
      <x:c r="M2484" s="29" t="str">
        <x:v>317.24</x:v>
      </x:c>
      <x:c r="N2484" s="29" t="str">
        <x:v>273.93</x:v>
      </x:c>
      <x:c r="O2484" s="29" t="str">
        <x:v>43.31</x:v>
      </x:c>
      <x:c r="P2484" s="18" t="str">
        <x:v>2026-06-27</x:v>
      </x:c>
      <x:c r="Q2484" s="36" t="n">
        <x:v>46200</x:v>
      </x:c>
    </x:row>
    <x:row r="2485">
      <x:c r="A2485" s="36" t="str">
        <x:v>2026-06-27</x:v>
      </x:c>
      <x:c r="B2485" s="18" t="str">
        <x:v>101437000_74801</x:v>
      </x:c>
      <x:c r="C2485" s="18" t="str">
        <x:v>【沪村小电】申良花园充电站</x:v>
      </x:c>
      <x:c r="D2485" s="37" t="str">
        <x:v>4</x:v>
      </x:c>
      <x:c r="E2485" s="37" t="str">
        <x:v>0</x:v>
      </x:c>
      <x:c r="F2485" s="37" t="str">
        <x:v>7</x:v>
      </x:c>
      <x:c r="G2485" s="37" t="str">
        <x:v>118.87</x:v>
      </x:c>
      <x:c r="H2485" s="37" t="str">
        <x:v>0.00</x:v>
      </x:c>
      <x:c r="I2485" s="37" t="str">
        <x:v>118.87</x:v>
      </x:c>
      <x:c r="J2485" s="37" t="str">
        <x:v>0.00</x:v>
      </x:c>
      <x:c r="K2485" s="37" t="str">
        <x:v>0.00</x:v>
      </x:c>
      <x:c r="L2485" s="37" t="str">
        <x:v>248</x:v>
      </x:c>
      <x:c r="M2485" s="29" t="str">
        <x:v>124.00</x:v>
      </x:c>
      <x:c r="N2485" s="29" t="str">
        <x:v>87.97</x:v>
      </x:c>
      <x:c r="O2485" s="29" t="str">
        <x:v>36.03</x:v>
      </x:c>
      <x:c r="P2485" s="18" t="str">
        <x:v>2026-06-27</x:v>
      </x:c>
      <x:c r="Q2485" s="36" t="n">
        <x:v>46200</x:v>
      </x:c>
    </x:row>
    <x:row r="2486">
      <x:c r="A2486" s="36" t="str">
        <x:v>2026-06-27</x:v>
      </x:c>
      <x:c r="B2486" s="18" t="str">
        <x:v>101437000_74931</x:v>
      </x:c>
      <x:c r="C2486" s="18" t="str">
        <x:v>【沪村小电】枫雅南居充电站</x:v>
      </x:c>
      <x:c r="D2486" s="37" t="str">
        <x:v>2</x:v>
      </x:c>
      <x:c r="E2486" s="37" t="str">
        <x:v>0</x:v>
      </x:c>
      <x:c r="F2486" s="37" t="str">
        <x:v>8</x:v>
      </x:c>
      <x:c r="G2486" s="37" t="str">
        <x:v>116.07</x:v>
      </x:c>
      <x:c r="H2486" s="37" t="str">
        <x:v>0.00</x:v>
      </x:c>
      <x:c r="I2486" s="37" t="str">
        <x:v>116.07</x:v>
      </x:c>
      <x:c r="J2486" s="37" t="str">
        <x:v>0.00</x:v>
      </x:c>
      <x:c r="K2486" s="37" t="str">
        <x:v>0.00</x:v>
      </x:c>
      <x:c r="L2486" s="37" t="str">
        <x:v>199</x:v>
      </x:c>
      <x:c r="M2486" s="29" t="str">
        <x:v>103.15</x:v>
      </x:c>
      <x:c r="N2486" s="29" t="str">
        <x:v>68.49</x:v>
      </x:c>
      <x:c r="O2486" s="29" t="str">
        <x:v>34.66</x:v>
      </x:c>
      <x:c r="P2486" s="18" t="str">
        <x:v>2026-06-27</x:v>
      </x:c>
      <x:c r="Q2486" s="36" t="n">
        <x:v>46200</x:v>
      </x:c>
    </x:row>
    <x:row r="2487">
      <x:c r="A2487" s="36" t="str">
        <x:v>2026-06-27</x:v>
      </x:c>
      <x:c r="B2487" s="18" t="str">
        <x:v>101437000_75901</x:v>
      </x:c>
      <x:c r="C2487" s="18" t="str">
        <x:v>【沪村小电】金悦学府</x:v>
      </x:c>
      <x:c r="D2487" s="37" t="str">
        <x:v>2</x:v>
      </x:c>
      <x:c r="E2487" s="37" t="str">
        <x:v>0</x:v>
      </x:c>
      <x:c r="F2487" s="37" t="str">
        <x:v>20</x:v>
      </x:c>
      <x:c r="G2487" s="37" t="str">
        <x:v>462.88</x:v>
      </x:c>
      <x:c r="H2487" s="37" t="str">
        <x:v>0.00</x:v>
      </x:c>
      <x:c r="I2487" s="37" t="str">
        <x:v>286.45</x:v>
      </x:c>
      <x:c r="J2487" s="37" t="str">
        <x:v>0.00</x:v>
      </x:c>
      <x:c r="K2487" s="37" t="str">
        <x:v>176.44</x:v>
      </x:c>
      <x:c r="L2487" s="37" t="str">
        <x:v>705</x:v>
      </x:c>
      <x:c r="M2487" s="29" t="str">
        <x:v>367.26</x:v>
      </x:c>
      <x:c r="N2487" s="29" t="str">
        <x:v>223.70</x:v>
      </x:c>
      <x:c r="O2487" s="29" t="str">
        <x:v>143.56</x:v>
      </x:c>
      <x:c r="P2487" s="18" t="str">
        <x:v>2026-06-27</x:v>
      </x:c>
      <x:c r="Q2487" s="36" t="n">
        <x:v>46200</x:v>
      </x:c>
    </x:row>
    <x:row r="2488">
      <x:c r="A2488" s="36" t="str">
        <x:v>2026-06-27</x:v>
      </x:c>
      <x:c r="B2488" s="18" t="str">
        <x:v>101437000_76091</x:v>
      </x:c>
      <x:c r="C2488" s="18" t="str">
        <x:v>【沪村小电】恒信家园充电站</x:v>
      </x:c>
      <x:c r="D2488" s="37" t="str">
        <x:v>2</x:v>
      </x:c>
      <x:c r="E2488" s="37" t="str">
        <x:v>0</x:v>
      </x:c>
      <x:c r="F2488" s="37" t="str">
        <x:v>68</x:v>
      </x:c>
      <x:c r="G2488" s="37" t="str">
        <x:v>1093.51</x:v>
      </x:c>
      <x:c r="H2488" s="37" t="str">
        <x:v>0.00</x:v>
      </x:c>
      <x:c r="I2488" s="37" t="str">
        <x:v>661.45</x:v>
      </x:c>
      <x:c r="J2488" s="37" t="str">
        <x:v>0.00</x:v>
      </x:c>
      <x:c r="K2488" s="37" t="str">
        <x:v>432.07</x:v>
      </x:c>
      <x:c r="L2488" s="37" t="str">
        <x:v>1774</x:v>
      </x:c>
      <x:c r="M2488" s="29" t="str">
        <x:v>1033.40</x:v>
      </x:c>
      <x:c r="N2488" s="29" t="str">
        <x:v>653.67</x:v>
      </x:c>
      <x:c r="O2488" s="29" t="str">
        <x:v>379.73</x:v>
      </x:c>
      <x:c r="P2488" s="18" t="str">
        <x:v>2026-06-27</x:v>
      </x:c>
      <x:c r="Q2488" s="36" t="n">
        <x:v>46200</x:v>
      </x:c>
    </x:row>
    <x:row r="2489">
      <x:c r="A2489" s="36" t="str">
        <x:v>2026-06-27</x:v>
      </x:c>
      <x:c r="B2489" s="18" t="str">
        <x:v>101437000_76417</x:v>
      </x:c>
      <x:c r="C2489" s="18" t="str">
        <x:v>【沪村小电】新春一组充电站</x:v>
      </x:c>
      <x:c r="D2489" s="37" t="str">
        <x:v>2</x:v>
      </x:c>
      <x:c r="E2489" s="37" t="str">
        <x:v>0</x:v>
      </x:c>
      <x:c r="F2489" s="37" t="str">
        <x:v>9</x:v>
      </x:c>
      <x:c r="G2489" s="37" t="str">
        <x:v>287.91</x:v>
      </x:c>
      <x:c r="H2489" s="37" t="str">
        <x:v>0.00</x:v>
      </x:c>
      <x:c r="I2489" s="37" t="str">
        <x:v>34.76</x:v>
      </x:c>
      <x:c r="J2489" s="37" t="str">
        <x:v>0.00</x:v>
      </x:c>
      <x:c r="K2489" s="37" t="str">
        <x:v>253.15</x:v>
      </x:c>
      <x:c r="L2489" s="37" t="str">
        <x:v>434</x:v>
      </x:c>
      <x:c r="M2489" s="29" t="str">
        <x:v>201.96</x:v>
      </x:c>
      <x:c r="N2489" s="29" t="str">
        <x:v>170.31</x:v>
      </x:c>
      <x:c r="O2489" s="29" t="str">
        <x:v>31.65</x:v>
      </x:c>
      <x:c r="P2489" s="18" t="str">
        <x:v>2026-06-27</x:v>
      </x:c>
      <x:c r="Q2489" s="36" t="n">
        <x:v>46200</x:v>
      </x:c>
    </x:row>
    <x:row r="2490">
      <x:c r="A2490" s="36" t="str">
        <x:v>2026-06-27</x:v>
      </x:c>
      <x:c r="B2490" s="18" t="str">
        <x:v>101437000_78235</x:v>
      </x:c>
      <x:c r="C2490" s="18" t="str">
        <x:v>【沪村小电】欣秋苑充电站</x:v>
      </x:c>
      <x:c r="D2490" s="37" t="str">
        <x:v>4</x:v>
      </x:c>
      <x:c r="E2490" s="37" t="str">
        <x:v>0</x:v>
      </x:c>
      <x:c r="F2490" s="37" t="str">
        <x:v>8</x:v>
      </x:c>
      <x:c r="G2490" s="37" t="str">
        <x:v>213.85</x:v>
      </x:c>
      <x:c r="H2490" s="37" t="str">
        <x:v>0.00</x:v>
      </x:c>
      <x:c r="I2490" s="37" t="str">
        <x:v>142.37</x:v>
      </x:c>
      <x:c r="J2490" s="37" t="str">
        <x:v>0.00</x:v>
      </x:c>
      <x:c r="K2490" s="37" t="str">
        <x:v>71.48</x:v>
      </x:c>
      <x:c r="L2490" s="37" t="str">
        <x:v>352</x:v>
      </x:c>
      <x:c r="M2490" s="29" t="str">
        <x:v>183.21</x:v>
      </x:c>
      <x:c r="N2490" s="29" t="str">
        <x:v>132.50</x:v>
      </x:c>
      <x:c r="O2490" s="29" t="str">
        <x:v>50.71</x:v>
      </x:c>
      <x:c r="P2490" s="18" t="str">
        <x:v>2026-06-27</x:v>
      </x:c>
      <x:c r="Q2490" s="36" t="n">
        <x:v>46200</x:v>
      </x:c>
    </x:row>
    <x:row r="2491">
      <x:c r="A2491" s="36" t="str">
        <x:v>2026-06-27</x:v>
      </x:c>
      <x:c r="B2491" s="18" t="str">
        <x:v>101437000_78237</x:v>
      </x:c>
      <x:c r="C2491" s="18" t="str">
        <x:v>【沪村小电】奉馨苑西门小区内北侧充电站</x:v>
      </x:c>
      <x:c r="D2491" s="37" t="str">
        <x:v>2</x:v>
      </x:c>
      <x:c r="E2491" s="37" t="str">
        <x:v>0</x:v>
      </x:c>
      <x:c r="F2491" s="37" t="str">
        <x:v>39</x:v>
      </x:c>
      <x:c r="G2491" s="37" t="str">
        <x:v>988.46</x:v>
      </x:c>
      <x:c r="H2491" s="37" t="str">
        <x:v>0.00</x:v>
      </x:c>
      <x:c r="I2491" s="37" t="str">
        <x:v>518.54</x:v>
      </x:c>
      <x:c r="J2491" s="37" t="str">
        <x:v>0.00</x:v>
      </x:c>
      <x:c r="K2491" s="37" t="str">
        <x:v>469.93</x:v>
      </x:c>
      <x:c r="L2491" s="37" t="str">
        <x:v>1629</x:v>
      </x:c>
      <x:c r="M2491" s="29" t="str">
        <x:v>824.37</x:v>
      </x:c>
      <x:c r="N2491" s="29" t="str">
        <x:v>562.27</x:v>
      </x:c>
      <x:c r="O2491" s="29" t="str">
        <x:v>262.10</x:v>
      </x:c>
      <x:c r="P2491" s="18" t="str">
        <x:v>2026-06-27</x:v>
      </x:c>
      <x:c r="Q2491" s="36" t="n">
        <x:v>46200</x:v>
      </x:c>
    </x:row>
    <x:row r="2492">
      <x:c r="A2492" s="36" t="str">
        <x:v>2026-06-27</x:v>
      </x:c>
      <x:c r="B2492" s="18" t="str">
        <x:v>101437000_78239</x:v>
      </x:c>
      <x:c r="C2492" s="18" t="str">
        <x:v>【沪村小电】恒大佘山首府东门充电站</x:v>
      </x:c>
      <x:c r="D2492" s="37" t="str">
        <x:v>2</x:v>
      </x:c>
      <x:c r="E2492" s="37" t="str">
        <x:v>0</x:v>
      </x:c>
      <x:c r="F2492" s="37" t="str">
        <x:v>39</x:v>
      </x:c>
      <x:c r="G2492" s="37" t="str">
        <x:v>1066.60</x:v>
      </x:c>
      <x:c r="H2492" s="37" t="str">
        <x:v>0.00</x:v>
      </x:c>
      <x:c r="I2492" s="37" t="str">
        <x:v>528.26</x:v>
      </x:c>
      <x:c r="J2492" s="37" t="str">
        <x:v>0.00</x:v>
      </x:c>
      <x:c r="K2492" s="37" t="str">
        <x:v>538.34</x:v>
      </x:c>
      <x:c r="L2492" s="37" t="str">
        <x:v>1569</x:v>
      </x:c>
      <x:c r="M2492" s="29" t="str">
        <x:v>787.95</x:v>
      </x:c>
      <x:c r="N2492" s="29" t="str">
        <x:v>595.48</x:v>
      </x:c>
      <x:c r="O2492" s="29" t="str">
        <x:v>192.47</x:v>
      </x:c>
      <x:c r="P2492" s="18" t="str">
        <x:v>2026-06-27</x:v>
      </x:c>
      <x:c r="Q2492" s="36" t="n">
        <x:v>46200</x:v>
      </x:c>
    </x:row>
    <x:row r="2493">
      <x:c r="A2493" s="36" t="str">
        <x:v>2026-06-27</x:v>
      </x:c>
      <x:c r="B2493" s="18" t="str">
        <x:v>101437000_80823</x:v>
      </x:c>
      <x:c r="C2493" s="18" t="str">
        <x:v>【沪村小电】上湖轩充电站</x:v>
      </x:c>
      <x:c r="D2493" s="37" t="str">
        <x:v>2</x:v>
      </x:c>
      <x:c r="E2493" s="37" t="str">
        <x:v>0</x:v>
      </x:c>
      <x:c r="F2493" s="37" t="str">
        <x:v>7</x:v>
      </x:c>
      <x:c r="G2493" s="37" t="str">
        <x:v>244.09</x:v>
      </x:c>
      <x:c r="H2493" s="37" t="str">
        <x:v>0.00</x:v>
      </x:c>
      <x:c r="I2493" s="37" t="str">
        <x:v>196.05</x:v>
      </x:c>
      <x:c r="J2493" s="37" t="str">
        <x:v>0.00</x:v>
      </x:c>
      <x:c r="K2493" s="37" t="str">
        <x:v>48.05</x:v>
      </x:c>
      <x:c r="L2493" s="37" t="str">
        <x:v>228</x:v>
      </x:c>
      <x:c r="M2493" s="29" t="str">
        <x:v>225.51</x:v>
      </x:c>
      <x:c r="N2493" s="29" t="str">
        <x:v>172.77</x:v>
      </x:c>
      <x:c r="O2493" s="29" t="str">
        <x:v>52.74</x:v>
      </x:c>
      <x:c r="P2493" s="18" t="str">
        <x:v>2026-06-27</x:v>
      </x:c>
      <x:c r="Q2493" s="36" t="n">
        <x:v>46200</x:v>
      </x:c>
    </x:row>
    <x:row r="2494">
      <x:c r="A2494" s="36" t="str">
        <x:v>2026-06-27</x:v>
      </x:c>
      <x:c r="B2494" s="18" t="str">
        <x:v>101437000_83019</x:v>
      </x:c>
      <x:c r="C2494" s="18" t="str">
        <x:v>【沪村小电】首创禧瑞云启东区充电站</x:v>
      </x:c>
      <x:c r="D2494" s="37" t="str">
        <x:v>2</x:v>
      </x:c>
      <x:c r="E2494" s="37" t="str">
        <x:v>0</x:v>
      </x:c>
      <x:c r="F2494" s="37" t="str">
        <x:v>44</x:v>
      </x:c>
      <x:c r="G2494" s="37" t="str">
        <x:v>1097.76</x:v>
      </x:c>
      <x:c r="H2494" s="37" t="str">
        <x:v>0.00</x:v>
      </x:c>
      <x:c r="I2494" s="37" t="str">
        <x:v>783.31</x:v>
      </x:c>
      <x:c r="J2494" s="37" t="str">
        <x:v>0.00</x:v>
      </x:c>
      <x:c r="K2494" s="37" t="str">
        <x:v>314.46</x:v>
      </x:c>
      <x:c r="L2494" s="37" t="str">
        <x:v>1411</x:v>
      </x:c>
      <x:c r="M2494" s="29" t="str">
        <x:v>977.02</x:v>
      </x:c>
      <x:c r="N2494" s="29" t="str">
        <x:v>653.67</x:v>
      </x:c>
      <x:c r="O2494" s="29" t="str">
        <x:v>323.35</x:v>
      </x:c>
      <x:c r="P2494" s="18" t="str">
        <x:v>2026-06-27</x:v>
      </x:c>
      <x:c r="Q2494" s="36" t="n">
        <x:v>46200</x:v>
      </x:c>
    </x:row>
    <x:row r="2495">
      <x:c r="A2495" s="36" t="str">
        <x:v>2026-06-27</x:v>
      </x:c>
      <x:c r="B2495" s="18" t="str">
        <x:v>101437000_83093</x:v>
      </x:c>
      <x:c r="C2495" s="18" t="str">
        <x:v>【沪村小电】金茂未来时光里</x:v>
      </x:c>
      <x:c r="D2495" s="37" t="str">
        <x:v>2</x:v>
      </x:c>
      <x:c r="E2495" s="37" t="str">
        <x:v>0</x:v>
      </x:c>
      <x:c r="F2495" s="37" t="str">
        <x:v>34</x:v>
      </x:c>
      <x:c r="G2495" s="37" t="str">
        <x:v>918.04</x:v>
      </x:c>
      <x:c r="H2495" s="37" t="str">
        <x:v>0.00</x:v>
      </x:c>
      <x:c r="I2495" s="37" t="str">
        <x:v>492.58</x:v>
      </x:c>
      <x:c r="J2495" s="37" t="str">
        <x:v>0.00</x:v>
      </x:c>
      <x:c r="K2495" s="37" t="str">
        <x:v>425.46</x:v>
      </x:c>
      <x:c r="L2495" s="37" t="str">
        <x:v>1374</x:v>
      </x:c>
      <x:c r="M2495" s="29" t="str">
        <x:v>623.73</x:v>
      </x:c>
      <x:c r="N2495" s="29" t="str">
        <x:v>422.48</x:v>
      </x:c>
      <x:c r="O2495" s="29" t="str">
        <x:v>201.25</x:v>
      </x:c>
      <x:c r="P2495" s="18" t="str">
        <x:v>2026-06-27</x:v>
      </x:c>
      <x:c r="Q2495" s="36" t="n">
        <x:v>46200</x:v>
      </x:c>
    </x:row>
    <x:row r="2496">
      <x:c r="A2496" s="36" t="str">
        <x:v>2026-06-27</x:v>
      </x:c>
      <x:c r="B2496" s="18" t="str">
        <x:v>101437000_83911</x:v>
      </x:c>
      <x:c r="C2496" s="18" t="str">
        <x:v>【沪村小电】金瀚园充电站</x:v>
      </x:c>
      <x:c r="D2496" s="37" t="str">
        <x:v>2</x:v>
      </x:c>
      <x:c r="E2496" s="37" t="str">
        <x:v>0</x:v>
      </x:c>
      <x:c r="F2496" s="37" t="str">
        <x:v>37</x:v>
      </x:c>
      <x:c r="G2496" s="37" t="str">
        <x:v>946.62</x:v>
      </x:c>
      <x:c r="H2496" s="37" t="str">
        <x:v>0.00</x:v>
      </x:c>
      <x:c r="I2496" s="37" t="str">
        <x:v>571.80</x:v>
      </x:c>
      <x:c r="J2496" s="37" t="str">
        <x:v>0.00</x:v>
      </x:c>
      <x:c r="K2496" s="37" t="str">
        <x:v>374.83</x:v>
      </x:c>
      <x:c r="L2496" s="37" t="str">
        <x:v>1465</x:v>
      </x:c>
      <x:c r="M2496" s="29" t="str">
        <x:v>927.03</x:v>
      </x:c>
      <x:c r="N2496" s="29" t="str">
        <x:v>565.56</x:v>
      </x:c>
      <x:c r="O2496" s="29" t="str">
        <x:v>361.47</x:v>
      </x:c>
      <x:c r="P2496" s="18" t="str">
        <x:v>2026-06-27</x:v>
      </x:c>
      <x:c r="Q2496" s="36" t="n">
        <x:v>46200</x:v>
      </x:c>
    </x:row>
    <x:row r="2497">
      <x:c r="A2497" s="36" t="str">
        <x:v>2026-06-27</x:v>
      </x:c>
      <x:c r="B2497" s="18" t="str">
        <x:v>101437000_83913</x:v>
      </x:c>
      <x:c r="C2497" s="18" t="str">
        <x:v>【沪村小电】新黎村充电站</x:v>
      </x:c>
      <x:c r="D2497" s="37" t="str">
        <x:v>2</x:v>
      </x:c>
      <x:c r="E2497" s="37" t="str">
        <x:v>0</x:v>
      </x:c>
      <x:c r="F2497" s="37" t="str">
        <x:v>33</x:v>
      </x:c>
      <x:c r="G2497" s="37" t="str">
        <x:v>838.03</x:v>
      </x:c>
      <x:c r="H2497" s="37" t="str">
        <x:v>0.00</x:v>
      </x:c>
      <x:c r="I2497" s="37" t="str">
        <x:v>548.43</x:v>
      </x:c>
      <x:c r="J2497" s="37" t="str">
        <x:v>0.00</x:v>
      </x:c>
      <x:c r="K2497" s="37" t="str">
        <x:v>289.61</x:v>
      </x:c>
      <x:c r="L2497" s="37" t="str">
        <x:v>1182</x:v>
      </x:c>
      <x:c r="M2497" s="29" t="str">
        <x:v>865.63</x:v>
      </x:c>
      <x:c r="N2497" s="29" t="str">
        <x:v>723.86</x:v>
      </x:c>
      <x:c r="O2497" s="29" t="str">
        <x:v>141.77</x:v>
      </x:c>
      <x:c r="P2497" s="18" t="str">
        <x:v>2026-06-27</x:v>
      </x:c>
      <x:c r="Q2497" s="36" t="n">
        <x:v>46200</x:v>
      </x:c>
    </x:row>
    <x:row r="2498">
      <x:c r="A2498" s="36" t="str">
        <x:v>2026-06-27</x:v>
      </x:c>
      <x:c r="B2498" s="18" t="str">
        <x:v>101437000_83915</x:v>
      </x:c>
      <x:c r="C2498" s="18" t="str">
        <x:v>【沪村小电】长泰西郊别墅充电站</x:v>
      </x:c>
      <x:c r="D2498" s="37" t="str">
        <x:v>2</x:v>
      </x:c>
      <x:c r="E2498" s="37" t="str">
        <x:v>0</x:v>
      </x:c>
      <x:c r="F2498" s="37" t="str">
        <x:v>14</x:v>
      </x:c>
      <x:c r="G2498" s="37" t="str">
        <x:v>367.54</x:v>
      </x:c>
      <x:c r="H2498" s="37" t="str">
        <x:v>0.00</x:v>
      </x:c>
      <x:c r="I2498" s="37" t="str">
        <x:v>272.32</x:v>
      </x:c>
      <x:c r="J2498" s="37" t="str">
        <x:v>0.00</x:v>
      </x:c>
      <x:c r="K2498" s="37" t="str">
        <x:v>95.22</x:v>
      </x:c>
      <x:c r="L2498" s="37" t="str">
        <x:v>477</x:v>
      </x:c>
      <x:c r="M2498" s="29" t="str">
        <x:v>336.06</x:v>
      </x:c>
      <x:c r="N2498" s="29" t="str">
        <x:v>237.69</x:v>
      </x:c>
      <x:c r="O2498" s="29" t="str">
        <x:v>98.37</x:v>
      </x:c>
      <x:c r="P2498" s="18" t="str">
        <x:v>2026-06-27</x:v>
      </x:c>
      <x:c r="Q2498" s="36" t="n">
        <x:v>46200</x:v>
      </x:c>
    </x:row>
    <x:row r="2499">
      <x:c r="A2499" s="36" t="str">
        <x:v>2026-06-27</x:v>
      </x:c>
      <x:c r="B2499" s="18" t="str">
        <x:v>101437000_83917</x:v>
      </x:c>
      <x:c r="C2499" s="18" t="str">
        <x:v>【沪村小电】旭新华庭充电站</x:v>
      </x:c>
      <x:c r="D2499" s="37" t="str">
        <x:v>4</x:v>
      </x:c>
      <x:c r="E2499" s="37" t="str">
        <x:v>0</x:v>
      </x:c>
      <x:c r="F2499" s="37" t="str">
        <x:v>24</x:v>
      </x:c>
      <x:c r="G2499" s="37" t="str">
        <x:v>699.45</x:v>
      </x:c>
      <x:c r="H2499" s="37" t="str">
        <x:v>0.00</x:v>
      </x:c>
      <x:c r="I2499" s="37" t="str">
        <x:v>495.92</x:v>
      </x:c>
      <x:c r="J2499" s="37" t="str">
        <x:v>0.00</x:v>
      </x:c>
      <x:c r="K2499" s="37" t="str">
        <x:v>203.53</x:v>
      </x:c>
      <x:c r="L2499" s="37" t="str">
        <x:v>1075</x:v>
      </x:c>
      <x:c r="M2499" s="29" t="str">
        <x:v>695.29</x:v>
      </x:c>
      <x:c r="N2499" s="29" t="str">
        <x:v>444.32</x:v>
      </x:c>
      <x:c r="O2499" s="29" t="str">
        <x:v>250.97</x:v>
      </x:c>
      <x:c r="P2499" s="18" t="str">
        <x:v>2026-06-27</x:v>
      </x:c>
      <x:c r="Q2499" s="36" t="n">
        <x:v>46200</x:v>
      </x:c>
    </x:row>
    <x:row r="2500">
      <x:c r="A2500" s="36" t="str">
        <x:v>2026-06-27</x:v>
      </x:c>
      <x:c r="B2500" s="18" t="str">
        <x:v>101437000_83919</x:v>
      </x:c>
      <x:c r="C2500" s="18" t="str">
        <x:v>【沪村小电】浦锦名仕嘉园充电站</x:v>
      </x:c>
      <x:c r="D2500" s="37" t="str">
        <x:v>4</x:v>
      </x:c>
      <x:c r="E2500" s="37" t="str">
        <x:v>0</x:v>
      </x:c>
      <x:c r="F2500" s="37" t="str">
        <x:v>32</x:v>
      </x:c>
      <x:c r="G2500" s="37" t="str">
        <x:v>911.99</x:v>
      </x:c>
      <x:c r="H2500" s="37" t="str">
        <x:v>0.00</x:v>
      </x:c>
      <x:c r="I2500" s="37" t="str">
        <x:v>0.00</x:v>
      </x:c>
      <x:c r="J2500" s="37" t="str">
        <x:v>911.99</x:v>
      </x:c>
      <x:c r="K2500" s="37" t="str">
        <x:v>0.00</x:v>
      </x:c>
      <x:c r="L2500" s="37" t="str">
        <x:v>1322</x:v>
      </x:c>
      <x:c r="M2500" s="29" t="str">
        <x:v>871.27</x:v>
      </x:c>
      <x:c r="N2500" s="29" t="str">
        <x:v>583.67</x:v>
      </x:c>
      <x:c r="O2500" s="29" t="str">
        <x:v>287.60</x:v>
      </x:c>
      <x:c r="P2500" s="18" t="str">
        <x:v>2026-06-27</x:v>
      </x:c>
      <x:c r="Q2500" s="36" t="n">
        <x:v>46200</x:v>
      </x:c>
    </x:row>
    <x:row r="2501">
      <x:c r="A2501" s="36" t="str">
        <x:v>2026-06-27</x:v>
      </x:c>
      <x:c r="B2501" s="18" t="str">
        <x:v>101437000_83921</x:v>
      </x:c>
      <x:c r="C2501" s="18" t="str">
        <x:v>【沪村小电】上海联怡枇杷乐园充电站（地库）</x:v>
      </x:c>
      <x:c r="D2501" s="37" t="str">
        <x:v>8</x:v>
      </x:c>
      <x:c r="E2501" s="37" t="str">
        <x:v>0</x:v>
      </x:c>
      <x:c r="F2501" s="37" t="str">
        <x:v>7</x:v>
      </x:c>
      <x:c r="G2501" s="37" t="str">
        <x:v>141.90</x:v>
      </x:c>
      <x:c r="H2501" s="37" t="str">
        <x:v>0.00</x:v>
      </x:c>
      <x:c r="I2501" s="37" t="str">
        <x:v>73.11</x:v>
      </x:c>
      <x:c r="J2501" s="37" t="str">
        <x:v>0.00</x:v>
      </x:c>
      <x:c r="K2501" s="37" t="str">
        <x:v>68.79</x:v>
      </x:c>
      <x:c r="L2501" s="37" t="str">
        <x:v>204</x:v>
      </x:c>
      <x:c r="M2501" s="29" t="str">
        <x:v>132.55</x:v>
      </x:c>
      <x:c r="N2501" s="29" t="str">
        <x:v>112.49</x:v>
      </x:c>
      <x:c r="O2501" s="29" t="str">
        <x:v>20.06</x:v>
      </x:c>
      <x:c r="P2501" s="18" t="str">
        <x:v>2026-06-27</x:v>
      </x:c>
      <x:c r="Q2501" s="36" t="n">
        <x:v>46200</x:v>
      </x:c>
    </x:row>
    <x:row r="2502">
      <x:c r="A2502" s="36" t="str">
        <x:v>2026-06-27</x:v>
      </x:c>
      <x:c r="B2502" s="18" t="str">
        <x:v>101437000_83923</x:v>
      </x:c>
      <x:c r="C2502" s="18" t="str">
        <x:v>【沪村小电】明珠新苑充电站</x:v>
      </x:c>
      <x:c r="D2502" s="37" t="str">
        <x:v>2</x:v>
      </x:c>
      <x:c r="E2502" s="37" t="str">
        <x:v>0</x:v>
      </x:c>
      <x:c r="F2502" s="37" t="str">
        <x:v>38</x:v>
      </x:c>
      <x:c r="G2502" s="37" t="str">
        <x:v>904.11</x:v>
      </x:c>
      <x:c r="H2502" s="37" t="str">
        <x:v>0.00</x:v>
      </x:c>
      <x:c r="I2502" s="37" t="str">
        <x:v>639.45</x:v>
      </x:c>
      <x:c r="J2502" s="37" t="str">
        <x:v>0.00</x:v>
      </x:c>
      <x:c r="K2502" s="37" t="str">
        <x:v>264.66</x:v>
      </x:c>
      <x:c r="L2502" s="37" t="str">
        <x:v>1450</x:v>
      </x:c>
      <x:c r="M2502" s="29" t="str">
        <x:v>814.43</x:v>
      </x:c>
      <x:c r="N2502" s="29" t="str">
        <x:v>573.76</x:v>
      </x:c>
      <x:c r="O2502" s="29" t="str">
        <x:v>240.67</x:v>
      </x:c>
      <x:c r="P2502" s="18" t="str">
        <x:v>2026-06-27</x:v>
      </x:c>
      <x:c r="Q2502" s="36" t="n">
        <x:v>46200</x:v>
      </x:c>
    </x:row>
    <x:row r="2503">
      <x:c r="A2503" s="36" t="str">
        <x:v>2026-06-27</x:v>
      </x:c>
      <x:c r="B2503" s="18" t="str">
        <x:v>101437000_84289</x:v>
      </x:c>
      <x:c r="C2503" s="18" t="str">
        <x:v>【沪村小电】铁建芳华苑充电站</x:v>
      </x:c>
      <x:c r="D2503" s="37" t="str">
        <x:v>4</x:v>
      </x:c>
      <x:c r="E2503" s="37" t="str">
        <x:v>0</x:v>
      </x:c>
      <x:c r="F2503" s="37" t="str">
        <x:v>34</x:v>
      </x:c>
      <x:c r="G2503" s="37" t="str">
        <x:v>1074.27</x:v>
      </x:c>
      <x:c r="H2503" s="37" t="str">
        <x:v>0.00</x:v>
      </x:c>
      <x:c r="I2503" s="37" t="str">
        <x:v>682.43</x:v>
      </x:c>
      <x:c r="J2503" s="37" t="str">
        <x:v>0.00</x:v>
      </x:c>
      <x:c r="K2503" s="37" t="str">
        <x:v>391.84</x:v>
      </x:c>
      <x:c r="L2503" s="37" t="str">
        <x:v>1705</x:v>
      </x:c>
      <x:c r="M2503" s="29" t="str">
        <x:v>907.82</x:v>
      </x:c>
      <x:c r="N2503" s="29" t="str">
        <x:v>653.93</x:v>
      </x:c>
      <x:c r="O2503" s="29" t="str">
        <x:v>253.89</x:v>
      </x:c>
      <x:c r="P2503" s="18" t="str">
        <x:v>2026-06-27</x:v>
      </x:c>
      <x:c r="Q2503" s="36" t="n">
        <x:v>46200</x:v>
      </x:c>
    </x:row>
    <x:row r="2504">
      <x:c r="A2504" s="36" t="str">
        <x:v>2026-06-27</x:v>
      </x:c>
      <x:c r="B2504" s="18" t="str">
        <x:v>101437000_86379</x:v>
      </x:c>
      <x:c r="C2504" s="18" t="str">
        <x:v>【沪村小电】新宝社区充电站</x:v>
      </x:c>
      <x:c r="D2504" s="37" t="str">
        <x:v>4</x:v>
      </x:c>
      <x:c r="E2504" s="37" t="str">
        <x:v>0</x:v>
      </x:c>
      <x:c r="F2504" s="37" t="str">
        <x:v>15</x:v>
      </x:c>
      <x:c r="G2504" s="37" t="str">
        <x:v>412.20</x:v>
      </x:c>
      <x:c r="H2504" s="37" t="str">
        <x:v>0.00</x:v>
      </x:c>
      <x:c r="I2504" s="37" t="str">
        <x:v>156.22</x:v>
      </x:c>
      <x:c r="J2504" s="37" t="str">
        <x:v>0.00</x:v>
      </x:c>
      <x:c r="K2504" s="37" t="str">
        <x:v>255.98</x:v>
      </x:c>
      <x:c r="L2504" s="37" t="str">
        <x:v>757</x:v>
      </x:c>
      <x:c r="M2504" s="29" t="str">
        <x:v>320.73</x:v>
      </x:c>
      <x:c r="N2504" s="29" t="str">
        <x:v>212.89</x:v>
      </x:c>
      <x:c r="O2504" s="29" t="str">
        <x:v>107.84</x:v>
      </x:c>
      <x:c r="P2504" s="18" t="str">
        <x:v>2026-06-27</x:v>
      </x:c>
      <x:c r="Q2504" s="36" t="n">
        <x:v>46200</x:v>
      </x:c>
    </x:row>
    <x:row r="2505">
      <x:c r="A2505" s="36" t="str">
        <x:v>2026-06-27</x:v>
      </x:c>
      <x:c r="B2505" s="18" t="str">
        <x:v>101437000_89441</x:v>
      </x:c>
      <x:c r="C2505" s="18" t="str">
        <x:v>【沪村小电】首创禧瑞云启西区充电站</x:v>
      </x:c>
      <x:c r="D2505" s="37" t="str">
        <x:v>2</x:v>
      </x:c>
      <x:c r="E2505" s="37" t="str">
        <x:v>0</x:v>
      </x:c>
      <x:c r="F2505" s="37" t="str">
        <x:v>22</x:v>
      </x:c>
      <x:c r="G2505" s="37" t="str">
        <x:v>489.76</x:v>
      </x:c>
      <x:c r="H2505" s="37" t="str">
        <x:v>0.00</x:v>
      </x:c>
      <x:c r="I2505" s="37" t="str">
        <x:v>431.98</x:v>
      </x:c>
      <x:c r="J2505" s="37" t="str">
        <x:v>0.00</x:v>
      </x:c>
      <x:c r="K2505" s="37" t="str">
        <x:v>57.78</x:v>
      </x:c>
      <x:c r="L2505" s="37" t="str">
        <x:v>745</x:v>
      </x:c>
      <x:c r="M2505" s="29" t="str">
        <x:v>429.56</x:v>
      </x:c>
      <x:c r="N2505" s="29" t="str">
        <x:v>318.85</x:v>
      </x:c>
      <x:c r="O2505" s="29" t="str">
        <x:v>110.71</x:v>
      </x:c>
      <x:c r="P2505" s="18" t="str">
        <x:v>2026-06-27</x:v>
      </x:c>
      <x:c r="Q2505" s="36" t="n">
        <x:v>46200</x:v>
      </x:c>
    </x:row>
    <x:row r="2506">
      <x:c r="A2506" s="36" t="str">
        <x:v>2026-06-27</x:v>
      </x:c>
      <x:c r="B2506" s="18" t="str">
        <x:v>101437000_89443</x:v>
      </x:c>
      <x:c r="C2506" s="18" t="str">
        <x:v>【沪村小电】玉兰清苑二期充电站</x:v>
      </x:c>
      <x:c r="D2506" s="37" t="str">
        <x:v>2</x:v>
      </x:c>
      <x:c r="E2506" s="37" t="str">
        <x:v>0</x:v>
      </x:c>
      <x:c r="F2506" s="37" t="str">
        <x:v>28</x:v>
      </x:c>
      <x:c r="G2506" s="37" t="str">
        <x:v>478.90</x:v>
      </x:c>
      <x:c r="H2506" s="37" t="str">
        <x:v>0.00</x:v>
      </x:c>
      <x:c r="I2506" s="37" t="str">
        <x:v>359.15</x:v>
      </x:c>
      <x:c r="J2506" s="37" t="str">
        <x:v>0.00</x:v>
      </x:c>
      <x:c r="K2506" s="37" t="str">
        <x:v>119.76</x:v>
      </x:c>
      <x:c r="L2506" s="37" t="str">
        <x:v>783</x:v>
      </x:c>
      <x:c r="M2506" s="29" t="str">
        <x:v>427.64</x:v>
      </x:c>
      <x:c r="N2506" s="29" t="str">
        <x:v>311.28</x:v>
      </x:c>
      <x:c r="O2506" s="29" t="str">
        <x:v>116.36</x:v>
      </x:c>
      <x:c r="P2506" s="18" t="str">
        <x:v>2026-06-27</x:v>
      </x:c>
      <x:c r="Q2506" s="36" t="n">
        <x:v>46200</x:v>
      </x:c>
    </x:row>
    <x:row r="2507">
      <x:c r="A2507" s="36" t="str">
        <x:v>2026-06-27</x:v>
      </x:c>
      <x:c r="B2507" s="18" t="str">
        <x:v>101437000_93115</x:v>
      </x:c>
      <x:c r="C2507" s="18" t="str">
        <x:v>【沪村小电】新南家园西北门</x:v>
      </x:c>
      <x:c r="D2507" s="37" t="str">
        <x:v>2</x:v>
      </x:c>
      <x:c r="E2507" s="37" t="str">
        <x:v>0</x:v>
      </x:c>
      <x:c r="F2507" s="37" t="str">
        <x:v>23</x:v>
      </x:c>
      <x:c r="G2507" s="37" t="str">
        <x:v>452.34</x:v>
      </x:c>
      <x:c r="H2507" s="37" t="str">
        <x:v>0.00</x:v>
      </x:c>
      <x:c r="I2507" s="37" t="str">
        <x:v>315.64</x:v>
      </x:c>
      <x:c r="J2507" s="37" t="str">
        <x:v>0.00</x:v>
      </x:c>
      <x:c r="K2507" s="37" t="str">
        <x:v>136.70</x:v>
      </x:c>
      <x:c r="L2507" s="37" t="str">
        <x:v>699</x:v>
      </x:c>
      <x:c r="M2507" s="29" t="str">
        <x:v>388.00</x:v>
      </x:c>
      <x:c r="N2507" s="29" t="str">
        <x:v>267.02</x:v>
      </x:c>
      <x:c r="O2507" s="29" t="str">
        <x:v>120.98</x:v>
      </x:c>
      <x:c r="P2507" s="18" t="str">
        <x:v>2026-06-27</x:v>
      </x:c>
      <x:c r="Q2507" s="36" t="n">
        <x:v>46200</x:v>
      </x:c>
    </x:row>
    <x:row r="2508">
      <x:c r="A2508" s="36" t="str">
        <x:v>2026-06-27</x:v>
      </x:c>
      <x:c r="B2508" s="18" t="str">
        <x:v>101437000_94649</x:v>
      </x:c>
      <x:c r="C2508" s="18" t="str">
        <x:v>【沪村小电】浪琴水岸花园</x:v>
      </x:c>
      <x:c r="D2508" s="37" t="str">
        <x:v>4</x:v>
      </x:c>
      <x:c r="E2508" s="37" t="str">
        <x:v>0</x:v>
      </x:c>
      <x:c r="F2508" s="37" t="str">
        <x:v>18</x:v>
      </x:c>
      <x:c r="G2508" s="37" t="str">
        <x:v>502.57</x:v>
      </x:c>
      <x:c r="H2508" s="37" t="str">
        <x:v>0.00</x:v>
      </x:c>
      <x:c r="I2508" s="37" t="str">
        <x:v>203.43</x:v>
      </x:c>
      <x:c r="J2508" s="37" t="str">
        <x:v>0.00</x:v>
      </x:c>
      <x:c r="K2508" s="37" t="str">
        <x:v>299.13</x:v>
      </x:c>
      <x:c r="L2508" s="37" t="str">
        <x:v>847</x:v>
      </x:c>
      <x:c r="M2508" s="29" t="str">
        <x:v>370.15</x:v>
      </x:c>
      <x:c r="N2508" s="29" t="str">
        <x:v>248.07</x:v>
      </x:c>
      <x:c r="O2508" s="29" t="str">
        <x:v>122.08</x:v>
      </x:c>
      <x:c r="P2508" s="18" t="str">
        <x:v>2026-06-27</x:v>
      </x:c>
      <x:c r="Q2508" s="36" t="n">
        <x:v>46200</x:v>
      </x:c>
    </x:row>
    <x:row r="2509">
      <x:c r="A2509" s="36" t="str">
        <x:v>2026-06-27</x:v>
      </x:c>
      <x:c r="B2509" s="18" t="str">
        <x:v>101437000_95077</x:v>
      </x:c>
      <x:c r="C2509" s="18" t="str">
        <x:v>【沪村小电】民乐城惠益绿苑255弄充电站</x:v>
      </x:c>
      <x:c r="D2509" s="37" t="str">
        <x:v>2</x:v>
      </x:c>
      <x:c r="E2509" s="37" t="str">
        <x:v>0</x:v>
      </x:c>
      <x:c r="F2509" s="37" t="str">
        <x:v>4</x:v>
      </x:c>
      <x:c r="G2509" s="37" t="str">
        <x:v>123.42</x:v>
      </x:c>
      <x:c r="H2509" s="37" t="str">
        <x:v>0.00</x:v>
      </x:c>
      <x:c r="I2509" s="37" t="str">
        <x:v>100.68</x:v>
      </x:c>
      <x:c r="J2509" s="37" t="str">
        <x:v>0.00</x:v>
      </x:c>
      <x:c r="K2509" s="37" t="str">
        <x:v>22.74</x:v>
      </x:c>
      <x:c r="L2509" s="37" t="str">
        <x:v>165</x:v>
      </x:c>
      <x:c r="M2509" s="29" t="str">
        <x:v>111.94</x:v>
      </x:c>
      <x:c r="N2509" s="29" t="str">
        <x:v>83.14</x:v>
      </x:c>
      <x:c r="O2509" s="29" t="str">
        <x:v>28.80</x:v>
      </x:c>
      <x:c r="P2509" s="18" t="str">
        <x:v>2026-06-27</x:v>
      </x:c>
      <x:c r="Q2509" s="36" t="n">
        <x:v>46200</x:v>
      </x:c>
    </x:row>
    <x:row r="2510">
      <x:c r="A2510" s="36" t="str">
        <x:v>2026-06-27</x:v>
      </x:c>
      <x:c r="B2510" s="18" t="str">
        <x:v>101437000_95079</x:v>
      </x:c>
      <x:c r="C2510" s="18" t="str">
        <x:v>【沪村小电】民乐城惠益绿苑东苑充电站</x:v>
      </x:c>
      <x:c r="D2510" s="37" t="str">
        <x:v>2</x:v>
      </x:c>
      <x:c r="E2510" s="37" t="str">
        <x:v>0</x:v>
      </x:c>
      <x:c r="F2510" s="37" t="str">
        <x:v>5</x:v>
      </x:c>
      <x:c r="G2510" s="37" t="str">
        <x:v>147.14</x:v>
      </x:c>
      <x:c r="H2510" s="37" t="str">
        <x:v>0.00</x:v>
      </x:c>
      <x:c r="I2510" s="37" t="str">
        <x:v>122.82</x:v>
      </x:c>
      <x:c r="J2510" s="37" t="str">
        <x:v>0.00</x:v>
      </x:c>
      <x:c r="K2510" s="37" t="str">
        <x:v>24.32</x:v>
      </x:c>
      <x:c r="L2510" s="37" t="str">
        <x:v>182</x:v>
      </x:c>
      <x:c r="M2510" s="29" t="str">
        <x:v>148.88</x:v>
      </x:c>
      <x:c r="N2510" s="29" t="str">
        <x:v>93.50</x:v>
      </x:c>
      <x:c r="O2510" s="29" t="str">
        <x:v>55.38</x:v>
      </x:c>
      <x:c r="P2510" s="18" t="str">
        <x:v>2026-06-27</x:v>
      </x:c>
      <x:c r="Q2510" s="36" t="n">
        <x:v>46200</x:v>
      </x:c>
    </x:row>
    <x:row r="2511">
      <x:c r="A2511" s="36" t="str">
        <x:v>2026-06-27</x:v>
      </x:c>
      <x:c r="B2511" s="18" t="str">
        <x:v>101437000_95081</x:v>
      </x:c>
      <x:c r="C2511" s="18" t="str">
        <x:v>【沪村小电】民乐城惠益绿苑西苑充电站</x:v>
      </x:c>
      <x:c r="D2511" s="37" t="str">
        <x:v>2</x:v>
      </x:c>
      <x:c r="E2511" s="37" t="str">
        <x:v>0</x:v>
      </x:c>
      <x:c r="F2511" s="37" t="str">
        <x:v>1</x:v>
      </x:c>
      <x:c r="G2511" s="37" t="str">
        <x:v>27.26</x:v>
      </x:c>
      <x:c r="H2511" s="37" t="str">
        <x:v>0.00</x:v>
      </x:c>
      <x:c r="I2511" s="37" t="str">
        <x:v>27.26</x:v>
      </x:c>
      <x:c r="J2511" s="37" t="str">
        <x:v>0.00</x:v>
      </x:c>
      <x:c r="K2511" s="37" t="str">
        <x:v>0.00</x:v>
      </x:c>
      <x:c r="L2511" s="37" t="str">
        <x:v>33</x:v>
      </x:c>
      <x:c r="M2511" s="29" t="str">
        <x:v>23.17</x:v>
      </x:c>
      <x:c r="N2511" s="29" t="str">
        <x:v>18.81</x:v>
      </x:c>
      <x:c r="O2511" s="29" t="str">
        <x:v>4.36</x:v>
      </x:c>
      <x:c r="P2511" s="18" t="str">
        <x:v>2026-06-27</x:v>
      </x:c>
      <x:c r="Q2511" s="36" t="n">
        <x:v>46200</x:v>
      </x:c>
    </x:row>
    <x:row r="2512">
      <x:c r="A2512" s="36" t="str">
        <x:v>2026-06-27</x:v>
      </x:c>
      <x:c r="B2512" s="18" t="str">
        <x:v>101437000_95091</x:v>
      </x:c>
      <x:c r="C2512" s="18" t="str">
        <x:v>【沪村小电】金悦学府2号站</x:v>
      </x:c>
      <x:c r="D2512" s="37" t="str">
        <x:v>2</x:v>
      </x:c>
      <x:c r="E2512" s="37" t="str">
        <x:v>0</x:v>
      </x:c>
      <x:c r="F2512" s="37" t="str">
        <x:v>21</x:v>
      </x:c>
      <x:c r="G2512" s="37" t="str">
        <x:v>454.55</x:v>
      </x:c>
      <x:c r="H2512" s="37" t="str">
        <x:v>0.00</x:v>
      </x:c>
      <x:c r="I2512" s="37" t="str">
        <x:v>0.00</x:v>
      </x:c>
      <x:c r="J2512" s="37" t="str">
        <x:v>454.55</x:v>
      </x:c>
      <x:c r="K2512" s="37" t="str">
        <x:v>0.00</x:v>
      </x:c>
      <x:c r="L2512" s="37" t="str">
        <x:v>496</x:v>
      </x:c>
      <x:c r="M2512" s="29" t="str">
        <x:v>359.11</x:v>
      </x:c>
      <x:c r="N2512" s="29" t="str">
        <x:v>254.56</x:v>
      </x:c>
      <x:c r="O2512" s="29" t="str">
        <x:v>104.55</x:v>
      </x:c>
      <x:c r="P2512" s="18" t="str">
        <x:v>2026-06-27</x:v>
      </x:c>
      <x:c r="Q2512" s="36" t="n">
        <x:v>46200</x:v>
      </x:c>
    </x:row>
    <x:row r="2513">
      <x:c r="A2513" s="36" t="str">
        <x:v>2026-06-27</x:v>
      </x:c>
      <x:c r="B2513" s="18" t="str">
        <x:v>101437000_95941</x:v>
      </x:c>
      <x:c r="C2513" s="18" t="str">
        <x:v>【沪村小电】惠诚雅苑</x:v>
      </x:c>
      <x:c r="D2513" s="37" t="str">
        <x:v>4</x:v>
      </x:c>
      <x:c r="E2513" s="37" t="str">
        <x:v>0</x:v>
      </x:c>
      <x:c r="F2513" s="37" t="str">
        <x:v>16</x:v>
      </x:c>
      <x:c r="G2513" s="37" t="str">
        <x:v>366.38</x:v>
      </x:c>
      <x:c r="H2513" s="37" t="str">
        <x:v>0.00</x:v>
      </x:c>
      <x:c r="I2513" s="37" t="str">
        <x:v>250.03</x:v>
      </x:c>
      <x:c r="J2513" s="37" t="str">
        <x:v>0.00</x:v>
      </x:c>
      <x:c r="K2513" s="37" t="str">
        <x:v>116.35</x:v>
      </x:c>
      <x:c r="L2513" s="37" t="str">
        <x:v>628</x:v>
      </x:c>
      <x:c r="M2513" s="29" t="str">
        <x:v>282.78</x:v>
      </x:c>
      <x:c r="N2513" s="29" t="str">
        <x:v>183.60</x:v>
      </x:c>
      <x:c r="O2513" s="29" t="str">
        <x:v>99.18</x:v>
      </x:c>
      <x:c r="P2513" s="18" t="str">
        <x:v>2026-06-27</x:v>
      </x:c>
      <x:c r="Q2513" s="36" t="n">
        <x:v>46200</x:v>
      </x:c>
    </x:row>
    <x:row r="2514">
      <x:c r="A2514" s="36" t="str">
        <x:v>2026-06-27</x:v>
      </x:c>
      <x:c r="B2514" s="18" t="str">
        <x:v>101437000_96401</x:v>
      </x:c>
      <x:c r="C2514" s="18" t="str">
        <x:v>【沪村小电】上海联怡枇杷乐园地面站</x:v>
      </x:c>
      <x:c r="D2514" s="37" t="str">
        <x:v>2</x:v>
      </x:c>
      <x:c r="E2514" s="37" t="str">
        <x:v>0</x:v>
      </x:c>
      <x:c r="F2514" s="37" t="str">
        <x:v>9</x:v>
      </x:c>
      <x:c r="G2514" s="37" t="str">
        <x:v>133.47</x:v>
      </x:c>
      <x:c r="H2514" s="37" t="str">
        <x:v>0.00</x:v>
      </x:c>
      <x:c r="I2514" s="37" t="str">
        <x:v>45.26</x:v>
      </x:c>
      <x:c r="J2514" s="37" t="str">
        <x:v>0.00</x:v>
      </x:c>
      <x:c r="K2514" s="37" t="str">
        <x:v>88.20</x:v>
      </x:c>
      <x:c r="L2514" s="37" t="str">
        <x:v>229</x:v>
      </x:c>
      <x:c r="M2514" s="29" t="str">
        <x:v>110.23</x:v>
      </x:c>
      <x:c r="N2514" s="29" t="str">
        <x:v>93.82</x:v>
      </x:c>
      <x:c r="O2514" s="29" t="str">
        <x:v>16.41</x:v>
      </x:c>
      <x:c r="P2514" s="18" t="str">
        <x:v>2026-06-27</x:v>
      </x:c>
      <x:c r="Q2514" s="36" t="n">
        <x:v>46200</x:v>
      </x:c>
    </x:row>
    <x:row r="2515">
      <x:c r="A2515" s="36" t="str">
        <x:v>2026-06-27</x:v>
      </x:c>
      <x:c r="B2515" s="18" t="str">
        <x:v>101437000_96719</x:v>
      </x:c>
      <x:c r="C2515" s="18" t="str">
        <x:v>【沪村小电】四达路220弄充电站</x:v>
      </x:c>
      <x:c r="D2515" s="37" t="str">
        <x:v>2</x:v>
      </x:c>
      <x:c r="E2515" s="37" t="str">
        <x:v>0</x:v>
      </x:c>
      <x:c r="F2515" s="37" t="str">
        <x:v>3</x:v>
      </x:c>
      <x:c r="G2515" s="37" t="str">
        <x:v>73.46</x:v>
      </x:c>
      <x:c r="H2515" s="37" t="str">
        <x:v>0.00</x:v>
      </x:c>
      <x:c r="I2515" s="37" t="str">
        <x:v>31.13</x:v>
      </x:c>
      <x:c r="J2515" s="37" t="str">
        <x:v>0.00</x:v>
      </x:c>
      <x:c r="K2515" s="37" t="str">
        <x:v>42.33</x:v>
      </x:c>
      <x:c r="L2515" s="37" t="str">
        <x:v>131</x:v>
      </x:c>
      <x:c r="M2515" s="29" t="str">
        <x:v>81.78</x:v>
      </x:c>
      <x:c r="N2515" s="29" t="str">
        <x:v>50.25</x:v>
      </x:c>
      <x:c r="O2515" s="29" t="str">
        <x:v>31.53</x:v>
      </x:c>
      <x:c r="P2515" s="18" t="str">
        <x:v>2026-06-27</x:v>
      </x:c>
      <x:c r="Q2515" s="36" t="n">
        <x:v>46200</x:v>
      </x:c>
    </x:row>
    <x:row r="2516">
      <x:c r="A2516" s="36" t="str">
        <x:v>2026-06-27</x:v>
      </x:c>
      <x:c r="B2516" s="18" t="str">
        <x:v>101437000_97421</x:v>
      </x:c>
      <x:c r="C2516" s="18" t="str">
        <x:v>【沪村小电】玉兰清苑二期（小区外）充电站</x:v>
      </x:c>
      <x:c r="D2516" s="37" t="str">
        <x:v>4</x:v>
      </x:c>
      <x:c r="E2516" s="37" t="str">
        <x:v>0</x:v>
      </x:c>
      <x:c r="F2516" s="37" t="str">
        <x:v>33</x:v>
      </x:c>
      <x:c r="G2516" s="37" t="str">
        <x:v>734.28</x:v>
      </x:c>
      <x:c r="H2516" s="37" t="str">
        <x:v>0.00</x:v>
      </x:c>
      <x:c r="I2516" s="37" t="str">
        <x:v>606.33</x:v>
      </x:c>
      <x:c r="J2516" s="37" t="str">
        <x:v>0.00</x:v>
      </x:c>
      <x:c r="K2516" s="37" t="str">
        <x:v>127.95</x:v>
      </x:c>
      <x:c r="L2516" s="37" t="str">
        <x:v>1475</x:v>
      </x:c>
      <x:c r="M2516" s="29" t="str">
        <x:v>648.17</x:v>
      </x:c>
      <x:c r="N2516" s="29" t="str">
        <x:v>497.30</x:v>
      </x:c>
      <x:c r="O2516" s="29" t="str">
        <x:v>150.87</x:v>
      </x:c>
      <x:c r="P2516" s="18" t="str">
        <x:v>2026-06-27</x:v>
      </x:c>
      <x:c r="Q2516" s="36" t="n">
        <x:v>46200</x:v>
      </x:c>
    </x:row>
    <x:row r="2517">
      <x:c r="A2517" s="36" t="str">
        <x:v>2026-06-27</x:v>
      </x:c>
      <x:c r="B2517" s="18" t="str">
        <x:v>101437000_98013</x:v>
      </x:c>
      <x:c r="C2517" s="18" t="str">
        <x:v>【沪村小电】恒大滨江华府充电站</x:v>
      </x:c>
      <x:c r="D2517" s="37" t="str">
        <x:v>4</x:v>
      </x:c>
      <x:c r="E2517" s="37" t="str">
        <x:v>0</x:v>
      </x:c>
      <x:c r="F2517" s="37" t="str">
        <x:v>8</x:v>
      </x:c>
      <x:c r="G2517" s="37" t="str">
        <x:v>145.49</x:v>
      </x:c>
      <x:c r="H2517" s="37" t="str">
        <x:v>0.00</x:v>
      </x:c>
      <x:c r="I2517" s="37" t="str">
        <x:v>61.20</x:v>
      </x:c>
      <x:c r="J2517" s="37" t="str">
        <x:v>0.00</x:v>
      </x:c>
      <x:c r="K2517" s="37" t="str">
        <x:v>84.29</x:v>
      </x:c>
      <x:c r="L2517" s="37" t="str">
        <x:v>247</x:v>
      </x:c>
      <x:c r="M2517" s="29" t="str">
        <x:v>136.29</x:v>
      </x:c>
      <x:c r="N2517" s="29" t="str">
        <x:v>108.33</x:v>
      </x:c>
      <x:c r="O2517" s="29" t="str">
        <x:v>27.96</x:v>
      </x:c>
      <x:c r="P2517" s="18" t="str">
        <x:v>2026-06-27</x:v>
      </x:c>
      <x:c r="Q2517" s="36" t="n">
        <x:v>46200</x:v>
      </x:c>
    </x:row>
    <x:row r="2518">
      <x:c r="A2518" s="36" t="str">
        <x:v>2026-06-27</x:v>
      </x:c>
      <x:c r="B2518" s="18" t="str">
        <x:v>101437000_98863</x:v>
      </x:c>
      <x:c r="C2518" s="18" t="str">
        <x:v>【沪村小电】欣菊苑充电站</x:v>
      </x:c>
      <x:c r="D2518" s="37" t="str">
        <x:v>4</x:v>
      </x:c>
      <x:c r="E2518" s="37" t="str">
        <x:v>0</x:v>
      </x:c>
      <x:c r="F2518" s="37" t="str">
        <x:v>6</x:v>
      </x:c>
      <x:c r="G2518" s="37" t="str">
        <x:v>101.39</x:v>
      </x:c>
      <x:c r="H2518" s="37" t="str">
        <x:v>0.00</x:v>
      </x:c>
      <x:c r="I2518" s="37" t="str">
        <x:v>80.79</x:v>
      </x:c>
      <x:c r="J2518" s="37" t="str">
        <x:v>0.00</x:v>
      </x:c>
      <x:c r="K2518" s="37" t="str">
        <x:v>20.60</x:v>
      </x:c>
      <x:c r="L2518" s="37" t="str">
        <x:v>167</x:v>
      </x:c>
      <x:c r="M2518" s="29" t="str">
        <x:v>86.63</x:v>
      </x:c>
      <x:c r="N2518" s="29" t="str">
        <x:v>67.61</x:v>
      </x:c>
      <x:c r="O2518" s="29" t="str">
        <x:v>19.02</x:v>
      </x:c>
      <x:c r="P2518" s="18" t="str">
        <x:v>2026-06-27</x:v>
      </x:c>
      <x:c r="Q2518" s="36" t="n">
        <x:v>46200</x:v>
      </x:c>
    </x:row>
    <x:row r="2519">
      <x:c r="A2519" s="36" t="str">
        <x:v>2026-06-27</x:v>
      </x:c>
      <x:c r="B2519" s="18" t="str">
        <x:v>101437000_98865</x:v>
      </x:c>
      <x:c r="C2519" s="18" t="str">
        <x:v>【沪村小电】欣松苑充电站</x:v>
      </x:c>
      <x:c r="D2519" s="37" t="str">
        <x:v>4</x:v>
      </x:c>
      <x:c r="E2519" s="37" t="str">
        <x:v>0</x:v>
      </x:c>
      <x:c r="F2519" s="37" t="str">
        <x:v>3</x:v>
      </x:c>
      <x:c r="G2519" s="37" t="str">
        <x:v>39.67</x:v>
      </x:c>
      <x:c r="H2519" s="37" t="str">
        <x:v>0.00</x:v>
      </x:c>
      <x:c r="I2519" s="37" t="str">
        <x:v>0.00</x:v>
      </x:c>
      <x:c r="J2519" s="37" t="str">
        <x:v>0.00</x:v>
      </x:c>
      <x:c r="K2519" s="37" t="str">
        <x:v>39.67</x:v>
      </x:c>
      <x:c r="L2519" s="37" t="str">
        <x:v>50</x:v>
      </x:c>
      <x:c r="M2519" s="29" t="str">
        <x:v>23.00</x:v>
      </x:c>
      <x:c r="N2519" s="29" t="str">
        <x:v>15.07</x:v>
      </x:c>
      <x:c r="O2519" s="29" t="str">
        <x:v>7.93</x:v>
      </x:c>
      <x:c r="P2519" s="18" t="str">
        <x:v>2026-06-27</x:v>
      </x:c>
      <x:c r="Q2519" s="36" t="n">
        <x:v>46200</x:v>
      </x:c>
    </x:row>
    <x:row r="2520">
      <x:c r="A2520" s="36" t="str">
        <x:v>2026-06-27</x:v>
      </x:c>
      <x:c r="B2520" s="18" t="str">
        <x:v>101437000_98867</x:v>
      </x:c>
      <x:c r="C2520" s="18" t="str">
        <x:v>【沪村小电】欣荷苑充电站</x:v>
      </x:c>
      <x:c r="D2520" s="37" t="str">
        <x:v>4</x:v>
      </x:c>
      <x:c r="E2520" s="37" t="str">
        <x:v>0</x:v>
      </x:c>
      <x:c r="F2520" s="37" t="str">
        <x:v>3</x:v>
      </x:c>
      <x:c r="G2520" s="37" t="str">
        <x:v>62.79</x:v>
      </x:c>
      <x:c r="H2520" s="37" t="str">
        <x:v>0.00</x:v>
      </x:c>
      <x:c r="I2520" s="37" t="str">
        <x:v>36.71</x:v>
      </x:c>
      <x:c r="J2520" s="37" t="str">
        <x:v>0.00</x:v>
      </x:c>
      <x:c r="K2520" s="37" t="str">
        <x:v>26.08</x:v>
      </x:c>
      <x:c r="L2520" s="37" t="str">
        <x:v>118</x:v>
      </x:c>
      <x:c r="M2520" s="29" t="str">
        <x:v>47.54</x:v>
      </x:c>
      <x:c r="N2520" s="29" t="str">
        <x:v>37.08</x:v>
      </x:c>
      <x:c r="O2520" s="29" t="str">
        <x:v>10.46</x:v>
      </x:c>
      <x:c r="P2520" s="18" t="str">
        <x:v>2026-06-27</x:v>
      </x:c>
      <x:c r="Q2520" s="36" t="n">
        <x:v>46200</x:v>
      </x:c>
    </x:row>
    <x:row r="2521">
      <x:c r="A2521" s="36" t="str">
        <x:v>2026-06-27</x:v>
      </x:c>
      <x:c r="B2521" s="18" t="str">
        <x:v>101437000_99885</x:v>
      </x:c>
      <x:c r="C2521" s="18" t="str">
        <x:v>【沪村小电】汇丰馨苑充电站</x:v>
      </x:c>
      <x:c r="D2521" s="37" t="str">
        <x:v>4</x:v>
      </x:c>
      <x:c r="E2521" s="37" t="str">
        <x:v>0</x:v>
      </x:c>
      <x:c r="F2521" s="37" t="str">
        <x:v>7</x:v>
      </x:c>
      <x:c r="G2521" s="37" t="str">
        <x:v>168.61</x:v>
      </x:c>
      <x:c r="H2521" s="37" t="str">
        <x:v>0.00</x:v>
      </x:c>
      <x:c r="I2521" s="37" t="str">
        <x:v>65.88</x:v>
      </x:c>
      <x:c r="J2521" s="37" t="str">
        <x:v>56.58</x:v>
      </x:c>
      <x:c r="K2521" s="37" t="str">
        <x:v>46.15</x:v>
      </x:c>
      <x:c r="L2521" s="37" t="str">
        <x:v>252</x:v>
      </x:c>
      <x:c r="M2521" s="29" t="str">
        <x:v>165.37</x:v>
      </x:c>
      <x:c r="N2521" s="29" t="str">
        <x:v>129.77</x:v>
      </x:c>
      <x:c r="O2521" s="29" t="str">
        <x:v>35.60</x:v>
      </x:c>
      <x:c r="P2521" s="18" t="str">
        <x:v>2026-06-27</x:v>
      </x:c>
      <x:c r="Q2521" s="36" t="n">
        <x:v>46200</x:v>
      </x:c>
    </x:row>
    <x:row r="2522">
      <x:c r="A2522" s="36" t="str">
        <x:v>2026-06-27</x:v>
      </x:c>
      <x:c r="B2522" s="18" t="str">
        <x:v>101437000_99887</x:v>
      </x:c>
      <x:c r="C2522" s="18" t="str">
        <x:v>【沪村小电】新南村河南小区充电站</x:v>
      </x:c>
      <x:c r="D2522" s="37" t="str">
        <x:v>2</x:v>
      </x:c>
      <x:c r="E2522" s="37" t="str">
        <x:v>0</x:v>
      </x:c>
      <x:c r="F2522" s="37" t="str">
        <x:v>13</x:v>
      </x:c>
      <x:c r="G2522" s="37" t="str">
        <x:v>343.75</x:v>
      </x:c>
      <x:c r="H2522" s="37" t="str">
        <x:v>0.00</x:v>
      </x:c>
      <x:c r="I2522" s="37" t="str">
        <x:v>188.29</x:v>
      </x:c>
      <x:c r="J2522" s="37" t="str">
        <x:v>0.00</x:v>
      </x:c>
      <x:c r="K2522" s="37" t="str">
        <x:v>155.46</x:v>
      </x:c>
      <x:c r="L2522" s="37" t="str">
        <x:v>574</x:v>
      </x:c>
      <x:c r="M2522" s="29" t="str">
        <x:v>251.04</x:v>
      </x:c>
      <x:c r="N2522" s="29" t="str">
        <x:v>198.42</x:v>
      </x:c>
      <x:c r="O2522" s="29" t="str">
        <x:v>52.62</x:v>
      </x:c>
      <x:c r="P2522" s="18" t="str">
        <x:v>2026-06-27</x:v>
      </x:c>
      <x:c r="Q2522" s="36" t="n">
        <x:v>46200</x:v>
      </x:c>
    </x:row>
    <x:row r="2523">
      <x:c r="A2523" s="36" t="str">
        <x:v>2026-06-27</x:v>
      </x:c>
      <x:c r="B2523" s="18" t="str">
        <x:v>101437000_99889</x:v>
      </x:c>
      <x:c r="C2523" s="18" t="str">
        <x:v>【沪村小电】漕泾郊野公园</x:v>
      </x:c>
      <x:c r="D2523" s="37" t="str">
        <x:v>2</x:v>
      </x:c>
      <x:c r="E2523" s="37" t="str">
        <x:v>0</x:v>
      </x:c>
      <x:c r="F2523" s="37" t="str">
        <x:v>2</x:v>
      </x:c>
      <x:c r="G2523" s="37" t="str">
        <x:v>25.09</x:v>
      </x:c>
      <x:c r="H2523" s="37" t="str">
        <x:v>0.00</x:v>
      </x:c>
      <x:c r="I2523" s="37" t="str">
        <x:v>0.00</x:v>
      </x:c>
      <x:c r="J2523" s="37" t="str">
        <x:v>25.09</x:v>
      </x:c>
      <x:c r="K2523" s="37" t="str">
        <x:v>0.00</x:v>
      </x:c>
      <x:c r="L2523" s="37" t="str">
        <x:v>53</x:v>
      </x:c>
      <x:c r="M2523" s="29" t="str">
        <x:v>24.83</x:v>
      </x:c>
      <x:c r="N2523" s="29" t="str">
        <x:v>20.82</x:v>
      </x:c>
      <x:c r="O2523" s="29" t="str">
        <x:v>4.01</x:v>
      </x:c>
      <x:c r="P2523" s="18" t="str">
        <x:v>2026-06-27</x:v>
      </x:c>
      <x:c r="Q2523" s="36" t="n">
        <x:v>46200</x:v>
      </x:c>
    </x:row>
    <x:row r="2524">
      <x:c r="A2524" s="36" t="str">
        <x:v>2026-06-27</x:v>
      </x:c>
      <x:c r="B2524" s="18" t="str">
        <x:v>101437000_99891</x:v>
      </x:c>
      <x:c r="C2524" s="18" t="str">
        <x:v>【沪村小电】水韵紫城充电站</x:v>
      </x:c>
      <x:c r="D2524" s="37" t="str">
        <x:v>4</x:v>
      </x:c>
      <x:c r="E2524" s="37" t="str">
        <x:v>0</x:v>
      </x:c>
      <x:c r="F2524" s="37" t="str">
        <x:v>5</x:v>
      </x:c>
      <x:c r="G2524" s="37" t="str">
        <x:v>103.95</x:v>
      </x:c>
      <x:c r="H2524" s="37" t="str">
        <x:v>0.00</x:v>
      </x:c>
      <x:c r="I2524" s="37" t="str">
        <x:v>21.44</x:v>
      </x:c>
      <x:c r="J2524" s="37" t="str">
        <x:v>0.00</x:v>
      </x:c>
      <x:c r="K2524" s="37" t="str">
        <x:v>82.50</x:v>
      </x:c>
      <x:c r="L2524" s="37" t="str">
        <x:v>184</x:v>
      </x:c>
      <x:c r="M2524" s="29" t="str">
        <x:v>77.40</x:v>
      </x:c>
      <x:c r="N2524" s="29" t="str">
        <x:v>47.21</x:v>
      </x:c>
      <x:c r="O2524" s="29" t="str">
        <x:v>30.19</x:v>
      </x:c>
      <x:c r="P2524" s="18" t="str">
        <x:v>2026-06-27</x:v>
      </x:c>
      <x:c r="Q2524" s="36" t="n">
        <x:v>46200</x:v>
      </x:c>
    </x:row>
    <x:row r="2525">
      <x:c r="A2525" s="36" t="str">
        <x:v>2026-06-26</x:v>
      </x:c>
      <x:c r="B2525" s="18" t="str">
        <x:v>101437000_41561</x:v>
      </x:c>
      <x:c r="C2525" s="18" t="str">
        <x:v>【沪村小电】张施小区大门处快充站</x:v>
      </x:c>
      <x:c r="D2525" s="37" t="str">
        <x:v>2</x:v>
      </x:c>
      <x:c r="E2525" s="37" t="str">
        <x:v>0</x:v>
      </x:c>
      <x:c r="F2525" s="37" t="str">
        <x:v>47</x:v>
      </x:c>
      <x:c r="G2525" s="37" t="str">
        <x:v>1214.00</x:v>
      </x:c>
      <x:c r="H2525" s="37" t="str">
        <x:v>0.00</x:v>
      </x:c>
      <x:c r="I2525" s="37" t="str">
        <x:v>573.03</x:v>
      </x:c>
      <x:c r="J2525" s="37" t="str">
        <x:v>0.00</x:v>
      </x:c>
      <x:c r="K2525" s="37" t="str">
        <x:v>640.97</x:v>
      </x:c>
      <x:c r="L2525" s="37" t="str">
        <x:v>2138</x:v>
      </x:c>
      <x:c r="M2525" s="29" t="str">
        <x:v>889.64</x:v>
      </x:c>
      <x:c r="N2525" s="29" t="str">
        <x:v>667.63</x:v>
      </x:c>
      <x:c r="O2525" s="29" t="str">
        <x:v>222.01</x:v>
      </x:c>
      <x:c r="P2525" s="18" t="str">
        <x:v>2026-06-26</x:v>
      </x:c>
      <x:c r="Q2525" s="36" t="n">
        <x:v>46199</x:v>
      </x:c>
    </x:row>
    <x:row r="2526">
      <x:c r="A2526" s="36" t="str">
        <x:v>2026-06-26</x:v>
      </x:c>
      <x:c r="B2526" s="18" t="str">
        <x:v>101437000_41563</x:v>
      </x:c>
      <x:c r="C2526" s="18" t="str">
        <x:v>【沪村小电】同心村快充站</x:v>
      </x:c>
      <x:c r="D2526" s="37" t="str">
        <x:v>4</x:v>
      </x:c>
      <x:c r="E2526" s="37" t="str">
        <x:v>0</x:v>
      </x:c>
      <x:c r="F2526" s="37" t="str">
        <x:v>63</x:v>
      </x:c>
      <x:c r="G2526" s="37" t="str">
        <x:v>1221.24</x:v>
      </x:c>
      <x:c r="H2526" s="37" t="str">
        <x:v>0.00</x:v>
      </x:c>
      <x:c r="I2526" s="37" t="str">
        <x:v>918.08</x:v>
      </x:c>
      <x:c r="J2526" s="37" t="str">
        <x:v>0.00</x:v>
      </x:c>
      <x:c r="K2526" s="37" t="str">
        <x:v>303.16</x:v>
      </x:c>
      <x:c r="L2526" s="37" t="str">
        <x:v>2661</x:v>
      </x:c>
      <x:c r="M2526" s="29" t="str">
        <x:v>1040.06</x:v>
      </x:c>
      <x:c r="N2526" s="29" t="str">
        <x:v>742.63</x:v>
      </x:c>
      <x:c r="O2526" s="29" t="str">
        <x:v>297.43</x:v>
      </x:c>
      <x:c r="P2526" s="18" t="str">
        <x:v>2026-06-26</x:v>
      </x:c>
      <x:c r="Q2526" s="36" t="n">
        <x:v>46199</x:v>
      </x:c>
    </x:row>
    <x:row r="2527">
      <x:c r="A2527" s="36" t="str">
        <x:v>2026-06-26</x:v>
      </x:c>
      <x:c r="B2527" s="18" t="str">
        <x:v>101437000_69629</x:v>
      </x:c>
      <x:c r="C2527" s="18" t="str">
        <x:v>【沪村小电】骏丰玲珑坊西苑充电站</x:v>
      </x:c>
      <x:c r="D2527" s="37" t="str">
        <x:v>2</x:v>
      </x:c>
      <x:c r="E2527" s="37" t="str">
        <x:v>0</x:v>
      </x:c>
      <x:c r="F2527" s="37" t="str">
        <x:v>50</x:v>
      </x:c>
      <x:c r="G2527" s="37" t="str">
        <x:v>1178.72</x:v>
      </x:c>
      <x:c r="H2527" s="37" t="str">
        <x:v>0.00</x:v>
      </x:c>
      <x:c r="I2527" s="37" t="str">
        <x:v>609.09</x:v>
      </x:c>
      <x:c r="J2527" s="37" t="str">
        <x:v>0.00</x:v>
      </x:c>
      <x:c r="K2527" s="37" t="str">
        <x:v>569.63</x:v>
      </x:c>
      <x:c r="L2527" s="37" t="str">
        <x:v>2175</x:v>
      </x:c>
      <x:c r="M2527" s="29" t="str">
        <x:v>875.81</x:v>
      </x:c>
      <x:c r="N2527" s="29" t="str">
        <x:v>667.18</x:v>
      </x:c>
      <x:c r="O2527" s="29" t="str">
        <x:v>208.63</x:v>
      </x:c>
      <x:c r="P2527" s="18" t="str">
        <x:v>2026-06-26</x:v>
      </x:c>
      <x:c r="Q2527" s="36" t="n">
        <x:v>46199</x:v>
      </x:c>
    </x:row>
    <x:row r="2528">
      <x:c r="A2528" s="36" t="str">
        <x:v>2026-06-26</x:v>
      </x:c>
      <x:c r="B2528" s="18" t="str">
        <x:v>101437000_70547</x:v>
      </x:c>
      <x:c r="C2528" s="18" t="str">
        <x:v>【沪村小电】农建村初心馆党群服务中心充电站</x:v>
      </x:c>
      <x:c r="D2528" s="37" t="str">
        <x:v>4</x:v>
      </x:c>
      <x:c r="E2528" s="37" t="str">
        <x:v>0</x:v>
      </x:c>
      <x:c r="F2528" s="37" t="str">
        <x:v>23</x:v>
      </x:c>
      <x:c r="G2528" s="37" t="str">
        <x:v>438.81</x:v>
      </x:c>
      <x:c r="H2528" s="37" t="str">
        <x:v>0.00</x:v>
      </x:c>
      <x:c r="I2528" s="37" t="str">
        <x:v>208.99</x:v>
      </x:c>
      <x:c r="J2528" s="37" t="str">
        <x:v>0.00</x:v>
      </x:c>
      <x:c r="K2528" s="37" t="str">
        <x:v>229.82</x:v>
      </x:c>
      <x:c r="L2528" s="37" t="str">
        <x:v>724</x:v>
      </x:c>
      <x:c r="M2528" s="29" t="str">
        <x:v>399.14</x:v>
      </x:c>
      <x:c r="N2528" s="29" t="str">
        <x:v>339.13</x:v>
      </x:c>
      <x:c r="O2528" s="29" t="str">
        <x:v>60.01</x:v>
      </x:c>
      <x:c r="P2528" s="18" t="str">
        <x:v>2026-06-26</x:v>
      </x:c>
      <x:c r="Q2528" s="36" t="n">
        <x:v>46199</x:v>
      </x:c>
    </x:row>
    <x:row r="2529">
      <x:c r="A2529" s="36" t="str">
        <x:v>2026-06-26</x:v>
      </x:c>
      <x:c r="B2529" s="18" t="str">
        <x:v>101437000_70549</x:v>
      </x:c>
      <x:c r="C2529" s="18" t="str">
        <x:v>【沪村小电】学府路充电站</x:v>
      </x:c>
      <x:c r="D2529" s="37" t="str">
        <x:v>2</x:v>
      </x:c>
      <x:c r="E2529" s="37" t="str">
        <x:v>0</x:v>
      </x:c>
      <x:c r="F2529" s="37" t="str">
        <x:v>10</x:v>
      </x:c>
      <x:c r="G2529" s="37" t="str">
        <x:v>229.02</x:v>
      </x:c>
      <x:c r="H2529" s="37" t="str">
        <x:v>0.00</x:v>
      </x:c>
      <x:c r="I2529" s="37" t="str">
        <x:v>86.14</x:v>
      </x:c>
      <x:c r="J2529" s="37" t="str">
        <x:v>0.00</x:v>
      </x:c>
      <x:c r="K2529" s="37" t="str">
        <x:v>142.88</x:v>
      </x:c>
      <x:c r="L2529" s="37" t="str">
        <x:v>484</x:v>
      </x:c>
      <x:c r="M2529" s="29" t="str">
        <x:v>190.35</x:v>
      </x:c>
      <x:c r="N2529" s="29" t="str">
        <x:v>165.32</x:v>
      </x:c>
      <x:c r="O2529" s="29" t="str">
        <x:v>25.03</x:v>
      </x:c>
      <x:c r="P2529" s="18" t="str">
        <x:v>2026-06-26</x:v>
      </x:c>
      <x:c r="Q2529" s="36" t="n">
        <x:v>46199</x:v>
      </x:c>
    </x:row>
    <x:row r="2530">
      <x:c r="A2530" s="36" t="str">
        <x:v>2026-06-26</x:v>
      </x:c>
      <x:c r="B2530" s="18" t="str">
        <x:v>101437000_71059</x:v>
      </x:c>
      <x:c r="C2530" s="18" t="str">
        <x:v>【沪村小电】宝乐汇商业广场站</x:v>
      </x:c>
      <x:c r="D2530" s="37" t="str">
        <x:v>4</x:v>
      </x:c>
      <x:c r="E2530" s="37" t="str">
        <x:v>0</x:v>
      </x:c>
      <x:c r="F2530" s="37" t="str">
        <x:v>11</x:v>
      </x:c>
      <x:c r="G2530" s="37" t="str">
        <x:v>230.37</x:v>
      </x:c>
      <x:c r="H2530" s="37" t="str">
        <x:v>0.00</x:v>
      </x:c>
      <x:c r="I2530" s="37" t="str">
        <x:v>0.00</x:v>
      </x:c>
      <x:c r="J2530" s="37" t="str">
        <x:v>134.24</x:v>
      </x:c>
      <x:c r="K2530" s="37" t="str">
        <x:v>96.13</x:v>
      </x:c>
      <x:c r="L2530" s="37" t="str">
        <x:v>367</x:v>
      </x:c>
      <x:c r="M2530" s="29" t="str">
        <x:v>218.55</x:v>
      </x:c>
      <x:c r="N2530" s="29" t="str">
        <x:v>131.44</x:v>
      </x:c>
      <x:c r="O2530" s="29" t="str">
        <x:v>87.11</x:v>
      </x:c>
      <x:c r="P2530" s="18" t="str">
        <x:v>2026-06-26</x:v>
      </x:c>
      <x:c r="Q2530" s="36" t="n">
        <x:v>46199</x:v>
      </x:c>
    </x:row>
    <x:row r="2531">
      <x:c r="A2531" s="36" t="str">
        <x:v>2026-06-26</x:v>
      </x:c>
      <x:c r="B2531" s="18" t="str">
        <x:v>101437000_72541</x:v>
      </x:c>
      <x:c r="C2531" s="18" t="str">
        <x:v>【沪村小电】九干路1174弄充电站</x:v>
      </x:c>
      <x:c r="D2531" s="37" t="str">
        <x:v>2</x:v>
      </x:c>
      <x:c r="E2531" s="37" t="str">
        <x:v>0</x:v>
      </x:c>
      <x:c r="F2531" s="37" t="str">
        <x:v>36</x:v>
      </x:c>
      <x:c r="G2531" s="37" t="str">
        <x:v>375.57</x:v>
      </x:c>
      <x:c r="H2531" s="37" t="str">
        <x:v>0.00</x:v>
      </x:c>
      <x:c r="I2531" s="37" t="str">
        <x:v>275.57</x:v>
      </x:c>
      <x:c r="J2531" s="37" t="str">
        <x:v>0.00</x:v>
      </x:c>
      <x:c r="K2531" s="37" t="str">
        <x:v>100.00</x:v>
      </x:c>
      <x:c r="L2531" s="37" t="str">
        <x:v>749</x:v>
      </x:c>
      <x:c r="M2531" s="29" t="str">
        <x:v>331.08</x:v>
      </x:c>
      <x:c r="N2531" s="29" t="str">
        <x:v>241.93</x:v>
      </x:c>
      <x:c r="O2531" s="29" t="str">
        <x:v>89.15</x:v>
      </x:c>
      <x:c r="P2531" s="18" t="str">
        <x:v>2026-06-26</x:v>
      </x:c>
      <x:c r="Q2531" s="36" t="n">
        <x:v>46199</x:v>
      </x:c>
    </x:row>
    <x:row r="2532">
      <x:c r="A2532" s="36" t="str">
        <x:v>2026-06-26</x:v>
      </x:c>
      <x:c r="B2532" s="18" t="str">
        <x:v>101437000_72543</x:v>
      </x:c>
      <x:c r="C2532" s="18" t="str">
        <x:v>【沪村小电】叶家中心村小区充电站</x:v>
      </x:c>
      <x:c r="D2532" s="37" t="str">
        <x:v>2</x:v>
      </x:c>
      <x:c r="E2532" s="37" t="str">
        <x:v>0</x:v>
      </x:c>
      <x:c r="F2532" s="37" t="str">
        <x:v>44</x:v>
      </x:c>
      <x:c r="G2532" s="37" t="str">
        <x:v>984.19</x:v>
      </x:c>
      <x:c r="H2532" s="37" t="str">
        <x:v>0.00</x:v>
      </x:c>
      <x:c r="I2532" s="37" t="str">
        <x:v>465.95</x:v>
      </x:c>
      <x:c r="J2532" s="37" t="str">
        <x:v>0.00</x:v>
      </x:c>
      <x:c r="K2532" s="37" t="str">
        <x:v>518.24</x:v>
      </x:c>
      <x:c r="L2532" s="37" t="str">
        <x:v>1666</x:v>
      </x:c>
      <x:c r="M2532" s="29" t="str">
        <x:v>773.71</x:v>
      </x:c>
      <x:c r="N2532" s="29" t="str">
        <x:v>541.71</x:v>
      </x:c>
      <x:c r="O2532" s="29" t="str">
        <x:v>232.00</x:v>
      </x:c>
      <x:c r="P2532" s="18" t="str">
        <x:v>2026-06-26</x:v>
      </x:c>
      <x:c r="Q2532" s="36" t="n">
        <x:v>46199</x:v>
      </x:c>
    </x:row>
    <x:row r="2533">
      <x:c r="A2533" s="36" t="str">
        <x:v>2026-06-26</x:v>
      </x:c>
      <x:c r="B2533" s="18" t="str">
        <x:v>101437000_72937</x:v>
      </x:c>
      <x:c r="C2533" s="18" t="str">
        <x:v>【沪村小电】佘北家园茸腾苑充电站</x:v>
      </x:c>
      <x:c r="D2533" s="37" t="str">
        <x:v>4</x:v>
      </x:c>
      <x:c r="E2533" s="37" t="str">
        <x:v>0</x:v>
      </x:c>
      <x:c r="F2533" s="37" t="str">
        <x:v>13</x:v>
      </x:c>
      <x:c r="G2533" s="37" t="str">
        <x:v>264.83</x:v>
      </x:c>
      <x:c r="H2533" s="37" t="str">
        <x:v>0.00</x:v>
      </x:c>
      <x:c r="I2533" s="37" t="str">
        <x:v>264.83</x:v>
      </x:c>
      <x:c r="J2533" s="37" t="str">
        <x:v>0.00</x:v>
      </x:c>
      <x:c r="K2533" s="37" t="str">
        <x:v>0.00</x:v>
      </x:c>
      <x:c r="L2533" s="37" t="str">
        <x:v>439</x:v>
      </x:c>
      <x:c r="M2533" s="29" t="str">
        <x:v>261.05</x:v>
      </x:c>
      <x:c r="N2533" s="29" t="str">
        <x:v>196.00</x:v>
      </x:c>
      <x:c r="O2533" s="29" t="str">
        <x:v>65.05</x:v>
      </x:c>
      <x:c r="P2533" s="18" t="str">
        <x:v>2026-06-26</x:v>
      </x:c>
      <x:c r="Q2533" s="36" t="n">
        <x:v>46199</x:v>
      </x:c>
    </x:row>
    <x:row r="2534">
      <x:c r="A2534" s="36" t="str">
        <x:v>2026-06-26</x:v>
      </x:c>
      <x:c r="B2534" s="18" t="str">
        <x:v>101437000_74223</x:v>
      </x:c>
      <x:c r="C2534" s="18" t="str">
        <x:v>【沪村小电】中兴村委会充电站</x:v>
      </x:c>
      <x:c r="D2534" s="37" t="str">
        <x:v>2</x:v>
      </x:c>
      <x:c r="E2534" s="37" t="str">
        <x:v>0</x:v>
      </x:c>
      <x:c r="F2534" s="37" t="str">
        <x:v>19</x:v>
      </x:c>
      <x:c r="G2534" s="37" t="str">
        <x:v>383.70</x:v>
      </x:c>
      <x:c r="H2534" s="37" t="str">
        <x:v>0.00</x:v>
      </x:c>
      <x:c r="I2534" s="37" t="str">
        <x:v>160.36</x:v>
      </x:c>
      <x:c r="J2534" s="37" t="str">
        <x:v>0.00</x:v>
      </x:c>
      <x:c r="K2534" s="37" t="str">
        <x:v>223.35</x:v>
      </x:c>
      <x:c r="L2534" s="37" t="str">
        <x:v>541</x:v>
      </x:c>
      <x:c r="M2534" s="29" t="str">
        <x:v>330.76</x:v>
      </x:c>
      <x:c r="N2534" s="29" t="str">
        <x:v>285.11</x:v>
      </x:c>
      <x:c r="O2534" s="29" t="str">
        <x:v>45.65</x:v>
      </x:c>
      <x:c r="P2534" s="18" t="str">
        <x:v>2026-06-26</x:v>
      </x:c>
      <x:c r="Q2534" s="36" t="n">
        <x:v>46199</x:v>
      </x:c>
    </x:row>
    <x:row r="2535">
      <x:c r="A2535" s="36" t="str">
        <x:v>2026-06-26</x:v>
      </x:c>
      <x:c r="B2535" s="18" t="str">
        <x:v>101437000_74801</x:v>
      </x:c>
      <x:c r="C2535" s="18" t="str">
        <x:v>【沪村小电】申良花园充电站</x:v>
      </x:c>
      <x:c r="D2535" s="37" t="str">
        <x:v>4</x:v>
      </x:c>
      <x:c r="E2535" s="37" t="str">
        <x:v>0</x:v>
      </x:c>
      <x:c r="F2535" s="37" t="str">
        <x:v>9</x:v>
      </x:c>
      <x:c r="G2535" s="37" t="str">
        <x:v>244.16</x:v>
      </x:c>
      <x:c r="H2535" s="37" t="str">
        <x:v>0.00</x:v>
      </x:c>
      <x:c r="I2535" s="37" t="str">
        <x:v>190.29</x:v>
      </x:c>
      <x:c r="J2535" s="37" t="str">
        <x:v>0.00</x:v>
      </x:c>
      <x:c r="K2535" s="37" t="str">
        <x:v>53.87</x:v>
      </x:c>
      <x:c r="L2535" s="37" t="str">
        <x:v>356</x:v>
      </x:c>
      <x:c r="M2535" s="29" t="str">
        <x:v>260.20</x:v>
      </x:c>
      <x:c r="N2535" s="29" t="str">
        <x:v>161.28</x:v>
      </x:c>
      <x:c r="O2535" s="29" t="str">
        <x:v>98.92</x:v>
      </x:c>
      <x:c r="P2535" s="18" t="str">
        <x:v>2026-06-26</x:v>
      </x:c>
      <x:c r="Q2535" s="36" t="n">
        <x:v>46199</x:v>
      </x:c>
    </x:row>
    <x:row r="2536">
      <x:c r="A2536" s="36" t="str">
        <x:v>2026-06-26</x:v>
      </x:c>
      <x:c r="B2536" s="18" t="str">
        <x:v>101437000_74931</x:v>
      </x:c>
      <x:c r="C2536" s="18" t="str">
        <x:v>【沪村小电】枫雅南居充电站</x:v>
      </x:c>
      <x:c r="D2536" s="37" t="str">
        <x:v>2</x:v>
      </x:c>
      <x:c r="E2536" s="37" t="str">
        <x:v>0</x:v>
      </x:c>
      <x:c r="F2536" s="37" t="str">
        <x:v>8</x:v>
      </x:c>
      <x:c r="G2536" s="37" t="str">
        <x:v>108.50</x:v>
      </x:c>
      <x:c r="H2536" s="37" t="str">
        <x:v>0.00</x:v>
      </x:c>
      <x:c r="I2536" s="37" t="str">
        <x:v>108.50</x:v>
      </x:c>
      <x:c r="J2536" s="37" t="str">
        <x:v>0.00</x:v>
      </x:c>
      <x:c r="K2536" s="37" t="str">
        <x:v>0.00</x:v>
      </x:c>
      <x:c r="L2536" s="37" t="str">
        <x:v>150</x:v>
      </x:c>
      <x:c r="M2536" s="29" t="str">
        <x:v>87.47</x:v>
      </x:c>
      <x:c r="N2536" s="29" t="str">
        <x:v>64.01</x:v>
      </x:c>
      <x:c r="O2536" s="29" t="str">
        <x:v>23.46</x:v>
      </x:c>
      <x:c r="P2536" s="18" t="str">
        <x:v>2026-06-26</x:v>
      </x:c>
      <x:c r="Q2536" s="36" t="n">
        <x:v>46199</x:v>
      </x:c>
    </x:row>
    <x:row r="2537">
      <x:c r="A2537" s="36" t="str">
        <x:v>2026-06-26</x:v>
      </x:c>
      <x:c r="B2537" s="18" t="str">
        <x:v>101437000_75901</x:v>
      </x:c>
      <x:c r="C2537" s="18" t="str">
        <x:v>【沪村小电】金悦学府</x:v>
      </x:c>
      <x:c r="D2537" s="37" t="str">
        <x:v>2</x:v>
      </x:c>
      <x:c r="E2537" s="37" t="str">
        <x:v>0</x:v>
      </x:c>
      <x:c r="F2537" s="37" t="str">
        <x:v>12</x:v>
      </x:c>
      <x:c r="G2537" s="37" t="str">
        <x:v>304.37</x:v>
      </x:c>
      <x:c r="H2537" s="37" t="str">
        <x:v>0.00</x:v>
      </x:c>
      <x:c r="I2537" s="37" t="str">
        <x:v>116.90</x:v>
      </x:c>
      <x:c r="J2537" s="37" t="str">
        <x:v>0.00</x:v>
      </x:c>
      <x:c r="K2537" s="37" t="str">
        <x:v>187.47</x:v>
      </x:c>
      <x:c r="L2537" s="37" t="str">
        <x:v>495</x:v>
      </x:c>
      <x:c r="M2537" s="29" t="str">
        <x:v>219.06</x:v>
      </x:c>
      <x:c r="N2537" s="29" t="str">
        <x:v>127.09</x:v>
      </x:c>
      <x:c r="O2537" s="29" t="str">
        <x:v>91.97</x:v>
      </x:c>
      <x:c r="P2537" s="18" t="str">
        <x:v>2026-06-26</x:v>
      </x:c>
      <x:c r="Q2537" s="36" t="n">
        <x:v>46199</x:v>
      </x:c>
    </x:row>
    <x:row r="2538">
      <x:c r="A2538" s="36" t="str">
        <x:v>2026-06-26</x:v>
      </x:c>
      <x:c r="B2538" s="18" t="str">
        <x:v>101437000_76091</x:v>
      </x:c>
      <x:c r="C2538" s="18" t="str">
        <x:v>【沪村小电】恒信家园充电站</x:v>
      </x:c>
      <x:c r="D2538" s="37" t="str">
        <x:v>2</x:v>
      </x:c>
      <x:c r="E2538" s="37" t="str">
        <x:v>0</x:v>
      </x:c>
      <x:c r="F2538" s="37" t="str">
        <x:v>61</x:v>
      </x:c>
      <x:c r="G2538" s="37" t="str">
        <x:v>1048.77</x:v>
      </x:c>
      <x:c r="H2538" s="37" t="str">
        <x:v>0.00</x:v>
      </x:c>
      <x:c r="I2538" s="37" t="str">
        <x:v>526.66</x:v>
      </x:c>
      <x:c r="J2538" s="37" t="str">
        <x:v>0.00</x:v>
      </x:c>
      <x:c r="K2538" s="37" t="str">
        <x:v>522.11</x:v>
      </x:c>
      <x:c r="L2538" s="37" t="str">
        <x:v>1620</x:v>
      </x:c>
      <x:c r="M2538" s="29" t="str">
        <x:v>920.55</x:v>
      </x:c>
      <x:c r="N2538" s="29" t="str">
        <x:v>588.11</x:v>
      </x:c>
      <x:c r="O2538" s="29" t="str">
        <x:v>332.44</x:v>
      </x:c>
      <x:c r="P2538" s="18" t="str">
        <x:v>2026-06-26</x:v>
      </x:c>
      <x:c r="Q2538" s="36" t="n">
        <x:v>46199</x:v>
      </x:c>
    </x:row>
    <x:row r="2539">
      <x:c r="A2539" s="36" t="str">
        <x:v>2026-06-26</x:v>
      </x:c>
      <x:c r="B2539" s="18" t="str">
        <x:v>101437000_76417</x:v>
      </x:c>
      <x:c r="C2539" s="18" t="str">
        <x:v>【沪村小电】新春一组充电站</x:v>
      </x:c>
      <x:c r="D2539" s="37" t="str">
        <x:v>2</x:v>
      </x:c>
      <x:c r="E2539" s="37" t="str">
        <x:v>0</x:v>
      </x:c>
      <x:c r="F2539" s="37" t="str">
        <x:v>14</x:v>
      </x:c>
      <x:c r="G2539" s="37" t="str">
        <x:v>301.65</x:v>
      </x:c>
      <x:c r="H2539" s="37" t="str">
        <x:v>0.00</x:v>
      </x:c>
      <x:c r="I2539" s="37" t="str">
        <x:v>100.50</x:v>
      </x:c>
      <x:c r="J2539" s="37" t="str">
        <x:v>0.00</x:v>
      </x:c>
      <x:c r="K2539" s="37" t="str">
        <x:v>201.15</x:v>
      </x:c>
      <x:c r="L2539" s="37" t="str">
        <x:v>463</x:v>
      </x:c>
      <x:c r="M2539" s="29" t="str">
        <x:v>256.73</x:v>
      </x:c>
      <x:c r="N2539" s="29" t="str">
        <x:v>211.12</x:v>
      </x:c>
      <x:c r="O2539" s="29" t="str">
        <x:v>45.61</x:v>
      </x:c>
      <x:c r="P2539" s="18" t="str">
        <x:v>2026-06-26</x:v>
      </x:c>
      <x:c r="Q2539" s="36" t="n">
        <x:v>46199</x:v>
      </x:c>
    </x:row>
    <x:row r="2540">
      <x:c r="A2540" s="36" t="str">
        <x:v>2026-06-26</x:v>
      </x:c>
      <x:c r="B2540" s="18" t="str">
        <x:v>101437000_78235</x:v>
      </x:c>
      <x:c r="C2540" s="18" t="str">
        <x:v>【沪村小电】欣秋苑充电站</x:v>
      </x:c>
      <x:c r="D2540" s="37" t="str">
        <x:v>4</x:v>
      </x:c>
      <x:c r="E2540" s="37" t="str">
        <x:v>0</x:v>
      </x:c>
      <x:c r="F2540" s="37" t="str">
        <x:v>13</x:v>
      </x:c>
      <x:c r="G2540" s="37" t="str">
        <x:v>327.85</x:v>
      </x:c>
      <x:c r="H2540" s="37" t="str">
        <x:v>0.00</x:v>
      </x:c>
      <x:c r="I2540" s="37" t="str">
        <x:v>213.76</x:v>
      </x:c>
      <x:c r="J2540" s="37" t="str">
        <x:v>0.00</x:v>
      </x:c>
      <x:c r="K2540" s="37" t="str">
        <x:v>114.08</x:v>
      </x:c>
      <x:c r="L2540" s="37" t="str">
        <x:v>570</x:v>
      </x:c>
      <x:c r="M2540" s="29" t="str">
        <x:v>287.20</x:v>
      </x:c>
      <x:c r="N2540" s="29" t="str">
        <x:v>201.55</x:v>
      </x:c>
      <x:c r="O2540" s="29" t="str">
        <x:v>85.65</x:v>
      </x:c>
      <x:c r="P2540" s="18" t="str">
        <x:v>2026-06-26</x:v>
      </x:c>
      <x:c r="Q2540" s="36" t="n">
        <x:v>46199</x:v>
      </x:c>
    </x:row>
    <x:row r="2541">
      <x:c r="A2541" s="36" t="str">
        <x:v>2026-06-26</x:v>
      </x:c>
      <x:c r="B2541" s="18" t="str">
        <x:v>101437000_78237</x:v>
      </x:c>
      <x:c r="C2541" s="18" t="str">
        <x:v>【沪村小电】奉馨苑西门小区内北侧充电站</x:v>
      </x:c>
      <x:c r="D2541" s="37" t="str">
        <x:v>2</x:v>
      </x:c>
      <x:c r="E2541" s="37" t="str">
        <x:v>0</x:v>
      </x:c>
      <x:c r="F2541" s="37" t="str">
        <x:v>34</x:v>
      </x:c>
      <x:c r="G2541" s="37" t="str">
        <x:v>1041.66</x:v>
      </x:c>
      <x:c r="H2541" s="37" t="str">
        <x:v>0.00</x:v>
      </x:c>
      <x:c r="I2541" s="37" t="str">
        <x:v>552.67</x:v>
      </x:c>
      <x:c r="J2541" s="37" t="str">
        <x:v>0.00</x:v>
      </x:c>
      <x:c r="K2541" s="37" t="str">
        <x:v>488.99</x:v>
      </x:c>
      <x:c r="L2541" s="37" t="str">
        <x:v>1520</x:v>
      </x:c>
      <x:c r="M2541" s="29" t="str">
        <x:v>816.99</x:v>
      </x:c>
      <x:c r="N2541" s="29" t="str">
        <x:v>594.80</x:v>
      </x:c>
      <x:c r="O2541" s="29" t="str">
        <x:v>222.19</x:v>
      </x:c>
      <x:c r="P2541" s="18" t="str">
        <x:v>2026-06-26</x:v>
      </x:c>
      <x:c r="Q2541" s="36" t="n">
        <x:v>46199</x:v>
      </x:c>
    </x:row>
    <x:row r="2542">
      <x:c r="A2542" s="36" t="str">
        <x:v>2026-06-26</x:v>
      </x:c>
      <x:c r="B2542" s="18" t="str">
        <x:v>101437000_78239</x:v>
      </x:c>
      <x:c r="C2542" s="18" t="str">
        <x:v>【沪村小电】恒大佘山首府东门充电站</x:v>
      </x:c>
      <x:c r="D2542" s="37" t="str">
        <x:v>2</x:v>
      </x:c>
      <x:c r="E2542" s="37" t="str">
        <x:v>0</x:v>
      </x:c>
      <x:c r="F2542" s="37" t="str">
        <x:v>47</x:v>
      </x:c>
      <x:c r="G2542" s="37" t="str">
        <x:v>1243.11</x:v>
      </x:c>
      <x:c r="H2542" s="37" t="str">
        <x:v>0.00</x:v>
      </x:c>
      <x:c r="I2542" s="37" t="str">
        <x:v>761.77</x:v>
      </x:c>
      <x:c r="J2542" s="37" t="str">
        <x:v>0.00</x:v>
      </x:c>
      <x:c r="K2542" s="37" t="str">
        <x:v>481.35</x:v>
      </x:c>
      <x:c r="L2542" s="37" t="str">
        <x:v>1833</x:v>
      </x:c>
      <x:c r="M2542" s="29" t="str">
        <x:v>967.67</x:v>
      </x:c>
      <x:c r="N2542" s="29" t="str">
        <x:v>746.63</x:v>
      </x:c>
      <x:c r="O2542" s="29" t="str">
        <x:v>221.04</x:v>
      </x:c>
      <x:c r="P2542" s="18" t="str">
        <x:v>2026-06-26</x:v>
      </x:c>
      <x:c r="Q2542" s="36" t="n">
        <x:v>46199</x:v>
      </x:c>
    </x:row>
    <x:row r="2543">
      <x:c r="A2543" s="36" t="str">
        <x:v>2026-06-26</x:v>
      </x:c>
      <x:c r="B2543" s="18" t="str">
        <x:v>101437000_80823</x:v>
      </x:c>
      <x:c r="C2543" s="18" t="str">
        <x:v>【沪村小电】上湖轩充电站</x:v>
      </x:c>
      <x:c r="D2543" s="37" t="str">
        <x:v>2</x:v>
      </x:c>
      <x:c r="E2543" s="37" t="str">
        <x:v>0</x:v>
      </x:c>
      <x:c r="F2543" s="37" t="str">
        <x:v>2</x:v>
      </x:c>
      <x:c r="G2543" s="37" t="str">
        <x:v>52.51</x:v>
      </x:c>
      <x:c r="H2543" s="37" t="str">
        <x:v>0.00</x:v>
      </x:c>
      <x:c r="I2543" s="37" t="str">
        <x:v>47.54</x:v>
      </x:c>
      <x:c r="J2543" s="37" t="str">
        <x:v>4.97</x:v>
      </x:c>
      <x:c r="K2543" s="37" t="str">
        <x:v>0.00</x:v>
      </x:c>
      <x:c r="L2543" s="37" t="str">
        <x:v>48</x:v>
      </x:c>
      <x:c r="M2543" s="29" t="str">
        <x:v>54.59</x:v>
      </x:c>
      <x:c r="N2543" s="29" t="str">
        <x:v>42.02</x:v>
      </x:c>
      <x:c r="O2543" s="29" t="str">
        <x:v>12.57</x:v>
      </x:c>
      <x:c r="P2543" s="18" t="str">
        <x:v>2026-06-26</x:v>
      </x:c>
      <x:c r="Q2543" s="36" t="n">
        <x:v>46199</x:v>
      </x:c>
    </x:row>
    <x:row r="2544">
      <x:c r="A2544" s="36" t="str">
        <x:v>2026-06-26</x:v>
      </x:c>
      <x:c r="B2544" s="18" t="str">
        <x:v>101437000_83019</x:v>
      </x:c>
      <x:c r="C2544" s="18" t="str">
        <x:v>【沪村小电】首创禧瑞云启东区充电站</x:v>
      </x:c>
      <x:c r="D2544" s="37" t="str">
        <x:v>2</x:v>
      </x:c>
      <x:c r="E2544" s="37" t="str">
        <x:v>0</x:v>
      </x:c>
      <x:c r="F2544" s="37" t="str">
        <x:v>41</x:v>
      </x:c>
      <x:c r="G2544" s="37" t="str">
        <x:v>954.28</x:v>
      </x:c>
      <x:c r="H2544" s="37" t="str">
        <x:v>0.00</x:v>
      </x:c>
      <x:c r="I2544" s="37" t="str">
        <x:v>690.94</x:v>
      </x:c>
      <x:c r="J2544" s="37" t="str">
        <x:v>0.00</x:v>
      </x:c>
      <x:c r="K2544" s="37" t="str">
        <x:v>263.34</x:v>
      </x:c>
      <x:c r="L2544" s="37" t="str">
        <x:v>1259</x:v>
      </x:c>
      <x:c r="M2544" s="29" t="str">
        <x:v>797.67</x:v>
      </x:c>
      <x:c r="N2544" s="29" t="str">
        <x:v>571.57</x:v>
      </x:c>
      <x:c r="O2544" s="29" t="str">
        <x:v>226.10</x:v>
      </x:c>
      <x:c r="P2544" s="18" t="str">
        <x:v>2026-06-26</x:v>
      </x:c>
      <x:c r="Q2544" s="36" t="n">
        <x:v>46199</x:v>
      </x:c>
    </x:row>
    <x:row r="2545">
      <x:c r="A2545" s="36" t="str">
        <x:v>2026-06-26</x:v>
      </x:c>
      <x:c r="B2545" s="18" t="str">
        <x:v>101437000_83093</x:v>
      </x:c>
      <x:c r="C2545" s="18" t="str">
        <x:v>【沪村小电】金茂未来时光里</x:v>
      </x:c>
      <x:c r="D2545" s="37" t="str">
        <x:v>2</x:v>
      </x:c>
      <x:c r="E2545" s="37" t="str">
        <x:v>0</x:v>
      </x:c>
      <x:c r="F2545" s="37" t="str">
        <x:v>25</x:v>
      </x:c>
      <x:c r="G2545" s="37" t="str">
        <x:v>645.35</x:v>
      </x:c>
      <x:c r="H2545" s="37" t="str">
        <x:v>0.00</x:v>
      </x:c>
      <x:c r="I2545" s="37" t="str">
        <x:v>383.52</x:v>
      </x:c>
      <x:c r="J2545" s="37" t="str">
        <x:v>0.00</x:v>
      </x:c>
      <x:c r="K2545" s="37" t="str">
        <x:v>261.83</x:v>
      </x:c>
      <x:c r="L2545" s="37" t="str">
        <x:v>1176</x:v>
      </x:c>
      <x:c r="M2545" s="29" t="str">
        <x:v>460.64</x:v>
      </x:c>
      <x:c r="N2545" s="29" t="str">
        <x:v>307.42</x:v>
      </x:c>
      <x:c r="O2545" s="29" t="str">
        <x:v>153.22</x:v>
      </x:c>
      <x:c r="P2545" s="18" t="str">
        <x:v>2026-06-26</x:v>
      </x:c>
      <x:c r="Q2545" s="36" t="n">
        <x:v>46199</x:v>
      </x:c>
    </x:row>
    <x:row r="2546">
      <x:c r="A2546" s="36" t="str">
        <x:v>2026-06-26</x:v>
      </x:c>
      <x:c r="B2546" s="18" t="str">
        <x:v>101437000_83911</x:v>
      </x:c>
      <x:c r="C2546" s="18" t="str">
        <x:v>【沪村小电】金瀚园充电站</x:v>
      </x:c>
      <x:c r="D2546" s="37" t="str">
        <x:v>2</x:v>
      </x:c>
      <x:c r="E2546" s="37" t="str">
        <x:v>0</x:v>
      </x:c>
      <x:c r="F2546" s="37" t="str">
        <x:v>30</x:v>
      </x:c>
      <x:c r="G2546" s="37" t="str">
        <x:v>753.52</x:v>
      </x:c>
      <x:c r="H2546" s="37" t="str">
        <x:v>0.00</x:v>
      </x:c>
      <x:c r="I2546" s="37" t="str">
        <x:v>463.33</x:v>
      </x:c>
      <x:c r="J2546" s="37" t="str">
        <x:v>0.00</x:v>
      </x:c>
      <x:c r="K2546" s="37" t="str">
        <x:v>290.20</x:v>
      </x:c>
      <x:c r="L2546" s="37" t="str">
        <x:v>1194</x:v>
      </x:c>
      <x:c r="M2546" s="29" t="str">
        <x:v>740.46</x:v>
      </x:c>
      <x:c r="N2546" s="29" t="str">
        <x:v>453.15</x:v>
      </x:c>
      <x:c r="O2546" s="29" t="str">
        <x:v>287.31</x:v>
      </x:c>
      <x:c r="P2546" s="18" t="str">
        <x:v>2026-06-26</x:v>
      </x:c>
      <x:c r="Q2546" s="36" t="n">
        <x:v>46199</x:v>
      </x:c>
    </x:row>
    <x:row r="2547">
      <x:c r="A2547" s="36" t="str">
        <x:v>2026-06-26</x:v>
      </x:c>
      <x:c r="B2547" s="18" t="str">
        <x:v>101437000_83913</x:v>
      </x:c>
      <x:c r="C2547" s="18" t="str">
        <x:v>【沪村小电】新黎村充电站</x:v>
      </x:c>
      <x:c r="D2547" s="37" t="str">
        <x:v>2</x:v>
      </x:c>
      <x:c r="E2547" s="37" t="str">
        <x:v>0</x:v>
      </x:c>
      <x:c r="F2547" s="37" t="str">
        <x:v>31</x:v>
      </x:c>
      <x:c r="G2547" s="37" t="str">
        <x:v>753.87</x:v>
      </x:c>
      <x:c r="H2547" s="37" t="str">
        <x:v>0.00</x:v>
      </x:c>
      <x:c r="I2547" s="37" t="str">
        <x:v>505.43</x:v>
      </x:c>
      <x:c r="J2547" s="37" t="str">
        <x:v>0.00</x:v>
      </x:c>
      <x:c r="K2547" s="37" t="str">
        <x:v>248.44</x:v>
      </x:c>
      <x:c r="L2547" s="37" t="str">
        <x:v>1114</x:v>
      </x:c>
      <x:c r="M2547" s="29" t="str">
        <x:v>755.19</x:v>
      </x:c>
      <x:c r="N2547" s="29" t="str">
        <x:v>657.32</x:v>
      </x:c>
      <x:c r="O2547" s="29" t="str">
        <x:v>97.87</x:v>
      </x:c>
      <x:c r="P2547" s="18" t="str">
        <x:v>2026-06-26</x:v>
      </x:c>
      <x:c r="Q2547" s="36" t="n">
        <x:v>46199</x:v>
      </x:c>
    </x:row>
    <x:row r="2548">
      <x:c r="A2548" s="36" t="str">
        <x:v>2026-06-26</x:v>
      </x:c>
      <x:c r="B2548" s="18" t="str">
        <x:v>101437000_83915</x:v>
      </x:c>
      <x:c r="C2548" s="18" t="str">
        <x:v>【沪村小电】长泰西郊别墅充电站</x:v>
      </x:c>
      <x:c r="D2548" s="37" t="str">
        <x:v>2</x:v>
      </x:c>
      <x:c r="E2548" s="37" t="str">
        <x:v>0</x:v>
      </x:c>
      <x:c r="F2548" s="37" t="str">
        <x:v>14</x:v>
      </x:c>
      <x:c r="G2548" s="37" t="str">
        <x:v>375.55</x:v>
      </x:c>
      <x:c r="H2548" s="37" t="str">
        <x:v>0.00</x:v>
      </x:c>
      <x:c r="I2548" s="37" t="str">
        <x:v>342.12</x:v>
      </x:c>
      <x:c r="J2548" s="37" t="str">
        <x:v>0.00</x:v>
      </x:c>
      <x:c r="K2548" s="37" t="str">
        <x:v>33.43</x:v>
      </x:c>
      <x:c r="L2548" s="37" t="str">
        <x:v>454</x:v>
      </x:c>
      <x:c r="M2548" s="29" t="str">
        <x:v>356.90</x:v>
      </x:c>
      <x:c r="N2548" s="29" t="str">
        <x:v>265.89</x:v>
      </x:c>
      <x:c r="O2548" s="29" t="str">
        <x:v>91.01</x:v>
      </x:c>
      <x:c r="P2548" s="18" t="str">
        <x:v>2026-06-26</x:v>
      </x:c>
      <x:c r="Q2548" s="36" t="n">
        <x:v>46199</x:v>
      </x:c>
    </x:row>
    <x:row r="2549">
      <x:c r="A2549" s="36" t="str">
        <x:v>2026-06-26</x:v>
      </x:c>
      <x:c r="B2549" s="18" t="str">
        <x:v>101437000_83917</x:v>
      </x:c>
      <x:c r="C2549" s="18" t="str">
        <x:v>【沪村小电】旭新华庭充电站</x:v>
      </x:c>
      <x:c r="D2549" s="37" t="str">
        <x:v>4</x:v>
      </x:c>
      <x:c r="E2549" s="37" t="str">
        <x:v>0</x:v>
      </x:c>
      <x:c r="F2549" s="37" t="str">
        <x:v>21</x:v>
      </x:c>
      <x:c r="G2549" s="37" t="str">
        <x:v>560.14</x:v>
      </x:c>
      <x:c r="H2549" s="37" t="str">
        <x:v>0.00</x:v>
      </x:c>
      <x:c r="I2549" s="37" t="str">
        <x:v>375.82</x:v>
      </x:c>
      <x:c r="J2549" s="37" t="str">
        <x:v>0.00</x:v>
      </x:c>
      <x:c r="K2549" s="37" t="str">
        <x:v>184.32</x:v>
      </x:c>
      <x:c r="L2549" s="37" t="str">
        <x:v>807</x:v>
      </x:c>
      <x:c r="M2549" s="29" t="str">
        <x:v>536.18</x:v>
      </x:c>
      <x:c r="N2549" s="29" t="str">
        <x:v>348.12</x:v>
      </x:c>
      <x:c r="O2549" s="29" t="str">
        <x:v>188.06</x:v>
      </x:c>
      <x:c r="P2549" s="18" t="str">
        <x:v>2026-06-26</x:v>
      </x:c>
      <x:c r="Q2549" s="36" t="n">
        <x:v>46199</x:v>
      </x:c>
    </x:row>
    <x:row r="2550">
      <x:c r="A2550" s="36" t="str">
        <x:v>2026-06-26</x:v>
      </x:c>
      <x:c r="B2550" s="18" t="str">
        <x:v>101437000_83919</x:v>
      </x:c>
      <x:c r="C2550" s="18" t="str">
        <x:v>【沪村小电】浦锦名仕嘉园充电站</x:v>
      </x:c>
      <x:c r="D2550" s="37" t="str">
        <x:v>4</x:v>
      </x:c>
      <x:c r="E2550" s="37" t="str">
        <x:v>0</x:v>
      </x:c>
      <x:c r="F2550" s="37" t="str">
        <x:v>28</x:v>
      </x:c>
      <x:c r="G2550" s="37" t="str">
        <x:v>712.22</x:v>
      </x:c>
      <x:c r="H2550" s="37" t="str">
        <x:v>0.00</x:v>
      </x:c>
      <x:c r="I2550" s="37" t="str">
        <x:v>0.00</x:v>
      </x:c>
      <x:c r="J2550" s="37" t="str">
        <x:v>712.22</x:v>
      </x:c>
      <x:c r="K2550" s="37" t="str">
        <x:v>0.00</x:v>
      </x:c>
      <x:c r="L2550" s="37" t="str">
        <x:v>956</x:v>
      </x:c>
      <x:c r="M2550" s="29" t="str">
        <x:v>638.04</x:v>
      </x:c>
      <x:c r="N2550" s="29" t="str">
        <x:v>455.82</x:v>
      </x:c>
      <x:c r="O2550" s="29" t="str">
        <x:v>182.22</x:v>
      </x:c>
      <x:c r="P2550" s="18" t="str">
        <x:v>2026-06-26</x:v>
      </x:c>
      <x:c r="Q2550" s="36" t="n">
        <x:v>46199</x:v>
      </x:c>
    </x:row>
    <x:row r="2551">
      <x:c r="A2551" s="36" t="str">
        <x:v>2026-06-26</x:v>
      </x:c>
      <x:c r="B2551" s="18" t="str">
        <x:v>101437000_83921</x:v>
      </x:c>
      <x:c r="C2551" s="18" t="str">
        <x:v>【沪村小电】上海联怡枇杷乐园充电站（地库）</x:v>
      </x:c>
      <x:c r="D2551" s="37" t="str">
        <x:v>8</x:v>
      </x:c>
      <x:c r="E2551" s="37" t="str">
        <x:v>0</x:v>
      </x:c>
      <x:c r="F2551" s="37" t="str">
        <x:v>3</x:v>
      </x:c>
      <x:c r="G2551" s="37" t="str">
        <x:v>71.03</x:v>
      </x:c>
      <x:c r="H2551" s="37" t="str">
        <x:v>0.00</x:v>
      </x:c>
      <x:c r="I2551" s="37" t="str">
        <x:v>8.25</x:v>
      </x:c>
      <x:c r="J2551" s="37" t="str">
        <x:v>0.00</x:v>
      </x:c>
      <x:c r="K2551" s="37" t="str">
        <x:v>62.78</x:v>
      </x:c>
      <x:c r="L2551" s="37" t="str">
        <x:v>93</x:v>
      </x:c>
      <x:c r="M2551" s="29" t="str">
        <x:v>46.67</x:v>
      </x:c>
      <x:c r="N2551" s="29" t="str">
        <x:v>41.85</x:v>
      </x:c>
      <x:c r="O2551" s="29" t="str">
        <x:v>4.82</x:v>
      </x:c>
      <x:c r="P2551" s="18" t="str">
        <x:v>2026-06-26</x:v>
      </x:c>
      <x:c r="Q2551" s="36" t="n">
        <x:v>46199</x:v>
      </x:c>
    </x:row>
    <x:row r="2552">
      <x:c r="A2552" s="36" t="str">
        <x:v>2026-06-26</x:v>
      </x:c>
      <x:c r="B2552" s="18" t="str">
        <x:v>101437000_83923</x:v>
      </x:c>
      <x:c r="C2552" s="18" t="str">
        <x:v>【沪村小电】明珠新苑充电站</x:v>
      </x:c>
      <x:c r="D2552" s="37" t="str">
        <x:v>2</x:v>
      </x:c>
      <x:c r="E2552" s="37" t="str">
        <x:v>0</x:v>
      </x:c>
      <x:c r="F2552" s="37" t="str">
        <x:v>34</x:v>
      </x:c>
      <x:c r="G2552" s="37" t="str">
        <x:v>829.69</x:v>
      </x:c>
      <x:c r="H2552" s="37" t="str">
        <x:v>0.00</x:v>
      </x:c>
      <x:c r="I2552" s="37" t="str">
        <x:v>575.16</x:v>
      </x:c>
      <x:c r="J2552" s="37" t="str">
        <x:v>0.00</x:v>
      </x:c>
      <x:c r="K2552" s="37" t="str">
        <x:v>254.53</x:v>
      </x:c>
      <x:c r="L2552" s="37" t="str">
        <x:v>1087</x:v>
      </x:c>
      <x:c r="M2552" s="29" t="str">
        <x:v>740.99</x:v>
      </x:c>
      <x:c r="N2552" s="29" t="str">
        <x:v>522.36</x:v>
      </x:c>
      <x:c r="O2552" s="29" t="str">
        <x:v>218.63</x:v>
      </x:c>
      <x:c r="P2552" s="18" t="str">
        <x:v>2026-06-26</x:v>
      </x:c>
      <x:c r="Q2552" s="36" t="n">
        <x:v>46199</x:v>
      </x:c>
    </x:row>
    <x:row r="2553">
      <x:c r="A2553" s="36" t="str">
        <x:v>2026-06-26</x:v>
      </x:c>
      <x:c r="B2553" s="18" t="str">
        <x:v>101437000_84289</x:v>
      </x:c>
      <x:c r="C2553" s="18" t="str">
        <x:v>【沪村小电】铁建芳华苑充电站</x:v>
      </x:c>
      <x:c r="D2553" s="37" t="str">
        <x:v>4</x:v>
      </x:c>
      <x:c r="E2553" s="37" t="str">
        <x:v>0</x:v>
      </x:c>
      <x:c r="F2553" s="37" t="str">
        <x:v>25</x:v>
      </x:c>
      <x:c r="G2553" s="37" t="str">
        <x:v>723.42</x:v>
      </x:c>
      <x:c r="H2553" s="37" t="str">
        <x:v>0.00</x:v>
      </x:c>
      <x:c r="I2553" s="37" t="str">
        <x:v>455.13</x:v>
      </x:c>
      <x:c r="J2553" s="37" t="str">
        <x:v>0.00</x:v>
      </x:c>
      <x:c r="K2553" s="37" t="str">
        <x:v>268.30</x:v>
      </x:c>
      <x:c r="L2553" s="37" t="str">
        <x:v>1046</x:v>
      </x:c>
      <x:c r="M2553" s="29" t="str">
        <x:v>629.54</x:v>
      </x:c>
      <x:c r="N2553" s="29" t="str">
        <x:v>438.75</x:v>
      </x:c>
      <x:c r="O2553" s="29" t="str">
        <x:v>190.79</x:v>
      </x:c>
      <x:c r="P2553" s="18" t="str">
        <x:v>2026-06-26</x:v>
      </x:c>
      <x:c r="Q2553" s="36" t="n">
        <x:v>46199</x:v>
      </x:c>
    </x:row>
    <x:row r="2554">
      <x:c r="A2554" s="36" t="str">
        <x:v>2026-06-26</x:v>
      </x:c>
      <x:c r="B2554" s="18" t="str">
        <x:v>101437000_86379</x:v>
      </x:c>
      <x:c r="C2554" s="18" t="str">
        <x:v>【沪村小电】新宝社区充电站</x:v>
      </x:c>
      <x:c r="D2554" s="37" t="str">
        <x:v>4</x:v>
      </x:c>
      <x:c r="E2554" s="37" t="str">
        <x:v>0</x:v>
      </x:c>
      <x:c r="F2554" s="37" t="str">
        <x:v>19</x:v>
      </x:c>
      <x:c r="G2554" s="37" t="str">
        <x:v>434.23</x:v>
      </x:c>
      <x:c r="H2554" s="37" t="str">
        <x:v>0.00</x:v>
      </x:c>
      <x:c r="I2554" s="37" t="str">
        <x:v>165.55</x:v>
      </x:c>
      <x:c r="J2554" s="37" t="str">
        <x:v>0.00</x:v>
      </x:c>
      <x:c r="K2554" s="37" t="str">
        <x:v>268.68</x:v>
      </x:c>
      <x:c r="L2554" s="37" t="str">
        <x:v>865</x:v>
      </x:c>
      <x:c r="M2554" s="29" t="str">
        <x:v>306.27</x:v>
      </x:c>
      <x:c r="N2554" s="29" t="str">
        <x:v>224.62</x:v>
      </x:c>
      <x:c r="O2554" s="29" t="str">
        <x:v>81.65</x:v>
      </x:c>
      <x:c r="P2554" s="18" t="str">
        <x:v>2026-06-26</x:v>
      </x:c>
      <x:c r="Q2554" s="36" t="n">
        <x:v>46199</x:v>
      </x:c>
    </x:row>
    <x:row r="2555">
      <x:c r="A2555" s="36" t="str">
        <x:v>2026-06-26</x:v>
      </x:c>
      <x:c r="B2555" s="18" t="str">
        <x:v>101437000_89441</x:v>
      </x:c>
      <x:c r="C2555" s="18" t="str">
        <x:v>【沪村小电】首创禧瑞云启西区充电站</x:v>
      </x:c>
      <x:c r="D2555" s="37" t="str">
        <x:v>2</x:v>
      </x:c>
      <x:c r="E2555" s="37" t="str">
        <x:v>0</x:v>
      </x:c>
      <x:c r="F2555" s="37" t="str">
        <x:v>33</x:v>
      </x:c>
      <x:c r="G2555" s="37" t="str">
        <x:v>878.19</x:v>
      </x:c>
      <x:c r="H2555" s="37" t="str">
        <x:v>0.00</x:v>
      </x:c>
      <x:c r="I2555" s="37" t="str">
        <x:v>746.28</x:v>
      </x:c>
      <x:c r="J2555" s="37" t="str">
        <x:v>0.00</x:v>
      </x:c>
      <x:c r="K2555" s="37" t="str">
        <x:v>131.91</x:v>
      </x:c>
      <x:c r="L2555" s="37" t="str">
        <x:v>1251</x:v>
      </x:c>
      <x:c r="M2555" s="29" t="str">
        <x:v>769.44</x:v>
      </x:c>
      <x:c r="N2555" s="29" t="str">
        <x:v>562.39</x:v>
      </x:c>
      <x:c r="O2555" s="29" t="str">
        <x:v>207.05</x:v>
      </x:c>
      <x:c r="P2555" s="18" t="str">
        <x:v>2026-06-26</x:v>
      </x:c>
      <x:c r="Q2555" s="36" t="n">
        <x:v>46199</x:v>
      </x:c>
    </x:row>
    <x:row r="2556">
      <x:c r="A2556" s="36" t="str">
        <x:v>2026-06-26</x:v>
      </x:c>
      <x:c r="B2556" s="18" t="str">
        <x:v>101437000_89443</x:v>
      </x:c>
      <x:c r="C2556" s="18" t="str">
        <x:v>【沪村小电】玉兰清苑二期充电站</x:v>
      </x:c>
      <x:c r="D2556" s="37" t="str">
        <x:v>2</x:v>
      </x:c>
      <x:c r="E2556" s="37" t="str">
        <x:v>0</x:v>
      </x:c>
      <x:c r="F2556" s="37" t="str">
        <x:v>23</x:v>
      </x:c>
      <x:c r="G2556" s="37" t="str">
        <x:v>571.88</x:v>
      </x:c>
      <x:c r="H2556" s="37" t="str">
        <x:v>0.00</x:v>
      </x:c>
      <x:c r="I2556" s="37" t="str">
        <x:v>456.62</x:v>
      </x:c>
      <x:c r="J2556" s="37" t="str">
        <x:v>0.00</x:v>
      </x:c>
      <x:c r="K2556" s="37" t="str">
        <x:v>115.26</x:v>
      </x:c>
      <x:c r="L2556" s="37" t="str">
        <x:v>879</x:v>
      </x:c>
      <x:c r="M2556" s="29" t="str">
        <x:v>512.19</x:v>
      </x:c>
      <x:c r="N2556" s="29" t="str">
        <x:v>381.70</x:v>
      </x:c>
      <x:c r="O2556" s="29" t="str">
        <x:v>130.49</x:v>
      </x:c>
      <x:c r="P2556" s="18" t="str">
        <x:v>2026-06-26</x:v>
      </x:c>
      <x:c r="Q2556" s="36" t="n">
        <x:v>46199</x:v>
      </x:c>
    </x:row>
    <x:row r="2557">
      <x:c r="A2557" s="36" t="str">
        <x:v>2026-06-26</x:v>
      </x:c>
      <x:c r="B2557" s="18" t="str">
        <x:v>101437000_93115</x:v>
      </x:c>
      <x:c r="C2557" s="18" t="str">
        <x:v>【沪村小电】新南家园西北门</x:v>
      </x:c>
      <x:c r="D2557" s="37" t="str">
        <x:v>2</x:v>
      </x:c>
      <x:c r="E2557" s="37" t="str">
        <x:v>0</x:v>
      </x:c>
      <x:c r="F2557" s="37" t="str">
        <x:v>17</x:v>
      </x:c>
      <x:c r="G2557" s="37" t="str">
        <x:v>467.05</x:v>
      </x:c>
      <x:c r="H2557" s="37" t="str">
        <x:v>0.00</x:v>
      </x:c>
      <x:c r="I2557" s="37" t="str">
        <x:v>339.53</x:v>
      </x:c>
      <x:c r="J2557" s="37" t="str">
        <x:v>0.00</x:v>
      </x:c>
      <x:c r="K2557" s="37" t="str">
        <x:v>127.52</x:v>
      </x:c>
      <x:c r="L2557" s="37" t="str">
        <x:v>797</x:v>
      </x:c>
      <x:c r="M2557" s="29" t="str">
        <x:v>413.17</x:v>
      </x:c>
      <x:c r="N2557" s="29" t="str">
        <x:v>280.17</x:v>
      </x:c>
      <x:c r="O2557" s="29" t="str">
        <x:v>133.00</x:v>
      </x:c>
      <x:c r="P2557" s="18" t="str">
        <x:v>2026-06-26</x:v>
      </x:c>
      <x:c r="Q2557" s="36" t="n">
        <x:v>46199</x:v>
      </x:c>
    </x:row>
    <x:row r="2558">
      <x:c r="A2558" s="36" t="str">
        <x:v>2026-06-26</x:v>
      </x:c>
      <x:c r="B2558" s="18" t="str">
        <x:v>101437000_94649</x:v>
      </x:c>
      <x:c r="C2558" s="18" t="str">
        <x:v>【沪村小电】浪琴水岸花园</x:v>
      </x:c>
      <x:c r="D2558" s="37" t="str">
        <x:v>4</x:v>
      </x:c>
      <x:c r="E2558" s="37" t="str">
        <x:v>0</x:v>
      </x:c>
      <x:c r="F2558" s="37" t="str">
        <x:v>22</x:v>
      </x:c>
      <x:c r="G2558" s="37" t="str">
        <x:v>489.85</x:v>
      </x:c>
      <x:c r="H2558" s="37" t="str">
        <x:v>0.00</x:v>
      </x:c>
      <x:c r="I2558" s="37" t="str">
        <x:v>220.33</x:v>
      </x:c>
      <x:c r="J2558" s="37" t="str">
        <x:v>0.00</x:v>
      </x:c>
      <x:c r="K2558" s="37" t="str">
        <x:v>269.51</x:v>
      </x:c>
      <x:c r="L2558" s="37" t="str">
        <x:v>1025</x:v>
      </x:c>
      <x:c r="M2558" s="29" t="str">
        <x:v>353.63</x:v>
      </x:c>
      <x:c r="N2558" s="29" t="str">
        <x:v>249.06</x:v>
      </x:c>
      <x:c r="O2558" s="29" t="str">
        <x:v>104.57</x:v>
      </x:c>
      <x:c r="P2558" s="18" t="str">
        <x:v>2026-06-26</x:v>
      </x:c>
      <x:c r="Q2558" s="36" t="n">
        <x:v>46199</x:v>
      </x:c>
    </x:row>
    <x:row r="2559">
      <x:c r="A2559" s="36" t="str">
        <x:v>2026-06-26</x:v>
      </x:c>
      <x:c r="B2559" s="18" t="str">
        <x:v>101437000_95077</x:v>
      </x:c>
      <x:c r="C2559" s="18" t="str">
        <x:v>【沪村小电】民乐城惠益绿苑255弄充电站</x:v>
      </x:c>
      <x:c r="D2559" s="37" t="str">
        <x:v>2</x:v>
      </x:c>
      <x:c r="E2559" s="37" t="str">
        <x:v>0</x:v>
      </x:c>
      <x:c r="F2559" s="37" t="str">
        <x:v>12</x:v>
      </x:c>
      <x:c r="G2559" s="37" t="str">
        <x:v>233.01</x:v>
      </x:c>
      <x:c r="H2559" s="37" t="str">
        <x:v>0.00</x:v>
      </x:c>
      <x:c r="I2559" s="37" t="str">
        <x:v>174.76</x:v>
      </x:c>
      <x:c r="J2559" s="37" t="str">
        <x:v>0.00</x:v>
      </x:c>
      <x:c r="K2559" s="37" t="str">
        <x:v>58.25</x:v>
      </x:c>
      <x:c r="L2559" s="37" t="str">
        <x:v>432</x:v>
      </x:c>
      <x:c r="M2559" s="29" t="str">
        <x:v>208.55</x:v>
      </x:c>
      <x:c r="N2559" s="29" t="str">
        <x:v>151.45</x:v>
      </x:c>
      <x:c r="O2559" s="29" t="str">
        <x:v>57.10</x:v>
      </x:c>
      <x:c r="P2559" s="18" t="str">
        <x:v>2026-06-26</x:v>
      </x:c>
      <x:c r="Q2559" s="36" t="n">
        <x:v>46199</x:v>
      </x:c>
    </x:row>
    <x:row r="2560">
      <x:c r="A2560" s="36" t="str">
        <x:v>2026-06-26</x:v>
      </x:c>
      <x:c r="B2560" s="18" t="str">
        <x:v>101437000_95079</x:v>
      </x:c>
      <x:c r="C2560" s="18" t="str">
        <x:v>【沪村小电】民乐城惠益绿苑东苑充电站</x:v>
      </x:c>
      <x:c r="D2560" s="37" t="str">
        <x:v>2</x:v>
      </x:c>
      <x:c r="E2560" s="37" t="str">
        <x:v>0</x:v>
      </x:c>
      <x:c r="F2560" s="37" t="str">
        <x:v>7</x:v>
      </x:c>
      <x:c r="G2560" s="37" t="str">
        <x:v>230.29</x:v>
      </x:c>
      <x:c r="H2560" s="37" t="str">
        <x:v>0.00</x:v>
      </x:c>
      <x:c r="I2560" s="37" t="str">
        <x:v>157.94</x:v>
      </x:c>
      <x:c r="J2560" s="37" t="str">
        <x:v>0.00</x:v>
      </x:c>
      <x:c r="K2560" s="37" t="str">
        <x:v>72.35</x:v>
      </x:c>
      <x:c r="L2560" s="37" t="str">
        <x:v>303</x:v>
      </x:c>
      <x:c r="M2560" s="29" t="str">
        <x:v>188.03</x:v>
      </x:c>
      <x:c r="N2560" s="29" t="str">
        <x:v>135.03</x:v>
      </x:c>
      <x:c r="O2560" s="29" t="str">
        <x:v>53.00</x:v>
      </x:c>
      <x:c r="P2560" s="18" t="str">
        <x:v>2026-06-26</x:v>
      </x:c>
      <x:c r="Q2560" s="36" t="n">
        <x:v>46199</x:v>
      </x:c>
    </x:row>
    <x:row r="2561">
      <x:c r="A2561" s="36" t="str">
        <x:v>2026-06-26</x:v>
      </x:c>
      <x:c r="B2561" s="18" t="str">
        <x:v>101437000_95091</x:v>
      </x:c>
      <x:c r="C2561" s="18" t="str">
        <x:v>【沪村小电】金悦学府2号站</x:v>
      </x:c>
      <x:c r="D2561" s="37" t="str">
        <x:v>2</x:v>
      </x:c>
      <x:c r="E2561" s="37" t="str">
        <x:v>0</x:v>
      </x:c>
      <x:c r="F2561" s="37" t="str">
        <x:v>10</x:v>
      </x:c>
      <x:c r="G2561" s="37" t="str">
        <x:v>326.40</x:v>
      </x:c>
      <x:c r="H2561" s="37" t="str">
        <x:v>0.00</x:v>
      </x:c>
      <x:c r="I2561" s="37" t="str">
        <x:v>0.00</x:v>
      </x:c>
      <x:c r="J2561" s="37" t="str">
        <x:v>326.40</x:v>
      </x:c>
      <x:c r="K2561" s="37" t="str">
        <x:v>0.00</x:v>
      </x:c>
      <x:c r="L2561" s="37" t="str">
        <x:v>500</x:v>
      </x:c>
      <x:c r="M2561" s="29" t="str">
        <x:v>257.84</x:v>
      </x:c>
      <x:c r="N2561" s="29" t="str">
        <x:v>182.78</x:v>
      </x:c>
      <x:c r="O2561" s="29" t="str">
        <x:v>75.06</x:v>
      </x:c>
      <x:c r="P2561" s="18" t="str">
        <x:v>2026-06-26</x:v>
      </x:c>
      <x:c r="Q2561" s="36" t="n">
        <x:v>46199</x:v>
      </x:c>
    </x:row>
    <x:row r="2562">
      <x:c r="A2562" s="36" t="str">
        <x:v>2026-06-26</x:v>
      </x:c>
      <x:c r="B2562" s="18" t="str">
        <x:v>101437000_95941</x:v>
      </x:c>
      <x:c r="C2562" s="18" t="str">
        <x:v>【沪村小电】惠诚雅苑</x:v>
      </x:c>
      <x:c r="D2562" s="37" t="str">
        <x:v>4</x:v>
      </x:c>
      <x:c r="E2562" s="37" t="str">
        <x:v>0</x:v>
      </x:c>
      <x:c r="F2562" s="37" t="str">
        <x:v>19</x:v>
      </x:c>
      <x:c r="G2562" s="37" t="str">
        <x:v>424.32</x:v>
      </x:c>
      <x:c r="H2562" s="37" t="str">
        <x:v>0.00</x:v>
      </x:c>
      <x:c r="I2562" s="37" t="str">
        <x:v>277.84</x:v>
      </x:c>
      <x:c r="J2562" s="37" t="str">
        <x:v>0.00</x:v>
      </x:c>
      <x:c r="K2562" s="37" t="str">
        <x:v>146.48</x:v>
      </x:c>
      <x:c r="L2562" s="37" t="str">
        <x:v>709</x:v>
      </x:c>
      <x:c r="M2562" s="29" t="str">
        <x:v>309.37</x:v>
      </x:c>
      <x:c r="N2562" s="29" t="str">
        <x:v>209.36</x:v>
      </x:c>
      <x:c r="O2562" s="29" t="str">
        <x:v>100.01</x:v>
      </x:c>
      <x:c r="P2562" s="18" t="str">
        <x:v>2026-06-26</x:v>
      </x:c>
      <x:c r="Q2562" s="36" t="n">
        <x:v>46199</x:v>
      </x:c>
    </x:row>
    <x:row r="2563">
      <x:c r="A2563" s="36" t="str">
        <x:v>2026-06-26</x:v>
      </x:c>
      <x:c r="B2563" s="18" t="str">
        <x:v>101437000_96401</x:v>
      </x:c>
      <x:c r="C2563" s="18" t="str">
        <x:v>【沪村小电】上海联怡枇杷乐园地面站</x:v>
      </x:c>
      <x:c r="D2563" s="37" t="str">
        <x:v>2</x:v>
      </x:c>
      <x:c r="E2563" s="37" t="str">
        <x:v>0</x:v>
      </x:c>
      <x:c r="F2563" s="37" t="str">
        <x:v>7</x:v>
      </x:c>
      <x:c r="G2563" s="37" t="str">
        <x:v>198.95</x:v>
      </x:c>
      <x:c r="H2563" s="37" t="str">
        <x:v>0.00</x:v>
      </x:c>
      <x:c r="I2563" s="37" t="str">
        <x:v>33.52</x:v>
      </x:c>
      <x:c r="J2563" s="37" t="str">
        <x:v>0.00</x:v>
      </x:c>
      <x:c r="K2563" s="37" t="str">
        <x:v>165.43</x:v>
      </x:c>
      <x:c r="L2563" s="37" t="str">
        <x:v>346</x:v>
      </x:c>
      <x:c r="M2563" s="29" t="str">
        <x:v>135.10</x:v>
      </x:c>
      <x:c r="N2563" s="29" t="str">
        <x:v>122.54</x:v>
      </x:c>
      <x:c r="O2563" s="29" t="str">
        <x:v>12.56</x:v>
      </x:c>
      <x:c r="P2563" s="18" t="str">
        <x:v>2026-06-26</x:v>
      </x:c>
      <x:c r="Q2563" s="36" t="n">
        <x:v>46199</x:v>
      </x:c>
    </x:row>
    <x:row r="2564">
      <x:c r="A2564" s="36" t="str">
        <x:v>2026-06-26</x:v>
      </x:c>
      <x:c r="B2564" s="18" t="str">
        <x:v>101437000_97421</x:v>
      </x:c>
      <x:c r="C2564" s="18" t="str">
        <x:v>【沪村小电】玉兰清苑二期（小区外）充电站</x:v>
      </x:c>
      <x:c r="D2564" s="37" t="str">
        <x:v>4</x:v>
      </x:c>
      <x:c r="E2564" s="37" t="str">
        <x:v>0</x:v>
      </x:c>
      <x:c r="F2564" s="37" t="str">
        <x:v>41</x:v>
      </x:c>
      <x:c r="G2564" s="37" t="str">
        <x:v>952.08</x:v>
      </x:c>
      <x:c r="H2564" s="37" t="str">
        <x:v>0.00</x:v>
      </x:c>
      <x:c r="I2564" s="37" t="str">
        <x:v>726.33</x:v>
      </x:c>
      <x:c r="J2564" s="37" t="str">
        <x:v>0.00</x:v>
      </x:c>
      <x:c r="K2564" s="37" t="str">
        <x:v>225.75</x:v>
      </x:c>
      <x:c r="L2564" s="37" t="str">
        <x:v>1727</x:v>
      </x:c>
      <x:c r="M2564" s="29" t="str">
        <x:v>810.02</x:v>
      </x:c>
      <x:c r="N2564" s="29" t="str">
        <x:v>623.25</x:v>
      </x:c>
      <x:c r="O2564" s="29" t="str">
        <x:v>186.77</x:v>
      </x:c>
      <x:c r="P2564" s="18" t="str">
        <x:v>2026-06-26</x:v>
      </x:c>
      <x:c r="Q2564" s="36" t="n">
        <x:v>46199</x:v>
      </x:c>
    </x:row>
    <x:row r="2565">
      <x:c r="A2565" s="36" t="str">
        <x:v>2026-06-26</x:v>
      </x:c>
      <x:c r="B2565" s="18" t="str">
        <x:v>101437000_98013</x:v>
      </x:c>
      <x:c r="C2565" s="18" t="str">
        <x:v>【沪村小电】恒大滨江华府充电站</x:v>
      </x:c>
      <x:c r="D2565" s="37" t="str">
        <x:v>4</x:v>
      </x:c>
      <x:c r="E2565" s="37" t="str">
        <x:v>0</x:v>
      </x:c>
      <x:c r="F2565" s="37" t="str">
        <x:v>8</x:v>
      </x:c>
      <x:c r="G2565" s="37" t="str">
        <x:v>205.04</x:v>
      </x:c>
      <x:c r="H2565" s="37" t="str">
        <x:v>0.00</x:v>
      </x:c>
      <x:c r="I2565" s="37" t="str">
        <x:v>126.02</x:v>
      </x:c>
      <x:c r="J2565" s="37" t="str">
        <x:v>0.00</x:v>
      </x:c>
      <x:c r="K2565" s="37" t="str">
        <x:v>79.02</x:v>
      </x:c>
      <x:c r="L2565" s="37" t="str">
        <x:v>298</x:v>
      </x:c>
      <x:c r="M2565" s="29" t="str">
        <x:v>201.05</x:v>
      </x:c>
      <x:c r="N2565" s="29" t="str">
        <x:v>172.92</x:v>
      </x:c>
      <x:c r="O2565" s="29" t="str">
        <x:v>28.13</x:v>
      </x:c>
      <x:c r="P2565" s="18" t="str">
        <x:v>2026-06-26</x:v>
      </x:c>
      <x:c r="Q2565" s="36" t="n">
        <x:v>46199</x:v>
      </x:c>
    </x:row>
    <x:row r="2566">
      <x:c r="A2566" s="36" t="str">
        <x:v>2026-06-26</x:v>
      </x:c>
      <x:c r="B2566" s="18" t="str">
        <x:v>101437000_98863</x:v>
      </x:c>
      <x:c r="C2566" s="18" t="str">
        <x:v>【沪村小电】欣菊苑充电站</x:v>
      </x:c>
      <x:c r="D2566" s="37" t="str">
        <x:v>4</x:v>
      </x:c>
      <x:c r="E2566" s="37" t="str">
        <x:v>0</x:v>
      </x:c>
      <x:c r="F2566" s="37" t="str">
        <x:v>8</x:v>
      </x:c>
      <x:c r="G2566" s="37" t="str">
        <x:v>121.98</x:v>
      </x:c>
      <x:c r="H2566" s="37" t="str">
        <x:v>0.00</x:v>
      </x:c>
      <x:c r="I2566" s="37" t="str">
        <x:v>97.98</x:v>
      </x:c>
      <x:c r="J2566" s="37" t="str">
        <x:v>0.00</x:v>
      </x:c>
      <x:c r="K2566" s="37" t="str">
        <x:v>24.00</x:v>
      </x:c>
      <x:c r="L2566" s="37" t="str">
        <x:v>263</x:v>
      </x:c>
      <x:c r="M2566" s="29" t="str">
        <x:v>110.54</x:v>
      </x:c>
      <x:c r="N2566" s="29" t="str">
        <x:v>81.63</x:v>
      </x:c>
      <x:c r="O2566" s="29" t="str">
        <x:v>28.91</x:v>
      </x:c>
      <x:c r="P2566" s="18" t="str">
        <x:v>2026-06-26</x:v>
      </x:c>
      <x:c r="Q2566" s="36" t="n">
        <x:v>46199</x:v>
      </x:c>
    </x:row>
    <x:row r="2567">
      <x:c r="A2567" s="36" t="str">
        <x:v>2026-06-26</x:v>
      </x:c>
      <x:c r="B2567" s="18" t="str">
        <x:v>101437000_98865</x:v>
      </x:c>
      <x:c r="C2567" s="18" t="str">
        <x:v>【沪村小电】欣松苑充电站</x:v>
      </x:c>
      <x:c r="D2567" s="37" t="str">
        <x:v>4</x:v>
      </x:c>
      <x:c r="E2567" s="37" t="str">
        <x:v>0</x:v>
      </x:c>
      <x:c r="F2567" s="37" t="str">
        <x:v>4</x:v>
      </x:c>
      <x:c r="G2567" s="37" t="str">
        <x:v>101.61</x:v>
      </x:c>
      <x:c r="H2567" s="37" t="str">
        <x:v>0.00</x:v>
      </x:c>
      <x:c r="I2567" s="37" t="str">
        <x:v>46.55</x:v>
      </x:c>
      <x:c r="J2567" s="37" t="str">
        <x:v>0.00</x:v>
      </x:c>
      <x:c r="K2567" s="37" t="str">
        <x:v>55.06</x:v>
      </x:c>
      <x:c r="L2567" s="37" t="str">
        <x:v>115</x:v>
      </x:c>
      <x:c r="M2567" s="29" t="str">
        <x:v>85.72</x:v>
      </x:c>
      <x:c r="N2567" s="29" t="str">
        <x:v>55.37</x:v>
      </x:c>
      <x:c r="O2567" s="29" t="str">
        <x:v>30.35</x:v>
      </x:c>
      <x:c r="P2567" s="18" t="str">
        <x:v>2026-06-26</x:v>
      </x:c>
      <x:c r="Q2567" s="36" t="n">
        <x:v>46199</x:v>
      </x:c>
    </x:row>
    <x:row r="2568">
      <x:c r="A2568" s="36" t="str">
        <x:v>2026-06-26</x:v>
      </x:c>
      <x:c r="B2568" s="18" t="str">
        <x:v>101437000_98867</x:v>
      </x:c>
      <x:c r="C2568" s="18" t="str">
        <x:v>【沪村小电】欣荷苑充电站</x:v>
      </x:c>
      <x:c r="D2568" s="37" t="str">
        <x:v>4</x:v>
      </x:c>
      <x:c r="E2568" s="37" t="str">
        <x:v>0</x:v>
      </x:c>
      <x:c r="F2568" s="37" t="str">
        <x:v>2</x:v>
      </x:c>
      <x:c r="G2568" s="37" t="str">
        <x:v>37.32</x:v>
      </x:c>
      <x:c r="H2568" s="37" t="str">
        <x:v>0.00</x:v>
      </x:c>
      <x:c r="I2568" s="37" t="str">
        <x:v>15.09</x:v>
      </x:c>
      <x:c r="J2568" s="37" t="str">
        <x:v>0.00</x:v>
      </x:c>
      <x:c r="K2568" s="37" t="str">
        <x:v>22.23</x:v>
      </x:c>
      <x:c r="L2568" s="37" t="str">
        <x:v>76</x:v>
      </x:c>
      <x:c r="M2568" s="29" t="str">
        <x:v>24.82</x:v>
      </x:c>
      <x:c r="N2568" s="29" t="str">
        <x:v>19.62</x:v>
      </x:c>
      <x:c r="O2568" s="29" t="str">
        <x:v>5.20</x:v>
      </x:c>
      <x:c r="P2568" s="18" t="str">
        <x:v>2026-06-26</x:v>
      </x:c>
      <x:c r="Q2568" s="36" t="n">
        <x:v>46199</x:v>
      </x:c>
    </x:row>
    <x:row r="2569">
      <x:c r="A2569" s="36" t="str">
        <x:v>2026-06-26</x:v>
      </x:c>
      <x:c r="B2569" s="18" t="str">
        <x:v>101437000_99885</x:v>
      </x:c>
      <x:c r="C2569" s="18" t="str">
        <x:v>【沪村小电】汇丰馨苑充电站</x:v>
      </x:c>
      <x:c r="D2569" s="37" t="str">
        <x:v>4</x:v>
      </x:c>
      <x:c r="E2569" s="37" t="str">
        <x:v>0</x:v>
      </x:c>
      <x:c r="F2569" s="37" t="str">
        <x:v>11</x:v>
      </x:c>
      <x:c r="G2569" s="37" t="str">
        <x:v>159.35</x:v>
      </x:c>
      <x:c r="H2569" s="37" t="str">
        <x:v>0.00</x:v>
      </x:c>
      <x:c r="I2569" s="37" t="str">
        <x:v>33.21</x:v>
      </x:c>
      <x:c r="J2569" s="37" t="str">
        <x:v>107.98</x:v>
      </x:c>
      <x:c r="K2569" s="37" t="str">
        <x:v>18.17</x:v>
      </x:c>
      <x:c r="L2569" s="37" t="str">
        <x:v>303</x:v>
      </x:c>
      <x:c r="M2569" s="29" t="str">
        <x:v>153.74</x:v>
      </x:c>
      <x:c r="N2569" s="29" t="str">
        <x:v>119.79</x:v>
      </x:c>
      <x:c r="O2569" s="29" t="str">
        <x:v>33.95</x:v>
      </x:c>
      <x:c r="P2569" s="18" t="str">
        <x:v>2026-06-26</x:v>
      </x:c>
      <x:c r="Q2569" s="36" t="n">
        <x:v>46199</x:v>
      </x:c>
    </x:row>
    <x:row r="2570">
      <x:c r="A2570" s="36" t="str">
        <x:v>2026-06-26</x:v>
      </x:c>
      <x:c r="B2570" s="18" t="str">
        <x:v>101437000_99887</x:v>
      </x:c>
      <x:c r="C2570" s="18" t="str">
        <x:v>【沪村小电】新南村河南小区充电站</x:v>
      </x:c>
      <x:c r="D2570" s="37" t="str">
        <x:v>2</x:v>
      </x:c>
      <x:c r="E2570" s="37" t="str">
        <x:v>0</x:v>
      </x:c>
      <x:c r="F2570" s="37" t="str">
        <x:v>15</x:v>
      </x:c>
      <x:c r="G2570" s="37" t="str">
        <x:v>337.33</x:v>
      </x:c>
      <x:c r="H2570" s="37" t="str">
        <x:v>0.00</x:v>
      </x:c>
      <x:c r="I2570" s="37" t="str">
        <x:v>199.42</x:v>
      </x:c>
      <x:c r="J2570" s="37" t="str">
        <x:v>0.00</x:v>
      </x:c>
      <x:c r="K2570" s="37" t="str">
        <x:v>137.91</x:v>
      </x:c>
      <x:c r="L2570" s="37" t="str">
        <x:v>583</x:v>
      </x:c>
      <x:c r="M2570" s="29" t="str">
        <x:v>244.50</x:v>
      </x:c>
      <x:c r="N2570" s="29" t="str">
        <x:v>199.96</x:v>
      </x:c>
      <x:c r="O2570" s="29" t="str">
        <x:v>44.54</x:v>
      </x:c>
      <x:c r="P2570" s="18" t="str">
        <x:v>2026-06-26</x:v>
      </x:c>
      <x:c r="Q2570" s="36" t="n">
        <x:v>46199</x:v>
      </x:c>
    </x:row>
    <x:row r="2571">
      <x:c r="A2571" s="36" t="str">
        <x:v>2026-06-26</x:v>
      </x:c>
      <x:c r="B2571" s="18" t="str">
        <x:v>101437000_99889</x:v>
      </x:c>
      <x:c r="C2571" s="18" t="str">
        <x:v>【沪村小电】漕泾郊野公园</x:v>
      </x:c>
      <x:c r="D2571" s="37" t="str">
        <x:v>2</x:v>
      </x:c>
      <x:c r="E2571" s="37" t="str">
        <x:v>0</x:v>
      </x:c>
      <x:c r="F2571" s="37" t="str">
        <x:v>5</x:v>
      </x:c>
      <x:c r="G2571" s="37" t="str">
        <x:v>87.85</x:v>
      </x:c>
      <x:c r="H2571" s="37" t="str">
        <x:v>0.00</x:v>
      </x:c>
      <x:c r="I2571" s="37" t="str">
        <x:v>31.48</x:v>
      </x:c>
      <x:c r="J2571" s="37" t="str">
        <x:v>56.38</x:v>
      </x:c>
      <x:c r="K2571" s="37" t="str">
        <x:v>0.00</x:v>
      </x:c>
      <x:c r="L2571" s="37" t="str">
        <x:v>145</x:v>
      </x:c>
      <x:c r="M2571" s="29" t="str">
        <x:v>91.81</x:v>
      </x:c>
      <x:c r="N2571" s="29" t="str">
        <x:v>73.23</x:v>
      </x:c>
      <x:c r="O2571" s="29" t="str">
        <x:v>18.58</x:v>
      </x:c>
      <x:c r="P2571" s="18" t="str">
        <x:v>2026-06-26</x:v>
      </x:c>
      <x:c r="Q2571" s="36" t="n">
        <x:v>46199</x:v>
      </x:c>
    </x:row>
    <x:row r="2572">
      <x:c r="A2572" s="36" t="str">
        <x:v>2026-06-26</x:v>
      </x:c>
      <x:c r="B2572" s="18" t="str">
        <x:v>101437000_99891</x:v>
      </x:c>
      <x:c r="C2572" s="18" t="str">
        <x:v>【沪村小电】水韵紫城充电站</x:v>
      </x:c>
      <x:c r="D2572" s="37" t="str">
        <x:v>4</x:v>
      </x:c>
      <x:c r="E2572" s="37" t="str">
        <x:v>0</x:v>
      </x:c>
      <x:c r="F2572" s="37" t="str">
        <x:v>9</x:v>
      </x:c>
      <x:c r="G2572" s="37" t="str">
        <x:v>221.69</x:v>
      </x:c>
      <x:c r="H2572" s="37" t="str">
        <x:v>0.00</x:v>
      </x:c>
      <x:c r="I2572" s="37" t="str">
        <x:v>101.81</x:v>
      </x:c>
      <x:c r="J2572" s="37" t="str">
        <x:v>0.00</x:v>
      </x:c>
      <x:c r="K2572" s="37" t="str">
        <x:v>119.88</x:v>
      </x:c>
      <x:c r="L2572" s="37" t="str">
        <x:v>272</x:v>
      </x:c>
      <x:c r="M2572" s="29" t="str">
        <x:v>183.95</x:v>
      </x:c>
      <x:c r="N2572" s="29" t="str">
        <x:v>120.90</x:v>
      </x:c>
      <x:c r="O2572" s="29" t="str">
        <x:v>63.05</x:v>
      </x:c>
      <x:c r="P2572" s="18" t="str">
        <x:v>2026-06-26</x:v>
      </x:c>
      <x:c r="Q2572" s="36" t="n">
        <x:v>46199</x:v>
      </x:c>
    </x:row>
    <x:row r="2573">
      <x:c r="A2573" s="36" t="str">
        <x:v>2026-06-25</x:v>
      </x:c>
      <x:c r="B2573" s="18" t="str">
        <x:v>101437000_41561</x:v>
      </x:c>
      <x:c r="C2573" s="18" t="str">
        <x:v>【沪村小电】张施小区大门处快充站</x:v>
      </x:c>
      <x:c r="D2573" s="37" t="str">
        <x:v>2</x:v>
      </x:c>
      <x:c r="E2573" s="37" t="str">
        <x:v>0</x:v>
      </x:c>
      <x:c r="F2573" s="37" t="str">
        <x:v>35</x:v>
      </x:c>
      <x:c r="G2573" s="37" t="str">
        <x:v>992.31</x:v>
      </x:c>
      <x:c r="H2573" s="37" t="str">
        <x:v>0.00</x:v>
      </x:c>
      <x:c r="I2573" s="37" t="str">
        <x:v>345.91</x:v>
      </x:c>
      <x:c r="J2573" s="37" t="str">
        <x:v>0.00</x:v>
      </x:c>
      <x:c r="K2573" s="37" t="str">
        <x:v>646.41</x:v>
      </x:c>
      <x:c r="L2573" s="37" t="str">
        <x:v>1679</x:v>
      </x:c>
      <x:c r="M2573" s="29" t="str">
        <x:v>667.65</x:v>
      </x:c>
      <x:c r="N2573" s="29" t="str">
        <x:v>501.61</x:v>
      </x:c>
      <x:c r="O2573" s="29" t="str">
        <x:v>166.04</x:v>
      </x:c>
      <x:c r="P2573" s="18" t="str">
        <x:v>2026-06-25</x:v>
      </x:c>
      <x:c r="Q2573" s="36" t="n">
        <x:v>46198</x:v>
      </x:c>
    </x:row>
    <x:row r="2574">
      <x:c r="A2574" s="36" t="str">
        <x:v>2026-06-25</x:v>
      </x:c>
      <x:c r="B2574" s="18" t="str">
        <x:v>101437000_41563</x:v>
      </x:c>
      <x:c r="C2574" s="18" t="str">
        <x:v>【沪村小电】同心村快充站</x:v>
      </x:c>
      <x:c r="D2574" s="37" t="str">
        <x:v>4</x:v>
      </x:c>
      <x:c r="E2574" s="37" t="str">
        <x:v>0</x:v>
      </x:c>
      <x:c r="F2574" s="37" t="str">
        <x:v>69</x:v>
      </x:c>
      <x:c r="G2574" s="37" t="str">
        <x:v>1338.66</x:v>
      </x:c>
      <x:c r="H2574" s="37" t="str">
        <x:v>0.00</x:v>
      </x:c>
      <x:c r="I2574" s="37" t="str">
        <x:v>958.63</x:v>
      </x:c>
      <x:c r="J2574" s="37" t="str">
        <x:v>0.00</x:v>
      </x:c>
      <x:c r="K2574" s="37" t="str">
        <x:v>380.03</x:v>
      </x:c>
      <x:c r="L2574" s="37" t="str">
        <x:v>3094</x:v>
      </x:c>
      <x:c r="M2574" s="29" t="str">
        <x:v>1103.31</x:v>
      </x:c>
      <x:c r="N2574" s="29" t="str">
        <x:v>798.30</x:v>
      </x:c>
      <x:c r="O2574" s="29" t="str">
        <x:v>305.01</x:v>
      </x:c>
      <x:c r="P2574" s="18" t="str">
        <x:v>2026-06-25</x:v>
      </x:c>
      <x:c r="Q2574" s="36" t="n">
        <x:v>46198</x:v>
      </x:c>
    </x:row>
    <x:row r="2575">
      <x:c r="A2575" s="36" t="str">
        <x:v>2026-06-25</x:v>
      </x:c>
      <x:c r="B2575" s="18" t="str">
        <x:v>101437000_69629</x:v>
      </x:c>
      <x:c r="C2575" s="18" t="str">
        <x:v>【沪村小电】骏丰玲珑坊西苑充电站</x:v>
      </x:c>
      <x:c r="D2575" s="37" t="str">
        <x:v>2</x:v>
      </x:c>
      <x:c r="E2575" s="37" t="str">
        <x:v>0</x:v>
      </x:c>
      <x:c r="F2575" s="37" t="str">
        <x:v>55</x:v>
      </x:c>
      <x:c r="G2575" s="37" t="str">
        <x:v>1378.00</x:v>
      </x:c>
      <x:c r="H2575" s="37" t="str">
        <x:v>0.00</x:v>
      </x:c>
      <x:c r="I2575" s="37" t="str">
        <x:v>755.83</x:v>
      </x:c>
      <x:c r="J2575" s="37" t="str">
        <x:v>0.00</x:v>
      </x:c>
      <x:c r="K2575" s="37" t="str">
        <x:v>622.17</x:v>
      </x:c>
      <x:c r="L2575" s="37" t="str">
        <x:v>2260</x:v>
      </x:c>
      <x:c r="M2575" s="29" t="str">
        <x:v>1106.63</x:v>
      </x:c>
      <x:c r="N2575" s="29" t="str">
        <x:v>795.76</x:v>
      </x:c>
      <x:c r="O2575" s="29" t="str">
        <x:v>310.87</x:v>
      </x:c>
      <x:c r="P2575" s="18" t="str">
        <x:v>2026-06-25</x:v>
      </x:c>
      <x:c r="Q2575" s="36" t="n">
        <x:v>46198</x:v>
      </x:c>
    </x:row>
    <x:row r="2576">
      <x:c r="A2576" s="36" t="str">
        <x:v>2026-06-25</x:v>
      </x:c>
      <x:c r="B2576" s="18" t="str">
        <x:v>101437000_70547</x:v>
      </x:c>
      <x:c r="C2576" s="18" t="str">
        <x:v>【沪村小电】农建村初心馆党群服务中心充电站</x:v>
      </x:c>
      <x:c r="D2576" s="37" t="str">
        <x:v>4</x:v>
      </x:c>
      <x:c r="E2576" s="37" t="str">
        <x:v>0</x:v>
      </x:c>
      <x:c r="F2576" s="37" t="str">
        <x:v>20</x:v>
      </x:c>
      <x:c r="G2576" s="37" t="str">
        <x:v>445.29</x:v>
      </x:c>
      <x:c r="H2576" s="37" t="str">
        <x:v>0.00</x:v>
      </x:c>
      <x:c r="I2576" s="37" t="str">
        <x:v>166.84</x:v>
      </x:c>
      <x:c r="J2576" s="37" t="str">
        <x:v>0.00</x:v>
      </x:c>
      <x:c r="K2576" s="37" t="str">
        <x:v>278.44</x:v>
      </x:c>
      <x:c r="L2576" s="37" t="str">
        <x:v>776</x:v>
      </x:c>
      <x:c r="M2576" s="29" t="str">
        <x:v>380.07</x:v>
      </x:c>
      <x:c r="N2576" s="29" t="str">
        <x:v>321.10</x:v>
      </x:c>
      <x:c r="O2576" s="29" t="str">
        <x:v>58.97</x:v>
      </x:c>
      <x:c r="P2576" s="18" t="str">
        <x:v>2026-06-25</x:v>
      </x:c>
      <x:c r="Q2576" s="36" t="n">
        <x:v>46198</x:v>
      </x:c>
    </x:row>
    <x:row r="2577">
      <x:c r="A2577" s="36" t="str">
        <x:v>2026-06-25</x:v>
      </x:c>
      <x:c r="B2577" s="18" t="str">
        <x:v>101437000_70549</x:v>
      </x:c>
      <x:c r="C2577" s="18" t="str">
        <x:v>【沪村小电】学府路充电站</x:v>
      </x:c>
      <x:c r="D2577" s="37" t="str">
        <x:v>2</x:v>
      </x:c>
      <x:c r="E2577" s="37" t="str">
        <x:v>0</x:v>
      </x:c>
      <x:c r="F2577" s="37" t="str">
        <x:v>8</x:v>
      </x:c>
      <x:c r="G2577" s="37" t="str">
        <x:v>213.08</x:v>
      </x:c>
      <x:c r="H2577" s="37" t="str">
        <x:v>0.00</x:v>
      </x:c>
      <x:c r="I2577" s="37" t="str">
        <x:v>101.04</x:v>
      </x:c>
      <x:c r="J2577" s="37" t="str">
        <x:v>0.00</x:v>
      </x:c>
      <x:c r="K2577" s="37" t="str">
        <x:v>112.04</x:v>
      </x:c>
      <x:c r="L2577" s="37" t="str">
        <x:v>355</x:v>
      </x:c>
      <x:c r="M2577" s="29" t="str">
        <x:v>196.79</x:v>
      </x:c>
      <x:c r="N2577" s="29" t="str">
        <x:v>164.48</x:v>
      </x:c>
      <x:c r="O2577" s="29" t="str">
        <x:v>32.31</x:v>
      </x:c>
      <x:c r="P2577" s="18" t="str">
        <x:v>2026-06-25</x:v>
      </x:c>
      <x:c r="Q2577" s="36" t="n">
        <x:v>46198</x:v>
      </x:c>
    </x:row>
    <x:row r="2578">
      <x:c r="A2578" s="36" t="str">
        <x:v>2026-06-25</x:v>
      </x:c>
      <x:c r="B2578" s="18" t="str">
        <x:v>101437000_71059</x:v>
      </x:c>
      <x:c r="C2578" s="18" t="str">
        <x:v>【沪村小电】宝乐汇商业广场站</x:v>
      </x:c>
      <x:c r="D2578" s="37" t="str">
        <x:v>4</x:v>
      </x:c>
      <x:c r="E2578" s="37" t="str">
        <x:v>0</x:v>
      </x:c>
      <x:c r="F2578" s="37" t="str">
        <x:v>14</x:v>
      </x:c>
      <x:c r="G2578" s="37" t="str">
        <x:v>250.46</x:v>
      </x:c>
      <x:c r="H2578" s="37" t="str">
        <x:v>0.00</x:v>
      </x:c>
      <x:c r="I2578" s="37" t="str">
        <x:v>30.56</x:v>
      </x:c>
      <x:c r="J2578" s="37" t="str">
        <x:v>107.22</x:v>
      </x:c>
      <x:c r="K2578" s="37" t="str">
        <x:v>112.68</x:v>
      </x:c>
      <x:c r="L2578" s="37" t="str">
        <x:v>413</x:v>
      </x:c>
      <x:c r="M2578" s="29" t="str">
        <x:v>215.44</x:v>
      </x:c>
      <x:c r="N2578" s="29" t="str">
        <x:v>152.00</x:v>
      </x:c>
      <x:c r="O2578" s="29" t="str">
        <x:v>63.44</x:v>
      </x:c>
      <x:c r="P2578" s="18" t="str">
        <x:v>2026-06-25</x:v>
      </x:c>
      <x:c r="Q2578" s="36" t="n">
        <x:v>46198</x:v>
      </x:c>
    </x:row>
    <x:row r="2579">
      <x:c r="A2579" s="36" t="str">
        <x:v>2026-06-25</x:v>
      </x:c>
      <x:c r="B2579" s="18" t="str">
        <x:v>101437000_72541</x:v>
      </x:c>
      <x:c r="C2579" s="18" t="str">
        <x:v>【沪村小电】九干路1174弄充电站</x:v>
      </x:c>
      <x:c r="D2579" s="37" t="str">
        <x:v>2</x:v>
      </x:c>
      <x:c r="E2579" s="37" t="str">
        <x:v>0</x:v>
      </x:c>
      <x:c r="F2579" s="37" t="str">
        <x:v>21</x:v>
      </x:c>
      <x:c r="G2579" s="37" t="str">
        <x:v>378.73</x:v>
      </x:c>
      <x:c r="H2579" s="37" t="str">
        <x:v>0.00</x:v>
      </x:c>
      <x:c r="I2579" s="37" t="str">
        <x:v>303.86</x:v>
      </x:c>
      <x:c r="J2579" s="37" t="str">
        <x:v>0.00</x:v>
      </x:c>
      <x:c r="K2579" s="37" t="str">
        <x:v>74.88</x:v>
      </x:c>
      <x:c r="L2579" s="37" t="str">
        <x:v>603</x:v>
      </x:c>
      <x:c r="M2579" s="29" t="str">
        <x:v>366.30</x:v>
      </x:c>
      <x:c r="N2579" s="29" t="str">
        <x:v>253.31</x:v>
      </x:c>
      <x:c r="O2579" s="29" t="str">
        <x:v>112.99</x:v>
      </x:c>
      <x:c r="P2579" s="18" t="str">
        <x:v>2026-06-25</x:v>
      </x:c>
      <x:c r="Q2579" s="36" t="n">
        <x:v>46198</x:v>
      </x:c>
    </x:row>
    <x:row r="2580">
      <x:c r="A2580" s="36" t="str">
        <x:v>2026-06-25</x:v>
      </x:c>
      <x:c r="B2580" s="18" t="str">
        <x:v>101437000_72543</x:v>
      </x:c>
      <x:c r="C2580" s="18" t="str">
        <x:v>【沪村小电】叶家中心村小区充电站</x:v>
      </x:c>
      <x:c r="D2580" s="37" t="str">
        <x:v>2</x:v>
      </x:c>
      <x:c r="E2580" s="37" t="str">
        <x:v>0</x:v>
      </x:c>
      <x:c r="F2580" s="37" t="str">
        <x:v>39</x:v>
      </x:c>
      <x:c r="G2580" s="37" t="str">
        <x:v>869.82</x:v>
      </x:c>
      <x:c r="H2580" s="37" t="str">
        <x:v>0.00</x:v>
      </x:c>
      <x:c r="I2580" s="37" t="str">
        <x:v>504.39</x:v>
      </x:c>
      <x:c r="J2580" s="37" t="str">
        <x:v>0.00</x:v>
      </x:c>
      <x:c r="K2580" s="37" t="str">
        <x:v>365.43</x:v>
      </x:c>
      <x:c r="L2580" s="37" t="str">
        <x:v>1476</x:v>
      </x:c>
      <x:c r="M2580" s="29" t="str">
        <x:v>726.58</x:v>
      </x:c>
      <x:c r="N2580" s="29" t="str">
        <x:v>512.15</x:v>
      </x:c>
      <x:c r="O2580" s="29" t="str">
        <x:v>214.43</x:v>
      </x:c>
      <x:c r="P2580" s="18" t="str">
        <x:v>2026-06-25</x:v>
      </x:c>
      <x:c r="Q2580" s="36" t="n">
        <x:v>46198</x:v>
      </x:c>
    </x:row>
    <x:row r="2581">
      <x:c r="A2581" s="36" t="str">
        <x:v>2026-06-25</x:v>
      </x:c>
      <x:c r="B2581" s="18" t="str">
        <x:v>101437000_72937</x:v>
      </x:c>
      <x:c r="C2581" s="18" t="str">
        <x:v>【沪村小电】佘北家园茸腾苑充电站</x:v>
      </x:c>
      <x:c r="D2581" s="37" t="str">
        <x:v>4</x:v>
      </x:c>
      <x:c r="E2581" s="37" t="str">
        <x:v>0</x:v>
      </x:c>
      <x:c r="F2581" s="37" t="str">
        <x:v>11</x:v>
      </x:c>
      <x:c r="G2581" s="37" t="str">
        <x:v>328.16</x:v>
      </x:c>
      <x:c r="H2581" s="37" t="str">
        <x:v>0.00</x:v>
      </x:c>
      <x:c r="I2581" s="37" t="str">
        <x:v>328.16</x:v>
      </x:c>
      <x:c r="J2581" s="37" t="str">
        <x:v>0.00</x:v>
      </x:c>
      <x:c r="K2581" s="37" t="str">
        <x:v>0.00</x:v>
      </x:c>
      <x:c r="L2581" s="37" t="str">
        <x:v>511</x:v>
      </x:c>
      <x:c r="M2581" s="29" t="str">
        <x:v>330.79</x:v>
      </x:c>
      <x:c r="N2581" s="29" t="str">
        <x:v>242.83</x:v>
      </x:c>
      <x:c r="O2581" s="29" t="str">
        <x:v>87.96</x:v>
      </x:c>
      <x:c r="P2581" s="18" t="str">
        <x:v>2026-06-25</x:v>
      </x:c>
      <x:c r="Q2581" s="36" t="n">
        <x:v>46198</x:v>
      </x:c>
    </x:row>
    <x:row r="2582">
      <x:c r="A2582" s="36" t="str">
        <x:v>2026-06-25</x:v>
      </x:c>
      <x:c r="B2582" s="18" t="str">
        <x:v>101437000_74223</x:v>
      </x:c>
      <x:c r="C2582" s="18" t="str">
        <x:v>【沪村小电】中兴村委会充电站</x:v>
      </x:c>
      <x:c r="D2582" s="37" t="str">
        <x:v>2</x:v>
      </x:c>
      <x:c r="E2582" s="37" t="str">
        <x:v>0</x:v>
      </x:c>
      <x:c r="F2582" s="37" t="str">
        <x:v>13</x:v>
      </x:c>
      <x:c r="G2582" s="37" t="str">
        <x:v>325.85</x:v>
      </x:c>
      <x:c r="H2582" s="37" t="str">
        <x:v>0.00</x:v>
      </x:c>
      <x:c r="I2582" s="37" t="str">
        <x:v>163.16</x:v>
      </x:c>
      <x:c r="J2582" s="37" t="str">
        <x:v>0.00</x:v>
      </x:c>
      <x:c r="K2582" s="37" t="str">
        <x:v>162.69</x:v>
      </x:c>
      <x:c r="L2582" s="37" t="str">
        <x:v>560</x:v>
      </x:c>
      <x:c r="M2582" s="29" t="str">
        <x:v>292.35</x:v>
      </x:c>
      <x:c r="N2582" s="29" t="str">
        <x:v>255.90</x:v>
      </x:c>
      <x:c r="O2582" s="29" t="str">
        <x:v>36.45</x:v>
      </x:c>
      <x:c r="P2582" s="18" t="str">
        <x:v>2026-06-25</x:v>
      </x:c>
      <x:c r="Q2582" s="36" t="n">
        <x:v>46198</x:v>
      </x:c>
    </x:row>
    <x:row r="2583">
      <x:c r="A2583" s="36" t="str">
        <x:v>2026-06-25</x:v>
      </x:c>
      <x:c r="B2583" s="18" t="str">
        <x:v>101437000_74801</x:v>
      </x:c>
      <x:c r="C2583" s="18" t="str">
        <x:v>【沪村小电】申良花园充电站</x:v>
      </x:c>
      <x:c r="D2583" s="37" t="str">
        <x:v>4</x:v>
      </x:c>
      <x:c r="E2583" s="37" t="str">
        <x:v>0</x:v>
      </x:c>
      <x:c r="F2583" s="37" t="str">
        <x:v>6</x:v>
      </x:c>
      <x:c r="G2583" s="37" t="str">
        <x:v>124.93</x:v>
      </x:c>
      <x:c r="H2583" s="37" t="str">
        <x:v>0.00</x:v>
      </x:c>
      <x:c r="I2583" s="37" t="str">
        <x:v>124.93</x:v>
      </x:c>
      <x:c r="J2583" s="37" t="str">
        <x:v>0.00</x:v>
      </x:c>
      <x:c r="K2583" s="37" t="str">
        <x:v>0.00</x:v>
      </x:c>
      <x:c r="L2583" s="37" t="str">
        <x:v>186</x:v>
      </x:c>
      <x:c r="M2583" s="29" t="str">
        <x:v>140.80</x:v>
      </x:c>
      <x:c r="N2583" s="29" t="str">
        <x:v>92.45</x:v>
      </x:c>
      <x:c r="O2583" s="29" t="str">
        <x:v>48.35</x:v>
      </x:c>
      <x:c r="P2583" s="18" t="str">
        <x:v>2026-06-25</x:v>
      </x:c>
      <x:c r="Q2583" s="36" t="n">
        <x:v>46198</x:v>
      </x:c>
    </x:row>
    <x:row r="2584">
      <x:c r="A2584" s="36" t="str">
        <x:v>2026-06-25</x:v>
      </x:c>
      <x:c r="B2584" s="18" t="str">
        <x:v>101437000_74931</x:v>
      </x:c>
      <x:c r="C2584" s="18" t="str">
        <x:v>【沪村小电】枫雅南居充电站</x:v>
      </x:c>
      <x:c r="D2584" s="37" t="str">
        <x:v>2</x:v>
      </x:c>
      <x:c r="E2584" s="37" t="str">
        <x:v>0</x:v>
      </x:c>
      <x:c r="F2584" s="37" t="str">
        <x:v>8</x:v>
      </x:c>
      <x:c r="G2584" s="37" t="str">
        <x:v>190.83</x:v>
      </x:c>
      <x:c r="H2584" s="37" t="str">
        <x:v>0.00</x:v>
      </x:c>
      <x:c r="I2584" s="37" t="str">
        <x:v>89.58</x:v>
      </x:c>
      <x:c r="J2584" s="37" t="str">
        <x:v>0.00</x:v>
      </x:c>
      <x:c r="K2584" s="37" t="str">
        <x:v>101.25</x:v>
      </x:c>
      <x:c r="L2584" s="37" t="str">
        <x:v>350</x:v>
      </x:c>
      <x:c r="M2584" s="29" t="str">
        <x:v>131.91</x:v>
      </x:c>
      <x:c r="N2584" s="29" t="str">
        <x:v>84.25</x:v>
      </x:c>
      <x:c r="O2584" s="29" t="str">
        <x:v>47.66</x:v>
      </x:c>
      <x:c r="P2584" s="18" t="str">
        <x:v>2026-06-25</x:v>
      </x:c>
      <x:c r="Q2584" s="36" t="n">
        <x:v>46198</x:v>
      </x:c>
    </x:row>
    <x:row r="2585">
      <x:c r="A2585" s="36" t="str">
        <x:v>2026-06-25</x:v>
      </x:c>
      <x:c r="B2585" s="18" t="str">
        <x:v>101437000_75901</x:v>
      </x:c>
      <x:c r="C2585" s="18" t="str">
        <x:v>【沪村小电】金悦学府</x:v>
      </x:c>
      <x:c r="D2585" s="37" t="str">
        <x:v>2</x:v>
      </x:c>
      <x:c r="E2585" s="37" t="str">
        <x:v>0</x:v>
      </x:c>
      <x:c r="F2585" s="37" t="str">
        <x:v>14</x:v>
      </x:c>
      <x:c r="G2585" s="37" t="str">
        <x:v>313.17</x:v>
      </x:c>
      <x:c r="H2585" s="37" t="str">
        <x:v>0.00</x:v>
      </x:c>
      <x:c r="I2585" s="37" t="str">
        <x:v>249.26</x:v>
      </x:c>
      <x:c r="J2585" s="37" t="str">
        <x:v>0.00</x:v>
      </x:c>
      <x:c r="K2585" s="37" t="str">
        <x:v>63.90</x:v>
      </x:c>
      <x:c r="L2585" s="37" t="str">
        <x:v>512</x:v>
      </x:c>
      <x:c r="M2585" s="29" t="str">
        <x:v>266.67</x:v>
      </x:c>
      <x:c r="N2585" s="29" t="str">
        <x:v>166.87</x:v>
      </x:c>
      <x:c r="O2585" s="29" t="str">
        <x:v>99.80</x:v>
      </x:c>
      <x:c r="P2585" s="18" t="str">
        <x:v>2026-06-25</x:v>
      </x:c>
      <x:c r="Q2585" s="36" t="n">
        <x:v>46198</x:v>
      </x:c>
    </x:row>
    <x:row r="2586">
      <x:c r="A2586" s="36" t="str">
        <x:v>2026-06-25</x:v>
      </x:c>
      <x:c r="B2586" s="18" t="str">
        <x:v>101437000_76091</x:v>
      </x:c>
      <x:c r="C2586" s="18" t="str">
        <x:v>【沪村小电】恒信家园充电站</x:v>
      </x:c>
      <x:c r="D2586" s="37" t="str">
        <x:v>2</x:v>
      </x:c>
      <x:c r="E2586" s="37" t="str">
        <x:v>0</x:v>
      </x:c>
      <x:c r="F2586" s="37" t="str">
        <x:v>42</x:v>
      </x:c>
      <x:c r="G2586" s="37" t="str">
        <x:v>884.42</x:v>
      </x:c>
      <x:c r="H2586" s="37" t="str">
        <x:v>0.00</x:v>
      </x:c>
      <x:c r="I2586" s="37" t="str">
        <x:v>397.13</x:v>
      </x:c>
      <x:c r="J2586" s="37" t="str">
        <x:v>0.00</x:v>
      </x:c>
      <x:c r="K2586" s="37" t="str">
        <x:v>487.29</x:v>
      </x:c>
      <x:c r="L2586" s="37" t="str">
        <x:v>1358</x:v>
      </x:c>
      <x:c r="M2586" s="29" t="str">
        <x:v>749.31</x:v>
      </x:c>
      <x:c r="N2586" s="29" t="str">
        <x:v>479.06</x:v>
      </x:c>
      <x:c r="O2586" s="29" t="str">
        <x:v>270.25</x:v>
      </x:c>
      <x:c r="P2586" s="18" t="str">
        <x:v>2026-06-25</x:v>
      </x:c>
      <x:c r="Q2586" s="36" t="n">
        <x:v>46198</x:v>
      </x:c>
    </x:row>
    <x:row r="2587">
      <x:c r="A2587" s="36" t="str">
        <x:v>2026-06-25</x:v>
      </x:c>
      <x:c r="B2587" s="18" t="str">
        <x:v>101437000_76417</x:v>
      </x:c>
      <x:c r="C2587" s="18" t="str">
        <x:v>【沪村小电】新春一组充电站</x:v>
      </x:c>
      <x:c r="D2587" s="37" t="str">
        <x:v>2</x:v>
      </x:c>
      <x:c r="E2587" s="37" t="str">
        <x:v>0</x:v>
      </x:c>
      <x:c r="F2587" s="37" t="str">
        <x:v>12</x:v>
      </x:c>
      <x:c r="G2587" s="37" t="str">
        <x:v>332.70</x:v>
      </x:c>
      <x:c r="H2587" s="37" t="str">
        <x:v>0.00</x:v>
      </x:c>
      <x:c r="I2587" s="37" t="str">
        <x:v>110.67</x:v>
      </x:c>
      <x:c r="J2587" s="37" t="str">
        <x:v>0.00</x:v>
      </x:c>
      <x:c r="K2587" s="37" t="str">
        <x:v>222.04</x:v>
      </x:c>
      <x:c r="L2587" s="37" t="str">
        <x:v>382</x:v>
      </x:c>
      <x:c r="M2587" s="29" t="str">
        <x:v>270.85</x:v>
      </x:c>
      <x:c r="N2587" s="29" t="str">
        <x:v>232.76</x:v>
      </x:c>
      <x:c r="O2587" s="29" t="str">
        <x:v>38.09</x:v>
      </x:c>
      <x:c r="P2587" s="18" t="str">
        <x:v>2026-06-25</x:v>
      </x:c>
      <x:c r="Q2587" s="36" t="n">
        <x:v>46198</x:v>
      </x:c>
    </x:row>
    <x:row r="2588">
      <x:c r="A2588" s="36" t="str">
        <x:v>2026-06-25</x:v>
      </x:c>
      <x:c r="B2588" s="18" t="str">
        <x:v>101437000_78235</x:v>
      </x:c>
      <x:c r="C2588" s="18" t="str">
        <x:v>【沪村小电】欣秋苑充电站</x:v>
      </x:c>
      <x:c r="D2588" s="37" t="str">
        <x:v>4</x:v>
      </x:c>
      <x:c r="E2588" s="37" t="str">
        <x:v>0</x:v>
      </x:c>
      <x:c r="F2588" s="37" t="str">
        <x:v>14</x:v>
      </x:c>
      <x:c r="G2588" s="37" t="str">
        <x:v>339.72</x:v>
      </x:c>
      <x:c r="H2588" s="37" t="str">
        <x:v>0.00</x:v>
      </x:c>
      <x:c r="I2588" s="37" t="str">
        <x:v>246.35</x:v>
      </x:c>
      <x:c r="J2588" s="37" t="str">
        <x:v>0.00</x:v>
      </x:c>
      <x:c r="K2588" s="37" t="str">
        <x:v>93.37</x:v>
      </x:c>
      <x:c r="L2588" s="37" t="str">
        <x:v>623</x:v>
      </x:c>
      <x:c r="M2588" s="29" t="str">
        <x:v>288.30</x:v>
      </x:c>
      <x:c r="N2588" s="29" t="str">
        <x:v>217.78</x:v>
      </x:c>
      <x:c r="O2588" s="29" t="str">
        <x:v>70.52</x:v>
      </x:c>
      <x:c r="P2588" s="18" t="str">
        <x:v>2026-06-25</x:v>
      </x:c>
      <x:c r="Q2588" s="36" t="n">
        <x:v>46198</x:v>
      </x:c>
    </x:row>
    <x:row r="2589">
      <x:c r="A2589" s="36" t="str">
        <x:v>2026-06-25</x:v>
      </x:c>
      <x:c r="B2589" s="18" t="str">
        <x:v>101437000_78237</x:v>
      </x:c>
      <x:c r="C2589" s="18" t="str">
        <x:v>【沪村小电】奉馨苑西门小区内北侧充电站</x:v>
      </x:c>
      <x:c r="D2589" s="37" t="str">
        <x:v>2</x:v>
      </x:c>
      <x:c r="E2589" s="37" t="str">
        <x:v>0</x:v>
      </x:c>
      <x:c r="F2589" s="37" t="str">
        <x:v>26</x:v>
      </x:c>
      <x:c r="G2589" s="37" t="str">
        <x:v>700.66</x:v>
      </x:c>
      <x:c r="H2589" s="37" t="str">
        <x:v>0.00</x:v>
      </x:c>
      <x:c r="I2589" s="37" t="str">
        <x:v>347.39</x:v>
      </x:c>
      <x:c r="J2589" s="37" t="str">
        <x:v>0.00</x:v>
      </x:c>
      <x:c r="K2589" s="37" t="str">
        <x:v>353.27</x:v>
      </x:c>
      <x:c r="L2589" s="37" t="str">
        <x:v>1067</x:v>
      </x:c>
      <x:c r="M2589" s="29" t="str">
        <x:v>579.83</x:v>
      </x:c>
      <x:c r="N2589" s="29" t="str">
        <x:v>391.32</x:v>
      </x:c>
      <x:c r="O2589" s="29" t="str">
        <x:v>188.51</x:v>
      </x:c>
      <x:c r="P2589" s="18" t="str">
        <x:v>2026-06-25</x:v>
      </x:c>
      <x:c r="Q2589" s="36" t="n">
        <x:v>46198</x:v>
      </x:c>
    </x:row>
    <x:row r="2590">
      <x:c r="A2590" s="36" t="str">
        <x:v>2026-06-25</x:v>
      </x:c>
      <x:c r="B2590" s="18" t="str">
        <x:v>101437000_78239</x:v>
      </x:c>
      <x:c r="C2590" s="18" t="str">
        <x:v>【沪村小电】恒大佘山首府东门充电站</x:v>
      </x:c>
      <x:c r="D2590" s="37" t="str">
        <x:v>2</x:v>
      </x:c>
      <x:c r="E2590" s="37" t="str">
        <x:v>0</x:v>
      </x:c>
      <x:c r="F2590" s="37" t="str">
        <x:v>39</x:v>
      </x:c>
      <x:c r="G2590" s="37" t="str">
        <x:v>1143.21</x:v>
      </x:c>
      <x:c r="H2590" s="37" t="str">
        <x:v>0.00</x:v>
      </x:c>
      <x:c r="I2590" s="37" t="str">
        <x:v>634.35</x:v>
      </x:c>
      <x:c r="J2590" s="37" t="str">
        <x:v>0.00</x:v>
      </x:c>
      <x:c r="K2590" s="37" t="str">
        <x:v>508.86</x:v>
      </x:c>
      <x:c r="L2590" s="37" t="str">
        <x:v>1590</x:v>
      </x:c>
      <x:c r="M2590" s="29" t="str">
        <x:v>913.40</x:v>
      </x:c>
      <x:c r="N2590" s="29" t="str">
        <x:v>662.79</x:v>
      </x:c>
      <x:c r="O2590" s="29" t="str">
        <x:v>250.61</x:v>
      </x:c>
      <x:c r="P2590" s="18" t="str">
        <x:v>2026-06-25</x:v>
      </x:c>
      <x:c r="Q2590" s="36" t="n">
        <x:v>46198</x:v>
      </x:c>
    </x:row>
    <x:row r="2591">
      <x:c r="A2591" s="36" t="str">
        <x:v>2026-06-25</x:v>
      </x:c>
      <x:c r="B2591" s="18" t="str">
        <x:v>101437000_80823</x:v>
      </x:c>
      <x:c r="C2591" s="18" t="str">
        <x:v>【沪村小电】上湖轩充电站</x:v>
      </x:c>
      <x:c r="D2591" s="37" t="str">
        <x:v>2</x:v>
      </x:c>
      <x:c r="E2591" s="37" t="str">
        <x:v>0</x:v>
      </x:c>
      <x:c r="F2591" s="37" t="str">
        <x:v>5</x:v>
      </x:c>
      <x:c r="G2591" s="37" t="str">
        <x:v>118.71</x:v>
      </x:c>
      <x:c r="H2591" s="37" t="str">
        <x:v>0.00</x:v>
      </x:c>
      <x:c r="I2591" s="37" t="str">
        <x:v>118.71</x:v>
      </x:c>
      <x:c r="J2591" s="37" t="str">
        <x:v>0.00</x:v>
      </x:c>
      <x:c r="K2591" s="37" t="str">
        <x:v>0.00</x:v>
      </x:c>
      <x:c r="L2591" s="37" t="str">
        <x:v>136</x:v>
      </x:c>
      <x:c r="M2591" s="29" t="str">
        <x:v>119.00</x:v>
      </x:c>
      <x:c r="N2591" s="29" t="str">
        <x:v>97.34</x:v>
      </x:c>
      <x:c r="O2591" s="29" t="str">
        <x:v>21.66</x:v>
      </x:c>
      <x:c r="P2591" s="18" t="str">
        <x:v>2026-06-25</x:v>
      </x:c>
      <x:c r="Q2591" s="36" t="n">
        <x:v>46198</x:v>
      </x:c>
    </x:row>
    <x:row r="2592">
      <x:c r="A2592" s="36" t="str">
        <x:v>2026-06-25</x:v>
      </x:c>
      <x:c r="B2592" s="18" t="str">
        <x:v>101437000_83019</x:v>
      </x:c>
      <x:c r="C2592" s="18" t="str">
        <x:v>【沪村小电】首创禧瑞云启东区充电站</x:v>
      </x:c>
      <x:c r="D2592" s="37" t="str">
        <x:v>2</x:v>
      </x:c>
      <x:c r="E2592" s="37" t="str">
        <x:v>0</x:v>
      </x:c>
      <x:c r="F2592" s="37" t="str">
        <x:v>33</x:v>
      </x:c>
      <x:c r="G2592" s="37" t="str">
        <x:v>780.31</x:v>
      </x:c>
      <x:c r="H2592" s="37" t="str">
        <x:v>0.00</x:v>
      </x:c>
      <x:c r="I2592" s="37" t="str">
        <x:v>473.54</x:v>
      </x:c>
      <x:c r="J2592" s="37" t="str">
        <x:v>0.00</x:v>
      </x:c>
      <x:c r="K2592" s="37" t="str">
        <x:v>306.77</x:v>
      </x:c>
      <x:c r="L2592" s="37" t="str">
        <x:v>1104</x:v>
      </x:c>
      <x:c r="M2592" s="29" t="str">
        <x:v>634.23</x:v>
      </x:c>
      <x:c r="N2592" s="29" t="str">
        <x:v>437.19</x:v>
      </x:c>
      <x:c r="O2592" s="29" t="str">
        <x:v>197.04</x:v>
      </x:c>
      <x:c r="P2592" s="18" t="str">
        <x:v>2026-06-25</x:v>
      </x:c>
      <x:c r="Q2592" s="36" t="n">
        <x:v>46198</x:v>
      </x:c>
    </x:row>
    <x:row r="2593">
      <x:c r="A2593" s="36" t="str">
        <x:v>2026-06-25</x:v>
      </x:c>
      <x:c r="B2593" s="18" t="str">
        <x:v>101437000_83093</x:v>
      </x:c>
      <x:c r="C2593" s="18" t="str">
        <x:v>【沪村小电】金茂未来时光里</x:v>
      </x:c>
      <x:c r="D2593" s="37" t="str">
        <x:v>2</x:v>
      </x:c>
      <x:c r="E2593" s="37" t="str">
        <x:v>0</x:v>
      </x:c>
      <x:c r="F2593" s="37" t="str">
        <x:v>30</x:v>
      </x:c>
      <x:c r="G2593" s="37" t="str">
        <x:v>985.60</x:v>
      </x:c>
      <x:c r="H2593" s="37" t="str">
        <x:v>0.00</x:v>
      </x:c>
      <x:c r="I2593" s="37" t="str">
        <x:v>384.83</x:v>
      </x:c>
      <x:c r="J2593" s="37" t="str">
        <x:v>0.00</x:v>
      </x:c>
      <x:c r="K2593" s="37" t="str">
        <x:v>600.77</x:v>
      </x:c>
      <x:c r="L2593" s="37" t="str">
        <x:v>1416</x:v>
      </x:c>
      <x:c r="M2593" s="29" t="str">
        <x:v>642.87</x:v>
      </x:c>
      <x:c r="N2593" s="29" t="str">
        <x:v>413.32</x:v>
      </x:c>
      <x:c r="O2593" s="29" t="str">
        <x:v>229.55</x:v>
      </x:c>
      <x:c r="P2593" s="18" t="str">
        <x:v>2026-06-25</x:v>
      </x:c>
      <x:c r="Q2593" s="36" t="n">
        <x:v>46198</x:v>
      </x:c>
    </x:row>
    <x:row r="2594">
      <x:c r="A2594" s="36" t="str">
        <x:v>2026-06-25</x:v>
      </x:c>
      <x:c r="B2594" s="18" t="str">
        <x:v>101437000_83911</x:v>
      </x:c>
      <x:c r="C2594" s="18" t="str">
        <x:v>【沪村小电】金瀚园充电站</x:v>
      </x:c>
      <x:c r="D2594" s="37" t="str">
        <x:v>2</x:v>
      </x:c>
      <x:c r="E2594" s="37" t="str">
        <x:v>0</x:v>
      </x:c>
      <x:c r="F2594" s="37" t="str">
        <x:v>24</x:v>
      </x:c>
      <x:c r="G2594" s="37" t="str">
        <x:v>601.41</x:v>
      </x:c>
      <x:c r="H2594" s="37" t="str">
        <x:v>0.00</x:v>
      </x:c>
      <x:c r="I2594" s="37" t="str">
        <x:v>300.43</x:v>
      </x:c>
      <x:c r="J2594" s="37" t="str">
        <x:v>0.00</x:v>
      </x:c>
      <x:c r="K2594" s="37" t="str">
        <x:v>300.98</x:v>
      </x:c>
      <x:c r="L2594" s="37" t="str">
        <x:v>811</x:v>
      </x:c>
      <x:c r="M2594" s="29" t="str">
        <x:v>543.24</x:v>
      </x:c>
      <x:c r="N2594" s="29" t="str">
        <x:v>336.67</x:v>
      </x:c>
      <x:c r="O2594" s="29" t="str">
        <x:v>206.57</x:v>
      </x:c>
      <x:c r="P2594" s="18" t="str">
        <x:v>2026-06-25</x:v>
      </x:c>
      <x:c r="Q2594" s="36" t="n">
        <x:v>46198</x:v>
      </x:c>
    </x:row>
    <x:row r="2595">
      <x:c r="A2595" s="36" t="str">
        <x:v>2026-06-25</x:v>
      </x:c>
      <x:c r="B2595" s="18" t="str">
        <x:v>101437000_83913</x:v>
      </x:c>
      <x:c r="C2595" s="18" t="str">
        <x:v>【沪村小电】新黎村充电站</x:v>
      </x:c>
      <x:c r="D2595" s="37" t="str">
        <x:v>2</x:v>
      </x:c>
      <x:c r="E2595" s="37" t="str">
        <x:v>0</x:v>
      </x:c>
      <x:c r="F2595" s="37" t="str">
        <x:v>35</x:v>
      </x:c>
      <x:c r="G2595" s="37" t="str">
        <x:v>797.04</x:v>
      </x:c>
      <x:c r="H2595" s="37" t="str">
        <x:v>0.00</x:v>
      </x:c>
      <x:c r="I2595" s="37" t="str">
        <x:v>492.56</x:v>
      </x:c>
      <x:c r="J2595" s="37" t="str">
        <x:v>0.00</x:v>
      </x:c>
      <x:c r="K2595" s="37" t="str">
        <x:v>304.48</x:v>
      </x:c>
      <x:c r="L2595" s="37" t="str">
        <x:v>1100</x:v>
      </x:c>
      <x:c r="M2595" s="29" t="str">
        <x:v>793.74</x:v>
      </x:c>
      <x:c r="N2595" s="29" t="str">
        <x:v>673.64</x:v>
      </x:c>
      <x:c r="O2595" s="29" t="str">
        <x:v>120.10</x:v>
      </x:c>
      <x:c r="P2595" s="18" t="str">
        <x:v>2026-06-25</x:v>
      </x:c>
      <x:c r="Q2595" s="36" t="n">
        <x:v>46198</x:v>
      </x:c>
    </x:row>
    <x:row r="2596">
      <x:c r="A2596" s="36" t="str">
        <x:v>2026-06-25</x:v>
      </x:c>
      <x:c r="B2596" s="18" t="str">
        <x:v>101437000_83915</x:v>
      </x:c>
      <x:c r="C2596" s="18" t="str">
        <x:v>【沪村小电】长泰西郊别墅充电站</x:v>
      </x:c>
      <x:c r="D2596" s="37" t="str">
        <x:v>2</x:v>
      </x:c>
      <x:c r="E2596" s="37" t="str">
        <x:v>0</x:v>
      </x:c>
      <x:c r="F2596" s="37" t="str">
        <x:v>11</x:v>
      </x:c>
      <x:c r="G2596" s="37" t="str">
        <x:v>332.01</x:v>
      </x:c>
      <x:c r="H2596" s="37" t="str">
        <x:v>0.00</x:v>
      </x:c>
      <x:c r="I2596" s="37" t="str">
        <x:v>260.18</x:v>
      </x:c>
      <x:c r="J2596" s="37" t="str">
        <x:v>0.00</x:v>
      </x:c>
      <x:c r="K2596" s="37" t="str">
        <x:v>71.82</x:v>
      </x:c>
      <x:c r="L2596" s="37" t="str">
        <x:v>492</x:v>
      </x:c>
      <x:c r="M2596" s="29" t="str">
        <x:v>323.76</x:v>
      </x:c>
      <x:c r="N2596" s="29" t="str">
        <x:v>219.83</x:v>
      </x:c>
      <x:c r="O2596" s="29" t="str">
        <x:v>103.93</x:v>
      </x:c>
      <x:c r="P2596" s="18" t="str">
        <x:v>2026-06-25</x:v>
      </x:c>
      <x:c r="Q2596" s="36" t="n">
        <x:v>46198</x:v>
      </x:c>
    </x:row>
    <x:row r="2597">
      <x:c r="A2597" s="36" t="str">
        <x:v>2026-06-25</x:v>
      </x:c>
      <x:c r="B2597" s="18" t="str">
        <x:v>101437000_83917</x:v>
      </x:c>
      <x:c r="C2597" s="18" t="str">
        <x:v>【沪村小电】旭新华庭充电站</x:v>
      </x:c>
      <x:c r="D2597" s="37" t="str">
        <x:v>4</x:v>
      </x:c>
      <x:c r="E2597" s="37" t="str">
        <x:v>0</x:v>
      </x:c>
      <x:c r="F2597" s="37" t="str">
        <x:v>26</x:v>
      </x:c>
      <x:c r="G2597" s="37" t="str">
        <x:v>628.06</x:v>
      </x:c>
      <x:c r="H2597" s="37" t="str">
        <x:v>0.00</x:v>
      </x:c>
      <x:c r="I2597" s="37" t="str">
        <x:v>404.19</x:v>
      </x:c>
      <x:c r="J2597" s="37" t="str">
        <x:v>0.00</x:v>
      </x:c>
      <x:c r="K2597" s="37" t="str">
        <x:v>223.86</x:v>
      </x:c>
      <x:c r="L2597" s="37" t="str">
        <x:v>1000</x:v>
      </x:c>
      <x:c r="M2597" s="29" t="str">
        <x:v>616.20</x:v>
      </x:c>
      <x:c r="N2597" s="29" t="str">
        <x:v>384.20</x:v>
      </x:c>
      <x:c r="O2597" s="29" t="str">
        <x:v>232.00</x:v>
      </x:c>
      <x:c r="P2597" s="18" t="str">
        <x:v>2026-06-25</x:v>
      </x:c>
      <x:c r="Q2597" s="36" t="n">
        <x:v>46198</x:v>
      </x:c>
    </x:row>
    <x:row r="2598">
      <x:c r="A2598" s="36" t="str">
        <x:v>2026-06-25</x:v>
      </x:c>
      <x:c r="B2598" s="18" t="str">
        <x:v>101437000_83919</x:v>
      </x:c>
      <x:c r="C2598" s="18" t="str">
        <x:v>【沪村小电】浦锦名仕嘉园充电站</x:v>
      </x:c>
      <x:c r="D2598" s="37" t="str">
        <x:v>4</x:v>
      </x:c>
      <x:c r="E2598" s="37" t="str">
        <x:v>0</x:v>
      </x:c>
      <x:c r="F2598" s="37" t="str">
        <x:v>41</x:v>
      </x:c>
      <x:c r="G2598" s="37" t="str">
        <x:v>957.44</x:v>
      </x:c>
      <x:c r="H2598" s="37" t="str">
        <x:v>0.00</x:v>
      </x:c>
      <x:c r="I2598" s="37" t="str">
        <x:v>0.00</x:v>
      </x:c>
      <x:c r="J2598" s="37" t="str">
        <x:v>957.44</x:v>
      </x:c>
      <x:c r="K2598" s="37" t="str">
        <x:v>0.00</x:v>
      </x:c>
      <x:c r="L2598" s="37" t="str">
        <x:v>1482</x:v>
      </x:c>
      <x:c r="M2598" s="29" t="str">
        <x:v>908.25</x:v>
      </x:c>
      <x:c r="N2598" s="29" t="str">
        <x:v>612.75</x:v>
      </x:c>
      <x:c r="O2598" s="29" t="str">
        <x:v>295.50</x:v>
      </x:c>
      <x:c r="P2598" s="18" t="str">
        <x:v>2026-06-25</x:v>
      </x:c>
      <x:c r="Q2598" s="36" t="n">
        <x:v>46198</x:v>
      </x:c>
    </x:row>
    <x:row r="2599">
      <x:c r="A2599" s="36" t="str">
        <x:v>2026-06-25</x:v>
      </x:c>
      <x:c r="B2599" s="18" t="str">
        <x:v>101437000_83921</x:v>
      </x:c>
      <x:c r="C2599" s="18" t="str">
        <x:v>【沪村小电】上海联怡枇杷乐园充电站（地库）</x:v>
      </x:c>
      <x:c r="D2599" s="37" t="str">
        <x:v>8</x:v>
      </x:c>
      <x:c r="E2599" s="37" t="str">
        <x:v>0</x:v>
      </x:c>
      <x:c r="F2599" s="37" t="str">
        <x:v>4</x:v>
      </x:c>
      <x:c r="G2599" s="37" t="str">
        <x:v>179.28</x:v>
      </x:c>
      <x:c r="H2599" s="37" t="str">
        <x:v>0.00</x:v>
      </x:c>
      <x:c r="I2599" s="37" t="str">
        <x:v>53.69</x:v>
      </x:c>
      <x:c r="J2599" s="37" t="str">
        <x:v>0.00</x:v>
      </x:c>
      <x:c r="K2599" s="37" t="str">
        <x:v>125.59</x:v>
      </x:c>
      <x:c r="L2599" s="37" t="str">
        <x:v>220</x:v>
      </x:c>
      <x:c r="M2599" s="29" t="str">
        <x:v>144.25</x:v>
      </x:c>
      <x:c r="N2599" s="29" t="str">
        <x:v>122.40</x:v>
      </x:c>
      <x:c r="O2599" s="29" t="str">
        <x:v>21.85</x:v>
      </x:c>
      <x:c r="P2599" s="18" t="str">
        <x:v>2026-06-25</x:v>
      </x:c>
      <x:c r="Q2599" s="36" t="n">
        <x:v>46198</x:v>
      </x:c>
    </x:row>
    <x:row r="2600">
      <x:c r="A2600" s="36" t="str">
        <x:v>2026-06-25</x:v>
      </x:c>
      <x:c r="B2600" s="18" t="str">
        <x:v>101437000_83923</x:v>
      </x:c>
      <x:c r="C2600" s="18" t="str">
        <x:v>【沪村小电】明珠新苑充电站</x:v>
      </x:c>
      <x:c r="D2600" s="37" t="str">
        <x:v>2</x:v>
      </x:c>
      <x:c r="E2600" s="37" t="str">
        <x:v>0</x:v>
      </x:c>
      <x:c r="F2600" s="37" t="str">
        <x:v>10</x:v>
      </x:c>
      <x:c r="G2600" s="37" t="str">
        <x:v>267.59</x:v>
      </x:c>
      <x:c r="H2600" s="37" t="str">
        <x:v>0.00</x:v>
      </x:c>
      <x:c r="I2600" s="37" t="str">
        <x:v>152.91</x:v>
      </x:c>
      <x:c r="J2600" s="37" t="str">
        <x:v>0.00</x:v>
      </x:c>
      <x:c r="K2600" s="37" t="str">
        <x:v>114.68</x:v>
      </x:c>
      <x:c r="L2600" s="37" t="str">
        <x:v>440</x:v>
      </x:c>
      <x:c r="M2600" s="29" t="str">
        <x:v>239.18</x:v>
      </x:c>
      <x:c r="N2600" s="29" t="str">
        <x:v>156.71</x:v>
      </x:c>
      <x:c r="O2600" s="29" t="str">
        <x:v>82.47</x:v>
      </x:c>
      <x:c r="P2600" s="18" t="str">
        <x:v>2026-06-25</x:v>
      </x:c>
      <x:c r="Q2600" s="36" t="n">
        <x:v>46198</x:v>
      </x:c>
    </x:row>
    <x:row r="2601">
      <x:c r="A2601" s="36" t="str">
        <x:v>2026-06-25</x:v>
      </x:c>
      <x:c r="B2601" s="18" t="str">
        <x:v>101437000_84289</x:v>
      </x:c>
      <x:c r="C2601" s="18" t="str">
        <x:v>【沪村小电】铁建芳华苑充电站</x:v>
      </x:c>
      <x:c r="D2601" s="37" t="str">
        <x:v>4</x:v>
      </x:c>
      <x:c r="E2601" s="37" t="str">
        <x:v>0</x:v>
      </x:c>
      <x:c r="F2601" s="37" t="str">
        <x:v>29</x:v>
      </x:c>
      <x:c r="G2601" s="37" t="str">
        <x:v>708.93</x:v>
      </x:c>
      <x:c r="H2601" s="37" t="str">
        <x:v>0.00</x:v>
      </x:c>
      <x:c r="I2601" s="37" t="str">
        <x:v>517.62</x:v>
      </x:c>
      <x:c r="J2601" s="37" t="str">
        <x:v>0.00</x:v>
      </x:c>
      <x:c r="K2601" s="37" t="str">
        <x:v>191.31</x:v>
      </x:c>
      <x:c r="L2601" s="37" t="str">
        <x:v>1167</x:v>
      </x:c>
      <x:c r="M2601" s="29" t="str">
        <x:v>657.38</x:v>
      </x:c>
      <x:c r="N2601" s="29" t="str">
        <x:v>455.79</x:v>
      </x:c>
      <x:c r="O2601" s="29" t="str">
        <x:v>201.59</x:v>
      </x:c>
      <x:c r="P2601" s="18" t="str">
        <x:v>2026-06-25</x:v>
      </x:c>
      <x:c r="Q2601" s="36" t="n">
        <x:v>46198</x:v>
      </x:c>
    </x:row>
    <x:row r="2602">
      <x:c r="A2602" s="36" t="str">
        <x:v>2026-06-25</x:v>
      </x:c>
      <x:c r="B2602" s="18" t="str">
        <x:v>101437000_86379</x:v>
      </x:c>
      <x:c r="C2602" s="18" t="str">
        <x:v>【沪村小电】新宝社区充电站</x:v>
      </x:c>
      <x:c r="D2602" s="37" t="str">
        <x:v>4</x:v>
      </x:c>
      <x:c r="E2602" s="37" t="str">
        <x:v>0</x:v>
      </x:c>
      <x:c r="F2602" s="37" t="str">
        <x:v>17</x:v>
      </x:c>
      <x:c r="G2602" s="37" t="str">
        <x:v>485.54</x:v>
      </x:c>
      <x:c r="H2602" s="37" t="str">
        <x:v>0.00</x:v>
      </x:c>
      <x:c r="I2602" s="37" t="str">
        <x:v>210.70</x:v>
      </x:c>
      <x:c r="J2602" s="37" t="str">
        <x:v>0.00</x:v>
      </x:c>
      <x:c r="K2602" s="37" t="str">
        <x:v>274.85</x:v>
      </x:c>
      <x:c r="L2602" s="37" t="str">
        <x:v>718</x:v>
      </x:c>
      <x:c r="M2602" s="29" t="str">
        <x:v>353.69</x:v>
      </x:c>
      <x:c r="N2602" s="29" t="str">
        <x:v>260.36</x:v>
      </x:c>
      <x:c r="O2602" s="29" t="str">
        <x:v>93.33</x:v>
      </x:c>
      <x:c r="P2602" s="18" t="str">
        <x:v>2026-06-25</x:v>
      </x:c>
      <x:c r="Q2602" s="36" t="n">
        <x:v>46198</x:v>
      </x:c>
    </x:row>
    <x:row r="2603">
      <x:c r="A2603" s="36" t="str">
        <x:v>2026-06-25</x:v>
      </x:c>
      <x:c r="B2603" s="18" t="str">
        <x:v>101437000_89441</x:v>
      </x:c>
      <x:c r="C2603" s="18" t="str">
        <x:v>【沪村小电】首创禧瑞云启西区充电站</x:v>
      </x:c>
      <x:c r="D2603" s="37" t="str">
        <x:v>2</x:v>
      </x:c>
      <x:c r="E2603" s="37" t="str">
        <x:v>0</x:v>
      </x:c>
      <x:c r="F2603" s="37" t="str">
        <x:v>32</x:v>
      </x:c>
      <x:c r="G2603" s="37" t="str">
        <x:v>716.60</x:v>
      </x:c>
      <x:c r="H2603" s="37" t="str">
        <x:v>0.00</x:v>
      </x:c>
      <x:c r="I2603" s="37" t="str">
        <x:v>540.78</x:v>
      </x:c>
      <x:c r="J2603" s="37" t="str">
        <x:v>0.00</x:v>
      </x:c>
      <x:c r="K2603" s="37" t="str">
        <x:v>175.82</x:v>
      </x:c>
      <x:c r="L2603" s="37" t="str">
        <x:v>1037</x:v>
      </x:c>
      <x:c r="M2603" s="29" t="str">
        <x:v>626.02</x:v>
      </x:c>
      <x:c r="N2603" s="29" t="str">
        <x:v>436.45</x:v>
      </x:c>
      <x:c r="O2603" s="29" t="str">
        <x:v>189.57</x:v>
      </x:c>
      <x:c r="P2603" s="18" t="str">
        <x:v>2026-06-25</x:v>
      </x:c>
      <x:c r="Q2603" s="36" t="n">
        <x:v>46198</x:v>
      </x:c>
    </x:row>
    <x:row r="2604">
      <x:c r="A2604" s="36" t="str">
        <x:v>2026-06-25</x:v>
      </x:c>
      <x:c r="B2604" s="18" t="str">
        <x:v>101437000_89443</x:v>
      </x:c>
      <x:c r="C2604" s="18" t="str">
        <x:v>【沪村小电】玉兰清苑二期充电站</x:v>
      </x:c>
      <x:c r="D2604" s="37" t="str">
        <x:v>2</x:v>
      </x:c>
      <x:c r="E2604" s="37" t="str">
        <x:v>0</x:v>
      </x:c>
      <x:c r="F2604" s="37" t="str">
        <x:v>23</x:v>
      </x:c>
      <x:c r="G2604" s="37" t="str">
        <x:v>542.11</x:v>
      </x:c>
      <x:c r="H2604" s="37" t="str">
        <x:v>0.00</x:v>
      </x:c>
      <x:c r="I2604" s="37" t="str">
        <x:v>448.31</x:v>
      </x:c>
      <x:c r="J2604" s="37" t="str">
        <x:v>0.00</x:v>
      </x:c>
      <x:c r="K2604" s="37" t="str">
        <x:v>93.79</x:v>
      </x:c>
      <x:c r="L2604" s="37" t="str">
        <x:v>770</x:v>
      </x:c>
      <x:c r="M2604" s="29" t="str">
        <x:v>481.31</x:v>
      </x:c>
      <x:c r="N2604" s="29" t="str">
        <x:v>367.39</x:v>
      </x:c>
      <x:c r="O2604" s="29" t="str">
        <x:v>113.92</x:v>
      </x:c>
      <x:c r="P2604" s="18" t="str">
        <x:v>2026-06-25</x:v>
      </x:c>
      <x:c r="Q2604" s="36" t="n">
        <x:v>46198</x:v>
      </x:c>
    </x:row>
    <x:row r="2605">
      <x:c r="A2605" s="36" t="str">
        <x:v>2026-06-25</x:v>
      </x:c>
      <x:c r="B2605" s="18" t="str">
        <x:v>101437000_93115</x:v>
      </x:c>
      <x:c r="C2605" s="18" t="str">
        <x:v>【沪村小电】新南家园西北门</x:v>
      </x:c>
      <x:c r="D2605" s="37" t="str">
        <x:v>2</x:v>
      </x:c>
      <x:c r="E2605" s="37" t="str">
        <x:v>0</x:v>
      </x:c>
      <x:c r="F2605" s="37" t="str">
        <x:v>14</x:v>
      </x:c>
      <x:c r="G2605" s="37" t="str">
        <x:v>330.06</x:v>
      </x:c>
      <x:c r="H2605" s="37" t="str">
        <x:v>0.00</x:v>
      </x:c>
      <x:c r="I2605" s="37" t="str">
        <x:v>290.94</x:v>
      </x:c>
      <x:c r="J2605" s="37" t="str">
        <x:v>0.00</x:v>
      </x:c>
      <x:c r="K2605" s="37" t="str">
        <x:v>39.12</x:v>
      </x:c>
      <x:c r="L2605" s="37" t="str">
        <x:v>759</x:v>
      </x:c>
      <x:c r="M2605" s="29" t="str">
        <x:v>296.39</x:v>
      </x:c>
      <x:c r="N2605" s="29" t="str">
        <x:v>214.84</x:v>
      </x:c>
      <x:c r="O2605" s="29" t="str">
        <x:v>81.55</x:v>
      </x:c>
      <x:c r="P2605" s="18" t="str">
        <x:v>2026-06-25</x:v>
      </x:c>
      <x:c r="Q2605" s="36" t="n">
        <x:v>46198</x:v>
      </x:c>
    </x:row>
    <x:row r="2606">
      <x:c r="A2606" s="36" t="str">
        <x:v>2026-06-25</x:v>
      </x:c>
      <x:c r="B2606" s="18" t="str">
        <x:v>101437000_94649</x:v>
      </x:c>
      <x:c r="C2606" s="18" t="str">
        <x:v>【沪村小电】浪琴水岸花园</x:v>
      </x:c>
      <x:c r="D2606" s="37" t="str">
        <x:v>4</x:v>
      </x:c>
      <x:c r="E2606" s="37" t="str">
        <x:v>0</x:v>
      </x:c>
      <x:c r="F2606" s="37" t="str">
        <x:v>19</x:v>
      </x:c>
      <x:c r="G2606" s="37" t="str">
        <x:v>434.95</x:v>
      </x:c>
      <x:c r="H2606" s="37" t="str">
        <x:v>0.00</x:v>
      </x:c>
      <x:c r="I2606" s="37" t="str">
        <x:v>246.26</x:v>
      </x:c>
      <x:c r="J2606" s="37" t="str">
        <x:v>0.00</x:v>
      </x:c>
      <x:c r="K2606" s="37" t="str">
        <x:v>188.69</x:v>
      </x:c>
      <x:c r="L2606" s="37" t="str">
        <x:v>806</x:v>
      </x:c>
      <x:c r="M2606" s="29" t="str">
        <x:v>348.83</x:v>
      </x:c>
      <x:c r="N2606" s="29" t="str">
        <x:v>237.86</x:v>
      </x:c>
      <x:c r="O2606" s="29" t="str">
        <x:v>110.97</x:v>
      </x:c>
      <x:c r="P2606" s="18" t="str">
        <x:v>2026-06-25</x:v>
      </x:c>
      <x:c r="Q2606" s="36" t="n">
        <x:v>46198</x:v>
      </x:c>
    </x:row>
    <x:row r="2607">
      <x:c r="A2607" s="36" t="str">
        <x:v>2026-06-25</x:v>
      </x:c>
      <x:c r="B2607" s="18" t="str">
        <x:v>101437000_95077</x:v>
      </x:c>
      <x:c r="C2607" s="18" t="str">
        <x:v>【沪村小电】民乐城惠益绿苑255弄充电站</x:v>
      </x:c>
      <x:c r="D2607" s="37" t="str">
        <x:v>2</x:v>
      </x:c>
      <x:c r="E2607" s="37" t="str">
        <x:v>0</x:v>
      </x:c>
      <x:c r="F2607" s="37" t="str">
        <x:v>9</x:v>
      </x:c>
      <x:c r="G2607" s="37" t="str">
        <x:v>156.54</x:v>
      </x:c>
      <x:c r="H2607" s="37" t="str">
        <x:v>0.00</x:v>
      </x:c>
      <x:c r="I2607" s="37" t="str">
        <x:v>122.36</x:v>
      </x:c>
      <x:c r="J2607" s="37" t="str">
        <x:v>0.00</x:v>
      </x:c>
      <x:c r="K2607" s="37" t="str">
        <x:v>34.18</x:v>
      </x:c>
      <x:c r="L2607" s="37" t="str">
        <x:v>261</x:v>
      </x:c>
      <x:c r="M2607" s="29" t="str">
        <x:v>154.43</x:v>
      </x:c>
      <x:c r="N2607" s="29" t="str">
        <x:v>103.54</x:v>
      </x:c>
      <x:c r="O2607" s="29" t="str">
        <x:v>50.89</x:v>
      </x:c>
      <x:c r="P2607" s="18" t="str">
        <x:v>2026-06-25</x:v>
      </x:c>
      <x:c r="Q2607" s="36" t="n">
        <x:v>46198</x:v>
      </x:c>
    </x:row>
    <x:row r="2608">
      <x:c r="A2608" s="36" t="str">
        <x:v>2026-06-25</x:v>
      </x:c>
      <x:c r="B2608" s="18" t="str">
        <x:v>101437000_95079</x:v>
      </x:c>
      <x:c r="C2608" s="18" t="str">
        <x:v>【沪村小电】民乐城惠益绿苑东苑充电站</x:v>
      </x:c>
      <x:c r="D2608" s="37" t="str">
        <x:v>2</x:v>
      </x:c>
      <x:c r="E2608" s="37" t="str">
        <x:v>0</x:v>
      </x:c>
      <x:c r="F2608" s="37" t="str">
        <x:v>6</x:v>
      </x:c>
      <x:c r="G2608" s="37" t="str">
        <x:v>157.93</x:v>
      </x:c>
      <x:c r="H2608" s="37" t="str">
        <x:v>0.00</x:v>
      </x:c>
      <x:c r="I2608" s="37" t="str">
        <x:v>140.77</x:v>
      </x:c>
      <x:c r="J2608" s="37" t="str">
        <x:v>0.00</x:v>
      </x:c>
      <x:c r="K2608" s="37" t="str">
        <x:v>17.17</x:v>
      </x:c>
      <x:c r="L2608" s="37" t="str">
        <x:v>226</x:v>
      </x:c>
      <x:c r="M2608" s="29" t="str">
        <x:v>133.68</x:v>
      </x:c>
      <x:c r="N2608" s="29" t="str">
        <x:v>103.31</x:v>
      </x:c>
      <x:c r="O2608" s="29" t="str">
        <x:v>30.37</x:v>
      </x:c>
      <x:c r="P2608" s="18" t="str">
        <x:v>2026-06-25</x:v>
      </x:c>
      <x:c r="Q2608" s="36" t="n">
        <x:v>46198</x:v>
      </x:c>
    </x:row>
    <x:row r="2609">
      <x:c r="A2609" s="36" t="str">
        <x:v>2026-06-25</x:v>
      </x:c>
      <x:c r="B2609" s="18" t="str">
        <x:v>101437000_95081</x:v>
      </x:c>
      <x:c r="C2609" s="18" t="str">
        <x:v>【沪村小电】民乐城惠益绿苑西苑充电站</x:v>
      </x:c>
      <x:c r="D2609" s="37" t="str">
        <x:v>2</x:v>
      </x:c>
      <x:c r="E2609" s="37" t="str">
        <x:v>0</x:v>
      </x:c>
      <x:c r="F2609" s="37" t="str">
        <x:v>1</x:v>
      </x:c>
      <x:c r="G2609" s="37" t="str">
        <x:v>45.69</x:v>
      </x:c>
      <x:c r="H2609" s="37" t="str">
        <x:v>0.00</x:v>
      </x:c>
      <x:c r="I2609" s="37" t="str">
        <x:v>45.69</x:v>
      </x:c>
      <x:c r="J2609" s="37" t="str">
        <x:v>0.00</x:v>
      </x:c>
      <x:c r="K2609" s="37" t="str">
        <x:v>0.00</x:v>
      </x:c>
      <x:c r="L2609" s="37" t="str">
        <x:v>58</x:v>
      </x:c>
      <x:c r="M2609" s="29" t="str">
        <x:v>41.11</x:v>
      </x:c>
      <x:c r="N2609" s="29" t="str">
        <x:v>31.52</x:v>
      </x:c>
      <x:c r="O2609" s="29" t="str">
        <x:v>9.59</x:v>
      </x:c>
      <x:c r="P2609" s="18" t="str">
        <x:v>2026-06-25</x:v>
      </x:c>
      <x:c r="Q2609" s="36" t="n">
        <x:v>46198</x:v>
      </x:c>
    </x:row>
    <x:row r="2610">
      <x:c r="A2610" s="36" t="str">
        <x:v>2026-06-25</x:v>
      </x:c>
      <x:c r="B2610" s="18" t="str">
        <x:v>101437000_95091</x:v>
      </x:c>
      <x:c r="C2610" s="18" t="str">
        <x:v>【沪村小电】金悦学府2号站</x:v>
      </x:c>
      <x:c r="D2610" s="37" t="str">
        <x:v>2</x:v>
      </x:c>
      <x:c r="E2610" s="37" t="str">
        <x:v>0</x:v>
      </x:c>
      <x:c r="F2610" s="37" t="str">
        <x:v>19</x:v>
      </x:c>
      <x:c r="G2610" s="37" t="str">
        <x:v>423.70</x:v>
      </x:c>
      <x:c r="H2610" s="37" t="str">
        <x:v>0.00</x:v>
      </x:c>
      <x:c r="I2610" s="37" t="str">
        <x:v>0.00</x:v>
      </x:c>
      <x:c r="J2610" s="37" t="str">
        <x:v>423.70</x:v>
      </x:c>
      <x:c r="K2610" s="37" t="str">
        <x:v>0.00</x:v>
      </x:c>
      <x:c r="L2610" s="37" t="str">
        <x:v>654</x:v>
      </x:c>
      <x:c r="M2610" s="29" t="str">
        <x:v>334.74</x:v>
      </x:c>
      <x:c r="N2610" s="29" t="str">
        <x:v>237.28</x:v>
      </x:c>
      <x:c r="O2610" s="29" t="str">
        <x:v>97.46</x:v>
      </x:c>
      <x:c r="P2610" s="18" t="str">
        <x:v>2026-06-25</x:v>
      </x:c>
      <x:c r="Q2610" s="36" t="n">
        <x:v>46198</x:v>
      </x:c>
    </x:row>
    <x:row r="2611">
      <x:c r="A2611" s="36" t="str">
        <x:v>2026-06-25</x:v>
      </x:c>
      <x:c r="B2611" s="18" t="str">
        <x:v>101437000_95941</x:v>
      </x:c>
      <x:c r="C2611" s="18" t="str">
        <x:v>【沪村小电】惠诚雅苑</x:v>
      </x:c>
      <x:c r="D2611" s="37" t="str">
        <x:v>4</x:v>
      </x:c>
      <x:c r="E2611" s="37" t="str">
        <x:v>0</x:v>
      </x:c>
      <x:c r="F2611" s="37" t="str">
        <x:v>20</x:v>
      </x:c>
      <x:c r="G2611" s="37" t="str">
        <x:v>486.13</x:v>
      </x:c>
      <x:c r="H2611" s="37" t="str">
        <x:v>0.00</x:v>
      </x:c>
      <x:c r="I2611" s="37" t="str">
        <x:v>350.37</x:v>
      </x:c>
      <x:c r="J2611" s="37" t="str">
        <x:v>0.00</x:v>
      </x:c>
      <x:c r="K2611" s="37" t="str">
        <x:v>135.75</x:v>
      </x:c>
      <x:c r="L2611" s="37" t="str">
        <x:v>754</x:v>
      </x:c>
      <x:c r="M2611" s="29" t="str">
        <x:v>366.76</x:v>
      </x:c>
      <x:c r="N2611" s="29" t="str">
        <x:v>248.82</x:v>
      </x:c>
      <x:c r="O2611" s="29" t="str">
        <x:v>117.94</x:v>
      </x:c>
      <x:c r="P2611" s="18" t="str">
        <x:v>2026-06-25</x:v>
      </x:c>
      <x:c r="Q2611" s="36" t="n">
        <x:v>46198</x:v>
      </x:c>
    </x:row>
    <x:row r="2612">
      <x:c r="A2612" s="36" t="str">
        <x:v>2026-06-25</x:v>
      </x:c>
      <x:c r="B2612" s="18" t="str">
        <x:v>101437000_96401</x:v>
      </x:c>
      <x:c r="C2612" s="18" t="str">
        <x:v>【沪村小电】上海联怡枇杷乐园地面站</x:v>
      </x:c>
      <x:c r="D2612" s="37" t="str">
        <x:v>2</x:v>
      </x:c>
      <x:c r="E2612" s="37" t="str">
        <x:v>0</x:v>
      </x:c>
      <x:c r="F2612" s="37" t="str">
        <x:v>6</x:v>
      </x:c>
      <x:c r="G2612" s="37" t="str">
        <x:v>170.76</x:v>
      </x:c>
      <x:c r="H2612" s="37" t="str">
        <x:v>0.00</x:v>
      </x:c>
      <x:c r="I2612" s="37" t="str">
        <x:v>56.01</x:v>
      </x:c>
      <x:c r="J2612" s="37" t="str">
        <x:v>0.00</x:v>
      </x:c>
      <x:c r="K2612" s="37" t="str">
        <x:v>114.75</x:v>
      </x:c>
      <x:c r="L2612" s="37" t="str">
        <x:v>268</x:v>
      </x:c>
      <x:c r="M2612" s="29" t="str">
        <x:v>138.42</x:v>
      </x:c>
      <x:c r="N2612" s="29" t="str">
        <x:v>119.08</x:v>
      </x:c>
      <x:c r="O2612" s="29" t="str">
        <x:v>19.34</x:v>
      </x:c>
      <x:c r="P2612" s="18" t="str">
        <x:v>2026-06-25</x:v>
      </x:c>
      <x:c r="Q2612" s="36" t="n">
        <x:v>46198</x:v>
      </x:c>
    </x:row>
    <x:row r="2613">
      <x:c r="A2613" s="36" t="str">
        <x:v>2026-06-25</x:v>
      </x:c>
      <x:c r="B2613" s="18" t="str">
        <x:v>101437000_96719</x:v>
      </x:c>
      <x:c r="C2613" s="18" t="str">
        <x:v>【沪村小电】四达路220弄充电站</x:v>
      </x:c>
      <x:c r="D2613" s="37" t="str">
        <x:v>2</x:v>
      </x:c>
      <x:c r="E2613" s="37" t="str">
        <x:v>0</x:v>
      </x:c>
      <x:c r="F2613" s="37" t="str">
        <x:v>1</x:v>
      </x:c>
      <x:c r="G2613" s="37" t="str">
        <x:v>9.46</x:v>
      </x:c>
      <x:c r="H2613" s="37" t="str">
        <x:v>0.00</x:v>
      </x:c>
      <x:c r="I2613" s="37" t="str">
        <x:v>0.00</x:v>
      </x:c>
      <x:c r="J2613" s="37" t="str">
        <x:v>9.46</x:v>
      </x:c>
      <x:c r="K2613" s="37" t="str">
        <x:v>0.00</x:v>
      </x:c>
      <x:c r="L2613" s="37" t="str">
        <x:v>18</x:v>
      </x:c>
      <x:c r="M2613" s="29" t="str">
        <x:v>11.27</x:v>
      </x:c>
      <x:c r="N2613" s="29" t="str">
        <x:v>6.63</x:v>
      </x:c>
      <x:c r="O2613" s="29" t="str">
        <x:v>4.64</x:v>
      </x:c>
      <x:c r="P2613" s="18" t="str">
        <x:v>2026-06-25</x:v>
      </x:c>
      <x:c r="Q2613" s="36" t="n">
        <x:v>46198</x:v>
      </x:c>
    </x:row>
    <x:row r="2614">
      <x:c r="A2614" s="36" t="str">
        <x:v>2026-06-25</x:v>
      </x:c>
      <x:c r="B2614" s="18" t="str">
        <x:v>101437000_97421</x:v>
      </x:c>
      <x:c r="C2614" s="18" t="str">
        <x:v>【沪村小电】玉兰清苑二期（小区外）充电站</x:v>
      </x:c>
      <x:c r="D2614" s="37" t="str">
        <x:v>4</x:v>
      </x:c>
      <x:c r="E2614" s="37" t="str">
        <x:v>0</x:v>
      </x:c>
      <x:c r="F2614" s="37" t="str">
        <x:v>36</x:v>
      </x:c>
      <x:c r="G2614" s="37" t="str">
        <x:v>698.40</x:v>
      </x:c>
      <x:c r="H2614" s="37" t="str">
        <x:v>0.00</x:v>
      </x:c>
      <x:c r="I2614" s="37" t="str">
        <x:v>605.11</x:v>
      </x:c>
      <x:c r="J2614" s="37" t="str">
        <x:v>0.00</x:v>
      </x:c>
      <x:c r="K2614" s="37" t="str">
        <x:v>93.29</x:v>
      </x:c>
      <x:c r="L2614" s="37" t="str">
        <x:v>1254</x:v>
      </x:c>
      <x:c r="M2614" s="29" t="str">
        <x:v>610.98</x:v>
      </x:c>
      <x:c r="N2614" s="29" t="str">
        <x:v>483.24</x:v>
      </x:c>
      <x:c r="O2614" s="29" t="str">
        <x:v>127.74</x:v>
      </x:c>
      <x:c r="P2614" s="18" t="str">
        <x:v>2026-06-25</x:v>
      </x:c>
      <x:c r="Q2614" s="36" t="n">
        <x:v>46198</x:v>
      </x:c>
    </x:row>
    <x:row r="2615">
      <x:c r="A2615" s="36" t="str">
        <x:v>2026-06-25</x:v>
      </x:c>
      <x:c r="B2615" s="18" t="str">
        <x:v>101437000_98013</x:v>
      </x:c>
      <x:c r="C2615" s="18" t="str">
        <x:v>【沪村小电】恒大滨江华府充电站</x:v>
      </x:c>
      <x:c r="D2615" s="37" t="str">
        <x:v>4</x:v>
      </x:c>
      <x:c r="E2615" s="37" t="str">
        <x:v>0</x:v>
      </x:c>
      <x:c r="F2615" s="37" t="str">
        <x:v>4</x:v>
      </x:c>
      <x:c r="G2615" s="37" t="str">
        <x:v>103.94</x:v>
      </x:c>
      <x:c r="H2615" s="37" t="str">
        <x:v>0.00</x:v>
      </x:c>
      <x:c r="I2615" s="37" t="str">
        <x:v>54.61</x:v>
      </x:c>
      <x:c r="J2615" s="37" t="str">
        <x:v>0.00</x:v>
      </x:c>
      <x:c r="K2615" s="37" t="str">
        <x:v>49.33</x:v>
      </x:c>
      <x:c r="L2615" s="37" t="str">
        <x:v>143</x:v>
      </x:c>
      <x:c r="M2615" s="29" t="str">
        <x:v>96.13</x:v>
      </x:c>
      <x:c r="N2615" s="29" t="str">
        <x:v>82.93</x:v>
      </x:c>
      <x:c r="O2615" s="29" t="str">
        <x:v>13.20</x:v>
      </x:c>
      <x:c r="P2615" s="18" t="str">
        <x:v>2026-06-25</x:v>
      </x:c>
      <x:c r="Q2615" s="36" t="n">
        <x:v>46198</x:v>
      </x:c>
    </x:row>
    <x:row r="2616">
      <x:c r="A2616" s="36" t="str">
        <x:v>2026-06-25</x:v>
      </x:c>
      <x:c r="B2616" s="18" t="str">
        <x:v>101437000_98863</x:v>
      </x:c>
      <x:c r="C2616" s="18" t="str">
        <x:v>【沪村小电】欣菊苑充电站</x:v>
      </x:c>
      <x:c r="D2616" s="37" t="str">
        <x:v>4</x:v>
      </x:c>
      <x:c r="E2616" s="37" t="str">
        <x:v>0</x:v>
      </x:c>
      <x:c r="F2616" s="37" t="str">
        <x:v>5</x:v>
      </x:c>
      <x:c r="G2616" s="37" t="str">
        <x:v>98.39</x:v>
      </x:c>
      <x:c r="H2616" s="37" t="str">
        <x:v>0.00</x:v>
      </x:c>
      <x:c r="I2616" s="37" t="str">
        <x:v>55.95</x:v>
      </x:c>
      <x:c r="J2616" s="37" t="str">
        <x:v>0.00</x:v>
      </x:c>
      <x:c r="K2616" s="37" t="str">
        <x:v>42.44</x:v>
      </x:c>
      <x:c r="L2616" s="37" t="str">
        <x:v>178</x:v>
      </x:c>
      <x:c r="M2616" s="29" t="str">
        <x:v>87.55</x:v>
      </x:c>
      <x:c r="N2616" s="29" t="str">
        <x:v>57.52</x:v>
      </x:c>
      <x:c r="O2616" s="29" t="str">
        <x:v>30.03</x:v>
      </x:c>
      <x:c r="P2616" s="18" t="str">
        <x:v>2026-06-25</x:v>
      </x:c>
      <x:c r="Q2616" s="36" t="n">
        <x:v>46198</x:v>
      </x:c>
    </x:row>
    <x:row r="2617">
      <x:c r="A2617" s="36" t="str">
        <x:v>2026-06-25</x:v>
      </x:c>
      <x:c r="B2617" s="18" t="str">
        <x:v>101437000_98865</x:v>
      </x:c>
      <x:c r="C2617" s="18" t="str">
        <x:v>【沪村小电】欣松苑充电站</x:v>
      </x:c>
      <x:c r="D2617" s="37" t="str">
        <x:v>4</x:v>
      </x:c>
      <x:c r="E2617" s="37" t="str">
        <x:v>0</x:v>
      </x:c>
      <x:c r="F2617" s="37" t="str">
        <x:v>1</x:v>
      </x:c>
      <x:c r="G2617" s="37" t="str">
        <x:v>0.00</x:v>
      </x:c>
      <x:c r="H2617" s="37" t="str">
        <x:v>0.00</x:v>
      </x:c>
      <x:c r="I2617" s="37" t="str">
        <x:v>0.00</x:v>
      </x:c>
      <x:c r="J2617" s="37" t="str">
        <x:v>0.00</x:v>
      </x:c>
      <x:c r="K2617" s="37" t="str">
        <x:v>0.00</x:v>
      </x:c>
      <x:c r="L2617" s="37" t="str">
        <x:v>0</x:v>
      </x:c>
      <x:c r="M2617" s="29" t="str">
        <x:v>0.00</x:v>
      </x:c>
      <x:c r="N2617" s="29" t="str">
        <x:v>0.00</x:v>
      </x:c>
      <x:c r="O2617" s="29" t="str">
        <x:v>0.00</x:v>
      </x:c>
      <x:c r="P2617" s="18" t="str">
        <x:v>2026-06-25</x:v>
      </x:c>
      <x:c r="Q2617" s="36" t="n">
        <x:v>46198</x:v>
      </x:c>
    </x:row>
    <x:row r="2618">
      <x:c r="A2618" s="36" t="str">
        <x:v>2026-06-25</x:v>
      </x:c>
      <x:c r="B2618" s="18" t="str">
        <x:v>101437000_98867</x:v>
      </x:c>
      <x:c r="C2618" s="18" t="str">
        <x:v>【沪村小电】欣荷苑充电站</x:v>
      </x:c>
      <x:c r="D2618" s="37" t="str">
        <x:v>4</x:v>
      </x:c>
      <x:c r="E2618" s="37" t="str">
        <x:v>0</x:v>
      </x:c>
      <x:c r="F2618" s="37" t="str">
        <x:v>3</x:v>
      </x:c>
      <x:c r="G2618" s="37" t="str">
        <x:v>84.21</x:v>
      </x:c>
      <x:c r="H2618" s="37" t="str">
        <x:v>0.00</x:v>
      </x:c>
      <x:c r="I2618" s="37" t="str">
        <x:v>22.93</x:v>
      </x:c>
      <x:c r="J2618" s="37" t="str">
        <x:v>0.00</x:v>
      </x:c>
      <x:c r="K2618" s="37" t="str">
        <x:v>61.28</x:v>
      </x:c>
      <x:c r="L2618" s="37" t="str">
        <x:v>120</x:v>
      </x:c>
      <x:c r="M2618" s="29" t="str">
        <x:v>53.67</x:v>
      </x:c>
      <x:c r="N2618" s="29" t="str">
        <x:v>40.26</x:v>
      </x:c>
      <x:c r="O2618" s="29" t="str">
        <x:v>13.41</x:v>
      </x:c>
      <x:c r="P2618" s="18" t="str">
        <x:v>2026-06-25</x:v>
      </x:c>
      <x:c r="Q2618" s="36" t="n">
        <x:v>46198</x:v>
      </x:c>
    </x:row>
    <x:row r="2619">
      <x:c r="A2619" s="36" t="str">
        <x:v>2026-06-25</x:v>
      </x:c>
      <x:c r="B2619" s="18" t="str">
        <x:v>101437000_99885</x:v>
      </x:c>
      <x:c r="C2619" s="18" t="str">
        <x:v>【沪村小电】汇丰馨苑充电站</x:v>
      </x:c>
      <x:c r="D2619" s="37" t="str">
        <x:v>4</x:v>
      </x:c>
      <x:c r="E2619" s="37" t="str">
        <x:v>0</x:v>
      </x:c>
      <x:c r="F2619" s="37" t="str">
        <x:v>8</x:v>
      </x:c>
      <x:c r="G2619" s="37" t="str">
        <x:v>160.35</x:v>
      </x:c>
      <x:c r="H2619" s="37" t="str">
        <x:v>0.00</x:v>
      </x:c>
      <x:c r="I2619" s="37" t="str">
        <x:v>0.00</x:v>
      </x:c>
      <x:c r="J2619" s="37" t="str">
        <x:v>149.48</x:v>
      </x:c>
      <x:c r="K2619" s="37" t="str">
        <x:v>10.87</x:v>
      </x:c>
      <x:c r="L2619" s="37" t="str">
        <x:v>256</x:v>
      </x:c>
      <x:c r="M2619" s="29" t="str">
        <x:v>148.34</x:v>
      </x:c>
      <x:c r="N2619" s="29" t="str">
        <x:v>110.48</x:v>
      </x:c>
      <x:c r="O2619" s="29" t="str">
        <x:v>37.86</x:v>
      </x:c>
      <x:c r="P2619" s="18" t="str">
        <x:v>2026-06-25</x:v>
      </x:c>
      <x:c r="Q2619" s="36" t="n">
        <x:v>46198</x:v>
      </x:c>
    </x:row>
    <x:row r="2620">
      <x:c r="A2620" s="36" t="str">
        <x:v>2026-06-25</x:v>
      </x:c>
      <x:c r="B2620" s="18" t="str">
        <x:v>101437000_99887</x:v>
      </x:c>
      <x:c r="C2620" s="18" t="str">
        <x:v>【沪村小电】新南村河南小区充电站</x:v>
      </x:c>
      <x:c r="D2620" s="37" t="str">
        <x:v>2</x:v>
      </x:c>
      <x:c r="E2620" s="37" t="str">
        <x:v>0</x:v>
      </x:c>
      <x:c r="F2620" s="37" t="str">
        <x:v>12</x:v>
      </x:c>
      <x:c r="G2620" s="37" t="str">
        <x:v>214.64</x:v>
      </x:c>
      <x:c r="H2620" s="37" t="str">
        <x:v>0.00</x:v>
      </x:c>
      <x:c r="I2620" s="37" t="str">
        <x:v>120.74</x:v>
      </x:c>
      <x:c r="J2620" s="37" t="str">
        <x:v>0.00</x:v>
      </x:c>
      <x:c r="K2620" s="37" t="str">
        <x:v>93.89</x:v>
      </x:c>
      <x:c r="L2620" s="37" t="str">
        <x:v>431</x:v>
      </x:c>
      <x:c r="M2620" s="29" t="str">
        <x:v>162.29</x:v>
      </x:c>
      <x:c r="N2620" s="29" t="str">
        <x:v>125.03</x:v>
      </x:c>
      <x:c r="O2620" s="29" t="str">
        <x:v>37.26</x:v>
      </x:c>
      <x:c r="P2620" s="18" t="str">
        <x:v>2026-06-25</x:v>
      </x:c>
      <x:c r="Q2620" s="36" t="n">
        <x:v>46198</x:v>
      </x:c>
    </x:row>
    <x:row r="2621">
      <x:c r="A2621" s="36" t="str">
        <x:v>2026-06-25</x:v>
      </x:c>
      <x:c r="B2621" s="18" t="str">
        <x:v>101437000_99889</x:v>
      </x:c>
      <x:c r="C2621" s="18" t="str">
        <x:v>【沪村小电】漕泾郊野公园</x:v>
      </x:c>
      <x:c r="D2621" s="37" t="str">
        <x:v>2</x:v>
      </x:c>
      <x:c r="E2621" s="37" t="str">
        <x:v>0</x:v>
      </x:c>
      <x:c r="F2621" s="37" t="str">
        <x:v>5</x:v>
      </x:c>
      <x:c r="G2621" s="37" t="str">
        <x:v>143.71</x:v>
      </x:c>
      <x:c r="H2621" s="37" t="str">
        <x:v>0.00</x:v>
      </x:c>
      <x:c r="I2621" s="37" t="str">
        <x:v>67.68</x:v>
      </x:c>
      <x:c r="J2621" s="37" t="str">
        <x:v>76.03</x:v>
      </x:c>
      <x:c r="K2621" s="37" t="str">
        <x:v>0.00</x:v>
      </x:c>
      <x:c r="L2621" s="37" t="str">
        <x:v>165</x:v>
      </x:c>
      <x:c r="M2621" s="29" t="str">
        <x:v>153.19</x:v>
      </x:c>
      <x:c r="N2621" s="29" t="str">
        <x:v>119.97</x:v>
      </x:c>
      <x:c r="O2621" s="29" t="str">
        <x:v>33.22</x:v>
      </x:c>
      <x:c r="P2621" s="18" t="str">
        <x:v>2026-06-25</x:v>
      </x:c>
      <x:c r="Q2621" s="36" t="n">
        <x:v>46198</x:v>
      </x:c>
    </x:row>
    <x:row r="2622">
      <x:c r="A2622" s="36" t="str">
        <x:v>2026-06-25</x:v>
      </x:c>
      <x:c r="B2622" s="18" t="str">
        <x:v>101437000_99891</x:v>
      </x:c>
      <x:c r="C2622" s="18" t="str">
        <x:v>【沪村小电】水韵紫城充电站</x:v>
      </x:c>
      <x:c r="D2622" s="37" t="str">
        <x:v>4</x:v>
      </x:c>
      <x:c r="E2622" s="37" t="str">
        <x:v>0</x:v>
      </x:c>
      <x:c r="F2622" s="37" t="str">
        <x:v>5</x:v>
      </x:c>
      <x:c r="G2622" s="37" t="str">
        <x:v>86.52</x:v>
      </x:c>
      <x:c r="H2622" s="37" t="str">
        <x:v>0.00</x:v>
      </x:c>
      <x:c r="I2622" s="37" t="str">
        <x:v>64.17</x:v>
      </x:c>
      <x:c r="J2622" s="37" t="str">
        <x:v>0.00</x:v>
      </x:c>
      <x:c r="K2622" s="37" t="str">
        <x:v>22.35</x:v>
      </x:c>
      <x:c r="L2622" s="37" t="str">
        <x:v>104</x:v>
      </x:c>
      <x:c r="M2622" s="29" t="str">
        <x:v>85.40</x:v>
      </x:c>
      <x:c r="N2622" s="29" t="str">
        <x:v>55.97</x:v>
      </x:c>
      <x:c r="O2622" s="29" t="str">
        <x:v>29.43</x:v>
      </x:c>
      <x:c r="P2622" s="18" t="str">
        <x:v>2026-06-25</x:v>
      </x:c>
      <x:c r="Q2622" s="36" t="n">
        <x:v>46198</x:v>
      </x:c>
    </x:row>
    <x:row r="2623">
      <x:c r="A2623" s="36" t="str">
        <x:v>2026-06-24</x:v>
      </x:c>
      <x:c r="B2623" s="18" t="str">
        <x:v>101437000_41561</x:v>
      </x:c>
      <x:c r="C2623" s="18" t="str">
        <x:v>【沪村小电】张施小区大门处快充站</x:v>
      </x:c>
      <x:c r="D2623" s="37" t="str">
        <x:v>2</x:v>
      </x:c>
      <x:c r="E2623" s="37" t="str">
        <x:v>0</x:v>
      </x:c>
      <x:c r="F2623" s="37" t="str">
        <x:v>39</x:v>
      </x:c>
      <x:c r="G2623" s="37" t="str">
        <x:v>992.78</x:v>
      </x:c>
      <x:c r="H2623" s="37" t="str">
        <x:v>0.00</x:v>
      </x:c>
      <x:c r="I2623" s="37" t="str">
        <x:v>360.93</x:v>
      </x:c>
      <x:c r="J2623" s="37" t="str">
        <x:v>0.00</x:v>
      </x:c>
      <x:c r="K2623" s="37" t="str">
        <x:v>631.85</x:v>
      </x:c>
      <x:c r="L2623" s="37" t="str">
        <x:v>1761</x:v>
      </x:c>
      <x:c r="M2623" s="29" t="str">
        <x:v>702.15</x:v>
      </x:c>
      <x:c r="N2623" s="29" t="str">
        <x:v>507.22</x:v>
      </x:c>
      <x:c r="O2623" s="29" t="str">
        <x:v>194.93</x:v>
      </x:c>
      <x:c r="P2623" s="18" t="str">
        <x:v>2026-06-24</x:v>
      </x:c>
      <x:c r="Q2623" s="36" t="n">
        <x:v>46197</x:v>
      </x:c>
    </x:row>
    <x:row r="2624">
      <x:c r="A2624" s="36" t="str">
        <x:v>2026-06-24</x:v>
      </x:c>
      <x:c r="B2624" s="18" t="str">
        <x:v>101437000_41563</x:v>
      </x:c>
      <x:c r="C2624" s="18" t="str">
        <x:v>【沪村小电】同心村快充站</x:v>
      </x:c>
      <x:c r="D2624" s="37" t="str">
        <x:v>4</x:v>
      </x:c>
      <x:c r="E2624" s="37" t="str">
        <x:v>0</x:v>
      </x:c>
      <x:c r="F2624" s="37" t="str">
        <x:v>62</x:v>
      </x:c>
      <x:c r="G2624" s="37" t="str">
        <x:v>1204.11</x:v>
      </x:c>
      <x:c r="H2624" s="37" t="str">
        <x:v>0.00</x:v>
      </x:c>
      <x:c r="I2624" s="37" t="str">
        <x:v>848.42</x:v>
      </x:c>
      <x:c r="J2624" s="37" t="str">
        <x:v>0.00</x:v>
      </x:c>
      <x:c r="K2624" s="37" t="str">
        <x:v>355.69</x:v>
      </x:c>
      <x:c r="L2624" s="37" t="str">
        <x:v>2708</x:v>
      </x:c>
      <x:c r="M2624" s="29" t="str">
        <x:v>1012.13</x:v>
      </x:c>
      <x:c r="N2624" s="29" t="str">
        <x:v>713.50</x:v>
      </x:c>
      <x:c r="O2624" s="29" t="str">
        <x:v>298.63</x:v>
      </x:c>
      <x:c r="P2624" s="18" t="str">
        <x:v>2026-06-24</x:v>
      </x:c>
      <x:c r="Q2624" s="36" t="n">
        <x:v>46197</x:v>
      </x:c>
    </x:row>
    <x:row r="2625">
      <x:c r="A2625" s="36" t="str">
        <x:v>2026-06-24</x:v>
      </x:c>
      <x:c r="B2625" s="18" t="str">
        <x:v>101437000_69629</x:v>
      </x:c>
      <x:c r="C2625" s="18" t="str">
        <x:v>【沪村小电】骏丰玲珑坊西苑充电站</x:v>
      </x:c>
      <x:c r="D2625" s="37" t="str">
        <x:v>2</x:v>
      </x:c>
      <x:c r="E2625" s="37" t="str">
        <x:v>0</x:v>
      </x:c>
      <x:c r="F2625" s="37" t="str">
        <x:v>54</x:v>
      </x:c>
      <x:c r="G2625" s="37" t="str">
        <x:v>1288.58</x:v>
      </x:c>
      <x:c r="H2625" s="37" t="str">
        <x:v>0.00</x:v>
      </x:c>
      <x:c r="I2625" s="37" t="str">
        <x:v>568.28</x:v>
      </x:c>
      <x:c r="J2625" s="37" t="str">
        <x:v>0.00</x:v>
      </x:c>
      <x:c r="K2625" s="37" t="str">
        <x:v>720.30</x:v>
      </x:c>
      <x:c r="L2625" s="37" t="str">
        <x:v>2354</x:v>
      </x:c>
      <x:c r="M2625" s="29" t="str">
        <x:v>945.30</x:v>
      </x:c>
      <x:c r="N2625" s="29" t="str">
        <x:v>694.26</x:v>
      </x:c>
      <x:c r="O2625" s="29" t="str">
        <x:v>251.04</x:v>
      </x:c>
      <x:c r="P2625" s="18" t="str">
        <x:v>2026-06-24</x:v>
      </x:c>
      <x:c r="Q2625" s="36" t="n">
        <x:v>46197</x:v>
      </x:c>
    </x:row>
    <x:row r="2626">
      <x:c r="A2626" s="36" t="str">
        <x:v>2026-06-24</x:v>
      </x:c>
      <x:c r="B2626" s="18" t="str">
        <x:v>101437000_70547</x:v>
      </x:c>
      <x:c r="C2626" s="18" t="str">
        <x:v>【沪村小电】农建村初心馆党群服务中心充电站</x:v>
      </x:c>
      <x:c r="D2626" s="37" t="str">
        <x:v>4</x:v>
      </x:c>
      <x:c r="E2626" s="37" t="str">
        <x:v>0</x:v>
      </x:c>
      <x:c r="F2626" s="37" t="str">
        <x:v>16</x:v>
      </x:c>
      <x:c r="G2626" s="37" t="str">
        <x:v>320.19</x:v>
      </x:c>
      <x:c r="H2626" s="37" t="str">
        <x:v>0.00</x:v>
      </x:c>
      <x:c r="I2626" s="37" t="str">
        <x:v>166.17</x:v>
      </x:c>
      <x:c r="J2626" s="37" t="str">
        <x:v>0.00</x:v>
      </x:c>
      <x:c r="K2626" s="37" t="str">
        <x:v>154.03</x:v>
      </x:c>
      <x:c r="L2626" s="37" t="str">
        <x:v>518</x:v>
      </x:c>
      <x:c r="M2626" s="29" t="str">
        <x:v>303.05</x:v>
      </x:c>
      <x:c r="N2626" s="29" t="str">
        <x:v>254.42</x:v>
      </x:c>
      <x:c r="O2626" s="29" t="str">
        <x:v>48.63</x:v>
      </x:c>
      <x:c r="P2626" s="18" t="str">
        <x:v>2026-06-24</x:v>
      </x:c>
      <x:c r="Q2626" s="36" t="n">
        <x:v>46197</x:v>
      </x:c>
    </x:row>
    <x:row r="2627">
      <x:c r="A2627" s="36" t="str">
        <x:v>2026-06-24</x:v>
      </x:c>
      <x:c r="B2627" s="18" t="str">
        <x:v>101437000_70549</x:v>
      </x:c>
      <x:c r="C2627" s="18" t="str">
        <x:v>【沪村小电】学府路充电站</x:v>
      </x:c>
      <x:c r="D2627" s="37" t="str">
        <x:v>2</x:v>
      </x:c>
      <x:c r="E2627" s="37" t="str">
        <x:v>0</x:v>
      </x:c>
      <x:c r="F2627" s="37" t="str">
        <x:v>8</x:v>
      </x:c>
      <x:c r="G2627" s="37" t="str">
        <x:v>133.03</x:v>
      </x:c>
      <x:c r="H2627" s="37" t="str">
        <x:v>0.00</x:v>
      </x:c>
      <x:c r="I2627" s="37" t="str">
        <x:v>52.44</x:v>
      </x:c>
      <x:c r="J2627" s="37" t="str">
        <x:v>0.00</x:v>
      </x:c>
      <x:c r="K2627" s="37" t="str">
        <x:v>80.59</x:v>
      </x:c>
      <x:c r="L2627" s="37" t="str">
        <x:v>274</x:v>
      </x:c>
      <x:c r="M2627" s="29" t="str">
        <x:v>111.30</x:v>
      </x:c>
      <x:c r="N2627" s="29" t="str">
        <x:v>97.24</x:v>
      </x:c>
      <x:c r="O2627" s="29" t="str">
        <x:v>14.06</x:v>
      </x:c>
      <x:c r="P2627" s="18" t="str">
        <x:v>2026-06-24</x:v>
      </x:c>
      <x:c r="Q2627" s="36" t="n">
        <x:v>46197</x:v>
      </x:c>
    </x:row>
    <x:row r="2628">
      <x:c r="A2628" s="36" t="str">
        <x:v>2026-06-24</x:v>
      </x:c>
      <x:c r="B2628" s="18" t="str">
        <x:v>101437000_71059</x:v>
      </x:c>
      <x:c r="C2628" s="18" t="str">
        <x:v>【沪村小电】宝乐汇商业广场站</x:v>
      </x:c>
      <x:c r="D2628" s="37" t="str">
        <x:v>4</x:v>
      </x:c>
      <x:c r="E2628" s="37" t="str">
        <x:v>0</x:v>
      </x:c>
      <x:c r="F2628" s="37" t="str">
        <x:v>14</x:v>
      </x:c>
      <x:c r="G2628" s="37" t="str">
        <x:v>250.57</x:v>
      </x:c>
      <x:c r="H2628" s="37" t="str">
        <x:v>0.00</x:v>
      </x:c>
      <x:c r="I2628" s="37" t="str">
        <x:v>28.39</x:v>
      </x:c>
      <x:c r="J2628" s="37" t="str">
        <x:v>124.10</x:v>
      </x:c>
      <x:c r="K2628" s="37" t="str">
        <x:v>98.08</x:v>
      </x:c>
      <x:c r="L2628" s="37" t="str">
        <x:v>357</x:v>
      </x:c>
      <x:c r="M2628" s="29" t="str">
        <x:v>241.21</x:v>
      </x:c>
      <x:c r="N2628" s="29" t="str">
        <x:v>155.76</x:v>
      </x:c>
      <x:c r="O2628" s="29" t="str">
        <x:v>85.45</x:v>
      </x:c>
      <x:c r="P2628" s="18" t="str">
        <x:v>2026-06-24</x:v>
      </x:c>
      <x:c r="Q2628" s="36" t="n">
        <x:v>46197</x:v>
      </x:c>
    </x:row>
    <x:row r="2629">
      <x:c r="A2629" s="36" t="str">
        <x:v>2026-06-24</x:v>
      </x:c>
      <x:c r="B2629" s="18" t="str">
        <x:v>101437000_72541</x:v>
      </x:c>
      <x:c r="C2629" s="18" t="str">
        <x:v>【沪村小电】九干路1174弄充电站</x:v>
      </x:c>
      <x:c r="D2629" s="37" t="str">
        <x:v>2</x:v>
      </x:c>
      <x:c r="E2629" s="37" t="str">
        <x:v>0</x:v>
      </x:c>
      <x:c r="F2629" s="37" t="str">
        <x:v>23</x:v>
      </x:c>
      <x:c r="G2629" s="37" t="str">
        <x:v>437.84</x:v>
      </x:c>
      <x:c r="H2629" s="37" t="str">
        <x:v>0.00</x:v>
      </x:c>
      <x:c r="I2629" s="37" t="str">
        <x:v>171.09</x:v>
      </x:c>
      <x:c r="J2629" s="37" t="str">
        <x:v>0.00</x:v>
      </x:c>
      <x:c r="K2629" s="37" t="str">
        <x:v>266.74</x:v>
      </x:c>
      <x:c r="L2629" s="37" t="str">
        <x:v>743</x:v>
      </x:c>
      <x:c r="M2629" s="29" t="str">
        <x:v>316.65</x:v>
      </x:c>
      <x:c r="N2629" s="29" t="str">
        <x:v>228.00</x:v>
      </x:c>
      <x:c r="O2629" s="29" t="str">
        <x:v>88.65</x:v>
      </x:c>
      <x:c r="P2629" s="18" t="str">
        <x:v>2026-06-24</x:v>
      </x:c>
      <x:c r="Q2629" s="36" t="n">
        <x:v>46197</x:v>
      </x:c>
    </x:row>
    <x:row r="2630">
      <x:c r="A2630" s="36" t="str">
        <x:v>2026-06-24</x:v>
      </x:c>
      <x:c r="B2630" s="18" t="str">
        <x:v>101437000_72543</x:v>
      </x:c>
      <x:c r="C2630" s="18" t="str">
        <x:v>【沪村小电】叶家中心村小区充电站</x:v>
      </x:c>
      <x:c r="D2630" s="37" t="str">
        <x:v>2</x:v>
      </x:c>
      <x:c r="E2630" s="37" t="str">
        <x:v>0</x:v>
      </x:c>
      <x:c r="F2630" s="37" t="str">
        <x:v>38</x:v>
      </x:c>
      <x:c r="G2630" s="37" t="str">
        <x:v>892.52</x:v>
      </x:c>
      <x:c r="H2630" s="37" t="str">
        <x:v>0.00</x:v>
      </x:c>
      <x:c r="I2630" s="37" t="str">
        <x:v>356.37</x:v>
      </x:c>
      <x:c r="J2630" s="37" t="str">
        <x:v>0.00</x:v>
      </x:c>
      <x:c r="K2630" s="37" t="str">
        <x:v>536.15</x:v>
      </x:c>
      <x:c r="L2630" s="37" t="str">
        <x:v>1533</x:v>
      </x:c>
      <x:c r="M2630" s="29" t="str">
        <x:v>681.74</x:v>
      </x:c>
      <x:c r="N2630" s="29" t="str">
        <x:v>467.43</x:v>
      </x:c>
      <x:c r="O2630" s="29" t="str">
        <x:v>214.31</x:v>
      </x:c>
      <x:c r="P2630" s="18" t="str">
        <x:v>2026-06-24</x:v>
      </x:c>
      <x:c r="Q2630" s="36" t="n">
        <x:v>46197</x:v>
      </x:c>
    </x:row>
    <x:row r="2631">
      <x:c r="A2631" s="36" t="str">
        <x:v>2026-06-24</x:v>
      </x:c>
      <x:c r="B2631" s="18" t="str">
        <x:v>101437000_72937</x:v>
      </x:c>
      <x:c r="C2631" s="18" t="str">
        <x:v>【沪村小电】佘北家园茸腾苑充电站</x:v>
      </x:c>
      <x:c r="D2631" s="37" t="str">
        <x:v>4</x:v>
      </x:c>
      <x:c r="E2631" s="37" t="str">
        <x:v>0</x:v>
      </x:c>
      <x:c r="F2631" s="37" t="str">
        <x:v>15</x:v>
      </x:c>
      <x:c r="G2631" s="37" t="str">
        <x:v>364.91</x:v>
      </x:c>
      <x:c r="H2631" s="37" t="str">
        <x:v>0.00</x:v>
      </x:c>
      <x:c r="I2631" s="37" t="str">
        <x:v>364.91</x:v>
      </x:c>
      <x:c r="J2631" s="37" t="str">
        <x:v>0.00</x:v>
      </x:c>
      <x:c r="K2631" s="37" t="str">
        <x:v>0.00</x:v>
      </x:c>
      <x:c r="L2631" s="37" t="str">
        <x:v>602</x:v>
      </x:c>
      <x:c r="M2631" s="29" t="str">
        <x:v>364.56</x:v>
      </x:c>
      <x:c r="N2631" s="29" t="str">
        <x:v>270.01</x:v>
      </x:c>
      <x:c r="O2631" s="29" t="str">
        <x:v>94.55</x:v>
      </x:c>
      <x:c r="P2631" s="18" t="str">
        <x:v>2026-06-24</x:v>
      </x:c>
      <x:c r="Q2631" s="36" t="n">
        <x:v>46197</x:v>
      </x:c>
    </x:row>
    <x:row r="2632">
      <x:c r="A2632" s="36" t="str">
        <x:v>2026-06-24</x:v>
      </x:c>
      <x:c r="B2632" s="18" t="str">
        <x:v>101437000_74223</x:v>
      </x:c>
      <x:c r="C2632" s="18" t="str">
        <x:v>【沪村小电】中兴村委会充电站</x:v>
      </x:c>
      <x:c r="D2632" s="37" t="str">
        <x:v>2</x:v>
      </x:c>
      <x:c r="E2632" s="37" t="str">
        <x:v>0</x:v>
      </x:c>
      <x:c r="F2632" s="37" t="str">
        <x:v>22</x:v>
      </x:c>
      <x:c r="G2632" s="37" t="str">
        <x:v>478.53</x:v>
      </x:c>
      <x:c r="H2632" s="37" t="str">
        <x:v>0.00</x:v>
      </x:c>
      <x:c r="I2632" s="37" t="str">
        <x:v>327.34</x:v>
      </x:c>
      <x:c r="J2632" s="37" t="str">
        <x:v>0.00</x:v>
      </x:c>
      <x:c r="K2632" s="37" t="str">
        <x:v>151.19</x:v>
      </x:c>
      <x:c r="L2632" s="37" t="str">
        <x:v>680</x:v>
      </x:c>
      <x:c r="M2632" s="29" t="str">
        <x:v>483.63</x:v>
      </x:c>
      <x:c r="N2632" s="29" t="str">
        <x:v>420.57</x:v>
      </x:c>
      <x:c r="O2632" s="29" t="str">
        <x:v>63.06</x:v>
      </x:c>
      <x:c r="P2632" s="18" t="str">
        <x:v>2026-06-24</x:v>
      </x:c>
      <x:c r="Q2632" s="36" t="n">
        <x:v>46197</x:v>
      </x:c>
    </x:row>
    <x:row r="2633">
      <x:c r="A2633" s="36" t="str">
        <x:v>2026-06-24</x:v>
      </x:c>
      <x:c r="B2633" s="18" t="str">
        <x:v>101437000_74801</x:v>
      </x:c>
      <x:c r="C2633" s="18" t="str">
        <x:v>【沪村小电】申良花园充电站</x:v>
      </x:c>
      <x:c r="D2633" s="37" t="str">
        <x:v>4</x:v>
      </x:c>
      <x:c r="E2633" s="37" t="str">
        <x:v>0</x:v>
      </x:c>
      <x:c r="F2633" s="37" t="str">
        <x:v>6</x:v>
      </x:c>
      <x:c r="G2633" s="37" t="str">
        <x:v>142.99</x:v>
      </x:c>
      <x:c r="H2633" s="37" t="str">
        <x:v>0.00</x:v>
      </x:c>
      <x:c r="I2633" s="37" t="str">
        <x:v>127.56</x:v>
      </x:c>
      <x:c r="J2633" s="37" t="str">
        <x:v>0.00</x:v>
      </x:c>
      <x:c r="K2633" s="37" t="str">
        <x:v>15.43</x:v>
      </x:c>
      <x:c r="L2633" s="37" t="str">
        <x:v>181</x:v>
      </x:c>
      <x:c r="M2633" s="29" t="str">
        <x:v>157.75</x:v>
      </x:c>
      <x:c r="N2633" s="29" t="str">
        <x:v>100.25</x:v>
      </x:c>
      <x:c r="O2633" s="29" t="str">
        <x:v>57.50</x:v>
      </x:c>
      <x:c r="P2633" s="18" t="str">
        <x:v>2026-06-24</x:v>
      </x:c>
      <x:c r="Q2633" s="36" t="n">
        <x:v>46197</x:v>
      </x:c>
    </x:row>
    <x:row r="2634">
      <x:c r="A2634" s="36" t="str">
        <x:v>2026-06-24</x:v>
      </x:c>
      <x:c r="B2634" s="18" t="str">
        <x:v>101437000_74931</x:v>
      </x:c>
      <x:c r="C2634" s="18" t="str">
        <x:v>【沪村小电】枫雅南居充电站</x:v>
      </x:c>
      <x:c r="D2634" s="37" t="str">
        <x:v>2</x:v>
      </x:c>
      <x:c r="E2634" s="37" t="str">
        <x:v>0</x:v>
      </x:c>
      <x:c r="F2634" s="37" t="str">
        <x:v>8</x:v>
      </x:c>
      <x:c r="G2634" s="37" t="str">
        <x:v>226.94</x:v>
      </x:c>
      <x:c r="H2634" s="37" t="str">
        <x:v>0.00</x:v>
      </x:c>
      <x:c r="I2634" s="37" t="str">
        <x:v>220.72</x:v>
      </x:c>
      <x:c r="J2634" s="37" t="str">
        <x:v>0.00</x:v>
      </x:c>
      <x:c r="K2634" s="37" t="str">
        <x:v>6.22</x:v>
      </x:c>
      <x:c r="L2634" s="37" t="str">
        <x:v>292</x:v>
      </x:c>
      <x:c r="M2634" s="29" t="str">
        <x:v>185.84</x:v>
      </x:c>
      <x:c r="N2634" s="29" t="str">
        <x:v>132.15</x:v>
      </x:c>
      <x:c r="O2634" s="29" t="str">
        <x:v>53.69</x:v>
      </x:c>
      <x:c r="P2634" s="18" t="str">
        <x:v>2026-06-24</x:v>
      </x:c>
      <x:c r="Q2634" s="36" t="n">
        <x:v>46197</x:v>
      </x:c>
    </x:row>
    <x:row r="2635">
      <x:c r="A2635" s="36" t="str">
        <x:v>2026-06-24</x:v>
      </x:c>
      <x:c r="B2635" s="18" t="str">
        <x:v>101437000_75901</x:v>
      </x:c>
      <x:c r="C2635" s="18" t="str">
        <x:v>【沪村小电】金悦学府</x:v>
      </x:c>
      <x:c r="D2635" s="37" t="str">
        <x:v>2</x:v>
      </x:c>
      <x:c r="E2635" s="37" t="str">
        <x:v>0</x:v>
      </x:c>
      <x:c r="F2635" s="37" t="str">
        <x:v>10</x:v>
      </x:c>
      <x:c r="G2635" s="37" t="str">
        <x:v>253.47</x:v>
      </x:c>
      <x:c r="H2635" s="37" t="str">
        <x:v>0.00</x:v>
      </x:c>
      <x:c r="I2635" s="37" t="str">
        <x:v>181.24</x:v>
      </x:c>
      <x:c r="J2635" s="37" t="str">
        <x:v>0.00</x:v>
      </x:c>
      <x:c r="K2635" s="37" t="str">
        <x:v>72.23</x:v>
      </x:c>
      <x:c r="L2635" s="37" t="str">
        <x:v>266</x:v>
      </x:c>
      <x:c r="M2635" s="29" t="str">
        <x:v>204.63</x:v>
      </x:c>
      <x:c r="N2635" s="29" t="str">
        <x:v>129.32</x:v>
      </x:c>
      <x:c r="O2635" s="29" t="str">
        <x:v>75.31</x:v>
      </x:c>
      <x:c r="P2635" s="18" t="str">
        <x:v>2026-06-24</x:v>
      </x:c>
      <x:c r="Q2635" s="36" t="n">
        <x:v>46197</x:v>
      </x:c>
    </x:row>
    <x:row r="2636">
      <x:c r="A2636" s="36" t="str">
        <x:v>2026-06-24</x:v>
      </x:c>
      <x:c r="B2636" s="18" t="str">
        <x:v>101437000_76091</x:v>
      </x:c>
      <x:c r="C2636" s="18" t="str">
        <x:v>【沪村小电】恒信家园充电站</x:v>
      </x:c>
      <x:c r="D2636" s="37" t="str">
        <x:v>2</x:v>
      </x:c>
      <x:c r="E2636" s="37" t="str">
        <x:v>0</x:v>
      </x:c>
      <x:c r="F2636" s="37" t="str">
        <x:v>48</x:v>
      </x:c>
      <x:c r="G2636" s="37" t="str">
        <x:v>1279.83</x:v>
      </x:c>
      <x:c r="H2636" s="37" t="str">
        <x:v>0.00</x:v>
      </x:c>
      <x:c r="I2636" s="37" t="str">
        <x:v>667.67</x:v>
      </x:c>
      <x:c r="J2636" s="37" t="str">
        <x:v>0.00</x:v>
      </x:c>
      <x:c r="K2636" s="37" t="str">
        <x:v>612.16</x:v>
      </x:c>
      <x:c r="L2636" s="37" t="str">
        <x:v>2010</x:v>
      </x:c>
      <x:c r="M2636" s="29" t="str">
        <x:v>1112.18</x:v>
      </x:c>
      <x:c r="N2636" s="29" t="str">
        <x:v>726.72</x:v>
      </x:c>
      <x:c r="O2636" s="29" t="str">
        <x:v>385.46</x:v>
      </x:c>
      <x:c r="P2636" s="18" t="str">
        <x:v>2026-06-24</x:v>
      </x:c>
      <x:c r="Q2636" s="36" t="n">
        <x:v>46197</x:v>
      </x:c>
    </x:row>
    <x:row r="2637">
      <x:c r="A2637" s="36" t="str">
        <x:v>2026-06-24</x:v>
      </x:c>
      <x:c r="B2637" s="18" t="str">
        <x:v>101437000_76417</x:v>
      </x:c>
      <x:c r="C2637" s="18" t="str">
        <x:v>【沪村小电】新春一组充电站</x:v>
      </x:c>
      <x:c r="D2637" s="37" t="str">
        <x:v>2</x:v>
      </x:c>
      <x:c r="E2637" s="37" t="str">
        <x:v>0</x:v>
      </x:c>
      <x:c r="F2637" s="37" t="str">
        <x:v>8</x:v>
      </x:c>
      <x:c r="G2637" s="37" t="str">
        <x:v>165.30</x:v>
      </x:c>
      <x:c r="H2637" s="37" t="str">
        <x:v>0.00</x:v>
      </x:c>
      <x:c r="I2637" s="37" t="str">
        <x:v>50.74</x:v>
      </x:c>
      <x:c r="J2637" s="37" t="str">
        <x:v>0.00</x:v>
      </x:c>
      <x:c r="K2637" s="37" t="str">
        <x:v>114.56</x:v>
      </x:c>
      <x:c r="L2637" s="37" t="str">
        <x:v>284</x:v>
      </x:c>
      <x:c r="M2637" s="29" t="str">
        <x:v>133.60</x:v>
      </x:c>
      <x:c r="N2637" s="29" t="str">
        <x:v>113.48</x:v>
      </x:c>
      <x:c r="O2637" s="29" t="str">
        <x:v>20.12</x:v>
      </x:c>
      <x:c r="P2637" s="18" t="str">
        <x:v>2026-06-24</x:v>
      </x:c>
      <x:c r="Q2637" s="36" t="n">
        <x:v>46197</x:v>
      </x:c>
    </x:row>
    <x:row r="2638">
      <x:c r="A2638" s="36" t="str">
        <x:v>2026-06-24</x:v>
      </x:c>
      <x:c r="B2638" s="18" t="str">
        <x:v>101437000_78235</x:v>
      </x:c>
      <x:c r="C2638" s="18" t="str">
        <x:v>【沪村小电】欣秋苑充电站</x:v>
      </x:c>
      <x:c r="D2638" s="37" t="str">
        <x:v>4</x:v>
      </x:c>
      <x:c r="E2638" s="37" t="str">
        <x:v>0</x:v>
      </x:c>
      <x:c r="F2638" s="37" t="str">
        <x:v>10</x:v>
      </x:c>
      <x:c r="G2638" s="37" t="str">
        <x:v>222.75</x:v>
      </x:c>
      <x:c r="H2638" s="37" t="str">
        <x:v>0.00</x:v>
      </x:c>
      <x:c r="I2638" s="37" t="str">
        <x:v>158.69</x:v>
      </x:c>
      <x:c r="J2638" s="37" t="str">
        <x:v>0.00</x:v>
      </x:c>
      <x:c r="K2638" s="37" t="str">
        <x:v>64.06</x:v>
      </x:c>
      <x:c r="L2638" s="37" t="str">
        <x:v>365</x:v>
      </x:c>
      <x:c r="M2638" s="29" t="str">
        <x:v>201.80</x:v>
      </x:c>
      <x:c r="N2638" s="29" t="str">
        <x:v>141.79</x:v>
      </x:c>
      <x:c r="O2638" s="29" t="str">
        <x:v>60.01</x:v>
      </x:c>
      <x:c r="P2638" s="18" t="str">
        <x:v>2026-06-24</x:v>
      </x:c>
      <x:c r="Q2638" s="36" t="n">
        <x:v>46197</x:v>
      </x:c>
    </x:row>
    <x:row r="2639">
      <x:c r="A2639" s="36" t="str">
        <x:v>2026-06-24</x:v>
      </x:c>
      <x:c r="B2639" s="18" t="str">
        <x:v>101437000_78237</x:v>
      </x:c>
      <x:c r="C2639" s="18" t="str">
        <x:v>【沪村小电】奉馨苑西门小区内北侧充电站</x:v>
      </x:c>
      <x:c r="D2639" s="37" t="str">
        <x:v>2</x:v>
      </x:c>
      <x:c r="E2639" s="37" t="str">
        <x:v>0</x:v>
      </x:c>
      <x:c r="F2639" s="37" t="str">
        <x:v>32</x:v>
      </x:c>
      <x:c r="G2639" s="37" t="str">
        <x:v>1018.32</x:v>
      </x:c>
      <x:c r="H2639" s="37" t="str">
        <x:v>0.00</x:v>
      </x:c>
      <x:c r="I2639" s="37" t="str">
        <x:v>449.03</x:v>
      </x:c>
      <x:c r="J2639" s="37" t="str">
        <x:v>0.00</x:v>
      </x:c>
      <x:c r="K2639" s="37" t="str">
        <x:v>569.28</x:v>
      </x:c>
      <x:c r="L2639" s="37" t="str">
        <x:v>1270</x:v>
      </x:c>
      <x:c r="M2639" s="29" t="str">
        <x:v>772.93</x:v>
      </x:c>
      <x:c r="N2639" s="29" t="str">
        <x:v>548.63</x:v>
      </x:c>
      <x:c r="O2639" s="29" t="str">
        <x:v>224.30</x:v>
      </x:c>
      <x:c r="P2639" s="18" t="str">
        <x:v>2026-06-24</x:v>
      </x:c>
      <x:c r="Q2639" s="36" t="n">
        <x:v>46197</x:v>
      </x:c>
    </x:row>
    <x:row r="2640">
      <x:c r="A2640" s="36" t="str">
        <x:v>2026-06-24</x:v>
      </x:c>
      <x:c r="B2640" s="18" t="str">
        <x:v>101437000_78239</x:v>
      </x:c>
      <x:c r="C2640" s="18" t="str">
        <x:v>【沪村小电】恒大佘山首府东门充电站</x:v>
      </x:c>
      <x:c r="D2640" s="37" t="str">
        <x:v>2</x:v>
      </x:c>
      <x:c r="E2640" s="37" t="str">
        <x:v>0</x:v>
      </x:c>
      <x:c r="F2640" s="37" t="str">
        <x:v>52</x:v>
      </x:c>
      <x:c r="G2640" s="37" t="str">
        <x:v>1335.68</x:v>
      </x:c>
      <x:c r="H2640" s="37" t="str">
        <x:v>0.00</x:v>
      </x:c>
      <x:c r="I2640" s="37" t="str">
        <x:v>797.71</x:v>
      </x:c>
      <x:c r="J2640" s="37" t="str">
        <x:v>0.00</x:v>
      </x:c>
      <x:c r="K2640" s="37" t="str">
        <x:v>537.97</x:v>
      </x:c>
      <x:c r="L2640" s="37" t="str">
        <x:v>1966</x:v>
      </x:c>
      <x:c r="M2640" s="29" t="str">
        <x:v>1088.70</x:v>
      </x:c>
      <x:c r="N2640" s="29" t="str">
        <x:v>794.73</x:v>
      </x:c>
      <x:c r="O2640" s="29" t="str">
        <x:v>293.97</x:v>
      </x:c>
      <x:c r="P2640" s="18" t="str">
        <x:v>2026-06-24</x:v>
      </x:c>
      <x:c r="Q2640" s="36" t="n">
        <x:v>46197</x:v>
      </x:c>
    </x:row>
    <x:row r="2641">
      <x:c r="A2641" s="36" t="str">
        <x:v>2026-06-24</x:v>
      </x:c>
      <x:c r="B2641" s="18" t="str">
        <x:v>101437000_80823</x:v>
      </x:c>
      <x:c r="C2641" s="18" t="str">
        <x:v>【沪村小电】上湖轩充电站</x:v>
      </x:c>
      <x:c r="D2641" s="37" t="str">
        <x:v>2</x:v>
      </x:c>
      <x:c r="E2641" s="37" t="str">
        <x:v>0</x:v>
      </x:c>
      <x:c r="F2641" s="37" t="str">
        <x:v>9</x:v>
      </x:c>
      <x:c r="G2641" s="37" t="str">
        <x:v>227.62</x:v>
      </x:c>
      <x:c r="H2641" s="37" t="str">
        <x:v>0.00</x:v>
      </x:c>
      <x:c r="I2641" s="37" t="str">
        <x:v>81.25</x:v>
      </x:c>
      <x:c r="J2641" s="37" t="str">
        <x:v>32.74</x:v>
      </x:c>
      <x:c r="K2641" s="37" t="str">
        <x:v>113.63</x:v>
      </x:c>
      <x:c r="L2641" s="37" t="str">
        <x:v>295</x:v>
      </x:c>
      <x:c r="M2641" s="29" t="str">
        <x:v>170.63</x:v>
      </x:c>
      <x:c r="N2641" s="29" t="str">
        <x:v>115.00</x:v>
      </x:c>
      <x:c r="O2641" s="29" t="str">
        <x:v>55.63</x:v>
      </x:c>
      <x:c r="P2641" s="18" t="str">
        <x:v>2026-06-24</x:v>
      </x:c>
      <x:c r="Q2641" s="36" t="n">
        <x:v>46197</x:v>
      </x:c>
    </x:row>
    <x:row r="2642">
      <x:c r="A2642" s="36" t="str">
        <x:v>2026-06-24</x:v>
      </x:c>
      <x:c r="B2642" s="18" t="str">
        <x:v>101437000_83019</x:v>
      </x:c>
      <x:c r="C2642" s="18" t="str">
        <x:v>【沪村小电】首创禧瑞云启东区充电站</x:v>
      </x:c>
      <x:c r="D2642" s="37" t="str">
        <x:v>2</x:v>
      </x:c>
      <x:c r="E2642" s="37" t="str">
        <x:v>0</x:v>
      </x:c>
      <x:c r="F2642" s="37" t="str">
        <x:v>48</x:v>
      </x:c>
      <x:c r="G2642" s="37" t="str">
        <x:v>1122.64</x:v>
      </x:c>
      <x:c r="H2642" s="37" t="str">
        <x:v>0.00</x:v>
      </x:c>
      <x:c r="I2642" s="37" t="str">
        <x:v>830.83</x:v>
      </x:c>
      <x:c r="J2642" s="37" t="str">
        <x:v>0.00</x:v>
      </x:c>
      <x:c r="K2642" s="37" t="str">
        <x:v>291.81</x:v>
      </x:c>
      <x:c r="L2642" s="37" t="str">
        <x:v>1571</x:v>
      </x:c>
      <x:c r="M2642" s="29" t="str">
        <x:v>1046.07</x:v>
      </x:c>
      <x:c r="N2642" s="29" t="str">
        <x:v>678.27</x:v>
      </x:c>
      <x:c r="O2642" s="29" t="str">
        <x:v>367.80</x:v>
      </x:c>
      <x:c r="P2642" s="18" t="str">
        <x:v>2026-06-24</x:v>
      </x:c>
      <x:c r="Q2642" s="36" t="n">
        <x:v>46197</x:v>
      </x:c>
    </x:row>
    <x:row r="2643">
      <x:c r="A2643" s="36" t="str">
        <x:v>2026-06-24</x:v>
      </x:c>
      <x:c r="B2643" s="18" t="str">
        <x:v>101437000_83093</x:v>
      </x:c>
      <x:c r="C2643" s="18" t="str">
        <x:v>【沪村小电】金茂未来时光里</x:v>
      </x:c>
      <x:c r="D2643" s="37" t="str">
        <x:v>2</x:v>
      </x:c>
      <x:c r="E2643" s="37" t="str">
        <x:v>0</x:v>
      </x:c>
      <x:c r="F2643" s="37" t="str">
        <x:v>30</x:v>
      </x:c>
      <x:c r="G2643" s="37" t="str">
        <x:v>842.48</x:v>
      </x:c>
      <x:c r="H2643" s="37" t="str">
        <x:v>0.00</x:v>
      </x:c>
      <x:c r="I2643" s="37" t="str">
        <x:v>451.54</x:v>
      </x:c>
      <x:c r="J2643" s="37" t="str">
        <x:v>0.00</x:v>
      </x:c>
      <x:c r="K2643" s="37" t="str">
        <x:v>390.95</x:v>
      </x:c>
      <x:c r="L2643" s="37" t="str">
        <x:v>1198</x:v>
      </x:c>
      <x:c r="M2643" s="29" t="str">
        <x:v>590.25</x:v>
      </x:c>
      <x:c r="N2643" s="29" t="str">
        <x:v>387.56</x:v>
      </x:c>
      <x:c r="O2643" s="29" t="str">
        <x:v>202.69</x:v>
      </x:c>
      <x:c r="P2643" s="18" t="str">
        <x:v>2026-06-24</x:v>
      </x:c>
      <x:c r="Q2643" s="36" t="n">
        <x:v>46197</x:v>
      </x:c>
    </x:row>
    <x:row r="2644">
      <x:c r="A2644" s="36" t="str">
        <x:v>2026-06-24</x:v>
      </x:c>
      <x:c r="B2644" s="18" t="str">
        <x:v>101437000_83911</x:v>
      </x:c>
      <x:c r="C2644" s="18" t="str">
        <x:v>【沪村小电】金瀚园充电站</x:v>
      </x:c>
      <x:c r="D2644" s="37" t="str">
        <x:v>2</x:v>
      </x:c>
      <x:c r="E2644" s="37" t="str">
        <x:v>0</x:v>
      </x:c>
      <x:c r="F2644" s="37" t="str">
        <x:v>15</x:v>
      </x:c>
      <x:c r="G2644" s="37" t="str">
        <x:v>440.12</x:v>
      </x:c>
      <x:c r="H2644" s="37" t="str">
        <x:v>0.00</x:v>
      </x:c>
      <x:c r="I2644" s="37" t="str">
        <x:v>182.02</x:v>
      </x:c>
      <x:c r="J2644" s="37" t="str">
        <x:v>0.00</x:v>
      </x:c>
      <x:c r="K2644" s="37" t="str">
        <x:v>258.09</x:v>
      </x:c>
      <x:c r="L2644" s="37" t="str">
        <x:v>609</x:v>
      </x:c>
      <x:c r="M2644" s="29" t="str">
        <x:v>386.81</x:v>
      </x:c>
      <x:c r="N2644" s="29" t="str">
        <x:v>232.79</x:v>
      </x:c>
      <x:c r="O2644" s="29" t="str">
        <x:v>154.02</x:v>
      </x:c>
      <x:c r="P2644" s="18" t="str">
        <x:v>2026-06-24</x:v>
      </x:c>
      <x:c r="Q2644" s="36" t="n">
        <x:v>46197</x:v>
      </x:c>
    </x:row>
    <x:row r="2645">
      <x:c r="A2645" s="36" t="str">
        <x:v>2026-06-24</x:v>
      </x:c>
      <x:c r="B2645" s="18" t="str">
        <x:v>101437000_83913</x:v>
      </x:c>
      <x:c r="C2645" s="18" t="str">
        <x:v>【沪村小电】新黎村充电站</x:v>
      </x:c>
      <x:c r="D2645" s="37" t="str">
        <x:v>2</x:v>
      </x:c>
      <x:c r="E2645" s="37" t="str">
        <x:v>0</x:v>
      </x:c>
      <x:c r="F2645" s="37" t="str">
        <x:v>20</x:v>
      </x:c>
      <x:c r="G2645" s="37" t="str">
        <x:v>433.02</x:v>
      </x:c>
      <x:c r="H2645" s="37" t="str">
        <x:v>0.00</x:v>
      </x:c>
      <x:c r="I2645" s="37" t="str">
        <x:v>179.69</x:v>
      </x:c>
      <x:c r="J2645" s="37" t="str">
        <x:v>0.00</x:v>
      </x:c>
      <x:c r="K2645" s="37" t="str">
        <x:v>253.33</x:v>
      </x:c>
      <x:c r="L2645" s="37" t="str">
        <x:v>679</x:v>
      </x:c>
      <x:c r="M2645" s="29" t="str">
        <x:v>391.04</x:v>
      </x:c>
      <x:c r="N2645" s="29" t="str">
        <x:v>321.14</x:v>
      </x:c>
      <x:c r="O2645" s="29" t="str">
        <x:v>69.90</x:v>
      </x:c>
      <x:c r="P2645" s="18" t="str">
        <x:v>2026-06-24</x:v>
      </x:c>
      <x:c r="Q2645" s="36" t="n">
        <x:v>46197</x:v>
      </x:c>
    </x:row>
    <x:row r="2646">
      <x:c r="A2646" s="36" t="str">
        <x:v>2026-06-24</x:v>
      </x:c>
      <x:c r="B2646" s="18" t="str">
        <x:v>101437000_83915</x:v>
      </x:c>
      <x:c r="C2646" s="18" t="str">
        <x:v>【沪村小电】长泰西郊别墅充电站</x:v>
      </x:c>
      <x:c r="D2646" s="37" t="str">
        <x:v>2</x:v>
      </x:c>
      <x:c r="E2646" s="37" t="str">
        <x:v>0</x:v>
      </x:c>
      <x:c r="F2646" s="37" t="str">
        <x:v>11</x:v>
      </x:c>
      <x:c r="G2646" s="37" t="str">
        <x:v>276.29</x:v>
      </x:c>
      <x:c r="H2646" s="37" t="str">
        <x:v>0.00</x:v>
      </x:c>
      <x:c r="I2646" s="37" t="str">
        <x:v>212.15</x:v>
      </x:c>
      <x:c r="J2646" s="37" t="str">
        <x:v>0.00</x:v>
      </x:c>
      <x:c r="K2646" s="37" t="str">
        <x:v>64.15</x:v>
      </x:c>
      <x:c r="L2646" s="37" t="str">
        <x:v>364</x:v>
      </x:c>
      <x:c r="M2646" s="29" t="str">
        <x:v>251.03</x:v>
      </x:c>
      <x:c r="N2646" s="29" t="str">
        <x:v>181.37</x:v>
      </x:c>
      <x:c r="O2646" s="29" t="str">
        <x:v>69.66</x:v>
      </x:c>
      <x:c r="P2646" s="18" t="str">
        <x:v>2026-06-24</x:v>
      </x:c>
      <x:c r="Q2646" s="36" t="n">
        <x:v>46197</x:v>
      </x:c>
    </x:row>
    <x:row r="2647">
      <x:c r="A2647" s="36" t="str">
        <x:v>2026-06-24</x:v>
      </x:c>
      <x:c r="B2647" s="18" t="str">
        <x:v>101437000_83917</x:v>
      </x:c>
      <x:c r="C2647" s="18" t="str">
        <x:v>【沪村小电】旭新华庭充电站</x:v>
      </x:c>
      <x:c r="D2647" s="37" t="str">
        <x:v>4</x:v>
      </x:c>
      <x:c r="E2647" s="37" t="str">
        <x:v>0</x:v>
      </x:c>
      <x:c r="F2647" s="37" t="str">
        <x:v>25</x:v>
      </x:c>
      <x:c r="G2647" s="37" t="str">
        <x:v>545.61</x:v>
      </x:c>
      <x:c r="H2647" s="37" t="str">
        <x:v>0.00</x:v>
      </x:c>
      <x:c r="I2647" s="37" t="str">
        <x:v>342.87</x:v>
      </x:c>
      <x:c r="J2647" s="37" t="str">
        <x:v>0.00</x:v>
      </x:c>
      <x:c r="K2647" s="37" t="str">
        <x:v>202.74</x:v>
      </x:c>
      <x:c r="L2647" s="37" t="str">
        <x:v>836</x:v>
      </x:c>
      <x:c r="M2647" s="29" t="str">
        <x:v>492.07</x:v>
      </x:c>
      <x:c r="N2647" s="29" t="str">
        <x:v>330.76</x:v>
      </x:c>
      <x:c r="O2647" s="29" t="str">
        <x:v>161.31</x:v>
      </x:c>
      <x:c r="P2647" s="18" t="str">
        <x:v>2026-06-24</x:v>
      </x:c>
      <x:c r="Q2647" s="36" t="n">
        <x:v>46197</x:v>
      </x:c>
    </x:row>
    <x:row r="2648">
      <x:c r="A2648" s="36" t="str">
        <x:v>2026-06-24</x:v>
      </x:c>
      <x:c r="B2648" s="18" t="str">
        <x:v>101437000_83919</x:v>
      </x:c>
      <x:c r="C2648" s="18" t="str">
        <x:v>【沪村小电】浦锦名仕嘉园充电站</x:v>
      </x:c>
      <x:c r="D2648" s="37" t="str">
        <x:v>4</x:v>
      </x:c>
      <x:c r="E2648" s="37" t="str">
        <x:v>0</x:v>
      </x:c>
      <x:c r="F2648" s="37" t="str">
        <x:v>30</x:v>
      </x:c>
      <x:c r="G2648" s="37" t="str">
        <x:v>739.79</x:v>
      </x:c>
      <x:c r="H2648" s="37" t="str">
        <x:v>0.00</x:v>
      </x:c>
      <x:c r="I2648" s="37" t="str">
        <x:v>0.00</x:v>
      </x:c>
      <x:c r="J2648" s="37" t="str">
        <x:v>739.79</x:v>
      </x:c>
      <x:c r="K2648" s="37" t="str">
        <x:v>0.00</x:v>
      </x:c>
      <x:c r="L2648" s="37" t="str">
        <x:v>1014</x:v>
      </x:c>
      <x:c r="M2648" s="29" t="str">
        <x:v>674.47</x:v>
      </x:c>
      <x:c r="N2648" s="29" t="str">
        <x:v>473.47</x:v>
      </x:c>
      <x:c r="O2648" s="29" t="str">
        <x:v>201.00</x:v>
      </x:c>
      <x:c r="P2648" s="18" t="str">
        <x:v>2026-06-24</x:v>
      </x:c>
      <x:c r="Q2648" s="36" t="n">
        <x:v>46197</x:v>
      </x:c>
    </x:row>
    <x:row r="2649">
      <x:c r="A2649" s="36" t="str">
        <x:v>2026-06-24</x:v>
      </x:c>
      <x:c r="B2649" s="18" t="str">
        <x:v>101437000_83921</x:v>
      </x:c>
      <x:c r="C2649" s="18" t="str">
        <x:v>【沪村小电】上海联怡枇杷乐园充电站（地库）</x:v>
      </x:c>
      <x:c r="D2649" s="37" t="str">
        <x:v>8</x:v>
      </x:c>
      <x:c r="E2649" s="37" t="str">
        <x:v>0</x:v>
      </x:c>
      <x:c r="F2649" s="37" t="str">
        <x:v>3</x:v>
      </x:c>
      <x:c r="G2649" s="37" t="str">
        <x:v>120.14</x:v>
      </x:c>
      <x:c r="H2649" s="37" t="str">
        <x:v>0.00</x:v>
      </x:c>
      <x:c r="I2649" s="37" t="str">
        <x:v>0.00</x:v>
      </x:c>
      <x:c r="J2649" s="37" t="str">
        <x:v>0.00</x:v>
      </x:c>
      <x:c r="K2649" s="37" t="str">
        <x:v>120.14</x:v>
      </x:c>
      <x:c r="L2649" s="37" t="str">
        <x:v>135</x:v>
      </x:c>
      <x:c r="M2649" s="29" t="str">
        <x:v>69.68</x:v>
      </x:c>
      <x:c r="N2649" s="29" t="str">
        <x:v>63.67</x:v>
      </x:c>
      <x:c r="O2649" s="29" t="str">
        <x:v>6.01</x:v>
      </x:c>
      <x:c r="P2649" s="18" t="str">
        <x:v>2026-06-24</x:v>
      </x:c>
      <x:c r="Q2649" s="36" t="n">
        <x:v>46197</x:v>
      </x:c>
    </x:row>
    <x:row r="2650">
      <x:c r="A2650" s="36" t="str">
        <x:v>2026-06-24</x:v>
      </x:c>
      <x:c r="B2650" s="18" t="str">
        <x:v>101437000_83923</x:v>
      </x:c>
      <x:c r="C2650" s="18" t="str">
        <x:v>【沪村小电】明珠新苑充电站</x:v>
      </x:c>
      <x:c r="D2650" s="37" t="str">
        <x:v>2</x:v>
      </x:c>
      <x:c r="E2650" s="37" t="str">
        <x:v>0</x:v>
      </x:c>
      <x:c r="F2650" s="37" t="str">
        <x:v>15</x:v>
      </x:c>
      <x:c r="G2650" s="37" t="str">
        <x:v>331.42</x:v>
      </x:c>
      <x:c r="H2650" s="37" t="str">
        <x:v>0.00</x:v>
      </x:c>
      <x:c r="I2650" s="37" t="str">
        <x:v>247.11</x:v>
      </x:c>
      <x:c r="J2650" s="37" t="str">
        <x:v>0.00</x:v>
      </x:c>
      <x:c r="K2650" s="37" t="str">
        <x:v>84.32</x:v>
      </x:c>
      <x:c r="L2650" s="37" t="str">
        <x:v>496</x:v>
      </x:c>
      <x:c r="M2650" s="29" t="str">
        <x:v>283.90</x:v>
      </x:c>
      <x:c r="N2650" s="29" t="str">
        <x:v>214.90</x:v>
      </x:c>
      <x:c r="O2650" s="29" t="str">
        <x:v>69.00</x:v>
      </x:c>
      <x:c r="P2650" s="18" t="str">
        <x:v>2026-06-24</x:v>
      </x:c>
      <x:c r="Q2650" s="36" t="n">
        <x:v>46197</x:v>
      </x:c>
    </x:row>
    <x:row r="2651">
      <x:c r="A2651" s="36" t="str">
        <x:v>2026-06-24</x:v>
      </x:c>
      <x:c r="B2651" s="18" t="str">
        <x:v>101437000_84289</x:v>
      </x:c>
      <x:c r="C2651" s="18" t="str">
        <x:v>【沪村小电】铁建芳华苑充电站</x:v>
      </x:c>
      <x:c r="D2651" s="37" t="str">
        <x:v>4</x:v>
      </x:c>
      <x:c r="E2651" s="37" t="str">
        <x:v>0</x:v>
      </x:c>
      <x:c r="F2651" s="37" t="str">
        <x:v>32</x:v>
      </x:c>
      <x:c r="G2651" s="37" t="str">
        <x:v>789.17</x:v>
      </x:c>
      <x:c r="H2651" s="37" t="str">
        <x:v>0.00</x:v>
      </x:c>
      <x:c r="I2651" s="37" t="str">
        <x:v>367.11</x:v>
      </x:c>
      <x:c r="J2651" s="37" t="str">
        <x:v>0.00</x:v>
      </x:c>
      <x:c r="K2651" s="37" t="str">
        <x:v>422.06</x:v>
      </x:c>
      <x:c r="L2651" s="37" t="str">
        <x:v>1300</x:v>
      </x:c>
      <x:c r="M2651" s="29" t="str">
        <x:v>622.25</x:v>
      </x:c>
      <x:c r="N2651" s="29" t="str">
        <x:v>432.01</x:v>
      </x:c>
      <x:c r="O2651" s="29" t="str">
        <x:v>190.24</x:v>
      </x:c>
      <x:c r="P2651" s="18" t="str">
        <x:v>2026-06-24</x:v>
      </x:c>
      <x:c r="Q2651" s="36" t="n">
        <x:v>46197</x:v>
      </x:c>
    </x:row>
    <x:row r="2652">
      <x:c r="A2652" s="36" t="str">
        <x:v>2026-06-24</x:v>
      </x:c>
      <x:c r="B2652" s="18" t="str">
        <x:v>101437000_86379</x:v>
      </x:c>
      <x:c r="C2652" s="18" t="str">
        <x:v>【沪村小电】新宝社区充电站</x:v>
      </x:c>
      <x:c r="D2652" s="37" t="str">
        <x:v>4</x:v>
      </x:c>
      <x:c r="E2652" s="37" t="str">
        <x:v>0</x:v>
      </x:c>
      <x:c r="F2652" s="37" t="str">
        <x:v>13</x:v>
      </x:c>
      <x:c r="G2652" s="37" t="str">
        <x:v>341.92</x:v>
      </x:c>
      <x:c r="H2652" s="37" t="str">
        <x:v>0.00</x:v>
      </x:c>
      <x:c r="I2652" s="37" t="str">
        <x:v>253.36</x:v>
      </x:c>
      <x:c r="J2652" s="37" t="str">
        <x:v>0.00</x:v>
      </x:c>
      <x:c r="K2652" s="37" t="str">
        <x:v>88.57</x:v>
      </x:c>
      <x:c r="L2652" s="37" t="str">
        <x:v>530</x:v>
      </x:c>
      <x:c r="M2652" s="29" t="str">
        <x:v>317.64</x:v>
      </x:c>
      <x:c r="N2652" s="29" t="str">
        <x:v>221.15</x:v>
      </x:c>
      <x:c r="O2652" s="29" t="str">
        <x:v>96.49</x:v>
      </x:c>
      <x:c r="P2652" s="18" t="str">
        <x:v>2026-06-24</x:v>
      </x:c>
      <x:c r="Q2652" s="36" t="n">
        <x:v>46197</x:v>
      </x:c>
    </x:row>
    <x:row r="2653">
      <x:c r="A2653" s="36" t="str">
        <x:v>2026-06-24</x:v>
      </x:c>
      <x:c r="B2653" s="18" t="str">
        <x:v>101437000_89441</x:v>
      </x:c>
      <x:c r="C2653" s="18" t="str">
        <x:v>【沪村小电】首创禧瑞云启西区充电站</x:v>
      </x:c>
      <x:c r="D2653" s="37" t="str">
        <x:v>2</x:v>
      </x:c>
      <x:c r="E2653" s="37" t="str">
        <x:v>0</x:v>
      </x:c>
      <x:c r="F2653" s="37" t="str">
        <x:v>41</x:v>
      </x:c>
      <x:c r="G2653" s="37" t="str">
        <x:v>863.52</x:v>
      </x:c>
      <x:c r="H2653" s="37" t="str">
        <x:v>0.00</x:v>
      </x:c>
      <x:c r="I2653" s="37" t="str">
        <x:v>688.22</x:v>
      </x:c>
      <x:c r="J2653" s="37" t="str">
        <x:v>0.00</x:v>
      </x:c>
      <x:c r="K2653" s="37" t="str">
        <x:v>175.30</x:v>
      </x:c>
      <x:c r="L2653" s="37" t="str">
        <x:v>1300</x:v>
      </x:c>
      <x:c r="M2653" s="29" t="str">
        <x:v>734.27</x:v>
      </x:c>
      <x:c r="N2653" s="29" t="str">
        <x:v>538.00</x:v>
      </x:c>
      <x:c r="O2653" s="29" t="str">
        <x:v>196.27</x:v>
      </x:c>
      <x:c r="P2653" s="18" t="str">
        <x:v>2026-06-24</x:v>
      </x:c>
      <x:c r="Q2653" s="36" t="n">
        <x:v>46197</x:v>
      </x:c>
    </x:row>
    <x:row r="2654">
      <x:c r="A2654" s="36" t="str">
        <x:v>2026-06-24</x:v>
      </x:c>
      <x:c r="B2654" s="18" t="str">
        <x:v>101437000_89443</x:v>
      </x:c>
      <x:c r="C2654" s="18" t="str">
        <x:v>【沪村小电】玉兰清苑二期充电站</x:v>
      </x:c>
      <x:c r="D2654" s="37" t="str">
        <x:v>2</x:v>
      </x:c>
      <x:c r="E2654" s="37" t="str">
        <x:v>0</x:v>
      </x:c>
      <x:c r="F2654" s="37" t="str">
        <x:v>22</x:v>
      </x:c>
      <x:c r="G2654" s="37" t="str">
        <x:v>644.87</x:v>
      </x:c>
      <x:c r="H2654" s="37" t="str">
        <x:v>0.00</x:v>
      </x:c>
      <x:c r="I2654" s="37" t="str">
        <x:v>526.65</x:v>
      </x:c>
      <x:c r="J2654" s="37" t="str">
        <x:v>0.00</x:v>
      </x:c>
      <x:c r="K2654" s="37" t="str">
        <x:v>118.22</x:v>
      </x:c>
      <x:c r="L2654" s="37" t="str">
        <x:v>890</x:v>
      </x:c>
      <x:c r="M2654" s="29" t="str">
        <x:v>569.50</x:v>
      </x:c>
      <x:c r="N2654" s="29" t="str">
        <x:v>434.63</x:v>
      </x:c>
      <x:c r="O2654" s="29" t="str">
        <x:v>134.87</x:v>
      </x:c>
      <x:c r="P2654" s="18" t="str">
        <x:v>2026-06-24</x:v>
      </x:c>
      <x:c r="Q2654" s="36" t="n">
        <x:v>46197</x:v>
      </x:c>
    </x:row>
    <x:row r="2655">
      <x:c r="A2655" s="36" t="str">
        <x:v>2026-06-24</x:v>
      </x:c>
      <x:c r="B2655" s="18" t="str">
        <x:v>101437000_93115</x:v>
      </x:c>
      <x:c r="C2655" s="18" t="str">
        <x:v>【沪村小电】新南家园西北门</x:v>
      </x:c>
      <x:c r="D2655" s="37" t="str">
        <x:v>2</x:v>
      </x:c>
      <x:c r="E2655" s="37" t="str">
        <x:v>0</x:v>
      </x:c>
      <x:c r="F2655" s="37" t="str">
        <x:v>18</x:v>
      </x:c>
      <x:c r="G2655" s="37" t="str">
        <x:v>328.31</x:v>
      </x:c>
      <x:c r="H2655" s="37" t="str">
        <x:v>0.00</x:v>
      </x:c>
      <x:c r="I2655" s="37" t="str">
        <x:v>211.60</x:v>
      </x:c>
      <x:c r="J2655" s="37" t="str">
        <x:v>0.00</x:v>
      </x:c>
      <x:c r="K2655" s="37" t="str">
        <x:v>116.71</x:v>
      </x:c>
      <x:c r="L2655" s="37" t="str">
        <x:v>597</x:v>
      </x:c>
      <x:c r="M2655" s="29" t="str">
        <x:v>276.90</x:v>
      </x:c>
      <x:c r="N2655" s="29" t="str">
        <x:v>188.03</x:v>
      </x:c>
      <x:c r="O2655" s="29" t="str">
        <x:v>88.87</x:v>
      </x:c>
      <x:c r="P2655" s="18" t="str">
        <x:v>2026-06-24</x:v>
      </x:c>
      <x:c r="Q2655" s="36" t="n">
        <x:v>46197</x:v>
      </x:c>
    </x:row>
    <x:row r="2656">
      <x:c r="A2656" s="36" t="str">
        <x:v>2026-06-24</x:v>
      </x:c>
      <x:c r="B2656" s="18" t="str">
        <x:v>101437000_94649</x:v>
      </x:c>
      <x:c r="C2656" s="18" t="str">
        <x:v>【沪村小电】浪琴水岸花园</x:v>
      </x:c>
      <x:c r="D2656" s="37" t="str">
        <x:v>4</x:v>
      </x:c>
      <x:c r="E2656" s="37" t="str">
        <x:v>0</x:v>
      </x:c>
      <x:c r="F2656" s="37" t="str">
        <x:v>17</x:v>
      </x:c>
      <x:c r="G2656" s="37" t="str">
        <x:v>390.78</x:v>
      </x:c>
      <x:c r="H2656" s="37" t="str">
        <x:v>0.00</x:v>
      </x:c>
      <x:c r="I2656" s="37" t="str">
        <x:v>186.35</x:v>
      </x:c>
      <x:c r="J2656" s="37" t="str">
        <x:v>0.00</x:v>
      </x:c>
      <x:c r="K2656" s="37" t="str">
        <x:v>204.43</x:v>
      </x:c>
      <x:c r="L2656" s="37" t="str">
        <x:v>758</x:v>
      </x:c>
      <x:c r="M2656" s="29" t="str">
        <x:v>310.24</x:v>
      </x:c>
      <x:c r="N2656" s="29" t="str">
        <x:v>202.18</x:v>
      </x:c>
      <x:c r="O2656" s="29" t="str">
        <x:v>108.06</x:v>
      </x:c>
      <x:c r="P2656" s="18" t="str">
        <x:v>2026-06-24</x:v>
      </x:c>
      <x:c r="Q2656" s="36" t="n">
        <x:v>46197</x:v>
      </x:c>
    </x:row>
    <x:row r="2657">
      <x:c r="A2657" s="36" t="str">
        <x:v>2026-06-24</x:v>
      </x:c>
      <x:c r="B2657" s="18" t="str">
        <x:v>101437000_95077</x:v>
      </x:c>
      <x:c r="C2657" s="18" t="str">
        <x:v>【沪村小电】民乐城惠益绿苑255弄充电站</x:v>
      </x:c>
      <x:c r="D2657" s="37" t="str">
        <x:v>2</x:v>
      </x:c>
      <x:c r="E2657" s="37" t="str">
        <x:v>0</x:v>
      </x:c>
      <x:c r="F2657" s="37" t="str">
        <x:v>6</x:v>
      </x:c>
      <x:c r="G2657" s="37" t="str">
        <x:v>113.24</x:v>
      </x:c>
      <x:c r="H2657" s="37" t="str">
        <x:v>0.00</x:v>
      </x:c>
      <x:c r="I2657" s="37" t="str">
        <x:v>95.55</x:v>
      </x:c>
      <x:c r="J2657" s="37" t="str">
        <x:v>0.00</x:v>
      </x:c>
      <x:c r="K2657" s="37" t="str">
        <x:v>17.69</x:v>
      </x:c>
      <x:c r="L2657" s="37" t="str">
        <x:v>179</x:v>
      </x:c>
      <x:c r="M2657" s="29" t="str">
        <x:v>105.07</x:v>
      </x:c>
      <x:c r="N2657" s="29" t="str">
        <x:v>77.44</x:v>
      </x:c>
      <x:c r="O2657" s="29" t="str">
        <x:v>27.63</x:v>
      </x:c>
      <x:c r="P2657" s="18" t="str">
        <x:v>2026-06-24</x:v>
      </x:c>
      <x:c r="Q2657" s="36" t="n">
        <x:v>46197</x:v>
      </x:c>
    </x:row>
    <x:row r="2658">
      <x:c r="A2658" s="36" t="str">
        <x:v>2026-06-24</x:v>
      </x:c>
      <x:c r="B2658" s="18" t="str">
        <x:v>101437000_95079</x:v>
      </x:c>
      <x:c r="C2658" s="18" t="str">
        <x:v>【沪村小电】民乐城惠益绿苑东苑充电站</x:v>
      </x:c>
      <x:c r="D2658" s="37" t="str">
        <x:v>2</x:v>
      </x:c>
      <x:c r="E2658" s="37" t="str">
        <x:v>0</x:v>
      </x:c>
      <x:c r="F2658" s="37" t="str">
        <x:v>10</x:v>
      </x:c>
      <x:c r="G2658" s="37" t="str">
        <x:v>264.45</x:v>
      </x:c>
      <x:c r="H2658" s="37" t="str">
        <x:v>0.00</x:v>
      </x:c>
      <x:c r="I2658" s="37" t="str">
        <x:v>264.45</x:v>
      </x:c>
      <x:c r="J2658" s="37" t="str">
        <x:v>0.00</x:v>
      </x:c>
      <x:c r="K2658" s="37" t="str">
        <x:v>0.00</x:v>
      </x:c>
      <x:c r="L2658" s="37" t="str">
        <x:v>410</x:v>
      </x:c>
      <x:c r="M2658" s="29" t="str">
        <x:v>259.70</x:v>
      </x:c>
      <x:c r="N2658" s="29" t="str">
        <x:v>182.47</x:v>
      </x:c>
      <x:c r="O2658" s="29" t="str">
        <x:v>77.23</x:v>
      </x:c>
      <x:c r="P2658" s="18" t="str">
        <x:v>2026-06-24</x:v>
      </x:c>
      <x:c r="Q2658" s="36" t="n">
        <x:v>46197</x:v>
      </x:c>
    </x:row>
    <x:row r="2659">
      <x:c r="A2659" s="36" t="str">
        <x:v>2026-06-24</x:v>
      </x:c>
      <x:c r="B2659" s="18" t="str">
        <x:v>101437000_95081</x:v>
      </x:c>
      <x:c r="C2659" s="18" t="str">
        <x:v>【沪村小电】民乐城惠益绿苑西苑充电站</x:v>
      </x:c>
      <x:c r="D2659" s="37" t="str">
        <x:v>2</x:v>
      </x:c>
      <x:c r="E2659" s="37" t="str">
        <x:v>0</x:v>
      </x:c>
      <x:c r="F2659" s="37" t="str">
        <x:v>1</x:v>
      </x:c>
      <x:c r="G2659" s="37" t="str">
        <x:v>47.91</x:v>
      </x:c>
      <x:c r="H2659" s="37" t="str">
        <x:v>0.00</x:v>
      </x:c>
      <x:c r="I2659" s="37" t="str">
        <x:v>47.91</x:v>
      </x:c>
      <x:c r="J2659" s="37" t="str">
        <x:v>0.00</x:v>
      </x:c>
      <x:c r="K2659" s="37" t="str">
        <x:v>0.00</x:v>
      </x:c>
      <x:c r="L2659" s="37" t="str">
        <x:v>41</x:v>
      </x:c>
      <x:c r="M2659" s="29" t="str">
        <x:v>40.73</x:v>
      </x:c>
      <x:c r="N2659" s="29" t="str">
        <x:v>33.06</x:v>
      </x:c>
      <x:c r="O2659" s="29" t="str">
        <x:v>7.67</x:v>
      </x:c>
      <x:c r="P2659" s="18" t="str">
        <x:v>2026-06-24</x:v>
      </x:c>
      <x:c r="Q2659" s="36" t="n">
        <x:v>46197</x:v>
      </x:c>
    </x:row>
    <x:row r="2660">
      <x:c r="A2660" s="36" t="str">
        <x:v>2026-06-24</x:v>
      </x:c>
      <x:c r="B2660" s="18" t="str">
        <x:v>101437000_95091</x:v>
      </x:c>
      <x:c r="C2660" s="18" t="str">
        <x:v>【沪村小电】金悦学府2号站</x:v>
      </x:c>
      <x:c r="D2660" s="37" t="str">
        <x:v>2</x:v>
      </x:c>
      <x:c r="E2660" s="37" t="str">
        <x:v>0</x:v>
      </x:c>
      <x:c r="F2660" s="37" t="str">
        <x:v>15</x:v>
      </x:c>
      <x:c r="G2660" s="37" t="str">
        <x:v>376.55</x:v>
      </x:c>
      <x:c r="H2660" s="37" t="str">
        <x:v>0.00</x:v>
      </x:c>
      <x:c r="I2660" s="37" t="str">
        <x:v>0.00</x:v>
      </x:c>
      <x:c r="J2660" s="37" t="str">
        <x:v>376.55</x:v>
      </x:c>
      <x:c r="K2660" s="37" t="str">
        <x:v>0.00</x:v>
      </x:c>
      <x:c r="L2660" s="37" t="str">
        <x:v>560</x:v>
      </x:c>
      <x:c r="M2660" s="29" t="str">
        <x:v>297.46</x:v>
      </x:c>
      <x:c r="N2660" s="29" t="str">
        <x:v>210.86</x:v>
      </x:c>
      <x:c r="O2660" s="29" t="str">
        <x:v>86.60</x:v>
      </x:c>
      <x:c r="P2660" s="18" t="str">
        <x:v>2026-06-24</x:v>
      </x:c>
      <x:c r="Q2660" s="36" t="n">
        <x:v>46197</x:v>
      </x:c>
    </x:row>
    <x:row r="2661">
      <x:c r="A2661" s="36" t="str">
        <x:v>2026-06-24</x:v>
      </x:c>
      <x:c r="B2661" s="18" t="str">
        <x:v>101437000_95941</x:v>
      </x:c>
      <x:c r="C2661" s="18" t="str">
        <x:v>【沪村小电】惠诚雅苑</x:v>
      </x:c>
      <x:c r="D2661" s="37" t="str">
        <x:v>4</x:v>
      </x:c>
      <x:c r="E2661" s="37" t="str">
        <x:v>0</x:v>
      </x:c>
      <x:c r="F2661" s="37" t="str">
        <x:v>17</x:v>
      </x:c>
      <x:c r="G2661" s="37" t="str">
        <x:v>404.99</x:v>
      </x:c>
      <x:c r="H2661" s="37" t="str">
        <x:v>0.00</x:v>
      </x:c>
      <x:c r="I2661" s="37" t="str">
        <x:v>251.47</x:v>
      </x:c>
      <x:c r="J2661" s="37" t="str">
        <x:v>0.00</x:v>
      </x:c>
      <x:c r="K2661" s="37" t="str">
        <x:v>153.52</x:v>
      </x:c>
      <x:c r="L2661" s="37" t="str">
        <x:v>665</x:v>
      </x:c>
      <x:c r="M2661" s="29" t="str">
        <x:v>291.71</x:v>
      </x:c>
      <x:c r="N2661" s="29" t="str">
        <x:v>195.96</x:v>
      </x:c>
      <x:c r="O2661" s="29" t="str">
        <x:v>95.75</x:v>
      </x:c>
      <x:c r="P2661" s="18" t="str">
        <x:v>2026-06-24</x:v>
      </x:c>
      <x:c r="Q2661" s="36" t="n">
        <x:v>46197</x:v>
      </x:c>
    </x:row>
    <x:row r="2662">
      <x:c r="A2662" s="36" t="str">
        <x:v>2026-06-24</x:v>
      </x:c>
      <x:c r="B2662" s="18" t="str">
        <x:v>101437000_96401</x:v>
      </x:c>
      <x:c r="C2662" s="18" t="str">
        <x:v>【沪村小电】上海联怡枇杷乐园地面站</x:v>
      </x:c>
      <x:c r="D2662" s="37" t="str">
        <x:v>2</x:v>
      </x:c>
      <x:c r="E2662" s="37" t="str">
        <x:v>0</x:v>
      </x:c>
      <x:c r="F2662" s="37" t="str">
        <x:v>10</x:v>
      </x:c>
      <x:c r="G2662" s="37" t="str">
        <x:v>344.12</x:v>
      </x:c>
      <x:c r="H2662" s="37" t="str">
        <x:v>0.00</x:v>
      </x:c>
      <x:c r="I2662" s="37" t="str">
        <x:v>143.41</x:v>
      </x:c>
      <x:c r="J2662" s="37" t="str">
        <x:v>0.00</x:v>
      </x:c>
      <x:c r="K2662" s="37" t="str">
        <x:v>200.70</x:v>
      </x:c>
      <x:c r="L2662" s="37" t="str">
        <x:v>515</x:v>
      </x:c>
      <x:c r="M2662" s="29" t="str">
        <x:v>285.44</x:v>
      </x:c>
      <x:c r="N2662" s="29" t="str">
        <x:v>255.51</x:v>
      </x:c>
      <x:c r="O2662" s="29" t="str">
        <x:v>29.93</x:v>
      </x:c>
      <x:c r="P2662" s="18" t="str">
        <x:v>2026-06-24</x:v>
      </x:c>
      <x:c r="Q2662" s="36" t="n">
        <x:v>46197</x:v>
      </x:c>
    </x:row>
    <x:row r="2663">
      <x:c r="A2663" s="36" t="str">
        <x:v>2026-06-24</x:v>
      </x:c>
      <x:c r="B2663" s="18" t="str">
        <x:v>101437000_96719</x:v>
      </x:c>
      <x:c r="C2663" s="18" t="str">
        <x:v>【沪村小电】四达路220弄充电站</x:v>
      </x:c>
      <x:c r="D2663" s="37" t="str">
        <x:v>2</x:v>
      </x:c>
      <x:c r="E2663" s="37" t="str">
        <x:v>0</x:v>
      </x:c>
      <x:c r="F2663" s="37" t="str">
        <x:v>1</x:v>
      </x:c>
      <x:c r="G2663" s="37" t="str">
        <x:v>7.57</x:v>
      </x:c>
      <x:c r="H2663" s="37" t="str">
        <x:v>0.00</x:v>
      </x:c>
      <x:c r="I2663" s="37" t="str">
        <x:v>0.00</x:v>
      </x:c>
      <x:c r="J2663" s="37" t="str">
        <x:v>7.57</x:v>
      </x:c>
      <x:c r="K2663" s="37" t="str">
        <x:v>0.00</x:v>
      </x:c>
      <x:c r="L2663" s="37" t="str">
        <x:v>51</x:v>
      </x:c>
      <x:c r="M2663" s="29" t="str">
        <x:v>10.22</x:v>
      </x:c>
      <x:c r="N2663" s="29" t="str">
        <x:v>5.30</x:v>
      </x:c>
      <x:c r="O2663" s="29" t="str">
        <x:v>4.92</x:v>
      </x:c>
      <x:c r="P2663" s="18" t="str">
        <x:v>2026-06-24</x:v>
      </x:c>
      <x:c r="Q2663" s="36" t="n">
        <x:v>46197</x:v>
      </x:c>
    </x:row>
    <x:row r="2664">
      <x:c r="A2664" s="36" t="str">
        <x:v>2026-06-24</x:v>
      </x:c>
      <x:c r="B2664" s="18" t="str">
        <x:v>101437000_97421</x:v>
      </x:c>
      <x:c r="C2664" s="18" t="str">
        <x:v>【沪村小电】玉兰清苑二期（小区外）充电站</x:v>
      </x:c>
      <x:c r="D2664" s="37" t="str">
        <x:v>4</x:v>
      </x:c>
      <x:c r="E2664" s="37" t="str">
        <x:v>0</x:v>
      </x:c>
      <x:c r="F2664" s="37" t="str">
        <x:v>40</x:v>
      </x:c>
      <x:c r="G2664" s="37" t="str">
        <x:v>863.91</x:v>
      </x:c>
      <x:c r="H2664" s="37" t="str">
        <x:v>0.00</x:v>
      </x:c>
      <x:c r="I2664" s="37" t="str">
        <x:v>757.49</x:v>
      </x:c>
      <x:c r="J2664" s="37" t="str">
        <x:v>0.00</x:v>
      </x:c>
      <x:c r="K2664" s="37" t="str">
        <x:v>106.42</x:v>
      </x:c>
      <x:c r="L2664" s="37" t="str">
        <x:v>1627</x:v>
      </x:c>
      <x:c r="M2664" s="29" t="str">
        <x:v>787.19</x:v>
      </x:c>
      <x:c r="N2664" s="29" t="str">
        <x:v>600.97</x:v>
      </x:c>
      <x:c r="O2664" s="29" t="str">
        <x:v>186.22</x:v>
      </x:c>
      <x:c r="P2664" s="18" t="str">
        <x:v>2026-06-24</x:v>
      </x:c>
      <x:c r="Q2664" s="36" t="n">
        <x:v>46197</x:v>
      </x:c>
    </x:row>
    <x:row r="2665">
      <x:c r="A2665" s="36" t="str">
        <x:v>2026-06-24</x:v>
      </x:c>
      <x:c r="B2665" s="18" t="str">
        <x:v>101437000_98013</x:v>
      </x:c>
      <x:c r="C2665" s="18" t="str">
        <x:v>【沪村小电】恒大滨江华府充电站</x:v>
      </x:c>
      <x:c r="D2665" s="37" t="str">
        <x:v>4</x:v>
      </x:c>
      <x:c r="E2665" s="37" t="str">
        <x:v>0</x:v>
      </x:c>
      <x:c r="F2665" s="37" t="str">
        <x:v>3</x:v>
      </x:c>
      <x:c r="G2665" s="37" t="str">
        <x:v>64.54</x:v>
      </x:c>
      <x:c r="H2665" s="37" t="str">
        <x:v>0.00</x:v>
      </x:c>
      <x:c r="I2665" s="37" t="str">
        <x:v>64.54</x:v>
      </x:c>
      <x:c r="J2665" s="37" t="str">
        <x:v>0.00</x:v>
      </x:c>
      <x:c r="K2665" s="37" t="str">
        <x:v>0.00</x:v>
      </x:c>
      <x:c r="L2665" s="37" t="str">
        <x:v>79</x:v>
      </x:c>
      <x:c r="M2665" s="29" t="str">
        <x:v>85.32</x:v>
      </x:c>
      <x:c r="N2665" s="29" t="str">
        <x:v>67.12</x:v>
      </x:c>
      <x:c r="O2665" s="29" t="str">
        <x:v>18.20</x:v>
      </x:c>
      <x:c r="P2665" s="18" t="str">
        <x:v>2026-06-24</x:v>
      </x:c>
      <x:c r="Q2665" s="36" t="n">
        <x:v>46197</x:v>
      </x:c>
    </x:row>
    <x:row r="2666">
      <x:c r="A2666" s="36" t="str">
        <x:v>2026-06-24</x:v>
      </x:c>
      <x:c r="B2666" s="18" t="str">
        <x:v>101437000_98863</x:v>
      </x:c>
      <x:c r="C2666" s="18" t="str">
        <x:v>【沪村小电】欣菊苑充电站</x:v>
      </x:c>
      <x:c r="D2666" s="37" t="str">
        <x:v>4</x:v>
      </x:c>
      <x:c r="E2666" s="37" t="str">
        <x:v>0</x:v>
      </x:c>
      <x:c r="F2666" s="37" t="str">
        <x:v>4</x:v>
      </x:c>
      <x:c r="G2666" s="37" t="str">
        <x:v>86.06</x:v>
      </x:c>
      <x:c r="H2666" s="37" t="str">
        <x:v>0.00</x:v>
      </x:c>
      <x:c r="I2666" s="37" t="str">
        <x:v>86.06</x:v>
      </x:c>
      <x:c r="J2666" s="37" t="str">
        <x:v>0.00</x:v>
      </x:c>
      <x:c r="K2666" s="37" t="str">
        <x:v>0.00</x:v>
      </x:c>
      <x:c r="L2666" s="37" t="str">
        <x:v>180</x:v>
      </x:c>
      <x:c r="M2666" s="29" t="str">
        <x:v>97.87</x:v>
      </x:c>
      <x:c r="N2666" s="29" t="str">
        <x:v>63.68</x:v>
      </x:c>
      <x:c r="O2666" s="29" t="str">
        <x:v>34.19</x:v>
      </x:c>
      <x:c r="P2666" s="18" t="str">
        <x:v>2026-06-24</x:v>
      </x:c>
      <x:c r="Q2666" s="36" t="n">
        <x:v>46197</x:v>
      </x:c>
    </x:row>
    <x:row r="2667">
      <x:c r="A2667" s="36" t="str">
        <x:v>2026-06-24</x:v>
      </x:c>
      <x:c r="B2667" s="18" t="str">
        <x:v>101437000_98865</x:v>
      </x:c>
      <x:c r="C2667" s="18" t="str">
        <x:v>【沪村小电】欣松苑充电站</x:v>
      </x:c>
      <x:c r="D2667" s="37" t="str">
        <x:v>4</x:v>
      </x:c>
      <x:c r="E2667" s="37" t="str">
        <x:v>0</x:v>
      </x:c>
      <x:c r="F2667" s="37" t="str">
        <x:v>4</x:v>
      </x:c>
      <x:c r="G2667" s="37" t="str">
        <x:v>12.12</x:v>
      </x:c>
      <x:c r="H2667" s="37" t="str">
        <x:v>0.00</x:v>
      </x:c>
      <x:c r="I2667" s="37" t="str">
        <x:v>12.12</x:v>
      </x:c>
      <x:c r="J2667" s="37" t="str">
        <x:v>0.00</x:v>
      </x:c>
      <x:c r="K2667" s="37" t="str">
        <x:v>0.00</x:v>
      </x:c>
      <x:c r="L2667" s="37" t="str">
        <x:v>25</x:v>
      </x:c>
      <x:c r="M2667" s="29" t="str">
        <x:v>11.22</x:v>
      </x:c>
      <x:c r="N2667" s="29" t="str">
        <x:v>8.97</x:v>
      </x:c>
      <x:c r="O2667" s="29" t="str">
        <x:v>2.25</x:v>
      </x:c>
      <x:c r="P2667" s="18" t="str">
        <x:v>2026-06-24</x:v>
      </x:c>
      <x:c r="Q2667" s="36" t="n">
        <x:v>46197</x:v>
      </x:c>
    </x:row>
    <x:row r="2668">
      <x:c r="A2668" s="36" t="str">
        <x:v>2026-06-24</x:v>
      </x:c>
      <x:c r="B2668" s="18" t="str">
        <x:v>101437000_98867</x:v>
      </x:c>
      <x:c r="C2668" s="18" t="str">
        <x:v>【沪村小电】欣荷苑充电站</x:v>
      </x:c>
      <x:c r="D2668" s="37" t="str">
        <x:v>4</x:v>
      </x:c>
      <x:c r="E2668" s="37" t="str">
        <x:v>0</x:v>
      </x:c>
      <x:c r="F2668" s="37" t="str">
        <x:v>4</x:v>
      </x:c>
      <x:c r="G2668" s="37" t="str">
        <x:v>46.98</x:v>
      </x:c>
      <x:c r="H2668" s="37" t="str">
        <x:v>0.00</x:v>
      </x:c>
      <x:c r="I2668" s="37" t="str">
        <x:v>46.98</x:v>
      </x:c>
      <x:c r="J2668" s="37" t="str">
        <x:v>0.00</x:v>
      </x:c>
      <x:c r="K2668" s="37" t="str">
        <x:v>0.00</x:v>
      </x:c>
      <x:c r="L2668" s="37" t="str">
        <x:v>137</x:v>
      </x:c>
      <x:c r="M2668" s="29" t="str">
        <x:v>42.91</x:v>
      </x:c>
      <x:c r="N2668" s="29" t="str">
        <x:v>34.76</x:v>
      </x:c>
      <x:c r="O2668" s="29" t="str">
        <x:v>8.15</x:v>
      </x:c>
      <x:c r="P2668" s="18" t="str">
        <x:v>2026-06-24</x:v>
      </x:c>
      <x:c r="Q2668" s="36" t="n">
        <x:v>46197</x:v>
      </x:c>
    </x:row>
    <x:row r="2669">
      <x:c r="A2669" s="36" t="str">
        <x:v>2026-06-24</x:v>
      </x:c>
      <x:c r="B2669" s="18" t="str">
        <x:v>101437000_99885</x:v>
      </x:c>
      <x:c r="C2669" s="18" t="str">
        <x:v>【沪村小电】汇丰馨苑充电站</x:v>
      </x:c>
      <x:c r="D2669" s="37" t="str">
        <x:v>4</x:v>
      </x:c>
      <x:c r="E2669" s="37" t="str">
        <x:v>0</x:v>
      </x:c>
      <x:c r="F2669" s="37" t="str">
        <x:v>8</x:v>
      </x:c>
      <x:c r="G2669" s="37" t="str">
        <x:v>200.54</x:v>
      </x:c>
      <x:c r="H2669" s="37" t="str">
        <x:v>0.00</x:v>
      </x:c>
      <x:c r="I2669" s="37" t="str">
        <x:v>27.94</x:v>
      </x:c>
      <x:c r="J2669" s="37" t="str">
        <x:v>96.58</x:v>
      </x:c>
      <x:c r="K2669" s="37" t="str">
        <x:v>76.02</x:v>
      </x:c>
      <x:c r="L2669" s="37" t="str">
        <x:v>267</x:v>
      </x:c>
      <x:c r="M2669" s="29" t="str">
        <x:v>176.00</x:v>
      </x:c>
      <x:c r="N2669" s="29" t="str">
        <x:v>129.17</x:v>
      </x:c>
      <x:c r="O2669" s="29" t="str">
        <x:v>46.83</x:v>
      </x:c>
      <x:c r="P2669" s="18" t="str">
        <x:v>2026-06-24</x:v>
      </x:c>
      <x:c r="Q2669" s="36" t="n">
        <x:v>46197</x:v>
      </x:c>
    </x:row>
    <x:row r="2670">
      <x:c r="A2670" s="36" t="str">
        <x:v>2026-06-24</x:v>
      </x:c>
      <x:c r="B2670" s="18" t="str">
        <x:v>101437000_99887</x:v>
      </x:c>
      <x:c r="C2670" s="18" t="str">
        <x:v>【沪村小电】新南村河南小区充电站</x:v>
      </x:c>
      <x:c r="D2670" s="37" t="str">
        <x:v>2</x:v>
      </x:c>
      <x:c r="E2670" s="37" t="str">
        <x:v>0</x:v>
      </x:c>
      <x:c r="F2670" s="37" t="str">
        <x:v>7</x:v>
      </x:c>
      <x:c r="G2670" s="37" t="str">
        <x:v>176.39</x:v>
      </x:c>
      <x:c r="H2670" s="37" t="str">
        <x:v>0.00</x:v>
      </x:c>
      <x:c r="I2670" s="37" t="str">
        <x:v>176.39</x:v>
      </x:c>
      <x:c r="J2670" s="37" t="str">
        <x:v>0.00</x:v>
      </x:c>
      <x:c r="K2670" s="37" t="str">
        <x:v>0.00</x:v>
      </x:c>
      <x:c r="L2670" s="37" t="str">
        <x:v>285</x:v>
      </x:c>
      <x:c r="M2670" s="29" t="str">
        <x:v>150.91</x:v>
      </x:c>
      <x:c r="N2670" s="29" t="str">
        <x:v>130.52</x:v>
      </x:c>
      <x:c r="O2670" s="29" t="str">
        <x:v>20.39</x:v>
      </x:c>
      <x:c r="P2670" s="18" t="str">
        <x:v>2026-06-24</x:v>
      </x:c>
      <x:c r="Q2670" s="36" t="n">
        <x:v>46197</x:v>
      </x:c>
    </x:row>
    <x:row r="2671">
      <x:c r="A2671" s="36" t="str">
        <x:v>2026-06-24</x:v>
      </x:c>
      <x:c r="B2671" s="18" t="str">
        <x:v>101437000_99889</x:v>
      </x:c>
      <x:c r="C2671" s="18" t="str">
        <x:v>【沪村小电】漕泾郊野公园</x:v>
      </x:c>
      <x:c r="D2671" s="37" t="str">
        <x:v>2</x:v>
      </x:c>
      <x:c r="E2671" s="37" t="str">
        <x:v>0</x:v>
      </x:c>
      <x:c r="F2671" s="37" t="str">
        <x:v>2</x:v>
      </x:c>
      <x:c r="G2671" s="37" t="str">
        <x:v>46.13</x:v>
      </x:c>
      <x:c r="H2671" s="37" t="str">
        <x:v>0.00</x:v>
      </x:c>
      <x:c r="I2671" s="37" t="str">
        <x:v>15.48</x:v>
      </x:c>
      <x:c r="J2671" s="37" t="str">
        <x:v>30.64</x:v>
      </x:c>
      <x:c r="K2671" s="37" t="str">
        <x:v>0.00</x:v>
      </x:c>
      <x:c r="L2671" s="37" t="str">
        <x:v>52</x:v>
      </x:c>
      <x:c r="M2671" s="29" t="str">
        <x:v>48.40</x:v>
      </x:c>
      <x:c r="N2671" s="29" t="str">
        <x:v>38.44</x:v>
      </x:c>
      <x:c r="O2671" s="29" t="str">
        <x:v>9.96</x:v>
      </x:c>
      <x:c r="P2671" s="18" t="str">
        <x:v>2026-06-24</x:v>
      </x:c>
      <x:c r="Q2671" s="36" t="n">
        <x:v>46197</x:v>
      </x:c>
    </x:row>
    <x:row r="2672">
      <x:c r="A2672" s="36" t="str">
        <x:v>2026-06-24</x:v>
      </x:c>
      <x:c r="B2672" s="18" t="str">
        <x:v>101437000_99891</x:v>
      </x:c>
      <x:c r="C2672" s="18" t="str">
        <x:v>【沪村小电】水韵紫城充电站</x:v>
      </x:c>
      <x:c r="D2672" s="37" t="str">
        <x:v>4</x:v>
      </x:c>
      <x:c r="E2672" s="37" t="str">
        <x:v>0</x:v>
      </x:c>
      <x:c r="F2672" s="37" t="str">
        <x:v>1</x:v>
      </x:c>
      <x:c r="G2672" s="37" t="str">
        <x:v>58.38</x:v>
      </x:c>
      <x:c r="H2672" s="37" t="str">
        <x:v>0.00</x:v>
      </x:c>
      <x:c r="I2672" s="37" t="str">
        <x:v>58.38</x:v>
      </x:c>
      <x:c r="J2672" s="37" t="str">
        <x:v>0.00</x:v>
      </x:c>
      <x:c r="K2672" s="37" t="str">
        <x:v>0.00</x:v>
      </x:c>
      <x:c r="L2672" s="37" t="str">
        <x:v>51</x:v>
      </x:c>
      <x:c r="M2672" s="29" t="str">
        <x:v>54.88</x:v>
      </x:c>
      <x:c r="N2672" s="29" t="str">
        <x:v>43.20</x:v>
      </x:c>
      <x:c r="O2672" s="29" t="str">
        <x:v>11.68</x:v>
      </x:c>
      <x:c r="P2672" s="18" t="str">
        <x:v>2026-06-24</x:v>
      </x:c>
      <x:c r="Q2672" s="36" t="n">
        <x:v>46197</x:v>
      </x:c>
    </x:row>
    <x:row r="2673">
      <x:c r="A2673" s="36" t="str">
        <x:v>2026-06-23</x:v>
      </x:c>
      <x:c r="B2673" s="18" t="str">
        <x:v>101437000_41561</x:v>
      </x:c>
      <x:c r="C2673" s="18" t="str">
        <x:v>【沪村小电】张施小区大门处快充站</x:v>
      </x:c>
      <x:c r="D2673" s="37" t="str">
        <x:v>2</x:v>
      </x:c>
      <x:c r="E2673" s="37" t="str">
        <x:v>0</x:v>
      </x:c>
      <x:c r="F2673" s="37" t="str">
        <x:v>42</x:v>
      </x:c>
      <x:c r="G2673" s="37" t="str">
        <x:v>931.49</x:v>
      </x:c>
      <x:c r="H2673" s="37" t="str">
        <x:v>0.00</x:v>
      </x:c>
      <x:c r="I2673" s="37" t="str">
        <x:v>422.99</x:v>
      </x:c>
      <x:c r="J2673" s="37" t="str">
        <x:v>0.00</x:v>
      </x:c>
      <x:c r="K2673" s="37" t="str">
        <x:v>508.50</x:v>
      </x:c>
      <x:c r="L2673" s="37" t="str">
        <x:v>1706</x:v>
      </x:c>
      <x:c r="M2673" s="29" t="str">
        <x:v>660.01</x:v>
      </x:c>
      <x:c r="N2673" s="29" t="str">
        <x:v>506.28</x:v>
      </x:c>
      <x:c r="O2673" s="29" t="str">
        <x:v>153.73</x:v>
      </x:c>
      <x:c r="P2673" s="18" t="str">
        <x:v>2026-06-23</x:v>
      </x:c>
      <x:c r="Q2673" s="36" t="n">
        <x:v>46196</x:v>
      </x:c>
    </x:row>
    <x:row r="2674">
      <x:c r="A2674" s="36" t="str">
        <x:v>2026-06-23</x:v>
      </x:c>
      <x:c r="B2674" s="18" t="str">
        <x:v>101437000_41563</x:v>
      </x:c>
      <x:c r="C2674" s="18" t="str">
        <x:v>【沪村小电】同心村快充站</x:v>
      </x:c>
      <x:c r="D2674" s="37" t="str">
        <x:v>4</x:v>
      </x:c>
      <x:c r="E2674" s="37" t="str">
        <x:v>0</x:v>
      </x:c>
      <x:c r="F2674" s="37" t="str">
        <x:v>54</x:v>
      </x:c>
      <x:c r="G2674" s="37" t="str">
        <x:v>1187.31</x:v>
      </x:c>
      <x:c r="H2674" s="37" t="str">
        <x:v>0.00</x:v>
      </x:c>
      <x:c r="I2674" s="37" t="str">
        <x:v>794.25</x:v>
      </x:c>
      <x:c r="J2674" s="37" t="str">
        <x:v>0.00</x:v>
      </x:c>
      <x:c r="K2674" s="37" t="str">
        <x:v>393.07</x:v>
      </x:c>
      <x:c r="L2674" s="37" t="str">
        <x:v>2630</x:v>
      </x:c>
      <x:c r="M2674" s="29" t="str">
        <x:v>959.64</x:v>
      </x:c>
      <x:c r="N2674" s="29" t="str">
        <x:v>689.53</x:v>
      </x:c>
      <x:c r="O2674" s="29" t="str">
        <x:v>270.11</x:v>
      </x:c>
      <x:c r="P2674" s="18" t="str">
        <x:v>2026-06-23</x:v>
      </x:c>
      <x:c r="Q2674" s="36" t="n">
        <x:v>46196</x:v>
      </x:c>
    </x:row>
    <x:row r="2675">
      <x:c r="A2675" s="36" t="str">
        <x:v>2026-06-23</x:v>
      </x:c>
      <x:c r="B2675" s="18" t="str">
        <x:v>101437000_69629</x:v>
      </x:c>
      <x:c r="C2675" s="18" t="str">
        <x:v>【沪村小电】骏丰玲珑坊西苑充电站</x:v>
      </x:c>
      <x:c r="D2675" s="37" t="str">
        <x:v>2</x:v>
      </x:c>
      <x:c r="E2675" s="37" t="str">
        <x:v>0</x:v>
      </x:c>
      <x:c r="F2675" s="37" t="str">
        <x:v>69</x:v>
      </x:c>
      <x:c r="G2675" s="37" t="str">
        <x:v>1595.31</x:v>
      </x:c>
      <x:c r="H2675" s="37" t="str">
        <x:v>0.00</x:v>
      </x:c>
      <x:c r="I2675" s="37" t="str">
        <x:v>905.32</x:v>
      </x:c>
      <x:c r="J2675" s="37" t="str">
        <x:v>0.00</x:v>
      </x:c>
      <x:c r="K2675" s="37" t="str">
        <x:v>689.99</x:v>
      </x:c>
      <x:c r="L2675" s="37" t="str">
        <x:v>2752</x:v>
      </x:c>
      <x:c r="M2675" s="29" t="str">
        <x:v>1267.71</x:v>
      </x:c>
      <x:c r="N2675" s="29" t="str">
        <x:v>932.11</x:v>
      </x:c>
      <x:c r="O2675" s="29" t="str">
        <x:v>335.60</x:v>
      </x:c>
      <x:c r="P2675" s="18" t="str">
        <x:v>2026-06-23</x:v>
      </x:c>
      <x:c r="Q2675" s="36" t="n">
        <x:v>46196</x:v>
      </x:c>
    </x:row>
    <x:row r="2676">
      <x:c r="A2676" s="36" t="str">
        <x:v>2026-06-23</x:v>
      </x:c>
      <x:c r="B2676" s="18" t="str">
        <x:v>101437000_70547</x:v>
      </x:c>
      <x:c r="C2676" s="18" t="str">
        <x:v>【沪村小电】农建村初心馆党群服务中心充电站</x:v>
      </x:c>
      <x:c r="D2676" s="37" t="str">
        <x:v>4</x:v>
      </x:c>
      <x:c r="E2676" s="37" t="str">
        <x:v>0</x:v>
      </x:c>
      <x:c r="F2676" s="37" t="str">
        <x:v>20</x:v>
      </x:c>
      <x:c r="G2676" s="37" t="str">
        <x:v>518.38</x:v>
      </x:c>
      <x:c r="H2676" s="37" t="str">
        <x:v>0.00</x:v>
      </x:c>
      <x:c r="I2676" s="37" t="str">
        <x:v>216.44</x:v>
      </x:c>
      <x:c r="J2676" s="37" t="str">
        <x:v>0.00</x:v>
      </x:c>
      <x:c r="K2676" s="37" t="str">
        <x:v>301.94</x:v>
      </x:c>
      <x:c r="L2676" s="37" t="str">
        <x:v>931</x:v>
      </x:c>
      <x:c r="M2676" s="29" t="str">
        <x:v>451.99</x:v>
      </x:c>
      <x:c r="N2676" s="29" t="str">
        <x:v>385.13</x:v>
      </x:c>
      <x:c r="O2676" s="29" t="str">
        <x:v>66.86</x:v>
      </x:c>
      <x:c r="P2676" s="18" t="str">
        <x:v>2026-06-23</x:v>
      </x:c>
      <x:c r="Q2676" s="36" t="n">
        <x:v>46196</x:v>
      </x:c>
    </x:row>
    <x:row r="2677">
      <x:c r="A2677" s="36" t="str">
        <x:v>2026-06-23</x:v>
      </x:c>
      <x:c r="B2677" s="18" t="str">
        <x:v>101437000_70549</x:v>
      </x:c>
      <x:c r="C2677" s="18" t="str">
        <x:v>【沪村小电】学府路充电站</x:v>
      </x:c>
      <x:c r="D2677" s="37" t="str">
        <x:v>2</x:v>
      </x:c>
      <x:c r="E2677" s="37" t="str">
        <x:v>0</x:v>
      </x:c>
      <x:c r="F2677" s="37" t="str">
        <x:v>11</x:v>
      </x:c>
      <x:c r="G2677" s="37" t="str">
        <x:v>298.56</x:v>
      </x:c>
      <x:c r="H2677" s="37" t="str">
        <x:v>0.00</x:v>
      </x:c>
      <x:c r="I2677" s="37" t="str">
        <x:v>195.84</x:v>
      </x:c>
      <x:c r="J2677" s="37" t="str">
        <x:v>0.00</x:v>
      </x:c>
      <x:c r="K2677" s="37" t="str">
        <x:v>102.72</x:v>
      </x:c>
      <x:c r="L2677" s="37" t="str">
        <x:v>503</x:v>
      </x:c>
      <x:c r="M2677" s="29" t="str">
        <x:v>306.26</x:v>
      </x:c>
      <x:c r="N2677" s="29" t="str">
        <x:v>258.14</x:v>
      </x:c>
      <x:c r="O2677" s="29" t="str">
        <x:v>48.12</x:v>
      </x:c>
      <x:c r="P2677" s="18" t="str">
        <x:v>2026-06-23</x:v>
      </x:c>
      <x:c r="Q2677" s="36" t="n">
        <x:v>46196</x:v>
      </x:c>
    </x:row>
    <x:row r="2678">
      <x:c r="A2678" s="36" t="str">
        <x:v>2026-06-23</x:v>
      </x:c>
      <x:c r="B2678" s="18" t="str">
        <x:v>101437000_71059</x:v>
      </x:c>
      <x:c r="C2678" s="18" t="str">
        <x:v>【沪村小电】宝乐汇商业广场站</x:v>
      </x:c>
      <x:c r="D2678" s="37" t="str">
        <x:v>4</x:v>
      </x:c>
      <x:c r="E2678" s="37" t="str">
        <x:v>0</x:v>
      </x:c>
      <x:c r="F2678" s="37" t="str">
        <x:v>16</x:v>
      </x:c>
      <x:c r="G2678" s="37" t="str">
        <x:v>249.43</x:v>
      </x:c>
      <x:c r="H2678" s="37" t="str">
        <x:v>0.00</x:v>
      </x:c>
      <x:c r="I2678" s="37" t="str">
        <x:v>18.57</x:v>
      </x:c>
      <x:c r="J2678" s="37" t="str">
        <x:v>94.83</x:v>
      </x:c>
      <x:c r="K2678" s="37" t="str">
        <x:v>136.04</x:v>
      </x:c>
      <x:c r="L2678" s="37" t="str">
        <x:v>479</x:v>
      </x:c>
      <x:c r="M2678" s="29" t="str">
        <x:v>228.76</x:v>
      </x:c>
      <x:c r="N2678" s="29" t="str">
        <x:v>139.47</x:v>
      </x:c>
      <x:c r="O2678" s="29" t="str">
        <x:v>89.29</x:v>
      </x:c>
      <x:c r="P2678" s="18" t="str">
        <x:v>2026-06-23</x:v>
      </x:c>
      <x:c r="Q2678" s="36" t="n">
        <x:v>46196</x:v>
      </x:c>
    </x:row>
    <x:row r="2679">
      <x:c r="A2679" s="36" t="str">
        <x:v>2026-06-23</x:v>
      </x:c>
      <x:c r="B2679" s="18" t="str">
        <x:v>101437000_72541</x:v>
      </x:c>
      <x:c r="C2679" s="18" t="str">
        <x:v>【沪村小电】九干路1174弄充电站</x:v>
      </x:c>
      <x:c r="D2679" s="37" t="str">
        <x:v>2</x:v>
      </x:c>
      <x:c r="E2679" s="37" t="str">
        <x:v>0</x:v>
      </x:c>
      <x:c r="F2679" s="37" t="str">
        <x:v>28</x:v>
      </x:c>
      <x:c r="G2679" s="37" t="str">
        <x:v>603.66</x:v>
      </x:c>
      <x:c r="H2679" s="37" t="str">
        <x:v>0.00</x:v>
      </x:c>
      <x:c r="I2679" s="37" t="str">
        <x:v>345.48</x:v>
      </x:c>
      <x:c r="J2679" s="37" t="str">
        <x:v>0.00</x:v>
      </x:c>
      <x:c r="K2679" s="37" t="str">
        <x:v>258.18</x:v>
      </x:c>
      <x:c r="L2679" s="37" t="str">
        <x:v>1007</x:v>
      </x:c>
      <x:c r="M2679" s="29" t="str">
        <x:v>491.60</x:v>
      </x:c>
      <x:c r="N2679" s="29" t="str">
        <x:v>353.76</x:v>
      </x:c>
      <x:c r="O2679" s="29" t="str">
        <x:v>137.84</x:v>
      </x:c>
      <x:c r="P2679" s="18" t="str">
        <x:v>2026-06-23</x:v>
      </x:c>
      <x:c r="Q2679" s="36" t="n">
        <x:v>46196</x:v>
      </x:c>
    </x:row>
    <x:row r="2680">
      <x:c r="A2680" s="36" t="str">
        <x:v>2026-06-23</x:v>
      </x:c>
      <x:c r="B2680" s="18" t="str">
        <x:v>101437000_72543</x:v>
      </x:c>
      <x:c r="C2680" s="18" t="str">
        <x:v>【沪村小电】叶家中心村小区充电站</x:v>
      </x:c>
      <x:c r="D2680" s="37" t="str">
        <x:v>2</x:v>
      </x:c>
      <x:c r="E2680" s="37" t="str">
        <x:v>0</x:v>
      </x:c>
      <x:c r="F2680" s="37" t="str">
        <x:v>49</x:v>
      </x:c>
      <x:c r="G2680" s="37" t="str">
        <x:v>1104.57</x:v>
      </x:c>
      <x:c r="H2680" s="37" t="str">
        <x:v>0.00</x:v>
      </x:c>
      <x:c r="I2680" s="37" t="str">
        <x:v>587.60</x:v>
      </x:c>
      <x:c r="J2680" s="37" t="str">
        <x:v>0.00</x:v>
      </x:c>
      <x:c r="K2680" s="37" t="str">
        <x:v>516.97</x:v>
      </x:c>
      <x:c r="L2680" s="37" t="str">
        <x:v>2110</x:v>
      </x:c>
      <x:c r="M2680" s="29" t="str">
        <x:v>961.67</x:v>
      </x:c>
      <x:c r="N2680" s="29" t="str">
        <x:v>631.23</x:v>
      </x:c>
      <x:c r="O2680" s="29" t="str">
        <x:v>330.44</x:v>
      </x:c>
      <x:c r="P2680" s="18" t="str">
        <x:v>2026-06-23</x:v>
      </x:c>
      <x:c r="Q2680" s="36" t="n">
        <x:v>46196</x:v>
      </x:c>
    </x:row>
    <x:row r="2681">
      <x:c r="A2681" s="36" t="str">
        <x:v>2026-06-23</x:v>
      </x:c>
      <x:c r="B2681" s="18" t="str">
        <x:v>101437000_72937</x:v>
      </x:c>
      <x:c r="C2681" s="18" t="str">
        <x:v>【沪村小电】佘北家园茸腾苑充电站</x:v>
      </x:c>
      <x:c r="D2681" s="37" t="str">
        <x:v>4</x:v>
      </x:c>
      <x:c r="E2681" s="37" t="str">
        <x:v>0</x:v>
      </x:c>
      <x:c r="F2681" s="37" t="str">
        <x:v>7</x:v>
      </x:c>
      <x:c r="G2681" s="37" t="str">
        <x:v>135.28</x:v>
      </x:c>
      <x:c r="H2681" s="37" t="str">
        <x:v>0.00</x:v>
      </x:c>
      <x:c r="I2681" s="37" t="str">
        <x:v>135.28</x:v>
      </x:c>
      <x:c r="J2681" s="37" t="str">
        <x:v>0.00</x:v>
      </x:c>
      <x:c r="K2681" s="37" t="str">
        <x:v>0.00</x:v>
      </x:c>
      <x:c r="L2681" s="37" t="str">
        <x:v>237</x:v>
      </x:c>
      <x:c r="M2681" s="29" t="str">
        <x:v>131.35</x:v>
      </x:c>
      <x:c r="N2681" s="29" t="str">
        <x:v>100.11</x:v>
      </x:c>
      <x:c r="O2681" s="29" t="str">
        <x:v>31.24</x:v>
      </x:c>
      <x:c r="P2681" s="18" t="str">
        <x:v>2026-06-23</x:v>
      </x:c>
      <x:c r="Q2681" s="36" t="n">
        <x:v>46196</x:v>
      </x:c>
    </x:row>
    <x:row r="2682">
      <x:c r="A2682" s="36" t="str">
        <x:v>2026-06-23</x:v>
      </x:c>
      <x:c r="B2682" s="18" t="str">
        <x:v>101437000_74223</x:v>
      </x:c>
      <x:c r="C2682" s="18" t="str">
        <x:v>【沪村小电】中兴村委会充电站</x:v>
      </x:c>
      <x:c r="D2682" s="37" t="str">
        <x:v>2</x:v>
      </x:c>
      <x:c r="E2682" s="37" t="str">
        <x:v>0</x:v>
      </x:c>
      <x:c r="F2682" s="37" t="str">
        <x:v>12</x:v>
      </x:c>
      <x:c r="G2682" s="37" t="str">
        <x:v>327.61</x:v>
      </x:c>
      <x:c r="H2682" s="37" t="str">
        <x:v>0.00</x:v>
      </x:c>
      <x:c r="I2682" s="37" t="str">
        <x:v>114.82</x:v>
      </x:c>
      <x:c r="J2682" s="37" t="str">
        <x:v>0.00</x:v>
      </x:c>
      <x:c r="K2682" s="37" t="str">
        <x:v>212.79</x:v>
      </x:c>
      <x:c r="L2682" s="37" t="str">
        <x:v>409</x:v>
      </x:c>
      <x:c r="M2682" s="29" t="str">
        <x:v>269.10</x:v>
      </x:c>
      <x:c r="N2682" s="29" t="str">
        <x:v>232.19</x:v>
      </x:c>
      <x:c r="O2682" s="29" t="str">
        <x:v>36.91</x:v>
      </x:c>
      <x:c r="P2682" s="18" t="str">
        <x:v>2026-06-23</x:v>
      </x:c>
      <x:c r="Q2682" s="36" t="n">
        <x:v>46196</x:v>
      </x:c>
    </x:row>
    <x:row r="2683">
      <x:c r="A2683" s="36" t="str">
        <x:v>2026-06-23</x:v>
      </x:c>
      <x:c r="B2683" s="18" t="str">
        <x:v>101437000_74801</x:v>
      </x:c>
      <x:c r="C2683" s="18" t="str">
        <x:v>【沪村小电】申良花园充电站</x:v>
      </x:c>
      <x:c r="D2683" s="37" t="str">
        <x:v>4</x:v>
      </x:c>
      <x:c r="E2683" s="37" t="str">
        <x:v>0</x:v>
      </x:c>
      <x:c r="F2683" s="37" t="str">
        <x:v>5</x:v>
      </x:c>
      <x:c r="G2683" s="37" t="str">
        <x:v>133.81</x:v>
      </x:c>
      <x:c r="H2683" s="37" t="str">
        <x:v>0.00</x:v>
      </x:c>
      <x:c r="I2683" s="37" t="str">
        <x:v>133.81</x:v>
      </x:c>
      <x:c r="J2683" s="37" t="str">
        <x:v>0.00</x:v>
      </x:c>
      <x:c r="K2683" s="37" t="str">
        <x:v>0.00</x:v>
      </x:c>
      <x:c r="L2683" s="37" t="str">
        <x:v>123</x:v>
      </x:c>
      <x:c r="M2683" s="29" t="str">
        <x:v>151.25</x:v>
      </x:c>
      <x:c r="N2683" s="29" t="str">
        <x:v>99.02</x:v>
      </x:c>
      <x:c r="O2683" s="29" t="str">
        <x:v>52.23</x:v>
      </x:c>
      <x:c r="P2683" s="18" t="str">
        <x:v>2026-06-23</x:v>
      </x:c>
      <x:c r="Q2683" s="36" t="n">
        <x:v>46196</x:v>
      </x:c>
    </x:row>
    <x:row r="2684">
      <x:c r="A2684" s="36" t="str">
        <x:v>2026-06-23</x:v>
      </x:c>
      <x:c r="B2684" s="18" t="str">
        <x:v>101437000_74931</x:v>
      </x:c>
      <x:c r="C2684" s="18" t="str">
        <x:v>【沪村小电】枫雅南居充电站</x:v>
      </x:c>
      <x:c r="D2684" s="37" t="str">
        <x:v>2</x:v>
      </x:c>
      <x:c r="E2684" s="37" t="str">
        <x:v>0</x:v>
      </x:c>
      <x:c r="F2684" s="37" t="str">
        <x:v>10</x:v>
      </x:c>
      <x:c r="G2684" s="37" t="str">
        <x:v>186.56</x:v>
      </x:c>
      <x:c r="H2684" s="37" t="str">
        <x:v>0.00</x:v>
      </x:c>
      <x:c r="I2684" s="37" t="str">
        <x:v>129.43</x:v>
      </x:c>
      <x:c r="J2684" s="37" t="str">
        <x:v>0.00</x:v>
      </x:c>
      <x:c r="K2684" s="37" t="str">
        <x:v>57.13</x:v>
      </x:c>
      <x:c r="L2684" s="37" t="str">
        <x:v>394</x:v>
      </x:c>
      <x:c r="M2684" s="29" t="str">
        <x:v>132.33</x:v>
      </x:c>
      <x:c r="N2684" s="29" t="str">
        <x:v>94.08</x:v>
      </x:c>
      <x:c r="O2684" s="29" t="str">
        <x:v>38.25</x:v>
      </x:c>
      <x:c r="P2684" s="18" t="str">
        <x:v>2026-06-23</x:v>
      </x:c>
      <x:c r="Q2684" s="36" t="n">
        <x:v>46196</x:v>
      </x:c>
    </x:row>
    <x:row r="2685">
      <x:c r="A2685" s="36" t="str">
        <x:v>2026-06-23</x:v>
      </x:c>
      <x:c r="B2685" s="18" t="str">
        <x:v>101437000_75901</x:v>
      </x:c>
      <x:c r="C2685" s="18" t="str">
        <x:v>【沪村小电】金悦学府</x:v>
      </x:c>
      <x:c r="D2685" s="37" t="str">
        <x:v>2</x:v>
      </x:c>
      <x:c r="E2685" s="37" t="str">
        <x:v>0</x:v>
      </x:c>
      <x:c r="F2685" s="37" t="str">
        <x:v>18</x:v>
      </x:c>
      <x:c r="G2685" s="37" t="str">
        <x:v>73.51</x:v>
      </x:c>
      <x:c r="H2685" s="37" t="str">
        <x:v>0.00</x:v>
      </x:c>
      <x:c r="I2685" s="37" t="str">
        <x:v>33.77</x:v>
      </x:c>
      <x:c r="J2685" s="37" t="str">
        <x:v>0.00</x:v>
      </x:c>
      <x:c r="K2685" s="37" t="str">
        <x:v>39.74</x:v>
      </x:c>
      <x:c r="L2685" s="37" t="str">
        <x:v>114</x:v>
      </x:c>
      <x:c r="M2685" s="29" t="str">
        <x:v>54.27</x:v>
      </x:c>
      <x:c r="N2685" s="29" t="str">
        <x:v>32.24</x:v>
      </x:c>
      <x:c r="O2685" s="29" t="str">
        <x:v>22.03</x:v>
      </x:c>
      <x:c r="P2685" s="18" t="str">
        <x:v>2026-06-23</x:v>
      </x:c>
      <x:c r="Q2685" s="36" t="n">
        <x:v>46196</x:v>
      </x:c>
    </x:row>
    <x:row r="2686">
      <x:c r="A2686" s="36" t="str">
        <x:v>2026-06-23</x:v>
      </x:c>
      <x:c r="B2686" s="18" t="str">
        <x:v>101437000_76091</x:v>
      </x:c>
      <x:c r="C2686" s="18" t="str">
        <x:v>【沪村小电】恒信家园充电站</x:v>
      </x:c>
      <x:c r="D2686" s="37" t="str">
        <x:v>2</x:v>
      </x:c>
      <x:c r="E2686" s="37" t="str">
        <x:v>0</x:v>
      </x:c>
      <x:c r="F2686" s="37" t="str">
        <x:v>37</x:v>
      </x:c>
      <x:c r="G2686" s="37" t="str">
        <x:v>836.68</x:v>
      </x:c>
      <x:c r="H2686" s="37" t="str">
        <x:v>0.00</x:v>
      </x:c>
      <x:c r="I2686" s="37" t="str">
        <x:v>524.12</x:v>
      </x:c>
      <x:c r="J2686" s="37" t="str">
        <x:v>0.00</x:v>
      </x:c>
      <x:c r="K2686" s="37" t="str">
        <x:v>312.56</x:v>
      </x:c>
      <x:c r="L2686" s="37" t="str">
        <x:v>1539</x:v>
      </x:c>
      <x:c r="M2686" s="29" t="str">
        <x:v>755.22</x:v>
      </x:c>
      <x:c r="N2686" s="29" t="str">
        <x:v>506.61</x:v>
      </x:c>
      <x:c r="O2686" s="29" t="str">
        <x:v>248.61</x:v>
      </x:c>
      <x:c r="P2686" s="18" t="str">
        <x:v>2026-06-23</x:v>
      </x:c>
      <x:c r="Q2686" s="36" t="n">
        <x:v>46196</x:v>
      </x:c>
    </x:row>
    <x:row r="2687">
      <x:c r="A2687" s="36" t="str">
        <x:v>2026-06-23</x:v>
      </x:c>
      <x:c r="B2687" s="18" t="str">
        <x:v>101437000_76417</x:v>
      </x:c>
      <x:c r="C2687" s="18" t="str">
        <x:v>【沪村小电】新春一组充电站</x:v>
      </x:c>
      <x:c r="D2687" s="37" t="str">
        <x:v>2</x:v>
      </x:c>
      <x:c r="E2687" s="37" t="str">
        <x:v>0</x:v>
      </x:c>
      <x:c r="F2687" s="37" t="str">
        <x:v>5</x:v>
      </x:c>
      <x:c r="G2687" s="37" t="str">
        <x:v>162.35</x:v>
      </x:c>
      <x:c r="H2687" s="37" t="str">
        <x:v>0.00</x:v>
      </x:c>
      <x:c r="I2687" s="37" t="str">
        <x:v>43.80</x:v>
      </x:c>
      <x:c r="J2687" s="37" t="str">
        <x:v>0.00</x:v>
      </x:c>
      <x:c r="K2687" s="37" t="str">
        <x:v>118.56</x:v>
      </x:c>
      <x:c r="L2687" s="37" t="str">
        <x:v>278</x:v>
      </x:c>
      <x:c r="M2687" s="29" t="str">
        <x:v>128.51</x:v>
      </x:c>
      <x:c r="N2687" s="29" t="str">
        <x:v>108.39</x:v>
      </x:c>
      <x:c r="O2687" s="29" t="str">
        <x:v>20.12</x:v>
      </x:c>
      <x:c r="P2687" s="18" t="str">
        <x:v>2026-06-23</x:v>
      </x:c>
      <x:c r="Q2687" s="36" t="n">
        <x:v>46196</x:v>
      </x:c>
    </x:row>
    <x:row r="2688">
      <x:c r="A2688" s="36" t="str">
        <x:v>2026-06-23</x:v>
      </x:c>
      <x:c r="B2688" s="18" t="str">
        <x:v>101437000_78235</x:v>
      </x:c>
      <x:c r="C2688" s="18" t="str">
        <x:v>【沪村小电】欣秋苑充电站</x:v>
      </x:c>
      <x:c r="D2688" s="37" t="str">
        <x:v>4</x:v>
      </x:c>
      <x:c r="E2688" s="37" t="str">
        <x:v>0</x:v>
      </x:c>
      <x:c r="F2688" s="37" t="str">
        <x:v>9</x:v>
      </x:c>
      <x:c r="G2688" s="37" t="str">
        <x:v>197.51</x:v>
      </x:c>
      <x:c r="H2688" s="37" t="str">
        <x:v>0.00</x:v>
      </x:c>
      <x:c r="I2688" s="37" t="str">
        <x:v>169.97</x:v>
      </x:c>
      <x:c r="J2688" s="37" t="str">
        <x:v>0.00</x:v>
      </x:c>
      <x:c r="K2688" s="37" t="str">
        <x:v>27.53</x:v>
      </x:c>
      <x:c r="L2688" s="37" t="str">
        <x:v>330</x:v>
      </x:c>
      <x:c r="M2688" s="29" t="str">
        <x:v>198.98</x:v>
      </x:c>
      <x:c r="N2688" s="29" t="str">
        <x:v>136.24</x:v>
      </x:c>
      <x:c r="O2688" s="29" t="str">
        <x:v>62.74</x:v>
      </x:c>
      <x:c r="P2688" s="18" t="str">
        <x:v>2026-06-23</x:v>
      </x:c>
      <x:c r="Q2688" s="36" t="n">
        <x:v>46196</x:v>
      </x:c>
    </x:row>
    <x:row r="2689">
      <x:c r="A2689" s="36" t="str">
        <x:v>2026-06-23</x:v>
      </x:c>
      <x:c r="B2689" s="18" t="str">
        <x:v>101437000_78237</x:v>
      </x:c>
      <x:c r="C2689" s="18" t="str">
        <x:v>【沪村小电】奉馨苑西门小区内北侧充电站</x:v>
      </x:c>
      <x:c r="D2689" s="37" t="str">
        <x:v>2</x:v>
      </x:c>
      <x:c r="E2689" s="37" t="str">
        <x:v>0</x:v>
      </x:c>
      <x:c r="F2689" s="37" t="str">
        <x:v>23</x:v>
      </x:c>
      <x:c r="G2689" s="37" t="str">
        <x:v>729.11</x:v>
      </x:c>
      <x:c r="H2689" s="37" t="str">
        <x:v>0.00</x:v>
      </x:c>
      <x:c r="I2689" s="37" t="str">
        <x:v>307.23</x:v>
      </x:c>
      <x:c r="J2689" s="37" t="str">
        <x:v>0.00</x:v>
      </x:c>
      <x:c r="K2689" s="37" t="str">
        <x:v>421.88</x:v>
      </x:c>
      <x:c r="L2689" s="37" t="str">
        <x:v>974</x:v>
      </x:c>
      <x:c r="M2689" s="29" t="str">
        <x:v>571.73</x:v>
      </x:c>
      <x:c r="N2689" s="29" t="str">
        <x:v>387.66</x:v>
      </x:c>
      <x:c r="O2689" s="29" t="str">
        <x:v>184.07</x:v>
      </x:c>
      <x:c r="P2689" s="18" t="str">
        <x:v>2026-06-23</x:v>
      </x:c>
      <x:c r="Q2689" s="36" t="n">
        <x:v>46196</x:v>
      </x:c>
    </x:row>
    <x:row r="2690">
      <x:c r="A2690" s="36" t="str">
        <x:v>2026-06-23</x:v>
      </x:c>
      <x:c r="B2690" s="18" t="str">
        <x:v>101437000_78239</x:v>
      </x:c>
      <x:c r="C2690" s="18" t="str">
        <x:v>【沪村小电】恒大佘山首府东门充电站</x:v>
      </x:c>
      <x:c r="D2690" s="37" t="str">
        <x:v>2</x:v>
      </x:c>
      <x:c r="E2690" s="37" t="str">
        <x:v>0</x:v>
      </x:c>
      <x:c r="F2690" s="37" t="str">
        <x:v>43</x:v>
      </x:c>
      <x:c r="G2690" s="37" t="str">
        <x:v>1173.39</x:v>
      </x:c>
      <x:c r="H2690" s="37" t="str">
        <x:v>0.00</x:v>
      </x:c>
      <x:c r="I2690" s="37" t="str">
        <x:v>615.98</x:v>
      </x:c>
      <x:c r="J2690" s="37" t="str">
        <x:v>0.00</x:v>
      </x:c>
      <x:c r="K2690" s="37" t="str">
        <x:v>557.41</x:v>
      </x:c>
      <x:c r="L2690" s="37" t="str">
        <x:v>1697</x:v>
      </x:c>
      <x:c r="M2690" s="29" t="str">
        <x:v>914.20</x:v>
      </x:c>
      <x:c r="N2690" s="29" t="str">
        <x:v>667.63</x:v>
      </x:c>
      <x:c r="O2690" s="29" t="str">
        <x:v>246.57</x:v>
      </x:c>
      <x:c r="P2690" s="18" t="str">
        <x:v>2026-06-23</x:v>
      </x:c>
      <x:c r="Q2690" s="36" t="n">
        <x:v>46196</x:v>
      </x:c>
    </x:row>
    <x:row r="2691">
      <x:c r="A2691" s="36" t="str">
        <x:v>2026-06-23</x:v>
      </x:c>
      <x:c r="B2691" s="18" t="str">
        <x:v>101437000_80823</x:v>
      </x:c>
      <x:c r="C2691" s="18" t="str">
        <x:v>【沪村小电】上湖轩充电站</x:v>
      </x:c>
      <x:c r="D2691" s="37" t="str">
        <x:v>2</x:v>
      </x:c>
      <x:c r="E2691" s="37" t="str">
        <x:v>0</x:v>
      </x:c>
      <x:c r="F2691" s="37" t="str">
        <x:v>8</x:v>
      </x:c>
      <x:c r="G2691" s="37" t="str">
        <x:v>157.97</x:v>
      </x:c>
      <x:c r="H2691" s="37" t="str">
        <x:v>0.00</x:v>
      </x:c>
      <x:c r="I2691" s="37" t="str">
        <x:v>83.90</x:v>
      </x:c>
      <x:c r="J2691" s="37" t="str">
        <x:v>28.31</x:v>
      </x:c>
      <x:c r="K2691" s="37" t="str">
        <x:v>45.76</x:v>
      </x:c>
      <x:c r="L2691" s="37" t="str">
        <x:v>248</x:v>
      </x:c>
      <x:c r="M2691" s="29" t="str">
        <x:v>136.69</x:v>
      </x:c>
      <x:c r="N2691" s="29" t="str">
        <x:v>97.52</x:v>
      </x:c>
      <x:c r="O2691" s="29" t="str">
        <x:v>39.17</x:v>
      </x:c>
      <x:c r="P2691" s="18" t="str">
        <x:v>2026-06-23</x:v>
      </x:c>
      <x:c r="Q2691" s="36" t="n">
        <x:v>46196</x:v>
      </x:c>
    </x:row>
    <x:row r="2692">
      <x:c r="A2692" s="36" t="str">
        <x:v>2026-06-23</x:v>
      </x:c>
      <x:c r="B2692" s="18" t="str">
        <x:v>101437000_83019</x:v>
      </x:c>
      <x:c r="C2692" s="18" t="str">
        <x:v>【沪村小电】首创禧瑞云启东区充电站</x:v>
      </x:c>
      <x:c r="D2692" s="37" t="str">
        <x:v>2</x:v>
      </x:c>
      <x:c r="E2692" s="37" t="str">
        <x:v>0</x:v>
      </x:c>
      <x:c r="F2692" s="37" t="str">
        <x:v>39</x:v>
      </x:c>
      <x:c r="G2692" s="37" t="str">
        <x:v>957.56</x:v>
      </x:c>
      <x:c r="H2692" s="37" t="str">
        <x:v>0.00</x:v>
      </x:c>
      <x:c r="I2692" s="37" t="str">
        <x:v>772.72</x:v>
      </x:c>
      <x:c r="J2692" s="37" t="str">
        <x:v>0.00</x:v>
      </x:c>
      <x:c r="K2692" s="37" t="str">
        <x:v>184.84</x:v>
      </x:c>
      <x:c r="L2692" s="37" t="str">
        <x:v>1411</x:v>
      </x:c>
      <x:c r="M2692" s="29" t="str">
        <x:v>800.17</x:v>
      </x:c>
      <x:c r="N2692" s="29" t="str">
        <x:v>599.70</x:v>
      </x:c>
      <x:c r="O2692" s="29" t="str">
        <x:v>200.47</x:v>
      </x:c>
      <x:c r="P2692" s="18" t="str">
        <x:v>2026-06-23</x:v>
      </x:c>
      <x:c r="Q2692" s="36" t="n">
        <x:v>46196</x:v>
      </x:c>
    </x:row>
    <x:row r="2693">
      <x:c r="A2693" s="36" t="str">
        <x:v>2026-06-23</x:v>
      </x:c>
      <x:c r="B2693" s="18" t="str">
        <x:v>101437000_83093</x:v>
      </x:c>
      <x:c r="C2693" s="18" t="str">
        <x:v>【沪村小电】金茂未来时光里</x:v>
      </x:c>
      <x:c r="D2693" s="37" t="str">
        <x:v>2</x:v>
      </x:c>
      <x:c r="E2693" s="37" t="str">
        <x:v>0</x:v>
      </x:c>
      <x:c r="F2693" s="37" t="str">
        <x:v>26</x:v>
      </x:c>
      <x:c r="G2693" s="37" t="str">
        <x:v>821.33</x:v>
      </x:c>
      <x:c r="H2693" s="37" t="str">
        <x:v>0.00</x:v>
      </x:c>
      <x:c r="I2693" s="37" t="str">
        <x:v>477.80</x:v>
      </x:c>
      <x:c r="J2693" s="37" t="str">
        <x:v>0.00</x:v>
      </x:c>
      <x:c r="K2693" s="37" t="str">
        <x:v>343.53</x:v>
      </x:c>
      <x:c r="L2693" s="37" t="str">
        <x:v>1137</x:v>
      </x:c>
      <x:c r="M2693" s="29" t="str">
        <x:v>571.39</x:v>
      </x:c>
      <x:c r="N2693" s="29" t="str">
        <x:v>388.40</x:v>
      </x:c>
      <x:c r="O2693" s="29" t="str">
        <x:v>182.99</x:v>
      </x:c>
      <x:c r="P2693" s="18" t="str">
        <x:v>2026-06-23</x:v>
      </x:c>
      <x:c r="Q2693" s="36" t="n">
        <x:v>46196</x:v>
      </x:c>
    </x:row>
    <x:row r="2694">
      <x:c r="A2694" s="36" t="str">
        <x:v>2026-06-23</x:v>
      </x:c>
      <x:c r="B2694" s="18" t="str">
        <x:v>101437000_83911</x:v>
      </x:c>
      <x:c r="C2694" s="18" t="str">
        <x:v>【沪村小电】金瀚园充电站</x:v>
      </x:c>
      <x:c r="D2694" s="37" t="str">
        <x:v>2</x:v>
      </x:c>
      <x:c r="E2694" s="37" t="str">
        <x:v>0</x:v>
      </x:c>
      <x:c r="F2694" s="37" t="str">
        <x:v>29</x:v>
      </x:c>
      <x:c r="G2694" s="37" t="str">
        <x:v>769.65</x:v>
      </x:c>
      <x:c r="H2694" s="37" t="str">
        <x:v>0.00</x:v>
      </x:c>
      <x:c r="I2694" s="37" t="str">
        <x:v>419.88</x:v>
      </x:c>
      <x:c r="J2694" s="37" t="str">
        <x:v>0.00</x:v>
      </x:c>
      <x:c r="K2694" s="37" t="str">
        <x:v>349.77</x:v>
      </x:c>
      <x:c r="L2694" s="37" t="str">
        <x:v>1133</x:v>
      </x:c>
      <x:c r="M2694" s="29" t="str">
        <x:v>719.35</x:v>
      </x:c>
      <x:c r="N2694" s="29" t="str">
        <x:v>443.62</x:v>
      </x:c>
      <x:c r="O2694" s="29" t="str">
        <x:v>275.73</x:v>
      </x:c>
      <x:c r="P2694" s="18" t="str">
        <x:v>2026-06-23</x:v>
      </x:c>
      <x:c r="Q2694" s="36" t="n">
        <x:v>46196</x:v>
      </x:c>
    </x:row>
    <x:row r="2695">
      <x:c r="A2695" s="36" t="str">
        <x:v>2026-06-23</x:v>
      </x:c>
      <x:c r="B2695" s="18" t="str">
        <x:v>101437000_83913</x:v>
      </x:c>
      <x:c r="C2695" s="18" t="str">
        <x:v>【沪村小电】新黎村充电站</x:v>
      </x:c>
      <x:c r="D2695" s="37" t="str">
        <x:v>2</x:v>
      </x:c>
      <x:c r="E2695" s="37" t="str">
        <x:v>0</x:v>
      </x:c>
      <x:c r="F2695" s="37" t="str">
        <x:v>29</x:v>
      </x:c>
      <x:c r="G2695" s="37" t="str">
        <x:v>703.42</x:v>
      </x:c>
      <x:c r="H2695" s="37" t="str">
        <x:v>0.00</x:v>
      </x:c>
      <x:c r="I2695" s="37" t="str">
        <x:v>487.96</x:v>
      </x:c>
      <x:c r="J2695" s="37" t="str">
        <x:v>0.00</x:v>
      </x:c>
      <x:c r="K2695" s="37" t="str">
        <x:v>215.46</x:v>
      </x:c>
      <x:c r="L2695" s="37" t="str">
        <x:v>1077</x:v>
      </x:c>
      <x:c r="M2695" s="29" t="str">
        <x:v>720.36</x:v>
      </x:c>
      <x:c r="N2695" s="29" t="str">
        <x:v>621.67</x:v>
      </x:c>
      <x:c r="O2695" s="29" t="str">
        <x:v>98.69</x:v>
      </x:c>
      <x:c r="P2695" s="18" t="str">
        <x:v>2026-06-23</x:v>
      </x:c>
      <x:c r="Q2695" s="36" t="n">
        <x:v>46196</x:v>
      </x:c>
    </x:row>
    <x:row r="2696">
      <x:c r="A2696" s="36" t="str">
        <x:v>2026-06-23</x:v>
      </x:c>
      <x:c r="B2696" s="18" t="str">
        <x:v>101437000_83915</x:v>
      </x:c>
      <x:c r="C2696" s="18" t="str">
        <x:v>【沪村小电】长泰西郊别墅充电站</x:v>
      </x:c>
      <x:c r="D2696" s="37" t="str">
        <x:v>2</x:v>
      </x:c>
      <x:c r="E2696" s="37" t="str">
        <x:v>0</x:v>
      </x:c>
      <x:c r="F2696" s="37" t="str">
        <x:v>16</x:v>
      </x:c>
      <x:c r="G2696" s="37" t="str">
        <x:v>263.22</x:v>
      </x:c>
      <x:c r="H2696" s="37" t="str">
        <x:v>0.00</x:v>
      </x:c>
      <x:c r="I2696" s="37" t="str">
        <x:v>124.85</x:v>
      </x:c>
      <x:c r="J2696" s="37" t="str">
        <x:v>0.00</x:v>
      </x:c>
      <x:c r="K2696" s="37" t="str">
        <x:v>138.37</x:v>
      </x:c>
      <x:c r="L2696" s="37" t="str">
        <x:v>382</x:v>
      </x:c>
      <x:c r="M2696" s="29" t="str">
        <x:v>216.59</x:v>
      </x:c>
      <x:c r="N2696" s="29" t="str">
        <x:v>144.95</x:v>
      </x:c>
      <x:c r="O2696" s="29" t="str">
        <x:v>71.64</x:v>
      </x:c>
      <x:c r="P2696" s="18" t="str">
        <x:v>2026-06-23</x:v>
      </x:c>
      <x:c r="Q2696" s="36" t="n">
        <x:v>46196</x:v>
      </x:c>
    </x:row>
    <x:row r="2697">
      <x:c r="A2697" s="36" t="str">
        <x:v>2026-06-23</x:v>
      </x:c>
      <x:c r="B2697" s="18" t="str">
        <x:v>101437000_83917</x:v>
      </x:c>
      <x:c r="C2697" s="18" t="str">
        <x:v>【沪村小电】旭新华庭充电站</x:v>
      </x:c>
      <x:c r="D2697" s="37" t="str">
        <x:v>4</x:v>
      </x:c>
      <x:c r="E2697" s="37" t="str">
        <x:v>0</x:v>
      </x:c>
      <x:c r="F2697" s="37" t="str">
        <x:v>25</x:v>
      </x:c>
      <x:c r="G2697" s="37" t="str">
        <x:v>625.08</x:v>
      </x:c>
      <x:c r="H2697" s="37" t="str">
        <x:v>0.00</x:v>
      </x:c>
      <x:c r="I2697" s="37" t="str">
        <x:v>440.30</x:v>
      </x:c>
      <x:c r="J2697" s="37" t="str">
        <x:v>0.00</x:v>
      </x:c>
      <x:c r="K2697" s="37" t="str">
        <x:v>184.78</x:v>
      </x:c>
      <x:c r="L2697" s="37" t="str">
        <x:v>977</x:v>
      </x:c>
      <x:c r="M2697" s="29" t="str">
        <x:v>574.38</x:v>
      </x:c>
      <x:c r="N2697" s="29" t="str">
        <x:v>396.04</x:v>
      </x:c>
      <x:c r="O2697" s="29" t="str">
        <x:v>178.34</x:v>
      </x:c>
      <x:c r="P2697" s="18" t="str">
        <x:v>2026-06-23</x:v>
      </x:c>
      <x:c r="Q2697" s="36" t="n">
        <x:v>46196</x:v>
      </x:c>
    </x:row>
    <x:row r="2698">
      <x:c r="A2698" s="36" t="str">
        <x:v>2026-06-23</x:v>
      </x:c>
      <x:c r="B2698" s="18" t="str">
        <x:v>101437000_83919</x:v>
      </x:c>
      <x:c r="C2698" s="18" t="str">
        <x:v>【沪村小电】浦锦名仕嘉园充电站</x:v>
      </x:c>
      <x:c r="D2698" s="37" t="str">
        <x:v>4</x:v>
      </x:c>
      <x:c r="E2698" s="37" t="str">
        <x:v>0</x:v>
      </x:c>
      <x:c r="F2698" s="37" t="str">
        <x:v>38</x:v>
      </x:c>
      <x:c r="G2698" s="37" t="str">
        <x:v>908.72</x:v>
      </x:c>
      <x:c r="H2698" s="37" t="str">
        <x:v>0.00</x:v>
      </x:c>
      <x:c r="I2698" s="37" t="str">
        <x:v>0.00</x:v>
      </x:c>
      <x:c r="J2698" s="37" t="str">
        <x:v>908.72</x:v>
      </x:c>
      <x:c r="K2698" s="37" t="str">
        <x:v>0.00</x:v>
      </x:c>
      <x:c r="L2698" s="37" t="str">
        <x:v>1326</x:v>
      </x:c>
      <x:c r="M2698" s="29" t="str">
        <x:v>858.06</x:v>
      </x:c>
      <x:c r="N2698" s="29" t="str">
        <x:v>581.58</x:v>
      </x:c>
      <x:c r="O2698" s="29" t="str">
        <x:v>276.48</x:v>
      </x:c>
      <x:c r="P2698" s="18" t="str">
        <x:v>2026-06-23</x:v>
      </x:c>
      <x:c r="Q2698" s="36" t="n">
        <x:v>46196</x:v>
      </x:c>
    </x:row>
    <x:row r="2699">
      <x:c r="A2699" s="36" t="str">
        <x:v>2026-06-23</x:v>
      </x:c>
      <x:c r="B2699" s="18" t="str">
        <x:v>101437000_83921</x:v>
      </x:c>
      <x:c r="C2699" s="18" t="str">
        <x:v>【沪村小电】上海联怡枇杷乐园充电站（地库）</x:v>
      </x:c>
      <x:c r="D2699" s="37" t="str">
        <x:v>8</x:v>
      </x:c>
      <x:c r="E2699" s="37" t="str">
        <x:v>0</x:v>
      </x:c>
      <x:c r="F2699" s="37" t="str">
        <x:v>2</x:v>
      </x:c>
      <x:c r="G2699" s="37" t="str">
        <x:v>78.16</x:v>
      </x:c>
      <x:c r="H2699" s="37" t="str">
        <x:v>0.00</x:v>
      </x:c>
      <x:c r="I2699" s="37" t="str">
        <x:v>48.50</x:v>
      </x:c>
      <x:c r="J2699" s="37" t="str">
        <x:v>0.00</x:v>
      </x:c>
      <x:c r="K2699" s="37" t="str">
        <x:v>29.66</x:v>
      </x:c>
      <x:c r="L2699" s="37" t="str">
        <x:v>106</x:v>
      </x:c>
      <x:c r="M2699" s="29" t="str">
        <x:v>77.68</x:v>
      </x:c>
      <x:c r="N2699" s="29" t="str">
        <x:v>66.16</x:v>
      </x:c>
      <x:c r="O2699" s="29" t="str">
        <x:v>11.52</x:v>
      </x:c>
      <x:c r="P2699" s="18" t="str">
        <x:v>2026-06-23</x:v>
      </x:c>
      <x:c r="Q2699" s="36" t="n">
        <x:v>46196</x:v>
      </x:c>
    </x:row>
    <x:row r="2700">
      <x:c r="A2700" s="36" t="str">
        <x:v>2026-06-23</x:v>
      </x:c>
      <x:c r="B2700" s="18" t="str">
        <x:v>101437000_83923</x:v>
      </x:c>
      <x:c r="C2700" s="18" t="str">
        <x:v>【沪村小电】明珠新苑充电站</x:v>
      </x:c>
      <x:c r="D2700" s="37" t="str">
        <x:v>2</x:v>
      </x:c>
      <x:c r="E2700" s="37" t="str">
        <x:v>0</x:v>
      </x:c>
      <x:c r="F2700" s="37" t="str">
        <x:v>21</x:v>
      </x:c>
      <x:c r="G2700" s="37" t="str">
        <x:v>605.87</x:v>
      </x:c>
      <x:c r="H2700" s="37" t="str">
        <x:v>0.00</x:v>
      </x:c>
      <x:c r="I2700" s="37" t="str">
        <x:v>461.56</x:v>
      </x:c>
      <x:c r="J2700" s="37" t="str">
        <x:v>0.00</x:v>
      </x:c>
      <x:c r="K2700" s="37" t="str">
        <x:v>144.31</x:v>
      </x:c>
      <x:c r="L2700" s="37" t="str">
        <x:v>801</x:v>
      </x:c>
      <x:c r="M2700" s="29" t="str">
        <x:v>554.59</x:v>
      </x:c>
      <x:c r="N2700" s="29" t="str">
        <x:v>396.39</x:v>
      </x:c>
      <x:c r="O2700" s="29" t="str">
        <x:v>158.20</x:v>
      </x:c>
      <x:c r="P2700" s="18" t="str">
        <x:v>2026-06-23</x:v>
      </x:c>
      <x:c r="Q2700" s="36" t="n">
        <x:v>46196</x:v>
      </x:c>
    </x:row>
    <x:row r="2701">
      <x:c r="A2701" s="36" t="str">
        <x:v>2026-06-23</x:v>
      </x:c>
      <x:c r="B2701" s="18" t="str">
        <x:v>101437000_84289</x:v>
      </x:c>
      <x:c r="C2701" s="18" t="str">
        <x:v>【沪村小电】铁建芳华苑充电站</x:v>
      </x:c>
      <x:c r="D2701" s="37" t="str">
        <x:v>4</x:v>
      </x:c>
      <x:c r="E2701" s="37" t="str">
        <x:v>0</x:v>
      </x:c>
      <x:c r="F2701" s="37" t="str">
        <x:v>32</x:v>
      </x:c>
      <x:c r="G2701" s="37" t="str">
        <x:v>769.65</x:v>
      </x:c>
      <x:c r="H2701" s="37" t="str">
        <x:v>0.00</x:v>
      </x:c>
      <x:c r="I2701" s="37" t="str">
        <x:v>499.92</x:v>
      </x:c>
      <x:c r="J2701" s="37" t="str">
        <x:v>0.00</x:v>
      </x:c>
      <x:c r="K2701" s="37" t="str">
        <x:v>269.73</x:v>
      </x:c>
      <x:c r="L2701" s="37" t="str">
        <x:v>1245</x:v>
      </x:c>
      <x:c r="M2701" s="29" t="str">
        <x:v>733.73</x:v>
      </x:c>
      <x:c r="N2701" s="29" t="str">
        <x:v>472.48</x:v>
      </x:c>
      <x:c r="O2701" s="29" t="str">
        <x:v>261.25</x:v>
      </x:c>
      <x:c r="P2701" s="18" t="str">
        <x:v>2026-06-23</x:v>
      </x:c>
      <x:c r="Q2701" s="36" t="n">
        <x:v>46196</x:v>
      </x:c>
    </x:row>
    <x:row r="2702">
      <x:c r="A2702" s="36" t="str">
        <x:v>2026-06-23</x:v>
      </x:c>
      <x:c r="B2702" s="18" t="str">
        <x:v>101437000_86379</x:v>
      </x:c>
      <x:c r="C2702" s="18" t="str">
        <x:v>【沪村小电】新宝社区充电站</x:v>
      </x:c>
      <x:c r="D2702" s="37" t="str">
        <x:v>4</x:v>
      </x:c>
      <x:c r="E2702" s="37" t="str">
        <x:v>0</x:v>
      </x:c>
      <x:c r="F2702" s="37" t="str">
        <x:v>12</x:v>
      </x:c>
      <x:c r="G2702" s="37" t="str">
        <x:v>277.89</x:v>
      </x:c>
      <x:c r="H2702" s="37" t="str">
        <x:v>0.00</x:v>
      </x:c>
      <x:c r="I2702" s="37" t="str">
        <x:v>133.25</x:v>
      </x:c>
      <x:c r="J2702" s="37" t="str">
        <x:v>0.00</x:v>
      </x:c>
      <x:c r="K2702" s="37" t="str">
        <x:v>144.63</x:v>
      </x:c>
      <x:c r="L2702" s="37" t="str">
        <x:v>520</x:v>
      </x:c>
      <x:c r="M2702" s="29" t="str">
        <x:v>221.70</x:v>
      </x:c>
      <x:c r="N2702" s="29" t="str">
        <x:v>153.55</x:v>
      </x:c>
      <x:c r="O2702" s="29" t="str">
        <x:v>68.15</x:v>
      </x:c>
      <x:c r="P2702" s="18" t="str">
        <x:v>2026-06-23</x:v>
      </x:c>
      <x:c r="Q2702" s="36" t="n">
        <x:v>46196</x:v>
      </x:c>
    </x:row>
    <x:row r="2703">
      <x:c r="A2703" s="36" t="str">
        <x:v>2026-06-23</x:v>
      </x:c>
      <x:c r="B2703" s="18" t="str">
        <x:v>101437000_89441</x:v>
      </x:c>
      <x:c r="C2703" s="18" t="str">
        <x:v>【沪村小电】首创禧瑞云启西区充电站</x:v>
      </x:c>
      <x:c r="D2703" s="37" t="str">
        <x:v>2</x:v>
      </x:c>
      <x:c r="E2703" s="37" t="str">
        <x:v>0</x:v>
      </x:c>
      <x:c r="F2703" s="37" t="str">
        <x:v>33</x:v>
      </x:c>
      <x:c r="G2703" s="37" t="str">
        <x:v>967.71</x:v>
      </x:c>
      <x:c r="H2703" s="37" t="str">
        <x:v>0.00</x:v>
      </x:c>
      <x:c r="I2703" s="37" t="str">
        <x:v>605.39</x:v>
      </x:c>
      <x:c r="J2703" s="37" t="str">
        <x:v>0.00</x:v>
      </x:c>
      <x:c r="K2703" s="37" t="str">
        <x:v>362.31</x:v>
      </x:c>
      <x:c r="L2703" s="37" t="str">
        <x:v>1212</x:v>
      </x:c>
      <x:c r="M2703" s="29" t="str">
        <x:v>819.61</x:v>
      </x:c>
      <x:c r="N2703" s="29" t="str">
        <x:v>548.14</x:v>
      </x:c>
      <x:c r="O2703" s="29" t="str">
        <x:v>271.47</x:v>
      </x:c>
      <x:c r="P2703" s="18" t="str">
        <x:v>2026-06-23</x:v>
      </x:c>
      <x:c r="Q2703" s="36" t="n">
        <x:v>46196</x:v>
      </x:c>
    </x:row>
    <x:row r="2704">
      <x:c r="A2704" s="36" t="str">
        <x:v>2026-06-23</x:v>
      </x:c>
      <x:c r="B2704" s="18" t="str">
        <x:v>101437000_89443</x:v>
      </x:c>
      <x:c r="C2704" s="18" t="str">
        <x:v>【沪村小电】玉兰清苑二期充电站</x:v>
      </x:c>
      <x:c r="D2704" s="37" t="str">
        <x:v>2</x:v>
      </x:c>
      <x:c r="E2704" s="37" t="str">
        <x:v>0</x:v>
      </x:c>
      <x:c r="F2704" s="37" t="str">
        <x:v>27</x:v>
      </x:c>
      <x:c r="G2704" s="37" t="str">
        <x:v>566.50</x:v>
      </x:c>
      <x:c r="H2704" s="37" t="str">
        <x:v>0.00</x:v>
      </x:c>
      <x:c r="I2704" s="37" t="str">
        <x:v>446.56</x:v>
      </x:c>
      <x:c r="J2704" s="37" t="str">
        <x:v>0.00</x:v>
      </x:c>
      <x:c r="K2704" s="37" t="str">
        <x:v>119.94</x:v>
      </x:c>
      <x:c r="L2704" s="37" t="str">
        <x:v>943</x:v>
      </x:c>
      <x:c r="M2704" s="29" t="str">
        <x:v>496.71</x:v>
      </x:c>
      <x:c r="N2704" s="29" t="str">
        <x:v>376.04</x:v>
      </x:c>
      <x:c r="O2704" s="29" t="str">
        <x:v>120.67</x:v>
      </x:c>
      <x:c r="P2704" s="18" t="str">
        <x:v>2026-06-23</x:v>
      </x:c>
      <x:c r="Q2704" s="36" t="n">
        <x:v>46196</x:v>
      </x:c>
    </x:row>
    <x:row r="2705">
      <x:c r="A2705" s="36" t="str">
        <x:v>2026-06-23</x:v>
      </x:c>
      <x:c r="B2705" s="18" t="str">
        <x:v>101437000_93115</x:v>
      </x:c>
      <x:c r="C2705" s="18" t="str">
        <x:v>【沪村小电】新南家园西北门</x:v>
      </x:c>
      <x:c r="D2705" s="37" t="str">
        <x:v>2</x:v>
      </x:c>
      <x:c r="E2705" s="37" t="str">
        <x:v>0</x:v>
      </x:c>
      <x:c r="F2705" s="37" t="str">
        <x:v>21</x:v>
      </x:c>
      <x:c r="G2705" s="37" t="str">
        <x:v>438.50</x:v>
      </x:c>
      <x:c r="H2705" s="37" t="str">
        <x:v>0.00</x:v>
      </x:c>
      <x:c r="I2705" s="37" t="str">
        <x:v>228.79</x:v>
      </x:c>
      <x:c r="J2705" s="37" t="str">
        <x:v>0.00</x:v>
      </x:c>
      <x:c r="K2705" s="37" t="str">
        <x:v>209.71</x:v>
      </x:c>
      <x:c r="L2705" s="37" t="str">
        <x:v>888</x:v>
      </x:c>
      <x:c r="M2705" s="29" t="str">
        <x:v>366.04</x:v>
      </x:c>
      <x:c r="N2705" s="29" t="str">
        <x:v>233.36</x:v>
      </x:c>
      <x:c r="O2705" s="29" t="str">
        <x:v>132.68</x:v>
      </x:c>
      <x:c r="P2705" s="18" t="str">
        <x:v>2026-06-23</x:v>
      </x:c>
      <x:c r="Q2705" s="36" t="n">
        <x:v>46196</x:v>
      </x:c>
    </x:row>
    <x:row r="2706">
      <x:c r="A2706" s="36" t="str">
        <x:v>2026-06-23</x:v>
      </x:c>
      <x:c r="B2706" s="18" t="str">
        <x:v>101437000_94649</x:v>
      </x:c>
      <x:c r="C2706" s="18" t="str">
        <x:v>【沪村小电】浪琴水岸花园</x:v>
      </x:c>
      <x:c r="D2706" s="37" t="str">
        <x:v>4</x:v>
      </x:c>
      <x:c r="E2706" s="37" t="str">
        <x:v>0</x:v>
      </x:c>
      <x:c r="F2706" s="37" t="str">
        <x:v>21</x:v>
      </x:c>
      <x:c r="G2706" s="37" t="str">
        <x:v>451.66</x:v>
      </x:c>
      <x:c r="H2706" s="37" t="str">
        <x:v>0.00</x:v>
      </x:c>
      <x:c r="I2706" s="37" t="str">
        <x:v>238.96</x:v>
      </x:c>
      <x:c r="J2706" s="37" t="str">
        <x:v>0.00</x:v>
      </x:c>
      <x:c r="K2706" s="37" t="str">
        <x:v>212.70</x:v>
      </x:c>
      <x:c r="L2706" s="37" t="str">
        <x:v>897</x:v>
      </x:c>
      <x:c r="M2706" s="29" t="str">
        <x:v>366.03</x:v>
      </x:c>
      <x:c r="N2706" s="29" t="str">
        <x:v>241.45</x:v>
      </x:c>
      <x:c r="O2706" s="29" t="str">
        <x:v>124.58</x:v>
      </x:c>
      <x:c r="P2706" s="18" t="str">
        <x:v>2026-06-23</x:v>
      </x:c>
      <x:c r="Q2706" s="36" t="n">
        <x:v>46196</x:v>
      </x:c>
    </x:row>
    <x:row r="2707">
      <x:c r="A2707" s="36" t="str">
        <x:v>2026-06-23</x:v>
      </x:c>
      <x:c r="B2707" s="18" t="str">
        <x:v>101437000_95077</x:v>
      </x:c>
      <x:c r="C2707" s="18" t="str">
        <x:v>【沪村小电】民乐城惠益绿苑255弄充电站</x:v>
      </x:c>
      <x:c r="D2707" s="37" t="str">
        <x:v>2</x:v>
      </x:c>
      <x:c r="E2707" s="37" t="str">
        <x:v>0</x:v>
      </x:c>
      <x:c r="F2707" s="37" t="str">
        <x:v>7</x:v>
      </x:c>
      <x:c r="G2707" s="37" t="str">
        <x:v>205.22</x:v>
      </x:c>
      <x:c r="H2707" s="37" t="str">
        <x:v>0.00</x:v>
      </x:c>
      <x:c r="I2707" s="37" t="str">
        <x:v>144.47</x:v>
      </x:c>
      <x:c r="J2707" s="37" t="str">
        <x:v>0.00</x:v>
      </x:c>
      <x:c r="K2707" s="37" t="str">
        <x:v>60.74</x:v>
      </x:c>
      <x:c r="L2707" s="37" t="str">
        <x:v>251</x:v>
      </x:c>
      <x:c r="M2707" s="29" t="str">
        <x:v>206.78</x:v>
      </x:c>
      <x:c r="N2707" s="29" t="str">
        <x:v>129.99</x:v>
      </x:c>
      <x:c r="O2707" s="29" t="str">
        <x:v>76.79</x:v>
      </x:c>
      <x:c r="P2707" s="18" t="str">
        <x:v>2026-06-23</x:v>
      </x:c>
      <x:c r="Q2707" s="36" t="n">
        <x:v>46196</x:v>
      </x:c>
    </x:row>
    <x:row r="2708">
      <x:c r="A2708" s="36" t="str">
        <x:v>2026-06-23</x:v>
      </x:c>
      <x:c r="B2708" s="18" t="str">
        <x:v>101437000_95079</x:v>
      </x:c>
      <x:c r="C2708" s="18" t="str">
        <x:v>【沪村小电】民乐城惠益绿苑东苑充电站</x:v>
      </x:c>
      <x:c r="D2708" s="37" t="str">
        <x:v>2</x:v>
      </x:c>
      <x:c r="E2708" s="37" t="str">
        <x:v>0</x:v>
      </x:c>
      <x:c r="F2708" s="37" t="str">
        <x:v>6</x:v>
      </x:c>
      <x:c r="G2708" s="37" t="str">
        <x:v>142.72</x:v>
      </x:c>
      <x:c r="H2708" s="37" t="str">
        <x:v>0.00</x:v>
      </x:c>
      <x:c r="I2708" s="37" t="str">
        <x:v>142.72</x:v>
      </x:c>
      <x:c r="J2708" s="37" t="str">
        <x:v>0.00</x:v>
      </x:c>
      <x:c r="K2708" s="37" t="str">
        <x:v>0.00</x:v>
      </x:c>
      <x:c r="L2708" s="37" t="str">
        <x:v>196</x:v>
      </x:c>
      <x:c r="M2708" s="29" t="str">
        <x:v>133.03</x:v>
      </x:c>
      <x:c r="N2708" s="29" t="str">
        <x:v>98.47</x:v>
      </x:c>
      <x:c r="O2708" s="29" t="str">
        <x:v>34.56</x:v>
      </x:c>
      <x:c r="P2708" s="18" t="str">
        <x:v>2026-06-23</x:v>
      </x:c>
      <x:c r="Q2708" s="36" t="n">
        <x:v>46196</x:v>
      </x:c>
    </x:row>
    <x:row r="2709">
      <x:c r="A2709" s="36" t="str">
        <x:v>2026-06-23</x:v>
      </x:c>
      <x:c r="B2709" s="18" t="str">
        <x:v>101437000_95081</x:v>
      </x:c>
      <x:c r="C2709" s="18" t="str">
        <x:v>【沪村小电】民乐城惠益绿苑西苑充电站</x:v>
      </x:c>
      <x:c r="D2709" s="37" t="str">
        <x:v>2</x:v>
      </x:c>
      <x:c r="E2709" s="37" t="str">
        <x:v>0</x:v>
      </x:c>
      <x:c r="F2709" s="37" t="str">
        <x:v>1</x:v>
      </x:c>
      <x:c r="G2709" s="37" t="str">
        <x:v>25.36</x:v>
      </x:c>
      <x:c r="H2709" s="37" t="str">
        <x:v>0.00</x:v>
      </x:c>
      <x:c r="I2709" s="37" t="str">
        <x:v>25.36</x:v>
      </x:c>
      <x:c r="J2709" s="37" t="str">
        <x:v>0.00</x:v>
      </x:c>
      <x:c r="K2709" s="37" t="str">
        <x:v>0.00</x:v>
      </x:c>
      <x:c r="L2709" s="37" t="str">
        <x:v>19</x:v>
      </x:c>
      <x:c r="M2709" s="29" t="str">
        <x:v>22.87</x:v>
      </x:c>
      <x:c r="N2709" s="29" t="str">
        <x:v>17.50</x:v>
      </x:c>
      <x:c r="O2709" s="29" t="str">
        <x:v>5.37</x:v>
      </x:c>
      <x:c r="P2709" s="18" t="str">
        <x:v>2026-06-23</x:v>
      </x:c>
      <x:c r="Q2709" s="36" t="n">
        <x:v>46196</x:v>
      </x:c>
    </x:row>
    <x:row r="2710">
      <x:c r="A2710" s="36" t="str">
        <x:v>2026-06-23</x:v>
      </x:c>
      <x:c r="B2710" s="18" t="str">
        <x:v>101437000_95091</x:v>
      </x:c>
      <x:c r="C2710" s="18" t="str">
        <x:v>【沪村小电】金悦学府2号站</x:v>
      </x:c>
      <x:c r="D2710" s="37" t="str">
        <x:v>2</x:v>
      </x:c>
      <x:c r="E2710" s="37" t="str">
        <x:v>0</x:v>
      </x:c>
      <x:c r="F2710" s="37" t="str">
        <x:v>16</x:v>
      </x:c>
      <x:c r="G2710" s="37" t="str">
        <x:v>440.73</x:v>
      </x:c>
      <x:c r="H2710" s="37" t="str">
        <x:v>0.00</x:v>
      </x:c>
      <x:c r="I2710" s="37" t="str">
        <x:v>0.00</x:v>
      </x:c>
      <x:c r="J2710" s="37" t="str">
        <x:v>440.73</x:v>
      </x:c>
      <x:c r="K2710" s="37" t="str">
        <x:v>0.00</x:v>
      </x:c>
      <x:c r="L2710" s="37" t="str">
        <x:v>704</x:v>
      </x:c>
      <x:c r="M2710" s="29" t="str">
        <x:v>348.17</x:v>
      </x:c>
      <x:c r="N2710" s="29" t="str">
        <x:v>246.80</x:v>
      </x:c>
      <x:c r="O2710" s="29" t="str">
        <x:v>101.37</x:v>
      </x:c>
      <x:c r="P2710" s="18" t="str">
        <x:v>2026-06-23</x:v>
      </x:c>
      <x:c r="Q2710" s="36" t="n">
        <x:v>46196</x:v>
      </x:c>
    </x:row>
    <x:row r="2711">
      <x:c r="A2711" s="36" t="str">
        <x:v>2026-06-23</x:v>
      </x:c>
      <x:c r="B2711" s="18" t="str">
        <x:v>101437000_95941</x:v>
      </x:c>
      <x:c r="C2711" s="18" t="str">
        <x:v>【沪村小电】惠诚雅苑</x:v>
      </x:c>
      <x:c r="D2711" s="37" t="str">
        <x:v>4</x:v>
      </x:c>
      <x:c r="E2711" s="37" t="str">
        <x:v>0</x:v>
      </x:c>
      <x:c r="F2711" s="37" t="str">
        <x:v>23</x:v>
      </x:c>
      <x:c r="G2711" s="37" t="str">
        <x:v>694.64</x:v>
      </x:c>
      <x:c r="H2711" s="37" t="str">
        <x:v>0.00</x:v>
      </x:c>
      <x:c r="I2711" s="37" t="str">
        <x:v>438.69</x:v>
      </x:c>
      <x:c r="J2711" s="37" t="str">
        <x:v>0.00</x:v>
      </x:c>
      <x:c r="K2711" s="37" t="str">
        <x:v>255.95</x:v>
      </x:c>
      <x:c r="L2711" s="37" t="str">
        <x:v>912</x:v>
      </x:c>
      <x:c r="M2711" s="29" t="str">
        <x:v>517.60</x:v>
      </x:c>
      <x:c r="N2711" s="29" t="str">
        <x:v>338.18</x:v>
      </x:c>
      <x:c r="O2711" s="29" t="str">
        <x:v>179.42</x:v>
      </x:c>
      <x:c r="P2711" s="18" t="str">
        <x:v>2026-06-23</x:v>
      </x:c>
      <x:c r="Q2711" s="36" t="n">
        <x:v>46196</x:v>
      </x:c>
    </x:row>
    <x:row r="2712">
      <x:c r="A2712" s="36" t="str">
        <x:v>2026-06-23</x:v>
      </x:c>
      <x:c r="B2712" s="18" t="str">
        <x:v>101437000_96401</x:v>
      </x:c>
      <x:c r="C2712" s="18" t="str">
        <x:v>【沪村小电】上海联怡枇杷乐园地面站</x:v>
      </x:c>
      <x:c r="D2712" s="37" t="str">
        <x:v>2</x:v>
      </x:c>
      <x:c r="E2712" s="37" t="str">
        <x:v>0</x:v>
      </x:c>
      <x:c r="F2712" s="37" t="str">
        <x:v>10</x:v>
      </x:c>
      <x:c r="G2712" s="37" t="str">
        <x:v>208.23</x:v>
      </x:c>
      <x:c r="H2712" s="37" t="str">
        <x:v>0.00</x:v>
      </x:c>
      <x:c r="I2712" s="37" t="str">
        <x:v>31.81</x:v>
      </x:c>
      <x:c r="J2712" s="37" t="str">
        <x:v>0.00</x:v>
      </x:c>
      <x:c r="K2712" s="37" t="str">
        <x:v>176.43</x:v>
      </x:c>
      <x:c r="L2712" s="37" t="str">
        <x:v>362</x:v>
      </x:c>
      <x:c r="M2712" s="29" t="str">
        <x:v>145.69</x:v>
      </x:c>
      <x:c r="N2712" s="29" t="str">
        <x:v>126.57</x:v>
      </x:c>
      <x:c r="O2712" s="29" t="str">
        <x:v>19.12</x:v>
      </x:c>
      <x:c r="P2712" s="18" t="str">
        <x:v>2026-06-23</x:v>
      </x:c>
      <x:c r="Q2712" s="36" t="n">
        <x:v>46196</x:v>
      </x:c>
    </x:row>
    <x:row r="2713">
      <x:c r="A2713" s="36" t="str">
        <x:v>2026-06-23</x:v>
      </x:c>
      <x:c r="B2713" s="18" t="str">
        <x:v>101437000_96719</x:v>
      </x:c>
      <x:c r="C2713" s="18" t="str">
        <x:v>【沪村小电】四达路220弄充电站</x:v>
      </x:c>
      <x:c r="D2713" s="37" t="str">
        <x:v>2</x:v>
      </x:c>
      <x:c r="E2713" s="37" t="str">
        <x:v>0</x:v>
      </x:c>
      <x:c r="F2713" s="37" t="str">
        <x:v>2</x:v>
      </x:c>
      <x:c r="G2713" s="37" t="str">
        <x:v>26.37</x:v>
      </x:c>
      <x:c r="H2713" s="37" t="str">
        <x:v>0.00</x:v>
      </x:c>
      <x:c r="I2713" s="37" t="str">
        <x:v>0.00</x:v>
      </x:c>
      <x:c r="J2713" s="37" t="str">
        <x:v>13.18</x:v>
      </x:c>
      <x:c r="K2713" s="37" t="str">
        <x:v>13.19</x:v>
      </x:c>
      <x:c r="L2713" s="37" t="str">
        <x:v>52</x:v>
      </x:c>
      <x:c r="M2713" s="29" t="str">
        <x:v>26.64</x:v>
      </x:c>
      <x:c r="N2713" s="29" t="str">
        <x:v>14.51</x:v>
      </x:c>
      <x:c r="O2713" s="29" t="str">
        <x:v>12.13</x:v>
      </x:c>
      <x:c r="P2713" s="18" t="str">
        <x:v>2026-06-23</x:v>
      </x:c>
      <x:c r="Q2713" s="36" t="n">
        <x:v>46196</x:v>
      </x:c>
    </x:row>
    <x:row r="2714">
      <x:c r="A2714" s="36" t="str">
        <x:v>2026-06-23</x:v>
      </x:c>
      <x:c r="B2714" s="18" t="str">
        <x:v>101437000_97421</x:v>
      </x:c>
      <x:c r="C2714" s="18" t="str">
        <x:v>【沪村小电】玉兰清苑二期（小区外）充电站</x:v>
      </x:c>
      <x:c r="D2714" s="37" t="str">
        <x:v>4</x:v>
      </x:c>
      <x:c r="E2714" s="37" t="str">
        <x:v>0</x:v>
      </x:c>
      <x:c r="F2714" s="37" t="str">
        <x:v>39</x:v>
      </x:c>
      <x:c r="G2714" s="37" t="str">
        <x:v>944.85</x:v>
      </x:c>
      <x:c r="H2714" s="37" t="str">
        <x:v>0.00</x:v>
      </x:c>
      <x:c r="I2714" s="37" t="str">
        <x:v>883.57</x:v>
      </x:c>
      <x:c r="J2714" s="37" t="str">
        <x:v>0.00</x:v>
      </x:c>
      <x:c r="K2714" s="37" t="str">
        <x:v>61.28</x:v>
      </x:c>
      <x:c r="L2714" s="37" t="str">
        <x:v>1719</x:v>
      </x:c>
      <x:c r="M2714" s="29" t="str">
        <x:v>869.66</x:v>
      </x:c>
      <x:c r="N2714" s="29" t="str">
        <x:v>677.14</x:v>
      </x:c>
      <x:c r="O2714" s="29" t="str">
        <x:v>192.52</x:v>
      </x:c>
      <x:c r="P2714" s="18" t="str">
        <x:v>2026-06-23</x:v>
      </x:c>
      <x:c r="Q2714" s="36" t="n">
        <x:v>46196</x:v>
      </x:c>
    </x:row>
    <x:row r="2715">
      <x:c r="A2715" s="36" t="str">
        <x:v>2026-06-23</x:v>
      </x:c>
      <x:c r="B2715" s="18" t="str">
        <x:v>101437000_98013</x:v>
      </x:c>
      <x:c r="C2715" s="18" t="str">
        <x:v>【沪村小电】恒大滨江华府充电站</x:v>
      </x:c>
      <x:c r="D2715" s="37" t="str">
        <x:v>4</x:v>
      </x:c>
      <x:c r="E2715" s="37" t="str">
        <x:v>0</x:v>
      </x:c>
      <x:c r="F2715" s="37" t="str">
        <x:v>3</x:v>
      </x:c>
      <x:c r="G2715" s="37" t="str">
        <x:v>50.83</x:v>
      </x:c>
      <x:c r="H2715" s="37" t="str">
        <x:v>0.00</x:v>
      </x:c>
      <x:c r="I2715" s="37" t="str">
        <x:v>36.26</x:v>
      </x:c>
      <x:c r="J2715" s="37" t="str">
        <x:v>0.00</x:v>
      </x:c>
      <x:c r="K2715" s="37" t="str">
        <x:v>14.57</x:v>
      </x:c>
      <x:c r="L2715" s="37" t="str">
        <x:v>52</x:v>
      </x:c>
      <x:c r="M2715" s="29" t="str">
        <x:v>53.20</x:v>
      </x:c>
      <x:c r="N2715" s="29" t="str">
        <x:v>45.43</x:v>
      </x:c>
      <x:c r="O2715" s="29" t="str">
        <x:v>7.77</x:v>
      </x:c>
      <x:c r="P2715" s="18" t="str">
        <x:v>2026-06-23</x:v>
      </x:c>
      <x:c r="Q2715" s="36" t="n">
        <x:v>46196</x:v>
      </x:c>
    </x:row>
    <x:row r="2716">
      <x:c r="A2716" s="36" t="str">
        <x:v>2026-06-23</x:v>
      </x:c>
      <x:c r="B2716" s="18" t="str">
        <x:v>101437000_98863</x:v>
      </x:c>
      <x:c r="C2716" s="18" t="str">
        <x:v>【沪村小电】欣菊苑充电站</x:v>
      </x:c>
      <x:c r="D2716" s="37" t="str">
        <x:v>4</x:v>
      </x:c>
      <x:c r="E2716" s="37" t="str">
        <x:v>0</x:v>
      </x:c>
      <x:c r="F2716" s="37" t="str">
        <x:v>5</x:v>
      </x:c>
      <x:c r="G2716" s="37" t="str">
        <x:v>125.83</x:v>
      </x:c>
      <x:c r="H2716" s="37" t="str">
        <x:v>0.00</x:v>
      </x:c>
      <x:c r="I2716" s="37" t="str">
        <x:v>125.83</x:v>
      </x:c>
      <x:c r="J2716" s="37" t="str">
        <x:v>0.00</x:v>
      </x:c>
      <x:c r="K2716" s="37" t="str">
        <x:v>0.00</x:v>
      </x:c>
      <x:c r="L2716" s="37" t="str">
        <x:v>183</x:v>
      </x:c>
      <x:c r="M2716" s="29" t="str">
        <x:v>135.71</x:v>
      </x:c>
      <x:c r="N2716" s="29" t="str">
        <x:v>93.11</x:v>
      </x:c>
      <x:c r="O2716" s="29" t="str">
        <x:v>42.60</x:v>
      </x:c>
      <x:c r="P2716" s="18" t="str">
        <x:v>2026-06-23</x:v>
      </x:c>
      <x:c r="Q2716" s="36" t="n">
        <x:v>46196</x:v>
      </x:c>
    </x:row>
    <x:row r="2717">
      <x:c r="A2717" s="36" t="str">
        <x:v>2026-06-23</x:v>
      </x:c>
      <x:c r="B2717" s="18" t="str">
        <x:v>101437000_98865</x:v>
      </x:c>
      <x:c r="C2717" s="18" t="str">
        <x:v>【沪村小电】欣松苑充电站</x:v>
      </x:c>
      <x:c r="D2717" s="37" t="str">
        <x:v>4</x:v>
      </x:c>
      <x:c r="E2717" s="37" t="str">
        <x:v>0</x:v>
      </x:c>
      <x:c r="F2717" s="37" t="str">
        <x:v>1</x:v>
      </x:c>
      <x:c r="G2717" s="37" t="str">
        <x:v>45.49</x:v>
      </x:c>
      <x:c r="H2717" s="37" t="str">
        <x:v>0.00</x:v>
      </x:c>
      <x:c r="I2717" s="37" t="str">
        <x:v>45.49</x:v>
      </x:c>
      <x:c r="J2717" s="37" t="str">
        <x:v>0.00</x:v>
      </x:c>
      <x:c r="K2717" s="37" t="str">
        <x:v>0.00</x:v>
      </x:c>
      <x:c r="L2717" s="37" t="str">
        <x:v>42</x:v>
      </x:c>
      <x:c r="M2717" s="29" t="str">
        <x:v>52.31</x:v>
      </x:c>
      <x:c r="N2717" s="29" t="str">
        <x:v>33.66</x:v>
      </x:c>
      <x:c r="O2717" s="29" t="str">
        <x:v>18.65</x:v>
      </x:c>
      <x:c r="P2717" s="18" t="str">
        <x:v>2026-06-23</x:v>
      </x:c>
      <x:c r="Q2717" s="36" t="n">
        <x:v>46196</x:v>
      </x:c>
    </x:row>
    <x:row r="2718">
      <x:c r="A2718" s="36" t="str">
        <x:v>2026-06-23</x:v>
      </x:c>
      <x:c r="B2718" s="18" t="str">
        <x:v>101437000_98867</x:v>
      </x:c>
      <x:c r="C2718" s="18" t="str">
        <x:v>【沪村小电】欣荷苑充电站</x:v>
      </x:c>
      <x:c r="D2718" s="37" t="str">
        <x:v>4</x:v>
      </x:c>
      <x:c r="E2718" s="37" t="str">
        <x:v>0</x:v>
      </x:c>
      <x:c r="F2718" s="37" t="str">
        <x:v>9</x:v>
      </x:c>
      <x:c r="G2718" s="37" t="str">
        <x:v>122.24</x:v>
      </x:c>
      <x:c r="H2718" s="37" t="str">
        <x:v>0.00</x:v>
      </x:c>
      <x:c r="I2718" s="37" t="str">
        <x:v>118.34</x:v>
      </x:c>
      <x:c r="J2718" s="37" t="str">
        <x:v>0.00</x:v>
      </x:c>
      <x:c r="K2718" s="37" t="str">
        <x:v>3.90</x:v>
      </x:c>
      <x:c r="L2718" s="37" t="str">
        <x:v>260</x:v>
      </x:c>
      <x:c r="M2718" s="29" t="str">
        <x:v>114.16</x:v>
      </x:c>
      <x:c r="N2718" s="29" t="str">
        <x:v>89.06</x:v>
      </x:c>
      <x:c r="O2718" s="29" t="str">
        <x:v>25.10</x:v>
      </x:c>
      <x:c r="P2718" s="18" t="str">
        <x:v>2026-06-23</x:v>
      </x:c>
      <x:c r="Q2718" s="36" t="n">
        <x:v>46196</x:v>
      </x:c>
    </x:row>
    <x:row r="2719">
      <x:c r="A2719" s="36" t="str">
        <x:v>2026-06-23</x:v>
      </x:c>
      <x:c r="B2719" s="18" t="str">
        <x:v>101437000_99885</x:v>
      </x:c>
      <x:c r="C2719" s="18" t="str">
        <x:v>【沪村小电】汇丰馨苑充电站</x:v>
      </x:c>
      <x:c r="D2719" s="37" t="str">
        <x:v>4</x:v>
      </x:c>
      <x:c r="E2719" s="37" t="str">
        <x:v>0</x:v>
      </x:c>
      <x:c r="F2719" s="37" t="str">
        <x:v>7</x:v>
      </x:c>
      <x:c r="G2719" s="37" t="str">
        <x:v>91.91</x:v>
      </x:c>
      <x:c r="H2719" s="37" t="str">
        <x:v>0.00</x:v>
      </x:c>
      <x:c r="I2719" s="37" t="str">
        <x:v>5.31</x:v>
      </x:c>
      <x:c r="J2719" s="37" t="str">
        <x:v>45.45</x:v>
      </x:c>
      <x:c r="K2719" s="37" t="str">
        <x:v>41.16</x:v>
      </x:c>
      <x:c r="L2719" s="37" t="str">
        <x:v>220</x:v>
      </x:c>
      <x:c r="M2719" s="29" t="str">
        <x:v>77.94</x:v>
      </x:c>
      <x:c r="N2719" s="29" t="str">
        <x:v>54.46</x:v>
      </x:c>
      <x:c r="O2719" s="29" t="str">
        <x:v>23.48</x:v>
      </x:c>
      <x:c r="P2719" s="18" t="str">
        <x:v>2026-06-23</x:v>
      </x:c>
      <x:c r="Q2719" s="36" t="n">
        <x:v>46196</x:v>
      </x:c>
    </x:row>
    <x:row r="2720">
      <x:c r="A2720" s="36" t="str">
        <x:v>2026-06-23</x:v>
      </x:c>
      <x:c r="B2720" s="18" t="str">
        <x:v>101437000_99887</x:v>
      </x:c>
      <x:c r="C2720" s="18" t="str">
        <x:v>【沪村小电】新南村河南小区充电站</x:v>
      </x:c>
      <x:c r="D2720" s="37" t="str">
        <x:v>2</x:v>
      </x:c>
      <x:c r="E2720" s="37" t="str">
        <x:v>0</x:v>
      </x:c>
      <x:c r="F2720" s="37" t="str">
        <x:v>7</x:v>
      </x:c>
      <x:c r="G2720" s="37" t="str">
        <x:v>142.06</x:v>
      </x:c>
      <x:c r="H2720" s="37" t="str">
        <x:v>0.00</x:v>
      </x:c>
      <x:c r="I2720" s="37" t="str">
        <x:v>72.24</x:v>
      </x:c>
      <x:c r="J2720" s="37" t="str">
        <x:v>0.00</x:v>
      </x:c>
      <x:c r="K2720" s="37" t="str">
        <x:v>69.82</x:v>
      </x:c>
      <x:c r="L2720" s="37" t="str">
        <x:v>285</x:v>
      </x:c>
      <x:c r="M2720" s="29" t="str">
        <x:v>99.41</x:v>
      </x:c>
      <x:c r="N2720" s="29" t="str">
        <x:v>79.98</x:v>
      </x:c>
      <x:c r="O2720" s="29" t="str">
        <x:v>19.43</x:v>
      </x:c>
      <x:c r="P2720" s="18" t="str">
        <x:v>2026-06-23</x:v>
      </x:c>
      <x:c r="Q2720" s="36" t="n">
        <x:v>46196</x:v>
      </x:c>
    </x:row>
    <x:row r="2721">
      <x:c r="A2721" s="36" t="str">
        <x:v>2026-06-23</x:v>
      </x:c>
      <x:c r="B2721" s="18" t="str">
        <x:v>101437000_99889</x:v>
      </x:c>
      <x:c r="C2721" s="18" t="str">
        <x:v>【沪村小电】漕泾郊野公园</x:v>
      </x:c>
      <x:c r="D2721" s="37" t="str">
        <x:v>2</x:v>
      </x:c>
      <x:c r="E2721" s="37" t="str">
        <x:v>0</x:v>
      </x:c>
      <x:c r="F2721" s="37" t="str">
        <x:v>1</x:v>
      </x:c>
      <x:c r="G2721" s="37" t="str">
        <x:v>14.30</x:v>
      </x:c>
      <x:c r="H2721" s="37" t="str">
        <x:v>0.00</x:v>
      </x:c>
      <x:c r="I2721" s="37" t="str">
        <x:v>6.20</x:v>
      </x:c>
      <x:c r="J2721" s="37" t="str">
        <x:v>8.10</x:v>
      </x:c>
      <x:c r="K2721" s="37" t="str">
        <x:v>0.00</x:v>
      </x:c>
      <x:c r="L2721" s="37" t="str">
        <x:v>36</x:v>
      </x:c>
      <x:c r="M2721" s="29" t="str">
        <x:v>17.68</x:v>
      </x:c>
      <x:c r="N2721" s="29" t="str">
        <x:v>11.93</x:v>
      </x:c>
      <x:c r="O2721" s="29" t="str">
        <x:v>5.75</x:v>
      </x:c>
      <x:c r="P2721" s="18" t="str">
        <x:v>2026-06-23</x:v>
      </x:c>
      <x:c r="Q2721" s="36" t="n">
        <x:v>46196</x:v>
      </x:c>
    </x:row>
    <x:row r="2722">
      <x:c r="A2722" s="36" t="str">
        <x:v>2026-06-22</x:v>
      </x:c>
      <x:c r="B2722" s="18" t="str">
        <x:v>101437000_102043</x:v>
      </x:c>
      <x:c r="C2722" s="18" t="str">
        <x:v>【沪村小电】市民广场停车场充电站</x:v>
      </x:c>
      <x:c r="D2722" s="37" t="str">
        <x:v>2</x:v>
      </x:c>
      <x:c r="E2722" s="37" t="str">
        <x:v>0</x:v>
      </x:c>
      <x:c r="F2722" s="37" t="str">
        <x:v>1</x:v>
      </x:c>
      <x:c r="G2722" s="37" t="str">
        <x:v>0.69</x:v>
      </x:c>
      <x:c r="H2722" s="37" t="str">
        <x:v>0.00</x:v>
      </x:c>
      <x:c r="I2722" s="37" t="str">
        <x:v>0.00</x:v>
      </x:c>
      <x:c r="J2722" s="37" t="str">
        <x:v>0.69</x:v>
      </x:c>
      <x:c r="K2722" s="37" t="str">
        <x:v>0.00</x:v>
      </x:c>
      <x:c r="L2722" s="37" t="str">
        <x:v>2</x:v>
      </x:c>
      <x:c r="M2722" s="29" t="str">
        <x:v>0.80</x:v>
      </x:c>
      <x:c r="N2722" s="29" t="str">
        <x:v>0.49</x:v>
      </x:c>
      <x:c r="O2722" s="29" t="str">
        <x:v>0.31</x:v>
      </x:c>
      <x:c r="P2722" s="18" t="str">
        <x:v>2026-06-22</x:v>
      </x:c>
      <x:c r="Q2722" s="36" t="n">
        <x:v>46195</x:v>
      </x:c>
    </x:row>
    <x:row r="2723">
      <x:c r="A2723" s="36" t="str">
        <x:v>2026-06-22</x:v>
      </x:c>
      <x:c r="B2723" s="18" t="str">
        <x:v>101437000_102045</x:v>
      </x:c>
      <x:c r="C2723" s="18" t="str">
        <x:v>【沪村小电】沈巷菜场南侧停车场充电站</x:v>
      </x:c>
      <x:c r="D2723" s="37" t="str">
        <x:v>2</x:v>
      </x:c>
      <x:c r="E2723" s="37" t="str">
        <x:v>0</x:v>
      </x:c>
      <x:c r="F2723" s="37" t="str">
        <x:v>1</x:v>
      </x:c>
      <x:c r="G2723" s="37" t="str">
        <x:v>0.48</x:v>
      </x:c>
      <x:c r="H2723" s="37" t="str">
        <x:v>0.00</x:v>
      </x:c>
      <x:c r="I2723" s="37" t="str">
        <x:v>0.00</x:v>
      </x:c>
      <x:c r="J2723" s="37" t="str">
        <x:v>0.48</x:v>
      </x:c>
      <x:c r="K2723" s="37" t="str">
        <x:v>0.00</x:v>
      </x:c>
      <x:c r="L2723" s="37" t="str">
        <x:v>6</x:v>
      </x:c>
      <x:c r="M2723" s="29" t="str">
        <x:v>0.55</x:v>
      </x:c>
      <x:c r="N2723" s="29" t="str">
        <x:v>0.34</x:v>
      </x:c>
      <x:c r="O2723" s="29" t="str">
        <x:v>0.21</x:v>
      </x:c>
      <x:c r="P2723" s="18" t="str">
        <x:v>2026-06-22</x:v>
      </x:c>
      <x:c r="Q2723" s="36" t="n">
        <x:v>46195</x:v>
      </x:c>
    </x:row>
    <x:row r="2724">
      <x:c r="A2724" s="36" t="str">
        <x:v>2026-06-22</x:v>
      </x:c>
      <x:c r="B2724" s="18" t="str">
        <x:v>101437000_41561</x:v>
      </x:c>
      <x:c r="C2724" s="18" t="str">
        <x:v>【沪村小电】张施小区大门处快充站</x:v>
      </x:c>
      <x:c r="D2724" s="37" t="str">
        <x:v>2</x:v>
      </x:c>
      <x:c r="E2724" s="37" t="str">
        <x:v>0</x:v>
      </x:c>
      <x:c r="F2724" s="37" t="str">
        <x:v>44</x:v>
      </x:c>
      <x:c r="G2724" s="37" t="str">
        <x:v>1061.33</x:v>
      </x:c>
      <x:c r="H2724" s="37" t="str">
        <x:v>0.00</x:v>
      </x:c>
      <x:c r="I2724" s="37" t="str">
        <x:v>449.68</x:v>
      </x:c>
      <x:c r="J2724" s="37" t="str">
        <x:v>0.00</x:v>
      </x:c>
      <x:c r="K2724" s="37" t="str">
        <x:v>611.65</x:v>
      </x:c>
      <x:c r="L2724" s="37" t="str">
        <x:v>1836</x:v>
      </x:c>
      <x:c r="M2724" s="29" t="str">
        <x:v>759.32</x:v>
      </x:c>
      <x:c r="N2724" s="29" t="str">
        <x:v>565.21</x:v>
      </x:c>
      <x:c r="O2724" s="29" t="str">
        <x:v>194.11</x:v>
      </x:c>
      <x:c r="P2724" s="18" t="str">
        <x:v>2026-06-22</x:v>
      </x:c>
      <x:c r="Q2724" s="36" t="n">
        <x:v>46195</x:v>
      </x:c>
    </x:row>
    <x:row r="2725">
      <x:c r="A2725" s="36" t="str">
        <x:v>2026-06-22</x:v>
      </x:c>
      <x:c r="B2725" s="18" t="str">
        <x:v>101437000_41563</x:v>
      </x:c>
      <x:c r="C2725" s="18" t="str">
        <x:v>【沪村小电】同心村快充站</x:v>
      </x:c>
      <x:c r="D2725" s="37" t="str">
        <x:v>4</x:v>
      </x:c>
      <x:c r="E2725" s="37" t="str">
        <x:v>0</x:v>
      </x:c>
      <x:c r="F2725" s="37" t="str">
        <x:v>64</x:v>
      </x:c>
      <x:c r="G2725" s="37" t="str">
        <x:v>1368.49</x:v>
      </x:c>
      <x:c r="H2725" s="37" t="str">
        <x:v>0.00</x:v>
      </x:c>
      <x:c r="I2725" s="37" t="str">
        <x:v>970.53</x:v>
      </x:c>
      <x:c r="J2725" s="37" t="str">
        <x:v>0.00</x:v>
      </x:c>
      <x:c r="K2725" s="37" t="str">
        <x:v>397.96</x:v>
      </x:c>
      <x:c r="L2725" s="37" t="str">
        <x:v>3337</x:v>
      </x:c>
      <x:c r="M2725" s="29" t="str">
        <x:v>1128.13</x:v>
      </x:c>
      <x:c r="N2725" s="29" t="str">
        <x:v>812.92</x:v>
      </x:c>
      <x:c r="O2725" s="29" t="str">
        <x:v>315.21</x:v>
      </x:c>
      <x:c r="P2725" s="18" t="str">
        <x:v>2026-06-22</x:v>
      </x:c>
      <x:c r="Q2725" s="36" t="n">
        <x:v>46195</x:v>
      </x:c>
    </x:row>
    <x:row r="2726">
      <x:c r="A2726" s="36" t="str">
        <x:v>2026-06-22</x:v>
      </x:c>
      <x:c r="B2726" s="18" t="str">
        <x:v>101437000_69629</x:v>
      </x:c>
      <x:c r="C2726" s="18" t="str">
        <x:v>【沪村小电】骏丰玲珑坊西苑充电站</x:v>
      </x:c>
      <x:c r="D2726" s="37" t="str">
        <x:v>2</x:v>
      </x:c>
      <x:c r="E2726" s="37" t="str">
        <x:v>0</x:v>
      </x:c>
      <x:c r="F2726" s="37" t="str">
        <x:v>54</x:v>
      </x:c>
      <x:c r="G2726" s="37" t="str">
        <x:v>1244.80</x:v>
      </x:c>
      <x:c r="H2726" s="37" t="str">
        <x:v>0.00</x:v>
      </x:c>
      <x:c r="I2726" s="37" t="str">
        <x:v>462.34</x:v>
      </x:c>
      <x:c r="J2726" s="37" t="str">
        <x:v>0.00</x:v>
      </x:c>
      <x:c r="K2726" s="37" t="str">
        <x:v>782.46</x:v>
      </x:c>
      <x:c r="L2726" s="37" t="str">
        <x:v>2237</x:v>
      </x:c>
      <x:c r="M2726" s="29" t="str">
        <x:v>902.79</x:v>
      </x:c>
      <x:c r="N2726" s="29" t="str">
        <x:v>639.48</x:v>
      </x:c>
      <x:c r="O2726" s="29" t="str">
        <x:v>263.31</x:v>
      </x:c>
      <x:c r="P2726" s="18" t="str">
        <x:v>2026-06-22</x:v>
      </x:c>
      <x:c r="Q2726" s="36" t="n">
        <x:v>46195</x:v>
      </x:c>
    </x:row>
    <x:row r="2727">
      <x:c r="A2727" s="36" t="str">
        <x:v>2026-06-22</x:v>
      </x:c>
      <x:c r="B2727" s="18" t="str">
        <x:v>101437000_70547</x:v>
      </x:c>
      <x:c r="C2727" s="18" t="str">
        <x:v>【沪村小电】农建村初心馆党群服务中心充电站</x:v>
      </x:c>
      <x:c r="D2727" s="37" t="str">
        <x:v>4</x:v>
      </x:c>
      <x:c r="E2727" s="37" t="str">
        <x:v>0</x:v>
      </x:c>
      <x:c r="F2727" s="37" t="str">
        <x:v>30</x:v>
      </x:c>
      <x:c r="G2727" s="37" t="str">
        <x:v>761.04</x:v>
      </x:c>
      <x:c r="H2727" s="37" t="str">
        <x:v>0.00</x:v>
      </x:c>
      <x:c r="I2727" s="37" t="str">
        <x:v>344.36</x:v>
      </x:c>
      <x:c r="J2727" s="37" t="str">
        <x:v>0.00</x:v>
      </x:c>
      <x:c r="K2727" s="37" t="str">
        <x:v>416.68</x:v>
      </x:c>
      <x:c r="L2727" s="37" t="str">
        <x:v>1180</x:v>
      </x:c>
      <x:c r="M2727" s="29" t="str">
        <x:v>684.59</x:v>
      </x:c>
      <x:c r="N2727" s="29" t="str">
        <x:v>578.96</x:v>
      </x:c>
      <x:c r="O2727" s="29" t="str">
        <x:v>105.63</x:v>
      </x:c>
      <x:c r="P2727" s="18" t="str">
        <x:v>2026-06-22</x:v>
      </x:c>
      <x:c r="Q2727" s="36" t="n">
        <x:v>46195</x:v>
      </x:c>
    </x:row>
    <x:row r="2728">
      <x:c r="A2728" s="36" t="str">
        <x:v>2026-06-22</x:v>
      </x:c>
      <x:c r="B2728" s="18" t="str">
        <x:v>101437000_70549</x:v>
      </x:c>
      <x:c r="C2728" s="18" t="str">
        <x:v>【沪村小电】学府路充电站</x:v>
      </x:c>
      <x:c r="D2728" s="37" t="str">
        <x:v>2</x:v>
      </x:c>
      <x:c r="E2728" s="37" t="str">
        <x:v>0</x:v>
      </x:c>
      <x:c r="F2728" s="37" t="str">
        <x:v>11</x:v>
      </x:c>
      <x:c r="G2728" s="37" t="str">
        <x:v>248.54</x:v>
      </x:c>
      <x:c r="H2728" s="37" t="str">
        <x:v>0.00</x:v>
      </x:c>
      <x:c r="I2728" s="37" t="str">
        <x:v>76.70</x:v>
      </x:c>
      <x:c r="J2728" s="37" t="str">
        <x:v>0.00</x:v>
      </x:c>
      <x:c r="K2728" s="37" t="str">
        <x:v>171.84</x:v>
      </x:c>
      <x:c r="L2728" s="37" t="str">
        <x:v>502</x:v>
      </x:c>
      <x:c r="M2728" s="29" t="str">
        <x:v>197.19</x:v>
      </x:c>
      <x:c r="N2728" s="29" t="str">
        <x:v>170.86</x:v>
      </x:c>
      <x:c r="O2728" s="29" t="str">
        <x:v>26.33</x:v>
      </x:c>
      <x:c r="P2728" s="18" t="str">
        <x:v>2026-06-22</x:v>
      </x:c>
      <x:c r="Q2728" s="36" t="n">
        <x:v>46195</x:v>
      </x:c>
    </x:row>
    <x:row r="2729">
      <x:c r="A2729" s="36" t="str">
        <x:v>2026-06-22</x:v>
      </x:c>
      <x:c r="B2729" s="18" t="str">
        <x:v>101437000_71059</x:v>
      </x:c>
      <x:c r="C2729" s="18" t="str">
        <x:v>【沪村小电】宝乐汇商业广场站</x:v>
      </x:c>
      <x:c r="D2729" s="37" t="str">
        <x:v>4</x:v>
      </x:c>
      <x:c r="E2729" s="37" t="str">
        <x:v>0</x:v>
      </x:c>
      <x:c r="F2729" s="37" t="str">
        <x:v>18</x:v>
      </x:c>
      <x:c r="G2729" s="37" t="str">
        <x:v>509.29</x:v>
      </x:c>
      <x:c r="H2729" s="37" t="str">
        <x:v>0.00</x:v>
      </x:c>
      <x:c r="I2729" s="37" t="str">
        <x:v>102.08</x:v>
      </x:c>
      <x:c r="J2729" s="37" t="str">
        <x:v>186.01</x:v>
      </x:c>
      <x:c r="K2729" s="37" t="str">
        <x:v>221.21</x:v>
      </x:c>
      <x:c r="L2729" s="37" t="str">
        <x:v>736</x:v>
      </x:c>
      <x:c r="M2729" s="29" t="str">
        <x:v>459.26</x:v>
      </x:c>
      <x:c r="N2729" s="29" t="str">
        <x:v>326.73</x:v>
      </x:c>
      <x:c r="O2729" s="29" t="str">
        <x:v>132.53</x:v>
      </x:c>
      <x:c r="P2729" s="18" t="str">
        <x:v>2026-06-22</x:v>
      </x:c>
      <x:c r="Q2729" s="36" t="n">
        <x:v>46195</x:v>
      </x:c>
    </x:row>
    <x:row r="2730">
      <x:c r="A2730" s="36" t="str">
        <x:v>2026-06-22</x:v>
      </x:c>
      <x:c r="B2730" s="18" t="str">
        <x:v>101437000_72541</x:v>
      </x:c>
      <x:c r="C2730" s="18" t="str">
        <x:v>【沪村小电】九干路1174弄充电站</x:v>
      </x:c>
      <x:c r="D2730" s="37" t="str">
        <x:v>2</x:v>
      </x:c>
      <x:c r="E2730" s="37" t="str">
        <x:v>0</x:v>
      </x:c>
      <x:c r="F2730" s="37" t="str">
        <x:v>41</x:v>
      </x:c>
      <x:c r="G2730" s="37" t="str">
        <x:v>720.60</x:v>
      </x:c>
      <x:c r="H2730" s="37" t="str">
        <x:v>0.00</x:v>
      </x:c>
      <x:c r="I2730" s="37" t="str">
        <x:v>411.85</x:v>
      </x:c>
      <x:c r="J2730" s="37" t="str">
        <x:v>0.00</x:v>
      </x:c>
      <x:c r="K2730" s="37" t="str">
        <x:v>308.76</x:v>
      </x:c>
      <x:c r="L2730" s="37" t="str">
        <x:v>1168</x:v>
      </x:c>
      <x:c r="M2730" s="29" t="str">
        <x:v>572.21</x:v>
      </x:c>
      <x:c r="N2730" s="29" t="str">
        <x:v>422.10</x:v>
      </x:c>
      <x:c r="O2730" s="29" t="str">
        <x:v>150.11</x:v>
      </x:c>
      <x:c r="P2730" s="18" t="str">
        <x:v>2026-06-22</x:v>
      </x:c>
      <x:c r="Q2730" s="36" t="n">
        <x:v>46195</x:v>
      </x:c>
    </x:row>
    <x:row r="2731">
      <x:c r="A2731" s="36" t="str">
        <x:v>2026-06-22</x:v>
      </x:c>
      <x:c r="B2731" s="18" t="str">
        <x:v>101437000_72543</x:v>
      </x:c>
      <x:c r="C2731" s="18" t="str">
        <x:v>【沪村小电】叶家中心村小区充电站</x:v>
      </x:c>
      <x:c r="D2731" s="37" t="str">
        <x:v>2</x:v>
      </x:c>
      <x:c r="E2731" s="37" t="str">
        <x:v>0</x:v>
      </x:c>
      <x:c r="F2731" s="37" t="str">
        <x:v>38</x:v>
      </x:c>
      <x:c r="G2731" s="37" t="str">
        <x:v>947.00</x:v>
      </x:c>
      <x:c r="H2731" s="37" t="str">
        <x:v>0.00</x:v>
      </x:c>
      <x:c r="I2731" s="37" t="str">
        <x:v>473.42</x:v>
      </x:c>
      <x:c r="J2731" s="37" t="str">
        <x:v>0.00</x:v>
      </x:c>
      <x:c r="K2731" s="37" t="str">
        <x:v>473.58</x:v>
      </x:c>
      <x:c r="L2731" s="37" t="str">
        <x:v>1630</x:v>
      </x:c>
      <x:c r="M2731" s="29" t="str">
        <x:v>733.60</x:v>
      </x:c>
      <x:c r="N2731" s="29" t="str">
        <x:v>530.31</x:v>
      </x:c>
      <x:c r="O2731" s="29" t="str">
        <x:v>203.29</x:v>
      </x:c>
      <x:c r="P2731" s="18" t="str">
        <x:v>2026-06-22</x:v>
      </x:c>
      <x:c r="Q2731" s="36" t="n">
        <x:v>46195</x:v>
      </x:c>
    </x:row>
    <x:row r="2732">
      <x:c r="A2732" s="36" t="str">
        <x:v>2026-06-22</x:v>
      </x:c>
      <x:c r="B2732" s="18" t="str">
        <x:v>101437000_72937</x:v>
      </x:c>
      <x:c r="C2732" s="18" t="str">
        <x:v>【沪村小电】佘北家园茸腾苑充电站</x:v>
      </x:c>
      <x:c r="D2732" s="37" t="str">
        <x:v>4</x:v>
      </x:c>
      <x:c r="E2732" s="37" t="str">
        <x:v>0</x:v>
      </x:c>
      <x:c r="F2732" s="37" t="str">
        <x:v>13</x:v>
      </x:c>
      <x:c r="G2732" s="37" t="str">
        <x:v>235.84</x:v>
      </x:c>
      <x:c r="H2732" s="37" t="str">
        <x:v>0.00</x:v>
      </x:c>
      <x:c r="I2732" s="37" t="str">
        <x:v>235.84</x:v>
      </x:c>
      <x:c r="J2732" s="37" t="str">
        <x:v>0.00</x:v>
      </x:c>
      <x:c r="K2732" s="37" t="str">
        <x:v>0.00</x:v>
      </x:c>
      <x:c r="L2732" s="37" t="str">
        <x:v>402</x:v>
      </x:c>
      <x:c r="M2732" s="29" t="str">
        <x:v>235.69</x:v>
      </x:c>
      <x:c r="N2732" s="29" t="str">
        <x:v>174.51</x:v>
      </x:c>
      <x:c r="O2732" s="29" t="str">
        <x:v>61.18</x:v>
      </x:c>
      <x:c r="P2732" s="18" t="str">
        <x:v>2026-06-22</x:v>
      </x:c>
      <x:c r="Q2732" s="36" t="n">
        <x:v>46195</x:v>
      </x:c>
    </x:row>
    <x:row r="2733">
      <x:c r="A2733" s="36" t="str">
        <x:v>2026-06-22</x:v>
      </x:c>
      <x:c r="B2733" s="18" t="str">
        <x:v>101437000_74223</x:v>
      </x:c>
      <x:c r="C2733" s="18" t="str">
        <x:v>【沪村小电】中兴村委会充电站</x:v>
      </x:c>
      <x:c r="D2733" s="37" t="str">
        <x:v>2</x:v>
      </x:c>
      <x:c r="E2733" s="37" t="str">
        <x:v>0</x:v>
      </x:c>
      <x:c r="F2733" s="37" t="str">
        <x:v>18</x:v>
      </x:c>
      <x:c r="G2733" s="37" t="str">
        <x:v>458.98</x:v>
      </x:c>
      <x:c r="H2733" s="37" t="str">
        <x:v>0.00</x:v>
      </x:c>
      <x:c r="I2733" s="37" t="str">
        <x:v>238.43</x:v>
      </x:c>
      <x:c r="J2733" s="37" t="str">
        <x:v>0.00</x:v>
      </x:c>
      <x:c r="K2733" s="37" t="str">
        <x:v>220.55</x:v>
      </x:c>
      <x:c r="L2733" s="37" t="str">
        <x:v>643</x:v>
      </x:c>
      <x:c r="M2733" s="29" t="str">
        <x:v>427.90</x:v>
      </x:c>
      <x:c r="N2733" s="29" t="str">
        <x:v>364.88</x:v>
      </x:c>
      <x:c r="O2733" s="29" t="str">
        <x:v>63.02</x:v>
      </x:c>
      <x:c r="P2733" s="18" t="str">
        <x:v>2026-06-22</x:v>
      </x:c>
      <x:c r="Q2733" s="36" t="n">
        <x:v>46195</x:v>
      </x:c>
    </x:row>
    <x:row r="2734">
      <x:c r="A2734" s="36" t="str">
        <x:v>2026-06-22</x:v>
      </x:c>
      <x:c r="B2734" s="18" t="str">
        <x:v>101437000_74801</x:v>
      </x:c>
      <x:c r="C2734" s="18" t="str">
        <x:v>【沪村小电】申良花园充电站</x:v>
      </x:c>
      <x:c r="D2734" s="37" t="str">
        <x:v>4</x:v>
      </x:c>
      <x:c r="E2734" s="37" t="str">
        <x:v>0</x:v>
      </x:c>
      <x:c r="F2734" s="37" t="str">
        <x:v>10</x:v>
      </x:c>
      <x:c r="G2734" s="37" t="str">
        <x:v>213.24</x:v>
      </x:c>
      <x:c r="H2734" s="37" t="str">
        <x:v>0.00</x:v>
      </x:c>
      <x:c r="I2734" s="37" t="str">
        <x:v>213.24</x:v>
      </x:c>
      <x:c r="J2734" s="37" t="str">
        <x:v>0.00</x:v>
      </x:c>
      <x:c r="K2734" s="37" t="str">
        <x:v>0.00</x:v>
      </x:c>
      <x:c r="L2734" s="37" t="str">
        <x:v>329</x:v>
      </x:c>
      <x:c r="M2734" s="29" t="str">
        <x:v>233.72</x:v>
      </x:c>
      <x:c r="N2734" s="29" t="str">
        <x:v>157.80</x:v>
      </x:c>
      <x:c r="O2734" s="29" t="str">
        <x:v>75.92</x:v>
      </x:c>
      <x:c r="P2734" s="18" t="str">
        <x:v>2026-06-22</x:v>
      </x:c>
      <x:c r="Q2734" s="36" t="n">
        <x:v>46195</x:v>
      </x:c>
    </x:row>
    <x:row r="2735">
      <x:c r="A2735" s="36" t="str">
        <x:v>2026-06-22</x:v>
      </x:c>
      <x:c r="B2735" s="18" t="str">
        <x:v>101437000_74931</x:v>
      </x:c>
      <x:c r="C2735" s="18" t="str">
        <x:v>【沪村小电】枫雅南居充电站</x:v>
      </x:c>
      <x:c r="D2735" s="37" t="str">
        <x:v>2</x:v>
      </x:c>
      <x:c r="E2735" s="37" t="str">
        <x:v>0</x:v>
      </x:c>
      <x:c r="F2735" s="37" t="str">
        <x:v>10</x:v>
      </x:c>
      <x:c r="G2735" s="37" t="str">
        <x:v>299.44</x:v>
      </x:c>
      <x:c r="H2735" s="37" t="str">
        <x:v>0.00</x:v>
      </x:c>
      <x:c r="I2735" s="37" t="str">
        <x:v>240.75</x:v>
      </x:c>
      <x:c r="J2735" s="37" t="str">
        <x:v>0.00</x:v>
      </x:c>
      <x:c r="K2735" s="37" t="str">
        <x:v>58.70</x:v>
      </x:c>
      <x:c r="L2735" s="37" t="str">
        <x:v>391</x:v>
      </x:c>
      <x:c r="M2735" s="29" t="str">
        <x:v>235.80</x:v>
      </x:c>
      <x:c r="N2735" s="29" t="str">
        <x:v>160.25</x:v>
      </x:c>
      <x:c r="O2735" s="29" t="str">
        <x:v>75.55</x:v>
      </x:c>
      <x:c r="P2735" s="18" t="str">
        <x:v>2026-06-22</x:v>
      </x:c>
      <x:c r="Q2735" s="36" t="n">
        <x:v>46195</x:v>
      </x:c>
    </x:row>
    <x:row r="2736">
      <x:c r="A2736" s="36" t="str">
        <x:v>2026-06-22</x:v>
      </x:c>
      <x:c r="B2736" s="18" t="str">
        <x:v>101437000_75901</x:v>
      </x:c>
      <x:c r="C2736" s="18" t="str">
        <x:v>【沪村小电】金悦学府</x:v>
      </x:c>
      <x:c r="D2736" s="37" t="str">
        <x:v>2</x:v>
      </x:c>
      <x:c r="E2736" s="37" t="str">
        <x:v>0</x:v>
      </x:c>
      <x:c r="F2736" s="37" t="str">
        <x:v>22</x:v>
      </x:c>
      <x:c r="G2736" s="37" t="str">
        <x:v>296.33</x:v>
      </x:c>
      <x:c r="H2736" s="37" t="str">
        <x:v>0.00</x:v>
      </x:c>
      <x:c r="I2736" s="37" t="str">
        <x:v>220.19</x:v>
      </x:c>
      <x:c r="J2736" s="37" t="str">
        <x:v>0.00</x:v>
      </x:c>
      <x:c r="K2736" s="37" t="str">
        <x:v>76.14</x:v>
      </x:c>
      <x:c r="L2736" s="37" t="str">
        <x:v>493</x:v>
      </x:c>
      <x:c r="M2736" s="29" t="str">
        <x:v>241.07</x:v>
      </x:c>
      <x:c r="N2736" s="29" t="str">
        <x:v>153.53</x:v>
      </x:c>
      <x:c r="O2736" s="29" t="str">
        <x:v>87.54</x:v>
      </x:c>
      <x:c r="P2736" s="18" t="str">
        <x:v>2026-06-22</x:v>
      </x:c>
      <x:c r="Q2736" s="36" t="n">
        <x:v>46195</x:v>
      </x:c>
    </x:row>
    <x:row r="2737">
      <x:c r="A2737" s="36" t="str">
        <x:v>2026-06-22</x:v>
      </x:c>
      <x:c r="B2737" s="18" t="str">
        <x:v>101437000_76091</x:v>
      </x:c>
      <x:c r="C2737" s="18" t="str">
        <x:v>【沪村小电】恒信家园充电站</x:v>
      </x:c>
      <x:c r="D2737" s="37" t="str">
        <x:v>2</x:v>
      </x:c>
      <x:c r="E2737" s="37" t="str">
        <x:v>0</x:v>
      </x:c>
      <x:c r="F2737" s="37" t="str">
        <x:v>40</x:v>
      </x:c>
      <x:c r="G2737" s="37" t="str">
        <x:v>1021.62</x:v>
      </x:c>
      <x:c r="H2737" s="37" t="str">
        <x:v>0.00</x:v>
      </x:c>
      <x:c r="I2737" s="37" t="str">
        <x:v>535.50</x:v>
      </x:c>
      <x:c r="J2737" s="37" t="str">
        <x:v>0.00</x:v>
      </x:c>
      <x:c r="K2737" s="37" t="str">
        <x:v>486.11</x:v>
      </x:c>
      <x:c r="L2737" s="37" t="str">
        <x:v>1520</x:v>
      </x:c>
      <x:c r="M2737" s="29" t="str">
        <x:v>890.75</x:v>
      </x:c>
      <x:c r="N2737" s="29" t="str">
        <x:v>581.02</x:v>
      </x:c>
      <x:c r="O2737" s="29" t="str">
        <x:v>309.73</x:v>
      </x:c>
      <x:c r="P2737" s="18" t="str">
        <x:v>2026-06-22</x:v>
      </x:c>
      <x:c r="Q2737" s="36" t="n">
        <x:v>46195</x:v>
      </x:c>
    </x:row>
    <x:row r="2738">
      <x:c r="A2738" s="36" t="str">
        <x:v>2026-06-22</x:v>
      </x:c>
      <x:c r="B2738" s="18" t="str">
        <x:v>101437000_78235</x:v>
      </x:c>
      <x:c r="C2738" s="18" t="str">
        <x:v>【沪村小电】欣秋苑充电站</x:v>
      </x:c>
      <x:c r="D2738" s="37" t="str">
        <x:v>4</x:v>
      </x:c>
      <x:c r="E2738" s="37" t="str">
        <x:v>0</x:v>
      </x:c>
      <x:c r="F2738" s="37" t="str">
        <x:v>15</x:v>
      </x:c>
      <x:c r="G2738" s="37" t="str">
        <x:v>393.08</x:v>
      </x:c>
      <x:c r="H2738" s="37" t="str">
        <x:v>0.00</x:v>
      </x:c>
      <x:c r="I2738" s="37" t="str">
        <x:v>226.69</x:v>
      </x:c>
      <x:c r="J2738" s="37" t="str">
        <x:v>0.00</x:v>
      </x:c>
      <x:c r="K2738" s="37" t="str">
        <x:v>166.39</x:v>
      </x:c>
      <x:c r="L2738" s="37" t="str">
        <x:v>544</x:v>
      </x:c>
      <x:c r="M2738" s="29" t="str">
        <x:v>304.36</x:v>
      </x:c>
      <x:c r="N2738" s="29" t="str">
        <x:v>230.96</x:v>
      </x:c>
      <x:c r="O2738" s="29" t="str">
        <x:v>73.40</x:v>
      </x:c>
      <x:c r="P2738" s="18" t="str">
        <x:v>2026-06-22</x:v>
      </x:c>
      <x:c r="Q2738" s="36" t="n">
        <x:v>46195</x:v>
      </x:c>
    </x:row>
    <x:row r="2739">
      <x:c r="A2739" s="36" t="str">
        <x:v>2026-06-22</x:v>
      </x:c>
      <x:c r="B2739" s="18" t="str">
        <x:v>101437000_78237</x:v>
      </x:c>
      <x:c r="C2739" s="18" t="str">
        <x:v>【沪村小电】奉馨苑西门小区内北侧充电站</x:v>
      </x:c>
      <x:c r="D2739" s="37" t="str">
        <x:v>2</x:v>
      </x:c>
      <x:c r="E2739" s="37" t="str">
        <x:v>0</x:v>
      </x:c>
      <x:c r="F2739" s="37" t="str">
        <x:v>29</x:v>
      </x:c>
      <x:c r="G2739" s="37" t="str">
        <x:v>897.63</x:v>
      </x:c>
      <x:c r="H2739" s="37" t="str">
        <x:v>0.00</x:v>
      </x:c>
      <x:c r="I2739" s="37" t="str">
        <x:v>487.98</x:v>
      </x:c>
      <x:c r="J2739" s="37" t="str">
        <x:v>0.00</x:v>
      </x:c>
      <x:c r="K2739" s="37" t="str">
        <x:v>409.65</x:v>
      </x:c>
      <x:c r="L2739" s="37" t="str">
        <x:v>1349</x:v>
      </x:c>
      <x:c r="M2739" s="29" t="str">
        <x:v>766.48</x:v>
      </x:c>
      <x:c r="N2739" s="29" t="str">
        <x:v>516.75</x:v>
      </x:c>
      <x:c r="O2739" s="29" t="str">
        <x:v>249.73</x:v>
      </x:c>
      <x:c r="P2739" s="18" t="str">
        <x:v>2026-06-22</x:v>
      </x:c>
      <x:c r="Q2739" s="36" t="n">
        <x:v>46195</x:v>
      </x:c>
    </x:row>
    <x:row r="2740">
      <x:c r="A2740" s="36" t="str">
        <x:v>2026-06-22</x:v>
      </x:c>
      <x:c r="B2740" s="18" t="str">
        <x:v>101437000_78239</x:v>
      </x:c>
      <x:c r="C2740" s="18" t="str">
        <x:v>【沪村小电】恒大佘山首府东门充电站</x:v>
      </x:c>
      <x:c r="D2740" s="37" t="str">
        <x:v>2</x:v>
      </x:c>
      <x:c r="E2740" s="37" t="str">
        <x:v>0</x:v>
      </x:c>
      <x:c r="F2740" s="37" t="str">
        <x:v>35</x:v>
      </x:c>
      <x:c r="G2740" s="37" t="str">
        <x:v>1071.58</x:v>
      </x:c>
      <x:c r="H2740" s="37" t="str">
        <x:v>0.00</x:v>
      </x:c>
      <x:c r="I2740" s="37" t="str">
        <x:v>608.55</x:v>
      </x:c>
      <x:c r="J2740" s="37" t="str">
        <x:v>0.00</x:v>
      </x:c>
      <x:c r="K2740" s="37" t="str">
        <x:v>463.03</x:v>
      </x:c>
      <x:c r="L2740" s="37" t="str">
        <x:v>1578</x:v>
      </x:c>
      <x:c r="M2740" s="29" t="str">
        <x:v>861.26</x:v>
      </x:c>
      <x:c r="N2740" s="29" t="str">
        <x:v>626.29</x:v>
      </x:c>
      <x:c r="O2740" s="29" t="str">
        <x:v>234.97</x:v>
      </x:c>
      <x:c r="P2740" s="18" t="str">
        <x:v>2026-06-22</x:v>
      </x:c>
      <x:c r="Q2740" s="36" t="n">
        <x:v>46195</x:v>
      </x:c>
    </x:row>
    <x:row r="2741">
      <x:c r="A2741" s="36" t="str">
        <x:v>2026-06-22</x:v>
      </x:c>
      <x:c r="B2741" s="18" t="str">
        <x:v>101437000_80823</x:v>
      </x:c>
      <x:c r="C2741" s="18" t="str">
        <x:v>【沪村小电】上湖轩充电站</x:v>
      </x:c>
      <x:c r="D2741" s="37" t="str">
        <x:v>2</x:v>
      </x:c>
      <x:c r="E2741" s="37" t="str">
        <x:v>0</x:v>
      </x:c>
      <x:c r="F2741" s="37" t="str">
        <x:v>2</x:v>
      </x:c>
      <x:c r="G2741" s="37" t="str">
        <x:v>66.14</x:v>
      </x:c>
      <x:c r="H2741" s="37" t="str">
        <x:v>0.00</x:v>
      </x:c>
      <x:c r="I2741" s="37" t="str">
        <x:v>41.18</x:v>
      </x:c>
      <x:c r="J2741" s="37" t="str">
        <x:v>0.00</x:v>
      </x:c>
      <x:c r="K2741" s="37" t="str">
        <x:v>24.96</x:v>
      </x:c>
      <x:c r="L2741" s="37" t="str">
        <x:v>98</x:v>
      </x:c>
      <x:c r="M2741" s="29" t="str">
        <x:v>53.97</x:v>
      </x:c>
      <x:c r="N2741" s="29" t="str">
        <x:v>40.01</x:v>
      </x:c>
      <x:c r="O2741" s="29" t="str">
        <x:v>13.96</x:v>
      </x:c>
      <x:c r="P2741" s="18" t="str">
        <x:v>2026-06-22</x:v>
      </x:c>
      <x:c r="Q2741" s="36" t="n">
        <x:v>46195</x:v>
      </x:c>
    </x:row>
    <x:row r="2742">
      <x:c r="A2742" s="36" t="str">
        <x:v>2026-06-22</x:v>
      </x:c>
      <x:c r="B2742" s="18" t="str">
        <x:v>101437000_83019</x:v>
      </x:c>
      <x:c r="C2742" s="18" t="str">
        <x:v>【沪村小电】首创禧瑞云启东区充电站</x:v>
      </x:c>
      <x:c r="D2742" s="37" t="str">
        <x:v>2</x:v>
      </x:c>
      <x:c r="E2742" s="37" t="str">
        <x:v>0</x:v>
      </x:c>
      <x:c r="F2742" s="37" t="str">
        <x:v>45</x:v>
      </x:c>
      <x:c r="G2742" s="37" t="str">
        <x:v>985.31</x:v>
      </x:c>
      <x:c r="H2742" s="37" t="str">
        <x:v>0.00</x:v>
      </x:c>
      <x:c r="I2742" s="37" t="str">
        <x:v>792.85</x:v>
      </x:c>
      <x:c r="J2742" s="37" t="str">
        <x:v>0.00</x:v>
      </x:c>
      <x:c r="K2742" s="37" t="str">
        <x:v>192.46</x:v>
      </x:c>
      <x:c r="L2742" s="37" t="str">
        <x:v>1441</x:v>
      </x:c>
      <x:c r="M2742" s="29" t="str">
        <x:v>855.72</x:v>
      </x:c>
      <x:c r="N2742" s="29" t="str">
        <x:v>616.36</x:v>
      </x:c>
      <x:c r="O2742" s="29" t="str">
        <x:v>239.36</x:v>
      </x:c>
      <x:c r="P2742" s="18" t="str">
        <x:v>2026-06-22</x:v>
      </x:c>
      <x:c r="Q2742" s="36" t="n">
        <x:v>46195</x:v>
      </x:c>
    </x:row>
    <x:row r="2743">
      <x:c r="A2743" s="36" t="str">
        <x:v>2026-06-22</x:v>
      </x:c>
      <x:c r="B2743" s="18" t="str">
        <x:v>101437000_83093</x:v>
      </x:c>
      <x:c r="C2743" s="18" t="str">
        <x:v>【沪村小电】金茂未来时光里</x:v>
      </x:c>
      <x:c r="D2743" s="37" t="str">
        <x:v>2</x:v>
      </x:c>
      <x:c r="E2743" s="37" t="str">
        <x:v>0</x:v>
      </x:c>
      <x:c r="F2743" s="37" t="str">
        <x:v>32</x:v>
      </x:c>
      <x:c r="G2743" s="37" t="str">
        <x:v>946.38</x:v>
      </x:c>
      <x:c r="H2743" s="37" t="str">
        <x:v>0.00</x:v>
      </x:c>
      <x:c r="I2743" s="37" t="str">
        <x:v>547.49</x:v>
      </x:c>
      <x:c r="J2743" s="37" t="str">
        <x:v>0.00</x:v>
      </x:c>
      <x:c r="K2743" s="37" t="str">
        <x:v>398.89</x:v>
      </x:c>
      <x:c r="L2743" s="37" t="str">
        <x:v>1514</x:v>
      </x:c>
      <x:c r="M2743" s="29" t="str">
        <x:v>642.25</x:v>
      </x:c>
      <x:c r="N2743" s="29" t="str">
        <x:v>446.68</x:v>
      </x:c>
      <x:c r="O2743" s="29" t="str">
        <x:v>195.57</x:v>
      </x:c>
      <x:c r="P2743" s="18" t="str">
        <x:v>2026-06-22</x:v>
      </x:c>
      <x:c r="Q2743" s="36" t="n">
        <x:v>46195</x:v>
      </x:c>
    </x:row>
    <x:row r="2744">
      <x:c r="A2744" s="36" t="str">
        <x:v>2026-06-22</x:v>
      </x:c>
      <x:c r="B2744" s="18" t="str">
        <x:v>101437000_83911</x:v>
      </x:c>
      <x:c r="C2744" s="18" t="str">
        <x:v>【沪村小电】金瀚园充电站</x:v>
      </x:c>
      <x:c r="D2744" s="37" t="str">
        <x:v>2</x:v>
      </x:c>
      <x:c r="E2744" s="37" t="str">
        <x:v>0</x:v>
      </x:c>
      <x:c r="F2744" s="37" t="str">
        <x:v>23</x:v>
      </x:c>
      <x:c r="G2744" s="37" t="str">
        <x:v>584.45</x:v>
      </x:c>
      <x:c r="H2744" s="37" t="str">
        <x:v>0.00</x:v>
      </x:c>
      <x:c r="I2744" s="37" t="str">
        <x:v>167.65</x:v>
      </x:c>
      <x:c r="J2744" s="37" t="str">
        <x:v>0.00</x:v>
      </x:c>
      <x:c r="K2744" s="37" t="str">
        <x:v>416.80</x:v>
      </x:c>
      <x:c r="L2744" s="37" t="str">
        <x:v>965</x:v>
      </x:c>
      <x:c r="M2744" s="29" t="str">
        <x:v>480.88</x:v>
      </x:c>
      <x:c r="N2744" s="29" t="str">
        <x:v>282.44</x:v>
      </x:c>
      <x:c r="O2744" s="29" t="str">
        <x:v>198.44</x:v>
      </x:c>
      <x:c r="P2744" s="18" t="str">
        <x:v>2026-06-22</x:v>
      </x:c>
      <x:c r="Q2744" s="36" t="n">
        <x:v>46195</x:v>
      </x:c>
    </x:row>
    <x:row r="2745">
      <x:c r="A2745" s="36" t="str">
        <x:v>2026-06-22</x:v>
      </x:c>
      <x:c r="B2745" s="18" t="str">
        <x:v>101437000_83913</x:v>
      </x:c>
      <x:c r="C2745" s="18" t="str">
        <x:v>【沪村小电】新黎村充电站</x:v>
      </x:c>
      <x:c r="D2745" s="37" t="str">
        <x:v>2</x:v>
      </x:c>
      <x:c r="E2745" s="37" t="str">
        <x:v>0</x:v>
      </x:c>
      <x:c r="F2745" s="37" t="str">
        <x:v>29</x:v>
      </x:c>
      <x:c r="G2745" s="37" t="str">
        <x:v>729.10</x:v>
      </x:c>
      <x:c r="H2745" s="37" t="str">
        <x:v>0.00</x:v>
      </x:c>
      <x:c r="I2745" s="37" t="str">
        <x:v>457.97</x:v>
      </x:c>
      <x:c r="J2745" s="37" t="str">
        <x:v>0.00</x:v>
      </x:c>
      <x:c r="K2745" s="37" t="str">
        <x:v>271.14</x:v>
      </x:c>
      <x:c r="L2745" s="37" t="str">
        <x:v>1055</x:v>
      </x:c>
      <x:c r="M2745" s="29" t="str">
        <x:v>728.44</x:v>
      </x:c>
      <x:c r="N2745" s="29" t="str">
        <x:v>620.00</x:v>
      </x:c>
      <x:c r="O2745" s="29" t="str">
        <x:v>108.44</x:v>
      </x:c>
      <x:c r="P2745" s="18" t="str">
        <x:v>2026-06-22</x:v>
      </x:c>
      <x:c r="Q2745" s="36" t="n">
        <x:v>46195</x:v>
      </x:c>
    </x:row>
    <x:row r="2746">
      <x:c r="A2746" s="36" t="str">
        <x:v>2026-06-22</x:v>
      </x:c>
      <x:c r="B2746" s="18" t="str">
        <x:v>101437000_83915</x:v>
      </x:c>
      <x:c r="C2746" s="18" t="str">
        <x:v>【沪村小电】长泰西郊别墅充电站</x:v>
      </x:c>
      <x:c r="D2746" s="37" t="str">
        <x:v>2</x:v>
      </x:c>
      <x:c r="E2746" s="37" t="str">
        <x:v>0</x:v>
      </x:c>
      <x:c r="F2746" s="37" t="str">
        <x:v>11</x:v>
      </x:c>
      <x:c r="G2746" s="37" t="str">
        <x:v>290.73</x:v>
      </x:c>
      <x:c r="H2746" s="37" t="str">
        <x:v>0.00</x:v>
      </x:c>
      <x:c r="I2746" s="37" t="str">
        <x:v>194.99</x:v>
      </x:c>
      <x:c r="J2746" s="37" t="str">
        <x:v>0.00</x:v>
      </x:c>
      <x:c r="K2746" s="37" t="str">
        <x:v>95.74</x:v>
      </x:c>
      <x:c r="L2746" s="37" t="str">
        <x:v>423</x:v>
      </x:c>
      <x:c r="M2746" s="29" t="str">
        <x:v>248.47</x:v>
      </x:c>
      <x:c r="N2746" s="29" t="str">
        <x:v>180.68</x:v>
      </x:c>
      <x:c r="O2746" s="29" t="str">
        <x:v>67.79</x:v>
      </x:c>
      <x:c r="P2746" s="18" t="str">
        <x:v>2026-06-22</x:v>
      </x:c>
      <x:c r="Q2746" s="36" t="n">
        <x:v>46195</x:v>
      </x:c>
    </x:row>
    <x:row r="2747">
      <x:c r="A2747" s="36" t="str">
        <x:v>2026-06-22</x:v>
      </x:c>
      <x:c r="B2747" s="18" t="str">
        <x:v>101437000_83917</x:v>
      </x:c>
      <x:c r="C2747" s="18" t="str">
        <x:v>【沪村小电】旭新华庭充电站</x:v>
      </x:c>
      <x:c r="D2747" s="37" t="str">
        <x:v>4</x:v>
      </x:c>
      <x:c r="E2747" s="37" t="str">
        <x:v>0</x:v>
      </x:c>
      <x:c r="F2747" s="37" t="str">
        <x:v>24</x:v>
      </x:c>
      <x:c r="G2747" s="37" t="str">
        <x:v>583.52</x:v>
      </x:c>
      <x:c r="H2747" s="37" t="str">
        <x:v>0.00</x:v>
      </x:c>
      <x:c r="I2747" s="37" t="str">
        <x:v>231.69</x:v>
      </x:c>
      <x:c r="J2747" s="37" t="str">
        <x:v>0.00</x:v>
      </x:c>
      <x:c r="K2747" s="37" t="str">
        <x:v>351.83</x:v>
      </x:c>
      <x:c r="L2747" s="37" t="str">
        <x:v>976</x:v>
      </x:c>
      <x:c r="M2747" s="29" t="str">
        <x:v>481.28</x:v>
      </x:c>
      <x:c r="N2747" s="29" t="str">
        <x:v>305.16</x:v>
      </x:c>
      <x:c r="O2747" s="29" t="str">
        <x:v>176.12</x:v>
      </x:c>
      <x:c r="P2747" s="18" t="str">
        <x:v>2026-06-22</x:v>
      </x:c>
      <x:c r="Q2747" s="36" t="n">
        <x:v>46195</x:v>
      </x:c>
    </x:row>
    <x:row r="2748">
      <x:c r="A2748" s="36" t="str">
        <x:v>2026-06-22</x:v>
      </x:c>
      <x:c r="B2748" s="18" t="str">
        <x:v>101437000_83919</x:v>
      </x:c>
      <x:c r="C2748" s="18" t="str">
        <x:v>【沪村小电】浦锦名仕嘉园充电站</x:v>
      </x:c>
      <x:c r="D2748" s="37" t="str">
        <x:v>4</x:v>
      </x:c>
      <x:c r="E2748" s="37" t="str">
        <x:v>0</x:v>
      </x:c>
      <x:c r="F2748" s="37" t="str">
        <x:v>39</x:v>
      </x:c>
      <x:c r="G2748" s="37" t="str">
        <x:v>995.53</x:v>
      </x:c>
      <x:c r="H2748" s="37" t="str">
        <x:v>0.00</x:v>
      </x:c>
      <x:c r="I2748" s="37" t="str">
        <x:v>0.00</x:v>
      </x:c>
      <x:c r="J2748" s="37" t="str">
        <x:v>995.53</x:v>
      </x:c>
      <x:c r="K2748" s="37" t="str">
        <x:v>0.00</x:v>
      </x:c>
      <x:c r="L2748" s="37" t="str">
        <x:v>1466</x:v>
      </x:c>
      <x:c r="M2748" s="29" t="str">
        <x:v>929.13</x:v>
      </x:c>
      <x:c r="N2748" s="29" t="str">
        <x:v>637.17</x:v>
      </x:c>
      <x:c r="O2748" s="29" t="str">
        <x:v>291.96</x:v>
      </x:c>
      <x:c r="P2748" s="18" t="str">
        <x:v>2026-06-22</x:v>
      </x:c>
      <x:c r="Q2748" s="36" t="n">
        <x:v>46195</x:v>
      </x:c>
    </x:row>
    <x:row r="2749">
      <x:c r="A2749" s="36" t="str">
        <x:v>2026-06-22</x:v>
      </x:c>
      <x:c r="B2749" s="18" t="str">
        <x:v>101437000_83923</x:v>
      </x:c>
      <x:c r="C2749" s="18" t="str">
        <x:v>【沪村小电】明珠新苑充电站</x:v>
      </x:c>
      <x:c r="D2749" s="37" t="str">
        <x:v>2</x:v>
      </x:c>
      <x:c r="E2749" s="37" t="str">
        <x:v>0</x:v>
      </x:c>
      <x:c r="F2749" s="37" t="str">
        <x:v>24</x:v>
      </x:c>
      <x:c r="G2749" s="37" t="str">
        <x:v>588.09</x:v>
      </x:c>
      <x:c r="H2749" s="37" t="str">
        <x:v>0.00</x:v>
      </x:c>
      <x:c r="I2749" s="37" t="str">
        <x:v>276.83</x:v>
      </x:c>
      <x:c r="J2749" s="37" t="str">
        <x:v>0.00</x:v>
      </x:c>
      <x:c r="K2749" s="37" t="str">
        <x:v>311.26</x:v>
      </x:c>
      <x:c r="L2749" s="37" t="str">
        <x:v>814</x:v>
      </x:c>
      <x:c r="M2749" s="29" t="str">
        <x:v>505.04</x:v>
      </x:c>
      <x:c r="N2749" s="29" t="str">
        <x:v>323.11</x:v>
      </x:c>
      <x:c r="O2749" s="29" t="str">
        <x:v>181.93</x:v>
      </x:c>
      <x:c r="P2749" s="18" t="str">
        <x:v>2026-06-22</x:v>
      </x:c>
      <x:c r="Q2749" s="36" t="n">
        <x:v>46195</x:v>
      </x:c>
    </x:row>
    <x:row r="2750">
      <x:c r="A2750" s="36" t="str">
        <x:v>2026-06-22</x:v>
      </x:c>
      <x:c r="B2750" s="18" t="str">
        <x:v>101437000_84289</x:v>
      </x:c>
      <x:c r="C2750" s="18" t="str">
        <x:v>【沪村小电】铁建芳华苑充电站</x:v>
      </x:c>
      <x:c r="D2750" s="37" t="str">
        <x:v>4</x:v>
      </x:c>
      <x:c r="E2750" s="37" t="str">
        <x:v>0</x:v>
      </x:c>
      <x:c r="F2750" s="37" t="str">
        <x:v>25</x:v>
      </x:c>
      <x:c r="G2750" s="37" t="str">
        <x:v>638.47</x:v>
      </x:c>
      <x:c r="H2750" s="37" t="str">
        <x:v>0.00</x:v>
      </x:c>
      <x:c r="I2750" s="37" t="str">
        <x:v>292.89</x:v>
      </x:c>
      <x:c r="J2750" s="37" t="str">
        <x:v>0.00</x:v>
      </x:c>
      <x:c r="K2750" s="37" t="str">
        <x:v>345.59</x:v>
      </x:c>
      <x:c r="L2750" s="37" t="str">
        <x:v>1127</x:v>
      </x:c>
      <x:c r="M2750" s="29" t="str">
        <x:v>508.18</x:v>
      </x:c>
      <x:c r="N2750" s="29" t="str">
        <x:v>348.10</x:v>
      </x:c>
      <x:c r="O2750" s="29" t="str">
        <x:v>160.08</x:v>
      </x:c>
      <x:c r="P2750" s="18" t="str">
        <x:v>2026-06-22</x:v>
      </x:c>
      <x:c r="Q2750" s="36" t="n">
        <x:v>46195</x:v>
      </x:c>
    </x:row>
    <x:row r="2751">
      <x:c r="A2751" s="36" t="str">
        <x:v>2026-06-22</x:v>
      </x:c>
      <x:c r="B2751" s="18" t="str">
        <x:v>101437000_86379</x:v>
      </x:c>
      <x:c r="C2751" s="18" t="str">
        <x:v>【沪村小电】新宝社区充电站</x:v>
      </x:c>
      <x:c r="D2751" s="37" t="str">
        <x:v>4</x:v>
      </x:c>
      <x:c r="E2751" s="37" t="str">
        <x:v>0</x:v>
      </x:c>
      <x:c r="F2751" s="37" t="str">
        <x:v>11</x:v>
      </x:c>
      <x:c r="G2751" s="37" t="str">
        <x:v>316.36</x:v>
      </x:c>
      <x:c r="H2751" s="37" t="str">
        <x:v>0.00</x:v>
      </x:c>
      <x:c r="I2751" s="37" t="str">
        <x:v>200.25</x:v>
      </x:c>
      <x:c r="J2751" s="37" t="str">
        <x:v>0.00</x:v>
      </x:c>
      <x:c r="K2751" s="37" t="str">
        <x:v>116.11</x:v>
      </x:c>
      <x:c r="L2751" s="37" t="str">
        <x:v>475</x:v>
      </x:c>
      <x:c r="M2751" s="29" t="str">
        <x:v>269.86</x:v>
      </x:c>
      <x:c r="N2751" s="29" t="str">
        <x:v>192.31</x:v>
      </x:c>
      <x:c r="O2751" s="29" t="str">
        <x:v>77.55</x:v>
      </x:c>
      <x:c r="P2751" s="18" t="str">
        <x:v>2026-06-22</x:v>
      </x:c>
      <x:c r="Q2751" s="36" t="n">
        <x:v>46195</x:v>
      </x:c>
    </x:row>
    <x:row r="2752">
      <x:c r="A2752" s="36" t="str">
        <x:v>2026-06-22</x:v>
      </x:c>
      <x:c r="B2752" s="18" t="str">
        <x:v>101437000_89441</x:v>
      </x:c>
      <x:c r="C2752" s="18" t="str">
        <x:v>【沪村小电】首创禧瑞云启西区充电站</x:v>
      </x:c>
      <x:c r="D2752" s="37" t="str">
        <x:v>2</x:v>
      </x:c>
      <x:c r="E2752" s="37" t="str">
        <x:v>0</x:v>
      </x:c>
      <x:c r="F2752" s="37" t="str">
        <x:v>42</x:v>
      </x:c>
      <x:c r="G2752" s="37" t="str">
        <x:v>1198.15</x:v>
      </x:c>
      <x:c r="H2752" s="37" t="str">
        <x:v>0.00</x:v>
      </x:c>
      <x:c r="I2752" s="37" t="str">
        <x:v>922.47</x:v>
      </x:c>
      <x:c r="J2752" s="37" t="str">
        <x:v>0.00</x:v>
      </x:c>
      <x:c r="K2752" s="37" t="str">
        <x:v>275.68</x:v>
      </x:c>
      <x:c r="L2752" s="37" t="str">
        <x:v>1650</x:v>
      </x:c>
      <x:c r="M2752" s="29" t="str">
        <x:v>1029.21</x:v>
      </x:c>
      <x:c r="N2752" s="29" t="str">
        <x:v>735.76</x:v>
      </x:c>
      <x:c r="O2752" s="29" t="str">
        <x:v>293.45</x:v>
      </x:c>
      <x:c r="P2752" s="18" t="str">
        <x:v>2026-06-22</x:v>
      </x:c>
      <x:c r="Q2752" s="36" t="n">
        <x:v>46195</x:v>
      </x:c>
    </x:row>
    <x:row r="2753">
      <x:c r="A2753" s="36" t="str">
        <x:v>2026-06-22</x:v>
      </x:c>
      <x:c r="B2753" s="18" t="str">
        <x:v>101437000_89443</x:v>
      </x:c>
      <x:c r="C2753" s="18" t="str">
        <x:v>【沪村小电】玉兰清苑二期充电站</x:v>
      </x:c>
      <x:c r="D2753" s="37" t="str">
        <x:v>2</x:v>
      </x:c>
      <x:c r="E2753" s="37" t="str">
        <x:v>0</x:v>
      </x:c>
      <x:c r="F2753" s="37" t="str">
        <x:v>26</x:v>
      </x:c>
      <x:c r="G2753" s="37" t="str">
        <x:v>549.22</x:v>
      </x:c>
      <x:c r="H2753" s="37" t="str">
        <x:v>0.00</x:v>
      </x:c>
      <x:c r="I2753" s="37" t="str">
        <x:v>391.63</x:v>
      </x:c>
      <x:c r="J2753" s="37" t="str">
        <x:v>0.00</x:v>
      </x:c>
      <x:c r="K2753" s="37" t="str">
        <x:v>157.59</x:v>
      </x:c>
      <x:c r="L2753" s="37" t="str">
        <x:v>901</x:v>
      </x:c>
      <x:c r="M2753" s="29" t="str">
        <x:v>460.96</x:v>
      </x:c>
      <x:c r="N2753" s="29" t="str">
        <x:v>349.68</x:v>
      </x:c>
      <x:c r="O2753" s="29" t="str">
        <x:v>111.28</x:v>
      </x:c>
      <x:c r="P2753" s="18" t="str">
        <x:v>2026-06-22</x:v>
      </x:c>
      <x:c r="Q2753" s="36" t="n">
        <x:v>46195</x:v>
      </x:c>
    </x:row>
    <x:row r="2754">
      <x:c r="A2754" s="36" t="str">
        <x:v>2026-06-22</x:v>
      </x:c>
      <x:c r="B2754" s="18" t="str">
        <x:v>101437000_93115</x:v>
      </x:c>
      <x:c r="C2754" s="18" t="str">
        <x:v>【沪村小电】新南家园西北门</x:v>
      </x:c>
      <x:c r="D2754" s="37" t="str">
        <x:v>2</x:v>
      </x:c>
      <x:c r="E2754" s="37" t="str">
        <x:v>0</x:v>
      </x:c>
      <x:c r="F2754" s="37" t="str">
        <x:v>22</x:v>
      </x:c>
      <x:c r="G2754" s="37" t="str">
        <x:v>557.16</x:v>
      </x:c>
      <x:c r="H2754" s="37" t="str">
        <x:v>0.00</x:v>
      </x:c>
      <x:c r="I2754" s="37" t="str">
        <x:v>330.06</x:v>
      </x:c>
      <x:c r="J2754" s="37" t="str">
        <x:v>0.00</x:v>
      </x:c>
      <x:c r="K2754" s="37" t="str">
        <x:v>227.10</x:v>
      </x:c>
      <x:c r="L2754" s="37" t="str">
        <x:v>951</x:v>
      </x:c>
      <x:c r="M2754" s="29" t="str">
        <x:v>473.41</x:v>
      </x:c>
      <x:c r="N2754" s="29" t="str">
        <x:v>309.48</x:v>
      </x:c>
      <x:c r="O2754" s="29" t="str">
        <x:v>163.93</x:v>
      </x:c>
      <x:c r="P2754" s="18" t="str">
        <x:v>2026-06-22</x:v>
      </x:c>
      <x:c r="Q2754" s="36" t="n">
        <x:v>46195</x:v>
      </x:c>
    </x:row>
    <x:row r="2755">
      <x:c r="A2755" s="36" t="str">
        <x:v>2026-06-22</x:v>
      </x:c>
      <x:c r="B2755" s="18" t="str">
        <x:v>101437000_94649</x:v>
      </x:c>
      <x:c r="C2755" s="18" t="str">
        <x:v>【沪村小电】浪琴水岸花园</x:v>
      </x:c>
      <x:c r="D2755" s="37" t="str">
        <x:v>4</x:v>
      </x:c>
      <x:c r="E2755" s="37" t="str">
        <x:v>0</x:v>
      </x:c>
      <x:c r="F2755" s="37" t="str">
        <x:v>24</x:v>
      </x:c>
      <x:c r="G2755" s="37" t="str">
        <x:v>480.26</x:v>
      </x:c>
      <x:c r="H2755" s="37" t="str">
        <x:v>0.00</x:v>
      </x:c>
      <x:c r="I2755" s="37" t="str">
        <x:v>176.67</x:v>
      </x:c>
      <x:c r="J2755" s="37" t="str">
        <x:v>0.00</x:v>
      </x:c>
      <x:c r="K2755" s="37" t="str">
        <x:v>303.59</x:v>
      </x:c>
      <x:c r="L2755" s="37" t="str">
        <x:v>824</x:v>
      </x:c>
      <x:c r="M2755" s="29" t="str">
        <x:v>336.67</x:v>
      </x:c>
      <x:c r="N2755" s="29" t="str">
        <x:v>231.19</x:v>
      </x:c>
      <x:c r="O2755" s="29" t="str">
        <x:v>105.48</x:v>
      </x:c>
      <x:c r="P2755" s="18" t="str">
        <x:v>2026-06-22</x:v>
      </x:c>
      <x:c r="Q2755" s="36" t="n">
        <x:v>46195</x:v>
      </x:c>
    </x:row>
    <x:row r="2756">
      <x:c r="A2756" s="36" t="str">
        <x:v>2026-06-22</x:v>
      </x:c>
      <x:c r="B2756" s="18" t="str">
        <x:v>101437000_95077</x:v>
      </x:c>
      <x:c r="C2756" s="18" t="str">
        <x:v>【沪村小电】民乐城惠益绿苑255弄充电站</x:v>
      </x:c>
      <x:c r="D2756" s="37" t="str">
        <x:v>2</x:v>
      </x:c>
      <x:c r="E2756" s="37" t="str">
        <x:v>0</x:v>
      </x:c>
      <x:c r="F2756" s="37" t="str">
        <x:v>5</x:v>
      </x:c>
      <x:c r="G2756" s="37" t="str">
        <x:v>115.50</x:v>
      </x:c>
      <x:c r="H2756" s="37" t="str">
        <x:v>0.00</x:v>
      </x:c>
      <x:c r="I2756" s="37" t="str">
        <x:v>115.50</x:v>
      </x:c>
      <x:c r="J2756" s="37" t="str">
        <x:v>0.00</x:v>
      </x:c>
      <x:c r="K2756" s="37" t="str">
        <x:v>0.00</x:v>
      </x:c>
      <x:c r="L2756" s="37" t="str">
        <x:v>176</x:v>
      </x:c>
      <x:c r="M2756" s="29" t="str">
        <x:v>124.23</x:v>
      </x:c>
      <x:c r="N2756" s="29" t="str">
        <x:v>85.47</x:v>
      </x:c>
      <x:c r="O2756" s="29" t="str">
        <x:v>38.76</x:v>
      </x:c>
      <x:c r="P2756" s="18" t="str">
        <x:v>2026-06-22</x:v>
      </x:c>
      <x:c r="Q2756" s="36" t="n">
        <x:v>46195</x:v>
      </x:c>
    </x:row>
    <x:row r="2757">
      <x:c r="A2757" s="36" t="str">
        <x:v>2026-06-22</x:v>
      </x:c>
      <x:c r="B2757" s="18" t="str">
        <x:v>101437000_95079</x:v>
      </x:c>
      <x:c r="C2757" s="18" t="str">
        <x:v>【沪村小电】民乐城惠益绿苑东苑充电站</x:v>
      </x:c>
      <x:c r="D2757" s="37" t="str">
        <x:v>2</x:v>
      </x:c>
      <x:c r="E2757" s="37" t="str">
        <x:v>0</x:v>
      </x:c>
      <x:c r="F2757" s="37" t="str">
        <x:v>8</x:v>
      </x:c>
      <x:c r="G2757" s="37" t="str">
        <x:v>183.57</x:v>
      </x:c>
      <x:c r="H2757" s="37" t="str">
        <x:v>0.00</x:v>
      </x:c>
      <x:c r="I2757" s="37" t="str">
        <x:v>155.32</x:v>
      </x:c>
      <x:c r="J2757" s="37" t="str">
        <x:v>0.00</x:v>
      </x:c>
      <x:c r="K2757" s="37" t="str">
        <x:v>28.25</x:v>
      </x:c>
      <x:c r="L2757" s="37" t="str">
        <x:v>236</x:v>
      </x:c>
      <x:c r="M2757" s="29" t="str">
        <x:v>164.17</x:v>
      </x:c>
      <x:c r="N2757" s="29" t="str">
        <x:v>117.35</x:v>
      </x:c>
      <x:c r="O2757" s="29" t="str">
        <x:v>46.82</x:v>
      </x:c>
      <x:c r="P2757" s="18" t="str">
        <x:v>2026-06-22</x:v>
      </x:c>
      <x:c r="Q2757" s="36" t="n">
        <x:v>46195</x:v>
      </x:c>
    </x:row>
    <x:row r="2758">
      <x:c r="A2758" s="36" t="str">
        <x:v>2026-06-22</x:v>
      </x:c>
      <x:c r="B2758" s="18" t="str">
        <x:v>101437000_95081</x:v>
      </x:c>
      <x:c r="C2758" s="18" t="str">
        <x:v>【沪村小电】民乐城惠益绿苑西苑充电站</x:v>
      </x:c>
      <x:c r="D2758" s="37" t="str">
        <x:v>2</x:v>
      </x:c>
      <x:c r="E2758" s="37" t="str">
        <x:v>0</x:v>
      </x:c>
      <x:c r="F2758" s="37" t="str">
        <x:v>3</x:v>
      </x:c>
      <x:c r="G2758" s="37" t="str">
        <x:v>50.81</x:v>
      </x:c>
      <x:c r="H2758" s="37" t="str">
        <x:v>0.00</x:v>
      </x:c>
      <x:c r="I2758" s="37" t="str">
        <x:v>50.81</x:v>
      </x:c>
      <x:c r="J2758" s="37" t="str">
        <x:v>0.00</x:v>
      </x:c>
      <x:c r="K2758" s="37" t="str">
        <x:v>0.00</x:v>
      </x:c>
      <x:c r="L2758" s="37" t="str">
        <x:v>70</x:v>
      </x:c>
      <x:c r="M2758" s="29" t="str">
        <x:v>52.13</x:v>
      </x:c>
      <x:c r="N2758" s="29" t="str">
        <x:v>35.06</x:v>
      </x:c>
      <x:c r="O2758" s="29" t="str">
        <x:v>17.07</x:v>
      </x:c>
      <x:c r="P2758" s="18" t="str">
        <x:v>2026-06-22</x:v>
      </x:c>
      <x:c r="Q2758" s="36" t="n">
        <x:v>46195</x:v>
      </x:c>
    </x:row>
    <x:row r="2759">
      <x:c r="A2759" s="36" t="str">
        <x:v>2026-06-22</x:v>
      </x:c>
      <x:c r="B2759" s="18" t="str">
        <x:v>101437000_95091</x:v>
      </x:c>
      <x:c r="C2759" s="18" t="str">
        <x:v>【沪村小电】金悦学府2号站</x:v>
      </x:c>
      <x:c r="D2759" s="37" t="str">
        <x:v>2</x:v>
      </x:c>
      <x:c r="E2759" s="37" t="str">
        <x:v>0</x:v>
      </x:c>
      <x:c r="F2759" s="37" t="str">
        <x:v>17</x:v>
      </x:c>
      <x:c r="G2759" s="37" t="str">
        <x:v>487.36</x:v>
      </x:c>
      <x:c r="H2759" s="37" t="str">
        <x:v>0.00</x:v>
      </x:c>
      <x:c r="I2759" s="37" t="str">
        <x:v>0.00</x:v>
      </x:c>
      <x:c r="J2759" s="37" t="str">
        <x:v>487.36</x:v>
      </x:c>
      <x:c r="K2759" s="37" t="str">
        <x:v>0.00</x:v>
      </x:c>
      <x:c r="L2759" s="37" t="str">
        <x:v>649</x:v>
      </x:c>
      <x:c r="M2759" s="29" t="str">
        <x:v>384.98</x:v>
      </x:c>
      <x:c r="N2759" s="29" t="str">
        <x:v>272.91</x:v>
      </x:c>
      <x:c r="O2759" s="29" t="str">
        <x:v>112.07</x:v>
      </x:c>
      <x:c r="P2759" s="18" t="str">
        <x:v>2026-06-22</x:v>
      </x:c>
      <x:c r="Q2759" s="36" t="n">
        <x:v>46195</x:v>
      </x:c>
    </x:row>
    <x:row r="2760">
      <x:c r="A2760" s="36" t="str">
        <x:v>2026-06-22</x:v>
      </x:c>
      <x:c r="B2760" s="18" t="str">
        <x:v>101437000_95941</x:v>
      </x:c>
      <x:c r="C2760" s="18" t="str">
        <x:v>【沪村小电】惠诚雅苑</x:v>
      </x:c>
      <x:c r="D2760" s="37" t="str">
        <x:v>4</x:v>
      </x:c>
      <x:c r="E2760" s="37" t="str">
        <x:v>0</x:v>
      </x:c>
      <x:c r="F2760" s="37" t="str">
        <x:v>13</x:v>
      </x:c>
      <x:c r="G2760" s="37" t="str">
        <x:v>360.16</x:v>
      </x:c>
      <x:c r="H2760" s="37" t="str">
        <x:v>0.00</x:v>
      </x:c>
      <x:c r="I2760" s="37" t="str">
        <x:v>258.95</x:v>
      </x:c>
      <x:c r="J2760" s="37" t="str">
        <x:v>0.00</x:v>
      </x:c>
      <x:c r="K2760" s="37" t="str">
        <x:v>101.21</x:v>
      </x:c>
      <x:c r="L2760" s="37" t="str">
        <x:v>501</x:v>
      </x:c>
      <x:c r="M2760" s="29" t="str">
        <x:v>269.79</x:v>
      </x:c>
      <x:c r="N2760" s="29" t="str">
        <x:v>184.15</x:v>
      </x:c>
      <x:c r="O2760" s="29" t="str">
        <x:v>85.64</x:v>
      </x:c>
      <x:c r="P2760" s="18" t="str">
        <x:v>2026-06-22</x:v>
      </x:c>
      <x:c r="Q2760" s="36" t="n">
        <x:v>46195</x:v>
      </x:c>
    </x:row>
    <x:row r="2761">
      <x:c r="A2761" s="36" t="str">
        <x:v>2026-06-22</x:v>
      </x:c>
      <x:c r="B2761" s="18" t="str">
        <x:v>101437000_96401</x:v>
      </x:c>
      <x:c r="C2761" s="18" t="str">
        <x:v>【沪村小电】上海联怡枇杷乐园地面站</x:v>
      </x:c>
      <x:c r="D2761" s="37" t="str">
        <x:v>2</x:v>
      </x:c>
      <x:c r="E2761" s="37" t="str">
        <x:v>0</x:v>
      </x:c>
      <x:c r="F2761" s="37" t="str">
        <x:v>9</x:v>
      </x:c>
      <x:c r="G2761" s="37" t="str">
        <x:v>197.92</x:v>
      </x:c>
      <x:c r="H2761" s="37" t="str">
        <x:v>0.00</x:v>
      </x:c>
      <x:c r="I2761" s="37" t="str">
        <x:v>92.11</x:v>
      </x:c>
      <x:c r="J2761" s="37" t="str">
        <x:v>0.00</x:v>
      </x:c>
      <x:c r="K2761" s="37" t="str">
        <x:v>105.81</x:v>
      </x:c>
      <x:c r="L2761" s="37" t="str">
        <x:v>338</x:v>
      </x:c>
      <x:c r="M2761" s="29" t="str">
        <x:v>168.69</x:v>
      </x:c>
      <x:c r="N2761" s="29" t="str">
        <x:v>151.89</x:v>
      </x:c>
      <x:c r="O2761" s="29" t="str">
        <x:v>16.80</x:v>
      </x:c>
      <x:c r="P2761" s="18" t="str">
        <x:v>2026-06-22</x:v>
      </x:c>
      <x:c r="Q2761" s="36" t="n">
        <x:v>46195</x:v>
      </x:c>
    </x:row>
    <x:row r="2762">
      <x:c r="A2762" s="36" t="str">
        <x:v>2026-06-22</x:v>
      </x:c>
      <x:c r="B2762" s="18" t="str">
        <x:v>101437000_97421</x:v>
      </x:c>
      <x:c r="C2762" s="18" t="str">
        <x:v>【沪村小电】玉兰清苑二期（小区外）充电站</x:v>
      </x:c>
      <x:c r="D2762" s="37" t="str">
        <x:v>4</x:v>
      </x:c>
      <x:c r="E2762" s="37" t="str">
        <x:v>0</x:v>
      </x:c>
      <x:c r="F2762" s="37" t="str">
        <x:v>29</x:v>
      </x:c>
      <x:c r="G2762" s="37" t="str">
        <x:v>633.63</x:v>
      </x:c>
      <x:c r="H2762" s="37" t="str">
        <x:v>0.00</x:v>
      </x:c>
      <x:c r="I2762" s="37" t="str">
        <x:v>502.94</x:v>
      </x:c>
      <x:c r="J2762" s="37" t="str">
        <x:v>0.00</x:v>
      </x:c>
      <x:c r="K2762" s="37" t="str">
        <x:v>130.69</x:v>
      </x:c>
      <x:c r="L2762" s="37" t="str">
        <x:v>1116</x:v>
      </x:c>
      <x:c r="M2762" s="29" t="str">
        <x:v>556.48</x:v>
      </x:c>
      <x:c r="N2762" s="29" t="str">
        <x:v>421.82</x:v>
      </x:c>
      <x:c r="O2762" s="29" t="str">
        <x:v>134.66</x:v>
      </x:c>
      <x:c r="P2762" s="18" t="str">
        <x:v>2026-06-22</x:v>
      </x:c>
      <x:c r="Q2762" s="36" t="n">
        <x:v>46195</x:v>
      </x:c>
    </x:row>
    <x:row r="2763">
      <x:c r="A2763" s="36" t="str">
        <x:v>2026-06-22</x:v>
      </x:c>
      <x:c r="B2763" s="18" t="str">
        <x:v>101437000_98013</x:v>
      </x:c>
      <x:c r="C2763" s="18" t="str">
        <x:v>【沪村小电】恒大滨江华府充电站</x:v>
      </x:c>
      <x:c r="D2763" s="37" t="str">
        <x:v>4</x:v>
      </x:c>
      <x:c r="E2763" s="37" t="str">
        <x:v>0</x:v>
      </x:c>
      <x:c r="F2763" s="37" t="str">
        <x:v>6</x:v>
      </x:c>
      <x:c r="G2763" s="37" t="str">
        <x:v>120.56</x:v>
      </x:c>
      <x:c r="H2763" s="37" t="str">
        <x:v>0.00</x:v>
      </x:c>
      <x:c r="I2763" s="37" t="str">
        <x:v>85.54</x:v>
      </x:c>
      <x:c r="J2763" s="37" t="str">
        <x:v>0.00</x:v>
      </x:c>
      <x:c r="K2763" s="37" t="str">
        <x:v>35.02</x:v>
      </x:c>
      <x:c r="L2763" s="37" t="str">
        <x:v>175</x:v>
      </x:c>
      <x:c r="M2763" s="29" t="str">
        <x:v>134.98</x:v>
      </x:c>
      <x:c r="N2763" s="29" t="str">
        <x:v>107.51</x:v>
      </x:c>
      <x:c r="O2763" s="29" t="str">
        <x:v>27.47</x:v>
      </x:c>
      <x:c r="P2763" s="18" t="str">
        <x:v>2026-06-22</x:v>
      </x:c>
      <x:c r="Q2763" s="36" t="n">
        <x:v>46195</x:v>
      </x:c>
    </x:row>
    <x:row r="2764">
      <x:c r="A2764" s="36" t="str">
        <x:v>2026-06-22</x:v>
      </x:c>
      <x:c r="B2764" s="18" t="str">
        <x:v>101437000_98863</x:v>
      </x:c>
      <x:c r="C2764" s="18" t="str">
        <x:v>【沪村小电】欣菊苑充电站</x:v>
      </x:c>
      <x:c r="D2764" s="37" t="str">
        <x:v>4</x:v>
      </x:c>
      <x:c r="E2764" s="37" t="str">
        <x:v>0</x:v>
      </x:c>
      <x:c r="F2764" s="37" t="str">
        <x:v>8</x:v>
      </x:c>
      <x:c r="G2764" s="37" t="str">
        <x:v>132.18</x:v>
      </x:c>
      <x:c r="H2764" s="37" t="str">
        <x:v>0.00</x:v>
      </x:c>
      <x:c r="I2764" s="37" t="str">
        <x:v>111.41</x:v>
      </x:c>
      <x:c r="J2764" s="37" t="str">
        <x:v>0.00</x:v>
      </x:c>
      <x:c r="K2764" s="37" t="str">
        <x:v>20.76</x:v>
      </x:c>
      <x:c r="L2764" s="37" t="str">
        <x:v>198</x:v>
      </x:c>
      <x:c r="M2764" s="29" t="str">
        <x:v>116.56</x:v>
      </x:c>
      <x:c r="N2764" s="29" t="str">
        <x:v>90.35</x:v>
      </x:c>
      <x:c r="O2764" s="29" t="str">
        <x:v>26.21</x:v>
      </x:c>
      <x:c r="P2764" s="18" t="str">
        <x:v>2026-06-22</x:v>
      </x:c>
      <x:c r="Q2764" s="36" t="n">
        <x:v>46195</x:v>
      </x:c>
    </x:row>
    <x:row r="2765">
      <x:c r="A2765" s="36" t="str">
        <x:v>2026-06-22</x:v>
      </x:c>
      <x:c r="B2765" s="18" t="str">
        <x:v>101437000_98865</x:v>
      </x:c>
      <x:c r="C2765" s="18" t="str">
        <x:v>【沪村小电】欣松苑充电站</x:v>
      </x:c>
      <x:c r="D2765" s="37" t="str">
        <x:v>4</x:v>
      </x:c>
      <x:c r="E2765" s="37" t="str">
        <x:v>0</x:v>
      </x:c>
      <x:c r="F2765" s="37" t="str">
        <x:v>3</x:v>
      </x:c>
      <x:c r="G2765" s="37" t="str">
        <x:v>51.84</x:v>
      </x:c>
      <x:c r="H2765" s="37" t="str">
        <x:v>0.00</x:v>
      </x:c>
      <x:c r="I2765" s="37" t="str">
        <x:v>26.40</x:v>
      </x:c>
      <x:c r="J2765" s="37" t="str">
        <x:v>0.00</x:v>
      </x:c>
      <x:c r="K2765" s="37" t="str">
        <x:v>25.44</x:v>
      </x:c>
      <x:c r="L2765" s="37" t="str">
        <x:v>93</x:v>
      </x:c>
      <x:c r="M2765" s="29" t="str">
        <x:v>37.45</x:v>
      </x:c>
      <x:c r="N2765" s="29" t="str">
        <x:v>29.21</x:v>
      </x:c>
      <x:c r="O2765" s="29" t="str">
        <x:v>8.24</x:v>
      </x:c>
      <x:c r="P2765" s="18" t="str">
        <x:v>2026-06-22</x:v>
      </x:c>
      <x:c r="Q2765" s="36" t="n">
        <x:v>46195</x:v>
      </x:c>
    </x:row>
    <x:row r="2766">
      <x:c r="A2766" s="36" t="str">
        <x:v>2026-06-22</x:v>
      </x:c>
      <x:c r="B2766" s="18" t="str">
        <x:v>101437000_98867</x:v>
      </x:c>
      <x:c r="C2766" s="18" t="str">
        <x:v>【沪村小电】欣荷苑充电站</x:v>
      </x:c>
      <x:c r="D2766" s="37" t="str">
        <x:v>4</x:v>
      </x:c>
      <x:c r="E2766" s="37" t="str">
        <x:v>0</x:v>
      </x:c>
      <x:c r="F2766" s="37" t="str">
        <x:v>5</x:v>
      </x:c>
      <x:c r="G2766" s="37" t="str">
        <x:v>142.74</x:v>
      </x:c>
      <x:c r="H2766" s="37" t="str">
        <x:v>0.00</x:v>
      </x:c>
      <x:c r="I2766" s="37" t="str">
        <x:v>55.41</x:v>
      </x:c>
      <x:c r="J2766" s="37" t="str">
        <x:v>0.00</x:v>
      </x:c>
      <x:c r="K2766" s="37" t="str">
        <x:v>87.32</x:v>
      </x:c>
      <x:c r="L2766" s="37" t="str">
        <x:v>239</x:v>
      </x:c>
      <x:c r="M2766" s="29" t="str">
        <x:v>99.21</x:v>
      </x:c>
      <x:c r="N2766" s="29" t="str">
        <x:v>74.19</x:v>
      </x:c>
      <x:c r="O2766" s="29" t="str">
        <x:v>25.02</x:v>
      </x:c>
      <x:c r="P2766" s="18" t="str">
        <x:v>2026-06-22</x:v>
      </x:c>
      <x:c r="Q2766" s="36" t="n">
        <x:v>46195</x:v>
      </x:c>
    </x:row>
    <x:row r="2767">
      <x:c r="A2767" s="36" t="str">
        <x:v>2026-06-22</x:v>
      </x:c>
      <x:c r="B2767" s="18" t="str">
        <x:v>101437000_99885</x:v>
      </x:c>
      <x:c r="C2767" s="18" t="str">
        <x:v>【沪村小电】汇丰馨苑充电站</x:v>
      </x:c>
      <x:c r="D2767" s="37" t="str">
        <x:v>4</x:v>
      </x:c>
      <x:c r="E2767" s="37" t="str">
        <x:v>0</x:v>
      </x:c>
      <x:c r="F2767" s="37" t="str">
        <x:v>11</x:v>
      </x:c>
      <x:c r="G2767" s="37" t="str">
        <x:v>186.36</x:v>
      </x:c>
      <x:c r="H2767" s="37" t="str">
        <x:v>0.00</x:v>
      </x:c>
      <x:c r="I2767" s="37" t="str">
        <x:v>12.80</x:v>
      </x:c>
      <x:c r="J2767" s="37" t="str">
        <x:v>142.59</x:v>
      </x:c>
      <x:c r="K2767" s="37" t="str">
        <x:v>30.97</x:v>
      </x:c>
      <x:c r="L2767" s="37" t="str">
        <x:v>323</x:v>
      </x:c>
      <x:c r="M2767" s="29" t="str">
        <x:v>183.02</x:v>
      </x:c>
      <x:c r="N2767" s="29" t="str">
        <x:v>127.46</x:v>
      </x:c>
      <x:c r="O2767" s="29" t="str">
        <x:v>55.56</x:v>
      </x:c>
      <x:c r="P2767" s="18" t="str">
        <x:v>2026-06-22</x:v>
      </x:c>
      <x:c r="Q2767" s="36" t="n">
        <x:v>46195</x:v>
      </x:c>
    </x:row>
    <x:row r="2768">
      <x:c r="A2768" s="36" t="str">
        <x:v>2026-06-22</x:v>
      </x:c>
      <x:c r="B2768" s="18" t="str">
        <x:v>101437000_99887</x:v>
      </x:c>
      <x:c r="C2768" s="18" t="str">
        <x:v>【沪村小电】新南村河南小区充电站</x:v>
      </x:c>
      <x:c r="D2768" s="37" t="str">
        <x:v>2</x:v>
      </x:c>
      <x:c r="E2768" s="37" t="str">
        <x:v>0</x:v>
      </x:c>
      <x:c r="F2768" s="37" t="str">
        <x:v>3</x:v>
      </x:c>
      <x:c r="G2768" s="37" t="str">
        <x:v>28.06</x:v>
      </x:c>
      <x:c r="H2768" s="37" t="str">
        <x:v>0.00</x:v>
      </x:c>
      <x:c r="I2768" s="37" t="str">
        <x:v>22.81</x:v>
      </x:c>
      <x:c r="J2768" s="37" t="str">
        <x:v>0.00</x:v>
      </x:c>
      <x:c r="K2768" s="37" t="str">
        <x:v>5.25</x:v>
      </x:c>
      <x:c r="L2768" s="37" t="str">
        <x:v>71</x:v>
      </x:c>
      <x:c r="M2768" s="29" t="str">
        <x:v>26.71</x:v>
      </x:c>
      <x:c r="N2768" s="29" t="str">
        <x:v>18.87</x:v>
      </x:c>
      <x:c r="O2768" s="29" t="str">
        <x:v>7.84</x:v>
      </x:c>
      <x:c r="P2768" s="18" t="str">
        <x:v>2026-06-22</x:v>
      </x:c>
      <x:c r="Q2768" s="36" t="n">
        <x:v>46195</x:v>
      </x:c>
    </x:row>
    <x:row r="2769">
      <x:c r="A2769" s="36" t="str">
        <x:v>2026-06-22</x:v>
      </x:c>
      <x:c r="B2769" s="18" t="str">
        <x:v>101437000_99889</x:v>
      </x:c>
      <x:c r="C2769" s="18" t="str">
        <x:v>【沪村小电】漕泾郊野公园</x:v>
      </x:c>
      <x:c r="D2769" s="37" t="str">
        <x:v>2</x:v>
      </x:c>
      <x:c r="E2769" s="37" t="str">
        <x:v>0</x:v>
      </x:c>
      <x:c r="F2769" s="37" t="str">
        <x:v>5</x:v>
      </x:c>
      <x:c r="G2769" s="37" t="str">
        <x:v>64.96</x:v>
      </x:c>
      <x:c r="H2769" s="37" t="str">
        <x:v>0.00</x:v>
      </x:c>
      <x:c r="I2769" s="37" t="str">
        <x:v>55.69</x:v>
      </x:c>
      <x:c r="J2769" s="37" t="str">
        <x:v>9.27</x:v>
      </x:c>
      <x:c r="K2769" s="37" t="str">
        <x:v>0.00</x:v>
      </x:c>
      <x:c r="L2769" s="37" t="str">
        <x:v>108</x:v>
      </x:c>
      <x:c r="M2769" s="29" t="str">
        <x:v>69.87</x:v>
      </x:c>
      <x:c r="N2769" s="29" t="str">
        <x:v>54.47</x:v>
      </x:c>
      <x:c r="O2769" s="29" t="str">
        <x:v>15.40</x:v>
      </x:c>
      <x:c r="P2769" s="18" t="str">
        <x:v>2026-06-22</x:v>
      </x:c>
      <x:c r="Q2769" s="36" t="n">
        <x:v>46195</x:v>
      </x:c>
    </x:row>
    <x:row r="2770">
      <x:c r="A2770" s="36" t="str">
        <x:v>2026-06-21</x:v>
      </x:c>
      <x:c r="B2770" s="18" t="str">
        <x:v>101437000_41561</x:v>
      </x:c>
      <x:c r="C2770" s="18" t="str">
        <x:v>【沪村小电】张施小区大门处快充站</x:v>
      </x:c>
      <x:c r="D2770" s="37" t="str">
        <x:v>2</x:v>
      </x:c>
      <x:c r="E2770" s="37" t="str">
        <x:v>0</x:v>
      </x:c>
      <x:c r="F2770" s="37" t="str">
        <x:v>42</x:v>
      </x:c>
      <x:c r="G2770" s="37" t="str">
        <x:v>1058.68</x:v>
      </x:c>
      <x:c r="H2770" s="37" t="str">
        <x:v>0.00</x:v>
      </x:c>
      <x:c r="I2770" s="37" t="str">
        <x:v>505.12</x:v>
      </x:c>
      <x:c r="J2770" s="37" t="str">
        <x:v>0.00</x:v>
      </x:c>
      <x:c r="K2770" s="37" t="str">
        <x:v>553.56</x:v>
      </x:c>
      <x:c r="L2770" s="37" t="str">
        <x:v>2070</x:v>
      </x:c>
      <x:c r="M2770" s="29" t="str">
        <x:v>803.20</x:v>
      </x:c>
      <x:c r="N2770" s="29" t="str">
        <x:v>584.16</x:v>
      </x:c>
      <x:c r="O2770" s="29" t="str">
        <x:v>219.04</x:v>
      </x:c>
      <x:c r="P2770" s="18" t="str">
        <x:v>2026-06-21</x:v>
      </x:c>
      <x:c r="Q2770" s="36" t="n">
        <x:v>46194</x:v>
      </x:c>
    </x:row>
    <x:row r="2771">
      <x:c r="A2771" s="36" t="str">
        <x:v>2026-06-21</x:v>
      </x:c>
      <x:c r="B2771" s="18" t="str">
        <x:v>101437000_41563</x:v>
      </x:c>
      <x:c r="C2771" s="18" t="str">
        <x:v>【沪村小电】同心村快充站</x:v>
      </x:c>
      <x:c r="D2771" s="37" t="str">
        <x:v>4</x:v>
      </x:c>
      <x:c r="E2771" s="37" t="str">
        <x:v>0</x:v>
      </x:c>
      <x:c r="F2771" s="37" t="str">
        <x:v>55</x:v>
      </x:c>
      <x:c r="G2771" s="37" t="str">
        <x:v>1102.59</x:v>
      </x:c>
      <x:c r="H2771" s="37" t="str">
        <x:v>0.00</x:v>
      </x:c>
      <x:c r="I2771" s="37" t="str">
        <x:v>808.33</x:v>
      </x:c>
      <x:c r="J2771" s="37" t="str">
        <x:v>0.00</x:v>
      </x:c>
      <x:c r="K2771" s="37" t="str">
        <x:v>294.26</x:v>
      </x:c>
      <x:c r="L2771" s="37" t="str">
        <x:v>2697</x:v>
      </x:c>
      <x:c r="M2771" s="29" t="str">
        <x:v>930.40</x:v>
      </x:c>
      <x:c r="N2771" s="29" t="str">
        <x:v>663.71</x:v>
      </x:c>
      <x:c r="O2771" s="29" t="str">
        <x:v>266.69</x:v>
      </x:c>
      <x:c r="P2771" s="18" t="str">
        <x:v>2026-06-21</x:v>
      </x:c>
      <x:c r="Q2771" s="36" t="n">
        <x:v>46194</x:v>
      </x:c>
    </x:row>
    <x:row r="2772">
      <x:c r="A2772" s="36" t="str">
        <x:v>2026-06-21</x:v>
      </x:c>
      <x:c r="B2772" s="18" t="str">
        <x:v>101437000_69629</x:v>
      </x:c>
      <x:c r="C2772" s="18" t="str">
        <x:v>【沪村小电】骏丰玲珑坊西苑充电站</x:v>
      </x:c>
      <x:c r="D2772" s="37" t="str">
        <x:v>2</x:v>
      </x:c>
      <x:c r="E2772" s="37" t="str">
        <x:v>0</x:v>
      </x:c>
      <x:c r="F2772" s="37" t="str">
        <x:v>59</x:v>
      </x:c>
      <x:c r="G2772" s="37" t="str">
        <x:v>1287.30</x:v>
      </x:c>
      <x:c r="H2772" s="37" t="str">
        <x:v>0.00</x:v>
      </x:c>
      <x:c r="I2772" s="37" t="str">
        <x:v>604.91</x:v>
      </x:c>
      <x:c r="J2772" s="37" t="str">
        <x:v>0.00</x:v>
      </x:c>
      <x:c r="K2772" s="37" t="str">
        <x:v>682.39</x:v>
      </x:c>
      <x:c r="L2772" s="37" t="str">
        <x:v>2273</x:v>
      </x:c>
      <x:c r="M2772" s="29" t="str">
        <x:v>978.51</x:v>
      </x:c>
      <x:c r="N2772" s="29" t="str">
        <x:v>706.95</x:v>
      </x:c>
      <x:c r="O2772" s="29" t="str">
        <x:v>271.56</x:v>
      </x:c>
      <x:c r="P2772" s="18" t="str">
        <x:v>2026-06-21</x:v>
      </x:c>
      <x:c r="Q2772" s="36" t="n">
        <x:v>46194</x:v>
      </x:c>
    </x:row>
    <x:row r="2773">
      <x:c r="A2773" s="36" t="str">
        <x:v>2026-06-21</x:v>
      </x:c>
      <x:c r="B2773" s="18" t="str">
        <x:v>101437000_70547</x:v>
      </x:c>
      <x:c r="C2773" s="18" t="str">
        <x:v>【沪村小电】农建村初心馆党群服务中心充电站</x:v>
      </x:c>
      <x:c r="D2773" s="37" t="str">
        <x:v>4</x:v>
      </x:c>
      <x:c r="E2773" s="37" t="str">
        <x:v>0</x:v>
      </x:c>
      <x:c r="F2773" s="37" t="str">
        <x:v>18</x:v>
      </x:c>
      <x:c r="G2773" s="37" t="str">
        <x:v>356.84</x:v>
      </x:c>
      <x:c r="H2773" s="37" t="str">
        <x:v>0.00</x:v>
      </x:c>
      <x:c r="I2773" s="37" t="str">
        <x:v>151.61</x:v>
      </x:c>
      <x:c r="J2773" s="37" t="str">
        <x:v>0.00</x:v>
      </x:c>
      <x:c r="K2773" s="37" t="str">
        <x:v>205.22</x:v>
      </x:c>
      <x:c r="L2773" s="37" t="str">
        <x:v>720</x:v>
      </x:c>
      <x:c r="M2773" s="29" t="str">
        <x:v>315.18</x:v>
      </x:c>
      <x:c r="N2773" s="29" t="str">
        <x:v>266.46</x:v>
      </x:c>
      <x:c r="O2773" s="29" t="str">
        <x:v>48.72</x:v>
      </x:c>
      <x:c r="P2773" s="18" t="str">
        <x:v>2026-06-21</x:v>
      </x:c>
      <x:c r="Q2773" s="36" t="n">
        <x:v>46194</x:v>
      </x:c>
    </x:row>
    <x:row r="2774">
      <x:c r="A2774" s="36" t="str">
        <x:v>2026-06-21</x:v>
      </x:c>
      <x:c r="B2774" s="18" t="str">
        <x:v>101437000_70549</x:v>
      </x:c>
      <x:c r="C2774" s="18" t="str">
        <x:v>【沪村小电】学府路充电站</x:v>
      </x:c>
      <x:c r="D2774" s="37" t="str">
        <x:v>2</x:v>
      </x:c>
      <x:c r="E2774" s="37" t="str">
        <x:v>0</x:v>
      </x:c>
      <x:c r="F2774" s="37" t="str">
        <x:v>8</x:v>
      </x:c>
      <x:c r="G2774" s="37" t="str">
        <x:v>160.38</x:v>
      </x:c>
      <x:c r="H2774" s="37" t="str">
        <x:v>0.00</x:v>
      </x:c>
      <x:c r="I2774" s="37" t="str">
        <x:v>40.46</x:v>
      </x:c>
      <x:c r="J2774" s="37" t="str">
        <x:v>0.00</x:v>
      </x:c>
      <x:c r="K2774" s="37" t="str">
        <x:v>119.92</x:v>
      </x:c>
      <x:c r="L2774" s="37" t="str">
        <x:v>318</x:v>
      </x:c>
      <x:c r="M2774" s="29" t="str">
        <x:v>132.20</x:v>
      </x:c>
      <x:c r="N2774" s="29" t="str">
        <x:v>105.64</x:v>
      </x:c>
      <x:c r="O2774" s="29" t="str">
        <x:v>26.56</x:v>
      </x:c>
      <x:c r="P2774" s="18" t="str">
        <x:v>2026-06-21</x:v>
      </x:c>
      <x:c r="Q2774" s="36" t="n">
        <x:v>46194</x:v>
      </x:c>
    </x:row>
    <x:row r="2775">
      <x:c r="A2775" s="36" t="str">
        <x:v>2026-06-21</x:v>
      </x:c>
      <x:c r="B2775" s="18" t="str">
        <x:v>101437000_71059</x:v>
      </x:c>
      <x:c r="C2775" s="18" t="str">
        <x:v>【沪村小电】宝乐汇商业广场站</x:v>
      </x:c>
      <x:c r="D2775" s="37" t="str">
        <x:v>4</x:v>
      </x:c>
      <x:c r="E2775" s="37" t="str">
        <x:v>0</x:v>
      </x:c>
      <x:c r="F2775" s="37" t="str">
        <x:v>14</x:v>
      </x:c>
      <x:c r="G2775" s="37" t="str">
        <x:v>408.96</x:v>
      </x:c>
      <x:c r="H2775" s="37" t="str">
        <x:v>0.00</x:v>
      </x:c>
      <x:c r="I2775" s="37" t="str">
        <x:v>9.96</x:v>
      </x:c>
      <x:c r="J2775" s="37" t="str">
        <x:v>223.26</x:v>
      </x:c>
      <x:c r="K2775" s="37" t="str">
        <x:v>175.73</x:v>
      </x:c>
      <x:c r="L2775" s="37" t="str">
        <x:v>583</x:v>
      </x:c>
      <x:c r="M2775" s="29" t="str">
        <x:v>364.20</x:v>
      </x:c>
      <x:c r="N2775" s="29" t="str">
        <x:v>235.58</x:v>
      </x:c>
      <x:c r="O2775" s="29" t="str">
        <x:v>128.62</x:v>
      </x:c>
      <x:c r="P2775" s="18" t="str">
        <x:v>2026-06-21</x:v>
      </x:c>
      <x:c r="Q2775" s="36" t="n">
        <x:v>46194</x:v>
      </x:c>
    </x:row>
    <x:row r="2776">
      <x:c r="A2776" s="36" t="str">
        <x:v>2026-06-21</x:v>
      </x:c>
      <x:c r="B2776" s="18" t="str">
        <x:v>101437000_72541</x:v>
      </x:c>
      <x:c r="C2776" s="18" t="str">
        <x:v>【沪村小电】九干路1174弄充电站</x:v>
      </x:c>
      <x:c r="D2776" s="37" t="str">
        <x:v>2</x:v>
      </x:c>
      <x:c r="E2776" s="37" t="str">
        <x:v>0</x:v>
      </x:c>
      <x:c r="F2776" s="37" t="str">
        <x:v>46</x:v>
      </x:c>
      <x:c r="G2776" s="37" t="str">
        <x:v>348.80</x:v>
      </x:c>
      <x:c r="H2776" s="37" t="str">
        <x:v>0.00</x:v>
      </x:c>
      <x:c r="I2776" s="37" t="str">
        <x:v>226.61</x:v>
      </x:c>
      <x:c r="J2776" s="37" t="str">
        <x:v>0.00</x:v>
      </x:c>
      <x:c r="K2776" s="37" t="str">
        <x:v>122.19</x:v>
      </x:c>
      <x:c r="L2776" s="37" t="str">
        <x:v>629</x:v>
      </x:c>
      <x:c r="M2776" s="29" t="str">
        <x:v>303.08</x:v>
      </x:c>
      <x:c r="N2776" s="29" t="str">
        <x:v>214.13</x:v>
      </x:c>
      <x:c r="O2776" s="29" t="str">
        <x:v>88.95</x:v>
      </x:c>
      <x:c r="P2776" s="18" t="str">
        <x:v>2026-06-21</x:v>
      </x:c>
      <x:c r="Q2776" s="36" t="n">
        <x:v>46194</x:v>
      </x:c>
    </x:row>
    <x:row r="2777">
      <x:c r="A2777" s="36" t="str">
        <x:v>2026-06-21</x:v>
      </x:c>
      <x:c r="B2777" s="18" t="str">
        <x:v>101437000_72543</x:v>
      </x:c>
      <x:c r="C2777" s="18" t="str">
        <x:v>【沪村小电】叶家中心村小区充电站</x:v>
      </x:c>
      <x:c r="D2777" s="37" t="str">
        <x:v>2</x:v>
      </x:c>
      <x:c r="E2777" s="37" t="str">
        <x:v>0</x:v>
      </x:c>
      <x:c r="F2777" s="37" t="str">
        <x:v>39</x:v>
      </x:c>
      <x:c r="G2777" s="37" t="str">
        <x:v>808.29</x:v>
      </x:c>
      <x:c r="H2777" s="37" t="str">
        <x:v>0.00</x:v>
      </x:c>
      <x:c r="I2777" s="37" t="str">
        <x:v>268.13</x:v>
      </x:c>
      <x:c r="J2777" s="37" t="str">
        <x:v>0.00</x:v>
      </x:c>
      <x:c r="K2777" s="37" t="str">
        <x:v>540.16</x:v>
      </x:c>
      <x:c r="L2777" s="37" t="str">
        <x:v>1420</x:v>
      </x:c>
      <x:c r="M2777" s="29" t="str">
        <x:v>601.40</x:v>
      </x:c>
      <x:c r="N2777" s="29" t="str">
        <x:v>403.64</x:v>
      </x:c>
      <x:c r="O2777" s="29" t="str">
        <x:v>197.76</x:v>
      </x:c>
      <x:c r="P2777" s="18" t="str">
        <x:v>2026-06-21</x:v>
      </x:c>
      <x:c r="Q2777" s="36" t="n">
        <x:v>46194</x:v>
      </x:c>
    </x:row>
    <x:row r="2778">
      <x:c r="A2778" s="36" t="str">
        <x:v>2026-06-21</x:v>
      </x:c>
      <x:c r="B2778" s="18" t="str">
        <x:v>101437000_72937</x:v>
      </x:c>
      <x:c r="C2778" s="18" t="str">
        <x:v>【沪村小电】佘北家园茸腾苑充电站</x:v>
      </x:c>
      <x:c r="D2778" s="37" t="str">
        <x:v>4</x:v>
      </x:c>
      <x:c r="E2778" s="37" t="str">
        <x:v>0</x:v>
      </x:c>
      <x:c r="F2778" s="37" t="str">
        <x:v>12</x:v>
      </x:c>
      <x:c r="G2778" s="37" t="str">
        <x:v>296.09</x:v>
      </x:c>
      <x:c r="H2778" s="37" t="str">
        <x:v>0.00</x:v>
      </x:c>
      <x:c r="I2778" s="37" t="str">
        <x:v>296.09</x:v>
      </x:c>
      <x:c r="J2778" s="37" t="str">
        <x:v>0.00</x:v>
      </x:c>
      <x:c r="K2778" s="37" t="str">
        <x:v>0.00</x:v>
      </x:c>
      <x:c r="L2778" s="37" t="str">
        <x:v>472</x:v>
      </x:c>
      <x:c r="M2778" s="29" t="str">
        <x:v>279.58</x:v>
      </x:c>
      <x:c r="N2778" s="29" t="str">
        <x:v>219.13</x:v>
      </x:c>
      <x:c r="O2778" s="29" t="str">
        <x:v>60.45</x:v>
      </x:c>
      <x:c r="P2778" s="18" t="str">
        <x:v>2026-06-21</x:v>
      </x:c>
      <x:c r="Q2778" s="36" t="n">
        <x:v>46194</x:v>
      </x:c>
    </x:row>
    <x:row r="2779">
      <x:c r="A2779" s="36" t="str">
        <x:v>2026-06-21</x:v>
      </x:c>
      <x:c r="B2779" s="18" t="str">
        <x:v>101437000_74223</x:v>
      </x:c>
      <x:c r="C2779" s="18" t="str">
        <x:v>【沪村小电】中兴村委会充电站</x:v>
      </x:c>
      <x:c r="D2779" s="37" t="str">
        <x:v>2</x:v>
      </x:c>
      <x:c r="E2779" s="37" t="str">
        <x:v>0</x:v>
      </x:c>
      <x:c r="F2779" s="37" t="str">
        <x:v>22</x:v>
      </x:c>
      <x:c r="G2779" s="37" t="str">
        <x:v>608.93</x:v>
      </x:c>
      <x:c r="H2779" s="37" t="str">
        <x:v>0.00</x:v>
      </x:c>
      <x:c r="I2779" s="37" t="str">
        <x:v>248.90</x:v>
      </x:c>
      <x:c r="J2779" s="37" t="str">
        <x:v>0.00</x:v>
      </x:c>
      <x:c r="K2779" s="37" t="str">
        <x:v>360.03</x:v>
      </x:c>
      <x:c r="L2779" s="37" t="str">
        <x:v>843</x:v>
      </x:c>
      <x:c r="M2779" s="29" t="str">
        <x:v>522.85</x:v>
      </x:c>
      <x:c r="N2779" s="29" t="str">
        <x:v>449.68</x:v>
      </x:c>
      <x:c r="O2779" s="29" t="str">
        <x:v>73.17</x:v>
      </x:c>
      <x:c r="P2779" s="18" t="str">
        <x:v>2026-06-21</x:v>
      </x:c>
      <x:c r="Q2779" s="36" t="n">
        <x:v>46194</x:v>
      </x:c>
    </x:row>
    <x:row r="2780">
      <x:c r="A2780" s="36" t="str">
        <x:v>2026-06-21</x:v>
      </x:c>
      <x:c r="B2780" s="18" t="str">
        <x:v>101437000_74801</x:v>
      </x:c>
      <x:c r="C2780" s="18" t="str">
        <x:v>【沪村小电】申良花园充电站</x:v>
      </x:c>
      <x:c r="D2780" s="37" t="str">
        <x:v>4</x:v>
      </x:c>
      <x:c r="E2780" s="37" t="str">
        <x:v>0</x:v>
      </x:c>
      <x:c r="F2780" s="37" t="str">
        <x:v>6</x:v>
      </x:c>
      <x:c r="G2780" s="37" t="str">
        <x:v>206.39</x:v>
      </x:c>
      <x:c r="H2780" s="37" t="str">
        <x:v>0.00</x:v>
      </x:c>
      <x:c r="I2780" s="37" t="str">
        <x:v>106.85</x:v>
      </x:c>
      <x:c r="J2780" s="37" t="str">
        <x:v>0.00</x:v>
      </x:c>
      <x:c r="K2780" s="37" t="str">
        <x:v>99.54</x:v>
      </x:c>
      <x:c r="L2780" s="37" t="str">
        <x:v>259</x:v>
      </x:c>
      <x:c r="M2780" s="29" t="str">
        <x:v>182.48</x:v>
      </x:c>
      <x:c r="N2780" s="29" t="str">
        <x:v>116.89</x:v>
      </x:c>
      <x:c r="O2780" s="29" t="str">
        <x:v>65.59</x:v>
      </x:c>
      <x:c r="P2780" s="18" t="str">
        <x:v>2026-06-21</x:v>
      </x:c>
      <x:c r="Q2780" s="36" t="n">
        <x:v>46194</x:v>
      </x:c>
    </x:row>
    <x:row r="2781">
      <x:c r="A2781" s="36" t="str">
        <x:v>2026-06-21</x:v>
      </x:c>
      <x:c r="B2781" s="18" t="str">
        <x:v>101437000_74931</x:v>
      </x:c>
      <x:c r="C2781" s="18" t="str">
        <x:v>【沪村小电】枫雅南居充电站</x:v>
      </x:c>
      <x:c r="D2781" s="37" t="str">
        <x:v>2</x:v>
      </x:c>
      <x:c r="E2781" s="37" t="str">
        <x:v>0</x:v>
      </x:c>
      <x:c r="F2781" s="37" t="str">
        <x:v>8</x:v>
      </x:c>
      <x:c r="G2781" s="37" t="str">
        <x:v>260.60</x:v>
      </x:c>
      <x:c r="H2781" s="37" t="str">
        <x:v>0.00</x:v>
      </x:c>
      <x:c r="I2781" s="37" t="str">
        <x:v>184.86</x:v>
      </x:c>
      <x:c r="J2781" s="37" t="str">
        <x:v>0.00</x:v>
      </x:c>
      <x:c r="K2781" s="37" t="str">
        <x:v>75.74</x:v>
      </x:c>
      <x:c r="L2781" s="37" t="str">
        <x:v>344</x:v>
      </x:c>
      <x:c r="M2781" s="29" t="str">
        <x:v>196.96</x:v>
      </x:c>
      <x:c r="N2781" s="29" t="str">
        <x:v>132.53</x:v>
      </x:c>
      <x:c r="O2781" s="29" t="str">
        <x:v>64.43</x:v>
      </x:c>
      <x:c r="P2781" s="18" t="str">
        <x:v>2026-06-21</x:v>
      </x:c>
      <x:c r="Q2781" s="36" t="n">
        <x:v>46194</x:v>
      </x:c>
    </x:row>
    <x:row r="2782">
      <x:c r="A2782" s="36" t="str">
        <x:v>2026-06-21</x:v>
      </x:c>
      <x:c r="B2782" s="18" t="str">
        <x:v>101437000_75901</x:v>
      </x:c>
      <x:c r="C2782" s="18" t="str">
        <x:v>【沪村小电】金悦学府</x:v>
      </x:c>
      <x:c r="D2782" s="37" t="str">
        <x:v>2</x:v>
      </x:c>
      <x:c r="E2782" s="37" t="str">
        <x:v>0</x:v>
      </x:c>
      <x:c r="F2782" s="37" t="str">
        <x:v>21</x:v>
      </x:c>
      <x:c r="G2782" s="37" t="str">
        <x:v>427.58</x:v>
      </x:c>
      <x:c r="H2782" s="37" t="str">
        <x:v>0.00</x:v>
      </x:c>
      <x:c r="I2782" s="37" t="str">
        <x:v>245.34</x:v>
      </x:c>
      <x:c r="J2782" s="37" t="str">
        <x:v>0.00</x:v>
      </x:c>
      <x:c r="K2782" s="37" t="str">
        <x:v>182.24</x:v>
      </x:c>
      <x:c r="L2782" s="37" t="str">
        <x:v>728</x:v>
      </x:c>
      <x:c r="M2782" s="29" t="str">
        <x:v>335.20</x:v>
      </x:c>
      <x:c r="N2782" s="29" t="str">
        <x:v>201.25</x:v>
      </x:c>
      <x:c r="O2782" s="29" t="str">
        <x:v>133.95</x:v>
      </x:c>
      <x:c r="P2782" s="18" t="str">
        <x:v>2026-06-21</x:v>
      </x:c>
      <x:c r="Q2782" s="36" t="n">
        <x:v>46194</x:v>
      </x:c>
    </x:row>
    <x:row r="2783">
      <x:c r="A2783" s="36" t="str">
        <x:v>2026-06-21</x:v>
      </x:c>
      <x:c r="B2783" s="18" t="str">
        <x:v>101437000_76091</x:v>
      </x:c>
      <x:c r="C2783" s="18" t="str">
        <x:v>【沪村小电】恒信家园充电站</x:v>
      </x:c>
      <x:c r="D2783" s="37" t="str">
        <x:v>2</x:v>
      </x:c>
      <x:c r="E2783" s="37" t="str">
        <x:v>0</x:v>
      </x:c>
      <x:c r="F2783" s="37" t="str">
        <x:v>35</x:v>
      </x:c>
      <x:c r="G2783" s="37" t="str">
        <x:v>780.84</x:v>
      </x:c>
      <x:c r="H2783" s="37" t="str">
        <x:v>0.00</x:v>
      </x:c>
      <x:c r="I2783" s="37" t="str">
        <x:v>386.40</x:v>
      </x:c>
      <x:c r="J2783" s="37" t="str">
        <x:v>0.00</x:v>
      </x:c>
      <x:c r="K2783" s="37" t="str">
        <x:v>394.43</x:v>
      </x:c>
      <x:c r="L2783" s="37" t="str">
        <x:v>1214</x:v>
      </x:c>
      <x:c r="M2783" s="29" t="str">
        <x:v>685.68</x:v>
      </x:c>
      <x:c r="N2783" s="29" t="str">
        <x:v>435.82</x:v>
      </x:c>
      <x:c r="O2783" s="29" t="str">
        <x:v>249.86</x:v>
      </x:c>
      <x:c r="P2783" s="18" t="str">
        <x:v>2026-06-21</x:v>
      </x:c>
      <x:c r="Q2783" s="36" t="n">
        <x:v>46194</x:v>
      </x:c>
    </x:row>
    <x:row r="2784">
      <x:c r="A2784" s="36" t="str">
        <x:v>2026-06-21</x:v>
      </x:c>
      <x:c r="B2784" s="18" t="str">
        <x:v>101437000_78235</x:v>
      </x:c>
      <x:c r="C2784" s="18" t="str">
        <x:v>【沪村小电】欣秋苑充电站</x:v>
      </x:c>
      <x:c r="D2784" s="37" t="str">
        <x:v>4</x:v>
      </x:c>
      <x:c r="E2784" s="37" t="str">
        <x:v>0</x:v>
      </x:c>
      <x:c r="F2784" s="37" t="str">
        <x:v>10</x:v>
      </x:c>
      <x:c r="G2784" s="37" t="str">
        <x:v>266.44</x:v>
      </x:c>
      <x:c r="H2784" s="37" t="str">
        <x:v>0.00</x:v>
      </x:c>
      <x:c r="I2784" s="37" t="str">
        <x:v>145.46</x:v>
      </x:c>
      <x:c r="J2784" s="37" t="str">
        <x:v>0.00</x:v>
      </x:c>
      <x:c r="K2784" s="37" t="str">
        <x:v>120.98</x:v>
      </x:c>
      <x:c r="L2784" s="37" t="str">
        <x:v>397</x:v>
      </x:c>
      <x:c r="M2784" s="29" t="str">
        <x:v>211.76</x:v>
      </x:c>
      <x:c r="N2784" s="29" t="str">
        <x:v>153.61</x:v>
      </x:c>
      <x:c r="O2784" s="29" t="str">
        <x:v>58.15</x:v>
      </x:c>
      <x:c r="P2784" s="18" t="str">
        <x:v>2026-06-21</x:v>
      </x:c>
      <x:c r="Q2784" s="36" t="n">
        <x:v>46194</x:v>
      </x:c>
    </x:row>
    <x:row r="2785">
      <x:c r="A2785" s="36" t="str">
        <x:v>2026-06-21</x:v>
      </x:c>
      <x:c r="B2785" s="18" t="str">
        <x:v>101437000_78237</x:v>
      </x:c>
      <x:c r="C2785" s="18" t="str">
        <x:v>【沪村小电】奉馨苑西门小区内北侧充电站</x:v>
      </x:c>
      <x:c r="D2785" s="37" t="str">
        <x:v>2</x:v>
      </x:c>
      <x:c r="E2785" s="37" t="str">
        <x:v>0</x:v>
      </x:c>
      <x:c r="F2785" s="37" t="str">
        <x:v>24</x:v>
      </x:c>
      <x:c r="G2785" s="37" t="str">
        <x:v>705.88</x:v>
      </x:c>
      <x:c r="H2785" s="37" t="str">
        <x:v>0.00</x:v>
      </x:c>
      <x:c r="I2785" s="37" t="str">
        <x:v>404.90</x:v>
      </x:c>
      <x:c r="J2785" s="37" t="str">
        <x:v>0.00</x:v>
      </x:c>
      <x:c r="K2785" s="37" t="str">
        <x:v>300.98</x:v>
      </x:c>
      <x:c r="L2785" s="37" t="str">
        <x:v>1053</x:v>
      </x:c>
      <x:c r="M2785" s="29" t="str">
        <x:v>570.61</x:v>
      </x:c>
      <x:c r="N2785" s="29" t="str">
        <x:v>413.99</x:v>
      </x:c>
      <x:c r="O2785" s="29" t="str">
        <x:v>156.62</x:v>
      </x:c>
      <x:c r="P2785" s="18" t="str">
        <x:v>2026-06-21</x:v>
      </x:c>
      <x:c r="Q2785" s="36" t="n">
        <x:v>46194</x:v>
      </x:c>
    </x:row>
    <x:row r="2786">
      <x:c r="A2786" s="36" t="str">
        <x:v>2026-06-21</x:v>
      </x:c>
      <x:c r="B2786" s="18" t="str">
        <x:v>101437000_78239</x:v>
      </x:c>
      <x:c r="C2786" s="18" t="str">
        <x:v>【沪村小电】恒大佘山首府东门充电站</x:v>
      </x:c>
      <x:c r="D2786" s="37" t="str">
        <x:v>2</x:v>
      </x:c>
      <x:c r="E2786" s="37" t="str">
        <x:v>0</x:v>
      </x:c>
      <x:c r="F2786" s="37" t="str">
        <x:v>36</x:v>
      </x:c>
      <x:c r="G2786" s="37" t="str">
        <x:v>877.87</x:v>
      </x:c>
      <x:c r="H2786" s="37" t="str">
        <x:v>0.00</x:v>
      </x:c>
      <x:c r="I2786" s="37" t="str">
        <x:v>413.33</x:v>
      </x:c>
      <x:c r="J2786" s="37" t="str">
        <x:v>0.00</x:v>
      </x:c>
      <x:c r="K2786" s="37" t="str">
        <x:v>464.54</x:v>
      </x:c>
      <x:c r="L2786" s="37" t="str">
        <x:v>1378</x:v>
      </x:c>
      <x:c r="M2786" s="29" t="str">
        <x:v>679.51</x:v>
      </x:c>
      <x:c r="N2786" s="29" t="str">
        <x:v>482.42</x:v>
      </x:c>
      <x:c r="O2786" s="29" t="str">
        <x:v>197.09</x:v>
      </x:c>
      <x:c r="P2786" s="18" t="str">
        <x:v>2026-06-21</x:v>
      </x:c>
      <x:c r="Q2786" s="36" t="n">
        <x:v>46194</x:v>
      </x:c>
    </x:row>
    <x:row r="2787">
      <x:c r="A2787" s="36" t="str">
        <x:v>2026-06-21</x:v>
      </x:c>
      <x:c r="B2787" s="18" t="str">
        <x:v>101437000_80823</x:v>
      </x:c>
      <x:c r="C2787" s="18" t="str">
        <x:v>【沪村小电】上湖轩充电站</x:v>
      </x:c>
      <x:c r="D2787" s="37" t="str">
        <x:v>2</x:v>
      </x:c>
      <x:c r="E2787" s="37" t="str">
        <x:v>0</x:v>
      </x:c>
      <x:c r="F2787" s="37" t="str">
        <x:v>7</x:v>
      </x:c>
      <x:c r="G2787" s="37" t="str">
        <x:v>202.11</x:v>
      </x:c>
      <x:c r="H2787" s="37" t="str">
        <x:v>0.00</x:v>
      </x:c>
      <x:c r="I2787" s="37" t="str">
        <x:v>95.86</x:v>
      </x:c>
      <x:c r="J2787" s="37" t="str">
        <x:v>49.29</x:v>
      </x:c>
      <x:c r="K2787" s="37" t="str">
        <x:v>56.95</x:v>
      </x:c>
      <x:c r="L2787" s="37" t="str">
        <x:v>283</x:v>
      </x:c>
      <x:c r="M2787" s="29" t="str">
        <x:v>172.60</x:v>
      </x:c>
      <x:c r="N2787" s="29" t="str">
        <x:v>122.92</x:v>
      </x:c>
      <x:c r="O2787" s="29" t="str">
        <x:v>49.68</x:v>
      </x:c>
      <x:c r="P2787" s="18" t="str">
        <x:v>2026-06-21</x:v>
      </x:c>
      <x:c r="Q2787" s="36" t="n">
        <x:v>46194</x:v>
      </x:c>
    </x:row>
    <x:row r="2788">
      <x:c r="A2788" s="36" t="str">
        <x:v>2026-06-21</x:v>
      </x:c>
      <x:c r="B2788" s="18" t="str">
        <x:v>101437000_83019</x:v>
      </x:c>
      <x:c r="C2788" s="18" t="str">
        <x:v>【沪村小电】首创禧瑞云启东区充电站</x:v>
      </x:c>
      <x:c r="D2788" s="37" t="str">
        <x:v>2</x:v>
      </x:c>
      <x:c r="E2788" s="37" t="str">
        <x:v>0</x:v>
      </x:c>
      <x:c r="F2788" s="37" t="str">
        <x:v>29</x:v>
      </x:c>
      <x:c r="G2788" s="37" t="str">
        <x:v>780.22</x:v>
      </x:c>
      <x:c r="H2788" s="37" t="str">
        <x:v>0.00</x:v>
      </x:c>
      <x:c r="I2788" s="37" t="str">
        <x:v>584.28</x:v>
      </x:c>
      <x:c r="J2788" s="37" t="str">
        <x:v>0.00</x:v>
      </x:c>
      <x:c r="K2788" s="37" t="str">
        <x:v>195.94</x:v>
      </x:c>
      <x:c r="L2788" s="37" t="str">
        <x:v>1162</x:v>
      </x:c>
      <x:c r="M2788" s="29" t="str">
        <x:v>659.17</x:v>
      </x:c>
      <x:c r="N2788" s="29" t="str">
        <x:v>473.69</x:v>
      </x:c>
      <x:c r="O2788" s="29" t="str">
        <x:v>185.48</x:v>
      </x:c>
      <x:c r="P2788" s="18" t="str">
        <x:v>2026-06-21</x:v>
      </x:c>
      <x:c r="Q2788" s="36" t="n">
        <x:v>46194</x:v>
      </x:c>
    </x:row>
    <x:row r="2789">
      <x:c r="A2789" s="36" t="str">
        <x:v>2026-06-21</x:v>
      </x:c>
      <x:c r="B2789" s="18" t="str">
        <x:v>101437000_83093</x:v>
      </x:c>
      <x:c r="C2789" s="18" t="str">
        <x:v>【沪村小电】金茂未来时光里</x:v>
      </x:c>
      <x:c r="D2789" s="37" t="str">
        <x:v>2</x:v>
      </x:c>
      <x:c r="E2789" s="37" t="str">
        <x:v>0</x:v>
      </x:c>
      <x:c r="F2789" s="37" t="str">
        <x:v>26</x:v>
      </x:c>
      <x:c r="G2789" s="37" t="str">
        <x:v>870.50</x:v>
      </x:c>
      <x:c r="H2789" s="37" t="str">
        <x:v>0.00</x:v>
      </x:c>
      <x:c r="I2789" s="37" t="str">
        <x:v>372.48</x:v>
      </x:c>
      <x:c r="J2789" s="37" t="str">
        <x:v>0.00</x:v>
      </x:c>
      <x:c r="K2789" s="37" t="str">
        <x:v>498.02</x:v>
      </x:c>
      <x:c r="L2789" s="37" t="str">
        <x:v>1180</x:v>
      </x:c>
      <x:c r="M2789" s="29" t="str">
        <x:v>564.15</x:v>
      </x:c>
      <x:c r="N2789" s="29" t="str">
        <x:v>374.16</x:v>
      </x:c>
      <x:c r="O2789" s="29" t="str">
        <x:v>189.99</x:v>
      </x:c>
      <x:c r="P2789" s="18" t="str">
        <x:v>2026-06-21</x:v>
      </x:c>
      <x:c r="Q2789" s="36" t="n">
        <x:v>46194</x:v>
      </x:c>
    </x:row>
    <x:row r="2790">
      <x:c r="A2790" s="36" t="str">
        <x:v>2026-06-21</x:v>
      </x:c>
      <x:c r="B2790" s="18" t="str">
        <x:v>101437000_83911</x:v>
      </x:c>
      <x:c r="C2790" s="18" t="str">
        <x:v>【沪村小电】金瀚园充电站</x:v>
      </x:c>
      <x:c r="D2790" s="37" t="str">
        <x:v>2</x:v>
      </x:c>
      <x:c r="E2790" s="37" t="str">
        <x:v>0</x:v>
      </x:c>
      <x:c r="F2790" s="37" t="str">
        <x:v>24</x:v>
      </x:c>
      <x:c r="G2790" s="37" t="str">
        <x:v>700.87</x:v>
      </x:c>
      <x:c r="H2790" s="37" t="str">
        <x:v>0.00</x:v>
      </x:c>
      <x:c r="I2790" s="37" t="str">
        <x:v>469.74</x:v>
      </x:c>
      <x:c r="J2790" s="37" t="str">
        <x:v>0.00</x:v>
      </x:c>
      <x:c r="K2790" s="37" t="str">
        <x:v>231.13</x:v>
      </x:c>
      <x:c r="L2790" s="37" t="str">
        <x:v>1018</x:v>
      </x:c>
      <x:c r="M2790" s="29" t="str">
        <x:v>690.11</x:v>
      </x:c>
      <x:c r="N2790" s="29" t="str">
        <x:v>435.42</x:v>
      </x:c>
      <x:c r="O2790" s="29" t="str">
        <x:v>254.69</x:v>
      </x:c>
      <x:c r="P2790" s="18" t="str">
        <x:v>2026-06-21</x:v>
      </x:c>
      <x:c r="Q2790" s="36" t="n">
        <x:v>46194</x:v>
      </x:c>
    </x:row>
    <x:row r="2791">
      <x:c r="A2791" s="36" t="str">
        <x:v>2026-06-21</x:v>
      </x:c>
      <x:c r="B2791" s="18" t="str">
        <x:v>101437000_83913</x:v>
      </x:c>
      <x:c r="C2791" s="18" t="str">
        <x:v>【沪村小电】新黎村充电站</x:v>
      </x:c>
      <x:c r="D2791" s="37" t="str">
        <x:v>2</x:v>
      </x:c>
      <x:c r="E2791" s="37" t="str">
        <x:v>0</x:v>
      </x:c>
      <x:c r="F2791" s="37" t="str">
        <x:v>22</x:v>
      </x:c>
      <x:c r="G2791" s="37" t="str">
        <x:v>512.18</x:v>
      </x:c>
      <x:c r="H2791" s="37" t="str">
        <x:v>0.00</x:v>
      </x:c>
      <x:c r="I2791" s="37" t="str">
        <x:v>266.96</x:v>
      </x:c>
      <x:c r="J2791" s="37" t="str">
        <x:v>0.00</x:v>
      </x:c>
      <x:c r="K2791" s="37" t="str">
        <x:v>245.21</x:v>
      </x:c>
      <x:c r="L2791" s="37" t="str">
        <x:v>832</x:v>
      </x:c>
      <x:c r="M2791" s="29" t="str">
        <x:v>497.70</x:v>
      </x:c>
      <x:c r="N2791" s="29" t="str">
        <x:v>407.58</x:v>
      </x:c>
      <x:c r="O2791" s="29" t="str">
        <x:v>90.12</x:v>
      </x:c>
      <x:c r="P2791" s="18" t="str">
        <x:v>2026-06-21</x:v>
      </x:c>
      <x:c r="Q2791" s="36" t="n">
        <x:v>46194</x:v>
      </x:c>
    </x:row>
    <x:row r="2792">
      <x:c r="A2792" s="36" t="str">
        <x:v>2026-06-21</x:v>
      </x:c>
      <x:c r="B2792" s="18" t="str">
        <x:v>101437000_83915</x:v>
      </x:c>
      <x:c r="C2792" s="18" t="str">
        <x:v>【沪村小电】长泰西郊别墅充电站</x:v>
      </x:c>
      <x:c r="D2792" s="37" t="str">
        <x:v>2</x:v>
      </x:c>
      <x:c r="E2792" s="37" t="str">
        <x:v>0</x:v>
      </x:c>
      <x:c r="F2792" s="37" t="str">
        <x:v>13</x:v>
      </x:c>
      <x:c r="G2792" s="37" t="str">
        <x:v>336.86</x:v>
      </x:c>
      <x:c r="H2792" s="37" t="str">
        <x:v>0.00</x:v>
      </x:c>
      <x:c r="I2792" s="37" t="str">
        <x:v>197.52</x:v>
      </x:c>
      <x:c r="J2792" s="37" t="str">
        <x:v>0.00</x:v>
      </x:c>
      <x:c r="K2792" s="37" t="str">
        <x:v>139.34</x:v>
      </x:c>
      <x:c r="L2792" s="37" t="str">
        <x:v>422</x:v>
      </x:c>
      <x:c r="M2792" s="29" t="str">
        <x:v>311.12</x:v>
      </x:c>
      <x:c r="N2792" s="29" t="str">
        <x:v>199.11</x:v>
      </x:c>
      <x:c r="O2792" s="29" t="str">
        <x:v>112.01</x:v>
      </x:c>
      <x:c r="P2792" s="18" t="str">
        <x:v>2026-06-21</x:v>
      </x:c>
      <x:c r="Q2792" s="36" t="n">
        <x:v>46194</x:v>
      </x:c>
    </x:row>
    <x:row r="2793">
      <x:c r="A2793" s="36" t="str">
        <x:v>2026-06-21</x:v>
      </x:c>
      <x:c r="B2793" s="18" t="str">
        <x:v>101437000_83917</x:v>
      </x:c>
      <x:c r="C2793" s="18" t="str">
        <x:v>【沪村小电】旭新华庭充电站</x:v>
      </x:c>
      <x:c r="D2793" s="37" t="str">
        <x:v>4</x:v>
      </x:c>
      <x:c r="E2793" s="37" t="str">
        <x:v>0</x:v>
      </x:c>
      <x:c r="F2793" s="37" t="str">
        <x:v>35</x:v>
      </x:c>
      <x:c r="G2793" s="37" t="str">
        <x:v>827.85</x:v>
      </x:c>
      <x:c r="H2793" s="37" t="str">
        <x:v>0.00</x:v>
      </x:c>
      <x:c r="I2793" s="37" t="str">
        <x:v>641.43</x:v>
      </x:c>
      <x:c r="J2793" s="37" t="str">
        <x:v>0.00</x:v>
      </x:c>
      <x:c r="K2793" s="37" t="str">
        <x:v>186.42</x:v>
      </x:c>
      <x:c r="L2793" s="37" t="str">
        <x:v>1244</x:v>
      </x:c>
      <x:c r="M2793" s="29" t="str">
        <x:v>804.98</x:v>
      </x:c>
      <x:c r="N2793" s="29" t="str">
        <x:v>545.50</x:v>
      </x:c>
      <x:c r="O2793" s="29" t="str">
        <x:v>259.48</x:v>
      </x:c>
      <x:c r="P2793" s="18" t="str">
        <x:v>2026-06-21</x:v>
      </x:c>
      <x:c r="Q2793" s="36" t="n">
        <x:v>46194</x:v>
      </x:c>
    </x:row>
    <x:row r="2794">
      <x:c r="A2794" s="36" t="str">
        <x:v>2026-06-21</x:v>
      </x:c>
      <x:c r="B2794" s="18" t="str">
        <x:v>101437000_83919</x:v>
      </x:c>
      <x:c r="C2794" s="18" t="str">
        <x:v>【沪村小电】浦锦名仕嘉园充电站</x:v>
      </x:c>
      <x:c r="D2794" s="37" t="str">
        <x:v>4</x:v>
      </x:c>
      <x:c r="E2794" s="37" t="str">
        <x:v>0</x:v>
      </x:c>
      <x:c r="F2794" s="37" t="str">
        <x:v>36</x:v>
      </x:c>
      <x:c r="G2794" s="37" t="str">
        <x:v>962.44</x:v>
      </x:c>
      <x:c r="H2794" s="37" t="str">
        <x:v>0.00</x:v>
      </x:c>
      <x:c r="I2794" s="37" t="str">
        <x:v>0.00</x:v>
      </x:c>
      <x:c r="J2794" s="37" t="str">
        <x:v>962.44</x:v>
      </x:c>
      <x:c r="K2794" s="37" t="str">
        <x:v>0.00</x:v>
      </x:c>
      <x:c r="L2794" s="37" t="str">
        <x:v>1300</x:v>
      </x:c>
      <x:c r="M2794" s="29" t="str">
        <x:v>933.43</x:v>
      </x:c>
      <x:c r="N2794" s="29" t="str">
        <x:v>615.93</x:v>
      </x:c>
      <x:c r="O2794" s="29" t="str">
        <x:v>317.50</x:v>
      </x:c>
      <x:c r="P2794" s="18" t="str">
        <x:v>2026-06-21</x:v>
      </x:c>
      <x:c r="Q2794" s="36" t="n">
        <x:v>46194</x:v>
      </x:c>
    </x:row>
    <x:row r="2795">
      <x:c r="A2795" s="36" t="str">
        <x:v>2026-06-21</x:v>
      </x:c>
      <x:c r="B2795" s="18" t="str">
        <x:v>101437000_83921</x:v>
      </x:c>
      <x:c r="C2795" s="18" t="str">
        <x:v>【沪村小电】上海联怡枇杷乐园充电站（地库）</x:v>
      </x:c>
      <x:c r="D2795" s="37" t="str">
        <x:v>8</x:v>
      </x:c>
      <x:c r="E2795" s="37" t="str">
        <x:v>0</x:v>
      </x:c>
      <x:c r="F2795" s="37" t="str">
        <x:v>5</x:v>
      </x:c>
      <x:c r="G2795" s="37" t="str">
        <x:v>139.40</x:v>
      </x:c>
      <x:c r="H2795" s="37" t="str">
        <x:v>0.00</x:v>
      </x:c>
      <x:c r="I2795" s="37" t="str">
        <x:v>108.45</x:v>
      </x:c>
      <x:c r="J2795" s="37" t="str">
        <x:v>0.00</x:v>
      </x:c>
      <x:c r="K2795" s="37" t="str">
        <x:v>30.95</x:v>
      </x:c>
      <x:c r="L2795" s="37" t="str">
        <x:v>212</x:v>
      </x:c>
      <x:c r="M2795" s="29" t="str">
        <x:v>150.23</x:v>
      </x:c>
      <x:c r="N2795" s="29" t="str">
        <x:v>129.18</x:v>
      </x:c>
      <x:c r="O2795" s="29" t="str">
        <x:v>21.05</x:v>
      </x:c>
      <x:c r="P2795" s="18" t="str">
        <x:v>2026-06-21</x:v>
      </x:c>
      <x:c r="Q2795" s="36" t="n">
        <x:v>46194</x:v>
      </x:c>
    </x:row>
    <x:row r="2796">
      <x:c r="A2796" s="36" t="str">
        <x:v>2026-06-21</x:v>
      </x:c>
      <x:c r="B2796" s="18" t="str">
        <x:v>101437000_83923</x:v>
      </x:c>
      <x:c r="C2796" s="18" t="str">
        <x:v>【沪村小电】明珠新苑充电站</x:v>
      </x:c>
      <x:c r="D2796" s="37" t="str">
        <x:v>2</x:v>
      </x:c>
      <x:c r="E2796" s="37" t="str">
        <x:v>0</x:v>
      </x:c>
      <x:c r="F2796" s="37" t="str">
        <x:v>19</x:v>
      </x:c>
      <x:c r="G2796" s="37" t="str">
        <x:v>519.98</x:v>
      </x:c>
      <x:c r="H2796" s="37" t="str">
        <x:v>0.00</x:v>
      </x:c>
      <x:c r="I2796" s="37" t="str">
        <x:v>259.12</x:v>
      </x:c>
      <x:c r="J2796" s="37" t="str">
        <x:v>0.00</x:v>
      </x:c>
      <x:c r="K2796" s="37" t="str">
        <x:v>260.86</x:v>
      </x:c>
      <x:c r="L2796" s="37" t="str">
        <x:v>813</x:v>
      </x:c>
      <x:c r="M2796" s="29" t="str">
        <x:v>449.17</x:v>
      </x:c>
      <x:c r="N2796" s="29" t="str">
        <x:v>290.88</x:v>
      </x:c>
      <x:c r="O2796" s="29" t="str">
        <x:v>158.29</x:v>
      </x:c>
      <x:c r="P2796" s="18" t="str">
        <x:v>2026-06-21</x:v>
      </x:c>
      <x:c r="Q2796" s="36" t="n">
        <x:v>46194</x:v>
      </x:c>
    </x:row>
    <x:row r="2797">
      <x:c r="A2797" s="36" t="str">
        <x:v>2026-06-21</x:v>
      </x:c>
      <x:c r="B2797" s="18" t="str">
        <x:v>101437000_84289</x:v>
      </x:c>
      <x:c r="C2797" s="18" t="str">
        <x:v>【沪村小电】铁建芳华苑充电站</x:v>
      </x:c>
      <x:c r="D2797" s="37" t="str">
        <x:v>4</x:v>
      </x:c>
      <x:c r="E2797" s="37" t="str">
        <x:v>0</x:v>
      </x:c>
      <x:c r="F2797" s="37" t="str">
        <x:v>28</x:v>
      </x:c>
      <x:c r="G2797" s="37" t="str">
        <x:v>876.64</x:v>
      </x:c>
      <x:c r="H2797" s="37" t="str">
        <x:v>0.00</x:v>
      </x:c>
      <x:c r="I2797" s="37" t="str">
        <x:v>526.27</x:v>
      </x:c>
      <x:c r="J2797" s="37" t="str">
        <x:v>0.00</x:v>
      </x:c>
      <x:c r="K2797" s="37" t="str">
        <x:v>350.37</x:v>
      </x:c>
      <x:c r="L2797" s="37" t="str">
        <x:v>1220</x:v>
      </x:c>
      <x:c r="M2797" s="29" t="str">
        <x:v>777.20</x:v>
      </x:c>
      <x:c r="N2797" s="29" t="str">
        <x:v>522.59</x:v>
      </x:c>
      <x:c r="O2797" s="29" t="str">
        <x:v>254.61</x:v>
      </x:c>
      <x:c r="P2797" s="18" t="str">
        <x:v>2026-06-21</x:v>
      </x:c>
      <x:c r="Q2797" s="36" t="n">
        <x:v>46194</x:v>
      </x:c>
    </x:row>
    <x:row r="2798">
      <x:c r="A2798" s="36" t="str">
        <x:v>2026-06-21</x:v>
      </x:c>
      <x:c r="B2798" s="18" t="str">
        <x:v>101437000_86379</x:v>
      </x:c>
      <x:c r="C2798" s="18" t="str">
        <x:v>【沪村小电】新宝社区充电站</x:v>
      </x:c>
      <x:c r="D2798" s="37" t="str">
        <x:v>4</x:v>
      </x:c>
      <x:c r="E2798" s="37" t="str">
        <x:v>0</x:v>
      </x:c>
      <x:c r="F2798" s="37" t="str">
        <x:v>13</x:v>
      </x:c>
      <x:c r="G2798" s="37" t="str">
        <x:v>311.28</x:v>
      </x:c>
      <x:c r="H2798" s="37" t="str">
        <x:v>0.00</x:v>
      </x:c>
      <x:c r="I2798" s="37" t="str">
        <x:v>95.54</x:v>
      </x:c>
      <x:c r="J2798" s="37" t="str">
        <x:v>0.00</x:v>
      </x:c>
      <x:c r="K2798" s="37" t="str">
        <x:v>215.74</x:v>
      </x:c>
      <x:c r="L2798" s="37" t="str">
        <x:v>535</x:v>
      </x:c>
      <x:c r="M2798" s="29" t="str">
        <x:v>227.50</x:v>
      </x:c>
      <x:c r="N2798" s="29" t="str">
        <x:v>152.69</x:v>
      </x:c>
      <x:c r="O2798" s="29" t="str">
        <x:v>74.81</x:v>
      </x:c>
      <x:c r="P2798" s="18" t="str">
        <x:v>2026-06-21</x:v>
      </x:c>
      <x:c r="Q2798" s="36" t="n">
        <x:v>46194</x:v>
      </x:c>
    </x:row>
    <x:row r="2799">
      <x:c r="A2799" s="36" t="str">
        <x:v>2026-06-21</x:v>
      </x:c>
      <x:c r="B2799" s="18" t="str">
        <x:v>101437000_89441</x:v>
      </x:c>
      <x:c r="C2799" s="18" t="str">
        <x:v>【沪村小电】首创禧瑞云启西区充电站</x:v>
      </x:c>
      <x:c r="D2799" s="37" t="str">
        <x:v>2</x:v>
      </x:c>
      <x:c r="E2799" s="37" t="str">
        <x:v>0</x:v>
      </x:c>
      <x:c r="F2799" s="37" t="str">
        <x:v>21</x:v>
      </x:c>
      <x:c r="G2799" s="37" t="str">
        <x:v>446.86</x:v>
      </x:c>
      <x:c r="H2799" s="37" t="str">
        <x:v>0.00</x:v>
      </x:c>
      <x:c r="I2799" s="37" t="str">
        <x:v>360.11</x:v>
      </x:c>
      <x:c r="J2799" s="37" t="str">
        <x:v>0.00</x:v>
      </x:c>
      <x:c r="K2799" s="37" t="str">
        <x:v>86.75</x:v>
      </x:c>
      <x:c r="L2799" s="37" t="str">
        <x:v>623</x:v>
      </x:c>
      <x:c r="M2799" s="29" t="str">
        <x:v>390.52</x:v>
      </x:c>
      <x:c r="N2799" s="29" t="str">
        <x:v>279.68</x:v>
      </x:c>
      <x:c r="O2799" s="29" t="str">
        <x:v>110.84</x:v>
      </x:c>
      <x:c r="P2799" s="18" t="str">
        <x:v>2026-06-21</x:v>
      </x:c>
      <x:c r="Q2799" s="36" t="n">
        <x:v>46194</x:v>
      </x:c>
    </x:row>
    <x:row r="2800">
      <x:c r="A2800" s="36" t="str">
        <x:v>2026-06-21</x:v>
      </x:c>
      <x:c r="B2800" s="18" t="str">
        <x:v>101437000_89443</x:v>
      </x:c>
      <x:c r="C2800" s="18" t="str">
        <x:v>【沪村小电】玉兰清苑二期充电站</x:v>
      </x:c>
      <x:c r="D2800" s="37" t="str">
        <x:v>2</x:v>
      </x:c>
      <x:c r="E2800" s="37" t="str">
        <x:v>0</x:v>
      </x:c>
      <x:c r="F2800" s="37" t="str">
        <x:v>23</x:v>
      </x:c>
      <x:c r="G2800" s="37" t="str">
        <x:v>542.68</x:v>
      </x:c>
      <x:c r="H2800" s="37" t="str">
        <x:v>0.00</x:v>
      </x:c>
      <x:c r="I2800" s="37" t="str">
        <x:v>444.83</x:v>
      </x:c>
      <x:c r="J2800" s="37" t="str">
        <x:v>0.00</x:v>
      </x:c>
      <x:c r="K2800" s="37" t="str">
        <x:v>97.85</x:v>
      </x:c>
      <x:c r="L2800" s="37" t="str">
        <x:v>839</x:v>
      </x:c>
      <x:c r="M2800" s="29" t="str">
        <x:v>492.32</x:v>
      </x:c>
      <x:c r="N2800" s="29" t="str">
        <x:v>366.40</x:v>
      </x:c>
      <x:c r="O2800" s="29" t="str">
        <x:v>125.92</x:v>
      </x:c>
      <x:c r="P2800" s="18" t="str">
        <x:v>2026-06-21</x:v>
      </x:c>
      <x:c r="Q2800" s="36" t="n">
        <x:v>46194</x:v>
      </x:c>
    </x:row>
    <x:row r="2801">
      <x:c r="A2801" s="36" t="str">
        <x:v>2026-06-21</x:v>
      </x:c>
      <x:c r="B2801" s="18" t="str">
        <x:v>101437000_93115</x:v>
      </x:c>
      <x:c r="C2801" s="18" t="str">
        <x:v>【沪村小电】新南家园西北门</x:v>
      </x:c>
      <x:c r="D2801" s="37" t="str">
        <x:v>2</x:v>
      </x:c>
      <x:c r="E2801" s="37" t="str">
        <x:v>0</x:v>
      </x:c>
      <x:c r="F2801" s="37" t="str">
        <x:v>23</x:v>
      </x:c>
      <x:c r="G2801" s="37" t="str">
        <x:v>589.02</x:v>
      </x:c>
      <x:c r="H2801" s="37" t="str">
        <x:v>0.00</x:v>
      </x:c>
      <x:c r="I2801" s="37" t="str">
        <x:v>364.02</x:v>
      </x:c>
      <x:c r="J2801" s="37" t="str">
        <x:v>0.00</x:v>
      </x:c>
      <x:c r="K2801" s="37" t="str">
        <x:v>225.00</x:v>
      </x:c>
      <x:c r="L2801" s="37" t="str">
        <x:v>964</x:v>
      </x:c>
      <x:c r="M2801" s="29" t="str">
        <x:v>496.97</x:v>
      </x:c>
      <x:c r="N2801" s="29" t="str">
        <x:v>332.17</x:v>
      </x:c>
      <x:c r="O2801" s="29" t="str">
        <x:v>164.80</x:v>
      </x:c>
      <x:c r="P2801" s="18" t="str">
        <x:v>2026-06-21</x:v>
      </x:c>
      <x:c r="Q2801" s="36" t="n">
        <x:v>46194</x:v>
      </x:c>
    </x:row>
    <x:row r="2802">
      <x:c r="A2802" s="36" t="str">
        <x:v>2026-06-21</x:v>
      </x:c>
      <x:c r="B2802" s="18" t="str">
        <x:v>101437000_94649</x:v>
      </x:c>
      <x:c r="C2802" s="18" t="str">
        <x:v>【沪村小电】浪琴水岸花园</x:v>
      </x:c>
      <x:c r="D2802" s="37" t="str">
        <x:v>4</x:v>
      </x:c>
      <x:c r="E2802" s="37" t="str">
        <x:v>0</x:v>
      </x:c>
      <x:c r="F2802" s="37" t="str">
        <x:v>42</x:v>
      </x:c>
      <x:c r="G2802" s="37" t="str">
        <x:v>653.62</x:v>
      </x:c>
      <x:c r="H2802" s="37" t="str">
        <x:v>0.00</x:v>
      </x:c>
      <x:c r="I2802" s="37" t="str">
        <x:v>283.30</x:v>
      </x:c>
      <x:c r="J2802" s="37" t="str">
        <x:v>0.00</x:v>
      </x:c>
      <x:c r="K2802" s="37" t="str">
        <x:v>370.32</x:v>
      </x:c>
      <x:c r="L2802" s="37" t="str">
        <x:v>1057</x:v>
      </x:c>
      <x:c r="M2802" s="29" t="str">
        <x:v>489.95</x:v>
      </x:c>
      <x:c r="N2802" s="29" t="str">
        <x:v>328.79</x:v>
      </x:c>
      <x:c r="O2802" s="29" t="str">
        <x:v>161.16</x:v>
      </x:c>
      <x:c r="P2802" s="18" t="str">
        <x:v>2026-06-21</x:v>
      </x:c>
      <x:c r="Q2802" s="36" t="n">
        <x:v>46194</x:v>
      </x:c>
    </x:row>
    <x:row r="2803">
      <x:c r="A2803" s="36" t="str">
        <x:v>2026-06-21</x:v>
      </x:c>
      <x:c r="B2803" s="18" t="str">
        <x:v>101437000_95077</x:v>
      </x:c>
      <x:c r="C2803" s="18" t="str">
        <x:v>【沪村小电】民乐城惠益绿苑255弄充电站</x:v>
      </x:c>
      <x:c r="D2803" s="37" t="str">
        <x:v>2</x:v>
      </x:c>
      <x:c r="E2803" s="37" t="str">
        <x:v>0</x:v>
      </x:c>
      <x:c r="F2803" s="37" t="str">
        <x:v>7</x:v>
      </x:c>
      <x:c r="G2803" s="37" t="str">
        <x:v>167.39</x:v>
      </x:c>
      <x:c r="H2803" s="37" t="str">
        <x:v>0.00</x:v>
      </x:c>
      <x:c r="I2803" s="37" t="str">
        <x:v>126.73</x:v>
      </x:c>
      <x:c r="J2803" s="37" t="str">
        <x:v>0.00</x:v>
      </x:c>
      <x:c r="K2803" s="37" t="str">
        <x:v>40.66</x:v>
      </x:c>
      <x:c r="L2803" s="37" t="str">
        <x:v>269</x:v>
      </x:c>
      <x:c r="M2803" s="29" t="str">
        <x:v>158.80</x:v>
      </x:c>
      <x:c r="N2803" s="29" t="str">
        <x:v>109.23</x:v>
      </x:c>
      <x:c r="O2803" s="29" t="str">
        <x:v>49.57</x:v>
      </x:c>
      <x:c r="P2803" s="18" t="str">
        <x:v>2026-06-21</x:v>
      </x:c>
      <x:c r="Q2803" s="36" t="n">
        <x:v>46194</x:v>
      </x:c>
    </x:row>
    <x:row r="2804">
      <x:c r="A2804" s="36" t="str">
        <x:v>2026-06-21</x:v>
      </x:c>
      <x:c r="B2804" s="18" t="str">
        <x:v>101437000_95079</x:v>
      </x:c>
      <x:c r="C2804" s="18" t="str">
        <x:v>【沪村小电】民乐城惠益绿苑东苑充电站</x:v>
      </x:c>
      <x:c r="D2804" s="37" t="str">
        <x:v>2</x:v>
      </x:c>
      <x:c r="E2804" s="37" t="str">
        <x:v>0</x:v>
      </x:c>
      <x:c r="F2804" s="37" t="str">
        <x:v>9</x:v>
      </x:c>
      <x:c r="G2804" s="37" t="str">
        <x:v>281.26</x:v>
      </x:c>
      <x:c r="H2804" s="37" t="str">
        <x:v>0.00</x:v>
      </x:c>
      <x:c r="I2804" s="37" t="str">
        <x:v>281.26</x:v>
      </x:c>
      <x:c r="J2804" s="37" t="str">
        <x:v>0.00</x:v>
      </x:c>
      <x:c r="K2804" s="37" t="str">
        <x:v>0.00</x:v>
      </x:c>
      <x:c r="L2804" s="37" t="str">
        <x:v>382</x:v>
      </x:c>
      <x:c r="M2804" s="29" t="str">
        <x:v>252.40</x:v>
      </x:c>
      <x:c r="N2804" s="29" t="str">
        <x:v>194.06</x:v>
      </x:c>
      <x:c r="O2804" s="29" t="str">
        <x:v>58.34</x:v>
      </x:c>
      <x:c r="P2804" s="18" t="str">
        <x:v>2026-06-21</x:v>
      </x:c>
      <x:c r="Q2804" s="36" t="n">
        <x:v>46194</x:v>
      </x:c>
    </x:row>
    <x:row r="2805">
      <x:c r="A2805" s="36" t="str">
        <x:v>2026-06-21</x:v>
      </x:c>
      <x:c r="B2805" s="18" t="str">
        <x:v>101437000_95091</x:v>
      </x:c>
      <x:c r="C2805" s="18" t="str">
        <x:v>【沪村小电】金悦学府2号站</x:v>
      </x:c>
      <x:c r="D2805" s="37" t="str">
        <x:v>2</x:v>
      </x:c>
      <x:c r="E2805" s="37" t="str">
        <x:v>0</x:v>
      </x:c>
      <x:c r="F2805" s="37" t="str">
        <x:v>17</x:v>
      </x:c>
      <x:c r="G2805" s="37" t="str">
        <x:v>491.07</x:v>
      </x:c>
      <x:c r="H2805" s="37" t="str">
        <x:v>0.00</x:v>
      </x:c>
      <x:c r="I2805" s="37" t="str">
        <x:v>0.00</x:v>
      </x:c>
      <x:c r="J2805" s="37" t="str">
        <x:v>491.07</x:v>
      </x:c>
      <x:c r="K2805" s="37" t="str">
        <x:v>0.00</x:v>
      </x:c>
      <x:c r="L2805" s="37" t="str">
        <x:v>814</x:v>
      </x:c>
      <x:c r="M2805" s="29" t="str">
        <x:v>387.91</x:v>
      </x:c>
      <x:c r="N2805" s="29" t="str">
        <x:v>274.97</x:v>
      </x:c>
      <x:c r="O2805" s="29" t="str">
        <x:v>112.94</x:v>
      </x:c>
      <x:c r="P2805" s="18" t="str">
        <x:v>2026-06-21</x:v>
      </x:c>
      <x:c r="Q2805" s="36" t="n">
        <x:v>46194</x:v>
      </x:c>
    </x:row>
    <x:row r="2806">
      <x:c r="A2806" s="36" t="str">
        <x:v>2026-06-21</x:v>
      </x:c>
      <x:c r="B2806" s="18" t="str">
        <x:v>101437000_95941</x:v>
      </x:c>
      <x:c r="C2806" s="18" t="str">
        <x:v>【沪村小电】惠诚雅苑</x:v>
      </x:c>
      <x:c r="D2806" s="37" t="str">
        <x:v>4</x:v>
      </x:c>
      <x:c r="E2806" s="37" t="str">
        <x:v>0</x:v>
      </x:c>
      <x:c r="F2806" s="37" t="str">
        <x:v>23</x:v>
      </x:c>
      <x:c r="G2806" s="37" t="str">
        <x:v>466.60</x:v>
      </x:c>
      <x:c r="H2806" s="37" t="str">
        <x:v>0.00</x:v>
      </x:c>
      <x:c r="I2806" s="37" t="str">
        <x:v>303.32</x:v>
      </x:c>
      <x:c r="J2806" s="37" t="str">
        <x:v>0.00</x:v>
      </x:c>
      <x:c r="K2806" s="37" t="str">
        <x:v>163.28</x:v>
      </x:c>
      <x:c r="L2806" s="37" t="str">
        <x:v>800</x:v>
      </x:c>
      <x:c r="M2806" s="29" t="str">
        <x:v>329.81</x:v>
      </x:c>
      <x:c r="N2806" s="29" t="str">
        <x:v>229.54</x:v>
      </x:c>
      <x:c r="O2806" s="29" t="str">
        <x:v>100.27</x:v>
      </x:c>
      <x:c r="P2806" s="18" t="str">
        <x:v>2026-06-21</x:v>
      </x:c>
      <x:c r="Q2806" s="36" t="n">
        <x:v>46194</x:v>
      </x:c>
    </x:row>
    <x:row r="2807">
      <x:c r="A2807" s="36" t="str">
        <x:v>2026-06-21</x:v>
      </x:c>
      <x:c r="B2807" s="18" t="str">
        <x:v>101437000_96401</x:v>
      </x:c>
      <x:c r="C2807" s="18" t="str">
        <x:v>【沪村小电】上海联怡枇杷乐园地面站</x:v>
      </x:c>
      <x:c r="D2807" s="37" t="str">
        <x:v>2</x:v>
      </x:c>
      <x:c r="E2807" s="37" t="str">
        <x:v>0</x:v>
      </x:c>
      <x:c r="F2807" s="37" t="str">
        <x:v>10</x:v>
      </x:c>
      <x:c r="G2807" s="37" t="str">
        <x:v>268.27</x:v>
      </x:c>
      <x:c r="H2807" s="37" t="str">
        <x:v>0.00</x:v>
      </x:c>
      <x:c r="I2807" s="37" t="str">
        <x:v>117.81</x:v>
      </x:c>
      <x:c r="J2807" s="37" t="str">
        <x:v>0.00</x:v>
      </x:c>
      <x:c r="K2807" s="37" t="str">
        <x:v>150.47</x:v>
      </x:c>
      <x:c r="L2807" s="37" t="str">
        <x:v>421</x:v>
      </x:c>
      <x:c r="M2807" s="29" t="str">
        <x:v>228.90</x:v>
      </x:c>
      <x:c r="N2807" s="29" t="str">
        <x:v>202.25</x:v>
      </x:c>
      <x:c r="O2807" s="29" t="str">
        <x:v>26.65</x:v>
      </x:c>
      <x:c r="P2807" s="18" t="str">
        <x:v>2026-06-21</x:v>
      </x:c>
      <x:c r="Q2807" s="36" t="n">
        <x:v>46194</x:v>
      </x:c>
    </x:row>
    <x:row r="2808">
      <x:c r="A2808" s="36" t="str">
        <x:v>2026-06-21</x:v>
      </x:c>
      <x:c r="B2808" s="18" t="str">
        <x:v>101437000_96719</x:v>
      </x:c>
      <x:c r="C2808" s="18" t="str">
        <x:v>【沪村小电】四达路220弄充电站</x:v>
      </x:c>
      <x:c r="D2808" s="37" t="str">
        <x:v>2</x:v>
      </x:c>
      <x:c r="E2808" s="37" t="str">
        <x:v>0</x:v>
      </x:c>
      <x:c r="F2808" s="37" t="str">
        <x:v>1</x:v>
      </x:c>
      <x:c r="G2808" s="37" t="str">
        <x:v>32.07</x:v>
      </x:c>
      <x:c r="H2808" s="37" t="str">
        <x:v>0.00</x:v>
      </x:c>
      <x:c r="I2808" s="37" t="str">
        <x:v>0.00</x:v>
      </x:c>
      <x:c r="J2808" s="37" t="str">
        <x:v>0.00</x:v>
      </x:c>
      <x:c r="K2808" s="37" t="str">
        <x:v>32.07</x:v>
      </x:c>
      <x:c r="L2808" s="37" t="str">
        <x:v>59</x:v>
      </x:c>
      <x:c r="M2808" s="29" t="str">
        <x:v>24.05</x:v>
      </x:c>
      <x:c r="N2808" s="29" t="str">
        <x:v>12.83</x:v>
      </x:c>
      <x:c r="O2808" s="29" t="str">
        <x:v>11.22</x:v>
      </x:c>
      <x:c r="P2808" s="18" t="str">
        <x:v>2026-06-21</x:v>
      </x:c>
      <x:c r="Q2808" s="36" t="n">
        <x:v>46194</x:v>
      </x:c>
    </x:row>
    <x:row r="2809">
      <x:c r="A2809" s="36" t="str">
        <x:v>2026-06-21</x:v>
      </x:c>
      <x:c r="B2809" s="18" t="str">
        <x:v>101437000_97421</x:v>
      </x:c>
      <x:c r="C2809" s="18" t="str">
        <x:v>【沪村小电】玉兰清苑二期（小区外）充电站</x:v>
      </x:c>
      <x:c r="D2809" s="37" t="str">
        <x:v>4</x:v>
      </x:c>
      <x:c r="E2809" s="37" t="str">
        <x:v>0</x:v>
      </x:c>
      <x:c r="F2809" s="37" t="str">
        <x:v>32</x:v>
      </x:c>
      <x:c r="G2809" s="37" t="str">
        <x:v>641.54</x:v>
      </x:c>
      <x:c r="H2809" s="37" t="str">
        <x:v>0.00</x:v>
      </x:c>
      <x:c r="I2809" s="37" t="str">
        <x:v>496.10</x:v>
      </x:c>
      <x:c r="J2809" s="37" t="str">
        <x:v>0.00</x:v>
      </x:c>
      <x:c r="K2809" s="37" t="str">
        <x:v>145.44</x:v>
      </x:c>
      <x:c r="L2809" s="37" t="str">
        <x:v>1175</x:v>
      </x:c>
      <x:c r="M2809" s="29" t="str">
        <x:v>552.55</x:v>
      </x:c>
      <x:c r="N2809" s="29" t="str">
        <x:v>422.37</x:v>
      </x:c>
      <x:c r="O2809" s="29" t="str">
        <x:v>130.18</x:v>
      </x:c>
      <x:c r="P2809" s="18" t="str">
        <x:v>2026-06-21</x:v>
      </x:c>
      <x:c r="Q2809" s="36" t="n">
        <x:v>46194</x:v>
      </x:c>
    </x:row>
    <x:row r="2810">
      <x:c r="A2810" s="36" t="str">
        <x:v>2026-06-21</x:v>
      </x:c>
      <x:c r="B2810" s="18" t="str">
        <x:v>101437000_98013</x:v>
      </x:c>
      <x:c r="C2810" s="18" t="str">
        <x:v>【沪村小电】恒大滨江华府充电站</x:v>
      </x:c>
      <x:c r="D2810" s="37" t="str">
        <x:v>4</x:v>
      </x:c>
      <x:c r="E2810" s="37" t="str">
        <x:v>0</x:v>
      </x:c>
      <x:c r="F2810" s="37" t="str">
        <x:v>4</x:v>
      </x:c>
      <x:c r="G2810" s="37" t="str">
        <x:v>55.20</x:v>
      </x:c>
      <x:c r="H2810" s="37" t="str">
        <x:v>0.00</x:v>
      </x:c>
      <x:c r="I2810" s="37" t="str">
        <x:v>28.87</x:v>
      </x:c>
      <x:c r="J2810" s="37" t="str">
        <x:v>0.00</x:v>
      </x:c>
      <x:c r="K2810" s="37" t="str">
        <x:v>26.33</x:v>
      </x:c>
      <x:c r="L2810" s="37" t="str">
        <x:v>101</x:v>
      </x:c>
      <x:c r="M2810" s="29" t="str">
        <x:v>50.63</x:v>
      </x:c>
      <x:c r="N2810" s="29" t="str">
        <x:v>43.98</x:v>
      </x:c>
      <x:c r="O2810" s="29" t="str">
        <x:v>6.65</x:v>
      </x:c>
      <x:c r="P2810" s="18" t="str">
        <x:v>2026-06-21</x:v>
      </x:c>
      <x:c r="Q2810" s="36" t="n">
        <x:v>46194</x:v>
      </x:c>
    </x:row>
    <x:row r="2811">
      <x:c r="A2811" s="36" t="str">
        <x:v>2026-06-21</x:v>
      </x:c>
      <x:c r="B2811" s="18" t="str">
        <x:v>101437000_98863</x:v>
      </x:c>
      <x:c r="C2811" s="18" t="str">
        <x:v>【沪村小电】欣菊苑充电站</x:v>
      </x:c>
      <x:c r="D2811" s="37" t="str">
        <x:v>4</x:v>
      </x:c>
      <x:c r="E2811" s="37" t="str">
        <x:v>0</x:v>
      </x:c>
      <x:c r="F2811" s="37" t="str">
        <x:v>6</x:v>
      </x:c>
      <x:c r="G2811" s="37" t="str">
        <x:v>124.81</x:v>
      </x:c>
      <x:c r="H2811" s="37" t="str">
        <x:v>0.00</x:v>
      </x:c>
      <x:c r="I2811" s="37" t="str">
        <x:v>113.47</x:v>
      </x:c>
      <x:c r="J2811" s="37" t="str">
        <x:v>0.00</x:v>
      </x:c>
      <x:c r="K2811" s="37" t="str">
        <x:v>11.34</x:v>
      </x:c>
      <x:c r="L2811" s="37" t="str">
        <x:v>228</x:v>
      </x:c>
      <x:c r="M2811" s="29" t="str">
        <x:v>130.26</x:v>
      </x:c>
      <x:c r="N2811" s="29" t="str">
        <x:v>88.28</x:v>
      </x:c>
      <x:c r="O2811" s="29" t="str">
        <x:v>41.98</x:v>
      </x:c>
      <x:c r="P2811" s="18" t="str">
        <x:v>2026-06-21</x:v>
      </x:c>
      <x:c r="Q2811" s="36" t="n">
        <x:v>46194</x:v>
      </x:c>
    </x:row>
    <x:row r="2812">
      <x:c r="A2812" s="36" t="str">
        <x:v>2026-06-21</x:v>
      </x:c>
      <x:c r="B2812" s="18" t="str">
        <x:v>101437000_98865</x:v>
      </x:c>
      <x:c r="C2812" s="18" t="str">
        <x:v>【沪村小电】欣松苑充电站</x:v>
      </x:c>
      <x:c r="D2812" s="37" t="str">
        <x:v>4</x:v>
      </x:c>
      <x:c r="E2812" s="37" t="str">
        <x:v>0</x:v>
      </x:c>
      <x:c r="F2812" s="37" t="str">
        <x:v>3</x:v>
      </x:c>
      <x:c r="G2812" s="37" t="str">
        <x:v>38.44</x:v>
      </x:c>
      <x:c r="H2812" s="37" t="str">
        <x:v>0.00</x:v>
      </x:c>
      <x:c r="I2812" s="37" t="str">
        <x:v>38.44</x:v>
      </x:c>
      <x:c r="J2812" s="37" t="str">
        <x:v>0.00</x:v>
      </x:c>
      <x:c r="K2812" s="37" t="str">
        <x:v>0.00</x:v>
      </x:c>
      <x:c r="L2812" s="37" t="str">
        <x:v>52</x:v>
      </x:c>
      <x:c r="M2812" s="29" t="str">
        <x:v>36.43</x:v>
      </x:c>
      <x:c r="N2812" s="29" t="str">
        <x:v>28.44</x:v>
      </x:c>
      <x:c r="O2812" s="29" t="str">
        <x:v>7.99</x:v>
      </x:c>
      <x:c r="P2812" s="18" t="str">
        <x:v>2026-06-21</x:v>
      </x:c>
      <x:c r="Q2812" s="36" t="n">
        <x:v>46194</x:v>
      </x:c>
    </x:row>
    <x:row r="2813">
      <x:c r="A2813" s="36" t="str">
        <x:v>2026-06-21</x:v>
      </x:c>
      <x:c r="B2813" s="18" t="str">
        <x:v>101437000_98867</x:v>
      </x:c>
      <x:c r="C2813" s="18" t="str">
        <x:v>【沪村小电】欣荷苑充电站</x:v>
      </x:c>
      <x:c r="D2813" s="37" t="str">
        <x:v>4</x:v>
      </x:c>
      <x:c r="E2813" s="37" t="str">
        <x:v>0</x:v>
      </x:c>
      <x:c r="F2813" s="37" t="str">
        <x:v>2</x:v>
      </x:c>
      <x:c r="G2813" s="37" t="str">
        <x:v>43.50</x:v>
      </x:c>
      <x:c r="H2813" s="37" t="str">
        <x:v>0.00</x:v>
      </x:c>
      <x:c r="I2813" s="37" t="str">
        <x:v>0.00</x:v>
      </x:c>
      <x:c r="J2813" s="37" t="str">
        <x:v>0.00</x:v>
      </x:c>
      <x:c r="K2813" s="37" t="str">
        <x:v>43.50</x:v>
      </x:c>
      <x:c r="L2813" s="37" t="str">
        <x:v>94</x:v>
      </x:c>
      <x:c r="M2813" s="29" t="str">
        <x:v>26.64</x:v>
      </x:c>
      <x:c r="N2813" s="29" t="str">
        <x:v>16.53</x:v>
      </x:c>
      <x:c r="O2813" s="29" t="str">
        <x:v>10.11</x:v>
      </x:c>
      <x:c r="P2813" s="18" t="str">
        <x:v>2026-06-21</x:v>
      </x:c>
      <x:c r="Q2813" s="36" t="n">
        <x:v>46194</x:v>
      </x:c>
    </x:row>
    <x:row r="2814">
      <x:c r="A2814" s="36" t="str">
        <x:v>2026-06-21</x:v>
      </x:c>
      <x:c r="B2814" s="18" t="str">
        <x:v>101437000_99885</x:v>
      </x:c>
      <x:c r="C2814" s="18" t="str">
        <x:v>【沪村小电】汇丰馨苑充电站</x:v>
      </x:c>
      <x:c r="D2814" s="37" t="str">
        <x:v>4</x:v>
      </x:c>
      <x:c r="E2814" s="37" t="str">
        <x:v>0</x:v>
      </x:c>
      <x:c r="F2814" s="37" t="str">
        <x:v>6</x:v>
      </x:c>
      <x:c r="G2814" s="37" t="str">
        <x:v>93.94</x:v>
      </x:c>
      <x:c r="H2814" s="37" t="str">
        <x:v>0.00</x:v>
      </x:c>
      <x:c r="I2814" s="37" t="str">
        <x:v>9.40</x:v>
      </x:c>
      <x:c r="J2814" s="37" t="str">
        <x:v>44.81</x:v>
      </x:c>
      <x:c r="K2814" s="37" t="str">
        <x:v>39.74</x:v>
      </x:c>
      <x:c r="L2814" s="37" t="str">
        <x:v>188</x:v>
      </x:c>
      <x:c r="M2814" s="29" t="str">
        <x:v>78.84</x:v>
      </x:c>
      <x:c r="N2814" s="29" t="str">
        <x:v>57.86</x:v>
      </x:c>
      <x:c r="O2814" s="29" t="str">
        <x:v>20.98</x:v>
      </x:c>
      <x:c r="P2814" s="18" t="str">
        <x:v>2026-06-21</x:v>
      </x:c>
      <x:c r="Q2814" s="36" t="n">
        <x:v>46194</x:v>
      </x:c>
    </x:row>
    <x:row r="2815">
      <x:c r="A2815" s="36" t="str">
        <x:v>2026-06-21</x:v>
      </x:c>
      <x:c r="B2815" s="18" t="str">
        <x:v>101437000_99887</x:v>
      </x:c>
      <x:c r="C2815" s="18" t="str">
        <x:v>【沪村小电】新南村河南小区充电站</x:v>
      </x:c>
      <x:c r="D2815" s="37" t="str">
        <x:v>2</x:v>
      </x:c>
      <x:c r="E2815" s="37" t="str">
        <x:v>0</x:v>
      </x:c>
      <x:c r="F2815" s="37" t="str">
        <x:v>7</x:v>
      </x:c>
      <x:c r="G2815" s="37" t="str">
        <x:v>147.61</x:v>
      </x:c>
      <x:c r="H2815" s="37" t="str">
        <x:v>0.00</x:v>
      </x:c>
      <x:c r="I2815" s="37" t="str">
        <x:v>69.29</x:v>
      </x:c>
      <x:c r="J2815" s="37" t="str">
        <x:v>0.00</x:v>
      </x:c>
      <x:c r="K2815" s="37" t="str">
        <x:v>78.32</x:v>
      </x:c>
      <x:c r="L2815" s="37" t="str">
        <x:v>312</x:v>
      </x:c>
      <x:c r="M2815" s="29" t="str">
        <x:v>107.60</x:v>
      </x:c>
      <x:c r="N2815" s="29" t="str">
        <x:v>81.04</x:v>
      </x:c>
      <x:c r="O2815" s="29" t="str">
        <x:v>26.56</x:v>
      </x:c>
      <x:c r="P2815" s="18" t="str">
        <x:v>2026-06-21</x:v>
      </x:c>
      <x:c r="Q2815" s="36" t="n">
        <x:v>46194</x:v>
      </x:c>
    </x:row>
    <x:row r="2816">
      <x:c r="A2816" s="36" t="str">
        <x:v>2026-06-21</x:v>
      </x:c>
      <x:c r="B2816" s="18" t="str">
        <x:v>101437000_99889</x:v>
      </x:c>
      <x:c r="C2816" s="18" t="str">
        <x:v>【沪村小电】漕泾郊野公园</x:v>
      </x:c>
      <x:c r="D2816" s="37" t="str">
        <x:v>2</x:v>
      </x:c>
      <x:c r="E2816" s="37" t="str">
        <x:v>0</x:v>
      </x:c>
      <x:c r="F2816" s="37" t="str">
        <x:v>4</x:v>
      </x:c>
      <x:c r="G2816" s="37" t="str">
        <x:v>98.78</x:v>
      </x:c>
      <x:c r="H2816" s="37" t="str">
        <x:v>0.00</x:v>
      </x:c>
      <x:c r="I2816" s="37" t="str">
        <x:v>61.81</x:v>
      </x:c>
      <x:c r="J2816" s="37" t="str">
        <x:v>36.96</x:v>
      </x:c>
      <x:c r="K2816" s="37" t="str">
        <x:v>0.00</x:v>
      </x:c>
      <x:c r="L2816" s="37" t="str">
        <x:v>146</x:v>
      </x:c>
      <x:c r="M2816" s="29" t="str">
        <x:v>107.09</x:v>
      </x:c>
      <x:c r="N2816" s="29" t="str">
        <x:v>82.61</x:v>
      </x:c>
      <x:c r="O2816" s="29" t="str">
        <x:v>24.48</x:v>
      </x:c>
      <x:c r="P2816" s="18" t="str">
        <x:v>2026-06-21</x:v>
      </x:c>
      <x:c r="Q2816" s="36" t="n">
        <x:v>46194</x:v>
      </x:c>
    </x:row>
    <x:row r="2817">
      <x:c r="A2817" s="36" t="str">
        <x:v>2026-06-20</x:v>
      </x:c>
      <x:c r="B2817" s="18" t="str">
        <x:v>101437000_41561</x:v>
      </x:c>
      <x:c r="C2817" s="18" t="str">
        <x:v>【沪村小电】张施小区大门处快充站</x:v>
      </x:c>
      <x:c r="D2817" s="37" t="str">
        <x:v>2</x:v>
      </x:c>
      <x:c r="E2817" s="37" t="str">
        <x:v>0</x:v>
      </x:c>
      <x:c r="F2817" s="37" t="str">
        <x:v>38</x:v>
      </x:c>
      <x:c r="G2817" s="37" t="str">
        <x:v>944.60</x:v>
      </x:c>
      <x:c r="H2817" s="37" t="str">
        <x:v>0.00</x:v>
      </x:c>
      <x:c r="I2817" s="37" t="str">
        <x:v>433.37</x:v>
      </x:c>
      <x:c r="J2817" s="37" t="str">
        <x:v>0.00</x:v>
      </x:c>
      <x:c r="K2817" s="37" t="str">
        <x:v>511.23</x:v>
      </x:c>
      <x:c r="L2817" s="37" t="str">
        <x:v>1622</x:v>
      </x:c>
      <x:c r="M2817" s="29" t="str">
        <x:v>672.87</x:v>
      </x:c>
      <x:c r="N2817" s="29" t="str">
        <x:v>514.94</x:v>
      </x:c>
      <x:c r="O2817" s="29" t="str">
        <x:v>157.93</x:v>
      </x:c>
      <x:c r="P2817" s="18" t="str">
        <x:v>2026-06-20</x:v>
      </x:c>
      <x:c r="Q2817" s="36" t="n">
        <x:v>46193</x:v>
      </x:c>
    </x:row>
    <x:row r="2818">
      <x:c r="A2818" s="36" t="str">
        <x:v>2026-06-20</x:v>
      </x:c>
      <x:c r="B2818" s="18" t="str">
        <x:v>101437000_41563</x:v>
      </x:c>
      <x:c r="C2818" s="18" t="str">
        <x:v>【沪村小电】同心村快充站</x:v>
      </x:c>
      <x:c r="D2818" s="37" t="str">
        <x:v>4</x:v>
      </x:c>
      <x:c r="E2818" s="37" t="str">
        <x:v>0</x:v>
      </x:c>
      <x:c r="F2818" s="37" t="str">
        <x:v>51</x:v>
      </x:c>
      <x:c r="G2818" s="37" t="str">
        <x:v>1241.01</x:v>
      </x:c>
      <x:c r="H2818" s="37" t="str">
        <x:v>0.00</x:v>
      </x:c>
      <x:c r="I2818" s="37" t="str">
        <x:v>867.50</x:v>
      </x:c>
      <x:c r="J2818" s="37" t="str">
        <x:v>0.00</x:v>
      </x:c>
      <x:c r="K2818" s="37" t="str">
        <x:v>373.51</x:v>
      </x:c>
      <x:c r="L2818" s="37" t="str">
        <x:v>2694</x:v>
      </x:c>
      <x:c r="M2818" s="29" t="str">
        <x:v>1073.15</x:v>
      </x:c>
      <x:c r="N2818" s="29" t="str">
        <x:v>733.04</x:v>
      </x:c>
      <x:c r="O2818" s="29" t="str">
        <x:v>340.11</x:v>
      </x:c>
      <x:c r="P2818" s="18" t="str">
        <x:v>2026-06-20</x:v>
      </x:c>
      <x:c r="Q2818" s="36" t="n">
        <x:v>46193</x:v>
      </x:c>
    </x:row>
    <x:row r="2819">
      <x:c r="A2819" s="36" t="str">
        <x:v>2026-06-20</x:v>
      </x:c>
      <x:c r="B2819" s="18" t="str">
        <x:v>101437000_69629</x:v>
      </x:c>
      <x:c r="C2819" s="18" t="str">
        <x:v>【沪村小电】骏丰玲珑坊西苑充电站</x:v>
      </x:c>
      <x:c r="D2819" s="37" t="str">
        <x:v>2</x:v>
      </x:c>
      <x:c r="E2819" s="37" t="str">
        <x:v>0</x:v>
      </x:c>
      <x:c r="F2819" s="37" t="str">
        <x:v>47</x:v>
      </x:c>
      <x:c r="G2819" s="37" t="str">
        <x:v>1027.00</x:v>
      </x:c>
      <x:c r="H2819" s="37" t="str">
        <x:v>0.00</x:v>
      </x:c>
      <x:c r="I2819" s="37" t="str">
        <x:v>567.07</x:v>
      </x:c>
      <x:c r="J2819" s="37" t="str">
        <x:v>0.00</x:v>
      </x:c>
      <x:c r="K2819" s="37" t="str">
        <x:v>459.93</x:v>
      </x:c>
      <x:c r="L2819" s="37" t="str">
        <x:v>1848</x:v>
      </x:c>
      <x:c r="M2819" s="29" t="str">
        <x:v>806.01</x:v>
      </x:c>
      <x:c r="N2819" s="29" t="str">
        <x:v>594.40</x:v>
      </x:c>
      <x:c r="O2819" s="29" t="str">
        <x:v>211.61</x:v>
      </x:c>
      <x:c r="P2819" s="18" t="str">
        <x:v>2026-06-20</x:v>
      </x:c>
      <x:c r="Q2819" s="36" t="n">
        <x:v>46193</x:v>
      </x:c>
    </x:row>
    <x:row r="2820">
      <x:c r="A2820" s="36" t="str">
        <x:v>2026-06-20</x:v>
      </x:c>
      <x:c r="B2820" s="18" t="str">
        <x:v>101437000_70547</x:v>
      </x:c>
      <x:c r="C2820" s="18" t="str">
        <x:v>【沪村小电】农建村初心馆党群服务中心充电站</x:v>
      </x:c>
      <x:c r="D2820" s="37" t="str">
        <x:v>4</x:v>
      </x:c>
      <x:c r="E2820" s="37" t="str">
        <x:v>0</x:v>
      </x:c>
      <x:c r="F2820" s="37" t="str">
        <x:v>21</x:v>
      </x:c>
      <x:c r="G2820" s="37" t="str">
        <x:v>514.87</x:v>
      </x:c>
      <x:c r="H2820" s="37" t="str">
        <x:v>0.00</x:v>
      </x:c>
      <x:c r="I2820" s="37" t="str">
        <x:v>261.95</x:v>
      </x:c>
      <x:c r="J2820" s="37" t="str">
        <x:v>0.00</x:v>
      </x:c>
      <x:c r="K2820" s="37" t="str">
        <x:v>252.93</x:v>
      </x:c>
      <x:c r="L2820" s="37" t="str">
        <x:v>752</x:v>
      </x:c>
      <x:c r="M2820" s="29" t="str">
        <x:v>463.40</x:v>
      </x:c>
      <x:c r="N2820" s="29" t="str">
        <x:v>406.50</x:v>
      </x:c>
      <x:c r="O2820" s="29" t="str">
        <x:v>56.90</x:v>
      </x:c>
      <x:c r="P2820" s="18" t="str">
        <x:v>2026-06-20</x:v>
      </x:c>
      <x:c r="Q2820" s="36" t="n">
        <x:v>46193</x:v>
      </x:c>
    </x:row>
    <x:row r="2821">
      <x:c r="A2821" s="36" t="str">
        <x:v>2026-06-20</x:v>
      </x:c>
      <x:c r="B2821" s="18" t="str">
        <x:v>101437000_70549</x:v>
      </x:c>
      <x:c r="C2821" s="18" t="str">
        <x:v>【沪村小电】学府路充电站</x:v>
      </x:c>
      <x:c r="D2821" s="37" t="str">
        <x:v>2</x:v>
      </x:c>
      <x:c r="E2821" s="37" t="str">
        <x:v>0</x:v>
      </x:c>
      <x:c r="F2821" s="37" t="str">
        <x:v>8</x:v>
      </x:c>
      <x:c r="G2821" s="37" t="str">
        <x:v>192.77</x:v>
      </x:c>
      <x:c r="H2821" s="37" t="str">
        <x:v>0.00</x:v>
      </x:c>
      <x:c r="I2821" s="37" t="str">
        <x:v>105.77</x:v>
      </x:c>
      <x:c r="J2821" s="37" t="str">
        <x:v>0.00</x:v>
      </x:c>
      <x:c r="K2821" s="37" t="str">
        <x:v>87.00</x:v>
      </x:c>
      <x:c r="L2821" s="37" t="str">
        <x:v>302</x:v>
      </x:c>
      <x:c r="M2821" s="29" t="str">
        <x:v>175.86</x:v>
      </x:c>
      <x:c r="N2821" s="29" t="str">
        <x:v>156.12</x:v>
      </x:c>
      <x:c r="O2821" s="29" t="str">
        <x:v>19.74</x:v>
      </x:c>
      <x:c r="P2821" s="18" t="str">
        <x:v>2026-06-20</x:v>
      </x:c>
      <x:c r="Q2821" s="36" t="n">
        <x:v>46193</x:v>
      </x:c>
    </x:row>
    <x:row r="2822">
      <x:c r="A2822" s="36" t="str">
        <x:v>2026-06-20</x:v>
      </x:c>
      <x:c r="B2822" s="18" t="str">
        <x:v>101437000_71059</x:v>
      </x:c>
      <x:c r="C2822" s="18" t="str">
        <x:v>【沪村小电】宝乐汇商业广场站</x:v>
      </x:c>
      <x:c r="D2822" s="37" t="str">
        <x:v>4</x:v>
      </x:c>
      <x:c r="E2822" s="37" t="str">
        <x:v>0</x:v>
      </x:c>
      <x:c r="F2822" s="37" t="str">
        <x:v>15</x:v>
      </x:c>
      <x:c r="G2822" s="37" t="str">
        <x:v>361.46</x:v>
      </x:c>
      <x:c r="H2822" s="37" t="str">
        <x:v>0.00</x:v>
      </x:c>
      <x:c r="I2822" s="37" t="str">
        <x:v>42.73</x:v>
      </x:c>
      <x:c r="J2822" s="37" t="str">
        <x:v>178.88</x:v>
      </x:c>
      <x:c r="K2822" s="37" t="str">
        <x:v>139.86</x:v>
      </x:c>
      <x:c r="L2822" s="37" t="str">
        <x:v>508</x:v>
      </x:c>
      <x:c r="M2822" s="29" t="str">
        <x:v>334.45</x:v>
      </x:c>
      <x:c r="N2822" s="29" t="str">
        <x:v>225.89</x:v>
      </x:c>
      <x:c r="O2822" s="29" t="str">
        <x:v>108.56</x:v>
      </x:c>
      <x:c r="P2822" s="18" t="str">
        <x:v>2026-06-20</x:v>
      </x:c>
      <x:c r="Q2822" s="36" t="n">
        <x:v>46193</x:v>
      </x:c>
    </x:row>
    <x:row r="2823">
      <x:c r="A2823" s="36" t="str">
        <x:v>2026-06-20</x:v>
      </x:c>
      <x:c r="B2823" s="18" t="str">
        <x:v>101437000_72541</x:v>
      </x:c>
      <x:c r="C2823" s="18" t="str">
        <x:v>【沪村小电】九干路1174弄充电站</x:v>
      </x:c>
      <x:c r="D2823" s="37" t="str">
        <x:v>2</x:v>
      </x:c>
      <x:c r="E2823" s="37" t="str">
        <x:v>0</x:v>
      </x:c>
      <x:c r="F2823" s="37" t="str">
        <x:v>20</x:v>
      </x:c>
      <x:c r="G2823" s="37" t="str">
        <x:v>317.28</x:v>
      </x:c>
      <x:c r="H2823" s="37" t="str">
        <x:v>0.00</x:v>
      </x:c>
      <x:c r="I2823" s="37" t="str">
        <x:v>156.52</x:v>
      </x:c>
      <x:c r="J2823" s="37" t="str">
        <x:v>0.00</x:v>
      </x:c>
      <x:c r="K2823" s="37" t="str">
        <x:v>160.77</x:v>
      </x:c>
      <x:c r="L2823" s="37" t="str">
        <x:v>655</x:v>
      </x:c>
      <x:c r="M2823" s="29" t="str">
        <x:v>242.35</x:v>
      </x:c>
      <x:c r="N2823" s="29" t="str">
        <x:v>176.90</x:v>
      </x:c>
      <x:c r="O2823" s="29" t="str">
        <x:v>65.45</x:v>
      </x:c>
      <x:c r="P2823" s="18" t="str">
        <x:v>2026-06-20</x:v>
      </x:c>
      <x:c r="Q2823" s="36" t="n">
        <x:v>46193</x:v>
      </x:c>
    </x:row>
    <x:row r="2824">
      <x:c r="A2824" s="36" t="str">
        <x:v>2026-06-20</x:v>
      </x:c>
      <x:c r="B2824" s="18" t="str">
        <x:v>101437000_72543</x:v>
      </x:c>
      <x:c r="C2824" s="18" t="str">
        <x:v>【沪村小电】叶家中心村小区充电站</x:v>
      </x:c>
      <x:c r="D2824" s="37" t="str">
        <x:v>2</x:v>
      </x:c>
      <x:c r="E2824" s="37" t="str">
        <x:v>0</x:v>
      </x:c>
      <x:c r="F2824" s="37" t="str">
        <x:v>40</x:v>
      </x:c>
      <x:c r="G2824" s="37" t="str">
        <x:v>818.00</x:v>
      </x:c>
      <x:c r="H2824" s="37" t="str">
        <x:v>0.00</x:v>
      </x:c>
      <x:c r="I2824" s="37" t="str">
        <x:v>400.05</x:v>
      </x:c>
      <x:c r="J2824" s="37" t="str">
        <x:v>0.00</x:v>
      </x:c>
      <x:c r="K2824" s="37" t="str">
        <x:v>417.95</x:v>
      </x:c>
      <x:c r="L2824" s="37" t="str">
        <x:v>1544</x:v>
      </x:c>
      <x:c r="M2824" s="29" t="str">
        <x:v>621.87</x:v>
      </x:c>
      <x:c r="N2824" s="29" t="str">
        <x:v>454.85</x:v>
      </x:c>
      <x:c r="O2824" s="29" t="str">
        <x:v>167.02</x:v>
      </x:c>
      <x:c r="P2824" s="18" t="str">
        <x:v>2026-06-20</x:v>
      </x:c>
      <x:c r="Q2824" s="36" t="n">
        <x:v>46193</x:v>
      </x:c>
    </x:row>
    <x:row r="2825">
      <x:c r="A2825" s="36" t="str">
        <x:v>2026-06-20</x:v>
      </x:c>
      <x:c r="B2825" s="18" t="str">
        <x:v>101437000_72937</x:v>
      </x:c>
      <x:c r="C2825" s="18" t="str">
        <x:v>【沪村小电】佘北家园茸腾苑充电站</x:v>
      </x:c>
      <x:c r="D2825" s="37" t="str">
        <x:v>4</x:v>
      </x:c>
      <x:c r="E2825" s="37" t="str">
        <x:v>0</x:v>
      </x:c>
      <x:c r="F2825" s="37" t="str">
        <x:v>13</x:v>
      </x:c>
      <x:c r="G2825" s="37" t="str">
        <x:v>284.76</x:v>
      </x:c>
      <x:c r="H2825" s="37" t="str">
        <x:v>0.00</x:v>
      </x:c>
      <x:c r="I2825" s="37" t="str">
        <x:v>284.76</x:v>
      </x:c>
      <x:c r="J2825" s="37" t="str">
        <x:v>0.00</x:v>
      </x:c>
      <x:c r="K2825" s="37" t="str">
        <x:v>0.00</x:v>
      </x:c>
      <x:c r="L2825" s="37" t="str">
        <x:v>462</x:v>
      </x:c>
      <x:c r="M2825" s="29" t="str">
        <x:v>273.19</x:v>
      </x:c>
      <x:c r="N2825" s="29" t="str">
        <x:v>210.74</x:v>
      </x:c>
      <x:c r="O2825" s="29" t="str">
        <x:v>62.45</x:v>
      </x:c>
      <x:c r="P2825" s="18" t="str">
        <x:v>2026-06-20</x:v>
      </x:c>
      <x:c r="Q2825" s="36" t="n">
        <x:v>46193</x:v>
      </x:c>
    </x:row>
    <x:row r="2826">
      <x:c r="A2826" s="36" t="str">
        <x:v>2026-06-20</x:v>
      </x:c>
      <x:c r="B2826" s="18" t="str">
        <x:v>101437000_74223</x:v>
      </x:c>
      <x:c r="C2826" s="18" t="str">
        <x:v>【沪村小电】中兴村委会充电站</x:v>
      </x:c>
      <x:c r="D2826" s="37" t="str">
        <x:v>2</x:v>
      </x:c>
      <x:c r="E2826" s="37" t="str">
        <x:v>0</x:v>
      </x:c>
      <x:c r="F2826" s="37" t="str">
        <x:v>13</x:v>
      </x:c>
      <x:c r="G2826" s="37" t="str">
        <x:v>370.06</x:v>
      </x:c>
      <x:c r="H2826" s="37" t="str">
        <x:v>0.00</x:v>
      </x:c>
      <x:c r="I2826" s="37" t="str">
        <x:v>133.94</x:v>
      </x:c>
      <x:c r="J2826" s="37" t="str">
        <x:v>0.00</x:v>
      </x:c>
      <x:c r="K2826" s="37" t="str">
        <x:v>236.13</x:v>
      </x:c>
      <x:c r="L2826" s="37" t="str">
        <x:v>545</x:v>
      </x:c>
      <x:c r="M2826" s="29" t="str">
        <x:v>311.90</x:v>
      </x:c>
      <x:c r="N2826" s="29" t="str">
        <x:v>264.43</x:v>
      </x:c>
      <x:c r="O2826" s="29" t="str">
        <x:v>47.47</x:v>
      </x:c>
      <x:c r="P2826" s="18" t="str">
        <x:v>2026-06-20</x:v>
      </x:c>
      <x:c r="Q2826" s="36" t="n">
        <x:v>46193</x:v>
      </x:c>
    </x:row>
    <x:row r="2827">
      <x:c r="A2827" s="36" t="str">
        <x:v>2026-06-20</x:v>
      </x:c>
      <x:c r="B2827" s="18" t="str">
        <x:v>101437000_74801</x:v>
      </x:c>
      <x:c r="C2827" s="18" t="str">
        <x:v>【沪村小电】申良花园充电站</x:v>
      </x:c>
      <x:c r="D2827" s="37" t="str">
        <x:v>4</x:v>
      </x:c>
      <x:c r="E2827" s="37" t="str">
        <x:v>0</x:v>
      </x:c>
      <x:c r="F2827" s="37" t="str">
        <x:v>8</x:v>
      </x:c>
      <x:c r="G2827" s="37" t="str">
        <x:v>152.68</x:v>
      </x:c>
      <x:c r="H2827" s="37" t="str">
        <x:v>0.00</x:v>
      </x:c>
      <x:c r="I2827" s="37" t="str">
        <x:v>114.48</x:v>
      </x:c>
      <x:c r="J2827" s="37" t="str">
        <x:v>0.00</x:v>
      </x:c>
      <x:c r="K2827" s="37" t="str">
        <x:v>38.20</x:v>
      </x:c>
      <x:c r="L2827" s="37" t="str">
        <x:v>241</x:v>
      </x:c>
      <x:c r="M2827" s="29" t="str">
        <x:v>150.93</x:v>
      </x:c>
      <x:c r="N2827" s="29" t="str">
        <x:v>99.21</x:v>
      </x:c>
      <x:c r="O2827" s="29" t="str">
        <x:v>51.72</x:v>
      </x:c>
      <x:c r="P2827" s="18" t="str">
        <x:v>2026-06-20</x:v>
      </x:c>
      <x:c r="Q2827" s="36" t="n">
        <x:v>46193</x:v>
      </x:c>
    </x:row>
    <x:row r="2828">
      <x:c r="A2828" s="36" t="str">
        <x:v>2026-06-20</x:v>
      </x:c>
      <x:c r="B2828" s="18" t="str">
        <x:v>101437000_74931</x:v>
      </x:c>
      <x:c r="C2828" s="18" t="str">
        <x:v>【沪村小电】枫雅南居充电站</x:v>
      </x:c>
      <x:c r="D2828" s="37" t="str">
        <x:v>2</x:v>
      </x:c>
      <x:c r="E2828" s="37" t="str">
        <x:v>0</x:v>
      </x:c>
      <x:c r="F2828" s="37" t="str">
        <x:v>8</x:v>
      </x:c>
      <x:c r="G2828" s="37" t="str">
        <x:v>222.79</x:v>
      </x:c>
      <x:c r="H2828" s="37" t="str">
        <x:v>0.00</x:v>
      </x:c>
      <x:c r="I2828" s="37" t="str">
        <x:v>118.28</x:v>
      </x:c>
      <x:c r="J2828" s="37" t="str">
        <x:v>0.00</x:v>
      </x:c>
      <x:c r="K2828" s="37" t="str">
        <x:v>104.52</x:v>
      </x:c>
      <x:c r="L2828" s="37" t="str">
        <x:v>353</x:v>
      </x:c>
      <x:c r="M2828" s="29" t="str">
        <x:v>155.27</x:v>
      </x:c>
      <x:c r="N2828" s="29" t="str">
        <x:v>102.19</x:v>
      </x:c>
      <x:c r="O2828" s="29" t="str">
        <x:v>53.08</x:v>
      </x:c>
      <x:c r="P2828" s="18" t="str">
        <x:v>2026-06-20</x:v>
      </x:c>
      <x:c r="Q2828" s="36" t="n">
        <x:v>46193</x:v>
      </x:c>
    </x:row>
    <x:row r="2829">
      <x:c r="A2829" s="36" t="str">
        <x:v>2026-06-20</x:v>
      </x:c>
      <x:c r="B2829" s="18" t="str">
        <x:v>101437000_75901</x:v>
      </x:c>
      <x:c r="C2829" s="18" t="str">
        <x:v>【沪村小电】金悦学府</x:v>
      </x:c>
      <x:c r="D2829" s="37" t="str">
        <x:v>2</x:v>
      </x:c>
      <x:c r="E2829" s="37" t="str">
        <x:v>0</x:v>
      </x:c>
      <x:c r="F2829" s="37" t="str">
        <x:v>47</x:v>
      </x:c>
      <x:c r="G2829" s="37" t="str">
        <x:v>361.65</x:v>
      </x:c>
      <x:c r="H2829" s="37" t="str">
        <x:v>0.00</x:v>
      </x:c>
      <x:c r="I2829" s="37" t="str">
        <x:v>177.02</x:v>
      </x:c>
      <x:c r="J2829" s="37" t="str">
        <x:v>0.00</x:v>
      </x:c>
      <x:c r="K2829" s="37" t="str">
        <x:v>184.63</x:v>
      </x:c>
      <x:c r="L2829" s="37" t="str">
        <x:v>540</x:v>
      </x:c>
      <x:c r="M2829" s="29" t="str">
        <x:v>274.40</x:v>
      </x:c>
      <x:c r="N2829" s="29" t="str">
        <x:v>161.70</x:v>
      </x:c>
      <x:c r="O2829" s="29" t="str">
        <x:v>112.70</x:v>
      </x:c>
      <x:c r="P2829" s="18" t="str">
        <x:v>2026-06-20</x:v>
      </x:c>
      <x:c r="Q2829" s="36" t="n">
        <x:v>46193</x:v>
      </x:c>
    </x:row>
    <x:row r="2830">
      <x:c r="A2830" s="36" t="str">
        <x:v>2026-06-20</x:v>
      </x:c>
      <x:c r="B2830" s="18" t="str">
        <x:v>101437000_76091</x:v>
      </x:c>
      <x:c r="C2830" s="18" t="str">
        <x:v>【沪村小电】恒信家园充电站</x:v>
      </x:c>
      <x:c r="D2830" s="37" t="str">
        <x:v>2</x:v>
      </x:c>
      <x:c r="E2830" s="37" t="str">
        <x:v>0</x:v>
      </x:c>
      <x:c r="F2830" s="37" t="str">
        <x:v>37</x:v>
      </x:c>
      <x:c r="G2830" s="37" t="str">
        <x:v>946.42</x:v>
      </x:c>
      <x:c r="H2830" s="37" t="str">
        <x:v>0.00</x:v>
      </x:c>
      <x:c r="I2830" s="37" t="str">
        <x:v>516.88</x:v>
      </x:c>
      <x:c r="J2830" s="37" t="str">
        <x:v>0.00</x:v>
      </x:c>
      <x:c r="K2830" s="37" t="str">
        <x:v>429.54</x:v>
      </x:c>
      <x:c r="L2830" s="37" t="str">
        <x:v>1670</x:v>
      </x:c>
      <x:c r="M2830" s="29" t="str">
        <x:v>830.72</x:v>
      </x:c>
      <x:c r="N2830" s="29" t="str">
        <x:v>545.71</x:v>
      </x:c>
      <x:c r="O2830" s="29" t="str">
        <x:v>285.01</x:v>
      </x:c>
      <x:c r="P2830" s="18" t="str">
        <x:v>2026-06-20</x:v>
      </x:c>
      <x:c r="Q2830" s="36" t="n">
        <x:v>46193</x:v>
      </x:c>
    </x:row>
    <x:row r="2831">
      <x:c r="A2831" s="36" t="str">
        <x:v>2026-06-20</x:v>
      </x:c>
      <x:c r="B2831" s="18" t="str">
        <x:v>101437000_78235</x:v>
      </x:c>
      <x:c r="C2831" s="18" t="str">
        <x:v>【沪村小电】欣秋苑充电站</x:v>
      </x:c>
      <x:c r="D2831" s="37" t="str">
        <x:v>4</x:v>
      </x:c>
      <x:c r="E2831" s="37" t="str">
        <x:v>0</x:v>
      </x:c>
      <x:c r="F2831" s="37" t="str">
        <x:v>14</x:v>
      </x:c>
      <x:c r="G2831" s="37" t="str">
        <x:v>318.09</x:v>
      </x:c>
      <x:c r="H2831" s="37" t="str">
        <x:v>0.00</x:v>
      </x:c>
      <x:c r="I2831" s="37" t="str">
        <x:v>135.60</x:v>
      </x:c>
      <x:c r="J2831" s="37" t="str">
        <x:v>0.00</x:v>
      </x:c>
      <x:c r="K2831" s="37" t="str">
        <x:v>182.49</x:v>
      </x:c>
      <x:c r="L2831" s="37" t="str">
        <x:v>478</x:v>
      </x:c>
      <x:c r="M2831" s="29" t="str">
        <x:v>236.56</x:v>
      </x:c>
      <x:c r="N2831" s="29" t="str">
        <x:v>169.69</x:v>
      </x:c>
      <x:c r="O2831" s="29" t="str">
        <x:v>66.87</x:v>
      </x:c>
      <x:c r="P2831" s="18" t="str">
        <x:v>2026-06-20</x:v>
      </x:c>
      <x:c r="Q2831" s="36" t="n">
        <x:v>46193</x:v>
      </x:c>
    </x:row>
    <x:row r="2832">
      <x:c r="A2832" s="36" t="str">
        <x:v>2026-06-20</x:v>
      </x:c>
      <x:c r="B2832" s="18" t="str">
        <x:v>101437000_78237</x:v>
      </x:c>
      <x:c r="C2832" s="18" t="str">
        <x:v>【沪村小电】奉馨苑西门小区内北侧充电站</x:v>
      </x:c>
      <x:c r="D2832" s="37" t="str">
        <x:v>2</x:v>
      </x:c>
      <x:c r="E2832" s="37" t="str">
        <x:v>0</x:v>
      </x:c>
      <x:c r="F2832" s="37" t="str">
        <x:v>34</x:v>
      </x:c>
      <x:c r="G2832" s="37" t="str">
        <x:v>890.31</x:v>
      </x:c>
      <x:c r="H2832" s="37" t="str">
        <x:v>0.00</x:v>
      </x:c>
      <x:c r="I2832" s="37" t="str">
        <x:v>488.30</x:v>
      </x:c>
      <x:c r="J2832" s="37" t="str">
        <x:v>0.00</x:v>
      </x:c>
      <x:c r="K2832" s="37" t="str">
        <x:v>402.01</x:v>
      </x:c>
      <x:c r="L2832" s="37" t="str">
        <x:v>1261</x:v>
      </x:c>
      <x:c r="M2832" s="29" t="str">
        <x:v>728.83</x:v>
      </x:c>
      <x:c r="N2832" s="29" t="str">
        <x:v>514.10</x:v>
      </x:c>
      <x:c r="O2832" s="29" t="str">
        <x:v>214.73</x:v>
      </x:c>
      <x:c r="P2832" s="18" t="str">
        <x:v>2026-06-20</x:v>
      </x:c>
      <x:c r="Q2832" s="36" t="n">
        <x:v>46193</x:v>
      </x:c>
    </x:row>
    <x:row r="2833">
      <x:c r="A2833" s="36" t="str">
        <x:v>2026-06-20</x:v>
      </x:c>
      <x:c r="B2833" s="18" t="str">
        <x:v>101437000_78239</x:v>
      </x:c>
      <x:c r="C2833" s="18" t="str">
        <x:v>【沪村小电】恒大佘山首府东门充电站</x:v>
      </x:c>
      <x:c r="D2833" s="37" t="str">
        <x:v>2</x:v>
      </x:c>
      <x:c r="E2833" s="37" t="str">
        <x:v>0</x:v>
      </x:c>
      <x:c r="F2833" s="37" t="str">
        <x:v>34</x:v>
      </x:c>
      <x:c r="G2833" s="37" t="str">
        <x:v>1108.41</x:v>
      </x:c>
      <x:c r="H2833" s="37" t="str">
        <x:v>0.00</x:v>
      </x:c>
      <x:c r="I2833" s="37" t="str">
        <x:v>559.11</x:v>
      </x:c>
      <x:c r="J2833" s="37" t="str">
        <x:v>0.00</x:v>
      </x:c>
      <x:c r="K2833" s="37" t="str">
        <x:v>549.30</x:v>
      </x:c>
      <x:c r="L2833" s="37" t="str">
        <x:v>1619</x:v>
      </x:c>
      <x:c r="M2833" s="29" t="str">
        <x:v>871.85</x:v>
      </x:c>
      <x:c r="N2833" s="29" t="str">
        <x:v>622.47</x:v>
      </x:c>
      <x:c r="O2833" s="29" t="str">
        <x:v>249.38</x:v>
      </x:c>
      <x:c r="P2833" s="18" t="str">
        <x:v>2026-06-20</x:v>
      </x:c>
      <x:c r="Q2833" s="36" t="n">
        <x:v>46193</x:v>
      </x:c>
    </x:row>
    <x:row r="2834">
      <x:c r="A2834" s="36" t="str">
        <x:v>2026-06-20</x:v>
      </x:c>
      <x:c r="B2834" s="18" t="str">
        <x:v>101437000_80823</x:v>
      </x:c>
      <x:c r="C2834" s="18" t="str">
        <x:v>【沪村小电】上湖轩充电站</x:v>
      </x:c>
      <x:c r="D2834" s="37" t="str">
        <x:v>2</x:v>
      </x:c>
      <x:c r="E2834" s="37" t="str">
        <x:v>0</x:v>
      </x:c>
      <x:c r="F2834" s="37" t="str">
        <x:v>7</x:v>
      </x:c>
      <x:c r="G2834" s="37" t="str">
        <x:v>176.57</x:v>
      </x:c>
      <x:c r="H2834" s="37" t="str">
        <x:v>0.00</x:v>
      </x:c>
      <x:c r="I2834" s="37" t="str">
        <x:v>72.35</x:v>
      </x:c>
      <x:c r="J2834" s="37" t="str">
        <x:v>56.12</x:v>
      </x:c>
      <x:c r="K2834" s="37" t="str">
        <x:v>48.10</x:v>
      </x:c>
      <x:c r="L2834" s="37" t="str">
        <x:v>267</x:v>
      </x:c>
      <x:c r="M2834" s="29" t="str">
        <x:v>146.24</x:v>
      </x:c>
      <x:c r="N2834" s="29" t="str">
        <x:v>105.59</x:v>
      </x:c>
      <x:c r="O2834" s="29" t="str">
        <x:v>40.65</x:v>
      </x:c>
      <x:c r="P2834" s="18" t="str">
        <x:v>2026-06-20</x:v>
      </x:c>
      <x:c r="Q2834" s="36" t="n">
        <x:v>46193</x:v>
      </x:c>
    </x:row>
    <x:row r="2835">
      <x:c r="A2835" s="36" t="str">
        <x:v>2026-06-20</x:v>
      </x:c>
      <x:c r="B2835" s="18" t="str">
        <x:v>101437000_83019</x:v>
      </x:c>
      <x:c r="C2835" s="18" t="str">
        <x:v>【沪村小电】首创禧瑞云启东区充电站</x:v>
      </x:c>
      <x:c r="D2835" s="37" t="str">
        <x:v>2</x:v>
      </x:c>
      <x:c r="E2835" s="37" t="str">
        <x:v>0</x:v>
      </x:c>
      <x:c r="F2835" s="37" t="str">
        <x:v>36</x:v>
      </x:c>
      <x:c r="G2835" s="37" t="str">
        <x:v>974.90</x:v>
      </x:c>
      <x:c r="H2835" s="37" t="str">
        <x:v>0.00</x:v>
      </x:c>
      <x:c r="I2835" s="37" t="str">
        <x:v>705.96</x:v>
      </x:c>
      <x:c r="J2835" s="37" t="str">
        <x:v>0.00</x:v>
      </x:c>
      <x:c r="K2835" s="37" t="str">
        <x:v>268.94</x:v>
      </x:c>
      <x:c r="L2835" s="37" t="str">
        <x:v>1297</x:v>
      </x:c>
      <x:c r="M2835" s="29" t="str">
        <x:v>841.86</x:v>
      </x:c>
      <x:c r="N2835" s="29" t="str">
        <x:v>583.94</x:v>
      </x:c>
      <x:c r="O2835" s="29" t="str">
        <x:v>257.92</x:v>
      </x:c>
      <x:c r="P2835" s="18" t="str">
        <x:v>2026-06-20</x:v>
      </x:c>
      <x:c r="Q2835" s="36" t="n">
        <x:v>46193</x:v>
      </x:c>
    </x:row>
    <x:row r="2836">
      <x:c r="A2836" s="36" t="str">
        <x:v>2026-06-20</x:v>
      </x:c>
      <x:c r="B2836" s="18" t="str">
        <x:v>101437000_83093</x:v>
      </x:c>
      <x:c r="C2836" s="18" t="str">
        <x:v>【沪村小电】金茂未来时光里</x:v>
      </x:c>
      <x:c r="D2836" s="37" t="str">
        <x:v>2</x:v>
      </x:c>
      <x:c r="E2836" s="37" t="str">
        <x:v>0</x:v>
      </x:c>
      <x:c r="F2836" s="37" t="str">
        <x:v>34</x:v>
      </x:c>
      <x:c r="G2836" s="37" t="str">
        <x:v>874.70</x:v>
      </x:c>
      <x:c r="H2836" s="37" t="str">
        <x:v>0.00</x:v>
      </x:c>
      <x:c r="I2836" s="37" t="str">
        <x:v>408.16</x:v>
      </x:c>
      <x:c r="J2836" s="37" t="str">
        <x:v>0.00</x:v>
      </x:c>
      <x:c r="K2836" s="37" t="str">
        <x:v>466.53</x:v>
      </x:c>
      <x:c r="L2836" s="37" t="str">
        <x:v>1486</x:v>
      </x:c>
      <x:c r="M2836" s="29" t="str">
        <x:v>563.17</x:v>
      </x:c>
      <x:c r="N2836" s="29" t="str">
        <x:v>385.44</x:v>
      </x:c>
      <x:c r="O2836" s="29" t="str">
        <x:v>177.73</x:v>
      </x:c>
      <x:c r="P2836" s="18" t="str">
        <x:v>2026-06-20</x:v>
      </x:c>
      <x:c r="Q2836" s="36" t="n">
        <x:v>46193</x:v>
      </x:c>
    </x:row>
    <x:row r="2837">
      <x:c r="A2837" s="36" t="str">
        <x:v>2026-06-20</x:v>
      </x:c>
      <x:c r="B2837" s="18" t="str">
        <x:v>101437000_83911</x:v>
      </x:c>
      <x:c r="C2837" s="18" t="str">
        <x:v>【沪村小电】金瀚园充电站</x:v>
      </x:c>
      <x:c r="D2837" s="37" t="str">
        <x:v>2</x:v>
      </x:c>
      <x:c r="E2837" s="37" t="str">
        <x:v>0</x:v>
      </x:c>
      <x:c r="F2837" s="37" t="str">
        <x:v>26</x:v>
      </x:c>
      <x:c r="G2837" s="37" t="str">
        <x:v>628.81</x:v>
      </x:c>
      <x:c r="H2837" s="37" t="str">
        <x:v>0.00</x:v>
      </x:c>
      <x:c r="I2837" s="37" t="str">
        <x:v>175.09</x:v>
      </x:c>
      <x:c r="J2837" s="37" t="str">
        <x:v>0.00</x:v>
      </x:c>
      <x:c r="K2837" s="37" t="str">
        <x:v>453.72</x:v>
      </x:c>
      <x:c r="L2837" s="37" t="str">
        <x:v>844</x:v>
      </x:c>
      <x:c r="M2837" s="29" t="str">
        <x:v>522.03</x:v>
      </x:c>
      <x:c r="N2837" s="29" t="str">
        <x:v>301.94</x:v>
      </x:c>
      <x:c r="O2837" s="29" t="str">
        <x:v>220.09</x:v>
      </x:c>
      <x:c r="P2837" s="18" t="str">
        <x:v>2026-06-20</x:v>
      </x:c>
      <x:c r="Q2837" s="36" t="n">
        <x:v>46193</x:v>
      </x:c>
    </x:row>
    <x:row r="2838">
      <x:c r="A2838" s="36" t="str">
        <x:v>2026-06-20</x:v>
      </x:c>
      <x:c r="B2838" s="18" t="str">
        <x:v>101437000_83913</x:v>
      </x:c>
      <x:c r="C2838" s="18" t="str">
        <x:v>【沪村小电】新黎村充电站</x:v>
      </x:c>
      <x:c r="D2838" s="37" t="str">
        <x:v>2</x:v>
      </x:c>
      <x:c r="E2838" s="37" t="str">
        <x:v>0</x:v>
      </x:c>
      <x:c r="F2838" s="37" t="str">
        <x:v>31</x:v>
      </x:c>
      <x:c r="G2838" s="37" t="str">
        <x:v>735.20</x:v>
      </x:c>
      <x:c r="H2838" s="37" t="str">
        <x:v>0.00</x:v>
      </x:c>
      <x:c r="I2838" s="37" t="str">
        <x:v>427.49</x:v>
      </x:c>
      <x:c r="J2838" s="37" t="str">
        <x:v>0.00</x:v>
      </x:c>
      <x:c r="K2838" s="37" t="str">
        <x:v>307.72</x:v>
      </x:c>
      <x:c r="L2838" s="37" t="str">
        <x:v>1086</x:v>
      </x:c>
      <x:c r="M2838" s="29" t="str">
        <x:v>723.67</x:v>
      </x:c>
      <x:c r="N2838" s="29" t="str">
        <x:v>607.66</x:v>
      </x:c>
      <x:c r="O2838" s="29" t="str">
        <x:v>116.01</x:v>
      </x:c>
      <x:c r="P2838" s="18" t="str">
        <x:v>2026-06-20</x:v>
      </x:c>
      <x:c r="Q2838" s="36" t="n">
        <x:v>46193</x:v>
      </x:c>
    </x:row>
    <x:row r="2839">
      <x:c r="A2839" s="36" t="str">
        <x:v>2026-06-20</x:v>
      </x:c>
      <x:c r="B2839" s="18" t="str">
        <x:v>101437000_83915</x:v>
      </x:c>
      <x:c r="C2839" s="18" t="str">
        <x:v>【沪村小电】长泰西郊别墅充电站</x:v>
      </x:c>
      <x:c r="D2839" s="37" t="str">
        <x:v>2</x:v>
      </x:c>
      <x:c r="E2839" s="37" t="str">
        <x:v>0</x:v>
      </x:c>
      <x:c r="F2839" s="37" t="str">
        <x:v>10</x:v>
      </x:c>
      <x:c r="G2839" s="37" t="str">
        <x:v>283.83</x:v>
      </x:c>
      <x:c r="H2839" s="37" t="str">
        <x:v>0.00</x:v>
      </x:c>
      <x:c r="I2839" s="37" t="str">
        <x:v>199.84</x:v>
      </x:c>
      <x:c r="J2839" s="37" t="str">
        <x:v>0.00</x:v>
      </x:c>
      <x:c r="K2839" s="37" t="str">
        <x:v>83.99</x:v>
      </x:c>
      <x:c r="L2839" s="37" t="str">
        <x:v>444</x:v>
      </x:c>
      <x:c r="M2839" s="29" t="str">
        <x:v>262.90</x:v>
      </x:c>
      <x:c r="N2839" s="29" t="str">
        <x:v>179.79</x:v>
      </x:c>
      <x:c r="O2839" s="29" t="str">
        <x:v>83.11</x:v>
      </x:c>
      <x:c r="P2839" s="18" t="str">
        <x:v>2026-06-20</x:v>
      </x:c>
      <x:c r="Q2839" s="36" t="n">
        <x:v>46193</x:v>
      </x:c>
    </x:row>
    <x:row r="2840">
      <x:c r="A2840" s="36" t="str">
        <x:v>2026-06-20</x:v>
      </x:c>
      <x:c r="B2840" s="18" t="str">
        <x:v>101437000_83917</x:v>
      </x:c>
      <x:c r="C2840" s="18" t="str">
        <x:v>【沪村小电】旭新华庭充电站</x:v>
      </x:c>
      <x:c r="D2840" s="37" t="str">
        <x:v>4</x:v>
      </x:c>
      <x:c r="E2840" s="37" t="str">
        <x:v>0</x:v>
      </x:c>
      <x:c r="F2840" s="37" t="str">
        <x:v>41</x:v>
      </x:c>
      <x:c r="G2840" s="37" t="str">
        <x:v>595.17</x:v>
      </x:c>
      <x:c r="H2840" s="37" t="str">
        <x:v>0.00</x:v>
      </x:c>
      <x:c r="I2840" s="37" t="str">
        <x:v>425.71</x:v>
      </x:c>
      <x:c r="J2840" s="37" t="str">
        <x:v>0.00</x:v>
      </x:c>
      <x:c r="K2840" s="37" t="str">
        <x:v>169.46</x:v>
      </x:c>
      <x:c r="L2840" s="37" t="str">
        <x:v>974</x:v>
      </x:c>
      <x:c r="M2840" s="29" t="str">
        <x:v>580.76</x:v>
      </x:c>
      <x:c r="N2840" s="29" t="str">
        <x:v>379.40</x:v>
      </x:c>
      <x:c r="O2840" s="29" t="str">
        <x:v>201.36</x:v>
      </x:c>
      <x:c r="P2840" s="18" t="str">
        <x:v>2026-06-20</x:v>
      </x:c>
      <x:c r="Q2840" s="36" t="n">
        <x:v>46193</x:v>
      </x:c>
    </x:row>
    <x:row r="2841">
      <x:c r="A2841" s="36" t="str">
        <x:v>2026-06-20</x:v>
      </x:c>
      <x:c r="B2841" s="18" t="str">
        <x:v>101437000_83919</x:v>
      </x:c>
      <x:c r="C2841" s="18" t="str">
        <x:v>【沪村小电】浦锦名仕嘉园充电站</x:v>
      </x:c>
      <x:c r="D2841" s="37" t="str">
        <x:v>4</x:v>
      </x:c>
      <x:c r="E2841" s="37" t="str">
        <x:v>0</x:v>
      </x:c>
      <x:c r="F2841" s="37" t="str">
        <x:v>34</x:v>
      </x:c>
      <x:c r="G2841" s="37" t="str">
        <x:v>787.56</x:v>
      </x:c>
      <x:c r="H2841" s="37" t="str">
        <x:v>0.00</x:v>
      </x:c>
      <x:c r="I2841" s="37" t="str">
        <x:v>0.00</x:v>
      </x:c>
      <x:c r="J2841" s="37" t="str">
        <x:v>787.56</x:v>
      </x:c>
      <x:c r="K2841" s="37" t="str">
        <x:v>0.00</x:v>
      </x:c>
      <x:c r="L2841" s="37" t="str">
        <x:v>1140</x:v>
      </x:c>
      <x:c r="M2841" s="29" t="str">
        <x:v>739.11</x:v>
      </x:c>
      <x:c r="N2841" s="29" t="str">
        <x:v>504.02</x:v>
      </x:c>
      <x:c r="O2841" s="29" t="str">
        <x:v>235.09</x:v>
      </x:c>
      <x:c r="P2841" s="18" t="str">
        <x:v>2026-06-20</x:v>
      </x:c>
      <x:c r="Q2841" s="36" t="n">
        <x:v>46193</x:v>
      </x:c>
    </x:row>
    <x:row r="2842">
      <x:c r="A2842" s="36" t="str">
        <x:v>2026-06-20</x:v>
      </x:c>
      <x:c r="B2842" s="18" t="str">
        <x:v>101437000_83921</x:v>
      </x:c>
      <x:c r="C2842" s="18" t="str">
        <x:v>【沪村小电】上海联怡枇杷乐园充电站（地库）</x:v>
      </x:c>
      <x:c r="D2842" s="37" t="str">
        <x:v>8</x:v>
      </x:c>
      <x:c r="E2842" s="37" t="str">
        <x:v>0</x:v>
      </x:c>
      <x:c r="F2842" s="37" t="str">
        <x:v>2</x:v>
      </x:c>
      <x:c r="G2842" s="37" t="str">
        <x:v>33.36</x:v>
      </x:c>
      <x:c r="H2842" s="37" t="str">
        <x:v>0.00</x:v>
      </x:c>
      <x:c r="I2842" s="37" t="str">
        <x:v>33.36</x:v>
      </x:c>
      <x:c r="J2842" s="37" t="str">
        <x:v>0.00</x:v>
      </x:c>
      <x:c r="K2842" s="37" t="str">
        <x:v>0.00</x:v>
      </x:c>
      <x:c r="L2842" s="37" t="str">
        <x:v>67</x:v>
      </x:c>
      <x:c r="M2842" s="29" t="str">
        <x:v>38.06</x:v>
      </x:c>
      <x:c r="N2842" s="29" t="str">
        <x:v>34.70</x:v>
      </x:c>
      <x:c r="O2842" s="29" t="str">
        <x:v>3.36</x:v>
      </x:c>
      <x:c r="P2842" s="18" t="str">
        <x:v>2026-06-20</x:v>
      </x:c>
      <x:c r="Q2842" s="36" t="n">
        <x:v>46193</x:v>
      </x:c>
    </x:row>
    <x:row r="2843">
      <x:c r="A2843" s="36" t="str">
        <x:v>2026-06-20</x:v>
      </x:c>
      <x:c r="B2843" s="18" t="str">
        <x:v>101437000_83923</x:v>
      </x:c>
      <x:c r="C2843" s="18" t="str">
        <x:v>【沪村小电】明珠新苑充电站</x:v>
      </x:c>
      <x:c r="D2843" s="37" t="str">
        <x:v>2</x:v>
      </x:c>
      <x:c r="E2843" s="37" t="str">
        <x:v>0</x:v>
      </x:c>
      <x:c r="F2843" s="37" t="str">
        <x:v>31</x:v>
      </x:c>
      <x:c r="G2843" s="37" t="str">
        <x:v>857.08</x:v>
      </x:c>
      <x:c r="H2843" s="37" t="str">
        <x:v>0.00</x:v>
      </x:c>
      <x:c r="I2843" s="37" t="str">
        <x:v>630.17</x:v>
      </x:c>
      <x:c r="J2843" s="37" t="str">
        <x:v>0.00</x:v>
      </x:c>
      <x:c r="K2843" s="37" t="str">
        <x:v>226.91</x:v>
      </x:c>
      <x:c r="L2843" s="37" t="str">
        <x:v>1200</x:v>
      </x:c>
      <x:c r="M2843" s="29" t="str">
        <x:v>800.02</x:v>
      </x:c>
      <x:c r="N2843" s="29" t="str">
        <x:v>552.54</x:v>
      </x:c>
      <x:c r="O2843" s="29" t="str">
        <x:v>247.48</x:v>
      </x:c>
      <x:c r="P2843" s="18" t="str">
        <x:v>2026-06-20</x:v>
      </x:c>
      <x:c r="Q2843" s="36" t="n">
        <x:v>46193</x:v>
      </x:c>
    </x:row>
    <x:row r="2844">
      <x:c r="A2844" s="36" t="str">
        <x:v>2026-06-20</x:v>
      </x:c>
      <x:c r="B2844" s="18" t="str">
        <x:v>101437000_84289</x:v>
      </x:c>
      <x:c r="C2844" s="18" t="str">
        <x:v>【沪村小电】铁建芳华苑充电站</x:v>
      </x:c>
      <x:c r="D2844" s="37" t="str">
        <x:v>4</x:v>
      </x:c>
      <x:c r="E2844" s="37" t="str">
        <x:v>0</x:v>
      </x:c>
      <x:c r="F2844" s="37" t="str">
        <x:v>29</x:v>
      </x:c>
      <x:c r="G2844" s="37" t="str">
        <x:v>897.21</x:v>
      </x:c>
      <x:c r="H2844" s="37" t="str">
        <x:v>0.00</x:v>
      </x:c>
      <x:c r="I2844" s="37" t="str">
        <x:v>484.91</x:v>
      </x:c>
      <x:c r="J2844" s="37" t="str">
        <x:v>0.00</x:v>
      </x:c>
      <x:c r="K2844" s="37" t="str">
        <x:v>412.30</x:v>
      </x:c>
      <x:c r="L2844" s="37" t="str">
        <x:v>1361</x:v>
      </x:c>
      <x:c r="M2844" s="29" t="str">
        <x:v>807.30</x:v>
      </x:c>
      <x:c r="N2844" s="29" t="str">
        <x:v>515.49</x:v>
      </x:c>
      <x:c r="O2844" s="29" t="str">
        <x:v>291.81</x:v>
      </x:c>
      <x:c r="P2844" s="18" t="str">
        <x:v>2026-06-20</x:v>
      </x:c>
      <x:c r="Q2844" s="36" t="n">
        <x:v>46193</x:v>
      </x:c>
    </x:row>
    <x:row r="2845">
      <x:c r="A2845" s="36" t="str">
        <x:v>2026-06-20</x:v>
      </x:c>
      <x:c r="B2845" s="18" t="str">
        <x:v>101437000_86379</x:v>
      </x:c>
      <x:c r="C2845" s="18" t="str">
        <x:v>【沪村小电】新宝社区充电站</x:v>
      </x:c>
      <x:c r="D2845" s="37" t="str">
        <x:v>4</x:v>
      </x:c>
      <x:c r="E2845" s="37" t="str">
        <x:v>0</x:v>
      </x:c>
      <x:c r="F2845" s="37" t="str">
        <x:v>12</x:v>
      </x:c>
      <x:c r="G2845" s="37" t="str">
        <x:v>301.98</x:v>
      </x:c>
      <x:c r="H2845" s="37" t="str">
        <x:v>0.00</x:v>
      </x:c>
      <x:c r="I2845" s="37" t="str">
        <x:v>122.41</x:v>
      </x:c>
      <x:c r="J2845" s="37" t="str">
        <x:v>0.00</x:v>
      </x:c>
      <x:c r="K2845" s="37" t="str">
        <x:v>179.57</x:v>
      </x:c>
      <x:c r="L2845" s="37" t="str">
        <x:v>496</x:v>
      </x:c>
      <x:c r="M2845" s="29" t="str">
        <x:v>199.32</x:v>
      </x:c>
      <x:c r="N2845" s="29" t="str">
        <x:v>158.82</x:v>
      </x:c>
      <x:c r="O2845" s="29" t="str">
        <x:v>40.50</x:v>
      </x:c>
      <x:c r="P2845" s="18" t="str">
        <x:v>2026-06-20</x:v>
      </x:c>
      <x:c r="Q2845" s="36" t="n">
        <x:v>46193</x:v>
      </x:c>
    </x:row>
    <x:row r="2846">
      <x:c r="A2846" s="36" t="str">
        <x:v>2026-06-20</x:v>
      </x:c>
      <x:c r="B2846" s="18" t="str">
        <x:v>101437000_89441</x:v>
      </x:c>
      <x:c r="C2846" s="18" t="str">
        <x:v>【沪村小电】首创禧瑞云启西区充电站</x:v>
      </x:c>
      <x:c r="D2846" s="37" t="str">
        <x:v>2</x:v>
      </x:c>
      <x:c r="E2846" s="37" t="str">
        <x:v>0</x:v>
      </x:c>
      <x:c r="F2846" s="37" t="str">
        <x:v>30</x:v>
      </x:c>
      <x:c r="G2846" s="37" t="str">
        <x:v>741.43</x:v>
      </x:c>
      <x:c r="H2846" s="37" t="str">
        <x:v>0.00</x:v>
      </x:c>
      <x:c r="I2846" s="37" t="str">
        <x:v>571.47</x:v>
      </x:c>
      <x:c r="J2846" s="37" t="str">
        <x:v>0.00</x:v>
      </x:c>
      <x:c r="K2846" s="37" t="str">
        <x:v>169.96</x:v>
      </x:c>
      <x:c r="L2846" s="37" t="str">
        <x:v>894</x:v>
      </x:c>
      <x:c r="M2846" s="29" t="str">
        <x:v>670.27</x:v>
      </x:c>
      <x:c r="N2846" s="29" t="str">
        <x:v>455.50</x:v>
      </x:c>
      <x:c r="O2846" s="29" t="str">
        <x:v>214.77</x:v>
      </x:c>
      <x:c r="P2846" s="18" t="str">
        <x:v>2026-06-20</x:v>
      </x:c>
      <x:c r="Q2846" s="36" t="n">
        <x:v>46193</x:v>
      </x:c>
    </x:row>
    <x:row r="2847">
      <x:c r="A2847" s="36" t="str">
        <x:v>2026-06-20</x:v>
      </x:c>
      <x:c r="B2847" s="18" t="str">
        <x:v>101437000_89443</x:v>
      </x:c>
      <x:c r="C2847" s="18" t="str">
        <x:v>【沪村小电】玉兰清苑二期充电站</x:v>
      </x:c>
      <x:c r="D2847" s="37" t="str">
        <x:v>2</x:v>
      </x:c>
      <x:c r="E2847" s="37" t="str">
        <x:v>0</x:v>
      </x:c>
      <x:c r="F2847" s="37" t="str">
        <x:v>23</x:v>
      </x:c>
      <x:c r="G2847" s="37" t="str">
        <x:v>477.39</x:v>
      </x:c>
      <x:c r="H2847" s="37" t="str">
        <x:v>0.00</x:v>
      </x:c>
      <x:c r="I2847" s="37" t="str">
        <x:v>324.54</x:v>
      </x:c>
      <x:c r="J2847" s="37" t="str">
        <x:v>0.00</x:v>
      </x:c>
      <x:c r="K2847" s="37" t="str">
        <x:v>152.86</x:v>
      </x:c>
      <x:c r="L2847" s="37" t="str">
        <x:v>854</x:v>
      </x:c>
      <x:c r="M2847" s="29" t="str">
        <x:v>417.28</x:v>
      </x:c>
      <x:c r="N2847" s="29" t="str">
        <x:v>298.23</x:v>
      </x:c>
      <x:c r="O2847" s="29" t="str">
        <x:v>119.05</x:v>
      </x:c>
      <x:c r="P2847" s="18" t="str">
        <x:v>2026-06-20</x:v>
      </x:c>
      <x:c r="Q2847" s="36" t="n">
        <x:v>46193</x:v>
      </x:c>
    </x:row>
    <x:row r="2848">
      <x:c r="A2848" s="36" t="str">
        <x:v>2026-06-20</x:v>
      </x:c>
      <x:c r="B2848" s="18" t="str">
        <x:v>101437000_93115</x:v>
      </x:c>
      <x:c r="C2848" s="18" t="str">
        <x:v>【沪村小电】新南家园西北门</x:v>
      </x:c>
      <x:c r="D2848" s="37" t="str">
        <x:v>2</x:v>
      </x:c>
      <x:c r="E2848" s="37" t="str">
        <x:v>0</x:v>
      </x:c>
      <x:c r="F2848" s="37" t="str">
        <x:v>17</x:v>
      </x:c>
      <x:c r="G2848" s="37" t="str">
        <x:v>517.44</x:v>
      </x:c>
      <x:c r="H2848" s="37" t="str">
        <x:v>0.00</x:v>
      </x:c>
      <x:c r="I2848" s="37" t="str">
        <x:v>339.70</x:v>
      </x:c>
      <x:c r="J2848" s="37" t="str">
        <x:v>0.00</x:v>
      </x:c>
      <x:c r="K2848" s="37" t="str">
        <x:v>177.73</x:v>
      </x:c>
      <x:c r="L2848" s="37" t="str">
        <x:v>737</x:v>
      </x:c>
      <x:c r="M2848" s="29" t="str">
        <x:v>445.97</x:v>
      </x:c>
      <x:c r="N2848" s="29" t="str">
        <x:v>298.36</x:v>
      </x:c>
      <x:c r="O2848" s="29" t="str">
        <x:v>147.61</x:v>
      </x:c>
      <x:c r="P2848" s="18" t="str">
        <x:v>2026-06-20</x:v>
      </x:c>
      <x:c r="Q2848" s="36" t="n">
        <x:v>46193</x:v>
      </x:c>
    </x:row>
    <x:row r="2849">
      <x:c r="A2849" s="36" t="str">
        <x:v>2026-06-20</x:v>
      </x:c>
      <x:c r="B2849" s="18" t="str">
        <x:v>101437000_94649</x:v>
      </x:c>
      <x:c r="C2849" s="18" t="str">
        <x:v>【沪村小电】浪琴水岸花园</x:v>
      </x:c>
      <x:c r="D2849" s="37" t="str">
        <x:v>4</x:v>
      </x:c>
      <x:c r="E2849" s="37" t="str">
        <x:v>0</x:v>
      </x:c>
      <x:c r="F2849" s="37" t="str">
        <x:v>30</x:v>
      </x:c>
      <x:c r="G2849" s="37" t="str">
        <x:v>604.48</x:v>
      </x:c>
      <x:c r="H2849" s="37" t="str">
        <x:v>0.00</x:v>
      </x:c>
      <x:c r="I2849" s="37" t="str">
        <x:v>292.48</x:v>
      </x:c>
      <x:c r="J2849" s="37" t="str">
        <x:v>0.00</x:v>
      </x:c>
      <x:c r="K2849" s="37" t="str">
        <x:v>312.00</x:v>
      </x:c>
      <x:c r="L2849" s="37" t="str">
        <x:v>1055</x:v>
      </x:c>
      <x:c r="M2849" s="29" t="str">
        <x:v>458.84</x:v>
      </x:c>
      <x:c r="N2849" s="29" t="str">
        <x:v>314.16</x:v>
      </x:c>
      <x:c r="O2849" s="29" t="str">
        <x:v>144.68</x:v>
      </x:c>
      <x:c r="P2849" s="18" t="str">
        <x:v>2026-06-20</x:v>
      </x:c>
      <x:c r="Q2849" s="36" t="n">
        <x:v>46193</x:v>
      </x:c>
    </x:row>
    <x:row r="2850">
      <x:c r="A2850" s="36" t="str">
        <x:v>2026-06-20</x:v>
      </x:c>
      <x:c r="B2850" s="18" t="str">
        <x:v>101437000_95077</x:v>
      </x:c>
      <x:c r="C2850" s="18" t="str">
        <x:v>【沪村小电】民乐城惠益绿苑255弄充电站</x:v>
      </x:c>
      <x:c r="D2850" s="37" t="str">
        <x:v>2</x:v>
      </x:c>
      <x:c r="E2850" s="37" t="str">
        <x:v>0</x:v>
      </x:c>
      <x:c r="F2850" s="37" t="str">
        <x:v>16</x:v>
      </x:c>
      <x:c r="G2850" s="37" t="str">
        <x:v>144.94</x:v>
      </x:c>
      <x:c r="H2850" s="37" t="str">
        <x:v>0.00</x:v>
      </x:c>
      <x:c r="I2850" s="37" t="str">
        <x:v>98.38</x:v>
      </x:c>
      <x:c r="J2850" s="37" t="str">
        <x:v>0.00</x:v>
      </x:c>
      <x:c r="K2850" s="37" t="str">
        <x:v>46.57</x:v>
      </x:c>
      <x:c r="L2850" s="37" t="str">
        <x:v>223</x:v>
      </x:c>
      <x:c r="M2850" s="29" t="str">
        <x:v>142.09</x:v>
      </x:c>
      <x:c r="N2850" s="29" t="str">
        <x:v>90.51</x:v>
      </x:c>
      <x:c r="O2850" s="29" t="str">
        <x:v>51.58</x:v>
      </x:c>
      <x:c r="P2850" s="18" t="str">
        <x:v>2026-06-20</x:v>
      </x:c>
      <x:c r="Q2850" s="36" t="n">
        <x:v>46193</x:v>
      </x:c>
    </x:row>
    <x:row r="2851">
      <x:c r="A2851" s="36" t="str">
        <x:v>2026-06-20</x:v>
      </x:c>
      <x:c r="B2851" s="18" t="str">
        <x:v>101437000_95079</x:v>
      </x:c>
      <x:c r="C2851" s="18" t="str">
        <x:v>【沪村小电】民乐城惠益绿苑东苑充电站</x:v>
      </x:c>
      <x:c r="D2851" s="37" t="str">
        <x:v>2</x:v>
      </x:c>
      <x:c r="E2851" s="37" t="str">
        <x:v>0</x:v>
      </x:c>
      <x:c r="F2851" s="37" t="str">
        <x:v>2</x:v>
      </x:c>
      <x:c r="G2851" s="37" t="str">
        <x:v>49.87</x:v>
      </x:c>
      <x:c r="H2851" s="37" t="str">
        <x:v>0.00</x:v>
      </x:c>
      <x:c r="I2851" s="37" t="str">
        <x:v>49.87</x:v>
      </x:c>
      <x:c r="J2851" s="37" t="str">
        <x:v>0.00</x:v>
      </x:c>
      <x:c r="K2851" s="37" t="str">
        <x:v>0.00</x:v>
      </x:c>
      <x:c r="L2851" s="37" t="str">
        <x:v>61</x:v>
      </x:c>
      <x:c r="M2851" s="29" t="str">
        <x:v>54.79</x:v>
      </x:c>
      <x:c r="N2851" s="29" t="str">
        <x:v>34.41</x:v>
      </x:c>
      <x:c r="O2851" s="29" t="str">
        <x:v>20.38</x:v>
      </x:c>
      <x:c r="P2851" s="18" t="str">
        <x:v>2026-06-20</x:v>
      </x:c>
      <x:c r="Q2851" s="36" t="n">
        <x:v>46193</x:v>
      </x:c>
    </x:row>
    <x:row r="2852">
      <x:c r="A2852" s="36" t="str">
        <x:v>2026-06-20</x:v>
      </x:c>
      <x:c r="B2852" s="18" t="str">
        <x:v>101437000_95091</x:v>
      </x:c>
      <x:c r="C2852" s="18" t="str">
        <x:v>【沪村小电】金悦学府2号站</x:v>
      </x:c>
      <x:c r="D2852" s="37" t="str">
        <x:v>2</x:v>
      </x:c>
      <x:c r="E2852" s="37" t="str">
        <x:v>0</x:v>
      </x:c>
      <x:c r="F2852" s="37" t="str">
        <x:v>19</x:v>
      </x:c>
      <x:c r="G2852" s="37" t="str">
        <x:v>530.24</x:v>
      </x:c>
      <x:c r="H2852" s="37" t="str">
        <x:v>0.00</x:v>
      </x:c>
      <x:c r="I2852" s="37" t="str">
        <x:v>0.00</x:v>
      </x:c>
      <x:c r="J2852" s="37" t="str">
        <x:v>530.24</x:v>
      </x:c>
      <x:c r="K2852" s="37" t="str">
        <x:v>0.00</x:v>
      </x:c>
      <x:c r="L2852" s="37" t="str">
        <x:v>832</x:v>
      </x:c>
      <x:c r="M2852" s="29" t="str">
        <x:v>418.89</x:v>
      </x:c>
      <x:c r="N2852" s="29" t="str">
        <x:v>296.94</x:v>
      </x:c>
      <x:c r="O2852" s="29" t="str">
        <x:v>121.95</x:v>
      </x:c>
      <x:c r="P2852" s="18" t="str">
        <x:v>2026-06-20</x:v>
      </x:c>
      <x:c r="Q2852" s="36" t="n">
        <x:v>46193</x:v>
      </x:c>
    </x:row>
    <x:row r="2853">
      <x:c r="A2853" s="36" t="str">
        <x:v>2026-06-20</x:v>
      </x:c>
      <x:c r="B2853" s="18" t="str">
        <x:v>101437000_95941</x:v>
      </x:c>
      <x:c r="C2853" s="18" t="str">
        <x:v>【沪村小电】惠诚雅苑</x:v>
      </x:c>
      <x:c r="D2853" s="37" t="str">
        <x:v>4</x:v>
      </x:c>
      <x:c r="E2853" s="37" t="str">
        <x:v>0</x:v>
      </x:c>
      <x:c r="F2853" s="37" t="str">
        <x:v>17</x:v>
      </x:c>
      <x:c r="G2853" s="37" t="str">
        <x:v>404.91</x:v>
      </x:c>
      <x:c r="H2853" s="37" t="str">
        <x:v>0.00</x:v>
      </x:c>
      <x:c r="I2853" s="37" t="str">
        <x:v>227.76</x:v>
      </x:c>
      <x:c r="J2853" s="37" t="str">
        <x:v>0.00</x:v>
      </x:c>
      <x:c r="K2853" s="37" t="str">
        <x:v>177.14</x:v>
      </x:c>
      <x:c r="L2853" s="37" t="str">
        <x:v>613</x:v>
      </x:c>
      <x:c r="M2853" s="29" t="str">
        <x:v>288.36</x:v>
      </x:c>
      <x:c r="N2853" s="29" t="str">
        <x:v>189.31</x:v>
      </x:c>
      <x:c r="O2853" s="29" t="str">
        <x:v>99.05</x:v>
      </x:c>
      <x:c r="P2853" s="18" t="str">
        <x:v>2026-06-20</x:v>
      </x:c>
      <x:c r="Q2853" s="36" t="n">
        <x:v>46193</x:v>
      </x:c>
    </x:row>
    <x:row r="2854">
      <x:c r="A2854" s="36" t="str">
        <x:v>2026-06-20</x:v>
      </x:c>
      <x:c r="B2854" s="18" t="str">
        <x:v>101437000_96401</x:v>
      </x:c>
      <x:c r="C2854" s="18" t="str">
        <x:v>【沪村小电】上海联怡枇杷乐园地面站</x:v>
      </x:c>
      <x:c r="D2854" s="37" t="str">
        <x:v>2</x:v>
      </x:c>
      <x:c r="E2854" s="37" t="str">
        <x:v>0</x:v>
      </x:c>
      <x:c r="F2854" s="37" t="str">
        <x:v>5</x:v>
      </x:c>
      <x:c r="G2854" s="37" t="str">
        <x:v>153.59</x:v>
      </x:c>
      <x:c r="H2854" s="37" t="str">
        <x:v>0.00</x:v>
      </x:c>
      <x:c r="I2854" s="37" t="str">
        <x:v>0.00</x:v>
      </x:c>
      <x:c r="J2854" s="37" t="str">
        <x:v>0.00</x:v>
      </x:c>
      <x:c r="K2854" s="37" t="str">
        <x:v>153.59</x:v>
      </x:c>
      <x:c r="L2854" s="37" t="str">
        <x:v>243</x:v>
      </x:c>
      <x:c r="M2854" s="29" t="str">
        <x:v>92.65</x:v>
      </x:c>
      <x:c r="N2854" s="29" t="str">
        <x:v>81.41</x:v>
      </x:c>
      <x:c r="O2854" s="29" t="str">
        <x:v>11.24</x:v>
      </x:c>
      <x:c r="P2854" s="18" t="str">
        <x:v>2026-06-20</x:v>
      </x:c>
      <x:c r="Q2854" s="36" t="n">
        <x:v>46193</x:v>
      </x:c>
    </x:row>
    <x:row r="2855">
      <x:c r="A2855" s="36" t="str">
        <x:v>2026-06-20</x:v>
      </x:c>
      <x:c r="B2855" s="18" t="str">
        <x:v>101437000_97421</x:v>
      </x:c>
      <x:c r="C2855" s="18" t="str">
        <x:v>【沪村小电】玉兰清苑二期（小区外）充电站</x:v>
      </x:c>
      <x:c r="D2855" s="37" t="str">
        <x:v>4</x:v>
      </x:c>
      <x:c r="E2855" s="37" t="str">
        <x:v>0</x:v>
      </x:c>
      <x:c r="F2855" s="37" t="str">
        <x:v>28</x:v>
      </x:c>
      <x:c r="G2855" s="37" t="str">
        <x:v>669.35</x:v>
      </x:c>
      <x:c r="H2855" s="37" t="str">
        <x:v>0.00</x:v>
      </x:c>
      <x:c r="I2855" s="37" t="str">
        <x:v>497.06</x:v>
      </x:c>
      <x:c r="J2855" s="37" t="str">
        <x:v>0.00</x:v>
      </x:c>
      <x:c r="K2855" s="37" t="str">
        <x:v>172.28</x:v>
      </x:c>
      <x:c r="L2855" s="37" t="str">
        <x:v>1101</x:v>
      </x:c>
      <x:c r="M2855" s="29" t="str">
        <x:v>594.01</x:v>
      </x:c>
      <x:c r="N2855" s="29" t="str">
        <x:v>433.29</x:v>
      </x:c>
      <x:c r="O2855" s="29" t="str">
        <x:v>160.72</x:v>
      </x:c>
      <x:c r="P2855" s="18" t="str">
        <x:v>2026-06-20</x:v>
      </x:c>
      <x:c r="Q2855" s="36" t="n">
        <x:v>46193</x:v>
      </x:c>
    </x:row>
    <x:row r="2856">
      <x:c r="A2856" s="36" t="str">
        <x:v>2026-06-20</x:v>
      </x:c>
      <x:c r="B2856" s="18" t="str">
        <x:v>101437000_98013</x:v>
      </x:c>
      <x:c r="C2856" s="18" t="str">
        <x:v>【沪村小电】恒大滨江华府充电站</x:v>
      </x:c>
      <x:c r="D2856" s="37" t="str">
        <x:v>4</x:v>
      </x:c>
      <x:c r="E2856" s="37" t="str">
        <x:v>0</x:v>
      </x:c>
      <x:c r="F2856" s="37" t="str">
        <x:v>6</x:v>
      </x:c>
      <x:c r="G2856" s="37" t="str">
        <x:v>93.64</x:v>
      </x:c>
      <x:c r="H2856" s="37" t="str">
        <x:v>0.00</x:v>
      </x:c>
      <x:c r="I2856" s="37" t="str">
        <x:v>64.21</x:v>
      </x:c>
      <x:c r="J2856" s="37" t="str">
        <x:v>0.00</x:v>
      </x:c>
      <x:c r="K2856" s="37" t="str">
        <x:v>29.42</x:v>
      </x:c>
      <x:c r="L2856" s="37" t="str">
        <x:v>173</x:v>
      </x:c>
      <x:c r="M2856" s="29" t="str">
        <x:v>95.26</x:v>
      </x:c>
      <x:c r="N2856" s="29" t="str">
        <x:v>82.38</x:v>
      </x:c>
      <x:c r="O2856" s="29" t="str">
        <x:v>12.88</x:v>
      </x:c>
      <x:c r="P2856" s="18" t="str">
        <x:v>2026-06-20</x:v>
      </x:c>
      <x:c r="Q2856" s="36" t="n">
        <x:v>46193</x:v>
      </x:c>
    </x:row>
    <x:row r="2857">
      <x:c r="A2857" s="36" t="str">
        <x:v>2026-06-20</x:v>
      </x:c>
      <x:c r="B2857" s="18" t="str">
        <x:v>101437000_98863</x:v>
      </x:c>
      <x:c r="C2857" s="18" t="str">
        <x:v>【沪村小电】欣菊苑充电站</x:v>
      </x:c>
      <x:c r="D2857" s="37" t="str">
        <x:v>4</x:v>
      </x:c>
      <x:c r="E2857" s="37" t="str">
        <x:v>0</x:v>
      </x:c>
      <x:c r="F2857" s="37" t="str">
        <x:v>7</x:v>
      </x:c>
      <x:c r="G2857" s="37" t="str">
        <x:v>120.88</x:v>
      </x:c>
      <x:c r="H2857" s="37" t="str">
        <x:v>0.00</x:v>
      </x:c>
      <x:c r="I2857" s="37" t="str">
        <x:v>120.88</x:v>
      </x:c>
      <x:c r="J2857" s="37" t="str">
        <x:v>0.00</x:v>
      </x:c>
      <x:c r="K2857" s="37" t="str">
        <x:v>0.00</x:v>
      </x:c>
      <x:c r="L2857" s="37" t="str">
        <x:v>196</x:v>
      </x:c>
      <x:c r="M2857" s="29" t="str">
        <x:v>124.89</x:v>
      </x:c>
      <x:c r="N2857" s="29" t="str">
        <x:v>89.45</x:v>
      </x:c>
      <x:c r="O2857" s="29" t="str">
        <x:v>35.44</x:v>
      </x:c>
      <x:c r="P2857" s="18" t="str">
        <x:v>2026-06-20</x:v>
      </x:c>
      <x:c r="Q2857" s="36" t="n">
        <x:v>46193</x:v>
      </x:c>
    </x:row>
    <x:row r="2858">
      <x:c r="A2858" s="36" t="str">
        <x:v>2026-06-20</x:v>
      </x:c>
      <x:c r="B2858" s="18" t="str">
        <x:v>101437000_99885</x:v>
      </x:c>
      <x:c r="C2858" s="18" t="str">
        <x:v>【沪村小电】汇丰馨苑充电站</x:v>
      </x:c>
      <x:c r="D2858" s="37" t="str">
        <x:v>4</x:v>
      </x:c>
      <x:c r="E2858" s="37" t="str">
        <x:v>0</x:v>
      </x:c>
      <x:c r="F2858" s="37" t="str">
        <x:v>9</x:v>
      </x:c>
      <x:c r="G2858" s="37" t="str">
        <x:v>104.43</x:v>
      </x:c>
      <x:c r="H2858" s="37" t="str">
        <x:v>0.00</x:v>
      </x:c>
      <x:c r="I2858" s="37" t="str">
        <x:v>54.87</x:v>
      </x:c>
      <x:c r="J2858" s="37" t="str">
        <x:v>49.56</x:v>
      </x:c>
      <x:c r="K2858" s="37" t="str">
        <x:v>0.00</x:v>
      </x:c>
      <x:c r="L2858" s="37" t="str">
        <x:v>166</x:v>
      </x:c>
      <x:c r="M2858" s="29" t="str">
        <x:v>114.76</x:v>
      </x:c>
      <x:c r="N2858" s="29" t="str">
        <x:v>94.45</x:v>
      </x:c>
      <x:c r="O2858" s="29" t="str">
        <x:v>20.31</x:v>
      </x:c>
      <x:c r="P2858" s="18" t="str">
        <x:v>2026-06-20</x:v>
      </x:c>
      <x:c r="Q2858" s="36" t="n">
        <x:v>46193</x:v>
      </x:c>
    </x:row>
    <x:row r="2859">
      <x:c r="A2859" s="36" t="str">
        <x:v>2026-06-20</x:v>
      </x:c>
      <x:c r="B2859" s="18" t="str">
        <x:v>101437000_99887</x:v>
      </x:c>
      <x:c r="C2859" s="18" t="str">
        <x:v>【沪村小电】新南村河南小区充电站</x:v>
      </x:c>
      <x:c r="D2859" s="37" t="str">
        <x:v>2</x:v>
      </x:c>
      <x:c r="E2859" s="37" t="str">
        <x:v>0</x:v>
      </x:c>
      <x:c r="F2859" s="37" t="str">
        <x:v>7</x:v>
      </x:c>
      <x:c r="G2859" s="37" t="str">
        <x:v>179.48</x:v>
      </x:c>
      <x:c r="H2859" s="37" t="str">
        <x:v>0.00</x:v>
      </x:c>
      <x:c r="I2859" s="37" t="str">
        <x:v>91.10</x:v>
      </x:c>
      <x:c r="J2859" s="37" t="str">
        <x:v>0.00</x:v>
      </x:c>
      <x:c r="K2859" s="37" t="str">
        <x:v>88.38</x:v>
      </x:c>
      <x:c r="L2859" s="37" t="str">
        <x:v>417</x:v>
      </x:c>
      <x:c r="M2859" s="29" t="str">
        <x:v>141.82</x:v>
      </x:c>
      <x:c r="N2859" s="29" t="str">
        <x:v>100.98</x:v>
      </x:c>
      <x:c r="O2859" s="29" t="str">
        <x:v>40.84</x:v>
      </x:c>
      <x:c r="P2859" s="18" t="str">
        <x:v>2026-06-20</x:v>
      </x:c>
      <x:c r="Q2859" s="36" t="n">
        <x:v>46193</x:v>
      </x:c>
    </x:row>
    <x:row r="2860">
      <x:c r="A2860" s="36" t="str">
        <x:v>2026-06-20</x:v>
      </x:c>
      <x:c r="B2860" s="18" t="str">
        <x:v>101437000_99889</x:v>
      </x:c>
      <x:c r="C2860" s="18" t="str">
        <x:v>【沪村小电】漕泾郊野公园</x:v>
      </x:c>
      <x:c r="D2860" s="37" t="str">
        <x:v>2</x:v>
      </x:c>
      <x:c r="E2860" s="37" t="str">
        <x:v>0</x:v>
      </x:c>
      <x:c r="F2860" s="37" t="str">
        <x:v>10</x:v>
      </x:c>
      <x:c r="G2860" s="37" t="str">
        <x:v>269.26</x:v>
      </x:c>
      <x:c r="H2860" s="37" t="str">
        <x:v>0.00</x:v>
      </x:c>
      <x:c r="I2860" s="37" t="str">
        <x:v>110.85</x:v>
      </x:c>
      <x:c r="J2860" s="37" t="str">
        <x:v>134.71</x:v>
      </x:c>
      <x:c r="K2860" s="37" t="str">
        <x:v>23.70</x:v>
      </x:c>
      <x:c r="L2860" s="37" t="str">
        <x:v>313</x:v>
      </x:c>
      <x:c r="M2860" s="29" t="str">
        <x:v>296.81</x:v>
      </x:c>
      <x:c r="N2860" s="29" t="str">
        <x:v>220.57</x:v>
      </x:c>
      <x:c r="O2860" s="29" t="str">
        <x:v>76.24</x:v>
      </x:c>
      <x:c r="P2860" s="18" t="str">
        <x:v>2026-06-20</x:v>
      </x:c>
      <x:c r="Q2860" s="36" t="n">
        <x:v>46193</x:v>
      </x:c>
    </x:row>
    <x:row r="2861">
      <x:c r="A2861" s="36" t="str">
        <x:v>2026-06-19</x:v>
      </x:c>
      <x:c r="B2861" s="18" t="str">
        <x:v>101437000_41561</x:v>
      </x:c>
      <x:c r="C2861" s="18" t="str">
        <x:v>【沪村小电】张施小区大门处快充站</x:v>
      </x:c>
      <x:c r="D2861" s="37" t="str">
        <x:v>2</x:v>
      </x:c>
      <x:c r="E2861" s="37" t="str">
        <x:v>0</x:v>
      </x:c>
      <x:c r="F2861" s="37" t="str">
        <x:v>37</x:v>
      </x:c>
      <x:c r="G2861" s="37" t="str">
        <x:v>952.69</x:v>
      </x:c>
      <x:c r="H2861" s="37" t="str">
        <x:v>0.00</x:v>
      </x:c>
      <x:c r="I2861" s="37" t="str">
        <x:v>509.76</x:v>
      </x:c>
      <x:c r="J2861" s="37" t="str">
        <x:v>0.00</x:v>
      </x:c>
      <x:c r="K2861" s="37" t="str">
        <x:v>442.93</x:v>
      </x:c>
      <x:c r="L2861" s="37" t="str">
        <x:v>1612</x:v>
      </x:c>
      <x:c r="M2861" s="29" t="str">
        <x:v>707.29</x:v>
      </x:c>
      <x:c r="N2861" s="29" t="str">
        <x:v>545.50</x:v>
      </x:c>
      <x:c r="O2861" s="29" t="str">
        <x:v>161.79</x:v>
      </x:c>
      <x:c r="P2861" s="18" t="str">
        <x:v>2026-06-19</x:v>
      </x:c>
      <x:c r="Q2861" s="36" t="n">
        <x:v>46192</x:v>
      </x:c>
    </x:row>
    <x:row r="2862">
      <x:c r="A2862" s="36" t="str">
        <x:v>2026-06-19</x:v>
      </x:c>
      <x:c r="B2862" s="18" t="str">
        <x:v>101437000_41563</x:v>
      </x:c>
      <x:c r="C2862" s="18" t="str">
        <x:v>【沪村小电】同心村快充站</x:v>
      </x:c>
      <x:c r="D2862" s="37" t="str">
        <x:v>4</x:v>
      </x:c>
      <x:c r="E2862" s="37" t="str">
        <x:v>0</x:v>
      </x:c>
      <x:c r="F2862" s="37" t="str">
        <x:v>59</x:v>
      </x:c>
      <x:c r="G2862" s="37" t="str">
        <x:v>1401.97</x:v>
      </x:c>
      <x:c r="H2862" s="37" t="str">
        <x:v>0.00</x:v>
      </x:c>
      <x:c r="I2862" s="37" t="str">
        <x:v>839.91</x:v>
      </x:c>
      <x:c r="J2862" s="37" t="str">
        <x:v>0.00</x:v>
      </x:c>
      <x:c r="K2862" s="37" t="str">
        <x:v>562.06</x:v>
      </x:c>
      <x:c r="L2862" s="37" t="str">
        <x:v>2746</x:v>
      </x:c>
      <x:c r="M2862" s="29" t="str">
        <x:v>1150.92</x:v>
      </x:c>
      <x:c r="N2862" s="29" t="str">
        <x:v>781.88</x:v>
      </x:c>
      <x:c r="O2862" s="29" t="str">
        <x:v>369.04</x:v>
      </x:c>
      <x:c r="P2862" s="18" t="str">
        <x:v>2026-06-19</x:v>
      </x:c>
      <x:c r="Q2862" s="36" t="n">
        <x:v>46192</x:v>
      </x:c>
    </x:row>
    <x:row r="2863">
      <x:c r="A2863" s="36" t="str">
        <x:v>2026-06-19</x:v>
      </x:c>
      <x:c r="B2863" s="18" t="str">
        <x:v>101437000_69629</x:v>
      </x:c>
      <x:c r="C2863" s="18" t="str">
        <x:v>【沪村小电】骏丰玲珑坊西苑充电站</x:v>
      </x:c>
      <x:c r="D2863" s="37" t="str">
        <x:v>2</x:v>
      </x:c>
      <x:c r="E2863" s="37" t="str">
        <x:v>0</x:v>
      </x:c>
      <x:c r="F2863" s="37" t="str">
        <x:v>47</x:v>
      </x:c>
      <x:c r="G2863" s="37" t="str">
        <x:v>1168.12</x:v>
      </x:c>
      <x:c r="H2863" s="37" t="str">
        <x:v>0.00</x:v>
      </x:c>
      <x:c r="I2863" s="37" t="str">
        <x:v>611.19</x:v>
      </x:c>
      <x:c r="J2863" s="37" t="str">
        <x:v>0.00</x:v>
      </x:c>
      <x:c r="K2863" s="37" t="str">
        <x:v>556.93</x:v>
      </x:c>
      <x:c r="L2863" s="37" t="str">
        <x:v>2131</x:v>
      </x:c>
      <x:c r="M2863" s="29" t="str">
        <x:v>894.27</x:v>
      </x:c>
      <x:c r="N2863" s="29" t="str">
        <x:v>663.91</x:v>
      </x:c>
      <x:c r="O2863" s="29" t="str">
        <x:v>230.36</x:v>
      </x:c>
      <x:c r="P2863" s="18" t="str">
        <x:v>2026-06-19</x:v>
      </x:c>
      <x:c r="Q2863" s="36" t="n">
        <x:v>46192</x:v>
      </x:c>
    </x:row>
    <x:row r="2864">
      <x:c r="A2864" s="36" t="str">
        <x:v>2026-06-19</x:v>
      </x:c>
      <x:c r="B2864" s="18" t="str">
        <x:v>101437000_70547</x:v>
      </x:c>
      <x:c r="C2864" s="18" t="str">
        <x:v>【沪村小电】农建村初心馆党群服务中心充电站</x:v>
      </x:c>
      <x:c r="D2864" s="37" t="str">
        <x:v>4</x:v>
      </x:c>
      <x:c r="E2864" s="37" t="str">
        <x:v>0</x:v>
      </x:c>
      <x:c r="F2864" s="37" t="str">
        <x:v>31</x:v>
      </x:c>
      <x:c r="G2864" s="37" t="str">
        <x:v>800.91</x:v>
      </x:c>
      <x:c r="H2864" s="37" t="str">
        <x:v>0.00</x:v>
      </x:c>
      <x:c r="I2864" s="37" t="str">
        <x:v>483.83</x:v>
      </x:c>
      <x:c r="J2864" s="37" t="str">
        <x:v>0.00</x:v>
      </x:c>
      <x:c r="K2864" s="37" t="str">
        <x:v>317.08</x:v>
      </x:c>
      <x:c r="L2864" s="37" t="str">
        <x:v>1227</x:v>
      </x:c>
      <x:c r="M2864" s="29" t="str">
        <x:v>761.68</x:v>
      </x:c>
      <x:c r="N2864" s="29" t="str">
        <x:v>671.25</x:v>
      </x:c>
      <x:c r="O2864" s="29" t="str">
        <x:v>90.43</x:v>
      </x:c>
      <x:c r="P2864" s="18" t="str">
        <x:v>2026-06-19</x:v>
      </x:c>
      <x:c r="Q2864" s="36" t="n">
        <x:v>46192</x:v>
      </x:c>
    </x:row>
    <x:row r="2865">
      <x:c r="A2865" s="36" t="str">
        <x:v>2026-06-19</x:v>
      </x:c>
      <x:c r="B2865" s="18" t="str">
        <x:v>101437000_70549</x:v>
      </x:c>
      <x:c r="C2865" s="18" t="str">
        <x:v>【沪村小电】学府路充电站</x:v>
      </x:c>
      <x:c r="D2865" s="37" t="str">
        <x:v>2</x:v>
      </x:c>
      <x:c r="E2865" s="37" t="str">
        <x:v>0</x:v>
      </x:c>
      <x:c r="F2865" s="37" t="str">
        <x:v>3</x:v>
      </x:c>
      <x:c r="G2865" s="37" t="str">
        <x:v>89.76</x:v>
      </x:c>
      <x:c r="H2865" s="37" t="str">
        <x:v>0.00</x:v>
      </x:c>
      <x:c r="I2865" s="37" t="str">
        <x:v>0.00</x:v>
      </x:c>
      <x:c r="J2865" s="37" t="str">
        <x:v>0.00</x:v>
      </x:c>
      <x:c r="K2865" s="37" t="str">
        <x:v>89.76</x:v>
      </x:c>
      <x:c r="L2865" s="37" t="str">
        <x:v>133</x:v>
      </x:c>
      <x:c r="M2865" s="29" t="str">
        <x:v>70.15</x:v>
      </x:c>
      <x:c r="N2865" s="29" t="str">
        <x:v>47.58</x:v>
      </x:c>
      <x:c r="O2865" s="29" t="str">
        <x:v>22.57</x:v>
      </x:c>
      <x:c r="P2865" s="18" t="str">
        <x:v>2026-06-19</x:v>
      </x:c>
      <x:c r="Q2865" s="36" t="n">
        <x:v>46192</x:v>
      </x:c>
    </x:row>
    <x:row r="2866">
      <x:c r="A2866" s="36" t="str">
        <x:v>2026-06-19</x:v>
      </x:c>
      <x:c r="B2866" s="18" t="str">
        <x:v>101437000_71059</x:v>
      </x:c>
      <x:c r="C2866" s="18" t="str">
        <x:v>【沪村小电】宝乐汇商业广场站</x:v>
      </x:c>
      <x:c r="D2866" s="37" t="str">
        <x:v>4</x:v>
      </x:c>
      <x:c r="E2866" s="37" t="str">
        <x:v>0</x:v>
      </x:c>
      <x:c r="F2866" s="37" t="str">
        <x:v>7</x:v>
      </x:c>
      <x:c r="G2866" s="37" t="str">
        <x:v>155.70</x:v>
      </x:c>
      <x:c r="H2866" s="37" t="str">
        <x:v>0.00</x:v>
      </x:c>
      <x:c r="I2866" s="37" t="str">
        <x:v>26.67</x:v>
      </x:c>
      <x:c r="J2866" s="37" t="str">
        <x:v>16.25</x:v>
      </x:c>
      <x:c r="K2866" s="37" t="str">
        <x:v>112.77</x:v>
      </x:c>
      <x:c r="L2866" s="37" t="str">
        <x:v>304</x:v>
      </x:c>
      <x:c r="M2866" s="29" t="str">
        <x:v>125.48</x:v>
      </x:c>
      <x:c r="N2866" s="29" t="str">
        <x:v>84.15</x:v>
      </x:c>
      <x:c r="O2866" s="29" t="str">
        <x:v>41.33</x:v>
      </x:c>
      <x:c r="P2866" s="18" t="str">
        <x:v>2026-06-19</x:v>
      </x:c>
      <x:c r="Q2866" s="36" t="n">
        <x:v>46192</x:v>
      </x:c>
    </x:row>
    <x:row r="2867">
      <x:c r="A2867" s="36" t="str">
        <x:v>2026-06-19</x:v>
      </x:c>
      <x:c r="B2867" s="18" t="str">
        <x:v>101437000_72541</x:v>
      </x:c>
      <x:c r="C2867" s="18" t="str">
        <x:v>【沪村小电】九干路1174弄充电站</x:v>
      </x:c>
      <x:c r="D2867" s="37" t="str">
        <x:v>2</x:v>
      </x:c>
      <x:c r="E2867" s="37" t="str">
        <x:v>0</x:v>
      </x:c>
      <x:c r="F2867" s="37" t="str">
        <x:v>45</x:v>
      </x:c>
      <x:c r="G2867" s="37" t="str">
        <x:v>420.46</x:v>
      </x:c>
      <x:c r="H2867" s="37" t="str">
        <x:v>0.00</x:v>
      </x:c>
      <x:c r="I2867" s="37" t="str">
        <x:v>261.85</x:v>
      </x:c>
      <x:c r="J2867" s="37" t="str">
        <x:v>0.00</x:v>
      </x:c>
      <x:c r="K2867" s="37" t="str">
        <x:v>158.61</x:v>
      </x:c>
      <x:c r="L2867" s="37" t="str">
        <x:v>803</x:v>
      </x:c>
      <x:c r="M2867" s="29" t="str">
        <x:v>337.01</x:v>
      </x:c>
      <x:c r="N2867" s="29" t="str">
        <x:v>254.04</x:v>
      </x:c>
      <x:c r="O2867" s="29" t="str">
        <x:v>82.97</x:v>
      </x:c>
      <x:c r="P2867" s="18" t="str">
        <x:v>2026-06-19</x:v>
      </x:c>
      <x:c r="Q2867" s="36" t="n">
        <x:v>46192</x:v>
      </x:c>
    </x:row>
    <x:row r="2868">
      <x:c r="A2868" s="36" t="str">
        <x:v>2026-06-19</x:v>
      </x:c>
      <x:c r="B2868" s="18" t="str">
        <x:v>101437000_72543</x:v>
      </x:c>
      <x:c r="C2868" s="18" t="str">
        <x:v>【沪村小电】叶家中心村小区充电站</x:v>
      </x:c>
      <x:c r="D2868" s="37" t="str">
        <x:v>2</x:v>
      </x:c>
      <x:c r="E2868" s="37" t="str">
        <x:v>0</x:v>
      </x:c>
      <x:c r="F2868" s="37" t="str">
        <x:v>44</x:v>
      </x:c>
      <x:c r="G2868" s="37" t="str">
        <x:v>1069.98</x:v>
      </x:c>
      <x:c r="H2868" s="37" t="str">
        <x:v>0.00</x:v>
      </x:c>
      <x:c r="I2868" s="37" t="str">
        <x:v>585.35</x:v>
      </x:c>
      <x:c r="J2868" s="37" t="str">
        <x:v>0.00</x:v>
      </x:c>
      <x:c r="K2868" s="37" t="str">
        <x:v>484.63</x:v>
      </x:c>
      <x:c r="L2868" s="37" t="str">
        <x:v>1851</x:v>
      </x:c>
      <x:c r="M2868" s="29" t="str">
        <x:v>872.58</x:v>
      </x:c>
      <x:c r="N2868" s="29" t="str">
        <x:v>617.34</x:v>
      </x:c>
      <x:c r="O2868" s="29" t="str">
        <x:v>255.24</x:v>
      </x:c>
      <x:c r="P2868" s="18" t="str">
        <x:v>2026-06-19</x:v>
      </x:c>
      <x:c r="Q2868" s="36" t="n">
        <x:v>46192</x:v>
      </x:c>
    </x:row>
    <x:row r="2869">
      <x:c r="A2869" s="36" t="str">
        <x:v>2026-06-19</x:v>
      </x:c>
      <x:c r="B2869" s="18" t="str">
        <x:v>101437000_72937</x:v>
      </x:c>
      <x:c r="C2869" s="18" t="str">
        <x:v>【沪村小电】佘北家园茸腾苑充电站</x:v>
      </x:c>
      <x:c r="D2869" s="37" t="str">
        <x:v>4</x:v>
      </x:c>
      <x:c r="E2869" s="37" t="str">
        <x:v>0</x:v>
      </x:c>
      <x:c r="F2869" s="37" t="str">
        <x:v>6</x:v>
      </x:c>
      <x:c r="G2869" s="37" t="str">
        <x:v>118.20</x:v>
      </x:c>
      <x:c r="H2869" s="37" t="str">
        <x:v>0.00</x:v>
      </x:c>
      <x:c r="I2869" s="37" t="str">
        <x:v>118.20</x:v>
      </x:c>
      <x:c r="J2869" s="37" t="str">
        <x:v>0.00</x:v>
      </x:c>
      <x:c r="K2869" s="37" t="str">
        <x:v>0.00</x:v>
      </x:c>
      <x:c r="L2869" s="37" t="str">
        <x:v>191</x:v>
      </x:c>
      <x:c r="M2869" s="29" t="str">
        <x:v>101.09</x:v>
      </x:c>
      <x:c r="N2869" s="29" t="str">
        <x:v>87.47</x:v>
      </x:c>
      <x:c r="O2869" s="29" t="str">
        <x:v>13.62</x:v>
      </x:c>
      <x:c r="P2869" s="18" t="str">
        <x:v>2026-06-19</x:v>
      </x:c>
      <x:c r="Q2869" s="36" t="n">
        <x:v>46192</x:v>
      </x:c>
    </x:row>
    <x:row r="2870">
      <x:c r="A2870" s="36" t="str">
        <x:v>2026-06-19</x:v>
      </x:c>
      <x:c r="B2870" s="18" t="str">
        <x:v>101437000_74223</x:v>
      </x:c>
      <x:c r="C2870" s="18" t="str">
        <x:v>【沪村小电】中兴村委会充电站</x:v>
      </x:c>
      <x:c r="D2870" s="37" t="str">
        <x:v>2</x:v>
      </x:c>
      <x:c r="E2870" s="37" t="str">
        <x:v>0</x:v>
      </x:c>
      <x:c r="F2870" s="37" t="str">
        <x:v>21</x:v>
      </x:c>
      <x:c r="G2870" s="37" t="str">
        <x:v>422.07</x:v>
      </x:c>
      <x:c r="H2870" s="37" t="str">
        <x:v>0.00</x:v>
      </x:c>
      <x:c r="I2870" s="37" t="str">
        <x:v>67.48</x:v>
      </x:c>
      <x:c r="J2870" s="37" t="str">
        <x:v>0.00</x:v>
      </x:c>
      <x:c r="K2870" s="37" t="str">
        <x:v>354.59</x:v>
      </x:c>
      <x:c r="L2870" s="37" t="str">
        <x:v>625</x:v>
      </x:c>
      <x:c r="M2870" s="29" t="str">
        <x:v>317.28</x:v>
      </x:c>
      <x:c r="N2870" s="29" t="str">
        <x:v>258.11</x:v>
      </x:c>
      <x:c r="O2870" s="29" t="str">
        <x:v>59.17</x:v>
      </x:c>
      <x:c r="P2870" s="18" t="str">
        <x:v>2026-06-19</x:v>
      </x:c>
      <x:c r="Q2870" s="36" t="n">
        <x:v>46192</x:v>
      </x:c>
    </x:row>
    <x:row r="2871">
      <x:c r="A2871" s="36" t="str">
        <x:v>2026-06-19</x:v>
      </x:c>
      <x:c r="B2871" s="18" t="str">
        <x:v>101437000_74801</x:v>
      </x:c>
      <x:c r="C2871" s="18" t="str">
        <x:v>【沪村小电】申良花园充电站</x:v>
      </x:c>
      <x:c r="D2871" s="37" t="str">
        <x:v>4</x:v>
      </x:c>
      <x:c r="E2871" s="37" t="str">
        <x:v>0</x:v>
      </x:c>
      <x:c r="F2871" s="37" t="str">
        <x:v>1</x:v>
      </x:c>
      <x:c r="G2871" s="37" t="str">
        <x:v>16.17</x:v>
      </x:c>
      <x:c r="H2871" s="37" t="str">
        <x:v>0.00</x:v>
      </x:c>
      <x:c r="I2871" s="37" t="str">
        <x:v>16.17</x:v>
      </x:c>
      <x:c r="J2871" s="37" t="str">
        <x:v>0.00</x:v>
      </x:c>
      <x:c r="K2871" s="37" t="str">
        <x:v>0.00</x:v>
      </x:c>
      <x:c r="L2871" s="37" t="str">
        <x:v>46</x:v>
      </x:c>
      <x:c r="M2871" s="29" t="str">
        <x:v>18.60</x:v>
      </x:c>
      <x:c r="N2871" s="29" t="str">
        <x:v>11.97</x:v>
      </x:c>
      <x:c r="O2871" s="29" t="str">
        <x:v>6.63</x:v>
      </x:c>
      <x:c r="P2871" s="18" t="str">
        <x:v>2026-06-19</x:v>
      </x:c>
      <x:c r="Q2871" s="36" t="n">
        <x:v>46192</x:v>
      </x:c>
    </x:row>
    <x:row r="2872">
      <x:c r="A2872" s="36" t="str">
        <x:v>2026-06-19</x:v>
      </x:c>
      <x:c r="B2872" s="18" t="str">
        <x:v>101437000_74931</x:v>
      </x:c>
      <x:c r="C2872" s="18" t="str">
        <x:v>【沪村小电】枫雅南居充电站</x:v>
      </x:c>
      <x:c r="D2872" s="37" t="str">
        <x:v>2</x:v>
      </x:c>
      <x:c r="E2872" s="37" t="str">
        <x:v>0</x:v>
      </x:c>
      <x:c r="F2872" s="37" t="str">
        <x:v>10</x:v>
      </x:c>
      <x:c r="G2872" s="37" t="str">
        <x:v>273.94</x:v>
      </x:c>
      <x:c r="H2872" s="37" t="str">
        <x:v>0.00</x:v>
      </x:c>
      <x:c r="I2872" s="37" t="str">
        <x:v>85.00</x:v>
      </x:c>
      <x:c r="J2872" s="37" t="str">
        <x:v>0.00</x:v>
      </x:c>
      <x:c r="K2872" s="37" t="str">
        <x:v>188.94</x:v>
      </x:c>
      <x:c r="L2872" s="37" t="str">
        <x:v>355</x:v>
      </x:c>
      <x:c r="M2872" s="29" t="str">
        <x:v>163.66</x:v>
      </x:c>
      <x:c r="N2872" s="29" t="str">
        <x:v>108.72</x:v>
      </x:c>
      <x:c r="O2872" s="29" t="str">
        <x:v>54.94</x:v>
      </x:c>
      <x:c r="P2872" s="18" t="str">
        <x:v>2026-06-19</x:v>
      </x:c>
      <x:c r="Q2872" s="36" t="n">
        <x:v>46192</x:v>
      </x:c>
    </x:row>
    <x:row r="2873">
      <x:c r="A2873" s="36" t="str">
        <x:v>2026-06-19</x:v>
      </x:c>
      <x:c r="B2873" s="18" t="str">
        <x:v>101437000_75901</x:v>
      </x:c>
      <x:c r="C2873" s="18" t="str">
        <x:v>【沪村小电】金悦学府</x:v>
      </x:c>
      <x:c r="D2873" s="37" t="str">
        <x:v>2</x:v>
      </x:c>
      <x:c r="E2873" s="37" t="str">
        <x:v>0</x:v>
      </x:c>
      <x:c r="F2873" s="37" t="str">
        <x:v>24</x:v>
      </x:c>
      <x:c r="G2873" s="37" t="str">
        <x:v>456.30</x:v>
      </x:c>
      <x:c r="H2873" s="37" t="str">
        <x:v>0.00</x:v>
      </x:c>
      <x:c r="I2873" s="37" t="str">
        <x:v>260.22</x:v>
      </x:c>
      <x:c r="J2873" s="37" t="str">
        <x:v>0.00</x:v>
      </x:c>
      <x:c r="K2873" s="37" t="str">
        <x:v>196.08</x:v>
      </x:c>
      <x:c r="L2873" s="37" t="str">
        <x:v>639</x:v>
      </x:c>
      <x:c r="M2873" s="29" t="str">
        <x:v>360.65</x:v>
      </x:c>
      <x:c r="N2873" s="29" t="str">
        <x:v>214.30</x:v>
      </x:c>
      <x:c r="O2873" s="29" t="str">
        <x:v>146.35</x:v>
      </x:c>
      <x:c r="P2873" s="18" t="str">
        <x:v>2026-06-19</x:v>
      </x:c>
      <x:c r="Q2873" s="36" t="n">
        <x:v>46192</x:v>
      </x:c>
    </x:row>
    <x:row r="2874">
      <x:c r="A2874" s="36" t="str">
        <x:v>2026-06-19</x:v>
      </x:c>
      <x:c r="B2874" s="18" t="str">
        <x:v>101437000_76091</x:v>
      </x:c>
      <x:c r="C2874" s="18" t="str">
        <x:v>【沪村小电】恒信家园充电站</x:v>
      </x:c>
      <x:c r="D2874" s="37" t="str">
        <x:v>2</x:v>
      </x:c>
      <x:c r="E2874" s="37" t="str">
        <x:v>0</x:v>
      </x:c>
      <x:c r="F2874" s="37" t="str">
        <x:v>51</x:v>
      </x:c>
      <x:c r="G2874" s="37" t="str">
        <x:v>1157.13</x:v>
      </x:c>
      <x:c r="H2874" s="37" t="str">
        <x:v>0.00</x:v>
      </x:c>
      <x:c r="I2874" s="37" t="str">
        <x:v>507.11</x:v>
      </x:c>
      <x:c r="J2874" s="37" t="str">
        <x:v>0.00</x:v>
      </x:c>
      <x:c r="K2874" s="37" t="str">
        <x:v>650.02</x:v>
      </x:c>
      <x:c r="L2874" s="37" t="str">
        <x:v>1689</x:v>
      </x:c>
      <x:c r="M2874" s="29" t="str">
        <x:v>1003.00</x:v>
      </x:c>
      <x:c r="N2874" s="29" t="str">
        <x:v>622.25</x:v>
      </x:c>
      <x:c r="O2874" s="29" t="str">
        <x:v>380.75</x:v>
      </x:c>
      <x:c r="P2874" s="18" t="str">
        <x:v>2026-06-19</x:v>
      </x:c>
      <x:c r="Q2874" s="36" t="n">
        <x:v>46192</x:v>
      </x:c>
    </x:row>
    <x:row r="2875">
      <x:c r="A2875" s="36" t="str">
        <x:v>2026-06-19</x:v>
      </x:c>
      <x:c r="B2875" s="18" t="str">
        <x:v>101437000_78235</x:v>
      </x:c>
      <x:c r="C2875" s="18" t="str">
        <x:v>【沪村小电】欣秋苑充电站</x:v>
      </x:c>
      <x:c r="D2875" s="37" t="str">
        <x:v>4</x:v>
      </x:c>
      <x:c r="E2875" s="37" t="str">
        <x:v>0</x:v>
      </x:c>
      <x:c r="F2875" s="37" t="str">
        <x:v>8</x:v>
      </x:c>
      <x:c r="G2875" s="37" t="str">
        <x:v>162.63</x:v>
      </x:c>
      <x:c r="H2875" s="37" t="str">
        <x:v>0.00</x:v>
      </x:c>
      <x:c r="I2875" s="37" t="str">
        <x:v>104.59</x:v>
      </x:c>
      <x:c r="J2875" s="37" t="str">
        <x:v>0.00</x:v>
      </x:c>
      <x:c r="K2875" s="37" t="str">
        <x:v>58.04</x:v>
      </x:c>
      <x:c r="L2875" s="37" t="str">
        <x:v>347</x:v>
      </x:c>
      <x:c r="M2875" s="29" t="str">
        <x:v>131.42</x:v>
      </x:c>
      <x:c r="N2875" s="29" t="str">
        <x:v>99.45</x:v>
      </x:c>
      <x:c r="O2875" s="29" t="str">
        <x:v>31.97</x:v>
      </x:c>
      <x:c r="P2875" s="18" t="str">
        <x:v>2026-06-19</x:v>
      </x:c>
      <x:c r="Q2875" s="36" t="n">
        <x:v>46192</x:v>
      </x:c>
    </x:row>
    <x:row r="2876">
      <x:c r="A2876" s="36" t="str">
        <x:v>2026-06-19</x:v>
      </x:c>
      <x:c r="B2876" s="18" t="str">
        <x:v>101437000_78237</x:v>
      </x:c>
      <x:c r="C2876" s="18" t="str">
        <x:v>【沪村小电】奉馨苑西门小区内北侧充电站</x:v>
      </x:c>
      <x:c r="D2876" s="37" t="str">
        <x:v>2</x:v>
      </x:c>
      <x:c r="E2876" s="37" t="str">
        <x:v>0</x:v>
      </x:c>
      <x:c r="F2876" s="37" t="str">
        <x:v>29</x:v>
      </x:c>
      <x:c r="G2876" s="37" t="str">
        <x:v>911.89</x:v>
      </x:c>
      <x:c r="H2876" s="37" t="str">
        <x:v>0.00</x:v>
      </x:c>
      <x:c r="I2876" s="37" t="str">
        <x:v>442.26</x:v>
      </x:c>
      <x:c r="J2876" s="37" t="str">
        <x:v>0.00</x:v>
      </x:c>
      <x:c r="K2876" s="37" t="str">
        <x:v>469.64</x:v>
      </x:c>
      <x:c r="L2876" s="37" t="str">
        <x:v>1318</x:v>
      </x:c>
      <x:c r="M2876" s="29" t="str">
        <x:v>730.46</x:v>
      </x:c>
      <x:c r="N2876" s="29" t="str">
        <x:v>505.73</x:v>
      </x:c>
      <x:c r="O2876" s="29" t="str">
        <x:v>224.73</x:v>
      </x:c>
      <x:c r="P2876" s="18" t="str">
        <x:v>2026-06-19</x:v>
      </x:c>
      <x:c r="Q2876" s="36" t="n">
        <x:v>46192</x:v>
      </x:c>
    </x:row>
    <x:row r="2877">
      <x:c r="A2877" s="36" t="str">
        <x:v>2026-06-19</x:v>
      </x:c>
      <x:c r="B2877" s="18" t="str">
        <x:v>101437000_78239</x:v>
      </x:c>
      <x:c r="C2877" s="18" t="str">
        <x:v>【沪村小电】恒大佘山首府东门充电站</x:v>
      </x:c>
      <x:c r="D2877" s="37" t="str">
        <x:v>2</x:v>
      </x:c>
      <x:c r="E2877" s="37" t="str">
        <x:v>0</x:v>
      </x:c>
      <x:c r="F2877" s="37" t="str">
        <x:v>44</x:v>
      </x:c>
      <x:c r="G2877" s="37" t="str">
        <x:v>1355.42</x:v>
      </x:c>
      <x:c r="H2877" s="37" t="str">
        <x:v>0.00</x:v>
      </x:c>
      <x:c r="I2877" s="37" t="str">
        <x:v>557.24</x:v>
      </x:c>
      <x:c r="J2877" s="37" t="str">
        <x:v>0.00</x:v>
      </x:c>
      <x:c r="K2877" s="37" t="str">
        <x:v>798.18</x:v>
      </x:c>
      <x:c r="L2877" s="37" t="str">
        <x:v>1820</x:v>
      </x:c>
      <x:c r="M2877" s="29" t="str">
        <x:v>952.52</x:v>
      </x:c>
      <x:c r="N2877" s="29" t="str">
        <x:v>715.63</x:v>
      </x:c>
      <x:c r="O2877" s="29" t="str">
        <x:v>236.89</x:v>
      </x:c>
      <x:c r="P2877" s="18" t="str">
        <x:v>2026-06-19</x:v>
      </x:c>
      <x:c r="Q2877" s="36" t="n">
        <x:v>46192</x:v>
      </x:c>
    </x:row>
    <x:row r="2878">
      <x:c r="A2878" s="36" t="str">
        <x:v>2026-06-19</x:v>
      </x:c>
      <x:c r="B2878" s="18" t="str">
        <x:v>101437000_80823</x:v>
      </x:c>
      <x:c r="C2878" s="18" t="str">
        <x:v>【沪村小电】上湖轩充电站</x:v>
      </x:c>
      <x:c r="D2878" s="37" t="str">
        <x:v>2</x:v>
      </x:c>
      <x:c r="E2878" s="37" t="str">
        <x:v>0</x:v>
      </x:c>
      <x:c r="F2878" s="37" t="str">
        <x:v>5</x:v>
      </x:c>
      <x:c r="G2878" s="37" t="str">
        <x:v>97.10</x:v>
      </x:c>
      <x:c r="H2878" s="37" t="str">
        <x:v>0.00</x:v>
      </x:c>
      <x:c r="I2878" s="37" t="str">
        <x:v>40.30</x:v>
      </x:c>
      <x:c r="J2878" s="37" t="str">
        <x:v>17.51</x:v>
      </x:c>
      <x:c r="K2878" s="37" t="str">
        <x:v>39.29</x:v>
      </x:c>
      <x:c r="L2878" s="37" t="str">
        <x:v>146</x:v>
      </x:c>
      <x:c r="M2878" s="29" t="str">
        <x:v>72.85</x:v>
      </x:c>
      <x:c r="N2878" s="29" t="str">
        <x:v>53.55</x:v>
      </x:c>
      <x:c r="O2878" s="29" t="str">
        <x:v>19.30</x:v>
      </x:c>
      <x:c r="P2878" s="18" t="str">
        <x:v>2026-06-19</x:v>
      </x:c>
      <x:c r="Q2878" s="36" t="n">
        <x:v>46192</x:v>
      </x:c>
    </x:row>
    <x:row r="2879">
      <x:c r="A2879" s="36" t="str">
        <x:v>2026-06-19</x:v>
      </x:c>
      <x:c r="B2879" s="18" t="str">
        <x:v>101437000_83019</x:v>
      </x:c>
      <x:c r="C2879" s="18" t="str">
        <x:v>【沪村小电】首创禧瑞云启东区充电站</x:v>
      </x:c>
      <x:c r="D2879" s="37" t="str">
        <x:v>2</x:v>
      </x:c>
      <x:c r="E2879" s="37" t="str">
        <x:v>0</x:v>
      </x:c>
      <x:c r="F2879" s="37" t="str">
        <x:v>36</x:v>
      </x:c>
      <x:c r="G2879" s="37" t="str">
        <x:v>821.41</x:v>
      </x:c>
      <x:c r="H2879" s="37" t="str">
        <x:v>0.00</x:v>
      </x:c>
      <x:c r="I2879" s="37" t="str">
        <x:v>592.19</x:v>
      </x:c>
      <x:c r="J2879" s="37" t="str">
        <x:v>0.00</x:v>
      </x:c>
      <x:c r="K2879" s="37" t="str">
        <x:v>229.22</x:v>
      </x:c>
      <x:c r="L2879" s="37" t="str">
        <x:v>1185</x:v>
      </x:c>
      <x:c r="M2879" s="29" t="str">
        <x:v>734.32</x:v>
      </x:c>
      <x:c r="N2879" s="29" t="str">
        <x:v>491.14</x:v>
      </x:c>
      <x:c r="O2879" s="29" t="str">
        <x:v>243.18</x:v>
      </x:c>
      <x:c r="P2879" s="18" t="str">
        <x:v>2026-06-19</x:v>
      </x:c>
      <x:c r="Q2879" s="36" t="n">
        <x:v>46192</x:v>
      </x:c>
    </x:row>
    <x:row r="2880">
      <x:c r="A2880" s="36" t="str">
        <x:v>2026-06-19</x:v>
      </x:c>
      <x:c r="B2880" s="18" t="str">
        <x:v>101437000_83093</x:v>
      </x:c>
      <x:c r="C2880" s="18" t="str">
        <x:v>【沪村小电】金茂未来时光里</x:v>
      </x:c>
      <x:c r="D2880" s="37" t="str">
        <x:v>2</x:v>
      </x:c>
      <x:c r="E2880" s="37" t="str">
        <x:v>0</x:v>
      </x:c>
      <x:c r="F2880" s="37" t="str">
        <x:v>30</x:v>
      </x:c>
      <x:c r="G2880" s="37" t="str">
        <x:v>961.27</x:v>
      </x:c>
      <x:c r="H2880" s="37" t="str">
        <x:v>0.00</x:v>
      </x:c>
      <x:c r="I2880" s="37" t="str">
        <x:v>468.36</x:v>
      </x:c>
      <x:c r="J2880" s="37" t="str">
        <x:v>0.00</x:v>
      </x:c>
      <x:c r="K2880" s="37" t="str">
        <x:v>492.92</x:v>
      </x:c>
      <x:c r="L2880" s="37" t="str">
        <x:v>1307</x:v>
      </x:c>
      <x:c r="M2880" s="29" t="str">
        <x:v>634.93</x:v>
      </x:c>
      <x:c r="N2880" s="29" t="str">
        <x:v>429.14</x:v>
      </x:c>
      <x:c r="O2880" s="29" t="str">
        <x:v>205.79</x:v>
      </x:c>
      <x:c r="P2880" s="18" t="str">
        <x:v>2026-06-19</x:v>
      </x:c>
      <x:c r="Q2880" s="36" t="n">
        <x:v>46192</x:v>
      </x:c>
    </x:row>
    <x:row r="2881">
      <x:c r="A2881" s="36" t="str">
        <x:v>2026-06-19</x:v>
      </x:c>
      <x:c r="B2881" s="18" t="str">
        <x:v>101437000_83911</x:v>
      </x:c>
      <x:c r="C2881" s="18" t="str">
        <x:v>【沪村小电】金瀚园充电站</x:v>
      </x:c>
      <x:c r="D2881" s="37" t="str">
        <x:v>2</x:v>
      </x:c>
      <x:c r="E2881" s="37" t="str">
        <x:v>0</x:v>
      </x:c>
      <x:c r="F2881" s="37" t="str">
        <x:v>27</x:v>
      </x:c>
      <x:c r="G2881" s="37" t="str">
        <x:v>694.43</x:v>
      </x:c>
      <x:c r="H2881" s="37" t="str">
        <x:v>0.00</x:v>
      </x:c>
      <x:c r="I2881" s="37" t="str">
        <x:v>478.93</x:v>
      </x:c>
      <x:c r="J2881" s="37" t="str">
        <x:v>0.00</x:v>
      </x:c>
      <x:c r="K2881" s="37" t="str">
        <x:v>215.50</x:v>
      </x:c>
      <x:c r="L2881" s="37" t="str">
        <x:v>853</x:v>
      </x:c>
      <x:c r="M2881" s="29" t="str">
        <x:v>727.86</x:v>
      </x:c>
      <x:c r="N2881" s="29" t="str">
        <x:v>436.27</x:v>
      </x:c>
      <x:c r="O2881" s="29" t="str">
        <x:v>291.59</x:v>
      </x:c>
      <x:c r="P2881" s="18" t="str">
        <x:v>2026-06-19</x:v>
      </x:c>
      <x:c r="Q2881" s="36" t="n">
        <x:v>46192</x:v>
      </x:c>
    </x:row>
    <x:row r="2882">
      <x:c r="A2882" s="36" t="str">
        <x:v>2026-06-19</x:v>
      </x:c>
      <x:c r="B2882" s="18" t="str">
        <x:v>101437000_83913</x:v>
      </x:c>
      <x:c r="C2882" s="18" t="str">
        <x:v>【沪村小电】新黎村充电站</x:v>
      </x:c>
      <x:c r="D2882" s="37" t="str">
        <x:v>2</x:v>
      </x:c>
      <x:c r="E2882" s="37" t="str">
        <x:v>0</x:v>
      </x:c>
      <x:c r="F2882" s="37" t="str">
        <x:v>25</x:v>
      </x:c>
      <x:c r="G2882" s="37" t="str">
        <x:v>704.17</x:v>
      </x:c>
      <x:c r="H2882" s="37" t="str">
        <x:v>0.00</x:v>
      </x:c>
      <x:c r="I2882" s="37" t="str">
        <x:v>358.69</x:v>
      </x:c>
      <x:c r="J2882" s="37" t="str">
        <x:v>0.00</x:v>
      </x:c>
      <x:c r="K2882" s="37" t="str">
        <x:v>345.48</x:v>
      </x:c>
      <x:c r="L2882" s="37" t="str">
        <x:v>976</x:v>
      </x:c>
      <x:c r="M2882" s="29" t="str">
        <x:v>675.69</x:v>
      </x:c>
      <x:c r="N2882" s="29" t="str">
        <x:v>556.14</x:v>
      </x:c>
      <x:c r="O2882" s="29" t="str">
        <x:v>119.55</x:v>
      </x:c>
      <x:c r="P2882" s="18" t="str">
        <x:v>2026-06-19</x:v>
      </x:c>
      <x:c r="Q2882" s="36" t="n">
        <x:v>46192</x:v>
      </x:c>
    </x:row>
    <x:row r="2883">
      <x:c r="A2883" s="36" t="str">
        <x:v>2026-06-19</x:v>
      </x:c>
      <x:c r="B2883" s="18" t="str">
        <x:v>101437000_83915</x:v>
      </x:c>
      <x:c r="C2883" s="18" t="str">
        <x:v>【沪村小电】长泰西郊别墅充电站</x:v>
      </x:c>
      <x:c r="D2883" s="37" t="str">
        <x:v>2</x:v>
      </x:c>
      <x:c r="E2883" s="37" t="str">
        <x:v>0</x:v>
      </x:c>
      <x:c r="F2883" s="37" t="str">
        <x:v>13</x:v>
      </x:c>
      <x:c r="G2883" s="37" t="str">
        <x:v>385.96</x:v>
      </x:c>
      <x:c r="H2883" s="37" t="str">
        <x:v>0.00</x:v>
      </x:c>
      <x:c r="I2883" s="37" t="str">
        <x:v>261.23</x:v>
      </x:c>
      <x:c r="J2883" s="37" t="str">
        <x:v>0.00</x:v>
      </x:c>
      <x:c r="K2883" s="37" t="str">
        <x:v>124.73</x:v>
      </x:c>
      <x:c r="L2883" s="37" t="str">
        <x:v>547</x:v>
      </x:c>
      <x:c r="M2883" s="29" t="str">
        <x:v>362.15</x:v>
      </x:c>
      <x:c r="N2883" s="29" t="str">
        <x:v>240.72</x:v>
      </x:c>
      <x:c r="O2883" s="29" t="str">
        <x:v>121.43</x:v>
      </x:c>
      <x:c r="P2883" s="18" t="str">
        <x:v>2026-06-19</x:v>
      </x:c>
      <x:c r="Q2883" s="36" t="n">
        <x:v>46192</x:v>
      </x:c>
    </x:row>
    <x:row r="2884">
      <x:c r="A2884" s="36" t="str">
        <x:v>2026-06-19</x:v>
      </x:c>
      <x:c r="B2884" s="18" t="str">
        <x:v>101437000_83917</x:v>
      </x:c>
      <x:c r="C2884" s="18" t="str">
        <x:v>【沪村小电】旭新华庭充电站</x:v>
      </x:c>
      <x:c r="D2884" s="37" t="str">
        <x:v>4</x:v>
      </x:c>
      <x:c r="E2884" s="37" t="str">
        <x:v>0</x:v>
      </x:c>
      <x:c r="F2884" s="37" t="str">
        <x:v>27</x:v>
      </x:c>
      <x:c r="G2884" s="37" t="str">
        <x:v>720.90</x:v>
      </x:c>
      <x:c r="H2884" s="37" t="str">
        <x:v>0.00</x:v>
      </x:c>
      <x:c r="I2884" s="37" t="str">
        <x:v>529.57</x:v>
      </x:c>
      <x:c r="J2884" s="37" t="str">
        <x:v>0.00</x:v>
      </x:c>
      <x:c r="K2884" s="37" t="str">
        <x:v>191.33</x:v>
      </x:c>
      <x:c r="L2884" s="37" t="str">
        <x:v>1120</x:v>
      </x:c>
      <x:c r="M2884" s="29" t="str">
        <x:v>705.97</x:v>
      </x:c>
      <x:c r="N2884" s="29" t="str">
        <x:v>464.62</x:v>
      </x:c>
      <x:c r="O2884" s="29" t="str">
        <x:v>241.35</x:v>
      </x:c>
      <x:c r="P2884" s="18" t="str">
        <x:v>2026-06-19</x:v>
      </x:c>
      <x:c r="Q2884" s="36" t="n">
        <x:v>46192</x:v>
      </x:c>
    </x:row>
    <x:row r="2885">
      <x:c r="A2885" s="36" t="str">
        <x:v>2026-06-19</x:v>
      </x:c>
      <x:c r="B2885" s="18" t="str">
        <x:v>101437000_83919</x:v>
      </x:c>
      <x:c r="C2885" s="18" t="str">
        <x:v>【沪村小电】浦锦名仕嘉园充电站</x:v>
      </x:c>
      <x:c r="D2885" s="37" t="str">
        <x:v>4</x:v>
      </x:c>
      <x:c r="E2885" s="37" t="str">
        <x:v>0</x:v>
      </x:c>
      <x:c r="F2885" s="37" t="str">
        <x:v>35</x:v>
      </x:c>
      <x:c r="G2885" s="37" t="str">
        <x:v>940.91</x:v>
      </x:c>
      <x:c r="H2885" s="37" t="str">
        <x:v>0.00</x:v>
      </x:c>
      <x:c r="I2885" s="37" t="str">
        <x:v>0.00</x:v>
      </x:c>
      <x:c r="J2885" s="37" t="str">
        <x:v>940.91</x:v>
      </x:c>
      <x:c r="K2885" s="37" t="str">
        <x:v>0.00</x:v>
      </x:c>
      <x:c r="L2885" s="37" t="str">
        <x:v>1247</x:v>
      </x:c>
      <x:c r="M2885" s="29" t="str">
        <x:v>899.35</x:v>
      </x:c>
      <x:c r="N2885" s="29" t="str">
        <x:v>602.17</x:v>
      </x:c>
      <x:c r="O2885" s="29" t="str">
        <x:v>297.18</x:v>
      </x:c>
      <x:c r="P2885" s="18" t="str">
        <x:v>2026-06-19</x:v>
      </x:c>
      <x:c r="Q2885" s="36" t="n">
        <x:v>46192</x:v>
      </x:c>
    </x:row>
    <x:row r="2886">
      <x:c r="A2886" s="36" t="str">
        <x:v>2026-06-19</x:v>
      </x:c>
      <x:c r="B2886" s="18" t="str">
        <x:v>101437000_83921</x:v>
      </x:c>
      <x:c r="C2886" s="18" t="str">
        <x:v>【沪村小电】上海联怡枇杷乐园充电站（地库）</x:v>
      </x:c>
      <x:c r="D2886" s="37" t="str">
        <x:v>8</x:v>
      </x:c>
      <x:c r="E2886" s="37" t="str">
        <x:v>0</x:v>
      </x:c>
      <x:c r="F2886" s="37" t="str">
        <x:v>3</x:v>
      </x:c>
      <x:c r="G2886" s="37" t="str">
        <x:v>103.73</x:v>
      </x:c>
      <x:c r="H2886" s="37" t="str">
        <x:v>0.00</x:v>
      </x:c>
      <x:c r="I2886" s="37" t="str">
        <x:v>52.91</x:v>
      </x:c>
      <x:c r="J2886" s="37" t="str">
        <x:v>0.00</x:v>
      </x:c>
      <x:c r="K2886" s="37" t="str">
        <x:v>50.82</x:v>
      </x:c>
      <x:c r="L2886" s="37" t="str">
        <x:v>127</x:v>
      </x:c>
      <x:c r="M2886" s="29" t="str">
        <x:v>90.28</x:v>
      </x:c>
      <x:c r="N2886" s="29" t="str">
        <x:v>81.97</x:v>
      </x:c>
      <x:c r="O2886" s="29" t="str">
        <x:v>8.31</x:v>
      </x:c>
      <x:c r="P2886" s="18" t="str">
        <x:v>2026-06-19</x:v>
      </x:c>
      <x:c r="Q2886" s="36" t="n">
        <x:v>46192</x:v>
      </x:c>
    </x:row>
    <x:row r="2887">
      <x:c r="A2887" s="36" t="str">
        <x:v>2026-06-19</x:v>
      </x:c>
      <x:c r="B2887" s="18" t="str">
        <x:v>101437000_83923</x:v>
      </x:c>
      <x:c r="C2887" s="18" t="str">
        <x:v>【沪村小电】明珠新苑充电站</x:v>
      </x:c>
      <x:c r="D2887" s="37" t="str">
        <x:v>2</x:v>
      </x:c>
      <x:c r="E2887" s="37" t="str">
        <x:v>0</x:v>
      </x:c>
      <x:c r="F2887" s="37" t="str">
        <x:v>23</x:v>
      </x:c>
      <x:c r="G2887" s="37" t="str">
        <x:v>638.22</x:v>
      </x:c>
      <x:c r="H2887" s="37" t="str">
        <x:v>0.00</x:v>
      </x:c>
      <x:c r="I2887" s="37" t="str">
        <x:v>408.92</x:v>
      </x:c>
      <x:c r="J2887" s="37" t="str">
        <x:v>0.00</x:v>
      </x:c>
      <x:c r="K2887" s="37" t="str">
        <x:v>229.30</x:v>
      </x:c>
      <x:c r="L2887" s="37" t="str">
        <x:v>810</x:v>
      </x:c>
      <x:c r="M2887" s="29" t="str">
        <x:v>575.39</x:v>
      </x:c>
      <x:c r="N2887" s="29" t="str">
        <x:v>389.73</x:v>
      </x:c>
      <x:c r="O2887" s="29" t="str">
        <x:v>185.66</x:v>
      </x:c>
      <x:c r="P2887" s="18" t="str">
        <x:v>2026-06-19</x:v>
      </x:c>
      <x:c r="Q2887" s="36" t="n">
        <x:v>46192</x:v>
      </x:c>
    </x:row>
    <x:row r="2888">
      <x:c r="A2888" s="36" t="str">
        <x:v>2026-06-19</x:v>
      </x:c>
      <x:c r="B2888" s="18" t="str">
        <x:v>101437000_84289</x:v>
      </x:c>
      <x:c r="C2888" s="18" t="str">
        <x:v>【沪村小电】铁建芳华苑充电站</x:v>
      </x:c>
      <x:c r="D2888" s="37" t="str">
        <x:v>4</x:v>
      </x:c>
      <x:c r="E2888" s="37" t="str">
        <x:v>0</x:v>
      </x:c>
      <x:c r="F2888" s="37" t="str">
        <x:v>34</x:v>
      </x:c>
      <x:c r="G2888" s="37" t="str">
        <x:v>973.46</x:v>
      </x:c>
      <x:c r="H2888" s="37" t="str">
        <x:v>0.00</x:v>
      </x:c>
      <x:c r="I2888" s="37" t="str">
        <x:v>533.93</x:v>
      </x:c>
      <x:c r="J2888" s="37" t="str">
        <x:v>0.00</x:v>
      </x:c>
      <x:c r="K2888" s="37" t="str">
        <x:v>439.54</x:v>
      </x:c>
      <x:c r="L2888" s="37" t="str">
        <x:v>1538</x:v>
      </x:c>
      <x:c r="M2888" s="29" t="str">
        <x:v>867.37</x:v>
      </x:c>
      <x:c r="N2888" s="29" t="str">
        <x:v>562.11</x:v>
      </x:c>
      <x:c r="O2888" s="29" t="str">
        <x:v>305.26</x:v>
      </x:c>
      <x:c r="P2888" s="18" t="str">
        <x:v>2026-06-19</x:v>
      </x:c>
      <x:c r="Q2888" s="36" t="n">
        <x:v>46192</x:v>
      </x:c>
    </x:row>
    <x:row r="2889">
      <x:c r="A2889" s="36" t="str">
        <x:v>2026-06-19</x:v>
      </x:c>
      <x:c r="B2889" s="18" t="str">
        <x:v>101437000_86379</x:v>
      </x:c>
      <x:c r="C2889" s="18" t="str">
        <x:v>【沪村小电】新宝社区充电站</x:v>
      </x:c>
      <x:c r="D2889" s="37" t="str">
        <x:v>4</x:v>
      </x:c>
      <x:c r="E2889" s="37" t="str">
        <x:v>0</x:v>
      </x:c>
      <x:c r="F2889" s="37" t="str">
        <x:v>30</x:v>
      </x:c>
      <x:c r="G2889" s="37" t="str">
        <x:v>617.96</x:v>
      </x:c>
      <x:c r="H2889" s="37" t="str">
        <x:v>0.00</x:v>
      </x:c>
      <x:c r="I2889" s="37" t="str">
        <x:v>199.43</x:v>
      </x:c>
      <x:c r="J2889" s="37" t="str">
        <x:v>0.00</x:v>
      </x:c>
      <x:c r="K2889" s="37" t="str">
        <x:v>418.53</x:v>
      </x:c>
      <x:c r="L2889" s="37" t="str">
        <x:v>1019</x:v>
      </x:c>
      <x:c r="M2889" s="29" t="str">
        <x:v>444.77</x:v>
      </x:c>
      <x:c r="N2889" s="29" t="str">
        <x:v>306.64</x:v>
      </x:c>
      <x:c r="O2889" s="29" t="str">
        <x:v>138.13</x:v>
      </x:c>
      <x:c r="P2889" s="18" t="str">
        <x:v>2026-06-19</x:v>
      </x:c>
      <x:c r="Q2889" s="36" t="n">
        <x:v>46192</x:v>
      </x:c>
    </x:row>
    <x:row r="2890">
      <x:c r="A2890" s="36" t="str">
        <x:v>2026-06-19</x:v>
      </x:c>
      <x:c r="B2890" s="18" t="str">
        <x:v>101437000_89441</x:v>
      </x:c>
      <x:c r="C2890" s="18" t="str">
        <x:v>【沪村小电】首创禧瑞云启西区充电站</x:v>
      </x:c>
      <x:c r="D2890" s="37" t="str">
        <x:v>2</x:v>
      </x:c>
      <x:c r="E2890" s="37" t="str">
        <x:v>0</x:v>
      </x:c>
      <x:c r="F2890" s="37" t="str">
        <x:v>22</x:v>
      </x:c>
      <x:c r="G2890" s="37" t="str">
        <x:v>587.52</x:v>
      </x:c>
      <x:c r="H2890" s="37" t="str">
        <x:v>0.00</x:v>
      </x:c>
      <x:c r="I2890" s="37" t="str">
        <x:v>462.80</x:v>
      </x:c>
      <x:c r="J2890" s="37" t="str">
        <x:v>0.00</x:v>
      </x:c>
      <x:c r="K2890" s="37" t="str">
        <x:v>124.72</x:v>
      </x:c>
      <x:c r="L2890" s="37" t="str">
        <x:v>787</x:v>
      </x:c>
      <x:c r="M2890" s="29" t="str">
        <x:v>523.84</x:v>
      </x:c>
      <x:c r="N2890" s="29" t="str">
        <x:v>364.26</x:v>
      </x:c>
      <x:c r="O2890" s="29" t="str">
        <x:v>159.58</x:v>
      </x:c>
      <x:c r="P2890" s="18" t="str">
        <x:v>2026-06-19</x:v>
      </x:c>
      <x:c r="Q2890" s="36" t="n">
        <x:v>46192</x:v>
      </x:c>
    </x:row>
    <x:row r="2891">
      <x:c r="A2891" s="36" t="str">
        <x:v>2026-06-19</x:v>
      </x:c>
      <x:c r="B2891" s="18" t="str">
        <x:v>101437000_89443</x:v>
      </x:c>
      <x:c r="C2891" s="18" t="str">
        <x:v>【沪村小电】玉兰清苑二期充电站</x:v>
      </x:c>
      <x:c r="D2891" s="37" t="str">
        <x:v>2</x:v>
      </x:c>
      <x:c r="E2891" s="37" t="str">
        <x:v>0</x:v>
      </x:c>
      <x:c r="F2891" s="37" t="str">
        <x:v>17</x:v>
      </x:c>
      <x:c r="G2891" s="37" t="str">
        <x:v>461.41</x:v>
      </x:c>
      <x:c r="H2891" s="37" t="str">
        <x:v>0.00</x:v>
      </x:c>
      <x:c r="I2891" s="37" t="str">
        <x:v>348.24</x:v>
      </x:c>
      <x:c r="J2891" s="37" t="str">
        <x:v>0.00</x:v>
      </x:c>
      <x:c r="K2891" s="37" t="str">
        <x:v>113.18</x:v>
      </x:c>
      <x:c r="L2891" s="37" t="str">
        <x:v>737</x:v>
      </x:c>
      <x:c r="M2891" s="29" t="str">
        <x:v>412.14</x:v>
      </x:c>
      <x:c r="N2891" s="29" t="str">
        <x:v>300.71</x:v>
      </x:c>
      <x:c r="O2891" s="29" t="str">
        <x:v>111.43</x:v>
      </x:c>
      <x:c r="P2891" s="18" t="str">
        <x:v>2026-06-19</x:v>
      </x:c>
      <x:c r="Q2891" s="36" t="n">
        <x:v>46192</x:v>
      </x:c>
    </x:row>
    <x:row r="2892">
      <x:c r="A2892" s="36" t="str">
        <x:v>2026-06-19</x:v>
      </x:c>
      <x:c r="B2892" s="18" t="str">
        <x:v>101437000_93115</x:v>
      </x:c>
      <x:c r="C2892" s="18" t="str">
        <x:v>【沪村小电】新南家园西北门</x:v>
      </x:c>
      <x:c r="D2892" s="37" t="str">
        <x:v>2</x:v>
      </x:c>
      <x:c r="E2892" s="37" t="str">
        <x:v>0</x:v>
      </x:c>
      <x:c r="F2892" s="37" t="str">
        <x:v>19</x:v>
      </x:c>
      <x:c r="G2892" s="37" t="str">
        <x:v>417.48</x:v>
      </x:c>
      <x:c r="H2892" s="37" t="str">
        <x:v>0.00</x:v>
      </x:c>
      <x:c r="I2892" s="37" t="str">
        <x:v>260.59</x:v>
      </x:c>
      <x:c r="J2892" s="37" t="str">
        <x:v>0.00</x:v>
      </x:c>
      <x:c r="K2892" s="37" t="str">
        <x:v>156.89</x:v>
      </x:c>
      <x:c r="L2892" s="37" t="str">
        <x:v>645</x:v>
      </x:c>
      <x:c r="M2892" s="29" t="str">
        <x:v>350.26</x:v>
      </x:c>
      <x:c r="N2892" s="29" t="str">
        <x:v>236.29</x:v>
      </x:c>
      <x:c r="O2892" s="29" t="str">
        <x:v>113.97</x:v>
      </x:c>
      <x:c r="P2892" s="18" t="str">
        <x:v>2026-06-19</x:v>
      </x:c>
      <x:c r="Q2892" s="36" t="n">
        <x:v>46192</x:v>
      </x:c>
    </x:row>
    <x:row r="2893">
      <x:c r="A2893" s="36" t="str">
        <x:v>2026-06-19</x:v>
      </x:c>
      <x:c r="B2893" s="18" t="str">
        <x:v>101437000_94649</x:v>
      </x:c>
      <x:c r="C2893" s="18" t="str">
        <x:v>【沪村小电】浪琴水岸花园</x:v>
      </x:c>
      <x:c r="D2893" s="37" t="str">
        <x:v>4</x:v>
      </x:c>
      <x:c r="E2893" s="37" t="str">
        <x:v>0</x:v>
      </x:c>
      <x:c r="F2893" s="37" t="str">
        <x:v>21</x:v>
      </x:c>
      <x:c r="G2893" s="37" t="str">
        <x:v>456.81</x:v>
      </x:c>
      <x:c r="H2893" s="37" t="str">
        <x:v>0.00</x:v>
      </x:c>
      <x:c r="I2893" s="37" t="str">
        <x:v>213.67</x:v>
      </x:c>
      <x:c r="J2893" s="37" t="str">
        <x:v>0.00</x:v>
      </x:c>
      <x:c r="K2893" s="37" t="str">
        <x:v>243.14</x:v>
      </x:c>
      <x:c r="L2893" s="37" t="str">
        <x:v>811</x:v>
      </x:c>
      <x:c r="M2893" s="29" t="str">
        <x:v>340.59</x:v>
      </x:c>
      <x:c r="N2893" s="29" t="str">
        <x:v>234.95</x:v>
      </x:c>
      <x:c r="O2893" s="29" t="str">
        <x:v>105.64</x:v>
      </x:c>
      <x:c r="P2893" s="18" t="str">
        <x:v>2026-06-19</x:v>
      </x:c>
      <x:c r="Q2893" s="36" t="n">
        <x:v>46192</x:v>
      </x:c>
    </x:row>
    <x:row r="2894">
      <x:c r="A2894" s="36" t="str">
        <x:v>2026-06-19</x:v>
      </x:c>
      <x:c r="B2894" s="18" t="str">
        <x:v>101437000_95077</x:v>
      </x:c>
      <x:c r="C2894" s="18" t="str">
        <x:v>【沪村小电】民乐城惠益绿苑255弄充电站</x:v>
      </x:c>
      <x:c r="D2894" s="37" t="str">
        <x:v>2</x:v>
      </x:c>
      <x:c r="E2894" s="37" t="str">
        <x:v>0</x:v>
      </x:c>
      <x:c r="F2894" s="37" t="str">
        <x:v>5</x:v>
      </x:c>
      <x:c r="G2894" s="37" t="str">
        <x:v>166.52</x:v>
      </x:c>
      <x:c r="H2894" s="37" t="str">
        <x:v>0.00</x:v>
      </x:c>
      <x:c r="I2894" s="37" t="str">
        <x:v>127.57</x:v>
      </x:c>
      <x:c r="J2894" s="37" t="str">
        <x:v>0.00</x:v>
      </x:c>
      <x:c r="K2894" s="37" t="str">
        <x:v>38.95</x:v>
      </x:c>
      <x:c r="L2894" s="37" t="str">
        <x:v>234</x:v>
      </x:c>
      <x:c r="M2894" s="29" t="str">
        <x:v>153.76</x:v>
      </x:c>
      <x:c r="N2894" s="29" t="str">
        <x:v>109.20</x:v>
      </x:c>
      <x:c r="O2894" s="29" t="str">
        <x:v>44.56</x:v>
      </x:c>
      <x:c r="P2894" s="18" t="str">
        <x:v>2026-06-19</x:v>
      </x:c>
      <x:c r="Q2894" s="36" t="n">
        <x:v>46192</x:v>
      </x:c>
    </x:row>
    <x:row r="2895">
      <x:c r="A2895" s="36" t="str">
        <x:v>2026-06-19</x:v>
      </x:c>
      <x:c r="B2895" s="18" t="str">
        <x:v>101437000_95079</x:v>
      </x:c>
      <x:c r="C2895" s="18" t="str">
        <x:v>【沪村小电】民乐城惠益绿苑东苑充电站</x:v>
      </x:c>
      <x:c r="D2895" s="37" t="str">
        <x:v>2</x:v>
      </x:c>
      <x:c r="E2895" s="37" t="str">
        <x:v>0</x:v>
      </x:c>
      <x:c r="F2895" s="37" t="str">
        <x:v>6</x:v>
      </x:c>
      <x:c r="G2895" s="37" t="str">
        <x:v>141.58</x:v>
      </x:c>
      <x:c r="H2895" s="37" t="str">
        <x:v>0.00</x:v>
      </x:c>
      <x:c r="I2895" s="37" t="str">
        <x:v>141.58</x:v>
      </x:c>
      <x:c r="J2895" s="37" t="str">
        <x:v>0.00</x:v>
      </x:c>
      <x:c r="K2895" s="37" t="str">
        <x:v>0.00</x:v>
      </x:c>
      <x:c r="L2895" s="37" t="str">
        <x:v>197</x:v>
      </x:c>
      <x:c r="M2895" s="29" t="str">
        <x:v>134.68</x:v>
      </x:c>
      <x:c r="N2895" s="29" t="str">
        <x:v>97.69</x:v>
      </x:c>
      <x:c r="O2895" s="29" t="str">
        <x:v>36.99</x:v>
      </x:c>
      <x:c r="P2895" s="18" t="str">
        <x:v>2026-06-19</x:v>
      </x:c>
      <x:c r="Q2895" s="36" t="n">
        <x:v>46192</x:v>
      </x:c>
    </x:row>
    <x:row r="2896">
      <x:c r="A2896" s="36" t="str">
        <x:v>2026-06-19</x:v>
      </x:c>
      <x:c r="B2896" s="18" t="str">
        <x:v>101437000_95081</x:v>
      </x:c>
      <x:c r="C2896" s="18" t="str">
        <x:v>【沪村小电】民乐城惠益绿苑西苑充电站</x:v>
      </x:c>
      <x:c r="D2896" s="37" t="str">
        <x:v>2</x:v>
      </x:c>
      <x:c r="E2896" s="37" t="str">
        <x:v>0</x:v>
      </x:c>
      <x:c r="F2896" s="37" t="str">
        <x:v>2</x:v>
      </x:c>
      <x:c r="G2896" s="37" t="str">
        <x:v>71.89</x:v>
      </x:c>
      <x:c r="H2896" s="37" t="str">
        <x:v>0.00</x:v>
      </x:c>
      <x:c r="I2896" s="37" t="str">
        <x:v>71.89</x:v>
      </x:c>
      <x:c r="J2896" s="37" t="str">
        <x:v>0.00</x:v>
      </x:c>
      <x:c r="K2896" s="37" t="str">
        <x:v>0.00</x:v>
      </x:c>
      <x:c r="L2896" s="37" t="str">
        <x:v>69</x:v>
      </x:c>
      <x:c r="M2896" s="29" t="str">
        <x:v>87.40</x:v>
      </x:c>
      <x:c r="N2896" s="29" t="str">
        <x:v>49.60</x:v>
      </x:c>
      <x:c r="O2896" s="29" t="str">
        <x:v>37.80</x:v>
      </x:c>
      <x:c r="P2896" s="18" t="str">
        <x:v>2026-06-19</x:v>
      </x:c>
      <x:c r="Q2896" s="36" t="n">
        <x:v>46192</x:v>
      </x:c>
    </x:row>
    <x:row r="2897">
      <x:c r="A2897" s="36" t="str">
        <x:v>2026-06-19</x:v>
      </x:c>
      <x:c r="B2897" s="18" t="str">
        <x:v>101437000_95091</x:v>
      </x:c>
      <x:c r="C2897" s="18" t="str">
        <x:v>【沪村小电】金悦学府2号站</x:v>
      </x:c>
      <x:c r="D2897" s="37" t="str">
        <x:v>2</x:v>
      </x:c>
      <x:c r="E2897" s="37" t="str">
        <x:v>0</x:v>
      </x:c>
      <x:c r="F2897" s="37" t="str">
        <x:v>17</x:v>
      </x:c>
      <x:c r="G2897" s="37" t="str">
        <x:v>470.00</x:v>
      </x:c>
      <x:c r="H2897" s="37" t="str">
        <x:v>0.00</x:v>
      </x:c>
      <x:c r="I2897" s="37" t="str">
        <x:v>0.00</x:v>
      </x:c>
      <x:c r="J2897" s="37" t="str">
        <x:v>470.00</x:v>
      </x:c>
      <x:c r="K2897" s="37" t="str">
        <x:v>0.00</x:v>
      </x:c>
      <x:c r="L2897" s="37" t="str">
        <x:v>738</x:v>
      </x:c>
      <x:c r="M2897" s="29" t="str">
        <x:v>371.29</x:v>
      </x:c>
      <x:c r="N2897" s="29" t="str">
        <x:v>263.18</x:v>
      </x:c>
      <x:c r="O2897" s="29" t="str">
        <x:v>108.11</x:v>
      </x:c>
      <x:c r="P2897" s="18" t="str">
        <x:v>2026-06-19</x:v>
      </x:c>
      <x:c r="Q2897" s="36" t="n">
        <x:v>46192</x:v>
      </x:c>
    </x:row>
    <x:row r="2898">
      <x:c r="A2898" s="36" t="str">
        <x:v>2026-06-19</x:v>
      </x:c>
      <x:c r="B2898" s="18" t="str">
        <x:v>101437000_95941</x:v>
      </x:c>
      <x:c r="C2898" s="18" t="str">
        <x:v>【沪村小电】惠诚雅苑</x:v>
      </x:c>
      <x:c r="D2898" s="37" t="str">
        <x:v>4</x:v>
      </x:c>
      <x:c r="E2898" s="37" t="str">
        <x:v>0</x:v>
      </x:c>
      <x:c r="F2898" s="37" t="str">
        <x:v>26</x:v>
      </x:c>
      <x:c r="G2898" s="37" t="str">
        <x:v>530.98</x:v>
      </x:c>
      <x:c r="H2898" s="37" t="str">
        <x:v>0.00</x:v>
      </x:c>
      <x:c r="I2898" s="37" t="str">
        <x:v>347.58</x:v>
      </x:c>
      <x:c r="J2898" s="37" t="str">
        <x:v>0.00</x:v>
      </x:c>
      <x:c r="K2898" s="37" t="str">
        <x:v>183.39</x:v>
      </x:c>
      <x:c r="L2898" s="37" t="str">
        <x:v>717</x:v>
      </x:c>
      <x:c r="M2898" s="29" t="str">
        <x:v>405.48</x:v>
      </x:c>
      <x:c r="N2898" s="29" t="str">
        <x:v>261.91</x:v>
      </x:c>
      <x:c r="O2898" s="29" t="str">
        <x:v>143.57</x:v>
      </x:c>
      <x:c r="P2898" s="18" t="str">
        <x:v>2026-06-19</x:v>
      </x:c>
      <x:c r="Q2898" s="36" t="n">
        <x:v>46192</x:v>
      </x:c>
    </x:row>
    <x:row r="2899">
      <x:c r="A2899" s="36" t="str">
        <x:v>2026-06-19</x:v>
      </x:c>
      <x:c r="B2899" s="18" t="str">
        <x:v>101437000_96401</x:v>
      </x:c>
      <x:c r="C2899" s="18" t="str">
        <x:v>【沪村小电】上海联怡枇杷乐园地面站</x:v>
      </x:c>
      <x:c r="D2899" s="37" t="str">
        <x:v>2</x:v>
      </x:c>
      <x:c r="E2899" s="37" t="str">
        <x:v>0</x:v>
      </x:c>
      <x:c r="F2899" s="37" t="str">
        <x:v>6</x:v>
      </x:c>
      <x:c r="G2899" s="37" t="str">
        <x:v>156.47</x:v>
      </x:c>
      <x:c r="H2899" s="37" t="str">
        <x:v>0.00</x:v>
      </x:c>
      <x:c r="I2899" s="37" t="str">
        <x:v>17.93</x:v>
      </x:c>
      <x:c r="J2899" s="37" t="str">
        <x:v>0.00</x:v>
      </x:c>
      <x:c r="K2899" s="37" t="str">
        <x:v>138.54</x:v>
      </x:c>
      <x:c r="L2899" s="37" t="str">
        <x:v>259</x:v>
      </x:c>
      <x:c r="M2899" s="29" t="str">
        <x:v>101.68</x:v>
      </x:c>
      <x:c r="N2899" s="29" t="str">
        <x:v>92.07</x:v>
      </x:c>
      <x:c r="O2899" s="29" t="str">
        <x:v>9.61</x:v>
      </x:c>
      <x:c r="P2899" s="18" t="str">
        <x:v>2026-06-19</x:v>
      </x:c>
      <x:c r="Q2899" s="36" t="n">
        <x:v>46192</x:v>
      </x:c>
    </x:row>
    <x:row r="2900">
      <x:c r="A2900" s="36" t="str">
        <x:v>2026-06-19</x:v>
      </x:c>
      <x:c r="B2900" s="18" t="str">
        <x:v>101437000_97421</x:v>
      </x:c>
      <x:c r="C2900" s="18" t="str">
        <x:v>【沪村小电】玉兰清苑二期（小区外）充电站</x:v>
      </x:c>
      <x:c r="D2900" s="37" t="str">
        <x:v>4</x:v>
      </x:c>
      <x:c r="E2900" s="37" t="str">
        <x:v>0</x:v>
      </x:c>
      <x:c r="F2900" s="37" t="str">
        <x:v>39</x:v>
      </x:c>
      <x:c r="G2900" s="37" t="str">
        <x:v>842.56</x:v>
      </x:c>
      <x:c r="H2900" s="37" t="str">
        <x:v>0.00</x:v>
      </x:c>
      <x:c r="I2900" s="37" t="str">
        <x:v>627.94</x:v>
      </x:c>
      <x:c r="J2900" s="37" t="str">
        <x:v>0.00</x:v>
      </x:c>
      <x:c r="K2900" s="37" t="str">
        <x:v>214.62</x:v>
      </x:c>
      <x:c r="L2900" s="37" t="str">
        <x:v>1665</x:v>
      </x:c>
      <x:c r="M2900" s="29" t="str">
        <x:v>706.44</x:v>
      </x:c>
      <x:c r="N2900" s="29" t="str">
        <x:v>546.23</x:v>
      </x:c>
      <x:c r="O2900" s="29" t="str">
        <x:v>160.21</x:v>
      </x:c>
      <x:c r="P2900" s="18" t="str">
        <x:v>2026-06-19</x:v>
      </x:c>
      <x:c r="Q2900" s="36" t="n">
        <x:v>46192</x:v>
      </x:c>
    </x:row>
    <x:row r="2901">
      <x:c r="A2901" s="36" t="str">
        <x:v>2026-06-19</x:v>
      </x:c>
      <x:c r="B2901" s="18" t="str">
        <x:v>101437000_98013</x:v>
      </x:c>
      <x:c r="C2901" s="18" t="str">
        <x:v>【沪村小电】恒大滨江华府充电站</x:v>
      </x:c>
      <x:c r="D2901" s="37" t="str">
        <x:v>4</x:v>
      </x:c>
      <x:c r="E2901" s="37" t="str">
        <x:v>0</x:v>
      </x:c>
      <x:c r="F2901" s="37" t="str">
        <x:v>3</x:v>
      </x:c>
      <x:c r="G2901" s="37" t="str">
        <x:v>89.33</x:v>
      </x:c>
      <x:c r="H2901" s="37" t="str">
        <x:v>0.00</x:v>
      </x:c>
      <x:c r="I2901" s="37" t="str">
        <x:v>49.21</x:v>
      </x:c>
      <x:c r="J2901" s="37" t="str">
        <x:v>0.00</x:v>
      </x:c>
      <x:c r="K2901" s="37" t="str">
        <x:v>40.12</x:v>
      </x:c>
      <x:c r="L2901" s="37" t="str">
        <x:v>106</x:v>
      </x:c>
      <x:c r="M2901" s="29" t="str">
        <x:v>86.59</x:v>
      </x:c>
      <x:c r="N2901" s="29" t="str">
        <x:v>72.44</x:v>
      </x:c>
      <x:c r="O2901" s="29" t="str">
        <x:v>14.15</x:v>
      </x:c>
      <x:c r="P2901" s="18" t="str">
        <x:v>2026-06-19</x:v>
      </x:c>
      <x:c r="Q2901" s="36" t="n">
        <x:v>46192</x:v>
      </x:c>
    </x:row>
    <x:row r="2902">
      <x:c r="A2902" s="36" t="str">
        <x:v>2026-06-19</x:v>
      </x:c>
      <x:c r="B2902" s="18" t="str">
        <x:v>101437000_98863</x:v>
      </x:c>
      <x:c r="C2902" s="18" t="str">
        <x:v>【沪村小电】欣菊苑充电站</x:v>
      </x:c>
      <x:c r="D2902" s="37" t="str">
        <x:v>4</x:v>
      </x:c>
      <x:c r="E2902" s="37" t="str">
        <x:v>0</x:v>
      </x:c>
      <x:c r="F2902" s="37" t="str">
        <x:v>6</x:v>
      </x:c>
      <x:c r="G2902" s="37" t="str">
        <x:v>157.32</x:v>
      </x:c>
      <x:c r="H2902" s="37" t="str">
        <x:v>0.00</x:v>
      </x:c>
      <x:c r="I2902" s="37" t="str">
        <x:v>148.18</x:v>
      </x:c>
      <x:c r="J2902" s="37" t="str">
        <x:v>0.00</x:v>
      </x:c>
      <x:c r="K2902" s="37" t="str">
        <x:v>9.14</x:v>
      </x:c>
      <x:c r="L2902" s="37" t="str">
        <x:v>229</x:v>
      </x:c>
      <x:c r="M2902" s="29" t="str">
        <x:v>129.78</x:v>
      </x:c>
      <x:c r="N2902" s="29" t="str">
        <x:v>113.13</x:v>
      </x:c>
      <x:c r="O2902" s="29" t="str">
        <x:v>16.65</x:v>
      </x:c>
      <x:c r="P2902" s="18" t="str">
        <x:v>2026-06-19</x:v>
      </x:c>
      <x:c r="Q2902" s="36" t="n">
        <x:v>46192</x:v>
      </x:c>
    </x:row>
    <x:row r="2903">
      <x:c r="A2903" s="36" t="str">
        <x:v>2026-06-19</x:v>
      </x:c>
      <x:c r="B2903" s="18" t="str">
        <x:v>101437000_98865</x:v>
      </x:c>
      <x:c r="C2903" s="18" t="str">
        <x:v>【沪村小电】欣松苑充电站</x:v>
      </x:c>
      <x:c r="D2903" s="37" t="str">
        <x:v>4</x:v>
      </x:c>
      <x:c r="E2903" s="37" t="str">
        <x:v>0</x:v>
      </x:c>
      <x:c r="F2903" s="37" t="str">
        <x:v>1</x:v>
      </x:c>
      <x:c r="G2903" s="37" t="str">
        <x:v>34.28</x:v>
      </x:c>
      <x:c r="H2903" s="37" t="str">
        <x:v>0.00</x:v>
      </x:c>
      <x:c r="I2903" s="37" t="str">
        <x:v>34.28</x:v>
      </x:c>
      <x:c r="J2903" s="37" t="str">
        <x:v>0.00</x:v>
      </x:c>
      <x:c r="K2903" s="37" t="str">
        <x:v>0.00</x:v>
      </x:c>
      <x:c r="L2903" s="37" t="str">
        <x:v>31</x:v>
      </x:c>
      <x:c r="M2903" s="29" t="str">
        <x:v>39.42</x:v>
      </x:c>
      <x:c r="N2903" s="29" t="str">
        <x:v>25.37</x:v>
      </x:c>
      <x:c r="O2903" s="29" t="str">
        <x:v>14.05</x:v>
      </x:c>
      <x:c r="P2903" s="18" t="str">
        <x:v>2026-06-19</x:v>
      </x:c>
      <x:c r="Q2903" s="36" t="n">
        <x:v>46192</x:v>
      </x:c>
    </x:row>
    <x:row r="2904">
      <x:c r="A2904" s="36" t="str">
        <x:v>2026-06-19</x:v>
      </x:c>
      <x:c r="B2904" s="18" t="str">
        <x:v>101437000_98867</x:v>
      </x:c>
      <x:c r="C2904" s="18" t="str">
        <x:v>【沪村小电】欣荷苑充电站</x:v>
      </x:c>
      <x:c r="D2904" s="37" t="str">
        <x:v>4</x:v>
      </x:c>
      <x:c r="E2904" s="37" t="str">
        <x:v>0</x:v>
      </x:c>
      <x:c r="F2904" s="37" t="str">
        <x:v>7</x:v>
      </x:c>
      <x:c r="G2904" s="37" t="str">
        <x:v>148.15</x:v>
      </x:c>
      <x:c r="H2904" s="37" t="str">
        <x:v>0.00</x:v>
      </x:c>
      <x:c r="I2904" s="37" t="str">
        <x:v>63.19</x:v>
      </x:c>
      <x:c r="J2904" s="37" t="str">
        <x:v>0.00</x:v>
      </x:c>
      <x:c r="K2904" s="37" t="str">
        <x:v>84.96</x:v>
      </x:c>
      <x:c r="L2904" s="37" t="str">
        <x:v>206</x:v>
      </x:c>
      <x:c r="M2904" s="29" t="str">
        <x:v>104.27</x:v>
      </x:c>
      <x:c r="N2904" s="29" t="str">
        <x:v>79.07</x:v>
      </x:c>
      <x:c r="O2904" s="29" t="str">
        <x:v>25.20</x:v>
      </x:c>
      <x:c r="P2904" s="18" t="str">
        <x:v>2026-06-19</x:v>
      </x:c>
      <x:c r="Q2904" s="36" t="n">
        <x:v>46192</x:v>
      </x:c>
    </x:row>
    <x:row r="2905">
      <x:c r="A2905" s="36" t="str">
        <x:v>2026-06-19</x:v>
      </x:c>
      <x:c r="B2905" s="18" t="str">
        <x:v>101437000_99885</x:v>
      </x:c>
      <x:c r="C2905" s="18" t="str">
        <x:v>【沪村小电】汇丰馨苑充电站</x:v>
      </x:c>
      <x:c r="D2905" s="37" t="str">
        <x:v>4</x:v>
      </x:c>
      <x:c r="E2905" s="37" t="str">
        <x:v>0</x:v>
      </x:c>
      <x:c r="F2905" s="37" t="str">
        <x:v>17</x:v>
      </x:c>
      <x:c r="G2905" s="37" t="str">
        <x:v>301.84</x:v>
      </x:c>
      <x:c r="H2905" s="37" t="str">
        <x:v>0.00</x:v>
      </x:c>
      <x:c r="I2905" s="37" t="str">
        <x:v>43.56</x:v>
      </x:c>
      <x:c r="J2905" s="37" t="str">
        <x:v>234.27</x:v>
      </x:c>
      <x:c r="K2905" s="37" t="str">
        <x:v>24.01</x:v>
      </x:c>
      <x:c r="L2905" s="37" t="str">
        <x:v>472</x:v>
      </x:c>
      <x:c r="M2905" s="29" t="str">
        <x:v>301.57</x:v>
      </x:c>
      <x:c r="N2905" s="29" t="str">
        <x:v>222.95</x:v>
      </x:c>
      <x:c r="O2905" s="29" t="str">
        <x:v>78.62</x:v>
      </x:c>
      <x:c r="P2905" s="18" t="str">
        <x:v>2026-06-19</x:v>
      </x:c>
      <x:c r="Q2905" s="36" t="n">
        <x:v>46192</x:v>
      </x:c>
    </x:row>
    <x:row r="2906">
      <x:c r="A2906" s="36" t="str">
        <x:v>2026-06-19</x:v>
      </x:c>
      <x:c r="B2906" s="18" t="str">
        <x:v>101437000_99887</x:v>
      </x:c>
      <x:c r="C2906" s="18" t="str">
        <x:v>【沪村小电】新南村河南小区充电站</x:v>
      </x:c>
      <x:c r="D2906" s="37" t="str">
        <x:v>2</x:v>
      </x:c>
      <x:c r="E2906" s="37" t="str">
        <x:v>0</x:v>
      </x:c>
      <x:c r="F2906" s="37" t="str">
        <x:v>3</x:v>
      </x:c>
      <x:c r="G2906" s="37" t="str">
        <x:v>69.00</x:v>
      </x:c>
      <x:c r="H2906" s="37" t="str">
        <x:v>0.00</x:v>
      </x:c>
      <x:c r="I2906" s="37" t="str">
        <x:v>69.00</x:v>
      </x:c>
      <x:c r="J2906" s="37" t="str">
        <x:v>0.00</x:v>
      </x:c>
      <x:c r="K2906" s="37" t="str">
        <x:v>0.00</x:v>
      </x:c>
      <x:c r="L2906" s="37" t="str">
        <x:v>114</x:v>
      </x:c>
      <x:c r="M2906" s="29" t="str">
        <x:v>63.30</x:v>
      </x:c>
      <x:c r="N2906" s="29" t="str">
        <x:v>51.06</x:v>
      </x:c>
      <x:c r="O2906" s="29" t="str">
        <x:v>12.24</x:v>
      </x:c>
      <x:c r="P2906" s="18" t="str">
        <x:v>2026-06-19</x:v>
      </x:c>
      <x:c r="Q2906" s="36" t="n">
        <x:v>46192</x:v>
      </x:c>
    </x:row>
    <x:row r="2907">
      <x:c r="A2907" s="36" t="str">
        <x:v>2026-06-19</x:v>
      </x:c>
      <x:c r="B2907" s="18" t="str">
        <x:v>101437000_99889</x:v>
      </x:c>
      <x:c r="C2907" s="18" t="str">
        <x:v>【沪村小电】漕泾郊野公园</x:v>
      </x:c>
      <x:c r="D2907" s="37" t="str">
        <x:v>2</x:v>
      </x:c>
      <x:c r="E2907" s="37" t="str">
        <x:v>0</x:v>
      </x:c>
      <x:c r="F2907" s="37" t="str">
        <x:v>2</x:v>
      </x:c>
      <x:c r="G2907" s="37" t="str">
        <x:v>44.28</x:v>
      </x:c>
      <x:c r="H2907" s="37" t="str">
        <x:v>0.00</x:v>
      </x:c>
      <x:c r="I2907" s="37" t="str">
        <x:v>44.28</x:v>
      </x:c>
      <x:c r="J2907" s="37" t="str">
        <x:v>0.00</x:v>
      </x:c>
      <x:c r="K2907" s="37" t="str">
        <x:v>0.00</x:v>
      </x:c>
      <x:c r="L2907" s="37" t="str">
        <x:v>65</x:v>
      </x:c>
      <x:c r="M2907" s="29" t="str">
        <x:v>50.93</x:v>
      </x:c>
      <x:c r="N2907" s="29" t="str">
        <x:v>37.20</x:v>
      </x:c>
      <x:c r="O2907" s="29" t="str">
        <x:v>13.73</x:v>
      </x:c>
      <x:c r="P2907" s="18" t="str">
        <x:v>2026-06-19</x:v>
      </x:c>
      <x:c r="Q2907" s="36" t="n">
        <x:v>46192</x:v>
      </x:c>
    </x:row>
    <x:row r="2908">
      <x:c r="A2908" s="36" t="str">
        <x:v>2026-06-18</x:v>
      </x:c>
      <x:c r="B2908" s="18" t="str">
        <x:v>101437000_41561</x:v>
      </x:c>
      <x:c r="C2908" s="18" t="str">
        <x:v>【沪村小电】张施小区大门处快充站</x:v>
      </x:c>
      <x:c r="D2908" s="37" t="str">
        <x:v>2</x:v>
      </x:c>
      <x:c r="E2908" s="37" t="str">
        <x:v>0</x:v>
      </x:c>
      <x:c r="F2908" s="37" t="str">
        <x:v>36</x:v>
      </x:c>
      <x:c r="G2908" s="37" t="str">
        <x:v>1005.84</x:v>
      </x:c>
      <x:c r="H2908" s="37" t="str">
        <x:v>0.00</x:v>
      </x:c>
      <x:c r="I2908" s="37" t="str">
        <x:v>492.68</x:v>
      </x:c>
      <x:c r="J2908" s="37" t="str">
        <x:v>0.00</x:v>
      </x:c>
      <x:c r="K2908" s="37" t="str">
        <x:v>513.16</x:v>
      </x:c>
      <x:c r="L2908" s="37" t="str">
        <x:v>1628</x:v>
      </x:c>
      <x:c r="M2908" s="29" t="str">
        <x:v>748.70</x:v>
      </x:c>
      <x:c r="N2908" s="29" t="str">
        <x:v>559.58</x:v>
      </x:c>
      <x:c r="O2908" s="29" t="str">
        <x:v>189.12</x:v>
      </x:c>
      <x:c r="P2908" s="18" t="str">
        <x:v>2026-06-18</x:v>
      </x:c>
      <x:c r="Q2908" s="36" t="n">
        <x:v>46191</x:v>
      </x:c>
    </x:row>
    <x:row r="2909">
      <x:c r="A2909" s="36" t="str">
        <x:v>2026-06-18</x:v>
      </x:c>
      <x:c r="B2909" s="18" t="str">
        <x:v>101437000_41563</x:v>
      </x:c>
      <x:c r="C2909" s="18" t="str">
        <x:v>【沪村小电】同心村快充站</x:v>
      </x:c>
      <x:c r="D2909" s="37" t="str">
        <x:v>4</x:v>
      </x:c>
      <x:c r="E2909" s="37" t="str">
        <x:v>0</x:v>
      </x:c>
      <x:c r="F2909" s="37" t="str">
        <x:v>72</x:v>
      </x:c>
      <x:c r="G2909" s="37" t="str">
        <x:v>1326.36</x:v>
      </x:c>
      <x:c r="H2909" s="37" t="str">
        <x:v>0.00</x:v>
      </x:c>
      <x:c r="I2909" s="37" t="str">
        <x:v>957.16</x:v>
      </x:c>
      <x:c r="J2909" s="37" t="str">
        <x:v>0.00</x:v>
      </x:c>
      <x:c r="K2909" s="37" t="str">
        <x:v>369.21</x:v>
      </x:c>
      <x:c r="L2909" s="37" t="str">
        <x:v>3228</x:v>
      </x:c>
      <x:c r="M2909" s="29" t="str">
        <x:v>1114.62</x:v>
      </x:c>
      <x:c r="N2909" s="29" t="str">
        <x:v>793.39</x:v>
      </x:c>
      <x:c r="O2909" s="29" t="str">
        <x:v>321.23</x:v>
      </x:c>
      <x:c r="P2909" s="18" t="str">
        <x:v>2026-06-18</x:v>
      </x:c>
      <x:c r="Q2909" s="36" t="n">
        <x:v>46191</x:v>
      </x:c>
    </x:row>
    <x:row r="2910">
      <x:c r="A2910" s="36" t="str">
        <x:v>2026-06-18</x:v>
      </x:c>
      <x:c r="B2910" s="18" t="str">
        <x:v>101437000_69629</x:v>
      </x:c>
      <x:c r="C2910" s="18" t="str">
        <x:v>【沪村小电】骏丰玲珑坊西苑充电站</x:v>
      </x:c>
      <x:c r="D2910" s="37" t="str">
        <x:v>2</x:v>
      </x:c>
      <x:c r="E2910" s="37" t="str">
        <x:v>0</x:v>
      </x:c>
      <x:c r="F2910" s="37" t="str">
        <x:v>61</x:v>
      </x:c>
      <x:c r="G2910" s="37" t="str">
        <x:v>1464.25</x:v>
      </x:c>
      <x:c r="H2910" s="37" t="str">
        <x:v>0.00</x:v>
      </x:c>
      <x:c r="I2910" s="37" t="str">
        <x:v>766.18</x:v>
      </x:c>
      <x:c r="J2910" s="37" t="str">
        <x:v>0.00</x:v>
      </x:c>
      <x:c r="K2910" s="37" t="str">
        <x:v>698.07</x:v>
      </x:c>
      <x:c r="L2910" s="37" t="str">
        <x:v>2493</x:v>
      </x:c>
      <x:c r="M2910" s="29" t="str">
        <x:v>1112.95</x:v>
      </x:c>
      <x:c r="N2910" s="29" t="str">
        <x:v>832.24</x:v>
      </x:c>
      <x:c r="O2910" s="29" t="str">
        <x:v>280.71</x:v>
      </x:c>
      <x:c r="P2910" s="18" t="str">
        <x:v>2026-06-18</x:v>
      </x:c>
      <x:c r="Q2910" s="36" t="n">
        <x:v>46191</x:v>
      </x:c>
    </x:row>
    <x:row r="2911">
      <x:c r="A2911" s="36" t="str">
        <x:v>2026-06-18</x:v>
      </x:c>
      <x:c r="B2911" s="18" t="str">
        <x:v>101437000_70547</x:v>
      </x:c>
      <x:c r="C2911" s="18" t="str">
        <x:v>【沪村小电】农建村初心馆党群服务中心充电站</x:v>
      </x:c>
      <x:c r="D2911" s="37" t="str">
        <x:v>4</x:v>
      </x:c>
      <x:c r="E2911" s="37" t="str">
        <x:v>0</x:v>
      </x:c>
      <x:c r="F2911" s="37" t="str">
        <x:v>23</x:v>
      </x:c>
      <x:c r="G2911" s="37" t="str">
        <x:v>499.90</x:v>
      </x:c>
      <x:c r="H2911" s="37" t="str">
        <x:v>0.00</x:v>
      </x:c>
      <x:c r="I2911" s="37" t="str">
        <x:v>329.89</x:v>
      </x:c>
      <x:c r="J2911" s="37" t="str">
        <x:v>0.00</x:v>
      </x:c>
      <x:c r="K2911" s="37" t="str">
        <x:v>170.01</x:v>
      </x:c>
      <x:c r="L2911" s="37" t="str">
        <x:v>909</x:v>
      </x:c>
      <x:c r="M2911" s="29" t="str">
        <x:v>489.72</x:v>
      </x:c>
      <x:c r="N2911" s="29" t="str">
        <x:v>433.18</x:v>
      </x:c>
      <x:c r="O2911" s="29" t="str">
        <x:v>56.54</x:v>
      </x:c>
      <x:c r="P2911" s="18" t="str">
        <x:v>2026-06-18</x:v>
      </x:c>
      <x:c r="Q2911" s="36" t="n">
        <x:v>46191</x:v>
      </x:c>
    </x:row>
    <x:row r="2912">
      <x:c r="A2912" s="36" t="str">
        <x:v>2026-06-18</x:v>
      </x:c>
      <x:c r="B2912" s="18" t="str">
        <x:v>101437000_70549</x:v>
      </x:c>
      <x:c r="C2912" s="18" t="str">
        <x:v>【沪村小电】学府路充电站</x:v>
      </x:c>
      <x:c r="D2912" s="37" t="str">
        <x:v>2</x:v>
      </x:c>
      <x:c r="E2912" s="37" t="str">
        <x:v>0</x:v>
      </x:c>
      <x:c r="F2912" s="37" t="str">
        <x:v>7</x:v>
      </x:c>
      <x:c r="G2912" s="37" t="str">
        <x:v>172.13</x:v>
      </x:c>
      <x:c r="H2912" s="37" t="str">
        <x:v>0.00</x:v>
      </x:c>
      <x:c r="I2912" s="37" t="str">
        <x:v>62.79</x:v>
      </x:c>
      <x:c r="J2912" s="37" t="str">
        <x:v>0.00</x:v>
      </x:c>
      <x:c r="K2912" s="37" t="str">
        <x:v>109.34</x:v>
      </x:c>
      <x:c r="L2912" s="37" t="str">
        <x:v>367</x:v>
      </x:c>
      <x:c r="M2912" s="29" t="str">
        <x:v>141.77</x:v>
      </x:c>
      <x:c r="N2912" s="29" t="str">
        <x:v>123.25</x:v>
      </x:c>
      <x:c r="O2912" s="29" t="str">
        <x:v>18.52</x:v>
      </x:c>
      <x:c r="P2912" s="18" t="str">
        <x:v>2026-06-18</x:v>
      </x:c>
      <x:c r="Q2912" s="36" t="n">
        <x:v>46191</x:v>
      </x:c>
    </x:row>
    <x:row r="2913">
      <x:c r="A2913" s="36" t="str">
        <x:v>2026-06-18</x:v>
      </x:c>
      <x:c r="B2913" s="18" t="str">
        <x:v>101437000_71059</x:v>
      </x:c>
      <x:c r="C2913" s="18" t="str">
        <x:v>【沪村小电】宝乐汇商业广场站</x:v>
      </x:c>
      <x:c r="D2913" s="37" t="str">
        <x:v>4</x:v>
      </x:c>
      <x:c r="E2913" s="37" t="str">
        <x:v>0</x:v>
      </x:c>
      <x:c r="F2913" s="37" t="str">
        <x:v>15</x:v>
      </x:c>
      <x:c r="G2913" s="37" t="str">
        <x:v>263.63</x:v>
      </x:c>
      <x:c r="H2913" s="37" t="str">
        <x:v>0.00</x:v>
      </x:c>
      <x:c r="I2913" s="37" t="str">
        <x:v>36.63</x:v>
      </x:c>
      <x:c r="J2913" s="37" t="str">
        <x:v>182.00</x:v>
      </x:c>
      <x:c r="K2913" s="37" t="str">
        <x:v>45.00</x:v>
      </x:c>
      <x:c r="L2913" s="37" t="str">
        <x:v>404</x:v>
      </x:c>
      <x:c r="M2913" s="29" t="str">
        <x:v>248.47</x:v>
      </x:c>
      <x:c r="N2913" s="29" t="str">
        <x:v>184.51</x:v>
      </x:c>
      <x:c r="O2913" s="29" t="str">
        <x:v>63.96</x:v>
      </x:c>
      <x:c r="P2913" s="18" t="str">
        <x:v>2026-06-18</x:v>
      </x:c>
      <x:c r="Q2913" s="36" t="n">
        <x:v>46191</x:v>
      </x:c>
    </x:row>
    <x:row r="2914">
      <x:c r="A2914" s="36" t="str">
        <x:v>2026-06-18</x:v>
      </x:c>
      <x:c r="B2914" s="18" t="str">
        <x:v>101437000_72541</x:v>
      </x:c>
      <x:c r="C2914" s="18" t="str">
        <x:v>【沪村小电】九干路1174弄充电站</x:v>
      </x:c>
      <x:c r="D2914" s="37" t="str">
        <x:v>2</x:v>
      </x:c>
      <x:c r="E2914" s="37" t="str">
        <x:v>0</x:v>
      </x:c>
      <x:c r="F2914" s="37" t="str">
        <x:v>36</x:v>
      </x:c>
      <x:c r="G2914" s="37" t="str">
        <x:v>896.26</x:v>
      </x:c>
      <x:c r="H2914" s="37" t="str">
        <x:v>0.00</x:v>
      </x:c>
      <x:c r="I2914" s="37" t="str">
        <x:v>629.22</x:v>
      </x:c>
      <x:c r="J2914" s="37" t="str">
        <x:v>0.00</x:v>
      </x:c>
      <x:c r="K2914" s="37" t="str">
        <x:v>267.04</x:v>
      </x:c>
      <x:c r="L2914" s="37" t="str">
        <x:v>1583</x:v>
      </x:c>
      <x:c r="M2914" s="29" t="str">
        <x:v>813.67</x:v>
      </x:c>
      <x:c r="N2914" s="29" t="str">
        <x:v>567.08</x:v>
      </x:c>
      <x:c r="O2914" s="29" t="str">
        <x:v>246.59</x:v>
      </x:c>
      <x:c r="P2914" s="18" t="str">
        <x:v>2026-06-18</x:v>
      </x:c>
      <x:c r="Q2914" s="36" t="n">
        <x:v>46191</x:v>
      </x:c>
    </x:row>
    <x:row r="2915">
      <x:c r="A2915" s="36" t="str">
        <x:v>2026-06-18</x:v>
      </x:c>
      <x:c r="B2915" s="18" t="str">
        <x:v>101437000_72543</x:v>
      </x:c>
      <x:c r="C2915" s="18" t="str">
        <x:v>【沪村小电】叶家中心村小区充电站</x:v>
      </x:c>
      <x:c r="D2915" s="37" t="str">
        <x:v>2</x:v>
      </x:c>
      <x:c r="E2915" s="37" t="str">
        <x:v>0</x:v>
      </x:c>
      <x:c r="F2915" s="37" t="str">
        <x:v>42</x:v>
      </x:c>
      <x:c r="G2915" s="37" t="str">
        <x:v>821.43</x:v>
      </x:c>
      <x:c r="H2915" s="37" t="str">
        <x:v>0.00</x:v>
      </x:c>
      <x:c r="I2915" s="37" t="str">
        <x:v>321.18</x:v>
      </x:c>
      <x:c r="J2915" s="37" t="str">
        <x:v>0.00</x:v>
      </x:c>
      <x:c r="K2915" s="37" t="str">
        <x:v>500.26</x:v>
      </x:c>
      <x:c r="L2915" s="37" t="str">
        <x:v>1557</x:v>
      </x:c>
      <x:c r="M2915" s="29" t="str">
        <x:v>626.16</x:v>
      </x:c>
      <x:c r="N2915" s="29" t="str">
        <x:v>427.79</x:v>
      </x:c>
      <x:c r="O2915" s="29" t="str">
        <x:v>198.37</x:v>
      </x:c>
      <x:c r="P2915" s="18" t="str">
        <x:v>2026-06-18</x:v>
      </x:c>
      <x:c r="Q2915" s="36" t="n">
        <x:v>46191</x:v>
      </x:c>
    </x:row>
    <x:row r="2916">
      <x:c r="A2916" s="36" t="str">
        <x:v>2026-06-18</x:v>
      </x:c>
      <x:c r="B2916" s="18" t="str">
        <x:v>101437000_72937</x:v>
      </x:c>
      <x:c r="C2916" s="18" t="str">
        <x:v>【沪村小电】佘北家园茸腾苑充电站</x:v>
      </x:c>
      <x:c r="D2916" s="37" t="str">
        <x:v>4</x:v>
      </x:c>
      <x:c r="E2916" s="37" t="str">
        <x:v>0</x:v>
      </x:c>
      <x:c r="F2916" s="37" t="str">
        <x:v>17</x:v>
      </x:c>
      <x:c r="G2916" s="37" t="str">
        <x:v>395.88</x:v>
      </x:c>
      <x:c r="H2916" s="37" t="str">
        <x:v>0.00</x:v>
      </x:c>
      <x:c r="I2916" s="37" t="str">
        <x:v>395.88</x:v>
      </x:c>
      <x:c r="J2916" s="37" t="str">
        <x:v>0.00</x:v>
      </x:c>
      <x:c r="K2916" s="37" t="str">
        <x:v>0.00</x:v>
      </x:c>
      <x:c r="L2916" s="37" t="str">
        <x:v>570</x:v>
      </x:c>
      <x:c r="M2916" s="29" t="str">
        <x:v>400.19</x:v>
      </x:c>
      <x:c r="N2916" s="29" t="str">
        <x:v>292.95</x:v>
      </x:c>
      <x:c r="O2916" s="29" t="str">
        <x:v>107.24</x:v>
      </x:c>
      <x:c r="P2916" s="18" t="str">
        <x:v>2026-06-18</x:v>
      </x:c>
      <x:c r="Q2916" s="36" t="n">
        <x:v>46191</x:v>
      </x:c>
    </x:row>
    <x:row r="2917">
      <x:c r="A2917" s="36" t="str">
        <x:v>2026-06-18</x:v>
      </x:c>
      <x:c r="B2917" s="18" t="str">
        <x:v>101437000_74223</x:v>
      </x:c>
      <x:c r="C2917" s="18" t="str">
        <x:v>【沪村小电】中兴村委会充电站</x:v>
      </x:c>
      <x:c r="D2917" s="37" t="str">
        <x:v>2</x:v>
      </x:c>
      <x:c r="E2917" s="37" t="str">
        <x:v>0</x:v>
      </x:c>
      <x:c r="F2917" s="37" t="str">
        <x:v>17</x:v>
      </x:c>
      <x:c r="G2917" s="37" t="str">
        <x:v>460.05</x:v>
      </x:c>
      <x:c r="H2917" s="37" t="str">
        <x:v>0.00</x:v>
      </x:c>
      <x:c r="I2917" s="37" t="str">
        <x:v>244.38</x:v>
      </x:c>
      <x:c r="J2917" s="37" t="str">
        <x:v>0.00</x:v>
      </x:c>
      <x:c r="K2917" s="37" t="str">
        <x:v>215.67</x:v>
      </x:c>
      <x:c r="L2917" s="37" t="str">
        <x:v>633</x:v>
      </x:c>
      <x:c r="M2917" s="29" t="str">
        <x:v>424.80</x:v>
      </x:c>
      <x:c r="N2917" s="29" t="str">
        <x:v>368.45</x:v>
      </x:c>
      <x:c r="O2917" s="29" t="str">
        <x:v>56.35</x:v>
      </x:c>
      <x:c r="P2917" s="18" t="str">
        <x:v>2026-06-18</x:v>
      </x:c>
      <x:c r="Q2917" s="36" t="n">
        <x:v>46191</x:v>
      </x:c>
    </x:row>
    <x:row r="2918">
      <x:c r="A2918" s="36" t="str">
        <x:v>2026-06-18</x:v>
      </x:c>
      <x:c r="B2918" s="18" t="str">
        <x:v>101437000_74801</x:v>
      </x:c>
      <x:c r="C2918" s="18" t="str">
        <x:v>【沪村小电】申良花园充电站</x:v>
      </x:c>
      <x:c r="D2918" s="37" t="str">
        <x:v>4</x:v>
      </x:c>
      <x:c r="E2918" s="37" t="str">
        <x:v>0</x:v>
      </x:c>
      <x:c r="F2918" s="37" t="str">
        <x:v>4</x:v>
      </x:c>
      <x:c r="G2918" s="37" t="str">
        <x:v>61.95</x:v>
      </x:c>
      <x:c r="H2918" s="37" t="str">
        <x:v>0.00</x:v>
      </x:c>
      <x:c r="I2918" s="37" t="str">
        <x:v>61.95</x:v>
      </x:c>
      <x:c r="J2918" s="37" t="str">
        <x:v>0.00</x:v>
      </x:c>
      <x:c r="K2918" s="37" t="str">
        <x:v>0.00</x:v>
      </x:c>
      <x:c r="L2918" s="37" t="str">
        <x:v>111</x:v>
      </x:c>
      <x:c r="M2918" s="29" t="str">
        <x:v>68.35</x:v>
      </x:c>
      <x:c r="N2918" s="29" t="str">
        <x:v>45.85</x:v>
      </x:c>
      <x:c r="O2918" s="29" t="str">
        <x:v>22.50</x:v>
      </x:c>
      <x:c r="P2918" s="18" t="str">
        <x:v>2026-06-18</x:v>
      </x:c>
      <x:c r="Q2918" s="36" t="n">
        <x:v>46191</x:v>
      </x:c>
    </x:row>
    <x:row r="2919">
      <x:c r="A2919" s="36" t="str">
        <x:v>2026-06-18</x:v>
      </x:c>
      <x:c r="B2919" s="18" t="str">
        <x:v>101437000_74931</x:v>
      </x:c>
      <x:c r="C2919" s="18" t="str">
        <x:v>【沪村小电】枫雅南居充电站</x:v>
      </x:c>
      <x:c r="D2919" s="37" t="str">
        <x:v>2</x:v>
      </x:c>
      <x:c r="E2919" s="37" t="str">
        <x:v>0</x:v>
      </x:c>
      <x:c r="F2919" s="37" t="str">
        <x:v>7</x:v>
      </x:c>
      <x:c r="G2919" s="37" t="str">
        <x:v>173.83</x:v>
      </x:c>
      <x:c r="H2919" s="37" t="str">
        <x:v>0.00</x:v>
      </x:c>
      <x:c r="I2919" s="37" t="str">
        <x:v>43.96</x:v>
      </x:c>
      <x:c r="J2919" s="37" t="str">
        <x:v>0.00</x:v>
      </x:c>
      <x:c r="K2919" s="37" t="str">
        <x:v>129.88</x:v>
      </x:c>
      <x:c r="L2919" s="37" t="str">
        <x:v>263</x:v>
      </x:c>
      <x:c r="M2919" s="29" t="str">
        <x:v>107.84</x:v>
      </x:c>
      <x:c r="N2919" s="29" t="str">
        <x:v>66.19</x:v>
      </x:c>
      <x:c r="O2919" s="29" t="str">
        <x:v>41.65</x:v>
      </x:c>
      <x:c r="P2919" s="18" t="str">
        <x:v>2026-06-18</x:v>
      </x:c>
      <x:c r="Q2919" s="36" t="n">
        <x:v>46191</x:v>
      </x:c>
    </x:row>
    <x:row r="2920">
      <x:c r="A2920" s="36" t="str">
        <x:v>2026-06-18</x:v>
      </x:c>
      <x:c r="B2920" s="18" t="str">
        <x:v>101437000_75901</x:v>
      </x:c>
      <x:c r="C2920" s="18" t="str">
        <x:v>【沪村小电】金悦学府</x:v>
      </x:c>
      <x:c r="D2920" s="37" t="str">
        <x:v>2</x:v>
      </x:c>
      <x:c r="E2920" s="37" t="str">
        <x:v>0</x:v>
      </x:c>
      <x:c r="F2920" s="37" t="str">
        <x:v>13</x:v>
      </x:c>
      <x:c r="G2920" s="37" t="str">
        <x:v>291.96</x:v>
      </x:c>
      <x:c r="H2920" s="37" t="str">
        <x:v>0.00</x:v>
      </x:c>
      <x:c r="I2920" s="37" t="str">
        <x:v>195.24</x:v>
      </x:c>
      <x:c r="J2920" s="37" t="str">
        <x:v>0.00</x:v>
      </x:c>
      <x:c r="K2920" s="37" t="str">
        <x:v>96.72</x:v>
      </x:c>
      <x:c r="L2920" s="37" t="str">
        <x:v>474</x:v>
      </x:c>
      <x:c r="M2920" s="29" t="str">
        <x:v>237.17</x:v>
      </x:c>
      <x:c r="N2920" s="29" t="str">
        <x:v>145.19</x:v>
      </x:c>
      <x:c r="O2920" s="29" t="str">
        <x:v>91.98</x:v>
      </x:c>
      <x:c r="P2920" s="18" t="str">
        <x:v>2026-06-18</x:v>
      </x:c>
      <x:c r="Q2920" s="36" t="n">
        <x:v>46191</x:v>
      </x:c>
    </x:row>
    <x:row r="2921">
      <x:c r="A2921" s="36" t="str">
        <x:v>2026-06-18</x:v>
      </x:c>
      <x:c r="B2921" s="18" t="str">
        <x:v>101437000_76091</x:v>
      </x:c>
      <x:c r="C2921" s="18" t="str">
        <x:v>【沪村小电】恒信家园充电站</x:v>
      </x:c>
      <x:c r="D2921" s="37" t="str">
        <x:v>2</x:v>
      </x:c>
      <x:c r="E2921" s="37" t="str">
        <x:v>0</x:v>
      </x:c>
      <x:c r="F2921" s="37" t="str">
        <x:v>46</x:v>
      </x:c>
      <x:c r="G2921" s="37" t="str">
        <x:v>1088.24</x:v>
      </x:c>
      <x:c r="H2921" s="37" t="str">
        <x:v>0.00</x:v>
      </x:c>
      <x:c r="I2921" s="37" t="str">
        <x:v>534.71</x:v>
      </x:c>
      <x:c r="J2921" s="37" t="str">
        <x:v>0.00</x:v>
      </x:c>
      <x:c r="K2921" s="37" t="str">
        <x:v>553.53</x:v>
      </x:c>
      <x:c r="L2921" s="37" t="str">
        <x:v>1659</x:v>
      </x:c>
      <x:c r="M2921" s="29" t="str">
        <x:v>959.56</x:v>
      </x:c>
      <x:c r="N2921" s="29" t="str">
        <x:v>606.06</x:v>
      </x:c>
      <x:c r="O2921" s="29" t="str">
        <x:v>353.50</x:v>
      </x:c>
      <x:c r="P2921" s="18" t="str">
        <x:v>2026-06-18</x:v>
      </x:c>
      <x:c r="Q2921" s="36" t="n">
        <x:v>46191</x:v>
      </x:c>
    </x:row>
    <x:row r="2922">
      <x:c r="A2922" s="36" t="str">
        <x:v>2026-06-18</x:v>
      </x:c>
      <x:c r="B2922" s="18" t="str">
        <x:v>101437000_78235</x:v>
      </x:c>
      <x:c r="C2922" s="18" t="str">
        <x:v>【沪村小电】欣秋苑充电站</x:v>
      </x:c>
      <x:c r="D2922" s="37" t="str">
        <x:v>4</x:v>
      </x:c>
      <x:c r="E2922" s="37" t="str">
        <x:v>0</x:v>
      </x:c>
      <x:c r="F2922" s="37" t="str">
        <x:v>15</x:v>
      </x:c>
      <x:c r="G2922" s="37" t="str">
        <x:v>321.77</x:v>
      </x:c>
      <x:c r="H2922" s="37" t="str">
        <x:v>0.00</x:v>
      </x:c>
      <x:c r="I2922" s="37" t="str">
        <x:v>213.07</x:v>
      </x:c>
      <x:c r="J2922" s="37" t="str">
        <x:v>0.00</x:v>
      </x:c>
      <x:c r="K2922" s="37" t="str">
        <x:v>108.70</x:v>
      </x:c>
      <x:c r="L2922" s="37" t="str">
        <x:v>646</x:v>
      </x:c>
      <x:c r="M2922" s="29" t="str">
        <x:v>259.89</x:v>
      </x:c>
      <x:c r="N2922" s="29" t="str">
        <x:v>199.00</x:v>
      </x:c>
      <x:c r="O2922" s="29" t="str">
        <x:v>60.89</x:v>
      </x:c>
      <x:c r="P2922" s="18" t="str">
        <x:v>2026-06-18</x:v>
      </x:c>
      <x:c r="Q2922" s="36" t="n">
        <x:v>46191</x:v>
      </x:c>
    </x:row>
    <x:row r="2923">
      <x:c r="A2923" s="36" t="str">
        <x:v>2026-06-18</x:v>
      </x:c>
      <x:c r="B2923" s="18" t="str">
        <x:v>101437000_78237</x:v>
      </x:c>
      <x:c r="C2923" s="18" t="str">
        <x:v>【沪村小电】奉馨苑西门小区内北侧充电站</x:v>
      </x:c>
      <x:c r="D2923" s="37" t="str">
        <x:v>2</x:v>
      </x:c>
      <x:c r="E2923" s="37" t="str">
        <x:v>0</x:v>
      </x:c>
      <x:c r="F2923" s="37" t="str">
        <x:v>36</x:v>
      </x:c>
      <x:c r="G2923" s="37" t="str">
        <x:v>1176.93</x:v>
      </x:c>
      <x:c r="H2923" s="37" t="str">
        <x:v>0.00</x:v>
      </x:c>
      <x:c r="I2923" s="37" t="str">
        <x:v>813.59</x:v>
      </x:c>
      <x:c r="J2923" s="37" t="str">
        <x:v>0.00</x:v>
      </x:c>
      <x:c r="K2923" s="37" t="str">
        <x:v>363.35</x:v>
      </x:c>
      <x:c r="L2923" s="37" t="str">
        <x:v>1609</x:v>
      </x:c>
      <x:c r="M2923" s="29" t="str">
        <x:v>1025.12</x:v>
      </x:c>
      <x:c r="N2923" s="29" t="str">
        <x:v>740.14</x:v>
      </x:c>
      <x:c r="O2923" s="29" t="str">
        <x:v>284.98</x:v>
      </x:c>
      <x:c r="P2923" s="18" t="str">
        <x:v>2026-06-18</x:v>
      </x:c>
      <x:c r="Q2923" s="36" t="n">
        <x:v>46191</x:v>
      </x:c>
    </x:row>
    <x:row r="2924">
      <x:c r="A2924" s="36" t="str">
        <x:v>2026-06-18</x:v>
      </x:c>
      <x:c r="B2924" s="18" t="str">
        <x:v>101437000_78239</x:v>
      </x:c>
      <x:c r="C2924" s="18" t="str">
        <x:v>【沪村小电】恒大佘山首府东门充电站</x:v>
      </x:c>
      <x:c r="D2924" s="37" t="str">
        <x:v>2</x:v>
      </x:c>
      <x:c r="E2924" s="37" t="str">
        <x:v>0</x:v>
      </x:c>
      <x:c r="F2924" s="37" t="str">
        <x:v>31</x:v>
      </x:c>
      <x:c r="G2924" s="37" t="str">
        <x:v>892.36</x:v>
      </x:c>
      <x:c r="H2924" s="37" t="str">
        <x:v>0.00</x:v>
      </x:c>
      <x:c r="I2924" s="37" t="str">
        <x:v>571.80</x:v>
      </x:c>
      <x:c r="J2924" s="37" t="str">
        <x:v>0.00</x:v>
      </x:c>
      <x:c r="K2924" s="37" t="str">
        <x:v>320.57</x:v>
      </x:c>
      <x:c r="L2924" s="37" t="str">
        <x:v>1231</x:v>
      </x:c>
      <x:c r="M2924" s="29" t="str">
        <x:v>718.66</x:v>
      </x:c>
      <x:c r="N2924" s="29" t="str">
        <x:v>544.96</x:v>
      </x:c>
      <x:c r="O2924" s="29" t="str">
        <x:v>173.70</x:v>
      </x:c>
      <x:c r="P2924" s="18" t="str">
        <x:v>2026-06-18</x:v>
      </x:c>
      <x:c r="Q2924" s="36" t="n">
        <x:v>46191</x:v>
      </x:c>
    </x:row>
    <x:row r="2925">
      <x:c r="A2925" s="36" t="str">
        <x:v>2026-06-18</x:v>
      </x:c>
      <x:c r="B2925" s="18" t="str">
        <x:v>101437000_80823</x:v>
      </x:c>
      <x:c r="C2925" s="18" t="str">
        <x:v>【沪村小电】上湖轩充电站</x:v>
      </x:c>
      <x:c r="D2925" s="37" t="str">
        <x:v>2</x:v>
      </x:c>
      <x:c r="E2925" s="37" t="str">
        <x:v>0</x:v>
      </x:c>
      <x:c r="F2925" s="37" t="str">
        <x:v>7</x:v>
      </x:c>
      <x:c r="G2925" s="37" t="str">
        <x:v>121.57</x:v>
      </x:c>
      <x:c r="H2925" s="37" t="str">
        <x:v>0.00</x:v>
      </x:c>
      <x:c r="I2925" s="37" t="str">
        <x:v>40.28</x:v>
      </x:c>
      <x:c r="J2925" s="37" t="str">
        <x:v>56.33</x:v>
      </x:c>
      <x:c r="K2925" s="37" t="str">
        <x:v>24.96</x:v>
      </x:c>
      <x:c r="L2925" s="37" t="str">
        <x:v>206</x:v>
      </x:c>
      <x:c r="M2925" s="29" t="str">
        <x:v>105.35</x:v>
      </x:c>
      <x:c r="N2925" s="29" t="str">
        <x:v>73.64</x:v>
      </x:c>
      <x:c r="O2925" s="29" t="str">
        <x:v>31.71</x:v>
      </x:c>
      <x:c r="P2925" s="18" t="str">
        <x:v>2026-06-18</x:v>
      </x:c>
      <x:c r="Q2925" s="36" t="n">
        <x:v>46191</x:v>
      </x:c>
    </x:row>
    <x:row r="2926">
      <x:c r="A2926" s="36" t="str">
        <x:v>2026-06-18</x:v>
      </x:c>
      <x:c r="B2926" s="18" t="str">
        <x:v>101437000_83019</x:v>
      </x:c>
      <x:c r="C2926" s="18" t="str">
        <x:v>【沪村小电】首创禧瑞云启东区充电站</x:v>
      </x:c>
      <x:c r="D2926" s="37" t="str">
        <x:v>2</x:v>
      </x:c>
      <x:c r="E2926" s="37" t="str">
        <x:v>0</x:v>
      </x:c>
      <x:c r="F2926" s="37" t="str">
        <x:v>46</x:v>
      </x:c>
      <x:c r="G2926" s="37" t="str">
        <x:v>1229.79</x:v>
      </x:c>
      <x:c r="H2926" s="37" t="str">
        <x:v>0.00</x:v>
      </x:c>
      <x:c r="I2926" s="37" t="str">
        <x:v>997.68</x:v>
      </x:c>
      <x:c r="J2926" s="37" t="str">
        <x:v>0.00</x:v>
      </x:c>
      <x:c r="K2926" s="37" t="str">
        <x:v>232.11</x:v>
      </x:c>
      <x:c r="L2926" s="37" t="str">
        <x:v>1730</x:v>
      </x:c>
      <x:c r="M2926" s="29" t="str">
        <x:v>1083.99</x:v>
      </x:c>
      <x:c r="N2926" s="29" t="str">
        <x:v>771.96</x:v>
      </x:c>
      <x:c r="O2926" s="29" t="str">
        <x:v>312.03</x:v>
      </x:c>
      <x:c r="P2926" s="18" t="str">
        <x:v>2026-06-18</x:v>
      </x:c>
      <x:c r="Q2926" s="36" t="n">
        <x:v>46191</x:v>
      </x:c>
    </x:row>
    <x:row r="2927">
      <x:c r="A2927" s="36" t="str">
        <x:v>2026-06-18</x:v>
      </x:c>
      <x:c r="B2927" s="18" t="str">
        <x:v>101437000_83093</x:v>
      </x:c>
      <x:c r="C2927" s="18" t="str">
        <x:v>【沪村小电】金茂未来时光里</x:v>
      </x:c>
      <x:c r="D2927" s="37" t="str">
        <x:v>2</x:v>
      </x:c>
      <x:c r="E2927" s="37" t="str">
        <x:v>0</x:v>
      </x:c>
      <x:c r="F2927" s="37" t="str">
        <x:v>26</x:v>
      </x:c>
      <x:c r="G2927" s="37" t="str">
        <x:v>792.46</x:v>
      </x:c>
      <x:c r="H2927" s="37" t="str">
        <x:v>0.00</x:v>
      </x:c>
      <x:c r="I2927" s="37" t="str">
        <x:v>294.06</x:v>
      </x:c>
      <x:c r="J2927" s="37" t="str">
        <x:v>0.00</x:v>
      </x:c>
      <x:c r="K2927" s="37" t="str">
        <x:v>498.40</x:v>
      </x:c>
      <x:c r="L2927" s="37" t="str">
        <x:v>983</x:v>
      </x:c>
      <x:c r="M2927" s="29" t="str">
        <x:v>504.43</x:v>
      </x:c>
      <x:c r="N2927" s="29" t="str">
        <x:v>327.99</x:v>
      </x:c>
      <x:c r="O2927" s="29" t="str">
        <x:v>176.44</x:v>
      </x:c>
      <x:c r="P2927" s="18" t="str">
        <x:v>2026-06-18</x:v>
      </x:c>
      <x:c r="Q2927" s="36" t="n">
        <x:v>46191</x:v>
      </x:c>
    </x:row>
    <x:row r="2928">
      <x:c r="A2928" s="36" t="str">
        <x:v>2026-06-18</x:v>
      </x:c>
      <x:c r="B2928" s="18" t="str">
        <x:v>101437000_83911</x:v>
      </x:c>
      <x:c r="C2928" s="18" t="str">
        <x:v>【沪村小电】金瀚园充电站</x:v>
      </x:c>
      <x:c r="D2928" s="37" t="str">
        <x:v>2</x:v>
      </x:c>
      <x:c r="E2928" s="37" t="str">
        <x:v>0</x:v>
      </x:c>
      <x:c r="F2928" s="37" t="str">
        <x:v>25</x:v>
      </x:c>
      <x:c r="G2928" s="37" t="str">
        <x:v>601.77</x:v>
      </x:c>
      <x:c r="H2928" s="37" t="str">
        <x:v>0.00</x:v>
      </x:c>
      <x:c r="I2928" s="37" t="str">
        <x:v>318.49</x:v>
      </x:c>
      <x:c r="J2928" s="37" t="str">
        <x:v>0.00</x:v>
      </x:c>
      <x:c r="K2928" s="37" t="str">
        <x:v>283.29</x:v>
      </x:c>
      <x:c r="L2928" s="37" t="str">
        <x:v>829</x:v>
      </x:c>
      <x:c r="M2928" s="29" t="str">
        <x:v>574.71</x:v>
      </x:c>
      <x:c r="N2928" s="29" t="str">
        <x:v>343.33</x:v>
      </x:c>
      <x:c r="O2928" s="29" t="str">
        <x:v>231.38</x:v>
      </x:c>
      <x:c r="P2928" s="18" t="str">
        <x:v>2026-06-18</x:v>
      </x:c>
      <x:c r="Q2928" s="36" t="n">
        <x:v>46191</x:v>
      </x:c>
    </x:row>
    <x:row r="2929">
      <x:c r="A2929" s="36" t="str">
        <x:v>2026-06-18</x:v>
      </x:c>
      <x:c r="B2929" s="18" t="str">
        <x:v>101437000_83913</x:v>
      </x:c>
      <x:c r="C2929" s="18" t="str">
        <x:v>【沪村小电】新黎村充电站</x:v>
      </x:c>
      <x:c r="D2929" s="37" t="str">
        <x:v>2</x:v>
      </x:c>
      <x:c r="E2929" s="37" t="str">
        <x:v>0</x:v>
      </x:c>
      <x:c r="F2929" s="37" t="str">
        <x:v>31</x:v>
      </x:c>
      <x:c r="G2929" s="37" t="str">
        <x:v>810.43</x:v>
      </x:c>
      <x:c r="H2929" s="37" t="str">
        <x:v>0.00</x:v>
      </x:c>
      <x:c r="I2929" s="37" t="str">
        <x:v>592.53</x:v>
      </x:c>
      <x:c r="J2929" s="37" t="str">
        <x:v>0.00</x:v>
      </x:c>
      <x:c r="K2929" s="37" t="str">
        <x:v>217.90</x:v>
      </x:c>
      <x:c r="L2929" s="37" t="str">
        <x:v>1010</x:v>
      </x:c>
      <x:c r="M2929" s="29" t="str">
        <x:v>856.76</x:v>
      </x:c>
      <x:c r="N2929" s="29" t="str">
        <x:v>731.72</x:v>
      </x:c>
      <x:c r="O2929" s="29" t="str">
        <x:v>125.04</x:v>
      </x:c>
      <x:c r="P2929" s="18" t="str">
        <x:v>2026-06-18</x:v>
      </x:c>
      <x:c r="Q2929" s="36" t="n">
        <x:v>46191</x:v>
      </x:c>
    </x:row>
    <x:row r="2930">
      <x:c r="A2930" s="36" t="str">
        <x:v>2026-06-18</x:v>
      </x:c>
      <x:c r="B2930" s="18" t="str">
        <x:v>101437000_83915</x:v>
      </x:c>
      <x:c r="C2930" s="18" t="str">
        <x:v>【沪村小电】长泰西郊别墅充电站</x:v>
      </x:c>
      <x:c r="D2930" s="37" t="str">
        <x:v>2</x:v>
      </x:c>
      <x:c r="E2930" s="37" t="str">
        <x:v>0</x:v>
      </x:c>
      <x:c r="F2930" s="37" t="str">
        <x:v>12</x:v>
      </x:c>
      <x:c r="G2930" s="37" t="str">
        <x:v>270.46</x:v>
      </x:c>
      <x:c r="H2930" s="37" t="str">
        <x:v>0.00</x:v>
      </x:c>
      <x:c r="I2930" s="37" t="str">
        <x:v>181.76</x:v>
      </x:c>
      <x:c r="J2930" s="37" t="str">
        <x:v>0.00</x:v>
      </x:c>
      <x:c r="K2930" s="37" t="str">
        <x:v>88.70</x:v>
      </x:c>
      <x:c r="L2930" s="37" t="str">
        <x:v>359</x:v>
      </x:c>
      <x:c r="M2930" s="29" t="str">
        <x:v>233.40</x:v>
      </x:c>
      <x:c r="N2930" s="29" t="str">
        <x:v>168.19</x:v>
      </x:c>
      <x:c r="O2930" s="29" t="str">
        <x:v>65.21</x:v>
      </x:c>
      <x:c r="P2930" s="18" t="str">
        <x:v>2026-06-18</x:v>
      </x:c>
      <x:c r="Q2930" s="36" t="n">
        <x:v>46191</x:v>
      </x:c>
    </x:row>
    <x:row r="2931">
      <x:c r="A2931" s="36" t="str">
        <x:v>2026-06-18</x:v>
      </x:c>
      <x:c r="B2931" s="18" t="str">
        <x:v>101437000_83917</x:v>
      </x:c>
      <x:c r="C2931" s="18" t="str">
        <x:v>【沪村小电】旭新华庭充电站</x:v>
      </x:c>
      <x:c r="D2931" s="37" t="str">
        <x:v>4</x:v>
      </x:c>
      <x:c r="E2931" s="37" t="str">
        <x:v>0</x:v>
      </x:c>
      <x:c r="F2931" s="37" t="str">
        <x:v>29</x:v>
      </x:c>
      <x:c r="G2931" s="37" t="str">
        <x:v>797.05</x:v>
      </x:c>
      <x:c r="H2931" s="37" t="str">
        <x:v>0.00</x:v>
      </x:c>
      <x:c r="I2931" s="37" t="str">
        <x:v>578.80</x:v>
      </x:c>
      <x:c r="J2931" s="37" t="str">
        <x:v>0.00</x:v>
      </x:c>
      <x:c r="K2931" s="37" t="str">
        <x:v>218.26</x:v>
      </x:c>
      <x:c r="L2931" s="37" t="str">
        <x:v>1144</x:v>
      </x:c>
      <x:c r="M2931" s="29" t="str">
        <x:v>739.03</x:v>
      </x:c>
      <x:c r="N2931" s="29" t="str">
        <x:v>511.25</x:v>
      </x:c>
      <x:c r="O2931" s="29" t="str">
        <x:v>227.78</x:v>
      </x:c>
      <x:c r="P2931" s="18" t="str">
        <x:v>2026-06-18</x:v>
      </x:c>
      <x:c r="Q2931" s="36" t="n">
        <x:v>46191</x:v>
      </x:c>
    </x:row>
    <x:row r="2932">
      <x:c r="A2932" s="36" t="str">
        <x:v>2026-06-18</x:v>
      </x:c>
      <x:c r="B2932" s="18" t="str">
        <x:v>101437000_83919</x:v>
      </x:c>
      <x:c r="C2932" s="18" t="str">
        <x:v>【沪村小电】浦锦名仕嘉园充电站</x:v>
      </x:c>
      <x:c r="D2932" s="37" t="str">
        <x:v>4</x:v>
      </x:c>
      <x:c r="E2932" s="37" t="str">
        <x:v>0</x:v>
      </x:c>
      <x:c r="F2932" s="37" t="str">
        <x:v>47</x:v>
      </x:c>
      <x:c r="G2932" s="37" t="str">
        <x:v>1226.91</x:v>
      </x:c>
      <x:c r="H2932" s="37" t="str">
        <x:v>0.00</x:v>
      </x:c>
      <x:c r="I2932" s="37" t="str">
        <x:v>0.00</x:v>
      </x:c>
      <x:c r="J2932" s="37" t="str">
        <x:v>1226.91</x:v>
      </x:c>
      <x:c r="K2932" s="37" t="str">
        <x:v>0.00</x:v>
      </x:c>
      <x:c r="L2932" s="37" t="str">
        <x:v>1669</x:v>
      </x:c>
      <x:c r="M2932" s="29" t="str">
        <x:v>1187.44</x:v>
      </x:c>
      <x:c r="N2932" s="29" t="str">
        <x:v>785.21</x:v>
      </x:c>
      <x:c r="O2932" s="29" t="str">
        <x:v>402.23</x:v>
      </x:c>
      <x:c r="P2932" s="18" t="str">
        <x:v>2026-06-18</x:v>
      </x:c>
      <x:c r="Q2932" s="36" t="n">
        <x:v>46191</x:v>
      </x:c>
    </x:row>
    <x:row r="2933">
      <x:c r="A2933" s="36" t="str">
        <x:v>2026-06-18</x:v>
      </x:c>
      <x:c r="B2933" s="18" t="str">
        <x:v>101437000_83921</x:v>
      </x:c>
      <x:c r="C2933" s="18" t="str">
        <x:v>【沪村小电】上海联怡枇杷乐园充电站（地库）</x:v>
      </x:c>
      <x:c r="D2933" s="37" t="str">
        <x:v>8</x:v>
      </x:c>
      <x:c r="E2933" s="37" t="str">
        <x:v>0</x:v>
      </x:c>
      <x:c r="F2933" s="37" t="str">
        <x:v>6</x:v>
      </x:c>
      <x:c r="G2933" s="37" t="str">
        <x:v>42.10</x:v>
      </x:c>
      <x:c r="H2933" s="37" t="str">
        <x:v>0.00</x:v>
      </x:c>
      <x:c r="I2933" s="37" t="str">
        <x:v>42.10</x:v>
      </x:c>
      <x:c r="J2933" s="37" t="str">
        <x:v>0.00</x:v>
      </x:c>
      <x:c r="K2933" s="37" t="str">
        <x:v>0.00</x:v>
      </x:c>
      <x:c r="L2933" s="37" t="str">
        <x:v>44</x:v>
      </x:c>
      <x:c r="M2933" s="29" t="str">
        <x:v>48.42</x:v>
      </x:c>
      <x:c r="N2933" s="29" t="str">
        <x:v>43.79</x:v>
      </x:c>
      <x:c r="O2933" s="29" t="str">
        <x:v>4.63</x:v>
      </x:c>
      <x:c r="P2933" s="18" t="str">
        <x:v>2026-06-18</x:v>
      </x:c>
      <x:c r="Q2933" s="36" t="n">
        <x:v>46191</x:v>
      </x:c>
    </x:row>
    <x:row r="2934">
      <x:c r="A2934" s="36" t="str">
        <x:v>2026-06-18</x:v>
      </x:c>
      <x:c r="B2934" s="18" t="str">
        <x:v>101437000_83923</x:v>
      </x:c>
      <x:c r="C2934" s="18" t="str">
        <x:v>【沪村小电】明珠新苑充电站</x:v>
      </x:c>
      <x:c r="D2934" s="37" t="str">
        <x:v>2</x:v>
      </x:c>
      <x:c r="E2934" s="37" t="str">
        <x:v>0</x:v>
      </x:c>
      <x:c r="F2934" s="37" t="str">
        <x:v>36</x:v>
      </x:c>
      <x:c r="G2934" s="37" t="str">
        <x:v>989.05</x:v>
      </x:c>
      <x:c r="H2934" s="37" t="str">
        <x:v>0.00</x:v>
      </x:c>
      <x:c r="I2934" s="37" t="str">
        <x:v>679.12</x:v>
      </x:c>
      <x:c r="J2934" s="37" t="str">
        <x:v>0.00</x:v>
      </x:c>
      <x:c r="K2934" s="37" t="str">
        <x:v>309.93</x:v>
      </x:c>
      <x:c r="L2934" s="37" t="str">
        <x:v>1410</x:v>
      </x:c>
      <x:c r="M2934" s="29" t="str">
        <x:v>890.16</x:v>
      </x:c>
      <x:c r="N2934" s="29" t="str">
        <x:v>620.30</x:v>
      </x:c>
      <x:c r="O2934" s="29" t="str">
        <x:v>269.86</x:v>
      </x:c>
      <x:c r="P2934" s="18" t="str">
        <x:v>2026-06-18</x:v>
      </x:c>
      <x:c r="Q2934" s="36" t="n">
        <x:v>46191</x:v>
      </x:c>
    </x:row>
    <x:row r="2935">
      <x:c r="A2935" s="36" t="str">
        <x:v>2026-06-18</x:v>
      </x:c>
      <x:c r="B2935" s="18" t="str">
        <x:v>101437000_84289</x:v>
      </x:c>
      <x:c r="C2935" s="18" t="str">
        <x:v>【沪村小电】铁建芳华苑充电站</x:v>
      </x:c>
      <x:c r="D2935" s="37" t="str">
        <x:v>4</x:v>
      </x:c>
      <x:c r="E2935" s="37" t="str">
        <x:v>0</x:v>
      </x:c>
      <x:c r="F2935" s="37" t="str">
        <x:v>26</x:v>
      </x:c>
      <x:c r="G2935" s="37" t="str">
        <x:v>810.59</x:v>
      </x:c>
      <x:c r="H2935" s="37" t="str">
        <x:v>0.00</x:v>
      </x:c>
      <x:c r="I2935" s="37" t="str">
        <x:v>448.77</x:v>
      </x:c>
      <x:c r="J2935" s="37" t="str">
        <x:v>0.00</x:v>
      </x:c>
      <x:c r="K2935" s="37" t="str">
        <x:v>361.81</x:v>
      </x:c>
      <x:c r="L2935" s="37" t="str">
        <x:v>1369</x:v>
      </x:c>
      <x:c r="M2935" s="29" t="str">
        <x:v>756.61</x:v>
      </x:c>
      <x:c r="N2935" s="29" t="str">
        <x:v>469.57</x:v>
      </x:c>
      <x:c r="O2935" s="29" t="str">
        <x:v>287.04</x:v>
      </x:c>
      <x:c r="P2935" s="18" t="str">
        <x:v>2026-06-18</x:v>
      </x:c>
      <x:c r="Q2935" s="36" t="n">
        <x:v>46191</x:v>
      </x:c>
    </x:row>
    <x:row r="2936">
      <x:c r="A2936" s="36" t="str">
        <x:v>2026-06-18</x:v>
      </x:c>
      <x:c r="B2936" s="18" t="str">
        <x:v>101437000_86379</x:v>
      </x:c>
      <x:c r="C2936" s="18" t="str">
        <x:v>【沪村小电】新宝社区充电站</x:v>
      </x:c>
      <x:c r="D2936" s="37" t="str">
        <x:v>4</x:v>
      </x:c>
      <x:c r="E2936" s="37" t="str">
        <x:v>0</x:v>
      </x:c>
      <x:c r="F2936" s="37" t="str">
        <x:v>22</x:v>
      </x:c>
      <x:c r="G2936" s="37" t="str">
        <x:v>501.21</x:v>
      </x:c>
      <x:c r="H2936" s="37" t="str">
        <x:v>0.00</x:v>
      </x:c>
      <x:c r="I2936" s="37" t="str">
        <x:v>221.94</x:v>
      </x:c>
      <x:c r="J2936" s="37" t="str">
        <x:v>0.00</x:v>
      </x:c>
      <x:c r="K2936" s="37" t="str">
        <x:v>279.27</x:v>
      </x:c>
      <x:c r="L2936" s="37" t="str">
        <x:v>627</x:v>
      </x:c>
      <x:c r="M2936" s="29" t="str">
        <x:v>395.82</x:v>
      </x:c>
      <x:c r="N2936" s="29" t="str">
        <x:v>270.33</x:v>
      </x:c>
      <x:c r="O2936" s="29" t="str">
        <x:v>125.49</x:v>
      </x:c>
      <x:c r="P2936" s="18" t="str">
        <x:v>2026-06-18</x:v>
      </x:c>
      <x:c r="Q2936" s="36" t="n">
        <x:v>46191</x:v>
      </x:c>
    </x:row>
    <x:row r="2937">
      <x:c r="A2937" s="36" t="str">
        <x:v>2026-06-18</x:v>
      </x:c>
      <x:c r="B2937" s="18" t="str">
        <x:v>101437000_89441</x:v>
      </x:c>
      <x:c r="C2937" s="18" t="str">
        <x:v>【沪村小电】首创禧瑞云启西区充电站</x:v>
      </x:c>
      <x:c r="D2937" s="37" t="str">
        <x:v>2</x:v>
      </x:c>
      <x:c r="E2937" s="37" t="str">
        <x:v>0</x:v>
      </x:c>
      <x:c r="F2937" s="37" t="str">
        <x:v>38</x:v>
      </x:c>
      <x:c r="G2937" s="37" t="str">
        <x:v>1048.90</x:v>
      </x:c>
      <x:c r="H2937" s="37" t="str">
        <x:v>0.00</x:v>
      </x:c>
      <x:c r="I2937" s="37" t="str">
        <x:v>837.11</x:v>
      </x:c>
      <x:c r="J2937" s="37" t="str">
        <x:v>0.00</x:v>
      </x:c>
      <x:c r="K2937" s="37" t="str">
        <x:v>211.79</x:v>
      </x:c>
      <x:c r="L2937" s="37" t="str">
        <x:v>1417</x:v>
      </x:c>
      <x:c r="M2937" s="29" t="str">
        <x:v>927.53</x:v>
      </x:c>
      <x:c r="N2937" s="29" t="str">
        <x:v>653.87</x:v>
      </x:c>
      <x:c r="O2937" s="29" t="str">
        <x:v>273.66</x:v>
      </x:c>
      <x:c r="P2937" s="18" t="str">
        <x:v>2026-06-18</x:v>
      </x:c>
      <x:c r="Q2937" s="36" t="n">
        <x:v>46191</x:v>
      </x:c>
    </x:row>
    <x:row r="2938">
      <x:c r="A2938" s="36" t="str">
        <x:v>2026-06-18</x:v>
      </x:c>
      <x:c r="B2938" s="18" t="str">
        <x:v>101437000_89443</x:v>
      </x:c>
      <x:c r="C2938" s="18" t="str">
        <x:v>【沪村小电】玉兰清苑二期充电站</x:v>
      </x:c>
      <x:c r="D2938" s="37" t="str">
        <x:v>2</x:v>
      </x:c>
      <x:c r="E2938" s="37" t="str">
        <x:v>0</x:v>
      </x:c>
      <x:c r="F2938" s="37" t="str">
        <x:v>36</x:v>
      </x:c>
      <x:c r="G2938" s="37" t="str">
        <x:v>676.89</x:v>
      </x:c>
      <x:c r="H2938" s="37" t="str">
        <x:v>0.00</x:v>
      </x:c>
      <x:c r="I2938" s="37" t="str">
        <x:v>536.95</x:v>
      </x:c>
      <x:c r="J2938" s="37" t="str">
        <x:v>0.00</x:v>
      </x:c>
      <x:c r="K2938" s="37" t="str">
        <x:v>139.94</x:v>
      </x:c>
      <x:c r="L2938" s="37" t="str">
        <x:v>1235</x:v>
      </x:c>
      <x:c r="M2938" s="29" t="str">
        <x:v>607.61</x:v>
      </x:c>
      <x:c r="N2938" s="29" t="str">
        <x:v>450.51</x:v>
      </x:c>
      <x:c r="O2938" s="29" t="str">
        <x:v>157.10</x:v>
      </x:c>
      <x:c r="P2938" s="18" t="str">
        <x:v>2026-06-18</x:v>
      </x:c>
      <x:c r="Q2938" s="36" t="n">
        <x:v>46191</x:v>
      </x:c>
    </x:row>
    <x:row r="2939">
      <x:c r="A2939" s="36" t="str">
        <x:v>2026-06-18</x:v>
      </x:c>
      <x:c r="B2939" s="18" t="str">
        <x:v>101437000_93115</x:v>
      </x:c>
      <x:c r="C2939" s="18" t="str">
        <x:v>【沪村小电】新南家园西北门</x:v>
      </x:c>
      <x:c r="D2939" s="37" t="str">
        <x:v>2</x:v>
      </x:c>
      <x:c r="E2939" s="37" t="str">
        <x:v>0</x:v>
      </x:c>
      <x:c r="F2939" s="37" t="str">
        <x:v>27</x:v>
      </x:c>
      <x:c r="G2939" s="37" t="str">
        <x:v>554.30</x:v>
      </x:c>
      <x:c r="H2939" s="37" t="str">
        <x:v>0.00</x:v>
      </x:c>
      <x:c r="I2939" s="37" t="str">
        <x:v>316.15</x:v>
      </x:c>
      <x:c r="J2939" s="37" t="str">
        <x:v>0.00</x:v>
      </x:c>
      <x:c r="K2939" s="37" t="str">
        <x:v>238.15</x:v>
      </x:c>
      <x:c r="L2939" s="37" t="str">
        <x:v>999</x:v>
      </x:c>
      <x:c r="M2939" s="29" t="str">
        <x:v>453.47</x:v>
      </x:c>
      <x:c r="N2939" s="29" t="str">
        <x:v>303.89</x:v>
      </x:c>
      <x:c r="O2939" s="29" t="str">
        <x:v>149.58</x:v>
      </x:c>
      <x:c r="P2939" s="18" t="str">
        <x:v>2026-06-18</x:v>
      </x:c>
      <x:c r="Q2939" s="36" t="n">
        <x:v>46191</x:v>
      </x:c>
    </x:row>
    <x:row r="2940">
      <x:c r="A2940" s="36" t="str">
        <x:v>2026-06-18</x:v>
      </x:c>
      <x:c r="B2940" s="18" t="str">
        <x:v>101437000_94649</x:v>
      </x:c>
      <x:c r="C2940" s="18" t="str">
        <x:v>【沪村小电】浪琴水岸花园</x:v>
      </x:c>
      <x:c r="D2940" s="37" t="str">
        <x:v>4</x:v>
      </x:c>
      <x:c r="E2940" s="37" t="str">
        <x:v>0</x:v>
      </x:c>
      <x:c r="F2940" s="37" t="str">
        <x:v>31</x:v>
      </x:c>
      <x:c r="G2940" s="37" t="str">
        <x:v>674.00</x:v>
      </x:c>
      <x:c r="H2940" s="37" t="str">
        <x:v>0.00</x:v>
      </x:c>
      <x:c r="I2940" s="37" t="str">
        <x:v>401.19</x:v>
      </x:c>
      <x:c r="J2940" s="37" t="str">
        <x:v>0.00</x:v>
      </x:c>
      <x:c r="K2940" s="37" t="str">
        <x:v>272.81</x:v>
      </x:c>
      <x:c r="L2940" s="37" t="str">
        <x:v>941</x:v>
      </x:c>
      <x:c r="M2940" s="29" t="str">
        <x:v>555.63</x:v>
      </x:c>
      <x:c r="N2940" s="29" t="str">
        <x:v>375.07</x:v>
      </x:c>
      <x:c r="O2940" s="29" t="str">
        <x:v>180.56</x:v>
      </x:c>
      <x:c r="P2940" s="18" t="str">
        <x:v>2026-06-18</x:v>
      </x:c>
      <x:c r="Q2940" s="36" t="n">
        <x:v>46191</x:v>
      </x:c>
    </x:row>
    <x:row r="2941">
      <x:c r="A2941" s="36" t="str">
        <x:v>2026-06-18</x:v>
      </x:c>
      <x:c r="B2941" s="18" t="str">
        <x:v>101437000_95077</x:v>
      </x:c>
      <x:c r="C2941" s="18" t="str">
        <x:v>【沪村小电】民乐城惠益绿苑255弄充电站</x:v>
      </x:c>
      <x:c r="D2941" s="37" t="str">
        <x:v>2</x:v>
      </x:c>
      <x:c r="E2941" s="37" t="str">
        <x:v>0</x:v>
      </x:c>
      <x:c r="F2941" s="37" t="str">
        <x:v>9</x:v>
      </x:c>
      <x:c r="G2941" s="37" t="str">
        <x:v>207.21</x:v>
      </x:c>
      <x:c r="H2941" s="37" t="str">
        <x:v>0.00</x:v>
      </x:c>
      <x:c r="I2941" s="37" t="str">
        <x:v>176.36</x:v>
      </x:c>
      <x:c r="J2941" s="37" t="str">
        <x:v>0.00</x:v>
      </x:c>
      <x:c r="K2941" s="37" t="str">
        <x:v>30.85</x:v>
      </x:c>
      <x:c r="L2941" s="37" t="str">
        <x:v>388</x:v>
      </x:c>
      <x:c r="M2941" s="29" t="str">
        <x:v>196.93</x:v>
      </x:c>
      <x:c r="N2941" s="29" t="str">
        <x:v>142.24</x:v>
      </x:c>
      <x:c r="O2941" s="29" t="str">
        <x:v>54.69</x:v>
      </x:c>
      <x:c r="P2941" s="18" t="str">
        <x:v>2026-06-18</x:v>
      </x:c>
      <x:c r="Q2941" s="36" t="n">
        <x:v>46191</x:v>
      </x:c>
    </x:row>
    <x:row r="2942">
      <x:c r="A2942" s="36" t="str">
        <x:v>2026-06-18</x:v>
      </x:c>
      <x:c r="B2942" s="18" t="str">
        <x:v>101437000_95079</x:v>
      </x:c>
      <x:c r="C2942" s="18" t="str">
        <x:v>【沪村小电】民乐城惠益绿苑东苑充电站</x:v>
      </x:c>
      <x:c r="D2942" s="37" t="str">
        <x:v>2</x:v>
      </x:c>
      <x:c r="E2942" s="37" t="str">
        <x:v>0</x:v>
      </x:c>
      <x:c r="F2942" s="37" t="str">
        <x:v>8</x:v>
      </x:c>
      <x:c r="G2942" s="37" t="str">
        <x:v>197.22</x:v>
      </x:c>
      <x:c r="H2942" s="37" t="str">
        <x:v>0.00</x:v>
      </x:c>
      <x:c r="I2942" s="37" t="str">
        <x:v>197.22</x:v>
      </x:c>
      <x:c r="J2942" s="37" t="str">
        <x:v>0.00</x:v>
      </x:c>
      <x:c r="K2942" s="37" t="str">
        <x:v>0.00</x:v>
      </x:c>
      <x:c r="L2942" s="37" t="str">
        <x:v>289</x:v>
      </x:c>
      <x:c r="M2942" s="29" t="str">
        <x:v>184.92</x:v>
      </x:c>
      <x:c r="N2942" s="29" t="str">
        <x:v>136.09</x:v>
      </x:c>
      <x:c r="O2942" s="29" t="str">
        <x:v>48.83</x:v>
      </x:c>
      <x:c r="P2942" s="18" t="str">
        <x:v>2026-06-18</x:v>
      </x:c>
      <x:c r="Q2942" s="36" t="n">
        <x:v>46191</x:v>
      </x:c>
    </x:row>
    <x:row r="2943">
      <x:c r="A2943" s="36" t="str">
        <x:v>2026-06-18</x:v>
      </x:c>
      <x:c r="B2943" s="18" t="str">
        <x:v>101437000_95081</x:v>
      </x:c>
      <x:c r="C2943" s="18" t="str">
        <x:v>【沪村小电】民乐城惠益绿苑西苑充电站</x:v>
      </x:c>
      <x:c r="D2943" s="37" t="str">
        <x:v>2</x:v>
      </x:c>
      <x:c r="E2943" s="37" t="str">
        <x:v>0</x:v>
      </x:c>
      <x:c r="F2943" s="37" t="str">
        <x:v>1</x:v>
      </x:c>
      <x:c r="G2943" s="37" t="str">
        <x:v>7.02</x:v>
      </x:c>
      <x:c r="H2943" s="37" t="str">
        <x:v>0.00</x:v>
      </x:c>
      <x:c r="I2943" s="37" t="str">
        <x:v>7.02</x:v>
      </x:c>
      <x:c r="J2943" s="37" t="str">
        <x:v>0.00</x:v>
      </x:c>
      <x:c r="K2943" s="37" t="str">
        <x:v>0.00</x:v>
      </x:c>
      <x:c r="L2943" s="37" t="str">
        <x:v>10</x:v>
      </x:c>
      <x:c r="M2943" s="29" t="str">
        <x:v>8.21</x:v>
      </x:c>
      <x:c r="N2943" s="29" t="str">
        <x:v>4.84</x:v>
      </x:c>
      <x:c r="O2943" s="29" t="str">
        <x:v>3.37</x:v>
      </x:c>
      <x:c r="P2943" s="18" t="str">
        <x:v>2026-06-18</x:v>
      </x:c>
      <x:c r="Q2943" s="36" t="n">
        <x:v>46191</x:v>
      </x:c>
    </x:row>
    <x:row r="2944">
      <x:c r="A2944" s="36" t="str">
        <x:v>2026-06-18</x:v>
      </x:c>
      <x:c r="B2944" s="18" t="str">
        <x:v>101437000_95091</x:v>
      </x:c>
      <x:c r="C2944" s="18" t="str">
        <x:v>【沪村小电】金悦学府2号站</x:v>
      </x:c>
      <x:c r="D2944" s="37" t="str">
        <x:v>2</x:v>
      </x:c>
      <x:c r="E2944" s="37" t="str">
        <x:v>0</x:v>
      </x:c>
      <x:c r="F2944" s="37" t="str">
        <x:v>13</x:v>
      </x:c>
      <x:c r="G2944" s="37" t="str">
        <x:v>279.16</x:v>
      </x:c>
      <x:c r="H2944" s="37" t="str">
        <x:v>0.00</x:v>
      </x:c>
      <x:c r="I2944" s="37" t="str">
        <x:v>0.00</x:v>
      </x:c>
      <x:c r="J2944" s="37" t="str">
        <x:v>279.16</x:v>
      </x:c>
      <x:c r="K2944" s="37" t="str">
        <x:v>0.00</x:v>
      </x:c>
      <x:c r="L2944" s="37" t="str">
        <x:v>424</x:v>
      </x:c>
      <x:c r="M2944" s="29" t="str">
        <x:v>220.54</x:v>
      </x:c>
      <x:c r="N2944" s="29" t="str">
        <x:v>156.33</x:v>
      </x:c>
      <x:c r="O2944" s="29" t="str">
        <x:v>64.21</x:v>
      </x:c>
      <x:c r="P2944" s="18" t="str">
        <x:v>2026-06-18</x:v>
      </x:c>
      <x:c r="Q2944" s="36" t="n">
        <x:v>46191</x:v>
      </x:c>
    </x:row>
    <x:row r="2945">
      <x:c r="A2945" s="36" t="str">
        <x:v>2026-06-18</x:v>
      </x:c>
      <x:c r="B2945" s="18" t="str">
        <x:v>101437000_95941</x:v>
      </x:c>
      <x:c r="C2945" s="18" t="str">
        <x:v>【沪村小电】惠诚雅苑</x:v>
      </x:c>
      <x:c r="D2945" s="37" t="str">
        <x:v>4</x:v>
      </x:c>
      <x:c r="E2945" s="37" t="str">
        <x:v>0</x:v>
      </x:c>
      <x:c r="F2945" s="37" t="str">
        <x:v>23</x:v>
      </x:c>
      <x:c r="G2945" s="37" t="str">
        <x:v>568.31</x:v>
      </x:c>
      <x:c r="H2945" s="37" t="str">
        <x:v>0.00</x:v>
      </x:c>
      <x:c r="I2945" s="37" t="str">
        <x:v>326.57</x:v>
      </x:c>
      <x:c r="J2945" s="37" t="str">
        <x:v>0.00</x:v>
      </x:c>
      <x:c r="K2945" s="37" t="str">
        <x:v>241.75</x:v>
      </x:c>
      <x:c r="L2945" s="37" t="str">
        <x:v>970</x:v>
      </x:c>
      <x:c r="M2945" s="29" t="str">
        <x:v>390.55</x:v>
      </x:c>
      <x:c r="N2945" s="29" t="str">
        <x:v>267.62</x:v>
      </x:c>
      <x:c r="O2945" s="29" t="str">
        <x:v>122.93</x:v>
      </x:c>
      <x:c r="P2945" s="18" t="str">
        <x:v>2026-06-18</x:v>
      </x:c>
      <x:c r="Q2945" s="36" t="n">
        <x:v>46191</x:v>
      </x:c>
    </x:row>
    <x:row r="2946">
      <x:c r="A2946" s="36" t="str">
        <x:v>2026-06-18</x:v>
      </x:c>
      <x:c r="B2946" s="18" t="str">
        <x:v>101437000_96401</x:v>
      </x:c>
      <x:c r="C2946" s="18" t="str">
        <x:v>【沪村小电】上海联怡枇杷乐园地面站</x:v>
      </x:c>
      <x:c r="D2946" s="37" t="str">
        <x:v>2</x:v>
      </x:c>
      <x:c r="E2946" s="37" t="str">
        <x:v>0</x:v>
      </x:c>
      <x:c r="F2946" s="37" t="str">
        <x:v>7</x:v>
      </x:c>
      <x:c r="G2946" s="37" t="str">
        <x:v>191.62</x:v>
      </x:c>
      <x:c r="H2946" s="37" t="str">
        <x:v>0.00</x:v>
      </x:c>
      <x:c r="I2946" s="37" t="str">
        <x:v>16.66</x:v>
      </x:c>
      <x:c r="J2946" s="37" t="str">
        <x:v>0.00</x:v>
      </x:c>
      <x:c r="K2946" s="37" t="str">
        <x:v>174.95</x:v>
      </x:c>
      <x:c r="L2946" s="37" t="str">
        <x:v>362</x:v>
      </x:c>
      <x:c r="M2946" s="29" t="str">
        <x:v>122.66</x:v>
      </x:c>
      <x:c r="N2946" s="29" t="str">
        <x:v>110.04</x:v>
      </x:c>
      <x:c r="O2946" s="29" t="str">
        <x:v>12.62</x:v>
      </x:c>
      <x:c r="P2946" s="18" t="str">
        <x:v>2026-06-18</x:v>
      </x:c>
      <x:c r="Q2946" s="36" t="n">
        <x:v>46191</x:v>
      </x:c>
    </x:row>
    <x:row r="2947">
      <x:c r="A2947" s="36" t="str">
        <x:v>2026-06-18</x:v>
      </x:c>
      <x:c r="B2947" s="18" t="str">
        <x:v>101437000_96719</x:v>
      </x:c>
      <x:c r="C2947" s="18" t="str">
        <x:v>【沪村小电】四达路220弄充电站</x:v>
      </x:c>
      <x:c r="D2947" s="37" t="str">
        <x:v>2</x:v>
      </x:c>
      <x:c r="E2947" s="37" t="str">
        <x:v>0</x:v>
      </x:c>
      <x:c r="F2947" s="37" t="str">
        <x:v>2</x:v>
      </x:c>
      <x:c r="G2947" s="37" t="str">
        <x:v>19.38</x:v>
      </x:c>
      <x:c r="H2947" s="37" t="str">
        <x:v>0.00</x:v>
      </x:c>
      <x:c r="I2947" s="37" t="str">
        <x:v>10.62</x:v>
      </x:c>
      <x:c r="J2947" s="37" t="str">
        <x:v>8.76</x:v>
      </x:c>
      <x:c r="K2947" s="37" t="str">
        <x:v>0.00</x:v>
      </x:c>
      <x:c r="L2947" s="37" t="str">
        <x:v>28</x:v>
      </x:c>
      <x:c r="M2947" s="29" t="str">
        <x:v>24.75</x:v>
      </x:c>
      <x:c r="N2947" s="29" t="str">
        <x:v>17.49</x:v>
      </x:c>
      <x:c r="O2947" s="29" t="str">
        <x:v>7.26</x:v>
      </x:c>
      <x:c r="P2947" s="18" t="str">
        <x:v>2026-06-18</x:v>
      </x:c>
      <x:c r="Q2947" s="36" t="n">
        <x:v>46191</x:v>
      </x:c>
    </x:row>
    <x:row r="2948">
      <x:c r="A2948" s="36" t="str">
        <x:v>2026-06-18</x:v>
      </x:c>
      <x:c r="B2948" s="18" t="str">
        <x:v>101437000_97421</x:v>
      </x:c>
      <x:c r="C2948" s="18" t="str">
        <x:v>【沪村小电】玉兰清苑二期（小区外）充电站</x:v>
      </x:c>
      <x:c r="D2948" s="37" t="str">
        <x:v>4</x:v>
      </x:c>
      <x:c r="E2948" s="37" t="str">
        <x:v>0</x:v>
      </x:c>
      <x:c r="F2948" s="37" t="str">
        <x:v>50</x:v>
      </x:c>
      <x:c r="G2948" s="37" t="str">
        <x:v>1091.59</x:v>
      </x:c>
      <x:c r="H2948" s="37" t="str">
        <x:v>0.00</x:v>
      </x:c>
      <x:c r="I2948" s="37" t="str">
        <x:v>786.57</x:v>
      </x:c>
      <x:c r="J2948" s="37" t="str">
        <x:v>0.00</x:v>
      </x:c>
      <x:c r="K2948" s="37" t="str">
        <x:v>305.02</x:v>
      </x:c>
      <x:c r="L2948" s="37" t="str">
        <x:v>2014</x:v>
      </x:c>
      <x:c r="M2948" s="29" t="str">
        <x:v>912.99</x:v>
      </x:c>
      <x:c r="N2948" s="29" t="str">
        <x:v>697.99</x:v>
      </x:c>
      <x:c r="O2948" s="29" t="str">
        <x:v>215.00</x:v>
      </x:c>
      <x:c r="P2948" s="18" t="str">
        <x:v>2026-06-18</x:v>
      </x:c>
      <x:c r="Q2948" s="36" t="n">
        <x:v>46191</x:v>
      </x:c>
    </x:row>
    <x:row r="2949">
      <x:c r="A2949" s="36" t="str">
        <x:v>2026-06-18</x:v>
      </x:c>
      <x:c r="B2949" s="18" t="str">
        <x:v>101437000_98013</x:v>
      </x:c>
      <x:c r="C2949" s="18" t="str">
        <x:v>【沪村小电】恒大滨江华府充电站</x:v>
      </x:c>
      <x:c r="D2949" s="37" t="str">
        <x:v>4</x:v>
      </x:c>
      <x:c r="E2949" s="37" t="str">
        <x:v>0</x:v>
      </x:c>
      <x:c r="F2949" s="37" t="str">
        <x:v>8</x:v>
      </x:c>
      <x:c r="G2949" s="37" t="str">
        <x:v>125.07</x:v>
      </x:c>
      <x:c r="H2949" s="37" t="str">
        <x:v>0.00</x:v>
      </x:c>
      <x:c r="I2949" s="37" t="str">
        <x:v>55.45</x:v>
      </x:c>
      <x:c r="J2949" s="37" t="str">
        <x:v>0.00</x:v>
      </x:c>
      <x:c r="K2949" s="37" t="str">
        <x:v>69.62</x:v>
      </x:c>
      <x:c r="L2949" s="37" t="str">
        <x:v>163</x:v>
      </x:c>
      <x:c r="M2949" s="29" t="str">
        <x:v>115.27</x:v>
      </x:c>
      <x:c r="N2949" s="29" t="str">
        <x:v>94.58</x:v>
      </x:c>
      <x:c r="O2949" s="29" t="str">
        <x:v>20.69</x:v>
      </x:c>
      <x:c r="P2949" s="18" t="str">
        <x:v>2026-06-18</x:v>
      </x:c>
      <x:c r="Q2949" s="36" t="n">
        <x:v>46191</x:v>
      </x:c>
    </x:row>
    <x:row r="2950">
      <x:c r="A2950" s="36" t="str">
        <x:v>2026-06-18</x:v>
      </x:c>
      <x:c r="B2950" s="18" t="str">
        <x:v>101437000_98863</x:v>
      </x:c>
      <x:c r="C2950" s="18" t="str">
        <x:v>【沪村小电】欣菊苑充电站</x:v>
      </x:c>
      <x:c r="D2950" s="37" t="str">
        <x:v>4</x:v>
      </x:c>
      <x:c r="E2950" s="37" t="str">
        <x:v>0</x:v>
      </x:c>
      <x:c r="F2950" s="37" t="str">
        <x:v>4</x:v>
      </x:c>
      <x:c r="G2950" s="37" t="str">
        <x:v>91.12</x:v>
      </x:c>
      <x:c r="H2950" s="37" t="str">
        <x:v>0.00</x:v>
      </x:c>
      <x:c r="I2950" s="37" t="str">
        <x:v>86.25</x:v>
      </x:c>
      <x:c r="J2950" s="37" t="str">
        <x:v>0.00</x:v>
      </x:c>
      <x:c r="K2950" s="37" t="str">
        <x:v>4.87</x:v>
      </x:c>
      <x:c r="L2950" s="37" t="str">
        <x:v>124</x:v>
      </x:c>
      <x:c r="M2950" s="29" t="str">
        <x:v>83.40</x:v>
      </x:c>
      <x:c r="N2950" s="29" t="str">
        <x:v>65.67</x:v>
      </x:c>
      <x:c r="O2950" s="29" t="str">
        <x:v>17.73</x:v>
      </x:c>
      <x:c r="P2950" s="18" t="str">
        <x:v>2026-06-18</x:v>
      </x:c>
      <x:c r="Q2950" s="36" t="n">
        <x:v>46191</x:v>
      </x:c>
    </x:row>
    <x:row r="2951">
      <x:c r="A2951" s="36" t="str">
        <x:v>2026-06-18</x:v>
      </x:c>
      <x:c r="B2951" s="18" t="str">
        <x:v>101437000_98865</x:v>
      </x:c>
      <x:c r="C2951" s="18" t="str">
        <x:v>【沪村小电】欣松苑充电站</x:v>
      </x:c>
      <x:c r="D2951" s="37" t="str">
        <x:v>4</x:v>
      </x:c>
      <x:c r="E2951" s="37" t="str">
        <x:v>0</x:v>
      </x:c>
      <x:c r="F2951" s="37" t="str">
        <x:v>4</x:v>
      </x:c>
      <x:c r="G2951" s="37" t="str">
        <x:v>40.14</x:v>
      </x:c>
      <x:c r="H2951" s="37" t="str">
        <x:v>0.00</x:v>
      </x:c>
      <x:c r="I2951" s="37" t="str">
        <x:v>26.50</x:v>
      </x:c>
      <x:c r="J2951" s="37" t="str">
        <x:v>0.00</x:v>
      </x:c>
      <x:c r="K2951" s="37" t="str">
        <x:v>13.65</x:v>
      </x:c>
      <x:c r="L2951" s="37" t="str">
        <x:v>35</x:v>
      </x:c>
      <x:c r="M2951" s="29" t="str">
        <x:v>39.48</x:v>
      </x:c>
      <x:c r="N2951" s="29" t="str">
        <x:v>24.80</x:v>
      </x:c>
      <x:c r="O2951" s="29" t="str">
        <x:v>14.68</x:v>
      </x:c>
      <x:c r="P2951" s="18" t="str">
        <x:v>2026-06-18</x:v>
      </x:c>
      <x:c r="Q2951" s="36" t="n">
        <x:v>46191</x:v>
      </x:c>
    </x:row>
    <x:row r="2952">
      <x:c r="A2952" s="36" t="str">
        <x:v>2026-06-18</x:v>
      </x:c>
      <x:c r="B2952" s="18" t="str">
        <x:v>101437000_98867</x:v>
      </x:c>
      <x:c r="C2952" s="18" t="str">
        <x:v>【沪村小电】欣荷苑充电站</x:v>
      </x:c>
      <x:c r="D2952" s="37" t="str">
        <x:v>4</x:v>
      </x:c>
      <x:c r="E2952" s="37" t="str">
        <x:v>0</x:v>
      </x:c>
      <x:c r="F2952" s="37" t="str">
        <x:v>3</x:v>
      </x:c>
      <x:c r="G2952" s="37" t="str">
        <x:v>40.60</x:v>
      </x:c>
      <x:c r="H2952" s="37" t="str">
        <x:v>0.00</x:v>
      </x:c>
      <x:c r="I2952" s="37" t="str">
        <x:v>40.60</x:v>
      </x:c>
      <x:c r="J2952" s="37" t="str">
        <x:v>0.00</x:v>
      </x:c>
      <x:c r="K2952" s="37" t="str">
        <x:v>0.00</x:v>
      </x:c>
      <x:c r="L2952" s="37" t="str">
        <x:v>93</x:v>
      </x:c>
      <x:c r="M2952" s="29" t="str">
        <x:v>34.43</x:v>
      </x:c>
      <x:c r="N2952" s="29" t="str">
        <x:v>30.05</x:v>
      </x:c>
      <x:c r="O2952" s="29" t="str">
        <x:v>4.38</x:v>
      </x:c>
      <x:c r="P2952" s="18" t="str">
        <x:v>2026-06-18</x:v>
      </x:c>
      <x:c r="Q2952" s="36" t="n">
        <x:v>46191</x:v>
      </x:c>
    </x:row>
    <x:row r="2953">
      <x:c r="A2953" s="36" t="str">
        <x:v>2026-06-18</x:v>
      </x:c>
      <x:c r="B2953" s="18" t="str">
        <x:v>101437000_99885</x:v>
      </x:c>
      <x:c r="C2953" s="18" t="str">
        <x:v>【沪村小电】汇丰馨苑充电站</x:v>
      </x:c>
      <x:c r="D2953" s="37" t="str">
        <x:v>4</x:v>
      </x:c>
      <x:c r="E2953" s="37" t="str">
        <x:v>0</x:v>
      </x:c>
      <x:c r="F2953" s="37" t="str">
        <x:v>7</x:v>
      </x:c>
      <x:c r="G2953" s="37" t="str">
        <x:v>140.69</x:v>
      </x:c>
      <x:c r="H2953" s="37" t="str">
        <x:v>0.00</x:v>
      </x:c>
      <x:c r="I2953" s="37" t="str">
        <x:v>0.00</x:v>
      </x:c>
      <x:c r="J2953" s="37" t="str">
        <x:v>106.89</x:v>
      </x:c>
      <x:c r="K2953" s="37" t="str">
        <x:v>33.80</x:v>
      </x:c>
      <x:c r="L2953" s="37" t="str">
        <x:v>300</x:v>
      </x:c>
      <x:c r="M2953" s="29" t="str">
        <x:v>126.39</x:v>
      </x:c>
      <x:c r="N2953" s="29" t="str">
        <x:v>89.41</x:v>
      </x:c>
      <x:c r="O2953" s="29" t="str">
        <x:v>36.98</x:v>
      </x:c>
      <x:c r="P2953" s="18" t="str">
        <x:v>2026-06-18</x:v>
      </x:c>
      <x:c r="Q2953" s="36" t="n">
        <x:v>46191</x:v>
      </x:c>
    </x:row>
    <x:row r="2954">
      <x:c r="A2954" s="36" t="str">
        <x:v>2026-06-18</x:v>
      </x:c>
      <x:c r="B2954" s="18" t="str">
        <x:v>101437000_99887</x:v>
      </x:c>
      <x:c r="C2954" s="18" t="str">
        <x:v>【沪村小电】新南村河南小区充电站</x:v>
      </x:c>
      <x:c r="D2954" s="37" t="str">
        <x:v>2</x:v>
      </x:c>
      <x:c r="E2954" s="37" t="str">
        <x:v>0</x:v>
      </x:c>
      <x:c r="F2954" s="37" t="str">
        <x:v>5</x:v>
      </x:c>
      <x:c r="G2954" s="37" t="str">
        <x:v>102.18</x:v>
      </x:c>
      <x:c r="H2954" s="37" t="str">
        <x:v>0.00</x:v>
      </x:c>
      <x:c r="I2954" s="37" t="str">
        <x:v>58.12</x:v>
      </x:c>
      <x:c r="J2954" s="37" t="str">
        <x:v>0.00</x:v>
      </x:c>
      <x:c r="K2954" s="37" t="str">
        <x:v>44.07</x:v>
      </x:c>
      <x:c r="L2954" s="37" t="str">
        <x:v>205</x:v>
      </x:c>
      <x:c r="M2954" s="29" t="str">
        <x:v>76.10</x:v>
      </x:c>
      <x:c r="N2954" s="29" t="str">
        <x:v>59.76</x:v>
      </x:c>
      <x:c r="O2954" s="29" t="str">
        <x:v>16.34</x:v>
      </x:c>
      <x:c r="P2954" s="18" t="str">
        <x:v>2026-06-18</x:v>
      </x:c>
      <x:c r="Q2954" s="36" t="n">
        <x:v>46191</x:v>
      </x:c>
    </x:row>
    <x:row r="2955">
      <x:c r="A2955" s="36" t="str">
        <x:v>2026-06-18</x:v>
      </x:c>
      <x:c r="B2955" s="18" t="str">
        <x:v>101437000_99889</x:v>
      </x:c>
      <x:c r="C2955" s="18" t="str">
        <x:v>【沪村小电】漕泾郊野公园</x:v>
      </x:c>
      <x:c r="D2955" s="37" t="str">
        <x:v>2</x:v>
      </x:c>
      <x:c r="E2955" s="37" t="str">
        <x:v>0</x:v>
      </x:c>
      <x:c r="F2955" s="37" t="str">
        <x:v>5</x:v>
      </x:c>
      <x:c r="G2955" s="37" t="str">
        <x:v>80.16</x:v>
      </x:c>
      <x:c r="H2955" s="37" t="str">
        <x:v>0.00</x:v>
      </x:c>
      <x:c r="I2955" s="37" t="str">
        <x:v>11.88</x:v>
      </x:c>
      <x:c r="J2955" s="37" t="str">
        <x:v>19.86</x:v>
      </x:c>
      <x:c r="K2955" s="37" t="str">
        <x:v>48.43</x:v>
      </x:c>
      <x:c r="L2955" s="37" t="str">
        <x:v>124</x:v>
      </x:c>
      <x:c r="M2955" s="29" t="str">
        <x:v>74.52</x:v>
      </x:c>
      <x:c r="N2955" s="29" t="str">
        <x:v>58.41</x:v>
      </x:c>
      <x:c r="O2955" s="29" t="str">
        <x:v>16.11</x:v>
      </x:c>
      <x:c r="P2955" s="18" t="str">
        <x:v>2026-06-18</x:v>
      </x:c>
      <x:c r="Q2955" s="36" t="n">
        <x:v>46191</x:v>
      </x:c>
    </x:row>
    <x:row r="2956">
      <x:c r="A2956" s="36" t="str">
        <x:v>2026-06-17</x:v>
      </x:c>
      <x:c r="B2956" s="18" t="str">
        <x:v>101437000_41561</x:v>
      </x:c>
      <x:c r="C2956" s="18" t="str">
        <x:v>【沪村小电】张施小区大门处快充站</x:v>
      </x:c>
      <x:c r="D2956" s="37" t="str">
        <x:v>2</x:v>
      </x:c>
      <x:c r="E2956" s="37" t="str">
        <x:v>0</x:v>
      </x:c>
      <x:c r="F2956" s="37" t="str">
        <x:v>48</x:v>
      </x:c>
      <x:c r="G2956" s="37" t="str">
        <x:v>1189.50</x:v>
      </x:c>
      <x:c r="H2956" s="37" t="str">
        <x:v>0.00</x:v>
      </x:c>
      <x:c r="I2956" s="37" t="str">
        <x:v>667.79</x:v>
      </x:c>
      <x:c r="J2956" s="37" t="str">
        <x:v>0.00</x:v>
      </x:c>
      <x:c r="K2956" s="37" t="str">
        <x:v>521.71</x:v>
      </x:c>
      <x:c r="L2956" s="37" t="str">
        <x:v>2208</x:v>
      </x:c>
      <x:c r="M2956" s="29" t="str">
        <x:v>879.86</x:v>
      </x:c>
      <x:c r="N2956" s="29" t="str">
        <x:v>692.42</x:v>
      </x:c>
      <x:c r="O2956" s="29" t="str">
        <x:v>187.44</x:v>
      </x:c>
      <x:c r="P2956" s="18" t="str">
        <x:v>2026-06-17</x:v>
      </x:c>
      <x:c r="Q2956" s="36" t="n">
        <x:v>46190</x:v>
      </x:c>
    </x:row>
    <x:row r="2957">
      <x:c r="A2957" s="36" t="str">
        <x:v>2026-06-17</x:v>
      </x:c>
      <x:c r="B2957" s="18" t="str">
        <x:v>101437000_41563</x:v>
      </x:c>
      <x:c r="C2957" s="18" t="str">
        <x:v>【沪村小电】同心村快充站</x:v>
      </x:c>
      <x:c r="D2957" s="37" t="str">
        <x:v>4</x:v>
      </x:c>
      <x:c r="E2957" s="37" t="str">
        <x:v>0</x:v>
      </x:c>
      <x:c r="F2957" s="37" t="str">
        <x:v>71</x:v>
      </x:c>
      <x:c r="G2957" s="37" t="str">
        <x:v>1398.51</x:v>
      </x:c>
      <x:c r="H2957" s="37" t="str">
        <x:v>0.00</x:v>
      </x:c>
      <x:c r="I2957" s="37" t="str">
        <x:v>1016.37</x:v>
      </x:c>
      <x:c r="J2957" s="37" t="str">
        <x:v>0.00</x:v>
      </x:c>
      <x:c r="K2957" s="37" t="str">
        <x:v>382.14</x:v>
      </x:c>
      <x:c r="L2957" s="37" t="str">
        <x:v>3055</x:v>
      </x:c>
      <x:c r="M2957" s="29" t="str">
        <x:v>1175.39</x:v>
      </x:c>
      <x:c r="N2957" s="29" t="str">
        <x:v>838.91</x:v>
      </x:c>
      <x:c r="O2957" s="29" t="str">
        <x:v>336.48</x:v>
      </x:c>
      <x:c r="P2957" s="18" t="str">
        <x:v>2026-06-17</x:v>
      </x:c>
      <x:c r="Q2957" s="36" t="n">
        <x:v>46190</x:v>
      </x:c>
    </x:row>
    <x:row r="2958">
      <x:c r="A2958" s="36" t="str">
        <x:v>2026-06-17</x:v>
      </x:c>
      <x:c r="B2958" s="18" t="str">
        <x:v>101437000_69629</x:v>
      </x:c>
      <x:c r="C2958" s="18" t="str">
        <x:v>【沪村小电】骏丰玲珑坊西苑充电站</x:v>
      </x:c>
      <x:c r="D2958" s="37" t="str">
        <x:v>2</x:v>
      </x:c>
      <x:c r="E2958" s="37" t="str">
        <x:v>0</x:v>
      </x:c>
      <x:c r="F2958" s="37" t="str">
        <x:v>56</x:v>
      </x:c>
      <x:c r="G2958" s="37" t="str">
        <x:v>1244.87</x:v>
      </x:c>
      <x:c r="H2958" s="37" t="str">
        <x:v>0.00</x:v>
      </x:c>
      <x:c r="I2958" s="37" t="str">
        <x:v>628.35</x:v>
      </x:c>
      <x:c r="J2958" s="37" t="str">
        <x:v>0.00</x:v>
      </x:c>
      <x:c r="K2958" s="37" t="str">
        <x:v>616.52</x:v>
      </x:c>
      <x:c r="L2958" s="37" t="str">
        <x:v>2160</x:v>
      </x:c>
      <x:c r="M2958" s="29" t="str">
        <x:v>1014.35</x:v>
      </x:c>
      <x:c r="N2958" s="29" t="str">
        <x:v>699.28</x:v>
      </x:c>
      <x:c r="O2958" s="29" t="str">
        <x:v>315.07</x:v>
      </x:c>
      <x:c r="P2958" s="18" t="str">
        <x:v>2026-06-17</x:v>
      </x:c>
      <x:c r="Q2958" s="36" t="n">
        <x:v>46190</x:v>
      </x:c>
    </x:row>
    <x:row r="2959">
      <x:c r="A2959" s="36" t="str">
        <x:v>2026-06-17</x:v>
      </x:c>
      <x:c r="B2959" s="18" t="str">
        <x:v>101437000_70547</x:v>
      </x:c>
      <x:c r="C2959" s="18" t="str">
        <x:v>【沪村小电】农建村初心馆党群服务中心充电站</x:v>
      </x:c>
      <x:c r="D2959" s="37" t="str">
        <x:v>4</x:v>
      </x:c>
      <x:c r="E2959" s="37" t="str">
        <x:v>0</x:v>
      </x:c>
      <x:c r="F2959" s="37" t="str">
        <x:v>23</x:v>
      </x:c>
      <x:c r="G2959" s="37" t="str">
        <x:v>422.32</x:v>
      </x:c>
      <x:c r="H2959" s="37" t="str">
        <x:v>0.00</x:v>
      </x:c>
      <x:c r="I2959" s="37" t="str">
        <x:v>165.05</x:v>
      </x:c>
      <x:c r="J2959" s="37" t="str">
        <x:v>0.00</x:v>
      </x:c>
      <x:c r="K2959" s="37" t="str">
        <x:v>257.27</x:v>
      </x:c>
      <x:c r="L2959" s="37" t="str">
        <x:v>761</x:v>
      </x:c>
      <x:c r="M2959" s="29" t="str">
        <x:v>362.58</x:v>
      </x:c>
      <x:c r="N2959" s="29" t="str">
        <x:v>308.00</x:v>
      </x:c>
      <x:c r="O2959" s="29" t="str">
        <x:v>54.58</x:v>
      </x:c>
      <x:c r="P2959" s="18" t="str">
        <x:v>2026-06-17</x:v>
      </x:c>
      <x:c r="Q2959" s="36" t="n">
        <x:v>46190</x:v>
      </x:c>
    </x:row>
    <x:row r="2960">
      <x:c r="A2960" s="36" t="str">
        <x:v>2026-06-17</x:v>
      </x:c>
      <x:c r="B2960" s="18" t="str">
        <x:v>101437000_70549</x:v>
      </x:c>
      <x:c r="C2960" s="18" t="str">
        <x:v>【沪村小电】学府路充电站</x:v>
      </x:c>
      <x:c r="D2960" s="37" t="str">
        <x:v>2</x:v>
      </x:c>
      <x:c r="E2960" s="37" t="str">
        <x:v>0</x:v>
      </x:c>
      <x:c r="F2960" s="37" t="str">
        <x:v>11</x:v>
      </x:c>
      <x:c r="G2960" s="37" t="str">
        <x:v>257.75</x:v>
      </x:c>
      <x:c r="H2960" s="37" t="str">
        <x:v>0.00</x:v>
      </x:c>
      <x:c r="I2960" s="37" t="str">
        <x:v>171.10</x:v>
      </x:c>
      <x:c r="J2960" s="37" t="str">
        <x:v>0.00</x:v>
      </x:c>
      <x:c r="K2960" s="37" t="str">
        <x:v>86.65</x:v>
      </x:c>
      <x:c r="L2960" s="37" t="str">
        <x:v>662</x:v>
      </x:c>
      <x:c r="M2960" s="29" t="str">
        <x:v>252.25</x:v>
      </x:c>
      <x:c r="N2960" s="29" t="str">
        <x:v>223.86</x:v>
      </x:c>
      <x:c r="O2960" s="29" t="str">
        <x:v>28.39</x:v>
      </x:c>
      <x:c r="P2960" s="18" t="str">
        <x:v>2026-06-17</x:v>
      </x:c>
      <x:c r="Q2960" s="36" t="n">
        <x:v>46190</x:v>
      </x:c>
    </x:row>
    <x:row r="2961">
      <x:c r="A2961" s="36" t="str">
        <x:v>2026-06-17</x:v>
      </x:c>
      <x:c r="B2961" s="18" t="str">
        <x:v>101437000_71059</x:v>
      </x:c>
      <x:c r="C2961" s="18" t="str">
        <x:v>【沪村小电】宝乐汇商业广场站</x:v>
      </x:c>
      <x:c r="D2961" s="37" t="str">
        <x:v>4</x:v>
      </x:c>
      <x:c r="E2961" s="37" t="str">
        <x:v>0</x:v>
      </x:c>
      <x:c r="F2961" s="37" t="str">
        <x:v>16</x:v>
      </x:c>
      <x:c r="G2961" s="37" t="str">
        <x:v>360.23</x:v>
      </x:c>
      <x:c r="H2961" s="37" t="str">
        <x:v>0.00</x:v>
      </x:c>
      <x:c r="I2961" s="37" t="str">
        <x:v>82.61</x:v>
      </x:c>
      <x:c r="J2961" s="37" t="str">
        <x:v>245.35</x:v>
      </x:c>
      <x:c r="K2961" s="37" t="str">
        <x:v>32.28</x:v>
      </x:c>
      <x:c r="L2961" s="37" t="str">
        <x:v>571</x:v>
      </x:c>
      <x:c r="M2961" s="29" t="str">
        <x:v>376.70</x:v>
      </x:c>
      <x:c r="N2961" s="29" t="str">
        <x:v>273.54</x:v>
      </x:c>
      <x:c r="O2961" s="29" t="str">
        <x:v>103.16</x:v>
      </x:c>
      <x:c r="P2961" s="18" t="str">
        <x:v>2026-06-17</x:v>
      </x:c>
      <x:c r="Q2961" s="36" t="n">
        <x:v>46190</x:v>
      </x:c>
    </x:row>
    <x:row r="2962">
      <x:c r="A2962" s="36" t="str">
        <x:v>2026-06-17</x:v>
      </x:c>
      <x:c r="B2962" s="18" t="str">
        <x:v>101437000_72541</x:v>
      </x:c>
      <x:c r="C2962" s="18" t="str">
        <x:v>【沪村小电】九干路1174弄充电站</x:v>
      </x:c>
      <x:c r="D2962" s="37" t="str">
        <x:v>2</x:v>
      </x:c>
      <x:c r="E2962" s="37" t="str">
        <x:v>0</x:v>
      </x:c>
      <x:c r="F2962" s="37" t="str">
        <x:v>36</x:v>
      </x:c>
      <x:c r="G2962" s="37" t="str">
        <x:v>714.72</x:v>
      </x:c>
      <x:c r="H2962" s="37" t="str">
        <x:v>0.00</x:v>
      </x:c>
      <x:c r="I2962" s="37" t="str">
        <x:v>429.68</x:v>
      </x:c>
      <x:c r="J2962" s="37" t="str">
        <x:v>0.00</x:v>
      </x:c>
      <x:c r="K2962" s="37" t="str">
        <x:v>285.05</x:v>
      </x:c>
      <x:c r="L2962" s="37" t="str">
        <x:v>1244</x:v>
      </x:c>
      <x:c r="M2962" s="29" t="str">
        <x:v>600.61</x:v>
      </x:c>
      <x:c r="N2962" s="29" t="str">
        <x:v>426.27</x:v>
      </x:c>
      <x:c r="O2962" s="29" t="str">
        <x:v>174.34</x:v>
      </x:c>
      <x:c r="P2962" s="18" t="str">
        <x:v>2026-06-17</x:v>
      </x:c>
      <x:c r="Q2962" s="36" t="n">
        <x:v>46190</x:v>
      </x:c>
    </x:row>
    <x:row r="2963">
      <x:c r="A2963" s="36" t="str">
        <x:v>2026-06-17</x:v>
      </x:c>
      <x:c r="B2963" s="18" t="str">
        <x:v>101437000_72543</x:v>
      </x:c>
      <x:c r="C2963" s="18" t="str">
        <x:v>【沪村小电】叶家中心村小区充电站</x:v>
      </x:c>
      <x:c r="D2963" s="37" t="str">
        <x:v>2</x:v>
      </x:c>
      <x:c r="E2963" s="37" t="str">
        <x:v>0</x:v>
      </x:c>
      <x:c r="F2963" s="37" t="str">
        <x:v>42</x:v>
      </x:c>
      <x:c r="G2963" s="37" t="str">
        <x:v>1078.77</x:v>
      </x:c>
      <x:c r="H2963" s="37" t="str">
        <x:v>0.00</x:v>
      </x:c>
      <x:c r="I2963" s="37" t="str">
        <x:v>471.24</x:v>
      </x:c>
      <x:c r="J2963" s="37" t="str">
        <x:v>0.00</x:v>
      </x:c>
      <x:c r="K2963" s="37" t="str">
        <x:v>607.53</x:v>
      </x:c>
      <x:c r="L2963" s="37" t="str">
        <x:v>1992</x:v>
      </x:c>
      <x:c r="M2963" s="29" t="str">
        <x:v>834.26</x:v>
      </x:c>
      <x:c r="N2963" s="29" t="str">
        <x:v>579.61</x:v>
      </x:c>
      <x:c r="O2963" s="29" t="str">
        <x:v>254.65</x:v>
      </x:c>
      <x:c r="P2963" s="18" t="str">
        <x:v>2026-06-17</x:v>
      </x:c>
      <x:c r="Q2963" s="36" t="n">
        <x:v>46190</x:v>
      </x:c>
    </x:row>
    <x:row r="2964">
      <x:c r="A2964" s="36" t="str">
        <x:v>2026-06-17</x:v>
      </x:c>
      <x:c r="B2964" s="18" t="str">
        <x:v>101437000_72937</x:v>
      </x:c>
      <x:c r="C2964" s="18" t="str">
        <x:v>【沪村小电】佘北家园茸腾苑充电站</x:v>
      </x:c>
      <x:c r="D2964" s="37" t="str">
        <x:v>4</x:v>
      </x:c>
      <x:c r="E2964" s="37" t="str">
        <x:v>0</x:v>
      </x:c>
      <x:c r="F2964" s="37" t="str">
        <x:v>10</x:v>
      </x:c>
      <x:c r="G2964" s="37" t="str">
        <x:v>245.98</x:v>
      </x:c>
      <x:c r="H2964" s="37" t="str">
        <x:v>0.00</x:v>
      </x:c>
      <x:c r="I2964" s="37" t="str">
        <x:v>245.98</x:v>
      </x:c>
      <x:c r="J2964" s="37" t="str">
        <x:v>0.00</x:v>
      </x:c>
      <x:c r="K2964" s="37" t="str">
        <x:v>0.00</x:v>
      </x:c>
      <x:c r="L2964" s="37" t="str">
        <x:v>329</x:v>
      </x:c>
      <x:c r="M2964" s="29" t="str">
        <x:v>236.80</x:v>
      </x:c>
      <x:c r="N2964" s="29" t="str">
        <x:v>182.02</x:v>
      </x:c>
      <x:c r="O2964" s="29" t="str">
        <x:v>54.78</x:v>
      </x:c>
      <x:c r="P2964" s="18" t="str">
        <x:v>2026-06-17</x:v>
      </x:c>
      <x:c r="Q2964" s="36" t="n">
        <x:v>46190</x:v>
      </x:c>
    </x:row>
    <x:row r="2965">
      <x:c r="A2965" s="36" t="str">
        <x:v>2026-06-17</x:v>
      </x:c>
      <x:c r="B2965" s="18" t="str">
        <x:v>101437000_74223</x:v>
      </x:c>
      <x:c r="C2965" s="18" t="str">
        <x:v>【沪村小电】中兴村委会充电站</x:v>
      </x:c>
      <x:c r="D2965" s="37" t="str">
        <x:v>2</x:v>
      </x:c>
      <x:c r="E2965" s="37" t="str">
        <x:v>0</x:v>
      </x:c>
      <x:c r="F2965" s="37" t="str">
        <x:v>16</x:v>
      </x:c>
      <x:c r="G2965" s="37" t="str">
        <x:v>393.26</x:v>
      </x:c>
      <x:c r="H2965" s="37" t="str">
        <x:v>0.00</x:v>
      </x:c>
      <x:c r="I2965" s="37" t="str">
        <x:v>193.70</x:v>
      </x:c>
      <x:c r="J2965" s="37" t="str">
        <x:v>0.00</x:v>
      </x:c>
      <x:c r="K2965" s="37" t="str">
        <x:v>199.56</x:v>
      </x:c>
      <x:c r="L2965" s="37" t="str">
        <x:v>647</x:v>
      </x:c>
      <x:c r="M2965" s="29" t="str">
        <x:v>360.36</x:v>
      </x:c>
      <x:c r="N2965" s="29" t="str">
        <x:v>307.19</x:v>
      </x:c>
      <x:c r="O2965" s="29" t="str">
        <x:v>53.17</x:v>
      </x:c>
      <x:c r="P2965" s="18" t="str">
        <x:v>2026-06-17</x:v>
      </x:c>
      <x:c r="Q2965" s="36" t="n">
        <x:v>46190</x:v>
      </x:c>
    </x:row>
    <x:row r="2966">
      <x:c r="A2966" s="36" t="str">
        <x:v>2026-06-17</x:v>
      </x:c>
      <x:c r="B2966" s="18" t="str">
        <x:v>101437000_74801</x:v>
      </x:c>
      <x:c r="C2966" s="18" t="str">
        <x:v>【沪村小电】申良花园充电站</x:v>
      </x:c>
      <x:c r="D2966" s="37" t="str">
        <x:v>4</x:v>
      </x:c>
      <x:c r="E2966" s="37" t="str">
        <x:v>0</x:v>
      </x:c>
      <x:c r="F2966" s="37" t="str">
        <x:v>6</x:v>
      </x:c>
      <x:c r="G2966" s="37" t="str">
        <x:v>111.54</x:v>
      </x:c>
      <x:c r="H2966" s="37" t="str">
        <x:v>0.00</x:v>
      </x:c>
      <x:c r="I2966" s="37" t="str">
        <x:v>111.54</x:v>
      </x:c>
      <x:c r="J2966" s="37" t="str">
        <x:v>0.00</x:v>
      </x:c>
      <x:c r="K2966" s="37" t="str">
        <x:v>0.00</x:v>
      </x:c>
      <x:c r="L2966" s="37" t="str">
        <x:v>164</x:v>
      </x:c>
      <x:c r="M2966" s="29" t="str">
        <x:v>117.02</x:v>
      </x:c>
      <x:c r="N2966" s="29" t="str">
        <x:v>82.53</x:v>
      </x:c>
      <x:c r="O2966" s="29" t="str">
        <x:v>34.49</x:v>
      </x:c>
      <x:c r="P2966" s="18" t="str">
        <x:v>2026-06-17</x:v>
      </x:c>
      <x:c r="Q2966" s="36" t="n">
        <x:v>46190</x:v>
      </x:c>
    </x:row>
    <x:row r="2967">
      <x:c r="A2967" s="36" t="str">
        <x:v>2026-06-17</x:v>
      </x:c>
      <x:c r="B2967" s="18" t="str">
        <x:v>101437000_74931</x:v>
      </x:c>
      <x:c r="C2967" s="18" t="str">
        <x:v>【沪村小电】枫雅南居充电站</x:v>
      </x:c>
      <x:c r="D2967" s="37" t="str">
        <x:v>2</x:v>
      </x:c>
      <x:c r="E2967" s="37" t="str">
        <x:v>0</x:v>
      </x:c>
      <x:c r="F2967" s="37" t="str">
        <x:v>7</x:v>
      </x:c>
      <x:c r="G2967" s="37" t="str">
        <x:v>118.38</x:v>
      </x:c>
      <x:c r="H2967" s="37" t="str">
        <x:v>0.00</x:v>
      </x:c>
      <x:c r="I2967" s="37" t="str">
        <x:v>89.38</x:v>
      </x:c>
      <x:c r="J2967" s="37" t="str">
        <x:v>0.00</x:v>
      </x:c>
      <x:c r="K2967" s="37" t="str">
        <x:v>29.01</x:v>
      </x:c>
      <x:c r="L2967" s="37" t="str">
        <x:v>210</x:v>
      </x:c>
      <x:c r="M2967" s="29" t="str">
        <x:v>89.76</x:v>
      </x:c>
      <x:c r="N2967" s="29" t="str">
        <x:v>61.73</x:v>
      </x:c>
      <x:c r="O2967" s="29" t="str">
        <x:v>28.03</x:v>
      </x:c>
      <x:c r="P2967" s="18" t="str">
        <x:v>2026-06-17</x:v>
      </x:c>
      <x:c r="Q2967" s="36" t="n">
        <x:v>46190</x:v>
      </x:c>
    </x:row>
    <x:row r="2968">
      <x:c r="A2968" s="36" t="str">
        <x:v>2026-06-17</x:v>
      </x:c>
      <x:c r="B2968" s="18" t="str">
        <x:v>101437000_75901</x:v>
      </x:c>
      <x:c r="C2968" s="18" t="str">
        <x:v>【沪村小电】金悦学府</x:v>
      </x:c>
      <x:c r="D2968" s="37" t="str">
        <x:v>2</x:v>
      </x:c>
      <x:c r="E2968" s="37" t="str">
        <x:v>0</x:v>
      </x:c>
      <x:c r="F2968" s="37" t="str">
        <x:v>18</x:v>
      </x:c>
      <x:c r="G2968" s="37" t="str">
        <x:v>464.44</x:v>
      </x:c>
      <x:c r="H2968" s="37" t="str">
        <x:v>0.00</x:v>
      </x:c>
      <x:c r="I2968" s="37" t="str">
        <x:v>313.43</x:v>
      </x:c>
      <x:c r="J2968" s="37" t="str">
        <x:v>0.00</x:v>
      </x:c>
      <x:c r="K2968" s="37" t="str">
        <x:v>151.01</x:v>
      </x:c>
      <x:c r="L2968" s="37" t="str">
        <x:v>623</x:v>
      </x:c>
      <x:c r="M2968" s="29" t="str">
        <x:v>375.16</x:v>
      </x:c>
      <x:c r="N2968" s="29" t="str">
        <x:v>231.73</x:v>
      </x:c>
      <x:c r="O2968" s="29" t="str">
        <x:v>143.43</x:v>
      </x:c>
      <x:c r="P2968" s="18" t="str">
        <x:v>2026-06-17</x:v>
      </x:c>
      <x:c r="Q2968" s="36" t="n">
        <x:v>46190</x:v>
      </x:c>
    </x:row>
    <x:row r="2969">
      <x:c r="A2969" s="36" t="str">
        <x:v>2026-06-17</x:v>
      </x:c>
      <x:c r="B2969" s="18" t="str">
        <x:v>101437000_76091</x:v>
      </x:c>
      <x:c r="C2969" s="18" t="str">
        <x:v>【沪村小电】恒信家园充电站</x:v>
      </x:c>
      <x:c r="D2969" s="37" t="str">
        <x:v>2</x:v>
      </x:c>
      <x:c r="E2969" s="37" t="str">
        <x:v>0</x:v>
      </x:c>
      <x:c r="F2969" s="37" t="str">
        <x:v>37</x:v>
      </x:c>
      <x:c r="G2969" s="37" t="str">
        <x:v>941.57</x:v>
      </x:c>
      <x:c r="H2969" s="37" t="str">
        <x:v>0.00</x:v>
      </x:c>
      <x:c r="I2969" s="37" t="str">
        <x:v>381.40</x:v>
      </x:c>
      <x:c r="J2969" s="37" t="str">
        <x:v>0.00</x:v>
      </x:c>
      <x:c r="K2969" s="37" t="str">
        <x:v>560.17</x:v>
      </x:c>
      <x:c r="L2969" s="37" t="str">
        <x:v>1544</x:v>
      </x:c>
      <x:c r="M2969" s="29" t="str">
        <x:v>792.77</x:v>
      </x:c>
      <x:c r="N2969" s="29" t="str">
        <x:v>495.10</x:v>
      </x:c>
      <x:c r="O2969" s="29" t="str">
        <x:v>297.67</x:v>
      </x:c>
      <x:c r="P2969" s="18" t="str">
        <x:v>2026-06-17</x:v>
      </x:c>
      <x:c r="Q2969" s="36" t="n">
        <x:v>46190</x:v>
      </x:c>
    </x:row>
    <x:row r="2970">
      <x:c r="A2970" s="36" t="str">
        <x:v>2026-06-17</x:v>
      </x:c>
      <x:c r="B2970" s="18" t="str">
        <x:v>101437000_78235</x:v>
      </x:c>
      <x:c r="C2970" s="18" t="str">
        <x:v>【沪村小电】欣秋苑充电站</x:v>
      </x:c>
      <x:c r="D2970" s="37" t="str">
        <x:v>4</x:v>
      </x:c>
      <x:c r="E2970" s="37" t="str">
        <x:v>0</x:v>
      </x:c>
      <x:c r="F2970" s="37" t="str">
        <x:v>17</x:v>
      </x:c>
      <x:c r="G2970" s="37" t="str">
        <x:v>389.96</x:v>
      </x:c>
      <x:c r="H2970" s="37" t="str">
        <x:v>0.00</x:v>
      </x:c>
      <x:c r="I2970" s="37" t="str">
        <x:v>193.87</x:v>
      </x:c>
      <x:c r="J2970" s="37" t="str">
        <x:v>0.00</x:v>
      </x:c>
      <x:c r="K2970" s="37" t="str">
        <x:v>196.09</x:v>
      </x:c>
      <x:c r="L2970" s="37" t="str">
        <x:v>738</x:v>
      </x:c>
      <x:c r="M2970" s="29" t="str">
        <x:v>287.30</x:v>
      </x:c>
      <x:c r="N2970" s="29" t="str">
        <x:v>217.97</x:v>
      </x:c>
      <x:c r="O2970" s="29" t="str">
        <x:v>69.33</x:v>
      </x:c>
      <x:c r="P2970" s="18" t="str">
        <x:v>2026-06-17</x:v>
      </x:c>
      <x:c r="Q2970" s="36" t="n">
        <x:v>46190</x:v>
      </x:c>
    </x:row>
    <x:row r="2971">
      <x:c r="A2971" s="36" t="str">
        <x:v>2026-06-17</x:v>
      </x:c>
      <x:c r="B2971" s="18" t="str">
        <x:v>101437000_78237</x:v>
      </x:c>
      <x:c r="C2971" s="18" t="str">
        <x:v>【沪村小电】奉馨苑西门小区内北侧充电站</x:v>
      </x:c>
      <x:c r="D2971" s="37" t="str">
        <x:v>2</x:v>
      </x:c>
      <x:c r="E2971" s="37" t="str">
        <x:v>0</x:v>
      </x:c>
      <x:c r="F2971" s="37" t="str">
        <x:v>30</x:v>
      </x:c>
      <x:c r="G2971" s="37" t="str">
        <x:v>784.40</x:v>
      </x:c>
      <x:c r="H2971" s="37" t="str">
        <x:v>0.00</x:v>
      </x:c>
      <x:c r="I2971" s="37" t="str">
        <x:v>448.20</x:v>
      </x:c>
      <x:c r="J2971" s="37" t="str">
        <x:v>0.00</x:v>
      </x:c>
      <x:c r="K2971" s="37" t="str">
        <x:v>336.21</x:v>
      </x:c>
      <x:c r="L2971" s="37" t="str">
        <x:v>1153</x:v>
      </x:c>
      <x:c r="M2971" s="29" t="str">
        <x:v>662.51</x:v>
      </x:c>
      <x:c r="N2971" s="29" t="str">
        <x:v>459.42</x:v>
      </x:c>
      <x:c r="O2971" s="29" t="str">
        <x:v>203.09</x:v>
      </x:c>
      <x:c r="P2971" s="18" t="str">
        <x:v>2026-06-17</x:v>
      </x:c>
      <x:c r="Q2971" s="36" t="n">
        <x:v>46190</x:v>
      </x:c>
    </x:row>
    <x:row r="2972">
      <x:c r="A2972" s="36" t="str">
        <x:v>2026-06-17</x:v>
      </x:c>
      <x:c r="B2972" s="18" t="str">
        <x:v>101437000_78239</x:v>
      </x:c>
      <x:c r="C2972" s="18" t="str">
        <x:v>【沪村小电】恒大佘山首府东门充电站</x:v>
      </x:c>
      <x:c r="D2972" s="37" t="str">
        <x:v>2</x:v>
      </x:c>
      <x:c r="E2972" s="37" t="str">
        <x:v>0</x:v>
      </x:c>
      <x:c r="F2972" s="37" t="str">
        <x:v>40</x:v>
      </x:c>
      <x:c r="G2972" s="37" t="str">
        <x:v>1014.62</x:v>
      </x:c>
      <x:c r="H2972" s="37" t="str">
        <x:v>0.00</x:v>
      </x:c>
      <x:c r="I2972" s="37" t="str">
        <x:v>483.61</x:v>
      </x:c>
      <x:c r="J2972" s="37" t="str">
        <x:v>0.00</x:v>
      </x:c>
      <x:c r="K2972" s="37" t="str">
        <x:v>531.01</x:v>
      </x:c>
      <x:c r="L2972" s="37" t="str">
        <x:v>1504</x:v>
      </x:c>
      <x:c r="M2972" s="29" t="str">
        <x:v>754.58</x:v>
      </x:c>
      <x:c r="N2972" s="29" t="str">
        <x:v>559.63</x:v>
      </x:c>
      <x:c r="O2972" s="29" t="str">
        <x:v>194.95</x:v>
      </x:c>
      <x:c r="P2972" s="18" t="str">
        <x:v>2026-06-17</x:v>
      </x:c>
      <x:c r="Q2972" s="36" t="n">
        <x:v>46190</x:v>
      </x:c>
    </x:row>
    <x:row r="2973">
      <x:c r="A2973" s="36" t="str">
        <x:v>2026-06-17</x:v>
      </x:c>
      <x:c r="B2973" s="18" t="str">
        <x:v>101437000_80823</x:v>
      </x:c>
      <x:c r="C2973" s="18" t="str">
        <x:v>【沪村小电】上湖轩充电站</x:v>
      </x:c>
      <x:c r="D2973" s="37" t="str">
        <x:v>2</x:v>
      </x:c>
      <x:c r="E2973" s="37" t="str">
        <x:v>0</x:v>
      </x:c>
      <x:c r="F2973" s="37" t="str">
        <x:v>8</x:v>
      </x:c>
      <x:c r="G2973" s="37" t="str">
        <x:v>126.43</x:v>
      </x:c>
      <x:c r="H2973" s="37" t="str">
        <x:v>0.00</x:v>
      </x:c>
      <x:c r="I2973" s="37" t="str">
        <x:v>54.15</x:v>
      </x:c>
      <x:c r="J2973" s="37" t="str">
        <x:v>33.21</x:v>
      </x:c>
      <x:c r="K2973" s="37" t="str">
        <x:v>39.07</x:v>
      </x:c>
      <x:c r="L2973" s="37" t="str">
        <x:v>220</x:v>
      </x:c>
      <x:c r="M2973" s="29" t="str">
        <x:v>106.83</x:v>
      </x:c>
      <x:c r="N2973" s="29" t="str">
        <x:v>74.43</x:v>
      </x:c>
      <x:c r="O2973" s="29" t="str">
        <x:v>32.40</x:v>
      </x:c>
      <x:c r="P2973" s="18" t="str">
        <x:v>2026-06-17</x:v>
      </x:c>
      <x:c r="Q2973" s="36" t="n">
        <x:v>46190</x:v>
      </x:c>
    </x:row>
    <x:row r="2974">
      <x:c r="A2974" s="36" t="str">
        <x:v>2026-06-17</x:v>
      </x:c>
      <x:c r="B2974" s="18" t="str">
        <x:v>101437000_83019</x:v>
      </x:c>
      <x:c r="C2974" s="18" t="str">
        <x:v>【沪村小电】首创禧瑞云启东区充电站</x:v>
      </x:c>
      <x:c r="D2974" s="37" t="str">
        <x:v>2</x:v>
      </x:c>
      <x:c r="E2974" s="37" t="str">
        <x:v>0</x:v>
      </x:c>
      <x:c r="F2974" s="37" t="str">
        <x:v>48</x:v>
      </x:c>
      <x:c r="G2974" s="37" t="str">
        <x:v>1096.96</x:v>
      </x:c>
      <x:c r="H2974" s="37" t="str">
        <x:v>0.00</x:v>
      </x:c>
      <x:c r="I2974" s="37" t="str">
        <x:v>943.84</x:v>
      </x:c>
      <x:c r="J2974" s="37" t="str">
        <x:v>0.00</x:v>
      </x:c>
      <x:c r="K2974" s="37" t="str">
        <x:v>153.12</x:v>
      </x:c>
      <x:c r="L2974" s="37" t="str">
        <x:v>1667</x:v>
      </x:c>
      <x:c r="M2974" s="29" t="str">
        <x:v>942.95</x:v>
      </x:c>
      <x:c r="N2974" s="29" t="str">
        <x:v>706.40</x:v>
      </x:c>
      <x:c r="O2974" s="29" t="str">
        <x:v>236.55</x:v>
      </x:c>
      <x:c r="P2974" s="18" t="str">
        <x:v>2026-06-17</x:v>
      </x:c>
      <x:c r="Q2974" s="36" t="n">
        <x:v>46190</x:v>
      </x:c>
    </x:row>
    <x:row r="2975">
      <x:c r="A2975" s="36" t="str">
        <x:v>2026-06-17</x:v>
      </x:c>
      <x:c r="B2975" s="18" t="str">
        <x:v>101437000_83093</x:v>
      </x:c>
      <x:c r="C2975" s="18" t="str">
        <x:v>【沪村小电】金茂未来时光里</x:v>
      </x:c>
      <x:c r="D2975" s="37" t="str">
        <x:v>2</x:v>
      </x:c>
      <x:c r="E2975" s="37" t="str">
        <x:v>0</x:v>
      </x:c>
      <x:c r="F2975" s="37" t="str">
        <x:v>32</x:v>
      </x:c>
      <x:c r="G2975" s="37" t="str">
        <x:v>996.19</x:v>
      </x:c>
      <x:c r="H2975" s="37" t="str">
        <x:v>0.00</x:v>
      </x:c>
      <x:c r="I2975" s="37" t="str">
        <x:v>319.62</x:v>
      </x:c>
      <x:c r="J2975" s="37" t="str">
        <x:v>0.00</x:v>
      </x:c>
      <x:c r="K2975" s="37" t="str">
        <x:v>676.56</x:v>
      </x:c>
      <x:c r="L2975" s="37" t="str">
        <x:v>1534</x:v>
      </x:c>
      <x:c r="M2975" s="29" t="str">
        <x:v>612.79</x:v>
      </x:c>
      <x:c r="N2975" s="29" t="str">
        <x:v>398.31</x:v>
      </x:c>
      <x:c r="O2975" s="29" t="str">
        <x:v>214.48</x:v>
      </x:c>
      <x:c r="P2975" s="18" t="str">
        <x:v>2026-06-17</x:v>
      </x:c>
      <x:c r="Q2975" s="36" t="n">
        <x:v>46190</x:v>
      </x:c>
    </x:row>
    <x:row r="2976">
      <x:c r="A2976" s="36" t="str">
        <x:v>2026-06-17</x:v>
      </x:c>
      <x:c r="B2976" s="18" t="str">
        <x:v>101437000_83911</x:v>
      </x:c>
      <x:c r="C2976" s="18" t="str">
        <x:v>【沪村小电】金瀚园充电站</x:v>
      </x:c>
      <x:c r="D2976" s="37" t="str">
        <x:v>2</x:v>
      </x:c>
      <x:c r="E2976" s="37" t="str">
        <x:v>0</x:v>
      </x:c>
      <x:c r="F2976" s="37" t="str">
        <x:v>24</x:v>
      </x:c>
      <x:c r="G2976" s="37" t="str">
        <x:v>599.79</x:v>
      </x:c>
      <x:c r="H2976" s="37" t="str">
        <x:v>0.00</x:v>
      </x:c>
      <x:c r="I2976" s="37" t="str">
        <x:v>281.25</x:v>
      </x:c>
      <x:c r="J2976" s="37" t="str">
        <x:v>0.00</x:v>
      </x:c>
      <x:c r="K2976" s="37" t="str">
        <x:v>318.55</x:v>
      </x:c>
      <x:c r="L2976" s="37" t="str">
        <x:v>894</x:v>
      </x:c>
      <x:c r="M2976" s="29" t="str">
        <x:v>536.50</x:v>
      </x:c>
      <x:c r="N2976" s="29" t="str">
        <x:v>329.14</x:v>
      </x:c>
      <x:c r="O2976" s="29" t="str">
        <x:v>207.36</x:v>
      </x:c>
      <x:c r="P2976" s="18" t="str">
        <x:v>2026-06-17</x:v>
      </x:c>
      <x:c r="Q2976" s="36" t="n">
        <x:v>46190</x:v>
      </x:c>
    </x:row>
    <x:row r="2977">
      <x:c r="A2977" s="36" t="str">
        <x:v>2026-06-17</x:v>
      </x:c>
      <x:c r="B2977" s="18" t="str">
        <x:v>101437000_83913</x:v>
      </x:c>
      <x:c r="C2977" s="18" t="str">
        <x:v>【沪村小电】新黎村充电站</x:v>
      </x:c>
      <x:c r="D2977" s="37" t="str">
        <x:v>2</x:v>
      </x:c>
      <x:c r="E2977" s="37" t="str">
        <x:v>0</x:v>
      </x:c>
      <x:c r="F2977" s="37" t="str">
        <x:v>35</x:v>
      </x:c>
      <x:c r="G2977" s="37" t="str">
        <x:v>898.01</x:v>
      </x:c>
      <x:c r="H2977" s="37" t="str">
        <x:v>0.00</x:v>
      </x:c>
      <x:c r="I2977" s="37" t="str">
        <x:v>589.01</x:v>
      </x:c>
      <x:c r="J2977" s="37" t="str">
        <x:v>0.00</x:v>
      </x:c>
      <x:c r="K2977" s="37" t="str">
        <x:v>309.00</x:v>
      </x:c>
      <x:c r="L2977" s="37" t="str">
        <x:v>1414</x:v>
      </x:c>
      <x:c r="M2977" s="29" t="str">
        <x:v>899.61</x:v>
      </x:c>
      <x:c r="N2977" s="29" t="str">
        <x:v>776.31</x:v>
      </x:c>
      <x:c r="O2977" s="29" t="str">
        <x:v>123.30</x:v>
      </x:c>
      <x:c r="P2977" s="18" t="str">
        <x:v>2026-06-17</x:v>
      </x:c>
      <x:c r="Q2977" s="36" t="n">
        <x:v>46190</x:v>
      </x:c>
    </x:row>
    <x:row r="2978">
      <x:c r="A2978" s="36" t="str">
        <x:v>2026-06-17</x:v>
      </x:c>
      <x:c r="B2978" s="18" t="str">
        <x:v>101437000_83915</x:v>
      </x:c>
      <x:c r="C2978" s="18" t="str">
        <x:v>【沪村小电】长泰西郊别墅充电站</x:v>
      </x:c>
      <x:c r="D2978" s="37" t="str">
        <x:v>2</x:v>
      </x:c>
      <x:c r="E2978" s="37" t="str">
        <x:v>0</x:v>
      </x:c>
      <x:c r="F2978" s="37" t="str">
        <x:v>14</x:v>
      </x:c>
      <x:c r="G2978" s="37" t="str">
        <x:v>404.33</x:v>
      </x:c>
      <x:c r="H2978" s="37" t="str">
        <x:v>0.00</x:v>
      </x:c>
      <x:c r="I2978" s="37" t="str">
        <x:v>299.00</x:v>
      </x:c>
      <x:c r="J2978" s="37" t="str">
        <x:v>0.00</x:v>
      </x:c>
      <x:c r="K2978" s="37" t="str">
        <x:v>105.33</x:v>
      </x:c>
      <x:c r="L2978" s="37" t="str">
        <x:v>548</x:v>
      </x:c>
      <x:c r="M2978" s="29" t="str">
        <x:v>367.55</x:v>
      </x:c>
      <x:c r="N2978" s="29" t="str">
        <x:v>261.29</x:v>
      </x:c>
      <x:c r="O2978" s="29" t="str">
        <x:v>106.26</x:v>
      </x:c>
      <x:c r="P2978" s="18" t="str">
        <x:v>2026-06-17</x:v>
      </x:c>
      <x:c r="Q2978" s="36" t="n">
        <x:v>46190</x:v>
      </x:c>
    </x:row>
    <x:row r="2979">
      <x:c r="A2979" s="36" t="str">
        <x:v>2026-06-17</x:v>
      </x:c>
      <x:c r="B2979" s="18" t="str">
        <x:v>101437000_83917</x:v>
      </x:c>
      <x:c r="C2979" s="18" t="str">
        <x:v>【沪村小电】旭新华庭充电站</x:v>
      </x:c>
      <x:c r="D2979" s="37" t="str">
        <x:v>4</x:v>
      </x:c>
      <x:c r="E2979" s="37" t="str">
        <x:v>0</x:v>
      </x:c>
      <x:c r="F2979" s="37" t="str">
        <x:v>28</x:v>
      </x:c>
      <x:c r="G2979" s="37" t="str">
        <x:v>844.21</x:v>
      </x:c>
      <x:c r="H2979" s="37" t="str">
        <x:v>0.00</x:v>
      </x:c>
      <x:c r="I2979" s="37" t="str">
        <x:v>527.99</x:v>
      </x:c>
      <x:c r="J2979" s="37" t="str">
        <x:v>0.00</x:v>
      </x:c>
      <x:c r="K2979" s="37" t="str">
        <x:v>316.22</x:v>
      </x:c>
      <x:c r="L2979" s="37" t="str">
        <x:v>1221</x:v>
      </x:c>
      <x:c r="M2979" s="29" t="str">
        <x:v>795.96</x:v>
      </x:c>
      <x:c r="N2979" s="29" t="str">
        <x:v>510.87</x:v>
      </x:c>
      <x:c r="O2979" s="29" t="str">
        <x:v>285.09</x:v>
      </x:c>
      <x:c r="P2979" s="18" t="str">
        <x:v>2026-06-17</x:v>
      </x:c>
      <x:c r="Q2979" s="36" t="n">
        <x:v>46190</x:v>
      </x:c>
    </x:row>
    <x:row r="2980">
      <x:c r="A2980" s="36" t="str">
        <x:v>2026-06-17</x:v>
      </x:c>
      <x:c r="B2980" s="18" t="str">
        <x:v>101437000_83919</x:v>
      </x:c>
      <x:c r="C2980" s="18" t="str">
        <x:v>【沪村小电】浦锦名仕嘉园充电站</x:v>
      </x:c>
      <x:c r="D2980" s="37" t="str">
        <x:v>4</x:v>
      </x:c>
      <x:c r="E2980" s="37" t="str">
        <x:v>0</x:v>
      </x:c>
      <x:c r="F2980" s="37" t="str">
        <x:v>56</x:v>
      </x:c>
      <x:c r="G2980" s="37" t="str">
        <x:v>1308.00</x:v>
      </x:c>
      <x:c r="H2980" s="37" t="str">
        <x:v>0.00</x:v>
      </x:c>
      <x:c r="I2980" s="37" t="str">
        <x:v>0.00</x:v>
      </x:c>
      <x:c r="J2980" s="37" t="str">
        <x:v>1308.00</x:v>
      </x:c>
      <x:c r="K2980" s="37" t="str">
        <x:v>0.00</x:v>
      </x:c>
      <x:c r="L2980" s="37" t="str">
        <x:v>1838</x:v>
      </x:c>
      <x:c r="M2980" s="29" t="str">
        <x:v>1244.91</x:v>
      </x:c>
      <x:c r="N2980" s="29" t="str">
        <x:v>837.12</x:v>
      </x:c>
      <x:c r="O2980" s="29" t="str">
        <x:v>407.79</x:v>
      </x:c>
      <x:c r="P2980" s="18" t="str">
        <x:v>2026-06-17</x:v>
      </x:c>
      <x:c r="Q2980" s="36" t="n">
        <x:v>46190</x:v>
      </x:c>
    </x:row>
    <x:row r="2981">
      <x:c r="A2981" s="36" t="str">
        <x:v>2026-06-17</x:v>
      </x:c>
      <x:c r="B2981" s="18" t="str">
        <x:v>101437000_83921</x:v>
      </x:c>
      <x:c r="C2981" s="18" t="str">
        <x:v>【沪村小电】上海联怡枇杷乐园充电站（地库）</x:v>
      </x:c>
      <x:c r="D2981" s="37" t="str">
        <x:v>8</x:v>
      </x:c>
      <x:c r="E2981" s="37" t="str">
        <x:v>0</x:v>
      </x:c>
      <x:c r="F2981" s="37" t="str">
        <x:v>3</x:v>
      </x:c>
      <x:c r="G2981" s="37" t="str">
        <x:v>97.39</x:v>
      </x:c>
      <x:c r="H2981" s="37" t="str">
        <x:v>0.00</x:v>
      </x:c>
      <x:c r="I2981" s="37" t="str">
        <x:v>68.23</x:v>
      </x:c>
      <x:c r="J2981" s="37" t="str">
        <x:v>0.00</x:v>
      </x:c>
      <x:c r="K2981" s="37" t="str">
        <x:v>29.16</x:v>
      </x:c>
      <x:c r="L2981" s="37" t="str">
        <x:v>130</x:v>
      </x:c>
      <x:c r="M2981" s="29" t="str">
        <x:v>103.28</x:v>
      </x:c>
      <x:c r="N2981" s="29" t="str">
        <x:v>86.41</x:v>
      </x:c>
      <x:c r="O2981" s="29" t="str">
        <x:v>16.87</x:v>
      </x:c>
      <x:c r="P2981" s="18" t="str">
        <x:v>2026-06-17</x:v>
      </x:c>
      <x:c r="Q2981" s="36" t="n">
        <x:v>46190</x:v>
      </x:c>
    </x:row>
    <x:row r="2982">
      <x:c r="A2982" s="36" t="str">
        <x:v>2026-06-17</x:v>
      </x:c>
      <x:c r="B2982" s="18" t="str">
        <x:v>101437000_83923</x:v>
      </x:c>
      <x:c r="C2982" s="18" t="str">
        <x:v>【沪村小电】明珠新苑充电站</x:v>
      </x:c>
      <x:c r="D2982" s="37" t="str">
        <x:v>2</x:v>
      </x:c>
      <x:c r="E2982" s="37" t="str">
        <x:v>0</x:v>
      </x:c>
      <x:c r="F2982" s="37" t="str">
        <x:v>22</x:v>
      </x:c>
      <x:c r="G2982" s="37" t="str">
        <x:v>589.88</x:v>
      </x:c>
      <x:c r="H2982" s="37" t="str">
        <x:v>0.00</x:v>
      </x:c>
      <x:c r="I2982" s="37" t="str">
        <x:v>414.03</x:v>
      </x:c>
      <x:c r="J2982" s="37" t="str">
        <x:v>0.00</x:v>
      </x:c>
      <x:c r="K2982" s="37" t="str">
        <x:v>175.86</x:v>
      </x:c>
      <x:c r="L2982" s="37" t="str">
        <x:v>912</x:v>
      </x:c>
      <x:c r="M2982" s="29" t="str">
        <x:v>529.22</x:v>
      </x:c>
      <x:c r="N2982" s="29" t="str">
        <x:v>373.20</x:v>
      </x:c>
      <x:c r="O2982" s="29" t="str">
        <x:v>156.02</x:v>
      </x:c>
      <x:c r="P2982" s="18" t="str">
        <x:v>2026-06-17</x:v>
      </x:c>
      <x:c r="Q2982" s="36" t="n">
        <x:v>46190</x:v>
      </x:c>
    </x:row>
    <x:row r="2983">
      <x:c r="A2983" s="36" t="str">
        <x:v>2026-06-17</x:v>
      </x:c>
      <x:c r="B2983" s="18" t="str">
        <x:v>101437000_84289</x:v>
      </x:c>
      <x:c r="C2983" s="18" t="str">
        <x:v>【沪村小电】铁建芳华苑充电站</x:v>
      </x:c>
      <x:c r="D2983" s="37" t="str">
        <x:v>4</x:v>
      </x:c>
      <x:c r="E2983" s="37" t="str">
        <x:v>0</x:v>
      </x:c>
      <x:c r="F2983" s="37" t="str">
        <x:v>29</x:v>
      </x:c>
      <x:c r="G2983" s="37" t="str">
        <x:v>759.11</x:v>
      </x:c>
      <x:c r="H2983" s="37" t="str">
        <x:v>0.00</x:v>
      </x:c>
      <x:c r="I2983" s="37" t="str">
        <x:v>374.70</x:v>
      </x:c>
      <x:c r="J2983" s="37" t="str">
        <x:v>0.00</x:v>
      </x:c>
      <x:c r="K2983" s="37" t="str">
        <x:v>384.41</x:v>
      </x:c>
      <x:c r="L2983" s="37" t="str">
        <x:v>1201</x:v>
      </x:c>
      <x:c r="M2983" s="29" t="str">
        <x:v>589.47</x:v>
      </x:c>
      <x:c r="N2983" s="29" t="str">
        <x:v>423.35</x:v>
      </x:c>
      <x:c r="O2983" s="29" t="str">
        <x:v>166.12</x:v>
      </x:c>
      <x:c r="P2983" s="18" t="str">
        <x:v>2026-06-17</x:v>
      </x:c>
      <x:c r="Q2983" s="36" t="n">
        <x:v>46190</x:v>
      </x:c>
    </x:row>
    <x:row r="2984">
      <x:c r="A2984" s="36" t="str">
        <x:v>2026-06-17</x:v>
      </x:c>
      <x:c r="B2984" s="18" t="str">
        <x:v>101437000_86379</x:v>
      </x:c>
      <x:c r="C2984" s="18" t="str">
        <x:v>【沪村小电】新宝社区充电站</x:v>
      </x:c>
      <x:c r="D2984" s="37" t="str">
        <x:v>4</x:v>
      </x:c>
      <x:c r="E2984" s="37" t="str">
        <x:v>0</x:v>
      </x:c>
      <x:c r="F2984" s="37" t="str">
        <x:v>14</x:v>
      </x:c>
      <x:c r="G2984" s="37" t="str">
        <x:v>367.64</x:v>
      </x:c>
      <x:c r="H2984" s="37" t="str">
        <x:v>0.00</x:v>
      </x:c>
      <x:c r="I2984" s="37" t="str">
        <x:v>195.95</x:v>
      </x:c>
      <x:c r="J2984" s="37" t="str">
        <x:v>0.00</x:v>
      </x:c>
      <x:c r="K2984" s="37" t="str">
        <x:v>171.69</x:v>
      </x:c>
      <x:c r="L2984" s="37" t="str">
        <x:v>546</x:v>
      </x:c>
      <x:c r="M2984" s="29" t="str">
        <x:v>331.99</x:v>
      </x:c>
      <x:c r="N2984" s="29" t="str">
        <x:v>210.26</x:v>
      </x:c>
      <x:c r="O2984" s="29" t="str">
        <x:v>121.73</x:v>
      </x:c>
      <x:c r="P2984" s="18" t="str">
        <x:v>2026-06-17</x:v>
      </x:c>
      <x:c r="Q2984" s="36" t="n">
        <x:v>46190</x:v>
      </x:c>
    </x:row>
    <x:row r="2985">
      <x:c r="A2985" s="36" t="str">
        <x:v>2026-06-17</x:v>
      </x:c>
      <x:c r="B2985" s="18" t="str">
        <x:v>101437000_89441</x:v>
      </x:c>
      <x:c r="C2985" s="18" t="str">
        <x:v>【沪村小电】首创禧瑞云启西区充电站</x:v>
      </x:c>
      <x:c r="D2985" s="37" t="str">
        <x:v>2</x:v>
      </x:c>
      <x:c r="E2985" s="37" t="str">
        <x:v>0</x:v>
      </x:c>
      <x:c r="F2985" s="37" t="str">
        <x:v>38</x:v>
      </x:c>
      <x:c r="G2985" s="37" t="str">
        <x:v>946.20</x:v>
      </x:c>
      <x:c r="H2985" s="37" t="str">
        <x:v>0.00</x:v>
      </x:c>
      <x:c r="I2985" s="37" t="str">
        <x:v>795.29</x:v>
      </x:c>
      <x:c r="J2985" s="37" t="str">
        <x:v>0.00</x:v>
      </x:c>
      <x:c r="K2985" s="37" t="str">
        <x:v>150.90</x:v>
      </x:c>
      <x:c r="L2985" s="37" t="str">
        <x:v>1451</x:v>
      </x:c>
      <x:c r="M2985" s="29" t="str">
        <x:v>791.03</x:v>
      </x:c>
      <x:c r="N2985" s="29" t="str">
        <x:v>603.05</x:v>
      </x:c>
      <x:c r="O2985" s="29" t="str">
        <x:v>187.98</x:v>
      </x:c>
      <x:c r="P2985" s="18" t="str">
        <x:v>2026-06-17</x:v>
      </x:c>
      <x:c r="Q2985" s="36" t="n">
        <x:v>46190</x:v>
      </x:c>
    </x:row>
    <x:row r="2986">
      <x:c r="A2986" s="36" t="str">
        <x:v>2026-06-17</x:v>
      </x:c>
      <x:c r="B2986" s="18" t="str">
        <x:v>101437000_89443</x:v>
      </x:c>
      <x:c r="C2986" s="18" t="str">
        <x:v>【沪村小电】玉兰清苑二期充电站</x:v>
      </x:c>
      <x:c r="D2986" s="37" t="str">
        <x:v>2</x:v>
      </x:c>
      <x:c r="E2986" s="37" t="str">
        <x:v>0</x:v>
      </x:c>
      <x:c r="F2986" s="37" t="str">
        <x:v>21</x:v>
      </x:c>
      <x:c r="G2986" s="37" t="str">
        <x:v>545.21</x:v>
      </x:c>
      <x:c r="H2986" s="37" t="str">
        <x:v>0.00</x:v>
      </x:c>
      <x:c r="I2986" s="37" t="str">
        <x:v>483.39</x:v>
      </x:c>
      <x:c r="J2986" s="37" t="str">
        <x:v>0.00</x:v>
      </x:c>
      <x:c r="K2986" s="37" t="str">
        <x:v>61.82</x:v>
      </x:c>
      <x:c r="L2986" s="37" t="str">
        <x:v>842</x:v>
      </x:c>
      <x:c r="M2986" s="29" t="str">
        <x:v>508.77</x:v>
      </x:c>
      <x:c r="N2986" s="29" t="str">
        <x:v>381.21</x:v>
      </x:c>
      <x:c r="O2986" s="29" t="str">
        <x:v>127.56</x:v>
      </x:c>
      <x:c r="P2986" s="18" t="str">
        <x:v>2026-06-17</x:v>
      </x:c>
      <x:c r="Q2986" s="36" t="n">
        <x:v>46190</x:v>
      </x:c>
    </x:row>
    <x:row r="2987">
      <x:c r="A2987" s="36" t="str">
        <x:v>2026-06-17</x:v>
      </x:c>
      <x:c r="B2987" s="18" t="str">
        <x:v>101437000_93115</x:v>
      </x:c>
      <x:c r="C2987" s="18" t="str">
        <x:v>【沪村小电】新南家园西北门</x:v>
      </x:c>
      <x:c r="D2987" s="37" t="str">
        <x:v>2</x:v>
      </x:c>
      <x:c r="E2987" s="37" t="str">
        <x:v>0</x:v>
      </x:c>
      <x:c r="F2987" s="37" t="str">
        <x:v>22</x:v>
      </x:c>
      <x:c r="G2987" s="37" t="str">
        <x:v>463.93</x:v>
      </x:c>
      <x:c r="H2987" s="37" t="str">
        <x:v>0.00</x:v>
      </x:c>
      <x:c r="I2987" s="37" t="str">
        <x:v>266.81</x:v>
      </x:c>
      <x:c r="J2987" s="37" t="str">
        <x:v>0.00</x:v>
      </x:c>
      <x:c r="K2987" s="37" t="str">
        <x:v>197.12</x:v>
      </x:c>
      <x:c r="L2987" s="37" t="str">
        <x:v>825</x:v>
      </x:c>
      <x:c r="M2987" s="29" t="str">
        <x:v>384.38</x:v>
      </x:c>
      <x:c r="N2987" s="29" t="str">
        <x:v>255.05</x:v>
      </x:c>
      <x:c r="O2987" s="29" t="str">
        <x:v>129.33</x:v>
      </x:c>
      <x:c r="P2987" s="18" t="str">
        <x:v>2026-06-17</x:v>
      </x:c>
      <x:c r="Q2987" s="36" t="n">
        <x:v>46190</x:v>
      </x:c>
    </x:row>
    <x:row r="2988">
      <x:c r="A2988" s="36" t="str">
        <x:v>2026-06-17</x:v>
      </x:c>
      <x:c r="B2988" s="18" t="str">
        <x:v>101437000_94649</x:v>
      </x:c>
      <x:c r="C2988" s="18" t="str">
        <x:v>【沪村小电】浪琴水岸花园</x:v>
      </x:c>
      <x:c r="D2988" s="37" t="str">
        <x:v>4</x:v>
      </x:c>
      <x:c r="E2988" s="37" t="str">
        <x:v>0</x:v>
      </x:c>
      <x:c r="F2988" s="37" t="str">
        <x:v>26</x:v>
      </x:c>
      <x:c r="G2988" s="37" t="str">
        <x:v>698.17</x:v>
      </x:c>
      <x:c r="H2988" s="37" t="str">
        <x:v>0.00</x:v>
      </x:c>
      <x:c r="I2988" s="37" t="str">
        <x:v>260.36</x:v>
      </x:c>
      <x:c r="J2988" s="37" t="str">
        <x:v>0.00</x:v>
      </x:c>
      <x:c r="K2988" s="37" t="str">
        <x:v>437.81</x:v>
      </x:c>
      <x:c r="L2988" s="37" t="str">
        <x:v>975</x:v>
      </x:c>
      <x:c r="M2988" s="29" t="str">
        <x:v>469.50</x:v>
      </x:c>
      <x:c r="N2988" s="29" t="str">
        <x:v>337.28</x:v>
      </x:c>
      <x:c r="O2988" s="29" t="str">
        <x:v>132.22</x:v>
      </x:c>
      <x:c r="P2988" s="18" t="str">
        <x:v>2026-06-17</x:v>
      </x:c>
      <x:c r="Q2988" s="36" t="n">
        <x:v>46190</x:v>
      </x:c>
    </x:row>
    <x:row r="2989">
      <x:c r="A2989" s="36" t="str">
        <x:v>2026-06-17</x:v>
      </x:c>
      <x:c r="B2989" s="18" t="str">
        <x:v>101437000_95077</x:v>
      </x:c>
      <x:c r="C2989" s="18" t="str">
        <x:v>【沪村小电】民乐城惠益绿苑255弄充电站</x:v>
      </x:c>
      <x:c r="D2989" s="37" t="str">
        <x:v>2</x:v>
      </x:c>
      <x:c r="E2989" s="37" t="str">
        <x:v>0</x:v>
      </x:c>
      <x:c r="F2989" s="37" t="str">
        <x:v>6</x:v>
      </x:c>
      <x:c r="G2989" s="37" t="str">
        <x:v>180.54</x:v>
      </x:c>
      <x:c r="H2989" s="37" t="str">
        <x:v>0.00</x:v>
      </x:c>
      <x:c r="I2989" s="37" t="str">
        <x:v>123.20</x:v>
      </x:c>
      <x:c r="J2989" s="37" t="str">
        <x:v>0.00</x:v>
      </x:c>
      <x:c r="K2989" s="37" t="str">
        <x:v>57.34</x:v>
      </x:c>
      <x:c r="L2989" s="37" t="str">
        <x:v>248</x:v>
      </x:c>
      <x:c r="M2989" s="29" t="str">
        <x:v>166.18</x:v>
      </x:c>
      <x:c r="N2989" s="29" t="str">
        <x:v>112.95</x:v>
      </x:c>
      <x:c r="O2989" s="29" t="str">
        <x:v>53.23</x:v>
      </x:c>
      <x:c r="P2989" s="18" t="str">
        <x:v>2026-06-17</x:v>
      </x:c>
      <x:c r="Q2989" s="36" t="n">
        <x:v>46190</x:v>
      </x:c>
    </x:row>
    <x:row r="2990">
      <x:c r="A2990" s="36" t="str">
        <x:v>2026-06-17</x:v>
      </x:c>
      <x:c r="B2990" s="18" t="str">
        <x:v>101437000_95079</x:v>
      </x:c>
      <x:c r="C2990" s="18" t="str">
        <x:v>【沪村小电】民乐城惠益绿苑东苑充电站</x:v>
      </x:c>
      <x:c r="D2990" s="37" t="str">
        <x:v>2</x:v>
      </x:c>
      <x:c r="E2990" s="37" t="str">
        <x:v>0</x:v>
      </x:c>
      <x:c r="F2990" s="37" t="str">
        <x:v>10</x:v>
      </x:c>
      <x:c r="G2990" s="37" t="str">
        <x:v>219.42</x:v>
      </x:c>
      <x:c r="H2990" s="37" t="str">
        <x:v>0.00</x:v>
      </x:c>
      <x:c r="I2990" s="37" t="str">
        <x:v>141.27</x:v>
      </x:c>
      <x:c r="J2990" s="37" t="str">
        <x:v>0.00</x:v>
      </x:c>
      <x:c r="K2990" s="37" t="str">
        <x:v>78.15</x:v>
      </x:c>
      <x:c r="L2990" s="37" t="str">
        <x:v>339</x:v>
      </x:c>
      <x:c r="M2990" s="29" t="str">
        <x:v>180.83</x:v>
      </x:c>
      <x:c r="N2990" s="29" t="str">
        <x:v>125.62</x:v>
      </x:c>
      <x:c r="O2990" s="29" t="str">
        <x:v>55.21</x:v>
      </x:c>
      <x:c r="P2990" s="18" t="str">
        <x:v>2026-06-17</x:v>
      </x:c>
      <x:c r="Q2990" s="36" t="n">
        <x:v>46190</x:v>
      </x:c>
    </x:row>
    <x:row r="2991">
      <x:c r="A2991" s="36" t="str">
        <x:v>2026-06-17</x:v>
      </x:c>
      <x:c r="B2991" s="18" t="str">
        <x:v>101437000_95081</x:v>
      </x:c>
      <x:c r="C2991" s="18" t="str">
        <x:v>【沪村小电】民乐城惠益绿苑西苑充电站</x:v>
      </x:c>
      <x:c r="D2991" s="37" t="str">
        <x:v>2</x:v>
      </x:c>
      <x:c r="E2991" s="37" t="str">
        <x:v>0</x:v>
      </x:c>
      <x:c r="F2991" s="37" t="str">
        <x:v>1</x:v>
      </x:c>
      <x:c r="G2991" s="37" t="str">
        <x:v>50.51</x:v>
      </x:c>
      <x:c r="H2991" s="37" t="str">
        <x:v>0.00</x:v>
      </x:c>
      <x:c r="I2991" s="37" t="str">
        <x:v>50.51</x:v>
      </x:c>
      <x:c r="J2991" s="37" t="str">
        <x:v>0.00</x:v>
      </x:c>
      <x:c r="K2991" s="37" t="str">
        <x:v>0.00</x:v>
      </x:c>
      <x:c r="L2991" s="37" t="str">
        <x:v>48</x:v>
      </x:c>
      <x:c r="M2991" s="29" t="str">
        <x:v>58.87</x:v>
      </x:c>
      <x:c r="N2991" s="29" t="str">
        <x:v>34.85</x:v>
      </x:c>
      <x:c r="O2991" s="29" t="str">
        <x:v>24.02</x:v>
      </x:c>
      <x:c r="P2991" s="18" t="str">
        <x:v>2026-06-17</x:v>
      </x:c>
      <x:c r="Q2991" s="36" t="n">
        <x:v>46190</x:v>
      </x:c>
    </x:row>
    <x:row r="2992">
      <x:c r="A2992" s="36" t="str">
        <x:v>2026-06-17</x:v>
      </x:c>
      <x:c r="B2992" s="18" t="str">
        <x:v>101437000_95091</x:v>
      </x:c>
      <x:c r="C2992" s="18" t="str">
        <x:v>【沪村小电】金悦学府2号站</x:v>
      </x:c>
      <x:c r="D2992" s="37" t="str">
        <x:v>2</x:v>
      </x:c>
      <x:c r="E2992" s="37" t="str">
        <x:v>0</x:v>
      </x:c>
      <x:c r="F2992" s="37" t="str">
        <x:v>16</x:v>
      </x:c>
      <x:c r="G2992" s="37" t="str">
        <x:v>412.24</x:v>
      </x:c>
      <x:c r="H2992" s="37" t="str">
        <x:v>0.00</x:v>
      </x:c>
      <x:c r="I2992" s="37" t="str">
        <x:v>0.00</x:v>
      </x:c>
      <x:c r="J2992" s="37" t="str">
        <x:v>412.24</x:v>
      </x:c>
      <x:c r="K2992" s="37" t="str">
        <x:v>0.00</x:v>
      </x:c>
      <x:c r="L2992" s="37" t="str">
        <x:v>565</x:v>
      </x:c>
      <x:c r="M2992" s="29" t="str">
        <x:v>325.69</x:v>
      </x:c>
      <x:c r="N2992" s="29" t="str">
        <x:v>230.85</x:v>
      </x:c>
      <x:c r="O2992" s="29" t="str">
        <x:v>94.84</x:v>
      </x:c>
      <x:c r="P2992" s="18" t="str">
        <x:v>2026-06-17</x:v>
      </x:c>
      <x:c r="Q2992" s="36" t="n">
        <x:v>46190</x:v>
      </x:c>
    </x:row>
    <x:row r="2993">
      <x:c r="A2993" s="36" t="str">
        <x:v>2026-06-17</x:v>
      </x:c>
      <x:c r="B2993" s="18" t="str">
        <x:v>101437000_95941</x:v>
      </x:c>
      <x:c r="C2993" s="18" t="str">
        <x:v>【沪村小电】惠诚雅苑</x:v>
      </x:c>
      <x:c r="D2993" s="37" t="str">
        <x:v>4</x:v>
      </x:c>
      <x:c r="E2993" s="37" t="str">
        <x:v>0</x:v>
      </x:c>
      <x:c r="F2993" s="37" t="str">
        <x:v>16</x:v>
      </x:c>
      <x:c r="G2993" s="37" t="str">
        <x:v>494.44</x:v>
      </x:c>
      <x:c r="H2993" s="37" t="str">
        <x:v>0.00</x:v>
      </x:c>
      <x:c r="I2993" s="37" t="str">
        <x:v>388.60</x:v>
      </x:c>
      <x:c r="J2993" s="37" t="str">
        <x:v>0.00</x:v>
      </x:c>
      <x:c r="K2993" s="37" t="str">
        <x:v>105.84</x:v>
      </x:c>
      <x:c r="L2993" s="37" t="str">
        <x:v>642</x:v>
      </x:c>
      <x:c r="M2993" s="29" t="str">
        <x:v>370.63</x:v>
      </x:c>
      <x:c r="N2993" s="29" t="str">
        <x:v>262.09</x:v>
      </x:c>
      <x:c r="O2993" s="29" t="str">
        <x:v>108.54</x:v>
      </x:c>
      <x:c r="P2993" s="18" t="str">
        <x:v>2026-06-17</x:v>
      </x:c>
      <x:c r="Q2993" s="36" t="n">
        <x:v>46190</x:v>
      </x:c>
    </x:row>
    <x:row r="2994">
      <x:c r="A2994" s="36" t="str">
        <x:v>2026-06-17</x:v>
      </x:c>
      <x:c r="B2994" s="18" t="str">
        <x:v>101437000_96401</x:v>
      </x:c>
      <x:c r="C2994" s="18" t="str">
        <x:v>【沪村小电】上海联怡枇杷乐园地面站</x:v>
      </x:c>
      <x:c r="D2994" s="37" t="str">
        <x:v>2</x:v>
      </x:c>
      <x:c r="E2994" s="37" t="str">
        <x:v>0</x:v>
      </x:c>
      <x:c r="F2994" s="37" t="str">
        <x:v>3</x:v>
      </x:c>
      <x:c r="G2994" s="37" t="str">
        <x:v>96.83</x:v>
      </x:c>
      <x:c r="H2994" s="37" t="str">
        <x:v>0.00</x:v>
      </x:c>
      <x:c r="I2994" s="37" t="str">
        <x:v>0.00</x:v>
      </x:c>
      <x:c r="J2994" s="37" t="str">
        <x:v>0.00</x:v>
      </x:c>
      <x:c r="K2994" s="37" t="str">
        <x:v>96.83</x:v>
      </x:c>
      <x:c r="L2994" s="37" t="str">
        <x:v>190</x:v>
      </x:c>
      <x:c r="M2994" s="29" t="str">
        <x:v>60.04</x:v>
      </x:c>
      <x:c r="N2994" s="29" t="str">
        <x:v>51.32</x:v>
      </x:c>
      <x:c r="O2994" s="29" t="str">
        <x:v>8.72</x:v>
      </x:c>
      <x:c r="P2994" s="18" t="str">
        <x:v>2026-06-17</x:v>
      </x:c>
      <x:c r="Q2994" s="36" t="n">
        <x:v>46190</x:v>
      </x:c>
    </x:row>
    <x:row r="2995">
      <x:c r="A2995" s="36" t="str">
        <x:v>2026-06-17</x:v>
      </x:c>
      <x:c r="B2995" s="18" t="str">
        <x:v>101437000_96719</x:v>
      </x:c>
      <x:c r="C2995" s="18" t="str">
        <x:v>【沪村小电】四达路220弄充电站</x:v>
      </x:c>
      <x:c r="D2995" s="37" t="str">
        <x:v>2</x:v>
      </x:c>
      <x:c r="E2995" s="37" t="str">
        <x:v>0</x:v>
      </x:c>
      <x:c r="F2995" s="37" t="str">
        <x:v>4</x:v>
      </x:c>
      <x:c r="G2995" s="37" t="str">
        <x:v>128.80</x:v>
      </x:c>
      <x:c r="H2995" s="37" t="str">
        <x:v>0.00</x:v>
      </x:c>
      <x:c r="I2995" s="37" t="str">
        <x:v>0.00</x:v>
      </x:c>
      <x:c r="J2995" s="37" t="str">
        <x:v>128.80</x:v>
      </x:c>
      <x:c r="K2995" s="37" t="str">
        <x:v>0.00</x:v>
      </x:c>
      <x:c r="L2995" s="37" t="str">
        <x:v>170</x:v>
      </x:c>
      <x:c r="M2995" s="29" t="str">
        <x:v>158.32</x:v>
      </x:c>
      <x:c r="N2995" s="29" t="str">
        <x:v>90.15</x:v>
      </x:c>
      <x:c r="O2995" s="29" t="str">
        <x:v>68.17</x:v>
      </x:c>
      <x:c r="P2995" s="18" t="str">
        <x:v>2026-06-17</x:v>
      </x:c>
      <x:c r="Q2995" s="36" t="n">
        <x:v>46190</x:v>
      </x:c>
    </x:row>
    <x:row r="2996">
      <x:c r="A2996" s="36" t="str">
        <x:v>2026-06-17</x:v>
      </x:c>
      <x:c r="B2996" s="18" t="str">
        <x:v>101437000_97421</x:v>
      </x:c>
      <x:c r="C2996" s="18" t="str">
        <x:v>【沪村小电】玉兰清苑二期（小区外）充电站</x:v>
      </x:c>
      <x:c r="D2996" s="37" t="str">
        <x:v>4</x:v>
      </x:c>
      <x:c r="E2996" s="37" t="str">
        <x:v>0</x:v>
      </x:c>
      <x:c r="F2996" s="37" t="str">
        <x:v>43</x:v>
      </x:c>
      <x:c r="G2996" s="37" t="str">
        <x:v>802.14</x:v>
      </x:c>
      <x:c r="H2996" s="37" t="str">
        <x:v>0.00</x:v>
      </x:c>
      <x:c r="I2996" s="37" t="str">
        <x:v>641.08</x:v>
      </x:c>
      <x:c r="J2996" s="37" t="str">
        <x:v>0.00</x:v>
      </x:c>
      <x:c r="K2996" s="37" t="str">
        <x:v>161.06</x:v>
      </x:c>
      <x:c r="L2996" s="37" t="str">
        <x:v>1442</x:v>
      </x:c>
      <x:c r="M2996" s="29" t="str">
        <x:v>713.96</x:v>
      </x:c>
      <x:c r="N2996" s="29" t="str">
        <x:v>535.62</x:v>
      </x:c>
      <x:c r="O2996" s="29" t="str">
        <x:v>178.34</x:v>
      </x:c>
      <x:c r="P2996" s="18" t="str">
        <x:v>2026-06-17</x:v>
      </x:c>
      <x:c r="Q2996" s="36" t="n">
        <x:v>46190</x:v>
      </x:c>
    </x:row>
    <x:row r="2997">
      <x:c r="A2997" s="36" t="str">
        <x:v>2026-06-17</x:v>
      </x:c>
      <x:c r="B2997" s="18" t="str">
        <x:v>101437000_98013</x:v>
      </x:c>
      <x:c r="C2997" s="18" t="str">
        <x:v>【沪村小电】恒大滨江华府充电站</x:v>
      </x:c>
      <x:c r="D2997" s="37" t="str">
        <x:v>4</x:v>
      </x:c>
      <x:c r="E2997" s="37" t="str">
        <x:v>0</x:v>
      </x:c>
      <x:c r="F2997" s="37" t="str">
        <x:v>1</x:v>
      </x:c>
      <x:c r="G2997" s="37" t="str">
        <x:v>9.07</x:v>
      </x:c>
      <x:c r="H2997" s="37" t="str">
        <x:v>0.00</x:v>
      </x:c>
      <x:c r="I2997" s="37" t="str">
        <x:v>9.07</x:v>
      </x:c>
      <x:c r="J2997" s="37" t="str">
        <x:v>0.00</x:v>
      </x:c>
      <x:c r="K2997" s="37" t="str">
        <x:v>0.00</x:v>
      </x:c>
      <x:c r="L2997" s="37" t="str">
        <x:v>8</x:v>
      </x:c>
      <x:c r="M2997" s="29" t="str">
        <x:v>10.34</x:v>
      </x:c>
      <x:c r="N2997" s="29" t="str">
        <x:v>9.43</x:v>
      </x:c>
      <x:c r="O2997" s="29" t="str">
        <x:v>0.91</x:v>
      </x:c>
      <x:c r="P2997" s="18" t="str">
        <x:v>2026-06-17</x:v>
      </x:c>
      <x:c r="Q2997" s="36" t="n">
        <x:v>46190</x:v>
      </x:c>
    </x:row>
    <x:row r="2998">
      <x:c r="A2998" s="36" t="str">
        <x:v>2026-06-17</x:v>
      </x:c>
      <x:c r="B2998" s="18" t="str">
        <x:v>101437000_98863</x:v>
      </x:c>
      <x:c r="C2998" s="18" t="str">
        <x:v>【沪村小电】欣菊苑充电站</x:v>
      </x:c>
      <x:c r="D2998" s="37" t="str">
        <x:v>4</x:v>
      </x:c>
      <x:c r="E2998" s="37" t="str">
        <x:v>0</x:v>
      </x:c>
      <x:c r="F2998" s="37" t="str">
        <x:v>4</x:v>
      </x:c>
      <x:c r="G2998" s="37" t="str">
        <x:v>66.81</x:v>
      </x:c>
      <x:c r="H2998" s="37" t="str">
        <x:v>0.00</x:v>
      </x:c>
      <x:c r="I2998" s="37" t="str">
        <x:v>66.81</x:v>
      </x:c>
      <x:c r="J2998" s="37" t="str">
        <x:v>0.00</x:v>
      </x:c>
      <x:c r="K2998" s="37" t="str">
        <x:v>0.00</x:v>
      </x:c>
      <x:c r="L2998" s="37" t="str">
        <x:v>141</x:v>
      </x:c>
      <x:c r="M2998" s="29" t="str">
        <x:v>56.99</x:v>
      </x:c>
      <x:c r="N2998" s="29" t="str">
        <x:v>49.44</x:v>
      </x:c>
      <x:c r="O2998" s="29" t="str">
        <x:v>7.55</x:v>
      </x:c>
      <x:c r="P2998" s="18" t="str">
        <x:v>2026-06-17</x:v>
      </x:c>
      <x:c r="Q2998" s="36" t="n">
        <x:v>46190</x:v>
      </x:c>
    </x:row>
    <x:row r="2999">
      <x:c r="A2999" s="36" t="str">
        <x:v>2026-06-17</x:v>
      </x:c>
      <x:c r="B2999" s="18" t="str">
        <x:v>101437000_98865</x:v>
      </x:c>
      <x:c r="C2999" s="18" t="str">
        <x:v>【沪村小电】欣松苑充电站</x:v>
      </x:c>
      <x:c r="D2999" s="37" t="str">
        <x:v>4</x:v>
      </x:c>
      <x:c r="E2999" s="37" t="str">
        <x:v>0</x:v>
      </x:c>
      <x:c r="F2999" s="37" t="str">
        <x:v>1</x:v>
      </x:c>
      <x:c r="G2999" s="37" t="str">
        <x:v>7.51</x:v>
      </x:c>
      <x:c r="H2999" s="37" t="str">
        <x:v>0.00</x:v>
      </x:c>
      <x:c r="I2999" s="37" t="str">
        <x:v>7.51</x:v>
      </x:c>
      <x:c r="J2999" s="37" t="str">
        <x:v>0.00</x:v>
      </x:c>
      <x:c r="K2999" s="37" t="str">
        <x:v>0.00</x:v>
      </x:c>
      <x:c r="L2999" s="37" t="str">
        <x:v>17</x:v>
      </x:c>
      <x:c r="M2999" s="29" t="str">
        <x:v>8.64</x:v>
      </x:c>
      <x:c r="N2999" s="29" t="str">
        <x:v>5.56</x:v>
      </x:c>
      <x:c r="O2999" s="29" t="str">
        <x:v>3.08</x:v>
      </x:c>
      <x:c r="P2999" s="18" t="str">
        <x:v>2026-06-17</x:v>
      </x:c>
      <x:c r="Q2999" s="36" t="n">
        <x:v>46190</x:v>
      </x:c>
    </x:row>
    <x:row r="3000">
      <x:c r="A3000" s="36" t="str">
        <x:v>2026-06-17</x:v>
      </x:c>
      <x:c r="B3000" s="18" t="str">
        <x:v>101437000_98867</x:v>
      </x:c>
      <x:c r="C3000" s="18" t="str">
        <x:v>【沪村小电】欣荷苑充电站</x:v>
      </x:c>
      <x:c r="D3000" s="37" t="str">
        <x:v>4</x:v>
      </x:c>
      <x:c r="E3000" s="37" t="str">
        <x:v>0</x:v>
      </x:c>
      <x:c r="F3000" s="37" t="str">
        <x:v>2</x:v>
      </x:c>
      <x:c r="G3000" s="37" t="str">
        <x:v>55.08</x:v>
      </x:c>
      <x:c r="H3000" s="37" t="str">
        <x:v>0.00</x:v>
      </x:c>
      <x:c r="I3000" s="37" t="str">
        <x:v>19.18</x:v>
      </x:c>
      <x:c r="J3000" s="37" t="str">
        <x:v>0.00</x:v>
      </x:c>
      <x:c r="K3000" s="37" t="str">
        <x:v>35.90</x:v>
      </x:c>
      <x:c r="L3000" s="37" t="str">
        <x:v>79</x:v>
      </x:c>
      <x:c r="M3000" s="29" t="str">
        <x:v>37.72</x:v>
      </x:c>
      <x:c r="N3000" s="29" t="str">
        <x:v>27.84</x:v>
      </x:c>
      <x:c r="O3000" s="29" t="str">
        <x:v>9.88</x:v>
      </x:c>
      <x:c r="P3000" s="18" t="str">
        <x:v>2026-06-17</x:v>
      </x:c>
      <x:c r="Q3000" s="36" t="n">
        <x:v>46190</x:v>
      </x:c>
    </x:row>
    <x:row r="3001">
      <x:c r="A3001" s="36" t="str">
        <x:v>2026-06-17</x:v>
      </x:c>
      <x:c r="B3001" s="18" t="str">
        <x:v>101437000_99885</x:v>
      </x:c>
      <x:c r="C3001" s="18" t="str">
        <x:v>【沪村小电】汇丰馨苑充电站</x:v>
      </x:c>
      <x:c r="D3001" s="37" t="str">
        <x:v>4</x:v>
      </x:c>
      <x:c r="E3001" s="37" t="str">
        <x:v>0</x:v>
      </x:c>
      <x:c r="F3001" s="37" t="str">
        <x:v>12</x:v>
      </x:c>
      <x:c r="G3001" s="37" t="str">
        <x:v>164.27</x:v>
      </x:c>
      <x:c r="H3001" s="37" t="str">
        <x:v>0.00</x:v>
      </x:c>
      <x:c r="I3001" s="37" t="str">
        <x:v>24.22</x:v>
      </x:c>
      <x:c r="J3001" s="37" t="str">
        <x:v>127.73</x:v>
      </x:c>
      <x:c r="K3001" s="37" t="str">
        <x:v>12.32</x:v>
      </x:c>
      <x:c r="L3001" s="37" t="str">
        <x:v>382</x:v>
      </x:c>
      <x:c r="M3001" s="29" t="str">
        <x:v>159.02</x:v>
      </x:c>
      <x:c r="N3001" s="29" t="str">
        <x:v>121.78</x:v>
      </x:c>
      <x:c r="O3001" s="29" t="str">
        <x:v>37.24</x:v>
      </x:c>
      <x:c r="P3001" s="18" t="str">
        <x:v>2026-06-17</x:v>
      </x:c>
      <x:c r="Q3001" s="36" t="n">
        <x:v>46190</x:v>
      </x:c>
    </x:row>
    <x:row r="3002">
      <x:c r="A3002" s="36" t="str">
        <x:v>2026-06-17</x:v>
      </x:c>
      <x:c r="B3002" s="18" t="str">
        <x:v>101437000_99887</x:v>
      </x:c>
      <x:c r="C3002" s="18" t="str">
        <x:v>【沪村小电】新南村河南小区充电站</x:v>
      </x:c>
      <x:c r="D3002" s="37" t="str">
        <x:v>2</x:v>
      </x:c>
      <x:c r="E3002" s="37" t="str">
        <x:v>0</x:v>
      </x:c>
      <x:c r="F3002" s="37" t="str">
        <x:v>2</x:v>
      </x:c>
      <x:c r="G3002" s="37" t="str">
        <x:v>39.47</x:v>
      </x:c>
      <x:c r="H3002" s="37" t="str">
        <x:v>0.00</x:v>
      </x:c>
      <x:c r="I3002" s="37" t="str">
        <x:v>39.47</x:v>
      </x:c>
      <x:c r="J3002" s="37" t="str">
        <x:v>0.00</x:v>
      </x:c>
      <x:c r="K3002" s="37" t="str">
        <x:v>0.00</x:v>
      </x:c>
      <x:c r="L3002" s="37" t="str">
        <x:v>39</x:v>
      </x:c>
      <x:c r="M3002" s="29" t="str">
        <x:v>39.90</x:v>
      </x:c>
      <x:c r="N3002" s="29" t="str">
        <x:v>29.21</x:v>
      </x:c>
      <x:c r="O3002" s="29" t="str">
        <x:v>10.69</x:v>
      </x:c>
      <x:c r="P3002" s="18" t="str">
        <x:v>2026-06-17</x:v>
      </x:c>
      <x:c r="Q3002" s="36" t="n">
        <x:v>46190</x:v>
      </x:c>
    </x:row>
    <x:row r="3003">
      <x:c r="A3003" s="36" t="str">
        <x:v>2026-06-17</x:v>
      </x:c>
      <x:c r="B3003" s="18" t="str">
        <x:v>101437000_99889</x:v>
      </x:c>
      <x:c r="C3003" s="18" t="str">
        <x:v>【沪村小电】漕泾郊野公园</x:v>
      </x:c>
      <x:c r="D3003" s="37" t="str">
        <x:v>2</x:v>
      </x:c>
      <x:c r="E3003" s="37" t="str">
        <x:v>0</x:v>
      </x:c>
      <x:c r="F3003" s="37" t="str">
        <x:v>3</x:v>
      </x:c>
      <x:c r="G3003" s="37" t="str">
        <x:v>79.40</x:v>
      </x:c>
      <x:c r="H3003" s="37" t="str">
        <x:v>0.00</x:v>
      </x:c>
      <x:c r="I3003" s="37" t="str">
        <x:v>39.68</x:v>
      </x:c>
      <x:c r="J3003" s="37" t="str">
        <x:v>39.72</x:v>
      </x:c>
      <x:c r="K3003" s="37" t="str">
        <x:v>0.00</x:v>
      </x:c>
      <x:c r="L3003" s="37" t="str">
        <x:v>127</x:v>
      </x:c>
      <x:c r="M3003" s="29" t="str">
        <x:v>84.91</x:v>
      </x:c>
      <x:c r="N3003" s="29" t="str">
        <x:v>66.30</x:v>
      </x:c>
      <x:c r="O3003" s="29" t="str">
        <x:v>18.61</x:v>
      </x:c>
      <x:c r="P3003" s="18" t="str">
        <x:v>2026-06-17</x:v>
      </x:c>
      <x:c r="Q3003" s="36" t="n">
        <x:v>46190</x:v>
      </x:c>
    </x:row>
    <x:row r="3004">
      <x:c r="A3004" s="36" t="str">
        <x:v>2026-06-16</x:v>
      </x:c>
      <x:c r="B3004" s="18" t="str">
        <x:v>101437000_41561</x:v>
      </x:c>
      <x:c r="C3004" s="18" t="str">
        <x:v>【沪村小电】张施小区大门处快充站</x:v>
      </x:c>
      <x:c r="D3004" s="37" t="str">
        <x:v>2</x:v>
      </x:c>
      <x:c r="E3004" s="37" t="str">
        <x:v>0</x:v>
      </x:c>
      <x:c r="F3004" s="37" t="str">
        <x:v>37</x:v>
      </x:c>
      <x:c r="G3004" s="37" t="str">
        <x:v>1056.57</x:v>
      </x:c>
      <x:c r="H3004" s="37" t="str">
        <x:v>0.00</x:v>
      </x:c>
      <x:c r="I3004" s="37" t="str">
        <x:v>570.55</x:v>
      </x:c>
      <x:c r="J3004" s="37" t="str">
        <x:v>0.00</x:v>
      </x:c>
      <x:c r="K3004" s="37" t="str">
        <x:v>486.02</x:v>
      </x:c>
      <x:c r="L3004" s="37" t="str">
        <x:v>1732</x:v>
      </x:c>
      <x:c r="M3004" s="29" t="str">
        <x:v>827.19</x:v>
      </x:c>
      <x:c r="N3004" s="29" t="str">
        <x:v>606.88</x:v>
      </x:c>
      <x:c r="O3004" s="29" t="str">
        <x:v>220.31</x:v>
      </x:c>
      <x:c r="P3004" s="18" t="str">
        <x:v>2026-06-16</x:v>
      </x:c>
      <x:c r="Q3004" s="36" t="n">
        <x:v>46189</x:v>
      </x:c>
    </x:row>
    <x:row r="3005">
      <x:c r="A3005" s="36" t="str">
        <x:v>2026-06-16</x:v>
      </x:c>
      <x:c r="B3005" s="18" t="str">
        <x:v>101437000_41563</x:v>
      </x:c>
      <x:c r="C3005" s="18" t="str">
        <x:v>【沪村小电】同心村快充站</x:v>
      </x:c>
      <x:c r="D3005" s="37" t="str">
        <x:v>4</x:v>
      </x:c>
      <x:c r="E3005" s="37" t="str">
        <x:v>0</x:v>
      </x:c>
      <x:c r="F3005" s="37" t="str">
        <x:v>68</x:v>
      </x:c>
      <x:c r="G3005" s="37" t="str">
        <x:v>1343.28</x:v>
      </x:c>
      <x:c r="H3005" s="37" t="str">
        <x:v>0.00</x:v>
      </x:c>
      <x:c r="I3005" s="37" t="str">
        <x:v>957.28</x:v>
      </x:c>
      <x:c r="J3005" s="37" t="str">
        <x:v>0.00</x:v>
      </x:c>
      <x:c r="K3005" s="37" t="str">
        <x:v>386.00</x:v>
      </x:c>
      <x:c r="L3005" s="37" t="str">
        <x:v>3034</x:v>
      </x:c>
      <x:c r="M3005" s="29" t="str">
        <x:v>1121.99</x:v>
      </x:c>
      <x:c r="N3005" s="29" t="str">
        <x:v>799.48</x:v>
      </x:c>
      <x:c r="O3005" s="29" t="str">
        <x:v>322.51</x:v>
      </x:c>
      <x:c r="P3005" s="18" t="str">
        <x:v>2026-06-16</x:v>
      </x:c>
      <x:c r="Q3005" s="36" t="n">
        <x:v>46189</x:v>
      </x:c>
    </x:row>
    <x:row r="3006">
      <x:c r="A3006" s="36" t="str">
        <x:v>2026-06-16</x:v>
      </x:c>
      <x:c r="B3006" s="18" t="str">
        <x:v>101437000_69629</x:v>
      </x:c>
      <x:c r="C3006" s="18" t="str">
        <x:v>【沪村小电】骏丰玲珑坊西苑充电站</x:v>
      </x:c>
      <x:c r="D3006" s="37" t="str">
        <x:v>2</x:v>
      </x:c>
      <x:c r="E3006" s="37" t="str">
        <x:v>0</x:v>
      </x:c>
      <x:c r="F3006" s="37" t="str">
        <x:v>49</x:v>
      </x:c>
      <x:c r="G3006" s="37" t="str">
        <x:v>1097.24</x:v>
      </x:c>
      <x:c r="H3006" s="37" t="str">
        <x:v>0.00</x:v>
      </x:c>
      <x:c r="I3006" s="37" t="str">
        <x:v>557.28</x:v>
      </x:c>
      <x:c r="J3006" s="37" t="str">
        <x:v>0.00</x:v>
      </x:c>
      <x:c r="K3006" s="37" t="str">
        <x:v>539.96</x:v>
      </x:c>
      <x:c r="L3006" s="37" t="str">
        <x:v>1900</x:v>
      </x:c>
      <x:c r="M3006" s="29" t="str">
        <x:v>914.50</x:v>
      </x:c>
      <x:c r="N3006" s="29" t="str">
        <x:v>617.59</x:v>
      </x:c>
      <x:c r="O3006" s="29" t="str">
        <x:v>296.91</x:v>
      </x:c>
      <x:c r="P3006" s="18" t="str">
        <x:v>2026-06-16</x:v>
      </x:c>
      <x:c r="Q3006" s="36" t="n">
        <x:v>46189</x:v>
      </x:c>
    </x:row>
    <x:row r="3007">
      <x:c r="A3007" s="36" t="str">
        <x:v>2026-06-16</x:v>
      </x:c>
      <x:c r="B3007" s="18" t="str">
        <x:v>101437000_70547</x:v>
      </x:c>
      <x:c r="C3007" s="18" t="str">
        <x:v>【沪村小电】农建村初心馆党群服务中心充电站</x:v>
      </x:c>
      <x:c r="D3007" s="37" t="str">
        <x:v>4</x:v>
      </x:c>
      <x:c r="E3007" s="37" t="str">
        <x:v>0</x:v>
      </x:c>
      <x:c r="F3007" s="37" t="str">
        <x:v>25</x:v>
      </x:c>
      <x:c r="G3007" s="37" t="str">
        <x:v>560.25</x:v>
      </x:c>
      <x:c r="H3007" s="37" t="str">
        <x:v>0.00</x:v>
      </x:c>
      <x:c r="I3007" s="37" t="str">
        <x:v>203.45</x:v>
      </x:c>
      <x:c r="J3007" s="37" t="str">
        <x:v>0.00</x:v>
      </x:c>
      <x:c r="K3007" s="37" t="str">
        <x:v>356.80</x:v>
      </x:c>
      <x:c r="L3007" s="37" t="str">
        <x:v>969</x:v>
      </x:c>
      <x:c r="M3007" s="29" t="str">
        <x:v>477.81</x:v>
      </x:c>
      <x:c r="N3007" s="29" t="str">
        <x:v>400.69</x:v>
      </x:c>
      <x:c r="O3007" s="29" t="str">
        <x:v>77.12</x:v>
      </x:c>
      <x:c r="P3007" s="18" t="str">
        <x:v>2026-06-16</x:v>
      </x:c>
      <x:c r="Q3007" s="36" t="n">
        <x:v>46189</x:v>
      </x:c>
    </x:row>
    <x:row r="3008">
      <x:c r="A3008" s="36" t="str">
        <x:v>2026-06-16</x:v>
      </x:c>
      <x:c r="B3008" s="18" t="str">
        <x:v>101437000_70549</x:v>
      </x:c>
      <x:c r="C3008" s="18" t="str">
        <x:v>【沪村小电】学府路充电站</x:v>
      </x:c>
      <x:c r="D3008" s="37" t="str">
        <x:v>2</x:v>
      </x:c>
      <x:c r="E3008" s="37" t="str">
        <x:v>0</x:v>
      </x:c>
      <x:c r="F3008" s="37" t="str">
        <x:v>10</x:v>
      </x:c>
      <x:c r="G3008" s="37" t="str">
        <x:v>244.68</x:v>
      </x:c>
      <x:c r="H3008" s="37" t="str">
        <x:v>0.00</x:v>
      </x:c>
      <x:c r="I3008" s="37" t="str">
        <x:v>156.19</x:v>
      </x:c>
      <x:c r="J3008" s="37" t="str">
        <x:v>0.00</x:v>
      </x:c>
      <x:c r="K3008" s="37" t="str">
        <x:v>88.49</x:v>
      </x:c>
      <x:c r="L3008" s="37" t="str">
        <x:v>444</x:v>
      </x:c>
      <x:c r="M3008" s="29" t="str">
        <x:v>245.14</x:v>
      </x:c>
      <x:c r="N3008" s="29" t="str">
        <x:v>209.32</x:v>
      </x:c>
      <x:c r="O3008" s="29" t="str">
        <x:v>35.82</x:v>
      </x:c>
      <x:c r="P3008" s="18" t="str">
        <x:v>2026-06-16</x:v>
      </x:c>
      <x:c r="Q3008" s="36" t="n">
        <x:v>46189</x:v>
      </x:c>
    </x:row>
    <x:row r="3009">
      <x:c r="A3009" s="36" t="str">
        <x:v>2026-06-16</x:v>
      </x:c>
      <x:c r="B3009" s="18" t="str">
        <x:v>101437000_71059</x:v>
      </x:c>
      <x:c r="C3009" s="18" t="str">
        <x:v>【沪村小电】宝乐汇商业广场站</x:v>
      </x:c>
      <x:c r="D3009" s="37" t="str">
        <x:v>4</x:v>
      </x:c>
      <x:c r="E3009" s="37" t="str">
        <x:v>0</x:v>
      </x:c>
      <x:c r="F3009" s="37" t="str">
        <x:v>10</x:v>
      </x:c>
      <x:c r="G3009" s="37" t="str">
        <x:v>133.57</x:v>
      </x:c>
      <x:c r="H3009" s="37" t="str">
        <x:v>0.00</x:v>
      </x:c>
      <x:c r="I3009" s="37" t="str">
        <x:v>89.68</x:v>
      </x:c>
      <x:c r="J3009" s="37" t="str">
        <x:v>12.80</x:v>
      </x:c>
      <x:c r="K3009" s="37" t="str">
        <x:v>31.09</x:v>
      </x:c>
      <x:c r="L3009" s="37" t="str">
        <x:v>241</x:v>
      </x:c>
      <x:c r="M3009" s="29" t="str">
        <x:v>159.39</x:v>
      </x:c>
      <x:c r="N3009" s="29" t="str">
        <x:v>117.93</x:v>
      </x:c>
      <x:c r="O3009" s="29" t="str">
        <x:v>41.46</x:v>
      </x:c>
      <x:c r="P3009" s="18" t="str">
        <x:v>2026-06-16</x:v>
      </x:c>
      <x:c r="Q3009" s="36" t="n">
        <x:v>46189</x:v>
      </x:c>
    </x:row>
    <x:row r="3010">
      <x:c r="A3010" s="36" t="str">
        <x:v>2026-06-16</x:v>
      </x:c>
      <x:c r="B3010" s="18" t="str">
        <x:v>101437000_72541</x:v>
      </x:c>
      <x:c r="C3010" s="18" t="str">
        <x:v>【沪村小电】九干路1174弄充电站</x:v>
      </x:c>
      <x:c r="D3010" s="37" t="str">
        <x:v>2</x:v>
      </x:c>
      <x:c r="E3010" s="37" t="str">
        <x:v>0</x:v>
      </x:c>
      <x:c r="F3010" s="37" t="str">
        <x:v>27</x:v>
      </x:c>
      <x:c r="G3010" s="37" t="str">
        <x:v>583.73</x:v>
      </x:c>
      <x:c r="H3010" s="37" t="str">
        <x:v>0.00</x:v>
      </x:c>
      <x:c r="I3010" s="37" t="str">
        <x:v>490.82</x:v>
      </x:c>
      <x:c r="J3010" s="37" t="str">
        <x:v>0.00</x:v>
      </x:c>
      <x:c r="K3010" s="37" t="str">
        <x:v>92.91</x:v>
      </x:c>
      <x:c r="L3010" s="37" t="str">
        <x:v>1301</x:v>
      </x:c>
      <x:c r="M3010" s="29" t="str">
        <x:v>544.72</x:v>
      </x:c>
      <x:c r="N3010" s="29" t="str">
        <x:v>398.52</x:v>
      </x:c>
      <x:c r="O3010" s="29" t="str">
        <x:v>146.20</x:v>
      </x:c>
      <x:c r="P3010" s="18" t="str">
        <x:v>2026-06-16</x:v>
      </x:c>
      <x:c r="Q3010" s="36" t="n">
        <x:v>46189</x:v>
      </x:c>
    </x:row>
    <x:row r="3011">
      <x:c r="A3011" s="36" t="str">
        <x:v>2026-06-16</x:v>
      </x:c>
      <x:c r="B3011" s="18" t="str">
        <x:v>101437000_72543</x:v>
      </x:c>
      <x:c r="C3011" s="18" t="str">
        <x:v>【沪村小电】叶家中心村小区充电站</x:v>
      </x:c>
      <x:c r="D3011" s="37" t="str">
        <x:v>2</x:v>
      </x:c>
      <x:c r="E3011" s="37" t="str">
        <x:v>0</x:v>
      </x:c>
      <x:c r="F3011" s="37" t="str">
        <x:v>42</x:v>
      </x:c>
      <x:c r="G3011" s="37" t="str">
        <x:v>915.53</x:v>
      </x:c>
      <x:c r="H3011" s="37" t="str">
        <x:v>0.00</x:v>
      </x:c>
      <x:c r="I3011" s="37" t="str">
        <x:v>353.12</x:v>
      </x:c>
      <x:c r="J3011" s="37" t="str">
        <x:v>0.00</x:v>
      </x:c>
      <x:c r="K3011" s="37" t="str">
        <x:v>562.41</x:v>
      </x:c>
      <x:c r="L3011" s="37" t="str">
        <x:v>1577</x:v>
      </x:c>
      <x:c r="M3011" s="29" t="str">
        <x:v>668.31</x:v>
      </x:c>
      <x:c r="N3011" s="29" t="str">
        <x:v>475.00</x:v>
      </x:c>
      <x:c r="O3011" s="29" t="str">
        <x:v>193.31</x:v>
      </x:c>
      <x:c r="P3011" s="18" t="str">
        <x:v>2026-06-16</x:v>
      </x:c>
      <x:c r="Q3011" s="36" t="n">
        <x:v>46189</x:v>
      </x:c>
    </x:row>
    <x:row r="3012">
      <x:c r="A3012" s="36" t="str">
        <x:v>2026-06-16</x:v>
      </x:c>
      <x:c r="B3012" s="18" t="str">
        <x:v>101437000_72937</x:v>
      </x:c>
      <x:c r="C3012" s="18" t="str">
        <x:v>【沪村小电】佘北家园茸腾苑充电站</x:v>
      </x:c>
      <x:c r="D3012" s="37" t="str">
        <x:v>4</x:v>
      </x:c>
      <x:c r="E3012" s="37" t="str">
        <x:v>0</x:v>
      </x:c>
      <x:c r="F3012" s="37" t="str">
        <x:v>8</x:v>
      </x:c>
      <x:c r="G3012" s="37" t="str">
        <x:v>164.00</x:v>
      </x:c>
      <x:c r="H3012" s="37" t="str">
        <x:v>0.00</x:v>
      </x:c>
      <x:c r="I3012" s="37" t="str">
        <x:v>164.00</x:v>
      </x:c>
      <x:c r="J3012" s="37" t="str">
        <x:v>0.00</x:v>
      </x:c>
      <x:c r="K3012" s="37" t="str">
        <x:v>0.00</x:v>
      </x:c>
      <x:c r="L3012" s="37" t="str">
        <x:v>269</x:v>
      </x:c>
      <x:c r="M3012" s="29" t="str">
        <x:v>149.18</x:v>
      </x:c>
      <x:c r="N3012" s="29" t="str">
        <x:v>121.36</x:v>
      </x:c>
      <x:c r="O3012" s="29" t="str">
        <x:v>27.82</x:v>
      </x:c>
      <x:c r="P3012" s="18" t="str">
        <x:v>2026-06-16</x:v>
      </x:c>
      <x:c r="Q3012" s="36" t="n">
        <x:v>46189</x:v>
      </x:c>
    </x:row>
    <x:row r="3013">
      <x:c r="A3013" s="36" t="str">
        <x:v>2026-06-16</x:v>
      </x:c>
      <x:c r="B3013" s="18" t="str">
        <x:v>101437000_74223</x:v>
      </x:c>
      <x:c r="C3013" s="18" t="str">
        <x:v>【沪村小电】中兴村委会充电站</x:v>
      </x:c>
      <x:c r="D3013" s="37" t="str">
        <x:v>2</x:v>
      </x:c>
      <x:c r="E3013" s="37" t="str">
        <x:v>0</x:v>
      </x:c>
      <x:c r="F3013" s="37" t="str">
        <x:v>15</x:v>
      </x:c>
      <x:c r="G3013" s="37" t="str">
        <x:v>445.84</x:v>
      </x:c>
      <x:c r="H3013" s="37" t="str">
        <x:v>0.00</x:v>
      </x:c>
      <x:c r="I3013" s="37" t="str">
        <x:v>186.33</x:v>
      </x:c>
      <x:c r="J3013" s="37" t="str">
        <x:v>0.00</x:v>
      </x:c>
      <x:c r="K3013" s="37" t="str">
        <x:v>259.51</x:v>
      </x:c>
      <x:c r="L3013" s="37" t="str">
        <x:v>540</x:v>
      </x:c>
      <x:c r="M3013" s="29" t="str">
        <x:v>401.32</x:v>
      </x:c>
      <x:c r="N3013" s="29" t="str">
        <x:v>331.33</x:v>
      </x:c>
      <x:c r="O3013" s="29" t="str">
        <x:v>69.99</x:v>
      </x:c>
      <x:c r="P3013" s="18" t="str">
        <x:v>2026-06-16</x:v>
      </x:c>
      <x:c r="Q3013" s="36" t="n">
        <x:v>46189</x:v>
      </x:c>
    </x:row>
    <x:row r="3014">
      <x:c r="A3014" s="36" t="str">
        <x:v>2026-06-16</x:v>
      </x:c>
      <x:c r="B3014" s="18" t="str">
        <x:v>101437000_74801</x:v>
      </x:c>
      <x:c r="C3014" s="18" t="str">
        <x:v>【沪村小电】申良花园充电站</x:v>
      </x:c>
      <x:c r="D3014" s="37" t="str">
        <x:v>4</x:v>
      </x:c>
      <x:c r="E3014" s="37" t="str">
        <x:v>0</x:v>
      </x:c>
      <x:c r="F3014" s="37" t="str">
        <x:v>6</x:v>
      </x:c>
      <x:c r="G3014" s="37" t="str">
        <x:v>174.89</x:v>
      </x:c>
      <x:c r="H3014" s="37" t="str">
        <x:v>0.00</x:v>
      </x:c>
      <x:c r="I3014" s="37" t="str">
        <x:v>113.58</x:v>
      </x:c>
      <x:c r="J3014" s="37" t="str">
        <x:v>0.00</x:v>
      </x:c>
      <x:c r="K3014" s="37" t="str">
        <x:v>61.31</x:v>
      </x:c>
      <x:c r="L3014" s="37" t="str">
        <x:v>190</x:v>
      </x:c>
      <x:c r="M3014" s="29" t="str">
        <x:v>155.18</x:v>
      </x:c>
      <x:c r="N3014" s="29" t="str">
        <x:v>107.33</x:v>
      </x:c>
      <x:c r="O3014" s="29" t="str">
        <x:v>47.85</x:v>
      </x:c>
      <x:c r="P3014" s="18" t="str">
        <x:v>2026-06-16</x:v>
      </x:c>
      <x:c r="Q3014" s="36" t="n">
        <x:v>46189</x:v>
      </x:c>
    </x:row>
    <x:row r="3015">
      <x:c r="A3015" s="36" t="str">
        <x:v>2026-06-16</x:v>
      </x:c>
      <x:c r="B3015" s="18" t="str">
        <x:v>101437000_74931</x:v>
      </x:c>
      <x:c r="C3015" s="18" t="str">
        <x:v>【沪村小电】枫雅南居充电站</x:v>
      </x:c>
      <x:c r="D3015" s="37" t="str">
        <x:v>2</x:v>
      </x:c>
      <x:c r="E3015" s="37" t="str">
        <x:v>0</x:v>
      </x:c>
      <x:c r="F3015" s="37" t="str">
        <x:v>9</x:v>
      </x:c>
      <x:c r="G3015" s="37" t="str">
        <x:v>184.44</x:v>
      </x:c>
      <x:c r="H3015" s="37" t="str">
        <x:v>0.00</x:v>
      </x:c>
      <x:c r="I3015" s="37" t="str">
        <x:v>165.45</x:v>
      </x:c>
      <x:c r="J3015" s="37" t="str">
        <x:v>0.00</x:v>
      </x:c>
      <x:c r="K3015" s="37" t="str">
        <x:v>19.00</x:v>
      </x:c>
      <x:c r="L3015" s="37" t="str">
        <x:v>393</x:v>
      </x:c>
      <x:c r="M3015" s="29" t="str">
        <x:v>142.07</x:v>
      </x:c>
      <x:c r="N3015" s="29" t="str">
        <x:v>103.49</x:v>
      </x:c>
      <x:c r="O3015" s="29" t="str">
        <x:v>38.58</x:v>
      </x:c>
      <x:c r="P3015" s="18" t="str">
        <x:v>2026-06-16</x:v>
      </x:c>
      <x:c r="Q3015" s="36" t="n">
        <x:v>46189</x:v>
      </x:c>
    </x:row>
    <x:row r="3016">
      <x:c r="A3016" s="36" t="str">
        <x:v>2026-06-16</x:v>
      </x:c>
      <x:c r="B3016" s="18" t="str">
        <x:v>101437000_75901</x:v>
      </x:c>
      <x:c r="C3016" s="18" t="str">
        <x:v>【沪村小电】金悦学府</x:v>
      </x:c>
      <x:c r="D3016" s="37" t="str">
        <x:v>2</x:v>
      </x:c>
      <x:c r="E3016" s="37" t="str">
        <x:v>0</x:v>
      </x:c>
      <x:c r="F3016" s="37" t="str">
        <x:v>22</x:v>
      </x:c>
      <x:c r="G3016" s="37" t="str">
        <x:v>495.12</x:v>
      </x:c>
      <x:c r="H3016" s="37" t="str">
        <x:v>0.00</x:v>
      </x:c>
      <x:c r="I3016" s="37" t="str">
        <x:v>368.76</x:v>
      </x:c>
      <x:c r="J3016" s="37" t="str">
        <x:v>0.00</x:v>
      </x:c>
      <x:c r="K3016" s="37" t="str">
        <x:v>126.37</x:v>
      </x:c>
      <x:c r="L3016" s="37" t="str">
        <x:v>788</x:v>
      </x:c>
      <x:c r="M3016" s="29" t="str">
        <x:v>413.69</x:v>
      </x:c>
      <x:c r="N3016" s="29" t="str">
        <x:v>256.73</x:v>
      </x:c>
      <x:c r="O3016" s="29" t="str">
        <x:v>156.96</x:v>
      </x:c>
      <x:c r="P3016" s="18" t="str">
        <x:v>2026-06-16</x:v>
      </x:c>
      <x:c r="Q3016" s="36" t="n">
        <x:v>46189</x:v>
      </x:c>
    </x:row>
    <x:row r="3017">
      <x:c r="A3017" s="36" t="str">
        <x:v>2026-06-16</x:v>
      </x:c>
      <x:c r="B3017" s="18" t="str">
        <x:v>101437000_76091</x:v>
      </x:c>
      <x:c r="C3017" s="18" t="str">
        <x:v>【沪村小电】恒信家园充电站</x:v>
      </x:c>
      <x:c r="D3017" s="37" t="str">
        <x:v>2</x:v>
      </x:c>
      <x:c r="E3017" s="37" t="str">
        <x:v>0</x:v>
      </x:c>
      <x:c r="F3017" s="37" t="str">
        <x:v>34</x:v>
      </x:c>
      <x:c r="G3017" s="37" t="str">
        <x:v>805.32</x:v>
      </x:c>
      <x:c r="H3017" s="37" t="str">
        <x:v>0.00</x:v>
      </x:c>
      <x:c r="I3017" s="37" t="str">
        <x:v>446.64</x:v>
      </x:c>
      <x:c r="J3017" s="37" t="str">
        <x:v>0.00</x:v>
      </x:c>
      <x:c r="K3017" s="37" t="str">
        <x:v>358.68</x:v>
      </x:c>
      <x:c r="L3017" s="37" t="str">
        <x:v>1487</x:v>
      </x:c>
      <x:c r="M3017" s="29" t="str">
        <x:v>714.39</x:v>
      </x:c>
      <x:c r="N3017" s="29" t="str">
        <x:v>466.81</x:v>
      </x:c>
      <x:c r="O3017" s="29" t="str">
        <x:v>247.58</x:v>
      </x:c>
      <x:c r="P3017" s="18" t="str">
        <x:v>2026-06-16</x:v>
      </x:c>
      <x:c r="Q3017" s="36" t="n">
        <x:v>46189</x:v>
      </x:c>
    </x:row>
    <x:row r="3018">
      <x:c r="A3018" s="36" t="str">
        <x:v>2026-06-16</x:v>
      </x:c>
      <x:c r="B3018" s="18" t="str">
        <x:v>101437000_78235</x:v>
      </x:c>
      <x:c r="C3018" s="18" t="str">
        <x:v>【沪村小电】欣秋苑充电站</x:v>
      </x:c>
      <x:c r="D3018" s="37" t="str">
        <x:v>4</x:v>
      </x:c>
      <x:c r="E3018" s="37" t="str">
        <x:v>0</x:v>
      </x:c>
      <x:c r="F3018" s="37" t="str">
        <x:v>16</x:v>
      </x:c>
      <x:c r="G3018" s="37" t="str">
        <x:v>359.65</x:v>
      </x:c>
      <x:c r="H3018" s="37" t="str">
        <x:v>0.00</x:v>
      </x:c>
      <x:c r="I3018" s="37" t="str">
        <x:v>272.30</x:v>
      </x:c>
      <x:c r="J3018" s="37" t="str">
        <x:v>0.00</x:v>
      </x:c>
      <x:c r="K3018" s="37" t="str">
        <x:v>87.35</x:v>
      </x:c>
      <x:c r="L3018" s="37" t="str">
        <x:v>720</x:v>
      </x:c>
      <x:c r="M3018" s="29" t="str">
        <x:v>343.86</x:v>
      </x:c>
      <x:c r="N3018" s="29" t="str">
        <x:v>234.66</x:v>
      </x:c>
      <x:c r="O3018" s="29" t="str">
        <x:v>109.20</x:v>
      </x:c>
      <x:c r="P3018" s="18" t="str">
        <x:v>2026-06-16</x:v>
      </x:c>
      <x:c r="Q3018" s="36" t="n">
        <x:v>46189</x:v>
      </x:c>
    </x:row>
    <x:row r="3019">
      <x:c r="A3019" s="36" t="str">
        <x:v>2026-06-16</x:v>
      </x:c>
      <x:c r="B3019" s="18" t="str">
        <x:v>101437000_78237</x:v>
      </x:c>
      <x:c r="C3019" s="18" t="str">
        <x:v>【沪村小电】奉馨苑西门小区内北侧充电站</x:v>
      </x:c>
      <x:c r="D3019" s="37" t="str">
        <x:v>2</x:v>
      </x:c>
      <x:c r="E3019" s="37" t="str">
        <x:v>0</x:v>
      </x:c>
      <x:c r="F3019" s="37" t="str">
        <x:v>34</x:v>
      </x:c>
      <x:c r="G3019" s="37" t="str">
        <x:v>1017.44</x:v>
      </x:c>
      <x:c r="H3019" s="37" t="str">
        <x:v>0.00</x:v>
      </x:c>
      <x:c r="I3019" s="37" t="str">
        <x:v>607.97</x:v>
      </x:c>
      <x:c r="J3019" s="37" t="str">
        <x:v>0.00</x:v>
      </x:c>
      <x:c r="K3019" s="37" t="str">
        <x:v>409.48</x:v>
      </x:c>
      <x:c r="L3019" s="37" t="str">
        <x:v>1355</x:v>
      </x:c>
      <x:c r="M3019" s="29" t="str">
        <x:v>856.15</x:v>
      </x:c>
      <x:c r="N3019" s="29" t="str">
        <x:v>605.47</x:v>
      </x:c>
      <x:c r="O3019" s="29" t="str">
        <x:v>250.68</x:v>
      </x:c>
      <x:c r="P3019" s="18" t="str">
        <x:v>2026-06-16</x:v>
      </x:c>
      <x:c r="Q3019" s="36" t="n">
        <x:v>46189</x:v>
      </x:c>
    </x:row>
    <x:row r="3020">
      <x:c r="A3020" s="36" t="str">
        <x:v>2026-06-16</x:v>
      </x:c>
      <x:c r="B3020" s="18" t="str">
        <x:v>101437000_78239</x:v>
      </x:c>
      <x:c r="C3020" s="18" t="str">
        <x:v>【沪村小电】恒大佘山首府东门充电站</x:v>
      </x:c>
      <x:c r="D3020" s="37" t="str">
        <x:v>2</x:v>
      </x:c>
      <x:c r="E3020" s="37" t="str">
        <x:v>0</x:v>
      </x:c>
      <x:c r="F3020" s="37" t="str">
        <x:v>31</x:v>
      </x:c>
      <x:c r="G3020" s="37" t="str">
        <x:v>852.62</x:v>
      </x:c>
      <x:c r="H3020" s="37" t="str">
        <x:v>0.00</x:v>
      </x:c>
      <x:c r="I3020" s="37" t="str">
        <x:v>388.40</x:v>
      </x:c>
      <x:c r="J3020" s="37" t="str">
        <x:v>0.00</x:v>
      </x:c>
      <x:c r="K3020" s="37" t="str">
        <x:v>464.22</x:v>
      </x:c>
      <x:c r="L3020" s="37" t="str">
        <x:v>1174</x:v>
      </x:c>
      <x:c r="M3020" s="29" t="str">
        <x:v>617.89</x:v>
      </x:c>
      <x:c r="N3020" s="29" t="str">
        <x:v>463.82</x:v>
      </x:c>
      <x:c r="O3020" s="29" t="str">
        <x:v>154.07</x:v>
      </x:c>
      <x:c r="P3020" s="18" t="str">
        <x:v>2026-06-16</x:v>
      </x:c>
      <x:c r="Q3020" s="36" t="n">
        <x:v>46189</x:v>
      </x:c>
    </x:row>
    <x:row r="3021">
      <x:c r="A3021" s="36" t="str">
        <x:v>2026-06-16</x:v>
      </x:c>
      <x:c r="B3021" s="18" t="str">
        <x:v>101437000_80823</x:v>
      </x:c>
      <x:c r="C3021" s="18" t="str">
        <x:v>【沪村小电】上湖轩充电站</x:v>
      </x:c>
      <x:c r="D3021" s="37" t="str">
        <x:v>2</x:v>
      </x:c>
      <x:c r="E3021" s="37" t="str">
        <x:v>0</x:v>
      </x:c>
      <x:c r="F3021" s="37" t="str">
        <x:v>8</x:v>
      </x:c>
      <x:c r="G3021" s="37" t="str">
        <x:v>170.43</x:v>
      </x:c>
      <x:c r="H3021" s="37" t="str">
        <x:v>0.00</x:v>
      </x:c>
      <x:c r="I3021" s="37" t="str">
        <x:v>92.91</x:v>
      </x:c>
      <x:c r="J3021" s="37" t="str">
        <x:v>0.00</x:v>
      </x:c>
      <x:c r="K3021" s="37" t="str">
        <x:v>77.51</x:v>
      </x:c>
      <x:c r="L3021" s="37" t="str">
        <x:v>219</x:v>
      </x:c>
      <x:c r="M3021" s="29" t="str">
        <x:v>134.77</x:v>
      </x:c>
      <x:c r="N3021" s="29" t="str">
        <x:v>95.57</x:v>
      </x:c>
      <x:c r="O3021" s="29" t="str">
        <x:v>39.20</x:v>
      </x:c>
      <x:c r="P3021" s="18" t="str">
        <x:v>2026-06-16</x:v>
      </x:c>
      <x:c r="Q3021" s="36" t="n">
        <x:v>46189</x:v>
      </x:c>
    </x:row>
    <x:row r="3022">
      <x:c r="A3022" s="36" t="str">
        <x:v>2026-06-16</x:v>
      </x:c>
      <x:c r="B3022" s="18" t="str">
        <x:v>101437000_83019</x:v>
      </x:c>
      <x:c r="C3022" s="18" t="str">
        <x:v>【沪村小电】首创禧瑞云启东区充电站</x:v>
      </x:c>
      <x:c r="D3022" s="37" t="str">
        <x:v>2</x:v>
      </x:c>
      <x:c r="E3022" s="37" t="str">
        <x:v>0</x:v>
      </x:c>
      <x:c r="F3022" s="37" t="str">
        <x:v>41</x:v>
      </x:c>
      <x:c r="G3022" s="37" t="str">
        <x:v>1034.74</x:v>
      </x:c>
      <x:c r="H3022" s="37" t="str">
        <x:v>0.00</x:v>
      </x:c>
      <x:c r="I3022" s="37" t="str">
        <x:v>706.09</x:v>
      </x:c>
      <x:c r="J3022" s="37" t="str">
        <x:v>0.00</x:v>
      </x:c>
      <x:c r="K3022" s="37" t="str">
        <x:v>328.64</x:v>
      </x:c>
      <x:c r="L3022" s="37" t="str">
        <x:v>1466</x:v>
      </x:c>
      <x:c r="M3022" s="29" t="str">
        <x:v>867.08</x:v>
      </x:c>
      <x:c r="N3022" s="29" t="str">
        <x:v>605.51</x:v>
      </x:c>
      <x:c r="O3022" s="29" t="str">
        <x:v>261.57</x:v>
      </x:c>
      <x:c r="P3022" s="18" t="str">
        <x:v>2026-06-16</x:v>
      </x:c>
      <x:c r="Q3022" s="36" t="n">
        <x:v>46189</x:v>
      </x:c>
    </x:row>
    <x:row r="3023">
      <x:c r="A3023" s="36" t="str">
        <x:v>2026-06-16</x:v>
      </x:c>
      <x:c r="B3023" s="18" t="str">
        <x:v>101437000_83093</x:v>
      </x:c>
      <x:c r="C3023" s="18" t="str">
        <x:v>【沪村小电】金茂未来时光里</x:v>
      </x:c>
      <x:c r="D3023" s="37" t="str">
        <x:v>2</x:v>
      </x:c>
      <x:c r="E3023" s="37" t="str">
        <x:v>0</x:v>
      </x:c>
      <x:c r="F3023" s="37" t="str">
        <x:v>28</x:v>
      </x:c>
      <x:c r="G3023" s="37" t="str">
        <x:v>995.95</x:v>
      </x:c>
      <x:c r="H3023" s="37" t="str">
        <x:v>0.00</x:v>
      </x:c>
      <x:c r="I3023" s="37" t="str">
        <x:v>423.26</x:v>
      </x:c>
      <x:c r="J3023" s="37" t="str">
        <x:v>0.00</x:v>
      </x:c>
      <x:c r="K3023" s="37" t="str">
        <x:v>572.69</x:v>
      </x:c>
      <x:c r="L3023" s="37" t="str">
        <x:v>1356</x:v>
      </x:c>
      <x:c r="M3023" s="29" t="str">
        <x:v>637.13</x:v>
      </x:c>
      <x:c r="N3023" s="29" t="str">
        <x:v>427.26</x:v>
      </x:c>
      <x:c r="O3023" s="29" t="str">
        <x:v>209.87</x:v>
      </x:c>
      <x:c r="P3023" s="18" t="str">
        <x:v>2026-06-16</x:v>
      </x:c>
      <x:c r="Q3023" s="36" t="n">
        <x:v>46189</x:v>
      </x:c>
    </x:row>
    <x:row r="3024">
      <x:c r="A3024" s="36" t="str">
        <x:v>2026-06-16</x:v>
      </x:c>
      <x:c r="B3024" s="18" t="str">
        <x:v>101437000_83911</x:v>
      </x:c>
      <x:c r="C3024" s="18" t="str">
        <x:v>【沪村小电】金瀚园充电站</x:v>
      </x:c>
      <x:c r="D3024" s="37" t="str">
        <x:v>2</x:v>
      </x:c>
      <x:c r="E3024" s="37" t="str">
        <x:v>0</x:v>
      </x:c>
      <x:c r="F3024" s="37" t="str">
        <x:v>23</x:v>
      </x:c>
      <x:c r="G3024" s="37" t="str">
        <x:v>533.20</x:v>
      </x:c>
      <x:c r="H3024" s="37" t="str">
        <x:v>0.00</x:v>
      </x:c>
      <x:c r="I3024" s="37" t="str">
        <x:v>280.35</x:v>
      </x:c>
      <x:c r="J3024" s="37" t="str">
        <x:v>0.00</x:v>
      </x:c>
      <x:c r="K3024" s="37" t="str">
        <x:v>252.85</x:v>
      </x:c>
      <x:c r="L3024" s="37" t="str">
        <x:v>794</x:v>
      </x:c>
      <x:c r="M3024" s="29" t="str">
        <x:v>503.37</x:v>
      </x:c>
      <x:c r="N3024" s="29" t="str">
        <x:v>303.54</x:v>
      </x:c>
      <x:c r="O3024" s="29" t="str">
        <x:v>199.83</x:v>
      </x:c>
      <x:c r="P3024" s="18" t="str">
        <x:v>2026-06-16</x:v>
      </x:c>
      <x:c r="Q3024" s="36" t="n">
        <x:v>46189</x:v>
      </x:c>
    </x:row>
    <x:row r="3025">
      <x:c r="A3025" s="36" t="str">
        <x:v>2026-06-16</x:v>
      </x:c>
      <x:c r="B3025" s="18" t="str">
        <x:v>101437000_83913</x:v>
      </x:c>
      <x:c r="C3025" s="18" t="str">
        <x:v>【沪村小电】新黎村充电站</x:v>
      </x:c>
      <x:c r="D3025" s="37" t="str">
        <x:v>2</x:v>
      </x:c>
      <x:c r="E3025" s="37" t="str">
        <x:v>0</x:v>
      </x:c>
      <x:c r="F3025" s="37" t="str">
        <x:v>24</x:v>
      </x:c>
      <x:c r="G3025" s="37" t="str">
        <x:v>530.02</x:v>
      </x:c>
      <x:c r="H3025" s="37" t="str">
        <x:v>0.00</x:v>
      </x:c>
      <x:c r="I3025" s="37" t="str">
        <x:v>308.65</x:v>
      </x:c>
      <x:c r="J3025" s="37" t="str">
        <x:v>0.00</x:v>
      </x:c>
      <x:c r="K3025" s="37" t="str">
        <x:v>221.37</x:v>
      </x:c>
      <x:c r="L3025" s="37" t="str">
        <x:v>752</x:v>
      </x:c>
      <x:c r="M3025" s="29" t="str">
        <x:v>539.43</x:v>
      </x:c>
      <x:c r="N3025" s="29" t="str">
        <x:v>438.32</x:v>
      </x:c>
      <x:c r="O3025" s="29" t="str">
        <x:v>101.11</x:v>
      </x:c>
      <x:c r="P3025" s="18" t="str">
        <x:v>2026-06-16</x:v>
      </x:c>
      <x:c r="Q3025" s="36" t="n">
        <x:v>46189</x:v>
      </x:c>
    </x:row>
    <x:row r="3026">
      <x:c r="A3026" s="36" t="str">
        <x:v>2026-06-16</x:v>
      </x:c>
      <x:c r="B3026" s="18" t="str">
        <x:v>101437000_83915</x:v>
      </x:c>
      <x:c r="C3026" s="18" t="str">
        <x:v>【沪村小电】长泰西郊别墅充电站</x:v>
      </x:c>
      <x:c r="D3026" s="37" t="str">
        <x:v>2</x:v>
      </x:c>
      <x:c r="E3026" s="37" t="str">
        <x:v>0</x:v>
      </x:c>
      <x:c r="F3026" s="37" t="str">
        <x:v>27</x:v>
      </x:c>
      <x:c r="G3026" s="37" t="str">
        <x:v>356.41</x:v>
      </x:c>
      <x:c r="H3026" s="37" t="str">
        <x:v>0.00</x:v>
      </x:c>
      <x:c r="I3026" s="37" t="str">
        <x:v>197.29</x:v>
      </x:c>
      <x:c r="J3026" s="37" t="str">
        <x:v>0.00</x:v>
      </x:c>
      <x:c r="K3026" s="37" t="str">
        <x:v>159.12</x:v>
      </x:c>
      <x:c r="L3026" s="37" t="str">
        <x:v>584</x:v>
      </x:c>
      <x:c r="M3026" s="29" t="str">
        <x:v>284.18</x:v>
      </x:c>
      <x:c r="N3026" s="29" t="str">
        <x:v>206.47</x:v>
      </x:c>
      <x:c r="O3026" s="29" t="str">
        <x:v>77.71</x:v>
      </x:c>
      <x:c r="P3026" s="18" t="str">
        <x:v>2026-06-16</x:v>
      </x:c>
      <x:c r="Q3026" s="36" t="n">
        <x:v>46189</x:v>
      </x:c>
    </x:row>
    <x:row r="3027">
      <x:c r="A3027" s="36" t="str">
        <x:v>2026-06-16</x:v>
      </x:c>
      <x:c r="B3027" s="18" t="str">
        <x:v>101437000_83917</x:v>
      </x:c>
      <x:c r="C3027" s="18" t="str">
        <x:v>【沪村小电】旭新华庭充电站</x:v>
      </x:c>
      <x:c r="D3027" s="37" t="str">
        <x:v>4</x:v>
      </x:c>
      <x:c r="E3027" s="37" t="str">
        <x:v>0</x:v>
      </x:c>
      <x:c r="F3027" s="37" t="str">
        <x:v>27</x:v>
      </x:c>
      <x:c r="G3027" s="37" t="str">
        <x:v>583.47</x:v>
      </x:c>
      <x:c r="H3027" s="37" t="str">
        <x:v>0.00</x:v>
      </x:c>
      <x:c r="I3027" s="37" t="str">
        <x:v>311.77</x:v>
      </x:c>
      <x:c r="J3027" s="37" t="str">
        <x:v>0.00</x:v>
      </x:c>
      <x:c r="K3027" s="37" t="str">
        <x:v>271.70</x:v>
      </x:c>
      <x:c r="L3027" s="37" t="str">
        <x:v>952</x:v>
      </x:c>
      <x:c r="M3027" s="29" t="str">
        <x:v>522.73</x:v>
      </x:c>
      <x:c r="N3027" s="29" t="str">
        <x:v>333.97</x:v>
      </x:c>
      <x:c r="O3027" s="29" t="str">
        <x:v>188.76</x:v>
      </x:c>
      <x:c r="P3027" s="18" t="str">
        <x:v>2026-06-16</x:v>
      </x:c>
      <x:c r="Q3027" s="36" t="n">
        <x:v>46189</x:v>
      </x:c>
    </x:row>
    <x:row r="3028">
      <x:c r="A3028" s="36" t="str">
        <x:v>2026-06-16</x:v>
      </x:c>
      <x:c r="B3028" s="18" t="str">
        <x:v>101437000_83919</x:v>
      </x:c>
      <x:c r="C3028" s="18" t="str">
        <x:v>【沪村小电】浦锦名仕嘉园充电站</x:v>
      </x:c>
      <x:c r="D3028" s="37" t="str">
        <x:v>4</x:v>
      </x:c>
      <x:c r="E3028" s="37" t="str">
        <x:v>0</x:v>
      </x:c>
      <x:c r="F3028" s="37" t="str">
        <x:v>33</x:v>
      </x:c>
      <x:c r="G3028" s="37" t="str">
        <x:v>710.25</x:v>
      </x:c>
      <x:c r="H3028" s="37" t="str">
        <x:v>0.00</x:v>
      </x:c>
      <x:c r="I3028" s="37" t="str">
        <x:v>0.00</x:v>
      </x:c>
      <x:c r="J3028" s="37" t="str">
        <x:v>710.25</x:v>
      </x:c>
      <x:c r="K3028" s="37" t="str">
        <x:v>0.00</x:v>
      </x:c>
      <x:c r="L3028" s="37" t="str">
        <x:v>1136</x:v>
      </x:c>
      <x:c r="M3028" s="29" t="str">
        <x:v>669.79</x:v>
      </x:c>
      <x:c r="N3028" s="29" t="str">
        <x:v>454.54</x:v>
      </x:c>
      <x:c r="O3028" s="29" t="str">
        <x:v>215.25</x:v>
      </x:c>
      <x:c r="P3028" s="18" t="str">
        <x:v>2026-06-16</x:v>
      </x:c>
      <x:c r="Q3028" s="36" t="n">
        <x:v>46189</x:v>
      </x:c>
    </x:row>
    <x:row r="3029">
      <x:c r="A3029" s="36" t="str">
        <x:v>2026-06-16</x:v>
      </x:c>
      <x:c r="B3029" s="18" t="str">
        <x:v>101437000_83921</x:v>
      </x:c>
      <x:c r="C3029" s="18" t="str">
        <x:v>【沪村小电】上海联怡枇杷乐园充电站（地库）</x:v>
      </x:c>
      <x:c r="D3029" s="37" t="str">
        <x:v>8</x:v>
      </x:c>
      <x:c r="E3029" s="37" t="str">
        <x:v>0</x:v>
      </x:c>
      <x:c r="F3029" s="37" t="str">
        <x:v>2</x:v>
      </x:c>
      <x:c r="G3029" s="37" t="str">
        <x:v>26.52</x:v>
      </x:c>
      <x:c r="H3029" s="37" t="str">
        <x:v>0.00</x:v>
      </x:c>
      <x:c r="I3029" s="37" t="str">
        <x:v>0.00</x:v>
      </x:c>
      <x:c r="J3029" s="37" t="str">
        <x:v>0.00</x:v>
      </x:c>
      <x:c r="K3029" s="37" t="str">
        <x:v>26.52</x:v>
      </x:c>
      <x:c r="L3029" s="37" t="str">
        <x:v>64</x:v>
      </x:c>
      <x:c r="M3029" s="29" t="str">
        <x:v>15.38</x:v>
      </x:c>
      <x:c r="N3029" s="29" t="str">
        <x:v>14.06</x:v>
      </x:c>
      <x:c r="O3029" s="29" t="str">
        <x:v>1.32</x:v>
      </x:c>
      <x:c r="P3029" s="18" t="str">
        <x:v>2026-06-16</x:v>
      </x:c>
      <x:c r="Q3029" s="36" t="n">
        <x:v>46189</x:v>
      </x:c>
    </x:row>
    <x:row r="3030">
      <x:c r="A3030" s="36" t="str">
        <x:v>2026-06-16</x:v>
      </x:c>
      <x:c r="B3030" s="18" t="str">
        <x:v>101437000_83923</x:v>
      </x:c>
      <x:c r="C3030" s="18" t="str">
        <x:v>【沪村小电】明珠新苑充电站</x:v>
      </x:c>
      <x:c r="D3030" s="37" t="str">
        <x:v>2</x:v>
      </x:c>
      <x:c r="E3030" s="37" t="str">
        <x:v>0</x:v>
      </x:c>
      <x:c r="F3030" s="37" t="str">
        <x:v>19</x:v>
      </x:c>
      <x:c r="G3030" s="37" t="str">
        <x:v>571.62</x:v>
      </x:c>
      <x:c r="H3030" s="37" t="str">
        <x:v>0.00</x:v>
      </x:c>
      <x:c r="I3030" s="37" t="str">
        <x:v>316.93</x:v>
      </x:c>
      <x:c r="J3030" s="37" t="str">
        <x:v>0.00</x:v>
      </x:c>
      <x:c r="K3030" s="37" t="str">
        <x:v>254.69</x:v>
      </x:c>
      <x:c r="L3030" s="37" t="str">
        <x:v>781</x:v>
      </x:c>
      <x:c r="M3030" s="29" t="str">
        <x:v>481.92</x:v>
      </x:c>
      <x:c r="N3030" s="29" t="str">
        <x:v>331.32</x:v>
      </x:c>
      <x:c r="O3030" s="29" t="str">
        <x:v>150.60</x:v>
      </x:c>
      <x:c r="P3030" s="18" t="str">
        <x:v>2026-06-16</x:v>
      </x:c>
      <x:c r="Q3030" s="36" t="n">
        <x:v>46189</x:v>
      </x:c>
    </x:row>
    <x:row r="3031">
      <x:c r="A3031" s="36" t="str">
        <x:v>2026-06-16</x:v>
      </x:c>
      <x:c r="B3031" s="18" t="str">
        <x:v>101437000_84289</x:v>
      </x:c>
      <x:c r="C3031" s="18" t="str">
        <x:v>【沪村小电】铁建芳华苑充电站</x:v>
      </x:c>
      <x:c r="D3031" s="37" t="str">
        <x:v>4</x:v>
      </x:c>
      <x:c r="E3031" s="37" t="str">
        <x:v>0</x:v>
      </x:c>
      <x:c r="F3031" s="37" t="str">
        <x:v>38</x:v>
      </x:c>
      <x:c r="G3031" s="37" t="str">
        <x:v>1000.98</x:v>
      </x:c>
      <x:c r="H3031" s="37" t="str">
        <x:v>0.00</x:v>
      </x:c>
      <x:c r="I3031" s="37" t="str">
        <x:v>582.54</x:v>
      </x:c>
      <x:c r="J3031" s="37" t="str">
        <x:v>0.00</x:v>
      </x:c>
      <x:c r="K3031" s="37" t="str">
        <x:v>418.44</x:v>
      </x:c>
      <x:c r="L3031" s="37" t="str">
        <x:v>1635</x:v>
      </x:c>
      <x:c r="M3031" s="29" t="str">
        <x:v>889.89</x:v>
      </x:c>
      <x:c r="N3031" s="29" t="str">
        <x:v>590.09</x:v>
      </x:c>
      <x:c r="O3031" s="29" t="str">
        <x:v>299.80</x:v>
      </x:c>
      <x:c r="P3031" s="18" t="str">
        <x:v>2026-06-16</x:v>
      </x:c>
      <x:c r="Q3031" s="36" t="n">
        <x:v>46189</x:v>
      </x:c>
    </x:row>
    <x:row r="3032">
      <x:c r="A3032" s="36" t="str">
        <x:v>2026-06-16</x:v>
      </x:c>
      <x:c r="B3032" s="18" t="str">
        <x:v>101437000_86379</x:v>
      </x:c>
      <x:c r="C3032" s="18" t="str">
        <x:v>【沪村小电】新宝社区充电站</x:v>
      </x:c>
      <x:c r="D3032" s="37" t="str">
        <x:v>4</x:v>
      </x:c>
      <x:c r="E3032" s="37" t="str">
        <x:v>0</x:v>
      </x:c>
      <x:c r="F3032" s="37" t="str">
        <x:v>19</x:v>
      </x:c>
      <x:c r="G3032" s="37" t="str">
        <x:v>465.43</x:v>
      </x:c>
      <x:c r="H3032" s="37" t="str">
        <x:v>0.00</x:v>
      </x:c>
      <x:c r="I3032" s="37" t="str">
        <x:v>193.91</x:v>
      </x:c>
      <x:c r="J3032" s="37" t="str">
        <x:v>0.00</x:v>
      </x:c>
      <x:c r="K3032" s="37" t="str">
        <x:v>271.52</x:v>
      </x:c>
      <x:c r="L3032" s="37" t="str">
        <x:v>746</x:v>
      </x:c>
      <x:c r="M3032" s="29" t="str">
        <x:v>364.39</x:v>
      </x:c>
      <x:c r="N3032" s="29" t="str">
        <x:v>246.68</x:v>
      </x:c>
      <x:c r="O3032" s="29" t="str">
        <x:v>117.71</x:v>
      </x:c>
      <x:c r="P3032" s="18" t="str">
        <x:v>2026-06-16</x:v>
      </x:c>
      <x:c r="Q3032" s="36" t="n">
        <x:v>46189</x:v>
      </x:c>
    </x:row>
    <x:row r="3033">
      <x:c r="A3033" s="36" t="str">
        <x:v>2026-06-16</x:v>
      </x:c>
      <x:c r="B3033" s="18" t="str">
        <x:v>101437000_89441</x:v>
      </x:c>
      <x:c r="C3033" s="18" t="str">
        <x:v>【沪村小电】首创禧瑞云启西区充电站</x:v>
      </x:c>
      <x:c r="D3033" s="37" t="str">
        <x:v>2</x:v>
      </x:c>
      <x:c r="E3033" s="37" t="str">
        <x:v>0</x:v>
      </x:c>
      <x:c r="F3033" s="37" t="str">
        <x:v>47</x:v>
      </x:c>
      <x:c r="G3033" s="37" t="str">
        <x:v>862.98</x:v>
      </x:c>
      <x:c r="H3033" s="37" t="str">
        <x:v>0.00</x:v>
      </x:c>
      <x:c r="I3033" s="37" t="str">
        <x:v>652.47</x:v>
      </x:c>
      <x:c r="J3033" s="37" t="str">
        <x:v>0.00</x:v>
      </x:c>
      <x:c r="K3033" s="37" t="str">
        <x:v>210.50</x:v>
      </x:c>
      <x:c r="L3033" s="37" t="str">
        <x:v>1265</x:v>
      </x:c>
      <x:c r="M3033" s="29" t="str">
        <x:v>756.38</x:v>
      </x:c>
      <x:c r="N3033" s="29" t="str">
        <x:v>525.99</x:v>
      </x:c>
      <x:c r="O3033" s="29" t="str">
        <x:v>230.39</x:v>
      </x:c>
      <x:c r="P3033" s="18" t="str">
        <x:v>2026-06-16</x:v>
      </x:c>
      <x:c r="Q3033" s="36" t="n">
        <x:v>46189</x:v>
      </x:c>
    </x:row>
    <x:row r="3034">
      <x:c r="A3034" s="36" t="str">
        <x:v>2026-06-16</x:v>
      </x:c>
      <x:c r="B3034" s="18" t="str">
        <x:v>101437000_89443</x:v>
      </x:c>
      <x:c r="C3034" s="18" t="str">
        <x:v>【沪村小电】玉兰清苑二期充电站</x:v>
      </x:c>
      <x:c r="D3034" s="37" t="str">
        <x:v>2</x:v>
      </x:c>
      <x:c r="E3034" s="37" t="str">
        <x:v>0</x:v>
      </x:c>
      <x:c r="F3034" s="37" t="str">
        <x:v>22</x:v>
      </x:c>
      <x:c r="G3034" s="37" t="str">
        <x:v>357.01</x:v>
      </x:c>
      <x:c r="H3034" s="37" t="str">
        <x:v>0.00</x:v>
      </x:c>
      <x:c r="I3034" s="37" t="str">
        <x:v>350.67</x:v>
      </x:c>
      <x:c r="J3034" s="37" t="str">
        <x:v>0.00</x:v>
      </x:c>
      <x:c r="K3034" s="37" t="str">
        <x:v>6.33</x:v>
      </x:c>
      <x:c r="L3034" s="37" t="str">
        <x:v>669</x:v>
      </x:c>
      <x:c r="M3034" s="29" t="str">
        <x:v>324.09</x:v>
      </x:c>
      <x:c r="N3034" s="29" t="str">
        <x:v>261.91</x:v>
      </x:c>
      <x:c r="O3034" s="29" t="str">
        <x:v>62.18</x:v>
      </x:c>
      <x:c r="P3034" s="18" t="str">
        <x:v>2026-06-16</x:v>
      </x:c>
      <x:c r="Q3034" s="36" t="n">
        <x:v>46189</x:v>
      </x:c>
    </x:row>
    <x:row r="3035">
      <x:c r="A3035" s="36" t="str">
        <x:v>2026-06-16</x:v>
      </x:c>
      <x:c r="B3035" s="18" t="str">
        <x:v>101437000_93115</x:v>
      </x:c>
      <x:c r="C3035" s="18" t="str">
        <x:v>【沪村小电】新南家园西北门</x:v>
      </x:c>
      <x:c r="D3035" s="37" t="str">
        <x:v>2</x:v>
      </x:c>
      <x:c r="E3035" s="37" t="str">
        <x:v>0</x:v>
      </x:c>
      <x:c r="F3035" s="37" t="str">
        <x:v>16</x:v>
      </x:c>
      <x:c r="G3035" s="37" t="str">
        <x:v>398.53</x:v>
      </x:c>
      <x:c r="H3035" s="37" t="str">
        <x:v>0.00</x:v>
      </x:c>
      <x:c r="I3035" s="37" t="str">
        <x:v>169.40</x:v>
      </x:c>
      <x:c r="J3035" s="37" t="str">
        <x:v>0.00</x:v>
      </x:c>
      <x:c r="K3035" s="37" t="str">
        <x:v>229.13</x:v>
      </x:c>
      <x:c r="L3035" s="37" t="str">
        <x:v>769</x:v>
      </x:c>
      <x:c r="M3035" s="29" t="str">
        <x:v>311.14</x:v>
      </x:c>
      <x:c r="N3035" s="29" t="str">
        <x:v>199.39</x:v>
      </x:c>
      <x:c r="O3035" s="29" t="str">
        <x:v>111.75</x:v>
      </x:c>
      <x:c r="P3035" s="18" t="str">
        <x:v>2026-06-16</x:v>
      </x:c>
      <x:c r="Q3035" s="36" t="n">
        <x:v>46189</x:v>
      </x:c>
    </x:row>
    <x:row r="3036">
      <x:c r="A3036" s="36" t="str">
        <x:v>2026-06-16</x:v>
      </x:c>
      <x:c r="B3036" s="18" t="str">
        <x:v>101437000_94649</x:v>
      </x:c>
      <x:c r="C3036" s="18" t="str">
        <x:v>【沪村小电】浪琴水岸花园</x:v>
      </x:c>
      <x:c r="D3036" s="37" t="str">
        <x:v>4</x:v>
      </x:c>
      <x:c r="E3036" s="37" t="str">
        <x:v>0</x:v>
      </x:c>
      <x:c r="F3036" s="37" t="str">
        <x:v>30</x:v>
      </x:c>
      <x:c r="G3036" s="37" t="str">
        <x:v>523.79</x:v>
      </x:c>
      <x:c r="H3036" s="37" t="str">
        <x:v>0.00</x:v>
      </x:c>
      <x:c r="I3036" s="37" t="str">
        <x:v>148.53</x:v>
      </x:c>
      <x:c r="J3036" s="37" t="str">
        <x:v>0.00</x:v>
      </x:c>
      <x:c r="K3036" s="37" t="str">
        <x:v>375.26</x:v>
      </x:c>
      <x:c r="L3036" s="37" t="str">
        <x:v>807</x:v>
      </x:c>
      <x:c r="M3036" s="29" t="str">
        <x:v>354.88</x:v>
      </x:c>
      <x:c r="N3036" s="29" t="str">
        <x:v>237.56</x:v>
      </x:c>
      <x:c r="O3036" s="29" t="str">
        <x:v>117.32</x:v>
      </x:c>
      <x:c r="P3036" s="18" t="str">
        <x:v>2026-06-16</x:v>
      </x:c>
      <x:c r="Q3036" s="36" t="n">
        <x:v>46189</x:v>
      </x:c>
    </x:row>
    <x:row r="3037">
      <x:c r="A3037" s="36" t="str">
        <x:v>2026-06-16</x:v>
      </x:c>
      <x:c r="B3037" s="18" t="str">
        <x:v>101437000_95077</x:v>
      </x:c>
      <x:c r="C3037" s="18" t="str">
        <x:v>【沪村小电】民乐城惠益绿苑255弄充电站</x:v>
      </x:c>
      <x:c r="D3037" s="37" t="str">
        <x:v>2</x:v>
      </x:c>
      <x:c r="E3037" s="37" t="str">
        <x:v>0</x:v>
      </x:c>
      <x:c r="F3037" s="37" t="str">
        <x:v>7</x:v>
      </x:c>
      <x:c r="G3037" s="37" t="str">
        <x:v>107.06</x:v>
      </x:c>
      <x:c r="H3037" s="37" t="str">
        <x:v>0.00</x:v>
      </x:c>
      <x:c r="I3037" s="37" t="str">
        <x:v>107.06</x:v>
      </x:c>
      <x:c r="J3037" s="37" t="str">
        <x:v>0.00</x:v>
      </x:c>
      <x:c r="K3037" s="37" t="str">
        <x:v>0.00</x:v>
      </x:c>
      <x:c r="L3037" s="37" t="str">
        <x:v>146</x:v>
      </x:c>
      <x:c r="M3037" s="29" t="str">
        <x:v>93.57</x:v>
      </x:c>
      <x:c r="N3037" s="29" t="str">
        <x:v>79.23</x:v>
      </x:c>
      <x:c r="O3037" s="29" t="str">
        <x:v>14.34</x:v>
      </x:c>
      <x:c r="P3037" s="18" t="str">
        <x:v>2026-06-16</x:v>
      </x:c>
      <x:c r="Q3037" s="36" t="n">
        <x:v>46189</x:v>
      </x:c>
    </x:row>
    <x:row r="3038">
      <x:c r="A3038" s="36" t="str">
        <x:v>2026-06-16</x:v>
      </x:c>
      <x:c r="B3038" s="18" t="str">
        <x:v>101437000_95079</x:v>
      </x:c>
      <x:c r="C3038" s="18" t="str">
        <x:v>【沪村小电】民乐城惠益绿苑东苑充电站</x:v>
      </x:c>
      <x:c r="D3038" s="37" t="str">
        <x:v>2</x:v>
      </x:c>
      <x:c r="E3038" s="37" t="str">
        <x:v>0</x:v>
      </x:c>
      <x:c r="F3038" s="37" t="str">
        <x:v>4</x:v>
      </x:c>
      <x:c r="G3038" s="37" t="str">
        <x:v>101.96</x:v>
      </x:c>
      <x:c r="H3038" s="37" t="str">
        <x:v>0.00</x:v>
      </x:c>
      <x:c r="I3038" s="37" t="str">
        <x:v>101.96</x:v>
      </x:c>
      <x:c r="J3038" s="37" t="str">
        <x:v>0.00</x:v>
      </x:c>
      <x:c r="K3038" s="37" t="str">
        <x:v>0.00</x:v>
      </x:c>
      <x:c r="L3038" s="37" t="str">
        <x:v>140</x:v>
      </x:c>
      <x:c r="M3038" s="29" t="str">
        <x:v>111.23</x:v>
      </x:c>
      <x:c r="N3038" s="29" t="str">
        <x:v>70.36</x:v>
      </x:c>
      <x:c r="O3038" s="29" t="str">
        <x:v>40.87</x:v>
      </x:c>
      <x:c r="P3038" s="18" t="str">
        <x:v>2026-06-16</x:v>
      </x:c>
      <x:c r="Q3038" s="36" t="n">
        <x:v>46189</x:v>
      </x:c>
    </x:row>
    <x:row r="3039">
      <x:c r="A3039" s="36" t="str">
        <x:v>2026-06-16</x:v>
      </x:c>
      <x:c r="B3039" s="18" t="str">
        <x:v>101437000_95081</x:v>
      </x:c>
      <x:c r="C3039" s="18" t="str">
        <x:v>【沪村小电】民乐城惠益绿苑西苑充电站</x:v>
      </x:c>
      <x:c r="D3039" s="37" t="str">
        <x:v>2</x:v>
      </x:c>
      <x:c r="E3039" s="37" t="str">
        <x:v>0</x:v>
      </x:c>
      <x:c r="F3039" s="37" t="str">
        <x:v>8</x:v>
      </x:c>
      <x:c r="G3039" s="37" t="str">
        <x:v>172.02</x:v>
      </x:c>
      <x:c r="H3039" s="37" t="str">
        <x:v>0.00</x:v>
      </x:c>
      <x:c r="I3039" s="37" t="str">
        <x:v>172.02</x:v>
      </x:c>
      <x:c r="J3039" s="37" t="str">
        <x:v>0.00</x:v>
      </x:c>
      <x:c r="K3039" s="37" t="str">
        <x:v>0.00</x:v>
      </x:c>
      <x:c r="L3039" s="37" t="str">
        <x:v>184</x:v>
      </x:c>
      <x:c r="M3039" s="29" t="str">
        <x:v>161.26</x:v>
      </x:c>
      <x:c r="N3039" s="29" t="str">
        <x:v>118.70</x:v>
      </x:c>
      <x:c r="O3039" s="29" t="str">
        <x:v>42.56</x:v>
      </x:c>
      <x:c r="P3039" s="18" t="str">
        <x:v>2026-06-16</x:v>
      </x:c>
      <x:c r="Q3039" s="36" t="n">
        <x:v>46189</x:v>
      </x:c>
    </x:row>
    <x:row r="3040">
      <x:c r="A3040" s="36" t="str">
        <x:v>2026-06-16</x:v>
      </x:c>
      <x:c r="B3040" s="18" t="str">
        <x:v>101437000_95091</x:v>
      </x:c>
      <x:c r="C3040" s="18" t="str">
        <x:v>【沪村小电】金悦学府2号站</x:v>
      </x:c>
      <x:c r="D3040" s="37" t="str">
        <x:v>2</x:v>
      </x:c>
      <x:c r="E3040" s="37" t="str">
        <x:v>0</x:v>
      </x:c>
      <x:c r="F3040" s="37" t="str">
        <x:v>16</x:v>
      </x:c>
      <x:c r="G3040" s="37" t="str">
        <x:v>404.32</x:v>
      </x:c>
      <x:c r="H3040" s="37" t="str">
        <x:v>0.00</x:v>
      </x:c>
      <x:c r="I3040" s="37" t="str">
        <x:v>0.00</x:v>
      </x:c>
      <x:c r="J3040" s="37" t="str">
        <x:v>404.32</x:v>
      </x:c>
      <x:c r="K3040" s="37" t="str">
        <x:v>0.00</x:v>
      </x:c>
      <x:c r="L3040" s="37" t="str">
        <x:v>598</x:v>
      </x:c>
      <x:c r="M3040" s="29" t="str">
        <x:v>319.45</x:v>
      </x:c>
      <x:c r="N3040" s="29" t="str">
        <x:v>226.44</x:v>
      </x:c>
      <x:c r="O3040" s="29" t="str">
        <x:v>93.01</x:v>
      </x:c>
      <x:c r="P3040" s="18" t="str">
        <x:v>2026-06-16</x:v>
      </x:c>
      <x:c r="Q3040" s="36" t="n">
        <x:v>46189</x:v>
      </x:c>
    </x:row>
    <x:row r="3041">
      <x:c r="A3041" s="36" t="str">
        <x:v>2026-06-16</x:v>
      </x:c>
      <x:c r="B3041" s="18" t="str">
        <x:v>101437000_95941</x:v>
      </x:c>
      <x:c r="C3041" s="18" t="str">
        <x:v>【沪村小电】惠诚雅苑</x:v>
      </x:c>
      <x:c r="D3041" s="37" t="str">
        <x:v>4</x:v>
      </x:c>
      <x:c r="E3041" s="37" t="str">
        <x:v>0</x:v>
      </x:c>
      <x:c r="F3041" s="37" t="str">
        <x:v>20</x:v>
      </x:c>
      <x:c r="G3041" s="37" t="str">
        <x:v>444.69</x:v>
      </x:c>
      <x:c r="H3041" s="37" t="str">
        <x:v>0.00</x:v>
      </x:c>
      <x:c r="I3041" s="37" t="str">
        <x:v>325.86</x:v>
      </x:c>
      <x:c r="J3041" s="37" t="str">
        <x:v>0.00</x:v>
      </x:c>
      <x:c r="K3041" s="37" t="str">
        <x:v>118.82</x:v>
      </x:c>
      <x:c r="L3041" s="37" t="str">
        <x:v>594</x:v>
      </x:c>
      <x:c r="M3041" s="29" t="str">
        <x:v>338.71</x:v>
      </x:c>
      <x:c r="N3041" s="29" t="str">
        <x:v>229.11</x:v>
      </x:c>
      <x:c r="O3041" s="29" t="str">
        <x:v>109.60</x:v>
      </x:c>
      <x:c r="P3041" s="18" t="str">
        <x:v>2026-06-16</x:v>
      </x:c>
      <x:c r="Q3041" s="36" t="n">
        <x:v>46189</x:v>
      </x:c>
    </x:row>
    <x:row r="3042">
      <x:c r="A3042" s="36" t="str">
        <x:v>2026-06-16</x:v>
      </x:c>
      <x:c r="B3042" s="18" t="str">
        <x:v>101437000_96401</x:v>
      </x:c>
      <x:c r="C3042" s="18" t="str">
        <x:v>【沪村小电】上海联怡枇杷乐园地面站</x:v>
      </x:c>
      <x:c r="D3042" s="37" t="str">
        <x:v>2</x:v>
      </x:c>
      <x:c r="E3042" s="37" t="str">
        <x:v>0</x:v>
      </x:c>
      <x:c r="F3042" s="37" t="str">
        <x:v>9</x:v>
      </x:c>
      <x:c r="G3042" s="37" t="str">
        <x:v>198.67</x:v>
      </x:c>
      <x:c r="H3042" s="37" t="str">
        <x:v>0.00</x:v>
      </x:c>
      <x:c r="I3042" s="37" t="str">
        <x:v>61.10</x:v>
      </x:c>
      <x:c r="J3042" s="37" t="str">
        <x:v>0.00</x:v>
      </x:c>
      <x:c r="K3042" s="37" t="str">
        <x:v>137.57</x:v>
      </x:c>
      <x:c r="L3042" s="37" t="str">
        <x:v>360</x:v>
      </x:c>
      <x:c r="M3042" s="29" t="str">
        <x:v>154.51</x:v>
      </x:c>
      <x:c r="N3042" s="29" t="str">
        <x:v>136.46</x:v>
      </x:c>
      <x:c r="O3042" s="29" t="str">
        <x:v>18.05</x:v>
      </x:c>
      <x:c r="P3042" s="18" t="str">
        <x:v>2026-06-16</x:v>
      </x:c>
      <x:c r="Q3042" s="36" t="n">
        <x:v>46189</x:v>
      </x:c>
    </x:row>
    <x:row r="3043">
      <x:c r="A3043" s="36" t="str">
        <x:v>2026-06-16</x:v>
      </x:c>
      <x:c r="B3043" s="18" t="str">
        <x:v>101437000_96719</x:v>
      </x:c>
      <x:c r="C3043" s="18" t="str">
        <x:v>【沪村小电】四达路220弄充电站</x:v>
      </x:c>
      <x:c r="D3043" s="37" t="str">
        <x:v>2</x:v>
      </x:c>
      <x:c r="E3043" s="37" t="str">
        <x:v>0</x:v>
      </x:c>
      <x:c r="F3043" s="37" t="str">
        <x:v>2</x:v>
      </x:c>
      <x:c r="G3043" s="37" t="str">
        <x:v>26.57</x:v>
      </x:c>
      <x:c r="H3043" s="37" t="str">
        <x:v>0.00</x:v>
      </x:c>
      <x:c r="I3043" s="37" t="str">
        <x:v>0.00</x:v>
      </x:c>
      <x:c r="J3043" s="37" t="str">
        <x:v>13.05</x:v>
      </x:c>
      <x:c r="K3043" s="37" t="str">
        <x:v>13.52</x:v>
      </x:c>
      <x:c r="L3043" s="37" t="str">
        <x:v>51</x:v>
      </x:c>
      <x:c r="M3043" s="29" t="str">
        <x:v>26.74</x:v>
      </x:c>
      <x:c r="N3043" s="29" t="str">
        <x:v>14.54</x:v>
      </x:c>
      <x:c r="O3043" s="29" t="str">
        <x:v>12.20</x:v>
      </x:c>
      <x:c r="P3043" s="18" t="str">
        <x:v>2026-06-16</x:v>
      </x:c>
      <x:c r="Q3043" s="36" t="n">
        <x:v>46189</x:v>
      </x:c>
    </x:row>
    <x:row r="3044">
      <x:c r="A3044" s="36" t="str">
        <x:v>2026-06-16</x:v>
      </x:c>
      <x:c r="B3044" s="18" t="str">
        <x:v>101437000_97421</x:v>
      </x:c>
      <x:c r="C3044" s="18" t="str">
        <x:v>【沪村小电】玉兰清苑二期（小区外）充电站</x:v>
      </x:c>
      <x:c r="D3044" s="37" t="str">
        <x:v>4</x:v>
      </x:c>
      <x:c r="E3044" s="37" t="str">
        <x:v>0</x:v>
      </x:c>
      <x:c r="F3044" s="37" t="str">
        <x:v>27</x:v>
      </x:c>
      <x:c r="G3044" s="37" t="str">
        <x:v>574.48</x:v>
      </x:c>
      <x:c r="H3044" s="37" t="str">
        <x:v>0.00</x:v>
      </x:c>
      <x:c r="I3044" s="37" t="str">
        <x:v>429.32</x:v>
      </x:c>
      <x:c r="J3044" s="37" t="str">
        <x:v>0.00</x:v>
      </x:c>
      <x:c r="K3044" s="37" t="str">
        <x:v>145.16</x:v>
      </x:c>
      <x:c r="L3044" s="37" t="str">
        <x:v>1195</x:v>
      </x:c>
      <x:c r="M3044" s="29" t="str">
        <x:v>497.67</x:v>
      </x:c>
      <x:c r="N3044" s="29" t="str">
        <x:v>372.84</x:v>
      </x:c>
      <x:c r="O3044" s="29" t="str">
        <x:v>124.83</x:v>
      </x:c>
      <x:c r="P3044" s="18" t="str">
        <x:v>2026-06-16</x:v>
      </x:c>
      <x:c r="Q3044" s="36" t="n">
        <x:v>46189</x:v>
      </x:c>
    </x:row>
    <x:row r="3045">
      <x:c r="A3045" s="36" t="str">
        <x:v>2026-06-16</x:v>
      </x:c>
      <x:c r="B3045" s="18" t="str">
        <x:v>101437000_98013</x:v>
      </x:c>
      <x:c r="C3045" s="18" t="str">
        <x:v>【沪村小电】恒大滨江华府充电站</x:v>
      </x:c>
      <x:c r="D3045" s="37" t="str">
        <x:v>4</x:v>
      </x:c>
      <x:c r="E3045" s="37" t="str">
        <x:v>0</x:v>
      </x:c>
      <x:c r="F3045" s="37" t="str">
        <x:v>2</x:v>
      </x:c>
      <x:c r="G3045" s="37" t="str">
        <x:v>1.28</x:v>
      </x:c>
      <x:c r="H3045" s="37" t="str">
        <x:v>0.00</x:v>
      </x:c>
      <x:c r="I3045" s="37" t="str">
        <x:v>1.28</x:v>
      </x:c>
      <x:c r="J3045" s="37" t="str">
        <x:v>0.00</x:v>
      </x:c>
      <x:c r="K3045" s="37" t="str">
        <x:v>0.00</x:v>
      </x:c>
      <x:c r="L3045" s="37" t="str">
        <x:v>3</x:v>
      </x:c>
      <x:c r="M3045" s="29" t="str">
        <x:v>1.79</x:v>
      </x:c>
      <x:c r="N3045" s="29" t="str">
        <x:v>1.34</x:v>
      </x:c>
      <x:c r="O3045" s="29" t="str">
        <x:v>0.45</x:v>
      </x:c>
      <x:c r="P3045" s="18" t="str">
        <x:v>2026-06-16</x:v>
      </x:c>
      <x:c r="Q3045" s="36" t="n">
        <x:v>46189</x:v>
      </x:c>
    </x:row>
    <x:row r="3046">
      <x:c r="A3046" s="36" t="str">
        <x:v>2026-06-16</x:v>
      </x:c>
      <x:c r="B3046" s="18" t="str">
        <x:v>101437000_98863</x:v>
      </x:c>
      <x:c r="C3046" s="18" t="str">
        <x:v>【沪村小电】欣菊苑充电站</x:v>
      </x:c>
      <x:c r="D3046" s="37" t="str">
        <x:v>4</x:v>
      </x:c>
      <x:c r="E3046" s="37" t="str">
        <x:v>0</x:v>
      </x:c>
      <x:c r="F3046" s="37" t="str">
        <x:v>6</x:v>
      </x:c>
      <x:c r="G3046" s="37" t="str">
        <x:v>81.28</x:v>
      </x:c>
      <x:c r="H3046" s="37" t="str">
        <x:v>0.00</x:v>
      </x:c>
      <x:c r="I3046" s="37" t="str">
        <x:v>81.28</x:v>
      </x:c>
      <x:c r="J3046" s="37" t="str">
        <x:v>0.00</x:v>
      </x:c>
      <x:c r="K3046" s="37" t="str">
        <x:v>0.00</x:v>
      </x:c>
      <x:c r="L3046" s="37" t="str">
        <x:v>153</x:v>
      </x:c>
      <x:c r="M3046" s="29" t="str">
        <x:v>70.01</x:v>
      </x:c>
      <x:c r="N3046" s="29" t="str">
        <x:v>60.15</x:v>
      </x:c>
      <x:c r="O3046" s="29" t="str">
        <x:v>9.86</x:v>
      </x:c>
      <x:c r="P3046" s="18" t="str">
        <x:v>2026-06-16</x:v>
      </x:c>
      <x:c r="Q3046" s="36" t="n">
        <x:v>46189</x:v>
      </x:c>
    </x:row>
    <x:row r="3047">
      <x:c r="A3047" s="36" t="str">
        <x:v>2026-06-16</x:v>
      </x:c>
      <x:c r="B3047" s="18" t="str">
        <x:v>101437000_98865</x:v>
      </x:c>
      <x:c r="C3047" s="18" t="str">
        <x:v>【沪村小电】欣松苑充电站</x:v>
      </x:c>
      <x:c r="D3047" s="37" t="str">
        <x:v>4</x:v>
      </x:c>
      <x:c r="E3047" s="37" t="str">
        <x:v>0</x:v>
      </x:c>
      <x:c r="F3047" s="37" t="str">
        <x:v>7</x:v>
      </x:c>
      <x:c r="G3047" s="37" t="str">
        <x:v>68.72</x:v>
      </x:c>
      <x:c r="H3047" s="37" t="str">
        <x:v>0.00</x:v>
      </x:c>
      <x:c r="I3047" s="37" t="str">
        <x:v>68.72</x:v>
      </x:c>
      <x:c r="J3047" s="37" t="str">
        <x:v>0.00</x:v>
      </x:c>
      <x:c r="K3047" s="37" t="str">
        <x:v>0.00</x:v>
      </x:c>
      <x:c r="L3047" s="37" t="str">
        <x:v>67</x:v>
      </x:c>
      <x:c r="M3047" s="29" t="str">
        <x:v>64.55</x:v>
      </x:c>
      <x:c r="N3047" s="29" t="str">
        <x:v>50.86</x:v>
      </x:c>
      <x:c r="O3047" s="29" t="str">
        <x:v>13.69</x:v>
      </x:c>
      <x:c r="P3047" s="18" t="str">
        <x:v>2026-06-16</x:v>
      </x:c>
      <x:c r="Q3047" s="36" t="n">
        <x:v>46189</x:v>
      </x:c>
    </x:row>
    <x:row r="3048">
      <x:c r="A3048" s="36" t="str">
        <x:v>2026-06-16</x:v>
      </x:c>
      <x:c r="B3048" s="18" t="str">
        <x:v>101437000_99885</x:v>
      </x:c>
      <x:c r="C3048" s="18" t="str">
        <x:v>【沪村小电】汇丰馨苑充电站</x:v>
      </x:c>
      <x:c r="D3048" s="37" t="str">
        <x:v>4</x:v>
      </x:c>
      <x:c r="E3048" s="37" t="str">
        <x:v>0</x:v>
      </x:c>
      <x:c r="F3048" s="37" t="str">
        <x:v>12</x:v>
      </x:c>
      <x:c r="G3048" s="37" t="str">
        <x:v>222.58</x:v>
      </x:c>
      <x:c r="H3048" s="37" t="str">
        <x:v>0.00</x:v>
      </x:c>
      <x:c r="I3048" s="37" t="str">
        <x:v>0.00</x:v>
      </x:c>
      <x:c r="J3048" s="37" t="str">
        <x:v>191.86</x:v>
      </x:c>
      <x:c r="K3048" s="37" t="str">
        <x:v>30.72</x:v>
      </x:c>
      <x:c r="L3048" s="37" t="str">
        <x:v>315</x:v>
      </x:c>
      <x:c r="M3048" s="29" t="str">
        <x:v>202.17</x:v>
      </x:c>
      <x:c r="N3048" s="29" t="str">
        <x:v>148.50</x:v>
      </x:c>
      <x:c r="O3048" s="29" t="str">
        <x:v>53.67</x:v>
      </x:c>
      <x:c r="P3048" s="18" t="str">
        <x:v>2026-06-16</x:v>
      </x:c>
      <x:c r="Q3048" s="36" t="n">
        <x:v>46189</x:v>
      </x:c>
    </x:row>
    <x:row r="3049">
      <x:c r="A3049" s="36" t="str">
        <x:v>2026-06-16</x:v>
      </x:c>
      <x:c r="B3049" s="18" t="str">
        <x:v>101437000_99887</x:v>
      </x:c>
      <x:c r="C3049" s="18" t="str">
        <x:v>【沪村小电】新南村河南小区充电站</x:v>
      </x:c>
      <x:c r="D3049" s="37" t="str">
        <x:v>2</x:v>
      </x:c>
      <x:c r="E3049" s="37" t="str">
        <x:v>0</x:v>
      </x:c>
      <x:c r="F3049" s="37" t="str">
        <x:v>2</x:v>
      </x:c>
      <x:c r="G3049" s="37" t="str">
        <x:v>37.40</x:v>
      </x:c>
      <x:c r="H3049" s="37" t="str">
        <x:v>0.00</x:v>
      </x:c>
      <x:c r="I3049" s="37" t="str">
        <x:v>37.40</x:v>
      </x:c>
      <x:c r="J3049" s="37" t="str">
        <x:v>0.00</x:v>
      </x:c>
      <x:c r="K3049" s="37" t="str">
        <x:v>0.00</x:v>
      </x:c>
      <x:c r="L3049" s="37" t="str">
        <x:v>86</x:v>
      </x:c>
      <x:c r="M3049" s="29" t="str">
        <x:v>34.58</x:v>
      </x:c>
      <x:c r="N3049" s="29" t="str">
        <x:v>27.67</x:v>
      </x:c>
      <x:c r="O3049" s="29" t="str">
        <x:v>6.91</x:v>
      </x:c>
      <x:c r="P3049" s="18" t="str">
        <x:v>2026-06-16</x:v>
      </x:c>
      <x:c r="Q3049" s="36" t="n">
        <x:v>46189</x:v>
      </x:c>
    </x:row>
    <x:row r="3050">
      <x:c r="A3050" s="36" t="str">
        <x:v>2026-06-16</x:v>
      </x:c>
      <x:c r="B3050" s="18" t="str">
        <x:v>101437000_99889</x:v>
      </x:c>
      <x:c r="C3050" s="18" t="str">
        <x:v>【沪村小电】漕泾郊野公园</x:v>
      </x:c>
      <x:c r="D3050" s="37" t="str">
        <x:v>2</x:v>
      </x:c>
      <x:c r="E3050" s="37" t="str">
        <x:v>0</x:v>
      </x:c>
      <x:c r="F3050" s="37" t="str">
        <x:v>6</x:v>
      </x:c>
      <x:c r="G3050" s="37" t="str">
        <x:v>158.00</x:v>
      </x:c>
      <x:c r="H3050" s="37" t="str">
        <x:v>0.00</x:v>
      </x:c>
      <x:c r="I3050" s="37" t="str">
        <x:v>4.83</x:v>
      </x:c>
      <x:c r="J3050" s="37" t="str">
        <x:v>120.48</x:v>
      </x:c>
      <x:c r="K3050" s="37" t="str">
        <x:v>32.69</x:v>
      </x:c>
      <x:c r="L3050" s="37" t="str">
        <x:v>214</x:v>
      </x:c>
      <x:c r="M3050" s="29" t="str">
        <x:v>157.86</x:v>
      </x:c>
      <x:c r="N3050" s="29" t="str">
        <x:v>125.62</x:v>
      </x:c>
      <x:c r="O3050" s="29" t="str">
        <x:v>32.24</x:v>
      </x:c>
      <x:c r="P3050" s="18" t="str">
        <x:v>2026-06-16</x:v>
      </x:c>
      <x:c r="Q3050" s="36" t="n">
        <x:v>46189</x:v>
      </x:c>
    </x:row>
  </x:sheetData>
  <x:pageMargins left="0.7" right="0.7" top="0.75" bottom="0.75" header="0.3" footer="0.3"/>
  <x:legacyDrawing xmlns:r="http://schemas.openxmlformats.org/officeDocument/2006/relationships" r:id="R5663667e22f8478b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6" customHeight="1">
      <x:c r="A1" s="4" t="str">
        <x:v>历史单枪模型｜站级聚合与成熟站基准</x:v>
      </x:c>
      <x:c r="B1" s="4" t="str">
        <x:v>历史单枪模型｜站级聚合与成熟站基准</x:v>
      </x:c>
      <x:c r="C1" s="4" t="str">
        <x:v>历史单枪模型｜站级聚合与成熟站基准</x:v>
      </x:c>
      <x:c r="D1" s="4" t="str">
        <x:v>历史单枪模型｜站级聚合与成熟站基准</x:v>
      </x:c>
      <x:c r="E1" s="4" t="str">
        <x:v>历史单枪模型｜站级聚合与成熟站基准</x:v>
      </x:c>
      <x:c r="F1" s="4" t="str">
        <x:v>历史单枪模型｜站级聚合与成熟站基准</x:v>
      </x:c>
      <x:c r="G1" s="4" t="str">
        <x:v>历史单枪模型｜站级聚合与成熟站基准</x:v>
      </x:c>
      <x:c r="H1" s="4" t="str">
        <x:v>历史单枪模型｜站级聚合与成熟站基准</x:v>
      </x:c>
      <x:c r="I1" s="4" t="str">
        <x:v>历史单枪模型｜站级聚合与成熟站基准</x:v>
      </x:c>
      <x:c r="J1" s="4" t="str">
        <x:v>历史单枪模型｜站级聚合与成熟站基准</x:v>
      </x:c>
      <x:c r="K1" s="4" t="str">
        <x:v>历史单枪模型｜站级聚合与成熟站基准</x:v>
      </x:c>
      <x:c r="L1" s="4" t="str">
        <x:v>历史单枪模型｜站级聚合与成熟站基准</x:v>
      </x:c>
      <x:c r="M1" s="4" t="str">
        <x:v>历史单枪模型｜站级聚合与成熟站基准</x:v>
      </x:c>
      <x:c r="N1" s="4" t="str">
        <x:v>历史单枪模型｜站级聚合与成熟站基准</x:v>
      </x:c>
    </x:row>
    <x:row r="3">
      <x:c r="A3" s="13" t="str">
        <x:v>站级可审计计算</x:v>
      </x:c>
      <x:c r="B3" s="14" t="str">
        <x:v>站级可审计计算</x:v>
      </x:c>
      <x:c r="C3" s="14" t="str">
        <x:v>站级可审计计算</x:v>
      </x:c>
      <x:c r="D3" s="14" t="str">
        <x:v>站级可审计计算</x:v>
      </x:c>
      <x:c r="E3" s="14" t="str">
        <x:v>站级可审计计算</x:v>
      </x:c>
      <x:c r="F3" s="14" t="str">
        <x:v>站级可审计计算</x:v>
      </x:c>
      <x:c r="G3" s="14" t="str">
        <x:v>站级可审计计算</x:v>
      </x:c>
      <x:c r="H3" s="14" t="str">
        <x:v>站级可审计计算</x:v>
      </x:c>
      <x:c r="I3" s="14" t="str">
        <x:v>站级可审计计算</x:v>
      </x:c>
      <x:c r="J3" s="15" t="str">
        <x:v>站级可审计计算</x:v>
      </x:c>
      <x:c r="L3" s="13" t="str">
        <x:v>成熟站基准：工作簿公式 vs 纯函数参考</x:v>
      </x:c>
      <x:c r="M3" s="14" t="str">
        <x:v>成熟站基准：工作簿公式 vs 纯函数参考</x:v>
      </x:c>
      <x:c r="N3" s="15" t="str">
        <x:v>成熟站基准：工作簿公式 vs 纯函数参考</x:v>
      </x:c>
    </x:row>
    <x:row r="4">
      <x:c r="A4" s="13" t="str">
        <x:v>站点ID</x:v>
      </x:c>
      <x:c r="B4" s="14" t="str">
        <x:v>站点名称</x:v>
      </x:c>
      <x:c r="C4" s="14" t="str">
        <x:v>枪数</x:v>
      </x:c>
      <x:c r="D4" s="14" t="str">
        <x:v>有效日</x:v>
      </x:c>
      <x:c r="E4" s="14" t="str">
        <x:v>枪日</x:v>
      </x:c>
      <x:c r="F4" s="14" t="str">
        <x:v>服务费</x:v>
      </x:c>
      <x:c r="G4" s="14" t="str">
        <x:v>服务费/枪日</x:v>
      </x:c>
      <x:c r="H4" s="14" t="str">
        <x:v>成熟标志</x:v>
      </x:c>
      <x:c r="I4" s="14" t="str">
        <x:v>首个运营日</x:v>
      </x:c>
      <x:c r="J4" s="15" t="str">
        <x:v>末个运营日</x:v>
      </x:c>
      <x:c r="L4" s="13" t="str">
        <x:v>指标</x:v>
      </x:c>
      <x:c r="M4" s="14" t="str">
        <x:v>工作簿公式</x:v>
      </x:c>
      <x:c r="N4" s="15" t="str">
        <x:v>纯函数参考</x:v>
      </x:c>
    </x:row>
    <x:row r="5">
      <x:c r="L5" t="str">
        <x:v>成熟P25</x:v>
      </x:c>
      <x:c r="M5" s="29" t="n">
        <x:f>PERCENTILE.INC(K6:K65,0.25)</x:f>
        <x:v>28.36167362146051</x:v>
      </x:c>
      <x:c r="N5" s="35" t="n">
        <x:v>28.361673621460504</x:v>
      </x:c>
    </x:row>
    <x:row r="6">
      <x:c r="A6" t="str">
        <x:v>101437000_100523</x:v>
      </x:c>
      <x:c r="B6" t="str">
        <x:v>【沪村小电】民旺苑南区</x:v>
      </x:c>
      <x:c r="C6" s="40" t="n">
        <x:f>MAXIFS('历史原始数据'!$D$2:$D$3050,'历史原始数据'!$B$2:$B$3050,$A6)+MAXIFS('历史原始数据'!$E$2:$E$3050,'历史原始数据'!$B$2:$B$3050,$A6)</x:f>
        <x:v>4</x:v>
      </x:c>
      <x:c r="D6" s="40" t="n">
        <x:f>COUNTIFS('历史原始数据'!$B$2:$B$3050,$A6)</x:f>
        <x:v>16</x:v>
      </x:c>
      <x:c r="E6" s="37" t="n">
        <x:f>C6*D6</x:f>
        <x:v>64</x:v>
      </x:c>
      <x:c r="F6" s="29" t="n">
        <x:f>SUMIFS('历史原始数据'!$O$2:$O$3050,'历史原始数据'!$B$2:$B$3050,$A6)</x:f>
        <x:v>1227</x:v>
      </x:c>
      <x:c r="G6" s="29" t="n">
        <x:f>IFERROR(F6/E6,0)</x:f>
        <x:v>19.171875</x:v>
      </x:c>
      <x:c r="H6" s="41" t="n">
        <x:f>IF(D6&gt;='核心假设'!$B$40,1,0)</x:f>
        <x:v>0</x:v>
      </x:c>
      <x:c r="I6" s="42" t="n">
        <x:f>IF(D6=0,"",MINIFS('历史原始数据'!$Q$2:$Q$3050,'历史原始数据'!$B$2:$B$3050,$A6))</x:f>
        <x:v>46234</x:v>
      </x:c>
      <x:c r="J6" s="42" t="n">
        <x:f>IF(D6=0,"",MAXIFS('历史原始数据'!$Q$2:$Q$3050,'历史原始数据'!$B$2:$B$3050,$A6))</x:f>
        <x:v>46249</x:v>
      </x:c>
      <x:c r="K6" s="18" t="str">
        <x:f>IF(H6=1,G6,"")</x:f>
      </x:c>
      <x:c r="L6" t="str">
        <x:v>成熟P50</x:v>
      </x:c>
      <x:c r="M6" s="29" t="n">
        <x:f>MEDIAN(K6:K65)</x:f>
        <x:v>60.775000000000006</x:v>
      </x:c>
      <x:c r="N6" s="35" t="n">
        <x:v>60.775000000000006</x:v>
      </x:c>
    </x:row>
    <x:row r="7">
      <x:c r="A7" t="str">
        <x:v>101437000_101531</x:v>
      </x:c>
      <x:c r="B7" t="str">
        <x:v>【沪村小电】汇中苑充电站</x:v>
      </x:c>
      <x:c r="C7" s="40" t="n">
        <x:f>MAXIFS('历史原始数据'!$D$2:$D$3050,'历史原始数据'!$B$2:$B$3050,$A7)+MAXIFS('历史原始数据'!$E$2:$E$3050,'历史原始数据'!$B$2:$B$3050,$A7)</x:f>
        <x:v>2</x:v>
      </x:c>
      <x:c r="D7" s="40" t="n">
        <x:f>COUNTIFS('历史原始数据'!$B$2:$B$3050,$A7)</x:f>
        <x:v>32</x:v>
      </x:c>
      <x:c r="E7" s="37" t="n">
        <x:f>C7*D7</x:f>
        <x:v>64</x:v>
      </x:c>
      <x:c r="F7" s="29" t="n">
        <x:f>SUMIFS('历史原始数据'!$O$2:$O$3050,'历史原始数据'!$B$2:$B$3050,$A7)</x:f>
        <x:v>3180.5200000000013</x:v>
      </x:c>
      <x:c r="G7" s="29" t="n">
        <x:f>IFERROR(F7/E7,0)</x:f>
        <x:v>49.69562500000002</x:v>
      </x:c>
      <x:c r="H7" s="41" t="n">
        <x:f>IF(D7&gt;='核心假设'!$B$40,1,0)</x:f>
        <x:v>1</x:v>
      </x:c>
      <x:c r="I7" s="42" t="n">
        <x:f>IF(D7=0,"",MINIFS('历史原始数据'!$Q$2:$Q$3050,'历史原始数据'!$B$2:$B$3050,$A7))</x:f>
        <x:v>46202</x:v>
      </x:c>
      <x:c r="J7" s="42" t="n">
        <x:f>IF(D7=0,"",MAXIFS('历史原始数据'!$Q$2:$Q$3050,'历史原始数据'!$B$2:$B$3050,$A7))</x:f>
        <x:v>46249</x:v>
      </x:c>
      <x:c r="K7" s="18" t="n">
        <x:f>IF(H7=1,G7,"")</x:f>
        <x:v>49.69562500000002</x:v>
      </x:c>
      <x:c r="L7" t="str">
        <x:v>成熟加权</x:v>
      </x:c>
      <x:c r="M7" s="29" t="n">
        <x:f>SUMIFS(F6:F65,H6:H65,1)/SUMIFS(E6:E65,H6:H65,1)</x:f>
        <x:v>62.73287000692681</x:v>
      </x:c>
      <x:c r="N7" s="35" t="n">
        <x:v>62.73287000692681</x:v>
      </x:c>
    </x:row>
    <x:row r="8">
      <x:c r="A8" t="str">
        <x:v>101437000_102047</x:v>
      </x:c>
      <x:c r="B8" t="str">
        <x:v>【沪村小电】后浜小区9弄小区南面停车场充电站</x:v>
      </x:c>
      <x:c r="C8" s="40" t="n">
        <x:f>MAXIFS('历史原始数据'!$D$2:$D$3050,'历史原始数据'!$B$2:$B$3050,$A8)+MAXIFS('历史原始数据'!$E$2:$E$3050,'历史原始数据'!$B$2:$B$3050,$A8)</x:f>
        <x:v>8</x:v>
      </x:c>
      <x:c r="D8" s="40" t="n">
        <x:f>COUNTIFS('历史原始数据'!$B$2:$B$3050,$A8)</x:f>
        <x:v>27</x:v>
      </x:c>
      <x:c r="E8" s="37" t="n">
        <x:f>C8*D8</x:f>
        <x:v>216</x:v>
      </x:c>
      <x:c r="F8" s="29" t="n">
        <x:f>SUMIFS('历史原始数据'!$O$2:$O$3050,'历史原始数据'!$B$2:$B$3050,$A8)</x:f>
        <x:v>11565.630000000001</x:v>
      </x:c>
      <x:c r="G8" s="29" t="n">
        <x:f>IFERROR(F8/E8,0)</x:f>
        <x:v>53.544583333333335</x:v>
      </x:c>
      <x:c r="H8" s="41" t="n">
        <x:f>IF(D8&gt;='核心假设'!$B$40,1,0)</x:f>
        <x:v>0</x:v>
      </x:c>
      <x:c r="I8" s="42" t="n">
        <x:f>IF(D8=0,"",MINIFS('历史原始数据'!$Q$2:$Q$3050,'历史原始数据'!$B$2:$B$3050,$A8))</x:f>
        <x:v>46223</x:v>
      </x:c>
      <x:c r="J8" s="42" t="n">
        <x:f>IF(D8=0,"",MAXIFS('历史原始数据'!$Q$2:$Q$3050,'历史原始数据'!$B$2:$B$3050,$A8))</x:f>
        <x:v>46249</x:v>
      </x:c>
      <x:c r="K8" s="18" t="str">
        <x:f>IF(H8=1,G8,"")</x:f>
      </x:c>
      <x:c r="L8" t="str">
        <x:v>成熟站数</x:v>
      </x:c>
      <x:c r="M8" s="37" t="n">
        <x:f>SUM(H6:H65)</x:f>
        <x:v>52</x:v>
      </x:c>
      <x:c r="N8" s="33" t="n">
        <x:v>52</x:v>
      </x:c>
    </x:row>
    <x:row r="9">
      <x:c r="A9" t="str">
        <x:v>101437000_103503</x:v>
      </x:c>
      <x:c r="B9" t="str">
        <x:v>【沪村小电】阳光城新界充电站</x:v>
      </x:c>
      <x:c r="C9" s="40" t="n">
        <x:f>MAXIFS('历史原始数据'!$D$2:$D$3050,'历史原始数据'!$B$2:$B$3050,$A9)+MAXIFS('历史原始数据'!$E$2:$E$3050,'历史原始数据'!$B$2:$B$3050,$A9)</x:f>
        <x:v>4</x:v>
      </x:c>
      <x:c r="D9" s="40" t="n">
        <x:f>COUNTIFS('历史原始数据'!$B$2:$B$3050,$A9)</x:f>
        <x:v>33</x:v>
      </x:c>
      <x:c r="E9" s="37" t="n">
        <x:f>C9*D9</x:f>
        <x:v>132</x:v>
      </x:c>
      <x:c r="F9" s="29" t="n">
        <x:f>SUMIFS('历史原始数据'!$O$2:$O$3050,'历史原始数据'!$B$2:$B$3050,$A9)</x:f>
        <x:v>5644.24</x:v>
      </x:c>
      <x:c r="G9" s="29" t="n">
        <x:f>IFERROR(F9/E9,0)</x:f>
        <x:v>42.75939393939394</x:v>
      </x:c>
      <x:c r="H9" s="41" t="n">
        <x:f>IF(D9&gt;='核心假设'!$B$40,1,0)</x:f>
        <x:v>1</x:v>
      </x:c>
      <x:c r="I9" s="42" t="n">
        <x:f>IF(D9=0,"",MINIFS('历史原始数据'!$Q$2:$Q$3050,'历史原始数据'!$B$2:$B$3050,$A9))</x:f>
        <x:v>46217</x:v>
      </x:c>
      <x:c r="J9" s="42" t="n">
        <x:f>IF(D9=0,"",MAXIFS('历史原始数据'!$Q$2:$Q$3050,'历史原始数据'!$B$2:$B$3050,$A9))</x:f>
        <x:v>46249</x:v>
      </x:c>
      <x:c r="K9" s="18" t="n">
        <x:f>IF(H9=1,G9,"")</x:f>
        <x:v>42.75939393939394</x:v>
      </x:c>
      <x:c r="L9" t="str">
        <x:v>源记录数</x:v>
      </x:c>
      <x:c r="M9" s="40" t="n">
        <x:f>COUNTA('历史原始数据'!$A$2:$A$3050)</x:f>
        <x:v>3049</x:v>
      </x:c>
      <x:c r="N9" s="33" t="n">
        <x:v>3049</x:v>
      </x:c>
    </x:row>
    <x:row r="10">
      <x:c r="A10" t="str">
        <x:v>101437000_41561</x:v>
      </x:c>
      <x:c r="B10" t="str">
        <x:v>【沪村小电】张施小区大门处快充站</x:v>
      </x:c>
      <x:c r="C10" s="40" t="n">
        <x:f>MAXIFS('历史原始数据'!$D$2:$D$3050,'历史原始数据'!$B$2:$B$3050,$A10)+MAXIFS('历史原始数据'!$E$2:$E$3050,'历史原始数据'!$B$2:$B$3050,$A10)</x:f>
        <x:v>2</x:v>
      </x:c>
      <x:c r="D10" s="40" t="n">
        <x:f>COUNTIFS('历史原始数据'!$B$2:$B$3050,$A10)</x:f>
        <x:v>61</x:v>
      </x:c>
      <x:c r="E10" s="37" t="n">
        <x:f>C10*D10</x:f>
        <x:v>122</x:v>
      </x:c>
      <x:c r="F10" s="29" t="n">
        <x:f>SUMIFS('历史原始数据'!$O$2:$O$3050,'历史原始数据'!$B$2:$B$3050,$A10)</x:f>
        <x:v>15929.140000000005</x:v>
      </x:c>
      <x:c r="G10" s="29" t="n">
        <x:f>IFERROR(F10/E10,0)</x:f>
        <x:v>130.56672131147545</x:v>
      </x:c>
      <x:c r="H10" s="41" t="n">
        <x:f>IF(D10&gt;='核心假设'!$B$40,1,0)</x:f>
        <x:v>1</x:v>
      </x:c>
      <x:c r="I10" s="42" t="n">
        <x:f>IF(D10=0,"",MINIFS('历史原始数据'!$Q$2:$Q$3050,'历史原始数据'!$B$2:$B$3050,$A10))</x:f>
        <x:v>46189</x:v>
      </x:c>
      <x:c r="J10" s="42" t="n">
        <x:f>IF(D10=0,"",MAXIFS('历史原始数据'!$Q$2:$Q$3050,'历史原始数据'!$B$2:$B$3050,$A10))</x:f>
        <x:v>46249</x:v>
      </x:c>
      <x:c r="K10" s="18" t="n">
        <x:f>IF(H10=1,G10,"")</x:f>
        <x:v>130.56672131147545</x:v>
      </x:c>
    </x:row>
    <x:row r="11">
      <x:c r="A11" t="str">
        <x:v>101437000_41563</x:v>
      </x:c>
      <x:c r="B11" t="str">
        <x:v>【沪村小电】同心村快充站</x:v>
      </x:c>
      <x:c r="C11" s="40" t="n">
        <x:f>MAXIFS('历史原始数据'!$D$2:$D$3050,'历史原始数据'!$B$2:$B$3050,$A11)+MAXIFS('历史原始数据'!$E$2:$E$3050,'历史原始数据'!$B$2:$B$3050,$A11)</x:f>
        <x:v>4</x:v>
      </x:c>
      <x:c r="D11" s="40" t="n">
        <x:f>COUNTIFS('历史原始数据'!$B$2:$B$3050,$A11)</x:f>
        <x:v>61</x:v>
      </x:c>
      <x:c r="E11" s="37" t="n">
        <x:f>C11*D11</x:f>
        <x:v>244</x:v>
      </x:c>
      <x:c r="F11" s="29" t="n">
        <x:f>SUMIFS('历史原始数据'!$O$2:$O$3050,'历史原始数据'!$B$2:$B$3050,$A11)</x:f>
        <x:v>24065.51</x:v>
      </x:c>
      <x:c r="G11" s="29" t="n">
        <x:f>IFERROR(F11/E11,0)</x:f>
        <x:v>98.62913934426228</x:v>
      </x:c>
      <x:c r="H11" s="41" t="n">
        <x:f>IF(D11&gt;='核心假设'!$B$40,1,0)</x:f>
        <x:v>1</x:v>
      </x:c>
      <x:c r="I11" s="42" t="n">
        <x:f>IF(D11=0,"",MINIFS('历史原始数据'!$Q$2:$Q$3050,'历史原始数据'!$B$2:$B$3050,$A11))</x:f>
        <x:v>46189</x:v>
      </x:c>
      <x:c r="J11" s="42" t="n">
        <x:f>IF(D11=0,"",MAXIFS('历史原始数据'!$Q$2:$Q$3050,'历史原始数据'!$B$2:$B$3050,$A11))</x:f>
        <x:v>46249</x:v>
      </x:c>
      <x:c r="K11" s="18" t="n">
        <x:f>IF(H11=1,G11,"")</x:f>
        <x:v>98.62913934426228</x:v>
      </x:c>
    </x:row>
    <x:row r="12">
      <x:c r="A12" t="str">
        <x:v>101437000_69629</x:v>
      </x:c>
      <x:c r="B12" t="str">
        <x:v>【沪村小电】骏丰玲珑坊西苑充电站</x:v>
      </x:c>
      <x:c r="C12" s="40" t="n">
        <x:f>MAXIFS('历史原始数据'!$D$2:$D$3050,'历史原始数据'!$B$2:$B$3050,$A12)+MAXIFS('历史原始数据'!$E$2:$E$3050,'历史原始数据'!$B$2:$B$3050,$A12)</x:f>
        <x:v>2</x:v>
      </x:c>
      <x:c r="D12" s="40" t="n">
        <x:f>COUNTIFS('历史原始数据'!$B$2:$B$3050,$A12)</x:f>
        <x:v>61</x:v>
      </x:c>
      <x:c r="E12" s="37" t="n">
        <x:f>C12*D12</x:f>
        <x:v>122</x:v>
      </x:c>
      <x:c r="F12" s="29" t="n">
        <x:f>SUMIFS('历史原始数据'!$O$2:$O$3050,'历史原始数据'!$B$2:$B$3050,$A12)</x:f>
        <x:v>23161.30000000001</x:v>
      </x:c>
      <x:c r="G12" s="29" t="n">
        <x:f>IFERROR(F12/E12,0)</x:f>
        <x:v>189.8467213114755</x:v>
      </x:c>
      <x:c r="H12" s="41" t="n">
        <x:f>IF(D12&gt;='核心假设'!$B$40,1,0)</x:f>
        <x:v>1</x:v>
      </x:c>
      <x:c r="I12" s="42" t="n">
        <x:f>IF(D12=0,"",MINIFS('历史原始数据'!$Q$2:$Q$3050,'历史原始数据'!$B$2:$B$3050,$A12))</x:f>
        <x:v>46189</x:v>
      </x:c>
      <x:c r="J12" s="42" t="n">
        <x:f>IF(D12=0,"",MAXIFS('历史原始数据'!$Q$2:$Q$3050,'历史原始数据'!$B$2:$B$3050,$A12))</x:f>
        <x:v>46249</x:v>
      </x:c>
      <x:c r="K12" s="18" t="n">
        <x:f>IF(H12=1,G12,"")</x:f>
        <x:v>189.8467213114755</x:v>
      </x:c>
    </x:row>
    <x:row r="13">
      <x:c r="A13" t="str">
        <x:v>101437000_70547</x:v>
      </x:c>
      <x:c r="B13" t="str">
        <x:v>【沪村小电】农建村初心馆党群服务中心充电站</x:v>
      </x:c>
      <x:c r="C13" s="40" t="n">
        <x:f>MAXIFS('历史原始数据'!$D$2:$D$3050,'历史原始数据'!$B$2:$B$3050,$A13)+MAXIFS('历史原始数据'!$E$2:$E$3050,'历史原始数据'!$B$2:$B$3050,$A13)</x:f>
        <x:v>4</x:v>
      </x:c>
      <x:c r="D13" s="40" t="n">
        <x:f>COUNTIFS('历史原始数据'!$B$2:$B$3050,$A13)</x:f>
        <x:v>61</x:v>
      </x:c>
      <x:c r="E13" s="37" t="n">
        <x:f>C13*D13</x:f>
        <x:v>244</x:v>
      </x:c>
      <x:c r="F13" s="29" t="n">
        <x:f>SUMIFS('历史原始数据'!$O$2:$O$3050,'历史原始数据'!$B$2:$B$3050,$A13)</x:f>
        <x:v>9565.009999999998</x:v>
      </x:c>
      <x:c r="G13" s="29" t="n">
        <x:f>IFERROR(F13/E13,0)</x:f>
        <x:v>39.2008606557377</x:v>
      </x:c>
      <x:c r="H13" s="41" t="n">
        <x:f>IF(D13&gt;='核心假设'!$B$40,1,0)</x:f>
        <x:v>1</x:v>
      </x:c>
      <x:c r="I13" s="42" t="n">
        <x:f>IF(D13=0,"",MINIFS('历史原始数据'!$Q$2:$Q$3050,'历史原始数据'!$B$2:$B$3050,$A13))</x:f>
        <x:v>46189</x:v>
      </x:c>
      <x:c r="J13" s="42" t="n">
        <x:f>IF(D13=0,"",MAXIFS('历史原始数据'!$Q$2:$Q$3050,'历史原始数据'!$B$2:$B$3050,$A13))</x:f>
        <x:v>46249</x:v>
      </x:c>
      <x:c r="K13" s="18" t="n">
        <x:f>IF(H13=1,G13,"")</x:f>
        <x:v>39.2008606557377</x:v>
      </x:c>
    </x:row>
    <x:row r="14">
      <x:c r="A14" t="str">
        <x:v>101437000_70549</x:v>
      </x:c>
      <x:c r="B14" t="str">
        <x:v>【沪村小电】学府路充电站</x:v>
      </x:c>
      <x:c r="C14" s="40" t="n">
        <x:f>MAXIFS('历史原始数据'!$D$2:$D$3050,'历史原始数据'!$B$2:$B$3050,$A14)+MAXIFS('历史原始数据'!$E$2:$E$3050,'历史原始数据'!$B$2:$B$3050,$A14)</x:f>
        <x:v>2</x:v>
      </x:c>
      <x:c r="D14" s="40" t="n">
        <x:f>COUNTIFS('历史原始数据'!$B$2:$B$3050,$A14)</x:f>
        <x:v>61</x:v>
      </x:c>
      <x:c r="E14" s="37" t="n">
        <x:f>C14*D14</x:f>
        <x:v>122</x:v>
      </x:c>
      <x:c r="F14" s="29" t="n">
        <x:f>SUMIFS('历史原始数据'!$O$2:$O$3050,'历史原始数据'!$B$2:$B$3050,$A14)</x:f>
        <x:v>4209.06</x:v>
      </x:c>
      <x:c r="G14" s="29" t="n">
        <x:f>IFERROR(F14/E14,0)</x:f>
        <x:v>34.50049180327869</x:v>
      </x:c>
      <x:c r="H14" s="41" t="n">
        <x:f>IF(D14&gt;='核心假设'!$B$40,1,0)</x:f>
        <x:v>1</x:v>
      </x:c>
      <x:c r="I14" s="42" t="n">
        <x:f>IF(D14=0,"",MINIFS('历史原始数据'!$Q$2:$Q$3050,'历史原始数据'!$B$2:$B$3050,$A14))</x:f>
        <x:v>46189</x:v>
      </x:c>
      <x:c r="J14" s="42" t="n">
        <x:f>IF(D14=0,"",MAXIFS('历史原始数据'!$Q$2:$Q$3050,'历史原始数据'!$B$2:$B$3050,$A14))</x:f>
        <x:v>46249</x:v>
      </x:c>
      <x:c r="K14" s="18" t="n">
        <x:f>IF(H14=1,G14,"")</x:f>
        <x:v>34.50049180327869</x:v>
      </x:c>
    </x:row>
    <x:row r="15">
      <x:c r="A15" t="str">
        <x:v>101437000_71059</x:v>
      </x:c>
      <x:c r="B15" t="str">
        <x:v>【沪村小电】宝乐汇商业广场站</x:v>
      </x:c>
      <x:c r="C15" s="40" t="n">
        <x:f>MAXIFS('历史原始数据'!$D$2:$D$3050,'历史原始数据'!$B$2:$B$3050,$A15)+MAXIFS('历史原始数据'!$E$2:$E$3050,'历史原始数据'!$B$2:$B$3050,$A15)</x:f>
        <x:v>4</x:v>
      </x:c>
      <x:c r="D15" s="40" t="n">
        <x:f>COUNTIFS('历史原始数据'!$B$2:$B$3050,$A15)</x:f>
        <x:v>61</x:v>
      </x:c>
      <x:c r="E15" s="37" t="n">
        <x:f>C15*D15</x:f>
        <x:v>244</x:v>
      </x:c>
      <x:c r="F15" s="29" t="n">
        <x:f>SUMIFS('历史原始数据'!$O$2:$O$3050,'历史原始数据'!$B$2:$B$3050,$A15)</x:f>
        <x:v>6694.219999999998</x:v>
      </x:c>
      <x:c r="G15" s="29" t="n">
        <x:f>IFERROR(F15/E15,0)</x:f>
        <x:v>27.435327868852454</x:v>
      </x:c>
      <x:c r="H15" s="41" t="n">
        <x:f>IF(D15&gt;='核心假设'!$B$40,1,0)</x:f>
        <x:v>1</x:v>
      </x:c>
      <x:c r="I15" s="42" t="n">
        <x:f>IF(D15=0,"",MINIFS('历史原始数据'!$Q$2:$Q$3050,'历史原始数据'!$B$2:$B$3050,$A15))</x:f>
        <x:v>46189</x:v>
      </x:c>
      <x:c r="J15" s="42" t="n">
        <x:f>IF(D15=0,"",MAXIFS('历史原始数据'!$Q$2:$Q$3050,'历史原始数据'!$B$2:$B$3050,$A15))</x:f>
        <x:v>46249</x:v>
      </x:c>
      <x:c r="K15" s="18" t="n">
        <x:f>IF(H15=1,G15,"")</x:f>
        <x:v>27.435327868852454</x:v>
      </x:c>
    </x:row>
    <x:row r="16">
      <x:c r="A16" t="str">
        <x:v>101437000_72541</x:v>
      </x:c>
      <x:c r="B16" t="str">
        <x:v>【沪村小电】九干路1174弄充电站</x:v>
      </x:c>
      <x:c r="C16" s="40" t="n">
        <x:f>MAXIFS('历史原始数据'!$D$2:$D$3050,'历史原始数据'!$B$2:$B$3050,$A16)+MAXIFS('历史原始数据'!$E$2:$E$3050,'历史原始数据'!$B$2:$B$3050,$A16)</x:f>
        <x:v>2</x:v>
      </x:c>
      <x:c r="D16" s="40" t="n">
        <x:f>COUNTIFS('历史原始数据'!$B$2:$B$3050,$A16)</x:f>
        <x:v>61</x:v>
      </x:c>
      <x:c r="E16" s="37" t="n">
        <x:f>C16*D16</x:f>
        <x:v>122</x:v>
      </x:c>
      <x:c r="F16" s="29" t="n">
        <x:f>SUMIFS('历史原始数据'!$O$2:$O$3050,'历史原始数据'!$B$2:$B$3050,$A16)</x:f>
        <x:v>14618.870000000006</x:v>
      </x:c>
      <x:c r="G16" s="29" t="n">
        <x:f>IFERROR(F16/E16,0)</x:f>
        <x:v>119.82680327868857</x:v>
      </x:c>
      <x:c r="H16" s="41" t="n">
        <x:f>IF(D16&gt;='核心假设'!$B$40,1,0)</x:f>
        <x:v>1</x:v>
      </x:c>
      <x:c r="I16" s="42" t="n">
        <x:f>IF(D16=0,"",MINIFS('历史原始数据'!$Q$2:$Q$3050,'历史原始数据'!$B$2:$B$3050,$A16))</x:f>
        <x:v>46189</x:v>
      </x:c>
      <x:c r="J16" s="42" t="n">
        <x:f>IF(D16=0,"",MAXIFS('历史原始数据'!$Q$2:$Q$3050,'历史原始数据'!$B$2:$B$3050,$A16))</x:f>
        <x:v>46249</x:v>
      </x:c>
      <x:c r="K16" s="18" t="n">
        <x:f>IF(H16=1,G16,"")</x:f>
        <x:v>119.82680327868857</x:v>
      </x:c>
    </x:row>
    <x:row r="17">
      <x:c r="A17" t="str">
        <x:v>101437000_72543</x:v>
      </x:c>
      <x:c r="B17" t="str">
        <x:v>【沪村小电】叶家中心村小区充电站</x:v>
      </x:c>
      <x:c r="C17" s="40" t="n">
        <x:f>MAXIFS('历史原始数据'!$D$2:$D$3050,'历史原始数据'!$B$2:$B$3050,$A17)+MAXIFS('历史原始数据'!$E$2:$E$3050,'历史原始数据'!$B$2:$B$3050,$A17)</x:f>
        <x:v>2</x:v>
      </x:c>
      <x:c r="D17" s="40" t="n">
        <x:f>COUNTIFS('历史原始数据'!$B$2:$B$3050,$A17)</x:f>
        <x:v>61</x:v>
      </x:c>
      <x:c r="E17" s="37" t="n">
        <x:f>C17*D17</x:f>
        <x:v>122</x:v>
      </x:c>
      <x:c r="F17" s="29" t="n">
        <x:f>SUMIFS('历史原始数据'!$O$2:$O$3050,'历史原始数据'!$B$2:$B$3050,$A17)</x:f>
        <x:v>15730.979999999998</x:v>
      </x:c>
      <x:c r="G17" s="29" t="n">
        <x:f>IFERROR(F17/E17,0)</x:f>
        <x:v>128.94245901639343</x:v>
      </x:c>
      <x:c r="H17" s="41" t="n">
        <x:f>IF(D17&gt;='核心假设'!$B$40,1,0)</x:f>
        <x:v>1</x:v>
      </x:c>
      <x:c r="I17" s="42" t="n">
        <x:f>IF(D17=0,"",MINIFS('历史原始数据'!$Q$2:$Q$3050,'历史原始数据'!$B$2:$B$3050,$A17))</x:f>
        <x:v>46189</x:v>
      </x:c>
      <x:c r="J17" s="42" t="n">
        <x:f>IF(D17=0,"",MAXIFS('历史原始数据'!$Q$2:$Q$3050,'历史原始数据'!$B$2:$B$3050,$A17))</x:f>
        <x:v>46249</x:v>
      </x:c>
      <x:c r="K17" s="18" t="n">
        <x:f>IF(H17=1,G17,"")</x:f>
        <x:v>128.94245901639343</x:v>
      </x:c>
    </x:row>
    <x:row r="18">
      <x:c r="A18" t="str">
        <x:v>101437000_74223</x:v>
      </x:c>
      <x:c r="B18" t="str">
        <x:v>【沪村小电】中兴村委会充电站</x:v>
      </x:c>
      <x:c r="C18" s="40" t="n">
        <x:f>MAXIFS('历史原始数据'!$D$2:$D$3050,'历史原始数据'!$B$2:$B$3050,$A18)+MAXIFS('历史原始数据'!$E$2:$E$3050,'历史原始数据'!$B$2:$B$3050,$A18)</x:f>
        <x:v>2</x:v>
      </x:c>
      <x:c r="D18" s="40" t="n">
        <x:f>COUNTIFS('历史原始数据'!$B$2:$B$3050,$A18)</x:f>
        <x:v>61</x:v>
      </x:c>
      <x:c r="E18" s="37" t="n">
        <x:f>C18*D18</x:f>
        <x:v>122</x:v>
      </x:c>
      <x:c r="F18" s="29" t="n">
        <x:f>SUMIFS('历史原始数据'!$O$2:$O$3050,'历史原始数据'!$B$2:$B$3050,$A18)</x:f>
        <x:v>8057.420000000001</x:v>
      </x:c>
      <x:c r="G18" s="29" t="n">
        <x:f>IFERROR(F18/E18,0)</x:f>
        <x:v>66.0444262295082</x:v>
      </x:c>
      <x:c r="H18" s="41" t="n">
        <x:f>IF(D18&gt;='核心假设'!$B$40,1,0)</x:f>
        <x:v>1</x:v>
      </x:c>
      <x:c r="I18" s="42" t="n">
        <x:f>IF(D18=0,"",MINIFS('历史原始数据'!$Q$2:$Q$3050,'历史原始数据'!$B$2:$B$3050,$A18))</x:f>
        <x:v>46189</x:v>
      </x:c>
      <x:c r="J18" s="42" t="n">
        <x:f>IF(D18=0,"",MAXIFS('历史原始数据'!$Q$2:$Q$3050,'历史原始数据'!$B$2:$B$3050,$A18))</x:f>
        <x:v>46249</x:v>
      </x:c>
      <x:c r="K18" s="18" t="n">
        <x:f>IF(H18=1,G18,"")</x:f>
        <x:v>66.0444262295082</x:v>
      </x:c>
    </x:row>
    <x:row r="19">
      <x:c r="A19" t="str">
        <x:v>101437000_74801</x:v>
      </x:c>
      <x:c r="B19" t="str">
        <x:v>【沪村小电】申良花园充电站</x:v>
      </x:c>
      <x:c r="C19" s="40" t="n">
        <x:f>MAXIFS('历史原始数据'!$D$2:$D$3050,'历史原始数据'!$B$2:$B$3050,$A19)+MAXIFS('历史原始数据'!$E$2:$E$3050,'历史原始数据'!$B$2:$B$3050,$A19)</x:f>
        <x:v>4</x:v>
      </x:c>
      <x:c r="D19" s="40" t="n">
        <x:f>COUNTIFS('历史原始数据'!$B$2:$B$3050,$A19)</x:f>
        <x:v>60</x:v>
      </x:c>
      <x:c r="E19" s="37" t="n">
        <x:f>C19*D19</x:f>
        <x:v>240</x:v>
      </x:c>
      <x:c r="F19" s="29" t="n">
        <x:f>SUMIFS('历史原始数据'!$O$2:$O$3050,'历史原始数据'!$B$2:$B$3050,$A19)</x:f>
        <x:v>4808.8600000000015</x:v>
      </x:c>
      <x:c r="G19" s="29" t="n">
        <x:f>IFERROR(F19/E19,0)</x:f>
        <x:v>20.036916666666674</x:v>
      </x:c>
      <x:c r="H19" s="41" t="n">
        <x:f>IF(D19&gt;='核心假设'!$B$40,1,0)</x:f>
        <x:v>1</x:v>
      </x:c>
      <x:c r="I19" s="42" t="n">
        <x:f>IF(D19=0,"",MINIFS('历史原始数据'!$Q$2:$Q$3050,'历史原始数据'!$B$2:$B$3050,$A19))</x:f>
        <x:v>46189</x:v>
      </x:c>
      <x:c r="J19" s="42" t="n">
        <x:f>IF(D19=0,"",MAXIFS('历史原始数据'!$Q$2:$Q$3050,'历史原始数据'!$B$2:$B$3050,$A19))</x:f>
        <x:v>46249</x:v>
      </x:c>
      <x:c r="K19" s="18" t="n">
        <x:f>IF(H19=1,G19,"")</x:f>
        <x:v>20.036916666666674</x:v>
      </x:c>
    </x:row>
    <x:row r="20">
      <x:c r="A20" t="str">
        <x:v>101437000_74931</x:v>
      </x:c>
      <x:c r="B20" t="str">
        <x:v>【沪村小电】枫雅南居充电站</x:v>
      </x:c>
      <x:c r="C20" s="40" t="n">
        <x:f>MAXIFS('历史原始数据'!$D$2:$D$3050,'历史原始数据'!$B$2:$B$3050,$A20)+MAXIFS('历史原始数据'!$E$2:$E$3050,'历史原始数据'!$B$2:$B$3050,$A20)</x:f>
        <x:v>2</x:v>
      </x:c>
      <x:c r="D20" s="40" t="n">
        <x:f>COUNTIFS('历史原始数据'!$B$2:$B$3050,$A20)</x:f>
        <x:v>61</x:v>
      </x:c>
      <x:c r="E20" s="37" t="n">
        <x:f>C20*D20</x:f>
        <x:v>122</x:v>
      </x:c>
      <x:c r="F20" s="29" t="n">
        <x:f>SUMIFS('历史原始数据'!$O$2:$O$3050,'历史原始数据'!$B$2:$B$3050,$A20)</x:f>
        <x:v>15295.289999999999</x:v>
      </x:c>
      <x:c r="G20" s="29" t="n">
        <x:f>IFERROR(F20/E20,0)</x:f>
        <x:v>125.37122950819672</x:v>
      </x:c>
      <x:c r="H20" s="41" t="n">
        <x:f>IF(D20&gt;='核心假设'!$B$40,1,0)</x:f>
        <x:v>1</x:v>
      </x:c>
      <x:c r="I20" s="42" t="n">
        <x:f>IF(D20=0,"",MINIFS('历史原始数据'!$Q$2:$Q$3050,'历史原始数据'!$B$2:$B$3050,$A20))</x:f>
        <x:v>46189</x:v>
      </x:c>
      <x:c r="J20" s="42" t="n">
        <x:f>IF(D20=0,"",MAXIFS('历史原始数据'!$Q$2:$Q$3050,'历史原始数据'!$B$2:$B$3050,$A20))</x:f>
        <x:v>46249</x:v>
      </x:c>
      <x:c r="K20" s="18" t="n">
        <x:f>IF(H20=1,G20,"")</x:f>
        <x:v>125.37122950819672</x:v>
      </x:c>
    </x:row>
    <x:row r="21">
      <x:c r="A21" t="str">
        <x:v>101437000_75901</x:v>
      </x:c>
      <x:c r="B21" t="str">
        <x:v>【沪村小电】金悦学府</x:v>
      </x:c>
      <x:c r="C21" s="40" t="n">
        <x:f>MAXIFS('历史原始数据'!$D$2:$D$3050,'历史原始数据'!$B$2:$B$3050,$A21)+MAXIFS('历史原始数据'!$E$2:$E$3050,'历史原始数据'!$B$2:$B$3050,$A21)</x:f>
        <x:v>2</x:v>
      </x:c>
      <x:c r="D21" s="40" t="n">
        <x:f>COUNTIFS('历史原始数据'!$B$2:$B$3050,$A21)</x:f>
        <x:v>61</x:v>
      </x:c>
      <x:c r="E21" s="37" t="n">
        <x:f>C21*D21</x:f>
        <x:v>122</x:v>
      </x:c>
      <x:c r="F21" s="29" t="n">
        <x:f>SUMIFS('历史原始数据'!$O$2:$O$3050,'历史原始数据'!$B$2:$B$3050,$A21)</x:f>
        <x:v>18008.53</x:v>
      </x:c>
      <x:c r="G21" s="29" t="n">
        <x:f>IFERROR(F21/E21,0)</x:f>
        <x:v>147.61090163934426</x:v>
      </x:c>
      <x:c r="H21" s="41" t="n">
        <x:f>IF(D21&gt;='核心假设'!$B$40,1,0)</x:f>
        <x:v>1</x:v>
      </x:c>
      <x:c r="I21" s="42" t="n">
        <x:f>IF(D21=0,"",MINIFS('历史原始数据'!$Q$2:$Q$3050,'历史原始数据'!$B$2:$B$3050,$A21))</x:f>
        <x:v>46189</x:v>
      </x:c>
      <x:c r="J21" s="42" t="n">
        <x:f>IF(D21=0,"",MAXIFS('历史原始数据'!$Q$2:$Q$3050,'历史原始数据'!$B$2:$B$3050,$A21))</x:f>
        <x:v>46249</x:v>
      </x:c>
      <x:c r="K21" s="18" t="n">
        <x:f>IF(H21=1,G21,"")</x:f>
        <x:v>147.61090163934426</x:v>
      </x:c>
    </x:row>
    <x:row r="22">
      <x:c r="A22" t="str">
        <x:v>101437000_76091</x:v>
      </x:c>
      <x:c r="B22" t="str">
        <x:v>【沪村小电】恒信家园充电站</x:v>
      </x:c>
      <x:c r="C22" s="40" t="n">
        <x:f>MAXIFS('历史原始数据'!$D$2:$D$3050,'历史原始数据'!$B$2:$B$3050,$A22)+MAXIFS('历史原始数据'!$E$2:$E$3050,'历史原始数据'!$B$2:$B$3050,$A22)</x:f>
        <x:v>2</x:v>
      </x:c>
      <x:c r="D22" s="40" t="n">
        <x:f>COUNTIFS('历史原始数据'!$B$2:$B$3050,$A22)</x:f>
        <x:v>61</x:v>
      </x:c>
      <x:c r="E22" s="37" t="n">
        <x:f>C22*D22</x:f>
        <x:v>122</x:v>
      </x:c>
      <x:c r="F22" s="29" t="n">
        <x:f>SUMIFS('历史原始数据'!$O$2:$O$3050,'历史原始数据'!$B$2:$B$3050,$A22)</x:f>
        <x:v>22026.58999999999</x:v>
      </x:c>
      <x:c r="G22" s="29" t="n">
        <x:f>IFERROR(F22/E22,0)</x:f>
        <x:v>180.54581967213105</x:v>
      </x:c>
      <x:c r="H22" s="41" t="n">
        <x:f>IF(D22&gt;='核心假设'!$B$40,1,0)</x:f>
        <x:v>1</x:v>
      </x:c>
      <x:c r="I22" s="42" t="n">
        <x:f>IF(D22=0,"",MINIFS('历史原始数据'!$Q$2:$Q$3050,'历史原始数据'!$B$2:$B$3050,$A22))</x:f>
        <x:v>46189</x:v>
      </x:c>
      <x:c r="J22" s="42" t="n">
        <x:f>IF(D22=0,"",MAXIFS('历史原始数据'!$Q$2:$Q$3050,'历史原始数据'!$B$2:$B$3050,$A22))</x:f>
        <x:v>46249</x:v>
      </x:c>
      <x:c r="K22" s="18" t="n">
        <x:f>IF(H22=1,G22,"")</x:f>
        <x:v>180.54581967213105</x:v>
      </x:c>
    </x:row>
    <x:row r="23">
      <x:c r="A23" t="str">
        <x:v>101437000_76417</x:v>
      </x:c>
      <x:c r="B23" t="str">
        <x:v>【沪村小电】新春一组充电站</x:v>
      </x:c>
      <x:c r="C23" s="40" t="n">
        <x:f>MAXIFS('历史原始数据'!$D$2:$D$3050,'历史原始数据'!$B$2:$B$3050,$A23)+MAXIFS('历史原始数据'!$E$2:$E$3050,'历史原始数据'!$B$2:$B$3050,$A23)</x:f>
        <x:v>2</x:v>
      </x:c>
      <x:c r="D23" s="40" t="n">
        <x:f>COUNTIFS('历史原始数据'!$B$2:$B$3050,$A23)</x:f>
        <x:v>54</x:v>
      </x:c>
      <x:c r="E23" s="37" t="n">
        <x:f>C23*D23</x:f>
        <x:v>108</x:v>
      </x:c>
      <x:c r="F23" s="29" t="n">
        <x:f>SUMIFS('历史原始数据'!$O$2:$O$3050,'历史原始数据'!$B$2:$B$3050,$A23)</x:f>
        <x:v>7309.919999999997</x:v>
      </x:c>
      <x:c r="G23" s="29" t="n">
        <x:f>IFERROR(F23/E23,0)</x:f>
        <x:v>67.68444444444442</x:v>
      </x:c>
      <x:c r="H23" s="41" t="n">
        <x:f>IF(D23&gt;='核心假设'!$B$40,1,0)</x:f>
        <x:v>1</x:v>
      </x:c>
      <x:c r="I23" s="42" t="n">
        <x:f>IF(D23=0,"",MINIFS('历史原始数据'!$Q$2:$Q$3050,'历史原始数据'!$B$2:$B$3050,$A23))</x:f>
        <x:v>46196</x:v>
      </x:c>
      <x:c r="J23" s="42" t="n">
        <x:f>IF(D23=0,"",MAXIFS('历史原始数据'!$Q$2:$Q$3050,'历史原始数据'!$B$2:$B$3050,$A23))</x:f>
        <x:v>46249</x:v>
      </x:c>
      <x:c r="K23" s="18" t="n">
        <x:f>IF(H23=1,G23,"")</x:f>
        <x:v>67.68444444444442</x:v>
      </x:c>
    </x:row>
    <x:row r="24">
      <x:c r="A24" t="str">
        <x:v>101437000_78235</x:v>
      </x:c>
      <x:c r="B24" t="str">
        <x:v>【沪村小电】欣秋苑充电站</x:v>
      </x:c>
      <x:c r="C24" s="40" t="n">
        <x:f>MAXIFS('历史原始数据'!$D$2:$D$3050,'历史原始数据'!$B$2:$B$3050,$A24)+MAXIFS('历史原始数据'!$E$2:$E$3050,'历史原始数据'!$B$2:$B$3050,$A24)</x:f>
        <x:v>4</x:v>
      </x:c>
      <x:c r="D24" s="40" t="n">
        <x:f>COUNTIFS('历史原始数据'!$B$2:$B$3050,$A24)</x:f>
        <x:v>61</x:v>
      </x:c>
      <x:c r="E24" s="37" t="n">
        <x:f>C24*D24</x:f>
        <x:v>244</x:v>
      </x:c>
      <x:c r="F24" s="29" t="n">
        <x:f>SUMIFS('历史原始数据'!$O$2:$O$3050,'历史原始数据'!$B$2:$B$3050,$A24)</x:f>
        <x:v>6780.629999999998</x:v>
      </x:c>
      <x:c r="G24" s="29" t="n">
        <x:f>IFERROR(F24/E24,0)</x:f>
        <x:v>27.789467213114747</x:v>
      </x:c>
      <x:c r="H24" s="41" t="n">
        <x:f>IF(D24&gt;='核心假设'!$B$40,1,0)</x:f>
        <x:v>1</x:v>
      </x:c>
      <x:c r="I24" s="42" t="n">
        <x:f>IF(D24=0,"",MINIFS('历史原始数据'!$Q$2:$Q$3050,'历史原始数据'!$B$2:$B$3050,$A24))</x:f>
        <x:v>46189</x:v>
      </x:c>
      <x:c r="J24" s="42" t="n">
        <x:f>IF(D24=0,"",MAXIFS('历史原始数据'!$Q$2:$Q$3050,'历史原始数据'!$B$2:$B$3050,$A24))</x:f>
        <x:v>46249</x:v>
      </x:c>
      <x:c r="K24" s="18" t="n">
        <x:f>IF(H24=1,G24,"")</x:f>
        <x:v>27.789467213114747</x:v>
      </x:c>
    </x:row>
    <x:row r="25">
      <x:c r="A25" t="str">
        <x:v>101437000_78237</x:v>
      </x:c>
      <x:c r="B25" t="str">
        <x:v>【沪村小电】奉馨苑西门小区内北侧充电站</x:v>
      </x:c>
      <x:c r="C25" s="40" t="n">
        <x:f>MAXIFS('历史原始数据'!$D$2:$D$3050,'历史原始数据'!$B$2:$B$3050,$A25)+MAXIFS('历史原始数据'!$E$2:$E$3050,'历史原始数据'!$B$2:$B$3050,$A25)</x:f>
        <x:v>2</x:v>
      </x:c>
      <x:c r="D25" s="40" t="n">
        <x:f>COUNTIFS('历史原始数据'!$B$2:$B$3050,$A25)</x:f>
        <x:v>61</x:v>
      </x:c>
      <x:c r="E25" s="37" t="n">
        <x:f>C25*D25</x:f>
        <x:v>122</x:v>
      </x:c>
      <x:c r="F25" s="29" t="n">
        <x:f>SUMIFS('历史原始数据'!$O$2:$O$3050,'历史原始数据'!$B$2:$B$3050,$A25)</x:f>
        <x:v>12686.469999999998</x:v>
      </x:c>
      <x:c r="G25" s="29" t="n">
        <x:f>IFERROR(F25/E25,0)</x:f>
        <x:v>103.98745901639342</x:v>
      </x:c>
      <x:c r="H25" s="41" t="n">
        <x:f>IF(D25&gt;='核心假设'!$B$40,1,0)</x:f>
        <x:v>1</x:v>
      </x:c>
      <x:c r="I25" s="42" t="n">
        <x:f>IF(D25=0,"",MINIFS('历史原始数据'!$Q$2:$Q$3050,'历史原始数据'!$B$2:$B$3050,$A25))</x:f>
        <x:v>46189</x:v>
      </x:c>
      <x:c r="J25" s="42" t="n">
        <x:f>IF(D25=0,"",MAXIFS('历史原始数据'!$Q$2:$Q$3050,'历史原始数据'!$B$2:$B$3050,$A25))</x:f>
        <x:v>46249</x:v>
      </x:c>
      <x:c r="K25" s="18" t="n">
        <x:f>IF(H25=1,G25,"")</x:f>
        <x:v>103.98745901639342</x:v>
      </x:c>
    </x:row>
    <x:row r="26">
      <x:c r="A26" t="str">
        <x:v>101437000_80823</x:v>
      </x:c>
      <x:c r="B26" t="str">
        <x:v>【沪村小电】上湖轩充电站</x:v>
      </x:c>
      <x:c r="C26" s="40" t="n">
        <x:f>MAXIFS('历史原始数据'!$D$2:$D$3050,'历史原始数据'!$B$2:$B$3050,$A26)+MAXIFS('历史原始数据'!$E$2:$E$3050,'历史原始数据'!$B$2:$B$3050,$A26)</x:f>
        <x:v>2</x:v>
      </x:c>
      <x:c r="D26" s="40" t="n">
        <x:f>COUNTIFS('历史原始数据'!$B$2:$B$3050,$A26)</x:f>
        <x:v>52</x:v>
      </x:c>
      <x:c r="E26" s="37" t="n">
        <x:f>C26*D26</x:f>
        <x:v>104</x:v>
      </x:c>
      <x:c r="F26" s="29" t="n">
        <x:f>SUMIFS('历史原始数据'!$O$2:$O$3050,'历史原始数据'!$B$2:$B$3050,$A26)</x:f>
        <x:v>1947.9800000000007</x:v>
      </x:c>
      <x:c r="G26" s="29" t="n">
        <x:f>IFERROR(F26/E26,0)</x:f>
        <x:v>18.73057692307693</x:v>
      </x:c>
      <x:c r="H26" s="41" t="n">
        <x:f>IF(D26&gt;='核心假设'!$B$40,1,0)</x:f>
        <x:v>1</x:v>
      </x:c>
      <x:c r="I26" s="42" t="n">
        <x:f>IF(D26=0,"",MINIFS('历史原始数据'!$Q$2:$Q$3050,'历史原始数据'!$B$2:$B$3050,$A26))</x:f>
        <x:v>46189</x:v>
      </x:c>
      <x:c r="J26" s="42" t="n">
        <x:f>IF(D26=0,"",MAXIFS('历史原始数据'!$Q$2:$Q$3050,'历史原始数据'!$B$2:$B$3050,$A26))</x:f>
        <x:v>46249</x:v>
      </x:c>
      <x:c r="K26" s="18" t="n">
        <x:f>IF(H26=1,G26,"")</x:f>
        <x:v>18.73057692307693</x:v>
      </x:c>
    </x:row>
    <x:row r="27">
      <x:c r="A27" t="str">
        <x:v>101437000_83019</x:v>
      </x:c>
      <x:c r="B27" t="str">
        <x:v>【沪村小电】首创禧瑞云启东区充电站</x:v>
      </x:c>
      <x:c r="C27" s="40" t="n">
        <x:f>MAXIFS('历史原始数据'!$D$2:$D$3050,'历史原始数据'!$B$2:$B$3050,$A27)+MAXIFS('历史原始数据'!$E$2:$E$3050,'历史原始数据'!$B$2:$B$3050,$A27)</x:f>
        <x:v>2</x:v>
      </x:c>
      <x:c r="D27" s="40" t="n">
        <x:f>COUNTIFS('历史原始数据'!$B$2:$B$3050,$A27)</x:f>
        <x:v>61</x:v>
      </x:c>
      <x:c r="E27" s="37" t="n">
        <x:f>C27*D27</x:f>
        <x:v>122</x:v>
      </x:c>
      <x:c r="F27" s="29" t="n">
        <x:f>SUMIFS('历史原始数据'!$O$2:$O$3050,'历史原始数据'!$B$2:$B$3050,$A27)</x:f>
        <x:v>16095.110000000002</x:v>
      </x:c>
      <x:c r="G27" s="29" t="n">
        <x:f>IFERROR(F27/E27,0)</x:f>
        <x:v>131.927131147541</x:v>
      </x:c>
      <x:c r="H27" s="41" t="n">
        <x:f>IF(D27&gt;='核心假设'!$B$40,1,0)</x:f>
        <x:v>1</x:v>
      </x:c>
      <x:c r="I27" s="42" t="n">
        <x:f>IF(D27=0,"",MINIFS('历史原始数据'!$Q$2:$Q$3050,'历史原始数据'!$B$2:$B$3050,$A27))</x:f>
        <x:v>46189</x:v>
      </x:c>
      <x:c r="J27" s="42" t="n">
        <x:f>IF(D27=0,"",MAXIFS('历史原始数据'!$Q$2:$Q$3050,'历史原始数据'!$B$2:$B$3050,$A27))</x:f>
        <x:v>46249</x:v>
      </x:c>
      <x:c r="K27" s="18" t="n">
        <x:f>IF(H27=1,G27,"")</x:f>
        <x:v>131.927131147541</x:v>
      </x:c>
    </x:row>
    <x:row r="28">
      <x:c r="A28" t="str">
        <x:v>101437000_83093</x:v>
      </x:c>
      <x:c r="B28" t="str">
        <x:v>【沪村小电】金茂未来时光里</x:v>
      </x:c>
      <x:c r="C28" s="40" t="n">
        <x:f>MAXIFS('历史原始数据'!$D$2:$D$3050,'历史原始数据'!$B$2:$B$3050,$A28)+MAXIFS('历史原始数据'!$E$2:$E$3050,'历史原始数据'!$B$2:$B$3050,$A28)</x:f>
        <x:v>2</x:v>
      </x:c>
      <x:c r="D28" s="40" t="n">
        <x:f>COUNTIFS('历史原始数据'!$B$2:$B$3050,$A28)</x:f>
        <x:v>61</x:v>
      </x:c>
      <x:c r="E28" s="37" t="n">
        <x:f>C28*D28</x:f>
        <x:v>122</x:v>
      </x:c>
      <x:c r="F28" s="29" t="n">
        <x:f>SUMIFS('历史原始数据'!$O$2:$O$3050,'历史原始数据'!$B$2:$B$3050,$A28)</x:f>
        <x:v>19627.739999999994</x:v>
      </x:c>
      <x:c r="G28" s="29" t="n">
        <x:f>IFERROR(F28/E28,0)</x:f>
        <x:v>160.8831147540983</x:v>
      </x:c>
      <x:c r="H28" s="41" t="n">
        <x:f>IF(D28&gt;='核心假设'!$B$40,1,0)</x:f>
        <x:v>1</x:v>
      </x:c>
      <x:c r="I28" s="42" t="n">
        <x:f>IF(D28=0,"",MINIFS('历史原始数据'!$Q$2:$Q$3050,'历史原始数据'!$B$2:$B$3050,$A28))</x:f>
        <x:v>46189</x:v>
      </x:c>
      <x:c r="J28" s="42" t="n">
        <x:f>IF(D28=0,"",MAXIFS('历史原始数据'!$Q$2:$Q$3050,'历史原始数据'!$B$2:$B$3050,$A28))</x:f>
        <x:v>46249</x:v>
      </x:c>
      <x:c r="K28" s="18" t="n">
        <x:f>IF(H28=1,G28,"")</x:f>
        <x:v>160.8831147540983</x:v>
      </x:c>
    </x:row>
    <x:row r="29">
      <x:c r="A29" t="str">
        <x:v>101437000_83911</x:v>
      </x:c>
      <x:c r="B29" t="str">
        <x:v>【沪村小电】金瀚园充电站</x:v>
      </x:c>
      <x:c r="C29" s="40" t="n">
        <x:f>MAXIFS('历史原始数据'!$D$2:$D$3050,'历史原始数据'!$B$2:$B$3050,$A29)+MAXIFS('历史原始数据'!$E$2:$E$3050,'历史原始数据'!$B$2:$B$3050,$A29)</x:f>
        <x:v>2</x:v>
      </x:c>
      <x:c r="D29" s="40" t="n">
        <x:f>COUNTIFS('历史原始数据'!$B$2:$B$3050,$A29)</x:f>
        <x:v>61</x:v>
      </x:c>
      <x:c r="E29" s="37" t="n">
        <x:f>C29*D29</x:f>
        <x:v>122</x:v>
      </x:c>
      <x:c r="F29" s="29" t="n">
        <x:f>SUMIFS('历史原始数据'!$O$2:$O$3050,'历史原始数据'!$B$2:$B$3050,$A29)</x:f>
        <x:v>19276.260000000002</x:v>
      </x:c>
      <x:c r="G29" s="29" t="n">
        <x:f>IFERROR(F29/E29,0)</x:f>
        <x:v>158.002131147541</x:v>
      </x:c>
      <x:c r="H29" s="41" t="n">
        <x:f>IF(D29&gt;='核心假设'!$B$40,1,0)</x:f>
        <x:v>1</x:v>
      </x:c>
      <x:c r="I29" s="42" t="n">
        <x:f>IF(D29=0,"",MINIFS('历史原始数据'!$Q$2:$Q$3050,'历史原始数据'!$B$2:$B$3050,$A29))</x:f>
        <x:v>46189</x:v>
      </x:c>
      <x:c r="J29" s="42" t="n">
        <x:f>IF(D29=0,"",MAXIFS('历史原始数据'!$Q$2:$Q$3050,'历史原始数据'!$B$2:$B$3050,$A29))</x:f>
        <x:v>46249</x:v>
      </x:c>
      <x:c r="K29" s="18" t="n">
        <x:f>IF(H29=1,G29,"")</x:f>
        <x:v>158.002131147541</x:v>
      </x:c>
    </x:row>
    <x:row r="30">
      <x:c r="A30" t="str">
        <x:v>101437000_83913</x:v>
      </x:c>
      <x:c r="B30" t="str">
        <x:v>【沪村小电】新黎村充电站</x:v>
      </x:c>
      <x:c r="C30" s="40" t="n">
        <x:f>MAXIFS('历史原始数据'!$D$2:$D$3050,'历史原始数据'!$B$2:$B$3050,$A30)+MAXIFS('历史原始数据'!$E$2:$E$3050,'历史原始数据'!$B$2:$B$3050,$A30)</x:f>
        <x:v>2</x:v>
      </x:c>
      <x:c r="D30" s="40" t="n">
        <x:f>COUNTIFS('历史原始数据'!$B$2:$B$3050,$A30)</x:f>
        <x:v>61</x:v>
      </x:c>
      <x:c r="E30" s="37" t="n">
        <x:f>C30*D30</x:f>
        <x:v>122</x:v>
      </x:c>
      <x:c r="F30" s="29" t="n">
        <x:f>SUMIFS('历史原始数据'!$O$2:$O$3050,'历史原始数据'!$B$2:$B$3050,$A30)</x:f>
        <x:v>16450.86</x:v>
      </x:c>
      <x:c r="G30" s="29" t="n">
        <x:f>IFERROR(F30/E30,0)</x:f>
        <x:v>134.84311475409837</x:v>
      </x:c>
      <x:c r="H30" s="41" t="n">
        <x:f>IF(D30&gt;='核心假设'!$B$40,1,0)</x:f>
        <x:v>1</x:v>
      </x:c>
      <x:c r="I30" s="42" t="n">
        <x:f>IF(D30=0,"",MINIFS('历史原始数据'!$Q$2:$Q$3050,'历史原始数据'!$B$2:$B$3050,$A30))</x:f>
        <x:v>46189</x:v>
      </x:c>
      <x:c r="J30" s="42" t="n">
        <x:f>IF(D30=0,"",MAXIFS('历史原始数据'!$Q$2:$Q$3050,'历史原始数据'!$B$2:$B$3050,$A30))</x:f>
        <x:v>46249</x:v>
      </x:c>
      <x:c r="K30" s="18" t="n">
        <x:f>IF(H30=1,G30,"")</x:f>
        <x:v>134.84311475409837</x:v>
      </x:c>
    </x:row>
    <x:row r="31">
      <x:c r="A31" t="str">
        <x:v>101437000_83915</x:v>
      </x:c>
      <x:c r="B31" t="str">
        <x:v>【沪村小电】长泰西郊别墅充电站</x:v>
      </x:c>
      <x:c r="C31" s="40" t="n">
        <x:f>MAXIFS('历史原始数据'!$D$2:$D$3050,'历史原始数据'!$B$2:$B$3050,$A31)+MAXIFS('历史原始数据'!$E$2:$E$3050,'历史原始数据'!$B$2:$B$3050,$A31)</x:f>
        <x:v>2</x:v>
      </x:c>
      <x:c r="D31" s="40" t="n">
        <x:f>COUNTIFS('历史原始数据'!$B$2:$B$3050,$A31)</x:f>
        <x:v>61</x:v>
      </x:c>
      <x:c r="E31" s="37" t="n">
        <x:f>C31*D31</x:f>
        <x:v>122</x:v>
      </x:c>
      <x:c r="F31" s="29" t="n">
        <x:f>SUMIFS('历史原始数据'!$O$2:$O$3050,'历史原始数据'!$B$2:$B$3050,$A31)</x:f>
        <x:v>8839.36</x:v>
      </x:c>
      <x:c r="G31" s="29" t="n">
        <x:f>IFERROR(F31/E31,0)</x:f>
        <x:v>72.45377049180328</x:v>
      </x:c>
      <x:c r="H31" s="41" t="n">
        <x:f>IF(D31&gt;='核心假设'!$B$40,1,0)</x:f>
        <x:v>1</x:v>
      </x:c>
      <x:c r="I31" s="42" t="n">
        <x:f>IF(D31=0,"",MINIFS('历史原始数据'!$Q$2:$Q$3050,'历史原始数据'!$B$2:$B$3050,$A31))</x:f>
        <x:v>46189</x:v>
      </x:c>
      <x:c r="J31" s="42" t="n">
        <x:f>IF(D31=0,"",MAXIFS('历史原始数据'!$Q$2:$Q$3050,'历史原始数据'!$B$2:$B$3050,$A31))</x:f>
        <x:v>46249</x:v>
      </x:c>
      <x:c r="K31" s="18" t="n">
        <x:f>IF(H31=1,G31,"")</x:f>
        <x:v>72.45377049180328</x:v>
      </x:c>
    </x:row>
    <x:row r="32">
      <x:c r="A32" t="str">
        <x:v>101437000_83917</x:v>
      </x:c>
      <x:c r="B32" t="str">
        <x:v>【沪村小电】旭新华庭充电站</x:v>
      </x:c>
      <x:c r="C32" s="40" t="n">
        <x:f>MAXIFS('历史原始数据'!$D$2:$D$3050,'历史原始数据'!$B$2:$B$3050,$A32)+MAXIFS('历史原始数据'!$E$2:$E$3050,'历史原始数据'!$B$2:$B$3050,$A32)</x:f>
        <x:v>4</x:v>
      </x:c>
      <x:c r="D32" s="40" t="n">
        <x:f>COUNTIFS('历史原始数据'!$B$2:$B$3050,$A32)</x:f>
        <x:v>61</x:v>
      </x:c>
      <x:c r="E32" s="37" t="n">
        <x:f>C32*D32</x:f>
        <x:v>244</x:v>
      </x:c>
      <x:c r="F32" s="29" t="n">
        <x:f>SUMIFS('历史原始数据'!$O$2:$O$3050,'历史原始数据'!$B$2:$B$3050,$A32)</x:f>
        <x:v>17996.459999999995</x:v>
      </x:c>
      <x:c r="G32" s="29" t="n">
        <x:f>IFERROR(F32/E32,0)</x:f>
        <x:v>73.75598360655736</x:v>
      </x:c>
      <x:c r="H32" s="41" t="n">
        <x:f>IF(D32&gt;='核心假设'!$B$40,1,0)</x:f>
        <x:v>1</x:v>
      </x:c>
      <x:c r="I32" s="42" t="n">
        <x:f>IF(D32=0,"",MINIFS('历史原始数据'!$Q$2:$Q$3050,'历史原始数据'!$B$2:$B$3050,$A32))</x:f>
        <x:v>46189</x:v>
      </x:c>
      <x:c r="J32" s="42" t="n">
        <x:f>IF(D32=0,"",MAXIFS('历史原始数据'!$Q$2:$Q$3050,'历史原始数据'!$B$2:$B$3050,$A32))</x:f>
        <x:v>46249</x:v>
      </x:c>
      <x:c r="K32" s="18" t="n">
        <x:f>IF(H32=1,G32,"")</x:f>
        <x:v>73.75598360655736</x:v>
      </x:c>
    </x:row>
    <x:row r="33">
      <x:c r="A33" t="str">
        <x:v>101437000_83919</x:v>
      </x:c>
      <x:c r="B33" t="str">
        <x:v>【沪村小电】浦锦名仕嘉园充电站</x:v>
      </x:c>
      <x:c r="C33" s="40" t="n">
        <x:f>MAXIFS('历史原始数据'!$D$2:$D$3050,'历史原始数据'!$B$2:$B$3050,$A33)+MAXIFS('历史原始数据'!$E$2:$E$3050,'历史原始数据'!$B$2:$B$3050,$A33)</x:f>
        <x:v>4</x:v>
      </x:c>
      <x:c r="D33" s="40" t="n">
        <x:f>COUNTIFS('历史原始数据'!$B$2:$B$3050,$A33)</x:f>
        <x:v>61</x:v>
      </x:c>
      <x:c r="E33" s="37" t="n">
        <x:f>C33*D33</x:f>
        <x:v>244</x:v>
      </x:c>
      <x:c r="F33" s="29" t="n">
        <x:f>SUMIFS('历史原始数据'!$O$2:$O$3050,'历史原始数据'!$B$2:$B$3050,$A33)</x:f>
        <x:v>20318.01</x:v>
      </x:c>
      <x:c r="G33" s="29" t="n">
        <x:f>IFERROR(F33/E33,0)</x:f>
        <x:v>83.27053278688524</x:v>
      </x:c>
      <x:c r="H33" s="41" t="n">
        <x:f>IF(D33&gt;='核心假设'!$B$40,1,0)</x:f>
        <x:v>1</x:v>
      </x:c>
      <x:c r="I33" s="42" t="n">
        <x:f>IF(D33=0,"",MINIFS('历史原始数据'!$Q$2:$Q$3050,'历史原始数据'!$B$2:$B$3050,$A33))</x:f>
        <x:v>46189</x:v>
      </x:c>
      <x:c r="J33" s="42" t="n">
        <x:f>IF(D33=0,"",MAXIFS('历史原始数据'!$Q$2:$Q$3050,'历史原始数据'!$B$2:$B$3050,$A33))</x:f>
        <x:v>46249</x:v>
      </x:c>
      <x:c r="K33" s="18" t="n">
        <x:f>IF(H33=1,G33,"")</x:f>
        <x:v>83.27053278688524</x:v>
      </x:c>
    </x:row>
    <x:row r="34">
      <x:c r="A34" t="str">
        <x:v>101437000_83921</x:v>
      </x:c>
      <x:c r="B34" t="str">
        <x:v>【沪村小电】上海联怡枇杷乐园充电站（地库）</x:v>
      </x:c>
      <x:c r="C34" s="40" t="n">
        <x:f>MAXIFS('历史原始数据'!$D$2:$D$3050,'历史原始数据'!$B$2:$B$3050,$A34)+MAXIFS('历史原始数据'!$E$2:$E$3050,'历史原始数据'!$B$2:$B$3050,$A34)</x:f>
        <x:v>8</x:v>
      </x:c>
      <x:c r="D34" s="40" t="n">
        <x:f>COUNTIFS('历史原始数据'!$B$2:$B$3050,$A34)</x:f>
        <x:v>58</x:v>
      </x:c>
      <x:c r="E34" s="37" t="n">
        <x:f>C34*D34</x:f>
        <x:v>464</x:v>
      </x:c>
      <x:c r="F34" s="29" t="n">
        <x:f>SUMIFS('历史原始数据'!$O$2:$O$3050,'历史原始数据'!$B$2:$B$3050,$A34)</x:f>
        <x:v>1961.7399999999996</x:v>
      </x:c>
      <x:c r="G34" s="29" t="n">
        <x:f>IFERROR(F34/E34,0)</x:f>
        <x:v>4.2278879310344815</x:v>
      </x:c>
      <x:c r="H34" s="41" t="n">
        <x:f>IF(D34&gt;='核心假设'!$B$40,1,0)</x:f>
        <x:v>1</x:v>
      </x:c>
      <x:c r="I34" s="42" t="n">
        <x:f>IF(D34=0,"",MINIFS('历史原始数据'!$Q$2:$Q$3050,'历史原始数据'!$B$2:$B$3050,$A34))</x:f>
        <x:v>46189</x:v>
      </x:c>
      <x:c r="J34" s="42" t="n">
        <x:f>IF(D34=0,"",MAXIFS('历史原始数据'!$Q$2:$Q$3050,'历史原始数据'!$B$2:$B$3050,$A34))</x:f>
        <x:v>46249</x:v>
      </x:c>
      <x:c r="K34" s="18" t="n">
        <x:f>IF(H34=1,G34,"")</x:f>
        <x:v>4.2278879310344815</x:v>
      </x:c>
    </x:row>
    <x:row r="35">
      <x:c r="A35" t="str">
        <x:v>101437000_83923</x:v>
      </x:c>
      <x:c r="B35" t="str">
        <x:v>【沪村小电】明珠新苑充电站</x:v>
      </x:c>
      <x:c r="C35" s="40" t="n">
        <x:f>MAXIFS('历史原始数据'!$D$2:$D$3050,'历史原始数据'!$B$2:$B$3050,$A35)+MAXIFS('历史原始数据'!$E$2:$E$3050,'历史原始数据'!$B$2:$B$3050,$A35)</x:f>
        <x:v>2</x:v>
      </x:c>
      <x:c r="D35" s="40" t="n">
        <x:f>COUNTIFS('历史原始数据'!$B$2:$B$3050,$A35)</x:f>
        <x:v>61</x:v>
      </x:c>
      <x:c r="E35" s="37" t="n">
        <x:f>C35*D35</x:f>
        <x:v>122</x:v>
      </x:c>
      <x:c r="F35" s="29" t="n">
        <x:f>SUMIFS('历史原始数据'!$O$2:$O$3050,'历史原始数据'!$B$2:$B$3050,$A35)</x:f>
        <x:v>15186.380000000001</x:v>
      </x:c>
      <x:c r="G35" s="29" t="n">
        <x:f>IFERROR(F35/E35,0)</x:f>
        <x:v>124.47852459016394</x:v>
      </x:c>
      <x:c r="H35" s="41" t="n">
        <x:f>IF(D35&gt;='核心假设'!$B$40,1,0)</x:f>
        <x:v>1</x:v>
      </x:c>
      <x:c r="I35" s="42" t="n">
        <x:f>IF(D35=0,"",MINIFS('历史原始数据'!$Q$2:$Q$3050,'历史原始数据'!$B$2:$B$3050,$A35))</x:f>
        <x:v>46189</x:v>
      </x:c>
      <x:c r="J35" s="42" t="n">
        <x:f>IF(D35=0,"",MAXIFS('历史原始数据'!$Q$2:$Q$3050,'历史原始数据'!$B$2:$B$3050,$A35))</x:f>
        <x:v>46249</x:v>
      </x:c>
      <x:c r="K35" s="18" t="n">
        <x:f>IF(H35=1,G35,"")</x:f>
        <x:v>124.47852459016394</x:v>
      </x:c>
    </x:row>
    <x:row r="36">
      <x:c r="A36" t="str">
        <x:v>101437000_84289</x:v>
      </x:c>
      <x:c r="B36" t="str">
        <x:v>【沪村小电】铁建芳华苑充电站</x:v>
      </x:c>
      <x:c r="C36" s="40" t="n">
        <x:f>MAXIFS('历史原始数据'!$D$2:$D$3050,'历史原始数据'!$B$2:$B$3050,$A36)+MAXIFS('历史原始数据'!$E$2:$E$3050,'历史原始数据'!$B$2:$B$3050,$A36)</x:f>
        <x:v>4</x:v>
      </x:c>
      <x:c r="D36" s="40" t="n">
        <x:f>COUNTIFS('历史原始数据'!$B$2:$B$3050,$A36)</x:f>
        <x:v>55</x:v>
      </x:c>
      <x:c r="E36" s="37" t="n">
        <x:f>C36*D36</x:f>
        <x:v>220</x:v>
      </x:c>
      <x:c r="F36" s="29" t="n">
        <x:f>SUMIFS('历史原始数据'!$O$2:$O$3050,'历史原始数据'!$B$2:$B$3050,$A36)</x:f>
        <x:v>17829.03</x:v>
      </x:c>
      <x:c r="G36" s="29" t="n">
        <x:f>IFERROR(F36/E36,0)</x:f>
        <x:v>81.04104545454545</x:v>
      </x:c>
      <x:c r="H36" s="41" t="n">
        <x:f>IF(D36&gt;='核心假设'!$B$40,1,0)</x:f>
        <x:v>1</x:v>
      </x:c>
      <x:c r="I36" s="42" t="n">
        <x:f>IF(D36=0,"",MINIFS('历史原始数据'!$Q$2:$Q$3050,'历史原始数据'!$B$2:$B$3050,$A36))</x:f>
        <x:v>46189</x:v>
      </x:c>
      <x:c r="J36" s="42" t="n">
        <x:f>IF(D36=0,"",MAXIFS('历史原始数据'!$Q$2:$Q$3050,'历史原始数据'!$B$2:$B$3050,$A36))</x:f>
        <x:v>46249</x:v>
      </x:c>
      <x:c r="K36" s="18" t="n">
        <x:f>IF(H36=1,G36,"")</x:f>
        <x:v>81.04104545454545</x:v>
      </x:c>
    </x:row>
    <x:row r="37">
      <x:c r="A37" t="str">
        <x:v>101437000_86379</x:v>
      </x:c>
      <x:c r="B37" t="str">
        <x:v>【沪村小电】新宝社区充电站</x:v>
      </x:c>
      <x:c r="C37" s="40" t="n">
        <x:f>MAXIFS('历史原始数据'!$D$2:$D$3050,'历史原始数据'!$B$2:$B$3050,$A37)+MAXIFS('历史原始数据'!$E$2:$E$3050,'历史原始数据'!$B$2:$B$3050,$A37)</x:f>
        <x:v>4</x:v>
      </x:c>
      <x:c r="D37" s="40" t="n">
        <x:f>COUNTIFS('历史原始数据'!$B$2:$B$3050,$A37)</x:f>
        <x:v>61</x:v>
      </x:c>
      <x:c r="E37" s="37" t="n">
        <x:f>C37*D37</x:f>
        <x:v>244</x:v>
      </x:c>
      <x:c r="F37" s="29" t="n">
        <x:f>SUMIFS('历史原始数据'!$O$2:$O$3050,'历史原始数据'!$B$2:$B$3050,$A37)</x:f>
        <x:v>9840.689999999997</x:v>
      </x:c>
      <x:c r="G37" s="29" t="n">
        <x:f>IFERROR(F37/E37,0)</x:f>
        <x:v>40.33069672131146</x:v>
      </x:c>
      <x:c r="H37" s="41" t="n">
        <x:f>IF(D37&gt;='核心假设'!$B$40,1,0)</x:f>
        <x:v>1</x:v>
      </x:c>
      <x:c r="I37" s="42" t="n">
        <x:f>IF(D37=0,"",MINIFS('历史原始数据'!$Q$2:$Q$3050,'历史原始数据'!$B$2:$B$3050,$A37))</x:f>
        <x:v>46189</x:v>
      </x:c>
      <x:c r="J37" s="42" t="n">
        <x:f>IF(D37=0,"",MAXIFS('历史原始数据'!$Q$2:$Q$3050,'历史原始数据'!$B$2:$B$3050,$A37))</x:f>
        <x:v>46249</x:v>
      </x:c>
      <x:c r="K37" s="18" t="n">
        <x:f>IF(H37=1,G37,"")</x:f>
        <x:v>40.33069672131146</x:v>
      </x:c>
    </x:row>
    <x:row r="38">
      <x:c r="A38" t="str">
        <x:v>101437000_89441</x:v>
      </x:c>
      <x:c r="B38" t="str">
        <x:v>【沪村小电】首创禧瑞云启西区充电站</x:v>
      </x:c>
      <x:c r="C38" s="40" t="n">
        <x:f>MAXIFS('历史原始数据'!$D$2:$D$3050,'历史原始数据'!$B$2:$B$3050,$A38)+MAXIFS('历史原始数据'!$E$2:$E$3050,'历史原始数据'!$B$2:$B$3050,$A38)</x:f>
        <x:v>2</x:v>
      </x:c>
      <x:c r="D38" s="40" t="n">
        <x:f>COUNTIFS('历史原始数据'!$B$2:$B$3050,$A38)</x:f>
        <x:v>61</x:v>
      </x:c>
      <x:c r="E38" s="37" t="n">
        <x:f>C38*D38</x:f>
        <x:v>122</x:v>
      </x:c>
      <x:c r="F38" s="29" t="n">
        <x:f>SUMIFS('历史原始数据'!$O$2:$O$3050,'历史原始数据'!$B$2:$B$3050,$A38)</x:f>
        <x:v>17397.449999999997</x:v>
      </x:c>
      <x:c r="G38" s="29" t="n">
        <x:f>IFERROR(F38/E38,0)</x:f>
        <x:v>142.60204918032784</x:v>
      </x:c>
      <x:c r="H38" s="41" t="n">
        <x:f>IF(D38&gt;='核心假设'!$B$40,1,0)</x:f>
        <x:v>1</x:v>
      </x:c>
      <x:c r="I38" s="42" t="n">
        <x:f>IF(D38=0,"",MINIFS('历史原始数据'!$Q$2:$Q$3050,'历史原始数据'!$B$2:$B$3050,$A38))</x:f>
        <x:v>46189</x:v>
      </x:c>
      <x:c r="J38" s="42" t="n">
        <x:f>IF(D38=0,"",MAXIFS('历史原始数据'!$Q$2:$Q$3050,'历史原始数据'!$B$2:$B$3050,$A38))</x:f>
        <x:v>46249</x:v>
      </x:c>
      <x:c r="K38" s="18" t="n">
        <x:f>IF(H38=1,G38,"")</x:f>
        <x:v>142.60204918032784</x:v>
      </x:c>
    </x:row>
    <x:row r="39">
      <x:c r="A39" t="str">
        <x:v>101437000_89443</x:v>
      </x:c>
      <x:c r="B39" t="str">
        <x:v>【沪村小电】玉兰清苑二期充电站</x:v>
      </x:c>
      <x:c r="C39" s="40" t="n">
        <x:f>MAXIFS('历史原始数据'!$D$2:$D$3050,'历史原始数据'!$B$2:$B$3050,$A39)+MAXIFS('历史原始数据'!$E$2:$E$3050,'历史原始数据'!$B$2:$B$3050,$A39)</x:f>
        <x:v>2</x:v>
      </x:c>
      <x:c r="D39" s="40" t="n">
        <x:f>COUNTIFS('历史原始数据'!$B$2:$B$3050,$A39)</x:f>
        <x:v>61</x:v>
      </x:c>
      <x:c r="E39" s="37" t="n">
        <x:f>C39*D39</x:f>
        <x:v>122</x:v>
      </x:c>
      <x:c r="F39" s="29" t="n">
        <x:f>SUMIFS('历史原始数据'!$O$2:$O$3050,'历史原始数据'!$B$2:$B$3050,$A39)</x:f>
        <x:v>11223.940000000004</x:v>
      </x:c>
      <x:c r="G39" s="29" t="n">
        <x:f>IFERROR(F39/E39,0)</x:f>
        <x:v>91.99950819672135</x:v>
      </x:c>
      <x:c r="H39" s="41" t="n">
        <x:f>IF(D39&gt;='核心假设'!$B$40,1,0)</x:f>
        <x:v>1</x:v>
      </x:c>
      <x:c r="I39" s="42" t="n">
        <x:f>IF(D39=0,"",MINIFS('历史原始数据'!$Q$2:$Q$3050,'历史原始数据'!$B$2:$B$3050,$A39))</x:f>
        <x:v>46189</x:v>
      </x:c>
      <x:c r="J39" s="42" t="n">
        <x:f>IF(D39=0,"",MAXIFS('历史原始数据'!$Q$2:$Q$3050,'历史原始数据'!$B$2:$B$3050,$A39))</x:f>
        <x:v>46249</x:v>
      </x:c>
      <x:c r="K39" s="18" t="n">
        <x:f>IF(H39=1,G39,"")</x:f>
        <x:v>91.99950819672135</x:v>
      </x:c>
    </x:row>
    <x:row r="40">
      <x:c r="A40" t="str">
        <x:v>101437000_93115</x:v>
      </x:c>
      <x:c r="B40" t="str">
        <x:v>【沪村小电】新南家园西北门</x:v>
      </x:c>
      <x:c r="C40" s="40" t="n">
        <x:f>MAXIFS('历史原始数据'!$D$2:$D$3050,'历史原始数据'!$B$2:$B$3050,$A40)+MAXIFS('历史原始数据'!$E$2:$E$3050,'历史原始数据'!$B$2:$B$3050,$A40)</x:f>
        <x:v>2</x:v>
      </x:c>
      <x:c r="D40" s="40" t="n">
        <x:f>COUNTIFS('历史原始数据'!$B$2:$B$3050,$A40)</x:f>
        <x:v>61</x:v>
      </x:c>
      <x:c r="E40" s="37" t="n">
        <x:f>C40*D40</x:f>
        <x:v>122</x:v>
      </x:c>
      <x:c r="F40" s="29" t="n">
        <x:f>SUMIFS('历史原始数据'!$O$2:$O$3050,'历史原始数据'!$B$2:$B$3050,$A40)</x:f>
        <x:v>11829.700000000003</x:v>
      </x:c>
      <x:c r="G40" s="29" t="n">
        <x:f>IFERROR(F40/E40,0)</x:f>
        <x:v>96.96475409836067</x:v>
      </x:c>
      <x:c r="H40" s="41" t="n">
        <x:f>IF(D40&gt;='核心假设'!$B$40,1,0)</x:f>
        <x:v>1</x:v>
      </x:c>
      <x:c r="I40" s="42" t="n">
        <x:f>IF(D40=0,"",MINIFS('历史原始数据'!$Q$2:$Q$3050,'历史原始数据'!$B$2:$B$3050,$A40))</x:f>
        <x:v>46189</x:v>
      </x:c>
      <x:c r="J40" s="42" t="n">
        <x:f>IF(D40=0,"",MAXIFS('历史原始数据'!$Q$2:$Q$3050,'历史原始数据'!$B$2:$B$3050,$A40))</x:f>
        <x:v>46249</x:v>
      </x:c>
      <x:c r="K40" s="18" t="n">
        <x:f>IF(H40=1,G40,"")</x:f>
        <x:v>96.96475409836067</x:v>
      </x:c>
    </x:row>
    <x:row r="41">
      <x:c r="A41" t="str">
        <x:v>101437000_94649</x:v>
      </x:c>
      <x:c r="B41" t="str">
        <x:v>【沪村小电】浪琴水岸花园</x:v>
      </x:c>
      <x:c r="C41" s="40" t="n">
        <x:f>MAXIFS('历史原始数据'!$D$2:$D$3050,'历史原始数据'!$B$2:$B$3050,$A41)+MAXIFS('历史原始数据'!$E$2:$E$3050,'历史原始数据'!$B$2:$B$3050,$A41)</x:f>
        <x:v>4</x:v>
      </x:c>
      <x:c r="D41" s="40" t="n">
        <x:f>COUNTIFS('历史原始数据'!$B$2:$B$3050,$A41)</x:f>
        <x:v>61</x:v>
      </x:c>
      <x:c r="E41" s="37" t="n">
        <x:f>C41*D41</x:f>
        <x:v>244</x:v>
      </x:c>
      <x:c r="F41" s="29" t="n">
        <x:f>SUMIFS('历史原始数据'!$O$2:$O$3050,'历史原始数据'!$B$2:$B$3050,$A41)</x:f>
        <x:v>10780.369999999997</x:v>
      </x:c>
      <x:c r="G41" s="29" t="n">
        <x:f>IFERROR(F41/E41,0)</x:f>
        <x:v>44.18184426229507</x:v>
      </x:c>
      <x:c r="H41" s="41" t="n">
        <x:f>IF(D41&gt;='核心假设'!$B$40,1,0)</x:f>
        <x:v>1</x:v>
      </x:c>
      <x:c r="I41" s="42" t="n">
        <x:f>IF(D41=0,"",MINIFS('历史原始数据'!$Q$2:$Q$3050,'历史原始数据'!$B$2:$B$3050,$A41))</x:f>
        <x:v>46189</x:v>
      </x:c>
      <x:c r="J41" s="42" t="n">
        <x:f>IF(D41=0,"",MAXIFS('历史原始数据'!$Q$2:$Q$3050,'历史原始数据'!$B$2:$B$3050,$A41))</x:f>
        <x:v>46249</x:v>
      </x:c>
      <x:c r="K41" s="18" t="n">
        <x:f>IF(H41=1,G41,"")</x:f>
        <x:v>44.18184426229507</x:v>
      </x:c>
    </x:row>
    <x:row r="42">
      <x:c r="A42" t="str">
        <x:v>101437000_95077</x:v>
      </x:c>
      <x:c r="B42" t="str">
        <x:v>【沪村小电】民乐城惠益绿苑255弄充电站</x:v>
      </x:c>
      <x:c r="C42" s="40" t="n">
        <x:f>MAXIFS('历史原始数据'!$D$2:$D$3050,'历史原始数据'!$B$2:$B$3050,$A42)+MAXIFS('历史原始数据'!$E$2:$E$3050,'历史原始数据'!$B$2:$B$3050,$A42)</x:f>
        <x:v>2</x:v>
      </x:c>
      <x:c r="D42" s="40" t="n">
        <x:f>COUNTIFS('历史原始数据'!$B$2:$B$3050,$A42)</x:f>
        <x:v>52</x:v>
      </x:c>
      <x:c r="E42" s="37" t="n">
        <x:f>C42*D42</x:f>
        <x:v>104</x:v>
      </x:c>
      <x:c r="F42" s="29" t="n">
        <x:f>SUMIFS('历史原始数据'!$O$2:$O$3050,'历史原始数据'!$B$2:$B$3050,$A42)</x:f>
        <x:v>3303.390000000001</x:v>
      </x:c>
      <x:c r="G42" s="29" t="n">
        <x:f>IFERROR(F42/E42,0)</x:f>
        <x:v>31.76336538461539</x:v>
      </x:c>
      <x:c r="H42" s="41" t="n">
        <x:f>IF(D42&gt;='核心假设'!$B$40,1,0)</x:f>
        <x:v>1</x:v>
      </x:c>
      <x:c r="I42" s="42" t="n">
        <x:f>IF(D42=0,"",MINIFS('历史原始数据'!$Q$2:$Q$3050,'历史原始数据'!$B$2:$B$3050,$A42))</x:f>
        <x:v>46189</x:v>
      </x:c>
      <x:c r="J42" s="42" t="n">
        <x:f>IF(D42=0,"",MAXIFS('历史原始数据'!$Q$2:$Q$3050,'历史原始数据'!$B$2:$B$3050,$A42))</x:f>
        <x:v>46249</x:v>
      </x:c>
      <x:c r="K42" s="18" t="n">
        <x:f>IF(H42=1,G42,"")</x:f>
        <x:v>31.76336538461539</x:v>
      </x:c>
    </x:row>
    <x:row r="43">
      <x:c r="A43" t="str">
        <x:v>101437000_95079</x:v>
      </x:c>
      <x:c r="B43" t="str">
        <x:v>【沪村小电】民乐城惠益绿苑东苑充电站</x:v>
      </x:c>
      <x:c r="C43" s="40" t="n">
        <x:f>MAXIFS('历史原始数据'!$D$2:$D$3050,'历史原始数据'!$B$2:$B$3050,$A43)+MAXIFS('历史原始数据'!$E$2:$E$3050,'历史原始数据'!$B$2:$B$3050,$A43)</x:f>
        <x:v>2</x:v>
      </x:c>
      <x:c r="D43" s="40" t="n">
        <x:f>COUNTIFS('历史原始数据'!$B$2:$B$3050,$A43)</x:f>
        <x:v>60</x:v>
      </x:c>
      <x:c r="E43" s="37" t="n">
        <x:f>C43*D43</x:f>
        <x:v>120</x:v>
      </x:c>
      <x:c r="F43" s="29" t="n">
        <x:f>SUMIFS('历史原始数据'!$O$2:$O$3050,'历史原始数据'!$B$2:$B$3050,$A43)</x:f>
        <x:v>5782.54</x:v>
      </x:c>
      <x:c r="G43" s="29" t="n">
        <x:f>IFERROR(F43/E43,0)</x:f>
        <x:v>48.18783333333333</x:v>
      </x:c>
      <x:c r="H43" s="41" t="n">
        <x:f>IF(D43&gt;='核心假设'!$B$40,1,0)</x:f>
        <x:v>1</x:v>
      </x:c>
      <x:c r="I43" s="42" t="n">
        <x:f>IF(D43=0,"",MINIFS('历史原始数据'!$Q$2:$Q$3050,'历史原始数据'!$B$2:$B$3050,$A43))</x:f>
        <x:v>46189</x:v>
      </x:c>
      <x:c r="J43" s="42" t="n">
        <x:f>IF(D43=0,"",MAXIFS('历史原始数据'!$Q$2:$Q$3050,'历史原始数据'!$B$2:$B$3050,$A43))</x:f>
        <x:v>46249</x:v>
      </x:c>
      <x:c r="K43" s="18" t="n">
        <x:f>IF(H43=1,G43,"")</x:f>
        <x:v>48.18783333333333</x:v>
      </x:c>
    </x:row>
    <x:row r="44">
      <x:c r="A44" t="str">
        <x:v>101437000_95091</x:v>
      </x:c>
      <x:c r="B44" t="str">
        <x:v>【沪村小电】金悦学府2号站</x:v>
      </x:c>
      <x:c r="C44" s="40" t="n">
        <x:f>MAXIFS('历史原始数据'!$D$2:$D$3050,'历史原始数据'!$B$2:$B$3050,$A44)+MAXIFS('历史原始数据'!$E$2:$E$3050,'历史原始数据'!$B$2:$B$3050,$A44)</x:f>
        <x:v>2</x:v>
      </x:c>
      <x:c r="D44" s="40" t="n">
        <x:f>COUNTIFS('历史原始数据'!$B$2:$B$3050,$A44)</x:f>
        <x:v>47</x:v>
      </x:c>
      <x:c r="E44" s="37" t="n">
        <x:f>C44*D44</x:f>
        <x:v>94</x:v>
      </x:c>
      <x:c r="F44" s="29" t="n">
        <x:f>SUMIFS('历史原始数据'!$O$2:$O$3050,'历史原始数据'!$B$2:$B$3050,$A44)</x:f>
        <x:v>6152.7</x:v>
      </x:c>
      <x:c r="G44" s="29" t="n">
        <x:f>IFERROR(F44/E44,0)</x:f>
        <x:v>65.45425531914893</x:v>
      </x:c>
      <x:c r="H44" s="41" t="n">
        <x:f>IF(D44&gt;='核心假设'!$B$40,1,0)</x:f>
        <x:v>1</x:v>
      </x:c>
      <x:c r="I44" s="42" t="n">
        <x:f>IF(D44=0,"",MINIFS('历史原始数据'!$Q$2:$Q$3050,'历史原始数据'!$B$2:$B$3050,$A44))</x:f>
        <x:v>46189</x:v>
      </x:c>
      <x:c r="J44" s="42" t="n">
        <x:f>IF(D44=0,"",MAXIFS('历史原始数据'!$Q$2:$Q$3050,'历史原始数据'!$B$2:$B$3050,$A44))</x:f>
        <x:v>46249</x:v>
      </x:c>
      <x:c r="K44" s="18" t="n">
        <x:f>IF(H44=1,G44,"")</x:f>
        <x:v>65.45425531914893</x:v>
      </x:c>
    </x:row>
    <x:row r="45">
      <x:c r="A45" t="str">
        <x:v>101437000_95941</x:v>
      </x:c>
      <x:c r="B45" t="str">
        <x:v>【沪村小电】惠诚雅苑</x:v>
      </x:c>
      <x:c r="C45" s="40" t="n">
        <x:f>MAXIFS('历史原始数据'!$D$2:$D$3050,'历史原始数据'!$B$2:$B$3050,$A45)+MAXIFS('历史原始数据'!$E$2:$E$3050,'历史原始数据'!$B$2:$B$3050,$A45)</x:f>
        <x:v>4</x:v>
      </x:c>
      <x:c r="D45" s="40" t="n">
        <x:f>COUNTIFS('历史原始数据'!$B$2:$B$3050,$A45)</x:f>
        <x:v>61</x:v>
      </x:c>
      <x:c r="E45" s="37" t="n">
        <x:f>C45*D45</x:f>
        <x:v>244</x:v>
      </x:c>
      <x:c r="F45" s="29" t="n">
        <x:f>SUMIFS('历史原始数据'!$O$2:$O$3050,'历史原始数据'!$B$2:$B$3050,$A45)</x:f>
        <x:v>14070.870000000003</x:v>
      </x:c>
      <x:c r="G45" s="29" t="n">
        <x:f>IFERROR(F45/E45,0)</x:f>
        <x:v>57.66750000000001</x:v>
      </x:c>
      <x:c r="H45" s="41" t="n">
        <x:f>IF(D45&gt;='核心假设'!$B$40,1,0)</x:f>
        <x:v>1</x:v>
      </x:c>
      <x:c r="I45" s="42" t="n">
        <x:f>IF(D45=0,"",MINIFS('历史原始数据'!$Q$2:$Q$3050,'历史原始数据'!$B$2:$B$3050,$A45))</x:f>
        <x:v>46189</x:v>
      </x:c>
      <x:c r="J45" s="42" t="n">
        <x:f>IF(D45=0,"",MAXIFS('历史原始数据'!$Q$2:$Q$3050,'历史原始数据'!$B$2:$B$3050,$A45))</x:f>
        <x:v>46249</x:v>
      </x:c>
      <x:c r="K45" s="18" t="n">
        <x:f>IF(H45=1,G45,"")</x:f>
        <x:v>57.66750000000001</x:v>
      </x:c>
    </x:row>
    <x:row r="46">
      <x:c r="A46" t="str">
        <x:v>101437000_96401</x:v>
      </x:c>
      <x:c r="B46" t="str">
        <x:v>【沪村小电】上海联怡枇杷乐园地面站</x:v>
      </x:c>
      <x:c r="C46" s="40" t="n">
        <x:f>MAXIFS('历史原始数据'!$D$2:$D$3050,'历史原始数据'!$B$2:$B$3050,$A46)+MAXIFS('历史原始数据'!$E$2:$E$3050,'历史原始数据'!$B$2:$B$3050,$A46)</x:f>
        <x:v>2</x:v>
      </x:c>
      <x:c r="D46" s="40" t="n">
        <x:f>COUNTIFS('历史原始数据'!$B$2:$B$3050,$A46)</x:f>
        <x:v>60</x:v>
      </x:c>
      <x:c r="E46" s="37" t="n">
        <x:f>C46*D46</x:f>
        <x:v>120</x:v>
      </x:c>
      <x:c r="F46" s="29" t="n">
        <x:f>SUMIFS('历史原始数据'!$O$2:$O$3050,'历史原始数据'!$B$2:$B$3050,$A46)</x:f>
        <x:v>2392.5499999999984</x:v>
      </x:c>
      <x:c r="G46" s="29" t="n">
        <x:f>IFERROR(F46/E46,0)</x:f>
        <x:v>19.937916666666652</x:v>
      </x:c>
      <x:c r="H46" s="41" t="n">
        <x:f>IF(D46&gt;='核心假设'!$B$40,1,0)</x:f>
        <x:v>1</x:v>
      </x:c>
      <x:c r="I46" s="42" t="n">
        <x:f>IF(D46=0,"",MINIFS('历史原始数据'!$Q$2:$Q$3050,'历史原始数据'!$B$2:$B$3050,$A46))</x:f>
        <x:v>46189</x:v>
      </x:c>
      <x:c r="J46" s="42" t="n">
        <x:f>IF(D46=0,"",MAXIFS('历史原始数据'!$Q$2:$Q$3050,'历史原始数据'!$B$2:$B$3050,$A46))</x:f>
        <x:v>46249</x:v>
      </x:c>
      <x:c r="K46" s="18" t="n">
        <x:f>IF(H46=1,G46,"")</x:f>
        <x:v>19.937916666666652</x:v>
      </x:c>
    </x:row>
    <x:row r="47">
      <x:c r="A47" t="str">
        <x:v>101437000_96719</x:v>
      </x:c>
      <x:c r="B47" t="str">
        <x:v>【沪村小电】四达路220弄充电站</x:v>
      </x:c>
      <x:c r="C47" s="40" t="n">
        <x:f>MAXIFS('历史原始数据'!$D$2:$D$3050,'历史原始数据'!$B$2:$B$3050,$A47)+MAXIFS('历史原始数据'!$E$2:$E$3050,'历史原始数据'!$B$2:$B$3050,$A47)</x:f>
        <x:v>2</x:v>
      </x:c>
      <x:c r="D47" s="40" t="n">
        <x:f>COUNTIFS('历史原始数据'!$B$2:$B$3050,$A47)</x:f>
        <x:v>49</x:v>
      </x:c>
      <x:c r="E47" s="37" t="n">
        <x:f>C47*D47</x:f>
        <x:v>98</x:v>
      </x:c>
      <x:c r="F47" s="29" t="n">
        <x:f>SUMIFS('历史原始数据'!$O$2:$O$3050,'历史原始数据'!$B$2:$B$3050,$A47)</x:f>
        <x:v>1137.1200000000001</x:v>
      </x:c>
      <x:c r="G47" s="29" t="n">
        <x:f>IFERROR(F47/E47,0)</x:f>
        <x:v>11.60326530612245</x:v>
      </x:c>
      <x:c r="H47" s="41" t="n">
        <x:f>IF(D47&gt;='核心假设'!$B$40,1,0)</x:f>
        <x:v>1</x:v>
      </x:c>
      <x:c r="I47" s="42" t="n">
        <x:f>IF(D47=0,"",MINIFS('历史原始数据'!$Q$2:$Q$3050,'历史原始数据'!$B$2:$B$3050,$A47))</x:f>
        <x:v>46189</x:v>
      </x:c>
      <x:c r="J47" s="42" t="n">
        <x:f>IF(D47=0,"",MAXIFS('历史原始数据'!$Q$2:$Q$3050,'历史原始数据'!$B$2:$B$3050,$A47))</x:f>
        <x:v>46249</x:v>
      </x:c>
      <x:c r="K47" s="18" t="n">
        <x:f>IF(H47=1,G47,"")</x:f>
        <x:v>11.60326530612245</x:v>
      </x:c>
    </x:row>
    <x:row r="48">
      <x:c r="A48" t="str">
        <x:v>101437000_97421</x:v>
      </x:c>
      <x:c r="B48" t="str">
        <x:v>【沪村小电】玉兰清苑二期（小区外）充电站</x:v>
      </x:c>
      <x:c r="C48" s="40" t="n">
        <x:f>MAXIFS('历史原始数据'!$D$2:$D$3050,'历史原始数据'!$B$2:$B$3050,$A48)+MAXIFS('历史原始数据'!$E$2:$E$3050,'历史原始数据'!$B$2:$B$3050,$A48)</x:f>
        <x:v>4</x:v>
      </x:c>
      <x:c r="D48" s="40" t="n">
        <x:f>COUNTIFS('历史原始数据'!$B$2:$B$3050,$A48)</x:f>
        <x:v>61</x:v>
      </x:c>
      <x:c r="E48" s="37" t="n">
        <x:f>C48*D48</x:f>
        <x:v>244</x:v>
      </x:c>
      <x:c r="F48" s="29" t="n">
        <x:f>SUMIFS('历史原始数据'!$O$2:$O$3050,'历史原始数据'!$B$2:$B$3050,$A48)</x:f>
        <x:v>15587.329999999998</x:v>
      </x:c>
      <x:c r="G48" s="29" t="n">
        <x:f>IFERROR(F48/E48,0)</x:f>
        <x:v>63.88249999999999</x:v>
      </x:c>
      <x:c r="H48" s="41" t="n">
        <x:f>IF(D48&gt;='核心假设'!$B$40,1,0)</x:f>
        <x:v>1</x:v>
      </x:c>
      <x:c r="I48" s="42" t="n">
        <x:f>IF(D48=0,"",MINIFS('历史原始数据'!$Q$2:$Q$3050,'历史原始数据'!$B$2:$B$3050,$A48))</x:f>
        <x:v>46189</x:v>
      </x:c>
      <x:c r="J48" s="42" t="n">
        <x:f>IF(D48=0,"",MAXIFS('历史原始数据'!$Q$2:$Q$3050,'历史原始数据'!$B$2:$B$3050,$A48))</x:f>
        <x:v>46249</x:v>
      </x:c>
      <x:c r="K48" s="18" t="n">
        <x:f>IF(H48=1,G48,"")</x:f>
        <x:v>63.88249999999999</x:v>
      </x:c>
    </x:row>
    <x:row r="49">
      <x:c r="A49" t="str">
        <x:v>101437000_98013</x:v>
      </x:c>
      <x:c r="B49" t="str">
        <x:v>【沪村小电】恒大滨江华府充电站</x:v>
      </x:c>
      <x:c r="C49" s="40" t="n">
        <x:f>MAXIFS('历史原始数据'!$D$2:$D$3050,'历史原始数据'!$B$2:$B$3050,$A49)+MAXIFS('历史原始数据'!$E$2:$E$3050,'历史原始数据'!$B$2:$B$3050,$A49)</x:f>
        <x:v>4</x:v>
      </x:c>
      <x:c r="D49" s="40" t="n">
        <x:f>COUNTIFS('历史原始数据'!$B$2:$B$3050,$A49)</x:f>
        <x:v>61</x:v>
      </x:c>
      <x:c r="E49" s="37" t="n">
        <x:f>C49*D49</x:f>
        <x:v>244</x:v>
      </x:c>
      <x:c r="F49" s="29" t="n">
        <x:f>SUMIFS('历史原始数据'!$O$2:$O$3050,'历史原始数据'!$B$2:$B$3050,$A49)</x:f>
        <x:v>9137.320000000002</x:v>
      </x:c>
      <x:c r="G49" s="29" t="n">
        <x:f>IFERROR(F49/E49,0)</x:f>
        <x:v>37.44803278688525</x:v>
      </x:c>
      <x:c r="H49" s="41" t="n">
        <x:f>IF(D49&gt;='核心假设'!$B$40,1,0)</x:f>
        <x:v>1</x:v>
      </x:c>
      <x:c r="I49" s="42" t="n">
        <x:f>IF(D49=0,"",MINIFS('历史原始数据'!$Q$2:$Q$3050,'历史原始数据'!$B$2:$B$3050,$A49))</x:f>
        <x:v>46189</x:v>
      </x:c>
      <x:c r="J49" s="42" t="n">
        <x:f>IF(D49=0,"",MAXIFS('历史原始数据'!$Q$2:$Q$3050,'历史原始数据'!$B$2:$B$3050,$A49))</x:f>
        <x:v>46249</x:v>
      </x:c>
      <x:c r="K49" s="18" t="n">
        <x:f>IF(H49=1,G49,"")</x:f>
        <x:v>37.44803278688525</x:v>
      </x:c>
    </x:row>
    <x:row r="50">
      <x:c r="A50" t="str">
        <x:v>101437000_98863</x:v>
      </x:c>
      <x:c r="B50" t="str">
        <x:v>【沪村小电】欣菊苑充电站</x:v>
      </x:c>
      <x:c r="C50" s="40" t="n">
        <x:f>MAXIFS('历史原始数据'!$D$2:$D$3050,'历史原始数据'!$B$2:$B$3050,$A50)+MAXIFS('历史原始数据'!$E$2:$E$3050,'历史原始数据'!$B$2:$B$3050,$A50)</x:f>
        <x:v>4</x:v>
      </x:c>
      <x:c r="D50" s="40" t="n">
        <x:f>COUNTIFS('历史原始数据'!$B$2:$B$3050,$A50)</x:f>
        <x:v>55</x:v>
      </x:c>
      <x:c r="E50" s="37" t="n">
        <x:f>C50*D50</x:f>
        <x:v>220</x:v>
      </x:c>
      <x:c r="F50" s="29" t="n">
        <x:f>SUMIFS('历史原始数据'!$O$2:$O$3050,'历史原始数据'!$B$2:$B$3050,$A50)</x:f>
        <x:v>2373.0800000000004</x:v>
      </x:c>
      <x:c r="G50" s="29" t="n">
        <x:f>IFERROR(F50/E50,0)</x:f>
        <x:v>10.786727272727274</x:v>
      </x:c>
      <x:c r="H50" s="41" t="n">
        <x:f>IF(D50&gt;='核心假设'!$B$40,1,0)</x:f>
        <x:v>1</x:v>
      </x:c>
      <x:c r="I50" s="42" t="n">
        <x:f>IF(D50=0,"",MINIFS('历史原始数据'!$Q$2:$Q$3050,'历史原始数据'!$B$2:$B$3050,$A50))</x:f>
        <x:v>46189</x:v>
      </x:c>
      <x:c r="J50" s="42" t="n">
        <x:f>IF(D50=0,"",MAXIFS('历史原始数据'!$Q$2:$Q$3050,'历史原始数据'!$B$2:$B$3050,$A50))</x:f>
        <x:v>46249</x:v>
      </x:c>
      <x:c r="K50" s="18" t="n">
        <x:f>IF(H50=1,G50,"")</x:f>
        <x:v>10.786727272727274</x:v>
      </x:c>
    </x:row>
    <x:row r="51">
      <x:c r="A51" t="str">
        <x:v>101437000_98865</x:v>
      </x:c>
      <x:c r="B51" t="str">
        <x:v>【沪村小电】欣松苑充电站</x:v>
      </x:c>
      <x:c r="C51" s="40" t="n">
        <x:f>MAXIFS('历史原始数据'!$D$2:$D$3050,'历史原始数据'!$B$2:$B$3050,$A51)+MAXIFS('历史原始数据'!$E$2:$E$3050,'历史原始数据'!$B$2:$B$3050,$A51)</x:f>
        <x:v>4</x:v>
      </x:c>
      <x:c r="D51" s="40" t="n">
        <x:f>COUNTIFS('历史原始数据'!$B$2:$B$3050,$A51)</x:f>
        <x:v>57</x:v>
      </x:c>
      <x:c r="E51" s="37" t="n">
        <x:f>C51*D51</x:f>
        <x:v>228</x:v>
      </x:c>
      <x:c r="F51" s="29" t="n">
        <x:f>SUMIFS('历史原始数据'!$O$2:$O$3050,'历史原始数据'!$B$2:$B$3050,$A51)</x:f>
        <x:v>5435.039999999999</x:v>
      </x:c>
      <x:c r="G51" s="29" t="n">
        <x:f>IFERROR(F51/E51,0)</x:f>
        <x:v>23.837894736842102</x:v>
      </x:c>
      <x:c r="H51" s="41" t="n">
        <x:f>IF(D51&gt;='核心假设'!$B$40,1,0)</x:f>
        <x:v>1</x:v>
      </x:c>
      <x:c r="I51" s="42" t="n">
        <x:f>IF(D51=0,"",MINIFS('历史原始数据'!$Q$2:$Q$3050,'历史原始数据'!$B$2:$B$3050,$A51))</x:f>
        <x:v>46189</x:v>
      </x:c>
      <x:c r="J51" s="42" t="n">
        <x:f>IF(D51=0,"",MAXIFS('历史原始数据'!$Q$2:$Q$3050,'历史原始数据'!$B$2:$B$3050,$A51))</x:f>
        <x:v>46249</x:v>
      </x:c>
      <x:c r="K51" s="18" t="n">
        <x:f>IF(H51=1,G51,"")</x:f>
        <x:v>23.837894736842102</x:v>
      </x:c>
    </x:row>
    <x:row r="52">
      <x:c r="A52" t="str">
        <x:v>101437000_98867</x:v>
      </x:c>
      <x:c r="B52" t="str">
        <x:v>【沪村小电】欣荷苑充电站</x:v>
      </x:c>
      <x:c r="C52" s="40" t="n">
        <x:f>MAXIFS('历史原始数据'!$D$2:$D$3050,'历史原始数据'!$B$2:$B$3050,$A52)+MAXIFS('历史原始数据'!$E$2:$E$3050,'历史原始数据'!$B$2:$B$3050,$A52)</x:f>
        <x:v>4</x:v>
      </x:c>
      <x:c r="D52" s="40" t="n">
        <x:f>COUNTIFS('历史原始数据'!$B$2:$B$3050,$A52)</x:f>
        <x:v>59</x:v>
      </x:c>
      <x:c r="E52" s="37" t="n">
        <x:f>C52*D52</x:f>
        <x:v>236</x:v>
      </x:c>
      <x:c r="F52" s="29" t="n">
        <x:f>SUMIFS('历史原始数据'!$O$2:$O$3050,'历史原始数据'!$B$2:$B$3050,$A52)</x:f>
        <x:v>3146.2799999999997</x:v>
      </x:c>
      <x:c r="G52" s="29" t="n">
        <x:f>IFERROR(F52/E52,0)</x:f>
        <x:v>13.331694915254236</x:v>
      </x:c>
      <x:c r="H52" s="41" t="n">
        <x:f>IF(D52&gt;='核心假设'!$B$40,1,0)</x:f>
        <x:v>1</x:v>
      </x:c>
      <x:c r="I52" s="42" t="n">
        <x:f>IF(D52=0,"",MINIFS('历史原始数据'!$Q$2:$Q$3050,'历史原始数据'!$B$2:$B$3050,$A52))</x:f>
        <x:v>46190</x:v>
      </x:c>
      <x:c r="J52" s="42" t="n">
        <x:f>IF(D52=0,"",MAXIFS('历史原始数据'!$Q$2:$Q$3050,'历史原始数据'!$B$2:$B$3050,$A52))</x:f>
        <x:v>46249</x:v>
      </x:c>
      <x:c r="K52" s="18" t="n">
        <x:f>IF(H52=1,G52,"")</x:f>
        <x:v>13.331694915254236</x:v>
      </x:c>
    </x:row>
    <x:row r="53">
      <x:c r="A53" t="str">
        <x:v>101437000_99885</x:v>
      </x:c>
      <x:c r="B53" t="str">
        <x:v>【沪村小电】汇丰馨苑充电站</x:v>
      </x:c>
      <x:c r="C53" s="40" t="n">
        <x:f>MAXIFS('历史原始数据'!$D$2:$D$3050,'历史原始数据'!$B$2:$B$3050,$A53)+MAXIFS('历史原始数据'!$E$2:$E$3050,'历史原始数据'!$B$2:$B$3050,$A53)</x:f>
        <x:v>4</x:v>
      </x:c>
      <x:c r="D53" s="40" t="n">
        <x:f>COUNTIFS('历史原始数据'!$B$2:$B$3050,$A53)</x:f>
        <x:v>60</x:v>
      </x:c>
      <x:c r="E53" s="37" t="n">
        <x:f>C53*D53</x:f>
        <x:v>240</x:v>
      </x:c>
      <x:c r="F53" s="29" t="n">
        <x:f>SUMIFS('历史原始数据'!$O$2:$O$3050,'历史原始数据'!$B$2:$B$3050,$A53)</x:f>
        <x:v>4301.3</x:v>
      </x:c>
      <x:c r="G53" s="29" t="n">
        <x:f>IFERROR(F53/E53,0)</x:f>
        <x:v>17.922083333333333</x:v>
      </x:c>
      <x:c r="H53" s="41" t="n">
        <x:f>IF(D53&gt;='核心假设'!$B$40,1,0)</x:f>
        <x:v>1</x:v>
      </x:c>
      <x:c r="I53" s="42" t="n">
        <x:f>IF(D53=0,"",MINIFS('历史原始数据'!$Q$2:$Q$3050,'历史原始数据'!$B$2:$B$3050,$A53))</x:f>
        <x:v>46189</x:v>
      </x:c>
      <x:c r="J53" s="42" t="n">
        <x:f>IF(D53=0,"",MAXIFS('历史原始数据'!$Q$2:$Q$3050,'历史原始数据'!$B$2:$B$3050,$A53))</x:f>
        <x:v>46249</x:v>
      </x:c>
      <x:c r="K53" s="18" t="n">
        <x:f>IF(H53=1,G53,"")</x:f>
        <x:v>17.922083333333333</x:v>
      </x:c>
    </x:row>
    <x:row r="54">
      <x:c r="A54" t="str">
        <x:v>101437000_99887</x:v>
      </x:c>
      <x:c r="B54" t="str">
        <x:v>【沪村小电】新南村河南小区充电站</x:v>
      </x:c>
      <x:c r="C54" s="40" t="n">
        <x:f>MAXIFS('历史原始数据'!$D$2:$D$3050,'历史原始数据'!$B$2:$B$3050,$A54)+MAXIFS('历史原始数据'!$E$2:$E$3050,'历史原始数据'!$B$2:$B$3050,$A54)</x:f>
        <x:v>2</x:v>
      </x:c>
      <x:c r="D54" s="40" t="n">
        <x:f>COUNTIFS('历史原始数据'!$B$2:$B$3050,$A54)</x:f>
        <x:v>59</x:v>
      </x:c>
      <x:c r="E54" s="37" t="n">
        <x:f>C54*D54</x:f>
        <x:v>118</x:v>
      </x:c>
      <x:c r="F54" s="29" t="n">
        <x:f>SUMIFS('历史原始数据'!$O$2:$O$3050,'历史原始数据'!$B$2:$B$3050,$A54)</x:f>
        <x:v>3603.6099999999997</x:v>
      </x:c>
      <x:c r="G54" s="29" t="n">
        <x:f>IFERROR(F54/E54,0)</x:f>
        <x:v>30.539067796610166</x:v>
      </x:c>
      <x:c r="H54" s="41" t="n">
        <x:f>IF(D54&gt;='核心假设'!$B$40,1,0)</x:f>
        <x:v>1</x:v>
      </x:c>
      <x:c r="I54" s="42" t="n">
        <x:f>IF(D54=0,"",MINIFS('历史原始数据'!$Q$2:$Q$3050,'历史原始数据'!$B$2:$B$3050,$A54))</x:f>
        <x:v>46189</x:v>
      </x:c>
      <x:c r="J54" s="42" t="n">
        <x:f>IF(D54=0,"",MAXIFS('历史原始数据'!$Q$2:$Q$3050,'历史原始数据'!$B$2:$B$3050,$A54))</x:f>
        <x:v>46249</x:v>
      </x:c>
      <x:c r="K54" s="18" t="n">
        <x:f>IF(H54=1,G54,"")</x:f>
        <x:v>30.539067796610166</x:v>
      </x:c>
    </x:row>
    <x:row r="55">
      <x:c r="A55" t="str">
        <x:v>101437000_99889</x:v>
      </x:c>
      <x:c r="B55" t="str">
        <x:v>【沪村小电】漕泾郊野公园</x:v>
      </x:c>
      <x:c r="C55" s="40" t="n">
        <x:f>MAXIFS('历史原始数据'!$D$2:$D$3050,'历史原始数据'!$B$2:$B$3050,$A55)+MAXIFS('历史原始数据'!$E$2:$E$3050,'历史原始数据'!$B$2:$B$3050,$A55)</x:f>
        <x:v>2</x:v>
      </x:c>
      <x:c r="D55" s="40" t="n">
        <x:f>COUNTIFS('历史原始数据'!$B$2:$B$3050,$A55)</x:f>
        <x:v>59</x:v>
      </x:c>
      <x:c r="E55" s="37" t="n">
        <x:f>C55*D55</x:f>
        <x:v>118</x:v>
      </x:c>
      <x:c r="F55" s="29" t="n">
        <x:f>SUMIFS('历史原始数据'!$O$2:$O$3050,'历史原始数据'!$B$2:$B$3050,$A55)</x:f>
        <x:v>2761.9700000000003</x:v>
      </x:c>
      <x:c r="G55" s="29" t="n">
        <x:f>IFERROR(F55/E55,0)</x:f>
        <x:v>23.406525423728816</x:v>
      </x:c>
      <x:c r="H55" s="41" t="n">
        <x:f>IF(D55&gt;='核心假设'!$B$40,1,0)</x:f>
        <x:v>1</x:v>
      </x:c>
      <x:c r="I55" s="42" t="n">
        <x:f>IF(D55=0,"",MINIFS('历史原始数据'!$Q$2:$Q$3050,'历史原始数据'!$B$2:$B$3050,$A55))</x:f>
        <x:v>46189</x:v>
      </x:c>
      <x:c r="J55" s="42" t="n">
        <x:f>IF(D55=0,"",MAXIFS('历史原始数据'!$Q$2:$Q$3050,'历史原始数据'!$B$2:$B$3050,$A55))</x:f>
        <x:v>46249</x:v>
      </x:c>
      <x:c r="K55" s="18" t="n">
        <x:f>IF(H55=1,G55,"")</x:f>
        <x:v>23.406525423728816</x:v>
      </x:c>
    </x:row>
    <x:row r="56">
      <x:c r="A56" t="str">
        <x:v>101437000_99891</x:v>
      </x:c>
      <x:c r="B56" t="str">
        <x:v>【沪村小电】水韵紫城充电站</x:v>
      </x:c>
      <x:c r="C56" s="40" t="n">
        <x:f>MAXIFS('历史原始数据'!$D$2:$D$3050,'历史原始数据'!$B$2:$B$3050,$A56)+MAXIFS('历史原始数据'!$E$2:$E$3050,'历史原始数据'!$B$2:$B$3050,$A56)</x:f>
        <x:v>4</x:v>
      </x:c>
      <x:c r="D56" s="40" t="n">
        <x:f>COUNTIFS('历史原始数据'!$B$2:$B$3050,$A56)</x:f>
        <x:v>53</x:v>
      </x:c>
      <x:c r="E56" s="37" t="n">
        <x:f>C56*D56</x:f>
        <x:v>212</x:v>
      </x:c>
      <x:c r="F56" s="29" t="n">
        <x:f>SUMIFS('历史原始数据'!$O$2:$O$3050,'历史原始数据'!$B$2:$B$3050,$A56)</x:f>
        <x:v>9457.490000000003</x:v>
      </x:c>
      <x:c r="G56" s="29" t="n">
        <x:f>IFERROR(F56/E56,0)</x:f>
        <x:v>44.610801886792466</x:v>
      </x:c>
      <x:c r="H56" s="41" t="n">
        <x:f>IF(D56&gt;='核心假设'!$B$40,1,0)</x:f>
        <x:v>1</x:v>
      </x:c>
      <x:c r="I56" s="42" t="n">
        <x:f>IF(D56=0,"",MINIFS('历史原始数据'!$Q$2:$Q$3050,'历史原始数据'!$B$2:$B$3050,$A56))</x:f>
        <x:v>46197</x:v>
      </x:c>
      <x:c r="J56" s="42" t="n">
        <x:f>IF(D56=0,"",MAXIFS('历史原始数据'!$Q$2:$Q$3050,'历史原始数据'!$B$2:$B$3050,$A56))</x:f>
        <x:v>46249</x:v>
      </x:c>
      <x:c r="K56" s="18" t="n">
        <x:f>IF(H56=1,G56,"")</x:f>
        <x:v>44.610801886792466</x:v>
      </x:c>
    </x:row>
    <x:row r="57">
      <x:c r="A57" t="str">
        <x:v>101437000_95081</x:v>
      </x:c>
      <x:c r="B57" t="str">
        <x:v>【沪村小电】民乐城惠益绿苑西苑充电站</x:v>
      </x:c>
      <x:c r="C57" s="40" t="n">
        <x:f>MAXIFS('历史原始数据'!$D$2:$D$3050,'历史原始数据'!$B$2:$B$3050,$A57)+MAXIFS('历史原始数据'!$E$2:$E$3050,'历史原始数据'!$B$2:$B$3050,$A57)</x:f>
        <x:v>2</x:v>
      </x:c>
      <x:c r="D57" s="40" t="n">
        <x:f>COUNTIFS('历史原始数据'!$B$2:$B$3050,$A57)</x:f>
        <x:v>57</x:v>
      </x:c>
      <x:c r="E57" s="37" t="n">
        <x:f>C57*D57</x:f>
        <x:v>114</x:v>
      </x:c>
      <x:c r="F57" s="29" t="n">
        <x:f>SUMIFS('历史原始数据'!$O$2:$O$3050,'历史原始数据'!$B$2:$B$3050,$A57)</x:f>
        <x:v>2816.490000000002</x:v>
      </x:c>
      <x:c r="G57" s="29" t="n">
        <x:f>IFERROR(F57/E57,0)</x:f>
        <x:v>24.706052631578967</x:v>
      </x:c>
      <x:c r="H57" s="41" t="n">
        <x:f>IF(D57&gt;='核心假设'!$B$40,1,0)</x:f>
        <x:v>1</x:v>
      </x:c>
      <x:c r="I57" s="42" t="n">
        <x:f>IF(D57=0,"",MINIFS('历史原始数据'!$Q$2:$Q$3050,'历史原始数据'!$B$2:$B$3050,$A57))</x:f>
        <x:v>46189</x:v>
      </x:c>
      <x:c r="J57" s="42" t="n">
        <x:f>IF(D57=0,"",MAXIFS('历史原始数据'!$Q$2:$Q$3050,'历史原始数据'!$B$2:$B$3050,$A57))</x:f>
        <x:v>46248</x:v>
      </x:c>
      <x:c r="K57" s="18" t="n">
        <x:f>IF(H57=1,G57,"")</x:f>
        <x:v>24.706052631578967</x:v>
      </x:c>
    </x:row>
    <x:row r="58">
      <x:c r="A58" t="str">
        <x:v>101437000_72937</x:v>
      </x:c>
      <x:c r="B58" t="str">
        <x:v>【沪村小电】佘北家园茸腾苑充电站</x:v>
      </x:c>
      <x:c r="C58" s="40" t="n">
        <x:f>MAXIFS('历史原始数据'!$D$2:$D$3050,'历史原始数据'!$B$2:$B$3050,$A58)+MAXIFS('历史原始数据'!$E$2:$E$3050,'历史原始数据'!$B$2:$B$3050,$A58)</x:f>
        <x:v>4</x:v>
      </x:c>
      <x:c r="D58" s="40" t="n">
        <x:f>COUNTIFS('历史原始数据'!$B$2:$B$3050,$A58)</x:f>
        <x:v>55</x:v>
      </x:c>
      <x:c r="E58" s="37" t="n">
        <x:f>C58*D58</x:f>
        <x:v>220</x:v>
      </x:c>
      <x:c r="F58" s="29" t="n">
        <x:f>SUMIFS('历史原始数据'!$O$2:$O$3050,'历史原始数据'!$B$2:$B$3050,$A58)</x:f>
        <x:v>6281.529999999999</x:v>
      </x:c>
      <x:c r="G58" s="29" t="n">
        <x:f>IFERROR(F58/E58,0)</x:f>
        <x:v>28.552409090909087</x:v>
      </x:c>
      <x:c r="H58" s="41" t="n">
        <x:f>IF(D58&gt;='核心假设'!$B$40,1,0)</x:f>
        <x:v>1</x:v>
      </x:c>
      <x:c r="I58" s="42" t="n">
        <x:f>IF(D58=0,"",MINIFS('历史原始数据'!$Q$2:$Q$3050,'历史原始数据'!$B$2:$B$3050,$A58))</x:f>
        <x:v>46189</x:v>
      </x:c>
      <x:c r="J58" s="42" t="n">
        <x:f>IF(D58=0,"",MAXIFS('历史原始数据'!$Q$2:$Q$3050,'历史原始数据'!$B$2:$B$3050,$A58))</x:f>
        <x:v>46243</x:v>
      </x:c>
      <x:c r="K58" s="18" t="n">
        <x:f>IF(H58=1,G58,"")</x:f>
        <x:v>28.552409090909087</x:v>
      </x:c>
    </x:row>
    <x:row r="59">
      <x:c r="A59" t="str">
        <x:v>101437000_102043</x:v>
      </x:c>
      <x:c r="B59" t="str">
        <x:v>【沪村小电】市民广场停车场充电站</x:v>
      </x:c>
      <x:c r="C59" s="40" t="n">
        <x:f>MAXIFS('历史原始数据'!$D$2:$D$3050,'历史原始数据'!$B$2:$B$3050,$A59)+MAXIFS('历史原始数据'!$E$2:$E$3050,'历史原始数据'!$B$2:$B$3050,$A59)</x:f>
        <x:v>2</x:v>
      </x:c>
      <x:c r="D59" s="40" t="n">
        <x:f>COUNTIFS('历史原始数据'!$B$2:$B$3050,$A59)</x:f>
        <x:v>2</x:v>
      </x:c>
      <x:c r="E59" s="37" t="n">
        <x:f>C59*D59</x:f>
        <x:v>4</x:v>
      </x:c>
      <x:c r="F59" s="29" t="n">
        <x:f>SUMIFS('历史原始数据'!$O$2:$O$3050,'历史原始数据'!$B$2:$B$3050,$A59)</x:f>
        <x:v>5.31</x:v>
      </x:c>
      <x:c r="G59" s="29" t="n">
        <x:f>IFERROR(F59/E59,0)</x:f>
        <x:v>1.3275</x:v>
      </x:c>
      <x:c r="H59" s="41" t="n">
        <x:f>IF(D59&gt;='核心假设'!$B$40,1,0)</x:f>
        <x:v>0</x:v>
      </x:c>
      <x:c r="I59" s="42" t="n">
        <x:f>IF(D59=0,"",MINIFS('历史原始数据'!$Q$2:$Q$3050,'历史原始数据'!$B$2:$B$3050,$A59))</x:f>
        <x:v>46195</x:v>
      </x:c>
      <x:c r="J59" s="42" t="n">
        <x:f>IF(D59=0,"",MAXIFS('历史原始数据'!$Q$2:$Q$3050,'历史原始数据'!$B$2:$B$3050,$A59))</x:f>
        <x:v>46231</x:v>
      </x:c>
      <x:c r="K59" s="18" t="str">
        <x:f>IF(H59=1,G59,"")</x:f>
      </x:c>
    </x:row>
    <x:row r="60">
      <x:c r="A60" t="str">
        <x:v>101437000_78239</x:v>
      </x:c>
      <x:c r="B60" t="str">
        <x:v>【沪村小电】恒大佘山首府东门充电站</x:v>
      </x:c>
      <x:c r="C60" s="40" t="n">
        <x:f>MAXIFS('历史原始数据'!$D$2:$D$3050,'历史原始数据'!$B$2:$B$3050,$A60)+MAXIFS('历史原始数据'!$E$2:$E$3050,'历史原始数据'!$B$2:$B$3050,$A60)</x:f>
        <x:v>2</x:v>
      </x:c>
      <x:c r="D60" s="40" t="n">
        <x:f>COUNTIFS('历史原始数据'!$B$2:$B$3050,$A60)</x:f>
        <x:v>43</x:v>
      </x:c>
      <x:c r="E60" s="37" t="n">
        <x:f>C60*D60</x:f>
        <x:v>86</x:v>
      </x:c>
      <x:c r="F60" s="29" t="n">
        <x:f>SUMIFS('历史原始数据'!$O$2:$O$3050,'历史原始数据'!$B$2:$B$3050,$A60)</x:f>
        <x:v>11277.869999999999</x:v>
      </x:c>
      <x:c r="G60" s="29" t="n">
        <x:f>IFERROR(F60/E60,0)</x:f>
        <x:v>131.13802325581395</x:v>
      </x:c>
      <x:c r="H60" s="41" t="n">
        <x:f>IF(D60&gt;='核心假设'!$B$40,1,0)</x:f>
        <x:v>1</x:v>
      </x:c>
      <x:c r="I60" s="42" t="n">
        <x:f>IF(D60=0,"",MINIFS('历史原始数据'!$Q$2:$Q$3050,'历史原始数据'!$B$2:$B$3050,$A60))</x:f>
        <x:v>46189</x:v>
      </x:c>
      <x:c r="J60" s="42" t="n">
        <x:f>IF(D60=0,"",MAXIFS('历史原始数据'!$Q$2:$Q$3050,'历史原始数据'!$B$2:$B$3050,$A60))</x:f>
        <x:v>46231</x:v>
      </x:c>
      <x:c r="K60" s="18" t="n">
        <x:f>IF(H60=1,G60,"")</x:f>
        <x:v>131.13802325581395</x:v>
      </x:c>
    </x:row>
    <x:row r="61">
      <x:c r="A61" t="str">
        <x:v>101437000_106337</x:v>
      </x:c>
      <x:c r="B61" t="str">
        <x:v>【沪村小电】柳湖景庭西门处外侧停车场充电站</x:v>
      </x:c>
      <x:c r="C61" s="40" t="n">
        <x:f>MAXIFS('历史原始数据'!$D$2:$D$3050,'历史原始数据'!$B$2:$B$3050,$A61)+MAXIFS('历史原始数据'!$E$2:$E$3050,'历史原始数据'!$B$2:$B$3050,$A61)</x:f>
        <x:v>2</x:v>
      </x:c>
      <x:c r="D61" s="40" t="n">
        <x:f>COUNTIFS('历史原始数据'!$B$2:$B$3050,$A61)</x:f>
        <x:v>1</x:v>
      </x:c>
      <x:c r="E61" s="37" t="n">
        <x:f>C61*D61</x:f>
        <x:v>2</x:v>
      </x:c>
      <x:c r="F61" s="29" t="n">
        <x:f>SUMIFS('历史原始数据'!$O$2:$O$3050,'历史原始数据'!$B$2:$B$3050,$A61)</x:f>
        <x:v>1.15</x:v>
      </x:c>
      <x:c r="G61" s="29" t="n">
        <x:f>IFERROR(F61/E61,0)</x:f>
        <x:v>0.575</x:v>
      </x:c>
      <x:c r="H61" s="41" t="n">
        <x:f>IF(D61&gt;='核心假设'!$B$40,1,0)</x:f>
        <x:v>0</x:v>
      </x:c>
      <x:c r="I61" s="42" t="n">
        <x:f>IF(D61=0,"",MINIFS('历史原始数据'!$Q$2:$Q$3050,'历史原始数据'!$B$2:$B$3050,$A61))</x:f>
        <x:v>46227</x:v>
      </x:c>
      <x:c r="J61" s="42" t="n">
        <x:f>IF(D61=0,"",MAXIFS('历史原始数据'!$Q$2:$Q$3050,'历史原始数据'!$B$2:$B$3050,$A61))</x:f>
        <x:v>46227</x:v>
      </x:c>
      <x:c r="K61" s="18" t="str">
        <x:f>IF(H61=1,G61,"")</x:f>
      </x:c>
    </x:row>
    <x:row r="62">
      <x:c r="A62" t="str">
        <x:v>101437000_106339</x:v>
      </x:c>
      <x:c r="B62" t="str">
        <x:v>【沪村小电】华腾苑充电站</x:v>
      </x:c>
      <x:c r="C62" s="40" t="n">
        <x:f>MAXIFS('历史原始数据'!$D$2:$D$3050,'历史原始数据'!$B$2:$B$3050,$A62)+MAXIFS('历史原始数据'!$E$2:$E$3050,'历史原始数据'!$B$2:$B$3050,$A62)</x:f>
        <x:v>6</x:v>
      </x:c>
      <x:c r="D62" s="40" t="n">
        <x:f>COUNTIFS('历史原始数据'!$B$2:$B$3050,$A62)</x:f>
        <x:v>1</x:v>
      </x:c>
      <x:c r="E62" s="37" t="n">
        <x:f>C62*D62</x:f>
        <x:v>6</x:v>
      </x:c>
      <x:c r="F62" s="29" t="n">
        <x:f>SUMIFS('历史原始数据'!$O$2:$O$3050,'历史原始数据'!$B$2:$B$3050,$A62)</x:f>
        <x:v>0.45</x:v>
      </x:c>
      <x:c r="G62" s="29" t="n">
        <x:f>IFERROR(F62/E62,0)</x:f>
        <x:v>0.075</x:v>
      </x:c>
      <x:c r="H62" s="41" t="n">
        <x:f>IF(D62&gt;='核心假设'!$B$40,1,0)</x:f>
        <x:v>0</x:v>
      </x:c>
      <x:c r="I62" s="42" t="n">
        <x:f>IF(D62=0,"",MINIFS('历史原始数据'!$Q$2:$Q$3050,'历史原始数据'!$B$2:$B$3050,$A62))</x:f>
        <x:v>46227</x:v>
      </x:c>
      <x:c r="J62" s="42" t="n">
        <x:f>IF(D62=0,"",MAXIFS('历史原始数据'!$Q$2:$Q$3050,'历史原始数据'!$B$2:$B$3050,$A62))</x:f>
        <x:v>46227</x:v>
      </x:c>
      <x:c r="K62" s="18" t="str">
        <x:f>IF(H62=1,G62,"")</x:f>
      </x:c>
    </x:row>
    <x:row r="63">
      <x:c r="A63" t="str">
        <x:v>101437000_106343</x:v>
      </x:c>
      <x:c r="B63" t="str">
        <x:v>【沪村小电】褚家荣苑充电站</x:v>
      </x:c>
      <x:c r="C63" s="40" t="n">
        <x:f>MAXIFS('历史原始数据'!$D$2:$D$3050,'历史原始数据'!$B$2:$B$3050,$A63)+MAXIFS('历史原始数据'!$E$2:$E$3050,'历史原始数据'!$B$2:$B$3050,$A63)</x:f>
        <x:v>4</x:v>
      </x:c>
      <x:c r="D63" s="40" t="n">
        <x:f>COUNTIFS('历史原始数据'!$B$2:$B$3050,$A63)</x:f>
        <x:v>1</x:v>
      </x:c>
      <x:c r="E63" s="37" t="n">
        <x:f>C63*D63</x:f>
        <x:v>4</x:v>
      </x:c>
      <x:c r="F63" s="29" t="n">
        <x:f>SUMIFS('历史原始数据'!$O$2:$O$3050,'历史原始数据'!$B$2:$B$3050,$A63)</x:f>
        <x:v>0.58</x:v>
      </x:c>
      <x:c r="G63" s="29" t="n">
        <x:f>IFERROR(F63/E63,0)</x:f>
        <x:v>0.145</x:v>
      </x:c>
      <x:c r="H63" s="41" t="n">
        <x:f>IF(D63&gt;='核心假设'!$B$40,1,0)</x:f>
        <x:v>0</x:v>
      </x:c>
      <x:c r="I63" s="42" t="n">
        <x:f>IF(D63=0,"",MINIFS('历史原始数据'!$Q$2:$Q$3050,'历史原始数据'!$B$2:$B$3050,$A63))</x:f>
        <x:v>46227</x:v>
      </x:c>
      <x:c r="J63" s="42" t="n">
        <x:f>IF(D63=0,"",MAXIFS('历史原始数据'!$Q$2:$Q$3050,'历史原始数据'!$B$2:$B$3050,$A63))</x:f>
        <x:v>46227</x:v>
      </x:c>
      <x:c r="K63" s="18" t="str">
        <x:f>IF(H63=1,G63,"")</x:f>
      </x:c>
    </x:row>
    <x:row r="64">
      <x:c r="A64" t="str">
        <x:v>101437000_106345</x:v>
      </x:c>
      <x:c r="B64" t="str">
        <x:v>【沪村小电】锦桂苑充电站</x:v>
      </x:c>
      <x:c r="C64" s="40" t="n">
        <x:f>MAXIFS('历史原始数据'!$D$2:$D$3050,'历史原始数据'!$B$2:$B$3050,$A64)+MAXIFS('历史原始数据'!$E$2:$E$3050,'历史原始数据'!$B$2:$B$3050,$A64)</x:f>
        <x:v>4</x:v>
      </x:c>
      <x:c r="D64" s="40" t="n">
        <x:f>COUNTIFS('历史原始数据'!$B$2:$B$3050,$A64)</x:f>
        <x:v>1</x:v>
      </x:c>
      <x:c r="E64" s="37" t="n">
        <x:f>C64*D64</x:f>
        <x:v>4</x:v>
      </x:c>
      <x:c r="F64" s="29" t="n">
        <x:f>SUMIFS('历史原始数据'!$O$2:$O$3050,'历史原始数据'!$B$2:$B$3050,$A64)</x:f>
        <x:v>0.97</x:v>
      </x:c>
      <x:c r="G64" s="29" t="n">
        <x:f>IFERROR(F64/E64,0)</x:f>
        <x:v>0.2425</x:v>
      </x:c>
      <x:c r="H64" s="41" t="n">
        <x:f>IF(D64&gt;='核心假设'!$B$40,1,0)</x:f>
        <x:v>0</x:v>
      </x:c>
      <x:c r="I64" s="42" t="n">
        <x:f>IF(D64=0,"",MINIFS('历史原始数据'!$Q$2:$Q$3050,'历史原始数据'!$B$2:$B$3050,$A64))</x:f>
        <x:v>46227</x:v>
      </x:c>
      <x:c r="J64" s="42" t="n">
        <x:f>IF(D64=0,"",MAXIFS('历史原始数据'!$Q$2:$Q$3050,'历史原始数据'!$B$2:$B$3050,$A64))</x:f>
        <x:v>46227</x:v>
      </x:c>
      <x:c r="K64" s="18" t="str">
        <x:f>IF(H64=1,G64,"")</x:f>
      </x:c>
    </x:row>
    <x:row r="65">
      <x:c r="A65" t="str">
        <x:v>101437000_102045</x:v>
      </x:c>
      <x:c r="B65" t="str">
        <x:v>【沪村小电】沈巷菜场南侧停车场充电站</x:v>
      </x:c>
      <x:c r="C65" s="40" t="n">
        <x:f>MAXIFS('历史原始数据'!$D$2:$D$3050,'历史原始数据'!$B$2:$B$3050,$A65)+MAXIFS('历史原始数据'!$E$2:$E$3050,'历史原始数据'!$B$2:$B$3050,$A65)</x:f>
        <x:v>2</x:v>
      </x:c>
      <x:c r="D65" s="40" t="n">
        <x:f>COUNTIFS('历史原始数据'!$B$2:$B$3050,$A65)</x:f>
        <x:v>1</x:v>
      </x:c>
      <x:c r="E65" s="37" t="n">
        <x:f>C65*D65</x:f>
        <x:v>2</x:v>
      </x:c>
      <x:c r="F65" s="29" t="n">
        <x:f>SUMIFS('历史原始数据'!$O$2:$O$3050,'历史原始数据'!$B$2:$B$3050,$A65)</x:f>
        <x:v>0.21</x:v>
      </x:c>
      <x:c r="G65" s="29" t="n">
        <x:f>IFERROR(F65/E65,0)</x:f>
        <x:v>0.105</x:v>
      </x:c>
      <x:c r="H65" s="41" t="n">
        <x:f>IF(D65&gt;='核心假设'!$B$40,1,0)</x:f>
        <x:v>0</x:v>
      </x:c>
      <x:c r="I65" s="42" t="n">
        <x:f>IF(D65=0,"",MINIFS('历史原始数据'!$Q$2:$Q$3050,'历史原始数据'!$B$2:$B$3050,$A65))</x:f>
        <x:v>46195</x:v>
      </x:c>
      <x:c r="J65" s="42" t="n">
        <x:f>IF(D65=0,"",MAXIFS('历史原始数据'!$Q$2:$Q$3050,'历史原始数据'!$B$2:$B$3050,$A65))</x:f>
        <x:v>46195</x:v>
      </x:c>
      <x:c r="K65" s="18" t="str">
        <x:f>IF(H65=1,G65,"")</x:f>
      </x:c>
    </x:row>
  </x:sheetData>
  <x:mergeCells>
    <x:mergeCell ref="A1:N1"/>
    <x:mergeCell ref="A3:J3"/>
    <x:mergeCell ref="L3:N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6" hidden="0" customWidth="1"/>
    <x:col min="11" max="11" width="16" hidden="0" customWidth="1"/>
    <x:col min="12" max="12" width="32" hidden="0" customWidth="1"/>
    <x:col min="13" max="13" width="20" hidden="0" customWidth="1"/>
    <x:col min="14" max="14" width="20" hidden="0" customWidth="1"/>
  </x:cols>
  <x:sheetData>
    <x:row r="1" ht="26" customHeight="1">
      <x:c r="A1" s="4" t="str">
        <x:v>年度季节曲线｜2024公共充电网络形状</x:v>
      </x:c>
      <x:c r="B1" s="4" t="str">
        <x:v>年度季节曲线｜2024公共充电网络形状</x:v>
      </x:c>
      <x:c r="C1" s="4" t="str">
        <x:v>年度季节曲线｜2024公共充电网络形状</x:v>
      </x:c>
      <x:c r="D1" s="4" t="str">
        <x:v>年度季节曲线｜2024公共充电网络形状</x:v>
      </x:c>
      <x:c r="E1" s="4" t="str">
        <x:v>年度季节曲线｜2024公共充电网络形状</x:v>
      </x:c>
      <x:c r="F1" s="4" t="str">
        <x:v>年度季节曲线｜2024公共充电网络形状</x:v>
      </x:c>
      <x:c r="G1" s="4" t="str">
        <x:v>年度季节曲线｜2024公共充电网络形状</x:v>
      </x:c>
      <x:c r="H1" s="4" t="str">
        <x:v>年度季节曲线｜2024公共充电网络形状</x:v>
      </x:c>
      <x:c r="I1" s="4" t="str">
        <x:v>年度季节曲线｜2024公共充电网络形状</x:v>
      </x:c>
      <x:c r="J1" s="4" t="str">
        <x:v>年度季节曲线｜2024公共充电网络形状</x:v>
      </x:c>
      <x:c r="K1" s="4" t="str">
        <x:v>年度季节曲线｜2024公共充电网络形状</x:v>
      </x:c>
      <x:c r="L1" s="4" t="str">
        <x:v>年度季节曲线｜2024公共充电网络形状</x:v>
      </x:c>
    </x:row>
    <x:row r="3">
      <x:c r="A3" s="13" t="str">
        <x:v>月度输入与公式归一</x:v>
      </x:c>
      <x:c r="B3" s="14" t="str">
        <x:v>月度输入与公式归一</x:v>
      </x:c>
      <x:c r="C3" s="14" t="str">
        <x:v>月度输入与公式归一</x:v>
      </x:c>
      <x:c r="D3" s="14" t="str">
        <x:v>月度输入与公式归一</x:v>
      </x:c>
      <x:c r="E3" s="14" t="str">
        <x:v>月度输入与公式归一</x:v>
      </x:c>
      <x:c r="F3" s="14" t="str">
        <x:v>月度输入与公式归一</x:v>
      </x:c>
      <x:c r="G3" s="14" t="str">
        <x:v>月度输入与公式归一</x:v>
      </x:c>
      <x:c r="H3" s="14" t="str">
        <x:v>月度输入与公式归一</x:v>
      </x:c>
      <x:c r="I3" s="14" t="str">
        <x:v>月度输入与公式归一</x:v>
      </x:c>
      <x:c r="J3" s="14" t="str">
        <x:v>月度输入与公式归一</x:v>
      </x:c>
      <x:c r="K3" s="14" t="str">
        <x:v>月度输入与公式归一</x:v>
      </x:c>
      <x:c r="L3" s="15" t="str">
        <x:v>月度输入与公式归一</x:v>
      </x:c>
      <x:c r="M3" s="13" t="str">
        <x:v>源期间季节还原</x:v>
      </x:c>
      <x:c r="N3" s="15" t="str">
        <x:v>源期间季节还原</x:v>
      </x:c>
    </x:row>
    <x:row r="4">
      <x:c r="A4" s="13" t="str">
        <x:v>月份</x:v>
      </x:c>
      <x:c r="B4" s="14" t="str">
        <x:v>月初枪</x:v>
      </x:c>
      <x:c r="C4" s="14" t="str">
        <x:v>月末枪</x:v>
      </x:c>
      <x:c r="D4" s="14" t="str">
        <x:v>平均枪</x:v>
      </x:c>
      <x:c r="E4" s="14" t="str">
        <x:v>天数</x:v>
      </x:c>
      <x:c r="F4" s="14" t="str">
        <x:v>充电量(亿kWh)</x:v>
      </x:c>
      <x:c r="G4" s="14" t="str">
        <x:v>单枪日充电量</x:v>
      </x:c>
      <x:c r="H4" s="14" t="str">
        <x:v>季节指数</x:v>
      </x:c>
      <x:c r="I4" s="14" t="str">
        <x:v>枪数来源ID</x:v>
      </x:c>
      <x:c r="J4" s="14" t="str">
        <x:v>电量来源ID</x:v>
      </x:c>
      <x:c r="K4" s="14" t="str">
        <x:v>访问日</x:v>
      </x:c>
      <x:c r="L4" s="15" t="str">
        <x:v>口径</x:v>
      </x:c>
      <x:c r="M4" s="13" t="str">
        <x:v>源期间覆盖天数</x:v>
      </x:c>
      <x:c r="N4" s="15" t="str">
        <x:v>覆盖天数×季节指数</x:v>
      </x:c>
    </x:row>
    <x:row r="6">
      <x:c r="A6" s="43" t="n">
        <x:v>45292</x:v>
      </x:c>
      <x:c r="B6" s="33" t="n">
        <x:v>2726000</x:v>
      </x:c>
      <x:c r="C6" s="33" t="n">
        <x:v>2782000</x:v>
      </x:c>
      <x:c r="D6" s="37" t="n">
        <x:f>(B6+C6)/2</x:f>
        <x:v>2754000</x:v>
      </x:c>
      <x:c r="E6" s="37" t="n">
        <x:f>DAY(EOMONTH(A6,0))</x:f>
        <x:v>31</x:v>
      </x:c>
      <x:c r="F6" s="44" t="n">
        <x:v>42.2</x:v>
      </x:c>
      <x:c r="G6" s="45" t="n">
        <x:f>F6*'核心假设'!$B$43/E6/D6</x:f>
        <x:v>49.42956872115633</x:v>
      </x:c>
      <x:c r="H6" s="46" t="n">
        <x:f>G6/AVERAGE($G$6:$G$17)</x:f>
        <x:v>1.0179910013616738</x:v>
      </x:c>
      <x:c r="I6" t="str">
        <x:v>SRC-036</x:v>
      </x:c>
      <x:c r="J6" t="str">
        <x:v>SRC-036</x:v>
      </x:c>
      <x:c r="K6" t="str">
        <x:v>2026-08-16</x:v>
      </x:c>
      <x:c r="L6" s="30" t="str">
        <x:v>公共充电网络仅用于年度形状</x:v>
      </x:c>
      <x:c r="M6" s="25" t="n">
        <x:f>MAX(0,MIN(EOMONTH(DATE(YEAR('核心假设'!$B$44),MONTH(A6),1),0),'核心假设'!$B$45)-MAX(DATE(YEAR('核心假设'!$B$44),MONTH(A6),1),'核心假设'!$B$44)+1)</x:f>
        <x:v>0</x:v>
      </x:c>
      <x:c r="N6" s="18" t="n">
        <x:f>M6*H6</x:f>
        <x:v>0</x:v>
      </x:c>
    </x:row>
    <x:row r="7">
      <x:c r="A7" s="43" t="n">
        <x:v>45323</x:v>
      </x:c>
      <x:c r="B7" s="33" t="n">
        <x:v>2782000</x:v>
      </x:c>
      <x:c r="C7" s="33" t="n">
        <x:v>2826000</x:v>
      </x:c>
      <x:c r="D7" s="37" t="n">
        <x:f>(B7+C7)/2</x:f>
        <x:v>2804000</x:v>
      </x:c>
      <x:c r="E7" s="37" t="n">
        <x:f>DAY(EOMONTH(A7,0))</x:f>
        <x:v>29</x:v>
      </x:c>
      <x:c r="F7" s="44" t="n">
        <x:v>36.4</x:v>
      </x:c>
      <x:c r="G7" s="45" t="n">
        <x:f>F7*'核心假设'!$B$43/E7/D7</x:f>
        <x:v>44.76363815239313</x:v>
      </x:c>
      <x:c r="H7" s="46" t="n">
        <x:f>G7/AVERAGE($G$6:$G$17)</x:f>
        <x:v>0.921897196481958</x:v>
      </x:c>
      <x:c r="I7" t="str">
        <x:v>SRC-037</x:v>
      </x:c>
      <x:c r="J7" t="str">
        <x:v>SRC-037</x:v>
      </x:c>
      <x:c r="K7" t="str">
        <x:v>2026-08-16</x:v>
      </x:c>
      <x:c r="L7" s="30" t="str">
        <x:v>公共充电网络仅用于年度形状</x:v>
      </x:c>
      <x:c r="M7" s="25" t="n">
        <x:f>MAX(0,MIN(EOMONTH(DATE(YEAR('核心假设'!$B$44),MONTH(A7),1),0),'核心假设'!$B$45)-MAX(DATE(YEAR('核心假设'!$B$44),MONTH(A7),1),'核心假设'!$B$44)+1)</x:f>
        <x:v>0</x:v>
      </x:c>
      <x:c r="N7" s="18" t="n">
        <x:f>M7*H7</x:f>
        <x:v>0</x:v>
      </x:c>
    </x:row>
    <x:row r="8">
      <x:c r="A8" s="43" t="n">
        <x:v>45352</x:v>
      </x:c>
      <x:c r="B8" s="33" t="n">
        <x:v>2826000</x:v>
      </x:c>
      <x:c r="C8" s="33" t="n">
        <x:v>2909000</x:v>
      </x:c>
      <x:c r="D8" s="37" t="n">
        <x:f>(B8+C8)/2</x:f>
        <x:v>2867500</x:v>
      </x:c>
      <x:c r="E8" s="37" t="n">
        <x:f>DAY(EOMONTH(A8,0))</x:f>
        <x:v>31</x:v>
      </x:c>
      <x:c r="F8" s="44" t="n">
        <x:v>37.9</x:v>
      </x:c>
      <x:c r="G8" s="45" t="n">
        <x:f>F8*'核心假设'!$B$43/E8/D8</x:f>
        <x:v>42.63576792192817</x:v>
      </x:c>
      <x:c r="H8" s="46" t="n">
        <x:f>G8/AVERAGE($G$6:$G$17)</x:f>
        <x:v>0.8780741811750981</x:v>
      </x:c>
      <x:c r="I8" t="str">
        <x:v>SRC-038</x:v>
      </x:c>
      <x:c r="J8" t="str">
        <x:v>SRC-038</x:v>
      </x:c>
      <x:c r="K8" t="str">
        <x:v>2026-08-16</x:v>
      </x:c>
      <x:c r="L8" s="30" t="str">
        <x:v>公共充电网络仅用于年度形状</x:v>
      </x:c>
      <x:c r="M8" s="25" t="n">
        <x:f>MAX(0,MIN(EOMONTH(DATE(YEAR('核心假设'!$B$44),MONTH(A8),1),0),'核心假设'!$B$45)-MAX(DATE(YEAR('核心假设'!$B$44),MONTH(A8),1),'核心假设'!$B$44)+1)</x:f>
        <x:v>0</x:v>
      </x:c>
      <x:c r="N8" s="18" t="n">
        <x:f>M8*H8</x:f>
        <x:v>0</x:v>
      </x:c>
    </x:row>
    <x:row r="9">
      <x:c r="A9" s="43" t="n">
        <x:v>45383</x:v>
      </x:c>
      <x:c r="B9" s="33" t="n">
        <x:v>2909000</x:v>
      </x:c>
      <x:c r="C9" s="33" t="n">
        <x:v>2977000</x:v>
      </x:c>
      <x:c r="D9" s="37" t="n">
        <x:f>(B9+C9)/2</x:f>
        <x:v>2943000</x:v>
      </x:c>
      <x:c r="E9" s="37" t="n">
        <x:f>DAY(EOMONTH(A9,0))</x:f>
        <x:v>30</x:v>
      </x:c>
      <x:c r="F9" s="44" t="n">
        <x:v>39.4</x:v>
      </x:c>
      <x:c r="G9" s="45" t="n">
        <x:f>F9*'核心假设'!$B$43/E9/D9</x:f>
        <x:v>44.62566542077245</x:v>
      </x:c>
      <x:c r="H9" s="46" t="n">
        <x:f>G9/AVERAGE($G$6:$G$17)</x:f>
        <x:v>0.9190556786848783</x:v>
      </x:c>
      <x:c r="I9" t="str">
        <x:v>SRC-039</x:v>
      </x:c>
      <x:c r="J9" t="str">
        <x:v>SRC-039</x:v>
      </x:c>
      <x:c r="K9" t="str">
        <x:v>2026-08-16</x:v>
      </x:c>
      <x:c r="L9" s="30" t="str">
        <x:v>公共充电网络仅用于年度形状</x:v>
      </x:c>
      <x:c r="M9" s="25" t="n">
        <x:f>MAX(0,MIN(EOMONTH(DATE(YEAR('核心假设'!$B$44),MONTH(A9),1),0),'核心假设'!$B$45)-MAX(DATE(YEAR('核心假设'!$B$44),MONTH(A9),1),'核心假设'!$B$44)+1)</x:f>
        <x:v>0</x:v>
      </x:c>
      <x:c r="N9" s="18" t="n">
        <x:f>M9*H9</x:f>
        <x:v>0</x:v>
      </x:c>
    </x:row>
    <x:row r="10">
      <x:c r="A10" s="43" t="n">
        <x:v>45413</x:v>
      </x:c>
      <x:c r="B10" s="33" t="n">
        <x:v>2977000</x:v>
      </x:c>
      <x:c r="C10" s="33" t="n">
        <x:v>3049000</x:v>
      </x:c>
      <x:c r="D10" s="37" t="n">
        <x:f>(B10+C10)/2</x:f>
        <x:v>3013000</x:v>
      </x:c>
      <x:c r="E10" s="37" t="n">
        <x:f>DAY(EOMONTH(A10,0))</x:f>
        <x:v>31</x:v>
      </x:c>
      <x:c r="F10" s="44" t="n">
        <x:v>41.4</x:v>
      </x:c>
      <x:c r="G10" s="45" t="n">
        <x:f>F10*'核心假设'!$B$43/E10/D10</x:f>
        <x:v>44.32405811376508</x:v>
      </x:c>
      <x:c r="H10" s="46" t="n">
        <x:f>G10/AVERAGE($G$6:$G$17)</x:f>
        <x:v>0.9128441431116979</x:v>
      </x:c>
      <x:c r="I10" t="str">
        <x:v>SRC-040</x:v>
      </x:c>
      <x:c r="J10" t="str">
        <x:v>SRC-040</x:v>
      </x:c>
      <x:c r="K10" t="str">
        <x:v>2026-08-16</x:v>
      </x:c>
      <x:c r="L10" s="30" t="str">
        <x:v>公共充电网络仅用于年度形状</x:v>
      </x:c>
      <x:c r="M10" s="25" t="n">
        <x:f>MAX(0,MIN(EOMONTH(DATE(YEAR('核心假设'!$B$44),MONTH(A10),1),0),'核心假设'!$B$45)-MAX(DATE(YEAR('核心假设'!$B$44),MONTH(A10),1),'核心假设'!$B$44)+1)</x:f>
        <x:v>0</x:v>
      </x:c>
      <x:c r="N10" s="18" t="n">
        <x:f>M10*H10</x:f>
        <x:v>0</x:v>
      </x:c>
    </x:row>
    <x:row r="11">
      <x:c r="A11" s="43" t="n">
        <x:v>45444</x:v>
      </x:c>
      <x:c r="B11" s="33" t="n">
        <x:v>3049000</x:v>
      </x:c>
      <x:c r="C11" s="33" t="n">
        <x:v>3122000</x:v>
      </x:c>
      <x:c r="D11" s="37" t="n">
        <x:f>(B11+C11)/2</x:f>
        <x:v>3085500</x:v>
      </x:c>
      <x:c r="E11" s="37" t="n">
        <x:f>DAY(EOMONTH(A11,0))</x:f>
        <x:v>30</x:v>
      </x:c>
      <x:c r="F11" s="44" t="n">
        <x:v>45.6</x:v>
      </x:c>
      <x:c r="G11" s="45" t="n">
        <x:f>F11*'核心假设'!$B$43/E11/D11</x:f>
        <x:v>49.26268027872306</x:v>
      </x:c>
      <x:c r="H11" s="46" t="n">
        <x:f>G11/AVERAGE($G$6:$G$17)</x:f>
        <x:v>1.0145539709156521</x:v>
      </x:c>
      <x:c r="I11" t="str">
        <x:v>SRC-041</x:v>
      </x:c>
      <x:c r="J11" t="str">
        <x:v>SRC-041</x:v>
      </x:c>
      <x:c r="K11" t="str">
        <x:v>2026-08-16</x:v>
      </x:c>
      <x:c r="L11" s="30" t="str">
        <x:v>公共充电网络仅用于年度形状</x:v>
      </x:c>
      <x:c r="M11" s="25" t="n">
        <x:f>MAX(0,MIN(EOMONTH(DATE(YEAR('核心假设'!$B$44),MONTH(A11),1),0),'核心假设'!$B$45)-MAX(DATE(YEAR('核心假设'!$B$44),MONTH(A11),1),'核心假设'!$B$44)+1)</x:f>
        <x:v>15</x:v>
      </x:c>
      <x:c r="N11" s="18" t="n">
        <x:f>M11*H11</x:f>
        <x:v>15.218309563734781</x:v>
      </x:c>
    </x:row>
    <x:row r="12">
      <x:c r="A12" s="43" t="n">
        <x:v>45474</x:v>
      </x:c>
      <x:c r="B12" s="33" t="n">
        <x:v>3122000</x:v>
      </x:c>
      <x:c r="C12" s="33" t="n">
        <x:v>3209000</x:v>
      </x:c>
      <x:c r="D12" s="37" t="n">
        <x:f>(B12+C12)/2</x:f>
        <x:v>3165500</x:v>
      </x:c>
      <x:c r="E12" s="37" t="n">
        <x:f>DAY(EOMONTH(A12,0))</x:f>
        <x:v>31</x:v>
      </x:c>
      <x:c r="F12" s="44" t="n">
        <x:v>50.1</x:v>
      </x:c>
      <x:c r="G12" s="45" t="n">
        <x:f>F12*'核心假设'!$B$43/E12/D12</x:f>
        <x:v>51.054463189324416</x:v>
      </x:c>
      <x:c r="H12" s="46" t="n">
        <x:f>G12/AVERAGE($G$6:$G$17)</x:f>
        <x:v>1.0514553424342976</x:v>
      </x:c>
      <x:c r="I12" t="str">
        <x:v>SRC-042</x:v>
      </x:c>
      <x:c r="J12" t="str">
        <x:v>SRC-042</x:v>
      </x:c>
      <x:c r="K12" t="str">
        <x:v>2026-08-16</x:v>
      </x:c>
      <x:c r="L12" s="30" t="str">
        <x:v>公共充电网络仅用于年度形状</x:v>
      </x:c>
      <x:c r="M12" s="25" t="n">
        <x:f>MAX(0,MIN(EOMONTH(DATE(YEAR('核心假设'!$B$44),MONTH(A12),1),0),'核心假设'!$B$45)-MAX(DATE(YEAR('核心假设'!$B$44),MONTH(A12),1),'核心假设'!$B$44)+1)</x:f>
        <x:v>31</x:v>
      </x:c>
      <x:c r="N12" s="18" t="n">
        <x:f>M12*H12</x:f>
        <x:v>32.59511561546323</x:v>
      </x:c>
    </x:row>
    <x:row r="13">
      <x:c r="A13" s="43" t="n">
        <x:v>45505</x:v>
      </x:c>
      <x:c r="B13" s="33" t="n">
        <x:v>3209000</x:v>
      </x:c>
      <x:c r="C13" s="33" t="n">
        <x:v>3263000</x:v>
      </x:c>
      <x:c r="D13" s="37" t="n">
        <x:f>(B13+C13)/2</x:f>
        <x:v>3236000</x:v>
      </x:c>
      <x:c r="E13" s="37" t="n">
        <x:f>DAY(EOMONTH(A13,0))</x:f>
        <x:v>31</x:v>
      </x:c>
      <x:c r="F13" s="44" t="n">
        <x:v>53</x:v>
      </x:c>
      <x:c r="G13" s="45" t="n">
        <x:f>F13*'核心假设'!$B$43/E13/D13</x:f>
        <x:v>52.83304756967981</x:v>
      </x:c>
      <x:c r="H13" s="46" t="n">
        <x:f>G13/AVERAGE($G$6:$G$17)</x:f>
        <x:v>1.0880848931507552</x:v>
      </x:c>
      <x:c r="I13" t="str">
        <x:v>SRC-043</x:v>
      </x:c>
      <x:c r="J13" t="str">
        <x:v>SRC-043</x:v>
      </x:c>
      <x:c r="K13" t="str">
        <x:v>2026-08-16</x:v>
      </x:c>
      <x:c r="L13" s="30" t="str">
        <x:v>公共充电网络仅用于年度形状</x:v>
      </x:c>
      <x:c r="M13" s="25" t="n">
        <x:f>MAX(0,MIN(EOMONTH(DATE(YEAR('核心假设'!$B$44),MONTH(A13),1),0),'核心假设'!$B$45)-MAX(DATE(YEAR('核心假设'!$B$44),MONTH(A13),1),'核心假设'!$B$44)+1)</x:f>
        <x:v>15</x:v>
      </x:c>
      <x:c r="N13" s="18" t="n">
        <x:f>M13*H13</x:f>
        <x:v>16.32127339726133</x:v>
      </x:c>
    </x:row>
    <x:row r="14">
      <x:c r="A14" s="43" t="n">
        <x:v>45536</x:v>
      </x:c>
      <x:c r="B14" s="33" t="n">
        <x:v>3263000</x:v>
      </x:c>
      <x:c r="C14" s="33" t="n">
        <x:v>3329000</x:v>
      </x:c>
      <x:c r="D14" s="37" t="n">
        <x:f>(B14+C14)/2</x:f>
        <x:v>3296000</x:v>
      </x:c>
      <x:c r="E14" s="37" t="n">
        <x:f>DAY(EOMONTH(A14,0))</x:f>
        <x:v>30</x:v>
      </x:c>
      <x:c r="F14" s="44" t="n">
        <x:v>50.4</x:v>
      </x:c>
      <x:c r="G14" s="45" t="n">
        <x:f>F14*'核心假设'!$B$43/E14/D14</x:f>
        <x:v>50.970873786407765</x:v>
      </x:c>
      <x:c r="H14" s="46" t="n">
        <x:f>G14/AVERAGE($G$6:$G$17)</x:f>
        <x:v>1.049733837226385</x:v>
      </x:c>
      <x:c r="I14" t="str">
        <x:v>SRC-044</x:v>
      </x:c>
      <x:c r="J14" t="str">
        <x:v>SRC-044</x:v>
      </x:c>
      <x:c r="K14" t="str">
        <x:v>2026-08-16</x:v>
      </x:c>
      <x:c r="L14" s="30" t="str">
        <x:v>公共充电网络仅用于年度形状</x:v>
      </x:c>
      <x:c r="M14" s="25" t="n">
        <x:f>MAX(0,MIN(EOMONTH(DATE(YEAR('核心假设'!$B$44),MONTH(A14),1),0),'核心假设'!$B$45)-MAX(DATE(YEAR('核心假设'!$B$44),MONTH(A14),1),'核心假设'!$B$44)+1)</x:f>
        <x:v>0</x:v>
      </x:c>
      <x:c r="N14" s="18" t="n">
        <x:f>M14*H14</x:f>
        <x:v>0</x:v>
      </x:c>
    </x:row>
    <x:row r="15">
      <x:c r="A15" s="43" t="n">
        <x:v>45566</x:v>
      </x:c>
      <x:c r="B15" s="33" t="n">
        <x:v>3329000</x:v>
      </x:c>
      <x:c r="C15" s="33" t="n">
        <x:v>3391000</x:v>
      </x:c>
      <x:c r="D15" s="37" t="n">
        <x:f>(B15+C15)/2</x:f>
        <x:v>3360000</x:v>
      </x:c>
      <x:c r="E15" s="37" t="n">
        <x:f>DAY(EOMONTH(A15,0))</x:f>
        <x:v>31</x:v>
      </x:c>
      <x:c r="F15" s="44" t="n">
        <x:v>50</x:v>
      </x:c>
      <x:c r="G15" s="45" t="n">
        <x:f>F15*'核心假设'!$B$43/E15/D15</x:f>
        <x:v>48.003072196620586</x:v>
      </x:c>
      <x:c r="H15" s="46" t="n">
        <x:f>G15/AVERAGE($G$6:$G$17)</x:f>
        <x:v>0.9886126219215644</x:v>
      </x:c>
      <x:c r="I15" t="str">
        <x:v>SRC-045</x:v>
      </x:c>
      <x:c r="J15" t="str">
        <x:v>SRC-045</x:v>
      </x:c>
      <x:c r="K15" t="str">
        <x:v>2026-08-16</x:v>
      </x:c>
      <x:c r="L15" s="30" t="str">
        <x:v>公共充电网络仅用于年度形状</x:v>
      </x:c>
      <x:c r="M15" s="25" t="n">
        <x:f>MAX(0,MIN(EOMONTH(DATE(YEAR('核心假设'!$B$44),MONTH(A15),1),0),'核心假设'!$B$45)-MAX(DATE(YEAR('核心假设'!$B$44),MONTH(A15),1),'核心假设'!$B$44)+1)</x:f>
        <x:v>0</x:v>
      </x:c>
      <x:c r="N15" s="18" t="n">
        <x:f>M15*H15</x:f>
        <x:v>0</x:v>
      </x:c>
    </x:row>
    <x:row r="16">
      <x:c r="A16" s="43" t="n">
        <x:v>45597</x:v>
      </x:c>
      <x:c r="B16" s="33" t="n">
        <x:v>3391000</x:v>
      </x:c>
      <x:c r="C16" s="33" t="n">
        <x:v>3460000</x:v>
      </x:c>
      <x:c r="D16" s="37" t="n">
        <x:f>(B16+C16)/2</x:f>
        <x:v>3425500</x:v>
      </x:c>
      <x:c r="E16" s="37" t="n">
        <x:f>DAY(EOMONTH(A16,0))</x:f>
        <x:v>30</x:v>
      </x:c>
      <x:c r="F16" s="44" t="n">
        <x:v>52</x:v>
      </x:c>
      <x:c r="G16" s="45" t="n">
        <x:f>F16*'核心假设'!$B$43/E16/D16</x:f>
        <x:v>50.60088551549652</x:v>
      </x:c>
      <x:c r="H16" s="46" t="n">
        <x:f>G16/AVERAGE($G$6:$G$17)</x:f>
        <x:v>1.0421140108726137</x:v>
      </x:c>
      <x:c r="I16" t="str">
        <x:v>SRC-046</x:v>
      </x:c>
      <x:c r="J16" t="str">
        <x:v>SRC-046</x:v>
      </x:c>
      <x:c r="K16" t="str">
        <x:v>2026-08-16</x:v>
      </x:c>
      <x:c r="L16" s="30" t="str">
        <x:v>公共充电网络仅用于年度形状</x:v>
      </x:c>
      <x:c r="M16" s="25" t="n">
        <x:f>MAX(0,MIN(EOMONTH(DATE(YEAR('核心假设'!$B$44),MONTH(A16),1),0),'核心假设'!$B$45)-MAX(DATE(YEAR('核心假设'!$B$44),MONTH(A16),1),'核心假设'!$B$44)+1)</x:f>
        <x:v>0</x:v>
      </x:c>
      <x:c r="N16" s="18" t="n">
        <x:f>M16*H16</x:f>
        <x:v>0</x:v>
      </x:c>
    </x:row>
    <x:row r="17">
      <x:c r="A17" s="43" t="n">
        <x:v>45627</x:v>
      </x:c>
      <x:c r="B17" s="33" t="n">
        <x:v>3460000</x:v>
      </x:c>
      <x:c r="C17" s="33" t="n">
        <x:v>3579000</x:v>
      </x:c>
      <x:c r="D17" s="37" t="n">
        <x:f>(B17+C17)/2</x:f>
        <x:v>3519500</x:v>
      </x:c>
      <x:c r="E17" s="37" t="n">
        <x:f>DAY(EOMONTH(A17,0))</x:f>
        <x:v>31</x:v>
      </x:c>
      <x:c r="F17" s="44" t="n">
        <x:v>59.1</x:v>
      </x:c>
      <x:c r="G17" s="45" t="n">
        <x:f>F17*'核心假设'!$B$43/E17/D17</x:f>
        <x:v>54.168251538662474</x:v>
      </x:c>
      <x:c r="H17" s="46" t="n">
        <x:f>G17/AVERAGE($G$6:$G$17)</x:f>
        <x:v>1.115583122663427</x:v>
      </x:c>
      <x:c r="I17" t="str">
        <x:v>SRC-047</x:v>
      </x:c>
      <x:c r="J17" t="str">
        <x:v>SRC-047</x:v>
      </x:c>
      <x:c r="K17" t="str">
        <x:v>2026-08-16</x:v>
      </x:c>
      <x:c r="L17" s="30" t="str">
        <x:v>公共充电网络仅用于年度形状</x:v>
      </x:c>
      <x:c r="M17" s="25" t="n">
        <x:f>MAX(0,MIN(EOMONTH(DATE(YEAR('核心假设'!$B$44),MONTH(A17),1),0),'核心假设'!$B$45)-MAX(DATE(YEAR('核心假设'!$B$44),MONTH(A17),1),'核心假设'!$B$44)+1)</x:f>
        <x:v>0</x:v>
      </x:c>
      <x:c r="N17" s="18" t="n">
        <x:f>M17*H17</x:f>
        <x:v>0</x:v>
      </x:c>
    </x:row>
  </x:sheetData>
  <x:mergeCells>
    <x:mergeCell ref="A1:L1"/>
    <x:mergeCell ref="A3:L3"/>
    <x:mergeCell ref="M3:N3"/>
  </x:mergeCells>
  <x:pageMargins left="0.7" right="0.7" top="0.75" bottom="0.75" header="0.3" footer="0.3"/>
  <x:legacyDrawing xmlns:r="http://schemas.openxmlformats.org/officeDocument/2006/relationships" r:id="Rdd21b52b505a44f7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6" customHeight="1">
      <x:c r="A1" s="4" t="str">
        <x:v>36月运营模型｜60个月经营底层与债务尾期</x:v>
      </x:c>
      <x:c r="B1" s="4" t="str">
        <x:v>36月运营模型｜60个月经营底层与债务尾期</x:v>
      </x:c>
      <x:c r="C1" s="4" t="str">
        <x:v>36月运营模型｜60个月经营底层与债务尾期</x:v>
      </x:c>
      <x:c r="D1" s="4" t="str">
        <x:v>36月运营模型｜60个月经营底层与债务尾期</x:v>
      </x:c>
      <x:c r="E1" s="4" t="str">
        <x:v>36月运营模型｜60个月经营底层与债务尾期</x:v>
      </x:c>
      <x:c r="F1" s="4" t="str">
        <x:v>36月运营模型｜60个月经营底层与债务尾期</x:v>
      </x:c>
      <x:c r="G1" s="4" t="str">
        <x:v>36月运营模型｜60个月经营底层与债务尾期</x:v>
      </x:c>
      <x:c r="H1" s="4" t="str">
        <x:v>36月运营模型｜60个月经营底层与债务尾期</x:v>
      </x:c>
      <x:c r="I1" s="4" t="str">
        <x:v>36月运营模型｜60个月经营底层与债务尾期</x:v>
      </x:c>
      <x:c r="J1" s="4" t="str">
        <x:v>36月运营模型｜60个月经营底层与债务尾期</x:v>
      </x:c>
      <x:c r="K1" s="4" t="str">
        <x:v>36月运营模型｜60个月经营底层与债务尾期</x:v>
      </x:c>
      <x:c r="L1" s="4" t="str">
        <x:v>36月运营模型｜60个月经营底层与债务尾期</x:v>
      </x:c>
      <x:c r="M1" s="4" t="str">
        <x:v>36月运营模型｜60个月经营底层与债务尾期</x:v>
      </x:c>
      <x:c r="N1" s="4" t="str">
        <x:v>36月运营模型｜60个月经营底层与债务尾期</x:v>
      </x:c>
      <x:c r="O1" s="4" t="str">
        <x:v>36月运营模型｜60个月经营底层与债务尾期</x:v>
      </x:c>
      <x:c r="P1" s="4" t="str">
        <x:v>36月运营模型｜60个月经营底层与债务尾期</x:v>
      </x:c>
      <x:c r="Q1" s="4" t="str">
        <x:v>36月运营模型｜60个月经营底层与债务尾期</x:v>
      </x:c>
      <x:c r="R1" s="4" t="str">
        <x:v>36月运营模型｜60个月经营底层与债务尾期</x:v>
      </x:c>
      <x:c r="S1" s="4" t="str">
        <x:v>36月运营模型｜60个月经营底层与债务尾期</x:v>
      </x:c>
      <x:c r="T1" s="4" t="str">
        <x:v>36月运营模型｜60个月经营底层与债务尾期</x:v>
      </x:c>
      <x:c r="U1" s="4" t="str">
        <x:v>36月运营模型｜60个月经营底层与债务尾期</x:v>
      </x:c>
      <x:c r="V1" s="4" t="str">
        <x:v>36月运营模型｜60个月经营底层与债务尾期</x:v>
      </x:c>
      <x:c r="W1" s="4" t="str">
        <x:v>36月运营模型｜60个月经营底层与债务尾期</x:v>
      </x:c>
      <x:c r="X1" s="4" t="str">
        <x:v>36月运营模型｜60个月经营底层与债务尾期</x:v>
      </x:c>
      <x:c r="Y1" s="4" t="str">
        <x:v>36月运营模型｜60个月经营底层与债务尾期</x:v>
      </x:c>
      <x:c r="Z1" s="4" t="str">
        <x:v>36月运营模型｜60个月经营底层与债务尾期</x:v>
      </x:c>
      <x:c r="AA1" s="4" t="str">
        <x:v>36月运营模型｜60个月经营底层与债务尾期</x:v>
      </x:c>
      <x:c r="AB1" s="4" t="str">
        <x:v>36月运营模型｜60个月经营底层与债务尾期</x:v>
      </x:c>
      <x:c r="AC1" s="4" t="str">
        <x:v>36月运营模型｜60个月经营底层与债务尾期</x:v>
      </x:c>
      <x:c r="AD1" s="4" t="str">
        <x:v>36月运营模型｜60个月经营底层与债务尾期</x:v>
      </x:c>
      <x:c r="AE1" s="4" t="str">
        <x:v>36月运营模型｜60个月经营底层与债务尾期</x:v>
      </x:c>
      <x:c r="AF1" s="4" t="str">
        <x:v>36月运营模型｜60个月经营底层与债务尾期</x:v>
      </x:c>
      <x:c r="AG1" s="4" t="str">
        <x:v>36月运营模型｜60个月经营底层与债务尾期</x:v>
      </x:c>
      <x:c r="AH1" s="4" t="str">
        <x:v>36月运营模型｜60个月经营底层与债务尾期</x:v>
      </x:c>
      <x:c r="AI1" s="4" t="str">
        <x:v>36月运营模型｜60个月经营底层与债务尾期</x:v>
      </x:c>
      <x:c r="AJ1" s="4" t="str">
        <x:v>36月运营模型｜60个月经营底层与债务尾期</x:v>
      </x:c>
      <x:c r="AK1" s="4" t="str">
        <x:v>36月运营模型｜60个月经营底层与债务尾期</x:v>
      </x:c>
      <x:c r="AL1" s="4" t="str">
        <x:v>36月运营模型｜60个月经营底层与债务尾期</x:v>
      </x:c>
      <x:c r="AM1" s="4" t="str">
        <x:v>36月运营模型｜60个月经营底层与债务尾期</x:v>
      </x:c>
      <x:c r="AN1" s="4" t="str">
        <x:v>36月运营模型｜60个月经营底层与债务尾期</x:v>
      </x:c>
      <x:c r="AO1" s="4" t="str">
        <x:v>36月运营模型｜60个月经营底层与债务尾期</x:v>
      </x:c>
      <x:c r="AP1" s="4" t="str">
        <x:v>36月运营模型｜60个月经营底层与债务尾期</x:v>
      </x:c>
      <x:c r="AQ1" s="4" t="str">
        <x:v>36月运营模型｜60个月经营底层与债务尾期</x:v>
      </x:c>
      <x:c r="AR1" s="4" t="str">
        <x:v>36月运营模型｜60个月经营底层与债务尾期</x:v>
      </x:c>
      <x:c r="AS1" s="4" t="str">
        <x:v>36月运营模型｜60个月经营底层与债务尾期</x:v>
      </x:c>
      <x:c r="AT1" s="4" t="str">
        <x:v>36月运营模型｜60个月经营底层与债务尾期</x:v>
      </x:c>
      <x:c r="AU1" s="4" t="str">
        <x:v>36月运营模型｜60个月经营底层与债务尾期</x:v>
      </x:c>
      <x:c r="AV1" s="4" t="str">
        <x:v>36月运营模型｜60个月经营底层与债务尾期</x:v>
      </x:c>
      <x:c r="AW1" s="4" t="str">
        <x:v>36月运营模型｜60个月经营底层与债务尾期</x:v>
      </x:c>
      <x:c r="AX1" s="4" t="str">
        <x:v>36月运营模型｜60个月经营底层与债务尾期</x:v>
      </x:c>
      <x:c r="AY1" s="4" t="str">
        <x:v>36月运营模型｜60个月经营底层与债务尾期</x:v>
      </x:c>
      <x:c r="AZ1" s="4" t="str">
        <x:v>36月运营模型｜60个月经营底层与债务尾期</x:v>
      </x:c>
      <x:c r="BA1" s="4" t="str">
        <x:v>36月运营模型｜60个月经营底层与债务尾期</x:v>
      </x:c>
      <x:c r="BB1" s="4" t="str">
        <x:v>36月运营模型｜60个月经营底层与债务尾期</x:v>
      </x:c>
      <x:c r="BC1" s="4" t="str">
        <x:v>36月运营模型｜60个月经营底层与债务尾期</x:v>
      </x:c>
      <x:c r="BD1" s="4" t="str">
        <x:v>36月运营模型｜60个月经营底层与债务尾期</x:v>
      </x:c>
      <x:c r="BE1" s="4" t="str">
        <x:v>36月运营模型｜60个月经营底层与债务尾期</x:v>
      </x:c>
      <x:c r="BF1" s="4" t="str">
        <x:v>36月运营模型｜60个月经营底层与债务尾期</x:v>
      </x:c>
      <x:c r="BG1" s="4" t="str">
        <x:v>36月运营模型｜60个月经营底层与债务尾期</x:v>
      </x:c>
      <x:c r="BH1" s="4" t="str">
        <x:v>36月运营模型｜60个月经营底层与债务尾期</x:v>
      </x:c>
      <x:c r="BI1" s="4" t="str">
        <x:v>36月运营模型｜60个月经营底层与债务尾期</x:v>
      </x:c>
    </x:row>
    <x:row r="3">
      <x:c r="A3" s="13" t="str">
        <x:v>前36个月为正式报告期；第37至60个月仅延续成熟运营和偿债</x:v>
      </x:c>
      <x:c r="B3" s="14" t="str">
        <x:v>前36个月为正式报告期；第37至60个月仅延续成熟运营和偿债</x:v>
      </x:c>
      <x:c r="C3" s="14" t="str">
        <x:v>前36个月为正式报告期；第37至60个月仅延续成熟运营和偿债</x:v>
      </x:c>
      <x:c r="D3" s="14" t="str">
        <x:v>前36个月为正式报告期；第37至60个月仅延续成熟运营和偿债</x:v>
      </x:c>
      <x:c r="E3" s="14" t="str">
        <x:v>前36个月为正式报告期；第37至60个月仅延续成熟运营和偿债</x:v>
      </x:c>
      <x:c r="F3" s="14" t="str">
        <x:v>前36个月为正式报告期；第37至60个月仅延续成熟运营和偿债</x:v>
      </x:c>
      <x:c r="G3" s="14" t="str">
        <x:v>前36个月为正式报告期；第37至60个月仅延续成熟运营和偿债</x:v>
      </x:c>
      <x:c r="H3" s="14" t="str">
        <x:v>前36个月为正式报告期；第37至60个月仅延续成熟运营和偿债</x:v>
      </x:c>
      <x:c r="I3" s="14" t="str">
        <x:v>前36个月为正式报告期；第37至60个月仅延续成熟运营和偿债</x:v>
      </x:c>
      <x:c r="J3" s="14" t="str">
        <x:v>前36个月为正式报告期；第37至60个月仅延续成熟运营和偿债</x:v>
      </x:c>
      <x:c r="K3" s="14" t="str">
        <x:v>前36个月为正式报告期；第37至60个月仅延续成熟运营和偿债</x:v>
      </x:c>
      <x:c r="L3" s="14" t="str">
        <x:v>前36个月为正式报告期；第37至60个月仅延续成熟运营和偿债</x:v>
      </x:c>
      <x:c r="M3" s="14" t="str">
        <x:v>前36个月为正式报告期；第37至60个月仅延续成熟运营和偿债</x:v>
      </x:c>
      <x:c r="N3" s="14" t="str">
        <x:v>前36个月为正式报告期；第37至60个月仅延续成熟运营和偿债</x:v>
      </x:c>
      <x:c r="O3" s="14" t="str">
        <x:v>前36个月为正式报告期；第37至60个月仅延续成熟运营和偿债</x:v>
      </x:c>
      <x:c r="P3" s="14" t="str">
        <x:v>前36个月为正式报告期；第37至60个月仅延续成熟运营和偿债</x:v>
      </x:c>
      <x:c r="Q3" s="14" t="str">
        <x:v>前36个月为正式报告期；第37至60个月仅延续成熟运营和偿债</x:v>
      </x:c>
      <x:c r="R3" s="14" t="str">
        <x:v>前36个月为正式报告期；第37至60个月仅延续成熟运营和偿债</x:v>
      </x:c>
      <x:c r="S3" s="14" t="str">
        <x:v>前36个月为正式报告期；第37至60个月仅延续成熟运营和偿债</x:v>
      </x:c>
      <x:c r="T3" s="14" t="str">
        <x:v>前36个月为正式报告期；第37至60个月仅延续成熟运营和偿债</x:v>
      </x:c>
      <x:c r="U3" s="14" t="str">
        <x:v>前36个月为正式报告期；第37至60个月仅延续成熟运营和偿债</x:v>
      </x:c>
      <x:c r="V3" s="14" t="str">
        <x:v>前36个月为正式报告期；第37至60个月仅延续成熟运营和偿债</x:v>
      </x:c>
      <x:c r="W3" s="14" t="str">
        <x:v>前36个月为正式报告期；第37至60个月仅延续成熟运营和偿债</x:v>
      </x:c>
      <x:c r="X3" s="14" t="str">
        <x:v>前36个月为正式报告期；第37至60个月仅延续成熟运营和偿债</x:v>
      </x:c>
      <x:c r="Y3" s="14" t="str">
        <x:v>前36个月为正式报告期；第37至60个月仅延续成熟运营和偿债</x:v>
      </x:c>
      <x:c r="Z3" s="14" t="str">
        <x:v>前36个月为正式报告期；第37至60个月仅延续成熟运营和偿债</x:v>
      </x:c>
      <x:c r="AA3" s="14" t="str">
        <x:v>前36个月为正式报告期；第37至60个月仅延续成熟运营和偿债</x:v>
      </x:c>
      <x:c r="AB3" s="14" t="str">
        <x:v>前36个月为正式报告期；第37至60个月仅延续成熟运营和偿债</x:v>
      </x:c>
      <x:c r="AC3" s="14" t="str">
        <x:v>前36个月为正式报告期；第37至60个月仅延续成熟运营和偿债</x:v>
      </x:c>
      <x:c r="AD3" s="14" t="str">
        <x:v>前36个月为正式报告期；第37至60个月仅延续成熟运营和偿债</x:v>
      </x:c>
      <x:c r="AE3" s="14" t="str">
        <x:v>前36个月为正式报告期；第37至60个月仅延续成熟运营和偿债</x:v>
      </x:c>
      <x:c r="AF3" s="14" t="str">
        <x:v>前36个月为正式报告期；第37至60个月仅延续成熟运营和偿债</x:v>
      </x:c>
      <x:c r="AG3" s="14" t="str">
        <x:v>前36个月为正式报告期；第37至60个月仅延续成熟运营和偿债</x:v>
      </x:c>
      <x:c r="AH3" s="14" t="str">
        <x:v>前36个月为正式报告期；第37至60个月仅延续成熟运营和偿债</x:v>
      </x:c>
      <x:c r="AI3" s="14" t="str">
        <x:v>前36个月为正式报告期；第37至60个月仅延续成熟运营和偿债</x:v>
      </x:c>
      <x:c r="AJ3" s="14" t="str">
        <x:v>前36个月为正式报告期；第37至60个月仅延续成熟运营和偿债</x:v>
      </x:c>
      <x:c r="AK3" s="14" t="str">
        <x:v>前36个月为正式报告期；第37至60个月仅延续成熟运营和偿债</x:v>
      </x:c>
      <x:c r="AL3" s="14" t="str">
        <x:v>前36个月为正式报告期；第37至60个月仅延续成熟运营和偿债</x:v>
      </x:c>
      <x:c r="AM3" s="14" t="str">
        <x:v>前36个月为正式报告期；第37至60个月仅延续成熟运营和偿债</x:v>
      </x:c>
      <x:c r="AN3" s="14" t="str">
        <x:v>前36个月为正式报告期；第37至60个月仅延续成熟运营和偿债</x:v>
      </x:c>
      <x:c r="AO3" s="14" t="str">
        <x:v>前36个月为正式报告期；第37至60个月仅延续成熟运营和偿债</x:v>
      </x:c>
      <x:c r="AP3" s="14" t="str">
        <x:v>前36个月为正式报告期；第37至60个月仅延续成熟运营和偿债</x:v>
      </x:c>
      <x:c r="AQ3" s="14" t="str">
        <x:v>前36个月为正式报告期；第37至60个月仅延续成熟运营和偿债</x:v>
      </x:c>
      <x:c r="AR3" s="14" t="str">
        <x:v>前36个月为正式报告期；第37至60个月仅延续成熟运营和偿债</x:v>
      </x:c>
      <x:c r="AS3" s="14" t="str">
        <x:v>前36个月为正式报告期；第37至60个月仅延续成熟运营和偿债</x:v>
      </x:c>
      <x:c r="AT3" s="14" t="str">
        <x:v>前36个月为正式报告期；第37至60个月仅延续成熟运营和偿债</x:v>
      </x:c>
      <x:c r="AU3" s="14" t="str">
        <x:v>前36个月为正式报告期；第37至60个月仅延续成熟运营和偿债</x:v>
      </x:c>
      <x:c r="AV3" s="14" t="str">
        <x:v>前36个月为正式报告期；第37至60个月仅延续成熟运营和偿债</x:v>
      </x:c>
      <x:c r="AW3" s="14" t="str">
        <x:v>前36个月为正式报告期；第37至60个月仅延续成熟运营和偿债</x:v>
      </x:c>
      <x:c r="AX3" s="14" t="str">
        <x:v>前36个月为正式报告期；第37至60个月仅延续成熟运营和偿债</x:v>
      </x:c>
      <x:c r="AY3" s="14" t="str">
        <x:v>前36个月为正式报告期；第37至60个月仅延续成熟运营和偿债</x:v>
      </x:c>
      <x:c r="AZ3" s="14" t="str">
        <x:v>前36个月为正式报告期；第37至60个月仅延续成熟运营和偿债</x:v>
      </x:c>
      <x:c r="BA3" s="14" t="str">
        <x:v>前36个月为正式报告期；第37至60个月仅延续成熟运营和偿债</x:v>
      </x:c>
      <x:c r="BB3" s="14" t="str">
        <x:v>前36个月为正式报告期；第37至60个月仅延续成熟运营和偿债</x:v>
      </x:c>
      <x:c r="BC3" s="14" t="str">
        <x:v>前36个月为正式报告期；第37至60个月仅延续成熟运营和偿债</x:v>
      </x:c>
      <x:c r="BD3" s="14" t="str">
        <x:v>前36个月为正式报告期；第37至60个月仅延续成熟运营和偿债</x:v>
      </x:c>
      <x:c r="BE3" s="14" t="str">
        <x:v>前36个月为正式报告期；第37至60个月仅延续成熟运营和偿债</x:v>
      </x:c>
      <x:c r="BF3" s="14" t="str">
        <x:v>前36个月为正式报告期；第37至60个月仅延续成熟运营和偿债</x:v>
      </x:c>
      <x:c r="BG3" s="14" t="str">
        <x:v>前36个月为正式报告期；第37至60个月仅延续成熟运营和偿债</x:v>
      </x:c>
      <x:c r="BH3" s="14" t="str">
        <x:v>前36个月为正式报告期；第37至60个月仅延续成熟运营和偿债</x:v>
      </x:c>
      <x:c r="BI3" s="15" t="str">
        <x:v>前36个月为正式报告期；第37至60个月仅延续成熟运营和偿债</x:v>
      </x:c>
    </x:row>
    <x:row r="5">
      <x:c r="A5" s="84" t="str">
        <x:v>月份</x:v>
      </x:c>
      <x:c r="B5" s="50" t="n">
        <x:f>'核心假设'!$B$5</x:f>
        <x:v>46266</x:v>
      </x:c>
      <x:c r="C5" s="50" t="n">
        <x:f>EDATE(B5,1)</x:f>
        <x:v>46296</x:v>
      </x:c>
      <x:c r="D5" s="50" t="n">
        <x:f>EDATE(C5,1)</x:f>
        <x:v>46327</x:v>
      </x:c>
      <x:c r="E5" s="50" t="n">
        <x:f>EDATE(D5,1)</x:f>
        <x:v>46357</x:v>
      </x:c>
      <x:c r="F5" s="50" t="n">
        <x:f>EDATE(E5,1)</x:f>
        <x:v>46388</x:v>
      </x:c>
      <x:c r="G5" s="50" t="n">
        <x:f>EDATE(F5,1)</x:f>
        <x:v>46419</x:v>
      </x:c>
      <x:c r="H5" s="50" t="n">
        <x:f>EDATE(G5,1)</x:f>
        <x:v>46447</x:v>
      </x:c>
      <x:c r="I5" s="50" t="n">
        <x:f>EDATE(H5,1)</x:f>
        <x:v>46478</x:v>
      </x:c>
      <x:c r="J5" s="50" t="n">
        <x:f>EDATE(I5,1)</x:f>
        <x:v>46508</x:v>
      </x:c>
      <x:c r="K5" s="50" t="n">
        <x:f>EDATE(J5,1)</x:f>
        <x:v>46539</x:v>
      </x:c>
      <x:c r="L5" s="50" t="n">
        <x:f>EDATE(K5,1)</x:f>
        <x:v>46569</x:v>
      </x:c>
      <x:c r="M5" s="50" t="n">
        <x:f>EDATE(L5,1)</x:f>
        <x:v>46600</x:v>
      </x:c>
      <x:c r="N5" s="50" t="n">
        <x:f>EDATE(M5,1)</x:f>
        <x:v>46631</x:v>
      </x:c>
      <x:c r="O5" s="50" t="n">
        <x:f>EDATE(N5,1)</x:f>
        <x:v>46661</x:v>
      </x:c>
      <x:c r="P5" s="50" t="n">
        <x:f>EDATE(O5,1)</x:f>
        <x:v>46692</x:v>
      </x:c>
      <x:c r="Q5" s="50" t="n">
        <x:f>EDATE(P5,1)</x:f>
        <x:v>46722</x:v>
      </x:c>
      <x:c r="R5" s="50" t="n">
        <x:f>EDATE(Q5,1)</x:f>
        <x:v>46753</x:v>
      </x:c>
      <x:c r="S5" s="50" t="n">
        <x:f>EDATE(R5,1)</x:f>
        <x:v>46784</x:v>
      </x:c>
      <x:c r="T5" s="50" t="n">
        <x:f>EDATE(S5,1)</x:f>
        <x:v>46813</x:v>
      </x:c>
      <x:c r="U5" s="50" t="n">
        <x:f>EDATE(T5,1)</x:f>
        <x:v>46844</x:v>
      </x:c>
      <x:c r="V5" s="50" t="n">
        <x:f>EDATE(U5,1)</x:f>
        <x:v>46874</x:v>
      </x:c>
      <x:c r="W5" s="50" t="n">
        <x:f>EDATE(V5,1)</x:f>
        <x:v>46905</x:v>
      </x:c>
      <x:c r="X5" s="50" t="n">
        <x:f>EDATE(W5,1)</x:f>
        <x:v>46935</x:v>
      </x:c>
      <x:c r="Y5" s="50" t="n">
        <x:f>EDATE(X5,1)</x:f>
        <x:v>46966</x:v>
      </x:c>
      <x:c r="Z5" s="50" t="n">
        <x:f>EDATE(Y5,1)</x:f>
        <x:v>46997</x:v>
      </x:c>
      <x:c r="AA5" s="50" t="n">
        <x:f>EDATE(Z5,1)</x:f>
        <x:v>47027</x:v>
      </x:c>
      <x:c r="AB5" s="50" t="n">
        <x:f>EDATE(AA5,1)</x:f>
        <x:v>47058</x:v>
      </x:c>
      <x:c r="AC5" s="50" t="n">
        <x:f>EDATE(AB5,1)</x:f>
        <x:v>47088</x:v>
      </x:c>
      <x:c r="AD5" s="50" t="n">
        <x:f>EDATE(AC5,1)</x:f>
        <x:v>47119</x:v>
      </x:c>
      <x:c r="AE5" s="50" t="n">
        <x:f>EDATE(AD5,1)</x:f>
        <x:v>47150</x:v>
      </x:c>
      <x:c r="AF5" s="50" t="n">
        <x:f>EDATE(AE5,1)</x:f>
        <x:v>47178</x:v>
      </x:c>
      <x:c r="AG5" s="50" t="n">
        <x:f>EDATE(AF5,1)</x:f>
        <x:v>47209</x:v>
      </x:c>
      <x:c r="AH5" s="50" t="n">
        <x:f>EDATE(AG5,1)</x:f>
        <x:v>47239</x:v>
      </x:c>
      <x:c r="AI5" s="50" t="n">
        <x:f>EDATE(AH5,1)</x:f>
        <x:v>47270</x:v>
      </x:c>
      <x:c r="AJ5" s="50" t="n">
        <x:f>EDATE(AI5,1)</x:f>
        <x:v>47300</x:v>
      </x:c>
      <x:c r="AK5" s="50" t="n">
        <x:f>EDATE(AJ5,1)</x:f>
        <x:v>47331</x:v>
      </x:c>
      <x:c r="AL5" s="88" t="n">
        <x:f>EDATE(AK5,1)</x:f>
        <x:v>47362</x:v>
      </x:c>
      <x:c r="AM5" s="88" t="n">
        <x:f>EDATE(AL5,1)</x:f>
        <x:v>47392</x:v>
      </x:c>
      <x:c r="AN5" s="88" t="n">
        <x:f>EDATE(AM5,1)</x:f>
        <x:v>47423</x:v>
      </x:c>
      <x:c r="AO5" s="88" t="n">
        <x:f>EDATE(AN5,1)</x:f>
        <x:v>47453</x:v>
      </x:c>
      <x:c r="AP5" s="88" t="n">
        <x:f>EDATE(AO5,1)</x:f>
        <x:v>47484</x:v>
      </x:c>
      <x:c r="AQ5" s="88" t="n">
        <x:f>EDATE(AP5,1)</x:f>
        <x:v>47515</x:v>
      </x:c>
      <x:c r="AR5" s="88" t="n">
        <x:f>EDATE(AQ5,1)</x:f>
        <x:v>47543</x:v>
      </x:c>
      <x:c r="AS5" s="88" t="n">
        <x:f>EDATE(AR5,1)</x:f>
        <x:v>47574</x:v>
      </x:c>
      <x:c r="AT5" s="88" t="n">
        <x:f>EDATE(AS5,1)</x:f>
        <x:v>47604</x:v>
      </x:c>
      <x:c r="AU5" s="88" t="n">
        <x:f>EDATE(AT5,1)</x:f>
        <x:v>47635</x:v>
      </x:c>
      <x:c r="AV5" s="88" t="n">
        <x:f>EDATE(AU5,1)</x:f>
        <x:v>47665</x:v>
      </x:c>
      <x:c r="AW5" s="88" t="n">
        <x:f>EDATE(AV5,1)</x:f>
        <x:v>47696</x:v>
      </x:c>
      <x:c r="AX5" s="88" t="n">
        <x:f>EDATE(AW5,1)</x:f>
        <x:v>47727</x:v>
      </x:c>
      <x:c r="AY5" s="88" t="n">
        <x:f>EDATE(AX5,1)</x:f>
        <x:v>47757</x:v>
      </x:c>
      <x:c r="AZ5" s="88" t="n">
        <x:f>EDATE(AY5,1)</x:f>
        <x:v>47788</x:v>
      </x:c>
      <x:c r="BA5" s="88" t="n">
        <x:f>EDATE(AZ5,1)</x:f>
        <x:v>47818</x:v>
      </x:c>
      <x:c r="BB5" s="88" t="n">
        <x:f>EDATE(BA5,1)</x:f>
        <x:v>47849</x:v>
      </x:c>
      <x:c r="BC5" s="88" t="n">
        <x:f>EDATE(BB5,1)</x:f>
        <x:v>47880</x:v>
      </x:c>
      <x:c r="BD5" s="88" t="n">
        <x:f>EDATE(BC5,1)</x:f>
        <x:v>47908</x:v>
      </x:c>
      <x:c r="BE5" s="88" t="n">
        <x:f>EDATE(BD5,1)</x:f>
        <x:v>47939</x:v>
      </x:c>
      <x:c r="BF5" s="88" t="n">
        <x:f>EDATE(BE5,1)</x:f>
        <x:v>47969</x:v>
      </x:c>
      <x:c r="BG5" s="88" t="n">
        <x:f>EDATE(BF5,1)</x:f>
        <x:v>48000</x:v>
      </x:c>
      <x:c r="BH5" s="88" t="n">
        <x:f>EDATE(BG5,1)</x:f>
        <x:v>48030</x:v>
      </x:c>
      <x:c r="BI5" s="88" t="n">
        <x:f>EDATE(BH5,1)</x:f>
        <x:v>48061</x:v>
      </x:c>
    </x:row>
    <x:row r="6">
      <x:c r="A6" s="85" t="str">
        <x:v>阶段</x:v>
      </x:c>
      <x:c r="B6" s="25" t="str">
        <x:f>IF(1&lt;='核心假设'!$B$7,"正式报告","债务尾期")</x:f>
        <x:v>正式报告</x:v>
      </x:c>
      <x:c r="C6" s="25" t="str">
        <x:f>IF(2&lt;='核心假设'!$B$7,"正式报告","债务尾期")</x:f>
        <x:v>正式报告</x:v>
      </x:c>
      <x:c r="D6" s="25" t="str">
        <x:f>IF(3&lt;='核心假设'!$B$7,"正式报告","债务尾期")</x:f>
        <x:v>正式报告</x:v>
      </x:c>
      <x:c r="E6" s="25" t="str">
        <x:f>IF(4&lt;='核心假设'!$B$7,"正式报告","债务尾期")</x:f>
        <x:v>正式报告</x:v>
      </x:c>
      <x:c r="F6" s="25" t="str">
        <x:f>IF(5&lt;='核心假设'!$B$7,"正式报告","债务尾期")</x:f>
        <x:v>正式报告</x:v>
      </x:c>
      <x:c r="G6" s="25" t="str">
        <x:f>IF(6&lt;='核心假设'!$B$7,"正式报告","债务尾期")</x:f>
        <x:v>正式报告</x:v>
      </x:c>
      <x:c r="H6" s="25" t="str">
        <x:f>IF(7&lt;='核心假设'!$B$7,"正式报告","债务尾期")</x:f>
        <x:v>正式报告</x:v>
      </x:c>
      <x:c r="I6" s="25" t="str">
        <x:f>IF(8&lt;='核心假设'!$B$7,"正式报告","债务尾期")</x:f>
        <x:v>正式报告</x:v>
      </x:c>
      <x:c r="J6" s="25" t="str">
        <x:f>IF(9&lt;='核心假设'!$B$7,"正式报告","债务尾期")</x:f>
        <x:v>正式报告</x:v>
      </x:c>
      <x:c r="K6" s="25" t="str">
        <x:f>IF(10&lt;='核心假设'!$B$7,"正式报告","债务尾期")</x:f>
        <x:v>正式报告</x:v>
      </x:c>
      <x:c r="L6" s="25" t="str">
        <x:f>IF(11&lt;='核心假设'!$B$7,"正式报告","债务尾期")</x:f>
        <x:v>正式报告</x:v>
      </x:c>
      <x:c r="M6" s="25" t="str">
        <x:f>IF(12&lt;='核心假设'!$B$7,"正式报告","债务尾期")</x:f>
        <x:v>正式报告</x:v>
      </x:c>
      <x:c r="N6" s="25" t="str">
        <x:f>IF(13&lt;='核心假设'!$B$7,"正式报告","债务尾期")</x:f>
        <x:v>正式报告</x:v>
      </x:c>
      <x:c r="O6" s="25" t="str">
        <x:f>IF(14&lt;='核心假设'!$B$7,"正式报告","债务尾期")</x:f>
        <x:v>正式报告</x:v>
      </x:c>
      <x:c r="P6" s="25" t="str">
        <x:f>IF(15&lt;='核心假设'!$B$7,"正式报告","债务尾期")</x:f>
        <x:v>正式报告</x:v>
      </x:c>
      <x:c r="Q6" s="25" t="str">
        <x:f>IF(16&lt;='核心假设'!$B$7,"正式报告","债务尾期")</x:f>
        <x:v>正式报告</x:v>
      </x:c>
      <x:c r="R6" s="25" t="str">
        <x:f>IF(17&lt;='核心假设'!$B$7,"正式报告","债务尾期")</x:f>
        <x:v>正式报告</x:v>
      </x:c>
      <x:c r="S6" s="25" t="str">
        <x:f>IF(18&lt;='核心假设'!$B$7,"正式报告","债务尾期")</x:f>
        <x:v>正式报告</x:v>
      </x:c>
      <x:c r="T6" s="25" t="str">
        <x:f>IF(19&lt;='核心假设'!$B$7,"正式报告","债务尾期")</x:f>
        <x:v>正式报告</x:v>
      </x:c>
      <x:c r="U6" s="25" t="str">
        <x:f>IF(20&lt;='核心假设'!$B$7,"正式报告","债务尾期")</x:f>
        <x:v>正式报告</x:v>
      </x:c>
      <x:c r="V6" s="25" t="str">
        <x:f>IF(21&lt;='核心假设'!$B$7,"正式报告","债务尾期")</x:f>
        <x:v>正式报告</x:v>
      </x:c>
      <x:c r="W6" s="25" t="str">
        <x:f>IF(22&lt;='核心假设'!$B$7,"正式报告","债务尾期")</x:f>
        <x:v>正式报告</x:v>
      </x:c>
      <x:c r="X6" s="25" t="str">
        <x:f>IF(23&lt;='核心假设'!$B$7,"正式报告","债务尾期")</x:f>
        <x:v>正式报告</x:v>
      </x:c>
      <x:c r="Y6" s="25" t="str">
        <x:f>IF(24&lt;='核心假设'!$B$7,"正式报告","债务尾期")</x:f>
        <x:v>正式报告</x:v>
      </x:c>
      <x:c r="Z6" s="25" t="str">
        <x:f>IF(25&lt;='核心假设'!$B$7,"正式报告","债务尾期")</x:f>
        <x:v>正式报告</x:v>
      </x:c>
      <x:c r="AA6" s="25" t="str">
        <x:f>IF(26&lt;='核心假设'!$B$7,"正式报告","债务尾期")</x:f>
        <x:v>正式报告</x:v>
      </x:c>
      <x:c r="AB6" s="25" t="str">
        <x:f>IF(27&lt;='核心假设'!$B$7,"正式报告","债务尾期")</x:f>
        <x:v>正式报告</x:v>
      </x:c>
      <x:c r="AC6" s="25" t="str">
        <x:f>IF(28&lt;='核心假设'!$B$7,"正式报告","债务尾期")</x:f>
        <x:v>正式报告</x:v>
      </x:c>
      <x:c r="AD6" s="25" t="str">
        <x:f>IF(29&lt;='核心假设'!$B$7,"正式报告","债务尾期")</x:f>
        <x:v>正式报告</x:v>
      </x:c>
      <x:c r="AE6" s="25" t="str">
        <x:f>IF(30&lt;='核心假设'!$B$7,"正式报告","债务尾期")</x:f>
        <x:v>正式报告</x:v>
      </x:c>
      <x:c r="AF6" s="25" t="str">
        <x:f>IF(31&lt;='核心假设'!$B$7,"正式报告","债务尾期")</x:f>
        <x:v>正式报告</x:v>
      </x:c>
      <x:c r="AG6" s="25" t="str">
        <x:f>IF(32&lt;='核心假设'!$B$7,"正式报告","债务尾期")</x:f>
        <x:v>正式报告</x:v>
      </x:c>
      <x:c r="AH6" s="25" t="str">
        <x:f>IF(33&lt;='核心假设'!$B$7,"正式报告","债务尾期")</x:f>
        <x:v>正式报告</x:v>
      </x:c>
      <x:c r="AI6" s="25" t="str">
        <x:f>IF(34&lt;='核心假设'!$B$7,"正式报告","债务尾期")</x:f>
        <x:v>正式报告</x:v>
      </x:c>
      <x:c r="AJ6" s="25" t="str">
        <x:f>IF(35&lt;='核心假设'!$B$7,"正式报告","债务尾期")</x:f>
        <x:v>正式报告</x:v>
      </x:c>
      <x:c r="AK6" s="25" t="str">
        <x:f>IF(36&lt;='核心假设'!$B$7,"正式报告","债务尾期")</x:f>
        <x:v>正式报告</x:v>
      </x:c>
      <x:c r="AL6" s="89" t="str">
        <x:f>IF(37&lt;='核心假设'!$B$7,"正式报告","债务尾期")</x:f>
        <x:v>债务尾期</x:v>
      </x:c>
      <x:c r="AM6" s="89" t="str">
        <x:f>IF(38&lt;='核心假设'!$B$7,"正式报告","债务尾期")</x:f>
        <x:v>债务尾期</x:v>
      </x:c>
      <x:c r="AN6" s="89" t="str">
        <x:f>IF(39&lt;='核心假设'!$B$7,"正式报告","债务尾期")</x:f>
        <x:v>债务尾期</x:v>
      </x:c>
      <x:c r="AO6" s="89" t="str">
        <x:f>IF(40&lt;='核心假设'!$B$7,"正式报告","债务尾期")</x:f>
        <x:v>债务尾期</x:v>
      </x:c>
      <x:c r="AP6" s="89" t="str">
        <x:f>IF(41&lt;='核心假设'!$B$7,"正式报告","债务尾期")</x:f>
        <x:v>债务尾期</x:v>
      </x:c>
      <x:c r="AQ6" s="89" t="str">
        <x:f>IF(42&lt;='核心假设'!$B$7,"正式报告","债务尾期")</x:f>
        <x:v>债务尾期</x:v>
      </x:c>
      <x:c r="AR6" s="89" t="str">
        <x:f>IF(43&lt;='核心假设'!$B$7,"正式报告","债务尾期")</x:f>
        <x:v>债务尾期</x:v>
      </x:c>
      <x:c r="AS6" s="89" t="str">
        <x:f>IF(44&lt;='核心假设'!$B$7,"正式报告","债务尾期")</x:f>
        <x:v>债务尾期</x:v>
      </x:c>
      <x:c r="AT6" s="89" t="str">
        <x:f>IF(45&lt;='核心假设'!$B$7,"正式报告","债务尾期")</x:f>
        <x:v>债务尾期</x:v>
      </x:c>
      <x:c r="AU6" s="89" t="str">
        <x:f>IF(46&lt;='核心假设'!$B$7,"正式报告","债务尾期")</x:f>
        <x:v>债务尾期</x:v>
      </x:c>
      <x:c r="AV6" s="89" t="str">
        <x:f>IF(47&lt;='核心假设'!$B$7,"正式报告","债务尾期")</x:f>
        <x:v>债务尾期</x:v>
      </x:c>
      <x:c r="AW6" s="89" t="str">
        <x:f>IF(48&lt;='核心假设'!$B$7,"正式报告","债务尾期")</x:f>
        <x:v>债务尾期</x:v>
      </x:c>
      <x:c r="AX6" s="89" t="str">
        <x:f>IF(49&lt;='核心假设'!$B$7,"正式报告","债务尾期")</x:f>
        <x:v>债务尾期</x:v>
      </x:c>
      <x:c r="AY6" s="89" t="str">
        <x:f>IF(50&lt;='核心假设'!$B$7,"正式报告","债务尾期")</x:f>
        <x:v>债务尾期</x:v>
      </x:c>
      <x:c r="AZ6" s="89" t="str">
        <x:f>IF(51&lt;='核心假设'!$B$7,"正式报告","债务尾期")</x:f>
        <x:v>债务尾期</x:v>
      </x:c>
      <x:c r="BA6" s="89" t="str">
        <x:f>IF(52&lt;='核心假设'!$B$7,"正式报告","债务尾期")</x:f>
        <x:v>债务尾期</x:v>
      </x:c>
      <x:c r="BB6" s="89" t="str">
        <x:f>IF(53&lt;='核心假设'!$B$7,"正式报告","债务尾期")</x:f>
        <x:v>债务尾期</x:v>
      </x:c>
      <x:c r="BC6" s="89" t="str">
        <x:f>IF(54&lt;='核心假设'!$B$7,"正式报告","债务尾期")</x:f>
        <x:v>债务尾期</x:v>
      </x:c>
      <x:c r="BD6" s="89" t="str">
        <x:f>IF(55&lt;='核心假设'!$B$7,"正式报告","债务尾期")</x:f>
        <x:v>债务尾期</x:v>
      </x:c>
      <x:c r="BE6" s="89" t="str">
        <x:f>IF(56&lt;='核心假设'!$B$7,"正式报告","债务尾期")</x:f>
        <x:v>债务尾期</x:v>
      </x:c>
      <x:c r="BF6" s="89" t="str">
        <x:f>IF(57&lt;='核心假设'!$B$7,"正式报告","债务尾期")</x:f>
        <x:v>债务尾期</x:v>
      </x:c>
      <x:c r="BG6" s="89" t="str">
        <x:f>IF(58&lt;='核心假设'!$B$7,"正式报告","债务尾期")</x:f>
        <x:v>债务尾期</x:v>
      </x:c>
      <x:c r="BH6" s="89" t="str">
        <x:f>IF(59&lt;='核心假设'!$B$7,"正式报告","债务尾期")</x:f>
        <x:v>债务尾期</x:v>
      </x:c>
      <x:c r="BI6" s="89" t="str">
        <x:f>IF(60&lt;='核心假设'!$B$7,"正式报告","债务尾期")</x:f>
        <x:v>债务尾期</x:v>
      </x:c>
    </x:row>
    <x:row r="7">
      <x:c r="A7" s="85" t="str">
        <x:v>新增枪数</x:v>
      </x:c>
      <x:c r="B7" s="40" t="n">
        <x:f>'月度投放计划'!J$5</x:f>
        <x:v>1500</x:v>
      </x:c>
      <x:c r="C7" s="40" t="n">
        <x:f>'月度投放计划'!K$5</x:f>
        <x:v>1800</x:v>
      </x:c>
      <x:c r="D7" s="40" t="n">
        <x:f>'月度投放计划'!L$5</x:f>
        <x:v>2100</x:v>
      </x:c>
      <x:c r="E7" s="40" t="n">
        <x:f>'月度投放计划'!M$5</x:f>
        <x:v>2400</x:v>
      </x:c>
      <x:c r="F7" s="40" t="n">
        <x:f>'月度投放计划'!N$5</x:f>
        <x:v>2700</x:v>
      </x:c>
      <x:c r="G7" s="40" t="n">
        <x:f>'月度投放计划'!O$5</x:f>
        <x:v>3000</x:v>
      </x:c>
      <x:c r="H7" s="40" t="n">
        <x:f>'月度投放计划'!P$5</x:f>
        <x:v>3300</x:v>
      </x:c>
      <x:c r="I7" s="40" t="n">
        <x:f>'月度投放计划'!Q$5</x:f>
        <x:v>3300</x:v>
      </x:c>
      <x:c r="J7" s="40" t="n">
        <x:f>'月度投放计划'!R$5</x:f>
        <x:v>3000</x:v>
      </x:c>
      <x:c r="K7" s="40" t="n">
        <x:f>'月度投放计划'!S$5</x:f>
        <x:v>2700</x:v>
      </x:c>
      <x:c r="L7" s="40" t="n">
        <x:f>'月度投放计划'!T$5</x:f>
        <x:v>2400</x:v>
      </x:c>
      <x:c r="M7" s="40" t="n">
        <x:f>'月度投放计划'!U$5</x:f>
        <x:v>1800</x:v>
      </x:c>
      <x:c r="N7" s="40" t="n">
        <x:f>0</x:f>
        <x:v>0</x:v>
      </x:c>
      <x:c r="O7" s="40" t="n">
        <x:f>0</x:f>
        <x:v>0</x:v>
      </x:c>
      <x:c r="P7" s="40" t="n">
        <x:f>0</x:f>
        <x:v>0</x:v>
      </x:c>
      <x:c r="Q7" s="40" t="n">
        <x:f>0</x:f>
        <x:v>0</x:v>
      </x:c>
      <x:c r="R7" s="40" t="n">
        <x:f>0</x:f>
        <x:v>0</x:v>
      </x:c>
      <x:c r="S7" s="40" t="n">
        <x:f>0</x:f>
        <x:v>0</x:v>
      </x:c>
      <x:c r="T7" s="40" t="n">
        <x:f>0</x:f>
        <x:v>0</x:v>
      </x:c>
      <x:c r="U7" s="40" t="n">
        <x:f>0</x:f>
        <x:v>0</x:v>
      </x:c>
      <x:c r="V7" s="40" t="n">
        <x:f>0</x:f>
        <x:v>0</x:v>
      </x:c>
      <x:c r="W7" s="40" t="n">
        <x:f>0</x:f>
        <x:v>0</x:v>
      </x:c>
      <x:c r="X7" s="40" t="n">
        <x:f>0</x:f>
        <x:v>0</x:v>
      </x:c>
      <x:c r="Y7" s="40" t="n">
        <x:f>0</x:f>
        <x:v>0</x:v>
      </x:c>
      <x:c r="Z7" s="40" t="n">
        <x:f>0</x:f>
        <x:v>0</x:v>
      </x:c>
      <x:c r="AA7" s="40" t="n">
        <x:f>0</x:f>
        <x:v>0</x:v>
      </x:c>
      <x:c r="AB7" s="40" t="n">
        <x:f>0</x:f>
        <x:v>0</x:v>
      </x:c>
      <x:c r="AC7" s="40" t="n">
        <x:f>0</x:f>
        <x:v>0</x:v>
      </x:c>
      <x:c r="AD7" s="40" t="n">
        <x:f>0</x:f>
        <x:v>0</x:v>
      </x:c>
      <x:c r="AE7" s="40" t="n">
        <x:f>0</x:f>
        <x:v>0</x:v>
      </x:c>
      <x:c r="AF7" s="40" t="n">
        <x:f>0</x:f>
        <x:v>0</x:v>
      </x:c>
      <x:c r="AG7" s="40" t="n">
        <x:f>0</x:f>
        <x:v>0</x:v>
      </x:c>
      <x:c r="AH7" s="40" t="n">
        <x:f>0</x:f>
        <x:v>0</x:v>
      </x:c>
      <x:c r="AI7" s="40" t="n">
        <x:f>0</x:f>
        <x:v>0</x:v>
      </x:c>
      <x:c r="AJ7" s="40" t="n">
        <x:f>0</x:f>
        <x:v>0</x:v>
      </x:c>
      <x:c r="AK7" s="40" t="n">
        <x:f>0</x:f>
        <x:v>0</x:v>
      </x:c>
      <x:c r="AL7" s="90" t="n">
        <x:f>0</x:f>
        <x:v>0</x:v>
      </x:c>
      <x:c r="AM7" s="90" t="n">
        <x:f>0</x:f>
        <x:v>0</x:v>
      </x:c>
      <x:c r="AN7" s="90" t="n">
        <x:f>0</x:f>
        <x:v>0</x:v>
      </x:c>
      <x:c r="AO7" s="90" t="n">
        <x:f>0</x:f>
        <x:v>0</x:v>
      </x:c>
      <x:c r="AP7" s="90" t="n">
        <x:f>0</x:f>
        <x:v>0</x:v>
      </x:c>
      <x:c r="AQ7" s="90" t="n">
        <x:f>0</x:f>
        <x:v>0</x:v>
      </x:c>
      <x:c r="AR7" s="90" t="n">
        <x:f>0</x:f>
        <x:v>0</x:v>
      </x:c>
      <x:c r="AS7" s="90" t="n">
        <x:f>0</x:f>
        <x:v>0</x:v>
      </x:c>
      <x:c r="AT7" s="90" t="n">
        <x:f>0</x:f>
        <x:v>0</x:v>
      </x:c>
      <x:c r="AU7" s="90" t="n">
        <x:f>0</x:f>
        <x:v>0</x:v>
      </x:c>
      <x:c r="AV7" s="90" t="n">
        <x:f>0</x:f>
        <x:v>0</x:v>
      </x:c>
      <x:c r="AW7" s="90" t="n">
        <x:f>0</x:f>
        <x:v>0</x:v>
      </x:c>
      <x:c r="AX7" s="90" t="n">
        <x:f>0</x:f>
        <x:v>0</x:v>
      </x:c>
      <x:c r="AY7" s="90" t="n">
        <x:f>0</x:f>
        <x:v>0</x:v>
      </x:c>
      <x:c r="AZ7" s="90" t="n">
        <x:f>0</x:f>
        <x:v>0</x:v>
      </x:c>
      <x:c r="BA7" s="90" t="n">
        <x:f>0</x:f>
        <x:v>0</x:v>
      </x:c>
      <x:c r="BB7" s="90" t="n">
        <x:f>0</x:f>
        <x:v>0</x:v>
      </x:c>
      <x:c r="BC7" s="90" t="n">
        <x:f>0</x:f>
        <x:v>0</x:v>
      </x:c>
      <x:c r="BD7" s="90" t="n">
        <x:f>0</x:f>
        <x:v>0</x:v>
      </x:c>
      <x:c r="BE7" s="90" t="n">
        <x:f>0</x:f>
        <x:v>0</x:v>
      </x:c>
      <x:c r="BF7" s="90" t="n">
        <x:f>0</x:f>
        <x:v>0</x:v>
      </x:c>
      <x:c r="BG7" s="90" t="n">
        <x:f>0</x:f>
        <x:v>0</x:v>
      </x:c>
      <x:c r="BH7" s="90" t="n">
        <x:f>0</x:f>
        <x:v>0</x:v>
      </x:c>
      <x:c r="BI7" s="90" t="n">
        <x:f>0</x:f>
        <x:v>0</x:v>
      </x:c>
    </x:row>
    <x:row r="8">
      <x:c r="A8" s="85" t="str">
        <x:v>运营枪数</x:v>
      </x:c>
      <x:c r="B8" s="40" t="n">
        <x:f>SUM($B7:B7)</x:f>
        <x:v>1500</x:v>
      </x:c>
      <x:c r="C8" s="40" t="n">
        <x:f>SUM($B7:C7)</x:f>
        <x:v>3300</x:v>
      </x:c>
      <x:c r="D8" s="40" t="n">
        <x:f>SUM($B7:D7)</x:f>
        <x:v>5400</x:v>
      </x:c>
      <x:c r="E8" s="40" t="n">
        <x:f>SUM($B7:E7)</x:f>
        <x:v>7800</x:v>
      </x:c>
      <x:c r="F8" s="40" t="n">
        <x:f>SUM($B7:F7)</x:f>
        <x:v>10500</x:v>
      </x:c>
      <x:c r="G8" s="40" t="n">
        <x:f>SUM($B7:G7)</x:f>
        <x:v>13500</x:v>
      </x:c>
      <x:c r="H8" s="40" t="n">
        <x:f>SUM($B7:H7)</x:f>
        <x:v>16800</x:v>
      </x:c>
      <x:c r="I8" s="40" t="n">
        <x:f>SUM($B7:I7)</x:f>
        <x:v>20100</x:v>
      </x:c>
      <x:c r="J8" s="40" t="n">
        <x:f>SUM($B7:J7)</x:f>
        <x:v>23100</x:v>
      </x:c>
      <x:c r="K8" s="40" t="n">
        <x:f>SUM($B7:K7)</x:f>
        <x:v>25800</x:v>
      </x:c>
      <x:c r="L8" s="40" t="n">
        <x:f>SUM($B7:L7)</x:f>
        <x:v>28200</x:v>
      </x:c>
      <x:c r="M8" s="40" t="n">
        <x:f>SUM($B7:M7)</x:f>
        <x:v>30000</x:v>
      </x:c>
      <x:c r="N8" s="40" t="n">
        <x:f>SUM($B7:N7)</x:f>
        <x:v>30000</x:v>
      </x:c>
      <x:c r="O8" s="40" t="n">
        <x:f>SUM($B7:O7)</x:f>
        <x:v>30000</x:v>
      </x:c>
      <x:c r="P8" s="40" t="n">
        <x:f>SUM($B7:P7)</x:f>
        <x:v>30000</x:v>
      </x:c>
      <x:c r="Q8" s="40" t="n">
        <x:f>SUM($B7:Q7)</x:f>
        <x:v>30000</x:v>
      </x:c>
      <x:c r="R8" s="40" t="n">
        <x:f>SUM($B7:R7)</x:f>
        <x:v>30000</x:v>
      </x:c>
      <x:c r="S8" s="40" t="n">
        <x:f>SUM($B7:S7)</x:f>
        <x:v>30000</x:v>
      </x:c>
      <x:c r="T8" s="40" t="n">
        <x:f>SUM($B7:T7)</x:f>
        <x:v>30000</x:v>
      </x:c>
      <x:c r="U8" s="40" t="n">
        <x:f>SUM($B7:U7)</x:f>
        <x:v>30000</x:v>
      </x:c>
      <x:c r="V8" s="40" t="n">
        <x:f>SUM($B7:V7)</x:f>
        <x:v>30000</x:v>
      </x:c>
      <x:c r="W8" s="40" t="n">
        <x:f>SUM($B7:W7)</x:f>
        <x:v>30000</x:v>
      </x:c>
      <x:c r="X8" s="40" t="n">
        <x:f>SUM($B7:X7)</x:f>
        <x:v>30000</x:v>
      </x:c>
      <x:c r="Y8" s="40" t="n">
        <x:f>SUM($B7:Y7)</x:f>
        <x:v>30000</x:v>
      </x:c>
      <x:c r="Z8" s="40" t="n">
        <x:f>SUM($B7:Z7)</x:f>
        <x:v>30000</x:v>
      </x:c>
      <x:c r="AA8" s="40" t="n">
        <x:f>SUM($B7:AA7)</x:f>
        <x:v>30000</x:v>
      </x:c>
      <x:c r="AB8" s="40" t="n">
        <x:f>SUM($B7:AB7)</x:f>
        <x:v>30000</x:v>
      </x:c>
      <x:c r="AC8" s="40" t="n">
        <x:f>SUM($B7:AC7)</x:f>
        <x:v>30000</x:v>
      </x:c>
      <x:c r="AD8" s="40" t="n">
        <x:f>SUM($B7:AD7)</x:f>
        <x:v>30000</x:v>
      </x:c>
      <x:c r="AE8" s="40" t="n">
        <x:f>SUM($B7:AE7)</x:f>
        <x:v>30000</x:v>
      </x:c>
      <x:c r="AF8" s="40" t="n">
        <x:f>SUM($B7:AF7)</x:f>
        <x:v>30000</x:v>
      </x:c>
      <x:c r="AG8" s="40" t="n">
        <x:f>SUM($B7:AG7)</x:f>
        <x:v>30000</x:v>
      </x:c>
      <x:c r="AH8" s="40" t="n">
        <x:f>SUM($B7:AH7)</x:f>
        <x:v>30000</x:v>
      </x:c>
      <x:c r="AI8" s="40" t="n">
        <x:f>SUM($B7:AI7)</x:f>
        <x:v>30000</x:v>
      </x:c>
      <x:c r="AJ8" s="40" t="n">
        <x:f>SUM($B7:AJ7)</x:f>
        <x:v>30000</x:v>
      </x:c>
      <x:c r="AK8" s="40" t="n">
        <x:f>SUM($B7:AK7)</x:f>
        <x:v>30000</x:v>
      </x:c>
      <x:c r="AL8" s="90" t="n">
        <x:f>SUM($B7:AL7)</x:f>
        <x:v>30000</x:v>
      </x:c>
      <x:c r="AM8" s="90" t="n">
        <x:f>SUM($B7:AM7)</x:f>
        <x:v>30000</x:v>
      </x:c>
      <x:c r="AN8" s="90" t="n">
        <x:f>SUM($B7:AN7)</x:f>
        <x:v>30000</x:v>
      </x:c>
      <x:c r="AO8" s="90" t="n">
        <x:f>SUM($B7:AO7)</x:f>
        <x:v>30000</x:v>
      </x:c>
      <x:c r="AP8" s="90" t="n">
        <x:f>SUM($B7:AP7)</x:f>
        <x:v>30000</x:v>
      </x:c>
      <x:c r="AQ8" s="90" t="n">
        <x:f>SUM($B7:AQ7)</x:f>
        <x:v>30000</x:v>
      </x:c>
      <x:c r="AR8" s="90" t="n">
        <x:f>SUM($B7:AR7)</x:f>
        <x:v>30000</x:v>
      </x:c>
      <x:c r="AS8" s="90" t="n">
        <x:f>SUM($B7:AS7)</x:f>
        <x:v>30000</x:v>
      </x:c>
      <x:c r="AT8" s="90" t="n">
        <x:f>SUM($B7:AT7)</x:f>
        <x:v>30000</x:v>
      </x:c>
      <x:c r="AU8" s="90" t="n">
        <x:f>SUM($B7:AU7)</x:f>
        <x:v>30000</x:v>
      </x:c>
      <x:c r="AV8" s="90" t="n">
        <x:f>SUM($B7:AV7)</x:f>
        <x:v>30000</x:v>
      </x:c>
      <x:c r="AW8" s="90" t="n">
        <x:f>SUM($B7:AW7)</x:f>
        <x:v>30000</x:v>
      </x:c>
      <x:c r="AX8" s="90" t="n">
        <x:f>SUM($B7:AX7)</x:f>
        <x:v>30000</x:v>
      </x:c>
      <x:c r="AY8" s="90" t="n">
        <x:f>SUM($B7:AY7)</x:f>
        <x:v>30000</x:v>
      </x:c>
      <x:c r="AZ8" s="90" t="n">
        <x:f>SUM($B7:AZ7)</x:f>
        <x:v>30000</x:v>
      </x:c>
      <x:c r="BA8" s="90" t="n">
        <x:f>SUM($B7:BA7)</x:f>
        <x:v>30000</x:v>
      </x:c>
      <x:c r="BB8" s="90" t="n">
        <x:f>SUM($B7:BB7)</x:f>
        <x:v>30000</x:v>
      </x:c>
      <x:c r="BC8" s="90" t="n">
        <x:f>SUM($B7:BC7)</x:f>
        <x:v>30000</x:v>
      </x:c>
      <x:c r="BD8" s="90" t="n">
        <x:f>SUM($B7:BD7)</x:f>
        <x:v>30000</x:v>
      </x:c>
      <x:c r="BE8" s="90" t="n">
        <x:f>SUM($B7:BE7)</x:f>
        <x:v>30000</x:v>
      </x:c>
      <x:c r="BF8" s="90" t="n">
        <x:f>SUM($B7:BF7)</x:f>
        <x:v>30000</x:v>
      </x:c>
      <x:c r="BG8" s="90" t="n">
        <x:f>SUM($B7:BG7)</x:f>
        <x:v>30000</x:v>
      </x:c>
      <x:c r="BH8" s="90" t="n">
        <x:f>SUM($B7:BH7)</x:f>
        <x:v>30000</x:v>
      </x:c>
      <x:c r="BI8" s="90" t="n">
        <x:f>SUM($B7:BI7)</x:f>
        <x:v>30000</x:v>
      </x:c>
    </x:row>
    <x:row r="9">
      <x:c r="A9" s="85" t="str">
        <x:v>运营站数</x:v>
      </x:c>
      <x:c r="B9" s="40" t="n">
        <x:f>SUM('月度投放计划'!$J$15:J$16)</x:f>
        <x:v>378</x:v>
      </x:c>
      <x:c r="C9" s="40" t="n">
        <x:f>SUM('月度投放计划'!$J$15:K$16)</x:f>
        <x:v>831</x:v>
      </x:c>
      <x:c r="D9" s="40" t="n">
        <x:f>SUM('月度投放计划'!$J$15:L$16)</x:f>
        <x:v>1358</x:v>
      </x:c>
      <x:c r="E9" s="40" t="n">
        <x:f>SUM('月度投放计划'!$J$15:M$16)</x:f>
        <x:v>1960</x:v>
      </x:c>
      <x:c r="F9" s="40" t="n">
        <x:f>SUM('月度投放计划'!$J$15:N$16)</x:f>
        <x:v>2637</x:v>
      </x:c>
      <x:c r="G9" s="40" t="n">
        <x:f>SUM('月度投放计划'!$J$15:O$16)</x:f>
        <x:v>3389</x:v>
      </x:c>
      <x:c r="H9" s="40" t="n">
        <x:f>SUM('月度投放计划'!$J$15:P$16)</x:f>
        <x:v>4214</x:v>
      </x:c>
      <x:c r="I9" s="40" t="n">
        <x:f>SUM('月度投放计划'!$J$15:Q$16)</x:f>
        <x:v>5039</x:v>
      </x:c>
      <x:c r="J9" s="40" t="n">
        <x:f>SUM('月度投放计划'!$J$15:R$16)</x:f>
        <x:v>6250</x:v>
      </x:c>
      <x:c r="K9" s="40" t="n">
        <x:f>SUM('月度投放计划'!$J$15:S$16)</x:f>
        <x:v>7600</x:v>
      </x:c>
      <x:c r="L9" s="40" t="n">
        <x:f>SUM('月度投放计划'!$J$15:T$16)</x:f>
        <x:v>8800</x:v>
      </x:c>
      <x:c r="M9" s="40" t="n">
        <x:f>SUM('月度投放计划'!$J$15:U$16)</x:f>
        <x:v>9700</x:v>
      </x:c>
      <x:c r="N9" s="40" t="n">
        <x:f>M9</x:f>
        <x:v>9700</x:v>
      </x:c>
      <x:c r="O9" s="40" t="n">
        <x:f>M9</x:f>
        <x:v>9700</x:v>
      </x:c>
      <x:c r="P9" s="40" t="n">
        <x:f>M9</x:f>
        <x:v>9700</x:v>
      </x:c>
      <x:c r="Q9" s="40" t="n">
        <x:f>M9</x:f>
        <x:v>9700</x:v>
      </x:c>
      <x:c r="R9" s="40" t="n">
        <x:f>M9</x:f>
        <x:v>9700</x:v>
      </x:c>
      <x:c r="S9" s="40" t="n">
        <x:f>M9</x:f>
        <x:v>9700</x:v>
      </x:c>
      <x:c r="T9" s="40" t="n">
        <x:f>M9</x:f>
        <x:v>9700</x:v>
      </x:c>
      <x:c r="U9" s="40" t="n">
        <x:f>M9</x:f>
        <x:v>9700</x:v>
      </x:c>
      <x:c r="V9" s="40" t="n">
        <x:f>M9</x:f>
        <x:v>9700</x:v>
      </x:c>
      <x:c r="W9" s="40" t="n">
        <x:f>M9</x:f>
        <x:v>9700</x:v>
      </x:c>
      <x:c r="X9" s="40" t="n">
        <x:f>M9</x:f>
        <x:v>9700</x:v>
      </x:c>
      <x:c r="Y9" s="40" t="n">
        <x:f>M9</x:f>
        <x:v>9700</x:v>
      </x:c>
      <x:c r="Z9" s="40" t="n">
        <x:f>M9</x:f>
        <x:v>9700</x:v>
      </x:c>
      <x:c r="AA9" s="40" t="n">
        <x:f>M9</x:f>
        <x:v>9700</x:v>
      </x:c>
      <x:c r="AB9" s="40" t="n">
        <x:f>M9</x:f>
        <x:v>9700</x:v>
      </x:c>
      <x:c r="AC9" s="40" t="n">
        <x:f>M9</x:f>
        <x:v>9700</x:v>
      </x:c>
      <x:c r="AD9" s="40" t="n">
        <x:f>M9</x:f>
        <x:v>9700</x:v>
      </x:c>
      <x:c r="AE9" s="40" t="n">
        <x:f>M9</x:f>
        <x:v>9700</x:v>
      </x:c>
      <x:c r="AF9" s="40" t="n">
        <x:f>M9</x:f>
        <x:v>9700</x:v>
      </x:c>
      <x:c r="AG9" s="40" t="n">
        <x:f>M9</x:f>
        <x:v>9700</x:v>
      </x:c>
      <x:c r="AH9" s="40" t="n">
        <x:f>M9</x:f>
        <x:v>9700</x:v>
      </x:c>
      <x:c r="AI9" s="40" t="n">
        <x:f>M9</x:f>
        <x:v>9700</x:v>
      </x:c>
      <x:c r="AJ9" s="40" t="n">
        <x:f>M9</x:f>
        <x:v>9700</x:v>
      </x:c>
      <x:c r="AK9" s="40" t="n">
        <x:f>M9</x:f>
        <x:v>9700</x:v>
      </x:c>
      <x:c r="AL9" s="90" t="n">
        <x:f>M9</x:f>
        <x:v>9700</x:v>
      </x:c>
      <x:c r="AM9" s="90" t="n">
        <x:f>M9</x:f>
        <x:v>9700</x:v>
      </x:c>
      <x:c r="AN9" s="90" t="n">
        <x:f>M9</x:f>
        <x:v>9700</x:v>
      </x:c>
      <x:c r="AO9" s="90" t="n">
        <x:f>M9</x:f>
        <x:v>9700</x:v>
      </x:c>
      <x:c r="AP9" s="90" t="n">
        <x:f>M9</x:f>
        <x:v>9700</x:v>
      </x:c>
      <x:c r="AQ9" s="90" t="n">
        <x:f>M9</x:f>
        <x:v>9700</x:v>
      </x:c>
      <x:c r="AR9" s="90" t="n">
        <x:f>M9</x:f>
        <x:v>9700</x:v>
      </x:c>
      <x:c r="AS9" s="90" t="n">
        <x:f>M9</x:f>
        <x:v>9700</x:v>
      </x:c>
      <x:c r="AT9" s="90" t="n">
        <x:f>M9</x:f>
        <x:v>9700</x:v>
      </x:c>
      <x:c r="AU9" s="90" t="n">
        <x:f>M9</x:f>
        <x:v>9700</x:v>
      </x:c>
      <x:c r="AV9" s="90" t="n">
        <x:f>M9</x:f>
        <x:v>9700</x:v>
      </x:c>
      <x:c r="AW9" s="90" t="n">
        <x:f>M9</x:f>
        <x:v>9700</x:v>
      </x:c>
      <x:c r="AX9" s="90" t="n">
        <x:f>M9</x:f>
        <x:v>9700</x:v>
      </x:c>
      <x:c r="AY9" s="90" t="n">
        <x:f>M9</x:f>
        <x:v>9700</x:v>
      </x:c>
      <x:c r="AZ9" s="90" t="n">
        <x:f>M9</x:f>
        <x:v>9700</x:v>
      </x:c>
      <x:c r="BA9" s="90" t="n">
        <x:f>M9</x:f>
        <x:v>9700</x:v>
      </x:c>
      <x:c r="BB9" s="90" t="n">
        <x:f>M9</x:f>
        <x:v>9700</x:v>
      </x:c>
      <x:c r="BC9" s="90" t="n">
        <x:f>M9</x:f>
        <x:v>9700</x:v>
      </x:c>
      <x:c r="BD9" s="90" t="n">
        <x:f>M9</x:f>
        <x:v>9700</x:v>
      </x:c>
      <x:c r="BE9" s="90" t="n">
        <x:f>M9</x:f>
        <x:v>9700</x:v>
      </x:c>
      <x:c r="BF9" s="90" t="n">
        <x:f>M9</x:f>
        <x:v>9700</x:v>
      </x:c>
      <x:c r="BG9" s="90" t="n">
        <x:f>M9</x:f>
        <x:v>9700</x:v>
      </x:c>
      <x:c r="BH9" s="90" t="n">
        <x:f>M9</x:f>
        <x:v>9700</x:v>
      </x:c>
      <x:c r="BI9" s="90" t="n">
        <x:f>M9</x:f>
        <x:v>9700</x:v>
      </x:c>
    </x:row>
    <x:row r="10">
      <x:c r="A10" s="85" t="str">
        <x:v>季节指数</x:v>
      </x:c>
      <x:c r="B10" s="49" t="n">
        <x:f>IF('核心假设'!$B$42="无季节性",1,IF('核心假设'!$B$42="旺季下调10%",IF(INDEX('年度季节曲线'!$H$6:$H$17,MONTH(B$5))&gt;1,INDEX('年度季节曲线'!$H$6:$H$17,MONTH(B$5))*(1-10%),INDEX('年度季节曲线'!$H$6:$H$17,MONTH(B$5))),INDEX('年度季节曲线'!$H$6:$H$17,MONTH(B$5))))</x:f>
        <x:v>1.049733837226385</x:v>
      </x:c>
      <x:c r="C10" s="49" t="n">
        <x:f>IF('核心假设'!$B$42="无季节性",1,IF('核心假设'!$B$42="旺季下调10%",IF(INDEX('年度季节曲线'!$H$6:$H$17,MONTH(C$5))&gt;1,INDEX('年度季节曲线'!$H$6:$H$17,MONTH(C$5))*(1-10%),INDEX('年度季节曲线'!$H$6:$H$17,MONTH(C$5))),INDEX('年度季节曲线'!$H$6:$H$17,MONTH(C$5))))</x:f>
        <x:v>0.9886126219215644</x:v>
      </x:c>
      <x:c r="D10" s="49" t="n">
        <x:f>IF('核心假设'!$B$42="无季节性",1,IF('核心假设'!$B$42="旺季下调10%",IF(INDEX('年度季节曲线'!$H$6:$H$17,MONTH(D$5))&gt;1,INDEX('年度季节曲线'!$H$6:$H$17,MONTH(D$5))*(1-10%),INDEX('年度季节曲线'!$H$6:$H$17,MONTH(D$5))),INDEX('年度季节曲线'!$H$6:$H$17,MONTH(D$5))))</x:f>
        <x:v>1.0421140108726137</x:v>
      </x:c>
      <x:c r="E10" s="49" t="n">
        <x:f>IF('核心假设'!$B$42="无季节性",1,IF('核心假设'!$B$42="旺季下调10%",IF(INDEX('年度季节曲线'!$H$6:$H$17,MONTH(E$5))&gt;1,INDEX('年度季节曲线'!$H$6:$H$17,MONTH(E$5))*(1-10%),INDEX('年度季节曲线'!$H$6:$H$17,MONTH(E$5))),INDEX('年度季节曲线'!$H$6:$H$17,MONTH(E$5))))</x:f>
        <x:v>1.115583122663427</x:v>
      </x:c>
      <x:c r="F10" s="49" t="n">
        <x:f>IF('核心假设'!$B$42="无季节性",1,IF('核心假设'!$B$42="旺季下调10%",IF(INDEX('年度季节曲线'!$H$6:$H$17,MONTH(F$5))&gt;1,INDEX('年度季节曲线'!$H$6:$H$17,MONTH(F$5))*(1-10%),INDEX('年度季节曲线'!$H$6:$H$17,MONTH(F$5))),INDEX('年度季节曲线'!$H$6:$H$17,MONTH(F$5))))</x:f>
        <x:v>1.0179910013616738</x:v>
      </x:c>
      <x:c r="G10" s="49" t="n">
        <x:f>IF('核心假设'!$B$42="无季节性",1,IF('核心假设'!$B$42="旺季下调10%",IF(INDEX('年度季节曲线'!$H$6:$H$17,MONTH(G$5))&gt;1,INDEX('年度季节曲线'!$H$6:$H$17,MONTH(G$5))*(1-10%),INDEX('年度季节曲线'!$H$6:$H$17,MONTH(G$5))),INDEX('年度季节曲线'!$H$6:$H$17,MONTH(G$5))))</x:f>
        <x:v>0.921897196481958</x:v>
      </x:c>
      <x:c r="H10" s="49" t="n">
        <x:f>IF('核心假设'!$B$42="无季节性",1,IF('核心假设'!$B$42="旺季下调10%",IF(INDEX('年度季节曲线'!$H$6:$H$17,MONTH(H$5))&gt;1,INDEX('年度季节曲线'!$H$6:$H$17,MONTH(H$5))*(1-10%),INDEX('年度季节曲线'!$H$6:$H$17,MONTH(H$5))),INDEX('年度季节曲线'!$H$6:$H$17,MONTH(H$5))))</x:f>
        <x:v>0.8780741811750981</x:v>
      </x:c>
      <x:c r="I10" s="49" t="n">
        <x:f>IF('核心假设'!$B$42="无季节性",1,IF('核心假设'!$B$42="旺季下调10%",IF(INDEX('年度季节曲线'!$H$6:$H$17,MONTH(I$5))&gt;1,INDEX('年度季节曲线'!$H$6:$H$17,MONTH(I$5))*(1-10%),INDEX('年度季节曲线'!$H$6:$H$17,MONTH(I$5))),INDEX('年度季节曲线'!$H$6:$H$17,MONTH(I$5))))</x:f>
        <x:v>0.9190556786848783</x:v>
      </x:c>
      <x:c r="J10" s="49" t="n">
        <x:f>IF('核心假设'!$B$42="无季节性",1,IF('核心假设'!$B$42="旺季下调10%",IF(INDEX('年度季节曲线'!$H$6:$H$17,MONTH(J$5))&gt;1,INDEX('年度季节曲线'!$H$6:$H$17,MONTH(J$5))*(1-10%),INDEX('年度季节曲线'!$H$6:$H$17,MONTH(J$5))),INDEX('年度季节曲线'!$H$6:$H$17,MONTH(J$5))))</x:f>
        <x:v>0.9128441431116979</x:v>
      </x:c>
      <x:c r="K10" s="49" t="n">
        <x:f>IF('核心假设'!$B$42="无季节性",1,IF('核心假设'!$B$42="旺季下调10%",IF(INDEX('年度季节曲线'!$H$6:$H$17,MONTH(K$5))&gt;1,INDEX('年度季节曲线'!$H$6:$H$17,MONTH(K$5))*(1-10%),INDEX('年度季节曲线'!$H$6:$H$17,MONTH(K$5))),INDEX('年度季节曲线'!$H$6:$H$17,MONTH(K$5))))</x:f>
        <x:v>1.0145539709156521</x:v>
      </x:c>
      <x:c r="L10" s="49" t="n">
        <x:f>IF('核心假设'!$B$42="无季节性",1,IF('核心假设'!$B$42="旺季下调10%",IF(INDEX('年度季节曲线'!$H$6:$H$17,MONTH(L$5))&gt;1,INDEX('年度季节曲线'!$H$6:$H$17,MONTH(L$5))*(1-10%),INDEX('年度季节曲线'!$H$6:$H$17,MONTH(L$5))),INDEX('年度季节曲线'!$H$6:$H$17,MONTH(L$5))))</x:f>
        <x:v>1.0514553424342976</x:v>
      </x:c>
      <x:c r="M10" s="49" t="n">
        <x:f>IF('核心假设'!$B$42="无季节性",1,IF('核心假设'!$B$42="旺季下调10%",IF(INDEX('年度季节曲线'!$H$6:$H$17,MONTH(M$5))&gt;1,INDEX('年度季节曲线'!$H$6:$H$17,MONTH(M$5))*(1-10%),INDEX('年度季节曲线'!$H$6:$H$17,MONTH(M$5))),INDEX('年度季节曲线'!$H$6:$H$17,MONTH(M$5))))</x:f>
        <x:v>1.0880848931507552</x:v>
      </x:c>
      <x:c r="N10" s="49" t="n">
        <x:f>IF('核心假设'!$B$42="无季节性",1,IF('核心假设'!$B$42="旺季下调10%",IF(INDEX('年度季节曲线'!$H$6:$H$17,MONTH(N$5))&gt;1,INDEX('年度季节曲线'!$H$6:$H$17,MONTH(N$5))*(1-10%),INDEX('年度季节曲线'!$H$6:$H$17,MONTH(N$5))),INDEX('年度季节曲线'!$H$6:$H$17,MONTH(N$5))))</x:f>
        <x:v>1.049733837226385</x:v>
      </x:c>
      <x:c r="O10" s="49" t="n">
        <x:f>IF('核心假设'!$B$42="无季节性",1,IF('核心假设'!$B$42="旺季下调10%",IF(INDEX('年度季节曲线'!$H$6:$H$17,MONTH(O$5))&gt;1,INDEX('年度季节曲线'!$H$6:$H$17,MONTH(O$5))*(1-10%),INDEX('年度季节曲线'!$H$6:$H$17,MONTH(O$5))),INDEX('年度季节曲线'!$H$6:$H$17,MONTH(O$5))))</x:f>
        <x:v>0.9886126219215644</x:v>
      </x:c>
      <x:c r="P10" s="49" t="n">
        <x:f>IF('核心假设'!$B$42="无季节性",1,IF('核心假设'!$B$42="旺季下调10%",IF(INDEX('年度季节曲线'!$H$6:$H$17,MONTH(P$5))&gt;1,INDEX('年度季节曲线'!$H$6:$H$17,MONTH(P$5))*(1-10%),INDEX('年度季节曲线'!$H$6:$H$17,MONTH(P$5))),INDEX('年度季节曲线'!$H$6:$H$17,MONTH(P$5))))</x:f>
        <x:v>1.0421140108726137</x:v>
      </x:c>
      <x:c r="Q10" s="49" t="n">
        <x:f>IF('核心假设'!$B$42="无季节性",1,IF('核心假设'!$B$42="旺季下调10%",IF(INDEX('年度季节曲线'!$H$6:$H$17,MONTH(Q$5))&gt;1,INDEX('年度季节曲线'!$H$6:$H$17,MONTH(Q$5))*(1-10%),INDEX('年度季节曲线'!$H$6:$H$17,MONTH(Q$5))),INDEX('年度季节曲线'!$H$6:$H$17,MONTH(Q$5))))</x:f>
        <x:v>1.115583122663427</x:v>
      </x:c>
      <x:c r="R10" s="49" t="n">
        <x:f>IF('核心假设'!$B$42="无季节性",1,IF('核心假设'!$B$42="旺季下调10%",IF(INDEX('年度季节曲线'!$H$6:$H$17,MONTH(R$5))&gt;1,INDEX('年度季节曲线'!$H$6:$H$17,MONTH(R$5))*(1-10%),INDEX('年度季节曲线'!$H$6:$H$17,MONTH(R$5))),INDEX('年度季节曲线'!$H$6:$H$17,MONTH(R$5))))</x:f>
        <x:v>1.0179910013616738</x:v>
      </x:c>
      <x:c r="S10" s="49" t="n">
        <x:f>IF('核心假设'!$B$42="无季节性",1,IF('核心假设'!$B$42="旺季下调10%",IF(INDEX('年度季节曲线'!$H$6:$H$17,MONTH(S$5))&gt;1,INDEX('年度季节曲线'!$H$6:$H$17,MONTH(S$5))*(1-10%),INDEX('年度季节曲线'!$H$6:$H$17,MONTH(S$5))),INDEX('年度季节曲线'!$H$6:$H$17,MONTH(S$5))))</x:f>
        <x:v>0.921897196481958</x:v>
      </x:c>
      <x:c r="T10" s="49" t="n">
        <x:f>IF('核心假设'!$B$42="无季节性",1,IF('核心假设'!$B$42="旺季下调10%",IF(INDEX('年度季节曲线'!$H$6:$H$17,MONTH(T$5))&gt;1,INDEX('年度季节曲线'!$H$6:$H$17,MONTH(T$5))*(1-10%),INDEX('年度季节曲线'!$H$6:$H$17,MONTH(T$5))),INDEX('年度季节曲线'!$H$6:$H$17,MONTH(T$5))))</x:f>
        <x:v>0.8780741811750981</x:v>
      </x:c>
      <x:c r="U10" s="49" t="n">
        <x:f>IF('核心假设'!$B$42="无季节性",1,IF('核心假设'!$B$42="旺季下调10%",IF(INDEX('年度季节曲线'!$H$6:$H$17,MONTH(U$5))&gt;1,INDEX('年度季节曲线'!$H$6:$H$17,MONTH(U$5))*(1-10%),INDEX('年度季节曲线'!$H$6:$H$17,MONTH(U$5))),INDEX('年度季节曲线'!$H$6:$H$17,MONTH(U$5))))</x:f>
        <x:v>0.9190556786848783</x:v>
      </x:c>
      <x:c r="V10" s="49" t="n">
        <x:f>IF('核心假设'!$B$42="无季节性",1,IF('核心假设'!$B$42="旺季下调10%",IF(INDEX('年度季节曲线'!$H$6:$H$17,MONTH(V$5))&gt;1,INDEX('年度季节曲线'!$H$6:$H$17,MONTH(V$5))*(1-10%),INDEX('年度季节曲线'!$H$6:$H$17,MONTH(V$5))),INDEX('年度季节曲线'!$H$6:$H$17,MONTH(V$5))))</x:f>
        <x:v>0.9128441431116979</x:v>
      </x:c>
      <x:c r="W10" s="49" t="n">
        <x:f>IF('核心假设'!$B$42="无季节性",1,IF('核心假设'!$B$42="旺季下调10%",IF(INDEX('年度季节曲线'!$H$6:$H$17,MONTH(W$5))&gt;1,INDEX('年度季节曲线'!$H$6:$H$17,MONTH(W$5))*(1-10%),INDEX('年度季节曲线'!$H$6:$H$17,MONTH(W$5))),INDEX('年度季节曲线'!$H$6:$H$17,MONTH(W$5))))</x:f>
        <x:v>1.0145539709156521</x:v>
      </x:c>
      <x:c r="X10" s="49" t="n">
        <x:f>IF('核心假设'!$B$42="无季节性",1,IF('核心假设'!$B$42="旺季下调10%",IF(INDEX('年度季节曲线'!$H$6:$H$17,MONTH(X$5))&gt;1,INDEX('年度季节曲线'!$H$6:$H$17,MONTH(X$5))*(1-10%),INDEX('年度季节曲线'!$H$6:$H$17,MONTH(X$5))),INDEX('年度季节曲线'!$H$6:$H$17,MONTH(X$5))))</x:f>
        <x:v>1.0514553424342976</x:v>
      </x:c>
      <x:c r="Y10" s="49" t="n">
        <x:f>IF('核心假设'!$B$42="无季节性",1,IF('核心假设'!$B$42="旺季下调10%",IF(INDEX('年度季节曲线'!$H$6:$H$17,MONTH(Y$5))&gt;1,INDEX('年度季节曲线'!$H$6:$H$17,MONTH(Y$5))*(1-10%),INDEX('年度季节曲线'!$H$6:$H$17,MONTH(Y$5))),INDEX('年度季节曲线'!$H$6:$H$17,MONTH(Y$5))))</x:f>
        <x:v>1.0880848931507552</x:v>
      </x:c>
      <x:c r="Z10" s="49" t="n">
        <x:f>IF('核心假设'!$B$42="无季节性",1,IF('核心假设'!$B$42="旺季下调10%",IF(INDEX('年度季节曲线'!$H$6:$H$17,MONTH(Z$5))&gt;1,INDEX('年度季节曲线'!$H$6:$H$17,MONTH(Z$5))*(1-10%),INDEX('年度季节曲线'!$H$6:$H$17,MONTH(Z$5))),INDEX('年度季节曲线'!$H$6:$H$17,MONTH(Z$5))))</x:f>
        <x:v>1.049733837226385</x:v>
      </x:c>
      <x:c r="AA10" s="49" t="n">
        <x:f>IF('核心假设'!$B$42="无季节性",1,IF('核心假设'!$B$42="旺季下调10%",IF(INDEX('年度季节曲线'!$H$6:$H$17,MONTH(AA$5))&gt;1,INDEX('年度季节曲线'!$H$6:$H$17,MONTH(AA$5))*(1-10%),INDEX('年度季节曲线'!$H$6:$H$17,MONTH(AA$5))),INDEX('年度季节曲线'!$H$6:$H$17,MONTH(AA$5))))</x:f>
        <x:v>0.9886126219215644</x:v>
      </x:c>
      <x:c r="AB10" s="49" t="n">
        <x:f>IF('核心假设'!$B$42="无季节性",1,IF('核心假设'!$B$42="旺季下调10%",IF(INDEX('年度季节曲线'!$H$6:$H$17,MONTH(AB$5))&gt;1,INDEX('年度季节曲线'!$H$6:$H$17,MONTH(AB$5))*(1-10%),INDEX('年度季节曲线'!$H$6:$H$17,MONTH(AB$5))),INDEX('年度季节曲线'!$H$6:$H$17,MONTH(AB$5))))</x:f>
        <x:v>1.0421140108726137</x:v>
      </x:c>
      <x:c r="AC10" s="49" t="n">
        <x:f>IF('核心假设'!$B$42="无季节性",1,IF('核心假设'!$B$42="旺季下调10%",IF(INDEX('年度季节曲线'!$H$6:$H$17,MONTH(AC$5))&gt;1,INDEX('年度季节曲线'!$H$6:$H$17,MONTH(AC$5))*(1-10%),INDEX('年度季节曲线'!$H$6:$H$17,MONTH(AC$5))),INDEX('年度季节曲线'!$H$6:$H$17,MONTH(AC$5))))</x:f>
        <x:v>1.115583122663427</x:v>
      </x:c>
      <x:c r="AD10" s="49" t="n">
        <x:f>IF('核心假设'!$B$42="无季节性",1,IF('核心假设'!$B$42="旺季下调10%",IF(INDEX('年度季节曲线'!$H$6:$H$17,MONTH(AD$5))&gt;1,INDEX('年度季节曲线'!$H$6:$H$17,MONTH(AD$5))*(1-10%),INDEX('年度季节曲线'!$H$6:$H$17,MONTH(AD$5))),INDEX('年度季节曲线'!$H$6:$H$17,MONTH(AD$5))))</x:f>
        <x:v>1.0179910013616738</x:v>
      </x:c>
      <x:c r="AE10" s="49" t="n">
        <x:f>IF('核心假设'!$B$42="无季节性",1,IF('核心假设'!$B$42="旺季下调10%",IF(INDEX('年度季节曲线'!$H$6:$H$17,MONTH(AE$5))&gt;1,INDEX('年度季节曲线'!$H$6:$H$17,MONTH(AE$5))*(1-10%),INDEX('年度季节曲线'!$H$6:$H$17,MONTH(AE$5))),INDEX('年度季节曲线'!$H$6:$H$17,MONTH(AE$5))))</x:f>
        <x:v>0.921897196481958</x:v>
      </x:c>
      <x:c r="AF10" s="49" t="n">
        <x:f>IF('核心假设'!$B$42="无季节性",1,IF('核心假设'!$B$42="旺季下调10%",IF(INDEX('年度季节曲线'!$H$6:$H$17,MONTH(AF$5))&gt;1,INDEX('年度季节曲线'!$H$6:$H$17,MONTH(AF$5))*(1-10%),INDEX('年度季节曲线'!$H$6:$H$17,MONTH(AF$5))),INDEX('年度季节曲线'!$H$6:$H$17,MONTH(AF$5))))</x:f>
        <x:v>0.8780741811750981</x:v>
      </x:c>
      <x:c r="AG10" s="49" t="n">
        <x:f>IF('核心假设'!$B$42="无季节性",1,IF('核心假设'!$B$42="旺季下调10%",IF(INDEX('年度季节曲线'!$H$6:$H$17,MONTH(AG$5))&gt;1,INDEX('年度季节曲线'!$H$6:$H$17,MONTH(AG$5))*(1-10%),INDEX('年度季节曲线'!$H$6:$H$17,MONTH(AG$5))),INDEX('年度季节曲线'!$H$6:$H$17,MONTH(AG$5))))</x:f>
        <x:v>0.9190556786848783</x:v>
      </x:c>
      <x:c r="AH10" s="49" t="n">
        <x:f>IF('核心假设'!$B$42="无季节性",1,IF('核心假设'!$B$42="旺季下调10%",IF(INDEX('年度季节曲线'!$H$6:$H$17,MONTH(AH$5))&gt;1,INDEX('年度季节曲线'!$H$6:$H$17,MONTH(AH$5))*(1-10%),INDEX('年度季节曲线'!$H$6:$H$17,MONTH(AH$5))),INDEX('年度季节曲线'!$H$6:$H$17,MONTH(AH$5))))</x:f>
        <x:v>0.9128441431116979</x:v>
      </x:c>
      <x:c r="AI10" s="49" t="n">
        <x:f>IF('核心假设'!$B$42="无季节性",1,IF('核心假设'!$B$42="旺季下调10%",IF(INDEX('年度季节曲线'!$H$6:$H$17,MONTH(AI$5))&gt;1,INDEX('年度季节曲线'!$H$6:$H$17,MONTH(AI$5))*(1-10%),INDEX('年度季节曲线'!$H$6:$H$17,MONTH(AI$5))),INDEX('年度季节曲线'!$H$6:$H$17,MONTH(AI$5))))</x:f>
        <x:v>1.0145539709156521</x:v>
      </x:c>
      <x:c r="AJ10" s="49" t="n">
        <x:f>IF('核心假设'!$B$42="无季节性",1,IF('核心假设'!$B$42="旺季下调10%",IF(INDEX('年度季节曲线'!$H$6:$H$17,MONTH(AJ$5))&gt;1,INDEX('年度季节曲线'!$H$6:$H$17,MONTH(AJ$5))*(1-10%),INDEX('年度季节曲线'!$H$6:$H$17,MONTH(AJ$5))),INDEX('年度季节曲线'!$H$6:$H$17,MONTH(AJ$5))))</x:f>
        <x:v>1.0514553424342976</x:v>
      </x:c>
      <x:c r="AK10" s="49" t="n">
        <x:f>IF('核心假设'!$B$42="无季节性",1,IF('核心假设'!$B$42="旺季下调10%",IF(INDEX('年度季节曲线'!$H$6:$H$17,MONTH(AK$5))&gt;1,INDEX('年度季节曲线'!$H$6:$H$17,MONTH(AK$5))*(1-10%),INDEX('年度季节曲线'!$H$6:$H$17,MONTH(AK$5))),INDEX('年度季节曲线'!$H$6:$H$17,MONTH(AK$5))))</x:f>
        <x:v>1.0880848931507552</x:v>
      </x:c>
      <x:c r="AL10" s="91" t="n">
        <x:f>IF('核心假设'!$B$42="无季节性",1,IF('核心假设'!$B$42="旺季下调10%",IF(INDEX('年度季节曲线'!$H$6:$H$17,MONTH(AL$5))&gt;1,INDEX('年度季节曲线'!$H$6:$H$17,MONTH(AL$5))*(1-10%),INDEX('年度季节曲线'!$H$6:$H$17,MONTH(AL$5))),INDEX('年度季节曲线'!$H$6:$H$17,MONTH(AL$5))))</x:f>
        <x:v>1.049733837226385</x:v>
      </x:c>
      <x:c r="AM10" s="91" t="n">
        <x:f>IF('核心假设'!$B$42="无季节性",1,IF('核心假设'!$B$42="旺季下调10%",IF(INDEX('年度季节曲线'!$H$6:$H$17,MONTH(AM$5))&gt;1,INDEX('年度季节曲线'!$H$6:$H$17,MONTH(AM$5))*(1-10%),INDEX('年度季节曲线'!$H$6:$H$17,MONTH(AM$5))),INDEX('年度季节曲线'!$H$6:$H$17,MONTH(AM$5))))</x:f>
        <x:v>0.9886126219215644</x:v>
      </x:c>
      <x:c r="AN10" s="91" t="n">
        <x:f>IF('核心假设'!$B$42="无季节性",1,IF('核心假设'!$B$42="旺季下调10%",IF(INDEX('年度季节曲线'!$H$6:$H$17,MONTH(AN$5))&gt;1,INDEX('年度季节曲线'!$H$6:$H$17,MONTH(AN$5))*(1-10%),INDEX('年度季节曲线'!$H$6:$H$17,MONTH(AN$5))),INDEX('年度季节曲线'!$H$6:$H$17,MONTH(AN$5))))</x:f>
        <x:v>1.0421140108726137</x:v>
      </x:c>
      <x:c r="AO10" s="91" t="n">
        <x:f>IF('核心假设'!$B$42="无季节性",1,IF('核心假设'!$B$42="旺季下调10%",IF(INDEX('年度季节曲线'!$H$6:$H$17,MONTH(AO$5))&gt;1,INDEX('年度季节曲线'!$H$6:$H$17,MONTH(AO$5))*(1-10%),INDEX('年度季节曲线'!$H$6:$H$17,MONTH(AO$5))),INDEX('年度季节曲线'!$H$6:$H$17,MONTH(AO$5))))</x:f>
        <x:v>1.115583122663427</x:v>
      </x:c>
      <x:c r="AP10" s="91" t="n">
        <x:f>IF('核心假设'!$B$42="无季节性",1,IF('核心假设'!$B$42="旺季下调10%",IF(INDEX('年度季节曲线'!$H$6:$H$17,MONTH(AP$5))&gt;1,INDEX('年度季节曲线'!$H$6:$H$17,MONTH(AP$5))*(1-10%),INDEX('年度季节曲线'!$H$6:$H$17,MONTH(AP$5))),INDEX('年度季节曲线'!$H$6:$H$17,MONTH(AP$5))))</x:f>
        <x:v>1.0179910013616738</x:v>
      </x:c>
      <x:c r="AQ10" s="91" t="n">
        <x:f>IF('核心假设'!$B$42="无季节性",1,IF('核心假设'!$B$42="旺季下调10%",IF(INDEX('年度季节曲线'!$H$6:$H$17,MONTH(AQ$5))&gt;1,INDEX('年度季节曲线'!$H$6:$H$17,MONTH(AQ$5))*(1-10%),INDEX('年度季节曲线'!$H$6:$H$17,MONTH(AQ$5))),INDEX('年度季节曲线'!$H$6:$H$17,MONTH(AQ$5))))</x:f>
        <x:v>0.921897196481958</x:v>
      </x:c>
      <x:c r="AR10" s="91" t="n">
        <x:f>IF('核心假设'!$B$42="无季节性",1,IF('核心假设'!$B$42="旺季下调10%",IF(INDEX('年度季节曲线'!$H$6:$H$17,MONTH(AR$5))&gt;1,INDEX('年度季节曲线'!$H$6:$H$17,MONTH(AR$5))*(1-10%),INDEX('年度季节曲线'!$H$6:$H$17,MONTH(AR$5))),INDEX('年度季节曲线'!$H$6:$H$17,MONTH(AR$5))))</x:f>
        <x:v>0.8780741811750981</x:v>
      </x:c>
      <x:c r="AS10" s="91" t="n">
        <x:f>IF('核心假设'!$B$42="无季节性",1,IF('核心假设'!$B$42="旺季下调10%",IF(INDEX('年度季节曲线'!$H$6:$H$17,MONTH(AS$5))&gt;1,INDEX('年度季节曲线'!$H$6:$H$17,MONTH(AS$5))*(1-10%),INDEX('年度季节曲线'!$H$6:$H$17,MONTH(AS$5))),INDEX('年度季节曲线'!$H$6:$H$17,MONTH(AS$5))))</x:f>
        <x:v>0.9190556786848783</x:v>
      </x:c>
      <x:c r="AT10" s="91" t="n">
        <x:f>IF('核心假设'!$B$42="无季节性",1,IF('核心假设'!$B$42="旺季下调10%",IF(INDEX('年度季节曲线'!$H$6:$H$17,MONTH(AT$5))&gt;1,INDEX('年度季节曲线'!$H$6:$H$17,MONTH(AT$5))*(1-10%),INDEX('年度季节曲线'!$H$6:$H$17,MONTH(AT$5))),INDEX('年度季节曲线'!$H$6:$H$17,MONTH(AT$5))))</x:f>
        <x:v>0.9128441431116979</x:v>
      </x:c>
      <x:c r="AU10" s="91" t="n">
        <x:f>IF('核心假设'!$B$42="无季节性",1,IF('核心假设'!$B$42="旺季下调10%",IF(INDEX('年度季节曲线'!$H$6:$H$17,MONTH(AU$5))&gt;1,INDEX('年度季节曲线'!$H$6:$H$17,MONTH(AU$5))*(1-10%),INDEX('年度季节曲线'!$H$6:$H$17,MONTH(AU$5))),INDEX('年度季节曲线'!$H$6:$H$17,MONTH(AU$5))))</x:f>
        <x:v>1.0145539709156521</x:v>
      </x:c>
      <x:c r="AV10" s="91" t="n">
        <x:f>IF('核心假设'!$B$42="无季节性",1,IF('核心假设'!$B$42="旺季下调10%",IF(INDEX('年度季节曲线'!$H$6:$H$17,MONTH(AV$5))&gt;1,INDEX('年度季节曲线'!$H$6:$H$17,MONTH(AV$5))*(1-10%),INDEX('年度季节曲线'!$H$6:$H$17,MONTH(AV$5))),INDEX('年度季节曲线'!$H$6:$H$17,MONTH(AV$5))))</x:f>
        <x:v>1.0514553424342976</x:v>
      </x:c>
      <x:c r="AW10" s="91" t="n">
        <x:f>IF('核心假设'!$B$42="无季节性",1,IF('核心假设'!$B$42="旺季下调10%",IF(INDEX('年度季节曲线'!$H$6:$H$17,MONTH(AW$5))&gt;1,INDEX('年度季节曲线'!$H$6:$H$17,MONTH(AW$5))*(1-10%),INDEX('年度季节曲线'!$H$6:$H$17,MONTH(AW$5))),INDEX('年度季节曲线'!$H$6:$H$17,MONTH(AW$5))))</x:f>
        <x:v>1.0880848931507552</x:v>
      </x:c>
      <x:c r="AX10" s="91" t="n">
        <x:f>IF('核心假设'!$B$42="无季节性",1,IF('核心假设'!$B$42="旺季下调10%",IF(INDEX('年度季节曲线'!$H$6:$H$17,MONTH(AX$5))&gt;1,INDEX('年度季节曲线'!$H$6:$H$17,MONTH(AX$5))*(1-10%),INDEX('年度季节曲线'!$H$6:$H$17,MONTH(AX$5))),INDEX('年度季节曲线'!$H$6:$H$17,MONTH(AX$5))))</x:f>
        <x:v>1.049733837226385</x:v>
      </x:c>
      <x:c r="AY10" s="91" t="n">
        <x:f>IF('核心假设'!$B$42="无季节性",1,IF('核心假设'!$B$42="旺季下调10%",IF(INDEX('年度季节曲线'!$H$6:$H$17,MONTH(AY$5))&gt;1,INDEX('年度季节曲线'!$H$6:$H$17,MONTH(AY$5))*(1-10%),INDEX('年度季节曲线'!$H$6:$H$17,MONTH(AY$5))),INDEX('年度季节曲线'!$H$6:$H$17,MONTH(AY$5))))</x:f>
        <x:v>0.9886126219215644</x:v>
      </x:c>
      <x:c r="AZ10" s="91" t="n">
        <x:f>IF('核心假设'!$B$42="无季节性",1,IF('核心假设'!$B$42="旺季下调10%",IF(INDEX('年度季节曲线'!$H$6:$H$17,MONTH(AZ$5))&gt;1,INDEX('年度季节曲线'!$H$6:$H$17,MONTH(AZ$5))*(1-10%),INDEX('年度季节曲线'!$H$6:$H$17,MONTH(AZ$5))),INDEX('年度季节曲线'!$H$6:$H$17,MONTH(AZ$5))))</x:f>
        <x:v>1.0421140108726137</x:v>
      </x:c>
      <x:c r="BA10" s="91" t="n">
        <x:f>IF('核心假设'!$B$42="无季节性",1,IF('核心假设'!$B$42="旺季下调10%",IF(INDEX('年度季节曲线'!$H$6:$H$17,MONTH(BA$5))&gt;1,INDEX('年度季节曲线'!$H$6:$H$17,MONTH(BA$5))*(1-10%),INDEX('年度季节曲线'!$H$6:$H$17,MONTH(BA$5))),INDEX('年度季节曲线'!$H$6:$H$17,MONTH(BA$5))))</x:f>
        <x:v>1.115583122663427</x:v>
      </x:c>
      <x:c r="BB10" s="91" t="n">
        <x:f>IF('核心假设'!$B$42="无季节性",1,IF('核心假设'!$B$42="旺季下调10%",IF(INDEX('年度季节曲线'!$H$6:$H$17,MONTH(BB$5))&gt;1,INDEX('年度季节曲线'!$H$6:$H$17,MONTH(BB$5))*(1-10%),INDEX('年度季节曲线'!$H$6:$H$17,MONTH(BB$5))),INDEX('年度季节曲线'!$H$6:$H$17,MONTH(BB$5))))</x:f>
        <x:v>1.0179910013616738</x:v>
      </x:c>
      <x:c r="BC10" s="91" t="n">
        <x:f>IF('核心假设'!$B$42="无季节性",1,IF('核心假设'!$B$42="旺季下调10%",IF(INDEX('年度季节曲线'!$H$6:$H$17,MONTH(BC$5))&gt;1,INDEX('年度季节曲线'!$H$6:$H$17,MONTH(BC$5))*(1-10%),INDEX('年度季节曲线'!$H$6:$H$17,MONTH(BC$5))),INDEX('年度季节曲线'!$H$6:$H$17,MONTH(BC$5))))</x:f>
        <x:v>0.921897196481958</x:v>
      </x:c>
      <x:c r="BD10" s="91" t="n">
        <x:f>IF('核心假设'!$B$42="无季节性",1,IF('核心假设'!$B$42="旺季下调10%",IF(INDEX('年度季节曲线'!$H$6:$H$17,MONTH(BD$5))&gt;1,INDEX('年度季节曲线'!$H$6:$H$17,MONTH(BD$5))*(1-10%),INDEX('年度季节曲线'!$H$6:$H$17,MONTH(BD$5))),INDEX('年度季节曲线'!$H$6:$H$17,MONTH(BD$5))))</x:f>
        <x:v>0.8780741811750981</x:v>
      </x:c>
      <x:c r="BE10" s="91" t="n">
        <x:f>IF('核心假设'!$B$42="无季节性",1,IF('核心假设'!$B$42="旺季下调10%",IF(INDEX('年度季节曲线'!$H$6:$H$17,MONTH(BE$5))&gt;1,INDEX('年度季节曲线'!$H$6:$H$17,MONTH(BE$5))*(1-10%),INDEX('年度季节曲线'!$H$6:$H$17,MONTH(BE$5))),INDEX('年度季节曲线'!$H$6:$H$17,MONTH(BE$5))))</x:f>
        <x:v>0.9190556786848783</x:v>
      </x:c>
      <x:c r="BF10" s="91" t="n">
        <x:f>IF('核心假设'!$B$42="无季节性",1,IF('核心假设'!$B$42="旺季下调10%",IF(INDEX('年度季节曲线'!$H$6:$H$17,MONTH(BF$5))&gt;1,INDEX('年度季节曲线'!$H$6:$H$17,MONTH(BF$5))*(1-10%),INDEX('年度季节曲线'!$H$6:$H$17,MONTH(BF$5))),INDEX('年度季节曲线'!$H$6:$H$17,MONTH(BF$5))))</x:f>
        <x:v>0.9128441431116979</x:v>
      </x:c>
      <x:c r="BG10" s="91" t="n">
        <x:f>IF('核心假设'!$B$42="无季节性",1,IF('核心假设'!$B$42="旺季下调10%",IF(INDEX('年度季节曲线'!$H$6:$H$17,MONTH(BG$5))&gt;1,INDEX('年度季节曲线'!$H$6:$H$17,MONTH(BG$5))*(1-10%),INDEX('年度季节曲线'!$H$6:$H$17,MONTH(BG$5))),INDEX('年度季节曲线'!$H$6:$H$17,MONTH(BG$5))))</x:f>
        <x:v>1.0145539709156521</x:v>
      </x:c>
      <x:c r="BH10" s="91" t="n">
        <x:f>IF('核心假设'!$B$42="无季节性",1,IF('核心假设'!$B$42="旺季下调10%",IF(INDEX('年度季节曲线'!$H$6:$H$17,MONTH(BH$5))&gt;1,INDEX('年度季节曲线'!$H$6:$H$17,MONTH(BH$5))*(1-10%),INDEX('年度季节曲线'!$H$6:$H$17,MONTH(BH$5))),INDEX('年度季节曲线'!$H$6:$H$17,MONTH(BH$5))))</x:f>
        <x:v>1.0514553424342976</x:v>
      </x:c>
      <x:c r="BI10" s="91" t="n">
        <x:f>IF('核心假设'!$B$42="无季节性",1,IF('核心假设'!$B$42="旺季下调10%",IF(INDEX('年度季节曲线'!$H$6:$H$17,MONTH(BI$5))&gt;1,INDEX('年度季节曲线'!$H$6:$H$17,MONTH(BI$5))*(1-10%),INDEX('年度季节曲线'!$H$6:$H$17,MONTH(BI$5))),INDEX('年度季节曲线'!$H$6:$H$17,MONTH(BI$5))))</x:f>
        <x:v>1.0880848931507552</x:v>
      </x:c>
    </x:row>
    <x:row r="11">
      <x:c r="A11" s="85" t="str">
        <x:v>加权爬坡</x:v>
      </x:c>
      <x:c r="B11" s="49" t="n">
        <x:f>IF(B8=0,0,('月度投放计划'!$J$5*INDEX('核心假设'!$B$60:$G$60,1,1))/B8)</x:f>
        <x:v>0.6</x:v>
      </x:c>
      <x:c r="C11" s="49" t="n">
        <x:f>IF(C8=0,0,('月度投放计划'!$J$5*INDEX('核心假设'!$B$60:$G$60,1,2)+'月度投放计划'!$K$5*INDEX('核心假设'!$B$60:$G$60,1,1))/C8)</x:f>
        <x:v>0.6681818181818182</x:v>
      </x:c>
      <x:c r="D11" s="49" t="n">
        <x:f>IF(D8=0,0,('月度投放计划'!$J$5*INDEX('核心假设'!$B$60:$G$60,1,3)+'月度投放计划'!$K$5*INDEX('核心假设'!$B$60:$G$60,1,2)+'月度投放计划'!$L$5*INDEX('核心假设'!$B$60:$G$60,1,1))/D8)</x:f>
        <x:v>0.7194444444444444</x:v>
      </x:c>
      <x:c r="E11" s="49" t="n">
        <x:f>IF(E8=0,0,('月度投放计划'!$J$5*INDEX('核心假设'!$B$60:$G$60,1,4)+'月度投放计划'!$K$5*INDEX('核心假设'!$B$60:$G$60,1,3)+'月度投放计划'!$L$5*INDEX('核心假设'!$B$60:$G$60,1,2)+'月度投放计划'!$M$5*INDEX('核心假设'!$B$60:$G$60,1,1))/E8)</x:f>
        <x:v>0.7596153846153846</x:v>
      </x:c>
      <x:c r="F11" s="49" t="n">
        <x:f>IF(F8=0,0,('月度投放计划'!$J$5*INDEX('核心假设'!$B$60:$G$60,1,5)+'月度投放计划'!$K$5*INDEX('核心假设'!$B$60:$G$60,1,4)+'月度投放计划'!$L$5*INDEX('核心假设'!$B$60:$G$60,1,3)+'月度投放计划'!$M$5*INDEX('核心假设'!$B$60:$G$60,1,2)+'月度投放计划'!$N$5*INDEX('核心假设'!$B$60:$G$60,1,1))/F8)</x:f>
        <x:v>0.792</x:v>
      </x:c>
      <x:c r="G11" s="49" t="n">
        <x:f>IF(G8=0,0,('月度投放计划'!$J$5*INDEX('核心假设'!$B$60:$G$60,1,6)+'月度投放计划'!$K$5*INDEX('核心假设'!$B$60:$G$60,1,5)+'月度投放计划'!$L$5*INDEX('核心假设'!$B$60:$G$60,1,4)+'月度投放计划'!$M$5*INDEX('核心假设'!$B$60:$G$60,1,3)+'月度投放计划'!$N$5*INDEX('核心假设'!$B$60:$G$60,1,2)+'月度投放计划'!$O$5*INDEX('核心假设'!$B$60:$G$60,1,1))/G8)</x:f>
        <x:v>0.818</x:v>
      </x:c>
      <x:c r="H11" s="49" t="n">
        <x:f>IF(H8=0,0,('月度投放计划'!$J$5*INDEX('核心假设'!$B$60:$G$60,1,6)+'月度投放计划'!$K$5*INDEX('核心假设'!$B$60:$G$60,1,6)+'月度投放计划'!$L$5*INDEX('核心假设'!$B$60:$G$60,1,5)+'月度投放计划'!$M$5*INDEX('核心假设'!$B$60:$G$60,1,4)+'月度投放计划'!$N$5*INDEX('核心假设'!$B$60:$G$60,1,3)+'月度投放计划'!$O$5*INDEX('核心假设'!$B$60:$G$60,1,2)+'月度投放计划'!$P$5*INDEX('核心假设'!$B$60:$G$60,1,1))/H8)</x:f>
        <x:v>0.8375</x:v>
      </x:c>
      <x:c r="I11" s="49" t="n">
        <x:f>IF(I8=0,0,('月度投放计划'!$J$5*INDEX('核心假设'!$B$60:$G$60,1,6)+'月度投放计划'!$K$5*INDEX('核心假设'!$B$60:$G$60,1,6)+'月度投放计划'!$L$5*INDEX('核心假设'!$B$60:$G$60,1,6)+'月度投放计划'!$M$5*INDEX('核心假设'!$B$60:$G$60,1,5)+'月度投放计划'!$N$5*INDEX('核心假设'!$B$60:$G$60,1,4)+'月度投放计划'!$O$5*INDEX('核心假设'!$B$60:$G$60,1,3)+'月度投放计划'!$P$5*INDEX('核心假设'!$B$60:$G$60,1,2)+'月度投放计划'!$Q$5*INDEX('核心假设'!$B$60:$G$60,1,1))/I8)</x:f>
        <x:v>0.8565671641791045</x:v>
      </x:c>
      <x:c r="J11" s="49" t="n">
        <x:f>IF(J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$60,1,5)+'月度投放计划'!$O$5*INDEX('核心假设'!$B$60:$G$60,1,4)+'月度投放计划'!$P$5*INDEX('核心假设'!$B$60:$G$60,1,3)+'月度投放计划'!$Q$5*INDEX('核心假设'!$B$60:$G$60,1,2)+'月度投放计划'!$R$5*INDEX('核心假设'!$B$60:$G$60,1,1))/J8)</x:f>
        <x:v>0.877012987012987</x:v>
      </x:c>
      <x:c r="K11" s="49" t="n">
        <x:f>IF(K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$60,1,5)+'月度投放计划'!$P$5*INDEX('核心假设'!$B$60:$G$60,1,4)+'月度投放计划'!$Q$5*INDEX('核心假设'!$B$60:$G$60,1,3)+'月度投放计划'!$R$5*INDEX('核心假设'!$B$60:$G$60,1,2)+'月度投放计划'!$S$5*INDEX('核心假设'!$B$60:$G$60,1,1))/K8)</x:f>
        <x:v>0.8961627906976745</x:v>
      </x:c>
      <x:c r="L11" s="49" t="n">
        <x:f>IF(L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$60,1,5)+'月度投放计划'!$Q$5*INDEX('核心假设'!$B$60:$G$60,1,4)+'月度投放计划'!$R$5*INDEX('核心假设'!$B$60:$G$60,1,3)+'月度投放计划'!$S$5*INDEX('核心假设'!$B$60:$G$60,1,2)+'月度投放计划'!$T$5*INDEX('核心假设'!$B$60:$G$60,1,1))/L8)</x:f>
        <x:v>0.9131914893617021</x:v>
      </x:c>
      <x:c r="M11" s="49" t="n">
        <x:f>IF(M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$60,1,5)+'月度投放计划'!$R$5*INDEX('核心假设'!$B$60:$G$60,1,4)+'月度投放计划'!$S$5*INDEX('核心假设'!$B$60:$G$60,1,3)+'月度投放计划'!$T$5*INDEX('核心假设'!$B$60:$G$60,1,2)+'月度投放计划'!$U$5*INDEX('核心假设'!$B$60:$G$60,1,1))/M8)</x:f>
        <x:v>0.9312</x:v>
      </x:c>
      <x:c r="N11" s="49" t="n">
        <x:f>IF(N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$60,1,5)+'月度投放计划'!$S$5*INDEX('核心假设'!$B$60:$G$60,1,4)+'月度投放计划'!$T$5*INDEX('核心假设'!$B$60:$G$60,1,3)+'月度投放计划'!$U$5*INDEX('核心假设'!$B$60:$G$60,1,2))/N8)</x:f>
        <x:v>0.9628</x:v>
      </x:c>
      <x:c r="O11" s="49" t="n">
        <x:f>IF(O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$60,1,5)+'月度投放计划'!$T$5*INDEX('核心假设'!$B$60:$G$60,1,4)+'月度投放计划'!$U$5*INDEX('核心假设'!$B$60:$G$60,1,3))/O8)</x:f>
        <x:v>0.9819</x:v>
      </x:c>
      <x:c r="P11" s="49" t="n">
        <x:f>IF(P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$60,1,5)+'月度投放计划'!$U$5*INDEX('核心假设'!$B$60:$G$60,1,4))/P8)</x:f>
        <x:v>0.9928</x:v>
      </x:c>
      <x:c r="Q11" s="49" t="n">
        <x:f>IF(Q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$60,1,5))/Q8)</x:f>
        <x:v>0.9982</x:v>
      </x:c>
      <x:c r="R11" s="49" t="n">
        <x:f>IF(R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R8)</x:f>
        <x:v>1</x:v>
      </x:c>
      <x:c r="S11" s="49" t="n">
        <x:f>IF(S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S8)</x:f>
        <x:v>1</x:v>
      </x:c>
      <x:c r="T11" s="49" t="n">
        <x:f>IF(T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T8)</x:f>
        <x:v>1</x:v>
      </x:c>
      <x:c r="U11" s="49" t="n">
        <x:f>IF(U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U8)</x:f>
        <x:v>1</x:v>
      </x:c>
      <x:c r="V11" s="49" t="n">
        <x:f>IF(V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V8)</x:f>
        <x:v>1</x:v>
      </x:c>
      <x:c r="W11" s="49" t="n">
        <x:f>IF(W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W8)</x:f>
        <x:v>1</x:v>
      </x:c>
      <x:c r="X11" s="49" t="n">
        <x:f>IF(X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X8)</x:f>
        <x:v>1</x:v>
      </x:c>
      <x:c r="Y11" s="49" t="n">
        <x:f>IF(Y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Y8)</x:f>
        <x:v>1</x:v>
      </x:c>
      <x:c r="Z11" s="49" t="n">
        <x:f>IF(Z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Z8)</x:f>
        <x:v>1</x:v>
      </x:c>
      <x:c r="AA11" s="49" t="n">
        <x:f>IF(AA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A8)</x:f>
        <x:v>1</x:v>
      </x:c>
      <x:c r="AB11" s="49" t="n">
        <x:f>IF(AB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B8)</x:f>
        <x:v>1</x:v>
      </x:c>
      <x:c r="AC11" s="49" t="n">
        <x:f>IF(AC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C8)</x:f>
        <x:v>1</x:v>
      </x:c>
      <x:c r="AD11" s="49" t="n">
        <x:f>IF(AD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D8)</x:f>
        <x:v>1</x:v>
      </x:c>
      <x:c r="AE11" s="49" t="n">
        <x:f>IF(AE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E8)</x:f>
        <x:v>1</x:v>
      </x:c>
      <x:c r="AF11" s="49" t="n">
        <x:f>IF(AF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F8)</x:f>
        <x:v>1</x:v>
      </x:c>
      <x:c r="AG11" s="49" t="n">
        <x:f>IF(AG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G8)</x:f>
        <x:v>1</x:v>
      </x:c>
      <x:c r="AH11" s="49" t="n">
        <x:f>IF(AH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H8)</x:f>
        <x:v>1</x:v>
      </x:c>
      <x:c r="AI11" s="49" t="n">
        <x:f>IF(AI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I8)</x:f>
        <x:v>1</x:v>
      </x:c>
      <x:c r="AJ11" s="49" t="n">
        <x:f>IF(AJ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J8)</x:f>
        <x:v>1</x:v>
      </x:c>
      <x:c r="AK11" s="49" t="n">
        <x:f>IF(AK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K8)</x:f>
        <x:v>1</x:v>
      </x:c>
      <x:c r="AL11" s="91" t="n">
        <x:f>IF(AL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L8)</x:f>
        <x:v>1</x:v>
      </x:c>
      <x:c r="AM11" s="91" t="n">
        <x:f>IF(AM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M8)</x:f>
        <x:v>1</x:v>
      </x:c>
      <x:c r="AN11" s="91" t="n">
        <x:f>IF(AN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N8)</x:f>
        <x:v>1</x:v>
      </x:c>
      <x:c r="AO11" s="91" t="n">
        <x:f>IF(AO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O8)</x:f>
        <x:v>1</x:v>
      </x:c>
      <x:c r="AP11" s="91" t="n">
        <x:f>IF(AP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P8)</x:f>
        <x:v>1</x:v>
      </x:c>
      <x:c r="AQ11" s="91" t="n">
        <x:f>IF(AQ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Q8)</x:f>
        <x:v>1</x:v>
      </x:c>
      <x:c r="AR11" s="91" t="n">
        <x:f>IF(AR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R8)</x:f>
        <x:v>1</x:v>
      </x:c>
      <x:c r="AS11" s="91" t="n">
        <x:f>IF(AS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S8)</x:f>
        <x:v>1</x:v>
      </x:c>
      <x:c r="AT11" s="91" t="n">
        <x:f>IF(AT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T8)</x:f>
        <x:v>1</x:v>
      </x:c>
      <x:c r="AU11" s="91" t="n">
        <x:f>IF(AU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U8)</x:f>
        <x:v>1</x:v>
      </x:c>
      <x:c r="AV11" s="91" t="n">
        <x:f>IF(AV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V8)</x:f>
        <x:v>1</x:v>
      </x:c>
      <x:c r="AW11" s="91" t="n">
        <x:f>IF(AW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W8)</x:f>
        <x:v>1</x:v>
      </x:c>
      <x:c r="AX11" s="91" t="n">
        <x:f>IF(AX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X8)</x:f>
        <x:v>1</x:v>
      </x:c>
      <x:c r="AY11" s="91" t="n">
        <x:f>IF(AY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Y8)</x:f>
        <x:v>1</x:v>
      </x:c>
      <x:c r="AZ11" s="91" t="n">
        <x:f>IF(AZ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AZ8)</x:f>
        <x:v>1</x:v>
      </x:c>
      <x:c r="BA11" s="91" t="n">
        <x:f>IF(BA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BA8)</x:f>
        <x:v>1</x:v>
      </x:c>
      <x:c r="BB11" s="91" t="n">
        <x:f>IF(BB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BB8)</x:f>
        <x:v>1</x:v>
      </x:c>
      <x:c r="BC11" s="91" t="n">
        <x:f>IF(BC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BC8)</x:f>
        <x:v>1</x:v>
      </x:c>
      <x:c r="BD11" s="91" t="n">
        <x:f>IF(BD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BD8)</x:f>
        <x:v>1</x:v>
      </x:c>
      <x:c r="BE11" s="91" t="n">
        <x:f>IF(BE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BE8)</x:f>
        <x:v>1</x:v>
      </x:c>
      <x:c r="BF11" s="91" t="n">
        <x:f>IF(BF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BF8)</x:f>
        <x:v>1</x:v>
      </x:c>
      <x:c r="BG11" s="91" t="n">
        <x:f>IF(BG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BG8)</x:f>
        <x:v>1</x:v>
      </x:c>
      <x:c r="BH11" s="91" t="n">
        <x:f>IF(BH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BH8)</x:f>
        <x:v>1</x:v>
      </x:c>
      <x:c r="BI11" s="91" t="n">
        <x:f>IF(BI8=0,0,('月度投放计划'!$J$5*INDEX('核心假设'!$B$60:$G$60,1,6)+'月度投放计划'!$K$5*INDEX('核心假设'!$B$60:$G$60,1,6)+'月度投放计划'!$L$5*INDEX('核心假设'!$B$60:$G$60,1,6)+'月度投放计划'!$M$5*INDEX('核心假设'!$B$60:$G$60,1,6)+'月度投放计划'!$N$5*INDEX('核心假设'!$B$60:$G$60,1,6)+'月度投放计划'!$O$5*INDEX('核心假设'!$B$60:$G$60,1,6)+'月度投放计划'!$P$5*INDEX('核心假设'!$B$60:$G$60,1,6)+'月度投放计划'!$Q$5*INDEX('核心假设'!$B$60:$G$60,1,6)+'月度投放计划'!$R$5*INDEX('核心假设'!$B$60:$G$60,1,6)+'月度投放计划'!$S$5*INDEX('核心假设'!$B$60:$G$60,1,6)+'月度投放计划'!$T$5*INDEX('核心假设'!$B$60:$G$60,1,6)+'月度投放计划'!$U$5*INDEX('核心假设'!$B$60:$G$60,1,6))/BI8)</x:f>
        <x:v>1</x:v>
      </x:c>
    </x:row>
    <x:row r="12">
      <x:c r="A12" s="85" t="str">
        <x:v>服务费收入</x:v>
      </x:c>
      <x:c r="B12" s="28" t="n">
        <x:f>B8*$B$23*DAY(EOMONTH(B$5,0))*B10*B11</x:f>
        <x:v>1638342.5297091946</x:v>
      </x:c>
      <x:c r="C12" s="28" t="n">
        <x:f>C8*$B$23*DAY(EOMONTH(C$5,0))*C10*C11</x:f>
        <x:v>3906233.3462973856</x:v>
      </x:c>
      <x:c r="D12" s="28" t="n">
        <x:f>D8*$B$23*DAY(EOMONTH(D$5,0))*D10*D11</x:f>
        <x:v>7020842.93285177</x:v>
      </x:c>
      <x:c r="E12" s="28" t="n">
        <x:f>E8*$B$23*DAY(EOMONTH(E$5,0))*E10*E11</x:f>
        <x:v>11844418.075962326</x:v>
      </x:c>
      <x:c r="F12" s="28" t="n">
        <x:f>F8*$B$23*DAY(EOMONTH(F$5,0))*F10*F11</x:f>
        <x:v>15169869.96581435</x:v>
      </x:c>
      <x:c r="G12" s="28" t="n">
        <x:f>G8*$B$23*DAY(EOMONTH(G$5,0))*G10*G11</x:f>
        <x:v>16477424.954601841</x:v>
      </x:c>
      <x:c r="H12" s="28" t="n">
        <x:f>H8*$B$23*DAY(EOMONTH(H$5,0))*H10*H11</x:f>
        <x:v>22138528.108812165</x:v>
      </x:c>
      <x:c r="I12" s="28" t="n">
        <x:f>I8*$B$23*DAY(EOMONTH(I$5,0))*I10*I11</x:f>
        <x:v>27439885.92620202</x:v>
      </x:c>
      <x:c r="J12" s="28" t="n">
        <x:f>J8*$B$23*DAY(EOMONTH(J$5,0))*J10*J11</x:f>
        <x:v>33138899.06570695</x:v>
      </x:c>
      <x:c r="K12" s="28" t="n">
        <x:f>K8*$B$23*DAY(EOMONTH(K$5,0))*K10*K11</x:f>
        <x:v>40678484.81288463</x:v>
      </x:c>
      <x:c r="L12" s="28" t="n">
        <x:f>L8*$B$23*DAY(EOMONTH(L$5,0))*L10*L11</x:f>
        <x:v>48520496.255549416</x:v>
      </x:c>
      <x:c r="M12" s="28" t="n">
        <x:f>M8*$B$23*DAY(EOMONTH(M$5,0))*M10*M11</x:f>
        <x:v>54469130.30685436</x:v>
      </x:c>
      <x:c r="N12" s="28" t="n">
        <x:f>N8*$B$23*DAY(EOMONTH(N$5,0))*N10*N11</x:f>
        <x:v>52579872.920133755</x:v>
      </x:c>
      <x:c r="O12" s="28" t="n">
        <x:f>O8*$B$23*DAY(EOMONTH(O$5,0))*O10*O11</x:f>
        <x:v>52184088.74461772</x:v>
      </x:c>
      <x:c r="P12" s="28" t="n">
        <x:f>P8*$B$23*DAY(EOMONTH(P$5,0))*P10*P11</x:f>
        <x:v>53824655.31841882</x:v>
      </x:c>
      <x:c r="Q12" s="28" t="n">
        <x:f>Q8*$B$23*DAY(EOMONTH(Q$5,0))*Q10*Q11</x:f>
        <x:v>59863787.96671186</x:v>
      </x:c>
      <x:c r="R12" s="28" t="n">
        <x:f>R8*$B$23*DAY(EOMONTH(R$5,0))*R10*R11</x:f>
        <x:v>54725360.62703589</x:v>
      </x:c>
      <x:c r="S12" s="28" t="n">
        <x:f>S8*$B$23*DAY(EOMONTH(S$5,0))*S10*S11</x:f>
        <x:v>46362141.856197216</x:v>
      </x:c>
      <x:c r="T12" s="28" t="n">
        <x:f>T8*$B$23*DAY(EOMONTH(T$5,0))*T10*T11</x:f>
        <x:v>47203684.6669769</x:v>
      </x:c>
      <x:c r="U12" s="28" t="n">
        <x:f>U8*$B$23*DAY(EOMONTH(U$5,0))*U10*U11</x:f>
        <x:v>47813009.10646806</x:v>
      </x:c>
      <x:c r="V12" s="28" t="n">
        <x:f>V8*$B$23*DAY(EOMONTH(V$5,0))*V10*V11</x:f>
        <x:v>49072855.124695614</x:v>
      </x:c>
      <x:c r="W12" s="28" t="n">
        <x:f>W8*$B$23*DAY(EOMONTH(W$5,0))*W10*W11</x:f>
        <x:v>52781218.13012149</x:v>
      </x:c>
      <x:c r="X12" s="28" t="n">
        <x:f>X8*$B$23*DAY(EOMONTH(X$5,0))*X10*X11</x:f>
        <x:v>56524343.26135766</x:v>
      </x:c>
      <x:c r="Y12" s="28" t="n">
        <x:f>Y8*$B$23*DAY(EOMONTH(Y$5,0))*Y10*Y11</x:f>
        <x:v>58493481.85873535</x:v>
      </x:c>
      <x:c r="Z12" s="28" t="n">
        <x:f>Z8*$B$23*DAY(EOMONTH(Z$5,0))*Z10*Z11</x:f>
        <x:v>54611417.65697315</x:v>
      </x:c>
      <x:c r="AA12" s="28" t="n">
        <x:f>AA8*$B$23*DAY(EOMONTH(AA$5,0))*AA10*AA11</x:f>
        <x:v>53146031.92241341</x:v>
      </x:c>
      <x:c r="AB12" s="28" t="n">
        <x:f>AB8*$B$23*DAY(EOMONTH(AB$5,0))*AB10*AB11</x:f>
        <x:v>54215003.34248471</x:v>
      </x:c>
      <x:c r="AC12" s="28" t="n">
        <x:f>AC8*$B$23*DAY(EOMONTH(AC$5,0))*AC10*AC11</x:f>
        <x:v>59971737.093480125</x:v>
      </x:c>
      <x:c r="AD12" s="28" t="n">
        <x:f>AD8*$B$23*DAY(EOMONTH(AD$5,0))*AD10*AD11</x:f>
        <x:v>54725360.62703589</x:v>
      </x:c>
      <x:c r="AE12" s="28" t="n">
        <x:f>AE8*$B$23*DAY(EOMONTH(AE$5,0))*AE10*AE11</x:f>
        <x:v>44763447.30943179</x:v>
      </x:c>
      <x:c r="AF12" s="28" t="n">
        <x:f>AF8*$B$23*DAY(EOMONTH(AF$5,0))*AF10*AF11</x:f>
        <x:v>47203684.6669769</x:v>
      </x:c>
      <x:c r="AG12" s="28" t="n">
        <x:f>AG8*$B$23*DAY(EOMONTH(AG$5,0))*AG10*AG11</x:f>
        <x:v>47813009.10646806</x:v>
      </x:c>
      <x:c r="AH12" s="28" t="n">
        <x:f>AH8*$B$23*DAY(EOMONTH(AH$5,0))*AH10*AH11</x:f>
        <x:v>49072855.124695614</x:v>
      </x:c>
      <x:c r="AI12" s="28" t="n">
        <x:f>AI8*$B$23*DAY(EOMONTH(AI$5,0))*AI10*AI11</x:f>
        <x:v>52781218.13012149</x:v>
      </x:c>
      <x:c r="AJ12" s="28" t="n">
        <x:f>AJ8*$B$23*DAY(EOMONTH(AJ$5,0))*AJ10*AJ11</x:f>
        <x:v>56524343.26135766</x:v>
      </x:c>
      <x:c r="AK12" s="28" t="n">
        <x:f>AK8*$B$23*DAY(EOMONTH(AK$5,0))*AK10*AK11</x:f>
        <x:v>58493481.85873535</x:v>
      </x:c>
      <x:c r="AL12" s="92" t="n">
        <x:f>AL8*$B$23*DAY(EOMONTH(AL$5,0))*AL10*AL11</x:f>
        <x:v>54611417.65697315</x:v>
      </x:c>
      <x:c r="AM12" s="92" t="n">
        <x:f>AM8*$B$23*DAY(EOMONTH(AM$5,0))*AM10*AM11</x:f>
        <x:v>53146031.92241341</x:v>
      </x:c>
      <x:c r="AN12" s="92" t="n">
        <x:f>AN8*$B$23*DAY(EOMONTH(AN$5,0))*AN10*AN11</x:f>
        <x:v>54215003.34248471</x:v>
      </x:c>
      <x:c r="AO12" s="92" t="n">
        <x:f>AO8*$B$23*DAY(EOMONTH(AO$5,0))*AO10*AO11</x:f>
        <x:v>59971737.093480125</x:v>
      </x:c>
      <x:c r="AP12" s="92" t="n">
        <x:f>AP8*$B$23*DAY(EOMONTH(AP$5,0))*AP10*AP11</x:f>
        <x:v>54725360.62703589</x:v>
      </x:c>
      <x:c r="AQ12" s="92" t="n">
        <x:f>AQ8*$B$23*DAY(EOMONTH(AQ$5,0))*AQ10*AQ11</x:f>
        <x:v>44763447.30943179</x:v>
      </x:c>
      <x:c r="AR12" s="92" t="n">
        <x:f>AR8*$B$23*DAY(EOMONTH(AR$5,0))*AR10*AR11</x:f>
        <x:v>47203684.6669769</x:v>
      </x:c>
      <x:c r="AS12" s="92" t="n">
        <x:f>AS8*$B$23*DAY(EOMONTH(AS$5,0))*AS10*AS11</x:f>
        <x:v>47813009.10646806</x:v>
      </x:c>
      <x:c r="AT12" s="92" t="n">
        <x:f>AT8*$B$23*DAY(EOMONTH(AT$5,0))*AT10*AT11</x:f>
        <x:v>49072855.124695614</x:v>
      </x:c>
      <x:c r="AU12" s="92" t="n">
        <x:f>AU8*$B$23*DAY(EOMONTH(AU$5,0))*AU10*AU11</x:f>
        <x:v>52781218.13012149</x:v>
      </x:c>
      <x:c r="AV12" s="92" t="n">
        <x:f>AV8*$B$23*DAY(EOMONTH(AV$5,0))*AV10*AV11</x:f>
        <x:v>56524343.26135766</x:v>
      </x:c>
      <x:c r="AW12" s="92" t="n">
        <x:f>AW8*$B$23*DAY(EOMONTH(AW$5,0))*AW10*AW11</x:f>
        <x:v>58493481.85873535</x:v>
      </x:c>
      <x:c r="AX12" s="92" t="n">
        <x:f>AX8*$B$23*DAY(EOMONTH(AX$5,0))*AX10*AX11</x:f>
        <x:v>54611417.65697315</x:v>
      </x:c>
      <x:c r="AY12" s="92" t="n">
        <x:f>AY8*$B$23*DAY(EOMONTH(AY$5,0))*AY10*AY11</x:f>
        <x:v>53146031.92241341</x:v>
      </x:c>
      <x:c r="AZ12" s="92" t="n">
        <x:f>AZ8*$B$23*DAY(EOMONTH(AZ$5,0))*AZ10*AZ11</x:f>
        <x:v>54215003.34248471</x:v>
      </x:c>
      <x:c r="BA12" s="92" t="n">
        <x:f>BA8*$B$23*DAY(EOMONTH(BA$5,0))*BA10*BA11</x:f>
        <x:v>59971737.093480125</x:v>
      </x:c>
      <x:c r="BB12" s="92" t="n">
        <x:f>BB8*$B$23*DAY(EOMONTH(BB$5,0))*BB10*BB11</x:f>
        <x:v>54725360.62703589</x:v>
      </x:c>
      <x:c r="BC12" s="92" t="n">
        <x:f>BC8*$B$23*DAY(EOMONTH(BC$5,0))*BC10*BC11</x:f>
        <x:v>44763447.30943179</x:v>
      </x:c>
      <x:c r="BD12" s="92" t="n">
        <x:f>BD8*$B$23*DAY(EOMONTH(BD$5,0))*BD10*BD11</x:f>
        <x:v>47203684.6669769</x:v>
      </x:c>
      <x:c r="BE12" s="92" t="n">
        <x:f>BE8*$B$23*DAY(EOMONTH(BE$5,0))*BE10*BE11</x:f>
        <x:v>47813009.10646806</x:v>
      </x:c>
      <x:c r="BF12" s="92" t="n">
        <x:f>BF8*$B$23*DAY(EOMONTH(BF$5,0))*BF10*BF11</x:f>
        <x:v>49072855.124695614</x:v>
      </x:c>
      <x:c r="BG12" s="92" t="n">
        <x:f>BG8*$B$23*DAY(EOMONTH(BG$5,0))*BG10*BG11</x:f>
        <x:v>52781218.13012149</x:v>
      </x:c>
      <x:c r="BH12" s="92" t="n">
        <x:f>BH8*$B$23*DAY(EOMONTH(BH$5,0))*BH10*BH11</x:f>
        <x:v>56524343.26135766</x:v>
      </x:c>
      <x:c r="BI12" s="92" t="n">
        <x:f>BI8*$B$23*DAY(EOMONTH(BI$5,0))*BI10*BI11</x:f>
        <x:v>58493481.85873535</x:v>
      </x:c>
    </x:row>
    <x:row r="13">
      <x:c r="A13" s="85" t="str">
        <x:v>充电交易额</x:v>
      </x:c>
      <x:c r="B13" s="28" t="n">
        <x:f>IF($B$24=0,0,B12/$B$24)</x:f>
        <x:v>0</x:v>
      </x:c>
      <x:c r="C13" s="28" t="n">
        <x:f>IF($B$24=0,0,C12/$B$24)</x:f>
        <x:v>0</x:v>
      </x:c>
      <x:c r="D13" s="28" t="n">
        <x:f>IF($B$24=0,0,D12/$B$24)</x:f>
        <x:v>0</x:v>
      </x:c>
      <x:c r="E13" s="28" t="n">
        <x:f>IF($B$24=0,0,E12/$B$24)</x:f>
        <x:v>0</x:v>
      </x:c>
      <x:c r="F13" s="28" t="n">
        <x:f>IF($B$24=0,0,F12/$B$24)</x:f>
        <x:v>0</x:v>
      </x:c>
      <x:c r="G13" s="28" t="n">
        <x:f>IF($B$24=0,0,G12/$B$24)</x:f>
        <x:v>0</x:v>
      </x:c>
      <x:c r="H13" s="28" t="n">
        <x:f>IF($B$24=0,0,H12/$B$24)</x:f>
        <x:v>0</x:v>
      </x:c>
      <x:c r="I13" s="28" t="n">
        <x:f>IF($B$24=0,0,I12/$B$24)</x:f>
        <x:v>0</x:v>
      </x:c>
      <x:c r="J13" s="28" t="n">
        <x:f>IF($B$24=0,0,J12/$B$24)</x:f>
        <x:v>0</x:v>
      </x:c>
      <x:c r="K13" s="28" t="n">
        <x:f>IF($B$24=0,0,K12/$B$24)</x:f>
        <x:v>0</x:v>
      </x:c>
      <x:c r="L13" s="28" t="n">
        <x:f>IF($B$24=0,0,L12/$B$24)</x:f>
        <x:v>0</x:v>
      </x:c>
      <x:c r="M13" s="28" t="n">
        <x:f>IF($B$24=0,0,M12/$B$24)</x:f>
        <x:v>0</x:v>
      </x:c>
      <x:c r="N13" s="28" t="n">
        <x:f>IF($B$24=0,0,N12/$B$24)</x:f>
        <x:v>0</x:v>
      </x:c>
      <x:c r="O13" s="28" t="n">
        <x:f>IF($B$24=0,0,O12/$B$24)</x:f>
        <x:v>0</x:v>
      </x:c>
      <x:c r="P13" s="28" t="n">
        <x:f>IF($B$24=0,0,P12/$B$24)</x:f>
        <x:v>0</x:v>
      </x:c>
      <x:c r="Q13" s="28" t="n">
        <x:f>IF($B$24=0,0,Q12/$B$24)</x:f>
        <x:v>0</x:v>
      </x:c>
      <x:c r="R13" s="28" t="n">
        <x:f>IF($B$24=0,0,R12/$B$24)</x:f>
        <x:v>0</x:v>
      </x:c>
      <x:c r="S13" s="28" t="n">
        <x:f>IF($B$24=0,0,S12/$B$24)</x:f>
        <x:v>0</x:v>
      </x:c>
      <x:c r="T13" s="28" t="n">
        <x:f>IF($B$24=0,0,T12/$B$24)</x:f>
        <x:v>0</x:v>
      </x:c>
      <x:c r="U13" s="28" t="n">
        <x:f>IF($B$24=0,0,U12/$B$24)</x:f>
        <x:v>0</x:v>
      </x:c>
      <x:c r="V13" s="28" t="n">
        <x:f>IF($B$24=0,0,V12/$B$24)</x:f>
        <x:v>0</x:v>
      </x:c>
      <x:c r="W13" s="28" t="n">
        <x:f>IF($B$24=0,0,W12/$B$24)</x:f>
        <x:v>0</x:v>
      </x:c>
      <x:c r="X13" s="28" t="n">
        <x:f>IF($B$24=0,0,X12/$B$24)</x:f>
        <x:v>0</x:v>
      </x:c>
      <x:c r="Y13" s="28" t="n">
        <x:f>IF($B$24=0,0,Y12/$B$24)</x:f>
        <x:v>0</x:v>
      </x:c>
      <x:c r="Z13" s="28" t="n">
        <x:f>IF($B$24=0,0,Z12/$B$24)</x:f>
        <x:v>0</x:v>
      </x:c>
      <x:c r="AA13" s="28" t="n">
        <x:f>IF($B$24=0,0,AA12/$B$24)</x:f>
        <x:v>0</x:v>
      </x:c>
      <x:c r="AB13" s="28" t="n">
        <x:f>IF($B$24=0,0,AB12/$B$24)</x:f>
        <x:v>0</x:v>
      </x:c>
      <x:c r="AC13" s="28" t="n">
        <x:f>IF($B$24=0,0,AC12/$B$24)</x:f>
        <x:v>0</x:v>
      </x:c>
      <x:c r="AD13" s="28" t="n">
        <x:f>IF($B$24=0,0,AD12/$B$24)</x:f>
        <x:v>0</x:v>
      </x:c>
      <x:c r="AE13" s="28" t="n">
        <x:f>IF($B$24=0,0,AE12/$B$24)</x:f>
        <x:v>0</x:v>
      </x:c>
      <x:c r="AF13" s="28" t="n">
        <x:f>IF($B$24=0,0,AF12/$B$24)</x:f>
        <x:v>0</x:v>
      </x:c>
      <x:c r="AG13" s="28" t="n">
        <x:f>IF($B$24=0,0,AG12/$B$24)</x:f>
        <x:v>0</x:v>
      </x:c>
      <x:c r="AH13" s="28" t="n">
        <x:f>IF($B$24=0,0,AH12/$B$24)</x:f>
        <x:v>0</x:v>
      </x:c>
      <x:c r="AI13" s="28" t="n">
        <x:f>IF($B$24=0,0,AI12/$B$24)</x:f>
        <x:v>0</x:v>
      </x:c>
      <x:c r="AJ13" s="28" t="n">
        <x:f>IF($B$24=0,0,AJ12/$B$24)</x:f>
        <x:v>0</x:v>
      </x:c>
      <x:c r="AK13" s="28" t="n">
        <x:f>IF($B$24=0,0,AK12/$B$24)</x:f>
        <x:v>0</x:v>
      </x:c>
      <x:c r="AL13" s="92" t="n">
        <x:f>IF($B$24=0,0,AL12/$B$24)</x:f>
        <x:v>0</x:v>
      </x:c>
      <x:c r="AM13" s="92" t="n">
        <x:f>IF($B$24=0,0,AM12/$B$24)</x:f>
        <x:v>0</x:v>
      </x:c>
      <x:c r="AN13" s="92" t="n">
        <x:f>IF($B$24=0,0,AN12/$B$24)</x:f>
        <x:v>0</x:v>
      </x:c>
      <x:c r="AO13" s="92" t="n">
        <x:f>IF($B$24=0,0,AO12/$B$24)</x:f>
        <x:v>0</x:v>
      </x:c>
      <x:c r="AP13" s="92" t="n">
        <x:f>IF($B$24=0,0,AP12/$B$24)</x:f>
        <x:v>0</x:v>
      </x:c>
      <x:c r="AQ13" s="92" t="n">
        <x:f>IF($B$24=0,0,AQ12/$B$24)</x:f>
        <x:v>0</x:v>
      </x:c>
      <x:c r="AR13" s="92" t="n">
        <x:f>IF($B$24=0,0,AR12/$B$24)</x:f>
        <x:v>0</x:v>
      </x:c>
      <x:c r="AS13" s="92" t="n">
        <x:f>IF($B$24=0,0,AS12/$B$24)</x:f>
        <x:v>0</x:v>
      </x:c>
      <x:c r="AT13" s="92" t="n">
        <x:f>IF($B$24=0,0,AT12/$B$24)</x:f>
        <x:v>0</x:v>
      </x:c>
      <x:c r="AU13" s="92" t="n">
        <x:f>IF($B$24=0,0,AU12/$B$24)</x:f>
        <x:v>0</x:v>
      </x:c>
      <x:c r="AV13" s="92" t="n">
        <x:f>IF($B$24=0,0,AV12/$B$24)</x:f>
        <x:v>0</x:v>
      </x:c>
      <x:c r="AW13" s="92" t="n">
        <x:f>IF($B$24=0,0,AW12/$B$24)</x:f>
        <x:v>0</x:v>
      </x:c>
      <x:c r="AX13" s="92" t="n">
        <x:f>IF($B$24=0,0,AX12/$B$24)</x:f>
        <x:v>0</x:v>
      </x:c>
      <x:c r="AY13" s="92" t="n">
        <x:f>IF($B$24=0,0,AY12/$B$24)</x:f>
        <x:v>0</x:v>
      </x:c>
      <x:c r="AZ13" s="92" t="n">
        <x:f>IF($B$24=0,0,AZ12/$B$24)</x:f>
        <x:v>0</x:v>
      </x:c>
      <x:c r="BA13" s="92" t="n">
        <x:f>IF($B$24=0,0,BA12/$B$24)</x:f>
        <x:v>0</x:v>
      </x:c>
      <x:c r="BB13" s="92" t="n">
        <x:f>IF($B$24=0,0,BB12/$B$24)</x:f>
        <x:v>0</x:v>
      </x:c>
      <x:c r="BC13" s="92" t="n">
        <x:f>IF($B$24=0,0,BC12/$B$24)</x:f>
        <x:v>0</x:v>
      </x:c>
      <x:c r="BD13" s="92" t="n">
        <x:f>IF($B$24=0,0,BD12/$B$24)</x:f>
        <x:v>0</x:v>
      </x:c>
      <x:c r="BE13" s="92" t="n">
        <x:f>IF($B$24=0,0,BE12/$B$24)</x:f>
        <x:v>0</x:v>
      </x:c>
      <x:c r="BF13" s="92" t="n">
        <x:f>IF($B$24=0,0,BF12/$B$24)</x:f>
        <x:v>0</x:v>
      </x:c>
      <x:c r="BG13" s="92" t="n">
        <x:f>IF($B$24=0,0,BG12/$B$24)</x:f>
        <x:v>0</x:v>
      </x:c>
      <x:c r="BH13" s="92" t="n">
        <x:f>IF($B$24=0,0,BH12/$B$24)</x:f>
        <x:v>0</x:v>
      </x:c>
      <x:c r="BI13" s="92" t="n">
        <x:f>IF($B$24=0,0,BI12/$B$24)</x:f>
        <x:v>0</x:v>
      </x:c>
    </x:row>
    <x:row r="14">
      <x:c r="A14" s="85" t="str">
        <x:v>代收代付电费</x:v>
      </x:c>
      <x:c r="B14" s="28" t="n">
        <x:f>MAX(0,B13-B12)</x:f>
        <x:v>0</x:v>
      </x:c>
      <x:c r="C14" s="28" t="n">
        <x:f>MAX(0,C13-C12)</x:f>
        <x:v>0</x:v>
      </x:c>
      <x:c r="D14" s="28" t="n">
        <x:f>MAX(0,D13-D12)</x:f>
        <x:v>0</x:v>
      </x:c>
      <x:c r="E14" s="28" t="n">
        <x:f>MAX(0,E13-E12)</x:f>
        <x:v>0</x:v>
      </x:c>
      <x:c r="F14" s="28" t="n">
        <x:f>MAX(0,F13-F12)</x:f>
        <x:v>0</x:v>
      </x:c>
      <x:c r="G14" s="28" t="n">
        <x:f>MAX(0,G13-G12)</x:f>
        <x:v>0</x:v>
      </x:c>
      <x:c r="H14" s="28" t="n">
        <x:f>MAX(0,H13-H12)</x:f>
        <x:v>0</x:v>
      </x:c>
      <x:c r="I14" s="28" t="n">
        <x:f>MAX(0,I13-I12)</x:f>
        <x:v>0</x:v>
      </x:c>
      <x:c r="J14" s="28" t="n">
        <x:f>MAX(0,J13-J12)</x:f>
        <x:v>0</x:v>
      </x:c>
      <x:c r="K14" s="28" t="n">
        <x:f>MAX(0,K13-K12)</x:f>
        <x:v>0</x:v>
      </x:c>
      <x:c r="L14" s="28" t="n">
        <x:f>MAX(0,L13-L12)</x:f>
        <x:v>0</x:v>
      </x:c>
      <x:c r="M14" s="28" t="n">
        <x:f>MAX(0,M13-M12)</x:f>
        <x:v>0</x:v>
      </x:c>
      <x:c r="N14" s="28" t="n">
        <x:f>MAX(0,N13-N12)</x:f>
        <x:v>0</x:v>
      </x:c>
      <x:c r="O14" s="28" t="n">
        <x:f>MAX(0,O13-O12)</x:f>
        <x:v>0</x:v>
      </x:c>
      <x:c r="P14" s="28" t="n">
        <x:f>MAX(0,P13-P12)</x:f>
        <x:v>0</x:v>
      </x:c>
      <x:c r="Q14" s="28" t="n">
        <x:f>MAX(0,Q13-Q12)</x:f>
        <x:v>0</x:v>
      </x:c>
      <x:c r="R14" s="28" t="n">
        <x:f>MAX(0,R13-R12)</x:f>
        <x:v>0</x:v>
      </x:c>
      <x:c r="S14" s="28" t="n">
        <x:f>MAX(0,S13-S12)</x:f>
        <x:v>0</x:v>
      </x:c>
      <x:c r="T14" s="28" t="n">
        <x:f>MAX(0,T13-T12)</x:f>
        <x:v>0</x:v>
      </x:c>
      <x:c r="U14" s="28" t="n">
        <x:f>MAX(0,U13-U12)</x:f>
        <x:v>0</x:v>
      </x:c>
      <x:c r="V14" s="28" t="n">
        <x:f>MAX(0,V13-V12)</x:f>
        <x:v>0</x:v>
      </x:c>
      <x:c r="W14" s="28" t="n">
        <x:f>MAX(0,W13-W12)</x:f>
        <x:v>0</x:v>
      </x:c>
      <x:c r="X14" s="28" t="n">
        <x:f>MAX(0,X13-X12)</x:f>
        <x:v>0</x:v>
      </x:c>
      <x:c r="Y14" s="28" t="n">
        <x:f>MAX(0,Y13-Y12)</x:f>
        <x:v>0</x:v>
      </x:c>
      <x:c r="Z14" s="28" t="n">
        <x:f>MAX(0,Z13-Z12)</x:f>
        <x:v>0</x:v>
      </x:c>
      <x:c r="AA14" s="28" t="n">
        <x:f>MAX(0,AA13-AA12)</x:f>
        <x:v>0</x:v>
      </x:c>
      <x:c r="AB14" s="28" t="n">
        <x:f>MAX(0,AB13-AB12)</x:f>
        <x:v>0</x:v>
      </x:c>
      <x:c r="AC14" s="28" t="n">
        <x:f>MAX(0,AC13-AC12)</x:f>
        <x:v>0</x:v>
      </x:c>
      <x:c r="AD14" s="28" t="n">
        <x:f>MAX(0,AD13-AD12)</x:f>
        <x:v>0</x:v>
      </x:c>
      <x:c r="AE14" s="28" t="n">
        <x:f>MAX(0,AE13-AE12)</x:f>
        <x:v>0</x:v>
      </x:c>
      <x:c r="AF14" s="28" t="n">
        <x:f>MAX(0,AF13-AF12)</x:f>
        <x:v>0</x:v>
      </x:c>
      <x:c r="AG14" s="28" t="n">
        <x:f>MAX(0,AG13-AG12)</x:f>
        <x:v>0</x:v>
      </x:c>
      <x:c r="AH14" s="28" t="n">
        <x:f>MAX(0,AH13-AH12)</x:f>
        <x:v>0</x:v>
      </x:c>
      <x:c r="AI14" s="28" t="n">
        <x:f>MAX(0,AI13-AI12)</x:f>
        <x:v>0</x:v>
      </x:c>
      <x:c r="AJ14" s="28" t="n">
        <x:f>MAX(0,AJ13-AJ12)</x:f>
        <x:v>0</x:v>
      </x:c>
      <x:c r="AK14" s="28" t="n">
        <x:f>MAX(0,AK13-AK12)</x:f>
        <x:v>0</x:v>
      </x:c>
      <x:c r="AL14" s="92" t="n">
        <x:f>MAX(0,AL13-AL12)</x:f>
        <x:v>0</x:v>
      </x:c>
      <x:c r="AM14" s="92" t="n">
        <x:f>MAX(0,AM13-AM12)</x:f>
        <x:v>0</x:v>
      </x:c>
      <x:c r="AN14" s="92" t="n">
        <x:f>MAX(0,AN13-AN12)</x:f>
        <x:v>0</x:v>
      </x:c>
      <x:c r="AO14" s="92" t="n">
        <x:f>MAX(0,AO13-AO12)</x:f>
        <x:v>0</x:v>
      </x:c>
      <x:c r="AP14" s="92" t="n">
        <x:f>MAX(0,AP13-AP12)</x:f>
        <x:v>0</x:v>
      </x:c>
      <x:c r="AQ14" s="92" t="n">
        <x:f>MAX(0,AQ13-AQ12)</x:f>
        <x:v>0</x:v>
      </x:c>
      <x:c r="AR14" s="92" t="n">
        <x:f>MAX(0,AR13-AR12)</x:f>
        <x:v>0</x:v>
      </x:c>
      <x:c r="AS14" s="92" t="n">
        <x:f>MAX(0,AS13-AS12)</x:f>
        <x:v>0</x:v>
      </x:c>
      <x:c r="AT14" s="92" t="n">
        <x:f>MAX(0,AT13-AT12)</x:f>
        <x:v>0</x:v>
      </x:c>
      <x:c r="AU14" s="92" t="n">
        <x:f>MAX(0,AU13-AU12)</x:f>
        <x:v>0</x:v>
      </x:c>
      <x:c r="AV14" s="92" t="n">
        <x:f>MAX(0,AV13-AV12)</x:f>
        <x:v>0</x:v>
      </x:c>
      <x:c r="AW14" s="92" t="n">
        <x:f>MAX(0,AW13-AW12)</x:f>
        <x:v>0</x:v>
      </x:c>
      <x:c r="AX14" s="92" t="n">
        <x:f>MAX(0,AX13-AX12)</x:f>
        <x:v>0</x:v>
      </x:c>
      <x:c r="AY14" s="92" t="n">
        <x:f>MAX(0,AY13-AY12)</x:f>
        <x:v>0</x:v>
      </x:c>
      <x:c r="AZ14" s="92" t="n">
        <x:f>MAX(0,AZ13-AZ12)</x:f>
        <x:v>0</x:v>
      </x:c>
      <x:c r="BA14" s="92" t="n">
        <x:f>MAX(0,BA13-BA12)</x:f>
        <x:v>0</x:v>
      </x:c>
      <x:c r="BB14" s="92" t="n">
        <x:f>MAX(0,BB13-BB12)</x:f>
        <x:v>0</x:v>
      </x:c>
      <x:c r="BC14" s="92" t="n">
        <x:f>MAX(0,BC13-BC12)</x:f>
        <x:v>0</x:v>
      </x:c>
      <x:c r="BD14" s="92" t="n">
        <x:f>MAX(0,BD13-BD12)</x:f>
        <x:v>0</x:v>
      </x:c>
      <x:c r="BE14" s="92" t="n">
        <x:f>MAX(0,BE13-BE12)</x:f>
        <x:v>0</x:v>
      </x:c>
      <x:c r="BF14" s="92" t="n">
        <x:f>MAX(0,BF13-BF12)</x:f>
        <x:v>0</x:v>
      </x:c>
      <x:c r="BG14" s="92" t="n">
        <x:f>MAX(0,BG13-BG12)</x:f>
        <x:v>0</x:v>
      </x:c>
      <x:c r="BH14" s="92" t="n">
        <x:f>MAX(0,BH13-BH12)</x:f>
        <x:v>0</x:v>
      </x:c>
      <x:c r="BI14" s="92" t="n">
        <x:f>MAX(0,BI13-BI12)</x:f>
        <x:v>0</x:v>
      </x:c>
    </x:row>
    <x:row r="15">
      <x:c r="A15" s="85" t="str">
        <x:v>物业成本</x:v>
      </x:c>
      <x:c r="B15" s="28" t="n">
        <x:f>IF('核心假设'!$B$33="固定租金",B9*'核心假设'!$B$35,B12*'核心假设'!$B$34)</x:f>
        <x:v>327668.50594183896</x:v>
      </x:c>
      <x:c r="C15" s="28" t="n">
        <x:f>IF('核心假设'!$B$33="固定租金",C9*'核心假设'!$B$35,C12*'核心假设'!$B$34)</x:f>
        <x:v>781246.6692594772</x:v>
      </x:c>
      <x:c r="D15" s="28" t="n">
        <x:f>IF('核心假设'!$B$33="固定租金",D9*'核心假设'!$B$35,D12*'核心假设'!$B$34)</x:f>
        <x:v>1404168.5865703542</x:v>
      </x:c>
      <x:c r="E15" s="28" t="n">
        <x:f>IF('核心假设'!$B$33="固定租金",E9*'核心假设'!$B$35,E12*'核心假设'!$B$34)</x:f>
        <x:v>2368883.615192465</x:v>
      </x:c>
      <x:c r="F15" s="28" t="n">
        <x:f>IF('核心假设'!$B$33="固定租金",F9*'核心假设'!$B$35,F12*'核心假设'!$B$34)</x:f>
        <x:v>3033973.9931628704</x:v>
      </x:c>
      <x:c r="G15" s="28" t="n">
        <x:f>IF('核心假设'!$B$33="固定租金",G9*'核心假设'!$B$35,G12*'核心假设'!$B$34)</x:f>
        <x:v>3295484.9909203686</x:v>
      </x:c>
      <x:c r="H15" s="28" t="n">
        <x:f>IF('核心假设'!$B$33="固定租金",H9*'核心假设'!$B$35,H12*'核心假设'!$B$34)</x:f>
        <x:v>4427705.621762433</x:v>
      </x:c>
      <x:c r="I15" s="28" t="n">
        <x:f>IF('核心假设'!$B$33="固定租金",I9*'核心假设'!$B$35,I12*'核心假设'!$B$34)</x:f>
        <x:v>5487977.185240405</x:v>
      </x:c>
      <x:c r="J15" s="28" t="n">
        <x:f>IF('核心假设'!$B$33="固定租金",J9*'核心假设'!$B$35,J12*'核心假设'!$B$34)</x:f>
        <x:v>6627779.813141391</x:v>
      </x:c>
      <x:c r="K15" s="28" t="n">
        <x:f>IF('核心假设'!$B$33="固定租金",K9*'核心假设'!$B$35,K12*'核心假设'!$B$34)</x:f>
        <x:v>8135696.962576926</x:v>
      </x:c>
      <x:c r="L15" s="28" t="n">
        <x:f>IF('核心假设'!$B$33="固定租金",L9*'核心假设'!$B$35,L12*'核心假设'!$B$34)</x:f>
        <x:v>9704099.251109883</x:v>
      </x:c>
      <x:c r="M15" s="28" t="n">
        <x:f>IF('核心假设'!$B$33="固定租金",M9*'核心假设'!$B$35,M12*'核心假设'!$B$34)</x:f>
        <x:v>10893826.061370872</x:v>
      </x:c>
      <x:c r="N15" s="28" t="n">
        <x:f>IF('核心假设'!$B$33="固定租金",N9*'核心假设'!$B$35,N12*'核心假设'!$B$34)</x:f>
        <x:v>10515974.584026752</x:v>
      </x:c>
      <x:c r="O15" s="28" t="n">
        <x:f>IF('核心假设'!$B$33="固定租金",O9*'核心假设'!$B$35,O12*'核心假设'!$B$34)</x:f>
        <x:v>10436817.748923546</x:v>
      </x:c>
      <x:c r="P15" s="28" t="n">
        <x:f>IF('核心假设'!$B$33="固定租金",P9*'核心假设'!$B$35,P12*'核心假设'!$B$34)</x:f>
        <x:v>10764931.063683765</x:v>
      </x:c>
      <x:c r="Q15" s="28" t="n">
        <x:f>IF('核心假设'!$B$33="固定租金",Q9*'核心假设'!$B$35,Q12*'核心假设'!$B$34)</x:f>
        <x:v>11972757.593342371</x:v>
      </x:c>
      <x:c r="R15" s="28" t="n">
        <x:f>IF('核心假设'!$B$33="固定租金",R9*'核心假设'!$B$35,R12*'核心假设'!$B$34)</x:f>
        <x:v>10945072.12540718</x:v>
      </x:c>
      <x:c r="S15" s="28" t="n">
        <x:f>IF('核心假设'!$B$33="固定租金",S9*'核心假设'!$B$35,S12*'核心假设'!$B$34)</x:f>
        <x:v>9272428.371239444</x:v>
      </x:c>
      <x:c r="T15" s="28" t="n">
        <x:f>IF('核心假设'!$B$33="固定租金",T9*'核心假设'!$B$35,T12*'核心假设'!$B$34)</x:f>
        <x:v>9440736.93339538</x:v>
      </x:c>
      <x:c r="U15" s="28" t="n">
        <x:f>IF('核心假设'!$B$33="固定租金",U9*'核心假设'!$B$35,U12*'核心假设'!$B$34)</x:f>
        <x:v>9562601.821293613</x:v>
      </x:c>
      <x:c r="V15" s="28" t="n">
        <x:f>IF('核心假设'!$B$33="固定租金",V9*'核心假设'!$B$35,V12*'核心假设'!$B$34)</x:f>
        <x:v>9814571.024939124</x:v>
      </x:c>
      <x:c r="W15" s="28" t="n">
        <x:f>IF('核心假设'!$B$33="固定租金",W9*'核心假设'!$B$35,W12*'核心假设'!$B$34)</x:f>
        <x:v>10556243.626024298</x:v>
      </x:c>
      <x:c r="X15" s="28" t="n">
        <x:f>IF('核心假设'!$B$33="固定租金",X9*'核心假设'!$B$35,X12*'核心假设'!$B$34)</x:f>
        <x:v>11304868.652271532</x:v>
      </x:c>
      <x:c r="Y15" s="28" t="n">
        <x:f>IF('核心假设'!$B$33="固定租金",Y9*'核心假设'!$B$35,Y12*'核心假设'!$B$34)</x:f>
        <x:v>11698696.37174707</x:v>
      </x:c>
      <x:c r="Z15" s="28" t="n">
        <x:f>IF('核心假设'!$B$33="固定租金",Z9*'核心假设'!$B$35,Z12*'核心假设'!$B$34)</x:f>
        <x:v>10922283.53139463</x:v>
      </x:c>
      <x:c r="AA15" s="28" t="n">
        <x:f>IF('核心假设'!$B$33="固定租金",AA9*'核心假设'!$B$35,AA12*'核心假设'!$B$34)</x:f>
        <x:v>10629206.384482682</x:v>
      </x:c>
      <x:c r="AB15" s="28" t="n">
        <x:f>IF('核心假设'!$B$33="固定租金",AB9*'核心假设'!$B$35,AB12*'核心假设'!$B$34)</x:f>
        <x:v>10843000.668496944</x:v>
      </x:c>
      <x:c r="AC15" s="28" t="n">
        <x:f>IF('核心假设'!$B$33="固定租金",AC9*'核心假设'!$B$35,AC12*'核心假设'!$B$34)</x:f>
        <x:v>11994347.418696025</x:v>
      </x:c>
      <x:c r="AD15" s="28" t="n">
        <x:f>IF('核心假设'!$B$33="固定租金",AD9*'核心假设'!$B$35,AD12*'核心假设'!$B$34)</x:f>
        <x:v>10945072.12540718</x:v>
      </x:c>
      <x:c r="AE15" s="28" t="n">
        <x:f>IF('核心假设'!$B$33="固定租金",AE9*'核心假设'!$B$35,AE12*'核心假设'!$B$34)</x:f>
        <x:v>8952689.46188636</x:v>
      </x:c>
      <x:c r="AF15" s="28" t="n">
        <x:f>IF('核心假设'!$B$33="固定租金",AF9*'核心假设'!$B$35,AF12*'核心假设'!$B$34)</x:f>
        <x:v>9440736.93339538</x:v>
      </x:c>
      <x:c r="AG15" s="28" t="n">
        <x:f>IF('核心假设'!$B$33="固定租金",AG9*'核心假设'!$B$35,AG12*'核心假设'!$B$34)</x:f>
        <x:v>9562601.821293613</x:v>
      </x:c>
      <x:c r="AH15" s="28" t="n">
        <x:f>IF('核心假设'!$B$33="固定租金",AH9*'核心假设'!$B$35,AH12*'核心假设'!$B$34)</x:f>
        <x:v>9814571.024939124</x:v>
      </x:c>
      <x:c r="AI15" s="28" t="n">
        <x:f>IF('核心假设'!$B$33="固定租金",AI9*'核心假设'!$B$35,AI12*'核心假设'!$B$34)</x:f>
        <x:v>10556243.626024298</x:v>
      </x:c>
      <x:c r="AJ15" s="28" t="n">
        <x:f>IF('核心假设'!$B$33="固定租金",AJ9*'核心假设'!$B$35,AJ12*'核心假设'!$B$34)</x:f>
        <x:v>11304868.652271532</x:v>
      </x:c>
      <x:c r="AK15" s="28" t="n">
        <x:f>IF('核心假设'!$B$33="固定租金",AK9*'核心假设'!$B$35,AK12*'核心假设'!$B$34)</x:f>
        <x:v>11698696.37174707</x:v>
      </x:c>
      <x:c r="AL15" s="92" t="n">
        <x:f>IF('核心假设'!$B$33="固定租金",AL9*'核心假设'!$B$35,AL12*'核心假设'!$B$34)</x:f>
        <x:v>10922283.53139463</x:v>
      </x:c>
      <x:c r="AM15" s="92" t="n">
        <x:f>IF('核心假设'!$B$33="固定租金",AM9*'核心假设'!$B$35,AM12*'核心假设'!$B$34)</x:f>
        <x:v>10629206.384482682</x:v>
      </x:c>
      <x:c r="AN15" s="92" t="n">
        <x:f>IF('核心假设'!$B$33="固定租金",AN9*'核心假设'!$B$35,AN12*'核心假设'!$B$34)</x:f>
        <x:v>10843000.668496944</x:v>
      </x:c>
      <x:c r="AO15" s="92" t="n">
        <x:f>IF('核心假设'!$B$33="固定租金",AO9*'核心假设'!$B$35,AO12*'核心假设'!$B$34)</x:f>
        <x:v>11994347.418696025</x:v>
      </x:c>
      <x:c r="AP15" s="92" t="n">
        <x:f>IF('核心假设'!$B$33="固定租金",AP9*'核心假设'!$B$35,AP12*'核心假设'!$B$34)</x:f>
        <x:v>10945072.12540718</x:v>
      </x:c>
      <x:c r="AQ15" s="92" t="n">
        <x:f>IF('核心假设'!$B$33="固定租金",AQ9*'核心假设'!$B$35,AQ12*'核心假设'!$B$34)</x:f>
        <x:v>8952689.46188636</x:v>
      </x:c>
      <x:c r="AR15" s="92" t="n">
        <x:f>IF('核心假设'!$B$33="固定租金",AR9*'核心假设'!$B$35,AR12*'核心假设'!$B$34)</x:f>
        <x:v>9440736.93339538</x:v>
      </x:c>
      <x:c r="AS15" s="92" t="n">
        <x:f>IF('核心假设'!$B$33="固定租金",AS9*'核心假设'!$B$35,AS12*'核心假设'!$B$34)</x:f>
        <x:v>9562601.821293613</x:v>
      </x:c>
      <x:c r="AT15" s="92" t="n">
        <x:f>IF('核心假设'!$B$33="固定租金",AT9*'核心假设'!$B$35,AT12*'核心假设'!$B$34)</x:f>
        <x:v>9814571.024939124</x:v>
      </x:c>
      <x:c r="AU15" s="92" t="n">
        <x:f>IF('核心假设'!$B$33="固定租金",AU9*'核心假设'!$B$35,AU12*'核心假设'!$B$34)</x:f>
        <x:v>10556243.626024298</x:v>
      </x:c>
      <x:c r="AV15" s="92" t="n">
        <x:f>IF('核心假设'!$B$33="固定租金",AV9*'核心假设'!$B$35,AV12*'核心假设'!$B$34)</x:f>
        <x:v>11304868.652271532</x:v>
      </x:c>
      <x:c r="AW15" s="92" t="n">
        <x:f>IF('核心假设'!$B$33="固定租金",AW9*'核心假设'!$B$35,AW12*'核心假设'!$B$34)</x:f>
        <x:v>11698696.37174707</x:v>
      </x:c>
      <x:c r="AX15" s="92" t="n">
        <x:f>IF('核心假设'!$B$33="固定租金",AX9*'核心假设'!$B$35,AX12*'核心假设'!$B$34)</x:f>
        <x:v>10922283.53139463</x:v>
      </x:c>
      <x:c r="AY15" s="92" t="n">
        <x:f>IF('核心假设'!$B$33="固定租金",AY9*'核心假设'!$B$35,AY12*'核心假设'!$B$34)</x:f>
        <x:v>10629206.384482682</x:v>
      </x:c>
      <x:c r="AZ15" s="92" t="n">
        <x:f>IF('核心假设'!$B$33="固定租金",AZ9*'核心假设'!$B$35,AZ12*'核心假设'!$B$34)</x:f>
        <x:v>10843000.668496944</x:v>
      </x:c>
      <x:c r="BA15" s="92" t="n">
        <x:f>IF('核心假设'!$B$33="固定租金",BA9*'核心假设'!$B$35,BA12*'核心假设'!$B$34)</x:f>
        <x:v>11994347.418696025</x:v>
      </x:c>
      <x:c r="BB15" s="92" t="n">
        <x:f>IF('核心假设'!$B$33="固定租金",BB9*'核心假设'!$B$35,BB12*'核心假设'!$B$34)</x:f>
        <x:v>10945072.12540718</x:v>
      </x:c>
      <x:c r="BC15" s="92" t="n">
        <x:f>IF('核心假设'!$B$33="固定租金",BC9*'核心假设'!$B$35,BC12*'核心假设'!$B$34)</x:f>
        <x:v>8952689.46188636</x:v>
      </x:c>
      <x:c r="BD15" s="92" t="n">
        <x:f>IF('核心假设'!$B$33="固定租金",BD9*'核心假设'!$B$35,BD12*'核心假设'!$B$34)</x:f>
        <x:v>9440736.93339538</x:v>
      </x:c>
      <x:c r="BE15" s="92" t="n">
        <x:f>IF('核心假设'!$B$33="固定租金",BE9*'核心假设'!$B$35,BE12*'核心假设'!$B$34)</x:f>
        <x:v>9562601.821293613</x:v>
      </x:c>
      <x:c r="BF15" s="92" t="n">
        <x:f>IF('核心假设'!$B$33="固定租金",BF9*'核心假设'!$B$35,BF12*'核心假设'!$B$34)</x:f>
        <x:v>9814571.024939124</x:v>
      </x:c>
      <x:c r="BG15" s="92" t="n">
        <x:f>IF('核心假设'!$B$33="固定租金",BG9*'核心假设'!$B$35,BG12*'核心假设'!$B$34)</x:f>
        <x:v>10556243.626024298</x:v>
      </x:c>
      <x:c r="BH15" s="92" t="n">
        <x:f>IF('核心假设'!$B$33="固定租金",BH9*'核心假设'!$B$35,BH12*'核心假设'!$B$34)</x:f>
        <x:v>11304868.652271532</x:v>
      </x:c>
      <x:c r="BI15" s="92" t="n">
        <x:f>IF('核心假设'!$B$33="固定租金",BI9*'核心假设'!$B$35,BI12*'核心假设'!$B$34)</x:f>
        <x:v>11698696.37174707</x:v>
      </x:c>
    </x:row>
    <x:row r="16">
      <x:c r="A16" s="85" t="str">
        <x:v>其他运营成本</x:v>
      </x:c>
      <x:c r="B16" s="28" t="n">
        <x:f>B12*'核心假设'!$B$36</x:f>
        <x:v>163834.25297091948</x:v>
      </x:c>
      <x:c r="C16" s="28" t="n">
        <x:f>C12*'核心假设'!$B$36</x:f>
        <x:v>390623.3346297386</x:v>
      </x:c>
      <x:c r="D16" s="28" t="n">
        <x:f>D12*'核心假设'!$B$36</x:f>
        <x:v>702084.2932851771</x:v>
      </x:c>
      <x:c r="E16" s="28" t="n">
        <x:f>E12*'核心假设'!$B$36</x:f>
        <x:v>1184441.8075962325</x:v>
      </x:c>
      <x:c r="F16" s="28" t="n">
        <x:f>F12*'核心假设'!$B$36</x:f>
        <x:v>1516986.9965814352</x:v>
      </x:c>
      <x:c r="G16" s="28" t="n">
        <x:f>G12*'核心假设'!$B$36</x:f>
        <x:v>1647742.4954601843</x:v>
      </x:c>
      <x:c r="H16" s="28" t="n">
        <x:f>H12*'核心假设'!$B$36</x:f>
        <x:v>2213852.8108812165</x:v>
      </x:c>
      <x:c r="I16" s="28" t="n">
        <x:f>I12*'核心假设'!$B$36</x:f>
        <x:v>2743988.5926202023</x:v>
      </x:c>
      <x:c r="J16" s="28" t="n">
        <x:f>J12*'核心假设'!$B$36</x:f>
        <x:v>3313889.9065706953</x:v>
      </x:c>
      <x:c r="K16" s="28" t="n">
        <x:f>K12*'核心假设'!$B$36</x:f>
        <x:v>4067848.481288463</x:v>
      </x:c>
      <x:c r="L16" s="28" t="n">
        <x:f>L12*'核心假设'!$B$36</x:f>
        <x:v>4852049.625554942</x:v>
      </x:c>
      <x:c r="M16" s="28" t="n">
        <x:f>M12*'核心假设'!$B$36</x:f>
        <x:v>5446913.030685436</x:v>
      </x:c>
      <x:c r="N16" s="28" t="n">
        <x:f>N12*'核心假设'!$B$36</x:f>
        <x:v>5257987.292013376</x:v>
      </x:c>
      <x:c r="O16" s="28" t="n">
        <x:f>O12*'核心假设'!$B$36</x:f>
        <x:v>5218408.874461773</x:v>
      </x:c>
      <x:c r="P16" s="28" t="n">
        <x:f>P12*'核心假设'!$B$36</x:f>
        <x:v>5382465.5318418825</x:v>
      </x:c>
      <x:c r="Q16" s="28" t="n">
        <x:f>Q12*'核心假设'!$B$36</x:f>
        <x:v>5986378.796671186</x:v>
      </x:c>
      <x:c r="R16" s="28" t="n">
        <x:f>R12*'核心假设'!$B$36</x:f>
        <x:v>5472536.06270359</x:v>
      </x:c>
      <x:c r="S16" s="28" t="n">
        <x:f>S12*'核心假设'!$B$36</x:f>
        <x:v>4636214.185619722</x:v>
      </x:c>
      <x:c r="T16" s="28" t="n">
        <x:f>T12*'核心假设'!$B$36</x:f>
        <x:v>4720368.46669769</x:v>
      </x:c>
      <x:c r="U16" s="28" t="n">
        <x:f>U12*'核心假设'!$B$36</x:f>
        <x:v>4781300.9106468065</x:v>
      </x:c>
      <x:c r="V16" s="28" t="n">
        <x:f>V12*'核心假设'!$B$36</x:f>
        <x:v>4907285.512469562</x:v>
      </x:c>
      <x:c r="W16" s="28" t="n">
        <x:f>W12*'核心假设'!$B$36</x:f>
        <x:v>5278121.813012149</x:v>
      </x:c>
      <x:c r="X16" s="28" t="n">
        <x:f>X12*'核心假设'!$B$36</x:f>
        <x:v>5652434.326135766</x:v>
      </x:c>
      <x:c r="Y16" s="28" t="n">
        <x:f>Y12*'核心假设'!$B$36</x:f>
        <x:v>5849348.185873535</x:v>
      </x:c>
      <x:c r="Z16" s="28" t="n">
        <x:f>Z12*'核心假设'!$B$36</x:f>
        <x:v>5461141.765697315</x:v>
      </x:c>
      <x:c r="AA16" s="28" t="n">
        <x:f>AA12*'核心假设'!$B$36</x:f>
        <x:v>5314603.192241341</x:v>
      </x:c>
      <x:c r="AB16" s="28" t="n">
        <x:f>AB12*'核心假设'!$B$36</x:f>
        <x:v>5421500.334248472</x:v>
      </x:c>
      <x:c r="AC16" s="28" t="n">
        <x:f>AC12*'核心假设'!$B$36</x:f>
        <x:v>5997173.709348013</x:v>
      </x:c>
      <x:c r="AD16" s="28" t="n">
        <x:f>AD12*'核心假设'!$B$36</x:f>
        <x:v>5472536.06270359</x:v>
      </x:c>
      <x:c r="AE16" s="28" t="n">
        <x:f>AE12*'核心假设'!$B$36</x:f>
        <x:v>4476344.73094318</x:v>
      </x:c>
      <x:c r="AF16" s="28" t="n">
        <x:f>AF12*'核心假设'!$B$36</x:f>
        <x:v>4720368.46669769</x:v>
      </x:c>
      <x:c r="AG16" s="28" t="n">
        <x:f>AG12*'核心假设'!$B$36</x:f>
        <x:v>4781300.9106468065</x:v>
      </x:c>
      <x:c r="AH16" s="28" t="n">
        <x:f>AH12*'核心假设'!$B$36</x:f>
        <x:v>4907285.512469562</x:v>
      </x:c>
      <x:c r="AI16" s="28" t="n">
        <x:f>AI12*'核心假设'!$B$36</x:f>
        <x:v>5278121.813012149</x:v>
      </x:c>
      <x:c r="AJ16" s="28" t="n">
        <x:f>AJ12*'核心假设'!$B$36</x:f>
        <x:v>5652434.326135766</x:v>
      </x:c>
      <x:c r="AK16" s="28" t="n">
        <x:f>AK12*'核心假设'!$B$36</x:f>
        <x:v>5849348.185873535</x:v>
      </x:c>
      <x:c r="AL16" s="92" t="n">
        <x:f>AL12*'核心假设'!$B$36</x:f>
        <x:v>5461141.765697315</x:v>
      </x:c>
      <x:c r="AM16" s="92" t="n">
        <x:f>AM12*'核心假设'!$B$36</x:f>
        <x:v>5314603.192241341</x:v>
      </x:c>
      <x:c r="AN16" s="92" t="n">
        <x:f>AN12*'核心假设'!$B$36</x:f>
        <x:v>5421500.334248472</x:v>
      </x:c>
      <x:c r="AO16" s="92" t="n">
        <x:f>AO12*'核心假设'!$B$36</x:f>
        <x:v>5997173.709348013</x:v>
      </x:c>
      <x:c r="AP16" s="92" t="n">
        <x:f>AP12*'核心假设'!$B$36</x:f>
        <x:v>5472536.06270359</x:v>
      </x:c>
      <x:c r="AQ16" s="92" t="n">
        <x:f>AQ12*'核心假设'!$B$36</x:f>
        <x:v>4476344.73094318</x:v>
      </x:c>
      <x:c r="AR16" s="92" t="n">
        <x:f>AR12*'核心假设'!$B$36</x:f>
        <x:v>4720368.46669769</x:v>
      </x:c>
      <x:c r="AS16" s="92" t="n">
        <x:f>AS12*'核心假设'!$B$36</x:f>
        <x:v>4781300.9106468065</x:v>
      </x:c>
      <x:c r="AT16" s="92" t="n">
        <x:f>AT12*'核心假设'!$B$36</x:f>
        <x:v>4907285.512469562</x:v>
      </x:c>
      <x:c r="AU16" s="92" t="n">
        <x:f>AU12*'核心假设'!$B$36</x:f>
        <x:v>5278121.813012149</x:v>
      </x:c>
      <x:c r="AV16" s="92" t="n">
        <x:f>AV12*'核心假设'!$B$36</x:f>
        <x:v>5652434.326135766</x:v>
      </x:c>
      <x:c r="AW16" s="92" t="n">
        <x:f>AW12*'核心假设'!$B$36</x:f>
        <x:v>5849348.185873535</x:v>
      </x:c>
      <x:c r="AX16" s="92" t="n">
        <x:f>AX12*'核心假设'!$B$36</x:f>
        <x:v>5461141.765697315</x:v>
      </x:c>
      <x:c r="AY16" s="92" t="n">
        <x:f>AY12*'核心假设'!$B$36</x:f>
        <x:v>5314603.192241341</x:v>
      </x:c>
      <x:c r="AZ16" s="92" t="n">
        <x:f>AZ12*'核心假设'!$B$36</x:f>
        <x:v>5421500.334248472</x:v>
      </x:c>
      <x:c r="BA16" s="92" t="n">
        <x:f>BA12*'核心假设'!$B$36</x:f>
        <x:v>5997173.709348013</x:v>
      </x:c>
      <x:c r="BB16" s="92" t="n">
        <x:f>BB12*'核心假设'!$B$36</x:f>
        <x:v>5472536.06270359</x:v>
      </x:c>
      <x:c r="BC16" s="92" t="n">
        <x:f>BC12*'核心假设'!$B$36</x:f>
        <x:v>4476344.73094318</x:v>
      </x:c>
      <x:c r="BD16" s="92" t="n">
        <x:f>BD12*'核心假设'!$B$36</x:f>
        <x:v>4720368.46669769</x:v>
      </x:c>
      <x:c r="BE16" s="92" t="n">
        <x:f>BE12*'核心假设'!$B$36</x:f>
        <x:v>4781300.9106468065</x:v>
      </x:c>
      <x:c r="BF16" s="92" t="n">
        <x:f>BF12*'核心假设'!$B$36</x:f>
        <x:v>4907285.512469562</x:v>
      </x:c>
      <x:c r="BG16" s="92" t="n">
        <x:f>BG12*'核心假设'!$B$36</x:f>
        <x:v>5278121.813012149</x:v>
      </x:c>
      <x:c r="BH16" s="92" t="n">
        <x:f>BH12*'核心假设'!$B$36</x:f>
        <x:v>5652434.326135766</x:v>
      </x:c>
      <x:c r="BI16" s="92" t="n">
        <x:f>BI12*'核心假设'!$B$36</x:f>
        <x:v>5849348.185873535</x:v>
      </x:c>
    </x:row>
    <x:row r="17">
      <x:c r="A17" s="85" t="str">
        <x:v>总部成本</x:v>
      </x:c>
      <x:c r="B17" s="28" t="n">
        <x:f>'核心假设'!$B$37</x:f>
        <x:v>0</x:v>
      </x:c>
      <x:c r="C17" s="28" t="n">
        <x:f>'核心假设'!$B$37</x:f>
        <x:v>0</x:v>
      </x:c>
      <x:c r="D17" s="28" t="n">
        <x:f>'核心假设'!$B$37</x:f>
        <x:v>0</x:v>
      </x:c>
      <x:c r="E17" s="28" t="n">
        <x:f>'核心假设'!$B$37</x:f>
        <x:v>0</x:v>
      </x:c>
      <x:c r="F17" s="28" t="n">
        <x:f>'核心假设'!$B$37</x:f>
        <x:v>0</x:v>
      </x:c>
      <x:c r="G17" s="28" t="n">
        <x:f>'核心假设'!$B$37</x:f>
        <x:v>0</x:v>
      </x:c>
      <x:c r="H17" s="28" t="n">
        <x:f>'核心假设'!$B$37</x:f>
        <x:v>0</x:v>
      </x:c>
      <x:c r="I17" s="28" t="n">
        <x:f>'核心假设'!$B$37</x:f>
        <x:v>0</x:v>
      </x:c>
      <x:c r="J17" s="28" t="n">
        <x:f>'核心假设'!$B$37</x:f>
        <x:v>0</x:v>
      </x:c>
      <x:c r="K17" s="28" t="n">
        <x:f>'核心假设'!$B$37</x:f>
        <x:v>0</x:v>
      </x:c>
      <x:c r="L17" s="28" t="n">
        <x:f>'核心假设'!$B$37</x:f>
        <x:v>0</x:v>
      </x:c>
      <x:c r="M17" s="28" t="n">
        <x:f>'核心假设'!$B$37</x:f>
        <x:v>0</x:v>
      </x:c>
      <x:c r="N17" s="28" t="n">
        <x:f>'核心假设'!$B$37</x:f>
        <x:v>0</x:v>
      </x:c>
      <x:c r="O17" s="28" t="n">
        <x:f>'核心假设'!$B$37</x:f>
        <x:v>0</x:v>
      </x:c>
      <x:c r="P17" s="28" t="n">
        <x:f>'核心假设'!$B$37</x:f>
        <x:v>0</x:v>
      </x:c>
      <x:c r="Q17" s="28" t="n">
        <x:f>'核心假设'!$B$37</x:f>
        <x:v>0</x:v>
      </x:c>
      <x:c r="R17" s="28" t="n">
        <x:f>'核心假设'!$B$37</x:f>
        <x:v>0</x:v>
      </x:c>
      <x:c r="S17" s="28" t="n">
        <x:f>'核心假设'!$B$37</x:f>
        <x:v>0</x:v>
      </x:c>
      <x:c r="T17" s="28" t="n">
        <x:f>'核心假设'!$B$37</x:f>
        <x:v>0</x:v>
      </x:c>
      <x:c r="U17" s="28" t="n">
        <x:f>'核心假设'!$B$37</x:f>
        <x:v>0</x:v>
      </x:c>
      <x:c r="V17" s="28" t="n">
        <x:f>'核心假设'!$B$37</x:f>
        <x:v>0</x:v>
      </x:c>
      <x:c r="W17" s="28" t="n">
        <x:f>'核心假设'!$B$37</x:f>
        <x:v>0</x:v>
      </x:c>
      <x:c r="X17" s="28" t="n">
        <x:f>'核心假设'!$B$37</x:f>
        <x:v>0</x:v>
      </x:c>
      <x:c r="Y17" s="28" t="n">
        <x:f>'核心假设'!$B$37</x:f>
        <x:v>0</x:v>
      </x:c>
      <x:c r="Z17" s="28" t="n">
        <x:f>'核心假设'!$B$37</x:f>
        <x:v>0</x:v>
      </x:c>
      <x:c r="AA17" s="28" t="n">
        <x:f>'核心假设'!$B$37</x:f>
        <x:v>0</x:v>
      </x:c>
      <x:c r="AB17" s="28" t="n">
        <x:f>'核心假设'!$B$37</x:f>
        <x:v>0</x:v>
      </x:c>
      <x:c r="AC17" s="28" t="n">
        <x:f>'核心假设'!$B$37</x:f>
        <x:v>0</x:v>
      </x:c>
      <x:c r="AD17" s="28" t="n">
        <x:f>'核心假设'!$B$37</x:f>
        <x:v>0</x:v>
      </x:c>
      <x:c r="AE17" s="28" t="n">
        <x:f>'核心假设'!$B$37</x:f>
        <x:v>0</x:v>
      </x:c>
      <x:c r="AF17" s="28" t="n">
        <x:f>'核心假设'!$B$37</x:f>
        <x:v>0</x:v>
      </x:c>
      <x:c r="AG17" s="28" t="n">
        <x:f>'核心假设'!$B$37</x:f>
        <x:v>0</x:v>
      </x:c>
      <x:c r="AH17" s="28" t="n">
        <x:f>'核心假设'!$B$37</x:f>
        <x:v>0</x:v>
      </x:c>
      <x:c r="AI17" s="28" t="n">
        <x:f>'核心假设'!$B$37</x:f>
        <x:v>0</x:v>
      </x:c>
      <x:c r="AJ17" s="28" t="n">
        <x:f>'核心假设'!$B$37</x:f>
        <x:v>0</x:v>
      </x:c>
      <x:c r="AK17" s="28" t="n">
        <x:f>'核心假设'!$B$37</x:f>
        <x:v>0</x:v>
      </x:c>
      <x:c r="AL17" s="92" t="n">
        <x:f>'核心假设'!$B$37</x:f>
        <x:v>0</x:v>
      </x:c>
      <x:c r="AM17" s="92" t="n">
        <x:f>'核心假设'!$B$37</x:f>
        <x:v>0</x:v>
      </x:c>
      <x:c r="AN17" s="92" t="n">
        <x:f>'核心假设'!$B$37</x:f>
        <x:v>0</x:v>
      </x:c>
      <x:c r="AO17" s="92" t="n">
        <x:f>'核心假设'!$B$37</x:f>
        <x:v>0</x:v>
      </x:c>
      <x:c r="AP17" s="92" t="n">
        <x:f>'核心假设'!$B$37</x:f>
        <x:v>0</x:v>
      </x:c>
      <x:c r="AQ17" s="92" t="n">
        <x:f>'核心假设'!$B$37</x:f>
        <x:v>0</x:v>
      </x:c>
      <x:c r="AR17" s="92" t="n">
        <x:f>'核心假设'!$B$37</x:f>
        <x:v>0</x:v>
      </x:c>
      <x:c r="AS17" s="92" t="n">
        <x:f>'核心假设'!$B$37</x:f>
        <x:v>0</x:v>
      </x:c>
      <x:c r="AT17" s="92" t="n">
        <x:f>'核心假设'!$B$37</x:f>
        <x:v>0</x:v>
      </x:c>
      <x:c r="AU17" s="92" t="n">
        <x:f>'核心假设'!$B$37</x:f>
        <x:v>0</x:v>
      </x:c>
      <x:c r="AV17" s="92" t="n">
        <x:f>'核心假设'!$B$37</x:f>
        <x:v>0</x:v>
      </x:c>
      <x:c r="AW17" s="92" t="n">
        <x:f>'核心假设'!$B$37</x:f>
        <x:v>0</x:v>
      </x:c>
      <x:c r="AX17" s="92" t="n">
        <x:f>'核心假设'!$B$37</x:f>
        <x:v>0</x:v>
      </x:c>
      <x:c r="AY17" s="92" t="n">
        <x:f>'核心假设'!$B$37</x:f>
        <x:v>0</x:v>
      </x:c>
      <x:c r="AZ17" s="92" t="n">
        <x:f>'核心假设'!$B$37</x:f>
        <x:v>0</x:v>
      </x:c>
      <x:c r="BA17" s="92" t="n">
        <x:f>'核心假设'!$B$37</x:f>
        <x:v>0</x:v>
      </x:c>
      <x:c r="BB17" s="92" t="n">
        <x:f>'核心假设'!$B$37</x:f>
        <x:v>0</x:v>
      </x:c>
      <x:c r="BC17" s="92" t="n">
        <x:f>'核心假设'!$B$37</x:f>
        <x:v>0</x:v>
      </x:c>
      <x:c r="BD17" s="92" t="n">
        <x:f>'核心假设'!$B$37</x:f>
        <x:v>0</x:v>
      </x:c>
      <x:c r="BE17" s="92" t="n">
        <x:f>'核心假设'!$B$37</x:f>
        <x:v>0</x:v>
      </x:c>
      <x:c r="BF17" s="92" t="n">
        <x:f>'核心假设'!$B$37</x:f>
        <x:v>0</x:v>
      </x:c>
      <x:c r="BG17" s="92" t="n">
        <x:f>'核心假设'!$B$37</x:f>
        <x:v>0</x:v>
      </x:c>
      <x:c r="BH17" s="92" t="n">
        <x:f>'核心假设'!$B$37</x:f>
        <x:v>0</x:v>
      </x:c>
      <x:c r="BI17" s="92" t="n">
        <x:f>'核心假设'!$B$37</x:f>
        <x:v>0</x:v>
      </x:c>
    </x:row>
    <x:row r="18">
      <x:c r="A18" s="85" t="str">
        <x:v>经营税费</x:v>
      </x:c>
      <x:c r="B18" s="28" t="n">
        <x:f>B12*'核心假设'!$B$38</x:f>
        <x:v>0</x:v>
      </x:c>
      <x:c r="C18" s="28" t="n">
        <x:f>C12*'核心假设'!$B$38</x:f>
        <x:v>0</x:v>
      </x:c>
      <x:c r="D18" s="28" t="n">
        <x:f>D12*'核心假设'!$B$38</x:f>
        <x:v>0</x:v>
      </x:c>
      <x:c r="E18" s="28" t="n">
        <x:f>E12*'核心假设'!$B$38</x:f>
        <x:v>0</x:v>
      </x:c>
      <x:c r="F18" s="28" t="n">
        <x:f>F12*'核心假设'!$B$38</x:f>
        <x:v>0</x:v>
      </x:c>
      <x:c r="G18" s="28" t="n">
        <x:f>G12*'核心假设'!$B$38</x:f>
        <x:v>0</x:v>
      </x:c>
      <x:c r="H18" s="28" t="n">
        <x:f>H12*'核心假设'!$B$38</x:f>
        <x:v>0</x:v>
      </x:c>
      <x:c r="I18" s="28" t="n">
        <x:f>I12*'核心假设'!$B$38</x:f>
        <x:v>0</x:v>
      </x:c>
      <x:c r="J18" s="28" t="n">
        <x:f>J12*'核心假设'!$B$38</x:f>
        <x:v>0</x:v>
      </x:c>
      <x:c r="K18" s="28" t="n">
        <x:f>K12*'核心假设'!$B$38</x:f>
        <x:v>0</x:v>
      </x:c>
      <x:c r="L18" s="28" t="n">
        <x:f>L12*'核心假设'!$B$38</x:f>
        <x:v>0</x:v>
      </x:c>
      <x:c r="M18" s="28" t="n">
        <x:f>M12*'核心假设'!$B$38</x:f>
        <x:v>0</x:v>
      </x:c>
      <x:c r="N18" s="28" t="n">
        <x:f>N12*'核心假设'!$B$38</x:f>
        <x:v>0</x:v>
      </x:c>
      <x:c r="O18" s="28" t="n">
        <x:f>O12*'核心假设'!$B$38</x:f>
        <x:v>0</x:v>
      </x:c>
      <x:c r="P18" s="28" t="n">
        <x:f>P12*'核心假设'!$B$38</x:f>
        <x:v>0</x:v>
      </x:c>
      <x:c r="Q18" s="28" t="n">
        <x:f>Q12*'核心假设'!$B$38</x:f>
        <x:v>0</x:v>
      </x:c>
      <x:c r="R18" s="28" t="n">
        <x:f>R12*'核心假设'!$B$38</x:f>
        <x:v>0</x:v>
      </x:c>
      <x:c r="S18" s="28" t="n">
        <x:f>S12*'核心假设'!$B$38</x:f>
        <x:v>0</x:v>
      </x:c>
      <x:c r="T18" s="28" t="n">
        <x:f>T12*'核心假设'!$B$38</x:f>
        <x:v>0</x:v>
      </x:c>
      <x:c r="U18" s="28" t="n">
        <x:f>U12*'核心假设'!$B$38</x:f>
        <x:v>0</x:v>
      </x:c>
      <x:c r="V18" s="28" t="n">
        <x:f>V12*'核心假设'!$B$38</x:f>
        <x:v>0</x:v>
      </x:c>
      <x:c r="W18" s="28" t="n">
        <x:f>W12*'核心假设'!$B$38</x:f>
        <x:v>0</x:v>
      </x:c>
      <x:c r="X18" s="28" t="n">
        <x:f>X12*'核心假设'!$B$38</x:f>
        <x:v>0</x:v>
      </x:c>
      <x:c r="Y18" s="28" t="n">
        <x:f>Y12*'核心假设'!$B$38</x:f>
        <x:v>0</x:v>
      </x:c>
      <x:c r="Z18" s="28" t="n">
        <x:f>Z12*'核心假设'!$B$38</x:f>
        <x:v>0</x:v>
      </x:c>
      <x:c r="AA18" s="28" t="n">
        <x:f>AA12*'核心假设'!$B$38</x:f>
        <x:v>0</x:v>
      </x:c>
      <x:c r="AB18" s="28" t="n">
        <x:f>AB12*'核心假设'!$B$38</x:f>
        <x:v>0</x:v>
      </x:c>
      <x:c r="AC18" s="28" t="n">
        <x:f>AC12*'核心假设'!$B$38</x:f>
        <x:v>0</x:v>
      </x:c>
      <x:c r="AD18" s="28" t="n">
        <x:f>AD12*'核心假设'!$B$38</x:f>
        <x:v>0</x:v>
      </x:c>
      <x:c r="AE18" s="28" t="n">
        <x:f>AE12*'核心假设'!$B$38</x:f>
        <x:v>0</x:v>
      </x:c>
      <x:c r="AF18" s="28" t="n">
        <x:f>AF12*'核心假设'!$B$38</x:f>
        <x:v>0</x:v>
      </x:c>
      <x:c r="AG18" s="28" t="n">
        <x:f>AG12*'核心假设'!$B$38</x:f>
        <x:v>0</x:v>
      </x:c>
      <x:c r="AH18" s="28" t="n">
        <x:f>AH12*'核心假设'!$B$38</x:f>
        <x:v>0</x:v>
      </x:c>
      <x:c r="AI18" s="28" t="n">
        <x:f>AI12*'核心假设'!$B$38</x:f>
        <x:v>0</x:v>
      </x:c>
      <x:c r="AJ18" s="28" t="n">
        <x:f>AJ12*'核心假设'!$B$38</x:f>
        <x:v>0</x:v>
      </x:c>
      <x:c r="AK18" s="28" t="n">
        <x:f>AK12*'核心假设'!$B$38</x:f>
        <x:v>0</x:v>
      </x:c>
      <x:c r="AL18" s="92" t="n">
        <x:f>AL12*'核心假设'!$B$38</x:f>
        <x:v>0</x:v>
      </x:c>
      <x:c r="AM18" s="92" t="n">
        <x:f>AM12*'核心假设'!$B$38</x:f>
        <x:v>0</x:v>
      </x:c>
      <x:c r="AN18" s="92" t="n">
        <x:f>AN12*'核心假设'!$B$38</x:f>
        <x:v>0</x:v>
      </x:c>
      <x:c r="AO18" s="92" t="n">
        <x:f>AO12*'核心假设'!$B$38</x:f>
        <x:v>0</x:v>
      </x:c>
      <x:c r="AP18" s="92" t="n">
        <x:f>AP12*'核心假设'!$B$38</x:f>
        <x:v>0</x:v>
      </x:c>
      <x:c r="AQ18" s="92" t="n">
        <x:f>AQ12*'核心假设'!$B$38</x:f>
        <x:v>0</x:v>
      </x:c>
      <x:c r="AR18" s="92" t="n">
        <x:f>AR12*'核心假设'!$B$38</x:f>
        <x:v>0</x:v>
      </x:c>
      <x:c r="AS18" s="92" t="n">
        <x:f>AS12*'核心假设'!$B$38</x:f>
        <x:v>0</x:v>
      </x:c>
      <x:c r="AT18" s="92" t="n">
        <x:f>AT12*'核心假设'!$B$38</x:f>
        <x:v>0</x:v>
      </x:c>
      <x:c r="AU18" s="92" t="n">
        <x:f>AU12*'核心假设'!$B$38</x:f>
        <x:v>0</x:v>
      </x:c>
      <x:c r="AV18" s="92" t="n">
        <x:f>AV12*'核心假设'!$B$38</x:f>
        <x:v>0</x:v>
      </x:c>
      <x:c r="AW18" s="92" t="n">
        <x:f>AW12*'核心假设'!$B$38</x:f>
        <x:v>0</x:v>
      </x:c>
      <x:c r="AX18" s="92" t="n">
        <x:f>AX12*'核心假设'!$B$38</x:f>
        <x:v>0</x:v>
      </x:c>
      <x:c r="AY18" s="92" t="n">
        <x:f>AY12*'核心假设'!$B$38</x:f>
        <x:v>0</x:v>
      </x:c>
      <x:c r="AZ18" s="92" t="n">
        <x:f>AZ12*'核心假设'!$B$38</x:f>
        <x:v>0</x:v>
      </x:c>
      <x:c r="BA18" s="92" t="n">
        <x:f>BA12*'核心假设'!$B$38</x:f>
        <x:v>0</x:v>
      </x:c>
      <x:c r="BB18" s="92" t="n">
        <x:f>BB12*'核心假设'!$B$38</x:f>
        <x:v>0</x:v>
      </x:c>
      <x:c r="BC18" s="92" t="n">
        <x:f>BC12*'核心假设'!$B$38</x:f>
        <x:v>0</x:v>
      </x:c>
      <x:c r="BD18" s="92" t="n">
        <x:f>BD12*'核心假设'!$B$38</x:f>
        <x:v>0</x:v>
      </x:c>
      <x:c r="BE18" s="92" t="n">
        <x:f>BE12*'核心假设'!$B$38</x:f>
        <x:v>0</x:v>
      </x:c>
      <x:c r="BF18" s="92" t="n">
        <x:f>BF12*'核心假设'!$B$38</x:f>
        <x:v>0</x:v>
      </x:c>
      <x:c r="BG18" s="92" t="n">
        <x:f>BG12*'核心假设'!$B$38</x:f>
        <x:v>0</x:v>
      </x:c>
      <x:c r="BH18" s="92" t="n">
        <x:f>BH12*'核心假设'!$B$38</x:f>
        <x:v>0</x:v>
      </x:c>
      <x:c r="BI18" s="92" t="n">
        <x:f>BI12*'核心假设'!$B$38</x:f>
        <x:v>0</x:v>
      </x:c>
    </x:row>
    <x:row r="19">
      <x:c r="A19" s="85" t="str">
        <x:v>经营贡献</x:v>
      </x:c>
      <x:c r="B19" s="28" t="n">
        <x:f>B12-B15-B16</x:f>
        <x:v>1146839.7707964361</x:v>
      </x:c>
      <x:c r="C19" s="28" t="n">
        <x:f>C12-C15-C16</x:f>
        <x:v>2734363.34240817</x:v>
      </x:c>
      <x:c r="D19" s="28" t="n">
        <x:f>D12-D15-D16</x:f>
        <x:v>4914590.052996239</x:v>
      </x:c>
      <x:c r="E19" s="28" t="n">
        <x:f>E12-E15-E16</x:f>
        <x:v>8291092.653173627</x:v>
      </x:c>
      <x:c r="F19" s="28" t="n">
        <x:f>F12-F15-F16</x:f>
        <x:v>10618908.976070045</x:v>
      </x:c>
      <x:c r="G19" s="28" t="n">
        <x:f>G12-G15-G16</x:f>
        <x:v>11534197.468221288</x:v>
      </x:c>
      <x:c r="H19" s="28" t="n">
        <x:f>H12-H15-H16</x:f>
        <x:v>15496969.676168516</x:v>
      </x:c>
      <x:c r="I19" s="28" t="n">
        <x:f>I12-I15-I16</x:f>
        <x:v>19207920.148341417</x:v>
      </x:c>
      <x:c r="J19" s="28" t="n">
        <x:f>J12-J15-J16</x:f>
        <x:v>23197229.345994864</x:v>
      </x:c>
      <x:c r="K19" s="28" t="n">
        <x:f>K12-K15-K16</x:f>
        <x:v>28474939.36901924</x:v>
      </x:c>
      <x:c r="L19" s="28" t="n">
        <x:f>L12-L15-L16</x:f>
        <x:v>33964347.37888459</x:v>
      </x:c>
      <x:c r="M19" s="28" t="n">
        <x:f>M12-M15-M16</x:f>
        <x:v>38128391.21479805</x:v>
      </x:c>
      <x:c r="N19" s="28" t="n">
        <x:f>N12-N15-N16</x:f>
        <x:v>36805911.044093624</x:v>
      </x:c>
      <x:c r="O19" s="28" t="n">
        <x:f>O12-O15-O16</x:f>
        <x:v>36528862.121232405</x:v>
      </x:c>
      <x:c r="P19" s="28" t="n">
        <x:f>P12-P15-P16</x:f>
        <x:v>37677258.72289318</x:v>
      </x:c>
      <x:c r="Q19" s="28" t="n">
        <x:f>Q12-Q15-Q16</x:f>
        <x:v>41904651.5766983</x:v>
      </x:c>
      <x:c r="R19" s="28" t="n">
        <x:f>R12-R15-R16</x:f>
        <x:v>38307752.438925125</x:v>
      </x:c>
      <x:c r="S19" s="28" t="n">
        <x:f>S12-S15-S16</x:f>
        <x:v>32453499.299338046</x:v>
      </x:c>
      <x:c r="T19" s="28" t="n">
        <x:f>T12-T15-T16</x:f>
        <x:v>33042579.26688383</x:v>
      </x:c>
      <x:c r="U19" s="28" t="n">
        <x:f>U12-U15-U16</x:f>
        <x:v>33469106.374527637</x:v>
      </x:c>
      <x:c r="V19" s="28" t="n">
        <x:f>V12-V15-V16</x:f>
        <x:v>34350998.587286934</x:v>
      </x:c>
      <x:c r="W19" s="28" t="n">
        <x:f>W12-W15-W16</x:f>
        <x:v>36946852.69108504</x:v>
      </x:c>
      <x:c r="X19" s="28" t="n">
        <x:f>X12-X15-X16</x:f>
        <x:v>39567040.28295036</x:v>
      </x:c>
      <x:c r="Y19" s="28" t="n">
        <x:f>Y12-Y15-Y16</x:f>
        <x:v>40945437.301114745</x:v>
      </x:c>
      <x:c r="Z19" s="28" t="n">
        <x:f>Z12-Z15-Z16</x:f>
        <x:v>38227992.35988121</x:v>
      </x:c>
      <x:c r="AA19" s="28" t="n">
        <x:f>AA12-AA15-AA16</x:f>
        <x:v>37202222.345689386</x:v>
      </x:c>
      <x:c r="AB19" s="28" t="n">
        <x:f>AB12-AB15-AB16</x:f>
        <x:v>37950502.33973929</x:v>
      </x:c>
      <x:c r="AC19" s="28" t="n">
        <x:f>AC12-AC15-AC16</x:f>
        <x:v>41980215.965436086</x:v>
      </x:c>
      <x:c r="AD19" s="28" t="n">
        <x:f>AD12-AD15-AD16</x:f>
        <x:v>38307752.438925125</x:v>
      </x:c>
      <x:c r="AE19" s="28" t="n">
        <x:f>AE12-AE15-AE16</x:f>
        <x:v>31334413.11660225</x:v>
      </x:c>
      <x:c r="AF19" s="28" t="n">
        <x:f>AF12-AF15-AF16</x:f>
        <x:v>33042579.26688383</x:v>
      </x:c>
      <x:c r="AG19" s="28" t="n">
        <x:f>AG12-AG15-AG16</x:f>
        <x:v>33469106.374527637</x:v>
      </x:c>
      <x:c r="AH19" s="28" t="n">
        <x:f>AH12-AH15-AH16</x:f>
        <x:v>34350998.587286934</x:v>
      </x:c>
      <x:c r="AI19" s="28" t="n">
        <x:f>AI12-AI15-AI16</x:f>
        <x:v>36946852.69108504</x:v>
      </x:c>
      <x:c r="AJ19" s="28" t="n">
        <x:f>AJ12-AJ15-AJ16</x:f>
        <x:v>39567040.28295036</x:v>
      </x:c>
      <x:c r="AK19" s="28" t="n">
        <x:f>AK12-AK15-AK16</x:f>
        <x:v>40945437.301114745</x:v>
      </x:c>
      <x:c r="AL19" s="92" t="n">
        <x:f>AL12-AL15-AL16</x:f>
        <x:v>38227992.35988121</x:v>
      </x:c>
      <x:c r="AM19" s="92" t="n">
        <x:f>AM12-AM15-AM16</x:f>
        <x:v>37202222.345689386</x:v>
      </x:c>
      <x:c r="AN19" s="92" t="n">
        <x:f>AN12-AN15-AN16</x:f>
        <x:v>37950502.33973929</x:v>
      </x:c>
      <x:c r="AO19" s="92" t="n">
        <x:f>AO12-AO15-AO16</x:f>
        <x:v>41980215.965436086</x:v>
      </x:c>
      <x:c r="AP19" s="92" t="n">
        <x:f>AP12-AP15-AP16</x:f>
        <x:v>38307752.438925125</x:v>
      </x:c>
      <x:c r="AQ19" s="92" t="n">
        <x:f>AQ12-AQ15-AQ16</x:f>
        <x:v>31334413.11660225</x:v>
      </x:c>
      <x:c r="AR19" s="92" t="n">
        <x:f>AR12-AR15-AR16</x:f>
        <x:v>33042579.26688383</x:v>
      </x:c>
      <x:c r="AS19" s="92" t="n">
        <x:f>AS12-AS15-AS16</x:f>
        <x:v>33469106.374527637</x:v>
      </x:c>
      <x:c r="AT19" s="92" t="n">
        <x:f>AT12-AT15-AT16</x:f>
        <x:v>34350998.587286934</x:v>
      </x:c>
      <x:c r="AU19" s="92" t="n">
        <x:f>AU12-AU15-AU16</x:f>
        <x:v>36946852.69108504</x:v>
      </x:c>
      <x:c r="AV19" s="92" t="n">
        <x:f>AV12-AV15-AV16</x:f>
        <x:v>39567040.28295036</x:v>
      </x:c>
      <x:c r="AW19" s="92" t="n">
        <x:f>AW12-AW15-AW16</x:f>
        <x:v>40945437.301114745</x:v>
      </x:c>
      <x:c r="AX19" s="92" t="n">
        <x:f>AX12-AX15-AX16</x:f>
        <x:v>38227992.35988121</x:v>
      </x:c>
      <x:c r="AY19" s="92" t="n">
        <x:f>AY12-AY15-AY16</x:f>
        <x:v>37202222.345689386</x:v>
      </x:c>
      <x:c r="AZ19" s="92" t="n">
        <x:f>AZ12-AZ15-AZ16</x:f>
        <x:v>37950502.33973929</x:v>
      </x:c>
      <x:c r="BA19" s="92" t="n">
        <x:f>BA12-BA15-BA16</x:f>
        <x:v>41980215.965436086</x:v>
      </x:c>
      <x:c r="BB19" s="92" t="n">
        <x:f>BB12-BB15-BB16</x:f>
        <x:v>38307752.438925125</x:v>
      </x:c>
      <x:c r="BC19" s="92" t="n">
        <x:f>BC12-BC15-BC16</x:f>
        <x:v>31334413.11660225</x:v>
      </x:c>
      <x:c r="BD19" s="92" t="n">
        <x:f>BD12-BD15-BD16</x:f>
        <x:v>33042579.26688383</x:v>
      </x:c>
      <x:c r="BE19" s="92" t="n">
        <x:f>BE12-BE15-BE16</x:f>
        <x:v>33469106.374527637</x:v>
      </x:c>
      <x:c r="BF19" s="92" t="n">
        <x:f>BF12-BF15-BF16</x:f>
        <x:v>34350998.587286934</x:v>
      </x:c>
      <x:c r="BG19" s="92" t="n">
        <x:f>BG12-BG15-BG16</x:f>
        <x:v>36946852.69108504</x:v>
      </x:c>
      <x:c r="BH19" s="92" t="n">
        <x:f>BH12-BH15-BH16</x:f>
        <x:v>39567040.28295036</x:v>
      </x:c>
      <x:c r="BI19" s="92" t="n">
        <x:f>BI12-BI15-BI16</x:f>
        <x:v>40945437.301114745</x:v>
      </x:c>
    </x:row>
    <x:row r="20">
      <x:c r="A20" s="86" t="str">
        <x:v>CFADS</x:v>
      </x:c>
      <x:c r="B20" s="28" t="n">
        <x:f>B19-B17-B18</x:f>
        <x:v>1146839.7707964361</x:v>
      </x:c>
      <x:c r="C20" s="28" t="n">
        <x:f>C19-C17-C18</x:f>
        <x:v>2734363.34240817</x:v>
      </x:c>
      <x:c r="D20" s="28" t="n">
        <x:f>D19-D17-D18</x:f>
        <x:v>4914590.052996239</x:v>
      </x:c>
      <x:c r="E20" s="28" t="n">
        <x:f>E19-E17-E18</x:f>
        <x:v>8291092.653173627</x:v>
      </x:c>
      <x:c r="F20" s="28" t="n">
        <x:f>F19-F17-F18</x:f>
        <x:v>10618908.976070045</x:v>
      </x:c>
      <x:c r="G20" s="28" t="n">
        <x:f>G19-G17-G18</x:f>
        <x:v>11534197.468221288</x:v>
      </x:c>
      <x:c r="H20" s="28" t="n">
        <x:f>H19-H17-H18</x:f>
        <x:v>15496969.676168516</x:v>
      </x:c>
      <x:c r="I20" s="28" t="n">
        <x:f>I19-I17-I18</x:f>
        <x:v>19207920.148341417</x:v>
      </x:c>
      <x:c r="J20" s="28" t="n">
        <x:f>J19-J17-J18</x:f>
        <x:v>23197229.345994864</x:v>
      </x:c>
      <x:c r="K20" s="28" t="n">
        <x:f>K19-K17-K18</x:f>
        <x:v>28474939.36901924</x:v>
      </x:c>
      <x:c r="L20" s="28" t="n">
        <x:f>L19-L17-L18</x:f>
        <x:v>33964347.37888459</x:v>
      </x:c>
      <x:c r="M20" s="28" t="n">
        <x:f>M19-M17-M18</x:f>
        <x:v>38128391.21479805</x:v>
      </x:c>
      <x:c r="N20" s="28" t="n">
        <x:f>N19-N17-N18</x:f>
        <x:v>36805911.044093624</x:v>
      </x:c>
      <x:c r="O20" s="28" t="n">
        <x:f>O19-O17-O18</x:f>
        <x:v>36528862.121232405</x:v>
      </x:c>
      <x:c r="P20" s="28" t="n">
        <x:f>P19-P17-P18</x:f>
        <x:v>37677258.72289318</x:v>
      </x:c>
      <x:c r="Q20" s="28" t="n">
        <x:f>Q19-Q17-Q18</x:f>
        <x:v>41904651.5766983</x:v>
      </x:c>
      <x:c r="R20" s="28" t="n">
        <x:f>R19-R17-R18</x:f>
        <x:v>38307752.438925125</x:v>
      </x:c>
      <x:c r="S20" s="28" t="n">
        <x:f>S19-S17-S18</x:f>
        <x:v>32453499.299338046</x:v>
      </x:c>
      <x:c r="T20" s="28" t="n">
        <x:f>T19-T17-T18</x:f>
        <x:v>33042579.26688383</x:v>
      </x:c>
      <x:c r="U20" s="28" t="n">
        <x:f>U19-U17-U18</x:f>
        <x:v>33469106.374527637</x:v>
      </x:c>
      <x:c r="V20" s="28" t="n">
        <x:f>V19-V17-V18</x:f>
        <x:v>34350998.587286934</x:v>
      </x:c>
      <x:c r="W20" s="28" t="n">
        <x:f>W19-W17-W18</x:f>
        <x:v>36946852.69108504</x:v>
      </x:c>
      <x:c r="X20" s="28" t="n">
        <x:f>X19-X17-X18</x:f>
        <x:v>39567040.28295036</x:v>
      </x:c>
      <x:c r="Y20" s="28" t="n">
        <x:f>Y19-Y17-Y18</x:f>
        <x:v>40945437.301114745</x:v>
      </x:c>
      <x:c r="Z20" s="28" t="n">
        <x:f>Z19-Z17-Z18</x:f>
        <x:v>38227992.35988121</x:v>
      </x:c>
      <x:c r="AA20" s="28" t="n">
        <x:f>AA19-AA17-AA18</x:f>
        <x:v>37202222.345689386</x:v>
      </x:c>
      <x:c r="AB20" s="28" t="n">
        <x:f>AB19-AB17-AB18</x:f>
        <x:v>37950502.33973929</x:v>
      </x:c>
      <x:c r="AC20" s="28" t="n">
        <x:f>AC19-AC17-AC18</x:f>
        <x:v>41980215.965436086</x:v>
      </x:c>
      <x:c r="AD20" s="28" t="n">
        <x:f>AD19-AD17-AD18</x:f>
        <x:v>38307752.438925125</x:v>
      </x:c>
      <x:c r="AE20" s="28" t="n">
        <x:f>AE19-AE17-AE18</x:f>
        <x:v>31334413.11660225</x:v>
      </x:c>
      <x:c r="AF20" s="28" t="n">
        <x:f>AF19-AF17-AF18</x:f>
        <x:v>33042579.26688383</x:v>
      </x:c>
      <x:c r="AG20" s="28" t="n">
        <x:f>AG19-AG17-AG18</x:f>
        <x:v>33469106.374527637</x:v>
      </x:c>
      <x:c r="AH20" s="28" t="n">
        <x:f>AH19-AH17-AH18</x:f>
        <x:v>34350998.587286934</x:v>
      </x:c>
      <x:c r="AI20" s="28" t="n">
        <x:f>AI19-AI17-AI18</x:f>
        <x:v>36946852.69108504</x:v>
      </x:c>
      <x:c r="AJ20" s="28" t="n">
        <x:f>AJ19-AJ17-AJ18</x:f>
        <x:v>39567040.28295036</x:v>
      </x:c>
      <x:c r="AK20" s="28" t="n">
        <x:f>AK19-AK17-AK18</x:f>
        <x:v>40945437.301114745</x:v>
      </x:c>
      <x:c r="AL20" s="92" t="n">
        <x:f>AL19-AL17-AL18</x:f>
        <x:v>38227992.35988121</x:v>
      </x:c>
      <x:c r="AM20" s="92" t="n">
        <x:f>AM19-AM17-AM18</x:f>
        <x:v>37202222.345689386</x:v>
      </x:c>
      <x:c r="AN20" s="92" t="n">
        <x:f>AN19-AN17-AN18</x:f>
        <x:v>37950502.33973929</x:v>
      </x:c>
      <x:c r="AO20" s="92" t="n">
        <x:f>AO19-AO17-AO18</x:f>
        <x:v>41980215.965436086</x:v>
      </x:c>
      <x:c r="AP20" s="92" t="n">
        <x:f>AP19-AP17-AP18</x:f>
        <x:v>38307752.438925125</x:v>
      </x:c>
      <x:c r="AQ20" s="92" t="n">
        <x:f>AQ19-AQ17-AQ18</x:f>
        <x:v>31334413.11660225</x:v>
      </x:c>
      <x:c r="AR20" s="92" t="n">
        <x:f>AR19-AR17-AR18</x:f>
        <x:v>33042579.26688383</x:v>
      </x:c>
      <x:c r="AS20" s="92" t="n">
        <x:f>AS19-AS17-AS18</x:f>
        <x:v>33469106.374527637</x:v>
      </x:c>
      <x:c r="AT20" s="92" t="n">
        <x:f>AT19-AT17-AT18</x:f>
        <x:v>34350998.587286934</x:v>
      </x:c>
      <x:c r="AU20" s="92" t="n">
        <x:f>AU19-AU17-AU18</x:f>
        <x:v>36946852.69108504</x:v>
      </x:c>
      <x:c r="AV20" s="92" t="n">
        <x:f>AV19-AV17-AV18</x:f>
        <x:v>39567040.28295036</x:v>
      </x:c>
      <x:c r="AW20" s="92" t="n">
        <x:f>AW19-AW17-AW18</x:f>
        <x:v>40945437.301114745</x:v>
      </x:c>
      <x:c r="AX20" s="92" t="n">
        <x:f>AX19-AX17-AX18</x:f>
        <x:v>38227992.35988121</x:v>
      </x:c>
      <x:c r="AY20" s="92" t="n">
        <x:f>AY19-AY17-AY18</x:f>
        <x:v>37202222.345689386</x:v>
      </x:c>
      <x:c r="AZ20" s="92" t="n">
        <x:f>AZ19-AZ17-AZ18</x:f>
        <x:v>37950502.33973929</x:v>
      </x:c>
      <x:c r="BA20" s="92" t="n">
        <x:f>BA19-BA17-BA18</x:f>
        <x:v>41980215.965436086</x:v>
      </x:c>
      <x:c r="BB20" s="92" t="n">
        <x:f>BB19-BB17-BB18</x:f>
        <x:v>38307752.438925125</x:v>
      </x:c>
      <x:c r="BC20" s="92" t="n">
        <x:f>BC19-BC17-BC18</x:f>
        <x:v>31334413.11660225</x:v>
      </x:c>
      <x:c r="BD20" s="92" t="n">
        <x:f>BD19-BD17-BD18</x:f>
        <x:v>33042579.26688383</x:v>
      </x:c>
      <x:c r="BE20" s="92" t="n">
        <x:f>BE19-BE17-BE18</x:f>
        <x:v>33469106.374527637</x:v>
      </x:c>
      <x:c r="BF20" s="92" t="n">
        <x:f>BF19-BF17-BF18</x:f>
        <x:v>34350998.587286934</x:v>
      </x:c>
      <x:c r="BG20" s="92" t="n">
        <x:f>BG19-BG17-BG18</x:f>
        <x:v>36946852.69108504</x:v>
      </x:c>
      <x:c r="BH20" s="92" t="n">
        <x:f>BH19-BH17-BH18</x:f>
        <x:v>39567040.28295036</x:v>
      </x:c>
      <x:c r="BI20" s="92" t="n">
        <x:f>BI19-BI17-BI18</x:f>
        <x:v>40945437.301114745</x:v>
      </x:c>
    </x:row>
    <x:row r="22">
      <x:c r="A22" t="str">
        <x:v>源期间加权季节指数</x:v>
      </x:c>
      <x:c r="B22" s="87" t="n">
        <x:f>IF(SUM('年度季节曲线'!$M$6:$M$17)=0,0,SUM('年度季节曲线'!$N$6:$N$17)/SUM('年度季节曲线'!$M$6:$M$17))</x:f>
        <x:v>1.0513885012534316</x:v>
      </x:c>
    </x:row>
    <x:row r="23">
      <x:c r="A23" t="str">
        <x:v>年均单枪日服务费</x:v>
      </x:c>
      <x:c r="B23" s="87" t="n">
        <x:f>IF($B$22=0,0,IF('核心假设'!$B$41="P25",'历史单枪模型'!$M$5,IF('核心假设'!$B$41="加权",'历史单枪模型'!$M$7,'历史单枪模型'!$M$6))/$B$22)</x:f>
        <x:v>57.8045127253589</x:v>
      </x:c>
    </x:row>
    <x:row r="24">
      <x:c r="A24" t="str">
        <x:v>历史服务费/交易额</x:v>
      </x:c>
      <x:c r="B24" s="87" t="n">
        <x:f>IF(SUM('历史原始数据'!$M$2:$M$3050)=0,0,SUM('历史原始数据'!$O$2:$O$3050)/SUM('历史原始数据'!$M$2:$M$3050))</x:f>
        <x:v>0</x:v>
      </x:c>
    </x:row>
  </x:sheetData>
  <x:mergeCells>
    <x:mergeCell ref="A1:BI1"/>
    <x:mergeCell ref="A3:BI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6" customHeight="1">
      <x:c r="A1" s="4" t="str">
        <x:v>融资租赁与资金缺口｜批次摊销、应付款、现金与DSCR</x:v>
      </x:c>
      <x:c r="B1" s="4" t="str">
        <x:v>融资租赁与资金缺口｜批次摊销、应付款、现金与DSCR</x:v>
      </x:c>
      <x:c r="C1" s="4" t="str">
        <x:v>融资租赁与资金缺口｜批次摊销、应付款、现金与DSCR</x:v>
      </x:c>
      <x:c r="D1" s="4" t="str">
        <x:v>融资租赁与资金缺口｜批次摊销、应付款、现金与DSCR</x:v>
      </x:c>
      <x:c r="E1" s="4" t="str">
        <x:v>融资租赁与资金缺口｜批次摊销、应付款、现金与DSCR</x:v>
      </x:c>
      <x:c r="F1" s="4" t="str">
        <x:v>融资租赁与资金缺口｜批次摊销、应付款、现金与DSCR</x:v>
      </x:c>
      <x:c r="G1" s="4" t="str">
        <x:v>融资租赁与资金缺口｜批次摊销、应付款、现金与DSCR</x:v>
      </x:c>
      <x:c r="H1" s="4" t="str">
        <x:v>融资租赁与资金缺口｜批次摊销、应付款、现金与DSCR</x:v>
      </x:c>
      <x:c r="I1" s="4" t="str">
        <x:v>融资租赁与资金缺口｜批次摊销、应付款、现金与DSCR</x:v>
      </x:c>
      <x:c r="J1" s="4" t="str">
        <x:v>融资租赁与资金缺口｜批次摊销、应付款、现金与DSCR</x:v>
      </x:c>
      <x:c r="K1" s="4" t="str">
        <x:v>融资租赁与资金缺口｜批次摊销、应付款、现金与DSCR</x:v>
      </x:c>
      <x:c r="L1" s="4" t="str">
        <x:v>融资租赁与资金缺口｜批次摊销、应付款、现金与DSCR</x:v>
      </x:c>
      <x:c r="M1" s="4" t="str">
        <x:v>融资租赁与资金缺口｜批次摊销、应付款、现金与DSCR</x:v>
      </x:c>
      <x:c r="N1" s="4" t="str">
        <x:v>融资租赁与资金缺口｜批次摊销、应付款、现金与DSCR</x:v>
      </x:c>
      <x:c r="O1" s="4" t="str">
        <x:v>融资租赁与资金缺口｜批次摊销、应付款、现金与DSCR</x:v>
      </x:c>
      <x:c r="P1" s="4" t="str">
        <x:v>融资租赁与资金缺口｜批次摊销、应付款、现金与DSCR</x:v>
      </x:c>
      <x:c r="Q1" s="4" t="str">
        <x:v>融资租赁与资金缺口｜批次摊销、应付款、现金与DSCR</x:v>
      </x:c>
      <x:c r="R1" s="4" t="str">
        <x:v>融资租赁与资金缺口｜批次摊销、应付款、现金与DSCR</x:v>
      </x:c>
      <x:c r="S1" s="4" t="str">
        <x:v>融资租赁与资金缺口｜批次摊销、应付款、现金与DSCR</x:v>
      </x:c>
      <x:c r="T1" s="4" t="str">
        <x:v>融资租赁与资金缺口｜批次摊销、应付款、现金与DSCR</x:v>
      </x:c>
      <x:c r="U1" s="4" t="str">
        <x:v>融资租赁与资金缺口｜批次摊销、应付款、现金与DSCR</x:v>
      </x:c>
      <x:c r="V1" s="4" t="str">
        <x:v>融资租赁与资金缺口｜批次摊销、应付款、现金与DSCR</x:v>
      </x:c>
      <x:c r="W1" s="4" t="str">
        <x:v>融资租赁与资金缺口｜批次摊销、应付款、现金与DSCR</x:v>
      </x:c>
      <x:c r="X1" s="4" t="str">
        <x:v>融资租赁与资金缺口｜批次摊销、应付款、现金与DSCR</x:v>
      </x:c>
      <x:c r="Y1" s="4" t="str">
        <x:v>融资租赁与资金缺口｜批次摊销、应付款、现金与DSCR</x:v>
      </x:c>
      <x:c r="Z1" s="4" t="str">
        <x:v>融资租赁与资金缺口｜批次摊销、应付款、现金与DSCR</x:v>
      </x:c>
      <x:c r="AA1" s="4" t="str">
        <x:v>融资租赁与资金缺口｜批次摊销、应付款、现金与DSCR</x:v>
      </x:c>
      <x:c r="AB1" s="4" t="str">
        <x:v>融资租赁与资金缺口｜批次摊销、应付款、现金与DSCR</x:v>
      </x:c>
      <x:c r="AC1" s="4" t="str">
        <x:v>融资租赁与资金缺口｜批次摊销、应付款、现金与DSCR</x:v>
      </x:c>
      <x:c r="AD1" s="4" t="str">
        <x:v>融资租赁与资金缺口｜批次摊销、应付款、现金与DSCR</x:v>
      </x:c>
      <x:c r="AE1" s="4" t="str">
        <x:v>融资租赁与资金缺口｜批次摊销、应付款、现金与DSCR</x:v>
      </x:c>
      <x:c r="AF1" s="4" t="str">
        <x:v>融资租赁与资金缺口｜批次摊销、应付款、现金与DSCR</x:v>
      </x:c>
      <x:c r="AG1" s="4" t="str">
        <x:v>融资租赁与资金缺口｜批次摊销、应付款、现金与DSCR</x:v>
      </x:c>
      <x:c r="AH1" s="4" t="str">
        <x:v>融资租赁与资金缺口｜批次摊销、应付款、现金与DSCR</x:v>
      </x:c>
      <x:c r="AI1" s="4" t="str">
        <x:v>融资租赁与资金缺口｜批次摊销、应付款、现金与DSCR</x:v>
      </x:c>
      <x:c r="AJ1" s="4" t="str">
        <x:v>融资租赁与资金缺口｜批次摊销、应付款、现金与DSCR</x:v>
      </x:c>
      <x:c r="AK1" s="4" t="str">
        <x:v>融资租赁与资金缺口｜批次摊销、应付款、现金与DSCR</x:v>
      </x:c>
      <x:c r="AL1" s="4" t="str">
        <x:v>融资租赁与资金缺口｜批次摊销、应付款、现金与DSCR</x:v>
      </x:c>
      <x:c r="AM1" s="4" t="str">
        <x:v>融资租赁与资金缺口｜批次摊销、应付款、现金与DSCR</x:v>
      </x:c>
      <x:c r="AN1" s="4" t="str">
        <x:v>融资租赁与资金缺口｜批次摊销、应付款、现金与DSCR</x:v>
      </x:c>
      <x:c r="AO1" s="4" t="str">
        <x:v>融资租赁与资金缺口｜批次摊销、应付款、现金与DSCR</x:v>
      </x:c>
      <x:c r="AP1" s="4" t="str">
        <x:v>融资租赁与资金缺口｜批次摊销、应付款、现金与DSCR</x:v>
      </x:c>
      <x:c r="AQ1" s="4" t="str">
        <x:v>融资租赁与资金缺口｜批次摊销、应付款、现金与DSCR</x:v>
      </x:c>
      <x:c r="AR1" s="4" t="str">
        <x:v>融资租赁与资金缺口｜批次摊销、应付款、现金与DSCR</x:v>
      </x:c>
      <x:c r="AS1" s="4" t="str">
        <x:v>融资租赁与资金缺口｜批次摊销、应付款、现金与DSCR</x:v>
      </x:c>
      <x:c r="AT1" s="4" t="str">
        <x:v>融资租赁与资金缺口｜批次摊销、应付款、现金与DSCR</x:v>
      </x:c>
      <x:c r="AU1" s="4" t="str">
        <x:v>融资租赁与资金缺口｜批次摊销、应付款、现金与DSCR</x:v>
      </x:c>
      <x:c r="AV1" s="4" t="str">
        <x:v>融资租赁与资金缺口｜批次摊销、应付款、现金与DSCR</x:v>
      </x:c>
      <x:c r="AW1" s="4" t="str">
        <x:v>融资租赁与资金缺口｜批次摊销、应付款、现金与DSCR</x:v>
      </x:c>
      <x:c r="AX1" s="4" t="str">
        <x:v>融资租赁与资金缺口｜批次摊销、应付款、现金与DSCR</x:v>
      </x:c>
      <x:c r="AY1" s="4" t="str">
        <x:v>融资租赁与资金缺口｜批次摊销、应付款、现金与DSCR</x:v>
      </x:c>
      <x:c r="AZ1" s="4" t="str">
        <x:v>融资租赁与资金缺口｜批次摊销、应付款、现金与DSCR</x:v>
      </x:c>
      <x:c r="BA1" s="4" t="str">
        <x:v>融资租赁与资金缺口｜批次摊销、应付款、现金与DSCR</x:v>
      </x:c>
      <x:c r="BB1" s="4" t="str">
        <x:v>融资租赁与资金缺口｜批次摊销、应付款、现金与DSCR</x:v>
      </x:c>
      <x:c r="BC1" s="4" t="str">
        <x:v>融资租赁与资金缺口｜批次摊销、应付款、现金与DSCR</x:v>
      </x:c>
      <x:c r="BD1" s="4" t="str">
        <x:v>融资租赁与资金缺口｜批次摊销、应付款、现金与DSCR</x:v>
      </x:c>
      <x:c r="BE1" s="4" t="str">
        <x:v>融资租赁与资金缺口｜批次摊销、应付款、现金与DSCR</x:v>
      </x:c>
      <x:c r="BF1" s="4" t="str">
        <x:v>融资租赁与资金缺口｜批次摊销、应付款、现金与DSCR</x:v>
      </x:c>
      <x:c r="BG1" s="4" t="str">
        <x:v>融资租赁与资金缺口｜批次摊销、应付款、现金与DSCR</x:v>
      </x:c>
      <x:c r="BH1" s="4" t="str">
        <x:v>融资租赁与资金缺口｜批次摊销、应付款、现金与DSCR</x:v>
      </x:c>
      <x:c r="BI1" s="4" t="str">
        <x:v>融资租赁与资金缺口｜批次摊销、应付款、现金与DSCR</x:v>
      </x:c>
    </x:row>
    <x:row r="3">
      <x:c r="A3" s="13" t="str">
        <x:v>每个上线月为独立融资批次</x:v>
      </x:c>
      <x:c r="B3" s="14" t="str">
        <x:v>每个上线月为独立融资批次</x:v>
      </x:c>
      <x:c r="C3" s="14" t="str">
        <x:v>每个上线月为独立融资批次</x:v>
      </x:c>
      <x:c r="D3" s="14" t="str">
        <x:v>每个上线月为独立融资批次</x:v>
      </x:c>
      <x:c r="E3" s="14" t="str">
        <x:v>每个上线月为独立融资批次</x:v>
      </x:c>
      <x:c r="F3" s="14" t="str">
        <x:v>每个上线月为独立融资批次</x:v>
      </x:c>
      <x:c r="G3" s="14" t="str">
        <x:v>每个上线月为独立融资批次</x:v>
      </x:c>
      <x:c r="H3" s="14" t="str">
        <x:v>每个上线月为独立融资批次</x:v>
      </x:c>
      <x:c r="I3" s="14" t="str">
        <x:v>每个上线月为独立融资批次</x:v>
      </x:c>
      <x:c r="J3" s="14" t="str">
        <x:v>每个上线月为独立融资批次</x:v>
      </x:c>
      <x:c r="K3" s="14" t="str">
        <x:v>每个上线月为独立融资批次</x:v>
      </x:c>
      <x:c r="L3" s="14" t="str">
        <x:v>每个上线月为独立融资批次</x:v>
      </x:c>
      <x:c r="M3" s="14" t="str">
        <x:v>每个上线月为独立融资批次</x:v>
      </x:c>
      <x:c r="N3" s="14" t="str">
        <x:v>每个上线月为独立融资批次</x:v>
      </x:c>
      <x:c r="O3" s="15" t="str">
        <x:v>每个上线月为独立融资批次</x:v>
      </x:c>
    </x:row>
    <x:row r="4">
      <x:c r="A4" s="108" t="str">
        <x:v>批次</x:v>
      </x:c>
      <x:c r="B4" s="109" t="str">
        <x:v>上线月</x:v>
      </x:c>
      <x:c r="C4" s="109" t="str">
        <x:v>选定月</x:v>
      </x:c>
      <x:c r="D4" s="109" t="str">
        <x:v>融资租赁原值</x:v>
      </x:c>
      <x:c r="E4" s="109" t="str">
        <x:v>融资额</x:v>
      </x:c>
      <x:c r="F4" s="109" t="str">
        <x:v>放款月</x:v>
      </x:c>
      <x:c r="G4" s="109" t="str">
        <x:v>期限</x:v>
      </x:c>
      <x:c r="H4" s="109" t="str">
        <x:v>年化成本</x:v>
      </x:c>
      <x:c r="I4" s="109" t="str">
        <x:v>月利率</x:v>
      </x:c>
      <x:c r="J4" s="109" t="str">
        <x:v>留购款</x:v>
      </x:c>
      <x:c r="K4" s="109" t="str">
        <x:v>月租金</x:v>
      </x:c>
      <x:c r="L4" s="109" t="str">
        <x:v>供应商付款月</x:v>
      </x:c>
      <x:c r="M4" s="109" t="str">
        <x:v>总投资</x:v>
      </x:c>
      <x:c r="N4" s="109" t="str">
        <x:v>渠道费用</x:v>
      </x:c>
      <x:c r="O4" s="110" t="str">
        <x:v>放款时点差</x:v>
      </x:c>
    </x:row>
    <x:row r="5">
      <x:c r="A5" s="30" t="str">
        <x:v>批次01</x:v>
      </x:c>
      <x:c r="B5" s="111" t="n">
        <x:f>'月度投放计划'!J$4</x:f>
        <x:v>46266</x:v>
      </x:c>
      <x:c r="C5" s="111" t="n">
        <x:f>'月度投放计划'!J$22</x:f>
        <x:v>46235</x:v>
      </x:c>
      <x:c r="D5" s="112" t="n">
        <x:f>'月度投放计划'!J$15*'单站成本'!$F$5+'月度投放计划'!J$16*'单站成本'!$F$6</x:f>
        <x:v>22992000</x:v>
      </x:c>
      <x:c r="E5" s="112" t="n">
        <x:f>D5*'核心假设'!$B$27</x:f>
        <x:v>22992000</x:v>
      </x:c>
      <x:c r="F5" s="111" t="n">
        <x:f>'月度投放计划'!J$24</x:f>
        <x:v>46296</x:v>
      </x:c>
      <x:c r="G5" s="113" t="n">
        <x:f>'核心假设'!$B$28</x:f>
        <x:v>36</x:v>
      </x:c>
      <x:c r="H5" s="114" t="n">
        <x:f>'核心假设'!$B$29</x:f>
        <x:v>0.08</x:v>
      </x:c>
      <x:c r="I5" s="114" t="n">
        <x:f>H5/12</x:f>
        <x:v>0.006666666666666667</x:v>
      </x:c>
      <x:c r="J5" s="112" t="n">
        <x:f>D5*'核心假设'!$B$32</x:f>
        <x:v>229920</x:v>
      </x:c>
      <x:c r="K5" s="112" t="n">
        <x:f>IF(I5=0,(E5-J5)/G5,(E5-J5/(1+I5)^G5)*I5/(1-(1+I5)^-G5))</x:f>
        <x:v>714813.6575423323</x:v>
      </x:c>
      <x:c r="L5" s="112" t="n">
        <x:f>'月度投放计划'!J$23</x:f>
        <x:v>46296</x:v>
      </x:c>
      <x:c r="M5" s="112" t="n">
        <x:f>'月度投放计划'!J$15*'单站成本'!$E$5+'月度投放计划'!J$16*'单站成本'!$E$6</x:f>
        <x:v>26772000</x:v>
      </x:c>
      <x:c r="N5" s="112" t="n">
        <x:f>'月度投放计划'!J$15*'单站成本'!$D$5+'月度投放计划'!J$16*'单站成本'!$D$6</x:f>
        <x:v>3780000</x:v>
      </x:c>
      <x:c r="O5" s="113" t="n">
        <x:f>(YEAR(F5)-YEAR(B5))*12+MONTH(F5)-MONTH(B5)-'核心假设'!$B$30</x:f>
        <x:v>0</x:v>
      </x:c>
    </x:row>
    <x:row r="6">
      <x:c r="A6" s="30" t="str">
        <x:v>批次02</x:v>
      </x:c>
      <x:c r="B6" s="111" t="n">
        <x:f>'月度投放计划'!K$4</x:f>
        <x:v>46296</x:v>
      </x:c>
      <x:c r="C6" s="111" t="n">
        <x:f>'月度投放计划'!K$22</x:f>
        <x:v>46266</x:v>
      </x:c>
      <x:c r="D6" s="112" t="n">
        <x:f>'月度投放计划'!K$15*'单站成本'!$F$5+'月度投放计划'!K$16*'单站成本'!$F$6</x:f>
        <x:v>27567000</x:v>
      </x:c>
      <x:c r="E6" s="112" t="n">
        <x:f>D6*'核心假设'!$B$27</x:f>
        <x:v>27567000</x:v>
      </x:c>
      <x:c r="F6" s="111" t="n">
        <x:f>'月度投放计划'!K$24</x:f>
        <x:v>46327</x:v>
      </x:c>
      <x:c r="G6" s="113" t="n">
        <x:f>'核心假设'!$B$28</x:f>
        <x:v>36</x:v>
      </x:c>
      <x:c r="H6" s="114" t="n">
        <x:f>'核心假设'!$B$29</x:f>
        <x:v>0.08</x:v>
      </x:c>
      <x:c r="I6" s="114" t="n">
        <x:f>H6/12</x:f>
        <x:v>0.006666666666666667</x:v>
      </x:c>
      <x:c r="J6" s="112" t="n">
        <x:f>D6*'核心假设'!$B$32</x:f>
        <x:v>275670</x:v>
      </x:c>
      <x:c r="K6" s="112" t="n">
        <x:f>IF(I6=0,(E6-J6)/G6,(E6-J6/(1+I6)^G6)*I6/(1-(1+I6)^-G6))</x:f>
        <x:v>857048.8908085193</x:v>
      </x:c>
      <x:c r="L6" s="112" t="n">
        <x:f>'月度投放计划'!K$23</x:f>
        <x:v>46327</x:v>
      </x:c>
      <x:c r="M6" s="112" t="n">
        <x:f>'月度投放计划'!K$15*'单站成本'!$E$5+'月度投放计划'!K$16*'单站成本'!$E$6</x:f>
        <x:v>32097000</x:v>
      </x:c>
      <x:c r="N6" s="112" t="n">
        <x:f>'月度投放计划'!K$15*'单站成本'!$D$5+'月度投放计划'!K$16*'单站成本'!$D$6</x:f>
        <x:v>4530000</x:v>
      </x:c>
      <x:c r="O6" s="113" t="n">
        <x:f>(YEAR(F6)-YEAR(B6))*12+MONTH(F6)-MONTH(B6)-'核心假设'!$B$30</x:f>
        <x:v>0</x:v>
      </x:c>
    </x:row>
    <x:row r="7">
      <x:c r="A7" s="30" t="str">
        <x:v>批次03</x:v>
      </x:c>
      <x:c r="B7" s="111" t="n">
        <x:f>'月度投放计划'!L$4</x:f>
        <x:v>46327</x:v>
      </x:c>
      <x:c r="C7" s="111" t="n">
        <x:f>'月度投放计划'!L$22</x:f>
        <x:v>46296</x:v>
      </x:c>
      <x:c r="D7" s="112" t="n">
        <x:f>'月度投放计划'!L$15*'单站成本'!$F$5+'月度投放计划'!L$16*'单站成本'!$F$6</x:f>
        <x:v>32103000</x:v>
      </x:c>
      <x:c r="E7" s="112" t="n">
        <x:f>D7*'核心假设'!$B$27</x:f>
        <x:v>32103000</x:v>
      </x:c>
      <x:c r="F7" s="111" t="n">
        <x:f>'月度投放计划'!L$24</x:f>
        <x:v>46357</x:v>
      </x:c>
      <x:c r="G7" s="113" t="n">
        <x:f>'核心假设'!$B$28</x:f>
        <x:v>36</x:v>
      </x:c>
      <x:c r="H7" s="114" t="n">
        <x:f>'核心假设'!$B$29</x:f>
        <x:v>0.08</x:v>
      </x:c>
      <x:c r="I7" s="114" t="n">
        <x:f>H7/12</x:f>
        <x:v>0.006666666666666667</x:v>
      </x:c>
      <x:c r="J7" s="112" t="n">
        <x:f>D7*'核心假设'!$B$32</x:f>
        <x:v>321030</x:v>
      </x:c>
      <x:c r="K7" s="112" t="n">
        <x:f>IF(I7=0,(E7-J7)/G7,(E7-J7/(1+I7)^G7)*I7/(1-(1+I7)^-G7))</x:f>
        <x:v>998071.6270042404</x:v>
      </x:c>
      <x:c r="L7" s="112" t="n">
        <x:f>'月度投放计划'!L$23</x:f>
        <x:v>46357</x:v>
      </x:c>
      <x:c r="M7" s="112" t="n">
        <x:f>'月度投放计划'!L$15*'单站成本'!$E$5+'月度投放计划'!L$16*'单站成本'!$E$6</x:f>
        <x:v>37373000</x:v>
      </x:c>
      <x:c r="N7" s="112" t="n">
        <x:f>'月度投放计划'!L$15*'单站成本'!$D$5+'月度投放计划'!L$16*'单站成本'!$D$6</x:f>
        <x:v>5270000</x:v>
      </x:c>
      <x:c r="O7" s="113" t="n">
        <x:f>(YEAR(F7)-YEAR(B7))*12+MONTH(F7)-MONTH(B7)-'核心假设'!$B$30</x:f>
        <x:v>0</x:v>
      </x:c>
    </x:row>
    <x:row r="8">
      <x:c r="A8" s="30" t="str">
        <x:v>批次04</x:v>
      </x:c>
      <x:c r="B8" s="111" t="n">
        <x:f>'月度投放计划'!M$4</x:f>
        <x:v>46357</x:v>
      </x:c>
      <x:c r="C8" s="111" t="n">
        <x:f>'月度投放计划'!M$22</x:f>
        <x:v>46327</x:v>
      </x:c>
      <x:c r="D8" s="112" t="n">
        <x:f>'月度投放计划'!M$15*'单站成本'!$F$5+'月度投放计划'!M$16*'单站成本'!$F$6</x:f>
        <x:v>36678000</x:v>
      </x:c>
      <x:c r="E8" s="112" t="n">
        <x:f>D8*'核心假设'!$B$27</x:f>
        <x:v>36678000</x:v>
      </x:c>
      <x:c r="F8" s="111" t="n">
        <x:f>'月度投放计划'!M$24</x:f>
        <x:v>46388</x:v>
      </x:c>
      <x:c r="G8" s="113" t="n">
        <x:f>'核心假设'!$B$28</x:f>
        <x:v>36</x:v>
      </x:c>
      <x:c r="H8" s="114" t="n">
        <x:f>'核心假设'!$B$29</x:f>
        <x:v>0.08</x:v>
      </x:c>
      <x:c r="I8" s="114" t="n">
        <x:f>H8/12</x:f>
        <x:v>0.006666666666666667</x:v>
      </x:c>
      <x:c r="J8" s="112" t="n">
        <x:f>D8*'核心假设'!$B$32</x:f>
        <x:v>366780</x:v>
      </x:c>
      <x:c r="K8" s="112" t="n">
        <x:f>IF(I8=0,(E8-J8)/G8,(E8-J8/(1+I8)^G8)*I8/(1-(1+I8)^-G8))</x:f>
        <x:v>1140306.8602704273</x:v>
      </x:c>
      <x:c r="L8" s="112" t="n">
        <x:f>'月度投放计划'!M$23</x:f>
        <x:v>46388</x:v>
      </x:c>
      <x:c r="M8" s="112" t="n">
        <x:f>'月度投放计划'!M$15*'单站成本'!$E$5+'月度投放计划'!M$16*'单站成本'!$E$6</x:f>
        <x:v>42698000</x:v>
      </x:c>
      <x:c r="N8" s="112" t="n">
        <x:f>'月度投放计划'!M$15*'单站成本'!$D$5+'月度投放计划'!M$16*'单站成本'!$D$6</x:f>
        <x:v>6020000</x:v>
      </x:c>
      <x:c r="O8" s="113" t="n">
        <x:f>(YEAR(F8)-YEAR(B8))*12+MONTH(F8)-MONTH(B8)-'核心假设'!$B$30</x:f>
        <x:v>0</x:v>
      </x:c>
    </x:row>
    <x:row r="9">
      <x:c r="A9" s="30" t="str">
        <x:v>批次05</x:v>
      </x:c>
      <x:c r="B9" s="111" t="n">
        <x:f>'月度投放计划'!N$4</x:f>
        <x:v>46388</x:v>
      </x:c>
      <x:c r="C9" s="111" t="n">
        <x:f>'月度投放计划'!N$22</x:f>
        <x:v>46357</x:v>
      </x:c>
      <x:c r="D9" s="112" t="n">
        <x:f>'月度投放计划'!N$15*'单站成本'!$F$5+'月度投放计划'!N$16*'单站成本'!$F$6</x:f>
        <x:v>41253000</x:v>
      </x:c>
      <x:c r="E9" s="112" t="n">
        <x:f>D9*'核心假设'!$B$27</x:f>
        <x:v>41253000</x:v>
      </x:c>
      <x:c r="F9" s="111" t="n">
        <x:f>'月度投放计划'!N$24</x:f>
        <x:v>46419</x:v>
      </x:c>
      <x:c r="G9" s="113" t="n">
        <x:f>'核心假设'!$B$28</x:f>
        <x:v>36</x:v>
      </x:c>
      <x:c r="H9" s="114" t="n">
        <x:f>'核心假设'!$B$29</x:f>
        <x:v>0.08</x:v>
      </x:c>
      <x:c r="I9" s="114" t="n">
        <x:f>H9/12</x:f>
        <x:v>0.006666666666666667</x:v>
      </x:c>
      <x:c r="J9" s="112" t="n">
        <x:f>D9*'核心假设'!$B$32</x:f>
        <x:v>412530</x:v>
      </x:c>
      <x:c r="K9" s="112" t="n">
        <x:f>IF(I9=0,(E9-J9)/G9,(E9-J9/(1+I9)^G9)*I9/(1-(1+I9)^-G9))</x:f>
        <x:v>1282542.0935366142</x:v>
      </x:c>
      <x:c r="L9" s="112" t="n">
        <x:f>'月度投放计划'!N$23</x:f>
        <x:v>46419</x:v>
      </x:c>
      <x:c r="M9" s="112" t="n">
        <x:f>'月度投放计划'!N$15*'单站成本'!$E$5+'月度投放计划'!N$16*'单站成本'!$E$6</x:f>
        <x:v>48023000</x:v>
      </x:c>
      <x:c r="N9" s="112" t="n">
        <x:f>'月度投放计划'!N$15*'单站成本'!$D$5+'月度投放计划'!N$16*'单站成本'!$D$6</x:f>
        <x:v>6770000</x:v>
      </x:c>
      <x:c r="O9" s="113" t="n">
        <x:f>(YEAR(F9)-YEAR(B9))*12+MONTH(F9)-MONTH(B9)-'核心假设'!$B$30</x:f>
        <x:v>0</x:v>
      </x:c>
    </x:row>
    <x:row r="10">
      <x:c r="A10" s="30" t="str">
        <x:v>批次06</x:v>
      </x:c>
      <x:c r="B10" s="111" t="n">
        <x:f>'月度投放计划'!O$4</x:f>
        <x:v>46419</x:v>
      </x:c>
      <x:c r="C10" s="111" t="n">
        <x:f>'月度投放计划'!O$22</x:f>
        <x:v>46388</x:v>
      </x:c>
      <x:c r="D10" s="112" t="n">
        <x:f>'月度投放计划'!O$15*'单站成本'!$F$5+'月度投放计划'!O$16*'单站成本'!$F$6</x:f>
        <x:v>45828000</x:v>
      </x:c>
      <x:c r="E10" s="112" t="n">
        <x:f>D10*'核心假设'!$B$27</x:f>
        <x:v>45828000</x:v>
      </x:c>
      <x:c r="F10" s="111" t="n">
        <x:f>'月度投放计划'!O$24</x:f>
        <x:v>46447</x:v>
      </x:c>
      <x:c r="G10" s="113" t="n">
        <x:f>'核心假设'!$B$28</x:f>
        <x:v>36</x:v>
      </x:c>
      <x:c r="H10" s="114" t="n">
        <x:f>'核心假设'!$B$29</x:f>
        <x:v>0.08</x:v>
      </x:c>
      <x:c r="I10" s="114" t="n">
        <x:f>H10/12</x:f>
        <x:v>0.006666666666666667</x:v>
      </x:c>
      <x:c r="J10" s="112" t="n">
        <x:f>D10*'核心假设'!$B$32</x:f>
        <x:v>458280</x:v>
      </x:c>
      <x:c r="K10" s="112" t="n">
        <x:f>IF(I10=0,(E10-J10)/G10,(E10-J10/(1+I10)^G10)*I10/(1-(1+I10)^-G10))</x:f>
        <x:v>1424777.326802801</x:v>
      </x:c>
      <x:c r="L10" s="112" t="n">
        <x:f>'月度投放计划'!O$23</x:f>
        <x:v>46447</x:v>
      </x:c>
      <x:c r="M10" s="112" t="n">
        <x:f>'月度投放计划'!O$15*'单站成本'!$E$5+'月度投放计划'!O$16*'单站成本'!$E$6</x:f>
        <x:v>53348000</x:v>
      </x:c>
      <x:c r="N10" s="112" t="n">
        <x:f>'月度投放计划'!O$15*'单站成本'!$D$5+'月度投放计划'!O$16*'单站成本'!$D$6</x:f>
        <x:v>7520000</x:v>
      </x:c>
      <x:c r="O10" s="113" t="n">
        <x:f>(YEAR(F10)-YEAR(B10))*12+MONTH(F10)-MONTH(B10)-'核心假设'!$B$30</x:f>
        <x:v>0</x:v>
      </x:c>
    </x:row>
    <x:row r="11">
      <x:c r="A11" s="30" t="str">
        <x:v>批次07</x:v>
      </x:c>
      <x:c r="B11" s="111" t="n">
        <x:f>'月度投放计划'!P$4</x:f>
        <x:v>46447</x:v>
      </x:c>
      <x:c r="C11" s="111" t="n">
        <x:f>'月度投放计划'!P$22</x:f>
        <x:v>46419</x:v>
      </x:c>
      <x:c r="D11" s="112" t="n">
        <x:f>'月度投放计划'!P$15*'单站成本'!$F$5+'月度投放计划'!P$16*'单站成本'!$F$6</x:f>
        <x:v>50325000</x:v>
      </x:c>
      <x:c r="E11" s="112" t="n">
        <x:f>D11*'核心假设'!$B$27</x:f>
        <x:v>50325000</x:v>
      </x:c>
      <x:c r="F11" s="111" t="n">
        <x:f>'月度投放计划'!P$24</x:f>
        <x:v>46478</x:v>
      </x:c>
      <x:c r="G11" s="113" t="n">
        <x:f>'核心假设'!$B$28</x:f>
        <x:v>36</x:v>
      </x:c>
      <x:c r="H11" s="114" t="n">
        <x:f>'核心假设'!$B$29</x:f>
        <x:v>0.08</x:v>
      </x:c>
      <x:c r="I11" s="114" t="n">
        <x:f>H11/12</x:f>
        <x:v>0.006666666666666667</x:v>
      </x:c>
      <x:c r="J11" s="112" t="n">
        <x:f>D11*'核心假设'!$B$32</x:f>
        <x:v>503250</x:v>
      </x:c>
      <x:c r="K11" s="112" t="n">
        <x:f>IF(I11=0,(E11-J11)/G11,(E11-J11/(1+I11)^G11)*I11/(1-(1+I11)^-G11))</x:f>
        <x:v>1564587.5659280564</x:v>
      </x:c>
      <x:c r="L11" s="112" t="n">
        <x:f>'月度投放计划'!P$23</x:f>
        <x:v>46478</x:v>
      </x:c>
      <x:c r="M11" s="112" t="n">
        <x:f>'月度投放计划'!P$15*'单站成本'!$E$5+'月度投放计划'!P$16*'单站成本'!$E$6</x:f>
        <x:v>58575000</x:v>
      </x:c>
      <x:c r="N11" s="112" t="n">
        <x:f>'月度投放计划'!P$15*'单站成本'!$D$5+'月度投放计划'!P$16*'单站成本'!$D$6</x:f>
        <x:v>8250000</x:v>
      </x:c>
      <x:c r="O11" s="113" t="n">
        <x:f>(YEAR(F11)-YEAR(B11))*12+MONTH(F11)-MONTH(B11)-'核心假设'!$B$30</x:f>
        <x:v>0</x:v>
      </x:c>
    </x:row>
    <x:row r="12">
      <x:c r="A12" s="30" t="str">
        <x:v>批次08</x:v>
      </x:c>
      <x:c r="B12" s="111" t="n">
        <x:f>'月度投放计划'!Q$4</x:f>
        <x:v>46478</x:v>
      </x:c>
      <x:c r="C12" s="111" t="n">
        <x:f>'月度投放计划'!Q$22</x:f>
        <x:v>46447</x:v>
      </x:c>
      <x:c r="D12" s="112" t="n">
        <x:f>'月度投放计划'!Q$15*'单站成本'!$F$5+'月度投放计划'!Q$16*'单站成本'!$F$6</x:f>
        <x:v>50325000</x:v>
      </x:c>
      <x:c r="E12" s="112" t="n">
        <x:f>D12*'核心假设'!$B$27</x:f>
        <x:v>50325000</x:v>
      </x:c>
      <x:c r="F12" s="111" t="n">
        <x:f>'月度投放计划'!Q$24</x:f>
        <x:v>46508</x:v>
      </x:c>
      <x:c r="G12" s="113" t="n">
        <x:f>'核心假设'!$B$28</x:f>
        <x:v>36</x:v>
      </x:c>
      <x:c r="H12" s="114" t="n">
        <x:f>'核心假设'!$B$29</x:f>
        <x:v>0.08</x:v>
      </x:c>
      <x:c r="I12" s="114" t="n">
        <x:f>H12/12</x:f>
        <x:v>0.006666666666666667</x:v>
      </x:c>
      <x:c r="J12" s="112" t="n">
        <x:f>D12*'核心假设'!$B$32</x:f>
        <x:v>503250</x:v>
      </x:c>
      <x:c r="K12" s="112" t="n">
        <x:f>IF(I12=0,(E12-J12)/G12,(E12-J12/(1+I12)^G12)*I12/(1-(1+I12)^-G12))</x:f>
        <x:v>1564587.5659280564</x:v>
      </x:c>
      <x:c r="L12" s="112" t="n">
        <x:f>'月度投放计划'!Q$23</x:f>
        <x:v>46508</x:v>
      </x:c>
      <x:c r="M12" s="112" t="n">
        <x:f>'月度投放计划'!Q$15*'单站成本'!$E$5+'月度投放计划'!Q$16*'单站成本'!$E$6</x:f>
        <x:v>58575000</x:v>
      </x:c>
      <x:c r="N12" s="112" t="n">
        <x:f>'月度投放计划'!Q$15*'单站成本'!$D$5+'月度投放计划'!Q$16*'单站成本'!$D$6</x:f>
        <x:v>8250000</x:v>
      </x:c>
      <x:c r="O12" s="113" t="n">
        <x:f>(YEAR(F12)-YEAR(B12))*12+MONTH(F12)-MONTH(B12)-'核心假设'!$B$30</x:f>
        <x:v>0</x:v>
      </x:c>
    </x:row>
    <x:row r="13">
      <x:c r="A13" s="30" t="str">
        <x:v>批次09</x:v>
      </x:c>
      <x:c r="B13" s="111" t="n">
        <x:f>'月度投放计划'!R$4</x:f>
        <x:v>46508</x:v>
      </x:c>
      <x:c r="C13" s="111" t="n">
        <x:f>'月度投放计划'!R$22</x:f>
        <x:v>46478</x:v>
      </x:c>
      <x:c r="D13" s="112" t="n">
        <x:f>'月度投放计划'!R$15*'单站成本'!$F$5+'月度投放计划'!R$16*'单站成本'!$F$6</x:f>
        <x:v>63729000</x:v>
      </x:c>
      <x:c r="E13" s="112" t="n">
        <x:f>D13*'核心假设'!$B$27</x:f>
        <x:v>63729000</x:v>
      </x:c>
      <x:c r="F13" s="111" t="n">
        <x:f>'月度投放计划'!R$24</x:f>
        <x:v>46539</x:v>
      </x:c>
      <x:c r="G13" s="113" t="n">
        <x:f>'核心假设'!$B$28</x:f>
        <x:v>36</x:v>
      </x:c>
      <x:c r="H13" s="114" t="n">
        <x:f>'核心假设'!$B$29</x:f>
        <x:v>0.08</x:v>
      </x:c>
      <x:c r="I13" s="114" t="n">
        <x:f>H13/12</x:f>
        <x:v>0.006666666666666667</x:v>
      </x:c>
      <x:c r="J13" s="112" t="n">
        <x:f>D13*'核心假设'!$B$32</x:f>
        <x:v>637290</x:v>
      </x:c>
      <x:c r="K13" s="112" t="n">
        <x:f>IF(I13=0,(E13-J13)/G13,(E13-J13/(1+I13)^G13)*I13/(1-(1+I13)^-G13))</x:f>
        <x:v>1981313.4821466291</x:v>
      </x:c>
      <x:c r="L13" s="112" t="n">
        <x:f>'月度投放计划'!R$23</x:f>
        <x:v>46539</x:v>
      </x:c>
      <x:c r="M13" s="112" t="n">
        <x:f>'月度投放计划'!R$15*'单站成本'!$E$5+'月度投放计划'!R$16*'单站成本'!$E$6</x:f>
        <x:v>75839000</x:v>
      </x:c>
      <x:c r="N13" s="112" t="n">
        <x:f>'月度投放计划'!R$15*'单站成本'!$D$5+'月度投放计划'!R$16*'单站成本'!$D$6</x:f>
        <x:v>12110000</x:v>
      </x:c>
      <x:c r="O13" s="113" t="n">
        <x:f>(YEAR(F13)-YEAR(B13))*12+MONTH(F13)-MONTH(B13)-'核心假设'!$B$30</x:f>
        <x:v>0</x:v>
      </x:c>
    </x:row>
    <x:row r="14">
      <x:c r="A14" s="30" t="str">
        <x:v>批次10</x:v>
      </x:c>
      <x:c r="B14" s="111" t="n">
        <x:f>'月度投放计划'!S$4</x:f>
        <x:v>46539</x:v>
      </x:c>
      <x:c r="C14" s="111" t="n">
        <x:f>'月度投放计划'!S$22</x:f>
        <x:v>46508</x:v>
      </x:c>
      <x:c r="D14" s="112" t="n">
        <x:f>'月度投放计划'!S$15*'单站成本'!$F$5+'月度投放计划'!S$16*'单站成本'!$F$6</x:f>
        <x:v>67500000</x:v>
      </x:c>
      <x:c r="E14" s="112" t="n">
        <x:f>D14*'核心假设'!$B$27</x:f>
        <x:v>67500000</x:v>
      </x:c>
      <x:c r="F14" s="111" t="n">
        <x:f>'月度投放计划'!S$24</x:f>
        <x:v>46569</x:v>
      </x:c>
      <x:c r="G14" s="113" t="n">
        <x:f>'核心假设'!$B$28</x:f>
        <x:v>36</x:v>
      </x:c>
      <x:c r="H14" s="114" t="n">
        <x:f>'核心假设'!$B$29</x:f>
        <x:v>0.08</x:v>
      </x:c>
      <x:c r="I14" s="114" t="n">
        <x:f>H14/12</x:f>
        <x:v>0.006666666666666667</x:v>
      </x:c>
      <x:c r="J14" s="112" t="n">
        <x:f>D14*'核心假设'!$B$32</x:f>
        <x:v>675000</x:v>
      </x:c>
      <x:c r="K14" s="112" t="n">
        <x:f>IF(I14=0,(E14-J14)/G14,(E14-J14/(1+I14)^G14)*I14/(1-(1+I14)^-G14))</x:f>
        <x:v>2098552.6219601356</x:v>
      </x:c>
      <x:c r="L14" s="112" t="n">
        <x:f>'月度投放计划'!S$23</x:f>
        <x:v>46569</x:v>
      </x:c>
      <x:c r="M14" s="112" t="n">
        <x:f>'月度投放计划'!S$15*'单站成本'!$E$5+'月度投放计划'!S$16*'单站成本'!$E$6</x:f>
        <x:v>81000000</x:v>
      </x:c>
      <x:c r="N14" s="112" t="n">
        <x:f>'月度投放计划'!S$15*'单站成本'!$D$5+'月度投放计划'!S$16*'单站成本'!$D$6</x:f>
        <x:v>13500000</x:v>
      </x:c>
      <x:c r="O14" s="113" t="n">
        <x:f>(YEAR(F14)-YEAR(B14))*12+MONTH(F14)-MONTH(B14)-'核心假设'!$B$30</x:f>
        <x:v>0</x:v>
      </x:c>
    </x:row>
    <x:row r="15">
      <x:c r="A15" s="30" t="str">
        <x:v>批次11</x:v>
      </x:c>
      <x:c r="B15" s="111" t="n">
        <x:f>'月度投放计划'!T$4</x:f>
        <x:v>46569</x:v>
      </x:c>
      <x:c r="C15" s="111" t="n">
        <x:f>'月度投放计划'!T$22</x:f>
        <x:v>46539</x:v>
      </x:c>
      <x:c r="D15" s="112" t="n">
        <x:f>'月度投放计划'!T$15*'单站成本'!$F$5+'月度投放计划'!T$16*'单站成本'!$F$6</x:f>
        <x:v>60000000</x:v>
      </x:c>
      <x:c r="E15" s="112" t="n">
        <x:f>D15*'核心假设'!$B$27</x:f>
        <x:v>60000000</x:v>
      </x:c>
      <x:c r="F15" s="111" t="n">
        <x:f>'月度投放计划'!T$24</x:f>
        <x:v>46600</x:v>
      </x:c>
      <x:c r="G15" s="113" t="n">
        <x:f>'核心假设'!$B$28</x:f>
        <x:v>36</x:v>
      </x:c>
      <x:c r="H15" s="114" t="n">
        <x:f>'核心假设'!$B$29</x:f>
        <x:v>0.08</x:v>
      </x:c>
      <x:c r="I15" s="114" t="n">
        <x:f>H15/12</x:f>
        <x:v>0.006666666666666667</x:v>
      </x:c>
      <x:c r="J15" s="112" t="n">
        <x:f>D15*'核心假设'!$B$32</x:f>
        <x:v>600000</x:v>
      </x:c>
      <x:c r="K15" s="112" t="n">
        <x:f>IF(I15=0,(E15-J15)/G15,(E15-J15/(1+I15)^G15)*I15/(1-(1+I15)^-G15))</x:f>
        <x:v>1865380.1084090094</x:v>
      </x:c>
      <x:c r="L15" s="112" t="n">
        <x:f>'月度投放计划'!T$23</x:f>
        <x:v>46600</x:v>
      </x:c>
      <x:c r="M15" s="112" t="n">
        <x:f>'月度投放计划'!T$15*'单站成本'!$E$5+'月度投放计划'!T$16*'单站成本'!$E$6</x:f>
        <x:v>72000000</x:v>
      </x:c>
      <x:c r="N15" s="112" t="n">
        <x:f>'月度投放计划'!T$15*'单站成本'!$D$5+'月度投放计划'!T$16*'单站成本'!$D$6</x:f>
        <x:v>12000000</x:v>
      </x:c>
      <x:c r="O15" s="113" t="n">
        <x:f>(YEAR(F15)-YEAR(B15))*12+MONTH(F15)-MONTH(B15)-'核心假设'!$B$30</x:f>
        <x:v>0</x:v>
      </x:c>
    </x:row>
    <x:row r="16">
      <x:c r="A16" s="30" t="str">
        <x:v>批次12</x:v>
      </x:c>
      <x:c r="B16" s="111" t="n">
        <x:f>'月度投放计划'!U$4</x:f>
        <x:v>46600</x:v>
      </x:c>
      <x:c r="C16" s="111" t="n">
        <x:f>'月度投放计划'!U$22</x:f>
        <x:v>46569</x:v>
      </x:c>
      <x:c r="D16" s="112" t="n">
        <x:f>'月度投放计划'!U$15*'单站成本'!$F$5+'月度投放计划'!U$16*'单站成本'!$F$6</x:f>
        <x:v>45000000</x:v>
      </x:c>
      <x:c r="E16" s="112" t="n">
        <x:f>D16*'核心假设'!$B$27</x:f>
        <x:v>45000000</x:v>
      </x:c>
      <x:c r="F16" s="111" t="n">
        <x:f>'月度投放计划'!U$24</x:f>
        <x:v>46631</x:v>
      </x:c>
      <x:c r="G16" s="113" t="n">
        <x:f>'核心假设'!$B$28</x:f>
        <x:v>36</x:v>
      </x:c>
      <x:c r="H16" s="114" t="n">
        <x:f>'核心假设'!$B$29</x:f>
        <x:v>0.08</x:v>
      </x:c>
      <x:c r="I16" s="114" t="n">
        <x:f>H16/12</x:f>
        <x:v>0.006666666666666667</x:v>
      </x:c>
      <x:c r="J16" s="112" t="n">
        <x:f>D16*'核心假设'!$B$32</x:f>
        <x:v>450000</x:v>
      </x:c>
      <x:c r="K16" s="112" t="n">
        <x:f>IF(I16=0,(E16-J16)/G16,(E16-J16/(1+I16)^G16)*I16/(1-(1+I16)^-G16))</x:f>
        <x:v>1399035.081306757</x:v>
      </x:c>
      <x:c r="L16" s="112" t="n">
        <x:f>'月度投放计划'!U$23</x:f>
        <x:v>46631</x:v>
      </x:c>
      <x:c r="M16" s="112" t="n">
        <x:f>'月度投放计划'!U$15*'单站成本'!$E$5+'月度投放计划'!U$16*'单站成本'!$E$6</x:f>
        <x:v>54000000</x:v>
      </x:c>
      <x:c r="N16" s="112" t="n">
        <x:f>'月度投放计划'!U$15*'单站成本'!$D$5+'月度投放计划'!U$16*'单站成本'!$D$6</x:f>
        <x:v>9000000</x:v>
      </x:c>
      <x:c r="O16" s="113" t="n">
        <x:f>(YEAR(F16)-YEAR(B16))*12+MONTH(F16)-MONTH(B16)-'核心假设'!$B$30</x:f>
        <x:v>0</x:v>
      </x:c>
    </x:row>
    <x:row r="19">
      <x:c r="A19" s="13" t="str">
        <x:v>期末租赁余额</x:v>
      </x:c>
      <x:c r="B19" s="14" t="str">
        <x:v>期末租赁余额</x:v>
      </x:c>
      <x:c r="C19" s="14" t="str">
        <x:v>期末租赁余额</x:v>
      </x:c>
      <x:c r="D19" s="14" t="str">
        <x:v>期末租赁余额</x:v>
      </x:c>
      <x:c r="E19" s="14" t="str">
        <x:v>期末租赁余额</x:v>
      </x:c>
      <x:c r="F19" s="14" t="str">
        <x:v>期末租赁余额</x:v>
      </x:c>
      <x:c r="G19" s="14" t="str">
        <x:v>期末租赁余额</x:v>
      </x:c>
      <x:c r="H19" s="14" t="str">
        <x:v>期末租赁余额</x:v>
      </x:c>
      <x:c r="I19" s="14" t="str">
        <x:v>期末租赁余额</x:v>
      </x:c>
      <x:c r="J19" s="14" t="str">
        <x:v>期末租赁余额</x:v>
      </x:c>
      <x:c r="K19" s="14" t="str">
        <x:v>期末租赁余额</x:v>
      </x:c>
      <x:c r="L19" s="14" t="str">
        <x:v>期末租赁余额</x:v>
      </x:c>
      <x:c r="M19" s="14" t="str">
        <x:v>期末租赁余额</x:v>
      </x:c>
      <x:c r="N19" s="14" t="str">
        <x:v>期末租赁余额</x:v>
      </x:c>
      <x:c r="O19" s="14" t="str">
        <x:v>期末租赁余额</x:v>
      </x:c>
      <x:c r="P19" s="14" t="str">
        <x:v>期末租赁余额</x:v>
      </x:c>
      <x:c r="Q19" s="14" t="str">
        <x:v>期末租赁余额</x:v>
      </x:c>
      <x:c r="R19" s="14" t="str">
        <x:v>期末租赁余额</x:v>
      </x:c>
      <x:c r="S19" s="14" t="str">
        <x:v>期末租赁余额</x:v>
      </x:c>
      <x:c r="T19" s="14" t="str">
        <x:v>期末租赁余额</x:v>
      </x:c>
      <x:c r="U19" s="14" t="str">
        <x:v>期末租赁余额</x:v>
      </x:c>
      <x:c r="V19" s="14" t="str">
        <x:v>期末租赁余额</x:v>
      </x:c>
      <x:c r="W19" s="14" t="str">
        <x:v>期末租赁余额</x:v>
      </x:c>
      <x:c r="X19" s="14" t="str">
        <x:v>期末租赁余额</x:v>
      </x:c>
      <x:c r="Y19" s="14" t="str">
        <x:v>期末租赁余额</x:v>
      </x:c>
      <x:c r="Z19" s="14" t="str">
        <x:v>期末租赁余额</x:v>
      </x:c>
      <x:c r="AA19" s="14" t="str">
        <x:v>期末租赁余额</x:v>
      </x:c>
      <x:c r="AB19" s="14" t="str">
        <x:v>期末租赁余额</x:v>
      </x:c>
      <x:c r="AC19" s="14" t="str">
        <x:v>期末租赁余额</x:v>
      </x:c>
      <x:c r="AD19" s="14" t="str">
        <x:v>期末租赁余额</x:v>
      </x:c>
      <x:c r="AE19" s="14" t="str">
        <x:v>期末租赁余额</x:v>
      </x:c>
      <x:c r="AF19" s="14" t="str">
        <x:v>期末租赁余额</x:v>
      </x:c>
      <x:c r="AG19" s="14" t="str">
        <x:v>期末租赁余额</x:v>
      </x:c>
      <x:c r="AH19" s="14" t="str">
        <x:v>期末租赁余额</x:v>
      </x:c>
      <x:c r="AI19" s="14" t="str">
        <x:v>期末租赁余额</x:v>
      </x:c>
      <x:c r="AJ19" s="14" t="str">
        <x:v>期末租赁余额</x:v>
      </x:c>
      <x:c r="AK19" s="14" t="str">
        <x:v>期末租赁余额</x:v>
      </x:c>
      <x:c r="AL19" s="14" t="str">
        <x:v>期末租赁余额</x:v>
      </x:c>
      <x:c r="AM19" s="14" t="str">
        <x:v>期末租赁余额</x:v>
      </x:c>
      <x:c r="AN19" s="14" t="str">
        <x:v>期末租赁余额</x:v>
      </x:c>
      <x:c r="AO19" s="14" t="str">
        <x:v>期末租赁余额</x:v>
      </x:c>
      <x:c r="AP19" s="14" t="str">
        <x:v>期末租赁余额</x:v>
      </x:c>
      <x:c r="AQ19" s="14" t="str">
        <x:v>期末租赁余额</x:v>
      </x:c>
      <x:c r="AR19" s="14" t="str">
        <x:v>期末租赁余额</x:v>
      </x:c>
      <x:c r="AS19" s="14" t="str">
        <x:v>期末租赁余额</x:v>
      </x:c>
      <x:c r="AT19" s="14" t="str">
        <x:v>期末租赁余额</x:v>
      </x:c>
      <x:c r="AU19" s="14" t="str">
        <x:v>期末租赁余额</x:v>
      </x:c>
      <x:c r="AV19" s="14" t="str">
        <x:v>期末租赁余额</x:v>
      </x:c>
      <x:c r="AW19" s="14" t="str">
        <x:v>期末租赁余额</x:v>
      </x:c>
      <x:c r="AX19" s="14" t="str">
        <x:v>期末租赁余额</x:v>
      </x:c>
      <x:c r="AY19" s="14" t="str">
        <x:v>期末租赁余额</x:v>
      </x:c>
      <x:c r="AZ19" s="14" t="str">
        <x:v>期末租赁余额</x:v>
      </x:c>
      <x:c r="BA19" s="14" t="str">
        <x:v>期末租赁余额</x:v>
      </x:c>
      <x:c r="BB19" s="14" t="str">
        <x:v>期末租赁余额</x:v>
      </x:c>
      <x:c r="BC19" s="14" t="str">
        <x:v>期末租赁余额</x:v>
      </x:c>
      <x:c r="BD19" s="14" t="str">
        <x:v>期末租赁余额</x:v>
      </x:c>
      <x:c r="BE19" s="14" t="str">
        <x:v>期末租赁余额</x:v>
      </x:c>
      <x:c r="BF19" s="14" t="str">
        <x:v>期末租赁余额</x:v>
      </x:c>
      <x:c r="BG19" s="14" t="str">
        <x:v>期末租赁余额</x:v>
      </x:c>
      <x:c r="BH19" s="14" t="str">
        <x:v>期末租赁余额</x:v>
      </x:c>
      <x:c r="BI19" s="15" t="str">
        <x:v>期末租赁余额</x:v>
      </x:c>
    </x:row>
    <x:row r="21">
      <x:c r="A21" t="str">
        <x:v>批次/月</x:v>
      </x:c>
      <x:c r="B21" s="43" t="n">
        <x:f>'36月运营模型'!B$5</x:f>
        <x:v>46266</x:v>
      </x:c>
      <x:c r="C21" s="43" t="n">
        <x:f>'36月运营模型'!C$5</x:f>
        <x:v>46296</x:v>
      </x:c>
      <x:c r="D21" s="43" t="n">
        <x:f>'36月运营模型'!D$5</x:f>
        <x:v>46327</x:v>
      </x:c>
      <x:c r="E21" s="43" t="n">
        <x:f>'36月运营模型'!E$5</x:f>
        <x:v>46357</x:v>
      </x:c>
      <x:c r="F21" s="43" t="n">
        <x:f>'36月运营模型'!F$5</x:f>
        <x:v>46388</x:v>
      </x:c>
      <x:c r="G21" s="43" t="n">
        <x:f>'36月运营模型'!G$5</x:f>
        <x:v>46419</x:v>
      </x:c>
      <x:c r="H21" s="43" t="n">
        <x:f>'36月运营模型'!H$5</x:f>
        <x:v>46447</x:v>
      </x:c>
      <x:c r="I21" s="43" t="n">
        <x:f>'36月运营模型'!I$5</x:f>
        <x:v>46478</x:v>
      </x:c>
      <x:c r="J21" s="43" t="n">
        <x:f>'36月运营模型'!J$5</x:f>
        <x:v>46508</x:v>
      </x:c>
      <x:c r="K21" s="43" t="n">
        <x:f>'36月运营模型'!K$5</x:f>
        <x:v>46539</x:v>
      </x:c>
      <x:c r="L21" s="43" t="n">
        <x:f>'36月运营模型'!L$5</x:f>
        <x:v>46569</x:v>
      </x:c>
      <x:c r="M21" s="43" t="n">
        <x:f>'36月运营模型'!M$5</x:f>
        <x:v>46600</x:v>
      </x:c>
      <x:c r="N21" s="43" t="n">
        <x:f>'36月运营模型'!N$5</x:f>
        <x:v>46631</x:v>
      </x:c>
      <x:c r="O21" s="43" t="n">
        <x:f>'36月运营模型'!O$5</x:f>
        <x:v>46661</x:v>
      </x:c>
      <x:c r="P21" s="43" t="n">
        <x:f>'36月运营模型'!P$5</x:f>
        <x:v>46692</x:v>
      </x:c>
      <x:c r="Q21" s="43" t="n">
        <x:f>'36月运营模型'!Q$5</x:f>
        <x:v>46722</x:v>
      </x:c>
      <x:c r="R21" s="43" t="n">
        <x:f>'36月运营模型'!R$5</x:f>
        <x:v>46753</x:v>
      </x:c>
      <x:c r="S21" s="43" t="n">
        <x:f>'36月运营模型'!S$5</x:f>
        <x:v>46784</x:v>
      </x:c>
      <x:c r="T21" s="43" t="n">
        <x:f>'36月运营模型'!T$5</x:f>
        <x:v>46813</x:v>
      </x:c>
      <x:c r="U21" s="43" t="n">
        <x:f>'36月运营模型'!U$5</x:f>
        <x:v>46844</x:v>
      </x:c>
      <x:c r="V21" s="43" t="n">
        <x:f>'36月运营模型'!V$5</x:f>
        <x:v>46874</x:v>
      </x:c>
      <x:c r="W21" s="43" t="n">
        <x:f>'36月运营模型'!W$5</x:f>
        <x:v>46905</x:v>
      </x:c>
      <x:c r="X21" s="43" t="n">
        <x:f>'36月运营模型'!X$5</x:f>
        <x:v>46935</x:v>
      </x:c>
      <x:c r="Y21" s="43" t="n">
        <x:f>'36月运营模型'!Y$5</x:f>
        <x:v>46966</x:v>
      </x:c>
      <x:c r="Z21" s="43" t="n">
        <x:f>'36月运营模型'!Z$5</x:f>
        <x:v>46997</x:v>
      </x:c>
      <x:c r="AA21" s="43" t="n">
        <x:f>'36月运营模型'!AA$5</x:f>
        <x:v>47027</x:v>
      </x:c>
      <x:c r="AB21" s="43" t="n">
        <x:f>'36月运营模型'!AB$5</x:f>
        <x:v>47058</x:v>
      </x:c>
      <x:c r="AC21" s="43" t="n">
        <x:f>'36月运营模型'!AC$5</x:f>
        <x:v>47088</x:v>
      </x:c>
      <x:c r="AD21" s="43" t="n">
        <x:f>'36月运营模型'!AD$5</x:f>
        <x:v>47119</x:v>
      </x:c>
      <x:c r="AE21" s="43" t="n">
        <x:f>'36月运营模型'!AE$5</x:f>
        <x:v>47150</x:v>
      </x:c>
      <x:c r="AF21" s="43" t="n">
        <x:f>'36月运营模型'!AF$5</x:f>
        <x:v>47178</x:v>
      </x:c>
      <x:c r="AG21" s="43" t="n">
        <x:f>'36月运营模型'!AG$5</x:f>
        <x:v>47209</x:v>
      </x:c>
      <x:c r="AH21" s="43" t="n">
        <x:f>'36月运营模型'!AH$5</x:f>
        <x:v>47239</x:v>
      </x:c>
      <x:c r="AI21" s="43" t="n">
        <x:f>'36月运营模型'!AI$5</x:f>
        <x:v>47270</x:v>
      </x:c>
      <x:c r="AJ21" s="43" t="n">
        <x:f>'36月运营模型'!AJ$5</x:f>
        <x:v>47300</x:v>
      </x:c>
      <x:c r="AK21" s="43" t="n">
        <x:f>'36月运营模型'!AK$5</x:f>
        <x:v>47331</x:v>
      </x:c>
      <x:c r="AL21" s="100" t="n">
        <x:f>'36月运营模型'!AL$5</x:f>
        <x:v>47362</x:v>
      </x:c>
      <x:c r="AM21" s="100" t="n">
        <x:f>'36月运营模型'!AM$5</x:f>
        <x:v>47392</x:v>
      </x:c>
      <x:c r="AN21" s="100" t="n">
        <x:f>'36月运营模型'!AN$5</x:f>
        <x:v>47423</x:v>
      </x:c>
      <x:c r="AO21" s="100" t="n">
        <x:f>'36月运营模型'!AO$5</x:f>
        <x:v>47453</x:v>
      </x:c>
      <x:c r="AP21" s="100" t="n">
        <x:f>'36月运营模型'!AP$5</x:f>
        <x:v>47484</x:v>
      </x:c>
      <x:c r="AQ21" s="100" t="n">
        <x:f>'36月运营模型'!AQ$5</x:f>
        <x:v>47515</x:v>
      </x:c>
      <x:c r="AR21" s="100" t="n">
        <x:f>'36月运营模型'!AR$5</x:f>
        <x:v>47543</x:v>
      </x:c>
      <x:c r="AS21" s="100" t="n">
        <x:f>'36月运营模型'!AS$5</x:f>
        <x:v>47574</x:v>
      </x:c>
      <x:c r="AT21" s="100" t="n">
        <x:f>'36月运营模型'!AT$5</x:f>
        <x:v>47604</x:v>
      </x:c>
      <x:c r="AU21" s="100" t="n">
        <x:f>'36月运营模型'!AU$5</x:f>
        <x:v>47635</x:v>
      </x:c>
      <x:c r="AV21" s="100" t="n">
        <x:f>'36月运营模型'!AV$5</x:f>
        <x:v>47665</x:v>
      </x:c>
      <x:c r="AW21" s="100" t="n">
        <x:f>'36月运营模型'!AW$5</x:f>
        <x:v>47696</x:v>
      </x:c>
      <x:c r="AX21" s="100" t="n">
        <x:f>'36月运营模型'!AX$5</x:f>
        <x:v>47727</x:v>
      </x:c>
      <x:c r="AY21" s="100" t="n">
        <x:f>'36月运营模型'!AY$5</x:f>
        <x:v>47757</x:v>
      </x:c>
      <x:c r="AZ21" s="100" t="n">
        <x:f>'36月运营模型'!AZ$5</x:f>
        <x:v>47788</x:v>
      </x:c>
      <x:c r="BA21" s="100" t="n">
        <x:f>'36月运营模型'!BA$5</x:f>
        <x:v>47818</x:v>
      </x:c>
      <x:c r="BB21" s="100" t="n">
        <x:f>'36月运营模型'!BB$5</x:f>
        <x:v>47849</x:v>
      </x:c>
      <x:c r="BC21" s="100" t="n">
        <x:f>'36月运营模型'!BC$5</x:f>
        <x:v>47880</x:v>
      </x:c>
      <x:c r="BD21" s="100" t="n">
        <x:f>'36月运营模型'!BD$5</x:f>
        <x:v>47908</x:v>
      </x:c>
      <x:c r="BE21" s="100" t="n">
        <x:f>'36月运营模型'!BE$5</x:f>
        <x:v>47939</x:v>
      </x:c>
      <x:c r="BF21" s="100" t="n">
        <x:f>'36月运营模型'!BF$5</x:f>
        <x:v>47969</x:v>
      </x:c>
      <x:c r="BG21" s="100" t="n">
        <x:f>'36月运营模型'!BG$5</x:f>
        <x:v>48000</x:v>
      </x:c>
      <x:c r="BH21" s="100" t="n">
        <x:f>'36月运营模型'!BH$5</x:f>
        <x:v>48030</x:v>
      </x:c>
      <x:c r="BI21" s="100" t="n">
        <x:f>'36月运营模型'!BI$5</x:f>
        <x:v>48061</x:v>
      </x:c>
    </x:row>
    <x:row r="22">
      <x:c r="A22" t="str">
        <x:f>A5</x:f>
        <x:v>批次01</x:v>
      </x:c>
      <x:c r="B22" s="29" t="n">
        <x:f>IF(B$21&lt;$F5,0,IF(B$21=$F5,$E5,MAX(0,$E5-B70-B86)))</x:f>
        <x:v>0</x:v>
      </x:c>
      <x:c r="C22" s="29" t="n">
        <x:f>IF(C$21&lt;$F5,0,IF(C$21=$F5,$E5,MAX(0,B22-C70-C86)))</x:f>
        <x:v>22992000</x:v>
      </x:c>
      <x:c r="D22" s="29" t="n">
        <x:f>IF(D$21&lt;$F5,0,IF(D$21=$F5,$E5,MAX(0,C22-D70-D86)))</x:f>
        <x:v>22430466.342457667</x:v>
      </x:c>
      <x:c r="E22" s="29" t="n">
        <x:f>IF(E$21&lt;$F5,0,IF(E$21=$F5,$E5,MAX(0,D22-E70-E86)))</x:f>
        <x:v>21865189.127198387</x:v>
      </x:c>
      <x:c r="F22" s="29" t="n">
        <x:f>IF(F$21&lt;$F5,0,IF(F$21=$F5,$E5,MAX(0,E22-F70-F86)))</x:f>
        <x:v>21296143.39717071</x:v>
      </x:c>
      <x:c r="G22" s="29" t="n">
        <x:f>IF(G$21&lt;$F5,0,IF(G$21=$F5,$E5,MAX(0,F22-G70-G86)))</x:f>
        <x:v>20723304.02894285</x:v>
      </x:c>
      <x:c r="H22" s="29" t="n">
        <x:f>IF(H$21&lt;$F5,0,IF(H$21=$F5,$E5,MAX(0,G22-H70-H86)))</x:f>
        <x:v>20146645.73159347</x:v>
      </x:c>
      <x:c r="I22" s="29" t="n">
        <x:f>IF(I$21&lt;$F5,0,IF(I$21=$F5,$E5,MAX(0,H22-I70-I86)))</x:f>
        <x:v>19566143.045595095</x:v>
      </x:c>
      <x:c r="J22" s="29" t="n">
        <x:f>IF(J$21&lt;$F5,0,IF(J$21=$F5,$E5,MAX(0,I22-J70-J86)))</x:f>
        <x:v>18981770.341690063</x:v>
      </x:c>
      <x:c r="K22" s="29" t="n">
        <x:f>IF(K$21&lt;$F5,0,IF(K$21=$F5,$E5,MAX(0,J22-K70-K86)))</x:f>
        <x:v>18393501.819758996</x:v>
      </x:c>
      <x:c r="L22" s="29" t="n">
        <x:f>IF(L$21&lt;$F5,0,IF(L$21=$F5,$E5,MAX(0,K22-L70-L86)))</x:f>
        <x:v>17801311.507681724</x:v>
      </x:c>
      <x:c r="M22" s="29" t="n">
        <x:f>IF(M$21&lt;$F5,0,IF(M$21=$F5,$E5,MAX(0,L22-M70-M86)))</x:f>
        <x:v>17205173.260190602</x:v>
      </x:c>
      <x:c r="N22" s="29" t="n">
        <x:f>IF(N$21&lt;$F5,0,IF(N$21=$F5,$E5,MAX(0,M22-N70-N86)))</x:f>
        <x:v>16605060.757716207</x:v>
      </x:c>
      <x:c r="O22" s="29" t="n">
        <x:f>IF(O$21&lt;$F5,0,IF(O$21=$F5,$E5,MAX(0,N22-O70-O86)))</x:f>
        <x:v>16000947.505225316</x:v>
      </x:c>
      <x:c r="P22" s="29" t="n">
        <x:f>IF(P$21&lt;$F5,0,IF(P$21=$F5,$E5,MAX(0,O22-P70-P86)))</x:f>
        <x:v>15392806.831051152</x:v>
      </x:c>
      <x:c r="Q22" s="29" t="n">
        <x:f>IF(Q$21&lt;$F5,0,IF(Q$21=$F5,$E5,MAX(0,P22-Q70-Q86)))</x:f>
        <x:v>14780611.885715827</x:v>
      </x:c>
      <x:c r="R22" s="29" t="n">
        <x:f>IF(R$21&lt;$F5,0,IF(R$21=$F5,$E5,MAX(0,Q22-R70-R86)))</x:f>
        <x:v>14164335.640744934</x:v>
      </x:c>
      <x:c r="S22" s="29" t="n">
        <x:f>IF(S$21&lt;$F5,0,IF(S$21=$F5,$E5,MAX(0,R22-S70-S86)))</x:f>
        <x:v>13543950.887474235</x:v>
      </x:c>
      <x:c r="T22" s="29" t="n">
        <x:f>IF(T$21&lt;$F5,0,IF(T$21=$F5,$E5,MAX(0,S22-T70-T86)))</x:f>
        <x:v>12919430.235848397</x:v>
      </x:c>
      <x:c r="U22" s="29" t="n">
        <x:f>IF(U$21&lt;$F5,0,IF(U$21=$F5,$E5,MAX(0,T22-U70-U86)))</x:f>
        <x:v>12290746.113211721</x:v>
      </x:c>
      <x:c r="V22" s="29" t="n">
        <x:f>IF(V$21&lt;$F5,0,IF(V$21=$F5,$E5,MAX(0,U22-V70-V86)))</x:f>
        <x:v>11657870.7630908</x:v>
      </x:c>
      <x:c r="W22" s="29" t="n">
        <x:f>IF(W$21&lt;$F5,0,IF(W$21=$F5,$E5,MAX(0,V22-W70-W86)))</x:f>
        <x:v>11020776.243969074</x:v>
      </x:c>
      <x:c r="X22" s="29" t="n">
        <x:f>IF(X$21&lt;$F5,0,IF(X$21=$F5,$E5,MAX(0,W22-X70-X86)))</x:f>
        <x:v>10379434.428053202</x:v>
      </x:c>
      <x:c r="Y22" s="29" t="n">
        <x:f>IF(Y$21&lt;$F5,0,IF(Y$21=$F5,$E5,MAX(0,X22-Y70-Y86)))</x:f>
        <x:v>9733817.000031225</x:v>
      </x:c>
      <x:c r="Z22" s="29" t="n">
        <x:f>IF(Z$21&lt;$F5,0,IF(Z$21=$F5,$E5,MAX(0,Y22-Z70-Z86)))</x:f>
        <x:v>9083895.455822434</x:v>
      </x:c>
      <x:c r="AA22" s="29" t="n">
        <x:f>IF(AA$21&lt;$F5,0,IF(AA$21=$F5,$E5,MAX(0,Z22-AA70-AA86)))</x:f>
        <x:v>8429641.101318918</x:v>
      </x:c>
      <x:c r="AB22" s="29" t="n">
        <x:f>IF(AB$21&lt;$F5,0,IF(AB$21=$F5,$E5,MAX(0,AA22-AB70-AB86)))</x:f>
        <x:v>7771025.051118712</x:v>
      </x:c>
      <x:c r="AC22" s="29" t="n">
        <x:f>IF(AC$21&lt;$F5,0,IF(AC$21=$F5,$E5,MAX(0,AB22-AC70-AC86)))</x:f>
        <x:v>7108018.227250504</x:v>
      </x:c>
      <x:c r="AD22" s="29" t="n">
        <x:f>IF(AD$21&lt;$F5,0,IF(AD$21=$F5,$E5,MAX(0,AC22-AD70-AD86)))</x:f>
        <x:v>6440591.357889842</x:v>
      </x:c>
      <x:c r="AE22" s="29" t="n">
        <x:f>IF(AE$21&lt;$F5,0,IF(AE$21=$F5,$E5,MAX(0,AD22-AE70-AE86)))</x:f>
        <x:v>5768714.976066776</x:v>
      </x:c>
      <x:c r="AF22" s="29" t="n">
        <x:f>IF(AF$21&lt;$F5,0,IF(AF$21=$F5,$E5,MAX(0,AE22-AF70-AF86)))</x:f>
        <x:v>5092359.418364888</x:v>
      </x:c>
      <x:c r="AG22" s="29" t="n">
        <x:f>IF(AG$21&lt;$F5,0,IF(AG$21=$F5,$E5,MAX(0,AF22-AG70-AG86)))</x:f>
        <x:v>4411494.823611655</x:v>
      </x:c>
      <x:c r="AH22" s="29" t="n">
        <x:f>IF(AH$21&lt;$F5,0,IF(AH$21=$F5,$E5,MAX(0,AG22-AH70-AH86)))</x:f>
        <x:v>3726091.131560067</x:v>
      </x:c>
      <x:c r="AI22" s="29" t="n">
        <x:f>IF(AI$21&lt;$F5,0,IF(AI$21=$F5,$E5,MAX(0,AH22-AI70-AI86)))</x:f>
        <x:v>3036118.0815614685</x:v>
      </x:c>
      <x:c r="AJ22" s="29" t="n">
        <x:f>IF(AJ$21&lt;$F5,0,IF(AJ$21=$F5,$E5,MAX(0,AI22-AJ70-AJ86)))</x:f>
        <x:v>2341545.211229546</x:v>
      </x:c>
      <x:c r="AK22" s="29" t="n">
        <x:f>IF(AK$21&lt;$F5,0,IF(AK$21=$F5,$E5,MAX(0,AJ22-AK70-AK86)))</x:f>
        <x:v>1642341.8550954107</x:v>
      </x:c>
      <x:c r="AL22" s="101" t="n">
        <x:f>IF(AL$21&lt;$F5,0,IF(AL$21=$F5,$E5,MAX(0,AK22-AL70-AL86)))</x:f>
        <x:v>938477.1432537144</x:v>
      </x:c>
      <x:c r="AM22" s="101" t="n">
        <x:f>IF(AM$21&lt;$F5,0,IF(AM$21=$F5,$E5,MAX(0,AL22-AM70-AM86)))</x:f>
        <x:v>0</x:v>
      </x:c>
      <x:c r="AN22" s="101" t="n">
        <x:f>IF(AN$21&lt;$F5,0,IF(AN$21=$F5,$E5,MAX(0,AM22-AN70-AN86)))</x:f>
        <x:v>0</x:v>
      </x:c>
      <x:c r="AO22" s="101" t="n">
        <x:f>IF(AO$21&lt;$F5,0,IF(AO$21=$F5,$E5,MAX(0,AN22-AO70-AO86)))</x:f>
        <x:v>0</x:v>
      </x:c>
      <x:c r="AP22" s="101" t="n">
        <x:f>IF(AP$21&lt;$F5,0,IF(AP$21=$F5,$E5,MAX(0,AO22-AP70-AP86)))</x:f>
        <x:v>0</x:v>
      </x:c>
      <x:c r="AQ22" s="101" t="n">
        <x:f>IF(AQ$21&lt;$F5,0,IF(AQ$21=$F5,$E5,MAX(0,AP22-AQ70-AQ86)))</x:f>
        <x:v>0</x:v>
      </x:c>
      <x:c r="AR22" s="101" t="n">
        <x:f>IF(AR$21&lt;$F5,0,IF(AR$21=$F5,$E5,MAX(0,AQ22-AR70-AR86)))</x:f>
        <x:v>0</x:v>
      </x:c>
      <x:c r="AS22" s="101" t="n">
        <x:f>IF(AS$21&lt;$F5,0,IF(AS$21=$F5,$E5,MAX(0,AR22-AS70-AS86)))</x:f>
        <x:v>0</x:v>
      </x:c>
      <x:c r="AT22" s="101" t="n">
        <x:f>IF(AT$21&lt;$F5,0,IF(AT$21=$F5,$E5,MAX(0,AS22-AT70-AT86)))</x:f>
        <x:v>0</x:v>
      </x:c>
      <x:c r="AU22" s="101" t="n">
        <x:f>IF(AU$21&lt;$F5,0,IF(AU$21=$F5,$E5,MAX(0,AT22-AU70-AU86)))</x:f>
        <x:v>0</x:v>
      </x:c>
      <x:c r="AV22" s="101" t="n">
        <x:f>IF(AV$21&lt;$F5,0,IF(AV$21=$F5,$E5,MAX(0,AU22-AV70-AV86)))</x:f>
        <x:v>0</x:v>
      </x:c>
      <x:c r="AW22" s="101" t="n">
        <x:f>IF(AW$21&lt;$F5,0,IF(AW$21=$F5,$E5,MAX(0,AV22-AW70-AW86)))</x:f>
        <x:v>0</x:v>
      </x:c>
      <x:c r="AX22" s="101" t="n">
        <x:f>IF(AX$21&lt;$F5,0,IF(AX$21=$F5,$E5,MAX(0,AW22-AX70-AX86)))</x:f>
        <x:v>0</x:v>
      </x:c>
      <x:c r="AY22" s="101" t="n">
        <x:f>IF(AY$21&lt;$F5,0,IF(AY$21=$F5,$E5,MAX(0,AX22-AY70-AY86)))</x:f>
        <x:v>0</x:v>
      </x:c>
      <x:c r="AZ22" s="101" t="n">
        <x:f>IF(AZ$21&lt;$F5,0,IF(AZ$21=$F5,$E5,MAX(0,AY22-AZ70-AZ86)))</x:f>
        <x:v>0</x:v>
      </x:c>
      <x:c r="BA22" s="101" t="n">
        <x:f>IF(BA$21&lt;$F5,0,IF(BA$21=$F5,$E5,MAX(0,AZ22-BA70-BA86)))</x:f>
        <x:v>0</x:v>
      </x:c>
      <x:c r="BB22" s="101" t="n">
        <x:f>IF(BB$21&lt;$F5,0,IF(BB$21=$F5,$E5,MAX(0,BA22-BB70-BB86)))</x:f>
        <x:v>0</x:v>
      </x:c>
      <x:c r="BC22" s="101" t="n">
        <x:f>IF(BC$21&lt;$F5,0,IF(BC$21=$F5,$E5,MAX(0,BB22-BC70-BC86)))</x:f>
        <x:v>0</x:v>
      </x:c>
      <x:c r="BD22" s="101" t="n">
        <x:f>IF(BD$21&lt;$F5,0,IF(BD$21=$F5,$E5,MAX(0,BC22-BD70-BD86)))</x:f>
        <x:v>0</x:v>
      </x:c>
      <x:c r="BE22" s="101" t="n">
        <x:f>IF(BE$21&lt;$F5,0,IF(BE$21=$F5,$E5,MAX(0,BD22-BE70-BE86)))</x:f>
        <x:v>0</x:v>
      </x:c>
      <x:c r="BF22" s="101" t="n">
        <x:f>IF(BF$21&lt;$F5,0,IF(BF$21=$F5,$E5,MAX(0,BE22-BF70-BF86)))</x:f>
        <x:v>0</x:v>
      </x:c>
      <x:c r="BG22" s="101" t="n">
        <x:f>IF(BG$21&lt;$F5,0,IF(BG$21=$F5,$E5,MAX(0,BF22-BG70-BG86)))</x:f>
        <x:v>0</x:v>
      </x:c>
      <x:c r="BH22" s="101" t="n">
        <x:f>IF(BH$21&lt;$F5,0,IF(BH$21=$F5,$E5,MAX(0,BG22-BH70-BH86)))</x:f>
        <x:v>0</x:v>
      </x:c>
      <x:c r="BI22" s="101" t="n">
        <x:f>IF(BI$21&lt;$F5,0,IF(BI$21=$F5,$E5,MAX(0,BH22-BI70-BI86)))</x:f>
        <x:v>0</x:v>
      </x:c>
    </x:row>
    <x:row r="23">
      <x:c r="A23" t="str">
        <x:f>A6</x:f>
        <x:v>批次02</x:v>
      </x:c>
      <x:c r="B23" s="29" t="n">
        <x:f>IF(B$21&lt;$F6,0,IF(B$21=$F6,$E6,MAX(0,$E6-B71-B87)))</x:f>
        <x:v>0</x:v>
      </x:c>
      <x:c r="C23" s="29" t="n">
        <x:f>IF(C$21&lt;$F6,0,IF(C$21=$F6,$E6,MAX(0,B23-C71-C87)))</x:f>
        <x:v>0</x:v>
      </x:c>
      <x:c r="D23" s="29" t="n">
        <x:f>IF(D$21&lt;$F6,0,IF(D$21=$F6,$E6,MAX(0,C23-D71-D87)))</x:f>
        <x:v>27567000</x:v>
      </x:c>
      <x:c r="E23" s="29" t="n">
        <x:f>IF(E$21&lt;$F6,0,IF(E$21=$F6,$E6,MAX(0,D23-E71-E87)))</x:f>
        <x:v>26893731.10919148</x:v>
      </x:c>
      <x:c r="F23" s="29" t="n">
        <x:f>IF(F$21&lt;$F6,0,IF(F$21=$F6,$E6,MAX(0,E23-F71-F87)))</x:f>
        <x:v>26215973.759110905</x:v>
      </x:c>
      <x:c r="G23" s="29" t="n">
        <x:f>IF(G$21&lt;$F6,0,IF(G$21=$F6,$E6,MAX(0,F23-G71-G87)))</x:f>
        <x:v>25533698.02669646</x:v>
      </x:c>
      <x:c r="H23" s="29" t="n">
        <x:f>IF(H$21&lt;$F6,0,IF(H$21=$F6,$E6,MAX(0,G23-H71-H87)))</x:f>
        <x:v>24846873.789399248</x:v>
      </x:c>
      <x:c r="I23" s="29" t="n">
        <x:f>IF(I$21&lt;$F6,0,IF(I$21=$F6,$E6,MAX(0,H23-I71-I87)))</x:f>
        <x:v>24155470.72385339</x:v>
      </x:c>
      <x:c r="J23" s="29" t="n">
        <x:f>IF(J$21&lt;$F6,0,IF(J$21=$F6,$E6,MAX(0,I23-J71-J87)))</x:f>
        <x:v>23459458.304537226</x:v>
      </x:c>
      <x:c r="K23" s="29" t="n">
        <x:f>IF(K$21&lt;$F6,0,IF(K$21=$F6,$E6,MAX(0,J23-K71-K87)))</x:f>
        <x:v>22758805.802425623</x:v>
      </x:c>
      <x:c r="L23" s="29" t="n">
        <x:f>IF(L$21&lt;$F6,0,IF(L$21=$F6,$E6,MAX(0,K23-L71-L87)))</x:f>
        <x:v>22053482.283633273</x:v>
      </x:c>
      <x:c r="M23" s="29" t="n">
        <x:f>IF(M$21&lt;$F6,0,IF(M$21=$F6,$E6,MAX(0,L23-M71-M87)))</x:f>
        <x:v>21343456.608048975</x:v>
      </x:c>
      <x:c r="N23" s="29" t="n">
        <x:f>IF(N$21&lt;$F6,0,IF(N$21=$F6,$E6,MAX(0,M23-N71-N87)))</x:f>
        <x:v>20628697.427960783</x:v>
      </x:c>
      <x:c r="O23" s="29" t="n">
        <x:f>IF(O$21&lt;$F6,0,IF(O$21=$F6,$E6,MAX(0,N23-O71-O87)))</x:f>
        <x:v>19909173.186672002</x:v>
      </x:c>
      <x:c r="P23" s="29" t="n">
        <x:f>IF(P$21&lt;$F6,0,IF(P$21=$F6,$E6,MAX(0,O23-P71-P87)))</x:f>
        <x:v>19184852.11710796</x:v>
      </x:c>
      <x:c r="Q23" s="29" t="n">
        <x:f>IF(Q$21&lt;$F6,0,IF(Q$21=$F6,$E6,MAX(0,P23-Q71-Q87)))</x:f>
        <x:v>18455702.240413494</x:v>
      </x:c>
      <x:c r="R23" s="29" t="n">
        <x:f>IF(R$21&lt;$F6,0,IF(R$21=$F6,$E6,MAX(0,Q23-R71-R87)))</x:f>
        <x:v>17721691.364541065</x:v>
      </x:c>
      <x:c r="S23" s="29" t="n">
        <x:f>IF(S$21&lt;$F6,0,IF(S$21=$F6,$E6,MAX(0,R23-S71-S87)))</x:f>
        <x:v>16982787.082829487</x:v>
      </x:c>
      <x:c r="T23" s="29" t="n">
        <x:f>IF(T$21&lt;$F6,0,IF(T$21=$F6,$E6,MAX(0,S23-T71-T87)))</x:f>
        <x:v>16238956.772573164</x:v>
      </x:c>
      <x:c r="U23" s="29" t="n">
        <x:f>IF(U$21&lt;$F6,0,IF(U$21=$F6,$E6,MAX(0,T23-U71-U87)))</x:f>
        <x:v>15490167.5935818</x:v>
      </x:c>
      <x:c r="V23" s="29" t="n">
        <x:f>IF(V$21&lt;$F6,0,IF(V$21=$F6,$E6,MAX(0,U23-V71-V87)))</x:f>
        <x:v>14736386.486730492</x:v>
      </x:c>
      <x:c r="W23" s="29" t="n">
        <x:f>IF(W$21&lt;$F6,0,IF(W$21=$F6,$E6,MAX(0,V23-W71-W87)))</x:f>
        <x:v>13977580.172500176</x:v>
      </x:c>
      <x:c r="X23" s="29" t="n">
        <x:f>IF(X$21&lt;$F6,0,IF(X$21=$F6,$E6,MAX(0,W23-X71-X87)))</x:f>
        <x:v>13213715.149508325</x:v>
      </x:c>
      <x:c r="Y23" s="29" t="n">
        <x:f>IF(Y$21&lt;$F6,0,IF(Y$21=$F6,$E6,MAX(0,X23-Y71-Y87)))</x:f>
        <x:v>12444757.693029862</x:v>
      </x:c>
      <x:c r="Z23" s="29" t="n">
        <x:f>IF(Z$21&lt;$F6,0,IF(Z$21=$F6,$E6,MAX(0,Y23-Z71-Z87)))</x:f>
        <x:v>11670673.853508208</x:v>
      </x:c>
      <x:c r="AA23" s="29" t="n">
        <x:f>IF(AA$21&lt;$F6,0,IF(AA$21=$F6,$E6,MAX(0,Z23-AA71-AA87)))</x:f>
        <x:v>10891429.45505641</x:v>
      </x:c>
      <x:c r="AB23" s="29" t="n">
        <x:f>IF(AB$21&lt;$F6,0,IF(AB$21=$F6,$E6,MAX(0,AA23-AB71-AB87)))</x:f>
        <x:v>10106990.093948267</x:v>
      </x:c>
      <x:c r="AC23" s="29" t="n">
        <x:f>IF(AC$21&lt;$F6,0,IF(AC$21=$F6,$E6,MAX(0,AB23-AC71-AC87)))</x:f>
        <x:v>9317321.137099404</x:v>
      </x:c>
      <x:c r="AD23" s="29" t="n">
        <x:f>IF(AD$21&lt;$F6,0,IF(AD$21=$F6,$E6,MAX(0,AC23-AD71-AD87)))</x:f>
        <x:v>8522387.720538214</x:v>
      </x:c>
      <x:c r="AE23" s="29" t="n">
        <x:f>IF(AE$21&lt;$F6,0,IF(AE$21=$F6,$E6,MAX(0,AD23-AE71-AE87)))</x:f>
        <x:v>7722154.747866616</x:v>
      </x:c>
      <x:c r="AF23" s="29" t="n">
        <x:f>IF(AF$21&lt;$F6,0,IF(AF$21=$F6,$E6,MAX(0,AE23-AF71-AF87)))</x:f>
        <x:v>6916586.888710541</x:v>
      </x:c>
      <x:c r="AG23" s="29" t="n">
        <x:f>IF(AG$21&lt;$F6,0,IF(AG$21=$F6,$E6,MAX(0,AF23-AG71-AG87)))</x:f>
        <x:v>6105648.577160092</x:v>
      </x:c>
      <x:c r="AH23" s="29" t="n">
        <x:f>IF(AH$21&lt;$F6,0,IF(AH$21=$F6,$E6,MAX(0,AG23-AH71-AH87)))</x:f>
        <x:v>5289304.0101993065</x:v>
      </x:c>
      <x:c r="AI23" s="29" t="n">
        <x:f>IF(AI$21&lt;$F6,0,IF(AI$21=$F6,$E6,MAX(0,AH23-AI71-AI87)))</x:f>
        <x:v>4467517.146125449</x:v>
      </x:c>
      <x:c r="AJ23" s="29" t="n">
        <x:f>IF(AJ$21&lt;$F6,0,IF(AJ$21=$F6,$E6,MAX(0,AI23-AJ71-AJ87)))</x:f>
        <x:v>3640251.702957766</x:v>
      </x:c>
      <x:c r="AK23" s="29" t="n">
        <x:f>IF(AK$21&lt;$F6,0,IF(AK$21=$F6,$E6,MAX(0,AJ23-AK71-AK87)))</x:f>
        <x:v>2807471.156835632</x:v>
      </x:c>
      <x:c r="AL23" s="101" t="n">
        <x:f>IF(AL$21&lt;$F6,0,IF(AL$21=$F6,$E6,MAX(0,AK23-AL71-AL87)))</x:f>
        <x:v>1969138.7404060168</x:v>
      </x:c>
      <x:c r="AM23" s="101" t="n">
        <x:f>IF(AM$21&lt;$F6,0,IF(AM$21=$F6,$E6,MAX(0,AL23-AM71-AM87)))</x:f>
        <x:v>1125217.4412002042</x:v>
      </x:c>
      <x:c r="AN23" s="101" t="n">
        <x:f>IF(AN$21&lt;$F6,0,IF(AN$21=$F6,$E6,MAX(0,AM23-AN71-AN87)))</x:f>
        <x:v>0</x:v>
      </x:c>
      <x:c r="AO23" s="101" t="n">
        <x:f>IF(AO$21&lt;$F6,0,IF(AO$21=$F6,$E6,MAX(0,AN23-AO71-AO87)))</x:f>
        <x:v>0</x:v>
      </x:c>
      <x:c r="AP23" s="101" t="n">
        <x:f>IF(AP$21&lt;$F6,0,IF(AP$21=$F6,$E6,MAX(0,AO23-AP71-AP87)))</x:f>
        <x:v>0</x:v>
      </x:c>
      <x:c r="AQ23" s="101" t="n">
        <x:f>IF(AQ$21&lt;$F6,0,IF(AQ$21=$F6,$E6,MAX(0,AP23-AQ71-AQ87)))</x:f>
        <x:v>0</x:v>
      </x:c>
      <x:c r="AR23" s="101" t="n">
        <x:f>IF(AR$21&lt;$F6,0,IF(AR$21=$F6,$E6,MAX(0,AQ23-AR71-AR87)))</x:f>
        <x:v>0</x:v>
      </x:c>
      <x:c r="AS23" s="101" t="n">
        <x:f>IF(AS$21&lt;$F6,0,IF(AS$21=$F6,$E6,MAX(0,AR23-AS71-AS87)))</x:f>
        <x:v>0</x:v>
      </x:c>
      <x:c r="AT23" s="101" t="n">
        <x:f>IF(AT$21&lt;$F6,0,IF(AT$21=$F6,$E6,MAX(0,AS23-AT71-AT87)))</x:f>
        <x:v>0</x:v>
      </x:c>
      <x:c r="AU23" s="101" t="n">
        <x:f>IF(AU$21&lt;$F6,0,IF(AU$21=$F6,$E6,MAX(0,AT23-AU71-AU87)))</x:f>
        <x:v>0</x:v>
      </x:c>
      <x:c r="AV23" s="101" t="n">
        <x:f>IF(AV$21&lt;$F6,0,IF(AV$21=$F6,$E6,MAX(0,AU23-AV71-AV87)))</x:f>
        <x:v>0</x:v>
      </x:c>
      <x:c r="AW23" s="101" t="n">
        <x:f>IF(AW$21&lt;$F6,0,IF(AW$21=$F6,$E6,MAX(0,AV23-AW71-AW87)))</x:f>
        <x:v>0</x:v>
      </x:c>
      <x:c r="AX23" s="101" t="n">
        <x:f>IF(AX$21&lt;$F6,0,IF(AX$21=$F6,$E6,MAX(0,AW23-AX71-AX87)))</x:f>
        <x:v>0</x:v>
      </x:c>
      <x:c r="AY23" s="101" t="n">
        <x:f>IF(AY$21&lt;$F6,0,IF(AY$21=$F6,$E6,MAX(0,AX23-AY71-AY87)))</x:f>
        <x:v>0</x:v>
      </x:c>
      <x:c r="AZ23" s="101" t="n">
        <x:f>IF(AZ$21&lt;$F6,0,IF(AZ$21=$F6,$E6,MAX(0,AY23-AZ71-AZ87)))</x:f>
        <x:v>0</x:v>
      </x:c>
      <x:c r="BA23" s="101" t="n">
        <x:f>IF(BA$21&lt;$F6,0,IF(BA$21=$F6,$E6,MAX(0,AZ23-BA71-BA87)))</x:f>
        <x:v>0</x:v>
      </x:c>
      <x:c r="BB23" s="101" t="n">
        <x:f>IF(BB$21&lt;$F6,0,IF(BB$21=$F6,$E6,MAX(0,BA23-BB71-BB87)))</x:f>
        <x:v>0</x:v>
      </x:c>
      <x:c r="BC23" s="101" t="n">
        <x:f>IF(BC$21&lt;$F6,0,IF(BC$21=$F6,$E6,MAX(0,BB23-BC71-BC87)))</x:f>
        <x:v>0</x:v>
      </x:c>
      <x:c r="BD23" s="101" t="n">
        <x:f>IF(BD$21&lt;$F6,0,IF(BD$21=$F6,$E6,MAX(0,BC23-BD71-BD87)))</x:f>
        <x:v>0</x:v>
      </x:c>
      <x:c r="BE23" s="101" t="n">
        <x:f>IF(BE$21&lt;$F6,0,IF(BE$21=$F6,$E6,MAX(0,BD23-BE71-BE87)))</x:f>
        <x:v>0</x:v>
      </x:c>
      <x:c r="BF23" s="101" t="n">
        <x:f>IF(BF$21&lt;$F6,0,IF(BF$21=$F6,$E6,MAX(0,BE23-BF71-BF87)))</x:f>
        <x:v>0</x:v>
      </x:c>
      <x:c r="BG23" s="101" t="n">
        <x:f>IF(BG$21&lt;$F6,0,IF(BG$21=$F6,$E6,MAX(0,BF23-BG71-BG87)))</x:f>
        <x:v>0</x:v>
      </x:c>
      <x:c r="BH23" s="101" t="n">
        <x:f>IF(BH$21&lt;$F6,0,IF(BH$21=$F6,$E6,MAX(0,BG23-BH71-BH87)))</x:f>
        <x:v>0</x:v>
      </x:c>
      <x:c r="BI23" s="101" t="n">
        <x:f>IF(BI$21&lt;$F6,0,IF(BI$21=$F6,$E6,MAX(0,BH23-BI71-BI87)))</x:f>
        <x:v>0</x:v>
      </x:c>
    </x:row>
    <x:row r="24">
      <x:c r="A24" t="str">
        <x:f>A7</x:f>
        <x:v>批次03</x:v>
      </x:c>
      <x:c r="B24" s="29" t="n">
        <x:f>IF(B$21&lt;$F7,0,IF(B$21=$F7,$E7,MAX(0,$E7-B72-B88)))</x:f>
        <x:v>0</x:v>
      </x:c>
      <x:c r="C24" s="29" t="n">
        <x:f>IF(C$21&lt;$F7,0,IF(C$21=$F7,$E7,MAX(0,B24-C72-C88)))</x:f>
        <x:v>0</x:v>
      </x:c>
      <x:c r="D24" s="29" t="n">
        <x:f>IF(D$21&lt;$F7,0,IF(D$21=$F7,$E7,MAX(0,C24-D72-D88)))</x:f>
        <x:v>0</x:v>
      </x:c>
      <x:c r="E24" s="29" t="n">
        <x:f>IF(E$21&lt;$F7,0,IF(E$21=$F7,$E7,MAX(0,D24-E72-E88)))</x:f>
        <x:v>32103000</x:v>
      </x:c>
      <x:c r="F24" s="29" t="n">
        <x:f>IF(F$21&lt;$F7,0,IF(F$21=$F7,$E7,MAX(0,E24-F72-F88)))</x:f>
        <x:v>31318948.37299576</x:v>
      </x:c>
      <x:c r="G24" s="29" t="n">
        <x:f>IF(G$21&lt;$F7,0,IF(G$21=$F7,$E7,MAX(0,F24-G72-G88)))</x:f>
        <x:v>30529669.735144824</x:v>
      </x:c>
      <x:c r="H24" s="29" t="n">
        <x:f>IF(H$21&lt;$F7,0,IF(H$21=$F7,$E7,MAX(0,G24-H72-H88)))</x:f>
        <x:v>29735129.239708215</x:v>
      </x:c>
      <x:c r="I24" s="29" t="n">
        <x:f>IF(I$21&lt;$F7,0,IF(I$21=$F7,$E7,MAX(0,H24-I72-I88)))</x:f>
        <x:v>28935291.807635363</x:v>
      </x:c>
      <x:c r="J24" s="29" t="n">
        <x:f>IF(J$21&lt;$F7,0,IF(J$21=$F7,$E7,MAX(0,I24-J72-J88)))</x:f>
        <x:v>28130122.126015358</x:v>
      </x:c>
      <x:c r="K24" s="29" t="n">
        <x:f>IF(K$21&lt;$F7,0,IF(K$21=$F7,$E7,MAX(0,J24-K72-K88)))</x:f>
        <x:v>27319584.646517888</x:v>
      </x:c>
      <x:c r="L24" s="29" t="n">
        <x:f>IF(L$21&lt;$F7,0,IF(L$21=$F7,$E7,MAX(0,K24-L72-L88)))</x:f>
        <x:v>26503643.583823767</x:v>
      </x:c>
      <x:c r="M24" s="29" t="n">
        <x:f>IF(M$21&lt;$F7,0,IF(M$21=$F7,$E7,MAX(0,L24-M72-M88)))</x:f>
        <x:v>25682262.914045017</x:v>
      </x:c>
      <x:c r="N24" s="29" t="n">
        <x:f>IF(N$21&lt;$F7,0,IF(N$21=$F7,$E7,MAX(0,M24-N72-N88)))</x:f>
        <x:v>24855406.373134412</x:v>
      </x:c>
      <x:c r="O24" s="29" t="n">
        <x:f>IF(O$21&lt;$F7,0,IF(O$21=$F7,$E7,MAX(0,N24-O72-O88)))</x:f>
        <x:v>24023037.4552844</x:v>
      </x:c>
      <x:c r="P24" s="29" t="n">
        <x:f>IF(P$21&lt;$F7,0,IF(P$21=$F7,$E7,MAX(0,O24-P72-P88)))</x:f>
        <x:v>23185119.41131539</x:v>
      </x:c>
      <x:c r="Q24" s="29" t="n">
        <x:f>IF(Q$21&lt;$F7,0,IF(Q$21=$F7,$E7,MAX(0,P24-Q72-Q88)))</x:f>
        <x:v>22341615.24705325</x:v>
      </x:c>
      <x:c r="R24" s="29" t="n">
        <x:f>IF(R$21&lt;$F7,0,IF(R$21=$F7,$E7,MAX(0,Q24-R72-R88)))</x:f>
        <x:v>21492487.72169603</x:v>
      </x:c>
      <x:c r="S24" s="29" t="n">
        <x:f>IF(S$21&lt;$F7,0,IF(S$21=$F7,$E7,MAX(0,R24-S72-S88)))</x:f>
        <x:v>20637699.346169762</x:v>
      </x:c>
      <x:c r="T24" s="29" t="n">
        <x:f>IF(T$21&lt;$F7,0,IF(T$21=$F7,$E7,MAX(0,S24-T72-T88)))</x:f>
        <x:v>19777212.38147332</x:v>
      </x:c>
      <x:c r="U24" s="29" t="n">
        <x:f>IF(U$21&lt;$F7,0,IF(U$21=$F7,$E7,MAX(0,T24-U72-U88)))</x:f>
        <x:v>18910988.837012235</x:v>
      </x:c>
      <x:c r="V24" s="29" t="n">
        <x:f>IF(V$21&lt;$F7,0,IF(V$21=$F7,$E7,MAX(0,U24-V72-V88)))</x:f>
        <x:v>18038990.468921408</x:v>
      </x:c>
      <x:c r="W24" s="29" t="n">
        <x:f>IF(W$21&lt;$F7,0,IF(W$21=$F7,$E7,MAX(0,V24-W72-W88)))</x:f>
        <x:v>17161178.778376643</x:v>
      </x:c>
      <x:c r="X24" s="29" t="n">
        <x:f>IF(X$21&lt;$F7,0,IF(X$21=$F7,$E7,MAX(0,W24-X72-X88)))</x:f>
        <x:v>16277515.009894913</x:v>
      </x:c>
      <x:c r="Y24" s="29" t="n">
        <x:f>IF(Y$21&lt;$F7,0,IF(Y$21=$F7,$E7,MAX(0,X24-Y72-Y88)))</x:f>
        <x:v>15387960.149623305</x:v>
      </x:c>
      <x:c r="Z24" s="29" t="n">
        <x:f>IF(Z$21&lt;$F7,0,IF(Z$21=$F7,$E7,MAX(0,Y24-Z72-Z88)))</x:f>
        <x:v>14492474.923616553</x:v>
      </x:c>
      <x:c r="AA24" s="29" t="n">
        <x:f>IF(AA$21&lt;$F7,0,IF(AA$21=$F7,$E7,MAX(0,Z24-AA72-AA88)))</x:f>
        <x:v>13591019.79610309</x:v>
      </x:c>
      <x:c r="AB24" s="29" t="n">
        <x:f>IF(AB$21&lt;$F7,0,IF(AB$21=$F7,$E7,MAX(0,AA24-AB72-AB88)))</x:f>
        <x:v>12683554.967739537</x:v>
      </x:c>
      <x:c r="AC24" s="29" t="n">
        <x:f>IF(AC$21&lt;$F7,0,IF(AC$21=$F7,$E7,MAX(0,AB24-AC72-AC88)))</x:f>
        <x:v>11770040.37385356</x:v>
      </x:c>
      <x:c r="AD24" s="29" t="n">
        <x:f>IF(AD$21&lt;$F7,0,IF(AD$21=$F7,$E7,MAX(0,AC24-AD72-AD88)))</x:f>
        <x:v>10850435.682675011</x:v>
      </x:c>
      <x:c r="AE24" s="29" t="n">
        <x:f>IF(AE$21&lt;$F7,0,IF(AE$21=$F7,$E7,MAX(0,AD24-AE72-AE88)))</x:f>
        <x:v>9924700.29355527</x:v>
      </x:c>
      <x:c r="AF24" s="29" t="n">
        <x:f>IF(AF$21&lt;$F7,0,IF(AF$21=$F7,$E7,MAX(0,AE24-AF72-AF88)))</x:f>
        <x:v>8992793.335174732</x:v>
      </x:c>
      <x:c r="AG24" s="29" t="n">
        <x:f>IF(AG$21&lt;$F7,0,IF(AG$21=$F7,$E7,MAX(0,AF24-AG72-AG88)))</x:f>
        <x:v>8054673.663738323</x:v>
      </x:c>
      <x:c r="AH24" s="29" t="n">
        <x:f>IF(AH$21&lt;$F7,0,IF(AH$21=$F7,$E7,MAX(0,AG24-AH72-AH88)))</x:f>
        <x:v>7110299.861159005</x:v>
      </x:c>
      <x:c r="AI24" s="29" t="n">
        <x:f>IF(AI$21&lt;$F7,0,IF(AI$21=$F7,$E7,MAX(0,AH24-AI72-AI88)))</x:f>
        <x:v>6159630.233229158</x:v>
      </x:c>
      <x:c r="AJ24" s="29" t="n">
        <x:f>IF(AJ$21&lt;$F7,0,IF(AJ$21=$F7,$E7,MAX(0,AI24-AJ72-AJ88)))</x:f>
        <x:v>5202622.807779779</x:v>
      </x:c>
      <x:c r="AK24" s="29" t="n">
        <x:f>IF(AK$21&lt;$F7,0,IF(AK$21=$F7,$E7,MAX(0,AJ24-AK72-AK88)))</x:f>
        <x:v>4239235.332827403</x:v>
      </x:c>
      <x:c r="AL24" s="101" t="n">
        <x:f>IF(AL$21&lt;$F7,0,IF(AL$21=$F7,$E7,MAX(0,AK24-AL72-AL88)))</x:f>
        <x:v>3269425.274708679</x:v>
      </x:c>
      <x:c r="AM24" s="101" t="n">
        <x:f>IF(AM$21&lt;$F7,0,IF(AM$21=$F7,$E7,MAX(0,AL24-AM72-AM88)))</x:f>
        <x:v>2293149.816202496</x:v>
      </x:c>
      <x:c r="AN24" s="101" t="n">
        <x:f>IF(AN$21&lt;$F7,0,IF(AN$21=$F7,$E7,MAX(0,AM24-AN72-AN88)))</x:f>
        <x:v>1310365.8546396056</x:v>
      </x:c>
      <x:c r="AO24" s="101" t="n">
        <x:f>IF(AO$21&lt;$F7,0,IF(AO$21=$F7,$E7,MAX(0,AN24-AO72-AO88)))</x:f>
        <x:v>0</x:v>
      </x:c>
      <x:c r="AP24" s="101" t="n">
        <x:f>IF(AP$21&lt;$F7,0,IF(AP$21=$F7,$E7,MAX(0,AO24-AP72-AP88)))</x:f>
        <x:v>0</x:v>
      </x:c>
      <x:c r="AQ24" s="101" t="n">
        <x:f>IF(AQ$21&lt;$F7,0,IF(AQ$21=$F7,$E7,MAX(0,AP24-AQ72-AQ88)))</x:f>
        <x:v>0</x:v>
      </x:c>
      <x:c r="AR24" s="101" t="n">
        <x:f>IF(AR$21&lt;$F7,0,IF(AR$21=$F7,$E7,MAX(0,AQ24-AR72-AR88)))</x:f>
        <x:v>0</x:v>
      </x:c>
      <x:c r="AS24" s="101" t="n">
        <x:f>IF(AS$21&lt;$F7,0,IF(AS$21=$F7,$E7,MAX(0,AR24-AS72-AS88)))</x:f>
        <x:v>0</x:v>
      </x:c>
      <x:c r="AT24" s="101" t="n">
        <x:f>IF(AT$21&lt;$F7,0,IF(AT$21=$F7,$E7,MAX(0,AS24-AT72-AT88)))</x:f>
        <x:v>0</x:v>
      </x:c>
      <x:c r="AU24" s="101" t="n">
        <x:f>IF(AU$21&lt;$F7,0,IF(AU$21=$F7,$E7,MAX(0,AT24-AU72-AU88)))</x:f>
        <x:v>0</x:v>
      </x:c>
      <x:c r="AV24" s="101" t="n">
        <x:f>IF(AV$21&lt;$F7,0,IF(AV$21=$F7,$E7,MAX(0,AU24-AV72-AV88)))</x:f>
        <x:v>0</x:v>
      </x:c>
      <x:c r="AW24" s="101" t="n">
        <x:f>IF(AW$21&lt;$F7,0,IF(AW$21=$F7,$E7,MAX(0,AV24-AW72-AW88)))</x:f>
        <x:v>0</x:v>
      </x:c>
      <x:c r="AX24" s="101" t="n">
        <x:f>IF(AX$21&lt;$F7,0,IF(AX$21=$F7,$E7,MAX(0,AW24-AX72-AX88)))</x:f>
        <x:v>0</x:v>
      </x:c>
      <x:c r="AY24" s="101" t="n">
        <x:f>IF(AY$21&lt;$F7,0,IF(AY$21=$F7,$E7,MAX(0,AX24-AY72-AY88)))</x:f>
        <x:v>0</x:v>
      </x:c>
      <x:c r="AZ24" s="101" t="n">
        <x:f>IF(AZ$21&lt;$F7,0,IF(AZ$21=$F7,$E7,MAX(0,AY24-AZ72-AZ88)))</x:f>
        <x:v>0</x:v>
      </x:c>
      <x:c r="BA24" s="101" t="n">
        <x:f>IF(BA$21&lt;$F7,0,IF(BA$21=$F7,$E7,MAX(0,AZ24-BA72-BA88)))</x:f>
        <x:v>0</x:v>
      </x:c>
      <x:c r="BB24" s="101" t="n">
        <x:f>IF(BB$21&lt;$F7,0,IF(BB$21=$F7,$E7,MAX(0,BA24-BB72-BB88)))</x:f>
        <x:v>0</x:v>
      </x:c>
      <x:c r="BC24" s="101" t="n">
        <x:f>IF(BC$21&lt;$F7,0,IF(BC$21=$F7,$E7,MAX(0,BB24-BC72-BC88)))</x:f>
        <x:v>0</x:v>
      </x:c>
      <x:c r="BD24" s="101" t="n">
        <x:f>IF(BD$21&lt;$F7,0,IF(BD$21=$F7,$E7,MAX(0,BC24-BD72-BD88)))</x:f>
        <x:v>0</x:v>
      </x:c>
      <x:c r="BE24" s="101" t="n">
        <x:f>IF(BE$21&lt;$F7,0,IF(BE$21=$F7,$E7,MAX(0,BD24-BE72-BE88)))</x:f>
        <x:v>0</x:v>
      </x:c>
      <x:c r="BF24" s="101" t="n">
        <x:f>IF(BF$21&lt;$F7,0,IF(BF$21=$F7,$E7,MAX(0,BE24-BF72-BF88)))</x:f>
        <x:v>0</x:v>
      </x:c>
      <x:c r="BG24" s="101" t="n">
        <x:f>IF(BG$21&lt;$F7,0,IF(BG$21=$F7,$E7,MAX(0,BF24-BG72-BG88)))</x:f>
        <x:v>0</x:v>
      </x:c>
      <x:c r="BH24" s="101" t="n">
        <x:f>IF(BH$21&lt;$F7,0,IF(BH$21=$F7,$E7,MAX(0,BG24-BH72-BH88)))</x:f>
        <x:v>0</x:v>
      </x:c>
      <x:c r="BI24" s="101" t="n">
        <x:f>IF(BI$21&lt;$F7,0,IF(BI$21=$F7,$E7,MAX(0,BH24-BI72-BI88)))</x:f>
        <x:v>0</x:v>
      </x:c>
    </x:row>
    <x:row r="25">
      <x:c r="A25" t="str">
        <x:f>A8</x:f>
        <x:v>批次04</x:v>
      </x:c>
      <x:c r="B25" s="29" t="n">
        <x:f>IF(B$21&lt;$F8,0,IF(B$21=$F8,$E8,MAX(0,$E8-B73-B89)))</x:f>
        <x:v>0</x:v>
      </x:c>
      <x:c r="C25" s="29" t="n">
        <x:f>IF(C$21&lt;$F8,0,IF(C$21=$F8,$E8,MAX(0,B25-C73-C89)))</x:f>
        <x:v>0</x:v>
      </x:c>
      <x:c r="D25" s="29" t="n">
        <x:f>IF(D$21&lt;$F8,0,IF(D$21=$F8,$E8,MAX(0,C25-D73-D89)))</x:f>
        <x:v>0</x:v>
      </x:c>
      <x:c r="E25" s="29" t="n">
        <x:f>IF(E$21&lt;$F8,0,IF(E$21=$F8,$E8,MAX(0,D25-E73-E89)))</x:f>
        <x:v>0</x:v>
      </x:c>
      <x:c r="F25" s="29" t="n">
        <x:f>IF(F$21&lt;$F8,0,IF(F$21=$F8,$E8,MAX(0,E25-F73-F89)))</x:f>
        <x:v>36678000</x:v>
      </x:c>
      <x:c r="G25" s="29" t="n">
        <x:f>IF(G$21&lt;$F8,0,IF(G$21=$F8,$E8,MAX(0,F25-G73-G89)))</x:f>
        <x:v>35782213.139729574</x:v>
      </x:c>
      <x:c r="H25" s="29" t="n">
        <x:f>IF(H$21&lt;$F8,0,IF(H$21=$F8,$E8,MAX(0,G25-H73-H89)))</x:f>
        <x:v>34880454.367057346</x:v>
      </x:c>
      <x:c r="I25" s="29" t="n">
        <x:f>IF(I$21&lt;$F8,0,IF(I$21=$F8,$E8,MAX(0,H25-I73-I89)))</x:f>
        <x:v>33972683.869233966</x:v>
      </x:c>
      <x:c r="J25" s="29" t="n">
        <x:f>IF(J$21&lt;$F8,0,IF(J$21=$F8,$E8,MAX(0,I25-J73-J89)))</x:f>
        <x:v>33058861.568091765</x:v>
      </x:c>
      <x:c r="K25" s="29" t="n">
        <x:f>IF(K$21&lt;$F8,0,IF(K$21=$F8,$E8,MAX(0,J25-K73-K89)))</x:f>
        <x:v>32138947.118275285</x:v>
      </x:c>
      <x:c r="L25" s="29" t="n">
        <x:f>IF(L$21&lt;$F8,0,IF(L$21=$F8,$E8,MAX(0,K25-L73-L89)))</x:f>
        <x:v>31212899.905460026</x:v>
      </x:c>
      <x:c r="M25" s="29" t="n">
        <x:f>IF(M$21&lt;$F8,0,IF(M$21=$F8,$E8,MAX(0,L25-M73-M89)))</x:f>
        <x:v>30280679.044559333</x:v>
      </x:c>
      <x:c r="N25" s="29" t="n">
        <x:f>IF(N$21&lt;$F8,0,IF(N$21=$F8,$E8,MAX(0,M25-N73-N89)))</x:f>
        <x:v>29342243.3779193</x:v>
      </x:c>
      <x:c r="O25" s="29" t="n">
        <x:f>IF(O$21&lt;$F8,0,IF(O$21=$F8,$E8,MAX(0,N25-O73-O89)))</x:f>
        <x:v>28397551.47350167</x:v>
      </x:c>
      <x:c r="P25" s="29" t="n">
        <x:f>IF(P$21&lt;$F8,0,IF(P$21=$F8,$E8,MAX(0,O25-P73-P89)))</x:f>
        <x:v>27446561.623054586</x:v>
      </x:c>
      <x:c r="Q25" s="29" t="n">
        <x:f>IF(Q$21&lt;$F8,0,IF(Q$21=$F8,$E8,MAX(0,P25-Q73-Q89)))</x:f>
        <x:v>26489231.84027119</x:v>
      </x:c>
      <x:c r="R25" s="29" t="n">
        <x:f>IF(R$21&lt;$F8,0,IF(R$21=$F8,$E8,MAX(0,Q25-R73-R89)))</x:f>
        <x:v>25525519.858935904</x:v>
      </x:c>
      <x:c r="S25" s="29" t="n">
        <x:f>IF(S$21&lt;$F8,0,IF(S$21=$F8,$E8,MAX(0,R25-S73-S89)))</x:f>
        <x:v>24555383.131058384</x:v>
      </x:c>
      <x:c r="T25" s="29" t="n">
        <x:f>IF(T$21&lt;$F8,0,IF(T$21=$F8,$E8,MAX(0,S25-T73-T89)))</x:f>
        <x:v>23578778.82499501</x:v>
      </x:c>
      <x:c r="U25" s="29" t="n">
        <x:f>IF(U$21&lt;$F8,0,IF(U$21=$F8,$E8,MAX(0,T25-U73-U89)))</x:f>
        <x:v>22595663.823557884</x:v>
      </x:c>
      <x:c r="V25" s="29" t="n">
        <x:f>IF(V$21&lt;$F8,0,IF(V$21=$F8,$E8,MAX(0,U25-V73-V89)))</x:f>
        <x:v>21605994.722111177</x:v>
      </x:c>
      <x:c r="W25" s="29" t="n">
        <x:f>IF(W$21&lt;$F8,0,IF(W$21=$F8,$E8,MAX(0,V25-W73-W89)))</x:f>
        <x:v>20609727.826654825</x:v>
      </x:c>
      <x:c r="X25" s="29" t="n">
        <x:f>IF(X$21&lt;$F8,0,IF(X$21=$F8,$E8,MAX(0,W25-X73-X89)))</x:f>
        <x:v>19606819.15189543</x:v>
      </x:c>
      <x:c r="Y25" s="29" t="n">
        <x:f>IF(Y$21&lt;$F8,0,IF(Y$21=$F8,$E8,MAX(0,X25-Y73-Y89)))</x:f>
        <x:v>18597224.419304304</x:v>
      </x:c>
      <x:c r="Z25" s="29" t="n">
        <x:f>IF(Z$21&lt;$F8,0,IF(Z$21=$F8,$E8,MAX(0,Y25-Z73-Z89)))</x:f>
        <x:v>17580899.05516257</x:v>
      </x:c>
      <x:c r="AA25" s="29" t="n">
        <x:f>IF(AA$21&lt;$F8,0,IF(AA$21=$F8,$E8,MAX(0,Z25-AA73-AA89)))</x:f>
        <x:v>16557798.188593227</x:v>
      </x:c>
      <x:c r="AB25" s="29" t="n">
        <x:f>IF(AB$21&lt;$F8,0,IF(AB$21=$F8,$E8,MAX(0,AA25-AB73-AB89)))</x:f>
        <x:v>15527876.649580088</x:v>
      </x:c>
      <x:c r="AC25" s="29" t="n">
        <x:f>IF(AC$21&lt;$F8,0,IF(AC$21=$F8,$E8,MAX(0,AB25-AC73-AC89)))</x:f>
        <x:v>14491088.966973528</x:v>
      </x:c>
      <x:c r="AD25" s="29" t="n">
        <x:f>IF(AD$21&lt;$F8,0,IF(AD$21=$F8,$E8,MAX(0,AC25-AD73-AD89)))</x:f>
        <x:v>13447389.366482925</x:v>
      </x:c>
      <x:c r="AE25" s="29" t="n">
        <x:f>IF(AE$21&lt;$F8,0,IF(AE$21=$F8,$E8,MAX(0,AD25-AE73-AE89)))</x:f>
        <x:v>12396731.768655717</x:v>
      </x:c>
      <x:c r="AF25" s="29" t="n">
        <x:f>IF(AF$21&lt;$F8,0,IF(AF$21=$F8,$E8,MAX(0,AE25-AF73-AF89)))</x:f>
        <x:v>11339069.786842994</x:v>
      </x:c>
      <x:c r="AG25" s="29" t="n">
        <x:f>IF(AG$21&lt;$F8,0,IF(AG$21=$F8,$E8,MAX(0,AF25-AG73-AG89)))</x:f>
        <x:v>10274356.72515152</x:v>
      </x:c>
      <x:c r="AH25" s="29" t="n">
        <x:f>IF(AH$21&lt;$F8,0,IF(AH$21=$F8,$E8,MAX(0,AG25-AH73-AH89)))</x:f>
        <x:v>9202545.576382102</x:v>
      </x:c>
      <x:c r="AI25" s="29" t="n">
        <x:f>IF(AI$21&lt;$F8,0,IF(AI$21=$F8,$E8,MAX(0,AH25-AI73-AI89)))</x:f>
        <x:v>8123589.019954222</x:v>
      </x:c>
      <x:c r="AJ25" s="29" t="n">
        <x:f>IF(AJ$21&lt;$F8,0,IF(AJ$21=$F8,$E8,MAX(0,AI25-AJ73-AJ89)))</x:f>
        <x:v>7037439.419816824</x:v>
      </x:c>
      <x:c r="AK25" s="29" t="n">
        <x:f>IF(AK$21&lt;$F8,0,IF(AK$21=$F8,$E8,MAX(0,AJ25-AK73-AK89)))</x:f>
        <x:v>5944048.822345175</x:v>
      </x:c>
      <x:c r="AL25" s="101" t="n">
        <x:f>IF(AL$21&lt;$F8,0,IF(AL$21=$F8,$E8,MAX(0,AK25-AL73-AL89)))</x:f>
        <x:v>4843368.954223716</x:v>
      </x:c>
      <x:c r="AM25" s="101" t="n">
        <x:f>IF(AM$21&lt;$F8,0,IF(AM$21=$F8,$E8,MAX(0,AL25-AM73-AM89)))</x:f>
        <x:v>3735351.22031478</x:v>
      </x:c>
      <x:c r="AN25" s="101" t="n">
        <x:f>IF(AN$21&lt;$F8,0,IF(AN$21=$F8,$E8,MAX(0,AM25-AN73-AN89)))</x:f>
        <x:v>2619946.7015131176</x:v>
      </x:c>
      <x:c r="AO25" s="101" t="n">
        <x:f>IF(AO$21&lt;$F8,0,IF(AO$21=$F8,$E8,MAX(0,AN25-AO73-AO89)))</x:f>
        <x:v>1497106.152586111</x:v>
      </x:c>
      <x:c r="AP25" s="101" t="n">
        <x:f>IF(AP$21&lt;$F8,0,IF(AP$21=$F8,$E8,MAX(0,AO25-AP73-AP89)))</x:f>
        <x:v>0</x:v>
      </x:c>
      <x:c r="AQ25" s="101" t="n">
        <x:f>IF(AQ$21&lt;$F8,0,IF(AQ$21=$F8,$E8,MAX(0,AP25-AQ73-AQ89)))</x:f>
        <x:v>0</x:v>
      </x:c>
      <x:c r="AR25" s="101" t="n">
        <x:f>IF(AR$21&lt;$F8,0,IF(AR$21=$F8,$E8,MAX(0,AQ25-AR73-AR89)))</x:f>
        <x:v>0</x:v>
      </x:c>
      <x:c r="AS25" s="101" t="n">
        <x:f>IF(AS$21&lt;$F8,0,IF(AS$21=$F8,$E8,MAX(0,AR25-AS73-AS89)))</x:f>
        <x:v>0</x:v>
      </x:c>
      <x:c r="AT25" s="101" t="n">
        <x:f>IF(AT$21&lt;$F8,0,IF(AT$21=$F8,$E8,MAX(0,AS25-AT73-AT89)))</x:f>
        <x:v>0</x:v>
      </x:c>
      <x:c r="AU25" s="101" t="n">
        <x:f>IF(AU$21&lt;$F8,0,IF(AU$21=$F8,$E8,MAX(0,AT25-AU73-AU89)))</x:f>
        <x:v>0</x:v>
      </x:c>
      <x:c r="AV25" s="101" t="n">
        <x:f>IF(AV$21&lt;$F8,0,IF(AV$21=$F8,$E8,MAX(0,AU25-AV73-AV89)))</x:f>
        <x:v>0</x:v>
      </x:c>
      <x:c r="AW25" s="101" t="n">
        <x:f>IF(AW$21&lt;$F8,0,IF(AW$21=$F8,$E8,MAX(0,AV25-AW73-AW89)))</x:f>
        <x:v>0</x:v>
      </x:c>
      <x:c r="AX25" s="101" t="n">
        <x:f>IF(AX$21&lt;$F8,0,IF(AX$21=$F8,$E8,MAX(0,AW25-AX73-AX89)))</x:f>
        <x:v>0</x:v>
      </x:c>
      <x:c r="AY25" s="101" t="n">
        <x:f>IF(AY$21&lt;$F8,0,IF(AY$21=$F8,$E8,MAX(0,AX25-AY73-AY89)))</x:f>
        <x:v>0</x:v>
      </x:c>
      <x:c r="AZ25" s="101" t="n">
        <x:f>IF(AZ$21&lt;$F8,0,IF(AZ$21=$F8,$E8,MAX(0,AY25-AZ73-AZ89)))</x:f>
        <x:v>0</x:v>
      </x:c>
      <x:c r="BA25" s="101" t="n">
        <x:f>IF(BA$21&lt;$F8,0,IF(BA$21=$F8,$E8,MAX(0,AZ25-BA73-BA89)))</x:f>
        <x:v>0</x:v>
      </x:c>
      <x:c r="BB25" s="101" t="n">
        <x:f>IF(BB$21&lt;$F8,0,IF(BB$21=$F8,$E8,MAX(0,BA25-BB73-BB89)))</x:f>
        <x:v>0</x:v>
      </x:c>
      <x:c r="BC25" s="101" t="n">
        <x:f>IF(BC$21&lt;$F8,0,IF(BC$21=$F8,$E8,MAX(0,BB25-BC73-BC89)))</x:f>
        <x:v>0</x:v>
      </x:c>
      <x:c r="BD25" s="101" t="n">
        <x:f>IF(BD$21&lt;$F8,0,IF(BD$21=$F8,$E8,MAX(0,BC25-BD73-BD89)))</x:f>
        <x:v>0</x:v>
      </x:c>
      <x:c r="BE25" s="101" t="n">
        <x:f>IF(BE$21&lt;$F8,0,IF(BE$21=$F8,$E8,MAX(0,BD25-BE73-BE89)))</x:f>
        <x:v>0</x:v>
      </x:c>
      <x:c r="BF25" s="101" t="n">
        <x:f>IF(BF$21&lt;$F8,0,IF(BF$21=$F8,$E8,MAX(0,BE25-BF73-BF89)))</x:f>
        <x:v>0</x:v>
      </x:c>
      <x:c r="BG25" s="101" t="n">
        <x:f>IF(BG$21&lt;$F8,0,IF(BG$21=$F8,$E8,MAX(0,BF25-BG73-BG89)))</x:f>
        <x:v>0</x:v>
      </x:c>
      <x:c r="BH25" s="101" t="n">
        <x:f>IF(BH$21&lt;$F8,0,IF(BH$21=$F8,$E8,MAX(0,BG25-BH73-BH89)))</x:f>
        <x:v>0</x:v>
      </x:c>
      <x:c r="BI25" s="101" t="n">
        <x:f>IF(BI$21&lt;$F8,0,IF(BI$21=$F8,$E8,MAX(0,BH25-BI73-BI89)))</x:f>
        <x:v>0</x:v>
      </x:c>
    </x:row>
    <x:row r="26">
      <x:c r="A26" t="str">
        <x:f>A9</x:f>
        <x:v>批次05</x:v>
      </x:c>
      <x:c r="B26" s="29" t="n">
        <x:f>IF(B$21&lt;$F9,0,IF(B$21=$F9,$E9,MAX(0,$E9-B74-B90)))</x:f>
        <x:v>0</x:v>
      </x:c>
      <x:c r="C26" s="29" t="n">
        <x:f>IF(C$21&lt;$F9,0,IF(C$21=$F9,$E9,MAX(0,B26-C74-C90)))</x:f>
        <x:v>0</x:v>
      </x:c>
      <x:c r="D26" s="29" t="n">
        <x:f>IF(D$21&lt;$F9,0,IF(D$21=$F9,$E9,MAX(0,C26-D74-D90)))</x:f>
        <x:v>0</x:v>
      </x:c>
      <x:c r="E26" s="29" t="n">
        <x:f>IF(E$21&lt;$F9,0,IF(E$21=$F9,$E9,MAX(0,D26-E74-E90)))</x:f>
        <x:v>0</x:v>
      </x:c>
      <x:c r="F26" s="29" t="n">
        <x:f>IF(F$21&lt;$F9,0,IF(F$21=$F9,$E9,MAX(0,E26-F74-F90)))</x:f>
        <x:v>0</x:v>
      </x:c>
      <x:c r="G26" s="29" t="n">
        <x:f>IF(G$21&lt;$F9,0,IF(G$21=$F9,$E9,MAX(0,F26-G74-G90)))</x:f>
        <x:v>41253000</x:v>
      </x:c>
      <x:c r="H26" s="29" t="n">
        <x:f>IF(H$21&lt;$F9,0,IF(H$21=$F9,$E9,MAX(0,G26-H74-H90)))</x:f>
        <x:v>40245477.906463385</x:v>
      </x:c>
      <x:c r="I26" s="29" t="n">
        <x:f>IF(I$21&lt;$F9,0,IF(I$21=$F9,$E9,MAX(0,H26-I74-I90)))</x:f>
        <x:v>39231238.99896986</x:v>
      </x:c>
      <x:c r="J26" s="29" t="n">
        <x:f>IF(J$21&lt;$F9,0,IF(J$21=$F9,$E9,MAX(0,I26-J74-J90)))</x:f>
        <x:v>38210238.49875971</x:v>
      </x:c>
      <x:c r="K26" s="29" t="n">
        <x:f>IF(K$21&lt;$F9,0,IF(K$21=$F9,$E9,MAX(0,J26-K74-K90)))</x:f>
        <x:v>37182431.32854816</x:v>
      </x:c>
      <x:c r="L26" s="29" t="n">
        <x:f>IF(L$21&lt;$F9,0,IF(L$21=$F9,$E9,MAX(0,K26-L74-L90)))</x:f>
        <x:v>36147772.110535204</x:v>
      </x:c>
      <x:c r="M26" s="29" t="n">
        <x:f>IF(M$21&lt;$F9,0,IF(M$21=$F9,$E9,MAX(0,L26-M74-M90)))</x:f>
        <x:v>35106215.16440216</x:v>
      </x:c>
      <x:c r="N26" s="29" t="n">
        <x:f>IF(N$21&lt;$F9,0,IF(N$21=$F9,$E9,MAX(0,M26-N74-N90)))</x:f>
        <x:v>34057714.50529489</x:v>
      </x:c>
      <x:c r="O26" s="29" t="n">
        <x:f>IF(O$21&lt;$F9,0,IF(O$21=$F9,$E9,MAX(0,N26-O74-O90)))</x:f>
        <x:v>33002223.841793574</x:v>
      </x:c>
      <x:c r="P26" s="29" t="n">
        <x:f>IF(P$21&lt;$F9,0,IF(P$21=$F9,$E9,MAX(0,O26-P74-P90)))</x:f>
        <x:v>31939696.573868915</x:v>
      </x:c>
      <x:c r="Q26" s="29" t="n">
        <x:f>IF(Q$21&lt;$F9,0,IF(Q$21=$F9,$E9,MAX(0,P26-Q74-Q90)))</x:f>
        <x:v>30870085.79082476</x:v>
      </x:c>
      <x:c r="R26" s="29" t="n">
        <x:f>IF(R$21&lt;$F9,0,IF(R$21=$F9,$E9,MAX(0,Q26-R74-R90)))</x:f>
        <x:v>29793344.269226976</x:v>
      </x:c>
      <x:c r="S26" s="29" t="n">
        <x:f>IF(S$21&lt;$F9,0,IF(S$21=$F9,$E9,MAX(0,R26-S74-S90)))</x:f>
        <x:v>28709424.470818542</x:v>
      </x:c>
      <x:c r="T26" s="29" t="n">
        <x:f>IF(T$21&lt;$F9,0,IF(T$21=$F9,$E9,MAX(0,S26-T74-T90)))</x:f>
        <x:v>27618278.54042072</x:v>
      </x:c>
      <x:c r="U26" s="29" t="n">
        <x:f>IF(U$21&lt;$F9,0,IF(U$21=$F9,$E9,MAX(0,T26-U74-U90)))</x:f>
        <x:v>26519858.30382024</x:v>
      </x:c>
      <x:c r="V26" s="29" t="n">
        <x:f>IF(V$21&lt;$F9,0,IF(V$21=$F9,$E9,MAX(0,U26-V74-V90)))</x:f>
        <x:v>25414115.265642427</x:v>
      </x:c>
      <x:c r="W26" s="29" t="n">
        <x:f>IF(W$21&lt;$F9,0,IF(W$21=$F9,$E9,MAX(0,V26-W74-W90)))</x:f>
        <x:v>24301000.607210096</x:v>
      </x:c>
      <x:c r="X26" s="29" t="n">
        <x:f>IF(X$21&lt;$F9,0,IF(X$21=$F9,$E9,MAX(0,W26-X74-X90)))</x:f>
        <x:v>23180465.184388217</x:v>
      </x:c>
      <x:c r="Y26" s="29" t="n">
        <x:f>IF(Y$21&lt;$F9,0,IF(Y$21=$F9,$E9,MAX(0,X26-Y74-Y90)))</x:f>
        <x:v>22052459.52541419</x:v>
      </x:c>
      <x:c r="Z26" s="29" t="n">
        <x:f>IF(Z$21&lt;$F9,0,IF(Z$21=$F9,$E9,MAX(0,Y26-Z74-Z90)))</x:f>
        <x:v>20916933.82871367</x:v>
      </x:c>
      <x:c r="AA26" s="29" t="n">
        <x:f>IF(AA$21&lt;$F9,0,IF(AA$21=$F9,$E9,MAX(0,Z26-AA74-AA90)))</x:f>
        <x:v>19773837.960701816</x:v>
      </x:c>
      <x:c r="AB26" s="29" t="n">
        <x:f>IF(AB$21&lt;$F9,0,IF(AB$21=$F9,$E9,MAX(0,AA26-AB74-AB90)))</x:f>
        <x:v>18623121.45356988</x:v>
      </x:c>
      <x:c r="AC26" s="29" t="n">
        <x:f>IF(AC$21&lt;$F9,0,IF(AC$21=$F9,$E9,MAX(0,AB26-AC74-AC90)))</x:f>
        <x:v>17464733.503057066</x:v>
      </x:c>
      <x:c r="AD26" s="29" t="n">
        <x:f>IF(AD$21&lt;$F9,0,IF(AD$21=$F9,$E9,MAX(0,AC26-AD74-AD90)))</x:f>
        <x:v>16298622.966207499</x:v>
      </x:c>
      <x:c r="AE26" s="29" t="n">
        <x:f>IF(AE$21&lt;$F9,0,IF(AE$21=$F9,$E9,MAX(0,AD26-AE74-AE90)))</x:f>
        <x:v>15124738.359112268</x:v>
      </x:c>
      <x:c r="AF26" s="29" t="n">
        <x:f>IF(AF$21&lt;$F9,0,IF(AF$21=$F9,$E9,MAX(0,AE26-AF74-AF90)))</x:f>
        <x:v>13943027.854636403</x:v>
      </x:c>
      <x:c r="AG26" s="29" t="n">
        <x:f>IF(AG$21&lt;$F9,0,IF(AG$21=$F9,$E9,MAX(0,AF26-AG74-AG90)))</x:f>
        <x:v>12753439.280130697</x:v>
      </x:c>
      <x:c r="AH26" s="29" t="n">
        <x:f>IF(AH$21&lt;$F9,0,IF(AH$21=$F9,$E9,MAX(0,AG26-AH74-AH90)))</x:f>
        <x:v>11555920.115128288</x:v>
      </x:c>
      <x:c r="AI26" s="29" t="n">
        <x:f>IF(AI$21&lt;$F9,0,IF(AI$21=$F9,$E9,MAX(0,AH26-AI74-AI90)))</x:f>
        <x:v>10350417.489025863</x:v>
      </x:c>
      <x:c r="AJ26" s="29" t="n">
        <x:f>IF(AJ$21&lt;$F9,0,IF(AJ$21=$F9,$E9,MAX(0,AI26-AJ74-AJ90)))</x:f>
        <x:v>9136878.178749422</x:v>
      </x:c>
      <x:c r="AK26" s="29" t="n">
        <x:f>IF(AK$21&lt;$F9,0,IF(AK$21=$F9,$E9,MAX(0,AJ26-AK74-AK90)))</x:f>
        <x:v>7915248.60640447</x:v>
      </x:c>
      <x:c r="AL26" s="101" t="n">
        <x:f>IF(AL$21&lt;$F9,0,IF(AL$21=$F9,$E9,MAX(0,AK26-AL74-AL90)))</x:f>
        <x:v>6685474.836910552</x:v>
      </x:c>
      <x:c r="AM26" s="101" t="n">
        <x:f>IF(AM$21&lt;$F9,0,IF(AM$21=$F9,$E9,MAX(0,AL26-AM74-AM90)))</x:f>
        <x:v>5447502.575620009</x:v>
      </x:c>
      <x:c r="AN26" s="101" t="n">
        <x:f>IF(AN$21&lt;$F9,0,IF(AN$21=$F9,$E9,MAX(0,AM26-AN74-AN90)))</x:f>
        <x:v>4201277.165920861</x:v>
      </x:c>
      <x:c r="AO26" s="101" t="n">
        <x:f>IF(AO$21&lt;$F9,0,IF(AO$21=$F9,$E9,MAX(0,AN26-AO74-AO90)))</x:f>
        <x:v>2946743.5868237196</x:v>
      </x:c>
      <x:c r="AP26" s="101" t="n">
        <x:f>IF(AP$21&lt;$F9,0,IF(AP$21=$F9,$E9,MAX(0,AO26-AP74-AP90)))</x:f>
        <x:v>1683846.4505325968</x:v>
      </x:c>
      <x:c r="AQ26" s="101" t="n">
        <x:f>IF(AQ$21&lt;$F9,0,IF(AQ$21=$F9,$E9,MAX(0,AP26-AQ74-AQ90)))</x:f>
        <x:v>0</x:v>
      </x:c>
      <x:c r="AR26" s="101" t="n">
        <x:f>IF(AR$21&lt;$F9,0,IF(AR$21=$F9,$E9,MAX(0,AQ26-AR74-AR90)))</x:f>
        <x:v>0</x:v>
      </x:c>
      <x:c r="AS26" s="101" t="n">
        <x:f>IF(AS$21&lt;$F9,0,IF(AS$21=$F9,$E9,MAX(0,AR26-AS74-AS90)))</x:f>
        <x:v>0</x:v>
      </x:c>
      <x:c r="AT26" s="101" t="n">
        <x:f>IF(AT$21&lt;$F9,0,IF(AT$21=$F9,$E9,MAX(0,AS26-AT74-AT90)))</x:f>
        <x:v>0</x:v>
      </x:c>
      <x:c r="AU26" s="101" t="n">
        <x:f>IF(AU$21&lt;$F9,0,IF(AU$21=$F9,$E9,MAX(0,AT26-AU74-AU90)))</x:f>
        <x:v>0</x:v>
      </x:c>
      <x:c r="AV26" s="101" t="n">
        <x:f>IF(AV$21&lt;$F9,0,IF(AV$21=$F9,$E9,MAX(0,AU26-AV74-AV90)))</x:f>
        <x:v>0</x:v>
      </x:c>
      <x:c r="AW26" s="101" t="n">
        <x:f>IF(AW$21&lt;$F9,0,IF(AW$21=$F9,$E9,MAX(0,AV26-AW74-AW90)))</x:f>
        <x:v>0</x:v>
      </x:c>
      <x:c r="AX26" s="101" t="n">
        <x:f>IF(AX$21&lt;$F9,0,IF(AX$21=$F9,$E9,MAX(0,AW26-AX74-AX90)))</x:f>
        <x:v>0</x:v>
      </x:c>
      <x:c r="AY26" s="101" t="n">
        <x:f>IF(AY$21&lt;$F9,0,IF(AY$21=$F9,$E9,MAX(0,AX26-AY74-AY90)))</x:f>
        <x:v>0</x:v>
      </x:c>
      <x:c r="AZ26" s="101" t="n">
        <x:f>IF(AZ$21&lt;$F9,0,IF(AZ$21=$F9,$E9,MAX(0,AY26-AZ74-AZ90)))</x:f>
        <x:v>0</x:v>
      </x:c>
      <x:c r="BA26" s="101" t="n">
        <x:f>IF(BA$21&lt;$F9,0,IF(BA$21=$F9,$E9,MAX(0,AZ26-BA74-BA90)))</x:f>
        <x:v>0</x:v>
      </x:c>
      <x:c r="BB26" s="101" t="n">
        <x:f>IF(BB$21&lt;$F9,0,IF(BB$21=$F9,$E9,MAX(0,BA26-BB74-BB90)))</x:f>
        <x:v>0</x:v>
      </x:c>
      <x:c r="BC26" s="101" t="n">
        <x:f>IF(BC$21&lt;$F9,0,IF(BC$21=$F9,$E9,MAX(0,BB26-BC74-BC90)))</x:f>
        <x:v>0</x:v>
      </x:c>
      <x:c r="BD26" s="101" t="n">
        <x:f>IF(BD$21&lt;$F9,0,IF(BD$21=$F9,$E9,MAX(0,BC26-BD74-BD90)))</x:f>
        <x:v>0</x:v>
      </x:c>
      <x:c r="BE26" s="101" t="n">
        <x:f>IF(BE$21&lt;$F9,0,IF(BE$21=$F9,$E9,MAX(0,BD26-BE74-BE90)))</x:f>
        <x:v>0</x:v>
      </x:c>
      <x:c r="BF26" s="101" t="n">
        <x:f>IF(BF$21&lt;$F9,0,IF(BF$21=$F9,$E9,MAX(0,BE26-BF74-BF90)))</x:f>
        <x:v>0</x:v>
      </x:c>
      <x:c r="BG26" s="101" t="n">
        <x:f>IF(BG$21&lt;$F9,0,IF(BG$21=$F9,$E9,MAX(0,BF26-BG74-BG90)))</x:f>
        <x:v>0</x:v>
      </x:c>
      <x:c r="BH26" s="101" t="n">
        <x:f>IF(BH$21&lt;$F9,0,IF(BH$21=$F9,$E9,MAX(0,BG26-BH74-BH90)))</x:f>
        <x:v>0</x:v>
      </x:c>
      <x:c r="BI26" s="101" t="n">
        <x:f>IF(BI$21&lt;$F9,0,IF(BI$21=$F9,$E9,MAX(0,BH26-BI74-BI90)))</x:f>
        <x:v>0</x:v>
      </x:c>
    </x:row>
    <x:row r="27">
      <x:c r="A27" t="str">
        <x:f>A10</x:f>
        <x:v>批次06</x:v>
      </x:c>
      <x:c r="B27" s="29" t="n">
        <x:f>IF(B$21&lt;$F10,0,IF(B$21=$F10,$E10,MAX(0,$E10-B75-B91)))</x:f>
        <x:v>0</x:v>
      </x:c>
      <x:c r="C27" s="29" t="n">
        <x:f>IF(C$21&lt;$F10,0,IF(C$21=$F10,$E10,MAX(0,B27-C75-C91)))</x:f>
        <x:v>0</x:v>
      </x:c>
      <x:c r="D27" s="29" t="n">
        <x:f>IF(D$21&lt;$F10,0,IF(D$21=$F10,$E10,MAX(0,C27-D75-D91)))</x:f>
        <x:v>0</x:v>
      </x:c>
      <x:c r="E27" s="29" t="n">
        <x:f>IF(E$21&lt;$F10,0,IF(E$21=$F10,$E10,MAX(0,D27-E75-E91)))</x:f>
        <x:v>0</x:v>
      </x:c>
      <x:c r="F27" s="29" t="n">
        <x:f>IF(F$21&lt;$F10,0,IF(F$21=$F10,$E10,MAX(0,E27-F75-F91)))</x:f>
        <x:v>0</x:v>
      </x:c>
      <x:c r="G27" s="29" t="n">
        <x:f>IF(G$21&lt;$F10,0,IF(G$21=$F10,$E10,MAX(0,F27-G75-G91)))</x:f>
        <x:v>0</x:v>
      </x:c>
      <x:c r="H27" s="29" t="n">
        <x:f>IF(H$21&lt;$F10,0,IF(H$21=$F10,$E10,MAX(0,G27-H75-H91)))</x:f>
        <x:v>45828000</x:v>
      </x:c>
      <x:c r="I27" s="29" t="n">
        <x:f>IF(I$21&lt;$F10,0,IF(I$21=$F10,$E10,MAX(0,H27-I75-I91)))</x:f>
        <x:v>44708742.6731972</x:v>
      </x:c>
      <x:c r="J27" s="29" t="n">
        <x:f>IF(J$21&lt;$F10,0,IF(J$21=$F10,$E10,MAX(0,I27-J75-J91)))</x:f>
        <x:v>43582023.63088238</x:v>
      </x:c>
      <x:c r="K27" s="29" t="n">
        <x:f>IF(K$21&lt;$F10,0,IF(K$21=$F10,$E10,MAX(0,J27-K75-K91)))</x:f>
        <x:v>42447793.12828547</x:v>
      </x:c>
      <x:c r="L27" s="29" t="n">
        <x:f>IF(L$21&lt;$F10,0,IF(L$21=$F10,$E10,MAX(0,K27-L75-L91)))</x:f>
        <x:v>41306001.08900457</x:v>
      </x:c>
      <x:c r="M27" s="29" t="n">
        <x:f>IF(M$21&lt;$F10,0,IF(M$21=$F10,$E10,MAX(0,L27-M75-M91)))</x:f>
        <x:v>40156597.10279513</x:v>
      </x:c>
      <x:c r="N27" s="29" t="n">
        <x:f>IF(N$21&lt;$F10,0,IF(N$21=$F10,$E10,MAX(0,M27-N75-N91)))</x:f>
        <x:v>38999530.4233443</x:v>
      </x:c>
      <x:c r="O27" s="29" t="n">
        <x:f>IF(O$21&lt;$F10,0,IF(O$21=$F10,$E10,MAX(0,N27-O75-O91)))</x:f>
        <x:v>37834749.96603046</x:v>
      </x:c>
      <x:c r="P27" s="29" t="n">
        <x:f>IF(P$21&lt;$F10,0,IF(P$21=$F10,$E10,MAX(0,O27-P75-P91)))</x:f>
        <x:v>36662204.30566786</x:v>
      </x:c>
      <x:c r="Q27" s="29" t="n">
        <x:f>IF(Q$21&lt;$F10,0,IF(Q$21=$F10,$E10,MAX(0,P27-Q75-Q91)))</x:f>
        <x:v>35481841.67423618</x:v>
      </x:c>
      <x:c r="R27" s="29" t="n">
        <x:f>IF(R$21&lt;$F10,0,IF(R$21=$F10,$E10,MAX(0,Q27-R75-R91)))</x:f>
        <x:v>34293609.95859495</x:v>
      </x:c>
      <x:c r="S27" s="29" t="n">
        <x:f>IF(S$21&lt;$F10,0,IF(S$21=$F10,$E10,MAX(0,R27-S75-S91)))</x:f>
        <x:v>33097456.69818278</x:v>
      </x:c>
      <x:c r="T27" s="29" t="n">
        <x:f>IF(T$21&lt;$F10,0,IF(T$21=$F10,$E10,MAX(0,S27-T75-T91)))</x:f>
        <x:v>31893329.0827012</x:v>
      </x:c>
      <x:c r="U27" s="29" t="n">
        <x:f>IF(U$21&lt;$F10,0,IF(U$21=$F10,$E10,MAX(0,T27-U75-U91)))</x:f>
        <x:v>30681173.949783072</x:v>
      </x:c>
      <x:c r="V27" s="29" t="n">
        <x:f>IF(V$21&lt;$F10,0,IF(V$21=$F10,$E10,MAX(0,U27-V75-V91)))</x:f>
        <x:v>29460937.78264549</x:v>
      </x:c>
      <x:c r="W27" s="29" t="n">
        <x:f>IF(W$21&lt;$F10,0,IF(W$21=$F10,$E10,MAX(0,V27-W75-W91)))</x:f>
        <x:v>28232566.707726993</x:v>
      </x:c>
      <x:c r="X27" s="29" t="n">
        <x:f>IF(X$21&lt;$F10,0,IF(X$21=$F10,$E10,MAX(0,W27-X75-X91)))</x:f>
        <x:v>26996006.492309038</x:v>
      </x:c>
      <x:c r="Y27" s="29" t="n">
        <x:f>IF(Y$21&lt;$F10,0,IF(Y$21=$F10,$E10,MAX(0,X27-Y75-Y91)))</x:f>
        <x:v>25751202.54212163</x:v>
      </x:c>
      <x:c r="Z27" s="29" t="n">
        <x:f>IF(Z$21&lt;$F10,0,IF(Z$21=$F10,$E10,MAX(0,Y27-Z75-Z91)))</x:f>
        <x:v>24498099.898932975</x:v>
      </x:c>
      <x:c r="AA27" s="29" t="n">
        <x:f>IF(AA$21&lt;$F10,0,IF(AA$21=$F10,$E10,MAX(0,Z27-AA75-AA91)))</x:f>
        <x:v>23236643.23812306</x:v>
      </x:c>
      <x:c r="AB27" s="29" t="n">
        <x:f>IF(AB$21&lt;$F10,0,IF(AB$21=$F10,$E10,MAX(0,AA27-AB75-AB91)))</x:f>
        <x:v>21966776.86624108</x:v>
      </x:c>
      <x:c r="AC27" s="29" t="n">
        <x:f>IF(AC$21&lt;$F10,0,IF(AC$21=$F10,$E10,MAX(0,AB27-AC75-AC91)))</x:f>
        <x:v>20688444.71854655</x:v>
      </x:c>
      <x:c r="AD27" s="29" t="n">
        <x:f>IF(AD$21&lt;$F10,0,IF(AD$21=$F10,$E10,MAX(0,AC27-AD75-AD91)))</x:f>
        <x:v>19401590.35653406</x:v>
      </x:c>
      <x:c r="AE27" s="29" t="n">
        <x:f>IF(AE$21&lt;$F10,0,IF(AE$21=$F10,$E10,MAX(0,AD27-AE75-AE91)))</x:f>
        <x:v>18106156.965441488</x:v>
      </x:c>
      <x:c r="AF27" s="29" t="n">
        <x:f>IF(AF$21&lt;$F10,0,IF(AF$21=$F10,$E10,MAX(0,AE27-AF75-AF91)))</x:f>
        <x:v>16802087.35174163</x:v>
      </x:c>
      <x:c r="AG27" s="29" t="n">
        <x:f>IF(AG$21&lt;$F10,0,IF(AG$21=$F10,$E10,MAX(0,AF27-AG75-AG91)))</x:f>
        <x:v>15489323.940617107</x:v>
      </x:c>
      <x:c r="AH27" s="29" t="n">
        <x:f>IF(AH$21&lt;$F10,0,IF(AH$21=$F10,$E10,MAX(0,AG27-AH75-AH91)))</x:f>
        <x:v>14167808.773418419</x:v>
      </x:c>
      <x:c r="AI27" s="29" t="n">
        <x:f>IF(AI$21&lt;$F10,0,IF(AI$21=$F10,$E10,MAX(0,AH27-AI75-AI91)))</x:f>
        <x:v>12837483.505105074</x:v>
      </x:c>
      <x:c r="AJ27" s="29" t="n">
        <x:f>IF(AJ$21&lt;$F10,0,IF(AJ$21=$F10,$E10,MAX(0,AI27-AJ75-AJ91)))</x:f>
        <x:v>11498289.40166964</x:v>
      </x:c>
      <x:c r="AK27" s="29" t="n">
        <x:f>IF(AK$21&lt;$F10,0,IF(AK$21=$F10,$E10,MAX(0,AJ27-AK75-AK91)))</x:f>
        <x:v>10150167.337544637</x:v>
      </x:c>
      <x:c r="AL27" s="101" t="n">
        <x:f>IF(AL$21&lt;$F10,0,IF(AL$21=$F10,$E10,MAX(0,AK27-AL75-AL91)))</x:f>
        <x:v>8793057.792992134</x:v>
      </x:c>
      <x:c r="AM27" s="101" t="n">
        <x:f>IF(AM$21&lt;$F10,0,IF(AM$21=$F10,$E10,MAX(0,AL27-AM75-AM91)))</x:f>
        <x:v>7426900.851475947</x:v>
      </x:c>
      <x:c r="AN27" s="101" t="n">
        <x:f>IF(AN$21&lt;$F10,0,IF(AN$21=$F10,$E10,MAX(0,AM27-AN75-AN91)))</x:f>
        <x:v>6051636.197016318</x:v>
      </x:c>
      <x:c r="AO27" s="101" t="n">
        <x:f>IF(AO$21&lt;$F10,0,IF(AO$21=$F10,$E10,MAX(0,AN27-AO75-AO91)))</x:f>
        <x:v>4667203.11152696</x:v>
      </x:c>
      <x:c r="AP27" s="101" t="n">
        <x:f>IF(AP$21&lt;$F10,0,IF(AP$21=$F10,$E10,MAX(0,AO27-AP75-AP91)))</x:f>
        <x:v>3273540.472134338</x:v>
      </x:c>
      <x:c r="AQ27" s="101" t="n">
        <x:f>IF(AQ$21&lt;$F10,0,IF(AQ$21=$F10,$E10,MAX(0,AP27-AQ75-AQ91)))</x:f>
        <x:v>1870586.7484790995</x:v>
      </x:c>
      <x:c r="AR27" s="101" t="n">
        <x:f>IF(AR$21&lt;$F10,0,IF(AR$21=$F10,$E10,MAX(0,AQ27-AR75-AR91)))</x:f>
        <x:v>0</x:v>
      </x:c>
      <x:c r="AS27" s="101" t="n">
        <x:f>IF(AS$21&lt;$F10,0,IF(AS$21=$F10,$E10,MAX(0,AR27-AS75-AS91)))</x:f>
        <x:v>0</x:v>
      </x:c>
      <x:c r="AT27" s="101" t="n">
        <x:f>IF(AT$21&lt;$F10,0,IF(AT$21=$F10,$E10,MAX(0,AS27-AT75-AT91)))</x:f>
        <x:v>0</x:v>
      </x:c>
      <x:c r="AU27" s="101" t="n">
        <x:f>IF(AU$21&lt;$F10,0,IF(AU$21=$F10,$E10,MAX(0,AT27-AU75-AU91)))</x:f>
        <x:v>0</x:v>
      </x:c>
      <x:c r="AV27" s="101" t="n">
        <x:f>IF(AV$21&lt;$F10,0,IF(AV$21=$F10,$E10,MAX(0,AU27-AV75-AV91)))</x:f>
        <x:v>0</x:v>
      </x:c>
      <x:c r="AW27" s="101" t="n">
        <x:f>IF(AW$21&lt;$F10,0,IF(AW$21=$F10,$E10,MAX(0,AV27-AW75-AW91)))</x:f>
        <x:v>0</x:v>
      </x:c>
      <x:c r="AX27" s="101" t="n">
        <x:f>IF(AX$21&lt;$F10,0,IF(AX$21=$F10,$E10,MAX(0,AW27-AX75-AX91)))</x:f>
        <x:v>0</x:v>
      </x:c>
      <x:c r="AY27" s="101" t="n">
        <x:f>IF(AY$21&lt;$F10,0,IF(AY$21=$F10,$E10,MAX(0,AX27-AY75-AY91)))</x:f>
        <x:v>0</x:v>
      </x:c>
      <x:c r="AZ27" s="101" t="n">
        <x:f>IF(AZ$21&lt;$F10,0,IF(AZ$21=$F10,$E10,MAX(0,AY27-AZ75-AZ91)))</x:f>
        <x:v>0</x:v>
      </x:c>
      <x:c r="BA27" s="101" t="n">
        <x:f>IF(BA$21&lt;$F10,0,IF(BA$21=$F10,$E10,MAX(0,AZ27-BA75-BA91)))</x:f>
        <x:v>0</x:v>
      </x:c>
      <x:c r="BB27" s="101" t="n">
        <x:f>IF(BB$21&lt;$F10,0,IF(BB$21=$F10,$E10,MAX(0,BA27-BB75-BB91)))</x:f>
        <x:v>0</x:v>
      </x:c>
      <x:c r="BC27" s="101" t="n">
        <x:f>IF(BC$21&lt;$F10,0,IF(BC$21=$F10,$E10,MAX(0,BB27-BC75-BC91)))</x:f>
        <x:v>0</x:v>
      </x:c>
      <x:c r="BD27" s="101" t="n">
        <x:f>IF(BD$21&lt;$F10,0,IF(BD$21=$F10,$E10,MAX(0,BC27-BD75-BD91)))</x:f>
        <x:v>0</x:v>
      </x:c>
      <x:c r="BE27" s="101" t="n">
        <x:f>IF(BE$21&lt;$F10,0,IF(BE$21=$F10,$E10,MAX(0,BD27-BE75-BE91)))</x:f>
        <x:v>0</x:v>
      </x:c>
      <x:c r="BF27" s="101" t="n">
        <x:f>IF(BF$21&lt;$F10,0,IF(BF$21=$F10,$E10,MAX(0,BE27-BF75-BF91)))</x:f>
        <x:v>0</x:v>
      </x:c>
      <x:c r="BG27" s="101" t="n">
        <x:f>IF(BG$21&lt;$F10,0,IF(BG$21=$F10,$E10,MAX(0,BF27-BG75-BG91)))</x:f>
        <x:v>0</x:v>
      </x:c>
      <x:c r="BH27" s="101" t="n">
        <x:f>IF(BH$21&lt;$F10,0,IF(BH$21=$F10,$E10,MAX(0,BG27-BH75-BH91)))</x:f>
        <x:v>0</x:v>
      </x:c>
      <x:c r="BI27" s="101" t="n">
        <x:f>IF(BI$21&lt;$F10,0,IF(BI$21=$F10,$E10,MAX(0,BH27-BI75-BI91)))</x:f>
        <x:v>0</x:v>
      </x:c>
    </x:row>
    <x:row r="28">
      <x:c r="A28" t="str">
        <x:f>A11</x:f>
        <x:v>批次07</x:v>
      </x:c>
      <x:c r="B28" s="29" t="n">
        <x:f>IF(B$21&lt;$F11,0,IF(B$21=$F11,$E11,MAX(0,$E11-B76-B92)))</x:f>
        <x:v>0</x:v>
      </x:c>
      <x:c r="C28" s="29" t="n">
        <x:f>IF(C$21&lt;$F11,0,IF(C$21=$F11,$E11,MAX(0,B28-C76-C92)))</x:f>
        <x:v>0</x:v>
      </x:c>
      <x:c r="D28" s="29" t="n">
        <x:f>IF(D$21&lt;$F11,0,IF(D$21=$F11,$E11,MAX(0,C28-D76-D92)))</x:f>
        <x:v>0</x:v>
      </x:c>
      <x:c r="E28" s="29" t="n">
        <x:f>IF(E$21&lt;$F11,0,IF(E$21=$F11,$E11,MAX(0,D28-E76-E92)))</x:f>
        <x:v>0</x:v>
      </x:c>
      <x:c r="F28" s="29" t="n">
        <x:f>IF(F$21&lt;$F11,0,IF(F$21=$F11,$E11,MAX(0,E28-F76-F92)))</x:f>
        <x:v>0</x:v>
      </x:c>
      <x:c r="G28" s="29" t="n">
        <x:f>IF(G$21&lt;$F11,0,IF(G$21=$F11,$E11,MAX(0,F28-G76-G92)))</x:f>
        <x:v>0</x:v>
      </x:c>
      <x:c r="H28" s="29" t="n">
        <x:f>IF(H$21&lt;$F11,0,IF(H$21=$F11,$E11,MAX(0,G28-H76-H92)))</x:f>
        <x:v>0</x:v>
      </x:c>
      <x:c r="I28" s="29" t="n">
        <x:f>IF(I$21&lt;$F11,0,IF(I$21=$F11,$E11,MAX(0,H28-I76-I92)))</x:f>
        <x:v>50325000</x:v>
      </x:c>
      <x:c r="J28" s="29" t="n">
        <x:f>IF(J$21&lt;$F11,0,IF(J$21=$F11,$E11,MAX(0,I28-J76-J92)))</x:f>
        <x:v>49095912.43407194</x:v>
      </x:c>
      <x:c r="K28" s="29" t="n">
        <x:f>IF(K$21&lt;$F11,0,IF(K$21=$F11,$E11,MAX(0,J28-K76-K92)))</x:f>
        <x:v>47858630.9510377</x:v>
      </x:c>
      <x:c r="L28" s="29" t="n">
        <x:f>IF(L$21&lt;$F11,0,IF(L$21=$F11,$E11,MAX(0,K28-L76-L92)))</x:f>
        <x:v>46613100.92478322</x:v>
      </x:c>
      <x:c r="M28" s="29" t="n">
        <x:f>IF(M$21&lt;$F11,0,IF(M$21=$F11,$E11,MAX(0,L28-M76-M92)))</x:f>
        <x:v>45359267.36502039</x:v>
      </x:c>
      <x:c r="N28" s="29" t="n">
        <x:f>IF(N$21&lt;$F11,0,IF(N$21=$F11,$E11,MAX(0,M28-N76-N92)))</x:f>
        <x:v>44097074.91485913</x:v>
      </x:c>
      <x:c r="O28" s="29" t="n">
        <x:f>IF(O$21&lt;$F11,0,IF(O$21=$F11,$E11,MAX(0,N28-O76-O92)))</x:f>
        <x:v>42826467.84836347</x:v>
      </x:c>
      <x:c r="P28" s="29" t="n">
        <x:f>IF(P$21&lt;$F11,0,IF(P$21=$F11,$E11,MAX(0,O28-P76-P92)))</x:f>
        <x:v>41547390.06809117</x:v>
      </x:c>
      <x:c r="Q28" s="29" t="n">
        <x:f>IF(Q$21&lt;$F11,0,IF(Q$21=$F11,$E11,MAX(0,P28-Q76-Q92)))</x:f>
        <x:v>40259785.102617055</x:v>
      </x:c>
      <x:c r="R28" s="29" t="n">
        <x:f>IF(R$21&lt;$F11,0,IF(R$21=$F11,$E11,MAX(0,Q28-R76-R92)))</x:f>
        <x:v>38963596.10403978</x:v>
      </x:c>
      <x:c r="S28" s="29" t="n">
        <x:f>IF(S$21&lt;$F11,0,IF(S$21=$F11,$E11,MAX(0,R28-S76-S92)))</x:f>
        <x:v>37658765.84547199</x:v>
      </x:c>
      <x:c r="T28" s="29" t="n">
        <x:f>IF(T$21&lt;$F11,0,IF(T$21=$F11,$E11,MAX(0,S28-T76-T92)))</x:f>
        <x:v>36345236.71851375</x:v>
      </x:c>
      <x:c r="U28" s="29" t="n">
        <x:f>IF(U$21&lt;$F11,0,IF(U$21=$F11,$E11,MAX(0,T28-U76-U92)))</x:f>
        <x:v>35022950.73070912</x:v>
      </x:c>
      <x:c r="V28" s="29" t="n">
        <x:f>IF(V$21&lt;$F11,0,IF(V$21=$F11,$E11,MAX(0,U28-V76-V92)))</x:f>
        <x:v>33691849.50298579</x:v>
      </x:c>
      <x:c r="W28" s="29" t="n">
        <x:f>IF(W$21&lt;$F11,0,IF(W$21=$F11,$E11,MAX(0,V28-W76-W92)))</x:f>
        <x:v>32351874.26707764</x:v>
      </x:c>
      <x:c r="X28" s="29" t="n">
        <x:f>IF(X$21&lt;$F11,0,IF(X$21=$F11,$E11,MAX(0,W28-X76-X92)))</x:f>
        <x:v>31002965.8629301</x:v>
      </x:c>
      <x:c r="Y28" s="29" t="n">
        <x:f>IF(Y$21&lt;$F11,0,IF(Y$21=$F11,$E11,MAX(0,X28-Y76-Y92)))</x:f>
        <x:v>29645064.736088246</x:v>
      </x:c>
      <x:c r="Z28" s="29" t="n">
        <x:f>IF(Z$21&lt;$F11,0,IF(Z$21=$F11,$E11,MAX(0,Y28-Z76-Z92)))</x:f>
        <x:v>28278110.935067445</x:v>
      </x:c>
      <x:c r="AA28" s="29" t="n">
        <x:f>IF(AA$21&lt;$F11,0,IF(AA$21=$F11,$E11,MAX(0,Z28-AA76-AA92)))</x:f>
        <x:v>26902044.108706504</x:v>
      </x:c>
      <x:c r="AB28" s="29" t="n">
        <x:f>IF(AB$21&lt;$F11,0,IF(AB$21=$F11,$E11,MAX(0,AA28-AB76-AB92)))</x:f>
        <x:v>25516803.50350316</x:v>
      </x:c>
      <x:c r="AC28" s="29" t="n">
        <x:f>IF(AC$21&lt;$F11,0,IF(AC$21=$F11,$E11,MAX(0,AB28-AC76-AC92)))</x:f>
        <x:v>24122327.96093179</x:v>
      </x:c>
      <x:c r="AD28" s="29" t="n">
        <x:f>IF(AD$21&lt;$F11,0,IF(AD$21=$F11,$E11,MAX(0,AC28-AD76-AD92)))</x:f>
        <x:v>22718555.91474328</x:v>
      </x:c>
      <x:c r="AE28" s="29" t="n">
        <x:f>IF(AE$21&lt;$F11,0,IF(AE$21=$F11,$E11,MAX(0,AD28-AE76-AE92)))</x:f>
        <x:v>21305425.38824684</x:v>
      </x:c>
      <x:c r="AF28" s="29" t="n">
        <x:f>IF(AF$21&lt;$F11,0,IF(AF$21=$F11,$E11,MAX(0,AE28-AF76-AF92)))</x:f>
        <x:v>19882873.991573766</x:v>
      </x:c>
      <x:c r="AG28" s="29" t="n">
        <x:f>IF(AG$21&lt;$F11,0,IF(AG$21=$F11,$E11,MAX(0,AF28-AG76-AG92)))</x:f>
        <x:v>18450838.918922868</x:v>
      </x:c>
      <x:c r="AH28" s="29" t="n">
        <x:f>IF(AH$21&lt;$F11,0,IF(AH$21=$F11,$E11,MAX(0,AG28-AH76-AH92)))</x:f>
        <x:v>17009256.94578763</x:v>
      </x:c>
      <x:c r="AI28" s="29" t="n">
        <x:f>IF(AI$21&lt;$F11,0,IF(AI$21=$F11,$E11,MAX(0,AH28-AI76-AI92)))</x:f>
        <x:v>15558064.426164825</x:v>
      </x:c>
      <x:c r="AJ28" s="29" t="n">
        <x:f>IF(AJ$21&lt;$F11,0,IF(AJ$21=$F11,$E11,MAX(0,AI28-AJ76-AJ92)))</x:f>
        <x:v>14097197.289744534</x:v>
      </x:c>
      <x:c r="AK28" s="29" t="n">
        <x:f>IF(AK$21&lt;$F11,0,IF(AK$21=$F11,$E11,MAX(0,AJ28-AK76-AK92)))</x:f>
        <x:v>12626591.039081441</x:v>
      </x:c>
      <x:c r="AL28" s="101" t="n">
        <x:f>IF(AL$21&lt;$F11,0,IF(AL$21=$F11,$E11,MAX(0,AK28-AL76-AL92)))</x:f>
        <x:v>11146180.74674726</x:v>
      </x:c>
      <x:c r="AM28" s="101" t="n">
        <x:f>IF(AM$21&lt;$F11,0,IF(AM$21=$F11,$E11,MAX(0,AL28-AM76-AM92)))</x:f>
        <x:v>9655901.052464187</x:v>
      </x:c>
      <x:c r="AN28" s="101" t="n">
        <x:f>IF(AN$21&lt;$F11,0,IF(AN$21=$F11,$E11,MAX(0,AM28-AN76-AN92)))</x:f>
        <x:v>8155686.160219225</x:v>
      </x:c>
      <x:c r="AO28" s="101" t="n">
        <x:f>IF(AO$21&lt;$F11,0,IF(AO$21=$F11,$E11,MAX(0,AN28-AO76-AO92)))</x:f>
        <x:v>6645469.835359297</x:v>
      </x:c>
      <x:c r="AP28" s="101" t="n">
        <x:f>IF(AP$21&lt;$F11,0,IF(AP$21=$F11,$E11,MAX(0,AO28-AP76-AP92)))</x:f>
        <x:v>5125185.401666969</x:v>
      </x:c>
      <x:c r="AQ28" s="101" t="n">
        <x:f>IF(AQ$21&lt;$F11,0,IF(AQ$21=$F11,$E11,MAX(0,AP28-AQ76-AQ92)))</x:f>
        <x:v>3594765.7384166922</x:v>
      </x:c>
      <x:c r="AR28" s="101" t="n">
        <x:f>IF(AR$21&lt;$F11,0,IF(AR$21=$F11,$E11,MAX(0,AQ28-AR76-AR92)))</x:f>
        <x:v>2054143.2774114138</x:v>
      </x:c>
      <x:c r="AS28" s="101" t="n">
        <x:f>IF(AS$21&lt;$F11,0,IF(AS$21=$F11,$E11,MAX(0,AR28-AS76-AS92)))</x:f>
        <x:v>0</x:v>
      </x:c>
      <x:c r="AT28" s="101" t="n">
        <x:f>IF(AT$21&lt;$F11,0,IF(AT$21=$F11,$E11,MAX(0,AS28-AT76-AT92)))</x:f>
        <x:v>0</x:v>
      </x:c>
      <x:c r="AU28" s="101" t="n">
        <x:f>IF(AU$21&lt;$F11,0,IF(AU$21=$F11,$E11,MAX(0,AT28-AU76-AU92)))</x:f>
        <x:v>0</x:v>
      </x:c>
      <x:c r="AV28" s="101" t="n">
        <x:f>IF(AV$21&lt;$F11,0,IF(AV$21=$F11,$E11,MAX(0,AU28-AV76-AV92)))</x:f>
        <x:v>0</x:v>
      </x:c>
      <x:c r="AW28" s="101" t="n">
        <x:f>IF(AW$21&lt;$F11,0,IF(AW$21=$F11,$E11,MAX(0,AV28-AW76-AW92)))</x:f>
        <x:v>0</x:v>
      </x:c>
      <x:c r="AX28" s="101" t="n">
        <x:f>IF(AX$21&lt;$F11,0,IF(AX$21=$F11,$E11,MAX(0,AW28-AX76-AX92)))</x:f>
        <x:v>0</x:v>
      </x:c>
      <x:c r="AY28" s="101" t="n">
        <x:f>IF(AY$21&lt;$F11,0,IF(AY$21=$F11,$E11,MAX(0,AX28-AY76-AY92)))</x:f>
        <x:v>0</x:v>
      </x:c>
      <x:c r="AZ28" s="101" t="n">
        <x:f>IF(AZ$21&lt;$F11,0,IF(AZ$21=$F11,$E11,MAX(0,AY28-AZ76-AZ92)))</x:f>
        <x:v>0</x:v>
      </x:c>
      <x:c r="BA28" s="101" t="n">
        <x:f>IF(BA$21&lt;$F11,0,IF(BA$21=$F11,$E11,MAX(0,AZ28-BA76-BA92)))</x:f>
        <x:v>0</x:v>
      </x:c>
      <x:c r="BB28" s="101" t="n">
        <x:f>IF(BB$21&lt;$F11,0,IF(BB$21=$F11,$E11,MAX(0,BA28-BB76-BB92)))</x:f>
        <x:v>0</x:v>
      </x:c>
      <x:c r="BC28" s="101" t="n">
        <x:f>IF(BC$21&lt;$F11,0,IF(BC$21=$F11,$E11,MAX(0,BB28-BC76-BC92)))</x:f>
        <x:v>0</x:v>
      </x:c>
      <x:c r="BD28" s="101" t="n">
        <x:f>IF(BD$21&lt;$F11,0,IF(BD$21=$F11,$E11,MAX(0,BC28-BD76-BD92)))</x:f>
        <x:v>0</x:v>
      </x:c>
      <x:c r="BE28" s="101" t="n">
        <x:f>IF(BE$21&lt;$F11,0,IF(BE$21=$F11,$E11,MAX(0,BD28-BE76-BE92)))</x:f>
        <x:v>0</x:v>
      </x:c>
      <x:c r="BF28" s="101" t="n">
        <x:f>IF(BF$21&lt;$F11,0,IF(BF$21=$F11,$E11,MAX(0,BE28-BF76-BF92)))</x:f>
        <x:v>0</x:v>
      </x:c>
      <x:c r="BG28" s="101" t="n">
        <x:f>IF(BG$21&lt;$F11,0,IF(BG$21=$F11,$E11,MAX(0,BF28-BG76-BG92)))</x:f>
        <x:v>0</x:v>
      </x:c>
      <x:c r="BH28" s="101" t="n">
        <x:f>IF(BH$21&lt;$F11,0,IF(BH$21=$F11,$E11,MAX(0,BG28-BH76-BH92)))</x:f>
        <x:v>0</x:v>
      </x:c>
      <x:c r="BI28" s="101" t="n">
        <x:f>IF(BI$21&lt;$F11,0,IF(BI$21=$F11,$E11,MAX(0,BH28-BI76-BI92)))</x:f>
        <x:v>0</x:v>
      </x:c>
    </x:row>
    <x:row r="29">
      <x:c r="A29" t="str">
        <x:f>A12</x:f>
        <x:v>批次08</x:v>
      </x:c>
      <x:c r="B29" s="29" t="n">
        <x:f>IF(B$21&lt;$F12,0,IF(B$21=$F12,$E12,MAX(0,$E12-B77-B93)))</x:f>
        <x:v>0</x:v>
      </x:c>
      <x:c r="C29" s="29" t="n">
        <x:f>IF(C$21&lt;$F12,0,IF(C$21=$F12,$E12,MAX(0,B29-C77-C93)))</x:f>
        <x:v>0</x:v>
      </x:c>
      <x:c r="D29" s="29" t="n">
        <x:f>IF(D$21&lt;$F12,0,IF(D$21=$F12,$E12,MAX(0,C29-D77-D93)))</x:f>
        <x:v>0</x:v>
      </x:c>
      <x:c r="E29" s="29" t="n">
        <x:f>IF(E$21&lt;$F12,0,IF(E$21=$F12,$E12,MAX(0,D29-E77-E93)))</x:f>
        <x:v>0</x:v>
      </x:c>
      <x:c r="F29" s="29" t="n">
        <x:f>IF(F$21&lt;$F12,0,IF(F$21=$F12,$E12,MAX(0,E29-F77-F93)))</x:f>
        <x:v>0</x:v>
      </x:c>
      <x:c r="G29" s="29" t="n">
        <x:f>IF(G$21&lt;$F12,0,IF(G$21=$F12,$E12,MAX(0,F29-G77-G93)))</x:f>
        <x:v>0</x:v>
      </x:c>
      <x:c r="H29" s="29" t="n">
        <x:f>IF(H$21&lt;$F12,0,IF(H$21=$F12,$E12,MAX(0,G29-H77-H93)))</x:f>
        <x:v>0</x:v>
      </x:c>
      <x:c r="I29" s="29" t="n">
        <x:f>IF(I$21&lt;$F12,0,IF(I$21=$F12,$E12,MAX(0,H29-I77-I93)))</x:f>
        <x:v>0</x:v>
      </x:c>
      <x:c r="J29" s="29" t="n">
        <x:f>IF(J$21&lt;$F12,0,IF(J$21=$F12,$E12,MAX(0,I29-J77-J93)))</x:f>
        <x:v>50325000</x:v>
      </x:c>
      <x:c r="K29" s="29" t="n">
        <x:f>IF(K$21&lt;$F12,0,IF(K$21=$F12,$E12,MAX(0,J29-K77-K93)))</x:f>
        <x:v>49095912.43407194</x:v>
      </x:c>
      <x:c r="L29" s="29" t="n">
        <x:f>IF(L$21&lt;$F12,0,IF(L$21=$F12,$E12,MAX(0,K29-L77-L93)))</x:f>
        <x:v>47858630.9510377</x:v>
      </x:c>
      <x:c r="M29" s="29" t="n">
        <x:f>IF(M$21&lt;$F12,0,IF(M$21=$F12,$E12,MAX(0,L29-M77-M93)))</x:f>
        <x:v>46613100.92478322</x:v>
      </x:c>
      <x:c r="N29" s="29" t="n">
        <x:f>IF(N$21&lt;$F12,0,IF(N$21=$F12,$E12,MAX(0,M29-N77-N93)))</x:f>
        <x:v>45359267.36502039</x:v>
      </x:c>
      <x:c r="O29" s="29" t="n">
        <x:f>IF(O$21&lt;$F12,0,IF(O$21=$F12,$E12,MAX(0,N29-O77-O93)))</x:f>
        <x:v>44097074.91485913</x:v>
      </x:c>
      <x:c r="P29" s="29" t="n">
        <x:f>IF(P$21&lt;$F12,0,IF(P$21=$F12,$E12,MAX(0,O29-P77-P93)))</x:f>
        <x:v>42826467.84836347</x:v>
      </x:c>
      <x:c r="Q29" s="29" t="n">
        <x:f>IF(Q$21&lt;$F12,0,IF(Q$21=$F12,$E12,MAX(0,P29-Q77-Q93)))</x:f>
        <x:v>41547390.06809117</x:v>
      </x:c>
      <x:c r="R29" s="29" t="n">
        <x:f>IF(R$21&lt;$F12,0,IF(R$21=$F12,$E12,MAX(0,Q29-R77-R93)))</x:f>
        <x:v>40259785.102617055</x:v>
      </x:c>
      <x:c r="S29" s="29" t="n">
        <x:f>IF(S$21&lt;$F12,0,IF(S$21=$F12,$E12,MAX(0,R29-S77-S93)))</x:f>
        <x:v>38963596.10403978</x:v>
      </x:c>
      <x:c r="T29" s="29" t="n">
        <x:f>IF(T$21&lt;$F12,0,IF(T$21=$F12,$E12,MAX(0,S29-T77-T93)))</x:f>
        <x:v>37658765.84547199</x:v>
      </x:c>
      <x:c r="U29" s="29" t="n">
        <x:f>IF(U$21&lt;$F12,0,IF(U$21=$F12,$E12,MAX(0,T29-U77-U93)))</x:f>
        <x:v>36345236.71851375</x:v>
      </x:c>
      <x:c r="V29" s="29" t="n">
        <x:f>IF(V$21&lt;$F12,0,IF(V$21=$F12,$E12,MAX(0,U29-V77-V93)))</x:f>
        <x:v>35022950.73070912</x:v>
      </x:c>
      <x:c r="W29" s="29" t="n">
        <x:f>IF(W$21&lt;$F12,0,IF(W$21=$F12,$E12,MAX(0,V29-W77-W93)))</x:f>
        <x:v>33691849.50298579</x:v>
      </x:c>
      <x:c r="X29" s="29" t="n">
        <x:f>IF(X$21&lt;$F12,0,IF(X$21=$F12,$E12,MAX(0,W29-X77-X93)))</x:f>
        <x:v>32351874.26707764</x:v>
      </x:c>
      <x:c r="Y29" s="29" t="n">
        <x:f>IF(Y$21&lt;$F12,0,IF(Y$21=$F12,$E12,MAX(0,X29-Y77-Y93)))</x:f>
        <x:v>31002965.8629301</x:v>
      </x:c>
      <x:c r="Z29" s="29" t="n">
        <x:f>IF(Z$21&lt;$F12,0,IF(Z$21=$F12,$E12,MAX(0,Y29-Z77-Z93)))</x:f>
        <x:v>29645064.736088246</x:v>
      </x:c>
      <x:c r="AA29" s="29" t="n">
        <x:f>IF(AA$21&lt;$F12,0,IF(AA$21=$F12,$E12,MAX(0,Z29-AA77-AA93)))</x:f>
        <x:v>28278110.935067445</x:v>
      </x:c>
      <x:c r="AB29" s="29" t="n">
        <x:f>IF(AB$21&lt;$F12,0,IF(AB$21=$F12,$E12,MAX(0,AA29-AB77-AB93)))</x:f>
        <x:v>26902044.108706504</x:v>
      </x:c>
      <x:c r="AC29" s="29" t="n">
        <x:f>IF(AC$21&lt;$F12,0,IF(AC$21=$F12,$E12,MAX(0,AB29-AC77-AC93)))</x:f>
        <x:v>25516803.50350316</x:v>
      </x:c>
      <x:c r="AD29" s="29" t="n">
        <x:f>IF(AD$21&lt;$F12,0,IF(AD$21=$F12,$E12,MAX(0,AC29-AD77-AD93)))</x:f>
        <x:v>24122327.96093179</x:v>
      </x:c>
      <x:c r="AE29" s="29" t="n">
        <x:f>IF(AE$21&lt;$F12,0,IF(AE$21=$F12,$E12,MAX(0,AD29-AE77-AE93)))</x:f>
        <x:v>22718555.91474328</x:v>
      </x:c>
      <x:c r="AF29" s="29" t="n">
        <x:f>IF(AF$21&lt;$F12,0,IF(AF$21=$F12,$E12,MAX(0,AE29-AF77-AF93)))</x:f>
        <x:v>21305425.38824684</x:v>
      </x:c>
      <x:c r="AG29" s="29" t="n">
        <x:f>IF(AG$21&lt;$F12,0,IF(AG$21=$F12,$E12,MAX(0,AF29-AG77-AG93)))</x:f>
        <x:v>19882873.991573766</x:v>
      </x:c>
      <x:c r="AH29" s="29" t="n">
        <x:f>IF(AH$21&lt;$F12,0,IF(AH$21=$F12,$E12,MAX(0,AG29-AH77-AH93)))</x:f>
        <x:v>18450838.918922868</x:v>
      </x:c>
      <x:c r="AI29" s="29" t="n">
        <x:f>IF(AI$21&lt;$F12,0,IF(AI$21=$F12,$E12,MAX(0,AH29-AI77-AI93)))</x:f>
        <x:v>17009256.94578763</x:v>
      </x:c>
      <x:c r="AJ29" s="29" t="n">
        <x:f>IF(AJ$21&lt;$F12,0,IF(AJ$21=$F12,$E12,MAX(0,AI29-AJ77-AJ93)))</x:f>
        <x:v>15558064.426164825</x:v>
      </x:c>
      <x:c r="AK29" s="29" t="n">
        <x:f>IF(AK$21&lt;$F12,0,IF(AK$21=$F12,$E12,MAX(0,AJ29-AK77-AK93)))</x:f>
        <x:v>14097197.289744534</x:v>
      </x:c>
      <x:c r="AL29" s="101" t="n">
        <x:f>IF(AL$21&lt;$F12,0,IF(AL$21=$F12,$E12,MAX(0,AK29-AL77-AL93)))</x:f>
        <x:v>12626591.039081441</x:v>
      </x:c>
      <x:c r="AM29" s="101" t="n">
        <x:f>IF(AM$21&lt;$F12,0,IF(AM$21=$F12,$E12,MAX(0,AL29-AM77-AM93)))</x:f>
        <x:v>11146180.74674726</x:v>
      </x:c>
      <x:c r="AN29" s="101" t="n">
        <x:f>IF(AN$21&lt;$F12,0,IF(AN$21=$F12,$E12,MAX(0,AM29-AN77-AN93)))</x:f>
        <x:v>9655901.052464187</x:v>
      </x:c>
      <x:c r="AO29" s="101" t="n">
        <x:f>IF(AO$21&lt;$F12,0,IF(AO$21=$F12,$E12,MAX(0,AN29-AO77-AO93)))</x:f>
        <x:v>8155686.160219225</x:v>
      </x:c>
      <x:c r="AP29" s="101" t="n">
        <x:f>IF(AP$21&lt;$F12,0,IF(AP$21=$F12,$E12,MAX(0,AO29-AP77-AP93)))</x:f>
        <x:v>6645469.835359297</x:v>
      </x:c>
      <x:c r="AQ29" s="101" t="n">
        <x:f>IF(AQ$21&lt;$F12,0,IF(AQ$21=$F12,$E12,MAX(0,AP29-AQ77-AQ93)))</x:f>
        <x:v>5125185.401666969</x:v>
      </x:c>
      <x:c r="AR29" s="101" t="n">
        <x:f>IF(AR$21&lt;$F12,0,IF(AR$21=$F12,$E12,MAX(0,AQ29-AR77-AR93)))</x:f>
        <x:v>3594765.7384166922</x:v>
      </x:c>
      <x:c r="AS29" s="101" t="n">
        <x:f>IF(AS$21&lt;$F12,0,IF(AS$21=$F12,$E12,MAX(0,AR29-AS77-AS93)))</x:f>
        <x:v>2054143.2774114138</x:v>
      </x:c>
      <x:c r="AT29" s="101" t="n">
        <x:f>IF(AT$21&lt;$F12,0,IF(AT$21=$F12,$E12,MAX(0,AS29-AT77-AT93)))</x:f>
        <x:v>0</x:v>
      </x:c>
      <x:c r="AU29" s="101" t="n">
        <x:f>IF(AU$21&lt;$F12,0,IF(AU$21=$F12,$E12,MAX(0,AT29-AU77-AU93)))</x:f>
        <x:v>0</x:v>
      </x:c>
      <x:c r="AV29" s="101" t="n">
        <x:f>IF(AV$21&lt;$F12,0,IF(AV$21=$F12,$E12,MAX(0,AU29-AV77-AV93)))</x:f>
        <x:v>0</x:v>
      </x:c>
      <x:c r="AW29" s="101" t="n">
        <x:f>IF(AW$21&lt;$F12,0,IF(AW$21=$F12,$E12,MAX(0,AV29-AW77-AW93)))</x:f>
        <x:v>0</x:v>
      </x:c>
      <x:c r="AX29" s="101" t="n">
        <x:f>IF(AX$21&lt;$F12,0,IF(AX$21=$F12,$E12,MAX(0,AW29-AX77-AX93)))</x:f>
        <x:v>0</x:v>
      </x:c>
      <x:c r="AY29" s="101" t="n">
        <x:f>IF(AY$21&lt;$F12,0,IF(AY$21=$F12,$E12,MAX(0,AX29-AY77-AY93)))</x:f>
        <x:v>0</x:v>
      </x:c>
      <x:c r="AZ29" s="101" t="n">
        <x:f>IF(AZ$21&lt;$F12,0,IF(AZ$21=$F12,$E12,MAX(0,AY29-AZ77-AZ93)))</x:f>
        <x:v>0</x:v>
      </x:c>
      <x:c r="BA29" s="101" t="n">
        <x:f>IF(BA$21&lt;$F12,0,IF(BA$21=$F12,$E12,MAX(0,AZ29-BA77-BA93)))</x:f>
        <x:v>0</x:v>
      </x:c>
      <x:c r="BB29" s="101" t="n">
        <x:f>IF(BB$21&lt;$F12,0,IF(BB$21=$F12,$E12,MAX(0,BA29-BB77-BB93)))</x:f>
        <x:v>0</x:v>
      </x:c>
      <x:c r="BC29" s="101" t="n">
        <x:f>IF(BC$21&lt;$F12,0,IF(BC$21=$F12,$E12,MAX(0,BB29-BC77-BC93)))</x:f>
        <x:v>0</x:v>
      </x:c>
      <x:c r="BD29" s="101" t="n">
        <x:f>IF(BD$21&lt;$F12,0,IF(BD$21=$F12,$E12,MAX(0,BC29-BD77-BD93)))</x:f>
        <x:v>0</x:v>
      </x:c>
      <x:c r="BE29" s="101" t="n">
        <x:f>IF(BE$21&lt;$F12,0,IF(BE$21=$F12,$E12,MAX(0,BD29-BE77-BE93)))</x:f>
        <x:v>0</x:v>
      </x:c>
      <x:c r="BF29" s="101" t="n">
        <x:f>IF(BF$21&lt;$F12,0,IF(BF$21=$F12,$E12,MAX(0,BE29-BF77-BF93)))</x:f>
        <x:v>0</x:v>
      </x:c>
      <x:c r="BG29" s="101" t="n">
        <x:f>IF(BG$21&lt;$F12,0,IF(BG$21=$F12,$E12,MAX(0,BF29-BG77-BG93)))</x:f>
        <x:v>0</x:v>
      </x:c>
      <x:c r="BH29" s="101" t="n">
        <x:f>IF(BH$21&lt;$F12,0,IF(BH$21=$F12,$E12,MAX(0,BG29-BH77-BH93)))</x:f>
        <x:v>0</x:v>
      </x:c>
      <x:c r="BI29" s="101" t="n">
        <x:f>IF(BI$21&lt;$F12,0,IF(BI$21=$F12,$E12,MAX(0,BH29-BI77-BI93)))</x:f>
        <x:v>0</x:v>
      </x:c>
    </x:row>
    <x:row r="30">
      <x:c r="A30" t="str">
        <x:f>A13</x:f>
        <x:v>批次09</x:v>
      </x:c>
      <x:c r="B30" s="29" t="n">
        <x:f>IF(B$21&lt;$F13,0,IF(B$21=$F13,$E13,MAX(0,$E13-B78-B94)))</x:f>
        <x:v>0</x:v>
      </x:c>
      <x:c r="C30" s="29" t="n">
        <x:f>IF(C$21&lt;$F13,0,IF(C$21=$F13,$E13,MAX(0,B30-C78-C94)))</x:f>
        <x:v>0</x:v>
      </x:c>
      <x:c r="D30" s="29" t="n">
        <x:f>IF(D$21&lt;$F13,0,IF(D$21=$F13,$E13,MAX(0,C30-D78-D94)))</x:f>
        <x:v>0</x:v>
      </x:c>
      <x:c r="E30" s="29" t="n">
        <x:f>IF(E$21&lt;$F13,0,IF(E$21=$F13,$E13,MAX(0,D30-E78-E94)))</x:f>
        <x:v>0</x:v>
      </x:c>
      <x:c r="F30" s="29" t="n">
        <x:f>IF(F$21&lt;$F13,0,IF(F$21=$F13,$E13,MAX(0,E30-F78-F94)))</x:f>
        <x:v>0</x:v>
      </x:c>
      <x:c r="G30" s="29" t="n">
        <x:f>IF(G$21&lt;$F13,0,IF(G$21=$F13,$E13,MAX(0,F30-G78-G94)))</x:f>
        <x:v>0</x:v>
      </x:c>
      <x:c r="H30" s="29" t="n">
        <x:f>IF(H$21&lt;$F13,0,IF(H$21=$F13,$E13,MAX(0,G30-H78-H94)))</x:f>
        <x:v>0</x:v>
      </x:c>
      <x:c r="I30" s="29" t="n">
        <x:f>IF(I$21&lt;$F13,0,IF(I$21=$F13,$E13,MAX(0,H30-I78-I94)))</x:f>
        <x:v>0</x:v>
      </x:c>
      <x:c r="J30" s="29" t="n">
        <x:f>IF(J$21&lt;$F13,0,IF(J$21=$F13,$E13,MAX(0,I30-J78-J94)))</x:f>
        <x:v>0</x:v>
      </x:c>
      <x:c r="K30" s="29" t="n">
        <x:f>IF(K$21&lt;$F13,0,IF(K$21=$F13,$E13,MAX(0,J30-K78-K94)))</x:f>
        <x:v>63729000</x:v>
      </x:c>
      <x:c r="L30" s="29" t="n">
        <x:f>IF(L$21&lt;$F13,0,IF(L$21=$F13,$E13,MAX(0,K30-L78-L94)))</x:f>
        <x:v>62172546.51785337</x:v>
      </x:c>
      <x:c r="M30" s="29" t="n">
        <x:f>IF(M$21&lt;$F13,0,IF(M$21=$F13,$E13,MAX(0,L30-M78-M94)))</x:f>
        <x:v>60605716.6791591</x:v>
      </x:c>
      <x:c r="N30" s="29" t="n">
        <x:f>IF(N$21&lt;$F13,0,IF(N$21=$F13,$E13,MAX(0,M30-N78-N94)))</x:f>
        <x:v>59028441.30820686</x:v>
      </x:c>
      <x:c r="O30" s="29" t="n">
        <x:f>IF(O$21&lt;$F13,0,IF(O$21=$F13,$E13,MAX(0,N30-O78-O94)))</x:f>
        <x:v>57440650.76811495</x:v>
      </x:c>
      <x:c r="P30" s="29" t="n">
        <x:f>IF(P$21&lt;$F13,0,IF(P$21=$F13,$E13,MAX(0,O30-P78-P94)))</x:f>
        <x:v>55842274.95775575</x:v>
      </x:c>
      <x:c r="Q30" s="29" t="n">
        <x:f>IF(Q$21&lt;$F13,0,IF(Q$21=$F13,$E13,MAX(0,P30-Q78-Q94)))</x:f>
        <x:v>54233243.30866083</x:v>
      </x:c>
      <x:c r="R30" s="29" t="n">
        <x:f>IF(R$21&lt;$F13,0,IF(R$21=$F13,$E13,MAX(0,Q30-R78-R94)))</x:f>
        <x:v>52613484.78190527</x:v>
      </x:c>
      <x:c r="S30" s="29" t="n">
        <x:f>IF(S$21&lt;$F13,0,IF(S$21=$F13,$E13,MAX(0,R30-S78-S94)))</x:f>
        <x:v>50982927.86497135</x:v>
      </x:c>
      <x:c r="T30" s="29" t="n">
        <x:f>IF(T$21&lt;$F13,0,IF(T$21=$F13,$E13,MAX(0,S30-T78-T94)))</x:f>
        <x:v>49341500.56859119</x:v>
      </x:c>
      <x:c r="U30" s="29" t="n">
        <x:f>IF(U$21&lt;$F13,0,IF(U$21=$F13,$E13,MAX(0,T30-U78-U94)))</x:f>
        <x:v>47689130.4235685</x:v>
      </x:c>
      <x:c r="V30" s="29" t="n">
        <x:f>IF(V$21&lt;$F13,0,IF(V$21=$F13,$E13,MAX(0,U30-V78-V94)))</x:f>
        <x:v>46025744.477579</x:v>
      </x:c>
      <x:c r="W30" s="29" t="n">
        <x:f>IF(W$21&lt;$F13,0,IF(W$21=$F13,$E13,MAX(0,V30-W78-W94)))</x:f>
        <x:v>44351269.29194956</x:v>
      </x:c>
      <x:c r="X30" s="29" t="n">
        <x:f>IF(X$21&lt;$F13,0,IF(X$21=$F13,$E13,MAX(0,W30-X78-X94)))</x:f>
        <x:v>42665630.93841593</x:v>
      </x:c>
      <x:c r="Y30" s="29" t="n">
        <x:f>IF(Y$21&lt;$F13,0,IF(Y$21=$F13,$E13,MAX(0,X30-Y78-Y94)))</x:f>
        <x:v>40968754.995858744</x:v>
      </x:c>
      <x:c r="Z30" s="29" t="n">
        <x:f>IF(Z$21&lt;$F13,0,IF(Z$21=$F13,$E13,MAX(0,Y30-Z78-Z94)))</x:f>
        <x:v>39260566.54701784</x:v>
      </x:c>
      <x:c r="AA30" s="29" t="n">
        <x:f>IF(AA$21&lt;$F13,0,IF(AA$21=$F13,$E13,MAX(0,Z30-AA78-AA94)))</x:f>
        <x:v>37540990.17518467</x:v>
      </x:c>
      <x:c r="AB30" s="29" t="n">
        <x:f>IF(AB$21&lt;$F13,0,IF(AB$21=$F13,$E13,MAX(0,AA30-AB78-AB94)))</x:f>
        <x:v>35809949.960872605</x:v>
      </x:c>
      <x:c r="AC30" s="29" t="n">
        <x:f>IF(AC$21&lt;$F13,0,IF(AC$21=$F13,$E13,MAX(0,AB30-AC78-AC94)))</x:f>
        <x:v>34067369.478465125</x:v>
      </x:c>
      <x:c r="AD30" s="29" t="n">
        <x:f>IF(AD$21&lt;$F13,0,IF(AD$21=$F13,$E13,MAX(0,AC30-AD78-AD94)))</x:f>
        <x:v>32313171.7928416</x:v>
      </x:c>
      <x:c r="AE30" s="29" t="n">
        <x:f>IF(AE$21&lt;$F13,0,IF(AE$21=$F13,$E13,MAX(0,AD30-AE78-AE94)))</x:f>
        <x:v>30547279.45598058</x:v>
      </x:c>
      <x:c r="AF30" s="29" t="n">
        <x:f>IF(AF$21&lt;$F13,0,IF(AF$21=$F13,$E13,MAX(0,AE30-AF78-AF94)))</x:f>
        <x:v>28769614.50354049</x:v>
      </x:c>
      <x:c r="AG30" s="29" t="n">
        <x:f>IF(AG$21&lt;$F13,0,IF(AG$21=$F13,$E13,MAX(0,AF30-AG78-AG94)))</x:f>
        <x:v>26980098.451417465</x:v>
      </x:c>
      <x:c r="AH30" s="29" t="n">
        <x:f>IF(AH$21&lt;$F13,0,IF(AH$21=$F13,$E13,MAX(0,AG30-AH78-AH94)))</x:f>
        <x:v>25178652.292280287</x:v>
      </x:c>
      <x:c r="AI30" s="29" t="n">
        <x:f>IF(AI$21&lt;$F13,0,IF(AI$21=$F13,$E13,MAX(0,AH30-AI78-AI94)))</x:f>
        <x:v>23365196.492082193</x:v>
      </x:c>
      <x:c r="AJ30" s="29" t="n">
        <x:f>IF(AJ$21&lt;$F13,0,IF(AJ$21=$F13,$E13,MAX(0,AI30-AJ78-AJ94)))</x:f>
        <x:v>21539650.986549444</x:v>
      </x:c>
      <x:c r="AK30" s="29" t="n">
        <x:f>IF(AK$21&lt;$F13,0,IF(AK$21=$F13,$E13,MAX(0,AJ30-AK78-AK94)))</x:f>
        <x:v>19701935.177646477</x:v>
      </x:c>
      <x:c r="AL30" s="101" t="n">
        <x:f>IF(AL$21&lt;$F13,0,IF(AL$21=$F13,$E13,MAX(0,AK30-AL78-AL94)))</x:f>
        <x:v>17851967.93001749</x:v>
      </x:c>
      <x:c r="AM30" s="101" t="n">
        <x:f>IF(AM$21&lt;$F13,0,IF(AM$21=$F13,$E13,MAX(0,AL30-AM78-AM94)))</x:f>
        <x:v>15989667.567404311</x:v>
      </x:c>
      <x:c r="AN30" s="101" t="n">
        <x:f>IF(AN$21&lt;$F13,0,IF(AN$21=$F13,$E13,MAX(0,AM30-AN78-AN94)))</x:f>
        <x:v>14114951.869040377</x:v>
      </x:c>
      <x:c r="AO30" s="101" t="n">
        <x:f>IF(AO$21&lt;$F13,0,IF(AO$21=$F13,$E13,MAX(0,AN30-AO78-AO94)))</x:f>
        <x:v>12227738.066020684</x:v>
      </x:c>
      <x:c r="AP30" s="101" t="n">
        <x:f>IF(AP$21&lt;$F13,0,IF(AP$21=$F13,$E13,MAX(0,AO30-AP78-AP94)))</x:f>
        <x:v>10327942.837647527</x:v>
      </x:c>
      <x:c r="AQ30" s="101" t="n">
        <x:f>IF(AQ$21&lt;$F13,0,IF(AQ$21=$F13,$E13,MAX(0,AP30-AQ78-AQ94)))</x:f>
        <x:v>8415482.307751883</x:v>
      </x:c>
      <x:c r="AR30" s="101" t="n">
        <x:f>IF(AR$21&lt;$F13,0,IF(AR$21=$F13,$E13,MAX(0,AQ30-AR78-AR94)))</x:f>
        <x:v>6490272.040990266</x:v>
      </x:c>
      <x:c r="AS30" s="101" t="n">
        <x:f>IF(AS$21&lt;$F13,0,IF(AS$21=$F13,$E13,MAX(0,AR30-AS78-AS94)))</x:f>
        <x:v>4552227.039116905</x:v>
      </x:c>
      <x:c r="AT30" s="101" t="n">
        <x:f>IF(AT$21&lt;$F13,0,IF(AT$21=$F13,$E13,MAX(0,AS30-AT78-AT94)))</x:f>
        <x:v>2601261.7372310553</x:v>
      </x:c>
      <x:c r="AU30" s="101" t="n">
        <x:f>IF(AU$21&lt;$F13,0,IF(AU$21=$F13,$E13,MAX(0,AT30-AU78-AU94)))</x:f>
        <x:v>0</x:v>
      </x:c>
      <x:c r="AV30" s="101" t="n">
        <x:f>IF(AV$21&lt;$F13,0,IF(AV$21=$F13,$E13,MAX(0,AU30-AV78-AV94)))</x:f>
        <x:v>0</x:v>
      </x:c>
      <x:c r="AW30" s="101" t="n">
        <x:f>IF(AW$21&lt;$F13,0,IF(AW$21=$F13,$E13,MAX(0,AV30-AW78-AW94)))</x:f>
        <x:v>0</x:v>
      </x:c>
      <x:c r="AX30" s="101" t="n">
        <x:f>IF(AX$21&lt;$F13,0,IF(AX$21=$F13,$E13,MAX(0,AW30-AX78-AX94)))</x:f>
        <x:v>0</x:v>
      </x:c>
      <x:c r="AY30" s="101" t="n">
        <x:f>IF(AY$21&lt;$F13,0,IF(AY$21=$F13,$E13,MAX(0,AX30-AY78-AY94)))</x:f>
        <x:v>0</x:v>
      </x:c>
      <x:c r="AZ30" s="101" t="n">
        <x:f>IF(AZ$21&lt;$F13,0,IF(AZ$21=$F13,$E13,MAX(0,AY30-AZ78-AZ94)))</x:f>
        <x:v>0</x:v>
      </x:c>
      <x:c r="BA30" s="101" t="n">
        <x:f>IF(BA$21&lt;$F13,0,IF(BA$21=$F13,$E13,MAX(0,AZ30-BA78-BA94)))</x:f>
        <x:v>0</x:v>
      </x:c>
      <x:c r="BB30" s="101" t="n">
        <x:f>IF(BB$21&lt;$F13,0,IF(BB$21=$F13,$E13,MAX(0,BA30-BB78-BB94)))</x:f>
        <x:v>0</x:v>
      </x:c>
      <x:c r="BC30" s="101" t="n">
        <x:f>IF(BC$21&lt;$F13,0,IF(BC$21=$F13,$E13,MAX(0,BB30-BC78-BC94)))</x:f>
        <x:v>0</x:v>
      </x:c>
      <x:c r="BD30" s="101" t="n">
        <x:f>IF(BD$21&lt;$F13,0,IF(BD$21=$F13,$E13,MAX(0,BC30-BD78-BD94)))</x:f>
        <x:v>0</x:v>
      </x:c>
      <x:c r="BE30" s="101" t="n">
        <x:f>IF(BE$21&lt;$F13,0,IF(BE$21=$F13,$E13,MAX(0,BD30-BE78-BE94)))</x:f>
        <x:v>0</x:v>
      </x:c>
      <x:c r="BF30" s="101" t="n">
        <x:f>IF(BF$21&lt;$F13,0,IF(BF$21=$F13,$E13,MAX(0,BE30-BF78-BF94)))</x:f>
        <x:v>0</x:v>
      </x:c>
      <x:c r="BG30" s="101" t="n">
        <x:f>IF(BG$21&lt;$F13,0,IF(BG$21=$F13,$E13,MAX(0,BF30-BG78-BG94)))</x:f>
        <x:v>0</x:v>
      </x:c>
      <x:c r="BH30" s="101" t="n">
        <x:f>IF(BH$21&lt;$F13,0,IF(BH$21=$F13,$E13,MAX(0,BG30-BH78-BH94)))</x:f>
        <x:v>0</x:v>
      </x:c>
      <x:c r="BI30" s="101" t="n">
        <x:f>IF(BI$21&lt;$F13,0,IF(BI$21=$F13,$E13,MAX(0,BH30-BI78-BI94)))</x:f>
        <x:v>0</x:v>
      </x:c>
    </x:row>
    <x:row r="31">
      <x:c r="A31" t="str">
        <x:f>A14</x:f>
        <x:v>批次10</x:v>
      </x:c>
      <x:c r="B31" s="29" t="n">
        <x:f>IF(B$21&lt;$F14,0,IF(B$21=$F14,$E14,MAX(0,$E14-B79-B95)))</x:f>
        <x:v>0</x:v>
      </x:c>
      <x:c r="C31" s="29" t="n">
        <x:f>IF(C$21&lt;$F14,0,IF(C$21=$F14,$E14,MAX(0,B31-C79-C95)))</x:f>
        <x:v>0</x:v>
      </x:c>
      <x:c r="D31" s="29" t="n">
        <x:f>IF(D$21&lt;$F14,0,IF(D$21=$F14,$E14,MAX(0,C31-D79-D95)))</x:f>
        <x:v>0</x:v>
      </x:c>
      <x:c r="E31" s="29" t="n">
        <x:f>IF(E$21&lt;$F14,0,IF(E$21=$F14,$E14,MAX(0,D31-E79-E95)))</x:f>
        <x:v>0</x:v>
      </x:c>
      <x:c r="F31" s="29" t="n">
        <x:f>IF(F$21&lt;$F14,0,IF(F$21=$F14,$E14,MAX(0,E31-F79-F95)))</x:f>
        <x:v>0</x:v>
      </x:c>
      <x:c r="G31" s="29" t="n">
        <x:f>IF(G$21&lt;$F14,0,IF(G$21=$F14,$E14,MAX(0,F31-G79-G95)))</x:f>
        <x:v>0</x:v>
      </x:c>
      <x:c r="H31" s="29" t="n">
        <x:f>IF(H$21&lt;$F14,0,IF(H$21=$F14,$E14,MAX(0,G31-H79-H95)))</x:f>
        <x:v>0</x:v>
      </x:c>
      <x:c r="I31" s="29" t="n">
        <x:f>IF(I$21&lt;$F14,0,IF(I$21=$F14,$E14,MAX(0,H31-I79-I95)))</x:f>
        <x:v>0</x:v>
      </x:c>
      <x:c r="J31" s="29" t="n">
        <x:f>IF(J$21&lt;$F14,0,IF(J$21=$F14,$E14,MAX(0,I31-J79-J95)))</x:f>
        <x:v>0</x:v>
      </x:c>
      <x:c r="K31" s="29" t="n">
        <x:f>IF(K$21&lt;$F14,0,IF(K$21=$F14,$E14,MAX(0,J31-K79-K95)))</x:f>
        <x:v>0</x:v>
      </x:c>
      <x:c r="L31" s="29" t="n">
        <x:f>IF(L$21&lt;$F14,0,IF(L$21=$F14,$E14,MAX(0,K31-L79-L95)))</x:f>
        <x:v>67500000</x:v>
      </x:c>
      <x:c r="M31" s="29" t="n">
        <x:f>IF(M$21&lt;$F14,0,IF(M$21=$F14,$E14,MAX(0,L31-M79-M95)))</x:f>
        <x:v>65851447.37803987</x:v>
      </x:c>
      <x:c r="N31" s="29" t="n">
        <x:f>IF(N$21&lt;$F14,0,IF(N$21=$F14,$E14,MAX(0,M31-N79-N95)))</x:f>
        <x:v>64191904.405266665</x:v>
      </x:c>
      <x:c r="O31" s="29" t="n">
        <x:f>IF(O$21&lt;$F14,0,IF(O$21=$F14,$E14,MAX(0,N31-O79-O95)))</x:f>
        <x:v>62521297.81267498</x:v>
      </x:c>
      <x:c r="P31" s="29" t="n">
        <x:f>IF(P$21&lt;$F14,0,IF(P$21=$F14,$E14,MAX(0,O31-P79-P95)))</x:f>
        <x:v>60839553.84279934</x:v>
      </x:c>
      <x:c r="Q31" s="29" t="n">
        <x:f>IF(Q$21&lt;$F14,0,IF(Q$21=$F14,$E14,MAX(0,P31-Q79-Q95)))</x:f>
        <x:v>59146598.24645787</x:v>
      </x:c>
      <x:c r="R31" s="29" t="n">
        <x:f>IF(R$21&lt;$F14,0,IF(R$21=$F14,$E14,MAX(0,Q31-R79-R95)))</x:f>
        <x:v>57442356.27947412</x:v>
      </x:c>
      <x:c r="S31" s="29" t="n">
        <x:f>IF(S$21&lt;$F14,0,IF(S$21=$F14,$E14,MAX(0,R31-S79-S95)))</x:f>
        <x:v>55726752.69937714</x:v>
      </x:c>
      <x:c r="T31" s="29" t="n">
        <x:f>IF(T$21&lt;$F14,0,IF(T$21=$F14,$E14,MAX(0,S31-T79-T95)))</x:f>
        <x:v>53999711.76207952</x:v>
      </x:c>
      <x:c r="U31" s="29" t="n">
        <x:f>IF(U$21&lt;$F14,0,IF(U$21=$F14,$E14,MAX(0,T31-U79-U95)))</x:f>
        <x:v>52261157.21853325</x:v>
      </x:c>
      <x:c r="V31" s="29" t="n">
        <x:f>IF(V$21&lt;$F14,0,IF(V$21=$F14,$E14,MAX(0,U31-V79-V95)))</x:f>
        <x:v>50511012.31136333</x:v>
      </x:c>
      <x:c r="W31" s="29" t="n">
        <x:f>IF(W$21&lt;$F14,0,IF(W$21=$F14,$E14,MAX(0,V31-W79-W95)))</x:f>
        <x:v>48749199.77147895</x:v>
      </x:c>
      <x:c r="X31" s="29" t="n">
        <x:f>IF(X$21&lt;$F14,0,IF(X$21=$F14,$E14,MAX(0,W31-X79-X95)))</x:f>
        <x:v>46975641.81466201</x:v>
      </x:c>
      <x:c r="Y31" s="29" t="n">
        <x:f>IF(Y$21&lt;$F14,0,IF(Y$21=$F14,$E14,MAX(0,X31-Y79-Y95)))</x:f>
        <x:v>45190260.13813295</x:v>
      </x:c>
      <x:c r="Z31" s="29" t="n">
        <x:f>IF(Z$21&lt;$F14,0,IF(Z$21=$F14,$E14,MAX(0,Y31-Z79-Z95)))</x:f>
        <x:v>43392975.9170937</x:v>
      </x:c>
      <x:c r="AA31" s="29" t="n">
        <x:f>IF(AA$21&lt;$F14,0,IF(AA$21=$F14,$E14,MAX(0,Z31-AA79-AA95)))</x:f>
        <x:v>41583709.80124752</x:v>
      </x:c>
      <x:c r="AB31" s="29" t="n">
        <x:f>IF(AB$21&lt;$F14,0,IF(AB$21=$F14,$E14,MAX(0,AA31-AB79-AB95)))</x:f>
        <x:v>39762381.911295705</x:v>
      </x:c>
      <x:c r="AC31" s="29" t="n">
        <x:f>IF(AC$21&lt;$F14,0,IF(AC$21=$F14,$E14,MAX(0,AB31-AC79-AC95)))</x:f>
        <x:v>37928911.83541087</x:v>
      </x:c>
      <x:c r="AD31" s="29" t="n">
        <x:f>IF(AD$21&lt;$F14,0,IF(AD$21=$F14,$E14,MAX(0,AC31-AD79-AD95)))</x:f>
        <x:v>36083218.62568681</x:v>
      </x:c>
      <x:c r="AE31" s="29" t="n">
        <x:f>IF(AE$21&lt;$F14,0,IF(AE$21=$F14,$E14,MAX(0,AD31-AE79-AE95)))</x:f>
        <x:v>34225220.79456458</x:v>
      </x:c>
      <x:c r="AF31" s="29" t="n">
        <x:f>IF(AF$21&lt;$F14,0,IF(AF$21=$F14,$E14,MAX(0,AE31-AF79-AF95)))</x:f>
        <x:v>32354836.311234877</x:v>
      </x:c>
      <x:c r="AG31" s="29" t="n">
        <x:f>IF(AG$21&lt;$F14,0,IF(AG$21=$F14,$E14,MAX(0,AF31-AG79-AG95)))</x:f>
        <x:v>30471982.598016307</x:v>
      </x:c>
      <x:c r="AH31" s="29" t="n">
        <x:f>IF(AH$21&lt;$F14,0,IF(AH$21=$F14,$E14,MAX(0,AG31-AH79-AH95)))</x:f>
        <x:v>28576576.526709612</x:v>
      </x:c>
      <x:c r="AI31" s="29" t="n">
        <x:f>IF(AI$21&lt;$F14,0,IF(AI$21=$F14,$E14,MAX(0,AH31-AI79-AI95)))</x:f>
        <x:v>26668534.414927542</x:v>
      </x:c>
      <x:c r="AJ31" s="29" t="n">
        <x:f>IF(AJ$21&lt;$F14,0,IF(AJ$21=$F14,$E14,MAX(0,AI31-AJ79-AJ95)))</x:f>
        <x:v>24747772.022400256</x:v>
      </x:c>
      <x:c r="AK31" s="29" t="n">
        <x:f>IF(AK$21&lt;$F14,0,IF(AK$21=$F14,$E14,MAX(0,AJ31-AK79-AK95)))</x:f>
        <x:v>22814204.547256123</x:v>
      </x:c>
      <x:c r="AL31" s="101" t="n">
        <x:f>IF(AL$21&lt;$F14,0,IF(AL$21=$F14,$E14,MAX(0,AK31-AL79-AL95)))</x:f>
        <x:v>20867746.622277696</x:v>
      </x:c>
      <x:c r="AM31" s="101" t="n">
        <x:f>IF(AM$21&lt;$F14,0,IF(AM$21=$F14,$E14,MAX(0,AL31-AM79-AM95)))</x:f>
        <x:v>18908312.311132744</x:v>
      </x:c>
      <x:c r="AN31" s="101" t="n">
        <x:f>IF(AN$21&lt;$F14,0,IF(AN$21=$F14,$E14,MAX(0,AM31-AN79-AN95)))</x:f>
        <x:v>16935815.10458016</x:v>
      </x:c>
      <x:c r="AO31" s="101" t="n">
        <x:f>IF(AO$21&lt;$F14,0,IF(AO$21=$F14,$E14,MAX(0,AN31-AO79-AO95)))</x:f>
        <x:v>14950167.91665056</x:v>
      </x:c>
      <x:c r="AP31" s="101" t="n">
        <x:f>IF(AP$21&lt;$F14,0,IF(AP$21=$F14,$E14,MAX(0,AO31-AP79-AP95)))</x:f>
        <x:v>12951283.080801427</x:v>
      </x:c>
      <x:c r="AQ31" s="101" t="n">
        <x:f>IF(AQ$21&lt;$F14,0,IF(AQ$21=$F14,$E14,MAX(0,AP31-AQ79-AQ95)))</x:f>
        <x:v>10939072.346046634</x:v>
      </x:c>
      <x:c r="AR31" s="101" t="n">
        <x:f>IF(AR$21&lt;$F14,0,IF(AR$21=$F14,$E14,MAX(0,AQ31-AR79-AR95)))</x:f>
        <x:v>8913446.873060143</x:v>
      </x:c>
      <x:c r="AS31" s="101" t="n">
        <x:f>IF(AS$21&lt;$F14,0,IF(AS$21=$F14,$E14,MAX(0,AR31-AS79-AS95)))</x:f>
        <x:v>6874317.230253741</x:v>
      </x:c>
      <x:c r="AT31" s="101" t="n">
        <x:f>IF(AT$21&lt;$F14,0,IF(AT$21=$F14,$E14,MAX(0,AS31-AT79-AT95)))</x:f>
        <x:v>4821593.389828631</x:v>
      </x:c>
      <x:c r="AU31" s="101" t="n">
        <x:f>IF(AU$21&lt;$F14,0,IF(AU$21=$F14,$E14,MAX(0,AT31-AU79-AU95)))</x:f>
        <x:v>2755184.723800686</x:v>
      </x:c>
      <x:c r="AV31" s="101" t="n">
        <x:f>IF(AV$21&lt;$F14,0,IF(AV$21=$F14,$E14,MAX(0,AU31-AV79-AV95)))</x:f>
        <x:v>0</x:v>
      </x:c>
      <x:c r="AW31" s="101" t="n">
        <x:f>IF(AW$21&lt;$F14,0,IF(AW$21=$F14,$E14,MAX(0,AV31-AW79-AW95)))</x:f>
        <x:v>0</x:v>
      </x:c>
      <x:c r="AX31" s="101" t="n">
        <x:f>IF(AX$21&lt;$F14,0,IF(AX$21=$F14,$E14,MAX(0,AW31-AX79-AX95)))</x:f>
        <x:v>0</x:v>
      </x:c>
      <x:c r="AY31" s="101" t="n">
        <x:f>IF(AY$21&lt;$F14,0,IF(AY$21=$F14,$E14,MAX(0,AX31-AY79-AY95)))</x:f>
        <x:v>0</x:v>
      </x:c>
      <x:c r="AZ31" s="101" t="n">
        <x:f>IF(AZ$21&lt;$F14,0,IF(AZ$21=$F14,$E14,MAX(0,AY31-AZ79-AZ95)))</x:f>
        <x:v>0</x:v>
      </x:c>
      <x:c r="BA31" s="101" t="n">
        <x:f>IF(BA$21&lt;$F14,0,IF(BA$21=$F14,$E14,MAX(0,AZ31-BA79-BA95)))</x:f>
        <x:v>0</x:v>
      </x:c>
      <x:c r="BB31" s="101" t="n">
        <x:f>IF(BB$21&lt;$F14,0,IF(BB$21=$F14,$E14,MAX(0,BA31-BB79-BB95)))</x:f>
        <x:v>0</x:v>
      </x:c>
      <x:c r="BC31" s="101" t="n">
        <x:f>IF(BC$21&lt;$F14,0,IF(BC$21=$F14,$E14,MAX(0,BB31-BC79-BC95)))</x:f>
        <x:v>0</x:v>
      </x:c>
      <x:c r="BD31" s="101" t="n">
        <x:f>IF(BD$21&lt;$F14,0,IF(BD$21=$F14,$E14,MAX(0,BC31-BD79-BD95)))</x:f>
        <x:v>0</x:v>
      </x:c>
      <x:c r="BE31" s="101" t="n">
        <x:f>IF(BE$21&lt;$F14,0,IF(BE$21=$F14,$E14,MAX(0,BD31-BE79-BE95)))</x:f>
        <x:v>0</x:v>
      </x:c>
      <x:c r="BF31" s="101" t="n">
        <x:f>IF(BF$21&lt;$F14,0,IF(BF$21=$F14,$E14,MAX(0,BE31-BF79-BF95)))</x:f>
        <x:v>0</x:v>
      </x:c>
      <x:c r="BG31" s="101" t="n">
        <x:f>IF(BG$21&lt;$F14,0,IF(BG$21=$F14,$E14,MAX(0,BF31-BG79-BG95)))</x:f>
        <x:v>0</x:v>
      </x:c>
      <x:c r="BH31" s="101" t="n">
        <x:f>IF(BH$21&lt;$F14,0,IF(BH$21=$F14,$E14,MAX(0,BG31-BH79-BH95)))</x:f>
        <x:v>0</x:v>
      </x:c>
      <x:c r="BI31" s="101" t="n">
        <x:f>IF(BI$21&lt;$F14,0,IF(BI$21=$F14,$E14,MAX(0,BH31-BI79-BI95)))</x:f>
        <x:v>0</x:v>
      </x:c>
    </x:row>
    <x:row r="32">
      <x:c r="A32" t="str">
        <x:f>A15</x:f>
        <x:v>批次11</x:v>
      </x:c>
      <x:c r="B32" s="29" t="n">
        <x:f>IF(B$21&lt;$F15,0,IF(B$21=$F15,$E15,MAX(0,$E15-B80-B96)))</x:f>
        <x:v>0</x:v>
      </x:c>
      <x:c r="C32" s="29" t="n">
        <x:f>IF(C$21&lt;$F15,0,IF(C$21=$F15,$E15,MAX(0,B32-C80-C96)))</x:f>
        <x:v>0</x:v>
      </x:c>
      <x:c r="D32" s="29" t="n">
        <x:f>IF(D$21&lt;$F15,0,IF(D$21=$F15,$E15,MAX(0,C32-D80-D96)))</x:f>
        <x:v>0</x:v>
      </x:c>
      <x:c r="E32" s="29" t="n">
        <x:f>IF(E$21&lt;$F15,0,IF(E$21=$F15,$E15,MAX(0,D32-E80-E96)))</x:f>
        <x:v>0</x:v>
      </x:c>
      <x:c r="F32" s="29" t="n">
        <x:f>IF(F$21&lt;$F15,0,IF(F$21=$F15,$E15,MAX(0,E32-F80-F96)))</x:f>
        <x:v>0</x:v>
      </x:c>
      <x:c r="G32" s="29" t="n">
        <x:f>IF(G$21&lt;$F15,0,IF(G$21=$F15,$E15,MAX(0,F32-G80-G96)))</x:f>
        <x:v>0</x:v>
      </x:c>
      <x:c r="H32" s="29" t="n">
        <x:f>IF(H$21&lt;$F15,0,IF(H$21=$F15,$E15,MAX(0,G32-H80-H96)))</x:f>
        <x:v>0</x:v>
      </x:c>
      <x:c r="I32" s="29" t="n">
        <x:f>IF(I$21&lt;$F15,0,IF(I$21=$F15,$E15,MAX(0,H32-I80-I96)))</x:f>
        <x:v>0</x:v>
      </x:c>
      <x:c r="J32" s="29" t="n">
        <x:f>IF(J$21&lt;$F15,0,IF(J$21=$F15,$E15,MAX(0,I32-J80-J96)))</x:f>
        <x:v>0</x:v>
      </x:c>
      <x:c r="K32" s="29" t="n">
        <x:f>IF(K$21&lt;$F15,0,IF(K$21=$F15,$E15,MAX(0,J32-K80-K96)))</x:f>
        <x:v>0</x:v>
      </x:c>
      <x:c r="L32" s="29" t="n">
        <x:f>IF(L$21&lt;$F15,0,IF(L$21=$F15,$E15,MAX(0,K32-L80-L96)))</x:f>
        <x:v>0</x:v>
      </x:c>
      <x:c r="M32" s="29" t="n">
        <x:f>IF(M$21&lt;$F15,0,IF(M$21=$F15,$E15,MAX(0,L32-M80-M96)))</x:f>
        <x:v>60000000</x:v>
      </x:c>
      <x:c r="N32" s="29" t="n">
        <x:f>IF(N$21&lt;$F15,0,IF(N$21=$F15,$E15,MAX(0,M32-N80-N96)))</x:f>
        <x:v>58534619.89159099</x:v>
      </x:c>
      <x:c r="O32" s="29" t="n">
        <x:f>IF(O$21&lt;$F15,0,IF(O$21=$F15,$E15,MAX(0,N32-O80-O96)))</x:f>
        <x:v>57059470.582459256</x:v>
      </x:c>
      <x:c r="P32" s="29" t="n">
        <x:f>IF(P$21&lt;$F15,0,IF(P$21=$F15,$E15,MAX(0,O32-P80-P96)))</x:f>
        <x:v>55574486.94459997</x:v>
      </x:c>
      <x:c r="Q32" s="29" t="n">
        <x:f>IF(Q$21&lt;$F15,0,IF(Q$21=$F15,$E15,MAX(0,P32-Q80-Q96)))</x:f>
        <x:v>54079603.41582163</x:v>
      </x:c>
      <x:c r="R32" s="29" t="n">
        <x:f>IF(R$21&lt;$F15,0,IF(R$21=$F15,$E15,MAX(0,Q32-R80-R96)))</x:f>
        <x:v>52574753.99685143</x:v>
      </x:c>
      <x:c r="S32" s="29" t="n">
        <x:f>IF(S$21&lt;$F15,0,IF(S$21=$F15,$E15,MAX(0,R32-S80-S96)))</x:f>
        <x:v>51059872.24842143</x:v>
      </x:c>
      <x:c r="T32" s="29" t="n">
        <x:f>IF(T$21&lt;$F15,0,IF(T$21=$F15,$E15,MAX(0,S32-T80-T96)))</x:f>
        <x:v>49534891.288335234</x:v>
      </x:c>
      <x:c r="U32" s="29" t="n">
        <x:f>IF(U$21&lt;$F15,0,IF(U$21=$F15,$E15,MAX(0,T32-U80-U96)))</x:f>
        <x:v>47999743.78851513</x:v>
      </x:c>
      <x:c r="V32" s="29" t="n">
        <x:f>IF(V$21&lt;$F15,0,IF(V$21=$F15,$E15,MAX(0,U32-V80-V96)))</x:f>
        <x:v>46454361.97202955</x:v>
      </x:c>
      <x:c r="W32" s="29" t="n">
        <x:f>IF(W$21&lt;$F15,0,IF(W$21=$F15,$E15,MAX(0,V32-W80-W96)))</x:f>
        <x:v>44898677.61010074</x:v>
      </x:c>
      <x:c r="X32" s="29" t="n">
        <x:f>IF(X$21&lt;$F15,0,IF(X$21=$F15,$E15,MAX(0,W32-X80-X96)))</x:f>
        <x:v>43332622.0190924</x:v>
      </x:c>
      <x:c r="Y32" s="29" t="n">
        <x:f>IF(Y$21&lt;$F15,0,IF(Y$21=$F15,$E15,MAX(0,X32-Y80-Y96)))</x:f>
        <x:v>41756126.05747734</x:v>
      </x:c>
      <x:c r="Z32" s="29" t="n">
        <x:f>IF(Z$21&lt;$F15,0,IF(Z$21=$F15,$E15,MAX(0,Y32-Z80-Z96)))</x:f>
        <x:v>40169120.122784846</x:v>
      </x:c>
      <x:c r="AA32" s="29" t="n">
        <x:f>IF(AA$21&lt;$F15,0,IF(AA$21=$F15,$E15,MAX(0,Z32-AA80-AA96)))</x:f>
        <x:v>38571534.148527734</x:v>
      </x:c>
      <x:c r="AB32" s="29" t="n">
        <x:f>IF(AB$21&lt;$F15,0,IF(AB$21=$F15,$E15,MAX(0,AA32-AB80-AB96)))</x:f>
        <x:v>36963297.60110891</x:v>
      </x:c>
      <x:c r="AC32" s="29" t="n">
        <x:f>IF(AC$21&lt;$F15,0,IF(AC$21=$F15,$E15,MAX(0,AB32-AC80-AC96)))</x:f>
        <x:v>35344339.476707295</x:v>
      </x:c>
      <x:c r="AD32" s="29" t="n">
        <x:f>IF(AD$21&lt;$F15,0,IF(AD$21=$F15,$E15,MAX(0,AC32-AD80-AD96)))</x:f>
        <x:v>33714588.298143</x:v>
      </x:c>
      <x:c r="AE32" s="29" t="n">
        <x:f>IF(AE$21&lt;$F15,0,IF(AE$21=$F15,$E15,MAX(0,AD32-AE80-AE96)))</x:f>
        <x:v>32073972.11172161</x:v>
      </x:c>
      <x:c r="AF32" s="29" t="n">
        <x:f>IF(AF$21&lt;$F15,0,IF(AF$21=$F15,$E15,MAX(0,AE32-AF80-AF96)))</x:f>
        <x:v>30422418.48405741</x:v>
      </x:c>
      <x:c r="AG32" s="29" t="n">
        <x:f>IF(AG$21&lt;$F15,0,IF(AG$21=$F15,$E15,MAX(0,AF32-AG80-AG96)))</x:f>
        <x:v>28759854.49887545</x:v>
      </x:c>
      <x:c r="AH32" s="29" t="n">
        <x:f>IF(AH$21&lt;$F15,0,IF(AH$21=$F15,$E15,MAX(0,AG32-AH80-AH96)))</x:f>
        <x:v>27086206.75379228</x:v>
      </x:c>
      <x:c r="AI32" s="29" t="n">
        <x:f>IF(AI$21&lt;$F15,0,IF(AI$21=$F15,$E15,MAX(0,AH32-AI80-AI96)))</x:f>
        <x:v>25401401.357075218</x:v>
      </x:c>
      <x:c r="AJ32" s="29" t="n">
        <x:f>IF(AJ$21&lt;$F15,0,IF(AJ$21=$F15,$E15,MAX(0,AI32-AJ80-AJ96)))</x:f>
        <x:v>23705363.92438004</x:v>
      </x:c>
      <x:c r="AK32" s="29" t="n">
        <x:f>IF(AK$21&lt;$F15,0,IF(AK$21=$F15,$E15,MAX(0,AJ32-AK80-AK96)))</x:f>
        <x:v>21998019.5754669</x:v>
      </x:c>
      <x:c r="AL32" s="101" t="n">
        <x:f>IF(AL$21&lt;$F15,0,IF(AL$21=$F15,$E15,MAX(0,AK32-AL80-AL96)))</x:f>
        <x:v>20279292.930894338</x:v>
      </x:c>
      <x:c r="AM32" s="101" t="n">
        <x:f>IF(AM$21&lt;$F15,0,IF(AM$21=$F15,$E15,MAX(0,AL32-AM80-AM96)))</x:f>
        <x:v>18549108.10869129</x:v>
      </x:c>
      <x:c r="AN32" s="101" t="n">
        <x:f>IF(AN$21&lt;$F15,0,IF(AN$21=$F15,$E15,MAX(0,AM32-AN80-AN96)))</x:f>
        <x:v>16807388.72100689</x:v>
      </x:c>
      <x:c r="AO32" s="101" t="n">
        <x:f>IF(AO$21&lt;$F15,0,IF(AO$21=$F15,$E15,MAX(0,AN32-AO80-AO96)))</x:f>
        <x:v>15054057.870737925</x:v>
      </x:c>
      <x:c r="AP32" s="101" t="n">
        <x:f>IF(AP$21&lt;$F15,0,IF(AP$21=$F15,$E15,MAX(0,AO32-AP80-AP96)))</x:f>
        <x:v>13289038.148133835</x:v>
      </x:c>
      <x:c r="AQ32" s="101" t="n">
        <x:f>IF(AQ$21&lt;$F15,0,IF(AQ$21=$F15,$E15,MAX(0,AP32-AQ80-AQ96)))</x:f>
        <x:v>11512251.62737905</x:v>
      </x:c>
      <x:c r="AR32" s="101" t="n">
        <x:f>IF(AR$21&lt;$F15,0,IF(AR$21=$F15,$E15,MAX(0,AQ32-AR80-AR96)))</x:f>
        <x:v>9723619.863152567</x:v>
      </x:c>
      <x:c r="AS32" s="101" t="n">
        <x:f>IF(AS$21&lt;$F15,0,IF(AS$21=$F15,$E15,MAX(0,AR32-AS80-AS96)))</x:f>
        <x:v>7923063.887164575</x:v>
      </x:c>
      <x:c r="AT32" s="101" t="n">
        <x:f>IF(AT$21&lt;$F15,0,IF(AT$21=$F15,$E15,MAX(0,AS32-AT80-AT96)))</x:f>
        <x:v>6110504.204669996</x:v>
      </x:c>
      <x:c r="AU32" s="101" t="n">
        <x:f>IF(AU$21&lt;$F15,0,IF(AU$21=$F15,$E15,MAX(0,AT32-AU80-AU96)))</x:f>
        <x:v>4285860.790958786</x:v>
      </x:c>
      <x:c r="AV32" s="101" t="n">
        <x:f>IF(AV$21&lt;$F15,0,IF(AV$21=$F15,$E15,MAX(0,AU32-AV80-AV96)))</x:f>
        <x:v>2449053.087822836</x:v>
      </x:c>
      <x:c r="AW32" s="101" t="n">
        <x:f>IF(AW$21&lt;$F15,0,IF(AW$21=$F15,$E15,MAX(0,AV32-AW80-AW96)))</x:f>
        <x:v>0</x:v>
      </x:c>
      <x:c r="AX32" s="101" t="n">
        <x:f>IF(AX$21&lt;$F15,0,IF(AX$21=$F15,$E15,MAX(0,AW32-AX80-AX96)))</x:f>
        <x:v>0</x:v>
      </x:c>
      <x:c r="AY32" s="101" t="n">
        <x:f>IF(AY$21&lt;$F15,0,IF(AY$21=$F15,$E15,MAX(0,AX32-AY80-AY96)))</x:f>
        <x:v>0</x:v>
      </x:c>
      <x:c r="AZ32" s="101" t="n">
        <x:f>IF(AZ$21&lt;$F15,0,IF(AZ$21=$F15,$E15,MAX(0,AY32-AZ80-AZ96)))</x:f>
        <x:v>0</x:v>
      </x:c>
      <x:c r="BA32" s="101" t="n">
        <x:f>IF(BA$21&lt;$F15,0,IF(BA$21=$F15,$E15,MAX(0,AZ32-BA80-BA96)))</x:f>
        <x:v>0</x:v>
      </x:c>
      <x:c r="BB32" s="101" t="n">
        <x:f>IF(BB$21&lt;$F15,0,IF(BB$21=$F15,$E15,MAX(0,BA32-BB80-BB96)))</x:f>
        <x:v>0</x:v>
      </x:c>
      <x:c r="BC32" s="101" t="n">
        <x:f>IF(BC$21&lt;$F15,0,IF(BC$21=$F15,$E15,MAX(0,BB32-BC80-BC96)))</x:f>
        <x:v>0</x:v>
      </x:c>
      <x:c r="BD32" s="101" t="n">
        <x:f>IF(BD$21&lt;$F15,0,IF(BD$21=$F15,$E15,MAX(0,BC32-BD80-BD96)))</x:f>
        <x:v>0</x:v>
      </x:c>
      <x:c r="BE32" s="101" t="n">
        <x:f>IF(BE$21&lt;$F15,0,IF(BE$21=$F15,$E15,MAX(0,BD32-BE80-BE96)))</x:f>
        <x:v>0</x:v>
      </x:c>
      <x:c r="BF32" s="101" t="n">
        <x:f>IF(BF$21&lt;$F15,0,IF(BF$21=$F15,$E15,MAX(0,BE32-BF80-BF96)))</x:f>
        <x:v>0</x:v>
      </x:c>
      <x:c r="BG32" s="101" t="n">
        <x:f>IF(BG$21&lt;$F15,0,IF(BG$21=$F15,$E15,MAX(0,BF32-BG80-BG96)))</x:f>
        <x:v>0</x:v>
      </x:c>
      <x:c r="BH32" s="101" t="n">
        <x:f>IF(BH$21&lt;$F15,0,IF(BH$21=$F15,$E15,MAX(0,BG32-BH80-BH96)))</x:f>
        <x:v>0</x:v>
      </x:c>
      <x:c r="BI32" s="101" t="n">
        <x:f>IF(BI$21&lt;$F15,0,IF(BI$21=$F15,$E15,MAX(0,BH32-BI80-BI96)))</x:f>
        <x:v>0</x:v>
      </x:c>
    </x:row>
    <x:row r="33">
      <x:c r="A33" t="str">
        <x:f>A16</x:f>
        <x:v>批次12</x:v>
      </x:c>
      <x:c r="B33" s="29" t="n">
        <x:f>IF(B$21&lt;$F16,0,IF(B$21=$F16,$E16,MAX(0,$E16-B81-B97)))</x:f>
        <x:v>0</x:v>
      </x:c>
      <x:c r="C33" s="29" t="n">
        <x:f>IF(C$21&lt;$F16,0,IF(C$21=$F16,$E16,MAX(0,B33-C81-C97)))</x:f>
        <x:v>0</x:v>
      </x:c>
      <x:c r="D33" s="29" t="n">
        <x:f>IF(D$21&lt;$F16,0,IF(D$21=$F16,$E16,MAX(0,C33-D81-D97)))</x:f>
        <x:v>0</x:v>
      </x:c>
      <x:c r="E33" s="29" t="n">
        <x:f>IF(E$21&lt;$F16,0,IF(E$21=$F16,$E16,MAX(0,D33-E81-E97)))</x:f>
        <x:v>0</x:v>
      </x:c>
      <x:c r="F33" s="29" t="n">
        <x:f>IF(F$21&lt;$F16,0,IF(F$21=$F16,$E16,MAX(0,E33-F81-F97)))</x:f>
        <x:v>0</x:v>
      </x:c>
      <x:c r="G33" s="29" t="n">
        <x:f>IF(G$21&lt;$F16,0,IF(G$21=$F16,$E16,MAX(0,F33-G81-G97)))</x:f>
        <x:v>0</x:v>
      </x:c>
      <x:c r="H33" s="29" t="n">
        <x:f>IF(H$21&lt;$F16,0,IF(H$21=$F16,$E16,MAX(0,G33-H81-H97)))</x:f>
        <x:v>0</x:v>
      </x:c>
      <x:c r="I33" s="29" t="n">
        <x:f>IF(I$21&lt;$F16,0,IF(I$21=$F16,$E16,MAX(0,H33-I81-I97)))</x:f>
        <x:v>0</x:v>
      </x:c>
      <x:c r="J33" s="29" t="n">
        <x:f>IF(J$21&lt;$F16,0,IF(J$21=$F16,$E16,MAX(0,I33-J81-J97)))</x:f>
        <x:v>0</x:v>
      </x:c>
      <x:c r="K33" s="29" t="n">
        <x:f>IF(K$21&lt;$F16,0,IF(K$21=$F16,$E16,MAX(0,J33-K81-K97)))</x:f>
        <x:v>0</x:v>
      </x:c>
      <x:c r="L33" s="29" t="n">
        <x:f>IF(L$21&lt;$F16,0,IF(L$21=$F16,$E16,MAX(0,K33-L81-L97)))</x:f>
        <x:v>0</x:v>
      </x:c>
      <x:c r="M33" s="29" t="n">
        <x:f>IF(M$21&lt;$F16,0,IF(M$21=$F16,$E16,MAX(0,L33-M81-M97)))</x:f>
        <x:v>0</x:v>
      </x:c>
      <x:c r="N33" s="29" t="n">
        <x:f>IF(N$21&lt;$F16,0,IF(N$21=$F16,$E16,MAX(0,M33-N81-N97)))</x:f>
        <x:v>45000000</x:v>
      </x:c>
      <x:c r="O33" s="29" t="n">
        <x:f>IF(O$21&lt;$F16,0,IF(O$21=$F16,$E16,MAX(0,N33-O81-O97)))</x:f>
        <x:v>43900964.918693244</x:v>
      </x:c>
      <x:c r="P33" s="29" t="n">
        <x:f>IF(P$21&lt;$F16,0,IF(P$21=$F16,$E16,MAX(0,O33-P81-P97)))</x:f>
        <x:v>42794602.936844446</x:v>
      </x:c>
      <x:c r="Q33" s="29" t="n">
        <x:f>IF(Q$21&lt;$F16,0,IF(Q$21=$F16,$E16,MAX(0,P33-Q81-Q97)))</x:f>
        <x:v>41680865.20844998</x:v>
      </x:c>
      <x:c r="R33" s="29" t="n">
        <x:f>IF(R$21&lt;$F16,0,IF(R$21=$F16,$E16,MAX(0,Q33-R81-R97)))</x:f>
        <x:v>40559702.561866224</x:v>
      </x:c>
      <x:c r="S33" s="29" t="n">
        <x:f>IF(S$21&lt;$F16,0,IF(S$21=$F16,$E16,MAX(0,R33-S81-S97)))</x:f>
        <x:v>39431065.497638576</x:v>
      </x:c>
      <x:c r="T33" s="29" t="n">
        <x:f>IF(T$21&lt;$F16,0,IF(T$21=$F16,$E16,MAX(0,S33-T81-T97)))</x:f>
        <x:v>38294904.18631607</x:v>
      </x:c>
      <x:c r="U33" s="29" t="n">
        <x:f>IF(U$21&lt;$F16,0,IF(U$21=$F16,$E16,MAX(0,T33-U81-U97)))</x:f>
        <x:v>37151168.466251425</x:v>
      </x:c>
      <x:c r="V33" s="29" t="n">
        <x:f>IF(V$21&lt;$F16,0,IF(V$21=$F16,$E16,MAX(0,U33-V81-V97)))</x:f>
        <x:v>35999807.84138635</x:v>
      </x:c>
      <x:c r="W33" s="29" t="n">
        <x:f>IF(W$21&lt;$F16,0,IF(W$21=$F16,$E16,MAX(0,V33-W81-W97)))</x:f>
        <x:v>34840771.47902217</x:v>
      </x:c>
      <x:c r="X33" s="29" t="n">
        <x:f>IF(X$21&lt;$F16,0,IF(X$21=$F16,$E16,MAX(0,W33-X81-X97)))</x:f>
        <x:v>33674008.20757556</x:v>
      </x:c>
      <x:c r="Y33" s="29" t="n">
        <x:f>IF(Y$21&lt;$F16,0,IF(Y$21=$F16,$E16,MAX(0,X33-Y81-Y97)))</x:f>
        <x:v>32499466.514319308</x:v>
      </x:c>
      <x:c r="Z33" s="29" t="n">
        <x:f>IF(Z$21&lt;$F16,0,IF(Z$21=$F16,$E16,MAX(0,Y33-Z81-Z97)))</x:f>
        <x:v>31317094.543108013</x:v>
      </x:c>
      <x:c r="AA33" s="29" t="n">
        <x:f>IF(AA$21&lt;$F16,0,IF(AA$21=$F16,$E16,MAX(0,Z33-AA81-AA97)))</x:f>
        <x:v>30126840.092088643</x:v>
      </x:c>
      <x:c r="AB33" s="29" t="n">
        <x:f>IF(AB$21&lt;$F16,0,IF(AB$21=$F16,$E16,MAX(0,AA33-AB81-AB97)))</x:f>
        <x:v>28928650.61139581</x:v>
      </x:c>
      <x:c r="AC33" s="29" t="n">
        <x:f>IF(AC$21&lt;$F16,0,IF(AC$21=$F16,$E16,MAX(0,AB33-AC81-AC97)))</x:f>
        <x:v>27722473.200831693</x:v>
      </x:c>
      <x:c r="AD33" s="29" t="n">
        <x:f>IF(AD$21&lt;$F16,0,IF(AD$21=$F16,$E16,MAX(0,AC33-AD81-AD97)))</x:f>
        <x:v>26508254.607530482</x:v>
      </x:c>
      <x:c r="AE33" s="29" t="n">
        <x:f>IF(AE$21&lt;$F16,0,IF(AE$21=$F16,$E16,MAX(0,AD33-AE81-AE97)))</x:f>
        <x:v>25285941.22360726</x:v>
      </x:c>
      <x:c r="AF33" s="29" t="n">
        <x:f>IF(AF$21&lt;$F16,0,IF(AF$21=$F16,$E16,MAX(0,AE33-AF81-AF97)))</x:f>
        <x:v>24055479.08379122</x:v>
      </x:c>
      <x:c r="AG33" s="29" t="n">
        <x:f>IF(AG$21&lt;$F16,0,IF(AG$21=$F16,$E16,MAX(0,AF33-AG81-AG97)))</x:f>
        <x:v>22816813.86304307</x:v>
      </x:c>
      <x:c r="AH33" s="29" t="n">
        <x:f>IF(AH$21&lt;$F16,0,IF(AH$21=$F16,$E16,MAX(0,AG33-AH81-AH97)))</x:f>
        <x:v>21569890.8741566</x:v>
      </x:c>
      <x:c r="AI33" s="29" t="n">
        <x:f>IF(AI$21&lt;$F16,0,IF(AI$21=$F16,$E16,MAX(0,AH33-AI81-AI97)))</x:f>
        <x:v>20314655.065344222</x:v>
      </x:c>
      <x:c r="AJ33" s="29" t="n">
        <x:f>IF(AJ$21&lt;$F16,0,IF(AJ$21=$F16,$E16,MAX(0,AI33-AJ81-AJ97)))</x:f>
        <x:v>19051051.017806426</x:v>
      </x:c>
      <x:c r="AK33" s="29" t="n">
        <x:f>IF(AK$21&lt;$F16,0,IF(AK$21=$F16,$E16,MAX(0,AJ33-AK81-AK97)))</x:f>
        <x:v>17779022.943285044</x:v>
      </x:c>
      <x:c r="AL33" s="101" t="n">
        <x:f>IF(AL$21&lt;$F16,0,IF(AL$21=$F16,$E16,MAX(0,AK33-AL81-AL97)))</x:f>
        <x:v>16498514.681600187</x:v>
      </x:c>
      <x:c r="AM33" s="101" t="n">
        <x:f>IF(AM$21&lt;$F16,0,IF(AM$21=$F16,$E16,MAX(0,AL33-AM81-AM97)))</x:f>
        <x:v>15209469.698170764</x:v>
      </x:c>
      <x:c r="AN33" s="101" t="n">
        <x:f>IF(AN$21&lt;$F16,0,IF(AN$21=$F16,$E16,MAX(0,AM33-AN81-AN97)))</x:f>
        <x:v>13911831.081518479</x:v>
      </x:c>
      <x:c r="AO33" s="101" t="n">
        <x:f>IF(AO$21&lt;$F16,0,IF(AO$21=$F16,$E16,MAX(0,AN33-AO81-AO97)))</x:f>
        <x:v>12605541.540755179</x:v>
      </x:c>
      <x:c r="AP33" s="101" t="n">
        <x:f>IF(AP$21&lt;$F16,0,IF(AP$21=$F16,$E16,MAX(0,AO33-AP81-AP97)))</x:f>
        <x:v>11290543.403053457</x:v>
      </x:c>
      <x:c r="AQ33" s="101" t="n">
        <x:f>IF(AQ$21&lt;$F16,0,IF(AQ$21=$F16,$E16,MAX(0,AP33-AQ81-AQ97)))</x:f>
        <x:v>9966778.61110039</x:v>
      </x:c>
      <x:c r="AR33" s="101" t="n">
        <x:f>IF(AR$21&lt;$F16,0,IF(AR$21=$F16,$E16,MAX(0,AQ33-AR81-AR97)))</x:f>
        <x:v>8634188.720534302</x:v>
      </x:c>
      <x:c r="AS33" s="101" t="n">
        <x:f>IF(AS$21&lt;$F16,0,IF(AS$21=$F16,$E16,MAX(0,AR33-AS81-AS97)))</x:f>
        <x:v>7292714.89736444</x:v>
      </x:c>
      <x:c r="AT33" s="101" t="n">
        <x:f>IF(AT$21&lt;$F16,0,IF(AT$21=$F16,$E16,MAX(0,AS33-AT81-AT97)))</x:f>
        <x:v>5942297.915373446</x:v>
      </x:c>
      <x:c r="AU33" s="101" t="n">
        <x:f>IF(AU$21&lt;$F16,0,IF(AU$21=$F16,$E16,MAX(0,AT33-AU81-AU97)))</x:f>
        <x:v>4582878.153502513</x:v>
      </x:c>
      <x:c r="AV33" s="101" t="n">
        <x:f>IF(AV$21&lt;$F16,0,IF(AV$21=$F16,$E16,MAX(0,AU33-AV81-AV97)))</x:f>
        <x:v>3214395.593219106</x:v>
      </x:c>
      <x:c r="AW33" s="101" t="n">
        <x:f>IF(AW$21&lt;$F16,0,IF(AW$21=$F16,$E16,MAX(0,AV33-AW81-AW97)))</x:f>
        <x:v>1836789.8158671432</x:v>
      </x:c>
      <x:c r="AX33" s="101" t="n">
        <x:f>IF(AX$21&lt;$F16,0,IF(AX$21=$F16,$E16,MAX(0,AW33-AX81-AX97)))</x:f>
        <x:v>0</x:v>
      </x:c>
      <x:c r="AY33" s="101" t="n">
        <x:f>IF(AY$21&lt;$F16,0,IF(AY$21=$F16,$E16,MAX(0,AX33-AY81-AY97)))</x:f>
        <x:v>0</x:v>
      </x:c>
      <x:c r="AZ33" s="101" t="n">
        <x:f>IF(AZ$21&lt;$F16,0,IF(AZ$21=$F16,$E16,MAX(0,AY33-AZ81-AZ97)))</x:f>
        <x:v>0</x:v>
      </x:c>
      <x:c r="BA33" s="101" t="n">
        <x:f>IF(BA$21&lt;$F16,0,IF(BA$21=$F16,$E16,MAX(0,AZ33-BA81-BA97)))</x:f>
        <x:v>0</x:v>
      </x:c>
      <x:c r="BB33" s="101" t="n">
        <x:f>IF(BB$21&lt;$F16,0,IF(BB$21=$F16,$E16,MAX(0,BA33-BB81-BB97)))</x:f>
        <x:v>0</x:v>
      </x:c>
      <x:c r="BC33" s="101" t="n">
        <x:f>IF(BC$21&lt;$F16,0,IF(BC$21=$F16,$E16,MAX(0,BB33-BC81-BC97)))</x:f>
        <x:v>0</x:v>
      </x:c>
      <x:c r="BD33" s="101" t="n">
        <x:f>IF(BD$21&lt;$F16,0,IF(BD$21=$F16,$E16,MAX(0,BC33-BD81-BD97)))</x:f>
        <x:v>0</x:v>
      </x:c>
      <x:c r="BE33" s="101" t="n">
        <x:f>IF(BE$21&lt;$F16,0,IF(BE$21=$F16,$E16,MAX(0,BD33-BE81-BE97)))</x:f>
        <x:v>0</x:v>
      </x:c>
      <x:c r="BF33" s="101" t="n">
        <x:f>IF(BF$21&lt;$F16,0,IF(BF$21=$F16,$E16,MAX(0,BE33-BF81-BF97)))</x:f>
        <x:v>0</x:v>
      </x:c>
      <x:c r="BG33" s="101" t="n">
        <x:f>IF(BG$21&lt;$F16,0,IF(BG$21=$F16,$E16,MAX(0,BF33-BG81-BG97)))</x:f>
        <x:v>0</x:v>
      </x:c>
      <x:c r="BH33" s="101" t="n">
        <x:f>IF(BH$21&lt;$F16,0,IF(BH$21=$F16,$E16,MAX(0,BG33-BH81-BH97)))</x:f>
        <x:v>0</x:v>
      </x:c>
      <x:c r="BI33" s="101" t="n">
        <x:f>IF(BI$21&lt;$F16,0,IF(BI$21=$F16,$E16,MAX(0,BH33-BI81-BI97)))</x:f>
        <x:v>0</x:v>
      </x:c>
    </x:row>
    <x:row r="34"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  <x:c r="AA34" s="29"/>
      <x:c r="AB34" s="29"/>
      <x:c r="AC34" s="29"/>
      <x:c r="AD34" s="29"/>
      <x:c r="AE34" s="29"/>
      <x:c r="AF34" s="29"/>
      <x:c r="AG34" s="29"/>
      <x:c r="AH34" s="29"/>
      <x:c r="AI34" s="29"/>
      <x:c r="AJ34" s="29"/>
      <x:c r="AK34" s="29"/>
      <x:c r="AL34" s="101"/>
      <x:c r="AM34" s="101"/>
      <x:c r="AN34" s="101"/>
      <x:c r="AO34" s="101"/>
      <x:c r="AP34" s="101"/>
      <x:c r="AQ34" s="101"/>
      <x:c r="AR34" s="101"/>
      <x:c r="AS34" s="101"/>
      <x:c r="AT34" s="101"/>
      <x:c r="AU34" s="101"/>
      <x:c r="AV34" s="101"/>
      <x:c r="AW34" s="101"/>
      <x:c r="AX34" s="101"/>
      <x:c r="AY34" s="101"/>
      <x:c r="AZ34" s="101"/>
      <x:c r="BA34" s="101"/>
      <x:c r="BB34" s="101"/>
      <x:c r="BC34" s="101"/>
      <x:c r="BD34" s="101"/>
      <x:c r="BE34" s="101"/>
      <x:c r="BF34" s="101"/>
      <x:c r="BG34" s="101"/>
      <x:c r="BH34" s="101"/>
      <x:c r="BI34" s="101"/>
    </x:row>
    <x:row r="35">
      <x:c r="A35" s="13" t="str">
        <x:v>债务支付（租金+末期留购）</x:v>
      </x:c>
      <x:c r="B35" s="97" t="str">
        <x:v>债务支付（租金+末期留购）</x:v>
      </x:c>
      <x:c r="C35" s="97" t="str">
        <x:v>债务支付（租金+末期留购）</x:v>
      </x:c>
      <x:c r="D35" s="97" t="str">
        <x:v>债务支付（租金+末期留购）</x:v>
      </x:c>
      <x:c r="E35" s="97" t="str">
        <x:v>债务支付（租金+末期留购）</x:v>
      </x:c>
      <x:c r="F35" s="97" t="str">
        <x:v>债务支付（租金+末期留购）</x:v>
      </x:c>
      <x:c r="G35" s="97" t="str">
        <x:v>债务支付（租金+末期留购）</x:v>
      </x:c>
      <x:c r="H35" s="97" t="str">
        <x:v>债务支付（租金+末期留购）</x:v>
      </x:c>
      <x:c r="I35" s="97" t="str">
        <x:v>债务支付（租金+末期留购）</x:v>
      </x:c>
      <x:c r="J35" s="97" t="str">
        <x:v>债务支付（租金+末期留购）</x:v>
      </x:c>
      <x:c r="K35" s="97" t="str">
        <x:v>债务支付（租金+末期留购）</x:v>
      </x:c>
      <x:c r="L35" s="97" t="str">
        <x:v>债务支付（租金+末期留购）</x:v>
      </x:c>
      <x:c r="M35" s="97" t="str">
        <x:v>债务支付（租金+末期留购）</x:v>
      </x:c>
      <x:c r="N35" s="97" t="str">
        <x:v>债务支付（租金+末期留购）</x:v>
      </x:c>
      <x:c r="O35" s="97" t="str">
        <x:v>债务支付（租金+末期留购）</x:v>
      </x:c>
      <x:c r="P35" s="97" t="str">
        <x:v>债务支付（租金+末期留购）</x:v>
      </x:c>
      <x:c r="Q35" s="97" t="str">
        <x:v>债务支付（租金+末期留购）</x:v>
      </x:c>
      <x:c r="R35" s="97" t="str">
        <x:v>债务支付（租金+末期留购）</x:v>
      </x:c>
      <x:c r="S35" s="97" t="str">
        <x:v>债务支付（租金+末期留购）</x:v>
      </x:c>
      <x:c r="T35" s="97" t="str">
        <x:v>债务支付（租金+末期留购）</x:v>
      </x:c>
      <x:c r="U35" s="97" t="str">
        <x:v>债务支付（租金+末期留购）</x:v>
      </x:c>
      <x:c r="V35" s="97" t="str">
        <x:v>债务支付（租金+末期留购）</x:v>
      </x:c>
      <x:c r="W35" s="97" t="str">
        <x:v>债务支付（租金+末期留购）</x:v>
      </x:c>
      <x:c r="X35" s="97" t="str">
        <x:v>债务支付（租金+末期留购）</x:v>
      </x:c>
      <x:c r="Y35" s="97" t="str">
        <x:v>债务支付（租金+末期留购）</x:v>
      </x:c>
      <x:c r="Z35" s="97" t="str">
        <x:v>债务支付（租金+末期留购）</x:v>
      </x:c>
      <x:c r="AA35" s="97" t="str">
        <x:v>债务支付（租金+末期留购）</x:v>
      </x:c>
      <x:c r="AB35" s="97" t="str">
        <x:v>债务支付（租金+末期留购）</x:v>
      </x:c>
      <x:c r="AC35" s="97" t="str">
        <x:v>债务支付（租金+末期留购）</x:v>
      </x:c>
      <x:c r="AD35" s="97" t="str">
        <x:v>债务支付（租金+末期留购）</x:v>
      </x:c>
      <x:c r="AE35" s="97" t="str">
        <x:v>债务支付（租金+末期留购）</x:v>
      </x:c>
      <x:c r="AF35" s="97" t="str">
        <x:v>债务支付（租金+末期留购）</x:v>
      </x:c>
      <x:c r="AG35" s="97" t="str">
        <x:v>债务支付（租金+末期留购）</x:v>
      </x:c>
      <x:c r="AH35" s="97" t="str">
        <x:v>债务支付（租金+末期留购）</x:v>
      </x:c>
      <x:c r="AI35" s="97" t="str">
        <x:v>债务支付（租金+末期留购）</x:v>
      </x:c>
      <x:c r="AJ35" s="97" t="str">
        <x:v>债务支付（租金+末期留购）</x:v>
      </x:c>
      <x:c r="AK35" s="97" t="str">
        <x:v>债务支付（租金+末期留购）</x:v>
      </x:c>
      <x:c r="AL35" s="102" t="str">
        <x:v>债务支付（租金+末期留购）</x:v>
      </x:c>
      <x:c r="AM35" s="102" t="str">
        <x:v>债务支付（租金+末期留购）</x:v>
      </x:c>
      <x:c r="AN35" s="102" t="str">
        <x:v>债务支付（租金+末期留购）</x:v>
      </x:c>
      <x:c r="AO35" s="102" t="str">
        <x:v>债务支付（租金+末期留购）</x:v>
      </x:c>
      <x:c r="AP35" s="102" t="str">
        <x:v>债务支付（租金+末期留购）</x:v>
      </x:c>
      <x:c r="AQ35" s="102" t="str">
        <x:v>债务支付（租金+末期留购）</x:v>
      </x:c>
      <x:c r="AR35" s="102" t="str">
        <x:v>债务支付（租金+末期留购）</x:v>
      </x:c>
      <x:c r="AS35" s="102" t="str">
        <x:v>债务支付（租金+末期留购）</x:v>
      </x:c>
      <x:c r="AT35" s="102" t="str">
        <x:v>债务支付（租金+末期留购）</x:v>
      </x:c>
      <x:c r="AU35" s="102" t="str">
        <x:v>债务支付（租金+末期留购）</x:v>
      </x:c>
      <x:c r="AV35" s="102" t="str">
        <x:v>债务支付（租金+末期留购）</x:v>
      </x:c>
      <x:c r="AW35" s="102" t="str">
        <x:v>债务支付（租金+末期留购）</x:v>
      </x:c>
      <x:c r="AX35" s="102" t="str">
        <x:v>债务支付（租金+末期留购）</x:v>
      </x:c>
      <x:c r="AY35" s="102" t="str">
        <x:v>债务支付（租金+末期留购）</x:v>
      </x:c>
      <x:c r="AZ35" s="102" t="str">
        <x:v>债务支付（租金+末期留购）</x:v>
      </x:c>
      <x:c r="BA35" s="102" t="str">
        <x:v>债务支付（租金+末期留购）</x:v>
      </x:c>
      <x:c r="BB35" s="102" t="str">
        <x:v>债务支付（租金+末期留购）</x:v>
      </x:c>
      <x:c r="BC35" s="102" t="str">
        <x:v>债务支付（租金+末期留购）</x:v>
      </x:c>
      <x:c r="BD35" s="102" t="str">
        <x:v>债务支付（租金+末期留购）</x:v>
      </x:c>
      <x:c r="BE35" s="102" t="str">
        <x:v>债务支付（租金+末期留购）</x:v>
      </x:c>
      <x:c r="BF35" s="102" t="str">
        <x:v>债务支付（租金+末期留购）</x:v>
      </x:c>
      <x:c r="BG35" s="102" t="str">
        <x:v>债务支付（租金+末期留购）</x:v>
      </x:c>
      <x:c r="BH35" s="102" t="str">
        <x:v>债务支付（租金+末期留购）</x:v>
      </x:c>
      <x:c r="BI35" s="103" t="str">
        <x:v>债务支付（租金+末期留购）</x:v>
      </x:c>
    </x:row>
    <x:row r="36"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  <x:c r="AA36" s="29"/>
      <x:c r="AB36" s="29"/>
      <x:c r="AC36" s="29"/>
      <x:c r="AD36" s="29"/>
      <x:c r="AE36" s="29"/>
      <x:c r="AF36" s="29"/>
      <x:c r="AG36" s="29"/>
      <x:c r="AH36" s="29"/>
      <x:c r="AI36" s="29"/>
      <x:c r="AJ36" s="29"/>
      <x:c r="AK36" s="29"/>
      <x:c r="AL36" s="101"/>
      <x:c r="AM36" s="101"/>
      <x:c r="AN36" s="101"/>
      <x:c r="AO36" s="101"/>
      <x:c r="AP36" s="101"/>
      <x:c r="AQ36" s="101"/>
      <x:c r="AR36" s="101"/>
      <x:c r="AS36" s="101"/>
      <x:c r="AT36" s="101"/>
      <x:c r="AU36" s="101"/>
      <x:c r="AV36" s="101"/>
      <x:c r="AW36" s="101"/>
      <x:c r="AX36" s="101"/>
      <x:c r="AY36" s="101"/>
      <x:c r="AZ36" s="101"/>
      <x:c r="BA36" s="101"/>
      <x:c r="BB36" s="101"/>
      <x:c r="BC36" s="101"/>
      <x:c r="BD36" s="101"/>
      <x:c r="BE36" s="101"/>
      <x:c r="BF36" s="101"/>
      <x:c r="BG36" s="101"/>
      <x:c r="BH36" s="101"/>
      <x:c r="BI36" s="101"/>
    </x:row>
    <x:row r="37">
      <x:c r="A37" t="str">
        <x:v>批次/月</x:v>
      </x:c>
      <x:c r="B37" s="29" t="n">
        <x:f>'36月运营模型'!B$5</x:f>
        <x:v>46266</x:v>
      </x:c>
      <x:c r="C37" s="29" t="n">
        <x:f>'36月运营模型'!C$5</x:f>
        <x:v>46296</x:v>
      </x:c>
      <x:c r="D37" s="29" t="n">
        <x:f>'36月运营模型'!D$5</x:f>
        <x:v>46327</x:v>
      </x:c>
      <x:c r="E37" s="29" t="n">
        <x:f>'36月运营模型'!E$5</x:f>
        <x:v>46357</x:v>
      </x:c>
      <x:c r="F37" s="29" t="n">
        <x:f>'36月运营模型'!F$5</x:f>
        <x:v>46388</x:v>
      </x:c>
      <x:c r="G37" s="29" t="n">
        <x:f>'36月运营模型'!G$5</x:f>
        <x:v>46419</x:v>
      </x:c>
      <x:c r="H37" s="29" t="n">
        <x:f>'36月运营模型'!H$5</x:f>
        <x:v>46447</x:v>
      </x:c>
      <x:c r="I37" s="29" t="n">
        <x:f>'36月运营模型'!I$5</x:f>
        <x:v>46478</x:v>
      </x:c>
      <x:c r="J37" s="29" t="n">
        <x:f>'36月运营模型'!J$5</x:f>
        <x:v>46508</x:v>
      </x:c>
      <x:c r="K37" s="29" t="n">
        <x:f>'36月运营模型'!K$5</x:f>
        <x:v>46539</x:v>
      </x:c>
      <x:c r="L37" s="29" t="n">
        <x:f>'36月运营模型'!L$5</x:f>
        <x:v>46569</x:v>
      </x:c>
      <x:c r="M37" s="29" t="n">
        <x:f>'36月运营模型'!M$5</x:f>
        <x:v>46600</x:v>
      </x:c>
      <x:c r="N37" s="29" t="n">
        <x:f>'36月运营模型'!N$5</x:f>
        <x:v>46631</x:v>
      </x:c>
      <x:c r="O37" s="29" t="n">
        <x:f>'36月运营模型'!O$5</x:f>
        <x:v>46661</x:v>
      </x:c>
      <x:c r="P37" s="29" t="n">
        <x:f>'36月运营模型'!P$5</x:f>
        <x:v>46692</x:v>
      </x:c>
      <x:c r="Q37" s="29" t="n">
        <x:f>'36月运营模型'!Q$5</x:f>
        <x:v>46722</x:v>
      </x:c>
      <x:c r="R37" s="29" t="n">
        <x:f>'36月运营模型'!R$5</x:f>
        <x:v>46753</x:v>
      </x:c>
      <x:c r="S37" s="29" t="n">
        <x:f>'36月运营模型'!S$5</x:f>
        <x:v>46784</x:v>
      </x:c>
      <x:c r="T37" s="29" t="n">
        <x:f>'36月运营模型'!T$5</x:f>
        <x:v>46813</x:v>
      </x:c>
      <x:c r="U37" s="29" t="n">
        <x:f>'36月运营模型'!U$5</x:f>
        <x:v>46844</x:v>
      </x:c>
      <x:c r="V37" s="29" t="n">
        <x:f>'36月运营模型'!V$5</x:f>
        <x:v>46874</x:v>
      </x:c>
      <x:c r="W37" s="29" t="n">
        <x:f>'36月运营模型'!W$5</x:f>
        <x:v>46905</x:v>
      </x:c>
      <x:c r="X37" s="29" t="n">
        <x:f>'36月运营模型'!X$5</x:f>
        <x:v>46935</x:v>
      </x:c>
      <x:c r="Y37" s="29" t="n">
        <x:f>'36月运营模型'!Y$5</x:f>
        <x:v>46966</x:v>
      </x:c>
      <x:c r="Z37" s="29" t="n">
        <x:f>'36月运营模型'!Z$5</x:f>
        <x:v>46997</x:v>
      </x:c>
      <x:c r="AA37" s="29" t="n">
        <x:f>'36月运营模型'!AA$5</x:f>
        <x:v>47027</x:v>
      </x:c>
      <x:c r="AB37" s="29" t="n">
        <x:f>'36月运营模型'!AB$5</x:f>
        <x:v>47058</x:v>
      </x:c>
      <x:c r="AC37" s="29" t="n">
        <x:f>'36月运营模型'!AC$5</x:f>
        <x:v>47088</x:v>
      </x:c>
      <x:c r="AD37" s="29" t="n">
        <x:f>'36月运营模型'!AD$5</x:f>
        <x:v>47119</x:v>
      </x:c>
      <x:c r="AE37" s="29" t="n">
        <x:f>'36月运营模型'!AE$5</x:f>
        <x:v>47150</x:v>
      </x:c>
      <x:c r="AF37" s="29" t="n">
        <x:f>'36月运营模型'!AF$5</x:f>
        <x:v>47178</x:v>
      </x:c>
      <x:c r="AG37" s="29" t="n">
        <x:f>'36月运营模型'!AG$5</x:f>
        <x:v>47209</x:v>
      </x:c>
      <x:c r="AH37" s="29" t="n">
        <x:f>'36月运营模型'!AH$5</x:f>
        <x:v>47239</x:v>
      </x:c>
      <x:c r="AI37" s="29" t="n">
        <x:f>'36月运营模型'!AI$5</x:f>
        <x:v>47270</x:v>
      </x:c>
      <x:c r="AJ37" s="29" t="n">
        <x:f>'36月运营模型'!AJ$5</x:f>
        <x:v>47300</x:v>
      </x:c>
      <x:c r="AK37" s="29" t="n">
        <x:f>'36月运营模型'!AK$5</x:f>
        <x:v>47331</x:v>
      </x:c>
      <x:c r="AL37" s="101" t="n">
        <x:f>'36月运营模型'!AL$5</x:f>
        <x:v>47362</x:v>
      </x:c>
      <x:c r="AM37" s="101" t="n">
        <x:f>'36月运营模型'!AM$5</x:f>
        <x:v>47392</x:v>
      </x:c>
      <x:c r="AN37" s="101" t="n">
        <x:f>'36月运营模型'!AN$5</x:f>
        <x:v>47423</x:v>
      </x:c>
      <x:c r="AO37" s="101" t="n">
        <x:f>'36月运营模型'!AO$5</x:f>
        <x:v>47453</x:v>
      </x:c>
      <x:c r="AP37" s="101" t="n">
        <x:f>'36月运营模型'!AP$5</x:f>
        <x:v>47484</x:v>
      </x:c>
      <x:c r="AQ37" s="101" t="n">
        <x:f>'36月运营模型'!AQ$5</x:f>
        <x:v>47515</x:v>
      </x:c>
      <x:c r="AR37" s="101" t="n">
        <x:f>'36月运营模型'!AR$5</x:f>
        <x:v>47543</x:v>
      </x:c>
      <x:c r="AS37" s="101" t="n">
        <x:f>'36月运营模型'!AS$5</x:f>
        <x:v>47574</x:v>
      </x:c>
      <x:c r="AT37" s="101" t="n">
        <x:f>'36月运营模型'!AT$5</x:f>
        <x:v>47604</x:v>
      </x:c>
      <x:c r="AU37" s="101" t="n">
        <x:f>'36月运营模型'!AU$5</x:f>
        <x:v>47635</x:v>
      </x:c>
      <x:c r="AV37" s="101" t="n">
        <x:f>'36月运营模型'!AV$5</x:f>
        <x:v>47665</x:v>
      </x:c>
      <x:c r="AW37" s="101" t="n">
        <x:f>'36月运营模型'!AW$5</x:f>
        <x:v>47696</x:v>
      </x:c>
      <x:c r="AX37" s="101" t="n">
        <x:f>'36月运营模型'!AX$5</x:f>
        <x:v>47727</x:v>
      </x:c>
      <x:c r="AY37" s="101" t="n">
        <x:f>'36月运营模型'!AY$5</x:f>
        <x:v>47757</x:v>
      </x:c>
      <x:c r="AZ37" s="101" t="n">
        <x:f>'36月运营模型'!AZ$5</x:f>
        <x:v>47788</x:v>
      </x:c>
      <x:c r="BA37" s="101" t="n">
        <x:f>'36月运营模型'!BA$5</x:f>
        <x:v>47818</x:v>
      </x:c>
      <x:c r="BB37" s="101" t="n">
        <x:f>'36月运营模型'!BB$5</x:f>
        <x:v>47849</x:v>
      </x:c>
      <x:c r="BC37" s="101" t="n">
        <x:f>'36月运营模型'!BC$5</x:f>
        <x:v>47880</x:v>
      </x:c>
      <x:c r="BD37" s="101" t="n">
        <x:f>'36月运营模型'!BD$5</x:f>
        <x:v>47908</x:v>
      </x:c>
      <x:c r="BE37" s="101" t="n">
        <x:f>'36月运营模型'!BE$5</x:f>
        <x:v>47939</x:v>
      </x:c>
      <x:c r="BF37" s="101" t="n">
        <x:f>'36月运营模型'!BF$5</x:f>
        <x:v>47969</x:v>
      </x:c>
      <x:c r="BG37" s="101" t="n">
        <x:f>'36月运营模型'!BG$5</x:f>
        <x:v>48000</x:v>
      </x:c>
      <x:c r="BH37" s="101" t="n">
        <x:f>'36月运营模型'!BH$5</x:f>
        <x:v>48030</x:v>
      </x:c>
      <x:c r="BI37" s="101" t="n">
        <x:f>'36月运营模型'!BI$5</x:f>
        <x:v>48061</x:v>
      </x:c>
    </x:row>
    <x:row r="38">
      <x:c r="A38" t="str">
        <x:f>A5</x:f>
        <x:v>批次01</x:v>
      </x:c>
      <x:c r="B38" s="29" t="n">
        <x:f>IF(AND(B$37&gt;$F5,B$37&lt;=EDATE($F5,$G5)),$K5+IF(B$37=EDATE($F5,$G5),$J5,0),0)</x:f>
        <x:v>0</x:v>
      </x:c>
      <x:c r="C38" s="29" t="n">
        <x:f>IF(AND(C$37&gt;$F5,C$37&lt;=EDATE($F5,$G5)),$K5+IF(C$37=EDATE($F5,$G5),$J5,0),0)</x:f>
        <x:v>0</x:v>
      </x:c>
      <x:c r="D38" s="29" t="n">
        <x:f>IF(AND(D$37&gt;$F5,D$37&lt;=EDATE($F5,$G5)),$K5+IF(D$37=EDATE($F5,$G5),$J5,0),0)</x:f>
        <x:v>714813.6575423323</x:v>
      </x:c>
      <x:c r="E38" s="29" t="n">
        <x:f>IF(AND(E$37&gt;$F5,E$37&lt;=EDATE($F5,$G5)),$K5+IF(E$37=EDATE($F5,$G5),$J5,0),0)</x:f>
        <x:v>714813.6575423323</x:v>
      </x:c>
      <x:c r="F38" s="29" t="n">
        <x:f>IF(AND(F$37&gt;$F5,F$37&lt;=EDATE($F5,$G5)),$K5+IF(F$37=EDATE($F5,$G5),$J5,0),0)</x:f>
        <x:v>714813.6575423323</x:v>
      </x:c>
      <x:c r="G38" s="29" t="n">
        <x:f>IF(AND(G$37&gt;$F5,G$37&lt;=EDATE($F5,$G5)),$K5+IF(G$37=EDATE($F5,$G5),$J5,0),0)</x:f>
        <x:v>714813.6575423323</x:v>
      </x:c>
      <x:c r="H38" s="29" t="n">
        <x:f>IF(AND(H$37&gt;$F5,H$37&lt;=EDATE($F5,$G5)),$K5+IF(H$37=EDATE($F5,$G5),$J5,0),0)</x:f>
        <x:v>714813.6575423323</x:v>
      </x:c>
      <x:c r="I38" s="29" t="n">
        <x:f>IF(AND(I$37&gt;$F5,I$37&lt;=EDATE($F5,$G5)),$K5+IF(I$37=EDATE($F5,$G5),$J5,0),0)</x:f>
        <x:v>714813.6575423323</x:v>
      </x:c>
      <x:c r="J38" s="29" t="n">
        <x:f>IF(AND(J$37&gt;$F5,J$37&lt;=EDATE($F5,$G5)),$K5+IF(J$37=EDATE($F5,$G5),$J5,0),0)</x:f>
        <x:v>714813.6575423323</x:v>
      </x:c>
      <x:c r="K38" s="29" t="n">
        <x:f>IF(AND(K$37&gt;$F5,K$37&lt;=EDATE($F5,$G5)),$K5+IF(K$37=EDATE($F5,$G5),$J5,0),0)</x:f>
        <x:v>714813.6575423323</x:v>
      </x:c>
      <x:c r="L38" s="29" t="n">
        <x:f>IF(AND(L$37&gt;$F5,L$37&lt;=EDATE($F5,$G5)),$K5+IF(L$37=EDATE($F5,$G5),$J5,0),0)</x:f>
        <x:v>714813.6575423323</x:v>
      </x:c>
      <x:c r="M38" s="29" t="n">
        <x:f>IF(AND(M$37&gt;$F5,M$37&lt;=EDATE($F5,$G5)),$K5+IF(M$37=EDATE($F5,$G5),$J5,0),0)</x:f>
        <x:v>714813.6575423323</x:v>
      </x:c>
      <x:c r="N38" s="29" t="n">
        <x:f>IF(AND(N$37&gt;$F5,N$37&lt;=EDATE($F5,$G5)),$K5+IF(N$37=EDATE($F5,$G5),$J5,0),0)</x:f>
        <x:v>714813.6575423323</x:v>
      </x:c>
      <x:c r="O38" s="29" t="n">
        <x:f>IF(AND(O$37&gt;$F5,O$37&lt;=EDATE($F5,$G5)),$K5+IF(O$37=EDATE($F5,$G5),$J5,0),0)</x:f>
        <x:v>714813.6575423323</x:v>
      </x:c>
      <x:c r="P38" s="29" t="n">
        <x:f>IF(AND(P$37&gt;$F5,P$37&lt;=EDATE($F5,$G5)),$K5+IF(P$37=EDATE($F5,$G5),$J5,0),0)</x:f>
        <x:v>714813.6575423323</x:v>
      </x:c>
      <x:c r="Q38" s="29" t="n">
        <x:f>IF(AND(Q$37&gt;$F5,Q$37&lt;=EDATE($F5,$G5)),$K5+IF(Q$37=EDATE($F5,$G5),$J5,0),0)</x:f>
        <x:v>714813.6575423323</x:v>
      </x:c>
      <x:c r="R38" s="29" t="n">
        <x:f>IF(AND(R$37&gt;$F5,R$37&lt;=EDATE($F5,$G5)),$K5+IF(R$37=EDATE($F5,$G5),$J5,0),0)</x:f>
        <x:v>714813.6575423323</x:v>
      </x:c>
      <x:c r="S38" s="29" t="n">
        <x:f>IF(AND(S$37&gt;$F5,S$37&lt;=EDATE($F5,$G5)),$K5+IF(S$37=EDATE($F5,$G5),$J5,0),0)</x:f>
        <x:v>714813.6575423323</x:v>
      </x:c>
      <x:c r="T38" s="29" t="n">
        <x:f>IF(AND(T$37&gt;$F5,T$37&lt;=EDATE($F5,$G5)),$K5+IF(T$37=EDATE($F5,$G5),$J5,0),0)</x:f>
        <x:v>714813.6575423323</x:v>
      </x:c>
      <x:c r="U38" s="29" t="n">
        <x:f>IF(AND(U$37&gt;$F5,U$37&lt;=EDATE($F5,$G5)),$K5+IF(U$37=EDATE($F5,$G5),$J5,0),0)</x:f>
        <x:v>714813.6575423323</x:v>
      </x:c>
      <x:c r="V38" s="29" t="n">
        <x:f>IF(AND(V$37&gt;$F5,V$37&lt;=EDATE($F5,$G5)),$K5+IF(V$37=EDATE($F5,$G5),$J5,0),0)</x:f>
        <x:v>714813.6575423323</x:v>
      </x:c>
      <x:c r="W38" s="29" t="n">
        <x:f>IF(AND(W$37&gt;$F5,W$37&lt;=EDATE($F5,$G5)),$K5+IF(W$37=EDATE($F5,$G5),$J5,0),0)</x:f>
        <x:v>714813.6575423323</x:v>
      </x:c>
      <x:c r="X38" s="29" t="n">
        <x:f>IF(AND(X$37&gt;$F5,X$37&lt;=EDATE($F5,$G5)),$K5+IF(X$37=EDATE($F5,$G5),$J5,0),0)</x:f>
        <x:v>714813.6575423323</x:v>
      </x:c>
      <x:c r="Y38" s="29" t="n">
        <x:f>IF(AND(Y$37&gt;$F5,Y$37&lt;=EDATE($F5,$G5)),$K5+IF(Y$37=EDATE($F5,$G5),$J5,0),0)</x:f>
        <x:v>714813.6575423323</x:v>
      </x:c>
      <x:c r="Z38" s="29" t="n">
        <x:f>IF(AND(Z$37&gt;$F5,Z$37&lt;=EDATE($F5,$G5)),$K5+IF(Z$37=EDATE($F5,$G5),$J5,0),0)</x:f>
        <x:v>714813.6575423323</x:v>
      </x:c>
      <x:c r="AA38" s="29" t="n">
        <x:f>IF(AND(AA$37&gt;$F5,AA$37&lt;=EDATE($F5,$G5)),$K5+IF(AA$37=EDATE($F5,$G5),$J5,0),0)</x:f>
        <x:v>714813.6575423323</x:v>
      </x:c>
      <x:c r="AB38" s="29" t="n">
        <x:f>IF(AND(AB$37&gt;$F5,AB$37&lt;=EDATE($F5,$G5)),$K5+IF(AB$37=EDATE($F5,$G5),$J5,0),0)</x:f>
        <x:v>714813.6575423323</x:v>
      </x:c>
      <x:c r="AC38" s="29" t="n">
        <x:f>IF(AND(AC$37&gt;$F5,AC$37&lt;=EDATE($F5,$G5)),$K5+IF(AC$37=EDATE($F5,$G5),$J5,0),0)</x:f>
        <x:v>714813.6575423323</x:v>
      </x:c>
      <x:c r="AD38" s="29" t="n">
        <x:f>IF(AND(AD$37&gt;$F5,AD$37&lt;=EDATE($F5,$G5)),$K5+IF(AD$37=EDATE($F5,$G5),$J5,0),0)</x:f>
        <x:v>714813.6575423323</x:v>
      </x:c>
      <x:c r="AE38" s="29" t="n">
        <x:f>IF(AND(AE$37&gt;$F5,AE$37&lt;=EDATE($F5,$G5)),$K5+IF(AE$37=EDATE($F5,$G5),$J5,0),0)</x:f>
        <x:v>714813.6575423323</x:v>
      </x:c>
      <x:c r="AF38" s="29" t="n">
        <x:f>IF(AND(AF$37&gt;$F5,AF$37&lt;=EDATE($F5,$G5)),$K5+IF(AF$37=EDATE($F5,$G5),$J5,0),0)</x:f>
        <x:v>714813.6575423323</x:v>
      </x:c>
      <x:c r="AG38" s="29" t="n">
        <x:f>IF(AND(AG$37&gt;$F5,AG$37&lt;=EDATE($F5,$G5)),$K5+IF(AG$37=EDATE($F5,$G5),$J5,0),0)</x:f>
        <x:v>714813.6575423323</x:v>
      </x:c>
      <x:c r="AH38" s="29" t="n">
        <x:f>IF(AND(AH$37&gt;$F5,AH$37&lt;=EDATE($F5,$G5)),$K5+IF(AH$37=EDATE($F5,$G5),$J5,0),0)</x:f>
        <x:v>714813.6575423323</x:v>
      </x:c>
      <x:c r="AI38" s="29" t="n">
        <x:f>IF(AND(AI$37&gt;$F5,AI$37&lt;=EDATE($F5,$G5)),$K5+IF(AI$37=EDATE($F5,$G5),$J5,0),0)</x:f>
        <x:v>714813.6575423323</x:v>
      </x:c>
      <x:c r="AJ38" s="29" t="n">
        <x:f>IF(AND(AJ$37&gt;$F5,AJ$37&lt;=EDATE($F5,$G5)),$K5+IF(AJ$37=EDATE($F5,$G5),$J5,0),0)</x:f>
        <x:v>714813.6575423323</x:v>
      </x:c>
      <x:c r="AK38" s="29" t="n">
        <x:f>IF(AND(AK$37&gt;$F5,AK$37&lt;=EDATE($F5,$G5)),$K5+IF(AK$37=EDATE($F5,$G5),$J5,0),0)</x:f>
        <x:v>714813.6575423323</x:v>
      </x:c>
      <x:c r="AL38" s="101" t="n">
        <x:f>IF(AND(AL$37&gt;$F5,AL$37&lt;=EDATE($F5,$G5)),$K5+IF(AL$37=EDATE($F5,$G5),$J5,0),0)</x:f>
        <x:v>714813.6575423323</x:v>
      </x:c>
      <x:c r="AM38" s="101" t="n">
        <x:f>IF(AND(AM$37&gt;$F5,AM$37&lt;=EDATE($F5,$G5)),$K5+IF(AM$37=EDATE($F5,$G5),$J5,0),0)</x:f>
        <x:v>944733.6575423323</x:v>
      </x:c>
      <x:c r="AN38" s="101" t="n">
        <x:f>IF(AND(AN$37&gt;$F5,AN$37&lt;=EDATE($F5,$G5)),$K5+IF(AN$37=EDATE($F5,$G5),$J5,0),0)</x:f>
        <x:v>0</x:v>
      </x:c>
      <x:c r="AO38" s="101" t="n">
        <x:f>IF(AND(AO$37&gt;$F5,AO$37&lt;=EDATE($F5,$G5)),$K5+IF(AO$37=EDATE($F5,$G5),$J5,0),0)</x:f>
        <x:v>0</x:v>
      </x:c>
      <x:c r="AP38" s="101" t="n">
        <x:f>IF(AND(AP$37&gt;$F5,AP$37&lt;=EDATE($F5,$G5)),$K5+IF(AP$37=EDATE($F5,$G5),$J5,0),0)</x:f>
        <x:v>0</x:v>
      </x:c>
      <x:c r="AQ38" s="101" t="n">
        <x:f>IF(AND(AQ$37&gt;$F5,AQ$37&lt;=EDATE($F5,$G5)),$K5+IF(AQ$37=EDATE($F5,$G5),$J5,0),0)</x:f>
        <x:v>0</x:v>
      </x:c>
      <x:c r="AR38" s="101" t="n">
        <x:f>IF(AND(AR$37&gt;$F5,AR$37&lt;=EDATE($F5,$G5)),$K5+IF(AR$37=EDATE($F5,$G5),$J5,0),0)</x:f>
        <x:v>0</x:v>
      </x:c>
      <x:c r="AS38" s="101" t="n">
        <x:f>IF(AND(AS$37&gt;$F5,AS$37&lt;=EDATE($F5,$G5)),$K5+IF(AS$37=EDATE($F5,$G5),$J5,0),0)</x:f>
        <x:v>0</x:v>
      </x:c>
      <x:c r="AT38" s="101" t="n">
        <x:f>IF(AND(AT$37&gt;$F5,AT$37&lt;=EDATE($F5,$G5)),$K5+IF(AT$37=EDATE($F5,$G5),$J5,0),0)</x:f>
        <x:v>0</x:v>
      </x:c>
      <x:c r="AU38" s="101" t="n">
        <x:f>IF(AND(AU$37&gt;$F5,AU$37&lt;=EDATE($F5,$G5)),$K5+IF(AU$37=EDATE($F5,$G5),$J5,0),0)</x:f>
        <x:v>0</x:v>
      </x:c>
      <x:c r="AV38" s="101" t="n">
        <x:f>IF(AND(AV$37&gt;$F5,AV$37&lt;=EDATE($F5,$G5)),$K5+IF(AV$37=EDATE($F5,$G5),$J5,0),0)</x:f>
        <x:v>0</x:v>
      </x:c>
      <x:c r="AW38" s="101" t="n">
        <x:f>IF(AND(AW$37&gt;$F5,AW$37&lt;=EDATE($F5,$G5)),$K5+IF(AW$37=EDATE($F5,$G5),$J5,0),0)</x:f>
        <x:v>0</x:v>
      </x:c>
      <x:c r="AX38" s="101" t="n">
        <x:f>IF(AND(AX$37&gt;$F5,AX$37&lt;=EDATE($F5,$G5)),$K5+IF(AX$37=EDATE($F5,$G5),$J5,0),0)</x:f>
        <x:v>0</x:v>
      </x:c>
      <x:c r="AY38" s="101" t="n">
        <x:f>IF(AND(AY$37&gt;$F5,AY$37&lt;=EDATE($F5,$G5)),$K5+IF(AY$37=EDATE($F5,$G5),$J5,0),0)</x:f>
        <x:v>0</x:v>
      </x:c>
      <x:c r="AZ38" s="101" t="n">
        <x:f>IF(AND(AZ$37&gt;$F5,AZ$37&lt;=EDATE($F5,$G5)),$K5+IF(AZ$37=EDATE($F5,$G5),$J5,0),0)</x:f>
        <x:v>0</x:v>
      </x:c>
      <x:c r="BA38" s="101" t="n">
        <x:f>IF(AND(BA$37&gt;$F5,BA$37&lt;=EDATE($F5,$G5)),$K5+IF(BA$37=EDATE($F5,$G5),$J5,0),0)</x:f>
        <x:v>0</x:v>
      </x:c>
      <x:c r="BB38" s="101" t="n">
        <x:f>IF(AND(BB$37&gt;$F5,BB$37&lt;=EDATE($F5,$G5)),$K5+IF(BB$37=EDATE($F5,$G5),$J5,0),0)</x:f>
        <x:v>0</x:v>
      </x:c>
      <x:c r="BC38" s="101" t="n">
        <x:f>IF(AND(BC$37&gt;$F5,BC$37&lt;=EDATE($F5,$G5)),$K5+IF(BC$37=EDATE($F5,$G5),$J5,0),0)</x:f>
        <x:v>0</x:v>
      </x:c>
      <x:c r="BD38" s="101" t="n">
        <x:f>IF(AND(BD$37&gt;$F5,BD$37&lt;=EDATE($F5,$G5)),$K5+IF(BD$37=EDATE($F5,$G5),$J5,0),0)</x:f>
        <x:v>0</x:v>
      </x:c>
      <x:c r="BE38" s="101" t="n">
        <x:f>IF(AND(BE$37&gt;$F5,BE$37&lt;=EDATE($F5,$G5)),$K5+IF(BE$37=EDATE($F5,$G5),$J5,0),0)</x:f>
        <x:v>0</x:v>
      </x:c>
      <x:c r="BF38" s="101" t="n">
        <x:f>IF(AND(BF$37&gt;$F5,BF$37&lt;=EDATE($F5,$G5)),$K5+IF(BF$37=EDATE($F5,$G5),$J5,0),0)</x:f>
        <x:v>0</x:v>
      </x:c>
      <x:c r="BG38" s="101" t="n">
        <x:f>IF(AND(BG$37&gt;$F5,BG$37&lt;=EDATE($F5,$G5)),$K5+IF(BG$37=EDATE($F5,$G5),$J5,0),0)</x:f>
        <x:v>0</x:v>
      </x:c>
      <x:c r="BH38" s="101" t="n">
        <x:f>IF(AND(BH$37&gt;$F5,BH$37&lt;=EDATE($F5,$G5)),$K5+IF(BH$37=EDATE($F5,$G5),$J5,0),0)</x:f>
        <x:v>0</x:v>
      </x:c>
      <x:c r="BI38" s="101" t="n">
        <x:f>IF(AND(BI$37&gt;$F5,BI$37&lt;=EDATE($F5,$G5)),$K5+IF(BI$37=EDATE($F5,$G5),$J5,0),0)</x:f>
        <x:v>0</x:v>
      </x:c>
    </x:row>
    <x:row r="39">
      <x:c r="A39" t="str">
        <x:f>A6</x:f>
        <x:v>批次02</x:v>
      </x:c>
      <x:c r="B39" s="29" t="n">
        <x:f>IF(AND(B$37&gt;$F6,B$37&lt;=EDATE($F6,$G6)),$K6+IF(B$37=EDATE($F6,$G6),$J6,0),0)</x:f>
        <x:v>0</x:v>
      </x:c>
      <x:c r="C39" s="29" t="n">
        <x:f>IF(AND(C$37&gt;$F6,C$37&lt;=EDATE($F6,$G6)),$K6+IF(C$37=EDATE($F6,$G6),$J6,0),0)</x:f>
        <x:v>0</x:v>
      </x:c>
      <x:c r="D39" s="29" t="n">
        <x:f>IF(AND(D$37&gt;$F6,D$37&lt;=EDATE($F6,$G6)),$K6+IF(D$37=EDATE($F6,$G6),$J6,0),0)</x:f>
        <x:v>0</x:v>
      </x:c>
      <x:c r="E39" s="29" t="n">
        <x:f>IF(AND(E$37&gt;$F6,E$37&lt;=EDATE($F6,$G6)),$K6+IF(E$37=EDATE($F6,$G6),$J6,0),0)</x:f>
        <x:v>857048.8908085193</x:v>
      </x:c>
      <x:c r="F39" s="29" t="n">
        <x:f>IF(AND(F$37&gt;$F6,F$37&lt;=EDATE($F6,$G6)),$K6+IF(F$37=EDATE($F6,$G6),$J6,0),0)</x:f>
        <x:v>857048.8908085193</x:v>
      </x:c>
      <x:c r="G39" s="29" t="n">
        <x:f>IF(AND(G$37&gt;$F6,G$37&lt;=EDATE($F6,$G6)),$K6+IF(G$37=EDATE($F6,$G6),$J6,0),0)</x:f>
        <x:v>857048.8908085193</x:v>
      </x:c>
      <x:c r="H39" s="29" t="n">
        <x:f>IF(AND(H$37&gt;$F6,H$37&lt;=EDATE($F6,$G6)),$K6+IF(H$37=EDATE($F6,$G6),$J6,0),0)</x:f>
        <x:v>857048.8908085193</x:v>
      </x:c>
      <x:c r="I39" s="29" t="n">
        <x:f>IF(AND(I$37&gt;$F6,I$37&lt;=EDATE($F6,$G6)),$K6+IF(I$37=EDATE($F6,$G6),$J6,0),0)</x:f>
        <x:v>857048.8908085193</x:v>
      </x:c>
      <x:c r="J39" s="29" t="n">
        <x:f>IF(AND(J$37&gt;$F6,J$37&lt;=EDATE($F6,$G6)),$K6+IF(J$37=EDATE($F6,$G6),$J6,0),0)</x:f>
        <x:v>857048.8908085193</x:v>
      </x:c>
      <x:c r="K39" s="29" t="n">
        <x:f>IF(AND(K$37&gt;$F6,K$37&lt;=EDATE($F6,$G6)),$K6+IF(K$37=EDATE($F6,$G6),$J6,0),0)</x:f>
        <x:v>857048.8908085193</x:v>
      </x:c>
      <x:c r="L39" s="29" t="n">
        <x:f>IF(AND(L$37&gt;$F6,L$37&lt;=EDATE($F6,$G6)),$K6+IF(L$37=EDATE($F6,$G6),$J6,0),0)</x:f>
        <x:v>857048.8908085193</x:v>
      </x:c>
      <x:c r="M39" s="29" t="n">
        <x:f>IF(AND(M$37&gt;$F6,M$37&lt;=EDATE($F6,$G6)),$K6+IF(M$37=EDATE($F6,$G6),$J6,0),0)</x:f>
        <x:v>857048.8908085193</x:v>
      </x:c>
      <x:c r="N39" s="29" t="n">
        <x:f>IF(AND(N$37&gt;$F6,N$37&lt;=EDATE($F6,$G6)),$K6+IF(N$37=EDATE($F6,$G6),$J6,0),0)</x:f>
        <x:v>857048.8908085193</x:v>
      </x:c>
      <x:c r="O39" s="29" t="n">
        <x:f>IF(AND(O$37&gt;$F6,O$37&lt;=EDATE($F6,$G6)),$K6+IF(O$37=EDATE($F6,$G6),$J6,0),0)</x:f>
        <x:v>857048.8908085193</x:v>
      </x:c>
      <x:c r="P39" s="29" t="n">
        <x:f>IF(AND(P$37&gt;$F6,P$37&lt;=EDATE($F6,$G6)),$K6+IF(P$37=EDATE($F6,$G6),$J6,0),0)</x:f>
        <x:v>857048.8908085193</x:v>
      </x:c>
      <x:c r="Q39" s="29" t="n">
        <x:f>IF(AND(Q$37&gt;$F6,Q$37&lt;=EDATE($F6,$G6)),$K6+IF(Q$37=EDATE($F6,$G6),$J6,0),0)</x:f>
        <x:v>857048.8908085193</x:v>
      </x:c>
      <x:c r="R39" s="29" t="n">
        <x:f>IF(AND(R$37&gt;$F6,R$37&lt;=EDATE($F6,$G6)),$K6+IF(R$37=EDATE($F6,$G6),$J6,0),0)</x:f>
        <x:v>857048.8908085193</x:v>
      </x:c>
      <x:c r="S39" s="29" t="n">
        <x:f>IF(AND(S$37&gt;$F6,S$37&lt;=EDATE($F6,$G6)),$K6+IF(S$37=EDATE($F6,$G6),$J6,0),0)</x:f>
        <x:v>857048.8908085193</x:v>
      </x:c>
      <x:c r="T39" s="29" t="n">
        <x:f>IF(AND(T$37&gt;$F6,T$37&lt;=EDATE($F6,$G6)),$K6+IF(T$37=EDATE($F6,$G6),$J6,0),0)</x:f>
        <x:v>857048.8908085193</x:v>
      </x:c>
      <x:c r="U39" s="29" t="n">
        <x:f>IF(AND(U$37&gt;$F6,U$37&lt;=EDATE($F6,$G6)),$K6+IF(U$37=EDATE($F6,$G6),$J6,0),0)</x:f>
        <x:v>857048.8908085193</x:v>
      </x:c>
      <x:c r="V39" s="29" t="n">
        <x:f>IF(AND(V$37&gt;$F6,V$37&lt;=EDATE($F6,$G6)),$K6+IF(V$37=EDATE($F6,$G6),$J6,0),0)</x:f>
        <x:v>857048.8908085193</x:v>
      </x:c>
      <x:c r="W39" s="29" t="n">
        <x:f>IF(AND(W$37&gt;$F6,W$37&lt;=EDATE($F6,$G6)),$K6+IF(W$37=EDATE($F6,$G6),$J6,0),0)</x:f>
        <x:v>857048.8908085193</x:v>
      </x:c>
      <x:c r="X39" s="29" t="n">
        <x:f>IF(AND(X$37&gt;$F6,X$37&lt;=EDATE($F6,$G6)),$K6+IF(X$37=EDATE($F6,$G6),$J6,0),0)</x:f>
        <x:v>857048.8908085193</x:v>
      </x:c>
      <x:c r="Y39" s="29" t="n">
        <x:f>IF(AND(Y$37&gt;$F6,Y$37&lt;=EDATE($F6,$G6)),$K6+IF(Y$37=EDATE($F6,$G6),$J6,0),0)</x:f>
        <x:v>857048.8908085193</x:v>
      </x:c>
      <x:c r="Z39" s="29" t="n">
        <x:f>IF(AND(Z$37&gt;$F6,Z$37&lt;=EDATE($F6,$G6)),$K6+IF(Z$37=EDATE($F6,$G6),$J6,0),0)</x:f>
        <x:v>857048.8908085193</x:v>
      </x:c>
      <x:c r="AA39" s="29" t="n">
        <x:f>IF(AND(AA$37&gt;$F6,AA$37&lt;=EDATE($F6,$G6)),$K6+IF(AA$37=EDATE($F6,$G6),$J6,0),0)</x:f>
        <x:v>857048.8908085193</x:v>
      </x:c>
      <x:c r="AB39" s="29" t="n">
        <x:f>IF(AND(AB$37&gt;$F6,AB$37&lt;=EDATE($F6,$G6)),$K6+IF(AB$37=EDATE($F6,$G6),$J6,0),0)</x:f>
        <x:v>857048.8908085193</x:v>
      </x:c>
      <x:c r="AC39" s="29" t="n">
        <x:f>IF(AND(AC$37&gt;$F6,AC$37&lt;=EDATE($F6,$G6)),$K6+IF(AC$37=EDATE($F6,$G6),$J6,0),0)</x:f>
        <x:v>857048.8908085193</x:v>
      </x:c>
      <x:c r="AD39" s="29" t="n">
        <x:f>IF(AND(AD$37&gt;$F6,AD$37&lt;=EDATE($F6,$G6)),$K6+IF(AD$37=EDATE($F6,$G6),$J6,0),0)</x:f>
        <x:v>857048.8908085193</x:v>
      </x:c>
      <x:c r="AE39" s="29" t="n">
        <x:f>IF(AND(AE$37&gt;$F6,AE$37&lt;=EDATE($F6,$G6)),$K6+IF(AE$37=EDATE($F6,$G6),$J6,0),0)</x:f>
        <x:v>857048.8908085193</x:v>
      </x:c>
      <x:c r="AF39" s="29" t="n">
        <x:f>IF(AND(AF$37&gt;$F6,AF$37&lt;=EDATE($F6,$G6)),$K6+IF(AF$37=EDATE($F6,$G6),$J6,0),0)</x:f>
        <x:v>857048.8908085193</x:v>
      </x:c>
      <x:c r="AG39" s="29" t="n">
        <x:f>IF(AND(AG$37&gt;$F6,AG$37&lt;=EDATE($F6,$G6)),$K6+IF(AG$37=EDATE($F6,$G6),$J6,0),0)</x:f>
        <x:v>857048.8908085193</x:v>
      </x:c>
      <x:c r="AH39" s="29" t="n">
        <x:f>IF(AND(AH$37&gt;$F6,AH$37&lt;=EDATE($F6,$G6)),$K6+IF(AH$37=EDATE($F6,$G6),$J6,0),0)</x:f>
        <x:v>857048.8908085193</x:v>
      </x:c>
      <x:c r="AI39" s="29" t="n">
        <x:f>IF(AND(AI$37&gt;$F6,AI$37&lt;=EDATE($F6,$G6)),$K6+IF(AI$37=EDATE($F6,$G6),$J6,0),0)</x:f>
        <x:v>857048.8908085193</x:v>
      </x:c>
      <x:c r="AJ39" s="29" t="n">
        <x:f>IF(AND(AJ$37&gt;$F6,AJ$37&lt;=EDATE($F6,$G6)),$K6+IF(AJ$37=EDATE($F6,$G6),$J6,0),0)</x:f>
        <x:v>857048.8908085193</x:v>
      </x:c>
      <x:c r="AK39" s="29" t="n">
        <x:f>IF(AND(AK$37&gt;$F6,AK$37&lt;=EDATE($F6,$G6)),$K6+IF(AK$37=EDATE($F6,$G6),$J6,0),0)</x:f>
        <x:v>857048.8908085193</x:v>
      </x:c>
      <x:c r="AL39" s="101" t="n">
        <x:f>IF(AND(AL$37&gt;$F6,AL$37&lt;=EDATE($F6,$G6)),$K6+IF(AL$37=EDATE($F6,$G6),$J6,0),0)</x:f>
        <x:v>857048.8908085193</x:v>
      </x:c>
      <x:c r="AM39" s="101" t="n">
        <x:f>IF(AND(AM$37&gt;$F6,AM$37&lt;=EDATE($F6,$G6)),$K6+IF(AM$37=EDATE($F6,$G6),$J6,0),0)</x:f>
        <x:v>857048.8908085193</x:v>
      </x:c>
      <x:c r="AN39" s="101" t="n">
        <x:f>IF(AND(AN$37&gt;$F6,AN$37&lt;=EDATE($F6,$G6)),$K6+IF(AN$37=EDATE($F6,$G6),$J6,0),0)</x:f>
        <x:v>1132718.8908085194</x:v>
      </x:c>
      <x:c r="AO39" s="101" t="n">
        <x:f>IF(AND(AO$37&gt;$F6,AO$37&lt;=EDATE($F6,$G6)),$K6+IF(AO$37=EDATE($F6,$G6),$J6,0),0)</x:f>
        <x:v>0</x:v>
      </x:c>
      <x:c r="AP39" s="101" t="n">
        <x:f>IF(AND(AP$37&gt;$F6,AP$37&lt;=EDATE($F6,$G6)),$K6+IF(AP$37=EDATE($F6,$G6),$J6,0),0)</x:f>
        <x:v>0</x:v>
      </x:c>
      <x:c r="AQ39" s="101" t="n">
        <x:f>IF(AND(AQ$37&gt;$F6,AQ$37&lt;=EDATE($F6,$G6)),$K6+IF(AQ$37=EDATE($F6,$G6),$J6,0),0)</x:f>
        <x:v>0</x:v>
      </x:c>
      <x:c r="AR39" s="101" t="n">
        <x:f>IF(AND(AR$37&gt;$F6,AR$37&lt;=EDATE($F6,$G6)),$K6+IF(AR$37=EDATE($F6,$G6),$J6,0),0)</x:f>
        <x:v>0</x:v>
      </x:c>
      <x:c r="AS39" s="101" t="n">
        <x:f>IF(AND(AS$37&gt;$F6,AS$37&lt;=EDATE($F6,$G6)),$K6+IF(AS$37=EDATE($F6,$G6),$J6,0),0)</x:f>
        <x:v>0</x:v>
      </x:c>
      <x:c r="AT39" s="101" t="n">
        <x:f>IF(AND(AT$37&gt;$F6,AT$37&lt;=EDATE($F6,$G6)),$K6+IF(AT$37=EDATE($F6,$G6),$J6,0),0)</x:f>
        <x:v>0</x:v>
      </x:c>
      <x:c r="AU39" s="101" t="n">
        <x:f>IF(AND(AU$37&gt;$F6,AU$37&lt;=EDATE($F6,$G6)),$K6+IF(AU$37=EDATE($F6,$G6),$J6,0),0)</x:f>
        <x:v>0</x:v>
      </x:c>
      <x:c r="AV39" s="101" t="n">
        <x:f>IF(AND(AV$37&gt;$F6,AV$37&lt;=EDATE($F6,$G6)),$K6+IF(AV$37=EDATE($F6,$G6),$J6,0),0)</x:f>
        <x:v>0</x:v>
      </x:c>
      <x:c r="AW39" s="101" t="n">
        <x:f>IF(AND(AW$37&gt;$F6,AW$37&lt;=EDATE($F6,$G6)),$K6+IF(AW$37=EDATE($F6,$G6),$J6,0),0)</x:f>
        <x:v>0</x:v>
      </x:c>
      <x:c r="AX39" s="101" t="n">
        <x:f>IF(AND(AX$37&gt;$F6,AX$37&lt;=EDATE($F6,$G6)),$K6+IF(AX$37=EDATE($F6,$G6),$J6,0),0)</x:f>
        <x:v>0</x:v>
      </x:c>
      <x:c r="AY39" s="101" t="n">
        <x:f>IF(AND(AY$37&gt;$F6,AY$37&lt;=EDATE($F6,$G6)),$K6+IF(AY$37=EDATE($F6,$G6),$J6,0),0)</x:f>
        <x:v>0</x:v>
      </x:c>
      <x:c r="AZ39" s="101" t="n">
        <x:f>IF(AND(AZ$37&gt;$F6,AZ$37&lt;=EDATE($F6,$G6)),$K6+IF(AZ$37=EDATE($F6,$G6),$J6,0),0)</x:f>
        <x:v>0</x:v>
      </x:c>
      <x:c r="BA39" s="101" t="n">
        <x:f>IF(AND(BA$37&gt;$F6,BA$37&lt;=EDATE($F6,$G6)),$K6+IF(BA$37=EDATE($F6,$G6),$J6,0),0)</x:f>
        <x:v>0</x:v>
      </x:c>
      <x:c r="BB39" s="101" t="n">
        <x:f>IF(AND(BB$37&gt;$F6,BB$37&lt;=EDATE($F6,$G6)),$K6+IF(BB$37=EDATE($F6,$G6),$J6,0),0)</x:f>
        <x:v>0</x:v>
      </x:c>
      <x:c r="BC39" s="101" t="n">
        <x:f>IF(AND(BC$37&gt;$F6,BC$37&lt;=EDATE($F6,$G6)),$K6+IF(BC$37=EDATE($F6,$G6),$J6,0),0)</x:f>
        <x:v>0</x:v>
      </x:c>
      <x:c r="BD39" s="101" t="n">
        <x:f>IF(AND(BD$37&gt;$F6,BD$37&lt;=EDATE($F6,$G6)),$K6+IF(BD$37=EDATE($F6,$G6),$J6,0),0)</x:f>
        <x:v>0</x:v>
      </x:c>
      <x:c r="BE39" s="101" t="n">
        <x:f>IF(AND(BE$37&gt;$F6,BE$37&lt;=EDATE($F6,$G6)),$K6+IF(BE$37=EDATE($F6,$G6),$J6,0),0)</x:f>
        <x:v>0</x:v>
      </x:c>
      <x:c r="BF39" s="101" t="n">
        <x:f>IF(AND(BF$37&gt;$F6,BF$37&lt;=EDATE($F6,$G6)),$K6+IF(BF$37=EDATE($F6,$G6),$J6,0),0)</x:f>
        <x:v>0</x:v>
      </x:c>
      <x:c r="BG39" s="101" t="n">
        <x:f>IF(AND(BG$37&gt;$F6,BG$37&lt;=EDATE($F6,$G6)),$K6+IF(BG$37=EDATE($F6,$G6),$J6,0),0)</x:f>
        <x:v>0</x:v>
      </x:c>
      <x:c r="BH39" s="101" t="n">
        <x:f>IF(AND(BH$37&gt;$F6,BH$37&lt;=EDATE($F6,$G6)),$K6+IF(BH$37=EDATE($F6,$G6),$J6,0),0)</x:f>
        <x:v>0</x:v>
      </x:c>
      <x:c r="BI39" s="101" t="n">
        <x:f>IF(AND(BI$37&gt;$F6,BI$37&lt;=EDATE($F6,$G6)),$K6+IF(BI$37=EDATE($F6,$G6),$J6,0),0)</x:f>
        <x:v>0</x:v>
      </x:c>
    </x:row>
    <x:row r="40">
      <x:c r="A40" t="str">
        <x:f>A7</x:f>
        <x:v>批次03</x:v>
      </x:c>
      <x:c r="B40" s="29" t="n">
        <x:f>IF(AND(B$37&gt;$F7,B$37&lt;=EDATE($F7,$G7)),$K7+IF(B$37=EDATE($F7,$G7),$J7,0),0)</x:f>
        <x:v>0</x:v>
      </x:c>
      <x:c r="C40" s="29" t="n">
        <x:f>IF(AND(C$37&gt;$F7,C$37&lt;=EDATE($F7,$G7)),$K7+IF(C$37=EDATE($F7,$G7),$J7,0),0)</x:f>
        <x:v>0</x:v>
      </x:c>
      <x:c r="D40" s="29" t="n">
        <x:f>IF(AND(D$37&gt;$F7,D$37&lt;=EDATE($F7,$G7)),$K7+IF(D$37=EDATE($F7,$G7),$J7,0),0)</x:f>
        <x:v>0</x:v>
      </x:c>
      <x:c r="E40" s="29" t="n">
        <x:f>IF(AND(E$37&gt;$F7,E$37&lt;=EDATE($F7,$G7)),$K7+IF(E$37=EDATE($F7,$G7),$J7,0),0)</x:f>
        <x:v>0</x:v>
      </x:c>
      <x:c r="F40" s="29" t="n">
        <x:f>IF(AND(F$37&gt;$F7,F$37&lt;=EDATE($F7,$G7)),$K7+IF(F$37=EDATE($F7,$G7),$J7,0),0)</x:f>
        <x:v>998071.6270042404</x:v>
      </x:c>
      <x:c r="G40" s="29" t="n">
        <x:f>IF(AND(G$37&gt;$F7,G$37&lt;=EDATE($F7,$G7)),$K7+IF(G$37=EDATE($F7,$G7),$J7,0),0)</x:f>
        <x:v>998071.6270042404</x:v>
      </x:c>
      <x:c r="H40" s="29" t="n">
        <x:f>IF(AND(H$37&gt;$F7,H$37&lt;=EDATE($F7,$G7)),$K7+IF(H$37=EDATE($F7,$G7),$J7,0),0)</x:f>
        <x:v>998071.6270042404</x:v>
      </x:c>
      <x:c r="I40" s="29" t="n">
        <x:f>IF(AND(I$37&gt;$F7,I$37&lt;=EDATE($F7,$G7)),$K7+IF(I$37=EDATE($F7,$G7),$J7,0),0)</x:f>
        <x:v>998071.6270042404</x:v>
      </x:c>
      <x:c r="J40" s="29" t="n">
        <x:f>IF(AND(J$37&gt;$F7,J$37&lt;=EDATE($F7,$G7)),$K7+IF(J$37=EDATE($F7,$G7),$J7,0),0)</x:f>
        <x:v>998071.6270042404</x:v>
      </x:c>
      <x:c r="K40" s="29" t="n">
        <x:f>IF(AND(K$37&gt;$F7,K$37&lt;=EDATE($F7,$G7)),$K7+IF(K$37=EDATE($F7,$G7),$J7,0),0)</x:f>
        <x:v>998071.6270042404</x:v>
      </x:c>
      <x:c r="L40" s="29" t="n">
        <x:f>IF(AND(L$37&gt;$F7,L$37&lt;=EDATE($F7,$G7)),$K7+IF(L$37=EDATE($F7,$G7),$J7,0),0)</x:f>
        <x:v>998071.6270042404</x:v>
      </x:c>
      <x:c r="M40" s="29" t="n">
        <x:f>IF(AND(M$37&gt;$F7,M$37&lt;=EDATE($F7,$G7)),$K7+IF(M$37=EDATE($F7,$G7),$J7,0),0)</x:f>
        <x:v>998071.6270042404</x:v>
      </x:c>
      <x:c r="N40" s="29" t="n">
        <x:f>IF(AND(N$37&gt;$F7,N$37&lt;=EDATE($F7,$G7)),$K7+IF(N$37=EDATE($F7,$G7),$J7,0),0)</x:f>
        <x:v>998071.6270042404</x:v>
      </x:c>
      <x:c r="O40" s="29" t="n">
        <x:f>IF(AND(O$37&gt;$F7,O$37&lt;=EDATE($F7,$G7)),$K7+IF(O$37=EDATE($F7,$G7),$J7,0),0)</x:f>
        <x:v>998071.6270042404</x:v>
      </x:c>
      <x:c r="P40" s="29" t="n">
        <x:f>IF(AND(P$37&gt;$F7,P$37&lt;=EDATE($F7,$G7)),$K7+IF(P$37=EDATE($F7,$G7),$J7,0),0)</x:f>
        <x:v>998071.6270042404</x:v>
      </x:c>
      <x:c r="Q40" s="29" t="n">
        <x:f>IF(AND(Q$37&gt;$F7,Q$37&lt;=EDATE($F7,$G7)),$K7+IF(Q$37=EDATE($F7,$G7),$J7,0),0)</x:f>
        <x:v>998071.6270042404</x:v>
      </x:c>
      <x:c r="R40" s="29" t="n">
        <x:f>IF(AND(R$37&gt;$F7,R$37&lt;=EDATE($F7,$G7)),$K7+IF(R$37=EDATE($F7,$G7),$J7,0),0)</x:f>
        <x:v>998071.6270042404</x:v>
      </x:c>
      <x:c r="S40" s="29" t="n">
        <x:f>IF(AND(S$37&gt;$F7,S$37&lt;=EDATE($F7,$G7)),$K7+IF(S$37=EDATE($F7,$G7),$J7,0),0)</x:f>
        <x:v>998071.6270042404</x:v>
      </x:c>
      <x:c r="T40" s="29" t="n">
        <x:f>IF(AND(T$37&gt;$F7,T$37&lt;=EDATE($F7,$G7)),$K7+IF(T$37=EDATE($F7,$G7),$J7,0),0)</x:f>
        <x:v>998071.6270042404</x:v>
      </x:c>
      <x:c r="U40" s="29" t="n">
        <x:f>IF(AND(U$37&gt;$F7,U$37&lt;=EDATE($F7,$G7)),$K7+IF(U$37=EDATE($F7,$G7),$J7,0),0)</x:f>
        <x:v>998071.6270042404</x:v>
      </x:c>
      <x:c r="V40" s="29" t="n">
        <x:f>IF(AND(V$37&gt;$F7,V$37&lt;=EDATE($F7,$G7)),$K7+IF(V$37=EDATE($F7,$G7),$J7,0),0)</x:f>
        <x:v>998071.6270042404</x:v>
      </x:c>
      <x:c r="W40" s="29" t="n">
        <x:f>IF(AND(W$37&gt;$F7,W$37&lt;=EDATE($F7,$G7)),$K7+IF(W$37=EDATE($F7,$G7),$J7,0),0)</x:f>
        <x:v>998071.6270042404</x:v>
      </x:c>
      <x:c r="X40" s="29" t="n">
        <x:f>IF(AND(X$37&gt;$F7,X$37&lt;=EDATE($F7,$G7)),$K7+IF(X$37=EDATE($F7,$G7),$J7,0),0)</x:f>
        <x:v>998071.6270042404</x:v>
      </x:c>
      <x:c r="Y40" s="29" t="n">
        <x:f>IF(AND(Y$37&gt;$F7,Y$37&lt;=EDATE($F7,$G7)),$K7+IF(Y$37=EDATE($F7,$G7),$J7,0),0)</x:f>
        <x:v>998071.6270042404</x:v>
      </x:c>
      <x:c r="Z40" s="29" t="n">
        <x:f>IF(AND(Z$37&gt;$F7,Z$37&lt;=EDATE($F7,$G7)),$K7+IF(Z$37=EDATE($F7,$G7),$J7,0),0)</x:f>
        <x:v>998071.6270042404</x:v>
      </x:c>
      <x:c r="AA40" s="29" t="n">
        <x:f>IF(AND(AA$37&gt;$F7,AA$37&lt;=EDATE($F7,$G7)),$K7+IF(AA$37=EDATE($F7,$G7),$J7,0),0)</x:f>
        <x:v>998071.6270042404</x:v>
      </x:c>
      <x:c r="AB40" s="29" t="n">
        <x:f>IF(AND(AB$37&gt;$F7,AB$37&lt;=EDATE($F7,$G7)),$K7+IF(AB$37=EDATE($F7,$G7),$J7,0),0)</x:f>
        <x:v>998071.6270042404</x:v>
      </x:c>
      <x:c r="AC40" s="29" t="n">
        <x:f>IF(AND(AC$37&gt;$F7,AC$37&lt;=EDATE($F7,$G7)),$K7+IF(AC$37=EDATE($F7,$G7),$J7,0),0)</x:f>
        <x:v>998071.6270042404</x:v>
      </x:c>
      <x:c r="AD40" s="29" t="n">
        <x:f>IF(AND(AD$37&gt;$F7,AD$37&lt;=EDATE($F7,$G7)),$K7+IF(AD$37=EDATE($F7,$G7),$J7,0),0)</x:f>
        <x:v>998071.6270042404</x:v>
      </x:c>
      <x:c r="AE40" s="29" t="n">
        <x:f>IF(AND(AE$37&gt;$F7,AE$37&lt;=EDATE($F7,$G7)),$K7+IF(AE$37=EDATE($F7,$G7),$J7,0),0)</x:f>
        <x:v>998071.6270042404</x:v>
      </x:c>
      <x:c r="AF40" s="29" t="n">
        <x:f>IF(AND(AF$37&gt;$F7,AF$37&lt;=EDATE($F7,$G7)),$K7+IF(AF$37=EDATE($F7,$G7),$J7,0),0)</x:f>
        <x:v>998071.6270042404</x:v>
      </x:c>
      <x:c r="AG40" s="29" t="n">
        <x:f>IF(AND(AG$37&gt;$F7,AG$37&lt;=EDATE($F7,$G7)),$K7+IF(AG$37=EDATE($F7,$G7),$J7,0),0)</x:f>
        <x:v>998071.6270042404</x:v>
      </x:c>
      <x:c r="AH40" s="29" t="n">
        <x:f>IF(AND(AH$37&gt;$F7,AH$37&lt;=EDATE($F7,$G7)),$K7+IF(AH$37=EDATE($F7,$G7),$J7,0),0)</x:f>
        <x:v>998071.6270042404</x:v>
      </x:c>
      <x:c r="AI40" s="29" t="n">
        <x:f>IF(AND(AI$37&gt;$F7,AI$37&lt;=EDATE($F7,$G7)),$K7+IF(AI$37=EDATE($F7,$G7),$J7,0),0)</x:f>
        <x:v>998071.6270042404</x:v>
      </x:c>
      <x:c r="AJ40" s="29" t="n">
        <x:f>IF(AND(AJ$37&gt;$F7,AJ$37&lt;=EDATE($F7,$G7)),$K7+IF(AJ$37=EDATE($F7,$G7),$J7,0),0)</x:f>
        <x:v>998071.6270042404</x:v>
      </x:c>
      <x:c r="AK40" s="29" t="n">
        <x:f>IF(AND(AK$37&gt;$F7,AK$37&lt;=EDATE($F7,$G7)),$K7+IF(AK$37=EDATE($F7,$G7),$J7,0),0)</x:f>
        <x:v>998071.6270042404</x:v>
      </x:c>
      <x:c r="AL40" s="101" t="n">
        <x:f>IF(AND(AL$37&gt;$F7,AL$37&lt;=EDATE($F7,$G7)),$K7+IF(AL$37=EDATE($F7,$G7),$J7,0),0)</x:f>
        <x:v>998071.6270042404</x:v>
      </x:c>
      <x:c r="AM40" s="101" t="n">
        <x:f>IF(AND(AM$37&gt;$F7,AM$37&lt;=EDATE($F7,$G7)),$K7+IF(AM$37=EDATE($F7,$G7),$J7,0),0)</x:f>
        <x:v>998071.6270042404</x:v>
      </x:c>
      <x:c r="AN40" s="101" t="n">
        <x:f>IF(AND(AN$37&gt;$F7,AN$37&lt;=EDATE($F7,$G7)),$K7+IF(AN$37=EDATE($F7,$G7),$J7,0),0)</x:f>
        <x:v>998071.6270042404</x:v>
      </x:c>
      <x:c r="AO40" s="101" t="n">
        <x:f>IF(AND(AO$37&gt;$F7,AO$37&lt;=EDATE($F7,$G7)),$K7+IF(AO$37=EDATE($F7,$G7),$J7,0),0)</x:f>
        <x:v>1319101.6270042404</x:v>
      </x:c>
      <x:c r="AP40" s="101" t="n">
        <x:f>IF(AND(AP$37&gt;$F7,AP$37&lt;=EDATE($F7,$G7)),$K7+IF(AP$37=EDATE($F7,$G7),$J7,0),0)</x:f>
        <x:v>0</x:v>
      </x:c>
      <x:c r="AQ40" s="101" t="n">
        <x:f>IF(AND(AQ$37&gt;$F7,AQ$37&lt;=EDATE($F7,$G7)),$K7+IF(AQ$37=EDATE($F7,$G7),$J7,0),0)</x:f>
        <x:v>0</x:v>
      </x:c>
      <x:c r="AR40" s="101" t="n">
        <x:f>IF(AND(AR$37&gt;$F7,AR$37&lt;=EDATE($F7,$G7)),$K7+IF(AR$37=EDATE($F7,$G7),$J7,0),0)</x:f>
        <x:v>0</x:v>
      </x:c>
      <x:c r="AS40" s="101" t="n">
        <x:f>IF(AND(AS$37&gt;$F7,AS$37&lt;=EDATE($F7,$G7)),$K7+IF(AS$37=EDATE($F7,$G7),$J7,0),0)</x:f>
        <x:v>0</x:v>
      </x:c>
      <x:c r="AT40" s="101" t="n">
        <x:f>IF(AND(AT$37&gt;$F7,AT$37&lt;=EDATE($F7,$G7)),$K7+IF(AT$37=EDATE($F7,$G7),$J7,0),0)</x:f>
        <x:v>0</x:v>
      </x:c>
      <x:c r="AU40" s="101" t="n">
        <x:f>IF(AND(AU$37&gt;$F7,AU$37&lt;=EDATE($F7,$G7)),$K7+IF(AU$37=EDATE($F7,$G7),$J7,0),0)</x:f>
        <x:v>0</x:v>
      </x:c>
      <x:c r="AV40" s="101" t="n">
        <x:f>IF(AND(AV$37&gt;$F7,AV$37&lt;=EDATE($F7,$G7)),$K7+IF(AV$37=EDATE($F7,$G7),$J7,0),0)</x:f>
        <x:v>0</x:v>
      </x:c>
      <x:c r="AW40" s="101" t="n">
        <x:f>IF(AND(AW$37&gt;$F7,AW$37&lt;=EDATE($F7,$G7)),$K7+IF(AW$37=EDATE($F7,$G7),$J7,0),0)</x:f>
        <x:v>0</x:v>
      </x:c>
      <x:c r="AX40" s="101" t="n">
        <x:f>IF(AND(AX$37&gt;$F7,AX$37&lt;=EDATE($F7,$G7)),$K7+IF(AX$37=EDATE($F7,$G7),$J7,0),0)</x:f>
        <x:v>0</x:v>
      </x:c>
      <x:c r="AY40" s="101" t="n">
        <x:f>IF(AND(AY$37&gt;$F7,AY$37&lt;=EDATE($F7,$G7)),$K7+IF(AY$37=EDATE($F7,$G7),$J7,0),0)</x:f>
        <x:v>0</x:v>
      </x:c>
      <x:c r="AZ40" s="101" t="n">
        <x:f>IF(AND(AZ$37&gt;$F7,AZ$37&lt;=EDATE($F7,$G7)),$K7+IF(AZ$37=EDATE($F7,$G7),$J7,0),0)</x:f>
        <x:v>0</x:v>
      </x:c>
      <x:c r="BA40" s="101" t="n">
        <x:f>IF(AND(BA$37&gt;$F7,BA$37&lt;=EDATE($F7,$G7)),$K7+IF(BA$37=EDATE($F7,$G7),$J7,0),0)</x:f>
        <x:v>0</x:v>
      </x:c>
      <x:c r="BB40" s="101" t="n">
        <x:f>IF(AND(BB$37&gt;$F7,BB$37&lt;=EDATE($F7,$G7)),$K7+IF(BB$37=EDATE($F7,$G7),$J7,0),0)</x:f>
        <x:v>0</x:v>
      </x:c>
      <x:c r="BC40" s="101" t="n">
        <x:f>IF(AND(BC$37&gt;$F7,BC$37&lt;=EDATE($F7,$G7)),$K7+IF(BC$37=EDATE($F7,$G7),$J7,0),0)</x:f>
        <x:v>0</x:v>
      </x:c>
      <x:c r="BD40" s="101" t="n">
        <x:f>IF(AND(BD$37&gt;$F7,BD$37&lt;=EDATE($F7,$G7)),$K7+IF(BD$37=EDATE($F7,$G7),$J7,0),0)</x:f>
        <x:v>0</x:v>
      </x:c>
      <x:c r="BE40" s="101" t="n">
        <x:f>IF(AND(BE$37&gt;$F7,BE$37&lt;=EDATE($F7,$G7)),$K7+IF(BE$37=EDATE($F7,$G7),$J7,0),0)</x:f>
        <x:v>0</x:v>
      </x:c>
      <x:c r="BF40" s="101" t="n">
        <x:f>IF(AND(BF$37&gt;$F7,BF$37&lt;=EDATE($F7,$G7)),$K7+IF(BF$37=EDATE($F7,$G7),$J7,0),0)</x:f>
        <x:v>0</x:v>
      </x:c>
      <x:c r="BG40" s="101" t="n">
        <x:f>IF(AND(BG$37&gt;$F7,BG$37&lt;=EDATE($F7,$G7)),$K7+IF(BG$37=EDATE($F7,$G7),$J7,0),0)</x:f>
        <x:v>0</x:v>
      </x:c>
      <x:c r="BH40" s="101" t="n">
        <x:f>IF(AND(BH$37&gt;$F7,BH$37&lt;=EDATE($F7,$G7)),$K7+IF(BH$37=EDATE($F7,$G7),$J7,0),0)</x:f>
        <x:v>0</x:v>
      </x:c>
      <x:c r="BI40" s="101" t="n">
        <x:f>IF(AND(BI$37&gt;$F7,BI$37&lt;=EDATE($F7,$G7)),$K7+IF(BI$37=EDATE($F7,$G7),$J7,0),0)</x:f>
        <x:v>0</x:v>
      </x:c>
    </x:row>
    <x:row r="41">
      <x:c r="A41" t="str">
        <x:f>A8</x:f>
        <x:v>批次04</x:v>
      </x:c>
      <x:c r="B41" s="29" t="n">
        <x:f>IF(AND(B$37&gt;$F8,B$37&lt;=EDATE($F8,$G8)),$K8+IF(B$37=EDATE($F8,$G8),$J8,0),0)</x:f>
        <x:v>0</x:v>
      </x:c>
      <x:c r="C41" s="29" t="n">
        <x:f>IF(AND(C$37&gt;$F8,C$37&lt;=EDATE($F8,$G8)),$K8+IF(C$37=EDATE($F8,$G8),$J8,0),0)</x:f>
        <x:v>0</x:v>
      </x:c>
      <x:c r="D41" s="29" t="n">
        <x:f>IF(AND(D$37&gt;$F8,D$37&lt;=EDATE($F8,$G8)),$K8+IF(D$37=EDATE($F8,$G8),$J8,0),0)</x:f>
        <x:v>0</x:v>
      </x:c>
      <x:c r="E41" s="29" t="n">
        <x:f>IF(AND(E$37&gt;$F8,E$37&lt;=EDATE($F8,$G8)),$K8+IF(E$37=EDATE($F8,$G8),$J8,0),0)</x:f>
        <x:v>0</x:v>
      </x:c>
      <x:c r="F41" s="29" t="n">
        <x:f>IF(AND(F$37&gt;$F8,F$37&lt;=EDATE($F8,$G8)),$K8+IF(F$37=EDATE($F8,$G8),$J8,0),0)</x:f>
        <x:v>0</x:v>
      </x:c>
      <x:c r="G41" s="29" t="n">
        <x:f>IF(AND(G$37&gt;$F8,G$37&lt;=EDATE($F8,$G8)),$K8+IF(G$37=EDATE($F8,$G8),$J8,0),0)</x:f>
        <x:v>1140306.8602704273</x:v>
      </x:c>
      <x:c r="H41" s="29" t="n">
        <x:f>IF(AND(H$37&gt;$F8,H$37&lt;=EDATE($F8,$G8)),$K8+IF(H$37=EDATE($F8,$G8),$J8,0),0)</x:f>
        <x:v>1140306.8602704273</x:v>
      </x:c>
      <x:c r="I41" s="29" t="n">
        <x:f>IF(AND(I$37&gt;$F8,I$37&lt;=EDATE($F8,$G8)),$K8+IF(I$37=EDATE($F8,$G8),$J8,0),0)</x:f>
        <x:v>1140306.8602704273</x:v>
      </x:c>
      <x:c r="J41" s="29" t="n">
        <x:f>IF(AND(J$37&gt;$F8,J$37&lt;=EDATE($F8,$G8)),$K8+IF(J$37=EDATE($F8,$G8),$J8,0),0)</x:f>
        <x:v>1140306.8602704273</x:v>
      </x:c>
      <x:c r="K41" s="29" t="n">
        <x:f>IF(AND(K$37&gt;$F8,K$37&lt;=EDATE($F8,$G8)),$K8+IF(K$37=EDATE($F8,$G8),$J8,0),0)</x:f>
        <x:v>1140306.8602704273</x:v>
      </x:c>
      <x:c r="L41" s="29" t="n">
        <x:f>IF(AND(L$37&gt;$F8,L$37&lt;=EDATE($F8,$G8)),$K8+IF(L$37=EDATE($F8,$G8),$J8,0),0)</x:f>
        <x:v>1140306.8602704273</x:v>
      </x:c>
      <x:c r="M41" s="29" t="n">
        <x:f>IF(AND(M$37&gt;$F8,M$37&lt;=EDATE($F8,$G8)),$K8+IF(M$37=EDATE($F8,$G8),$J8,0),0)</x:f>
        <x:v>1140306.8602704273</x:v>
      </x:c>
      <x:c r="N41" s="29" t="n">
        <x:f>IF(AND(N$37&gt;$F8,N$37&lt;=EDATE($F8,$G8)),$K8+IF(N$37=EDATE($F8,$G8),$J8,0),0)</x:f>
        <x:v>1140306.8602704273</x:v>
      </x:c>
      <x:c r="O41" s="29" t="n">
        <x:f>IF(AND(O$37&gt;$F8,O$37&lt;=EDATE($F8,$G8)),$K8+IF(O$37=EDATE($F8,$G8),$J8,0),0)</x:f>
        <x:v>1140306.8602704273</x:v>
      </x:c>
      <x:c r="P41" s="29" t="n">
        <x:f>IF(AND(P$37&gt;$F8,P$37&lt;=EDATE($F8,$G8)),$K8+IF(P$37=EDATE($F8,$G8),$J8,0),0)</x:f>
        <x:v>1140306.8602704273</x:v>
      </x:c>
      <x:c r="Q41" s="29" t="n">
        <x:f>IF(AND(Q$37&gt;$F8,Q$37&lt;=EDATE($F8,$G8)),$K8+IF(Q$37=EDATE($F8,$G8),$J8,0),0)</x:f>
        <x:v>1140306.8602704273</x:v>
      </x:c>
      <x:c r="R41" s="29" t="n">
        <x:f>IF(AND(R$37&gt;$F8,R$37&lt;=EDATE($F8,$G8)),$K8+IF(R$37=EDATE($F8,$G8),$J8,0),0)</x:f>
        <x:v>1140306.8602704273</x:v>
      </x:c>
      <x:c r="S41" s="29" t="n">
        <x:f>IF(AND(S$37&gt;$F8,S$37&lt;=EDATE($F8,$G8)),$K8+IF(S$37=EDATE($F8,$G8),$J8,0),0)</x:f>
        <x:v>1140306.8602704273</x:v>
      </x:c>
      <x:c r="T41" s="29" t="n">
        <x:f>IF(AND(T$37&gt;$F8,T$37&lt;=EDATE($F8,$G8)),$K8+IF(T$37=EDATE($F8,$G8),$J8,0),0)</x:f>
        <x:v>1140306.8602704273</x:v>
      </x:c>
      <x:c r="U41" s="29" t="n">
        <x:f>IF(AND(U$37&gt;$F8,U$37&lt;=EDATE($F8,$G8)),$K8+IF(U$37=EDATE($F8,$G8),$J8,0),0)</x:f>
        <x:v>1140306.8602704273</x:v>
      </x:c>
      <x:c r="V41" s="29" t="n">
        <x:f>IF(AND(V$37&gt;$F8,V$37&lt;=EDATE($F8,$G8)),$K8+IF(V$37=EDATE($F8,$G8),$J8,0),0)</x:f>
        <x:v>1140306.8602704273</x:v>
      </x:c>
      <x:c r="W41" s="29" t="n">
        <x:f>IF(AND(W$37&gt;$F8,W$37&lt;=EDATE($F8,$G8)),$K8+IF(W$37=EDATE($F8,$G8),$J8,0),0)</x:f>
        <x:v>1140306.8602704273</x:v>
      </x:c>
      <x:c r="X41" s="29" t="n">
        <x:f>IF(AND(X$37&gt;$F8,X$37&lt;=EDATE($F8,$G8)),$K8+IF(X$37=EDATE($F8,$G8),$J8,0),0)</x:f>
        <x:v>1140306.8602704273</x:v>
      </x:c>
      <x:c r="Y41" s="29" t="n">
        <x:f>IF(AND(Y$37&gt;$F8,Y$37&lt;=EDATE($F8,$G8)),$K8+IF(Y$37=EDATE($F8,$G8),$J8,0),0)</x:f>
        <x:v>1140306.8602704273</x:v>
      </x:c>
      <x:c r="Z41" s="29" t="n">
        <x:f>IF(AND(Z$37&gt;$F8,Z$37&lt;=EDATE($F8,$G8)),$K8+IF(Z$37=EDATE($F8,$G8),$J8,0),0)</x:f>
        <x:v>1140306.8602704273</x:v>
      </x:c>
      <x:c r="AA41" s="29" t="n">
        <x:f>IF(AND(AA$37&gt;$F8,AA$37&lt;=EDATE($F8,$G8)),$K8+IF(AA$37=EDATE($F8,$G8),$J8,0),0)</x:f>
        <x:v>1140306.8602704273</x:v>
      </x:c>
      <x:c r="AB41" s="29" t="n">
        <x:f>IF(AND(AB$37&gt;$F8,AB$37&lt;=EDATE($F8,$G8)),$K8+IF(AB$37=EDATE($F8,$G8),$J8,0),0)</x:f>
        <x:v>1140306.8602704273</x:v>
      </x:c>
      <x:c r="AC41" s="29" t="n">
        <x:f>IF(AND(AC$37&gt;$F8,AC$37&lt;=EDATE($F8,$G8)),$K8+IF(AC$37=EDATE($F8,$G8),$J8,0),0)</x:f>
        <x:v>1140306.8602704273</x:v>
      </x:c>
      <x:c r="AD41" s="29" t="n">
        <x:f>IF(AND(AD$37&gt;$F8,AD$37&lt;=EDATE($F8,$G8)),$K8+IF(AD$37=EDATE($F8,$G8),$J8,0),0)</x:f>
        <x:v>1140306.8602704273</x:v>
      </x:c>
      <x:c r="AE41" s="29" t="n">
        <x:f>IF(AND(AE$37&gt;$F8,AE$37&lt;=EDATE($F8,$G8)),$K8+IF(AE$37=EDATE($F8,$G8),$J8,0),0)</x:f>
        <x:v>1140306.8602704273</x:v>
      </x:c>
      <x:c r="AF41" s="29" t="n">
        <x:f>IF(AND(AF$37&gt;$F8,AF$37&lt;=EDATE($F8,$G8)),$K8+IF(AF$37=EDATE($F8,$G8),$J8,0),0)</x:f>
        <x:v>1140306.8602704273</x:v>
      </x:c>
      <x:c r="AG41" s="29" t="n">
        <x:f>IF(AND(AG$37&gt;$F8,AG$37&lt;=EDATE($F8,$G8)),$K8+IF(AG$37=EDATE($F8,$G8),$J8,0),0)</x:f>
        <x:v>1140306.8602704273</x:v>
      </x:c>
      <x:c r="AH41" s="29" t="n">
        <x:f>IF(AND(AH$37&gt;$F8,AH$37&lt;=EDATE($F8,$G8)),$K8+IF(AH$37=EDATE($F8,$G8),$J8,0),0)</x:f>
        <x:v>1140306.8602704273</x:v>
      </x:c>
      <x:c r="AI41" s="29" t="n">
        <x:f>IF(AND(AI$37&gt;$F8,AI$37&lt;=EDATE($F8,$G8)),$K8+IF(AI$37=EDATE($F8,$G8),$J8,0),0)</x:f>
        <x:v>1140306.8602704273</x:v>
      </x:c>
      <x:c r="AJ41" s="29" t="n">
        <x:f>IF(AND(AJ$37&gt;$F8,AJ$37&lt;=EDATE($F8,$G8)),$K8+IF(AJ$37=EDATE($F8,$G8),$J8,0),0)</x:f>
        <x:v>1140306.8602704273</x:v>
      </x:c>
      <x:c r="AK41" s="29" t="n">
        <x:f>IF(AND(AK$37&gt;$F8,AK$37&lt;=EDATE($F8,$G8)),$K8+IF(AK$37=EDATE($F8,$G8),$J8,0),0)</x:f>
        <x:v>1140306.8602704273</x:v>
      </x:c>
      <x:c r="AL41" s="101" t="n">
        <x:f>IF(AND(AL$37&gt;$F8,AL$37&lt;=EDATE($F8,$G8)),$K8+IF(AL$37=EDATE($F8,$G8),$J8,0),0)</x:f>
        <x:v>1140306.8602704273</x:v>
      </x:c>
      <x:c r="AM41" s="101" t="n">
        <x:f>IF(AND(AM$37&gt;$F8,AM$37&lt;=EDATE($F8,$G8)),$K8+IF(AM$37=EDATE($F8,$G8),$J8,0),0)</x:f>
        <x:v>1140306.8602704273</x:v>
      </x:c>
      <x:c r="AN41" s="101" t="n">
        <x:f>IF(AND(AN$37&gt;$F8,AN$37&lt;=EDATE($F8,$G8)),$K8+IF(AN$37=EDATE($F8,$G8),$J8,0),0)</x:f>
        <x:v>1140306.8602704273</x:v>
      </x:c>
      <x:c r="AO41" s="101" t="n">
        <x:f>IF(AND(AO$37&gt;$F8,AO$37&lt;=EDATE($F8,$G8)),$K8+IF(AO$37=EDATE($F8,$G8),$J8,0),0)</x:f>
        <x:v>1140306.8602704273</x:v>
      </x:c>
      <x:c r="AP41" s="101" t="n">
        <x:f>IF(AND(AP$37&gt;$F8,AP$37&lt;=EDATE($F8,$G8)),$K8+IF(AP$37=EDATE($F8,$G8),$J8,0),0)</x:f>
        <x:v>1507086.8602704273</x:v>
      </x:c>
      <x:c r="AQ41" s="101" t="n">
        <x:f>IF(AND(AQ$37&gt;$F8,AQ$37&lt;=EDATE($F8,$G8)),$K8+IF(AQ$37=EDATE($F8,$G8),$J8,0),0)</x:f>
        <x:v>0</x:v>
      </x:c>
      <x:c r="AR41" s="101" t="n">
        <x:f>IF(AND(AR$37&gt;$F8,AR$37&lt;=EDATE($F8,$G8)),$K8+IF(AR$37=EDATE($F8,$G8),$J8,0),0)</x:f>
        <x:v>0</x:v>
      </x:c>
      <x:c r="AS41" s="101" t="n">
        <x:f>IF(AND(AS$37&gt;$F8,AS$37&lt;=EDATE($F8,$G8)),$K8+IF(AS$37=EDATE($F8,$G8),$J8,0),0)</x:f>
        <x:v>0</x:v>
      </x:c>
      <x:c r="AT41" s="101" t="n">
        <x:f>IF(AND(AT$37&gt;$F8,AT$37&lt;=EDATE($F8,$G8)),$K8+IF(AT$37=EDATE($F8,$G8),$J8,0),0)</x:f>
        <x:v>0</x:v>
      </x:c>
      <x:c r="AU41" s="101" t="n">
        <x:f>IF(AND(AU$37&gt;$F8,AU$37&lt;=EDATE($F8,$G8)),$K8+IF(AU$37=EDATE($F8,$G8),$J8,0),0)</x:f>
        <x:v>0</x:v>
      </x:c>
      <x:c r="AV41" s="101" t="n">
        <x:f>IF(AND(AV$37&gt;$F8,AV$37&lt;=EDATE($F8,$G8)),$K8+IF(AV$37=EDATE($F8,$G8),$J8,0),0)</x:f>
        <x:v>0</x:v>
      </x:c>
      <x:c r="AW41" s="101" t="n">
        <x:f>IF(AND(AW$37&gt;$F8,AW$37&lt;=EDATE($F8,$G8)),$K8+IF(AW$37=EDATE($F8,$G8),$J8,0),0)</x:f>
        <x:v>0</x:v>
      </x:c>
      <x:c r="AX41" s="101" t="n">
        <x:f>IF(AND(AX$37&gt;$F8,AX$37&lt;=EDATE($F8,$G8)),$K8+IF(AX$37=EDATE($F8,$G8),$J8,0),0)</x:f>
        <x:v>0</x:v>
      </x:c>
      <x:c r="AY41" s="101" t="n">
        <x:f>IF(AND(AY$37&gt;$F8,AY$37&lt;=EDATE($F8,$G8)),$K8+IF(AY$37=EDATE($F8,$G8),$J8,0),0)</x:f>
        <x:v>0</x:v>
      </x:c>
      <x:c r="AZ41" s="101" t="n">
        <x:f>IF(AND(AZ$37&gt;$F8,AZ$37&lt;=EDATE($F8,$G8)),$K8+IF(AZ$37=EDATE($F8,$G8),$J8,0),0)</x:f>
        <x:v>0</x:v>
      </x:c>
      <x:c r="BA41" s="101" t="n">
        <x:f>IF(AND(BA$37&gt;$F8,BA$37&lt;=EDATE($F8,$G8)),$K8+IF(BA$37=EDATE($F8,$G8),$J8,0),0)</x:f>
        <x:v>0</x:v>
      </x:c>
      <x:c r="BB41" s="101" t="n">
        <x:f>IF(AND(BB$37&gt;$F8,BB$37&lt;=EDATE($F8,$G8)),$K8+IF(BB$37=EDATE($F8,$G8),$J8,0),0)</x:f>
        <x:v>0</x:v>
      </x:c>
      <x:c r="BC41" s="101" t="n">
        <x:f>IF(AND(BC$37&gt;$F8,BC$37&lt;=EDATE($F8,$G8)),$K8+IF(BC$37=EDATE($F8,$G8),$J8,0),0)</x:f>
        <x:v>0</x:v>
      </x:c>
      <x:c r="BD41" s="101" t="n">
        <x:f>IF(AND(BD$37&gt;$F8,BD$37&lt;=EDATE($F8,$G8)),$K8+IF(BD$37=EDATE($F8,$G8),$J8,0),0)</x:f>
        <x:v>0</x:v>
      </x:c>
      <x:c r="BE41" s="101" t="n">
        <x:f>IF(AND(BE$37&gt;$F8,BE$37&lt;=EDATE($F8,$G8)),$K8+IF(BE$37=EDATE($F8,$G8),$J8,0),0)</x:f>
        <x:v>0</x:v>
      </x:c>
      <x:c r="BF41" s="101" t="n">
        <x:f>IF(AND(BF$37&gt;$F8,BF$37&lt;=EDATE($F8,$G8)),$K8+IF(BF$37=EDATE($F8,$G8),$J8,0),0)</x:f>
        <x:v>0</x:v>
      </x:c>
      <x:c r="BG41" s="101" t="n">
        <x:f>IF(AND(BG$37&gt;$F8,BG$37&lt;=EDATE($F8,$G8)),$K8+IF(BG$37=EDATE($F8,$G8),$J8,0),0)</x:f>
        <x:v>0</x:v>
      </x:c>
      <x:c r="BH41" s="101" t="n">
        <x:f>IF(AND(BH$37&gt;$F8,BH$37&lt;=EDATE($F8,$G8)),$K8+IF(BH$37=EDATE($F8,$G8),$J8,0),0)</x:f>
        <x:v>0</x:v>
      </x:c>
      <x:c r="BI41" s="101" t="n">
        <x:f>IF(AND(BI$37&gt;$F8,BI$37&lt;=EDATE($F8,$G8)),$K8+IF(BI$37=EDATE($F8,$G8),$J8,0),0)</x:f>
        <x:v>0</x:v>
      </x:c>
    </x:row>
    <x:row r="42">
      <x:c r="A42" t="str">
        <x:f>A9</x:f>
        <x:v>批次05</x:v>
      </x:c>
      <x:c r="B42" s="29" t="n">
        <x:f>IF(AND(B$37&gt;$F9,B$37&lt;=EDATE($F9,$G9)),$K9+IF(B$37=EDATE($F9,$G9),$J9,0),0)</x:f>
        <x:v>0</x:v>
      </x:c>
      <x:c r="C42" s="29" t="n">
        <x:f>IF(AND(C$37&gt;$F9,C$37&lt;=EDATE($F9,$G9)),$K9+IF(C$37=EDATE($F9,$G9),$J9,0),0)</x:f>
        <x:v>0</x:v>
      </x:c>
      <x:c r="D42" s="29" t="n">
        <x:f>IF(AND(D$37&gt;$F9,D$37&lt;=EDATE($F9,$G9)),$K9+IF(D$37=EDATE($F9,$G9),$J9,0),0)</x:f>
        <x:v>0</x:v>
      </x:c>
      <x:c r="E42" s="29" t="n">
        <x:f>IF(AND(E$37&gt;$F9,E$37&lt;=EDATE($F9,$G9)),$K9+IF(E$37=EDATE($F9,$G9),$J9,0),0)</x:f>
        <x:v>0</x:v>
      </x:c>
      <x:c r="F42" s="29" t="n">
        <x:f>IF(AND(F$37&gt;$F9,F$37&lt;=EDATE($F9,$G9)),$K9+IF(F$37=EDATE($F9,$G9),$J9,0),0)</x:f>
        <x:v>0</x:v>
      </x:c>
      <x:c r="G42" s="29" t="n">
        <x:f>IF(AND(G$37&gt;$F9,G$37&lt;=EDATE($F9,$G9)),$K9+IF(G$37=EDATE($F9,$G9),$J9,0),0)</x:f>
        <x:v>0</x:v>
      </x:c>
      <x:c r="H42" s="29" t="n">
        <x:f>IF(AND(H$37&gt;$F9,H$37&lt;=EDATE($F9,$G9)),$K9+IF(H$37=EDATE($F9,$G9),$J9,0),0)</x:f>
        <x:v>1282542.0935366142</x:v>
      </x:c>
      <x:c r="I42" s="29" t="n">
        <x:f>IF(AND(I$37&gt;$F9,I$37&lt;=EDATE($F9,$G9)),$K9+IF(I$37=EDATE($F9,$G9),$J9,0),0)</x:f>
        <x:v>1282542.0935366142</x:v>
      </x:c>
      <x:c r="J42" s="29" t="n">
        <x:f>IF(AND(J$37&gt;$F9,J$37&lt;=EDATE($F9,$G9)),$K9+IF(J$37=EDATE($F9,$G9),$J9,0),0)</x:f>
        <x:v>1282542.0935366142</x:v>
      </x:c>
      <x:c r="K42" s="29" t="n">
        <x:f>IF(AND(K$37&gt;$F9,K$37&lt;=EDATE($F9,$G9)),$K9+IF(K$37=EDATE($F9,$G9),$J9,0),0)</x:f>
        <x:v>1282542.0935366142</x:v>
      </x:c>
      <x:c r="L42" s="29" t="n">
        <x:f>IF(AND(L$37&gt;$F9,L$37&lt;=EDATE($F9,$G9)),$K9+IF(L$37=EDATE($F9,$G9),$J9,0),0)</x:f>
        <x:v>1282542.0935366142</x:v>
      </x:c>
      <x:c r="M42" s="29" t="n">
        <x:f>IF(AND(M$37&gt;$F9,M$37&lt;=EDATE($F9,$G9)),$K9+IF(M$37=EDATE($F9,$G9),$J9,0),0)</x:f>
        <x:v>1282542.0935366142</x:v>
      </x:c>
      <x:c r="N42" s="29" t="n">
        <x:f>IF(AND(N$37&gt;$F9,N$37&lt;=EDATE($F9,$G9)),$K9+IF(N$37=EDATE($F9,$G9),$J9,0),0)</x:f>
        <x:v>1282542.0935366142</x:v>
      </x:c>
      <x:c r="O42" s="29" t="n">
        <x:f>IF(AND(O$37&gt;$F9,O$37&lt;=EDATE($F9,$G9)),$K9+IF(O$37=EDATE($F9,$G9),$J9,0),0)</x:f>
        <x:v>1282542.0935366142</x:v>
      </x:c>
      <x:c r="P42" s="29" t="n">
        <x:f>IF(AND(P$37&gt;$F9,P$37&lt;=EDATE($F9,$G9)),$K9+IF(P$37=EDATE($F9,$G9),$J9,0),0)</x:f>
        <x:v>1282542.0935366142</x:v>
      </x:c>
      <x:c r="Q42" s="29" t="n">
        <x:f>IF(AND(Q$37&gt;$F9,Q$37&lt;=EDATE($F9,$G9)),$K9+IF(Q$37=EDATE($F9,$G9),$J9,0),0)</x:f>
        <x:v>1282542.0935366142</x:v>
      </x:c>
      <x:c r="R42" s="29" t="n">
        <x:f>IF(AND(R$37&gt;$F9,R$37&lt;=EDATE($F9,$G9)),$K9+IF(R$37=EDATE($F9,$G9),$J9,0),0)</x:f>
        <x:v>1282542.0935366142</x:v>
      </x:c>
      <x:c r="S42" s="29" t="n">
        <x:f>IF(AND(S$37&gt;$F9,S$37&lt;=EDATE($F9,$G9)),$K9+IF(S$37=EDATE($F9,$G9),$J9,0),0)</x:f>
        <x:v>1282542.0935366142</x:v>
      </x:c>
      <x:c r="T42" s="29" t="n">
        <x:f>IF(AND(T$37&gt;$F9,T$37&lt;=EDATE($F9,$G9)),$K9+IF(T$37=EDATE($F9,$G9),$J9,0),0)</x:f>
        <x:v>1282542.0935366142</x:v>
      </x:c>
      <x:c r="U42" s="29" t="n">
        <x:f>IF(AND(U$37&gt;$F9,U$37&lt;=EDATE($F9,$G9)),$K9+IF(U$37=EDATE($F9,$G9),$J9,0),0)</x:f>
        <x:v>1282542.0935366142</x:v>
      </x:c>
      <x:c r="V42" s="29" t="n">
        <x:f>IF(AND(V$37&gt;$F9,V$37&lt;=EDATE($F9,$G9)),$K9+IF(V$37=EDATE($F9,$G9),$J9,0),0)</x:f>
        <x:v>1282542.0935366142</x:v>
      </x:c>
      <x:c r="W42" s="29" t="n">
        <x:f>IF(AND(W$37&gt;$F9,W$37&lt;=EDATE($F9,$G9)),$K9+IF(W$37=EDATE($F9,$G9),$J9,0),0)</x:f>
        <x:v>1282542.0935366142</x:v>
      </x:c>
      <x:c r="X42" s="29" t="n">
        <x:f>IF(AND(X$37&gt;$F9,X$37&lt;=EDATE($F9,$G9)),$K9+IF(X$37=EDATE($F9,$G9),$J9,0),0)</x:f>
        <x:v>1282542.0935366142</x:v>
      </x:c>
      <x:c r="Y42" s="29" t="n">
        <x:f>IF(AND(Y$37&gt;$F9,Y$37&lt;=EDATE($F9,$G9)),$K9+IF(Y$37=EDATE($F9,$G9),$J9,0),0)</x:f>
        <x:v>1282542.0935366142</x:v>
      </x:c>
      <x:c r="Z42" s="29" t="n">
        <x:f>IF(AND(Z$37&gt;$F9,Z$37&lt;=EDATE($F9,$G9)),$K9+IF(Z$37=EDATE($F9,$G9),$J9,0),0)</x:f>
        <x:v>1282542.0935366142</x:v>
      </x:c>
      <x:c r="AA42" s="29" t="n">
        <x:f>IF(AND(AA$37&gt;$F9,AA$37&lt;=EDATE($F9,$G9)),$K9+IF(AA$37=EDATE($F9,$G9),$J9,0),0)</x:f>
        <x:v>1282542.0935366142</x:v>
      </x:c>
      <x:c r="AB42" s="29" t="n">
        <x:f>IF(AND(AB$37&gt;$F9,AB$37&lt;=EDATE($F9,$G9)),$K9+IF(AB$37=EDATE($F9,$G9),$J9,0),0)</x:f>
        <x:v>1282542.0935366142</x:v>
      </x:c>
      <x:c r="AC42" s="29" t="n">
        <x:f>IF(AND(AC$37&gt;$F9,AC$37&lt;=EDATE($F9,$G9)),$K9+IF(AC$37=EDATE($F9,$G9),$J9,0),0)</x:f>
        <x:v>1282542.0935366142</x:v>
      </x:c>
      <x:c r="AD42" s="29" t="n">
        <x:f>IF(AND(AD$37&gt;$F9,AD$37&lt;=EDATE($F9,$G9)),$K9+IF(AD$37=EDATE($F9,$G9),$J9,0),0)</x:f>
        <x:v>1282542.0935366142</x:v>
      </x:c>
      <x:c r="AE42" s="29" t="n">
        <x:f>IF(AND(AE$37&gt;$F9,AE$37&lt;=EDATE($F9,$G9)),$K9+IF(AE$37=EDATE($F9,$G9),$J9,0),0)</x:f>
        <x:v>1282542.0935366142</x:v>
      </x:c>
      <x:c r="AF42" s="29" t="n">
        <x:f>IF(AND(AF$37&gt;$F9,AF$37&lt;=EDATE($F9,$G9)),$K9+IF(AF$37=EDATE($F9,$G9),$J9,0),0)</x:f>
        <x:v>1282542.0935366142</x:v>
      </x:c>
      <x:c r="AG42" s="29" t="n">
        <x:f>IF(AND(AG$37&gt;$F9,AG$37&lt;=EDATE($F9,$G9)),$K9+IF(AG$37=EDATE($F9,$G9),$J9,0),0)</x:f>
        <x:v>1282542.0935366142</x:v>
      </x:c>
      <x:c r="AH42" s="29" t="n">
        <x:f>IF(AND(AH$37&gt;$F9,AH$37&lt;=EDATE($F9,$G9)),$K9+IF(AH$37=EDATE($F9,$G9),$J9,0),0)</x:f>
        <x:v>1282542.0935366142</x:v>
      </x:c>
      <x:c r="AI42" s="29" t="n">
        <x:f>IF(AND(AI$37&gt;$F9,AI$37&lt;=EDATE($F9,$G9)),$K9+IF(AI$37=EDATE($F9,$G9),$J9,0),0)</x:f>
        <x:v>1282542.0935366142</x:v>
      </x:c>
      <x:c r="AJ42" s="29" t="n">
        <x:f>IF(AND(AJ$37&gt;$F9,AJ$37&lt;=EDATE($F9,$G9)),$K9+IF(AJ$37=EDATE($F9,$G9),$J9,0),0)</x:f>
        <x:v>1282542.0935366142</x:v>
      </x:c>
      <x:c r="AK42" s="29" t="n">
        <x:f>IF(AND(AK$37&gt;$F9,AK$37&lt;=EDATE($F9,$G9)),$K9+IF(AK$37=EDATE($F9,$G9),$J9,0),0)</x:f>
        <x:v>1282542.0935366142</x:v>
      </x:c>
      <x:c r="AL42" s="101" t="n">
        <x:f>IF(AND(AL$37&gt;$F9,AL$37&lt;=EDATE($F9,$G9)),$K9+IF(AL$37=EDATE($F9,$G9),$J9,0),0)</x:f>
        <x:v>1282542.0935366142</x:v>
      </x:c>
      <x:c r="AM42" s="101" t="n">
        <x:f>IF(AND(AM$37&gt;$F9,AM$37&lt;=EDATE($F9,$G9)),$K9+IF(AM$37=EDATE($F9,$G9),$J9,0),0)</x:f>
        <x:v>1282542.0935366142</x:v>
      </x:c>
      <x:c r="AN42" s="101" t="n">
        <x:f>IF(AND(AN$37&gt;$F9,AN$37&lt;=EDATE($F9,$G9)),$K9+IF(AN$37=EDATE($F9,$G9),$J9,0),0)</x:f>
        <x:v>1282542.0935366142</x:v>
      </x:c>
      <x:c r="AO42" s="101" t="n">
        <x:f>IF(AND(AO$37&gt;$F9,AO$37&lt;=EDATE($F9,$G9)),$K9+IF(AO$37=EDATE($F9,$G9),$J9,0),0)</x:f>
        <x:v>1282542.0935366142</x:v>
      </x:c>
      <x:c r="AP42" s="101" t="n">
        <x:f>IF(AND(AP$37&gt;$F9,AP$37&lt;=EDATE($F9,$G9)),$K9+IF(AP$37=EDATE($F9,$G9),$J9,0),0)</x:f>
        <x:v>1282542.0935366142</x:v>
      </x:c>
      <x:c r="AQ42" s="101" t="n">
        <x:f>IF(AND(AQ$37&gt;$F9,AQ$37&lt;=EDATE($F9,$G9)),$K9+IF(AQ$37=EDATE($F9,$G9),$J9,0),0)</x:f>
        <x:v>1695072.0935366142</x:v>
      </x:c>
      <x:c r="AR42" s="101" t="n">
        <x:f>IF(AND(AR$37&gt;$F9,AR$37&lt;=EDATE($F9,$G9)),$K9+IF(AR$37=EDATE($F9,$G9),$J9,0),0)</x:f>
        <x:v>0</x:v>
      </x:c>
      <x:c r="AS42" s="101" t="n">
        <x:f>IF(AND(AS$37&gt;$F9,AS$37&lt;=EDATE($F9,$G9)),$K9+IF(AS$37=EDATE($F9,$G9),$J9,0),0)</x:f>
        <x:v>0</x:v>
      </x:c>
      <x:c r="AT42" s="101" t="n">
        <x:f>IF(AND(AT$37&gt;$F9,AT$37&lt;=EDATE($F9,$G9)),$K9+IF(AT$37=EDATE($F9,$G9),$J9,0),0)</x:f>
        <x:v>0</x:v>
      </x:c>
      <x:c r="AU42" s="101" t="n">
        <x:f>IF(AND(AU$37&gt;$F9,AU$37&lt;=EDATE($F9,$G9)),$K9+IF(AU$37=EDATE($F9,$G9),$J9,0),0)</x:f>
        <x:v>0</x:v>
      </x:c>
      <x:c r="AV42" s="101" t="n">
        <x:f>IF(AND(AV$37&gt;$F9,AV$37&lt;=EDATE($F9,$G9)),$K9+IF(AV$37=EDATE($F9,$G9),$J9,0),0)</x:f>
        <x:v>0</x:v>
      </x:c>
      <x:c r="AW42" s="101" t="n">
        <x:f>IF(AND(AW$37&gt;$F9,AW$37&lt;=EDATE($F9,$G9)),$K9+IF(AW$37=EDATE($F9,$G9),$J9,0),0)</x:f>
        <x:v>0</x:v>
      </x:c>
      <x:c r="AX42" s="101" t="n">
        <x:f>IF(AND(AX$37&gt;$F9,AX$37&lt;=EDATE($F9,$G9)),$K9+IF(AX$37=EDATE($F9,$G9),$J9,0),0)</x:f>
        <x:v>0</x:v>
      </x:c>
      <x:c r="AY42" s="101" t="n">
        <x:f>IF(AND(AY$37&gt;$F9,AY$37&lt;=EDATE($F9,$G9)),$K9+IF(AY$37=EDATE($F9,$G9),$J9,0),0)</x:f>
        <x:v>0</x:v>
      </x:c>
      <x:c r="AZ42" s="101" t="n">
        <x:f>IF(AND(AZ$37&gt;$F9,AZ$37&lt;=EDATE($F9,$G9)),$K9+IF(AZ$37=EDATE($F9,$G9),$J9,0),0)</x:f>
        <x:v>0</x:v>
      </x:c>
      <x:c r="BA42" s="101" t="n">
        <x:f>IF(AND(BA$37&gt;$F9,BA$37&lt;=EDATE($F9,$G9)),$K9+IF(BA$37=EDATE($F9,$G9),$J9,0),0)</x:f>
        <x:v>0</x:v>
      </x:c>
      <x:c r="BB42" s="101" t="n">
        <x:f>IF(AND(BB$37&gt;$F9,BB$37&lt;=EDATE($F9,$G9)),$K9+IF(BB$37=EDATE($F9,$G9),$J9,0),0)</x:f>
        <x:v>0</x:v>
      </x:c>
      <x:c r="BC42" s="101" t="n">
        <x:f>IF(AND(BC$37&gt;$F9,BC$37&lt;=EDATE($F9,$G9)),$K9+IF(BC$37=EDATE($F9,$G9),$J9,0),0)</x:f>
        <x:v>0</x:v>
      </x:c>
      <x:c r="BD42" s="101" t="n">
        <x:f>IF(AND(BD$37&gt;$F9,BD$37&lt;=EDATE($F9,$G9)),$K9+IF(BD$37=EDATE($F9,$G9),$J9,0),0)</x:f>
        <x:v>0</x:v>
      </x:c>
      <x:c r="BE42" s="101" t="n">
        <x:f>IF(AND(BE$37&gt;$F9,BE$37&lt;=EDATE($F9,$G9)),$K9+IF(BE$37=EDATE($F9,$G9),$J9,0),0)</x:f>
        <x:v>0</x:v>
      </x:c>
      <x:c r="BF42" s="101" t="n">
        <x:f>IF(AND(BF$37&gt;$F9,BF$37&lt;=EDATE($F9,$G9)),$K9+IF(BF$37=EDATE($F9,$G9),$J9,0),0)</x:f>
        <x:v>0</x:v>
      </x:c>
      <x:c r="BG42" s="101" t="n">
        <x:f>IF(AND(BG$37&gt;$F9,BG$37&lt;=EDATE($F9,$G9)),$K9+IF(BG$37=EDATE($F9,$G9),$J9,0),0)</x:f>
        <x:v>0</x:v>
      </x:c>
      <x:c r="BH42" s="101" t="n">
        <x:f>IF(AND(BH$37&gt;$F9,BH$37&lt;=EDATE($F9,$G9)),$K9+IF(BH$37=EDATE($F9,$G9),$J9,0),0)</x:f>
        <x:v>0</x:v>
      </x:c>
      <x:c r="BI42" s="101" t="n">
        <x:f>IF(AND(BI$37&gt;$F9,BI$37&lt;=EDATE($F9,$G9)),$K9+IF(BI$37=EDATE($F9,$G9),$J9,0),0)</x:f>
        <x:v>0</x:v>
      </x:c>
    </x:row>
    <x:row r="43">
      <x:c r="A43" t="str">
        <x:f>A10</x:f>
        <x:v>批次06</x:v>
      </x:c>
      <x:c r="B43" s="29" t="n">
        <x:f>IF(AND(B$37&gt;$F10,B$37&lt;=EDATE($F10,$G10)),$K10+IF(B$37=EDATE($F10,$G10),$J10,0),0)</x:f>
        <x:v>0</x:v>
      </x:c>
      <x:c r="C43" s="29" t="n">
        <x:f>IF(AND(C$37&gt;$F10,C$37&lt;=EDATE($F10,$G10)),$K10+IF(C$37=EDATE($F10,$G10),$J10,0),0)</x:f>
        <x:v>0</x:v>
      </x:c>
      <x:c r="D43" s="29" t="n">
        <x:f>IF(AND(D$37&gt;$F10,D$37&lt;=EDATE($F10,$G10)),$K10+IF(D$37=EDATE($F10,$G10),$J10,0),0)</x:f>
        <x:v>0</x:v>
      </x:c>
      <x:c r="E43" s="29" t="n">
        <x:f>IF(AND(E$37&gt;$F10,E$37&lt;=EDATE($F10,$G10)),$K10+IF(E$37=EDATE($F10,$G10),$J10,0),0)</x:f>
        <x:v>0</x:v>
      </x:c>
      <x:c r="F43" s="29" t="n">
        <x:f>IF(AND(F$37&gt;$F10,F$37&lt;=EDATE($F10,$G10)),$K10+IF(F$37=EDATE($F10,$G10),$J10,0),0)</x:f>
        <x:v>0</x:v>
      </x:c>
      <x:c r="G43" s="29" t="n">
        <x:f>IF(AND(G$37&gt;$F10,G$37&lt;=EDATE($F10,$G10)),$K10+IF(G$37=EDATE($F10,$G10),$J10,0),0)</x:f>
        <x:v>0</x:v>
      </x:c>
      <x:c r="H43" s="29" t="n">
        <x:f>IF(AND(H$37&gt;$F10,H$37&lt;=EDATE($F10,$G10)),$K10+IF(H$37=EDATE($F10,$G10),$J10,0),0)</x:f>
        <x:v>0</x:v>
      </x:c>
      <x:c r="I43" s="29" t="n">
        <x:f>IF(AND(I$37&gt;$F10,I$37&lt;=EDATE($F10,$G10)),$K10+IF(I$37=EDATE($F10,$G10),$J10,0),0)</x:f>
        <x:v>1424777.326802801</x:v>
      </x:c>
      <x:c r="J43" s="29" t="n">
        <x:f>IF(AND(J$37&gt;$F10,J$37&lt;=EDATE($F10,$G10)),$K10+IF(J$37=EDATE($F10,$G10),$J10,0),0)</x:f>
        <x:v>1424777.326802801</x:v>
      </x:c>
      <x:c r="K43" s="29" t="n">
        <x:f>IF(AND(K$37&gt;$F10,K$37&lt;=EDATE($F10,$G10)),$K10+IF(K$37=EDATE($F10,$G10),$J10,0),0)</x:f>
        <x:v>1424777.326802801</x:v>
      </x:c>
      <x:c r="L43" s="29" t="n">
        <x:f>IF(AND(L$37&gt;$F10,L$37&lt;=EDATE($F10,$G10)),$K10+IF(L$37=EDATE($F10,$G10),$J10,0),0)</x:f>
        <x:v>1424777.326802801</x:v>
      </x:c>
      <x:c r="M43" s="29" t="n">
        <x:f>IF(AND(M$37&gt;$F10,M$37&lt;=EDATE($F10,$G10)),$K10+IF(M$37=EDATE($F10,$G10),$J10,0),0)</x:f>
        <x:v>1424777.326802801</x:v>
      </x:c>
      <x:c r="N43" s="29" t="n">
        <x:f>IF(AND(N$37&gt;$F10,N$37&lt;=EDATE($F10,$G10)),$K10+IF(N$37=EDATE($F10,$G10),$J10,0),0)</x:f>
        <x:v>1424777.326802801</x:v>
      </x:c>
      <x:c r="O43" s="29" t="n">
        <x:f>IF(AND(O$37&gt;$F10,O$37&lt;=EDATE($F10,$G10)),$K10+IF(O$37=EDATE($F10,$G10),$J10,0),0)</x:f>
        <x:v>1424777.326802801</x:v>
      </x:c>
      <x:c r="P43" s="29" t="n">
        <x:f>IF(AND(P$37&gt;$F10,P$37&lt;=EDATE($F10,$G10)),$K10+IF(P$37=EDATE($F10,$G10),$J10,0),0)</x:f>
        <x:v>1424777.326802801</x:v>
      </x:c>
      <x:c r="Q43" s="29" t="n">
        <x:f>IF(AND(Q$37&gt;$F10,Q$37&lt;=EDATE($F10,$G10)),$K10+IF(Q$37=EDATE($F10,$G10),$J10,0),0)</x:f>
        <x:v>1424777.326802801</x:v>
      </x:c>
      <x:c r="R43" s="29" t="n">
        <x:f>IF(AND(R$37&gt;$F10,R$37&lt;=EDATE($F10,$G10)),$K10+IF(R$37=EDATE($F10,$G10),$J10,0),0)</x:f>
        <x:v>1424777.326802801</x:v>
      </x:c>
      <x:c r="S43" s="29" t="n">
        <x:f>IF(AND(S$37&gt;$F10,S$37&lt;=EDATE($F10,$G10)),$K10+IF(S$37=EDATE($F10,$G10),$J10,0),0)</x:f>
        <x:v>1424777.326802801</x:v>
      </x:c>
      <x:c r="T43" s="29" t="n">
        <x:f>IF(AND(T$37&gt;$F10,T$37&lt;=EDATE($F10,$G10)),$K10+IF(T$37=EDATE($F10,$G10),$J10,0),0)</x:f>
        <x:v>1424777.326802801</x:v>
      </x:c>
      <x:c r="U43" s="29" t="n">
        <x:f>IF(AND(U$37&gt;$F10,U$37&lt;=EDATE($F10,$G10)),$K10+IF(U$37=EDATE($F10,$G10),$J10,0),0)</x:f>
        <x:v>1424777.326802801</x:v>
      </x:c>
      <x:c r="V43" s="29" t="n">
        <x:f>IF(AND(V$37&gt;$F10,V$37&lt;=EDATE($F10,$G10)),$K10+IF(V$37=EDATE($F10,$G10),$J10,0),0)</x:f>
        <x:v>1424777.326802801</x:v>
      </x:c>
      <x:c r="W43" s="29" t="n">
        <x:f>IF(AND(W$37&gt;$F10,W$37&lt;=EDATE($F10,$G10)),$K10+IF(W$37=EDATE($F10,$G10),$J10,0),0)</x:f>
        <x:v>1424777.326802801</x:v>
      </x:c>
      <x:c r="X43" s="29" t="n">
        <x:f>IF(AND(X$37&gt;$F10,X$37&lt;=EDATE($F10,$G10)),$K10+IF(X$37=EDATE($F10,$G10),$J10,0),0)</x:f>
        <x:v>1424777.326802801</x:v>
      </x:c>
      <x:c r="Y43" s="29" t="n">
        <x:f>IF(AND(Y$37&gt;$F10,Y$37&lt;=EDATE($F10,$G10)),$K10+IF(Y$37=EDATE($F10,$G10),$J10,0),0)</x:f>
        <x:v>1424777.326802801</x:v>
      </x:c>
      <x:c r="Z43" s="29" t="n">
        <x:f>IF(AND(Z$37&gt;$F10,Z$37&lt;=EDATE($F10,$G10)),$K10+IF(Z$37=EDATE($F10,$G10),$J10,0),0)</x:f>
        <x:v>1424777.326802801</x:v>
      </x:c>
      <x:c r="AA43" s="29" t="n">
        <x:f>IF(AND(AA$37&gt;$F10,AA$37&lt;=EDATE($F10,$G10)),$K10+IF(AA$37=EDATE($F10,$G10),$J10,0),0)</x:f>
        <x:v>1424777.326802801</x:v>
      </x:c>
      <x:c r="AB43" s="29" t="n">
        <x:f>IF(AND(AB$37&gt;$F10,AB$37&lt;=EDATE($F10,$G10)),$K10+IF(AB$37=EDATE($F10,$G10),$J10,0),0)</x:f>
        <x:v>1424777.326802801</x:v>
      </x:c>
      <x:c r="AC43" s="29" t="n">
        <x:f>IF(AND(AC$37&gt;$F10,AC$37&lt;=EDATE($F10,$G10)),$K10+IF(AC$37=EDATE($F10,$G10),$J10,0),0)</x:f>
        <x:v>1424777.326802801</x:v>
      </x:c>
      <x:c r="AD43" s="29" t="n">
        <x:f>IF(AND(AD$37&gt;$F10,AD$37&lt;=EDATE($F10,$G10)),$K10+IF(AD$37=EDATE($F10,$G10),$J10,0),0)</x:f>
        <x:v>1424777.326802801</x:v>
      </x:c>
      <x:c r="AE43" s="29" t="n">
        <x:f>IF(AND(AE$37&gt;$F10,AE$37&lt;=EDATE($F10,$G10)),$K10+IF(AE$37=EDATE($F10,$G10),$J10,0),0)</x:f>
        <x:v>1424777.326802801</x:v>
      </x:c>
      <x:c r="AF43" s="29" t="n">
        <x:f>IF(AND(AF$37&gt;$F10,AF$37&lt;=EDATE($F10,$G10)),$K10+IF(AF$37=EDATE($F10,$G10),$J10,0),0)</x:f>
        <x:v>1424777.326802801</x:v>
      </x:c>
      <x:c r="AG43" s="29" t="n">
        <x:f>IF(AND(AG$37&gt;$F10,AG$37&lt;=EDATE($F10,$G10)),$K10+IF(AG$37=EDATE($F10,$G10),$J10,0),0)</x:f>
        <x:v>1424777.326802801</x:v>
      </x:c>
      <x:c r="AH43" s="29" t="n">
        <x:f>IF(AND(AH$37&gt;$F10,AH$37&lt;=EDATE($F10,$G10)),$K10+IF(AH$37=EDATE($F10,$G10),$J10,0),0)</x:f>
        <x:v>1424777.326802801</x:v>
      </x:c>
      <x:c r="AI43" s="29" t="n">
        <x:f>IF(AND(AI$37&gt;$F10,AI$37&lt;=EDATE($F10,$G10)),$K10+IF(AI$37=EDATE($F10,$G10),$J10,0),0)</x:f>
        <x:v>1424777.326802801</x:v>
      </x:c>
      <x:c r="AJ43" s="29" t="n">
        <x:f>IF(AND(AJ$37&gt;$F10,AJ$37&lt;=EDATE($F10,$G10)),$K10+IF(AJ$37=EDATE($F10,$G10),$J10,0),0)</x:f>
        <x:v>1424777.326802801</x:v>
      </x:c>
      <x:c r="AK43" s="29" t="n">
        <x:f>IF(AND(AK$37&gt;$F10,AK$37&lt;=EDATE($F10,$G10)),$K10+IF(AK$37=EDATE($F10,$G10),$J10,0),0)</x:f>
        <x:v>1424777.326802801</x:v>
      </x:c>
      <x:c r="AL43" s="101" t="n">
        <x:f>IF(AND(AL$37&gt;$F10,AL$37&lt;=EDATE($F10,$G10)),$K10+IF(AL$37=EDATE($F10,$G10),$J10,0),0)</x:f>
        <x:v>1424777.326802801</x:v>
      </x:c>
      <x:c r="AM43" s="101" t="n">
        <x:f>IF(AND(AM$37&gt;$F10,AM$37&lt;=EDATE($F10,$G10)),$K10+IF(AM$37=EDATE($F10,$G10),$J10,0),0)</x:f>
        <x:v>1424777.326802801</x:v>
      </x:c>
      <x:c r="AN43" s="101" t="n">
        <x:f>IF(AND(AN$37&gt;$F10,AN$37&lt;=EDATE($F10,$G10)),$K10+IF(AN$37=EDATE($F10,$G10),$J10,0),0)</x:f>
        <x:v>1424777.326802801</x:v>
      </x:c>
      <x:c r="AO43" s="101" t="n">
        <x:f>IF(AND(AO$37&gt;$F10,AO$37&lt;=EDATE($F10,$G10)),$K10+IF(AO$37=EDATE($F10,$G10),$J10,0),0)</x:f>
        <x:v>1424777.326802801</x:v>
      </x:c>
      <x:c r="AP43" s="101" t="n">
        <x:f>IF(AND(AP$37&gt;$F10,AP$37&lt;=EDATE($F10,$G10)),$K10+IF(AP$37=EDATE($F10,$G10),$J10,0),0)</x:f>
        <x:v>1424777.326802801</x:v>
      </x:c>
      <x:c r="AQ43" s="101" t="n">
        <x:f>IF(AND(AQ$37&gt;$F10,AQ$37&lt;=EDATE($F10,$G10)),$K10+IF(AQ$37=EDATE($F10,$G10),$J10,0),0)</x:f>
        <x:v>1424777.326802801</x:v>
      </x:c>
      <x:c r="AR43" s="101" t="n">
        <x:f>IF(AND(AR$37&gt;$F10,AR$37&lt;=EDATE($F10,$G10)),$K10+IF(AR$37=EDATE($F10,$G10),$J10,0),0)</x:f>
        <x:v>1883057.326802801</x:v>
      </x:c>
      <x:c r="AS43" s="101" t="n">
        <x:f>IF(AND(AS$37&gt;$F10,AS$37&lt;=EDATE($F10,$G10)),$K10+IF(AS$37=EDATE($F10,$G10),$J10,0),0)</x:f>
        <x:v>0</x:v>
      </x:c>
      <x:c r="AT43" s="101" t="n">
        <x:f>IF(AND(AT$37&gt;$F10,AT$37&lt;=EDATE($F10,$G10)),$K10+IF(AT$37=EDATE($F10,$G10),$J10,0),0)</x:f>
        <x:v>0</x:v>
      </x:c>
      <x:c r="AU43" s="101" t="n">
        <x:f>IF(AND(AU$37&gt;$F10,AU$37&lt;=EDATE($F10,$G10)),$K10+IF(AU$37=EDATE($F10,$G10),$J10,0),0)</x:f>
        <x:v>0</x:v>
      </x:c>
      <x:c r="AV43" s="101" t="n">
        <x:f>IF(AND(AV$37&gt;$F10,AV$37&lt;=EDATE($F10,$G10)),$K10+IF(AV$37=EDATE($F10,$G10),$J10,0),0)</x:f>
        <x:v>0</x:v>
      </x:c>
      <x:c r="AW43" s="101" t="n">
        <x:f>IF(AND(AW$37&gt;$F10,AW$37&lt;=EDATE($F10,$G10)),$K10+IF(AW$37=EDATE($F10,$G10),$J10,0),0)</x:f>
        <x:v>0</x:v>
      </x:c>
      <x:c r="AX43" s="101" t="n">
        <x:f>IF(AND(AX$37&gt;$F10,AX$37&lt;=EDATE($F10,$G10)),$K10+IF(AX$37=EDATE($F10,$G10),$J10,0),0)</x:f>
        <x:v>0</x:v>
      </x:c>
      <x:c r="AY43" s="101" t="n">
        <x:f>IF(AND(AY$37&gt;$F10,AY$37&lt;=EDATE($F10,$G10)),$K10+IF(AY$37=EDATE($F10,$G10),$J10,0),0)</x:f>
        <x:v>0</x:v>
      </x:c>
      <x:c r="AZ43" s="101" t="n">
        <x:f>IF(AND(AZ$37&gt;$F10,AZ$37&lt;=EDATE($F10,$G10)),$K10+IF(AZ$37=EDATE($F10,$G10),$J10,0),0)</x:f>
        <x:v>0</x:v>
      </x:c>
      <x:c r="BA43" s="101" t="n">
        <x:f>IF(AND(BA$37&gt;$F10,BA$37&lt;=EDATE($F10,$G10)),$K10+IF(BA$37=EDATE($F10,$G10),$J10,0),0)</x:f>
        <x:v>0</x:v>
      </x:c>
      <x:c r="BB43" s="101" t="n">
        <x:f>IF(AND(BB$37&gt;$F10,BB$37&lt;=EDATE($F10,$G10)),$K10+IF(BB$37=EDATE($F10,$G10),$J10,0),0)</x:f>
        <x:v>0</x:v>
      </x:c>
      <x:c r="BC43" s="101" t="n">
        <x:f>IF(AND(BC$37&gt;$F10,BC$37&lt;=EDATE($F10,$G10)),$K10+IF(BC$37=EDATE($F10,$G10),$J10,0),0)</x:f>
        <x:v>0</x:v>
      </x:c>
      <x:c r="BD43" s="101" t="n">
        <x:f>IF(AND(BD$37&gt;$F10,BD$37&lt;=EDATE($F10,$G10)),$K10+IF(BD$37=EDATE($F10,$G10),$J10,0),0)</x:f>
        <x:v>0</x:v>
      </x:c>
      <x:c r="BE43" s="101" t="n">
        <x:f>IF(AND(BE$37&gt;$F10,BE$37&lt;=EDATE($F10,$G10)),$K10+IF(BE$37=EDATE($F10,$G10),$J10,0),0)</x:f>
        <x:v>0</x:v>
      </x:c>
      <x:c r="BF43" s="101" t="n">
        <x:f>IF(AND(BF$37&gt;$F10,BF$37&lt;=EDATE($F10,$G10)),$K10+IF(BF$37=EDATE($F10,$G10),$J10,0),0)</x:f>
        <x:v>0</x:v>
      </x:c>
      <x:c r="BG43" s="101" t="n">
        <x:f>IF(AND(BG$37&gt;$F10,BG$37&lt;=EDATE($F10,$G10)),$K10+IF(BG$37=EDATE($F10,$G10),$J10,0),0)</x:f>
        <x:v>0</x:v>
      </x:c>
      <x:c r="BH43" s="101" t="n">
        <x:f>IF(AND(BH$37&gt;$F10,BH$37&lt;=EDATE($F10,$G10)),$K10+IF(BH$37=EDATE($F10,$G10),$J10,0),0)</x:f>
        <x:v>0</x:v>
      </x:c>
      <x:c r="BI43" s="101" t="n">
        <x:f>IF(AND(BI$37&gt;$F10,BI$37&lt;=EDATE($F10,$G10)),$K10+IF(BI$37=EDATE($F10,$G10),$J10,0),0)</x:f>
        <x:v>0</x:v>
      </x:c>
    </x:row>
    <x:row r="44">
      <x:c r="A44" t="str">
        <x:f>A11</x:f>
        <x:v>批次07</x:v>
      </x:c>
      <x:c r="B44" s="29" t="n">
        <x:f>IF(AND(B$37&gt;$F11,B$37&lt;=EDATE($F11,$G11)),$K11+IF(B$37=EDATE($F11,$G11),$J11,0),0)</x:f>
        <x:v>0</x:v>
      </x:c>
      <x:c r="C44" s="29" t="n">
        <x:f>IF(AND(C$37&gt;$F11,C$37&lt;=EDATE($F11,$G11)),$K11+IF(C$37=EDATE($F11,$G11),$J11,0),0)</x:f>
        <x:v>0</x:v>
      </x:c>
      <x:c r="D44" s="29" t="n">
        <x:f>IF(AND(D$37&gt;$F11,D$37&lt;=EDATE($F11,$G11)),$K11+IF(D$37=EDATE($F11,$G11),$J11,0),0)</x:f>
        <x:v>0</x:v>
      </x:c>
      <x:c r="E44" s="29" t="n">
        <x:f>IF(AND(E$37&gt;$F11,E$37&lt;=EDATE($F11,$G11)),$K11+IF(E$37=EDATE($F11,$G11),$J11,0),0)</x:f>
        <x:v>0</x:v>
      </x:c>
      <x:c r="F44" s="29" t="n">
        <x:f>IF(AND(F$37&gt;$F11,F$37&lt;=EDATE($F11,$G11)),$K11+IF(F$37=EDATE($F11,$G11),$J11,0),0)</x:f>
        <x:v>0</x:v>
      </x:c>
      <x:c r="G44" s="29" t="n">
        <x:f>IF(AND(G$37&gt;$F11,G$37&lt;=EDATE($F11,$G11)),$K11+IF(G$37=EDATE($F11,$G11),$J11,0),0)</x:f>
        <x:v>0</x:v>
      </x:c>
      <x:c r="H44" s="29" t="n">
        <x:f>IF(AND(H$37&gt;$F11,H$37&lt;=EDATE($F11,$G11)),$K11+IF(H$37=EDATE($F11,$G11),$J11,0),0)</x:f>
        <x:v>0</x:v>
      </x:c>
      <x:c r="I44" s="29" t="n">
        <x:f>IF(AND(I$37&gt;$F11,I$37&lt;=EDATE($F11,$G11)),$K11+IF(I$37=EDATE($F11,$G11),$J11,0),0)</x:f>
        <x:v>0</x:v>
      </x:c>
      <x:c r="J44" s="29" t="n">
        <x:f>IF(AND(J$37&gt;$F11,J$37&lt;=EDATE($F11,$G11)),$K11+IF(J$37=EDATE($F11,$G11),$J11,0),0)</x:f>
        <x:v>1564587.5659280564</x:v>
      </x:c>
      <x:c r="K44" s="29" t="n">
        <x:f>IF(AND(K$37&gt;$F11,K$37&lt;=EDATE($F11,$G11)),$K11+IF(K$37=EDATE($F11,$G11),$J11,0),0)</x:f>
        <x:v>1564587.5659280564</x:v>
      </x:c>
      <x:c r="L44" s="29" t="n">
        <x:f>IF(AND(L$37&gt;$F11,L$37&lt;=EDATE($F11,$G11)),$K11+IF(L$37=EDATE($F11,$G11),$J11,0),0)</x:f>
        <x:v>1564587.5659280564</x:v>
      </x:c>
      <x:c r="M44" s="29" t="n">
        <x:f>IF(AND(M$37&gt;$F11,M$37&lt;=EDATE($F11,$G11)),$K11+IF(M$37=EDATE($F11,$G11),$J11,0),0)</x:f>
        <x:v>1564587.5659280564</x:v>
      </x:c>
      <x:c r="N44" s="29" t="n">
        <x:f>IF(AND(N$37&gt;$F11,N$37&lt;=EDATE($F11,$G11)),$K11+IF(N$37=EDATE($F11,$G11),$J11,0),0)</x:f>
        <x:v>1564587.5659280564</x:v>
      </x:c>
      <x:c r="O44" s="29" t="n">
        <x:f>IF(AND(O$37&gt;$F11,O$37&lt;=EDATE($F11,$G11)),$K11+IF(O$37=EDATE($F11,$G11),$J11,0),0)</x:f>
        <x:v>1564587.5659280564</x:v>
      </x:c>
      <x:c r="P44" s="29" t="n">
        <x:f>IF(AND(P$37&gt;$F11,P$37&lt;=EDATE($F11,$G11)),$K11+IF(P$37=EDATE($F11,$G11),$J11,0),0)</x:f>
        <x:v>1564587.5659280564</x:v>
      </x:c>
      <x:c r="Q44" s="29" t="n">
        <x:f>IF(AND(Q$37&gt;$F11,Q$37&lt;=EDATE($F11,$G11)),$K11+IF(Q$37=EDATE($F11,$G11),$J11,0),0)</x:f>
        <x:v>1564587.5659280564</x:v>
      </x:c>
      <x:c r="R44" s="29" t="n">
        <x:f>IF(AND(R$37&gt;$F11,R$37&lt;=EDATE($F11,$G11)),$K11+IF(R$37=EDATE($F11,$G11),$J11,0),0)</x:f>
        <x:v>1564587.5659280564</x:v>
      </x:c>
      <x:c r="S44" s="29" t="n">
        <x:f>IF(AND(S$37&gt;$F11,S$37&lt;=EDATE($F11,$G11)),$K11+IF(S$37=EDATE($F11,$G11),$J11,0),0)</x:f>
        <x:v>1564587.5659280564</x:v>
      </x:c>
      <x:c r="T44" s="29" t="n">
        <x:f>IF(AND(T$37&gt;$F11,T$37&lt;=EDATE($F11,$G11)),$K11+IF(T$37=EDATE($F11,$G11),$J11,0),0)</x:f>
        <x:v>1564587.5659280564</x:v>
      </x:c>
      <x:c r="U44" s="29" t="n">
        <x:f>IF(AND(U$37&gt;$F11,U$37&lt;=EDATE($F11,$G11)),$K11+IF(U$37=EDATE($F11,$G11),$J11,0),0)</x:f>
        <x:v>1564587.5659280564</x:v>
      </x:c>
      <x:c r="V44" s="29" t="n">
        <x:f>IF(AND(V$37&gt;$F11,V$37&lt;=EDATE($F11,$G11)),$K11+IF(V$37=EDATE($F11,$G11),$J11,0),0)</x:f>
        <x:v>1564587.5659280564</x:v>
      </x:c>
      <x:c r="W44" s="29" t="n">
        <x:f>IF(AND(W$37&gt;$F11,W$37&lt;=EDATE($F11,$G11)),$K11+IF(W$37=EDATE($F11,$G11),$J11,0),0)</x:f>
        <x:v>1564587.5659280564</x:v>
      </x:c>
      <x:c r="X44" s="29" t="n">
        <x:f>IF(AND(X$37&gt;$F11,X$37&lt;=EDATE($F11,$G11)),$K11+IF(X$37=EDATE($F11,$G11),$J11,0),0)</x:f>
        <x:v>1564587.5659280564</x:v>
      </x:c>
      <x:c r="Y44" s="29" t="n">
        <x:f>IF(AND(Y$37&gt;$F11,Y$37&lt;=EDATE($F11,$G11)),$K11+IF(Y$37=EDATE($F11,$G11),$J11,0),0)</x:f>
        <x:v>1564587.5659280564</x:v>
      </x:c>
      <x:c r="Z44" s="29" t="n">
        <x:f>IF(AND(Z$37&gt;$F11,Z$37&lt;=EDATE($F11,$G11)),$K11+IF(Z$37=EDATE($F11,$G11),$J11,0),0)</x:f>
        <x:v>1564587.5659280564</x:v>
      </x:c>
      <x:c r="AA44" s="29" t="n">
        <x:f>IF(AND(AA$37&gt;$F11,AA$37&lt;=EDATE($F11,$G11)),$K11+IF(AA$37=EDATE($F11,$G11),$J11,0),0)</x:f>
        <x:v>1564587.5659280564</x:v>
      </x:c>
      <x:c r="AB44" s="29" t="n">
        <x:f>IF(AND(AB$37&gt;$F11,AB$37&lt;=EDATE($F11,$G11)),$K11+IF(AB$37=EDATE($F11,$G11),$J11,0),0)</x:f>
        <x:v>1564587.5659280564</x:v>
      </x:c>
      <x:c r="AC44" s="29" t="n">
        <x:f>IF(AND(AC$37&gt;$F11,AC$37&lt;=EDATE($F11,$G11)),$K11+IF(AC$37=EDATE($F11,$G11),$J11,0),0)</x:f>
        <x:v>1564587.5659280564</x:v>
      </x:c>
      <x:c r="AD44" s="29" t="n">
        <x:f>IF(AND(AD$37&gt;$F11,AD$37&lt;=EDATE($F11,$G11)),$K11+IF(AD$37=EDATE($F11,$G11),$J11,0),0)</x:f>
        <x:v>1564587.5659280564</x:v>
      </x:c>
      <x:c r="AE44" s="29" t="n">
        <x:f>IF(AND(AE$37&gt;$F11,AE$37&lt;=EDATE($F11,$G11)),$K11+IF(AE$37=EDATE($F11,$G11),$J11,0),0)</x:f>
        <x:v>1564587.5659280564</x:v>
      </x:c>
      <x:c r="AF44" s="29" t="n">
        <x:f>IF(AND(AF$37&gt;$F11,AF$37&lt;=EDATE($F11,$G11)),$K11+IF(AF$37=EDATE($F11,$G11),$J11,0),0)</x:f>
        <x:v>1564587.5659280564</x:v>
      </x:c>
      <x:c r="AG44" s="29" t="n">
        <x:f>IF(AND(AG$37&gt;$F11,AG$37&lt;=EDATE($F11,$G11)),$K11+IF(AG$37=EDATE($F11,$G11),$J11,0),0)</x:f>
        <x:v>1564587.5659280564</x:v>
      </x:c>
      <x:c r="AH44" s="29" t="n">
        <x:f>IF(AND(AH$37&gt;$F11,AH$37&lt;=EDATE($F11,$G11)),$K11+IF(AH$37=EDATE($F11,$G11),$J11,0),0)</x:f>
        <x:v>1564587.5659280564</x:v>
      </x:c>
      <x:c r="AI44" s="29" t="n">
        <x:f>IF(AND(AI$37&gt;$F11,AI$37&lt;=EDATE($F11,$G11)),$K11+IF(AI$37=EDATE($F11,$G11),$J11,0),0)</x:f>
        <x:v>1564587.5659280564</x:v>
      </x:c>
      <x:c r="AJ44" s="29" t="n">
        <x:f>IF(AND(AJ$37&gt;$F11,AJ$37&lt;=EDATE($F11,$G11)),$K11+IF(AJ$37=EDATE($F11,$G11),$J11,0),0)</x:f>
        <x:v>1564587.5659280564</x:v>
      </x:c>
      <x:c r="AK44" s="29" t="n">
        <x:f>IF(AND(AK$37&gt;$F11,AK$37&lt;=EDATE($F11,$G11)),$K11+IF(AK$37=EDATE($F11,$G11),$J11,0),0)</x:f>
        <x:v>1564587.5659280564</x:v>
      </x:c>
      <x:c r="AL44" s="101" t="n">
        <x:f>IF(AND(AL$37&gt;$F11,AL$37&lt;=EDATE($F11,$G11)),$K11+IF(AL$37=EDATE($F11,$G11),$J11,0),0)</x:f>
        <x:v>1564587.5659280564</x:v>
      </x:c>
      <x:c r="AM44" s="101" t="n">
        <x:f>IF(AND(AM$37&gt;$F11,AM$37&lt;=EDATE($F11,$G11)),$K11+IF(AM$37=EDATE($F11,$G11),$J11,0),0)</x:f>
        <x:v>1564587.5659280564</x:v>
      </x:c>
      <x:c r="AN44" s="101" t="n">
        <x:f>IF(AND(AN$37&gt;$F11,AN$37&lt;=EDATE($F11,$G11)),$K11+IF(AN$37=EDATE($F11,$G11),$J11,0),0)</x:f>
        <x:v>1564587.5659280564</x:v>
      </x:c>
      <x:c r="AO44" s="101" t="n">
        <x:f>IF(AND(AO$37&gt;$F11,AO$37&lt;=EDATE($F11,$G11)),$K11+IF(AO$37=EDATE($F11,$G11),$J11,0),0)</x:f>
        <x:v>1564587.5659280564</x:v>
      </x:c>
      <x:c r="AP44" s="101" t="n">
        <x:f>IF(AND(AP$37&gt;$F11,AP$37&lt;=EDATE($F11,$G11)),$K11+IF(AP$37=EDATE($F11,$G11),$J11,0),0)</x:f>
        <x:v>1564587.5659280564</x:v>
      </x:c>
      <x:c r="AQ44" s="101" t="n">
        <x:f>IF(AND(AQ$37&gt;$F11,AQ$37&lt;=EDATE($F11,$G11)),$K11+IF(AQ$37=EDATE($F11,$G11),$J11,0),0)</x:f>
        <x:v>1564587.5659280564</x:v>
      </x:c>
      <x:c r="AR44" s="101" t="n">
        <x:f>IF(AND(AR$37&gt;$F11,AR$37&lt;=EDATE($F11,$G11)),$K11+IF(AR$37=EDATE($F11,$G11),$J11,0),0)</x:f>
        <x:v>1564587.5659280564</x:v>
      </x:c>
      <x:c r="AS44" s="101" t="n">
        <x:f>IF(AND(AS$37&gt;$F11,AS$37&lt;=EDATE($F11,$G11)),$K11+IF(AS$37=EDATE($F11,$G11),$J11,0),0)</x:f>
        <x:v>2067837.5659280564</x:v>
      </x:c>
      <x:c r="AT44" s="101" t="n">
        <x:f>IF(AND(AT$37&gt;$F11,AT$37&lt;=EDATE($F11,$G11)),$K11+IF(AT$37=EDATE($F11,$G11),$J11,0),0)</x:f>
        <x:v>0</x:v>
      </x:c>
      <x:c r="AU44" s="101" t="n">
        <x:f>IF(AND(AU$37&gt;$F11,AU$37&lt;=EDATE($F11,$G11)),$K11+IF(AU$37=EDATE($F11,$G11),$J11,0),0)</x:f>
        <x:v>0</x:v>
      </x:c>
      <x:c r="AV44" s="101" t="n">
        <x:f>IF(AND(AV$37&gt;$F11,AV$37&lt;=EDATE($F11,$G11)),$K11+IF(AV$37=EDATE($F11,$G11),$J11,0),0)</x:f>
        <x:v>0</x:v>
      </x:c>
      <x:c r="AW44" s="101" t="n">
        <x:f>IF(AND(AW$37&gt;$F11,AW$37&lt;=EDATE($F11,$G11)),$K11+IF(AW$37=EDATE($F11,$G11),$J11,0),0)</x:f>
        <x:v>0</x:v>
      </x:c>
      <x:c r="AX44" s="101" t="n">
        <x:f>IF(AND(AX$37&gt;$F11,AX$37&lt;=EDATE($F11,$G11)),$K11+IF(AX$37=EDATE($F11,$G11),$J11,0),0)</x:f>
        <x:v>0</x:v>
      </x:c>
      <x:c r="AY44" s="101" t="n">
        <x:f>IF(AND(AY$37&gt;$F11,AY$37&lt;=EDATE($F11,$G11)),$K11+IF(AY$37=EDATE($F11,$G11),$J11,0),0)</x:f>
        <x:v>0</x:v>
      </x:c>
      <x:c r="AZ44" s="101" t="n">
        <x:f>IF(AND(AZ$37&gt;$F11,AZ$37&lt;=EDATE($F11,$G11)),$K11+IF(AZ$37=EDATE($F11,$G11),$J11,0),0)</x:f>
        <x:v>0</x:v>
      </x:c>
      <x:c r="BA44" s="101" t="n">
        <x:f>IF(AND(BA$37&gt;$F11,BA$37&lt;=EDATE($F11,$G11)),$K11+IF(BA$37=EDATE($F11,$G11),$J11,0),0)</x:f>
        <x:v>0</x:v>
      </x:c>
      <x:c r="BB44" s="101" t="n">
        <x:f>IF(AND(BB$37&gt;$F11,BB$37&lt;=EDATE($F11,$G11)),$K11+IF(BB$37=EDATE($F11,$G11),$J11,0),0)</x:f>
        <x:v>0</x:v>
      </x:c>
      <x:c r="BC44" s="101" t="n">
        <x:f>IF(AND(BC$37&gt;$F11,BC$37&lt;=EDATE($F11,$G11)),$K11+IF(BC$37=EDATE($F11,$G11),$J11,0),0)</x:f>
        <x:v>0</x:v>
      </x:c>
      <x:c r="BD44" s="101" t="n">
        <x:f>IF(AND(BD$37&gt;$F11,BD$37&lt;=EDATE($F11,$G11)),$K11+IF(BD$37=EDATE($F11,$G11),$J11,0),0)</x:f>
        <x:v>0</x:v>
      </x:c>
      <x:c r="BE44" s="101" t="n">
        <x:f>IF(AND(BE$37&gt;$F11,BE$37&lt;=EDATE($F11,$G11)),$K11+IF(BE$37=EDATE($F11,$G11),$J11,0),0)</x:f>
        <x:v>0</x:v>
      </x:c>
      <x:c r="BF44" s="101" t="n">
        <x:f>IF(AND(BF$37&gt;$F11,BF$37&lt;=EDATE($F11,$G11)),$K11+IF(BF$37=EDATE($F11,$G11),$J11,0),0)</x:f>
        <x:v>0</x:v>
      </x:c>
      <x:c r="BG44" s="101" t="n">
        <x:f>IF(AND(BG$37&gt;$F11,BG$37&lt;=EDATE($F11,$G11)),$K11+IF(BG$37=EDATE($F11,$G11),$J11,0),0)</x:f>
        <x:v>0</x:v>
      </x:c>
      <x:c r="BH44" s="101" t="n">
        <x:f>IF(AND(BH$37&gt;$F11,BH$37&lt;=EDATE($F11,$G11)),$K11+IF(BH$37=EDATE($F11,$G11),$J11,0),0)</x:f>
        <x:v>0</x:v>
      </x:c>
      <x:c r="BI44" s="101" t="n">
        <x:f>IF(AND(BI$37&gt;$F11,BI$37&lt;=EDATE($F11,$G11)),$K11+IF(BI$37=EDATE($F11,$G11),$J11,0),0)</x:f>
        <x:v>0</x:v>
      </x:c>
    </x:row>
    <x:row r="45">
      <x:c r="A45" t="str">
        <x:f>A12</x:f>
        <x:v>批次08</x:v>
      </x:c>
      <x:c r="B45" s="29" t="n">
        <x:f>IF(AND(B$37&gt;$F12,B$37&lt;=EDATE($F12,$G12)),$K12+IF(B$37=EDATE($F12,$G12),$J12,0),0)</x:f>
        <x:v>0</x:v>
      </x:c>
      <x:c r="C45" s="29" t="n">
        <x:f>IF(AND(C$37&gt;$F12,C$37&lt;=EDATE($F12,$G12)),$K12+IF(C$37=EDATE($F12,$G12),$J12,0),0)</x:f>
        <x:v>0</x:v>
      </x:c>
      <x:c r="D45" s="29" t="n">
        <x:f>IF(AND(D$37&gt;$F12,D$37&lt;=EDATE($F12,$G12)),$K12+IF(D$37=EDATE($F12,$G12),$J12,0),0)</x:f>
        <x:v>0</x:v>
      </x:c>
      <x:c r="E45" s="29" t="n">
        <x:f>IF(AND(E$37&gt;$F12,E$37&lt;=EDATE($F12,$G12)),$K12+IF(E$37=EDATE($F12,$G12),$J12,0),0)</x:f>
        <x:v>0</x:v>
      </x:c>
      <x:c r="F45" s="29" t="n">
        <x:f>IF(AND(F$37&gt;$F12,F$37&lt;=EDATE($F12,$G12)),$K12+IF(F$37=EDATE($F12,$G12),$J12,0),0)</x:f>
        <x:v>0</x:v>
      </x:c>
      <x:c r="G45" s="29" t="n">
        <x:f>IF(AND(G$37&gt;$F12,G$37&lt;=EDATE($F12,$G12)),$K12+IF(G$37=EDATE($F12,$G12),$J12,0),0)</x:f>
        <x:v>0</x:v>
      </x:c>
      <x:c r="H45" s="29" t="n">
        <x:f>IF(AND(H$37&gt;$F12,H$37&lt;=EDATE($F12,$G12)),$K12+IF(H$37=EDATE($F12,$G12),$J12,0),0)</x:f>
        <x:v>0</x:v>
      </x:c>
      <x:c r="I45" s="29" t="n">
        <x:f>IF(AND(I$37&gt;$F12,I$37&lt;=EDATE($F12,$G12)),$K12+IF(I$37=EDATE($F12,$G12),$J12,0),0)</x:f>
        <x:v>0</x:v>
      </x:c>
      <x:c r="J45" s="29" t="n">
        <x:f>IF(AND(J$37&gt;$F12,J$37&lt;=EDATE($F12,$G12)),$K12+IF(J$37=EDATE($F12,$G12),$J12,0),0)</x:f>
        <x:v>0</x:v>
      </x:c>
      <x:c r="K45" s="29" t="n">
        <x:f>IF(AND(K$37&gt;$F12,K$37&lt;=EDATE($F12,$G12)),$K12+IF(K$37=EDATE($F12,$G12),$J12,0),0)</x:f>
        <x:v>1564587.5659280564</x:v>
      </x:c>
      <x:c r="L45" s="29" t="n">
        <x:f>IF(AND(L$37&gt;$F12,L$37&lt;=EDATE($F12,$G12)),$K12+IF(L$37=EDATE($F12,$G12),$J12,0),0)</x:f>
        <x:v>1564587.5659280564</x:v>
      </x:c>
      <x:c r="M45" s="29" t="n">
        <x:f>IF(AND(M$37&gt;$F12,M$37&lt;=EDATE($F12,$G12)),$K12+IF(M$37=EDATE($F12,$G12),$J12,0),0)</x:f>
        <x:v>1564587.5659280564</x:v>
      </x:c>
      <x:c r="N45" s="29" t="n">
        <x:f>IF(AND(N$37&gt;$F12,N$37&lt;=EDATE($F12,$G12)),$K12+IF(N$37=EDATE($F12,$G12),$J12,0),0)</x:f>
        <x:v>1564587.5659280564</x:v>
      </x:c>
      <x:c r="O45" s="29" t="n">
        <x:f>IF(AND(O$37&gt;$F12,O$37&lt;=EDATE($F12,$G12)),$K12+IF(O$37=EDATE($F12,$G12),$J12,0),0)</x:f>
        <x:v>1564587.5659280564</x:v>
      </x:c>
      <x:c r="P45" s="29" t="n">
        <x:f>IF(AND(P$37&gt;$F12,P$37&lt;=EDATE($F12,$G12)),$K12+IF(P$37=EDATE($F12,$G12),$J12,0),0)</x:f>
        <x:v>1564587.5659280564</x:v>
      </x:c>
      <x:c r="Q45" s="29" t="n">
        <x:f>IF(AND(Q$37&gt;$F12,Q$37&lt;=EDATE($F12,$G12)),$K12+IF(Q$37=EDATE($F12,$G12),$J12,0),0)</x:f>
        <x:v>1564587.5659280564</x:v>
      </x:c>
      <x:c r="R45" s="29" t="n">
        <x:f>IF(AND(R$37&gt;$F12,R$37&lt;=EDATE($F12,$G12)),$K12+IF(R$37=EDATE($F12,$G12),$J12,0),0)</x:f>
        <x:v>1564587.5659280564</x:v>
      </x:c>
      <x:c r="S45" s="29" t="n">
        <x:f>IF(AND(S$37&gt;$F12,S$37&lt;=EDATE($F12,$G12)),$K12+IF(S$37=EDATE($F12,$G12),$J12,0),0)</x:f>
        <x:v>1564587.5659280564</x:v>
      </x:c>
      <x:c r="T45" s="29" t="n">
        <x:f>IF(AND(T$37&gt;$F12,T$37&lt;=EDATE($F12,$G12)),$K12+IF(T$37=EDATE($F12,$G12),$J12,0),0)</x:f>
        <x:v>1564587.5659280564</x:v>
      </x:c>
      <x:c r="U45" s="29" t="n">
        <x:f>IF(AND(U$37&gt;$F12,U$37&lt;=EDATE($F12,$G12)),$K12+IF(U$37=EDATE($F12,$G12),$J12,0),0)</x:f>
        <x:v>1564587.5659280564</x:v>
      </x:c>
      <x:c r="V45" s="29" t="n">
        <x:f>IF(AND(V$37&gt;$F12,V$37&lt;=EDATE($F12,$G12)),$K12+IF(V$37=EDATE($F12,$G12),$J12,0),0)</x:f>
        <x:v>1564587.5659280564</x:v>
      </x:c>
      <x:c r="W45" s="29" t="n">
        <x:f>IF(AND(W$37&gt;$F12,W$37&lt;=EDATE($F12,$G12)),$K12+IF(W$37=EDATE($F12,$G12),$J12,0),0)</x:f>
        <x:v>1564587.5659280564</x:v>
      </x:c>
      <x:c r="X45" s="29" t="n">
        <x:f>IF(AND(X$37&gt;$F12,X$37&lt;=EDATE($F12,$G12)),$K12+IF(X$37=EDATE($F12,$G12),$J12,0),0)</x:f>
        <x:v>1564587.5659280564</x:v>
      </x:c>
      <x:c r="Y45" s="29" t="n">
        <x:f>IF(AND(Y$37&gt;$F12,Y$37&lt;=EDATE($F12,$G12)),$K12+IF(Y$37=EDATE($F12,$G12),$J12,0),0)</x:f>
        <x:v>1564587.5659280564</x:v>
      </x:c>
      <x:c r="Z45" s="29" t="n">
        <x:f>IF(AND(Z$37&gt;$F12,Z$37&lt;=EDATE($F12,$G12)),$K12+IF(Z$37=EDATE($F12,$G12),$J12,0),0)</x:f>
        <x:v>1564587.5659280564</x:v>
      </x:c>
      <x:c r="AA45" s="29" t="n">
        <x:f>IF(AND(AA$37&gt;$F12,AA$37&lt;=EDATE($F12,$G12)),$K12+IF(AA$37=EDATE($F12,$G12),$J12,0),0)</x:f>
        <x:v>1564587.5659280564</x:v>
      </x:c>
      <x:c r="AB45" s="29" t="n">
        <x:f>IF(AND(AB$37&gt;$F12,AB$37&lt;=EDATE($F12,$G12)),$K12+IF(AB$37=EDATE($F12,$G12),$J12,0),0)</x:f>
        <x:v>1564587.5659280564</x:v>
      </x:c>
      <x:c r="AC45" s="29" t="n">
        <x:f>IF(AND(AC$37&gt;$F12,AC$37&lt;=EDATE($F12,$G12)),$K12+IF(AC$37=EDATE($F12,$G12),$J12,0),0)</x:f>
        <x:v>1564587.5659280564</x:v>
      </x:c>
      <x:c r="AD45" s="29" t="n">
        <x:f>IF(AND(AD$37&gt;$F12,AD$37&lt;=EDATE($F12,$G12)),$K12+IF(AD$37=EDATE($F12,$G12),$J12,0),0)</x:f>
        <x:v>1564587.5659280564</x:v>
      </x:c>
      <x:c r="AE45" s="29" t="n">
        <x:f>IF(AND(AE$37&gt;$F12,AE$37&lt;=EDATE($F12,$G12)),$K12+IF(AE$37=EDATE($F12,$G12),$J12,0),0)</x:f>
        <x:v>1564587.5659280564</x:v>
      </x:c>
      <x:c r="AF45" s="29" t="n">
        <x:f>IF(AND(AF$37&gt;$F12,AF$37&lt;=EDATE($F12,$G12)),$K12+IF(AF$37=EDATE($F12,$G12),$J12,0),0)</x:f>
        <x:v>1564587.5659280564</x:v>
      </x:c>
      <x:c r="AG45" s="29" t="n">
        <x:f>IF(AND(AG$37&gt;$F12,AG$37&lt;=EDATE($F12,$G12)),$K12+IF(AG$37=EDATE($F12,$G12),$J12,0),0)</x:f>
        <x:v>1564587.5659280564</x:v>
      </x:c>
      <x:c r="AH45" s="29" t="n">
        <x:f>IF(AND(AH$37&gt;$F12,AH$37&lt;=EDATE($F12,$G12)),$K12+IF(AH$37=EDATE($F12,$G12),$J12,0),0)</x:f>
        <x:v>1564587.5659280564</x:v>
      </x:c>
      <x:c r="AI45" s="29" t="n">
        <x:f>IF(AND(AI$37&gt;$F12,AI$37&lt;=EDATE($F12,$G12)),$K12+IF(AI$37=EDATE($F12,$G12),$J12,0),0)</x:f>
        <x:v>1564587.5659280564</x:v>
      </x:c>
      <x:c r="AJ45" s="29" t="n">
        <x:f>IF(AND(AJ$37&gt;$F12,AJ$37&lt;=EDATE($F12,$G12)),$K12+IF(AJ$37=EDATE($F12,$G12),$J12,0),0)</x:f>
        <x:v>1564587.5659280564</x:v>
      </x:c>
      <x:c r="AK45" s="29" t="n">
        <x:f>IF(AND(AK$37&gt;$F12,AK$37&lt;=EDATE($F12,$G12)),$K12+IF(AK$37=EDATE($F12,$G12),$J12,0),0)</x:f>
        <x:v>1564587.5659280564</x:v>
      </x:c>
      <x:c r="AL45" s="101" t="n">
        <x:f>IF(AND(AL$37&gt;$F12,AL$37&lt;=EDATE($F12,$G12)),$K12+IF(AL$37=EDATE($F12,$G12),$J12,0),0)</x:f>
        <x:v>1564587.5659280564</x:v>
      </x:c>
      <x:c r="AM45" s="101" t="n">
        <x:f>IF(AND(AM$37&gt;$F12,AM$37&lt;=EDATE($F12,$G12)),$K12+IF(AM$37=EDATE($F12,$G12),$J12,0),0)</x:f>
        <x:v>1564587.5659280564</x:v>
      </x:c>
      <x:c r="AN45" s="101" t="n">
        <x:f>IF(AND(AN$37&gt;$F12,AN$37&lt;=EDATE($F12,$G12)),$K12+IF(AN$37=EDATE($F12,$G12),$J12,0),0)</x:f>
        <x:v>1564587.5659280564</x:v>
      </x:c>
      <x:c r="AO45" s="101" t="n">
        <x:f>IF(AND(AO$37&gt;$F12,AO$37&lt;=EDATE($F12,$G12)),$K12+IF(AO$37=EDATE($F12,$G12),$J12,0),0)</x:f>
        <x:v>1564587.5659280564</x:v>
      </x:c>
      <x:c r="AP45" s="101" t="n">
        <x:f>IF(AND(AP$37&gt;$F12,AP$37&lt;=EDATE($F12,$G12)),$K12+IF(AP$37=EDATE($F12,$G12),$J12,0),0)</x:f>
        <x:v>1564587.5659280564</x:v>
      </x:c>
      <x:c r="AQ45" s="101" t="n">
        <x:f>IF(AND(AQ$37&gt;$F12,AQ$37&lt;=EDATE($F12,$G12)),$K12+IF(AQ$37=EDATE($F12,$G12),$J12,0),0)</x:f>
        <x:v>1564587.5659280564</x:v>
      </x:c>
      <x:c r="AR45" s="101" t="n">
        <x:f>IF(AND(AR$37&gt;$F12,AR$37&lt;=EDATE($F12,$G12)),$K12+IF(AR$37=EDATE($F12,$G12),$J12,0),0)</x:f>
        <x:v>1564587.5659280564</x:v>
      </x:c>
      <x:c r="AS45" s="101" t="n">
        <x:f>IF(AND(AS$37&gt;$F12,AS$37&lt;=EDATE($F12,$G12)),$K12+IF(AS$37=EDATE($F12,$G12),$J12,0),0)</x:f>
        <x:v>1564587.5659280564</x:v>
      </x:c>
      <x:c r="AT45" s="101" t="n">
        <x:f>IF(AND(AT$37&gt;$F12,AT$37&lt;=EDATE($F12,$G12)),$K12+IF(AT$37=EDATE($F12,$G12),$J12,0),0)</x:f>
        <x:v>2067837.5659280564</x:v>
      </x:c>
      <x:c r="AU45" s="101" t="n">
        <x:f>IF(AND(AU$37&gt;$F12,AU$37&lt;=EDATE($F12,$G12)),$K12+IF(AU$37=EDATE($F12,$G12),$J12,0),0)</x:f>
        <x:v>0</x:v>
      </x:c>
      <x:c r="AV45" s="101" t="n">
        <x:f>IF(AND(AV$37&gt;$F12,AV$37&lt;=EDATE($F12,$G12)),$K12+IF(AV$37=EDATE($F12,$G12),$J12,0),0)</x:f>
        <x:v>0</x:v>
      </x:c>
      <x:c r="AW45" s="101" t="n">
        <x:f>IF(AND(AW$37&gt;$F12,AW$37&lt;=EDATE($F12,$G12)),$K12+IF(AW$37=EDATE($F12,$G12),$J12,0),0)</x:f>
        <x:v>0</x:v>
      </x:c>
      <x:c r="AX45" s="101" t="n">
        <x:f>IF(AND(AX$37&gt;$F12,AX$37&lt;=EDATE($F12,$G12)),$K12+IF(AX$37=EDATE($F12,$G12),$J12,0),0)</x:f>
        <x:v>0</x:v>
      </x:c>
      <x:c r="AY45" s="101" t="n">
        <x:f>IF(AND(AY$37&gt;$F12,AY$37&lt;=EDATE($F12,$G12)),$K12+IF(AY$37=EDATE($F12,$G12),$J12,0),0)</x:f>
        <x:v>0</x:v>
      </x:c>
      <x:c r="AZ45" s="101" t="n">
        <x:f>IF(AND(AZ$37&gt;$F12,AZ$37&lt;=EDATE($F12,$G12)),$K12+IF(AZ$37=EDATE($F12,$G12),$J12,0),0)</x:f>
        <x:v>0</x:v>
      </x:c>
      <x:c r="BA45" s="101" t="n">
        <x:f>IF(AND(BA$37&gt;$F12,BA$37&lt;=EDATE($F12,$G12)),$K12+IF(BA$37=EDATE($F12,$G12),$J12,0),0)</x:f>
        <x:v>0</x:v>
      </x:c>
      <x:c r="BB45" s="101" t="n">
        <x:f>IF(AND(BB$37&gt;$F12,BB$37&lt;=EDATE($F12,$G12)),$K12+IF(BB$37=EDATE($F12,$G12),$J12,0),0)</x:f>
        <x:v>0</x:v>
      </x:c>
      <x:c r="BC45" s="101" t="n">
        <x:f>IF(AND(BC$37&gt;$F12,BC$37&lt;=EDATE($F12,$G12)),$K12+IF(BC$37=EDATE($F12,$G12),$J12,0),0)</x:f>
        <x:v>0</x:v>
      </x:c>
      <x:c r="BD45" s="101" t="n">
        <x:f>IF(AND(BD$37&gt;$F12,BD$37&lt;=EDATE($F12,$G12)),$K12+IF(BD$37=EDATE($F12,$G12),$J12,0),0)</x:f>
        <x:v>0</x:v>
      </x:c>
      <x:c r="BE45" s="101" t="n">
        <x:f>IF(AND(BE$37&gt;$F12,BE$37&lt;=EDATE($F12,$G12)),$K12+IF(BE$37=EDATE($F12,$G12),$J12,0),0)</x:f>
        <x:v>0</x:v>
      </x:c>
      <x:c r="BF45" s="101" t="n">
        <x:f>IF(AND(BF$37&gt;$F12,BF$37&lt;=EDATE($F12,$G12)),$K12+IF(BF$37=EDATE($F12,$G12),$J12,0),0)</x:f>
        <x:v>0</x:v>
      </x:c>
      <x:c r="BG45" s="101" t="n">
        <x:f>IF(AND(BG$37&gt;$F12,BG$37&lt;=EDATE($F12,$G12)),$K12+IF(BG$37=EDATE($F12,$G12),$J12,0),0)</x:f>
        <x:v>0</x:v>
      </x:c>
      <x:c r="BH45" s="101" t="n">
        <x:f>IF(AND(BH$37&gt;$F12,BH$37&lt;=EDATE($F12,$G12)),$K12+IF(BH$37=EDATE($F12,$G12),$J12,0),0)</x:f>
        <x:v>0</x:v>
      </x:c>
      <x:c r="BI45" s="101" t="n">
        <x:f>IF(AND(BI$37&gt;$F12,BI$37&lt;=EDATE($F12,$G12)),$K12+IF(BI$37=EDATE($F12,$G12),$J12,0),0)</x:f>
        <x:v>0</x:v>
      </x:c>
    </x:row>
    <x:row r="46">
      <x:c r="A46" t="str">
        <x:f>A13</x:f>
        <x:v>批次09</x:v>
      </x:c>
      <x:c r="B46" s="29" t="n">
        <x:f>IF(AND(B$37&gt;$F13,B$37&lt;=EDATE($F13,$G13)),$K13+IF(B$37=EDATE($F13,$G13),$J13,0),0)</x:f>
        <x:v>0</x:v>
      </x:c>
      <x:c r="C46" s="29" t="n">
        <x:f>IF(AND(C$37&gt;$F13,C$37&lt;=EDATE($F13,$G13)),$K13+IF(C$37=EDATE($F13,$G13),$J13,0),0)</x:f>
        <x:v>0</x:v>
      </x:c>
      <x:c r="D46" s="29" t="n">
        <x:f>IF(AND(D$37&gt;$F13,D$37&lt;=EDATE($F13,$G13)),$K13+IF(D$37=EDATE($F13,$G13),$J13,0),0)</x:f>
        <x:v>0</x:v>
      </x:c>
      <x:c r="E46" s="29" t="n">
        <x:f>IF(AND(E$37&gt;$F13,E$37&lt;=EDATE($F13,$G13)),$K13+IF(E$37=EDATE($F13,$G13),$J13,0),0)</x:f>
        <x:v>0</x:v>
      </x:c>
      <x:c r="F46" s="29" t="n">
        <x:f>IF(AND(F$37&gt;$F13,F$37&lt;=EDATE($F13,$G13)),$K13+IF(F$37=EDATE($F13,$G13),$J13,0),0)</x:f>
        <x:v>0</x:v>
      </x:c>
      <x:c r="G46" s="29" t="n">
        <x:f>IF(AND(G$37&gt;$F13,G$37&lt;=EDATE($F13,$G13)),$K13+IF(G$37=EDATE($F13,$G13),$J13,0),0)</x:f>
        <x:v>0</x:v>
      </x:c>
      <x:c r="H46" s="29" t="n">
        <x:f>IF(AND(H$37&gt;$F13,H$37&lt;=EDATE($F13,$G13)),$K13+IF(H$37=EDATE($F13,$G13),$J13,0),0)</x:f>
        <x:v>0</x:v>
      </x:c>
      <x:c r="I46" s="29" t="n">
        <x:f>IF(AND(I$37&gt;$F13,I$37&lt;=EDATE($F13,$G13)),$K13+IF(I$37=EDATE($F13,$G13),$J13,0),0)</x:f>
        <x:v>0</x:v>
      </x:c>
      <x:c r="J46" s="29" t="n">
        <x:f>IF(AND(J$37&gt;$F13,J$37&lt;=EDATE($F13,$G13)),$K13+IF(J$37=EDATE($F13,$G13),$J13,0),0)</x:f>
        <x:v>0</x:v>
      </x:c>
      <x:c r="K46" s="29" t="n">
        <x:f>IF(AND(K$37&gt;$F13,K$37&lt;=EDATE($F13,$G13)),$K13+IF(K$37=EDATE($F13,$G13),$J13,0),0)</x:f>
        <x:v>0</x:v>
      </x:c>
      <x:c r="L46" s="29" t="n">
        <x:f>IF(AND(L$37&gt;$F13,L$37&lt;=EDATE($F13,$G13)),$K13+IF(L$37=EDATE($F13,$G13),$J13,0),0)</x:f>
        <x:v>1981313.4821466291</x:v>
      </x:c>
      <x:c r="M46" s="29" t="n">
        <x:f>IF(AND(M$37&gt;$F13,M$37&lt;=EDATE($F13,$G13)),$K13+IF(M$37=EDATE($F13,$G13),$J13,0),0)</x:f>
        <x:v>1981313.4821466291</x:v>
      </x:c>
      <x:c r="N46" s="29" t="n">
        <x:f>IF(AND(N$37&gt;$F13,N$37&lt;=EDATE($F13,$G13)),$K13+IF(N$37=EDATE($F13,$G13),$J13,0),0)</x:f>
        <x:v>1981313.4821466291</x:v>
      </x:c>
      <x:c r="O46" s="29" t="n">
        <x:f>IF(AND(O$37&gt;$F13,O$37&lt;=EDATE($F13,$G13)),$K13+IF(O$37=EDATE($F13,$G13),$J13,0),0)</x:f>
        <x:v>1981313.4821466291</x:v>
      </x:c>
      <x:c r="P46" s="29" t="n">
        <x:f>IF(AND(P$37&gt;$F13,P$37&lt;=EDATE($F13,$G13)),$K13+IF(P$37=EDATE($F13,$G13),$J13,0),0)</x:f>
        <x:v>1981313.4821466291</x:v>
      </x:c>
      <x:c r="Q46" s="29" t="n">
        <x:f>IF(AND(Q$37&gt;$F13,Q$37&lt;=EDATE($F13,$G13)),$K13+IF(Q$37=EDATE($F13,$G13),$J13,0),0)</x:f>
        <x:v>1981313.4821466291</x:v>
      </x:c>
      <x:c r="R46" s="29" t="n">
        <x:f>IF(AND(R$37&gt;$F13,R$37&lt;=EDATE($F13,$G13)),$K13+IF(R$37=EDATE($F13,$G13),$J13,0),0)</x:f>
        <x:v>1981313.4821466291</x:v>
      </x:c>
      <x:c r="S46" s="29" t="n">
        <x:f>IF(AND(S$37&gt;$F13,S$37&lt;=EDATE($F13,$G13)),$K13+IF(S$37=EDATE($F13,$G13),$J13,0),0)</x:f>
        <x:v>1981313.4821466291</x:v>
      </x:c>
      <x:c r="T46" s="29" t="n">
        <x:f>IF(AND(T$37&gt;$F13,T$37&lt;=EDATE($F13,$G13)),$K13+IF(T$37=EDATE($F13,$G13),$J13,0),0)</x:f>
        <x:v>1981313.4821466291</x:v>
      </x:c>
      <x:c r="U46" s="29" t="n">
        <x:f>IF(AND(U$37&gt;$F13,U$37&lt;=EDATE($F13,$G13)),$K13+IF(U$37=EDATE($F13,$G13),$J13,0),0)</x:f>
        <x:v>1981313.4821466291</x:v>
      </x:c>
      <x:c r="V46" s="29" t="n">
        <x:f>IF(AND(V$37&gt;$F13,V$37&lt;=EDATE($F13,$G13)),$K13+IF(V$37=EDATE($F13,$G13),$J13,0),0)</x:f>
        <x:v>1981313.4821466291</x:v>
      </x:c>
      <x:c r="W46" s="29" t="n">
        <x:f>IF(AND(W$37&gt;$F13,W$37&lt;=EDATE($F13,$G13)),$K13+IF(W$37=EDATE($F13,$G13),$J13,0),0)</x:f>
        <x:v>1981313.4821466291</x:v>
      </x:c>
      <x:c r="X46" s="29" t="n">
        <x:f>IF(AND(X$37&gt;$F13,X$37&lt;=EDATE($F13,$G13)),$K13+IF(X$37=EDATE($F13,$G13),$J13,0),0)</x:f>
        <x:v>1981313.4821466291</x:v>
      </x:c>
      <x:c r="Y46" s="29" t="n">
        <x:f>IF(AND(Y$37&gt;$F13,Y$37&lt;=EDATE($F13,$G13)),$K13+IF(Y$37=EDATE($F13,$G13),$J13,0),0)</x:f>
        <x:v>1981313.4821466291</x:v>
      </x:c>
      <x:c r="Z46" s="29" t="n">
        <x:f>IF(AND(Z$37&gt;$F13,Z$37&lt;=EDATE($F13,$G13)),$K13+IF(Z$37=EDATE($F13,$G13),$J13,0),0)</x:f>
        <x:v>1981313.4821466291</x:v>
      </x:c>
      <x:c r="AA46" s="29" t="n">
        <x:f>IF(AND(AA$37&gt;$F13,AA$37&lt;=EDATE($F13,$G13)),$K13+IF(AA$37=EDATE($F13,$G13),$J13,0),0)</x:f>
        <x:v>1981313.4821466291</x:v>
      </x:c>
      <x:c r="AB46" s="29" t="n">
        <x:f>IF(AND(AB$37&gt;$F13,AB$37&lt;=EDATE($F13,$G13)),$K13+IF(AB$37=EDATE($F13,$G13),$J13,0),0)</x:f>
        <x:v>1981313.4821466291</x:v>
      </x:c>
      <x:c r="AC46" s="29" t="n">
        <x:f>IF(AND(AC$37&gt;$F13,AC$37&lt;=EDATE($F13,$G13)),$K13+IF(AC$37=EDATE($F13,$G13),$J13,0),0)</x:f>
        <x:v>1981313.4821466291</x:v>
      </x:c>
      <x:c r="AD46" s="29" t="n">
        <x:f>IF(AND(AD$37&gt;$F13,AD$37&lt;=EDATE($F13,$G13)),$K13+IF(AD$37=EDATE($F13,$G13),$J13,0),0)</x:f>
        <x:v>1981313.4821466291</x:v>
      </x:c>
      <x:c r="AE46" s="29" t="n">
        <x:f>IF(AND(AE$37&gt;$F13,AE$37&lt;=EDATE($F13,$G13)),$K13+IF(AE$37=EDATE($F13,$G13),$J13,0),0)</x:f>
        <x:v>1981313.4821466291</x:v>
      </x:c>
      <x:c r="AF46" s="29" t="n">
        <x:f>IF(AND(AF$37&gt;$F13,AF$37&lt;=EDATE($F13,$G13)),$K13+IF(AF$37=EDATE($F13,$G13),$J13,0),0)</x:f>
        <x:v>1981313.4821466291</x:v>
      </x:c>
      <x:c r="AG46" s="29" t="n">
        <x:f>IF(AND(AG$37&gt;$F13,AG$37&lt;=EDATE($F13,$G13)),$K13+IF(AG$37=EDATE($F13,$G13),$J13,0),0)</x:f>
        <x:v>1981313.4821466291</x:v>
      </x:c>
      <x:c r="AH46" s="29" t="n">
        <x:f>IF(AND(AH$37&gt;$F13,AH$37&lt;=EDATE($F13,$G13)),$K13+IF(AH$37=EDATE($F13,$G13),$J13,0),0)</x:f>
        <x:v>1981313.4821466291</x:v>
      </x:c>
      <x:c r="AI46" s="29" t="n">
        <x:f>IF(AND(AI$37&gt;$F13,AI$37&lt;=EDATE($F13,$G13)),$K13+IF(AI$37=EDATE($F13,$G13),$J13,0),0)</x:f>
        <x:v>1981313.4821466291</x:v>
      </x:c>
      <x:c r="AJ46" s="29" t="n">
        <x:f>IF(AND(AJ$37&gt;$F13,AJ$37&lt;=EDATE($F13,$G13)),$K13+IF(AJ$37=EDATE($F13,$G13),$J13,0),0)</x:f>
        <x:v>1981313.4821466291</x:v>
      </x:c>
      <x:c r="AK46" s="29" t="n">
        <x:f>IF(AND(AK$37&gt;$F13,AK$37&lt;=EDATE($F13,$G13)),$K13+IF(AK$37=EDATE($F13,$G13),$J13,0),0)</x:f>
        <x:v>1981313.4821466291</x:v>
      </x:c>
      <x:c r="AL46" s="101" t="n">
        <x:f>IF(AND(AL$37&gt;$F13,AL$37&lt;=EDATE($F13,$G13)),$K13+IF(AL$37=EDATE($F13,$G13),$J13,0),0)</x:f>
        <x:v>1981313.4821466291</x:v>
      </x:c>
      <x:c r="AM46" s="101" t="n">
        <x:f>IF(AND(AM$37&gt;$F13,AM$37&lt;=EDATE($F13,$G13)),$K13+IF(AM$37=EDATE($F13,$G13),$J13,0),0)</x:f>
        <x:v>1981313.4821466291</x:v>
      </x:c>
      <x:c r="AN46" s="101" t="n">
        <x:f>IF(AND(AN$37&gt;$F13,AN$37&lt;=EDATE($F13,$G13)),$K13+IF(AN$37=EDATE($F13,$G13),$J13,0),0)</x:f>
        <x:v>1981313.4821466291</x:v>
      </x:c>
      <x:c r="AO46" s="101" t="n">
        <x:f>IF(AND(AO$37&gt;$F13,AO$37&lt;=EDATE($F13,$G13)),$K13+IF(AO$37=EDATE($F13,$G13),$J13,0),0)</x:f>
        <x:v>1981313.4821466291</x:v>
      </x:c>
      <x:c r="AP46" s="101" t="n">
        <x:f>IF(AND(AP$37&gt;$F13,AP$37&lt;=EDATE($F13,$G13)),$K13+IF(AP$37=EDATE($F13,$G13),$J13,0),0)</x:f>
        <x:v>1981313.4821466291</x:v>
      </x:c>
      <x:c r="AQ46" s="101" t="n">
        <x:f>IF(AND(AQ$37&gt;$F13,AQ$37&lt;=EDATE($F13,$G13)),$K13+IF(AQ$37=EDATE($F13,$G13),$J13,0),0)</x:f>
        <x:v>1981313.4821466291</x:v>
      </x:c>
      <x:c r="AR46" s="101" t="n">
        <x:f>IF(AND(AR$37&gt;$F13,AR$37&lt;=EDATE($F13,$G13)),$K13+IF(AR$37=EDATE($F13,$G13),$J13,0),0)</x:f>
        <x:v>1981313.4821466291</x:v>
      </x:c>
      <x:c r="AS46" s="101" t="n">
        <x:f>IF(AND(AS$37&gt;$F13,AS$37&lt;=EDATE($F13,$G13)),$K13+IF(AS$37=EDATE($F13,$G13),$J13,0),0)</x:f>
        <x:v>1981313.4821466291</x:v>
      </x:c>
      <x:c r="AT46" s="101" t="n">
        <x:f>IF(AND(AT$37&gt;$F13,AT$37&lt;=EDATE($F13,$G13)),$K13+IF(AT$37=EDATE($F13,$G13),$J13,0),0)</x:f>
        <x:v>1981313.4821466291</x:v>
      </x:c>
      <x:c r="AU46" s="101" t="n">
        <x:f>IF(AND(AU$37&gt;$F13,AU$37&lt;=EDATE($F13,$G13)),$K13+IF(AU$37=EDATE($F13,$G13),$J13,0),0)</x:f>
        <x:v>2618603.482146629</x:v>
      </x:c>
      <x:c r="AV46" s="101" t="n">
        <x:f>IF(AND(AV$37&gt;$F13,AV$37&lt;=EDATE($F13,$G13)),$K13+IF(AV$37=EDATE($F13,$G13),$J13,0),0)</x:f>
        <x:v>0</x:v>
      </x:c>
      <x:c r="AW46" s="101" t="n">
        <x:f>IF(AND(AW$37&gt;$F13,AW$37&lt;=EDATE($F13,$G13)),$K13+IF(AW$37=EDATE($F13,$G13),$J13,0),0)</x:f>
        <x:v>0</x:v>
      </x:c>
      <x:c r="AX46" s="101" t="n">
        <x:f>IF(AND(AX$37&gt;$F13,AX$37&lt;=EDATE($F13,$G13)),$K13+IF(AX$37=EDATE($F13,$G13),$J13,0),0)</x:f>
        <x:v>0</x:v>
      </x:c>
      <x:c r="AY46" s="101" t="n">
        <x:f>IF(AND(AY$37&gt;$F13,AY$37&lt;=EDATE($F13,$G13)),$K13+IF(AY$37=EDATE($F13,$G13),$J13,0),0)</x:f>
        <x:v>0</x:v>
      </x:c>
      <x:c r="AZ46" s="101" t="n">
        <x:f>IF(AND(AZ$37&gt;$F13,AZ$37&lt;=EDATE($F13,$G13)),$K13+IF(AZ$37=EDATE($F13,$G13),$J13,0),0)</x:f>
        <x:v>0</x:v>
      </x:c>
      <x:c r="BA46" s="101" t="n">
        <x:f>IF(AND(BA$37&gt;$F13,BA$37&lt;=EDATE($F13,$G13)),$K13+IF(BA$37=EDATE($F13,$G13),$J13,0),0)</x:f>
        <x:v>0</x:v>
      </x:c>
      <x:c r="BB46" s="101" t="n">
        <x:f>IF(AND(BB$37&gt;$F13,BB$37&lt;=EDATE($F13,$G13)),$K13+IF(BB$37=EDATE($F13,$G13),$J13,0),0)</x:f>
        <x:v>0</x:v>
      </x:c>
      <x:c r="BC46" s="101" t="n">
        <x:f>IF(AND(BC$37&gt;$F13,BC$37&lt;=EDATE($F13,$G13)),$K13+IF(BC$37=EDATE($F13,$G13),$J13,0),0)</x:f>
        <x:v>0</x:v>
      </x:c>
      <x:c r="BD46" s="101" t="n">
        <x:f>IF(AND(BD$37&gt;$F13,BD$37&lt;=EDATE($F13,$G13)),$K13+IF(BD$37=EDATE($F13,$G13),$J13,0),0)</x:f>
        <x:v>0</x:v>
      </x:c>
      <x:c r="BE46" s="101" t="n">
        <x:f>IF(AND(BE$37&gt;$F13,BE$37&lt;=EDATE($F13,$G13)),$K13+IF(BE$37=EDATE($F13,$G13),$J13,0),0)</x:f>
        <x:v>0</x:v>
      </x:c>
      <x:c r="BF46" s="101" t="n">
        <x:f>IF(AND(BF$37&gt;$F13,BF$37&lt;=EDATE($F13,$G13)),$K13+IF(BF$37=EDATE($F13,$G13),$J13,0),0)</x:f>
        <x:v>0</x:v>
      </x:c>
      <x:c r="BG46" s="101" t="n">
        <x:f>IF(AND(BG$37&gt;$F13,BG$37&lt;=EDATE($F13,$G13)),$K13+IF(BG$37=EDATE($F13,$G13),$J13,0),0)</x:f>
        <x:v>0</x:v>
      </x:c>
      <x:c r="BH46" s="101" t="n">
        <x:f>IF(AND(BH$37&gt;$F13,BH$37&lt;=EDATE($F13,$G13)),$K13+IF(BH$37=EDATE($F13,$G13),$J13,0),0)</x:f>
        <x:v>0</x:v>
      </x:c>
      <x:c r="BI46" s="101" t="n">
        <x:f>IF(AND(BI$37&gt;$F13,BI$37&lt;=EDATE($F13,$G13)),$K13+IF(BI$37=EDATE($F13,$G13),$J13,0),0)</x:f>
        <x:v>0</x:v>
      </x:c>
    </x:row>
    <x:row r="47">
      <x:c r="A47" t="str">
        <x:f>A14</x:f>
        <x:v>批次10</x:v>
      </x:c>
      <x:c r="B47" s="29" t="n">
        <x:f>IF(AND(B$37&gt;$F14,B$37&lt;=EDATE($F14,$G14)),$K14+IF(B$37=EDATE($F14,$G14),$J14,0),0)</x:f>
        <x:v>0</x:v>
      </x:c>
      <x:c r="C47" s="29" t="n">
        <x:f>IF(AND(C$37&gt;$F14,C$37&lt;=EDATE($F14,$G14)),$K14+IF(C$37=EDATE($F14,$G14),$J14,0),0)</x:f>
        <x:v>0</x:v>
      </x:c>
      <x:c r="D47" s="29" t="n">
        <x:f>IF(AND(D$37&gt;$F14,D$37&lt;=EDATE($F14,$G14)),$K14+IF(D$37=EDATE($F14,$G14),$J14,0),0)</x:f>
        <x:v>0</x:v>
      </x:c>
      <x:c r="E47" s="29" t="n">
        <x:f>IF(AND(E$37&gt;$F14,E$37&lt;=EDATE($F14,$G14)),$K14+IF(E$37=EDATE($F14,$G14),$J14,0),0)</x:f>
        <x:v>0</x:v>
      </x:c>
      <x:c r="F47" s="29" t="n">
        <x:f>IF(AND(F$37&gt;$F14,F$37&lt;=EDATE($F14,$G14)),$K14+IF(F$37=EDATE($F14,$G14),$J14,0),0)</x:f>
        <x:v>0</x:v>
      </x:c>
      <x:c r="G47" s="29" t="n">
        <x:f>IF(AND(G$37&gt;$F14,G$37&lt;=EDATE($F14,$G14)),$K14+IF(G$37=EDATE($F14,$G14),$J14,0),0)</x:f>
        <x:v>0</x:v>
      </x:c>
      <x:c r="H47" s="29" t="n">
        <x:f>IF(AND(H$37&gt;$F14,H$37&lt;=EDATE($F14,$G14)),$K14+IF(H$37=EDATE($F14,$G14),$J14,0),0)</x:f>
        <x:v>0</x:v>
      </x:c>
      <x:c r="I47" s="29" t="n">
        <x:f>IF(AND(I$37&gt;$F14,I$37&lt;=EDATE($F14,$G14)),$K14+IF(I$37=EDATE($F14,$G14),$J14,0),0)</x:f>
        <x:v>0</x:v>
      </x:c>
      <x:c r="J47" s="29" t="n">
        <x:f>IF(AND(J$37&gt;$F14,J$37&lt;=EDATE($F14,$G14)),$K14+IF(J$37=EDATE($F14,$G14),$J14,0),0)</x:f>
        <x:v>0</x:v>
      </x:c>
      <x:c r="K47" s="29" t="n">
        <x:f>IF(AND(K$37&gt;$F14,K$37&lt;=EDATE($F14,$G14)),$K14+IF(K$37=EDATE($F14,$G14),$J14,0),0)</x:f>
        <x:v>0</x:v>
      </x:c>
      <x:c r="L47" s="29" t="n">
        <x:f>IF(AND(L$37&gt;$F14,L$37&lt;=EDATE($F14,$G14)),$K14+IF(L$37=EDATE($F14,$G14),$J14,0),0)</x:f>
        <x:v>0</x:v>
      </x:c>
      <x:c r="M47" s="29" t="n">
        <x:f>IF(AND(M$37&gt;$F14,M$37&lt;=EDATE($F14,$G14)),$K14+IF(M$37=EDATE($F14,$G14),$J14,0),0)</x:f>
        <x:v>2098552.6219601356</x:v>
      </x:c>
      <x:c r="N47" s="29" t="n">
        <x:f>IF(AND(N$37&gt;$F14,N$37&lt;=EDATE($F14,$G14)),$K14+IF(N$37=EDATE($F14,$G14),$J14,0),0)</x:f>
        <x:v>2098552.6219601356</x:v>
      </x:c>
      <x:c r="O47" s="29" t="n">
        <x:f>IF(AND(O$37&gt;$F14,O$37&lt;=EDATE($F14,$G14)),$K14+IF(O$37=EDATE($F14,$G14),$J14,0),0)</x:f>
        <x:v>2098552.6219601356</x:v>
      </x:c>
      <x:c r="P47" s="29" t="n">
        <x:f>IF(AND(P$37&gt;$F14,P$37&lt;=EDATE($F14,$G14)),$K14+IF(P$37=EDATE($F14,$G14),$J14,0),0)</x:f>
        <x:v>2098552.6219601356</x:v>
      </x:c>
      <x:c r="Q47" s="29" t="n">
        <x:f>IF(AND(Q$37&gt;$F14,Q$37&lt;=EDATE($F14,$G14)),$K14+IF(Q$37=EDATE($F14,$G14),$J14,0),0)</x:f>
        <x:v>2098552.6219601356</x:v>
      </x:c>
      <x:c r="R47" s="29" t="n">
        <x:f>IF(AND(R$37&gt;$F14,R$37&lt;=EDATE($F14,$G14)),$K14+IF(R$37=EDATE($F14,$G14),$J14,0),0)</x:f>
        <x:v>2098552.6219601356</x:v>
      </x:c>
      <x:c r="S47" s="29" t="n">
        <x:f>IF(AND(S$37&gt;$F14,S$37&lt;=EDATE($F14,$G14)),$K14+IF(S$37=EDATE($F14,$G14),$J14,0),0)</x:f>
        <x:v>2098552.6219601356</x:v>
      </x:c>
      <x:c r="T47" s="29" t="n">
        <x:f>IF(AND(T$37&gt;$F14,T$37&lt;=EDATE($F14,$G14)),$K14+IF(T$37=EDATE($F14,$G14),$J14,0),0)</x:f>
        <x:v>2098552.6219601356</x:v>
      </x:c>
      <x:c r="U47" s="29" t="n">
        <x:f>IF(AND(U$37&gt;$F14,U$37&lt;=EDATE($F14,$G14)),$K14+IF(U$37=EDATE($F14,$G14),$J14,0),0)</x:f>
        <x:v>2098552.6219601356</x:v>
      </x:c>
      <x:c r="V47" s="29" t="n">
        <x:f>IF(AND(V$37&gt;$F14,V$37&lt;=EDATE($F14,$G14)),$K14+IF(V$37=EDATE($F14,$G14),$J14,0),0)</x:f>
        <x:v>2098552.6219601356</x:v>
      </x:c>
      <x:c r="W47" s="29" t="n">
        <x:f>IF(AND(W$37&gt;$F14,W$37&lt;=EDATE($F14,$G14)),$K14+IF(W$37=EDATE($F14,$G14),$J14,0),0)</x:f>
        <x:v>2098552.6219601356</x:v>
      </x:c>
      <x:c r="X47" s="29" t="n">
        <x:f>IF(AND(X$37&gt;$F14,X$37&lt;=EDATE($F14,$G14)),$K14+IF(X$37=EDATE($F14,$G14),$J14,0),0)</x:f>
        <x:v>2098552.6219601356</x:v>
      </x:c>
      <x:c r="Y47" s="29" t="n">
        <x:f>IF(AND(Y$37&gt;$F14,Y$37&lt;=EDATE($F14,$G14)),$K14+IF(Y$37=EDATE($F14,$G14),$J14,0),0)</x:f>
        <x:v>2098552.6219601356</x:v>
      </x:c>
      <x:c r="Z47" s="29" t="n">
        <x:f>IF(AND(Z$37&gt;$F14,Z$37&lt;=EDATE($F14,$G14)),$K14+IF(Z$37=EDATE($F14,$G14),$J14,0),0)</x:f>
        <x:v>2098552.6219601356</x:v>
      </x:c>
      <x:c r="AA47" s="29" t="n">
        <x:f>IF(AND(AA$37&gt;$F14,AA$37&lt;=EDATE($F14,$G14)),$K14+IF(AA$37=EDATE($F14,$G14),$J14,0),0)</x:f>
        <x:v>2098552.6219601356</x:v>
      </x:c>
      <x:c r="AB47" s="29" t="n">
        <x:f>IF(AND(AB$37&gt;$F14,AB$37&lt;=EDATE($F14,$G14)),$K14+IF(AB$37=EDATE($F14,$G14),$J14,0),0)</x:f>
        <x:v>2098552.6219601356</x:v>
      </x:c>
      <x:c r="AC47" s="29" t="n">
        <x:f>IF(AND(AC$37&gt;$F14,AC$37&lt;=EDATE($F14,$G14)),$K14+IF(AC$37=EDATE($F14,$G14),$J14,0),0)</x:f>
        <x:v>2098552.6219601356</x:v>
      </x:c>
      <x:c r="AD47" s="29" t="n">
        <x:f>IF(AND(AD$37&gt;$F14,AD$37&lt;=EDATE($F14,$G14)),$K14+IF(AD$37=EDATE($F14,$G14),$J14,0),0)</x:f>
        <x:v>2098552.6219601356</x:v>
      </x:c>
      <x:c r="AE47" s="29" t="n">
        <x:f>IF(AND(AE$37&gt;$F14,AE$37&lt;=EDATE($F14,$G14)),$K14+IF(AE$37=EDATE($F14,$G14),$J14,0),0)</x:f>
        <x:v>2098552.6219601356</x:v>
      </x:c>
      <x:c r="AF47" s="29" t="n">
        <x:f>IF(AND(AF$37&gt;$F14,AF$37&lt;=EDATE($F14,$G14)),$K14+IF(AF$37=EDATE($F14,$G14),$J14,0),0)</x:f>
        <x:v>2098552.6219601356</x:v>
      </x:c>
      <x:c r="AG47" s="29" t="n">
        <x:f>IF(AND(AG$37&gt;$F14,AG$37&lt;=EDATE($F14,$G14)),$K14+IF(AG$37=EDATE($F14,$G14),$J14,0),0)</x:f>
        <x:v>2098552.6219601356</x:v>
      </x:c>
      <x:c r="AH47" s="29" t="n">
        <x:f>IF(AND(AH$37&gt;$F14,AH$37&lt;=EDATE($F14,$G14)),$K14+IF(AH$37=EDATE($F14,$G14),$J14,0),0)</x:f>
        <x:v>2098552.6219601356</x:v>
      </x:c>
      <x:c r="AI47" s="29" t="n">
        <x:f>IF(AND(AI$37&gt;$F14,AI$37&lt;=EDATE($F14,$G14)),$K14+IF(AI$37=EDATE($F14,$G14),$J14,0),0)</x:f>
        <x:v>2098552.6219601356</x:v>
      </x:c>
      <x:c r="AJ47" s="29" t="n">
        <x:f>IF(AND(AJ$37&gt;$F14,AJ$37&lt;=EDATE($F14,$G14)),$K14+IF(AJ$37=EDATE($F14,$G14),$J14,0),0)</x:f>
        <x:v>2098552.6219601356</x:v>
      </x:c>
      <x:c r="AK47" s="29" t="n">
        <x:f>IF(AND(AK$37&gt;$F14,AK$37&lt;=EDATE($F14,$G14)),$K14+IF(AK$37=EDATE($F14,$G14),$J14,0),0)</x:f>
        <x:v>2098552.6219601356</x:v>
      </x:c>
      <x:c r="AL47" s="101" t="n">
        <x:f>IF(AND(AL$37&gt;$F14,AL$37&lt;=EDATE($F14,$G14)),$K14+IF(AL$37=EDATE($F14,$G14),$J14,0),0)</x:f>
        <x:v>2098552.6219601356</x:v>
      </x:c>
      <x:c r="AM47" s="101" t="n">
        <x:f>IF(AND(AM$37&gt;$F14,AM$37&lt;=EDATE($F14,$G14)),$K14+IF(AM$37=EDATE($F14,$G14),$J14,0),0)</x:f>
        <x:v>2098552.6219601356</x:v>
      </x:c>
      <x:c r="AN47" s="101" t="n">
        <x:f>IF(AND(AN$37&gt;$F14,AN$37&lt;=EDATE($F14,$G14)),$K14+IF(AN$37=EDATE($F14,$G14),$J14,0),0)</x:f>
        <x:v>2098552.6219601356</x:v>
      </x:c>
      <x:c r="AO47" s="101" t="n">
        <x:f>IF(AND(AO$37&gt;$F14,AO$37&lt;=EDATE($F14,$G14)),$K14+IF(AO$37=EDATE($F14,$G14),$J14,0),0)</x:f>
        <x:v>2098552.6219601356</x:v>
      </x:c>
      <x:c r="AP47" s="101" t="n">
        <x:f>IF(AND(AP$37&gt;$F14,AP$37&lt;=EDATE($F14,$G14)),$K14+IF(AP$37=EDATE($F14,$G14),$J14,0),0)</x:f>
        <x:v>2098552.6219601356</x:v>
      </x:c>
      <x:c r="AQ47" s="101" t="n">
        <x:f>IF(AND(AQ$37&gt;$F14,AQ$37&lt;=EDATE($F14,$G14)),$K14+IF(AQ$37=EDATE($F14,$G14),$J14,0),0)</x:f>
        <x:v>2098552.6219601356</x:v>
      </x:c>
      <x:c r="AR47" s="101" t="n">
        <x:f>IF(AND(AR$37&gt;$F14,AR$37&lt;=EDATE($F14,$G14)),$K14+IF(AR$37=EDATE($F14,$G14),$J14,0),0)</x:f>
        <x:v>2098552.6219601356</x:v>
      </x:c>
      <x:c r="AS47" s="101" t="n">
        <x:f>IF(AND(AS$37&gt;$F14,AS$37&lt;=EDATE($F14,$G14)),$K14+IF(AS$37=EDATE($F14,$G14),$J14,0),0)</x:f>
        <x:v>2098552.6219601356</x:v>
      </x:c>
      <x:c r="AT47" s="101" t="n">
        <x:f>IF(AND(AT$37&gt;$F14,AT$37&lt;=EDATE($F14,$G14)),$K14+IF(AT$37=EDATE($F14,$G14),$J14,0),0)</x:f>
        <x:v>2098552.6219601356</x:v>
      </x:c>
      <x:c r="AU47" s="101" t="n">
        <x:f>IF(AND(AU$37&gt;$F14,AU$37&lt;=EDATE($F14,$G14)),$K14+IF(AU$37=EDATE($F14,$G14),$J14,0),0)</x:f>
        <x:v>2098552.6219601356</x:v>
      </x:c>
      <x:c r="AV47" s="101" t="n">
        <x:f>IF(AND(AV$37&gt;$F14,AV$37&lt;=EDATE($F14,$G14)),$K14+IF(AV$37=EDATE($F14,$G14),$J14,0),0)</x:f>
        <x:v>2773552.6219601356</x:v>
      </x:c>
      <x:c r="AW47" s="101" t="n">
        <x:f>IF(AND(AW$37&gt;$F14,AW$37&lt;=EDATE($F14,$G14)),$K14+IF(AW$37=EDATE($F14,$G14),$J14,0),0)</x:f>
        <x:v>0</x:v>
      </x:c>
      <x:c r="AX47" s="101" t="n">
        <x:f>IF(AND(AX$37&gt;$F14,AX$37&lt;=EDATE($F14,$G14)),$K14+IF(AX$37=EDATE($F14,$G14),$J14,0),0)</x:f>
        <x:v>0</x:v>
      </x:c>
      <x:c r="AY47" s="101" t="n">
        <x:f>IF(AND(AY$37&gt;$F14,AY$37&lt;=EDATE($F14,$G14)),$K14+IF(AY$37=EDATE($F14,$G14),$J14,0),0)</x:f>
        <x:v>0</x:v>
      </x:c>
      <x:c r="AZ47" s="101" t="n">
        <x:f>IF(AND(AZ$37&gt;$F14,AZ$37&lt;=EDATE($F14,$G14)),$K14+IF(AZ$37=EDATE($F14,$G14),$J14,0),0)</x:f>
        <x:v>0</x:v>
      </x:c>
      <x:c r="BA47" s="101" t="n">
        <x:f>IF(AND(BA$37&gt;$F14,BA$37&lt;=EDATE($F14,$G14)),$K14+IF(BA$37=EDATE($F14,$G14),$J14,0),0)</x:f>
        <x:v>0</x:v>
      </x:c>
      <x:c r="BB47" s="101" t="n">
        <x:f>IF(AND(BB$37&gt;$F14,BB$37&lt;=EDATE($F14,$G14)),$K14+IF(BB$37=EDATE($F14,$G14),$J14,0),0)</x:f>
        <x:v>0</x:v>
      </x:c>
      <x:c r="BC47" s="101" t="n">
        <x:f>IF(AND(BC$37&gt;$F14,BC$37&lt;=EDATE($F14,$G14)),$K14+IF(BC$37=EDATE($F14,$G14),$J14,0),0)</x:f>
        <x:v>0</x:v>
      </x:c>
      <x:c r="BD47" s="101" t="n">
        <x:f>IF(AND(BD$37&gt;$F14,BD$37&lt;=EDATE($F14,$G14)),$K14+IF(BD$37=EDATE($F14,$G14),$J14,0),0)</x:f>
        <x:v>0</x:v>
      </x:c>
      <x:c r="BE47" s="101" t="n">
        <x:f>IF(AND(BE$37&gt;$F14,BE$37&lt;=EDATE($F14,$G14)),$K14+IF(BE$37=EDATE($F14,$G14),$J14,0),0)</x:f>
        <x:v>0</x:v>
      </x:c>
      <x:c r="BF47" s="101" t="n">
        <x:f>IF(AND(BF$37&gt;$F14,BF$37&lt;=EDATE($F14,$G14)),$K14+IF(BF$37=EDATE($F14,$G14),$J14,0),0)</x:f>
        <x:v>0</x:v>
      </x:c>
      <x:c r="BG47" s="101" t="n">
        <x:f>IF(AND(BG$37&gt;$F14,BG$37&lt;=EDATE($F14,$G14)),$K14+IF(BG$37=EDATE($F14,$G14),$J14,0),0)</x:f>
        <x:v>0</x:v>
      </x:c>
      <x:c r="BH47" s="101" t="n">
        <x:f>IF(AND(BH$37&gt;$F14,BH$37&lt;=EDATE($F14,$G14)),$K14+IF(BH$37=EDATE($F14,$G14),$J14,0),0)</x:f>
        <x:v>0</x:v>
      </x:c>
      <x:c r="BI47" s="101" t="n">
        <x:f>IF(AND(BI$37&gt;$F14,BI$37&lt;=EDATE($F14,$G14)),$K14+IF(BI$37=EDATE($F14,$G14),$J14,0),0)</x:f>
        <x:v>0</x:v>
      </x:c>
    </x:row>
    <x:row r="48">
      <x:c r="A48" t="str">
        <x:f>A15</x:f>
        <x:v>批次11</x:v>
      </x:c>
      <x:c r="B48" s="29" t="n">
        <x:f>IF(AND(B$37&gt;$F15,B$37&lt;=EDATE($F15,$G15)),$K15+IF(B$37=EDATE($F15,$G15),$J15,0),0)</x:f>
        <x:v>0</x:v>
      </x:c>
      <x:c r="C48" s="29" t="n">
        <x:f>IF(AND(C$37&gt;$F15,C$37&lt;=EDATE($F15,$G15)),$K15+IF(C$37=EDATE($F15,$G15),$J15,0),0)</x:f>
        <x:v>0</x:v>
      </x:c>
      <x:c r="D48" s="29" t="n">
        <x:f>IF(AND(D$37&gt;$F15,D$37&lt;=EDATE($F15,$G15)),$K15+IF(D$37=EDATE($F15,$G15),$J15,0),0)</x:f>
        <x:v>0</x:v>
      </x:c>
      <x:c r="E48" s="29" t="n">
        <x:f>IF(AND(E$37&gt;$F15,E$37&lt;=EDATE($F15,$G15)),$K15+IF(E$37=EDATE($F15,$G15),$J15,0),0)</x:f>
        <x:v>0</x:v>
      </x:c>
      <x:c r="F48" s="29" t="n">
        <x:f>IF(AND(F$37&gt;$F15,F$37&lt;=EDATE($F15,$G15)),$K15+IF(F$37=EDATE($F15,$G15),$J15,0),0)</x:f>
        <x:v>0</x:v>
      </x:c>
      <x:c r="G48" s="29" t="n">
        <x:f>IF(AND(G$37&gt;$F15,G$37&lt;=EDATE($F15,$G15)),$K15+IF(G$37=EDATE($F15,$G15),$J15,0),0)</x:f>
        <x:v>0</x:v>
      </x:c>
      <x:c r="H48" s="29" t="n">
        <x:f>IF(AND(H$37&gt;$F15,H$37&lt;=EDATE($F15,$G15)),$K15+IF(H$37=EDATE($F15,$G15),$J15,0),0)</x:f>
        <x:v>0</x:v>
      </x:c>
      <x:c r="I48" s="29" t="n">
        <x:f>IF(AND(I$37&gt;$F15,I$37&lt;=EDATE($F15,$G15)),$K15+IF(I$37=EDATE($F15,$G15),$J15,0),0)</x:f>
        <x:v>0</x:v>
      </x:c>
      <x:c r="J48" s="29" t="n">
        <x:f>IF(AND(J$37&gt;$F15,J$37&lt;=EDATE($F15,$G15)),$K15+IF(J$37=EDATE($F15,$G15),$J15,0),0)</x:f>
        <x:v>0</x:v>
      </x:c>
      <x:c r="K48" s="29" t="n">
        <x:f>IF(AND(K$37&gt;$F15,K$37&lt;=EDATE($F15,$G15)),$K15+IF(K$37=EDATE($F15,$G15),$J15,0),0)</x:f>
        <x:v>0</x:v>
      </x:c>
      <x:c r="L48" s="29" t="n">
        <x:f>IF(AND(L$37&gt;$F15,L$37&lt;=EDATE($F15,$G15)),$K15+IF(L$37=EDATE($F15,$G15),$J15,0),0)</x:f>
        <x:v>0</x:v>
      </x:c>
      <x:c r="M48" s="29" t="n">
        <x:f>IF(AND(M$37&gt;$F15,M$37&lt;=EDATE($F15,$G15)),$K15+IF(M$37=EDATE($F15,$G15),$J15,0),0)</x:f>
        <x:v>0</x:v>
      </x:c>
      <x:c r="N48" s="29" t="n">
        <x:f>IF(AND(N$37&gt;$F15,N$37&lt;=EDATE($F15,$G15)),$K15+IF(N$37=EDATE($F15,$G15),$J15,0),0)</x:f>
        <x:v>1865380.1084090094</x:v>
      </x:c>
      <x:c r="O48" s="29" t="n">
        <x:f>IF(AND(O$37&gt;$F15,O$37&lt;=EDATE($F15,$G15)),$K15+IF(O$37=EDATE($F15,$G15),$J15,0),0)</x:f>
        <x:v>1865380.1084090094</x:v>
      </x:c>
      <x:c r="P48" s="29" t="n">
        <x:f>IF(AND(P$37&gt;$F15,P$37&lt;=EDATE($F15,$G15)),$K15+IF(P$37=EDATE($F15,$G15),$J15,0),0)</x:f>
        <x:v>1865380.1084090094</x:v>
      </x:c>
      <x:c r="Q48" s="29" t="n">
        <x:f>IF(AND(Q$37&gt;$F15,Q$37&lt;=EDATE($F15,$G15)),$K15+IF(Q$37=EDATE($F15,$G15),$J15,0),0)</x:f>
        <x:v>1865380.1084090094</x:v>
      </x:c>
      <x:c r="R48" s="29" t="n">
        <x:f>IF(AND(R$37&gt;$F15,R$37&lt;=EDATE($F15,$G15)),$K15+IF(R$37=EDATE($F15,$G15),$J15,0),0)</x:f>
        <x:v>1865380.1084090094</x:v>
      </x:c>
      <x:c r="S48" s="29" t="n">
        <x:f>IF(AND(S$37&gt;$F15,S$37&lt;=EDATE($F15,$G15)),$K15+IF(S$37=EDATE($F15,$G15),$J15,0),0)</x:f>
        <x:v>1865380.1084090094</x:v>
      </x:c>
      <x:c r="T48" s="29" t="n">
        <x:f>IF(AND(T$37&gt;$F15,T$37&lt;=EDATE($F15,$G15)),$K15+IF(T$37=EDATE($F15,$G15),$J15,0),0)</x:f>
        <x:v>1865380.1084090094</x:v>
      </x:c>
      <x:c r="U48" s="29" t="n">
        <x:f>IF(AND(U$37&gt;$F15,U$37&lt;=EDATE($F15,$G15)),$K15+IF(U$37=EDATE($F15,$G15),$J15,0),0)</x:f>
        <x:v>1865380.1084090094</x:v>
      </x:c>
      <x:c r="V48" s="29" t="n">
        <x:f>IF(AND(V$37&gt;$F15,V$37&lt;=EDATE($F15,$G15)),$K15+IF(V$37=EDATE($F15,$G15),$J15,0),0)</x:f>
        <x:v>1865380.1084090094</x:v>
      </x:c>
      <x:c r="W48" s="29" t="n">
        <x:f>IF(AND(W$37&gt;$F15,W$37&lt;=EDATE($F15,$G15)),$K15+IF(W$37=EDATE($F15,$G15),$J15,0),0)</x:f>
        <x:v>1865380.1084090094</x:v>
      </x:c>
      <x:c r="X48" s="29" t="n">
        <x:f>IF(AND(X$37&gt;$F15,X$37&lt;=EDATE($F15,$G15)),$K15+IF(X$37=EDATE($F15,$G15),$J15,0),0)</x:f>
        <x:v>1865380.1084090094</x:v>
      </x:c>
      <x:c r="Y48" s="29" t="n">
        <x:f>IF(AND(Y$37&gt;$F15,Y$37&lt;=EDATE($F15,$G15)),$K15+IF(Y$37=EDATE($F15,$G15),$J15,0),0)</x:f>
        <x:v>1865380.1084090094</x:v>
      </x:c>
      <x:c r="Z48" s="29" t="n">
        <x:f>IF(AND(Z$37&gt;$F15,Z$37&lt;=EDATE($F15,$G15)),$K15+IF(Z$37=EDATE($F15,$G15),$J15,0),0)</x:f>
        <x:v>1865380.1084090094</x:v>
      </x:c>
      <x:c r="AA48" s="29" t="n">
        <x:f>IF(AND(AA$37&gt;$F15,AA$37&lt;=EDATE($F15,$G15)),$K15+IF(AA$37=EDATE($F15,$G15),$J15,0),0)</x:f>
        <x:v>1865380.1084090094</x:v>
      </x:c>
      <x:c r="AB48" s="29" t="n">
        <x:f>IF(AND(AB$37&gt;$F15,AB$37&lt;=EDATE($F15,$G15)),$K15+IF(AB$37=EDATE($F15,$G15),$J15,0),0)</x:f>
        <x:v>1865380.1084090094</x:v>
      </x:c>
      <x:c r="AC48" s="29" t="n">
        <x:f>IF(AND(AC$37&gt;$F15,AC$37&lt;=EDATE($F15,$G15)),$K15+IF(AC$37=EDATE($F15,$G15),$J15,0),0)</x:f>
        <x:v>1865380.1084090094</x:v>
      </x:c>
      <x:c r="AD48" s="29" t="n">
        <x:f>IF(AND(AD$37&gt;$F15,AD$37&lt;=EDATE($F15,$G15)),$K15+IF(AD$37=EDATE($F15,$G15),$J15,0),0)</x:f>
        <x:v>1865380.1084090094</x:v>
      </x:c>
      <x:c r="AE48" s="29" t="n">
        <x:f>IF(AND(AE$37&gt;$F15,AE$37&lt;=EDATE($F15,$G15)),$K15+IF(AE$37=EDATE($F15,$G15),$J15,0),0)</x:f>
        <x:v>1865380.1084090094</x:v>
      </x:c>
      <x:c r="AF48" s="29" t="n">
        <x:f>IF(AND(AF$37&gt;$F15,AF$37&lt;=EDATE($F15,$G15)),$K15+IF(AF$37=EDATE($F15,$G15),$J15,0),0)</x:f>
        <x:v>1865380.1084090094</x:v>
      </x:c>
      <x:c r="AG48" s="29" t="n">
        <x:f>IF(AND(AG$37&gt;$F15,AG$37&lt;=EDATE($F15,$G15)),$K15+IF(AG$37=EDATE($F15,$G15),$J15,0),0)</x:f>
        <x:v>1865380.1084090094</x:v>
      </x:c>
      <x:c r="AH48" s="29" t="n">
        <x:f>IF(AND(AH$37&gt;$F15,AH$37&lt;=EDATE($F15,$G15)),$K15+IF(AH$37=EDATE($F15,$G15),$J15,0),0)</x:f>
        <x:v>1865380.1084090094</x:v>
      </x:c>
      <x:c r="AI48" s="29" t="n">
        <x:f>IF(AND(AI$37&gt;$F15,AI$37&lt;=EDATE($F15,$G15)),$K15+IF(AI$37=EDATE($F15,$G15),$J15,0),0)</x:f>
        <x:v>1865380.1084090094</x:v>
      </x:c>
      <x:c r="AJ48" s="29" t="n">
        <x:f>IF(AND(AJ$37&gt;$F15,AJ$37&lt;=EDATE($F15,$G15)),$K15+IF(AJ$37=EDATE($F15,$G15),$J15,0),0)</x:f>
        <x:v>1865380.1084090094</x:v>
      </x:c>
      <x:c r="AK48" s="29" t="n">
        <x:f>IF(AND(AK$37&gt;$F15,AK$37&lt;=EDATE($F15,$G15)),$K15+IF(AK$37=EDATE($F15,$G15),$J15,0),0)</x:f>
        <x:v>1865380.1084090094</x:v>
      </x:c>
      <x:c r="AL48" s="101" t="n">
        <x:f>IF(AND(AL$37&gt;$F15,AL$37&lt;=EDATE($F15,$G15)),$K15+IF(AL$37=EDATE($F15,$G15),$J15,0),0)</x:f>
        <x:v>1865380.1084090094</x:v>
      </x:c>
      <x:c r="AM48" s="101" t="n">
        <x:f>IF(AND(AM$37&gt;$F15,AM$37&lt;=EDATE($F15,$G15)),$K15+IF(AM$37=EDATE($F15,$G15),$J15,0),0)</x:f>
        <x:v>1865380.1084090094</x:v>
      </x:c>
      <x:c r="AN48" s="101" t="n">
        <x:f>IF(AND(AN$37&gt;$F15,AN$37&lt;=EDATE($F15,$G15)),$K15+IF(AN$37=EDATE($F15,$G15),$J15,0),0)</x:f>
        <x:v>1865380.1084090094</x:v>
      </x:c>
      <x:c r="AO48" s="101" t="n">
        <x:f>IF(AND(AO$37&gt;$F15,AO$37&lt;=EDATE($F15,$G15)),$K15+IF(AO$37=EDATE($F15,$G15),$J15,0),0)</x:f>
        <x:v>1865380.1084090094</x:v>
      </x:c>
      <x:c r="AP48" s="101" t="n">
        <x:f>IF(AND(AP$37&gt;$F15,AP$37&lt;=EDATE($F15,$G15)),$K15+IF(AP$37=EDATE($F15,$G15),$J15,0),0)</x:f>
        <x:v>1865380.1084090094</x:v>
      </x:c>
      <x:c r="AQ48" s="101" t="n">
        <x:f>IF(AND(AQ$37&gt;$F15,AQ$37&lt;=EDATE($F15,$G15)),$K15+IF(AQ$37=EDATE($F15,$G15),$J15,0),0)</x:f>
        <x:v>1865380.1084090094</x:v>
      </x:c>
      <x:c r="AR48" s="101" t="n">
        <x:f>IF(AND(AR$37&gt;$F15,AR$37&lt;=EDATE($F15,$G15)),$K15+IF(AR$37=EDATE($F15,$G15),$J15,0),0)</x:f>
        <x:v>1865380.1084090094</x:v>
      </x:c>
      <x:c r="AS48" s="101" t="n">
        <x:f>IF(AND(AS$37&gt;$F15,AS$37&lt;=EDATE($F15,$G15)),$K15+IF(AS$37=EDATE($F15,$G15),$J15,0),0)</x:f>
        <x:v>1865380.1084090094</x:v>
      </x:c>
      <x:c r="AT48" s="101" t="n">
        <x:f>IF(AND(AT$37&gt;$F15,AT$37&lt;=EDATE($F15,$G15)),$K15+IF(AT$37=EDATE($F15,$G15),$J15,0),0)</x:f>
        <x:v>1865380.1084090094</x:v>
      </x:c>
      <x:c r="AU48" s="101" t="n">
        <x:f>IF(AND(AU$37&gt;$F15,AU$37&lt;=EDATE($F15,$G15)),$K15+IF(AU$37=EDATE($F15,$G15),$J15,0),0)</x:f>
        <x:v>1865380.1084090094</x:v>
      </x:c>
      <x:c r="AV48" s="101" t="n">
        <x:f>IF(AND(AV$37&gt;$F15,AV$37&lt;=EDATE($F15,$G15)),$K15+IF(AV$37=EDATE($F15,$G15),$J15,0),0)</x:f>
        <x:v>1865380.1084090094</x:v>
      </x:c>
      <x:c r="AW48" s="101" t="n">
        <x:f>IF(AND(AW$37&gt;$F15,AW$37&lt;=EDATE($F15,$G15)),$K15+IF(AW$37=EDATE($F15,$G15),$J15,0),0)</x:f>
        <x:v>2465380.1084090094</x:v>
      </x:c>
      <x:c r="AX48" s="101" t="n">
        <x:f>IF(AND(AX$37&gt;$F15,AX$37&lt;=EDATE($F15,$G15)),$K15+IF(AX$37=EDATE($F15,$G15),$J15,0),0)</x:f>
        <x:v>0</x:v>
      </x:c>
      <x:c r="AY48" s="101" t="n">
        <x:f>IF(AND(AY$37&gt;$F15,AY$37&lt;=EDATE($F15,$G15)),$K15+IF(AY$37=EDATE($F15,$G15),$J15,0),0)</x:f>
        <x:v>0</x:v>
      </x:c>
      <x:c r="AZ48" s="101" t="n">
        <x:f>IF(AND(AZ$37&gt;$F15,AZ$37&lt;=EDATE($F15,$G15)),$K15+IF(AZ$37=EDATE($F15,$G15),$J15,0),0)</x:f>
        <x:v>0</x:v>
      </x:c>
      <x:c r="BA48" s="101" t="n">
        <x:f>IF(AND(BA$37&gt;$F15,BA$37&lt;=EDATE($F15,$G15)),$K15+IF(BA$37=EDATE($F15,$G15),$J15,0),0)</x:f>
        <x:v>0</x:v>
      </x:c>
      <x:c r="BB48" s="101" t="n">
        <x:f>IF(AND(BB$37&gt;$F15,BB$37&lt;=EDATE($F15,$G15)),$K15+IF(BB$37=EDATE($F15,$G15),$J15,0),0)</x:f>
        <x:v>0</x:v>
      </x:c>
      <x:c r="BC48" s="101" t="n">
        <x:f>IF(AND(BC$37&gt;$F15,BC$37&lt;=EDATE($F15,$G15)),$K15+IF(BC$37=EDATE($F15,$G15),$J15,0),0)</x:f>
        <x:v>0</x:v>
      </x:c>
      <x:c r="BD48" s="101" t="n">
        <x:f>IF(AND(BD$37&gt;$F15,BD$37&lt;=EDATE($F15,$G15)),$K15+IF(BD$37=EDATE($F15,$G15),$J15,0),0)</x:f>
        <x:v>0</x:v>
      </x:c>
      <x:c r="BE48" s="101" t="n">
        <x:f>IF(AND(BE$37&gt;$F15,BE$37&lt;=EDATE($F15,$G15)),$K15+IF(BE$37=EDATE($F15,$G15),$J15,0),0)</x:f>
        <x:v>0</x:v>
      </x:c>
      <x:c r="BF48" s="101" t="n">
        <x:f>IF(AND(BF$37&gt;$F15,BF$37&lt;=EDATE($F15,$G15)),$K15+IF(BF$37=EDATE($F15,$G15),$J15,0),0)</x:f>
        <x:v>0</x:v>
      </x:c>
      <x:c r="BG48" s="101" t="n">
        <x:f>IF(AND(BG$37&gt;$F15,BG$37&lt;=EDATE($F15,$G15)),$K15+IF(BG$37=EDATE($F15,$G15),$J15,0),0)</x:f>
        <x:v>0</x:v>
      </x:c>
      <x:c r="BH48" s="101" t="n">
        <x:f>IF(AND(BH$37&gt;$F15,BH$37&lt;=EDATE($F15,$G15)),$K15+IF(BH$37=EDATE($F15,$G15),$J15,0),0)</x:f>
        <x:v>0</x:v>
      </x:c>
      <x:c r="BI48" s="101" t="n">
        <x:f>IF(AND(BI$37&gt;$F15,BI$37&lt;=EDATE($F15,$G15)),$K15+IF(BI$37=EDATE($F15,$G15),$J15,0),0)</x:f>
        <x:v>0</x:v>
      </x:c>
    </x:row>
    <x:row r="49">
      <x:c r="A49" t="str">
        <x:f>A16</x:f>
        <x:v>批次12</x:v>
      </x:c>
      <x:c r="B49" s="29" t="n">
        <x:f>IF(AND(B$37&gt;$F16,B$37&lt;=EDATE($F16,$G16)),$K16+IF(B$37=EDATE($F16,$G16),$J16,0),0)</x:f>
        <x:v>0</x:v>
      </x:c>
      <x:c r="C49" s="29" t="n">
        <x:f>IF(AND(C$37&gt;$F16,C$37&lt;=EDATE($F16,$G16)),$K16+IF(C$37=EDATE($F16,$G16),$J16,0),0)</x:f>
        <x:v>0</x:v>
      </x:c>
      <x:c r="D49" s="29" t="n">
        <x:f>IF(AND(D$37&gt;$F16,D$37&lt;=EDATE($F16,$G16)),$K16+IF(D$37=EDATE($F16,$G16),$J16,0),0)</x:f>
        <x:v>0</x:v>
      </x:c>
      <x:c r="E49" s="29" t="n">
        <x:f>IF(AND(E$37&gt;$F16,E$37&lt;=EDATE($F16,$G16)),$K16+IF(E$37=EDATE($F16,$G16),$J16,0),0)</x:f>
        <x:v>0</x:v>
      </x:c>
      <x:c r="F49" s="29" t="n">
        <x:f>IF(AND(F$37&gt;$F16,F$37&lt;=EDATE($F16,$G16)),$K16+IF(F$37=EDATE($F16,$G16),$J16,0),0)</x:f>
        <x:v>0</x:v>
      </x:c>
      <x:c r="G49" s="29" t="n">
        <x:f>IF(AND(G$37&gt;$F16,G$37&lt;=EDATE($F16,$G16)),$K16+IF(G$37=EDATE($F16,$G16),$J16,0),0)</x:f>
        <x:v>0</x:v>
      </x:c>
      <x:c r="H49" s="29" t="n">
        <x:f>IF(AND(H$37&gt;$F16,H$37&lt;=EDATE($F16,$G16)),$K16+IF(H$37=EDATE($F16,$G16),$J16,0),0)</x:f>
        <x:v>0</x:v>
      </x:c>
      <x:c r="I49" s="29" t="n">
        <x:f>IF(AND(I$37&gt;$F16,I$37&lt;=EDATE($F16,$G16)),$K16+IF(I$37=EDATE($F16,$G16),$J16,0),0)</x:f>
        <x:v>0</x:v>
      </x:c>
      <x:c r="J49" s="29" t="n">
        <x:f>IF(AND(J$37&gt;$F16,J$37&lt;=EDATE($F16,$G16)),$K16+IF(J$37=EDATE($F16,$G16),$J16,0),0)</x:f>
        <x:v>0</x:v>
      </x:c>
      <x:c r="K49" s="29" t="n">
        <x:f>IF(AND(K$37&gt;$F16,K$37&lt;=EDATE($F16,$G16)),$K16+IF(K$37=EDATE($F16,$G16),$J16,0),0)</x:f>
        <x:v>0</x:v>
      </x:c>
      <x:c r="L49" s="29" t="n">
        <x:f>IF(AND(L$37&gt;$F16,L$37&lt;=EDATE($F16,$G16)),$K16+IF(L$37=EDATE($F16,$G16),$J16,0),0)</x:f>
        <x:v>0</x:v>
      </x:c>
      <x:c r="M49" s="29" t="n">
        <x:f>IF(AND(M$37&gt;$F16,M$37&lt;=EDATE($F16,$G16)),$K16+IF(M$37=EDATE($F16,$G16),$J16,0),0)</x:f>
        <x:v>0</x:v>
      </x:c>
      <x:c r="N49" s="29" t="n">
        <x:f>IF(AND(N$37&gt;$F16,N$37&lt;=EDATE($F16,$G16)),$K16+IF(N$37=EDATE($F16,$G16),$J16,0),0)</x:f>
        <x:v>0</x:v>
      </x:c>
      <x:c r="O49" s="29" t="n">
        <x:f>IF(AND(O$37&gt;$F16,O$37&lt;=EDATE($F16,$G16)),$K16+IF(O$37=EDATE($F16,$G16),$J16,0),0)</x:f>
        <x:v>1399035.081306757</x:v>
      </x:c>
      <x:c r="P49" s="29" t="n">
        <x:f>IF(AND(P$37&gt;$F16,P$37&lt;=EDATE($F16,$G16)),$K16+IF(P$37=EDATE($F16,$G16),$J16,0),0)</x:f>
        <x:v>1399035.081306757</x:v>
      </x:c>
      <x:c r="Q49" s="29" t="n">
        <x:f>IF(AND(Q$37&gt;$F16,Q$37&lt;=EDATE($F16,$G16)),$K16+IF(Q$37=EDATE($F16,$G16),$J16,0),0)</x:f>
        <x:v>1399035.081306757</x:v>
      </x:c>
      <x:c r="R49" s="29" t="n">
        <x:f>IF(AND(R$37&gt;$F16,R$37&lt;=EDATE($F16,$G16)),$K16+IF(R$37=EDATE($F16,$G16),$J16,0),0)</x:f>
        <x:v>1399035.081306757</x:v>
      </x:c>
      <x:c r="S49" s="29" t="n">
        <x:f>IF(AND(S$37&gt;$F16,S$37&lt;=EDATE($F16,$G16)),$K16+IF(S$37=EDATE($F16,$G16),$J16,0),0)</x:f>
        <x:v>1399035.081306757</x:v>
      </x:c>
      <x:c r="T49" s="29" t="n">
        <x:f>IF(AND(T$37&gt;$F16,T$37&lt;=EDATE($F16,$G16)),$K16+IF(T$37=EDATE($F16,$G16),$J16,0),0)</x:f>
        <x:v>1399035.081306757</x:v>
      </x:c>
      <x:c r="U49" s="29" t="n">
        <x:f>IF(AND(U$37&gt;$F16,U$37&lt;=EDATE($F16,$G16)),$K16+IF(U$37=EDATE($F16,$G16),$J16,0),0)</x:f>
        <x:v>1399035.081306757</x:v>
      </x:c>
      <x:c r="V49" s="29" t="n">
        <x:f>IF(AND(V$37&gt;$F16,V$37&lt;=EDATE($F16,$G16)),$K16+IF(V$37=EDATE($F16,$G16),$J16,0),0)</x:f>
        <x:v>1399035.081306757</x:v>
      </x:c>
      <x:c r="W49" s="29" t="n">
        <x:f>IF(AND(W$37&gt;$F16,W$37&lt;=EDATE($F16,$G16)),$K16+IF(W$37=EDATE($F16,$G16),$J16,0),0)</x:f>
        <x:v>1399035.081306757</x:v>
      </x:c>
      <x:c r="X49" s="29" t="n">
        <x:f>IF(AND(X$37&gt;$F16,X$37&lt;=EDATE($F16,$G16)),$K16+IF(X$37=EDATE($F16,$G16),$J16,0),0)</x:f>
        <x:v>1399035.081306757</x:v>
      </x:c>
      <x:c r="Y49" s="29" t="n">
        <x:f>IF(AND(Y$37&gt;$F16,Y$37&lt;=EDATE($F16,$G16)),$K16+IF(Y$37=EDATE($F16,$G16),$J16,0),0)</x:f>
        <x:v>1399035.081306757</x:v>
      </x:c>
      <x:c r="Z49" s="29" t="n">
        <x:f>IF(AND(Z$37&gt;$F16,Z$37&lt;=EDATE($F16,$G16)),$K16+IF(Z$37=EDATE($F16,$G16),$J16,0),0)</x:f>
        <x:v>1399035.081306757</x:v>
      </x:c>
      <x:c r="AA49" s="29" t="n">
        <x:f>IF(AND(AA$37&gt;$F16,AA$37&lt;=EDATE($F16,$G16)),$K16+IF(AA$37=EDATE($F16,$G16),$J16,0),0)</x:f>
        <x:v>1399035.081306757</x:v>
      </x:c>
      <x:c r="AB49" s="29" t="n">
        <x:f>IF(AND(AB$37&gt;$F16,AB$37&lt;=EDATE($F16,$G16)),$K16+IF(AB$37=EDATE($F16,$G16),$J16,0),0)</x:f>
        <x:v>1399035.081306757</x:v>
      </x:c>
      <x:c r="AC49" s="29" t="n">
        <x:f>IF(AND(AC$37&gt;$F16,AC$37&lt;=EDATE($F16,$G16)),$K16+IF(AC$37=EDATE($F16,$G16),$J16,0),0)</x:f>
        <x:v>1399035.081306757</x:v>
      </x:c>
      <x:c r="AD49" s="29" t="n">
        <x:f>IF(AND(AD$37&gt;$F16,AD$37&lt;=EDATE($F16,$G16)),$K16+IF(AD$37=EDATE($F16,$G16),$J16,0),0)</x:f>
        <x:v>1399035.081306757</x:v>
      </x:c>
      <x:c r="AE49" s="29" t="n">
        <x:f>IF(AND(AE$37&gt;$F16,AE$37&lt;=EDATE($F16,$G16)),$K16+IF(AE$37=EDATE($F16,$G16),$J16,0),0)</x:f>
        <x:v>1399035.081306757</x:v>
      </x:c>
      <x:c r="AF49" s="29" t="n">
        <x:f>IF(AND(AF$37&gt;$F16,AF$37&lt;=EDATE($F16,$G16)),$K16+IF(AF$37=EDATE($F16,$G16),$J16,0),0)</x:f>
        <x:v>1399035.081306757</x:v>
      </x:c>
      <x:c r="AG49" s="29" t="n">
        <x:f>IF(AND(AG$37&gt;$F16,AG$37&lt;=EDATE($F16,$G16)),$K16+IF(AG$37=EDATE($F16,$G16),$J16,0),0)</x:f>
        <x:v>1399035.081306757</x:v>
      </x:c>
      <x:c r="AH49" s="29" t="n">
        <x:f>IF(AND(AH$37&gt;$F16,AH$37&lt;=EDATE($F16,$G16)),$K16+IF(AH$37=EDATE($F16,$G16),$J16,0),0)</x:f>
        <x:v>1399035.081306757</x:v>
      </x:c>
      <x:c r="AI49" s="29" t="n">
        <x:f>IF(AND(AI$37&gt;$F16,AI$37&lt;=EDATE($F16,$G16)),$K16+IF(AI$37=EDATE($F16,$G16),$J16,0),0)</x:f>
        <x:v>1399035.081306757</x:v>
      </x:c>
      <x:c r="AJ49" s="29" t="n">
        <x:f>IF(AND(AJ$37&gt;$F16,AJ$37&lt;=EDATE($F16,$G16)),$K16+IF(AJ$37=EDATE($F16,$G16),$J16,0),0)</x:f>
        <x:v>1399035.081306757</x:v>
      </x:c>
      <x:c r="AK49" s="29" t="n">
        <x:f>IF(AND(AK$37&gt;$F16,AK$37&lt;=EDATE($F16,$G16)),$K16+IF(AK$37=EDATE($F16,$G16),$J16,0),0)</x:f>
        <x:v>1399035.081306757</x:v>
      </x:c>
      <x:c r="AL49" s="101" t="n">
        <x:f>IF(AND(AL$37&gt;$F16,AL$37&lt;=EDATE($F16,$G16)),$K16+IF(AL$37=EDATE($F16,$G16),$J16,0),0)</x:f>
        <x:v>1399035.081306757</x:v>
      </x:c>
      <x:c r="AM49" s="101" t="n">
        <x:f>IF(AND(AM$37&gt;$F16,AM$37&lt;=EDATE($F16,$G16)),$K16+IF(AM$37=EDATE($F16,$G16),$J16,0),0)</x:f>
        <x:v>1399035.081306757</x:v>
      </x:c>
      <x:c r="AN49" s="101" t="n">
        <x:f>IF(AND(AN$37&gt;$F16,AN$37&lt;=EDATE($F16,$G16)),$K16+IF(AN$37=EDATE($F16,$G16),$J16,0),0)</x:f>
        <x:v>1399035.081306757</x:v>
      </x:c>
      <x:c r="AO49" s="101" t="n">
        <x:f>IF(AND(AO$37&gt;$F16,AO$37&lt;=EDATE($F16,$G16)),$K16+IF(AO$37=EDATE($F16,$G16),$J16,0),0)</x:f>
        <x:v>1399035.081306757</x:v>
      </x:c>
      <x:c r="AP49" s="101" t="n">
        <x:f>IF(AND(AP$37&gt;$F16,AP$37&lt;=EDATE($F16,$G16)),$K16+IF(AP$37=EDATE($F16,$G16),$J16,0),0)</x:f>
        <x:v>1399035.081306757</x:v>
      </x:c>
      <x:c r="AQ49" s="101" t="n">
        <x:f>IF(AND(AQ$37&gt;$F16,AQ$37&lt;=EDATE($F16,$G16)),$K16+IF(AQ$37=EDATE($F16,$G16),$J16,0),0)</x:f>
        <x:v>1399035.081306757</x:v>
      </x:c>
      <x:c r="AR49" s="101" t="n">
        <x:f>IF(AND(AR$37&gt;$F16,AR$37&lt;=EDATE($F16,$G16)),$K16+IF(AR$37=EDATE($F16,$G16),$J16,0),0)</x:f>
        <x:v>1399035.081306757</x:v>
      </x:c>
      <x:c r="AS49" s="101" t="n">
        <x:f>IF(AND(AS$37&gt;$F16,AS$37&lt;=EDATE($F16,$G16)),$K16+IF(AS$37=EDATE($F16,$G16),$J16,0),0)</x:f>
        <x:v>1399035.081306757</x:v>
      </x:c>
      <x:c r="AT49" s="101" t="n">
        <x:f>IF(AND(AT$37&gt;$F16,AT$37&lt;=EDATE($F16,$G16)),$K16+IF(AT$37=EDATE($F16,$G16),$J16,0),0)</x:f>
        <x:v>1399035.081306757</x:v>
      </x:c>
      <x:c r="AU49" s="101" t="n">
        <x:f>IF(AND(AU$37&gt;$F16,AU$37&lt;=EDATE($F16,$G16)),$K16+IF(AU$37=EDATE($F16,$G16),$J16,0),0)</x:f>
        <x:v>1399035.081306757</x:v>
      </x:c>
      <x:c r="AV49" s="101" t="n">
        <x:f>IF(AND(AV$37&gt;$F16,AV$37&lt;=EDATE($F16,$G16)),$K16+IF(AV$37=EDATE($F16,$G16),$J16,0),0)</x:f>
        <x:v>1399035.081306757</x:v>
      </x:c>
      <x:c r="AW49" s="101" t="n">
        <x:f>IF(AND(AW$37&gt;$F16,AW$37&lt;=EDATE($F16,$G16)),$K16+IF(AW$37=EDATE($F16,$G16),$J16,0),0)</x:f>
        <x:v>1399035.081306757</x:v>
      </x:c>
      <x:c r="AX49" s="101" t="n">
        <x:f>IF(AND(AX$37&gt;$F16,AX$37&lt;=EDATE($F16,$G16)),$K16+IF(AX$37=EDATE($F16,$G16),$J16,0),0)</x:f>
        <x:v>1849035.081306757</x:v>
      </x:c>
      <x:c r="AY49" s="101" t="n">
        <x:f>IF(AND(AY$37&gt;$F16,AY$37&lt;=EDATE($F16,$G16)),$K16+IF(AY$37=EDATE($F16,$G16),$J16,0),0)</x:f>
        <x:v>0</x:v>
      </x:c>
      <x:c r="AZ49" s="101" t="n">
        <x:f>IF(AND(AZ$37&gt;$F16,AZ$37&lt;=EDATE($F16,$G16)),$K16+IF(AZ$37=EDATE($F16,$G16),$J16,0),0)</x:f>
        <x:v>0</x:v>
      </x:c>
      <x:c r="BA49" s="101" t="n">
        <x:f>IF(AND(BA$37&gt;$F16,BA$37&lt;=EDATE($F16,$G16)),$K16+IF(BA$37=EDATE($F16,$G16),$J16,0),0)</x:f>
        <x:v>0</x:v>
      </x:c>
      <x:c r="BB49" s="101" t="n">
        <x:f>IF(AND(BB$37&gt;$F16,BB$37&lt;=EDATE($F16,$G16)),$K16+IF(BB$37=EDATE($F16,$G16),$J16,0),0)</x:f>
        <x:v>0</x:v>
      </x:c>
      <x:c r="BC49" s="101" t="n">
        <x:f>IF(AND(BC$37&gt;$F16,BC$37&lt;=EDATE($F16,$G16)),$K16+IF(BC$37=EDATE($F16,$G16),$J16,0),0)</x:f>
        <x:v>0</x:v>
      </x:c>
      <x:c r="BD49" s="101" t="n">
        <x:f>IF(AND(BD$37&gt;$F16,BD$37&lt;=EDATE($F16,$G16)),$K16+IF(BD$37=EDATE($F16,$G16),$J16,0),0)</x:f>
        <x:v>0</x:v>
      </x:c>
      <x:c r="BE49" s="101" t="n">
        <x:f>IF(AND(BE$37&gt;$F16,BE$37&lt;=EDATE($F16,$G16)),$K16+IF(BE$37=EDATE($F16,$G16),$J16,0),0)</x:f>
        <x:v>0</x:v>
      </x:c>
      <x:c r="BF49" s="101" t="n">
        <x:f>IF(AND(BF$37&gt;$F16,BF$37&lt;=EDATE($F16,$G16)),$K16+IF(BF$37=EDATE($F16,$G16),$J16,0),0)</x:f>
        <x:v>0</x:v>
      </x:c>
      <x:c r="BG49" s="101" t="n">
        <x:f>IF(AND(BG$37&gt;$F16,BG$37&lt;=EDATE($F16,$G16)),$K16+IF(BG$37=EDATE($F16,$G16),$J16,0),0)</x:f>
        <x:v>0</x:v>
      </x:c>
      <x:c r="BH49" s="101" t="n">
        <x:f>IF(AND(BH$37&gt;$F16,BH$37&lt;=EDATE($F16,$G16)),$K16+IF(BH$37=EDATE($F16,$G16),$J16,0),0)</x:f>
        <x:v>0</x:v>
      </x:c>
      <x:c r="BI49" s="101" t="n">
        <x:f>IF(AND(BI$37&gt;$F16,BI$37&lt;=EDATE($F16,$G16)),$K16+IF(BI$37=EDATE($F16,$G16),$J16,0),0)</x:f>
        <x:v>0</x:v>
      </x:c>
    </x:row>
    <x:row r="50"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  <x:c r="AA50" s="29"/>
      <x:c r="AB50" s="29"/>
      <x:c r="AC50" s="29"/>
      <x:c r="AD50" s="29"/>
      <x:c r="AE50" s="29"/>
      <x:c r="AF50" s="29"/>
      <x:c r="AG50" s="29"/>
      <x:c r="AH50" s="29"/>
      <x:c r="AI50" s="29"/>
      <x:c r="AJ50" s="29"/>
      <x:c r="AK50" s="29"/>
      <x:c r="AL50" s="101"/>
      <x:c r="AM50" s="101"/>
      <x:c r="AN50" s="101"/>
      <x:c r="AO50" s="101"/>
      <x:c r="AP50" s="101"/>
      <x:c r="AQ50" s="101"/>
      <x:c r="AR50" s="101"/>
      <x:c r="AS50" s="101"/>
      <x:c r="AT50" s="101"/>
      <x:c r="AU50" s="101"/>
      <x:c r="AV50" s="101"/>
      <x:c r="AW50" s="101"/>
      <x:c r="AX50" s="101"/>
      <x:c r="AY50" s="101"/>
      <x:c r="AZ50" s="101"/>
      <x:c r="BA50" s="101"/>
      <x:c r="BB50" s="101"/>
      <x:c r="BC50" s="101"/>
      <x:c r="BD50" s="101"/>
      <x:c r="BE50" s="101"/>
      <x:c r="BF50" s="101"/>
      <x:c r="BG50" s="101"/>
      <x:c r="BH50" s="101"/>
      <x:c r="BI50" s="101"/>
    </x:row>
    <x:row r="51">
      <x:c r="A51" s="13" t="str">
        <x:v>融资成本</x:v>
      </x:c>
      <x:c r="B51" s="97" t="str">
        <x:v>融资成本</x:v>
      </x:c>
      <x:c r="C51" s="97" t="str">
        <x:v>融资成本</x:v>
      </x:c>
      <x:c r="D51" s="97" t="str">
        <x:v>融资成本</x:v>
      </x:c>
      <x:c r="E51" s="97" t="str">
        <x:v>融资成本</x:v>
      </x:c>
      <x:c r="F51" s="97" t="str">
        <x:v>融资成本</x:v>
      </x:c>
      <x:c r="G51" s="97" t="str">
        <x:v>融资成本</x:v>
      </x:c>
      <x:c r="H51" s="97" t="str">
        <x:v>融资成本</x:v>
      </x:c>
      <x:c r="I51" s="97" t="str">
        <x:v>融资成本</x:v>
      </x:c>
      <x:c r="J51" s="97" t="str">
        <x:v>融资成本</x:v>
      </x:c>
      <x:c r="K51" s="97" t="str">
        <x:v>融资成本</x:v>
      </x:c>
      <x:c r="L51" s="97" t="str">
        <x:v>融资成本</x:v>
      </x:c>
      <x:c r="M51" s="97" t="str">
        <x:v>融资成本</x:v>
      </x:c>
      <x:c r="N51" s="97" t="str">
        <x:v>融资成本</x:v>
      </x:c>
      <x:c r="O51" s="97" t="str">
        <x:v>融资成本</x:v>
      </x:c>
      <x:c r="P51" s="97" t="str">
        <x:v>融资成本</x:v>
      </x:c>
      <x:c r="Q51" s="97" t="str">
        <x:v>融资成本</x:v>
      </x:c>
      <x:c r="R51" s="97" t="str">
        <x:v>融资成本</x:v>
      </x:c>
      <x:c r="S51" s="97" t="str">
        <x:v>融资成本</x:v>
      </x:c>
      <x:c r="T51" s="97" t="str">
        <x:v>融资成本</x:v>
      </x:c>
      <x:c r="U51" s="97" t="str">
        <x:v>融资成本</x:v>
      </x:c>
      <x:c r="V51" s="97" t="str">
        <x:v>融资成本</x:v>
      </x:c>
      <x:c r="W51" s="97" t="str">
        <x:v>融资成本</x:v>
      </x:c>
      <x:c r="X51" s="97" t="str">
        <x:v>融资成本</x:v>
      </x:c>
      <x:c r="Y51" s="97" t="str">
        <x:v>融资成本</x:v>
      </x:c>
      <x:c r="Z51" s="97" t="str">
        <x:v>融资成本</x:v>
      </x:c>
      <x:c r="AA51" s="97" t="str">
        <x:v>融资成本</x:v>
      </x:c>
      <x:c r="AB51" s="97" t="str">
        <x:v>融资成本</x:v>
      </x:c>
      <x:c r="AC51" s="97" t="str">
        <x:v>融资成本</x:v>
      </x:c>
      <x:c r="AD51" s="97" t="str">
        <x:v>融资成本</x:v>
      </x:c>
      <x:c r="AE51" s="97" t="str">
        <x:v>融资成本</x:v>
      </x:c>
      <x:c r="AF51" s="97" t="str">
        <x:v>融资成本</x:v>
      </x:c>
      <x:c r="AG51" s="97" t="str">
        <x:v>融资成本</x:v>
      </x:c>
      <x:c r="AH51" s="97" t="str">
        <x:v>融资成本</x:v>
      </x:c>
      <x:c r="AI51" s="97" t="str">
        <x:v>融资成本</x:v>
      </x:c>
      <x:c r="AJ51" s="97" t="str">
        <x:v>融资成本</x:v>
      </x:c>
      <x:c r="AK51" s="97" t="str">
        <x:v>融资成本</x:v>
      </x:c>
      <x:c r="AL51" s="102" t="str">
        <x:v>融资成本</x:v>
      </x:c>
      <x:c r="AM51" s="102" t="str">
        <x:v>融资成本</x:v>
      </x:c>
      <x:c r="AN51" s="102" t="str">
        <x:v>融资成本</x:v>
      </x:c>
      <x:c r="AO51" s="102" t="str">
        <x:v>融资成本</x:v>
      </x:c>
      <x:c r="AP51" s="102" t="str">
        <x:v>融资成本</x:v>
      </x:c>
      <x:c r="AQ51" s="102" t="str">
        <x:v>融资成本</x:v>
      </x:c>
      <x:c r="AR51" s="102" t="str">
        <x:v>融资成本</x:v>
      </x:c>
      <x:c r="AS51" s="102" t="str">
        <x:v>融资成本</x:v>
      </x:c>
      <x:c r="AT51" s="102" t="str">
        <x:v>融资成本</x:v>
      </x:c>
      <x:c r="AU51" s="102" t="str">
        <x:v>融资成本</x:v>
      </x:c>
      <x:c r="AV51" s="102" t="str">
        <x:v>融资成本</x:v>
      </x:c>
      <x:c r="AW51" s="102" t="str">
        <x:v>融资成本</x:v>
      </x:c>
      <x:c r="AX51" s="102" t="str">
        <x:v>融资成本</x:v>
      </x:c>
      <x:c r="AY51" s="102" t="str">
        <x:v>融资成本</x:v>
      </x:c>
      <x:c r="AZ51" s="102" t="str">
        <x:v>融资成本</x:v>
      </x:c>
      <x:c r="BA51" s="102" t="str">
        <x:v>融资成本</x:v>
      </x:c>
      <x:c r="BB51" s="102" t="str">
        <x:v>融资成本</x:v>
      </x:c>
      <x:c r="BC51" s="102" t="str">
        <x:v>融资成本</x:v>
      </x:c>
      <x:c r="BD51" s="102" t="str">
        <x:v>融资成本</x:v>
      </x:c>
      <x:c r="BE51" s="102" t="str">
        <x:v>融资成本</x:v>
      </x:c>
      <x:c r="BF51" s="102" t="str">
        <x:v>融资成本</x:v>
      </x:c>
      <x:c r="BG51" s="102" t="str">
        <x:v>融资成本</x:v>
      </x:c>
      <x:c r="BH51" s="102" t="str">
        <x:v>融资成本</x:v>
      </x:c>
      <x:c r="BI51" s="103" t="str">
        <x:v>融资成本</x:v>
      </x:c>
    </x:row>
    <x:row r="52"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  <x:c r="AA52" s="29"/>
      <x:c r="AB52" s="29"/>
      <x:c r="AC52" s="29"/>
      <x:c r="AD52" s="29"/>
      <x:c r="AE52" s="29"/>
      <x:c r="AF52" s="29"/>
      <x:c r="AG52" s="29"/>
      <x:c r="AH52" s="29"/>
      <x:c r="AI52" s="29"/>
      <x:c r="AJ52" s="29"/>
      <x:c r="AK52" s="29"/>
      <x:c r="AL52" s="101"/>
      <x:c r="AM52" s="101"/>
      <x:c r="AN52" s="101"/>
      <x:c r="AO52" s="101"/>
      <x:c r="AP52" s="101"/>
      <x:c r="AQ52" s="101"/>
      <x:c r="AR52" s="101"/>
      <x:c r="AS52" s="101"/>
      <x:c r="AT52" s="101"/>
      <x:c r="AU52" s="101"/>
      <x:c r="AV52" s="101"/>
      <x:c r="AW52" s="101"/>
      <x:c r="AX52" s="101"/>
      <x:c r="AY52" s="101"/>
      <x:c r="AZ52" s="101"/>
      <x:c r="BA52" s="101"/>
      <x:c r="BB52" s="101"/>
      <x:c r="BC52" s="101"/>
      <x:c r="BD52" s="101"/>
      <x:c r="BE52" s="101"/>
      <x:c r="BF52" s="101"/>
      <x:c r="BG52" s="101"/>
      <x:c r="BH52" s="101"/>
      <x:c r="BI52" s="101"/>
    </x:row>
    <x:row r="53">
      <x:c r="A53" t="str">
        <x:v>批次/月</x:v>
      </x:c>
      <x:c r="B53" s="29" t="n">
        <x:f>'36月运营模型'!B$5</x:f>
        <x:v>46266</x:v>
      </x:c>
      <x:c r="C53" s="29" t="n">
        <x:f>'36月运营模型'!C$5</x:f>
        <x:v>46296</x:v>
      </x:c>
      <x:c r="D53" s="29" t="n">
        <x:f>'36月运营模型'!D$5</x:f>
        <x:v>46327</x:v>
      </x:c>
      <x:c r="E53" s="29" t="n">
        <x:f>'36月运营模型'!E$5</x:f>
        <x:v>46357</x:v>
      </x:c>
      <x:c r="F53" s="29" t="n">
        <x:f>'36月运营模型'!F$5</x:f>
        <x:v>46388</x:v>
      </x:c>
      <x:c r="G53" s="29" t="n">
        <x:f>'36月运营模型'!G$5</x:f>
        <x:v>46419</x:v>
      </x:c>
      <x:c r="H53" s="29" t="n">
        <x:f>'36月运营模型'!H$5</x:f>
        <x:v>46447</x:v>
      </x:c>
      <x:c r="I53" s="29" t="n">
        <x:f>'36月运营模型'!I$5</x:f>
        <x:v>46478</x:v>
      </x:c>
      <x:c r="J53" s="29" t="n">
        <x:f>'36月运营模型'!J$5</x:f>
        <x:v>46508</x:v>
      </x:c>
      <x:c r="K53" s="29" t="n">
        <x:f>'36月运营模型'!K$5</x:f>
        <x:v>46539</x:v>
      </x:c>
      <x:c r="L53" s="29" t="n">
        <x:f>'36月运营模型'!L$5</x:f>
        <x:v>46569</x:v>
      </x:c>
      <x:c r="M53" s="29" t="n">
        <x:f>'36月运营模型'!M$5</x:f>
        <x:v>46600</x:v>
      </x:c>
      <x:c r="N53" s="29" t="n">
        <x:f>'36月运营模型'!N$5</x:f>
        <x:v>46631</x:v>
      </x:c>
      <x:c r="O53" s="29" t="n">
        <x:f>'36月运营模型'!O$5</x:f>
        <x:v>46661</x:v>
      </x:c>
      <x:c r="P53" s="29" t="n">
        <x:f>'36月运营模型'!P$5</x:f>
        <x:v>46692</x:v>
      </x:c>
      <x:c r="Q53" s="29" t="n">
        <x:f>'36月运营模型'!Q$5</x:f>
        <x:v>46722</x:v>
      </x:c>
      <x:c r="R53" s="29" t="n">
        <x:f>'36月运营模型'!R$5</x:f>
        <x:v>46753</x:v>
      </x:c>
      <x:c r="S53" s="29" t="n">
        <x:f>'36月运营模型'!S$5</x:f>
        <x:v>46784</x:v>
      </x:c>
      <x:c r="T53" s="29" t="n">
        <x:f>'36月运营模型'!T$5</x:f>
        <x:v>46813</x:v>
      </x:c>
      <x:c r="U53" s="29" t="n">
        <x:f>'36月运营模型'!U$5</x:f>
        <x:v>46844</x:v>
      </x:c>
      <x:c r="V53" s="29" t="n">
        <x:f>'36月运营模型'!V$5</x:f>
        <x:v>46874</x:v>
      </x:c>
      <x:c r="W53" s="29" t="n">
        <x:f>'36月运营模型'!W$5</x:f>
        <x:v>46905</x:v>
      </x:c>
      <x:c r="X53" s="29" t="n">
        <x:f>'36月运营模型'!X$5</x:f>
        <x:v>46935</x:v>
      </x:c>
      <x:c r="Y53" s="29" t="n">
        <x:f>'36月运营模型'!Y$5</x:f>
        <x:v>46966</x:v>
      </x:c>
      <x:c r="Z53" s="29" t="n">
        <x:f>'36月运营模型'!Z$5</x:f>
        <x:v>46997</x:v>
      </x:c>
      <x:c r="AA53" s="29" t="n">
        <x:f>'36月运营模型'!AA$5</x:f>
        <x:v>47027</x:v>
      </x:c>
      <x:c r="AB53" s="29" t="n">
        <x:f>'36月运营模型'!AB$5</x:f>
        <x:v>47058</x:v>
      </x:c>
      <x:c r="AC53" s="29" t="n">
        <x:f>'36月运营模型'!AC$5</x:f>
        <x:v>47088</x:v>
      </x:c>
      <x:c r="AD53" s="29" t="n">
        <x:f>'36月运营模型'!AD$5</x:f>
        <x:v>47119</x:v>
      </x:c>
      <x:c r="AE53" s="29" t="n">
        <x:f>'36月运营模型'!AE$5</x:f>
        <x:v>47150</x:v>
      </x:c>
      <x:c r="AF53" s="29" t="n">
        <x:f>'36月运营模型'!AF$5</x:f>
        <x:v>47178</x:v>
      </x:c>
      <x:c r="AG53" s="29" t="n">
        <x:f>'36月运营模型'!AG$5</x:f>
        <x:v>47209</x:v>
      </x:c>
      <x:c r="AH53" s="29" t="n">
        <x:f>'36月运营模型'!AH$5</x:f>
        <x:v>47239</x:v>
      </x:c>
      <x:c r="AI53" s="29" t="n">
        <x:f>'36月运营模型'!AI$5</x:f>
        <x:v>47270</x:v>
      </x:c>
      <x:c r="AJ53" s="29" t="n">
        <x:f>'36月运营模型'!AJ$5</x:f>
        <x:v>47300</x:v>
      </x:c>
      <x:c r="AK53" s="29" t="n">
        <x:f>'36月运营模型'!AK$5</x:f>
        <x:v>47331</x:v>
      </x:c>
      <x:c r="AL53" s="101" t="n">
        <x:f>'36月运营模型'!AL$5</x:f>
        <x:v>47362</x:v>
      </x:c>
      <x:c r="AM53" s="101" t="n">
        <x:f>'36月运营模型'!AM$5</x:f>
        <x:v>47392</x:v>
      </x:c>
      <x:c r="AN53" s="101" t="n">
        <x:f>'36月运营模型'!AN$5</x:f>
        <x:v>47423</x:v>
      </x:c>
      <x:c r="AO53" s="101" t="n">
        <x:f>'36月运营模型'!AO$5</x:f>
        <x:v>47453</x:v>
      </x:c>
      <x:c r="AP53" s="101" t="n">
        <x:f>'36月运营模型'!AP$5</x:f>
        <x:v>47484</x:v>
      </x:c>
      <x:c r="AQ53" s="101" t="n">
        <x:f>'36月运营模型'!AQ$5</x:f>
        <x:v>47515</x:v>
      </x:c>
      <x:c r="AR53" s="101" t="n">
        <x:f>'36月运营模型'!AR$5</x:f>
        <x:v>47543</x:v>
      </x:c>
      <x:c r="AS53" s="101" t="n">
        <x:f>'36月运营模型'!AS$5</x:f>
        <x:v>47574</x:v>
      </x:c>
      <x:c r="AT53" s="101" t="n">
        <x:f>'36月运营模型'!AT$5</x:f>
        <x:v>47604</x:v>
      </x:c>
      <x:c r="AU53" s="101" t="n">
        <x:f>'36月运营模型'!AU$5</x:f>
        <x:v>47635</x:v>
      </x:c>
      <x:c r="AV53" s="101" t="n">
        <x:f>'36月运营模型'!AV$5</x:f>
        <x:v>47665</x:v>
      </x:c>
      <x:c r="AW53" s="101" t="n">
        <x:f>'36月运营模型'!AW$5</x:f>
        <x:v>47696</x:v>
      </x:c>
      <x:c r="AX53" s="101" t="n">
        <x:f>'36月运营模型'!AX$5</x:f>
        <x:v>47727</x:v>
      </x:c>
      <x:c r="AY53" s="101" t="n">
        <x:f>'36月运营模型'!AY$5</x:f>
        <x:v>47757</x:v>
      </x:c>
      <x:c r="AZ53" s="101" t="n">
        <x:f>'36月运营模型'!AZ$5</x:f>
        <x:v>47788</x:v>
      </x:c>
      <x:c r="BA53" s="101" t="n">
        <x:f>'36月运营模型'!BA$5</x:f>
        <x:v>47818</x:v>
      </x:c>
      <x:c r="BB53" s="101" t="n">
        <x:f>'36月运营模型'!BB$5</x:f>
        <x:v>47849</x:v>
      </x:c>
      <x:c r="BC53" s="101" t="n">
        <x:f>'36月运营模型'!BC$5</x:f>
        <x:v>47880</x:v>
      </x:c>
      <x:c r="BD53" s="101" t="n">
        <x:f>'36月运营模型'!BD$5</x:f>
        <x:v>47908</x:v>
      </x:c>
      <x:c r="BE53" s="101" t="n">
        <x:f>'36月运营模型'!BE$5</x:f>
        <x:v>47939</x:v>
      </x:c>
      <x:c r="BF53" s="101" t="n">
        <x:f>'36月运营模型'!BF$5</x:f>
        <x:v>47969</x:v>
      </x:c>
      <x:c r="BG53" s="101" t="n">
        <x:f>'36月运营模型'!BG$5</x:f>
        <x:v>48000</x:v>
      </x:c>
      <x:c r="BH53" s="101" t="n">
        <x:f>'36月运营模型'!BH$5</x:f>
        <x:v>48030</x:v>
      </x:c>
      <x:c r="BI53" s="101" t="n">
        <x:f>'36月运营模型'!BI$5</x:f>
        <x:v>48061</x:v>
      </x:c>
    </x:row>
    <x:row r="54">
      <x:c r="A54" t="str">
        <x:f>A5</x:f>
        <x:v>批次01</x:v>
      </x:c>
      <x:c r="B54" s="29" t="n">
        <x:f>IF(AND(B$53&gt;$F5,B$53&lt;=EDATE($F5,$G5)),$E5*$I5,0)</x:f>
        <x:v>0</x:v>
      </x:c>
      <x:c r="C54" s="29" t="n">
        <x:f>IF(AND(C$53&gt;$F5,C$53&lt;=EDATE($F5,$G5)),B22*$I5,0)</x:f>
        <x:v>0</x:v>
      </x:c>
      <x:c r="D54" s="29" t="n">
        <x:f>IF(AND(D$53&gt;$F5,D$53&lt;=EDATE($F5,$G5)),C22*$I5,0)</x:f>
        <x:v>153280</x:v>
      </x:c>
      <x:c r="E54" s="29" t="n">
        <x:f>IF(AND(E$53&gt;$F5,E$53&lt;=EDATE($F5,$G5)),D22*$I5,0)</x:f>
        <x:v>149536.44228305112</x:v>
      </x:c>
      <x:c r="F54" s="29" t="n">
        <x:f>IF(AND(F$53&gt;$F5,F$53&lt;=EDATE($F5,$G5)),E22*$I5,0)</x:f>
        <x:v>145767.92751465592</x:v>
      </x:c>
      <x:c r="G54" s="29" t="n">
        <x:f>IF(AND(G$53&gt;$F5,G$53&lt;=EDATE($F5,$G5)),F22*$I5,0)</x:f>
        <x:v>141974.28931447142</x:v>
      </x:c>
      <x:c r="H54" s="29" t="n">
        <x:f>IF(AND(H$53&gt;$F5,H$53&lt;=EDATE($F5,$G5)),G22*$I5,0)</x:f>
        <x:v>138155.36019295233</x:v>
      </x:c>
      <x:c r="I54" s="29" t="n">
        <x:f>IF(AND(I$53&gt;$F5,I$53&lt;=EDATE($F5,$G5)),H22*$I5,0)</x:f>
        <x:v>134310.9715439565</x:v>
      </x:c>
      <x:c r="J54" s="29" t="n">
        <x:f>IF(AND(J$53&gt;$F5,J$53&lt;=EDATE($F5,$G5)),I22*$I5,0)</x:f>
        <x:v>130440.95363730064</x:v>
      </x:c>
      <x:c r="K54" s="29" t="n">
        <x:f>IF(AND(K$53&gt;$F5,K$53&lt;=EDATE($F5,$G5)),J22*$I5,0)</x:f>
        <x:v>126545.13561126709</x:v>
      </x:c>
      <x:c r="L54" s="29" t="n">
        <x:f>IF(AND(L$53&gt;$F5,L$53&lt;=EDATE($F5,$G5)),K22*$I5,0)</x:f>
        <x:v>122623.34546505999</x:v>
      </x:c>
      <x:c r="M54" s="29" t="n">
        <x:f>IF(AND(M$53&gt;$F5,M$53&lt;=EDATE($F5,$G5)),L22*$I5,0)</x:f>
        <x:v>118675.4100512115</x:v>
      </x:c>
      <x:c r="N54" s="29" t="n">
        <x:f>IF(AND(N$53&gt;$F5,N$53&lt;=EDATE($F5,$G5)),M22*$I5,0)</x:f>
        <x:v>114701.15506793736</x:v>
      </x:c>
      <x:c r="O54" s="29" t="n">
        <x:f>IF(AND(O$53&gt;$F5,O$53&lt;=EDATE($F5,$G5)),N22*$I5,0)</x:f>
        <x:v>110700.40505144138</x:v>
      </x:c>
      <x:c r="P54" s="29" t="n">
        <x:f>IF(AND(P$53&gt;$F5,P$53&lt;=EDATE($F5,$G5)),O22*$I5,0)</x:f>
        <x:v>106672.98336816877</x:v>
      </x:c>
      <x:c r="Q54" s="29" t="n">
        <x:f>IF(AND(Q$53&gt;$F5,Q$53&lt;=EDATE($F5,$G5)),P22*$I5,0)</x:f>
        <x:v>102618.71220700769</x:v>
      </x:c>
      <x:c r="R54" s="29" t="n">
        <x:f>IF(AND(R$53&gt;$F5,R$53&lt;=EDATE($F5,$G5)),Q22*$I5,0)</x:f>
        <x:v>98537.41257143885</x:v>
      </x:c>
      <x:c r="S54" s="29" t="n">
        <x:f>IF(AND(S$53&gt;$F5,S$53&lt;=EDATE($F5,$G5)),R22*$I5,0)</x:f>
        <x:v>94428.9042716329</x:v>
      </x:c>
      <x:c r="T54" s="29" t="n">
        <x:f>IF(AND(T$53&gt;$F5,T$53&lt;=EDATE($F5,$G5)),S22*$I5,0)</x:f>
        <x:v>90293.0059164949</x:v>
      </x:c>
      <x:c r="U54" s="29" t="n">
        <x:f>IF(AND(U$53&gt;$F5,U$53&lt;=EDATE($F5,$G5)),T22*$I5,0)</x:f>
        <x:v>86129.53490565598</x:v>
      </x:c>
      <x:c r="V54" s="29" t="n">
        <x:f>IF(AND(V$53&gt;$F5,V$53&lt;=EDATE($F5,$G5)),U22*$I5,0)</x:f>
        <x:v>81938.30742141147</x:v>
      </x:c>
      <x:c r="W54" s="29" t="n">
        <x:f>IF(AND(W$53&gt;$F5,W$53&lt;=EDATE($F5,$G5)),V22*$I5,0)</x:f>
        <x:v>77719.13842060535</x:v>
      </x:c>
      <x:c r="X54" s="29" t="n">
        <x:f>IF(AND(X$53&gt;$F5,X$53&lt;=EDATE($F5,$G5)),W22*$I5,0)</x:f>
        <x:v>73471.84162646049</x:v>
      </x:c>
      <x:c r="Y54" s="29" t="n">
        <x:f>IF(AND(Y$53&gt;$F5,Y$53&lt;=EDATE($F5,$G5)),X22*$I5,0)</x:f>
        <x:v>69196.22952035468</x:v>
      </x:c>
      <x:c r="Z54" s="29" t="n">
        <x:f>IF(AND(Z$53&gt;$F5,Z$53&lt;=EDATE($F5,$G5)),Y22*$I5,0)</x:f>
        <x:v>64892.11333354151</x:v>
      </x:c>
      <x:c r="AA54" s="29" t="n">
        <x:f>IF(AND(AA$53&gt;$F5,AA$53&lt;=EDATE($F5,$G5)),Z22*$I5,0)</x:f>
        <x:v>60559.30303881623</x:v>
      </x:c>
      <x:c r="AB54" s="29" t="n">
        <x:f>IF(AND(AB$53&gt;$F5,AB$53&lt;=EDATE($F5,$G5)),AA22*$I5,0)</x:f>
        <x:v>56197.607342126124</x:v>
      </x:c>
      <x:c r="AC54" s="29" t="n">
        <x:f>IF(AND(AC$53&gt;$F5,AC$53&lt;=EDATE($F5,$G5)),AB22*$I5,0)</x:f>
        <x:v>51806.83367412475</x:v>
      </x:c>
      <x:c r="AD54" s="29" t="n">
        <x:f>IF(AND(AD$53&gt;$F5,AD$53&lt;=EDATE($F5,$G5)),AC22*$I5,0)</x:f>
        <x:v>47386.78818167003</x:v>
      </x:c>
      <x:c r="AE54" s="29" t="n">
        <x:f>IF(AND(AE$53&gt;$F5,AE$53&lt;=EDATE($F5,$G5)),AD22*$I5,0)</x:f>
        <x:v>42937.27571926562</x:v>
      </x:c>
      <x:c r="AF54" s="29" t="n">
        <x:f>IF(AND(AF$53&gt;$F5,AF$53&lt;=EDATE($F5,$G5)),AE22*$I5,0)</x:f>
        <x:v>38458.099840445175</x:v>
      </x:c>
      <x:c r="AG54" s="29" t="n">
        <x:f>IF(AND(AG$53&gt;$F5,AG$53&lt;=EDATE($F5,$G5)),AF22*$I5,0)</x:f>
        <x:v>33949.062789099255</x:v>
      </x:c>
      <x:c r="AH54" s="29" t="n">
        <x:f>IF(AND(AH$53&gt;$F5,AH$53&lt;=EDATE($F5,$G5)),AG22*$I5,0)</x:f>
        <x:v>29409.96549074437</x:v>
      </x:c>
      <x:c r="AI54" s="29" t="n">
        <x:f>IF(AND(AI$53&gt;$F5,AI$53&lt;=EDATE($F5,$G5)),AH22*$I5,0)</x:f>
        <x:v>24840.607543733782</x:v>
      </x:c>
      <x:c r="AJ54" s="29" t="n">
        <x:f>IF(AND(AJ$53&gt;$F5,AJ$53&lt;=EDATE($F5,$G5)),AI22*$I5,0)</x:f>
        <x:v>20240.78721040979</x:v>
      </x:c>
      <x:c r="AK54" s="29" t="n">
        <x:f>IF(AND(AK$53&gt;$F5,AK$53&lt;=EDATE($F5,$G5)),AJ22*$I5,0)</x:f>
        <x:v>15610.301408196974</x:v>
      </x:c>
      <x:c r="AL54" s="101" t="n">
        <x:f>IF(AND(AL$53&gt;$F5,AL$53&lt;=EDATE($F5,$G5)),AK22*$I5,0)</x:f>
        <x:v>10948.945700636072</x:v>
      </x:c>
      <x:c r="AM54" s="101" t="n">
        <x:f>IF(AND(AM$53&gt;$F5,AM$53&lt;=EDATE($F5,$G5)),AL22*$I5,0)</x:f>
        <x:v>6256.514288358097</x:v>
      </x:c>
      <x:c r="AN54" s="101" t="n">
        <x:f>IF(AND(AN$53&gt;$F5,AN$53&lt;=EDATE($F5,$G5)),AM22*$I5,0)</x:f>
        <x:v>0</x:v>
      </x:c>
      <x:c r="AO54" s="101" t="n">
        <x:f>IF(AND(AO$53&gt;$F5,AO$53&lt;=EDATE($F5,$G5)),AN22*$I5,0)</x:f>
        <x:v>0</x:v>
      </x:c>
      <x:c r="AP54" s="101" t="n">
        <x:f>IF(AND(AP$53&gt;$F5,AP$53&lt;=EDATE($F5,$G5)),AO22*$I5,0)</x:f>
        <x:v>0</x:v>
      </x:c>
      <x:c r="AQ54" s="101" t="n">
        <x:f>IF(AND(AQ$53&gt;$F5,AQ$53&lt;=EDATE($F5,$G5)),AP22*$I5,0)</x:f>
        <x:v>0</x:v>
      </x:c>
      <x:c r="AR54" s="101" t="n">
        <x:f>IF(AND(AR$53&gt;$F5,AR$53&lt;=EDATE($F5,$G5)),AQ22*$I5,0)</x:f>
        <x:v>0</x:v>
      </x:c>
      <x:c r="AS54" s="101" t="n">
        <x:f>IF(AND(AS$53&gt;$F5,AS$53&lt;=EDATE($F5,$G5)),AR22*$I5,0)</x:f>
        <x:v>0</x:v>
      </x:c>
      <x:c r="AT54" s="101" t="n">
        <x:f>IF(AND(AT$53&gt;$F5,AT$53&lt;=EDATE($F5,$G5)),AS22*$I5,0)</x:f>
        <x:v>0</x:v>
      </x:c>
      <x:c r="AU54" s="101" t="n">
        <x:f>IF(AND(AU$53&gt;$F5,AU$53&lt;=EDATE($F5,$G5)),AT22*$I5,0)</x:f>
        <x:v>0</x:v>
      </x:c>
      <x:c r="AV54" s="101" t="n">
        <x:f>IF(AND(AV$53&gt;$F5,AV$53&lt;=EDATE($F5,$G5)),AU22*$I5,0)</x:f>
        <x:v>0</x:v>
      </x:c>
      <x:c r="AW54" s="101" t="n">
        <x:f>IF(AND(AW$53&gt;$F5,AW$53&lt;=EDATE($F5,$G5)),AV22*$I5,0)</x:f>
        <x:v>0</x:v>
      </x:c>
      <x:c r="AX54" s="101" t="n">
        <x:f>IF(AND(AX$53&gt;$F5,AX$53&lt;=EDATE($F5,$G5)),AW22*$I5,0)</x:f>
        <x:v>0</x:v>
      </x:c>
      <x:c r="AY54" s="101" t="n">
        <x:f>IF(AND(AY$53&gt;$F5,AY$53&lt;=EDATE($F5,$G5)),AX22*$I5,0)</x:f>
        <x:v>0</x:v>
      </x:c>
      <x:c r="AZ54" s="101" t="n">
        <x:f>IF(AND(AZ$53&gt;$F5,AZ$53&lt;=EDATE($F5,$G5)),AY22*$I5,0)</x:f>
        <x:v>0</x:v>
      </x:c>
      <x:c r="BA54" s="101" t="n">
        <x:f>IF(AND(BA$53&gt;$F5,BA$53&lt;=EDATE($F5,$G5)),AZ22*$I5,0)</x:f>
        <x:v>0</x:v>
      </x:c>
      <x:c r="BB54" s="101" t="n">
        <x:f>IF(AND(BB$53&gt;$F5,BB$53&lt;=EDATE($F5,$G5)),BA22*$I5,0)</x:f>
        <x:v>0</x:v>
      </x:c>
      <x:c r="BC54" s="101" t="n">
        <x:f>IF(AND(BC$53&gt;$F5,BC$53&lt;=EDATE($F5,$G5)),BB22*$I5,0)</x:f>
        <x:v>0</x:v>
      </x:c>
      <x:c r="BD54" s="101" t="n">
        <x:f>IF(AND(BD$53&gt;$F5,BD$53&lt;=EDATE($F5,$G5)),BC22*$I5,0)</x:f>
        <x:v>0</x:v>
      </x:c>
      <x:c r="BE54" s="101" t="n">
        <x:f>IF(AND(BE$53&gt;$F5,BE$53&lt;=EDATE($F5,$G5)),BD22*$I5,0)</x:f>
        <x:v>0</x:v>
      </x:c>
      <x:c r="BF54" s="101" t="n">
        <x:f>IF(AND(BF$53&gt;$F5,BF$53&lt;=EDATE($F5,$G5)),BE22*$I5,0)</x:f>
        <x:v>0</x:v>
      </x:c>
      <x:c r="BG54" s="101" t="n">
        <x:f>IF(AND(BG$53&gt;$F5,BG$53&lt;=EDATE($F5,$G5)),BF22*$I5,0)</x:f>
        <x:v>0</x:v>
      </x:c>
      <x:c r="BH54" s="101" t="n">
        <x:f>IF(AND(BH$53&gt;$F5,BH$53&lt;=EDATE($F5,$G5)),BG22*$I5,0)</x:f>
        <x:v>0</x:v>
      </x:c>
      <x:c r="BI54" s="101" t="n">
        <x:f>IF(AND(BI$53&gt;$F5,BI$53&lt;=EDATE($F5,$G5)),BH22*$I5,0)</x:f>
        <x:v>0</x:v>
      </x:c>
    </x:row>
    <x:row r="55">
      <x:c r="A55" t="str">
        <x:f>A6</x:f>
        <x:v>批次02</x:v>
      </x:c>
      <x:c r="B55" s="29" t="n">
        <x:f>IF(AND(B$53&gt;$F6,B$53&lt;=EDATE($F6,$G6)),$E6*$I6,0)</x:f>
        <x:v>0</x:v>
      </x:c>
      <x:c r="C55" s="29" t="n">
        <x:f>IF(AND(C$53&gt;$F6,C$53&lt;=EDATE($F6,$G6)),B23*$I6,0)</x:f>
        <x:v>0</x:v>
      </x:c>
      <x:c r="D55" s="29" t="n">
        <x:f>IF(AND(D$53&gt;$F6,D$53&lt;=EDATE($F6,$G6)),C23*$I6,0)</x:f>
        <x:v>0</x:v>
      </x:c>
      <x:c r="E55" s="29" t="n">
        <x:f>IF(AND(E$53&gt;$F6,E$53&lt;=EDATE($F6,$G6)),D23*$I6,0)</x:f>
        <x:v>183780</x:v>
      </x:c>
      <x:c r="F55" s="29" t="n">
        <x:f>IF(AND(F$53&gt;$F6,F$53&lt;=EDATE($F6,$G6)),E23*$I6,0)</x:f>
        <x:v>179291.5407279432</x:v>
      </x:c>
      <x:c r="G55" s="29" t="n">
        <x:f>IF(AND(G$53&gt;$F6,G$53&lt;=EDATE($F6,$G6)),F23*$I6,0)</x:f>
        <x:v>174773.1583940727</x:v>
      </x:c>
      <x:c r="H55" s="29" t="n">
        <x:f>IF(AND(H$53&gt;$F6,H$53&lt;=EDATE($F6,$G6)),G23*$I6,0)</x:f>
        <x:v>170224.65351130973</x:v>
      </x:c>
      <x:c r="I55" s="29" t="n">
        <x:f>IF(AND(I$53&gt;$F6,I$53&lt;=EDATE($F6,$G6)),H23*$I6,0)</x:f>
        <x:v>165645.82526266167</x:v>
      </x:c>
      <x:c r="J55" s="29" t="n">
        <x:f>IF(AND(J$53&gt;$F6,J$53&lt;=EDATE($F6,$G6)),I23*$I6,0)</x:f>
        <x:v>161036.47149235595</x:v>
      </x:c>
      <x:c r="K55" s="29" t="n">
        <x:f>IF(AND(K$53&gt;$F6,K$53&lt;=EDATE($F6,$G6)),J23*$I6,0)</x:f>
        <x:v>156396.38869691486</x:v>
      </x:c>
      <x:c r="L55" s="29" t="n">
        <x:f>IF(AND(L$53&gt;$F6,L$53&lt;=EDATE($F6,$G6)),K23*$I6,0)</x:f>
        <x:v>151725.37201617082</x:v>
      </x:c>
      <x:c r="M55" s="29" t="n">
        <x:f>IF(AND(M$53&gt;$F6,M$53&lt;=EDATE($F6,$G6)),L23*$I6,0)</x:f>
        <x:v>147023.21522422184</x:v>
      </x:c>
      <x:c r="N55" s="29" t="n">
        <x:f>IF(AND(N$53&gt;$F6,N$53&lt;=EDATE($F6,$G6)),M23*$I6,0)</x:f>
        <x:v>142289.71072032652</x:v>
      </x:c>
      <x:c r="O55" s="29" t="n">
        <x:f>IF(AND(O$53&gt;$F6,O$53&lt;=EDATE($F6,$G6)),N23*$I6,0)</x:f>
        <x:v>137524.64951973857</x:v>
      </x:c>
      <x:c r="P55" s="29" t="n">
        <x:f>IF(AND(P$53&gt;$F6,P$53&lt;=EDATE($F6,$G6)),O23*$I6,0)</x:f>
        <x:v>132727.82124448003</x:v>
      </x:c>
      <x:c r="Q55" s="29" t="n">
        <x:f>IF(AND(Q$53&gt;$F6,Q$53&lt;=EDATE($F6,$G6)),P23*$I6,0)</x:f>
        <x:v>127899.01411405309</x:v>
      </x:c>
      <x:c r="R55" s="29" t="n">
        <x:f>IF(AND(R$53&gt;$F6,R$53&lt;=EDATE($F6,$G6)),Q23*$I6,0)</x:f>
        <x:v>123038.01493608997</x:v>
      </x:c>
      <x:c r="S55" s="29" t="n">
        <x:f>IF(AND(S$53&gt;$F6,S$53&lt;=EDATE($F6,$G6)),R23*$I6,0)</x:f>
        <x:v>118144.60909694045</x:v>
      </x:c>
      <x:c r="T55" s="29" t="n">
        <x:f>IF(AND(T$53&gt;$F6,T$53&lt;=EDATE($F6,$G6)),S23*$I6,0)</x:f>
        <x:v>113218.58055219658</x:v>
      </x:c>
      <x:c r="U55" s="29" t="n">
        <x:f>IF(AND(U$53&gt;$F6,U$53&lt;=EDATE($F6,$G6)),T23*$I6,0)</x:f>
        <x:v>108259.71181715443</x:v>
      </x:c>
      <x:c r="V55" s="29" t="n">
        <x:f>IF(AND(V$53&gt;$F6,V$53&lt;=EDATE($F6,$G6)),U23*$I6,0)</x:f>
        <x:v>103267.783957212</x:v>
      </x:c>
      <x:c r="W55" s="29" t="n">
        <x:f>IF(AND(W$53&gt;$F6,W$53&lt;=EDATE($F6,$G6)),V23*$I6,0)</x:f>
        <x:v>98242.57657820328</x:v>
      </x:c>
      <x:c r="X55" s="29" t="n">
        <x:f>IF(AND(X$53&gt;$F6,X$53&lt;=EDATE($F6,$G6)),W23*$I6,0)</x:f>
        <x:v>93183.86781666784</x:v>
      </x:c>
      <x:c r="Y55" s="29" t="n">
        <x:f>IF(AND(Y$53&gt;$F6,Y$53&lt;=EDATE($F6,$G6)),X23*$I6,0)</x:f>
        <x:v>88091.4343300555</x:v>
      </x:c>
      <x:c r="Z55" s="29" t="n">
        <x:f>IF(AND(Z$53&gt;$F6,Z$53&lt;=EDATE($F6,$G6)),Y23*$I6,0)</x:f>
        <x:v>82965.05128686575</x:v>
      </x:c>
      <x:c r="AA55" s="29" t="n">
        <x:f>IF(AND(AA$53&gt;$F6,AA$53&lt;=EDATE($F6,$G6)),Z23*$I6,0)</x:f>
        <x:v>77804.49235672138</x:v>
      </x:c>
      <x:c r="AB55" s="29" t="n">
        <x:f>IF(AND(AB$53&gt;$F6,AB$53&lt;=EDATE($F6,$G6)),AA23*$I6,0)</x:f>
        <x:v>72609.52970037608</x:v>
      </x:c>
      <x:c r="AC55" s="29" t="n">
        <x:f>IF(AND(AC$53&gt;$F6,AC$53&lt;=EDATE($F6,$G6)),AB23*$I6,0)</x:f>
        <x:v>67379.93395965511</x:v>
      </x:c>
      <x:c r="AD55" s="29" t="n">
        <x:f>IF(AND(AD$53&gt;$F6,AD$53&lt;=EDATE($F6,$G6)),AC23*$I6,0)</x:f>
        <x:v>62115.474247329366</x:v>
      </x:c>
      <x:c r="AE55" s="29" t="n">
        <x:f>IF(AND(AE$53&gt;$F6,AE$53&lt;=EDATE($F6,$G6)),AD23*$I6,0)</x:f>
        <x:v>56815.91813692143</x:v>
      </x:c>
      <x:c r="AF55" s="29" t="n">
        <x:f>IF(AND(AF$53&gt;$F6,AF$53&lt;=EDATE($F6,$G6)),AE23*$I6,0)</x:f>
        <x:v>51481.03165244411</x:v>
      </x:c>
      <x:c r="AG55" s="29" t="n">
        <x:f>IF(AND(AG$53&gt;$F6,AG$53&lt;=EDATE($F6,$G6)),AF23*$I6,0)</x:f>
        <x:v>46110.57925807028</x:v>
      </x:c>
      <x:c r="AH55" s="29" t="n">
        <x:f>IF(AND(AH$53&gt;$F6,AH$53&lt;=EDATE($F6,$G6)),AG23*$I6,0)</x:f>
        <x:v>40704.32384773395</x:v>
      </x:c>
      <x:c r="AI55" s="29" t="n">
        <x:f>IF(AND(AI$53&gt;$F6,AI$53&lt;=EDATE($F6,$G6)),AH23*$I6,0)</x:f>
        <x:v>35262.026734662046</x:v>
      </x:c>
      <x:c r="AJ55" s="29" t="n">
        <x:f>IF(AND(AJ$53&gt;$F6,AJ$53&lt;=EDATE($F6,$G6)),AI23*$I6,0)</x:f>
        <x:v>29783.447640836326</x:v>
      </x:c>
      <x:c r="AK55" s="29" t="n">
        <x:f>IF(AND(AK$53&gt;$F6,AK$53&lt;=EDATE($F6,$G6)),AJ23*$I6,0)</x:f>
        <x:v>24268.34468638511</x:v>
      </x:c>
      <x:c r="AL55" s="101" t="n">
        <x:f>IF(AND(AL$53&gt;$F6,AL$53&lt;=EDATE($F6,$G6)),AK23*$I6,0)</x:f>
        <x:v>18716.474378904215</x:v>
      </x:c>
      <x:c r="AM55" s="101" t="n">
        <x:f>IF(AND(AM$53&gt;$F6,AM$53&lt;=EDATE($F6,$G6)),AL23*$I6,0)</x:f>
        <x:v>13127.59160270678</x:v>
      </x:c>
      <x:c r="AN55" s="101" t="n">
        <x:f>IF(AND(AN$53&gt;$F6,AN$53&lt;=EDATE($F6,$G6)),AM23*$I6,0)</x:f>
        <x:v>7501.449608001361</x:v>
      </x:c>
      <x:c r="AO55" s="101" t="n">
        <x:f>IF(AND(AO$53&gt;$F6,AO$53&lt;=EDATE($F6,$G6)),AN23*$I6,0)</x:f>
        <x:v>0</x:v>
      </x:c>
      <x:c r="AP55" s="101" t="n">
        <x:f>IF(AND(AP$53&gt;$F6,AP$53&lt;=EDATE($F6,$G6)),AO23*$I6,0)</x:f>
        <x:v>0</x:v>
      </x:c>
      <x:c r="AQ55" s="101" t="n">
        <x:f>IF(AND(AQ$53&gt;$F6,AQ$53&lt;=EDATE($F6,$G6)),AP23*$I6,0)</x:f>
        <x:v>0</x:v>
      </x:c>
      <x:c r="AR55" s="101" t="n">
        <x:f>IF(AND(AR$53&gt;$F6,AR$53&lt;=EDATE($F6,$G6)),AQ23*$I6,0)</x:f>
        <x:v>0</x:v>
      </x:c>
      <x:c r="AS55" s="101" t="n">
        <x:f>IF(AND(AS$53&gt;$F6,AS$53&lt;=EDATE($F6,$G6)),AR23*$I6,0)</x:f>
        <x:v>0</x:v>
      </x:c>
      <x:c r="AT55" s="101" t="n">
        <x:f>IF(AND(AT$53&gt;$F6,AT$53&lt;=EDATE($F6,$G6)),AS23*$I6,0)</x:f>
        <x:v>0</x:v>
      </x:c>
      <x:c r="AU55" s="101" t="n">
        <x:f>IF(AND(AU$53&gt;$F6,AU$53&lt;=EDATE($F6,$G6)),AT23*$I6,0)</x:f>
        <x:v>0</x:v>
      </x:c>
      <x:c r="AV55" s="101" t="n">
        <x:f>IF(AND(AV$53&gt;$F6,AV$53&lt;=EDATE($F6,$G6)),AU23*$I6,0)</x:f>
        <x:v>0</x:v>
      </x:c>
      <x:c r="AW55" s="101" t="n">
        <x:f>IF(AND(AW$53&gt;$F6,AW$53&lt;=EDATE($F6,$G6)),AV23*$I6,0)</x:f>
        <x:v>0</x:v>
      </x:c>
      <x:c r="AX55" s="101" t="n">
        <x:f>IF(AND(AX$53&gt;$F6,AX$53&lt;=EDATE($F6,$G6)),AW23*$I6,0)</x:f>
        <x:v>0</x:v>
      </x:c>
      <x:c r="AY55" s="101" t="n">
        <x:f>IF(AND(AY$53&gt;$F6,AY$53&lt;=EDATE($F6,$G6)),AX23*$I6,0)</x:f>
        <x:v>0</x:v>
      </x:c>
      <x:c r="AZ55" s="101" t="n">
        <x:f>IF(AND(AZ$53&gt;$F6,AZ$53&lt;=EDATE($F6,$G6)),AY23*$I6,0)</x:f>
        <x:v>0</x:v>
      </x:c>
      <x:c r="BA55" s="101" t="n">
        <x:f>IF(AND(BA$53&gt;$F6,BA$53&lt;=EDATE($F6,$G6)),AZ23*$I6,0)</x:f>
        <x:v>0</x:v>
      </x:c>
      <x:c r="BB55" s="101" t="n">
        <x:f>IF(AND(BB$53&gt;$F6,BB$53&lt;=EDATE($F6,$G6)),BA23*$I6,0)</x:f>
        <x:v>0</x:v>
      </x:c>
      <x:c r="BC55" s="101" t="n">
        <x:f>IF(AND(BC$53&gt;$F6,BC$53&lt;=EDATE($F6,$G6)),BB23*$I6,0)</x:f>
        <x:v>0</x:v>
      </x:c>
      <x:c r="BD55" s="101" t="n">
        <x:f>IF(AND(BD$53&gt;$F6,BD$53&lt;=EDATE($F6,$G6)),BC23*$I6,0)</x:f>
        <x:v>0</x:v>
      </x:c>
      <x:c r="BE55" s="101" t="n">
        <x:f>IF(AND(BE$53&gt;$F6,BE$53&lt;=EDATE($F6,$G6)),BD23*$I6,0)</x:f>
        <x:v>0</x:v>
      </x:c>
      <x:c r="BF55" s="101" t="n">
        <x:f>IF(AND(BF$53&gt;$F6,BF$53&lt;=EDATE($F6,$G6)),BE23*$I6,0)</x:f>
        <x:v>0</x:v>
      </x:c>
      <x:c r="BG55" s="101" t="n">
        <x:f>IF(AND(BG$53&gt;$F6,BG$53&lt;=EDATE($F6,$G6)),BF23*$I6,0)</x:f>
        <x:v>0</x:v>
      </x:c>
      <x:c r="BH55" s="101" t="n">
        <x:f>IF(AND(BH$53&gt;$F6,BH$53&lt;=EDATE($F6,$G6)),BG23*$I6,0)</x:f>
        <x:v>0</x:v>
      </x:c>
      <x:c r="BI55" s="101" t="n">
        <x:f>IF(AND(BI$53&gt;$F6,BI$53&lt;=EDATE($F6,$G6)),BH23*$I6,0)</x:f>
        <x:v>0</x:v>
      </x:c>
    </x:row>
    <x:row r="56">
      <x:c r="A56" t="str">
        <x:f>A7</x:f>
        <x:v>批次03</x:v>
      </x:c>
      <x:c r="B56" s="29" t="n">
        <x:f>IF(AND(B$53&gt;$F7,B$53&lt;=EDATE($F7,$G7)),$E7*$I7,0)</x:f>
        <x:v>0</x:v>
      </x:c>
      <x:c r="C56" s="29" t="n">
        <x:f>IF(AND(C$53&gt;$F7,C$53&lt;=EDATE($F7,$G7)),B24*$I7,0)</x:f>
        <x:v>0</x:v>
      </x:c>
      <x:c r="D56" s="29" t="n">
        <x:f>IF(AND(D$53&gt;$F7,D$53&lt;=EDATE($F7,$G7)),C24*$I7,0)</x:f>
        <x:v>0</x:v>
      </x:c>
      <x:c r="E56" s="29" t="n">
        <x:f>IF(AND(E$53&gt;$F7,E$53&lt;=EDATE($F7,$G7)),D24*$I7,0)</x:f>
        <x:v>0</x:v>
      </x:c>
      <x:c r="F56" s="29" t="n">
        <x:f>IF(AND(F$53&gt;$F7,F$53&lt;=EDATE($F7,$G7)),E24*$I7,0)</x:f>
        <x:v>214020</x:v>
      </x:c>
      <x:c r="G56" s="29" t="n">
        <x:f>IF(AND(G$53&gt;$F7,G$53&lt;=EDATE($F7,$G7)),F24*$I7,0)</x:f>
        <x:v>208792.98915330507</x:v>
      </x:c>
      <x:c r="H56" s="29" t="n">
        <x:f>IF(AND(H$53&gt;$F7,H$53&lt;=EDATE($F7,$G7)),G24*$I7,0)</x:f>
        <x:v>203531.13156763217</x:v>
      </x:c>
      <x:c r="I56" s="29" t="n">
        <x:f>IF(AND(I$53&gt;$F7,I$53&lt;=EDATE($F7,$G7)),H24*$I7,0)</x:f>
        <x:v>198234.1949313881</x:v>
      </x:c>
      <x:c r="J56" s="29" t="n">
        <x:f>IF(AND(J$53&gt;$F7,J$53&lt;=EDATE($F7,$G7)),I24*$I7,0)</x:f>
        <x:v>192901.94538423576</x:v>
      </x:c>
      <x:c r="K56" s="29" t="n">
        <x:f>IF(AND(K$53&gt;$F7,K$53&lt;=EDATE($F7,$G7)),J24*$I7,0)</x:f>
        <x:v>187534.14750676908</x:v>
      </x:c>
      <x:c r="L56" s="29" t="n">
        <x:f>IF(AND(L$53&gt;$F7,L$53&lt;=EDATE($F7,$G7)),K24*$I7,0)</x:f>
        <x:v>182130.56431011925</x:v>
      </x:c>
      <x:c r="M56" s="29" t="n">
        <x:f>IF(AND(M$53&gt;$F7,M$53&lt;=EDATE($F7,$G7)),L24*$I7,0)</x:f>
        <x:v>176690.9572254918</x:v>
      </x:c>
      <x:c r="N56" s="29" t="n">
        <x:f>IF(AND(N$53&gt;$F7,N$53&lt;=EDATE($F7,$G7)),M24*$I7,0)</x:f>
        <x:v>171215.08609363346</x:v>
      </x:c>
      <x:c r="O56" s="29" t="n">
        <x:f>IF(AND(O$53&gt;$F7,O$53&lt;=EDATE($F7,$G7)),N24*$I7,0)</x:f>
        <x:v>165702.70915422944</x:v>
      </x:c>
      <x:c r="P56" s="29" t="n">
        <x:f>IF(AND(P$53&gt;$F7,P$53&lt;=EDATE($F7,$G7)),O24*$I7,0)</x:f>
        <x:v>160153.58303522936</x:v>
      </x:c>
      <x:c r="Q56" s="29" t="n">
        <x:f>IF(AND(Q$53&gt;$F7,Q$53&lt;=EDATE($F7,$G7)),P24*$I7,0)</x:f>
        <x:v>154567.4627421026</x:v>
      </x:c>
      <x:c r="R56" s="29" t="n">
        <x:f>IF(AND(R$53&gt;$F7,R$53&lt;=EDATE($F7,$G7)),Q24*$I7,0)</x:f>
        <x:v>148944.1016470217</x:v>
      </x:c>
      <x:c r="S56" s="29" t="n">
        <x:f>IF(AND(S$53&gt;$F7,S$53&lt;=EDATE($F7,$G7)),R24*$I7,0)</x:f>
        <x:v>143283.25147797354</x:v>
      </x:c>
      <x:c r="T56" s="29" t="n">
        <x:f>IF(AND(T$53&gt;$F7,T$53&lt;=EDATE($F7,$G7)),S24*$I7,0)</x:f>
        <x:v>137584.66230779843</x:v>
      </x:c>
      <x:c r="U56" s="29" t="n">
        <x:f>IF(AND(U$53&gt;$F7,U$53&lt;=EDATE($F7,$G7)),T24*$I7,0)</x:f>
        <x:v>131848.0825431555</x:v>
      </x:c>
      <x:c r="V56" s="29" t="n">
        <x:f>IF(AND(V$53&gt;$F7,V$53&lt;=EDATE($F7,$G7)),U24*$I7,0)</x:f>
        <x:v>126073.2589134149</x:v>
      </x:c>
      <x:c r="W56" s="29" t="n">
        <x:f>IF(AND(W$53&gt;$F7,W$53&lt;=EDATE($F7,$G7)),V24*$I7,0)</x:f>
        <x:v>120259.93645947606</x:v>
      </x:c>
      <x:c r="X56" s="29" t="n">
        <x:f>IF(AND(X$53&gt;$F7,X$53&lt;=EDATE($F7,$G7)),W24*$I7,0)</x:f>
        <x:v>114407.85852251096</x:v>
      </x:c>
      <x:c r="Y56" s="29" t="n">
        <x:f>IF(AND(Y$53&gt;$F7,Y$53&lt;=EDATE($F7,$G7)),X24*$I7,0)</x:f>
        <x:v>108516.76673263276</x:v>
      </x:c>
      <x:c r="Z56" s="29" t="n">
        <x:f>IF(AND(Z$53&gt;$F7,Z$53&lt;=EDATE($F7,$G7)),Y24*$I7,0)</x:f>
        <x:v>102586.4009974887</x:v>
      </x:c>
      <x:c r="AA56" s="29" t="n">
        <x:f>IF(AND(AA$53&gt;$F7,AA$53&lt;=EDATE($F7,$G7)),Z24*$I7,0)</x:f>
        <x:v>96616.49949077703</x:v>
      </x:c>
      <x:c r="AB56" s="29" t="n">
        <x:f>IF(AND(AB$53&gt;$F7,AB$53&lt;=EDATE($F7,$G7)),AA24*$I7,0)</x:f>
        <x:v>90606.79864068727</x:v>
      </x:c>
      <x:c r="AC56" s="29" t="n">
        <x:f>IF(AND(AC$53&gt;$F7,AC$53&lt;=EDATE($F7,$G7)),AB24*$I7,0)</x:f>
        <x:v>84557.03311826359</x:v>
      </x:c>
      <x:c r="AD56" s="29" t="n">
        <x:f>IF(AND(AD$53&gt;$F7,AD$53&lt;=EDATE($F7,$G7)),AC24*$I7,0)</x:f>
        <x:v>78466.93582569041</x:v>
      </x:c>
      <x:c r="AE56" s="29" t="n">
        <x:f>IF(AND(AE$53&gt;$F7,AE$53&lt;=EDATE($F7,$G7)),AD24*$I7,0)</x:f>
        <x:v>72336.23788450008</x:v>
      </x:c>
      <x:c r="AF56" s="29" t="n">
        <x:f>IF(AND(AF$53&gt;$F7,AF$53&lt;=EDATE($F7,$G7)),AE24*$I7,0)</x:f>
        <x:v>66164.66862370181</x:v>
      </x:c>
      <x:c r="AG56" s="29" t="n">
        <x:f>IF(AND(AG$53&gt;$F7,AG$53&lt;=EDATE($F7,$G7)),AF24*$I7,0)</x:f>
        <x:v>59951.95556783155</x:v>
      </x:c>
      <x:c r="AH56" s="29" t="n">
        <x:f>IF(AND(AH$53&gt;$F7,AH$53&lt;=EDATE($F7,$G7)),AG24*$I7,0)</x:f>
        <x:v>53697.82442492216</x:v>
      </x:c>
      <x:c r="AI56" s="29" t="n">
        <x:f>IF(AND(AI$53&gt;$F7,AI$53&lt;=EDATE($F7,$G7)),AH24*$I7,0)</x:f>
        <x:v>47401.999074393374</x:v>
      </x:c>
      <x:c r="AJ56" s="29" t="n">
        <x:f>IF(AND(AJ$53&gt;$F7,AJ$53&lt;=EDATE($F7,$G7)),AI24*$I7,0)</x:f>
        <x:v>41064.20155486106</x:v>
      </x:c>
      <x:c r="AK56" s="29" t="n">
        <x:f>IF(AND(AK$53&gt;$F7,AK$53&lt;=EDATE($F7,$G7)),AJ24*$I7,0)</x:f>
        <x:v>34684.152051865196</x:v>
      </x:c>
      <x:c r="AL56" s="101" t="n">
        <x:f>IF(AND(AL$53&gt;$F7,AL$53&lt;=EDATE($F7,$G7)),AK24*$I7,0)</x:f>
        <x:v>28261.568885516022</x:v>
      </x:c>
      <x:c r="AM56" s="101" t="n">
        <x:f>IF(AND(AM$53&gt;$F7,AM$53&lt;=EDATE($F7,$G7)),AL24*$I7,0)</x:f>
        <x:v>21796.16849805786</x:v>
      </x:c>
      <x:c r="AN56" s="101" t="n">
        <x:f>IF(AND(AN$53&gt;$F7,AN$53&lt;=EDATE($F7,$G7)),AM24*$I7,0)</x:f>
        <x:v>15287.665441349976</x:v>
      </x:c>
      <x:c r="AO56" s="101" t="n">
        <x:f>IF(AND(AO$53&gt;$F7,AO$53&lt;=EDATE($F7,$G7)),AN24*$I7,0)</x:f>
        <x:v>8735.772364264038</x:v>
      </x:c>
      <x:c r="AP56" s="101" t="n">
        <x:f>IF(AND(AP$53&gt;$F7,AP$53&lt;=EDATE($F7,$G7)),AO24*$I7,0)</x:f>
        <x:v>0</x:v>
      </x:c>
      <x:c r="AQ56" s="101" t="n">
        <x:f>IF(AND(AQ$53&gt;$F7,AQ$53&lt;=EDATE($F7,$G7)),AP24*$I7,0)</x:f>
        <x:v>0</x:v>
      </x:c>
      <x:c r="AR56" s="101" t="n">
        <x:f>IF(AND(AR$53&gt;$F7,AR$53&lt;=EDATE($F7,$G7)),AQ24*$I7,0)</x:f>
        <x:v>0</x:v>
      </x:c>
      <x:c r="AS56" s="101" t="n">
        <x:f>IF(AND(AS$53&gt;$F7,AS$53&lt;=EDATE($F7,$G7)),AR24*$I7,0)</x:f>
        <x:v>0</x:v>
      </x:c>
      <x:c r="AT56" s="101" t="n">
        <x:f>IF(AND(AT$53&gt;$F7,AT$53&lt;=EDATE($F7,$G7)),AS24*$I7,0)</x:f>
        <x:v>0</x:v>
      </x:c>
      <x:c r="AU56" s="101" t="n">
        <x:f>IF(AND(AU$53&gt;$F7,AU$53&lt;=EDATE($F7,$G7)),AT24*$I7,0)</x:f>
        <x:v>0</x:v>
      </x:c>
      <x:c r="AV56" s="101" t="n">
        <x:f>IF(AND(AV$53&gt;$F7,AV$53&lt;=EDATE($F7,$G7)),AU24*$I7,0)</x:f>
        <x:v>0</x:v>
      </x:c>
      <x:c r="AW56" s="101" t="n">
        <x:f>IF(AND(AW$53&gt;$F7,AW$53&lt;=EDATE($F7,$G7)),AV24*$I7,0)</x:f>
        <x:v>0</x:v>
      </x:c>
      <x:c r="AX56" s="101" t="n">
        <x:f>IF(AND(AX$53&gt;$F7,AX$53&lt;=EDATE($F7,$G7)),AW24*$I7,0)</x:f>
        <x:v>0</x:v>
      </x:c>
      <x:c r="AY56" s="101" t="n">
        <x:f>IF(AND(AY$53&gt;$F7,AY$53&lt;=EDATE($F7,$G7)),AX24*$I7,0)</x:f>
        <x:v>0</x:v>
      </x:c>
      <x:c r="AZ56" s="101" t="n">
        <x:f>IF(AND(AZ$53&gt;$F7,AZ$53&lt;=EDATE($F7,$G7)),AY24*$I7,0)</x:f>
        <x:v>0</x:v>
      </x:c>
      <x:c r="BA56" s="101" t="n">
        <x:f>IF(AND(BA$53&gt;$F7,BA$53&lt;=EDATE($F7,$G7)),AZ24*$I7,0)</x:f>
        <x:v>0</x:v>
      </x:c>
      <x:c r="BB56" s="101" t="n">
        <x:f>IF(AND(BB$53&gt;$F7,BB$53&lt;=EDATE($F7,$G7)),BA24*$I7,0)</x:f>
        <x:v>0</x:v>
      </x:c>
      <x:c r="BC56" s="101" t="n">
        <x:f>IF(AND(BC$53&gt;$F7,BC$53&lt;=EDATE($F7,$G7)),BB24*$I7,0)</x:f>
        <x:v>0</x:v>
      </x:c>
      <x:c r="BD56" s="101" t="n">
        <x:f>IF(AND(BD$53&gt;$F7,BD$53&lt;=EDATE($F7,$G7)),BC24*$I7,0)</x:f>
        <x:v>0</x:v>
      </x:c>
      <x:c r="BE56" s="101" t="n">
        <x:f>IF(AND(BE$53&gt;$F7,BE$53&lt;=EDATE($F7,$G7)),BD24*$I7,0)</x:f>
        <x:v>0</x:v>
      </x:c>
      <x:c r="BF56" s="101" t="n">
        <x:f>IF(AND(BF$53&gt;$F7,BF$53&lt;=EDATE($F7,$G7)),BE24*$I7,0)</x:f>
        <x:v>0</x:v>
      </x:c>
      <x:c r="BG56" s="101" t="n">
        <x:f>IF(AND(BG$53&gt;$F7,BG$53&lt;=EDATE($F7,$G7)),BF24*$I7,0)</x:f>
        <x:v>0</x:v>
      </x:c>
      <x:c r="BH56" s="101" t="n">
        <x:f>IF(AND(BH$53&gt;$F7,BH$53&lt;=EDATE($F7,$G7)),BG24*$I7,0)</x:f>
        <x:v>0</x:v>
      </x:c>
      <x:c r="BI56" s="101" t="n">
        <x:f>IF(AND(BI$53&gt;$F7,BI$53&lt;=EDATE($F7,$G7)),BH24*$I7,0)</x:f>
        <x:v>0</x:v>
      </x:c>
    </x:row>
    <x:row r="57">
      <x:c r="A57" t="str">
        <x:f>A8</x:f>
        <x:v>批次04</x:v>
      </x:c>
      <x:c r="B57" s="29" t="n">
        <x:f>IF(AND(B$53&gt;$F8,B$53&lt;=EDATE($F8,$G8)),$E8*$I8,0)</x:f>
        <x:v>0</x:v>
      </x:c>
      <x:c r="C57" s="29" t="n">
        <x:f>IF(AND(C$53&gt;$F8,C$53&lt;=EDATE($F8,$G8)),B25*$I8,0)</x:f>
        <x:v>0</x:v>
      </x:c>
      <x:c r="D57" s="29" t="n">
        <x:f>IF(AND(D$53&gt;$F8,D$53&lt;=EDATE($F8,$G8)),C25*$I8,0)</x:f>
        <x:v>0</x:v>
      </x:c>
      <x:c r="E57" s="29" t="n">
        <x:f>IF(AND(E$53&gt;$F8,E$53&lt;=EDATE($F8,$G8)),D25*$I8,0)</x:f>
        <x:v>0</x:v>
      </x:c>
      <x:c r="F57" s="29" t="n">
        <x:f>IF(AND(F$53&gt;$F8,F$53&lt;=EDATE($F8,$G8)),E25*$I8,0)</x:f>
        <x:v>0</x:v>
      </x:c>
      <x:c r="G57" s="29" t="n">
        <x:f>IF(AND(G$53&gt;$F8,G$53&lt;=EDATE($F8,$G8)),F25*$I8,0)</x:f>
        <x:v>244520.00000000003</x:v>
      </x:c>
      <x:c r="H57" s="29" t="n">
        <x:f>IF(AND(H$53&gt;$F8,H$53&lt;=EDATE($F8,$G8)),G25*$I8,0)</x:f>
        <x:v>238548.0875981972</x:v>
      </x:c>
      <x:c r="I57" s="29" t="n">
        <x:f>IF(AND(I$53&gt;$F8,I$53&lt;=EDATE($F8,$G8)),H25*$I8,0)</x:f>
        <x:v>232536.36244704897</x:v>
      </x:c>
      <x:c r="J57" s="29" t="n">
        <x:f>IF(AND(J$53&gt;$F8,J$53&lt;=EDATE($F8,$G8)),I25*$I8,0)</x:f>
        <x:v>226484.55912822645</x:v>
      </x:c>
      <x:c r="K57" s="29" t="n">
        <x:f>IF(AND(K$53&gt;$F8,K$53&lt;=EDATE($F8,$G8)),J25*$I8,0)</x:f>
        <x:v>220392.4104539451</x:v>
      </x:c>
      <x:c r="L57" s="29" t="n">
        <x:f>IF(AND(L$53&gt;$F8,L$53&lt;=EDATE($F8,$G8)),K25*$I8,0)</x:f>
        <x:v>214259.64745516857</x:v>
      </x:c>
      <x:c r="M57" s="29" t="n">
        <x:f>IF(AND(M$53&gt;$F8,M$53&lt;=EDATE($F8,$G8)),L25*$I8,0)</x:f>
        <x:v>208085.99936973353</x:v>
      </x:c>
      <x:c r="N57" s="29" t="n">
        <x:f>IF(AND(N$53&gt;$F8,N$53&lt;=EDATE($F8,$G8)),M25*$I8,0)</x:f>
        <x:v>201871.19363039557</x:v>
      </x:c>
      <x:c r="O57" s="29" t="n">
        <x:f>IF(AND(O$53&gt;$F8,O$53&lt;=EDATE($F8,$G8)),N25*$I8,0)</x:f>
        <x:v>195614.95585279536</x:v>
      </x:c>
      <x:c r="P57" s="29" t="n">
        <x:f>IF(AND(P$53&gt;$F8,P$53&lt;=EDATE($F8,$G8)),O25*$I8,0)</x:f>
        <x:v>189317.00982334447</x:v>
      </x:c>
      <x:c r="Q57" s="29" t="n">
        <x:f>IF(AND(Q$53&gt;$F8,Q$53&lt;=EDATE($F8,$G8)),P25*$I8,0)</x:f>
        <x:v>182977.0774870306</x:v>
      </x:c>
      <x:c r="R57" s="29" t="n">
        <x:f>IF(AND(R$53&gt;$F8,R$53&lt;=EDATE($F8,$G8)),Q25*$I8,0)</x:f>
        <x:v>176594.87893514129</x:v>
      </x:c>
      <x:c r="S57" s="29" t="n">
        <x:f>IF(AND(S$53&gt;$F8,S$53&lt;=EDATE($F8,$G8)),R25*$I8,0)</x:f>
        <x:v>170170.13239290603</x:v>
      </x:c>
      <x:c r="T57" s="29" t="n">
        <x:f>IF(AND(T$53&gt;$F8,T$53&lt;=EDATE($F8,$G8)),S25*$I8,0)</x:f>
        <x:v>163702.5542070559</x:v>
      </x:c>
      <x:c r="U57" s="29" t="n">
        <x:f>IF(AND(U$53&gt;$F8,U$53&lt;=EDATE($F8,$G8)),T25*$I8,0)</x:f>
        <x:v>157191.8588333001</x:v>
      </x:c>
      <x:c r="V57" s="29" t="n">
        <x:f>IF(AND(V$53&gt;$F8,V$53&lt;=EDATE($F8,$G8)),U25*$I8,0)</x:f>
        <x:v>150637.75882371922</x:v>
      </x:c>
      <x:c r="W57" s="29" t="n">
        <x:f>IF(AND(W$53&gt;$F8,W$53&lt;=EDATE($F8,$G8)),V25*$I8,0)</x:f>
        <x:v>144039.9648140745</x:v>
      </x:c>
      <x:c r="X57" s="29" t="n">
        <x:f>IF(AND(X$53&gt;$F8,X$53&lt;=EDATE($F8,$G8)),W25*$I8,0)</x:f>
        <x:v>137398.18551103218</x:v>
      </x:c>
      <x:c r="Y57" s="29" t="n">
        <x:f>IF(AND(Y$53&gt;$F8,Y$53&lt;=EDATE($F8,$G8)),X25*$I8,0)</x:f>
        <x:v>130712.12767930288</x:v>
      </x:c>
      <x:c r="Z57" s="29" t="n">
        <x:f>IF(AND(Z$53&gt;$F8,Z$53&lt;=EDATE($F8,$G8)),Y25*$I8,0)</x:f>
        <x:v>123981.49612869536</x:v>
      </x:c>
      <x:c r="AA57" s="29" t="n">
        <x:f>IF(AND(AA$53&gt;$F8,AA$53&lt;=EDATE($F8,$G8)),Z25*$I8,0)</x:f>
        <x:v>117205.99370108382</x:v>
      </x:c>
      <x:c r="AB57" s="29" t="n">
        <x:f>IF(AND(AB$53&gt;$F8,AB$53&lt;=EDATE($F8,$G8)),AA25*$I8,0)</x:f>
        <x:v>110385.32125728819</x:v>
      </x:c>
      <x:c r="AC57" s="29" t="n">
        <x:f>IF(AND(AC$53&gt;$F8,AC$53&lt;=EDATE($F8,$G8)),AB25*$I8,0)</x:f>
        <x:v>103519.17766386726</x:v>
      </x:c>
      <x:c r="AD57" s="29" t="n">
        <x:f>IF(AND(AD$53&gt;$F8,AD$53&lt;=EDATE($F8,$G8)),AC25*$I8,0)</x:f>
        <x:v>96607.25977982352</x:v>
      </x:c>
      <x:c r="AE57" s="29" t="n">
        <x:f>IF(AND(AE$53&gt;$F8,AE$53&lt;=EDATE($F8,$G8)),AD25*$I8,0)</x:f>
        <x:v>89649.2624432195</x:v>
      </x:c>
      <x:c r="AF57" s="29" t="n">
        <x:f>IF(AND(AF$53&gt;$F8,AF$53&lt;=EDATE($F8,$G8)),AE25*$I8,0)</x:f>
        <x:v>82644.87845770479</x:v>
      </x:c>
      <x:c r="AG57" s="29" t="n">
        <x:f>IF(AND(AG$53&gt;$F8,AG$53&lt;=EDATE($F8,$G8)),AF25*$I8,0)</x:f>
        <x:v>75593.7985789533</x:v>
      </x:c>
      <x:c r="AH57" s="29" t="n">
        <x:f>IF(AND(AH$53&gt;$F8,AH$53&lt;=EDATE($F8,$G8)),AG25*$I8,0)</x:f>
        <x:v>68495.71150101014</x:v>
      </x:c>
      <x:c r="AI57" s="29" t="n">
        <x:f>IF(AND(AI$53&gt;$F8,AI$53&lt;=EDATE($F8,$G8)),AH25*$I8,0)</x:f>
        <x:v>61350.30384254736</x:v>
      </x:c>
      <x:c r="AJ57" s="29" t="n">
        <x:f>IF(AND(AJ$53&gt;$F8,AJ$53&lt;=EDATE($F8,$G8)),AI25*$I8,0)</x:f>
        <x:v>54157.260133028154</x:v>
      </x:c>
      <x:c r="AK57" s="29" t="n">
        <x:f>IF(AND(AK$53&gt;$F8,AK$53&lt;=EDATE($F8,$G8)),AJ25*$I8,0)</x:f>
        <x:v>46916.26279877883</x:v>
      </x:c>
      <x:c r="AL57" s="101" t="n">
        <x:f>IF(AND(AL$53&gt;$F8,AL$53&lt;=EDATE($F8,$G8)),AK25*$I8,0)</x:f>
        <x:v>39626.99214896784</x:v>
      </x:c>
      <x:c r="AM57" s="101" t="n">
        <x:f>IF(AND(AM$53&gt;$F8,AM$53&lt;=EDATE($F8,$G8)),AL25*$I8,0)</x:f>
        <x:v>32289.12636149144</x:v>
      </x:c>
      <x:c r="AN57" s="101" t="n">
        <x:f>IF(AND(AN$53&gt;$F8,AN$53&lt;=EDATE($F8,$G8)),AM25*$I8,0)</x:f>
        <x:v>24902.3414687652</x:v>
      </x:c>
      <x:c r="AO57" s="101" t="n">
        <x:f>IF(AND(AO$53&gt;$F8,AO$53&lt;=EDATE($F8,$G8)),AN25*$I8,0)</x:f>
        <x:v>17466.311343420784</x:v>
      </x:c>
      <x:c r="AP57" s="101" t="n">
        <x:f>IF(AND(AP$53&gt;$F8,AP$53&lt;=EDATE($F8,$G8)),AO25*$I8,0)</x:f>
        <x:v>9980.707683907409</x:v>
      </x:c>
      <x:c r="AQ57" s="101" t="n">
        <x:f>IF(AND(AQ$53&gt;$F8,AQ$53&lt;=EDATE($F8,$G8)),AP25*$I8,0)</x:f>
        <x:v>0</x:v>
      </x:c>
      <x:c r="AR57" s="101" t="n">
        <x:f>IF(AND(AR$53&gt;$F8,AR$53&lt;=EDATE($F8,$G8)),AQ25*$I8,0)</x:f>
        <x:v>0</x:v>
      </x:c>
      <x:c r="AS57" s="101" t="n">
        <x:f>IF(AND(AS$53&gt;$F8,AS$53&lt;=EDATE($F8,$G8)),AR25*$I8,0)</x:f>
        <x:v>0</x:v>
      </x:c>
      <x:c r="AT57" s="101" t="n">
        <x:f>IF(AND(AT$53&gt;$F8,AT$53&lt;=EDATE($F8,$G8)),AS25*$I8,0)</x:f>
        <x:v>0</x:v>
      </x:c>
      <x:c r="AU57" s="101" t="n">
        <x:f>IF(AND(AU$53&gt;$F8,AU$53&lt;=EDATE($F8,$G8)),AT25*$I8,0)</x:f>
        <x:v>0</x:v>
      </x:c>
      <x:c r="AV57" s="101" t="n">
        <x:f>IF(AND(AV$53&gt;$F8,AV$53&lt;=EDATE($F8,$G8)),AU25*$I8,0)</x:f>
        <x:v>0</x:v>
      </x:c>
      <x:c r="AW57" s="101" t="n">
        <x:f>IF(AND(AW$53&gt;$F8,AW$53&lt;=EDATE($F8,$G8)),AV25*$I8,0)</x:f>
        <x:v>0</x:v>
      </x:c>
      <x:c r="AX57" s="101" t="n">
        <x:f>IF(AND(AX$53&gt;$F8,AX$53&lt;=EDATE($F8,$G8)),AW25*$I8,0)</x:f>
        <x:v>0</x:v>
      </x:c>
      <x:c r="AY57" s="101" t="n">
        <x:f>IF(AND(AY$53&gt;$F8,AY$53&lt;=EDATE($F8,$G8)),AX25*$I8,0)</x:f>
        <x:v>0</x:v>
      </x:c>
      <x:c r="AZ57" s="101" t="n">
        <x:f>IF(AND(AZ$53&gt;$F8,AZ$53&lt;=EDATE($F8,$G8)),AY25*$I8,0)</x:f>
        <x:v>0</x:v>
      </x:c>
      <x:c r="BA57" s="101" t="n">
        <x:f>IF(AND(BA$53&gt;$F8,BA$53&lt;=EDATE($F8,$G8)),AZ25*$I8,0)</x:f>
        <x:v>0</x:v>
      </x:c>
      <x:c r="BB57" s="101" t="n">
        <x:f>IF(AND(BB$53&gt;$F8,BB$53&lt;=EDATE($F8,$G8)),BA25*$I8,0)</x:f>
        <x:v>0</x:v>
      </x:c>
      <x:c r="BC57" s="101" t="n">
        <x:f>IF(AND(BC$53&gt;$F8,BC$53&lt;=EDATE($F8,$G8)),BB25*$I8,0)</x:f>
        <x:v>0</x:v>
      </x:c>
      <x:c r="BD57" s="101" t="n">
        <x:f>IF(AND(BD$53&gt;$F8,BD$53&lt;=EDATE($F8,$G8)),BC25*$I8,0)</x:f>
        <x:v>0</x:v>
      </x:c>
      <x:c r="BE57" s="101" t="n">
        <x:f>IF(AND(BE$53&gt;$F8,BE$53&lt;=EDATE($F8,$G8)),BD25*$I8,0)</x:f>
        <x:v>0</x:v>
      </x:c>
      <x:c r="BF57" s="101" t="n">
        <x:f>IF(AND(BF$53&gt;$F8,BF$53&lt;=EDATE($F8,$G8)),BE25*$I8,0)</x:f>
        <x:v>0</x:v>
      </x:c>
      <x:c r="BG57" s="101" t="n">
        <x:f>IF(AND(BG$53&gt;$F8,BG$53&lt;=EDATE($F8,$G8)),BF25*$I8,0)</x:f>
        <x:v>0</x:v>
      </x:c>
      <x:c r="BH57" s="101" t="n">
        <x:f>IF(AND(BH$53&gt;$F8,BH$53&lt;=EDATE($F8,$G8)),BG25*$I8,0)</x:f>
        <x:v>0</x:v>
      </x:c>
      <x:c r="BI57" s="101" t="n">
        <x:f>IF(AND(BI$53&gt;$F8,BI$53&lt;=EDATE($F8,$G8)),BH25*$I8,0)</x:f>
        <x:v>0</x:v>
      </x:c>
    </x:row>
    <x:row r="58">
      <x:c r="A58" t="str">
        <x:f>A9</x:f>
        <x:v>批次05</x:v>
      </x:c>
      <x:c r="B58" s="29" t="n">
        <x:f>IF(AND(B$53&gt;$F9,B$53&lt;=EDATE($F9,$G9)),$E9*$I9,0)</x:f>
        <x:v>0</x:v>
      </x:c>
      <x:c r="C58" s="29" t="n">
        <x:f>IF(AND(C$53&gt;$F9,C$53&lt;=EDATE($F9,$G9)),B26*$I9,0)</x:f>
        <x:v>0</x:v>
      </x:c>
      <x:c r="D58" s="29" t="n">
        <x:f>IF(AND(D$53&gt;$F9,D$53&lt;=EDATE($F9,$G9)),C26*$I9,0)</x:f>
        <x:v>0</x:v>
      </x:c>
      <x:c r="E58" s="29" t="n">
        <x:f>IF(AND(E$53&gt;$F9,E$53&lt;=EDATE($F9,$G9)),D26*$I9,0)</x:f>
        <x:v>0</x:v>
      </x:c>
      <x:c r="F58" s="29" t="n">
        <x:f>IF(AND(F$53&gt;$F9,F$53&lt;=EDATE($F9,$G9)),E26*$I9,0)</x:f>
        <x:v>0</x:v>
      </x:c>
      <x:c r="G58" s="29" t="n">
        <x:f>IF(AND(G$53&gt;$F9,G$53&lt;=EDATE($F9,$G9)),F26*$I9,0)</x:f>
        <x:v>0</x:v>
      </x:c>
      <x:c r="H58" s="29" t="n">
        <x:f>IF(AND(H$53&gt;$F9,H$53&lt;=EDATE($F9,$G9)),G26*$I9,0)</x:f>
        <x:v>275020</x:v>
      </x:c>
      <x:c r="I58" s="29" t="n">
        <x:f>IF(AND(I$53&gt;$F9,I$53&lt;=EDATE($F9,$G9)),H26*$I9,0)</x:f>
        <x:v>268303.18604308926</x:v>
      </x:c>
      <x:c r="J58" s="29" t="n">
        <x:f>IF(AND(J$53&gt;$F9,J$53&lt;=EDATE($F9,$G9)),I26*$I9,0)</x:f>
        <x:v>261541.59332646575</x:v>
      </x:c>
      <x:c r="K58" s="29" t="n">
        <x:f>IF(AND(K$53&gt;$F9,K$53&lt;=EDATE($F9,$G9)),J26*$I9,0)</x:f>
        <x:v>254734.92332506474</x:v>
      </x:c>
      <x:c r="L58" s="29" t="n">
        <x:f>IF(AND(L$53&gt;$F9,L$53&lt;=EDATE($F9,$G9)),K26*$I9,0)</x:f>
        <x:v>247882.87552365442</x:v>
      </x:c>
      <x:c r="M58" s="29" t="n">
        <x:f>IF(AND(M$53&gt;$F9,M$53&lt;=EDATE($F9,$G9)),L26*$I9,0)</x:f>
        <x:v>240985.14740356806</x:v>
      </x:c>
      <x:c r="N58" s="29" t="n">
        <x:f>IF(AND(N$53&gt;$F9,N$53&lt;=EDATE($F9,$G9)),M26*$I9,0)</x:f>
        <x:v>234041.43442934772</x:v>
      </x:c>
      <x:c r="O58" s="29" t="n">
        <x:f>IF(AND(O$53&gt;$F9,O$53&lt;=EDATE($F9,$G9)),N26*$I9,0)</x:f>
        <x:v>227051.43003529927</x:v>
      </x:c>
      <x:c r="P58" s="29" t="n">
        <x:f>IF(AND(P$53&gt;$F9,P$53&lt;=EDATE($F9,$G9)),O26*$I9,0)</x:f>
        <x:v>220014.82561195717</x:v>
      </x:c>
      <x:c r="Q58" s="29" t="n">
        <x:f>IF(AND(Q$53&gt;$F9,Q$53&lt;=EDATE($F9,$G9)),P26*$I9,0)</x:f>
        <x:v>212931.31049245945</x:v>
      </x:c>
      <x:c r="R58" s="29" t="n">
        <x:f>IF(AND(R$53&gt;$F9,R$53&lt;=EDATE($F9,$G9)),Q26*$I9,0)</x:f>
        <x:v>205800.57193883174</x:v>
      </x:c>
      <x:c r="S58" s="29" t="n">
        <x:f>IF(AND(S$53&gt;$F9,S$53&lt;=EDATE($F9,$G9)),R26*$I9,0)</x:f>
        <x:v>198622.29512817986</x:v>
      </x:c>
      <x:c r="T58" s="29" t="n">
        <x:f>IF(AND(T$53&gt;$F9,T$53&lt;=EDATE($F9,$G9)),S26*$I9,0)</x:f>
        <x:v>191396.1631387903</x:v>
      </x:c>
      <x:c r="U58" s="29" t="n">
        <x:f>IF(AND(U$53&gt;$F9,U$53&lt;=EDATE($F9,$G9)),T26*$I9,0)</x:f>
        <x:v>184121.85693613812</x:v>
      </x:c>
      <x:c r="V58" s="29" t="n">
        <x:f>IF(AND(V$53&gt;$F9,V$53&lt;=EDATE($F9,$G9)),U26*$I9,0)</x:f>
        <x:v>176799.05535880162</x:v>
      </x:c>
      <x:c r="W58" s="29" t="n">
        <x:f>IF(AND(W$53&gt;$F9,W$53&lt;=EDATE($F9,$G9)),V26*$I9,0)</x:f>
        <x:v>169427.43510428286</x:v>
      </x:c>
      <x:c r="X58" s="29" t="n">
        <x:f>IF(AND(X$53&gt;$F9,X$53&lt;=EDATE($F9,$G9)),W26*$I9,0)</x:f>
        <x:v>162006.67071473398</x:v>
      </x:c>
      <x:c r="Y58" s="29" t="n">
        <x:f>IF(AND(Y$53&gt;$F9,Y$53&lt;=EDATE($F9,$G9)),X26*$I9,0)</x:f>
        <x:v>154536.4345625881</x:v>
      </x:c>
      <x:c r="Z58" s="29" t="n">
        <x:f>IF(AND(Z$53&gt;$F9,Z$53&lt;=EDATE($F9,$G9)),Y26*$I9,0)</x:f>
        <x:v>147016.39683609462</x:v>
      </x:c>
      <x:c r="AA58" s="29" t="n">
        <x:f>IF(AND(AA$53&gt;$F9,AA$53&lt;=EDATE($F9,$G9)),Z26*$I9,0)</x:f>
        <x:v>139446.2255247578</x:v>
      </x:c>
      <x:c r="AB58" s="29" t="n">
        <x:f>IF(AND(AB$53&gt;$F9,AB$53&lt;=EDATE($F9,$G9)),AA26*$I9,0)</x:f>
        <x:v>131825.5864046788</x:v>
      </x:c>
      <x:c r="AC58" s="29" t="n">
        <x:f>IF(AND(AC$53&gt;$F9,AC$53&lt;=EDATE($F9,$G9)),AB26*$I9,0)</x:f>
        <x:v>124154.14302379922</x:v>
      </x:c>
      <x:c r="AD58" s="29" t="n">
        <x:f>IF(AND(AD$53&gt;$F9,AD$53&lt;=EDATE($F9,$G9)),AC26*$I9,0)</x:f>
        <x:v>116431.55668704712</x:v>
      </x:c>
      <x:c r="AE58" s="29" t="n">
        <x:f>IF(AND(AE$53&gt;$F9,AE$53&lt;=EDATE($F9,$G9)),AD26*$I9,0)</x:f>
        <x:v>108657.48644138333</x:v>
      </x:c>
      <x:c r="AF58" s="29" t="n">
        <x:f>IF(AND(AF$53&gt;$F9,AF$53&lt;=EDATE($F9,$G9)),AE26*$I9,0)</x:f>
        <x:v>100831.58906074846</x:v>
      </x:c>
      <x:c r="AG58" s="29" t="n">
        <x:f>IF(AND(AG$53&gt;$F9,AG$53&lt;=EDATE($F9,$G9)),AF26*$I9,0)</x:f>
        <x:v>92953.51903090936</x:v>
      </x:c>
      <x:c r="AH58" s="29" t="n">
        <x:f>IF(AND(AH$53&gt;$F9,AH$53&lt;=EDATE($F9,$G9)),AG26*$I9,0)</x:f>
        <x:v>85022.92853420465</x:v>
      </x:c>
      <x:c r="AI58" s="29" t="n">
        <x:f>IF(AND(AI$53&gt;$F9,AI$53&lt;=EDATE($F9,$G9)),AH26*$I9,0)</x:f>
        <x:v>77039.4674341886</x:v>
      </x:c>
      <x:c r="AJ58" s="29" t="n">
        <x:f>IF(AND(AJ$53&gt;$F9,AJ$53&lt;=EDATE($F9,$G9)),AI26*$I9,0)</x:f>
        <x:v>69002.78326017242</x:v>
      </x:c>
      <x:c r="AK58" s="29" t="n">
        <x:f>IF(AND(AK$53&gt;$F9,AK$53&lt;=EDATE($F9,$G9)),AJ26*$I9,0)</x:f>
        <x:v>60912.52119166282</x:v>
      </x:c>
      <x:c r="AL58" s="101" t="n">
        <x:f>IF(AND(AL$53&gt;$F9,AL$53&lt;=EDATE($F9,$G9)),AK26*$I9,0)</x:f>
        <x:v>52768.32404269647</x:v>
      </x:c>
      <x:c r="AM58" s="101" t="n">
        <x:f>IF(AND(AM$53&gt;$F9,AM$53&lt;=EDATE($F9,$G9)),AL26*$I9,0)</x:f>
        <x:v>44569.83224607035</x:v>
      </x:c>
      <x:c r="AN58" s="101" t="n">
        <x:f>IF(AND(AN$53&gt;$F9,AN$53&lt;=EDATE($F9,$G9)),AM26*$I9,0)</x:f>
        <x:v>36316.68383746673</x:v>
      </x:c>
      <x:c r="AO58" s="101" t="n">
        <x:f>IF(AND(AO$53&gt;$F9,AO$53&lt;=EDATE($F9,$G9)),AN26*$I9,0)</x:f>
        <x:v>28008.51443947241</x:v>
      </x:c>
      <x:c r="AP58" s="101" t="n">
        <x:f>IF(AND(AP$53&gt;$F9,AP$53&lt;=EDATE($F9,$G9)),AO26*$I9,0)</x:f>
        <x:v>19644.957245491463</x:v>
      </x:c>
      <x:c r="AQ58" s="101" t="n">
        <x:f>IF(AND(AQ$53&gt;$F9,AQ$53&lt;=EDATE($F9,$G9)),AP26*$I9,0)</x:f>
        <x:v>11225.643003550646</x:v>
      </x:c>
      <x:c r="AR58" s="101" t="n">
        <x:f>IF(AND(AR$53&gt;$F9,AR$53&lt;=EDATE($F9,$G9)),AQ26*$I9,0)</x:f>
        <x:v>0</x:v>
      </x:c>
      <x:c r="AS58" s="101" t="n">
        <x:f>IF(AND(AS$53&gt;$F9,AS$53&lt;=EDATE($F9,$G9)),AR26*$I9,0)</x:f>
        <x:v>0</x:v>
      </x:c>
      <x:c r="AT58" s="101" t="n">
        <x:f>IF(AND(AT$53&gt;$F9,AT$53&lt;=EDATE($F9,$G9)),AS26*$I9,0)</x:f>
        <x:v>0</x:v>
      </x:c>
      <x:c r="AU58" s="101" t="n">
        <x:f>IF(AND(AU$53&gt;$F9,AU$53&lt;=EDATE($F9,$G9)),AT26*$I9,0)</x:f>
        <x:v>0</x:v>
      </x:c>
      <x:c r="AV58" s="101" t="n">
        <x:f>IF(AND(AV$53&gt;$F9,AV$53&lt;=EDATE($F9,$G9)),AU26*$I9,0)</x:f>
        <x:v>0</x:v>
      </x:c>
      <x:c r="AW58" s="101" t="n">
        <x:f>IF(AND(AW$53&gt;$F9,AW$53&lt;=EDATE($F9,$G9)),AV26*$I9,0)</x:f>
        <x:v>0</x:v>
      </x:c>
      <x:c r="AX58" s="101" t="n">
        <x:f>IF(AND(AX$53&gt;$F9,AX$53&lt;=EDATE($F9,$G9)),AW26*$I9,0)</x:f>
        <x:v>0</x:v>
      </x:c>
      <x:c r="AY58" s="101" t="n">
        <x:f>IF(AND(AY$53&gt;$F9,AY$53&lt;=EDATE($F9,$G9)),AX26*$I9,0)</x:f>
        <x:v>0</x:v>
      </x:c>
      <x:c r="AZ58" s="101" t="n">
        <x:f>IF(AND(AZ$53&gt;$F9,AZ$53&lt;=EDATE($F9,$G9)),AY26*$I9,0)</x:f>
        <x:v>0</x:v>
      </x:c>
      <x:c r="BA58" s="101" t="n">
        <x:f>IF(AND(BA$53&gt;$F9,BA$53&lt;=EDATE($F9,$G9)),AZ26*$I9,0)</x:f>
        <x:v>0</x:v>
      </x:c>
      <x:c r="BB58" s="101" t="n">
        <x:f>IF(AND(BB$53&gt;$F9,BB$53&lt;=EDATE($F9,$G9)),BA26*$I9,0)</x:f>
        <x:v>0</x:v>
      </x:c>
      <x:c r="BC58" s="101" t="n">
        <x:f>IF(AND(BC$53&gt;$F9,BC$53&lt;=EDATE($F9,$G9)),BB26*$I9,0)</x:f>
        <x:v>0</x:v>
      </x:c>
      <x:c r="BD58" s="101" t="n">
        <x:f>IF(AND(BD$53&gt;$F9,BD$53&lt;=EDATE($F9,$G9)),BC26*$I9,0)</x:f>
        <x:v>0</x:v>
      </x:c>
      <x:c r="BE58" s="101" t="n">
        <x:f>IF(AND(BE$53&gt;$F9,BE$53&lt;=EDATE($F9,$G9)),BD26*$I9,0)</x:f>
        <x:v>0</x:v>
      </x:c>
      <x:c r="BF58" s="101" t="n">
        <x:f>IF(AND(BF$53&gt;$F9,BF$53&lt;=EDATE($F9,$G9)),BE26*$I9,0)</x:f>
        <x:v>0</x:v>
      </x:c>
      <x:c r="BG58" s="101" t="n">
        <x:f>IF(AND(BG$53&gt;$F9,BG$53&lt;=EDATE($F9,$G9)),BF26*$I9,0)</x:f>
        <x:v>0</x:v>
      </x:c>
      <x:c r="BH58" s="101" t="n">
        <x:f>IF(AND(BH$53&gt;$F9,BH$53&lt;=EDATE($F9,$G9)),BG26*$I9,0)</x:f>
        <x:v>0</x:v>
      </x:c>
      <x:c r="BI58" s="101" t="n">
        <x:f>IF(AND(BI$53&gt;$F9,BI$53&lt;=EDATE($F9,$G9)),BH26*$I9,0)</x:f>
        <x:v>0</x:v>
      </x:c>
    </x:row>
    <x:row r="59">
      <x:c r="A59" t="str">
        <x:f>A10</x:f>
        <x:v>批次06</x:v>
      </x:c>
      <x:c r="B59" s="29" t="n">
        <x:f>IF(AND(B$53&gt;$F10,B$53&lt;=EDATE($F10,$G10)),$E10*$I10,0)</x:f>
        <x:v>0</x:v>
      </x:c>
      <x:c r="C59" s="29" t="n">
        <x:f>IF(AND(C$53&gt;$F10,C$53&lt;=EDATE($F10,$G10)),B27*$I10,0)</x:f>
        <x:v>0</x:v>
      </x:c>
      <x:c r="D59" s="29" t="n">
        <x:f>IF(AND(D$53&gt;$F10,D$53&lt;=EDATE($F10,$G10)),C27*$I10,0)</x:f>
        <x:v>0</x:v>
      </x:c>
      <x:c r="E59" s="29" t="n">
        <x:f>IF(AND(E$53&gt;$F10,E$53&lt;=EDATE($F10,$G10)),D27*$I10,0)</x:f>
        <x:v>0</x:v>
      </x:c>
      <x:c r="F59" s="29" t="n">
        <x:f>IF(AND(F$53&gt;$F10,F$53&lt;=EDATE($F10,$G10)),E27*$I10,0)</x:f>
        <x:v>0</x:v>
      </x:c>
      <x:c r="G59" s="29" t="n">
        <x:f>IF(AND(G$53&gt;$F10,G$53&lt;=EDATE($F10,$G10)),F27*$I10,0)</x:f>
        <x:v>0</x:v>
      </x:c>
      <x:c r="H59" s="29" t="n">
        <x:f>IF(AND(H$53&gt;$F10,H$53&lt;=EDATE($F10,$G10)),G27*$I10,0)</x:f>
        <x:v>0</x:v>
      </x:c>
      <x:c r="I59" s="29" t="n">
        <x:f>IF(AND(I$53&gt;$F10,I$53&lt;=EDATE($F10,$G10)),H27*$I10,0)</x:f>
        <x:v>305520</x:v>
      </x:c>
      <x:c r="J59" s="29" t="n">
        <x:f>IF(AND(J$53&gt;$F10,J$53&lt;=EDATE($F10,$G10)),I27*$I10,0)</x:f>
        <x:v>298058.28448798135</x:v>
      </x:c>
      <x:c r="K59" s="29" t="n">
        <x:f>IF(AND(K$53&gt;$F10,K$53&lt;=EDATE($F10,$G10)),J27*$I10,0)</x:f>
        <x:v>290546.82420588256</x:v>
      </x:c>
      <x:c r="L59" s="29" t="n">
        <x:f>IF(AND(L$53&gt;$F10,L$53&lt;=EDATE($F10,$G10)),K27*$I10,0)</x:f>
        <x:v>282985.2875219031</x:v>
      </x:c>
      <x:c r="M59" s="29" t="n">
        <x:f>IF(AND(M$53&gt;$F10,M$53&lt;=EDATE($F10,$G10)),L27*$I10,0)</x:f>
        <x:v>275373.3405933638</x:v>
      </x:c>
      <x:c r="N59" s="29" t="n">
        <x:f>IF(AND(N$53&gt;$F10,N$53&lt;=EDATE($F10,$G10)),M27*$I10,0)</x:f>
        <x:v>267710.6473519676</x:v>
      </x:c>
      <x:c r="O59" s="29" t="n">
        <x:f>IF(AND(O$53&gt;$F10,O$53&lt;=EDATE($F10,$G10)),N27*$I10,0)</x:f>
        <x:v>259996.86948896202</x:v>
      </x:c>
      <x:c r="P59" s="29" t="n">
        <x:f>IF(AND(P$53&gt;$F10,P$53&lt;=EDATE($F10,$G10)),O27*$I10,0)</x:f>
        <x:v>252231.66644020312</x:v>
      </x:c>
      <x:c r="Q59" s="29" t="n">
        <x:f>IF(AND(Q$53&gt;$F10,Q$53&lt;=EDATE($F10,$G10)),P27*$I10,0)</x:f>
        <x:v>244414.6953711191</x:v>
      </x:c>
      <x:c r="R59" s="29" t="n">
        <x:f>IF(AND(R$53&gt;$F10,R$53&lt;=EDATE($F10,$G10)),Q27*$I10,0)</x:f>
        <x:v>236545.61116157455</x:v>
      </x:c>
      <x:c r="S59" s="29" t="n">
        <x:f>IF(AND(S$53&gt;$F10,S$53&lt;=EDATE($F10,$G10)),R27*$I10,0)</x:f>
        <x:v>228624.066390633</x:v>
      </x:c>
      <x:c r="T59" s="29" t="n">
        <x:f>IF(AND(T$53&gt;$F10,T$53&lt;=EDATE($F10,$G10)),S27*$I10,0)</x:f>
        <x:v>220649.71132121855</x:v>
      </x:c>
      <x:c r="U59" s="29" t="n">
        <x:f>IF(AND(U$53&gt;$F10,U$53&lt;=EDATE($F10,$G10)),T27*$I10,0)</x:f>
        <x:v>212622.19388467466</x:v>
      </x:c>
      <x:c r="V59" s="29" t="n">
        <x:f>IF(AND(V$53&gt;$F10,V$53&lt;=EDATE($F10,$G10)),U27*$I10,0)</x:f>
        <x:v>204541.1596652205</x:v>
      </x:c>
      <x:c r="W59" s="29" t="n">
        <x:f>IF(AND(W$53&gt;$F10,W$53&lt;=EDATE($F10,$G10)),V27*$I10,0)</x:f>
        <x:v>196406.2518843033</x:v>
      </x:c>
      <x:c r="X59" s="29" t="n">
        <x:f>IF(AND(X$53&gt;$F10,X$53&lt;=EDATE($F10,$G10)),W27*$I10,0)</x:f>
        <x:v>188217.11138484662</x:v>
      </x:c>
      <x:c r="Y59" s="29" t="n">
        <x:f>IF(AND(Y$53&gt;$F10,Y$53&lt;=EDATE($F10,$G10)),X27*$I10,0)</x:f>
        <x:v>179973.3766153936</x:v>
      </x:c>
      <x:c r="Z59" s="29" t="n">
        <x:f>IF(AND(Z$53&gt;$F10,Z$53&lt;=EDATE($F10,$G10)),Y27*$I10,0)</x:f>
        <x:v>171674.68361414422</x:v>
      </x:c>
      <x:c r="AA59" s="29" t="n">
        <x:f>IF(AND(AA$53&gt;$F10,AA$53&lt;=EDATE($F10,$G10)),Z27*$I10,0)</x:f>
        <x:v>163320.6659928865</x:v>
      </x:c>
      <x:c r="AB59" s="29" t="n">
        <x:f>IF(AND(AB$53&gt;$F10,AB$53&lt;=EDATE($F10,$G10)),AA27*$I10,0)</x:f>
        <x:v>154910.9549208204</x:v>
      </x:c>
      <x:c r="AC59" s="29" t="n">
        <x:f>IF(AND(AC$53&gt;$F10,AC$53&lt;=EDATE($F10,$G10)),AB27*$I10,0)</x:f>
        <x:v>146445.17910827388</x:v>
      </x:c>
      <x:c r="AD59" s="29" t="n">
        <x:f>IF(AND(AD$53&gt;$F10,AD$53&lt;=EDATE($F10,$G10)),AC27*$I10,0)</x:f>
        <x:v>137922.96479031036</x:v>
      </x:c>
      <x:c r="AE59" s="29" t="n">
        <x:f>IF(AND(AE$53&gt;$F10,AE$53&lt;=EDATE($F10,$G10)),AD27*$I10,0)</x:f>
        <x:v>129343.93571022707</x:v>
      </x:c>
      <x:c r="AF59" s="29" t="n">
        <x:f>IF(AND(AF$53&gt;$F10,AF$53&lt;=EDATE($F10,$G10)),AE27*$I10,0)</x:f>
        <x:v>120707.71310294326</x:v>
      </x:c>
      <x:c r="AG59" s="29" t="n">
        <x:f>IF(AND(AG$53&gt;$F10,AG$53&lt;=EDATE($F10,$G10)),AF27*$I10,0)</x:f>
        <x:v>112013.91567827754</x:v>
      </x:c>
      <x:c r="AH59" s="29" t="n">
        <x:f>IF(AND(AH$53&gt;$F10,AH$53&lt;=EDATE($F10,$G10)),AG27*$I10,0)</x:f>
        <x:v>103262.15960411406</x:v>
      </x:c>
      <x:c r="AI59" s="29" t="n">
        <x:f>IF(AND(AI$53&gt;$F10,AI$53&lt;=EDATE($F10,$G10)),AH27*$I10,0)</x:f>
        <x:v>94452.05848945613</x:v>
      </x:c>
      <x:c r="AJ59" s="29" t="n">
        <x:f>IF(AND(AJ$53&gt;$F10,AJ$53&lt;=EDATE($F10,$G10)),AI27*$I10,0)</x:f>
        <x:v>85583.22336736717</x:v>
      </x:c>
      <x:c r="AK59" s="29" t="n">
        <x:f>IF(AND(AK$53&gt;$F10,AK$53&lt;=EDATE($F10,$G10)),AJ27*$I10,0)</x:f>
        <x:v>76655.26267779761</x:v>
      </x:c>
      <x:c r="AL59" s="101" t="n">
        <x:f>IF(AND(AL$53&gt;$F10,AL$53&lt;=EDATE($F10,$G10)),AK27*$I10,0)</x:f>
        <x:v>67667.78225029758</x:v>
      </x:c>
      <x:c r="AM59" s="101" t="n">
        <x:f>IF(AND(AM$53&gt;$F10,AM$53&lt;=EDATE($F10,$G10)),AL27*$I10,0)</x:f>
        <x:v>58620.385286614226</x:v>
      </x:c>
      <x:c r="AN59" s="101" t="n">
        <x:f>IF(AND(AN$53&gt;$F10,AN$53&lt;=EDATE($F10,$G10)),AM27*$I10,0)</x:f>
        <x:v>49512.67234317298</x:v>
      </x:c>
      <x:c r="AO59" s="101" t="n">
        <x:f>IF(AND(AO$53&gt;$F10,AO$53&lt;=EDATE($F10,$G10)),AN27*$I10,0)</x:f>
        <x:v>40344.24131344212</x:v>
      </x:c>
      <x:c r="AP59" s="101" t="n">
        <x:f>IF(AND(AP$53&gt;$F10,AP$53&lt;=EDATE($F10,$G10)),AO27*$I10,0)</x:f>
        <x:v>31114.687410179733</x:v>
      </x:c>
      <x:c r="AQ59" s="101" t="n">
        <x:f>IF(AND(AQ$53&gt;$F10,AQ$53&lt;=EDATE($F10,$G10)),AP27*$I10,0)</x:f>
        <x:v>21823.603147562255</x:v>
      </x:c>
      <x:c r="AR59" s="101" t="n">
        <x:f>IF(AND(AR$53&gt;$F10,AR$53&lt;=EDATE($F10,$G10)),AQ27*$I10,0)</x:f>
        <x:v>12470.578323193997</x:v>
      </x:c>
      <x:c r="AS59" s="101" t="n">
        <x:f>IF(AND(AS$53&gt;$F10,AS$53&lt;=EDATE($F10,$G10)),AR27*$I10,0)</x:f>
        <x:v>0</x:v>
      </x:c>
      <x:c r="AT59" s="101" t="n">
        <x:f>IF(AND(AT$53&gt;$F10,AT$53&lt;=EDATE($F10,$G10)),AS27*$I10,0)</x:f>
        <x:v>0</x:v>
      </x:c>
      <x:c r="AU59" s="101" t="n">
        <x:f>IF(AND(AU$53&gt;$F10,AU$53&lt;=EDATE($F10,$G10)),AT27*$I10,0)</x:f>
        <x:v>0</x:v>
      </x:c>
      <x:c r="AV59" s="101" t="n">
        <x:f>IF(AND(AV$53&gt;$F10,AV$53&lt;=EDATE($F10,$G10)),AU27*$I10,0)</x:f>
        <x:v>0</x:v>
      </x:c>
      <x:c r="AW59" s="101" t="n">
        <x:f>IF(AND(AW$53&gt;$F10,AW$53&lt;=EDATE($F10,$G10)),AV27*$I10,0)</x:f>
        <x:v>0</x:v>
      </x:c>
      <x:c r="AX59" s="101" t="n">
        <x:f>IF(AND(AX$53&gt;$F10,AX$53&lt;=EDATE($F10,$G10)),AW27*$I10,0)</x:f>
        <x:v>0</x:v>
      </x:c>
      <x:c r="AY59" s="101" t="n">
        <x:f>IF(AND(AY$53&gt;$F10,AY$53&lt;=EDATE($F10,$G10)),AX27*$I10,0)</x:f>
        <x:v>0</x:v>
      </x:c>
      <x:c r="AZ59" s="101" t="n">
        <x:f>IF(AND(AZ$53&gt;$F10,AZ$53&lt;=EDATE($F10,$G10)),AY27*$I10,0)</x:f>
        <x:v>0</x:v>
      </x:c>
      <x:c r="BA59" s="101" t="n">
        <x:f>IF(AND(BA$53&gt;$F10,BA$53&lt;=EDATE($F10,$G10)),AZ27*$I10,0)</x:f>
        <x:v>0</x:v>
      </x:c>
      <x:c r="BB59" s="101" t="n">
        <x:f>IF(AND(BB$53&gt;$F10,BB$53&lt;=EDATE($F10,$G10)),BA27*$I10,0)</x:f>
        <x:v>0</x:v>
      </x:c>
      <x:c r="BC59" s="101" t="n">
        <x:f>IF(AND(BC$53&gt;$F10,BC$53&lt;=EDATE($F10,$G10)),BB27*$I10,0)</x:f>
        <x:v>0</x:v>
      </x:c>
      <x:c r="BD59" s="101" t="n">
        <x:f>IF(AND(BD$53&gt;$F10,BD$53&lt;=EDATE($F10,$G10)),BC27*$I10,0)</x:f>
        <x:v>0</x:v>
      </x:c>
      <x:c r="BE59" s="101" t="n">
        <x:f>IF(AND(BE$53&gt;$F10,BE$53&lt;=EDATE($F10,$G10)),BD27*$I10,0)</x:f>
        <x:v>0</x:v>
      </x:c>
      <x:c r="BF59" s="101" t="n">
        <x:f>IF(AND(BF$53&gt;$F10,BF$53&lt;=EDATE($F10,$G10)),BE27*$I10,0)</x:f>
        <x:v>0</x:v>
      </x:c>
      <x:c r="BG59" s="101" t="n">
        <x:f>IF(AND(BG$53&gt;$F10,BG$53&lt;=EDATE($F10,$G10)),BF27*$I10,0)</x:f>
        <x:v>0</x:v>
      </x:c>
      <x:c r="BH59" s="101" t="n">
        <x:f>IF(AND(BH$53&gt;$F10,BH$53&lt;=EDATE($F10,$G10)),BG27*$I10,0)</x:f>
        <x:v>0</x:v>
      </x:c>
      <x:c r="BI59" s="101" t="n">
        <x:f>IF(AND(BI$53&gt;$F10,BI$53&lt;=EDATE($F10,$G10)),BH27*$I10,0)</x:f>
        <x:v>0</x:v>
      </x:c>
    </x:row>
    <x:row r="60">
      <x:c r="A60" t="str">
        <x:f>A11</x:f>
        <x:v>批次07</x:v>
      </x:c>
      <x:c r="B60" s="29" t="n">
        <x:f>IF(AND(B$53&gt;$F11,B$53&lt;=EDATE($F11,$G11)),$E11*$I11,0)</x:f>
        <x:v>0</x:v>
      </x:c>
      <x:c r="C60" s="29" t="n">
        <x:f>IF(AND(C$53&gt;$F11,C$53&lt;=EDATE($F11,$G11)),B28*$I11,0)</x:f>
        <x:v>0</x:v>
      </x:c>
      <x:c r="D60" s="29" t="n">
        <x:f>IF(AND(D$53&gt;$F11,D$53&lt;=EDATE($F11,$G11)),C28*$I11,0)</x:f>
        <x:v>0</x:v>
      </x:c>
      <x:c r="E60" s="29" t="n">
        <x:f>IF(AND(E$53&gt;$F11,E$53&lt;=EDATE($F11,$G11)),D28*$I11,0)</x:f>
        <x:v>0</x:v>
      </x:c>
      <x:c r="F60" s="29" t="n">
        <x:f>IF(AND(F$53&gt;$F11,F$53&lt;=EDATE($F11,$G11)),E28*$I11,0)</x:f>
        <x:v>0</x:v>
      </x:c>
      <x:c r="G60" s="29" t="n">
        <x:f>IF(AND(G$53&gt;$F11,G$53&lt;=EDATE($F11,$G11)),F28*$I11,0)</x:f>
        <x:v>0</x:v>
      </x:c>
      <x:c r="H60" s="29" t="n">
        <x:f>IF(AND(H$53&gt;$F11,H$53&lt;=EDATE($F11,$G11)),G28*$I11,0)</x:f>
        <x:v>0</x:v>
      </x:c>
      <x:c r="I60" s="29" t="n">
        <x:f>IF(AND(I$53&gt;$F11,I$53&lt;=EDATE($F11,$G11)),H28*$I11,0)</x:f>
        <x:v>0</x:v>
      </x:c>
      <x:c r="J60" s="29" t="n">
        <x:f>IF(AND(J$53&gt;$F11,J$53&lt;=EDATE($F11,$G11)),I28*$I11,0)</x:f>
        <x:v>335500</x:v>
      </x:c>
      <x:c r="K60" s="29" t="n">
        <x:f>IF(AND(K$53&gt;$F11,K$53&lt;=EDATE($F11,$G11)),J28*$I11,0)</x:f>
        <x:v>327306.08289381297</x:v>
      </x:c>
      <x:c r="L60" s="29" t="n">
        <x:f>IF(AND(L$53&gt;$F11,L$53&lt;=EDATE($F11,$G11)),K28*$I11,0)</x:f>
        <x:v>319057.5396735847</x:v>
      </x:c>
      <x:c r="M60" s="29" t="n">
        <x:f>IF(AND(M$53&gt;$F11,M$53&lt;=EDATE($F11,$G11)),L28*$I11,0)</x:f>
        <x:v>310754.0061652215</x:v>
      </x:c>
      <x:c r="N60" s="29" t="n">
        <x:f>IF(AND(N$53&gt;$F11,N$53&lt;=EDATE($F11,$G11)),M28*$I11,0)</x:f>
        <x:v>302395.11576680257</x:v>
      </x:c>
      <x:c r="O60" s="29" t="n">
        <x:f>IF(AND(O$53&gt;$F11,O$53&lt;=EDATE($F11,$G11)),N28*$I11,0)</x:f>
        <x:v>293980.4994323942</x:v>
      </x:c>
      <x:c r="P60" s="29" t="n">
        <x:f>IF(AND(P$53&gt;$F11,P$53&lt;=EDATE($F11,$G11)),O28*$I11,0)</x:f>
        <x:v>285509.7856557565</x:v>
      </x:c>
      <x:c r="Q60" s="29" t="n">
        <x:f>IF(AND(Q$53&gt;$F11,Q$53&lt;=EDATE($F11,$G11)),P28*$I11,0)</x:f>
        <x:v>276982.60045394115</x:v>
      </x:c>
      <x:c r="R60" s="29" t="n">
        <x:f>IF(AND(R$53&gt;$F11,R$53&lt;=EDATE($F11,$G11)),Q28*$I11,0)</x:f>
        <x:v>268398.56735078036</x:v>
      </x:c>
      <x:c r="S60" s="29" t="n">
        <x:f>IF(AND(S$53&gt;$F11,S$53&lt;=EDATE($F11,$G11)),R28*$I11,0)</x:f>
        <x:v>259757.30736026523</x:v>
      </x:c>
      <x:c r="T60" s="29" t="n">
        <x:f>IF(AND(T$53&gt;$F11,T$53&lt;=EDATE($F11,$G11)),S28*$I11,0)</x:f>
        <x:v>251058.43896981332</x:v>
      </x:c>
      <x:c r="U60" s="29" t="n">
        <x:f>IF(AND(U$53&gt;$F11,U$53&lt;=EDATE($F11,$G11)),T28*$I11,0)</x:f>
        <x:v>242301.57812342502</x:v>
      </x:c>
      <x:c r="V60" s="29" t="n">
        <x:f>IF(AND(V$53&gt;$F11,V$53&lt;=EDATE($F11,$G11)),U28*$I11,0)</x:f>
        <x:v>233486.33820472748</x:v>
      </x:c>
      <x:c r="W60" s="29" t="n">
        <x:f>IF(AND(W$53&gt;$F11,W$53&lt;=EDATE($F11,$G11)),V28*$I11,0)</x:f>
        <x:v>224612.3300199053</x:v>
      </x:c>
      <x:c r="X60" s="29" t="n">
        <x:f>IF(AND(X$53&gt;$F11,X$53&lt;=EDATE($F11,$G11)),W28*$I11,0)</x:f>
        <x:v>215679.1617805176</x:v>
      </x:c>
      <x:c r="Y60" s="29" t="n">
        <x:f>IF(AND(Y$53&gt;$F11,Y$53&lt;=EDATE($F11,$G11)),X28*$I11,0)</x:f>
        <x:v>206686.43908620067</x:v>
      </x:c>
      <x:c r="Z60" s="29" t="n">
        <x:f>IF(AND(Z$53&gt;$F11,Z$53&lt;=EDATE($F11,$G11)),Y28*$I11,0)</x:f>
        <x:v>197633.76490725498</x:v>
      </x:c>
      <x:c r="AA60" s="29" t="n">
        <x:f>IF(AND(AA$53&gt;$F11,AA$53&lt;=EDATE($F11,$G11)),Z28*$I11,0)</x:f>
        <x:v>188520.7395671163</x:v>
      </x:c>
      <x:c r="AB60" s="29" t="n">
        <x:f>IF(AND(AB$53&gt;$F11,AB$53&lt;=EDATE($F11,$G11)),AA28*$I11,0)</x:f>
        <x:v>179346.96072471005</x:v>
      </x:c>
      <x:c r="AC60" s="29" t="n">
        <x:f>IF(AND(AC$53&gt;$F11,AC$53&lt;=EDATE($F11,$G11)),AB28*$I11,0)</x:f>
        <x:v>170112.02335668774</x:v>
      </x:c>
      <x:c r="AD60" s="29" t="n">
        <x:f>IF(AND(AD$53&gt;$F11,AD$53&lt;=EDATE($F11,$G11)),AC28*$I11,0)</x:f>
        <x:v>160815.51973954527</x:v>
      </x:c>
      <x:c r="AE60" s="29" t="n">
        <x:f>IF(AND(AE$53&gt;$F11,AE$53&lt;=EDATE($F11,$G11)),AD28*$I11,0)</x:f>
        <x:v>151457.03943162187</x:v>
      </x:c>
      <x:c r="AF60" s="29" t="n">
        <x:f>IF(AND(AF$53&gt;$F11,AF$53&lt;=EDATE($F11,$G11)),AE28*$I11,0)</x:f>
        <x:v>142036.16925497894</x:v>
      </x:c>
      <x:c r="AG60" s="29" t="n">
        <x:f>IF(AND(AG$53&gt;$F11,AG$53&lt;=EDATE($F11,$G11)),AF28*$I11,0)</x:f>
        <x:v>132552.49327715844</x:v>
      </x:c>
      <x:c r="AH60" s="29" t="n">
        <x:f>IF(AND(AH$53&gt;$F11,AH$53&lt;=EDATE($F11,$G11)),AG28*$I11,0)</x:f>
        <x:v>123005.59279281912</x:v>
      </x:c>
      <x:c r="AI60" s="29" t="n">
        <x:f>IF(AND(AI$53&gt;$F11,AI$53&lt;=EDATE($F11,$G11)),AH28*$I11,0)</x:f>
        <x:v>113395.04630525089</x:v>
      </x:c>
      <x:c r="AJ60" s="29" t="n">
        <x:f>IF(AND(AJ$53&gt;$F11,AJ$53&lt;=EDATE($F11,$G11)),AI28*$I11,0)</x:f>
        <x:v>103720.4295077655</x:v>
      </x:c>
      <x:c r="AK60" s="29" t="n">
        <x:f>IF(AND(AK$53&gt;$F11,AK$53&lt;=EDATE($F11,$G11)),AJ28*$I11,0)</x:f>
        <x:v>93981.31526496356</x:v>
      </x:c>
      <x:c r="AL60" s="101" t="n">
        <x:f>IF(AND(AL$53&gt;$F11,AL$53&lt;=EDATE($F11,$G11)),AK28*$I11,0)</x:f>
        <x:v>84177.27359387628</x:v>
      </x:c>
      <x:c r="AM60" s="101" t="n">
        <x:f>IF(AND(AM$53&gt;$F11,AM$53&lt;=EDATE($F11,$G11)),AL28*$I11,0)</x:f>
        <x:v>74307.87164498174</x:v>
      </x:c>
      <x:c r="AN60" s="101" t="n">
        <x:f>IF(AND(AN$53&gt;$F11,AN$53&lt;=EDATE($F11,$G11)),AM28*$I11,0)</x:f>
        <x:v>64372.67368309459</x:v>
      </x:c>
      <x:c r="AO60" s="101" t="n">
        <x:f>IF(AND(AO$53&gt;$F11,AO$53&lt;=EDATE($F11,$G11)),AN28*$I11,0)</x:f>
        <x:v>54371.24106812817</x:v>
      </x:c>
      <x:c r="AP60" s="101" t="n">
        <x:f>IF(AND(AP$53&gt;$F11,AP$53&lt;=EDATE($F11,$G11)),AO28*$I11,0)</x:f>
        <x:v>44303.13223572865</x:v>
      </x:c>
      <x:c r="AQ60" s="101" t="n">
        <x:f>IF(AND(AQ$53&gt;$F11,AQ$53&lt;=EDATE($F11,$G11)),AP28*$I11,0)</x:f>
        <x:v>34167.9026777798</x:v>
      </x:c>
      <x:c r="AR60" s="101" t="n">
        <x:f>IF(AND(AR$53&gt;$F11,AR$53&lt;=EDATE($F11,$G11)),AQ28*$I11,0)</x:f>
        <x:v>23965.10492277795</x:v>
      </x:c>
      <x:c r="AS60" s="101" t="n">
        <x:f>IF(AND(AS$53&gt;$F11,AS$53&lt;=EDATE($F11,$G11)),AR28*$I11,0)</x:f>
        <x:v>13694.288516076092</x:v>
      </x:c>
      <x:c r="AT60" s="101" t="n">
        <x:f>IF(AND(AT$53&gt;$F11,AT$53&lt;=EDATE($F11,$G11)),AS28*$I11,0)</x:f>
        <x:v>0</x:v>
      </x:c>
      <x:c r="AU60" s="101" t="n">
        <x:f>IF(AND(AU$53&gt;$F11,AU$53&lt;=EDATE($F11,$G11)),AT28*$I11,0)</x:f>
        <x:v>0</x:v>
      </x:c>
      <x:c r="AV60" s="101" t="n">
        <x:f>IF(AND(AV$53&gt;$F11,AV$53&lt;=EDATE($F11,$G11)),AU28*$I11,0)</x:f>
        <x:v>0</x:v>
      </x:c>
      <x:c r="AW60" s="101" t="n">
        <x:f>IF(AND(AW$53&gt;$F11,AW$53&lt;=EDATE($F11,$G11)),AV28*$I11,0)</x:f>
        <x:v>0</x:v>
      </x:c>
      <x:c r="AX60" s="101" t="n">
        <x:f>IF(AND(AX$53&gt;$F11,AX$53&lt;=EDATE($F11,$G11)),AW28*$I11,0)</x:f>
        <x:v>0</x:v>
      </x:c>
      <x:c r="AY60" s="101" t="n">
        <x:f>IF(AND(AY$53&gt;$F11,AY$53&lt;=EDATE($F11,$G11)),AX28*$I11,0)</x:f>
        <x:v>0</x:v>
      </x:c>
      <x:c r="AZ60" s="101" t="n">
        <x:f>IF(AND(AZ$53&gt;$F11,AZ$53&lt;=EDATE($F11,$G11)),AY28*$I11,0)</x:f>
        <x:v>0</x:v>
      </x:c>
      <x:c r="BA60" s="101" t="n">
        <x:f>IF(AND(BA$53&gt;$F11,BA$53&lt;=EDATE($F11,$G11)),AZ28*$I11,0)</x:f>
        <x:v>0</x:v>
      </x:c>
      <x:c r="BB60" s="101" t="n">
        <x:f>IF(AND(BB$53&gt;$F11,BB$53&lt;=EDATE($F11,$G11)),BA28*$I11,0)</x:f>
        <x:v>0</x:v>
      </x:c>
      <x:c r="BC60" s="101" t="n">
        <x:f>IF(AND(BC$53&gt;$F11,BC$53&lt;=EDATE($F11,$G11)),BB28*$I11,0)</x:f>
        <x:v>0</x:v>
      </x:c>
      <x:c r="BD60" s="101" t="n">
        <x:f>IF(AND(BD$53&gt;$F11,BD$53&lt;=EDATE($F11,$G11)),BC28*$I11,0)</x:f>
        <x:v>0</x:v>
      </x:c>
      <x:c r="BE60" s="101" t="n">
        <x:f>IF(AND(BE$53&gt;$F11,BE$53&lt;=EDATE($F11,$G11)),BD28*$I11,0)</x:f>
        <x:v>0</x:v>
      </x:c>
      <x:c r="BF60" s="101" t="n">
        <x:f>IF(AND(BF$53&gt;$F11,BF$53&lt;=EDATE($F11,$G11)),BE28*$I11,0)</x:f>
        <x:v>0</x:v>
      </x:c>
      <x:c r="BG60" s="101" t="n">
        <x:f>IF(AND(BG$53&gt;$F11,BG$53&lt;=EDATE($F11,$G11)),BF28*$I11,0)</x:f>
        <x:v>0</x:v>
      </x:c>
      <x:c r="BH60" s="101" t="n">
        <x:f>IF(AND(BH$53&gt;$F11,BH$53&lt;=EDATE($F11,$G11)),BG28*$I11,0)</x:f>
        <x:v>0</x:v>
      </x:c>
      <x:c r="BI60" s="101" t="n">
        <x:f>IF(AND(BI$53&gt;$F11,BI$53&lt;=EDATE($F11,$G11)),BH28*$I11,0)</x:f>
        <x:v>0</x:v>
      </x:c>
    </x:row>
    <x:row r="61">
      <x:c r="A61" t="str">
        <x:f>A12</x:f>
        <x:v>批次08</x:v>
      </x:c>
      <x:c r="B61" s="29" t="n">
        <x:f>IF(AND(B$53&gt;$F12,B$53&lt;=EDATE($F12,$G12)),$E12*$I12,0)</x:f>
        <x:v>0</x:v>
      </x:c>
      <x:c r="C61" s="29" t="n">
        <x:f>IF(AND(C$53&gt;$F12,C$53&lt;=EDATE($F12,$G12)),B29*$I12,0)</x:f>
        <x:v>0</x:v>
      </x:c>
      <x:c r="D61" s="29" t="n">
        <x:f>IF(AND(D$53&gt;$F12,D$53&lt;=EDATE($F12,$G12)),C29*$I12,0)</x:f>
        <x:v>0</x:v>
      </x:c>
      <x:c r="E61" s="29" t="n">
        <x:f>IF(AND(E$53&gt;$F12,E$53&lt;=EDATE($F12,$G12)),D29*$I12,0)</x:f>
        <x:v>0</x:v>
      </x:c>
      <x:c r="F61" s="29" t="n">
        <x:f>IF(AND(F$53&gt;$F12,F$53&lt;=EDATE($F12,$G12)),E29*$I12,0)</x:f>
        <x:v>0</x:v>
      </x:c>
      <x:c r="G61" s="29" t="n">
        <x:f>IF(AND(G$53&gt;$F12,G$53&lt;=EDATE($F12,$G12)),F29*$I12,0)</x:f>
        <x:v>0</x:v>
      </x:c>
      <x:c r="H61" s="29" t="n">
        <x:f>IF(AND(H$53&gt;$F12,H$53&lt;=EDATE($F12,$G12)),G29*$I12,0)</x:f>
        <x:v>0</x:v>
      </x:c>
      <x:c r="I61" s="29" t="n">
        <x:f>IF(AND(I$53&gt;$F12,I$53&lt;=EDATE($F12,$G12)),H29*$I12,0)</x:f>
        <x:v>0</x:v>
      </x:c>
      <x:c r="J61" s="29" t="n">
        <x:f>IF(AND(J$53&gt;$F12,J$53&lt;=EDATE($F12,$G12)),I29*$I12,0)</x:f>
        <x:v>0</x:v>
      </x:c>
      <x:c r="K61" s="29" t="n">
        <x:f>IF(AND(K$53&gt;$F12,K$53&lt;=EDATE($F12,$G12)),J29*$I12,0)</x:f>
        <x:v>335500</x:v>
      </x:c>
      <x:c r="L61" s="29" t="n">
        <x:f>IF(AND(L$53&gt;$F12,L$53&lt;=EDATE($F12,$G12)),K29*$I12,0)</x:f>
        <x:v>327306.08289381297</x:v>
      </x:c>
      <x:c r="M61" s="29" t="n">
        <x:f>IF(AND(M$53&gt;$F12,M$53&lt;=EDATE($F12,$G12)),L29*$I12,0)</x:f>
        <x:v>319057.5396735847</x:v>
      </x:c>
      <x:c r="N61" s="29" t="n">
        <x:f>IF(AND(N$53&gt;$F12,N$53&lt;=EDATE($F12,$G12)),M29*$I12,0)</x:f>
        <x:v>310754.0061652215</x:v>
      </x:c>
      <x:c r="O61" s="29" t="n">
        <x:f>IF(AND(O$53&gt;$F12,O$53&lt;=EDATE($F12,$G12)),N29*$I12,0)</x:f>
        <x:v>302395.11576680257</x:v>
      </x:c>
      <x:c r="P61" s="29" t="n">
        <x:f>IF(AND(P$53&gt;$F12,P$53&lt;=EDATE($F12,$G12)),O29*$I12,0)</x:f>
        <x:v>293980.4994323942</x:v>
      </x:c>
      <x:c r="Q61" s="29" t="n">
        <x:f>IF(AND(Q$53&gt;$F12,Q$53&lt;=EDATE($F12,$G12)),P29*$I12,0)</x:f>
        <x:v>285509.7856557565</x:v>
      </x:c>
      <x:c r="R61" s="29" t="n">
        <x:f>IF(AND(R$53&gt;$F12,R$53&lt;=EDATE($F12,$G12)),Q29*$I12,0)</x:f>
        <x:v>276982.60045394115</x:v>
      </x:c>
      <x:c r="S61" s="29" t="n">
        <x:f>IF(AND(S$53&gt;$F12,S$53&lt;=EDATE($F12,$G12)),R29*$I12,0)</x:f>
        <x:v>268398.56735078036</x:v>
      </x:c>
      <x:c r="T61" s="29" t="n">
        <x:f>IF(AND(T$53&gt;$F12,T$53&lt;=EDATE($F12,$G12)),S29*$I12,0)</x:f>
        <x:v>259757.30736026523</x:v>
      </x:c>
      <x:c r="U61" s="29" t="n">
        <x:f>IF(AND(U$53&gt;$F12,U$53&lt;=EDATE($F12,$G12)),T29*$I12,0)</x:f>
        <x:v>251058.43896981332</x:v>
      </x:c>
      <x:c r="V61" s="29" t="n">
        <x:f>IF(AND(V$53&gt;$F12,V$53&lt;=EDATE($F12,$G12)),U29*$I12,0)</x:f>
        <x:v>242301.57812342502</x:v>
      </x:c>
      <x:c r="W61" s="29" t="n">
        <x:f>IF(AND(W$53&gt;$F12,W$53&lt;=EDATE($F12,$G12)),V29*$I12,0)</x:f>
        <x:v>233486.33820472748</x:v>
      </x:c>
      <x:c r="X61" s="29" t="n">
        <x:f>IF(AND(X$53&gt;$F12,X$53&lt;=EDATE($F12,$G12)),W29*$I12,0)</x:f>
        <x:v>224612.3300199053</x:v>
      </x:c>
      <x:c r="Y61" s="29" t="n">
        <x:f>IF(AND(Y$53&gt;$F12,Y$53&lt;=EDATE($F12,$G12)),X29*$I12,0)</x:f>
        <x:v>215679.1617805176</x:v>
      </x:c>
      <x:c r="Z61" s="29" t="n">
        <x:f>IF(AND(Z$53&gt;$F12,Z$53&lt;=EDATE($F12,$G12)),Y29*$I12,0)</x:f>
        <x:v>206686.43908620067</x:v>
      </x:c>
      <x:c r="AA61" s="29" t="n">
        <x:f>IF(AND(AA$53&gt;$F12,AA$53&lt;=EDATE($F12,$G12)),Z29*$I12,0)</x:f>
        <x:v>197633.76490725498</x:v>
      </x:c>
      <x:c r="AB61" s="29" t="n">
        <x:f>IF(AND(AB$53&gt;$F12,AB$53&lt;=EDATE($F12,$G12)),AA29*$I12,0)</x:f>
        <x:v>188520.7395671163</x:v>
      </x:c>
      <x:c r="AC61" s="29" t="n">
        <x:f>IF(AND(AC$53&gt;$F12,AC$53&lt;=EDATE($F12,$G12)),AB29*$I12,0)</x:f>
        <x:v>179346.96072471005</x:v>
      </x:c>
      <x:c r="AD61" s="29" t="n">
        <x:f>IF(AND(AD$53&gt;$F12,AD$53&lt;=EDATE($F12,$G12)),AC29*$I12,0)</x:f>
        <x:v>170112.02335668774</x:v>
      </x:c>
      <x:c r="AE61" s="29" t="n">
        <x:f>IF(AND(AE$53&gt;$F12,AE$53&lt;=EDATE($F12,$G12)),AD29*$I12,0)</x:f>
        <x:v>160815.51973954527</x:v>
      </x:c>
      <x:c r="AF61" s="29" t="n">
        <x:f>IF(AND(AF$53&gt;$F12,AF$53&lt;=EDATE($F12,$G12)),AE29*$I12,0)</x:f>
        <x:v>151457.03943162187</x:v>
      </x:c>
      <x:c r="AG61" s="29" t="n">
        <x:f>IF(AND(AG$53&gt;$F12,AG$53&lt;=EDATE($F12,$G12)),AF29*$I12,0)</x:f>
        <x:v>142036.16925497894</x:v>
      </x:c>
      <x:c r="AH61" s="29" t="n">
        <x:f>IF(AND(AH$53&gt;$F12,AH$53&lt;=EDATE($F12,$G12)),AG29*$I12,0)</x:f>
        <x:v>132552.49327715844</x:v>
      </x:c>
      <x:c r="AI61" s="29" t="n">
        <x:f>IF(AND(AI$53&gt;$F12,AI$53&lt;=EDATE($F12,$G12)),AH29*$I12,0)</x:f>
        <x:v>123005.59279281912</x:v>
      </x:c>
      <x:c r="AJ61" s="29" t="n">
        <x:f>IF(AND(AJ$53&gt;$F12,AJ$53&lt;=EDATE($F12,$G12)),AI29*$I12,0)</x:f>
        <x:v>113395.04630525089</x:v>
      </x:c>
      <x:c r="AK61" s="29" t="n">
        <x:f>IF(AND(AK$53&gt;$F12,AK$53&lt;=EDATE($F12,$G12)),AJ29*$I12,0)</x:f>
        <x:v>103720.4295077655</x:v>
      </x:c>
      <x:c r="AL61" s="101" t="n">
        <x:f>IF(AND(AL$53&gt;$F12,AL$53&lt;=EDATE($F12,$G12)),AK29*$I12,0)</x:f>
        <x:v>93981.31526496356</x:v>
      </x:c>
      <x:c r="AM61" s="101" t="n">
        <x:f>IF(AND(AM$53&gt;$F12,AM$53&lt;=EDATE($F12,$G12)),AL29*$I12,0)</x:f>
        <x:v>84177.27359387628</x:v>
      </x:c>
      <x:c r="AN61" s="101" t="n">
        <x:f>IF(AND(AN$53&gt;$F12,AN$53&lt;=EDATE($F12,$G12)),AM29*$I12,0)</x:f>
        <x:v>74307.87164498174</x:v>
      </x:c>
      <x:c r="AO61" s="101" t="n">
        <x:f>IF(AND(AO$53&gt;$F12,AO$53&lt;=EDATE($F12,$G12)),AN29*$I12,0)</x:f>
        <x:v>64372.67368309459</x:v>
      </x:c>
      <x:c r="AP61" s="101" t="n">
        <x:f>IF(AND(AP$53&gt;$F12,AP$53&lt;=EDATE($F12,$G12)),AO29*$I12,0)</x:f>
        <x:v>54371.24106812817</x:v>
      </x:c>
      <x:c r="AQ61" s="101" t="n">
        <x:f>IF(AND(AQ$53&gt;$F12,AQ$53&lt;=EDATE($F12,$G12)),AP29*$I12,0)</x:f>
        <x:v>44303.13223572865</x:v>
      </x:c>
      <x:c r="AR61" s="101" t="n">
        <x:f>IF(AND(AR$53&gt;$F12,AR$53&lt;=EDATE($F12,$G12)),AQ29*$I12,0)</x:f>
        <x:v>34167.9026777798</x:v>
      </x:c>
      <x:c r="AS61" s="101" t="n">
        <x:f>IF(AND(AS$53&gt;$F12,AS$53&lt;=EDATE($F12,$G12)),AR29*$I12,0)</x:f>
        <x:v>23965.10492277795</x:v>
      </x:c>
      <x:c r="AT61" s="101" t="n">
        <x:f>IF(AND(AT$53&gt;$F12,AT$53&lt;=EDATE($F12,$G12)),AS29*$I12,0)</x:f>
        <x:v>13694.288516076092</x:v>
      </x:c>
      <x:c r="AU61" s="101" t="n">
        <x:f>IF(AND(AU$53&gt;$F12,AU$53&lt;=EDATE($F12,$G12)),AT29*$I12,0)</x:f>
        <x:v>0</x:v>
      </x:c>
      <x:c r="AV61" s="101" t="n">
        <x:f>IF(AND(AV$53&gt;$F12,AV$53&lt;=EDATE($F12,$G12)),AU29*$I12,0)</x:f>
        <x:v>0</x:v>
      </x:c>
      <x:c r="AW61" s="101" t="n">
        <x:f>IF(AND(AW$53&gt;$F12,AW$53&lt;=EDATE($F12,$G12)),AV29*$I12,0)</x:f>
        <x:v>0</x:v>
      </x:c>
      <x:c r="AX61" s="101" t="n">
        <x:f>IF(AND(AX$53&gt;$F12,AX$53&lt;=EDATE($F12,$G12)),AW29*$I12,0)</x:f>
        <x:v>0</x:v>
      </x:c>
      <x:c r="AY61" s="101" t="n">
        <x:f>IF(AND(AY$53&gt;$F12,AY$53&lt;=EDATE($F12,$G12)),AX29*$I12,0)</x:f>
        <x:v>0</x:v>
      </x:c>
      <x:c r="AZ61" s="101" t="n">
        <x:f>IF(AND(AZ$53&gt;$F12,AZ$53&lt;=EDATE($F12,$G12)),AY29*$I12,0)</x:f>
        <x:v>0</x:v>
      </x:c>
      <x:c r="BA61" s="101" t="n">
        <x:f>IF(AND(BA$53&gt;$F12,BA$53&lt;=EDATE($F12,$G12)),AZ29*$I12,0)</x:f>
        <x:v>0</x:v>
      </x:c>
      <x:c r="BB61" s="101" t="n">
        <x:f>IF(AND(BB$53&gt;$F12,BB$53&lt;=EDATE($F12,$G12)),BA29*$I12,0)</x:f>
        <x:v>0</x:v>
      </x:c>
      <x:c r="BC61" s="101" t="n">
        <x:f>IF(AND(BC$53&gt;$F12,BC$53&lt;=EDATE($F12,$G12)),BB29*$I12,0)</x:f>
        <x:v>0</x:v>
      </x:c>
      <x:c r="BD61" s="101" t="n">
        <x:f>IF(AND(BD$53&gt;$F12,BD$53&lt;=EDATE($F12,$G12)),BC29*$I12,0)</x:f>
        <x:v>0</x:v>
      </x:c>
      <x:c r="BE61" s="101" t="n">
        <x:f>IF(AND(BE$53&gt;$F12,BE$53&lt;=EDATE($F12,$G12)),BD29*$I12,0)</x:f>
        <x:v>0</x:v>
      </x:c>
      <x:c r="BF61" s="101" t="n">
        <x:f>IF(AND(BF$53&gt;$F12,BF$53&lt;=EDATE($F12,$G12)),BE29*$I12,0)</x:f>
        <x:v>0</x:v>
      </x:c>
      <x:c r="BG61" s="101" t="n">
        <x:f>IF(AND(BG$53&gt;$F12,BG$53&lt;=EDATE($F12,$G12)),BF29*$I12,0)</x:f>
        <x:v>0</x:v>
      </x:c>
      <x:c r="BH61" s="101" t="n">
        <x:f>IF(AND(BH$53&gt;$F12,BH$53&lt;=EDATE($F12,$G12)),BG29*$I12,0)</x:f>
        <x:v>0</x:v>
      </x:c>
      <x:c r="BI61" s="101" t="n">
        <x:f>IF(AND(BI$53&gt;$F12,BI$53&lt;=EDATE($F12,$G12)),BH29*$I12,0)</x:f>
        <x:v>0</x:v>
      </x:c>
    </x:row>
    <x:row r="62">
      <x:c r="A62" t="str">
        <x:f>A13</x:f>
        <x:v>批次09</x:v>
      </x:c>
      <x:c r="B62" s="29" t="n">
        <x:f>IF(AND(B$53&gt;$F13,B$53&lt;=EDATE($F13,$G13)),$E13*$I13,0)</x:f>
        <x:v>0</x:v>
      </x:c>
      <x:c r="C62" s="29" t="n">
        <x:f>IF(AND(C$53&gt;$F13,C$53&lt;=EDATE($F13,$G13)),B30*$I13,0)</x:f>
        <x:v>0</x:v>
      </x:c>
      <x:c r="D62" s="29" t="n">
        <x:f>IF(AND(D$53&gt;$F13,D$53&lt;=EDATE($F13,$G13)),C30*$I13,0)</x:f>
        <x:v>0</x:v>
      </x:c>
      <x:c r="E62" s="29" t="n">
        <x:f>IF(AND(E$53&gt;$F13,E$53&lt;=EDATE($F13,$G13)),D30*$I13,0)</x:f>
        <x:v>0</x:v>
      </x:c>
      <x:c r="F62" s="29" t="n">
        <x:f>IF(AND(F$53&gt;$F13,F$53&lt;=EDATE($F13,$G13)),E30*$I13,0)</x:f>
        <x:v>0</x:v>
      </x:c>
      <x:c r="G62" s="29" t="n">
        <x:f>IF(AND(G$53&gt;$F13,G$53&lt;=EDATE($F13,$G13)),F30*$I13,0)</x:f>
        <x:v>0</x:v>
      </x:c>
      <x:c r="H62" s="29" t="n">
        <x:f>IF(AND(H$53&gt;$F13,H$53&lt;=EDATE($F13,$G13)),G30*$I13,0)</x:f>
        <x:v>0</x:v>
      </x:c>
      <x:c r="I62" s="29" t="n">
        <x:f>IF(AND(I$53&gt;$F13,I$53&lt;=EDATE($F13,$G13)),H30*$I13,0)</x:f>
        <x:v>0</x:v>
      </x:c>
      <x:c r="J62" s="29" t="n">
        <x:f>IF(AND(J$53&gt;$F13,J$53&lt;=EDATE($F13,$G13)),I30*$I13,0)</x:f>
        <x:v>0</x:v>
      </x:c>
      <x:c r="K62" s="29" t="n">
        <x:f>IF(AND(K$53&gt;$F13,K$53&lt;=EDATE($F13,$G13)),J30*$I13,0)</x:f>
        <x:v>0</x:v>
      </x:c>
      <x:c r="L62" s="29" t="n">
        <x:f>IF(AND(L$53&gt;$F13,L$53&lt;=EDATE($F13,$G13)),K30*$I13,0)</x:f>
        <x:v>424860</x:v>
      </x:c>
      <x:c r="M62" s="29" t="n">
        <x:f>IF(AND(M$53&gt;$F13,M$53&lt;=EDATE($F13,$G13)),L30*$I13,0)</x:f>
        <x:v>414483.6434523558</x:v>
      </x:c>
      <x:c r="N62" s="29" t="n">
        <x:f>IF(AND(N$53&gt;$F13,N$53&lt;=EDATE($F13,$G13)),M30*$I13,0)</x:f>
        <x:v>404038.111194394</x:v>
      </x:c>
      <x:c r="O62" s="29" t="n">
        <x:f>IF(AND(O$53&gt;$F13,O$53&lt;=EDATE($F13,$G13)),N30*$I13,0)</x:f>
        <x:v>393522.94205471245</x:v>
      </x:c>
      <x:c r="P62" s="29" t="n">
        <x:f>IF(AND(P$53&gt;$F13,P$53&lt;=EDATE($F13,$G13)),O30*$I13,0)</x:f>
        <x:v>382937.671787433</x:v>
      </x:c>
      <x:c r="Q62" s="29" t="n">
        <x:f>IF(AND(Q$53&gt;$F13,Q$53&lt;=EDATE($F13,$G13)),P30*$I13,0)</x:f>
        <x:v>372281.83305170503</x:v>
      </x:c>
      <x:c r="R62" s="29" t="n">
        <x:f>IF(AND(R$53&gt;$F13,R$53&lt;=EDATE($F13,$G13)),Q30*$I13,0)</x:f>
        <x:v>361554.9553910722</x:v>
      </x:c>
      <x:c r="S62" s="29" t="n">
        <x:f>IF(AND(S$53&gt;$F13,S$53&lt;=EDATE($F13,$G13)),R30*$I13,0)</x:f>
        <x:v>350756.56521270185</x:v>
      </x:c>
      <x:c r="T62" s="29" t="n">
        <x:f>IF(AND(T$53&gt;$F13,T$53&lt;=EDATE($F13,$G13)),S30*$I13,0)</x:f>
        <x:v>339886.1857664757</x:v>
      </x:c>
      <x:c r="U62" s="29" t="n">
        <x:f>IF(AND(U$53&gt;$F13,U$53&lt;=EDATE($F13,$G13)),T30*$I13,0)</x:f>
        <x:v>328943.3371239413</x:v>
      </x:c>
      <x:c r="V62" s="29" t="n">
        <x:f>IF(AND(V$53&gt;$F13,V$53&lt;=EDATE($F13,$G13)),U30*$I13,0)</x:f>
        <x:v>317927.5361571234</x:v>
      </x:c>
      <x:c r="W62" s="29" t="n">
        <x:f>IF(AND(W$53&gt;$F13,W$53&lt;=EDATE($F13,$G13)),V30*$I13,0)</x:f>
        <x:v>306838.2965171933</x:v>
      </x:c>
      <x:c r="X62" s="29" t="n">
        <x:f>IF(AND(X$53&gt;$F13,X$53&lt;=EDATE($F13,$G13)),W30*$I13,0)</x:f>
        <x:v>295675.1286129971</x:v>
      </x:c>
      <x:c r="Y62" s="29" t="n">
        <x:f>IF(AND(Y$53&gt;$F13,Y$53&lt;=EDATE($F13,$G13)),X30*$I13,0)</x:f>
        <x:v>284437.5395894396</x:v>
      </x:c>
      <x:c r="Z62" s="29" t="n">
        <x:f>IF(AND(Z$53&gt;$F13,Z$53&lt;=EDATE($F13,$G13)),Y30*$I13,0)</x:f>
        <x:v>273125.03330572497</x:v>
      </x:c>
      <x:c r="AA62" s="29" t="n">
        <x:f>IF(AND(AA$53&gt;$F13,AA$53&lt;=EDATE($F13,$G13)),Z30*$I13,0)</x:f>
        <x:v>261737.11031345231</x:v>
      </x:c>
      <x:c r="AB62" s="29" t="n">
        <x:f>IF(AND(AB$53&gt;$F13,AB$53&lt;=EDATE($F13,$G13)),AA30*$I13,0)</x:f>
        <x:v>250273.26783456447</x:v>
      </x:c>
      <x:c r="AC62" s="29" t="n">
        <x:f>IF(AND(AC$53&gt;$F13,AC$53&lt;=EDATE($F13,$G13)),AB30*$I13,0)</x:f>
        <x:v>238732.99973915072</x:v>
      </x:c>
      <x:c r="AD62" s="29" t="n">
        <x:f>IF(AND(AD$53&gt;$F13,AD$53&lt;=EDATE($F13,$G13)),AC30*$I13,0)</x:f>
        <x:v>227115.79652310084</x:v>
      </x:c>
      <x:c r="AE62" s="29" t="n">
        <x:f>IF(AND(AE$53&gt;$F13,AE$53&lt;=EDATE($F13,$G13)),AD30*$I13,0)</x:f>
        <x:v>215421.14528561066</x:v>
      </x:c>
      <x:c r="AF62" s="29" t="n">
        <x:f>IF(AND(AF$53&gt;$F13,AF$53&lt;=EDATE($F13,$G13)),AE30*$I13,0)</x:f>
        <x:v>203648.52970653723</x:v>
      </x:c>
      <x:c r="AG62" s="29" t="n">
        <x:f>IF(AND(AG$53&gt;$F13,AG$53&lt;=EDATE($F13,$G13)),AF30*$I13,0)</x:f>
        <x:v>191797.4300236033</x:v>
      </x:c>
      <x:c r="AH62" s="29" t="n">
        <x:f>IF(AND(AH$53&gt;$F13,AH$53&lt;=EDATE($F13,$G13)),AG30*$I13,0)</x:f>
        <x:v>179867.32300944978</x:v>
      </x:c>
      <x:c r="AI62" s="29" t="n">
        <x:f>IF(AND(AI$53&gt;$F13,AI$53&lt;=EDATE($F13,$G13)),AH30*$I13,0)</x:f>
        <x:v>167857.68194853526</x:v>
      </x:c>
      <x:c r="AJ62" s="29" t="n">
        <x:f>IF(AND(AJ$53&gt;$F13,AJ$53&lt;=EDATE($F13,$G13)),AI30*$I13,0)</x:f>
        <x:v>155767.9766138813</x:v>
      </x:c>
      <x:c r="AK62" s="29" t="n">
        <x:f>IF(AND(AK$53&gt;$F13,AK$53&lt;=EDATE($F13,$G13)),AJ30*$I13,0)</x:f>
        <x:v>143597.67324366298</x:v>
      </x:c>
      <x:c r="AL62" s="101" t="n">
        <x:f>IF(AND(AL$53&gt;$F13,AL$53&lt;=EDATE($F13,$G13)),AK30*$I13,0)</x:f>
        <x:v>131346.2345176432</x:v>
      </x:c>
      <x:c r="AM62" s="101" t="n">
        <x:f>IF(AND(AM$53&gt;$F13,AM$53&lt;=EDATE($F13,$G13)),AL30*$I13,0)</x:f>
        <x:v>119013.11953344994</x:v>
      </x:c>
      <x:c r="AN62" s="101" t="n">
        <x:f>IF(AND(AN$53&gt;$F13,AN$53&lt;=EDATE($F13,$G13)),AM30*$I13,0)</x:f>
        <x:v>106597.78378269542</x:v>
      </x:c>
      <x:c r="AO62" s="101" t="n">
        <x:f>IF(AND(AO$53&gt;$F13,AO$53&lt;=EDATE($F13,$G13)),AN30*$I13,0)</x:f>
        <x:v>94099.67912693585</x:v>
      </x:c>
      <x:c r="AP62" s="101" t="n">
        <x:f>IF(AND(AP$53&gt;$F13,AP$53&lt;=EDATE($F13,$G13)),AO30*$I13,0)</x:f>
        <x:v>81518.25377347124</x:v>
      </x:c>
      <x:c r="AQ62" s="101" t="n">
        <x:f>IF(AND(AQ$53&gt;$F13,AQ$53&lt;=EDATE($F13,$G13)),AP30*$I13,0)</x:f>
        <x:v>68852.95225098352</x:v>
      </x:c>
      <x:c r="AR62" s="101" t="n">
        <x:f>IF(AND(AR$53&gt;$F13,AR$53&lt;=EDATE($F13,$G13)),AQ30*$I13,0)</x:f>
        <x:v>56103.215385012554</x:v>
      </x:c>
      <x:c r="AS62" s="101" t="n">
        <x:f>IF(AND(AS$53&gt;$F13,AS$53&lt;=EDATE($F13,$G13)),AR30*$I13,0)</x:f>
        <x:v>43268.48027326844</x:v>
      </x:c>
      <x:c r="AT62" s="101" t="n">
        <x:f>IF(AND(AT$53&gt;$F13,AT$53&lt;=EDATE($F13,$G13)),AS30*$I13,0)</x:f>
        <x:v>30348.18026077937</x:v>
      </x:c>
      <x:c r="AU62" s="101" t="n">
        <x:f>IF(AND(AU$53&gt;$F13,AU$53&lt;=EDATE($F13,$G13)),AT30*$I13,0)</x:f>
        <x:v>17341.744914873703</x:v>
      </x:c>
      <x:c r="AV62" s="101" t="n">
        <x:f>IF(AND(AV$53&gt;$F13,AV$53&lt;=EDATE($F13,$G13)),AU30*$I13,0)</x:f>
        <x:v>0</x:v>
      </x:c>
      <x:c r="AW62" s="101" t="n">
        <x:f>IF(AND(AW$53&gt;$F13,AW$53&lt;=EDATE($F13,$G13)),AV30*$I13,0)</x:f>
        <x:v>0</x:v>
      </x:c>
      <x:c r="AX62" s="101" t="n">
        <x:f>IF(AND(AX$53&gt;$F13,AX$53&lt;=EDATE($F13,$G13)),AW30*$I13,0)</x:f>
        <x:v>0</x:v>
      </x:c>
      <x:c r="AY62" s="101" t="n">
        <x:f>IF(AND(AY$53&gt;$F13,AY$53&lt;=EDATE($F13,$G13)),AX30*$I13,0)</x:f>
        <x:v>0</x:v>
      </x:c>
      <x:c r="AZ62" s="101" t="n">
        <x:f>IF(AND(AZ$53&gt;$F13,AZ$53&lt;=EDATE($F13,$G13)),AY30*$I13,0)</x:f>
        <x:v>0</x:v>
      </x:c>
      <x:c r="BA62" s="101" t="n">
        <x:f>IF(AND(BA$53&gt;$F13,BA$53&lt;=EDATE($F13,$G13)),AZ30*$I13,0)</x:f>
        <x:v>0</x:v>
      </x:c>
      <x:c r="BB62" s="101" t="n">
        <x:f>IF(AND(BB$53&gt;$F13,BB$53&lt;=EDATE($F13,$G13)),BA30*$I13,0)</x:f>
        <x:v>0</x:v>
      </x:c>
      <x:c r="BC62" s="101" t="n">
        <x:f>IF(AND(BC$53&gt;$F13,BC$53&lt;=EDATE($F13,$G13)),BB30*$I13,0)</x:f>
        <x:v>0</x:v>
      </x:c>
      <x:c r="BD62" s="101" t="n">
        <x:f>IF(AND(BD$53&gt;$F13,BD$53&lt;=EDATE($F13,$G13)),BC30*$I13,0)</x:f>
        <x:v>0</x:v>
      </x:c>
      <x:c r="BE62" s="101" t="n">
        <x:f>IF(AND(BE$53&gt;$F13,BE$53&lt;=EDATE($F13,$G13)),BD30*$I13,0)</x:f>
        <x:v>0</x:v>
      </x:c>
      <x:c r="BF62" s="101" t="n">
        <x:f>IF(AND(BF$53&gt;$F13,BF$53&lt;=EDATE($F13,$G13)),BE30*$I13,0)</x:f>
        <x:v>0</x:v>
      </x:c>
      <x:c r="BG62" s="101" t="n">
        <x:f>IF(AND(BG$53&gt;$F13,BG$53&lt;=EDATE($F13,$G13)),BF30*$I13,0)</x:f>
        <x:v>0</x:v>
      </x:c>
      <x:c r="BH62" s="101" t="n">
        <x:f>IF(AND(BH$53&gt;$F13,BH$53&lt;=EDATE($F13,$G13)),BG30*$I13,0)</x:f>
        <x:v>0</x:v>
      </x:c>
      <x:c r="BI62" s="101" t="n">
        <x:f>IF(AND(BI$53&gt;$F13,BI$53&lt;=EDATE($F13,$G13)),BH30*$I13,0)</x:f>
        <x:v>0</x:v>
      </x:c>
    </x:row>
    <x:row r="63">
      <x:c r="A63" t="str">
        <x:f>A14</x:f>
        <x:v>批次10</x:v>
      </x:c>
      <x:c r="B63" s="29" t="n">
        <x:f>IF(AND(B$53&gt;$F14,B$53&lt;=EDATE($F14,$G14)),$E14*$I14,0)</x:f>
        <x:v>0</x:v>
      </x:c>
      <x:c r="C63" s="29" t="n">
        <x:f>IF(AND(C$53&gt;$F14,C$53&lt;=EDATE($F14,$G14)),B31*$I14,0)</x:f>
        <x:v>0</x:v>
      </x:c>
      <x:c r="D63" s="29" t="n">
        <x:f>IF(AND(D$53&gt;$F14,D$53&lt;=EDATE($F14,$G14)),C31*$I14,0)</x:f>
        <x:v>0</x:v>
      </x:c>
      <x:c r="E63" s="29" t="n">
        <x:f>IF(AND(E$53&gt;$F14,E$53&lt;=EDATE($F14,$G14)),D31*$I14,0)</x:f>
        <x:v>0</x:v>
      </x:c>
      <x:c r="F63" s="29" t="n">
        <x:f>IF(AND(F$53&gt;$F14,F$53&lt;=EDATE($F14,$G14)),E31*$I14,0)</x:f>
        <x:v>0</x:v>
      </x:c>
      <x:c r="G63" s="29" t="n">
        <x:f>IF(AND(G$53&gt;$F14,G$53&lt;=EDATE($F14,$G14)),F31*$I14,0)</x:f>
        <x:v>0</x:v>
      </x:c>
      <x:c r="H63" s="29" t="n">
        <x:f>IF(AND(H$53&gt;$F14,H$53&lt;=EDATE($F14,$G14)),G31*$I14,0)</x:f>
        <x:v>0</x:v>
      </x:c>
      <x:c r="I63" s="29" t="n">
        <x:f>IF(AND(I$53&gt;$F14,I$53&lt;=EDATE($F14,$G14)),H31*$I14,0)</x:f>
        <x:v>0</x:v>
      </x:c>
      <x:c r="J63" s="29" t="n">
        <x:f>IF(AND(J$53&gt;$F14,J$53&lt;=EDATE($F14,$G14)),I31*$I14,0)</x:f>
        <x:v>0</x:v>
      </x:c>
      <x:c r="K63" s="29" t="n">
        <x:f>IF(AND(K$53&gt;$F14,K$53&lt;=EDATE($F14,$G14)),J31*$I14,0)</x:f>
        <x:v>0</x:v>
      </x:c>
      <x:c r="L63" s="29" t="n">
        <x:f>IF(AND(L$53&gt;$F14,L$53&lt;=EDATE($F14,$G14)),K31*$I14,0)</x:f>
        <x:v>0</x:v>
      </x:c>
      <x:c r="M63" s="29" t="n">
        <x:f>IF(AND(M$53&gt;$F14,M$53&lt;=EDATE($F14,$G14)),L31*$I14,0)</x:f>
        <x:v>450000</x:v>
      </x:c>
      <x:c r="N63" s="29" t="n">
        <x:f>IF(AND(N$53&gt;$F14,N$53&lt;=EDATE($F14,$G14)),M31*$I14,0)</x:f>
        <x:v>439009.6491869325</x:v>
      </x:c>
      <x:c r="O63" s="29" t="n">
        <x:f>IF(AND(O$53&gt;$F14,O$53&lt;=EDATE($F14,$G14)),N31*$I14,0)</x:f>
        <x:v>427946.02936844446</x:v>
      </x:c>
      <x:c r="P63" s="29" t="n">
        <x:f>IF(AND(P$53&gt;$F14,P$53&lt;=EDATE($F14,$G14)),O31*$I14,0)</x:f>
        <x:v>416808.6520844999</x:v>
      </x:c>
      <x:c r="Q63" s="29" t="n">
        <x:f>IF(AND(Q$53&gt;$F14,Q$53&lt;=EDATE($F14,$G14)),P31*$I14,0)</x:f>
        <x:v>405597.0256186623</x:v>
      </x:c>
      <x:c r="R63" s="29" t="n">
        <x:f>IF(AND(R$53&gt;$F14,R$53&lt;=EDATE($F14,$G14)),Q31*$I14,0)</x:f>
        <x:v>394310.6549763858</x:v>
      </x:c>
      <x:c r="S63" s="29" t="n">
        <x:f>IF(AND(S$53&gt;$F14,S$53&lt;=EDATE($F14,$G14)),R31*$I14,0)</x:f>
        <x:v>382949.0418631608</x:v>
      </x:c>
      <x:c r="T63" s="29" t="n">
        <x:f>IF(AND(T$53&gt;$F14,T$53&lt;=EDATE($F14,$G14)),S31*$I14,0)</x:f>
        <x:v>371511.6846625143</x:v>
      </x:c>
      <x:c r="U63" s="29" t="n">
        <x:f>IF(AND(U$53&gt;$F14,U$53&lt;=EDATE($F14,$G14)),T31*$I14,0)</x:f>
        <x:v>359998.0784138635</x:v>
      </x:c>
      <x:c r="V63" s="29" t="n">
        <x:f>IF(AND(V$53&gt;$F14,V$53&lt;=EDATE($F14,$G14)),U31*$I14,0)</x:f>
        <x:v>348407.71479022165</x:v>
      </x:c>
      <x:c r="W63" s="29" t="n">
        <x:f>IF(AND(W$53&gt;$F14,W$53&lt;=EDATE($F14,$G14)),V31*$I14,0)</x:f>
        <x:v>336740.0820757556</x:v>
      </x:c>
      <x:c r="X63" s="29" t="n">
        <x:f>IF(AND(X$53&gt;$F14,X$53&lt;=EDATE($F14,$G14)),W31*$I14,0)</x:f>
        <x:v>324994.66514319304</x:v>
      </x:c>
      <x:c r="Y63" s="29" t="n">
        <x:f>IF(AND(Y$53&gt;$F14,Y$53&lt;=EDATE($F14,$G14)),X31*$I14,0)</x:f>
        <x:v>313170.94543108006</x:v>
      </x:c>
      <x:c r="Z63" s="29" t="n">
        <x:f>IF(AND(Z$53&gt;$F14,Z$53&lt;=EDATE($F14,$G14)),Y31*$I14,0)</x:f>
        <x:v>301268.4009208864</x:v>
      </x:c>
      <x:c r="AA63" s="29" t="n">
        <x:f>IF(AND(AA$53&gt;$F14,AA$53&lt;=EDATE($F14,$G14)),Z31*$I14,0)</x:f>
        <x:v>289286.506113958</x:v>
      </x:c>
      <x:c r="AB63" s="29" t="n">
        <x:f>IF(AND(AB$53&gt;$F14,AB$53&lt;=EDATE($F14,$G14)),AA31*$I14,0)</x:f>
        <x:v>277224.73200831685</x:v>
      </x:c>
      <x:c r="AC63" s="29" t="n">
        <x:f>IF(AND(AC$53&gt;$F14,AC$53&lt;=EDATE($F14,$G14)),AB31*$I14,0)</x:f>
        <x:v>265082.54607530474</x:v>
      </x:c>
      <x:c r="AD63" s="29" t="n">
        <x:f>IF(AND(AD$53&gt;$F14,AD$53&lt;=EDATE($F14,$G14)),AC31*$I14,0)</x:f>
        <x:v>252859.4122360725</x:v>
      </x:c>
      <x:c r="AE63" s="29" t="n">
        <x:f>IF(AND(AE$53&gt;$F14,AE$53&lt;=EDATE($F14,$G14)),AD31*$I14,0)</x:f>
        <x:v>240554.7908379121</x:v>
      </x:c>
      <x:c r="AF63" s="29" t="n">
        <x:f>IF(AND(AF$53&gt;$F14,AF$53&lt;=EDATE($F14,$G14)),AE31*$I14,0)</x:f>
        <x:v>228168.13863043056</x:v>
      </x:c>
      <x:c r="AG63" s="29" t="n">
        <x:f>IF(AND(AG$53&gt;$F14,AG$53&lt;=EDATE($F14,$G14)),AF31*$I14,0)</x:f>
        <x:v>215698.90874156586</x:v>
      </x:c>
      <x:c r="AH63" s="29" t="n">
        <x:f>IF(AND(AH$53&gt;$F14,AH$53&lt;=EDATE($F14,$G14)),AG31*$I14,0)</x:f>
        <x:v>203146.55065344207</x:v>
      </x:c>
      <x:c r="AI63" s="29" t="n">
        <x:f>IF(AND(AI$53&gt;$F14,AI$53&lt;=EDATE($F14,$G14)),AH31*$I14,0)</x:f>
        <x:v>190510.51017806408</x:v>
      </x:c>
      <x:c r="AJ63" s="29" t="n">
        <x:f>IF(AND(AJ$53&gt;$F14,AJ$53&lt;=EDATE($F14,$G14)),AI31*$I14,0)</x:f>
        <x:v>177790.2294328503</x:v>
      </x:c>
      <x:c r="AK63" s="29" t="n">
        <x:f>IF(AND(AK$53&gt;$F14,AK$53&lt;=EDATE($F14,$G14)),AJ31*$I14,0)</x:f>
        <x:v>164985.1468160017</x:v>
      </x:c>
      <x:c r="AL63" s="101" t="n">
        <x:f>IF(AND(AL$53&gt;$F14,AL$53&lt;=EDATE($F14,$G14)),AK31*$I14,0)</x:f>
        <x:v>152094.6969817075</x:v>
      </x:c>
      <x:c r="AM63" s="101" t="n">
        <x:f>IF(AND(AM$53&gt;$F14,AM$53&lt;=EDATE($F14,$G14)),AL31*$I14,0)</x:f>
        <x:v>139118.31081518464</x:v>
      </x:c>
      <x:c r="AN63" s="101" t="n">
        <x:f>IF(AND(AN$53&gt;$F14,AN$53&lt;=EDATE($F14,$G14)),AM31*$I14,0)</x:f>
        <x:v>126055.41540755164</x:v>
      </x:c>
      <x:c r="AO63" s="101" t="n">
        <x:f>IF(AND(AO$53&gt;$F14,AO$53&lt;=EDATE($F14,$G14)),AN31*$I14,0)</x:f>
        <x:v>112905.43403053441</x:v>
      </x:c>
      <x:c r="AP63" s="101" t="n">
        <x:f>IF(AND(AP$53&gt;$F14,AP$53&lt;=EDATE($F14,$G14)),AO31*$I14,0)</x:f>
        <x:v>99667.78611100373</x:v>
      </x:c>
      <x:c r="AQ63" s="101" t="n">
        <x:f>IF(AND(AQ$53&gt;$F14,AQ$53&lt;=EDATE($F14,$G14)),AP31*$I14,0)</x:f>
        <x:v>86341.88720534285</x:v>
      </x:c>
      <x:c r="AR63" s="101" t="n">
        <x:f>IF(AND(AR$53&gt;$F14,AR$53&lt;=EDATE($F14,$G14)),AQ31*$I14,0)</x:f>
        <x:v>72927.14897364423</x:v>
      </x:c>
      <x:c r="AS63" s="101" t="n">
        <x:f>IF(AND(AS$53&gt;$F14,AS$53&lt;=EDATE($F14,$G14)),AR31*$I14,0)</x:f>
        <x:v>59422.97915373429</x:v>
      </x:c>
      <x:c r="AT63" s="101" t="n">
        <x:f>IF(AND(AT$53&gt;$F14,AT$53&lt;=EDATE($F14,$G14)),AS31*$I14,0)</x:f>
        <x:v>45828.781535024944</x:v>
      </x:c>
      <x:c r="AU63" s="101" t="n">
        <x:f>IF(AND(AU$53&gt;$F14,AU$53&lt;=EDATE($F14,$G14)),AT31*$I14,0)</x:f>
        <x:v>32143.955932190875</x:v>
      </x:c>
      <x:c r="AV63" s="101" t="n">
        <x:f>IF(AND(AV$53&gt;$F14,AV$53&lt;=EDATE($F14,$G14)),AU31*$I14,0)</x:f>
        <x:v>18367.898158671243</x:v>
      </x:c>
      <x:c r="AW63" s="101" t="n">
        <x:f>IF(AND(AW$53&gt;$F14,AW$53&lt;=EDATE($F14,$G14)),AV31*$I14,0)</x:f>
        <x:v>0</x:v>
      </x:c>
      <x:c r="AX63" s="101" t="n">
        <x:f>IF(AND(AX$53&gt;$F14,AX$53&lt;=EDATE($F14,$G14)),AW31*$I14,0)</x:f>
        <x:v>0</x:v>
      </x:c>
      <x:c r="AY63" s="101" t="n">
        <x:f>IF(AND(AY$53&gt;$F14,AY$53&lt;=EDATE($F14,$G14)),AX31*$I14,0)</x:f>
        <x:v>0</x:v>
      </x:c>
      <x:c r="AZ63" s="101" t="n">
        <x:f>IF(AND(AZ$53&gt;$F14,AZ$53&lt;=EDATE($F14,$G14)),AY31*$I14,0)</x:f>
        <x:v>0</x:v>
      </x:c>
      <x:c r="BA63" s="101" t="n">
        <x:f>IF(AND(BA$53&gt;$F14,BA$53&lt;=EDATE($F14,$G14)),AZ31*$I14,0)</x:f>
        <x:v>0</x:v>
      </x:c>
      <x:c r="BB63" s="101" t="n">
        <x:f>IF(AND(BB$53&gt;$F14,BB$53&lt;=EDATE($F14,$G14)),BA31*$I14,0)</x:f>
        <x:v>0</x:v>
      </x:c>
      <x:c r="BC63" s="101" t="n">
        <x:f>IF(AND(BC$53&gt;$F14,BC$53&lt;=EDATE($F14,$G14)),BB31*$I14,0)</x:f>
        <x:v>0</x:v>
      </x:c>
      <x:c r="BD63" s="101" t="n">
        <x:f>IF(AND(BD$53&gt;$F14,BD$53&lt;=EDATE($F14,$G14)),BC31*$I14,0)</x:f>
        <x:v>0</x:v>
      </x:c>
      <x:c r="BE63" s="101" t="n">
        <x:f>IF(AND(BE$53&gt;$F14,BE$53&lt;=EDATE($F14,$G14)),BD31*$I14,0)</x:f>
        <x:v>0</x:v>
      </x:c>
      <x:c r="BF63" s="101" t="n">
        <x:f>IF(AND(BF$53&gt;$F14,BF$53&lt;=EDATE($F14,$G14)),BE31*$I14,0)</x:f>
        <x:v>0</x:v>
      </x:c>
      <x:c r="BG63" s="101" t="n">
        <x:f>IF(AND(BG$53&gt;$F14,BG$53&lt;=EDATE($F14,$G14)),BF31*$I14,0)</x:f>
        <x:v>0</x:v>
      </x:c>
      <x:c r="BH63" s="101" t="n">
        <x:f>IF(AND(BH$53&gt;$F14,BH$53&lt;=EDATE($F14,$G14)),BG31*$I14,0)</x:f>
        <x:v>0</x:v>
      </x:c>
      <x:c r="BI63" s="101" t="n">
        <x:f>IF(AND(BI$53&gt;$F14,BI$53&lt;=EDATE($F14,$G14)),BH31*$I14,0)</x:f>
        <x:v>0</x:v>
      </x:c>
    </x:row>
    <x:row r="64">
      <x:c r="A64" t="str">
        <x:f>A15</x:f>
        <x:v>批次11</x:v>
      </x:c>
      <x:c r="B64" s="29" t="n">
        <x:f>IF(AND(B$53&gt;$F15,B$53&lt;=EDATE($F15,$G15)),$E15*$I15,0)</x:f>
        <x:v>0</x:v>
      </x:c>
      <x:c r="C64" s="29" t="n">
        <x:f>IF(AND(C$53&gt;$F15,C$53&lt;=EDATE($F15,$G15)),B32*$I15,0)</x:f>
        <x:v>0</x:v>
      </x:c>
      <x:c r="D64" s="29" t="n">
        <x:f>IF(AND(D$53&gt;$F15,D$53&lt;=EDATE($F15,$G15)),C32*$I15,0)</x:f>
        <x:v>0</x:v>
      </x:c>
      <x:c r="E64" s="29" t="n">
        <x:f>IF(AND(E$53&gt;$F15,E$53&lt;=EDATE($F15,$G15)),D32*$I15,0)</x:f>
        <x:v>0</x:v>
      </x:c>
      <x:c r="F64" s="29" t="n">
        <x:f>IF(AND(F$53&gt;$F15,F$53&lt;=EDATE($F15,$G15)),E32*$I15,0)</x:f>
        <x:v>0</x:v>
      </x:c>
      <x:c r="G64" s="29" t="n">
        <x:f>IF(AND(G$53&gt;$F15,G$53&lt;=EDATE($F15,$G15)),F32*$I15,0)</x:f>
        <x:v>0</x:v>
      </x:c>
      <x:c r="H64" s="29" t="n">
        <x:f>IF(AND(H$53&gt;$F15,H$53&lt;=EDATE($F15,$G15)),G32*$I15,0)</x:f>
        <x:v>0</x:v>
      </x:c>
      <x:c r="I64" s="29" t="n">
        <x:f>IF(AND(I$53&gt;$F15,I$53&lt;=EDATE($F15,$G15)),H32*$I15,0)</x:f>
        <x:v>0</x:v>
      </x:c>
      <x:c r="J64" s="29" t="n">
        <x:f>IF(AND(J$53&gt;$F15,J$53&lt;=EDATE($F15,$G15)),I32*$I15,0)</x:f>
        <x:v>0</x:v>
      </x:c>
      <x:c r="K64" s="29" t="n">
        <x:f>IF(AND(K$53&gt;$F15,K$53&lt;=EDATE($F15,$G15)),J32*$I15,0)</x:f>
        <x:v>0</x:v>
      </x:c>
      <x:c r="L64" s="29" t="n">
        <x:f>IF(AND(L$53&gt;$F15,L$53&lt;=EDATE($F15,$G15)),K32*$I15,0)</x:f>
        <x:v>0</x:v>
      </x:c>
      <x:c r="M64" s="29" t="n">
        <x:f>IF(AND(M$53&gt;$F15,M$53&lt;=EDATE($F15,$G15)),L32*$I15,0)</x:f>
        <x:v>0</x:v>
      </x:c>
      <x:c r="N64" s="29" t="n">
        <x:f>IF(AND(N$53&gt;$F15,N$53&lt;=EDATE($F15,$G15)),M32*$I15,0)</x:f>
        <x:v>400000</x:v>
      </x:c>
      <x:c r="O64" s="29" t="n">
        <x:f>IF(AND(O$53&gt;$F15,O$53&lt;=EDATE($F15,$G15)),N32*$I15,0)</x:f>
        <x:v>390230.7992772733</x:v>
      </x:c>
      <x:c r="P64" s="29" t="n">
        <x:f>IF(AND(P$53&gt;$F15,P$53&lt;=EDATE($F15,$G15)),O32*$I15,0)</x:f>
        <x:v>380396.4705497284</x:v>
      </x:c>
      <x:c r="Q64" s="29" t="n">
        <x:f>IF(AND(Q$53&gt;$F15,Q$53&lt;=EDATE($F15,$G15)),P32*$I15,0)</x:f>
        <x:v>370496.57963066647</x:v>
      </x:c>
      <x:c r="R64" s="29" t="n">
        <x:f>IF(AND(R$53&gt;$F15,R$53&lt;=EDATE($F15,$G15)),Q32*$I15,0)</x:f>
        <x:v>360530.68943881086</x:v>
      </x:c>
      <x:c r="S64" s="29" t="n">
        <x:f>IF(AND(S$53&gt;$F15,S$53&lt;=EDATE($F15,$G15)),R32*$I15,0)</x:f>
        <x:v>350498.35997900955</x:v>
      </x:c>
      <x:c r="T64" s="29" t="n">
        <x:f>IF(AND(T$53&gt;$F15,T$53&lt;=EDATE($F15,$G15)),S32*$I15,0)</x:f>
        <x:v>340399.14832280955</x:v>
      </x:c>
      <x:c r="U64" s="29" t="n">
        <x:f>IF(AND(U$53&gt;$F15,U$53&lt;=EDATE($F15,$G15)),T32*$I15,0)</x:f>
        <x:v>330232.6085889016</x:v>
      </x:c>
      <x:c r="V64" s="29" t="n">
        <x:f>IF(AND(V$53&gt;$F15,V$53&lt;=EDATE($F15,$G15)),U32*$I15,0)</x:f>
        <x:v>319998.2919234342</x:v>
      </x:c>
      <x:c r="W64" s="29" t="n">
        <x:f>IF(AND(W$53&gt;$F15,W$53&lt;=EDATE($F15,$G15)),V32*$I15,0)</x:f>
        <x:v>309695.746480197</x:v>
      </x:c>
      <x:c r="X64" s="29" t="n">
        <x:f>IF(AND(X$53&gt;$F15,X$53&lt;=EDATE($F15,$G15)),W32*$I15,0)</x:f>
        <x:v>299324.5174006716</x:v>
      </x:c>
      <x:c r="Y64" s="29" t="n">
        <x:f>IF(AND(Y$53&gt;$F15,Y$53&lt;=EDATE($F15,$G15)),X32*$I15,0)</x:f>
        <x:v>288884.14679394936</x:v>
      </x:c>
      <x:c r="Z64" s="29" t="n">
        <x:f>IF(AND(Z$53&gt;$F15,Z$53&lt;=EDATE($F15,$G15)),Y32*$I15,0)</x:f>
        <x:v>278374.1737165156</x:v>
      </x:c>
      <x:c r="AA64" s="29" t="n">
        <x:f>IF(AND(AA$53&gt;$F15,AA$53&lt;=EDATE($F15,$G15)),Z32*$I15,0)</x:f>
        <x:v>267794.13415189896</x:v>
      </x:c>
      <x:c r="AB64" s="29" t="n">
        <x:f>IF(AND(AB$53&gt;$F15,AB$53&lt;=EDATE($F15,$G15)),AA32*$I15,0)</x:f>
        <x:v>257143.56099018492</x:v>
      </x:c>
      <x:c r="AC64" s="29" t="n">
        <x:f>IF(AND(AC$53&gt;$F15,AC$53&lt;=EDATE($F15,$G15)),AB32*$I15,0)</x:f>
        <x:v>246421.98400739275</x:v>
      </x:c>
      <x:c r="AD64" s="29" t="n">
        <x:f>IF(AND(AD$53&gt;$F15,AD$53&lt;=EDATE($F15,$G15)),AC32*$I15,0)</x:f>
        <x:v>235628.9298447153</x:v>
      </x:c>
      <x:c r="AE64" s="29" t="n">
        <x:f>IF(AND(AE$53&gt;$F15,AE$53&lt;=EDATE($F15,$G15)),AD32*$I15,0)</x:f>
        <x:v>224763.92198762</x:v>
      </x:c>
      <x:c r="AF64" s="29" t="n">
        <x:f>IF(AND(AF$53&gt;$F15,AF$53&lt;=EDATE($F15,$G15)),AE32*$I15,0)</x:f>
        <x:v>213826.48074481075</x:v>
      </x:c>
      <x:c r="AG64" s="29" t="n">
        <x:f>IF(AND(AG$53&gt;$F15,AG$53&lt;=EDATE($F15,$G15)),AF32*$I15,0)</x:f>
        <x:v>202816.12322704942</x:v>
      </x:c>
      <x:c r="AH64" s="29" t="n">
        <x:f>IF(AND(AH$53&gt;$F15,AH$53&lt;=EDATE($F15,$G15)),AG32*$I15,0)</x:f>
        <x:v>191732.36332583634</x:v>
      </x:c>
      <x:c r="AI64" s="29" t="n">
        <x:f>IF(AND(AI$53&gt;$F15,AI$53&lt;=EDATE($F15,$G15)),AH32*$I15,0)</x:f>
        <x:v>180574.71169194853</x:v>
      </x:c>
      <x:c r="AJ64" s="29" t="n">
        <x:f>IF(AND(AJ$53&gt;$F15,AJ$53&lt;=EDATE($F15,$G15)),AI32*$I15,0)</x:f>
        <x:v>169342.6757138348</x:v>
      </x:c>
      <x:c r="AK64" s="29" t="n">
        <x:f>IF(AND(AK$53&gt;$F15,AK$53&lt;=EDATE($F15,$G15)),AJ32*$I15,0)</x:f>
        <x:v>158035.75949586695</x:v>
      </x:c>
      <x:c r="AL64" s="101" t="n">
        <x:f>IF(AND(AL$53&gt;$F15,AL$53&lt;=EDATE($F15,$G15)),AK32*$I15,0)</x:f>
        <x:v>146653.46383644603</x:v>
      </x:c>
      <x:c r="AM64" s="101" t="n">
        <x:f>IF(AND(AM$53&gt;$F15,AM$53&lt;=EDATE($F15,$G15)),AL32*$I15,0)</x:f>
        <x:v>135195.28620596227</x:v>
      </x:c>
      <x:c r="AN64" s="101" t="n">
        <x:f>IF(AND(AN$53&gt;$F15,AN$53&lt;=EDATE($F15,$G15)),AM32*$I15,0)</x:f>
        <x:v>123660.7207246086</x:v>
      </x:c>
      <x:c r="AO64" s="101" t="n">
        <x:f>IF(AND(AO$53&gt;$F15,AO$53&lt;=EDATE($F15,$G15)),AN32*$I15,0)</x:f>
        <x:v>112049.25814004593</x:v>
      </x:c>
      <x:c r="AP64" s="101" t="n">
        <x:f>IF(AND(AP$53&gt;$F15,AP$53&lt;=EDATE($F15,$G15)),AO32*$I15,0)</x:f>
        <x:v>100360.38580491951</x:v>
      </x:c>
      <x:c r="AQ64" s="101" t="n">
        <x:f>IF(AND(AQ$53&gt;$F15,AQ$53&lt;=EDATE($F15,$G15)),AP32*$I15,0)</x:f>
        <x:v>88593.58765422557</x:v>
      </x:c>
      <x:c r="AR64" s="101" t="n">
        <x:f>IF(AND(AR$53&gt;$F15,AR$53&lt;=EDATE($F15,$G15)),AQ32*$I15,0)</x:f>
        <x:v>76748.34418252701</x:v>
      </x:c>
      <x:c r="AS64" s="101" t="n">
        <x:f>IF(AND(AS$53&gt;$F15,AS$53&lt;=EDATE($F15,$G15)),AR32*$I15,0)</x:f>
        <x:v>64824.13242101712</x:v>
      </x:c>
      <x:c r="AT64" s="101" t="n">
        <x:f>IF(AND(AT$53&gt;$F15,AT$53&lt;=EDATE($F15,$G15)),AS32*$I15,0)</x:f>
        <x:v>52820.4259144305</x:v>
      </x:c>
      <x:c r="AU64" s="101" t="n">
        <x:f>IF(AND(AU$53&gt;$F15,AU$53&lt;=EDATE($F15,$G15)),AT32*$I15,0)</x:f>
        <x:v>40736.694697799976</x:v>
      </x:c>
      <x:c r="AV64" s="101" t="n">
        <x:f>IF(AND(AV$53&gt;$F15,AV$53&lt;=EDATE($F15,$G15)),AU32*$I15,0)</x:f>
        <x:v>28572.40527305858</x:v>
      </x:c>
      <x:c r="AW64" s="101" t="n">
        <x:f>IF(AND(AW$53&gt;$F15,AW$53&lt;=EDATE($F15,$G15)),AV32*$I15,0)</x:f>
        <x:v>16327.020585485574</x:v>
      </x:c>
      <x:c r="AX64" s="101" t="n">
        <x:f>IF(AND(AX$53&gt;$F15,AX$53&lt;=EDATE($F15,$G15)),AW32*$I15,0)</x:f>
        <x:v>0</x:v>
      </x:c>
      <x:c r="AY64" s="101" t="n">
        <x:f>IF(AND(AY$53&gt;$F15,AY$53&lt;=EDATE($F15,$G15)),AX32*$I15,0)</x:f>
        <x:v>0</x:v>
      </x:c>
      <x:c r="AZ64" s="101" t="n">
        <x:f>IF(AND(AZ$53&gt;$F15,AZ$53&lt;=EDATE($F15,$G15)),AY32*$I15,0)</x:f>
        <x:v>0</x:v>
      </x:c>
      <x:c r="BA64" s="101" t="n">
        <x:f>IF(AND(BA$53&gt;$F15,BA$53&lt;=EDATE($F15,$G15)),AZ32*$I15,0)</x:f>
        <x:v>0</x:v>
      </x:c>
      <x:c r="BB64" s="101" t="n">
        <x:f>IF(AND(BB$53&gt;$F15,BB$53&lt;=EDATE($F15,$G15)),BA32*$I15,0)</x:f>
        <x:v>0</x:v>
      </x:c>
      <x:c r="BC64" s="101" t="n">
        <x:f>IF(AND(BC$53&gt;$F15,BC$53&lt;=EDATE($F15,$G15)),BB32*$I15,0)</x:f>
        <x:v>0</x:v>
      </x:c>
      <x:c r="BD64" s="101" t="n">
        <x:f>IF(AND(BD$53&gt;$F15,BD$53&lt;=EDATE($F15,$G15)),BC32*$I15,0)</x:f>
        <x:v>0</x:v>
      </x:c>
      <x:c r="BE64" s="101" t="n">
        <x:f>IF(AND(BE$53&gt;$F15,BE$53&lt;=EDATE($F15,$G15)),BD32*$I15,0)</x:f>
        <x:v>0</x:v>
      </x:c>
      <x:c r="BF64" s="101" t="n">
        <x:f>IF(AND(BF$53&gt;$F15,BF$53&lt;=EDATE($F15,$G15)),BE32*$I15,0)</x:f>
        <x:v>0</x:v>
      </x:c>
      <x:c r="BG64" s="101" t="n">
        <x:f>IF(AND(BG$53&gt;$F15,BG$53&lt;=EDATE($F15,$G15)),BF32*$I15,0)</x:f>
        <x:v>0</x:v>
      </x:c>
      <x:c r="BH64" s="101" t="n">
        <x:f>IF(AND(BH$53&gt;$F15,BH$53&lt;=EDATE($F15,$G15)),BG32*$I15,0)</x:f>
        <x:v>0</x:v>
      </x:c>
      <x:c r="BI64" s="101" t="n">
        <x:f>IF(AND(BI$53&gt;$F15,BI$53&lt;=EDATE($F15,$G15)),BH32*$I15,0)</x:f>
        <x:v>0</x:v>
      </x:c>
    </x:row>
    <x:row r="65">
      <x:c r="A65" t="str">
        <x:f>A16</x:f>
        <x:v>批次12</x:v>
      </x:c>
      <x:c r="B65" s="29" t="n">
        <x:f>IF(AND(B$53&gt;$F16,B$53&lt;=EDATE($F16,$G16)),$E16*$I16,0)</x:f>
        <x:v>0</x:v>
      </x:c>
      <x:c r="C65" s="29" t="n">
        <x:f>IF(AND(C$53&gt;$F16,C$53&lt;=EDATE($F16,$G16)),B33*$I16,0)</x:f>
        <x:v>0</x:v>
      </x:c>
      <x:c r="D65" s="29" t="n">
        <x:f>IF(AND(D$53&gt;$F16,D$53&lt;=EDATE($F16,$G16)),C33*$I16,0)</x:f>
        <x:v>0</x:v>
      </x:c>
      <x:c r="E65" s="29" t="n">
        <x:f>IF(AND(E$53&gt;$F16,E$53&lt;=EDATE($F16,$G16)),D33*$I16,0)</x:f>
        <x:v>0</x:v>
      </x:c>
      <x:c r="F65" s="29" t="n">
        <x:f>IF(AND(F$53&gt;$F16,F$53&lt;=EDATE($F16,$G16)),E33*$I16,0)</x:f>
        <x:v>0</x:v>
      </x:c>
      <x:c r="G65" s="29" t="n">
        <x:f>IF(AND(G$53&gt;$F16,G$53&lt;=EDATE($F16,$G16)),F33*$I16,0)</x:f>
        <x:v>0</x:v>
      </x:c>
      <x:c r="H65" s="29" t="n">
        <x:f>IF(AND(H$53&gt;$F16,H$53&lt;=EDATE($F16,$G16)),G33*$I16,0)</x:f>
        <x:v>0</x:v>
      </x:c>
      <x:c r="I65" s="29" t="n">
        <x:f>IF(AND(I$53&gt;$F16,I$53&lt;=EDATE($F16,$G16)),H33*$I16,0)</x:f>
        <x:v>0</x:v>
      </x:c>
      <x:c r="J65" s="29" t="n">
        <x:f>IF(AND(J$53&gt;$F16,J$53&lt;=EDATE($F16,$G16)),I33*$I16,0)</x:f>
        <x:v>0</x:v>
      </x:c>
      <x:c r="K65" s="29" t="n">
        <x:f>IF(AND(K$53&gt;$F16,K$53&lt;=EDATE($F16,$G16)),J33*$I16,0)</x:f>
        <x:v>0</x:v>
      </x:c>
      <x:c r="L65" s="29" t="n">
        <x:f>IF(AND(L$53&gt;$F16,L$53&lt;=EDATE($F16,$G16)),K33*$I16,0)</x:f>
        <x:v>0</x:v>
      </x:c>
      <x:c r="M65" s="29" t="n">
        <x:f>IF(AND(M$53&gt;$F16,M$53&lt;=EDATE($F16,$G16)),L33*$I16,0)</x:f>
        <x:v>0</x:v>
      </x:c>
      <x:c r="N65" s="29" t="n">
        <x:f>IF(AND(N$53&gt;$F16,N$53&lt;=EDATE($F16,$G16)),M33*$I16,0)</x:f>
        <x:v>0</x:v>
      </x:c>
      <x:c r="O65" s="29" t="n">
        <x:f>IF(AND(O$53&gt;$F16,O$53&lt;=EDATE($F16,$G16)),N33*$I16,0)</x:f>
        <x:v>300000</x:v>
      </x:c>
      <x:c r="P65" s="29" t="n">
        <x:f>IF(AND(P$53&gt;$F16,P$53&lt;=EDATE($F16,$G16)),O33*$I16,0)</x:f>
        <x:v>292673.099457955</x:v>
      </x:c>
      <x:c r="Q65" s="29" t="n">
        <x:f>IF(AND(Q$53&gt;$F16,Q$53&lt;=EDATE($F16,$G16)),P33*$I16,0)</x:f>
        <x:v>285297.3529122963</x:v>
      </x:c>
      <x:c r="R65" s="29" t="n">
        <x:f>IF(AND(R$53&gt;$F16,R$53&lt;=EDATE($F16,$G16)),Q33*$I16,0)</x:f>
        <x:v>277872.4347229999</x:v>
      </x:c>
      <x:c r="S65" s="29" t="n">
        <x:f>IF(AND(S$53&gt;$F16,S$53&lt;=EDATE($F16,$G16)),R33*$I16,0)</x:f>
        <x:v>270398.01707910816</x:v>
      </x:c>
      <x:c r="T65" s="29" t="n">
        <x:f>IF(AND(T$53&gt;$F16,T$53&lt;=EDATE($F16,$G16)),S33*$I16,0)</x:f>
        <x:v>262873.7699842572</x:v>
      </x:c>
      <x:c r="U65" s="29" t="n">
        <x:f>IF(AND(U$53&gt;$F16,U$53&lt;=EDATE($F16,$G16)),T33*$I16,0)</x:f>
        <x:v>255299.36124210717</x:v>
      </x:c>
      <x:c r="V65" s="29" t="n">
        <x:f>IF(AND(V$53&gt;$F16,V$53&lt;=EDATE($F16,$G16)),U33*$I16,0)</x:f>
        <x:v>247674.4564416762</x:v>
      </x:c>
      <x:c r="W65" s="29" t="n">
        <x:f>IF(AND(W$53&gt;$F16,W$53&lt;=EDATE($F16,$G16)),V33*$I16,0)</x:f>
        <x:v>239998.71894257568</x:v>
      </x:c>
      <x:c r="X65" s="29" t="n">
        <x:f>IF(AND(X$53&gt;$F16,X$53&lt;=EDATE($F16,$G16)),W33*$I16,0)</x:f>
        <x:v>232271.8098601478</x:v>
      </x:c>
      <x:c r="Y65" s="29" t="n">
        <x:f>IF(AND(Y$53&gt;$F16,Y$53&lt;=EDATE($F16,$G16)),X33*$I16,0)</x:f>
        <x:v>224493.38805050374</x:v>
      </x:c>
      <x:c r="Z65" s="29" t="n">
        <x:f>IF(AND(Z$53&gt;$F16,Z$53&lt;=EDATE($F16,$G16)),Y33*$I16,0)</x:f>
        <x:v>216663.11009546206</x:v>
      </x:c>
      <x:c r="AA65" s="29" t="n">
        <x:f>IF(AND(AA$53&gt;$F16,AA$53&lt;=EDATE($F16,$G16)),Z33*$I16,0)</x:f>
        <x:v>208780.63028738677</x:v>
      </x:c>
      <x:c r="AB65" s="29" t="n">
        <x:f>IF(AND(AB$53&gt;$F16,AB$53&lt;=EDATE($F16,$G16)),AA33*$I16,0)</x:f>
        <x:v>200845.6006139243</x:v>
      </x:c>
      <x:c r="AC65" s="29" t="n">
        <x:f>IF(AND(AC$53&gt;$F16,AC$53&lt;=EDATE($F16,$G16)),AB33*$I16,0)</x:f>
        <x:v>192857.67074263876</x:v>
      </x:c>
      <x:c r="AD65" s="29" t="n">
        <x:f>IF(AND(AD$53&gt;$F16,AD$53&lt;=EDATE($F16,$G16)),AC33*$I16,0)</x:f>
        <x:v>184816.48800554464</x:v>
      </x:c>
      <x:c r="AE65" s="29" t="n">
        <x:f>IF(AND(AE$53&gt;$F16,AE$53&lt;=EDATE($F16,$G16)),AD33*$I16,0)</x:f>
        <x:v>176721.69738353655</x:v>
      </x:c>
      <x:c r="AF65" s="29" t="n">
        <x:f>IF(AND(AF$53&gt;$F16,AF$53&lt;=EDATE($F16,$G16)),AE33*$I16,0)</x:f>
        <x:v>168572.94149071508</x:v>
      </x:c>
      <x:c r="AG65" s="29" t="n">
        <x:f>IF(AND(AG$53&gt;$F16,AG$53&lt;=EDATE($F16,$G16)),AF33*$I16,0)</x:f>
        <x:v>160369.86055860814</x:v>
      </x:c>
      <x:c r="AH65" s="29" t="n">
        <x:f>IF(AND(AH$53&gt;$F16,AH$53&lt;=EDATE($F16,$G16)),AG33*$I16,0)</x:f>
        <x:v>152112.09242028714</x:v>
      </x:c>
      <x:c r="AI65" s="29" t="n">
        <x:f>IF(AND(AI$53&gt;$F16,AI$53&lt;=EDATE($F16,$G16)),AH33*$I16,0)</x:f>
        <x:v>143799.27249437736</x:v>
      </x:c>
      <x:c r="AJ65" s="29" t="n">
        <x:f>IF(AND(AJ$53&gt;$F16,AJ$53&lt;=EDATE($F16,$G16)),AI33*$I16,0)</x:f>
        <x:v>135431.0337689615</x:v>
      </x:c>
      <x:c r="AK65" s="29" t="n">
        <x:f>IF(AND(AK$53&gt;$F16,AK$53&lt;=EDATE($F16,$G16)),AJ33*$I16,0)</x:f>
        <x:v>127007.00678537619</x:v>
      </x:c>
      <x:c r="AL65" s="101" t="n">
        <x:f>IF(AND(AL$53&gt;$F16,AL$53&lt;=EDATE($F16,$G16)),AK33*$I16,0)</x:f>
        <x:v>118526.8196219003</x:v>
      </x:c>
      <x:c r="AM65" s="101" t="n">
        <x:f>IF(AND(AM$53&gt;$F16,AM$53&lt;=EDATE($F16,$G16)),AL33*$I16,0)</x:f>
        <x:v>109990.09787733459</x:v>
      </x:c>
      <x:c r="AN65" s="101" t="n">
        <x:f>IF(AND(AN$53&gt;$F16,AN$53&lt;=EDATE($F16,$G16)),AM33*$I16,0)</x:f>
        <x:v>101396.46465447177</x:v>
      </x:c>
      <x:c r="AO65" s="101" t="n">
        <x:f>IF(AND(AO$53&gt;$F16,AO$53&lt;=EDATE($F16,$G16)),AN33*$I16,0)</x:f>
        <x:v>92745.54054345653</x:v>
      </x:c>
      <x:c r="AP65" s="101" t="n">
        <x:f>IF(AND(AP$53&gt;$F16,AP$53&lt;=EDATE($F16,$G16)),AO33*$I16,0)</x:f>
        <x:v>84036.94360503452</x:v>
      </x:c>
      <x:c r="AQ65" s="101" t="n">
        <x:f>IF(AND(AQ$53&gt;$F16,AQ$53&lt;=EDATE($F16,$G16)),AP33*$I16,0)</x:f>
        <x:v>75270.28935368972</x:v>
      </x:c>
      <x:c r="AR65" s="101" t="n">
        <x:f>IF(AND(AR$53&gt;$F16,AR$53&lt;=EDATE($F16,$G16)),AQ33*$I16,0)</x:f>
        <x:v>66445.19074066928</x:v>
      </x:c>
      <x:c r="AS65" s="101" t="n">
        <x:f>IF(AND(AS$53&gt;$F16,AS$53&lt;=EDATE($F16,$G16)),AR33*$I16,0)</x:f>
        <x:v>57561.258136895354</x:v>
      </x:c>
      <x:c r="AT65" s="101" t="n">
        <x:f>IF(AND(AT$53&gt;$F16,AT$53&lt;=EDATE($F16,$G16)),AS33*$I16,0)</x:f>
        <x:v>48618.09931576294</x:v>
      </x:c>
      <x:c r="AU65" s="101" t="n">
        <x:f>IF(AND(AU$53&gt;$F16,AU$53&lt;=EDATE($F16,$G16)),AT33*$I16,0)</x:f>
        <x:v>39615.31943582298</x:v>
      </x:c>
      <x:c r="AV65" s="101" t="n">
        <x:f>IF(AND(AV$53&gt;$F16,AV$53&lt;=EDATE($F16,$G16)),AU33*$I16,0)</x:f>
        <x:v>30552.521023350087</x:v>
      </x:c>
      <x:c r="AW65" s="101" t="n">
        <x:f>IF(AND(AW$53&gt;$F16,AW$53&lt;=EDATE($F16,$G16)),AV33*$I16,0)</x:f>
        <x:v>21429.303954794043</x:v>
      </x:c>
      <x:c r="AX65" s="101" t="n">
        <x:f>IF(AND(AX$53&gt;$F16,AX$53&lt;=EDATE($F16,$G16)),AW33*$I16,0)</x:f>
        <x:v>12245.26543911429</x:v>
      </x:c>
      <x:c r="AY65" s="101" t="n">
        <x:f>IF(AND(AY$53&gt;$F16,AY$53&lt;=EDATE($F16,$G16)),AX33*$I16,0)</x:f>
        <x:v>0</x:v>
      </x:c>
      <x:c r="AZ65" s="101" t="n">
        <x:f>IF(AND(AZ$53&gt;$F16,AZ$53&lt;=EDATE($F16,$G16)),AY33*$I16,0)</x:f>
        <x:v>0</x:v>
      </x:c>
      <x:c r="BA65" s="101" t="n">
        <x:f>IF(AND(BA$53&gt;$F16,BA$53&lt;=EDATE($F16,$G16)),AZ33*$I16,0)</x:f>
        <x:v>0</x:v>
      </x:c>
      <x:c r="BB65" s="101" t="n">
        <x:f>IF(AND(BB$53&gt;$F16,BB$53&lt;=EDATE($F16,$G16)),BA33*$I16,0)</x:f>
        <x:v>0</x:v>
      </x:c>
      <x:c r="BC65" s="101" t="n">
        <x:f>IF(AND(BC$53&gt;$F16,BC$53&lt;=EDATE($F16,$G16)),BB33*$I16,0)</x:f>
        <x:v>0</x:v>
      </x:c>
      <x:c r="BD65" s="101" t="n">
        <x:f>IF(AND(BD$53&gt;$F16,BD$53&lt;=EDATE($F16,$G16)),BC33*$I16,0)</x:f>
        <x:v>0</x:v>
      </x:c>
      <x:c r="BE65" s="101" t="n">
        <x:f>IF(AND(BE$53&gt;$F16,BE$53&lt;=EDATE($F16,$G16)),BD33*$I16,0)</x:f>
        <x:v>0</x:v>
      </x:c>
      <x:c r="BF65" s="101" t="n">
        <x:f>IF(AND(BF$53&gt;$F16,BF$53&lt;=EDATE($F16,$G16)),BE33*$I16,0)</x:f>
        <x:v>0</x:v>
      </x:c>
      <x:c r="BG65" s="101" t="n">
        <x:f>IF(AND(BG$53&gt;$F16,BG$53&lt;=EDATE($F16,$G16)),BF33*$I16,0)</x:f>
        <x:v>0</x:v>
      </x:c>
      <x:c r="BH65" s="101" t="n">
        <x:f>IF(AND(BH$53&gt;$F16,BH$53&lt;=EDATE($F16,$G16)),BG33*$I16,0)</x:f>
        <x:v>0</x:v>
      </x:c>
      <x:c r="BI65" s="101" t="n">
        <x:f>IF(AND(BI$53&gt;$F16,BI$53&lt;=EDATE($F16,$G16)),BH33*$I16,0)</x:f>
        <x:v>0</x:v>
      </x:c>
    </x:row>
    <x:row r="66"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  <x:c r="AA66" s="29"/>
      <x:c r="AB66" s="29"/>
      <x:c r="AC66" s="29"/>
      <x:c r="AD66" s="29"/>
      <x:c r="AE66" s="29"/>
      <x:c r="AF66" s="29"/>
      <x:c r="AG66" s="29"/>
      <x:c r="AH66" s="29"/>
      <x:c r="AI66" s="29"/>
      <x:c r="AJ66" s="29"/>
      <x:c r="AK66" s="29"/>
      <x:c r="AL66" s="101"/>
      <x:c r="AM66" s="101"/>
      <x:c r="AN66" s="101"/>
      <x:c r="AO66" s="101"/>
      <x:c r="AP66" s="101"/>
      <x:c r="AQ66" s="101"/>
      <x:c r="AR66" s="101"/>
      <x:c r="AS66" s="101"/>
      <x:c r="AT66" s="101"/>
      <x:c r="AU66" s="101"/>
      <x:c r="AV66" s="101"/>
      <x:c r="AW66" s="101"/>
      <x:c r="AX66" s="101"/>
      <x:c r="AY66" s="101"/>
      <x:c r="AZ66" s="101"/>
      <x:c r="BA66" s="101"/>
      <x:c r="BB66" s="101"/>
      <x:c r="BC66" s="101"/>
      <x:c r="BD66" s="101"/>
      <x:c r="BE66" s="101"/>
      <x:c r="BF66" s="101"/>
      <x:c r="BG66" s="101"/>
      <x:c r="BH66" s="101"/>
      <x:c r="BI66" s="101"/>
    </x:row>
    <x:row r="67">
      <x:c r="A67" s="13" t="str">
        <x:v>本金偿还</x:v>
      </x:c>
      <x:c r="B67" s="97" t="str">
        <x:v>本金偿还</x:v>
      </x:c>
      <x:c r="C67" s="97" t="str">
        <x:v>本金偿还</x:v>
      </x:c>
      <x:c r="D67" s="97" t="str">
        <x:v>本金偿还</x:v>
      </x:c>
      <x:c r="E67" s="97" t="str">
        <x:v>本金偿还</x:v>
      </x:c>
      <x:c r="F67" s="97" t="str">
        <x:v>本金偿还</x:v>
      </x:c>
      <x:c r="G67" s="97" t="str">
        <x:v>本金偿还</x:v>
      </x:c>
      <x:c r="H67" s="97" t="str">
        <x:v>本金偿还</x:v>
      </x:c>
      <x:c r="I67" s="97" t="str">
        <x:v>本金偿还</x:v>
      </x:c>
      <x:c r="J67" s="97" t="str">
        <x:v>本金偿还</x:v>
      </x:c>
      <x:c r="K67" s="97" t="str">
        <x:v>本金偿还</x:v>
      </x:c>
      <x:c r="L67" s="97" t="str">
        <x:v>本金偿还</x:v>
      </x:c>
      <x:c r="M67" s="97" t="str">
        <x:v>本金偿还</x:v>
      </x:c>
      <x:c r="N67" s="97" t="str">
        <x:v>本金偿还</x:v>
      </x:c>
      <x:c r="O67" s="97" t="str">
        <x:v>本金偿还</x:v>
      </x:c>
      <x:c r="P67" s="97" t="str">
        <x:v>本金偿还</x:v>
      </x:c>
      <x:c r="Q67" s="97" t="str">
        <x:v>本金偿还</x:v>
      </x:c>
      <x:c r="R67" s="97" t="str">
        <x:v>本金偿还</x:v>
      </x:c>
      <x:c r="S67" s="97" t="str">
        <x:v>本金偿还</x:v>
      </x:c>
      <x:c r="T67" s="97" t="str">
        <x:v>本金偿还</x:v>
      </x:c>
      <x:c r="U67" s="97" t="str">
        <x:v>本金偿还</x:v>
      </x:c>
      <x:c r="V67" s="97" t="str">
        <x:v>本金偿还</x:v>
      </x:c>
      <x:c r="W67" s="97" t="str">
        <x:v>本金偿还</x:v>
      </x:c>
      <x:c r="X67" s="97" t="str">
        <x:v>本金偿还</x:v>
      </x:c>
      <x:c r="Y67" s="97" t="str">
        <x:v>本金偿还</x:v>
      </x:c>
      <x:c r="Z67" s="97" t="str">
        <x:v>本金偿还</x:v>
      </x:c>
      <x:c r="AA67" s="97" t="str">
        <x:v>本金偿还</x:v>
      </x:c>
      <x:c r="AB67" s="97" t="str">
        <x:v>本金偿还</x:v>
      </x:c>
      <x:c r="AC67" s="97" t="str">
        <x:v>本金偿还</x:v>
      </x:c>
      <x:c r="AD67" s="97" t="str">
        <x:v>本金偿还</x:v>
      </x:c>
      <x:c r="AE67" s="97" t="str">
        <x:v>本金偿还</x:v>
      </x:c>
      <x:c r="AF67" s="97" t="str">
        <x:v>本金偿还</x:v>
      </x:c>
      <x:c r="AG67" s="97" t="str">
        <x:v>本金偿还</x:v>
      </x:c>
      <x:c r="AH67" s="97" t="str">
        <x:v>本金偿还</x:v>
      </x:c>
      <x:c r="AI67" s="97" t="str">
        <x:v>本金偿还</x:v>
      </x:c>
      <x:c r="AJ67" s="97" t="str">
        <x:v>本金偿还</x:v>
      </x:c>
      <x:c r="AK67" s="97" t="str">
        <x:v>本金偿还</x:v>
      </x:c>
      <x:c r="AL67" s="102" t="str">
        <x:v>本金偿还</x:v>
      </x:c>
      <x:c r="AM67" s="102" t="str">
        <x:v>本金偿还</x:v>
      </x:c>
      <x:c r="AN67" s="102" t="str">
        <x:v>本金偿还</x:v>
      </x:c>
      <x:c r="AO67" s="102" t="str">
        <x:v>本金偿还</x:v>
      </x:c>
      <x:c r="AP67" s="102" t="str">
        <x:v>本金偿还</x:v>
      </x:c>
      <x:c r="AQ67" s="102" t="str">
        <x:v>本金偿还</x:v>
      </x:c>
      <x:c r="AR67" s="102" t="str">
        <x:v>本金偿还</x:v>
      </x:c>
      <x:c r="AS67" s="102" t="str">
        <x:v>本金偿还</x:v>
      </x:c>
      <x:c r="AT67" s="102" t="str">
        <x:v>本金偿还</x:v>
      </x:c>
      <x:c r="AU67" s="102" t="str">
        <x:v>本金偿还</x:v>
      </x:c>
      <x:c r="AV67" s="102" t="str">
        <x:v>本金偿还</x:v>
      </x:c>
      <x:c r="AW67" s="102" t="str">
        <x:v>本金偿还</x:v>
      </x:c>
      <x:c r="AX67" s="102" t="str">
        <x:v>本金偿还</x:v>
      </x:c>
      <x:c r="AY67" s="102" t="str">
        <x:v>本金偿还</x:v>
      </x:c>
      <x:c r="AZ67" s="102" t="str">
        <x:v>本金偿还</x:v>
      </x:c>
      <x:c r="BA67" s="102" t="str">
        <x:v>本金偿还</x:v>
      </x:c>
      <x:c r="BB67" s="102" t="str">
        <x:v>本金偿还</x:v>
      </x:c>
      <x:c r="BC67" s="102" t="str">
        <x:v>本金偿还</x:v>
      </x:c>
      <x:c r="BD67" s="102" t="str">
        <x:v>本金偿还</x:v>
      </x:c>
      <x:c r="BE67" s="102" t="str">
        <x:v>本金偿还</x:v>
      </x:c>
      <x:c r="BF67" s="102" t="str">
        <x:v>本金偿还</x:v>
      </x:c>
      <x:c r="BG67" s="102" t="str">
        <x:v>本金偿还</x:v>
      </x:c>
      <x:c r="BH67" s="102" t="str">
        <x:v>本金偿还</x:v>
      </x:c>
      <x:c r="BI67" s="103" t="str">
        <x:v>本金偿还</x:v>
      </x:c>
    </x:row>
    <x:row r="68"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  <x:c r="AA68" s="29"/>
      <x:c r="AB68" s="29"/>
      <x:c r="AC68" s="29"/>
      <x:c r="AD68" s="29"/>
      <x:c r="AE68" s="29"/>
      <x:c r="AF68" s="29"/>
      <x:c r="AG68" s="29"/>
      <x:c r="AH68" s="29"/>
      <x:c r="AI68" s="29"/>
      <x:c r="AJ68" s="29"/>
      <x:c r="AK68" s="29"/>
      <x:c r="AL68" s="101"/>
      <x:c r="AM68" s="101"/>
      <x:c r="AN68" s="101"/>
      <x:c r="AO68" s="101"/>
      <x:c r="AP68" s="101"/>
      <x:c r="AQ68" s="101"/>
      <x:c r="AR68" s="101"/>
      <x:c r="AS68" s="101"/>
      <x:c r="AT68" s="101"/>
      <x:c r="AU68" s="101"/>
      <x:c r="AV68" s="101"/>
      <x:c r="AW68" s="101"/>
      <x:c r="AX68" s="101"/>
      <x:c r="AY68" s="101"/>
      <x:c r="AZ68" s="101"/>
      <x:c r="BA68" s="101"/>
      <x:c r="BB68" s="101"/>
      <x:c r="BC68" s="101"/>
      <x:c r="BD68" s="101"/>
      <x:c r="BE68" s="101"/>
      <x:c r="BF68" s="101"/>
      <x:c r="BG68" s="101"/>
      <x:c r="BH68" s="101"/>
      <x:c r="BI68" s="101"/>
    </x:row>
    <x:row r="69">
      <x:c r="A69" t="str">
        <x:v>批次/月</x:v>
      </x:c>
      <x:c r="B69" s="29" t="n">
        <x:f>'36月运营模型'!B$5</x:f>
        <x:v>46266</x:v>
      </x:c>
      <x:c r="C69" s="29" t="n">
        <x:f>'36月运营模型'!C$5</x:f>
        <x:v>46296</x:v>
      </x:c>
      <x:c r="D69" s="29" t="n">
        <x:f>'36月运营模型'!D$5</x:f>
        <x:v>46327</x:v>
      </x:c>
      <x:c r="E69" s="29" t="n">
        <x:f>'36月运营模型'!E$5</x:f>
        <x:v>46357</x:v>
      </x:c>
      <x:c r="F69" s="29" t="n">
        <x:f>'36月运营模型'!F$5</x:f>
        <x:v>46388</x:v>
      </x:c>
      <x:c r="G69" s="29" t="n">
        <x:f>'36月运营模型'!G$5</x:f>
        <x:v>46419</x:v>
      </x:c>
      <x:c r="H69" s="29" t="n">
        <x:f>'36月运营模型'!H$5</x:f>
        <x:v>46447</x:v>
      </x:c>
      <x:c r="I69" s="29" t="n">
        <x:f>'36月运营模型'!I$5</x:f>
        <x:v>46478</x:v>
      </x:c>
      <x:c r="J69" s="29" t="n">
        <x:f>'36月运营模型'!J$5</x:f>
        <x:v>46508</x:v>
      </x:c>
      <x:c r="K69" s="29" t="n">
        <x:f>'36月运营模型'!K$5</x:f>
        <x:v>46539</x:v>
      </x:c>
      <x:c r="L69" s="29" t="n">
        <x:f>'36月运营模型'!L$5</x:f>
        <x:v>46569</x:v>
      </x:c>
      <x:c r="M69" s="29" t="n">
        <x:f>'36月运营模型'!M$5</x:f>
        <x:v>46600</x:v>
      </x:c>
      <x:c r="N69" s="29" t="n">
        <x:f>'36月运营模型'!N$5</x:f>
        <x:v>46631</x:v>
      </x:c>
      <x:c r="O69" s="29" t="n">
        <x:f>'36月运营模型'!O$5</x:f>
        <x:v>46661</x:v>
      </x:c>
      <x:c r="P69" s="29" t="n">
        <x:f>'36月运营模型'!P$5</x:f>
        <x:v>46692</x:v>
      </x:c>
      <x:c r="Q69" s="29" t="n">
        <x:f>'36月运营模型'!Q$5</x:f>
        <x:v>46722</x:v>
      </x:c>
      <x:c r="R69" s="29" t="n">
        <x:f>'36月运营模型'!R$5</x:f>
        <x:v>46753</x:v>
      </x:c>
      <x:c r="S69" s="29" t="n">
        <x:f>'36月运营模型'!S$5</x:f>
        <x:v>46784</x:v>
      </x:c>
      <x:c r="T69" s="29" t="n">
        <x:f>'36月运营模型'!T$5</x:f>
        <x:v>46813</x:v>
      </x:c>
      <x:c r="U69" s="29" t="n">
        <x:f>'36月运营模型'!U$5</x:f>
        <x:v>46844</x:v>
      </x:c>
      <x:c r="V69" s="29" t="n">
        <x:f>'36月运营模型'!V$5</x:f>
        <x:v>46874</x:v>
      </x:c>
      <x:c r="W69" s="29" t="n">
        <x:f>'36月运营模型'!W$5</x:f>
        <x:v>46905</x:v>
      </x:c>
      <x:c r="X69" s="29" t="n">
        <x:f>'36月运营模型'!X$5</x:f>
        <x:v>46935</x:v>
      </x:c>
      <x:c r="Y69" s="29" t="n">
        <x:f>'36月运营模型'!Y$5</x:f>
        <x:v>46966</x:v>
      </x:c>
      <x:c r="Z69" s="29" t="n">
        <x:f>'36月运营模型'!Z$5</x:f>
        <x:v>46997</x:v>
      </x:c>
      <x:c r="AA69" s="29" t="n">
        <x:f>'36月运营模型'!AA$5</x:f>
        <x:v>47027</x:v>
      </x:c>
      <x:c r="AB69" s="29" t="n">
        <x:f>'36月运营模型'!AB$5</x:f>
        <x:v>47058</x:v>
      </x:c>
      <x:c r="AC69" s="29" t="n">
        <x:f>'36月运营模型'!AC$5</x:f>
        <x:v>47088</x:v>
      </x:c>
      <x:c r="AD69" s="29" t="n">
        <x:f>'36月运营模型'!AD$5</x:f>
        <x:v>47119</x:v>
      </x:c>
      <x:c r="AE69" s="29" t="n">
        <x:f>'36月运营模型'!AE$5</x:f>
        <x:v>47150</x:v>
      </x:c>
      <x:c r="AF69" s="29" t="n">
        <x:f>'36月运营模型'!AF$5</x:f>
        <x:v>47178</x:v>
      </x:c>
      <x:c r="AG69" s="29" t="n">
        <x:f>'36月运营模型'!AG$5</x:f>
        <x:v>47209</x:v>
      </x:c>
      <x:c r="AH69" s="29" t="n">
        <x:f>'36月运营模型'!AH$5</x:f>
        <x:v>47239</x:v>
      </x:c>
      <x:c r="AI69" s="29" t="n">
        <x:f>'36月运营模型'!AI$5</x:f>
        <x:v>47270</x:v>
      </x:c>
      <x:c r="AJ69" s="29" t="n">
        <x:f>'36月运营模型'!AJ$5</x:f>
        <x:v>47300</x:v>
      </x:c>
      <x:c r="AK69" s="29" t="n">
        <x:f>'36月运营模型'!AK$5</x:f>
        <x:v>47331</x:v>
      </x:c>
      <x:c r="AL69" s="101" t="n">
        <x:f>'36月运营模型'!AL$5</x:f>
        <x:v>47362</x:v>
      </x:c>
      <x:c r="AM69" s="101" t="n">
        <x:f>'36月运营模型'!AM$5</x:f>
        <x:v>47392</x:v>
      </x:c>
      <x:c r="AN69" s="101" t="n">
        <x:f>'36月运营模型'!AN$5</x:f>
        <x:v>47423</x:v>
      </x:c>
      <x:c r="AO69" s="101" t="n">
        <x:f>'36月运营模型'!AO$5</x:f>
        <x:v>47453</x:v>
      </x:c>
      <x:c r="AP69" s="101" t="n">
        <x:f>'36月运营模型'!AP$5</x:f>
        <x:v>47484</x:v>
      </x:c>
      <x:c r="AQ69" s="101" t="n">
        <x:f>'36月运营模型'!AQ$5</x:f>
        <x:v>47515</x:v>
      </x:c>
      <x:c r="AR69" s="101" t="n">
        <x:f>'36月运营模型'!AR$5</x:f>
        <x:v>47543</x:v>
      </x:c>
      <x:c r="AS69" s="101" t="n">
        <x:f>'36月运营模型'!AS$5</x:f>
        <x:v>47574</x:v>
      </x:c>
      <x:c r="AT69" s="101" t="n">
        <x:f>'36月运营模型'!AT$5</x:f>
        <x:v>47604</x:v>
      </x:c>
      <x:c r="AU69" s="101" t="n">
        <x:f>'36月运营模型'!AU$5</x:f>
        <x:v>47635</x:v>
      </x:c>
      <x:c r="AV69" s="101" t="n">
        <x:f>'36月运营模型'!AV$5</x:f>
        <x:v>47665</x:v>
      </x:c>
      <x:c r="AW69" s="101" t="n">
        <x:f>'36月运营模型'!AW$5</x:f>
        <x:v>47696</x:v>
      </x:c>
      <x:c r="AX69" s="101" t="n">
        <x:f>'36月运营模型'!AX$5</x:f>
        <x:v>47727</x:v>
      </x:c>
      <x:c r="AY69" s="101" t="n">
        <x:f>'36月运营模型'!AY$5</x:f>
        <x:v>47757</x:v>
      </x:c>
      <x:c r="AZ69" s="101" t="n">
        <x:f>'36月运营模型'!AZ$5</x:f>
        <x:v>47788</x:v>
      </x:c>
      <x:c r="BA69" s="101" t="n">
        <x:f>'36月运营模型'!BA$5</x:f>
        <x:v>47818</x:v>
      </x:c>
      <x:c r="BB69" s="101" t="n">
        <x:f>'36月运营模型'!BB$5</x:f>
        <x:v>47849</x:v>
      </x:c>
      <x:c r="BC69" s="101" t="n">
        <x:f>'36月运营模型'!BC$5</x:f>
        <x:v>47880</x:v>
      </x:c>
      <x:c r="BD69" s="101" t="n">
        <x:f>'36月运营模型'!BD$5</x:f>
        <x:v>47908</x:v>
      </x:c>
      <x:c r="BE69" s="101" t="n">
        <x:f>'36月运营模型'!BE$5</x:f>
        <x:v>47939</x:v>
      </x:c>
      <x:c r="BF69" s="101" t="n">
        <x:f>'36月运营模型'!BF$5</x:f>
        <x:v>47969</x:v>
      </x:c>
      <x:c r="BG69" s="101" t="n">
        <x:f>'36月运营模型'!BG$5</x:f>
        <x:v>48000</x:v>
      </x:c>
      <x:c r="BH69" s="101" t="n">
        <x:f>'36月运营模型'!BH$5</x:f>
        <x:v>48030</x:v>
      </x:c>
      <x:c r="BI69" s="101" t="n">
        <x:f>'36月运营模型'!BI$5</x:f>
        <x:v>48061</x:v>
      </x:c>
    </x:row>
    <x:row r="70">
      <x:c r="A70" t="str">
        <x:f>A5</x:f>
        <x:v>批次01</x:v>
      </x:c>
      <x:c r="B70" s="29" t="n">
        <x:f>IF(AND(B$69&gt;$F5,B$69&lt;=EDATE($F5,$G5)),$K5-B54,0)</x:f>
        <x:v>0</x:v>
      </x:c>
      <x:c r="C70" s="29" t="n">
        <x:f>IF(AND(C$69&gt;$F5,C$69&lt;=EDATE($F5,$G5)),$K5-C54,0)</x:f>
        <x:v>0</x:v>
      </x:c>
      <x:c r="D70" s="29" t="n">
        <x:f>IF(AND(D$69&gt;$F5,D$69&lt;=EDATE($F5,$G5)),$K5-D54,0)</x:f>
        <x:v>561533.6575423323</x:v>
      </x:c>
      <x:c r="E70" s="29" t="n">
        <x:f>IF(AND(E$69&gt;$F5,E$69&lt;=EDATE($F5,$G5)),$K5-E54,0)</x:f>
        <x:v>565277.2152592812</x:v>
      </x:c>
      <x:c r="F70" s="29" t="n">
        <x:f>IF(AND(F$69&gt;$F5,F$69&lt;=EDATE($F5,$G5)),$K5-F54,0)</x:f>
        <x:v>569045.7300276763</x:v>
      </x:c>
      <x:c r="G70" s="29" t="n">
        <x:f>IF(AND(G$69&gt;$F5,G$69&lt;=EDATE($F5,$G5)),$K5-G54,0)</x:f>
        <x:v>572839.3682278609</x:v>
      </x:c>
      <x:c r="H70" s="29" t="n">
        <x:f>IF(AND(H$69&gt;$F5,H$69&lt;=EDATE($F5,$G5)),$K5-H54,0)</x:f>
        <x:v>576658.29734938</x:v>
      </x:c>
      <x:c r="I70" s="29" t="n">
        <x:f>IF(AND(I$69&gt;$F5,I$69&lt;=EDATE($F5,$G5)),$K5-I54,0)</x:f>
        <x:v>580502.6859983758</x:v>
      </x:c>
      <x:c r="J70" s="29" t="n">
        <x:f>IF(AND(J$69&gt;$F5,J$69&lt;=EDATE($F5,$G5)),$K5-J54,0)</x:f>
        <x:v>584372.7039050317</x:v>
      </x:c>
      <x:c r="K70" s="29" t="n">
        <x:f>IF(AND(K$69&gt;$F5,K$69&lt;=EDATE($F5,$G5)),$K5-K54,0)</x:f>
        <x:v>588268.5219310652</x:v>
      </x:c>
      <x:c r="L70" s="29" t="n">
        <x:f>IF(AND(L$69&gt;$F5,L$69&lt;=EDATE($F5,$G5)),$K5-L54,0)</x:f>
        <x:v>592190.3120772723</x:v>
      </x:c>
      <x:c r="M70" s="29" t="n">
        <x:f>IF(AND(M$69&gt;$F5,M$69&lt;=EDATE($F5,$G5)),$K5-M54,0)</x:f>
        <x:v>596138.2474911208</x:v>
      </x:c>
      <x:c r="N70" s="29" t="n">
        <x:f>IF(AND(N$69&gt;$F5,N$69&lt;=EDATE($F5,$G5)),$K5-N54,0)</x:f>
        <x:v>600112.502474395</x:v>
      </x:c>
      <x:c r="O70" s="29" t="n">
        <x:f>IF(AND(O$69&gt;$F5,O$69&lt;=EDATE($F5,$G5)),$K5-O54,0)</x:f>
        <x:v>604113.2524908909</x:v>
      </x:c>
      <x:c r="P70" s="29" t="n">
        <x:f>IF(AND(P$69&gt;$F5,P$69&lt;=EDATE($F5,$G5)),$K5-P54,0)</x:f>
        <x:v>608140.6741741635</x:v>
      </x:c>
      <x:c r="Q70" s="29" t="n">
        <x:f>IF(AND(Q$69&gt;$F5,Q$69&lt;=EDATE($F5,$G5)),$K5-Q54,0)</x:f>
        <x:v>612194.9453353246</x:v>
      </x:c>
      <x:c r="R70" s="29" t="n">
        <x:f>IF(AND(R$69&gt;$F5,R$69&lt;=EDATE($F5,$G5)),$K5-R54,0)</x:f>
        <x:v>616276.2449708935</x:v>
      </x:c>
      <x:c r="S70" s="29" t="n">
        <x:f>IF(AND(S$69&gt;$F5,S$69&lt;=EDATE($F5,$G5)),$K5-S54,0)</x:f>
        <x:v>620384.7532706994</x:v>
      </x:c>
      <x:c r="T70" s="29" t="n">
        <x:f>IF(AND(T$69&gt;$F5,T$69&lt;=EDATE($F5,$G5)),$K5-T54,0)</x:f>
        <x:v>624520.6516258374</x:v>
      </x:c>
      <x:c r="U70" s="29" t="n">
        <x:f>IF(AND(U$69&gt;$F5,U$69&lt;=EDATE($F5,$G5)),$K5-U54,0)</x:f>
        <x:v>628684.1226366763</x:v>
      </x:c>
      <x:c r="V70" s="29" t="n">
        <x:f>IF(AND(V$69&gt;$F5,V$69&lt;=EDATE($F5,$G5)),$K5-V54,0)</x:f>
        <x:v>632875.3501209208</x:v>
      </x:c>
      <x:c r="W70" s="29" t="n">
        <x:f>IF(AND(W$69&gt;$F5,W$69&lt;=EDATE($F5,$G5)),$K5-W54,0)</x:f>
        <x:v>637094.519121727</x:v>
      </x:c>
      <x:c r="X70" s="29" t="n">
        <x:f>IF(AND(X$69&gt;$F5,X$69&lt;=EDATE($F5,$G5)),$K5-X54,0)</x:f>
        <x:v>641341.8159158719</x:v>
      </x:c>
      <x:c r="Y70" s="29" t="n">
        <x:f>IF(AND(Y$69&gt;$F5,Y$69&lt;=EDATE($F5,$G5)),$K5-Y54,0)</x:f>
        <x:v>645617.4280219777</x:v>
      </x:c>
      <x:c r="Z70" s="29" t="n">
        <x:f>IF(AND(Z$69&gt;$F5,Z$69&lt;=EDATE($F5,$G5)),$K5-Z54,0)</x:f>
        <x:v>649921.5442087908</x:v>
      </x:c>
      <x:c r="AA70" s="29" t="n">
        <x:f>IF(AND(AA$69&gt;$F5,AA$69&lt;=EDATE($F5,$G5)),$K5-AA54,0)</x:f>
        <x:v>654254.3545035161</x:v>
      </x:c>
      <x:c r="AB70" s="29" t="n">
        <x:f>IF(AND(AB$69&gt;$F5,AB$69&lt;=EDATE($F5,$G5)),$K5-AB54,0)</x:f>
        <x:v>658616.0502002062</x:v>
      </x:c>
      <x:c r="AC70" s="29" t="n">
        <x:f>IF(AND(AC$69&gt;$F5,AC$69&lt;=EDATE($F5,$G5)),$K5-AC54,0)</x:f>
        <x:v>663006.8238682075</x:v>
      </x:c>
      <x:c r="AD70" s="29" t="n">
        <x:f>IF(AND(AD$69&gt;$F5,AD$69&lt;=EDATE($F5,$G5)),$K5-AD54,0)</x:f>
        <x:v>667426.8693606623</x:v>
      </x:c>
      <x:c r="AE70" s="29" t="n">
        <x:f>IF(AND(AE$69&gt;$F5,AE$69&lt;=EDATE($F5,$G5)),$K5-AE54,0)</x:f>
        <x:v>671876.3818230667</x:v>
      </x:c>
      <x:c r="AF70" s="29" t="n">
        <x:f>IF(AND(AF$69&gt;$F5,AF$69&lt;=EDATE($F5,$G5)),$K5-AF54,0)</x:f>
        <x:v>676355.5577018871</x:v>
      </x:c>
      <x:c r="AG70" s="29" t="n">
        <x:f>IF(AND(AG$69&gt;$F5,AG$69&lt;=EDATE($F5,$G5)),$K5-AG54,0)</x:f>
        <x:v>680864.594753233</x:v>
      </x:c>
      <x:c r="AH70" s="29" t="n">
        <x:f>IF(AND(AH$69&gt;$F5,AH$69&lt;=EDATE($F5,$G5)),$K5-AH54,0)</x:f>
        <x:v>685403.692051588</x:v>
      </x:c>
      <x:c r="AI70" s="29" t="n">
        <x:f>IF(AND(AI$69&gt;$F5,AI$69&lt;=EDATE($F5,$G5)),$K5-AI54,0)</x:f>
        <x:v>689973.0499985985</x:v>
      </x:c>
      <x:c r="AJ70" s="29" t="n">
        <x:f>IF(AND(AJ$69&gt;$F5,AJ$69&lt;=EDATE($F5,$G5)),$K5-AJ54,0)</x:f>
        <x:v>694572.8703319225</x:v>
      </x:c>
      <x:c r="AK70" s="29" t="n">
        <x:f>IF(AND(AK$69&gt;$F5,AK$69&lt;=EDATE($F5,$G5)),$K5-AK54,0)</x:f>
        <x:v>699203.3561341353</x:v>
      </x:c>
      <x:c r="AL70" s="101" t="n">
        <x:f>IF(AND(AL$69&gt;$F5,AL$69&lt;=EDATE($F5,$G5)),$K5-AL54,0)</x:f>
        <x:v>703864.7118416963</x:v>
      </x:c>
      <x:c r="AM70" s="101" t="n">
        <x:f>IF(AND(AM$69&gt;$F5,AM$69&lt;=EDATE($F5,$G5)),$K5-AM54,0)</x:f>
        <x:v>708557.1432539743</x:v>
      </x:c>
      <x:c r="AN70" s="101" t="n">
        <x:f>IF(AND(AN$69&gt;$F5,AN$69&lt;=EDATE($F5,$G5)),$K5-AN54,0)</x:f>
        <x:v>0</x:v>
      </x:c>
      <x:c r="AO70" s="101" t="n">
        <x:f>IF(AND(AO$69&gt;$F5,AO$69&lt;=EDATE($F5,$G5)),$K5-AO54,0)</x:f>
        <x:v>0</x:v>
      </x:c>
      <x:c r="AP70" s="101" t="n">
        <x:f>IF(AND(AP$69&gt;$F5,AP$69&lt;=EDATE($F5,$G5)),$K5-AP54,0)</x:f>
        <x:v>0</x:v>
      </x:c>
      <x:c r="AQ70" s="101" t="n">
        <x:f>IF(AND(AQ$69&gt;$F5,AQ$69&lt;=EDATE($F5,$G5)),$K5-AQ54,0)</x:f>
        <x:v>0</x:v>
      </x:c>
      <x:c r="AR70" s="101" t="n">
        <x:f>IF(AND(AR$69&gt;$F5,AR$69&lt;=EDATE($F5,$G5)),$K5-AR54,0)</x:f>
        <x:v>0</x:v>
      </x:c>
      <x:c r="AS70" s="101" t="n">
        <x:f>IF(AND(AS$69&gt;$F5,AS$69&lt;=EDATE($F5,$G5)),$K5-AS54,0)</x:f>
        <x:v>0</x:v>
      </x:c>
      <x:c r="AT70" s="101" t="n">
        <x:f>IF(AND(AT$69&gt;$F5,AT$69&lt;=EDATE($F5,$G5)),$K5-AT54,0)</x:f>
        <x:v>0</x:v>
      </x:c>
      <x:c r="AU70" s="101" t="n">
        <x:f>IF(AND(AU$69&gt;$F5,AU$69&lt;=EDATE($F5,$G5)),$K5-AU54,0)</x:f>
        <x:v>0</x:v>
      </x:c>
      <x:c r="AV70" s="101" t="n">
        <x:f>IF(AND(AV$69&gt;$F5,AV$69&lt;=EDATE($F5,$G5)),$K5-AV54,0)</x:f>
        <x:v>0</x:v>
      </x:c>
      <x:c r="AW70" s="101" t="n">
        <x:f>IF(AND(AW$69&gt;$F5,AW$69&lt;=EDATE($F5,$G5)),$K5-AW54,0)</x:f>
        <x:v>0</x:v>
      </x:c>
      <x:c r="AX70" s="101" t="n">
        <x:f>IF(AND(AX$69&gt;$F5,AX$69&lt;=EDATE($F5,$G5)),$K5-AX54,0)</x:f>
        <x:v>0</x:v>
      </x:c>
      <x:c r="AY70" s="101" t="n">
        <x:f>IF(AND(AY$69&gt;$F5,AY$69&lt;=EDATE($F5,$G5)),$K5-AY54,0)</x:f>
        <x:v>0</x:v>
      </x:c>
      <x:c r="AZ70" s="101" t="n">
        <x:f>IF(AND(AZ$69&gt;$F5,AZ$69&lt;=EDATE($F5,$G5)),$K5-AZ54,0)</x:f>
        <x:v>0</x:v>
      </x:c>
      <x:c r="BA70" s="101" t="n">
        <x:f>IF(AND(BA$69&gt;$F5,BA$69&lt;=EDATE($F5,$G5)),$K5-BA54,0)</x:f>
        <x:v>0</x:v>
      </x:c>
      <x:c r="BB70" s="101" t="n">
        <x:f>IF(AND(BB$69&gt;$F5,BB$69&lt;=EDATE($F5,$G5)),$K5-BB54,0)</x:f>
        <x:v>0</x:v>
      </x:c>
      <x:c r="BC70" s="101" t="n">
        <x:f>IF(AND(BC$69&gt;$F5,BC$69&lt;=EDATE($F5,$G5)),$K5-BC54,0)</x:f>
        <x:v>0</x:v>
      </x:c>
      <x:c r="BD70" s="101" t="n">
        <x:f>IF(AND(BD$69&gt;$F5,BD$69&lt;=EDATE($F5,$G5)),$K5-BD54,0)</x:f>
        <x:v>0</x:v>
      </x:c>
      <x:c r="BE70" s="101" t="n">
        <x:f>IF(AND(BE$69&gt;$F5,BE$69&lt;=EDATE($F5,$G5)),$K5-BE54,0)</x:f>
        <x:v>0</x:v>
      </x:c>
      <x:c r="BF70" s="101" t="n">
        <x:f>IF(AND(BF$69&gt;$F5,BF$69&lt;=EDATE($F5,$G5)),$K5-BF54,0)</x:f>
        <x:v>0</x:v>
      </x:c>
      <x:c r="BG70" s="101" t="n">
        <x:f>IF(AND(BG$69&gt;$F5,BG$69&lt;=EDATE($F5,$G5)),$K5-BG54,0)</x:f>
        <x:v>0</x:v>
      </x:c>
      <x:c r="BH70" s="101" t="n">
        <x:f>IF(AND(BH$69&gt;$F5,BH$69&lt;=EDATE($F5,$G5)),$K5-BH54,0)</x:f>
        <x:v>0</x:v>
      </x:c>
      <x:c r="BI70" s="101" t="n">
        <x:f>IF(AND(BI$69&gt;$F5,BI$69&lt;=EDATE($F5,$G5)),$K5-BI54,0)</x:f>
        <x:v>0</x:v>
      </x:c>
    </x:row>
    <x:row r="71">
      <x:c r="A71" t="str">
        <x:f>A6</x:f>
        <x:v>批次02</x:v>
      </x:c>
      <x:c r="B71" s="29" t="n">
        <x:f>IF(AND(B$69&gt;$F6,B$69&lt;=EDATE($F6,$G6)),$K6-B55,0)</x:f>
        <x:v>0</x:v>
      </x:c>
      <x:c r="C71" s="29" t="n">
        <x:f>IF(AND(C$69&gt;$F6,C$69&lt;=EDATE($F6,$G6)),$K6-C55,0)</x:f>
        <x:v>0</x:v>
      </x:c>
      <x:c r="D71" s="29" t="n">
        <x:f>IF(AND(D$69&gt;$F6,D$69&lt;=EDATE($F6,$G6)),$K6-D55,0)</x:f>
        <x:v>0</x:v>
      </x:c>
      <x:c r="E71" s="29" t="n">
        <x:f>IF(AND(E$69&gt;$F6,E$69&lt;=EDATE($F6,$G6)),$K6-E55,0)</x:f>
        <x:v>673268.8908085193</x:v>
      </x:c>
      <x:c r="F71" s="29" t="n">
        <x:f>IF(AND(F$69&gt;$F6,F$69&lt;=EDATE($F6,$G6)),$K6-F55,0)</x:f>
        <x:v>677757.3500805761</x:v>
      </x:c>
      <x:c r="G71" s="29" t="n">
        <x:f>IF(AND(G$69&gt;$F6,G$69&lt;=EDATE($F6,$G6)),$K6-G55,0)</x:f>
        <x:v>682275.7324144467</x:v>
      </x:c>
      <x:c r="H71" s="29" t="n">
        <x:f>IF(AND(H$69&gt;$F6,H$69&lt;=EDATE($F6,$G6)),$K6-H55,0)</x:f>
        <x:v>686824.2372972096</x:v>
      </x:c>
      <x:c r="I71" s="29" t="n">
        <x:f>IF(AND(I$69&gt;$F6,I$69&lt;=EDATE($F6,$G6)),$K6-I55,0)</x:f>
        <x:v>691403.0655458577</x:v>
      </x:c>
      <x:c r="J71" s="29" t="n">
        <x:f>IF(AND(J$69&gt;$F6,J$69&lt;=EDATE($F6,$G6)),$K6-J55,0)</x:f>
        <x:v>696012.4193161634</x:v>
      </x:c>
      <x:c r="K71" s="29" t="n">
        <x:f>IF(AND(K$69&gt;$F6,K$69&lt;=EDATE($F6,$G6)),$K6-K55,0)</x:f>
        <x:v>700652.5021116044</x:v>
      </x:c>
      <x:c r="L71" s="29" t="n">
        <x:f>IF(AND(L$69&gt;$F6,L$69&lt;=EDATE($F6,$G6)),$K6-L55,0)</x:f>
        <x:v>705323.5187923484</x:v>
      </x:c>
      <x:c r="M71" s="29" t="n">
        <x:f>IF(AND(M$69&gt;$F6,M$69&lt;=EDATE($F6,$G6)),$K6-M55,0)</x:f>
        <x:v>710025.6755842975</x:v>
      </x:c>
      <x:c r="N71" s="29" t="n">
        <x:f>IF(AND(N$69&gt;$F6,N$69&lt;=EDATE($F6,$G6)),$K6-N55,0)</x:f>
        <x:v>714759.1800881928</x:v>
      </x:c>
      <x:c r="O71" s="29" t="n">
        <x:f>IF(AND(O$69&gt;$F6,O$69&lt;=EDATE($F6,$G6)),$K6-O55,0)</x:f>
        <x:v>719524.2412887807</x:v>
      </x:c>
      <x:c r="P71" s="29" t="n">
        <x:f>IF(AND(P$69&gt;$F6,P$69&lt;=EDATE($F6,$G6)),$K6-P55,0)</x:f>
        <x:v>724321.0695640394</x:v>
      </x:c>
      <x:c r="Q71" s="29" t="n">
        <x:f>IF(AND(Q$69&gt;$F6,Q$69&lt;=EDATE($F6,$G6)),$K6-Q55,0)</x:f>
        <x:v>729149.8766944662</x:v>
      </x:c>
      <x:c r="R71" s="29" t="n">
        <x:f>IF(AND(R$69&gt;$F6,R$69&lt;=EDATE($F6,$G6)),$K6-R55,0)</x:f>
        <x:v>734010.8758724293</x:v>
      </x:c>
      <x:c r="S71" s="29" t="n">
        <x:f>IF(AND(S$69&gt;$F6,S$69&lt;=EDATE($F6,$G6)),$K6-S55,0)</x:f>
        <x:v>738904.2817115788</x:v>
      </x:c>
      <x:c r="T71" s="29" t="n">
        <x:f>IF(AND(T$69&gt;$F6,T$69&lt;=EDATE($F6,$G6)),$K6-T55,0)</x:f>
        <x:v>743830.3102563227</x:v>
      </x:c>
      <x:c r="U71" s="29" t="n">
        <x:f>IF(AND(U$69&gt;$F6,U$69&lt;=EDATE($F6,$G6)),$K6-U55,0)</x:f>
        <x:v>748789.1789913649</x:v>
      </x:c>
      <x:c r="V71" s="29" t="n">
        <x:f>IF(AND(V$69&gt;$F6,V$69&lt;=EDATE($F6,$G6)),$K6-V55,0)</x:f>
        <x:v>753781.1068513073</x:v>
      </x:c>
      <x:c r="W71" s="29" t="n">
        <x:f>IF(AND(W$69&gt;$F6,W$69&lt;=EDATE($F6,$G6)),$K6-W55,0)</x:f>
        <x:v>758806.3142303161</x:v>
      </x:c>
      <x:c r="X71" s="29" t="n">
        <x:f>IF(AND(X$69&gt;$F6,X$69&lt;=EDATE($F6,$G6)),$K6-X55,0)</x:f>
        <x:v>763865.0229918514</x:v>
      </x:c>
      <x:c r="Y71" s="29" t="n">
        <x:f>IF(AND(Y$69&gt;$F6,Y$69&lt;=EDATE($F6,$G6)),$K6-Y55,0)</x:f>
        <x:v>768957.4564784638</x:v>
      </x:c>
      <x:c r="Z71" s="29" t="n">
        <x:f>IF(AND(Z$69&gt;$F6,Z$69&lt;=EDATE($F6,$G6)),$K6-Z55,0)</x:f>
        <x:v>774083.8395216536</x:v>
      </x:c>
      <x:c r="AA71" s="29" t="n">
        <x:f>IF(AND(AA$69&gt;$F6,AA$69&lt;=EDATE($F6,$G6)),$K6-AA55,0)</x:f>
        <x:v>779244.3984517979</x:v>
      </x:c>
      <x:c r="AB71" s="29" t="n">
        <x:f>IF(AND(AB$69&gt;$F6,AB$69&lt;=EDATE($F6,$G6)),$K6-AB55,0)</x:f>
        <x:v>784439.3611081432</x:v>
      </x:c>
      <x:c r="AC71" s="29" t="n">
        <x:f>IF(AND(AC$69&gt;$F6,AC$69&lt;=EDATE($F6,$G6)),$K6-AC55,0)</x:f>
        <x:v>789668.9568488642</x:v>
      </x:c>
      <x:c r="AD71" s="29" t="n">
        <x:f>IF(AND(AD$69&gt;$F6,AD$69&lt;=EDATE($F6,$G6)),$K6-AD55,0)</x:f>
        <x:v>794933.4165611899</x:v>
      </x:c>
      <x:c r="AE71" s="29" t="n">
        <x:f>IF(AND(AE$69&gt;$F6,AE$69&lt;=EDATE($F6,$G6)),$K6-AE55,0)</x:f>
        <x:v>800232.9726715978</x:v>
      </x:c>
      <x:c r="AF71" s="29" t="n">
        <x:f>IF(AND(AF$69&gt;$F6,AF$69&lt;=EDATE($F6,$G6)),$K6-AF55,0)</x:f>
        <x:v>805567.8591560752</x:v>
      </x:c>
      <x:c r="AG71" s="29" t="n">
        <x:f>IF(AND(AG$69&gt;$F6,AG$69&lt;=EDATE($F6,$G6)),$K6-AG55,0)</x:f>
        <x:v>810938.311550449</x:v>
      </x:c>
      <x:c r="AH71" s="29" t="n">
        <x:f>IF(AND(AH$69&gt;$F6,AH$69&lt;=EDATE($F6,$G6)),$K6-AH55,0)</x:f>
        <x:v>816344.5669607854</x:v>
      </x:c>
      <x:c r="AI71" s="29" t="n">
        <x:f>IF(AND(AI$69&gt;$F6,AI$69&lt;=EDATE($F6,$G6)),$K6-AI55,0)</x:f>
        <x:v>821786.8640738573</x:v>
      </x:c>
      <x:c r="AJ71" s="29" t="n">
        <x:f>IF(AND(AJ$69&gt;$F6,AJ$69&lt;=EDATE($F6,$G6)),$K6-AJ55,0)</x:f>
        <x:v>827265.443167683</x:v>
      </x:c>
      <x:c r="AK71" s="29" t="n">
        <x:f>IF(AND(AK$69&gt;$F6,AK$69&lt;=EDATE($F6,$G6)),$K6-AK55,0)</x:f>
        <x:v>832780.5461221342</x:v>
      </x:c>
      <x:c r="AL71" s="101" t="n">
        <x:f>IF(AND(AL$69&gt;$F6,AL$69&lt;=EDATE($F6,$G6)),$K6-AL55,0)</x:f>
        <x:v>838332.4164296151</x:v>
      </x:c>
      <x:c r="AM71" s="101" t="n">
        <x:f>IF(AND(AM$69&gt;$F6,AM$69&lt;=EDATE($F6,$G6)),$K6-AM55,0)</x:f>
        <x:v>843921.2992058125</x:v>
      </x:c>
      <x:c r="AN71" s="101" t="n">
        <x:f>IF(AND(AN$69&gt;$F6,AN$69&lt;=EDATE($F6,$G6)),$K6-AN55,0)</x:f>
        <x:v>849547.4412005179</x:v>
      </x:c>
      <x:c r="AO71" s="101" t="n">
        <x:f>IF(AND(AO$69&gt;$F6,AO$69&lt;=EDATE($F6,$G6)),$K6-AO55,0)</x:f>
        <x:v>0</x:v>
      </x:c>
      <x:c r="AP71" s="101" t="n">
        <x:f>IF(AND(AP$69&gt;$F6,AP$69&lt;=EDATE($F6,$G6)),$K6-AP55,0)</x:f>
        <x:v>0</x:v>
      </x:c>
      <x:c r="AQ71" s="101" t="n">
        <x:f>IF(AND(AQ$69&gt;$F6,AQ$69&lt;=EDATE($F6,$G6)),$K6-AQ55,0)</x:f>
        <x:v>0</x:v>
      </x:c>
      <x:c r="AR71" s="101" t="n">
        <x:f>IF(AND(AR$69&gt;$F6,AR$69&lt;=EDATE($F6,$G6)),$K6-AR55,0)</x:f>
        <x:v>0</x:v>
      </x:c>
      <x:c r="AS71" s="101" t="n">
        <x:f>IF(AND(AS$69&gt;$F6,AS$69&lt;=EDATE($F6,$G6)),$K6-AS55,0)</x:f>
        <x:v>0</x:v>
      </x:c>
      <x:c r="AT71" s="101" t="n">
        <x:f>IF(AND(AT$69&gt;$F6,AT$69&lt;=EDATE($F6,$G6)),$K6-AT55,0)</x:f>
        <x:v>0</x:v>
      </x:c>
      <x:c r="AU71" s="101" t="n">
        <x:f>IF(AND(AU$69&gt;$F6,AU$69&lt;=EDATE($F6,$G6)),$K6-AU55,0)</x:f>
        <x:v>0</x:v>
      </x:c>
      <x:c r="AV71" s="101" t="n">
        <x:f>IF(AND(AV$69&gt;$F6,AV$69&lt;=EDATE($F6,$G6)),$K6-AV55,0)</x:f>
        <x:v>0</x:v>
      </x:c>
      <x:c r="AW71" s="101" t="n">
        <x:f>IF(AND(AW$69&gt;$F6,AW$69&lt;=EDATE($F6,$G6)),$K6-AW55,0)</x:f>
        <x:v>0</x:v>
      </x:c>
      <x:c r="AX71" s="101" t="n">
        <x:f>IF(AND(AX$69&gt;$F6,AX$69&lt;=EDATE($F6,$G6)),$K6-AX55,0)</x:f>
        <x:v>0</x:v>
      </x:c>
      <x:c r="AY71" s="101" t="n">
        <x:f>IF(AND(AY$69&gt;$F6,AY$69&lt;=EDATE($F6,$G6)),$K6-AY55,0)</x:f>
        <x:v>0</x:v>
      </x:c>
      <x:c r="AZ71" s="101" t="n">
        <x:f>IF(AND(AZ$69&gt;$F6,AZ$69&lt;=EDATE($F6,$G6)),$K6-AZ55,0)</x:f>
        <x:v>0</x:v>
      </x:c>
      <x:c r="BA71" s="101" t="n">
        <x:f>IF(AND(BA$69&gt;$F6,BA$69&lt;=EDATE($F6,$G6)),$K6-BA55,0)</x:f>
        <x:v>0</x:v>
      </x:c>
      <x:c r="BB71" s="101" t="n">
        <x:f>IF(AND(BB$69&gt;$F6,BB$69&lt;=EDATE($F6,$G6)),$K6-BB55,0)</x:f>
        <x:v>0</x:v>
      </x:c>
      <x:c r="BC71" s="101" t="n">
        <x:f>IF(AND(BC$69&gt;$F6,BC$69&lt;=EDATE($F6,$G6)),$K6-BC55,0)</x:f>
        <x:v>0</x:v>
      </x:c>
      <x:c r="BD71" s="101" t="n">
        <x:f>IF(AND(BD$69&gt;$F6,BD$69&lt;=EDATE($F6,$G6)),$K6-BD55,0)</x:f>
        <x:v>0</x:v>
      </x:c>
      <x:c r="BE71" s="101" t="n">
        <x:f>IF(AND(BE$69&gt;$F6,BE$69&lt;=EDATE($F6,$G6)),$K6-BE55,0)</x:f>
        <x:v>0</x:v>
      </x:c>
      <x:c r="BF71" s="101" t="n">
        <x:f>IF(AND(BF$69&gt;$F6,BF$69&lt;=EDATE($F6,$G6)),$K6-BF55,0)</x:f>
        <x:v>0</x:v>
      </x:c>
      <x:c r="BG71" s="101" t="n">
        <x:f>IF(AND(BG$69&gt;$F6,BG$69&lt;=EDATE($F6,$G6)),$K6-BG55,0)</x:f>
        <x:v>0</x:v>
      </x:c>
      <x:c r="BH71" s="101" t="n">
        <x:f>IF(AND(BH$69&gt;$F6,BH$69&lt;=EDATE($F6,$G6)),$K6-BH55,0)</x:f>
        <x:v>0</x:v>
      </x:c>
      <x:c r="BI71" s="101" t="n">
        <x:f>IF(AND(BI$69&gt;$F6,BI$69&lt;=EDATE($F6,$G6)),$K6-BI55,0)</x:f>
        <x:v>0</x:v>
      </x:c>
    </x:row>
    <x:row r="72">
      <x:c r="A72" t="str">
        <x:f>A7</x:f>
        <x:v>批次03</x:v>
      </x:c>
      <x:c r="B72" s="29" t="n">
        <x:f>IF(AND(B$69&gt;$F7,B$69&lt;=EDATE($F7,$G7)),$K7-B56,0)</x:f>
        <x:v>0</x:v>
      </x:c>
      <x:c r="C72" s="29" t="n">
        <x:f>IF(AND(C$69&gt;$F7,C$69&lt;=EDATE($F7,$G7)),$K7-C56,0)</x:f>
        <x:v>0</x:v>
      </x:c>
      <x:c r="D72" s="29" t="n">
        <x:f>IF(AND(D$69&gt;$F7,D$69&lt;=EDATE($F7,$G7)),$K7-D56,0)</x:f>
        <x:v>0</x:v>
      </x:c>
      <x:c r="E72" s="29" t="n">
        <x:f>IF(AND(E$69&gt;$F7,E$69&lt;=EDATE($F7,$G7)),$K7-E56,0)</x:f>
        <x:v>0</x:v>
      </x:c>
      <x:c r="F72" s="29" t="n">
        <x:f>IF(AND(F$69&gt;$F7,F$69&lt;=EDATE($F7,$G7)),$K7-F56,0)</x:f>
        <x:v>784051.6270042404</x:v>
      </x:c>
      <x:c r="G72" s="29" t="n">
        <x:f>IF(AND(G$69&gt;$F7,G$69&lt;=EDATE($F7,$G7)),$K7-G56,0)</x:f>
        <x:v>789278.6378509353</x:v>
      </x:c>
      <x:c r="H72" s="29" t="n">
        <x:f>IF(AND(H$69&gt;$F7,H$69&lt;=EDATE($F7,$G7)),$K7-H56,0)</x:f>
        <x:v>794540.4954366082</x:v>
      </x:c>
      <x:c r="I72" s="29" t="n">
        <x:f>IF(AND(I$69&gt;$F7,I$69&lt;=EDATE($F7,$G7)),$K7-I56,0)</x:f>
        <x:v>799837.4320728523</x:v>
      </x:c>
      <x:c r="J72" s="29" t="n">
        <x:f>IF(AND(J$69&gt;$F7,J$69&lt;=EDATE($F7,$G7)),$K7-J56,0)</x:f>
        <x:v>805169.6816200046</x:v>
      </x:c>
      <x:c r="K72" s="29" t="n">
        <x:f>IF(AND(K$69&gt;$F7,K$69&lt;=EDATE($F7,$G7)),$K7-K56,0)</x:f>
        <x:v>810537.4794974714</x:v>
      </x:c>
      <x:c r="L72" s="29" t="n">
        <x:f>IF(AND(L$69&gt;$F7,L$69&lt;=EDATE($F7,$G7)),$K7-L56,0)</x:f>
        <x:v>815941.0626941212</x:v>
      </x:c>
      <x:c r="M72" s="29" t="n">
        <x:f>IF(AND(M$69&gt;$F7,M$69&lt;=EDATE($F7,$G7)),$K7-M56,0)</x:f>
        <x:v>821380.6697787486</x:v>
      </x:c>
      <x:c r="N72" s="29" t="n">
        <x:f>IF(AND(N$69&gt;$F7,N$69&lt;=EDATE($F7,$G7)),$K7-N56,0)</x:f>
        <x:v>826856.540910607</x:v>
      </x:c>
      <x:c r="O72" s="29" t="n">
        <x:f>IF(AND(O$69&gt;$F7,O$69&lt;=EDATE($F7,$G7)),$K7-O56,0)</x:f>
        <x:v>832368.917850011</x:v>
      </x:c>
      <x:c r="P72" s="29" t="n">
        <x:f>IF(AND(P$69&gt;$F7,P$69&lt;=EDATE($F7,$G7)),$K7-P56,0)</x:f>
        <x:v>837918.043969011</x:v>
      </x:c>
      <x:c r="Q72" s="29" t="n">
        <x:f>IF(AND(Q$69&gt;$F7,Q$69&lt;=EDATE($F7,$G7)),$K7-Q56,0)</x:f>
        <x:v>843504.1642621378</x:v>
      </x:c>
      <x:c r="R72" s="29" t="n">
        <x:f>IF(AND(R$69&gt;$F7,R$69&lt;=EDATE($F7,$G7)),$K7-R56,0)</x:f>
        <x:v>849127.5253572187</x:v>
      </x:c>
      <x:c r="S72" s="29" t="n">
        <x:f>IF(AND(S$69&gt;$F7,S$69&lt;=EDATE($F7,$G7)),$K7-S56,0)</x:f>
        <x:v>854788.3755262669</x:v>
      </x:c>
      <x:c r="T72" s="29" t="n">
        <x:f>IF(AND(T$69&gt;$F7,T$69&lt;=EDATE($F7,$G7)),$K7-T56,0)</x:f>
        <x:v>860486.964696442</x:v>
      </x:c>
      <x:c r="U72" s="29" t="n">
        <x:f>IF(AND(U$69&gt;$F7,U$69&lt;=EDATE($F7,$G7)),$K7-U56,0)</x:f>
        <x:v>866223.5444610849</x:v>
      </x:c>
      <x:c r="V72" s="29" t="n">
        <x:f>IF(AND(V$69&gt;$F7,V$69&lt;=EDATE($F7,$G7)),$K7-V56,0)</x:f>
        <x:v>871998.3680908255</x:v>
      </x:c>
      <x:c r="W72" s="29" t="n">
        <x:f>IF(AND(W$69&gt;$F7,W$69&lt;=EDATE($F7,$G7)),$K7-W56,0)</x:f>
        <x:v>877811.6905447644</x:v>
      </x:c>
      <x:c r="X72" s="29" t="n">
        <x:f>IF(AND(X$69&gt;$F7,X$69&lt;=EDATE($F7,$G7)),$K7-X56,0)</x:f>
        <x:v>883663.7684817294</x:v>
      </x:c>
      <x:c r="Y72" s="29" t="n">
        <x:f>IF(AND(Y$69&gt;$F7,Y$69&lt;=EDATE($F7,$G7)),$K7-Y56,0)</x:f>
        <x:v>889554.8602716076</x:v>
      </x:c>
      <x:c r="Z72" s="29" t="n">
        <x:f>IF(AND(Z$69&gt;$F7,Z$69&lt;=EDATE($F7,$G7)),$K7-Z56,0)</x:f>
        <x:v>895485.2260067516</x:v>
      </x:c>
      <x:c r="AA72" s="29" t="n">
        <x:f>IF(AND(AA$69&gt;$F7,AA$69&lt;=EDATE($F7,$G7)),$K7-AA56,0)</x:f>
        <x:v>901455.1275134634</x:v>
      </x:c>
      <x:c r="AB72" s="29" t="n">
        <x:f>IF(AND(AB$69&gt;$F7,AB$69&lt;=EDATE($F7,$G7)),$K7-AB56,0)</x:f>
        <x:v>907464.8283635532</x:v>
      </x:c>
      <x:c r="AC72" s="29" t="n">
        <x:f>IF(AND(AC$69&gt;$F7,AC$69&lt;=EDATE($F7,$G7)),$K7-AC56,0)</x:f>
        <x:v>913514.5938859768</x:v>
      </x:c>
      <x:c r="AD72" s="29" t="n">
        <x:f>IF(AND(AD$69&gt;$F7,AD$69&lt;=EDATE($F7,$G7)),$K7-AD56,0)</x:f>
        <x:v>919604.69117855</x:v>
      </x:c>
      <x:c r="AE72" s="29" t="n">
        <x:f>IF(AND(AE$69&gt;$F7,AE$69&lt;=EDATE($F7,$G7)),$K7-AE56,0)</x:f>
        <x:v>925735.3891197403</x:v>
      </x:c>
      <x:c r="AF72" s="29" t="n">
        <x:f>IF(AND(AF$69&gt;$F7,AF$69&lt;=EDATE($F7,$G7)),$K7-AF56,0)</x:f>
        <x:v>931906.9583805386</x:v>
      </x:c>
      <x:c r="AG72" s="29" t="n">
        <x:f>IF(AND(AG$69&gt;$F7,AG$69&lt;=EDATE($F7,$G7)),$K7-AG56,0)</x:f>
        <x:v>938119.6714364089</x:v>
      </x:c>
      <x:c r="AH72" s="29" t="n">
        <x:f>IF(AND(AH$69&gt;$F7,AH$69&lt;=EDATE($F7,$G7)),$K7-AH56,0)</x:f>
        <x:v>944373.8025793183</x:v>
      </x:c>
      <x:c r="AI72" s="29" t="n">
        <x:f>IF(AND(AI$69&gt;$F7,AI$69&lt;=EDATE($F7,$G7)),$K7-AI56,0)</x:f>
        <x:v>950669.627929847</x:v>
      </x:c>
      <x:c r="AJ72" s="29" t="n">
        <x:f>IF(AND(AJ$69&gt;$F7,AJ$69&lt;=EDATE($F7,$G7)),$K7-AJ56,0)</x:f>
        <x:v>957007.4254493794</x:v>
      </x:c>
      <x:c r="AK72" s="29" t="n">
        <x:f>IF(AND(AK$69&gt;$F7,AK$69&lt;=EDATE($F7,$G7)),$K7-AK56,0)</x:f>
        <x:v>963387.4749523752</x:v>
      </x:c>
      <x:c r="AL72" s="101" t="n">
        <x:f>IF(AND(AL$69&gt;$F7,AL$69&lt;=EDATE($F7,$G7)),$K7-AL56,0)</x:f>
        <x:v>969810.0581187244</x:v>
      </x:c>
      <x:c r="AM72" s="101" t="n">
        <x:f>IF(AND(AM$69&gt;$F7,AM$69&lt;=EDATE($F7,$G7)),$K7-AM56,0)</x:f>
        <x:v>976275.4585061825</x:v>
      </x:c>
      <x:c r="AN72" s="101" t="n">
        <x:f>IF(AND(AN$69&gt;$F7,AN$69&lt;=EDATE($F7,$G7)),$K7-AN56,0)</x:f>
        <x:v>982783.9615628904</x:v>
      </x:c>
      <x:c r="AO72" s="101" t="n">
        <x:f>IF(AND(AO$69&gt;$F7,AO$69&lt;=EDATE($F7,$G7)),$K7-AO56,0)</x:f>
        <x:v>989335.8546399764</x:v>
      </x:c>
      <x:c r="AP72" s="101" t="n">
        <x:f>IF(AND(AP$69&gt;$F7,AP$69&lt;=EDATE($F7,$G7)),$K7-AP56,0)</x:f>
        <x:v>0</x:v>
      </x:c>
      <x:c r="AQ72" s="101" t="n">
        <x:f>IF(AND(AQ$69&gt;$F7,AQ$69&lt;=EDATE($F7,$G7)),$K7-AQ56,0)</x:f>
        <x:v>0</x:v>
      </x:c>
      <x:c r="AR72" s="101" t="n">
        <x:f>IF(AND(AR$69&gt;$F7,AR$69&lt;=EDATE($F7,$G7)),$K7-AR56,0)</x:f>
        <x:v>0</x:v>
      </x:c>
      <x:c r="AS72" s="101" t="n">
        <x:f>IF(AND(AS$69&gt;$F7,AS$69&lt;=EDATE($F7,$G7)),$K7-AS56,0)</x:f>
        <x:v>0</x:v>
      </x:c>
      <x:c r="AT72" s="101" t="n">
        <x:f>IF(AND(AT$69&gt;$F7,AT$69&lt;=EDATE($F7,$G7)),$K7-AT56,0)</x:f>
        <x:v>0</x:v>
      </x:c>
      <x:c r="AU72" s="101" t="n">
        <x:f>IF(AND(AU$69&gt;$F7,AU$69&lt;=EDATE($F7,$G7)),$K7-AU56,0)</x:f>
        <x:v>0</x:v>
      </x:c>
      <x:c r="AV72" s="101" t="n">
        <x:f>IF(AND(AV$69&gt;$F7,AV$69&lt;=EDATE($F7,$G7)),$K7-AV56,0)</x:f>
        <x:v>0</x:v>
      </x:c>
      <x:c r="AW72" s="101" t="n">
        <x:f>IF(AND(AW$69&gt;$F7,AW$69&lt;=EDATE($F7,$G7)),$K7-AW56,0)</x:f>
        <x:v>0</x:v>
      </x:c>
      <x:c r="AX72" s="101" t="n">
        <x:f>IF(AND(AX$69&gt;$F7,AX$69&lt;=EDATE($F7,$G7)),$K7-AX56,0)</x:f>
        <x:v>0</x:v>
      </x:c>
      <x:c r="AY72" s="101" t="n">
        <x:f>IF(AND(AY$69&gt;$F7,AY$69&lt;=EDATE($F7,$G7)),$K7-AY56,0)</x:f>
        <x:v>0</x:v>
      </x:c>
      <x:c r="AZ72" s="101" t="n">
        <x:f>IF(AND(AZ$69&gt;$F7,AZ$69&lt;=EDATE($F7,$G7)),$K7-AZ56,0)</x:f>
        <x:v>0</x:v>
      </x:c>
      <x:c r="BA72" s="101" t="n">
        <x:f>IF(AND(BA$69&gt;$F7,BA$69&lt;=EDATE($F7,$G7)),$K7-BA56,0)</x:f>
        <x:v>0</x:v>
      </x:c>
      <x:c r="BB72" s="101" t="n">
        <x:f>IF(AND(BB$69&gt;$F7,BB$69&lt;=EDATE($F7,$G7)),$K7-BB56,0)</x:f>
        <x:v>0</x:v>
      </x:c>
      <x:c r="BC72" s="101" t="n">
        <x:f>IF(AND(BC$69&gt;$F7,BC$69&lt;=EDATE($F7,$G7)),$K7-BC56,0)</x:f>
        <x:v>0</x:v>
      </x:c>
      <x:c r="BD72" s="101" t="n">
        <x:f>IF(AND(BD$69&gt;$F7,BD$69&lt;=EDATE($F7,$G7)),$K7-BD56,0)</x:f>
        <x:v>0</x:v>
      </x:c>
      <x:c r="BE72" s="101" t="n">
        <x:f>IF(AND(BE$69&gt;$F7,BE$69&lt;=EDATE($F7,$G7)),$K7-BE56,0)</x:f>
        <x:v>0</x:v>
      </x:c>
      <x:c r="BF72" s="101" t="n">
        <x:f>IF(AND(BF$69&gt;$F7,BF$69&lt;=EDATE($F7,$G7)),$K7-BF56,0)</x:f>
        <x:v>0</x:v>
      </x:c>
      <x:c r="BG72" s="101" t="n">
        <x:f>IF(AND(BG$69&gt;$F7,BG$69&lt;=EDATE($F7,$G7)),$K7-BG56,0)</x:f>
        <x:v>0</x:v>
      </x:c>
      <x:c r="BH72" s="101" t="n">
        <x:f>IF(AND(BH$69&gt;$F7,BH$69&lt;=EDATE($F7,$G7)),$K7-BH56,0)</x:f>
        <x:v>0</x:v>
      </x:c>
      <x:c r="BI72" s="101" t="n">
        <x:f>IF(AND(BI$69&gt;$F7,BI$69&lt;=EDATE($F7,$G7)),$K7-BI56,0)</x:f>
        <x:v>0</x:v>
      </x:c>
    </x:row>
    <x:row r="73">
      <x:c r="A73" t="str">
        <x:f>A8</x:f>
        <x:v>批次04</x:v>
      </x:c>
      <x:c r="B73" s="29" t="n">
        <x:f>IF(AND(B$69&gt;$F8,B$69&lt;=EDATE($F8,$G8)),$K8-B57,0)</x:f>
        <x:v>0</x:v>
      </x:c>
      <x:c r="C73" s="29" t="n">
        <x:f>IF(AND(C$69&gt;$F8,C$69&lt;=EDATE($F8,$G8)),$K8-C57,0)</x:f>
        <x:v>0</x:v>
      </x:c>
      <x:c r="D73" s="29" t="n">
        <x:f>IF(AND(D$69&gt;$F8,D$69&lt;=EDATE($F8,$G8)),$K8-D57,0)</x:f>
        <x:v>0</x:v>
      </x:c>
      <x:c r="E73" s="29" t="n">
        <x:f>IF(AND(E$69&gt;$F8,E$69&lt;=EDATE($F8,$G8)),$K8-E57,0)</x:f>
        <x:v>0</x:v>
      </x:c>
      <x:c r="F73" s="29" t="n">
        <x:f>IF(AND(F$69&gt;$F8,F$69&lt;=EDATE($F8,$G8)),$K8-F57,0)</x:f>
        <x:v>0</x:v>
      </x:c>
      <x:c r="G73" s="29" t="n">
        <x:f>IF(AND(G$69&gt;$F8,G$69&lt;=EDATE($F8,$G8)),$K8-G57,0)</x:f>
        <x:v>895786.8602704273</x:v>
      </x:c>
      <x:c r="H73" s="29" t="n">
        <x:f>IF(AND(H$69&gt;$F8,H$69&lt;=EDATE($F8,$G8)),$K8-H57,0)</x:f>
        <x:v>901758.7726722301</x:v>
      </x:c>
      <x:c r="I73" s="29" t="n">
        <x:f>IF(AND(I$69&gt;$F8,I$69&lt;=EDATE($F8,$G8)),$K8-I57,0)</x:f>
        <x:v>907770.4978233783</x:v>
      </x:c>
      <x:c r="J73" s="29" t="n">
        <x:f>IF(AND(J$69&gt;$F8,J$69&lt;=EDATE($F8,$G8)),$K8-J57,0)</x:f>
        <x:v>913822.3011422008</x:v>
      </x:c>
      <x:c r="K73" s="29" t="n">
        <x:f>IF(AND(K$69&gt;$F8,K$69&lt;=EDATE($F8,$G8)),$K8-K57,0)</x:f>
        <x:v>919914.4498164821</x:v>
      </x:c>
      <x:c r="L73" s="29" t="n">
        <x:f>IF(AND(L$69&gt;$F8,L$69&lt;=EDATE($F8,$G8)),$K8-L57,0)</x:f>
        <x:v>926047.2128152588</x:v>
      </x:c>
      <x:c r="M73" s="29" t="n">
        <x:f>IF(AND(M$69&gt;$F8,M$69&lt;=EDATE($F8,$G8)),$K8-M57,0)</x:f>
        <x:v>932220.8609006938</x:v>
      </x:c>
      <x:c r="N73" s="29" t="n">
        <x:f>IF(AND(N$69&gt;$F8,N$69&lt;=EDATE($F8,$G8)),$K8-N57,0)</x:f>
        <x:v>938435.6666400317</x:v>
      </x:c>
      <x:c r="O73" s="29" t="n">
        <x:f>IF(AND(O$69&gt;$F8,O$69&lt;=EDATE($F8,$G8)),$K8-O57,0)</x:f>
        <x:v>944691.9044176319</x:v>
      </x:c>
      <x:c r="P73" s="29" t="n">
        <x:f>IF(AND(P$69&gt;$F8,P$69&lt;=EDATE($F8,$G8)),$K8-P57,0)</x:f>
        <x:v>950989.8504470829</x:v>
      </x:c>
      <x:c r="Q73" s="29" t="n">
        <x:f>IF(AND(Q$69&gt;$F8,Q$69&lt;=EDATE($F8,$G8)),$K8-Q57,0)</x:f>
        <x:v>957329.7827833968</x:v>
      </x:c>
      <x:c r="R73" s="29" t="n">
        <x:f>IF(AND(R$69&gt;$F8,R$69&lt;=EDATE($F8,$G8)),$K8-R57,0)</x:f>
        <x:v>963711.981335286</x:v>
      </x:c>
      <x:c r="S73" s="29" t="n">
        <x:f>IF(AND(S$69&gt;$F8,S$69&lt;=EDATE($F8,$G8)),$K8-S57,0)</x:f>
        <x:v>970136.7278775213</x:v>
      </x:c>
      <x:c r="T73" s="29" t="n">
        <x:f>IF(AND(T$69&gt;$F8,T$69&lt;=EDATE($F8,$G8)),$K8-T57,0)</x:f>
        <x:v>976604.3060633715</x:v>
      </x:c>
      <x:c r="U73" s="29" t="n">
        <x:f>IF(AND(U$69&gt;$F8,U$69&lt;=EDATE($F8,$G8)),$K8-U57,0)</x:f>
        <x:v>983115.0014371272</x:v>
      </x:c>
      <x:c r="V73" s="29" t="n">
        <x:f>IF(AND(V$69&gt;$F8,V$69&lt;=EDATE($F8,$G8)),$K8-V57,0)</x:f>
        <x:v>989669.1014467081</x:v>
      </x:c>
      <x:c r="W73" s="29" t="n">
        <x:f>IF(AND(W$69&gt;$F8,W$69&lt;=EDATE($F8,$G8)),$K8-W57,0)</x:f>
        <x:v>996266.8954563527</x:v>
      </x:c>
      <x:c r="X73" s="29" t="n">
        <x:f>IF(AND(X$69&gt;$F8,X$69&lt;=EDATE($F8,$G8)),$K8-X57,0)</x:f>
        <x:v>1002908.6747593952</x:v>
      </x:c>
      <x:c r="Y73" s="29" t="n">
        <x:f>IF(AND(Y$69&gt;$F8,Y$69&lt;=EDATE($F8,$G8)),$K8-Y57,0)</x:f>
        <x:v>1009594.7325911245</x:v>
      </x:c>
      <x:c r="Z73" s="29" t="n">
        <x:f>IF(AND(Z$69&gt;$F8,Z$69&lt;=EDATE($F8,$G8)),$K8-Z57,0)</x:f>
        <x:v>1016325.364141732</x:v>
      </x:c>
      <x:c r="AA73" s="29" t="n">
        <x:f>IF(AND(AA$69&gt;$F8,AA$69&lt;=EDATE($F8,$G8)),$K8-AA57,0)</x:f>
        <x:v>1023100.8665693435</x:v>
      </x:c>
      <x:c r="AB73" s="29" t="n">
        <x:f>IF(AND(AB$69&gt;$F8,AB$69&lt;=EDATE($F8,$G8)),$K8-AB57,0)</x:f>
        <x:v>1029921.5390131391</x:v>
      </x:c>
      <x:c r="AC73" s="29" t="n">
        <x:f>IF(AND(AC$69&gt;$F8,AC$69&lt;=EDATE($F8,$G8)),$K8-AC57,0)</x:f>
        <x:v>1036787.6826065601</x:v>
      </x:c>
      <x:c r="AD73" s="29" t="n">
        <x:f>IF(AND(AD$69&gt;$F8,AD$69&lt;=EDATE($F8,$G8)),$K8-AD57,0)</x:f>
        <x:v>1043699.6004906038</x:v>
      </x:c>
      <x:c r="AE73" s="29" t="n">
        <x:f>IF(AND(AE$69&gt;$F8,AE$69&lt;=EDATE($F8,$G8)),$K8-AE57,0)</x:f>
        <x:v>1050657.5978272078</x:v>
      </x:c>
      <x:c r="AF73" s="29" t="n">
        <x:f>IF(AND(AF$69&gt;$F8,AF$69&lt;=EDATE($F8,$G8)),$K8-AF57,0)</x:f>
        <x:v>1057661.9818127225</x:v>
      </x:c>
      <x:c r="AG73" s="29" t="n">
        <x:f>IF(AND(AG$69&gt;$F8,AG$69&lt;=EDATE($F8,$G8)),$K8-AG57,0)</x:f>
        <x:v>1064713.061691474</x:v>
      </x:c>
      <x:c r="AH73" s="29" t="n">
        <x:f>IF(AND(AH$69&gt;$F8,AH$69&lt;=EDATE($F8,$G8)),$K8-AH57,0)</x:f>
        <x:v>1071811.148769417</x:v>
      </x:c>
      <x:c r="AI73" s="29" t="n">
        <x:f>IF(AND(AI$69&gt;$F8,AI$69&lt;=EDATE($F8,$G8)),$K8-AI57,0)</x:f>
        <x:v>1078956.55642788</x:v>
      </x:c>
      <x:c r="AJ73" s="29" t="n">
        <x:f>IF(AND(AJ$69&gt;$F8,AJ$69&lt;=EDATE($F8,$G8)),$K8-AJ57,0)</x:f>
        <x:v>1086149.600137399</x:v>
      </x:c>
      <x:c r="AK73" s="29" t="n">
        <x:f>IF(AND(AK$69&gt;$F8,AK$69&lt;=EDATE($F8,$G8)),$K8-AK57,0)</x:f>
        <x:v>1093390.5974716484</x:v>
      </x:c>
      <x:c r="AL73" s="101" t="n">
        <x:f>IF(AND(AL$69&gt;$F8,AL$69&lt;=EDATE($F8,$G8)),$K8-AL57,0)</x:f>
        <x:v>1100679.8681214594</x:v>
      </x:c>
      <x:c r="AM73" s="101" t="n">
        <x:f>IF(AND(AM$69&gt;$F8,AM$69&lt;=EDATE($F8,$G8)),$K8-AM57,0)</x:f>
        <x:v>1108017.733908936</x:v>
      </x:c>
      <x:c r="AN73" s="101" t="n">
        <x:f>IF(AND(AN$69&gt;$F8,AN$69&lt;=EDATE($F8,$G8)),$K8-AN57,0)</x:f>
        <x:v>1115404.5188016621</x:v>
      </x:c>
      <x:c r="AO73" s="101" t="n">
        <x:f>IF(AND(AO$69&gt;$F8,AO$69&lt;=EDATE($F8,$G8)),$K8-AO57,0)</x:f>
        <x:v>1122840.5489270065</x:v>
      </x:c>
      <x:c r="AP73" s="101" t="n">
        <x:f>IF(AND(AP$69&gt;$F8,AP$69&lt;=EDATE($F8,$G8)),$K8-AP57,0)</x:f>
        <x:v>1130326.15258652</x:v>
      </x:c>
      <x:c r="AQ73" s="101" t="n">
        <x:f>IF(AND(AQ$69&gt;$F8,AQ$69&lt;=EDATE($F8,$G8)),$K8-AQ57,0)</x:f>
        <x:v>0</x:v>
      </x:c>
      <x:c r="AR73" s="101" t="n">
        <x:f>IF(AND(AR$69&gt;$F8,AR$69&lt;=EDATE($F8,$G8)),$K8-AR57,0)</x:f>
        <x:v>0</x:v>
      </x:c>
      <x:c r="AS73" s="101" t="n">
        <x:f>IF(AND(AS$69&gt;$F8,AS$69&lt;=EDATE($F8,$G8)),$K8-AS57,0)</x:f>
        <x:v>0</x:v>
      </x:c>
      <x:c r="AT73" s="101" t="n">
        <x:f>IF(AND(AT$69&gt;$F8,AT$69&lt;=EDATE($F8,$G8)),$K8-AT57,0)</x:f>
        <x:v>0</x:v>
      </x:c>
      <x:c r="AU73" s="101" t="n">
        <x:f>IF(AND(AU$69&gt;$F8,AU$69&lt;=EDATE($F8,$G8)),$K8-AU57,0)</x:f>
        <x:v>0</x:v>
      </x:c>
      <x:c r="AV73" s="101" t="n">
        <x:f>IF(AND(AV$69&gt;$F8,AV$69&lt;=EDATE($F8,$G8)),$K8-AV57,0)</x:f>
        <x:v>0</x:v>
      </x:c>
      <x:c r="AW73" s="101" t="n">
        <x:f>IF(AND(AW$69&gt;$F8,AW$69&lt;=EDATE($F8,$G8)),$K8-AW57,0)</x:f>
        <x:v>0</x:v>
      </x:c>
      <x:c r="AX73" s="101" t="n">
        <x:f>IF(AND(AX$69&gt;$F8,AX$69&lt;=EDATE($F8,$G8)),$K8-AX57,0)</x:f>
        <x:v>0</x:v>
      </x:c>
      <x:c r="AY73" s="101" t="n">
        <x:f>IF(AND(AY$69&gt;$F8,AY$69&lt;=EDATE($F8,$G8)),$K8-AY57,0)</x:f>
        <x:v>0</x:v>
      </x:c>
      <x:c r="AZ73" s="101" t="n">
        <x:f>IF(AND(AZ$69&gt;$F8,AZ$69&lt;=EDATE($F8,$G8)),$K8-AZ57,0)</x:f>
        <x:v>0</x:v>
      </x:c>
      <x:c r="BA73" s="101" t="n">
        <x:f>IF(AND(BA$69&gt;$F8,BA$69&lt;=EDATE($F8,$G8)),$K8-BA57,0)</x:f>
        <x:v>0</x:v>
      </x:c>
      <x:c r="BB73" s="101" t="n">
        <x:f>IF(AND(BB$69&gt;$F8,BB$69&lt;=EDATE($F8,$G8)),$K8-BB57,0)</x:f>
        <x:v>0</x:v>
      </x:c>
      <x:c r="BC73" s="101" t="n">
        <x:f>IF(AND(BC$69&gt;$F8,BC$69&lt;=EDATE($F8,$G8)),$K8-BC57,0)</x:f>
        <x:v>0</x:v>
      </x:c>
      <x:c r="BD73" s="101" t="n">
        <x:f>IF(AND(BD$69&gt;$F8,BD$69&lt;=EDATE($F8,$G8)),$K8-BD57,0)</x:f>
        <x:v>0</x:v>
      </x:c>
      <x:c r="BE73" s="101" t="n">
        <x:f>IF(AND(BE$69&gt;$F8,BE$69&lt;=EDATE($F8,$G8)),$K8-BE57,0)</x:f>
        <x:v>0</x:v>
      </x:c>
      <x:c r="BF73" s="101" t="n">
        <x:f>IF(AND(BF$69&gt;$F8,BF$69&lt;=EDATE($F8,$G8)),$K8-BF57,0)</x:f>
        <x:v>0</x:v>
      </x:c>
      <x:c r="BG73" s="101" t="n">
        <x:f>IF(AND(BG$69&gt;$F8,BG$69&lt;=EDATE($F8,$G8)),$K8-BG57,0)</x:f>
        <x:v>0</x:v>
      </x:c>
      <x:c r="BH73" s="101" t="n">
        <x:f>IF(AND(BH$69&gt;$F8,BH$69&lt;=EDATE($F8,$G8)),$K8-BH57,0)</x:f>
        <x:v>0</x:v>
      </x:c>
      <x:c r="BI73" s="101" t="n">
        <x:f>IF(AND(BI$69&gt;$F8,BI$69&lt;=EDATE($F8,$G8)),$K8-BI57,0)</x:f>
        <x:v>0</x:v>
      </x:c>
    </x:row>
    <x:row r="74">
      <x:c r="A74" t="str">
        <x:f>A9</x:f>
        <x:v>批次05</x:v>
      </x:c>
      <x:c r="B74" s="29" t="n">
        <x:f>IF(AND(B$69&gt;$F9,B$69&lt;=EDATE($F9,$G9)),$K9-B58,0)</x:f>
        <x:v>0</x:v>
      </x:c>
      <x:c r="C74" s="29" t="n">
        <x:f>IF(AND(C$69&gt;$F9,C$69&lt;=EDATE($F9,$G9)),$K9-C58,0)</x:f>
        <x:v>0</x:v>
      </x:c>
      <x:c r="D74" s="29" t="n">
        <x:f>IF(AND(D$69&gt;$F9,D$69&lt;=EDATE($F9,$G9)),$K9-D58,0)</x:f>
        <x:v>0</x:v>
      </x:c>
      <x:c r="E74" s="29" t="n">
        <x:f>IF(AND(E$69&gt;$F9,E$69&lt;=EDATE($F9,$G9)),$K9-E58,0)</x:f>
        <x:v>0</x:v>
      </x:c>
      <x:c r="F74" s="29" t="n">
        <x:f>IF(AND(F$69&gt;$F9,F$69&lt;=EDATE($F9,$G9)),$K9-F58,0)</x:f>
        <x:v>0</x:v>
      </x:c>
      <x:c r="G74" s="29" t="n">
        <x:f>IF(AND(G$69&gt;$F9,G$69&lt;=EDATE($F9,$G9)),$K9-G58,0)</x:f>
        <x:v>0</x:v>
      </x:c>
      <x:c r="H74" s="29" t="n">
        <x:f>IF(AND(H$69&gt;$F9,H$69&lt;=EDATE($F9,$G9)),$K9-H58,0)</x:f>
        <x:v>1007522.0935366142</x:v>
      </x:c>
      <x:c r="I74" s="29" t="n">
        <x:f>IF(AND(I$69&gt;$F9,I$69&lt;=EDATE($F9,$G9)),$K9-I58,0)</x:f>
        <x:v>1014238.907493525</x:v>
      </x:c>
      <x:c r="J74" s="29" t="n">
        <x:f>IF(AND(J$69&gt;$F9,J$69&lt;=EDATE($F9,$G9)),$K9-J58,0)</x:f>
        <x:v>1021000.5002101485</x:v>
      </x:c>
      <x:c r="K74" s="29" t="n">
        <x:f>IF(AND(K$69&gt;$F9,K$69&lt;=EDATE($F9,$G9)),$K9-K58,0)</x:f>
        <x:v>1027807.1702115495</x:v>
      </x:c>
      <x:c r="L74" s="29" t="n">
        <x:f>IF(AND(L$69&gt;$F9,L$69&lt;=EDATE($F9,$G9)),$K9-L58,0)</x:f>
        <x:v>1034659.2180129598</x:v>
      </x:c>
      <x:c r="M74" s="29" t="n">
        <x:f>IF(AND(M$69&gt;$F9,M$69&lt;=EDATE($F9,$G9)),$K9-M58,0)</x:f>
        <x:v>1041556.9461330462</x:v>
      </x:c>
      <x:c r="N74" s="29" t="n">
        <x:f>IF(AND(N$69&gt;$F9,N$69&lt;=EDATE($F9,$G9)),$K9-N58,0)</x:f>
        <x:v>1048500.6591072665</x:v>
      </x:c>
      <x:c r="O74" s="29" t="n">
        <x:f>IF(AND(O$69&gt;$F9,O$69&lt;=EDATE($F9,$G9)),$K9-O58,0)</x:f>
        <x:v>1055490.6635013148</x:v>
      </x:c>
      <x:c r="P74" s="29" t="n">
        <x:f>IF(AND(P$69&gt;$F9,P$69&lt;=EDATE($F9,$G9)),$K9-P58,0)</x:f>
        <x:v>1062527.267924657</x:v>
      </x:c>
      <x:c r="Q74" s="29" t="n">
        <x:f>IF(AND(Q$69&gt;$F9,Q$69&lt;=EDATE($F9,$G9)),$K9-Q58,0)</x:f>
        <x:v>1069610.7830441548</x:v>
      </x:c>
      <x:c r="R74" s="29" t="n">
        <x:f>IF(AND(R$69&gt;$F9,R$69&lt;=EDATE($F9,$G9)),$K9-R58,0)</x:f>
        <x:v>1076741.5215977824</x:v>
      </x:c>
      <x:c r="S74" s="29" t="n">
        <x:f>IF(AND(S$69&gt;$F9,S$69&lt;=EDATE($F9,$G9)),$K9-S58,0)</x:f>
        <x:v>1083919.7984084343</x:v>
      </x:c>
      <x:c r="T74" s="29" t="n">
        <x:f>IF(AND(T$69&gt;$F9,T$69&lt;=EDATE($F9,$G9)),$K9-T58,0)</x:f>
        <x:v>1091145.930397824</x:v>
      </x:c>
      <x:c r="U74" s="29" t="n">
        <x:f>IF(AND(U$69&gt;$F9,U$69&lt;=EDATE($F9,$G9)),$K9-U58,0)</x:f>
        <x:v>1098420.236600476</x:v>
      </x:c>
      <x:c r="V74" s="29" t="n">
        <x:f>IF(AND(V$69&gt;$F9,V$69&lt;=EDATE($F9,$G9)),$K9-V58,0)</x:f>
        <x:v>1105743.0381778125</x:v>
      </x:c>
      <x:c r="W74" s="29" t="n">
        <x:f>IF(AND(W$69&gt;$F9,W$69&lt;=EDATE($F9,$G9)),$K9-W58,0)</x:f>
        <x:v>1113114.6584323314</x:v>
      </x:c>
      <x:c r="X74" s="29" t="n">
        <x:f>IF(AND(X$69&gt;$F9,X$69&lt;=EDATE($F9,$G9)),$K9-X58,0)</x:f>
        <x:v>1120535.4228218803</x:v>
      </x:c>
      <x:c r="Y74" s="29" t="n">
        <x:f>IF(AND(Y$69&gt;$F9,Y$69&lt;=EDATE($F9,$G9)),$K9-Y58,0)</x:f>
        <x:v>1128005.658974026</x:v>
      </x:c>
      <x:c r="Z74" s="29" t="n">
        <x:f>IF(AND(Z$69&gt;$F9,Z$69&lt;=EDATE($F9,$G9)),$K9-Z58,0)</x:f>
        <x:v>1135525.6967005196</x:v>
      </x:c>
      <x:c r="AA74" s="29" t="n">
        <x:f>IF(AND(AA$69&gt;$F9,AA$69&lt;=EDATE($F9,$G9)),$K9-AA58,0)</x:f>
        <x:v>1143095.8680118565</x:v>
      </x:c>
      <x:c r="AB74" s="29" t="n">
        <x:f>IF(AND(AB$69&gt;$F9,AB$69&lt;=EDATE($F9,$G9)),$K9-AB58,0)</x:f>
        <x:v>1150716.5071319353</x:v>
      </x:c>
      <x:c r="AC74" s="29" t="n">
        <x:f>IF(AND(AC$69&gt;$F9,AC$69&lt;=EDATE($F9,$G9)),$K9-AC58,0)</x:f>
        <x:v>1158387.950512815</x:v>
      </x:c>
      <x:c r="AD74" s="29" t="n">
        <x:f>IF(AND(AD$69&gt;$F9,AD$69&lt;=EDATE($F9,$G9)),$K9-AD58,0)</x:f>
        <x:v>1166110.5368495672</x:v>
      </x:c>
      <x:c r="AE74" s="29" t="n">
        <x:f>IF(AND(AE$69&gt;$F9,AE$69&lt;=EDATE($F9,$G9)),$K9-AE58,0)</x:f>
        <x:v>1173884.6070952308</x:v>
      </x:c>
      <x:c r="AF74" s="29" t="n">
        <x:f>IF(AND(AF$69&gt;$F9,AF$69&lt;=EDATE($F9,$G9)),$K9-AF58,0)</x:f>
        <x:v>1181710.5044758657</x:v>
      </x:c>
      <x:c r="AG74" s="29" t="n">
        <x:f>IF(AND(AG$69&gt;$F9,AG$69&lt;=EDATE($F9,$G9)),$K9-AG58,0)</x:f>
        <x:v>1189588.574505705</x:v>
      </x:c>
      <x:c r="AH74" s="29" t="n">
        <x:f>IF(AND(AH$69&gt;$F9,AH$69&lt;=EDATE($F9,$G9)),$K9-AH58,0)</x:f>
        <x:v>1197519.1650024096</x:v>
      </x:c>
      <x:c r="AI74" s="29" t="n">
        <x:f>IF(AND(AI$69&gt;$F9,AI$69&lt;=EDATE($F9,$G9)),$K9-AI58,0)</x:f>
        <x:v>1205502.6261024256</x:v>
      </x:c>
      <x:c r="AJ74" s="29" t="n">
        <x:f>IF(AND(AJ$69&gt;$F9,AJ$69&lt;=EDATE($F9,$G9)),$K9-AJ58,0)</x:f>
        <x:v>1213539.3102764417</x:v>
      </x:c>
      <x:c r="AK74" s="29" t="n">
        <x:f>IF(AND(AK$69&gt;$F9,AK$69&lt;=EDATE($F9,$G9)),$K9-AK58,0)</x:f>
        <x:v>1221629.5723449513</x:v>
      </x:c>
      <x:c r="AL74" s="101" t="n">
        <x:f>IF(AND(AL$69&gt;$F9,AL$69&lt;=EDATE($F9,$G9)),$K9-AL58,0)</x:f>
        <x:v>1229773.7694939177</x:v>
      </x:c>
      <x:c r="AM74" s="101" t="n">
        <x:f>IF(AND(AM$69&gt;$F9,AM$69&lt;=EDATE($F9,$G9)),$K9-AM58,0)</x:f>
        <x:v>1237972.261290544</x:v>
      </x:c>
      <x:c r="AN74" s="101" t="n">
        <x:f>IF(AND(AN$69&gt;$F9,AN$69&lt;=EDATE($F9,$G9)),$K9-AN58,0)</x:f>
        <x:v>1246225.4096991476</x:v>
      </x:c>
      <x:c r="AO74" s="101" t="n">
        <x:f>IF(AND(AO$69&gt;$F9,AO$69&lt;=EDATE($F9,$G9)),$K9-AO58,0)</x:f>
        <x:v>1254533.5790971417</x:v>
      </x:c>
      <x:c r="AP74" s="101" t="n">
        <x:f>IF(AND(AP$69&gt;$F9,AP$69&lt;=EDATE($F9,$G9)),$K9-AP58,0)</x:f>
        <x:v>1262897.1362911228</x:v>
      </x:c>
      <x:c r="AQ74" s="101" t="n">
        <x:f>IF(AND(AQ$69&gt;$F9,AQ$69&lt;=EDATE($F9,$G9)),$K9-AQ58,0)</x:f>
        <x:v>1271316.4505330636</x:v>
      </x:c>
      <x:c r="AR74" s="101" t="n">
        <x:f>IF(AND(AR$69&gt;$F9,AR$69&lt;=EDATE($F9,$G9)),$K9-AR58,0)</x:f>
        <x:v>0</x:v>
      </x:c>
      <x:c r="AS74" s="101" t="n">
        <x:f>IF(AND(AS$69&gt;$F9,AS$69&lt;=EDATE($F9,$G9)),$K9-AS58,0)</x:f>
        <x:v>0</x:v>
      </x:c>
      <x:c r="AT74" s="101" t="n">
        <x:f>IF(AND(AT$69&gt;$F9,AT$69&lt;=EDATE($F9,$G9)),$K9-AT58,0)</x:f>
        <x:v>0</x:v>
      </x:c>
      <x:c r="AU74" s="101" t="n">
        <x:f>IF(AND(AU$69&gt;$F9,AU$69&lt;=EDATE($F9,$G9)),$K9-AU58,0)</x:f>
        <x:v>0</x:v>
      </x:c>
      <x:c r="AV74" s="101" t="n">
        <x:f>IF(AND(AV$69&gt;$F9,AV$69&lt;=EDATE($F9,$G9)),$K9-AV58,0)</x:f>
        <x:v>0</x:v>
      </x:c>
      <x:c r="AW74" s="101" t="n">
        <x:f>IF(AND(AW$69&gt;$F9,AW$69&lt;=EDATE($F9,$G9)),$K9-AW58,0)</x:f>
        <x:v>0</x:v>
      </x:c>
      <x:c r="AX74" s="101" t="n">
        <x:f>IF(AND(AX$69&gt;$F9,AX$69&lt;=EDATE($F9,$G9)),$K9-AX58,0)</x:f>
        <x:v>0</x:v>
      </x:c>
      <x:c r="AY74" s="101" t="n">
        <x:f>IF(AND(AY$69&gt;$F9,AY$69&lt;=EDATE($F9,$G9)),$K9-AY58,0)</x:f>
        <x:v>0</x:v>
      </x:c>
      <x:c r="AZ74" s="101" t="n">
        <x:f>IF(AND(AZ$69&gt;$F9,AZ$69&lt;=EDATE($F9,$G9)),$K9-AZ58,0)</x:f>
        <x:v>0</x:v>
      </x:c>
      <x:c r="BA74" s="101" t="n">
        <x:f>IF(AND(BA$69&gt;$F9,BA$69&lt;=EDATE($F9,$G9)),$K9-BA58,0)</x:f>
        <x:v>0</x:v>
      </x:c>
      <x:c r="BB74" s="101" t="n">
        <x:f>IF(AND(BB$69&gt;$F9,BB$69&lt;=EDATE($F9,$G9)),$K9-BB58,0)</x:f>
        <x:v>0</x:v>
      </x:c>
      <x:c r="BC74" s="101" t="n">
        <x:f>IF(AND(BC$69&gt;$F9,BC$69&lt;=EDATE($F9,$G9)),$K9-BC58,0)</x:f>
        <x:v>0</x:v>
      </x:c>
      <x:c r="BD74" s="101" t="n">
        <x:f>IF(AND(BD$69&gt;$F9,BD$69&lt;=EDATE($F9,$G9)),$K9-BD58,0)</x:f>
        <x:v>0</x:v>
      </x:c>
      <x:c r="BE74" s="101" t="n">
        <x:f>IF(AND(BE$69&gt;$F9,BE$69&lt;=EDATE($F9,$G9)),$K9-BE58,0)</x:f>
        <x:v>0</x:v>
      </x:c>
      <x:c r="BF74" s="101" t="n">
        <x:f>IF(AND(BF$69&gt;$F9,BF$69&lt;=EDATE($F9,$G9)),$K9-BF58,0)</x:f>
        <x:v>0</x:v>
      </x:c>
      <x:c r="BG74" s="101" t="n">
        <x:f>IF(AND(BG$69&gt;$F9,BG$69&lt;=EDATE($F9,$G9)),$K9-BG58,0)</x:f>
        <x:v>0</x:v>
      </x:c>
      <x:c r="BH74" s="101" t="n">
        <x:f>IF(AND(BH$69&gt;$F9,BH$69&lt;=EDATE($F9,$G9)),$K9-BH58,0)</x:f>
        <x:v>0</x:v>
      </x:c>
      <x:c r="BI74" s="101" t="n">
        <x:f>IF(AND(BI$69&gt;$F9,BI$69&lt;=EDATE($F9,$G9)),$K9-BI58,0)</x:f>
        <x:v>0</x:v>
      </x:c>
    </x:row>
    <x:row r="75">
      <x:c r="A75" t="str">
        <x:f>A10</x:f>
        <x:v>批次06</x:v>
      </x:c>
      <x:c r="B75" s="29" t="n">
        <x:f>IF(AND(B$69&gt;$F10,B$69&lt;=EDATE($F10,$G10)),$K10-B59,0)</x:f>
        <x:v>0</x:v>
      </x:c>
      <x:c r="C75" s="29" t="n">
        <x:f>IF(AND(C$69&gt;$F10,C$69&lt;=EDATE($F10,$G10)),$K10-C59,0)</x:f>
        <x:v>0</x:v>
      </x:c>
      <x:c r="D75" s="29" t="n">
        <x:f>IF(AND(D$69&gt;$F10,D$69&lt;=EDATE($F10,$G10)),$K10-D59,0)</x:f>
        <x:v>0</x:v>
      </x:c>
      <x:c r="E75" s="29" t="n">
        <x:f>IF(AND(E$69&gt;$F10,E$69&lt;=EDATE($F10,$G10)),$K10-E59,0)</x:f>
        <x:v>0</x:v>
      </x:c>
      <x:c r="F75" s="29" t="n">
        <x:f>IF(AND(F$69&gt;$F10,F$69&lt;=EDATE($F10,$G10)),$K10-F59,0)</x:f>
        <x:v>0</x:v>
      </x:c>
      <x:c r="G75" s="29" t="n">
        <x:f>IF(AND(G$69&gt;$F10,G$69&lt;=EDATE($F10,$G10)),$K10-G59,0)</x:f>
        <x:v>0</x:v>
      </x:c>
      <x:c r="H75" s="29" t="n">
        <x:f>IF(AND(H$69&gt;$F10,H$69&lt;=EDATE($F10,$G10)),$K10-H59,0)</x:f>
        <x:v>0</x:v>
      </x:c>
      <x:c r="I75" s="29" t="n">
        <x:f>IF(AND(I$69&gt;$F10,I$69&lt;=EDATE($F10,$G10)),$K10-I59,0)</x:f>
        <x:v>1119257.326802801</x:v>
      </x:c>
      <x:c r="J75" s="29" t="n">
        <x:f>IF(AND(J$69&gt;$F10,J$69&lt;=EDATE($F10,$G10)),$K10-J59,0)</x:f>
        <x:v>1126719.0423148198</x:v>
      </x:c>
      <x:c r="K75" s="29" t="n">
        <x:f>IF(AND(K$69&gt;$F10,K$69&lt;=EDATE($F10,$G10)),$K10-K59,0)</x:f>
        <x:v>1134230.5025969185</x:v>
      </x:c>
      <x:c r="L75" s="29" t="n">
        <x:f>IF(AND(L$69&gt;$F10,L$69&lt;=EDATE($F10,$G10)),$K10-L59,0)</x:f>
        <x:v>1141792.039280898</x:v>
      </x:c>
      <x:c r="M75" s="29" t="n">
        <x:f>IF(AND(M$69&gt;$F10,M$69&lt;=EDATE($F10,$G10)),$K10-M59,0)</x:f>
        <x:v>1149403.9862094373</x:v>
      </x:c>
      <x:c r="N75" s="29" t="n">
        <x:f>IF(AND(N$69&gt;$F10,N$69&lt;=EDATE($F10,$G10)),$K10-N59,0)</x:f>
        <x:v>1157066.6794508335</x:v>
      </x:c>
      <x:c r="O75" s="29" t="n">
        <x:f>IF(AND(O$69&gt;$F10,O$69&lt;=EDATE($F10,$G10)),$K10-O59,0)</x:f>
        <x:v>1164780.457313839</x:v>
      </x:c>
      <x:c r="P75" s="29" t="n">
        <x:f>IF(AND(P$69&gt;$F10,P$69&lt;=EDATE($F10,$G10)),$K10-P59,0)</x:f>
        <x:v>1172545.660362598</x:v>
      </x:c>
      <x:c r="Q75" s="29" t="n">
        <x:f>IF(AND(Q$69&gt;$F10,Q$69&lt;=EDATE($F10,$G10)),$K10-Q59,0)</x:f>
        <x:v>1180362.631431682</x:v>
      </x:c>
      <x:c r="R75" s="29" t="n">
        <x:f>IF(AND(R$69&gt;$F10,R$69&lt;=EDATE($F10,$G10)),$K10-R59,0)</x:f>
        <x:v>1188231.7156412266</x:v>
      </x:c>
      <x:c r="S75" s="29" t="n">
        <x:f>IF(AND(S$69&gt;$F10,S$69&lt;=EDATE($F10,$G10)),$K10-S59,0)</x:f>
        <x:v>1196153.2604121682</x:v>
      </x:c>
      <x:c r="T75" s="29" t="n">
        <x:f>IF(AND(T$69&gt;$F10,T$69&lt;=EDATE($F10,$G10)),$K10-T59,0)</x:f>
        <x:v>1204127.6154815825</x:v>
      </x:c>
      <x:c r="U75" s="29" t="n">
        <x:f>IF(AND(U$69&gt;$F10,U$69&lt;=EDATE($F10,$G10)),$K10-U59,0)</x:f>
        <x:v>1212155.1329181264</x:v>
      </x:c>
      <x:c r="V75" s="29" t="n">
        <x:f>IF(AND(V$69&gt;$F10,V$69&lt;=EDATE($F10,$G10)),$K10-V59,0)</x:f>
        <x:v>1220236.1671375807</x:v>
      </x:c>
      <x:c r="W75" s="29" t="n">
        <x:f>IF(AND(W$69&gt;$F10,W$69&lt;=EDATE($F10,$G10)),$K10-W59,0)</x:f>
        <x:v>1228371.0749184978</x:v>
      </x:c>
      <x:c r="X75" s="29" t="n">
        <x:f>IF(AND(X$69&gt;$F10,X$69&lt;=EDATE($F10,$G10)),$K10-X59,0)</x:f>
        <x:v>1236560.2154179546</x:v>
      </x:c>
      <x:c r="Y75" s="29" t="n">
        <x:f>IF(AND(Y$69&gt;$F10,Y$69&lt;=EDATE($F10,$G10)),$K10-Y59,0)</x:f>
        <x:v>1244803.9501874074</x:v>
      </x:c>
      <x:c r="Z75" s="29" t="n">
        <x:f>IF(AND(Z$69&gt;$F10,Z$69&lt;=EDATE($F10,$G10)),$K10-Z59,0)</x:f>
        <x:v>1253102.6431886568</x:v>
      </x:c>
      <x:c r="AA75" s="29" t="n">
        <x:f>IF(AND(AA$69&gt;$F10,AA$69&lt;=EDATE($F10,$G10)),$K10-AA59,0)</x:f>
        <x:v>1261456.6608099146</x:v>
      </x:c>
      <x:c r="AB75" s="29" t="n">
        <x:f>IF(AND(AB$69&gt;$F10,AB$69&lt;=EDATE($F10,$G10)),$K10-AB59,0)</x:f>
        <x:v>1269866.3718819807</x:v>
      </x:c>
      <x:c r="AC75" s="29" t="n">
        <x:f>IF(AND(AC$69&gt;$F10,AC$69&lt;=EDATE($F10,$G10)),$K10-AC59,0)</x:f>
        <x:v>1278332.1476945272</x:v>
      </x:c>
      <x:c r="AD75" s="29" t="n">
        <x:f>IF(AND(AD$69&gt;$F10,AD$69&lt;=EDATE($F10,$G10)),$K10-AD59,0)</x:f>
        <x:v>1286854.3620124906</x:v>
      </x:c>
      <x:c r="AE75" s="29" t="n">
        <x:f>IF(AND(AE$69&gt;$F10,AE$69&lt;=EDATE($F10,$G10)),$K10-AE59,0)</x:f>
        <x:v>1295433.391092574</x:v>
      </x:c>
      <x:c r="AF75" s="29" t="n">
        <x:f>IF(AND(AF$69&gt;$F10,AF$69&lt;=EDATE($F10,$G10)),$K10-AF59,0)</x:f>
        <x:v>1304069.6136998578</x:v>
      </x:c>
      <x:c r="AG75" s="29" t="n">
        <x:f>IF(AND(AG$69&gt;$F10,AG$69&lt;=EDATE($F10,$G10)),$K10-AG59,0)</x:f>
        <x:v>1312763.4111245235</x:v>
      </x:c>
      <x:c r="AH75" s="29" t="n">
        <x:f>IF(AND(AH$69&gt;$F10,AH$69&lt;=EDATE($F10,$G10)),$K10-AH59,0)</x:f>
        <x:v>1321515.167198687</x:v>
      </x:c>
      <x:c r="AI75" s="29" t="n">
        <x:f>IF(AND(AI$69&gt;$F10,AI$69&lt;=EDATE($F10,$G10)),$K10-AI59,0)</x:f>
        <x:v>1330325.268313345</x:v>
      </x:c>
      <x:c r="AJ75" s="29" t="n">
        <x:f>IF(AND(AJ$69&gt;$F10,AJ$69&lt;=EDATE($F10,$G10)),$K10-AJ59,0)</x:f>
        <x:v>1339194.103435434</x:v>
      </x:c>
      <x:c r="AK75" s="29" t="n">
        <x:f>IF(AND(AK$69&gt;$F10,AK$69&lt;=EDATE($F10,$G10)),$K10-AK59,0)</x:f>
        <x:v>1348122.0641250035</x:v>
      </x:c>
      <x:c r="AL75" s="101" t="n">
        <x:f>IF(AND(AL$69&gt;$F10,AL$69&lt;=EDATE($F10,$G10)),$K10-AL59,0)</x:f>
        <x:v>1357109.5445525036</x:v>
      </x:c>
      <x:c r="AM75" s="101" t="n">
        <x:f>IF(AND(AM$69&gt;$F10,AM$69&lt;=EDATE($F10,$G10)),$K10-AM59,0)</x:f>
        <x:v>1366156.9415161868</x:v>
      </x:c>
      <x:c r="AN75" s="101" t="n">
        <x:f>IF(AND(AN$69&gt;$F10,AN$69&lt;=EDATE($F10,$G10)),$K10-AN59,0)</x:f>
        <x:v>1375264.654459628</x:v>
      </x:c>
      <x:c r="AO75" s="101" t="n">
        <x:f>IF(AND(AO$69&gt;$F10,AO$69&lt;=EDATE($F10,$G10)),$K10-AO59,0)</x:f>
        <x:v>1384433.085489359</x:v>
      </x:c>
      <x:c r="AP75" s="101" t="n">
        <x:f>IF(AND(AP$69&gt;$F10,AP$69&lt;=EDATE($F10,$G10)),$K10-AP59,0)</x:f>
        <x:v>1393662.6393926213</x:v>
      </x:c>
      <x:c r="AQ75" s="101" t="n">
        <x:f>IF(AND(AQ$69&gt;$F10,AQ$69&lt;=EDATE($F10,$G10)),$K10-AQ59,0)</x:f>
        <x:v>1402953.7236552387</x:v>
      </x:c>
      <x:c r="AR75" s="101" t="n">
        <x:f>IF(AND(AR$69&gt;$F10,AR$69&lt;=EDATE($F10,$G10)),$K10-AR59,0)</x:f>
        <x:v>1412306.748479607</x:v>
      </x:c>
      <x:c r="AS75" s="101" t="n">
        <x:f>IF(AND(AS$69&gt;$F10,AS$69&lt;=EDATE($F10,$G10)),$K10-AS59,0)</x:f>
        <x:v>0</x:v>
      </x:c>
      <x:c r="AT75" s="101" t="n">
        <x:f>IF(AND(AT$69&gt;$F10,AT$69&lt;=EDATE($F10,$G10)),$K10-AT59,0)</x:f>
        <x:v>0</x:v>
      </x:c>
      <x:c r="AU75" s="101" t="n">
        <x:f>IF(AND(AU$69&gt;$F10,AU$69&lt;=EDATE($F10,$G10)),$K10-AU59,0)</x:f>
        <x:v>0</x:v>
      </x:c>
      <x:c r="AV75" s="101" t="n">
        <x:f>IF(AND(AV$69&gt;$F10,AV$69&lt;=EDATE($F10,$G10)),$K10-AV59,0)</x:f>
        <x:v>0</x:v>
      </x:c>
      <x:c r="AW75" s="101" t="n">
        <x:f>IF(AND(AW$69&gt;$F10,AW$69&lt;=EDATE($F10,$G10)),$K10-AW59,0)</x:f>
        <x:v>0</x:v>
      </x:c>
      <x:c r="AX75" s="101" t="n">
        <x:f>IF(AND(AX$69&gt;$F10,AX$69&lt;=EDATE($F10,$G10)),$K10-AX59,0)</x:f>
        <x:v>0</x:v>
      </x:c>
      <x:c r="AY75" s="101" t="n">
        <x:f>IF(AND(AY$69&gt;$F10,AY$69&lt;=EDATE($F10,$G10)),$K10-AY59,0)</x:f>
        <x:v>0</x:v>
      </x:c>
      <x:c r="AZ75" s="101" t="n">
        <x:f>IF(AND(AZ$69&gt;$F10,AZ$69&lt;=EDATE($F10,$G10)),$K10-AZ59,0)</x:f>
        <x:v>0</x:v>
      </x:c>
      <x:c r="BA75" s="101" t="n">
        <x:f>IF(AND(BA$69&gt;$F10,BA$69&lt;=EDATE($F10,$G10)),$K10-BA59,0)</x:f>
        <x:v>0</x:v>
      </x:c>
      <x:c r="BB75" s="101" t="n">
        <x:f>IF(AND(BB$69&gt;$F10,BB$69&lt;=EDATE($F10,$G10)),$K10-BB59,0)</x:f>
        <x:v>0</x:v>
      </x:c>
      <x:c r="BC75" s="101" t="n">
        <x:f>IF(AND(BC$69&gt;$F10,BC$69&lt;=EDATE($F10,$G10)),$K10-BC59,0)</x:f>
        <x:v>0</x:v>
      </x:c>
      <x:c r="BD75" s="101" t="n">
        <x:f>IF(AND(BD$69&gt;$F10,BD$69&lt;=EDATE($F10,$G10)),$K10-BD59,0)</x:f>
        <x:v>0</x:v>
      </x:c>
      <x:c r="BE75" s="101" t="n">
        <x:f>IF(AND(BE$69&gt;$F10,BE$69&lt;=EDATE($F10,$G10)),$K10-BE59,0)</x:f>
        <x:v>0</x:v>
      </x:c>
      <x:c r="BF75" s="101" t="n">
        <x:f>IF(AND(BF$69&gt;$F10,BF$69&lt;=EDATE($F10,$G10)),$K10-BF59,0)</x:f>
        <x:v>0</x:v>
      </x:c>
      <x:c r="BG75" s="101" t="n">
        <x:f>IF(AND(BG$69&gt;$F10,BG$69&lt;=EDATE($F10,$G10)),$K10-BG59,0)</x:f>
        <x:v>0</x:v>
      </x:c>
      <x:c r="BH75" s="101" t="n">
        <x:f>IF(AND(BH$69&gt;$F10,BH$69&lt;=EDATE($F10,$G10)),$K10-BH59,0)</x:f>
        <x:v>0</x:v>
      </x:c>
      <x:c r="BI75" s="101" t="n">
        <x:f>IF(AND(BI$69&gt;$F10,BI$69&lt;=EDATE($F10,$G10)),$K10-BI59,0)</x:f>
        <x:v>0</x:v>
      </x:c>
    </x:row>
    <x:row r="76">
      <x:c r="A76" t="str">
        <x:f>A11</x:f>
        <x:v>批次07</x:v>
      </x:c>
      <x:c r="B76" s="29" t="n">
        <x:f>IF(AND(B$69&gt;$F11,B$69&lt;=EDATE($F11,$G11)),$K11-B60,0)</x:f>
        <x:v>0</x:v>
      </x:c>
      <x:c r="C76" s="29" t="n">
        <x:f>IF(AND(C$69&gt;$F11,C$69&lt;=EDATE($F11,$G11)),$K11-C60,0)</x:f>
        <x:v>0</x:v>
      </x:c>
      <x:c r="D76" s="29" t="n">
        <x:f>IF(AND(D$69&gt;$F11,D$69&lt;=EDATE($F11,$G11)),$K11-D60,0)</x:f>
        <x:v>0</x:v>
      </x:c>
      <x:c r="E76" s="29" t="n">
        <x:f>IF(AND(E$69&gt;$F11,E$69&lt;=EDATE($F11,$G11)),$K11-E60,0)</x:f>
        <x:v>0</x:v>
      </x:c>
      <x:c r="F76" s="29" t="n">
        <x:f>IF(AND(F$69&gt;$F11,F$69&lt;=EDATE($F11,$G11)),$K11-F60,0)</x:f>
        <x:v>0</x:v>
      </x:c>
      <x:c r="G76" s="29" t="n">
        <x:f>IF(AND(G$69&gt;$F11,G$69&lt;=EDATE($F11,$G11)),$K11-G60,0)</x:f>
        <x:v>0</x:v>
      </x:c>
      <x:c r="H76" s="29" t="n">
        <x:f>IF(AND(H$69&gt;$F11,H$69&lt;=EDATE($F11,$G11)),$K11-H60,0)</x:f>
        <x:v>0</x:v>
      </x:c>
      <x:c r="I76" s="29" t="n">
        <x:f>IF(AND(I$69&gt;$F11,I$69&lt;=EDATE($F11,$G11)),$K11-I60,0)</x:f>
        <x:v>0</x:v>
      </x:c>
      <x:c r="J76" s="29" t="n">
        <x:f>IF(AND(J$69&gt;$F11,J$69&lt;=EDATE($F11,$G11)),$K11-J60,0)</x:f>
        <x:v>1229087.5659280564</x:v>
      </x:c>
      <x:c r="K76" s="29" t="n">
        <x:f>IF(AND(K$69&gt;$F11,K$69&lt;=EDATE($F11,$G11)),$K11-K60,0)</x:f>
        <x:v>1237281.4830342433</x:v>
      </x:c>
      <x:c r="L76" s="29" t="n">
        <x:f>IF(AND(L$69&gt;$F11,L$69&lt;=EDATE($F11,$G11)),$K11-L60,0)</x:f>
        <x:v>1245530.0262544716</x:v>
      </x:c>
      <x:c r="M76" s="29" t="n">
        <x:f>IF(AND(M$69&gt;$F11,M$69&lt;=EDATE($F11,$G11)),$K11-M60,0)</x:f>
        <x:v>1253833.5597628348</x:v>
      </x:c>
      <x:c r="N76" s="29" t="n">
        <x:f>IF(AND(N$69&gt;$F11,N$69&lt;=EDATE($F11,$G11)),$K11-N60,0)</x:f>
        <x:v>1262192.4501612538</x:v>
      </x:c>
      <x:c r="O76" s="29" t="n">
        <x:f>IF(AND(O$69&gt;$F11,O$69&lt;=EDATE($F11,$G11)),$K11-O60,0)</x:f>
        <x:v>1270607.066495662</x:v>
      </x:c>
      <x:c r="P76" s="29" t="n">
        <x:f>IF(AND(P$69&gt;$F11,P$69&lt;=EDATE($F11,$G11)),$K11-P60,0)</x:f>
        <x:v>1279077.7802723</x:v>
      </x:c>
      <x:c r="Q76" s="29" t="n">
        <x:f>IF(AND(Q$69&gt;$F11,Q$69&lt;=EDATE($F11,$G11)),$K11-Q60,0)</x:f>
        <x:v>1287604.9654741152</x:v>
      </x:c>
      <x:c r="R76" s="29" t="n">
        <x:f>IF(AND(R$69&gt;$F11,R$69&lt;=EDATE($F11,$G11)),$K11-R60,0)</x:f>
        <x:v>1296188.998577276</x:v>
      </x:c>
      <x:c r="S76" s="29" t="n">
        <x:f>IF(AND(S$69&gt;$F11,S$69&lt;=EDATE($F11,$G11)),$K11-S60,0)</x:f>
        <x:v>1304830.2585677912</x:v>
      </x:c>
      <x:c r="T76" s="29" t="n">
        <x:f>IF(AND(T$69&gt;$F11,T$69&lt;=EDATE($F11,$G11)),$K11-T60,0)</x:f>
        <x:v>1313529.126958243</x:v>
      </x:c>
      <x:c r="U76" s="29" t="n">
        <x:f>IF(AND(U$69&gt;$F11,U$69&lt;=EDATE($F11,$G11)),$K11-U60,0)</x:f>
        <x:v>1322285.9878046312</x:v>
      </x:c>
      <x:c r="V76" s="29" t="n">
        <x:f>IF(AND(V$69&gt;$F11,V$69&lt;=EDATE($F11,$G11)),$K11-V60,0)</x:f>
        <x:v>1331101.2277233289</x:v>
      </x:c>
      <x:c r="W76" s="29" t="n">
        <x:f>IF(AND(W$69&gt;$F11,W$69&lt;=EDATE($F11,$G11)),$K11-W60,0)</x:f>
        <x:v>1339975.2359081511</x:v>
      </x:c>
      <x:c r="X76" s="29" t="n">
        <x:f>IF(AND(X$69&gt;$F11,X$69&lt;=EDATE($F11,$G11)),$K11-X60,0)</x:f>
        <x:v>1348908.4041475388</x:v>
      </x:c>
      <x:c r="Y76" s="29" t="n">
        <x:f>IF(AND(Y$69&gt;$F11,Y$69&lt;=EDATE($F11,$G11)),$K11-Y60,0)</x:f>
        <x:v>1357901.1268418557</x:v>
      </x:c>
      <x:c r="Z76" s="29" t="n">
        <x:f>IF(AND(Z$69&gt;$F11,Z$69&lt;=EDATE($F11,$G11)),$K11-Z60,0)</x:f>
        <x:v>1366953.8010208013</x:v>
      </x:c>
      <x:c r="AA76" s="29" t="n">
        <x:f>IF(AND(AA$69&gt;$F11,AA$69&lt;=EDATE($F11,$G11)),$K11-AA60,0)</x:f>
        <x:v>1376066.82636094</x:v>
      </x:c>
      <x:c r="AB76" s="29" t="n">
        <x:f>IF(AND(AB$69&gt;$F11,AB$69&lt;=EDATE($F11,$G11)),$K11-AB60,0)</x:f>
        <x:v>1385240.6052033463</x:v>
      </x:c>
      <x:c r="AC76" s="29" t="n">
        <x:f>IF(AND(AC$69&gt;$F11,AC$69&lt;=EDATE($F11,$G11)),$K11-AC60,0)</x:f>
        <x:v>1394475.5425713686</x:v>
      </x:c>
      <x:c r="AD76" s="29" t="n">
        <x:f>IF(AND(AD$69&gt;$F11,AD$69&lt;=EDATE($F11,$G11)),$K11-AD60,0)</x:f>
        <x:v>1403772.0461885112</x:v>
      </x:c>
      <x:c r="AE76" s="29" t="n">
        <x:f>IF(AND(AE$69&gt;$F11,AE$69&lt;=EDATE($F11,$G11)),$K11-AE60,0)</x:f>
        <x:v>1413130.5264964346</x:v>
      </x:c>
      <x:c r="AF76" s="29" t="n">
        <x:f>IF(AND(AF$69&gt;$F11,AF$69&lt;=EDATE($F11,$G11)),$K11-AF60,0)</x:f>
        <x:v>1422551.3966730775</x:v>
      </x:c>
      <x:c r="AG76" s="29" t="n">
        <x:f>IF(AND(AG$69&gt;$F11,AG$69&lt;=EDATE($F11,$G11)),$K11-AG60,0)</x:f>
        <x:v>1432035.072650898</x:v>
      </x:c>
      <x:c r="AH76" s="29" t="n">
        <x:f>IF(AND(AH$69&gt;$F11,AH$69&lt;=EDATE($F11,$G11)),$K11-AH60,0)</x:f>
        <x:v>1441581.9731352373</x:v>
      </x:c>
      <x:c r="AI76" s="29" t="n">
        <x:f>IF(AND(AI$69&gt;$F11,AI$69&lt;=EDATE($F11,$G11)),$K11-AI60,0)</x:f>
        <x:v>1451192.5196228055</x:v>
      </x:c>
      <x:c r="AJ76" s="29" t="n">
        <x:f>IF(AND(AJ$69&gt;$F11,AJ$69&lt;=EDATE($F11,$G11)),$K11-AJ60,0)</x:f>
        <x:v>1460867.136420291</x:v>
      </x:c>
      <x:c r="AK76" s="29" t="n">
        <x:f>IF(AND(AK$69&gt;$F11,AK$69&lt;=EDATE($F11,$G11)),$K11-AK60,0)</x:f>
        <x:v>1470606.2506630928</x:v>
      </x:c>
      <x:c r="AL76" s="101" t="n">
        <x:f>IF(AND(AL$69&gt;$F11,AL$69&lt;=EDATE($F11,$G11)),$K11-AL60,0)</x:f>
        <x:v>1480410.29233418</x:v>
      </x:c>
      <x:c r="AM76" s="101" t="n">
        <x:f>IF(AND(AM$69&gt;$F11,AM$69&lt;=EDATE($F11,$G11)),$K11-AM60,0)</x:f>
        <x:v>1490279.6942830747</x:v>
      </x:c>
      <x:c r="AN76" s="101" t="n">
        <x:f>IF(AND(AN$69&gt;$F11,AN$69&lt;=EDATE($F11,$G11)),$K11-AN60,0)</x:f>
        <x:v>1500214.8922449618</x:v>
      </x:c>
      <x:c r="AO76" s="101" t="n">
        <x:f>IF(AND(AO$69&gt;$F11,AO$69&lt;=EDATE($F11,$G11)),$K11-AO60,0)</x:f>
        <x:v>1510216.324859928</x:v>
      </x:c>
      <x:c r="AP76" s="101" t="n">
        <x:f>IF(AND(AP$69&gt;$F11,AP$69&lt;=EDATE($F11,$G11)),$K11-AP60,0)</x:f>
        <x:v>1520284.4336923277</x:v>
      </x:c>
      <x:c r="AQ76" s="101" t="n">
        <x:f>IF(AND(AQ$69&gt;$F11,AQ$69&lt;=EDATE($F11,$G11)),$K11-AQ60,0)</x:f>
        <x:v>1530419.6632502766</x:v>
      </x:c>
      <x:c r="AR76" s="101" t="n">
        <x:f>IF(AND(AR$69&gt;$F11,AR$69&lt;=EDATE($F11,$G11)),$K11-AR60,0)</x:f>
        <x:v>1540622.4610052784</x:v>
      </x:c>
      <x:c r="AS76" s="101" t="n">
        <x:f>IF(AND(AS$69&gt;$F11,AS$69&lt;=EDATE($F11,$G11)),$K11-AS60,0)</x:f>
        <x:v>1550893.2774119803</x:v>
      </x:c>
      <x:c r="AT76" s="101" t="n">
        <x:f>IF(AND(AT$69&gt;$F11,AT$69&lt;=EDATE($F11,$G11)),$K11-AT60,0)</x:f>
        <x:v>0</x:v>
      </x:c>
      <x:c r="AU76" s="101" t="n">
        <x:f>IF(AND(AU$69&gt;$F11,AU$69&lt;=EDATE($F11,$G11)),$K11-AU60,0)</x:f>
        <x:v>0</x:v>
      </x:c>
      <x:c r="AV76" s="101" t="n">
        <x:f>IF(AND(AV$69&gt;$F11,AV$69&lt;=EDATE($F11,$G11)),$K11-AV60,0)</x:f>
        <x:v>0</x:v>
      </x:c>
      <x:c r="AW76" s="101" t="n">
        <x:f>IF(AND(AW$69&gt;$F11,AW$69&lt;=EDATE($F11,$G11)),$K11-AW60,0)</x:f>
        <x:v>0</x:v>
      </x:c>
      <x:c r="AX76" s="101" t="n">
        <x:f>IF(AND(AX$69&gt;$F11,AX$69&lt;=EDATE($F11,$G11)),$K11-AX60,0)</x:f>
        <x:v>0</x:v>
      </x:c>
      <x:c r="AY76" s="101" t="n">
        <x:f>IF(AND(AY$69&gt;$F11,AY$69&lt;=EDATE($F11,$G11)),$K11-AY60,0)</x:f>
        <x:v>0</x:v>
      </x:c>
      <x:c r="AZ76" s="101" t="n">
        <x:f>IF(AND(AZ$69&gt;$F11,AZ$69&lt;=EDATE($F11,$G11)),$K11-AZ60,0)</x:f>
        <x:v>0</x:v>
      </x:c>
      <x:c r="BA76" s="101" t="n">
        <x:f>IF(AND(BA$69&gt;$F11,BA$69&lt;=EDATE($F11,$G11)),$K11-BA60,0)</x:f>
        <x:v>0</x:v>
      </x:c>
      <x:c r="BB76" s="101" t="n">
        <x:f>IF(AND(BB$69&gt;$F11,BB$69&lt;=EDATE($F11,$G11)),$K11-BB60,0)</x:f>
        <x:v>0</x:v>
      </x:c>
      <x:c r="BC76" s="101" t="n">
        <x:f>IF(AND(BC$69&gt;$F11,BC$69&lt;=EDATE($F11,$G11)),$K11-BC60,0)</x:f>
        <x:v>0</x:v>
      </x:c>
      <x:c r="BD76" s="101" t="n">
        <x:f>IF(AND(BD$69&gt;$F11,BD$69&lt;=EDATE($F11,$G11)),$K11-BD60,0)</x:f>
        <x:v>0</x:v>
      </x:c>
      <x:c r="BE76" s="101" t="n">
        <x:f>IF(AND(BE$69&gt;$F11,BE$69&lt;=EDATE($F11,$G11)),$K11-BE60,0)</x:f>
        <x:v>0</x:v>
      </x:c>
      <x:c r="BF76" s="101" t="n">
        <x:f>IF(AND(BF$69&gt;$F11,BF$69&lt;=EDATE($F11,$G11)),$K11-BF60,0)</x:f>
        <x:v>0</x:v>
      </x:c>
      <x:c r="BG76" s="101" t="n">
        <x:f>IF(AND(BG$69&gt;$F11,BG$69&lt;=EDATE($F11,$G11)),$K11-BG60,0)</x:f>
        <x:v>0</x:v>
      </x:c>
      <x:c r="BH76" s="101" t="n">
        <x:f>IF(AND(BH$69&gt;$F11,BH$69&lt;=EDATE($F11,$G11)),$K11-BH60,0)</x:f>
        <x:v>0</x:v>
      </x:c>
      <x:c r="BI76" s="101" t="n">
        <x:f>IF(AND(BI$69&gt;$F11,BI$69&lt;=EDATE($F11,$G11)),$K11-BI60,0)</x:f>
        <x:v>0</x:v>
      </x:c>
    </x:row>
    <x:row r="77">
      <x:c r="A77" t="str">
        <x:f>A12</x:f>
        <x:v>批次08</x:v>
      </x:c>
      <x:c r="B77" s="29" t="n">
        <x:f>IF(AND(B$69&gt;$F12,B$69&lt;=EDATE($F12,$G12)),$K12-B61,0)</x:f>
        <x:v>0</x:v>
      </x:c>
      <x:c r="C77" s="29" t="n">
        <x:f>IF(AND(C$69&gt;$F12,C$69&lt;=EDATE($F12,$G12)),$K12-C61,0)</x:f>
        <x:v>0</x:v>
      </x:c>
      <x:c r="D77" s="29" t="n">
        <x:f>IF(AND(D$69&gt;$F12,D$69&lt;=EDATE($F12,$G12)),$K12-D61,0)</x:f>
        <x:v>0</x:v>
      </x:c>
      <x:c r="E77" s="29" t="n">
        <x:f>IF(AND(E$69&gt;$F12,E$69&lt;=EDATE($F12,$G12)),$K12-E61,0)</x:f>
        <x:v>0</x:v>
      </x:c>
      <x:c r="F77" s="29" t="n">
        <x:f>IF(AND(F$69&gt;$F12,F$69&lt;=EDATE($F12,$G12)),$K12-F61,0)</x:f>
        <x:v>0</x:v>
      </x:c>
      <x:c r="G77" s="29" t="n">
        <x:f>IF(AND(G$69&gt;$F12,G$69&lt;=EDATE($F12,$G12)),$K12-G61,0)</x:f>
        <x:v>0</x:v>
      </x:c>
      <x:c r="H77" s="29" t="n">
        <x:f>IF(AND(H$69&gt;$F12,H$69&lt;=EDATE($F12,$G12)),$K12-H61,0)</x:f>
        <x:v>0</x:v>
      </x:c>
      <x:c r="I77" s="29" t="n">
        <x:f>IF(AND(I$69&gt;$F12,I$69&lt;=EDATE($F12,$G12)),$K12-I61,0)</x:f>
        <x:v>0</x:v>
      </x:c>
      <x:c r="J77" s="29" t="n">
        <x:f>IF(AND(J$69&gt;$F12,J$69&lt;=EDATE($F12,$G12)),$K12-J61,0)</x:f>
        <x:v>0</x:v>
      </x:c>
      <x:c r="K77" s="29" t="n">
        <x:f>IF(AND(K$69&gt;$F12,K$69&lt;=EDATE($F12,$G12)),$K12-K61,0)</x:f>
        <x:v>1229087.5659280564</x:v>
      </x:c>
      <x:c r="L77" s="29" t="n">
        <x:f>IF(AND(L$69&gt;$F12,L$69&lt;=EDATE($F12,$G12)),$K12-L61,0)</x:f>
        <x:v>1237281.4830342433</x:v>
      </x:c>
      <x:c r="M77" s="29" t="n">
        <x:f>IF(AND(M$69&gt;$F12,M$69&lt;=EDATE($F12,$G12)),$K12-M61,0)</x:f>
        <x:v>1245530.0262544716</x:v>
      </x:c>
      <x:c r="N77" s="29" t="n">
        <x:f>IF(AND(N$69&gt;$F12,N$69&lt;=EDATE($F12,$G12)),$K12-N61,0)</x:f>
        <x:v>1253833.5597628348</x:v>
      </x:c>
      <x:c r="O77" s="29" t="n">
        <x:f>IF(AND(O$69&gt;$F12,O$69&lt;=EDATE($F12,$G12)),$K12-O61,0)</x:f>
        <x:v>1262192.4501612538</x:v>
      </x:c>
      <x:c r="P77" s="29" t="n">
        <x:f>IF(AND(P$69&gt;$F12,P$69&lt;=EDATE($F12,$G12)),$K12-P61,0)</x:f>
        <x:v>1270607.066495662</x:v>
      </x:c>
      <x:c r="Q77" s="29" t="n">
        <x:f>IF(AND(Q$69&gt;$F12,Q$69&lt;=EDATE($F12,$G12)),$K12-Q61,0)</x:f>
        <x:v>1279077.7802723</x:v>
      </x:c>
      <x:c r="R77" s="29" t="n">
        <x:f>IF(AND(R$69&gt;$F12,R$69&lt;=EDATE($F12,$G12)),$K12-R61,0)</x:f>
        <x:v>1287604.9654741152</x:v>
      </x:c>
      <x:c r="S77" s="29" t="n">
        <x:f>IF(AND(S$69&gt;$F12,S$69&lt;=EDATE($F12,$G12)),$K12-S61,0)</x:f>
        <x:v>1296188.998577276</x:v>
      </x:c>
      <x:c r="T77" s="29" t="n">
        <x:f>IF(AND(T$69&gt;$F12,T$69&lt;=EDATE($F12,$G12)),$K12-T61,0)</x:f>
        <x:v>1304830.2585677912</x:v>
      </x:c>
      <x:c r="U77" s="29" t="n">
        <x:f>IF(AND(U$69&gt;$F12,U$69&lt;=EDATE($F12,$G12)),$K12-U61,0)</x:f>
        <x:v>1313529.126958243</x:v>
      </x:c>
      <x:c r="V77" s="29" t="n">
        <x:f>IF(AND(V$69&gt;$F12,V$69&lt;=EDATE($F12,$G12)),$K12-V61,0)</x:f>
        <x:v>1322285.9878046312</x:v>
      </x:c>
      <x:c r="W77" s="29" t="n">
        <x:f>IF(AND(W$69&gt;$F12,W$69&lt;=EDATE($F12,$G12)),$K12-W61,0)</x:f>
        <x:v>1331101.2277233289</x:v>
      </x:c>
      <x:c r="X77" s="29" t="n">
        <x:f>IF(AND(X$69&gt;$F12,X$69&lt;=EDATE($F12,$G12)),$K12-X61,0)</x:f>
        <x:v>1339975.2359081511</x:v>
      </x:c>
      <x:c r="Y77" s="29" t="n">
        <x:f>IF(AND(Y$69&gt;$F12,Y$69&lt;=EDATE($F12,$G12)),$K12-Y61,0)</x:f>
        <x:v>1348908.4041475388</x:v>
      </x:c>
      <x:c r="Z77" s="29" t="n">
        <x:f>IF(AND(Z$69&gt;$F12,Z$69&lt;=EDATE($F12,$G12)),$K12-Z61,0)</x:f>
        <x:v>1357901.1268418557</x:v>
      </x:c>
      <x:c r="AA77" s="29" t="n">
        <x:f>IF(AND(AA$69&gt;$F12,AA$69&lt;=EDATE($F12,$G12)),$K12-AA61,0)</x:f>
        <x:v>1366953.8010208013</x:v>
      </x:c>
      <x:c r="AB77" s="29" t="n">
        <x:f>IF(AND(AB$69&gt;$F12,AB$69&lt;=EDATE($F12,$G12)),$K12-AB61,0)</x:f>
        <x:v>1376066.82636094</x:v>
      </x:c>
      <x:c r="AC77" s="29" t="n">
        <x:f>IF(AND(AC$69&gt;$F12,AC$69&lt;=EDATE($F12,$G12)),$K12-AC61,0)</x:f>
        <x:v>1385240.6052033463</x:v>
      </x:c>
      <x:c r="AD77" s="29" t="n">
        <x:f>IF(AND(AD$69&gt;$F12,AD$69&lt;=EDATE($F12,$G12)),$K12-AD61,0)</x:f>
        <x:v>1394475.5425713686</x:v>
      </x:c>
      <x:c r="AE77" s="29" t="n">
        <x:f>IF(AND(AE$69&gt;$F12,AE$69&lt;=EDATE($F12,$G12)),$K12-AE61,0)</x:f>
        <x:v>1403772.0461885112</x:v>
      </x:c>
      <x:c r="AF77" s="29" t="n">
        <x:f>IF(AND(AF$69&gt;$F12,AF$69&lt;=EDATE($F12,$G12)),$K12-AF61,0)</x:f>
        <x:v>1413130.5264964346</x:v>
      </x:c>
      <x:c r="AG77" s="29" t="n">
        <x:f>IF(AND(AG$69&gt;$F12,AG$69&lt;=EDATE($F12,$G12)),$K12-AG61,0)</x:f>
        <x:v>1422551.3966730775</x:v>
      </x:c>
      <x:c r="AH77" s="29" t="n">
        <x:f>IF(AND(AH$69&gt;$F12,AH$69&lt;=EDATE($F12,$G12)),$K12-AH61,0)</x:f>
        <x:v>1432035.072650898</x:v>
      </x:c>
      <x:c r="AI77" s="29" t="n">
        <x:f>IF(AND(AI$69&gt;$F12,AI$69&lt;=EDATE($F12,$G12)),$K12-AI61,0)</x:f>
        <x:v>1441581.9731352373</x:v>
      </x:c>
      <x:c r="AJ77" s="29" t="n">
        <x:f>IF(AND(AJ$69&gt;$F12,AJ$69&lt;=EDATE($F12,$G12)),$K12-AJ61,0)</x:f>
        <x:v>1451192.5196228055</x:v>
      </x:c>
      <x:c r="AK77" s="29" t="n">
        <x:f>IF(AND(AK$69&gt;$F12,AK$69&lt;=EDATE($F12,$G12)),$K12-AK61,0)</x:f>
        <x:v>1460867.136420291</x:v>
      </x:c>
      <x:c r="AL77" s="101" t="n">
        <x:f>IF(AND(AL$69&gt;$F12,AL$69&lt;=EDATE($F12,$G12)),$K12-AL61,0)</x:f>
        <x:v>1470606.2506630928</x:v>
      </x:c>
      <x:c r="AM77" s="101" t="n">
        <x:f>IF(AND(AM$69&gt;$F12,AM$69&lt;=EDATE($F12,$G12)),$K12-AM61,0)</x:f>
        <x:v>1480410.29233418</x:v>
      </x:c>
      <x:c r="AN77" s="101" t="n">
        <x:f>IF(AND(AN$69&gt;$F12,AN$69&lt;=EDATE($F12,$G12)),$K12-AN61,0)</x:f>
        <x:v>1490279.6942830747</x:v>
      </x:c>
      <x:c r="AO77" s="101" t="n">
        <x:f>IF(AND(AO$69&gt;$F12,AO$69&lt;=EDATE($F12,$G12)),$K12-AO61,0)</x:f>
        <x:v>1500214.8922449618</x:v>
      </x:c>
      <x:c r="AP77" s="101" t="n">
        <x:f>IF(AND(AP$69&gt;$F12,AP$69&lt;=EDATE($F12,$G12)),$K12-AP61,0)</x:f>
        <x:v>1510216.324859928</x:v>
      </x:c>
      <x:c r="AQ77" s="101" t="n">
        <x:f>IF(AND(AQ$69&gt;$F12,AQ$69&lt;=EDATE($F12,$G12)),$K12-AQ61,0)</x:f>
        <x:v>1520284.4336923277</x:v>
      </x:c>
      <x:c r="AR77" s="101" t="n">
        <x:f>IF(AND(AR$69&gt;$F12,AR$69&lt;=EDATE($F12,$G12)),$K12-AR61,0)</x:f>
        <x:v>1530419.6632502766</x:v>
      </x:c>
      <x:c r="AS77" s="101" t="n">
        <x:f>IF(AND(AS$69&gt;$F12,AS$69&lt;=EDATE($F12,$G12)),$K12-AS61,0)</x:f>
        <x:v>1540622.4610052784</x:v>
      </x:c>
      <x:c r="AT77" s="101" t="n">
        <x:f>IF(AND(AT$69&gt;$F12,AT$69&lt;=EDATE($F12,$G12)),$K12-AT61,0)</x:f>
        <x:v>1550893.2774119803</x:v>
      </x:c>
      <x:c r="AU77" s="101" t="n">
        <x:f>IF(AND(AU$69&gt;$F12,AU$69&lt;=EDATE($F12,$G12)),$K12-AU61,0)</x:f>
        <x:v>0</x:v>
      </x:c>
      <x:c r="AV77" s="101" t="n">
        <x:f>IF(AND(AV$69&gt;$F12,AV$69&lt;=EDATE($F12,$G12)),$K12-AV61,0)</x:f>
        <x:v>0</x:v>
      </x:c>
      <x:c r="AW77" s="101" t="n">
        <x:f>IF(AND(AW$69&gt;$F12,AW$69&lt;=EDATE($F12,$G12)),$K12-AW61,0)</x:f>
        <x:v>0</x:v>
      </x:c>
      <x:c r="AX77" s="101" t="n">
        <x:f>IF(AND(AX$69&gt;$F12,AX$69&lt;=EDATE($F12,$G12)),$K12-AX61,0)</x:f>
        <x:v>0</x:v>
      </x:c>
      <x:c r="AY77" s="101" t="n">
        <x:f>IF(AND(AY$69&gt;$F12,AY$69&lt;=EDATE($F12,$G12)),$K12-AY61,0)</x:f>
        <x:v>0</x:v>
      </x:c>
      <x:c r="AZ77" s="101" t="n">
        <x:f>IF(AND(AZ$69&gt;$F12,AZ$69&lt;=EDATE($F12,$G12)),$K12-AZ61,0)</x:f>
        <x:v>0</x:v>
      </x:c>
      <x:c r="BA77" s="101" t="n">
        <x:f>IF(AND(BA$69&gt;$F12,BA$69&lt;=EDATE($F12,$G12)),$K12-BA61,0)</x:f>
        <x:v>0</x:v>
      </x:c>
      <x:c r="BB77" s="101" t="n">
        <x:f>IF(AND(BB$69&gt;$F12,BB$69&lt;=EDATE($F12,$G12)),$K12-BB61,0)</x:f>
        <x:v>0</x:v>
      </x:c>
      <x:c r="BC77" s="101" t="n">
        <x:f>IF(AND(BC$69&gt;$F12,BC$69&lt;=EDATE($F12,$G12)),$K12-BC61,0)</x:f>
        <x:v>0</x:v>
      </x:c>
      <x:c r="BD77" s="101" t="n">
        <x:f>IF(AND(BD$69&gt;$F12,BD$69&lt;=EDATE($F12,$G12)),$K12-BD61,0)</x:f>
        <x:v>0</x:v>
      </x:c>
      <x:c r="BE77" s="101" t="n">
        <x:f>IF(AND(BE$69&gt;$F12,BE$69&lt;=EDATE($F12,$G12)),$K12-BE61,0)</x:f>
        <x:v>0</x:v>
      </x:c>
      <x:c r="BF77" s="101" t="n">
        <x:f>IF(AND(BF$69&gt;$F12,BF$69&lt;=EDATE($F12,$G12)),$K12-BF61,0)</x:f>
        <x:v>0</x:v>
      </x:c>
      <x:c r="BG77" s="101" t="n">
        <x:f>IF(AND(BG$69&gt;$F12,BG$69&lt;=EDATE($F12,$G12)),$K12-BG61,0)</x:f>
        <x:v>0</x:v>
      </x:c>
      <x:c r="BH77" s="101" t="n">
        <x:f>IF(AND(BH$69&gt;$F12,BH$69&lt;=EDATE($F12,$G12)),$K12-BH61,0)</x:f>
        <x:v>0</x:v>
      </x:c>
      <x:c r="BI77" s="101" t="n">
        <x:f>IF(AND(BI$69&gt;$F12,BI$69&lt;=EDATE($F12,$G12)),$K12-BI61,0)</x:f>
        <x:v>0</x:v>
      </x:c>
    </x:row>
    <x:row r="78">
      <x:c r="A78" t="str">
        <x:f>A13</x:f>
        <x:v>批次09</x:v>
      </x:c>
      <x:c r="B78" s="29" t="n">
        <x:f>IF(AND(B$69&gt;$F13,B$69&lt;=EDATE($F13,$G13)),$K13-B62,0)</x:f>
        <x:v>0</x:v>
      </x:c>
      <x:c r="C78" s="29" t="n">
        <x:f>IF(AND(C$69&gt;$F13,C$69&lt;=EDATE($F13,$G13)),$K13-C62,0)</x:f>
        <x:v>0</x:v>
      </x:c>
      <x:c r="D78" s="29" t="n">
        <x:f>IF(AND(D$69&gt;$F13,D$69&lt;=EDATE($F13,$G13)),$K13-D62,0)</x:f>
        <x:v>0</x:v>
      </x:c>
      <x:c r="E78" s="29" t="n">
        <x:f>IF(AND(E$69&gt;$F13,E$69&lt;=EDATE($F13,$G13)),$K13-E62,0)</x:f>
        <x:v>0</x:v>
      </x:c>
      <x:c r="F78" s="29" t="n">
        <x:f>IF(AND(F$69&gt;$F13,F$69&lt;=EDATE($F13,$G13)),$K13-F62,0)</x:f>
        <x:v>0</x:v>
      </x:c>
      <x:c r="G78" s="29" t="n">
        <x:f>IF(AND(G$69&gt;$F13,G$69&lt;=EDATE($F13,$G13)),$K13-G62,0)</x:f>
        <x:v>0</x:v>
      </x:c>
      <x:c r="H78" s="29" t="n">
        <x:f>IF(AND(H$69&gt;$F13,H$69&lt;=EDATE($F13,$G13)),$K13-H62,0)</x:f>
        <x:v>0</x:v>
      </x:c>
      <x:c r="I78" s="29" t="n">
        <x:f>IF(AND(I$69&gt;$F13,I$69&lt;=EDATE($F13,$G13)),$K13-I62,0)</x:f>
        <x:v>0</x:v>
      </x:c>
      <x:c r="J78" s="29" t="n">
        <x:f>IF(AND(J$69&gt;$F13,J$69&lt;=EDATE($F13,$G13)),$K13-J62,0)</x:f>
        <x:v>0</x:v>
      </x:c>
      <x:c r="K78" s="29" t="n">
        <x:f>IF(AND(K$69&gt;$F13,K$69&lt;=EDATE($F13,$G13)),$K13-K62,0)</x:f>
        <x:v>0</x:v>
      </x:c>
      <x:c r="L78" s="29" t="n">
        <x:f>IF(AND(L$69&gt;$F13,L$69&lt;=EDATE($F13,$G13)),$K13-L62,0)</x:f>
        <x:v>1556453.4821466291</x:v>
      </x:c>
      <x:c r="M78" s="29" t="n">
        <x:f>IF(AND(M$69&gt;$F13,M$69&lt;=EDATE($F13,$G13)),$K13-M62,0)</x:f>
        <x:v>1566829.8386942733</x:v>
      </x:c>
      <x:c r="N78" s="29" t="n">
        <x:f>IF(AND(N$69&gt;$F13,N$69&lt;=EDATE($F13,$G13)),$K13-N62,0)</x:f>
        <x:v>1577275.370952235</x:v>
      </x:c>
      <x:c r="O78" s="29" t="n">
        <x:f>IF(AND(O$69&gt;$F13,O$69&lt;=EDATE($F13,$G13)),$K13-O62,0)</x:f>
        <x:v>1587790.5400919167</x:v>
      </x:c>
      <x:c r="P78" s="29" t="n">
        <x:f>IF(AND(P$69&gt;$F13,P$69&lt;=EDATE($F13,$G13)),$K13-P62,0)</x:f>
        <x:v>1598375.8103591963</x:v>
      </x:c>
      <x:c r="Q78" s="29" t="n">
        <x:f>IF(AND(Q$69&gt;$F13,Q$69&lt;=EDATE($F13,$G13)),$K13-Q62,0)</x:f>
        <x:v>1609031.649094924</x:v>
      </x:c>
      <x:c r="R78" s="29" t="n">
        <x:f>IF(AND(R$69&gt;$F13,R$69&lt;=EDATE($F13,$G13)),$K13-R62,0)</x:f>
        <x:v>1619758.526755557</x:v>
      </x:c>
      <x:c r="S78" s="29" t="n">
        <x:f>IF(AND(S$69&gt;$F13,S$69&lt;=EDATE($F13,$G13)),$K13-S62,0)</x:f>
        <x:v>1630556.9169339272</x:v>
      </x:c>
      <x:c r="T78" s="29" t="n">
        <x:f>IF(AND(T$69&gt;$F13,T$69&lt;=EDATE($F13,$G13)),$K13-T62,0)</x:f>
        <x:v>1641427.2963801534</x:v>
      </x:c>
      <x:c r="U78" s="29" t="n">
        <x:f>IF(AND(U$69&gt;$F13,U$69&lt;=EDATE($F13,$G13)),$K13-U62,0)</x:f>
        <x:v>1652370.145022688</x:v>
      </x:c>
      <x:c r="V78" s="29" t="n">
        <x:f>IF(AND(V$69&gt;$F13,V$69&lt;=EDATE($F13,$G13)),$K13-V62,0)</x:f>
        <x:v>1663385.9459895059</x:v>
      </x:c>
      <x:c r="W78" s="29" t="n">
        <x:f>IF(AND(W$69&gt;$F13,W$69&lt;=EDATE($F13,$G13)),$K13-W62,0)</x:f>
        <x:v>1674475.1856294358</x:v>
      </x:c>
      <x:c r="X78" s="29" t="n">
        <x:f>IF(AND(X$69&gt;$F13,X$69&lt;=EDATE($F13,$G13)),$K13-X62,0)</x:f>
        <x:v>1685638.3535336321</x:v>
      </x:c>
      <x:c r="Y78" s="29" t="n">
        <x:f>IF(AND(Y$69&gt;$F13,Y$69&lt;=EDATE($F13,$G13)),$K13-Y62,0)</x:f>
        <x:v>1696875.9425571896</x:v>
      </x:c>
      <x:c r="Z78" s="29" t="n">
        <x:f>IF(AND(Z$69&gt;$F13,Z$69&lt;=EDATE($F13,$G13)),$K13-Z62,0)</x:f>
        <x:v>1708188.448840904</x:v>
      </x:c>
      <x:c r="AA78" s="29" t="n">
        <x:f>IF(AND(AA$69&gt;$F13,AA$69&lt;=EDATE($F13,$G13)),$K13-AA62,0)</x:f>
        <x:v>1719576.3718331768</x:v>
      </x:c>
      <x:c r="AB78" s="29" t="n">
        <x:f>IF(AND(AB$69&gt;$F13,AB$69&lt;=EDATE($F13,$G13)),$K13-AB62,0)</x:f>
        <x:v>1731040.2143120647</x:v>
      </x:c>
      <x:c r="AC78" s="29" t="n">
        <x:f>IF(AND(AC$69&gt;$F13,AC$69&lt;=EDATE($F13,$G13)),$K13-AC62,0)</x:f>
        <x:v>1742580.4824074784</x:v>
      </x:c>
      <x:c r="AD78" s="29" t="n">
        <x:f>IF(AND(AD$69&gt;$F13,AD$69&lt;=EDATE($F13,$G13)),$K13-AD62,0)</x:f>
        <x:v>1754197.6856235282</x:v>
      </x:c>
      <x:c r="AE78" s="29" t="n">
        <x:f>IF(AND(AE$69&gt;$F13,AE$69&lt;=EDATE($F13,$G13)),$K13-AE62,0)</x:f>
        <x:v>1765892.3368610186</x:v>
      </x:c>
      <x:c r="AF78" s="29" t="n">
        <x:f>IF(AND(AF$69&gt;$F13,AF$69&lt;=EDATE($F13,$G13)),$K13-AF62,0)</x:f>
        <x:v>1777664.9524400919</x:v>
      </x:c>
      <x:c r="AG78" s="29" t="n">
        <x:f>IF(AND(AG$69&gt;$F13,AG$69&lt;=EDATE($F13,$G13)),$K13-AG62,0)</x:f>
        <x:v>1789516.0521230258</x:v>
      </x:c>
      <x:c r="AH78" s="29" t="n">
        <x:f>IF(AND(AH$69&gt;$F13,AH$69&lt;=EDATE($F13,$G13)),$K13-AH62,0)</x:f>
        <x:v>1801446.1591371794</x:v>
      </x:c>
      <x:c r="AI78" s="29" t="n">
        <x:f>IF(AND(AI$69&gt;$F13,AI$69&lt;=EDATE($F13,$G13)),$K13-AI62,0)</x:f>
        <x:v>1813455.800198094</x:v>
      </x:c>
      <x:c r="AJ78" s="29" t="n">
        <x:f>IF(AND(AJ$69&gt;$F13,AJ$69&lt;=EDATE($F13,$G13)),$K13-AJ62,0)</x:f>
        <x:v>1825545.5055327478</x:v>
      </x:c>
      <x:c r="AK78" s="29" t="n">
        <x:f>IF(AND(AK$69&gt;$F13,AK$69&lt;=EDATE($F13,$G13)),$K13-AK62,0)</x:f>
        <x:v>1837715.808902966</x:v>
      </x:c>
      <x:c r="AL78" s="101" t="n">
        <x:f>IF(AND(AL$69&gt;$F13,AL$69&lt;=EDATE($F13,$G13)),$K13-AL62,0)</x:f>
        <x:v>1849967.247628986</x:v>
      </x:c>
      <x:c r="AM78" s="101" t="n">
        <x:f>IF(AND(AM$69&gt;$F13,AM$69&lt;=EDATE($F13,$G13)),$K13-AM62,0)</x:f>
        <x:v>1862300.3626131793</x:v>
      </x:c>
      <x:c r="AN78" s="101" t="n">
        <x:f>IF(AND(AN$69&gt;$F13,AN$69&lt;=EDATE($F13,$G13)),$K13-AN62,0)</x:f>
        <x:v>1874715.6983639337</x:v>
      </x:c>
      <x:c r="AO78" s="101" t="n">
        <x:f>IF(AND(AO$69&gt;$F13,AO$69&lt;=EDATE($F13,$G13)),$K13-AO62,0)</x:f>
        <x:v>1887213.8030196934</x:v>
      </x:c>
      <x:c r="AP78" s="101" t="n">
        <x:f>IF(AND(AP$69&gt;$F13,AP$69&lt;=EDATE($F13,$G13)),$K13-AP62,0)</x:f>
        <x:v>1899795.2283731578</x:v>
      </x:c>
      <x:c r="AQ78" s="101" t="n">
        <x:f>IF(AND(AQ$69&gt;$F13,AQ$69&lt;=EDATE($F13,$G13)),$K13-AQ62,0)</x:f>
        <x:v>1912460.5298956456</x:v>
      </x:c>
      <x:c r="AR78" s="101" t="n">
        <x:f>IF(AND(AR$69&gt;$F13,AR$69&lt;=EDATE($F13,$G13)),$K13-AR62,0)</x:f>
        <x:v>1925210.2667616166</x:v>
      </x:c>
      <x:c r="AS78" s="101" t="n">
        <x:f>IF(AND(AS$69&gt;$F13,AS$69&lt;=EDATE($F13,$G13)),$K13-AS62,0)</x:f>
        <x:v>1938045.0018733607</x:v>
      </x:c>
      <x:c r="AT78" s="101" t="n">
        <x:f>IF(AND(AT$69&gt;$F13,AT$69&lt;=EDATE($F13,$G13)),$K13-AT62,0)</x:f>
        <x:v>1950965.3018858498</x:v>
      </x:c>
      <x:c r="AU78" s="101" t="n">
        <x:f>IF(AND(AU$69&gt;$F13,AU$69&lt;=EDATE($F13,$G13)),$K13-AU62,0)</x:f>
        <x:v>1963971.7372317554</x:v>
      </x:c>
      <x:c r="AV78" s="101" t="n">
        <x:f>IF(AND(AV$69&gt;$F13,AV$69&lt;=EDATE($F13,$G13)),$K13-AV62,0)</x:f>
        <x:v>0</x:v>
      </x:c>
      <x:c r="AW78" s="101" t="n">
        <x:f>IF(AND(AW$69&gt;$F13,AW$69&lt;=EDATE($F13,$G13)),$K13-AW62,0)</x:f>
        <x:v>0</x:v>
      </x:c>
      <x:c r="AX78" s="101" t="n">
        <x:f>IF(AND(AX$69&gt;$F13,AX$69&lt;=EDATE($F13,$G13)),$K13-AX62,0)</x:f>
        <x:v>0</x:v>
      </x:c>
      <x:c r="AY78" s="101" t="n">
        <x:f>IF(AND(AY$69&gt;$F13,AY$69&lt;=EDATE($F13,$G13)),$K13-AY62,0)</x:f>
        <x:v>0</x:v>
      </x:c>
      <x:c r="AZ78" s="101" t="n">
        <x:f>IF(AND(AZ$69&gt;$F13,AZ$69&lt;=EDATE($F13,$G13)),$K13-AZ62,0)</x:f>
        <x:v>0</x:v>
      </x:c>
      <x:c r="BA78" s="101" t="n">
        <x:f>IF(AND(BA$69&gt;$F13,BA$69&lt;=EDATE($F13,$G13)),$K13-BA62,0)</x:f>
        <x:v>0</x:v>
      </x:c>
      <x:c r="BB78" s="101" t="n">
        <x:f>IF(AND(BB$69&gt;$F13,BB$69&lt;=EDATE($F13,$G13)),$K13-BB62,0)</x:f>
        <x:v>0</x:v>
      </x:c>
      <x:c r="BC78" s="101" t="n">
        <x:f>IF(AND(BC$69&gt;$F13,BC$69&lt;=EDATE($F13,$G13)),$K13-BC62,0)</x:f>
        <x:v>0</x:v>
      </x:c>
      <x:c r="BD78" s="101" t="n">
        <x:f>IF(AND(BD$69&gt;$F13,BD$69&lt;=EDATE($F13,$G13)),$K13-BD62,0)</x:f>
        <x:v>0</x:v>
      </x:c>
      <x:c r="BE78" s="101" t="n">
        <x:f>IF(AND(BE$69&gt;$F13,BE$69&lt;=EDATE($F13,$G13)),$K13-BE62,0)</x:f>
        <x:v>0</x:v>
      </x:c>
      <x:c r="BF78" s="101" t="n">
        <x:f>IF(AND(BF$69&gt;$F13,BF$69&lt;=EDATE($F13,$G13)),$K13-BF62,0)</x:f>
        <x:v>0</x:v>
      </x:c>
      <x:c r="BG78" s="101" t="n">
        <x:f>IF(AND(BG$69&gt;$F13,BG$69&lt;=EDATE($F13,$G13)),$K13-BG62,0)</x:f>
        <x:v>0</x:v>
      </x:c>
      <x:c r="BH78" s="101" t="n">
        <x:f>IF(AND(BH$69&gt;$F13,BH$69&lt;=EDATE($F13,$G13)),$K13-BH62,0)</x:f>
        <x:v>0</x:v>
      </x:c>
      <x:c r="BI78" s="101" t="n">
        <x:f>IF(AND(BI$69&gt;$F13,BI$69&lt;=EDATE($F13,$G13)),$K13-BI62,0)</x:f>
        <x:v>0</x:v>
      </x:c>
    </x:row>
    <x:row r="79">
      <x:c r="A79" t="str">
        <x:f>A14</x:f>
        <x:v>批次10</x:v>
      </x:c>
      <x:c r="B79" s="29" t="n">
        <x:f>IF(AND(B$69&gt;$F14,B$69&lt;=EDATE($F14,$G14)),$K14-B63,0)</x:f>
        <x:v>0</x:v>
      </x:c>
      <x:c r="C79" s="29" t="n">
        <x:f>IF(AND(C$69&gt;$F14,C$69&lt;=EDATE($F14,$G14)),$K14-C63,0)</x:f>
        <x:v>0</x:v>
      </x:c>
      <x:c r="D79" s="29" t="n">
        <x:f>IF(AND(D$69&gt;$F14,D$69&lt;=EDATE($F14,$G14)),$K14-D63,0)</x:f>
        <x:v>0</x:v>
      </x:c>
      <x:c r="E79" s="29" t="n">
        <x:f>IF(AND(E$69&gt;$F14,E$69&lt;=EDATE($F14,$G14)),$K14-E63,0)</x:f>
        <x:v>0</x:v>
      </x:c>
      <x:c r="F79" s="29" t="n">
        <x:f>IF(AND(F$69&gt;$F14,F$69&lt;=EDATE($F14,$G14)),$K14-F63,0)</x:f>
        <x:v>0</x:v>
      </x:c>
      <x:c r="G79" s="29" t="n">
        <x:f>IF(AND(G$69&gt;$F14,G$69&lt;=EDATE($F14,$G14)),$K14-G63,0)</x:f>
        <x:v>0</x:v>
      </x:c>
      <x:c r="H79" s="29" t="n">
        <x:f>IF(AND(H$69&gt;$F14,H$69&lt;=EDATE($F14,$G14)),$K14-H63,0)</x:f>
        <x:v>0</x:v>
      </x:c>
      <x:c r="I79" s="29" t="n">
        <x:f>IF(AND(I$69&gt;$F14,I$69&lt;=EDATE($F14,$G14)),$K14-I63,0)</x:f>
        <x:v>0</x:v>
      </x:c>
      <x:c r="J79" s="29" t="n">
        <x:f>IF(AND(J$69&gt;$F14,J$69&lt;=EDATE($F14,$G14)),$K14-J63,0)</x:f>
        <x:v>0</x:v>
      </x:c>
      <x:c r="K79" s="29" t="n">
        <x:f>IF(AND(K$69&gt;$F14,K$69&lt;=EDATE($F14,$G14)),$K14-K63,0)</x:f>
        <x:v>0</x:v>
      </x:c>
      <x:c r="L79" s="29" t="n">
        <x:f>IF(AND(L$69&gt;$F14,L$69&lt;=EDATE($F14,$G14)),$K14-L63,0)</x:f>
        <x:v>0</x:v>
      </x:c>
      <x:c r="M79" s="29" t="n">
        <x:f>IF(AND(M$69&gt;$F14,M$69&lt;=EDATE($F14,$G14)),$K14-M63,0)</x:f>
        <x:v>1648552.6219601356</x:v>
      </x:c>
      <x:c r="N79" s="29" t="n">
        <x:f>IF(AND(N$69&gt;$F14,N$69&lt;=EDATE($F14,$G14)),$K14-N63,0)</x:f>
        <x:v>1659542.9727732032</x:v>
      </x:c>
      <x:c r="O79" s="29" t="n">
        <x:f>IF(AND(O$69&gt;$F14,O$69&lt;=EDATE($F14,$G14)),$K14-O63,0)</x:f>
        <x:v>1670606.5925916913</x:v>
      </x:c>
      <x:c r="P79" s="29" t="n">
        <x:f>IF(AND(P$69&gt;$F14,P$69&lt;=EDATE($F14,$G14)),$K14-P63,0)</x:f>
        <x:v>1681743.9698756358</x:v>
      </x:c>
      <x:c r="Q79" s="29" t="n">
        <x:f>IF(AND(Q$69&gt;$F14,Q$69&lt;=EDATE($F14,$G14)),$K14-Q63,0)</x:f>
        <x:v>1692955.5963414733</x:v>
      </x:c>
      <x:c r="R79" s="29" t="n">
        <x:f>IF(AND(R$69&gt;$F14,R$69&lt;=EDATE($F14,$G14)),$K14-R63,0)</x:f>
        <x:v>1704241.9669837498</x:v>
      </x:c>
      <x:c r="S79" s="29" t="n">
        <x:f>IF(AND(S$69&gt;$F14,S$69&lt;=EDATE($F14,$G14)),$K14-S63,0)</x:f>
        <x:v>1715603.580096975</x:v>
      </x:c>
      <x:c r="T79" s="29" t="n">
        <x:f>IF(AND(T$69&gt;$F14,T$69&lt;=EDATE($F14,$G14)),$K14-T63,0)</x:f>
        <x:v>1727040.9372976213</x:v>
      </x:c>
      <x:c r="U79" s="29" t="n">
        <x:f>IF(AND(U$69&gt;$F14,U$69&lt;=EDATE($F14,$G14)),$K14-U63,0)</x:f>
        <x:v>1738554.5435462722</x:v>
      </x:c>
      <x:c r="V79" s="29" t="n">
        <x:f>IF(AND(V$69&gt;$F14,V$69&lt;=EDATE($F14,$G14)),$K14-V63,0)</x:f>
        <x:v>1750144.9071699139</x:v>
      </x:c>
      <x:c r="W79" s="29" t="n">
        <x:f>IF(AND(W$69&gt;$F14,W$69&lt;=EDATE($F14,$G14)),$K14-W63,0)</x:f>
        <x:v>1761812.53988438</x:v>
      </x:c>
      <x:c r="X79" s="29" t="n">
        <x:f>IF(AND(X$69&gt;$F14,X$69&lt;=EDATE($F14,$G14)),$K14-X63,0)</x:f>
        <x:v>1773557.9568169427</x:v>
      </x:c>
      <x:c r="Y79" s="29" t="n">
        <x:f>IF(AND(Y$69&gt;$F14,Y$69&lt;=EDATE($F14,$G14)),$K14-Y63,0)</x:f>
        <x:v>1785381.6765290555</x:v>
      </x:c>
      <x:c r="Z79" s="29" t="n">
        <x:f>IF(AND(Z$69&gt;$F14,Z$69&lt;=EDATE($F14,$G14)),$K14-Z63,0)</x:f>
        <x:v>1797284.2210392493</x:v>
      </x:c>
      <x:c r="AA79" s="29" t="n">
        <x:f>IF(AND(AA$69&gt;$F14,AA$69&lt;=EDATE($F14,$G14)),$K14-AA63,0)</x:f>
        <x:v>1809266.1158461776</x:v>
      </x:c>
      <x:c r="AB79" s="29" t="n">
        <x:f>IF(AND(AB$69&gt;$F14,AB$69&lt;=EDATE($F14,$G14)),$K14-AB63,0)</x:f>
        <x:v>1821327.8899518189</x:v>
      </x:c>
      <x:c r="AC79" s="29" t="n">
        <x:f>IF(AND(AC$69&gt;$F14,AC$69&lt;=EDATE($F14,$G14)),$K14-AC63,0)</x:f>
        <x:v>1833470.075884831</x:v>
      </x:c>
      <x:c r="AD79" s="29" t="n">
        <x:f>IF(AND(AD$69&gt;$F14,AD$69&lt;=EDATE($F14,$G14)),$K14-AD63,0)</x:f>
        <x:v>1845693.209724063</x:v>
      </x:c>
      <x:c r="AE79" s="29" t="n">
        <x:f>IF(AND(AE$69&gt;$F14,AE$69&lt;=EDATE($F14,$G14)),$K14-AE63,0)</x:f>
        <x:v>1857997.8311222235</x:v>
      </x:c>
      <x:c r="AF79" s="29" t="n">
        <x:f>IF(AND(AF$69&gt;$F14,AF$69&lt;=EDATE($F14,$G14)),$K14-AF63,0)</x:f>
        <x:v>1870384.483329705</x:v>
      </x:c>
      <x:c r="AG79" s="29" t="n">
        <x:f>IF(AND(AG$69&gt;$F14,AG$69&lt;=EDATE($F14,$G14)),$K14-AG63,0)</x:f>
        <x:v>1882853.7132185698</x:v>
      </x:c>
      <x:c r="AH79" s="29" t="n">
        <x:f>IF(AND(AH$69&gt;$F14,AH$69&lt;=EDATE($F14,$G14)),$K14-AH63,0)</x:f>
        <x:v>1895406.0713066936</x:v>
      </x:c>
      <x:c r="AI79" s="29" t="n">
        <x:f>IF(AND(AI$69&gt;$F14,AI$69&lt;=EDATE($F14,$G14)),$K14-AI63,0)</x:f>
        <x:v>1908042.1117820716</x:v>
      </x:c>
      <x:c r="AJ79" s="29" t="n">
        <x:f>IF(AND(AJ$69&gt;$F14,AJ$69&lt;=EDATE($F14,$G14)),$K14-AJ63,0)</x:f>
        <x:v>1920762.3925272853</x:v>
      </x:c>
      <x:c r="AK79" s="29" t="n">
        <x:f>IF(AND(AK$69&gt;$F14,AK$69&lt;=EDATE($F14,$G14)),$K14-AK63,0)</x:f>
        <x:v>1933567.475144134</x:v>
      </x:c>
      <x:c r="AL79" s="101" t="n">
        <x:f>IF(AND(AL$69&gt;$F14,AL$69&lt;=EDATE($F14,$G14)),$K14-AL63,0)</x:f>
        <x:v>1946457.924978428</x:v>
      </x:c>
      <x:c r="AM79" s="101" t="n">
        <x:f>IF(AND(AM$69&gt;$F14,AM$69&lt;=EDATE($F14,$G14)),$K14-AM63,0)</x:f>
        <x:v>1959434.311144951</x:v>
      </x:c>
      <x:c r="AN79" s="101" t="n">
        <x:f>IF(AND(AN$69&gt;$F14,AN$69&lt;=EDATE($F14,$G14)),$K14-AN63,0)</x:f>
        <x:v>1972497.206552584</x:v>
      </x:c>
      <x:c r="AO79" s="101" t="n">
        <x:f>IF(AND(AO$69&gt;$F14,AO$69&lt;=EDATE($F14,$G14)),$K14-AO63,0)</x:f>
        <x:v>1985647.1879296012</x:v>
      </x:c>
      <x:c r="AP79" s="101" t="n">
        <x:f>IF(AND(AP$69&gt;$F14,AP$69&lt;=EDATE($F14,$G14)),$K14-AP63,0)</x:f>
        <x:v>1998884.835849132</x:v>
      </x:c>
      <x:c r="AQ79" s="101" t="n">
        <x:f>IF(AND(AQ$69&gt;$F14,AQ$69&lt;=EDATE($F14,$G14)),$K14-AQ63,0)</x:f>
        <x:v>2012210.7347547929</x:v>
      </x:c>
      <x:c r="AR79" s="101" t="n">
        <x:f>IF(AND(AR$69&gt;$F14,AR$69&lt;=EDATE($F14,$G14)),$K14-AR63,0)</x:f>
        <x:v>2025625.4729864914</x:v>
      </x:c>
      <x:c r="AS79" s="101" t="n">
        <x:f>IF(AND(AS$69&gt;$F14,AS$69&lt;=EDATE($F14,$G14)),$K14-AS63,0)</x:f>
        <x:v>2039129.6428064012</x:v>
      </x:c>
      <x:c r="AT79" s="101" t="n">
        <x:f>IF(AND(AT$69&gt;$F14,AT$69&lt;=EDATE($F14,$G14)),$K14-AT63,0)</x:f>
        <x:v>2052723.8404251107</x:v>
      </x:c>
      <x:c r="AU79" s="101" t="n">
        <x:f>IF(AND(AU$69&gt;$F14,AU$69&lt;=EDATE($F14,$G14)),$K14-AU63,0)</x:f>
        <x:v>2066408.6660279448</x:v>
      </x:c>
      <x:c r="AV79" s="101" t="n">
        <x:f>IF(AND(AV$69&gt;$F14,AV$69&lt;=EDATE($F14,$G14)),$K14-AV63,0)</x:f>
        <x:v>2080184.7238014643</x:v>
      </x:c>
      <x:c r="AW79" s="101" t="n">
        <x:f>IF(AND(AW$69&gt;$F14,AW$69&lt;=EDATE($F14,$G14)),$K14-AW63,0)</x:f>
        <x:v>0</x:v>
      </x:c>
      <x:c r="AX79" s="101" t="n">
        <x:f>IF(AND(AX$69&gt;$F14,AX$69&lt;=EDATE($F14,$G14)),$K14-AX63,0)</x:f>
        <x:v>0</x:v>
      </x:c>
      <x:c r="AY79" s="101" t="n">
        <x:f>IF(AND(AY$69&gt;$F14,AY$69&lt;=EDATE($F14,$G14)),$K14-AY63,0)</x:f>
        <x:v>0</x:v>
      </x:c>
      <x:c r="AZ79" s="101" t="n">
        <x:f>IF(AND(AZ$69&gt;$F14,AZ$69&lt;=EDATE($F14,$G14)),$K14-AZ63,0)</x:f>
        <x:v>0</x:v>
      </x:c>
      <x:c r="BA79" s="101" t="n">
        <x:f>IF(AND(BA$69&gt;$F14,BA$69&lt;=EDATE($F14,$G14)),$K14-BA63,0)</x:f>
        <x:v>0</x:v>
      </x:c>
      <x:c r="BB79" s="101" t="n">
        <x:f>IF(AND(BB$69&gt;$F14,BB$69&lt;=EDATE($F14,$G14)),$K14-BB63,0)</x:f>
        <x:v>0</x:v>
      </x:c>
      <x:c r="BC79" s="101" t="n">
        <x:f>IF(AND(BC$69&gt;$F14,BC$69&lt;=EDATE($F14,$G14)),$K14-BC63,0)</x:f>
        <x:v>0</x:v>
      </x:c>
      <x:c r="BD79" s="101" t="n">
        <x:f>IF(AND(BD$69&gt;$F14,BD$69&lt;=EDATE($F14,$G14)),$K14-BD63,0)</x:f>
        <x:v>0</x:v>
      </x:c>
      <x:c r="BE79" s="101" t="n">
        <x:f>IF(AND(BE$69&gt;$F14,BE$69&lt;=EDATE($F14,$G14)),$K14-BE63,0)</x:f>
        <x:v>0</x:v>
      </x:c>
      <x:c r="BF79" s="101" t="n">
        <x:f>IF(AND(BF$69&gt;$F14,BF$69&lt;=EDATE($F14,$G14)),$K14-BF63,0)</x:f>
        <x:v>0</x:v>
      </x:c>
      <x:c r="BG79" s="101" t="n">
        <x:f>IF(AND(BG$69&gt;$F14,BG$69&lt;=EDATE($F14,$G14)),$K14-BG63,0)</x:f>
        <x:v>0</x:v>
      </x:c>
      <x:c r="BH79" s="101" t="n">
        <x:f>IF(AND(BH$69&gt;$F14,BH$69&lt;=EDATE($F14,$G14)),$K14-BH63,0)</x:f>
        <x:v>0</x:v>
      </x:c>
      <x:c r="BI79" s="101" t="n">
        <x:f>IF(AND(BI$69&gt;$F14,BI$69&lt;=EDATE($F14,$G14)),$K14-BI63,0)</x:f>
        <x:v>0</x:v>
      </x:c>
    </x:row>
    <x:row r="80">
      <x:c r="A80" t="str">
        <x:f>A15</x:f>
        <x:v>批次11</x:v>
      </x:c>
      <x:c r="B80" s="29" t="n">
        <x:f>IF(AND(B$69&gt;$F15,B$69&lt;=EDATE($F15,$G15)),$K15-B64,0)</x:f>
        <x:v>0</x:v>
      </x:c>
      <x:c r="C80" s="29" t="n">
        <x:f>IF(AND(C$69&gt;$F15,C$69&lt;=EDATE($F15,$G15)),$K15-C64,0)</x:f>
        <x:v>0</x:v>
      </x:c>
      <x:c r="D80" s="29" t="n">
        <x:f>IF(AND(D$69&gt;$F15,D$69&lt;=EDATE($F15,$G15)),$K15-D64,0)</x:f>
        <x:v>0</x:v>
      </x:c>
      <x:c r="E80" s="29" t="n">
        <x:f>IF(AND(E$69&gt;$F15,E$69&lt;=EDATE($F15,$G15)),$K15-E64,0)</x:f>
        <x:v>0</x:v>
      </x:c>
      <x:c r="F80" s="29" t="n">
        <x:f>IF(AND(F$69&gt;$F15,F$69&lt;=EDATE($F15,$G15)),$K15-F64,0)</x:f>
        <x:v>0</x:v>
      </x:c>
      <x:c r="G80" s="29" t="n">
        <x:f>IF(AND(G$69&gt;$F15,G$69&lt;=EDATE($F15,$G15)),$K15-G64,0)</x:f>
        <x:v>0</x:v>
      </x:c>
      <x:c r="H80" s="29" t="n">
        <x:f>IF(AND(H$69&gt;$F15,H$69&lt;=EDATE($F15,$G15)),$K15-H64,0)</x:f>
        <x:v>0</x:v>
      </x:c>
      <x:c r="I80" s="29" t="n">
        <x:f>IF(AND(I$69&gt;$F15,I$69&lt;=EDATE($F15,$G15)),$K15-I64,0)</x:f>
        <x:v>0</x:v>
      </x:c>
      <x:c r="J80" s="29" t="n">
        <x:f>IF(AND(J$69&gt;$F15,J$69&lt;=EDATE($F15,$G15)),$K15-J64,0)</x:f>
        <x:v>0</x:v>
      </x:c>
      <x:c r="K80" s="29" t="n">
        <x:f>IF(AND(K$69&gt;$F15,K$69&lt;=EDATE($F15,$G15)),$K15-K64,0)</x:f>
        <x:v>0</x:v>
      </x:c>
      <x:c r="L80" s="29" t="n">
        <x:f>IF(AND(L$69&gt;$F15,L$69&lt;=EDATE($F15,$G15)),$K15-L64,0)</x:f>
        <x:v>0</x:v>
      </x:c>
      <x:c r="M80" s="29" t="n">
        <x:f>IF(AND(M$69&gt;$F15,M$69&lt;=EDATE($F15,$G15)),$K15-M64,0)</x:f>
        <x:v>0</x:v>
      </x:c>
      <x:c r="N80" s="29" t="n">
        <x:f>IF(AND(N$69&gt;$F15,N$69&lt;=EDATE($F15,$G15)),$K15-N64,0)</x:f>
        <x:v>1465380.1084090094</x:v>
      </x:c>
      <x:c r="O80" s="29" t="n">
        <x:f>IF(AND(O$69&gt;$F15,O$69&lt;=EDATE($F15,$G15)),$K15-O64,0)</x:f>
        <x:v>1475149.3091317362</x:v>
      </x:c>
      <x:c r="P80" s="29" t="n">
        <x:f>IF(AND(P$69&gt;$F15,P$69&lt;=EDATE($F15,$G15)),$K15-P64,0)</x:f>
        <x:v>1484983.6378592812</x:v>
      </x:c>
      <x:c r="Q80" s="29" t="n">
        <x:f>IF(AND(Q$69&gt;$F15,Q$69&lt;=EDATE($F15,$G15)),$K15-Q64,0)</x:f>
        <x:v>1494883.528778343</x:v>
      </x:c>
      <x:c r="R80" s="29" t="n">
        <x:f>IF(AND(R$69&gt;$F15,R$69&lt;=EDATE($F15,$G15)),$K15-R64,0)</x:f>
        <x:v>1504849.4189701986</x:v>
      </x:c>
      <x:c r="S80" s="29" t="n">
        <x:f>IF(AND(S$69&gt;$F15,S$69&lt;=EDATE($F15,$G15)),$K15-S64,0)</x:f>
        <x:v>1514881.74843</x:v>
      </x:c>
      <x:c r="T80" s="29" t="n">
        <x:f>IF(AND(T$69&gt;$F15,T$69&lt;=EDATE($F15,$G15)),$K15-T64,0)</x:f>
        <x:v>1524980.9600862</x:v>
      </x:c>
      <x:c r="U80" s="29" t="n">
        <x:f>IF(AND(U$69&gt;$F15,U$69&lt;=EDATE($F15,$G15)),$K15-U64,0)</x:f>
        <x:v>1535147.4998201078</x:v>
      </x:c>
      <x:c r="V80" s="29" t="n">
        <x:f>IF(AND(V$69&gt;$F15,V$69&lt;=EDATE($F15,$G15)),$K15-V64,0)</x:f>
        <x:v>1545381.8164855752</x:v>
      </x:c>
      <x:c r="W80" s="29" t="n">
        <x:f>IF(AND(W$69&gt;$F15,W$69&lt;=EDATE($F15,$G15)),$K15-W64,0)</x:f>
        <x:v>1555684.3619288125</x:v>
      </x:c>
      <x:c r="X80" s="29" t="n">
        <x:f>IF(AND(X$69&gt;$F15,X$69&lt;=EDATE($F15,$G15)),$K15-X64,0)</x:f>
        <x:v>1566055.5910083377</x:v>
      </x:c>
      <x:c r="Y80" s="29" t="n">
        <x:f>IF(AND(Y$69&gt;$F15,Y$69&lt;=EDATE($F15,$G15)),$K15-Y64,0)</x:f>
        <x:v>1576495.96161506</x:v>
      </x:c>
      <x:c r="Z80" s="29" t="n">
        <x:f>IF(AND(Z$69&gt;$F15,Z$69&lt;=EDATE($F15,$G15)),$K15-Z64,0)</x:f>
        <x:v>1587005.9346924939</x:v>
      </x:c>
      <x:c r="AA80" s="29" t="n">
        <x:f>IF(AND(AA$69&gt;$F15,AA$69&lt;=EDATE($F15,$G15)),$K15-AA64,0)</x:f>
        <x:v>1597585.9742571104</x:v>
      </x:c>
      <x:c r="AB80" s="29" t="n">
        <x:f>IF(AND(AB$69&gt;$F15,AB$69&lt;=EDATE($F15,$G15)),$K15-AB64,0)</x:f>
        <x:v>1608236.5474188244</x:v>
      </x:c>
      <x:c r="AC80" s="29" t="n">
        <x:f>IF(AND(AC$69&gt;$F15,AC$69&lt;=EDATE($F15,$G15)),$K15-AC64,0)</x:f>
        <x:v>1618958.1244016166</x:v>
      </x:c>
      <x:c r="AD80" s="29" t="n">
        <x:f>IF(AND(AD$69&gt;$F15,AD$69&lt;=EDATE($F15,$G15)),$K15-AD64,0)</x:f>
        <x:v>1629751.178564294</x:v>
      </x:c>
      <x:c r="AE80" s="29" t="n">
        <x:f>IF(AND(AE$69&gt;$F15,AE$69&lt;=EDATE($F15,$G15)),$K15-AE64,0)</x:f>
        <x:v>1640616.1864213895</x:v>
      </x:c>
      <x:c r="AF80" s="29" t="n">
        <x:f>IF(AND(AF$69&gt;$F15,AF$69&lt;=EDATE($F15,$G15)),$K15-AF64,0)</x:f>
        <x:v>1651553.6276641986</x:v>
      </x:c>
      <x:c r="AG80" s="29" t="n">
        <x:f>IF(AND(AG$69&gt;$F15,AG$69&lt;=EDATE($F15,$G15)),$K15-AG64,0)</x:f>
        <x:v>1662563.98518196</x:v>
      </x:c>
      <x:c r="AH80" s="29" t="n">
        <x:f>IF(AND(AH$69&gt;$F15,AH$69&lt;=EDATE($F15,$G15)),$K15-AH64,0)</x:f>
        <x:v>1673647.745083173</x:v>
      </x:c>
      <x:c r="AI80" s="29" t="n">
        <x:f>IF(AND(AI$69&gt;$F15,AI$69&lt;=EDATE($F15,$G15)),$K15-AI64,0)</x:f>
        <x:v>1684805.3967170608</x:v>
      </x:c>
      <x:c r="AJ80" s="29" t="n">
        <x:f>IF(AND(AJ$69&gt;$F15,AJ$69&lt;=EDATE($F15,$G15)),$K15-AJ64,0)</x:f>
        <x:v>1696037.4326951746</x:v>
      </x:c>
      <x:c r="AK80" s="29" t="n">
        <x:f>IF(AND(AK$69&gt;$F15,AK$69&lt;=EDATE($F15,$G15)),$K15-AK64,0)</x:f>
        <x:v>1707344.3489131425</x:v>
      </x:c>
      <x:c r="AL80" s="101" t="n">
        <x:f>IF(AND(AL$69&gt;$F15,AL$69&lt;=EDATE($F15,$G15)),$K15-AL64,0)</x:f>
        <x:v>1718726.6445725635</x:v>
      </x:c>
      <x:c r="AM80" s="101" t="n">
        <x:f>IF(AND(AM$69&gt;$F15,AM$69&lt;=EDATE($F15,$G15)),$K15-AM64,0)</x:f>
        <x:v>1730184.822203047</x:v>
      </x:c>
      <x:c r="AN80" s="101" t="n">
        <x:f>IF(AND(AN$69&gt;$F15,AN$69&lt;=EDATE($F15,$G15)),$K15-AN64,0)</x:f>
        <x:v>1741719.387684401</x:v>
      </x:c>
      <x:c r="AO80" s="101" t="n">
        <x:f>IF(AND(AO$69&gt;$F15,AO$69&lt;=EDATE($F15,$G15)),$K15-AO64,0)</x:f>
        <x:v>1753330.8502689635</x:v>
      </x:c>
      <x:c r="AP80" s="101" t="n">
        <x:f>IF(AND(AP$69&gt;$F15,AP$69&lt;=EDATE($F15,$G15)),$K15-AP64,0)</x:f>
        <x:v>1765019.7226040899</x:v>
      </x:c>
      <x:c r="AQ80" s="101" t="n">
        <x:f>IF(AND(AQ$69&gt;$F15,AQ$69&lt;=EDATE($F15,$G15)),$K15-AQ64,0)</x:f>
        <x:v>1776786.5207547839</x:v>
      </x:c>
      <x:c r="AR80" s="101" t="n">
        <x:f>IF(AND(AR$69&gt;$F15,AR$69&lt;=EDATE($F15,$G15)),$K15-AR64,0)</x:f>
        <x:v>1788631.7642264825</x:v>
      </x:c>
      <x:c r="AS80" s="101" t="n">
        <x:f>IF(AND(AS$69&gt;$F15,AS$69&lt;=EDATE($F15,$G15)),$K15-AS64,0)</x:f>
        <x:v>1800555.9759879922</x:v>
      </x:c>
      <x:c r="AT80" s="101" t="n">
        <x:f>IF(AND(AT$69&gt;$F15,AT$69&lt;=EDATE($F15,$G15)),$K15-AT64,0)</x:f>
        <x:v>1812559.6824945789</x:v>
      </x:c>
      <x:c r="AU80" s="101" t="n">
        <x:f>IF(AND(AU$69&gt;$F15,AU$69&lt;=EDATE($F15,$G15)),$K15-AU64,0)</x:f>
        <x:v>1824643.4137112093</x:v>
      </x:c>
      <x:c r="AV80" s="101" t="n">
        <x:f>IF(AND(AV$69&gt;$F15,AV$69&lt;=EDATE($F15,$G15)),$K15-AV64,0)</x:f>
        <x:v>1836807.7031359507</x:v>
      </x:c>
      <x:c r="AW80" s="101" t="n">
        <x:f>IF(AND(AW$69&gt;$F15,AW$69&lt;=EDATE($F15,$G15)),$K15-AW64,0)</x:f>
        <x:v>1849053.087823524</x:v>
      </x:c>
      <x:c r="AX80" s="101" t="n">
        <x:f>IF(AND(AX$69&gt;$F15,AX$69&lt;=EDATE($F15,$G15)),$K15-AX64,0)</x:f>
        <x:v>0</x:v>
      </x:c>
      <x:c r="AY80" s="101" t="n">
        <x:f>IF(AND(AY$69&gt;$F15,AY$69&lt;=EDATE($F15,$G15)),$K15-AY64,0)</x:f>
        <x:v>0</x:v>
      </x:c>
      <x:c r="AZ80" s="101" t="n">
        <x:f>IF(AND(AZ$69&gt;$F15,AZ$69&lt;=EDATE($F15,$G15)),$K15-AZ64,0)</x:f>
        <x:v>0</x:v>
      </x:c>
      <x:c r="BA80" s="101" t="n">
        <x:f>IF(AND(BA$69&gt;$F15,BA$69&lt;=EDATE($F15,$G15)),$K15-BA64,0)</x:f>
        <x:v>0</x:v>
      </x:c>
      <x:c r="BB80" s="101" t="n">
        <x:f>IF(AND(BB$69&gt;$F15,BB$69&lt;=EDATE($F15,$G15)),$K15-BB64,0)</x:f>
        <x:v>0</x:v>
      </x:c>
      <x:c r="BC80" s="101" t="n">
        <x:f>IF(AND(BC$69&gt;$F15,BC$69&lt;=EDATE($F15,$G15)),$K15-BC64,0)</x:f>
        <x:v>0</x:v>
      </x:c>
      <x:c r="BD80" s="101" t="n">
        <x:f>IF(AND(BD$69&gt;$F15,BD$69&lt;=EDATE($F15,$G15)),$K15-BD64,0)</x:f>
        <x:v>0</x:v>
      </x:c>
      <x:c r="BE80" s="101" t="n">
        <x:f>IF(AND(BE$69&gt;$F15,BE$69&lt;=EDATE($F15,$G15)),$K15-BE64,0)</x:f>
        <x:v>0</x:v>
      </x:c>
      <x:c r="BF80" s="101" t="n">
        <x:f>IF(AND(BF$69&gt;$F15,BF$69&lt;=EDATE($F15,$G15)),$K15-BF64,0)</x:f>
        <x:v>0</x:v>
      </x:c>
      <x:c r="BG80" s="101" t="n">
        <x:f>IF(AND(BG$69&gt;$F15,BG$69&lt;=EDATE($F15,$G15)),$K15-BG64,0)</x:f>
        <x:v>0</x:v>
      </x:c>
      <x:c r="BH80" s="101" t="n">
        <x:f>IF(AND(BH$69&gt;$F15,BH$69&lt;=EDATE($F15,$G15)),$K15-BH64,0)</x:f>
        <x:v>0</x:v>
      </x:c>
      <x:c r="BI80" s="101" t="n">
        <x:f>IF(AND(BI$69&gt;$F15,BI$69&lt;=EDATE($F15,$G15)),$K15-BI64,0)</x:f>
        <x:v>0</x:v>
      </x:c>
    </x:row>
    <x:row r="81">
      <x:c r="A81" t="str">
        <x:f>A16</x:f>
        <x:v>批次12</x:v>
      </x:c>
      <x:c r="B81" s="29" t="n">
        <x:f>IF(AND(B$69&gt;$F16,B$69&lt;=EDATE($F16,$G16)),$K16-B65,0)</x:f>
        <x:v>0</x:v>
      </x:c>
      <x:c r="C81" s="29" t="n">
        <x:f>IF(AND(C$69&gt;$F16,C$69&lt;=EDATE($F16,$G16)),$K16-C65,0)</x:f>
        <x:v>0</x:v>
      </x:c>
      <x:c r="D81" s="29" t="n">
        <x:f>IF(AND(D$69&gt;$F16,D$69&lt;=EDATE($F16,$G16)),$K16-D65,0)</x:f>
        <x:v>0</x:v>
      </x:c>
      <x:c r="E81" s="29" t="n">
        <x:f>IF(AND(E$69&gt;$F16,E$69&lt;=EDATE($F16,$G16)),$K16-E65,0)</x:f>
        <x:v>0</x:v>
      </x:c>
      <x:c r="F81" s="29" t="n">
        <x:f>IF(AND(F$69&gt;$F16,F$69&lt;=EDATE($F16,$G16)),$K16-F65,0)</x:f>
        <x:v>0</x:v>
      </x:c>
      <x:c r="G81" s="29" t="n">
        <x:f>IF(AND(G$69&gt;$F16,G$69&lt;=EDATE($F16,$G16)),$K16-G65,0)</x:f>
        <x:v>0</x:v>
      </x:c>
      <x:c r="H81" s="29" t="n">
        <x:f>IF(AND(H$69&gt;$F16,H$69&lt;=EDATE($F16,$G16)),$K16-H65,0)</x:f>
        <x:v>0</x:v>
      </x:c>
      <x:c r="I81" s="29" t="n">
        <x:f>IF(AND(I$69&gt;$F16,I$69&lt;=EDATE($F16,$G16)),$K16-I65,0)</x:f>
        <x:v>0</x:v>
      </x:c>
      <x:c r="J81" s="29" t="n">
        <x:f>IF(AND(J$69&gt;$F16,J$69&lt;=EDATE($F16,$G16)),$K16-J65,0)</x:f>
        <x:v>0</x:v>
      </x:c>
      <x:c r="K81" s="29" t="n">
        <x:f>IF(AND(K$69&gt;$F16,K$69&lt;=EDATE($F16,$G16)),$K16-K65,0)</x:f>
        <x:v>0</x:v>
      </x:c>
      <x:c r="L81" s="29" t="n">
        <x:f>IF(AND(L$69&gt;$F16,L$69&lt;=EDATE($F16,$G16)),$K16-L65,0)</x:f>
        <x:v>0</x:v>
      </x:c>
      <x:c r="M81" s="29" t="n">
        <x:f>IF(AND(M$69&gt;$F16,M$69&lt;=EDATE($F16,$G16)),$K16-M65,0)</x:f>
        <x:v>0</x:v>
      </x:c>
      <x:c r="N81" s="29" t="n">
        <x:f>IF(AND(N$69&gt;$F16,N$69&lt;=EDATE($F16,$G16)),$K16-N65,0)</x:f>
        <x:v>0</x:v>
      </x:c>
      <x:c r="O81" s="29" t="n">
        <x:f>IF(AND(O$69&gt;$F16,O$69&lt;=EDATE($F16,$G16)),$K16-O65,0)</x:f>
        <x:v>1099035.081306757</x:v>
      </x:c>
      <x:c r="P81" s="29" t="n">
        <x:f>IF(AND(P$69&gt;$F16,P$69&lt;=EDATE($F16,$G16)),$K16-P65,0)</x:f>
        <x:v>1106361.981848802</x:v>
      </x:c>
      <x:c r="Q81" s="29" t="n">
        <x:f>IF(AND(Q$69&gt;$F16,Q$69&lt;=EDATE($F16,$G16)),$K16-Q65,0)</x:f>
        <x:v>1113737.7283944606</x:v>
      </x:c>
      <x:c r="R81" s="29" t="n">
        <x:f>IF(AND(R$69&gt;$F16,R$69&lt;=EDATE($F16,$G16)),$K16-R65,0)</x:f>
        <x:v>1121162.646583757</x:v>
      </x:c>
      <x:c r="S81" s="29" t="n">
        <x:f>IF(AND(S$69&gt;$F16,S$69&lt;=EDATE($F16,$G16)),$K16-S65,0)</x:f>
        <x:v>1128637.0642276488</x:v>
      </x:c>
      <x:c r="T81" s="29" t="n">
        <x:f>IF(AND(T$69&gt;$F16,T$69&lt;=EDATE($F16,$G16)),$K16-T65,0)</x:f>
        <x:v>1136161.3113224998</x:v>
      </x:c>
      <x:c r="U81" s="29" t="n">
        <x:f>IF(AND(U$69&gt;$F16,U$69&lt;=EDATE($F16,$G16)),$K16-U65,0)</x:f>
        <x:v>1143735.7200646498</x:v>
      </x:c>
      <x:c r="V81" s="29" t="n">
        <x:f>IF(AND(V$69&gt;$F16,V$69&lt;=EDATE($F16,$G16)),$K16-V65,0)</x:f>
        <x:v>1151360.6248650807</x:v>
      </x:c>
      <x:c r="W81" s="29" t="n">
        <x:f>IF(AND(W$69&gt;$F16,W$69&lt;=EDATE($F16,$G16)),$K16-W65,0)</x:f>
        <x:v>1159036.3623641813</x:v>
      </x:c>
      <x:c r="X81" s="29" t="n">
        <x:f>IF(AND(X$69&gt;$F16,X$69&lt;=EDATE($F16,$G16)),$K16-X65,0)</x:f>
        <x:v>1166763.2714466092</x:v>
      </x:c>
      <x:c r="Y81" s="29" t="n">
        <x:f>IF(AND(Y$69&gt;$F16,Y$69&lt;=EDATE($F16,$G16)),$K16-Y65,0)</x:f>
        <x:v>1174541.6932562531</x:v>
      </x:c>
      <x:c r="Z81" s="29" t="n">
        <x:f>IF(AND(Z$69&gt;$F16,Z$69&lt;=EDATE($F16,$G16)),$K16-Z65,0)</x:f>
        <x:v>1182371.9712112949</x:v>
      </x:c>
      <x:c r="AA81" s="29" t="n">
        <x:f>IF(AND(AA$69&gt;$F16,AA$69&lt;=EDATE($F16,$G16)),$K16-AA65,0)</x:f>
        <x:v>1190254.4510193702</x:v>
      </x:c>
      <x:c r="AB81" s="29" t="n">
        <x:f>IF(AND(AB$69&gt;$F16,AB$69&lt;=EDATE($F16,$G16)),$K16-AB65,0)</x:f>
        <x:v>1198189.4806928327</x:v>
      </x:c>
      <x:c r="AC81" s="29" t="n">
        <x:f>IF(AND(AC$69&gt;$F16,AC$69&lt;=EDATE($F16,$G16)),$K16-AC65,0)</x:f>
        <x:v>1206177.410564118</x:v>
      </x:c>
      <x:c r="AD81" s="29" t="n">
        <x:f>IF(AND(AD$69&gt;$F16,AD$69&lt;=EDATE($F16,$G16)),$K16-AD65,0)</x:f>
        <x:v>1214218.5933012124</x:v>
      </x:c>
      <x:c r="AE81" s="29" t="n">
        <x:f>IF(AND(AE$69&gt;$F16,AE$69&lt;=EDATE($F16,$G16)),$K16-AE65,0)</x:f>
        <x:v>1222313.3839232204</x:v>
      </x:c>
      <x:c r="AF81" s="29" t="n">
        <x:f>IF(AND(AF$69&gt;$F16,AF$69&lt;=EDATE($F16,$G16)),$K16-AF65,0)</x:f>
        <x:v>1230462.1398160418</x:v>
      </x:c>
      <x:c r="AG81" s="29" t="n">
        <x:f>IF(AND(AG$69&gt;$F16,AG$69&lt;=EDATE($F16,$G16)),$K16-AG65,0)</x:f>
        <x:v>1238665.2207481489</x:v>
      </x:c>
      <x:c r="AH81" s="29" t="n">
        <x:f>IF(AND(AH$69&gt;$F16,AH$69&lt;=EDATE($F16,$G16)),$K16-AH65,0)</x:f>
        <x:v>1246922.9888864697</x:v>
      </x:c>
      <x:c r="AI81" s="29" t="n">
        <x:f>IF(AND(AI$69&gt;$F16,AI$69&lt;=EDATE($F16,$G16)),$K16-AI65,0)</x:f>
        <x:v>1255235.8088123796</x:v>
      </x:c>
      <x:c r="AJ81" s="29" t="n">
        <x:f>IF(AND(AJ$69&gt;$F16,AJ$69&lt;=EDATE($F16,$G16)),$K16-AJ65,0)</x:f>
        <x:v>1263604.0475377955</x:v>
      </x:c>
      <x:c r="AK81" s="29" t="n">
        <x:f>IF(AND(AK$69&gt;$F16,AK$69&lt;=EDATE($F16,$G16)),$K16-AK65,0)</x:f>
        <x:v>1272028.0745213807</x:v>
      </x:c>
      <x:c r="AL81" s="101" t="n">
        <x:f>IF(AND(AL$69&gt;$F16,AL$69&lt;=EDATE($F16,$G16)),$K16-AL65,0)</x:f>
        <x:v>1280508.2616848566</x:v>
      </x:c>
      <x:c r="AM81" s="101" t="n">
        <x:f>IF(AND(AM$69&gt;$F16,AM$69&lt;=EDATE($F16,$G16)),$K16-AM65,0)</x:f>
        <x:v>1289044.9834294224</x:v>
      </x:c>
      <x:c r="AN81" s="101" t="n">
        <x:f>IF(AND(AN$69&gt;$F16,AN$69&lt;=EDATE($F16,$G16)),$K16-AN65,0)</x:f>
        <x:v>1297638.6166522852</x:v>
      </x:c>
      <x:c r="AO81" s="101" t="n">
        <x:f>IF(AND(AO$69&gt;$F16,AO$69&lt;=EDATE($F16,$G16)),$K16-AO65,0)</x:f>
        <x:v>1306289.5407633004</x:v>
      </x:c>
      <x:c r="AP81" s="101" t="n">
        <x:f>IF(AND(AP$69&gt;$F16,AP$69&lt;=EDATE($F16,$G16)),$K16-AP65,0)</x:f>
        <x:v>1314998.1377017223</x:v>
      </x:c>
      <x:c r="AQ81" s="101" t="n">
        <x:f>IF(AND(AQ$69&gt;$F16,AQ$69&lt;=EDATE($F16,$G16)),$K16-AQ65,0)</x:f>
        <x:v>1323764.7919530673</x:v>
      </x:c>
      <x:c r="AR81" s="101" t="n">
        <x:f>IF(AND(AR$69&gt;$F16,AR$69&lt;=EDATE($F16,$G16)),$K16-AR65,0)</x:f>
        <x:v>1332589.8905660876</x:v>
      </x:c>
      <x:c r="AS81" s="101" t="n">
        <x:f>IF(AND(AS$69&gt;$F16,AS$69&lt;=EDATE($F16,$G16)),$K16-AS65,0)</x:f>
        <x:v>1341473.8231698617</x:v>
      </x:c>
      <x:c r="AT81" s="101" t="n">
        <x:f>IF(AND(AT$69&gt;$F16,AT$69&lt;=EDATE($F16,$G16)),$K16-AT65,0)</x:f>
        <x:v>1350416.981990994</x:v>
      </x:c>
      <x:c r="AU81" s="101" t="n">
        <x:f>IF(AND(AU$69&gt;$F16,AU$69&lt;=EDATE($F16,$G16)),$K16-AU65,0)</x:f>
        <x:v>1359419.761870934</x:v>
      </x:c>
      <x:c r="AV81" s="101" t="n">
        <x:f>IF(AND(AV$69&gt;$F16,AV$69&lt;=EDATE($F16,$G16)),$K16-AV65,0)</x:f>
        <x:v>1368482.5602834069</x:v>
      </x:c>
      <x:c r="AW81" s="101" t="n">
        <x:f>IF(AND(AW$69&gt;$F16,AW$69&lt;=EDATE($F16,$G16)),$K16-AW65,0)</x:f>
        <x:v>1377605.7773519629</x:v>
      </x:c>
      <x:c r="AX81" s="101" t="n">
        <x:f>IF(AND(AX$69&gt;$F16,AX$69&lt;=EDATE($F16,$G16)),$K16-AX65,0)</x:f>
        <x:v>1386789.8158676426</x:v>
      </x:c>
      <x:c r="AY81" s="101" t="n">
        <x:f>IF(AND(AY$69&gt;$F16,AY$69&lt;=EDATE($F16,$G16)),$K16-AY65,0)</x:f>
        <x:v>0</x:v>
      </x:c>
      <x:c r="AZ81" s="101" t="n">
        <x:f>IF(AND(AZ$69&gt;$F16,AZ$69&lt;=EDATE($F16,$G16)),$K16-AZ65,0)</x:f>
        <x:v>0</x:v>
      </x:c>
      <x:c r="BA81" s="101" t="n">
        <x:f>IF(AND(BA$69&gt;$F16,BA$69&lt;=EDATE($F16,$G16)),$K16-BA65,0)</x:f>
        <x:v>0</x:v>
      </x:c>
      <x:c r="BB81" s="101" t="n">
        <x:f>IF(AND(BB$69&gt;$F16,BB$69&lt;=EDATE($F16,$G16)),$K16-BB65,0)</x:f>
        <x:v>0</x:v>
      </x:c>
      <x:c r="BC81" s="101" t="n">
        <x:f>IF(AND(BC$69&gt;$F16,BC$69&lt;=EDATE($F16,$G16)),$K16-BC65,0)</x:f>
        <x:v>0</x:v>
      </x:c>
      <x:c r="BD81" s="101" t="n">
        <x:f>IF(AND(BD$69&gt;$F16,BD$69&lt;=EDATE($F16,$G16)),$K16-BD65,0)</x:f>
        <x:v>0</x:v>
      </x:c>
      <x:c r="BE81" s="101" t="n">
        <x:f>IF(AND(BE$69&gt;$F16,BE$69&lt;=EDATE($F16,$G16)),$K16-BE65,0)</x:f>
        <x:v>0</x:v>
      </x:c>
      <x:c r="BF81" s="101" t="n">
        <x:f>IF(AND(BF$69&gt;$F16,BF$69&lt;=EDATE($F16,$G16)),$K16-BF65,0)</x:f>
        <x:v>0</x:v>
      </x:c>
      <x:c r="BG81" s="101" t="n">
        <x:f>IF(AND(BG$69&gt;$F16,BG$69&lt;=EDATE($F16,$G16)),$K16-BG65,0)</x:f>
        <x:v>0</x:v>
      </x:c>
      <x:c r="BH81" s="101" t="n">
        <x:f>IF(AND(BH$69&gt;$F16,BH$69&lt;=EDATE($F16,$G16)),$K16-BH65,0)</x:f>
        <x:v>0</x:v>
      </x:c>
      <x:c r="BI81" s="101" t="n">
        <x:f>IF(AND(BI$69&gt;$F16,BI$69&lt;=EDATE($F16,$G16)),$K16-BI65,0)</x:f>
        <x:v>0</x:v>
      </x:c>
    </x:row>
    <x:row r="82"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  <x:c r="AA82" s="29"/>
      <x:c r="AB82" s="29"/>
      <x:c r="AC82" s="29"/>
      <x:c r="AD82" s="29"/>
      <x:c r="AE82" s="29"/>
      <x:c r="AF82" s="29"/>
      <x:c r="AG82" s="29"/>
      <x:c r="AH82" s="29"/>
      <x:c r="AI82" s="29"/>
      <x:c r="AJ82" s="29"/>
      <x:c r="AK82" s="29"/>
      <x:c r="AL82" s="101"/>
      <x:c r="AM82" s="101"/>
      <x:c r="AN82" s="101"/>
      <x:c r="AO82" s="101"/>
      <x:c r="AP82" s="101"/>
      <x:c r="AQ82" s="101"/>
      <x:c r="AR82" s="101"/>
      <x:c r="AS82" s="101"/>
      <x:c r="AT82" s="101"/>
      <x:c r="AU82" s="101"/>
      <x:c r="AV82" s="101"/>
      <x:c r="AW82" s="101"/>
      <x:c r="AX82" s="101"/>
      <x:c r="AY82" s="101"/>
      <x:c r="AZ82" s="101"/>
      <x:c r="BA82" s="101"/>
      <x:c r="BB82" s="101"/>
      <x:c r="BC82" s="101"/>
      <x:c r="BD82" s="101"/>
      <x:c r="BE82" s="101"/>
      <x:c r="BF82" s="101"/>
      <x:c r="BG82" s="101"/>
      <x:c r="BH82" s="101"/>
      <x:c r="BI82" s="101"/>
    </x:row>
    <x:row r="83">
      <x:c r="A83" s="13" t="str">
        <x:v>留购款</x:v>
      </x:c>
      <x:c r="B83" s="97" t="str">
        <x:v>留购款</x:v>
      </x:c>
      <x:c r="C83" s="97" t="str">
        <x:v>留购款</x:v>
      </x:c>
      <x:c r="D83" s="97" t="str">
        <x:v>留购款</x:v>
      </x:c>
      <x:c r="E83" s="97" t="str">
        <x:v>留购款</x:v>
      </x:c>
      <x:c r="F83" s="97" t="str">
        <x:v>留购款</x:v>
      </x:c>
      <x:c r="G83" s="97" t="str">
        <x:v>留购款</x:v>
      </x:c>
      <x:c r="H83" s="97" t="str">
        <x:v>留购款</x:v>
      </x:c>
      <x:c r="I83" s="97" t="str">
        <x:v>留购款</x:v>
      </x:c>
      <x:c r="J83" s="97" t="str">
        <x:v>留购款</x:v>
      </x:c>
      <x:c r="K83" s="97" t="str">
        <x:v>留购款</x:v>
      </x:c>
      <x:c r="L83" s="97" t="str">
        <x:v>留购款</x:v>
      </x:c>
      <x:c r="M83" s="97" t="str">
        <x:v>留购款</x:v>
      </x:c>
      <x:c r="N83" s="97" t="str">
        <x:v>留购款</x:v>
      </x:c>
      <x:c r="O83" s="97" t="str">
        <x:v>留购款</x:v>
      </x:c>
      <x:c r="P83" s="97" t="str">
        <x:v>留购款</x:v>
      </x:c>
      <x:c r="Q83" s="97" t="str">
        <x:v>留购款</x:v>
      </x:c>
      <x:c r="R83" s="97" t="str">
        <x:v>留购款</x:v>
      </x:c>
      <x:c r="S83" s="97" t="str">
        <x:v>留购款</x:v>
      </x:c>
      <x:c r="T83" s="97" t="str">
        <x:v>留购款</x:v>
      </x:c>
      <x:c r="U83" s="97" t="str">
        <x:v>留购款</x:v>
      </x:c>
      <x:c r="V83" s="97" t="str">
        <x:v>留购款</x:v>
      </x:c>
      <x:c r="W83" s="97" t="str">
        <x:v>留购款</x:v>
      </x:c>
      <x:c r="X83" s="97" t="str">
        <x:v>留购款</x:v>
      </x:c>
      <x:c r="Y83" s="97" t="str">
        <x:v>留购款</x:v>
      </x:c>
      <x:c r="Z83" s="97" t="str">
        <x:v>留购款</x:v>
      </x:c>
      <x:c r="AA83" s="97" t="str">
        <x:v>留购款</x:v>
      </x:c>
      <x:c r="AB83" s="97" t="str">
        <x:v>留购款</x:v>
      </x:c>
      <x:c r="AC83" s="97" t="str">
        <x:v>留购款</x:v>
      </x:c>
      <x:c r="AD83" s="97" t="str">
        <x:v>留购款</x:v>
      </x:c>
      <x:c r="AE83" s="97" t="str">
        <x:v>留购款</x:v>
      </x:c>
      <x:c r="AF83" s="97" t="str">
        <x:v>留购款</x:v>
      </x:c>
      <x:c r="AG83" s="97" t="str">
        <x:v>留购款</x:v>
      </x:c>
      <x:c r="AH83" s="97" t="str">
        <x:v>留购款</x:v>
      </x:c>
      <x:c r="AI83" s="97" t="str">
        <x:v>留购款</x:v>
      </x:c>
      <x:c r="AJ83" s="97" t="str">
        <x:v>留购款</x:v>
      </x:c>
      <x:c r="AK83" s="97" t="str">
        <x:v>留购款</x:v>
      </x:c>
      <x:c r="AL83" s="102" t="str">
        <x:v>留购款</x:v>
      </x:c>
      <x:c r="AM83" s="102" t="str">
        <x:v>留购款</x:v>
      </x:c>
      <x:c r="AN83" s="102" t="str">
        <x:v>留购款</x:v>
      </x:c>
      <x:c r="AO83" s="102" t="str">
        <x:v>留购款</x:v>
      </x:c>
      <x:c r="AP83" s="102" t="str">
        <x:v>留购款</x:v>
      </x:c>
      <x:c r="AQ83" s="102" t="str">
        <x:v>留购款</x:v>
      </x:c>
      <x:c r="AR83" s="102" t="str">
        <x:v>留购款</x:v>
      </x:c>
      <x:c r="AS83" s="102" t="str">
        <x:v>留购款</x:v>
      </x:c>
      <x:c r="AT83" s="102" t="str">
        <x:v>留购款</x:v>
      </x:c>
      <x:c r="AU83" s="102" t="str">
        <x:v>留购款</x:v>
      </x:c>
      <x:c r="AV83" s="102" t="str">
        <x:v>留购款</x:v>
      </x:c>
      <x:c r="AW83" s="102" t="str">
        <x:v>留购款</x:v>
      </x:c>
      <x:c r="AX83" s="102" t="str">
        <x:v>留购款</x:v>
      </x:c>
      <x:c r="AY83" s="102" t="str">
        <x:v>留购款</x:v>
      </x:c>
      <x:c r="AZ83" s="102" t="str">
        <x:v>留购款</x:v>
      </x:c>
      <x:c r="BA83" s="102" t="str">
        <x:v>留购款</x:v>
      </x:c>
      <x:c r="BB83" s="102" t="str">
        <x:v>留购款</x:v>
      </x:c>
      <x:c r="BC83" s="102" t="str">
        <x:v>留购款</x:v>
      </x:c>
      <x:c r="BD83" s="102" t="str">
        <x:v>留购款</x:v>
      </x:c>
      <x:c r="BE83" s="102" t="str">
        <x:v>留购款</x:v>
      </x:c>
      <x:c r="BF83" s="102" t="str">
        <x:v>留购款</x:v>
      </x:c>
      <x:c r="BG83" s="102" t="str">
        <x:v>留购款</x:v>
      </x:c>
      <x:c r="BH83" s="102" t="str">
        <x:v>留购款</x:v>
      </x:c>
      <x:c r="BI83" s="103" t="str">
        <x:v>留购款</x:v>
      </x:c>
    </x:row>
    <x:row r="84"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  <x:c r="AA84" s="29"/>
      <x:c r="AB84" s="29"/>
      <x:c r="AC84" s="29"/>
      <x:c r="AD84" s="29"/>
      <x:c r="AE84" s="29"/>
      <x:c r="AF84" s="29"/>
      <x:c r="AG84" s="29"/>
      <x:c r="AH84" s="29"/>
      <x:c r="AI84" s="29"/>
      <x:c r="AJ84" s="29"/>
      <x:c r="AK84" s="29"/>
      <x:c r="AL84" s="101"/>
      <x:c r="AM84" s="101"/>
      <x:c r="AN84" s="101"/>
      <x:c r="AO84" s="101"/>
      <x:c r="AP84" s="101"/>
      <x:c r="AQ84" s="101"/>
      <x:c r="AR84" s="101"/>
      <x:c r="AS84" s="101"/>
      <x:c r="AT84" s="101"/>
      <x:c r="AU84" s="101"/>
      <x:c r="AV84" s="101"/>
      <x:c r="AW84" s="101"/>
      <x:c r="AX84" s="101"/>
      <x:c r="AY84" s="101"/>
      <x:c r="AZ84" s="101"/>
      <x:c r="BA84" s="101"/>
      <x:c r="BB84" s="101"/>
      <x:c r="BC84" s="101"/>
      <x:c r="BD84" s="101"/>
      <x:c r="BE84" s="101"/>
      <x:c r="BF84" s="101"/>
      <x:c r="BG84" s="101"/>
      <x:c r="BH84" s="101"/>
      <x:c r="BI84" s="101"/>
    </x:row>
    <x:row r="85">
      <x:c r="A85" t="str">
        <x:v>批次/月</x:v>
      </x:c>
      <x:c r="B85" s="29" t="n">
        <x:f>'36月运营模型'!B$5</x:f>
        <x:v>46266</x:v>
      </x:c>
      <x:c r="C85" s="29" t="n">
        <x:f>'36月运营模型'!C$5</x:f>
        <x:v>46296</x:v>
      </x:c>
      <x:c r="D85" s="29" t="n">
        <x:f>'36月运营模型'!D$5</x:f>
        <x:v>46327</x:v>
      </x:c>
      <x:c r="E85" s="29" t="n">
        <x:f>'36月运营模型'!E$5</x:f>
        <x:v>46357</x:v>
      </x:c>
      <x:c r="F85" s="29" t="n">
        <x:f>'36月运营模型'!F$5</x:f>
        <x:v>46388</x:v>
      </x:c>
      <x:c r="G85" s="29" t="n">
        <x:f>'36月运营模型'!G$5</x:f>
        <x:v>46419</x:v>
      </x:c>
      <x:c r="H85" s="29" t="n">
        <x:f>'36月运营模型'!H$5</x:f>
        <x:v>46447</x:v>
      </x:c>
      <x:c r="I85" s="29" t="n">
        <x:f>'36月运营模型'!I$5</x:f>
        <x:v>46478</x:v>
      </x:c>
      <x:c r="J85" s="29" t="n">
        <x:f>'36月运营模型'!J$5</x:f>
        <x:v>46508</x:v>
      </x:c>
      <x:c r="K85" s="29" t="n">
        <x:f>'36月运营模型'!K$5</x:f>
        <x:v>46539</x:v>
      </x:c>
      <x:c r="L85" s="29" t="n">
        <x:f>'36月运营模型'!L$5</x:f>
        <x:v>46569</x:v>
      </x:c>
      <x:c r="M85" s="29" t="n">
        <x:f>'36月运营模型'!M$5</x:f>
        <x:v>46600</x:v>
      </x:c>
      <x:c r="N85" s="29" t="n">
        <x:f>'36月运营模型'!N$5</x:f>
        <x:v>46631</x:v>
      </x:c>
      <x:c r="O85" s="29" t="n">
        <x:f>'36月运营模型'!O$5</x:f>
        <x:v>46661</x:v>
      </x:c>
      <x:c r="P85" s="29" t="n">
        <x:f>'36月运营模型'!P$5</x:f>
        <x:v>46692</x:v>
      </x:c>
      <x:c r="Q85" s="29" t="n">
        <x:f>'36月运营模型'!Q$5</x:f>
        <x:v>46722</x:v>
      </x:c>
      <x:c r="R85" s="29" t="n">
        <x:f>'36月运营模型'!R$5</x:f>
        <x:v>46753</x:v>
      </x:c>
      <x:c r="S85" s="29" t="n">
        <x:f>'36月运营模型'!S$5</x:f>
        <x:v>46784</x:v>
      </x:c>
      <x:c r="T85" s="29" t="n">
        <x:f>'36月运营模型'!T$5</x:f>
        <x:v>46813</x:v>
      </x:c>
      <x:c r="U85" s="29" t="n">
        <x:f>'36月运营模型'!U$5</x:f>
        <x:v>46844</x:v>
      </x:c>
      <x:c r="V85" s="29" t="n">
        <x:f>'36月运营模型'!V$5</x:f>
        <x:v>46874</x:v>
      </x:c>
      <x:c r="W85" s="29" t="n">
        <x:f>'36月运营模型'!W$5</x:f>
        <x:v>46905</x:v>
      </x:c>
      <x:c r="X85" s="29" t="n">
        <x:f>'36月运营模型'!X$5</x:f>
        <x:v>46935</x:v>
      </x:c>
      <x:c r="Y85" s="29" t="n">
        <x:f>'36月运营模型'!Y$5</x:f>
        <x:v>46966</x:v>
      </x:c>
      <x:c r="Z85" s="29" t="n">
        <x:f>'36月运营模型'!Z$5</x:f>
        <x:v>46997</x:v>
      </x:c>
      <x:c r="AA85" s="29" t="n">
        <x:f>'36月运营模型'!AA$5</x:f>
        <x:v>47027</x:v>
      </x:c>
      <x:c r="AB85" s="29" t="n">
        <x:f>'36月运营模型'!AB$5</x:f>
        <x:v>47058</x:v>
      </x:c>
      <x:c r="AC85" s="29" t="n">
        <x:f>'36月运营模型'!AC$5</x:f>
        <x:v>47088</x:v>
      </x:c>
      <x:c r="AD85" s="29" t="n">
        <x:f>'36月运营模型'!AD$5</x:f>
        <x:v>47119</x:v>
      </x:c>
      <x:c r="AE85" s="29" t="n">
        <x:f>'36月运营模型'!AE$5</x:f>
        <x:v>47150</x:v>
      </x:c>
      <x:c r="AF85" s="29" t="n">
        <x:f>'36月运营模型'!AF$5</x:f>
        <x:v>47178</x:v>
      </x:c>
      <x:c r="AG85" s="29" t="n">
        <x:f>'36月运营模型'!AG$5</x:f>
        <x:v>47209</x:v>
      </x:c>
      <x:c r="AH85" s="29" t="n">
        <x:f>'36月运营模型'!AH$5</x:f>
        <x:v>47239</x:v>
      </x:c>
      <x:c r="AI85" s="29" t="n">
        <x:f>'36月运营模型'!AI$5</x:f>
        <x:v>47270</x:v>
      </x:c>
      <x:c r="AJ85" s="29" t="n">
        <x:f>'36月运营模型'!AJ$5</x:f>
        <x:v>47300</x:v>
      </x:c>
      <x:c r="AK85" s="29" t="n">
        <x:f>'36月运营模型'!AK$5</x:f>
        <x:v>47331</x:v>
      </x:c>
      <x:c r="AL85" s="101" t="n">
        <x:f>'36月运营模型'!AL$5</x:f>
        <x:v>47362</x:v>
      </x:c>
      <x:c r="AM85" s="101" t="n">
        <x:f>'36月运营模型'!AM$5</x:f>
        <x:v>47392</x:v>
      </x:c>
      <x:c r="AN85" s="101" t="n">
        <x:f>'36月运营模型'!AN$5</x:f>
        <x:v>47423</x:v>
      </x:c>
      <x:c r="AO85" s="101" t="n">
        <x:f>'36月运营模型'!AO$5</x:f>
        <x:v>47453</x:v>
      </x:c>
      <x:c r="AP85" s="101" t="n">
        <x:f>'36月运营模型'!AP$5</x:f>
        <x:v>47484</x:v>
      </x:c>
      <x:c r="AQ85" s="101" t="n">
        <x:f>'36月运营模型'!AQ$5</x:f>
        <x:v>47515</x:v>
      </x:c>
      <x:c r="AR85" s="101" t="n">
        <x:f>'36月运营模型'!AR$5</x:f>
        <x:v>47543</x:v>
      </x:c>
      <x:c r="AS85" s="101" t="n">
        <x:f>'36月运营模型'!AS$5</x:f>
        <x:v>47574</x:v>
      </x:c>
      <x:c r="AT85" s="101" t="n">
        <x:f>'36月运营模型'!AT$5</x:f>
        <x:v>47604</x:v>
      </x:c>
      <x:c r="AU85" s="101" t="n">
        <x:f>'36月运营模型'!AU$5</x:f>
        <x:v>47635</x:v>
      </x:c>
      <x:c r="AV85" s="101" t="n">
        <x:f>'36月运营模型'!AV$5</x:f>
        <x:v>47665</x:v>
      </x:c>
      <x:c r="AW85" s="101" t="n">
        <x:f>'36月运营模型'!AW$5</x:f>
        <x:v>47696</x:v>
      </x:c>
      <x:c r="AX85" s="101" t="n">
        <x:f>'36月运营模型'!AX$5</x:f>
        <x:v>47727</x:v>
      </x:c>
      <x:c r="AY85" s="101" t="n">
        <x:f>'36月运营模型'!AY$5</x:f>
        <x:v>47757</x:v>
      </x:c>
      <x:c r="AZ85" s="101" t="n">
        <x:f>'36月运营模型'!AZ$5</x:f>
        <x:v>47788</x:v>
      </x:c>
      <x:c r="BA85" s="101" t="n">
        <x:f>'36月运营模型'!BA$5</x:f>
        <x:v>47818</x:v>
      </x:c>
      <x:c r="BB85" s="101" t="n">
        <x:f>'36月运营模型'!BB$5</x:f>
        <x:v>47849</x:v>
      </x:c>
      <x:c r="BC85" s="101" t="n">
        <x:f>'36月运营模型'!BC$5</x:f>
        <x:v>47880</x:v>
      </x:c>
      <x:c r="BD85" s="101" t="n">
        <x:f>'36月运营模型'!BD$5</x:f>
        <x:v>47908</x:v>
      </x:c>
      <x:c r="BE85" s="101" t="n">
        <x:f>'36月运营模型'!BE$5</x:f>
        <x:v>47939</x:v>
      </x:c>
      <x:c r="BF85" s="101" t="n">
        <x:f>'36月运营模型'!BF$5</x:f>
        <x:v>47969</x:v>
      </x:c>
      <x:c r="BG85" s="101" t="n">
        <x:f>'36月运营模型'!BG$5</x:f>
        <x:v>48000</x:v>
      </x:c>
      <x:c r="BH85" s="101" t="n">
        <x:f>'36月运营模型'!BH$5</x:f>
        <x:v>48030</x:v>
      </x:c>
      <x:c r="BI85" s="101" t="n">
        <x:f>'36月运营模型'!BI$5</x:f>
        <x:v>48061</x:v>
      </x:c>
    </x:row>
    <x:row r="86">
      <x:c r="A86" t="str">
        <x:f>A5</x:f>
        <x:v>批次01</x:v>
      </x:c>
      <x:c r="B86" s="29" t="n">
        <x:f>IF(B$85=EDATE($F5,$G5),$J5,0)</x:f>
        <x:v>0</x:v>
      </x:c>
      <x:c r="C86" s="29" t="n">
        <x:f>IF(C$85=EDATE($F5,$G5),$J5,0)</x:f>
        <x:v>0</x:v>
      </x:c>
      <x:c r="D86" s="29" t="n">
        <x:f>IF(D$85=EDATE($F5,$G5),$J5,0)</x:f>
        <x:v>0</x:v>
      </x:c>
      <x:c r="E86" s="29" t="n">
        <x:f>IF(E$85=EDATE($F5,$G5),$J5,0)</x:f>
        <x:v>0</x:v>
      </x:c>
      <x:c r="F86" s="29" t="n">
        <x:f>IF(F$85=EDATE($F5,$G5),$J5,0)</x:f>
        <x:v>0</x:v>
      </x:c>
      <x:c r="G86" s="29" t="n">
        <x:f>IF(G$85=EDATE($F5,$G5),$J5,0)</x:f>
        <x:v>0</x:v>
      </x:c>
      <x:c r="H86" s="29" t="n">
        <x:f>IF(H$85=EDATE($F5,$G5),$J5,0)</x:f>
        <x:v>0</x:v>
      </x:c>
      <x:c r="I86" s="29" t="n">
        <x:f>IF(I$85=EDATE($F5,$G5),$J5,0)</x:f>
        <x:v>0</x:v>
      </x:c>
      <x:c r="J86" s="29" t="n">
        <x:f>IF(J$85=EDATE($F5,$G5),$J5,0)</x:f>
        <x:v>0</x:v>
      </x:c>
      <x:c r="K86" s="29" t="n">
        <x:f>IF(K$85=EDATE($F5,$G5),$J5,0)</x:f>
        <x:v>0</x:v>
      </x:c>
      <x:c r="L86" s="29" t="n">
        <x:f>IF(L$85=EDATE($F5,$G5),$J5,0)</x:f>
        <x:v>0</x:v>
      </x:c>
      <x:c r="M86" s="29" t="n">
        <x:f>IF(M$85=EDATE($F5,$G5),$J5,0)</x:f>
        <x:v>0</x:v>
      </x:c>
      <x:c r="N86" s="29" t="n">
        <x:f>IF(N$85=EDATE($F5,$G5),$J5,0)</x:f>
        <x:v>0</x:v>
      </x:c>
      <x:c r="O86" s="29" t="n">
        <x:f>IF(O$85=EDATE($F5,$G5),$J5,0)</x:f>
        <x:v>0</x:v>
      </x:c>
      <x:c r="P86" s="29" t="n">
        <x:f>IF(P$85=EDATE($F5,$G5),$J5,0)</x:f>
        <x:v>0</x:v>
      </x:c>
      <x:c r="Q86" s="29" t="n">
        <x:f>IF(Q$85=EDATE($F5,$G5),$J5,0)</x:f>
        <x:v>0</x:v>
      </x:c>
      <x:c r="R86" s="29" t="n">
        <x:f>IF(R$85=EDATE($F5,$G5),$J5,0)</x:f>
        <x:v>0</x:v>
      </x:c>
      <x:c r="S86" s="29" t="n">
        <x:f>IF(S$85=EDATE($F5,$G5),$J5,0)</x:f>
        <x:v>0</x:v>
      </x:c>
      <x:c r="T86" s="29" t="n">
        <x:f>IF(T$85=EDATE($F5,$G5),$J5,0)</x:f>
        <x:v>0</x:v>
      </x:c>
      <x:c r="U86" s="29" t="n">
        <x:f>IF(U$85=EDATE($F5,$G5),$J5,0)</x:f>
        <x:v>0</x:v>
      </x:c>
      <x:c r="V86" s="29" t="n">
        <x:f>IF(V$85=EDATE($F5,$G5),$J5,0)</x:f>
        <x:v>0</x:v>
      </x:c>
      <x:c r="W86" s="29" t="n">
        <x:f>IF(W$85=EDATE($F5,$G5),$J5,0)</x:f>
        <x:v>0</x:v>
      </x:c>
      <x:c r="X86" s="29" t="n">
        <x:f>IF(X$85=EDATE($F5,$G5),$J5,0)</x:f>
        <x:v>0</x:v>
      </x:c>
      <x:c r="Y86" s="29" t="n">
        <x:f>IF(Y$85=EDATE($F5,$G5),$J5,0)</x:f>
        <x:v>0</x:v>
      </x:c>
      <x:c r="Z86" s="29" t="n">
        <x:f>IF(Z$85=EDATE($F5,$G5),$J5,0)</x:f>
        <x:v>0</x:v>
      </x:c>
      <x:c r="AA86" s="29" t="n">
        <x:f>IF(AA$85=EDATE($F5,$G5),$J5,0)</x:f>
        <x:v>0</x:v>
      </x:c>
      <x:c r="AB86" s="29" t="n">
        <x:f>IF(AB$85=EDATE($F5,$G5),$J5,0)</x:f>
        <x:v>0</x:v>
      </x:c>
      <x:c r="AC86" s="29" t="n">
        <x:f>IF(AC$85=EDATE($F5,$G5),$J5,0)</x:f>
        <x:v>0</x:v>
      </x:c>
      <x:c r="AD86" s="29" t="n">
        <x:f>IF(AD$85=EDATE($F5,$G5),$J5,0)</x:f>
        <x:v>0</x:v>
      </x:c>
      <x:c r="AE86" s="29" t="n">
        <x:f>IF(AE$85=EDATE($F5,$G5),$J5,0)</x:f>
        <x:v>0</x:v>
      </x:c>
      <x:c r="AF86" s="29" t="n">
        <x:f>IF(AF$85=EDATE($F5,$G5),$J5,0)</x:f>
        <x:v>0</x:v>
      </x:c>
      <x:c r="AG86" s="29" t="n">
        <x:f>IF(AG$85=EDATE($F5,$G5),$J5,0)</x:f>
        <x:v>0</x:v>
      </x:c>
      <x:c r="AH86" s="29" t="n">
        <x:f>IF(AH$85=EDATE($F5,$G5),$J5,0)</x:f>
        <x:v>0</x:v>
      </x:c>
      <x:c r="AI86" s="29" t="n">
        <x:f>IF(AI$85=EDATE($F5,$G5),$J5,0)</x:f>
        <x:v>0</x:v>
      </x:c>
      <x:c r="AJ86" s="29" t="n">
        <x:f>IF(AJ$85=EDATE($F5,$G5),$J5,0)</x:f>
        <x:v>0</x:v>
      </x:c>
      <x:c r="AK86" s="29" t="n">
        <x:f>IF(AK$85=EDATE($F5,$G5),$J5,0)</x:f>
        <x:v>0</x:v>
      </x:c>
      <x:c r="AL86" s="101" t="n">
        <x:f>IF(AL$85=EDATE($F5,$G5),$J5,0)</x:f>
        <x:v>0</x:v>
      </x:c>
      <x:c r="AM86" s="101" t="n">
        <x:f>IF(AM$85=EDATE($F5,$G5),$J5,0)</x:f>
        <x:v>229920</x:v>
      </x:c>
      <x:c r="AN86" s="101" t="n">
        <x:f>IF(AN$85=EDATE($F5,$G5),$J5,0)</x:f>
        <x:v>0</x:v>
      </x:c>
      <x:c r="AO86" s="101" t="n">
        <x:f>IF(AO$85=EDATE($F5,$G5),$J5,0)</x:f>
        <x:v>0</x:v>
      </x:c>
      <x:c r="AP86" s="101" t="n">
        <x:f>IF(AP$85=EDATE($F5,$G5),$J5,0)</x:f>
        <x:v>0</x:v>
      </x:c>
      <x:c r="AQ86" s="101" t="n">
        <x:f>IF(AQ$85=EDATE($F5,$G5),$J5,0)</x:f>
        <x:v>0</x:v>
      </x:c>
      <x:c r="AR86" s="101" t="n">
        <x:f>IF(AR$85=EDATE($F5,$G5),$J5,0)</x:f>
        <x:v>0</x:v>
      </x:c>
      <x:c r="AS86" s="101" t="n">
        <x:f>IF(AS$85=EDATE($F5,$G5),$J5,0)</x:f>
        <x:v>0</x:v>
      </x:c>
      <x:c r="AT86" s="101" t="n">
        <x:f>IF(AT$85=EDATE($F5,$G5),$J5,0)</x:f>
        <x:v>0</x:v>
      </x:c>
      <x:c r="AU86" s="101" t="n">
        <x:f>IF(AU$85=EDATE($F5,$G5),$J5,0)</x:f>
        <x:v>0</x:v>
      </x:c>
      <x:c r="AV86" s="101" t="n">
        <x:f>IF(AV$85=EDATE($F5,$G5),$J5,0)</x:f>
        <x:v>0</x:v>
      </x:c>
      <x:c r="AW86" s="101" t="n">
        <x:f>IF(AW$85=EDATE($F5,$G5),$J5,0)</x:f>
        <x:v>0</x:v>
      </x:c>
      <x:c r="AX86" s="101" t="n">
        <x:f>IF(AX$85=EDATE($F5,$G5),$J5,0)</x:f>
        <x:v>0</x:v>
      </x:c>
      <x:c r="AY86" s="101" t="n">
        <x:f>IF(AY$85=EDATE($F5,$G5),$J5,0)</x:f>
        <x:v>0</x:v>
      </x:c>
      <x:c r="AZ86" s="101" t="n">
        <x:f>IF(AZ$85=EDATE($F5,$G5),$J5,0)</x:f>
        <x:v>0</x:v>
      </x:c>
      <x:c r="BA86" s="101" t="n">
        <x:f>IF(BA$85=EDATE($F5,$G5),$J5,0)</x:f>
        <x:v>0</x:v>
      </x:c>
      <x:c r="BB86" s="101" t="n">
        <x:f>IF(BB$85=EDATE($F5,$G5),$J5,0)</x:f>
        <x:v>0</x:v>
      </x:c>
      <x:c r="BC86" s="101" t="n">
        <x:f>IF(BC$85=EDATE($F5,$G5),$J5,0)</x:f>
        <x:v>0</x:v>
      </x:c>
      <x:c r="BD86" s="101" t="n">
        <x:f>IF(BD$85=EDATE($F5,$G5),$J5,0)</x:f>
        <x:v>0</x:v>
      </x:c>
      <x:c r="BE86" s="101" t="n">
        <x:f>IF(BE$85=EDATE($F5,$G5),$J5,0)</x:f>
        <x:v>0</x:v>
      </x:c>
      <x:c r="BF86" s="101" t="n">
        <x:f>IF(BF$85=EDATE($F5,$G5),$J5,0)</x:f>
        <x:v>0</x:v>
      </x:c>
      <x:c r="BG86" s="101" t="n">
        <x:f>IF(BG$85=EDATE($F5,$G5),$J5,0)</x:f>
        <x:v>0</x:v>
      </x:c>
      <x:c r="BH86" s="101" t="n">
        <x:f>IF(BH$85=EDATE($F5,$G5),$J5,0)</x:f>
        <x:v>0</x:v>
      </x:c>
      <x:c r="BI86" s="101" t="n">
        <x:f>IF(BI$85=EDATE($F5,$G5),$J5,0)</x:f>
        <x:v>0</x:v>
      </x:c>
    </x:row>
    <x:row r="87">
      <x:c r="A87" t="str">
        <x:f>A6</x:f>
        <x:v>批次02</x:v>
      </x:c>
      <x:c r="B87" s="29" t="n">
        <x:f>IF(B$85=EDATE($F6,$G6),$J6,0)</x:f>
        <x:v>0</x:v>
      </x:c>
      <x:c r="C87" s="29" t="n">
        <x:f>IF(C$85=EDATE($F6,$G6),$J6,0)</x:f>
        <x:v>0</x:v>
      </x:c>
      <x:c r="D87" s="29" t="n">
        <x:f>IF(D$85=EDATE($F6,$G6),$J6,0)</x:f>
        <x:v>0</x:v>
      </x:c>
      <x:c r="E87" s="29" t="n">
        <x:f>IF(E$85=EDATE($F6,$G6),$J6,0)</x:f>
        <x:v>0</x:v>
      </x:c>
      <x:c r="F87" s="29" t="n">
        <x:f>IF(F$85=EDATE($F6,$G6),$J6,0)</x:f>
        <x:v>0</x:v>
      </x:c>
      <x:c r="G87" s="29" t="n">
        <x:f>IF(G$85=EDATE($F6,$G6),$J6,0)</x:f>
        <x:v>0</x:v>
      </x:c>
      <x:c r="H87" s="29" t="n">
        <x:f>IF(H$85=EDATE($F6,$G6),$J6,0)</x:f>
        <x:v>0</x:v>
      </x:c>
      <x:c r="I87" s="29" t="n">
        <x:f>IF(I$85=EDATE($F6,$G6),$J6,0)</x:f>
        <x:v>0</x:v>
      </x:c>
      <x:c r="J87" s="29" t="n">
        <x:f>IF(J$85=EDATE($F6,$G6),$J6,0)</x:f>
        <x:v>0</x:v>
      </x:c>
      <x:c r="K87" s="29" t="n">
        <x:f>IF(K$85=EDATE($F6,$G6),$J6,0)</x:f>
        <x:v>0</x:v>
      </x:c>
      <x:c r="L87" s="29" t="n">
        <x:f>IF(L$85=EDATE($F6,$G6),$J6,0)</x:f>
        <x:v>0</x:v>
      </x:c>
      <x:c r="M87" s="29" t="n">
        <x:f>IF(M$85=EDATE($F6,$G6),$J6,0)</x:f>
        <x:v>0</x:v>
      </x:c>
      <x:c r="N87" s="29" t="n">
        <x:f>IF(N$85=EDATE($F6,$G6),$J6,0)</x:f>
        <x:v>0</x:v>
      </x:c>
      <x:c r="O87" s="29" t="n">
        <x:f>IF(O$85=EDATE($F6,$G6),$J6,0)</x:f>
        <x:v>0</x:v>
      </x:c>
      <x:c r="P87" s="29" t="n">
        <x:f>IF(P$85=EDATE($F6,$G6),$J6,0)</x:f>
        <x:v>0</x:v>
      </x:c>
      <x:c r="Q87" s="29" t="n">
        <x:f>IF(Q$85=EDATE($F6,$G6),$J6,0)</x:f>
        <x:v>0</x:v>
      </x:c>
      <x:c r="R87" s="29" t="n">
        <x:f>IF(R$85=EDATE($F6,$G6),$J6,0)</x:f>
        <x:v>0</x:v>
      </x:c>
      <x:c r="S87" s="29" t="n">
        <x:f>IF(S$85=EDATE($F6,$G6),$J6,0)</x:f>
        <x:v>0</x:v>
      </x:c>
      <x:c r="T87" s="29" t="n">
        <x:f>IF(T$85=EDATE($F6,$G6),$J6,0)</x:f>
        <x:v>0</x:v>
      </x:c>
      <x:c r="U87" s="29" t="n">
        <x:f>IF(U$85=EDATE($F6,$G6),$J6,0)</x:f>
        <x:v>0</x:v>
      </x:c>
      <x:c r="V87" s="29" t="n">
        <x:f>IF(V$85=EDATE($F6,$G6),$J6,0)</x:f>
        <x:v>0</x:v>
      </x:c>
      <x:c r="W87" s="29" t="n">
        <x:f>IF(W$85=EDATE($F6,$G6),$J6,0)</x:f>
        <x:v>0</x:v>
      </x:c>
      <x:c r="X87" s="29" t="n">
        <x:f>IF(X$85=EDATE($F6,$G6),$J6,0)</x:f>
        <x:v>0</x:v>
      </x:c>
      <x:c r="Y87" s="29" t="n">
        <x:f>IF(Y$85=EDATE($F6,$G6),$J6,0)</x:f>
        <x:v>0</x:v>
      </x:c>
      <x:c r="Z87" s="29" t="n">
        <x:f>IF(Z$85=EDATE($F6,$G6),$J6,0)</x:f>
        <x:v>0</x:v>
      </x:c>
      <x:c r="AA87" s="29" t="n">
        <x:f>IF(AA$85=EDATE($F6,$G6),$J6,0)</x:f>
        <x:v>0</x:v>
      </x:c>
      <x:c r="AB87" s="29" t="n">
        <x:f>IF(AB$85=EDATE($F6,$G6),$J6,0)</x:f>
        <x:v>0</x:v>
      </x:c>
      <x:c r="AC87" s="29" t="n">
        <x:f>IF(AC$85=EDATE($F6,$G6),$J6,0)</x:f>
        <x:v>0</x:v>
      </x:c>
      <x:c r="AD87" s="29" t="n">
        <x:f>IF(AD$85=EDATE($F6,$G6),$J6,0)</x:f>
        <x:v>0</x:v>
      </x:c>
      <x:c r="AE87" s="29" t="n">
        <x:f>IF(AE$85=EDATE($F6,$G6),$J6,0)</x:f>
        <x:v>0</x:v>
      </x:c>
      <x:c r="AF87" s="29" t="n">
        <x:f>IF(AF$85=EDATE($F6,$G6),$J6,0)</x:f>
        <x:v>0</x:v>
      </x:c>
      <x:c r="AG87" s="29" t="n">
        <x:f>IF(AG$85=EDATE($F6,$G6),$J6,0)</x:f>
        <x:v>0</x:v>
      </x:c>
      <x:c r="AH87" s="29" t="n">
        <x:f>IF(AH$85=EDATE($F6,$G6),$J6,0)</x:f>
        <x:v>0</x:v>
      </x:c>
      <x:c r="AI87" s="29" t="n">
        <x:f>IF(AI$85=EDATE($F6,$G6),$J6,0)</x:f>
        <x:v>0</x:v>
      </x:c>
      <x:c r="AJ87" s="29" t="n">
        <x:f>IF(AJ$85=EDATE($F6,$G6),$J6,0)</x:f>
        <x:v>0</x:v>
      </x:c>
      <x:c r="AK87" s="29" t="n">
        <x:f>IF(AK$85=EDATE($F6,$G6),$J6,0)</x:f>
        <x:v>0</x:v>
      </x:c>
      <x:c r="AL87" s="101" t="n">
        <x:f>IF(AL$85=EDATE($F6,$G6),$J6,0)</x:f>
        <x:v>0</x:v>
      </x:c>
      <x:c r="AM87" s="101" t="n">
        <x:f>IF(AM$85=EDATE($F6,$G6),$J6,0)</x:f>
        <x:v>0</x:v>
      </x:c>
      <x:c r="AN87" s="101" t="n">
        <x:f>IF(AN$85=EDATE($F6,$G6),$J6,0)</x:f>
        <x:v>275670</x:v>
      </x:c>
      <x:c r="AO87" s="101" t="n">
        <x:f>IF(AO$85=EDATE($F6,$G6),$J6,0)</x:f>
        <x:v>0</x:v>
      </x:c>
      <x:c r="AP87" s="101" t="n">
        <x:f>IF(AP$85=EDATE($F6,$G6),$J6,0)</x:f>
        <x:v>0</x:v>
      </x:c>
      <x:c r="AQ87" s="101" t="n">
        <x:f>IF(AQ$85=EDATE($F6,$G6),$J6,0)</x:f>
        <x:v>0</x:v>
      </x:c>
      <x:c r="AR87" s="101" t="n">
        <x:f>IF(AR$85=EDATE($F6,$G6),$J6,0)</x:f>
        <x:v>0</x:v>
      </x:c>
      <x:c r="AS87" s="101" t="n">
        <x:f>IF(AS$85=EDATE($F6,$G6),$J6,0)</x:f>
        <x:v>0</x:v>
      </x:c>
      <x:c r="AT87" s="101" t="n">
        <x:f>IF(AT$85=EDATE($F6,$G6),$J6,0)</x:f>
        <x:v>0</x:v>
      </x:c>
      <x:c r="AU87" s="101" t="n">
        <x:f>IF(AU$85=EDATE($F6,$G6),$J6,0)</x:f>
        <x:v>0</x:v>
      </x:c>
      <x:c r="AV87" s="101" t="n">
        <x:f>IF(AV$85=EDATE($F6,$G6),$J6,0)</x:f>
        <x:v>0</x:v>
      </x:c>
      <x:c r="AW87" s="101" t="n">
        <x:f>IF(AW$85=EDATE($F6,$G6),$J6,0)</x:f>
        <x:v>0</x:v>
      </x:c>
      <x:c r="AX87" s="101" t="n">
        <x:f>IF(AX$85=EDATE($F6,$G6),$J6,0)</x:f>
        <x:v>0</x:v>
      </x:c>
      <x:c r="AY87" s="101" t="n">
        <x:f>IF(AY$85=EDATE($F6,$G6),$J6,0)</x:f>
        <x:v>0</x:v>
      </x:c>
      <x:c r="AZ87" s="101" t="n">
        <x:f>IF(AZ$85=EDATE($F6,$G6),$J6,0)</x:f>
        <x:v>0</x:v>
      </x:c>
      <x:c r="BA87" s="101" t="n">
        <x:f>IF(BA$85=EDATE($F6,$G6),$J6,0)</x:f>
        <x:v>0</x:v>
      </x:c>
      <x:c r="BB87" s="101" t="n">
        <x:f>IF(BB$85=EDATE($F6,$G6),$J6,0)</x:f>
        <x:v>0</x:v>
      </x:c>
      <x:c r="BC87" s="101" t="n">
        <x:f>IF(BC$85=EDATE($F6,$G6),$J6,0)</x:f>
        <x:v>0</x:v>
      </x:c>
      <x:c r="BD87" s="101" t="n">
        <x:f>IF(BD$85=EDATE($F6,$G6),$J6,0)</x:f>
        <x:v>0</x:v>
      </x:c>
      <x:c r="BE87" s="101" t="n">
        <x:f>IF(BE$85=EDATE($F6,$G6),$J6,0)</x:f>
        <x:v>0</x:v>
      </x:c>
      <x:c r="BF87" s="101" t="n">
        <x:f>IF(BF$85=EDATE($F6,$G6),$J6,0)</x:f>
        <x:v>0</x:v>
      </x:c>
      <x:c r="BG87" s="101" t="n">
        <x:f>IF(BG$85=EDATE($F6,$G6),$J6,0)</x:f>
        <x:v>0</x:v>
      </x:c>
      <x:c r="BH87" s="101" t="n">
        <x:f>IF(BH$85=EDATE($F6,$G6),$J6,0)</x:f>
        <x:v>0</x:v>
      </x:c>
      <x:c r="BI87" s="101" t="n">
        <x:f>IF(BI$85=EDATE($F6,$G6),$J6,0)</x:f>
        <x:v>0</x:v>
      </x:c>
    </x:row>
    <x:row r="88">
      <x:c r="A88" t="str">
        <x:f>A7</x:f>
        <x:v>批次03</x:v>
      </x:c>
      <x:c r="B88" s="29" t="n">
        <x:f>IF(B$85=EDATE($F7,$G7),$J7,0)</x:f>
        <x:v>0</x:v>
      </x:c>
      <x:c r="C88" s="29" t="n">
        <x:f>IF(C$85=EDATE($F7,$G7),$J7,0)</x:f>
        <x:v>0</x:v>
      </x:c>
      <x:c r="D88" s="29" t="n">
        <x:f>IF(D$85=EDATE($F7,$G7),$J7,0)</x:f>
        <x:v>0</x:v>
      </x:c>
      <x:c r="E88" s="29" t="n">
        <x:f>IF(E$85=EDATE($F7,$G7),$J7,0)</x:f>
        <x:v>0</x:v>
      </x:c>
      <x:c r="F88" s="29" t="n">
        <x:f>IF(F$85=EDATE($F7,$G7),$J7,0)</x:f>
        <x:v>0</x:v>
      </x:c>
      <x:c r="G88" s="29" t="n">
        <x:f>IF(G$85=EDATE($F7,$G7),$J7,0)</x:f>
        <x:v>0</x:v>
      </x:c>
      <x:c r="H88" s="29" t="n">
        <x:f>IF(H$85=EDATE($F7,$G7),$J7,0)</x:f>
        <x:v>0</x:v>
      </x:c>
      <x:c r="I88" s="29" t="n">
        <x:f>IF(I$85=EDATE($F7,$G7),$J7,0)</x:f>
        <x:v>0</x:v>
      </x:c>
      <x:c r="J88" s="29" t="n">
        <x:f>IF(J$85=EDATE($F7,$G7),$J7,0)</x:f>
        <x:v>0</x:v>
      </x:c>
      <x:c r="K88" s="29" t="n">
        <x:f>IF(K$85=EDATE($F7,$G7),$J7,0)</x:f>
        <x:v>0</x:v>
      </x:c>
      <x:c r="L88" s="29" t="n">
        <x:f>IF(L$85=EDATE($F7,$G7),$J7,0)</x:f>
        <x:v>0</x:v>
      </x:c>
      <x:c r="M88" s="29" t="n">
        <x:f>IF(M$85=EDATE($F7,$G7),$J7,0)</x:f>
        <x:v>0</x:v>
      </x:c>
      <x:c r="N88" s="29" t="n">
        <x:f>IF(N$85=EDATE($F7,$G7),$J7,0)</x:f>
        <x:v>0</x:v>
      </x:c>
      <x:c r="O88" s="29" t="n">
        <x:f>IF(O$85=EDATE($F7,$G7),$J7,0)</x:f>
        <x:v>0</x:v>
      </x:c>
      <x:c r="P88" s="29" t="n">
        <x:f>IF(P$85=EDATE($F7,$G7),$J7,0)</x:f>
        <x:v>0</x:v>
      </x:c>
      <x:c r="Q88" s="29" t="n">
        <x:f>IF(Q$85=EDATE($F7,$G7),$J7,0)</x:f>
        <x:v>0</x:v>
      </x:c>
      <x:c r="R88" s="29" t="n">
        <x:f>IF(R$85=EDATE($F7,$G7),$J7,0)</x:f>
        <x:v>0</x:v>
      </x:c>
      <x:c r="S88" s="29" t="n">
        <x:f>IF(S$85=EDATE($F7,$G7),$J7,0)</x:f>
        <x:v>0</x:v>
      </x:c>
      <x:c r="T88" s="29" t="n">
        <x:f>IF(T$85=EDATE($F7,$G7),$J7,0)</x:f>
        <x:v>0</x:v>
      </x:c>
      <x:c r="U88" s="29" t="n">
        <x:f>IF(U$85=EDATE($F7,$G7),$J7,0)</x:f>
        <x:v>0</x:v>
      </x:c>
      <x:c r="V88" s="29" t="n">
        <x:f>IF(V$85=EDATE($F7,$G7),$J7,0)</x:f>
        <x:v>0</x:v>
      </x:c>
      <x:c r="W88" s="29" t="n">
        <x:f>IF(W$85=EDATE($F7,$G7),$J7,0)</x:f>
        <x:v>0</x:v>
      </x:c>
      <x:c r="X88" s="29" t="n">
        <x:f>IF(X$85=EDATE($F7,$G7),$J7,0)</x:f>
        <x:v>0</x:v>
      </x:c>
      <x:c r="Y88" s="29" t="n">
        <x:f>IF(Y$85=EDATE($F7,$G7),$J7,0)</x:f>
        <x:v>0</x:v>
      </x:c>
      <x:c r="Z88" s="29" t="n">
        <x:f>IF(Z$85=EDATE($F7,$G7),$J7,0)</x:f>
        <x:v>0</x:v>
      </x:c>
      <x:c r="AA88" s="29" t="n">
        <x:f>IF(AA$85=EDATE($F7,$G7),$J7,0)</x:f>
        <x:v>0</x:v>
      </x:c>
      <x:c r="AB88" s="29" t="n">
        <x:f>IF(AB$85=EDATE($F7,$G7),$J7,0)</x:f>
        <x:v>0</x:v>
      </x:c>
      <x:c r="AC88" s="29" t="n">
        <x:f>IF(AC$85=EDATE($F7,$G7),$J7,0)</x:f>
        <x:v>0</x:v>
      </x:c>
      <x:c r="AD88" s="29" t="n">
        <x:f>IF(AD$85=EDATE($F7,$G7),$J7,0)</x:f>
        <x:v>0</x:v>
      </x:c>
      <x:c r="AE88" s="29" t="n">
        <x:f>IF(AE$85=EDATE($F7,$G7),$J7,0)</x:f>
        <x:v>0</x:v>
      </x:c>
      <x:c r="AF88" s="29" t="n">
        <x:f>IF(AF$85=EDATE($F7,$G7),$J7,0)</x:f>
        <x:v>0</x:v>
      </x:c>
      <x:c r="AG88" s="29" t="n">
        <x:f>IF(AG$85=EDATE($F7,$G7),$J7,0)</x:f>
        <x:v>0</x:v>
      </x:c>
      <x:c r="AH88" s="29" t="n">
        <x:f>IF(AH$85=EDATE($F7,$G7),$J7,0)</x:f>
        <x:v>0</x:v>
      </x:c>
      <x:c r="AI88" s="29" t="n">
        <x:f>IF(AI$85=EDATE($F7,$G7),$J7,0)</x:f>
        <x:v>0</x:v>
      </x:c>
      <x:c r="AJ88" s="29" t="n">
        <x:f>IF(AJ$85=EDATE($F7,$G7),$J7,0)</x:f>
        <x:v>0</x:v>
      </x:c>
      <x:c r="AK88" s="29" t="n">
        <x:f>IF(AK$85=EDATE($F7,$G7),$J7,0)</x:f>
        <x:v>0</x:v>
      </x:c>
      <x:c r="AL88" s="101" t="n">
        <x:f>IF(AL$85=EDATE($F7,$G7),$J7,0)</x:f>
        <x:v>0</x:v>
      </x:c>
      <x:c r="AM88" s="101" t="n">
        <x:f>IF(AM$85=EDATE($F7,$G7),$J7,0)</x:f>
        <x:v>0</x:v>
      </x:c>
      <x:c r="AN88" s="101" t="n">
        <x:f>IF(AN$85=EDATE($F7,$G7),$J7,0)</x:f>
        <x:v>0</x:v>
      </x:c>
      <x:c r="AO88" s="101" t="n">
        <x:f>IF(AO$85=EDATE($F7,$G7),$J7,0)</x:f>
        <x:v>321030</x:v>
      </x:c>
      <x:c r="AP88" s="101" t="n">
        <x:f>IF(AP$85=EDATE($F7,$G7),$J7,0)</x:f>
        <x:v>0</x:v>
      </x:c>
      <x:c r="AQ88" s="101" t="n">
        <x:f>IF(AQ$85=EDATE($F7,$G7),$J7,0)</x:f>
        <x:v>0</x:v>
      </x:c>
      <x:c r="AR88" s="101" t="n">
        <x:f>IF(AR$85=EDATE($F7,$G7),$J7,0)</x:f>
        <x:v>0</x:v>
      </x:c>
      <x:c r="AS88" s="101" t="n">
        <x:f>IF(AS$85=EDATE($F7,$G7),$J7,0)</x:f>
        <x:v>0</x:v>
      </x:c>
      <x:c r="AT88" s="101" t="n">
        <x:f>IF(AT$85=EDATE($F7,$G7),$J7,0)</x:f>
        <x:v>0</x:v>
      </x:c>
      <x:c r="AU88" s="101" t="n">
        <x:f>IF(AU$85=EDATE($F7,$G7),$J7,0)</x:f>
        <x:v>0</x:v>
      </x:c>
      <x:c r="AV88" s="101" t="n">
        <x:f>IF(AV$85=EDATE($F7,$G7),$J7,0)</x:f>
        <x:v>0</x:v>
      </x:c>
      <x:c r="AW88" s="101" t="n">
        <x:f>IF(AW$85=EDATE($F7,$G7),$J7,0)</x:f>
        <x:v>0</x:v>
      </x:c>
      <x:c r="AX88" s="101" t="n">
        <x:f>IF(AX$85=EDATE($F7,$G7),$J7,0)</x:f>
        <x:v>0</x:v>
      </x:c>
      <x:c r="AY88" s="101" t="n">
        <x:f>IF(AY$85=EDATE($F7,$G7),$J7,0)</x:f>
        <x:v>0</x:v>
      </x:c>
      <x:c r="AZ88" s="101" t="n">
        <x:f>IF(AZ$85=EDATE($F7,$G7),$J7,0)</x:f>
        <x:v>0</x:v>
      </x:c>
      <x:c r="BA88" s="101" t="n">
        <x:f>IF(BA$85=EDATE($F7,$G7),$J7,0)</x:f>
        <x:v>0</x:v>
      </x:c>
      <x:c r="BB88" s="101" t="n">
        <x:f>IF(BB$85=EDATE($F7,$G7),$J7,0)</x:f>
        <x:v>0</x:v>
      </x:c>
      <x:c r="BC88" s="101" t="n">
        <x:f>IF(BC$85=EDATE($F7,$G7),$J7,0)</x:f>
        <x:v>0</x:v>
      </x:c>
      <x:c r="BD88" s="101" t="n">
        <x:f>IF(BD$85=EDATE($F7,$G7),$J7,0)</x:f>
        <x:v>0</x:v>
      </x:c>
      <x:c r="BE88" s="101" t="n">
        <x:f>IF(BE$85=EDATE($F7,$G7),$J7,0)</x:f>
        <x:v>0</x:v>
      </x:c>
      <x:c r="BF88" s="101" t="n">
        <x:f>IF(BF$85=EDATE($F7,$G7),$J7,0)</x:f>
        <x:v>0</x:v>
      </x:c>
      <x:c r="BG88" s="101" t="n">
        <x:f>IF(BG$85=EDATE($F7,$G7),$J7,0)</x:f>
        <x:v>0</x:v>
      </x:c>
      <x:c r="BH88" s="101" t="n">
        <x:f>IF(BH$85=EDATE($F7,$G7),$J7,0)</x:f>
        <x:v>0</x:v>
      </x:c>
      <x:c r="BI88" s="101" t="n">
        <x:f>IF(BI$85=EDATE($F7,$G7),$J7,0)</x:f>
        <x:v>0</x:v>
      </x:c>
    </x:row>
    <x:row r="89">
      <x:c r="A89" t="str">
        <x:f>A8</x:f>
        <x:v>批次04</x:v>
      </x:c>
      <x:c r="B89" s="29" t="n">
        <x:f>IF(B$85=EDATE($F8,$G8),$J8,0)</x:f>
        <x:v>0</x:v>
      </x:c>
      <x:c r="C89" s="29" t="n">
        <x:f>IF(C$85=EDATE($F8,$G8),$J8,0)</x:f>
        <x:v>0</x:v>
      </x:c>
      <x:c r="D89" s="29" t="n">
        <x:f>IF(D$85=EDATE($F8,$G8),$J8,0)</x:f>
        <x:v>0</x:v>
      </x:c>
      <x:c r="E89" s="29" t="n">
        <x:f>IF(E$85=EDATE($F8,$G8),$J8,0)</x:f>
        <x:v>0</x:v>
      </x:c>
      <x:c r="F89" s="29" t="n">
        <x:f>IF(F$85=EDATE($F8,$G8),$J8,0)</x:f>
        <x:v>0</x:v>
      </x:c>
      <x:c r="G89" s="29" t="n">
        <x:f>IF(G$85=EDATE($F8,$G8),$J8,0)</x:f>
        <x:v>0</x:v>
      </x:c>
      <x:c r="H89" s="29" t="n">
        <x:f>IF(H$85=EDATE($F8,$G8),$J8,0)</x:f>
        <x:v>0</x:v>
      </x:c>
      <x:c r="I89" s="29" t="n">
        <x:f>IF(I$85=EDATE($F8,$G8),$J8,0)</x:f>
        <x:v>0</x:v>
      </x:c>
      <x:c r="J89" s="29" t="n">
        <x:f>IF(J$85=EDATE($F8,$G8),$J8,0)</x:f>
        <x:v>0</x:v>
      </x:c>
      <x:c r="K89" s="29" t="n">
        <x:f>IF(K$85=EDATE($F8,$G8),$J8,0)</x:f>
        <x:v>0</x:v>
      </x:c>
      <x:c r="L89" s="29" t="n">
        <x:f>IF(L$85=EDATE($F8,$G8),$J8,0)</x:f>
        <x:v>0</x:v>
      </x:c>
      <x:c r="M89" s="29" t="n">
        <x:f>IF(M$85=EDATE($F8,$G8),$J8,0)</x:f>
        <x:v>0</x:v>
      </x:c>
      <x:c r="N89" s="29" t="n">
        <x:f>IF(N$85=EDATE($F8,$G8),$J8,0)</x:f>
        <x:v>0</x:v>
      </x:c>
      <x:c r="O89" s="29" t="n">
        <x:f>IF(O$85=EDATE($F8,$G8),$J8,0)</x:f>
        <x:v>0</x:v>
      </x:c>
      <x:c r="P89" s="29" t="n">
        <x:f>IF(P$85=EDATE($F8,$G8),$J8,0)</x:f>
        <x:v>0</x:v>
      </x:c>
      <x:c r="Q89" s="29" t="n">
        <x:f>IF(Q$85=EDATE($F8,$G8),$J8,0)</x:f>
        <x:v>0</x:v>
      </x:c>
      <x:c r="R89" s="29" t="n">
        <x:f>IF(R$85=EDATE($F8,$G8),$J8,0)</x:f>
        <x:v>0</x:v>
      </x:c>
      <x:c r="S89" s="29" t="n">
        <x:f>IF(S$85=EDATE($F8,$G8),$J8,0)</x:f>
        <x:v>0</x:v>
      </x:c>
      <x:c r="T89" s="29" t="n">
        <x:f>IF(T$85=EDATE($F8,$G8),$J8,0)</x:f>
        <x:v>0</x:v>
      </x:c>
      <x:c r="U89" s="29" t="n">
        <x:f>IF(U$85=EDATE($F8,$G8),$J8,0)</x:f>
        <x:v>0</x:v>
      </x:c>
      <x:c r="V89" s="29" t="n">
        <x:f>IF(V$85=EDATE($F8,$G8),$J8,0)</x:f>
        <x:v>0</x:v>
      </x:c>
      <x:c r="W89" s="29" t="n">
        <x:f>IF(W$85=EDATE($F8,$G8),$J8,0)</x:f>
        <x:v>0</x:v>
      </x:c>
      <x:c r="X89" s="29" t="n">
        <x:f>IF(X$85=EDATE($F8,$G8),$J8,0)</x:f>
        <x:v>0</x:v>
      </x:c>
      <x:c r="Y89" s="29" t="n">
        <x:f>IF(Y$85=EDATE($F8,$G8),$J8,0)</x:f>
        <x:v>0</x:v>
      </x:c>
      <x:c r="Z89" s="29" t="n">
        <x:f>IF(Z$85=EDATE($F8,$G8),$J8,0)</x:f>
        <x:v>0</x:v>
      </x:c>
      <x:c r="AA89" s="29" t="n">
        <x:f>IF(AA$85=EDATE($F8,$G8),$J8,0)</x:f>
        <x:v>0</x:v>
      </x:c>
      <x:c r="AB89" s="29" t="n">
        <x:f>IF(AB$85=EDATE($F8,$G8),$J8,0)</x:f>
        <x:v>0</x:v>
      </x:c>
      <x:c r="AC89" s="29" t="n">
        <x:f>IF(AC$85=EDATE($F8,$G8),$J8,0)</x:f>
        <x:v>0</x:v>
      </x:c>
      <x:c r="AD89" s="29" t="n">
        <x:f>IF(AD$85=EDATE($F8,$G8),$J8,0)</x:f>
        <x:v>0</x:v>
      </x:c>
      <x:c r="AE89" s="29" t="n">
        <x:f>IF(AE$85=EDATE($F8,$G8),$J8,0)</x:f>
        <x:v>0</x:v>
      </x:c>
      <x:c r="AF89" s="29" t="n">
        <x:f>IF(AF$85=EDATE($F8,$G8),$J8,0)</x:f>
        <x:v>0</x:v>
      </x:c>
      <x:c r="AG89" s="29" t="n">
        <x:f>IF(AG$85=EDATE($F8,$G8),$J8,0)</x:f>
        <x:v>0</x:v>
      </x:c>
      <x:c r="AH89" s="29" t="n">
        <x:f>IF(AH$85=EDATE($F8,$G8),$J8,0)</x:f>
        <x:v>0</x:v>
      </x:c>
      <x:c r="AI89" s="29" t="n">
        <x:f>IF(AI$85=EDATE($F8,$G8),$J8,0)</x:f>
        <x:v>0</x:v>
      </x:c>
      <x:c r="AJ89" s="29" t="n">
        <x:f>IF(AJ$85=EDATE($F8,$G8),$J8,0)</x:f>
        <x:v>0</x:v>
      </x:c>
      <x:c r="AK89" s="29" t="n">
        <x:f>IF(AK$85=EDATE($F8,$G8),$J8,0)</x:f>
        <x:v>0</x:v>
      </x:c>
      <x:c r="AL89" s="101" t="n">
        <x:f>IF(AL$85=EDATE($F8,$G8),$J8,0)</x:f>
        <x:v>0</x:v>
      </x:c>
      <x:c r="AM89" s="101" t="n">
        <x:f>IF(AM$85=EDATE($F8,$G8),$J8,0)</x:f>
        <x:v>0</x:v>
      </x:c>
      <x:c r="AN89" s="101" t="n">
        <x:f>IF(AN$85=EDATE($F8,$G8),$J8,0)</x:f>
        <x:v>0</x:v>
      </x:c>
      <x:c r="AO89" s="101" t="n">
        <x:f>IF(AO$85=EDATE($F8,$G8),$J8,0)</x:f>
        <x:v>0</x:v>
      </x:c>
      <x:c r="AP89" s="101" t="n">
        <x:f>IF(AP$85=EDATE($F8,$G8),$J8,0)</x:f>
        <x:v>366780</x:v>
      </x:c>
      <x:c r="AQ89" s="101" t="n">
        <x:f>IF(AQ$85=EDATE($F8,$G8),$J8,0)</x:f>
        <x:v>0</x:v>
      </x:c>
      <x:c r="AR89" s="101" t="n">
        <x:f>IF(AR$85=EDATE($F8,$G8),$J8,0)</x:f>
        <x:v>0</x:v>
      </x:c>
      <x:c r="AS89" s="101" t="n">
        <x:f>IF(AS$85=EDATE($F8,$G8),$J8,0)</x:f>
        <x:v>0</x:v>
      </x:c>
      <x:c r="AT89" s="101" t="n">
        <x:f>IF(AT$85=EDATE($F8,$G8),$J8,0)</x:f>
        <x:v>0</x:v>
      </x:c>
      <x:c r="AU89" s="101" t="n">
        <x:f>IF(AU$85=EDATE($F8,$G8),$J8,0)</x:f>
        <x:v>0</x:v>
      </x:c>
      <x:c r="AV89" s="101" t="n">
        <x:f>IF(AV$85=EDATE($F8,$G8),$J8,0)</x:f>
        <x:v>0</x:v>
      </x:c>
      <x:c r="AW89" s="101" t="n">
        <x:f>IF(AW$85=EDATE($F8,$G8),$J8,0)</x:f>
        <x:v>0</x:v>
      </x:c>
      <x:c r="AX89" s="101" t="n">
        <x:f>IF(AX$85=EDATE($F8,$G8),$J8,0)</x:f>
        <x:v>0</x:v>
      </x:c>
      <x:c r="AY89" s="101" t="n">
        <x:f>IF(AY$85=EDATE($F8,$G8),$J8,0)</x:f>
        <x:v>0</x:v>
      </x:c>
      <x:c r="AZ89" s="101" t="n">
        <x:f>IF(AZ$85=EDATE($F8,$G8),$J8,0)</x:f>
        <x:v>0</x:v>
      </x:c>
      <x:c r="BA89" s="101" t="n">
        <x:f>IF(BA$85=EDATE($F8,$G8),$J8,0)</x:f>
        <x:v>0</x:v>
      </x:c>
      <x:c r="BB89" s="101" t="n">
        <x:f>IF(BB$85=EDATE($F8,$G8),$J8,0)</x:f>
        <x:v>0</x:v>
      </x:c>
      <x:c r="BC89" s="101" t="n">
        <x:f>IF(BC$85=EDATE($F8,$G8),$J8,0)</x:f>
        <x:v>0</x:v>
      </x:c>
      <x:c r="BD89" s="101" t="n">
        <x:f>IF(BD$85=EDATE($F8,$G8),$J8,0)</x:f>
        <x:v>0</x:v>
      </x:c>
      <x:c r="BE89" s="101" t="n">
        <x:f>IF(BE$85=EDATE($F8,$G8),$J8,0)</x:f>
        <x:v>0</x:v>
      </x:c>
      <x:c r="BF89" s="101" t="n">
        <x:f>IF(BF$85=EDATE($F8,$G8),$J8,0)</x:f>
        <x:v>0</x:v>
      </x:c>
      <x:c r="BG89" s="101" t="n">
        <x:f>IF(BG$85=EDATE($F8,$G8),$J8,0)</x:f>
        <x:v>0</x:v>
      </x:c>
      <x:c r="BH89" s="101" t="n">
        <x:f>IF(BH$85=EDATE($F8,$G8),$J8,0)</x:f>
        <x:v>0</x:v>
      </x:c>
      <x:c r="BI89" s="101" t="n">
        <x:f>IF(BI$85=EDATE($F8,$G8),$J8,0)</x:f>
        <x:v>0</x:v>
      </x:c>
    </x:row>
    <x:row r="90">
      <x:c r="A90" t="str">
        <x:f>A9</x:f>
        <x:v>批次05</x:v>
      </x:c>
      <x:c r="B90" s="29" t="n">
        <x:f>IF(B$85=EDATE($F9,$G9),$J9,0)</x:f>
        <x:v>0</x:v>
      </x:c>
      <x:c r="C90" s="29" t="n">
        <x:f>IF(C$85=EDATE($F9,$G9),$J9,0)</x:f>
        <x:v>0</x:v>
      </x:c>
      <x:c r="D90" s="29" t="n">
        <x:f>IF(D$85=EDATE($F9,$G9),$J9,0)</x:f>
        <x:v>0</x:v>
      </x:c>
      <x:c r="E90" s="29" t="n">
        <x:f>IF(E$85=EDATE($F9,$G9),$J9,0)</x:f>
        <x:v>0</x:v>
      </x:c>
      <x:c r="F90" s="29" t="n">
        <x:f>IF(F$85=EDATE($F9,$G9),$J9,0)</x:f>
        <x:v>0</x:v>
      </x:c>
      <x:c r="G90" s="29" t="n">
        <x:f>IF(G$85=EDATE($F9,$G9),$J9,0)</x:f>
        <x:v>0</x:v>
      </x:c>
      <x:c r="H90" s="29" t="n">
        <x:f>IF(H$85=EDATE($F9,$G9),$J9,0)</x:f>
        <x:v>0</x:v>
      </x:c>
      <x:c r="I90" s="29" t="n">
        <x:f>IF(I$85=EDATE($F9,$G9),$J9,0)</x:f>
        <x:v>0</x:v>
      </x:c>
      <x:c r="J90" s="29" t="n">
        <x:f>IF(J$85=EDATE($F9,$G9),$J9,0)</x:f>
        <x:v>0</x:v>
      </x:c>
      <x:c r="K90" s="29" t="n">
        <x:f>IF(K$85=EDATE($F9,$G9),$J9,0)</x:f>
        <x:v>0</x:v>
      </x:c>
      <x:c r="L90" s="29" t="n">
        <x:f>IF(L$85=EDATE($F9,$G9),$J9,0)</x:f>
        <x:v>0</x:v>
      </x:c>
      <x:c r="M90" s="29" t="n">
        <x:f>IF(M$85=EDATE($F9,$G9),$J9,0)</x:f>
        <x:v>0</x:v>
      </x:c>
      <x:c r="N90" s="29" t="n">
        <x:f>IF(N$85=EDATE($F9,$G9),$J9,0)</x:f>
        <x:v>0</x:v>
      </x:c>
      <x:c r="O90" s="29" t="n">
        <x:f>IF(O$85=EDATE($F9,$G9),$J9,0)</x:f>
        <x:v>0</x:v>
      </x:c>
      <x:c r="P90" s="29" t="n">
        <x:f>IF(P$85=EDATE($F9,$G9),$J9,0)</x:f>
        <x:v>0</x:v>
      </x:c>
      <x:c r="Q90" s="29" t="n">
        <x:f>IF(Q$85=EDATE($F9,$G9),$J9,0)</x:f>
        <x:v>0</x:v>
      </x:c>
      <x:c r="R90" s="29" t="n">
        <x:f>IF(R$85=EDATE($F9,$G9),$J9,0)</x:f>
        <x:v>0</x:v>
      </x:c>
      <x:c r="S90" s="29" t="n">
        <x:f>IF(S$85=EDATE($F9,$G9),$J9,0)</x:f>
        <x:v>0</x:v>
      </x:c>
      <x:c r="T90" s="29" t="n">
        <x:f>IF(T$85=EDATE($F9,$G9),$J9,0)</x:f>
        <x:v>0</x:v>
      </x:c>
      <x:c r="U90" s="29" t="n">
        <x:f>IF(U$85=EDATE($F9,$G9),$J9,0)</x:f>
        <x:v>0</x:v>
      </x:c>
      <x:c r="V90" s="29" t="n">
        <x:f>IF(V$85=EDATE($F9,$G9),$J9,0)</x:f>
        <x:v>0</x:v>
      </x:c>
      <x:c r="W90" s="29" t="n">
        <x:f>IF(W$85=EDATE($F9,$G9),$J9,0)</x:f>
        <x:v>0</x:v>
      </x:c>
      <x:c r="X90" s="29" t="n">
        <x:f>IF(X$85=EDATE($F9,$G9),$J9,0)</x:f>
        <x:v>0</x:v>
      </x:c>
      <x:c r="Y90" s="29" t="n">
        <x:f>IF(Y$85=EDATE($F9,$G9),$J9,0)</x:f>
        <x:v>0</x:v>
      </x:c>
      <x:c r="Z90" s="29" t="n">
        <x:f>IF(Z$85=EDATE($F9,$G9),$J9,0)</x:f>
        <x:v>0</x:v>
      </x:c>
      <x:c r="AA90" s="29" t="n">
        <x:f>IF(AA$85=EDATE($F9,$G9),$J9,0)</x:f>
        <x:v>0</x:v>
      </x:c>
      <x:c r="AB90" s="29" t="n">
        <x:f>IF(AB$85=EDATE($F9,$G9),$J9,0)</x:f>
        <x:v>0</x:v>
      </x:c>
      <x:c r="AC90" s="29" t="n">
        <x:f>IF(AC$85=EDATE($F9,$G9),$J9,0)</x:f>
        <x:v>0</x:v>
      </x:c>
      <x:c r="AD90" s="29" t="n">
        <x:f>IF(AD$85=EDATE($F9,$G9),$J9,0)</x:f>
        <x:v>0</x:v>
      </x:c>
      <x:c r="AE90" s="29" t="n">
        <x:f>IF(AE$85=EDATE($F9,$G9),$J9,0)</x:f>
        <x:v>0</x:v>
      </x:c>
      <x:c r="AF90" s="29" t="n">
        <x:f>IF(AF$85=EDATE($F9,$G9),$J9,0)</x:f>
        <x:v>0</x:v>
      </x:c>
      <x:c r="AG90" s="29" t="n">
        <x:f>IF(AG$85=EDATE($F9,$G9),$J9,0)</x:f>
        <x:v>0</x:v>
      </x:c>
      <x:c r="AH90" s="29" t="n">
        <x:f>IF(AH$85=EDATE($F9,$G9),$J9,0)</x:f>
        <x:v>0</x:v>
      </x:c>
      <x:c r="AI90" s="29" t="n">
        <x:f>IF(AI$85=EDATE($F9,$G9),$J9,0)</x:f>
        <x:v>0</x:v>
      </x:c>
      <x:c r="AJ90" s="29" t="n">
        <x:f>IF(AJ$85=EDATE($F9,$G9),$J9,0)</x:f>
        <x:v>0</x:v>
      </x:c>
      <x:c r="AK90" s="29" t="n">
        <x:f>IF(AK$85=EDATE($F9,$G9),$J9,0)</x:f>
        <x:v>0</x:v>
      </x:c>
      <x:c r="AL90" s="101" t="n">
        <x:f>IF(AL$85=EDATE($F9,$G9),$J9,0)</x:f>
        <x:v>0</x:v>
      </x:c>
      <x:c r="AM90" s="101" t="n">
        <x:f>IF(AM$85=EDATE($F9,$G9),$J9,0)</x:f>
        <x:v>0</x:v>
      </x:c>
      <x:c r="AN90" s="101" t="n">
        <x:f>IF(AN$85=EDATE($F9,$G9),$J9,0)</x:f>
        <x:v>0</x:v>
      </x:c>
      <x:c r="AO90" s="101" t="n">
        <x:f>IF(AO$85=EDATE($F9,$G9),$J9,0)</x:f>
        <x:v>0</x:v>
      </x:c>
      <x:c r="AP90" s="101" t="n">
        <x:f>IF(AP$85=EDATE($F9,$G9),$J9,0)</x:f>
        <x:v>0</x:v>
      </x:c>
      <x:c r="AQ90" s="101" t="n">
        <x:f>IF(AQ$85=EDATE($F9,$G9),$J9,0)</x:f>
        <x:v>412530</x:v>
      </x:c>
      <x:c r="AR90" s="101" t="n">
        <x:f>IF(AR$85=EDATE($F9,$G9),$J9,0)</x:f>
        <x:v>0</x:v>
      </x:c>
      <x:c r="AS90" s="101" t="n">
        <x:f>IF(AS$85=EDATE($F9,$G9),$J9,0)</x:f>
        <x:v>0</x:v>
      </x:c>
      <x:c r="AT90" s="101" t="n">
        <x:f>IF(AT$85=EDATE($F9,$G9),$J9,0)</x:f>
        <x:v>0</x:v>
      </x:c>
      <x:c r="AU90" s="101" t="n">
        <x:f>IF(AU$85=EDATE($F9,$G9),$J9,0)</x:f>
        <x:v>0</x:v>
      </x:c>
      <x:c r="AV90" s="101" t="n">
        <x:f>IF(AV$85=EDATE($F9,$G9),$J9,0)</x:f>
        <x:v>0</x:v>
      </x:c>
      <x:c r="AW90" s="101" t="n">
        <x:f>IF(AW$85=EDATE($F9,$G9),$J9,0)</x:f>
        <x:v>0</x:v>
      </x:c>
      <x:c r="AX90" s="101" t="n">
        <x:f>IF(AX$85=EDATE($F9,$G9),$J9,0)</x:f>
        <x:v>0</x:v>
      </x:c>
      <x:c r="AY90" s="101" t="n">
        <x:f>IF(AY$85=EDATE($F9,$G9),$J9,0)</x:f>
        <x:v>0</x:v>
      </x:c>
      <x:c r="AZ90" s="101" t="n">
        <x:f>IF(AZ$85=EDATE($F9,$G9),$J9,0)</x:f>
        <x:v>0</x:v>
      </x:c>
      <x:c r="BA90" s="101" t="n">
        <x:f>IF(BA$85=EDATE($F9,$G9),$J9,0)</x:f>
        <x:v>0</x:v>
      </x:c>
      <x:c r="BB90" s="101" t="n">
        <x:f>IF(BB$85=EDATE($F9,$G9),$J9,0)</x:f>
        <x:v>0</x:v>
      </x:c>
      <x:c r="BC90" s="101" t="n">
        <x:f>IF(BC$85=EDATE($F9,$G9),$J9,0)</x:f>
        <x:v>0</x:v>
      </x:c>
      <x:c r="BD90" s="101" t="n">
        <x:f>IF(BD$85=EDATE($F9,$G9),$J9,0)</x:f>
        <x:v>0</x:v>
      </x:c>
      <x:c r="BE90" s="101" t="n">
        <x:f>IF(BE$85=EDATE($F9,$G9),$J9,0)</x:f>
        <x:v>0</x:v>
      </x:c>
      <x:c r="BF90" s="101" t="n">
        <x:f>IF(BF$85=EDATE($F9,$G9),$J9,0)</x:f>
        <x:v>0</x:v>
      </x:c>
      <x:c r="BG90" s="101" t="n">
        <x:f>IF(BG$85=EDATE($F9,$G9),$J9,0)</x:f>
        <x:v>0</x:v>
      </x:c>
      <x:c r="BH90" s="101" t="n">
        <x:f>IF(BH$85=EDATE($F9,$G9),$J9,0)</x:f>
        <x:v>0</x:v>
      </x:c>
      <x:c r="BI90" s="101" t="n">
        <x:f>IF(BI$85=EDATE($F9,$G9),$J9,0)</x:f>
        <x:v>0</x:v>
      </x:c>
    </x:row>
    <x:row r="91">
      <x:c r="A91" t="str">
        <x:f>A10</x:f>
        <x:v>批次06</x:v>
      </x:c>
      <x:c r="B91" s="29" t="n">
        <x:f>IF(B$85=EDATE($F10,$G10),$J10,0)</x:f>
        <x:v>0</x:v>
      </x:c>
      <x:c r="C91" s="29" t="n">
        <x:f>IF(C$85=EDATE($F10,$G10),$J10,0)</x:f>
        <x:v>0</x:v>
      </x:c>
      <x:c r="D91" s="29" t="n">
        <x:f>IF(D$85=EDATE($F10,$G10),$J10,0)</x:f>
        <x:v>0</x:v>
      </x:c>
      <x:c r="E91" s="29" t="n">
        <x:f>IF(E$85=EDATE($F10,$G10),$J10,0)</x:f>
        <x:v>0</x:v>
      </x:c>
      <x:c r="F91" s="29" t="n">
        <x:f>IF(F$85=EDATE($F10,$G10),$J10,0)</x:f>
        <x:v>0</x:v>
      </x:c>
      <x:c r="G91" s="29" t="n">
        <x:f>IF(G$85=EDATE($F10,$G10),$J10,0)</x:f>
        <x:v>0</x:v>
      </x:c>
      <x:c r="H91" s="29" t="n">
        <x:f>IF(H$85=EDATE($F10,$G10),$J10,0)</x:f>
        <x:v>0</x:v>
      </x:c>
      <x:c r="I91" s="29" t="n">
        <x:f>IF(I$85=EDATE($F10,$G10),$J10,0)</x:f>
        <x:v>0</x:v>
      </x:c>
      <x:c r="J91" s="29" t="n">
        <x:f>IF(J$85=EDATE($F10,$G10),$J10,0)</x:f>
        <x:v>0</x:v>
      </x:c>
      <x:c r="K91" s="29" t="n">
        <x:f>IF(K$85=EDATE($F10,$G10),$J10,0)</x:f>
        <x:v>0</x:v>
      </x:c>
      <x:c r="L91" s="29" t="n">
        <x:f>IF(L$85=EDATE($F10,$G10),$J10,0)</x:f>
        <x:v>0</x:v>
      </x:c>
      <x:c r="M91" s="29" t="n">
        <x:f>IF(M$85=EDATE($F10,$G10),$J10,0)</x:f>
        <x:v>0</x:v>
      </x:c>
      <x:c r="N91" s="29" t="n">
        <x:f>IF(N$85=EDATE($F10,$G10),$J10,0)</x:f>
        <x:v>0</x:v>
      </x:c>
      <x:c r="O91" s="29" t="n">
        <x:f>IF(O$85=EDATE($F10,$G10),$J10,0)</x:f>
        <x:v>0</x:v>
      </x:c>
      <x:c r="P91" s="29" t="n">
        <x:f>IF(P$85=EDATE($F10,$G10),$J10,0)</x:f>
        <x:v>0</x:v>
      </x:c>
      <x:c r="Q91" s="29" t="n">
        <x:f>IF(Q$85=EDATE($F10,$G10),$J10,0)</x:f>
        <x:v>0</x:v>
      </x:c>
      <x:c r="R91" s="29" t="n">
        <x:f>IF(R$85=EDATE($F10,$G10),$J10,0)</x:f>
        <x:v>0</x:v>
      </x:c>
      <x:c r="S91" s="29" t="n">
        <x:f>IF(S$85=EDATE($F10,$G10),$J10,0)</x:f>
        <x:v>0</x:v>
      </x:c>
      <x:c r="T91" s="29" t="n">
        <x:f>IF(T$85=EDATE($F10,$G10),$J10,0)</x:f>
        <x:v>0</x:v>
      </x:c>
      <x:c r="U91" s="29" t="n">
        <x:f>IF(U$85=EDATE($F10,$G10),$J10,0)</x:f>
        <x:v>0</x:v>
      </x:c>
      <x:c r="V91" s="29" t="n">
        <x:f>IF(V$85=EDATE($F10,$G10),$J10,0)</x:f>
        <x:v>0</x:v>
      </x:c>
      <x:c r="W91" s="29" t="n">
        <x:f>IF(W$85=EDATE($F10,$G10),$J10,0)</x:f>
        <x:v>0</x:v>
      </x:c>
      <x:c r="X91" s="29" t="n">
        <x:f>IF(X$85=EDATE($F10,$G10),$J10,0)</x:f>
        <x:v>0</x:v>
      </x:c>
      <x:c r="Y91" s="29" t="n">
        <x:f>IF(Y$85=EDATE($F10,$G10),$J10,0)</x:f>
        <x:v>0</x:v>
      </x:c>
      <x:c r="Z91" s="29" t="n">
        <x:f>IF(Z$85=EDATE($F10,$G10),$J10,0)</x:f>
        <x:v>0</x:v>
      </x:c>
      <x:c r="AA91" s="29" t="n">
        <x:f>IF(AA$85=EDATE($F10,$G10),$J10,0)</x:f>
        <x:v>0</x:v>
      </x:c>
      <x:c r="AB91" s="29" t="n">
        <x:f>IF(AB$85=EDATE($F10,$G10),$J10,0)</x:f>
        <x:v>0</x:v>
      </x:c>
      <x:c r="AC91" s="29" t="n">
        <x:f>IF(AC$85=EDATE($F10,$G10),$J10,0)</x:f>
        <x:v>0</x:v>
      </x:c>
      <x:c r="AD91" s="29" t="n">
        <x:f>IF(AD$85=EDATE($F10,$G10),$J10,0)</x:f>
        <x:v>0</x:v>
      </x:c>
      <x:c r="AE91" s="29" t="n">
        <x:f>IF(AE$85=EDATE($F10,$G10),$J10,0)</x:f>
        <x:v>0</x:v>
      </x:c>
      <x:c r="AF91" s="29" t="n">
        <x:f>IF(AF$85=EDATE($F10,$G10),$J10,0)</x:f>
        <x:v>0</x:v>
      </x:c>
      <x:c r="AG91" s="29" t="n">
        <x:f>IF(AG$85=EDATE($F10,$G10),$J10,0)</x:f>
        <x:v>0</x:v>
      </x:c>
      <x:c r="AH91" s="29" t="n">
        <x:f>IF(AH$85=EDATE($F10,$G10),$J10,0)</x:f>
        <x:v>0</x:v>
      </x:c>
      <x:c r="AI91" s="29" t="n">
        <x:f>IF(AI$85=EDATE($F10,$G10),$J10,0)</x:f>
        <x:v>0</x:v>
      </x:c>
      <x:c r="AJ91" s="29" t="n">
        <x:f>IF(AJ$85=EDATE($F10,$G10),$J10,0)</x:f>
        <x:v>0</x:v>
      </x:c>
      <x:c r="AK91" s="29" t="n">
        <x:f>IF(AK$85=EDATE($F10,$G10),$J10,0)</x:f>
        <x:v>0</x:v>
      </x:c>
      <x:c r="AL91" s="101" t="n">
        <x:f>IF(AL$85=EDATE($F10,$G10),$J10,0)</x:f>
        <x:v>0</x:v>
      </x:c>
      <x:c r="AM91" s="101" t="n">
        <x:f>IF(AM$85=EDATE($F10,$G10),$J10,0)</x:f>
        <x:v>0</x:v>
      </x:c>
      <x:c r="AN91" s="101" t="n">
        <x:f>IF(AN$85=EDATE($F10,$G10),$J10,0)</x:f>
        <x:v>0</x:v>
      </x:c>
      <x:c r="AO91" s="101" t="n">
        <x:f>IF(AO$85=EDATE($F10,$G10),$J10,0)</x:f>
        <x:v>0</x:v>
      </x:c>
      <x:c r="AP91" s="101" t="n">
        <x:f>IF(AP$85=EDATE($F10,$G10),$J10,0)</x:f>
        <x:v>0</x:v>
      </x:c>
      <x:c r="AQ91" s="101" t="n">
        <x:f>IF(AQ$85=EDATE($F10,$G10),$J10,0)</x:f>
        <x:v>0</x:v>
      </x:c>
      <x:c r="AR91" s="101" t="n">
        <x:f>IF(AR$85=EDATE($F10,$G10),$J10,0)</x:f>
        <x:v>458280</x:v>
      </x:c>
      <x:c r="AS91" s="101" t="n">
        <x:f>IF(AS$85=EDATE($F10,$G10),$J10,0)</x:f>
        <x:v>0</x:v>
      </x:c>
      <x:c r="AT91" s="101" t="n">
        <x:f>IF(AT$85=EDATE($F10,$G10),$J10,0)</x:f>
        <x:v>0</x:v>
      </x:c>
      <x:c r="AU91" s="101" t="n">
        <x:f>IF(AU$85=EDATE($F10,$G10),$J10,0)</x:f>
        <x:v>0</x:v>
      </x:c>
      <x:c r="AV91" s="101" t="n">
        <x:f>IF(AV$85=EDATE($F10,$G10),$J10,0)</x:f>
        <x:v>0</x:v>
      </x:c>
      <x:c r="AW91" s="101" t="n">
        <x:f>IF(AW$85=EDATE($F10,$G10),$J10,0)</x:f>
        <x:v>0</x:v>
      </x:c>
      <x:c r="AX91" s="101" t="n">
        <x:f>IF(AX$85=EDATE($F10,$G10),$J10,0)</x:f>
        <x:v>0</x:v>
      </x:c>
      <x:c r="AY91" s="101" t="n">
        <x:f>IF(AY$85=EDATE($F10,$G10),$J10,0)</x:f>
        <x:v>0</x:v>
      </x:c>
      <x:c r="AZ91" s="101" t="n">
        <x:f>IF(AZ$85=EDATE($F10,$G10),$J10,0)</x:f>
        <x:v>0</x:v>
      </x:c>
      <x:c r="BA91" s="101" t="n">
        <x:f>IF(BA$85=EDATE($F10,$G10),$J10,0)</x:f>
        <x:v>0</x:v>
      </x:c>
      <x:c r="BB91" s="101" t="n">
        <x:f>IF(BB$85=EDATE($F10,$G10),$J10,0)</x:f>
        <x:v>0</x:v>
      </x:c>
      <x:c r="BC91" s="101" t="n">
        <x:f>IF(BC$85=EDATE($F10,$G10),$J10,0)</x:f>
        <x:v>0</x:v>
      </x:c>
      <x:c r="BD91" s="101" t="n">
        <x:f>IF(BD$85=EDATE($F10,$G10),$J10,0)</x:f>
        <x:v>0</x:v>
      </x:c>
      <x:c r="BE91" s="101" t="n">
        <x:f>IF(BE$85=EDATE($F10,$G10),$J10,0)</x:f>
        <x:v>0</x:v>
      </x:c>
      <x:c r="BF91" s="101" t="n">
        <x:f>IF(BF$85=EDATE($F10,$G10),$J10,0)</x:f>
        <x:v>0</x:v>
      </x:c>
      <x:c r="BG91" s="101" t="n">
        <x:f>IF(BG$85=EDATE($F10,$G10),$J10,0)</x:f>
        <x:v>0</x:v>
      </x:c>
      <x:c r="BH91" s="101" t="n">
        <x:f>IF(BH$85=EDATE($F10,$G10),$J10,0)</x:f>
        <x:v>0</x:v>
      </x:c>
      <x:c r="BI91" s="101" t="n">
        <x:f>IF(BI$85=EDATE($F10,$G10),$J10,0)</x:f>
        <x:v>0</x:v>
      </x:c>
    </x:row>
    <x:row r="92">
      <x:c r="A92" t="str">
        <x:f>A11</x:f>
        <x:v>批次07</x:v>
      </x:c>
      <x:c r="B92" s="29" t="n">
        <x:f>IF(B$85=EDATE($F11,$G11),$J11,0)</x:f>
        <x:v>0</x:v>
      </x:c>
      <x:c r="C92" s="29" t="n">
        <x:f>IF(C$85=EDATE($F11,$G11),$J11,0)</x:f>
        <x:v>0</x:v>
      </x:c>
      <x:c r="D92" s="29" t="n">
        <x:f>IF(D$85=EDATE($F11,$G11),$J11,0)</x:f>
        <x:v>0</x:v>
      </x:c>
      <x:c r="E92" s="29" t="n">
        <x:f>IF(E$85=EDATE($F11,$G11),$J11,0)</x:f>
        <x:v>0</x:v>
      </x:c>
      <x:c r="F92" s="29" t="n">
        <x:f>IF(F$85=EDATE($F11,$G11),$J11,0)</x:f>
        <x:v>0</x:v>
      </x:c>
      <x:c r="G92" s="29" t="n">
        <x:f>IF(G$85=EDATE($F11,$G11),$J11,0)</x:f>
        <x:v>0</x:v>
      </x:c>
      <x:c r="H92" s="29" t="n">
        <x:f>IF(H$85=EDATE($F11,$G11),$J11,0)</x:f>
        <x:v>0</x:v>
      </x:c>
      <x:c r="I92" s="29" t="n">
        <x:f>IF(I$85=EDATE($F11,$G11),$J11,0)</x:f>
        <x:v>0</x:v>
      </x:c>
      <x:c r="J92" s="29" t="n">
        <x:f>IF(J$85=EDATE($F11,$G11),$J11,0)</x:f>
        <x:v>0</x:v>
      </x:c>
      <x:c r="K92" s="29" t="n">
        <x:f>IF(K$85=EDATE($F11,$G11),$J11,0)</x:f>
        <x:v>0</x:v>
      </x:c>
      <x:c r="L92" s="29" t="n">
        <x:f>IF(L$85=EDATE($F11,$G11),$J11,0)</x:f>
        <x:v>0</x:v>
      </x:c>
      <x:c r="M92" s="29" t="n">
        <x:f>IF(M$85=EDATE($F11,$G11),$J11,0)</x:f>
        <x:v>0</x:v>
      </x:c>
      <x:c r="N92" s="29" t="n">
        <x:f>IF(N$85=EDATE($F11,$G11),$J11,0)</x:f>
        <x:v>0</x:v>
      </x:c>
      <x:c r="O92" s="29" t="n">
        <x:f>IF(O$85=EDATE($F11,$G11),$J11,0)</x:f>
        <x:v>0</x:v>
      </x:c>
      <x:c r="P92" s="29" t="n">
        <x:f>IF(P$85=EDATE($F11,$G11),$J11,0)</x:f>
        <x:v>0</x:v>
      </x:c>
      <x:c r="Q92" s="29" t="n">
        <x:f>IF(Q$85=EDATE($F11,$G11),$J11,0)</x:f>
        <x:v>0</x:v>
      </x:c>
      <x:c r="R92" s="29" t="n">
        <x:f>IF(R$85=EDATE($F11,$G11),$J11,0)</x:f>
        <x:v>0</x:v>
      </x:c>
      <x:c r="S92" s="29" t="n">
        <x:f>IF(S$85=EDATE($F11,$G11),$J11,0)</x:f>
        <x:v>0</x:v>
      </x:c>
      <x:c r="T92" s="29" t="n">
        <x:f>IF(T$85=EDATE($F11,$G11),$J11,0)</x:f>
        <x:v>0</x:v>
      </x:c>
      <x:c r="U92" s="29" t="n">
        <x:f>IF(U$85=EDATE($F11,$G11),$J11,0)</x:f>
        <x:v>0</x:v>
      </x:c>
      <x:c r="V92" s="29" t="n">
        <x:f>IF(V$85=EDATE($F11,$G11),$J11,0)</x:f>
        <x:v>0</x:v>
      </x:c>
      <x:c r="W92" s="29" t="n">
        <x:f>IF(W$85=EDATE($F11,$G11),$J11,0)</x:f>
        <x:v>0</x:v>
      </x:c>
      <x:c r="X92" s="29" t="n">
        <x:f>IF(X$85=EDATE($F11,$G11),$J11,0)</x:f>
        <x:v>0</x:v>
      </x:c>
      <x:c r="Y92" s="29" t="n">
        <x:f>IF(Y$85=EDATE($F11,$G11),$J11,0)</x:f>
        <x:v>0</x:v>
      </x:c>
      <x:c r="Z92" s="29" t="n">
        <x:f>IF(Z$85=EDATE($F11,$G11),$J11,0)</x:f>
        <x:v>0</x:v>
      </x:c>
      <x:c r="AA92" s="29" t="n">
        <x:f>IF(AA$85=EDATE($F11,$G11),$J11,0)</x:f>
        <x:v>0</x:v>
      </x:c>
      <x:c r="AB92" s="29" t="n">
        <x:f>IF(AB$85=EDATE($F11,$G11),$J11,0)</x:f>
        <x:v>0</x:v>
      </x:c>
      <x:c r="AC92" s="29" t="n">
        <x:f>IF(AC$85=EDATE($F11,$G11),$J11,0)</x:f>
        <x:v>0</x:v>
      </x:c>
      <x:c r="AD92" s="29" t="n">
        <x:f>IF(AD$85=EDATE($F11,$G11),$J11,0)</x:f>
        <x:v>0</x:v>
      </x:c>
      <x:c r="AE92" s="29" t="n">
        <x:f>IF(AE$85=EDATE($F11,$G11),$J11,0)</x:f>
        <x:v>0</x:v>
      </x:c>
      <x:c r="AF92" s="29" t="n">
        <x:f>IF(AF$85=EDATE($F11,$G11),$J11,0)</x:f>
        <x:v>0</x:v>
      </x:c>
      <x:c r="AG92" s="29" t="n">
        <x:f>IF(AG$85=EDATE($F11,$G11),$J11,0)</x:f>
        <x:v>0</x:v>
      </x:c>
      <x:c r="AH92" s="29" t="n">
        <x:f>IF(AH$85=EDATE($F11,$G11),$J11,0)</x:f>
        <x:v>0</x:v>
      </x:c>
      <x:c r="AI92" s="29" t="n">
        <x:f>IF(AI$85=EDATE($F11,$G11),$J11,0)</x:f>
        <x:v>0</x:v>
      </x:c>
      <x:c r="AJ92" s="29" t="n">
        <x:f>IF(AJ$85=EDATE($F11,$G11),$J11,0)</x:f>
        <x:v>0</x:v>
      </x:c>
      <x:c r="AK92" s="29" t="n">
        <x:f>IF(AK$85=EDATE($F11,$G11),$J11,0)</x:f>
        <x:v>0</x:v>
      </x:c>
      <x:c r="AL92" s="101" t="n">
        <x:f>IF(AL$85=EDATE($F11,$G11),$J11,0)</x:f>
        <x:v>0</x:v>
      </x:c>
      <x:c r="AM92" s="101" t="n">
        <x:f>IF(AM$85=EDATE($F11,$G11),$J11,0)</x:f>
        <x:v>0</x:v>
      </x:c>
      <x:c r="AN92" s="101" t="n">
        <x:f>IF(AN$85=EDATE($F11,$G11),$J11,0)</x:f>
        <x:v>0</x:v>
      </x:c>
      <x:c r="AO92" s="101" t="n">
        <x:f>IF(AO$85=EDATE($F11,$G11),$J11,0)</x:f>
        <x:v>0</x:v>
      </x:c>
      <x:c r="AP92" s="101" t="n">
        <x:f>IF(AP$85=EDATE($F11,$G11),$J11,0)</x:f>
        <x:v>0</x:v>
      </x:c>
      <x:c r="AQ92" s="101" t="n">
        <x:f>IF(AQ$85=EDATE($F11,$G11),$J11,0)</x:f>
        <x:v>0</x:v>
      </x:c>
      <x:c r="AR92" s="101" t="n">
        <x:f>IF(AR$85=EDATE($F11,$G11),$J11,0)</x:f>
        <x:v>0</x:v>
      </x:c>
      <x:c r="AS92" s="101" t="n">
        <x:f>IF(AS$85=EDATE($F11,$G11),$J11,0)</x:f>
        <x:v>503250</x:v>
      </x:c>
      <x:c r="AT92" s="101" t="n">
        <x:f>IF(AT$85=EDATE($F11,$G11),$J11,0)</x:f>
        <x:v>0</x:v>
      </x:c>
      <x:c r="AU92" s="101" t="n">
        <x:f>IF(AU$85=EDATE($F11,$G11),$J11,0)</x:f>
        <x:v>0</x:v>
      </x:c>
      <x:c r="AV92" s="101" t="n">
        <x:f>IF(AV$85=EDATE($F11,$G11),$J11,0)</x:f>
        <x:v>0</x:v>
      </x:c>
      <x:c r="AW92" s="101" t="n">
        <x:f>IF(AW$85=EDATE($F11,$G11),$J11,0)</x:f>
        <x:v>0</x:v>
      </x:c>
      <x:c r="AX92" s="101" t="n">
        <x:f>IF(AX$85=EDATE($F11,$G11),$J11,0)</x:f>
        <x:v>0</x:v>
      </x:c>
      <x:c r="AY92" s="101" t="n">
        <x:f>IF(AY$85=EDATE($F11,$G11),$J11,0)</x:f>
        <x:v>0</x:v>
      </x:c>
      <x:c r="AZ92" s="101" t="n">
        <x:f>IF(AZ$85=EDATE($F11,$G11),$J11,0)</x:f>
        <x:v>0</x:v>
      </x:c>
      <x:c r="BA92" s="101" t="n">
        <x:f>IF(BA$85=EDATE($F11,$G11),$J11,0)</x:f>
        <x:v>0</x:v>
      </x:c>
      <x:c r="BB92" s="101" t="n">
        <x:f>IF(BB$85=EDATE($F11,$G11),$J11,0)</x:f>
        <x:v>0</x:v>
      </x:c>
      <x:c r="BC92" s="101" t="n">
        <x:f>IF(BC$85=EDATE($F11,$G11),$J11,0)</x:f>
        <x:v>0</x:v>
      </x:c>
      <x:c r="BD92" s="101" t="n">
        <x:f>IF(BD$85=EDATE($F11,$G11),$J11,0)</x:f>
        <x:v>0</x:v>
      </x:c>
      <x:c r="BE92" s="101" t="n">
        <x:f>IF(BE$85=EDATE($F11,$G11),$J11,0)</x:f>
        <x:v>0</x:v>
      </x:c>
      <x:c r="BF92" s="101" t="n">
        <x:f>IF(BF$85=EDATE($F11,$G11),$J11,0)</x:f>
        <x:v>0</x:v>
      </x:c>
      <x:c r="BG92" s="101" t="n">
        <x:f>IF(BG$85=EDATE($F11,$G11),$J11,0)</x:f>
        <x:v>0</x:v>
      </x:c>
      <x:c r="BH92" s="101" t="n">
        <x:f>IF(BH$85=EDATE($F11,$G11),$J11,0)</x:f>
        <x:v>0</x:v>
      </x:c>
      <x:c r="BI92" s="101" t="n">
        <x:f>IF(BI$85=EDATE($F11,$G11),$J11,0)</x:f>
        <x:v>0</x:v>
      </x:c>
    </x:row>
    <x:row r="93">
      <x:c r="A93" t="str">
        <x:f>A12</x:f>
        <x:v>批次08</x:v>
      </x:c>
      <x:c r="B93" s="29" t="n">
        <x:f>IF(B$85=EDATE($F12,$G12),$J12,0)</x:f>
        <x:v>0</x:v>
      </x:c>
      <x:c r="C93" s="29" t="n">
        <x:f>IF(C$85=EDATE($F12,$G12),$J12,0)</x:f>
        <x:v>0</x:v>
      </x:c>
      <x:c r="D93" s="29" t="n">
        <x:f>IF(D$85=EDATE($F12,$G12),$J12,0)</x:f>
        <x:v>0</x:v>
      </x:c>
      <x:c r="E93" s="29" t="n">
        <x:f>IF(E$85=EDATE($F12,$G12),$J12,0)</x:f>
        <x:v>0</x:v>
      </x:c>
      <x:c r="F93" s="29" t="n">
        <x:f>IF(F$85=EDATE($F12,$G12),$J12,0)</x:f>
        <x:v>0</x:v>
      </x:c>
      <x:c r="G93" s="29" t="n">
        <x:f>IF(G$85=EDATE($F12,$G12),$J12,0)</x:f>
        <x:v>0</x:v>
      </x:c>
      <x:c r="H93" s="29" t="n">
        <x:f>IF(H$85=EDATE($F12,$G12),$J12,0)</x:f>
        <x:v>0</x:v>
      </x:c>
      <x:c r="I93" s="29" t="n">
        <x:f>IF(I$85=EDATE($F12,$G12),$J12,0)</x:f>
        <x:v>0</x:v>
      </x:c>
      <x:c r="J93" s="29" t="n">
        <x:f>IF(J$85=EDATE($F12,$G12),$J12,0)</x:f>
        <x:v>0</x:v>
      </x:c>
      <x:c r="K93" s="29" t="n">
        <x:f>IF(K$85=EDATE($F12,$G12),$J12,0)</x:f>
        <x:v>0</x:v>
      </x:c>
      <x:c r="L93" s="29" t="n">
        <x:f>IF(L$85=EDATE($F12,$G12),$J12,0)</x:f>
        <x:v>0</x:v>
      </x:c>
      <x:c r="M93" s="29" t="n">
        <x:f>IF(M$85=EDATE($F12,$G12),$J12,0)</x:f>
        <x:v>0</x:v>
      </x:c>
      <x:c r="N93" s="29" t="n">
        <x:f>IF(N$85=EDATE($F12,$G12),$J12,0)</x:f>
        <x:v>0</x:v>
      </x:c>
      <x:c r="O93" s="29" t="n">
        <x:f>IF(O$85=EDATE($F12,$G12),$J12,0)</x:f>
        <x:v>0</x:v>
      </x:c>
      <x:c r="P93" s="29" t="n">
        <x:f>IF(P$85=EDATE($F12,$G12),$J12,0)</x:f>
        <x:v>0</x:v>
      </x:c>
      <x:c r="Q93" s="29" t="n">
        <x:f>IF(Q$85=EDATE($F12,$G12),$J12,0)</x:f>
        <x:v>0</x:v>
      </x:c>
      <x:c r="R93" s="29" t="n">
        <x:f>IF(R$85=EDATE($F12,$G12),$J12,0)</x:f>
        <x:v>0</x:v>
      </x:c>
      <x:c r="S93" s="29" t="n">
        <x:f>IF(S$85=EDATE($F12,$G12),$J12,0)</x:f>
        <x:v>0</x:v>
      </x:c>
      <x:c r="T93" s="29" t="n">
        <x:f>IF(T$85=EDATE($F12,$G12),$J12,0)</x:f>
        <x:v>0</x:v>
      </x:c>
      <x:c r="U93" s="29" t="n">
        <x:f>IF(U$85=EDATE($F12,$G12),$J12,0)</x:f>
        <x:v>0</x:v>
      </x:c>
      <x:c r="V93" s="29" t="n">
        <x:f>IF(V$85=EDATE($F12,$G12),$J12,0)</x:f>
        <x:v>0</x:v>
      </x:c>
      <x:c r="W93" s="29" t="n">
        <x:f>IF(W$85=EDATE($F12,$G12),$J12,0)</x:f>
        <x:v>0</x:v>
      </x:c>
      <x:c r="X93" s="29" t="n">
        <x:f>IF(X$85=EDATE($F12,$G12),$J12,0)</x:f>
        <x:v>0</x:v>
      </x:c>
      <x:c r="Y93" s="29" t="n">
        <x:f>IF(Y$85=EDATE($F12,$G12),$J12,0)</x:f>
        <x:v>0</x:v>
      </x:c>
      <x:c r="Z93" s="29" t="n">
        <x:f>IF(Z$85=EDATE($F12,$G12),$J12,0)</x:f>
        <x:v>0</x:v>
      </x:c>
      <x:c r="AA93" s="29" t="n">
        <x:f>IF(AA$85=EDATE($F12,$G12),$J12,0)</x:f>
        <x:v>0</x:v>
      </x:c>
      <x:c r="AB93" s="29" t="n">
        <x:f>IF(AB$85=EDATE($F12,$G12),$J12,0)</x:f>
        <x:v>0</x:v>
      </x:c>
      <x:c r="AC93" s="29" t="n">
        <x:f>IF(AC$85=EDATE($F12,$G12),$J12,0)</x:f>
        <x:v>0</x:v>
      </x:c>
      <x:c r="AD93" s="29" t="n">
        <x:f>IF(AD$85=EDATE($F12,$G12),$J12,0)</x:f>
        <x:v>0</x:v>
      </x:c>
      <x:c r="AE93" s="29" t="n">
        <x:f>IF(AE$85=EDATE($F12,$G12),$J12,0)</x:f>
        <x:v>0</x:v>
      </x:c>
      <x:c r="AF93" s="29" t="n">
        <x:f>IF(AF$85=EDATE($F12,$G12),$J12,0)</x:f>
        <x:v>0</x:v>
      </x:c>
      <x:c r="AG93" s="29" t="n">
        <x:f>IF(AG$85=EDATE($F12,$G12),$J12,0)</x:f>
        <x:v>0</x:v>
      </x:c>
      <x:c r="AH93" s="29" t="n">
        <x:f>IF(AH$85=EDATE($F12,$G12),$J12,0)</x:f>
        <x:v>0</x:v>
      </x:c>
      <x:c r="AI93" s="29" t="n">
        <x:f>IF(AI$85=EDATE($F12,$G12),$J12,0)</x:f>
        <x:v>0</x:v>
      </x:c>
      <x:c r="AJ93" s="29" t="n">
        <x:f>IF(AJ$85=EDATE($F12,$G12),$J12,0)</x:f>
        <x:v>0</x:v>
      </x:c>
      <x:c r="AK93" s="29" t="n">
        <x:f>IF(AK$85=EDATE($F12,$G12),$J12,0)</x:f>
        <x:v>0</x:v>
      </x:c>
      <x:c r="AL93" s="101" t="n">
        <x:f>IF(AL$85=EDATE($F12,$G12),$J12,0)</x:f>
        <x:v>0</x:v>
      </x:c>
      <x:c r="AM93" s="101" t="n">
        <x:f>IF(AM$85=EDATE($F12,$G12),$J12,0)</x:f>
        <x:v>0</x:v>
      </x:c>
      <x:c r="AN93" s="101" t="n">
        <x:f>IF(AN$85=EDATE($F12,$G12),$J12,0)</x:f>
        <x:v>0</x:v>
      </x:c>
      <x:c r="AO93" s="101" t="n">
        <x:f>IF(AO$85=EDATE($F12,$G12),$J12,0)</x:f>
        <x:v>0</x:v>
      </x:c>
      <x:c r="AP93" s="101" t="n">
        <x:f>IF(AP$85=EDATE($F12,$G12),$J12,0)</x:f>
        <x:v>0</x:v>
      </x:c>
      <x:c r="AQ93" s="101" t="n">
        <x:f>IF(AQ$85=EDATE($F12,$G12),$J12,0)</x:f>
        <x:v>0</x:v>
      </x:c>
      <x:c r="AR93" s="101" t="n">
        <x:f>IF(AR$85=EDATE($F12,$G12),$J12,0)</x:f>
        <x:v>0</x:v>
      </x:c>
      <x:c r="AS93" s="101" t="n">
        <x:f>IF(AS$85=EDATE($F12,$G12),$J12,0)</x:f>
        <x:v>0</x:v>
      </x:c>
      <x:c r="AT93" s="101" t="n">
        <x:f>IF(AT$85=EDATE($F12,$G12),$J12,0)</x:f>
        <x:v>503250</x:v>
      </x:c>
      <x:c r="AU93" s="101" t="n">
        <x:f>IF(AU$85=EDATE($F12,$G12),$J12,0)</x:f>
        <x:v>0</x:v>
      </x:c>
      <x:c r="AV93" s="101" t="n">
        <x:f>IF(AV$85=EDATE($F12,$G12),$J12,0)</x:f>
        <x:v>0</x:v>
      </x:c>
      <x:c r="AW93" s="101" t="n">
        <x:f>IF(AW$85=EDATE($F12,$G12),$J12,0)</x:f>
        <x:v>0</x:v>
      </x:c>
      <x:c r="AX93" s="101" t="n">
        <x:f>IF(AX$85=EDATE($F12,$G12),$J12,0)</x:f>
        <x:v>0</x:v>
      </x:c>
      <x:c r="AY93" s="101" t="n">
        <x:f>IF(AY$85=EDATE($F12,$G12),$J12,0)</x:f>
        <x:v>0</x:v>
      </x:c>
      <x:c r="AZ93" s="101" t="n">
        <x:f>IF(AZ$85=EDATE($F12,$G12),$J12,0)</x:f>
        <x:v>0</x:v>
      </x:c>
      <x:c r="BA93" s="101" t="n">
        <x:f>IF(BA$85=EDATE($F12,$G12),$J12,0)</x:f>
        <x:v>0</x:v>
      </x:c>
      <x:c r="BB93" s="101" t="n">
        <x:f>IF(BB$85=EDATE($F12,$G12),$J12,0)</x:f>
        <x:v>0</x:v>
      </x:c>
      <x:c r="BC93" s="101" t="n">
        <x:f>IF(BC$85=EDATE($F12,$G12),$J12,0)</x:f>
        <x:v>0</x:v>
      </x:c>
      <x:c r="BD93" s="101" t="n">
        <x:f>IF(BD$85=EDATE($F12,$G12),$J12,0)</x:f>
        <x:v>0</x:v>
      </x:c>
      <x:c r="BE93" s="101" t="n">
        <x:f>IF(BE$85=EDATE($F12,$G12),$J12,0)</x:f>
        <x:v>0</x:v>
      </x:c>
      <x:c r="BF93" s="101" t="n">
        <x:f>IF(BF$85=EDATE($F12,$G12),$J12,0)</x:f>
        <x:v>0</x:v>
      </x:c>
      <x:c r="BG93" s="101" t="n">
        <x:f>IF(BG$85=EDATE($F12,$G12),$J12,0)</x:f>
        <x:v>0</x:v>
      </x:c>
      <x:c r="BH93" s="101" t="n">
        <x:f>IF(BH$85=EDATE($F12,$G12),$J12,0)</x:f>
        <x:v>0</x:v>
      </x:c>
      <x:c r="BI93" s="101" t="n">
        <x:f>IF(BI$85=EDATE($F12,$G12),$J12,0)</x:f>
        <x:v>0</x:v>
      </x:c>
    </x:row>
    <x:row r="94">
      <x:c r="A94" t="str">
        <x:f>A13</x:f>
        <x:v>批次09</x:v>
      </x:c>
      <x:c r="B94" s="29" t="n">
        <x:f>IF(B$85=EDATE($F13,$G13),$J13,0)</x:f>
        <x:v>0</x:v>
      </x:c>
      <x:c r="C94" s="29" t="n">
        <x:f>IF(C$85=EDATE($F13,$G13),$J13,0)</x:f>
        <x:v>0</x:v>
      </x:c>
      <x:c r="D94" s="29" t="n">
        <x:f>IF(D$85=EDATE($F13,$G13),$J13,0)</x:f>
        <x:v>0</x:v>
      </x:c>
      <x:c r="E94" s="29" t="n">
        <x:f>IF(E$85=EDATE($F13,$G13),$J13,0)</x:f>
        <x:v>0</x:v>
      </x:c>
      <x:c r="F94" s="29" t="n">
        <x:f>IF(F$85=EDATE($F13,$G13),$J13,0)</x:f>
        <x:v>0</x:v>
      </x:c>
      <x:c r="G94" s="29" t="n">
        <x:f>IF(G$85=EDATE($F13,$G13),$J13,0)</x:f>
        <x:v>0</x:v>
      </x:c>
      <x:c r="H94" s="29" t="n">
        <x:f>IF(H$85=EDATE($F13,$G13),$J13,0)</x:f>
        <x:v>0</x:v>
      </x:c>
      <x:c r="I94" s="29" t="n">
        <x:f>IF(I$85=EDATE($F13,$G13),$J13,0)</x:f>
        <x:v>0</x:v>
      </x:c>
      <x:c r="J94" s="29" t="n">
        <x:f>IF(J$85=EDATE($F13,$G13),$J13,0)</x:f>
        <x:v>0</x:v>
      </x:c>
      <x:c r="K94" s="29" t="n">
        <x:f>IF(K$85=EDATE($F13,$G13),$J13,0)</x:f>
        <x:v>0</x:v>
      </x:c>
      <x:c r="L94" s="29" t="n">
        <x:f>IF(L$85=EDATE($F13,$G13),$J13,0)</x:f>
        <x:v>0</x:v>
      </x:c>
      <x:c r="M94" s="29" t="n">
        <x:f>IF(M$85=EDATE($F13,$G13),$J13,0)</x:f>
        <x:v>0</x:v>
      </x:c>
      <x:c r="N94" s="29" t="n">
        <x:f>IF(N$85=EDATE($F13,$G13),$J13,0)</x:f>
        <x:v>0</x:v>
      </x:c>
      <x:c r="O94" s="29" t="n">
        <x:f>IF(O$85=EDATE($F13,$G13),$J13,0)</x:f>
        <x:v>0</x:v>
      </x:c>
      <x:c r="P94" s="29" t="n">
        <x:f>IF(P$85=EDATE($F13,$G13),$J13,0)</x:f>
        <x:v>0</x:v>
      </x:c>
      <x:c r="Q94" s="29" t="n">
        <x:f>IF(Q$85=EDATE($F13,$G13),$J13,0)</x:f>
        <x:v>0</x:v>
      </x:c>
      <x:c r="R94" s="29" t="n">
        <x:f>IF(R$85=EDATE($F13,$G13),$J13,0)</x:f>
        <x:v>0</x:v>
      </x:c>
      <x:c r="S94" s="29" t="n">
        <x:f>IF(S$85=EDATE($F13,$G13),$J13,0)</x:f>
        <x:v>0</x:v>
      </x:c>
      <x:c r="T94" s="29" t="n">
        <x:f>IF(T$85=EDATE($F13,$G13),$J13,0)</x:f>
        <x:v>0</x:v>
      </x:c>
      <x:c r="U94" s="29" t="n">
        <x:f>IF(U$85=EDATE($F13,$G13),$J13,0)</x:f>
        <x:v>0</x:v>
      </x:c>
      <x:c r="V94" s="29" t="n">
        <x:f>IF(V$85=EDATE($F13,$G13),$J13,0)</x:f>
        <x:v>0</x:v>
      </x:c>
      <x:c r="W94" s="29" t="n">
        <x:f>IF(W$85=EDATE($F13,$G13),$J13,0)</x:f>
        <x:v>0</x:v>
      </x:c>
      <x:c r="X94" s="29" t="n">
        <x:f>IF(X$85=EDATE($F13,$G13),$J13,0)</x:f>
        <x:v>0</x:v>
      </x:c>
      <x:c r="Y94" s="29" t="n">
        <x:f>IF(Y$85=EDATE($F13,$G13),$J13,0)</x:f>
        <x:v>0</x:v>
      </x:c>
      <x:c r="Z94" s="29" t="n">
        <x:f>IF(Z$85=EDATE($F13,$G13),$J13,0)</x:f>
        <x:v>0</x:v>
      </x:c>
      <x:c r="AA94" s="29" t="n">
        <x:f>IF(AA$85=EDATE($F13,$G13),$J13,0)</x:f>
        <x:v>0</x:v>
      </x:c>
      <x:c r="AB94" s="29" t="n">
        <x:f>IF(AB$85=EDATE($F13,$G13),$J13,0)</x:f>
        <x:v>0</x:v>
      </x:c>
      <x:c r="AC94" s="29" t="n">
        <x:f>IF(AC$85=EDATE($F13,$G13),$J13,0)</x:f>
        <x:v>0</x:v>
      </x:c>
      <x:c r="AD94" s="29" t="n">
        <x:f>IF(AD$85=EDATE($F13,$G13),$J13,0)</x:f>
        <x:v>0</x:v>
      </x:c>
      <x:c r="AE94" s="29" t="n">
        <x:f>IF(AE$85=EDATE($F13,$G13),$J13,0)</x:f>
        <x:v>0</x:v>
      </x:c>
      <x:c r="AF94" s="29" t="n">
        <x:f>IF(AF$85=EDATE($F13,$G13),$J13,0)</x:f>
        <x:v>0</x:v>
      </x:c>
      <x:c r="AG94" s="29" t="n">
        <x:f>IF(AG$85=EDATE($F13,$G13),$J13,0)</x:f>
        <x:v>0</x:v>
      </x:c>
      <x:c r="AH94" s="29" t="n">
        <x:f>IF(AH$85=EDATE($F13,$G13),$J13,0)</x:f>
        <x:v>0</x:v>
      </x:c>
      <x:c r="AI94" s="29" t="n">
        <x:f>IF(AI$85=EDATE($F13,$G13),$J13,0)</x:f>
        <x:v>0</x:v>
      </x:c>
      <x:c r="AJ94" s="29" t="n">
        <x:f>IF(AJ$85=EDATE($F13,$G13),$J13,0)</x:f>
        <x:v>0</x:v>
      </x:c>
      <x:c r="AK94" s="29" t="n">
        <x:f>IF(AK$85=EDATE($F13,$G13),$J13,0)</x:f>
        <x:v>0</x:v>
      </x:c>
      <x:c r="AL94" s="101" t="n">
        <x:f>IF(AL$85=EDATE($F13,$G13),$J13,0)</x:f>
        <x:v>0</x:v>
      </x:c>
      <x:c r="AM94" s="101" t="n">
        <x:f>IF(AM$85=EDATE($F13,$G13),$J13,0)</x:f>
        <x:v>0</x:v>
      </x:c>
      <x:c r="AN94" s="101" t="n">
        <x:f>IF(AN$85=EDATE($F13,$G13),$J13,0)</x:f>
        <x:v>0</x:v>
      </x:c>
      <x:c r="AO94" s="101" t="n">
        <x:f>IF(AO$85=EDATE($F13,$G13),$J13,0)</x:f>
        <x:v>0</x:v>
      </x:c>
      <x:c r="AP94" s="101" t="n">
        <x:f>IF(AP$85=EDATE($F13,$G13),$J13,0)</x:f>
        <x:v>0</x:v>
      </x:c>
      <x:c r="AQ94" s="101" t="n">
        <x:f>IF(AQ$85=EDATE($F13,$G13),$J13,0)</x:f>
        <x:v>0</x:v>
      </x:c>
      <x:c r="AR94" s="101" t="n">
        <x:f>IF(AR$85=EDATE($F13,$G13),$J13,0)</x:f>
        <x:v>0</x:v>
      </x:c>
      <x:c r="AS94" s="101" t="n">
        <x:f>IF(AS$85=EDATE($F13,$G13),$J13,0)</x:f>
        <x:v>0</x:v>
      </x:c>
      <x:c r="AT94" s="101" t="n">
        <x:f>IF(AT$85=EDATE($F13,$G13),$J13,0)</x:f>
        <x:v>0</x:v>
      </x:c>
      <x:c r="AU94" s="101" t="n">
        <x:f>IF(AU$85=EDATE($F13,$G13),$J13,0)</x:f>
        <x:v>637290</x:v>
      </x:c>
      <x:c r="AV94" s="101" t="n">
        <x:f>IF(AV$85=EDATE($F13,$G13),$J13,0)</x:f>
        <x:v>0</x:v>
      </x:c>
      <x:c r="AW94" s="101" t="n">
        <x:f>IF(AW$85=EDATE($F13,$G13),$J13,0)</x:f>
        <x:v>0</x:v>
      </x:c>
      <x:c r="AX94" s="101" t="n">
        <x:f>IF(AX$85=EDATE($F13,$G13),$J13,0)</x:f>
        <x:v>0</x:v>
      </x:c>
      <x:c r="AY94" s="101" t="n">
        <x:f>IF(AY$85=EDATE($F13,$G13),$J13,0)</x:f>
        <x:v>0</x:v>
      </x:c>
      <x:c r="AZ94" s="101" t="n">
        <x:f>IF(AZ$85=EDATE($F13,$G13),$J13,0)</x:f>
        <x:v>0</x:v>
      </x:c>
      <x:c r="BA94" s="101" t="n">
        <x:f>IF(BA$85=EDATE($F13,$G13),$J13,0)</x:f>
        <x:v>0</x:v>
      </x:c>
      <x:c r="BB94" s="101" t="n">
        <x:f>IF(BB$85=EDATE($F13,$G13),$J13,0)</x:f>
        <x:v>0</x:v>
      </x:c>
      <x:c r="BC94" s="101" t="n">
        <x:f>IF(BC$85=EDATE($F13,$G13),$J13,0)</x:f>
        <x:v>0</x:v>
      </x:c>
      <x:c r="BD94" s="101" t="n">
        <x:f>IF(BD$85=EDATE($F13,$G13),$J13,0)</x:f>
        <x:v>0</x:v>
      </x:c>
      <x:c r="BE94" s="101" t="n">
        <x:f>IF(BE$85=EDATE($F13,$G13),$J13,0)</x:f>
        <x:v>0</x:v>
      </x:c>
      <x:c r="BF94" s="101" t="n">
        <x:f>IF(BF$85=EDATE($F13,$G13),$J13,0)</x:f>
        <x:v>0</x:v>
      </x:c>
      <x:c r="BG94" s="101" t="n">
        <x:f>IF(BG$85=EDATE($F13,$G13),$J13,0)</x:f>
        <x:v>0</x:v>
      </x:c>
      <x:c r="BH94" s="101" t="n">
        <x:f>IF(BH$85=EDATE($F13,$G13),$J13,0)</x:f>
        <x:v>0</x:v>
      </x:c>
      <x:c r="BI94" s="101" t="n">
        <x:f>IF(BI$85=EDATE($F13,$G13),$J13,0)</x:f>
        <x:v>0</x:v>
      </x:c>
    </x:row>
    <x:row r="95">
      <x:c r="A95" t="str">
        <x:f>A14</x:f>
        <x:v>批次10</x:v>
      </x:c>
      <x:c r="B95" s="29" t="n">
        <x:f>IF(B$85=EDATE($F14,$G14),$J14,0)</x:f>
        <x:v>0</x:v>
      </x:c>
      <x:c r="C95" s="29" t="n">
        <x:f>IF(C$85=EDATE($F14,$G14),$J14,0)</x:f>
        <x:v>0</x:v>
      </x:c>
      <x:c r="D95" s="29" t="n">
        <x:f>IF(D$85=EDATE($F14,$G14),$J14,0)</x:f>
        <x:v>0</x:v>
      </x:c>
      <x:c r="E95" s="29" t="n">
        <x:f>IF(E$85=EDATE($F14,$G14),$J14,0)</x:f>
        <x:v>0</x:v>
      </x:c>
      <x:c r="F95" s="29" t="n">
        <x:f>IF(F$85=EDATE($F14,$G14),$J14,0)</x:f>
        <x:v>0</x:v>
      </x:c>
      <x:c r="G95" s="29" t="n">
        <x:f>IF(G$85=EDATE($F14,$G14),$J14,0)</x:f>
        <x:v>0</x:v>
      </x:c>
      <x:c r="H95" s="29" t="n">
        <x:f>IF(H$85=EDATE($F14,$G14),$J14,0)</x:f>
        <x:v>0</x:v>
      </x:c>
      <x:c r="I95" s="29" t="n">
        <x:f>IF(I$85=EDATE($F14,$G14),$J14,0)</x:f>
        <x:v>0</x:v>
      </x:c>
      <x:c r="J95" s="29" t="n">
        <x:f>IF(J$85=EDATE($F14,$G14),$J14,0)</x:f>
        <x:v>0</x:v>
      </x:c>
      <x:c r="K95" s="29" t="n">
        <x:f>IF(K$85=EDATE($F14,$G14),$J14,0)</x:f>
        <x:v>0</x:v>
      </x:c>
      <x:c r="L95" s="29" t="n">
        <x:f>IF(L$85=EDATE($F14,$G14),$J14,0)</x:f>
        <x:v>0</x:v>
      </x:c>
      <x:c r="M95" s="29" t="n">
        <x:f>IF(M$85=EDATE($F14,$G14),$J14,0)</x:f>
        <x:v>0</x:v>
      </x:c>
      <x:c r="N95" s="29" t="n">
        <x:f>IF(N$85=EDATE($F14,$G14),$J14,0)</x:f>
        <x:v>0</x:v>
      </x:c>
      <x:c r="O95" s="29" t="n">
        <x:f>IF(O$85=EDATE($F14,$G14),$J14,0)</x:f>
        <x:v>0</x:v>
      </x:c>
      <x:c r="P95" s="29" t="n">
        <x:f>IF(P$85=EDATE($F14,$G14),$J14,0)</x:f>
        <x:v>0</x:v>
      </x:c>
      <x:c r="Q95" s="29" t="n">
        <x:f>IF(Q$85=EDATE($F14,$G14),$J14,0)</x:f>
        <x:v>0</x:v>
      </x:c>
      <x:c r="R95" s="29" t="n">
        <x:f>IF(R$85=EDATE($F14,$G14),$J14,0)</x:f>
        <x:v>0</x:v>
      </x:c>
      <x:c r="S95" s="29" t="n">
        <x:f>IF(S$85=EDATE($F14,$G14),$J14,0)</x:f>
        <x:v>0</x:v>
      </x:c>
      <x:c r="T95" s="29" t="n">
        <x:f>IF(T$85=EDATE($F14,$G14),$J14,0)</x:f>
        <x:v>0</x:v>
      </x:c>
      <x:c r="U95" s="29" t="n">
        <x:f>IF(U$85=EDATE($F14,$G14),$J14,0)</x:f>
        <x:v>0</x:v>
      </x:c>
      <x:c r="V95" s="29" t="n">
        <x:f>IF(V$85=EDATE($F14,$G14),$J14,0)</x:f>
        <x:v>0</x:v>
      </x:c>
      <x:c r="W95" s="29" t="n">
        <x:f>IF(W$85=EDATE($F14,$G14),$J14,0)</x:f>
        <x:v>0</x:v>
      </x:c>
      <x:c r="X95" s="29" t="n">
        <x:f>IF(X$85=EDATE($F14,$G14),$J14,0)</x:f>
        <x:v>0</x:v>
      </x:c>
      <x:c r="Y95" s="29" t="n">
        <x:f>IF(Y$85=EDATE($F14,$G14),$J14,0)</x:f>
        <x:v>0</x:v>
      </x:c>
      <x:c r="Z95" s="29" t="n">
        <x:f>IF(Z$85=EDATE($F14,$G14),$J14,0)</x:f>
        <x:v>0</x:v>
      </x:c>
      <x:c r="AA95" s="29" t="n">
        <x:f>IF(AA$85=EDATE($F14,$G14),$J14,0)</x:f>
        <x:v>0</x:v>
      </x:c>
      <x:c r="AB95" s="29" t="n">
        <x:f>IF(AB$85=EDATE($F14,$G14),$J14,0)</x:f>
        <x:v>0</x:v>
      </x:c>
      <x:c r="AC95" s="29" t="n">
        <x:f>IF(AC$85=EDATE($F14,$G14),$J14,0)</x:f>
        <x:v>0</x:v>
      </x:c>
      <x:c r="AD95" s="29" t="n">
        <x:f>IF(AD$85=EDATE($F14,$G14),$J14,0)</x:f>
        <x:v>0</x:v>
      </x:c>
      <x:c r="AE95" s="29" t="n">
        <x:f>IF(AE$85=EDATE($F14,$G14),$J14,0)</x:f>
        <x:v>0</x:v>
      </x:c>
      <x:c r="AF95" s="29" t="n">
        <x:f>IF(AF$85=EDATE($F14,$G14),$J14,0)</x:f>
        <x:v>0</x:v>
      </x:c>
      <x:c r="AG95" s="29" t="n">
        <x:f>IF(AG$85=EDATE($F14,$G14),$J14,0)</x:f>
        <x:v>0</x:v>
      </x:c>
      <x:c r="AH95" s="29" t="n">
        <x:f>IF(AH$85=EDATE($F14,$G14),$J14,0)</x:f>
        <x:v>0</x:v>
      </x:c>
      <x:c r="AI95" s="29" t="n">
        <x:f>IF(AI$85=EDATE($F14,$G14),$J14,0)</x:f>
        <x:v>0</x:v>
      </x:c>
      <x:c r="AJ95" s="29" t="n">
        <x:f>IF(AJ$85=EDATE($F14,$G14),$J14,0)</x:f>
        <x:v>0</x:v>
      </x:c>
      <x:c r="AK95" s="29" t="n">
        <x:f>IF(AK$85=EDATE($F14,$G14),$J14,0)</x:f>
        <x:v>0</x:v>
      </x:c>
      <x:c r="AL95" s="101" t="n">
        <x:f>IF(AL$85=EDATE($F14,$G14),$J14,0)</x:f>
        <x:v>0</x:v>
      </x:c>
      <x:c r="AM95" s="101" t="n">
        <x:f>IF(AM$85=EDATE($F14,$G14),$J14,0)</x:f>
        <x:v>0</x:v>
      </x:c>
      <x:c r="AN95" s="101" t="n">
        <x:f>IF(AN$85=EDATE($F14,$G14),$J14,0)</x:f>
        <x:v>0</x:v>
      </x:c>
      <x:c r="AO95" s="101" t="n">
        <x:f>IF(AO$85=EDATE($F14,$G14),$J14,0)</x:f>
        <x:v>0</x:v>
      </x:c>
      <x:c r="AP95" s="101" t="n">
        <x:f>IF(AP$85=EDATE($F14,$G14),$J14,0)</x:f>
        <x:v>0</x:v>
      </x:c>
      <x:c r="AQ95" s="101" t="n">
        <x:f>IF(AQ$85=EDATE($F14,$G14),$J14,0)</x:f>
        <x:v>0</x:v>
      </x:c>
      <x:c r="AR95" s="101" t="n">
        <x:f>IF(AR$85=EDATE($F14,$G14),$J14,0)</x:f>
        <x:v>0</x:v>
      </x:c>
      <x:c r="AS95" s="101" t="n">
        <x:f>IF(AS$85=EDATE($F14,$G14),$J14,0)</x:f>
        <x:v>0</x:v>
      </x:c>
      <x:c r="AT95" s="101" t="n">
        <x:f>IF(AT$85=EDATE($F14,$G14),$J14,0)</x:f>
        <x:v>0</x:v>
      </x:c>
      <x:c r="AU95" s="101" t="n">
        <x:f>IF(AU$85=EDATE($F14,$G14),$J14,0)</x:f>
        <x:v>0</x:v>
      </x:c>
      <x:c r="AV95" s="101" t="n">
        <x:f>IF(AV$85=EDATE($F14,$G14),$J14,0)</x:f>
        <x:v>675000</x:v>
      </x:c>
      <x:c r="AW95" s="101" t="n">
        <x:f>IF(AW$85=EDATE($F14,$G14),$J14,0)</x:f>
        <x:v>0</x:v>
      </x:c>
      <x:c r="AX95" s="101" t="n">
        <x:f>IF(AX$85=EDATE($F14,$G14),$J14,0)</x:f>
        <x:v>0</x:v>
      </x:c>
      <x:c r="AY95" s="101" t="n">
        <x:f>IF(AY$85=EDATE($F14,$G14),$J14,0)</x:f>
        <x:v>0</x:v>
      </x:c>
      <x:c r="AZ95" s="101" t="n">
        <x:f>IF(AZ$85=EDATE($F14,$G14),$J14,0)</x:f>
        <x:v>0</x:v>
      </x:c>
      <x:c r="BA95" s="101" t="n">
        <x:f>IF(BA$85=EDATE($F14,$G14),$J14,0)</x:f>
        <x:v>0</x:v>
      </x:c>
      <x:c r="BB95" s="101" t="n">
        <x:f>IF(BB$85=EDATE($F14,$G14),$J14,0)</x:f>
        <x:v>0</x:v>
      </x:c>
      <x:c r="BC95" s="101" t="n">
        <x:f>IF(BC$85=EDATE($F14,$G14),$J14,0)</x:f>
        <x:v>0</x:v>
      </x:c>
      <x:c r="BD95" s="101" t="n">
        <x:f>IF(BD$85=EDATE($F14,$G14),$J14,0)</x:f>
        <x:v>0</x:v>
      </x:c>
      <x:c r="BE95" s="101" t="n">
        <x:f>IF(BE$85=EDATE($F14,$G14),$J14,0)</x:f>
        <x:v>0</x:v>
      </x:c>
      <x:c r="BF95" s="101" t="n">
        <x:f>IF(BF$85=EDATE($F14,$G14),$J14,0)</x:f>
        <x:v>0</x:v>
      </x:c>
      <x:c r="BG95" s="101" t="n">
        <x:f>IF(BG$85=EDATE($F14,$G14),$J14,0)</x:f>
        <x:v>0</x:v>
      </x:c>
      <x:c r="BH95" s="101" t="n">
        <x:f>IF(BH$85=EDATE($F14,$G14),$J14,0)</x:f>
        <x:v>0</x:v>
      </x:c>
      <x:c r="BI95" s="101" t="n">
        <x:f>IF(BI$85=EDATE($F14,$G14),$J14,0)</x:f>
        <x:v>0</x:v>
      </x:c>
    </x:row>
    <x:row r="96">
      <x:c r="A96" t="str">
        <x:f>A15</x:f>
        <x:v>批次11</x:v>
      </x:c>
      <x:c r="B96" s="29" t="n">
        <x:f>IF(B$85=EDATE($F15,$G15),$J15,0)</x:f>
        <x:v>0</x:v>
      </x:c>
      <x:c r="C96" s="29" t="n">
        <x:f>IF(C$85=EDATE($F15,$G15),$J15,0)</x:f>
        <x:v>0</x:v>
      </x:c>
      <x:c r="D96" s="29" t="n">
        <x:f>IF(D$85=EDATE($F15,$G15),$J15,0)</x:f>
        <x:v>0</x:v>
      </x:c>
      <x:c r="E96" s="29" t="n">
        <x:f>IF(E$85=EDATE($F15,$G15),$J15,0)</x:f>
        <x:v>0</x:v>
      </x:c>
      <x:c r="F96" s="29" t="n">
        <x:f>IF(F$85=EDATE($F15,$G15),$J15,0)</x:f>
        <x:v>0</x:v>
      </x:c>
      <x:c r="G96" s="29" t="n">
        <x:f>IF(G$85=EDATE($F15,$G15),$J15,0)</x:f>
        <x:v>0</x:v>
      </x:c>
      <x:c r="H96" s="29" t="n">
        <x:f>IF(H$85=EDATE($F15,$G15),$J15,0)</x:f>
        <x:v>0</x:v>
      </x:c>
      <x:c r="I96" s="29" t="n">
        <x:f>IF(I$85=EDATE($F15,$G15),$J15,0)</x:f>
        <x:v>0</x:v>
      </x:c>
      <x:c r="J96" s="29" t="n">
        <x:f>IF(J$85=EDATE($F15,$G15),$J15,0)</x:f>
        <x:v>0</x:v>
      </x:c>
      <x:c r="K96" s="29" t="n">
        <x:f>IF(K$85=EDATE($F15,$G15),$J15,0)</x:f>
        <x:v>0</x:v>
      </x:c>
      <x:c r="L96" s="29" t="n">
        <x:f>IF(L$85=EDATE($F15,$G15),$J15,0)</x:f>
        <x:v>0</x:v>
      </x:c>
      <x:c r="M96" s="29" t="n">
        <x:f>IF(M$85=EDATE($F15,$G15),$J15,0)</x:f>
        <x:v>0</x:v>
      </x:c>
      <x:c r="N96" s="29" t="n">
        <x:f>IF(N$85=EDATE($F15,$G15),$J15,0)</x:f>
        <x:v>0</x:v>
      </x:c>
      <x:c r="O96" s="29" t="n">
        <x:f>IF(O$85=EDATE($F15,$G15),$J15,0)</x:f>
        <x:v>0</x:v>
      </x:c>
      <x:c r="P96" s="29" t="n">
        <x:f>IF(P$85=EDATE($F15,$G15),$J15,0)</x:f>
        <x:v>0</x:v>
      </x:c>
      <x:c r="Q96" s="29" t="n">
        <x:f>IF(Q$85=EDATE($F15,$G15),$J15,0)</x:f>
        <x:v>0</x:v>
      </x:c>
      <x:c r="R96" s="29" t="n">
        <x:f>IF(R$85=EDATE($F15,$G15),$J15,0)</x:f>
        <x:v>0</x:v>
      </x:c>
      <x:c r="S96" s="29" t="n">
        <x:f>IF(S$85=EDATE($F15,$G15),$J15,0)</x:f>
        <x:v>0</x:v>
      </x:c>
      <x:c r="T96" s="29" t="n">
        <x:f>IF(T$85=EDATE($F15,$G15),$J15,0)</x:f>
        <x:v>0</x:v>
      </x:c>
      <x:c r="U96" s="29" t="n">
        <x:f>IF(U$85=EDATE($F15,$G15),$J15,0)</x:f>
        <x:v>0</x:v>
      </x:c>
      <x:c r="V96" s="29" t="n">
        <x:f>IF(V$85=EDATE($F15,$G15),$J15,0)</x:f>
        <x:v>0</x:v>
      </x:c>
      <x:c r="W96" s="29" t="n">
        <x:f>IF(W$85=EDATE($F15,$G15),$J15,0)</x:f>
        <x:v>0</x:v>
      </x:c>
      <x:c r="X96" s="29" t="n">
        <x:f>IF(X$85=EDATE($F15,$G15),$J15,0)</x:f>
        <x:v>0</x:v>
      </x:c>
      <x:c r="Y96" s="29" t="n">
        <x:f>IF(Y$85=EDATE($F15,$G15),$J15,0)</x:f>
        <x:v>0</x:v>
      </x:c>
      <x:c r="Z96" s="29" t="n">
        <x:f>IF(Z$85=EDATE($F15,$G15),$J15,0)</x:f>
        <x:v>0</x:v>
      </x:c>
      <x:c r="AA96" s="29" t="n">
        <x:f>IF(AA$85=EDATE($F15,$G15),$J15,0)</x:f>
        <x:v>0</x:v>
      </x:c>
      <x:c r="AB96" s="29" t="n">
        <x:f>IF(AB$85=EDATE($F15,$G15),$J15,0)</x:f>
        <x:v>0</x:v>
      </x:c>
      <x:c r="AC96" s="29" t="n">
        <x:f>IF(AC$85=EDATE($F15,$G15),$J15,0)</x:f>
        <x:v>0</x:v>
      </x:c>
      <x:c r="AD96" s="29" t="n">
        <x:f>IF(AD$85=EDATE($F15,$G15),$J15,0)</x:f>
        <x:v>0</x:v>
      </x:c>
      <x:c r="AE96" s="29" t="n">
        <x:f>IF(AE$85=EDATE($F15,$G15),$J15,0)</x:f>
        <x:v>0</x:v>
      </x:c>
      <x:c r="AF96" s="29" t="n">
        <x:f>IF(AF$85=EDATE($F15,$G15),$J15,0)</x:f>
        <x:v>0</x:v>
      </x:c>
      <x:c r="AG96" s="29" t="n">
        <x:f>IF(AG$85=EDATE($F15,$G15),$J15,0)</x:f>
        <x:v>0</x:v>
      </x:c>
      <x:c r="AH96" s="29" t="n">
        <x:f>IF(AH$85=EDATE($F15,$G15),$J15,0)</x:f>
        <x:v>0</x:v>
      </x:c>
      <x:c r="AI96" s="29" t="n">
        <x:f>IF(AI$85=EDATE($F15,$G15),$J15,0)</x:f>
        <x:v>0</x:v>
      </x:c>
      <x:c r="AJ96" s="29" t="n">
        <x:f>IF(AJ$85=EDATE($F15,$G15),$J15,0)</x:f>
        <x:v>0</x:v>
      </x:c>
      <x:c r="AK96" s="29" t="n">
        <x:f>IF(AK$85=EDATE($F15,$G15),$J15,0)</x:f>
        <x:v>0</x:v>
      </x:c>
      <x:c r="AL96" s="101" t="n">
        <x:f>IF(AL$85=EDATE($F15,$G15),$J15,0)</x:f>
        <x:v>0</x:v>
      </x:c>
      <x:c r="AM96" s="101" t="n">
        <x:f>IF(AM$85=EDATE($F15,$G15),$J15,0)</x:f>
        <x:v>0</x:v>
      </x:c>
      <x:c r="AN96" s="101" t="n">
        <x:f>IF(AN$85=EDATE($F15,$G15),$J15,0)</x:f>
        <x:v>0</x:v>
      </x:c>
      <x:c r="AO96" s="101" t="n">
        <x:f>IF(AO$85=EDATE($F15,$G15),$J15,0)</x:f>
        <x:v>0</x:v>
      </x:c>
      <x:c r="AP96" s="101" t="n">
        <x:f>IF(AP$85=EDATE($F15,$G15),$J15,0)</x:f>
        <x:v>0</x:v>
      </x:c>
      <x:c r="AQ96" s="101" t="n">
        <x:f>IF(AQ$85=EDATE($F15,$G15),$J15,0)</x:f>
        <x:v>0</x:v>
      </x:c>
      <x:c r="AR96" s="101" t="n">
        <x:f>IF(AR$85=EDATE($F15,$G15),$J15,0)</x:f>
        <x:v>0</x:v>
      </x:c>
      <x:c r="AS96" s="101" t="n">
        <x:f>IF(AS$85=EDATE($F15,$G15),$J15,0)</x:f>
        <x:v>0</x:v>
      </x:c>
      <x:c r="AT96" s="101" t="n">
        <x:f>IF(AT$85=EDATE($F15,$G15),$J15,0)</x:f>
        <x:v>0</x:v>
      </x:c>
      <x:c r="AU96" s="101" t="n">
        <x:f>IF(AU$85=EDATE($F15,$G15),$J15,0)</x:f>
        <x:v>0</x:v>
      </x:c>
      <x:c r="AV96" s="101" t="n">
        <x:f>IF(AV$85=EDATE($F15,$G15),$J15,0)</x:f>
        <x:v>0</x:v>
      </x:c>
      <x:c r="AW96" s="101" t="n">
        <x:f>IF(AW$85=EDATE($F15,$G15),$J15,0)</x:f>
        <x:v>600000</x:v>
      </x:c>
      <x:c r="AX96" s="101" t="n">
        <x:f>IF(AX$85=EDATE($F15,$G15),$J15,0)</x:f>
        <x:v>0</x:v>
      </x:c>
      <x:c r="AY96" s="101" t="n">
        <x:f>IF(AY$85=EDATE($F15,$G15),$J15,0)</x:f>
        <x:v>0</x:v>
      </x:c>
      <x:c r="AZ96" s="101" t="n">
        <x:f>IF(AZ$85=EDATE($F15,$G15),$J15,0)</x:f>
        <x:v>0</x:v>
      </x:c>
      <x:c r="BA96" s="101" t="n">
        <x:f>IF(BA$85=EDATE($F15,$G15),$J15,0)</x:f>
        <x:v>0</x:v>
      </x:c>
      <x:c r="BB96" s="101" t="n">
        <x:f>IF(BB$85=EDATE($F15,$G15),$J15,0)</x:f>
        <x:v>0</x:v>
      </x:c>
      <x:c r="BC96" s="101" t="n">
        <x:f>IF(BC$85=EDATE($F15,$G15),$J15,0)</x:f>
        <x:v>0</x:v>
      </x:c>
      <x:c r="BD96" s="101" t="n">
        <x:f>IF(BD$85=EDATE($F15,$G15),$J15,0)</x:f>
        <x:v>0</x:v>
      </x:c>
      <x:c r="BE96" s="101" t="n">
        <x:f>IF(BE$85=EDATE($F15,$G15),$J15,0)</x:f>
        <x:v>0</x:v>
      </x:c>
      <x:c r="BF96" s="101" t="n">
        <x:f>IF(BF$85=EDATE($F15,$G15),$J15,0)</x:f>
        <x:v>0</x:v>
      </x:c>
      <x:c r="BG96" s="101" t="n">
        <x:f>IF(BG$85=EDATE($F15,$G15),$J15,0)</x:f>
        <x:v>0</x:v>
      </x:c>
      <x:c r="BH96" s="101" t="n">
        <x:f>IF(BH$85=EDATE($F15,$G15),$J15,0)</x:f>
        <x:v>0</x:v>
      </x:c>
      <x:c r="BI96" s="101" t="n">
        <x:f>IF(BI$85=EDATE($F15,$G15),$J15,0)</x:f>
        <x:v>0</x:v>
      </x:c>
    </x:row>
    <x:row r="97">
      <x:c r="A97" t="str">
        <x:f>A16</x:f>
        <x:v>批次12</x:v>
      </x:c>
      <x:c r="B97" s="29" t="n">
        <x:f>IF(B$85=EDATE($F16,$G16),$J16,0)</x:f>
        <x:v>0</x:v>
      </x:c>
      <x:c r="C97" s="29" t="n">
        <x:f>IF(C$85=EDATE($F16,$G16),$J16,0)</x:f>
        <x:v>0</x:v>
      </x:c>
      <x:c r="D97" s="29" t="n">
        <x:f>IF(D$85=EDATE($F16,$G16),$J16,0)</x:f>
        <x:v>0</x:v>
      </x:c>
      <x:c r="E97" s="29" t="n">
        <x:f>IF(E$85=EDATE($F16,$G16),$J16,0)</x:f>
        <x:v>0</x:v>
      </x:c>
      <x:c r="F97" s="29" t="n">
        <x:f>IF(F$85=EDATE($F16,$G16),$J16,0)</x:f>
        <x:v>0</x:v>
      </x:c>
      <x:c r="G97" s="29" t="n">
        <x:f>IF(G$85=EDATE($F16,$G16),$J16,0)</x:f>
        <x:v>0</x:v>
      </x:c>
      <x:c r="H97" s="29" t="n">
        <x:f>IF(H$85=EDATE($F16,$G16),$J16,0)</x:f>
        <x:v>0</x:v>
      </x:c>
      <x:c r="I97" s="29" t="n">
        <x:f>IF(I$85=EDATE($F16,$G16),$J16,0)</x:f>
        <x:v>0</x:v>
      </x:c>
      <x:c r="J97" s="29" t="n">
        <x:f>IF(J$85=EDATE($F16,$G16),$J16,0)</x:f>
        <x:v>0</x:v>
      </x:c>
      <x:c r="K97" s="29" t="n">
        <x:f>IF(K$85=EDATE($F16,$G16),$J16,0)</x:f>
        <x:v>0</x:v>
      </x:c>
      <x:c r="L97" s="29" t="n">
        <x:f>IF(L$85=EDATE($F16,$G16),$J16,0)</x:f>
        <x:v>0</x:v>
      </x:c>
      <x:c r="M97" s="29" t="n">
        <x:f>IF(M$85=EDATE($F16,$G16),$J16,0)</x:f>
        <x:v>0</x:v>
      </x:c>
      <x:c r="N97" s="29" t="n">
        <x:f>IF(N$85=EDATE($F16,$G16),$J16,0)</x:f>
        <x:v>0</x:v>
      </x:c>
      <x:c r="O97" s="29" t="n">
        <x:f>IF(O$85=EDATE($F16,$G16),$J16,0)</x:f>
        <x:v>0</x:v>
      </x:c>
      <x:c r="P97" s="29" t="n">
        <x:f>IF(P$85=EDATE($F16,$G16),$J16,0)</x:f>
        <x:v>0</x:v>
      </x:c>
      <x:c r="Q97" s="29" t="n">
        <x:f>IF(Q$85=EDATE($F16,$G16),$J16,0)</x:f>
        <x:v>0</x:v>
      </x:c>
      <x:c r="R97" s="29" t="n">
        <x:f>IF(R$85=EDATE($F16,$G16),$J16,0)</x:f>
        <x:v>0</x:v>
      </x:c>
      <x:c r="S97" s="29" t="n">
        <x:f>IF(S$85=EDATE($F16,$G16),$J16,0)</x:f>
        <x:v>0</x:v>
      </x:c>
      <x:c r="T97" s="29" t="n">
        <x:f>IF(T$85=EDATE($F16,$G16),$J16,0)</x:f>
        <x:v>0</x:v>
      </x:c>
      <x:c r="U97" s="29" t="n">
        <x:f>IF(U$85=EDATE($F16,$G16),$J16,0)</x:f>
        <x:v>0</x:v>
      </x:c>
      <x:c r="V97" s="29" t="n">
        <x:f>IF(V$85=EDATE($F16,$G16),$J16,0)</x:f>
        <x:v>0</x:v>
      </x:c>
      <x:c r="W97" s="29" t="n">
        <x:f>IF(W$85=EDATE($F16,$G16),$J16,0)</x:f>
        <x:v>0</x:v>
      </x:c>
      <x:c r="X97" s="29" t="n">
        <x:f>IF(X$85=EDATE($F16,$G16),$J16,0)</x:f>
        <x:v>0</x:v>
      </x:c>
      <x:c r="Y97" s="29" t="n">
        <x:f>IF(Y$85=EDATE($F16,$G16),$J16,0)</x:f>
        <x:v>0</x:v>
      </x:c>
      <x:c r="Z97" s="29" t="n">
        <x:f>IF(Z$85=EDATE($F16,$G16),$J16,0)</x:f>
        <x:v>0</x:v>
      </x:c>
      <x:c r="AA97" s="29" t="n">
        <x:f>IF(AA$85=EDATE($F16,$G16),$J16,0)</x:f>
        <x:v>0</x:v>
      </x:c>
      <x:c r="AB97" s="29" t="n">
        <x:f>IF(AB$85=EDATE($F16,$G16),$J16,0)</x:f>
        <x:v>0</x:v>
      </x:c>
      <x:c r="AC97" s="29" t="n">
        <x:f>IF(AC$85=EDATE($F16,$G16),$J16,0)</x:f>
        <x:v>0</x:v>
      </x:c>
      <x:c r="AD97" s="29" t="n">
        <x:f>IF(AD$85=EDATE($F16,$G16),$J16,0)</x:f>
        <x:v>0</x:v>
      </x:c>
      <x:c r="AE97" s="29" t="n">
        <x:f>IF(AE$85=EDATE($F16,$G16),$J16,0)</x:f>
        <x:v>0</x:v>
      </x:c>
      <x:c r="AF97" s="29" t="n">
        <x:f>IF(AF$85=EDATE($F16,$G16),$J16,0)</x:f>
        <x:v>0</x:v>
      </x:c>
      <x:c r="AG97" s="29" t="n">
        <x:f>IF(AG$85=EDATE($F16,$G16),$J16,0)</x:f>
        <x:v>0</x:v>
      </x:c>
      <x:c r="AH97" s="29" t="n">
        <x:f>IF(AH$85=EDATE($F16,$G16),$J16,0)</x:f>
        <x:v>0</x:v>
      </x:c>
      <x:c r="AI97" s="29" t="n">
        <x:f>IF(AI$85=EDATE($F16,$G16),$J16,0)</x:f>
        <x:v>0</x:v>
      </x:c>
      <x:c r="AJ97" s="29" t="n">
        <x:f>IF(AJ$85=EDATE($F16,$G16),$J16,0)</x:f>
        <x:v>0</x:v>
      </x:c>
      <x:c r="AK97" s="29" t="n">
        <x:f>IF(AK$85=EDATE($F16,$G16),$J16,0)</x:f>
        <x:v>0</x:v>
      </x:c>
      <x:c r="AL97" s="101" t="n">
        <x:f>IF(AL$85=EDATE($F16,$G16),$J16,0)</x:f>
        <x:v>0</x:v>
      </x:c>
      <x:c r="AM97" s="101" t="n">
        <x:f>IF(AM$85=EDATE($F16,$G16),$J16,0)</x:f>
        <x:v>0</x:v>
      </x:c>
      <x:c r="AN97" s="101" t="n">
        <x:f>IF(AN$85=EDATE($F16,$G16),$J16,0)</x:f>
        <x:v>0</x:v>
      </x:c>
      <x:c r="AO97" s="101" t="n">
        <x:f>IF(AO$85=EDATE($F16,$G16),$J16,0)</x:f>
        <x:v>0</x:v>
      </x:c>
      <x:c r="AP97" s="101" t="n">
        <x:f>IF(AP$85=EDATE($F16,$G16),$J16,0)</x:f>
        <x:v>0</x:v>
      </x:c>
      <x:c r="AQ97" s="101" t="n">
        <x:f>IF(AQ$85=EDATE($F16,$G16),$J16,0)</x:f>
        <x:v>0</x:v>
      </x:c>
      <x:c r="AR97" s="101" t="n">
        <x:f>IF(AR$85=EDATE($F16,$G16),$J16,0)</x:f>
        <x:v>0</x:v>
      </x:c>
      <x:c r="AS97" s="101" t="n">
        <x:f>IF(AS$85=EDATE($F16,$G16),$J16,0)</x:f>
        <x:v>0</x:v>
      </x:c>
      <x:c r="AT97" s="101" t="n">
        <x:f>IF(AT$85=EDATE($F16,$G16),$J16,0)</x:f>
        <x:v>0</x:v>
      </x:c>
      <x:c r="AU97" s="101" t="n">
        <x:f>IF(AU$85=EDATE($F16,$G16),$J16,0)</x:f>
        <x:v>0</x:v>
      </x:c>
      <x:c r="AV97" s="101" t="n">
        <x:f>IF(AV$85=EDATE($F16,$G16),$J16,0)</x:f>
        <x:v>0</x:v>
      </x:c>
      <x:c r="AW97" s="101" t="n">
        <x:f>IF(AW$85=EDATE($F16,$G16),$J16,0)</x:f>
        <x:v>0</x:v>
      </x:c>
      <x:c r="AX97" s="101" t="n">
        <x:f>IF(AX$85=EDATE($F16,$G16),$J16,0)</x:f>
        <x:v>450000</x:v>
      </x:c>
      <x:c r="AY97" s="101" t="n">
        <x:f>IF(AY$85=EDATE($F16,$G16),$J16,0)</x:f>
        <x:v>0</x:v>
      </x:c>
      <x:c r="AZ97" s="101" t="n">
        <x:f>IF(AZ$85=EDATE($F16,$G16),$J16,0)</x:f>
        <x:v>0</x:v>
      </x:c>
      <x:c r="BA97" s="101" t="n">
        <x:f>IF(BA$85=EDATE($F16,$G16),$J16,0)</x:f>
        <x:v>0</x:v>
      </x:c>
      <x:c r="BB97" s="101" t="n">
        <x:f>IF(BB$85=EDATE($F16,$G16),$J16,0)</x:f>
        <x:v>0</x:v>
      </x:c>
      <x:c r="BC97" s="101" t="n">
        <x:f>IF(BC$85=EDATE($F16,$G16),$J16,0)</x:f>
        <x:v>0</x:v>
      </x:c>
      <x:c r="BD97" s="101" t="n">
        <x:f>IF(BD$85=EDATE($F16,$G16),$J16,0)</x:f>
        <x:v>0</x:v>
      </x:c>
      <x:c r="BE97" s="101" t="n">
        <x:f>IF(BE$85=EDATE($F16,$G16),$J16,0)</x:f>
        <x:v>0</x:v>
      </x:c>
      <x:c r="BF97" s="101" t="n">
        <x:f>IF(BF$85=EDATE($F16,$G16),$J16,0)</x:f>
        <x:v>0</x:v>
      </x:c>
      <x:c r="BG97" s="101" t="n">
        <x:f>IF(BG$85=EDATE($F16,$G16),$J16,0)</x:f>
        <x:v>0</x:v>
      </x:c>
      <x:c r="BH97" s="101" t="n">
        <x:f>IF(BH$85=EDATE($F16,$G16),$J16,0)</x:f>
        <x:v>0</x:v>
      </x:c>
      <x:c r="BI97" s="101" t="n">
        <x:f>IF(BI$85=EDATE($F16,$G16),$J16,0)</x:f>
        <x:v>0</x:v>
      </x:c>
    </x:row>
    <x:row r="98">
      <x:c r="AL98" s="104"/>
      <x:c r="AM98" s="104"/>
      <x:c r="AN98" s="104"/>
      <x:c r="AO98" s="104"/>
      <x:c r="AP98" s="104"/>
      <x:c r="AQ98" s="104"/>
      <x:c r="AR98" s="104"/>
      <x:c r="AS98" s="104"/>
      <x:c r="AT98" s="104"/>
      <x:c r="AU98" s="104"/>
      <x:c r="AV98" s="104"/>
      <x:c r="AW98" s="104"/>
      <x:c r="AX98" s="104"/>
      <x:c r="AY98" s="104"/>
      <x:c r="AZ98" s="104"/>
      <x:c r="BA98" s="104"/>
      <x:c r="BB98" s="104"/>
      <x:c r="BC98" s="104"/>
      <x:c r="BD98" s="104"/>
      <x:c r="BE98" s="104"/>
      <x:c r="BF98" s="104"/>
      <x:c r="BG98" s="104"/>
      <x:c r="BH98" s="104"/>
      <x:c r="BI98" s="104"/>
    </x:row>
    <x:row r="99">
      <x:c r="A99" s="13" t="str">
        <x:v>月度资金瀑布与偿债覆盖</x:v>
      </x:c>
      <x:c r="B99" s="14" t="str">
        <x:v>月度资金瀑布与偿债覆盖</x:v>
      </x:c>
      <x:c r="C99" s="14" t="str">
        <x:v>月度资金瀑布与偿债覆盖</x:v>
      </x:c>
      <x:c r="D99" s="14" t="str">
        <x:v>月度资金瀑布与偿债覆盖</x:v>
      </x:c>
      <x:c r="E99" s="14" t="str">
        <x:v>月度资金瀑布与偿债覆盖</x:v>
      </x:c>
      <x:c r="F99" s="14" t="str">
        <x:v>月度资金瀑布与偿债覆盖</x:v>
      </x:c>
      <x:c r="G99" s="14" t="str">
        <x:v>月度资金瀑布与偿债覆盖</x:v>
      </x:c>
      <x:c r="H99" s="14" t="str">
        <x:v>月度资金瀑布与偿债覆盖</x:v>
      </x:c>
      <x:c r="I99" s="14" t="str">
        <x:v>月度资金瀑布与偿债覆盖</x:v>
      </x:c>
      <x:c r="J99" s="14" t="str">
        <x:v>月度资金瀑布与偿债覆盖</x:v>
      </x:c>
      <x:c r="K99" s="14" t="str">
        <x:v>月度资金瀑布与偿债覆盖</x:v>
      </x:c>
      <x:c r="L99" s="14" t="str">
        <x:v>月度资金瀑布与偿债覆盖</x:v>
      </x:c>
      <x:c r="M99" s="14" t="str">
        <x:v>月度资金瀑布与偿债覆盖</x:v>
      </x:c>
      <x:c r="N99" s="14" t="str">
        <x:v>月度资金瀑布与偿债覆盖</x:v>
      </x:c>
      <x:c r="O99" s="14" t="str">
        <x:v>月度资金瀑布与偿债覆盖</x:v>
      </x:c>
      <x:c r="P99" s="14" t="str">
        <x:v>月度资金瀑布与偿债覆盖</x:v>
      </x:c>
      <x:c r="Q99" s="14" t="str">
        <x:v>月度资金瀑布与偿债覆盖</x:v>
      </x:c>
      <x:c r="R99" s="14" t="str">
        <x:v>月度资金瀑布与偿债覆盖</x:v>
      </x:c>
      <x:c r="S99" s="14" t="str">
        <x:v>月度资金瀑布与偿债覆盖</x:v>
      </x:c>
      <x:c r="T99" s="14" t="str">
        <x:v>月度资金瀑布与偿债覆盖</x:v>
      </x:c>
      <x:c r="U99" s="14" t="str">
        <x:v>月度资金瀑布与偿债覆盖</x:v>
      </x:c>
      <x:c r="V99" s="14" t="str">
        <x:v>月度资金瀑布与偿债覆盖</x:v>
      </x:c>
      <x:c r="W99" s="14" t="str">
        <x:v>月度资金瀑布与偿债覆盖</x:v>
      </x:c>
      <x:c r="X99" s="14" t="str">
        <x:v>月度资金瀑布与偿债覆盖</x:v>
      </x:c>
      <x:c r="Y99" s="14" t="str">
        <x:v>月度资金瀑布与偿债覆盖</x:v>
      </x:c>
      <x:c r="Z99" s="14" t="str">
        <x:v>月度资金瀑布与偿债覆盖</x:v>
      </x:c>
      <x:c r="AA99" s="14" t="str">
        <x:v>月度资金瀑布与偿债覆盖</x:v>
      </x:c>
      <x:c r="AB99" s="14" t="str">
        <x:v>月度资金瀑布与偿债覆盖</x:v>
      </x:c>
      <x:c r="AC99" s="14" t="str">
        <x:v>月度资金瀑布与偿债覆盖</x:v>
      </x:c>
      <x:c r="AD99" s="14" t="str">
        <x:v>月度资金瀑布与偿债覆盖</x:v>
      </x:c>
      <x:c r="AE99" s="14" t="str">
        <x:v>月度资金瀑布与偿债覆盖</x:v>
      </x:c>
      <x:c r="AF99" s="14" t="str">
        <x:v>月度资金瀑布与偿债覆盖</x:v>
      </x:c>
      <x:c r="AG99" s="14" t="str">
        <x:v>月度资金瀑布与偿债覆盖</x:v>
      </x:c>
      <x:c r="AH99" s="14" t="str">
        <x:v>月度资金瀑布与偿债覆盖</x:v>
      </x:c>
      <x:c r="AI99" s="14" t="str">
        <x:v>月度资金瀑布与偿债覆盖</x:v>
      </x:c>
      <x:c r="AJ99" s="14" t="str">
        <x:v>月度资金瀑布与偿债覆盖</x:v>
      </x:c>
      <x:c r="AK99" s="14" t="str">
        <x:v>月度资金瀑布与偿债覆盖</x:v>
      </x:c>
      <x:c r="AL99" s="105" t="str">
        <x:v>月度资金瀑布与偿债覆盖</x:v>
      </x:c>
      <x:c r="AM99" s="105" t="str">
        <x:v>月度资金瀑布与偿债覆盖</x:v>
      </x:c>
      <x:c r="AN99" s="105" t="str">
        <x:v>月度资金瀑布与偿债覆盖</x:v>
      </x:c>
      <x:c r="AO99" s="105" t="str">
        <x:v>月度资金瀑布与偿债覆盖</x:v>
      </x:c>
      <x:c r="AP99" s="105" t="str">
        <x:v>月度资金瀑布与偿债覆盖</x:v>
      </x:c>
      <x:c r="AQ99" s="105" t="str">
        <x:v>月度资金瀑布与偿债覆盖</x:v>
      </x:c>
      <x:c r="AR99" s="105" t="str">
        <x:v>月度资金瀑布与偿债覆盖</x:v>
      </x:c>
      <x:c r="AS99" s="105" t="str">
        <x:v>月度资金瀑布与偿债覆盖</x:v>
      </x:c>
      <x:c r="AT99" s="105" t="str">
        <x:v>月度资金瀑布与偿债覆盖</x:v>
      </x:c>
      <x:c r="AU99" s="105" t="str">
        <x:v>月度资金瀑布与偿债覆盖</x:v>
      </x:c>
      <x:c r="AV99" s="105" t="str">
        <x:v>月度资金瀑布与偿债覆盖</x:v>
      </x:c>
      <x:c r="AW99" s="105" t="str">
        <x:v>月度资金瀑布与偿债覆盖</x:v>
      </x:c>
      <x:c r="AX99" s="105" t="str">
        <x:v>月度资金瀑布与偿债覆盖</x:v>
      </x:c>
      <x:c r="AY99" s="105" t="str">
        <x:v>月度资金瀑布与偿债覆盖</x:v>
      </x:c>
      <x:c r="AZ99" s="105" t="str">
        <x:v>月度资金瀑布与偿债覆盖</x:v>
      </x:c>
      <x:c r="BA99" s="105" t="str">
        <x:v>月度资金瀑布与偿债覆盖</x:v>
      </x:c>
      <x:c r="BB99" s="105" t="str">
        <x:v>月度资金瀑布与偿债覆盖</x:v>
      </x:c>
      <x:c r="BC99" s="105" t="str">
        <x:v>月度资金瀑布与偿债覆盖</x:v>
      </x:c>
      <x:c r="BD99" s="105" t="str">
        <x:v>月度资金瀑布与偿债覆盖</x:v>
      </x:c>
      <x:c r="BE99" s="105" t="str">
        <x:v>月度资金瀑布与偿债覆盖</x:v>
      </x:c>
      <x:c r="BF99" s="105" t="str">
        <x:v>月度资金瀑布与偿债覆盖</x:v>
      </x:c>
      <x:c r="BG99" s="105" t="str">
        <x:v>月度资金瀑布与偿债覆盖</x:v>
      </x:c>
      <x:c r="BH99" s="105" t="str">
        <x:v>月度资金瀑布与偿债覆盖</x:v>
      </x:c>
      <x:c r="BI99" s="106" t="str">
        <x:v>月度资金瀑布与偿债覆盖</x:v>
      </x:c>
    </x:row>
    <x:row r="100">
      <x:c r="AL100" s="104"/>
      <x:c r="AM100" s="104"/>
      <x:c r="AN100" s="104"/>
      <x:c r="AO100" s="104"/>
      <x:c r="AP100" s="104"/>
      <x:c r="AQ100" s="104"/>
      <x:c r="AR100" s="104"/>
      <x:c r="AS100" s="104"/>
      <x:c r="AT100" s="104"/>
      <x:c r="AU100" s="104"/>
      <x:c r="AV100" s="104"/>
      <x:c r="AW100" s="104"/>
      <x:c r="AX100" s="104"/>
      <x:c r="AY100" s="104"/>
      <x:c r="AZ100" s="104"/>
      <x:c r="BA100" s="104"/>
      <x:c r="BB100" s="104"/>
      <x:c r="BC100" s="104"/>
      <x:c r="BD100" s="104"/>
      <x:c r="BE100" s="104"/>
      <x:c r="BF100" s="104"/>
      <x:c r="BG100" s="104"/>
      <x:c r="BH100" s="104"/>
      <x:c r="BI100" s="104"/>
    </x:row>
    <x:row r="101">
      <x:c r="A101" s="84" t="str">
        <x:v>月份</x:v>
      </x:c>
      <x:c r="B101" s="50" t="n">
        <x:f>'36月运营模型'!B$5</x:f>
        <x:v>46266</x:v>
      </x:c>
      <x:c r="C101" s="50" t="n">
        <x:f>'36月运营模型'!C$5</x:f>
        <x:v>46296</x:v>
      </x:c>
      <x:c r="D101" s="50" t="n">
        <x:f>'36月运营模型'!D$5</x:f>
        <x:v>46327</x:v>
      </x:c>
      <x:c r="E101" s="50" t="n">
        <x:f>'36月运营模型'!E$5</x:f>
        <x:v>46357</x:v>
      </x:c>
      <x:c r="F101" s="50" t="n">
        <x:f>'36月运营模型'!F$5</x:f>
        <x:v>46388</x:v>
      </x:c>
      <x:c r="G101" s="50" t="n">
        <x:f>'36月运营模型'!G$5</x:f>
        <x:v>46419</x:v>
      </x:c>
      <x:c r="H101" s="50" t="n">
        <x:f>'36月运营模型'!H$5</x:f>
        <x:v>46447</x:v>
      </x:c>
      <x:c r="I101" s="50" t="n">
        <x:f>'36月运营模型'!I$5</x:f>
        <x:v>46478</x:v>
      </x:c>
      <x:c r="J101" s="50" t="n">
        <x:f>'36月运营模型'!J$5</x:f>
        <x:v>46508</x:v>
      </x:c>
      <x:c r="K101" s="50" t="n">
        <x:f>'36月运营模型'!K$5</x:f>
        <x:v>46539</x:v>
      </x:c>
      <x:c r="L101" s="50" t="n">
        <x:f>'36月运营模型'!L$5</x:f>
        <x:v>46569</x:v>
      </x:c>
      <x:c r="M101" s="50" t="n">
        <x:f>'36月运营模型'!M$5</x:f>
        <x:v>46600</x:v>
      </x:c>
      <x:c r="N101" s="50" t="n">
        <x:f>'36月运营模型'!N$5</x:f>
        <x:v>46631</x:v>
      </x:c>
      <x:c r="O101" s="50" t="n">
        <x:f>'36月运营模型'!O$5</x:f>
        <x:v>46661</x:v>
      </x:c>
      <x:c r="P101" s="50" t="n">
        <x:f>'36月运营模型'!P$5</x:f>
        <x:v>46692</x:v>
      </x:c>
      <x:c r="Q101" s="50" t="n">
        <x:f>'36月运营模型'!Q$5</x:f>
        <x:v>46722</x:v>
      </x:c>
      <x:c r="R101" s="50" t="n">
        <x:f>'36月运营模型'!R$5</x:f>
        <x:v>46753</x:v>
      </x:c>
      <x:c r="S101" s="50" t="n">
        <x:f>'36月运营模型'!S$5</x:f>
        <x:v>46784</x:v>
      </x:c>
      <x:c r="T101" s="50" t="n">
        <x:f>'36月运营模型'!T$5</x:f>
        <x:v>46813</x:v>
      </x:c>
      <x:c r="U101" s="50" t="n">
        <x:f>'36月运营模型'!U$5</x:f>
        <x:v>46844</x:v>
      </x:c>
      <x:c r="V101" s="50" t="n">
        <x:f>'36月运营模型'!V$5</x:f>
        <x:v>46874</x:v>
      </x:c>
      <x:c r="W101" s="50" t="n">
        <x:f>'36月运营模型'!W$5</x:f>
        <x:v>46905</x:v>
      </x:c>
      <x:c r="X101" s="50" t="n">
        <x:f>'36月运营模型'!X$5</x:f>
        <x:v>46935</x:v>
      </x:c>
      <x:c r="Y101" s="50" t="n">
        <x:f>'36月运营模型'!Y$5</x:f>
        <x:v>46966</x:v>
      </x:c>
      <x:c r="Z101" s="50" t="n">
        <x:f>'36月运营模型'!Z$5</x:f>
        <x:v>46997</x:v>
      </x:c>
      <x:c r="AA101" s="50" t="n">
        <x:f>'36月运营模型'!AA$5</x:f>
        <x:v>47027</x:v>
      </x:c>
      <x:c r="AB101" s="50" t="n">
        <x:f>'36月运营模型'!AB$5</x:f>
        <x:v>47058</x:v>
      </x:c>
      <x:c r="AC101" s="50" t="n">
        <x:f>'36月运营模型'!AC$5</x:f>
        <x:v>47088</x:v>
      </x:c>
      <x:c r="AD101" s="50" t="n">
        <x:f>'36月运营模型'!AD$5</x:f>
        <x:v>47119</x:v>
      </x:c>
      <x:c r="AE101" s="50" t="n">
        <x:f>'36月运营模型'!AE$5</x:f>
        <x:v>47150</x:v>
      </x:c>
      <x:c r="AF101" s="50" t="n">
        <x:f>'36月运营模型'!AF$5</x:f>
        <x:v>47178</x:v>
      </x:c>
      <x:c r="AG101" s="50" t="n">
        <x:f>'36月运营模型'!AG$5</x:f>
        <x:v>47209</x:v>
      </x:c>
      <x:c r="AH101" s="50" t="n">
        <x:f>'36月运营模型'!AH$5</x:f>
        <x:v>47239</x:v>
      </x:c>
      <x:c r="AI101" s="50" t="n">
        <x:f>'36月运营模型'!AI$5</x:f>
        <x:v>47270</x:v>
      </x:c>
      <x:c r="AJ101" s="50" t="n">
        <x:f>'36月运营模型'!AJ$5</x:f>
        <x:v>47300</x:v>
      </x:c>
      <x:c r="AK101" s="50" t="n">
        <x:f>'36月运营模型'!AK$5</x:f>
        <x:v>47331</x:v>
      </x:c>
      <x:c r="AL101" s="88" t="n">
        <x:f>'36月运营模型'!AL$5</x:f>
        <x:v>47362</x:v>
      </x:c>
      <x:c r="AM101" s="88" t="n">
        <x:f>'36月运营模型'!AM$5</x:f>
        <x:v>47392</x:v>
      </x:c>
      <x:c r="AN101" s="88" t="n">
        <x:f>'36月运营模型'!AN$5</x:f>
        <x:v>47423</x:v>
      </x:c>
      <x:c r="AO101" s="88" t="n">
        <x:f>'36月运营模型'!AO$5</x:f>
        <x:v>47453</x:v>
      </x:c>
      <x:c r="AP101" s="88" t="n">
        <x:f>'36月运营模型'!AP$5</x:f>
        <x:v>47484</x:v>
      </x:c>
      <x:c r="AQ101" s="88" t="n">
        <x:f>'36月运营模型'!AQ$5</x:f>
        <x:v>47515</x:v>
      </x:c>
      <x:c r="AR101" s="88" t="n">
        <x:f>'36月运营模型'!AR$5</x:f>
        <x:v>47543</x:v>
      </x:c>
      <x:c r="AS101" s="88" t="n">
        <x:f>'36月运营模型'!AS$5</x:f>
        <x:v>47574</x:v>
      </x:c>
      <x:c r="AT101" s="88" t="n">
        <x:f>'36月运营模型'!AT$5</x:f>
        <x:v>47604</x:v>
      </x:c>
      <x:c r="AU101" s="88" t="n">
        <x:f>'36月运营模型'!AU$5</x:f>
        <x:v>47635</x:v>
      </x:c>
      <x:c r="AV101" s="88" t="n">
        <x:f>'36月运营模型'!AV$5</x:f>
        <x:v>47665</x:v>
      </x:c>
      <x:c r="AW101" s="88" t="n">
        <x:f>'36月运营模型'!AW$5</x:f>
        <x:v>47696</x:v>
      </x:c>
      <x:c r="AX101" s="88" t="n">
        <x:f>'36月运营模型'!AX$5</x:f>
        <x:v>47727</x:v>
      </x:c>
      <x:c r="AY101" s="88" t="n">
        <x:f>'36月运营模型'!AY$5</x:f>
        <x:v>47757</x:v>
      </x:c>
      <x:c r="AZ101" s="88" t="n">
        <x:f>'36月运营模型'!AZ$5</x:f>
        <x:v>47788</x:v>
      </x:c>
      <x:c r="BA101" s="88" t="n">
        <x:f>'36月运营模型'!BA$5</x:f>
        <x:v>47818</x:v>
      </x:c>
      <x:c r="BB101" s="88" t="n">
        <x:f>'36月运营模型'!BB$5</x:f>
        <x:v>47849</x:v>
      </x:c>
      <x:c r="BC101" s="88" t="n">
        <x:f>'36月运营模型'!BC$5</x:f>
        <x:v>47880</x:v>
      </x:c>
      <x:c r="BD101" s="88" t="n">
        <x:f>'36月运营模型'!BD$5</x:f>
        <x:v>47908</x:v>
      </x:c>
      <x:c r="BE101" s="88" t="n">
        <x:f>'36月运营模型'!BE$5</x:f>
        <x:v>47939</x:v>
      </x:c>
      <x:c r="BF101" s="88" t="n">
        <x:f>'36月运营模型'!BF$5</x:f>
        <x:v>47969</x:v>
      </x:c>
      <x:c r="BG101" s="88" t="n">
        <x:f>'36月运营模型'!BG$5</x:f>
        <x:v>48000</x:v>
      </x:c>
      <x:c r="BH101" s="88" t="n">
        <x:f>'36月运营模型'!BH$5</x:f>
        <x:v>48030</x:v>
      </x:c>
      <x:c r="BI101" s="88" t="n">
        <x:f>'36月运营模型'!BI$5</x:f>
        <x:v>48061</x:v>
      </x:c>
    </x:row>
    <x:row r="102">
      <x:c r="A102" s="85" t="str">
        <x:v>本月形成应付款</x:v>
      </x:c>
      <x:c r="B102" s="28" t="n">
        <x:f>SUMIFS($M$5:$M$16,$C$5:$C$16,B$101)+SUMIFS($M$5:$M$16,$C$5:$C$16,"&lt;"&amp;$B$101)</x:f>
        <x:v>58869000</x:v>
      </x:c>
      <x:c r="C102" s="28" t="n">
        <x:f>SUMIFS($M$5:$M$16,$C$5:$C$16,C$101)</x:f>
        <x:v>37373000</x:v>
      </x:c>
      <x:c r="D102" s="28" t="n">
        <x:f>SUMIFS($M$5:$M$16,$C$5:$C$16,D$101)</x:f>
        <x:v>42698000</x:v>
      </x:c>
      <x:c r="E102" s="28" t="n">
        <x:f>SUMIFS($M$5:$M$16,$C$5:$C$16,E$101)</x:f>
        <x:v>48023000</x:v>
      </x:c>
      <x:c r="F102" s="28" t="n">
        <x:f>SUMIFS($M$5:$M$16,$C$5:$C$16,F$101)</x:f>
        <x:v>53348000</x:v>
      </x:c>
      <x:c r="G102" s="28" t="n">
        <x:f>SUMIFS($M$5:$M$16,$C$5:$C$16,G$101)</x:f>
        <x:v>58575000</x:v>
      </x:c>
      <x:c r="H102" s="28" t="n">
        <x:f>SUMIFS($M$5:$M$16,$C$5:$C$16,H$101)</x:f>
        <x:v>58575000</x:v>
      </x:c>
      <x:c r="I102" s="28" t="n">
        <x:f>SUMIFS($M$5:$M$16,$C$5:$C$16,I$101)</x:f>
        <x:v>75839000</x:v>
      </x:c>
      <x:c r="J102" s="28" t="n">
        <x:f>SUMIFS($M$5:$M$16,$C$5:$C$16,J$101)</x:f>
        <x:v>81000000</x:v>
      </x:c>
      <x:c r="K102" s="28" t="n">
        <x:f>SUMIFS($M$5:$M$16,$C$5:$C$16,K$101)</x:f>
        <x:v>72000000</x:v>
      </x:c>
      <x:c r="L102" s="28" t="n">
        <x:f>SUMIFS($M$5:$M$16,$C$5:$C$16,L$101)</x:f>
        <x:v>54000000</x:v>
      </x:c>
      <x:c r="M102" s="28" t="n">
        <x:f>SUMIFS($M$5:$M$16,$C$5:$C$16,M$101)</x:f>
        <x:v>0</x:v>
      </x:c>
      <x:c r="N102" s="28" t="n">
        <x:f>SUMIFS($M$5:$M$16,$C$5:$C$16,N$101)</x:f>
        <x:v>0</x:v>
      </x:c>
      <x:c r="O102" s="28" t="n">
        <x:f>SUMIFS($M$5:$M$16,$C$5:$C$16,O$101)</x:f>
        <x:v>0</x:v>
      </x:c>
      <x:c r="P102" s="28" t="n">
        <x:f>SUMIFS($M$5:$M$16,$C$5:$C$16,P$101)</x:f>
        <x:v>0</x:v>
      </x:c>
      <x:c r="Q102" s="28" t="n">
        <x:f>SUMIFS($M$5:$M$16,$C$5:$C$16,Q$101)</x:f>
        <x:v>0</x:v>
      </x:c>
      <x:c r="R102" s="28" t="n">
        <x:f>SUMIFS($M$5:$M$16,$C$5:$C$16,R$101)</x:f>
        <x:v>0</x:v>
      </x:c>
      <x:c r="S102" s="28" t="n">
        <x:f>SUMIFS($M$5:$M$16,$C$5:$C$16,S$101)</x:f>
        <x:v>0</x:v>
      </x:c>
      <x:c r="T102" s="28" t="n">
        <x:f>SUMIFS($M$5:$M$16,$C$5:$C$16,T$101)</x:f>
        <x:v>0</x:v>
      </x:c>
      <x:c r="U102" s="28" t="n">
        <x:f>SUMIFS($M$5:$M$16,$C$5:$C$16,U$101)</x:f>
        <x:v>0</x:v>
      </x:c>
      <x:c r="V102" s="28" t="n">
        <x:f>SUMIFS($M$5:$M$16,$C$5:$C$16,V$101)</x:f>
        <x:v>0</x:v>
      </x:c>
      <x:c r="W102" s="28" t="n">
        <x:f>SUMIFS($M$5:$M$16,$C$5:$C$16,W$101)</x:f>
        <x:v>0</x:v>
      </x:c>
      <x:c r="X102" s="28" t="n">
        <x:f>SUMIFS($M$5:$M$16,$C$5:$C$16,X$101)</x:f>
        <x:v>0</x:v>
      </x:c>
      <x:c r="Y102" s="28" t="n">
        <x:f>SUMIFS($M$5:$M$16,$C$5:$C$16,Y$101)</x:f>
        <x:v>0</x:v>
      </x:c>
      <x:c r="Z102" s="28" t="n">
        <x:f>SUMIFS($M$5:$M$16,$C$5:$C$16,Z$101)</x:f>
        <x:v>0</x:v>
      </x:c>
      <x:c r="AA102" s="28" t="n">
        <x:f>SUMIFS($M$5:$M$16,$C$5:$C$16,AA$101)</x:f>
        <x:v>0</x:v>
      </x:c>
      <x:c r="AB102" s="28" t="n">
        <x:f>SUMIFS($M$5:$M$16,$C$5:$C$16,AB$101)</x:f>
        <x:v>0</x:v>
      </x:c>
      <x:c r="AC102" s="28" t="n">
        <x:f>SUMIFS($M$5:$M$16,$C$5:$C$16,AC$101)</x:f>
        <x:v>0</x:v>
      </x:c>
      <x:c r="AD102" s="28" t="n">
        <x:f>SUMIFS($M$5:$M$16,$C$5:$C$16,AD$101)</x:f>
        <x:v>0</x:v>
      </x:c>
      <x:c r="AE102" s="28" t="n">
        <x:f>SUMIFS($M$5:$M$16,$C$5:$C$16,AE$101)</x:f>
        <x:v>0</x:v>
      </x:c>
      <x:c r="AF102" s="28" t="n">
        <x:f>SUMIFS($M$5:$M$16,$C$5:$C$16,AF$101)</x:f>
        <x:v>0</x:v>
      </x:c>
      <x:c r="AG102" s="28" t="n">
        <x:f>SUMIFS($M$5:$M$16,$C$5:$C$16,AG$101)</x:f>
        <x:v>0</x:v>
      </x:c>
      <x:c r="AH102" s="28" t="n">
        <x:f>SUMIFS($M$5:$M$16,$C$5:$C$16,AH$101)</x:f>
        <x:v>0</x:v>
      </x:c>
      <x:c r="AI102" s="28" t="n">
        <x:f>SUMIFS($M$5:$M$16,$C$5:$C$16,AI$101)</x:f>
        <x:v>0</x:v>
      </x:c>
      <x:c r="AJ102" s="28" t="n">
        <x:f>SUMIFS($M$5:$M$16,$C$5:$C$16,AJ$101)</x:f>
        <x:v>0</x:v>
      </x:c>
      <x:c r="AK102" s="28" t="n">
        <x:f>SUMIFS($M$5:$M$16,$C$5:$C$16,AK$101)</x:f>
        <x:v>0</x:v>
      </x:c>
      <x:c r="AL102" s="92" t="n">
        <x:f>SUMIFS($M$5:$M$16,$C$5:$C$16,AL$101)</x:f>
        <x:v>0</x:v>
      </x:c>
      <x:c r="AM102" s="92" t="n">
        <x:f>SUMIFS($M$5:$M$16,$C$5:$C$16,AM$101)</x:f>
        <x:v>0</x:v>
      </x:c>
      <x:c r="AN102" s="92" t="n">
        <x:f>SUMIFS($M$5:$M$16,$C$5:$C$16,AN$101)</x:f>
        <x:v>0</x:v>
      </x:c>
      <x:c r="AO102" s="92" t="n">
        <x:f>SUMIFS($M$5:$M$16,$C$5:$C$16,AO$101)</x:f>
        <x:v>0</x:v>
      </x:c>
      <x:c r="AP102" s="92" t="n">
        <x:f>SUMIFS($M$5:$M$16,$C$5:$C$16,AP$101)</x:f>
        <x:v>0</x:v>
      </x:c>
      <x:c r="AQ102" s="92" t="n">
        <x:f>SUMIFS($M$5:$M$16,$C$5:$C$16,AQ$101)</x:f>
        <x:v>0</x:v>
      </x:c>
      <x:c r="AR102" s="92" t="n">
        <x:f>SUMIFS($M$5:$M$16,$C$5:$C$16,AR$101)</x:f>
        <x:v>0</x:v>
      </x:c>
      <x:c r="AS102" s="92" t="n">
        <x:f>SUMIFS($M$5:$M$16,$C$5:$C$16,AS$101)</x:f>
        <x:v>0</x:v>
      </x:c>
      <x:c r="AT102" s="92" t="n">
        <x:f>SUMIFS($M$5:$M$16,$C$5:$C$16,AT$101)</x:f>
        <x:v>0</x:v>
      </x:c>
      <x:c r="AU102" s="92" t="n">
        <x:f>SUMIFS($M$5:$M$16,$C$5:$C$16,AU$101)</x:f>
        <x:v>0</x:v>
      </x:c>
      <x:c r="AV102" s="92" t="n">
        <x:f>SUMIFS($M$5:$M$16,$C$5:$C$16,AV$101)</x:f>
        <x:v>0</x:v>
      </x:c>
      <x:c r="AW102" s="92" t="n">
        <x:f>SUMIFS($M$5:$M$16,$C$5:$C$16,AW$101)</x:f>
        <x:v>0</x:v>
      </x:c>
      <x:c r="AX102" s="92" t="n">
        <x:f>SUMIFS($M$5:$M$16,$C$5:$C$16,AX$101)</x:f>
        <x:v>0</x:v>
      </x:c>
      <x:c r="AY102" s="92" t="n">
        <x:f>SUMIFS($M$5:$M$16,$C$5:$C$16,AY$101)</x:f>
        <x:v>0</x:v>
      </x:c>
      <x:c r="AZ102" s="92" t="n">
        <x:f>SUMIFS($M$5:$M$16,$C$5:$C$16,AZ$101)</x:f>
        <x:v>0</x:v>
      </x:c>
      <x:c r="BA102" s="92" t="n">
        <x:f>SUMIFS($M$5:$M$16,$C$5:$C$16,BA$101)</x:f>
        <x:v>0</x:v>
      </x:c>
      <x:c r="BB102" s="92" t="n">
        <x:f>SUMIFS($M$5:$M$16,$C$5:$C$16,BB$101)</x:f>
        <x:v>0</x:v>
      </x:c>
      <x:c r="BC102" s="92" t="n">
        <x:f>SUMIFS($M$5:$M$16,$C$5:$C$16,BC$101)</x:f>
        <x:v>0</x:v>
      </x:c>
      <x:c r="BD102" s="92" t="n">
        <x:f>SUMIFS($M$5:$M$16,$C$5:$C$16,BD$101)</x:f>
        <x:v>0</x:v>
      </x:c>
      <x:c r="BE102" s="92" t="n">
        <x:f>SUMIFS($M$5:$M$16,$C$5:$C$16,BE$101)</x:f>
        <x:v>0</x:v>
      </x:c>
      <x:c r="BF102" s="92" t="n">
        <x:f>SUMIFS($M$5:$M$16,$C$5:$C$16,BF$101)</x:f>
        <x:v>0</x:v>
      </x:c>
      <x:c r="BG102" s="92" t="n">
        <x:f>SUMIFS($M$5:$M$16,$C$5:$C$16,BG$101)</x:f>
        <x:v>0</x:v>
      </x:c>
      <x:c r="BH102" s="92" t="n">
        <x:f>SUMIFS($M$5:$M$16,$C$5:$C$16,BH$101)</x:f>
        <x:v>0</x:v>
      </x:c>
      <x:c r="BI102" s="92" t="n">
        <x:f>SUMIFS($M$5:$M$16,$C$5:$C$16,BI$101)</x:f>
        <x:v>0</x:v>
      </x:c>
    </x:row>
    <x:row r="103">
      <x:c r="A103" s="85" t="str">
        <x:v>供应商付款</x:v>
      </x:c>
      <x:c r="B103" s="28" t="n">
        <x:f>SUMIFS($M$5:$M$16,$L$5:$L$16,B$101)+SUMIFS($M$5:$M$16,$L$5:$L$16,"&lt;"&amp;$B$101)</x:f>
        <x:v>0</x:v>
      </x:c>
      <x:c r="C103" s="28" t="n">
        <x:f>SUMIFS($M$5:$M$16,$L$5:$L$16,C$101)</x:f>
        <x:v>26772000</x:v>
      </x:c>
      <x:c r="D103" s="28" t="n">
        <x:f>SUMIFS($M$5:$M$16,$L$5:$L$16,D$101)</x:f>
        <x:v>32097000</x:v>
      </x:c>
      <x:c r="E103" s="28" t="n">
        <x:f>SUMIFS($M$5:$M$16,$L$5:$L$16,E$101)</x:f>
        <x:v>37373000</x:v>
      </x:c>
      <x:c r="F103" s="28" t="n">
        <x:f>SUMIFS($M$5:$M$16,$L$5:$L$16,F$101)</x:f>
        <x:v>42698000</x:v>
      </x:c>
      <x:c r="G103" s="28" t="n">
        <x:f>SUMIFS($M$5:$M$16,$L$5:$L$16,G$101)</x:f>
        <x:v>48023000</x:v>
      </x:c>
      <x:c r="H103" s="28" t="n">
        <x:f>SUMIFS($M$5:$M$16,$L$5:$L$16,H$101)</x:f>
        <x:v>53348000</x:v>
      </x:c>
      <x:c r="I103" s="28" t="n">
        <x:f>SUMIFS($M$5:$M$16,$L$5:$L$16,I$101)</x:f>
        <x:v>58575000</x:v>
      </x:c>
      <x:c r="J103" s="28" t="n">
        <x:f>SUMIFS($M$5:$M$16,$L$5:$L$16,J$101)</x:f>
        <x:v>58575000</x:v>
      </x:c>
      <x:c r="K103" s="28" t="n">
        <x:f>SUMIFS($M$5:$M$16,$L$5:$L$16,K$101)</x:f>
        <x:v>75839000</x:v>
      </x:c>
      <x:c r="L103" s="28" t="n">
        <x:f>SUMIFS($M$5:$M$16,$L$5:$L$16,L$101)</x:f>
        <x:v>81000000</x:v>
      </x:c>
      <x:c r="M103" s="28" t="n">
        <x:f>SUMIFS($M$5:$M$16,$L$5:$L$16,M$101)</x:f>
        <x:v>72000000</x:v>
      </x:c>
      <x:c r="N103" s="28" t="n">
        <x:f>SUMIFS($M$5:$M$16,$L$5:$L$16,N$101)</x:f>
        <x:v>54000000</x:v>
      </x:c>
      <x:c r="O103" s="28" t="n">
        <x:f>SUMIFS($M$5:$M$16,$L$5:$L$16,O$101)</x:f>
        <x:v>0</x:v>
      </x:c>
      <x:c r="P103" s="28" t="n">
        <x:f>SUMIFS($M$5:$M$16,$L$5:$L$16,P$101)</x:f>
        <x:v>0</x:v>
      </x:c>
      <x:c r="Q103" s="28" t="n">
        <x:f>SUMIFS($M$5:$M$16,$L$5:$L$16,Q$101)</x:f>
        <x:v>0</x:v>
      </x:c>
      <x:c r="R103" s="28" t="n">
        <x:f>SUMIFS($M$5:$M$16,$L$5:$L$16,R$101)</x:f>
        <x:v>0</x:v>
      </x:c>
      <x:c r="S103" s="28" t="n">
        <x:f>SUMIFS($M$5:$M$16,$L$5:$L$16,S$101)</x:f>
        <x:v>0</x:v>
      </x:c>
      <x:c r="T103" s="28" t="n">
        <x:f>SUMIFS($M$5:$M$16,$L$5:$L$16,T$101)</x:f>
        <x:v>0</x:v>
      </x:c>
      <x:c r="U103" s="28" t="n">
        <x:f>SUMIFS($M$5:$M$16,$L$5:$L$16,U$101)</x:f>
        <x:v>0</x:v>
      </x:c>
      <x:c r="V103" s="28" t="n">
        <x:f>SUMIFS($M$5:$M$16,$L$5:$L$16,V$101)</x:f>
        <x:v>0</x:v>
      </x:c>
      <x:c r="W103" s="28" t="n">
        <x:f>SUMIFS($M$5:$M$16,$L$5:$L$16,W$101)</x:f>
        <x:v>0</x:v>
      </x:c>
      <x:c r="X103" s="28" t="n">
        <x:f>SUMIFS($M$5:$M$16,$L$5:$L$16,X$101)</x:f>
        <x:v>0</x:v>
      </x:c>
      <x:c r="Y103" s="28" t="n">
        <x:f>SUMIFS($M$5:$M$16,$L$5:$L$16,Y$101)</x:f>
        <x:v>0</x:v>
      </x:c>
      <x:c r="Z103" s="28" t="n">
        <x:f>SUMIFS($M$5:$M$16,$L$5:$L$16,Z$101)</x:f>
        <x:v>0</x:v>
      </x:c>
      <x:c r="AA103" s="28" t="n">
        <x:f>SUMIFS($M$5:$M$16,$L$5:$L$16,AA$101)</x:f>
        <x:v>0</x:v>
      </x:c>
      <x:c r="AB103" s="28" t="n">
        <x:f>SUMIFS($M$5:$M$16,$L$5:$L$16,AB$101)</x:f>
        <x:v>0</x:v>
      </x:c>
      <x:c r="AC103" s="28" t="n">
        <x:f>SUMIFS($M$5:$M$16,$L$5:$L$16,AC$101)</x:f>
        <x:v>0</x:v>
      </x:c>
      <x:c r="AD103" s="28" t="n">
        <x:f>SUMIFS($M$5:$M$16,$L$5:$L$16,AD$101)</x:f>
        <x:v>0</x:v>
      </x:c>
      <x:c r="AE103" s="28" t="n">
        <x:f>SUMIFS($M$5:$M$16,$L$5:$L$16,AE$101)</x:f>
        <x:v>0</x:v>
      </x:c>
      <x:c r="AF103" s="28" t="n">
        <x:f>SUMIFS($M$5:$M$16,$L$5:$L$16,AF$101)</x:f>
        <x:v>0</x:v>
      </x:c>
      <x:c r="AG103" s="28" t="n">
        <x:f>SUMIFS($M$5:$M$16,$L$5:$L$16,AG$101)</x:f>
        <x:v>0</x:v>
      </x:c>
      <x:c r="AH103" s="28" t="n">
        <x:f>SUMIFS($M$5:$M$16,$L$5:$L$16,AH$101)</x:f>
        <x:v>0</x:v>
      </x:c>
      <x:c r="AI103" s="28" t="n">
        <x:f>SUMIFS($M$5:$M$16,$L$5:$L$16,AI$101)</x:f>
        <x:v>0</x:v>
      </x:c>
      <x:c r="AJ103" s="28" t="n">
        <x:f>SUMIFS($M$5:$M$16,$L$5:$L$16,AJ$101)</x:f>
        <x:v>0</x:v>
      </x:c>
      <x:c r="AK103" s="28" t="n">
        <x:f>SUMIFS($M$5:$M$16,$L$5:$L$16,AK$101)</x:f>
        <x:v>0</x:v>
      </x:c>
      <x:c r="AL103" s="92" t="n">
        <x:f>SUMIFS($M$5:$M$16,$L$5:$L$16,AL$101)</x:f>
        <x:v>0</x:v>
      </x:c>
      <x:c r="AM103" s="92" t="n">
        <x:f>SUMIFS($M$5:$M$16,$L$5:$L$16,AM$101)</x:f>
        <x:v>0</x:v>
      </x:c>
      <x:c r="AN103" s="92" t="n">
        <x:f>SUMIFS($M$5:$M$16,$L$5:$L$16,AN$101)</x:f>
        <x:v>0</x:v>
      </x:c>
      <x:c r="AO103" s="92" t="n">
        <x:f>SUMIFS($M$5:$M$16,$L$5:$L$16,AO$101)</x:f>
        <x:v>0</x:v>
      </x:c>
      <x:c r="AP103" s="92" t="n">
        <x:f>SUMIFS($M$5:$M$16,$L$5:$L$16,AP$101)</x:f>
        <x:v>0</x:v>
      </x:c>
      <x:c r="AQ103" s="92" t="n">
        <x:f>SUMIFS($M$5:$M$16,$L$5:$L$16,AQ$101)</x:f>
        <x:v>0</x:v>
      </x:c>
      <x:c r="AR103" s="92" t="n">
        <x:f>SUMIFS($M$5:$M$16,$L$5:$L$16,AR$101)</x:f>
        <x:v>0</x:v>
      </x:c>
      <x:c r="AS103" s="92" t="n">
        <x:f>SUMIFS($M$5:$M$16,$L$5:$L$16,AS$101)</x:f>
        <x:v>0</x:v>
      </x:c>
      <x:c r="AT103" s="92" t="n">
        <x:f>SUMIFS($M$5:$M$16,$L$5:$L$16,AT$101)</x:f>
        <x:v>0</x:v>
      </x:c>
      <x:c r="AU103" s="92" t="n">
        <x:f>SUMIFS($M$5:$M$16,$L$5:$L$16,AU$101)</x:f>
        <x:v>0</x:v>
      </x:c>
      <x:c r="AV103" s="92" t="n">
        <x:f>SUMIFS($M$5:$M$16,$L$5:$L$16,AV$101)</x:f>
        <x:v>0</x:v>
      </x:c>
      <x:c r="AW103" s="92" t="n">
        <x:f>SUMIFS($M$5:$M$16,$L$5:$L$16,AW$101)</x:f>
        <x:v>0</x:v>
      </x:c>
      <x:c r="AX103" s="92" t="n">
        <x:f>SUMIFS($M$5:$M$16,$L$5:$L$16,AX$101)</x:f>
        <x:v>0</x:v>
      </x:c>
      <x:c r="AY103" s="92" t="n">
        <x:f>SUMIFS($M$5:$M$16,$L$5:$L$16,AY$101)</x:f>
        <x:v>0</x:v>
      </x:c>
      <x:c r="AZ103" s="92" t="n">
        <x:f>SUMIFS($M$5:$M$16,$L$5:$L$16,AZ$101)</x:f>
        <x:v>0</x:v>
      </x:c>
      <x:c r="BA103" s="92" t="n">
        <x:f>SUMIFS($M$5:$M$16,$L$5:$L$16,BA$101)</x:f>
        <x:v>0</x:v>
      </x:c>
      <x:c r="BB103" s="92" t="n">
        <x:f>SUMIFS($M$5:$M$16,$L$5:$L$16,BB$101)</x:f>
        <x:v>0</x:v>
      </x:c>
      <x:c r="BC103" s="92" t="n">
        <x:f>SUMIFS($M$5:$M$16,$L$5:$L$16,BC$101)</x:f>
        <x:v>0</x:v>
      </x:c>
      <x:c r="BD103" s="92" t="n">
        <x:f>SUMIFS($M$5:$M$16,$L$5:$L$16,BD$101)</x:f>
        <x:v>0</x:v>
      </x:c>
      <x:c r="BE103" s="92" t="n">
        <x:f>SUMIFS($M$5:$M$16,$L$5:$L$16,BE$101)</x:f>
        <x:v>0</x:v>
      </x:c>
      <x:c r="BF103" s="92" t="n">
        <x:f>SUMIFS($M$5:$M$16,$L$5:$L$16,BF$101)</x:f>
        <x:v>0</x:v>
      </x:c>
      <x:c r="BG103" s="92" t="n">
        <x:f>SUMIFS($M$5:$M$16,$L$5:$L$16,BG$101)</x:f>
        <x:v>0</x:v>
      </x:c>
      <x:c r="BH103" s="92" t="n">
        <x:f>SUMIFS($M$5:$M$16,$L$5:$L$16,BH$101)</x:f>
        <x:v>0</x:v>
      </x:c>
      <x:c r="BI103" s="92" t="n">
        <x:f>SUMIFS($M$5:$M$16,$L$5:$L$16,BI$101)</x:f>
        <x:v>0</x:v>
      </x:c>
    </x:row>
    <x:row r="104">
      <x:c r="A104" s="85" t="str">
        <x:v>期末应付款</x:v>
      </x:c>
      <x:c r="B104" s="28" t="n">
        <x:f>B102-B103</x:f>
        <x:v>58869000</x:v>
      </x:c>
      <x:c r="C104" s="28" t="n">
        <x:f>B104+C102-C103</x:f>
        <x:v>69470000</x:v>
      </x:c>
      <x:c r="D104" s="28" t="n">
        <x:f>C104+D102-D103</x:f>
        <x:v>80071000</x:v>
      </x:c>
      <x:c r="E104" s="28" t="n">
        <x:f>D104+E102-E103</x:f>
        <x:v>90721000</x:v>
      </x:c>
      <x:c r="F104" s="28" t="n">
        <x:f>E104+F102-F103</x:f>
        <x:v>101371000</x:v>
      </x:c>
      <x:c r="G104" s="28" t="n">
        <x:f>F104+G102-G103</x:f>
        <x:v>111923000</x:v>
      </x:c>
      <x:c r="H104" s="28" t="n">
        <x:f>G104+H102-H103</x:f>
        <x:v>117150000</x:v>
      </x:c>
      <x:c r="I104" s="28" t="n">
        <x:f>H104+I102-I103</x:f>
        <x:v>134414000</x:v>
      </x:c>
      <x:c r="J104" s="28" t="n">
        <x:f>I104+J102-J103</x:f>
        <x:v>156839000</x:v>
      </x:c>
      <x:c r="K104" s="28" t="n">
        <x:f>J104+K102-K103</x:f>
        <x:v>153000000</x:v>
      </x:c>
      <x:c r="L104" s="28" t="n">
        <x:f>K104+L102-L103</x:f>
        <x:v>126000000</x:v>
      </x:c>
      <x:c r="M104" s="28" t="n">
        <x:f>L104+M102-M103</x:f>
        <x:v>54000000</x:v>
      </x:c>
      <x:c r="N104" s="28" t="n">
        <x:f>M104+N102-N103</x:f>
        <x:v>0</x:v>
      </x:c>
      <x:c r="O104" s="28" t="n">
        <x:f>N104+O102-O103</x:f>
        <x:v>0</x:v>
      </x:c>
      <x:c r="P104" s="28" t="n">
        <x:f>O104+P102-P103</x:f>
        <x:v>0</x:v>
      </x:c>
      <x:c r="Q104" s="28" t="n">
        <x:f>P104+Q102-Q103</x:f>
        <x:v>0</x:v>
      </x:c>
      <x:c r="R104" s="28" t="n">
        <x:f>Q104+R102-R103</x:f>
        <x:v>0</x:v>
      </x:c>
      <x:c r="S104" s="28" t="n">
        <x:f>R104+S102-S103</x:f>
        <x:v>0</x:v>
      </x:c>
      <x:c r="T104" s="28" t="n">
        <x:f>S104+T102-T103</x:f>
        <x:v>0</x:v>
      </x:c>
      <x:c r="U104" s="28" t="n">
        <x:f>T104+U102-U103</x:f>
        <x:v>0</x:v>
      </x:c>
      <x:c r="V104" s="28" t="n">
        <x:f>U104+V102-V103</x:f>
        <x:v>0</x:v>
      </x:c>
      <x:c r="W104" s="28" t="n">
        <x:f>V104+W102-W103</x:f>
        <x:v>0</x:v>
      </x:c>
      <x:c r="X104" s="28" t="n">
        <x:f>W104+X102-X103</x:f>
        <x:v>0</x:v>
      </x:c>
      <x:c r="Y104" s="28" t="n">
        <x:f>X104+Y102-Y103</x:f>
        <x:v>0</x:v>
      </x:c>
      <x:c r="Z104" s="28" t="n">
        <x:f>Y104+Z102-Z103</x:f>
        <x:v>0</x:v>
      </x:c>
      <x:c r="AA104" s="28" t="n">
        <x:f>Z104+AA102-AA103</x:f>
        <x:v>0</x:v>
      </x:c>
      <x:c r="AB104" s="28" t="n">
        <x:f>AA104+AB102-AB103</x:f>
        <x:v>0</x:v>
      </x:c>
      <x:c r="AC104" s="28" t="n">
        <x:f>AB104+AC102-AC103</x:f>
        <x:v>0</x:v>
      </x:c>
      <x:c r="AD104" s="28" t="n">
        <x:f>AC104+AD102-AD103</x:f>
        <x:v>0</x:v>
      </x:c>
      <x:c r="AE104" s="28" t="n">
        <x:f>AD104+AE102-AE103</x:f>
        <x:v>0</x:v>
      </x:c>
      <x:c r="AF104" s="28" t="n">
        <x:f>AE104+AF102-AF103</x:f>
        <x:v>0</x:v>
      </x:c>
      <x:c r="AG104" s="28" t="n">
        <x:f>AF104+AG102-AG103</x:f>
        <x:v>0</x:v>
      </x:c>
      <x:c r="AH104" s="28" t="n">
        <x:f>AG104+AH102-AH103</x:f>
        <x:v>0</x:v>
      </x:c>
      <x:c r="AI104" s="28" t="n">
        <x:f>AH104+AI102-AI103</x:f>
        <x:v>0</x:v>
      </x:c>
      <x:c r="AJ104" s="28" t="n">
        <x:f>AI104+AJ102-AJ103</x:f>
        <x:v>0</x:v>
      </x:c>
      <x:c r="AK104" s="28" t="n">
        <x:f>AJ104+AK102-AK103</x:f>
        <x:v>0</x:v>
      </x:c>
      <x:c r="AL104" s="92" t="n">
        <x:f>AK104+AL102-AL103</x:f>
        <x:v>0</x:v>
      </x:c>
      <x:c r="AM104" s="92" t="n">
        <x:f>AL104+AM102-AM103</x:f>
        <x:v>0</x:v>
      </x:c>
      <x:c r="AN104" s="92" t="n">
        <x:f>AM104+AN102-AN103</x:f>
        <x:v>0</x:v>
      </x:c>
      <x:c r="AO104" s="92" t="n">
        <x:f>AN104+AO102-AO103</x:f>
        <x:v>0</x:v>
      </x:c>
      <x:c r="AP104" s="92" t="n">
        <x:f>AO104+AP102-AP103</x:f>
        <x:v>0</x:v>
      </x:c>
      <x:c r="AQ104" s="92" t="n">
        <x:f>AP104+AQ102-AQ103</x:f>
        <x:v>0</x:v>
      </x:c>
      <x:c r="AR104" s="92" t="n">
        <x:f>AQ104+AR102-AR103</x:f>
        <x:v>0</x:v>
      </x:c>
      <x:c r="AS104" s="92" t="n">
        <x:f>AR104+AS102-AS103</x:f>
        <x:v>0</x:v>
      </x:c>
      <x:c r="AT104" s="92" t="n">
        <x:f>AS104+AT102-AT103</x:f>
        <x:v>0</x:v>
      </x:c>
      <x:c r="AU104" s="92" t="n">
        <x:f>AT104+AU102-AU103</x:f>
        <x:v>0</x:v>
      </x:c>
      <x:c r="AV104" s="92" t="n">
        <x:f>AU104+AV102-AV103</x:f>
        <x:v>0</x:v>
      </x:c>
      <x:c r="AW104" s="92" t="n">
        <x:f>AV104+AW102-AW103</x:f>
        <x:v>0</x:v>
      </x:c>
      <x:c r="AX104" s="92" t="n">
        <x:f>AW104+AX102-AX103</x:f>
        <x:v>0</x:v>
      </x:c>
      <x:c r="AY104" s="92" t="n">
        <x:f>AX104+AY102-AY103</x:f>
        <x:v>0</x:v>
      </x:c>
      <x:c r="AZ104" s="92" t="n">
        <x:f>AY104+AZ102-AZ103</x:f>
        <x:v>0</x:v>
      </x:c>
      <x:c r="BA104" s="92" t="n">
        <x:f>AZ104+BA102-BA103</x:f>
        <x:v>0</x:v>
      </x:c>
      <x:c r="BB104" s="92" t="n">
        <x:f>BA104+BB102-BB103</x:f>
        <x:v>0</x:v>
      </x:c>
      <x:c r="BC104" s="92" t="n">
        <x:f>BB104+BC102-BC103</x:f>
        <x:v>0</x:v>
      </x:c>
      <x:c r="BD104" s="92" t="n">
        <x:f>BC104+BD102-BD103</x:f>
        <x:v>0</x:v>
      </x:c>
      <x:c r="BE104" s="92" t="n">
        <x:f>BD104+BE102-BE103</x:f>
        <x:v>0</x:v>
      </x:c>
      <x:c r="BF104" s="92" t="n">
        <x:f>BE104+BF102-BF103</x:f>
        <x:v>0</x:v>
      </x:c>
      <x:c r="BG104" s="92" t="n">
        <x:f>BF104+BG102-BG103</x:f>
        <x:v>0</x:v>
      </x:c>
      <x:c r="BH104" s="92" t="n">
        <x:f>BG104+BH102-BH103</x:f>
        <x:v>0</x:v>
      </x:c>
      <x:c r="BI104" s="92" t="n">
        <x:f>BH104+BI102-BI103</x:f>
        <x:v>0</x:v>
      </x:c>
    </x:row>
    <x:row r="105">
      <x:c r="A105" s="85" t="str">
        <x:v>融资放款</x:v>
      </x:c>
      <x:c r="B105" s="28" t="n">
        <x:f>SUMIFS($E$5:$E$16,$F$5:$F$16,B$101)</x:f>
        <x:v>0</x:v>
      </x:c>
      <x:c r="C105" s="28" t="n">
        <x:f>SUMIFS($E$5:$E$16,$F$5:$F$16,C$101)</x:f>
        <x:v>22992000</x:v>
      </x:c>
      <x:c r="D105" s="28" t="n">
        <x:f>SUMIFS($E$5:$E$16,$F$5:$F$16,D$101)</x:f>
        <x:v>27567000</x:v>
      </x:c>
      <x:c r="E105" s="28" t="n">
        <x:f>SUMIFS($E$5:$E$16,$F$5:$F$16,E$101)</x:f>
        <x:v>32103000</x:v>
      </x:c>
      <x:c r="F105" s="28" t="n">
        <x:f>SUMIFS($E$5:$E$16,$F$5:$F$16,F$101)</x:f>
        <x:v>36678000</x:v>
      </x:c>
      <x:c r="G105" s="28" t="n">
        <x:f>SUMIFS($E$5:$E$16,$F$5:$F$16,G$101)</x:f>
        <x:v>41253000</x:v>
      </x:c>
      <x:c r="H105" s="28" t="n">
        <x:f>SUMIFS($E$5:$E$16,$F$5:$F$16,H$101)</x:f>
        <x:v>45828000</x:v>
      </x:c>
      <x:c r="I105" s="28" t="n">
        <x:f>SUMIFS($E$5:$E$16,$F$5:$F$16,I$101)</x:f>
        <x:v>50325000</x:v>
      </x:c>
      <x:c r="J105" s="28" t="n">
        <x:f>SUMIFS($E$5:$E$16,$F$5:$F$16,J$101)</x:f>
        <x:v>50325000</x:v>
      </x:c>
      <x:c r="K105" s="28" t="n">
        <x:f>SUMIFS($E$5:$E$16,$F$5:$F$16,K$101)</x:f>
        <x:v>63729000</x:v>
      </x:c>
      <x:c r="L105" s="28" t="n">
        <x:f>SUMIFS($E$5:$E$16,$F$5:$F$16,L$101)</x:f>
        <x:v>67500000</x:v>
      </x:c>
      <x:c r="M105" s="28" t="n">
        <x:f>SUMIFS($E$5:$E$16,$F$5:$F$16,M$101)</x:f>
        <x:v>60000000</x:v>
      </x:c>
      <x:c r="N105" s="28" t="n">
        <x:f>SUMIFS($E$5:$E$16,$F$5:$F$16,N$101)</x:f>
        <x:v>45000000</x:v>
      </x:c>
      <x:c r="O105" s="28" t="n">
        <x:f>SUMIFS($E$5:$E$16,$F$5:$F$16,O$101)</x:f>
        <x:v>0</x:v>
      </x:c>
      <x:c r="P105" s="28" t="n">
        <x:f>SUMIFS($E$5:$E$16,$F$5:$F$16,P$101)</x:f>
        <x:v>0</x:v>
      </x:c>
      <x:c r="Q105" s="28" t="n">
        <x:f>SUMIFS($E$5:$E$16,$F$5:$F$16,Q$101)</x:f>
        <x:v>0</x:v>
      </x:c>
      <x:c r="R105" s="28" t="n">
        <x:f>SUMIFS($E$5:$E$16,$F$5:$F$16,R$101)</x:f>
        <x:v>0</x:v>
      </x:c>
      <x:c r="S105" s="28" t="n">
        <x:f>SUMIFS($E$5:$E$16,$F$5:$F$16,S$101)</x:f>
        <x:v>0</x:v>
      </x:c>
      <x:c r="T105" s="28" t="n">
        <x:f>SUMIFS($E$5:$E$16,$F$5:$F$16,T$101)</x:f>
        <x:v>0</x:v>
      </x:c>
      <x:c r="U105" s="28" t="n">
        <x:f>SUMIFS($E$5:$E$16,$F$5:$F$16,U$101)</x:f>
        <x:v>0</x:v>
      </x:c>
      <x:c r="V105" s="28" t="n">
        <x:f>SUMIFS($E$5:$E$16,$F$5:$F$16,V$101)</x:f>
        <x:v>0</x:v>
      </x:c>
      <x:c r="W105" s="28" t="n">
        <x:f>SUMIFS($E$5:$E$16,$F$5:$F$16,W$101)</x:f>
        <x:v>0</x:v>
      </x:c>
      <x:c r="X105" s="28" t="n">
        <x:f>SUMIFS($E$5:$E$16,$F$5:$F$16,X$101)</x:f>
        <x:v>0</x:v>
      </x:c>
      <x:c r="Y105" s="28" t="n">
        <x:f>SUMIFS($E$5:$E$16,$F$5:$F$16,Y$101)</x:f>
        <x:v>0</x:v>
      </x:c>
      <x:c r="Z105" s="28" t="n">
        <x:f>SUMIFS($E$5:$E$16,$F$5:$F$16,Z$101)</x:f>
        <x:v>0</x:v>
      </x:c>
      <x:c r="AA105" s="28" t="n">
        <x:f>SUMIFS($E$5:$E$16,$F$5:$F$16,AA$101)</x:f>
        <x:v>0</x:v>
      </x:c>
      <x:c r="AB105" s="28" t="n">
        <x:f>SUMIFS($E$5:$E$16,$F$5:$F$16,AB$101)</x:f>
        <x:v>0</x:v>
      </x:c>
      <x:c r="AC105" s="28" t="n">
        <x:f>SUMIFS($E$5:$E$16,$F$5:$F$16,AC$101)</x:f>
        <x:v>0</x:v>
      </x:c>
      <x:c r="AD105" s="28" t="n">
        <x:f>SUMIFS($E$5:$E$16,$F$5:$F$16,AD$101)</x:f>
        <x:v>0</x:v>
      </x:c>
      <x:c r="AE105" s="28" t="n">
        <x:f>SUMIFS($E$5:$E$16,$F$5:$F$16,AE$101)</x:f>
        <x:v>0</x:v>
      </x:c>
      <x:c r="AF105" s="28" t="n">
        <x:f>SUMIFS($E$5:$E$16,$F$5:$F$16,AF$101)</x:f>
        <x:v>0</x:v>
      </x:c>
      <x:c r="AG105" s="28" t="n">
        <x:f>SUMIFS($E$5:$E$16,$F$5:$F$16,AG$101)</x:f>
        <x:v>0</x:v>
      </x:c>
      <x:c r="AH105" s="28" t="n">
        <x:f>SUMIFS($E$5:$E$16,$F$5:$F$16,AH$101)</x:f>
        <x:v>0</x:v>
      </x:c>
      <x:c r="AI105" s="28" t="n">
        <x:f>SUMIFS($E$5:$E$16,$F$5:$F$16,AI$101)</x:f>
        <x:v>0</x:v>
      </x:c>
      <x:c r="AJ105" s="28" t="n">
        <x:f>SUMIFS($E$5:$E$16,$F$5:$F$16,AJ$101)</x:f>
        <x:v>0</x:v>
      </x:c>
      <x:c r="AK105" s="28" t="n">
        <x:f>SUMIFS($E$5:$E$16,$F$5:$F$16,AK$101)</x:f>
        <x:v>0</x:v>
      </x:c>
      <x:c r="AL105" s="92" t="n">
        <x:f>SUMIFS($E$5:$E$16,$F$5:$F$16,AL$101)</x:f>
        <x:v>0</x:v>
      </x:c>
      <x:c r="AM105" s="92" t="n">
        <x:f>SUMIFS($E$5:$E$16,$F$5:$F$16,AM$101)</x:f>
        <x:v>0</x:v>
      </x:c>
      <x:c r="AN105" s="92" t="n">
        <x:f>SUMIFS($E$5:$E$16,$F$5:$F$16,AN$101)</x:f>
        <x:v>0</x:v>
      </x:c>
      <x:c r="AO105" s="92" t="n">
        <x:f>SUMIFS($E$5:$E$16,$F$5:$F$16,AO$101)</x:f>
        <x:v>0</x:v>
      </x:c>
      <x:c r="AP105" s="92" t="n">
        <x:f>SUMIFS($E$5:$E$16,$F$5:$F$16,AP$101)</x:f>
        <x:v>0</x:v>
      </x:c>
      <x:c r="AQ105" s="92" t="n">
        <x:f>SUMIFS($E$5:$E$16,$F$5:$F$16,AQ$101)</x:f>
        <x:v>0</x:v>
      </x:c>
      <x:c r="AR105" s="92" t="n">
        <x:f>SUMIFS($E$5:$E$16,$F$5:$F$16,AR$101)</x:f>
        <x:v>0</x:v>
      </x:c>
      <x:c r="AS105" s="92" t="n">
        <x:f>SUMIFS($E$5:$E$16,$F$5:$F$16,AS$101)</x:f>
        <x:v>0</x:v>
      </x:c>
      <x:c r="AT105" s="92" t="n">
        <x:f>SUMIFS($E$5:$E$16,$F$5:$F$16,AT$101)</x:f>
        <x:v>0</x:v>
      </x:c>
      <x:c r="AU105" s="92" t="n">
        <x:f>SUMIFS($E$5:$E$16,$F$5:$F$16,AU$101)</x:f>
        <x:v>0</x:v>
      </x:c>
      <x:c r="AV105" s="92" t="n">
        <x:f>SUMIFS($E$5:$E$16,$F$5:$F$16,AV$101)</x:f>
        <x:v>0</x:v>
      </x:c>
      <x:c r="AW105" s="92" t="n">
        <x:f>SUMIFS($E$5:$E$16,$F$5:$F$16,AW$101)</x:f>
        <x:v>0</x:v>
      </x:c>
      <x:c r="AX105" s="92" t="n">
        <x:f>SUMIFS($E$5:$E$16,$F$5:$F$16,AX$101)</x:f>
        <x:v>0</x:v>
      </x:c>
      <x:c r="AY105" s="92" t="n">
        <x:f>SUMIFS($E$5:$E$16,$F$5:$F$16,AY$101)</x:f>
        <x:v>0</x:v>
      </x:c>
      <x:c r="AZ105" s="92" t="n">
        <x:f>SUMIFS($E$5:$E$16,$F$5:$F$16,AZ$101)</x:f>
        <x:v>0</x:v>
      </x:c>
      <x:c r="BA105" s="92" t="n">
        <x:f>SUMIFS($E$5:$E$16,$F$5:$F$16,BA$101)</x:f>
        <x:v>0</x:v>
      </x:c>
      <x:c r="BB105" s="92" t="n">
        <x:f>SUMIFS($E$5:$E$16,$F$5:$F$16,BB$101)</x:f>
        <x:v>0</x:v>
      </x:c>
      <x:c r="BC105" s="92" t="n">
        <x:f>SUMIFS($E$5:$E$16,$F$5:$F$16,BC$101)</x:f>
        <x:v>0</x:v>
      </x:c>
      <x:c r="BD105" s="92" t="n">
        <x:f>SUMIFS($E$5:$E$16,$F$5:$F$16,BD$101)</x:f>
        <x:v>0</x:v>
      </x:c>
      <x:c r="BE105" s="92" t="n">
        <x:f>SUMIFS($E$5:$E$16,$F$5:$F$16,BE$101)</x:f>
        <x:v>0</x:v>
      </x:c>
      <x:c r="BF105" s="92" t="n">
        <x:f>SUMIFS($E$5:$E$16,$F$5:$F$16,BF$101)</x:f>
        <x:v>0</x:v>
      </x:c>
      <x:c r="BG105" s="92" t="n">
        <x:f>SUMIFS($E$5:$E$16,$F$5:$F$16,BG$101)</x:f>
        <x:v>0</x:v>
      </x:c>
      <x:c r="BH105" s="92" t="n">
        <x:f>SUMIFS($E$5:$E$16,$F$5:$F$16,BH$101)</x:f>
        <x:v>0</x:v>
      </x:c>
      <x:c r="BI105" s="92" t="n">
        <x:f>SUMIFS($E$5:$E$16,$F$5:$F$16,BI$101)</x:f>
        <x:v>0</x:v>
      </x:c>
    </x:row>
    <x:row r="106">
      <x:c r="A106" s="85" t="str">
        <x:v>等额租金</x:v>
      </x:c>
      <x:c r="B106" s="28" t="n">
        <x:f>SUM(B38:B49)-SUM(B86:B97)</x:f>
        <x:v>0</x:v>
      </x:c>
      <x:c r="C106" s="28" t="n">
        <x:f>SUM(C38:C49)-SUM(C86:C97)</x:f>
        <x:v>0</x:v>
      </x:c>
      <x:c r="D106" s="28" t="n">
        <x:f>SUM(D38:D49)-SUM(D86:D97)</x:f>
        <x:v>714813.6575423323</x:v>
      </x:c>
      <x:c r="E106" s="28" t="n">
        <x:f>SUM(E38:E49)-SUM(E86:E97)</x:f>
        <x:v>1571862.5483508515</x:v>
      </x:c>
      <x:c r="F106" s="28" t="n">
        <x:f>SUM(F38:F49)-SUM(F86:F97)</x:f>
        <x:v>2569934.1753550917</x:v>
      </x:c>
      <x:c r="G106" s="28" t="n">
        <x:f>SUM(G38:G49)-SUM(G86:G97)</x:f>
        <x:v>3710241.035625519</x:v>
      </x:c>
      <x:c r="H106" s="28" t="n">
        <x:f>SUM(H38:H49)-SUM(H86:H97)</x:f>
        <x:v>4992783.129162134</x:v>
      </x:c>
      <x:c r="I106" s="28" t="n">
        <x:f>SUM(I38:I49)-SUM(I86:I97)</x:f>
        <x:v>6417560.455964935</x:v>
      </x:c>
      <x:c r="J106" s="28" t="n">
        <x:f>SUM(J38:J49)-SUM(J86:J97)</x:f>
        <x:v>7982148.021892991</x:v>
      </x:c>
      <x:c r="K106" s="28" t="n">
        <x:f>SUM(K38:K49)-SUM(K86:K97)</x:f>
        <x:v>9546735.587821048</x:v>
      </x:c>
      <x:c r="L106" s="28" t="n">
        <x:f>SUM(L38:L49)-SUM(L86:L97)</x:f>
        <x:v>11528049.069967676</x:v>
      </x:c>
      <x:c r="M106" s="28" t="n">
        <x:f>SUM(M38:M49)-SUM(M86:M97)</x:f>
        <x:v>13626601.691927811</x:v>
      </x:c>
      <x:c r="N106" s="28" t="n">
        <x:f>SUM(N38:N49)-SUM(N86:N97)</x:f>
        <x:v>15491981.800336821</x:v>
      </x:c>
      <x:c r="O106" s="28" t="n">
        <x:f>SUM(O38:O49)-SUM(O86:O97)</x:f>
        <x:v>16891016.88164358</x:v>
      </x:c>
      <x:c r="P106" s="28" t="n">
        <x:f>SUM(P38:P49)-SUM(P86:P97)</x:f>
        <x:v>16891016.88164358</x:v>
      </x:c>
      <x:c r="Q106" s="28" t="n">
        <x:f>SUM(Q38:Q49)-SUM(Q86:Q97)</x:f>
        <x:v>16891016.88164358</x:v>
      </x:c>
      <x:c r="R106" s="28" t="n">
        <x:f>SUM(R38:R49)-SUM(R86:R97)</x:f>
        <x:v>16891016.88164358</x:v>
      </x:c>
      <x:c r="S106" s="28" t="n">
        <x:f>SUM(S38:S49)-SUM(S86:S97)</x:f>
        <x:v>16891016.88164358</x:v>
      </x:c>
      <x:c r="T106" s="28" t="n">
        <x:f>SUM(T38:T49)-SUM(T86:T97)</x:f>
        <x:v>16891016.88164358</x:v>
      </x:c>
      <x:c r="U106" s="28" t="n">
        <x:f>SUM(U38:U49)-SUM(U86:U97)</x:f>
        <x:v>16891016.88164358</x:v>
      </x:c>
      <x:c r="V106" s="28" t="n">
        <x:f>SUM(V38:V49)-SUM(V86:V97)</x:f>
        <x:v>16891016.88164358</x:v>
      </x:c>
      <x:c r="W106" s="28" t="n">
        <x:f>SUM(W38:W49)-SUM(W86:W97)</x:f>
        <x:v>16891016.88164358</x:v>
      </x:c>
      <x:c r="X106" s="28" t="n">
        <x:f>SUM(X38:X49)-SUM(X86:X97)</x:f>
        <x:v>16891016.88164358</x:v>
      </x:c>
      <x:c r="Y106" s="28" t="n">
        <x:f>SUM(Y38:Y49)-SUM(Y86:Y97)</x:f>
        <x:v>16891016.88164358</x:v>
      </x:c>
      <x:c r="Z106" s="28" t="n">
        <x:f>SUM(Z38:Z49)-SUM(Z86:Z97)</x:f>
        <x:v>16891016.88164358</x:v>
      </x:c>
      <x:c r="AA106" s="28" t="n">
        <x:f>SUM(AA38:AA49)-SUM(AA86:AA97)</x:f>
        <x:v>16891016.88164358</x:v>
      </x:c>
      <x:c r="AB106" s="28" t="n">
        <x:f>SUM(AB38:AB49)-SUM(AB86:AB97)</x:f>
        <x:v>16891016.88164358</x:v>
      </x:c>
      <x:c r="AC106" s="28" t="n">
        <x:f>SUM(AC38:AC49)-SUM(AC86:AC97)</x:f>
        <x:v>16891016.88164358</x:v>
      </x:c>
      <x:c r="AD106" s="28" t="n">
        <x:f>SUM(AD38:AD49)-SUM(AD86:AD97)</x:f>
        <x:v>16891016.88164358</x:v>
      </x:c>
      <x:c r="AE106" s="28" t="n">
        <x:f>SUM(AE38:AE49)-SUM(AE86:AE97)</x:f>
        <x:v>16891016.88164358</x:v>
      </x:c>
      <x:c r="AF106" s="28" t="n">
        <x:f>SUM(AF38:AF49)-SUM(AF86:AF97)</x:f>
        <x:v>16891016.88164358</x:v>
      </x:c>
      <x:c r="AG106" s="28" t="n">
        <x:f>SUM(AG38:AG49)-SUM(AG86:AG97)</x:f>
        <x:v>16891016.88164358</x:v>
      </x:c>
      <x:c r="AH106" s="28" t="n">
        <x:f>SUM(AH38:AH49)-SUM(AH86:AH97)</x:f>
        <x:v>16891016.88164358</x:v>
      </x:c>
      <x:c r="AI106" s="28" t="n">
        <x:f>SUM(AI38:AI49)-SUM(AI86:AI97)</x:f>
        <x:v>16891016.88164358</x:v>
      </x:c>
      <x:c r="AJ106" s="28" t="n">
        <x:f>SUM(AJ38:AJ49)-SUM(AJ86:AJ97)</x:f>
        <x:v>16891016.88164358</x:v>
      </x:c>
      <x:c r="AK106" s="28" t="n">
        <x:f>SUM(AK38:AK49)-SUM(AK86:AK97)</x:f>
        <x:v>16891016.88164358</x:v>
      </x:c>
      <x:c r="AL106" s="92" t="n">
        <x:f>SUM(AL38:AL49)-SUM(AL86:AL97)</x:f>
        <x:v>16891016.88164358</x:v>
      </x:c>
      <x:c r="AM106" s="92" t="n">
        <x:f>SUM(AM38:AM49)-SUM(AM86:AM97)</x:f>
        <x:v>16891016.88164358</x:v>
      </x:c>
      <x:c r="AN106" s="92" t="n">
        <x:f>SUM(AN38:AN49)-SUM(AN86:AN97)</x:f>
        <x:v>16176203.22410125</x:v>
      </x:c>
      <x:c r="AO106" s="92" t="n">
        <x:f>SUM(AO38:AO49)-SUM(AO86:AO97)</x:f>
        <x:v>15319154.333292726</x:v>
      </x:c>
      <x:c r="AP106" s="92" t="n">
        <x:f>SUM(AP38:AP49)-SUM(AP86:AP97)</x:f>
        <x:v>14321082.706288487</x:v>
      </x:c>
      <x:c r="AQ106" s="92" t="n">
        <x:f>SUM(AQ38:AQ49)-SUM(AQ86:AQ97)</x:f>
        <x:v>13180775.846018061</x:v>
      </x:c>
      <x:c r="AR106" s="92" t="n">
        <x:f>SUM(AR38:AR49)-SUM(AR86:AR97)</x:f>
        <x:v>11898233.752481446</x:v>
      </x:c>
      <x:c r="AS106" s="92" t="n">
        <x:f>SUM(AS38:AS49)-SUM(AS86:AS97)</x:f>
        <x:v>10473456.425678644</x:v>
      </x:c>
      <x:c r="AT106" s="92" t="n">
        <x:f>SUM(AT38:AT49)-SUM(AT86:AT97)</x:f>
        <x:v>8908868.859750587</x:v>
      </x:c>
      <x:c r="AU106" s="92" t="n">
        <x:f>SUM(AU38:AU49)-SUM(AU86:AU97)</x:f>
        <x:v>7344281.2938225325</x:v>
      </x:c>
      <x:c r="AV106" s="92" t="n">
        <x:f>SUM(AV38:AV49)-SUM(AV86:AV97)</x:f>
        <x:v>5362967.811675902</x:v>
      </x:c>
      <x:c r="AW106" s="92" t="n">
        <x:f>SUM(AW38:AW49)-SUM(AW86:AW97)</x:f>
        <x:v>3264415.1897157663</x:v>
      </x:c>
      <x:c r="AX106" s="92" t="n">
        <x:f>SUM(AX38:AX49)-SUM(AX86:AX97)</x:f>
        <x:v>1399035.081306757</x:v>
      </x:c>
      <x:c r="AY106" s="92" t="n">
        <x:f>SUM(AY38:AY49)-SUM(AY86:AY97)</x:f>
        <x:v>0</x:v>
      </x:c>
      <x:c r="AZ106" s="92" t="n">
        <x:f>SUM(AZ38:AZ49)-SUM(AZ86:AZ97)</x:f>
        <x:v>0</x:v>
      </x:c>
      <x:c r="BA106" s="92" t="n">
        <x:f>SUM(BA38:BA49)-SUM(BA86:BA97)</x:f>
        <x:v>0</x:v>
      </x:c>
      <x:c r="BB106" s="92" t="n">
        <x:f>SUM(BB38:BB49)-SUM(BB86:BB97)</x:f>
        <x:v>0</x:v>
      </x:c>
      <x:c r="BC106" s="92" t="n">
        <x:f>SUM(BC38:BC49)-SUM(BC86:BC97)</x:f>
        <x:v>0</x:v>
      </x:c>
      <x:c r="BD106" s="92" t="n">
        <x:f>SUM(BD38:BD49)-SUM(BD86:BD97)</x:f>
        <x:v>0</x:v>
      </x:c>
      <x:c r="BE106" s="92" t="n">
        <x:f>SUM(BE38:BE49)-SUM(BE86:BE97)</x:f>
        <x:v>0</x:v>
      </x:c>
      <x:c r="BF106" s="92" t="n">
        <x:f>SUM(BF38:BF49)-SUM(BF86:BF97)</x:f>
        <x:v>0</x:v>
      </x:c>
      <x:c r="BG106" s="92" t="n">
        <x:f>SUM(BG38:BG49)-SUM(BG86:BG97)</x:f>
        <x:v>0</x:v>
      </x:c>
      <x:c r="BH106" s="92" t="n">
        <x:f>SUM(BH38:BH49)-SUM(BH86:BH97)</x:f>
        <x:v>0</x:v>
      </x:c>
      <x:c r="BI106" s="92" t="n">
        <x:f>SUM(BI38:BI49)-SUM(BI86:BI97)</x:f>
        <x:v>0</x:v>
      </x:c>
    </x:row>
    <x:row r="107">
      <x:c r="A107" s="85" t="str">
        <x:v>融资成本</x:v>
      </x:c>
      <x:c r="B107" s="28" t="n">
        <x:f>SUM(B54:B65)</x:f>
        <x:v>0</x:v>
      </x:c>
      <x:c r="C107" s="28" t="n">
        <x:f>SUM(C54:C65)</x:f>
        <x:v>0</x:v>
      </x:c>
      <x:c r="D107" s="28" t="n">
        <x:f>SUM(D54:D65)</x:f>
        <x:v>153280</x:v>
      </x:c>
      <x:c r="E107" s="28" t="n">
        <x:f>SUM(E54:E65)</x:f>
        <x:v>333316.4422830511</x:v>
      </x:c>
      <x:c r="F107" s="28" t="n">
        <x:f>SUM(F54:F65)</x:f>
        <x:v>539079.4682425992</x:v>
      </x:c>
      <x:c r="G107" s="28" t="n">
        <x:f>SUM(G54:G65)</x:f>
        <x:v>770060.4368618492</x:v>
      </x:c>
      <x:c r="H107" s="28" t="n">
        <x:f>SUM(H54:H65)</x:f>
        <x:v>1025479.2328700915</x:v>
      </x:c>
      <x:c r="I107" s="28" t="n">
        <x:f>SUM(I54:I65)</x:f>
        <x:v>1304550.5402281445</x:v>
      </x:c>
      <x:c r="J107" s="28" t="n">
        <x:f>SUM(J54:J65)</x:f>
        <x:v>1605963.8074565658</x:v>
      </x:c>
      <x:c r="K107" s="28" t="n">
        <x:f>SUM(K54:K65)</x:f>
        <x:v>1898955.9126936563</x:v>
      </x:c>
      <x:c r="L107" s="28" t="n">
        <x:f>SUM(L54:L65)</x:f>
        <x:v>2272830.714859474</x:v>
      </x:c>
      <x:c r="M107" s="28" t="n">
        <x:f>SUM(M54:M65)</x:f>
        <x:v>2661129.2591587524</x:v>
      </x:c>
      <x:c r="N107" s="28" t="n">
        <x:f>SUM(N54:N65)</x:f>
        <x:v>2988026.109606959</x:v>
      </x:c>
      <x:c r="O107" s="28" t="n">
        <x:f>SUM(O54:O65)</x:f>
        <x:v>3204666.4050020934</x:v>
      </x:c>
      <x:c r="P107" s="28" t="n">
        <x:f>SUM(P54:P65)</x:f>
        <x:v>3113424.0684911497</x:v>
      </x:c>
      <x:c r="Q107" s="28" t="n">
        <x:f>SUM(Q54:Q65)</x:f>
        <x:v>3021573.4497368</x:v>
      </x:c>
      <x:c r="R107" s="28" t="n">
        <x:f>SUM(R54:R65)</x:f>
        <x:v>2929110.4935240885</x:v>
      </x:c>
      <x:c r="S107" s="28" t="n">
        <x:f>SUM(S54:S65)</x:f>
        <x:v>2836031.1176032918</x:v>
      </x:c>
      <x:c r="T107" s="28" t="n">
        <x:f>SUM(T54:T65)</x:f>
        <x:v>2742331.21250969</x:v>
      </x:c>
      <x:c r="U107" s="28" t="n">
        <x:f>SUM(U54:U65)</x:f>
        <x:v>2648006.6413821303</x:v>
      </x:c>
      <x:c r="V107" s="28" t="n">
        <x:f>SUM(V54:V65)</x:f>
        <x:v>2553053.2397803874</x:v>
      </x:c>
      <x:c r="W107" s="28" t="n">
        <x:f>SUM(W54:W65)</x:f>
        <x:v>2457466.8155012997</x:v>
      </x:c>
      <x:c r="X107" s="28" t="n">
        <x:f>SUM(X54:X65)</x:f>
        <x:v>2361243.1483936845</x:v>
      </x:c>
      <x:c r="Y107" s="28" t="n">
        <x:f>SUM(Y54:Y65)</x:f>
        <x:v>2264377.9901720183</x:v>
      </x:c>
      <x:c r="Z107" s="28" t="n">
        <x:f>SUM(Z54:Z65)</x:f>
        <x:v>2166867.0642288746</x:v>
      </x:c>
      <x:c r="AA107" s="28" t="n">
        <x:f>SUM(AA54:AA65)</x:f>
        <x:v>2068706.06544611</x:v>
      </x:c>
      <x:c r="AB107" s="28" t="n">
        <x:f>SUM(AB54:AB65)</x:f>
        <x:v>1969890.6600047937</x:v>
      </x:c>
      <x:c r="AC107" s="28" t="n">
        <x:f>SUM(AC54:AC65)</x:f>
        <x:v>1870416.4851938686</x:v>
      </x:c>
      <x:c r="AD107" s="28" t="n">
        <x:f>SUM(AD54:AD65)</x:f>
        <x:v>1770279.1492175371</x:v>
      </x:c>
      <x:c r="AE107" s="28" t="n">
        <x:f>SUM(AE54:AE65)</x:f>
        <x:v>1669474.2310013634</x:v>
      </x:c>
      <x:c r="AF107" s="28" t="n">
        <x:f>SUM(AF54:AF65)</x:f>
        <x:v>1567997.2799970822</x:v>
      </x:c>
      <x:c r="AG107" s="28" t="n">
        <x:f>SUM(AG54:AG65)</x:f>
        <x:v>1465843.8159861052</x:v>
      </x:c>
      <x:c r="AH107" s="28" t="n">
        <x:f>SUM(AH54:AH65)</x:f>
        <x:v>1363009.3288817222</x:v>
      </x:c>
      <x:c r="AI107" s="28" t="n">
        <x:f>SUM(AI54:AI65)</x:f>
        <x:v>1259489.2785299765</x:v>
      </x:c>
      <x:c r="AJ107" s="28" t="n">
        <x:f>SUM(AJ54:AJ65)</x:f>
        <x:v>1155279.0945092193</x:v>
      </x:c>
      <x:c r="AK107" s="28" t="n">
        <x:f>SUM(AK54:AK65)</x:f>
        <x:v>1050374.1759283235</x:v>
      </x:c>
      <x:c r="AL107" s="92" t="n">
        <x:f>SUM(AL54:AL65)</x:f>
        <x:v>944769.8912235551</x:v>
      </x:c>
      <x:c r="AM107" s="92" t="n">
        <x:f>SUM(AM54:AM65)</x:f>
        <x:v>838461.5779540882</x:v>
      </x:c>
      <x:c r="AN107" s="92" t="n">
        <x:f>SUM(AN54:AN65)</x:f>
        <x:v>729911.7425961599</x:v>
      </x:c>
      <x:c r="AO107" s="92" t="n">
        <x:f>SUM(AO54:AO65)</x:f>
        <x:v>625098.6660527949</x:v>
      </x:c>
      <x:c r="AP107" s="92" t="n">
        <x:f>SUM(AP54:AP65)</x:f>
        <x:v>524998.0949378645</x:v>
      </x:c>
      <x:c r="AQ107" s="92" t="n">
        <x:f>SUM(AQ54:AQ65)</x:f>
        <x:v>430578.997528863</x:v>
      </x:c>
      <x:c r="AR107" s="92" t="n">
        <x:f>SUM(AR54:AR65)</x:f>
        <x:v>342827.4852056048</x:v>
      </x:c>
      <x:c r="AS107" s="92" t="n">
        <x:f>SUM(AS54:AS65)</x:f>
        <x:v>262736.24342376925</x:v>
      </x:c>
      <x:c r="AT107" s="92" t="n">
        <x:f>SUM(AT54:AT65)</x:f>
        <x:v>191309.77554207382</x:v>
      </x:c>
      <x:c r="AU107" s="92" t="n">
        <x:f>SUM(AU54:AU65)</x:f>
        <x:v>129837.71498068754</x:v>
      </x:c>
      <x:c r="AV107" s="92" t="n">
        <x:f>SUM(AV54:AV65)</x:f>
        <x:v>77492.82445507991</x:v>
      </x:c>
      <x:c r="AW107" s="92" t="n">
        <x:f>SUM(AW54:AW65)</x:f>
        <x:v>37756.32454027962</x:v>
      </x:c>
      <x:c r="AX107" s="92" t="n">
        <x:f>SUM(AX54:AX65)</x:f>
        <x:v>12245.26543911429</x:v>
      </x:c>
      <x:c r="AY107" s="92" t="n">
        <x:f>SUM(AY54:AY65)</x:f>
        <x:v>0</x:v>
      </x:c>
      <x:c r="AZ107" s="92" t="n">
        <x:f>SUM(AZ54:AZ65)</x:f>
        <x:v>0</x:v>
      </x:c>
      <x:c r="BA107" s="92" t="n">
        <x:f>SUM(BA54:BA65)</x:f>
        <x:v>0</x:v>
      </x:c>
      <x:c r="BB107" s="92" t="n">
        <x:f>SUM(BB54:BB65)</x:f>
        <x:v>0</x:v>
      </x:c>
      <x:c r="BC107" s="92" t="n">
        <x:f>SUM(BC54:BC65)</x:f>
        <x:v>0</x:v>
      </x:c>
      <x:c r="BD107" s="92" t="n">
        <x:f>SUM(BD54:BD65)</x:f>
        <x:v>0</x:v>
      </x:c>
      <x:c r="BE107" s="92" t="n">
        <x:f>SUM(BE54:BE65)</x:f>
        <x:v>0</x:v>
      </x:c>
      <x:c r="BF107" s="92" t="n">
        <x:f>SUM(BF54:BF65)</x:f>
        <x:v>0</x:v>
      </x:c>
      <x:c r="BG107" s="92" t="n">
        <x:f>SUM(BG54:BG65)</x:f>
        <x:v>0</x:v>
      </x:c>
      <x:c r="BH107" s="92" t="n">
        <x:f>SUM(BH54:BH65)</x:f>
        <x:v>0</x:v>
      </x:c>
      <x:c r="BI107" s="92" t="n">
        <x:f>SUM(BI54:BI65)</x:f>
        <x:v>0</x:v>
      </x:c>
    </x:row>
    <x:row r="108">
      <x:c r="A108" s="85" t="str">
        <x:v>本金偿还</x:v>
      </x:c>
      <x:c r="B108" s="28" t="n">
        <x:f>SUM(B70:B81)</x:f>
        <x:v>0</x:v>
      </x:c>
      <x:c r="C108" s="28" t="n">
        <x:f>SUM(C70:C81)</x:f>
        <x:v>0</x:v>
      </x:c>
      <x:c r="D108" s="28" t="n">
        <x:f>SUM(D70:D81)</x:f>
        <x:v>561533.6575423323</x:v>
      </x:c>
      <x:c r="E108" s="28" t="n">
        <x:f>SUM(E70:E81)</x:f>
        <x:v>1238546.1060678004</x:v>
      </x:c>
      <x:c r="F108" s="28" t="n">
        <x:f>SUM(F70:F81)</x:f>
        <x:v>2030854.7071124928</x:v>
      </x:c>
      <x:c r="G108" s="28" t="n">
        <x:f>SUM(G70:G81)</x:f>
        <x:v>2940180.5987636703</x:v>
      </x:c>
      <x:c r="H108" s="28" t="n">
        <x:f>SUM(H70:H81)</x:f>
        <x:v>3967303.896292042</x:v>
      </x:c>
      <x:c r="I108" s="28" t="n">
        <x:f>SUM(I70:I81)</x:f>
        <x:v>5113009.915736791</x:v>
      </x:c>
      <x:c r="J108" s="28" t="n">
        <x:f>SUM(J70:J81)</x:f>
        <x:v>6376184.214436425</x:v>
      </x:c>
      <x:c r="K108" s="28" t="n">
        <x:f>SUM(K70:K81)</x:f>
        <x:v>7647779.675127391</x:v>
      </x:c>
      <x:c r="L108" s="28" t="n">
        <x:f>SUM(L70:L81)</x:f>
        <x:v>9255218.355108202</x:v>
      </x:c>
      <x:c r="M108" s="28" t="n">
        <x:f>SUM(M70:M81)</x:f>
        <x:v>10965472.432769058</x:v>
      </x:c>
      <x:c r="N108" s="28" t="n">
        <x:f>SUM(N70:N81)</x:f>
        <x:v>12503955.690729864</x:v>
      </x:c>
      <x:c r="O108" s="28" t="n">
        <x:f>SUM(O70:O81)</x:f>
        <x:v>13686350.476641487</x:v>
      </x:c>
      <x:c r="P108" s="28" t="n">
        <x:f>SUM(P70:P81)</x:f>
        <x:v>13777592.81315243</x:v>
      </x:c>
      <x:c r="Q108" s="28" t="n">
        <x:f>SUM(Q70:Q81)</x:f>
        <x:v>13869443.431906778</x:v>
      </x:c>
      <x:c r="R108" s="28" t="n">
        <x:f>SUM(R70:R81)</x:f>
        <x:v>13961906.38811949</x:v>
      </x:c>
      <x:c r="S108" s="28" t="n">
        <x:f>SUM(S70:S81)</x:f>
        <x:v>14054985.764040288</x:v>
      </x:c>
      <x:c r="T108" s="28" t="n">
        <x:f>SUM(T70:T81)</x:f>
        <x:v>14148685.669133889</x:v>
      </x:c>
      <x:c r="U108" s="28" t="n">
        <x:f>SUM(U70:U81)</x:f>
        <x:v>14243010.240261449</x:v>
      </x:c>
      <x:c r="V108" s="28" t="n">
        <x:f>SUM(V70:V81)</x:f>
        <x:v>14337963.641863192</x:v>
      </x:c>
      <x:c r="W108" s="28" t="n">
        <x:f>SUM(W70:W81)</x:f>
        <x:v>14433550.06614228</x:v>
      </x:c>
      <x:c r="X108" s="28" t="n">
        <x:f>SUM(X70:X81)</x:f>
        <x:v>14529773.733249897</x:v>
      </x:c>
      <x:c r="Y108" s="28" t="n">
        <x:f>SUM(Y70:Y81)</x:f>
        <x:v>14626638.891471561</x:v>
      </x:c>
      <x:c r="Z108" s="28" t="n">
        <x:f>SUM(Z70:Z81)</x:f>
        <x:v>14724149.817414703</x:v>
      </x:c>
      <x:c r="AA108" s="28" t="n">
        <x:f>SUM(AA70:AA81)</x:f>
        <x:v>14822310.816197468</x:v>
      </x:c>
      <x:c r="AB108" s="28" t="n">
        <x:f>SUM(AB70:AB81)</x:f>
        <x:v>14921126.221638788</x:v>
      </x:c>
      <x:c r="AC108" s="28" t="n">
        <x:f>SUM(AC70:AC81)</x:f>
        <x:v>15020600.396449707</x:v>
      </x:c>
      <x:c r="AD108" s="28" t="n">
        <x:f>SUM(AD70:AD81)</x:f>
        <x:v>15120737.73242604</x:v>
      </x:c>
      <x:c r="AE108" s="28" t="n">
        <x:f>SUM(AE70:AE81)</x:f>
        <x:v>15221542.650642212</x:v>
      </x:c>
      <x:c r="AF108" s="28" t="n">
        <x:f>SUM(AF70:AF81)</x:f>
        <x:v>15323019.601646496</x:v>
      </x:c>
      <x:c r="AG108" s="28" t="n">
        <x:f>SUM(AG70:AG81)</x:f>
        <x:v>15425173.065657472</x:v>
      </x:c>
      <x:c r="AH108" s="28" t="n">
        <x:f>SUM(AH70:AH81)</x:f>
        <x:v>15528007.552761858</x:v>
      </x:c>
      <x:c r="AI108" s="28" t="n">
        <x:f>SUM(AI70:AI81)</x:f>
        <x:v>15631527.603113601</x:v>
      </x:c>
      <x:c r="AJ108" s="28" t="n">
        <x:f>SUM(AJ70:AJ81)</x:f>
        <x:v>15735737.78713436</x:v>
      </x:c>
      <x:c r="AK108" s="28" t="n">
        <x:f>SUM(AK70:AK81)</x:f>
        <x:v>15840642.705715256</x:v>
      </x:c>
      <x:c r="AL108" s="92" t="n">
        <x:f>SUM(AL70:AL81)</x:f>
        <x:v>15946246.990420025</x:v>
      </x:c>
      <x:c r="AM108" s="92" t="n">
        <x:f>SUM(AM70:AM81)</x:f>
        <x:v>16052555.303689491</x:v>
      </x:c>
      <x:c r="AN108" s="92" t="n">
        <x:f>SUM(AN70:AN81)</x:f>
        <x:v>15446291.481505087</x:v>
      </x:c>
      <x:c r="AO108" s="92" t="n">
        <x:f>SUM(AO70:AO81)</x:f>
        <x:v>14694055.667239932</x:v>
      </x:c>
      <x:c r="AP108" s="92" t="n">
        <x:f>SUM(AP70:AP81)</x:f>
        <x:v>13796084.611350622</x:v>
      </x:c>
      <x:c r="AQ108" s="92" t="n">
        <x:f>SUM(AQ70:AQ81)</x:f>
        <x:v>12750196.848489195</x:v>
      </x:c>
      <x:c r="AR108" s="92" t="n">
        <x:f>SUM(AR70:AR81)</x:f>
        <x:v>11555406.267275842</x:v>
      </x:c>
      <x:c r="AS108" s="92" t="n">
        <x:f>SUM(AS70:AS81)</x:f>
        <x:v>10210720.182254873</x:v>
      </x:c>
      <x:c r="AT108" s="92" t="n">
        <x:f>SUM(AT70:AT81)</x:f>
        <x:v>8717559.084208515</x:v>
      </x:c>
      <x:c r="AU108" s="92" t="n">
        <x:f>SUM(AU70:AU81)</x:f>
        <x:v>7214443.578841843</x:v>
      </x:c>
      <x:c r="AV108" s="92" t="n">
        <x:f>SUM(AV70:AV81)</x:f>
        <x:v>5285474.987220822</x:v>
      </x:c>
      <x:c r="AW108" s="92" t="n">
        <x:f>SUM(AW70:AW81)</x:f>
        <x:v>3226658.8651754865</x:v>
      </x:c>
      <x:c r="AX108" s="92" t="n">
        <x:f>SUM(AX70:AX81)</x:f>
        <x:v>1386789.8158676426</x:v>
      </x:c>
      <x:c r="AY108" s="92" t="n">
        <x:f>SUM(AY70:AY81)</x:f>
        <x:v>0</x:v>
      </x:c>
      <x:c r="AZ108" s="92" t="n">
        <x:f>SUM(AZ70:AZ81)</x:f>
        <x:v>0</x:v>
      </x:c>
      <x:c r="BA108" s="92" t="n">
        <x:f>SUM(BA70:BA81)</x:f>
        <x:v>0</x:v>
      </x:c>
      <x:c r="BB108" s="92" t="n">
        <x:f>SUM(BB70:BB81)</x:f>
        <x:v>0</x:v>
      </x:c>
      <x:c r="BC108" s="92" t="n">
        <x:f>SUM(BC70:BC81)</x:f>
        <x:v>0</x:v>
      </x:c>
      <x:c r="BD108" s="92" t="n">
        <x:f>SUM(BD70:BD81)</x:f>
        <x:v>0</x:v>
      </x:c>
      <x:c r="BE108" s="92" t="n">
        <x:f>SUM(BE70:BE81)</x:f>
        <x:v>0</x:v>
      </x:c>
      <x:c r="BF108" s="92" t="n">
        <x:f>SUM(BF70:BF81)</x:f>
        <x:v>0</x:v>
      </x:c>
      <x:c r="BG108" s="92" t="n">
        <x:f>SUM(BG70:BG81)</x:f>
        <x:v>0</x:v>
      </x:c>
      <x:c r="BH108" s="92" t="n">
        <x:f>SUM(BH70:BH81)</x:f>
        <x:v>0</x:v>
      </x:c>
      <x:c r="BI108" s="92" t="n">
        <x:f>SUM(BI70:BI81)</x:f>
        <x:v>0</x:v>
      </x:c>
    </x:row>
    <x:row r="109">
      <x:c r="A109" s="85" t="str">
        <x:v>留购款</x:v>
      </x:c>
      <x:c r="B109" s="28" t="n">
        <x:f>SUM(B86:B97)</x:f>
        <x:v>0</x:v>
      </x:c>
      <x:c r="C109" s="28" t="n">
        <x:f>SUM(C86:C97)</x:f>
        <x:v>0</x:v>
      </x:c>
      <x:c r="D109" s="28" t="n">
        <x:f>SUM(D86:D97)</x:f>
        <x:v>0</x:v>
      </x:c>
      <x:c r="E109" s="28" t="n">
        <x:f>SUM(E86:E97)</x:f>
        <x:v>0</x:v>
      </x:c>
      <x:c r="F109" s="28" t="n">
        <x:f>SUM(F86:F97)</x:f>
        <x:v>0</x:v>
      </x:c>
      <x:c r="G109" s="28" t="n">
        <x:f>SUM(G86:G97)</x:f>
        <x:v>0</x:v>
      </x:c>
      <x:c r="H109" s="28" t="n">
        <x:f>SUM(H86:H97)</x:f>
        <x:v>0</x:v>
      </x:c>
      <x:c r="I109" s="28" t="n">
        <x:f>SUM(I86:I97)</x:f>
        <x:v>0</x:v>
      </x:c>
      <x:c r="J109" s="28" t="n">
        <x:f>SUM(J86:J97)</x:f>
        <x:v>0</x:v>
      </x:c>
      <x:c r="K109" s="28" t="n">
        <x:f>SUM(K86:K97)</x:f>
        <x:v>0</x:v>
      </x:c>
      <x:c r="L109" s="28" t="n">
        <x:f>SUM(L86:L97)</x:f>
        <x:v>0</x:v>
      </x:c>
      <x:c r="M109" s="28" t="n">
        <x:f>SUM(M86:M97)</x:f>
        <x:v>0</x:v>
      </x:c>
      <x:c r="N109" s="28" t="n">
        <x:f>SUM(N86:N97)</x:f>
        <x:v>0</x:v>
      </x:c>
      <x:c r="O109" s="28" t="n">
        <x:f>SUM(O86:O97)</x:f>
        <x:v>0</x:v>
      </x:c>
      <x:c r="P109" s="28" t="n">
        <x:f>SUM(P86:P97)</x:f>
        <x:v>0</x:v>
      </x:c>
      <x:c r="Q109" s="28" t="n">
        <x:f>SUM(Q86:Q97)</x:f>
        <x:v>0</x:v>
      </x:c>
      <x:c r="R109" s="28" t="n">
        <x:f>SUM(R86:R97)</x:f>
        <x:v>0</x:v>
      </x:c>
      <x:c r="S109" s="28" t="n">
        <x:f>SUM(S86:S97)</x:f>
        <x:v>0</x:v>
      </x:c>
      <x:c r="T109" s="28" t="n">
        <x:f>SUM(T86:T97)</x:f>
        <x:v>0</x:v>
      </x:c>
      <x:c r="U109" s="28" t="n">
        <x:f>SUM(U86:U97)</x:f>
        <x:v>0</x:v>
      </x:c>
      <x:c r="V109" s="28" t="n">
        <x:f>SUM(V86:V97)</x:f>
        <x:v>0</x:v>
      </x:c>
      <x:c r="W109" s="28" t="n">
        <x:f>SUM(W86:W97)</x:f>
        <x:v>0</x:v>
      </x:c>
      <x:c r="X109" s="28" t="n">
        <x:f>SUM(X86:X97)</x:f>
        <x:v>0</x:v>
      </x:c>
      <x:c r="Y109" s="28" t="n">
        <x:f>SUM(Y86:Y97)</x:f>
        <x:v>0</x:v>
      </x:c>
      <x:c r="Z109" s="28" t="n">
        <x:f>SUM(Z86:Z97)</x:f>
        <x:v>0</x:v>
      </x:c>
      <x:c r="AA109" s="28" t="n">
        <x:f>SUM(AA86:AA97)</x:f>
        <x:v>0</x:v>
      </x:c>
      <x:c r="AB109" s="28" t="n">
        <x:f>SUM(AB86:AB97)</x:f>
        <x:v>0</x:v>
      </x:c>
      <x:c r="AC109" s="28" t="n">
        <x:f>SUM(AC86:AC97)</x:f>
        <x:v>0</x:v>
      </x:c>
      <x:c r="AD109" s="28" t="n">
        <x:f>SUM(AD86:AD97)</x:f>
        <x:v>0</x:v>
      </x:c>
      <x:c r="AE109" s="28" t="n">
        <x:f>SUM(AE86:AE97)</x:f>
        <x:v>0</x:v>
      </x:c>
      <x:c r="AF109" s="28" t="n">
        <x:f>SUM(AF86:AF97)</x:f>
        <x:v>0</x:v>
      </x:c>
      <x:c r="AG109" s="28" t="n">
        <x:f>SUM(AG86:AG97)</x:f>
        <x:v>0</x:v>
      </x:c>
      <x:c r="AH109" s="28" t="n">
        <x:f>SUM(AH86:AH97)</x:f>
        <x:v>0</x:v>
      </x:c>
      <x:c r="AI109" s="28" t="n">
        <x:f>SUM(AI86:AI97)</x:f>
        <x:v>0</x:v>
      </x:c>
      <x:c r="AJ109" s="28" t="n">
        <x:f>SUM(AJ86:AJ97)</x:f>
        <x:v>0</x:v>
      </x:c>
      <x:c r="AK109" s="28" t="n">
        <x:f>SUM(AK86:AK97)</x:f>
        <x:v>0</x:v>
      </x:c>
      <x:c r="AL109" s="92" t="n">
        <x:f>SUM(AL86:AL97)</x:f>
        <x:v>0</x:v>
      </x:c>
      <x:c r="AM109" s="92" t="n">
        <x:f>SUM(AM86:AM97)</x:f>
        <x:v>229920</x:v>
      </x:c>
      <x:c r="AN109" s="92" t="n">
        <x:f>SUM(AN86:AN97)</x:f>
        <x:v>275670</x:v>
      </x:c>
      <x:c r="AO109" s="92" t="n">
        <x:f>SUM(AO86:AO97)</x:f>
        <x:v>321030</x:v>
      </x:c>
      <x:c r="AP109" s="92" t="n">
        <x:f>SUM(AP86:AP97)</x:f>
        <x:v>366780</x:v>
      </x:c>
      <x:c r="AQ109" s="92" t="n">
        <x:f>SUM(AQ86:AQ97)</x:f>
        <x:v>412530</x:v>
      </x:c>
      <x:c r="AR109" s="92" t="n">
        <x:f>SUM(AR86:AR97)</x:f>
        <x:v>458280</x:v>
      </x:c>
      <x:c r="AS109" s="92" t="n">
        <x:f>SUM(AS86:AS97)</x:f>
        <x:v>503250</x:v>
      </x:c>
      <x:c r="AT109" s="92" t="n">
        <x:f>SUM(AT86:AT97)</x:f>
        <x:v>503250</x:v>
      </x:c>
      <x:c r="AU109" s="92" t="n">
        <x:f>SUM(AU86:AU97)</x:f>
        <x:v>637290</x:v>
      </x:c>
      <x:c r="AV109" s="92" t="n">
        <x:f>SUM(AV86:AV97)</x:f>
        <x:v>675000</x:v>
      </x:c>
      <x:c r="AW109" s="92" t="n">
        <x:f>SUM(AW86:AW97)</x:f>
        <x:v>600000</x:v>
      </x:c>
      <x:c r="AX109" s="92" t="n">
        <x:f>SUM(AX86:AX97)</x:f>
        <x:v>450000</x:v>
      </x:c>
      <x:c r="AY109" s="92" t="n">
        <x:f>SUM(AY86:AY97)</x:f>
        <x:v>0</x:v>
      </x:c>
      <x:c r="AZ109" s="92" t="n">
        <x:f>SUM(AZ86:AZ97)</x:f>
        <x:v>0</x:v>
      </x:c>
      <x:c r="BA109" s="92" t="n">
        <x:f>SUM(BA86:BA97)</x:f>
        <x:v>0</x:v>
      </x:c>
      <x:c r="BB109" s="92" t="n">
        <x:f>SUM(BB86:BB97)</x:f>
        <x:v>0</x:v>
      </x:c>
      <x:c r="BC109" s="92" t="n">
        <x:f>SUM(BC86:BC97)</x:f>
        <x:v>0</x:v>
      </x:c>
      <x:c r="BD109" s="92" t="n">
        <x:f>SUM(BD86:BD97)</x:f>
        <x:v>0</x:v>
      </x:c>
      <x:c r="BE109" s="92" t="n">
        <x:f>SUM(BE86:BE97)</x:f>
        <x:v>0</x:v>
      </x:c>
      <x:c r="BF109" s="92" t="n">
        <x:f>SUM(BF86:BF97)</x:f>
        <x:v>0</x:v>
      </x:c>
      <x:c r="BG109" s="92" t="n">
        <x:f>SUM(BG86:BG97)</x:f>
        <x:v>0</x:v>
      </x:c>
      <x:c r="BH109" s="92" t="n">
        <x:f>SUM(BH86:BH97)</x:f>
        <x:v>0</x:v>
      </x:c>
      <x:c r="BI109" s="92" t="n">
        <x:f>SUM(BI86:BI97)</x:f>
        <x:v>0</x:v>
      </x:c>
    </x:row>
    <x:row r="110">
      <x:c r="A110" s="85" t="str">
        <x:v>债务支付</x:v>
      </x:c>
      <x:c r="B110" s="28" t="n">
        <x:f>SUM(B38:B49)</x:f>
        <x:v>0</x:v>
      </x:c>
      <x:c r="C110" s="28" t="n">
        <x:f>SUM(C38:C49)</x:f>
        <x:v>0</x:v>
      </x:c>
      <x:c r="D110" s="28" t="n">
        <x:f>SUM(D38:D49)</x:f>
        <x:v>714813.6575423323</x:v>
      </x:c>
      <x:c r="E110" s="28" t="n">
        <x:f>SUM(E38:E49)</x:f>
        <x:v>1571862.5483508515</x:v>
      </x:c>
      <x:c r="F110" s="28" t="n">
        <x:f>SUM(F38:F49)</x:f>
        <x:v>2569934.1753550917</x:v>
      </x:c>
      <x:c r="G110" s="28" t="n">
        <x:f>SUM(G38:G49)</x:f>
        <x:v>3710241.035625519</x:v>
      </x:c>
      <x:c r="H110" s="28" t="n">
        <x:f>SUM(H38:H49)</x:f>
        <x:v>4992783.129162134</x:v>
      </x:c>
      <x:c r="I110" s="28" t="n">
        <x:f>SUM(I38:I49)</x:f>
        <x:v>6417560.455964935</x:v>
      </x:c>
      <x:c r="J110" s="28" t="n">
        <x:f>SUM(J38:J49)</x:f>
        <x:v>7982148.021892991</x:v>
      </x:c>
      <x:c r="K110" s="28" t="n">
        <x:f>SUM(K38:K49)</x:f>
        <x:v>9546735.587821048</x:v>
      </x:c>
      <x:c r="L110" s="28" t="n">
        <x:f>SUM(L38:L49)</x:f>
        <x:v>11528049.069967676</x:v>
      </x:c>
      <x:c r="M110" s="28" t="n">
        <x:f>SUM(M38:M49)</x:f>
        <x:v>13626601.691927811</x:v>
      </x:c>
      <x:c r="N110" s="28" t="n">
        <x:f>SUM(N38:N49)</x:f>
        <x:v>15491981.800336821</x:v>
      </x:c>
      <x:c r="O110" s="28" t="n">
        <x:f>SUM(O38:O49)</x:f>
        <x:v>16891016.88164358</x:v>
      </x:c>
      <x:c r="P110" s="28" t="n">
        <x:f>SUM(P38:P49)</x:f>
        <x:v>16891016.88164358</x:v>
      </x:c>
      <x:c r="Q110" s="28" t="n">
        <x:f>SUM(Q38:Q49)</x:f>
        <x:v>16891016.88164358</x:v>
      </x:c>
      <x:c r="R110" s="28" t="n">
        <x:f>SUM(R38:R49)</x:f>
        <x:v>16891016.88164358</x:v>
      </x:c>
      <x:c r="S110" s="28" t="n">
        <x:f>SUM(S38:S49)</x:f>
        <x:v>16891016.88164358</x:v>
      </x:c>
      <x:c r="T110" s="28" t="n">
        <x:f>SUM(T38:T49)</x:f>
        <x:v>16891016.88164358</x:v>
      </x:c>
      <x:c r="U110" s="28" t="n">
        <x:f>SUM(U38:U49)</x:f>
        <x:v>16891016.88164358</x:v>
      </x:c>
      <x:c r="V110" s="28" t="n">
        <x:f>SUM(V38:V49)</x:f>
        <x:v>16891016.88164358</x:v>
      </x:c>
      <x:c r="W110" s="28" t="n">
        <x:f>SUM(W38:W49)</x:f>
        <x:v>16891016.88164358</x:v>
      </x:c>
      <x:c r="X110" s="28" t="n">
        <x:f>SUM(X38:X49)</x:f>
        <x:v>16891016.88164358</x:v>
      </x:c>
      <x:c r="Y110" s="28" t="n">
        <x:f>SUM(Y38:Y49)</x:f>
        <x:v>16891016.88164358</x:v>
      </x:c>
      <x:c r="Z110" s="28" t="n">
        <x:f>SUM(Z38:Z49)</x:f>
        <x:v>16891016.88164358</x:v>
      </x:c>
      <x:c r="AA110" s="28" t="n">
        <x:f>SUM(AA38:AA49)</x:f>
        <x:v>16891016.88164358</x:v>
      </x:c>
      <x:c r="AB110" s="28" t="n">
        <x:f>SUM(AB38:AB49)</x:f>
        <x:v>16891016.88164358</x:v>
      </x:c>
      <x:c r="AC110" s="28" t="n">
        <x:f>SUM(AC38:AC49)</x:f>
        <x:v>16891016.88164358</x:v>
      </x:c>
      <x:c r="AD110" s="28" t="n">
        <x:f>SUM(AD38:AD49)</x:f>
        <x:v>16891016.88164358</x:v>
      </x:c>
      <x:c r="AE110" s="28" t="n">
        <x:f>SUM(AE38:AE49)</x:f>
        <x:v>16891016.88164358</x:v>
      </x:c>
      <x:c r="AF110" s="28" t="n">
        <x:f>SUM(AF38:AF49)</x:f>
        <x:v>16891016.88164358</x:v>
      </x:c>
      <x:c r="AG110" s="28" t="n">
        <x:f>SUM(AG38:AG49)</x:f>
        <x:v>16891016.88164358</x:v>
      </x:c>
      <x:c r="AH110" s="28" t="n">
        <x:f>SUM(AH38:AH49)</x:f>
        <x:v>16891016.88164358</x:v>
      </x:c>
      <x:c r="AI110" s="28" t="n">
        <x:f>SUM(AI38:AI49)</x:f>
        <x:v>16891016.88164358</x:v>
      </x:c>
      <x:c r="AJ110" s="28" t="n">
        <x:f>SUM(AJ38:AJ49)</x:f>
        <x:v>16891016.88164358</x:v>
      </x:c>
      <x:c r="AK110" s="28" t="n">
        <x:f>SUM(AK38:AK49)</x:f>
        <x:v>16891016.88164358</x:v>
      </x:c>
      <x:c r="AL110" s="92" t="n">
        <x:f>SUM(AL38:AL49)</x:f>
        <x:v>16891016.88164358</x:v>
      </x:c>
      <x:c r="AM110" s="92" t="n">
        <x:f>SUM(AM38:AM49)</x:f>
        <x:v>17120936.88164358</x:v>
      </x:c>
      <x:c r="AN110" s="92" t="n">
        <x:f>SUM(AN38:AN49)</x:f>
        <x:v>16451873.22410125</x:v>
      </x:c>
      <x:c r="AO110" s="92" t="n">
        <x:f>SUM(AO38:AO49)</x:f>
        <x:v>15640184.333292726</x:v>
      </x:c>
      <x:c r="AP110" s="92" t="n">
        <x:f>SUM(AP38:AP49)</x:f>
        <x:v>14687862.706288487</x:v>
      </x:c>
      <x:c r="AQ110" s="92" t="n">
        <x:f>SUM(AQ38:AQ49)</x:f>
        <x:v>13593305.846018061</x:v>
      </x:c>
      <x:c r="AR110" s="92" t="n">
        <x:f>SUM(AR38:AR49)</x:f>
        <x:v>12356513.752481446</x:v>
      </x:c>
      <x:c r="AS110" s="92" t="n">
        <x:f>SUM(AS38:AS49)</x:f>
        <x:v>10976706.425678644</x:v>
      </x:c>
      <x:c r="AT110" s="92" t="n">
        <x:f>SUM(AT38:AT49)</x:f>
        <x:v>9412118.859750587</x:v>
      </x:c>
      <x:c r="AU110" s="92" t="n">
        <x:f>SUM(AU38:AU49)</x:f>
        <x:v>7981571.2938225325</x:v>
      </x:c>
      <x:c r="AV110" s="92" t="n">
        <x:f>SUM(AV38:AV49)</x:f>
        <x:v>6037967.811675902</x:v>
      </x:c>
      <x:c r="AW110" s="92" t="n">
        <x:f>SUM(AW38:AW49)</x:f>
        <x:v>3864415.1897157663</x:v>
      </x:c>
      <x:c r="AX110" s="92" t="n">
        <x:f>SUM(AX38:AX49)</x:f>
        <x:v>1849035.081306757</x:v>
      </x:c>
      <x:c r="AY110" s="92" t="n">
        <x:f>SUM(AY38:AY49)</x:f>
        <x:v>0</x:v>
      </x:c>
      <x:c r="AZ110" s="92" t="n">
        <x:f>SUM(AZ38:AZ49)</x:f>
        <x:v>0</x:v>
      </x:c>
      <x:c r="BA110" s="92" t="n">
        <x:f>SUM(BA38:BA49)</x:f>
        <x:v>0</x:v>
      </x:c>
      <x:c r="BB110" s="92" t="n">
        <x:f>SUM(BB38:BB49)</x:f>
        <x:v>0</x:v>
      </x:c>
      <x:c r="BC110" s="92" t="n">
        <x:f>SUM(BC38:BC49)</x:f>
        <x:v>0</x:v>
      </x:c>
      <x:c r="BD110" s="92" t="n">
        <x:f>SUM(BD38:BD49)</x:f>
        <x:v>0</x:v>
      </x:c>
      <x:c r="BE110" s="92" t="n">
        <x:f>SUM(BE38:BE49)</x:f>
        <x:v>0</x:v>
      </x:c>
      <x:c r="BF110" s="92" t="n">
        <x:f>SUM(BF38:BF49)</x:f>
        <x:v>0</x:v>
      </x:c>
      <x:c r="BG110" s="92" t="n">
        <x:f>SUM(BG38:BG49)</x:f>
        <x:v>0</x:v>
      </x:c>
      <x:c r="BH110" s="92" t="n">
        <x:f>SUM(BH38:BH49)</x:f>
        <x:v>0</x:v>
      </x:c>
      <x:c r="BI110" s="92" t="n">
        <x:f>SUM(BI38:BI49)</x:f>
        <x:v>0</x:v>
      </x:c>
    </x:row>
    <x:row r="111">
      <x:c r="A111" s="85" t="str">
        <x:v>期末租赁余额</x:v>
      </x:c>
      <x:c r="B111" s="28" t="n">
        <x:f>SUM(B22:B33)</x:f>
        <x:v>0</x:v>
      </x:c>
      <x:c r="C111" s="28" t="n">
        <x:f>SUM(C22:C33)</x:f>
        <x:v>22992000</x:v>
      </x:c>
      <x:c r="D111" s="28" t="n">
        <x:f>SUM(D22:D33)</x:f>
        <x:v>49997466.34245767</x:v>
      </x:c>
      <x:c r="E111" s="28" t="n">
        <x:f>SUM(E22:E33)</x:f>
        <x:v>80861920.23638988</x:v>
      </x:c>
      <x:c r="F111" s="28" t="n">
        <x:f>SUM(F22:F33)</x:f>
        <x:v>115509065.52927738</x:v>
      </x:c>
      <x:c r="G111" s="28" t="n">
        <x:f>SUM(G22:G33)</x:f>
        <x:v>153821884.9305137</x:v>
      </x:c>
      <x:c r="H111" s="28" t="n">
        <x:f>SUM(H22:H33)</x:f>
        <x:v>195682581.03422168</x:v>
      </x:c>
      <x:c r="I111" s="28" t="n">
        <x:f>SUM(I22:I33)</x:f>
        <x:v>240894571.11848488</x:v>
      </x:c>
      <x:c r="J111" s="28" t="n">
        <x:f>SUM(J22:J33)</x:f>
        <x:v>284843386.90404844</x:v>
      </x:c>
      <x:c r="K111" s="28" t="n">
        <x:f>SUM(K22:K33)</x:f>
        <x:v>340924607.22892106</x:v>
      </x:c>
      <x:c r="L111" s="28" t="n">
        <x:f>SUM(L22:L33)</x:f>
        <x:v>399169388.87381285</x:v>
      </x:c>
      <x:c r="M111" s="28" t="n">
        <x:f>SUM(M22:M33)</x:f>
        <x:v>448203916.44104385</x:v>
      </x:c>
      <x:c r="N111" s="28" t="n">
        <x:f>SUM(N22:N33)</x:f>
        <x:v>480699960.75031394</x:v>
      </x:c>
      <x:c r="O111" s="28" t="n">
        <x:f>SUM(O22:O33)</x:f>
        <x:v>467013610.27367246</x:v>
      </x:c>
      <x:c r="P111" s="28" t="n">
        <x:f>SUM(P22:P33)</x:f>
        <x:v>453236017.46052</x:v>
      </x:c>
      <x:c r="Q111" s="28" t="n">
        <x:f>SUM(Q22:Q33)</x:f>
        <x:v>439366574.0286132</x:v>
      </x:c>
      <x:c r="R111" s="28" t="n">
        <x:f>SUM(R22:R33)</x:f>
        <x:v>425404667.6404938</x:v>
      </x:c>
      <x:c r="S111" s="28" t="n">
        <x:f>SUM(S22:S33)</x:f>
        <x:v>411349681.87645346</x:v>
      </x:c>
      <x:c r="T111" s="28" t="n">
        <x:f>SUM(T22:T33)</x:f>
        <x:v>397200996.20731956</x:v>
      </x:c>
      <x:c r="U111" s="28" t="n">
        <x:f>SUM(U22:U33)</x:f>
        <x:v>382957985.9670582</x:v>
      </x:c>
      <x:c r="V111" s="28" t="n">
        <x:f>SUM(V22:V33)</x:f>
        <x:v>368620022.32519495</x:v>
      </x:c>
      <x:c r="W111" s="28" t="n">
        <x:f>SUM(W22:W33)</x:f>
        <x:v>354186472.25905263</x:v>
      </x:c>
      <x:c r="X111" s="28" t="n">
        <x:f>SUM(X22:X33)</x:f>
        <x:v>339656698.5258028</x:v>
      </x:c>
      <x:c r="Y111" s="28" t="n">
        <x:f>SUM(Y22:Y33)</x:f>
        <x:v>325030059.63433117</x:v>
      </x:c>
      <x:c r="Z111" s="28" t="n">
        <x:f>SUM(Z22:Z33)</x:f>
        <x:v>310305909.81691647</x:v>
      </x:c>
      <x:c r="AA111" s="28" t="n">
        <x:f>SUM(AA22:AA33)</x:f>
        <x:v>295483599.0007191</x:v>
      </x:c>
      <x:c r="AB111" s="28" t="n">
        <x:f>SUM(AB22:AB33)</x:f>
        <x:v>280562472.7790803</x:v>
      </x:c>
      <x:c r="AC111" s="28" t="n">
        <x:f>SUM(AC22:AC33)</x:f>
        <x:v>265541872.38263056</x:v>
      </x:c>
      <x:c r="AD111" s="28" t="n">
        <x:f>SUM(AD22:AD33)</x:f>
        <x:v>250421134.6502045</x:v>
      </x:c>
      <x:c r="AE111" s="28" t="n">
        <x:f>SUM(AE22:AE33)</x:f>
        <x:v>235199591.99956226</x:v>
      </x:c>
      <x:c r="AF111" s="28" t="n">
        <x:f>SUM(AF22:AF33)</x:f>
        <x:v>219876572.3979158</x:v>
      </x:c>
      <x:c r="AG111" s="28" t="n">
        <x:f>SUM(AG22:AG33)</x:f>
        <x:v>204451399.33225828</x:v>
      </x:c>
      <x:c r="AH111" s="28" t="n">
        <x:f>SUM(AH22:AH33)</x:f>
        <x:v>188923391.77949646</x:v>
      </x:c>
      <x:c r="AI111" s="28" t="n">
        <x:f>SUM(AI22:AI33)</x:f>
        <x:v>173291864.17638287</x:v>
      </x:c>
      <x:c r="AJ111" s="28" t="n">
        <x:f>SUM(AJ22:AJ33)</x:f>
        <x:v>157556126.3892485</x:v>
      </x:c>
      <x:c r="AK111" s="28" t="n">
        <x:f>SUM(AK22:AK33)</x:f>
        <x:v>141715483.68353325</x:v>
      </x:c>
      <x:c r="AL111" s="92" t="n">
        <x:f>SUM(AL22:AL33)</x:f>
        <x:v>125769236.69311321</x:v>
      </x:c>
      <x:c r="AM111" s="92" t="n">
        <x:f>SUM(AM22:AM33)</x:f>
        <x:v>109486761.389424</x:v>
      </x:c>
      <x:c r="AN111" s="92" t="n">
        <x:f>SUM(AN22:AN33)</x:f>
        <x:v>93764799.90791923</x:v>
      </x:c>
      <x:c r="AO111" s="92" t="n">
        <x:f>SUM(AO22:AO33)</x:f>
        <x:v>78749714.24067967</x:v>
      </x:c>
      <x:c r="AP111" s="92" t="n">
        <x:f>SUM(AP22:AP33)</x:f>
        <x:v>64586849.62932944</x:v>
      </x:c>
      <x:c r="AQ111" s="92" t="n">
        <x:f>SUM(AQ22:AQ33)</x:f>
        <x:v>51424122.78084072</x:v>
      </x:c>
      <x:c r="AR111" s="92" t="n">
        <x:f>SUM(AR22:AR33)</x:f>
        <x:v>39410436.51356539</x:v>
      </x:c>
      <x:c r="AS111" s="92" t="n">
        <x:f>SUM(AS22:AS33)</x:f>
        <x:v>28696466.331311077</x:v>
      </x:c>
      <x:c r="AT111" s="92" t="n">
        <x:f>SUM(AT22:AT33)</x:f>
        <x:v>19475657.24710313</x:v>
      </x:c>
      <x:c r="AU111" s="92" t="n">
        <x:f>SUM(AU22:AU33)</x:f>
        <x:v>11623923.668261986</x:v>
      </x:c>
      <x:c r="AV111" s="92" t="n">
        <x:f>SUM(AV22:AV33)</x:f>
        <x:v>5663448.681041942</x:v>
      </x:c>
      <x:c r="AW111" s="92" t="n">
        <x:f>SUM(AW22:AW33)</x:f>
        <x:v>1836789.8158671432</x:v>
      </x:c>
      <x:c r="AX111" s="92" t="n">
        <x:f>SUM(AX22:AX33)</x:f>
        <x:v>0</x:v>
      </x:c>
      <x:c r="AY111" s="92" t="n">
        <x:f>SUM(AY22:AY33)</x:f>
        <x:v>0</x:v>
      </x:c>
      <x:c r="AZ111" s="92" t="n">
        <x:f>SUM(AZ22:AZ33)</x:f>
        <x:v>0</x:v>
      </x:c>
      <x:c r="BA111" s="92" t="n">
        <x:f>SUM(BA22:BA33)</x:f>
        <x:v>0</x:v>
      </x:c>
      <x:c r="BB111" s="92" t="n">
        <x:f>SUM(BB22:BB33)</x:f>
        <x:v>0</x:v>
      </x:c>
      <x:c r="BC111" s="92" t="n">
        <x:f>SUM(BC22:BC33)</x:f>
        <x:v>0</x:v>
      </x:c>
      <x:c r="BD111" s="92" t="n">
        <x:f>SUM(BD22:BD33)</x:f>
        <x:v>0</x:v>
      </x:c>
      <x:c r="BE111" s="92" t="n">
        <x:f>SUM(BE22:BE33)</x:f>
        <x:v>0</x:v>
      </x:c>
      <x:c r="BF111" s="92" t="n">
        <x:f>SUM(BF22:BF33)</x:f>
        <x:v>0</x:v>
      </x:c>
      <x:c r="BG111" s="92" t="n">
        <x:f>SUM(BG22:BG33)</x:f>
        <x:v>0</x:v>
      </x:c>
      <x:c r="BH111" s="92" t="n">
        <x:f>SUM(BH22:BH33)</x:f>
        <x:v>0</x:v>
      </x:c>
      <x:c r="BI111" s="92" t="n">
        <x:f>SUM(BI22:BI33)</x:f>
        <x:v>0</x:v>
      </x:c>
    </x:row>
    <x:row r="112">
      <x:c r="A112" s="85" t="str">
        <x:v>CFADS</x:v>
      </x:c>
      <x:c r="B112" s="28" t="n">
        <x:f>'36月运营模型'!B$20</x:f>
        <x:v>1146839.7707964361</x:v>
      </x:c>
      <x:c r="C112" s="28" t="n">
        <x:f>'36月运营模型'!C$20</x:f>
        <x:v>2734363.34240817</x:v>
      </x:c>
      <x:c r="D112" s="28" t="n">
        <x:f>'36月运营模型'!D$20</x:f>
        <x:v>4914590.052996239</x:v>
      </x:c>
      <x:c r="E112" s="28" t="n">
        <x:f>'36月运营模型'!E$20</x:f>
        <x:v>8291092.653173627</x:v>
      </x:c>
      <x:c r="F112" s="28" t="n">
        <x:f>'36月运营模型'!F$20</x:f>
        <x:v>10618908.976070045</x:v>
      </x:c>
      <x:c r="G112" s="28" t="n">
        <x:f>'36月运营模型'!G$20</x:f>
        <x:v>11534197.468221288</x:v>
      </x:c>
      <x:c r="H112" s="28" t="n">
        <x:f>'36月运营模型'!H$20</x:f>
        <x:v>15496969.676168516</x:v>
      </x:c>
      <x:c r="I112" s="28" t="n">
        <x:f>'36月运营模型'!I$20</x:f>
        <x:v>19207920.148341417</x:v>
      </x:c>
      <x:c r="J112" s="28" t="n">
        <x:f>'36月运营模型'!J$20</x:f>
        <x:v>23197229.345994864</x:v>
      </x:c>
      <x:c r="K112" s="28" t="n">
        <x:f>'36月运营模型'!K$20</x:f>
        <x:v>28474939.36901924</x:v>
      </x:c>
      <x:c r="L112" s="28" t="n">
        <x:f>'36月运营模型'!L$20</x:f>
        <x:v>33964347.37888459</x:v>
      </x:c>
      <x:c r="M112" s="28" t="n">
        <x:f>'36月运营模型'!M$20</x:f>
        <x:v>38128391.21479805</x:v>
      </x:c>
      <x:c r="N112" s="28" t="n">
        <x:f>'36月运营模型'!N$20</x:f>
        <x:v>36805911.044093624</x:v>
      </x:c>
      <x:c r="O112" s="28" t="n">
        <x:f>'36月运营模型'!O$20</x:f>
        <x:v>36528862.121232405</x:v>
      </x:c>
      <x:c r="P112" s="28" t="n">
        <x:f>'36月运营模型'!P$20</x:f>
        <x:v>37677258.72289318</x:v>
      </x:c>
      <x:c r="Q112" s="28" t="n">
        <x:f>'36月运营模型'!Q$20</x:f>
        <x:v>41904651.5766983</x:v>
      </x:c>
      <x:c r="R112" s="28" t="n">
        <x:f>'36月运营模型'!R$20</x:f>
        <x:v>38307752.438925125</x:v>
      </x:c>
      <x:c r="S112" s="28" t="n">
        <x:f>'36月运营模型'!S$20</x:f>
        <x:v>32453499.299338046</x:v>
      </x:c>
      <x:c r="T112" s="28" t="n">
        <x:f>'36月运营模型'!T$20</x:f>
        <x:v>33042579.26688383</x:v>
      </x:c>
      <x:c r="U112" s="28" t="n">
        <x:f>'36月运营模型'!U$20</x:f>
        <x:v>33469106.374527637</x:v>
      </x:c>
      <x:c r="V112" s="28" t="n">
        <x:f>'36月运营模型'!V$20</x:f>
        <x:v>34350998.587286934</x:v>
      </x:c>
      <x:c r="W112" s="28" t="n">
        <x:f>'36月运营模型'!W$20</x:f>
        <x:v>36946852.69108504</x:v>
      </x:c>
      <x:c r="X112" s="28" t="n">
        <x:f>'36月运营模型'!X$20</x:f>
        <x:v>39567040.28295036</x:v>
      </x:c>
      <x:c r="Y112" s="28" t="n">
        <x:f>'36月运营模型'!Y$20</x:f>
        <x:v>40945437.301114745</x:v>
      </x:c>
      <x:c r="Z112" s="28" t="n">
        <x:f>'36月运营模型'!Z$20</x:f>
        <x:v>38227992.35988121</x:v>
      </x:c>
      <x:c r="AA112" s="28" t="n">
        <x:f>'36月运营模型'!AA$20</x:f>
        <x:v>37202222.345689386</x:v>
      </x:c>
      <x:c r="AB112" s="28" t="n">
        <x:f>'36月运营模型'!AB$20</x:f>
        <x:v>37950502.33973929</x:v>
      </x:c>
      <x:c r="AC112" s="28" t="n">
        <x:f>'36月运营模型'!AC$20</x:f>
        <x:v>41980215.965436086</x:v>
      </x:c>
      <x:c r="AD112" s="28" t="n">
        <x:f>'36月运营模型'!AD$20</x:f>
        <x:v>38307752.438925125</x:v>
      </x:c>
      <x:c r="AE112" s="28" t="n">
        <x:f>'36月运营模型'!AE$20</x:f>
        <x:v>31334413.11660225</x:v>
      </x:c>
      <x:c r="AF112" s="28" t="n">
        <x:f>'36月运营模型'!AF$20</x:f>
        <x:v>33042579.26688383</x:v>
      </x:c>
      <x:c r="AG112" s="28" t="n">
        <x:f>'36月运营模型'!AG$20</x:f>
        <x:v>33469106.374527637</x:v>
      </x:c>
      <x:c r="AH112" s="28" t="n">
        <x:f>'36月运营模型'!AH$20</x:f>
        <x:v>34350998.587286934</x:v>
      </x:c>
      <x:c r="AI112" s="28" t="n">
        <x:f>'36月运营模型'!AI$20</x:f>
        <x:v>36946852.69108504</x:v>
      </x:c>
      <x:c r="AJ112" s="28" t="n">
        <x:f>'36月运营模型'!AJ$20</x:f>
        <x:v>39567040.28295036</x:v>
      </x:c>
      <x:c r="AK112" s="28" t="n">
        <x:f>'36月运营模型'!AK$20</x:f>
        <x:v>40945437.301114745</x:v>
      </x:c>
      <x:c r="AL112" s="92" t="n">
        <x:f>'36月运营模型'!AL$20</x:f>
        <x:v>38227992.35988121</x:v>
      </x:c>
      <x:c r="AM112" s="92" t="n">
        <x:f>'36月运营模型'!AM$20</x:f>
        <x:v>37202222.345689386</x:v>
      </x:c>
      <x:c r="AN112" s="92" t="n">
        <x:f>'36月运营模型'!AN$20</x:f>
        <x:v>37950502.33973929</x:v>
      </x:c>
      <x:c r="AO112" s="92" t="n">
        <x:f>'36月运营模型'!AO$20</x:f>
        <x:v>41980215.965436086</x:v>
      </x:c>
      <x:c r="AP112" s="92" t="n">
        <x:f>'36月运营模型'!AP$20</x:f>
        <x:v>38307752.438925125</x:v>
      </x:c>
      <x:c r="AQ112" s="92" t="n">
        <x:f>'36月运营模型'!AQ$20</x:f>
        <x:v>31334413.11660225</x:v>
      </x:c>
      <x:c r="AR112" s="92" t="n">
        <x:f>'36月运营模型'!AR$20</x:f>
        <x:v>33042579.26688383</x:v>
      </x:c>
      <x:c r="AS112" s="92" t="n">
        <x:f>'36月运营模型'!AS$20</x:f>
        <x:v>33469106.374527637</x:v>
      </x:c>
      <x:c r="AT112" s="92" t="n">
        <x:f>'36月运营模型'!AT$20</x:f>
        <x:v>34350998.587286934</x:v>
      </x:c>
      <x:c r="AU112" s="92" t="n">
        <x:f>'36月运营模型'!AU$20</x:f>
        <x:v>36946852.69108504</x:v>
      </x:c>
      <x:c r="AV112" s="92" t="n">
        <x:f>'36月运营模型'!AV$20</x:f>
        <x:v>39567040.28295036</x:v>
      </x:c>
      <x:c r="AW112" s="92" t="n">
        <x:f>'36月运营模型'!AW$20</x:f>
        <x:v>40945437.301114745</x:v>
      </x:c>
      <x:c r="AX112" s="92" t="n">
        <x:f>'36月运营模型'!AX$20</x:f>
        <x:v>38227992.35988121</x:v>
      </x:c>
      <x:c r="AY112" s="92" t="n">
        <x:f>'36月运营模型'!AY$20</x:f>
        <x:v>37202222.345689386</x:v>
      </x:c>
      <x:c r="AZ112" s="92" t="n">
        <x:f>'36月运营模型'!AZ$20</x:f>
        <x:v>37950502.33973929</x:v>
      </x:c>
      <x:c r="BA112" s="92" t="n">
        <x:f>'36月运营模型'!BA$20</x:f>
        <x:v>41980215.965436086</x:v>
      </x:c>
      <x:c r="BB112" s="92" t="n">
        <x:f>'36月运营模型'!BB$20</x:f>
        <x:v>38307752.438925125</x:v>
      </x:c>
      <x:c r="BC112" s="92" t="n">
        <x:f>'36月运营模型'!BC$20</x:f>
        <x:v>31334413.11660225</x:v>
      </x:c>
      <x:c r="BD112" s="92" t="n">
        <x:f>'36月运营模型'!BD$20</x:f>
        <x:v>33042579.26688383</x:v>
      </x:c>
      <x:c r="BE112" s="92" t="n">
        <x:f>'36月运营模型'!BE$20</x:f>
        <x:v>33469106.374527637</x:v>
      </x:c>
      <x:c r="BF112" s="92" t="n">
        <x:f>'36月运营模型'!BF$20</x:f>
        <x:v>34350998.587286934</x:v>
      </x:c>
      <x:c r="BG112" s="92" t="n">
        <x:f>'36月运营模型'!BG$20</x:f>
        <x:v>36946852.69108504</x:v>
      </x:c>
      <x:c r="BH112" s="92" t="n">
        <x:f>'36月运营模型'!BH$20</x:f>
        <x:v>39567040.28295036</x:v>
      </x:c>
      <x:c r="BI112" s="92" t="n">
        <x:f>'36月运营模型'!BI$20</x:f>
        <x:v>40945437.301114745</x:v>
      </x:c>
    </x:row>
    <x:row r="113">
      <x:c r="A113" s="85" t="str">
        <x:v>DSCR</x:v>
      </x:c>
      <x:c r="B113" s="99" t="str">
        <x:f>IF(B110=0,"",B112/B110)</x:f>
      </x:c>
      <x:c r="C113" s="99" t="str">
        <x:f>IF(C110=0,"",C112/C110)</x:f>
      </x:c>
      <x:c r="D113" s="99" t="n">
        <x:f>IF(D110=0,"",D112/D110)</x:f>
        <x:v>6.875344365821927</x:v>
      </x:c>
      <x:c r="E113" s="99" t="n">
        <x:f>IF(E110=0,"",E112/E110)</x:f>
        <x:v>5.274693173313646</x:v>
      </x:c>
      <x:c r="F113" s="99" t="n">
        <x:f>IF(F110=0,"",F112/F110)</x:f>
        <x:v>4.131977028011939</x:v>
      </x:c>
      <x:c r="G113" s="99" t="n">
        <x:f>IF(G110=0,"",G112/G110)</x:f>
        <x:v>3.1087461319818828</x:v>
      </x:c>
      <x:c r="H113" s="99" t="n">
        <x:f>IF(H110=0,"",H112/H110)</x:f>
        <x:v>3.1038739867656036</x:v>
      </x:c>
      <x:c r="I113" s="99" t="n">
        <x:f>IF(I110=0,"",I112/I110)</x:f>
        <x:v>2.993025197057274</x:v>
      </x:c>
      <x:c r="J113" s="99" t="n">
        <x:f>IF(J110=0,"",J112/J110)</x:f>
        <x:v>2.9061387088250927</x:v>
      </x:c>
      <x:c r="K113" s="99" t="n">
        <x:f>IF(K110=0,"",K112/K110)</x:f>
        <x:v>2.9826885962302403</x:v>
      </x:c>
      <x:c r="L113" s="99" t="n">
        <x:f>IF(L110=0,"",L112/L110)</x:f>
        <x:v>2.9462354968081192</x:v>
      </x:c>
      <x:c r="M113" s="99" t="n">
        <x:f>IF(M110=0,"",M112/M110)</x:f>
        <x:v>2.7980851041815304</x:v>
      </x:c>
      <x:c r="N113" s="99" t="n">
        <x:f>IF(N110=0,"",N112/N110)</x:f>
        <x:v>2.3758039170491023</x:v>
      </x:c>
      <x:c r="O113" s="99" t="n">
        <x:f>IF(O110=0,"",O112/O110)</x:f>
        <x:v>2.1626206626393456</x:v>
      </x:c>
      <x:c r="P113" s="99" t="n">
        <x:f>IF(P110=0,"",P112/P110)</x:f>
        <x:v>2.2306092633084265</x:v>
      </x:c>
      <x:c r="Q113" s="99" t="n">
        <x:f>IF(Q110=0,"",Q112/Q110)</x:f>
        <x:v>2.480883884630916</x:v>
      </x:c>
      <x:c r="R113" s="99" t="n">
        <x:f>IF(R110=0,"",R112/R110)</x:f>
        <x:v>2.2679364248671328</x:v>
      </x:c>
      <x:c r="S113" s="99" t="n">
        <x:f>IF(S110=0,"",S112/S110)</x:f>
        <x:v>1.9213466854447998</x:v>
      </x:c>
      <x:c r="T113" s="99" t="n">
        <x:f>IF(T110=0,"",T112/T110)</x:f>
        <x:v>1.9562220260873144</x:v>
      </x:c>
      <x:c r="U113" s="99" t="n">
        <x:f>IF(U110=0,"",U112/U110)</x:f>
        <x:v>1.9814737389138724</x:v>
      </x:c>
      <x:c r="V113" s="99" t="n">
        <x:f>IF(V110=0,"",V112/V110)</x:f>
        <x:v>2.0336844624563786</x:v>
      </x:c>
      <x:c r="W113" s="99" t="n">
        <x:f>IF(W110=0,"",W112/W110)</x:f>
        <x:v>2.187366986249198</x:v>
      </x:c>
      <x:c r="X113" s="99" t="n">
        <x:f>IF(X110=0,"",X112/X110)</x:f>
        <x:v>2.342490127160437</x:v>
      </x:c>
      <x:c r="Y113" s="99" t="n">
        <x:f>IF(Y110=0,"",Y112/Y110)</x:f>
        <x:v>2.4240954578414082</x:v>
      </x:c>
      <x:c r="Z113" s="99" t="n">
        <x:f>IF(Z110=0,"",Z112/Z110)</x:f>
        <x:v>2.2632143835831298</x:v>
      </x:c>
      <x:c r="AA113" s="99" t="n">
        <x:f>IF(AA110=0,"",AA112/AA110)</x:f>
        <x:v>2.202485652957883</x:v>
      </x:c>
      <x:c r="AB113" s="99" t="n">
        <x:f>IF(AB110=0,"",AB112/AB110)</x:f>
        <x:v>2.2467861233968835</x:v>
      </x:c>
      <x:c r="AC113" s="99" t="n">
        <x:f>IF(AC110=0,"",AC112/AC110)</x:f>
        <x:v>2.485357528181643</x:v>
      </x:c>
      <x:c r="AD113" s="99" t="n">
        <x:f>IF(AD110=0,"",AD112/AD110)</x:f>
        <x:v>2.2679364248671328</x:v>
      </x:c>
      <x:c r="AE113" s="99" t="n">
        <x:f>IF(AE110=0,"",AE112/AE110)</x:f>
        <x:v>1.8550933514639445</x:v>
      </x:c>
      <x:c r="AF113" s="99" t="n">
        <x:f>IF(AF110=0,"",AF112/AF110)</x:f>
        <x:v>1.9562220260873144</x:v>
      </x:c>
      <x:c r="AG113" s="99" t="n">
        <x:f>IF(AG110=0,"",AG112/AG110)</x:f>
        <x:v>1.9814737389138724</x:v>
      </x:c>
      <x:c r="AH113" s="99" t="n">
        <x:f>IF(AH110=0,"",AH112/AH110)</x:f>
        <x:v>2.0336844624563786</x:v>
      </x:c>
      <x:c r="AI113" s="99" t="n">
        <x:f>IF(AI110=0,"",AI112/AI110)</x:f>
        <x:v>2.187366986249198</x:v>
      </x:c>
      <x:c r="AJ113" s="99" t="n">
        <x:f>IF(AJ110=0,"",AJ112/AJ110)</x:f>
        <x:v>2.342490127160437</x:v>
      </x:c>
      <x:c r="AK113" s="99" t="n">
        <x:f>IF(AK110=0,"",AK112/AK110)</x:f>
        <x:v>2.4240954578414082</x:v>
      </x:c>
      <x:c r="AL113" s="107" t="n">
        <x:f>IF(AL110=0,"",AL112/AL110)</x:f>
        <x:v>2.2632143835831298</x:v>
      </x:c>
      <x:c r="AM113" s="107" t="n">
        <x:f>IF(AM110=0,"",AM112/AM110)</x:f>
        <x:v>2.1729080950924016</x:v>
      </x:c>
      <x:c r="AN113" s="107" t="n">
        <x:f>IF(AN110=0,"",AN112/AN110)</x:f>
        <x:v>2.3067587394329983</x:v>
      </x:c>
      <x:c r="AO113" s="107" t="n">
        <x:f>IF(AO110=0,"",AO112/AO110)</x:f>
        <x:v>2.684125395892824</x:v>
      </x:c>
      <x:c r="AP113" s="107" t="n">
        <x:f>IF(AP110=0,"",AP112/AP110)</x:f>
        <x:v>2.608122992770349</x:v>
      </x:c>
      <x:c r="AQ113" s="107" t="n">
        <x:f>IF(AQ110=0,"",AQ112/AQ110)</x:f>
        <x:v>2.3051355918531886</x:v>
      </x:c>
      <x:c r="AR113" s="107" t="n">
        <x:f>IF(AR110=0,"",AR112/AR110)</x:f>
        <x:v>2.674102091315861</x:v>
      </x:c>
      <x:c r="AS113" s="107" t="n">
        <x:f>IF(AS110=0,"",AS112/AS110)</x:f>
        <x:v>3.049102807034249</x:v>
      </x:c>
      <x:c r="AT113" s="107" t="n">
        <x:f>IF(AT110=0,"",AT112/AT110)</x:f>
        <x:v>3.6496562675364688</x:v>
      </x:c>
      <x:c r="AU113" s="107" t="n">
        <x:f>IF(AU110=0,"",AU112/AU110)</x:f>
        <x:v>4.629019942436731</x:v>
      </x:c>
      <x:c r="AV113" s="107" t="n">
        <x:f>IF(AV110=0,"",AV112/AV110)</x:f>
        <x:v>6.55303928690009</x:v>
      </x:c>
      <x:c r="AW113" s="107" t="n">
        <x:f>IF(AW110=0,"",AW112/AW110)</x:f>
        <x:v>10.595506769065967</x:v>
      </x:c>
      <x:c r="AX113" s="107" t="n">
        <x:f>IF(AX110=0,"",AX112/AX110)</x:f>
        <x:v>20.674563044452665</x:v>
      </x:c>
      <x:c r="AY113" s="107" t="str">
        <x:f>IF(AY110=0,"",AY112/AY110)</x:f>
      </x:c>
      <x:c r="AZ113" s="107" t="str">
        <x:f>IF(AZ110=0,"",AZ112/AZ110)</x:f>
      </x:c>
      <x:c r="BA113" s="107" t="str">
        <x:f>IF(BA110=0,"",BA112/BA110)</x:f>
      </x:c>
      <x:c r="BB113" s="107" t="str">
        <x:f>IF(BB110=0,"",BB112/BB110)</x:f>
      </x:c>
      <x:c r="BC113" s="107" t="str">
        <x:f>IF(BC110=0,"",BC112/BC110)</x:f>
      </x:c>
      <x:c r="BD113" s="107" t="str">
        <x:f>IF(BD110=0,"",BD112/BD110)</x:f>
      </x:c>
      <x:c r="BE113" s="107" t="str">
        <x:f>IF(BE110=0,"",BE112/BE110)</x:f>
      </x:c>
      <x:c r="BF113" s="107" t="str">
        <x:f>IF(BF110=0,"",BF112/BF110)</x:f>
      </x:c>
      <x:c r="BG113" s="107" t="str">
        <x:f>IF(BG110=0,"",BG112/BG110)</x:f>
      </x:c>
      <x:c r="BH113" s="107" t="str">
        <x:f>IF(BH110=0,"",BH112/BH110)</x:f>
      </x:c>
      <x:c r="BI113" s="107" t="str">
        <x:f>IF(BI110=0,"",BI112/BI110)</x:f>
      </x:c>
    </x:row>
    <x:row r="114">
      <x:c r="A114" s="85" t="str">
        <x:v>项目净现金（不含放款）</x:v>
      </x:c>
      <x:c r="B114" s="28" t="n">
        <x:f>B112-B103-B110</x:f>
        <x:v>1146839.7707964361</x:v>
      </x:c>
      <x:c r="C114" s="28" t="n">
        <x:f>C112-C103-C110</x:f>
        <x:v>-24037636.65759183</x:v>
      </x:c>
      <x:c r="D114" s="28" t="n">
        <x:f>D112-D103-D110</x:f>
        <x:v>-27897223.604546092</x:v>
      </x:c>
      <x:c r="E114" s="28" t="n">
        <x:f>E112-E103-E110</x:f>
        <x:v>-30653769.895177227</x:v>
      </x:c>
      <x:c r="F114" s="28" t="n">
        <x:f>F112-F103-F110</x:f>
        <x:v>-34649025.199285045</x:v>
      </x:c>
      <x:c r="G114" s="28" t="n">
        <x:f>G112-G103-G110</x:f>
        <x:v>-40199043.567404225</x:v>
      </x:c>
      <x:c r="H114" s="28" t="n">
        <x:f>H112-H103-H110</x:f>
        <x:v>-42843813.45299362</x:v>
      </x:c>
      <x:c r="I114" s="28" t="n">
        <x:f>I112-I103-I110</x:f>
        <x:v>-45784640.30762352</x:v>
      </x:c>
      <x:c r="J114" s="28" t="n">
        <x:f>J112-J103-J110</x:f>
        <x:v>-43359918.675898135</x:v>
      </x:c>
      <x:c r="K114" s="28" t="n">
        <x:f>K112-K103-K110</x:f>
        <x:v>-56910796.21880181</x:v>
      </x:c>
      <x:c r="L114" s="28" t="n">
        <x:f>L112-L103-L110</x:f>
        <x:v>-58563701.69108309</x:v>
      </x:c>
      <x:c r="M114" s="28" t="n">
        <x:f>M112-M103-M110</x:f>
        <x:v>-47498210.477129765</x:v>
      </x:c>
      <x:c r="N114" s="28" t="n">
        <x:f>N112-N103-N110</x:f>
        <x:v>-32686070.7562432</x:v>
      </x:c>
      <x:c r="O114" s="28" t="n">
        <x:f>O112-O103-O110</x:f>
        <x:v>19637845.239588827</x:v>
      </x:c>
      <x:c r="P114" s="28" t="n">
        <x:f>P112-P103-P110</x:f>
        <x:v>20786241.8412496</x:v>
      </x:c>
      <x:c r="Q114" s="28" t="n">
        <x:f>Q112-Q103-Q110</x:f>
        <x:v>25013634.695054725</x:v>
      </x:c>
      <x:c r="R114" s="28" t="n">
        <x:f>R112-R103-R110</x:f>
        <x:v>21416735.557281546</x:v>
      </x:c>
      <x:c r="S114" s="28" t="n">
        <x:f>S112-S103-S110</x:f>
        <x:v>15562482.417694468</x:v>
      </x:c>
      <x:c r="T114" s="28" t="n">
        <x:f>T112-T103-T110</x:f>
        <x:v>16151562.385240253</x:v>
      </x:c>
      <x:c r="U114" s="28" t="n">
        <x:f>U112-U103-U110</x:f>
        <x:v>16578089.492884059</x:v>
      </x:c>
      <x:c r="V114" s="28" t="n">
        <x:f>V112-V103-V110</x:f>
        <x:v>17459981.705643356</x:v>
      </x:c>
      <x:c r="W114" s="28" t="n">
        <x:f>W112-W103-W110</x:f>
        <x:v>20055835.809441462</x:v>
      </x:c>
      <x:c r="X114" s="28" t="n">
        <x:f>X112-X103-X110</x:f>
        <x:v>22676023.40130678</x:v>
      </x:c>
      <x:c r="Y114" s="28" t="n">
        <x:f>Y112-Y103-Y110</x:f>
        <x:v>24054420.419471167</x:v>
      </x:c>
      <x:c r="Z114" s="28" t="n">
        <x:f>Z112-Z103-Z110</x:f>
        <x:v>21336975.47823763</x:v>
      </x:c>
      <x:c r="AA114" s="28" t="n">
        <x:f>AA112-AA103-AA110</x:f>
        <x:v>20311205.464045808</x:v>
      </x:c>
      <x:c r="AB114" s="28" t="n">
        <x:f>AB112-AB103-AB110</x:f>
        <x:v>21059485.458095714</x:v>
      </x:c>
      <x:c r="AC114" s="28" t="n">
        <x:f>AC112-AC103-AC110</x:f>
        <x:v>25089199.083792508</x:v>
      </x:c>
      <x:c r="AD114" s="28" t="n">
        <x:f>AD112-AD103-AD110</x:f>
        <x:v>21416735.557281546</x:v>
      </x:c>
      <x:c r="AE114" s="28" t="n">
        <x:f>AE112-AE103-AE110</x:f>
        <x:v>14443396.234958671</x:v>
      </x:c>
      <x:c r="AF114" s="28" t="n">
        <x:f>AF112-AF103-AF110</x:f>
        <x:v>16151562.385240253</x:v>
      </x:c>
      <x:c r="AG114" s="28" t="n">
        <x:f>AG112-AG103-AG110</x:f>
        <x:v>16578089.492884059</x:v>
      </x:c>
      <x:c r="AH114" s="28" t="n">
        <x:f>AH112-AH103-AH110</x:f>
        <x:v>17459981.705643356</x:v>
      </x:c>
      <x:c r="AI114" s="28" t="n">
        <x:f>AI112-AI103-AI110</x:f>
        <x:v>20055835.809441462</x:v>
      </x:c>
      <x:c r="AJ114" s="28" t="n">
        <x:f>AJ112-AJ103-AJ110</x:f>
        <x:v>22676023.40130678</x:v>
      </x:c>
      <x:c r="AK114" s="28" t="n">
        <x:f>AK112-AK103-AK110</x:f>
        <x:v>24054420.419471167</x:v>
      </x:c>
      <x:c r="AL114" s="92" t="n">
        <x:f>AL112-AL103-AL110</x:f>
        <x:v>21336975.47823763</x:v>
      </x:c>
      <x:c r="AM114" s="92" t="n">
        <x:f>AM112-AM103-AM110</x:f>
        <x:v>20081285.464045808</x:v>
      </x:c>
      <x:c r="AN114" s="92" t="n">
        <x:f>AN112-AN103-AN110</x:f>
        <x:v>21498629.115638044</x:v>
      </x:c>
      <x:c r="AO114" s="92" t="n">
        <x:f>AO112-AO103-AO110</x:f>
        <x:v>26340031.63214336</x:v>
      </x:c>
      <x:c r="AP114" s="92" t="n">
        <x:f>AP112-AP103-AP110</x:f>
        <x:v>23619889.732636638</x:v>
      </x:c>
      <x:c r="AQ114" s="92" t="n">
        <x:f>AQ112-AQ103-AQ110</x:f>
        <x:v>17741107.27058419</x:v>
      </x:c>
      <x:c r="AR114" s="92" t="n">
        <x:f>AR112-AR103-AR110</x:f>
        <x:v>20686065.514402386</x:v>
      </x:c>
      <x:c r="AS114" s="92" t="n">
        <x:f>AS112-AS103-AS110</x:f>
        <x:v>22492399.948848993</x:v>
      </x:c>
      <x:c r="AT114" s="92" t="n">
        <x:f>AT112-AT103-AT110</x:f>
        <x:v>24938879.727536347</x:v>
      </x:c>
      <x:c r="AU114" s="92" t="n">
        <x:f>AU112-AU103-AU110</x:f>
        <x:v>28965281.397262506</x:v>
      </x:c>
      <x:c r="AV114" s="92" t="n">
        <x:f>AV112-AV103-AV110</x:f>
        <x:v>33529072.471274454</x:v>
      </x:c>
      <x:c r="AW114" s="92" t="n">
        <x:f>AW112-AW103-AW110</x:f>
        <x:v>37081022.11139898</x:v>
      </x:c>
      <x:c r="AX114" s="92" t="n">
        <x:f>AX112-AX103-AX110</x:f>
        <x:v>36378957.27857445</x:v>
      </x:c>
      <x:c r="AY114" s="92" t="n">
        <x:f>AY112-AY103-AY110</x:f>
        <x:v>37202222.345689386</x:v>
      </x:c>
      <x:c r="AZ114" s="92" t="n">
        <x:f>AZ112-AZ103-AZ110</x:f>
        <x:v>37950502.33973929</x:v>
      </x:c>
      <x:c r="BA114" s="92" t="n">
        <x:f>BA112-BA103-BA110</x:f>
        <x:v>41980215.965436086</x:v>
      </x:c>
      <x:c r="BB114" s="92" t="n">
        <x:f>BB112-BB103-BB110</x:f>
        <x:v>38307752.438925125</x:v>
      </x:c>
      <x:c r="BC114" s="92" t="n">
        <x:f>BC112-BC103-BC110</x:f>
        <x:v>31334413.11660225</x:v>
      </x:c>
      <x:c r="BD114" s="92" t="n">
        <x:f>BD112-BD103-BD110</x:f>
        <x:v>33042579.26688383</x:v>
      </x:c>
      <x:c r="BE114" s="92" t="n">
        <x:f>BE112-BE103-BE110</x:f>
        <x:v>33469106.374527637</x:v>
      </x:c>
      <x:c r="BF114" s="92" t="n">
        <x:f>BF112-BF103-BF110</x:f>
        <x:v>34350998.587286934</x:v>
      </x:c>
      <x:c r="BG114" s="92" t="n">
        <x:f>BG112-BG103-BG110</x:f>
        <x:v>36946852.69108504</x:v>
      </x:c>
      <x:c r="BH114" s="92" t="n">
        <x:f>BH112-BH103-BH110</x:f>
        <x:v>39567040.28295036</x:v>
      </x:c>
      <x:c r="BI114" s="92" t="n">
        <x:f>BI112-BI103-BI110</x:f>
        <x:v>40945437.301114745</x:v>
      </x:c>
    </x:row>
    <x:row r="115">
      <x:c r="A115" s="85" t="str">
        <x:v>项目累计现金</x:v>
      </x:c>
      <x:c r="B115" s="28" t="n">
        <x:f>'核心假设'!$B$39+B114</x:f>
        <x:v>1146839.7707964361</x:v>
      </x:c>
      <x:c r="C115" s="28" t="n">
        <x:f>B115+C114</x:f>
        <x:v>-22890796.886795394</x:v>
      </x:c>
      <x:c r="D115" s="28" t="n">
        <x:f>C115+D114</x:f>
        <x:v>-50788020.49134149</x:v>
      </x:c>
      <x:c r="E115" s="28" t="n">
        <x:f>D115+E114</x:f>
        <x:v>-81441790.38651872</x:v>
      </x:c>
      <x:c r="F115" s="28" t="n">
        <x:f>E115+F114</x:f>
        <x:v>-116090815.58580376</x:v>
      </x:c>
      <x:c r="G115" s="28" t="n">
        <x:f>F115+G114</x:f>
        <x:v>-156289859.153208</x:v>
      </x:c>
      <x:c r="H115" s="28" t="n">
        <x:f>G115+H114</x:f>
        <x:v>-199133672.6062016</x:v>
      </x:c>
      <x:c r="I115" s="28" t="n">
        <x:f>H115+I114</x:f>
        <x:v>-244918312.9138251</x:v>
      </x:c>
      <x:c r="J115" s="28" t="n">
        <x:f>I115+J114</x:f>
        <x:v>-288278231.5897232</x:v>
      </x:c>
      <x:c r="K115" s="28" t="n">
        <x:f>J115+K114</x:f>
        <x:v>-345189027.808525</x:v>
      </x:c>
      <x:c r="L115" s="28" t="n">
        <x:f>K115+L114</x:f>
        <x:v>-403752729.4996081</x:v>
      </x:c>
      <x:c r="M115" s="28" t="n">
        <x:f>L115+M114</x:f>
        <x:v>-451250939.97673786</x:v>
      </x:c>
      <x:c r="N115" s="28" t="n">
        <x:f>M115+N114</x:f>
        <x:v>-483937010.7329811</x:v>
      </x:c>
      <x:c r="O115" s="28" t="n">
        <x:f>N115+O114</x:f>
        <x:v>-464299165.4933922</x:v>
      </x:c>
      <x:c r="P115" s="28" t="n">
        <x:f>O115+P114</x:f>
        <x:v>-443512923.65214264</x:v>
      </x:c>
      <x:c r="Q115" s="28" t="n">
        <x:f>P115+Q114</x:f>
        <x:v>-418499288.95708793</x:v>
      </x:c>
      <x:c r="R115" s="28" t="n">
        <x:f>Q115+R114</x:f>
        <x:v>-397082553.3998064</x:v>
      </x:c>
      <x:c r="S115" s="28" t="n">
        <x:f>R115+S114</x:f>
        <x:v>-381520070.98211193</x:v>
      </x:c>
      <x:c r="T115" s="28" t="n">
        <x:f>S115+T114</x:f>
        <x:v>-365368508.5968717</x:v>
      </x:c>
      <x:c r="U115" s="28" t="n">
        <x:f>T115+U114</x:f>
        <x:v>-348790419.10398763</x:v>
      </x:c>
      <x:c r="V115" s="28" t="n">
        <x:f>U115+V114</x:f>
        <x:v>-331330437.3983443</x:v>
      </x:c>
      <x:c r="W115" s="28" t="n">
        <x:f>V115+W114</x:f>
        <x:v>-311274601.58890283</x:v>
      </x:c>
      <x:c r="X115" s="28" t="n">
        <x:f>W115+X114</x:f>
        <x:v>-288598578.1875961</x:v>
      </x:c>
      <x:c r="Y115" s="28" t="n">
        <x:f>X115+Y114</x:f>
        <x:v>-264544157.7681249</x:v>
      </x:c>
      <x:c r="Z115" s="28" t="n">
        <x:f>Y115+Z114</x:f>
        <x:v>-243207182.28988728</x:v>
      </x:c>
      <x:c r="AA115" s="28" t="n">
        <x:f>Z115+AA114</x:f>
        <x:v>-222895976.8258415</x:v>
      </x:c>
      <x:c r="AB115" s="28" t="n">
        <x:f>AA115+AB114</x:f>
        <x:v>-201836491.36774576</x:v>
      </x:c>
      <x:c r="AC115" s="28" t="n">
        <x:f>AB115+AC114</x:f>
        <x:v>-176747292.28395325</x:v>
      </x:c>
      <x:c r="AD115" s="28" t="n">
        <x:f>AC115+AD114</x:f>
        <x:v>-155330556.7266717</x:v>
      </x:c>
      <x:c r="AE115" s="28" t="n">
        <x:f>AD115+AE114</x:f>
        <x:v>-140887160.49171302</x:v>
      </x:c>
      <x:c r="AF115" s="28" t="n">
        <x:f>AE115+AF114</x:f>
        <x:v>-124735598.10647276</x:v>
      </x:c>
      <x:c r="AG115" s="28" t="n">
        <x:f>AF115+AG114</x:f>
        <x:v>-108157508.6135887</x:v>
      </x:c>
      <x:c r="AH115" s="28" t="n">
        <x:f>AG115+AH114</x:f>
        <x:v>-90697526.90794535</x:v>
      </x:c>
      <x:c r="AI115" s="28" t="n">
        <x:f>AH115+AI114</x:f>
        <x:v>-70641691.09850389</x:v>
      </x:c>
      <x:c r="AJ115" s="28" t="n">
        <x:f>AI115+AJ114</x:f>
        <x:v>-47965667.69719711</x:v>
      </x:c>
      <x:c r="AK115" s="28" t="n">
        <x:f>AJ115+AK114</x:f>
        <x:v>-23911247.277725942</x:v>
      </x:c>
      <x:c r="AL115" s="92" t="n">
        <x:f>AK115+AL114</x:f>
        <x:v>-2574271.7994883135</x:v>
      </x:c>
      <x:c r="AM115" s="92" t="n">
        <x:f>AL115+AM114</x:f>
        <x:v>17507013.664557494</x:v>
      </x:c>
      <x:c r="AN115" s="92" t="n">
        <x:f>AM115+AN114</x:f>
        <x:v>39005642.780195534</x:v>
      </x:c>
      <x:c r="AO115" s="92" t="n">
        <x:f>AN115+AO114</x:f>
        <x:v>65345674.4123389</x:v>
      </x:c>
      <x:c r="AP115" s="92" t="n">
        <x:f>AO115+AP114</x:f>
        <x:v>88965564.14497554</x:v>
      </x:c>
      <x:c r="AQ115" s="92" t="n">
        <x:f>AP115+AQ114</x:f>
        <x:v>106706671.41555974</x:v>
      </x:c>
      <x:c r="AR115" s="92" t="n">
        <x:f>AQ115+AR114</x:f>
        <x:v>127392736.92996213</x:v>
      </x:c>
      <x:c r="AS115" s="92" t="n">
        <x:f>AR115+AS114</x:f>
        <x:v>149885136.87881112</x:v>
      </x:c>
      <x:c r="AT115" s="92" t="n">
        <x:f>AS115+AT114</x:f>
        <x:v>174824016.60634747</x:v>
      </x:c>
      <x:c r="AU115" s="92" t="n">
        <x:f>AT115+AU114</x:f>
        <x:v>203789298.00361</x:v>
      </x:c>
      <x:c r="AV115" s="92" t="n">
        <x:f>AU115+AV114</x:f>
        <x:v>237318370.47488445</x:v>
      </x:c>
      <x:c r="AW115" s="92" t="n">
        <x:f>AV115+AW114</x:f>
        <x:v>274399392.58628345</x:v>
      </x:c>
      <x:c r="AX115" s="92" t="n">
        <x:f>AW115+AX114</x:f>
        <x:v>310778349.8648579</x:v>
      </x:c>
      <x:c r="AY115" s="92" t="n">
        <x:f>AX115+AY114</x:f>
        <x:v>347980572.2105473</x:v>
      </x:c>
      <x:c r="AZ115" s="92" t="n">
        <x:f>AY115+AZ114</x:f>
        <x:v>385931074.55028665</x:v>
      </x:c>
      <x:c r="BA115" s="92" t="n">
        <x:f>AZ115+BA114</x:f>
        <x:v>427911290.51572275</x:v>
      </x:c>
      <x:c r="BB115" s="92" t="n">
        <x:f>BA115+BB114</x:f>
        <x:v>466219042.9546479</x:v>
      </x:c>
      <x:c r="BC115" s="92" t="n">
        <x:f>BB115+BC114</x:f>
        <x:v>497553456.07125014</x:v>
      </x:c>
      <x:c r="BD115" s="92" t="n">
        <x:f>BC115+BD114</x:f>
        <x:v>530596035.338134</x:v>
      </x:c>
      <x:c r="BE115" s="92" t="n">
        <x:f>BD115+BE114</x:f>
        <x:v>564065141.7126616</x:v>
      </x:c>
      <x:c r="BF115" s="92" t="n">
        <x:f>BE115+BF114</x:f>
        <x:v>598416140.2999486</x:v>
      </x:c>
      <x:c r="BG115" s="92" t="n">
        <x:f>BF115+BG114</x:f>
        <x:v>635362992.9910336</x:v>
      </x:c>
      <x:c r="BH115" s="92" t="n">
        <x:f>BG115+BH114</x:f>
        <x:v>674930033.273984</x:v>
      </x:c>
      <x:c r="BI115" s="92" t="n">
        <x:f>BH115+BI114</x:f>
        <x:v>715875470.5750988</x:v>
      </x:c>
    </x:row>
    <x:row r="116">
      <x:c r="A116" s="85" t="str">
        <x:v>股东注资前净现金</x:v>
      </x:c>
      <x:c r="B116" s="28" t="n">
        <x:f>B114+B105</x:f>
        <x:v>1146839.7707964361</x:v>
      </x:c>
      <x:c r="C116" s="28" t="n">
        <x:f>C114+C105</x:f>
        <x:v>-1045636.6575918309</x:v>
      </x:c>
      <x:c r="D116" s="28" t="n">
        <x:f>D114+D105</x:f>
        <x:v>-330223.60454609245</x:v>
      </x:c>
      <x:c r="E116" s="28" t="n">
        <x:f>E114+E105</x:f>
        <x:v>1449230.1048227735</x:v>
      </x:c>
      <x:c r="F116" s="28" t="n">
        <x:f>F114+F105</x:f>
        <x:v>2028974.8007149547</x:v>
      </x:c>
      <x:c r="G116" s="28" t="n">
        <x:f>G114+G105</x:f>
        <x:v>1053956.4325957745</x:v>
      </x:c>
      <x:c r="H116" s="28" t="n">
        <x:f>H114+H105</x:f>
        <x:v>2984186.5470063835</x:v>
      </x:c>
      <x:c r="I116" s="28" t="n">
        <x:f>I114+I105</x:f>
        <x:v>4540359.6923764795</x:v>
      </x:c>
      <x:c r="J116" s="28" t="n">
        <x:f>J114+J105</x:f>
        <x:v>6965081.324101865</x:v>
      </x:c>
      <x:c r="K116" s="28" t="n">
        <x:f>K114+K105</x:f>
        <x:v>6818203.781198189</x:v>
      </x:c>
      <x:c r="L116" s="28" t="n">
        <x:f>L114+L105</x:f>
        <x:v>8936298.308916911</x:v>
      </x:c>
      <x:c r="M116" s="28" t="n">
        <x:f>M114+M105</x:f>
        <x:v>12501789.522870235</x:v>
      </x:c>
      <x:c r="N116" s="28" t="n">
        <x:f>N114+N105</x:f>
        <x:v>12313929.2437568</x:v>
      </x:c>
      <x:c r="O116" s="28" t="n">
        <x:f>O114+O105</x:f>
        <x:v>19637845.239588827</x:v>
      </x:c>
      <x:c r="P116" s="28" t="n">
        <x:f>P114+P105</x:f>
        <x:v>20786241.8412496</x:v>
      </x:c>
      <x:c r="Q116" s="28" t="n">
        <x:f>Q114+Q105</x:f>
        <x:v>25013634.695054725</x:v>
      </x:c>
      <x:c r="R116" s="28" t="n">
        <x:f>R114+R105</x:f>
        <x:v>21416735.557281546</x:v>
      </x:c>
      <x:c r="S116" s="28" t="n">
        <x:f>S114+S105</x:f>
        <x:v>15562482.417694468</x:v>
      </x:c>
      <x:c r="T116" s="28" t="n">
        <x:f>T114+T105</x:f>
        <x:v>16151562.385240253</x:v>
      </x:c>
      <x:c r="U116" s="28" t="n">
        <x:f>U114+U105</x:f>
        <x:v>16578089.492884059</x:v>
      </x:c>
      <x:c r="V116" s="28" t="n">
        <x:f>V114+V105</x:f>
        <x:v>17459981.705643356</x:v>
      </x:c>
      <x:c r="W116" s="28" t="n">
        <x:f>W114+W105</x:f>
        <x:v>20055835.809441462</x:v>
      </x:c>
      <x:c r="X116" s="28" t="n">
        <x:f>X114+X105</x:f>
        <x:v>22676023.40130678</x:v>
      </x:c>
      <x:c r="Y116" s="28" t="n">
        <x:f>Y114+Y105</x:f>
        <x:v>24054420.419471167</x:v>
      </x:c>
      <x:c r="Z116" s="28" t="n">
        <x:f>Z114+Z105</x:f>
        <x:v>21336975.47823763</x:v>
      </x:c>
      <x:c r="AA116" s="28" t="n">
        <x:f>AA114+AA105</x:f>
        <x:v>20311205.464045808</x:v>
      </x:c>
      <x:c r="AB116" s="28" t="n">
        <x:f>AB114+AB105</x:f>
        <x:v>21059485.458095714</x:v>
      </x:c>
      <x:c r="AC116" s="28" t="n">
        <x:f>AC114+AC105</x:f>
        <x:v>25089199.083792508</x:v>
      </x:c>
      <x:c r="AD116" s="28" t="n">
        <x:f>AD114+AD105</x:f>
        <x:v>21416735.557281546</x:v>
      </x:c>
      <x:c r="AE116" s="28" t="n">
        <x:f>AE114+AE105</x:f>
        <x:v>14443396.234958671</x:v>
      </x:c>
      <x:c r="AF116" s="28" t="n">
        <x:f>AF114+AF105</x:f>
        <x:v>16151562.385240253</x:v>
      </x:c>
      <x:c r="AG116" s="28" t="n">
        <x:f>AG114+AG105</x:f>
        <x:v>16578089.492884059</x:v>
      </x:c>
      <x:c r="AH116" s="28" t="n">
        <x:f>AH114+AH105</x:f>
        <x:v>17459981.705643356</x:v>
      </x:c>
      <x:c r="AI116" s="28" t="n">
        <x:f>AI114+AI105</x:f>
        <x:v>20055835.809441462</x:v>
      </x:c>
      <x:c r="AJ116" s="28" t="n">
        <x:f>AJ114+AJ105</x:f>
        <x:v>22676023.40130678</x:v>
      </x:c>
      <x:c r="AK116" s="28" t="n">
        <x:f>AK114+AK105</x:f>
        <x:v>24054420.419471167</x:v>
      </x:c>
      <x:c r="AL116" s="92" t="n">
        <x:f>AL114+AL105</x:f>
        <x:v>21336975.47823763</x:v>
      </x:c>
      <x:c r="AM116" s="92" t="n">
        <x:f>AM114+AM105</x:f>
        <x:v>20081285.464045808</x:v>
      </x:c>
      <x:c r="AN116" s="92" t="n">
        <x:f>AN114+AN105</x:f>
        <x:v>21498629.115638044</x:v>
      </x:c>
      <x:c r="AO116" s="92" t="n">
        <x:f>AO114+AO105</x:f>
        <x:v>26340031.63214336</x:v>
      </x:c>
      <x:c r="AP116" s="92" t="n">
        <x:f>AP114+AP105</x:f>
        <x:v>23619889.732636638</x:v>
      </x:c>
      <x:c r="AQ116" s="92" t="n">
        <x:f>AQ114+AQ105</x:f>
        <x:v>17741107.27058419</x:v>
      </x:c>
      <x:c r="AR116" s="92" t="n">
        <x:f>AR114+AR105</x:f>
        <x:v>20686065.514402386</x:v>
      </x:c>
      <x:c r="AS116" s="92" t="n">
        <x:f>AS114+AS105</x:f>
        <x:v>22492399.948848993</x:v>
      </x:c>
      <x:c r="AT116" s="92" t="n">
        <x:f>AT114+AT105</x:f>
        <x:v>24938879.727536347</x:v>
      </x:c>
      <x:c r="AU116" s="92" t="n">
        <x:f>AU114+AU105</x:f>
        <x:v>28965281.397262506</x:v>
      </x:c>
      <x:c r="AV116" s="92" t="n">
        <x:f>AV114+AV105</x:f>
        <x:v>33529072.471274454</x:v>
      </x:c>
      <x:c r="AW116" s="92" t="n">
        <x:f>AW114+AW105</x:f>
        <x:v>37081022.11139898</x:v>
      </x:c>
      <x:c r="AX116" s="92" t="n">
        <x:f>AX114+AX105</x:f>
        <x:v>36378957.27857445</x:v>
      </x:c>
      <x:c r="AY116" s="92" t="n">
        <x:f>AY114+AY105</x:f>
        <x:v>37202222.345689386</x:v>
      </x:c>
      <x:c r="AZ116" s="92" t="n">
        <x:f>AZ114+AZ105</x:f>
        <x:v>37950502.33973929</x:v>
      </x:c>
      <x:c r="BA116" s="92" t="n">
        <x:f>BA114+BA105</x:f>
        <x:v>41980215.965436086</x:v>
      </x:c>
      <x:c r="BB116" s="92" t="n">
        <x:f>BB114+BB105</x:f>
        <x:v>38307752.438925125</x:v>
      </x:c>
      <x:c r="BC116" s="92" t="n">
        <x:f>BC114+BC105</x:f>
        <x:v>31334413.11660225</x:v>
      </x:c>
      <x:c r="BD116" s="92" t="n">
        <x:f>BD114+BD105</x:f>
        <x:v>33042579.26688383</x:v>
      </x:c>
      <x:c r="BE116" s="92" t="n">
        <x:f>BE114+BE105</x:f>
        <x:v>33469106.374527637</x:v>
      </x:c>
      <x:c r="BF116" s="92" t="n">
        <x:f>BF114+BF105</x:f>
        <x:v>34350998.587286934</x:v>
      </x:c>
      <x:c r="BG116" s="92" t="n">
        <x:f>BG114+BG105</x:f>
        <x:v>36946852.69108504</x:v>
      </x:c>
      <x:c r="BH116" s="92" t="n">
        <x:f>BH114+BH105</x:f>
        <x:v>39567040.28295036</x:v>
      </x:c>
      <x:c r="BI116" s="92" t="n">
        <x:f>BI114+BI105</x:f>
        <x:v>40945437.301114745</x:v>
      </x:c>
    </x:row>
    <x:row r="117">
      <x:c r="A117" s="85" t="str">
        <x:v>股东注资前累计现金</x:v>
      </x:c>
      <x:c r="B117" s="28" t="n">
        <x:f>'核心假设'!$B$39+B116</x:f>
        <x:v>1146839.7707964361</x:v>
      </x:c>
      <x:c r="C117" s="28" t="n">
        <x:f>B117+C116</x:f>
        <x:v>101203.11320460518</x:v>
      </x:c>
      <x:c r="D117" s="28" t="n">
        <x:f>C117+D116</x:f>
        <x:v>-229020.49134148727</x:v>
      </x:c>
      <x:c r="E117" s="28" t="n">
        <x:f>D117+E116</x:f>
        <x:v>1220209.6134812862</x:v>
      </x:c>
      <x:c r="F117" s="28" t="n">
        <x:f>E117+F116</x:f>
        <x:v>3249184.4141962407</x:v>
      </x:c>
      <x:c r="G117" s="28" t="n">
        <x:f>F117+G116</x:f>
        <x:v>4303140.846792015</x:v>
      </x:c>
      <x:c r="H117" s="28" t="n">
        <x:f>G117+H116</x:f>
        <x:v>7287327.393798399</x:v>
      </x:c>
      <x:c r="I117" s="28" t="n">
        <x:f>H117+I116</x:f>
        <x:v>11827687.08617488</x:v>
      </x:c>
      <x:c r="J117" s="28" t="n">
        <x:f>I117+J116</x:f>
        <x:v>18792768.410276745</x:v>
      </x:c>
      <x:c r="K117" s="28" t="n">
        <x:f>J117+K116</x:f>
        <x:v>25610972.191474933</x:v>
      </x:c>
      <x:c r="L117" s="28" t="n">
        <x:f>K117+L116</x:f>
        <x:v>34547270.50039184</x:v>
      </x:c>
      <x:c r="M117" s="28" t="n">
        <x:f>L117+M116</x:f>
        <x:v>47049060.023262076</x:v>
      </x:c>
      <x:c r="N117" s="28" t="n">
        <x:f>M117+N116</x:f>
        <x:v>59362989.26701888</x:v>
      </x:c>
      <x:c r="O117" s="28" t="n">
        <x:f>N117+O116</x:f>
        <x:v>79000834.50660771</x:v>
      </x:c>
      <x:c r="P117" s="28" t="n">
        <x:f>O117+P116</x:f>
        <x:v>99787076.34785731</x:v>
      </x:c>
      <x:c r="Q117" s="28" t="n">
        <x:f>P117+Q116</x:f>
        <x:v>124800711.04291204</x:v>
      </x:c>
      <x:c r="R117" s="28" t="n">
        <x:f>Q117+R116</x:f>
        <x:v>146217446.6001936</x:v>
      </x:c>
      <x:c r="S117" s="28" t="n">
        <x:f>R117+S116</x:f>
        <x:v>161779929.01788807</x:v>
      </x:c>
      <x:c r="T117" s="28" t="n">
        <x:f>S117+T116</x:f>
        <x:v>177931491.40312833</x:v>
      </x:c>
      <x:c r="U117" s="28" t="n">
        <x:f>T117+U116</x:f>
        <x:v>194509580.8960124</x:v>
      </x:c>
      <x:c r="V117" s="28" t="n">
        <x:f>U117+V116</x:f>
        <x:v>211969562.60165575</x:v>
      </x:c>
      <x:c r="W117" s="28" t="n">
        <x:f>V117+W116</x:f>
        <x:v>232025398.41109723</x:v>
      </x:c>
      <x:c r="X117" s="28" t="n">
        <x:f>W117+X116</x:f>
        <x:v>254701421.812404</x:v>
      </x:c>
      <x:c r="Y117" s="28" t="n">
        <x:f>X117+Y116</x:f>
        <x:v>278755842.2318752</x:v>
      </x:c>
      <x:c r="Z117" s="28" t="n">
        <x:f>Y117+Z116</x:f>
        <x:v>300092817.7101128</x:v>
      </x:c>
      <x:c r="AA117" s="28" t="n">
        <x:f>Z117+AA116</x:f>
        <x:v>320404023.17415863</x:v>
      </x:c>
      <x:c r="AB117" s="28" t="n">
        <x:f>AA117+AB116</x:f>
        <x:v>341463508.63225436</x:v>
      </x:c>
      <x:c r="AC117" s="28" t="n">
        <x:f>AB117+AC116</x:f>
        <x:v>366552707.71604687</x:v>
      </x:c>
      <x:c r="AD117" s="28" t="n">
        <x:f>AC117+AD116</x:f>
        <x:v>387969443.2733284</x:v>
      </x:c>
      <x:c r="AE117" s="28" t="n">
        <x:f>AD117+AE116</x:f>
        <x:v>402412839.5082871</x:v>
      </x:c>
      <x:c r="AF117" s="28" t="n">
        <x:f>AE117+AF116</x:f>
        <x:v>418564401.8935273</x:v>
      </x:c>
      <x:c r="AG117" s="28" t="n">
        <x:f>AF117+AG116</x:f>
        <x:v>435142491.38641137</x:v>
      </x:c>
      <x:c r="AH117" s="28" t="n">
        <x:f>AG117+AH116</x:f>
        <x:v>452602473.0920547</x:v>
      </x:c>
      <x:c r="AI117" s="28" t="n">
        <x:f>AH117+AI116</x:f>
        <x:v>472658308.9014962</x:v>
      </x:c>
      <x:c r="AJ117" s="28" t="n">
        <x:f>AI117+AJ116</x:f>
        <x:v>495334332.3028029</x:v>
      </x:c>
      <x:c r="AK117" s="28" t="n">
        <x:f>AJ117+AK116</x:f>
        <x:v>519388752.72227407</x:v>
      </x:c>
      <x:c r="AL117" s="92" t="n">
        <x:f>AK117+AL116</x:f>
        <x:v>540725728.2005117</x:v>
      </x:c>
      <x:c r="AM117" s="92" t="n">
        <x:f>AL117+AM116</x:f>
        <x:v>560807013.6645575</x:v>
      </x:c>
      <x:c r="AN117" s="92" t="n">
        <x:f>AM117+AN116</x:f>
        <x:v>582305642.7801955</x:v>
      </x:c>
      <x:c r="AO117" s="92" t="n">
        <x:f>AN117+AO116</x:f>
        <x:v>608645674.4123389</x:v>
      </x:c>
      <x:c r="AP117" s="92" t="n">
        <x:f>AO117+AP116</x:f>
        <x:v>632265564.1449755</x:v>
      </x:c>
      <x:c r="AQ117" s="92" t="n">
        <x:f>AP117+AQ116</x:f>
        <x:v>650006671.4155598</x:v>
      </x:c>
      <x:c r="AR117" s="92" t="n">
        <x:f>AQ117+AR116</x:f>
        <x:v>670692736.9299622</x:v>
      </x:c>
      <x:c r="AS117" s="92" t="n">
        <x:f>AR117+AS116</x:f>
        <x:v>693185136.8788111</x:v>
      </x:c>
      <x:c r="AT117" s="92" t="n">
        <x:f>AS117+AT116</x:f>
        <x:v>718124016.6063474</x:v>
      </x:c>
      <x:c r="AU117" s="92" t="n">
        <x:f>AT117+AU116</x:f>
        <x:v>747089298.0036099</x:v>
      </x:c>
      <x:c r="AV117" s="92" t="n">
        <x:f>AU117+AV116</x:f>
        <x:v>780618370.4748844</x:v>
      </x:c>
      <x:c r="AW117" s="92" t="n">
        <x:f>AV117+AW116</x:f>
        <x:v>817699392.5862833</x:v>
      </x:c>
      <x:c r="AX117" s="92" t="n">
        <x:f>AW117+AX116</x:f>
        <x:v>854078349.8648578</x:v>
      </x:c>
      <x:c r="AY117" s="92" t="n">
        <x:f>AX117+AY116</x:f>
        <x:v>891280572.2105472</x:v>
      </x:c>
      <x:c r="AZ117" s="92" t="n">
        <x:f>AY117+AZ116</x:f>
        <x:v>929231074.5502865</x:v>
      </x:c>
      <x:c r="BA117" s="92" t="n">
        <x:f>AZ117+BA116</x:f>
        <x:v>971211290.5157226</x:v>
      </x:c>
      <x:c r="BB117" s="92" t="n">
        <x:f>BA117+BB116</x:f>
        <x:v>1009519042.9546478</x:v>
      </x:c>
      <x:c r="BC117" s="92" t="n">
        <x:f>BB117+BC116</x:f>
        <x:v>1040853456.0712501</x:v>
      </x:c>
      <x:c r="BD117" s="92" t="n">
        <x:f>BC117+BD116</x:f>
        <x:v>1073896035.3381338</x:v>
      </x:c>
      <x:c r="BE117" s="92" t="n">
        <x:f>BD117+BE116</x:f>
        <x:v>1107365141.7126615</x:v>
      </x:c>
      <x:c r="BF117" s="92" t="n">
        <x:f>BE117+BF116</x:f>
        <x:v>1141716140.2999485</x:v>
      </x:c>
      <x:c r="BG117" s="92" t="n">
        <x:f>BF117+BG116</x:f>
        <x:v>1178662992.9910336</x:v>
      </x:c>
      <x:c r="BH117" s="92" t="n">
        <x:f>BG117+BH116</x:f>
        <x:v>1218230033.273984</x:v>
      </x:c>
      <x:c r="BI117" s="92" t="n">
        <x:f>BH117+BI116</x:f>
        <x:v>1259175470.5750988</x:v>
      </x:c>
    </x:row>
    <x:row r="118">
      <x:c r="A118" s="85" t="str">
        <x:v>最低股东资金需求</x:v>
      </x:c>
      <x:c r="B118" s="28" t="n">
        <x:f>MAX(0,-MIN(B117:BI117))</x:f>
        <x:v>229020.49134148727</x:v>
      </x:c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  <x:c r="V118" s="28"/>
      <x:c r="W118" s="28"/>
      <x:c r="X118" s="28"/>
      <x:c r="Y118" s="28"/>
      <x:c r="Z118" s="28"/>
      <x:c r="AA118" s="28"/>
      <x:c r="AB118" s="28"/>
      <x:c r="AC118" s="28"/>
      <x:c r="AD118" s="28"/>
      <x:c r="AE118" s="28"/>
      <x:c r="AF118" s="28"/>
      <x:c r="AG118" s="28"/>
      <x:c r="AH118" s="28"/>
      <x:c r="AI118" s="28"/>
      <x:c r="AJ118" s="28"/>
      <x:c r="AK118" s="28"/>
      <x:c r="AL118" s="92"/>
      <x:c r="AM118" s="92"/>
      <x:c r="AN118" s="92"/>
      <x:c r="AO118" s="92"/>
      <x:c r="AP118" s="92"/>
      <x:c r="AQ118" s="92"/>
      <x:c r="AR118" s="92"/>
      <x:c r="AS118" s="92"/>
      <x:c r="AT118" s="92"/>
      <x:c r="AU118" s="92"/>
      <x:c r="AV118" s="92"/>
      <x:c r="AW118" s="92"/>
      <x:c r="AX118" s="92"/>
      <x:c r="AY118" s="92"/>
      <x:c r="AZ118" s="92"/>
      <x:c r="BA118" s="92"/>
      <x:c r="BB118" s="92"/>
      <x:c r="BC118" s="92"/>
      <x:c r="BD118" s="92"/>
      <x:c r="BE118" s="92"/>
      <x:c r="BF118" s="92"/>
      <x:c r="BG118" s="92"/>
      <x:c r="BH118" s="92"/>
      <x:c r="BI118" s="92"/>
    </x:row>
    <x:row r="119">
      <x:c r="A119" s="85" t="str">
        <x:v>最低资金注入后累计现金</x:v>
      </x:c>
      <x:c r="B119" s="28" t="n">
        <x:f>B117+$B$118</x:f>
        <x:v>1375860.2621379234</x:v>
      </x:c>
      <x:c r="C119" s="28" t="n">
        <x:f>C117+$B$118</x:f>
        <x:v>330223.60454609245</x:v>
      </x:c>
      <x:c r="D119" s="28" t="n">
        <x:f>D117+$B$118</x:f>
        <x:v>0</x:v>
      </x:c>
      <x:c r="E119" s="28" t="n">
        <x:f>E117+$B$118</x:f>
        <x:v>1449230.1048227735</x:v>
      </x:c>
      <x:c r="F119" s="28" t="n">
        <x:f>F117+$B$118</x:f>
        <x:v>3478204.905537728</x:v>
      </x:c>
      <x:c r="G119" s="28" t="n">
        <x:f>G117+$B$118</x:f>
        <x:v>4532161.338133503</x:v>
      </x:c>
      <x:c r="H119" s="28" t="n">
        <x:f>H117+$B$118</x:f>
        <x:v>7516347.885139886</x:v>
      </x:c>
      <x:c r="I119" s="28" t="n">
        <x:f>I117+$B$118</x:f>
        <x:v>12056707.577516366</x:v>
      </x:c>
      <x:c r="J119" s="28" t="n">
        <x:f>J117+$B$118</x:f>
        <x:v>19021788.90161823</x:v>
      </x:c>
      <x:c r="K119" s="28" t="n">
        <x:f>K117+$B$118</x:f>
        <x:v>25839992.68281642</x:v>
      </x:c>
      <x:c r="L119" s="28" t="n">
        <x:f>L117+$B$118</x:f>
        <x:v>34776290.99173333</x:v>
      </x:c>
      <x:c r="M119" s="28" t="n">
        <x:f>M117+$B$118</x:f>
        <x:v>47278080.51460356</x:v>
      </x:c>
      <x:c r="N119" s="28" t="n">
        <x:f>N117+$B$118</x:f>
        <x:v>59592009.75836036</x:v>
      </x:c>
      <x:c r="O119" s="28" t="n">
        <x:f>O117+$B$118</x:f>
        <x:v>79229854.9979492</x:v>
      </x:c>
      <x:c r="P119" s="28" t="n">
        <x:f>P117+$B$118</x:f>
        <x:v>100016096.8391988</x:v>
      </x:c>
      <x:c r="Q119" s="28" t="n">
        <x:f>Q117+$B$118</x:f>
        <x:v>125029731.53425352</x:v>
      </x:c>
      <x:c r="R119" s="28" t="n">
        <x:f>R117+$B$118</x:f>
        <x:v>146446467.0915351</x:v>
      </x:c>
      <x:c r="S119" s="28" t="n">
        <x:f>S117+$B$118</x:f>
        <x:v>162008949.50922957</x:v>
      </x:c>
      <x:c r="T119" s="28" t="n">
        <x:f>T117+$B$118</x:f>
        <x:v>178160511.89446983</x:v>
      </x:c>
      <x:c r="U119" s="28" t="n">
        <x:f>U117+$B$118</x:f>
        <x:v>194738601.3873539</x:v>
      </x:c>
      <x:c r="V119" s="28" t="n">
        <x:f>V117+$B$118</x:f>
        <x:v>212198583.09299725</x:v>
      </x:c>
      <x:c r="W119" s="28" t="n">
        <x:f>W117+$B$118</x:f>
        <x:v>232254418.90243873</x:v>
      </x:c>
      <x:c r="X119" s="28" t="n">
        <x:f>X117+$B$118</x:f>
        <x:v>254930442.3037455</x:v>
      </x:c>
      <x:c r="Y119" s="28" t="n">
        <x:f>Y117+$B$118</x:f>
        <x:v>278984862.72321665</x:v>
      </x:c>
      <x:c r="Z119" s="28" t="n">
        <x:f>Z117+$B$118</x:f>
        <x:v>300321838.2014543</x:v>
      </x:c>
      <x:c r="AA119" s="28" t="n">
        <x:f>AA117+$B$118</x:f>
        <x:v>320633043.6655001</x:v>
      </x:c>
      <x:c r="AB119" s="28" t="n">
        <x:f>AB117+$B$118</x:f>
        <x:v>341692529.12359583</x:v>
      </x:c>
      <x:c r="AC119" s="28" t="n">
        <x:f>AC117+$B$118</x:f>
        <x:v>366781728.20738834</x:v>
      </x:c>
      <x:c r="AD119" s="28" t="n">
        <x:f>AD117+$B$118</x:f>
        <x:v>388198463.7646699</x:v>
      </x:c>
      <x:c r="AE119" s="28" t="n">
        <x:f>AE117+$B$118</x:f>
        <x:v>402641859.99962854</x:v>
      </x:c>
      <x:c r="AF119" s="28" t="n">
        <x:f>AF117+$B$118</x:f>
        <x:v>418793422.3848688</x:v>
      </x:c>
      <x:c r="AG119" s="28" t="n">
        <x:f>AG117+$B$118</x:f>
        <x:v>435371511.87775284</x:v>
      </x:c>
      <x:c r="AH119" s="28" t="n">
        <x:f>AH117+$B$118</x:f>
        <x:v>452831493.5833962</x:v>
      </x:c>
      <x:c r="AI119" s="28" t="n">
        <x:f>AI117+$B$118</x:f>
        <x:v>472887329.39283764</x:v>
      </x:c>
      <x:c r="AJ119" s="28" t="n">
        <x:f>AJ117+$B$118</x:f>
        <x:v>495563352.7941444</x:v>
      </x:c>
      <x:c r="AK119" s="28" t="n">
        <x:f>AK117+$B$118</x:f>
        <x:v>519617773.21361554</x:v>
      </x:c>
      <x:c r="AL119" s="92" t="n">
        <x:f>AL117+$B$118</x:f>
        <x:v>540954748.6918532</x:v>
      </x:c>
      <x:c r="AM119" s="92" t="n">
        <x:f>AM117+$B$118</x:f>
        <x:v>561036034.1558989</x:v>
      </x:c>
      <x:c r="AN119" s="92" t="n">
        <x:f>AN117+$B$118</x:f>
        <x:v>582534663.271537</x:v>
      </x:c>
      <x:c r="AO119" s="92" t="n">
        <x:f>AO117+$B$118</x:f>
        <x:v>608874694.9036803</x:v>
      </x:c>
      <x:c r="AP119" s="92" t="n">
        <x:f>AP117+$B$118</x:f>
        <x:v>632494584.636317</x:v>
      </x:c>
      <x:c r="AQ119" s="92" t="n">
        <x:f>AQ117+$B$118</x:f>
        <x:v>650235691.9069012</x:v>
      </x:c>
      <x:c r="AR119" s="92" t="n">
        <x:f>AR117+$B$118</x:f>
        <x:v>670921757.4213036</x:v>
      </x:c>
      <x:c r="AS119" s="92" t="n">
        <x:f>AS117+$B$118</x:f>
        <x:v>693414157.3701526</x:v>
      </x:c>
      <x:c r="AT119" s="92" t="n">
        <x:f>AT117+$B$118</x:f>
        <x:v>718353037.0976889</x:v>
      </x:c>
      <x:c r="AU119" s="92" t="n">
        <x:f>AU117+$B$118</x:f>
        <x:v>747318318.4949514</x:v>
      </x:c>
      <x:c r="AV119" s="92" t="n">
        <x:f>AV117+$B$118</x:f>
        <x:v>780847390.9662259</x:v>
      </x:c>
      <x:c r="AW119" s="92" t="n">
        <x:f>AW117+$B$118</x:f>
        <x:v>817928413.0776248</x:v>
      </x:c>
      <x:c r="AX119" s="92" t="n">
        <x:f>AX117+$B$118</x:f>
        <x:v>854307370.3561993</x:v>
      </x:c>
      <x:c r="AY119" s="92" t="n">
        <x:f>AY117+$B$118</x:f>
        <x:v>891509592.7018887</x:v>
      </x:c>
      <x:c r="AZ119" s="92" t="n">
        <x:f>AZ117+$B$118</x:f>
        <x:v>929460095.041628</x:v>
      </x:c>
      <x:c r="BA119" s="92" t="n">
        <x:f>BA117+$B$118</x:f>
        <x:v>971440311.0070641</x:v>
      </x:c>
      <x:c r="BB119" s="92" t="n">
        <x:f>BB117+$B$118</x:f>
        <x:v>1009748063.4459893</x:v>
      </x:c>
      <x:c r="BC119" s="92" t="n">
        <x:f>BC117+$B$118</x:f>
        <x:v>1041082476.5625916</x:v>
      </x:c>
      <x:c r="BD119" s="92" t="n">
        <x:f>BD117+$B$118</x:f>
        <x:v>1074125055.8294754</x:v>
      </x:c>
      <x:c r="BE119" s="92" t="n">
        <x:f>BE117+$B$118</x:f>
        <x:v>1107594162.204003</x:v>
      </x:c>
      <x:c r="BF119" s="92" t="n">
        <x:f>BF117+$B$118</x:f>
        <x:v>1141945160.79129</x:v>
      </x:c>
      <x:c r="BG119" s="92" t="n">
        <x:f>BG117+$B$118</x:f>
        <x:v>1178892013.4823751</x:v>
      </x:c>
      <x:c r="BH119" s="92" t="n">
        <x:f>BH117+$B$118</x:f>
        <x:v>1218459053.7653255</x:v>
      </x:c>
      <x:c r="BI119" s="92" t="n">
        <x:f>BI117+$B$118</x:f>
        <x:v>1259404491.0664403</x:v>
      </x:c>
    </x:row>
    <x:row r="120">
      <x:c r="A120" s="85" t="str">
        <x:v>最大资金缺口月份</x:v>
      </x:c>
      <x:c r="B120" s="50" t="n">
        <x:f>INDEX(B101:BI101,1,MATCH(MIN(B117:BI117),B117:BI117,0))</x:f>
        <x:v>46327</x:v>
      </x:c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  <x:c r="AA120" s="25"/>
      <x:c r="AB120" s="25"/>
      <x:c r="AC120" s="25"/>
      <x:c r="AD120" s="25"/>
      <x:c r="AE120" s="25"/>
      <x:c r="AF120" s="25"/>
      <x:c r="AG120" s="25"/>
      <x:c r="AH120" s="25"/>
      <x:c r="AI120" s="25"/>
      <x:c r="AJ120" s="25"/>
      <x:c r="AK120" s="25"/>
      <x:c r="AL120" s="89"/>
      <x:c r="AM120" s="89"/>
      <x:c r="AN120" s="89"/>
      <x:c r="AO120" s="89"/>
      <x:c r="AP120" s="89"/>
      <x:c r="AQ120" s="89"/>
      <x:c r="AR120" s="89"/>
      <x:c r="AS120" s="89"/>
      <x:c r="AT120" s="89"/>
      <x:c r="AU120" s="89"/>
      <x:c r="AV120" s="89"/>
      <x:c r="AW120" s="89"/>
      <x:c r="AX120" s="89"/>
      <x:c r="AY120" s="89"/>
      <x:c r="AZ120" s="89"/>
      <x:c r="BA120" s="89"/>
      <x:c r="BB120" s="89"/>
      <x:c r="BC120" s="89"/>
      <x:c r="BD120" s="89"/>
      <x:c r="BE120" s="89"/>
      <x:c r="BF120" s="89"/>
      <x:c r="BG120" s="89"/>
      <x:c r="BH120" s="89"/>
      <x:c r="BI120" s="89"/>
    </x:row>
    <x:row r="121">
      <x:c r="A121" s="86" t="str">
        <x:v>最大资金缺口</x:v>
      </x:c>
      <x:c r="B121" s="28" t="n">
        <x:f>$B$118</x:f>
        <x:v>229020.49134148727</x:v>
      </x:c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  <x:c r="AA121" s="25"/>
      <x:c r="AB121" s="25"/>
      <x:c r="AC121" s="25"/>
      <x:c r="AD121" s="25"/>
      <x:c r="AE121" s="25"/>
      <x:c r="AF121" s="25"/>
      <x:c r="AG121" s="25"/>
      <x:c r="AH121" s="25"/>
      <x:c r="AI121" s="25"/>
      <x:c r="AJ121" s="25"/>
      <x:c r="AK121" s="25"/>
      <x:c r="AL121" s="89"/>
      <x:c r="AM121" s="89"/>
      <x:c r="AN121" s="89"/>
      <x:c r="AO121" s="89"/>
      <x:c r="AP121" s="89"/>
      <x:c r="AQ121" s="89"/>
      <x:c r="AR121" s="89"/>
      <x:c r="AS121" s="89"/>
      <x:c r="AT121" s="89"/>
      <x:c r="AU121" s="89"/>
      <x:c r="AV121" s="89"/>
      <x:c r="AW121" s="89"/>
      <x:c r="AX121" s="89"/>
      <x:c r="AY121" s="89"/>
      <x:c r="AZ121" s="89"/>
      <x:c r="BA121" s="89"/>
      <x:c r="BB121" s="89"/>
      <x:c r="BC121" s="89"/>
      <x:c r="BD121" s="89"/>
      <x:c r="BE121" s="89"/>
      <x:c r="BF121" s="89"/>
      <x:c r="BG121" s="89"/>
      <x:c r="BH121" s="89"/>
      <x:c r="BI121" s="89"/>
    </x:row>
  </x:sheetData>
  <x:mergeCells>
    <x:mergeCell ref="A1:BI1"/>
    <x:mergeCell ref="A3:O3"/>
    <x:mergeCell ref="A19:BI19"/>
    <x:mergeCell ref="A35:BI35"/>
    <x:mergeCell ref="A51:BI51"/>
    <x:mergeCell ref="A67:BI67"/>
    <x:mergeCell ref="A83:BI83"/>
    <x:mergeCell ref="A99:BI99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8" hidden="0" customWidth="1"/>
    <x:col min="8" max="8" width="46" hidden="0" customWidth="1"/>
    <x:col min="9" max="9" width="14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</x:cols>
  <x:sheetData>
    <x:row r="1" ht="26" customHeight="1">
      <x:c r="A1" s="4" t="str">
        <x:v>情景分析、检查与来源｜承销压力、期限比较与审计状态</x:v>
      </x:c>
      <x:c r="B1" s="4" t="str">
        <x:v>情景分析、检查与来源｜承销压力、期限比较与审计状态</x:v>
      </x:c>
      <x:c r="C1" s="4" t="str">
        <x:v>情景分析、检查与来源｜承销压力、期限比较与审计状态</x:v>
      </x:c>
      <x:c r="D1" s="4" t="str">
        <x:v>情景分析、检查与来源｜承销压力、期限比较与审计状态</x:v>
      </x:c>
      <x:c r="E1" s="4" t="str">
        <x:v>情景分析、检查与来源｜承销压力、期限比较与审计状态</x:v>
      </x:c>
      <x:c r="F1" s="4" t="str">
        <x:v>情景分析、检查与来源｜承销压力、期限比较与审计状态</x:v>
      </x:c>
      <x:c r="G1" s="4" t="str">
        <x:v>情景分析、检查与来源｜承销压力、期限比较与审计状态</x:v>
      </x:c>
      <x:c r="H1" s="4" t="str">
        <x:v>情景分析、检查与来源｜承销压力、期限比较与审计状态</x:v>
      </x:c>
      <x:c r="I1" s="4" t="str">
        <x:v>情景分析、检查与来源｜承销压力、期限比较与审计状态</x:v>
      </x:c>
      <x:c r="J1" s="4" t="str">
        <x:v>情景分析、检查与来源｜承销压力、期限比较与审计状态</x:v>
      </x:c>
      <x:c r="K1" s="4" t="str">
        <x:v>情景分析、检查与来源｜承销压力、期限比较与审计状态</x:v>
      </x:c>
    </x:row>
    <x:row r="3">
      <x:c r="A3" s="13" t="str">
        <x:v>六情景矩阵（假设可见，结果由公式计算）</x:v>
      </x:c>
      <x:c r="B3" s="14" t="str">
        <x:v>六情景矩阵（假设可见，结果由公式计算）</x:v>
      </x:c>
      <x:c r="C3" s="14" t="str">
        <x:v>六情景矩阵（假设可见，结果由公式计算）</x:v>
      </x:c>
      <x:c r="D3" s="14" t="str">
        <x:v>六情景矩阵（假设可见，结果由公式计算）</x:v>
      </x:c>
      <x:c r="E3" s="14" t="str">
        <x:v>六情景矩阵（假设可见，结果由公式计算）</x:v>
      </x:c>
      <x:c r="F3" s="14" t="str">
        <x:v>六情景矩阵（假设可见，结果由公式计算）</x:v>
      </x:c>
      <x:c r="G3" s="14" t="str">
        <x:v>六情景矩阵（假设可见，结果由公式计算）</x:v>
      </x:c>
      <x:c r="H3" s="14" t="str">
        <x:v>六情景矩阵（假设可见，结果由公式计算）</x:v>
      </x:c>
      <x:c r="I3" s="14" t="str">
        <x:v>六情景矩阵（假设可见，结果由公式计算）</x:v>
      </x:c>
      <x:c r="J3" s="14" t="str">
        <x:v>六情景矩阵（假设可见，结果由公式计算）</x:v>
      </x:c>
      <x:c r="K3" s="14" t="str">
        <x:v>六情景矩阵（假设可见，结果由公式计算）</x:v>
      </x:c>
      <x:c r="L3" s="14" t="str">
        <x:v>六情景矩阵（假设可见，结果由公式计算）</x:v>
      </x:c>
      <x:c r="M3" s="14" t="str">
        <x:v>六情景矩阵（假设可见，结果由公式计算）</x:v>
      </x:c>
      <x:c r="N3" s="14" t="str">
        <x:v>六情景矩阵（假设可见，结果由公式计算）</x:v>
      </x:c>
      <x:c r="O3" s="14" t="str">
        <x:v>六情景矩阵（假设可见，结果由公式计算）</x:v>
      </x:c>
      <x:c r="P3" s="14" t="str">
        <x:v>六情景矩阵（假设可见，结果由公式计算）</x:v>
      </x:c>
      <x:c r="Q3" s="14" t="str">
        <x:v>六情景矩阵（假设可见，结果由公式计算）</x:v>
      </x:c>
      <x:c r="R3" s="14" t="str">
        <x:v>六情景矩阵（假设可见，结果由公式计算）</x:v>
      </x:c>
      <x:c r="S3" s="14" t="str">
        <x:v>六情景矩阵（假设可见，结果由公式计算）</x:v>
      </x:c>
      <x:c r="T3" s="14" t="str">
        <x:v>六情景矩阵（假设可见，结果由公式计算）</x:v>
      </x:c>
      <x:c r="U3" s="14" t="str">
        <x:v>六情景矩阵（假设可见，结果由公式计算）</x:v>
      </x:c>
      <x:c r="V3" s="14" t="str">
        <x:v>六情景矩阵（假设可见，结果由公式计算）</x:v>
      </x:c>
      <x:c r="W3" s="14" t="str">
        <x:v>六情景矩阵（假设可见，结果由公式计算）</x:v>
      </x:c>
      <x:c r="X3" s="14" t="str">
        <x:v>六情景矩阵（假设可见，结果由公式计算）</x:v>
      </x:c>
      <x:c r="Y3" s="14" t="str">
        <x:v>六情景矩阵（假设可见，结果由公式计算）</x:v>
      </x:c>
      <x:c r="Z3" s="14" t="str">
        <x:v>六情景矩阵（假设可见，结果由公式计算）</x:v>
      </x:c>
      <x:c r="AA3" s="14" t="str">
        <x:v>六情景矩阵（假设可见，结果由公式计算）</x:v>
      </x:c>
      <x:c r="AB3" s="14" t="str">
        <x:v>六情景矩阵（假设可见，结果由公式计算）</x:v>
      </x:c>
      <x:c r="AC3" s="14" t="str">
        <x:v>六情景矩阵（假设可见，结果由公式计算）</x:v>
      </x:c>
      <x:c r="AD3" s="15" t="str">
        <x:v>六情景矩阵（假设可见，结果由公式计算）</x:v>
      </x:c>
    </x:row>
    <x:row r="4">
      <x:c r="A4" s="13" t="str">
        <x:v>情景</x:v>
      </x:c>
      <x:c r="B4" s="14" t="str">
        <x:v>年均单枪日收入</x:v>
      </x:c>
      <x:c r="C4" s="14" t="str">
        <x:v>融资比例</x:v>
      </x:c>
      <x:c r="D4" s="14" t="str">
        <x:v>期限</x:v>
      </x:c>
      <x:c r="E4" s="14" t="str">
        <x:v>年化成本</x:v>
      </x:c>
      <x:c r="F4" s="14" t="str">
        <x:v>放款延迟</x:v>
      </x:c>
      <x:c r="G4" s="14" t="str">
        <x:v>物业方式</x:v>
      </x:c>
      <x:c r="H4" s="14" t="str">
        <x:v>其他运营成本率</x:v>
      </x:c>
      <x:c r="I4" s="14" t="str">
        <x:v>三年服务费</x:v>
      </x:c>
      <x:c r="J4" s="14" t="str">
        <x:v>全期DSCR</x:v>
      </x:c>
      <x:c r="K4" s="14" t="str">
        <x:v>峰值资金缺口</x:v>
      </x:c>
      <x:c r="L4" s="15" t="str">
        <x:v>部署月数</x:v>
      </x:c>
      <x:c r="M4" s="13" t="str">
        <x:v>上线M1</x:v>
      </x:c>
      <x:c r="N4" s="14" t="str">
        <x:v>上线M2</x:v>
      </x:c>
      <x:c r="O4" s="14" t="str">
        <x:v>上线M3</x:v>
      </x:c>
      <x:c r="P4" s="14" t="str">
        <x:v>上线M4</x:v>
      </x:c>
      <x:c r="Q4" s="14" t="str">
        <x:v>上线M5</x:v>
      </x:c>
      <x:c r="R4" s="14" t="str">
        <x:v>上线M6</x:v>
      </x:c>
      <x:c r="S4" s="14" t="str">
        <x:v>上线M7</x:v>
      </x:c>
      <x:c r="T4" s="14" t="str">
        <x:v>上线M8</x:v>
      </x:c>
      <x:c r="U4" s="14" t="str">
        <x:v>上线M9</x:v>
      </x:c>
      <x:c r="V4" s="14" t="str">
        <x:v>上线M10</x:v>
      </x:c>
      <x:c r="W4" s="14" t="str">
        <x:v>上线M11</x:v>
      </x:c>
      <x:c r="X4" s="14" t="str">
        <x:v>上线M12</x:v>
      </x:c>
      <x:c r="Y4" s="14" t="str">
        <x:v>上线M13</x:v>
      </x:c>
      <x:c r="Z4" s="14" t="str">
        <x:v>上线M14</x:v>
      </x:c>
      <x:c r="AA4" s="14" t="str">
        <x:v>上线M15</x:v>
      </x:c>
      <x:c r="AB4" s="14" t="str">
        <x:v>上线M16</x:v>
      </x:c>
      <x:c r="AC4" s="14" t="str">
        <x:v>上线M17</x:v>
      </x:c>
      <x:c r="AD4" s="15" t="str">
        <x:v>上线M18</x:v>
      </x:c>
      <x:c r="AF4" s="50" t="n">
        <x:f>'36月运营模型'!B$5</x:f>
        <x:v>46266</x:v>
      </x:c>
      <x:c r="AG4" s="50" t="n">
        <x:f>'36月运营模型'!C$5</x:f>
        <x:v>46296</x:v>
      </x:c>
      <x:c r="AH4" s="50" t="n">
        <x:f>'36月运营模型'!D$5</x:f>
        <x:v>46327</x:v>
      </x:c>
      <x:c r="AI4" s="50" t="n">
        <x:f>'36月运营模型'!E$5</x:f>
        <x:v>46357</x:v>
      </x:c>
      <x:c r="AJ4" s="50" t="n">
        <x:f>'36月运营模型'!F$5</x:f>
        <x:v>46388</x:v>
      </x:c>
      <x:c r="AK4" s="50" t="n">
        <x:f>'36月运营模型'!G$5</x:f>
        <x:v>46419</x:v>
      </x:c>
      <x:c r="AL4" s="50" t="n">
        <x:f>'36月运营模型'!H$5</x:f>
        <x:v>46447</x:v>
      </x:c>
      <x:c r="AM4" s="50" t="n">
        <x:f>'36月运营模型'!I$5</x:f>
        <x:v>46478</x:v>
      </x:c>
      <x:c r="AN4" s="50" t="n">
        <x:f>'36月运营模型'!J$5</x:f>
        <x:v>46508</x:v>
      </x:c>
      <x:c r="AO4" s="50" t="n">
        <x:f>'36月运营模型'!K$5</x:f>
        <x:v>46539</x:v>
      </x:c>
      <x:c r="AP4" s="50" t="n">
        <x:f>'36月运营模型'!L$5</x:f>
        <x:v>46569</x:v>
      </x:c>
      <x:c r="AQ4" s="50" t="n">
        <x:f>'36月运营模型'!M$5</x:f>
        <x:v>46600</x:v>
      </x:c>
      <x:c r="AR4" s="50" t="n">
        <x:f>'36月运营模型'!N$5</x:f>
        <x:v>46631</x:v>
      </x:c>
      <x:c r="AS4" s="50" t="n">
        <x:f>'36月运营模型'!O$5</x:f>
        <x:v>46661</x:v>
      </x:c>
      <x:c r="AT4" s="50" t="n">
        <x:f>'36月运营模型'!P$5</x:f>
        <x:v>46692</x:v>
      </x:c>
      <x:c r="AU4" s="50" t="n">
        <x:f>'36月运营模型'!Q$5</x:f>
        <x:v>46722</x:v>
      </x:c>
      <x:c r="AV4" s="50" t="n">
        <x:f>'36月运营模型'!R$5</x:f>
        <x:v>46753</x:v>
      </x:c>
      <x:c r="AW4" s="50" t="n">
        <x:f>'36月运营模型'!S$5</x:f>
        <x:v>46784</x:v>
      </x:c>
      <x:c r="AX4" s="50" t="n">
        <x:f>'36月运营模型'!T$5</x:f>
        <x:v>46813</x:v>
      </x:c>
      <x:c r="AY4" s="50" t="n">
        <x:f>'36月运营模型'!U$5</x:f>
        <x:v>46844</x:v>
      </x:c>
      <x:c r="AZ4" s="50" t="n">
        <x:f>'36月运营模型'!V$5</x:f>
        <x:v>46874</x:v>
      </x:c>
      <x:c r="BA4" s="50" t="n">
        <x:f>'36月运营模型'!W$5</x:f>
        <x:v>46905</x:v>
      </x:c>
      <x:c r="BB4" s="50" t="n">
        <x:f>'36月运营模型'!X$5</x:f>
        <x:v>46935</x:v>
      </x:c>
      <x:c r="BC4" s="50" t="n">
        <x:f>'36月运营模型'!Y$5</x:f>
        <x:v>46966</x:v>
      </x:c>
      <x:c r="BD4" s="50" t="n">
        <x:f>'36月运营模型'!Z$5</x:f>
        <x:v>46997</x:v>
      </x:c>
      <x:c r="BE4" s="50" t="n">
        <x:f>'36月运营模型'!AA$5</x:f>
        <x:v>47027</x:v>
      </x:c>
      <x:c r="BF4" s="50" t="n">
        <x:f>'36月运营模型'!AB$5</x:f>
        <x:v>47058</x:v>
      </x:c>
      <x:c r="BG4" s="50" t="n">
        <x:f>'36月运营模型'!AC$5</x:f>
        <x:v>47088</x:v>
      </x:c>
      <x:c r="BH4" s="50" t="n">
        <x:f>'36月运营模型'!AD$5</x:f>
        <x:v>47119</x:v>
      </x:c>
      <x:c r="BI4" s="50" t="n">
        <x:f>'36月运营模型'!AE$5</x:f>
        <x:v>47150</x:v>
      </x:c>
      <x:c r="BJ4" s="50" t="n">
        <x:f>'36月运营模型'!AF$5</x:f>
        <x:v>47178</x:v>
      </x:c>
      <x:c r="BK4" s="50" t="n">
        <x:f>'36月运营模型'!AG$5</x:f>
        <x:v>47209</x:v>
      </x:c>
      <x:c r="BL4" s="50" t="n">
        <x:f>'36月运营模型'!AH$5</x:f>
        <x:v>47239</x:v>
      </x:c>
      <x:c r="BM4" s="50" t="n">
        <x:f>'36月运营模型'!AI$5</x:f>
        <x:v>47270</x:v>
      </x:c>
      <x:c r="BN4" s="50" t="n">
        <x:f>'36月运营模型'!AJ$5</x:f>
        <x:v>47300</x:v>
      </x:c>
      <x:c r="BO4" s="50" t="n">
        <x:f>'36月运营模型'!AK$5</x:f>
        <x:v>47331</x:v>
      </x:c>
      <x:c r="BP4" s="50" t="n">
        <x:f>'36月运营模型'!AL$5</x:f>
        <x:v>47362</x:v>
      </x:c>
      <x:c r="BQ4" s="50" t="n">
        <x:f>'36月运营模型'!AM$5</x:f>
        <x:v>47392</x:v>
      </x:c>
      <x:c r="BR4" s="50" t="n">
        <x:f>'36月运营模型'!AN$5</x:f>
        <x:v>47423</x:v>
      </x:c>
      <x:c r="BS4" s="50" t="n">
        <x:f>'36月运营模型'!AO$5</x:f>
        <x:v>47453</x:v>
      </x:c>
      <x:c r="BT4" s="50" t="n">
        <x:f>'36月运营模型'!AP$5</x:f>
        <x:v>47484</x:v>
      </x:c>
      <x:c r="BU4" s="50" t="n">
        <x:f>'36月运营模型'!AQ$5</x:f>
        <x:v>47515</x:v>
      </x:c>
      <x:c r="BV4" s="50" t="n">
        <x:f>'36月运营模型'!AR$5</x:f>
        <x:v>47543</x:v>
      </x:c>
      <x:c r="BW4" s="50" t="n">
        <x:f>'36月运营模型'!AS$5</x:f>
        <x:v>47574</x:v>
      </x:c>
      <x:c r="BX4" s="50" t="n">
        <x:f>'36月运营模型'!AT$5</x:f>
        <x:v>47604</x:v>
      </x:c>
      <x:c r="BY4" s="50" t="n">
        <x:f>'36月运营模型'!AU$5</x:f>
        <x:v>47635</x:v>
      </x:c>
      <x:c r="BZ4" s="50" t="n">
        <x:f>'36月运营模型'!AV$5</x:f>
        <x:v>47665</x:v>
      </x:c>
      <x:c r="CA4" s="50" t="n">
        <x:f>'36月运营模型'!AW$5</x:f>
        <x:v>47696</x:v>
      </x:c>
      <x:c r="CB4" s="50" t="n">
        <x:f>'36月运营模型'!AX$5</x:f>
        <x:v>47727</x:v>
      </x:c>
      <x:c r="CC4" s="50" t="n">
        <x:f>'36月运营模型'!AY$5</x:f>
        <x:v>47757</x:v>
      </x:c>
      <x:c r="CD4" s="50" t="n">
        <x:f>'36月运营模型'!AZ$5</x:f>
        <x:v>47788</x:v>
      </x:c>
      <x:c r="CE4" s="50" t="n">
        <x:f>'36月运营模型'!BA$5</x:f>
        <x:v>47818</x:v>
      </x:c>
      <x:c r="CF4" s="50" t="n">
        <x:f>'36月运营模型'!BB$5</x:f>
        <x:v>47849</x:v>
      </x:c>
      <x:c r="CG4" s="50" t="n">
        <x:f>'36月运营模型'!BC$5</x:f>
        <x:v>47880</x:v>
      </x:c>
      <x:c r="CH4" s="50" t="n">
        <x:f>'36月运营模型'!BD$5</x:f>
        <x:v>47908</x:v>
      </x:c>
      <x:c r="CI4" s="50" t="n">
        <x:f>'36月运营模型'!BE$5</x:f>
        <x:v>47939</x:v>
      </x:c>
      <x:c r="CJ4" s="50" t="n">
        <x:f>'36月运营模型'!BF$5</x:f>
        <x:v>47969</x:v>
      </x:c>
      <x:c r="CK4" s="50" t="n">
        <x:f>'36月运营模型'!BG$5</x:f>
        <x:v>48000</x:v>
      </x:c>
      <x:c r="CL4" s="50" t="n">
        <x:f>'36月运营模型'!BH$5</x:f>
        <x:v>48030</x:v>
      </x:c>
      <x:c r="CM4" s="50" t="n">
        <x:f>'36月运营模型'!BI$5</x:f>
        <x:v>48061</x:v>
      </x:c>
    </x:row>
    <x:row r="5">
      <x:c r="A5" t="str">
        <x:v>基准</x:v>
      </x:c>
      <x:c r="B5" s="28" t="n">
        <x:f>'36月运营模型'!$B$23</x:f>
        <x:v>57.8045127253589</x:v>
      </x:c>
      <x:c r="C5" s="49" t="n">
        <x:f>'核心假设'!$B$27</x:f>
        <x:v>1</x:v>
      </x:c>
      <x:c r="D5" s="25" t="n">
        <x:f>'核心假设'!$B$28</x:f>
        <x:v>36</x:v>
      </x:c>
      <x:c r="E5" s="49" t="n">
        <x:f>'核心假设'!$B$29</x:f>
        <x:v>0.08</x:v>
      </x:c>
      <x:c r="F5" s="25" t="n">
        <x:f>'核心假设'!$B$30</x:f>
        <x:v>1</x:v>
      </x:c>
      <x:c r="G5" s="25" t="str">
        <x:f>'核心假设'!$B$33</x:f>
        <x:v>分成</x:v>
      </x:c>
      <x:c r="H5" s="49" t="n">
        <x:f>'核心假设'!$B$36</x:f>
        <x:v>0.1</x:v>
      </x:c>
      <x:c r="I5" s="35" t="n">
        <x:f>SUM(AF5:BO5)</x:f>
        <x:v>1547192645.9628906</x:v>
      </x:c>
      <x:c r="J5" s="115" t="n">
        <x:f>IF(SUM(AF7:CM7)=0,"",SUM(AF6:CM6)/SUM(AF7:CM7))</x:f>
        <x:v>3.210520346327926</x:v>
      </x:c>
      <x:c r="K5" s="35" t="n">
        <x:f>MAX(0,-MIN(AF10:CM10))</x:f>
        <x:v>4959504.097727075</x:v>
      </x:c>
      <x:c r="L5" s="18" t="n">
        <x:f>12</x:f>
        <x:v>12</x:v>
      </x:c>
      <x:c r="M5" s="22" t="n">
        <x:f>'核心假设'!B$55</x:f>
        <x:v>0.05</x:v>
      </x:c>
      <x:c r="N5" s="22" t="n">
        <x:f>'核心假设'!C$55</x:f>
        <x:v>0.06</x:v>
      </x:c>
      <x:c r="O5" s="22" t="n">
        <x:f>'核心假设'!D$55</x:f>
        <x:v>0.07</x:v>
      </x:c>
      <x:c r="P5" s="22" t="n">
        <x:f>'核心假设'!E$55</x:f>
        <x:v>0.08</x:v>
      </x:c>
      <x:c r="Q5" s="22" t="n">
        <x:f>'核心假设'!F$55</x:f>
        <x:v>0.09</x:v>
      </x:c>
      <x:c r="R5" s="22" t="n">
        <x:f>'核心假设'!G$55</x:f>
        <x:v>0.1</x:v>
      </x:c>
      <x:c r="S5" s="22" t="n">
        <x:f>'核心假设'!H$55</x:f>
        <x:v>0.11</x:v>
      </x:c>
      <x:c r="T5" s="22" t="n">
        <x:f>'核心假设'!I$55</x:f>
        <x:v>0.11</x:v>
      </x:c>
      <x:c r="U5" s="22" t="n">
        <x:f>'核心假设'!J$55</x:f>
        <x:v>0.1</x:v>
      </x:c>
      <x:c r="V5" s="22" t="n">
        <x:f>'核心假设'!K$55</x:f>
        <x:v>0.09</x:v>
      </x:c>
      <x:c r="W5" s="22" t="n">
        <x:f>'核心假设'!L$55</x:f>
        <x:v>0.08</x:v>
      </x:c>
      <x:c r="X5" s="22" t="n">
        <x:f>'核心假设'!M$55</x:f>
        <x:v>0.06</x:v>
      </x:c>
      <x:c r="Y5" s="22" t="n">
        <x:f>0</x:f>
        <x:v>0</x:v>
      </x:c>
      <x:c r="Z5" s="22" t="n">
        <x:f>0</x:f>
        <x:v>0</x:v>
      </x:c>
      <x:c r="AA5" s="22" t="n">
        <x:f>0</x:f>
        <x:v>0</x:v>
      </x:c>
      <x:c r="AB5" s="22" t="n">
        <x:f>0</x:f>
        <x:v>0</x:v>
      </x:c>
      <x:c r="AC5" s="22" t="n">
        <x:f>0</x:f>
        <x:v>0</x:v>
      </x:c>
      <x:c r="AD5" s="22" t="n">
        <x:f>0</x:f>
        <x:v>0</x:v>
      </x:c>
      <x:c r="AE5" t="str">
        <x:v>基准服务费</x:v>
      </x:c>
      <x:c r="AF5" s="28" t="n">
        <x:f>('核心假设'!$B$6*$M5*INDEX('核心假设'!$B$60:$G$60,1,1))*$B5*DAY(EOMONTH(AF$4,0))*INDEX('年度季节曲线'!$H$6:$H$17,MONTH(AF$4))</x:f>
        <x:v>1638342.5297091946</x:v>
      </x:c>
      <x:c r="AG5" s="28" t="n">
        <x:f>('核心假设'!$B$6*$M5*INDEX('核心假设'!$B$60:$G$60,1,2)+'核心假设'!$B$6*$N5*INDEX('核心假设'!$B$60:$G$60,1,1))*$B5*DAY(EOMONTH(AG$4,0))*INDEX('年度季节曲线'!$H$6:$H$17,MONTH(AG$4))</x:f>
        <x:v>3906233.3462973856</x:v>
      </x:c>
      <x:c r="AH5" s="28" t="n">
        <x:f>('核心假设'!$B$6*$M5*INDEX('核心假设'!$B$60:$G$60,1,3)+'核心假设'!$B$6*$N5*INDEX('核心假设'!$B$60:$G$60,1,2)+'核心假设'!$B$6*$O5*INDEX('核心假设'!$B$60:$G$60,1,1))*$B5*DAY(EOMONTH(AH$4,0))*INDEX('年度季节曲线'!$H$6:$H$17,MONTH(AH$4))</x:f>
        <x:v>7020842.932851772</x:v>
      </x:c>
      <x:c r="AI5" s="28" t="n">
        <x:f>('核心假设'!$B$6*$M5*INDEX('核心假设'!$B$60:$G$60,1,4)+'核心假设'!$B$6*$N5*INDEX('核心假设'!$B$60:$G$60,1,3)+'核心假设'!$B$6*$O5*INDEX('核心假设'!$B$60:$G$60,1,2)+'核心假设'!$B$6*$P5*INDEX('核心假设'!$B$60:$G$60,1,1))*$B5*DAY(EOMONTH(AI$4,0))*INDEX('年度季节曲线'!$H$6:$H$17,MONTH(AI$4))</x:f>
        <x:v>11844418.075962324</x:v>
      </x:c>
      <x:c r="AJ5" s="28" t="n">
        <x:f>('核心假设'!$B$6*$M5*INDEX('核心假设'!$B$60:$G$60,1,5)+'核心假设'!$B$6*$N5*INDEX('核心假设'!$B$60:$G$60,1,4)+'核心假设'!$B$6*$O5*INDEX('核心假设'!$B$60:$G$60,1,3)+'核心假设'!$B$6*$P5*INDEX('核心假设'!$B$60:$G$60,1,2)+'核心假设'!$B$6*$Q5*INDEX('核心假设'!$B$60:$G$60,1,1))*$B5*DAY(EOMONTH(AJ$4,0))*INDEX('年度季节曲线'!$H$6:$H$17,MONTH(AJ$4))</x:f>
        <x:v>15169869.965814352</x:v>
      </x:c>
      <x:c r="AK5" s="28" t="n">
        <x:f>('核心假设'!$B$6*$M5*INDEX('核心假设'!$B$60:$G$60,1,6)+'核心假设'!$B$6*$N5*INDEX('核心假设'!$B$60:$G$60,1,5)+'核心假设'!$B$6*$O5*INDEX('核心假设'!$B$60:$G$60,1,4)+'核心假设'!$B$6*$P5*INDEX('核心假设'!$B$60:$G$60,1,3)+'核心假设'!$B$6*$Q5*INDEX('核心假设'!$B$60:$G$60,1,2)+'核心假设'!$B$6*$R5*INDEX('核心假设'!$B$60:$G$60,1,1))*$B5*DAY(EOMONTH(AK$4,0))*INDEX('年度季节曲线'!$H$6:$H$17,MONTH(AK$4))</x:f>
        <x:v>16477424.954601841</x:v>
      </x:c>
      <x:c r="AL5" s="28" t="n">
        <x:f>('核心假设'!$B$6*$M5*INDEX('核心假设'!$B$60:$G$60,1,6)+'核心假设'!$B$6*$N5*INDEX('核心假设'!$B$60:$G$60,1,6)+'核心假设'!$B$6*$O5*INDEX('核心假设'!$B$60:$G$60,1,5)+'核心假设'!$B$6*$P5*INDEX('核心假设'!$B$60:$G$60,1,4)+'核心假设'!$B$6*$Q5*INDEX('核心假设'!$B$60:$G$60,1,3)+'核心假设'!$B$6*$R5*INDEX('核心假设'!$B$60:$G$60,1,2)+'核心假设'!$B$6*$S5*INDEX('核心假设'!$B$60:$G$60,1,1))*$B5*DAY(EOMONTH(AL$4,0))*INDEX('年度季节曲线'!$H$6:$H$17,MONTH(AL$4))</x:f>
        <x:v>22138528.108812165</x:v>
      </x:c>
      <x:c r="AM5" s="28" t="n">
        <x:f>('核心假设'!$B$6*$M5*INDEX('核心假设'!$B$60:$G$60,1,6)+'核心假设'!$B$6*$N5*INDEX('核心假设'!$B$60:$G$60,1,6)+'核心假设'!$B$6*$O5*INDEX('核心假设'!$B$60:$G$60,1,6)+'核心假设'!$B$6*$P5*INDEX('核心假设'!$B$60:$G$60,1,5)+'核心假设'!$B$6*$Q5*INDEX('核心假设'!$B$60:$G$60,1,4)+'核心假设'!$B$6*$R5*INDEX('核心假设'!$B$60:$G$60,1,3)+'核心假设'!$B$6*$S5*INDEX('核心假设'!$B$60:$G$60,1,2)+'核心假设'!$B$6*$T5*INDEX('核心假设'!$B$60:$G$60,1,1))*$B5*DAY(EOMONTH(AM$4,0))*INDEX('年度季节曲线'!$H$6:$H$17,MONTH(AM$4))</x:f>
        <x:v>27439885.92620202</x:v>
      </x:c>
      <x:c r="AN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$60,1,5)+'核心假设'!$B$6*$R5*INDEX('核心假设'!$B$60:$G$60,1,4)+'核心假设'!$B$6*$S5*INDEX('核心假设'!$B$60:$G$60,1,3)+'核心假设'!$B$6*$T5*INDEX('核心假设'!$B$60:$G$60,1,2)+'核心假设'!$B$6*$U5*INDEX('核心假设'!$B$60:$G$60,1,1))*$B5*DAY(EOMONTH(AN$4,0))*INDEX('年度季节曲线'!$H$6:$H$17,MONTH(AN$4))</x:f>
        <x:v>33138899.06570695</x:v>
      </x:c>
      <x:c r="AO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$60,1,5)+'核心假设'!$B$6*$S5*INDEX('核心假设'!$B$60:$G$60,1,4)+'核心假设'!$B$6*$T5*INDEX('核心假设'!$B$60:$G$60,1,3)+'核心假设'!$B$6*$U5*INDEX('核心假设'!$B$60:$G$60,1,2)+'核心假设'!$B$6*$V5*INDEX('核心假设'!$B$60:$G$60,1,1))*$B5*DAY(EOMONTH(AO$4,0))*INDEX('年度季节曲线'!$H$6:$H$17,MONTH(AO$4))</x:f>
        <x:v>40678484.81288463</x:v>
      </x:c>
      <x:c r="AP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$60,1,5)+'核心假设'!$B$6*$T5*INDEX('核心假设'!$B$60:$G$60,1,4)+'核心假设'!$B$6*$U5*INDEX('核心假设'!$B$60:$G$60,1,3)+'核心假设'!$B$6*$V5*INDEX('核心假设'!$B$60:$G$60,1,2)+'核心假设'!$B$6*$W5*INDEX('核心假设'!$B$60:$G$60,1,1))*$B5*DAY(EOMONTH(AP$4,0))*INDEX('年度季节曲线'!$H$6:$H$17,MONTH(AP$4))</x:f>
        <x:v>48520496.255549416</x:v>
      </x:c>
      <x:c r="AQ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$60,1,5)+'核心假设'!$B$6*$U5*INDEX('核心假设'!$B$60:$G$60,1,4)+'核心假设'!$B$6*$V5*INDEX('核心假设'!$B$60:$G$60,1,3)+'核心假设'!$B$6*$W5*INDEX('核心假设'!$B$60:$G$60,1,2)+'核心假设'!$B$6*$X5*INDEX('核心假设'!$B$60:$G$60,1,1))*$B5*DAY(EOMONTH(AQ$4,0))*INDEX('年度季节曲线'!$H$6:$H$17,MONTH(AQ$4))</x:f>
        <x:v>54469130.30685436</x:v>
      </x:c>
      <x:c r="AR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$60,1,5)+'核心假设'!$B$6*$V5*INDEX('核心假设'!$B$60:$G$60,1,4)+'核心假设'!$B$6*$W5*INDEX('核心假设'!$B$60:$G$60,1,3)+'核心假设'!$B$6*$X5*INDEX('核心假设'!$B$60:$G$60,1,2)+'核心假设'!$B$6*$Y5*INDEX('核心假设'!$B$60:$G$60,1,1))*$B5*DAY(EOMONTH(AR$4,0))*INDEX('年度季节曲线'!$H$6:$H$17,MONTH(AR$4))</x:f>
        <x:v>52579872.920133755</x:v>
      </x:c>
      <x:c r="AS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$60,1,5)+'核心假设'!$B$6*$W5*INDEX('核心假设'!$B$60:$G$60,1,4)+'核心假设'!$B$6*$X5*INDEX('核心假设'!$B$60:$G$60,1,3)+'核心假设'!$B$6*$Y5*INDEX('核心假设'!$B$60:$G$60,1,2)+'核心假设'!$B$6*$Z5*INDEX('核心假设'!$B$60:$G$60,1,1))*$B5*DAY(EOMONTH(AS$4,0))*INDEX('年度季节曲线'!$H$6:$H$17,MONTH(AS$4))</x:f>
        <x:v>52184088.74461772</x:v>
      </x:c>
      <x:c r="AT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$60,1,5)+'核心假设'!$B$6*$X5*INDEX('核心假设'!$B$60:$G$60,1,4)+'核心假设'!$B$6*$Y5*INDEX('核心假设'!$B$60:$G$60,1,3)+'核心假设'!$B$6*$Z5*INDEX('核心假设'!$B$60:$G$60,1,2)+'核心假设'!$B$6*$AA5*INDEX('核心假设'!$B$60:$G$60,1,1))*$B5*DAY(EOMONTH(AT$4,0))*INDEX('年度季节曲线'!$H$6:$H$17,MONTH(AT$4))</x:f>
        <x:v>53824655.31841882</x:v>
      </x:c>
      <x:c r="AU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$60,1,5)+'核心假设'!$B$6*$Y5*INDEX('核心假设'!$B$60:$G$60,1,4)+'核心假设'!$B$6*$Z5*INDEX('核心假设'!$B$60:$G$60,1,3)+'核心假设'!$B$6*$AA5*INDEX('核心假设'!$B$60:$G$60,1,2)+'核心假设'!$B$6*$AB5*INDEX('核心假设'!$B$60:$G$60,1,1))*$B5*DAY(EOMONTH(AU$4,0))*INDEX('年度季节曲线'!$H$6:$H$17,MONTH(AU$4))</x:f>
        <x:v>59863787.96671186</x:v>
      </x:c>
      <x:c r="AV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$60,1,5)+'核心假设'!$B$6*$Z5*INDEX('核心假设'!$B$60:$G$60,1,4)+'核心假设'!$B$6*$AA5*INDEX('核心假设'!$B$60:$G$60,1,3)+'核心假设'!$B$6*$AB5*INDEX('核心假设'!$B$60:$G$60,1,2)+'核心假设'!$B$6*$AC5*INDEX('核心假设'!$B$60:$G$60,1,1))*$B5*DAY(EOMONTH(AV$4,0))*INDEX('年度季节曲线'!$H$6:$H$17,MONTH(AV$4))</x:f>
        <x:v>54725360.62703589</x:v>
      </x:c>
      <x:c r="AW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$60,1,5)+'核心假设'!$B$6*$AA5*INDEX('核心假设'!$B$60:$G$60,1,4)+'核心假设'!$B$6*$AB5*INDEX('核心假设'!$B$60:$G$60,1,3)+'核心假设'!$B$6*$AC5*INDEX('核心假设'!$B$60:$G$60,1,2)+'核心假设'!$B$6*$AD5*INDEX('核心假设'!$B$60:$G$60,1,1))*$B5*DAY(EOMONTH(AW$4,0))*INDEX('年度季节曲线'!$H$6:$H$17,MONTH(AW$4))</x:f>
        <x:v>46362141.856197216</x:v>
      </x:c>
      <x:c r="AX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$60,1,5)+'核心假设'!$B$6*$AB5*INDEX('核心假设'!$B$60:$G$60,1,4)+'核心假设'!$B$6*$AC5*INDEX('核心假设'!$B$60:$G$60,1,3)+'核心假设'!$B$6*$AD5*INDEX('核心假设'!$B$60:$G$60,1,2))*$B5*DAY(EOMONTH(AX$4,0))*INDEX('年度季节曲线'!$H$6:$H$17,MONTH(AX$4))</x:f>
        <x:v>47203684.6669769</x:v>
      </x:c>
      <x:c r="AY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$60,1,5)+'核心假设'!$B$6*$AC5*INDEX('核心假设'!$B$60:$G$60,1,4)+'核心假设'!$B$6*$AD5*INDEX('核心假设'!$B$60:$G$60,1,3))*$B5*DAY(EOMONTH(AY$4,0))*INDEX('年度季节曲线'!$H$6:$H$17,MONTH(AY$4))</x:f>
        <x:v>47813009.10646806</x:v>
      </x:c>
      <x:c r="AZ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$60,1,5)+'核心假设'!$B$6*$AD5*INDEX('核心假设'!$B$60:$G$60,1,4))*$B5*DAY(EOMONTH(AZ$4,0))*INDEX('年度季节曲线'!$H$6:$H$17,MONTH(AZ$4))</x:f>
        <x:v>49072855.124695614</x:v>
      </x:c>
      <x:c r="BA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$60,1,5))*$B5*DAY(EOMONTH(BA$4,0))*INDEX('年度季节曲线'!$H$6:$H$17,MONTH(BA$4))</x:f>
        <x:v>52781218.13012149</x:v>
      </x:c>
      <x:c r="BB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BB$4,0))*INDEX('年度季节曲线'!$H$6:$H$17,MONTH(BB$4))</x:f>
        <x:v>56524343.26135766</x:v>
      </x:c>
      <x:c r="BC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BC$4,0))*INDEX('年度季节曲线'!$H$6:$H$17,MONTH(BC$4))</x:f>
        <x:v>58493481.85873535</x:v>
      </x:c>
      <x:c r="BD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BD$4,0))*INDEX('年度季节曲线'!$H$6:$H$17,MONTH(BD$4))</x:f>
        <x:v>54611417.65697315</x:v>
      </x:c>
      <x:c r="BE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BE$4,0))*INDEX('年度季节曲线'!$H$6:$H$17,MONTH(BE$4))</x:f>
        <x:v>53146031.92241341</x:v>
      </x:c>
      <x:c r="BF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BF$4,0))*INDEX('年度季节曲线'!$H$6:$H$17,MONTH(BF$4))</x:f>
        <x:v>54215003.34248471</x:v>
      </x:c>
      <x:c r="BG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BG$4,0))*INDEX('年度季节曲线'!$H$6:$H$17,MONTH(BG$4))</x:f>
        <x:v>59971737.093480125</x:v>
      </x:c>
      <x:c r="BH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BH$4,0))*INDEX('年度季节曲线'!$H$6:$H$17,MONTH(BH$4))</x:f>
        <x:v>54725360.62703589</x:v>
      </x:c>
      <x:c r="BI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BI$4,0))*INDEX('年度季节曲线'!$H$6:$H$17,MONTH(BI$4))</x:f>
        <x:v>44763447.30943179</x:v>
      </x:c>
      <x:c r="BJ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BJ$4,0))*INDEX('年度季节曲线'!$H$6:$H$17,MONTH(BJ$4))</x:f>
        <x:v>47203684.6669769</x:v>
      </x:c>
      <x:c r="BK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BK$4,0))*INDEX('年度季节曲线'!$H$6:$H$17,MONTH(BK$4))</x:f>
        <x:v>47813009.10646806</x:v>
      </x:c>
      <x:c r="BL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BL$4,0))*INDEX('年度季节曲线'!$H$6:$H$17,MONTH(BL$4))</x:f>
        <x:v>49072855.124695614</x:v>
      </x:c>
      <x:c r="BM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BM$4,0))*INDEX('年度季节曲线'!$H$6:$H$17,MONTH(BM$4))</x:f>
        <x:v>52781218.13012149</x:v>
      </x:c>
      <x:c r="BN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BN$4,0))*INDEX('年度季节曲线'!$H$6:$H$17,MONTH(BN$4))</x:f>
        <x:v>56524343.26135766</x:v>
      </x:c>
      <x:c r="BO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BO$4,0))*INDEX('年度季节曲线'!$H$6:$H$17,MONTH(BO$4))</x:f>
        <x:v>58493481.85873535</x:v>
      </x:c>
      <x:c r="BP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BP$4,0))*INDEX('年度季节曲线'!$H$6:$H$17,MONTH(BP$4))</x:f>
        <x:v>54611417.65697315</x:v>
      </x:c>
      <x:c r="BQ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BQ$4,0))*INDEX('年度季节曲线'!$H$6:$H$17,MONTH(BQ$4))</x:f>
        <x:v>53146031.92241341</x:v>
      </x:c>
      <x:c r="BR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BR$4,0))*INDEX('年度季节曲线'!$H$6:$H$17,MONTH(BR$4))</x:f>
        <x:v>54215003.34248471</x:v>
      </x:c>
      <x:c r="BS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BS$4,0))*INDEX('年度季节曲线'!$H$6:$H$17,MONTH(BS$4))</x:f>
        <x:v>59971737.093480125</x:v>
      </x:c>
      <x:c r="BT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BT$4,0))*INDEX('年度季节曲线'!$H$6:$H$17,MONTH(BT$4))</x:f>
        <x:v>54725360.62703589</x:v>
      </x:c>
      <x:c r="BU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BU$4,0))*INDEX('年度季节曲线'!$H$6:$H$17,MONTH(BU$4))</x:f>
        <x:v>44763447.30943179</x:v>
      </x:c>
      <x:c r="BV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BV$4,0))*INDEX('年度季节曲线'!$H$6:$H$17,MONTH(BV$4))</x:f>
        <x:v>47203684.6669769</x:v>
      </x:c>
      <x:c r="BW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BW$4,0))*INDEX('年度季节曲线'!$H$6:$H$17,MONTH(BW$4))</x:f>
        <x:v>47813009.10646806</x:v>
      </x:c>
      <x:c r="BX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BX$4,0))*INDEX('年度季节曲线'!$H$6:$H$17,MONTH(BX$4))</x:f>
        <x:v>49072855.124695614</x:v>
      </x:c>
      <x:c r="BY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BY$4,0))*INDEX('年度季节曲线'!$H$6:$H$17,MONTH(BY$4))</x:f>
        <x:v>52781218.13012149</x:v>
      </x:c>
      <x:c r="BZ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BZ$4,0))*INDEX('年度季节曲线'!$H$6:$H$17,MONTH(BZ$4))</x:f>
        <x:v>56524343.26135766</x:v>
      </x:c>
      <x:c r="CA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CA$4,0))*INDEX('年度季节曲线'!$H$6:$H$17,MONTH(CA$4))</x:f>
        <x:v>58493481.85873535</x:v>
      </x:c>
      <x:c r="CB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CB$4,0))*INDEX('年度季节曲线'!$H$6:$H$17,MONTH(CB$4))</x:f>
        <x:v>54611417.65697315</x:v>
      </x:c>
      <x:c r="CC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CC$4,0))*INDEX('年度季节曲线'!$H$6:$H$17,MONTH(CC$4))</x:f>
        <x:v>53146031.92241341</x:v>
      </x:c>
      <x:c r="CD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CD$4,0))*INDEX('年度季节曲线'!$H$6:$H$17,MONTH(CD$4))</x:f>
        <x:v>54215003.34248471</x:v>
      </x:c>
      <x:c r="CE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CE$4,0))*INDEX('年度季节曲线'!$H$6:$H$17,MONTH(CE$4))</x:f>
        <x:v>59971737.093480125</x:v>
      </x:c>
      <x:c r="CF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CF$4,0))*INDEX('年度季节曲线'!$H$6:$H$17,MONTH(CF$4))</x:f>
        <x:v>54725360.62703589</x:v>
      </x:c>
      <x:c r="CG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CG$4,0))*INDEX('年度季节曲线'!$H$6:$H$17,MONTH(CG$4))</x:f>
        <x:v>44763447.30943179</x:v>
      </x:c>
      <x:c r="CH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CH$4,0))*INDEX('年度季节曲线'!$H$6:$H$17,MONTH(CH$4))</x:f>
        <x:v>47203684.6669769</x:v>
      </x:c>
      <x:c r="CI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CI$4,0))*INDEX('年度季节曲线'!$H$6:$H$17,MONTH(CI$4))</x:f>
        <x:v>47813009.10646806</x:v>
      </x:c>
      <x:c r="CJ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CJ$4,0))*INDEX('年度季节曲线'!$H$6:$H$17,MONTH(CJ$4))</x:f>
        <x:v>49072855.124695614</x:v>
      </x:c>
      <x:c r="CK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CK$4,0))*INDEX('年度季节曲线'!$H$6:$H$17,MONTH(CK$4))</x:f>
        <x:v>52781218.13012149</x:v>
      </x:c>
      <x:c r="CL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CL$4,0))*INDEX('年度季节曲线'!$H$6:$H$17,MONTH(CL$4))</x:f>
        <x:v>56524343.26135766</x:v>
      </x:c>
      <x:c r="CM5" s="28" t="n">
        <x:f>('核心假设'!$B$6*$M5*INDEX('核心假设'!$B$60:$G$60,1,6)+'核心假设'!$B$6*$N5*INDEX('核心假设'!$B$60:$G$60,1,6)+'核心假设'!$B$6*$O5*INDEX('核心假设'!$B$60:$G$60,1,6)+'核心假设'!$B$6*$P5*INDEX('核心假设'!$B$60:$G$60,1,6)+'核心假设'!$B$6*$Q5*INDEX('核心假设'!$B$60:$G$60,1,6)+'核心假设'!$B$6*$R5*INDEX('核心假设'!$B$60:$G$60,1,6)+'核心假设'!$B$6*$S5*INDEX('核心假设'!$B$60:$G$60,1,6)+'核心假设'!$B$6*$T5*INDEX('核心假设'!$B$60:$G$60,1,6)+'核心假设'!$B$6*$U5*INDEX('核心假设'!$B$60:$G$60,1,6)+'核心假设'!$B$6*$V5*INDEX('核心假设'!$B$60:$G$60,1,6)+'核心假设'!$B$6*$W5*INDEX('核心假设'!$B$60:$G$60,1,6)+'核心假设'!$B$6*$X5*INDEX('核心假设'!$B$60:$G$60,1,6)+'核心假设'!$B$6*$Y5*INDEX('核心假设'!$B$60:$G$60,1,6)+'核心假设'!$B$6*$Z5*INDEX('核心假设'!$B$60:$G$60,1,6)+'核心假设'!$B$6*$AA5*INDEX('核心假设'!$B$60:$G$60,1,6)+'核心假设'!$B$6*$AB5*INDEX('核心假设'!$B$60:$G$60,1,6)+'核心假设'!$B$6*$AC5*INDEX('核心假设'!$B$60:$G$60,1,6)+'核心假设'!$B$6*$AD5*INDEX('核心假设'!$B$60:$G$60,1,6))*$B5*DAY(EOMONTH(CM$4,0))*INDEX('年度季节曲线'!$H$6:$H$17,MONTH(CM$4))</x:f>
        <x:v>58493481.85873535</x:v>
      </x:c>
    </x:row>
    <x:row r="6">
      <x:c r="A6" t="str">
        <x:v>保守收入</x:v>
      </x:c>
      <x:c r="B6" s="28" t="n">
        <x:f>IF('36月运营模型'!$B$22=0,0,'历史单枪模型'!$M$5/'36月运营模型'!$B$22)</x:f>
        <x:v>26.975445886699955</x:v>
      </x:c>
      <x:c r="C6" s="49" t="n">
        <x:f>'核心假设'!$B$27</x:f>
        <x:v>1</x:v>
      </x:c>
      <x:c r="D6" s="25" t="n">
        <x:f>'核心假设'!$B$28</x:f>
        <x:v>36</x:v>
      </x:c>
      <x:c r="E6" s="49" t="n">
        <x:f>'核心假设'!$B$29</x:f>
        <x:v>0.08</x:v>
      </x:c>
      <x:c r="F6" s="25" t="n">
        <x:f>'核心假设'!$B$30</x:f>
        <x:v>1</x:v>
      </x:c>
      <x:c r="G6" s="25" t="str">
        <x:f>'核心假设'!$B$33</x:f>
        <x:v>分成</x:v>
      </x:c>
      <x:c r="H6" s="49" t="n">
        <x:f>'核心假设'!$B$36</x:f>
        <x:v>0.1</x:v>
      </x:c>
      <x:c r="I6" s="35" t="n">
        <x:f>SUM(AF11:BO11)</x:f>
        <x:v>722023411.8358438</x:v>
      </x:c>
      <x:c r="J6" s="115" t="n">
        <x:f>IF(SUM(AF13:CM13)=0,"",SUM(AF12:CM12)/SUM(AF13:CM13))</x:f>
        <x:v>1.4982431956826163</x:v>
      </x:c>
      <x:c r="K6" s="35" t="n">
        <x:f>MAX(0,-MIN(AF16:CM16))</x:f>
        <x:v>76244505.6204946</x:v>
      </x:c>
      <x:c r="L6" s="18" t="n">
        <x:f>12</x:f>
        <x:v>12</x:v>
      </x:c>
      <x:c r="M6" s="22" t="n">
        <x:f>'核心假设'!B$55</x:f>
        <x:v>0.05</x:v>
      </x:c>
      <x:c r="N6" s="22" t="n">
        <x:f>'核心假设'!C$55</x:f>
        <x:v>0.06</x:v>
      </x:c>
      <x:c r="O6" s="22" t="n">
        <x:f>'核心假设'!D$55</x:f>
        <x:v>0.07</x:v>
      </x:c>
      <x:c r="P6" s="22" t="n">
        <x:f>'核心假设'!E$55</x:f>
        <x:v>0.08</x:v>
      </x:c>
      <x:c r="Q6" s="22" t="n">
        <x:f>'核心假设'!F$55</x:f>
        <x:v>0.09</x:v>
      </x:c>
      <x:c r="R6" s="22" t="n">
        <x:f>'核心假设'!G$55</x:f>
        <x:v>0.1</x:v>
      </x:c>
      <x:c r="S6" s="22" t="n">
        <x:f>'核心假设'!H$55</x:f>
        <x:v>0.11</x:v>
      </x:c>
      <x:c r="T6" s="22" t="n">
        <x:f>'核心假设'!I$55</x:f>
        <x:v>0.11</x:v>
      </x:c>
      <x:c r="U6" s="22" t="n">
        <x:f>'核心假设'!J$55</x:f>
        <x:v>0.1</x:v>
      </x:c>
      <x:c r="V6" s="22" t="n">
        <x:f>'核心假设'!K$55</x:f>
        <x:v>0.09</x:v>
      </x:c>
      <x:c r="W6" s="22" t="n">
        <x:f>'核心假设'!L$55</x:f>
        <x:v>0.08</x:v>
      </x:c>
      <x:c r="X6" s="22" t="n">
        <x:f>'核心假设'!M$55</x:f>
        <x:v>0.06</x:v>
      </x:c>
      <x:c r="Y6" s="22" t="n">
        <x:f>0</x:f>
        <x:v>0</x:v>
      </x:c>
      <x:c r="Z6" s="22" t="n">
        <x:f>0</x:f>
        <x:v>0</x:v>
      </x:c>
      <x:c r="AA6" s="22" t="n">
        <x:f>0</x:f>
        <x:v>0</x:v>
      </x:c>
      <x:c r="AB6" s="22" t="n">
        <x:f>0</x:f>
        <x:v>0</x:v>
      </x:c>
      <x:c r="AC6" s="22" t="n">
        <x:f>0</x:f>
        <x:v>0</x:v>
      </x:c>
      <x:c r="AD6" s="22" t="n">
        <x:f>0</x:f>
        <x:v>0</x:v>
      </x:c>
      <x:c r="AE6" t="str">
        <x:v>CFADS</x:v>
      </x:c>
      <x:c r="AF6" s="28" t="n">
        <x:f>AF5-IF($G5="固定租金",SUM('月度投放计划'!$J$15:$U$16)*SUM($M5:$M5)*'核心假设'!$B$35,AF5*'核心假设'!$B$34)-AF5*$H5-'核心假设'!$B$37-AF5*'核心假设'!$B$38</x:f>
        <x:v>1146839.7707964361</x:v>
      </x:c>
      <x:c r="AG6" s="28" t="n">
        <x:f>AG5-IF($G5="固定租金",SUM('月度投放计划'!$J$15:$U$16)*SUM($M5:$N5)*'核心假设'!$B$35,AG5*'核心假设'!$B$34)-AG5*$H5-'核心假设'!$B$37-AG5*'核心假设'!$B$38</x:f>
        <x:v>2734363.34240817</x:v>
      </x:c>
      <x:c r="AH6" s="28" t="n">
        <x:f>AH5-IF($G5="固定租金",SUM('月度投放计划'!$J$15:$U$16)*SUM($M5:$O5)*'核心假设'!$B$35,AH5*'核心假设'!$B$34)-AH5*$H5-'核心假设'!$B$37-AH5*'核心假设'!$B$38</x:f>
        <x:v>4914590.052996241</x:v>
      </x:c>
      <x:c r="AI6" s="28" t="n">
        <x:f>AI5-IF($G5="固定租金",SUM('月度投放计划'!$J$15:$U$16)*SUM($M5:$P5)*'核心假设'!$B$35,AI5*'核心假设'!$B$34)-AI5*$H5-'核心假设'!$B$37-AI5*'核心假设'!$B$38</x:f>
        <x:v>8291092.6531736255</x:v>
      </x:c>
      <x:c r="AJ6" s="28" t="n">
        <x:f>AJ5-IF($G5="固定租金",SUM('月度投放计划'!$J$15:$U$16)*SUM($M5:$Q5)*'核心假设'!$B$35,AJ5*'核心假设'!$B$34)-AJ5*$H5-'核心假设'!$B$37-AJ5*'核心假设'!$B$38</x:f>
        <x:v>10618908.976070046</x:v>
      </x:c>
      <x:c r="AK6" s="28" t="n">
        <x:f>AK5-IF($G5="固定租金",SUM('月度投放计划'!$J$15:$U$16)*SUM($M5:$R5)*'核心假设'!$B$35,AK5*'核心假设'!$B$34)-AK5*$H5-'核心假设'!$B$37-AK5*'核心假设'!$B$38</x:f>
        <x:v>11534197.468221288</x:v>
      </x:c>
      <x:c r="AL6" s="28" t="n">
        <x:f>AL5-IF($G5="固定租金",SUM('月度投放计划'!$J$15:$U$16)*SUM($M5:$S5)*'核心假设'!$B$35,AL5*'核心假设'!$B$34)-AL5*$H5-'核心假设'!$B$37-AL5*'核心假设'!$B$38</x:f>
        <x:v>15496969.676168516</x:v>
      </x:c>
      <x:c r="AM6" s="28" t="n">
        <x:f>AM5-IF($G5="固定租金",SUM('月度投放计划'!$J$15:$U$16)*SUM($M5:$T5)*'核心假设'!$B$35,AM5*'核心假设'!$B$34)-AM5*$H5-'核心假设'!$B$37-AM5*'核心假设'!$B$38</x:f>
        <x:v>19207920.148341417</x:v>
      </x:c>
      <x:c r="AN6" s="28" t="n">
        <x:f>AN5-IF($G5="固定租金",SUM('月度投放计划'!$J$15:$U$16)*SUM($M5:$U5)*'核心假设'!$B$35,AN5*'核心假设'!$B$34)-AN5*$H5-'核心假设'!$B$37-AN5*'核心假设'!$B$38</x:f>
        <x:v>23197229.345994864</x:v>
      </x:c>
      <x:c r="AO6" s="28" t="n">
        <x:f>AO5-IF($G5="固定租金",SUM('月度投放计划'!$J$15:$U$16)*SUM($M5:$V5)*'核心假设'!$B$35,AO5*'核心假设'!$B$34)-AO5*$H5-'核心假设'!$B$37-AO5*'核心假设'!$B$38</x:f>
        <x:v>28474939.36901924</x:v>
      </x:c>
      <x:c r="AP6" s="28" t="n">
        <x:f>AP5-IF($G5="固定租金",SUM('月度投放计划'!$J$15:$U$16)*SUM($M5:$W5)*'核心假设'!$B$35,AP5*'核心假设'!$B$34)-AP5*$H5-'核心假设'!$B$37-AP5*'核心假设'!$B$38</x:f>
        <x:v>33964347.37888459</x:v>
      </x:c>
      <x:c r="AQ6" s="28" t="n">
        <x:f>AQ5-IF($G5="固定租金",SUM('月度投放计划'!$J$15:$U$16)*SUM($M5:$X5)*'核心假设'!$B$35,AQ5*'核心假设'!$B$34)-AQ5*$H5-'核心假设'!$B$37-AQ5*'核心假设'!$B$38</x:f>
        <x:v>38128391.21479805</x:v>
      </x:c>
      <x:c r="AR6" s="28" t="n">
        <x:f>AR5-IF($G5="固定租金",SUM('月度投放计划'!$J$15:$U$16)*SUM($M5:$Y5)*'核心假设'!$B$35,AR5*'核心假设'!$B$34)-AR5*$H5-'核心假设'!$B$37-AR5*'核心假设'!$B$38</x:f>
        <x:v>36805911.044093624</x:v>
      </x:c>
      <x:c r="AS6" s="28" t="n">
        <x:f>AS5-IF($G5="固定租金",SUM('月度投放计划'!$J$15:$U$16)*SUM($M5:$Z5)*'核心假设'!$B$35,AS5*'核心假设'!$B$34)-AS5*$H5-'核心假设'!$B$37-AS5*'核心假设'!$B$38</x:f>
        <x:v>36528862.121232405</x:v>
      </x:c>
      <x:c r="AT6" s="28" t="n">
        <x:f>AT5-IF($G5="固定租金",SUM('月度投放计划'!$J$15:$U$16)*SUM($M5:$AA5)*'核心假设'!$B$35,AT5*'核心假设'!$B$34)-AT5*$H5-'核心假设'!$B$37-AT5*'核心假设'!$B$38</x:f>
        <x:v>37677258.72289318</x:v>
      </x:c>
      <x:c r="AU6" s="28" t="n">
        <x:f>AU5-IF($G5="固定租金",SUM('月度投放计划'!$J$15:$U$16)*SUM($M5:$AB5)*'核心假设'!$B$35,AU5*'核心假设'!$B$34)-AU5*$H5-'核心假设'!$B$37-AU5*'核心假设'!$B$38</x:f>
        <x:v>41904651.5766983</x:v>
      </x:c>
      <x:c r="AV6" s="28" t="n">
        <x:f>AV5-IF($G5="固定租金",SUM('月度投放计划'!$J$15:$U$16)*SUM($M5:$AC5)*'核心假设'!$B$35,AV5*'核心假设'!$B$34)-AV5*$H5-'核心假设'!$B$37-AV5*'核心假设'!$B$38</x:f>
        <x:v>38307752.438925125</x:v>
      </x:c>
      <x:c r="AW6" s="28" t="n">
        <x:f>AW5-IF($G5="固定租金",SUM('月度投放计划'!$J$15:$U$16)*SUM($M5:$AD5)*'核心假设'!$B$35,AW5*'核心假设'!$B$34)-AW5*$H5-'核心假设'!$B$37-AW5*'核心假设'!$B$38</x:f>
        <x:v>32453499.299338046</x:v>
      </x:c>
      <x:c r="AX6" s="28" t="n">
        <x:f>AX5-IF($G5="固定租金",SUM('月度投放计划'!$J$15:$U$16)*SUM($M5:$AD5)*'核心假设'!$B$35,AX5*'核心假设'!$B$34)-AX5*$H5-'核心假设'!$B$37-AX5*'核心假设'!$B$38</x:f>
        <x:v>33042579.26688383</x:v>
      </x:c>
      <x:c r="AY6" s="28" t="n">
        <x:f>AY5-IF($G5="固定租金",SUM('月度投放计划'!$J$15:$U$16)*SUM($M5:$AD5)*'核心假设'!$B$35,AY5*'核心假设'!$B$34)-AY5*$H5-'核心假设'!$B$37-AY5*'核心假设'!$B$38</x:f>
        <x:v>33469106.374527637</x:v>
      </x:c>
      <x:c r="AZ6" s="28" t="n">
        <x:f>AZ5-IF($G5="固定租金",SUM('月度投放计划'!$J$15:$U$16)*SUM($M5:$AD5)*'核心假设'!$B$35,AZ5*'核心假设'!$B$34)-AZ5*$H5-'核心假设'!$B$37-AZ5*'核心假设'!$B$38</x:f>
        <x:v>34350998.587286934</x:v>
      </x:c>
      <x:c r="BA6" s="28" t="n">
        <x:f>BA5-IF($G5="固定租金",SUM('月度投放计划'!$J$15:$U$16)*SUM($M5:$AD5)*'核心假设'!$B$35,BA5*'核心假设'!$B$34)-BA5*$H5-'核心假设'!$B$37-BA5*'核心假设'!$B$38</x:f>
        <x:v>36946852.69108504</x:v>
      </x:c>
      <x:c r="BB6" s="28" t="n">
        <x:f>BB5-IF($G5="固定租金",SUM('月度投放计划'!$J$15:$U$16)*SUM($M5:$AD5)*'核心假设'!$B$35,BB5*'核心假设'!$B$34)-BB5*$H5-'核心假设'!$B$37-BB5*'核心假设'!$B$38</x:f>
        <x:v>39567040.28295036</x:v>
      </x:c>
      <x:c r="BC6" s="28" t="n">
        <x:f>BC5-IF($G5="固定租金",SUM('月度投放计划'!$J$15:$U$16)*SUM($M5:$AD5)*'核心假设'!$B$35,BC5*'核心假设'!$B$34)-BC5*$H5-'核心假设'!$B$37-BC5*'核心假设'!$B$38</x:f>
        <x:v>40945437.301114745</x:v>
      </x:c>
      <x:c r="BD6" s="28" t="n">
        <x:f>BD5-IF($G5="固定租金",SUM('月度投放计划'!$J$15:$U$16)*SUM($M5:$AD5)*'核心假设'!$B$35,BD5*'核心假设'!$B$34)-BD5*$H5-'核心假设'!$B$37-BD5*'核心假设'!$B$38</x:f>
        <x:v>38227992.35988121</x:v>
      </x:c>
      <x:c r="BE6" s="28" t="n">
        <x:f>BE5-IF($G5="固定租金",SUM('月度投放计划'!$J$15:$U$16)*SUM($M5:$AD5)*'核心假设'!$B$35,BE5*'核心假设'!$B$34)-BE5*$H5-'核心假设'!$B$37-BE5*'核心假设'!$B$38</x:f>
        <x:v>37202222.345689386</x:v>
      </x:c>
      <x:c r="BF6" s="28" t="n">
        <x:f>BF5-IF($G5="固定租金",SUM('月度投放计划'!$J$15:$U$16)*SUM($M5:$AD5)*'核心假设'!$B$35,BF5*'核心假设'!$B$34)-BF5*$H5-'核心假设'!$B$37-BF5*'核心假设'!$B$38</x:f>
        <x:v>37950502.33973929</x:v>
      </x:c>
      <x:c r="BG6" s="28" t="n">
        <x:f>BG5-IF($G5="固定租金",SUM('月度投放计划'!$J$15:$U$16)*SUM($M5:$AD5)*'核心假设'!$B$35,BG5*'核心假设'!$B$34)-BG5*$H5-'核心假设'!$B$37-BG5*'核心假设'!$B$38</x:f>
        <x:v>41980215.965436086</x:v>
      </x:c>
      <x:c r="BH6" s="28" t="n">
        <x:f>BH5-IF($G5="固定租金",SUM('月度投放计划'!$J$15:$U$16)*SUM($M5:$AD5)*'核心假设'!$B$35,BH5*'核心假设'!$B$34)-BH5*$H5-'核心假设'!$B$37-BH5*'核心假设'!$B$38</x:f>
        <x:v>38307752.438925125</x:v>
      </x:c>
      <x:c r="BI6" s="28" t="n">
        <x:f>BI5-IF($G5="固定租金",SUM('月度投放计划'!$J$15:$U$16)*SUM($M5:$AD5)*'核心假设'!$B$35,BI5*'核心假设'!$B$34)-BI5*$H5-'核心假设'!$B$37-BI5*'核心假设'!$B$38</x:f>
        <x:v>31334413.11660225</x:v>
      </x:c>
      <x:c r="BJ6" s="28" t="n">
        <x:f>BJ5-IF($G5="固定租金",SUM('月度投放计划'!$J$15:$U$16)*SUM($M5:$AD5)*'核心假设'!$B$35,BJ5*'核心假设'!$B$34)-BJ5*$H5-'核心假设'!$B$37-BJ5*'核心假设'!$B$38</x:f>
        <x:v>33042579.26688383</x:v>
      </x:c>
      <x:c r="BK6" s="28" t="n">
        <x:f>BK5-IF($G5="固定租金",SUM('月度投放计划'!$J$15:$U$16)*SUM($M5:$AD5)*'核心假设'!$B$35,BK5*'核心假设'!$B$34)-BK5*$H5-'核心假设'!$B$37-BK5*'核心假设'!$B$38</x:f>
        <x:v>33469106.374527637</x:v>
      </x:c>
      <x:c r="BL6" s="28" t="n">
        <x:f>BL5-IF($G5="固定租金",SUM('月度投放计划'!$J$15:$U$16)*SUM($M5:$AD5)*'核心假设'!$B$35,BL5*'核心假设'!$B$34)-BL5*$H5-'核心假设'!$B$37-BL5*'核心假设'!$B$38</x:f>
        <x:v>34350998.587286934</x:v>
      </x:c>
      <x:c r="BM6" s="28" t="n">
        <x:f>BM5-IF($G5="固定租金",SUM('月度投放计划'!$J$15:$U$16)*SUM($M5:$AD5)*'核心假设'!$B$35,BM5*'核心假设'!$B$34)-BM5*$H5-'核心假设'!$B$37-BM5*'核心假设'!$B$38</x:f>
        <x:v>36946852.69108504</x:v>
      </x:c>
      <x:c r="BN6" s="28" t="n">
        <x:f>BN5-IF($G5="固定租金",SUM('月度投放计划'!$J$15:$U$16)*SUM($M5:$AD5)*'核心假设'!$B$35,BN5*'核心假设'!$B$34)-BN5*$H5-'核心假设'!$B$37-BN5*'核心假设'!$B$38</x:f>
        <x:v>39567040.28295036</x:v>
      </x:c>
      <x:c r="BO6" s="28" t="n">
        <x:f>BO5-IF($G5="固定租金",SUM('月度投放计划'!$J$15:$U$16)*SUM($M5:$AD5)*'核心假设'!$B$35,BO5*'核心假设'!$B$34)-BO5*$H5-'核心假设'!$B$37-BO5*'核心假设'!$B$38</x:f>
        <x:v>40945437.301114745</x:v>
      </x:c>
      <x:c r="BP6" s="28" t="n">
        <x:f>BP5-IF($G5="固定租金",SUM('月度投放计划'!$J$15:$U$16)*SUM($M5:$AD5)*'核心假设'!$B$35,BP5*'核心假设'!$B$34)-BP5*$H5-'核心假设'!$B$37-BP5*'核心假设'!$B$38</x:f>
        <x:v>38227992.35988121</x:v>
      </x:c>
      <x:c r="BQ6" s="28" t="n">
        <x:f>BQ5-IF($G5="固定租金",SUM('月度投放计划'!$J$15:$U$16)*SUM($M5:$AD5)*'核心假设'!$B$35,BQ5*'核心假设'!$B$34)-BQ5*$H5-'核心假设'!$B$37-BQ5*'核心假设'!$B$38</x:f>
        <x:v>37202222.345689386</x:v>
      </x:c>
      <x:c r="BR6" s="28" t="n">
        <x:f>BR5-IF($G5="固定租金",SUM('月度投放计划'!$J$15:$U$16)*SUM($M5:$AD5)*'核心假设'!$B$35,BR5*'核心假设'!$B$34)-BR5*$H5-'核心假设'!$B$37-BR5*'核心假设'!$B$38</x:f>
        <x:v>37950502.33973929</x:v>
      </x:c>
      <x:c r="BS6" s="28" t="n">
        <x:f>BS5-IF($G5="固定租金",SUM('月度投放计划'!$J$15:$U$16)*SUM($M5:$AD5)*'核心假设'!$B$35,BS5*'核心假设'!$B$34)-BS5*$H5-'核心假设'!$B$37-BS5*'核心假设'!$B$38</x:f>
        <x:v>41980215.965436086</x:v>
      </x:c>
      <x:c r="BT6" s="28" t="n">
        <x:f>BT5-IF($G5="固定租金",SUM('月度投放计划'!$J$15:$U$16)*SUM($M5:$AD5)*'核心假设'!$B$35,BT5*'核心假设'!$B$34)-BT5*$H5-'核心假设'!$B$37-BT5*'核心假设'!$B$38</x:f>
        <x:v>38307752.438925125</x:v>
      </x:c>
      <x:c r="BU6" s="28" t="n">
        <x:f>BU5-IF($G5="固定租金",SUM('月度投放计划'!$J$15:$U$16)*SUM($M5:$AD5)*'核心假设'!$B$35,BU5*'核心假设'!$B$34)-BU5*$H5-'核心假设'!$B$37-BU5*'核心假设'!$B$38</x:f>
        <x:v>31334413.11660225</x:v>
      </x:c>
      <x:c r="BV6" s="28" t="n">
        <x:f>BV5-IF($G5="固定租金",SUM('月度投放计划'!$J$15:$U$16)*SUM($M5:$AD5)*'核心假设'!$B$35,BV5*'核心假设'!$B$34)-BV5*$H5-'核心假设'!$B$37-BV5*'核心假设'!$B$38</x:f>
        <x:v>33042579.26688383</x:v>
      </x:c>
      <x:c r="BW6" s="28" t="n">
        <x:f>BW5-IF($G5="固定租金",SUM('月度投放计划'!$J$15:$U$16)*SUM($M5:$AD5)*'核心假设'!$B$35,BW5*'核心假设'!$B$34)-BW5*$H5-'核心假设'!$B$37-BW5*'核心假设'!$B$38</x:f>
        <x:v>33469106.374527637</x:v>
      </x:c>
      <x:c r="BX6" s="28" t="n">
        <x:f>BX5-IF($G5="固定租金",SUM('月度投放计划'!$J$15:$U$16)*SUM($M5:$AD5)*'核心假设'!$B$35,BX5*'核心假设'!$B$34)-BX5*$H5-'核心假设'!$B$37-BX5*'核心假设'!$B$38</x:f>
        <x:v>34350998.587286934</x:v>
      </x:c>
      <x:c r="BY6" s="28" t="n">
        <x:f>BY5-IF($G5="固定租金",SUM('月度投放计划'!$J$15:$U$16)*SUM($M5:$AD5)*'核心假设'!$B$35,BY5*'核心假设'!$B$34)-BY5*$H5-'核心假设'!$B$37-BY5*'核心假设'!$B$38</x:f>
        <x:v>36946852.69108504</x:v>
      </x:c>
      <x:c r="BZ6" s="28" t="n">
        <x:f>BZ5-IF($G5="固定租金",SUM('月度投放计划'!$J$15:$U$16)*SUM($M5:$AD5)*'核心假设'!$B$35,BZ5*'核心假设'!$B$34)-BZ5*$H5-'核心假设'!$B$37-BZ5*'核心假设'!$B$38</x:f>
        <x:v>39567040.28295036</x:v>
      </x:c>
      <x:c r="CA6" s="28" t="n">
        <x:f>CA5-IF($G5="固定租金",SUM('月度投放计划'!$J$15:$U$16)*SUM($M5:$AD5)*'核心假设'!$B$35,CA5*'核心假设'!$B$34)-CA5*$H5-'核心假设'!$B$37-CA5*'核心假设'!$B$38</x:f>
        <x:v>40945437.301114745</x:v>
      </x:c>
      <x:c r="CB6" s="28" t="n">
        <x:f>CB5-IF($G5="固定租金",SUM('月度投放计划'!$J$15:$U$16)*SUM($M5:$AD5)*'核心假设'!$B$35,CB5*'核心假设'!$B$34)-CB5*$H5-'核心假设'!$B$37-CB5*'核心假设'!$B$38</x:f>
        <x:v>38227992.35988121</x:v>
      </x:c>
      <x:c r="CC6" s="28" t="n">
        <x:f>CC5-IF($G5="固定租金",SUM('月度投放计划'!$J$15:$U$16)*SUM($M5:$AD5)*'核心假设'!$B$35,CC5*'核心假设'!$B$34)-CC5*$H5-'核心假设'!$B$37-CC5*'核心假设'!$B$38</x:f>
        <x:v>37202222.345689386</x:v>
      </x:c>
      <x:c r="CD6" s="28" t="n">
        <x:f>CD5-IF($G5="固定租金",SUM('月度投放计划'!$J$15:$U$16)*SUM($M5:$AD5)*'核心假设'!$B$35,CD5*'核心假设'!$B$34)-CD5*$H5-'核心假设'!$B$37-CD5*'核心假设'!$B$38</x:f>
        <x:v>37950502.33973929</x:v>
      </x:c>
      <x:c r="CE6" s="28" t="n">
        <x:f>CE5-IF($G5="固定租金",SUM('月度投放计划'!$J$15:$U$16)*SUM($M5:$AD5)*'核心假设'!$B$35,CE5*'核心假设'!$B$34)-CE5*$H5-'核心假设'!$B$37-CE5*'核心假设'!$B$38</x:f>
        <x:v>41980215.965436086</x:v>
      </x:c>
      <x:c r="CF6" s="28" t="n">
        <x:f>CF5-IF($G5="固定租金",SUM('月度投放计划'!$J$15:$U$16)*SUM($M5:$AD5)*'核心假设'!$B$35,CF5*'核心假设'!$B$34)-CF5*$H5-'核心假设'!$B$37-CF5*'核心假设'!$B$38</x:f>
        <x:v>38307752.438925125</x:v>
      </x:c>
      <x:c r="CG6" s="28" t="n">
        <x:f>CG5-IF($G5="固定租金",SUM('月度投放计划'!$J$15:$U$16)*SUM($M5:$AD5)*'核心假设'!$B$35,CG5*'核心假设'!$B$34)-CG5*$H5-'核心假设'!$B$37-CG5*'核心假设'!$B$38</x:f>
        <x:v>31334413.11660225</x:v>
      </x:c>
      <x:c r="CH6" s="28" t="n">
        <x:f>CH5-IF($G5="固定租金",SUM('月度投放计划'!$J$15:$U$16)*SUM($M5:$AD5)*'核心假设'!$B$35,CH5*'核心假设'!$B$34)-CH5*$H5-'核心假设'!$B$37-CH5*'核心假设'!$B$38</x:f>
        <x:v>33042579.26688383</x:v>
      </x:c>
      <x:c r="CI6" s="28" t="n">
        <x:f>CI5-IF($G5="固定租金",SUM('月度投放计划'!$J$15:$U$16)*SUM($M5:$AD5)*'核心假设'!$B$35,CI5*'核心假设'!$B$34)-CI5*$H5-'核心假设'!$B$37-CI5*'核心假设'!$B$38</x:f>
        <x:v>33469106.374527637</x:v>
      </x:c>
      <x:c r="CJ6" s="28" t="n">
        <x:f>CJ5-IF($G5="固定租金",SUM('月度投放计划'!$J$15:$U$16)*SUM($M5:$AD5)*'核心假设'!$B$35,CJ5*'核心假设'!$B$34)-CJ5*$H5-'核心假设'!$B$37-CJ5*'核心假设'!$B$38</x:f>
        <x:v>34350998.587286934</x:v>
      </x:c>
      <x:c r="CK6" s="28" t="n">
        <x:f>CK5-IF($G5="固定租金",SUM('月度投放计划'!$J$15:$U$16)*SUM($M5:$AD5)*'核心假设'!$B$35,CK5*'核心假设'!$B$34)-CK5*$H5-'核心假设'!$B$37-CK5*'核心假设'!$B$38</x:f>
        <x:v>36946852.69108504</x:v>
      </x:c>
      <x:c r="CL6" s="28" t="n">
        <x:f>CL5-IF($G5="固定租金",SUM('月度投放计划'!$J$15:$U$16)*SUM($M5:$AD5)*'核心假设'!$B$35,CL5*'核心假设'!$B$34)-CL5*$H5-'核心假设'!$B$37-CL5*'核心假设'!$B$38</x:f>
        <x:v>39567040.28295036</x:v>
      </x:c>
      <x:c r="CM6" s="28" t="n">
        <x:f>CM5-IF($G5="固定租金",SUM('月度投放计划'!$J$15:$U$16)*SUM($M5:$AD5)*'核心假设'!$B$35,CM5*'核心假设'!$B$34)-CM5*$H5-'核心假设'!$B$37-CM5*'核心假设'!$B$38</x:f>
        <x:v>40945437.301114745</x:v>
      </x:c>
    </x:row>
    <x:row r="7">
      <x:c r="A7" t="str">
        <x:v>融资收缩</x:v>
      </x:c>
      <x:c r="B7" s="28" t="n">
        <x:f>'36月运营模型'!$B$23</x:f>
        <x:v>57.8045127253589</x:v>
      </x:c>
      <x:c r="C7" s="22" t="n">
        <x:f>80%</x:f>
        <x:v>0.8</x:v>
      </x:c>
      <x:c r="D7" s="25" t="n">
        <x:f>'核心假设'!$B$28</x:f>
        <x:v>36</x:v>
      </x:c>
      <x:c r="E7" s="49" t="n">
        <x:f>'核心假设'!$B$29</x:f>
        <x:v>0.08</x:v>
      </x:c>
      <x:c r="F7" s="25" t="n">
        <x:f>'核心假设'!$B$30</x:f>
        <x:v>1</x:v>
      </x:c>
      <x:c r="G7" s="25" t="str">
        <x:f>'核心假设'!$B$33</x:f>
        <x:v>分成</x:v>
      </x:c>
      <x:c r="H7" s="49" t="n">
        <x:f>'核心假设'!$B$36</x:f>
        <x:v>0.1</x:v>
      </x:c>
      <x:c r="I7" s="35" t="n">
        <x:f>SUM(AF17:BO17)</x:f>
        <x:v>1547192645.9628906</x:v>
      </x:c>
      <x:c r="J7" s="115" t="n">
        <x:f>IF(SUM(AF19:CM19)=0,"",SUM(AF18:CM18)/SUM(AF19:CM19))</x:f>
        <x:v>4.012156560203358</x:v>
      </x:c>
      <x:c r="K7" s="35" t="n">
        <x:f>MAX(0,-MIN(AF22:CM22))</x:f>
        <x:v>68209348.68669993</x:v>
      </x:c>
      <x:c r="L7" s="18" t="n">
        <x:f>12</x:f>
        <x:v>12</x:v>
      </x:c>
      <x:c r="M7" s="22" t="n">
        <x:f>'核心假设'!B$55</x:f>
        <x:v>0.05</x:v>
      </x:c>
      <x:c r="N7" s="22" t="n">
        <x:f>'核心假设'!C$55</x:f>
        <x:v>0.06</x:v>
      </x:c>
      <x:c r="O7" s="22" t="n">
        <x:f>'核心假设'!D$55</x:f>
        <x:v>0.07</x:v>
      </x:c>
      <x:c r="P7" s="22" t="n">
        <x:f>'核心假设'!E$55</x:f>
        <x:v>0.08</x:v>
      </x:c>
      <x:c r="Q7" s="22" t="n">
        <x:f>'核心假设'!F$55</x:f>
        <x:v>0.09</x:v>
      </x:c>
      <x:c r="R7" s="22" t="n">
        <x:f>'核心假设'!G$55</x:f>
        <x:v>0.1</x:v>
      </x:c>
      <x:c r="S7" s="22" t="n">
        <x:f>'核心假设'!H$55</x:f>
        <x:v>0.11</x:v>
      </x:c>
      <x:c r="T7" s="22" t="n">
        <x:f>'核心假设'!I$55</x:f>
        <x:v>0.11</x:v>
      </x:c>
      <x:c r="U7" s="22" t="n">
        <x:f>'核心假设'!J$55</x:f>
        <x:v>0.1</x:v>
      </x:c>
      <x:c r="V7" s="22" t="n">
        <x:f>'核心假设'!K$55</x:f>
        <x:v>0.09</x:v>
      </x:c>
      <x:c r="W7" s="22" t="n">
        <x:f>'核心假设'!L$55</x:f>
        <x:v>0.08</x:v>
      </x:c>
      <x:c r="X7" s="22" t="n">
        <x:f>'核心假设'!M$55</x:f>
        <x:v>0.06</x:v>
      </x:c>
      <x:c r="Y7" s="22" t="n">
        <x:f>0</x:f>
        <x:v>0</x:v>
      </x:c>
      <x:c r="Z7" s="22" t="n">
        <x:f>0</x:f>
        <x:v>0</x:v>
      </x:c>
      <x:c r="AA7" s="22" t="n">
        <x:f>0</x:f>
        <x:v>0</x:v>
      </x:c>
      <x:c r="AB7" s="22" t="n">
        <x:f>0</x:f>
        <x:v>0</x:v>
      </x:c>
      <x:c r="AC7" s="22" t="n">
        <x:f>0</x:f>
        <x:v>0</x:v>
      </x:c>
      <x:c r="AD7" s="22" t="n">
        <x:f>0</x:f>
        <x:v>0</x:v>
      </x:c>
      <x:c r="AE7" t="str">
        <x:v>债务支付</x:v>
      </x:c>
      <x:c r="AF7" s="28" t="n">
        <x:f>SUM(IF(AND(AF$4&gt;EDATE('核心假设'!$B$5,0+$F5),AF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AF$4=EDATE(EDATE('核心假设'!$B$5,0+$F5),$D5),SUM('融资租赁与资金缺口'!$D$5:$D$16)*$M5*'核心假设'!$B$32,0),0),IF(AND(AF$4&gt;EDATE('核心假设'!$B$5,1+$F5),AF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AF$4=EDATE(EDATE('核心假设'!$B$5,1+$F5),$D5),SUM('融资租赁与资金缺口'!$D$5:$D$16)*$N5*'核心假设'!$B$32,0),0),IF(AND(AF$4&gt;EDATE('核心假设'!$B$5,2+$F5),AF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AF$4=EDATE(EDATE('核心假设'!$B$5,2+$F5),$D5),SUM('融资租赁与资金缺口'!$D$5:$D$16)*$O5*'核心假设'!$B$32,0),0),IF(AND(AF$4&gt;EDATE('核心假设'!$B$5,3+$F5),AF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AF$4=EDATE(EDATE('核心假设'!$B$5,3+$F5),$D5),SUM('融资租赁与资金缺口'!$D$5:$D$16)*$P5*'核心假设'!$B$32,0),0),IF(AND(AF$4&gt;EDATE('核心假设'!$B$5,4+$F5),AF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AF$4=EDATE(EDATE('核心假设'!$B$5,4+$F5),$D5),SUM('融资租赁与资金缺口'!$D$5:$D$16)*$Q5*'核心假设'!$B$32,0),0),IF(AND(AF$4&gt;EDATE('核心假设'!$B$5,5+$F5),AF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AF$4=EDATE(EDATE('核心假设'!$B$5,5+$F5),$D5),SUM('融资租赁与资金缺口'!$D$5:$D$16)*$R5*'核心假设'!$B$32,0),0),IF(AND(AF$4&gt;EDATE('核心假设'!$B$5,6+$F5),AF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AF$4=EDATE(EDATE('核心假设'!$B$5,6+$F5),$D5),SUM('融资租赁与资金缺口'!$D$5:$D$16)*$S5*'核心假设'!$B$32,0),0),IF(AND(AF$4&gt;EDATE('核心假设'!$B$5,7+$F5),AF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AF$4=EDATE(EDATE('核心假设'!$B$5,7+$F5),$D5),SUM('融资租赁与资金缺口'!$D$5:$D$16)*$T5*'核心假设'!$B$32,0),0),IF(AND(AF$4&gt;EDATE('核心假设'!$B$5,8+$F5),AF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AF$4=EDATE(EDATE('核心假设'!$B$5,8+$F5),$D5),SUM('融资租赁与资金缺口'!$D$5:$D$16)*$U5*'核心假设'!$B$32,0),0),IF(AND(AF$4&gt;EDATE('核心假设'!$B$5,9+$F5),AF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AF$4=EDATE(EDATE('核心假设'!$B$5,9+$F5),$D5),SUM('融资租赁与资金缺口'!$D$5:$D$16)*$V5*'核心假设'!$B$32,0),0),IF(AND(AF$4&gt;EDATE('核心假设'!$B$5,10+$F5),AF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AF$4=EDATE(EDATE('核心假设'!$B$5,10+$F5),$D5),SUM('融资租赁与资金缺口'!$D$5:$D$16)*$W5*'核心假设'!$B$32,0),0),IF(AND(AF$4&gt;EDATE('核心假设'!$B$5,11+$F5),AF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AF$4=EDATE(EDATE('核心假设'!$B$5,11+$F5),$D5),SUM('融资租赁与资金缺口'!$D$5:$D$16)*$X5*'核心假设'!$B$32,0),0),IF(AND(AF$4&gt;EDATE('核心假设'!$B$5,12+$F5),AF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AF$4=EDATE(EDATE('核心假设'!$B$5,12+$F5),$D5),SUM('融资租赁与资金缺口'!$D$5:$D$16)*$Y5*'核心假设'!$B$32,0),0),IF(AND(AF$4&gt;EDATE('核心假设'!$B$5,13+$F5),AF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AF$4=EDATE(EDATE('核心假设'!$B$5,13+$F5),$D5),SUM('融资租赁与资金缺口'!$D$5:$D$16)*$Z5*'核心假设'!$B$32,0),0),IF(AND(AF$4&gt;EDATE('核心假设'!$B$5,14+$F5),AF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AF$4=EDATE(EDATE('核心假设'!$B$5,14+$F5),$D5),SUM('融资租赁与资金缺口'!$D$5:$D$16)*$AA5*'核心假设'!$B$32,0),0),IF(AND(AF$4&gt;EDATE('核心假设'!$B$5,15+$F5),AF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AF$4=EDATE(EDATE('核心假设'!$B$5,15+$F5),$D5),SUM('融资租赁与资金缺口'!$D$5:$D$16)*$AB5*'核心假设'!$B$32,0),0),IF(AND(AF$4&gt;EDATE('核心假设'!$B$5,16+$F5),AF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AF$4=EDATE(EDATE('核心假设'!$B$5,16+$F5),$D5),SUM('融资租赁与资金缺口'!$D$5:$D$16)*$AC5*'核心假设'!$B$32,0),0),IF(AND(AF$4&gt;EDATE('核心假设'!$B$5,17+$F5),AF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AF$4=EDATE(EDATE('核心假设'!$B$5,17+$F5),$D5),SUM('融资租赁与资金缺口'!$D$5:$D$16)*$AD5*'核心假设'!$B$32,0),0))</x:f>
        <x:v>0</x:v>
      </x:c>
      <x:c r="AG7" s="28" t="n">
        <x:f>SUM(IF(AND(AG$4&gt;EDATE('核心假设'!$B$5,0+$F5),AG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AG$4=EDATE(EDATE('核心假设'!$B$5,0+$F5),$D5),SUM('融资租赁与资金缺口'!$D$5:$D$16)*$M5*'核心假设'!$B$32,0),0),IF(AND(AG$4&gt;EDATE('核心假设'!$B$5,1+$F5),AG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AG$4=EDATE(EDATE('核心假设'!$B$5,1+$F5),$D5),SUM('融资租赁与资金缺口'!$D$5:$D$16)*$N5*'核心假设'!$B$32,0),0),IF(AND(AG$4&gt;EDATE('核心假设'!$B$5,2+$F5),AG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AG$4=EDATE(EDATE('核心假设'!$B$5,2+$F5),$D5),SUM('融资租赁与资金缺口'!$D$5:$D$16)*$O5*'核心假设'!$B$32,0),0),IF(AND(AG$4&gt;EDATE('核心假设'!$B$5,3+$F5),AG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AG$4=EDATE(EDATE('核心假设'!$B$5,3+$F5),$D5),SUM('融资租赁与资金缺口'!$D$5:$D$16)*$P5*'核心假设'!$B$32,0),0),IF(AND(AG$4&gt;EDATE('核心假设'!$B$5,4+$F5),AG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AG$4=EDATE(EDATE('核心假设'!$B$5,4+$F5),$D5),SUM('融资租赁与资金缺口'!$D$5:$D$16)*$Q5*'核心假设'!$B$32,0),0),IF(AND(AG$4&gt;EDATE('核心假设'!$B$5,5+$F5),AG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AG$4=EDATE(EDATE('核心假设'!$B$5,5+$F5),$D5),SUM('融资租赁与资金缺口'!$D$5:$D$16)*$R5*'核心假设'!$B$32,0),0),IF(AND(AG$4&gt;EDATE('核心假设'!$B$5,6+$F5),AG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AG$4=EDATE(EDATE('核心假设'!$B$5,6+$F5),$D5),SUM('融资租赁与资金缺口'!$D$5:$D$16)*$S5*'核心假设'!$B$32,0),0),IF(AND(AG$4&gt;EDATE('核心假设'!$B$5,7+$F5),AG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AG$4=EDATE(EDATE('核心假设'!$B$5,7+$F5),$D5),SUM('融资租赁与资金缺口'!$D$5:$D$16)*$T5*'核心假设'!$B$32,0),0),IF(AND(AG$4&gt;EDATE('核心假设'!$B$5,8+$F5),AG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AG$4=EDATE(EDATE('核心假设'!$B$5,8+$F5),$D5),SUM('融资租赁与资金缺口'!$D$5:$D$16)*$U5*'核心假设'!$B$32,0),0),IF(AND(AG$4&gt;EDATE('核心假设'!$B$5,9+$F5),AG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AG$4=EDATE(EDATE('核心假设'!$B$5,9+$F5),$D5),SUM('融资租赁与资金缺口'!$D$5:$D$16)*$V5*'核心假设'!$B$32,0),0),IF(AND(AG$4&gt;EDATE('核心假设'!$B$5,10+$F5),AG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AG$4=EDATE(EDATE('核心假设'!$B$5,10+$F5),$D5),SUM('融资租赁与资金缺口'!$D$5:$D$16)*$W5*'核心假设'!$B$32,0),0),IF(AND(AG$4&gt;EDATE('核心假设'!$B$5,11+$F5),AG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AG$4=EDATE(EDATE('核心假设'!$B$5,11+$F5),$D5),SUM('融资租赁与资金缺口'!$D$5:$D$16)*$X5*'核心假设'!$B$32,0),0),IF(AND(AG$4&gt;EDATE('核心假设'!$B$5,12+$F5),AG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AG$4=EDATE(EDATE('核心假设'!$B$5,12+$F5),$D5),SUM('融资租赁与资金缺口'!$D$5:$D$16)*$Y5*'核心假设'!$B$32,0),0),IF(AND(AG$4&gt;EDATE('核心假设'!$B$5,13+$F5),AG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AG$4=EDATE(EDATE('核心假设'!$B$5,13+$F5),$D5),SUM('融资租赁与资金缺口'!$D$5:$D$16)*$Z5*'核心假设'!$B$32,0),0),IF(AND(AG$4&gt;EDATE('核心假设'!$B$5,14+$F5),AG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AG$4=EDATE(EDATE('核心假设'!$B$5,14+$F5),$D5),SUM('融资租赁与资金缺口'!$D$5:$D$16)*$AA5*'核心假设'!$B$32,0),0),IF(AND(AG$4&gt;EDATE('核心假设'!$B$5,15+$F5),AG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AG$4=EDATE(EDATE('核心假设'!$B$5,15+$F5),$D5),SUM('融资租赁与资金缺口'!$D$5:$D$16)*$AB5*'核心假设'!$B$32,0),0),IF(AND(AG$4&gt;EDATE('核心假设'!$B$5,16+$F5),AG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AG$4=EDATE(EDATE('核心假设'!$B$5,16+$F5),$D5),SUM('融资租赁与资金缺口'!$D$5:$D$16)*$AC5*'核心假设'!$B$32,0),0),IF(AND(AG$4&gt;EDATE('核心假设'!$B$5,17+$F5),AG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AG$4=EDATE(EDATE('核心假设'!$B$5,17+$F5),$D5),SUM('融资租赁与资金缺口'!$D$5:$D$16)*$AD5*'核心假设'!$B$32,0),0))</x:f>
        <x:v>0</x:v>
      </x:c>
      <x:c r="AH7" s="28" t="n">
        <x:f>SUM(IF(AND(AH$4&gt;EDATE('核心假设'!$B$5,0+$F5),AH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AH$4=EDATE(EDATE('核心假设'!$B$5,0+$F5),$D5),SUM('融资租赁与资金缺口'!$D$5:$D$16)*$M5*'核心假设'!$B$32,0),0),IF(AND(AH$4&gt;EDATE('核心假设'!$B$5,1+$F5),AH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AH$4=EDATE(EDATE('核心假设'!$B$5,1+$F5),$D5),SUM('融资租赁与资金缺口'!$D$5:$D$16)*$N5*'核心假设'!$B$32,0),0),IF(AND(AH$4&gt;EDATE('核心假设'!$B$5,2+$F5),AH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AH$4=EDATE(EDATE('核心假设'!$B$5,2+$F5),$D5),SUM('融资租赁与资金缺口'!$D$5:$D$16)*$O5*'核心假设'!$B$32,0),0),IF(AND(AH$4&gt;EDATE('核心假设'!$B$5,3+$F5),AH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AH$4=EDATE(EDATE('核心假设'!$B$5,3+$F5),$D5),SUM('融资租赁与资金缺口'!$D$5:$D$16)*$P5*'核心假设'!$B$32,0),0),IF(AND(AH$4&gt;EDATE('核心假设'!$B$5,4+$F5),AH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AH$4=EDATE(EDATE('核心假设'!$B$5,4+$F5),$D5),SUM('融资租赁与资金缺口'!$D$5:$D$16)*$Q5*'核心假设'!$B$32,0),0),IF(AND(AH$4&gt;EDATE('核心假设'!$B$5,5+$F5),AH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AH$4=EDATE(EDATE('核心假设'!$B$5,5+$F5),$D5),SUM('融资租赁与资金缺口'!$D$5:$D$16)*$R5*'核心假设'!$B$32,0),0),IF(AND(AH$4&gt;EDATE('核心假设'!$B$5,6+$F5),AH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AH$4=EDATE(EDATE('核心假设'!$B$5,6+$F5),$D5),SUM('融资租赁与资金缺口'!$D$5:$D$16)*$S5*'核心假设'!$B$32,0),0),IF(AND(AH$4&gt;EDATE('核心假设'!$B$5,7+$F5),AH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AH$4=EDATE(EDATE('核心假设'!$B$5,7+$F5),$D5),SUM('融资租赁与资金缺口'!$D$5:$D$16)*$T5*'核心假设'!$B$32,0),0),IF(AND(AH$4&gt;EDATE('核心假设'!$B$5,8+$F5),AH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AH$4=EDATE(EDATE('核心假设'!$B$5,8+$F5),$D5),SUM('融资租赁与资金缺口'!$D$5:$D$16)*$U5*'核心假设'!$B$32,0),0),IF(AND(AH$4&gt;EDATE('核心假设'!$B$5,9+$F5),AH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AH$4=EDATE(EDATE('核心假设'!$B$5,9+$F5),$D5),SUM('融资租赁与资金缺口'!$D$5:$D$16)*$V5*'核心假设'!$B$32,0),0),IF(AND(AH$4&gt;EDATE('核心假设'!$B$5,10+$F5),AH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AH$4=EDATE(EDATE('核心假设'!$B$5,10+$F5),$D5),SUM('融资租赁与资金缺口'!$D$5:$D$16)*$W5*'核心假设'!$B$32,0),0),IF(AND(AH$4&gt;EDATE('核心假设'!$B$5,11+$F5),AH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AH$4=EDATE(EDATE('核心假设'!$B$5,11+$F5),$D5),SUM('融资租赁与资金缺口'!$D$5:$D$16)*$X5*'核心假设'!$B$32,0),0),IF(AND(AH$4&gt;EDATE('核心假设'!$B$5,12+$F5),AH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AH$4=EDATE(EDATE('核心假设'!$B$5,12+$F5),$D5),SUM('融资租赁与资金缺口'!$D$5:$D$16)*$Y5*'核心假设'!$B$32,0),0),IF(AND(AH$4&gt;EDATE('核心假设'!$B$5,13+$F5),AH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AH$4=EDATE(EDATE('核心假设'!$B$5,13+$F5),$D5),SUM('融资租赁与资金缺口'!$D$5:$D$16)*$Z5*'核心假设'!$B$32,0),0),IF(AND(AH$4&gt;EDATE('核心假设'!$B$5,14+$F5),AH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AH$4=EDATE(EDATE('核心假设'!$B$5,14+$F5),$D5),SUM('融资租赁与资金缺口'!$D$5:$D$16)*$AA5*'核心假设'!$B$32,0),0),IF(AND(AH$4&gt;EDATE('核心假设'!$B$5,15+$F5),AH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AH$4=EDATE(EDATE('核心假设'!$B$5,15+$F5),$D5),SUM('融资租赁与资金缺口'!$D$5:$D$16)*$AB5*'核心假设'!$B$32,0),0),IF(AND(AH$4&gt;EDATE('核心假设'!$B$5,16+$F5),AH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AH$4=EDATE(EDATE('核心假设'!$B$5,16+$F5),$D5),SUM('融资租赁与资金缺口'!$D$5:$D$16)*$AC5*'核心假设'!$B$32,0),0),IF(AND(AH$4&gt;EDATE('核心假设'!$B$5,17+$F5),AH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AH$4=EDATE(EDATE('核心假设'!$B$5,17+$F5),$D5),SUM('融资租赁与资金缺口'!$D$5:$D$16)*$AD5*'核心假设'!$B$32,0),0))</x:f>
        <x:v>844550.8440821789</x:v>
      </x:c>
      <x:c r="AI7" s="28" t="n">
        <x:f>SUM(IF(AND(AI$4&gt;EDATE('核心假设'!$B$5,0+$F5),AI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AI$4=EDATE(EDATE('核心假设'!$B$5,0+$F5),$D5),SUM('融资租赁与资金缺口'!$D$5:$D$16)*$M5*'核心假设'!$B$32,0),0),IF(AND(AI$4&gt;EDATE('核心假设'!$B$5,1+$F5),AI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AI$4=EDATE(EDATE('核心假设'!$B$5,1+$F5),$D5),SUM('融资租赁与资金缺口'!$D$5:$D$16)*$N5*'核心假设'!$B$32,0),0),IF(AND(AI$4&gt;EDATE('核心假设'!$B$5,2+$F5),AI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AI$4=EDATE(EDATE('核心假设'!$B$5,2+$F5),$D5),SUM('融资租赁与资金缺口'!$D$5:$D$16)*$O5*'核心假设'!$B$32,0),0),IF(AND(AI$4&gt;EDATE('核心假设'!$B$5,3+$F5),AI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AI$4=EDATE(EDATE('核心假设'!$B$5,3+$F5),$D5),SUM('融资租赁与资金缺口'!$D$5:$D$16)*$P5*'核心假设'!$B$32,0),0),IF(AND(AI$4&gt;EDATE('核心假设'!$B$5,4+$F5),AI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AI$4=EDATE(EDATE('核心假设'!$B$5,4+$F5),$D5),SUM('融资租赁与资金缺口'!$D$5:$D$16)*$Q5*'核心假设'!$B$32,0),0),IF(AND(AI$4&gt;EDATE('核心假设'!$B$5,5+$F5),AI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AI$4=EDATE(EDATE('核心假设'!$B$5,5+$F5),$D5),SUM('融资租赁与资金缺口'!$D$5:$D$16)*$R5*'核心假设'!$B$32,0),0),IF(AND(AI$4&gt;EDATE('核心假设'!$B$5,6+$F5),AI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AI$4=EDATE(EDATE('核心假设'!$B$5,6+$F5),$D5),SUM('融资租赁与资金缺口'!$D$5:$D$16)*$S5*'核心假设'!$B$32,0),0),IF(AND(AI$4&gt;EDATE('核心假设'!$B$5,7+$F5),AI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AI$4=EDATE(EDATE('核心假设'!$B$5,7+$F5),$D5),SUM('融资租赁与资金缺口'!$D$5:$D$16)*$T5*'核心假设'!$B$32,0),0),IF(AND(AI$4&gt;EDATE('核心假设'!$B$5,8+$F5),AI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AI$4=EDATE(EDATE('核心假设'!$B$5,8+$F5),$D5),SUM('融资租赁与资金缺口'!$D$5:$D$16)*$U5*'核心假设'!$B$32,0),0),IF(AND(AI$4&gt;EDATE('核心假设'!$B$5,9+$F5),AI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AI$4=EDATE(EDATE('核心假设'!$B$5,9+$F5),$D5),SUM('融资租赁与资金缺口'!$D$5:$D$16)*$V5*'核心假设'!$B$32,0),0),IF(AND(AI$4&gt;EDATE('核心假设'!$B$5,10+$F5),AI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AI$4=EDATE(EDATE('核心假设'!$B$5,10+$F5),$D5),SUM('融资租赁与资金缺口'!$D$5:$D$16)*$W5*'核心假设'!$B$32,0),0),IF(AND(AI$4&gt;EDATE('核心假设'!$B$5,11+$F5),AI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AI$4=EDATE(EDATE('核心假设'!$B$5,11+$F5),$D5),SUM('融资租赁与资金缺口'!$D$5:$D$16)*$X5*'核心假设'!$B$32,0),0),IF(AND(AI$4&gt;EDATE('核心假设'!$B$5,12+$F5),AI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AI$4=EDATE(EDATE('核心假设'!$B$5,12+$F5),$D5),SUM('融资租赁与资金缺口'!$D$5:$D$16)*$Y5*'核心假设'!$B$32,0),0),IF(AND(AI$4&gt;EDATE('核心假设'!$B$5,13+$F5),AI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AI$4=EDATE(EDATE('核心假设'!$B$5,13+$F5),$D5),SUM('融资租赁与资金缺口'!$D$5:$D$16)*$Z5*'核心假设'!$B$32,0),0),IF(AND(AI$4&gt;EDATE('核心假设'!$B$5,14+$F5),AI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AI$4=EDATE(EDATE('核心假设'!$B$5,14+$F5),$D5),SUM('融资租赁与资金缺口'!$D$5:$D$16)*$AA5*'核心假设'!$B$32,0),0),IF(AND(AI$4&gt;EDATE('核心假设'!$B$5,15+$F5),AI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AI$4=EDATE(EDATE('核心假设'!$B$5,15+$F5),$D5),SUM('融资租赁与资金缺口'!$D$5:$D$16)*$AB5*'核心假设'!$B$32,0),0),IF(AND(AI$4&gt;EDATE('核心假设'!$B$5,16+$F5),AI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AI$4=EDATE(EDATE('核心假设'!$B$5,16+$F5),$D5),SUM('融资租赁与资金缺口'!$D$5:$D$16)*$AC5*'核心假设'!$B$32,0),0),IF(AND(AI$4&gt;EDATE('核心假设'!$B$5,17+$F5),AI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AI$4=EDATE(EDATE('核心假设'!$B$5,17+$F5),$D5),SUM('融资租赁与资金缺口'!$D$5:$D$16)*$AD5*'核心假设'!$B$32,0),0))</x:f>
        <x:v>1858011.8569807936</x:v>
      </x:c>
      <x:c r="AJ7" s="28" t="n">
        <x:f>SUM(IF(AND(AJ$4&gt;EDATE('核心假设'!$B$5,0+$F5),AJ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AJ$4=EDATE(EDATE('核心假设'!$B$5,0+$F5),$D5),SUM('融资租赁与资金缺口'!$D$5:$D$16)*$M5*'核心假设'!$B$32,0),0),IF(AND(AJ$4&gt;EDATE('核心假设'!$B$5,1+$F5),AJ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AJ$4=EDATE(EDATE('核心假设'!$B$5,1+$F5),$D5),SUM('融资租赁与资金缺口'!$D$5:$D$16)*$N5*'核心假设'!$B$32,0),0),IF(AND(AJ$4&gt;EDATE('核心假设'!$B$5,2+$F5),AJ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AJ$4=EDATE(EDATE('核心假设'!$B$5,2+$F5),$D5),SUM('融资租赁与资金缺口'!$D$5:$D$16)*$O5*'核心假设'!$B$32,0),0),IF(AND(AJ$4&gt;EDATE('核心假设'!$B$5,3+$F5),AJ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AJ$4=EDATE(EDATE('核心假设'!$B$5,3+$F5),$D5),SUM('融资租赁与资金缺口'!$D$5:$D$16)*$P5*'核心假设'!$B$32,0),0),IF(AND(AJ$4&gt;EDATE('核心假设'!$B$5,4+$F5),AJ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AJ$4=EDATE(EDATE('核心假设'!$B$5,4+$F5),$D5),SUM('融资租赁与资金缺口'!$D$5:$D$16)*$Q5*'核心假设'!$B$32,0),0),IF(AND(AJ$4&gt;EDATE('核心假设'!$B$5,5+$F5),AJ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AJ$4=EDATE(EDATE('核心假设'!$B$5,5+$F5),$D5),SUM('融资租赁与资金缺口'!$D$5:$D$16)*$R5*'核心假设'!$B$32,0),0),IF(AND(AJ$4&gt;EDATE('核心假设'!$B$5,6+$F5),AJ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AJ$4=EDATE(EDATE('核心假设'!$B$5,6+$F5),$D5),SUM('融资租赁与资金缺口'!$D$5:$D$16)*$S5*'核心假设'!$B$32,0),0),IF(AND(AJ$4&gt;EDATE('核心假设'!$B$5,7+$F5),AJ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AJ$4=EDATE(EDATE('核心假设'!$B$5,7+$F5),$D5),SUM('融资租赁与资金缺口'!$D$5:$D$16)*$T5*'核心假设'!$B$32,0),0),IF(AND(AJ$4&gt;EDATE('核心假设'!$B$5,8+$F5),AJ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AJ$4=EDATE(EDATE('核心假设'!$B$5,8+$F5),$D5),SUM('融资租赁与资金缺口'!$D$5:$D$16)*$U5*'核心假设'!$B$32,0),0),IF(AND(AJ$4&gt;EDATE('核心假设'!$B$5,9+$F5),AJ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AJ$4=EDATE(EDATE('核心假设'!$B$5,9+$F5),$D5),SUM('融资租赁与资金缺口'!$D$5:$D$16)*$V5*'核心假设'!$B$32,0),0),IF(AND(AJ$4&gt;EDATE('核心假设'!$B$5,10+$F5),AJ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AJ$4=EDATE(EDATE('核心假设'!$B$5,10+$F5),$D5),SUM('融资租赁与资金缺口'!$D$5:$D$16)*$W5*'核心假设'!$B$32,0),0),IF(AND(AJ$4&gt;EDATE('核心假设'!$B$5,11+$F5),AJ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AJ$4=EDATE(EDATE('核心假设'!$B$5,11+$F5),$D5),SUM('融资租赁与资金缺口'!$D$5:$D$16)*$X5*'核心假设'!$B$32,0),0),IF(AND(AJ$4&gt;EDATE('核心假设'!$B$5,12+$F5),AJ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AJ$4=EDATE(EDATE('核心假设'!$B$5,12+$F5),$D5),SUM('融资租赁与资金缺口'!$D$5:$D$16)*$Y5*'核心假设'!$B$32,0),0),IF(AND(AJ$4&gt;EDATE('核心假设'!$B$5,13+$F5),AJ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AJ$4=EDATE(EDATE('核心假设'!$B$5,13+$F5),$D5),SUM('融资租赁与资金缺口'!$D$5:$D$16)*$Z5*'核心假设'!$B$32,0),0),IF(AND(AJ$4&gt;EDATE('核心假设'!$B$5,14+$F5),AJ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AJ$4=EDATE(EDATE('核心假设'!$B$5,14+$F5),$D5),SUM('融资租赁与资金缺口'!$D$5:$D$16)*$AA5*'核心假设'!$B$32,0),0),IF(AND(AJ$4&gt;EDATE('核心假设'!$B$5,15+$F5),AJ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AJ$4=EDATE(EDATE('核心假设'!$B$5,15+$F5),$D5),SUM('融资租赁与资金缺口'!$D$5:$D$16)*$AB5*'核心假设'!$B$32,0),0),IF(AND(AJ$4&gt;EDATE('核心假设'!$B$5,16+$F5),AJ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AJ$4=EDATE(EDATE('核心假设'!$B$5,16+$F5),$D5),SUM('融资租赁与资金缺口'!$D$5:$D$16)*$AC5*'核心假设'!$B$32,0),0),IF(AND(AJ$4&gt;EDATE('核心假设'!$B$5,17+$F5),AJ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AJ$4=EDATE(EDATE('核心假设'!$B$5,17+$F5),$D5),SUM('融资租赁与资金缺口'!$D$5:$D$16)*$AD5*'核心假设'!$B$32,0),0))</x:f>
        <x:v>3040383.038695844</x:v>
      </x:c>
      <x:c r="AK7" s="28" t="n">
        <x:f>SUM(IF(AND(AK$4&gt;EDATE('核心假设'!$B$5,0+$F5),AK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AK$4=EDATE(EDATE('核心假设'!$B$5,0+$F5),$D5),SUM('融资租赁与资金缺口'!$D$5:$D$16)*$M5*'核心假设'!$B$32,0),0),IF(AND(AK$4&gt;EDATE('核心假设'!$B$5,1+$F5),AK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AK$4=EDATE(EDATE('核心假设'!$B$5,1+$F5),$D5),SUM('融资租赁与资金缺口'!$D$5:$D$16)*$N5*'核心假设'!$B$32,0),0),IF(AND(AK$4&gt;EDATE('核心假设'!$B$5,2+$F5),AK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AK$4=EDATE(EDATE('核心假设'!$B$5,2+$F5),$D5),SUM('融资租赁与资金缺口'!$D$5:$D$16)*$O5*'核心假设'!$B$32,0),0),IF(AND(AK$4&gt;EDATE('核心假设'!$B$5,3+$F5),AK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AK$4=EDATE(EDATE('核心假设'!$B$5,3+$F5),$D5),SUM('融资租赁与资金缺口'!$D$5:$D$16)*$P5*'核心假设'!$B$32,0),0),IF(AND(AK$4&gt;EDATE('核心假设'!$B$5,4+$F5),AK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AK$4=EDATE(EDATE('核心假设'!$B$5,4+$F5),$D5),SUM('融资租赁与资金缺口'!$D$5:$D$16)*$Q5*'核心假设'!$B$32,0),0),IF(AND(AK$4&gt;EDATE('核心假设'!$B$5,5+$F5),AK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AK$4=EDATE(EDATE('核心假设'!$B$5,5+$F5),$D5),SUM('融资租赁与资金缺口'!$D$5:$D$16)*$R5*'核心假设'!$B$32,0),0),IF(AND(AK$4&gt;EDATE('核心假设'!$B$5,6+$F5),AK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AK$4=EDATE(EDATE('核心假设'!$B$5,6+$F5),$D5),SUM('融资租赁与资金缺口'!$D$5:$D$16)*$S5*'核心假设'!$B$32,0),0),IF(AND(AK$4&gt;EDATE('核心假设'!$B$5,7+$F5),AK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AK$4=EDATE(EDATE('核心假设'!$B$5,7+$F5),$D5),SUM('融资租赁与资金缺口'!$D$5:$D$16)*$T5*'核心假设'!$B$32,0),0),IF(AND(AK$4&gt;EDATE('核心假设'!$B$5,8+$F5),AK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AK$4=EDATE(EDATE('核心假设'!$B$5,8+$F5),$D5),SUM('融资租赁与资金缺口'!$D$5:$D$16)*$U5*'核心假设'!$B$32,0),0),IF(AND(AK$4&gt;EDATE('核心假设'!$B$5,9+$F5),AK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AK$4=EDATE(EDATE('核心假设'!$B$5,9+$F5),$D5),SUM('融资租赁与资金缺口'!$D$5:$D$16)*$V5*'核心假设'!$B$32,0),0),IF(AND(AK$4&gt;EDATE('核心假设'!$B$5,10+$F5),AK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AK$4=EDATE(EDATE('核心假设'!$B$5,10+$F5),$D5),SUM('融资租赁与资金缺口'!$D$5:$D$16)*$W5*'核心假设'!$B$32,0),0),IF(AND(AK$4&gt;EDATE('核心假设'!$B$5,11+$F5),AK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AK$4=EDATE(EDATE('核心假设'!$B$5,11+$F5),$D5),SUM('融资租赁与资金缺口'!$D$5:$D$16)*$X5*'核心假设'!$B$32,0),0),IF(AND(AK$4&gt;EDATE('核心假设'!$B$5,12+$F5),AK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AK$4=EDATE(EDATE('核心假设'!$B$5,12+$F5),$D5),SUM('融资租赁与资金缺口'!$D$5:$D$16)*$Y5*'核心假设'!$B$32,0),0),IF(AND(AK$4&gt;EDATE('核心假设'!$B$5,13+$F5),AK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AK$4=EDATE(EDATE('核心假设'!$B$5,13+$F5),$D5),SUM('融资租赁与资金缺口'!$D$5:$D$16)*$Z5*'核心假设'!$B$32,0),0),IF(AND(AK$4&gt;EDATE('核心假设'!$B$5,14+$F5),AK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AK$4=EDATE(EDATE('核心假设'!$B$5,14+$F5),$D5),SUM('融资租赁与资金缺口'!$D$5:$D$16)*$AA5*'核心假设'!$B$32,0),0),IF(AND(AK$4&gt;EDATE('核心假设'!$B$5,15+$F5),AK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AK$4=EDATE(EDATE('核心假设'!$B$5,15+$F5),$D5),SUM('融资租赁与资金缺口'!$D$5:$D$16)*$AB5*'核心假设'!$B$32,0),0),IF(AND(AK$4&gt;EDATE('核心假设'!$B$5,16+$F5),AK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AK$4=EDATE(EDATE('核心假设'!$B$5,16+$F5),$D5),SUM('融资租赁与资金缺口'!$D$5:$D$16)*$AC5*'核心假设'!$B$32,0),0),IF(AND(AK$4&gt;EDATE('核心假设'!$B$5,17+$F5),AK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AK$4=EDATE(EDATE('核心假设'!$B$5,17+$F5),$D5),SUM('融资租赁与资金缺口'!$D$5:$D$16)*$AD5*'核心假设'!$B$32,0),0))</x:f>
        <x:v>4391664.389227331</x:v>
      </x:c>
      <x:c r="AL7" s="28" t="n">
        <x:f>SUM(IF(AND(AL$4&gt;EDATE('核心假设'!$B$5,0+$F5),AL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AL$4=EDATE(EDATE('核心假设'!$B$5,0+$F5),$D5),SUM('融资租赁与资金缺口'!$D$5:$D$16)*$M5*'核心假设'!$B$32,0),0),IF(AND(AL$4&gt;EDATE('核心假设'!$B$5,1+$F5),AL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AL$4=EDATE(EDATE('核心假设'!$B$5,1+$F5),$D5),SUM('融资租赁与资金缺口'!$D$5:$D$16)*$N5*'核心假设'!$B$32,0),0),IF(AND(AL$4&gt;EDATE('核心假设'!$B$5,2+$F5),AL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AL$4=EDATE(EDATE('核心假设'!$B$5,2+$F5),$D5),SUM('融资租赁与资金缺口'!$D$5:$D$16)*$O5*'核心假设'!$B$32,0),0),IF(AND(AL$4&gt;EDATE('核心假设'!$B$5,3+$F5),AL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AL$4=EDATE(EDATE('核心假设'!$B$5,3+$F5),$D5),SUM('融资租赁与资金缺口'!$D$5:$D$16)*$P5*'核心假设'!$B$32,0),0),IF(AND(AL$4&gt;EDATE('核心假设'!$B$5,4+$F5),AL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AL$4=EDATE(EDATE('核心假设'!$B$5,4+$F5),$D5),SUM('融资租赁与资金缺口'!$D$5:$D$16)*$Q5*'核心假设'!$B$32,0),0),IF(AND(AL$4&gt;EDATE('核心假设'!$B$5,5+$F5),AL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AL$4=EDATE(EDATE('核心假设'!$B$5,5+$F5),$D5),SUM('融资租赁与资金缺口'!$D$5:$D$16)*$R5*'核心假设'!$B$32,0),0),IF(AND(AL$4&gt;EDATE('核心假设'!$B$5,6+$F5),AL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AL$4=EDATE(EDATE('核心假设'!$B$5,6+$F5),$D5),SUM('融资租赁与资金缺口'!$D$5:$D$16)*$S5*'核心假设'!$B$32,0),0),IF(AND(AL$4&gt;EDATE('核心假设'!$B$5,7+$F5),AL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AL$4=EDATE(EDATE('核心假设'!$B$5,7+$F5),$D5),SUM('融资租赁与资金缺口'!$D$5:$D$16)*$T5*'核心假设'!$B$32,0),0),IF(AND(AL$4&gt;EDATE('核心假设'!$B$5,8+$F5),AL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AL$4=EDATE(EDATE('核心假设'!$B$5,8+$F5),$D5),SUM('融资租赁与资金缺口'!$D$5:$D$16)*$U5*'核心假设'!$B$32,0),0),IF(AND(AL$4&gt;EDATE('核心假设'!$B$5,9+$F5),AL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AL$4=EDATE(EDATE('核心假设'!$B$5,9+$F5),$D5),SUM('融资租赁与资金缺口'!$D$5:$D$16)*$V5*'核心假设'!$B$32,0),0),IF(AND(AL$4&gt;EDATE('核心假设'!$B$5,10+$F5),AL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AL$4=EDATE(EDATE('核心假设'!$B$5,10+$F5),$D5),SUM('融资租赁与资金缺口'!$D$5:$D$16)*$W5*'核心假设'!$B$32,0),0),IF(AND(AL$4&gt;EDATE('核心假设'!$B$5,11+$F5),AL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AL$4=EDATE(EDATE('核心假设'!$B$5,11+$F5),$D5),SUM('融资租赁与资金缺口'!$D$5:$D$16)*$X5*'核心假设'!$B$32,0),0),IF(AND(AL$4&gt;EDATE('核心假设'!$B$5,12+$F5),AL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AL$4=EDATE(EDATE('核心假设'!$B$5,12+$F5),$D5),SUM('融资租赁与资金缺口'!$D$5:$D$16)*$Y5*'核心假设'!$B$32,0),0),IF(AND(AL$4&gt;EDATE('核心假设'!$B$5,13+$F5),AL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AL$4=EDATE(EDATE('核心假设'!$B$5,13+$F5),$D5),SUM('融资租赁与资金缺口'!$D$5:$D$16)*$Z5*'核心假设'!$B$32,0),0),IF(AND(AL$4&gt;EDATE('核心假设'!$B$5,14+$F5),AL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AL$4=EDATE(EDATE('核心假设'!$B$5,14+$F5),$D5),SUM('融资租赁与资金缺口'!$D$5:$D$16)*$AA5*'核心假设'!$B$32,0),0),IF(AND(AL$4&gt;EDATE('核心假设'!$B$5,15+$F5),AL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AL$4=EDATE(EDATE('核心假设'!$B$5,15+$F5),$D5),SUM('融资租赁与资金缺口'!$D$5:$D$16)*$AB5*'核心假设'!$B$32,0),0),IF(AND(AL$4&gt;EDATE('核心假设'!$B$5,16+$F5),AL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AL$4=EDATE(EDATE('核心假设'!$B$5,16+$F5),$D5),SUM('融资租赁与资金缺口'!$D$5:$D$16)*$AC5*'核心假设'!$B$32,0),0),IF(AND(AL$4&gt;EDATE('核心假设'!$B$5,17+$F5),AL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AL$4=EDATE(EDATE('核心假设'!$B$5,17+$F5),$D5),SUM('融资租赁与资金缺口'!$D$5:$D$16)*$AD5*'核心假设'!$B$32,0),0))</x:f>
        <x:v>5911855.908575253</x:v>
      </x:c>
      <x:c r="AM7" s="28" t="n">
        <x:f>SUM(IF(AND(AM$4&gt;EDATE('核心假设'!$B$5,0+$F5),AM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AM$4=EDATE(EDATE('核心假设'!$B$5,0+$F5),$D5),SUM('融资租赁与资金缺口'!$D$5:$D$16)*$M5*'核心假设'!$B$32,0),0),IF(AND(AM$4&gt;EDATE('核心假设'!$B$5,1+$F5),AM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AM$4=EDATE(EDATE('核心假设'!$B$5,1+$F5),$D5),SUM('融资租赁与资金缺口'!$D$5:$D$16)*$N5*'核心假设'!$B$32,0),0),IF(AND(AM$4&gt;EDATE('核心假设'!$B$5,2+$F5),AM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AM$4=EDATE(EDATE('核心假设'!$B$5,2+$F5),$D5),SUM('融资租赁与资金缺口'!$D$5:$D$16)*$O5*'核心假设'!$B$32,0),0),IF(AND(AM$4&gt;EDATE('核心假设'!$B$5,3+$F5),AM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AM$4=EDATE(EDATE('核心假设'!$B$5,3+$F5),$D5),SUM('融资租赁与资金缺口'!$D$5:$D$16)*$P5*'核心假设'!$B$32,0),0),IF(AND(AM$4&gt;EDATE('核心假设'!$B$5,4+$F5),AM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AM$4=EDATE(EDATE('核心假设'!$B$5,4+$F5),$D5),SUM('融资租赁与资金缺口'!$D$5:$D$16)*$Q5*'核心假设'!$B$32,0),0),IF(AND(AM$4&gt;EDATE('核心假设'!$B$5,5+$F5),AM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AM$4=EDATE(EDATE('核心假设'!$B$5,5+$F5),$D5),SUM('融资租赁与资金缺口'!$D$5:$D$16)*$R5*'核心假设'!$B$32,0),0),IF(AND(AM$4&gt;EDATE('核心假设'!$B$5,6+$F5),AM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AM$4=EDATE(EDATE('核心假设'!$B$5,6+$F5),$D5),SUM('融资租赁与资金缺口'!$D$5:$D$16)*$S5*'核心假设'!$B$32,0),0),IF(AND(AM$4&gt;EDATE('核心假设'!$B$5,7+$F5),AM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AM$4=EDATE(EDATE('核心假设'!$B$5,7+$F5),$D5),SUM('融资租赁与资金缺口'!$D$5:$D$16)*$T5*'核心假设'!$B$32,0),0),IF(AND(AM$4&gt;EDATE('核心假设'!$B$5,8+$F5),AM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AM$4=EDATE(EDATE('核心假设'!$B$5,8+$F5),$D5),SUM('融资租赁与资金缺口'!$D$5:$D$16)*$U5*'核心假设'!$B$32,0),0),IF(AND(AM$4&gt;EDATE('核心假设'!$B$5,9+$F5),AM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AM$4=EDATE(EDATE('核心假设'!$B$5,9+$F5),$D5),SUM('融资租赁与资金缺口'!$D$5:$D$16)*$V5*'核心假设'!$B$32,0),0),IF(AND(AM$4&gt;EDATE('核心假设'!$B$5,10+$F5),AM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AM$4=EDATE(EDATE('核心假设'!$B$5,10+$F5),$D5),SUM('融资租赁与资金缺口'!$D$5:$D$16)*$W5*'核心假设'!$B$32,0),0),IF(AND(AM$4&gt;EDATE('核心假设'!$B$5,11+$F5),AM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AM$4=EDATE(EDATE('核心假设'!$B$5,11+$F5),$D5),SUM('融资租赁与资金缺口'!$D$5:$D$16)*$X5*'核心假设'!$B$32,0),0),IF(AND(AM$4&gt;EDATE('核心假设'!$B$5,12+$F5),AM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AM$4=EDATE(EDATE('核心假设'!$B$5,12+$F5),$D5),SUM('融资租赁与资金缺口'!$D$5:$D$16)*$Y5*'核心假设'!$B$32,0),0),IF(AND(AM$4&gt;EDATE('核心假设'!$B$5,13+$F5),AM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AM$4=EDATE(EDATE('核心假设'!$B$5,13+$F5),$D5),SUM('融资租赁与资金缺口'!$D$5:$D$16)*$Z5*'核心假设'!$B$32,0),0),IF(AND(AM$4&gt;EDATE('核心假设'!$B$5,14+$F5),AM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AM$4=EDATE(EDATE('核心假设'!$B$5,14+$F5),$D5),SUM('融资租赁与资金缺口'!$D$5:$D$16)*$AA5*'核心假设'!$B$32,0),0),IF(AND(AM$4&gt;EDATE('核心假设'!$B$5,15+$F5),AM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AM$4=EDATE(EDATE('核心假设'!$B$5,15+$F5),$D5),SUM('融资租赁与资金缺口'!$D$5:$D$16)*$AB5*'核心假设'!$B$32,0),0),IF(AND(AM$4&gt;EDATE('核心假设'!$B$5,16+$F5),AM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AM$4=EDATE(EDATE('核心假设'!$B$5,16+$F5),$D5),SUM('融资租赁与资金缺口'!$D$5:$D$16)*$AC5*'核心假设'!$B$32,0),0),IF(AND(AM$4&gt;EDATE('核心假设'!$B$5,17+$F5),AM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AM$4=EDATE(EDATE('核心假设'!$B$5,17+$F5),$D5),SUM('融资租赁与资金缺口'!$D$5:$D$16)*$AD5*'核心假设'!$B$32,0),0))</x:f>
        <x:v>7600957.596739611</x:v>
      </x:c>
      <x:c r="AN7" s="28" t="n">
        <x:f>SUM(IF(AND(AN$4&gt;EDATE('核心假设'!$B$5,0+$F5),AN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AN$4=EDATE(EDATE('核心假设'!$B$5,0+$F5),$D5),SUM('融资租赁与资金缺口'!$D$5:$D$16)*$M5*'核心假设'!$B$32,0),0),IF(AND(AN$4&gt;EDATE('核心假设'!$B$5,1+$F5),AN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AN$4=EDATE(EDATE('核心假设'!$B$5,1+$F5),$D5),SUM('融资租赁与资金缺口'!$D$5:$D$16)*$N5*'核心假设'!$B$32,0),0),IF(AND(AN$4&gt;EDATE('核心假设'!$B$5,2+$F5),AN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AN$4=EDATE(EDATE('核心假设'!$B$5,2+$F5),$D5),SUM('融资租赁与资金缺口'!$D$5:$D$16)*$O5*'核心假设'!$B$32,0),0),IF(AND(AN$4&gt;EDATE('核心假设'!$B$5,3+$F5),AN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AN$4=EDATE(EDATE('核心假设'!$B$5,3+$F5),$D5),SUM('融资租赁与资金缺口'!$D$5:$D$16)*$P5*'核心假设'!$B$32,0),0),IF(AND(AN$4&gt;EDATE('核心假设'!$B$5,4+$F5),AN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AN$4=EDATE(EDATE('核心假设'!$B$5,4+$F5),$D5),SUM('融资租赁与资金缺口'!$D$5:$D$16)*$Q5*'核心假设'!$B$32,0),0),IF(AND(AN$4&gt;EDATE('核心假设'!$B$5,5+$F5),AN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AN$4=EDATE(EDATE('核心假设'!$B$5,5+$F5),$D5),SUM('融资租赁与资金缺口'!$D$5:$D$16)*$R5*'核心假设'!$B$32,0),0),IF(AND(AN$4&gt;EDATE('核心假设'!$B$5,6+$F5),AN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AN$4=EDATE(EDATE('核心假设'!$B$5,6+$F5),$D5),SUM('融资租赁与资金缺口'!$D$5:$D$16)*$S5*'核心假设'!$B$32,0),0),IF(AND(AN$4&gt;EDATE('核心假设'!$B$5,7+$F5),AN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AN$4=EDATE(EDATE('核心假设'!$B$5,7+$F5),$D5),SUM('融资租赁与资金缺口'!$D$5:$D$16)*$T5*'核心假设'!$B$32,0),0),IF(AND(AN$4&gt;EDATE('核心假设'!$B$5,8+$F5),AN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AN$4=EDATE(EDATE('核心假设'!$B$5,8+$F5),$D5),SUM('融资租赁与资金缺口'!$D$5:$D$16)*$U5*'核心假设'!$B$32,0),0),IF(AND(AN$4&gt;EDATE('核心假设'!$B$5,9+$F5),AN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AN$4=EDATE(EDATE('核心假设'!$B$5,9+$F5),$D5),SUM('融资租赁与资金缺口'!$D$5:$D$16)*$V5*'核心假设'!$B$32,0),0),IF(AND(AN$4&gt;EDATE('核心假设'!$B$5,10+$F5),AN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AN$4=EDATE(EDATE('核心假设'!$B$5,10+$F5),$D5),SUM('融资租赁与资金缺口'!$D$5:$D$16)*$W5*'核心假设'!$B$32,0),0),IF(AND(AN$4&gt;EDATE('核心假设'!$B$5,11+$F5),AN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AN$4=EDATE(EDATE('核心假设'!$B$5,11+$F5),$D5),SUM('融资租赁与资金缺口'!$D$5:$D$16)*$X5*'核心假设'!$B$32,0),0),IF(AND(AN$4&gt;EDATE('核心假设'!$B$5,12+$F5),AN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AN$4=EDATE(EDATE('核心假设'!$B$5,12+$F5),$D5),SUM('融资租赁与资金缺口'!$D$5:$D$16)*$Y5*'核心假设'!$B$32,0),0),IF(AND(AN$4&gt;EDATE('核心假设'!$B$5,13+$F5),AN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AN$4=EDATE(EDATE('核心假设'!$B$5,13+$F5),$D5),SUM('融资租赁与资金缺口'!$D$5:$D$16)*$Z5*'核心假设'!$B$32,0),0),IF(AND(AN$4&gt;EDATE('核心假设'!$B$5,14+$F5),AN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AN$4=EDATE(EDATE('核心假设'!$B$5,14+$F5),$D5),SUM('融资租赁与资金缺口'!$D$5:$D$16)*$AA5*'核心假设'!$B$32,0),0),IF(AND(AN$4&gt;EDATE('核心假设'!$B$5,15+$F5),AN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AN$4=EDATE(EDATE('核心假设'!$B$5,15+$F5),$D5),SUM('融资租赁与资金缺口'!$D$5:$D$16)*$AB5*'核心假设'!$B$32,0),0),IF(AND(AN$4&gt;EDATE('核心假设'!$B$5,16+$F5),AN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AN$4=EDATE(EDATE('核心假设'!$B$5,16+$F5),$D5),SUM('融资租赁与资金缺口'!$D$5:$D$16)*$AC5*'核心假设'!$B$32,0),0),IF(AND(AN$4&gt;EDATE('核心假设'!$B$5,17+$F5),AN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AN$4=EDATE(EDATE('核心假设'!$B$5,17+$F5),$D5),SUM('融资租赁与资金缺口'!$D$5:$D$16)*$AD5*'核心假设'!$B$32,0),0))</x:f>
        <x:v>9458969.453720404</x:v>
      </x:c>
      <x:c r="AO7" s="28" t="n">
        <x:f>SUM(IF(AND(AO$4&gt;EDATE('核心假设'!$B$5,0+$F5),AO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AO$4=EDATE(EDATE('核心假设'!$B$5,0+$F5),$D5),SUM('融资租赁与资金缺口'!$D$5:$D$16)*$M5*'核心假设'!$B$32,0),0),IF(AND(AO$4&gt;EDATE('核心假设'!$B$5,1+$F5),AO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AO$4=EDATE(EDATE('核心假设'!$B$5,1+$F5),$D5),SUM('融资租赁与资金缺口'!$D$5:$D$16)*$N5*'核心假设'!$B$32,0),0),IF(AND(AO$4&gt;EDATE('核心假设'!$B$5,2+$F5),AO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AO$4=EDATE(EDATE('核心假设'!$B$5,2+$F5),$D5),SUM('融资租赁与资金缺口'!$D$5:$D$16)*$O5*'核心假设'!$B$32,0),0),IF(AND(AO$4&gt;EDATE('核心假设'!$B$5,3+$F5),AO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AO$4=EDATE(EDATE('核心假设'!$B$5,3+$F5),$D5),SUM('融资租赁与资金缺口'!$D$5:$D$16)*$P5*'核心假设'!$B$32,0),0),IF(AND(AO$4&gt;EDATE('核心假设'!$B$5,4+$F5),AO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AO$4=EDATE(EDATE('核心假设'!$B$5,4+$F5),$D5),SUM('融资租赁与资金缺口'!$D$5:$D$16)*$Q5*'核心假设'!$B$32,0),0),IF(AND(AO$4&gt;EDATE('核心假设'!$B$5,5+$F5),AO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AO$4=EDATE(EDATE('核心假设'!$B$5,5+$F5),$D5),SUM('融资租赁与资金缺口'!$D$5:$D$16)*$R5*'核心假设'!$B$32,0),0),IF(AND(AO$4&gt;EDATE('核心假设'!$B$5,6+$F5),AO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AO$4=EDATE(EDATE('核心假设'!$B$5,6+$F5),$D5),SUM('融资租赁与资金缺口'!$D$5:$D$16)*$S5*'核心假设'!$B$32,0),0),IF(AND(AO$4&gt;EDATE('核心假设'!$B$5,7+$F5),AO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AO$4=EDATE(EDATE('核心假设'!$B$5,7+$F5),$D5),SUM('融资租赁与资金缺口'!$D$5:$D$16)*$T5*'核心假设'!$B$32,0),0),IF(AND(AO$4&gt;EDATE('核心假设'!$B$5,8+$F5),AO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AO$4=EDATE(EDATE('核心假设'!$B$5,8+$F5),$D5),SUM('融资租赁与资金缺口'!$D$5:$D$16)*$U5*'核心假设'!$B$32,0),0),IF(AND(AO$4&gt;EDATE('核心假设'!$B$5,9+$F5),AO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AO$4=EDATE(EDATE('核心假设'!$B$5,9+$F5),$D5),SUM('融资租赁与资金缺口'!$D$5:$D$16)*$V5*'核心假设'!$B$32,0),0),IF(AND(AO$4&gt;EDATE('核心假设'!$B$5,10+$F5),AO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AO$4=EDATE(EDATE('核心假设'!$B$5,10+$F5),$D5),SUM('融资租赁与资金缺口'!$D$5:$D$16)*$W5*'核心假设'!$B$32,0),0),IF(AND(AO$4&gt;EDATE('核心假设'!$B$5,11+$F5),AO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AO$4=EDATE(EDATE('核心假设'!$B$5,11+$F5),$D5),SUM('融资租赁与资金缺口'!$D$5:$D$16)*$X5*'核心假设'!$B$32,0),0),IF(AND(AO$4&gt;EDATE('核心假设'!$B$5,12+$F5),AO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AO$4=EDATE(EDATE('核心假设'!$B$5,12+$F5),$D5),SUM('融资租赁与资金缺口'!$D$5:$D$16)*$Y5*'核心假设'!$B$32,0),0),IF(AND(AO$4&gt;EDATE('核心假设'!$B$5,13+$F5),AO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AO$4=EDATE(EDATE('核心假设'!$B$5,13+$F5),$D5),SUM('融资租赁与资金缺口'!$D$5:$D$16)*$Z5*'核心假设'!$B$32,0),0),IF(AND(AO$4&gt;EDATE('核心假设'!$B$5,14+$F5),AO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AO$4=EDATE(EDATE('核心假设'!$B$5,14+$F5),$D5),SUM('融资租赁与资金缺口'!$D$5:$D$16)*$AA5*'核心假设'!$B$32,0),0),IF(AND(AO$4&gt;EDATE('核心假设'!$B$5,15+$F5),AO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AO$4=EDATE(EDATE('核心假设'!$B$5,15+$F5),$D5),SUM('融资租赁与资金缺口'!$D$5:$D$16)*$AB5*'核心假设'!$B$32,0),0),IF(AND(AO$4&gt;EDATE('核心假设'!$B$5,16+$F5),AO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AO$4=EDATE(EDATE('核心假设'!$B$5,16+$F5),$D5),SUM('融资租赁与资金缺口'!$D$5:$D$16)*$AC5*'核心假设'!$B$32,0),0),IF(AND(AO$4&gt;EDATE('核心假设'!$B$5,17+$F5),AO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AO$4=EDATE(EDATE('核心假设'!$B$5,17+$F5),$D5),SUM('融资租赁与资金缺口'!$D$5:$D$16)*$AD5*'核心假设'!$B$32,0),0))</x:f>
        <x:v>11316981.310701197</x:v>
      </x:c>
      <x:c r="AP7" s="28" t="n">
        <x:f>SUM(IF(AND(AP$4&gt;EDATE('核心假设'!$B$5,0+$F5),AP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AP$4=EDATE(EDATE('核心假设'!$B$5,0+$F5),$D5),SUM('融资租赁与资金缺口'!$D$5:$D$16)*$M5*'核心假设'!$B$32,0),0),IF(AND(AP$4&gt;EDATE('核心假设'!$B$5,1+$F5),AP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AP$4=EDATE(EDATE('核心假设'!$B$5,1+$F5),$D5),SUM('融资租赁与资金缺口'!$D$5:$D$16)*$N5*'核心假设'!$B$32,0),0),IF(AND(AP$4&gt;EDATE('核心假设'!$B$5,2+$F5),AP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AP$4=EDATE(EDATE('核心假设'!$B$5,2+$F5),$D5),SUM('融资租赁与资金缺口'!$D$5:$D$16)*$O5*'核心假设'!$B$32,0),0),IF(AND(AP$4&gt;EDATE('核心假设'!$B$5,3+$F5),AP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AP$4=EDATE(EDATE('核心假设'!$B$5,3+$F5),$D5),SUM('融资租赁与资金缺口'!$D$5:$D$16)*$P5*'核心假设'!$B$32,0),0),IF(AND(AP$4&gt;EDATE('核心假设'!$B$5,4+$F5),AP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AP$4=EDATE(EDATE('核心假设'!$B$5,4+$F5),$D5),SUM('融资租赁与资金缺口'!$D$5:$D$16)*$Q5*'核心假设'!$B$32,0),0),IF(AND(AP$4&gt;EDATE('核心假设'!$B$5,5+$F5),AP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AP$4=EDATE(EDATE('核心假设'!$B$5,5+$F5),$D5),SUM('融资租赁与资金缺口'!$D$5:$D$16)*$R5*'核心假设'!$B$32,0),0),IF(AND(AP$4&gt;EDATE('核心假设'!$B$5,6+$F5),AP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AP$4=EDATE(EDATE('核心假设'!$B$5,6+$F5),$D5),SUM('融资租赁与资金缺口'!$D$5:$D$16)*$S5*'核心假设'!$B$32,0),0),IF(AND(AP$4&gt;EDATE('核心假设'!$B$5,7+$F5),AP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AP$4=EDATE(EDATE('核心假设'!$B$5,7+$F5),$D5),SUM('融资租赁与资金缺口'!$D$5:$D$16)*$T5*'核心假设'!$B$32,0),0),IF(AND(AP$4&gt;EDATE('核心假设'!$B$5,8+$F5),AP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AP$4=EDATE(EDATE('核心假设'!$B$5,8+$F5),$D5),SUM('融资租赁与资金缺口'!$D$5:$D$16)*$U5*'核心假设'!$B$32,0),0),IF(AND(AP$4&gt;EDATE('核心假设'!$B$5,9+$F5),AP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AP$4=EDATE(EDATE('核心假设'!$B$5,9+$F5),$D5),SUM('融资租赁与资金缺口'!$D$5:$D$16)*$V5*'核心假设'!$B$32,0),0),IF(AND(AP$4&gt;EDATE('核心假设'!$B$5,10+$F5),AP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AP$4=EDATE(EDATE('核心假设'!$B$5,10+$F5),$D5),SUM('融资租赁与资金缺口'!$D$5:$D$16)*$W5*'核心假设'!$B$32,0),0),IF(AND(AP$4&gt;EDATE('核心假设'!$B$5,11+$F5),AP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AP$4=EDATE(EDATE('核心假设'!$B$5,11+$F5),$D5),SUM('融资租赁与资金缺口'!$D$5:$D$16)*$X5*'核心假设'!$B$32,0),0),IF(AND(AP$4&gt;EDATE('核心假设'!$B$5,12+$F5),AP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AP$4=EDATE(EDATE('核心假设'!$B$5,12+$F5),$D5),SUM('融资租赁与资金缺口'!$D$5:$D$16)*$Y5*'核心假设'!$B$32,0),0),IF(AND(AP$4&gt;EDATE('核心假设'!$B$5,13+$F5),AP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AP$4=EDATE(EDATE('核心假设'!$B$5,13+$F5),$D5),SUM('融资租赁与资金缺口'!$D$5:$D$16)*$Z5*'核心假设'!$B$32,0),0),IF(AND(AP$4&gt;EDATE('核心假设'!$B$5,14+$F5),AP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AP$4=EDATE(EDATE('核心假设'!$B$5,14+$F5),$D5),SUM('融资租赁与资金缺口'!$D$5:$D$16)*$AA5*'核心假设'!$B$32,0),0),IF(AND(AP$4&gt;EDATE('核心假设'!$B$5,15+$F5),AP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AP$4=EDATE(EDATE('核心假设'!$B$5,15+$F5),$D5),SUM('融资租赁与资金缺口'!$D$5:$D$16)*$AB5*'核心假设'!$B$32,0),0),IF(AND(AP$4&gt;EDATE('核心假设'!$B$5,16+$F5),AP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AP$4=EDATE(EDATE('核心假设'!$B$5,16+$F5),$D5),SUM('融资租赁与资金缺口'!$D$5:$D$16)*$AC5*'核心假设'!$B$32,0),0),IF(AND(AP$4&gt;EDATE('核心假设'!$B$5,17+$F5),AP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AP$4=EDATE(EDATE('核心假设'!$B$5,17+$F5),$D5),SUM('融资租赁与资金缺口'!$D$5:$D$16)*$AD5*'核心假设'!$B$32,0),0))</x:f>
        <x:v>13006082.998865554</x:v>
      </x:c>
      <x:c r="AQ7" s="28" t="n">
        <x:f>SUM(IF(AND(AQ$4&gt;EDATE('核心假设'!$B$5,0+$F5),AQ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AQ$4=EDATE(EDATE('核心假设'!$B$5,0+$F5),$D5),SUM('融资租赁与资金缺口'!$D$5:$D$16)*$M5*'核心假设'!$B$32,0),0),IF(AND(AQ$4&gt;EDATE('核心假设'!$B$5,1+$F5),AQ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AQ$4=EDATE(EDATE('核心假设'!$B$5,1+$F5),$D5),SUM('融资租赁与资金缺口'!$D$5:$D$16)*$N5*'核心假设'!$B$32,0),0),IF(AND(AQ$4&gt;EDATE('核心假设'!$B$5,2+$F5),AQ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AQ$4=EDATE(EDATE('核心假设'!$B$5,2+$F5),$D5),SUM('融资租赁与资金缺口'!$D$5:$D$16)*$O5*'核心假设'!$B$32,0),0),IF(AND(AQ$4&gt;EDATE('核心假设'!$B$5,3+$F5),AQ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AQ$4=EDATE(EDATE('核心假设'!$B$5,3+$F5),$D5),SUM('融资租赁与资金缺口'!$D$5:$D$16)*$P5*'核心假设'!$B$32,0),0),IF(AND(AQ$4&gt;EDATE('核心假设'!$B$5,4+$F5),AQ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AQ$4=EDATE(EDATE('核心假设'!$B$5,4+$F5),$D5),SUM('融资租赁与资金缺口'!$D$5:$D$16)*$Q5*'核心假设'!$B$32,0),0),IF(AND(AQ$4&gt;EDATE('核心假设'!$B$5,5+$F5),AQ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AQ$4=EDATE(EDATE('核心假设'!$B$5,5+$F5),$D5),SUM('融资租赁与资金缺口'!$D$5:$D$16)*$R5*'核心假设'!$B$32,0),0),IF(AND(AQ$4&gt;EDATE('核心假设'!$B$5,6+$F5),AQ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AQ$4=EDATE(EDATE('核心假设'!$B$5,6+$F5),$D5),SUM('融资租赁与资金缺口'!$D$5:$D$16)*$S5*'核心假设'!$B$32,0),0),IF(AND(AQ$4&gt;EDATE('核心假设'!$B$5,7+$F5),AQ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AQ$4=EDATE(EDATE('核心假设'!$B$5,7+$F5),$D5),SUM('融资租赁与资金缺口'!$D$5:$D$16)*$T5*'核心假设'!$B$32,0),0),IF(AND(AQ$4&gt;EDATE('核心假设'!$B$5,8+$F5),AQ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AQ$4=EDATE(EDATE('核心假设'!$B$5,8+$F5),$D5),SUM('融资租赁与资金缺口'!$D$5:$D$16)*$U5*'核心假设'!$B$32,0),0),IF(AND(AQ$4&gt;EDATE('核心假设'!$B$5,9+$F5),AQ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AQ$4=EDATE(EDATE('核心假设'!$B$5,9+$F5),$D5),SUM('融资租赁与资金缺口'!$D$5:$D$16)*$V5*'核心假设'!$B$32,0),0),IF(AND(AQ$4&gt;EDATE('核心假设'!$B$5,10+$F5),AQ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AQ$4=EDATE(EDATE('核心假设'!$B$5,10+$F5),$D5),SUM('融资租赁与资金缺口'!$D$5:$D$16)*$W5*'核心假设'!$B$32,0),0),IF(AND(AQ$4&gt;EDATE('核心假设'!$B$5,11+$F5),AQ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AQ$4=EDATE(EDATE('核心假设'!$B$5,11+$F5),$D5),SUM('融资租赁与资金缺口'!$D$5:$D$16)*$X5*'核心假设'!$B$32,0),0),IF(AND(AQ$4&gt;EDATE('核心假设'!$B$5,12+$F5),AQ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AQ$4=EDATE(EDATE('核心假设'!$B$5,12+$F5),$D5),SUM('融资租赁与资金缺口'!$D$5:$D$16)*$Y5*'核心假设'!$B$32,0),0),IF(AND(AQ$4&gt;EDATE('核心假设'!$B$5,13+$F5),AQ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AQ$4=EDATE(EDATE('核心假设'!$B$5,13+$F5),$D5),SUM('融资租赁与资金缺口'!$D$5:$D$16)*$Z5*'核心假设'!$B$32,0),0),IF(AND(AQ$4&gt;EDATE('核心假设'!$B$5,14+$F5),AQ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AQ$4=EDATE(EDATE('核心假设'!$B$5,14+$F5),$D5),SUM('融资租赁与资金缺口'!$D$5:$D$16)*$AA5*'核心假设'!$B$32,0),0),IF(AND(AQ$4&gt;EDATE('核心假设'!$B$5,15+$F5),AQ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AQ$4=EDATE(EDATE('核心假设'!$B$5,15+$F5),$D5),SUM('融资租赁与资金缺口'!$D$5:$D$16)*$AB5*'核心假设'!$B$32,0),0),IF(AND(AQ$4&gt;EDATE('核心假设'!$B$5,16+$F5),AQ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AQ$4=EDATE(EDATE('核心假设'!$B$5,16+$F5),$D5),SUM('融资租赁与资金缺口'!$D$5:$D$16)*$AC5*'核心假设'!$B$32,0),0),IF(AND(AQ$4&gt;EDATE('核心假设'!$B$5,17+$F5),AQ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AQ$4=EDATE(EDATE('核心假设'!$B$5,17+$F5),$D5),SUM('融资租赁与资金缺口'!$D$5:$D$16)*$AD5*'核心假设'!$B$32,0),0))</x:f>
        <x:v>14526274.518213477</x:v>
      </x:c>
      <x:c r="AR7" s="28" t="n">
        <x:f>SUM(IF(AND(AR$4&gt;EDATE('核心假设'!$B$5,0+$F5),AR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AR$4=EDATE(EDATE('核心假设'!$B$5,0+$F5),$D5),SUM('融资租赁与资金缺口'!$D$5:$D$16)*$M5*'核心假设'!$B$32,0),0),IF(AND(AR$4&gt;EDATE('核心假设'!$B$5,1+$F5),AR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AR$4=EDATE(EDATE('核心假设'!$B$5,1+$F5),$D5),SUM('融资租赁与资金缺口'!$D$5:$D$16)*$N5*'核心假设'!$B$32,0),0),IF(AND(AR$4&gt;EDATE('核心假设'!$B$5,2+$F5),AR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AR$4=EDATE(EDATE('核心假设'!$B$5,2+$F5),$D5),SUM('融资租赁与资金缺口'!$D$5:$D$16)*$O5*'核心假设'!$B$32,0),0),IF(AND(AR$4&gt;EDATE('核心假设'!$B$5,3+$F5),AR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AR$4=EDATE(EDATE('核心假设'!$B$5,3+$F5),$D5),SUM('融资租赁与资金缺口'!$D$5:$D$16)*$P5*'核心假设'!$B$32,0),0),IF(AND(AR$4&gt;EDATE('核心假设'!$B$5,4+$F5),AR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AR$4=EDATE(EDATE('核心假设'!$B$5,4+$F5),$D5),SUM('融资租赁与资金缺口'!$D$5:$D$16)*$Q5*'核心假设'!$B$32,0),0),IF(AND(AR$4&gt;EDATE('核心假设'!$B$5,5+$F5),AR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AR$4=EDATE(EDATE('核心假设'!$B$5,5+$F5),$D5),SUM('融资租赁与资金缺口'!$D$5:$D$16)*$R5*'核心假设'!$B$32,0),0),IF(AND(AR$4&gt;EDATE('核心假设'!$B$5,6+$F5),AR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AR$4=EDATE(EDATE('核心假设'!$B$5,6+$F5),$D5),SUM('融资租赁与资金缺口'!$D$5:$D$16)*$S5*'核心假设'!$B$32,0),0),IF(AND(AR$4&gt;EDATE('核心假设'!$B$5,7+$F5),AR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AR$4=EDATE(EDATE('核心假设'!$B$5,7+$F5),$D5),SUM('融资租赁与资金缺口'!$D$5:$D$16)*$T5*'核心假设'!$B$32,0),0),IF(AND(AR$4&gt;EDATE('核心假设'!$B$5,8+$F5),AR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AR$4=EDATE(EDATE('核心假设'!$B$5,8+$F5),$D5),SUM('融资租赁与资金缺口'!$D$5:$D$16)*$U5*'核心假设'!$B$32,0),0),IF(AND(AR$4&gt;EDATE('核心假设'!$B$5,9+$F5),AR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AR$4=EDATE(EDATE('核心假设'!$B$5,9+$F5),$D5),SUM('融资租赁与资金缺口'!$D$5:$D$16)*$V5*'核心假设'!$B$32,0),0),IF(AND(AR$4&gt;EDATE('核心假设'!$B$5,10+$F5),AR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AR$4=EDATE(EDATE('核心假设'!$B$5,10+$F5),$D5),SUM('融资租赁与资金缺口'!$D$5:$D$16)*$W5*'核心假设'!$B$32,0),0),IF(AND(AR$4&gt;EDATE('核心假设'!$B$5,11+$F5),AR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AR$4=EDATE(EDATE('核心假设'!$B$5,11+$F5),$D5),SUM('融资租赁与资金缺口'!$D$5:$D$16)*$X5*'核心假设'!$B$32,0),0),IF(AND(AR$4&gt;EDATE('核心假设'!$B$5,12+$F5),AR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AR$4=EDATE(EDATE('核心假设'!$B$5,12+$F5),$D5),SUM('融资租赁与资金缺口'!$D$5:$D$16)*$Y5*'核心假设'!$B$32,0),0),IF(AND(AR$4&gt;EDATE('核心假设'!$B$5,13+$F5),AR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AR$4=EDATE(EDATE('核心假设'!$B$5,13+$F5),$D5),SUM('融资租赁与资金缺口'!$D$5:$D$16)*$Z5*'核心假设'!$B$32,0),0),IF(AND(AR$4&gt;EDATE('核心假设'!$B$5,14+$F5),AR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AR$4=EDATE(EDATE('核心假设'!$B$5,14+$F5),$D5),SUM('融资租赁与资金缺口'!$D$5:$D$16)*$AA5*'核心假设'!$B$32,0),0),IF(AND(AR$4&gt;EDATE('核心假设'!$B$5,15+$F5),AR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AR$4=EDATE(EDATE('核心假设'!$B$5,15+$F5),$D5),SUM('融资租赁与资金缺口'!$D$5:$D$16)*$AB5*'核心假设'!$B$32,0),0),IF(AND(AR$4&gt;EDATE('核心假设'!$B$5,16+$F5),AR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AR$4=EDATE(EDATE('核心假设'!$B$5,16+$F5),$D5),SUM('融资租赁与资金缺口'!$D$5:$D$16)*$AC5*'核心假设'!$B$32,0),0),IF(AND(AR$4&gt;EDATE('核心假设'!$B$5,17+$F5),AR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AR$4=EDATE(EDATE('核心假设'!$B$5,17+$F5),$D5),SUM('融资租赁与资金缺口'!$D$5:$D$16)*$AD5*'核心假设'!$B$32,0),0))</x:f>
        <x:v>15877555.868744964</x:v>
      </x:c>
      <x:c r="AS7" s="28" t="n">
        <x:f>SUM(IF(AND(AS$4&gt;EDATE('核心假设'!$B$5,0+$F5),AS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AS$4=EDATE(EDATE('核心假设'!$B$5,0+$F5),$D5),SUM('融资租赁与资金缺口'!$D$5:$D$16)*$M5*'核心假设'!$B$32,0),0),IF(AND(AS$4&gt;EDATE('核心假设'!$B$5,1+$F5),AS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AS$4=EDATE(EDATE('核心假设'!$B$5,1+$F5),$D5),SUM('融资租赁与资金缺口'!$D$5:$D$16)*$N5*'核心假设'!$B$32,0),0),IF(AND(AS$4&gt;EDATE('核心假设'!$B$5,2+$F5),AS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AS$4=EDATE(EDATE('核心假设'!$B$5,2+$F5),$D5),SUM('融资租赁与资金缺口'!$D$5:$D$16)*$O5*'核心假设'!$B$32,0),0),IF(AND(AS$4&gt;EDATE('核心假设'!$B$5,3+$F5),AS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AS$4=EDATE(EDATE('核心假设'!$B$5,3+$F5),$D5),SUM('融资租赁与资金缺口'!$D$5:$D$16)*$P5*'核心假设'!$B$32,0),0),IF(AND(AS$4&gt;EDATE('核心假设'!$B$5,4+$F5),AS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AS$4=EDATE(EDATE('核心假设'!$B$5,4+$F5),$D5),SUM('融资租赁与资金缺口'!$D$5:$D$16)*$Q5*'核心假设'!$B$32,0),0),IF(AND(AS$4&gt;EDATE('核心假设'!$B$5,5+$F5),AS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AS$4=EDATE(EDATE('核心假设'!$B$5,5+$F5),$D5),SUM('融资租赁与资金缺口'!$D$5:$D$16)*$R5*'核心假设'!$B$32,0),0),IF(AND(AS$4&gt;EDATE('核心假设'!$B$5,6+$F5),AS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AS$4=EDATE(EDATE('核心假设'!$B$5,6+$F5),$D5),SUM('融资租赁与资金缺口'!$D$5:$D$16)*$S5*'核心假设'!$B$32,0),0),IF(AND(AS$4&gt;EDATE('核心假设'!$B$5,7+$F5),AS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AS$4=EDATE(EDATE('核心假设'!$B$5,7+$F5),$D5),SUM('融资租赁与资金缺口'!$D$5:$D$16)*$T5*'核心假设'!$B$32,0),0),IF(AND(AS$4&gt;EDATE('核心假设'!$B$5,8+$F5),AS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AS$4=EDATE(EDATE('核心假设'!$B$5,8+$F5),$D5),SUM('融资租赁与资金缺口'!$D$5:$D$16)*$U5*'核心假设'!$B$32,0),0),IF(AND(AS$4&gt;EDATE('核心假设'!$B$5,9+$F5),AS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AS$4=EDATE(EDATE('核心假设'!$B$5,9+$F5),$D5),SUM('融资租赁与资金缺口'!$D$5:$D$16)*$V5*'核心假设'!$B$32,0),0),IF(AND(AS$4&gt;EDATE('核心假设'!$B$5,10+$F5),AS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AS$4=EDATE(EDATE('核心假设'!$B$5,10+$F5),$D5),SUM('融资租赁与资金缺口'!$D$5:$D$16)*$W5*'核心假设'!$B$32,0),0),IF(AND(AS$4&gt;EDATE('核心假设'!$B$5,11+$F5),AS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AS$4=EDATE(EDATE('核心假设'!$B$5,11+$F5),$D5),SUM('融资租赁与资金缺口'!$D$5:$D$16)*$X5*'核心假设'!$B$32,0),0),IF(AND(AS$4&gt;EDATE('核心假设'!$B$5,12+$F5),AS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AS$4=EDATE(EDATE('核心假设'!$B$5,12+$F5),$D5),SUM('融资租赁与资金缺口'!$D$5:$D$16)*$Y5*'核心假设'!$B$32,0),0),IF(AND(AS$4&gt;EDATE('核心假设'!$B$5,13+$F5),AS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AS$4=EDATE(EDATE('核心假设'!$B$5,13+$F5),$D5),SUM('融资租赁与资金缺口'!$D$5:$D$16)*$Z5*'核心假设'!$B$32,0),0),IF(AND(AS$4&gt;EDATE('核心假设'!$B$5,14+$F5),AS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AS$4=EDATE(EDATE('核心假设'!$B$5,14+$F5),$D5),SUM('融资租赁与资金缺口'!$D$5:$D$16)*$AA5*'核心假设'!$B$32,0),0),IF(AND(AS$4&gt;EDATE('核心假设'!$B$5,15+$F5),AS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AS$4=EDATE(EDATE('核心假设'!$B$5,15+$F5),$D5),SUM('融资租赁与资金缺口'!$D$5:$D$16)*$AB5*'核心假设'!$B$32,0),0),IF(AND(AS$4&gt;EDATE('核心假设'!$B$5,16+$F5),AS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AS$4=EDATE(EDATE('核心假设'!$B$5,16+$F5),$D5),SUM('融资租赁与资金缺口'!$D$5:$D$16)*$AC5*'核心假设'!$B$32,0),0),IF(AND(AS$4&gt;EDATE('核心假设'!$B$5,17+$F5),AS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AS$4=EDATE(EDATE('核心假设'!$B$5,17+$F5),$D5),SUM('融资租赁与资金缺口'!$D$5:$D$16)*$AD5*'核心假设'!$B$32,0),0))</x:f>
        <x:v>16891016.88164358</x:v>
      </x:c>
      <x:c r="AT7" s="28" t="n">
        <x:f>SUM(IF(AND(AT$4&gt;EDATE('核心假设'!$B$5,0+$F5),AT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AT$4=EDATE(EDATE('核心假设'!$B$5,0+$F5),$D5),SUM('融资租赁与资金缺口'!$D$5:$D$16)*$M5*'核心假设'!$B$32,0),0),IF(AND(AT$4&gt;EDATE('核心假设'!$B$5,1+$F5),AT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AT$4=EDATE(EDATE('核心假设'!$B$5,1+$F5),$D5),SUM('融资租赁与资金缺口'!$D$5:$D$16)*$N5*'核心假设'!$B$32,0),0),IF(AND(AT$4&gt;EDATE('核心假设'!$B$5,2+$F5),AT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AT$4=EDATE(EDATE('核心假设'!$B$5,2+$F5),$D5),SUM('融资租赁与资金缺口'!$D$5:$D$16)*$O5*'核心假设'!$B$32,0),0),IF(AND(AT$4&gt;EDATE('核心假设'!$B$5,3+$F5),AT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AT$4=EDATE(EDATE('核心假设'!$B$5,3+$F5),$D5),SUM('融资租赁与资金缺口'!$D$5:$D$16)*$P5*'核心假设'!$B$32,0),0),IF(AND(AT$4&gt;EDATE('核心假设'!$B$5,4+$F5),AT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AT$4=EDATE(EDATE('核心假设'!$B$5,4+$F5),$D5),SUM('融资租赁与资金缺口'!$D$5:$D$16)*$Q5*'核心假设'!$B$32,0),0),IF(AND(AT$4&gt;EDATE('核心假设'!$B$5,5+$F5),AT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AT$4=EDATE(EDATE('核心假设'!$B$5,5+$F5),$D5),SUM('融资租赁与资金缺口'!$D$5:$D$16)*$R5*'核心假设'!$B$32,0),0),IF(AND(AT$4&gt;EDATE('核心假设'!$B$5,6+$F5),AT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AT$4=EDATE(EDATE('核心假设'!$B$5,6+$F5),$D5),SUM('融资租赁与资金缺口'!$D$5:$D$16)*$S5*'核心假设'!$B$32,0),0),IF(AND(AT$4&gt;EDATE('核心假设'!$B$5,7+$F5),AT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AT$4=EDATE(EDATE('核心假设'!$B$5,7+$F5),$D5),SUM('融资租赁与资金缺口'!$D$5:$D$16)*$T5*'核心假设'!$B$32,0),0),IF(AND(AT$4&gt;EDATE('核心假设'!$B$5,8+$F5),AT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AT$4=EDATE(EDATE('核心假设'!$B$5,8+$F5),$D5),SUM('融资租赁与资金缺口'!$D$5:$D$16)*$U5*'核心假设'!$B$32,0),0),IF(AND(AT$4&gt;EDATE('核心假设'!$B$5,9+$F5),AT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AT$4=EDATE(EDATE('核心假设'!$B$5,9+$F5),$D5),SUM('融资租赁与资金缺口'!$D$5:$D$16)*$V5*'核心假设'!$B$32,0),0),IF(AND(AT$4&gt;EDATE('核心假设'!$B$5,10+$F5),AT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AT$4=EDATE(EDATE('核心假设'!$B$5,10+$F5),$D5),SUM('融资租赁与资金缺口'!$D$5:$D$16)*$W5*'核心假设'!$B$32,0),0),IF(AND(AT$4&gt;EDATE('核心假设'!$B$5,11+$F5),AT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AT$4=EDATE(EDATE('核心假设'!$B$5,11+$F5),$D5),SUM('融资租赁与资金缺口'!$D$5:$D$16)*$X5*'核心假设'!$B$32,0),0),IF(AND(AT$4&gt;EDATE('核心假设'!$B$5,12+$F5),AT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AT$4=EDATE(EDATE('核心假设'!$B$5,12+$F5),$D5),SUM('融资租赁与资金缺口'!$D$5:$D$16)*$Y5*'核心假设'!$B$32,0),0),IF(AND(AT$4&gt;EDATE('核心假设'!$B$5,13+$F5),AT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AT$4=EDATE(EDATE('核心假设'!$B$5,13+$F5),$D5),SUM('融资租赁与资金缺口'!$D$5:$D$16)*$Z5*'核心假设'!$B$32,0),0),IF(AND(AT$4&gt;EDATE('核心假设'!$B$5,14+$F5),AT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AT$4=EDATE(EDATE('核心假设'!$B$5,14+$F5),$D5),SUM('融资租赁与资金缺口'!$D$5:$D$16)*$AA5*'核心假设'!$B$32,0),0),IF(AND(AT$4&gt;EDATE('核心假设'!$B$5,15+$F5),AT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AT$4=EDATE(EDATE('核心假设'!$B$5,15+$F5),$D5),SUM('融资租赁与资金缺口'!$D$5:$D$16)*$AB5*'核心假设'!$B$32,0),0),IF(AND(AT$4&gt;EDATE('核心假设'!$B$5,16+$F5),AT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AT$4=EDATE(EDATE('核心假设'!$B$5,16+$F5),$D5),SUM('融资租赁与资金缺口'!$D$5:$D$16)*$AC5*'核心假设'!$B$32,0),0),IF(AND(AT$4&gt;EDATE('核心假设'!$B$5,17+$F5),AT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AT$4=EDATE(EDATE('核心假设'!$B$5,17+$F5),$D5),SUM('融资租赁与资金缺口'!$D$5:$D$16)*$AD5*'核心假设'!$B$32,0),0))</x:f>
        <x:v>16891016.88164358</x:v>
      </x:c>
      <x:c r="AU7" s="28" t="n">
        <x:f>SUM(IF(AND(AU$4&gt;EDATE('核心假设'!$B$5,0+$F5),AU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AU$4=EDATE(EDATE('核心假设'!$B$5,0+$F5),$D5),SUM('融资租赁与资金缺口'!$D$5:$D$16)*$M5*'核心假设'!$B$32,0),0),IF(AND(AU$4&gt;EDATE('核心假设'!$B$5,1+$F5),AU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AU$4=EDATE(EDATE('核心假设'!$B$5,1+$F5),$D5),SUM('融资租赁与资金缺口'!$D$5:$D$16)*$N5*'核心假设'!$B$32,0),0),IF(AND(AU$4&gt;EDATE('核心假设'!$B$5,2+$F5),AU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AU$4=EDATE(EDATE('核心假设'!$B$5,2+$F5),$D5),SUM('融资租赁与资金缺口'!$D$5:$D$16)*$O5*'核心假设'!$B$32,0),0),IF(AND(AU$4&gt;EDATE('核心假设'!$B$5,3+$F5),AU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AU$4=EDATE(EDATE('核心假设'!$B$5,3+$F5),$D5),SUM('融资租赁与资金缺口'!$D$5:$D$16)*$P5*'核心假设'!$B$32,0),0),IF(AND(AU$4&gt;EDATE('核心假设'!$B$5,4+$F5),AU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AU$4=EDATE(EDATE('核心假设'!$B$5,4+$F5),$D5),SUM('融资租赁与资金缺口'!$D$5:$D$16)*$Q5*'核心假设'!$B$32,0),0),IF(AND(AU$4&gt;EDATE('核心假设'!$B$5,5+$F5),AU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AU$4=EDATE(EDATE('核心假设'!$B$5,5+$F5),$D5),SUM('融资租赁与资金缺口'!$D$5:$D$16)*$R5*'核心假设'!$B$32,0),0),IF(AND(AU$4&gt;EDATE('核心假设'!$B$5,6+$F5),AU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AU$4=EDATE(EDATE('核心假设'!$B$5,6+$F5),$D5),SUM('融资租赁与资金缺口'!$D$5:$D$16)*$S5*'核心假设'!$B$32,0),0),IF(AND(AU$4&gt;EDATE('核心假设'!$B$5,7+$F5),AU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AU$4=EDATE(EDATE('核心假设'!$B$5,7+$F5),$D5),SUM('融资租赁与资金缺口'!$D$5:$D$16)*$T5*'核心假设'!$B$32,0),0),IF(AND(AU$4&gt;EDATE('核心假设'!$B$5,8+$F5),AU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AU$4=EDATE(EDATE('核心假设'!$B$5,8+$F5),$D5),SUM('融资租赁与资金缺口'!$D$5:$D$16)*$U5*'核心假设'!$B$32,0),0),IF(AND(AU$4&gt;EDATE('核心假设'!$B$5,9+$F5),AU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AU$4=EDATE(EDATE('核心假设'!$B$5,9+$F5),$D5),SUM('融资租赁与资金缺口'!$D$5:$D$16)*$V5*'核心假设'!$B$32,0),0),IF(AND(AU$4&gt;EDATE('核心假设'!$B$5,10+$F5),AU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AU$4=EDATE(EDATE('核心假设'!$B$5,10+$F5),$D5),SUM('融资租赁与资金缺口'!$D$5:$D$16)*$W5*'核心假设'!$B$32,0),0),IF(AND(AU$4&gt;EDATE('核心假设'!$B$5,11+$F5),AU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AU$4=EDATE(EDATE('核心假设'!$B$5,11+$F5),$D5),SUM('融资租赁与资金缺口'!$D$5:$D$16)*$X5*'核心假设'!$B$32,0),0),IF(AND(AU$4&gt;EDATE('核心假设'!$B$5,12+$F5),AU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AU$4=EDATE(EDATE('核心假设'!$B$5,12+$F5),$D5),SUM('融资租赁与资金缺口'!$D$5:$D$16)*$Y5*'核心假设'!$B$32,0),0),IF(AND(AU$4&gt;EDATE('核心假设'!$B$5,13+$F5),AU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AU$4=EDATE(EDATE('核心假设'!$B$5,13+$F5),$D5),SUM('融资租赁与资金缺口'!$D$5:$D$16)*$Z5*'核心假设'!$B$32,0),0),IF(AND(AU$4&gt;EDATE('核心假设'!$B$5,14+$F5),AU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AU$4=EDATE(EDATE('核心假设'!$B$5,14+$F5),$D5),SUM('融资租赁与资金缺口'!$D$5:$D$16)*$AA5*'核心假设'!$B$32,0),0),IF(AND(AU$4&gt;EDATE('核心假设'!$B$5,15+$F5),AU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AU$4=EDATE(EDATE('核心假设'!$B$5,15+$F5),$D5),SUM('融资租赁与资金缺口'!$D$5:$D$16)*$AB5*'核心假设'!$B$32,0),0),IF(AND(AU$4&gt;EDATE('核心假设'!$B$5,16+$F5),AU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AU$4=EDATE(EDATE('核心假设'!$B$5,16+$F5),$D5),SUM('融资租赁与资金缺口'!$D$5:$D$16)*$AC5*'核心假设'!$B$32,0),0),IF(AND(AU$4&gt;EDATE('核心假设'!$B$5,17+$F5),AU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AU$4=EDATE(EDATE('核心假设'!$B$5,17+$F5),$D5),SUM('融资租赁与资金缺口'!$D$5:$D$16)*$AD5*'核心假设'!$B$32,0),0))</x:f>
        <x:v>16891016.88164358</x:v>
      </x:c>
      <x:c r="AV7" s="28" t="n">
        <x:f>SUM(IF(AND(AV$4&gt;EDATE('核心假设'!$B$5,0+$F5),AV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AV$4=EDATE(EDATE('核心假设'!$B$5,0+$F5),$D5),SUM('融资租赁与资金缺口'!$D$5:$D$16)*$M5*'核心假设'!$B$32,0),0),IF(AND(AV$4&gt;EDATE('核心假设'!$B$5,1+$F5),AV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AV$4=EDATE(EDATE('核心假设'!$B$5,1+$F5),$D5),SUM('融资租赁与资金缺口'!$D$5:$D$16)*$N5*'核心假设'!$B$32,0),0),IF(AND(AV$4&gt;EDATE('核心假设'!$B$5,2+$F5),AV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AV$4=EDATE(EDATE('核心假设'!$B$5,2+$F5),$D5),SUM('融资租赁与资金缺口'!$D$5:$D$16)*$O5*'核心假设'!$B$32,0),0),IF(AND(AV$4&gt;EDATE('核心假设'!$B$5,3+$F5),AV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AV$4=EDATE(EDATE('核心假设'!$B$5,3+$F5),$D5),SUM('融资租赁与资金缺口'!$D$5:$D$16)*$P5*'核心假设'!$B$32,0),0),IF(AND(AV$4&gt;EDATE('核心假设'!$B$5,4+$F5),AV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AV$4=EDATE(EDATE('核心假设'!$B$5,4+$F5),$D5),SUM('融资租赁与资金缺口'!$D$5:$D$16)*$Q5*'核心假设'!$B$32,0),0),IF(AND(AV$4&gt;EDATE('核心假设'!$B$5,5+$F5),AV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AV$4=EDATE(EDATE('核心假设'!$B$5,5+$F5),$D5),SUM('融资租赁与资金缺口'!$D$5:$D$16)*$R5*'核心假设'!$B$32,0),0),IF(AND(AV$4&gt;EDATE('核心假设'!$B$5,6+$F5),AV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AV$4=EDATE(EDATE('核心假设'!$B$5,6+$F5),$D5),SUM('融资租赁与资金缺口'!$D$5:$D$16)*$S5*'核心假设'!$B$32,0),0),IF(AND(AV$4&gt;EDATE('核心假设'!$B$5,7+$F5),AV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AV$4=EDATE(EDATE('核心假设'!$B$5,7+$F5),$D5),SUM('融资租赁与资金缺口'!$D$5:$D$16)*$T5*'核心假设'!$B$32,0),0),IF(AND(AV$4&gt;EDATE('核心假设'!$B$5,8+$F5),AV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AV$4=EDATE(EDATE('核心假设'!$B$5,8+$F5),$D5),SUM('融资租赁与资金缺口'!$D$5:$D$16)*$U5*'核心假设'!$B$32,0),0),IF(AND(AV$4&gt;EDATE('核心假设'!$B$5,9+$F5),AV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AV$4=EDATE(EDATE('核心假设'!$B$5,9+$F5),$D5),SUM('融资租赁与资金缺口'!$D$5:$D$16)*$V5*'核心假设'!$B$32,0),0),IF(AND(AV$4&gt;EDATE('核心假设'!$B$5,10+$F5),AV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AV$4=EDATE(EDATE('核心假设'!$B$5,10+$F5),$D5),SUM('融资租赁与资金缺口'!$D$5:$D$16)*$W5*'核心假设'!$B$32,0),0),IF(AND(AV$4&gt;EDATE('核心假设'!$B$5,11+$F5),AV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AV$4=EDATE(EDATE('核心假设'!$B$5,11+$F5),$D5),SUM('融资租赁与资金缺口'!$D$5:$D$16)*$X5*'核心假设'!$B$32,0),0),IF(AND(AV$4&gt;EDATE('核心假设'!$B$5,12+$F5),AV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AV$4=EDATE(EDATE('核心假设'!$B$5,12+$F5),$D5),SUM('融资租赁与资金缺口'!$D$5:$D$16)*$Y5*'核心假设'!$B$32,0),0),IF(AND(AV$4&gt;EDATE('核心假设'!$B$5,13+$F5),AV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AV$4=EDATE(EDATE('核心假设'!$B$5,13+$F5),$D5),SUM('融资租赁与资金缺口'!$D$5:$D$16)*$Z5*'核心假设'!$B$32,0),0),IF(AND(AV$4&gt;EDATE('核心假设'!$B$5,14+$F5),AV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AV$4=EDATE(EDATE('核心假设'!$B$5,14+$F5),$D5),SUM('融资租赁与资金缺口'!$D$5:$D$16)*$AA5*'核心假设'!$B$32,0),0),IF(AND(AV$4&gt;EDATE('核心假设'!$B$5,15+$F5),AV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AV$4=EDATE(EDATE('核心假设'!$B$5,15+$F5),$D5),SUM('融资租赁与资金缺口'!$D$5:$D$16)*$AB5*'核心假设'!$B$32,0),0),IF(AND(AV$4&gt;EDATE('核心假设'!$B$5,16+$F5),AV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AV$4=EDATE(EDATE('核心假设'!$B$5,16+$F5),$D5),SUM('融资租赁与资金缺口'!$D$5:$D$16)*$AC5*'核心假设'!$B$32,0),0),IF(AND(AV$4&gt;EDATE('核心假设'!$B$5,17+$F5),AV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AV$4=EDATE(EDATE('核心假设'!$B$5,17+$F5),$D5),SUM('融资租赁与资金缺口'!$D$5:$D$16)*$AD5*'核心假设'!$B$32,0),0))</x:f>
        <x:v>16891016.88164358</x:v>
      </x:c>
      <x:c r="AW7" s="28" t="n">
        <x:f>SUM(IF(AND(AW$4&gt;EDATE('核心假设'!$B$5,0+$F5),AW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AW$4=EDATE(EDATE('核心假设'!$B$5,0+$F5),$D5),SUM('融资租赁与资金缺口'!$D$5:$D$16)*$M5*'核心假设'!$B$32,0),0),IF(AND(AW$4&gt;EDATE('核心假设'!$B$5,1+$F5),AW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AW$4=EDATE(EDATE('核心假设'!$B$5,1+$F5),$D5),SUM('融资租赁与资金缺口'!$D$5:$D$16)*$N5*'核心假设'!$B$32,0),0),IF(AND(AW$4&gt;EDATE('核心假设'!$B$5,2+$F5),AW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AW$4=EDATE(EDATE('核心假设'!$B$5,2+$F5),$D5),SUM('融资租赁与资金缺口'!$D$5:$D$16)*$O5*'核心假设'!$B$32,0),0),IF(AND(AW$4&gt;EDATE('核心假设'!$B$5,3+$F5),AW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AW$4=EDATE(EDATE('核心假设'!$B$5,3+$F5),$D5),SUM('融资租赁与资金缺口'!$D$5:$D$16)*$P5*'核心假设'!$B$32,0),0),IF(AND(AW$4&gt;EDATE('核心假设'!$B$5,4+$F5),AW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AW$4=EDATE(EDATE('核心假设'!$B$5,4+$F5),$D5),SUM('融资租赁与资金缺口'!$D$5:$D$16)*$Q5*'核心假设'!$B$32,0),0),IF(AND(AW$4&gt;EDATE('核心假设'!$B$5,5+$F5),AW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AW$4=EDATE(EDATE('核心假设'!$B$5,5+$F5),$D5),SUM('融资租赁与资金缺口'!$D$5:$D$16)*$R5*'核心假设'!$B$32,0),0),IF(AND(AW$4&gt;EDATE('核心假设'!$B$5,6+$F5),AW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AW$4=EDATE(EDATE('核心假设'!$B$5,6+$F5),$D5),SUM('融资租赁与资金缺口'!$D$5:$D$16)*$S5*'核心假设'!$B$32,0),0),IF(AND(AW$4&gt;EDATE('核心假设'!$B$5,7+$F5),AW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AW$4=EDATE(EDATE('核心假设'!$B$5,7+$F5),$D5),SUM('融资租赁与资金缺口'!$D$5:$D$16)*$T5*'核心假设'!$B$32,0),0),IF(AND(AW$4&gt;EDATE('核心假设'!$B$5,8+$F5),AW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AW$4=EDATE(EDATE('核心假设'!$B$5,8+$F5),$D5),SUM('融资租赁与资金缺口'!$D$5:$D$16)*$U5*'核心假设'!$B$32,0),0),IF(AND(AW$4&gt;EDATE('核心假设'!$B$5,9+$F5),AW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AW$4=EDATE(EDATE('核心假设'!$B$5,9+$F5),$D5),SUM('融资租赁与资金缺口'!$D$5:$D$16)*$V5*'核心假设'!$B$32,0),0),IF(AND(AW$4&gt;EDATE('核心假设'!$B$5,10+$F5),AW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AW$4=EDATE(EDATE('核心假设'!$B$5,10+$F5),$D5),SUM('融资租赁与资金缺口'!$D$5:$D$16)*$W5*'核心假设'!$B$32,0),0),IF(AND(AW$4&gt;EDATE('核心假设'!$B$5,11+$F5),AW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AW$4=EDATE(EDATE('核心假设'!$B$5,11+$F5),$D5),SUM('融资租赁与资金缺口'!$D$5:$D$16)*$X5*'核心假设'!$B$32,0),0),IF(AND(AW$4&gt;EDATE('核心假设'!$B$5,12+$F5),AW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AW$4=EDATE(EDATE('核心假设'!$B$5,12+$F5),$D5),SUM('融资租赁与资金缺口'!$D$5:$D$16)*$Y5*'核心假设'!$B$32,0),0),IF(AND(AW$4&gt;EDATE('核心假设'!$B$5,13+$F5),AW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AW$4=EDATE(EDATE('核心假设'!$B$5,13+$F5),$D5),SUM('融资租赁与资金缺口'!$D$5:$D$16)*$Z5*'核心假设'!$B$32,0),0),IF(AND(AW$4&gt;EDATE('核心假设'!$B$5,14+$F5),AW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AW$4=EDATE(EDATE('核心假设'!$B$5,14+$F5),$D5),SUM('融资租赁与资金缺口'!$D$5:$D$16)*$AA5*'核心假设'!$B$32,0),0),IF(AND(AW$4&gt;EDATE('核心假设'!$B$5,15+$F5),AW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AW$4=EDATE(EDATE('核心假设'!$B$5,15+$F5),$D5),SUM('融资租赁与资金缺口'!$D$5:$D$16)*$AB5*'核心假设'!$B$32,0),0),IF(AND(AW$4&gt;EDATE('核心假设'!$B$5,16+$F5),AW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AW$4=EDATE(EDATE('核心假设'!$B$5,16+$F5),$D5),SUM('融资租赁与资金缺口'!$D$5:$D$16)*$AC5*'核心假设'!$B$32,0),0),IF(AND(AW$4&gt;EDATE('核心假设'!$B$5,17+$F5),AW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AW$4=EDATE(EDATE('核心假设'!$B$5,17+$F5),$D5),SUM('融资租赁与资金缺口'!$D$5:$D$16)*$AD5*'核心假设'!$B$32,0),0))</x:f>
        <x:v>16891016.88164358</x:v>
      </x:c>
      <x:c r="AX7" s="28" t="n">
        <x:f>SUM(IF(AND(AX$4&gt;EDATE('核心假设'!$B$5,0+$F5),AX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AX$4=EDATE(EDATE('核心假设'!$B$5,0+$F5),$D5),SUM('融资租赁与资金缺口'!$D$5:$D$16)*$M5*'核心假设'!$B$32,0),0),IF(AND(AX$4&gt;EDATE('核心假设'!$B$5,1+$F5),AX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AX$4=EDATE(EDATE('核心假设'!$B$5,1+$F5),$D5),SUM('融资租赁与资金缺口'!$D$5:$D$16)*$N5*'核心假设'!$B$32,0),0),IF(AND(AX$4&gt;EDATE('核心假设'!$B$5,2+$F5),AX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AX$4=EDATE(EDATE('核心假设'!$B$5,2+$F5),$D5),SUM('融资租赁与资金缺口'!$D$5:$D$16)*$O5*'核心假设'!$B$32,0),0),IF(AND(AX$4&gt;EDATE('核心假设'!$B$5,3+$F5),AX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AX$4=EDATE(EDATE('核心假设'!$B$5,3+$F5),$D5),SUM('融资租赁与资金缺口'!$D$5:$D$16)*$P5*'核心假设'!$B$32,0),0),IF(AND(AX$4&gt;EDATE('核心假设'!$B$5,4+$F5),AX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AX$4=EDATE(EDATE('核心假设'!$B$5,4+$F5),$D5),SUM('融资租赁与资金缺口'!$D$5:$D$16)*$Q5*'核心假设'!$B$32,0),0),IF(AND(AX$4&gt;EDATE('核心假设'!$B$5,5+$F5),AX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AX$4=EDATE(EDATE('核心假设'!$B$5,5+$F5),$D5),SUM('融资租赁与资金缺口'!$D$5:$D$16)*$R5*'核心假设'!$B$32,0),0),IF(AND(AX$4&gt;EDATE('核心假设'!$B$5,6+$F5),AX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AX$4=EDATE(EDATE('核心假设'!$B$5,6+$F5),$D5),SUM('融资租赁与资金缺口'!$D$5:$D$16)*$S5*'核心假设'!$B$32,0),0),IF(AND(AX$4&gt;EDATE('核心假设'!$B$5,7+$F5),AX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AX$4=EDATE(EDATE('核心假设'!$B$5,7+$F5),$D5),SUM('融资租赁与资金缺口'!$D$5:$D$16)*$T5*'核心假设'!$B$32,0),0),IF(AND(AX$4&gt;EDATE('核心假设'!$B$5,8+$F5),AX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AX$4=EDATE(EDATE('核心假设'!$B$5,8+$F5),$D5),SUM('融资租赁与资金缺口'!$D$5:$D$16)*$U5*'核心假设'!$B$32,0),0),IF(AND(AX$4&gt;EDATE('核心假设'!$B$5,9+$F5),AX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AX$4=EDATE(EDATE('核心假设'!$B$5,9+$F5),$D5),SUM('融资租赁与资金缺口'!$D$5:$D$16)*$V5*'核心假设'!$B$32,0),0),IF(AND(AX$4&gt;EDATE('核心假设'!$B$5,10+$F5),AX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AX$4=EDATE(EDATE('核心假设'!$B$5,10+$F5),$D5),SUM('融资租赁与资金缺口'!$D$5:$D$16)*$W5*'核心假设'!$B$32,0),0),IF(AND(AX$4&gt;EDATE('核心假设'!$B$5,11+$F5),AX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AX$4=EDATE(EDATE('核心假设'!$B$5,11+$F5),$D5),SUM('融资租赁与资金缺口'!$D$5:$D$16)*$X5*'核心假设'!$B$32,0),0),IF(AND(AX$4&gt;EDATE('核心假设'!$B$5,12+$F5),AX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AX$4=EDATE(EDATE('核心假设'!$B$5,12+$F5),$D5),SUM('融资租赁与资金缺口'!$D$5:$D$16)*$Y5*'核心假设'!$B$32,0),0),IF(AND(AX$4&gt;EDATE('核心假设'!$B$5,13+$F5),AX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AX$4=EDATE(EDATE('核心假设'!$B$5,13+$F5),$D5),SUM('融资租赁与资金缺口'!$D$5:$D$16)*$Z5*'核心假设'!$B$32,0),0),IF(AND(AX$4&gt;EDATE('核心假设'!$B$5,14+$F5),AX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AX$4=EDATE(EDATE('核心假设'!$B$5,14+$F5),$D5),SUM('融资租赁与资金缺口'!$D$5:$D$16)*$AA5*'核心假设'!$B$32,0),0),IF(AND(AX$4&gt;EDATE('核心假设'!$B$5,15+$F5),AX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AX$4=EDATE(EDATE('核心假设'!$B$5,15+$F5),$D5),SUM('融资租赁与资金缺口'!$D$5:$D$16)*$AB5*'核心假设'!$B$32,0),0),IF(AND(AX$4&gt;EDATE('核心假设'!$B$5,16+$F5),AX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AX$4=EDATE(EDATE('核心假设'!$B$5,16+$F5),$D5),SUM('融资租赁与资金缺口'!$D$5:$D$16)*$AC5*'核心假设'!$B$32,0),0),IF(AND(AX$4&gt;EDATE('核心假设'!$B$5,17+$F5),AX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AX$4=EDATE(EDATE('核心假设'!$B$5,17+$F5),$D5),SUM('融资租赁与资金缺口'!$D$5:$D$16)*$AD5*'核心假设'!$B$32,0),0))</x:f>
        <x:v>16891016.88164358</x:v>
      </x:c>
      <x:c r="AY7" s="28" t="n">
        <x:f>SUM(IF(AND(AY$4&gt;EDATE('核心假设'!$B$5,0+$F5),AY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AY$4=EDATE(EDATE('核心假设'!$B$5,0+$F5),$D5),SUM('融资租赁与资金缺口'!$D$5:$D$16)*$M5*'核心假设'!$B$32,0),0),IF(AND(AY$4&gt;EDATE('核心假设'!$B$5,1+$F5),AY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AY$4=EDATE(EDATE('核心假设'!$B$5,1+$F5),$D5),SUM('融资租赁与资金缺口'!$D$5:$D$16)*$N5*'核心假设'!$B$32,0),0),IF(AND(AY$4&gt;EDATE('核心假设'!$B$5,2+$F5),AY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AY$4=EDATE(EDATE('核心假设'!$B$5,2+$F5),$D5),SUM('融资租赁与资金缺口'!$D$5:$D$16)*$O5*'核心假设'!$B$32,0),0),IF(AND(AY$4&gt;EDATE('核心假设'!$B$5,3+$F5),AY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AY$4=EDATE(EDATE('核心假设'!$B$5,3+$F5),$D5),SUM('融资租赁与资金缺口'!$D$5:$D$16)*$P5*'核心假设'!$B$32,0),0),IF(AND(AY$4&gt;EDATE('核心假设'!$B$5,4+$F5),AY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AY$4=EDATE(EDATE('核心假设'!$B$5,4+$F5),$D5),SUM('融资租赁与资金缺口'!$D$5:$D$16)*$Q5*'核心假设'!$B$32,0),0),IF(AND(AY$4&gt;EDATE('核心假设'!$B$5,5+$F5),AY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AY$4=EDATE(EDATE('核心假设'!$B$5,5+$F5),$D5),SUM('融资租赁与资金缺口'!$D$5:$D$16)*$R5*'核心假设'!$B$32,0),0),IF(AND(AY$4&gt;EDATE('核心假设'!$B$5,6+$F5),AY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AY$4=EDATE(EDATE('核心假设'!$B$5,6+$F5),$D5),SUM('融资租赁与资金缺口'!$D$5:$D$16)*$S5*'核心假设'!$B$32,0),0),IF(AND(AY$4&gt;EDATE('核心假设'!$B$5,7+$F5),AY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AY$4=EDATE(EDATE('核心假设'!$B$5,7+$F5),$D5),SUM('融资租赁与资金缺口'!$D$5:$D$16)*$T5*'核心假设'!$B$32,0),0),IF(AND(AY$4&gt;EDATE('核心假设'!$B$5,8+$F5),AY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AY$4=EDATE(EDATE('核心假设'!$B$5,8+$F5),$D5),SUM('融资租赁与资金缺口'!$D$5:$D$16)*$U5*'核心假设'!$B$32,0),0),IF(AND(AY$4&gt;EDATE('核心假设'!$B$5,9+$F5),AY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AY$4=EDATE(EDATE('核心假设'!$B$5,9+$F5),$D5),SUM('融资租赁与资金缺口'!$D$5:$D$16)*$V5*'核心假设'!$B$32,0),0),IF(AND(AY$4&gt;EDATE('核心假设'!$B$5,10+$F5),AY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AY$4=EDATE(EDATE('核心假设'!$B$5,10+$F5),$D5),SUM('融资租赁与资金缺口'!$D$5:$D$16)*$W5*'核心假设'!$B$32,0),0),IF(AND(AY$4&gt;EDATE('核心假设'!$B$5,11+$F5),AY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AY$4=EDATE(EDATE('核心假设'!$B$5,11+$F5),$D5),SUM('融资租赁与资金缺口'!$D$5:$D$16)*$X5*'核心假设'!$B$32,0),0),IF(AND(AY$4&gt;EDATE('核心假设'!$B$5,12+$F5),AY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AY$4=EDATE(EDATE('核心假设'!$B$5,12+$F5),$D5),SUM('融资租赁与资金缺口'!$D$5:$D$16)*$Y5*'核心假设'!$B$32,0),0),IF(AND(AY$4&gt;EDATE('核心假设'!$B$5,13+$F5),AY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AY$4=EDATE(EDATE('核心假设'!$B$5,13+$F5),$D5),SUM('融资租赁与资金缺口'!$D$5:$D$16)*$Z5*'核心假设'!$B$32,0),0),IF(AND(AY$4&gt;EDATE('核心假设'!$B$5,14+$F5),AY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AY$4=EDATE(EDATE('核心假设'!$B$5,14+$F5),$D5),SUM('融资租赁与资金缺口'!$D$5:$D$16)*$AA5*'核心假设'!$B$32,0),0),IF(AND(AY$4&gt;EDATE('核心假设'!$B$5,15+$F5),AY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AY$4=EDATE(EDATE('核心假设'!$B$5,15+$F5),$D5),SUM('融资租赁与资金缺口'!$D$5:$D$16)*$AB5*'核心假设'!$B$32,0),0),IF(AND(AY$4&gt;EDATE('核心假设'!$B$5,16+$F5),AY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AY$4=EDATE(EDATE('核心假设'!$B$5,16+$F5),$D5),SUM('融资租赁与资金缺口'!$D$5:$D$16)*$AC5*'核心假设'!$B$32,0),0),IF(AND(AY$4&gt;EDATE('核心假设'!$B$5,17+$F5),AY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AY$4=EDATE(EDATE('核心假设'!$B$5,17+$F5),$D5),SUM('融资租赁与资金缺口'!$D$5:$D$16)*$AD5*'核心假设'!$B$32,0),0))</x:f>
        <x:v>16891016.88164358</x:v>
      </x:c>
      <x:c r="AZ7" s="28" t="n">
        <x:f>SUM(IF(AND(AZ$4&gt;EDATE('核心假设'!$B$5,0+$F5),AZ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AZ$4=EDATE(EDATE('核心假设'!$B$5,0+$F5),$D5),SUM('融资租赁与资金缺口'!$D$5:$D$16)*$M5*'核心假设'!$B$32,0),0),IF(AND(AZ$4&gt;EDATE('核心假设'!$B$5,1+$F5),AZ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AZ$4=EDATE(EDATE('核心假设'!$B$5,1+$F5),$D5),SUM('融资租赁与资金缺口'!$D$5:$D$16)*$N5*'核心假设'!$B$32,0),0),IF(AND(AZ$4&gt;EDATE('核心假设'!$B$5,2+$F5),AZ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AZ$4=EDATE(EDATE('核心假设'!$B$5,2+$F5),$D5),SUM('融资租赁与资金缺口'!$D$5:$D$16)*$O5*'核心假设'!$B$32,0),0),IF(AND(AZ$4&gt;EDATE('核心假设'!$B$5,3+$F5),AZ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AZ$4=EDATE(EDATE('核心假设'!$B$5,3+$F5),$D5),SUM('融资租赁与资金缺口'!$D$5:$D$16)*$P5*'核心假设'!$B$32,0),0),IF(AND(AZ$4&gt;EDATE('核心假设'!$B$5,4+$F5),AZ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AZ$4=EDATE(EDATE('核心假设'!$B$5,4+$F5),$D5),SUM('融资租赁与资金缺口'!$D$5:$D$16)*$Q5*'核心假设'!$B$32,0),0),IF(AND(AZ$4&gt;EDATE('核心假设'!$B$5,5+$F5),AZ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AZ$4=EDATE(EDATE('核心假设'!$B$5,5+$F5),$D5),SUM('融资租赁与资金缺口'!$D$5:$D$16)*$R5*'核心假设'!$B$32,0),0),IF(AND(AZ$4&gt;EDATE('核心假设'!$B$5,6+$F5),AZ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AZ$4=EDATE(EDATE('核心假设'!$B$5,6+$F5),$D5),SUM('融资租赁与资金缺口'!$D$5:$D$16)*$S5*'核心假设'!$B$32,0),0),IF(AND(AZ$4&gt;EDATE('核心假设'!$B$5,7+$F5),AZ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AZ$4=EDATE(EDATE('核心假设'!$B$5,7+$F5),$D5),SUM('融资租赁与资金缺口'!$D$5:$D$16)*$T5*'核心假设'!$B$32,0),0),IF(AND(AZ$4&gt;EDATE('核心假设'!$B$5,8+$F5),AZ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AZ$4=EDATE(EDATE('核心假设'!$B$5,8+$F5),$D5),SUM('融资租赁与资金缺口'!$D$5:$D$16)*$U5*'核心假设'!$B$32,0),0),IF(AND(AZ$4&gt;EDATE('核心假设'!$B$5,9+$F5),AZ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AZ$4=EDATE(EDATE('核心假设'!$B$5,9+$F5),$D5),SUM('融资租赁与资金缺口'!$D$5:$D$16)*$V5*'核心假设'!$B$32,0),0),IF(AND(AZ$4&gt;EDATE('核心假设'!$B$5,10+$F5),AZ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AZ$4=EDATE(EDATE('核心假设'!$B$5,10+$F5),$D5),SUM('融资租赁与资金缺口'!$D$5:$D$16)*$W5*'核心假设'!$B$32,0),0),IF(AND(AZ$4&gt;EDATE('核心假设'!$B$5,11+$F5),AZ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AZ$4=EDATE(EDATE('核心假设'!$B$5,11+$F5),$D5),SUM('融资租赁与资金缺口'!$D$5:$D$16)*$X5*'核心假设'!$B$32,0),0),IF(AND(AZ$4&gt;EDATE('核心假设'!$B$5,12+$F5),AZ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AZ$4=EDATE(EDATE('核心假设'!$B$5,12+$F5),$D5),SUM('融资租赁与资金缺口'!$D$5:$D$16)*$Y5*'核心假设'!$B$32,0),0),IF(AND(AZ$4&gt;EDATE('核心假设'!$B$5,13+$F5),AZ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AZ$4=EDATE(EDATE('核心假设'!$B$5,13+$F5),$D5),SUM('融资租赁与资金缺口'!$D$5:$D$16)*$Z5*'核心假设'!$B$32,0),0),IF(AND(AZ$4&gt;EDATE('核心假设'!$B$5,14+$F5),AZ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AZ$4=EDATE(EDATE('核心假设'!$B$5,14+$F5),$D5),SUM('融资租赁与资金缺口'!$D$5:$D$16)*$AA5*'核心假设'!$B$32,0),0),IF(AND(AZ$4&gt;EDATE('核心假设'!$B$5,15+$F5),AZ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AZ$4=EDATE(EDATE('核心假设'!$B$5,15+$F5),$D5),SUM('融资租赁与资金缺口'!$D$5:$D$16)*$AB5*'核心假设'!$B$32,0),0),IF(AND(AZ$4&gt;EDATE('核心假设'!$B$5,16+$F5),AZ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AZ$4=EDATE(EDATE('核心假设'!$B$5,16+$F5),$D5),SUM('融资租赁与资金缺口'!$D$5:$D$16)*$AC5*'核心假设'!$B$32,0),0),IF(AND(AZ$4&gt;EDATE('核心假设'!$B$5,17+$F5),AZ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AZ$4=EDATE(EDATE('核心假设'!$B$5,17+$F5),$D5),SUM('融资租赁与资金缺口'!$D$5:$D$16)*$AD5*'核心假设'!$B$32,0),0))</x:f>
        <x:v>16891016.88164358</x:v>
      </x:c>
      <x:c r="BA7" s="28" t="n">
        <x:f>SUM(IF(AND(BA$4&gt;EDATE('核心假设'!$B$5,0+$F5),BA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A$4=EDATE(EDATE('核心假设'!$B$5,0+$F5),$D5),SUM('融资租赁与资金缺口'!$D$5:$D$16)*$M5*'核心假设'!$B$32,0),0),IF(AND(BA$4&gt;EDATE('核心假设'!$B$5,1+$F5),BA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A$4=EDATE(EDATE('核心假设'!$B$5,1+$F5),$D5),SUM('融资租赁与资金缺口'!$D$5:$D$16)*$N5*'核心假设'!$B$32,0),0),IF(AND(BA$4&gt;EDATE('核心假设'!$B$5,2+$F5),BA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A$4=EDATE(EDATE('核心假设'!$B$5,2+$F5),$D5),SUM('融资租赁与资金缺口'!$D$5:$D$16)*$O5*'核心假设'!$B$32,0),0),IF(AND(BA$4&gt;EDATE('核心假设'!$B$5,3+$F5),BA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A$4=EDATE(EDATE('核心假设'!$B$5,3+$F5),$D5),SUM('融资租赁与资金缺口'!$D$5:$D$16)*$P5*'核心假设'!$B$32,0),0),IF(AND(BA$4&gt;EDATE('核心假设'!$B$5,4+$F5),BA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A$4=EDATE(EDATE('核心假设'!$B$5,4+$F5),$D5),SUM('融资租赁与资金缺口'!$D$5:$D$16)*$Q5*'核心假设'!$B$32,0),0),IF(AND(BA$4&gt;EDATE('核心假设'!$B$5,5+$F5),BA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A$4=EDATE(EDATE('核心假设'!$B$5,5+$F5),$D5),SUM('融资租赁与资金缺口'!$D$5:$D$16)*$R5*'核心假设'!$B$32,0),0),IF(AND(BA$4&gt;EDATE('核心假设'!$B$5,6+$F5),BA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A$4=EDATE(EDATE('核心假设'!$B$5,6+$F5),$D5),SUM('融资租赁与资金缺口'!$D$5:$D$16)*$S5*'核心假设'!$B$32,0),0),IF(AND(BA$4&gt;EDATE('核心假设'!$B$5,7+$F5),BA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A$4=EDATE(EDATE('核心假设'!$B$5,7+$F5),$D5),SUM('融资租赁与资金缺口'!$D$5:$D$16)*$T5*'核心假设'!$B$32,0),0),IF(AND(BA$4&gt;EDATE('核心假设'!$B$5,8+$F5),BA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A$4=EDATE(EDATE('核心假设'!$B$5,8+$F5),$D5),SUM('融资租赁与资金缺口'!$D$5:$D$16)*$U5*'核心假设'!$B$32,0),0),IF(AND(BA$4&gt;EDATE('核心假设'!$B$5,9+$F5),BA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A$4=EDATE(EDATE('核心假设'!$B$5,9+$F5),$D5),SUM('融资租赁与资金缺口'!$D$5:$D$16)*$V5*'核心假设'!$B$32,0),0),IF(AND(BA$4&gt;EDATE('核心假设'!$B$5,10+$F5),BA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A$4=EDATE(EDATE('核心假设'!$B$5,10+$F5),$D5),SUM('融资租赁与资金缺口'!$D$5:$D$16)*$W5*'核心假设'!$B$32,0),0),IF(AND(BA$4&gt;EDATE('核心假设'!$B$5,11+$F5),BA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A$4=EDATE(EDATE('核心假设'!$B$5,11+$F5),$D5),SUM('融资租赁与资金缺口'!$D$5:$D$16)*$X5*'核心假设'!$B$32,0),0),IF(AND(BA$4&gt;EDATE('核心假设'!$B$5,12+$F5),BA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A$4=EDATE(EDATE('核心假设'!$B$5,12+$F5),$D5),SUM('融资租赁与资金缺口'!$D$5:$D$16)*$Y5*'核心假设'!$B$32,0),0),IF(AND(BA$4&gt;EDATE('核心假设'!$B$5,13+$F5),BA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A$4=EDATE(EDATE('核心假设'!$B$5,13+$F5),$D5),SUM('融资租赁与资金缺口'!$D$5:$D$16)*$Z5*'核心假设'!$B$32,0),0),IF(AND(BA$4&gt;EDATE('核心假设'!$B$5,14+$F5),BA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A$4=EDATE(EDATE('核心假设'!$B$5,14+$F5),$D5),SUM('融资租赁与资金缺口'!$D$5:$D$16)*$AA5*'核心假设'!$B$32,0),0),IF(AND(BA$4&gt;EDATE('核心假设'!$B$5,15+$F5),BA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A$4=EDATE(EDATE('核心假设'!$B$5,15+$F5),$D5),SUM('融资租赁与资金缺口'!$D$5:$D$16)*$AB5*'核心假设'!$B$32,0),0),IF(AND(BA$4&gt;EDATE('核心假设'!$B$5,16+$F5),BA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A$4=EDATE(EDATE('核心假设'!$B$5,16+$F5),$D5),SUM('融资租赁与资金缺口'!$D$5:$D$16)*$AC5*'核心假设'!$B$32,0),0),IF(AND(BA$4&gt;EDATE('核心假设'!$B$5,17+$F5),BA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A$4=EDATE(EDATE('核心假设'!$B$5,17+$F5),$D5),SUM('融资租赁与资金缺口'!$D$5:$D$16)*$AD5*'核心假设'!$B$32,0),0))</x:f>
        <x:v>16891016.88164358</x:v>
      </x:c>
      <x:c r="BB7" s="28" t="n">
        <x:f>SUM(IF(AND(BB$4&gt;EDATE('核心假设'!$B$5,0+$F5),BB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B$4=EDATE(EDATE('核心假设'!$B$5,0+$F5),$D5),SUM('融资租赁与资金缺口'!$D$5:$D$16)*$M5*'核心假设'!$B$32,0),0),IF(AND(BB$4&gt;EDATE('核心假设'!$B$5,1+$F5),BB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B$4=EDATE(EDATE('核心假设'!$B$5,1+$F5),$D5),SUM('融资租赁与资金缺口'!$D$5:$D$16)*$N5*'核心假设'!$B$32,0),0),IF(AND(BB$4&gt;EDATE('核心假设'!$B$5,2+$F5),BB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B$4=EDATE(EDATE('核心假设'!$B$5,2+$F5),$D5),SUM('融资租赁与资金缺口'!$D$5:$D$16)*$O5*'核心假设'!$B$32,0),0),IF(AND(BB$4&gt;EDATE('核心假设'!$B$5,3+$F5),BB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B$4=EDATE(EDATE('核心假设'!$B$5,3+$F5),$D5),SUM('融资租赁与资金缺口'!$D$5:$D$16)*$P5*'核心假设'!$B$32,0),0),IF(AND(BB$4&gt;EDATE('核心假设'!$B$5,4+$F5),BB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B$4=EDATE(EDATE('核心假设'!$B$5,4+$F5),$D5),SUM('融资租赁与资金缺口'!$D$5:$D$16)*$Q5*'核心假设'!$B$32,0),0),IF(AND(BB$4&gt;EDATE('核心假设'!$B$5,5+$F5),BB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B$4=EDATE(EDATE('核心假设'!$B$5,5+$F5),$D5),SUM('融资租赁与资金缺口'!$D$5:$D$16)*$R5*'核心假设'!$B$32,0),0),IF(AND(BB$4&gt;EDATE('核心假设'!$B$5,6+$F5),BB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B$4=EDATE(EDATE('核心假设'!$B$5,6+$F5),$D5),SUM('融资租赁与资金缺口'!$D$5:$D$16)*$S5*'核心假设'!$B$32,0),0),IF(AND(BB$4&gt;EDATE('核心假设'!$B$5,7+$F5),BB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B$4=EDATE(EDATE('核心假设'!$B$5,7+$F5),$D5),SUM('融资租赁与资金缺口'!$D$5:$D$16)*$T5*'核心假设'!$B$32,0),0),IF(AND(BB$4&gt;EDATE('核心假设'!$B$5,8+$F5),BB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B$4=EDATE(EDATE('核心假设'!$B$5,8+$F5),$D5),SUM('融资租赁与资金缺口'!$D$5:$D$16)*$U5*'核心假设'!$B$32,0),0),IF(AND(BB$4&gt;EDATE('核心假设'!$B$5,9+$F5),BB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B$4=EDATE(EDATE('核心假设'!$B$5,9+$F5),$D5),SUM('融资租赁与资金缺口'!$D$5:$D$16)*$V5*'核心假设'!$B$32,0),0),IF(AND(BB$4&gt;EDATE('核心假设'!$B$5,10+$F5),BB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B$4=EDATE(EDATE('核心假设'!$B$5,10+$F5),$D5),SUM('融资租赁与资金缺口'!$D$5:$D$16)*$W5*'核心假设'!$B$32,0),0),IF(AND(BB$4&gt;EDATE('核心假设'!$B$5,11+$F5),BB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B$4=EDATE(EDATE('核心假设'!$B$5,11+$F5),$D5),SUM('融资租赁与资金缺口'!$D$5:$D$16)*$X5*'核心假设'!$B$32,0),0),IF(AND(BB$4&gt;EDATE('核心假设'!$B$5,12+$F5),BB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B$4=EDATE(EDATE('核心假设'!$B$5,12+$F5),$D5),SUM('融资租赁与资金缺口'!$D$5:$D$16)*$Y5*'核心假设'!$B$32,0),0),IF(AND(BB$4&gt;EDATE('核心假设'!$B$5,13+$F5),BB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B$4=EDATE(EDATE('核心假设'!$B$5,13+$F5),$D5),SUM('融资租赁与资金缺口'!$D$5:$D$16)*$Z5*'核心假设'!$B$32,0),0),IF(AND(BB$4&gt;EDATE('核心假设'!$B$5,14+$F5),BB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B$4=EDATE(EDATE('核心假设'!$B$5,14+$F5),$D5),SUM('融资租赁与资金缺口'!$D$5:$D$16)*$AA5*'核心假设'!$B$32,0),0),IF(AND(BB$4&gt;EDATE('核心假设'!$B$5,15+$F5),BB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B$4=EDATE(EDATE('核心假设'!$B$5,15+$F5),$D5),SUM('融资租赁与资金缺口'!$D$5:$D$16)*$AB5*'核心假设'!$B$32,0),0),IF(AND(BB$4&gt;EDATE('核心假设'!$B$5,16+$F5),BB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B$4=EDATE(EDATE('核心假设'!$B$5,16+$F5),$D5),SUM('融资租赁与资金缺口'!$D$5:$D$16)*$AC5*'核心假设'!$B$32,0),0),IF(AND(BB$4&gt;EDATE('核心假设'!$B$5,17+$F5),BB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B$4=EDATE(EDATE('核心假设'!$B$5,17+$F5),$D5),SUM('融资租赁与资金缺口'!$D$5:$D$16)*$AD5*'核心假设'!$B$32,0),0))</x:f>
        <x:v>16891016.88164358</x:v>
      </x:c>
      <x:c r="BC7" s="28" t="n">
        <x:f>SUM(IF(AND(BC$4&gt;EDATE('核心假设'!$B$5,0+$F5),BC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C$4=EDATE(EDATE('核心假设'!$B$5,0+$F5),$D5),SUM('融资租赁与资金缺口'!$D$5:$D$16)*$M5*'核心假设'!$B$32,0),0),IF(AND(BC$4&gt;EDATE('核心假设'!$B$5,1+$F5),BC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C$4=EDATE(EDATE('核心假设'!$B$5,1+$F5),$D5),SUM('融资租赁与资金缺口'!$D$5:$D$16)*$N5*'核心假设'!$B$32,0),0),IF(AND(BC$4&gt;EDATE('核心假设'!$B$5,2+$F5),BC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C$4=EDATE(EDATE('核心假设'!$B$5,2+$F5),$D5),SUM('融资租赁与资金缺口'!$D$5:$D$16)*$O5*'核心假设'!$B$32,0),0),IF(AND(BC$4&gt;EDATE('核心假设'!$B$5,3+$F5),BC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C$4=EDATE(EDATE('核心假设'!$B$5,3+$F5),$D5),SUM('融资租赁与资金缺口'!$D$5:$D$16)*$P5*'核心假设'!$B$32,0),0),IF(AND(BC$4&gt;EDATE('核心假设'!$B$5,4+$F5),BC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C$4=EDATE(EDATE('核心假设'!$B$5,4+$F5),$D5),SUM('融资租赁与资金缺口'!$D$5:$D$16)*$Q5*'核心假设'!$B$32,0),0),IF(AND(BC$4&gt;EDATE('核心假设'!$B$5,5+$F5),BC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C$4=EDATE(EDATE('核心假设'!$B$5,5+$F5),$D5),SUM('融资租赁与资金缺口'!$D$5:$D$16)*$R5*'核心假设'!$B$32,0),0),IF(AND(BC$4&gt;EDATE('核心假设'!$B$5,6+$F5),BC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C$4=EDATE(EDATE('核心假设'!$B$5,6+$F5),$D5),SUM('融资租赁与资金缺口'!$D$5:$D$16)*$S5*'核心假设'!$B$32,0),0),IF(AND(BC$4&gt;EDATE('核心假设'!$B$5,7+$F5),BC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C$4=EDATE(EDATE('核心假设'!$B$5,7+$F5),$D5),SUM('融资租赁与资金缺口'!$D$5:$D$16)*$T5*'核心假设'!$B$32,0),0),IF(AND(BC$4&gt;EDATE('核心假设'!$B$5,8+$F5),BC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C$4=EDATE(EDATE('核心假设'!$B$5,8+$F5),$D5),SUM('融资租赁与资金缺口'!$D$5:$D$16)*$U5*'核心假设'!$B$32,0),0),IF(AND(BC$4&gt;EDATE('核心假设'!$B$5,9+$F5),BC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C$4=EDATE(EDATE('核心假设'!$B$5,9+$F5),$D5),SUM('融资租赁与资金缺口'!$D$5:$D$16)*$V5*'核心假设'!$B$32,0),0),IF(AND(BC$4&gt;EDATE('核心假设'!$B$5,10+$F5),BC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C$4=EDATE(EDATE('核心假设'!$B$5,10+$F5),$D5),SUM('融资租赁与资金缺口'!$D$5:$D$16)*$W5*'核心假设'!$B$32,0),0),IF(AND(BC$4&gt;EDATE('核心假设'!$B$5,11+$F5),BC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C$4=EDATE(EDATE('核心假设'!$B$5,11+$F5),$D5),SUM('融资租赁与资金缺口'!$D$5:$D$16)*$X5*'核心假设'!$B$32,0),0),IF(AND(BC$4&gt;EDATE('核心假设'!$B$5,12+$F5),BC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C$4=EDATE(EDATE('核心假设'!$B$5,12+$F5),$D5),SUM('融资租赁与资金缺口'!$D$5:$D$16)*$Y5*'核心假设'!$B$32,0),0),IF(AND(BC$4&gt;EDATE('核心假设'!$B$5,13+$F5),BC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C$4=EDATE(EDATE('核心假设'!$B$5,13+$F5),$D5),SUM('融资租赁与资金缺口'!$D$5:$D$16)*$Z5*'核心假设'!$B$32,0),0),IF(AND(BC$4&gt;EDATE('核心假设'!$B$5,14+$F5),BC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C$4=EDATE(EDATE('核心假设'!$B$5,14+$F5),$D5),SUM('融资租赁与资金缺口'!$D$5:$D$16)*$AA5*'核心假设'!$B$32,0),0),IF(AND(BC$4&gt;EDATE('核心假设'!$B$5,15+$F5),BC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C$4=EDATE(EDATE('核心假设'!$B$5,15+$F5),$D5),SUM('融资租赁与资金缺口'!$D$5:$D$16)*$AB5*'核心假设'!$B$32,0),0),IF(AND(BC$4&gt;EDATE('核心假设'!$B$5,16+$F5),BC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C$4=EDATE(EDATE('核心假设'!$B$5,16+$F5),$D5),SUM('融资租赁与资金缺口'!$D$5:$D$16)*$AC5*'核心假设'!$B$32,0),0),IF(AND(BC$4&gt;EDATE('核心假设'!$B$5,17+$F5),BC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C$4=EDATE(EDATE('核心假设'!$B$5,17+$F5),$D5),SUM('融资租赁与资金缺口'!$D$5:$D$16)*$AD5*'核心假设'!$B$32,0),0))</x:f>
        <x:v>16891016.88164358</x:v>
      </x:c>
      <x:c r="BD7" s="28" t="n">
        <x:f>SUM(IF(AND(BD$4&gt;EDATE('核心假设'!$B$5,0+$F5),BD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D$4=EDATE(EDATE('核心假设'!$B$5,0+$F5),$D5),SUM('融资租赁与资金缺口'!$D$5:$D$16)*$M5*'核心假设'!$B$32,0),0),IF(AND(BD$4&gt;EDATE('核心假设'!$B$5,1+$F5),BD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D$4=EDATE(EDATE('核心假设'!$B$5,1+$F5),$D5),SUM('融资租赁与资金缺口'!$D$5:$D$16)*$N5*'核心假设'!$B$32,0),0),IF(AND(BD$4&gt;EDATE('核心假设'!$B$5,2+$F5),BD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D$4=EDATE(EDATE('核心假设'!$B$5,2+$F5),$D5),SUM('融资租赁与资金缺口'!$D$5:$D$16)*$O5*'核心假设'!$B$32,0),0),IF(AND(BD$4&gt;EDATE('核心假设'!$B$5,3+$F5),BD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D$4=EDATE(EDATE('核心假设'!$B$5,3+$F5),$D5),SUM('融资租赁与资金缺口'!$D$5:$D$16)*$P5*'核心假设'!$B$32,0),0),IF(AND(BD$4&gt;EDATE('核心假设'!$B$5,4+$F5),BD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D$4=EDATE(EDATE('核心假设'!$B$5,4+$F5),$D5),SUM('融资租赁与资金缺口'!$D$5:$D$16)*$Q5*'核心假设'!$B$32,0),0),IF(AND(BD$4&gt;EDATE('核心假设'!$B$5,5+$F5),BD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D$4=EDATE(EDATE('核心假设'!$B$5,5+$F5),$D5),SUM('融资租赁与资金缺口'!$D$5:$D$16)*$R5*'核心假设'!$B$32,0),0),IF(AND(BD$4&gt;EDATE('核心假设'!$B$5,6+$F5),BD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D$4=EDATE(EDATE('核心假设'!$B$5,6+$F5),$D5),SUM('融资租赁与资金缺口'!$D$5:$D$16)*$S5*'核心假设'!$B$32,0),0),IF(AND(BD$4&gt;EDATE('核心假设'!$B$5,7+$F5),BD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D$4=EDATE(EDATE('核心假设'!$B$5,7+$F5),$D5),SUM('融资租赁与资金缺口'!$D$5:$D$16)*$T5*'核心假设'!$B$32,0),0),IF(AND(BD$4&gt;EDATE('核心假设'!$B$5,8+$F5),BD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D$4=EDATE(EDATE('核心假设'!$B$5,8+$F5),$D5),SUM('融资租赁与资金缺口'!$D$5:$D$16)*$U5*'核心假设'!$B$32,0),0),IF(AND(BD$4&gt;EDATE('核心假设'!$B$5,9+$F5),BD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D$4=EDATE(EDATE('核心假设'!$B$5,9+$F5),$D5),SUM('融资租赁与资金缺口'!$D$5:$D$16)*$V5*'核心假设'!$B$32,0),0),IF(AND(BD$4&gt;EDATE('核心假设'!$B$5,10+$F5),BD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D$4=EDATE(EDATE('核心假设'!$B$5,10+$F5),$D5),SUM('融资租赁与资金缺口'!$D$5:$D$16)*$W5*'核心假设'!$B$32,0),0),IF(AND(BD$4&gt;EDATE('核心假设'!$B$5,11+$F5),BD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D$4=EDATE(EDATE('核心假设'!$B$5,11+$F5),$D5),SUM('融资租赁与资金缺口'!$D$5:$D$16)*$X5*'核心假设'!$B$32,0),0),IF(AND(BD$4&gt;EDATE('核心假设'!$B$5,12+$F5),BD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D$4=EDATE(EDATE('核心假设'!$B$5,12+$F5),$D5),SUM('融资租赁与资金缺口'!$D$5:$D$16)*$Y5*'核心假设'!$B$32,0),0),IF(AND(BD$4&gt;EDATE('核心假设'!$B$5,13+$F5),BD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D$4=EDATE(EDATE('核心假设'!$B$5,13+$F5),$D5),SUM('融资租赁与资金缺口'!$D$5:$D$16)*$Z5*'核心假设'!$B$32,0),0),IF(AND(BD$4&gt;EDATE('核心假设'!$B$5,14+$F5),BD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D$4=EDATE(EDATE('核心假设'!$B$5,14+$F5),$D5),SUM('融资租赁与资金缺口'!$D$5:$D$16)*$AA5*'核心假设'!$B$32,0),0),IF(AND(BD$4&gt;EDATE('核心假设'!$B$5,15+$F5),BD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D$4=EDATE(EDATE('核心假设'!$B$5,15+$F5),$D5),SUM('融资租赁与资金缺口'!$D$5:$D$16)*$AB5*'核心假设'!$B$32,0),0),IF(AND(BD$4&gt;EDATE('核心假设'!$B$5,16+$F5),BD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D$4=EDATE(EDATE('核心假设'!$B$5,16+$F5),$D5),SUM('融资租赁与资金缺口'!$D$5:$D$16)*$AC5*'核心假设'!$B$32,0),0),IF(AND(BD$4&gt;EDATE('核心假设'!$B$5,17+$F5),BD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D$4=EDATE(EDATE('核心假设'!$B$5,17+$F5),$D5),SUM('融资租赁与资金缺口'!$D$5:$D$16)*$AD5*'核心假设'!$B$32,0),0))</x:f>
        <x:v>16891016.88164358</x:v>
      </x:c>
      <x:c r="BE7" s="28" t="n">
        <x:f>SUM(IF(AND(BE$4&gt;EDATE('核心假设'!$B$5,0+$F5),BE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E$4=EDATE(EDATE('核心假设'!$B$5,0+$F5),$D5),SUM('融资租赁与资金缺口'!$D$5:$D$16)*$M5*'核心假设'!$B$32,0),0),IF(AND(BE$4&gt;EDATE('核心假设'!$B$5,1+$F5),BE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E$4=EDATE(EDATE('核心假设'!$B$5,1+$F5),$D5),SUM('融资租赁与资金缺口'!$D$5:$D$16)*$N5*'核心假设'!$B$32,0),0),IF(AND(BE$4&gt;EDATE('核心假设'!$B$5,2+$F5),BE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E$4=EDATE(EDATE('核心假设'!$B$5,2+$F5),$D5),SUM('融资租赁与资金缺口'!$D$5:$D$16)*$O5*'核心假设'!$B$32,0),0),IF(AND(BE$4&gt;EDATE('核心假设'!$B$5,3+$F5),BE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E$4=EDATE(EDATE('核心假设'!$B$5,3+$F5),$D5),SUM('融资租赁与资金缺口'!$D$5:$D$16)*$P5*'核心假设'!$B$32,0),0),IF(AND(BE$4&gt;EDATE('核心假设'!$B$5,4+$F5),BE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E$4=EDATE(EDATE('核心假设'!$B$5,4+$F5),$D5),SUM('融资租赁与资金缺口'!$D$5:$D$16)*$Q5*'核心假设'!$B$32,0),0),IF(AND(BE$4&gt;EDATE('核心假设'!$B$5,5+$F5),BE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E$4=EDATE(EDATE('核心假设'!$B$5,5+$F5),$D5),SUM('融资租赁与资金缺口'!$D$5:$D$16)*$R5*'核心假设'!$B$32,0),0),IF(AND(BE$4&gt;EDATE('核心假设'!$B$5,6+$F5),BE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E$4=EDATE(EDATE('核心假设'!$B$5,6+$F5),$D5),SUM('融资租赁与资金缺口'!$D$5:$D$16)*$S5*'核心假设'!$B$32,0),0),IF(AND(BE$4&gt;EDATE('核心假设'!$B$5,7+$F5),BE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E$4=EDATE(EDATE('核心假设'!$B$5,7+$F5),$D5),SUM('融资租赁与资金缺口'!$D$5:$D$16)*$T5*'核心假设'!$B$32,0),0),IF(AND(BE$4&gt;EDATE('核心假设'!$B$5,8+$F5),BE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E$4=EDATE(EDATE('核心假设'!$B$5,8+$F5),$D5),SUM('融资租赁与资金缺口'!$D$5:$D$16)*$U5*'核心假设'!$B$32,0),0),IF(AND(BE$4&gt;EDATE('核心假设'!$B$5,9+$F5),BE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E$4=EDATE(EDATE('核心假设'!$B$5,9+$F5),$D5),SUM('融资租赁与资金缺口'!$D$5:$D$16)*$V5*'核心假设'!$B$32,0),0),IF(AND(BE$4&gt;EDATE('核心假设'!$B$5,10+$F5),BE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E$4=EDATE(EDATE('核心假设'!$B$5,10+$F5),$D5),SUM('融资租赁与资金缺口'!$D$5:$D$16)*$W5*'核心假设'!$B$32,0),0),IF(AND(BE$4&gt;EDATE('核心假设'!$B$5,11+$F5),BE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E$4=EDATE(EDATE('核心假设'!$B$5,11+$F5),$D5),SUM('融资租赁与资金缺口'!$D$5:$D$16)*$X5*'核心假设'!$B$32,0),0),IF(AND(BE$4&gt;EDATE('核心假设'!$B$5,12+$F5),BE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E$4=EDATE(EDATE('核心假设'!$B$5,12+$F5),$D5),SUM('融资租赁与资金缺口'!$D$5:$D$16)*$Y5*'核心假设'!$B$32,0),0),IF(AND(BE$4&gt;EDATE('核心假设'!$B$5,13+$F5),BE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E$4=EDATE(EDATE('核心假设'!$B$5,13+$F5),$D5),SUM('融资租赁与资金缺口'!$D$5:$D$16)*$Z5*'核心假设'!$B$32,0),0),IF(AND(BE$4&gt;EDATE('核心假设'!$B$5,14+$F5),BE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E$4=EDATE(EDATE('核心假设'!$B$5,14+$F5),$D5),SUM('融资租赁与资金缺口'!$D$5:$D$16)*$AA5*'核心假设'!$B$32,0),0),IF(AND(BE$4&gt;EDATE('核心假设'!$B$5,15+$F5),BE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E$4=EDATE(EDATE('核心假设'!$B$5,15+$F5),$D5),SUM('融资租赁与资金缺口'!$D$5:$D$16)*$AB5*'核心假设'!$B$32,0),0),IF(AND(BE$4&gt;EDATE('核心假设'!$B$5,16+$F5),BE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E$4=EDATE(EDATE('核心假设'!$B$5,16+$F5),$D5),SUM('融资租赁与资金缺口'!$D$5:$D$16)*$AC5*'核心假设'!$B$32,0),0),IF(AND(BE$4&gt;EDATE('核心假设'!$B$5,17+$F5),BE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E$4=EDATE(EDATE('核心假设'!$B$5,17+$F5),$D5),SUM('融资租赁与资金缺口'!$D$5:$D$16)*$AD5*'核心假设'!$B$32,0),0))</x:f>
        <x:v>16891016.88164358</x:v>
      </x:c>
      <x:c r="BF7" s="28" t="n">
        <x:f>SUM(IF(AND(BF$4&gt;EDATE('核心假设'!$B$5,0+$F5),BF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F$4=EDATE(EDATE('核心假设'!$B$5,0+$F5),$D5),SUM('融资租赁与资金缺口'!$D$5:$D$16)*$M5*'核心假设'!$B$32,0),0),IF(AND(BF$4&gt;EDATE('核心假设'!$B$5,1+$F5),BF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F$4=EDATE(EDATE('核心假设'!$B$5,1+$F5),$D5),SUM('融资租赁与资金缺口'!$D$5:$D$16)*$N5*'核心假设'!$B$32,0),0),IF(AND(BF$4&gt;EDATE('核心假设'!$B$5,2+$F5),BF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F$4=EDATE(EDATE('核心假设'!$B$5,2+$F5),$D5),SUM('融资租赁与资金缺口'!$D$5:$D$16)*$O5*'核心假设'!$B$32,0),0),IF(AND(BF$4&gt;EDATE('核心假设'!$B$5,3+$F5),BF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F$4=EDATE(EDATE('核心假设'!$B$5,3+$F5),$D5),SUM('融资租赁与资金缺口'!$D$5:$D$16)*$P5*'核心假设'!$B$32,0),0),IF(AND(BF$4&gt;EDATE('核心假设'!$B$5,4+$F5),BF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F$4=EDATE(EDATE('核心假设'!$B$5,4+$F5),$D5),SUM('融资租赁与资金缺口'!$D$5:$D$16)*$Q5*'核心假设'!$B$32,0),0),IF(AND(BF$4&gt;EDATE('核心假设'!$B$5,5+$F5),BF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F$4=EDATE(EDATE('核心假设'!$B$5,5+$F5),$D5),SUM('融资租赁与资金缺口'!$D$5:$D$16)*$R5*'核心假设'!$B$32,0),0),IF(AND(BF$4&gt;EDATE('核心假设'!$B$5,6+$F5),BF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F$4=EDATE(EDATE('核心假设'!$B$5,6+$F5),$D5),SUM('融资租赁与资金缺口'!$D$5:$D$16)*$S5*'核心假设'!$B$32,0),0),IF(AND(BF$4&gt;EDATE('核心假设'!$B$5,7+$F5),BF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F$4=EDATE(EDATE('核心假设'!$B$5,7+$F5),$D5),SUM('融资租赁与资金缺口'!$D$5:$D$16)*$T5*'核心假设'!$B$32,0),0),IF(AND(BF$4&gt;EDATE('核心假设'!$B$5,8+$F5),BF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F$4=EDATE(EDATE('核心假设'!$B$5,8+$F5),$D5),SUM('融资租赁与资金缺口'!$D$5:$D$16)*$U5*'核心假设'!$B$32,0),0),IF(AND(BF$4&gt;EDATE('核心假设'!$B$5,9+$F5),BF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F$4=EDATE(EDATE('核心假设'!$B$5,9+$F5),$D5),SUM('融资租赁与资金缺口'!$D$5:$D$16)*$V5*'核心假设'!$B$32,0),0),IF(AND(BF$4&gt;EDATE('核心假设'!$B$5,10+$F5),BF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F$4=EDATE(EDATE('核心假设'!$B$5,10+$F5),$D5),SUM('融资租赁与资金缺口'!$D$5:$D$16)*$W5*'核心假设'!$B$32,0),0),IF(AND(BF$4&gt;EDATE('核心假设'!$B$5,11+$F5),BF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F$4=EDATE(EDATE('核心假设'!$B$5,11+$F5),$D5),SUM('融资租赁与资金缺口'!$D$5:$D$16)*$X5*'核心假设'!$B$32,0),0),IF(AND(BF$4&gt;EDATE('核心假设'!$B$5,12+$F5),BF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F$4=EDATE(EDATE('核心假设'!$B$5,12+$F5),$D5),SUM('融资租赁与资金缺口'!$D$5:$D$16)*$Y5*'核心假设'!$B$32,0),0),IF(AND(BF$4&gt;EDATE('核心假设'!$B$5,13+$F5),BF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F$4=EDATE(EDATE('核心假设'!$B$5,13+$F5),$D5),SUM('融资租赁与资金缺口'!$D$5:$D$16)*$Z5*'核心假设'!$B$32,0),0),IF(AND(BF$4&gt;EDATE('核心假设'!$B$5,14+$F5),BF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F$4=EDATE(EDATE('核心假设'!$B$5,14+$F5),$D5),SUM('融资租赁与资金缺口'!$D$5:$D$16)*$AA5*'核心假设'!$B$32,0),0),IF(AND(BF$4&gt;EDATE('核心假设'!$B$5,15+$F5),BF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F$4=EDATE(EDATE('核心假设'!$B$5,15+$F5),$D5),SUM('融资租赁与资金缺口'!$D$5:$D$16)*$AB5*'核心假设'!$B$32,0),0),IF(AND(BF$4&gt;EDATE('核心假设'!$B$5,16+$F5),BF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F$4=EDATE(EDATE('核心假设'!$B$5,16+$F5),$D5),SUM('融资租赁与资金缺口'!$D$5:$D$16)*$AC5*'核心假设'!$B$32,0),0),IF(AND(BF$4&gt;EDATE('核心假设'!$B$5,17+$F5),BF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F$4=EDATE(EDATE('核心假设'!$B$5,17+$F5),$D5),SUM('融资租赁与资金缺口'!$D$5:$D$16)*$AD5*'核心假设'!$B$32,0),0))</x:f>
        <x:v>16891016.88164358</x:v>
      </x:c>
      <x:c r="BG7" s="28" t="n">
        <x:f>SUM(IF(AND(BG$4&gt;EDATE('核心假设'!$B$5,0+$F5),BG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G$4=EDATE(EDATE('核心假设'!$B$5,0+$F5),$D5),SUM('融资租赁与资金缺口'!$D$5:$D$16)*$M5*'核心假设'!$B$32,0),0),IF(AND(BG$4&gt;EDATE('核心假设'!$B$5,1+$F5),BG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G$4=EDATE(EDATE('核心假设'!$B$5,1+$F5),$D5),SUM('融资租赁与资金缺口'!$D$5:$D$16)*$N5*'核心假设'!$B$32,0),0),IF(AND(BG$4&gt;EDATE('核心假设'!$B$5,2+$F5),BG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G$4=EDATE(EDATE('核心假设'!$B$5,2+$F5),$D5),SUM('融资租赁与资金缺口'!$D$5:$D$16)*$O5*'核心假设'!$B$32,0),0),IF(AND(BG$4&gt;EDATE('核心假设'!$B$5,3+$F5),BG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G$4=EDATE(EDATE('核心假设'!$B$5,3+$F5),$D5),SUM('融资租赁与资金缺口'!$D$5:$D$16)*$P5*'核心假设'!$B$32,0),0),IF(AND(BG$4&gt;EDATE('核心假设'!$B$5,4+$F5),BG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G$4=EDATE(EDATE('核心假设'!$B$5,4+$F5),$D5),SUM('融资租赁与资金缺口'!$D$5:$D$16)*$Q5*'核心假设'!$B$32,0),0),IF(AND(BG$4&gt;EDATE('核心假设'!$B$5,5+$F5),BG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G$4=EDATE(EDATE('核心假设'!$B$5,5+$F5),$D5),SUM('融资租赁与资金缺口'!$D$5:$D$16)*$R5*'核心假设'!$B$32,0),0),IF(AND(BG$4&gt;EDATE('核心假设'!$B$5,6+$F5),BG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G$4=EDATE(EDATE('核心假设'!$B$5,6+$F5),$D5),SUM('融资租赁与资金缺口'!$D$5:$D$16)*$S5*'核心假设'!$B$32,0),0),IF(AND(BG$4&gt;EDATE('核心假设'!$B$5,7+$F5),BG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G$4=EDATE(EDATE('核心假设'!$B$5,7+$F5),$D5),SUM('融资租赁与资金缺口'!$D$5:$D$16)*$T5*'核心假设'!$B$32,0),0),IF(AND(BG$4&gt;EDATE('核心假设'!$B$5,8+$F5),BG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G$4=EDATE(EDATE('核心假设'!$B$5,8+$F5),$D5),SUM('融资租赁与资金缺口'!$D$5:$D$16)*$U5*'核心假设'!$B$32,0),0),IF(AND(BG$4&gt;EDATE('核心假设'!$B$5,9+$F5),BG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G$4=EDATE(EDATE('核心假设'!$B$5,9+$F5),$D5),SUM('融资租赁与资金缺口'!$D$5:$D$16)*$V5*'核心假设'!$B$32,0),0),IF(AND(BG$4&gt;EDATE('核心假设'!$B$5,10+$F5),BG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G$4=EDATE(EDATE('核心假设'!$B$5,10+$F5),$D5),SUM('融资租赁与资金缺口'!$D$5:$D$16)*$W5*'核心假设'!$B$32,0),0),IF(AND(BG$4&gt;EDATE('核心假设'!$B$5,11+$F5),BG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G$4=EDATE(EDATE('核心假设'!$B$5,11+$F5),$D5),SUM('融资租赁与资金缺口'!$D$5:$D$16)*$X5*'核心假设'!$B$32,0),0),IF(AND(BG$4&gt;EDATE('核心假设'!$B$5,12+$F5),BG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G$4=EDATE(EDATE('核心假设'!$B$5,12+$F5),$D5),SUM('融资租赁与资金缺口'!$D$5:$D$16)*$Y5*'核心假设'!$B$32,0),0),IF(AND(BG$4&gt;EDATE('核心假设'!$B$5,13+$F5),BG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G$4=EDATE(EDATE('核心假设'!$B$5,13+$F5),$D5),SUM('融资租赁与资金缺口'!$D$5:$D$16)*$Z5*'核心假设'!$B$32,0),0),IF(AND(BG$4&gt;EDATE('核心假设'!$B$5,14+$F5),BG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G$4=EDATE(EDATE('核心假设'!$B$5,14+$F5),$D5),SUM('融资租赁与资金缺口'!$D$5:$D$16)*$AA5*'核心假设'!$B$32,0),0),IF(AND(BG$4&gt;EDATE('核心假设'!$B$5,15+$F5),BG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G$4=EDATE(EDATE('核心假设'!$B$5,15+$F5),$D5),SUM('融资租赁与资金缺口'!$D$5:$D$16)*$AB5*'核心假设'!$B$32,0),0),IF(AND(BG$4&gt;EDATE('核心假设'!$B$5,16+$F5),BG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G$4=EDATE(EDATE('核心假设'!$B$5,16+$F5),$D5),SUM('融资租赁与资金缺口'!$D$5:$D$16)*$AC5*'核心假设'!$B$32,0),0),IF(AND(BG$4&gt;EDATE('核心假设'!$B$5,17+$F5),BG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G$4=EDATE(EDATE('核心假设'!$B$5,17+$F5),$D5),SUM('融资租赁与资金缺口'!$D$5:$D$16)*$AD5*'核心假设'!$B$32,0),0))</x:f>
        <x:v>16891016.88164358</x:v>
      </x:c>
      <x:c r="BH7" s="28" t="n">
        <x:f>SUM(IF(AND(BH$4&gt;EDATE('核心假设'!$B$5,0+$F5),BH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H$4=EDATE(EDATE('核心假设'!$B$5,0+$F5),$D5),SUM('融资租赁与资金缺口'!$D$5:$D$16)*$M5*'核心假设'!$B$32,0),0),IF(AND(BH$4&gt;EDATE('核心假设'!$B$5,1+$F5),BH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H$4=EDATE(EDATE('核心假设'!$B$5,1+$F5),$D5),SUM('融资租赁与资金缺口'!$D$5:$D$16)*$N5*'核心假设'!$B$32,0),0),IF(AND(BH$4&gt;EDATE('核心假设'!$B$5,2+$F5),BH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H$4=EDATE(EDATE('核心假设'!$B$5,2+$F5),$D5),SUM('融资租赁与资金缺口'!$D$5:$D$16)*$O5*'核心假设'!$B$32,0),0),IF(AND(BH$4&gt;EDATE('核心假设'!$B$5,3+$F5),BH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H$4=EDATE(EDATE('核心假设'!$B$5,3+$F5),$D5),SUM('融资租赁与资金缺口'!$D$5:$D$16)*$P5*'核心假设'!$B$32,0),0),IF(AND(BH$4&gt;EDATE('核心假设'!$B$5,4+$F5),BH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H$4=EDATE(EDATE('核心假设'!$B$5,4+$F5),$D5),SUM('融资租赁与资金缺口'!$D$5:$D$16)*$Q5*'核心假设'!$B$32,0),0),IF(AND(BH$4&gt;EDATE('核心假设'!$B$5,5+$F5),BH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H$4=EDATE(EDATE('核心假设'!$B$5,5+$F5),$D5),SUM('融资租赁与资金缺口'!$D$5:$D$16)*$R5*'核心假设'!$B$32,0),0),IF(AND(BH$4&gt;EDATE('核心假设'!$B$5,6+$F5),BH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H$4=EDATE(EDATE('核心假设'!$B$5,6+$F5),$D5),SUM('融资租赁与资金缺口'!$D$5:$D$16)*$S5*'核心假设'!$B$32,0),0),IF(AND(BH$4&gt;EDATE('核心假设'!$B$5,7+$F5),BH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H$4=EDATE(EDATE('核心假设'!$B$5,7+$F5),$D5),SUM('融资租赁与资金缺口'!$D$5:$D$16)*$T5*'核心假设'!$B$32,0),0),IF(AND(BH$4&gt;EDATE('核心假设'!$B$5,8+$F5),BH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H$4=EDATE(EDATE('核心假设'!$B$5,8+$F5),$D5),SUM('融资租赁与资金缺口'!$D$5:$D$16)*$U5*'核心假设'!$B$32,0),0),IF(AND(BH$4&gt;EDATE('核心假设'!$B$5,9+$F5),BH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H$4=EDATE(EDATE('核心假设'!$B$5,9+$F5),$D5),SUM('融资租赁与资金缺口'!$D$5:$D$16)*$V5*'核心假设'!$B$32,0),0),IF(AND(BH$4&gt;EDATE('核心假设'!$B$5,10+$F5),BH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H$4=EDATE(EDATE('核心假设'!$B$5,10+$F5),$D5),SUM('融资租赁与资金缺口'!$D$5:$D$16)*$W5*'核心假设'!$B$32,0),0),IF(AND(BH$4&gt;EDATE('核心假设'!$B$5,11+$F5),BH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H$4=EDATE(EDATE('核心假设'!$B$5,11+$F5),$D5),SUM('融资租赁与资金缺口'!$D$5:$D$16)*$X5*'核心假设'!$B$32,0),0),IF(AND(BH$4&gt;EDATE('核心假设'!$B$5,12+$F5),BH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H$4=EDATE(EDATE('核心假设'!$B$5,12+$F5),$D5),SUM('融资租赁与资金缺口'!$D$5:$D$16)*$Y5*'核心假设'!$B$32,0),0),IF(AND(BH$4&gt;EDATE('核心假设'!$B$5,13+$F5),BH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H$4=EDATE(EDATE('核心假设'!$B$5,13+$F5),$D5),SUM('融资租赁与资金缺口'!$D$5:$D$16)*$Z5*'核心假设'!$B$32,0),0),IF(AND(BH$4&gt;EDATE('核心假设'!$B$5,14+$F5),BH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H$4=EDATE(EDATE('核心假设'!$B$5,14+$F5),$D5),SUM('融资租赁与资金缺口'!$D$5:$D$16)*$AA5*'核心假设'!$B$32,0),0),IF(AND(BH$4&gt;EDATE('核心假设'!$B$5,15+$F5),BH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H$4=EDATE(EDATE('核心假设'!$B$5,15+$F5),$D5),SUM('融资租赁与资金缺口'!$D$5:$D$16)*$AB5*'核心假设'!$B$32,0),0),IF(AND(BH$4&gt;EDATE('核心假设'!$B$5,16+$F5),BH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H$4=EDATE(EDATE('核心假设'!$B$5,16+$F5),$D5),SUM('融资租赁与资金缺口'!$D$5:$D$16)*$AC5*'核心假设'!$B$32,0),0),IF(AND(BH$4&gt;EDATE('核心假设'!$B$5,17+$F5),BH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H$4=EDATE(EDATE('核心假设'!$B$5,17+$F5),$D5),SUM('融资租赁与资金缺口'!$D$5:$D$16)*$AD5*'核心假设'!$B$32,0),0))</x:f>
        <x:v>16891016.88164358</x:v>
      </x:c>
      <x:c r="BI7" s="28" t="n">
        <x:f>SUM(IF(AND(BI$4&gt;EDATE('核心假设'!$B$5,0+$F5),BI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I$4=EDATE(EDATE('核心假设'!$B$5,0+$F5),$D5),SUM('融资租赁与资金缺口'!$D$5:$D$16)*$M5*'核心假设'!$B$32,0),0),IF(AND(BI$4&gt;EDATE('核心假设'!$B$5,1+$F5),BI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I$4=EDATE(EDATE('核心假设'!$B$5,1+$F5),$D5),SUM('融资租赁与资金缺口'!$D$5:$D$16)*$N5*'核心假设'!$B$32,0),0),IF(AND(BI$4&gt;EDATE('核心假设'!$B$5,2+$F5),BI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I$4=EDATE(EDATE('核心假设'!$B$5,2+$F5),$D5),SUM('融资租赁与资金缺口'!$D$5:$D$16)*$O5*'核心假设'!$B$32,0),0),IF(AND(BI$4&gt;EDATE('核心假设'!$B$5,3+$F5),BI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I$4=EDATE(EDATE('核心假设'!$B$5,3+$F5),$D5),SUM('融资租赁与资金缺口'!$D$5:$D$16)*$P5*'核心假设'!$B$32,0),0),IF(AND(BI$4&gt;EDATE('核心假设'!$B$5,4+$F5),BI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I$4=EDATE(EDATE('核心假设'!$B$5,4+$F5),$D5),SUM('融资租赁与资金缺口'!$D$5:$D$16)*$Q5*'核心假设'!$B$32,0),0),IF(AND(BI$4&gt;EDATE('核心假设'!$B$5,5+$F5),BI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I$4=EDATE(EDATE('核心假设'!$B$5,5+$F5),$D5),SUM('融资租赁与资金缺口'!$D$5:$D$16)*$R5*'核心假设'!$B$32,0),0),IF(AND(BI$4&gt;EDATE('核心假设'!$B$5,6+$F5),BI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I$4=EDATE(EDATE('核心假设'!$B$5,6+$F5),$D5),SUM('融资租赁与资金缺口'!$D$5:$D$16)*$S5*'核心假设'!$B$32,0),0),IF(AND(BI$4&gt;EDATE('核心假设'!$B$5,7+$F5),BI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I$4=EDATE(EDATE('核心假设'!$B$5,7+$F5),$D5),SUM('融资租赁与资金缺口'!$D$5:$D$16)*$T5*'核心假设'!$B$32,0),0),IF(AND(BI$4&gt;EDATE('核心假设'!$B$5,8+$F5),BI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I$4=EDATE(EDATE('核心假设'!$B$5,8+$F5),$D5),SUM('融资租赁与资金缺口'!$D$5:$D$16)*$U5*'核心假设'!$B$32,0),0),IF(AND(BI$4&gt;EDATE('核心假设'!$B$5,9+$F5),BI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I$4=EDATE(EDATE('核心假设'!$B$5,9+$F5),$D5),SUM('融资租赁与资金缺口'!$D$5:$D$16)*$V5*'核心假设'!$B$32,0),0),IF(AND(BI$4&gt;EDATE('核心假设'!$B$5,10+$F5),BI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I$4=EDATE(EDATE('核心假设'!$B$5,10+$F5),$D5),SUM('融资租赁与资金缺口'!$D$5:$D$16)*$W5*'核心假设'!$B$32,0),0),IF(AND(BI$4&gt;EDATE('核心假设'!$B$5,11+$F5),BI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I$4=EDATE(EDATE('核心假设'!$B$5,11+$F5),$D5),SUM('融资租赁与资金缺口'!$D$5:$D$16)*$X5*'核心假设'!$B$32,0),0),IF(AND(BI$4&gt;EDATE('核心假设'!$B$5,12+$F5),BI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I$4=EDATE(EDATE('核心假设'!$B$5,12+$F5),$D5),SUM('融资租赁与资金缺口'!$D$5:$D$16)*$Y5*'核心假设'!$B$32,0),0),IF(AND(BI$4&gt;EDATE('核心假设'!$B$5,13+$F5),BI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I$4=EDATE(EDATE('核心假设'!$B$5,13+$F5),$D5),SUM('融资租赁与资金缺口'!$D$5:$D$16)*$Z5*'核心假设'!$B$32,0),0),IF(AND(BI$4&gt;EDATE('核心假设'!$B$5,14+$F5),BI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I$4=EDATE(EDATE('核心假设'!$B$5,14+$F5),$D5),SUM('融资租赁与资金缺口'!$D$5:$D$16)*$AA5*'核心假设'!$B$32,0),0),IF(AND(BI$4&gt;EDATE('核心假设'!$B$5,15+$F5),BI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I$4=EDATE(EDATE('核心假设'!$B$5,15+$F5),$D5),SUM('融资租赁与资金缺口'!$D$5:$D$16)*$AB5*'核心假设'!$B$32,0),0),IF(AND(BI$4&gt;EDATE('核心假设'!$B$5,16+$F5),BI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I$4=EDATE(EDATE('核心假设'!$B$5,16+$F5),$D5),SUM('融资租赁与资金缺口'!$D$5:$D$16)*$AC5*'核心假设'!$B$32,0),0),IF(AND(BI$4&gt;EDATE('核心假设'!$B$5,17+$F5),BI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I$4=EDATE(EDATE('核心假设'!$B$5,17+$F5),$D5),SUM('融资租赁与资金缺口'!$D$5:$D$16)*$AD5*'核心假设'!$B$32,0),0))</x:f>
        <x:v>16891016.88164358</x:v>
      </x:c>
      <x:c r="BJ7" s="28" t="n">
        <x:f>SUM(IF(AND(BJ$4&gt;EDATE('核心假设'!$B$5,0+$F5),BJ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J$4=EDATE(EDATE('核心假设'!$B$5,0+$F5),$D5),SUM('融资租赁与资金缺口'!$D$5:$D$16)*$M5*'核心假设'!$B$32,0),0),IF(AND(BJ$4&gt;EDATE('核心假设'!$B$5,1+$F5),BJ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J$4=EDATE(EDATE('核心假设'!$B$5,1+$F5),$D5),SUM('融资租赁与资金缺口'!$D$5:$D$16)*$N5*'核心假设'!$B$32,0),0),IF(AND(BJ$4&gt;EDATE('核心假设'!$B$5,2+$F5),BJ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J$4=EDATE(EDATE('核心假设'!$B$5,2+$F5),$D5),SUM('融资租赁与资金缺口'!$D$5:$D$16)*$O5*'核心假设'!$B$32,0),0),IF(AND(BJ$4&gt;EDATE('核心假设'!$B$5,3+$F5),BJ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J$4=EDATE(EDATE('核心假设'!$B$5,3+$F5),$D5),SUM('融资租赁与资金缺口'!$D$5:$D$16)*$P5*'核心假设'!$B$32,0),0),IF(AND(BJ$4&gt;EDATE('核心假设'!$B$5,4+$F5),BJ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J$4=EDATE(EDATE('核心假设'!$B$5,4+$F5),$D5),SUM('融资租赁与资金缺口'!$D$5:$D$16)*$Q5*'核心假设'!$B$32,0),0),IF(AND(BJ$4&gt;EDATE('核心假设'!$B$5,5+$F5),BJ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J$4=EDATE(EDATE('核心假设'!$B$5,5+$F5),$D5),SUM('融资租赁与资金缺口'!$D$5:$D$16)*$R5*'核心假设'!$B$32,0),0),IF(AND(BJ$4&gt;EDATE('核心假设'!$B$5,6+$F5),BJ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J$4=EDATE(EDATE('核心假设'!$B$5,6+$F5),$D5),SUM('融资租赁与资金缺口'!$D$5:$D$16)*$S5*'核心假设'!$B$32,0),0),IF(AND(BJ$4&gt;EDATE('核心假设'!$B$5,7+$F5),BJ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J$4=EDATE(EDATE('核心假设'!$B$5,7+$F5),$D5),SUM('融资租赁与资金缺口'!$D$5:$D$16)*$T5*'核心假设'!$B$32,0),0),IF(AND(BJ$4&gt;EDATE('核心假设'!$B$5,8+$F5),BJ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J$4=EDATE(EDATE('核心假设'!$B$5,8+$F5),$D5),SUM('融资租赁与资金缺口'!$D$5:$D$16)*$U5*'核心假设'!$B$32,0),0),IF(AND(BJ$4&gt;EDATE('核心假设'!$B$5,9+$F5),BJ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J$4=EDATE(EDATE('核心假设'!$B$5,9+$F5),$D5),SUM('融资租赁与资金缺口'!$D$5:$D$16)*$V5*'核心假设'!$B$32,0),0),IF(AND(BJ$4&gt;EDATE('核心假设'!$B$5,10+$F5),BJ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J$4=EDATE(EDATE('核心假设'!$B$5,10+$F5),$D5),SUM('融资租赁与资金缺口'!$D$5:$D$16)*$W5*'核心假设'!$B$32,0),0),IF(AND(BJ$4&gt;EDATE('核心假设'!$B$5,11+$F5),BJ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J$4=EDATE(EDATE('核心假设'!$B$5,11+$F5),$D5),SUM('融资租赁与资金缺口'!$D$5:$D$16)*$X5*'核心假设'!$B$32,0),0),IF(AND(BJ$4&gt;EDATE('核心假设'!$B$5,12+$F5),BJ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J$4=EDATE(EDATE('核心假设'!$B$5,12+$F5),$D5),SUM('融资租赁与资金缺口'!$D$5:$D$16)*$Y5*'核心假设'!$B$32,0),0),IF(AND(BJ$4&gt;EDATE('核心假设'!$B$5,13+$F5),BJ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J$4=EDATE(EDATE('核心假设'!$B$5,13+$F5),$D5),SUM('融资租赁与资金缺口'!$D$5:$D$16)*$Z5*'核心假设'!$B$32,0),0),IF(AND(BJ$4&gt;EDATE('核心假设'!$B$5,14+$F5),BJ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J$4=EDATE(EDATE('核心假设'!$B$5,14+$F5),$D5),SUM('融资租赁与资金缺口'!$D$5:$D$16)*$AA5*'核心假设'!$B$32,0),0),IF(AND(BJ$4&gt;EDATE('核心假设'!$B$5,15+$F5),BJ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J$4=EDATE(EDATE('核心假设'!$B$5,15+$F5),$D5),SUM('融资租赁与资金缺口'!$D$5:$D$16)*$AB5*'核心假设'!$B$32,0),0),IF(AND(BJ$4&gt;EDATE('核心假设'!$B$5,16+$F5),BJ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J$4=EDATE(EDATE('核心假设'!$B$5,16+$F5),$D5),SUM('融资租赁与资金缺口'!$D$5:$D$16)*$AC5*'核心假设'!$B$32,0),0),IF(AND(BJ$4&gt;EDATE('核心假设'!$B$5,17+$F5),BJ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J$4=EDATE(EDATE('核心假设'!$B$5,17+$F5),$D5),SUM('融资租赁与资金缺口'!$D$5:$D$16)*$AD5*'核心假设'!$B$32,0),0))</x:f>
        <x:v>16891016.88164358</x:v>
      </x:c>
      <x:c r="BK7" s="28" t="n">
        <x:f>SUM(IF(AND(BK$4&gt;EDATE('核心假设'!$B$5,0+$F5),BK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K$4=EDATE(EDATE('核心假设'!$B$5,0+$F5),$D5),SUM('融资租赁与资金缺口'!$D$5:$D$16)*$M5*'核心假设'!$B$32,0),0),IF(AND(BK$4&gt;EDATE('核心假设'!$B$5,1+$F5),BK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K$4=EDATE(EDATE('核心假设'!$B$5,1+$F5),$D5),SUM('融资租赁与资金缺口'!$D$5:$D$16)*$N5*'核心假设'!$B$32,0),0),IF(AND(BK$4&gt;EDATE('核心假设'!$B$5,2+$F5),BK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K$4=EDATE(EDATE('核心假设'!$B$5,2+$F5),$D5),SUM('融资租赁与资金缺口'!$D$5:$D$16)*$O5*'核心假设'!$B$32,0),0),IF(AND(BK$4&gt;EDATE('核心假设'!$B$5,3+$F5),BK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K$4=EDATE(EDATE('核心假设'!$B$5,3+$F5),$D5),SUM('融资租赁与资金缺口'!$D$5:$D$16)*$P5*'核心假设'!$B$32,0),0),IF(AND(BK$4&gt;EDATE('核心假设'!$B$5,4+$F5),BK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K$4=EDATE(EDATE('核心假设'!$B$5,4+$F5),$D5),SUM('融资租赁与资金缺口'!$D$5:$D$16)*$Q5*'核心假设'!$B$32,0),0),IF(AND(BK$4&gt;EDATE('核心假设'!$B$5,5+$F5),BK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K$4=EDATE(EDATE('核心假设'!$B$5,5+$F5),$D5),SUM('融资租赁与资金缺口'!$D$5:$D$16)*$R5*'核心假设'!$B$32,0),0),IF(AND(BK$4&gt;EDATE('核心假设'!$B$5,6+$F5),BK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K$4=EDATE(EDATE('核心假设'!$B$5,6+$F5),$D5),SUM('融资租赁与资金缺口'!$D$5:$D$16)*$S5*'核心假设'!$B$32,0),0),IF(AND(BK$4&gt;EDATE('核心假设'!$B$5,7+$F5),BK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K$4=EDATE(EDATE('核心假设'!$B$5,7+$F5),$D5),SUM('融资租赁与资金缺口'!$D$5:$D$16)*$T5*'核心假设'!$B$32,0),0),IF(AND(BK$4&gt;EDATE('核心假设'!$B$5,8+$F5),BK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K$4=EDATE(EDATE('核心假设'!$B$5,8+$F5),$D5),SUM('融资租赁与资金缺口'!$D$5:$D$16)*$U5*'核心假设'!$B$32,0),0),IF(AND(BK$4&gt;EDATE('核心假设'!$B$5,9+$F5),BK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K$4=EDATE(EDATE('核心假设'!$B$5,9+$F5),$D5),SUM('融资租赁与资金缺口'!$D$5:$D$16)*$V5*'核心假设'!$B$32,0),0),IF(AND(BK$4&gt;EDATE('核心假设'!$B$5,10+$F5),BK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K$4=EDATE(EDATE('核心假设'!$B$5,10+$F5),$D5),SUM('融资租赁与资金缺口'!$D$5:$D$16)*$W5*'核心假设'!$B$32,0),0),IF(AND(BK$4&gt;EDATE('核心假设'!$B$5,11+$F5),BK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K$4=EDATE(EDATE('核心假设'!$B$5,11+$F5),$D5),SUM('融资租赁与资金缺口'!$D$5:$D$16)*$X5*'核心假设'!$B$32,0),0),IF(AND(BK$4&gt;EDATE('核心假设'!$B$5,12+$F5),BK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K$4=EDATE(EDATE('核心假设'!$B$5,12+$F5),$D5),SUM('融资租赁与资金缺口'!$D$5:$D$16)*$Y5*'核心假设'!$B$32,0),0),IF(AND(BK$4&gt;EDATE('核心假设'!$B$5,13+$F5),BK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K$4=EDATE(EDATE('核心假设'!$B$5,13+$F5),$D5),SUM('融资租赁与资金缺口'!$D$5:$D$16)*$Z5*'核心假设'!$B$32,0),0),IF(AND(BK$4&gt;EDATE('核心假设'!$B$5,14+$F5),BK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K$4=EDATE(EDATE('核心假设'!$B$5,14+$F5),$D5),SUM('融资租赁与资金缺口'!$D$5:$D$16)*$AA5*'核心假设'!$B$32,0),0),IF(AND(BK$4&gt;EDATE('核心假设'!$B$5,15+$F5),BK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K$4=EDATE(EDATE('核心假设'!$B$5,15+$F5),$D5),SUM('融资租赁与资金缺口'!$D$5:$D$16)*$AB5*'核心假设'!$B$32,0),0),IF(AND(BK$4&gt;EDATE('核心假设'!$B$5,16+$F5),BK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K$4=EDATE(EDATE('核心假设'!$B$5,16+$F5),$D5),SUM('融资租赁与资金缺口'!$D$5:$D$16)*$AC5*'核心假设'!$B$32,0),0),IF(AND(BK$4&gt;EDATE('核心假设'!$B$5,17+$F5),BK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K$4=EDATE(EDATE('核心假设'!$B$5,17+$F5),$D5),SUM('融资租赁与资金缺口'!$D$5:$D$16)*$AD5*'核心假设'!$B$32,0),0))</x:f>
        <x:v>16891016.88164358</x:v>
      </x:c>
      <x:c r="BL7" s="28" t="n">
        <x:f>SUM(IF(AND(BL$4&gt;EDATE('核心假设'!$B$5,0+$F5),BL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L$4=EDATE(EDATE('核心假设'!$B$5,0+$F5),$D5),SUM('融资租赁与资金缺口'!$D$5:$D$16)*$M5*'核心假设'!$B$32,0),0),IF(AND(BL$4&gt;EDATE('核心假设'!$B$5,1+$F5),BL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L$4=EDATE(EDATE('核心假设'!$B$5,1+$F5),$D5),SUM('融资租赁与资金缺口'!$D$5:$D$16)*$N5*'核心假设'!$B$32,0),0),IF(AND(BL$4&gt;EDATE('核心假设'!$B$5,2+$F5),BL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L$4=EDATE(EDATE('核心假设'!$B$5,2+$F5),$D5),SUM('融资租赁与资金缺口'!$D$5:$D$16)*$O5*'核心假设'!$B$32,0),0),IF(AND(BL$4&gt;EDATE('核心假设'!$B$5,3+$F5),BL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L$4=EDATE(EDATE('核心假设'!$B$5,3+$F5),$D5),SUM('融资租赁与资金缺口'!$D$5:$D$16)*$P5*'核心假设'!$B$32,0),0),IF(AND(BL$4&gt;EDATE('核心假设'!$B$5,4+$F5),BL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L$4=EDATE(EDATE('核心假设'!$B$5,4+$F5),$D5),SUM('融资租赁与资金缺口'!$D$5:$D$16)*$Q5*'核心假设'!$B$32,0),0),IF(AND(BL$4&gt;EDATE('核心假设'!$B$5,5+$F5),BL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L$4=EDATE(EDATE('核心假设'!$B$5,5+$F5),$D5),SUM('融资租赁与资金缺口'!$D$5:$D$16)*$R5*'核心假设'!$B$32,0),0),IF(AND(BL$4&gt;EDATE('核心假设'!$B$5,6+$F5),BL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L$4=EDATE(EDATE('核心假设'!$B$5,6+$F5),$D5),SUM('融资租赁与资金缺口'!$D$5:$D$16)*$S5*'核心假设'!$B$32,0),0),IF(AND(BL$4&gt;EDATE('核心假设'!$B$5,7+$F5),BL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L$4=EDATE(EDATE('核心假设'!$B$5,7+$F5),$D5),SUM('融资租赁与资金缺口'!$D$5:$D$16)*$T5*'核心假设'!$B$32,0),0),IF(AND(BL$4&gt;EDATE('核心假设'!$B$5,8+$F5),BL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L$4=EDATE(EDATE('核心假设'!$B$5,8+$F5),$D5),SUM('融资租赁与资金缺口'!$D$5:$D$16)*$U5*'核心假设'!$B$32,0),0),IF(AND(BL$4&gt;EDATE('核心假设'!$B$5,9+$F5),BL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L$4=EDATE(EDATE('核心假设'!$B$5,9+$F5),$D5),SUM('融资租赁与资金缺口'!$D$5:$D$16)*$V5*'核心假设'!$B$32,0),0),IF(AND(BL$4&gt;EDATE('核心假设'!$B$5,10+$F5),BL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L$4=EDATE(EDATE('核心假设'!$B$5,10+$F5),$D5),SUM('融资租赁与资金缺口'!$D$5:$D$16)*$W5*'核心假设'!$B$32,0),0),IF(AND(BL$4&gt;EDATE('核心假设'!$B$5,11+$F5),BL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L$4=EDATE(EDATE('核心假设'!$B$5,11+$F5),$D5),SUM('融资租赁与资金缺口'!$D$5:$D$16)*$X5*'核心假设'!$B$32,0),0),IF(AND(BL$4&gt;EDATE('核心假设'!$B$5,12+$F5),BL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L$4=EDATE(EDATE('核心假设'!$B$5,12+$F5),$D5),SUM('融资租赁与资金缺口'!$D$5:$D$16)*$Y5*'核心假设'!$B$32,0),0),IF(AND(BL$4&gt;EDATE('核心假设'!$B$5,13+$F5),BL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L$4=EDATE(EDATE('核心假设'!$B$5,13+$F5),$D5),SUM('融资租赁与资金缺口'!$D$5:$D$16)*$Z5*'核心假设'!$B$32,0),0),IF(AND(BL$4&gt;EDATE('核心假设'!$B$5,14+$F5),BL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L$4=EDATE(EDATE('核心假设'!$B$5,14+$F5),$D5),SUM('融资租赁与资金缺口'!$D$5:$D$16)*$AA5*'核心假设'!$B$32,0),0),IF(AND(BL$4&gt;EDATE('核心假设'!$B$5,15+$F5),BL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L$4=EDATE(EDATE('核心假设'!$B$5,15+$F5),$D5),SUM('融资租赁与资金缺口'!$D$5:$D$16)*$AB5*'核心假设'!$B$32,0),0),IF(AND(BL$4&gt;EDATE('核心假设'!$B$5,16+$F5),BL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L$4=EDATE(EDATE('核心假设'!$B$5,16+$F5),$D5),SUM('融资租赁与资金缺口'!$D$5:$D$16)*$AC5*'核心假设'!$B$32,0),0),IF(AND(BL$4&gt;EDATE('核心假设'!$B$5,17+$F5),BL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L$4=EDATE(EDATE('核心假设'!$B$5,17+$F5),$D5),SUM('融资租赁与资金缺口'!$D$5:$D$16)*$AD5*'核心假设'!$B$32,0),0))</x:f>
        <x:v>16891016.88164358</x:v>
      </x:c>
      <x:c r="BM7" s="28" t="n">
        <x:f>SUM(IF(AND(BM$4&gt;EDATE('核心假设'!$B$5,0+$F5),BM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M$4=EDATE(EDATE('核心假设'!$B$5,0+$F5),$D5),SUM('融资租赁与资金缺口'!$D$5:$D$16)*$M5*'核心假设'!$B$32,0),0),IF(AND(BM$4&gt;EDATE('核心假设'!$B$5,1+$F5),BM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M$4=EDATE(EDATE('核心假设'!$B$5,1+$F5),$D5),SUM('融资租赁与资金缺口'!$D$5:$D$16)*$N5*'核心假设'!$B$32,0),0),IF(AND(BM$4&gt;EDATE('核心假设'!$B$5,2+$F5),BM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M$4=EDATE(EDATE('核心假设'!$B$5,2+$F5),$D5),SUM('融资租赁与资金缺口'!$D$5:$D$16)*$O5*'核心假设'!$B$32,0),0),IF(AND(BM$4&gt;EDATE('核心假设'!$B$5,3+$F5),BM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M$4=EDATE(EDATE('核心假设'!$B$5,3+$F5),$D5),SUM('融资租赁与资金缺口'!$D$5:$D$16)*$P5*'核心假设'!$B$32,0),0),IF(AND(BM$4&gt;EDATE('核心假设'!$B$5,4+$F5),BM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M$4=EDATE(EDATE('核心假设'!$B$5,4+$F5),$D5),SUM('融资租赁与资金缺口'!$D$5:$D$16)*$Q5*'核心假设'!$B$32,0),0),IF(AND(BM$4&gt;EDATE('核心假设'!$B$5,5+$F5),BM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M$4=EDATE(EDATE('核心假设'!$B$5,5+$F5),$D5),SUM('融资租赁与资金缺口'!$D$5:$D$16)*$R5*'核心假设'!$B$32,0),0),IF(AND(BM$4&gt;EDATE('核心假设'!$B$5,6+$F5),BM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M$4=EDATE(EDATE('核心假设'!$B$5,6+$F5),$D5),SUM('融资租赁与资金缺口'!$D$5:$D$16)*$S5*'核心假设'!$B$32,0),0),IF(AND(BM$4&gt;EDATE('核心假设'!$B$5,7+$F5),BM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M$4=EDATE(EDATE('核心假设'!$B$5,7+$F5),$D5),SUM('融资租赁与资金缺口'!$D$5:$D$16)*$T5*'核心假设'!$B$32,0),0),IF(AND(BM$4&gt;EDATE('核心假设'!$B$5,8+$F5),BM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M$4=EDATE(EDATE('核心假设'!$B$5,8+$F5),$D5),SUM('融资租赁与资金缺口'!$D$5:$D$16)*$U5*'核心假设'!$B$32,0),0),IF(AND(BM$4&gt;EDATE('核心假设'!$B$5,9+$F5),BM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M$4=EDATE(EDATE('核心假设'!$B$5,9+$F5),$D5),SUM('融资租赁与资金缺口'!$D$5:$D$16)*$V5*'核心假设'!$B$32,0),0),IF(AND(BM$4&gt;EDATE('核心假设'!$B$5,10+$F5),BM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M$4=EDATE(EDATE('核心假设'!$B$5,10+$F5),$D5),SUM('融资租赁与资金缺口'!$D$5:$D$16)*$W5*'核心假设'!$B$32,0),0),IF(AND(BM$4&gt;EDATE('核心假设'!$B$5,11+$F5),BM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M$4=EDATE(EDATE('核心假设'!$B$5,11+$F5),$D5),SUM('融资租赁与资金缺口'!$D$5:$D$16)*$X5*'核心假设'!$B$32,0),0),IF(AND(BM$4&gt;EDATE('核心假设'!$B$5,12+$F5),BM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M$4=EDATE(EDATE('核心假设'!$B$5,12+$F5),$D5),SUM('融资租赁与资金缺口'!$D$5:$D$16)*$Y5*'核心假设'!$B$32,0),0),IF(AND(BM$4&gt;EDATE('核心假设'!$B$5,13+$F5),BM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M$4=EDATE(EDATE('核心假设'!$B$5,13+$F5),$D5),SUM('融资租赁与资金缺口'!$D$5:$D$16)*$Z5*'核心假设'!$B$32,0),0),IF(AND(BM$4&gt;EDATE('核心假设'!$B$5,14+$F5),BM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M$4=EDATE(EDATE('核心假设'!$B$5,14+$F5),$D5),SUM('融资租赁与资金缺口'!$D$5:$D$16)*$AA5*'核心假设'!$B$32,0),0),IF(AND(BM$4&gt;EDATE('核心假设'!$B$5,15+$F5),BM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M$4=EDATE(EDATE('核心假设'!$B$5,15+$F5),$D5),SUM('融资租赁与资金缺口'!$D$5:$D$16)*$AB5*'核心假设'!$B$32,0),0),IF(AND(BM$4&gt;EDATE('核心假设'!$B$5,16+$F5),BM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M$4=EDATE(EDATE('核心假设'!$B$5,16+$F5),$D5),SUM('融资租赁与资金缺口'!$D$5:$D$16)*$AC5*'核心假设'!$B$32,0),0),IF(AND(BM$4&gt;EDATE('核心假设'!$B$5,17+$F5),BM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M$4=EDATE(EDATE('核心假设'!$B$5,17+$F5),$D5),SUM('融资租赁与资金缺口'!$D$5:$D$16)*$AD5*'核心假设'!$B$32,0),0))</x:f>
        <x:v>16891016.88164358</x:v>
      </x:c>
      <x:c r="BN7" s="28" t="n">
        <x:f>SUM(IF(AND(BN$4&gt;EDATE('核心假设'!$B$5,0+$F5),BN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N$4=EDATE(EDATE('核心假设'!$B$5,0+$F5),$D5),SUM('融资租赁与资金缺口'!$D$5:$D$16)*$M5*'核心假设'!$B$32,0),0),IF(AND(BN$4&gt;EDATE('核心假设'!$B$5,1+$F5),BN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N$4=EDATE(EDATE('核心假设'!$B$5,1+$F5),$D5),SUM('融资租赁与资金缺口'!$D$5:$D$16)*$N5*'核心假设'!$B$32,0),0),IF(AND(BN$4&gt;EDATE('核心假设'!$B$5,2+$F5),BN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N$4=EDATE(EDATE('核心假设'!$B$5,2+$F5),$D5),SUM('融资租赁与资金缺口'!$D$5:$D$16)*$O5*'核心假设'!$B$32,0),0),IF(AND(BN$4&gt;EDATE('核心假设'!$B$5,3+$F5),BN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N$4=EDATE(EDATE('核心假设'!$B$5,3+$F5),$D5),SUM('融资租赁与资金缺口'!$D$5:$D$16)*$P5*'核心假设'!$B$32,0),0),IF(AND(BN$4&gt;EDATE('核心假设'!$B$5,4+$F5),BN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N$4=EDATE(EDATE('核心假设'!$B$5,4+$F5),$D5),SUM('融资租赁与资金缺口'!$D$5:$D$16)*$Q5*'核心假设'!$B$32,0),0),IF(AND(BN$4&gt;EDATE('核心假设'!$B$5,5+$F5),BN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N$4=EDATE(EDATE('核心假设'!$B$5,5+$F5),$D5),SUM('融资租赁与资金缺口'!$D$5:$D$16)*$R5*'核心假设'!$B$32,0),0),IF(AND(BN$4&gt;EDATE('核心假设'!$B$5,6+$F5),BN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N$4=EDATE(EDATE('核心假设'!$B$5,6+$F5),$D5),SUM('融资租赁与资金缺口'!$D$5:$D$16)*$S5*'核心假设'!$B$32,0),0),IF(AND(BN$4&gt;EDATE('核心假设'!$B$5,7+$F5),BN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N$4=EDATE(EDATE('核心假设'!$B$5,7+$F5),$D5),SUM('融资租赁与资金缺口'!$D$5:$D$16)*$T5*'核心假设'!$B$32,0),0),IF(AND(BN$4&gt;EDATE('核心假设'!$B$5,8+$F5),BN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N$4=EDATE(EDATE('核心假设'!$B$5,8+$F5),$D5),SUM('融资租赁与资金缺口'!$D$5:$D$16)*$U5*'核心假设'!$B$32,0),0),IF(AND(BN$4&gt;EDATE('核心假设'!$B$5,9+$F5),BN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N$4=EDATE(EDATE('核心假设'!$B$5,9+$F5),$D5),SUM('融资租赁与资金缺口'!$D$5:$D$16)*$V5*'核心假设'!$B$32,0),0),IF(AND(BN$4&gt;EDATE('核心假设'!$B$5,10+$F5),BN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N$4=EDATE(EDATE('核心假设'!$B$5,10+$F5),$D5),SUM('融资租赁与资金缺口'!$D$5:$D$16)*$W5*'核心假设'!$B$32,0),0),IF(AND(BN$4&gt;EDATE('核心假设'!$B$5,11+$F5),BN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N$4=EDATE(EDATE('核心假设'!$B$5,11+$F5),$D5),SUM('融资租赁与资金缺口'!$D$5:$D$16)*$X5*'核心假设'!$B$32,0),0),IF(AND(BN$4&gt;EDATE('核心假设'!$B$5,12+$F5),BN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N$4=EDATE(EDATE('核心假设'!$B$5,12+$F5),$D5),SUM('融资租赁与资金缺口'!$D$5:$D$16)*$Y5*'核心假设'!$B$32,0),0),IF(AND(BN$4&gt;EDATE('核心假设'!$B$5,13+$F5),BN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N$4=EDATE(EDATE('核心假设'!$B$5,13+$F5),$D5),SUM('融资租赁与资金缺口'!$D$5:$D$16)*$Z5*'核心假设'!$B$32,0),0),IF(AND(BN$4&gt;EDATE('核心假设'!$B$5,14+$F5),BN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N$4=EDATE(EDATE('核心假设'!$B$5,14+$F5),$D5),SUM('融资租赁与资金缺口'!$D$5:$D$16)*$AA5*'核心假设'!$B$32,0),0),IF(AND(BN$4&gt;EDATE('核心假设'!$B$5,15+$F5),BN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N$4=EDATE(EDATE('核心假设'!$B$5,15+$F5),$D5),SUM('融资租赁与资金缺口'!$D$5:$D$16)*$AB5*'核心假设'!$B$32,0),0),IF(AND(BN$4&gt;EDATE('核心假设'!$B$5,16+$F5),BN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N$4=EDATE(EDATE('核心假设'!$B$5,16+$F5),$D5),SUM('融资租赁与资金缺口'!$D$5:$D$16)*$AC5*'核心假设'!$B$32,0),0),IF(AND(BN$4&gt;EDATE('核心假设'!$B$5,17+$F5),BN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N$4=EDATE(EDATE('核心假设'!$B$5,17+$F5),$D5),SUM('融资租赁与资金缺口'!$D$5:$D$16)*$AD5*'核心假设'!$B$32,0),0))</x:f>
        <x:v>16891016.88164358</x:v>
      </x:c>
      <x:c r="BO7" s="28" t="n">
        <x:f>SUM(IF(AND(BO$4&gt;EDATE('核心假设'!$B$5,0+$F5),BO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O$4=EDATE(EDATE('核心假设'!$B$5,0+$F5),$D5),SUM('融资租赁与资金缺口'!$D$5:$D$16)*$M5*'核心假设'!$B$32,0),0),IF(AND(BO$4&gt;EDATE('核心假设'!$B$5,1+$F5),BO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O$4=EDATE(EDATE('核心假设'!$B$5,1+$F5),$D5),SUM('融资租赁与资金缺口'!$D$5:$D$16)*$N5*'核心假设'!$B$32,0),0),IF(AND(BO$4&gt;EDATE('核心假设'!$B$5,2+$F5),BO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O$4=EDATE(EDATE('核心假设'!$B$5,2+$F5),$D5),SUM('融资租赁与资金缺口'!$D$5:$D$16)*$O5*'核心假设'!$B$32,0),0),IF(AND(BO$4&gt;EDATE('核心假设'!$B$5,3+$F5),BO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O$4=EDATE(EDATE('核心假设'!$B$5,3+$F5),$D5),SUM('融资租赁与资金缺口'!$D$5:$D$16)*$P5*'核心假设'!$B$32,0),0),IF(AND(BO$4&gt;EDATE('核心假设'!$B$5,4+$F5),BO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O$4=EDATE(EDATE('核心假设'!$B$5,4+$F5),$D5),SUM('融资租赁与资金缺口'!$D$5:$D$16)*$Q5*'核心假设'!$B$32,0),0),IF(AND(BO$4&gt;EDATE('核心假设'!$B$5,5+$F5),BO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O$4=EDATE(EDATE('核心假设'!$B$5,5+$F5),$D5),SUM('融资租赁与资金缺口'!$D$5:$D$16)*$R5*'核心假设'!$B$32,0),0),IF(AND(BO$4&gt;EDATE('核心假设'!$B$5,6+$F5),BO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O$4=EDATE(EDATE('核心假设'!$B$5,6+$F5),$D5),SUM('融资租赁与资金缺口'!$D$5:$D$16)*$S5*'核心假设'!$B$32,0),0),IF(AND(BO$4&gt;EDATE('核心假设'!$B$5,7+$F5),BO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O$4=EDATE(EDATE('核心假设'!$B$5,7+$F5),$D5),SUM('融资租赁与资金缺口'!$D$5:$D$16)*$T5*'核心假设'!$B$32,0),0),IF(AND(BO$4&gt;EDATE('核心假设'!$B$5,8+$F5),BO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O$4=EDATE(EDATE('核心假设'!$B$5,8+$F5),$D5),SUM('融资租赁与资金缺口'!$D$5:$D$16)*$U5*'核心假设'!$B$32,0),0),IF(AND(BO$4&gt;EDATE('核心假设'!$B$5,9+$F5),BO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O$4=EDATE(EDATE('核心假设'!$B$5,9+$F5),$D5),SUM('融资租赁与资金缺口'!$D$5:$D$16)*$V5*'核心假设'!$B$32,0),0),IF(AND(BO$4&gt;EDATE('核心假设'!$B$5,10+$F5),BO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O$4=EDATE(EDATE('核心假设'!$B$5,10+$F5),$D5),SUM('融资租赁与资金缺口'!$D$5:$D$16)*$W5*'核心假设'!$B$32,0),0),IF(AND(BO$4&gt;EDATE('核心假设'!$B$5,11+$F5),BO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O$4=EDATE(EDATE('核心假设'!$B$5,11+$F5),$D5),SUM('融资租赁与资金缺口'!$D$5:$D$16)*$X5*'核心假设'!$B$32,0),0),IF(AND(BO$4&gt;EDATE('核心假设'!$B$5,12+$F5),BO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O$4=EDATE(EDATE('核心假设'!$B$5,12+$F5),$D5),SUM('融资租赁与资金缺口'!$D$5:$D$16)*$Y5*'核心假设'!$B$32,0),0),IF(AND(BO$4&gt;EDATE('核心假设'!$B$5,13+$F5),BO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O$4=EDATE(EDATE('核心假设'!$B$5,13+$F5),$D5),SUM('融资租赁与资金缺口'!$D$5:$D$16)*$Z5*'核心假设'!$B$32,0),0),IF(AND(BO$4&gt;EDATE('核心假设'!$B$5,14+$F5),BO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O$4=EDATE(EDATE('核心假设'!$B$5,14+$F5),$D5),SUM('融资租赁与资金缺口'!$D$5:$D$16)*$AA5*'核心假设'!$B$32,0),0),IF(AND(BO$4&gt;EDATE('核心假设'!$B$5,15+$F5),BO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O$4=EDATE(EDATE('核心假设'!$B$5,15+$F5),$D5),SUM('融资租赁与资金缺口'!$D$5:$D$16)*$AB5*'核心假设'!$B$32,0),0),IF(AND(BO$4&gt;EDATE('核心假设'!$B$5,16+$F5),BO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O$4=EDATE(EDATE('核心假设'!$B$5,16+$F5),$D5),SUM('融资租赁与资金缺口'!$D$5:$D$16)*$AC5*'核心假设'!$B$32,0),0),IF(AND(BO$4&gt;EDATE('核心假设'!$B$5,17+$F5),BO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O$4=EDATE(EDATE('核心假设'!$B$5,17+$F5),$D5),SUM('融资租赁与资金缺口'!$D$5:$D$16)*$AD5*'核心假设'!$B$32,0),0))</x:f>
        <x:v>16891016.88164358</x:v>
      </x:c>
      <x:c r="BP7" s="28" t="n">
        <x:f>SUM(IF(AND(BP$4&gt;EDATE('核心假设'!$B$5,0+$F5),BP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P$4=EDATE(EDATE('核心假设'!$B$5,0+$F5),$D5),SUM('融资租赁与资金缺口'!$D$5:$D$16)*$M5*'核心假设'!$B$32,0),0),IF(AND(BP$4&gt;EDATE('核心假设'!$B$5,1+$F5),BP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P$4=EDATE(EDATE('核心假设'!$B$5,1+$F5),$D5),SUM('融资租赁与资金缺口'!$D$5:$D$16)*$N5*'核心假设'!$B$32,0),0),IF(AND(BP$4&gt;EDATE('核心假设'!$B$5,2+$F5),BP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P$4=EDATE(EDATE('核心假设'!$B$5,2+$F5),$D5),SUM('融资租赁与资金缺口'!$D$5:$D$16)*$O5*'核心假设'!$B$32,0),0),IF(AND(BP$4&gt;EDATE('核心假设'!$B$5,3+$F5),BP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P$4=EDATE(EDATE('核心假设'!$B$5,3+$F5),$D5),SUM('融资租赁与资金缺口'!$D$5:$D$16)*$P5*'核心假设'!$B$32,0),0),IF(AND(BP$4&gt;EDATE('核心假设'!$B$5,4+$F5),BP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P$4=EDATE(EDATE('核心假设'!$B$5,4+$F5),$D5),SUM('融资租赁与资金缺口'!$D$5:$D$16)*$Q5*'核心假设'!$B$32,0),0),IF(AND(BP$4&gt;EDATE('核心假设'!$B$5,5+$F5),BP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P$4=EDATE(EDATE('核心假设'!$B$5,5+$F5),$D5),SUM('融资租赁与资金缺口'!$D$5:$D$16)*$R5*'核心假设'!$B$32,0),0),IF(AND(BP$4&gt;EDATE('核心假设'!$B$5,6+$F5),BP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P$4=EDATE(EDATE('核心假设'!$B$5,6+$F5),$D5),SUM('融资租赁与资金缺口'!$D$5:$D$16)*$S5*'核心假设'!$B$32,0),0),IF(AND(BP$4&gt;EDATE('核心假设'!$B$5,7+$F5),BP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P$4=EDATE(EDATE('核心假设'!$B$5,7+$F5),$D5),SUM('融资租赁与资金缺口'!$D$5:$D$16)*$T5*'核心假设'!$B$32,0),0),IF(AND(BP$4&gt;EDATE('核心假设'!$B$5,8+$F5),BP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P$4=EDATE(EDATE('核心假设'!$B$5,8+$F5),$D5),SUM('融资租赁与资金缺口'!$D$5:$D$16)*$U5*'核心假设'!$B$32,0),0),IF(AND(BP$4&gt;EDATE('核心假设'!$B$5,9+$F5),BP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P$4=EDATE(EDATE('核心假设'!$B$5,9+$F5),$D5),SUM('融资租赁与资金缺口'!$D$5:$D$16)*$V5*'核心假设'!$B$32,0),0),IF(AND(BP$4&gt;EDATE('核心假设'!$B$5,10+$F5),BP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P$4=EDATE(EDATE('核心假设'!$B$5,10+$F5),$D5),SUM('融资租赁与资金缺口'!$D$5:$D$16)*$W5*'核心假设'!$B$32,0),0),IF(AND(BP$4&gt;EDATE('核心假设'!$B$5,11+$F5),BP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P$4=EDATE(EDATE('核心假设'!$B$5,11+$F5),$D5),SUM('融资租赁与资金缺口'!$D$5:$D$16)*$X5*'核心假设'!$B$32,0),0),IF(AND(BP$4&gt;EDATE('核心假设'!$B$5,12+$F5),BP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P$4=EDATE(EDATE('核心假设'!$B$5,12+$F5),$D5),SUM('融资租赁与资金缺口'!$D$5:$D$16)*$Y5*'核心假设'!$B$32,0),0),IF(AND(BP$4&gt;EDATE('核心假设'!$B$5,13+$F5),BP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P$4=EDATE(EDATE('核心假设'!$B$5,13+$F5),$D5),SUM('融资租赁与资金缺口'!$D$5:$D$16)*$Z5*'核心假设'!$B$32,0),0),IF(AND(BP$4&gt;EDATE('核心假设'!$B$5,14+$F5),BP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P$4=EDATE(EDATE('核心假设'!$B$5,14+$F5),$D5),SUM('融资租赁与资金缺口'!$D$5:$D$16)*$AA5*'核心假设'!$B$32,0),0),IF(AND(BP$4&gt;EDATE('核心假设'!$B$5,15+$F5),BP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P$4=EDATE(EDATE('核心假设'!$B$5,15+$F5),$D5),SUM('融资租赁与资金缺口'!$D$5:$D$16)*$AB5*'核心假设'!$B$32,0),0),IF(AND(BP$4&gt;EDATE('核心假设'!$B$5,16+$F5),BP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P$4=EDATE(EDATE('核心假设'!$B$5,16+$F5),$D5),SUM('融资租赁与资金缺口'!$D$5:$D$16)*$AC5*'核心假设'!$B$32,0),0),IF(AND(BP$4&gt;EDATE('核心假设'!$B$5,17+$F5),BP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P$4=EDATE(EDATE('核心假设'!$B$5,17+$F5),$D5),SUM('融资租赁与资金缺口'!$D$5:$D$16)*$AD5*'核心假设'!$B$32,0),0))</x:f>
        <x:v>16891016.88164358</x:v>
      </x:c>
      <x:c r="BQ7" s="28" t="n">
        <x:f>SUM(IF(AND(BQ$4&gt;EDATE('核心假设'!$B$5,0+$F5),BQ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Q$4=EDATE(EDATE('核心假设'!$B$5,0+$F5),$D5),SUM('融资租赁与资金缺口'!$D$5:$D$16)*$M5*'核心假设'!$B$32,0),0),IF(AND(BQ$4&gt;EDATE('核心假设'!$B$5,1+$F5),BQ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Q$4=EDATE(EDATE('核心假设'!$B$5,1+$F5),$D5),SUM('融资租赁与资金缺口'!$D$5:$D$16)*$N5*'核心假设'!$B$32,0),0),IF(AND(BQ$4&gt;EDATE('核心假设'!$B$5,2+$F5),BQ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Q$4=EDATE(EDATE('核心假设'!$B$5,2+$F5),$D5),SUM('融资租赁与资金缺口'!$D$5:$D$16)*$O5*'核心假设'!$B$32,0),0),IF(AND(BQ$4&gt;EDATE('核心假设'!$B$5,3+$F5),BQ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Q$4=EDATE(EDATE('核心假设'!$B$5,3+$F5),$D5),SUM('融资租赁与资金缺口'!$D$5:$D$16)*$P5*'核心假设'!$B$32,0),0),IF(AND(BQ$4&gt;EDATE('核心假设'!$B$5,4+$F5),BQ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Q$4=EDATE(EDATE('核心假设'!$B$5,4+$F5),$D5),SUM('融资租赁与资金缺口'!$D$5:$D$16)*$Q5*'核心假设'!$B$32,0),0),IF(AND(BQ$4&gt;EDATE('核心假设'!$B$5,5+$F5),BQ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Q$4=EDATE(EDATE('核心假设'!$B$5,5+$F5),$D5),SUM('融资租赁与资金缺口'!$D$5:$D$16)*$R5*'核心假设'!$B$32,0),0),IF(AND(BQ$4&gt;EDATE('核心假设'!$B$5,6+$F5),BQ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Q$4=EDATE(EDATE('核心假设'!$B$5,6+$F5),$D5),SUM('融资租赁与资金缺口'!$D$5:$D$16)*$S5*'核心假设'!$B$32,0),0),IF(AND(BQ$4&gt;EDATE('核心假设'!$B$5,7+$F5),BQ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Q$4=EDATE(EDATE('核心假设'!$B$5,7+$F5),$D5),SUM('融资租赁与资金缺口'!$D$5:$D$16)*$T5*'核心假设'!$B$32,0),0),IF(AND(BQ$4&gt;EDATE('核心假设'!$B$5,8+$F5),BQ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Q$4=EDATE(EDATE('核心假设'!$B$5,8+$F5),$D5),SUM('融资租赁与资金缺口'!$D$5:$D$16)*$U5*'核心假设'!$B$32,0),0),IF(AND(BQ$4&gt;EDATE('核心假设'!$B$5,9+$F5),BQ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Q$4=EDATE(EDATE('核心假设'!$B$5,9+$F5),$D5),SUM('融资租赁与资金缺口'!$D$5:$D$16)*$V5*'核心假设'!$B$32,0),0),IF(AND(BQ$4&gt;EDATE('核心假设'!$B$5,10+$F5),BQ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Q$4=EDATE(EDATE('核心假设'!$B$5,10+$F5),$D5),SUM('融资租赁与资金缺口'!$D$5:$D$16)*$W5*'核心假设'!$B$32,0),0),IF(AND(BQ$4&gt;EDATE('核心假设'!$B$5,11+$F5),BQ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Q$4=EDATE(EDATE('核心假设'!$B$5,11+$F5),$D5),SUM('融资租赁与资金缺口'!$D$5:$D$16)*$X5*'核心假设'!$B$32,0),0),IF(AND(BQ$4&gt;EDATE('核心假设'!$B$5,12+$F5),BQ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Q$4=EDATE(EDATE('核心假设'!$B$5,12+$F5),$D5),SUM('融资租赁与资金缺口'!$D$5:$D$16)*$Y5*'核心假设'!$B$32,0),0),IF(AND(BQ$4&gt;EDATE('核心假设'!$B$5,13+$F5),BQ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Q$4=EDATE(EDATE('核心假设'!$B$5,13+$F5),$D5),SUM('融资租赁与资金缺口'!$D$5:$D$16)*$Z5*'核心假设'!$B$32,0),0),IF(AND(BQ$4&gt;EDATE('核心假设'!$B$5,14+$F5),BQ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Q$4=EDATE(EDATE('核心假设'!$B$5,14+$F5),$D5),SUM('融资租赁与资金缺口'!$D$5:$D$16)*$AA5*'核心假设'!$B$32,0),0),IF(AND(BQ$4&gt;EDATE('核心假设'!$B$5,15+$F5),BQ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Q$4=EDATE(EDATE('核心假设'!$B$5,15+$F5),$D5),SUM('融资租赁与资金缺口'!$D$5:$D$16)*$AB5*'核心假设'!$B$32,0),0),IF(AND(BQ$4&gt;EDATE('核心假设'!$B$5,16+$F5),BQ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Q$4=EDATE(EDATE('核心假设'!$B$5,16+$F5),$D5),SUM('融资租赁与资金缺口'!$D$5:$D$16)*$AC5*'核心假设'!$B$32,0),0),IF(AND(BQ$4&gt;EDATE('核心假设'!$B$5,17+$F5),BQ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Q$4=EDATE(EDATE('核心假设'!$B$5,17+$F5),$D5),SUM('融资租赁与资金缺口'!$D$5:$D$16)*$AD5*'核心假设'!$B$32,0),0))</x:f>
        <x:v>17162666.88164358</x:v>
      </x:c>
      <x:c r="BR7" s="28" t="n">
        <x:f>SUM(IF(AND(BR$4&gt;EDATE('核心假设'!$B$5,0+$F5),BR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R$4=EDATE(EDATE('核心假设'!$B$5,0+$F5),$D5),SUM('融资租赁与资金缺口'!$D$5:$D$16)*$M5*'核心假设'!$B$32,0),0),IF(AND(BR$4&gt;EDATE('核心假设'!$B$5,1+$F5),BR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R$4=EDATE(EDATE('核心假设'!$B$5,1+$F5),$D5),SUM('融资租赁与资金缺口'!$D$5:$D$16)*$N5*'核心假设'!$B$32,0),0),IF(AND(BR$4&gt;EDATE('核心假设'!$B$5,2+$F5),BR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R$4=EDATE(EDATE('核心假设'!$B$5,2+$F5),$D5),SUM('融资租赁与资金缺口'!$D$5:$D$16)*$O5*'核心假设'!$B$32,0),0),IF(AND(BR$4&gt;EDATE('核心假设'!$B$5,3+$F5),BR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R$4=EDATE(EDATE('核心假设'!$B$5,3+$F5),$D5),SUM('融资租赁与资金缺口'!$D$5:$D$16)*$P5*'核心假设'!$B$32,0),0),IF(AND(BR$4&gt;EDATE('核心假设'!$B$5,4+$F5),BR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R$4=EDATE(EDATE('核心假设'!$B$5,4+$F5),$D5),SUM('融资租赁与资金缺口'!$D$5:$D$16)*$Q5*'核心假设'!$B$32,0),0),IF(AND(BR$4&gt;EDATE('核心假设'!$B$5,5+$F5),BR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R$4=EDATE(EDATE('核心假设'!$B$5,5+$F5),$D5),SUM('融资租赁与资金缺口'!$D$5:$D$16)*$R5*'核心假设'!$B$32,0),0),IF(AND(BR$4&gt;EDATE('核心假设'!$B$5,6+$F5),BR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R$4=EDATE(EDATE('核心假设'!$B$5,6+$F5),$D5),SUM('融资租赁与资金缺口'!$D$5:$D$16)*$S5*'核心假设'!$B$32,0),0),IF(AND(BR$4&gt;EDATE('核心假设'!$B$5,7+$F5),BR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R$4=EDATE(EDATE('核心假设'!$B$5,7+$F5),$D5),SUM('融资租赁与资金缺口'!$D$5:$D$16)*$T5*'核心假设'!$B$32,0),0),IF(AND(BR$4&gt;EDATE('核心假设'!$B$5,8+$F5),BR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R$4=EDATE(EDATE('核心假设'!$B$5,8+$F5),$D5),SUM('融资租赁与资金缺口'!$D$5:$D$16)*$U5*'核心假设'!$B$32,0),0),IF(AND(BR$4&gt;EDATE('核心假设'!$B$5,9+$F5),BR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R$4=EDATE(EDATE('核心假设'!$B$5,9+$F5),$D5),SUM('融资租赁与资金缺口'!$D$5:$D$16)*$V5*'核心假设'!$B$32,0),0),IF(AND(BR$4&gt;EDATE('核心假设'!$B$5,10+$F5),BR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R$4=EDATE(EDATE('核心假设'!$B$5,10+$F5),$D5),SUM('融资租赁与资金缺口'!$D$5:$D$16)*$W5*'核心假设'!$B$32,0),0),IF(AND(BR$4&gt;EDATE('核心假设'!$B$5,11+$F5),BR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R$4=EDATE(EDATE('核心假设'!$B$5,11+$F5),$D5),SUM('融资租赁与资金缺口'!$D$5:$D$16)*$X5*'核心假设'!$B$32,0),0),IF(AND(BR$4&gt;EDATE('核心假设'!$B$5,12+$F5),BR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R$4=EDATE(EDATE('核心假设'!$B$5,12+$F5),$D5),SUM('融资租赁与资金缺口'!$D$5:$D$16)*$Y5*'核心假设'!$B$32,0),0),IF(AND(BR$4&gt;EDATE('核心假设'!$B$5,13+$F5),BR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R$4=EDATE(EDATE('核心假设'!$B$5,13+$F5),$D5),SUM('融资租赁与资金缺口'!$D$5:$D$16)*$Z5*'核心假设'!$B$32,0),0),IF(AND(BR$4&gt;EDATE('核心假设'!$B$5,14+$F5),BR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R$4=EDATE(EDATE('核心假设'!$B$5,14+$F5),$D5),SUM('融资租赁与资金缺口'!$D$5:$D$16)*$AA5*'核心假设'!$B$32,0),0),IF(AND(BR$4&gt;EDATE('核心假设'!$B$5,15+$F5),BR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R$4=EDATE(EDATE('核心假设'!$B$5,15+$F5),$D5),SUM('融资租赁与资金缺口'!$D$5:$D$16)*$AB5*'核心假设'!$B$32,0),0),IF(AND(BR$4&gt;EDATE('核心假设'!$B$5,16+$F5),BR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R$4=EDATE(EDATE('核心假设'!$B$5,16+$F5),$D5),SUM('融资租赁与资金缺口'!$D$5:$D$16)*$AC5*'核心假设'!$B$32,0),0),IF(AND(BR$4&gt;EDATE('核心假设'!$B$5,17+$F5),BR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R$4=EDATE(EDATE('核心假设'!$B$5,17+$F5),$D5),SUM('融资租赁与资金缺口'!$D$5:$D$16)*$AD5*'核心假设'!$B$32,0),0))</x:f>
        <x:v>16372446.0375614</x:v>
      </x:c>
      <x:c r="BS7" s="28" t="n">
        <x:f>SUM(IF(AND(BS$4&gt;EDATE('核心假设'!$B$5,0+$F5),BS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S$4=EDATE(EDATE('核心假设'!$B$5,0+$F5),$D5),SUM('融资租赁与资金缺口'!$D$5:$D$16)*$M5*'核心假设'!$B$32,0),0),IF(AND(BS$4&gt;EDATE('核心假设'!$B$5,1+$F5),BS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S$4=EDATE(EDATE('核心假设'!$B$5,1+$F5),$D5),SUM('融资租赁与资金缺口'!$D$5:$D$16)*$N5*'核心假设'!$B$32,0),0),IF(AND(BS$4&gt;EDATE('核心假设'!$B$5,2+$F5),BS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S$4=EDATE(EDATE('核心假设'!$B$5,2+$F5),$D5),SUM('融资租赁与资金缺口'!$D$5:$D$16)*$O5*'核心假设'!$B$32,0),0),IF(AND(BS$4&gt;EDATE('核心假设'!$B$5,3+$F5),BS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S$4=EDATE(EDATE('核心假设'!$B$5,3+$F5),$D5),SUM('融资租赁与资金缺口'!$D$5:$D$16)*$P5*'核心假设'!$B$32,0),0),IF(AND(BS$4&gt;EDATE('核心假设'!$B$5,4+$F5),BS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S$4=EDATE(EDATE('核心假设'!$B$5,4+$F5),$D5),SUM('融资租赁与资金缺口'!$D$5:$D$16)*$Q5*'核心假设'!$B$32,0),0),IF(AND(BS$4&gt;EDATE('核心假设'!$B$5,5+$F5),BS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S$4=EDATE(EDATE('核心假设'!$B$5,5+$F5),$D5),SUM('融资租赁与资金缺口'!$D$5:$D$16)*$R5*'核心假设'!$B$32,0),0),IF(AND(BS$4&gt;EDATE('核心假设'!$B$5,6+$F5),BS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S$4=EDATE(EDATE('核心假设'!$B$5,6+$F5),$D5),SUM('融资租赁与资金缺口'!$D$5:$D$16)*$S5*'核心假设'!$B$32,0),0),IF(AND(BS$4&gt;EDATE('核心假设'!$B$5,7+$F5),BS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S$4=EDATE(EDATE('核心假设'!$B$5,7+$F5),$D5),SUM('融资租赁与资金缺口'!$D$5:$D$16)*$T5*'核心假设'!$B$32,0),0),IF(AND(BS$4&gt;EDATE('核心假设'!$B$5,8+$F5),BS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S$4=EDATE(EDATE('核心假设'!$B$5,8+$F5),$D5),SUM('融资租赁与资金缺口'!$D$5:$D$16)*$U5*'核心假设'!$B$32,0),0),IF(AND(BS$4&gt;EDATE('核心假设'!$B$5,9+$F5),BS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S$4=EDATE(EDATE('核心假设'!$B$5,9+$F5),$D5),SUM('融资租赁与资金缺口'!$D$5:$D$16)*$V5*'核心假设'!$B$32,0),0),IF(AND(BS$4&gt;EDATE('核心假设'!$B$5,10+$F5),BS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S$4=EDATE(EDATE('核心假设'!$B$5,10+$F5),$D5),SUM('融资租赁与资金缺口'!$D$5:$D$16)*$W5*'核心假设'!$B$32,0),0),IF(AND(BS$4&gt;EDATE('核心假设'!$B$5,11+$F5),BS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S$4=EDATE(EDATE('核心假设'!$B$5,11+$F5),$D5),SUM('融资租赁与资金缺口'!$D$5:$D$16)*$X5*'核心假设'!$B$32,0),0),IF(AND(BS$4&gt;EDATE('核心假设'!$B$5,12+$F5),BS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S$4=EDATE(EDATE('核心假设'!$B$5,12+$F5),$D5),SUM('融资租赁与资金缺口'!$D$5:$D$16)*$Y5*'核心假设'!$B$32,0),0),IF(AND(BS$4&gt;EDATE('核心假设'!$B$5,13+$F5),BS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S$4=EDATE(EDATE('核心假设'!$B$5,13+$F5),$D5),SUM('融资租赁与资金缺口'!$D$5:$D$16)*$Z5*'核心假设'!$B$32,0),0),IF(AND(BS$4&gt;EDATE('核心假设'!$B$5,14+$F5),BS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S$4=EDATE(EDATE('核心假设'!$B$5,14+$F5),$D5),SUM('融资租赁与资金缺口'!$D$5:$D$16)*$AA5*'核心假设'!$B$32,0),0),IF(AND(BS$4&gt;EDATE('核心假设'!$B$5,15+$F5),BS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S$4=EDATE(EDATE('核心假设'!$B$5,15+$F5),$D5),SUM('融资租赁与资金缺口'!$D$5:$D$16)*$AB5*'核心假设'!$B$32,0),0),IF(AND(BS$4&gt;EDATE('核心假设'!$B$5,16+$F5),BS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S$4=EDATE(EDATE('核心假设'!$B$5,16+$F5),$D5),SUM('融资租赁与资金缺口'!$D$5:$D$16)*$AC5*'核心假设'!$B$32,0),0),IF(AND(BS$4&gt;EDATE('核心假设'!$B$5,17+$F5),BS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S$4=EDATE(EDATE('核心假设'!$B$5,17+$F5),$D5),SUM('融资租赁与资金缺口'!$D$5:$D$16)*$AD5*'核心假设'!$B$32,0),0))</x:f>
        <x:v>15413315.024662785</x:v>
      </x:c>
      <x:c r="BT7" s="28" t="n">
        <x:f>SUM(IF(AND(BT$4&gt;EDATE('核心假设'!$B$5,0+$F5),BT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T$4=EDATE(EDATE('核心假设'!$B$5,0+$F5),$D5),SUM('融资租赁与资金缺口'!$D$5:$D$16)*$M5*'核心假设'!$B$32,0),0),IF(AND(BT$4&gt;EDATE('核心假设'!$B$5,1+$F5),BT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T$4=EDATE(EDATE('核心假设'!$B$5,1+$F5),$D5),SUM('融资租赁与资金缺口'!$D$5:$D$16)*$N5*'核心假设'!$B$32,0),0),IF(AND(BT$4&gt;EDATE('核心假设'!$B$5,2+$F5),BT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T$4=EDATE(EDATE('核心假设'!$B$5,2+$F5),$D5),SUM('融资租赁与资金缺口'!$D$5:$D$16)*$O5*'核心假设'!$B$32,0),0),IF(AND(BT$4&gt;EDATE('核心假设'!$B$5,3+$F5),BT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T$4=EDATE(EDATE('核心假设'!$B$5,3+$F5),$D5),SUM('融资租赁与资金缺口'!$D$5:$D$16)*$P5*'核心假设'!$B$32,0),0),IF(AND(BT$4&gt;EDATE('核心假设'!$B$5,4+$F5),BT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T$4=EDATE(EDATE('核心假设'!$B$5,4+$F5),$D5),SUM('融资租赁与资金缺口'!$D$5:$D$16)*$Q5*'核心假设'!$B$32,0),0),IF(AND(BT$4&gt;EDATE('核心假设'!$B$5,5+$F5),BT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T$4=EDATE(EDATE('核心假设'!$B$5,5+$F5),$D5),SUM('融资租赁与资金缺口'!$D$5:$D$16)*$R5*'核心假设'!$B$32,0),0),IF(AND(BT$4&gt;EDATE('核心假设'!$B$5,6+$F5),BT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T$4=EDATE(EDATE('核心假设'!$B$5,6+$F5),$D5),SUM('融资租赁与资金缺口'!$D$5:$D$16)*$S5*'核心假设'!$B$32,0),0),IF(AND(BT$4&gt;EDATE('核心假设'!$B$5,7+$F5),BT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T$4=EDATE(EDATE('核心假设'!$B$5,7+$F5),$D5),SUM('融资租赁与资金缺口'!$D$5:$D$16)*$T5*'核心假设'!$B$32,0),0),IF(AND(BT$4&gt;EDATE('核心假设'!$B$5,8+$F5),BT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T$4=EDATE(EDATE('核心假设'!$B$5,8+$F5),$D5),SUM('融资租赁与资金缺口'!$D$5:$D$16)*$U5*'核心假设'!$B$32,0),0),IF(AND(BT$4&gt;EDATE('核心假设'!$B$5,9+$F5),BT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T$4=EDATE(EDATE('核心假设'!$B$5,9+$F5),$D5),SUM('融资租赁与资金缺口'!$D$5:$D$16)*$V5*'核心假设'!$B$32,0),0),IF(AND(BT$4&gt;EDATE('核心假设'!$B$5,10+$F5),BT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T$4=EDATE(EDATE('核心假设'!$B$5,10+$F5),$D5),SUM('融资租赁与资金缺口'!$D$5:$D$16)*$W5*'核心假设'!$B$32,0),0),IF(AND(BT$4&gt;EDATE('核心假设'!$B$5,11+$F5),BT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T$4=EDATE(EDATE('核心假设'!$B$5,11+$F5),$D5),SUM('融资租赁与资金缺口'!$D$5:$D$16)*$X5*'核心假设'!$B$32,0),0),IF(AND(BT$4&gt;EDATE('核心假设'!$B$5,12+$F5),BT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T$4=EDATE(EDATE('核心假设'!$B$5,12+$F5),$D5),SUM('融资租赁与资金缺口'!$D$5:$D$16)*$Y5*'核心假设'!$B$32,0),0),IF(AND(BT$4&gt;EDATE('核心假设'!$B$5,13+$F5),BT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T$4=EDATE(EDATE('核心假设'!$B$5,13+$F5),$D5),SUM('融资租赁与资金缺口'!$D$5:$D$16)*$Z5*'核心假设'!$B$32,0),0),IF(AND(BT$4&gt;EDATE('核心假设'!$B$5,14+$F5),BT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T$4=EDATE(EDATE('核心假设'!$B$5,14+$F5),$D5),SUM('融资租赁与资金缺口'!$D$5:$D$16)*$AA5*'核心假设'!$B$32,0),0),IF(AND(BT$4&gt;EDATE('核心假设'!$B$5,15+$F5),BT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T$4=EDATE(EDATE('核心假设'!$B$5,15+$F5),$D5),SUM('融资租赁与资金缺口'!$D$5:$D$16)*$AB5*'核心假设'!$B$32,0),0),IF(AND(BT$4&gt;EDATE('核心假设'!$B$5,16+$F5),BT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T$4=EDATE(EDATE('核心假设'!$B$5,16+$F5),$D5),SUM('融资租赁与资金缺口'!$D$5:$D$16)*$AC5*'核心假设'!$B$32,0),0),IF(AND(BT$4&gt;EDATE('核心假设'!$B$5,17+$F5),BT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T$4=EDATE(EDATE('核心假设'!$B$5,17+$F5),$D5),SUM('融资租赁与资金缺口'!$D$5:$D$16)*$AD5*'核心假设'!$B$32,0),0))</x:f>
        <x:v>14285273.842947735</x:v>
      </x:c>
      <x:c r="BU7" s="28" t="n">
        <x:f>SUM(IF(AND(BU$4&gt;EDATE('核心假设'!$B$5,0+$F5),BU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U$4=EDATE(EDATE('核心假设'!$B$5,0+$F5),$D5),SUM('融资租赁与资金缺口'!$D$5:$D$16)*$M5*'核心假设'!$B$32,0),0),IF(AND(BU$4&gt;EDATE('核心假设'!$B$5,1+$F5),BU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U$4=EDATE(EDATE('核心假设'!$B$5,1+$F5),$D5),SUM('融资租赁与资金缺口'!$D$5:$D$16)*$N5*'核心假设'!$B$32,0),0),IF(AND(BU$4&gt;EDATE('核心假设'!$B$5,2+$F5),BU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U$4=EDATE(EDATE('核心假设'!$B$5,2+$F5),$D5),SUM('融资租赁与资金缺口'!$D$5:$D$16)*$O5*'核心假设'!$B$32,0),0),IF(AND(BU$4&gt;EDATE('核心假设'!$B$5,3+$F5),BU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U$4=EDATE(EDATE('核心假设'!$B$5,3+$F5),$D5),SUM('融资租赁与资金缺口'!$D$5:$D$16)*$P5*'核心假设'!$B$32,0),0),IF(AND(BU$4&gt;EDATE('核心假设'!$B$5,4+$F5),BU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U$4=EDATE(EDATE('核心假设'!$B$5,4+$F5),$D5),SUM('融资租赁与资金缺口'!$D$5:$D$16)*$Q5*'核心假设'!$B$32,0),0),IF(AND(BU$4&gt;EDATE('核心假设'!$B$5,5+$F5),BU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U$4=EDATE(EDATE('核心假设'!$B$5,5+$F5),$D5),SUM('融资租赁与资金缺口'!$D$5:$D$16)*$R5*'核心假设'!$B$32,0),0),IF(AND(BU$4&gt;EDATE('核心假设'!$B$5,6+$F5),BU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U$4=EDATE(EDATE('核心假设'!$B$5,6+$F5),$D5),SUM('融资租赁与资金缺口'!$D$5:$D$16)*$S5*'核心假设'!$B$32,0),0),IF(AND(BU$4&gt;EDATE('核心假设'!$B$5,7+$F5),BU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U$4=EDATE(EDATE('核心假设'!$B$5,7+$F5),$D5),SUM('融资租赁与资金缺口'!$D$5:$D$16)*$T5*'核心假设'!$B$32,0),0),IF(AND(BU$4&gt;EDATE('核心假设'!$B$5,8+$F5),BU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U$4=EDATE(EDATE('核心假设'!$B$5,8+$F5),$D5),SUM('融资租赁与资金缺口'!$D$5:$D$16)*$U5*'核心假设'!$B$32,0),0),IF(AND(BU$4&gt;EDATE('核心假设'!$B$5,9+$F5),BU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U$4=EDATE(EDATE('核心假设'!$B$5,9+$F5),$D5),SUM('融资租赁与资金缺口'!$D$5:$D$16)*$V5*'核心假设'!$B$32,0),0),IF(AND(BU$4&gt;EDATE('核心假设'!$B$5,10+$F5),BU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U$4=EDATE(EDATE('核心假设'!$B$5,10+$F5),$D5),SUM('融资租赁与资金缺口'!$D$5:$D$16)*$W5*'核心假设'!$B$32,0),0),IF(AND(BU$4&gt;EDATE('核心假设'!$B$5,11+$F5),BU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U$4=EDATE(EDATE('核心假设'!$B$5,11+$F5),$D5),SUM('融资租赁与资金缺口'!$D$5:$D$16)*$X5*'核心假设'!$B$32,0),0),IF(AND(BU$4&gt;EDATE('核心假设'!$B$5,12+$F5),BU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U$4=EDATE(EDATE('核心假设'!$B$5,12+$F5),$D5),SUM('融资租赁与资金缺口'!$D$5:$D$16)*$Y5*'核心假设'!$B$32,0),0),IF(AND(BU$4&gt;EDATE('核心假设'!$B$5,13+$F5),BU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U$4=EDATE(EDATE('核心假设'!$B$5,13+$F5),$D5),SUM('融资租赁与资金缺口'!$D$5:$D$16)*$Z5*'核心假设'!$B$32,0),0),IF(AND(BU$4&gt;EDATE('核心假设'!$B$5,14+$F5),BU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U$4=EDATE(EDATE('核心假设'!$B$5,14+$F5),$D5),SUM('融资租赁与资金缺口'!$D$5:$D$16)*$AA5*'核心假设'!$B$32,0),0),IF(AND(BU$4&gt;EDATE('核心假设'!$B$5,15+$F5),BU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U$4=EDATE(EDATE('核心假设'!$B$5,15+$F5),$D5),SUM('融资租赁与资金缺口'!$D$5:$D$16)*$AB5*'核心假设'!$B$32,0),0),IF(AND(BU$4&gt;EDATE('核心假设'!$B$5,16+$F5),BU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U$4=EDATE(EDATE('核心假设'!$B$5,16+$F5),$D5),SUM('融资租赁与资金缺口'!$D$5:$D$16)*$AC5*'核心假设'!$B$32,0),0),IF(AND(BU$4&gt;EDATE('核心假设'!$B$5,17+$F5),BU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U$4=EDATE(EDATE('核心假设'!$B$5,17+$F5),$D5),SUM('融资租赁与资金缺口'!$D$5:$D$16)*$AD5*'核心假设'!$B$32,0),0))</x:f>
        <x:v>12988322.492416248</x:v>
      </x:c>
      <x:c r="BV7" s="28" t="n">
        <x:f>SUM(IF(AND(BV$4&gt;EDATE('核心假设'!$B$5,0+$F5),BV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V$4=EDATE(EDATE('核心假设'!$B$5,0+$F5),$D5),SUM('融资租赁与资金缺口'!$D$5:$D$16)*$M5*'核心假设'!$B$32,0),0),IF(AND(BV$4&gt;EDATE('核心假设'!$B$5,1+$F5),BV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V$4=EDATE(EDATE('核心假设'!$B$5,1+$F5),$D5),SUM('融资租赁与资金缺口'!$D$5:$D$16)*$N5*'核心假设'!$B$32,0),0),IF(AND(BV$4&gt;EDATE('核心假设'!$B$5,2+$F5),BV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V$4=EDATE(EDATE('核心假设'!$B$5,2+$F5),$D5),SUM('融资租赁与资金缺口'!$D$5:$D$16)*$O5*'核心假设'!$B$32,0),0),IF(AND(BV$4&gt;EDATE('核心假设'!$B$5,3+$F5),BV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V$4=EDATE(EDATE('核心假设'!$B$5,3+$F5),$D5),SUM('融资租赁与资金缺口'!$D$5:$D$16)*$P5*'核心假设'!$B$32,0),0),IF(AND(BV$4&gt;EDATE('核心假设'!$B$5,4+$F5),BV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V$4=EDATE(EDATE('核心假设'!$B$5,4+$F5),$D5),SUM('融资租赁与资金缺口'!$D$5:$D$16)*$Q5*'核心假设'!$B$32,0),0),IF(AND(BV$4&gt;EDATE('核心假设'!$B$5,5+$F5),BV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V$4=EDATE(EDATE('核心假设'!$B$5,5+$F5),$D5),SUM('融资租赁与资金缺口'!$D$5:$D$16)*$R5*'核心假设'!$B$32,0),0),IF(AND(BV$4&gt;EDATE('核心假设'!$B$5,6+$F5),BV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V$4=EDATE(EDATE('核心假设'!$B$5,6+$F5),$D5),SUM('融资租赁与资金缺口'!$D$5:$D$16)*$S5*'核心假设'!$B$32,0),0),IF(AND(BV$4&gt;EDATE('核心假设'!$B$5,7+$F5),BV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V$4=EDATE(EDATE('核心假设'!$B$5,7+$F5),$D5),SUM('融资租赁与资金缺口'!$D$5:$D$16)*$T5*'核心假设'!$B$32,0),0),IF(AND(BV$4&gt;EDATE('核心假设'!$B$5,8+$F5),BV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V$4=EDATE(EDATE('核心假设'!$B$5,8+$F5),$D5),SUM('融资租赁与资金缺口'!$D$5:$D$16)*$U5*'核心假设'!$B$32,0),0),IF(AND(BV$4&gt;EDATE('核心假设'!$B$5,9+$F5),BV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V$4=EDATE(EDATE('核心假设'!$B$5,9+$F5),$D5),SUM('融资租赁与资金缺口'!$D$5:$D$16)*$V5*'核心假设'!$B$32,0),0),IF(AND(BV$4&gt;EDATE('核心假设'!$B$5,10+$F5),BV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V$4=EDATE(EDATE('核心假设'!$B$5,10+$F5),$D5),SUM('融资租赁与资金缺口'!$D$5:$D$16)*$W5*'核心假设'!$B$32,0),0),IF(AND(BV$4&gt;EDATE('核心假设'!$B$5,11+$F5),BV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V$4=EDATE(EDATE('核心假设'!$B$5,11+$F5),$D5),SUM('融资租赁与资金缺口'!$D$5:$D$16)*$X5*'核心假设'!$B$32,0),0),IF(AND(BV$4&gt;EDATE('核心假设'!$B$5,12+$F5),BV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V$4=EDATE(EDATE('核心假设'!$B$5,12+$F5),$D5),SUM('融资租赁与资金缺口'!$D$5:$D$16)*$Y5*'核心假设'!$B$32,0),0),IF(AND(BV$4&gt;EDATE('核心假设'!$B$5,13+$F5),BV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V$4=EDATE(EDATE('核心假设'!$B$5,13+$F5),$D5),SUM('融资租赁与资金缺口'!$D$5:$D$16)*$Z5*'核心假设'!$B$32,0),0),IF(AND(BV$4&gt;EDATE('核心假设'!$B$5,14+$F5),BV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V$4=EDATE(EDATE('核心假设'!$B$5,14+$F5),$D5),SUM('融资租赁与资金缺口'!$D$5:$D$16)*$AA5*'核心假设'!$B$32,0),0),IF(AND(BV$4&gt;EDATE('核心假设'!$B$5,15+$F5),BV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V$4=EDATE(EDATE('核心假设'!$B$5,15+$F5),$D5),SUM('融资租赁与资金缺口'!$D$5:$D$16)*$AB5*'核心假设'!$B$32,0),0),IF(AND(BV$4&gt;EDATE('核心假设'!$B$5,16+$F5),BV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V$4=EDATE(EDATE('核心假设'!$B$5,16+$F5),$D5),SUM('融资租赁与资金缺口'!$D$5:$D$16)*$AC5*'核心假设'!$B$32,0),0),IF(AND(BV$4&gt;EDATE('核心假设'!$B$5,17+$F5),BV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V$4=EDATE(EDATE('核心假设'!$B$5,17+$F5),$D5),SUM('融资租赁与资金缺口'!$D$5:$D$16)*$AD5*'核心假设'!$B$32,0),0))</x:f>
        <x:v>11522460.973068327</x:v>
      </x:c>
      <x:c r="BW7" s="28" t="n">
        <x:f>SUM(IF(AND(BW$4&gt;EDATE('核心假设'!$B$5,0+$F5),BW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W$4=EDATE(EDATE('核心假设'!$B$5,0+$F5),$D5),SUM('融资租赁与资金缺口'!$D$5:$D$16)*$M5*'核心假设'!$B$32,0),0),IF(AND(BW$4&gt;EDATE('核心假设'!$B$5,1+$F5),BW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W$4=EDATE(EDATE('核心假设'!$B$5,1+$F5),$D5),SUM('融资租赁与资金缺口'!$D$5:$D$16)*$N5*'核心假设'!$B$32,0),0),IF(AND(BW$4&gt;EDATE('核心假设'!$B$5,2+$F5),BW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W$4=EDATE(EDATE('核心假设'!$B$5,2+$F5),$D5),SUM('融资租赁与资金缺口'!$D$5:$D$16)*$O5*'核心假设'!$B$32,0),0),IF(AND(BW$4&gt;EDATE('核心假设'!$B$5,3+$F5),BW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W$4=EDATE(EDATE('核心假设'!$B$5,3+$F5),$D5),SUM('融资租赁与资金缺口'!$D$5:$D$16)*$P5*'核心假设'!$B$32,0),0),IF(AND(BW$4&gt;EDATE('核心假设'!$B$5,4+$F5),BW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W$4=EDATE(EDATE('核心假设'!$B$5,4+$F5),$D5),SUM('融资租赁与资金缺口'!$D$5:$D$16)*$Q5*'核心假设'!$B$32,0),0),IF(AND(BW$4&gt;EDATE('核心假设'!$B$5,5+$F5),BW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W$4=EDATE(EDATE('核心假设'!$B$5,5+$F5),$D5),SUM('融资租赁与资金缺口'!$D$5:$D$16)*$R5*'核心假设'!$B$32,0),0),IF(AND(BW$4&gt;EDATE('核心假设'!$B$5,6+$F5),BW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W$4=EDATE(EDATE('核心假设'!$B$5,6+$F5),$D5),SUM('融资租赁与资金缺口'!$D$5:$D$16)*$S5*'核心假设'!$B$32,0),0),IF(AND(BW$4&gt;EDATE('核心假设'!$B$5,7+$F5),BW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W$4=EDATE(EDATE('核心假设'!$B$5,7+$F5),$D5),SUM('融资租赁与资金缺口'!$D$5:$D$16)*$T5*'核心假设'!$B$32,0),0),IF(AND(BW$4&gt;EDATE('核心假设'!$B$5,8+$F5),BW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W$4=EDATE(EDATE('核心假设'!$B$5,8+$F5),$D5),SUM('融资租赁与资金缺口'!$D$5:$D$16)*$U5*'核心假设'!$B$32,0),0),IF(AND(BW$4&gt;EDATE('核心假设'!$B$5,9+$F5),BW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W$4=EDATE(EDATE('核心假设'!$B$5,9+$F5),$D5),SUM('融资租赁与资金缺口'!$D$5:$D$16)*$V5*'核心假设'!$B$32,0),0),IF(AND(BW$4&gt;EDATE('核心假设'!$B$5,10+$F5),BW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W$4=EDATE(EDATE('核心假设'!$B$5,10+$F5),$D5),SUM('融资租赁与资金缺口'!$D$5:$D$16)*$W5*'核心假设'!$B$32,0),0),IF(AND(BW$4&gt;EDATE('核心假设'!$B$5,11+$F5),BW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W$4=EDATE(EDATE('核心假设'!$B$5,11+$F5),$D5),SUM('融资租赁与资金缺口'!$D$5:$D$16)*$X5*'核心假设'!$B$32,0),0),IF(AND(BW$4&gt;EDATE('核心假设'!$B$5,12+$F5),BW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W$4=EDATE(EDATE('核心假设'!$B$5,12+$F5),$D5),SUM('融资租赁与资金缺口'!$D$5:$D$16)*$Y5*'核心假设'!$B$32,0),0),IF(AND(BW$4&gt;EDATE('核心假设'!$B$5,13+$F5),BW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W$4=EDATE(EDATE('核心假设'!$B$5,13+$F5),$D5),SUM('融资租赁与资金缺口'!$D$5:$D$16)*$Z5*'核心假设'!$B$32,0),0),IF(AND(BW$4&gt;EDATE('核心假设'!$B$5,14+$F5),BW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W$4=EDATE(EDATE('核心假设'!$B$5,14+$F5),$D5),SUM('融资租赁与资金缺口'!$D$5:$D$16)*$AA5*'核心假设'!$B$32,0),0),IF(AND(BW$4&gt;EDATE('核心假设'!$B$5,15+$F5),BW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W$4=EDATE(EDATE('核心假设'!$B$5,15+$F5),$D5),SUM('融资租赁与资金缺口'!$D$5:$D$16)*$AB5*'核心假设'!$B$32,0),0),IF(AND(BW$4&gt;EDATE('核心假设'!$B$5,16+$F5),BW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W$4=EDATE(EDATE('核心假设'!$B$5,16+$F5),$D5),SUM('融资租赁与资金缺口'!$D$5:$D$16)*$AC5*'核心假设'!$B$32,0),0),IF(AND(BW$4&gt;EDATE('核心假设'!$B$5,17+$F5),BW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W$4=EDATE(EDATE('核心假设'!$B$5,17+$F5),$D5),SUM('融资租赁与资金缺口'!$D$5:$D$16)*$AD5*'核心假设'!$B$32,0),0))</x:f>
        <x:v>9887689.284903968</x:v>
      </x:c>
      <x:c r="BX7" s="28" t="n">
        <x:f>SUM(IF(AND(BX$4&gt;EDATE('核心假设'!$B$5,0+$F5),BX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X$4=EDATE(EDATE('核心假设'!$B$5,0+$F5),$D5),SUM('融资租赁与资金缺口'!$D$5:$D$16)*$M5*'核心假设'!$B$32,0),0),IF(AND(BX$4&gt;EDATE('核心假设'!$B$5,1+$F5),BX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X$4=EDATE(EDATE('核心假设'!$B$5,1+$F5),$D5),SUM('融资租赁与资金缺口'!$D$5:$D$16)*$N5*'核心假设'!$B$32,0),0),IF(AND(BX$4&gt;EDATE('核心假设'!$B$5,2+$F5),BX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X$4=EDATE(EDATE('核心假设'!$B$5,2+$F5),$D5),SUM('融资租赁与资金缺口'!$D$5:$D$16)*$O5*'核心假设'!$B$32,0),0),IF(AND(BX$4&gt;EDATE('核心假设'!$B$5,3+$F5),BX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X$4=EDATE(EDATE('核心假设'!$B$5,3+$F5),$D5),SUM('融资租赁与资金缺口'!$D$5:$D$16)*$P5*'核心假设'!$B$32,0),0),IF(AND(BX$4&gt;EDATE('核心假设'!$B$5,4+$F5),BX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X$4=EDATE(EDATE('核心假设'!$B$5,4+$F5),$D5),SUM('融资租赁与资金缺口'!$D$5:$D$16)*$Q5*'核心假设'!$B$32,0),0),IF(AND(BX$4&gt;EDATE('核心假设'!$B$5,5+$F5),BX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X$4=EDATE(EDATE('核心假设'!$B$5,5+$F5),$D5),SUM('融资租赁与资金缺口'!$D$5:$D$16)*$R5*'核心假设'!$B$32,0),0),IF(AND(BX$4&gt;EDATE('核心假设'!$B$5,6+$F5),BX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X$4=EDATE(EDATE('核心假设'!$B$5,6+$F5),$D5),SUM('融资租赁与资金缺口'!$D$5:$D$16)*$S5*'核心假设'!$B$32,0),0),IF(AND(BX$4&gt;EDATE('核心假设'!$B$5,7+$F5),BX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X$4=EDATE(EDATE('核心假设'!$B$5,7+$F5),$D5),SUM('融资租赁与资金缺口'!$D$5:$D$16)*$T5*'核心假设'!$B$32,0),0),IF(AND(BX$4&gt;EDATE('核心假设'!$B$5,8+$F5),BX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X$4=EDATE(EDATE('核心假设'!$B$5,8+$F5),$D5),SUM('融资租赁与资金缺口'!$D$5:$D$16)*$U5*'核心假设'!$B$32,0),0),IF(AND(BX$4&gt;EDATE('核心假设'!$B$5,9+$F5),BX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X$4=EDATE(EDATE('核心假设'!$B$5,9+$F5),$D5),SUM('融资租赁与资金缺口'!$D$5:$D$16)*$V5*'核心假设'!$B$32,0),0),IF(AND(BX$4&gt;EDATE('核心假设'!$B$5,10+$F5),BX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X$4=EDATE(EDATE('核心假设'!$B$5,10+$F5),$D5),SUM('融资租赁与资金缺口'!$D$5:$D$16)*$W5*'核心假设'!$B$32,0),0),IF(AND(BX$4&gt;EDATE('核心假设'!$B$5,11+$F5),BX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X$4=EDATE(EDATE('核心假设'!$B$5,11+$F5),$D5),SUM('融资租赁与资金缺口'!$D$5:$D$16)*$X5*'核心假设'!$B$32,0),0),IF(AND(BX$4&gt;EDATE('核心假设'!$B$5,12+$F5),BX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X$4=EDATE(EDATE('核心假设'!$B$5,12+$F5),$D5),SUM('融资租赁与资金缺口'!$D$5:$D$16)*$Y5*'核心假设'!$B$32,0),0),IF(AND(BX$4&gt;EDATE('核心假设'!$B$5,13+$F5),BX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X$4=EDATE(EDATE('核心假设'!$B$5,13+$F5),$D5),SUM('融资租赁与资金缺口'!$D$5:$D$16)*$Z5*'核心假设'!$B$32,0),0),IF(AND(BX$4&gt;EDATE('核心假设'!$B$5,14+$F5),BX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X$4=EDATE(EDATE('核心假设'!$B$5,14+$F5),$D5),SUM('融资租赁与资金缺口'!$D$5:$D$16)*$AA5*'核心假设'!$B$32,0),0),IF(AND(BX$4&gt;EDATE('核心假设'!$B$5,15+$F5),BX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X$4=EDATE(EDATE('核心假设'!$B$5,15+$F5),$D5),SUM('融资租赁与资金缺口'!$D$5:$D$16)*$AB5*'核心假设'!$B$32,0),0),IF(AND(BX$4&gt;EDATE('核心假设'!$B$5,16+$F5),BX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X$4=EDATE(EDATE('核心假设'!$B$5,16+$F5),$D5),SUM('融资租赁与资金缺口'!$D$5:$D$16)*$AC5*'核心假设'!$B$32,0),0),IF(AND(BX$4&gt;EDATE('核心假设'!$B$5,17+$F5),BX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X$4=EDATE(EDATE('核心假设'!$B$5,17+$F5),$D5),SUM('融资租赁与资金缺口'!$D$5:$D$16)*$AD5*'核心假设'!$B$32,0),0))</x:f>
        <x:v>8029677.427923175</x:v>
      </x:c>
      <x:c r="BY7" s="28" t="n">
        <x:f>SUM(IF(AND(BY$4&gt;EDATE('核心假设'!$B$5,0+$F5),BY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Y$4=EDATE(EDATE('核心假设'!$B$5,0+$F5),$D5),SUM('融资租赁与资金缺口'!$D$5:$D$16)*$M5*'核心假设'!$B$32,0),0),IF(AND(BY$4&gt;EDATE('核心假设'!$B$5,1+$F5),BY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Y$4=EDATE(EDATE('核心假设'!$B$5,1+$F5),$D5),SUM('融资租赁与资金缺口'!$D$5:$D$16)*$N5*'核心假设'!$B$32,0),0),IF(AND(BY$4&gt;EDATE('核心假设'!$B$5,2+$F5),BY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Y$4=EDATE(EDATE('核心假设'!$B$5,2+$F5),$D5),SUM('融资租赁与资金缺口'!$D$5:$D$16)*$O5*'核心假设'!$B$32,0),0),IF(AND(BY$4&gt;EDATE('核心假设'!$B$5,3+$F5),BY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Y$4=EDATE(EDATE('核心假设'!$B$5,3+$F5),$D5),SUM('融资租赁与资金缺口'!$D$5:$D$16)*$P5*'核心假设'!$B$32,0),0),IF(AND(BY$4&gt;EDATE('核心假设'!$B$5,4+$F5),BY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Y$4=EDATE(EDATE('核心假设'!$B$5,4+$F5),$D5),SUM('融资租赁与资金缺口'!$D$5:$D$16)*$Q5*'核心假设'!$B$32,0),0),IF(AND(BY$4&gt;EDATE('核心假设'!$B$5,5+$F5),BY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Y$4=EDATE(EDATE('核心假设'!$B$5,5+$F5),$D5),SUM('融资租赁与资金缺口'!$D$5:$D$16)*$R5*'核心假设'!$B$32,0),0),IF(AND(BY$4&gt;EDATE('核心假设'!$B$5,6+$F5),BY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Y$4=EDATE(EDATE('核心假设'!$B$5,6+$F5),$D5),SUM('融资租赁与资金缺口'!$D$5:$D$16)*$S5*'核心假设'!$B$32,0),0),IF(AND(BY$4&gt;EDATE('核心假设'!$B$5,7+$F5),BY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Y$4=EDATE(EDATE('核心假设'!$B$5,7+$F5),$D5),SUM('融资租赁与资金缺口'!$D$5:$D$16)*$T5*'核心假设'!$B$32,0),0),IF(AND(BY$4&gt;EDATE('核心假设'!$B$5,8+$F5),BY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Y$4=EDATE(EDATE('核心假设'!$B$5,8+$F5),$D5),SUM('融资租赁与资金缺口'!$D$5:$D$16)*$U5*'核心假设'!$B$32,0),0),IF(AND(BY$4&gt;EDATE('核心假设'!$B$5,9+$F5),BY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Y$4=EDATE(EDATE('核心假设'!$B$5,9+$F5),$D5),SUM('融资租赁与资金缺口'!$D$5:$D$16)*$V5*'核心假设'!$B$32,0),0),IF(AND(BY$4&gt;EDATE('核心假设'!$B$5,10+$F5),BY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Y$4=EDATE(EDATE('核心假设'!$B$5,10+$F5),$D5),SUM('融资租赁与资金缺口'!$D$5:$D$16)*$W5*'核心假设'!$B$32,0),0),IF(AND(BY$4&gt;EDATE('核心假设'!$B$5,11+$F5),BY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Y$4=EDATE(EDATE('核心假设'!$B$5,11+$F5),$D5),SUM('融资租赁与资金缺口'!$D$5:$D$16)*$X5*'核心假设'!$B$32,0),0),IF(AND(BY$4&gt;EDATE('核心假设'!$B$5,12+$F5),BY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Y$4=EDATE(EDATE('核心假设'!$B$5,12+$F5),$D5),SUM('融资租赁与资金缺口'!$D$5:$D$16)*$Y5*'核心假设'!$B$32,0),0),IF(AND(BY$4&gt;EDATE('核心假设'!$B$5,13+$F5),BY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Y$4=EDATE(EDATE('核心假设'!$B$5,13+$F5),$D5),SUM('融资租赁与资金缺口'!$D$5:$D$16)*$Z5*'核心假设'!$B$32,0),0),IF(AND(BY$4&gt;EDATE('核心假设'!$B$5,14+$F5),BY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Y$4=EDATE(EDATE('核心假设'!$B$5,14+$F5),$D5),SUM('融资租赁与资金缺口'!$D$5:$D$16)*$AA5*'核心假设'!$B$32,0),0),IF(AND(BY$4&gt;EDATE('核心假设'!$B$5,15+$F5),BY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Y$4=EDATE(EDATE('核心假设'!$B$5,15+$F5),$D5),SUM('融资租赁与资金缺口'!$D$5:$D$16)*$AB5*'核心假设'!$B$32,0),0),IF(AND(BY$4&gt;EDATE('核心假设'!$B$5,16+$F5),BY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Y$4=EDATE(EDATE('核心假设'!$B$5,16+$F5),$D5),SUM('融资租赁与资金缺口'!$D$5:$D$16)*$AC5*'核心假设'!$B$32,0),0),IF(AND(BY$4&gt;EDATE('核心假设'!$B$5,17+$F5),BY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Y$4=EDATE(EDATE('核心假设'!$B$5,17+$F5),$D5),SUM('融资租赁与资金缺口'!$D$5:$D$16)*$AD5*'核心假设'!$B$32,0),0))</x:f>
        <x:v>6117335.570942381</x:v>
      </x:c>
      <x:c r="BZ7" s="28" t="n">
        <x:f>SUM(IF(AND(BZ$4&gt;EDATE('核心假设'!$B$5,0+$F5),BZ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BZ$4=EDATE(EDATE('核心假设'!$B$5,0+$F5),$D5),SUM('融资租赁与资金缺口'!$D$5:$D$16)*$M5*'核心假设'!$B$32,0),0),IF(AND(BZ$4&gt;EDATE('核心假设'!$B$5,1+$F5),BZ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BZ$4=EDATE(EDATE('核心假设'!$B$5,1+$F5),$D5),SUM('融资租赁与资金缺口'!$D$5:$D$16)*$N5*'核心假设'!$B$32,0),0),IF(AND(BZ$4&gt;EDATE('核心假设'!$B$5,2+$F5),BZ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BZ$4=EDATE(EDATE('核心假设'!$B$5,2+$F5),$D5),SUM('融资租赁与资金缺口'!$D$5:$D$16)*$O5*'核心假设'!$B$32,0),0),IF(AND(BZ$4&gt;EDATE('核心假设'!$B$5,3+$F5),BZ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BZ$4=EDATE(EDATE('核心假设'!$B$5,3+$F5),$D5),SUM('融资租赁与资金缺口'!$D$5:$D$16)*$P5*'核心假设'!$B$32,0),0),IF(AND(BZ$4&gt;EDATE('核心假设'!$B$5,4+$F5),BZ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BZ$4=EDATE(EDATE('核心假设'!$B$5,4+$F5),$D5),SUM('融资租赁与资金缺口'!$D$5:$D$16)*$Q5*'核心假设'!$B$32,0),0),IF(AND(BZ$4&gt;EDATE('核心假设'!$B$5,5+$F5),BZ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BZ$4=EDATE(EDATE('核心假设'!$B$5,5+$F5),$D5),SUM('融资租赁与资金缺口'!$D$5:$D$16)*$R5*'核心假设'!$B$32,0),0),IF(AND(BZ$4&gt;EDATE('核心假设'!$B$5,6+$F5),BZ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BZ$4=EDATE(EDATE('核心假设'!$B$5,6+$F5),$D5),SUM('融资租赁与资金缺口'!$D$5:$D$16)*$S5*'核心假设'!$B$32,0),0),IF(AND(BZ$4&gt;EDATE('核心假设'!$B$5,7+$F5),BZ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BZ$4=EDATE(EDATE('核心假设'!$B$5,7+$F5),$D5),SUM('融资租赁与资金缺口'!$D$5:$D$16)*$T5*'核心假设'!$B$32,0),0),IF(AND(BZ$4&gt;EDATE('核心假设'!$B$5,8+$F5),BZ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BZ$4=EDATE(EDATE('核心假设'!$B$5,8+$F5),$D5),SUM('融资租赁与资金缺口'!$D$5:$D$16)*$U5*'核心假设'!$B$32,0),0),IF(AND(BZ$4&gt;EDATE('核心假设'!$B$5,9+$F5),BZ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BZ$4=EDATE(EDATE('核心假设'!$B$5,9+$F5),$D5),SUM('融资租赁与资金缺口'!$D$5:$D$16)*$V5*'核心假设'!$B$32,0),0),IF(AND(BZ$4&gt;EDATE('核心假设'!$B$5,10+$F5),BZ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BZ$4=EDATE(EDATE('核心假设'!$B$5,10+$F5),$D5),SUM('融资租赁与资金缺口'!$D$5:$D$16)*$W5*'核心假设'!$B$32,0),0),IF(AND(BZ$4&gt;EDATE('核心假设'!$B$5,11+$F5),BZ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BZ$4=EDATE(EDATE('核心假设'!$B$5,11+$F5),$D5),SUM('融资租赁与资金缺口'!$D$5:$D$16)*$X5*'核心假设'!$B$32,0),0),IF(AND(BZ$4&gt;EDATE('核心假设'!$B$5,12+$F5),BZ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BZ$4=EDATE(EDATE('核心假设'!$B$5,12+$F5),$D5),SUM('融资租赁与资金缺口'!$D$5:$D$16)*$Y5*'核心假设'!$B$32,0),0),IF(AND(BZ$4&gt;EDATE('核心假设'!$B$5,13+$F5),BZ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BZ$4=EDATE(EDATE('核心假设'!$B$5,13+$F5),$D5),SUM('融资租赁与资金缺口'!$D$5:$D$16)*$Z5*'核心假设'!$B$32,0),0),IF(AND(BZ$4&gt;EDATE('核心假设'!$B$5,14+$F5),BZ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BZ$4=EDATE(EDATE('核心假设'!$B$5,14+$F5),$D5),SUM('融资租赁与资金缺口'!$D$5:$D$16)*$AA5*'核心假设'!$B$32,0),0),IF(AND(BZ$4&gt;EDATE('核心假设'!$B$5,15+$F5),BZ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BZ$4=EDATE(EDATE('核心假设'!$B$5,15+$F5),$D5),SUM('融资租赁与资金缺口'!$D$5:$D$16)*$AB5*'核心假设'!$B$32,0),0),IF(AND(BZ$4&gt;EDATE('核心假设'!$B$5,16+$F5),BZ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BZ$4=EDATE(EDATE('核心假设'!$B$5,16+$F5),$D5),SUM('融资租赁与资金缺口'!$D$5:$D$16)*$AC5*'核心假设'!$B$32,0),0),IF(AND(BZ$4&gt;EDATE('核心假设'!$B$5,17+$F5),BZ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BZ$4=EDATE(EDATE('核心假设'!$B$5,17+$F5),$D5),SUM('融资租赁与资金缺口'!$D$5:$D$16)*$AD5*'核心假设'!$B$32,0),0))</x:f>
        <x:v>4373903.882778023</x:v>
      </x:c>
      <x:c r="CA7" s="28" t="n">
        <x:f>SUM(IF(AND(CA$4&gt;EDATE('核心假设'!$B$5,0+$F5),CA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CA$4=EDATE(EDATE('核心假设'!$B$5,0+$F5),$D5),SUM('融资租赁与资金缺口'!$D$5:$D$16)*$M5*'核心假设'!$B$32,0),0),IF(AND(CA$4&gt;EDATE('核心假设'!$B$5,1+$F5),CA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CA$4=EDATE(EDATE('核心假设'!$B$5,1+$F5),$D5),SUM('融资租赁与资金缺口'!$D$5:$D$16)*$N5*'核心假设'!$B$32,0),0),IF(AND(CA$4&gt;EDATE('核心假设'!$B$5,2+$F5),CA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CA$4=EDATE(EDATE('核心假设'!$B$5,2+$F5),$D5),SUM('融资租赁与资金缺口'!$D$5:$D$16)*$O5*'核心假设'!$B$32,0),0),IF(AND(CA$4&gt;EDATE('核心假设'!$B$5,3+$F5),CA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CA$4=EDATE(EDATE('核心假设'!$B$5,3+$F5),$D5),SUM('融资租赁与资金缺口'!$D$5:$D$16)*$P5*'核心假设'!$B$32,0),0),IF(AND(CA$4&gt;EDATE('核心假设'!$B$5,4+$F5),CA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CA$4=EDATE(EDATE('核心假设'!$B$5,4+$F5),$D5),SUM('融资租赁与资金缺口'!$D$5:$D$16)*$Q5*'核心假设'!$B$32,0),0),IF(AND(CA$4&gt;EDATE('核心假设'!$B$5,5+$F5),CA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CA$4=EDATE(EDATE('核心假设'!$B$5,5+$F5),$D5),SUM('融资租赁与资金缺口'!$D$5:$D$16)*$R5*'核心假设'!$B$32,0),0),IF(AND(CA$4&gt;EDATE('核心假设'!$B$5,6+$F5),CA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CA$4=EDATE(EDATE('核心假设'!$B$5,6+$F5),$D5),SUM('融资租赁与资金缺口'!$D$5:$D$16)*$S5*'核心假设'!$B$32,0),0),IF(AND(CA$4&gt;EDATE('核心假设'!$B$5,7+$F5),CA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CA$4=EDATE(EDATE('核心假设'!$B$5,7+$F5),$D5),SUM('融资租赁与资金缺口'!$D$5:$D$16)*$T5*'核心假设'!$B$32,0),0),IF(AND(CA$4&gt;EDATE('核心假设'!$B$5,8+$F5),CA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CA$4=EDATE(EDATE('核心假设'!$B$5,8+$F5),$D5),SUM('融资租赁与资金缺口'!$D$5:$D$16)*$U5*'核心假设'!$B$32,0),0),IF(AND(CA$4&gt;EDATE('核心假设'!$B$5,9+$F5),CA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CA$4=EDATE(EDATE('核心假设'!$B$5,9+$F5),$D5),SUM('融资租赁与资金缺口'!$D$5:$D$16)*$V5*'核心假设'!$B$32,0),0),IF(AND(CA$4&gt;EDATE('核心假设'!$B$5,10+$F5),CA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CA$4=EDATE(EDATE('核心假设'!$B$5,10+$F5),$D5),SUM('融资租赁与资金缺口'!$D$5:$D$16)*$W5*'核心假设'!$B$32,0),0),IF(AND(CA$4&gt;EDATE('核心假设'!$B$5,11+$F5),CA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CA$4=EDATE(EDATE('核心假设'!$B$5,11+$F5),$D5),SUM('融资租赁与资金缺口'!$D$5:$D$16)*$X5*'核心假设'!$B$32,0),0),IF(AND(CA$4&gt;EDATE('核心假设'!$B$5,12+$F5),CA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CA$4=EDATE(EDATE('核心假设'!$B$5,12+$F5),$D5),SUM('融资租赁与资金缺口'!$D$5:$D$16)*$Y5*'核心假设'!$B$32,0),0),IF(AND(CA$4&gt;EDATE('核心假设'!$B$5,13+$F5),CA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CA$4=EDATE(EDATE('核心假设'!$B$5,13+$F5),$D5),SUM('融资租赁与资金缺口'!$D$5:$D$16)*$Z5*'核心假设'!$B$32,0),0),IF(AND(CA$4&gt;EDATE('核心假设'!$B$5,14+$F5),CA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CA$4=EDATE(EDATE('核心假设'!$B$5,14+$F5),$D5),SUM('融资租赁与资金缺口'!$D$5:$D$16)*$AA5*'核心假设'!$B$32,0),0),IF(AND(CA$4&gt;EDATE('核心假设'!$B$5,15+$F5),CA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CA$4=EDATE(EDATE('核心假设'!$B$5,15+$F5),$D5),SUM('融资租赁与资金缺口'!$D$5:$D$16)*$AB5*'核心假设'!$B$32,0),0),IF(AND(CA$4&gt;EDATE('核心假设'!$B$5,16+$F5),CA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CA$4=EDATE(EDATE('核心假设'!$B$5,16+$F5),$D5),SUM('融资租赁与资金缺口'!$D$5:$D$16)*$AC5*'核心假设'!$B$32,0),0),IF(AND(CA$4&gt;EDATE('核心假设'!$B$5,17+$F5),CA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CA$4=EDATE(EDATE('核心假设'!$B$5,17+$F5),$D5),SUM('融资租赁与资金缺口'!$D$5:$D$16)*$AD5*'核心假设'!$B$32,0),0))</x:f>
        <x:v>2799382.363430101</x:v>
      </x:c>
      <x:c r="CB7" s="28" t="n">
        <x:f>SUM(IF(AND(CB$4&gt;EDATE('核心假设'!$B$5,0+$F5),CB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CB$4=EDATE(EDATE('核心假设'!$B$5,0+$F5),$D5),SUM('融资租赁与资金缺口'!$D$5:$D$16)*$M5*'核心假设'!$B$32,0),0),IF(AND(CB$4&gt;EDATE('核心假设'!$B$5,1+$F5),CB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CB$4=EDATE(EDATE('核心假设'!$B$5,1+$F5),$D5),SUM('融资租赁与资金缺口'!$D$5:$D$16)*$N5*'核心假设'!$B$32,0),0),IF(AND(CB$4&gt;EDATE('核心假设'!$B$5,2+$F5),CB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CB$4=EDATE(EDATE('核心假设'!$B$5,2+$F5),$D5),SUM('融资租赁与资金缺口'!$D$5:$D$16)*$O5*'核心假设'!$B$32,0),0),IF(AND(CB$4&gt;EDATE('核心假设'!$B$5,3+$F5),CB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CB$4=EDATE(EDATE('核心假设'!$B$5,3+$F5),$D5),SUM('融资租赁与资金缺口'!$D$5:$D$16)*$P5*'核心假设'!$B$32,0),0),IF(AND(CB$4&gt;EDATE('核心假设'!$B$5,4+$F5),CB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CB$4=EDATE(EDATE('核心假设'!$B$5,4+$F5),$D5),SUM('融资租赁与资金缺口'!$D$5:$D$16)*$Q5*'核心假设'!$B$32,0),0),IF(AND(CB$4&gt;EDATE('核心假设'!$B$5,5+$F5),CB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CB$4=EDATE(EDATE('核心假设'!$B$5,5+$F5),$D5),SUM('融资租赁与资金缺口'!$D$5:$D$16)*$R5*'核心假设'!$B$32,0),0),IF(AND(CB$4&gt;EDATE('核心假设'!$B$5,6+$F5),CB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CB$4=EDATE(EDATE('核心假设'!$B$5,6+$F5),$D5),SUM('融资租赁与资金缺口'!$D$5:$D$16)*$S5*'核心假设'!$B$32,0),0),IF(AND(CB$4&gt;EDATE('核心假设'!$B$5,7+$F5),CB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CB$4=EDATE(EDATE('核心假设'!$B$5,7+$F5),$D5),SUM('融资租赁与资金缺口'!$D$5:$D$16)*$T5*'核心假设'!$B$32,0),0),IF(AND(CB$4&gt;EDATE('核心假设'!$B$5,8+$F5),CB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CB$4=EDATE(EDATE('核心假设'!$B$5,8+$F5),$D5),SUM('融资租赁与资金缺口'!$D$5:$D$16)*$U5*'核心假设'!$B$32,0),0),IF(AND(CB$4&gt;EDATE('核心假设'!$B$5,9+$F5),CB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CB$4=EDATE(EDATE('核心假设'!$B$5,9+$F5),$D5),SUM('融资租赁与资金缺口'!$D$5:$D$16)*$V5*'核心假设'!$B$32,0),0),IF(AND(CB$4&gt;EDATE('核心假设'!$B$5,10+$F5),CB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CB$4=EDATE(EDATE('核心假设'!$B$5,10+$F5),$D5),SUM('融资租赁与资金缺口'!$D$5:$D$16)*$W5*'核心假设'!$B$32,0),0),IF(AND(CB$4&gt;EDATE('核心假设'!$B$5,11+$F5),CB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CB$4=EDATE(EDATE('核心假设'!$B$5,11+$F5),$D5),SUM('融资租赁与资金缺口'!$D$5:$D$16)*$X5*'核心假设'!$B$32,0),0),IF(AND(CB$4&gt;EDATE('核心假设'!$B$5,12+$F5),CB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CB$4=EDATE(EDATE('核心假设'!$B$5,12+$F5),$D5),SUM('融资租赁与资金缺口'!$D$5:$D$16)*$Y5*'核心假设'!$B$32,0),0),IF(AND(CB$4&gt;EDATE('核心假设'!$B$5,13+$F5),CB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CB$4=EDATE(EDATE('核心假设'!$B$5,13+$F5),$D5),SUM('融资租赁与资金缺口'!$D$5:$D$16)*$Z5*'核心假设'!$B$32,0),0),IF(AND(CB$4&gt;EDATE('核心假设'!$B$5,14+$F5),CB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CB$4=EDATE(EDATE('核心假设'!$B$5,14+$F5),$D5),SUM('融资租赁与资金缺口'!$D$5:$D$16)*$AA5*'核心假设'!$B$32,0),0),IF(AND(CB$4&gt;EDATE('核心假设'!$B$5,15+$F5),CB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CB$4=EDATE(EDATE('核心假设'!$B$5,15+$F5),$D5),SUM('融资租赁与资金缺口'!$D$5:$D$16)*$AB5*'核心假设'!$B$32,0),0),IF(AND(CB$4&gt;EDATE('核心假设'!$B$5,16+$F5),CB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CB$4=EDATE(EDATE('核心假设'!$B$5,16+$F5),$D5),SUM('融资租赁与资金缺口'!$D$5:$D$16)*$AC5*'核心假设'!$B$32,0),0),IF(AND(CB$4&gt;EDATE('核心假设'!$B$5,17+$F5),CB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CB$4=EDATE(EDATE('核心假设'!$B$5,17+$F5),$D5),SUM('融资租赁与资金缺口'!$D$5:$D$16)*$AD5*'核心假设'!$B$32,0),0))</x:f>
        <x:v>1339441.0128986146</x:v>
      </x:c>
      <x:c r="CC7" s="28" t="n">
        <x:f>SUM(IF(AND(CC$4&gt;EDATE('核心假设'!$B$5,0+$F5),CC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CC$4=EDATE(EDATE('核心假设'!$B$5,0+$F5),$D5),SUM('融资租赁与资金缺口'!$D$5:$D$16)*$M5*'核心假设'!$B$32,0),0),IF(AND(CC$4&gt;EDATE('核心假设'!$B$5,1+$F5),CC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CC$4=EDATE(EDATE('核心假设'!$B$5,1+$F5),$D5),SUM('融资租赁与资金缺口'!$D$5:$D$16)*$N5*'核心假设'!$B$32,0),0),IF(AND(CC$4&gt;EDATE('核心假设'!$B$5,2+$F5),CC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CC$4=EDATE(EDATE('核心假设'!$B$5,2+$F5),$D5),SUM('融资租赁与资金缺口'!$D$5:$D$16)*$O5*'核心假设'!$B$32,0),0),IF(AND(CC$4&gt;EDATE('核心假设'!$B$5,3+$F5),CC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CC$4=EDATE(EDATE('核心假设'!$B$5,3+$F5),$D5),SUM('融资租赁与资金缺口'!$D$5:$D$16)*$P5*'核心假设'!$B$32,0),0),IF(AND(CC$4&gt;EDATE('核心假设'!$B$5,4+$F5),CC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CC$4=EDATE(EDATE('核心假设'!$B$5,4+$F5),$D5),SUM('融资租赁与资金缺口'!$D$5:$D$16)*$Q5*'核心假设'!$B$32,0),0),IF(AND(CC$4&gt;EDATE('核心假设'!$B$5,5+$F5),CC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CC$4=EDATE(EDATE('核心假设'!$B$5,5+$F5),$D5),SUM('融资租赁与资金缺口'!$D$5:$D$16)*$R5*'核心假设'!$B$32,0),0),IF(AND(CC$4&gt;EDATE('核心假设'!$B$5,6+$F5),CC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CC$4=EDATE(EDATE('核心假设'!$B$5,6+$F5),$D5),SUM('融资租赁与资金缺口'!$D$5:$D$16)*$S5*'核心假设'!$B$32,0),0),IF(AND(CC$4&gt;EDATE('核心假设'!$B$5,7+$F5),CC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CC$4=EDATE(EDATE('核心假设'!$B$5,7+$F5),$D5),SUM('融资租赁与资金缺口'!$D$5:$D$16)*$T5*'核心假设'!$B$32,0),0),IF(AND(CC$4&gt;EDATE('核心假设'!$B$5,8+$F5),CC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CC$4=EDATE(EDATE('核心假设'!$B$5,8+$F5),$D5),SUM('融资租赁与资金缺口'!$D$5:$D$16)*$U5*'核心假设'!$B$32,0),0),IF(AND(CC$4&gt;EDATE('核心假设'!$B$5,9+$F5),CC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CC$4=EDATE(EDATE('核心假设'!$B$5,9+$F5),$D5),SUM('融资租赁与资金缺口'!$D$5:$D$16)*$V5*'核心假设'!$B$32,0),0),IF(AND(CC$4&gt;EDATE('核心假设'!$B$5,10+$F5),CC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CC$4=EDATE(EDATE('核心假设'!$B$5,10+$F5),$D5),SUM('融资租赁与资金缺口'!$D$5:$D$16)*$W5*'核心假设'!$B$32,0),0),IF(AND(CC$4&gt;EDATE('核心假设'!$B$5,11+$F5),CC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CC$4=EDATE(EDATE('核心假设'!$B$5,11+$F5),$D5),SUM('融资租赁与资金缺口'!$D$5:$D$16)*$X5*'核心假设'!$B$32,0),0),IF(AND(CC$4&gt;EDATE('核心假设'!$B$5,12+$F5),CC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CC$4=EDATE(EDATE('核心假设'!$B$5,12+$F5),$D5),SUM('融资租赁与资金缺口'!$D$5:$D$16)*$Y5*'核心假设'!$B$32,0),0),IF(AND(CC$4&gt;EDATE('核心假设'!$B$5,13+$F5),CC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CC$4=EDATE(EDATE('核心假设'!$B$5,13+$F5),$D5),SUM('融资租赁与资金缺口'!$D$5:$D$16)*$Z5*'核心假设'!$B$32,0),0),IF(AND(CC$4&gt;EDATE('核心假设'!$B$5,14+$F5),CC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CC$4=EDATE(EDATE('核心假设'!$B$5,14+$F5),$D5),SUM('融资租赁与资金缺口'!$D$5:$D$16)*$AA5*'核心假设'!$B$32,0),0),IF(AND(CC$4&gt;EDATE('核心假设'!$B$5,15+$F5),CC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CC$4=EDATE(EDATE('核心假设'!$B$5,15+$F5),$D5),SUM('融资租赁与资金缺口'!$D$5:$D$16)*$AB5*'核心假设'!$B$32,0),0),IF(AND(CC$4&gt;EDATE('核心假设'!$B$5,16+$F5),CC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CC$4=EDATE(EDATE('核心假设'!$B$5,16+$F5),$D5),SUM('融资租赁与资金缺口'!$D$5:$D$16)*$AC5*'核心假设'!$B$32,0),0),IF(AND(CC$4&gt;EDATE('核心假设'!$B$5,17+$F5),CC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CC$4=EDATE(EDATE('核心假设'!$B$5,17+$F5),$D5),SUM('融资租赁与资金缺口'!$D$5:$D$16)*$AD5*'核心假设'!$B$32,0),0))</x:f>
        <x:v>0</x:v>
      </x:c>
      <x:c r="CD7" s="28" t="n">
        <x:f>SUM(IF(AND(CD$4&gt;EDATE('核心假设'!$B$5,0+$F5),CD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CD$4=EDATE(EDATE('核心假设'!$B$5,0+$F5),$D5),SUM('融资租赁与资金缺口'!$D$5:$D$16)*$M5*'核心假设'!$B$32,0),0),IF(AND(CD$4&gt;EDATE('核心假设'!$B$5,1+$F5),CD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CD$4=EDATE(EDATE('核心假设'!$B$5,1+$F5),$D5),SUM('融资租赁与资金缺口'!$D$5:$D$16)*$N5*'核心假设'!$B$32,0),0),IF(AND(CD$4&gt;EDATE('核心假设'!$B$5,2+$F5),CD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CD$4=EDATE(EDATE('核心假设'!$B$5,2+$F5),$D5),SUM('融资租赁与资金缺口'!$D$5:$D$16)*$O5*'核心假设'!$B$32,0),0),IF(AND(CD$4&gt;EDATE('核心假设'!$B$5,3+$F5),CD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CD$4=EDATE(EDATE('核心假设'!$B$5,3+$F5),$D5),SUM('融资租赁与资金缺口'!$D$5:$D$16)*$P5*'核心假设'!$B$32,0),0),IF(AND(CD$4&gt;EDATE('核心假设'!$B$5,4+$F5),CD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CD$4=EDATE(EDATE('核心假设'!$B$5,4+$F5),$D5),SUM('融资租赁与资金缺口'!$D$5:$D$16)*$Q5*'核心假设'!$B$32,0),0),IF(AND(CD$4&gt;EDATE('核心假设'!$B$5,5+$F5),CD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CD$4=EDATE(EDATE('核心假设'!$B$5,5+$F5),$D5),SUM('融资租赁与资金缺口'!$D$5:$D$16)*$R5*'核心假设'!$B$32,0),0),IF(AND(CD$4&gt;EDATE('核心假设'!$B$5,6+$F5),CD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CD$4=EDATE(EDATE('核心假设'!$B$5,6+$F5),$D5),SUM('融资租赁与资金缺口'!$D$5:$D$16)*$S5*'核心假设'!$B$32,0),0),IF(AND(CD$4&gt;EDATE('核心假设'!$B$5,7+$F5),CD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CD$4=EDATE(EDATE('核心假设'!$B$5,7+$F5),$D5),SUM('融资租赁与资金缺口'!$D$5:$D$16)*$T5*'核心假设'!$B$32,0),0),IF(AND(CD$4&gt;EDATE('核心假设'!$B$5,8+$F5),CD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CD$4=EDATE(EDATE('核心假设'!$B$5,8+$F5),$D5),SUM('融资租赁与资金缺口'!$D$5:$D$16)*$U5*'核心假设'!$B$32,0),0),IF(AND(CD$4&gt;EDATE('核心假设'!$B$5,9+$F5),CD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CD$4=EDATE(EDATE('核心假设'!$B$5,9+$F5),$D5),SUM('融资租赁与资金缺口'!$D$5:$D$16)*$V5*'核心假设'!$B$32,0),0),IF(AND(CD$4&gt;EDATE('核心假设'!$B$5,10+$F5),CD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CD$4=EDATE(EDATE('核心假设'!$B$5,10+$F5),$D5),SUM('融资租赁与资金缺口'!$D$5:$D$16)*$W5*'核心假设'!$B$32,0),0),IF(AND(CD$4&gt;EDATE('核心假设'!$B$5,11+$F5),CD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CD$4=EDATE(EDATE('核心假设'!$B$5,11+$F5),$D5),SUM('融资租赁与资金缺口'!$D$5:$D$16)*$X5*'核心假设'!$B$32,0),0),IF(AND(CD$4&gt;EDATE('核心假设'!$B$5,12+$F5),CD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CD$4=EDATE(EDATE('核心假设'!$B$5,12+$F5),$D5),SUM('融资租赁与资金缺口'!$D$5:$D$16)*$Y5*'核心假设'!$B$32,0),0),IF(AND(CD$4&gt;EDATE('核心假设'!$B$5,13+$F5),CD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CD$4=EDATE(EDATE('核心假设'!$B$5,13+$F5),$D5),SUM('融资租赁与资金缺口'!$D$5:$D$16)*$Z5*'核心假设'!$B$32,0),0),IF(AND(CD$4&gt;EDATE('核心假设'!$B$5,14+$F5),CD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CD$4=EDATE(EDATE('核心假设'!$B$5,14+$F5),$D5),SUM('融资租赁与资金缺口'!$D$5:$D$16)*$AA5*'核心假设'!$B$32,0),0),IF(AND(CD$4&gt;EDATE('核心假设'!$B$5,15+$F5),CD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CD$4=EDATE(EDATE('核心假设'!$B$5,15+$F5),$D5),SUM('融资租赁与资金缺口'!$D$5:$D$16)*$AB5*'核心假设'!$B$32,0),0),IF(AND(CD$4&gt;EDATE('核心假设'!$B$5,16+$F5),CD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CD$4=EDATE(EDATE('核心假设'!$B$5,16+$F5),$D5),SUM('融资租赁与资金缺口'!$D$5:$D$16)*$AC5*'核心假设'!$B$32,0),0),IF(AND(CD$4&gt;EDATE('核心假设'!$B$5,17+$F5),CD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CD$4=EDATE(EDATE('核心假设'!$B$5,17+$F5),$D5),SUM('融资租赁与资金缺口'!$D$5:$D$16)*$AD5*'核心假设'!$B$32,0),0))</x:f>
        <x:v>0</x:v>
      </x:c>
      <x:c r="CE7" s="28" t="n">
        <x:f>SUM(IF(AND(CE$4&gt;EDATE('核心假设'!$B$5,0+$F5),CE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CE$4=EDATE(EDATE('核心假设'!$B$5,0+$F5),$D5),SUM('融资租赁与资金缺口'!$D$5:$D$16)*$M5*'核心假设'!$B$32,0),0),IF(AND(CE$4&gt;EDATE('核心假设'!$B$5,1+$F5),CE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CE$4=EDATE(EDATE('核心假设'!$B$5,1+$F5),$D5),SUM('融资租赁与资金缺口'!$D$5:$D$16)*$N5*'核心假设'!$B$32,0),0),IF(AND(CE$4&gt;EDATE('核心假设'!$B$5,2+$F5),CE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CE$4=EDATE(EDATE('核心假设'!$B$5,2+$F5),$D5),SUM('融资租赁与资金缺口'!$D$5:$D$16)*$O5*'核心假设'!$B$32,0),0),IF(AND(CE$4&gt;EDATE('核心假设'!$B$5,3+$F5),CE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CE$4=EDATE(EDATE('核心假设'!$B$5,3+$F5),$D5),SUM('融资租赁与资金缺口'!$D$5:$D$16)*$P5*'核心假设'!$B$32,0),0),IF(AND(CE$4&gt;EDATE('核心假设'!$B$5,4+$F5),CE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CE$4=EDATE(EDATE('核心假设'!$B$5,4+$F5),$D5),SUM('融资租赁与资金缺口'!$D$5:$D$16)*$Q5*'核心假设'!$B$32,0),0),IF(AND(CE$4&gt;EDATE('核心假设'!$B$5,5+$F5),CE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CE$4=EDATE(EDATE('核心假设'!$B$5,5+$F5),$D5),SUM('融资租赁与资金缺口'!$D$5:$D$16)*$R5*'核心假设'!$B$32,0),0),IF(AND(CE$4&gt;EDATE('核心假设'!$B$5,6+$F5),CE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CE$4=EDATE(EDATE('核心假设'!$B$5,6+$F5),$D5),SUM('融资租赁与资金缺口'!$D$5:$D$16)*$S5*'核心假设'!$B$32,0),0),IF(AND(CE$4&gt;EDATE('核心假设'!$B$5,7+$F5),CE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CE$4=EDATE(EDATE('核心假设'!$B$5,7+$F5),$D5),SUM('融资租赁与资金缺口'!$D$5:$D$16)*$T5*'核心假设'!$B$32,0),0),IF(AND(CE$4&gt;EDATE('核心假设'!$B$5,8+$F5),CE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CE$4=EDATE(EDATE('核心假设'!$B$5,8+$F5),$D5),SUM('融资租赁与资金缺口'!$D$5:$D$16)*$U5*'核心假设'!$B$32,0),0),IF(AND(CE$4&gt;EDATE('核心假设'!$B$5,9+$F5),CE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CE$4=EDATE(EDATE('核心假设'!$B$5,9+$F5),$D5),SUM('融资租赁与资金缺口'!$D$5:$D$16)*$V5*'核心假设'!$B$32,0),0),IF(AND(CE$4&gt;EDATE('核心假设'!$B$5,10+$F5),CE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CE$4=EDATE(EDATE('核心假设'!$B$5,10+$F5),$D5),SUM('融资租赁与资金缺口'!$D$5:$D$16)*$W5*'核心假设'!$B$32,0),0),IF(AND(CE$4&gt;EDATE('核心假设'!$B$5,11+$F5),CE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CE$4=EDATE(EDATE('核心假设'!$B$5,11+$F5),$D5),SUM('融资租赁与资金缺口'!$D$5:$D$16)*$X5*'核心假设'!$B$32,0),0),IF(AND(CE$4&gt;EDATE('核心假设'!$B$5,12+$F5),CE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CE$4=EDATE(EDATE('核心假设'!$B$5,12+$F5),$D5),SUM('融资租赁与资金缺口'!$D$5:$D$16)*$Y5*'核心假设'!$B$32,0),0),IF(AND(CE$4&gt;EDATE('核心假设'!$B$5,13+$F5),CE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CE$4=EDATE(EDATE('核心假设'!$B$5,13+$F5),$D5),SUM('融资租赁与资金缺口'!$D$5:$D$16)*$Z5*'核心假设'!$B$32,0),0),IF(AND(CE$4&gt;EDATE('核心假设'!$B$5,14+$F5),CE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CE$4=EDATE(EDATE('核心假设'!$B$5,14+$F5),$D5),SUM('融资租赁与资金缺口'!$D$5:$D$16)*$AA5*'核心假设'!$B$32,0),0),IF(AND(CE$4&gt;EDATE('核心假设'!$B$5,15+$F5),CE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CE$4=EDATE(EDATE('核心假设'!$B$5,15+$F5),$D5),SUM('融资租赁与资金缺口'!$D$5:$D$16)*$AB5*'核心假设'!$B$32,0),0),IF(AND(CE$4&gt;EDATE('核心假设'!$B$5,16+$F5),CE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CE$4=EDATE(EDATE('核心假设'!$B$5,16+$F5),$D5),SUM('融资租赁与资金缺口'!$D$5:$D$16)*$AC5*'核心假设'!$B$32,0),0),IF(AND(CE$4&gt;EDATE('核心假设'!$B$5,17+$F5),CE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CE$4=EDATE(EDATE('核心假设'!$B$5,17+$F5),$D5),SUM('融资租赁与资金缺口'!$D$5:$D$16)*$AD5*'核心假设'!$B$32,0),0))</x:f>
        <x:v>0</x:v>
      </x:c>
      <x:c r="CF7" s="28" t="n">
        <x:f>SUM(IF(AND(CF$4&gt;EDATE('核心假设'!$B$5,0+$F5),CF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CF$4=EDATE(EDATE('核心假设'!$B$5,0+$F5),$D5),SUM('融资租赁与资金缺口'!$D$5:$D$16)*$M5*'核心假设'!$B$32,0),0),IF(AND(CF$4&gt;EDATE('核心假设'!$B$5,1+$F5),CF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CF$4=EDATE(EDATE('核心假设'!$B$5,1+$F5),$D5),SUM('融资租赁与资金缺口'!$D$5:$D$16)*$N5*'核心假设'!$B$32,0),0),IF(AND(CF$4&gt;EDATE('核心假设'!$B$5,2+$F5),CF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CF$4=EDATE(EDATE('核心假设'!$B$5,2+$F5),$D5),SUM('融资租赁与资金缺口'!$D$5:$D$16)*$O5*'核心假设'!$B$32,0),0),IF(AND(CF$4&gt;EDATE('核心假设'!$B$5,3+$F5),CF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CF$4=EDATE(EDATE('核心假设'!$B$5,3+$F5),$D5),SUM('融资租赁与资金缺口'!$D$5:$D$16)*$P5*'核心假设'!$B$32,0),0),IF(AND(CF$4&gt;EDATE('核心假设'!$B$5,4+$F5),CF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CF$4=EDATE(EDATE('核心假设'!$B$5,4+$F5),$D5),SUM('融资租赁与资金缺口'!$D$5:$D$16)*$Q5*'核心假设'!$B$32,0),0),IF(AND(CF$4&gt;EDATE('核心假设'!$B$5,5+$F5),CF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CF$4=EDATE(EDATE('核心假设'!$B$5,5+$F5),$D5),SUM('融资租赁与资金缺口'!$D$5:$D$16)*$R5*'核心假设'!$B$32,0),0),IF(AND(CF$4&gt;EDATE('核心假设'!$B$5,6+$F5),CF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CF$4=EDATE(EDATE('核心假设'!$B$5,6+$F5),$D5),SUM('融资租赁与资金缺口'!$D$5:$D$16)*$S5*'核心假设'!$B$32,0),0),IF(AND(CF$4&gt;EDATE('核心假设'!$B$5,7+$F5),CF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CF$4=EDATE(EDATE('核心假设'!$B$5,7+$F5),$D5),SUM('融资租赁与资金缺口'!$D$5:$D$16)*$T5*'核心假设'!$B$32,0),0),IF(AND(CF$4&gt;EDATE('核心假设'!$B$5,8+$F5),CF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CF$4=EDATE(EDATE('核心假设'!$B$5,8+$F5),$D5),SUM('融资租赁与资金缺口'!$D$5:$D$16)*$U5*'核心假设'!$B$32,0),0),IF(AND(CF$4&gt;EDATE('核心假设'!$B$5,9+$F5),CF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CF$4=EDATE(EDATE('核心假设'!$B$5,9+$F5),$D5),SUM('融资租赁与资金缺口'!$D$5:$D$16)*$V5*'核心假设'!$B$32,0),0),IF(AND(CF$4&gt;EDATE('核心假设'!$B$5,10+$F5),CF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CF$4=EDATE(EDATE('核心假设'!$B$5,10+$F5),$D5),SUM('融资租赁与资金缺口'!$D$5:$D$16)*$W5*'核心假设'!$B$32,0),0),IF(AND(CF$4&gt;EDATE('核心假设'!$B$5,11+$F5),CF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CF$4=EDATE(EDATE('核心假设'!$B$5,11+$F5),$D5),SUM('融资租赁与资金缺口'!$D$5:$D$16)*$X5*'核心假设'!$B$32,0),0),IF(AND(CF$4&gt;EDATE('核心假设'!$B$5,12+$F5),CF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CF$4=EDATE(EDATE('核心假设'!$B$5,12+$F5),$D5),SUM('融资租赁与资金缺口'!$D$5:$D$16)*$Y5*'核心假设'!$B$32,0),0),IF(AND(CF$4&gt;EDATE('核心假设'!$B$5,13+$F5),CF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CF$4=EDATE(EDATE('核心假设'!$B$5,13+$F5),$D5),SUM('融资租赁与资金缺口'!$D$5:$D$16)*$Z5*'核心假设'!$B$32,0),0),IF(AND(CF$4&gt;EDATE('核心假设'!$B$5,14+$F5),CF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CF$4=EDATE(EDATE('核心假设'!$B$5,14+$F5),$D5),SUM('融资租赁与资金缺口'!$D$5:$D$16)*$AA5*'核心假设'!$B$32,0),0),IF(AND(CF$4&gt;EDATE('核心假设'!$B$5,15+$F5),CF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CF$4=EDATE(EDATE('核心假设'!$B$5,15+$F5),$D5),SUM('融资租赁与资金缺口'!$D$5:$D$16)*$AB5*'核心假设'!$B$32,0),0),IF(AND(CF$4&gt;EDATE('核心假设'!$B$5,16+$F5),CF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CF$4=EDATE(EDATE('核心假设'!$B$5,16+$F5),$D5),SUM('融资租赁与资金缺口'!$D$5:$D$16)*$AC5*'核心假设'!$B$32,0),0),IF(AND(CF$4&gt;EDATE('核心假设'!$B$5,17+$F5),CF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CF$4=EDATE(EDATE('核心假设'!$B$5,17+$F5),$D5),SUM('融资租赁与资金缺口'!$D$5:$D$16)*$AD5*'核心假设'!$B$32,0),0))</x:f>
        <x:v>0</x:v>
      </x:c>
      <x:c r="CG7" s="28" t="n">
        <x:f>SUM(IF(AND(CG$4&gt;EDATE('核心假设'!$B$5,0+$F5),CG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CG$4=EDATE(EDATE('核心假设'!$B$5,0+$F5),$D5),SUM('融资租赁与资金缺口'!$D$5:$D$16)*$M5*'核心假设'!$B$32,0),0),IF(AND(CG$4&gt;EDATE('核心假设'!$B$5,1+$F5),CG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CG$4=EDATE(EDATE('核心假设'!$B$5,1+$F5),$D5),SUM('融资租赁与资金缺口'!$D$5:$D$16)*$N5*'核心假设'!$B$32,0),0),IF(AND(CG$4&gt;EDATE('核心假设'!$B$5,2+$F5),CG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CG$4=EDATE(EDATE('核心假设'!$B$5,2+$F5),$D5),SUM('融资租赁与资金缺口'!$D$5:$D$16)*$O5*'核心假设'!$B$32,0),0),IF(AND(CG$4&gt;EDATE('核心假设'!$B$5,3+$F5),CG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CG$4=EDATE(EDATE('核心假设'!$B$5,3+$F5),$D5),SUM('融资租赁与资金缺口'!$D$5:$D$16)*$P5*'核心假设'!$B$32,0),0),IF(AND(CG$4&gt;EDATE('核心假设'!$B$5,4+$F5),CG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CG$4=EDATE(EDATE('核心假设'!$B$5,4+$F5),$D5),SUM('融资租赁与资金缺口'!$D$5:$D$16)*$Q5*'核心假设'!$B$32,0),0),IF(AND(CG$4&gt;EDATE('核心假设'!$B$5,5+$F5),CG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CG$4=EDATE(EDATE('核心假设'!$B$5,5+$F5),$D5),SUM('融资租赁与资金缺口'!$D$5:$D$16)*$R5*'核心假设'!$B$32,0),0),IF(AND(CG$4&gt;EDATE('核心假设'!$B$5,6+$F5),CG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CG$4=EDATE(EDATE('核心假设'!$B$5,6+$F5),$D5),SUM('融资租赁与资金缺口'!$D$5:$D$16)*$S5*'核心假设'!$B$32,0),0),IF(AND(CG$4&gt;EDATE('核心假设'!$B$5,7+$F5),CG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CG$4=EDATE(EDATE('核心假设'!$B$5,7+$F5),$D5),SUM('融资租赁与资金缺口'!$D$5:$D$16)*$T5*'核心假设'!$B$32,0),0),IF(AND(CG$4&gt;EDATE('核心假设'!$B$5,8+$F5),CG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CG$4=EDATE(EDATE('核心假设'!$B$5,8+$F5),$D5),SUM('融资租赁与资金缺口'!$D$5:$D$16)*$U5*'核心假设'!$B$32,0),0),IF(AND(CG$4&gt;EDATE('核心假设'!$B$5,9+$F5),CG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CG$4=EDATE(EDATE('核心假设'!$B$5,9+$F5),$D5),SUM('融资租赁与资金缺口'!$D$5:$D$16)*$V5*'核心假设'!$B$32,0),0),IF(AND(CG$4&gt;EDATE('核心假设'!$B$5,10+$F5),CG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CG$4=EDATE(EDATE('核心假设'!$B$5,10+$F5),$D5),SUM('融资租赁与资金缺口'!$D$5:$D$16)*$W5*'核心假设'!$B$32,0),0),IF(AND(CG$4&gt;EDATE('核心假设'!$B$5,11+$F5),CG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CG$4=EDATE(EDATE('核心假设'!$B$5,11+$F5),$D5),SUM('融资租赁与资金缺口'!$D$5:$D$16)*$X5*'核心假设'!$B$32,0),0),IF(AND(CG$4&gt;EDATE('核心假设'!$B$5,12+$F5),CG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CG$4=EDATE(EDATE('核心假设'!$B$5,12+$F5),$D5),SUM('融资租赁与资金缺口'!$D$5:$D$16)*$Y5*'核心假设'!$B$32,0),0),IF(AND(CG$4&gt;EDATE('核心假设'!$B$5,13+$F5),CG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CG$4=EDATE(EDATE('核心假设'!$B$5,13+$F5),$D5),SUM('融资租赁与资金缺口'!$D$5:$D$16)*$Z5*'核心假设'!$B$32,0),0),IF(AND(CG$4&gt;EDATE('核心假设'!$B$5,14+$F5),CG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CG$4=EDATE(EDATE('核心假设'!$B$5,14+$F5),$D5),SUM('融资租赁与资金缺口'!$D$5:$D$16)*$AA5*'核心假设'!$B$32,0),0),IF(AND(CG$4&gt;EDATE('核心假设'!$B$5,15+$F5),CG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CG$4=EDATE(EDATE('核心假设'!$B$5,15+$F5),$D5),SUM('融资租赁与资金缺口'!$D$5:$D$16)*$AB5*'核心假设'!$B$32,0),0),IF(AND(CG$4&gt;EDATE('核心假设'!$B$5,16+$F5),CG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CG$4=EDATE(EDATE('核心假设'!$B$5,16+$F5),$D5),SUM('融资租赁与资金缺口'!$D$5:$D$16)*$AC5*'核心假设'!$B$32,0),0),IF(AND(CG$4&gt;EDATE('核心假设'!$B$5,17+$F5),CG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CG$4=EDATE(EDATE('核心假设'!$B$5,17+$F5),$D5),SUM('融资租赁与资金缺口'!$D$5:$D$16)*$AD5*'核心假设'!$B$32,0),0))</x:f>
        <x:v>0</x:v>
      </x:c>
      <x:c r="CH7" s="28" t="n">
        <x:f>SUM(IF(AND(CH$4&gt;EDATE('核心假设'!$B$5,0+$F5),CH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CH$4=EDATE(EDATE('核心假设'!$B$5,0+$F5),$D5),SUM('融资租赁与资金缺口'!$D$5:$D$16)*$M5*'核心假设'!$B$32,0),0),IF(AND(CH$4&gt;EDATE('核心假设'!$B$5,1+$F5),CH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CH$4=EDATE(EDATE('核心假设'!$B$5,1+$F5),$D5),SUM('融资租赁与资金缺口'!$D$5:$D$16)*$N5*'核心假设'!$B$32,0),0),IF(AND(CH$4&gt;EDATE('核心假设'!$B$5,2+$F5),CH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CH$4=EDATE(EDATE('核心假设'!$B$5,2+$F5),$D5),SUM('融资租赁与资金缺口'!$D$5:$D$16)*$O5*'核心假设'!$B$32,0),0),IF(AND(CH$4&gt;EDATE('核心假设'!$B$5,3+$F5),CH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CH$4=EDATE(EDATE('核心假设'!$B$5,3+$F5),$D5),SUM('融资租赁与资金缺口'!$D$5:$D$16)*$P5*'核心假设'!$B$32,0),0),IF(AND(CH$4&gt;EDATE('核心假设'!$B$5,4+$F5),CH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CH$4=EDATE(EDATE('核心假设'!$B$5,4+$F5),$D5),SUM('融资租赁与资金缺口'!$D$5:$D$16)*$Q5*'核心假设'!$B$32,0),0),IF(AND(CH$4&gt;EDATE('核心假设'!$B$5,5+$F5),CH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CH$4=EDATE(EDATE('核心假设'!$B$5,5+$F5),$D5),SUM('融资租赁与资金缺口'!$D$5:$D$16)*$R5*'核心假设'!$B$32,0),0),IF(AND(CH$4&gt;EDATE('核心假设'!$B$5,6+$F5),CH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CH$4=EDATE(EDATE('核心假设'!$B$5,6+$F5),$D5),SUM('融资租赁与资金缺口'!$D$5:$D$16)*$S5*'核心假设'!$B$32,0),0),IF(AND(CH$4&gt;EDATE('核心假设'!$B$5,7+$F5),CH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CH$4=EDATE(EDATE('核心假设'!$B$5,7+$F5),$D5),SUM('融资租赁与资金缺口'!$D$5:$D$16)*$T5*'核心假设'!$B$32,0),0),IF(AND(CH$4&gt;EDATE('核心假设'!$B$5,8+$F5),CH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CH$4=EDATE(EDATE('核心假设'!$B$5,8+$F5),$D5),SUM('融资租赁与资金缺口'!$D$5:$D$16)*$U5*'核心假设'!$B$32,0),0),IF(AND(CH$4&gt;EDATE('核心假设'!$B$5,9+$F5),CH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CH$4=EDATE(EDATE('核心假设'!$B$5,9+$F5),$D5),SUM('融资租赁与资金缺口'!$D$5:$D$16)*$V5*'核心假设'!$B$32,0),0),IF(AND(CH$4&gt;EDATE('核心假设'!$B$5,10+$F5),CH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CH$4=EDATE(EDATE('核心假设'!$B$5,10+$F5),$D5),SUM('融资租赁与资金缺口'!$D$5:$D$16)*$W5*'核心假设'!$B$32,0),0),IF(AND(CH$4&gt;EDATE('核心假设'!$B$5,11+$F5),CH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CH$4=EDATE(EDATE('核心假设'!$B$5,11+$F5),$D5),SUM('融资租赁与资金缺口'!$D$5:$D$16)*$X5*'核心假设'!$B$32,0),0),IF(AND(CH$4&gt;EDATE('核心假设'!$B$5,12+$F5),CH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CH$4=EDATE(EDATE('核心假设'!$B$5,12+$F5),$D5),SUM('融资租赁与资金缺口'!$D$5:$D$16)*$Y5*'核心假设'!$B$32,0),0),IF(AND(CH$4&gt;EDATE('核心假设'!$B$5,13+$F5),CH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CH$4=EDATE(EDATE('核心假设'!$B$5,13+$F5),$D5),SUM('融资租赁与资金缺口'!$D$5:$D$16)*$Z5*'核心假设'!$B$32,0),0),IF(AND(CH$4&gt;EDATE('核心假设'!$B$5,14+$F5),CH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CH$4=EDATE(EDATE('核心假设'!$B$5,14+$F5),$D5),SUM('融资租赁与资金缺口'!$D$5:$D$16)*$AA5*'核心假设'!$B$32,0),0),IF(AND(CH$4&gt;EDATE('核心假设'!$B$5,15+$F5),CH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CH$4=EDATE(EDATE('核心假设'!$B$5,15+$F5),$D5),SUM('融资租赁与资金缺口'!$D$5:$D$16)*$AB5*'核心假设'!$B$32,0),0),IF(AND(CH$4&gt;EDATE('核心假设'!$B$5,16+$F5),CH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CH$4=EDATE(EDATE('核心假设'!$B$5,16+$F5),$D5),SUM('融资租赁与资金缺口'!$D$5:$D$16)*$AC5*'核心假设'!$B$32,0),0),IF(AND(CH$4&gt;EDATE('核心假设'!$B$5,17+$F5),CH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CH$4=EDATE(EDATE('核心假设'!$B$5,17+$F5),$D5),SUM('融资租赁与资金缺口'!$D$5:$D$16)*$AD5*'核心假设'!$B$32,0),0))</x:f>
        <x:v>0</x:v>
      </x:c>
      <x:c r="CI7" s="28" t="n">
        <x:f>SUM(IF(AND(CI$4&gt;EDATE('核心假设'!$B$5,0+$F5),CI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CI$4=EDATE(EDATE('核心假设'!$B$5,0+$F5),$D5),SUM('融资租赁与资金缺口'!$D$5:$D$16)*$M5*'核心假设'!$B$32,0),0),IF(AND(CI$4&gt;EDATE('核心假设'!$B$5,1+$F5),CI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CI$4=EDATE(EDATE('核心假设'!$B$5,1+$F5),$D5),SUM('融资租赁与资金缺口'!$D$5:$D$16)*$N5*'核心假设'!$B$32,0),0),IF(AND(CI$4&gt;EDATE('核心假设'!$B$5,2+$F5),CI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CI$4=EDATE(EDATE('核心假设'!$B$5,2+$F5),$D5),SUM('融资租赁与资金缺口'!$D$5:$D$16)*$O5*'核心假设'!$B$32,0),0),IF(AND(CI$4&gt;EDATE('核心假设'!$B$5,3+$F5),CI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CI$4=EDATE(EDATE('核心假设'!$B$5,3+$F5),$D5),SUM('融资租赁与资金缺口'!$D$5:$D$16)*$P5*'核心假设'!$B$32,0),0),IF(AND(CI$4&gt;EDATE('核心假设'!$B$5,4+$F5),CI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CI$4=EDATE(EDATE('核心假设'!$B$5,4+$F5),$D5),SUM('融资租赁与资金缺口'!$D$5:$D$16)*$Q5*'核心假设'!$B$32,0),0),IF(AND(CI$4&gt;EDATE('核心假设'!$B$5,5+$F5),CI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CI$4=EDATE(EDATE('核心假设'!$B$5,5+$F5),$D5),SUM('融资租赁与资金缺口'!$D$5:$D$16)*$R5*'核心假设'!$B$32,0),0),IF(AND(CI$4&gt;EDATE('核心假设'!$B$5,6+$F5),CI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CI$4=EDATE(EDATE('核心假设'!$B$5,6+$F5),$D5),SUM('融资租赁与资金缺口'!$D$5:$D$16)*$S5*'核心假设'!$B$32,0),0),IF(AND(CI$4&gt;EDATE('核心假设'!$B$5,7+$F5),CI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CI$4=EDATE(EDATE('核心假设'!$B$5,7+$F5),$D5),SUM('融资租赁与资金缺口'!$D$5:$D$16)*$T5*'核心假设'!$B$32,0),0),IF(AND(CI$4&gt;EDATE('核心假设'!$B$5,8+$F5),CI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CI$4=EDATE(EDATE('核心假设'!$B$5,8+$F5),$D5),SUM('融资租赁与资金缺口'!$D$5:$D$16)*$U5*'核心假设'!$B$32,0),0),IF(AND(CI$4&gt;EDATE('核心假设'!$B$5,9+$F5),CI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CI$4=EDATE(EDATE('核心假设'!$B$5,9+$F5),$D5),SUM('融资租赁与资金缺口'!$D$5:$D$16)*$V5*'核心假设'!$B$32,0),0),IF(AND(CI$4&gt;EDATE('核心假设'!$B$5,10+$F5),CI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CI$4=EDATE(EDATE('核心假设'!$B$5,10+$F5),$D5),SUM('融资租赁与资金缺口'!$D$5:$D$16)*$W5*'核心假设'!$B$32,0),0),IF(AND(CI$4&gt;EDATE('核心假设'!$B$5,11+$F5),CI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CI$4=EDATE(EDATE('核心假设'!$B$5,11+$F5),$D5),SUM('融资租赁与资金缺口'!$D$5:$D$16)*$X5*'核心假设'!$B$32,0),0),IF(AND(CI$4&gt;EDATE('核心假设'!$B$5,12+$F5),CI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CI$4=EDATE(EDATE('核心假设'!$B$5,12+$F5),$D5),SUM('融资租赁与资金缺口'!$D$5:$D$16)*$Y5*'核心假设'!$B$32,0),0),IF(AND(CI$4&gt;EDATE('核心假设'!$B$5,13+$F5),CI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CI$4=EDATE(EDATE('核心假设'!$B$5,13+$F5),$D5),SUM('融资租赁与资金缺口'!$D$5:$D$16)*$Z5*'核心假设'!$B$32,0),0),IF(AND(CI$4&gt;EDATE('核心假设'!$B$5,14+$F5),CI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CI$4=EDATE(EDATE('核心假设'!$B$5,14+$F5),$D5),SUM('融资租赁与资金缺口'!$D$5:$D$16)*$AA5*'核心假设'!$B$32,0),0),IF(AND(CI$4&gt;EDATE('核心假设'!$B$5,15+$F5),CI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CI$4=EDATE(EDATE('核心假设'!$B$5,15+$F5),$D5),SUM('融资租赁与资金缺口'!$D$5:$D$16)*$AB5*'核心假设'!$B$32,0),0),IF(AND(CI$4&gt;EDATE('核心假设'!$B$5,16+$F5),CI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CI$4=EDATE(EDATE('核心假设'!$B$5,16+$F5),$D5),SUM('融资租赁与资金缺口'!$D$5:$D$16)*$AC5*'核心假设'!$B$32,0),0),IF(AND(CI$4&gt;EDATE('核心假设'!$B$5,17+$F5),CI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CI$4=EDATE(EDATE('核心假设'!$B$5,17+$F5),$D5),SUM('融资租赁与资金缺口'!$D$5:$D$16)*$AD5*'核心假设'!$B$32,0),0))</x:f>
        <x:v>0</x:v>
      </x:c>
      <x:c r="CJ7" s="28" t="n">
        <x:f>SUM(IF(AND(CJ$4&gt;EDATE('核心假设'!$B$5,0+$F5),CJ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CJ$4=EDATE(EDATE('核心假设'!$B$5,0+$F5),$D5),SUM('融资租赁与资金缺口'!$D$5:$D$16)*$M5*'核心假设'!$B$32,0),0),IF(AND(CJ$4&gt;EDATE('核心假设'!$B$5,1+$F5),CJ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CJ$4=EDATE(EDATE('核心假设'!$B$5,1+$F5),$D5),SUM('融资租赁与资金缺口'!$D$5:$D$16)*$N5*'核心假设'!$B$32,0),0),IF(AND(CJ$4&gt;EDATE('核心假设'!$B$5,2+$F5),CJ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CJ$4=EDATE(EDATE('核心假设'!$B$5,2+$F5),$D5),SUM('融资租赁与资金缺口'!$D$5:$D$16)*$O5*'核心假设'!$B$32,0),0),IF(AND(CJ$4&gt;EDATE('核心假设'!$B$5,3+$F5),CJ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CJ$4=EDATE(EDATE('核心假设'!$B$5,3+$F5),$D5),SUM('融资租赁与资金缺口'!$D$5:$D$16)*$P5*'核心假设'!$B$32,0),0),IF(AND(CJ$4&gt;EDATE('核心假设'!$B$5,4+$F5),CJ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CJ$4=EDATE(EDATE('核心假设'!$B$5,4+$F5),$D5),SUM('融资租赁与资金缺口'!$D$5:$D$16)*$Q5*'核心假设'!$B$32,0),0),IF(AND(CJ$4&gt;EDATE('核心假设'!$B$5,5+$F5),CJ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CJ$4=EDATE(EDATE('核心假设'!$B$5,5+$F5),$D5),SUM('融资租赁与资金缺口'!$D$5:$D$16)*$R5*'核心假设'!$B$32,0),0),IF(AND(CJ$4&gt;EDATE('核心假设'!$B$5,6+$F5),CJ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CJ$4=EDATE(EDATE('核心假设'!$B$5,6+$F5),$D5),SUM('融资租赁与资金缺口'!$D$5:$D$16)*$S5*'核心假设'!$B$32,0),0),IF(AND(CJ$4&gt;EDATE('核心假设'!$B$5,7+$F5),CJ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CJ$4=EDATE(EDATE('核心假设'!$B$5,7+$F5),$D5),SUM('融资租赁与资金缺口'!$D$5:$D$16)*$T5*'核心假设'!$B$32,0),0),IF(AND(CJ$4&gt;EDATE('核心假设'!$B$5,8+$F5),CJ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CJ$4=EDATE(EDATE('核心假设'!$B$5,8+$F5),$D5),SUM('融资租赁与资金缺口'!$D$5:$D$16)*$U5*'核心假设'!$B$32,0),0),IF(AND(CJ$4&gt;EDATE('核心假设'!$B$5,9+$F5),CJ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CJ$4=EDATE(EDATE('核心假设'!$B$5,9+$F5),$D5),SUM('融资租赁与资金缺口'!$D$5:$D$16)*$V5*'核心假设'!$B$32,0),0),IF(AND(CJ$4&gt;EDATE('核心假设'!$B$5,10+$F5),CJ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CJ$4=EDATE(EDATE('核心假设'!$B$5,10+$F5),$D5),SUM('融资租赁与资金缺口'!$D$5:$D$16)*$W5*'核心假设'!$B$32,0),0),IF(AND(CJ$4&gt;EDATE('核心假设'!$B$5,11+$F5),CJ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CJ$4=EDATE(EDATE('核心假设'!$B$5,11+$F5),$D5),SUM('融资租赁与资金缺口'!$D$5:$D$16)*$X5*'核心假设'!$B$32,0),0),IF(AND(CJ$4&gt;EDATE('核心假设'!$B$5,12+$F5),CJ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CJ$4=EDATE(EDATE('核心假设'!$B$5,12+$F5),$D5),SUM('融资租赁与资金缺口'!$D$5:$D$16)*$Y5*'核心假设'!$B$32,0),0),IF(AND(CJ$4&gt;EDATE('核心假设'!$B$5,13+$F5),CJ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CJ$4=EDATE(EDATE('核心假设'!$B$5,13+$F5),$D5),SUM('融资租赁与资金缺口'!$D$5:$D$16)*$Z5*'核心假设'!$B$32,0),0),IF(AND(CJ$4&gt;EDATE('核心假设'!$B$5,14+$F5),CJ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CJ$4=EDATE(EDATE('核心假设'!$B$5,14+$F5),$D5),SUM('融资租赁与资金缺口'!$D$5:$D$16)*$AA5*'核心假设'!$B$32,0),0),IF(AND(CJ$4&gt;EDATE('核心假设'!$B$5,15+$F5),CJ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CJ$4=EDATE(EDATE('核心假设'!$B$5,15+$F5),$D5),SUM('融资租赁与资金缺口'!$D$5:$D$16)*$AB5*'核心假设'!$B$32,0),0),IF(AND(CJ$4&gt;EDATE('核心假设'!$B$5,16+$F5),CJ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CJ$4=EDATE(EDATE('核心假设'!$B$5,16+$F5),$D5),SUM('融资租赁与资金缺口'!$D$5:$D$16)*$AC5*'核心假设'!$B$32,0),0),IF(AND(CJ$4&gt;EDATE('核心假设'!$B$5,17+$F5),CJ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CJ$4=EDATE(EDATE('核心假设'!$B$5,17+$F5),$D5),SUM('融资租赁与资金缺口'!$D$5:$D$16)*$AD5*'核心假设'!$B$32,0),0))</x:f>
        <x:v>0</x:v>
      </x:c>
      <x:c r="CK7" s="28" t="n">
        <x:f>SUM(IF(AND(CK$4&gt;EDATE('核心假设'!$B$5,0+$F5),CK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CK$4=EDATE(EDATE('核心假设'!$B$5,0+$F5),$D5),SUM('融资租赁与资金缺口'!$D$5:$D$16)*$M5*'核心假设'!$B$32,0),0),IF(AND(CK$4&gt;EDATE('核心假设'!$B$5,1+$F5),CK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CK$4=EDATE(EDATE('核心假设'!$B$5,1+$F5),$D5),SUM('融资租赁与资金缺口'!$D$5:$D$16)*$N5*'核心假设'!$B$32,0),0),IF(AND(CK$4&gt;EDATE('核心假设'!$B$5,2+$F5),CK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CK$4=EDATE(EDATE('核心假设'!$B$5,2+$F5),$D5),SUM('融资租赁与资金缺口'!$D$5:$D$16)*$O5*'核心假设'!$B$32,0),0),IF(AND(CK$4&gt;EDATE('核心假设'!$B$5,3+$F5),CK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CK$4=EDATE(EDATE('核心假设'!$B$5,3+$F5),$D5),SUM('融资租赁与资金缺口'!$D$5:$D$16)*$P5*'核心假设'!$B$32,0),0),IF(AND(CK$4&gt;EDATE('核心假设'!$B$5,4+$F5),CK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CK$4=EDATE(EDATE('核心假设'!$B$5,4+$F5),$D5),SUM('融资租赁与资金缺口'!$D$5:$D$16)*$Q5*'核心假设'!$B$32,0),0),IF(AND(CK$4&gt;EDATE('核心假设'!$B$5,5+$F5),CK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CK$4=EDATE(EDATE('核心假设'!$B$5,5+$F5),$D5),SUM('融资租赁与资金缺口'!$D$5:$D$16)*$R5*'核心假设'!$B$32,0),0),IF(AND(CK$4&gt;EDATE('核心假设'!$B$5,6+$F5),CK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CK$4=EDATE(EDATE('核心假设'!$B$5,6+$F5),$D5),SUM('融资租赁与资金缺口'!$D$5:$D$16)*$S5*'核心假设'!$B$32,0),0),IF(AND(CK$4&gt;EDATE('核心假设'!$B$5,7+$F5),CK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CK$4=EDATE(EDATE('核心假设'!$B$5,7+$F5),$D5),SUM('融资租赁与资金缺口'!$D$5:$D$16)*$T5*'核心假设'!$B$32,0),0),IF(AND(CK$4&gt;EDATE('核心假设'!$B$5,8+$F5),CK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CK$4=EDATE(EDATE('核心假设'!$B$5,8+$F5),$D5),SUM('融资租赁与资金缺口'!$D$5:$D$16)*$U5*'核心假设'!$B$32,0),0),IF(AND(CK$4&gt;EDATE('核心假设'!$B$5,9+$F5),CK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CK$4=EDATE(EDATE('核心假设'!$B$5,9+$F5),$D5),SUM('融资租赁与资金缺口'!$D$5:$D$16)*$V5*'核心假设'!$B$32,0),0),IF(AND(CK$4&gt;EDATE('核心假设'!$B$5,10+$F5),CK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CK$4=EDATE(EDATE('核心假设'!$B$5,10+$F5),$D5),SUM('融资租赁与资金缺口'!$D$5:$D$16)*$W5*'核心假设'!$B$32,0),0),IF(AND(CK$4&gt;EDATE('核心假设'!$B$5,11+$F5),CK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CK$4=EDATE(EDATE('核心假设'!$B$5,11+$F5),$D5),SUM('融资租赁与资金缺口'!$D$5:$D$16)*$X5*'核心假设'!$B$32,0),0),IF(AND(CK$4&gt;EDATE('核心假设'!$B$5,12+$F5),CK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CK$4=EDATE(EDATE('核心假设'!$B$5,12+$F5),$D5),SUM('融资租赁与资金缺口'!$D$5:$D$16)*$Y5*'核心假设'!$B$32,0),0),IF(AND(CK$4&gt;EDATE('核心假设'!$B$5,13+$F5),CK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CK$4=EDATE(EDATE('核心假设'!$B$5,13+$F5),$D5),SUM('融资租赁与资金缺口'!$D$5:$D$16)*$Z5*'核心假设'!$B$32,0),0),IF(AND(CK$4&gt;EDATE('核心假设'!$B$5,14+$F5),CK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CK$4=EDATE(EDATE('核心假设'!$B$5,14+$F5),$D5),SUM('融资租赁与资金缺口'!$D$5:$D$16)*$AA5*'核心假设'!$B$32,0),0),IF(AND(CK$4&gt;EDATE('核心假设'!$B$5,15+$F5),CK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CK$4=EDATE(EDATE('核心假设'!$B$5,15+$F5),$D5),SUM('融资租赁与资金缺口'!$D$5:$D$16)*$AB5*'核心假设'!$B$32,0),0),IF(AND(CK$4&gt;EDATE('核心假设'!$B$5,16+$F5),CK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CK$4=EDATE(EDATE('核心假设'!$B$5,16+$F5),$D5),SUM('融资租赁与资金缺口'!$D$5:$D$16)*$AC5*'核心假设'!$B$32,0),0),IF(AND(CK$4&gt;EDATE('核心假设'!$B$5,17+$F5),CK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CK$4=EDATE(EDATE('核心假设'!$B$5,17+$F5),$D5),SUM('融资租赁与资金缺口'!$D$5:$D$16)*$AD5*'核心假设'!$B$32,0),0))</x:f>
        <x:v>0</x:v>
      </x:c>
      <x:c r="CL7" s="28" t="n">
        <x:f>SUM(IF(AND(CL$4&gt;EDATE('核心假设'!$B$5,0+$F5),CL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CL$4=EDATE(EDATE('核心假设'!$B$5,0+$F5),$D5),SUM('融资租赁与资金缺口'!$D$5:$D$16)*$M5*'核心假设'!$B$32,0),0),IF(AND(CL$4&gt;EDATE('核心假设'!$B$5,1+$F5),CL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CL$4=EDATE(EDATE('核心假设'!$B$5,1+$F5),$D5),SUM('融资租赁与资金缺口'!$D$5:$D$16)*$N5*'核心假设'!$B$32,0),0),IF(AND(CL$4&gt;EDATE('核心假设'!$B$5,2+$F5),CL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CL$4=EDATE(EDATE('核心假设'!$B$5,2+$F5),$D5),SUM('融资租赁与资金缺口'!$D$5:$D$16)*$O5*'核心假设'!$B$32,0),0),IF(AND(CL$4&gt;EDATE('核心假设'!$B$5,3+$F5),CL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CL$4=EDATE(EDATE('核心假设'!$B$5,3+$F5),$D5),SUM('融资租赁与资金缺口'!$D$5:$D$16)*$P5*'核心假设'!$B$32,0),0),IF(AND(CL$4&gt;EDATE('核心假设'!$B$5,4+$F5),CL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CL$4=EDATE(EDATE('核心假设'!$B$5,4+$F5),$D5),SUM('融资租赁与资金缺口'!$D$5:$D$16)*$Q5*'核心假设'!$B$32,0),0),IF(AND(CL$4&gt;EDATE('核心假设'!$B$5,5+$F5),CL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CL$4=EDATE(EDATE('核心假设'!$B$5,5+$F5),$D5),SUM('融资租赁与资金缺口'!$D$5:$D$16)*$R5*'核心假设'!$B$32,0),0),IF(AND(CL$4&gt;EDATE('核心假设'!$B$5,6+$F5),CL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CL$4=EDATE(EDATE('核心假设'!$B$5,6+$F5),$D5),SUM('融资租赁与资金缺口'!$D$5:$D$16)*$S5*'核心假设'!$B$32,0),0),IF(AND(CL$4&gt;EDATE('核心假设'!$B$5,7+$F5),CL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CL$4=EDATE(EDATE('核心假设'!$B$5,7+$F5),$D5),SUM('融资租赁与资金缺口'!$D$5:$D$16)*$T5*'核心假设'!$B$32,0),0),IF(AND(CL$4&gt;EDATE('核心假设'!$B$5,8+$F5),CL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CL$4=EDATE(EDATE('核心假设'!$B$5,8+$F5),$D5),SUM('融资租赁与资金缺口'!$D$5:$D$16)*$U5*'核心假设'!$B$32,0),0),IF(AND(CL$4&gt;EDATE('核心假设'!$B$5,9+$F5),CL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CL$4=EDATE(EDATE('核心假设'!$B$5,9+$F5),$D5),SUM('融资租赁与资金缺口'!$D$5:$D$16)*$V5*'核心假设'!$B$32,0),0),IF(AND(CL$4&gt;EDATE('核心假设'!$B$5,10+$F5),CL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CL$4=EDATE(EDATE('核心假设'!$B$5,10+$F5),$D5),SUM('融资租赁与资金缺口'!$D$5:$D$16)*$W5*'核心假设'!$B$32,0),0),IF(AND(CL$4&gt;EDATE('核心假设'!$B$5,11+$F5),CL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CL$4=EDATE(EDATE('核心假设'!$B$5,11+$F5),$D5),SUM('融资租赁与资金缺口'!$D$5:$D$16)*$X5*'核心假设'!$B$32,0),0),IF(AND(CL$4&gt;EDATE('核心假设'!$B$5,12+$F5),CL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CL$4=EDATE(EDATE('核心假设'!$B$5,12+$F5),$D5),SUM('融资租赁与资金缺口'!$D$5:$D$16)*$Y5*'核心假设'!$B$32,0),0),IF(AND(CL$4&gt;EDATE('核心假设'!$B$5,13+$F5),CL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CL$4=EDATE(EDATE('核心假设'!$B$5,13+$F5),$D5),SUM('融资租赁与资金缺口'!$D$5:$D$16)*$Z5*'核心假设'!$B$32,0),0),IF(AND(CL$4&gt;EDATE('核心假设'!$B$5,14+$F5),CL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CL$4=EDATE(EDATE('核心假设'!$B$5,14+$F5),$D5),SUM('融资租赁与资金缺口'!$D$5:$D$16)*$AA5*'核心假设'!$B$32,0),0),IF(AND(CL$4&gt;EDATE('核心假设'!$B$5,15+$F5),CL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CL$4=EDATE(EDATE('核心假设'!$B$5,15+$F5),$D5),SUM('融资租赁与资金缺口'!$D$5:$D$16)*$AB5*'核心假设'!$B$32,0),0),IF(AND(CL$4&gt;EDATE('核心假设'!$B$5,16+$F5),CL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CL$4=EDATE(EDATE('核心假设'!$B$5,16+$F5),$D5),SUM('融资租赁与资金缺口'!$D$5:$D$16)*$AC5*'核心假设'!$B$32,0),0),IF(AND(CL$4&gt;EDATE('核心假设'!$B$5,17+$F5),CL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CL$4=EDATE(EDATE('核心假设'!$B$5,17+$F5),$D5),SUM('融资租赁与资金缺口'!$D$5:$D$16)*$AD5*'核心假设'!$B$32,0),0))</x:f>
        <x:v>0</x:v>
      </x:c>
      <x:c r="CM7" s="28" t="n">
        <x:f>SUM(IF(AND(CM$4&gt;EDATE('核心假设'!$B$5,0+$F5),CM$4&lt;=EDATE(EDATE('核心假设'!$B$5,0+$F5),$D5)),IF($E5/12=0,(SUM('融资租赁与资金缺口'!$D$5:$D$16)*$M5*$C5-SUM('融资租赁与资金缺口'!$D$5:$D$16)*$M5*'核心假设'!$B$32)/$D5,(SUM('融资租赁与资金缺口'!$D$5:$D$16)*$M5*$C5-SUM('融资租赁与资金缺口'!$D$5:$D$16)*$M5*'核心假设'!$B$32/(1+$E5/12)^$D5)*$E5/12/(1-(1+$E5/12)^-$D5))+IF(CM$4=EDATE(EDATE('核心假设'!$B$5,0+$F5),$D5),SUM('融资租赁与资金缺口'!$D$5:$D$16)*$M5*'核心假设'!$B$32,0),0),IF(AND(CM$4&gt;EDATE('核心假设'!$B$5,1+$F5),CM$4&lt;=EDATE(EDATE('核心假设'!$B$5,1+$F5),$D5)),IF($E5/12=0,(SUM('融资租赁与资金缺口'!$D$5:$D$16)*$N5*$C5-SUM('融资租赁与资金缺口'!$D$5:$D$16)*$N5*'核心假设'!$B$32)/$D5,(SUM('融资租赁与资金缺口'!$D$5:$D$16)*$N5*$C5-SUM('融资租赁与资金缺口'!$D$5:$D$16)*$N5*'核心假设'!$B$32/(1+$E5/12)^$D5)*$E5/12/(1-(1+$E5/12)^-$D5))+IF(CM$4=EDATE(EDATE('核心假设'!$B$5,1+$F5),$D5),SUM('融资租赁与资金缺口'!$D$5:$D$16)*$N5*'核心假设'!$B$32,0),0),IF(AND(CM$4&gt;EDATE('核心假设'!$B$5,2+$F5),CM$4&lt;=EDATE(EDATE('核心假设'!$B$5,2+$F5),$D5)),IF($E5/12=0,(SUM('融资租赁与资金缺口'!$D$5:$D$16)*$O5*$C5-SUM('融资租赁与资金缺口'!$D$5:$D$16)*$O5*'核心假设'!$B$32)/$D5,(SUM('融资租赁与资金缺口'!$D$5:$D$16)*$O5*$C5-SUM('融资租赁与资金缺口'!$D$5:$D$16)*$O5*'核心假设'!$B$32/(1+$E5/12)^$D5)*$E5/12/(1-(1+$E5/12)^-$D5))+IF(CM$4=EDATE(EDATE('核心假设'!$B$5,2+$F5),$D5),SUM('融资租赁与资金缺口'!$D$5:$D$16)*$O5*'核心假设'!$B$32,0),0),IF(AND(CM$4&gt;EDATE('核心假设'!$B$5,3+$F5),CM$4&lt;=EDATE(EDATE('核心假设'!$B$5,3+$F5),$D5)),IF($E5/12=0,(SUM('融资租赁与资金缺口'!$D$5:$D$16)*$P5*$C5-SUM('融资租赁与资金缺口'!$D$5:$D$16)*$P5*'核心假设'!$B$32)/$D5,(SUM('融资租赁与资金缺口'!$D$5:$D$16)*$P5*$C5-SUM('融资租赁与资金缺口'!$D$5:$D$16)*$P5*'核心假设'!$B$32/(1+$E5/12)^$D5)*$E5/12/(1-(1+$E5/12)^-$D5))+IF(CM$4=EDATE(EDATE('核心假设'!$B$5,3+$F5),$D5),SUM('融资租赁与资金缺口'!$D$5:$D$16)*$P5*'核心假设'!$B$32,0),0),IF(AND(CM$4&gt;EDATE('核心假设'!$B$5,4+$F5),CM$4&lt;=EDATE(EDATE('核心假设'!$B$5,4+$F5),$D5)),IF($E5/12=0,(SUM('融资租赁与资金缺口'!$D$5:$D$16)*$Q5*$C5-SUM('融资租赁与资金缺口'!$D$5:$D$16)*$Q5*'核心假设'!$B$32)/$D5,(SUM('融资租赁与资金缺口'!$D$5:$D$16)*$Q5*$C5-SUM('融资租赁与资金缺口'!$D$5:$D$16)*$Q5*'核心假设'!$B$32/(1+$E5/12)^$D5)*$E5/12/(1-(1+$E5/12)^-$D5))+IF(CM$4=EDATE(EDATE('核心假设'!$B$5,4+$F5),$D5),SUM('融资租赁与资金缺口'!$D$5:$D$16)*$Q5*'核心假设'!$B$32,0),0),IF(AND(CM$4&gt;EDATE('核心假设'!$B$5,5+$F5),CM$4&lt;=EDATE(EDATE('核心假设'!$B$5,5+$F5),$D5)),IF($E5/12=0,(SUM('融资租赁与资金缺口'!$D$5:$D$16)*$R5*$C5-SUM('融资租赁与资金缺口'!$D$5:$D$16)*$R5*'核心假设'!$B$32)/$D5,(SUM('融资租赁与资金缺口'!$D$5:$D$16)*$R5*$C5-SUM('融资租赁与资金缺口'!$D$5:$D$16)*$R5*'核心假设'!$B$32/(1+$E5/12)^$D5)*$E5/12/(1-(1+$E5/12)^-$D5))+IF(CM$4=EDATE(EDATE('核心假设'!$B$5,5+$F5),$D5),SUM('融资租赁与资金缺口'!$D$5:$D$16)*$R5*'核心假设'!$B$32,0),0),IF(AND(CM$4&gt;EDATE('核心假设'!$B$5,6+$F5),CM$4&lt;=EDATE(EDATE('核心假设'!$B$5,6+$F5),$D5)),IF($E5/12=0,(SUM('融资租赁与资金缺口'!$D$5:$D$16)*$S5*$C5-SUM('融资租赁与资金缺口'!$D$5:$D$16)*$S5*'核心假设'!$B$32)/$D5,(SUM('融资租赁与资金缺口'!$D$5:$D$16)*$S5*$C5-SUM('融资租赁与资金缺口'!$D$5:$D$16)*$S5*'核心假设'!$B$32/(1+$E5/12)^$D5)*$E5/12/(1-(1+$E5/12)^-$D5))+IF(CM$4=EDATE(EDATE('核心假设'!$B$5,6+$F5),$D5),SUM('融资租赁与资金缺口'!$D$5:$D$16)*$S5*'核心假设'!$B$32,0),0),IF(AND(CM$4&gt;EDATE('核心假设'!$B$5,7+$F5),CM$4&lt;=EDATE(EDATE('核心假设'!$B$5,7+$F5),$D5)),IF($E5/12=0,(SUM('融资租赁与资金缺口'!$D$5:$D$16)*$T5*$C5-SUM('融资租赁与资金缺口'!$D$5:$D$16)*$T5*'核心假设'!$B$32)/$D5,(SUM('融资租赁与资金缺口'!$D$5:$D$16)*$T5*$C5-SUM('融资租赁与资金缺口'!$D$5:$D$16)*$T5*'核心假设'!$B$32/(1+$E5/12)^$D5)*$E5/12/(1-(1+$E5/12)^-$D5))+IF(CM$4=EDATE(EDATE('核心假设'!$B$5,7+$F5),$D5),SUM('融资租赁与资金缺口'!$D$5:$D$16)*$T5*'核心假设'!$B$32,0),0),IF(AND(CM$4&gt;EDATE('核心假设'!$B$5,8+$F5),CM$4&lt;=EDATE(EDATE('核心假设'!$B$5,8+$F5),$D5)),IF($E5/12=0,(SUM('融资租赁与资金缺口'!$D$5:$D$16)*$U5*$C5-SUM('融资租赁与资金缺口'!$D$5:$D$16)*$U5*'核心假设'!$B$32)/$D5,(SUM('融资租赁与资金缺口'!$D$5:$D$16)*$U5*$C5-SUM('融资租赁与资金缺口'!$D$5:$D$16)*$U5*'核心假设'!$B$32/(1+$E5/12)^$D5)*$E5/12/(1-(1+$E5/12)^-$D5))+IF(CM$4=EDATE(EDATE('核心假设'!$B$5,8+$F5),$D5),SUM('融资租赁与资金缺口'!$D$5:$D$16)*$U5*'核心假设'!$B$32,0),0),IF(AND(CM$4&gt;EDATE('核心假设'!$B$5,9+$F5),CM$4&lt;=EDATE(EDATE('核心假设'!$B$5,9+$F5),$D5)),IF($E5/12=0,(SUM('融资租赁与资金缺口'!$D$5:$D$16)*$V5*$C5-SUM('融资租赁与资金缺口'!$D$5:$D$16)*$V5*'核心假设'!$B$32)/$D5,(SUM('融资租赁与资金缺口'!$D$5:$D$16)*$V5*$C5-SUM('融资租赁与资金缺口'!$D$5:$D$16)*$V5*'核心假设'!$B$32/(1+$E5/12)^$D5)*$E5/12/(1-(1+$E5/12)^-$D5))+IF(CM$4=EDATE(EDATE('核心假设'!$B$5,9+$F5),$D5),SUM('融资租赁与资金缺口'!$D$5:$D$16)*$V5*'核心假设'!$B$32,0),0),IF(AND(CM$4&gt;EDATE('核心假设'!$B$5,10+$F5),CM$4&lt;=EDATE(EDATE('核心假设'!$B$5,10+$F5),$D5)),IF($E5/12=0,(SUM('融资租赁与资金缺口'!$D$5:$D$16)*$W5*$C5-SUM('融资租赁与资金缺口'!$D$5:$D$16)*$W5*'核心假设'!$B$32)/$D5,(SUM('融资租赁与资金缺口'!$D$5:$D$16)*$W5*$C5-SUM('融资租赁与资金缺口'!$D$5:$D$16)*$W5*'核心假设'!$B$32/(1+$E5/12)^$D5)*$E5/12/(1-(1+$E5/12)^-$D5))+IF(CM$4=EDATE(EDATE('核心假设'!$B$5,10+$F5),$D5),SUM('融资租赁与资金缺口'!$D$5:$D$16)*$W5*'核心假设'!$B$32,0),0),IF(AND(CM$4&gt;EDATE('核心假设'!$B$5,11+$F5),CM$4&lt;=EDATE(EDATE('核心假设'!$B$5,11+$F5),$D5)),IF($E5/12=0,(SUM('融资租赁与资金缺口'!$D$5:$D$16)*$X5*$C5-SUM('融资租赁与资金缺口'!$D$5:$D$16)*$X5*'核心假设'!$B$32)/$D5,(SUM('融资租赁与资金缺口'!$D$5:$D$16)*$X5*$C5-SUM('融资租赁与资金缺口'!$D$5:$D$16)*$X5*'核心假设'!$B$32/(1+$E5/12)^$D5)*$E5/12/(1-(1+$E5/12)^-$D5))+IF(CM$4=EDATE(EDATE('核心假设'!$B$5,11+$F5),$D5),SUM('融资租赁与资金缺口'!$D$5:$D$16)*$X5*'核心假设'!$B$32,0),0),IF(AND(CM$4&gt;EDATE('核心假设'!$B$5,12+$F5),CM$4&lt;=EDATE(EDATE('核心假设'!$B$5,12+$F5),$D5)),IF($E5/12=0,(SUM('融资租赁与资金缺口'!$D$5:$D$16)*$Y5*$C5-SUM('融资租赁与资金缺口'!$D$5:$D$16)*$Y5*'核心假设'!$B$32)/$D5,(SUM('融资租赁与资金缺口'!$D$5:$D$16)*$Y5*$C5-SUM('融资租赁与资金缺口'!$D$5:$D$16)*$Y5*'核心假设'!$B$32/(1+$E5/12)^$D5)*$E5/12/(1-(1+$E5/12)^-$D5))+IF(CM$4=EDATE(EDATE('核心假设'!$B$5,12+$F5),$D5),SUM('融资租赁与资金缺口'!$D$5:$D$16)*$Y5*'核心假设'!$B$32,0),0),IF(AND(CM$4&gt;EDATE('核心假设'!$B$5,13+$F5),CM$4&lt;=EDATE(EDATE('核心假设'!$B$5,13+$F5),$D5)),IF($E5/12=0,(SUM('融资租赁与资金缺口'!$D$5:$D$16)*$Z5*$C5-SUM('融资租赁与资金缺口'!$D$5:$D$16)*$Z5*'核心假设'!$B$32)/$D5,(SUM('融资租赁与资金缺口'!$D$5:$D$16)*$Z5*$C5-SUM('融资租赁与资金缺口'!$D$5:$D$16)*$Z5*'核心假设'!$B$32/(1+$E5/12)^$D5)*$E5/12/(1-(1+$E5/12)^-$D5))+IF(CM$4=EDATE(EDATE('核心假设'!$B$5,13+$F5),$D5),SUM('融资租赁与资金缺口'!$D$5:$D$16)*$Z5*'核心假设'!$B$32,0),0),IF(AND(CM$4&gt;EDATE('核心假设'!$B$5,14+$F5),CM$4&lt;=EDATE(EDATE('核心假设'!$B$5,14+$F5),$D5)),IF($E5/12=0,(SUM('融资租赁与资金缺口'!$D$5:$D$16)*$AA5*$C5-SUM('融资租赁与资金缺口'!$D$5:$D$16)*$AA5*'核心假设'!$B$32)/$D5,(SUM('融资租赁与资金缺口'!$D$5:$D$16)*$AA5*$C5-SUM('融资租赁与资金缺口'!$D$5:$D$16)*$AA5*'核心假设'!$B$32/(1+$E5/12)^$D5)*$E5/12/(1-(1+$E5/12)^-$D5))+IF(CM$4=EDATE(EDATE('核心假设'!$B$5,14+$F5),$D5),SUM('融资租赁与资金缺口'!$D$5:$D$16)*$AA5*'核心假设'!$B$32,0),0),IF(AND(CM$4&gt;EDATE('核心假设'!$B$5,15+$F5),CM$4&lt;=EDATE(EDATE('核心假设'!$B$5,15+$F5),$D5)),IF($E5/12=0,(SUM('融资租赁与资金缺口'!$D$5:$D$16)*$AB5*$C5-SUM('融资租赁与资金缺口'!$D$5:$D$16)*$AB5*'核心假设'!$B$32)/$D5,(SUM('融资租赁与资金缺口'!$D$5:$D$16)*$AB5*$C5-SUM('融资租赁与资金缺口'!$D$5:$D$16)*$AB5*'核心假设'!$B$32/(1+$E5/12)^$D5)*$E5/12/(1-(1+$E5/12)^-$D5))+IF(CM$4=EDATE(EDATE('核心假设'!$B$5,15+$F5),$D5),SUM('融资租赁与资金缺口'!$D$5:$D$16)*$AB5*'核心假设'!$B$32,0),0),IF(AND(CM$4&gt;EDATE('核心假设'!$B$5,16+$F5),CM$4&lt;=EDATE(EDATE('核心假设'!$B$5,16+$F5),$D5)),IF($E5/12=0,(SUM('融资租赁与资金缺口'!$D$5:$D$16)*$AC5*$C5-SUM('融资租赁与资金缺口'!$D$5:$D$16)*$AC5*'核心假设'!$B$32)/$D5,(SUM('融资租赁与资金缺口'!$D$5:$D$16)*$AC5*$C5-SUM('融资租赁与资金缺口'!$D$5:$D$16)*$AC5*'核心假设'!$B$32/(1+$E5/12)^$D5)*$E5/12/(1-(1+$E5/12)^-$D5))+IF(CM$4=EDATE(EDATE('核心假设'!$B$5,16+$F5),$D5),SUM('融资租赁与资金缺口'!$D$5:$D$16)*$AC5*'核心假设'!$B$32,0),0),IF(AND(CM$4&gt;EDATE('核心假设'!$B$5,17+$F5),CM$4&lt;=EDATE(EDATE('核心假设'!$B$5,17+$F5),$D5)),IF($E5/12=0,(SUM('融资租赁与资金缺口'!$D$5:$D$16)*$AD5*$C5-SUM('融资租赁与资金缺口'!$D$5:$D$16)*$AD5*'核心假设'!$B$32)/$D5,(SUM('融资租赁与资金缺口'!$D$5:$D$16)*$AD5*$C5-SUM('融资租赁与资金缺口'!$D$5:$D$16)*$AD5*'核心假设'!$B$32/(1+$E5/12)^$D5)*$E5/12/(1-(1+$E5/12)^-$D5))+IF(CM$4=EDATE(EDATE('核心假设'!$B$5,17+$F5),$D5),SUM('融资租赁与资金缺口'!$D$5:$D$16)*$AD5*'核心假设'!$B$32,0),0))</x:f>
        <x:v>0</x:v>
      </x:c>
    </x:row>
    <x:row r="8">
      <x:c r="A8" t="str">
        <x:v>放款延迟</x:v>
      </x:c>
      <x:c r="B8" s="28" t="n">
        <x:f>'36月运营模型'!$B$23</x:f>
        <x:v>57.8045127253589</x:v>
      </x:c>
      <x:c r="C8" s="49" t="n">
        <x:f>'核心假设'!$B$27</x:f>
        <x:v>1</x:v>
      </x:c>
      <x:c r="D8" s="25" t="n">
        <x:f>'核心假设'!$B$28</x:f>
        <x:v>36</x:v>
      </x:c>
      <x:c r="E8" s="49" t="n">
        <x:f>'核心假设'!$B$29</x:f>
        <x:v>0.08</x:v>
      </x:c>
      <x:c r="F8" s="18" t="n">
        <x:f>2</x:f>
        <x:v>2</x:v>
      </x:c>
      <x:c r="G8" s="25" t="str">
        <x:f>'核心假设'!$B$33</x:f>
        <x:v>分成</x:v>
      </x:c>
      <x:c r="H8" s="49" t="n">
        <x:f>'核心假设'!$B$36</x:f>
        <x:v>0.1</x:v>
      </x:c>
      <x:c r="I8" s="35" t="n">
        <x:f>SUM(AF23:BO23)</x:f>
        <x:v>1547192645.9628906</x:v>
      </x:c>
      <x:c r="J8" s="115" t="n">
        <x:f>IF(SUM(AF25:CM25)=0,"",SUM(AF24:CM24)/SUM(AF25:CM25))</x:f>
        <x:v>3.210520346327926</x:v>
      </x:c>
      <x:c r="K8" s="35" t="n">
        <x:f>MAX(0,-MIN(AF28:CM28))</x:f>
        <x:v>56184583.94938567</x:v>
      </x:c>
      <x:c r="L8" s="18" t="n">
        <x:f>12</x:f>
        <x:v>12</x:v>
      </x:c>
      <x:c r="M8" s="22" t="n">
        <x:f>'核心假设'!B$55</x:f>
        <x:v>0.05</x:v>
      </x:c>
      <x:c r="N8" s="22" t="n">
        <x:f>'核心假设'!C$55</x:f>
        <x:v>0.06</x:v>
      </x:c>
      <x:c r="O8" s="22" t="n">
        <x:f>'核心假设'!D$55</x:f>
        <x:v>0.07</x:v>
      </x:c>
      <x:c r="P8" s="22" t="n">
        <x:f>'核心假设'!E$55</x:f>
        <x:v>0.08</x:v>
      </x:c>
      <x:c r="Q8" s="22" t="n">
        <x:f>'核心假设'!F$55</x:f>
        <x:v>0.09</x:v>
      </x:c>
      <x:c r="R8" s="22" t="n">
        <x:f>'核心假设'!G$55</x:f>
        <x:v>0.1</x:v>
      </x:c>
      <x:c r="S8" s="22" t="n">
        <x:f>'核心假设'!H$55</x:f>
        <x:v>0.11</x:v>
      </x:c>
      <x:c r="T8" s="22" t="n">
        <x:f>'核心假设'!I$55</x:f>
        <x:v>0.11</x:v>
      </x:c>
      <x:c r="U8" s="22" t="n">
        <x:f>'核心假设'!J$55</x:f>
        <x:v>0.1</x:v>
      </x:c>
      <x:c r="V8" s="22" t="n">
        <x:f>'核心假设'!K$55</x:f>
        <x:v>0.09</x:v>
      </x:c>
      <x:c r="W8" s="22" t="n">
        <x:f>'核心假设'!L$55</x:f>
        <x:v>0.08</x:v>
      </x:c>
      <x:c r="X8" s="22" t="n">
        <x:f>'核心假设'!M$55</x:f>
        <x:v>0.06</x:v>
      </x:c>
      <x:c r="Y8" s="22" t="n">
        <x:f>0</x:f>
        <x:v>0</x:v>
      </x:c>
      <x:c r="Z8" s="22" t="n">
        <x:f>0</x:f>
        <x:v>0</x:v>
      </x:c>
      <x:c r="AA8" s="22" t="n">
        <x:f>0</x:f>
        <x:v>0</x:v>
      </x:c>
      <x:c r="AB8" s="22" t="n">
        <x:f>0</x:f>
        <x:v>0</x:v>
      </x:c>
      <x:c r="AC8" s="22" t="n">
        <x:f>0</x:f>
        <x:v>0</x:v>
      </x:c>
      <x:c r="AD8" s="22" t="n">
        <x:f>0</x:f>
        <x:v>0</x:v>
      </x:c>
      <x:c r="AE8" t="str">
        <x:v>DSCR</x:v>
      </x:c>
      <x:c r="AF8" s="28" t="str">
        <x:f>IF(AF7=0,"",AF6/AF7)</x:f>
      </x:c>
      <x:c r="AG8" s="28" t="str">
        <x:f>IF(AG7=0,"",AG6/AG7)</x:f>
      </x:c>
      <x:c r="AH8" s="28" t="n">
        <x:f>IF(AH7=0,"",AH6/AH7)</x:f>
        <x:v>5.819176059597932</x:v>
      </x:c>
      <x:c r="AI8" s="28" t="n">
        <x:f>IF(AI7=0,"",AI6/AI7)</x:f>
        <x:v>4.4623464710534035</x:v>
      </x:c>
      <x:c r="AJ8" s="28" t="n">
        <x:f>IF(AJ7=0,"",AJ6/AJ7)</x:f>
        <x:v>3.4926220942953856</x:v>
      </x:c>
      <x:c r="AK8" s="28" t="n">
        <x:f>IF(AK7=0,"",AK6/AK7)</x:f>
        <x:v>2.6263840872072226</x:v>
      </x:c>
      <x:c r="AL8" s="28" t="n">
        <x:f>IF(AL7=0,"",AL6/AL7)</x:f>
        <x:v>2.621337514957001</x:v>
      </x:c>
      <x:c r="AM8" s="28" t="n">
        <x:f>IF(AM7=0,"",AM6/AM7)</x:f>
        <x:v>2.5270395083614927</x:v>
      </x:c>
      <x:c r="AN8" s="28" t="n">
        <x:f>IF(AN7=0,"",AN6/AN7)</x:f>
        <x:v>2.4524055669585576</x:v>
      </x:c>
      <x:c r="AO8" s="28" t="n">
        <x:f>IF(AO7=0,"",AO6/AO7)</x:f>
        <x:v>2.5161249795556073</x:v>
      </x:c>
      <x:c r="AP8" s="28" t="n">
        <x:f>IF(AP7=0,"",AP6/AP7)</x:f>
        <x:v>2.6114201625383373</x:v>
      </x:c>
      <x:c r="AQ8" s="28" t="n">
        <x:f>IF(AQ7=0,"",AQ6/AQ7)</x:f>
        <x:v>2.6247880120254874</x:v>
      </x:c>
      <x:c r="AR8" s="28" t="n">
        <x:f>IF(AR7=0,"",AR6/AR7)</x:f>
        <x:v>2.318109370759401</x:v>
      </x:c>
      <x:c r="AS8" s="28" t="n">
        <x:f>IF(AS7=0,"",AS6/AS7)</x:f>
        <x:v>2.1626206626393456</x:v>
      </x:c>
      <x:c r="AT8" s="28" t="n">
        <x:f>IF(AT7=0,"",AT6/AT7)</x:f>
        <x:v>2.2306092633084265</x:v>
      </x:c>
      <x:c r="AU8" s="28" t="n">
        <x:f>IF(AU7=0,"",AU6/AU7)</x:f>
        <x:v>2.480883884630916</x:v>
      </x:c>
      <x:c r="AV8" s="28" t="n">
        <x:f>IF(AV7=0,"",AV6/AV7)</x:f>
        <x:v>2.2679364248671328</x:v>
      </x:c>
      <x:c r="AW8" s="28" t="n">
        <x:f>IF(AW7=0,"",AW6/AW7)</x:f>
        <x:v>1.9213466854447998</x:v>
      </x:c>
      <x:c r="AX8" s="28" t="n">
        <x:f>IF(AX7=0,"",AX6/AX7)</x:f>
        <x:v>1.9562220260873144</x:v>
      </x:c>
      <x:c r="AY8" s="28" t="n">
        <x:f>IF(AY7=0,"",AY6/AY7)</x:f>
        <x:v>1.9814737389138724</x:v>
      </x:c>
      <x:c r="AZ8" s="28" t="n">
        <x:f>IF(AZ7=0,"",AZ6/AZ7)</x:f>
        <x:v>2.0336844624563786</x:v>
      </x:c>
      <x:c r="BA8" s="28" t="n">
        <x:f>IF(BA7=0,"",BA6/BA7)</x:f>
        <x:v>2.187366986249198</x:v>
      </x:c>
      <x:c r="BB8" s="28" t="n">
        <x:f>IF(BB7=0,"",BB6/BB7)</x:f>
        <x:v>2.342490127160437</x:v>
      </x:c>
      <x:c r="BC8" s="28" t="n">
        <x:f>IF(BC7=0,"",BC6/BC7)</x:f>
        <x:v>2.4240954578414082</x:v>
      </x:c>
      <x:c r="BD8" s="28" t="n">
        <x:f>IF(BD7=0,"",BD6/BD7)</x:f>
        <x:v>2.2632143835831298</x:v>
      </x:c>
      <x:c r="BE8" s="28" t="n">
        <x:f>IF(BE7=0,"",BE6/BE7)</x:f>
        <x:v>2.202485652957883</x:v>
      </x:c>
      <x:c r="BF8" s="28" t="n">
        <x:f>IF(BF7=0,"",BF6/BF7)</x:f>
        <x:v>2.2467861233968835</x:v>
      </x:c>
      <x:c r="BG8" s="28" t="n">
        <x:f>IF(BG7=0,"",BG6/BG7)</x:f>
        <x:v>2.485357528181643</x:v>
      </x:c>
      <x:c r="BH8" s="28" t="n">
        <x:f>IF(BH7=0,"",BH6/BH7)</x:f>
        <x:v>2.2679364248671328</x:v>
      </x:c>
      <x:c r="BI8" s="28" t="n">
        <x:f>IF(BI7=0,"",BI6/BI7)</x:f>
        <x:v>1.8550933514639445</x:v>
      </x:c>
      <x:c r="BJ8" s="28" t="n">
        <x:f>IF(BJ7=0,"",BJ6/BJ7)</x:f>
        <x:v>1.9562220260873144</x:v>
      </x:c>
      <x:c r="BK8" s="28" t="n">
        <x:f>IF(BK7=0,"",BK6/BK7)</x:f>
        <x:v>1.9814737389138724</x:v>
      </x:c>
      <x:c r="BL8" s="28" t="n">
        <x:f>IF(BL7=0,"",BL6/BL7)</x:f>
        <x:v>2.0336844624563786</x:v>
      </x:c>
      <x:c r="BM8" s="28" t="n">
        <x:f>IF(BM7=0,"",BM6/BM7)</x:f>
        <x:v>2.187366986249198</x:v>
      </x:c>
      <x:c r="BN8" s="28" t="n">
        <x:f>IF(BN7=0,"",BN6/BN7)</x:f>
        <x:v>2.342490127160437</x:v>
      </x:c>
      <x:c r="BO8" s="28" t="n">
        <x:f>IF(BO7=0,"",BO6/BO7)</x:f>
        <x:v>2.4240954578414082</x:v>
      </x:c>
      <x:c r="BP8" s="28" t="n">
        <x:f>IF(BP7=0,"",BP6/BP7)</x:f>
        <x:v>2.2632143835831298</x:v>
      </x:c>
      <x:c r="BQ8" s="28" t="n">
        <x:f>IF(BQ7=0,"",BQ6/BQ7)</x:f>
        <x:v>2.167624798770593</x:v>
      </x:c>
      <x:c r="BR8" s="28" t="n">
        <x:f>IF(BR7=0,"",BR6/BR7)</x:f>
        <x:v>2.317949453165023</x:v>
      </x:c>
      <x:c r="BS8" s="28" t="n">
        <x:f>IF(BS7=0,"",BS6/BS7)</x:f>
        <x:v>2.723633163810881</x:v>
      </x:c>
      <x:c r="BT8" s="28" t="n">
        <x:f>IF(BT7=0,"",BT6/BT7)</x:f>
        <x:v>2.6816253478988545</x:v>
      </x:c>
      <x:c r="BU8" s="28" t="n">
        <x:f>IF(BU7=0,"",BU6/BU7)</x:f>
        <x:v>2.412506552320217</x:v>
      </x:c>
      <x:c r="BV8" s="28" t="n">
        <x:f>IF(BV7=0,"",BV6/BV7)</x:f>
        <x:v>2.8676668416681905</x:v>
      </x:c>
      <x:c r="BW8" s="28" t="n">
        <x:f>IF(BW7=0,"",BW6/BW7)</x:f>
        <x:v>3.38492699458372</x:v>
      </x:c>
      <x:c r="BX8" s="28" t="n">
        <x:f>IF(BX7=0,"",BX6/BX7)</x:f>
        <x:v>4.278004801018714</x:v>
      </x:c>
      <x:c r="BY8" s="28" t="n">
        <x:f>IF(BY7=0,"",BY6/BY7)</x:f>
        <x:v>6.039696901145042</x:v>
      </x:c>
      <x:c r="BZ8" s="28" t="n">
        <x:f>IF(BZ7=0,"",BZ6/BZ7)</x:f>
        <x:v>9.046161356847172</x:v>
      </x:c>
      <x:c r="CA8" s="28" t="n">
        <x:f>IF(CA7=0,"",CA6/CA7)</x:f>
        <x:v>14.626596865082783</x:v>
      </x:c>
      <x:c r="CB8" s="28" t="n">
        <x:f>IF(CB7=0,"",CB6/CB7)</x:f>
        <x:v>28.54025820603626</x:v>
      </x:c>
      <x:c r="CC8" s="28" t="str">
        <x:f>IF(CC7=0,"",CC6/CC7)</x:f>
      </x:c>
      <x:c r="CD8" s="28" t="str">
        <x:f>IF(CD7=0,"",CD6/CD7)</x:f>
      </x:c>
      <x:c r="CE8" s="28" t="str">
        <x:f>IF(CE7=0,"",CE6/CE7)</x:f>
      </x:c>
      <x:c r="CF8" s="28" t="str">
        <x:f>IF(CF7=0,"",CF6/CF7)</x:f>
      </x:c>
      <x:c r="CG8" s="28" t="str">
        <x:f>IF(CG7=0,"",CG6/CG7)</x:f>
      </x:c>
      <x:c r="CH8" s="28" t="str">
        <x:f>IF(CH7=0,"",CH6/CH7)</x:f>
      </x:c>
      <x:c r="CI8" s="28" t="str">
        <x:f>IF(CI7=0,"",CI6/CI7)</x:f>
      </x:c>
      <x:c r="CJ8" s="28" t="str">
        <x:f>IF(CJ7=0,"",CJ6/CJ7)</x:f>
      </x:c>
      <x:c r="CK8" s="28" t="str">
        <x:f>IF(CK7=0,"",CK6/CK7)</x:f>
      </x:c>
      <x:c r="CL8" s="28" t="str">
        <x:f>IF(CL7=0,"",CL6/CL7)</x:f>
      </x:c>
      <x:c r="CM8" s="28" t="str">
        <x:f>IF(CM7=0,"",CM6/CM7)</x:f>
      </x:c>
    </x:row>
    <x:row r="9">
      <x:c r="A9" t="str">
        <x:v>慢建设</x:v>
      </x:c>
      <x:c r="B9" s="28" t="n">
        <x:f>'36月运营模型'!$B$23</x:f>
        <x:v>57.8045127253589</x:v>
      </x:c>
      <x:c r="C9" s="49" t="n">
        <x:f>'核心假设'!$B$27</x:f>
        <x:v>1</x:v>
      </x:c>
      <x:c r="D9" s="25" t="n">
        <x:f>'核心假设'!$B$28</x:f>
        <x:v>36</x:v>
      </x:c>
      <x:c r="E9" s="49" t="n">
        <x:f>'核心假设'!$B$29</x:f>
        <x:v>0.08</x:v>
      </x:c>
      <x:c r="F9" s="25" t="n">
        <x:f>'核心假设'!$B$30</x:f>
        <x:v>1</x:v>
      </x:c>
      <x:c r="G9" s="25" t="str">
        <x:f>'核心假设'!$B$33</x:f>
        <x:v>分成</x:v>
      </x:c>
      <x:c r="H9" s="49" t="n">
        <x:f>'核心假设'!$B$36</x:f>
        <x:v>0.1</x:v>
      </x:c>
      <x:c r="I9" s="35" t="n">
        <x:f>SUM(AF29:BO29)</x:f>
        <x:v>1387368945.6849058</x:v>
      </x:c>
      <x:c r="J9" s="115" t="n">
        <x:f>IF(SUM(AF31:CM31)=0,"",SUM(AF30:CM30)/SUM(AF31:CM31))</x:f>
        <x:v>3.028165271878703</x:v>
      </x:c>
      <x:c r="K9" s="35" t="n">
        <x:f>MAX(0,-MIN(AF34:CM34))</x:f>
        <x:v>2894749.87750566</x:v>
      </x:c>
      <x:c r="L9" s="18" t="n">
        <x:f>18</x:f>
        <x:v>18</x:v>
      </x:c>
      <x:c r="M9" s="22" t="n">
        <x:f>3%</x:f>
        <x:v>0.03</x:v>
      </x:c>
      <x:c r="N9" s="22" t="n">
        <x:f>4%</x:f>
        <x:v>0.04</x:v>
      </x:c>
      <x:c r="O9" s="22" t="n">
        <x:f>4%</x:f>
        <x:v>0.04</x:v>
      </x:c>
      <x:c r="P9" s="22" t="n">
        <x:f>5%</x:f>
        <x:v>0.05</x:v>
      </x:c>
      <x:c r="Q9" s="22" t="n">
        <x:f>5%</x:f>
        <x:v>0.05</x:v>
      </x:c>
      <x:c r="R9" s="22" t="n">
        <x:f>6%</x:f>
        <x:v>0.06</x:v>
      </x:c>
      <x:c r="S9" s="22" t="n">
        <x:f>6%</x:f>
        <x:v>0.06</x:v>
      </x:c>
      <x:c r="T9" s="22" t="n">
        <x:f>7.000000000000001%</x:f>
        <x:v>0.07</x:v>
      </x:c>
      <x:c r="U9" s="22" t="n">
        <x:f>7.000000000000001%</x:f>
        <x:v>0.07</x:v>
      </x:c>
      <x:c r="V9" s="22" t="n">
        <x:f>7.000000000000001%</x:f>
        <x:v>0.07</x:v>
      </x:c>
      <x:c r="W9" s="22" t="n">
        <x:f>7.000000000000001%</x:f>
        <x:v>0.07</x:v>
      </x:c>
      <x:c r="X9" s="22" t="n">
        <x:f>7.000000000000001%</x:f>
        <x:v>0.07</x:v>
      </x:c>
      <x:c r="Y9" s="22" t="n">
        <x:f>7.000000000000001%</x:f>
        <x:v>0.07</x:v>
      </x:c>
      <x:c r="Z9" s="22" t="n">
        <x:f>6%</x:f>
        <x:v>0.06</x:v>
      </x:c>
      <x:c r="AA9" s="22" t="n">
        <x:f>6%</x:f>
        <x:v>0.06</x:v>
      </x:c>
      <x:c r="AB9" s="22" t="n">
        <x:f>5%</x:f>
        <x:v>0.05</x:v>
      </x:c>
      <x:c r="AC9" s="22" t="n">
        <x:f>4%</x:f>
        <x:v>0.04</x:v>
      </x:c>
      <x:c r="AD9" s="22" t="n">
        <x:f>4%</x:f>
        <x:v>0.04</x:v>
      </x:c>
      <x:c r="AE9" t="str">
        <x:v>供应商付款</x:v>
      </x:c>
      <x:c r="AF9" s="28" t="n">
        <x:f>SUM(IF(EDATE('核心假设'!$B$5,0-1+'核心假设'!$B$31)&lt;=AF$4,SUM('融资租赁与资金缺口'!$M$5:$M$16)*$M5,0),IF(EDATE('核心假设'!$B$5,1-1+'核心假设'!$B$31)&lt;=AF$4,SUM('融资租赁与资金缺口'!$M$5:$M$16)*$N5,0),IF(EDATE('核心假设'!$B$5,2-1+'核心假设'!$B$31)&lt;=AF$4,SUM('融资租赁与资金缺口'!$M$5:$M$16)*$O5,0),IF(EDATE('核心假设'!$B$5,3-1+'核心假设'!$B$31)&lt;=AF$4,SUM('融资租赁与资金缺口'!$M$5:$M$16)*$P5,0),IF(EDATE('核心假设'!$B$5,4-1+'核心假设'!$B$31)&lt;=AF$4,SUM('融资租赁与资金缺口'!$M$5:$M$16)*$Q5,0),IF(EDATE('核心假设'!$B$5,5-1+'核心假设'!$B$31)&lt;=AF$4,SUM('融资租赁与资金缺口'!$M$5:$M$16)*$R5,0),IF(EDATE('核心假设'!$B$5,6-1+'核心假设'!$B$31)&lt;=AF$4,SUM('融资租赁与资金缺口'!$M$5:$M$16)*$S5,0),IF(EDATE('核心假设'!$B$5,7-1+'核心假设'!$B$31)&lt;=AF$4,SUM('融资租赁与资金缺口'!$M$5:$M$16)*$T5,0),IF(EDATE('核心假设'!$B$5,8-1+'核心假设'!$B$31)&lt;=AF$4,SUM('融资租赁与资金缺口'!$M$5:$M$16)*$U5,0),IF(EDATE('核心假设'!$B$5,9-1+'核心假设'!$B$31)&lt;=AF$4,SUM('融资租赁与资金缺口'!$M$5:$M$16)*$V5,0),IF(EDATE('核心假设'!$B$5,10-1+'核心假设'!$B$31)&lt;=AF$4,SUM('融资租赁与资金缺口'!$M$5:$M$16)*$W5,0),IF(EDATE('核心假设'!$B$5,11-1+'核心假设'!$B$31)&lt;=AF$4,SUM('融资租赁与资金缺口'!$M$5:$M$16)*$X5,0),IF(EDATE('核心假设'!$B$5,12-1+'核心假设'!$B$31)&lt;=AF$4,SUM('融资租赁与资金缺口'!$M$5:$M$16)*$Y5,0),IF(EDATE('核心假设'!$B$5,13-1+'核心假设'!$B$31)&lt;=AF$4,SUM('融资租赁与资金缺口'!$M$5:$M$16)*$Z5,0),IF(EDATE('核心假设'!$B$5,14-1+'核心假设'!$B$31)&lt;=AF$4,SUM('融资租赁与资金缺口'!$M$5:$M$16)*$AA5,0),IF(EDATE('核心假设'!$B$5,15-1+'核心假设'!$B$31)&lt;=AF$4,SUM('融资租赁与资金缺口'!$M$5:$M$16)*$AB5,0),IF(EDATE('核心假设'!$B$5,16-1+'核心假设'!$B$31)&lt;=AF$4,SUM('融资租赁与资金缺口'!$M$5:$M$16)*$AC5,0),IF(EDATE('核心假设'!$B$5,17-1+'核心假设'!$B$31)&lt;=AF$4,SUM('融资租赁与资金缺口'!$M$5:$M$16)*$AD5,0))</x:f>
        <x:v>0</x:v>
      </x:c>
      <x:c r="AG9" s="28" t="n">
        <x:f>SUM(IF(AG$4=EDATE('核心假设'!$B$5,0-1+'核心假设'!$B$31),SUM('融资租赁与资金缺口'!$M$5:$M$16)*$M5,0),IF(AG$4=EDATE('核心假设'!$B$5,1-1+'核心假设'!$B$31),SUM('融资租赁与资金缺口'!$M$5:$M$16)*$N5,0),IF(AG$4=EDATE('核心假设'!$B$5,2-1+'核心假设'!$B$31),SUM('融资租赁与资金缺口'!$M$5:$M$16)*$O5,0),IF(AG$4=EDATE('核心假设'!$B$5,3-1+'核心假设'!$B$31),SUM('融资租赁与资金缺口'!$M$5:$M$16)*$P5,0),IF(AG$4=EDATE('核心假设'!$B$5,4-1+'核心假设'!$B$31),SUM('融资租赁与资金缺口'!$M$5:$M$16)*$Q5,0),IF(AG$4=EDATE('核心假设'!$B$5,5-1+'核心假设'!$B$31),SUM('融资租赁与资金缺口'!$M$5:$M$16)*$R5,0),IF(AG$4=EDATE('核心假设'!$B$5,6-1+'核心假设'!$B$31),SUM('融资租赁与资金缺口'!$M$5:$M$16)*$S5,0),IF(AG$4=EDATE('核心假设'!$B$5,7-1+'核心假设'!$B$31),SUM('融资租赁与资金缺口'!$M$5:$M$16)*$T5,0),IF(AG$4=EDATE('核心假设'!$B$5,8-1+'核心假设'!$B$31),SUM('融资租赁与资金缺口'!$M$5:$M$16)*$U5,0),IF(AG$4=EDATE('核心假设'!$B$5,9-1+'核心假设'!$B$31),SUM('融资租赁与资金缺口'!$M$5:$M$16)*$V5,0),IF(AG$4=EDATE('核心假设'!$B$5,10-1+'核心假设'!$B$31),SUM('融资租赁与资金缺口'!$M$5:$M$16)*$W5,0),IF(AG$4=EDATE('核心假设'!$B$5,11-1+'核心假设'!$B$31),SUM('融资租赁与资金缺口'!$M$5:$M$16)*$X5,0),IF(AG$4=EDATE('核心假设'!$B$5,12-1+'核心假设'!$B$31),SUM('融资租赁与资金缺口'!$M$5:$M$16)*$Y5,0),IF(AG$4=EDATE('核心假设'!$B$5,13-1+'核心假设'!$B$31),SUM('融资租赁与资金缺口'!$M$5:$M$16)*$Z5,0),IF(AG$4=EDATE('核心假设'!$B$5,14-1+'核心假设'!$B$31),SUM('融资租赁与资金缺口'!$M$5:$M$16)*$AA5,0),IF(AG$4=EDATE('核心假设'!$B$5,15-1+'核心假设'!$B$31),SUM('融资租赁与资金缺口'!$M$5:$M$16)*$AB5,0),IF(AG$4=EDATE('核心假设'!$B$5,16-1+'核心假设'!$B$31),SUM('融资租赁与资金缺口'!$M$5:$M$16)*$AC5,0),IF(AG$4=EDATE('核心假设'!$B$5,17-1+'核心假设'!$B$31),SUM('融资租赁与资金缺口'!$M$5:$M$16)*$AD5,0))</x:f>
        <x:v>32015000</x:v>
      </x:c>
      <x:c r="AH9" s="28" t="n">
        <x:f>SUM(IF(AH$4=EDATE('核心假设'!$B$5,0-1+'核心假设'!$B$31),SUM('融资租赁与资金缺口'!$M$5:$M$16)*$M5,0),IF(AH$4=EDATE('核心假设'!$B$5,1-1+'核心假设'!$B$31),SUM('融资租赁与资金缺口'!$M$5:$M$16)*$N5,0),IF(AH$4=EDATE('核心假设'!$B$5,2-1+'核心假设'!$B$31),SUM('融资租赁与资金缺口'!$M$5:$M$16)*$O5,0),IF(AH$4=EDATE('核心假设'!$B$5,3-1+'核心假设'!$B$31),SUM('融资租赁与资金缺口'!$M$5:$M$16)*$P5,0),IF(AH$4=EDATE('核心假设'!$B$5,4-1+'核心假设'!$B$31),SUM('融资租赁与资金缺口'!$M$5:$M$16)*$Q5,0),IF(AH$4=EDATE('核心假设'!$B$5,5-1+'核心假设'!$B$31),SUM('融资租赁与资金缺口'!$M$5:$M$16)*$R5,0),IF(AH$4=EDATE('核心假设'!$B$5,6-1+'核心假设'!$B$31),SUM('融资租赁与资金缺口'!$M$5:$M$16)*$S5,0),IF(AH$4=EDATE('核心假设'!$B$5,7-1+'核心假设'!$B$31),SUM('融资租赁与资金缺口'!$M$5:$M$16)*$T5,0),IF(AH$4=EDATE('核心假设'!$B$5,8-1+'核心假设'!$B$31),SUM('融资租赁与资金缺口'!$M$5:$M$16)*$U5,0),IF(AH$4=EDATE('核心假设'!$B$5,9-1+'核心假设'!$B$31),SUM('融资租赁与资金缺口'!$M$5:$M$16)*$V5,0),IF(AH$4=EDATE('核心假设'!$B$5,10-1+'核心假设'!$B$31),SUM('融资租赁与资金缺口'!$M$5:$M$16)*$W5,0),IF(AH$4=EDATE('核心假设'!$B$5,11-1+'核心假设'!$B$31),SUM('融资租赁与资金缺口'!$M$5:$M$16)*$X5,0),IF(AH$4=EDATE('核心假设'!$B$5,12-1+'核心假设'!$B$31),SUM('融资租赁与资金缺口'!$M$5:$M$16)*$Y5,0),IF(AH$4=EDATE('核心假设'!$B$5,13-1+'核心假设'!$B$31),SUM('融资租赁与资金缺口'!$M$5:$M$16)*$Z5,0),IF(AH$4=EDATE('核心假设'!$B$5,14-1+'核心假设'!$B$31),SUM('融资租赁与资金缺口'!$M$5:$M$16)*$AA5,0),IF(AH$4=EDATE('核心假设'!$B$5,15-1+'核心假设'!$B$31),SUM('融资租赁与资金缺口'!$M$5:$M$16)*$AB5,0),IF(AH$4=EDATE('核心假设'!$B$5,16-1+'核心假设'!$B$31),SUM('融资租赁与资金缺口'!$M$5:$M$16)*$AC5,0),IF(AH$4=EDATE('核心假设'!$B$5,17-1+'核心假设'!$B$31),SUM('融资租赁与资金缺口'!$M$5:$M$16)*$AD5,0))</x:f>
        <x:v>38418000</x:v>
      </x:c>
      <x:c r="AI9" s="28" t="n">
        <x:f>SUM(IF(AI$4=EDATE('核心假设'!$B$5,0-1+'核心假设'!$B$31),SUM('融资租赁与资金缺口'!$M$5:$M$16)*$M5,0),IF(AI$4=EDATE('核心假设'!$B$5,1-1+'核心假设'!$B$31),SUM('融资租赁与资金缺口'!$M$5:$M$16)*$N5,0),IF(AI$4=EDATE('核心假设'!$B$5,2-1+'核心假设'!$B$31),SUM('融资租赁与资金缺口'!$M$5:$M$16)*$O5,0),IF(AI$4=EDATE('核心假设'!$B$5,3-1+'核心假设'!$B$31),SUM('融资租赁与资金缺口'!$M$5:$M$16)*$P5,0),IF(AI$4=EDATE('核心假设'!$B$5,4-1+'核心假设'!$B$31),SUM('融资租赁与资金缺口'!$M$5:$M$16)*$Q5,0),IF(AI$4=EDATE('核心假设'!$B$5,5-1+'核心假设'!$B$31),SUM('融资租赁与资金缺口'!$M$5:$M$16)*$R5,0),IF(AI$4=EDATE('核心假设'!$B$5,6-1+'核心假设'!$B$31),SUM('融资租赁与资金缺口'!$M$5:$M$16)*$S5,0),IF(AI$4=EDATE('核心假设'!$B$5,7-1+'核心假设'!$B$31),SUM('融资租赁与资金缺口'!$M$5:$M$16)*$T5,0),IF(AI$4=EDATE('核心假设'!$B$5,8-1+'核心假设'!$B$31),SUM('融资租赁与资金缺口'!$M$5:$M$16)*$U5,0),IF(AI$4=EDATE('核心假设'!$B$5,9-1+'核心假设'!$B$31),SUM('融资租赁与资金缺口'!$M$5:$M$16)*$V5,0),IF(AI$4=EDATE('核心假设'!$B$5,10-1+'核心假设'!$B$31),SUM('融资租赁与资金缺口'!$M$5:$M$16)*$W5,0),IF(AI$4=EDATE('核心假设'!$B$5,11-1+'核心假设'!$B$31),SUM('融资租赁与资金缺口'!$M$5:$M$16)*$X5,0),IF(AI$4=EDATE('核心假设'!$B$5,12-1+'核心假设'!$B$31),SUM('融资租赁与资金缺口'!$M$5:$M$16)*$Y5,0),IF(AI$4=EDATE('核心假设'!$B$5,13-1+'核心假设'!$B$31),SUM('融资租赁与资金缺口'!$M$5:$M$16)*$Z5,0),IF(AI$4=EDATE('核心假设'!$B$5,14-1+'核心假设'!$B$31),SUM('融资租赁与资金缺口'!$M$5:$M$16)*$AA5,0),IF(AI$4=EDATE('核心假设'!$B$5,15-1+'核心假设'!$B$31),SUM('融资租赁与资金缺口'!$M$5:$M$16)*$AB5,0),IF(AI$4=EDATE('核心假设'!$B$5,16-1+'核心假设'!$B$31),SUM('融资租赁与资金缺口'!$M$5:$M$16)*$AC5,0),IF(AI$4=EDATE('核心假设'!$B$5,17-1+'核心假设'!$B$31),SUM('融资租赁与资金缺口'!$M$5:$M$16)*$AD5,0))</x:f>
        <x:v>44821000.00000001</x:v>
      </x:c>
      <x:c r="AJ9" s="28" t="n">
        <x:f>SUM(IF(AJ$4=EDATE('核心假设'!$B$5,0-1+'核心假设'!$B$31),SUM('融资租赁与资金缺口'!$M$5:$M$16)*$M5,0),IF(AJ$4=EDATE('核心假设'!$B$5,1-1+'核心假设'!$B$31),SUM('融资租赁与资金缺口'!$M$5:$M$16)*$N5,0),IF(AJ$4=EDATE('核心假设'!$B$5,2-1+'核心假设'!$B$31),SUM('融资租赁与资金缺口'!$M$5:$M$16)*$O5,0),IF(AJ$4=EDATE('核心假设'!$B$5,3-1+'核心假设'!$B$31),SUM('融资租赁与资金缺口'!$M$5:$M$16)*$P5,0),IF(AJ$4=EDATE('核心假设'!$B$5,4-1+'核心假设'!$B$31),SUM('融资租赁与资金缺口'!$M$5:$M$16)*$Q5,0),IF(AJ$4=EDATE('核心假设'!$B$5,5-1+'核心假设'!$B$31),SUM('融资租赁与资金缺口'!$M$5:$M$16)*$R5,0),IF(AJ$4=EDATE('核心假设'!$B$5,6-1+'核心假设'!$B$31),SUM('融资租赁与资金缺口'!$M$5:$M$16)*$S5,0),IF(AJ$4=EDATE('核心假设'!$B$5,7-1+'核心假设'!$B$31),SUM('融资租赁与资金缺口'!$M$5:$M$16)*$T5,0),IF(AJ$4=EDATE('核心假设'!$B$5,8-1+'核心假设'!$B$31),SUM('融资租赁与资金缺口'!$M$5:$M$16)*$U5,0),IF(AJ$4=EDATE('核心假设'!$B$5,9-1+'核心假设'!$B$31),SUM('融资租赁与资金缺口'!$M$5:$M$16)*$V5,0),IF(AJ$4=EDATE('核心假设'!$B$5,10-1+'核心假设'!$B$31),SUM('融资租赁与资金缺口'!$M$5:$M$16)*$W5,0),IF(AJ$4=EDATE('核心假设'!$B$5,11-1+'核心假设'!$B$31),SUM('融资租赁与资金缺口'!$M$5:$M$16)*$X5,0),IF(AJ$4=EDATE('核心假设'!$B$5,12-1+'核心假设'!$B$31),SUM('融资租赁与资金缺口'!$M$5:$M$16)*$Y5,0),IF(AJ$4=EDATE('核心假设'!$B$5,13-1+'核心假设'!$B$31),SUM('融资租赁与资金缺口'!$M$5:$M$16)*$Z5,0),IF(AJ$4=EDATE('核心假设'!$B$5,14-1+'核心假设'!$B$31),SUM('融资租赁与资金缺口'!$M$5:$M$16)*$AA5,0),IF(AJ$4=EDATE('核心假设'!$B$5,15-1+'核心假设'!$B$31),SUM('融资租赁与资金缺口'!$M$5:$M$16)*$AB5,0),IF(AJ$4=EDATE('核心假设'!$B$5,16-1+'核心假设'!$B$31),SUM('融资租赁与资金缺口'!$M$5:$M$16)*$AC5,0),IF(AJ$4=EDATE('核心假设'!$B$5,17-1+'核心假设'!$B$31),SUM('融资租赁与资金缺口'!$M$5:$M$16)*$AD5,0))</x:f>
        <x:v>51224000</x:v>
      </x:c>
      <x:c r="AK9" s="28" t="n">
        <x:f>SUM(IF(AK$4=EDATE('核心假设'!$B$5,0-1+'核心假设'!$B$31),SUM('融资租赁与资金缺口'!$M$5:$M$16)*$M5,0),IF(AK$4=EDATE('核心假设'!$B$5,1-1+'核心假设'!$B$31),SUM('融资租赁与资金缺口'!$M$5:$M$16)*$N5,0),IF(AK$4=EDATE('核心假设'!$B$5,2-1+'核心假设'!$B$31),SUM('融资租赁与资金缺口'!$M$5:$M$16)*$O5,0),IF(AK$4=EDATE('核心假设'!$B$5,3-1+'核心假设'!$B$31),SUM('融资租赁与资金缺口'!$M$5:$M$16)*$P5,0),IF(AK$4=EDATE('核心假设'!$B$5,4-1+'核心假设'!$B$31),SUM('融资租赁与资金缺口'!$M$5:$M$16)*$Q5,0),IF(AK$4=EDATE('核心假设'!$B$5,5-1+'核心假设'!$B$31),SUM('融资租赁与资金缺口'!$M$5:$M$16)*$R5,0),IF(AK$4=EDATE('核心假设'!$B$5,6-1+'核心假设'!$B$31),SUM('融资租赁与资金缺口'!$M$5:$M$16)*$S5,0),IF(AK$4=EDATE('核心假设'!$B$5,7-1+'核心假设'!$B$31),SUM('融资租赁与资金缺口'!$M$5:$M$16)*$T5,0),IF(AK$4=EDATE('核心假设'!$B$5,8-1+'核心假设'!$B$31),SUM('融资租赁与资金缺口'!$M$5:$M$16)*$U5,0),IF(AK$4=EDATE('核心假设'!$B$5,9-1+'核心假设'!$B$31),SUM('融资租赁与资金缺口'!$M$5:$M$16)*$V5,0),IF(AK$4=EDATE('核心假设'!$B$5,10-1+'核心假设'!$B$31),SUM('融资租赁与资金缺口'!$M$5:$M$16)*$W5,0),IF(AK$4=EDATE('核心假设'!$B$5,11-1+'核心假设'!$B$31),SUM('融资租赁与资金缺口'!$M$5:$M$16)*$X5,0),IF(AK$4=EDATE('核心假设'!$B$5,12-1+'核心假设'!$B$31),SUM('融资租赁与资金缺口'!$M$5:$M$16)*$Y5,0),IF(AK$4=EDATE('核心假设'!$B$5,13-1+'核心假设'!$B$31),SUM('融资租赁与资金缺口'!$M$5:$M$16)*$Z5,0),IF(AK$4=EDATE('核心假设'!$B$5,14-1+'核心假设'!$B$31),SUM('融资租赁与资金缺口'!$M$5:$M$16)*$AA5,0),IF(AK$4=EDATE('核心假设'!$B$5,15-1+'核心假设'!$B$31),SUM('融资租赁与资金缺口'!$M$5:$M$16)*$AB5,0),IF(AK$4=EDATE('核心假设'!$B$5,16-1+'核心假设'!$B$31),SUM('融资租赁与资金缺口'!$M$5:$M$16)*$AC5,0),IF(AK$4=EDATE('核心假设'!$B$5,17-1+'核心假设'!$B$31),SUM('融资租赁与资金缺口'!$M$5:$M$16)*$AD5,0))</x:f>
        <x:v>57627000</x:v>
      </x:c>
      <x:c r="AL9" s="28" t="n">
        <x:f>SUM(IF(AL$4=EDATE('核心假设'!$B$5,0-1+'核心假设'!$B$31),SUM('融资租赁与资金缺口'!$M$5:$M$16)*$M5,0),IF(AL$4=EDATE('核心假设'!$B$5,1-1+'核心假设'!$B$31),SUM('融资租赁与资金缺口'!$M$5:$M$16)*$N5,0),IF(AL$4=EDATE('核心假设'!$B$5,2-1+'核心假设'!$B$31),SUM('融资租赁与资金缺口'!$M$5:$M$16)*$O5,0),IF(AL$4=EDATE('核心假设'!$B$5,3-1+'核心假设'!$B$31),SUM('融资租赁与资金缺口'!$M$5:$M$16)*$P5,0),IF(AL$4=EDATE('核心假设'!$B$5,4-1+'核心假设'!$B$31),SUM('融资租赁与资金缺口'!$M$5:$M$16)*$Q5,0),IF(AL$4=EDATE('核心假设'!$B$5,5-1+'核心假设'!$B$31),SUM('融资租赁与资金缺口'!$M$5:$M$16)*$R5,0),IF(AL$4=EDATE('核心假设'!$B$5,6-1+'核心假设'!$B$31),SUM('融资租赁与资金缺口'!$M$5:$M$16)*$S5,0),IF(AL$4=EDATE('核心假设'!$B$5,7-1+'核心假设'!$B$31),SUM('融资租赁与资金缺口'!$M$5:$M$16)*$T5,0),IF(AL$4=EDATE('核心假设'!$B$5,8-1+'核心假设'!$B$31),SUM('融资租赁与资金缺口'!$M$5:$M$16)*$U5,0),IF(AL$4=EDATE('核心假设'!$B$5,9-1+'核心假设'!$B$31),SUM('融资租赁与资金缺口'!$M$5:$M$16)*$V5,0),IF(AL$4=EDATE('核心假设'!$B$5,10-1+'核心假设'!$B$31),SUM('融资租赁与资金缺口'!$M$5:$M$16)*$W5,0),IF(AL$4=EDATE('核心假设'!$B$5,11-1+'核心假设'!$B$31),SUM('融资租赁与资金缺口'!$M$5:$M$16)*$X5,0),IF(AL$4=EDATE('核心假设'!$B$5,12-1+'核心假设'!$B$31),SUM('融资租赁与资金缺口'!$M$5:$M$16)*$Y5,0),IF(AL$4=EDATE('核心假设'!$B$5,13-1+'核心假设'!$B$31),SUM('融资租赁与资金缺口'!$M$5:$M$16)*$Z5,0),IF(AL$4=EDATE('核心假设'!$B$5,14-1+'核心假设'!$B$31),SUM('融资租赁与资金缺口'!$M$5:$M$16)*$AA5,0),IF(AL$4=EDATE('核心假设'!$B$5,15-1+'核心假设'!$B$31),SUM('融资租赁与资金缺口'!$M$5:$M$16)*$AB5,0),IF(AL$4=EDATE('核心假设'!$B$5,16-1+'核心假设'!$B$31),SUM('融资租赁与资金缺口'!$M$5:$M$16)*$AC5,0),IF(AL$4=EDATE('核心假设'!$B$5,17-1+'核心假设'!$B$31),SUM('融资租赁与资金缺口'!$M$5:$M$16)*$AD5,0))</x:f>
        <x:v>64030000</x:v>
      </x:c>
      <x:c r="AM9" s="28" t="n">
        <x:f>SUM(IF(AM$4=EDATE('核心假设'!$B$5,0-1+'核心假设'!$B$31),SUM('融资租赁与资金缺口'!$M$5:$M$16)*$M5,0),IF(AM$4=EDATE('核心假设'!$B$5,1-1+'核心假设'!$B$31),SUM('融资租赁与资金缺口'!$M$5:$M$16)*$N5,0),IF(AM$4=EDATE('核心假设'!$B$5,2-1+'核心假设'!$B$31),SUM('融资租赁与资金缺口'!$M$5:$M$16)*$O5,0),IF(AM$4=EDATE('核心假设'!$B$5,3-1+'核心假设'!$B$31),SUM('融资租赁与资金缺口'!$M$5:$M$16)*$P5,0),IF(AM$4=EDATE('核心假设'!$B$5,4-1+'核心假设'!$B$31),SUM('融资租赁与资金缺口'!$M$5:$M$16)*$Q5,0),IF(AM$4=EDATE('核心假设'!$B$5,5-1+'核心假设'!$B$31),SUM('融资租赁与资金缺口'!$M$5:$M$16)*$R5,0),IF(AM$4=EDATE('核心假设'!$B$5,6-1+'核心假设'!$B$31),SUM('融资租赁与资金缺口'!$M$5:$M$16)*$S5,0),IF(AM$4=EDATE('核心假设'!$B$5,7-1+'核心假设'!$B$31),SUM('融资租赁与资金缺口'!$M$5:$M$16)*$T5,0),IF(AM$4=EDATE('核心假设'!$B$5,8-1+'核心假设'!$B$31),SUM('融资租赁与资金缺口'!$M$5:$M$16)*$U5,0),IF(AM$4=EDATE('核心假设'!$B$5,9-1+'核心假设'!$B$31),SUM('融资租赁与资金缺口'!$M$5:$M$16)*$V5,0),IF(AM$4=EDATE('核心假设'!$B$5,10-1+'核心假设'!$B$31),SUM('融资租赁与资金缺口'!$M$5:$M$16)*$W5,0),IF(AM$4=EDATE('核心假设'!$B$5,11-1+'核心假设'!$B$31),SUM('融资租赁与资金缺口'!$M$5:$M$16)*$X5,0),IF(AM$4=EDATE('核心假设'!$B$5,12-1+'核心假设'!$B$31),SUM('融资租赁与资金缺口'!$M$5:$M$16)*$Y5,0),IF(AM$4=EDATE('核心假设'!$B$5,13-1+'核心假设'!$B$31),SUM('融资租赁与资金缺口'!$M$5:$M$16)*$Z5,0),IF(AM$4=EDATE('核心假设'!$B$5,14-1+'核心假设'!$B$31),SUM('融资租赁与资金缺口'!$M$5:$M$16)*$AA5,0),IF(AM$4=EDATE('核心假设'!$B$5,15-1+'核心假设'!$B$31),SUM('融资租赁与资金缺口'!$M$5:$M$16)*$AB5,0),IF(AM$4=EDATE('核心假设'!$B$5,16-1+'核心假设'!$B$31),SUM('融资租赁与资金缺口'!$M$5:$M$16)*$AC5,0),IF(AM$4=EDATE('核心假设'!$B$5,17-1+'核心假设'!$B$31),SUM('融资租赁与资金缺口'!$M$5:$M$16)*$AD5,0))</x:f>
        <x:v>70433000</x:v>
      </x:c>
      <x:c r="AN9" s="28" t="n">
        <x:f>SUM(IF(AN$4=EDATE('核心假设'!$B$5,0-1+'核心假设'!$B$31),SUM('融资租赁与资金缺口'!$M$5:$M$16)*$M5,0),IF(AN$4=EDATE('核心假设'!$B$5,1-1+'核心假设'!$B$31),SUM('融资租赁与资金缺口'!$M$5:$M$16)*$N5,0),IF(AN$4=EDATE('核心假设'!$B$5,2-1+'核心假设'!$B$31),SUM('融资租赁与资金缺口'!$M$5:$M$16)*$O5,0),IF(AN$4=EDATE('核心假设'!$B$5,3-1+'核心假设'!$B$31),SUM('融资租赁与资金缺口'!$M$5:$M$16)*$P5,0),IF(AN$4=EDATE('核心假设'!$B$5,4-1+'核心假设'!$B$31),SUM('融资租赁与资金缺口'!$M$5:$M$16)*$Q5,0),IF(AN$4=EDATE('核心假设'!$B$5,5-1+'核心假设'!$B$31),SUM('融资租赁与资金缺口'!$M$5:$M$16)*$R5,0),IF(AN$4=EDATE('核心假设'!$B$5,6-1+'核心假设'!$B$31),SUM('融资租赁与资金缺口'!$M$5:$M$16)*$S5,0),IF(AN$4=EDATE('核心假设'!$B$5,7-1+'核心假设'!$B$31),SUM('融资租赁与资金缺口'!$M$5:$M$16)*$T5,0),IF(AN$4=EDATE('核心假设'!$B$5,8-1+'核心假设'!$B$31),SUM('融资租赁与资金缺口'!$M$5:$M$16)*$U5,0),IF(AN$4=EDATE('核心假设'!$B$5,9-1+'核心假设'!$B$31),SUM('融资租赁与资金缺口'!$M$5:$M$16)*$V5,0),IF(AN$4=EDATE('核心假设'!$B$5,10-1+'核心假设'!$B$31),SUM('融资租赁与资金缺口'!$M$5:$M$16)*$W5,0),IF(AN$4=EDATE('核心假设'!$B$5,11-1+'核心假设'!$B$31),SUM('融资租赁与资金缺口'!$M$5:$M$16)*$X5,0),IF(AN$4=EDATE('核心假设'!$B$5,12-1+'核心假设'!$B$31),SUM('融资租赁与资金缺口'!$M$5:$M$16)*$Y5,0),IF(AN$4=EDATE('核心假设'!$B$5,13-1+'核心假设'!$B$31),SUM('融资租赁与资金缺口'!$M$5:$M$16)*$Z5,0),IF(AN$4=EDATE('核心假设'!$B$5,14-1+'核心假设'!$B$31),SUM('融资租赁与资金缺口'!$M$5:$M$16)*$AA5,0),IF(AN$4=EDATE('核心假设'!$B$5,15-1+'核心假设'!$B$31),SUM('融资租赁与资金缺口'!$M$5:$M$16)*$AB5,0),IF(AN$4=EDATE('核心假设'!$B$5,16-1+'核心假设'!$B$31),SUM('融资租赁与资金缺口'!$M$5:$M$16)*$AC5,0),IF(AN$4=EDATE('核心假设'!$B$5,17-1+'核心假设'!$B$31),SUM('融资租赁与资金缺口'!$M$5:$M$16)*$AD5,0))</x:f>
        <x:v>70433000</x:v>
      </x:c>
      <x:c r="AO9" s="28" t="n">
        <x:f>SUM(IF(AO$4=EDATE('核心假设'!$B$5,0-1+'核心假设'!$B$31),SUM('融资租赁与资金缺口'!$M$5:$M$16)*$M5,0),IF(AO$4=EDATE('核心假设'!$B$5,1-1+'核心假设'!$B$31),SUM('融资租赁与资金缺口'!$M$5:$M$16)*$N5,0),IF(AO$4=EDATE('核心假设'!$B$5,2-1+'核心假设'!$B$31),SUM('融资租赁与资金缺口'!$M$5:$M$16)*$O5,0),IF(AO$4=EDATE('核心假设'!$B$5,3-1+'核心假设'!$B$31),SUM('融资租赁与资金缺口'!$M$5:$M$16)*$P5,0),IF(AO$4=EDATE('核心假设'!$B$5,4-1+'核心假设'!$B$31),SUM('融资租赁与资金缺口'!$M$5:$M$16)*$Q5,0),IF(AO$4=EDATE('核心假设'!$B$5,5-1+'核心假设'!$B$31),SUM('融资租赁与资金缺口'!$M$5:$M$16)*$R5,0),IF(AO$4=EDATE('核心假设'!$B$5,6-1+'核心假设'!$B$31),SUM('融资租赁与资金缺口'!$M$5:$M$16)*$S5,0),IF(AO$4=EDATE('核心假设'!$B$5,7-1+'核心假设'!$B$31),SUM('融资租赁与资金缺口'!$M$5:$M$16)*$T5,0),IF(AO$4=EDATE('核心假设'!$B$5,8-1+'核心假设'!$B$31),SUM('融资租赁与资金缺口'!$M$5:$M$16)*$U5,0),IF(AO$4=EDATE('核心假设'!$B$5,9-1+'核心假设'!$B$31),SUM('融资租赁与资金缺口'!$M$5:$M$16)*$V5,0),IF(AO$4=EDATE('核心假设'!$B$5,10-1+'核心假设'!$B$31),SUM('融资租赁与资金缺口'!$M$5:$M$16)*$W5,0),IF(AO$4=EDATE('核心假设'!$B$5,11-1+'核心假设'!$B$31),SUM('融资租赁与资金缺口'!$M$5:$M$16)*$X5,0),IF(AO$4=EDATE('核心假设'!$B$5,12-1+'核心假设'!$B$31),SUM('融资租赁与资金缺口'!$M$5:$M$16)*$Y5,0),IF(AO$4=EDATE('核心假设'!$B$5,13-1+'核心假设'!$B$31),SUM('融资租赁与资金缺口'!$M$5:$M$16)*$Z5,0),IF(AO$4=EDATE('核心假设'!$B$5,14-1+'核心假设'!$B$31),SUM('融资租赁与资金缺口'!$M$5:$M$16)*$AA5,0),IF(AO$4=EDATE('核心假设'!$B$5,15-1+'核心假设'!$B$31),SUM('融资租赁与资金缺口'!$M$5:$M$16)*$AB5,0),IF(AO$4=EDATE('核心假设'!$B$5,16-1+'核心假设'!$B$31),SUM('融资租赁与资金缺口'!$M$5:$M$16)*$AC5,0),IF(AO$4=EDATE('核心假设'!$B$5,17-1+'核心假设'!$B$31),SUM('融资租赁与资金缺口'!$M$5:$M$16)*$AD5,0))</x:f>
        <x:v>64030000</x:v>
      </x:c>
      <x:c r="AP9" s="28" t="n">
        <x:f>SUM(IF(AP$4=EDATE('核心假设'!$B$5,0-1+'核心假设'!$B$31),SUM('融资租赁与资金缺口'!$M$5:$M$16)*$M5,0),IF(AP$4=EDATE('核心假设'!$B$5,1-1+'核心假设'!$B$31),SUM('融资租赁与资金缺口'!$M$5:$M$16)*$N5,0),IF(AP$4=EDATE('核心假设'!$B$5,2-1+'核心假设'!$B$31),SUM('融资租赁与资金缺口'!$M$5:$M$16)*$O5,0),IF(AP$4=EDATE('核心假设'!$B$5,3-1+'核心假设'!$B$31),SUM('融资租赁与资金缺口'!$M$5:$M$16)*$P5,0),IF(AP$4=EDATE('核心假设'!$B$5,4-1+'核心假设'!$B$31),SUM('融资租赁与资金缺口'!$M$5:$M$16)*$Q5,0),IF(AP$4=EDATE('核心假设'!$B$5,5-1+'核心假设'!$B$31),SUM('融资租赁与资金缺口'!$M$5:$M$16)*$R5,0),IF(AP$4=EDATE('核心假设'!$B$5,6-1+'核心假设'!$B$31),SUM('融资租赁与资金缺口'!$M$5:$M$16)*$S5,0),IF(AP$4=EDATE('核心假设'!$B$5,7-1+'核心假设'!$B$31),SUM('融资租赁与资金缺口'!$M$5:$M$16)*$T5,0),IF(AP$4=EDATE('核心假设'!$B$5,8-1+'核心假设'!$B$31),SUM('融资租赁与资金缺口'!$M$5:$M$16)*$U5,0),IF(AP$4=EDATE('核心假设'!$B$5,9-1+'核心假设'!$B$31),SUM('融资租赁与资金缺口'!$M$5:$M$16)*$V5,0),IF(AP$4=EDATE('核心假设'!$B$5,10-1+'核心假设'!$B$31),SUM('融资租赁与资金缺口'!$M$5:$M$16)*$W5,0),IF(AP$4=EDATE('核心假设'!$B$5,11-1+'核心假设'!$B$31),SUM('融资租赁与资金缺口'!$M$5:$M$16)*$X5,0),IF(AP$4=EDATE('核心假设'!$B$5,12-1+'核心假设'!$B$31),SUM('融资租赁与资金缺口'!$M$5:$M$16)*$Y5,0),IF(AP$4=EDATE('核心假设'!$B$5,13-1+'核心假设'!$B$31),SUM('融资租赁与资金缺口'!$M$5:$M$16)*$Z5,0),IF(AP$4=EDATE('核心假设'!$B$5,14-1+'核心假设'!$B$31),SUM('融资租赁与资金缺口'!$M$5:$M$16)*$AA5,0),IF(AP$4=EDATE('核心假设'!$B$5,15-1+'核心假设'!$B$31),SUM('融资租赁与资金缺口'!$M$5:$M$16)*$AB5,0),IF(AP$4=EDATE('核心假设'!$B$5,16-1+'核心假设'!$B$31),SUM('融资租赁与资金缺口'!$M$5:$M$16)*$AC5,0),IF(AP$4=EDATE('核心假设'!$B$5,17-1+'核心假设'!$B$31),SUM('融资租赁与资金缺口'!$M$5:$M$16)*$AD5,0))</x:f>
        <x:v>57627000</x:v>
      </x:c>
      <x:c r="AQ9" s="28" t="n">
        <x:f>SUM(IF(AQ$4=EDATE('核心假设'!$B$5,0-1+'核心假设'!$B$31),SUM('融资租赁与资金缺口'!$M$5:$M$16)*$M5,0),IF(AQ$4=EDATE('核心假设'!$B$5,1-1+'核心假设'!$B$31),SUM('融资租赁与资金缺口'!$M$5:$M$16)*$N5,0),IF(AQ$4=EDATE('核心假设'!$B$5,2-1+'核心假设'!$B$31),SUM('融资租赁与资金缺口'!$M$5:$M$16)*$O5,0),IF(AQ$4=EDATE('核心假设'!$B$5,3-1+'核心假设'!$B$31),SUM('融资租赁与资金缺口'!$M$5:$M$16)*$P5,0),IF(AQ$4=EDATE('核心假设'!$B$5,4-1+'核心假设'!$B$31),SUM('融资租赁与资金缺口'!$M$5:$M$16)*$Q5,0),IF(AQ$4=EDATE('核心假设'!$B$5,5-1+'核心假设'!$B$31),SUM('融资租赁与资金缺口'!$M$5:$M$16)*$R5,0),IF(AQ$4=EDATE('核心假设'!$B$5,6-1+'核心假设'!$B$31),SUM('融资租赁与资金缺口'!$M$5:$M$16)*$S5,0),IF(AQ$4=EDATE('核心假设'!$B$5,7-1+'核心假设'!$B$31),SUM('融资租赁与资金缺口'!$M$5:$M$16)*$T5,0),IF(AQ$4=EDATE('核心假设'!$B$5,8-1+'核心假设'!$B$31),SUM('融资租赁与资金缺口'!$M$5:$M$16)*$U5,0),IF(AQ$4=EDATE('核心假设'!$B$5,9-1+'核心假设'!$B$31),SUM('融资租赁与资金缺口'!$M$5:$M$16)*$V5,0),IF(AQ$4=EDATE('核心假设'!$B$5,10-1+'核心假设'!$B$31),SUM('融资租赁与资金缺口'!$M$5:$M$16)*$W5,0),IF(AQ$4=EDATE('核心假设'!$B$5,11-1+'核心假设'!$B$31),SUM('融资租赁与资金缺口'!$M$5:$M$16)*$X5,0),IF(AQ$4=EDATE('核心假设'!$B$5,12-1+'核心假设'!$B$31),SUM('融资租赁与资金缺口'!$M$5:$M$16)*$Y5,0),IF(AQ$4=EDATE('核心假设'!$B$5,13-1+'核心假设'!$B$31),SUM('融资租赁与资金缺口'!$M$5:$M$16)*$Z5,0),IF(AQ$4=EDATE('核心假设'!$B$5,14-1+'核心假设'!$B$31),SUM('融资租赁与资金缺口'!$M$5:$M$16)*$AA5,0),IF(AQ$4=EDATE('核心假设'!$B$5,15-1+'核心假设'!$B$31),SUM('融资租赁与资金缺口'!$M$5:$M$16)*$AB5,0),IF(AQ$4=EDATE('核心假设'!$B$5,16-1+'核心假设'!$B$31),SUM('融资租赁与资金缺口'!$M$5:$M$16)*$AC5,0),IF(AQ$4=EDATE('核心假设'!$B$5,17-1+'核心假设'!$B$31),SUM('融资租赁与资金缺口'!$M$5:$M$16)*$AD5,0))</x:f>
        <x:v>51224000</x:v>
      </x:c>
      <x:c r="AR9" s="28" t="n">
        <x:f>SUM(IF(AR$4=EDATE('核心假设'!$B$5,0-1+'核心假设'!$B$31),SUM('融资租赁与资金缺口'!$M$5:$M$16)*$M5,0),IF(AR$4=EDATE('核心假设'!$B$5,1-1+'核心假设'!$B$31),SUM('融资租赁与资金缺口'!$M$5:$M$16)*$N5,0),IF(AR$4=EDATE('核心假设'!$B$5,2-1+'核心假设'!$B$31),SUM('融资租赁与资金缺口'!$M$5:$M$16)*$O5,0),IF(AR$4=EDATE('核心假设'!$B$5,3-1+'核心假设'!$B$31),SUM('融资租赁与资金缺口'!$M$5:$M$16)*$P5,0),IF(AR$4=EDATE('核心假设'!$B$5,4-1+'核心假设'!$B$31),SUM('融资租赁与资金缺口'!$M$5:$M$16)*$Q5,0),IF(AR$4=EDATE('核心假设'!$B$5,5-1+'核心假设'!$B$31),SUM('融资租赁与资金缺口'!$M$5:$M$16)*$R5,0),IF(AR$4=EDATE('核心假设'!$B$5,6-1+'核心假设'!$B$31),SUM('融资租赁与资金缺口'!$M$5:$M$16)*$S5,0),IF(AR$4=EDATE('核心假设'!$B$5,7-1+'核心假设'!$B$31),SUM('融资租赁与资金缺口'!$M$5:$M$16)*$T5,0),IF(AR$4=EDATE('核心假设'!$B$5,8-1+'核心假设'!$B$31),SUM('融资租赁与资金缺口'!$M$5:$M$16)*$U5,0),IF(AR$4=EDATE('核心假设'!$B$5,9-1+'核心假设'!$B$31),SUM('融资租赁与资金缺口'!$M$5:$M$16)*$V5,0),IF(AR$4=EDATE('核心假设'!$B$5,10-1+'核心假设'!$B$31),SUM('融资租赁与资金缺口'!$M$5:$M$16)*$W5,0),IF(AR$4=EDATE('核心假设'!$B$5,11-1+'核心假设'!$B$31),SUM('融资租赁与资金缺口'!$M$5:$M$16)*$X5,0),IF(AR$4=EDATE('核心假设'!$B$5,12-1+'核心假设'!$B$31),SUM('融资租赁与资金缺口'!$M$5:$M$16)*$Y5,0),IF(AR$4=EDATE('核心假设'!$B$5,13-1+'核心假设'!$B$31),SUM('融资租赁与资金缺口'!$M$5:$M$16)*$Z5,0),IF(AR$4=EDATE('核心假设'!$B$5,14-1+'核心假设'!$B$31),SUM('融资租赁与资金缺口'!$M$5:$M$16)*$AA5,0),IF(AR$4=EDATE('核心假设'!$B$5,15-1+'核心假设'!$B$31),SUM('融资租赁与资金缺口'!$M$5:$M$16)*$AB5,0),IF(AR$4=EDATE('核心假设'!$B$5,16-1+'核心假设'!$B$31),SUM('融资租赁与资金缺口'!$M$5:$M$16)*$AC5,0),IF(AR$4=EDATE('核心假设'!$B$5,17-1+'核心假设'!$B$31),SUM('融资租赁与资金缺口'!$M$5:$M$16)*$AD5,0))</x:f>
        <x:v>38418000</x:v>
      </x:c>
      <x:c r="AS9" s="28" t="n">
        <x:f>SUM(IF(AS$4=EDATE('核心假设'!$B$5,0-1+'核心假设'!$B$31),SUM('融资租赁与资金缺口'!$M$5:$M$16)*$M5,0),IF(AS$4=EDATE('核心假设'!$B$5,1-1+'核心假设'!$B$31),SUM('融资租赁与资金缺口'!$M$5:$M$16)*$N5,0),IF(AS$4=EDATE('核心假设'!$B$5,2-1+'核心假设'!$B$31),SUM('融资租赁与资金缺口'!$M$5:$M$16)*$O5,0),IF(AS$4=EDATE('核心假设'!$B$5,3-1+'核心假设'!$B$31),SUM('融资租赁与资金缺口'!$M$5:$M$16)*$P5,0),IF(AS$4=EDATE('核心假设'!$B$5,4-1+'核心假设'!$B$31),SUM('融资租赁与资金缺口'!$M$5:$M$16)*$Q5,0),IF(AS$4=EDATE('核心假设'!$B$5,5-1+'核心假设'!$B$31),SUM('融资租赁与资金缺口'!$M$5:$M$16)*$R5,0),IF(AS$4=EDATE('核心假设'!$B$5,6-1+'核心假设'!$B$31),SUM('融资租赁与资金缺口'!$M$5:$M$16)*$S5,0),IF(AS$4=EDATE('核心假设'!$B$5,7-1+'核心假设'!$B$31),SUM('融资租赁与资金缺口'!$M$5:$M$16)*$T5,0),IF(AS$4=EDATE('核心假设'!$B$5,8-1+'核心假设'!$B$31),SUM('融资租赁与资金缺口'!$M$5:$M$16)*$U5,0),IF(AS$4=EDATE('核心假设'!$B$5,9-1+'核心假设'!$B$31),SUM('融资租赁与资金缺口'!$M$5:$M$16)*$V5,0),IF(AS$4=EDATE('核心假设'!$B$5,10-1+'核心假设'!$B$31),SUM('融资租赁与资金缺口'!$M$5:$M$16)*$W5,0),IF(AS$4=EDATE('核心假设'!$B$5,11-1+'核心假设'!$B$31),SUM('融资租赁与资金缺口'!$M$5:$M$16)*$X5,0),IF(AS$4=EDATE('核心假设'!$B$5,12-1+'核心假设'!$B$31),SUM('融资租赁与资金缺口'!$M$5:$M$16)*$Y5,0),IF(AS$4=EDATE('核心假设'!$B$5,13-1+'核心假设'!$B$31),SUM('融资租赁与资金缺口'!$M$5:$M$16)*$Z5,0),IF(AS$4=EDATE('核心假设'!$B$5,14-1+'核心假设'!$B$31),SUM('融资租赁与资金缺口'!$M$5:$M$16)*$AA5,0),IF(AS$4=EDATE('核心假设'!$B$5,15-1+'核心假设'!$B$31),SUM('融资租赁与资金缺口'!$M$5:$M$16)*$AB5,0),IF(AS$4=EDATE('核心假设'!$B$5,16-1+'核心假设'!$B$31),SUM('融资租赁与资金缺口'!$M$5:$M$16)*$AC5,0),IF(AS$4=EDATE('核心假设'!$B$5,17-1+'核心假设'!$B$31),SUM('融资租赁与资金缺口'!$M$5:$M$16)*$AD5,0))</x:f>
        <x:v>0</x:v>
      </x:c>
      <x:c r="AT9" s="28" t="n">
        <x:f>SUM(IF(AT$4=EDATE('核心假设'!$B$5,0-1+'核心假设'!$B$31),SUM('融资租赁与资金缺口'!$M$5:$M$16)*$M5,0),IF(AT$4=EDATE('核心假设'!$B$5,1-1+'核心假设'!$B$31),SUM('融资租赁与资金缺口'!$M$5:$M$16)*$N5,0),IF(AT$4=EDATE('核心假设'!$B$5,2-1+'核心假设'!$B$31),SUM('融资租赁与资金缺口'!$M$5:$M$16)*$O5,0),IF(AT$4=EDATE('核心假设'!$B$5,3-1+'核心假设'!$B$31),SUM('融资租赁与资金缺口'!$M$5:$M$16)*$P5,0),IF(AT$4=EDATE('核心假设'!$B$5,4-1+'核心假设'!$B$31),SUM('融资租赁与资金缺口'!$M$5:$M$16)*$Q5,0),IF(AT$4=EDATE('核心假设'!$B$5,5-1+'核心假设'!$B$31),SUM('融资租赁与资金缺口'!$M$5:$M$16)*$R5,0),IF(AT$4=EDATE('核心假设'!$B$5,6-1+'核心假设'!$B$31),SUM('融资租赁与资金缺口'!$M$5:$M$16)*$S5,0),IF(AT$4=EDATE('核心假设'!$B$5,7-1+'核心假设'!$B$31),SUM('融资租赁与资金缺口'!$M$5:$M$16)*$T5,0),IF(AT$4=EDATE('核心假设'!$B$5,8-1+'核心假设'!$B$31),SUM('融资租赁与资金缺口'!$M$5:$M$16)*$U5,0),IF(AT$4=EDATE('核心假设'!$B$5,9-1+'核心假设'!$B$31),SUM('融资租赁与资金缺口'!$M$5:$M$16)*$V5,0),IF(AT$4=EDATE('核心假设'!$B$5,10-1+'核心假设'!$B$31),SUM('融资租赁与资金缺口'!$M$5:$M$16)*$W5,0),IF(AT$4=EDATE('核心假设'!$B$5,11-1+'核心假设'!$B$31),SUM('融资租赁与资金缺口'!$M$5:$M$16)*$X5,0),IF(AT$4=EDATE('核心假设'!$B$5,12-1+'核心假设'!$B$31),SUM('融资租赁与资金缺口'!$M$5:$M$16)*$Y5,0),IF(AT$4=EDATE('核心假设'!$B$5,13-1+'核心假设'!$B$31),SUM('融资租赁与资金缺口'!$M$5:$M$16)*$Z5,0),IF(AT$4=EDATE('核心假设'!$B$5,14-1+'核心假设'!$B$31),SUM('融资租赁与资金缺口'!$M$5:$M$16)*$AA5,0),IF(AT$4=EDATE('核心假设'!$B$5,15-1+'核心假设'!$B$31),SUM('融资租赁与资金缺口'!$M$5:$M$16)*$AB5,0),IF(AT$4=EDATE('核心假设'!$B$5,16-1+'核心假设'!$B$31),SUM('融资租赁与资金缺口'!$M$5:$M$16)*$AC5,0),IF(AT$4=EDATE('核心假设'!$B$5,17-1+'核心假设'!$B$31),SUM('融资租赁与资金缺口'!$M$5:$M$16)*$AD5,0))</x:f>
        <x:v>0</x:v>
      </x:c>
      <x:c r="AU9" s="28" t="n">
        <x:f>SUM(IF(AU$4=EDATE('核心假设'!$B$5,0-1+'核心假设'!$B$31),SUM('融资租赁与资金缺口'!$M$5:$M$16)*$M5,0),IF(AU$4=EDATE('核心假设'!$B$5,1-1+'核心假设'!$B$31),SUM('融资租赁与资金缺口'!$M$5:$M$16)*$N5,0),IF(AU$4=EDATE('核心假设'!$B$5,2-1+'核心假设'!$B$31),SUM('融资租赁与资金缺口'!$M$5:$M$16)*$O5,0),IF(AU$4=EDATE('核心假设'!$B$5,3-1+'核心假设'!$B$31),SUM('融资租赁与资金缺口'!$M$5:$M$16)*$P5,0),IF(AU$4=EDATE('核心假设'!$B$5,4-1+'核心假设'!$B$31),SUM('融资租赁与资金缺口'!$M$5:$M$16)*$Q5,0),IF(AU$4=EDATE('核心假设'!$B$5,5-1+'核心假设'!$B$31),SUM('融资租赁与资金缺口'!$M$5:$M$16)*$R5,0),IF(AU$4=EDATE('核心假设'!$B$5,6-1+'核心假设'!$B$31),SUM('融资租赁与资金缺口'!$M$5:$M$16)*$S5,0),IF(AU$4=EDATE('核心假设'!$B$5,7-1+'核心假设'!$B$31),SUM('融资租赁与资金缺口'!$M$5:$M$16)*$T5,0),IF(AU$4=EDATE('核心假设'!$B$5,8-1+'核心假设'!$B$31),SUM('融资租赁与资金缺口'!$M$5:$M$16)*$U5,0),IF(AU$4=EDATE('核心假设'!$B$5,9-1+'核心假设'!$B$31),SUM('融资租赁与资金缺口'!$M$5:$M$16)*$V5,0),IF(AU$4=EDATE('核心假设'!$B$5,10-1+'核心假设'!$B$31),SUM('融资租赁与资金缺口'!$M$5:$M$16)*$W5,0),IF(AU$4=EDATE('核心假设'!$B$5,11-1+'核心假设'!$B$31),SUM('融资租赁与资金缺口'!$M$5:$M$16)*$X5,0),IF(AU$4=EDATE('核心假设'!$B$5,12-1+'核心假设'!$B$31),SUM('融资租赁与资金缺口'!$M$5:$M$16)*$Y5,0),IF(AU$4=EDATE('核心假设'!$B$5,13-1+'核心假设'!$B$31),SUM('融资租赁与资金缺口'!$M$5:$M$16)*$Z5,0),IF(AU$4=EDATE('核心假设'!$B$5,14-1+'核心假设'!$B$31),SUM('融资租赁与资金缺口'!$M$5:$M$16)*$AA5,0),IF(AU$4=EDATE('核心假设'!$B$5,15-1+'核心假设'!$B$31),SUM('融资租赁与资金缺口'!$M$5:$M$16)*$AB5,0),IF(AU$4=EDATE('核心假设'!$B$5,16-1+'核心假设'!$B$31),SUM('融资租赁与资金缺口'!$M$5:$M$16)*$AC5,0),IF(AU$4=EDATE('核心假设'!$B$5,17-1+'核心假设'!$B$31),SUM('融资租赁与资金缺口'!$M$5:$M$16)*$AD5,0))</x:f>
        <x:v>0</x:v>
      </x:c>
      <x:c r="AV9" s="28" t="n">
        <x:f>SUM(IF(AV$4=EDATE('核心假设'!$B$5,0-1+'核心假设'!$B$31),SUM('融资租赁与资金缺口'!$M$5:$M$16)*$M5,0),IF(AV$4=EDATE('核心假设'!$B$5,1-1+'核心假设'!$B$31),SUM('融资租赁与资金缺口'!$M$5:$M$16)*$N5,0),IF(AV$4=EDATE('核心假设'!$B$5,2-1+'核心假设'!$B$31),SUM('融资租赁与资金缺口'!$M$5:$M$16)*$O5,0),IF(AV$4=EDATE('核心假设'!$B$5,3-1+'核心假设'!$B$31),SUM('融资租赁与资金缺口'!$M$5:$M$16)*$P5,0),IF(AV$4=EDATE('核心假设'!$B$5,4-1+'核心假设'!$B$31),SUM('融资租赁与资金缺口'!$M$5:$M$16)*$Q5,0),IF(AV$4=EDATE('核心假设'!$B$5,5-1+'核心假设'!$B$31),SUM('融资租赁与资金缺口'!$M$5:$M$16)*$R5,0),IF(AV$4=EDATE('核心假设'!$B$5,6-1+'核心假设'!$B$31),SUM('融资租赁与资金缺口'!$M$5:$M$16)*$S5,0),IF(AV$4=EDATE('核心假设'!$B$5,7-1+'核心假设'!$B$31),SUM('融资租赁与资金缺口'!$M$5:$M$16)*$T5,0),IF(AV$4=EDATE('核心假设'!$B$5,8-1+'核心假设'!$B$31),SUM('融资租赁与资金缺口'!$M$5:$M$16)*$U5,0),IF(AV$4=EDATE('核心假设'!$B$5,9-1+'核心假设'!$B$31),SUM('融资租赁与资金缺口'!$M$5:$M$16)*$V5,0),IF(AV$4=EDATE('核心假设'!$B$5,10-1+'核心假设'!$B$31),SUM('融资租赁与资金缺口'!$M$5:$M$16)*$W5,0),IF(AV$4=EDATE('核心假设'!$B$5,11-1+'核心假设'!$B$31),SUM('融资租赁与资金缺口'!$M$5:$M$16)*$X5,0),IF(AV$4=EDATE('核心假设'!$B$5,12-1+'核心假设'!$B$31),SUM('融资租赁与资金缺口'!$M$5:$M$16)*$Y5,0),IF(AV$4=EDATE('核心假设'!$B$5,13-1+'核心假设'!$B$31),SUM('融资租赁与资金缺口'!$M$5:$M$16)*$Z5,0),IF(AV$4=EDATE('核心假设'!$B$5,14-1+'核心假设'!$B$31),SUM('融资租赁与资金缺口'!$M$5:$M$16)*$AA5,0),IF(AV$4=EDATE('核心假设'!$B$5,15-1+'核心假设'!$B$31),SUM('融资租赁与资金缺口'!$M$5:$M$16)*$AB5,0),IF(AV$4=EDATE('核心假设'!$B$5,16-1+'核心假设'!$B$31),SUM('融资租赁与资金缺口'!$M$5:$M$16)*$AC5,0),IF(AV$4=EDATE('核心假设'!$B$5,17-1+'核心假设'!$B$31),SUM('融资租赁与资金缺口'!$M$5:$M$16)*$AD5,0))</x:f>
        <x:v>0</x:v>
      </x:c>
      <x:c r="AW9" s="28" t="n">
        <x:f>SUM(IF(AW$4=EDATE('核心假设'!$B$5,0-1+'核心假设'!$B$31),SUM('融资租赁与资金缺口'!$M$5:$M$16)*$M5,0),IF(AW$4=EDATE('核心假设'!$B$5,1-1+'核心假设'!$B$31),SUM('融资租赁与资金缺口'!$M$5:$M$16)*$N5,0),IF(AW$4=EDATE('核心假设'!$B$5,2-1+'核心假设'!$B$31),SUM('融资租赁与资金缺口'!$M$5:$M$16)*$O5,0),IF(AW$4=EDATE('核心假设'!$B$5,3-1+'核心假设'!$B$31),SUM('融资租赁与资金缺口'!$M$5:$M$16)*$P5,0),IF(AW$4=EDATE('核心假设'!$B$5,4-1+'核心假设'!$B$31),SUM('融资租赁与资金缺口'!$M$5:$M$16)*$Q5,0),IF(AW$4=EDATE('核心假设'!$B$5,5-1+'核心假设'!$B$31),SUM('融资租赁与资金缺口'!$M$5:$M$16)*$R5,0),IF(AW$4=EDATE('核心假设'!$B$5,6-1+'核心假设'!$B$31),SUM('融资租赁与资金缺口'!$M$5:$M$16)*$S5,0),IF(AW$4=EDATE('核心假设'!$B$5,7-1+'核心假设'!$B$31),SUM('融资租赁与资金缺口'!$M$5:$M$16)*$T5,0),IF(AW$4=EDATE('核心假设'!$B$5,8-1+'核心假设'!$B$31),SUM('融资租赁与资金缺口'!$M$5:$M$16)*$U5,0),IF(AW$4=EDATE('核心假设'!$B$5,9-1+'核心假设'!$B$31),SUM('融资租赁与资金缺口'!$M$5:$M$16)*$V5,0),IF(AW$4=EDATE('核心假设'!$B$5,10-1+'核心假设'!$B$31),SUM('融资租赁与资金缺口'!$M$5:$M$16)*$W5,0),IF(AW$4=EDATE('核心假设'!$B$5,11-1+'核心假设'!$B$31),SUM('融资租赁与资金缺口'!$M$5:$M$16)*$X5,0),IF(AW$4=EDATE('核心假设'!$B$5,12-1+'核心假设'!$B$31),SUM('融资租赁与资金缺口'!$M$5:$M$16)*$Y5,0),IF(AW$4=EDATE('核心假设'!$B$5,13-1+'核心假设'!$B$31),SUM('融资租赁与资金缺口'!$M$5:$M$16)*$Z5,0),IF(AW$4=EDATE('核心假设'!$B$5,14-1+'核心假设'!$B$31),SUM('融资租赁与资金缺口'!$M$5:$M$16)*$AA5,0),IF(AW$4=EDATE('核心假设'!$B$5,15-1+'核心假设'!$B$31),SUM('融资租赁与资金缺口'!$M$5:$M$16)*$AB5,0),IF(AW$4=EDATE('核心假设'!$B$5,16-1+'核心假设'!$B$31),SUM('融资租赁与资金缺口'!$M$5:$M$16)*$AC5,0),IF(AW$4=EDATE('核心假设'!$B$5,17-1+'核心假设'!$B$31),SUM('融资租赁与资金缺口'!$M$5:$M$16)*$AD5,0))</x:f>
        <x:v>0</x:v>
      </x:c>
      <x:c r="AX9" s="28" t="n">
        <x:f>SUM(IF(AX$4=EDATE('核心假设'!$B$5,0-1+'核心假设'!$B$31),SUM('融资租赁与资金缺口'!$M$5:$M$16)*$M5,0),IF(AX$4=EDATE('核心假设'!$B$5,1-1+'核心假设'!$B$31),SUM('融资租赁与资金缺口'!$M$5:$M$16)*$N5,0),IF(AX$4=EDATE('核心假设'!$B$5,2-1+'核心假设'!$B$31),SUM('融资租赁与资金缺口'!$M$5:$M$16)*$O5,0),IF(AX$4=EDATE('核心假设'!$B$5,3-1+'核心假设'!$B$31),SUM('融资租赁与资金缺口'!$M$5:$M$16)*$P5,0),IF(AX$4=EDATE('核心假设'!$B$5,4-1+'核心假设'!$B$31),SUM('融资租赁与资金缺口'!$M$5:$M$16)*$Q5,0),IF(AX$4=EDATE('核心假设'!$B$5,5-1+'核心假设'!$B$31),SUM('融资租赁与资金缺口'!$M$5:$M$16)*$R5,0),IF(AX$4=EDATE('核心假设'!$B$5,6-1+'核心假设'!$B$31),SUM('融资租赁与资金缺口'!$M$5:$M$16)*$S5,0),IF(AX$4=EDATE('核心假设'!$B$5,7-1+'核心假设'!$B$31),SUM('融资租赁与资金缺口'!$M$5:$M$16)*$T5,0),IF(AX$4=EDATE('核心假设'!$B$5,8-1+'核心假设'!$B$31),SUM('融资租赁与资金缺口'!$M$5:$M$16)*$U5,0),IF(AX$4=EDATE('核心假设'!$B$5,9-1+'核心假设'!$B$31),SUM('融资租赁与资金缺口'!$M$5:$M$16)*$V5,0),IF(AX$4=EDATE('核心假设'!$B$5,10-1+'核心假设'!$B$31),SUM('融资租赁与资金缺口'!$M$5:$M$16)*$W5,0),IF(AX$4=EDATE('核心假设'!$B$5,11-1+'核心假设'!$B$31),SUM('融资租赁与资金缺口'!$M$5:$M$16)*$X5,0),IF(AX$4=EDATE('核心假设'!$B$5,12-1+'核心假设'!$B$31),SUM('融资租赁与资金缺口'!$M$5:$M$16)*$Y5,0),IF(AX$4=EDATE('核心假设'!$B$5,13-1+'核心假设'!$B$31),SUM('融资租赁与资金缺口'!$M$5:$M$16)*$Z5,0),IF(AX$4=EDATE('核心假设'!$B$5,14-1+'核心假设'!$B$31),SUM('融资租赁与资金缺口'!$M$5:$M$16)*$AA5,0),IF(AX$4=EDATE('核心假设'!$B$5,15-1+'核心假设'!$B$31),SUM('融资租赁与资金缺口'!$M$5:$M$16)*$AB5,0),IF(AX$4=EDATE('核心假设'!$B$5,16-1+'核心假设'!$B$31),SUM('融资租赁与资金缺口'!$M$5:$M$16)*$AC5,0),IF(AX$4=EDATE('核心假设'!$B$5,17-1+'核心假设'!$B$31),SUM('融资租赁与资金缺口'!$M$5:$M$16)*$AD5,0))</x:f>
        <x:v>0</x:v>
      </x:c>
      <x:c r="AY9" s="28" t="n">
        <x:f>SUM(IF(AY$4=EDATE('核心假设'!$B$5,0-1+'核心假设'!$B$31),SUM('融资租赁与资金缺口'!$M$5:$M$16)*$M5,0),IF(AY$4=EDATE('核心假设'!$B$5,1-1+'核心假设'!$B$31),SUM('融资租赁与资金缺口'!$M$5:$M$16)*$N5,0),IF(AY$4=EDATE('核心假设'!$B$5,2-1+'核心假设'!$B$31),SUM('融资租赁与资金缺口'!$M$5:$M$16)*$O5,0),IF(AY$4=EDATE('核心假设'!$B$5,3-1+'核心假设'!$B$31),SUM('融资租赁与资金缺口'!$M$5:$M$16)*$P5,0),IF(AY$4=EDATE('核心假设'!$B$5,4-1+'核心假设'!$B$31),SUM('融资租赁与资金缺口'!$M$5:$M$16)*$Q5,0),IF(AY$4=EDATE('核心假设'!$B$5,5-1+'核心假设'!$B$31),SUM('融资租赁与资金缺口'!$M$5:$M$16)*$R5,0),IF(AY$4=EDATE('核心假设'!$B$5,6-1+'核心假设'!$B$31),SUM('融资租赁与资金缺口'!$M$5:$M$16)*$S5,0),IF(AY$4=EDATE('核心假设'!$B$5,7-1+'核心假设'!$B$31),SUM('融资租赁与资金缺口'!$M$5:$M$16)*$T5,0),IF(AY$4=EDATE('核心假设'!$B$5,8-1+'核心假设'!$B$31),SUM('融资租赁与资金缺口'!$M$5:$M$16)*$U5,0),IF(AY$4=EDATE('核心假设'!$B$5,9-1+'核心假设'!$B$31),SUM('融资租赁与资金缺口'!$M$5:$M$16)*$V5,0),IF(AY$4=EDATE('核心假设'!$B$5,10-1+'核心假设'!$B$31),SUM('融资租赁与资金缺口'!$M$5:$M$16)*$W5,0),IF(AY$4=EDATE('核心假设'!$B$5,11-1+'核心假设'!$B$31),SUM('融资租赁与资金缺口'!$M$5:$M$16)*$X5,0),IF(AY$4=EDATE('核心假设'!$B$5,12-1+'核心假设'!$B$31),SUM('融资租赁与资金缺口'!$M$5:$M$16)*$Y5,0),IF(AY$4=EDATE('核心假设'!$B$5,13-1+'核心假设'!$B$31),SUM('融资租赁与资金缺口'!$M$5:$M$16)*$Z5,0),IF(AY$4=EDATE('核心假设'!$B$5,14-1+'核心假设'!$B$31),SUM('融资租赁与资金缺口'!$M$5:$M$16)*$AA5,0),IF(AY$4=EDATE('核心假设'!$B$5,15-1+'核心假设'!$B$31),SUM('融资租赁与资金缺口'!$M$5:$M$16)*$AB5,0),IF(AY$4=EDATE('核心假设'!$B$5,16-1+'核心假设'!$B$31),SUM('融资租赁与资金缺口'!$M$5:$M$16)*$AC5,0),IF(AY$4=EDATE('核心假设'!$B$5,17-1+'核心假设'!$B$31),SUM('融资租赁与资金缺口'!$M$5:$M$16)*$AD5,0))</x:f>
        <x:v>0</x:v>
      </x:c>
      <x:c r="AZ9" s="28" t="n">
        <x:f>SUM(IF(AZ$4=EDATE('核心假设'!$B$5,0-1+'核心假设'!$B$31),SUM('融资租赁与资金缺口'!$M$5:$M$16)*$M5,0),IF(AZ$4=EDATE('核心假设'!$B$5,1-1+'核心假设'!$B$31),SUM('融资租赁与资金缺口'!$M$5:$M$16)*$N5,0),IF(AZ$4=EDATE('核心假设'!$B$5,2-1+'核心假设'!$B$31),SUM('融资租赁与资金缺口'!$M$5:$M$16)*$O5,0),IF(AZ$4=EDATE('核心假设'!$B$5,3-1+'核心假设'!$B$31),SUM('融资租赁与资金缺口'!$M$5:$M$16)*$P5,0),IF(AZ$4=EDATE('核心假设'!$B$5,4-1+'核心假设'!$B$31),SUM('融资租赁与资金缺口'!$M$5:$M$16)*$Q5,0),IF(AZ$4=EDATE('核心假设'!$B$5,5-1+'核心假设'!$B$31),SUM('融资租赁与资金缺口'!$M$5:$M$16)*$R5,0),IF(AZ$4=EDATE('核心假设'!$B$5,6-1+'核心假设'!$B$31),SUM('融资租赁与资金缺口'!$M$5:$M$16)*$S5,0),IF(AZ$4=EDATE('核心假设'!$B$5,7-1+'核心假设'!$B$31),SUM('融资租赁与资金缺口'!$M$5:$M$16)*$T5,0),IF(AZ$4=EDATE('核心假设'!$B$5,8-1+'核心假设'!$B$31),SUM('融资租赁与资金缺口'!$M$5:$M$16)*$U5,0),IF(AZ$4=EDATE('核心假设'!$B$5,9-1+'核心假设'!$B$31),SUM('融资租赁与资金缺口'!$M$5:$M$16)*$V5,0),IF(AZ$4=EDATE('核心假设'!$B$5,10-1+'核心假设'!$B$31),SUM('融资租赁与资金缺口'!$M$5:$M$16)*$W5,0),IF(AZ$4=EDATE('核心假设'!$B$5,11-1+'核心假设'!$B$31),SUM('融资租赁与资金缺口'!$M$5:$M$16)*$X5,0),IF(AZ$4=EDATE('核心假设'!$B$5,12-1+'核心假设'!$B$31),SUM('融资租赁与资金缺口'!$M$5:$M$16)*$Y5,0),IF(AZ$4=EDATE('核心假设'!$B$5,13-1+'核心假设'!$B$31),SUM('融资租赁与资金缺口'!$M$5:$M$16)*$Z5,0),IF(AZ$4=EDATE('核心假设'!$B$5,14-1+'核心假设'!$B$31),SUM('融资租赁与资金缺口'!$M$5:$M$16)*$AA5,0),IF(AZ$4=EDATE('核心假设'!$B$5,15-1+'核心假设'!$B$31),SUM('融资租赁与资金缺口'!$M$5:$M$16)*$AB5,0),IF(AZ$4=EDATE('核心假设'!$B$5,16-1+'核心假设'!$B$31),SUM('融资租赁与资金缺口'!$M$5:$M$16)*$AC5,0),IF(AZ$4=EDATE('核心假设'!$B$5,17-1+'核心假设'!$B$31),SUM('融资租赁与资金缺口'!$M$5:$M$16)*$AD5,0))</x:f>
        <x:v>0</x:v>
      </x:c>
      <x:c r="BA9" s="28" t="n">
        <x:f>SUM(IF(BA$4=EDATE('核心假设'!$B$5,0-1+'核心假设'!$B$31),SUM('融资租赁与资金缺口'!$M$5:$M$16)*$M5,0),IF(BA$4=EDATE('核心假设'!$B$5,1-1+'核心假设'!$B$31),SUM('融资租赁与资金缺口'!$M$5:$M$16)*$N5,0),IF(BA$4=EDATE('核心假设'!$B$5,2-1+'核心假设'!$B$31),SUM('融资租赁与资金缺口'!$M$5:$M$16)*$O5,0),IF(BA$4=EDATE('核心假设'!$B$5,3-1+'核心假设'!$B$31),SUM('融资租赁与资金缺口'!$M$5:$M$16)*$P5,0),IF(BA$4=EDATE('核心假设'!$B$5,4-1+'核心假设'!$B$31),SUM('融资租赁与资金缺口'!$M$5:$M$16)*$Q5,0),IF(BA$4=EDATE('核心假设'!$B$5,5-1+'核心假设'!$B$31),SUM('融资租赁与资金缺口'!$M$5:$M$16)*$R5,0),IF(BA$4=EDATE('核心假设'!$B$5,6-1+'核心假设'!$B$31),SUM('融资租赁与资金缺口'!$M$5:$M$16)*$S5,0),IF(BA$4=EDATE('核心假设'!$B$5,7-1+'核心假设'!$B$31),SUM('融资租赁与资金缺口'!$M$5:$M$16)*$T5,0),IF(BA$4=EDATE('核心假设'!$B$5,8-1+'核心假设'!$B$31),SUM('融资租赁与资金缺口'!$M$5:$M$16)*$U5,0),IF(BA$4=EDATE('核心假设'!$B$5,9-1+'核心假设'!$B$31),SUM('融资租赁与资金缺口'!$M$5:$M$16)*$V5,0),IF(BA$4=EDATE('核心假设'!$B$5,10-1+'核心假设'!$B$31),SUM('融资租赁与资金缺口'!$M$5:$M$16)*$W5,0),IF(BA$4=EDATE('核心假设'!$B$5,11-1+'核心假设'!$B$31),SUM('融资租赁与资金缺口'!$M$5:$M$16)*$X5,0),IF(BA$4=EDATE('核心假设'!$B$5,12-1+'核心假设'!$B$31),SUM('融资租赁与资金缺口'!$M$5:$M$16)*$Y5,0),IF(BA$4=EDATE('核心假设'!$B$5,13-1+'核心假设'!$B$31),SUM('融资租赁与资金缺口'!$M$5:$M$16)*$Z5,0),IF(BA$4=EDATE('核心假设'!$B$5,14-1+'核心假设'!$B$31),SUM('融资租赁与资金缺口'!$M$5:$M$16)*$AA5,0),IF(BA$4=EDATE('核心假设'!$B$5,15-1+'核心假设'!$B$31),SUM('融资租赁与资金缺口'!$M$5:$M$16)*$AB5,0),IF(BA$4=EDATE('核心假设'!$B$5,16-1+'核心假设'!$B$31),SUM('融资租赁与资金缺口'!$M$5:$M$16)*$AC5,0),IF(BA$4=EDATE('核心假设'!$B$5,17-1+'核心假设'!$B$31),SUM('融资租赁与资金缺口'!$M$5:$M$16)*$AD5,0))</x:f>
        <x:v>0</x:v>
      </x:c>
      <x:c r="BB9" s="28" t="n">
        <x:f>SUM(IF(BB$4=EDATE('核心假设'!$B$5,0-1+'核心假设'!$B$31),SUM('融资租赁与资金缺口'!$M$5:$M$16)*$M5,0),IF(BB$4=EDATE('核心假设'!$B$5,1-1+'核心假设'!$B$31),SUM('融资租赁与资金缺口'!$M$5:$M$16)*$N5,0),IF(BB$4=EDATE('核心假设'!$B$5,2-1+'核心假设'!$B$31),SUM('融资租赁与资金缺口'!$M$5:$M$16)*$O5,0),IF(BB$4=EDATE('核心假设'!$B$5,3-1+'核心假设'!$B$31),SUM('融资租赁与资金缺口'!$M$5:$M$16)*$P5,0),IF(BB$4=EDATE('核心假设'!$B$5,4-1+'核心假设'!$B$31),SUM('融资租赁与资金缺口'!$M$5:$M$16)*$Q5,0),IF(BB$4=EDATE('核心假设'!$B$5,5-1+'核心假设'!$B$31),SUM('融资租赁与资金缺口'!$M$5:$M$16)*$R5,0),IF(BB$4=EDATE('核心假设'!$B$5,6-1+'核心假设'!$B$31),SUM('融资租赁与资金缺口'!$M$5:$M$16)*$S5,0),IF(BB$4=EDATE('核心假设'!$B$5,7-1+'核心假设'!$B$31),SUM('融资租赁与资金缺口'!$M$5:$M$16)*$T5,0),IF(BB$4=EDATE('核心假设'!$B$5,8-1+'核心假设'!$B$31),SUM('融资租赁与资金缺口'!$M$5:$M$16)*$U5,0),IF(BB$4=EDATE('核心假设'!$B$5,9-1+'核心假设'!$B$31),SUM('融资租赁与资金缺口'!$M$5:$M$16)*$V5,0),IF(BB$4=EDATE('核心假设'!$B$5,10-1+'核心假设'!$B$31),SUM('融资租赁与资金缺口'!$M$5:$M$16)*$W5,0),IF(BB$4=EDATE('核心假设'!$B$5,11-1+'核心假设'!$B$31),SUM('融资租赁与资金缺口'!$M$5:$M$16)*$X5,0),IF(BB$4=EDATE('核心假设'!$B$5,12-1+'核心假设'!$B$31),SUM('融资租赁与资金缺口'!$M$5:$M$16)*$Y5,0),IF(BB$4=EDATE('核心假设'!$B$5,13-1+'核心假设'!$B$31),SUM('融资租赁与资金缺口'!$M$5:$M$16)*$Z5,0),IF(BB$4=EDATE('核心假设'!$B$5,14-1+'核心假设'!$B$31),SUM('融资租赁与资金缺口'!$M$5:$M$16)*$AA5,0),IF(BB$4=EDATE('核心假设'!$B$5,15-1+'核心假设'!$B$31),SUM('融资租赁与资金缺口'!$M$5:$M$16)*$AB5,0),IF(BB$4=EDATE('核心假设'!$B$5,16-1+'核心假设'!$B$31),SUM('融资租赁与资金缺口'!$M$5:$M$16)*$AC5,0),IF(BB$4=EDATE('核心假设'!$B$5,17-1+'核心假设'!$B$31),SUM('融资租赁与资金缺口'!$M$5:$M$16)*$AD5,0))</x:f>
        <x:v>0</x:v>
      </x:c>
      <x:c r="BC9" s="28" t="n">
        <x:f>SUM(IF(BC$4=EDATE('核心假设'!$B$5,0-1+'核心假设'!$B$31),SUM('融资租赁与资金缺口'!$M$5:$M$16)*$M5,0),IF(BC$4=EDATE('核心假设'!$B$5,1-1+'核心假设'!$B$31),SUM('融资租赁与资金缺口'!$M$5:$M$16)*$N5,0),IF(BC$4=EDATE('核心假设'!$B$5,2-1+'核心假设'!$B$31),SUM('融资租赁与资金缺口'!$M$5:$M$16)*$O5,0),IF(BC$4=EDATE('核心假设'!$B$5,3-1+'核心假设'!$B$31),SUM('融资租赁与资金缺口'!$M$5:$M$16)*$P5,0),IF(BC$4=EDATE('核心假设'!$B$5,4-1+'核心假设'!$B$31),SUM('融资租赁与资金缺口'!$M$5:$M$16)*$Q5,0),IF(BC$4=EDATE('核心假设'!$B$5,5-1+'核心假设'!$B$31),SUM('融资租赁与资金缺口'!$M$5:$M$16)*$R5,0),IF(BC$4=EDATE('核心假设'!$B$5,6-1+'核心假设'!$B$31),SUM('融资租赁与资金缺口'!$M$5:$M$16)*$S5,0),IF(BC$4=EDATE('核心假设'!$B$5,7-1+'核心假设'!$B$31),SUM('融资租赁与资金缺口'!$M$5:$M$16)*$T5,0),IF(BC$4=EDATE('核心假设'!$B$5,8-1+'核心假设'!$B$31),SUM('融资租赁与资金缺口'!$M$5:$M$16)*$U5,0),IF(BC$4=EDATE('核心假设'!$B$5,9-1+'核心假设'!$B$31),SUM('融资租赁与资金缺口'!$M$5:$M$16)*$V5,0),IF(BC$4=EDATE('核心假设'!$B$5,10-1+'核心假设'!$B$31),SUM('融资租赁与资金缺口'!$M$5:$M$16)*$W5,0),IF(BC$4=EDATE('核心假设'!$B$5,11-1+'核心假设'!$B$31),SUM('融资租赁与资金缺口'!$M$5:$M$16)*$X5,0),IF(BC$4=EDATE('核心假设'!$B$5,12-1+'核心假设'!$B$31),SUM('融资租赁与资金缺口'!$M$5:$M$16)*$Y5,0),IF(BC$4=EDATE('核心假设'!$B$5,13-1+'核心假设'!$B$31),SUM('融资租赁与资金缺口'!$M$5:$M$16)*$Z5,0),IF(BC$4=EDATE('核心假设'!$B$5,14-1+'核心假设'!$B$31),SUM('融资租赁与资金缺口'!$M$5:$M$16)*$AA5,0),IF(BC$4=EDATE('核心假设'!$B$5,15-1+'核心假设'!$B$31),SUM('融资租赁与资金缺口'!$M$5:$M$16)*$AB5,0),IF(BC$4=EDATE('核心假设'!$B$5,16-1+'核心假设'!$B$31),SUM('融资租赁与资金缺口'!$M$5:$M$16)*$AC5,0),IF(BC$4=EDATE('核心假设'!$B$5,17-1+'核心假设'!$B$31),SUM('融资租赁与资金缺口'!$M$5:$M$16)*$AD5,0))</x:f>
        <x:v>0</x:v>
      </x:c>
      <x:c r="BD9" s="28" t="n">
        <x:f>SUM(IF(BD$4=EDATE('核心假设'!$B$5,0-1+'核心假设'!$B$31),SUM('融资租赁与资金缺口'!$M$5:$M$16)*$M5,0),IF(BD$4=EDATE('核心假设'!$B$5,1-1+'核心假设'!$B$31),SUM('融资租赁与资金缺口'!$M$5:$M$16)*$N5,0),IF(BD$4=EDATE('核心假设'!$B$5,2-1+'核心假设'!$B$31),SUM('融资租赁与资金缺口'!$M$5:$M$16)*$O5,0),IF(BD$4=EDATE('核心假设'!$B$5,3-1+'核心假设'!$B$31),SUM('融资租赁与资金缺口'!$M$5:$M$16)*$P5,0),IF(BD$4=EDATE('核心假设'!$B$5,4-1+'核心假设'!$B$31),SUM('融资租赁与资金缺口'!$M$5:$M$16)*$Q5,0),IF(BD$4=EDATE('核心假设'!$B$5,5-1+'核心假设'!$B$31),SUM('融资租赁与资金缺口'!$M$5:$M$16)*$R5,0),IF(BD$4=EDATE('核心假设'!$B$5,6-1+'核心假设'!$B$31),SUM('融资租赁与资金缺口'!$M$5:$M$16)*$S5,0),IF(BD$4=EDATE('核心假设'!$B$5,7-1+'核心假设'!$B$31),SUM('融资租赁与资金缺口'!$M$5:$M$16)*$T5,0),IF(BD$4=EDATE('核心假设'!$B$5,8-1+'核心假设'!$B$31),SUM('融资租赁与资金缺口'!$M$5:$M$16)*$U5,0),IF(BD$4=EDATE('核心假设'!$B$5,9-1+'核心假设'!$B$31),SUM('融资租赁与资金缺口'!$M$5:$M$16)*$V5,0),IF(BD$4=EDATE('核心假设'!$B$5,10-1+'核心假设'!$B$31),SUM('融资租赁与资金缺口'!$M$5:$M$16)*$W5,0),IF(BD$4=EDATE('核心假设'!$B$5,11-1+'核心假设'!$B$31),SUM('融资租赁与资金缺口'!$M$5:$M$16)*$X5,0),IF(BD$4=EDATE('核心假设'!$B$5,12-1+'核心假设'!$B$31),SUM('融资租赁与资金缺口'!$M$5:$M$16)*$Y5,0),IF(BD$4=EDATE('核心假设'!$B$5,13-1+'核心假设'!$B$31),SUM('融资租赁与资金缺口'!$M$5:$M$16)*$Z5,0),IF(BD$4=EDATE('核心假设'!$B$5,14-1+'核心假设'!$B$31),SUM('融资租赁与资金缺口'!$M$5:$M$16)*$AA5,0),IF(BD$4=EDATE('核心假设'!$B$5,15-1+'核心假设'!$B$31),SUM('融资租赁与资金缺口'!$M$5:$M$16)*$AB5,0),IF(BD$4=EDATE('核心假设'!$B$5,16-1+'核心假设'!$B$31),SUM('融资租赁与资金缺口'!$M$5:$M$16)*$AC5,0),IF(BD$4=EDATE('核心假设'!$B$5,17-1+'核心假设'!$B$31),SUM('融资租赁与资金缺口'!$M$5:$M$16)*$AD5,0))</x:f>
        <x:v>0</x:v>
      </x:c>
      <x:c r="BE9" s="28" t="n">
        <x:f>SUM(IF(BE$4=EDATE('核心假设'!$B$5,0-1+'核心假设'!$B$31),SUM('融资租赁与资金缺口'!$M$5:$M$16)*$M5,0),IF(BE$4=EDATE('核心假设'!$B$5,1-1+'核心假设'!$B$31),SUM('融资租赁与资金缺口'!$M$5:$M$16)*$N5,0),IF(BE$4=EDATE('核心假设'!$B$5,2-1+'核心假设'!$B$31),SUM('融资租赁与资金缺口'!$M$5:$M$16)*$O5,0),IF(BE$4=EDATE('核心假设'!$B$5,3-1+'核心假设'!$B$31),SUM('融资租赁与资金缺口'!$M$5:$M$16)*$P5,0),IF(BE$4=EDATE('核心假设'!$B$5,4-1+'核心假设'!$B$31),SUM('融资租赁与资金缺口'!$M$5:$M$16)*$Q5,0),IF(BE$4=EDATE('核心假设'!$B$5,5-1+'核心假设'!$B$31),SUM('融资租赁与资金缺口'!$M$5:$M$16)*$R5,0),IF(BE$4=EDATE('核心假设'!$B$5,6-1+'核心假设'!$B$31),SUM('融资租赁与资金缺口'!$M$5:$M$16)*$S5,0),IF(BE$4=EDATE('核心假设'!$B$5,7-1+'核心假设'!$B$31),SUM('融资租赁与资金缺口'!$M$5:$M$16)*$T5,0),IF(BE$4=EDATE('核心假设'!$B$5,8-1+'核心假设'!$B$31),SUM('融资租赁与资金缺口'!$M$5:$M$16)*$U5,0),IF(BE$4=EDATE('核心假设'!$B$5,9-1+'核心假设'!$B$31),SUM('融资租赁与资金缺口'!$M$5:$M$16)*$V5,0),IF(BE$4=EDATE('核心假设'!$B$5,10-1+'核心假设'!$B$31),SUM('融资租赁与资金缺口'!$M$5:$M$16)*$W5,0),IF(BE$4=EDATE('核心假设'!$B$5,11-1+'核心假设'!$B$31),SUM('融资租赁与资金缺口'!$M$5:$M$16)*$X5,0),IF(BE$4=EDATE('核心假设'!$B$5,12-1+'核心假设'!$B$31),SUM('融资租赁与资金缺口'!$M$5:$M$16)*$Y5,0),IF(BE$4=EDATE('核心假设'!$B$5,13-1+'核心假设'!$B$31),SUM('融资租赁与资金缺口'!$M$5:$M$16)*$Z5,0),IF(BE$4=EDATE('核心假设'!$B$5,14-1+'核心假设'!$B$31),SUM('融资租赁与资金缺口'!$M$5:$M$16)*$AA5,0),IF(BE$4=EDATE('核心假设'!$B$5,15-1+'核心假设'!$B$31),SUM('融资租赁与资金缺口'!$M$5:$M$16)*$AB5,0),IF(BE$4=EDATE('核心假设'!$B$5,16-1+'核心假设'!$B$31),SUM('融资租赁与资金缺口'!$M$5:$M$16)*$AC5,0),IF(BE$4=EDATE('核心假设'!$B$5,17-1+'核心假设'!$B$31),SUM('融资租赁与资金缺口'!$M$5:$M$16)*$AD5,0))</x:f>
        <x:v>0</x:v>
      </x:c>
      <x:c r="BF9" s="28" t="n">
        <x:f>SUM(IF(BF$4=EDATE('核心假设'!$B$5,0-1+'核心假设'!$B$31),SUM('融资租赁与资金缺口'!$M$5:$M$16)*$M5,0),IF(BF$4=EDATE('核心假设'!$B$5,1-1+'核心假设'!$B$31),SUM('融资租赁与资金缺口'!$M$5:$M$16)*$N5,0),IF(BF$4=EDATE('核心假设'!$B$5,2-1+'核心假设'!$B$31),SUM('融资租赁与资金缺口'!$M$5:$M$16)*$O5,0),IF(BF$4=EDATE('核心假设'!$B$5,3-1+'核心假设'!$B$31),SUM('融资租赁与资金缺口'!$M$5:$M$16)*$P5,0),IF(BF$4=EDATE('核心假设'!$B$5,4-1+'核心假设'!$B$31),SUM('融资租赁与资金缺口'!$M$5:$M$16)*$Q5,0),IF(BF$4=EDATE('核心假设'!$B$5,5-1+'核心假设'!$B$31),SUM('融资租赁与资金缺口'!$M$5:$M$16)*$R5,0),IF(BF$4=EDATE('核心假设'!$B$5,6-1+'核心假设'!$B$31),SUM('融资租赁与资金缺口'!$M$5:$M$16)*$S5,0),IF(BF$4=EDATE('核心假设'!$B$5,7-1+'核心假设'!$B$31),SUM('融资租赁与资金缺口'!$M$5:$M$16)*$T5,0),IF(BF$4=EDATE('核心假设'!$B$5,8-1+'核心假设'!$B$31),SUM('融资租赁与资金缺口'!$M$5:$M$16)*$U5,0),IF(BF$4=EDATE('核心假设'!$B$5,9-1+'核心假设'!$B$31),SUM('融资租赁与资金缺口'!$M$5:$M$16)*$V5,0),IF(BF$4=EDATE('核心假设'!$B$5,10-1+'核心假设'!$B$31),SUM('融资租赁与资金缺口'!$M$5:$M$16)*$W5,0),IF(BF$4=EDATE('核心假设'!$B$5,11-1+'核心假设'!$B$31),SUM('融资租赁与资金缺口'!$M$5:$M$16)*$X5,0),IF(BF$4=EDATE('核心假设'!$B$5,12-1+'核心假设'!$B$31),SUM('融资租赁与资金缺口'!$M$5:$M$16)*$Y5,0),IF(BF$4=EDATE('核心假设'!$B$5,13-1+'核心假设'!$B$31),SUM('融资租赁与资金缺口'!$M$5:$M$16)*$Z5,0),IF(BF$4=EDATE('核心假设'!$B$5,14-1+'核心假设'!$B$31),SUM('融资租赁与资金缺口'!$M$5:$M$16)*$AA5,0),IF(BF$4=EDATE('核心假设'!$B$5,15-1+'核心假设'!$B$31),SUM('融资租赁与资金缺口'!$M$5:$M$16)*$AB5,0),IF(BF$4=EDATE('核心假设'!$B$5,16-1+'核心假设'!$B$31),SUM('融资租赁与资金缺口'!$M$5:$M$16)*$AC5,0),IF(BF$4=EDATE('核心假设'!$B$5,17-1+'核心假设'!$B$31),SUM('融资租赁与资金缺口'!$M$5:$M$16)*$AD5,0))</x:f>
        <x:v>0</x:v>
      </x:c>
      <x:c r="BG9" s="28" t="n">
        <x:f>SUM(IF(BG$4=EDATE('核心假设'!$B$5,0-1+'核心假设'!$B$31),SUM('融资租赁与资金缺口'!$M$5:$M$16)*$M5,0),IF(BG$4=EDATE('核心假设'!$B$5,1-1+'核心假设'!$B$31),SUM('融资租赁与资金缺口'!$M$5:$M$16)*$N5,0),IF(BG$4=EDATE('核心假设'!$B$5,2-1+'核心假设'!$B$31),SUM('融资租赁与资金缺口'!$M$5:$M$16)*$O5,0),IF(BG$4=EDATE('核心假设'!$B$5,3-1+'核心假设'!$B$31),SUM('融资租赁与资金缺口'!$M$5:$M$16)*$P5,0),IF(BG$4=EDATE('核心假设'!$B$5,4-1+'核心假设'!$B$31),SUM('融资租赁与资金缺口'!$M$5:$M$16)*$Q5,0),IF(BG$4=EDATE('核心假设'!$B$5,5-1+'核心假设'!$B$31),SUM('融资租赁与资金缺口'!$M$5:$M$16)*$R5,0),IF(BG$4=EDATE('核心假设'!$B$5,6-1+'核心假设'!$B$31),SUM('融资租赁与资金缺口'!$M$5:$M$16)*$S5,0),IF(BG$4=EDATE('核心假设'!$B$5,7-1+'核心假设'!$B$31),SUM('融资租赁与资金缺口'!$M$5:$M$16)*$T5,0),IF(BG$4=EDATE('核心假设'!$B$5,8-1+'核心假设'!$B$31),SUM('融资租赁与资金缺口'!$M$5:$M$16)*$U5,0),IF(BG$4=EDATE('核心假设'!$B$5,9-1+'核心假设'!$B$31),SUM('融资租赁与资金缺口'!$M$5:$M$16)*$V5,0),IF(BG$4=EDATE('核心假设'!$B$5,10-1+'核心假设'!$B$31),SUM('融资租赁与资金缺口'!$M$5:$M$16)*$W5,0),IF(BG$4=EDATE('核心假设'!$B$5,11-1+'核心假设'!$B$31),SUM('融资租赁与资金缺口'!$M$5:$M$16)*$X5,0),IF(BG$4=EDATE('核心假设'!$B$5,12-1+'核心假设'!$B$31),SUM('融资租赁与资金缺口'!$M$5:$M$16)*$Y5,0),IF(BG$4=EDATE('核心假设'!$B$5,13-1+'核心假设'!$B$31),SUM('融资租赁与资金缺口'!$M$5:$M$16)*$Z5,0),IF(BG$4=EDATE('核心假设'!$B$5,14-1+'核心假设'!$B$31),SUM('融资租赁与资金缺口'!$M$5:$M$16)*$AA5,0),IF(BG$4=EDATE('核心假设'!$B$5,15-1+'核心假设'!$B$31),SUM('融资租赁与资金缺口'!$M$5:$M$16)*$AB5,0),IF(BG$4=EDATE('核心假设'!$B$5,16-1+'核心假设'!$B$31),SUM('融资租赁与资金缺口'!$M$5:$M$16)*$AC5,0),IF(BG$4=EDATE('核心假设'!$B$5,17-1+'核心假设'!$B$31),SUM('融资租赁与资金缺口'!$M$5:$M$16)*$AD5,0))</x:f>
        <x:v>0</x:v>
      </x:c>
      <x:c r="BH9" s="28" t="n">
        <x:f>SUM(IF(BH$4=EDATE('核心假设'!$B$5,0-1+'核心假设'!$B$31),SUM('融资租赁与资金缺口'!$M$5:$M$16)*$M5,0),IF(BH$4=EDATE('核心假设'!$B$5,1-1+'核心假设'!$B$31),SUM('融资租赁与资金缺口'!$M$5:$M$16)*$N5,0),IF(BH$4=EDATE('核心假设'!$B$5,2-1+'核心假设'!$B$31),SUM('融资租赁与资金缺口'!$M$5:$M$16)*$O5,0),IF(BH$4=EDATE('核心假设'!$B$5,3-1+'核心假设'!$B$31),SUM('融资租赁与资金缺口'!$M$5:$M$16)*$P5,0),IF(BH$4=EDATE('核心假设'!$B$5,4-1+'核心假设'!$B$31),SUM('融资租赁与资金缺口'!$M$5:$M$16)*$Q5,0),IF(BH$4=EDATE('核心假设'!$B$5,5-1+'核心假设'!$B$31),SUM('融资租赁与资金缺口'!$M$5:$M$16)*$R5,0),IF(BH$4=EDATE('核心假设'!$B$5,6-1+'核心假设'!$B$31),SUM('融资租赁与资金缺口'!$M$5:$M$16)*$S5,0),IF(BH$4=EDATE('核心假设'!$B$5,7-1+'核心假设'!$B$31),SUM('融资租赁与资金缺口'!$M$5:$M$16)*$T5,0),IF(BH$4=EDATE('核心假设'!$B$5,8-1+'核心假设'!$B$31),SUM('融资租赁与资金缺口'!$M$5:$M$16)*$U5,0),IF(BH$4=EDATE('核心假设'!$B$5,9-1+'核心假设'!$B$31),SUM('融资租赁与资金缺口'!$M$5:$M$16)*$V5,0),IF(BH$4=EDATE('核心假设'!$B$5,10-1+'核心假设'!$B$31),SUM('融资租赁与资金缺口'!$M$5:$M$16)*$W5,0),IF(BH$4=EDATE('核心假设'!$B$5,11-1+'核心假设'!$B$31),SUM('融资租赁与资金缺口'!$M$5:$M$16)*$X5,0),IF(BH$4=EDATE('核心假设'!$B$5,12-1+'核心假设'!$B$31),SUM('融资租赁与资金缺口'!$M$5:$M$16)*$Y5,0),IF(BH$4=EDATE('核心假设'!$B$5,13-1+'核心假设'!$B$31),SUM('融资租赁与资金缺口'!$M$5:$M$16)*$Z5,0),IF(BH$4=EDATE('核心假设'!$B$5,14-1+'核心假设'!$B$31),SUM('融资租赁与资金缺口'!$M$5:$M$16)*$AA5,0),IF(BH$4=EDATE('核心假设'!$B$5,15-1+'核心假设'!$B$31),SUM('融资租赁与资金缺口'!$M$5:$M$16)*$AB5,0),IF(BH$4=EDATE('核心假设'!$B$5,16-1+'核心假设'!$B$31),SUM('融资租赁与资金缺口'!$M$5:$M$16)*$AC5,0),IF(BH$4=EDATE('核心假设'!$B$5,17-1+'核心假设'!$B$31),SUM('融资租赁与资金缺口'!$M$5:$M$16)*$AD5,0))</x:f>
        <x:v>0</x:v>
      </x:c>
      <x:c r="BI9" s="28" t="n">
        <x:f>SUM(IF(BI$4=EDATE('核心假设'!$B$5,0-1+'核心假设'!$B$31),SUM('融资租赁与资金缺口'!$M$5:$M$16)*$M5,0),IF(BI$4=EDATE('核心假设'!$B$5,1-1+'核心假设'!$B$31),SUM('融资租赁与资金缺口'!$M$5:$M$16)*$N5,0),IF(BI$4=EDATE('核心假设'!$B$5,2-1+'核心假设'!$B$31),SUM('融资租赁与资金缺口'!$M$5:$M$16)*$O5,0),IF(BI$4=EDATE('核心假设'!$B$5,3-1+'核心假设'!$B$31),SUM('融资租赁与资金缺口'!$M$5:$M$16)*$P5,0),IF(BI$4=EDATE('核心假设'!$B$5,4-1+'核心假设'!$B$31),SUM('融资租赁与资金缺口'!$M$5:$M$16)*$Q5,0),IF(BI$4=EDATE('核心假设'!$B$5,5-1+'核心假设'!$B$31),SUM('融资租赁与资金缺口'!$M$5:$M$16)*$R5,0),IF(BI$4=EDATE('核心假设'!$B$5,6-1+'核心假设'!$B$31),SUM('融资租赁与资金缺口'!$M$5:$M$16)*$S5,0),IF(BI$4=EDATE('核心假设'!$B$5,7-1+'核心假设'!$B$31),SUM('融资租赁与资金缺口'!$M$5:$M$16)*$T5,0),IF(BI$4=EDATE('核心假设'!$B$5,8-1+'核心假设'!$B$31),SUM('融资租赁与资金缺口'!$M$5:$M$16)*$U5,0),IF(BI$4=EDATE('核心假设'!$B$5,9-1+'核心假设'!$B$31),SUM('融资租赁与资金缺口'!$M$5:$M$16)*$V5,0),IF(BI$4=EDATE('核心假设'!$B$5,10-1+'核心假设'!$B$31),SUM('融资租赁与资金缺口'!$M$5:$M$16)*$W5,0),IF(BI$4=EDATE('核心假设'!$B$5,11-1+'核心假设'!$B$31),SUM('融资租赁与资金缺口'!$M$5:$M$16)*$X5,0),IF(BI$4=EDATE('核心假设'!$B$5,12-1+'核心假设'!$B$31),SUM('融资租赁与资金缺口'!$M$5:$M$16)*$Y5,0),IF(BI$4=EDATE('核心假设'!$B$5,13-1+'核心假设'!$B$31),SUM('融资租赁与资金缺口'!$M$5:$M$16)*$Z5,0),IF(BI$4=EDATE('核心假设'!$B$5,14-1+'核心假设'!$B$31),SUM('融资租赁与资金缺口'!$M$5:$M$16)*$AA5,0),IF(BI$4=EDATE('核心假设'!$B$5,15-1+'核心假设'!$B$31),SUM('融资租赁与资金缺口'!$M$5:$M$16)*$AB5,0),IF(BI$4=EDATE('核心假设'!$B$5,16-1+'核心假设'!$B$31),SUM('融资租赁与资金缺口'!$M$5:$M$16)*$AC5,0),IF(BI$4=EDATE('核心假设'!$B$5,17-1+'核心假设'!$B$31),SUM('融资租赁与资金缺口'!$M$5:$M$16)*$AD5,0))</x:f>
        <x:v>0</x:v>
      </x:c>
      <x:c r="BJ9" s="28" t="n">
        <x:f>SUM(IF(BJ$4=EDATE('核心假设'!$B$5,0-1+'核心假设'!$B$31),SUM('融资租赁与资金缺口'!$M$5:$M$16)*$M5,0),IF(BJ$4=EDATE('核心假设'!$B$5,1-1+'核心假设'!$B$31),SUM('融资租赁与资金缺口'!$M$5:$M$16)*$N5,0),IF(BJ$4=EDATE('核心假设'!$B$5,2-1+'核心假设'!$B$31),SUM('融资租赁与资金缺口'!$M$5:$M$16)*$O5,0),IF(BJ$4=EDATE('核心假设'!$B$5,3-1+'核心假设'!$B$31),SUM('融资租赁与资金缺口'!$M$5:$M$16)*$P5,0),IF(BJ$4=EDATE('核心假设'!$B$5,4-1+'核心假设'!$B$31),SUM('融资租赁与资金缺口'!$M$5:$M$16)*$Q5,0),IF(BJ$4=EDATE('核心假设'!$B$5,5-1+'核心假设'!$B$31),SUM('融资租赁与资金缺口'!$M$5:$M$16)*$R5,0),IF(BJ$4=EDATE('核心假设'!$B$5,6-1+'核心假设'!$B$31),SUM('融资租赁与资金缺口'!$M$5:$M$16)*$S5,0),IF(BJ$4=EDATE('核心假设'!$B$5,7-1+'核心假设'!$B$31),SUM('融资租赁与资金缺口'!$M$5:$M$16)*$T5,0),IF(BJ$4=EDATE('核心假设'!$B$5,8-1+'核心假设'!$B$31),SUM('融资租赁与资金缺口'!$M$5:$M$16)*$U5,0),IF(BJ$4=EDATE('核心假设'!$B$5,9-1+'核心假设'!$B$31),SUM('融资租赁与资金缺口'!$M$5:$M$16)*$V5,0),IF(BJ$4=EDATE('核心假设'!$B$5,10-1+'核心假设'!$B$31),SUM('融资租赁与资金缺口'!$M$5:$M$16)*$W5,0),IF(BJ$4=EDATE('核心假设'!$B$5,11-1+'核心假设'!$B$31),SUM('融资租赁与资金缺口'!$M$5:$M$16)*$X5,0),IF(BJ$4=EDATE('核心假设'!$B$5,12-1+'核心假设'!$B$31),SUM('融资租赁与资金缺口'!$M$5:$M$16)*$Y5,0),IF(BJ$4=EDATE('核心假设'!$B$5,13-1+'核心假设'!$B$31),SUM('融资租赁与资金缺口'!$M$5:$M$16)*$Z5,0),IF(BJ$4=EDATE('核心假设'!$B$5,14-1+'核心假设'!$B$31),SUM('融资租赁与资金缺口'!$M$5:$M$16)*$AA5,0),IF(BJ$4=EDATE('核心假设'!$B$5,15-1+'核心假设'!$B$31),SUM('融资租赁与资金缺口'!$M$5:$M$16)*$AB5,0),IF(BJ$4=EDATE('核心假设'!$B$5,16-1+'核心假设'!$B$31),SUM('融资租赁与资金缺口'!$M$5:$M$16)*$AC5,0),IF(BJ$4=EDATE('核心假设'!$B$5,17-1+'核心假设'!$B$31),SUM('融资租赁与资金缺口'!$M$5:$M$16)*$AD5,0))</x:f>
        <x:v>0</x:v>
      </x:c>
      <x:c r="BK9" s="28" t="n">
        <x:f>SUM(IF(BK$4=EDATE('核心假设'!$B$5,0-1+'核心假设'!$B$31),SUM('融资租赁与资金缺口'!$M$5:$M$16)*$M5,0),IF(BK$4=EDATE('核心假设'!$B$5,1-1+'核心假设'!$B$31),SUM('融资租赁与资金缺口'!$M$5:$M$16)*$N5,0),IF(BK$4=EDATE('核心假设'!$B$5,2-1+'核心假设'!$B$31),SUM('融资租赁与资金缺口'!$M$5:$M$16)*$O5,0),IF(BK$4=EDATE('核心假设'!$B$5,3-1+'核心假设'!$B$31),SUM('融资租赁与资金缺口'!$M$5:$M$16)*$P5,0),IF(BK$4=EDATE('核心假设'!$B$5,4-1+'核心假设'!$B$31),SUM('融资租赁与资金缺口'!$M$5:$M$16)*$Q5,0),IF(BK$4=EDATE('核心假设'!$B$5,5-1+'核心假设'!$B$31),SUM('融资租赁与资金缺口'!$M$5:$M$16)*$R5,0),IF(BK$4=EDATE('核心假设'!$B$5,6-1+'核心假设'!$B$31),SUM('融资租赁与资金缺口'!$M$5:$M$16)*$S5,0),IF(BK$4=EDATE('核心假设'!$B$5,7-1+'核心假设'!$B$31),SUM('融资租赁与资金缺口'!$M$5:$M$16)*$T5,0),IF(BK$4=EDATE('核心假设'!$B$5,8-1+'核心假设'!$B$31),SUM('融资租赁与资金缺口'!$M$5:$M$16)*$U5,0),IF(BK$4=EDATE('核心假设'!$B$5,9-1+'核心假设'!$B$31),SUM('融资租赁与资金缺口'!$M$5:$M$16)*$V5,0),IF(BK$4=EDATE('核心假设'!$B$5,10-1+'核心假设'!$B$31),SUM('融资租赁与资金缺口'!$M$5:$M$16)*$W5,0),IF(BK$4=EDATE('核心假设'!$B$5,11-1+'核心假设'!$B$31),SUM('融资租赁与资金缺口'!$M$5:$M$16)*$X5,0),IF(BK$4=EDATE('核心假设'!$B$5,12-1+'核心假设'!$B$31),SUM('融资租赁与资金缺口'!$M$5:$M$16)*$Y5,0),IF(BK$4=EDATE('核心假设'!$B$5,13-1+'核心假设'!$B$31),SUM('融资租赁与资金缺口'!$M$5:$M$16)*$Z5,0),IF(BK$4=EDATE('核心假设'!$B$5,14-1+'核心假设'!$B$31),SUM('融资租赁与资金缺口'!$M$5:$M$16)*$AA5,0),IF(BK$4=EDATE('核心假设'!$B$5,15-1+'核心假设'!$B$31),SUM('融资租赁与资金缺口'!$M$5:$M$16)*$AB5,0),IF(BK$4=EDATE('核心假设'!$B$5,16-1+'核心假设'!$B$31),SUM('融资租赁与资金缺口'!$M$5:$M$16)*$AC5,0),IF(BK$4=EDATE('核心假设'!$B$5,17-1+'核心假设'!$B$31),SUM('融资租赁与资金缺口'!$M$5:$M$16)*$AD5,0))</x:f>
        <x:v>0</x:v>
      </x:c>
      <x:c r="BL9" s="28" t="n">
        <x:f>SUM(IF(BL$4=EDATE('核心假设'!$B$5,0-1+'核心假设'!$B$31),SUM('融资租赁与资金缺口'!$M$5:$M$16)*$M5,0),IF(BL$4=EDATE('核心假设'!$B$5,1-1+'核心假设'!$B$31),SUM('融资租赁与资金缺口'!$M$5:$M$16)*$N5,0),IF(BL$4=EDATE('核心假设'!$B$5,2-1+'核心假设'!$B$31),SUM('融资租赁与资金缺口'!$M$5:$M$16)*$O5,0),IF(BL$4=EDATE('核心假设'!$B$5,3-1+'核心假设'!$B$31),SUM('融资租赁与资金缺口'!$M$5:$M$16)*$P5,0),IF(BL$4=EDATE('核心假设'!$B$5,4-1+'核心假设'!$B$31),SUM('融资租赁与资金缺口'!$M$5:$M$16)*$Q5,0),IF(BL$4=EDATE('核心假设'!$B$5,5-1+'核心假设'!$B$31),SUM('融资租赁与资金缺口'!$M$5:$M$16)*$R5,0),IF(BL$4=EDATE('核心假设'!$B$5,6-1+'核心假设'!$B$31),SUM('融资租赁与资金缺口'!$M$5:$M$16)*$S5,0),IF(BL$4=EDATE('核心假设'!$B$5,7-1+'核心假设'!$B$31),SUM('融资租赁与资金缺口'!$M$5:$M$16)*$T5,0),IF(BL$4=EDATE('核心假设'!$B$5,8-1+'核心假设'!$B$31),SUM('融资租赁与资金缺口'!$M$5:$M$16)*$U5,0),IF(BL$4=EDATE('核心假设'!$B$5,9-1+'核心假设'!$B$31),SUM('融资租赁与资金缺口'!$M$5:$M$16)*$V5,0),IF(BL$4=EDATE('核心假设'!$B$5,10-1+'核心假设'!$B$31),SUM('融资租赁与资金缺口'!$M$5:$M$16)*$W5,0),IF(BL$4=EDATE('核心假设'!$B$5,11-1+'核心假设'!$B$31),SUM('融资租赁与资金缺口'!$M$5:$M$16)*$X5,0),IF(BL$4=EDATE('核心假设'!$B$5,12-1+'核心假设'!$B$31),SUM('融资租赁与资金缺口'!$M$5:$M$16)*$Y5,0),IF(BL$4=EDATE('核心假设'!$B$5,13-1+'核心假设'!$B$31),SUM('融资租赁与资金缺口'!$M$5:$M$16)*$Z5,0),IF(BL$4=EDATE('核心假设'!$B$5,14-1+'核心假设'!$B$31),SUM('融资租赁与资金缺口'!$M$5:$M$16)*$AA5,0),IF(BL$4=EDATE('核心假设'!$B$5,15-1+'核心假设'!$B$31),SUM('融资租赁与资金缺口'!$M$5:$M$16)*$AB5,0),IF(BL$4=EDATE('核心假设'!$B$5,16-1+'核心假设'!$B$31),SUM('融资租赁与资金缺口'!$M$5:$M$16)*$AC5,0),IF(BL$4=EDATE('核心假设'!$B$5,17-1+'核心假设'!$B$31),SUM('融资租赁与资金缺口'!$M$5:$M$16)*$AD5,0))</x:f>
        <x:v>0</x:v>
      </x:c>
      <x:c r="BM9" s="28" t="n">
        <x:f>SUM(IF(BM$4=EDATE('核心假设'!$B$5,0-1+'核心假设'!$B$31),SUM('融资租赁与资金缺口'!$M$5:$M$16)*$M5,0),IF(BM$4=EDATE('核心假设'!$B$5,1-1+'核心假设'!$B$31),SUM('融资租赁与资金缺口'!$M$5:$M$16)*$N5,0),IF(BM$4=EDATE('核心假设'!$B$5,2-1+'核心假设'!$B$31),SUM('融资租赁与资金缺口'!$M$5:$M$16)*$O5,0),IF(BM$4=EDATE('核心假设'!$B$5,3-1+'核心假设'!$B$31),SUM('融资租赁与资金缺口'!$M$5:$M$16)*$P5,0),IF(BM$4=EDATE('核心假设'!$B$5,4-1+'核心假设'!$B$31),SUM('融资租赁与资金缺口'!$M$5:$M$16)*$Q5,0),IF(BM$4=EDATE('核心假设'!$B$5,5-1+'核心假设'!$B$31),SUM('融资租赁与资金缺口'!$M$5:$M$16)*$R5,0),IF(BM$4=EDATE('核心假设'!$B$5,6-1+'核心假设'!$B$31),SUM('融资租赁与资金缺口'!$M$5:$M$16)*$S5,0),IF(BM$4=EDATE('核心假设'!$B$5,7-1+'核心假设'!$B$31),SUM('融资租赁与资金缺口'!$M$5:$M$16)*$T5,0),IF(BM$4=EDATE('核心假设'!$B$5,8-1+'核心假设'!$B$31),SUM('融资租赁与资金缺口'!$M$5:$M$16)*$U5,0),IF(BM$4=EDATE('核心假设'!$B$5,9-1+'核心假设'!$B$31),SUM('融资租赁与资金缺口'!$M$5:$M$16)*$V5,0),IF(BM$4=EDATE('核心假设'!$B$5,10-1+'核心假设'!$B$31),SUM('融资租赁与资金缺口'!$M$5:$M$16)*$W5,0),IF(BM$4=EDATE('核心假设'!$B$5,11-1+'核心假设'!$B$31),SUM('融资租赁与资金缺口'!$M$5:$M$16)*$X5,0),IF(BM$4=EDATE('核心假设'!$B$5,12-1+'核心假设'!$B$31),SUM('融资租赁与资金缺口'!$M$5:$M$16)*$Y5,0),IF(BM$4=EDATE('核心假设'!$B$5,13-1+'核心假设'!$B$31),SUM('融资租赁与资金缺口'!$M$5:$M$16)*$Z5,0),IF(BM$4=EDATE('核心假设'!$B$5,14-1+'核心假设'!$B$31),SUM('融资租赁与资金缺口'!$M$5:$M$16)*$AA5,0),IF(BM$4=EDATE('核心假设'!$B$5,15-1+'核心假设'!$B$31),SUM('融资租赁与资金缺口'!$M$5:$M$16)*$AB5,0),IF(BM$4=EDATE('核心假设'!$B$5,16-1+'核心假设'!$B$31),SUM('融资租赁与资金缺口'!$M$5:$M$16)*$AC5,0),IF(BM$4=EDATE('核心假设'!$B$5,17-1+'核心假设'!$B$31),SUM('融资租赁与资金缺口'!$M$5:$M$16)*$AD5,0))</x:f>
        <x:v>0</x:v>
      </x:c>
      <x:c r="BN9" s="28" t="n">
        <x:f>SUM(IF(BN$4=EDATE('核心假设'!$B$5,0-1+'核心假设'!$B$31),SUM('融资租赁与资金缺口'!$M$5:$M$16)*$M5,0),IF(BN$4=EDATE('核心假设'!$B$5,1-1+'核心假设'!$B$31),SUM('融资租赁与资金缺口'!$M$5:$M$16)*$N5,0),IF(BN$4=EDATE('核心假设'!$B$5,2-1+'核心假设'!$B$31),SUM('融资租赁与资金缺口'!$M$5:$M$16)*$O5,0),IF(BN$4=EDATE('核心假设'!$B$5,3-1+'核心假设'!$B$31),SUM('融资租赁与资金缺口'!$M$5:$M$16)*$P5,0),IF(BN$4=EDATE('核心假设'!$B$5,4-1+'核心假设'!$B$31),SUM('融资租赁与资金缺口'!$M$5:$M$16)*$Q5,0),IF(BN$4=EDATE('核心假设'!$B$5,5-1+'核心假设'!$B$31),SUM('融资租赁与资金缺口'!$M$5:$M$16)*$R5,0),IF(BN$4=EDATE('核心假设'!$B$5,6-1+'核心假设'!$B$31),SUM('融资租赁与资金缺口'!$M$5:$M$16)*$S5,0),IF(BN$4=EDATE('核心假设'!$B$5,7-1+'核心假设'!$B$31),SUM('融资租赁与资金缺口'!$M$5:$M$16)*$T5,0),IF(BN$4=EDATE('核心假设'!$B$5,8-1+'核心假设'!$B$31),SUM('融资租赁与资金缺口'!$M$5:$M$16)*$U5,0),IF(BN$4=EDATE('核心假设'!$B$5,9-1+'核心假设'!$B$31),SUM('融资租赁与资金缺口'!$M$5:$M$16)*$V5,0),IF(BN$4=EDATE('核心假设'!$B$5,10-1+'核心假设'!$B$31),SUM('融资租赁与资金缺口'!$M$5:$M$16)*$W5,0),IF(BN$4=EDATE('核心假设'!$B$5,11-1+'核心假设'!$B$31),SUM('融资租赁与资金缺口'!$M$5:$M$16)*$X5,0),IF(BN$4=EDATE('核心假设'!$B$5,12-1+'核心假设'!$B$31),SUM('融资租赁与资金缺口'!$M$5:$M$16)*$Y5,0),IF(BN$4=EDATE('核心假设'!$B$5,13-1+'核心假设'!$B$31),SUM('融资租赁与资金缺口'!$M$5:$M$16)*$Z5,0),IF(BN$4=EDATE('核心假设'!$B$5,14-1+'核心假设'!$B$31),SUM('融资租赁与资金缺口'!$M$5:$M$16)*$AA5,0),IF(BN$4=EDATE('核心假设'!$B$5,15-1+'核心假设'!$B$31),SUM('融资租赁与资金缺口'!$M$5:$M$16)*$AB5,0),IF(BN$4=EDATE('核心假设'!$B$5,16-1+'核心假设'!$B$31),SUM('融资租赁与资金缺口'!$M$5:$M$16)*$AC5,0),IF(BN$4=EDATE('核心假设'!$B$5,17-1+'核心假设'!$B$31),SUM('融资租赁与资金缺口'!$M$5:$M$16)*$AD5,0))</x:f>
        <x:v>0</x:v>
      </x:c>
      <x:c r="BO9" s="28" t="n">
        <x:f>SUM(IF(BO$4=EDATE('核心假设'!$B$5,0-1+'核心假设'!$B$31),SUM('融资租赁与资金缺口'!$M$5:$M$16)*$M5,0),IF(BO$4=EDATE('核心假设'!$B$5,1-1+'核心假设'!$B$31),SUM('融资租赁与资金缺口'!$M$5:$M$16)*$N5,0),IF(BO$4=EDATE('核心假设'!$B$5,2-1+'核心假设'!$B$31),SUM('融资租赁与资金缺口'!$M$5:$M$16)*$O5,0),IF(BO$4=EDATE('核心假设'!$B$5,3-1+'核心假设'!$B$31),SUM('融资租赁与资金缺口'!$M$5:$M$16)*$P5,0),IF(BO$4=EDATE('核心假设'!$B$5,4-1+'核心假设'!$B$31),SUM('融资租赁与资金缺口'!$M$5:$M$16)*$Q5,0),IF(BO$4=EDATE('核心假设'!$B$5,5-1+'核心假设'!$B$31),SUM('融资租赁与资金缺口'!$M$5:$M$16)*$R5,0),IF(BO$4=EDATE('核心假设'!$B$5,6-1+'核心假设'!$B$31),SUM('融资租赁与资金缺口'!$M$5:$M$16)*$S5,0),IF(BO$4=EDATE('核心假设'!$B$5,7-1+'核心假设'!$B$31),SUM('融资租赁与资金缺口'!$M$5:$M$16)*$T5,0),IF(BO$4=EDATE('核心假设'!$B$5,8-1+'核心假设'!$B$31),SUM('融资租赁与资金缺口'!$M$5:$M$16)*$U5,0),IF(BO$4=EDATE('核心假设'!$B$5,9-1+'核心假设'!$B$31),SUM('融资租赁与资金缺口'!$M$5:$M$16)*$V5,0),IF(BO$4=EDATE('核心假设'!$B$5,10-1+'核心假设'!$B$31),SUM('融资租赁与资金缺口'!$M$5:$M$16)*$W5,0),IF(BO$4=EDATE('核心假设'!$B$5,11-1+'核心假设'!$B$31),SUM('融资租赁与资金缺口'!$M$5:$M$16)*$X5,0),IF(BO$4=EDATE('核心假设'!$B$5,12-1+'核心假设'!$B$31),SUM('融资租赁与资金缺口'!$M$5:$M$16)*$Y5,0),IF(BO$4=EDATE('核心假设'!$B$5,13-1+'核心假设'!$B$31),SUM('融资租赁与资金缺口'!$M$5:$M$16)*$Z5,0),IF(BO$4=EDATE('核心假设'!$B$5,14-1+'核心假设'!$B$31),SUM('融资租赁与资金缺口'!$M$5:$M$16)*$AA5,0),IF(BO$4=EDATE('核心假设'!$B$5,15-1+'核心假设'!$B$31),SUM('融资租赁与资金缺口'!$M$5:$M$16)*$AB5,0),IF(BO$4=EDATE('核心假设'!$B$5,16-1+'核心假设'!$B$31),SUM('融资租赁与资金缺口'!$M$5:$M$16)*$AC5,0),IF(BO$4=EDATE('核心假设'!$B$5,17-1+'核心假设'!$B$31),SUM('融资租赁与资金缺口'!$M$5:$M$16)*$AD5,0))</x:f>
        <x:v>0</x:v>
      </x:c>
      <x:c r="BP9" s="28" t="n">
        <x:f>SUM(IF(BP$4=EDATE('核心假设'!$B$5,0-1+'核心假设'!$B$31),SUM('融资租赁与资金缺口'!$M$5:$M$16)*$M5,0),IF(BP$4=EDATE('核心假设'!$B$5,1-1+'核心假设'!$B$31),SUM('融资租赁与资金缺口'!$M$5:$M$16)*$N5,0),IF(BP$4=EDATE('核心假设'!$B$5,2-1+'核心假设'!$B$31),SUM('融资租赁与资金缺口'!$M$5:$M$16)*$O5,0),IF(BP$4=EDATE('核心假设'!$B$5,3-1+'核心假设'!$B$31),SUM('融资租赁与资金缺口'!$M$5:$M$16)*$P5,0),IF(BP$4=EDATE('核心假设'!$B$5,4-1+'核心假设'!$B$31),SUM('融资租赁与资金缺口'!$M$5:$M$16)*$Q5,0),IF(BP$4=EDATE('核心假设'!$B$5,5-1+'核心假设'!$B$31),SUM('融资租赁与资金缺口'!$M$5:$M$16)*$R5,0),IF(BP$4=EDATE('核心假设'!$B$5,6-1+'核心假设'!$B$31),SUM('融资租赁与资金缺口'!$M$5:$M$16)*$S5,0),IF(BP$4=EDATE('核心假设'!$B$5,7-1+'核心假设'!$B$31),SUM('融资租赁与资金缺口'!$M$5:$M$16)*$T5,0),IF(BP$4=EDATE('核心假设'!$B$5,8-1+'核心假设'!$B$31),SUM('融资租赁与资金缺口'!$M$5:$M$16)*$U5,0),IF(BP$4=EDATE('核心假设'!$B$5,9-1+'核心假设'!$B$31),SUM('融资租赁与资金缺口'!$M$5:$M$16)*$V5,0),IF(BP$4=EDATE('核心假设'!$B$5,10-1+'核心假设'!$B$31),SUM('融资租赁与资金缺口'!$M$5:$M$16)*$W5,0),IF(BP$4=EDATE('核心假设'!$B$5,11-1+'核心假设'!$B$31),SUM('融资租赁与资金缺口'!$M$5:$M$16)*$X5,0),IF(BP$4=EDATE('核心假设'!$B$5,12-1+'核心假设'!$B$31),SUM('融资租赁与资金缺口'!$M$5:$M$16)*$Y5,0),IF(BP$4=EDATE('核心假设'!$B$5,13-1+'核心假设'!$B$31),SUM('融资租赁与资金缺口'!$M$5:$M$16)*$Z5,0),IF(BP$4=EDATE('核心假设'!$B$5,14-1+'核心假设'!$B$31),SUM('融资租赁与资金缺口'!$M$5:$M$16)*$AA5,0),IF(BP$4=EDATE('核心假设'!$B$5,15-1+'核心假设'!$B$31),SUM('融资租赁与资金缺口'!$M$5:$M$16)*$AB5,0),IF(BP$4=EDATE('核心假设'!$B$5,16-1+'核心假设'!$B$31),SUM('融资租赁与资金缺口'!$M$5:$M$16)*$AC5,0),IF(BP$4=EDATE('核心假设'!$B$5,17-1+'核心假设'!$B$31),SUM('融资租赁与资金缺口'!$M$5:$M$16)*$AD5,0))</x:f>
        <x:v>0</x:v>
      </x:c>
      <x:c r="BQ9" s="28" t="n">
        <x:f>SUM(IF(BQ$4=EDATE('核心假设'!$B$5,0-1+'核心假设'!$B$31),SUM('融资租赁与资金缺口'!$M$5:$M$16)*$M5,0),IF(BQ$4=EDATE('核心假设'!$B$5,1-1+'核心假设'!$B$31),SUM('融资租赁与资金缺口'!$M$5:$M$16)*$N5,0),IF(BQ$4=EDATE('核心假设'!$B$5,2-1+'核心假设'!$B$31),SUM('融资租赁与资金缺口'!$M$5:$M$16)*$O5,0),IF(BQ$4=EDATE('核心假设'!$B$5,3-1+'核心假设'!$B$31),SUM('融资租赁与资金缺口'!$M$5:$M$16)*$P5,0),IF(BQ$4=EDATE('核心假设'!$B$5,4-1+'核心假设'!$B$31),SUM('融资租赁与资金缺口'!$M$5:$M$16)*$Q5,0),IF(BQ$4=EDATE('核心假设'!$B$5,5-1+'核心假设'!$B$31),SUM('融资租赁与资金缺口'!$M$5:$M$16)*$R5,0),IF(BQ$4=EDATE('核心假设'!$B$5,6-1+'核心假设'!$B$31),SUM('融资租赁与资金缺口'!$M$5:$M$16)*$S5,0),IF(BQ$4=EDATE('核心假设'!$B$5,7-1+'核心假设'!$B$31),SUM('融资租赁与资金缺口'!$M$5:$M$16)*$T5,0),IF(BQ$4=EDATE('核心假设'!$B$5,8-1+'核心假设'!$B$31),SUM('融资租赁与资金缺口'!$M$5:$M$16)*$U5,0),IF(BQ$4=EDATE('核心假设'!$B$5,9-1+'核心假设'!$B$31),SUM('融资租赁与资金缺口'!$M$5:$M$16)*$V5,0),IF(BQ$4=EDATE('核心假设'!$B$5,10-1+'核心假设'!$B$31),SUM('融资租赁与资金缺口'!$M$5:$M$16)*$W5,0),IF(BQ$4=EDATE('核心假设'!$B$5,11-1+'核心假设'!$B$31),SUM('融资租赁与资金缺口'!$M$5:$M$16)*$X5,0),IF(BQ$4=EDATE('核心假设'!$B$5,12-1+'核心假设'!$B$31),SUM('融资租赁与资金缺口'!$M$5:$M$16)*$Y5,0),IF(BQ$4=EDATE('核心假设'!$B$5,13-1+'核心假设'!$B$31),SUM('融资租赁与资金缺口'!$M$5:$M$16)*$Z5,0),IF(BQ$4=EDATE('核心假设'!$B$5,14-1+'核心假设'!$B$31),SUM('融资租赁与资金缺口'!$M$5:$M$16)*$AA5,0),IF(BQ$4=EDATE('核心假设'!$B$5,15-1+'核心假设'!$B$31),SUM('融资租赁与资金缺口'!$M$5:$M$16)*$AB5,0),IF(BQ$4=EDATE('核心假设'!$B$5,16-1+'核心假设'!$B$31),SUM('融资租赁与资金缺口'!$M$5:$M$16)*$AC5,0),IF(BQ$4=EDATE('核心假设'!$B$5,17-1+'核心假设'!$B$31),SUM('融资租赁与资金缺口'!$M$5:$M$16)*$AD5,0))</x:f>
        <x:v>0</x:v>
      </x:c>
      <x:c r="BR9" s="28" t="n">
        <x:f>SUM(IF(BR$4=EDATE('核心假设'!$B$5,0-1+'核心假设'!$B$31),SUM('融资租赁与资金缺口'!$M$5:$M$16)*$M5,0),IF(BR$4=EDATE('核心假设'!$B$5,1-1+'核心假设'!$B$31),SUM('融资租赁与资金缺口'!$M$5:$M$16)*$N5,0),IF(BR$4=EDATE('核心假设'!$B$5,2-1+'核心假设'!$B$31),SUM('融资租赁与资金缺口'!$M$5:$M$16)*$O5,0),IF(BR$4=EDATE('核心假设'!$B$5,3-1+'核心假设'!$B$31),SUM('融资租赁与资金缺口'!$M$5:$M$16)*$P5,0),IF(BR$4=EDATE('核心假设'!$B$5,4-1+'核心假设'!$B$31),SUM('融资租赁与资金缺口'!$M$5:$M$16)*$Q5,0),IF(BR$4=EDATE('核心假设'!$B$5,5-1+'核心假设'!$B$31),SUM('融资租赁与资金缺口'!$M$5:$M$16)*$R5,0),IF(BR$4=EDATE('核心假设'!$B$5,6-1+'核心假设'!$B$31),SUM('融资租赁与资金缺口'!$M$5:$M$16)*$S5,0),IF(BR$4=EDATE('核心假设'!$B$5,7-1+'核心假设'!$B$31),SUM('融资租赁与资金缺口'!$M$5:$M$16)*$T5,0),IF(BR$4=EDATE('核心假设'!$B$5,8-1+'核心假设'!$B$31),SUM('融资租赁与资金缺口'!$M$5:$M$16)*$U5,0),IF(BR$4=EDATE('核心假设'!$B$5,9-1+'核心假设'!$B$31),SUM('融资租赁与资金缺口'!$M$5:$M$16)*$V5,0),IF(BR$4=EDATE('核心假设'!$B$5,10-1+'核心假设'!$B$31),SUM('融资租赁与资金缺口'!$M$5:$M$16)*$W5,0),IF(BR$4=EDATE('核心假设'!$B$5,11-1+'核心假设'!$B$31),SUM('融资租赁与资金缺口'!$M$5:$M$16)*$X5,0),IF(BR$4=EDATE('核心假设'!$B$5,12-1+'核心假设'!$B$31),SUM('融资租赁与资金缺口'!$M$5:$M$16)*$Y5,0),IF(BR$4=EDATE('核心假设'!$B$5,13-1+'核心假设'!$B$31),SUM('融资租赁与资金缺口'!$M$5:$M$16)*$Z5,0),IF(BR$4=EDATE('核心假设'!$B$5,14-1+'核心假设'!$B$31),SUM('融资租赁与资金缺口'!$M$5:$M$16)*$AA5,0),IF(BR$4=EDATE('核心假设'!$B$5,15-1+'核心假设'!$B$31),SUM('融资租赁与资金缺口'!$M$5:$M$16)*$AB5,0),IF(BR$4=EDATE('核心假设'!$B$5,16-1+'核心假设'!$B$31),SUM('融资租赁与资金缺口'!$M$5:$M$16)*$AC5,0),IF(BR$4=EDATE('核心假设'!$B$5,17-1+'核心假设'!$B$31),SUM('融资租赁与资金缺口'!$M$5:$M$16)*$AD5,0))</x:f>
        <x:v>0</x:v>
      </x:c>
      <x:c r="BS9" s="28" t="n">
        <x:f>SUM(IF(BS$4=EDATE('核心假设'!$B$5,0-1+'核心假设'!$B$31),SUM('融资租赁与资金缺口'!$M$5:$M$16)*$M5,0),IF(BS$4=EDATE('核心假设'!$B$5,1-1+'核心假设'!$B$31),SUM('融资租赁与资金缺口'!$M$5:$M$16)*$N5,0),IF(BS$4=EDATE('核心假设'!$B$5,2-1+'核心假设'!$B$31),SUM('融资租赁与资金缺口'!$M$5:$M$16)*$O5,0),IF(BS$4=EDATE('核心假设'!$B$5,3-1+'核心假设'!$B$31),SUM('融资租赁与资金缺口'!$M$5:$M$16)*$P5,0),IF(BS$4=EDATE('核心假设'!$B$5,4-1+'核心假设'!$B$31),SUM('融资租赁与资金缺口'!$M$5:$M$16)*$Q5,0),IF(BS$4=EDATE('核心假设'!$B$5,5-1+'核心假设'!$B$31),SUM('融资租赁与资金缺口'!$M$5:$M$16)*$R5,0),IF(BS$4=EDATE('核心假设'!$B$5,6-1+'核心假设'!$B$31),SUM('融资租赁与资金缺口'!$M$5:$M$16)*$S5,0),IF(BS$4=EDATE('核心假设'!$B$5,7-1+'核心假设'!$B$31),SUM('融资租赁与资金缺口'!$M$5:$M$16)*$T5,0),IF(BS$4=EDATE('核心假设'!$B$5,8-1+'核心假设'!$B$31),SUM('融资租赁与资金缺口'!$M$5:$M$16)*$U5,0),IF(BS$4=EDATE('核心假设'!$B$5,9-1+'核心假设'!$B$31),SUM('融资租赁与资金缺口'!$M$5:$M$16)*$V5,0),IF(BS$4=EDATE('核心假设'!$B$5,10-1+'核心假设'!$B$31),SUM('融资租赁与资金缺口'!$M$5:$M$16)*$W5,0),IF(BS$4=EDATE('核心假设'!$B$5,11-1+'核心假设'!$B$31),SUM('融资租赁与资金缺口'!$M$5:$M$16)*$X5,0),IF(BS$4=EDATE('核心假设'!$B$5,12-1+'核心假设'!$B$31),SUM('融资租赁与资金缺口'!$M$5:$M$16)*$Y5,0),IF(BS$4=EDATE('核心假设'!$B$5,13-1+'核心假设'!$B$31),SUM('融资租赁与资金缺口'!$M$5:$M$16)*$Z5,0),IF(BS$4=EDATE('核心假设'!$B$5,14-1+'核心假设'!$B$31),SUM('融资租赁与资金缺口'!$M$5:$M$16)*$AA5,0),IF(BS$4=EDATE('核心假设'!$B$5,15-1+'核心假设'!$B$31),SUM('融资租赁与资金缺口'!$M$5:$M$16)*$AB5,0),IF(BS$4=EDATE('核心假设'!$B$5,16-1+'核心假设'!$B$31),SUM('融资租赁与资金缺口'!$M$5:$M$16)*$AC5,0),IF(BS$4=EDATE('核心假设'!$B$5,17-1+'核心假设'!$B$31),SUM('融资租赁与资金缺口'!$M$5:$M$16)*$AD5,0))</x:f>
        <x:v>0</x:v>
      </x:c>
      <x:c r="BT9" s="28" t="n">
        <x:f>SUM(IF(BT$4=EDATE('核心假设'!$B$5,0-1+'核心假设'!$B$31),SUM('融资租赁与资金缺口'!$M$5:$M$16)*$M5,0),IF(BT$4=EDATE('核心假设'!$B$5,1-1+'核心假设'!$B$31),SUM('融资租赁与资金缺口'!$M$5:$M$16)*$N5,0),IF(BT$4=EDATE('核心假设'!$B$5,2-1+'核心假设'!$B$31),SUM('融资租赁与资金缺口'!$M$5:$M$16)*$O5,0),IF(BT$4=EDATE('核心假设'!$B$5,3-1+'核心假设'!$B$31),SUM('融资租赁与资金缺口'!$M$5:$M$16)*$P5,0),IF(BT$4=EDATE('核心假设'!$B$5,4-1+'核心假设'!$B$31),SUM('融资租赁与资金缺口'!$M$5:$M$16)*$Q5,0),IF(BT$4=EDATE('核心假设'!$B$5,5-1+'核心假设'!$B$31),SUM('融资租赁与资金缺口'!$M$5:$M$16)*$R5,0),IF(BT$4=EDATE('核心假设'!$B$5,6-1+'核心假设'!$B$31),SUM('融资租赁与资金缺口'!$M$5:$M$16)*$S5,0),IF(BT$4=EDATE('核心假设'!$B$5,7-1+'核心假设'!$B$31),SUM('融资租赁与资金缺口'!$M$5:$M$16)*$T5,0),IF(BT$4=EDATE('核心假设'!$B$5,8-1+'核心假设'!$B$31),SUM('融资租赁与资金缺口'!$M$5:$M$16)*$U5,0),IF(BT$4=EDATE('核心假设'!$B$5,9-1+'核心假设'!$B$31),SUM('融资租赁与资金缺口'!$M$5:$M$16)*$V5,0),IF(BT$4=EDATE('核心假设'!$B$5,10-1+'核心假设'!$B$31),SUM('融资租赁与资金缺口'!$M$5:$M$16)*$W5,0),IF(BT$4=EDATE('核心假设'!$B$5,11-1+'核心假设'!$B$31),SUM('融资租赁与资金缺口'!$M$5:$M$16)*$X5,0),IF(BT$4=EDATE('核心假设'!$B$5,12-1+'核心假设'!$B$31),SUM('融资租赁与资金缺口'!$M$5:$M$16)*$Y5,0),IF(BT$4=EDATE('核心假设'!$B$5,13-1+'核心假设'!$B$31),SUM('融资租赁与资金缺口'!$M$5:$M$16)*$Z5,0),IF(BT$4=EDATE('核心假设'!$B$5,14-1+'核心假设'!$B$31),SUM('融资租赁与资金缺口'!$M$5:$M$16)*$AA5,0),IF(BT$4=EDATE('核心假设'!$B$5,15-1+'核心假设'!$B$31),SUM('融资租赁与资金缺口'!$M$5:$M$16)*$AB5,0),IF(BT$4=EDATE('核心假设'!$B$5,16-1+'核心假设'!$B$31),SUM('融资租赁与资金缺口'!$M$5:$M$16)*$AC5,0),IF(BT$4=EDATE('核心假设'!$B$5,17-1+'核心假设'!$B$31),SUM('融资租赁与资金缺口'!$M$5:$M$16)*$AD5,0))</x:f>
        <x:v>0</x:v>
      </x:c>
      <x:c r="BU9" s="28" t="n">
        <x:f>SUM(IF(BU$4=EDATE('核心假设'!$B$5,0-1+'核心假设'!$B$31),SUM('融资租赁与资金缺口'!$M$5:$M$16)*$M5,0),IF(BU$4=EDATE('核心假设'!$B$5,1-1+'核心假设'!$B$31),SUM('融资租赁与资金缺口'!$M$5:$M$16)*$N5,0),IF(BU$4=EDATE('核心假设'!$B$5,2-1+'核心假设'!$B$31),SUM('融资租赁与资金缺口'!$M$5:$M$16)*$O5,0),IF(BU$4=EDATE('核心假设'!$B$5,3-1+'核心假设'!$B$31),SUM('融资租赁与资金缺口'!$M$5:$M$16)*$P5,0),IF(BU$4=EDATE('核心假设'!$B$5,4-1+'核心假设'!$B$31),SUM('融资租赁与资金缺口'!$M$5:$M$16)*$Q5,0),IF(BU$4=EDATE('核心假设'!$B$5,5-1+'核心假设'!$B$31),SUM('融资租赁与资金缺口'!$M$5:$M$16)*$R5,0),IF(BU$4=EDATE('核心假设'!$B$5,6-1+'核心假设'!$B$31),SUM('融资租赁与资金缺口'!$M$5:$M$16)*$S5,0),IF(BU$4=EDATE('核心假设'!$B$5,7-1+'核心假设'!$B$31),SUM('融资租赁与资金缺口'!$M$5:$M$16)*$T5,0),IF(BU$4=EDATE('核心假设'!$B$5,8-1+'核心假设'!$B$31),SUM('融资租赁与资金缺口'!$M$5:$M$16)*$U5,0),IF(BU$4=EDATE('核心假设'!$B$5,9-1+'核心假设'!$B$31),SUM('融资租赁与资金缺口'!$M$5:$M$16)*$V5,0),IF(BU$4=EDATE('核心假设'!$B$5,10-1+'核心假设'!$B$31),SUM('融资租赁与资金缺口'!$M$5:$M$16)*$W5,0),IF(BU$4=EDATE('核心假设'!$B$5,11-1+'核心假设'!$B$31),SUM('融资租赁与资金缺口'!$M$5:$M$16)*$X5,0),IF(BU$4=EDATE('核心假设'!$B$5,12-1+'核心假设'!$B$31),SUM('融资租赁与资金缺口'!$M$5:$M$16)*$Y5,0),IF(BU$4=EDATE('核心假设'!$B$5,13-1+'核心假设'!$B$31),SUM('融资租赁与资金缺口'!$M$5:$M$16)*$Z5,0),IF(BU$4=EDATE('核心假设'!$B$5,14-1+'核心假设'!$B$31),SUM('融资租赁与资金缺口'!$M$5:$M$16)*$AA5,0),IF(BU$4=EDATE('核心假设'!$B$5,15-1+'核心假设'!$B$31),SUM('融资租赁与资金缺口'!$M$5:$M$16)*$AB5,0),IF(BU$4=EDATE('核心假设'!$B$5,16-1+'核心假设'!$B$31),SUM('融资租赁与资金缺口'!$M$5:$M$16)*$AC5,0),IF(BU$4=EDATE('核心假设'!$B$5,17-1+'核心假设'!$B$31),SUM('融资租赁与资金缺口'!$M$5:$M$16)*$AD5,0))</x:f>
        <x:v>0</x:v>
      </x:c>
      <x:c r="BV9" s="28" t="n">
        <x:f>SUM(IF(BV$4=EDATE('核心假设'!$B$5,0-1+'核心假设'!$B$31),SUM('融资租赁与资金缺口'!$M$5:$M$16)*$M5,0),IF(BV$4=EDATE('核心假设'!$B$5,1-1+'核心假设'!$B$31),SUM('融资租赁与资金缺口'!$M$5:$M$16)*$N5,0),IF(BV$4=EDATE('核心假设'!$B$5,2-1+'核心假设'!$B$31),SUM('融资租赁与资金缺口'!$M$5:$M$16)*$O5,0),IF(BV$4=EDATE('核心假设'!$B$5,3-1+'核心假设'!$B$31),SUM('融资租赁与资金缺口'!$M$5:$M$16)*$P5,0),IF(BV$4=EDATE('核心假设'!$B$5,4-1+'核心假设'!$B$31),SUM('融资租赁与资金缺口'!$M$5:$M$16)*$Q5,0),IF(BV$4=EDATE('核心假设'!$B$5,5-1+'核心假设'!$B$31),SUM('融资租赁与资金缺口'!$M$5:$M$16)*$R5,0),IF(BV$4=EDATE('核心假设'!$B$5,6-1+'核心假设'!$B$31),SUM('融资租赁与资金缺口'!$M$5:$M$16)*$S5,0),IF(BV$4=EDATE('核心假设'!$B$5,7-1+'核心假设'!$B$31),SUM('融资租赁与资金缺口'!$M$5:$M$16)*$T5,0),IF(BV$4=EDATE('核心假设'!$B$5,8-1+'核心假设'!$B$31),SUM('融资租赁与资金缺口'!$M$5:$M$16)*$U5,0),IF(BV$4=EDATE('核心假设'!$B$5,9-1+'核心假设'!$B$31),SUM('融资租赁与资金缺口'!$M$5:$M$16)*$V5,0),IF(BV$4=EDATE('核心假设'!$B$5,10-1+'核心假设'!$B$31),SUM('融资租赁与资金缺口'!$M$5:$M$16)*$W5,0),IF(BV$4=EDATE('核心假设'!$B$5,11-1+'核心假设'!$B$31),SUM('融资租赁与资金缺口'!$M$5:$M$16)*$X5,0),IF(BV$4=EDATE('核心假设'!$B$5,12-1+'核心假设'!$B$31),SUM('融资租赁与资金缺口'!$M$5:$M$16)*$Y5,0),IF(BV$4=EDATE('核心假设'!$B$5,13-1+'核心假设'!$B$31),SUM('融资租赁与资金缺口'!$M$5:$M$16)*$Z5,0),IF(BV$4=EDATE('核心假设'!$B$5,14-1+'核心假设'!$B$31),SUM('融资租赁与资金缺口'!$M$5:$M$16)*$AA5,0),IF(BV$4=EDATE('核心假设'!$B$5,15-1+'核心假设'!$B$31),SUM('融资租赁与资金缺口'!$M$5:$M$16)*$AB5,0),IF(BV$4=EDATE('核心假设'!$B$5,16-1+'核心假设'!$B$31),SUM('融资租赁与资金缺口'!$M$5:$M$16)*$AC5,0),IF(BV$4=EDATE('核心假设'!$B$5,17-1+'核心假设'!$B$31),SUM('融资租赁与资金缺口'!$M$5:$M$16)*$AD5,0))</x:f>
        <x:v>0</x:v>
      </x:c>
      <x:c r="BW9" s="28" t="n">
        <x:f>SUM(IF(BW$4=EDATE('核心假设'!$B$5,0-1+'核心假设'!$B$31),SUM('融资租赁与资金缺口'!$M$5:$M$16)*$M5,0),IF(BW$4=EDATE('核心假设'!$B$5,1-1+'核心假设'!$B$31),SUM('融资租赁与资金缺口'!$M$5:$M$16)*$N5,0),IF(BW$4=EDATE('核心假设'!$B$5,2-1+'核心假设'!$B$31),SUM('融资租赁与资金缺口'!$M$5:$M$16)*$O5,0),IF(BW$4=EDATE('核心假设'!$B$5,3-1+'核心假设'!$B$31),SUM('融资租赁与资金缺口'!$M$5:$M$16)*$P5,0),IF(BW$4=EDATE('核心假设'!$B$5,4-1+'核心假设'!$B$31),SUM('融资租赁与资金缺口'!$M$5:$M$16)*$Q5,0),IF(BW$4=EDATE('核心假设'!$B$5,5-1+'核心假设'!$B$31),SUM('融资租赁与资金缺口'!$M$5:$M$16)*$R5,0),IF(BW$4=EDATE('核心假设'!$B$5,6-1+'核心假设'!$B$31),SUM('融资租赁与资金缺口'!$M$5:$M$16)*$S5,0),IF(BW$4=EDATE('核心假设'!$B$5,7-1+'核心假设'!$B$31),SUM('融资租赁与资金缺口'!$M$5:$M$16)*$T5,0),IF(BW$4=EDATE('核心假设'!$B$5,8-1+'核心假设'!$B$31),SUM('融资租赁与资金缺口'!$M$5:$M$16)*$U5,0),IF(BW$4=EDATE('核心假设'!$B$5,9-1+'核心假设'!$B$31),SUM('融资租赁与资金缺口'!$M$5:$M$16)*$V5,0),IF(BW$4=EDATE('核心假设'!$B$5,10-1+'核心假设'!$B$31),SUM('融资租赁与资金缺口'!$M$5:$M$16)*$W5,0),IF(BW$4=EDATE('核心假设'!$B$5,11-1+'核心假设'!$B$31),SUM('融资租赁与资金缺口'!$M$5:$M$16)*$X5,0),IF(BW$4=EDATE('核心假设'!$B$5,12-1+'核心假设'!$B$31),SUM('融资租赁与资金缺口'!$M$5:$M$16)*$Y5,0),IF(BW$4=EDATE('核心假设'!$B$5,13-1+'核心假设'!$B$31),SUM('融资租赁与资金缺口'!$M$5:$M$16)*$Z5,0),IF(BW$4=EDATE('核心假设'!$B$5,14-1+'核心假设'!$B$31),SUM('融资租赁与资金缺口'!$M$5:$M$16)*$AA5,0),IF(BW$4=EDATE('核心假设'!$B$5,15-1+'核心假设'!$B$31),SUM('融资租赁与资金缺口'!$M$5:$M$16)*$AB5,0),IF(BW$4=EDATE('核心假设'!$B$5,16-1+'核心假设'!$B$31),SUM('融资租赁与资金缺口'!$M$5:$M$16)*$AC5,0),IF(BW$4=EDATE('核心假设'!$B$5,17-1+'核心假设'!$B$31),SUM('融资租赁与资金缺口'!$M$5:$M$16)*$AD5,0))</x:f>
        <x:v>0</x:v>
      </x:c>
      <x:c r="BX9" s="28" t="n">
        <x:f>SUM(IF(BX$4=EDATE('核心假设'!$B$5,0-1+'核心假设'!$B$31),SUM('融资租赁与资金缺口'!$M$5:$M$16)*$M5,0),IF(BX$4=EDATE('核心假设'!$B$5,1-1+'核心假设'!$B$31),SUM('融资租赁与资金缺口'!$M$5:$M$16)*$N5,0),IF(BX$4=EDATE('核心假设'!$B$5,2-1+'核心假设'!$B$31),SUM('融资租赁与资金缺口'!$M$5:$M$16)*$O5,0),IF(BX$4=EDATE('核心假设'!$B$5,3-1+'核心假设'!$B$31),SUM('融资租赁与资金缺口'!$M$5:$M$16)*$P5,0),IF(BX$4=EDATE('核心假设'!$B$5,4-1+'核心假设'!$B$31),SUM('融资租赁与资金缺口'!$M$5:$M$16)*$Q5,0),IF(BX$4=EDATE('核心假设'!$B$5,5-1+'核心假设'!$B$31),SUM('融资租赁与资金缺口'!$M$5:$M$16)*$R5,0),IF(BX$4=EDATE('核心假设'!$B$5,6-1+'核心假设'!$B$31),SUM('融资租赁与资金缺口'!$M$5:$M$16)*$S5,0),IF(BX$4=EDATE('核心假设'!$B$5,7-1+'核心假设'!$B$31),SUM('融资租赁与资金缺口'!$M$5:$M$16)*$T5,0),IF(BX$4=EDATE('核心假设'!$B$5,8-1+'核心假设'!$B$31),SUM('融资租赁与资金缺口'!$M$5:$M$16)*$U5,0),IF(BX$4=EDATE('核心假设'!$B$5,9-1+'核心假设'!$B$31),SUM('融资租赁与资金缺口'!$M$5:$M$16)*$V5,0),IF(BX$4=EDATE('核心假设'!$B$5,10-1+'核心假设'!$B$31),SUM('融资租赁与资金缺口'!$M$5:$M$16)*$W5,0),IF(BX$4=EDATE('核心假设'!$B$5,11-1+'核心假设'!$B$31),SUM('融资租赁与资金缺口'!$M$5:$M$16)*$X5,0),IF(BX$4=EDATE('核心假设'!$B$5,12-1+'核心假设'!$B$31),SUM('融资租赁与资金缺口'!$M$5:$M$16)*$Y5,0),IF(BX$4=EDATE('核心假设'!$B$5,13-1+'核心假设'!$B$31),SUM('融资租赁与资金缺口'!$M$5:$M$16)*$Z5,0),IF(BX$4=EDATE('核心假设'!$B$5,14-1+'核心假设'!$B$31),SUM('融资租赁与资金缺口'!$M$5:$M$16)*$AA5,0),IF(BX$4=EDATE('核心假设'!$B$5,15-1+'核心假设'!$B$31),SUM('融资租赁与资金缺口'!$M$5:$M$16)*$AB5,0),IF(BX$4=EDATE('核心假设'!$B$5,16-1+'核心假设'!$B$31),SUM('融资租赁与资金缺口'!$M$5:$M$16)*$AC5,0),IF(BX$4=EDATE('核心假设'!$B$5,17-1+'核心假设'!$B$31),SUM('融资租赁与资金缺口'!$M$5:$M$16)*$AD5,0))</x:f>
        <x:v>0</x:v>
      </x:c>
      <x:c r="BY9" s="28" t="n">
        <x:f>SUM(IF(BY$4=EDATE('核心假设'!$B$5,0-1+'核心假设'!$B$31),SUM('融资租赁与资金缺口'!$M$5:$M$16)*$M5,0),IF(BY$4=EDATE('核心假设'!$B$5,1-1+'核心假设'!$B$31),SUM('融资租赁与资金缺口'!$M$5:$M$16)*$N5,0),IF(BY$4=EDATE('核心假设'!$B$5,2-1+'核心假设'!$B$31),SUM('融资租赁与资金缺口'!$M$5:$M$16)*$O5,0),IF(BY$4=EDATE('核心假设'!$B$5,3-1+'核心假设'!$B$31),SUM('融资租赁与资金缺口'!$M$5:$M$16)*$P5,0),IF(BY$4=EDATE('核心假设'!$B$5,4-1+'核心假设'!$B$31),SUM('融资租赁与资金缺口'!$M$5:$M$16)*$Q5,0),IF(BY$4=EDATE('核心假设'!$B$5,5-1+'核心假设'!$B$31),SUM('融资租赁与资金缺口'!$M$5:$M$16)*$R5,0),IF(BY$4=EDATE('核心假设'!$B$5,6-1+'核心假设'!$B$31),SUM('融资租赁与资金缺口'!$M$5:$M$16)*$S5,0),IF(BY$4=EDATE('核心假设'!$B$5,7-1+'核心假设'!$B$31),SUM('融资租赁与资金缺口'!$M$5:$M$16)*$T5,0),IF(BY$4=EDATE('核心假设'!$B$5,8-1+'核心假设'!$B$31),SUM('融资租赁与资金缺口'!$M$5:$M$16)*$U5,0),IF(BY$4=EDATE('核心假设'!$B$5,9-1+'核心假设'!$B$31),SUM('融资租赁与资金缺口'!$M$5:$M$16)*$V5,0),IF(BY$4=EDATE('核心假设'!$B$5,10-1+'核心假设'!$B$31),SUM('融资租赁与资金缺口'!$M$5:$M$16)*$W5,0),IF(BY$4=EDATE('核心假设'!$B$5,11-1+'核心假设'!$B$31),SUM('融资租赁与资金缺口'!$M$5:$M$16)*$X5,0),IF(BY$4=EDATE('核心假设'!$B$5,12-1+'核心假设'!$B$31),SUM('融资租赁与资金缺口'!$M$5:$M$16)*$Y5,0),IF(BY$4=EDATE('核心假设'!$B$5,13-1+'核心假设'!$B$31),SUM('融资租赁与资金缺口'!$M$5:$M$16)*$Z5,0),IF(BY$4=EDATE('核心假设'!$B$5,14-1+'核心假设'!$B$31),SUM('融资租赁与资金缺口'!$M$5:$M$16)*$AA5,0),IF(BY$4=EDATE('核心假设'!$B$5,15-1+'核心假设'!$B$31),SUM('融资租赁与资金缺口'!$M$5:$M$16)*$AB5,0),IF(BY$4=EDATE('核心假设'!$B$5,16-1+'核心假设'!$B$31),SUM('融资租赁与资金缺口'!$M$5:$M$16)*$AC5,0),IF(BY$4=EDATE('核心假设'!$B$5,17-1+'核心假设'!$B$31),SUM('融资租赁与资金缺口'!$M$5:$M$16)*$AD5,0))</x:f>
        <x:v>0</x:v>
      </x:c>
      <x:c r="BZ9" s="28" t="n">
        <x:f>SUM(IF(BZ$4=EDATE('核心假设'!$B$5,0-1+'核心假设'!$B$31),SUM('融资租赁与资金缺口'!$M$5:$M$16)*$M5,0),IF(BZ$4=EDATE('核心假设'!$B$5,1-1+'核心假设'!$B$31),SUM('融资租赁与资金缺口'!$M$5:$M$16)*$N5,0),IF(BZ$4=EDATE('核心假设'!$B$5,2-1+'核心假设'!$B$31),SUM('融资租赁与资金缺口'!$M$5:$M$16)*$O5,0),IF(BZ$4=EDATE('核心假设'!$B$5,3-1+'核心假设'!$B$31),SUM('融资租赁与资金缺口'!$M$5:$M$16)*$P5,0),IF(BZ$4=EDATE('核心假设'!$B$5,4-1+'核心假设'!$B$31),SUM('融资租赁与资金缺口'!$M$5:$M$16)*$Q5,0),IF(BZ$4=EDATE('核心假设'!$B$5,5-1+'核心假设'!$B$31),SUM('融资租赁与资金缺口'!$M$5:$M$16)*$R5,0),IF(BZ$4=EDATE('核心假设'!$B$5,6-1+'核心假设'!$B$31),SUM('融资租赁与资金缺口'!$M$5:$M$16)*$S5,0),IF(BZ$4=EDATE('核心假设'!$B$5,7-1+'核心假设'!$B$31),SUM('融资租赁与资金缺口'!$M$5:$M$16)*$T5,0),IF(BZ$4=EDATE('核心假设'!$B$5,8-1+'核心假设'!$B$31),SUM('融资租赁与资金缺口'!$M$5:$M$16)*$U5,0),IF(BZ$4=EDATE('核心假设'!$B$5,9-1+'核心假设'!$B$31),SUM('融资租赁与资金缺口'!$M$5:$M$16)*$V5,0),IF(BZ$4=EDATE('核心假设'!$B$5,10-1+'核心假设'!$B$31),SUM('融资租赁与资金缺口'!$M$5:$M$16)*$W5,0),IF(BZ$4=EDATE('核心假设'!$B$5,11-1+'核心假设'!$B$31),SUM('融资租赁与资金缺口'!$M$5:$M$16)*$X5,0),IF(BZ$4=EDATE('核心假设'!$B$5,12-1+'核心假设'!$B$31),SUM('融资租赁与资金缺口'!$M$5:$M$16)*$Y5,0),IF(BZ$4=EDATE('核心假设'!$B$5,13-1+'核心假设'!$B$31),SUM('融资租赁与资金缺口'!$M$5:$M$16)*$Z5,0),IF(BZ$4=EDATE('核心假设'!$B$5,14-1+'核心假设'!$B$31),SUM('融资租赁与资金缺口'!$M$5:$M$16)*$AA5,0),IF(BZ$4=EDATE('核心假设'!$B$5,15-1+'核心假设'!$B$31),SUM('融资租赁与资金缺口'!$M$5:$M$16)*$AB5,0),IF(BZ$4=EDATE('核心假设'!$B$5,16-1+'核心假设'!$B$31),SUM('融资租赁与资金缺口'!$M$5:$M$16)*$AC5,0),IF(BZ$4=EDATE('核心假设'!$B$5,17-1+'核心假设'!$B$31),SUM('融资租赁与资金缺口'!$M$5:$M$16)*$AD5,0))</x:f>
        <x:v>0</x:v>
      </x:c>
      <x:c r="CA9" s="28" t="n">
        <x:f>SUM(IF(CA$4=EDATE('核心假设'!$B$5,0-1+'核心假设'!$B$31),SUM('融资租赁与资金缺口'!$M$5:$M$16)*$M5,0),IF(CA$4=EDATE('核心假设'!$B$5,1-1+'核心假设'!$B$31),SUM('融资租赁与资金缺口'!$M$5:$M$16)*$N5,0),IF(CA$4=EDATE('核心假设'!$B$5,2-1+'核心假设'!$B$31),SUM('融资租赁与资金缺口'!$M$5:$M$16)*$O5,0),IF(CA$4=EDATE('核心假设'!$B$5,3-1+'核心假设'!$B$31),SUM('融资租赁与资金缺口'!$M$5:$M$16)*$P5,0),IF(CA$4=EDATE('核心假设'!$B$5,4-1+'核心假设'!$B$31),SUM('融资租赁与资金缺口'!$M$5:$M$16)*$Q5,0),IF(CA$4=EDATE('核心假设'!$B$5,5-1+'核心假设'!$B$31),SUM('融资租赁与资金缺口'!$M$5:$M$16)*$R5,0),IF(CA$4=EDATE('核心假设'!$B$5,6-1+'核心假设'!$B$31),SUM('融资租赁与资金缺口'!$M$5:$M$16)*$S5,0),IF(CA$4=EDATE('核心假设'!$B$5,7-1+'核心假设'!$B$31),SUM('融资租赁与资金缺口'!$M$5:$M$16)*$T5,0),IF(CA$4=EDATE('核心假设'!$B$5,8-1+'核心假设'!$B$31),SUM('融资租赁与资金缺口'!$M$5:$M$16)*$U5,0),IF(CA$4=EDATE('核心假设'!$B$5,9-1+'核心假设'!$B$31),SUM('融资租赁与资金缺口'!$M$5:$M$16)*$V5,0),IF(CA$4=EDATE('核心假设'!$B$5,10-1+'核心假设'!$B$31),SUM('融资租赁与资金缺口'!$M$5:$M$16)*$W5,0),IF(CA$4=EDATE('核心假设'!$B$5,11-1+'核心假设'!$B$31),SUM('融资租赁与资金缺口'!$M$5:$M$16)*$X5,0),IF(CA$4=EDATE('核心假设'!$B$5,12-1+'核心假设'!$B$31),SUM('融资租赁与资金缺口'!$M$5:$M$16)*$Y5,0),IF(CA$4=EDATE('核心假设'!$B$5,13-1+'核心假设'!$B$31),SUM('融资租赁与资金缺口'!$M$5:$M$16)*$Z5,0),IF(CA$4=EDATE('核心假设'!$B$5,14-1+'核心假设'!$B$31),SUM('融资租赁与资金缺口'!$M$5:$M$16)*$AA5,0),IF(CA$4=EDATE('核心假设'!$B$5,15-1+'核心假设'!$B$31),SUM('融资租赁与资金缺口'!$M$5:$M$16)*$AB5,0),IF(CA$4=EDATE('核心假设'!$B$5,16-1+'核心假设'!$B$31),SUM('融资租赁与资金缺口'!$M$5:$M$16)*$AC5,0),IF(CA$4=EDATE('核心假设'!$B$5,17-1+'核心假设'!$B$31),SUM('融资租赁与资金缺口'!$M$5:$M$16)*$AD5,0))</x:f>
        <x:v>0</x:v>
      </x:c>
      <x:c r="CB9" s="28" t="n">
        <x:f>SUM(IF(CB$4=EDATE('核心假设'!$B$5,0-1+'核心假设'!$B$31),SUM('融资租赁与资金缺口'!$M$5:$M$16)*$M5,0),IF(CB$4=EDATE('核心假设'!$B$5,1-1+'核心假设'!$B$31),SUM('融资租赁与资金缺口'!$M$5:$M$16)*$N5,0),IF(CB$4=EDATE('核心假设'!$B$5,2-1+'核心假设'!$B$31),SUM('融资租赁与资金缺口'!$M$5:$M$16)*$O5,0),IF(CB$4=EDATE('核心假设'!$B$5,3-1+'核心假设'!$B$31),SUM('融资租赁与资金缺口'!$M$5:$M$16)*$P5,0),IF(CB$4=EDATE('核心假设'!$B$5,4-1+'核心假设'!$B$31),SUM('融资租赁与资金缺口'!$M$5:$M$16)*$Q5,0),IF(CB$4=EDATE('核心假设'!$B$5,5-1+'核心假设'!$B$31),SUM('融资租赁与资金缺口'!$M$5:$M$16)*$R5,0),IF(CB$4=EDATE('核心假设'!$B$5,6-1+'核心假设'!$B$31),SUM('融资租赁与资金缺口'!$M$5:$M$16)*$S5,0),IF(CB$4=EDATE('核心假设'!$B$5,7-1+'核心假设'!$B$31),SUM('融资租赁与资金缺口'!$M$5:$M$16)*$T5,0),IF(CB$4=EDATE('核心假设'!$B$5,8-1+'核心假设'!$B$31),SUM('融资租赁与资金缺口'!$M$5:$M$16)*$U5,0),IF(CB$4=EDATE('核心假设'!$B$5,9-1+'核心假设'!$B$31),SUM('融资租赁与资金缺口'!$M$5:$M$16)*$V5,0),IF(CB$4=EDATE('核心假设'!$B$5,10-1+'核心假设'!$B$31),SUM('融资租赁与资金缺口'!$M$5:$M$16)*$W5,0),IF(CB$4=EDATE('核心假设'!$B$5,11-1+'核心假设'!$B$31),SUM('融资租赁与资金缺口'!$M$5:$M$16)*$X5,0),IF(CB$4=EDATE('核心假设'!$B$5,12-1+'核心假设'!$B$31),SUM('融资租赁与资金缺口'!$M$5:$M$16)*$Y5,0),IF(CB$4=EDATE('核心假设'!$B$5,13-1+'核心假设'!$B$31),SUM('融资租赁与资金缺口'!$M$5:$M$16)*$Z5,0),IF(CB$4=EDATE('核心假设'!$B$5,14-1+'核心假设'!$B$31),SUM('融资租赁与资金缺口'!$M$5:$M$16)*$AA5,0),IF(CB$4=EDATE('核心假设'!$B$5,15-1+'核心假设'!$B$31),SUM('融资租赁与资金缺口'!$M$5:$M$16)*$AB5,0),IF(CB$4=EDATE('核心假设'!$B$5,16-1+'核心假设'!$B$31),SUM('融资租赁与资金缺口'!$M$5:$M$16)*$AC5,0),IF(CB$4=EDATE('核心假设'!$B$5,17-1+'核心假设'!$B$31),SUM('融资租赁与资金缺口'!$M$5:$M$16)*$AD5,0))</x:f>
        <x:v>0</x:v>
      </x:c>
      <x:c r="CC9" s="28" t="n">
        <x:f>SUM(IF(CC$4=EDATE('核心假设'!$B$5,0-1+'核心假设'!$B$31),SUM('融资租赁与资金缺口'!$M$5:$M$16)*$M5,0),IF(CC$4=EDATE('核心假设'!$B$5,1-1+'核心假设'!$B$31),SUM('融资租赁与资金缺口'!$M$5:$M$16)*$N5,0),IF(CC$4=EDATE('核心假设'!$B$5,2-1+'核心假设'!$B$31),SUM('融资租赁与资金缺口'!$M$5:$M$16)*$O5,0),IF(CC$4=EDATE('核心假设'!$B$5,3-1+'核心假设'!$B$31),SUM('融资租赁与资金缺口'!$M$5:$M$16)*$P5,0),IF(CC$4=EDATE('核心假设'!$B$5,4-1+'核心假设'!$B$31),SUM('融资租赁与资金缺口'!$M$5:$M$16)*$Q5,0),IF(CC$4=EDATE('核心假设'!$B$5,5-1+'核心假设'!$B$31),SUM('融资租赁与资金缺口'!$M$5:$M$16)*$R5,0),IF(CC$4=EDATE('核心假设'!$B$5,6-1+'核心假设'!$B$31),SUM('融资租赁与资金缺口'!$M$5:$M$16)*$S5,0),IF(CC$4=EDATE('核心假设'!$B$5,7-1+'核心假设'!$B$31),SUM('融资租赁与资金缺口'!$M$5:$M$16)*$T5,0),IF(CC$4=EDATE('核心假设'!$B$5,8-1+'核心假设'!$B$31),SUM('融资租赁与资金缺口'!$M$5:$M$16)*$U5,0),IF(CC$4=EDATE('核心假设'!$B$5,9-1+'核心假设'!$B$31),SUM('融资租赁与资金缺口'!$M$5:$M$16)*$V5,0),IF(CC$4=EDATE('核心假设'!$B$5,10-1+'核心假设'!$B$31),SUM('融资租赁与资金缺口'!$M$5:$M$16)*$W5,0),IF(CC$4=EDATE('核心假设'!$B$5,11-1+'核心假设'!$B$31),SUM('融资租赁与资金缺口'!$M$5:$M$16)*$X5,0),IF(CC$4=EDATE('核心假设'!$B$5,12-1+'核心假设'!$B$31),SUM('融资租赁与资金缺口'!$M$5:$M$16)*$Y5,0),IF(CC$4=EDATE('核心假设'!$B$5,13-1+'核心假设'!$B$31),SUM('融资租赁与资金缺口'!$M$5:$M$16)*$Z5,0),IF(CC$4=EDATE('核心假设'!$B$5,14-1+'核心假设'!$B$31),SUM('融资租赁与资金缺口'!$M$5:$M$16)*$AA5,0),IF(CC$4=EDATE('核心假设'!$B$5,15-1+'核心假设'!$B$31),SUM('融资租赁与资金缺口'!$M$5:$M$16)*$AB5,0),IF(CC$4=EDATE('核心假设'!$B$5,16-1+'核心假设'!$B$31),SUM('融资租赁与资金缺口'!$M$5:$M$16)*$AC5,0),IF(CC$4=EDATE('核心假设'!$B$5,17-1+'核心假设'!$B$31),SUM('融资租赁与资金缺口'!$M$5:$M$16)*$AD5,0))</x:f>
        <x:v>0</x:v>
      </x:c>
      <x:c r="CD9" s="28" t="n">
        <x:f>SUM(IF(CD$4=EDATE('核心假设'!$B$5,0-1+'核心假设'!$B$31),SUM('融资租赁与资金缺口'!$M$5:$M$16)*$M5,0),IF(CD$4=EDATE('核心假设'!$B$5,1-1+'核心假设'!$B$31),SUM('融资租赁与资金缺口'!$M$5:$M$16)*$N5,0),IF(CD$4=EDATE('核心假设'!$B$5,2-1+'核心假设'!$B$31),SUM('融资租赁与资金缺口'!$M$5:$M$16)*$O5,0),IF(CD$4=EDATE('核心假设'!$B$5,3-1+'核心假设'!$B$31),SUM('融资租赁与资金缺口'!$M$5:$M$16)*$P5,0),IF(CD$4=EDATE('核心假设'!$B$5,4-1+'核心假设'!$B$31),SUM('融资租赁与资金缺口'!$M$5:$M$16)*$Q5,0),IF(CD$4=EDATE('核心假设'!$B$5,5-1+'核心假设'!$B$31),SUM('融资租赁与资金缺口'!$M$5:$M$16)*$R5,0),IF(CD$4=EDATE('核心假设'!$B$5,6-1+'核心假设'!$B$31),SUM('融资租赁与资金缺口'!$M$5:$M$16)*$S5,0),IF(CD$4=EDATE('核心假设'!$B$5,7-1+'核心假设'!$B$31),SUM('融资租赁与资金缺口'!$M$5:$M$16)*$T5,0),IF(CD$4=EDATE('核心假设'!$B$5,8-1+'核心假设'!$B$31),SUM('融资租赁与资金缺口'!$M$5:$M$16)*$U5,0),IF(CD$4=EDATE('核心假设'!$B$5,9-1+'核心假设'!$B$31),SUM('融资租赁与资金缺口'!$M$5:$M$16)*$V5,0),IF(CD$4=EDATE('核心假设'!$B$5,10-1+'核心假设'!$B$31),SUM('融资租赁与资金缺口'!$M$5:$M$16)*$W5,0),IF(CD$4=EDATE('核心假设'!$B$5,11-1+'核心假设'!$B$31),SUM('融资租赁与资金缺口'!$M$5:$M$16)*$X5,0),IF(CD$4=EDATE('核心假设'!$B$5,12-1+'核心假设'!$B$31),SUM('融资租赁与资金缺口'!$M$5:$M$16)*$Y5,0),IF(CD$4=EDATE('核心假设'!$B$5,13-1+'核心假设'!$B$31),SUM('融资租赁与资金缺口'!$M$5:$M$16)*$Z5,0),IF(CD$4=EDATE('核心假设'!$B$5,14-1+'核心假设'!$B$31),SUM('融资租赁与资金缺口'!$M$5:$M$16)*$AA5,0),IF(CD$4=EDATE('核心假设'!$B$5,15-1+'核心假设'!$B$31),SUM('融资租赁与资金缺口'!$M$5:$M$16)*$AB5,0),IF(CD$4=EDATE('核心假设'!$B$5,16-1+'核心假设'!$B$31),SUM('融资租赁与资金缺口'!$M$5:$M$16)*$AC5,0),IF(CD$4=EDATE('核心假设'!$B$5,17-1+'核心假设'!$B$31),SUM('融资租赁与资金缺口'!$M$5:$M$16)*$AD5,0))</x:f>
        <x:v>0</x:v>
      </x:c>
      <x:c r="CE9" s="28" t="n">
        <x:f>SUM(IF(CE$4=EDATE('核心假设'!$B$5,0-1+'核心假设'!$B$31),SUM('融资租赁与资金缺口'!$M$5:$M$16)*$M5,0),IF(CE$4=EDATE('核心假设'!$B$5,1-1+'核心假设'!$B$31),SUM('融资租赁与资金缺口'!$M$5:$M$16)*$N5,0),IF(CE$4=EDATE('核心假设'!$B$5,2-1+'核心假设'!$B$31),SUM('融资租赁与资金缺口'!$M$5:$M$16)*$O5,0),IF(CE$4=EDATE('核心假设'!$B$5,3-1+'核心假设'!$B$31),SUM('融资租赁与资金缺口'!$M$5:$M$16)*$P5,0),IF(CE$4=EDATE('核心假设'!$B$5,4-1+'核心假设'!$B$31),SUM('融资租赁与资金缺口'!$M$5:$M$16)*$Q5,0),IF(CE$4=EDATE('核心假设'!$B$5,5-1+'核心假设'!$B$31),SUM('融资租赁与资金缺口'!$M$5:$M$16)*$R5,0),IF(CE$4=EDATE('核心假设'!$B$5,6-1+'核心假设'!$B$31),SUM('融资租赁与资金缺口'!$M$5:$M$16)*$S5,0),IF(CE$4=EDATE('核心假设'!$B$5,7-1+'核心假设'!$B$31),SUM('融资租赁与资金缺口'!$M$5:$M$16)*$T5,0),IF(CE$4=EDATE('核心假设'!$B$5,8-1+'核心假设'!$B$31),SUM('融资租赁与资金缺口'!$M$5:$M$16)*$U5,0),IF(CE$4=EDATE('核心假设'!$B$5,9-1+'核心假设'!$B$31),SUM('融资租赁与资金缺口'!$M$5:$M$16)*$V5,0),IF(CE$4=EDATE('核心假设'!$B$5,10-1+'核心假设'!$B$31),SUM('融资租赁与资金缺口'!$M$5:$M$16)*$W5,0),IF(CE$4=EDATE('核心假设'!$B$5,11-1+'核心假设'!$B$31),SUM('融资租赁与资金缺口'!$M$5:$M$16)*$X5,0),IF(CE$4=EDATE('核心假设'!$B$5,12-1+'核心假设'!$B$31),SUM('融资租赁与资金缺口'!$M$5:$M$16)*$Y5,0),IF(CE$4=EDATE('核心假设'!$B$5,13-1+'核心假设'!$B$31),SUM('融资租赁与资金缺口'!$M$5:$M$16)*$Z5,0),IF(CE$4=EDATE('核心假设'!$B$5,14-1+'核心假设'!$B$31),SUM('融资租赁与资金缺口'!$M$5:$M$16)*$AA5,0),IF(CE$4=EDATE('核心假设'!$B$5,15-1+'核心假设'!$B$31),SUM('融资租赁与资金缺口'!$M$5:$M$16)*$AB5,0),IF(CE$4=EDATE('核心假设'!$B$5,16-1+'核心假设'!$B$31),SUM('融资租赁与资金缺口'!$M$5:$M$16)*$AC5,0),IF(CE$4=EDATE('核心假设'!$B$5,17-1+'核心假设'!$B$31),SUM('融资租赁与资金缺口'!$M$5:$M$16)*$AD5,0))</x:f>
        <x:v>0</x:v>
      </x:c>
      <x:c r="CF9" s="28" t="n">
        <x:f>SUM(IF(CF$4=EDATE('核心假设'!$B$5,0-1+'核心假设'!$B$31),SUM('融资租赁与资金缺口'!$M$5:$M$16)*$M5,0),IF(CF$4=EDATE('核心假设'!$B$5,1-1+'核心假设'!$B$31),SUM('融资租赁与资金缺口'!$M$5:$M$16)*$N5,0),IF(CF$4=EDATE('核心假设'!$B$5,2-1+'核心假设'!$B$31),SUM('融资租赁与资金缺口'!$M$5:$M$16)*$O5,0),IF(CF$4=EDATE('核心假设'!$B$5,3-1+'核心假设'!$B$31),SUM('融资租赁与资金缺口'!$M$5:$M$16)*$P5,0),IF(CF$4=EDATE('核心假设'!$B$5,4-1+'核心假设'!$B$31),SUM('融资租赁与资金缺口'!$M$5:$M$16)*$Q5,0),IF(CF$4=EDATE('核心假设'!$B$5,5-1+'核心假设'!$B$31),SUM('融资租赁与资金缺口'!$M$5:$M$16)*$R5,0),IF(CF$4=EDATE('核心假设'!$B$5,6-1+'核心假设'!$B$31),SUM('融资租赁与资金缺口'!$M$5:$M$16)*$S5,0),IF(CF$4=EDATE('核心假设'!$B$5,7-1+'核心假设'!$B$31),SUM('融资租赁与资金缺口'!$M$5:$M$16)*$T5,0),IF(CF$4=EDATE('核心假设'!$B$5,8-1+'核心假设'!$B$31),SUM('融资租赁与资金缺口'!$M$5:$M$16)*$U5,0),IF(CF$4=EDATE('核心假设'!$B$5,9-1+'核心假设'!$B$31),SUM('融资租赁与资金缺口'!$M$5:$M$16)*$V5,0),IF(CF$4=EDATE('核心假设'!$B$5,10-1+'核心假设'!$B$31),SUM('融资租赁与资金缺口'!$M$5:$M$16)*$W5,0),IF(CF$4=EDATE('核心假设'!$B$5,11-1+'核心假设'!$B$31),SUM('融资租赁与资金缺口'!$M$5:$M$16)*$X5,0),IF(CF$4=EDATE('核心假设'!$B$5,12-1+'核心假设'!$B$31),SUM('融资租赁与资金缺口'!$M$5:$M$16)*$Y5,0),IF(CF$4=EDATE('核心假设'!$B$5,13-1+'核心假设'!$B$31),SUM('融资租赁与资金缺口'!$M$5:$M$16)*$Z5,0),IF(CF$4=EDATE('核心假设'!$B$5,14-1+'核心假设'!$B$31),SUM('融资租赁与资金缺口'!$M$5:$M$16)*$AA5,0),IF(CF$4=EDATE('核心假设'!$B$5,15-1+'核心假设'!$B$31),SUM('融资租赁与资金缺口'!$M$5:$M$16)*$AB5,0),IF(CF$4=EDATE('核心假设'!$B$5,16-1+'核心假设'!$B$31),SUM('融资租赁与资金缺口'!$M$5:$M$16)*$AC5,0),IF(CF$4=EDATE('核心假设'!$B$5,17-1+'核心假设'!$B$31),SUM('融资租赁与资金缺口'!$M$5:$M$16)*$AD5,0))</x:f>
        <x:v>0</x:v>
      </x:c>
      <x:c r="CG9" s="28" t="n">
        <x:f>SUM(IF(CG$4=EDATE('核心假设'!$B$5,0-1+'核心假设'!$B$31),SUM('融资租赁与资金缺口'!$M$5:$M$16)*$M5,0),IF(CG$4=EDATE('核心假设'!$B$5,1-1+'核心假设'!$B$31),SUM('融资租赁与资金缺口'!$M$5:$M$16)*$N5,0),IF(CG$4=EDATE('核心假设'!$B$5,2-1+'核心假设'!$B$31),SUM('融资租赁与资金缺口'!$M$5:$M$16)*$O5,0),IF(CG$4=EDATE('核心假设'!$B$5,3-1+'核心假设'!$B$31),SUM('融资租赁与资金缺口'!$M$5:$M$16)*$P5,0),IF(CG$4=EDATE('核心假设'!$B$5,4-1+'核心假设'!$B$31),SUM('融资租赁与资金缺口'!$M$5:$M$16)*$Q5,0),IF(CG$4=EDATE('核心假设'!$B$5,5-1+'核心假设'!$B$31),SUM('融资租赁与资金缺口'!$M$5:$M$16)*$R5,0),IF(CG$4=EDATE('核心假设'!$B$5,6-1+'核心假设'!$B$31),SUM('融资租赁与资金缺口'!$M$5:$M$16)*$S5,0),IF(CG$4=EDATE('核心假设'!$B$5,7-1+'核心假设'!$B$31),SUM('融资租赁与资金缺口'!$M$5:$M$16)*$T5,0),IF(CG$4=EDATE('核心假设'!$B$5,8-1+'核心假设'!$B$31),SUM('融资租赁与资金缺口'!$M$5:$M$16)*$U5,0),IF(CG$4=EDATE('核心假设'!$B$5,9-1+'核心假设'!$B$31),SUM('融资租赁与资金缺口'!$M$5:$M$16)*$V5,0),IF(CG$4=EDATE('核心假设'!$B$5,10-1+'核心假设'!$B$31),SUM('融资租赁与资金缺口'!$M$5:$M$16)*$W5,0),IF(CG$4=EDATE('核心假设'!$B$5,11-1+'核心假设'!$B$31),SUM('融资租赁与资金缺口'!$M$5:$M$16)*$X5,0),IF(CG$4=EDATE('核心假设'!$B$5,12-1+'核心假设'!$B$31),SUM('融资租赁与资金缺口'!$M$5:$M$16)*$Y5,0),IF(CG$4=EDATE('核心假设'!$B$5,13-1+'核心假设'!$B$31),SUM('融资租赁与资金缺口'!$M$5:$M$16)*$Z5,0),IF(CG$4=EDATE('核心假设'!$B$5,14-1+'核心假设'!$B$31),SUM('融资租赁与资金缺口'!$M$5:$M$16)*$AA5,0),IF(CG$4=EDATE('核心假设'!$B$5,15-1+'核心假设'!$B$31),SUM('融资租赁与资金缺口'!$M$5:$M$16)*$AB5,0),IF(CG$4=EDATE('核心假设'!$B$5,16-1+'核心假设'!$B$31),SUM('融资租赁与资金缺口'!$M$5:$M$16)*$AC5,0),IF(CG$4=EDATE('核心假设'!$B$5,17-1+'核心假设'!$B$31),SUM('融资租赁与资金缺口'!$M$5:$M$16)*$AD5,0))</x:f>
        <x:v>0</x:v>
      </x:c>
      <x:c r="CH9" s="28" t="n">
        <x:f>SUM(IF(CH$4=EDATE('核心假设'!$B$5,0-1+'核心假设'!$B$31),SUM('融资租赁与资金缺口'!$M$5:$M$16)*$M5,0),IF(CH$4=EDATE('核心假设'!$B$5,1-1+'核心假设'!$B$31),SUM('融资租赁与资金缺口'!$M$5:$M$16)*$N5,0),IF(CH$4=EDATE('核心假设'!$B$5,2-1+'核心假设'!$B$31),SUM('融资租赁与资金缺口'!$M$5:$M$16)*$O5,0),IF(CH$4=EDATE('核心假设'!$B$5,3-1+'核心假设'!$B$31),SUM('融资租赁与资金缺口'!$M$5:$M$16)*$P5,0),IF(CH$4=EDATE('核心假设'!$B$5,4-1+'核心假设'!$B$31),SUM('融资租赁与资金缺口'!$M$5:$M$16)*$Q5,0),IF(CH$4=EDATE('核心假设'!$B$5,5-1+'核心假设'!$B$31),SUM('融资租赁与资金缺口'!$M$5:$M$16)*$R5,0),IF(CH$4=EDATE('核心假设'!$B$5,6-1+'核心假设'!$B$31),SUM('融资租赁与资金缺口'!$M$5:$M$16)*$S5,0),IF(CH$4=EDATE('核心假设'!$B$5,7-1+'核心假设'!$B$31),SUM('融资租赁与资金缺口'!$M$5:$M$16)*$T5,0),IF(CH$4=EDATE('核心假设'!$B$5,8-1+'核心假设'!$B$31),SUM('融资租赁与资金缺口'!$M$5:$M$16)*$U5,0),IF(CH$4=EDATE('核心假设'!$B$5,9-1+'核心假设'!$B$31),SUM('融资租赁与资金缺口'!$M$5:$M$16)*$V5,0),IF(CH$4=EDATE('核心假设'!$B$5,10-1+'核心假设'!$B$31),SUM('融资租赁与资金缺口'!$M$5:$M$16)*$W5,0),IF(CH$4=EDATE('核心假设'!$B$5,11-1+'核心假设'!$B$31),SUM('融资租赁与资金缺口'!$M$5:$M$16)*$X5,0),IF(CH$4=EDATE('核心假设'!$B$5,12-1+'核心假设'!$B$31),SUM('融资租赁与资金缺口'!$M$5:$M$16)*$Y5,0),IF(CH$4=EDATE('核心假设'!$B$5,13-1+'核心假设'!$B$31),SUM('融资租赁与资金缺口'!$M$5:$M$16)*$Z5,0),IF(CH$4=EDATE('核心假设'!$B$5,14-1+'核心假设'!$B$31),SUM('融资租赁与资金缺口'!$M$5:$M$16)*$AA5,0),IF(CH$4=EDATE('核心假设'!$B$5,15-1+'核心假设'!$B$31),SUM('融资租赁与资金缺口'!$M$5:$M$16)*$AB5,0),IF(CH$4=EDATE('核心假设'!$B$5,16-1+'核心假设'!$B$31),SUM('融资租赁与资金缺口'!$M$5:$M$16)*$AC5,0),IF(CH$4=EDATE('核心假设'!$B$5,17-1+'核心假设'!$B$31),SUM('融资租赁与资金缺口'!$M$5:$M$16)*$AD5,0))</x:f>
        <x:v>0</x:v>
      </x:c>
      <x:c r="CI9" s="28" t="n">
        <x:f>SUM(IF(CI$4=EDATE('核心假设'!$B$5,0-1+'核心假设'!$B$31),SUM('融资租赁与资金缺口'!$M$5:$M$16)*$M5,0),IF(CI$4=EDATE('核心假设'!$B$5,1-1+'核心假设'!$B$31),SUM('融资租赁与资金缺口'!$M$5:$M$16)*$N5,0),IF(CI$4=EDATE('核心假设'!$B$5,2-1+'核心假设'!$B$31),SUM('融资租赁与资金缺口'!$M$5:$M$16)*$O5,0),IF(CI$4=EDATE('核心假设'!$B$5,3-1+'核心假设'!$B$31),SUM('融资租赁与资金缺口'!$M$5:$M$16)*$P5,0),IF(CI$4=EDATE('核心假设'!$B$5,4-1+'核心假设'!$B$31),SUM('融资租赁与资金缺口'!$M$5:$M$16)*$Q5,0),IF(CI$4=EDATE('核心假设'!$B$5,5-1+'核心假设'!$B$31),SUM('融资租赁与资金缺口'!$M$5:$M$16)*$R5,0),IF(CI$4=EDATE('核心假设'!$B$5,6-1+'核心假设'!$B$31),SUM('融资租赁与资金缺口'!$M$5:$M$16)*$S5,0),IF(CI$4=EDATE('核心假设'!$B$5,7-1+'核心假设'!$B$31),SUM('融资租赁与资金缺口'!$M$5:$M$16)*$T5,0),IF(CI$4=EDATE('核心假设'!$B$5,8-1+'核心假设'!$B$31),SUM('融资租赁与资金缺口'!$M$5:$M$16)*$U5,0),IF(CI$4=EDATE('核心假设'!$B$5,9-1+'核心假设'!$B$31),SUM('融资租赁与资金缺口'!$M$5:$M$16)*$V5,0),IF(CI$4=EDATE('核心假设'!$B$5,10-1+'核心假设'!$B$31),SUM('融资租赁与资金缺口'!$M$5:$M$16)*$W5,0),IF(CI$4=EDATE('核心假设'!$B$5,11-1+'核心假设'!$B$31),SUM('融资租赁与资金缺口'!$M$5:$M$16)*$X5,0),IF(CI$4=EDATE('核心假设'!$B$5,12-1+'核心假设'!$B$31),SUM('融资租赁与资金缺口'!$M$5:$M$16)*$Y5,0),IF(CI$4=EDATE('核心假设'!$B$5,13-1+'核心假设'!$B$31),SUM('融资租赁与资金缺口'!$M$5:$M$16)*$Z5,0),IF(CI$4=EDATE('核心假设'!$B$5,14-1+'核心假设'!$B$31),SUM('融资租赁与资金缺口'!$M$5:$M$16)*$AA5,0),IF(CI$4=EDATE('核心假设'!$B$5,15-1+'核心假设'!$B$31),SUM('融资租赁与资金缺口'!$M$5:$M$16)*$AB5,0),IF(CI$4=EDATE('核心假设'!$B$5,16-1+'核心假设'!$B$31),SUM('融资租赁与资金缺口'!$M$5:$M$16)*$AC5,0),IF(CI$4=EDATE('核心假设'!$B$5,17-1+'核心假设'!$B$31),SUM('融资租赁与资金缺口'!$M$5:$M$16)*$AD5,0))</x:f>
        <x:v>0</x:v>
      </x:c>
      <x:c r="CJ9" s="28" t="n">
        <x:f>SUM(IF(CJ$4=EDATE('核心假设'!$B$5,0-1+'核心假设'!$B$31),SUM('融资租赁与资金缺口'!$M$5:$M$16)*$M5,0),IF(CJ$4=EDATE('核心假设'!$B$5,1-1+'核心假设'!$B$31),SUM('融资租赁与资金缺口'!$M$5:$M$16)*$N5,0),IF(CJ$4=EDATE('核心假设'!$B$5,2-1+'核心假设'!$B$31),SUM('融资租赁与资金缺口'!$M$5:$M$16)*$O5,0),IF(CJ$4=EDATE('核心假设'!$B$5,3-1+'核心假设'!$B$31),SUM('融资租赁与资金缺口'!$M$5:$M$16)*$P5,0),IF(CJ$4=EDATE('核心假设'!$B$5,4-1+'核心假设'!$B$31),SUM('融资租赁与资金缺口'!$M$5:$M$16)*$Q5,0),IF(CJ$4=EDATE('核心假设'!$B$5,5-1+'核心假设'!$B$31),SUM('融资租赁与资金缺口'!$M$5:$M$16)*$R5,0),IF(CJ$4=EDATE('核心假设'!$B$5,6-1+'核心假设'!$B$31),SUM('融资租赁与资金缺口'!$M$5:$M$16)*$S5,0),IF(CJ$4=EDATE('核心假设'!$B$5,7-1+'核心假设'!$B$31),SUM('融资租赁与资金缺口'!$M$5:$M$16)*$T5,0),IF(CJ$4=EDATE('核心假设'!$B$5,8-1+'核心假设'!$B$31),SUM('融资租赁与资金缺口'!$M$5:$M$16)*$U5,0),IF(CJ$4=EDATE('核心假设'!$B$5,9-1+'核心假设'!$B$31),SUM('融资租赁与资金缺口'!$M$5:$M$16)*$V5,0),IF(CJ$4=EDATE('核心假设'!$B$5,10-1+'核心假设'!$B$31),SUM('融资租赁与资金缺口'!$M$5:$M$16)*$W5,0),IF(CJ$4=EDATE('核心假设'!$B$5,11-1+'核心假设'!$B$31),SUM('融资租赁与资金缺口'!$M$5:$M$16)*$X5,0),IF(CJ$4=EDATE('核心假设'!$B$5,12-1+'核心假设'!$B$31),SUM('融资租赁与资金缺口'!$M$5:$M$16)*$Y5,0),IF(CJ$4=EDATE('核心假设'!$B$5,13-1+'核心假设'!$B$31),SUM('融资租赁与资金缺口'!$M$5:$M$16)*$Z5,0),IF(CJ$4=EDATE('核心假设'!$B$5,14-1+'核心假设'!$B$31),SUM('融资租赁与资金缺口'!$M$5:$M$16)*$AA5,0),IF(CJ$4=EDATE('核心假设'!$B$5,15-1+'核心假设'!$B$31),SUM('融资租赁与资金缺口'!$M$5:$M$16)*$AB5,0),IF(CJ$4=EDATE('核心假设'!$B$5,16-1+'核心假设'!$B$31),SUM('融资租赁与资金缺口'!$M$5:$M$16)*$AC5,0),IF(CJ$4=EDATE('核心假设'!$B$5,17-1+'核心假设'!$B$31),SUM('融资租赁与资金缺口'!$M$5:$M$16)*$AD5,0))</x:f>
        <x:v>0</x:v>
      </x:c>
      <x:c r="CK9" s="28" t="n">
        <x:f>SUM(IF(CK$4=EDATE('核心假设'!$B$5,0-1+'核心假设'!$B$31),SUM('融资租赁与资金缺口'!$M$5:$M$16)*$M5,0),IF(CK$4=EDATE('核心假设'!$B$5,1-1+'核心假设'!$B$31),SUM('融资租赁与资金缺口'!$M$5:$M$16)*$N5,0),IF(CK$4=EDATE('核心假设'!$B$5,2-1+'核心假设'!$B$31),SUM('融资租赁与资金缺口'!$M$5:$M$16)*$O5,0),IF(CK$4=EDATE('核心假设'!$B$5,3-1+'核心假设'!$B$31),SUM('融资租赁与资金缺口'!$M$5:$M$16)*$P5,0),IF(CK$4=EDATE('核心假设'!$B$5,4-1+'核心假设'!$B$31),SUM('融资租赁与资金缺口'!$M$5:$M$16)*$Q5,0),IF(CK$4=EDATE('核心假设'!$B$5,5-1+'核心假设'!$B$31),SUM('融资租赁与资金缺口'!$M$5:$M$16)*$R5,0),IF(CK$4=EDATE('核心假设'!$B$5,6-1+'核心假设'!$B$31),SUM('融资租赁与资金缺口'!$M$5:$M$16)*$S5,0),IF(CK$4=EDATE('核心假设'!$B$5,7-1+'核心假设'!$B$31),SUM('融资租赁与资金缺口'!$M$5:$M$16)*$T5,0),IF(CK$4=EDATE('核心假设'!$B$5,8-1+'核心假设'!$B$31),SUM('融资租赁与资金缺口'!$M$5:$M$16)*$U5,0),IF(CK$4=EDATE('核心假设'!$B$5,9-1+'核心假设'!$B$31),SUM('融资租赁与资金缺口'!$M$5:$M$16)*$V5,0),IF(CK$4=EDATE('核心假设'!$B$5,10-1+'核心假设'!$B$31),SUM('融资租赁与资金缺口'!$M$5:$M$16)*$W5,0),IF(CK$4=EDATE('核心假设'!$B$5,11-1+'核心假设'!$B$31),SUM('融资租赁与资金缺口'!$M$5:$M$16)*$X5,0),IF(CK$4=EDATE('核心假设'!$B$5,12-1+'核心假设'!$B$31),SUM('融资租赁与资金缺口'!$M$5:$M$16)*$Y5,0),IF(CK$4=EDATE('核心假设'!$B$5,13-1+'核心假设'!$B$31),SUM('融资租赁与资金缺口'!$M$5:$M$16)*$Z5,0),IF(CK$4=EDATE('核心假设'!$B$5,14-1+'核心假设'!$B$31),SUM('融资租赁与资金缺口'!$M$5:$M$16)*$AA5,0),IF(CK$4=EDATE('核心假设'!$B$5,15-1+'核心假设'!$B$31),SUM('融资租赁与资金缺口'!$M$5:$M$16)*$AB5,0),IF(CK$4=EDATE('核心假设'!$B$5,16-1+'核心假设'!$B$31),SUM('融资租赁与资金缺口'!$M$5:$M$16)*$AC5,0),IF(CK$4=EDATE('核心假设'!$B$5,17-1+'核心假设'!$B$31),SUM('融资租赁与资金缺口'!$M$5:$M$16)*$AD5,0))</x:f>
        <x:v>0</x:v>
      </x:c>
      <x:c r="CL9" s="28" t="n">
        <x:f>SUM(IF(CL$4=EDATE('核心假设'!$B$5,0-1+'核心假设'!$B$31),SUM('融资租赁与资金缺口'!$M$5:$M$16)*$M5,0),IF(CL$4=EDATE('核心假设'!$B$5,1-1+'核心假设'!$B$31),SUM('融资租赁与资金缺口'!$M$5:$M$16)*$N5,0),IF(CL$4=EDATE('核心假设'!$B$5,2-1+'核心假设'!$B$31),SUM('融资租赁与资金缺口'!$M$5:$M$16)*$O5,0),IF(CL$4=EDATE('核心假设'!$B$5,3-1+'核心假设'!$B$31),SUM('融资租赁与资金缺口'!$M$5:$M$16)*$P5,0),IF(CL$4=EDATE('核心假设'!$B$5,4-1+'核心假设'!$B$31),SUM('融资租赁与资金缺口'!$M$5:$M$16)*$Q5,0),IF(CL$4=EDATE('核心假设'!$B$5,5-1+'核心假设'!$B$31),SUM('融资租赁与资金缺口'!$M$5:$M$16)*$R5,0),IF(CL$4=EDATE('核心假设'!$B$5,6-1+'核心假设'!$B$31),SUM('融资租赁与资金缺口'!$M$5:$M$16)*$S5,0),IF(CL$4=EDATE('核心假设'!$B$5,7-1+'核心假设'!$B$31),SUM('融资租赁与资金缺口'!$M$5:$M$16)*$T5,0),IF(CL$4=EDATE('核心假设'!$B$5,8-1+'核心假设'!$B$31),SUM('融资租赁与资金缺口'!$M$5:$M$16)*$U5,0),IF(CL$4=EDATE('核心假设'!$B$5,9-1+'核心假设'!$B$31),SUM('融资租赁与资金缺口'!$M$5:$M$16)*$V5,0),IF(CL$4=EDATE('核心假设'!$B$5,10-1+'核心假设'!$B$31),SUM('融资租赁与资金缺口'!$M$5:$M$16)*$W5,0),IF(CL$4=EDATE('核心假设'!$B$5,11-1+'核心假设'!$B$31),SUM('融资租赁与资金缺口'!$M$5:$M$16)*$X5,0),IF(CL$4=EDATE('核心假设'!$B$5,12-1+'核心假设'!$B$31),SUM('融资租赁与资金缺口'!$M$5:$M$16)*$Y5,0),IF(CL$4=EDATE('核心假设'!$B$5,13-1+'核心假设'!$B$31),SUM('融资租赁与资金缺口'!$M$5:$M$16)*$Z5,0),IF(CL$4=EDATE('核心假设'!$B$5,14-1+'核心假设'!$B$31),SUM('融资租赁与资金缺口'!$M$5:$M$16)*$AA5,0),IF(CL$4=EDATE('核心假设'!$B$5,15-1+'核心假设'!$B$31),SUM('融资租赁与资金缺口'!$M$5:$M$16)*$AB5,0),IF(CL$4=EDATE('核心假设'!$B$5,16-1+'核心假设'!$B$31),SUM('融资租赁与资金缺口'!$M$5:$M$16)*$AC5,0),IF(CL$4=EDATE('核心假设'!$B$5,17-1+'核心假设'!$B$31),SUM('融资租赁与资金缺口'!$M$5:$M$16)*$AD5,0))</x:f>
        <x:v>0</x:v>
      </x:c>
      <x:c r="CM9" s="28" t="n">
        <x:f>SUM(IF(CM$4=EDATE('核心假设'!$B$5,0-1+'核心假设'!$B$31),SUM('融资租赁与资金缺口'!$M$5:$M$16)*$M5,0),IF(CM$4=EDATE('核心假设'!$B$5,1-1+'核心假设'!$B$31),SUM('融资租赁与资金缺口'!$M$5:$M$16)*$N5,0),IF(CM$4=EDATE('核心假设'!$B$5,2-1+'核心假设'!$B$31),SUM('融资租赁与资金缺口'!$M$5:$M$16)*$O5,0),IF(CM$4=EDATE('核心假设'!$B$5,3-1+'核心假设'!$B$31),SUM('融资租赁与资金缺口'!$M$5:$M$16)*$P5,0),IF(CM$4=EDATE('核心假设'!$B$5,4-1+'核心假设'!$B$31),SUM('融资租赁与资金缺口'!$M$5:$M$16)*$Q5,0),IF(CM$4=EDATE('核心假设'!$B$5,5-1+'核心假设'!$B$31),SUM('融资租赁与资金缺口'!$M$5:$M$16)*$R5,0),IF(CM$4=EDATE('核心假设'!$B$5,6-1+'核心假设'!$B$31),SUM('融资租赁与资金缺口'!$M$5:$M$16)*$S5,0),IF(CM$4=EDATE('核心假设'!$B$5,7-1+'核心假设'!$B$31),SUM('融资租赁与资金缺口'!$M$5:$M$16)*$T5,0),IF(CM$4=EDATE('核心假设'!$B$5,8-1+'核心假设'!$B$31),SUM('融资租赁与资金缺口'!$M$5:$M$16)*$U5,0),IF(CM$4=EDATE('核心假设'!$B$5,9-1+'核心假设'!$B$31),SUM('融资租赁与资金缺口'!$M$5:$M$16)*$V5,0),IF(CM$4=EDATE('核心假设'!$B$5,10-1+'核心假设'!$B$31),SUM('融资租赁与资金缺口'!$M$5:$M$16)*$W5,0),IF(CM$4=EDATE('核心假设'!$B$5,11-1+'核心假设'!$B$31),SUM('融资租赁与资金缺口'!$M$5:$M$16)*$X5,0),IF(CM$4=EDATE('核心假设'!$B$5,12-1+'核心假设'!$B$31),SUM('融资租赁与资金缺口'!$M$5:$M$16)*$Y5,0),IF(CM$4=EDATE('核心假设'!$B$5,13-1+'核心假设'!$B$31),SUM('融资租赁与资金缺口'!$M$5:$M$16)*$Z5,0),IF(CM$4=EDATE('核心假设'!$B$5,14-1+'核心假设'!$B$31),SUM('融资租赁与资金缺口'!$M$5:$M$16)*$AA5,0),IF(CM$4=EDATE('核心假设'!$B$5,15-1+'核心假设'!$B$31),SUM('融资租赁与资金缺口'!$M$5:$M$16)*$AB5,0),IF(CM$4=EDATE('核心假设'!$B$5,16-1+'核心假设'!$B$31),SUM('融资租赁与资金缺口'!$M$5:$M$16)*$AC5,0),IF(CM$4=EDATE('核心假设'!$B$5,17-1+'核心假设'!$B$31),SUM('融资租赁与资金缺口'!$M$5:$M$16)*$AD5,0))</x:f>
        <x:v>0</x:v>
      </x:c>
    </x:row>
    <x:row r="10">
      <x:c r="A10" t="str">
        <x:v>综合压力</x:v>
      </x:c>
      <x:c r="B10" s="28" t="n">
        <x:f>IF('36月运营模型'!$B$22=0,0,'历史单枪模型'!$M$5/'36月运营模型'!$B$22*90%)</x:f>
        <x:v>24.27790129802996</x:v>
      </x:c>
      <x:c r="C10" s="22" t="n">
        <x:f>80%</x:f>
        <x:v>0.8</x:v>
      </x:c>
      <x:c r="D10" s="18" t="n">
        <x:f>36</x:f>
        <x:v>36</x:v>
      </x:c>
      <x:c r="E10" s="22" t="n">
        <x:f>10%</x:f>
        <x:v>0.1</x:v>
      </x:c>
      <x:c r="F10" s="18" t="n">
        <x:f>2</x:f>
        <x:v>2</x:v>
      </x:c>
      <x:c r="G10" s="18" t="str">
        <x:f>"分成"</x:f>
        <x:v>分成</x:v>
      </x:c>
      <x:c r="H10" s="22" t="n">
        <x:f>15%</x:f>
        <x:v>0.15</x:v>
      </x:c>
      <x:c r="I10" s="35" t="n">
        <x:f>SUM(AF35:BO35)</x:f>
        <x:v>582695100.0750074</x:v>
      </x:c>
      <x:c r="J10" s="115" t="n">
        <x:f>IF(SUM(AF37:CM37)=0,"",SUM(AF36:CM36)/SUM(AF37:CM37))</x:f>
        <x:v>1.4329338045766156</x:v>
      </x:c>
      <x:c r="K10" s="35" t="n">
        <x:f>MAX(0,-MIN(AF40:CM40))</x:f>
        <x:v>189691510.98169732</x:v>
      </x:c>
      <x:c r="L10" s="18" t="n">
        <x:f>18</x:f>
        <x:v>18</x:v>
      </x:c>
      <x:c r="M10" s="22" t="n">
        <x:f>3%</x:f>
        <x:v>0.03</x:v>
      </x:c>
      <x:c r="N10" s="22" t="n">
        <x:f>4%</x:f>
        <x:v>0.04</x:v>
      </x:c>
      <x:c r="O10" s="22" t="n">
        <x:f>4%</x:f>
        <x:v>0.04</x:v>
      </x:c>
      <x:c r="P10" s="22" t="n">
        <x:f>5%</x:f>
        <x:v>0.05</x:v>
      </x:c>
      <x:c r="Q10" s="22" t="n">
        <x:f>5%</x:f>
        <x:v>0.05</x:v>
      </x:c>
      <x:c r="R10" s="22" t="n">
        <x:f>6%</x:f>
        <x:v>0.06</x:v>
      </x:c>
      <x:c r="S10" s="22" t="n">
        <x:f>6%</x:f>
        <x:v>0.06</x:v>
      </x:c>
      <x:c r="T10" s="22" t="n">
        <x:f>7.000000000000001%</x:f>
        <x:v>0.07</x:v>
      </x:c>
      <x:c r="U10" s="22" t="n">
        <x:f>7.000000000000001%</x:f>
        <x:v>0.07</x:v>
      </x:c>
      <x:c r="V10" s="22" t="n">
        <x:f>7.000000000000001%</x:f>
        <x:v>0.07</x:v>
      </x:c>
      <x:c r="W10" s="22" t="n">
        <x:f>7.000000000000001%</x:f>
        <x:v>0.07</x:v>
      </x:c>
      <x:c r="X10" s="22" t="n">
        <x:f>7.000000000000001%</x:f>
        <x:v>0.07</x:v>
      </x:c>
      <x:c r="Y10" s="22" t="n">
        <x:f>7.000000000000001%</x:f>
        <x:v>0.07</x:v>
      </x:c>
      <x:c r="Z10" s="22" t="n">
        <x:f>6%</x:f>
        <x:v>0.06</x:v>
      </x:c>
      <x:c r="AA10" s="22" t="n">
        <x:f>6%</x:f>
        <x:v>0.06</x:v>
      </x:c>
      <x:c r="AB10" s="22" t="n">
        <x:f>5%</x:f>
        <x:v>0.05</x:v>
      </x:c>
      <x:c r="AC10" s="22" t="n">
        <x:f>4%</x:f>
        <x:v>0.04</x:v>
      </x:c>
      <x:c r="AD10" s="22" t="n">
        <x:f>4%</x:f>
        <x:v>0.04</x:v>
      </x:c>
      <x:c r="AE10" t="str">
        <x:v>注资前累计现金</x:v>
      </x:c>
      <x:c r="AF10" s="28" t="n">
        <x:f>'核心假设'!$B$39+AF6-AF7+SUM(IF(AF$4=EDATE('核心假设'!$B$5,0+$F5),SUM('融资租赁与资金缺口'!$D$5:$D$16)*$M5*$C5,0),IF(AF$4=EDATE('核心假设'!$B$5,1+$F5),SUM('融资租赁与资金缺口'!$D$5:$D$16)*$N5*$C5,0),IF(AF$4=EDATE('核心假设'!$B$5,2+$F5),SUM('融资租赁与资金缺口'!$D$5:$D$16)*$O5*$C5,0),IF(AF$4=EDATE('核心假设'!$B$5,3+$F5),SUM('融资租赁与资金缺口'!$D$5:$D$16)*$P5*$C5,0),IF(AF$4=EDATE('核心假设'!$B$5,4+$F5),SUM('融资租赁与资金缺口'!$D$5:$D$16)*$Q5*$C5,0),IF(AF$4=EDATE('核心假设'!$B$5,5+$F5),SUM('融资租赁与资金缺口'!$D$5:$D$16)*$R5*$C5,0),IF(AF$4=EDATE('核心假设'!$B$5,6+$F5),SUM('融资租赁与资金缺口'!$D$5:$D$16)*$S5*$C5,0),IF(AF$4=EDATE('核心假设'!$B$5,7+$F5),SUM('融资租赁与资金缺口'!$D$5:$D$16)*$T5*$C5,0),IF(AF$4=EDATE('核心假设'!$B$5,8+$F5),SUM('融资租赁与资金缺口'!$D$5:$D$16)*$U5*$C5,0),IF(AF$4=EDATE('核心假设'!$B$5,9+$F5),SUM('融资租赁与资金缺口'!$D$5:$D$16)*$V5*$C5,0),IF(AF$4=EDATE('核心假设'!$B$5,10+$F5),SUM('融资租赁与资金缺口'!$D$5:$D$16)*$W5*$C5,0),IF(AF$4=EDATE('核心假设'!$B$5,11+$F5),SUM('融资租赁与资金缺口'!$D$5:$D$16)*$X5*$C5,0),IF(AF$4=EDATE('核心假设'!$B$5,12+$F5),SUM('融资租赁与资金缺口'!$D$5:$D$16)*$Y5*$C5,0),IF(AF$4=EDATE('核心假设'!$B$5,13+$F5),SUM('融资租赁与资金缺口'!$D$5:$D$16)*$Z5*$C5,0),IF(AF$4=EDATE('核心假设'!$B$5,14+$F5),SUM('融资租赁与资金缺口'!$D$5:$D$16)*$AA5*$C5,0),IF(AF$4=EDATE('核心假设'!$B$5,15+$F5),SUM('融资租赁与资金缺口'!$D$5:$D$16)*$AB5*$C5,0),IF(AF$4=EDATE('核心假设'!$B$5,16+$F5),SUM('融资租赁与资金缺口'!$D$5:$D$16)*$AC5*$C5,0),IF(AF$4=EDATE('核心假设'!$B$5,17+$F5),SUM('融资租赁与资金缺口'!$D$5:$D$16)*$AD5*$C5,0))-AF9</x:f>
        <x:v>1146839.7707964361</x:v>
      </x:c>
      <x:c r="AG10" s="28" t="n">
        <x:f>AF10+AG6-AG7+SUM(IF(AG$4=EDATE('核心假设'!$B$5,0+$F5),SUM('融资租赁与资金缺口'!$D$5:$D$16)*$M5*$C5,0),IF(AG$4=EDATE('核心假设'!$B$5,1+$F5),SUM('融资租赁与资金缺口'!$D$5:$D$16)*$N5*$C5,0),IF(AG$4=EDATE('核心假设'!$B$5,2+$F5),SUM('融资租赁与资金缺口'!$D$5:$D$16)*$O5*$C5,0),IF(AG$4=EDATE('核心假设'!$B$5,3+$F5),SUM('融资租赁与资金缺口'!$D$5:$D$16)*$P5*$C5,0),IF(AG$4=EDATE('核心假设'!$B$5,4+$F5),SUM('融资租赁与资金缺口'!$D$5:$D$16)*$Q5*$C5,0),IF(AG$4=EDATE('核心假设'!$B$5,5+$F5),SUM('融资租赁与资金缺口'!$D$5:$D$16)*$R5*$C5,0),IF(AG$4=EDATE('核心假设'!$B$5,6+$F5),SUM('融资租赁与资金缺口'!$D$5:$D$16)*$S5*$C5,0),IF(AG$4=EDATE('核心假设'!$B$5,7+$F5),SUM('融资租赁与资金缺口'!$D$5:$D$16)*$T5*$C5,0),IF(AG$4=EDATE('核心假设'!$B$5,8+$F5),SUM('融资租赁与资金缺口'!$D$5:$D$16)*$U5*$C5,0),IF(AG$4=EDATE('核心假设'!$B$5,9+$F5),SUM('融资租赁与资金缺口'!$D$5:$D$16)*$V5*$C5,0),IF(AG$4=EDATE('核心假设'!$B$5,10+$F5),SUM('融资租赁与资金缺口'!$D$5:$D$16)*$W5*$C5,0),IF(AG$4=EDATE('核心假设'!$B$5,11+$F5),SUM('融资租赁与资金缺口'!$D$5:$D$16)*$X5*$C5,0),IF(AG$4=EDATE('核心假设'!$B$5,12+$F5),SUM('融资租赁与资金缺口'!$D$5:$D$16)*$Y5*$C5,0),IF(AG$4=EDATE('核心假设'!$B$5,13+$F5),SUM('融资租赁与资金缺口'!$D$5:$D$16)*$Z5*$C5,0),IF(AG$4=EDATE('核心假设'!$B$5,14+$F5),SUM('融资租赁与资金缺口'!$D$5:$D$16)*$AA5*$C5,0),IF(AG$4=EDATE('核心假设'!$B$5,15+$F5),SUM('融资租赁与资金缺口'!$D$5:$D$16)*$AB5*$C5,0),IF(AG$4=EDATE('核心假设'!$B$5,16+$F5),SUM('融资租赁与资金缺口'!$D$5:$D$16)*$AC5*$C5,0),IF(AG$4=EDATE('核心假设'!$B$5,17+$F5),SUM('融资租赁与资金缺口'!$D$5:$D$16)*$AD5*$C5,0))-AG9</x:f>
        <x:v>-968796.8867953941</x:v>
      </x:c>
      <x:c r="AH10" s="28" t="n">
        <x:f>AG10+AH6-AH7+SUM(IF(AH$4=EDATE('核心假设'!$B$5,0+$F5),SUM('融资租赁与资金缺口'!$D$5:$D$16)*$M5*$C5,0),IF(AH$4=EDATE('核心假设'!$B$5,1+$F5),SUM('融资租赁与资金缺口'!$D$5:$D$16)*$N5*$C5,0),IF(AH$4=EDATE('核心假设'!$B$5,2+$F5),SUM('融资租赁与资金缺口'!$D$5:$D$16)*$O5*$C5,0),IF(AH$4=EDATE('核心假设'!$B$5,3+$F5),SUM('融资租赁与资金缺口'!$D$5:$D$16)*$P5*$C5,0),IF(AH$4=EDATE('核心假设'!$B$5,4+$F5),SUM('融资租赁与资金缺口'!$D$5:$D$16)*$Q5*$C5,0),IF(AH$4=EDATE('核心假设'!$B$5,5+$F5),SUM('融资租赁与资金缺口'!$D$5:$D$16)*$R5*$C5,0),IF(AH$4=EDATE('核心假设'!$B$5,6+$F5),SUM('融资租赁与资金缺口'!$D$5:$D$16)*$S5*$C5,0),IF(AH$4=EDATE('核心假设'!$B$5,7+$F5),SUM('融资租赁与资金缺口'!$D$5:$D$16)*$T5*$C5,0),IF(AH$4=EDATE('核心假设'!$B$5,8+$F5),SUM('融资租赁与资金缺口'!$D$5:$D$16)*$U5*$C5,0),IF(AH$4=EDATE('核心假设'!$B$5,9+$F5),SUM('融资租赁与资金缺口'!$D$5:$D$16)*$V5*$C5,0),IF(AH$4=EDATE('核心假设'!$B$5,10+$F5),SUM('融资租赁与资金缺口'!$D$5:$D$16)*$W5*$C5,0),IF(AH$4=EDATE('核心假设'!$B$5,11+$F5),SUM('融资租赁与资金缺口'!$D$5:$D$16)*$X5*$C5,0),IF(AH$4=EDATE('核心假设'!$B$5,12+$F5),SUM('融资租赁与资金缺口'!$D$5:$D$16)*$Y5*$C5,0),IF(AH$4=EDATE('核心假设'!$B$5,13+$F5),SUM('融资租赁与资金缺口'!$D$5:$D$16)*$Z5*$C5,0),IF(AH$4=EDATE('核心假设'!$B$5,14+$F5),SUM('融资租赁与资金缺口'!$D$5:$D$16)*$AA5*$C5,0),IF(AH$4=EDATE('核心假设'!$B$5,15+$F5),SUM('融资租赁与资金缺口'!$D$5:$D$16)*$AB5*$C5,0),IF(AH$4=EDATE('核心假设'!$B$5,16+$F5),SUM('融资租赁与资金缺口'!$D$5:$D$16)*$AC5*$C5,0),IF(AH$4=EDATE('核心假设'!$B$5,17+$F5),SUM('融资租赁与资金缺口'!$D$5:$D$16)*$AD5*$C5,0))-AH9</x:f>
        <x:v>-2718757.6778813303</x:v>
      </x:c>
      <x:c r="AI10" s="28" t="n">
        <x:f>AH10+AI6-AI7+SUM(IF(AI$4=EDATE('核心假设'!$B$5,0+$F5),SUM('融资租赁与资金缺口'!$D$5:$D$16)*$M5*$C5,0),IF(AI$4=EDATE('核心假设'!$B$5,1+$F5),SUM('融资租赁与资金缺口'!$D$5:$D$16)*$N5*$C5,0),IF(AI$4=EDATE('核心假设'!$B$5,2+$F5),SUM('融资租赁与资金缺口'!$D$5:$D$16)*$O5*$C5,0),IF(AI$4=EDATE('核心假设'!$B$5,3+$F5),SUM('融资租赁与资金缺口'!$D$5:$D$16)*$P5*$C5,0),IF(AI$4=EDATE('核心假设'!$B$5,4+$F5),SUM('融资租赁与资金缺口'!$D$5:$D$16)*$Q5*$C5,0),IF(AI$4=EDATE('核心假设'!$B$5,5+$F5),SUM('融资租赁与资金缺口'!$D$5:$D$16)*$R5*$C5,0),IF(AI$4=EDATE('核心假设'!$B$5,6+$F5),SUM('融资租赁与资金缺口'!$D$5:$D$16)*$S5*$C5,0),IF(AI$4=EDATE('核心假设'!$B$5,7+$F5),SUM('融资租赁与资金缺口'!$D$5:$D$16)*$T5*$C5,0),IF(AI$4=EDATE('核心假设'!$B$5,8+$F5),SUM('融资租赁与资金缺口'!$D$5:$D$16)*$U5*$C5,0),IF(AI$4=EDATE('核心假设'!$B$5,9+$F5),SUM('融资租赁与资金缺口'!$D$5:$D$16)*$V5*$C5,0),IF(AI$4=EDATE('核心假设'!$B$5,10+$F5),SUM('融资租赁与资金缺口'!$D$5:$D$16)*$W5*$C5,0),IF(AI$4=EDATE('核心假设'!$B$5,11+$F5),SUM('融资租赁与资金缺口'!$D$5:$D$16)*$X5*$C5,0),IF(AI$4=EDATE('核心假设'!$B$5,12+$F5),SUM('融资租赁与资金缺口'!$D$5:$D$16)*$Y5*$C5,0),IF(AI$4=EDATE('核心假设'!$B$5,13+$F5),SUM('融资租赁与资金缺口'!$D$5:$D$16)*$Z5*$C5,0),IF(AI$4=EDATE('核心假设'!$B$5,14+$F5),SUM('融资租赁与资金缺口'!$D$5:$D$16)*$AA5*$C5,0),IF(AI$4=EDATE('核心假设'!$B$5,15+$F5),SUM('融资租赁与资金缺口'!$D$5:$D$16)*$AB5*$C5,0),IF(AI$4=EDATE('核心假设'!$B$5,16+$F5),SUM('融资租赁与资金缺口'!$D$5:$D$16)*$AC5*$C5,0),IF(AI$4=EDATE('核心假设'!$B$5,17+$F5),SUM('融资租赁与资金缺口'!$D$5:$D$16)*$AD5*$C5,0))-AI9</x:f>
        <x:v>-3075676.8816885054</x:v>
      </x:c>
      <x:c r="AJ10" s="28" t="n">
        <x:f>AI10+AJ6-AJ7+SUM(IF(AJ$4=EDATE('核心假设'!$B$5,0+$F5),SUM('融资租赁与资金缺口'!$D$5:$D$16)*$M5*$C5,0),IF(AJ$4=EDATE('核心假设'!$B$5,1+$F5),SUM('融资租赁与资金缺口'!$D$5:$D$16)*$N5*$C5,0),IF(AJ$4=EDATE('核心假设'!$B$5,2+$F5),SUM('融资租赁与资金缺口'!$D$5:$D$16)*$O5*$C5,0),IF(AJ$4=EDATE('核心假设'!$B$5,3+$F5),SUM('融资租赁与资金缺口'!$D$5:$D$16)*$P5*$C5,0),IF(AJ$4=EDATE('核心假设'!$B$5,4+$F5),SUM('融资租赁与资金缺口'!$D$5:$D$16)*$Q5*$C5,0),IF(AJ$4=EDATE('核心假设'!$B$5,5+$F5),SUM('融资租赁与资金缺口'!$D$5:$D$16)*$R5*$C5,0),IF(AJ$4=EDATE('核心假设'!$B$5,6+$F5),SUM('融资租赁与资金缺口'!$D$5:$D$16)*$S5*$C5,0),IF(AJ$4=EDATE('核心假设'!$B$5,7+$F5),SUM('融资租赁与资金缺口'!$D$5:$D$16)*$T5*$C5,0),IF(AJ$4=EDATE('核心假设'!$B$5,8+$F5),SUM('融资租赁与资金缺口'!$D$5:$D$16)*$U5*$C5,0),IF(AJ$4=EDATE('核心假设'!$B$5,9+$F5),SUM('融资租赁与资金缺口'!$D$5:$D$16)*$V5*$C5,0),IF(AJ$4=EDATE('核心假设'!$B$5,10+$F5),SUM('融资租赁与资金缺口'!$D$5:$D$16)*$W5*$C5,0),IF(AJ$4=EDATE('核心假设'!$B$5,11+$F5),SUM('融资租赁与资金缺口'!$D$5:$D$16)*$X5*$C5,0),IF(AJ$4=EDATE('核心假设'!$B$5,12+$F5),SUM('融资租赁与资金缺口'!$D$5:$D$16)*$Y5*$C5,0),IF(AJ$4=EDATE('核心假设'!$B$5,13+$F5),SUM('融资租赁与资金缺口'!$D$5:$D$16)*$Z5*$C5,0),IF(AJ$4=EDATE('核心假设'!$B$5,14+$F5),SUM('融资租赁与资金缺口'!$D$5:$D$16)*$AA5*$C5,0),IF(AJ$4=EDATE('核心假设'!$B$5,15+$F5),SUM('融资租赁与资金缺口'!$D$5:$D$16)*$AB5*$C5,0),IF(AJ$4=EDATE('核心假设'!$B$5,16+$F5),SUM('融资租赁与资金缺口'!$D$5:$D$16)*$AC5*$C5,0),IF(AJ$4=EDATE('核心假设'!$B$5,17+$F5),SUM('融资租赁与资金缺口'!$D$5:$D$16)*$AD5*$C5,0))-AJ9</x:f>
        <x:v>-3257150.944314301</x:v>
      </x:c>
      <x:c r="AK10" s="28" t="n">
        <x:f>AJ10+AK6-AK7+SUM(IF(AK$4=EDATE('核心假设'!$B$5,0+$F5),SUM('融资租赁与资金缺口'!$D$5:$D$16)*$M5*$C5,0),IF(AK$4=EDATE('核心假设'!$B$5,1+$F5),SUM('融资租赁与资金缺口'!$D$5:$D$16)*$N5*$C5,0),IF(AK$4=EDATE('核心假设'!$B$5,2+$F5),SUM('融资租赁与资金缺口'!$D$5:$D$16)*$O5*$C5,0),IF(AK$4=EDATE('核心假设'!$B$5,3+$F5),SUM('融资租赁与资金缺口'!$D$5:$D$16)*$P5*$C5,0),IF(AK$4=EDATE('核心假设'!$B$5,4+$F5),SUM('融资租赁与资金缺口'!$D$5:$D$16)*$Q5*$C5,0),IF(AK$4=EDATE('核心假设'!$B$5,5+$F5),SUM('融资租赁与资金缺口'!$D$5:$D$16)*$R5*$C5,0),IF(AK$4=EDATE('核心假设'!$B$5,6+$F5),SUM('融资租赁与资金缺口'!$D$5:$D$16)*$S5*$C5,0),IF(AK$4=EDATE('核心假设'!$B$5,7+$F5),SUM('融资租赁与资金缺口'!$D$5:$D$16)*$T5*$C5,0),IF(AK$4=EDATE('核心假设'!$B$5,8+$F5),SUM('融资租赁与资金缺口'!$D$5:$D$16)*$U5*$C5,0),IF(AK$4=EDATE('核心假设'!$B$5,9+$F5),SUM('融资租赁与资金缺口'!$D$5:$D$16)*$V5*$C5,0),IF(AK$4=EDATE('核心假设'!$B$5,10+$F5),SUM('融资租赁与资金缺口'!$D$5:$D$16)*$W5*$C5,0),IF(AK$4=EDATE('核心假设'!$B$5,11+$F5),SUM('融资租赁与资金缺口'!$D$5:$D$16)*$X5*$C5,0),IF(AK$4=EDATE('核心假设'!$B$5,12+$F5),SUM('融资租赁与资金缺口'!$D$5:$D$16)*$Y5*$C5,0),IF(AK$4=EDATE('核心假设'!$B$5,13+$F5),SUM('融资租赁与资金缺口'!$D$5:$D$16)*$Z5*$C5,0),IF(AK$4=EDATE('核心假设'!$B$5,14+$F5),SUM('融资租赁与资金缺口'!$D$5:$D$16)*$AA5*$C5,0),IF(AK$4=EDATE('核心假设'!$B$5,15+$F5),SUM('融资租赁与资金缺口'!$D$5:$D$16)*$AB5*$C5,0),IF(AK$4=EDATE('核心假设'!$B$5,16+$F5),SUM('融资租赁与资金缺口'!$D$5:$D$16)*$AC5*$C5,0),IF(AK$4=EDATE('核心假设'!$B$5,17+$F5),SUM('融资租赁与资金缺口'!$D$5:$D$16)*$AD5*$C5,0))-AK9</x:f>
        <x:v>-4844617.86532034</x:v>
      </x:c>
      <x:c r="AL10" s="28" t="n">
        <x:f>AK10+AL6-AL7+SUM(IF(AL$4=EDATE('核心假设'!$B$5,0+$F5),SUM('融资租赁与资金缺口'!$D$5:$D$16)*$M5*$C5,0),IF(AL$4=EDATE('核心假设'!$B$5,1+$F5),SUM('融资租赁与资金缺口'!$D$5:$D$16)*$N5*$C5,0),IF(AL$4=EDATE('核心假设'!$B$5,2+$F5),SUM('融资租赁与资金缺口'!$D$5:$D$16)*$O5*$C5,0),IF(AL$4=EDATE('核心假设'!$B$5,3+$F5),SUM('融资租赁与资金缺口'!$D$5:$D$16)*$P5*$C5,0),IF(AL$4=EDATE('核心假设'!$B$5,4+$F5),SUM('融资租赁与资金缺口'!$D$5:$D$16)*$Q5*$C5,0),IF(AL$4=EDATE('核心假设'!$B$5,5+$F5),SUM('融资租赁与资金缺口'!$D$5:$D$16)*$R5*$C5,0),IF(AL$4=EDATE('核心假设'!$B$5,6+$F5),SUM('融资租赁与资金缺口'!$D$5:$D$16)*$S5*$C5,0),IF(AL$4=EDATE('核心假设'!$B$5,7+$F5),SUM('融资租赁与资金缺口'!$D$5:$D$16)*$T5*$C5,0),IF(AL$4=EDATE('核心假设'!$B$5,8+$F5),SUM('融资租赁与资金缺口'!$D$5:$D$16)*$U5*$C5,0),IF(AL$4=EDATE('核心假设'!$B$5,9+$F5),SUM('融资租赁与资金缺口'!$D$5:$D$16)*$V5*$C5,0),IF(AL$4=EDATE('核心假设'!$B$5,10+$F5),SUM('融资租赁与资金缺口'!$D$5:$D$16)*$W5*$C5,0),IF(AL$4=EDATE('核心假设'!$B$5,11+$F5),SUM('融资租赁与资金缺口'!$D$5:$D$16)*$X5*$C5,0),IF(AL$4=EDATE('核心假设'!$B$5,12+$F5),SUM('融资租赁与资金缺口'!$D$5:$D$16)*$Y5*$C5,0),IF(AL$4=EDATE('核心假设'!$B$5,13+$F5),SUM('融资租赁与资金缺口'!$D$5:$D$16)*$Z5*$C5,0),IF(AL$4=EDATE('核心假设'!$B$5,14+$F5),SUM('融资租赁与资金缺口'!$D$5:$D$16)*$AA5*$C5,0),IF(AL$4=EDATE('核心假设'!$B$5,15+$F5),SUM('融资租赁与资金缺口'!$D$5:$D$16)*$AB5*$C5,0),IF(AL$4=EDATE('核心假设'!$B$5,16+$F5),SUM('融资租赁与资金缺口'!$D$5:$D$16)*$AC5*$C5,0),IF(AL$4=EDATE('核心假设'!$B$5,17+$F5),SUM('融资租赁与资金缺口'!$D$5:$D$16)*$AD5*$C5,0))-AL9</x:f>
        <x:v>-4959504.097727075</x:v>
      </x:c>
      <x:c r="AM10" s="28" t="n">
        <x:f>AL10+AM6-AM7+SUM(IF(AM$4=EDATE('核心假设'!$B$5,0+$F5),SUM('融资租赁与资金缺口'!$D$5:$D$16)*$M5*$C5,0),IF(AM$4=EDATE('核心假设'!$B$5,1+$F5),SUM('融资租赁与资金缺口'!$D$5:$D$16)*$N5*$C5,0),IF(AM$4=EDATE('核心假设'!$B$5,2+$F5),SUM('融资租赁与资金缺口'!$D$5:$D$16)*$O5*$C5,0),IF(AM$4=EDATE('核心假设'!$B$5,3+$F5),SUM('融资租赁与资金缺口'!$D$5:$D$16)*$P5*$C5,0),IF(AM$4=EDATE('核心假设'!$B$5,4+$F5),SUM('融资租赁与资金缺口'!$D$5:$D$16)*$Q5*$C5,0),IF(AM$4=EDATE('核心假设'!$B$5,5+$F5),SUM('融资租赁与资金缺口'!$D$5:$D$16)*$R5*$C5,0),IF(AM$4=EDATE('核心假设'!$B$5,6+$F5),SUM('融资租赁与资金缺口'!$D$5:$D$16)*$S5*$C5,0),IF(AM$4=EDATE('核心假设'!$B$5,7+$F5),SUM('融资租赁与资金缺口'!$D$5:$D$16)*$T5*$C5,0),IF(AM$4=EDATE('核心假设'!$B$5,8+$F5),SUM('融资租赁与资金缺口'!$D$5:$D$16)*$U5*$C5,0),IF(AM$4=EDATE('核心假设'!$B$5,9+$F5),SUM('融资租赁与资金缺口'!$D$5:$D$16)*$V5*$C5,0),IF(AM$4=EDATE('核心假设'!$B$5,10+$F5),SUM('融资租赁与资金缺口'!$D$5:$D$16)*$W5*$C5,0),IF(AM$4=EDATE('核心假设'!$B$5,11+$F5),SUM('融资租赁与资金缺口'!$D$5:$D$16)*$X5*$C5,0),IF(AM$4=EDATE('核心假设'!$B$5,12+$F5),SUM('融资租赁与资金缺口'!$D$5:$D$16)*$Y5*$C5,0),IF(AM$4=EDATE('核心假设'!$B$5,13+$F5),SUM('融资租赁与资金缺口'!$D$5:$D$16)*$Z5*$C5,0),IF(AM$4=EDATE('核心假设'!$B$5,14+$F5),SUM('融资租赁与资金缺口'!$D$5:$D$16)*$AA5*$C5,0),IF(AM$4=EDATE('核心假设'!$B$5,15+$F5),SUM('融资租赁与资金缺口'!$D$5:$D$16)*$AB5*$C5,0),IF(AM$4=EDATE('核心假设'!$B$5,16+$F5),SUM('融资租赁与资金缺口'!$D$5:$D$16)*$AC5*$C5,0),IF(AM$4=EDATE('核心假设'!$B$5,17+$F5),SUM('融资租赁与资金缺口'!$D$5:$D$16)*$AD5*$C5,0))-AM9</x:f>
        <x:v>-4022541.5461252704</x:v>
      </x:c>
      <x:c r="AN10" s="28" t="n">
        <x:f>AM10+AN6-AN7+SUM(IF(AN$4=EDATE('核心假设'!$B$5,0+$F5),SUM('融资租赁与资金缺口'!$D$5:$D$16)*$M5*$C5,0),IF(AN$4=EDATE('核心假设'!$B$5,1+$F5),SUM('融资租赁与资金缺口'!$D$5:$D$16)*$N5*$C5,0),IF(AN$4=EDATE('核心假设'!$B$5,2+$F5),SUM('融资租赁与资金缺口'!$D$5:$D$16)*$O5*$C5,0),IF(AN$4=EDATE('核心假设'!$B$5,3+$F5),SUM('融资租赁与资金缺口'!$D$5:$D$16)*$P5*$C5,0),IF(AN$4=EDATE('核心假设'!$B$5,4+$F5),SUM('融资租赁与资金缺口'!$D$5:$D$16)*$Q5*$C5,0),IF(AN$4=EDATE('核心假设'!$B$5,5+$F5),SUM('融资租赁与资金缺口'!$D$5:$D$16)*$R5*$C5,0),IF(AN$4=EDATE('核心假设'!$B$5,6+$F5),SUM('融资租赁与资金缺口'!$D$5:$D$16)*$S5*$C5,0),IF(AN$4=EDATE('核心假设'!$B$5,7+$F5),SUM('融资租赁与资金缺口'!$D$5:$D$16)*$T5*$C5,0),IF(AN$4=EDATE('核心假设'!$B$5,8+$F5),SUM('融资租赁与资金缺口'!$D$5:$D$16)*$U5*$C5,0),IF(AN$4=EDATE('核心假设'!$B$5,9+$F5),SUM('融资租赁与资金缺口'!$D$5:$D$16)*$V5*$C5,0),IF(AN$4=EDATE('核心假设'!$B$5,10+$F5),SUM('融资租赁与资金缺口'!$D$5:$D$16)*$W5*$C5,0),IF(AN$4=EDATE('核心假设'!$B$5,11+$F5),SUM('融资租赁与资金缺口'!$D$5:$D$16)*$X5*$C5,0),IF(AN$4=EDATE('核心假设'!$B$5,12+$F5),SUM('融资租赁与资金缺口'!$D$5:$D$16)*$Y5*$C5,0),IF(AN$4=EDATE('核心假设'!$B$5,13+$F5),SUM('融资租赁与资金缺口'!$D$5:$D$16)*$Z5*$C5,0),IF(AN$4=EDATE('核心假设'!$B$5,14+$F5),SUM('融资租赁与资金缺口'!$D$5:$D$16)*$AA5*$C5,0),IF(AN$4=EDATE('核心假设'!$B$5,15+$F5),SUM('融资租赁与资金缺口'!$D$5:$D$16)*$AB5*$C5,0),IF(AN$4=EDATE('核心假设'!$B$5,16+$F5),SUM('融资租赁与资金缺口'!$D$5:$D$16)*$AC5*$C5,0),IF(AN$4=EDATE('核心假设'!$B$5,17+$F5),SUM('融资租赁与资金缺口'!$D$5:$D$16)*$AD5*$C5,0))-AN9</x:f>
        <x:v>-954281.6538508087</x:v>
      </x:c>
      <x:c r="AO10" s="28" t="n">
        <x:f>AN10+AO6-AO7+SUM(IF(AO$4=EDATE('核心假设'!$B$5,0+$F5),SUM('融资租赁与资金缺口'!$D$5:$D$16)*$M5*$C5,0),IF(AO$4=EDATE('核心假设'!$B$5,1+$F5),SUM('融资租赁与资金缺口'!$D$5:$D$16)*$N5*$C5,0),IF(AO$4=EDATE('核心假设'!$B$5,2+$F5),SUM('融资租赁与资金缺口'!$D$5:$D$16)*$O5*$C5,0),IF(AO$4=EDATE('核心假设'!$B$5,3+$F5),SUM('融资租赁与资金缺口'!$D$5:$D$16)*$P5*$C5,0),IF(AO$4=EDATE('核心假设'!$B$5,4+$F5),SUM('融资租赁与资金缺口'!$D$5:$D$16)*$Q5*$C5,0),IF(AO$4=EDATE('核心假设'!$B$5,5+$F5),SUM('融资租赁与资金缺口'!$D$5:$D$16)*$R5*$C5,0),IF(AO$4=EDATE('核心假设'!$B$5,6+$F5),SUM('融资租赁与资金缺口'!$D$5:$D$16)*$S5*$C5,0),IF(AO$4=EDATE('核心假设'!$B$5,7+$F5),SUM('融资租赁与资金缺口'!$D$5:$D$16)*$T5*$C5,0),IF(AO$4=EDATE('核心假设'!$B$5,8+$F5),SUM('融资租赁与资金缺口'!$D$5:$D$16)*$U5*$C5,0),IF(AO$4=EDATE('核心假设'!$B$5,9+$F5),SUM('融资租赁与资金缺口'!$D$5:$D$16)*$V5*$C5,0),IF(AO$4=EDATE('核心假设'!$B$5,10+$F5),SUM('融资租赁与资金缺口'!$D$5:$D$16)*$W5*$C5,0),IF(AO$4=EDATE('核心假设'!$B$5,11+$F5),SUM('融资租赁与资金缺口'!$D$5:$D$16)*$X5*$C5,0),IF(AO$4=EDATE('核心假设'!$B$5,12+$F5),SUM('融资租赁与资金缺口'!$D$5:$D$16)*$Y5*$C5,0),IF(AO$4=EDATE('核心假设'!$B$5,13+$F5),SUM('融资租赁与资金缺口'!$D$5:$D$16)*$Z5*$C5,0),IF(AO$4=EDATE('核心假设'!$B$5,14+$F5),SUM('融资租赁与资金缺口'!$D$5:$D$16)*$AA5*$C5,0),IF(AO$4=EDATE('核心假设'!$B$5,15+$F5),SUM('融资租赁与资金缺口'!$D$5:$D$16)*$AB5*$C5,0),IF(AO$4=EDATE('核心假设'!$B$5,16+$F5),SUM('融资租赁与资金缺口'!$D$5:$D$16)*$AC5*$C5,0),IF(AO$4=EDATE('核心假设'!$B$5,17+$F5),SUM('融资租赁与资金缺口'!$D$5:$D$16)*$AD5*$C5,0))-AO9</x:f>
        <x:v>6503676.40446724</x:v>
      </x:c>
      <x:c r="AP10" s="28" t="n">
        <x:f>AO10+AP6-AP7+SUM(IF(AP$4=EDATE('核心假设'!$B$5,0+$F5),SUM('融资租赁与资金缺口'!$D$5:$D$16)*$M5*$C5,0),IF(AP$4=EDATE('核心假设'!$B$5,1+$F5),SUM('融资租赁与资金缺口'!$D$5:$D$16)*$N5*$C5,0),IF(AP$4=EDATE('核心假设'!$B$5,2+$F5),SUM('融资租赁与资金缺口'!$D$5:$D$16)*$O5*$C5,0),IF(AP$4=EDATE('核心假设'!$B$5,3+$F5),SUM('融资租赁与资金缺口'!$D$5:$D$16)*$P5*$C5,0),IF(AP$4=EDATE('核心假设'!$B$5,4+$F5),SUM('融资租赁与资金缺口'!$D$5:$D$16)*$Q5*$C5,0),IF(AP$4=EDATE('核心假设'!$B$5,5+$F5),SUM('融资租赁与资金缺口'!$D$5:$D$16)*$R5*$C5,0),IF(AP$4=EDATE('核心假设'!$B$5,6+$F5),SUM('融资租赁与资金缺口'!$D$5:$D$16)*$S5*$C5,0),IF(AP$4=EDATE('核心假设'!$B$5,7+$F5),SUM('融资租赁与资金缺口'!$D$5:$D$16)*$T5*$C5,0),IF(AP$4=EDATE('核心假设'!$B$5,8+$F5),SUM('融资租赁与资金缺口'!$D$5:$D$16)*$U5*$C5,0),IF(AP$4=EDATE('核心假设'!$B$5,9+$F5),SUM('融资租赁与资金缺口'!$D$5:$D$16)*$V5*$C5,0),IF(AP$4=EDATE('核心假设'!$B$5,10+$F5),SUM('融资租赁与资金缺口'!$D$5:$D$16)*$W5*$C5,0),IF(AP$4=EDATE('核心假设'!$B$5,11+$F5),SUM('融资租赁与资金缺口'!$D$5:$D$16)*$X5*$C5,0),IF(AP$4=EDATE('核心假设'!$B$5,12+$F5),SUM('融资租赁与资金缺口'!$D$5:$D$16)*$Y5*$C5,0),IF(AP$4=EDATE('核心假设'!$B$5,13+$F5),SUM('融资租赁与资金缺口'!$D$5:$D$16)*$Z5*$C5,0),IF(AP$4=EDATE('核心假设'!$B$5,14+$F5),SUM('融资租赁与资金缺口'!$D$5:$D$16)*$AA5*$C5,0),IF(AP$4=EDATE('核心假设'!$B$5,15+$F5),SUM('融资租赁与资金缺口'!$D$5:$D$16)*$AB5*$C5,0),IF(AP$4=EDATE('核心假设'!$B$5,16+$F5),SUM('融资租赁与资金缺口'!$D$5:$D$16)*$AC5*$C5,0),IF(AP$4=EDATE('核心假设'!$B$5,17+$F5),SUM('融资租赁与资金缺口'!$D$5:$D$16)*$AD5*$C5,0))-AP9</x:f>
        <x:v>18731940.78448628</x:v>
      </x:c>
      <x:c r="AQ10" s="28" t="n">
        <x:f>AP10+AQ6-AQ7+SUM(IF(AQ$4=EDATE('核心假设'!$B$5,0+$F5),SUM('融资租赁与资金缺口'!$D$5:$D$16)*$M5*$C5,0),IF(AQ$4=EDATE('核心假设'!$B$5,1+$F5),SUM('融资租赁与资金缺口'!$D$5:$D$16)*$N5*$C5,0),IF(AQ$4=EDATE('核心假设'!$B$5,2+$F5),SUM('融资租赁与资金缺口'!$D$5:$D$16)*$O5*$C5,0),IF(AQ$4=EDATE('核心假设'!$B$5,3+$F5),SUM('融资租赁与资金缺口'!$D$5:$D$16)*$P5*$C5,0),IF(AQ$4=EDATE('核心假设'!$B$5,4+$F5),SUM('融资租赁与资金缺口'!$D$5:$D$16)*$Q5*$C5,0),IF(AQ$4=EDATE('核心假设'!$B$5,5+$F5),SUM('融资租赁与资金缺口'!$D$5:$D$16)*$R5*$C5,0),IF(AQ$4=EDATE('核心假设'!$B$5,6+$F5),SUM('融资租赁与资金缺口'!$D$5:$D$16)*$S5*$C5,0),IF(AQ$4=EDATE('核心假设'!$B$5,7+$F5),SUM('融资租赁与资金缺口'!$D$5:$D$16)*$T5*$C5,0),IF(AQ$4=EDATE('核心假设'!$B$5,8+$F5),SUM('融资租赁与资金缺口'!$D$5:$D$16)*$U5*$C5,0),IF(AQ$4=EDATE('核心假设'!$B$5,9+$F5),SUM('融资租赁与资金缺口'!$D$5:$D$16)*$V5*$C5,0),IF(AQ$4=EDATE('核心假设'!$B$5,10+$F5),SUM('融资租赁与资金缺口'!$D$5:$D$16)*$W5*$C5,0),IF(AQ$4=EDATE('核心假设'!$B$5,11+$F5),SUM('融资租赁与资金缺口'!$D$5:$D$16)*$X5*$C5,0),IF(AQ$4=EDATE('核心假设'!$B$5,12+$F5),SUM('融资租赁与资金缺口'!$D$5:$D$16)*$Y5*$C5,0),IF(AQ$4=EDATE('核心假设'!$B$5,13+$F5),SUM('融资租赁与资金缺口'!$D$5:$D$16)*$Z5*$C5,0),IF(AQ$4=EDATE('核心假设'!$B$5,14+$F5),SUM('融资租赁与资金缺口'!$D$5:$D$16)*$AA5*$C5,0),IF(AQ$4=EDATE('核心假设'!$B$5,15+$F5),SUM('融资租赁与资金缺口'!$D$5:$D$16)*$AB5*$C5,0),IF(AQ$4=EDATE('核心假设'!$B$5,16+$F5),SUM('融资租赁与资金缺口'!$D$5:$D$16)*$AC5*$C5,0),IF(AQ$4=EDATE('核心假设'!$B$5,17+$F5),SUM('融资租赁与资金缺口'!$D$5:$D$16)*$AD5*$C5,0))-AQ9</x:f>
        <x:v>34574057.48107085</x:v>
      </x:c>
      <x:c r="AR10" s="28" t="n">
        <x:f>AQ10+AR6-AR7+SUM(IF(AR$4=EDATE('核心假设'!$B$5,0+$F5),SUM('融资租赁与资金缺口'!$D$5:$D$16)*$M5*$C5,0),IF(AR$4=EDATE('核心假设'!$B$5,1+$F5),SUM('融资租赁与资金缺口'!$D$5:$D$16)*$N5*$C5,0),IF(AR$4=EDATE('核心假设'!$B$5,2+$F5),SUM('融资租赁与资金缺口'!$D$5:$D$16)*$O5*$C5,0),IF(AR$4=EDATE('核心假设'!$B$5,3+$F5),SUM('融资租赁与资金缺口'!$D$5:$D$16)*$P5*$C5,0),IF(AR$4=EDATE('核心假设'!$B$5,4+$F5),SUM('融资租赁与资金缺口'!$D$5:$D$16)*$Q5*$C5,0),IF(AR$4=EDATE('核心假设'!$B$5,5+$F5),SUM('融资租赁与资金缺口'!$D$5:$D$16)*$R5*$C5,0),IF(AR$4=EDATE('核心假设'!$B$5,6+$F5),SUM('融资租赁与资金缺口'!$D$5:$D$16)*$S5*$C5,0),IF(AR$4=EDATE('核心假设'!$B$5,7+$F5),SUM('融资租赁与资金缺口'!$D$5:$D$16)*$T5*$C5,0),IF(AR$4=EDATE('核心假设'!$B$5,8+$F5),SUM('融资租赁与资金缺口'!$D$5:$D$16)*$U5*$C5,0),IF(AR$4=EDATE('核心假设'!$B$5,9+$F5),SUM('融资租赁与资金缺口'!$D$5:$D$16)*$V5*$C5,0),IF(AR$4=EDATE('核心假设'!$B$5,10+$F5),SUM('融资租赁与资金缺口'!$D$5:$D$16)*$W5*$C5,0),IF(AR$4=EDATE('核心假设'!$B$5,11+$F5),SUM('融资租赁与资金缺口'!$D$5:$D$16)*$X5*$C5,0),IF(AR$4=EDATE('核心假设'!$B$5,12+$F5),SUM('融资租赁与资金缺口'!$D$5:$D$16)*$Y5*$C5,0),IF(AR$4=EDATE('核心假设'!$B$5,13+$F5),SUM('融资租赁与资金缺口'!$D$5:$D$16)*$Z5*$C5,0),IF(AR$4=EDATE('核心假设'!$B$5,14+$F5),SUM('融资租赁与资金缺口'!$D$5:$D$16)*$AA5*$C5,0),IF(AR$4=EDATE('核心假设'!$B$5,15+$F5),SUM('融资租赁与资金缺口'!$D$5:$D$16)*$AB5*$C5,0),IF(AR$4=EDATE('核心假设'!$B$5,16+$F5),SUM('融资租赁与资金缺口'!$D$5:$D$16)*$AC5*$C5,0),IF(AR$4=EDATE('核心假设'!$B$5,17+$F5),SUM('融资租赁与资金缺口'!$D$5:$D$16)*$AD5*$C5,0))-AR9</x:f>
        <x:v>49682412.656419516</x:v>
      </x:c>
      <x:c r="AS10" s="28" t="n">
        <x:f>AR10+AS6-AS7+SUM(IF(AS$4=EDATE('核心假设'!$B$5,0+$F5),SUM('融资租赁与资金缺口'!$D$5:$D$16)*$M5*$C5,0),IF(AS$4=EDATE('核心假设'!$B$5,1+$F5),SUM('融资租赁与资金缺口'!$D$5:$D$16)*$N5*$C5,0),IF(AS$4=EDATE('核心假设'!$B$5,2+$F5),SUM('融资租赁与资金缺口'!$D$5:$D$16)*$O5*$C5,0),IF(AS$4=EDATE('核心假设'!$B$5,3+$F5),SUM('融资租赁与资金缺口'!$D$5:$D$16)*$P5*$C5,0),IF(AS$4=EDATE('核心假设'!$B$5,4+$F5),SUM('融资租赁与资金缺口'!$D$5:$D$16)*$Q5*$C5,0),IF(AS$4=EDATE('核心假设'!$B$5,5+$F5),SUM('融资租赁与资金缺口'!$D$5:$D$16)*$R5*$C5,0),IF(AS$4=EDATE('核心假设'!$B$5,6+$F5),SUM('融资租赁与资金缺口'!$D$5:$D$16)*$S5*$C5,0),IF(AS$4=EDATE('核心假设'!$B$5,7+$F5),SUM('融资租赁与资金缺口'!$D$5:$D$16)*$T5*$C5,0),IF(AS$4=EDATE('核心假设'!$B$5,8+$F5),SUM('融资租赁与资金缺口'!$D$5:$D$16)*$U5*$C5,0),IF(AS$4=EDATE('核心假设'!$B$5,9+$F5),SUM('融资租赁与资金缺口'!$D$5:$D$16)*$V5*$C5,0),IF(AS$4=EDATE('核心假设'!$B$5,10+$F5),SUM('融资租赁与资金缺口'!$D$5:$D$16)*$W5*$C5,0),IF(AS$4=EDATE('核心假设'!$B$5,11+$F5),SUM('融资租赁与资金缺口'!$D$5:$D$16)*$X5*$C5,0),IF(AS$4=EDATE('核心假设'!$B$5,12+$F5),SUM('融资租赁与资金缺口'!$D$5:$D$16)*$Y5*$C5,0),IF(AS$4=EDATE('核心假设'!$B$5,13+$F5),SUM('融资租赁与资金缺口'!$D$5:$D$16)*$Z5*$C5,0),IF(AS$4=EDATE('核心假设'!$B$5,14+$F5),SUM('融资租赁与资金缺口'!$D$5:$D$16)*$AA5*$C5,0),IF(AS$4=EDATE('核心假设'!$B$5,15+$F5),SUM('融资租赁与资金缺口'!$D$5:$D$16)*$AB5*$C5,0),IF(AS$4=EDATE('核心假设'!$B$5,16+$F5),SUM('融资租赁与资金缺口'!$D$5:$D$16)*$AC5*$C5,0),IF(AS$4=EDATE('核心假设'!$B$5,17+$F5),SUM('融资租赁与资金缺口'!$D$5:$D$16)*$AD5*$C5,0))-AS9</x:f>
        <x:v>69320257.89600834</x:v>
      </x:c>
      <x:c r="AT10" s="28" t="n">
        <x:f>AS10+AT6-AT7+SUM(IF(AT$4=EDATE('核心假设'!$B$5,0+$F5),SUM('融资租赁与资金缺口'!$D$5:$D$16)*$M5*$C5,0),IF(AT$4=EDATE('核心假设'!$B$5,1+$F5),SUM('融资租赁与资金缺口'!$D$5:$D$16)*$N5*$C5,0),IF(AT$4=EDATE('核心假设'!$B$5,2+$F5),SUM('融资租赁与资金缺口'!$D$5:$D$16)*$O5*$C5,0),IF(AT$4=EDATE('核心假设'!$B$5,3+$F5),SUM('融资租赁与资金缺口'!$D$5:$D$16)*$P5*$C5,0),IF(AT$4=EDATE('核心假设'!$B$5,4+$F5),SUM('融资租赁与资金缺口'!$D$5:$D$16)*$Q5*$C5,0),IF(AT$4=EDATE('核心假设'!$B$5,5+$F5),SUM('融资租赁与资金缺口'!$D$5:$D$16)*$R5*$C5,0),IF(AT$4=EDATE('核心假设'!$B$5,6+$F5),SUM('融资租赁与资金缺口'!$D$5:$D$16)*$S5*$C5,0),IF(AT$4=EDATE('核心假设'!$B$5,7+$F5),SUM('融资租赁与资金缺口'!$D$5:$D$16)*$T5*$C5,0),IF(AT$4=EDATE('核心假设'!$B$5,8+$F5),SUM('融资租赁与资金缺口'!$D$5:$D$16)*$U5*$C5,0),IF(AT$4=EDATE('核心假设'!$B$5,9+$F5),SUM('融资租赁与资金缺口'!$D$5:$D$16)*$V5*$C5,0),IF(AT$4=EDATE('核心假设'!$B$5,10+$F5),SUM('融资租赁与资金缺口'!$D$5:$D$16)*$W5*$C5,0),IF(AT$4=EDATE('核心假设'!$B$5,11+$F5),SUM('融资租赁与资金缺口'!$D$5:$D$16)*$X5*$C5,0),IF(AT$4=EDATE('核心假设'!$B$5,12+$F5),SUM('融资租赁与资金缺口'!$D$5:$D$16)*$Y5*$C5,0),IF(AT$4=EDATE('核心假设'!$B$5,13+$F5),SUM('融资租赁与资金缺口'!$D$5:$D$16)*$Z5*$C5,0),IF(AT$4=EDATE('核心假设'!$B$5,14+$F5),SUM('融资租赁与资金缺口'!$D$5:$D$16)*$AA5*$C5,0),IF(AT$4=EDATE('核心假设'!$B$5,15+$F5),SUM('融资租赁与资金缺口'!$D$5:$D$16)*$AB5*$C5,0),IF(AT$4=EDATE('核心假设'!$B$5,16+$F5),SUM('融资租赁与资金缺口'!$D$5:$D$16)*$AC5*$C5,0),IF(AT$4=EDATE('核心假设'!$B$5,17+$F5),SUM('融资租赁与资金缺口'!$D$5:$D$16)*$AD5*$C5,0))-AT9</x:f>
        <x:v>90106499.73725794</x:v>
      </x:c>
      <x:c r="AU10" s="28" t="n">
        <x:f>AT10+AU6-AU7+SUM(IF(AU$4=EDATE('核心假设'!$B$5,0+$F5),SUM('融资租赁与资金缺口'!$D$5:$D$16)*$M5*$C5,0),IF(AU$4=EDATE('核心假设'!$B$5,1+$F5),SUM('融资租赁与资金缺口'!$D$5:$D$16)*$N5*$C5,0),IF(AU$4=EDATE('核心假设'!$B$5,2+$F5),SUM('融资租赁与资金缺口'!$D$5:$D$16)*$O5*$C5,0),IF(AU$4=EDATE('核心假设'!$B$5,3+$F5),SUM('融资租赁与资金缺口'!$D$5:$D$16)*$P5*$C5,0),IF(AU$4=EDATE('核心假设'!$B$5,4+$F5),SUM('融资租赁与资金缺口'!$D$5:$D$16)*$Q5*$C5,0),IF(AU$4=EDATE('核心假设'!$B$5,5+$F5),SUM('融资租赁与资金缺口'!$D$5:$D$16)*$R5*$C5,0),IF(AU$4=EDATE('核心假设'!$B$5,6+$F5),SUM('融资租赁与资金缺口'!$D$5:$D$16)*$S5*$C5,0),IF(AU$4=EDATE('核心假设'!$B$5,7+$F5),SUM('融资租赁与资金缺口'!$D$5:$D$16)*$T5*$C5,0),IF(AU$4=EDATE('核心假设'!$B$5,8+$F5),SUM('融资租赁与资金缺口'!$D$5:$D$16)*$U5*$C5,0),IF(AU$4=EDATE('核心假设'!$B$5,9+$F5),SUM('融资租赁与资金缺口'!$D$5:$D$16)*$V5*$C5,0),IF(AU$4=EDATE('核心假设'!$B$5,10+$F5),SUM('融资租赁与资金缺口'!$D$5:$D$16)*$W5*$C5,0),IF(AU$4=EDATE('核心假设'!$B$5,11+$F5),SUM('融资租赁与资金缺口'!$D$5:$D$16)*$X5*$C5,0),IF(AU$4=EDATE('核心假设'!$B$5,12+$F5),SUM('融资租赁与资金缺口'!$D$5:$D$16)*$Y5*$C5,0),IF(AU$4=EDATE('核心假设'!$B$5,13+$F5),SUM('融资租赁与资金缺口'!$D$5:$D$16)*$Z5*$C5,0),IF(AU$4=EDATE('核心假设'!$B$5,14+$F5),SUM('融资租赁与资金缺口'!$D$5:$D$16)*$AA5*$C5,0),IF(AU$4=EDATE('核心假设'!$B$5,15+$F5),SUM('融资租赁与资金缺口'!$D$5:$D$16)*$AB5*$C5,0),IF(AU$4=EDATE('核心假设'!$B$5,16+$F5),SUM('融资租赁与资金缺口'!$D$5:$D$16)*$AC5*$C5,0),IF(AU$4=EDATE('核心假设'!$B$5,17+$F5),SUM('融资租赁与资金缺口'!$D$5:$D$16)*$AD5*$C5,0))-AU9</x:f>
        <x:v>115120134.43231267</x:v>
      </x:c>
      <x:c r="AV10" s="28" t="n">
        <x:f>AU10+AV6-AV7+SUM(IF(AV$4=EDATE('核心假设'!$B$5,0+$F5),SUM('融资租赁与资金缺口'!$D$5:$D$16)*$M5*$C5,0),IF(AV$4=EDATE('核心假设'!$B$5,1+$F5),SUM('融资租赁与资金缺口'!$D$5:$D$16)*$N5*$C5,0),IF(AV$4=EDATE('核心假设'!$B$5,2+$F5),SUM('融资租赁与资金缺口'!$D$5:$D$16)*$O5*$C5,0),IF(AV$4=EDATE('核心假设'!$B$5,3+$F5),SUM('融资租赁与资金缺口'!$D$5:$D$16)*$P5*$C5,0),IF(AV$4=EDATE('核心假设'!$B$5,4+$F5),SUM('融资租赁与资金缺口'!$D$5:$D$16)*$Q5*$C5,0),IF(AV$4=EDATE('核心假设'!$B$5,5+$F5),SUM('融资租赁与资金缺口'!$D$5:$D$16)*$R5*$C5,0),IF(AV$4=EDATE('核心假设'!$B$5,6+$F5),SUM('融资租赁与资金缺口'!$D$5:$D$16)*$S5*$C5,0),IF(AV$4=EDATE('核心假设'!$B$5,7+$F5),SUM('融资租赁与资金缺口'!$D$5:$D$16)*$T5*$C5,0),IF(AV$4=EDATE('核心假设'!$B$5,8+$F5),SUM('融资租赁与资金缺口'!$D$5:$D$16)*$U5*$C5,0),IF(AV$4=EDATE('核心假设'!$B$5,9+$F5),SUM('融资租赁与资金缺口'!$D$5:$D$16)*$V5*$C5,0),IF(AV$4=EDATE('核心假设'!$B$5,10+$F5),SUM('融资租赁与资金缺口'!$D$5:$D$16)*$W5*$C5,0),IF(AV$4=EDATE('核心假设'!$B$5,11+$F5),SUM('融资租赁与资金缺口'!$D$5:$D$16)*$X5*$C5,0),IF(AV$4=EDATE('核心假设'!$B$5,12+$F5),SUM('融资租赁与资金缺口'!$D$5:$D$16)*$Y5*$C5,0),IF(AV$4=EDATE('核心假设'!$B$5,13+$F5),SUM('融资租赁与资金缺口'!$D$5:$D$16)*$Z5*$C5,0),IF(AV$4=EDATE('核心假设'!$B$5,14+$F5),SUM('融资租赁与资金缺口'!$D$5:$D$16)*$AA5*$C5,0),IF(AV$4=EDATE('核心假设'!$B$5,15+$F5),SUM('融资租赁与资金缺口'!$D$5:$D$16)*$AB5*$C5,0),IF(AV$4=EDATE('核心假设'!$B$5,16+$F5),SUM('融资租赁与资金缺口'!$D$5:$D$16)*$AC5*$C5,0),IF(AV$4=EDATE('核心假设'!$B$5,17+$F5),SUM('融资租赁与资金缺口'!$D$5:$D$16)*$AD5*$C5,0))-AV9</x:f>
        <x:v>136536869.98959422</x:v>
      </x:c>
      <x:c r="AW10" s="28" t="n">
        <x:f>AV10+AW6-AW7+SUM(IF(AW$4=EDATE('核心假设'!$B$5,0+$F5),SUM('融资租赁与资金缺口'!$D$5:$D$16)*$M5*$C5,0),IF(AW$4=EDATE('核心假设'!$B$5,1+$F5),SUM('融资租赁与资金缺口'!$D$5:$D$16)*$N5*$C5,0),IF(AW$4=EDATE('核心假设'!$B$5,2+$F5),SUM('融资租赁与资金缺口'!$D$5:$D$16)*$O5*$C5,0),IF(AW$4=EDATE('核心假设'!$B$5,3+$F5),SUM('融资租赁与资金缺口'!$D$5:$D$16)*$P5*$C5,0),IF(AW$4=EDATE('核心假设'!$B$5,4+$F5),SUM('融资租赁与资金缺口'!$D$5:$D$16)*$Q5*$C5,0),IF(AW$4=EDATE('核心假设'!$B$5,5+$F5),SUM('融资租赁与资金缺口'!$D$5:$D$16)*$R5*$C5,0),IF(AW$4=EDATE('核心假设'!$B$5,6+$F5),SUM('融资租赁与资金缺口'!$D$5:$D$16)*$S5*$C5,0),IF(AW$4=EDATE('核心假设'!$B$5,7+$F5),SUM('融资租赁与资金缺口'!$D$5:$D$16)*$T5*$C5,0),IF(AW$4=EDATE('核心假设'!$B$5,8+$F5),SUM('融资租赁与资金缺口'!$D$5:$D$16)*$U5*$C5,0),IF(AW$4=EDATE('核心假设'!$B$5,9+$F5),SUM('融资租赁与资金缺口'!$D$5:$D$16)*$V5*$C5,0),IF(AW$4=EDATE('核心假设'!$B$5,10+$F5),SUM('融资租赁与资金缺口'!$D$5:$D$16)*$W5*$C5,0),IF(AW$4=EDATE('核心假设'!$B$5,11+$F5),SUM('融资租赁与资金缺口'!$D$5:$D$16)*$X5*$C5,0),IF(AW$4=EDATE('核心假设'!$B$5,12+$F5),SUM('融资租赁与资金缺口'!$D$5:$D$16)*$Y5*$C5,0),IF(AW$4=EDATE('核心假设'!$B$5,13+$F5),SUM('融资租赁与资金缺口'!$D$5:$D$16)*$Z5*$C5,0),IF(AW$4=EDATE('核心假设'!$B$5,14+$F5),SUM('融资租赁与资金缺口'!$D$5:$D$16)*$AA5*$C5,0),IF(AW$4=EDATE('核心假设'!$B$5,15+$F5),SUM('融资租赁与资金缺口'!$D$5:$D$16)*$AB5*$C5,0),IF(AW$4=EDATE('核心假设'!$B$5,16+$F5),SUM('融资租赁与资金缺口'!$D$5:$D$16)*$AC5*$C5,0),IF(AW$4=EDATE('核心假设'!$B$5,17+$F5),SUM('融资租赁与资金缺口'!$D$5:$D$16)*$AD5*$C5,0))-AW9</x:f>
        <x:v>152099352.40728867</x:v>
      </x:c>
      <x:c r="AX10" s="28" t="n">
        <x:f>AW10+AX6-AX7+SUM(IF(AX$4=EDATE('核心假设'!$B$5,0+$F5),SUM('融资租赁与资金缺口'!$D$5:$D$16)*$M5*$C5,0),IF(AX$4=EDATE('核心假设'!$B$5,1+$F5),SUM('融资租赁与资金缺口'!$D$5:$D$16)*$N5*$C5,0),IF(AX$4=EDATE('核心假设'!$B$5,2+$F5),SUM('融资租赁与资金缺口'!$D$5:$D$16)*$O5*$C5,0),IF(AX$4=EDATE('核心假设'!$B$5,3+$F5),SUM('融资租赁与资金缺口'!$D$5:$D$16)*$P5*$C5,0),IF(AX$4=EDATE('核心假设'!$B$5,4+$F5),SUM('融资租赁与资金缺口'!$D$5:$D$16)*$Q5*$C5,0),IF(AX$4=EDATE('核心假设'!$B$5,5+$F5),SUM('融资租赁与资金缺口'!$D$5:$D$16)*$R5*$C5,0),IF(AX$4=EDATE('核心假设'!$B$5,6+$F5),SUM('融资租赁与资金缺口'!$D$5:$D$16)*$S5*$C5,0),IF(AX$4=EDATE('核心假设'!$B$5,7+$F5),SUM('融资租赁与资金缺口'!$D$5:$D$16)*$T5*$C5,0),IF(AX$4=EDATE('核心假设'!$B$5,8+$F5),SUM('融资租赁与资金缺口'!$D$5:$D$16)*$U5*$C5,0),IF(AX$4=EDATE('核心假设'!$B$5,9+$F5),SUM('融资租赁与资金缺口'!$D$5:$D$16)*$V5*$C5,0),IF(AX$4=EDATE('核心假设'!$B$5,10+$F5),SUM('融资租赁与资金缺口'!$D$5:$D$16)*$W5*$C5,0),IF(AX$4=EDATE('核心假设'!$B$5,11+$F5),SUM('融资租赁与资金缺口'!$D$5:$D$16)*$X5*$C5,0),IF(AX$4=EDATE('核心假设'!$B$5,12+$F5),SUM('融资租赁与资金缺口'!$D$5:$D$16)*$Y5*$C5,0),IF(AX$4=EDATE('核心假设'!$B$5,13+$F5),SUM('融资租赁与资金缺口'!$D$5:$D$16)*$Z5*$C5,0),IF(AX$4=EDATE('核心假设'!$B$5,14+$F5),SUM('融资租赁与资金缺口'!$D$5:$D$16)*$AA5*$C5,0),IF(AX$4=EDATE('核心假设'!$B$5,15+$F5),SUM('融资租赁与资金缺口'!$D$5:$D$16)*$AB5*$C5,0),IF(AX$4=EDATE('核心假设'!$B$5,16+$F5),SUM('融资租赁与资金缺口'!$D$5:$D$16)*$AC5*$C5,0),IF(AX$4=EDATE('核心假设'!$B$5,17+$F5),SUM('融资租赁与资金缺口'!$D$5:$D$16)*$AD5*$C5,0))-AX9</x:f>
        <x:v>168250914.79252893</x:v>
      </x:c>
      <x:c r="AY10" s="28" t="n">
        <x:f>AX10+AY6-AY7+SUM(IF(AY$4=EDATE('核心假设'!$B$5,0+$F5),SUM('融资租赁与资金缺口'!$D$5:$D$16)*$M5*$C5,0),IF(AY$4=EDATE('核心假设'!$B$5,1+$F5),SUM('融资租赁与资金缺口'!$D$5:$D$16)*$N5*$C5,0),IF(AY$4=EDATE('核心假设'!$B$5,2+$F5),SUM('融资租赁与资金缺口'!$D$5:$D$16)*$O5*$C5,0),IF(AY$4=EDATE('核心假设'!$B$5,3+$F5),SUM('融资租赁与资金缺口'!$D$5:$D$16)*$P5*$C5,0),IF(AY$4=EDATE('核心假设'!$B$5,4+$F5),SUM('融资租赁与资金缺口'!$D$5:$D$16)*$Q5*$C5,0),IF(AY$4=EDATE('核心假设'!$B$5,5+$F5),SUM('融资租赁与资金缺口'!$D$5:$D$16)*$R5*$C5,0),IF(AY$4=EDATE('核心假设'!$B$5,6+$F5),SUM('融资租赁与资金缺口'!$D$5:$D$16)*$S5*$C5,0),IF(AY$4=EDATE('核心假设'!$B$5,7+$F5),SUM('融资租赁与资金缺口'!$D$5:$D$16)*$T5*$C5,0),IF(AY$4=EDATE('核心假设'!$B$5,8+$F5),SUM('融资租赁与资金缺口'!$D$5:$D$16)*$U5*$C5,0),IF(AY$4=EDATE('核心假设'!$B$5,9+$F5),SUM('融资租赁与资金缺口'!$D$5:$D$16)*$V5*$C5,0),IF(AY$4=EDATE('核心假设'!$B$5,10+$F5),SUM('融资租赁与资金缺口'!$D$5:$D$16)*$W5*$C5,0),IF(AY$4=EDATE('核心假设'!$B$5,11+$F5),SUM('融资租赁与资金缺口'!$D$5:$D$16)*$X5*$C5,0),IF(AY$4=EDATE('核心假设'!$B$5,12+$F5),SUM('融资租赁与资金缺口'!$D$5:$D$16)*$Y5*$C5,0),IF(AY$4=EDATE('核心假设'!$B$5,13+$F5),SUM('融资租赁与资金缺口'!$D$5:$D$16)*$Z5*$C5,0),IF(AY$4=EDATE('核心假设'!$B$5,14+$F5),SUM('融资租赁与资金缺口'!$D$5:$D$16)*$AA5*$C5,0),IF(AY$4=EDATE('核心假设'!$B$5,15+$F5),SUM('融资租赁与资金缺口'!$D$5:$D$16)*$AB5*$C5,0),IF(AY$4=EDATE('核心假设'!$B$5,16+$F5),SUM('融资租赁与资金缺口'!$D$5:$D$16)*$AC5*$C5,0),IF(AY$4=EDATE('核心假设'!$B$5,17+$F5),SUM('融资租赁与资金缺口'!$D$5:$D$16)*$AD5*$C5,0))-AY9</x:f>
        <x:v>184829004.28541297</x:v>
      </x:c>
      <x:c r="AZ10" s="28" t="n">
        <x:f>AY10+AZ6-AZ7+SUM(IF(AZ$4=EDATE('核心假设'!$B$5,0+$F5),SUM('融资租赁与资金缺口'!$D$5:$D$16)*$M5*$C5,0),IF(AZ$4=EDATE('核心假设'!$B$5,1+$F5),SUM('融资租赁与资金缺口'!$D$5:$D$16)*$N5*$C5,0),IF(AZ$4=EDATE('核心假设'!$B$5,2+$F5),SUM('融资租赁与资金缺口'!$D$5:$D$16)*$O5*$C5,0),IF(AZ$4=EDATE('核心假设'!$B$5,3+$F5),SUM('融资租赁与资金缺口'!$D$5:$D$16)*$P5*$C5,0),IF(AZ$4=EDATE('核心假设'!$B$5,4+$F5),SUM('融资租赁与资金缺口'!$D$5:$D$16)*$Q5*$C5,0),IF(AZ$4=EDATE('核心假设'!$B$5,5+$F5),SUM('融资租赁与资金缺口'!$D$5:$D$16)*$R5*$C5,0),IF(AZ$4=EDATE('核心假设'!$B$5,6+$F5),SUM('融资租赁与资金缺口'!$D$5:$D$16)*$S5*$C5,0),IF(AZ$4=EDATE('核心假设'!$B$5,7+$F5),SUM('融资租赁与资金缺口'!$D$5:$D$16)*$T5*$C5,0),IF(AZ$4=EDATE('核心假设'!$B$5,8+$F5),SUM('融资租赁与资金缺口'!$D$5:$D$16)*$U5*$C5,0),IF(AZ$4=EDATE('核心假设'!$B$5,9+$F5),SUM('融资租赁与资金缺口'!$D$5:$D$16)*$V5*$C5,0),IF(AZ$4=EDATE('核心假设'!$B$5,10+$F5),SUM('融资租赁与资金缺口'!$D$5:$D$16)*$W5*$C5,0),IF(AZ$4=EDATE('核心假设'!$B$5,11+$F5),SUM('融资租赁与资金缺口'!$D$5:$D$16)*$X5*$C5,0),IF(AZ$4=EDATE('核心假设'!$B$5,12+$F5),SUM('融资租赁与资金缺口'!$D$5:$D$16)*$Y5*$C5,0),IF(AZ$4=EDATE('核心假设'!$B$5,13+$F5),SUM('融资租赁与资金缺口'!$D$5:$D$16)*$Z5*$C5,0),IF(AZ$4=EDATE('核心假设'!$B$5,14+$F5),SUM('融资租赁与资金缺口'!$D$5:$D$16)*$AA5*$C5,0),IF(AZ$4=EDATE('核心假设'!$B$5,15+$F5),SUM('融资租赁与资金缺口'!$D$5:$D$16)*$AB5*$C5,0),IF(AZ$4=EDATE('核心假设'!$B$5,16+$F5),SUM('融资租赁与资金缺口'!$D$5:$D$16)*$AC5*$C5,0),IF(AZ$4=EDATE('核心假设'!$B$5,17+$F5),SUM('融资租赁与资金缺口'!$D$5:$D$16)*$AD5*$C5,0))-AZ9</x:f>
        <x:v>202288985.99105632</x:v>
      </x:c>
      <x:c r="BA10" s="28" t="n">
        <x:f>AZ10+BA6-BA7+SUM(IF(BA$4=EDATE('核心假设'!$B$5,0+$F5),SUM('融资租赁与资金缺口'!$D$5:$D$16)*$M5*$C5,0),IF(BA$4=EDATE('核心假设'!$B$5,1+$F5),SUM('融资租赁与资金缺口'!$D$5:$D$16)*$N5*$C5,0),IF(BA$4=EDATE('核心假设'!$B$5,2+$F5),SUM('融资租赁与资金缺口'!$D$5:$D$16)*$O5*$C5,0),IF(BA$4=EDATE('核心假设'!$B$5,3+$F5),SUM('融资租赁与资金缺口'!$D$5:$D$16)*$P5*$C5,0),IF(BA$4=EDATE('核心假设'!$B$5,4+$F5),SUM('融资租赁与资金缺口'!$D$5:$D$16)*$Q5*$C5,0),IF(BA$4=EDATE('核心假设'!$B$5,5+$F5),SUM('融资租赁与资金缺口'!$D$5:$D$16)*$R5*$C5,0),IF(BA$4=EDATE('核心假设'!$B$5,6+$F5),SUM('融资租赁与资金缺口'!$D$5:$D$16)*$S5*$C5,0),IF(BA$4=EDATE('核心假设'!$B$5,7+$F5),SUM('融资租赁与资金缺口'!$D$5:$D$16)*$T5*$C5,0),IF(BA$4=EDATE('核心假设'!$B$5,8+$F5),SUM('融资租赁与资金缺口'!$D$5:$D$16)*$U5*$C5,0),IF(BA$4=EDATE('核心假设'!$B$5,9+$F5),SUM('融资租赁与资金缺口'!$D$5:$D$16)*$V5*$C5,0),IF(BA$4=EDATE('核心假设'!$B$5,10+$F5),SUM('融资租赁与资金缺口'!$D$5:$D$16)*$W5*$C5,0),IF(BA$4=EDATE('核心假设'!$B$5,11+$F5),SUM('融资租赁与资金缺口'!$D$5:$D$16)*$X5*$C5,0),IF(BA$4=EDATE('核心假设'!$B$5,12+$F5),SUM('融资租赁与资金缺口'!$D$5:$D$16)*$Y5*$C5,0),IF(BA$4=EDATE('核心假设'!$B$5,13+$F5),SUM('融资租赁与资金缺口'!$D$5:$D$16)*$Z5*$C5,0),IF(BA$4=EDATE('核心假设'!$B$5,14+$F5),SUM('融资租赁与资金缺口'!$D$5:$D$16)*$AA5*$C5,0),IF(BA$4=EDATE('核心假设'!$B$5,15+$F5),SUM('融资租赁与资金缺口'!$D$5:$D$16)*$AB5*$C5,0),IF(BA$4=EDATE('核心假设'!$B$5,16+$F5),SUM('融资租赁与资金缺口'!$D$5:$D$16)*$AC5*$C5,0),IF(BA$4=EDATE('核心假设'!$B$5,17+$F5),SUM('融资租赁与资金缺口'!$D$5:$D$16)*$AD5*$C5,0))-BA9</x:f>
        <x:v>222344821.80049777</x:v>
      </x:c>
      <x:c r="BB10" s="28" t="n">
        <x:f>BA10+BB6-BB7+SUM(IF(BB$4=EDATE('核心假设'!$B$5,0+$F5),SUM('融资租赁与资金缺口'!$D$5:$D$16)*$M5*$C5,0),IF(BB$4=EDATE('核心假设'!$B$5,1+$F5),SUM('融资租赁与资金缺口'!$D$5:$D$16)*$N5*$C5,0),IF(BB$4=EDATE('核心假设'!$B$5,2+$F5),SUM('融资租赁与资金缺口'!$D$5:$D$16)*$O5*$C5,0),IF(BB$4=EDATE('核心假设'!$B$5,3+$F5),SUM('融资租赁与资金缺口'!$D$5:$D$16)*$P5*$C5,0),IF(BB$4=EDATE('核心假设'!$B$5,4+$F5),SUM('融资租赁与资金缺口'!$D$5:$D$16)*$Q5*$C5,0),IF(BB$4=EDATE('核心假设'!$B$5,5+$F5),SUM('融资租赁与资金缺口'!$D$5:$D$16)*$R5*$C5,0),IF(BB$4=EDATE('核心假设'!$B$5,6+$F5),SUM('融资租赁与资金缺口'!$D$5:$D$16)*$S5*$C5,0),IF(BB$4=EDATE('核心假设'!$B$5,7+$F5),SUM('融资租赁与资金缺口'!$D$5:$D$16)*$T5*$C5,0),IF(BB$4=EDATE('核心假设'!$B$5,8+$F5),SUM('融资租赁与资金缺口'!$D$5:$D$16)*$U5*$C5,0),IF(BB$4=EDATE('核心假设'!$B$5,9+$F5),SUM('融资租赁与资金缺口'!$D$5:$D$16)*$V5*$C5,0),IF(BB$4=EDATE('核心假设'!$B$5,10+$F5),SUM('融资租赁与资金缺口'!$D$5:$D$16)*$W5*$C5,0),IF(BB$4=EDATE('核心假设'!$B$5,11+$F5),SUM('融资租赁与资金缺口'!$D$5:$D$16)*$X5*$C5,0),IF(BB$4=EDATE('核心假设'!$B$5,12+$F5),SUM('融资租赁与资金缺口'!$D$5:$D$16)*$Y5*$C5,0),IF(BB$4=EDATE('核心假设'!$B$5,13+$F5),SUM('融资租赁与资金缺口'!$D$5:$D$16)*$Z5*$C5,0),IF(BB$4=EDATE('核心假设'!$B$5,14+$F5),SUM('融资租赁与资金缺口'!$D$5:$D$16)*$AA5*$C5,0),IF(BB$4=EDATE('核心假设'!$B$5,15+$F5),SUM('融资租赁与资金缺口'!$D$5:$D$16)*$AB5*$C5,0),IF(BB$4=EDATE('核心假设'!$B$5,16+$F5),SUM('融资租赁与资金缺口'!$D$5:$D$16)*$AC5*$C5,0),IF(BB$4=EDATE('核心假设'!$B$5,17+$F5),SUM('融资租赁与资金缺口'!$D$5:$D$16)*$AD5*$C5,0))-BB9</x:f>
        <x:v>245020845.20180452</x:v>
      </x:c>
      <x:c r="BC10" s="28" t="n">
        <x:f>BB10+BC6-BC7+SUM(IF(BC$4=EDATE('核心假设'!$B$5,0+$F5),SUM('融资租赁与资金缺口'!$D$5:$D$16)*$M5*$C5,0),IF(BC$4=EDATE('核心假设'!$B$5,1+$F5),SUM('融资租赁与资金缺口'!$D$5:$D$16)*$N5*$C5,0),IF(BC$4=EDATE('核心假设'!$B$5,2+$F5),SUM('融资租赁与资金缺口'!$D$5:$D$16)*$O5*$C5,0),IF(BC$4=EDATE('核心假设'!$B$5,3+$F5),SUM('融资租赁与资金缺口'!$D$5:$D$16)*$P5*$C5,0),IF(BC$4=EDATE('核心假设'!$B$5,4+$F5),SUM('融资租赁与资金缺口'!$D$5:$D$16)*$Q5*$C5,0),IF(BC$4=EDATE('核心假设'!$B$5,5+$F5),SUM('融资租赁与资金缺口'!$D$5:$D$16)*$R5*$C5,0),IF(BC$4=EDATE('核心假设'!$B$5,6+$F5),SUM('融资租赁与资金缺口'!$D$5:$D$16)*$S5*$C5,0),IF(BC$4=EDATE('核心假设'!$B$5,7+$F5),SUM('融资租赁与资金缺口'!$D$5:$D$16)*$T5*$C5,0),IF(BC$4=EDATE('核心假设'!$B$5,8+$F5),SUM('融资租赁与资金缺口'!$D$5:$D$16)*$U5*$C5,0),IF(BC$4=EDATE('核心假设'!$B$5,9+$F5),SUM('融资租赁与资金缺口'!$D$5:$D$16)*$V5*$C5,0),IF(BC$4=EDATE('核心假设'!$B$5,10+$F5),SUM('融资租赁与资金缺口'!$D$5:$D$16)*$W5*$C5,0),IF(BC$4=EDATE('核心假设'!$B$5,11+$F5),SUM('融资租赁与资金缺口'!$D$5:$D$16)*$X5*$C5,0),IF(BC$4=EDATE('核心假设'!$B$5,12+$F5),SUM('融资租赁与资金缺口'!$D$5:$D$16)*$Y5*$C5,0),IF(BC$4=EDATE('核心假设'!$B$5,13+$F5),SUM('融资租赁与资金缺口'!$D$5:$D$16)*$Z5*$C5,0),IF(BC$4=EDATE('核心假设'!$B$5,14+$F5),SUM('融资租赁与资金缺口'!$D$5:$D$16)*$AA5*$C5,0),IF(BC$4=EDATE('核心假设'!$B$5,15+$F5),SUM('融资租赁与资金缺口'!$D$5:$D$16)*$AB5*$C5,0),IF(BC$4=EDATE('核心假设'!$B$5,16+$F5),SUM('融资租赁与资金缺口'!$D$5:$D$16)*$AC5*$C5,0),IF(BC$4=EDATE('核心假设'!$B$5,17+$F5),SUM('融资租赁与资金缺口'!$D$5:$D$16)*$AD5*$C5,0))-BC9</x:f>
        <x:v>269075265.62127566</x:v>
      </x:c>
      <x:c r="BD10" s="28" t="n">
        <x:f>BC10+BD6-BD7+SUM(IF(BD$4=EDATE('核心假设'!$B$5,0+$F5),SUM('融资租赁与资金缺口'!$D$5:$D$16)*$M5*$C5,0),IF(BD$4=EDATE('核心假设'!$B$5,1+$F5),SUM('融资租赁与资金缺口'!$D$5:$D$16)*$N5*$C5,0),IF(BD$4=EDATE('核心假设'!$B$5,2+$F5),SUM('融资租赁与资金缺口'!$D$5:$D$16)*$O5*$C5,0),IF(BD$4=EDATE('核心假设'!$B$5,3+$F5),SUM('融资租赁与资金缺口'!$D$5:$D$16)*$P5*$C5,0),IF(BD$4=EDATE('核心假设'!$B$5,4+$F5),SUM('融资租赁与资金缺口'!$D$5:$D$16)*$Q5*$C5,0),IF(BD$4=EDATE('核心假设'!$B$5,5+$F5),SUM('融资租赁与资金缺口'!$D$5:$D$16)*$R5*$C5,0),IF(BD$4=EDATE('核心假设'!$B$5,6+$F5),SUM('融资租赁与资金缺口'!$D$5:$D$16)*$S5*$C5,0),IF(BD$4=EDATE('核心假设'!$B$5,7+$F5),SUM('融资租赁与资金缺口'!$D$5:$D$16)*$T5*$C5,0),IF(BD$4=EDATE('核心假设'!$B$5,8+$F5),SUM('融资租赁与资金缺口'!$D$5:$D$16)*$U5*$C5,0),IF(BD$4=EDATE('核心假设'!$B$5,9+$F5),SUM('融资租赁与资金缺口'!$D$5:$D$16)*$V5*$C5,0),IF(BD$4=EDATE('核心假设'!$B$5,10+$F5),SUM('融资租赁与资金缺口'!$D$5:$D$16)*$W5*$C5,0),IF(BD$4=EDATE('核心假设'!$B$5,11+$F5),SUM('融资租赁与资金缺口'!$D$5:$D$16)*$X5*$C5,0),IF(BD$4=EDATE('核心假设'!$B$5,12+$F5),SUM('融资租赁与资金缺口'!$D$5:$D$16)*$Y5*$C5,0),IF(BD$4=EDATE('核心假设'!$B$5,13+$F5),SUM('融资租赁与资金缺口'!$D$5:$D$16)*$Z5*$C5,0),IF(BD$4=EDATE('核心假设'!$B$5,14+$F5),SUM('融资租赁与资金缺口'!$D$5:$D$16)*$AA5*$C5,0),IF(BD$4=EDATE('核心假设'!$B$5,15+$F5),SUM('融资租赁与资金缺口'!$D$5:$D$16)*$AB5*$C5,0),IF(BD$4=EDATE('核心假设'!$B$5,16+$F5),SUM('融资租赁与资金缺口'!$D$5:$D$16)*$AC5*$C5,0),IF(BD$4=EDATE('核心假设'!$B$5,17+$F5),SUM('融资租赁与资金缺口'!$D$5:$D$16)*$AD5*$C5,0))-BD9</x:f>
        <x:v>290412241.0995133</x:v>
      </x:c>
      <x:c r="BE10" s="28" t="n">
        <x:f>BD10+BE6-BE7+SUM(IF(BE$4=EDATE('核心假设'!$B$5,0+$F5),SUM('融资租赁与资金缺口'!$D$5:$D$16)*$M5*$C5,0),IF(BE$4=EDATE('核心假设'!$B$5,1+$F5),SUM('融资租赁与资金缺口'!$D$5:$D$16)*$N5*$C5,0),IF(BE$4=EDATE('核心假设'!$B$5,2+$F5),SUM('融资租赁与资金缺口'!$D$5:$D$16)*$O5*$C5,0),IF(BE$4=EDATE('核心假设'!$B$5,3+$F5),SUM('融资租赁与资金缺口'!$D$5:$D$16)*$P5*$C5,0),IF(BE$4=EDATE('核心假设'!$B$5,4+$F5),SUM('融资租赁与资金缺口'!$D$5:$D$16)*$Q5*$C5,0),IF(BE$4=EDATE('核心假设'!$B$5,5+$F5),SUM('融资租赁与资金缺口'!$D$5:$D$16)*$R5*$C5,0),IF(BE$4=EDATE('核心假设'!$B$5,6+$F5),SUM('融资租赁与资金缺口'!$D$5:$D$16)*$S5*$C5,0),IF(BE$4=EDATE('核心假设'!$B$5,7+$F5),SUM('融资租赁与资金缺口'!$D$5:$D$16)*$T5*$C5,0),IF(BE$4=EDATE('核心假设'!$B$5,8+$F5),SUM('融资租赁与资金缺口'!$D$5:$D$16)*$U5*$C5,0),IF(BE$4=EDATE('核心假设'!$B$5,9+$F5),SUM('融资租赁与资金缺口'!$D$5:$D$16)*$V5*$C5,0),IF(BE$4=EDATE('核心假设'!$B$5,10+$F5),SUM('融资租赁与资金缺口'!$D$5:$D$16)*$W5*$C5,0),IF(BE$4=EDATE('核心假设'!$B$5,11+$F5),SUM('融资租赁与资金缺口'!$D$5:$D$16)*$X5*$C5,0),IF(BE$4=EDATE('核心假设'!$B$5,12+$F5),SUM('融资租赁与资金缺口'!$D$5:$D$16)*$Y5*$C5,0),IF(BE$4=EDATE('核心假设'!$B$5,13+$F5),SUM('融资租赁与资金缺口'!$D$5:$D$16)*$Z5*$C5,0),IF(BE$4=EDATE('核心假设'!$B$5,14+$F5),SUM('融资租赁与资金缺口'!$D$5:$D$16)*$AA5*$C5,0),IF(BE$4=EDATE('核心假设'!$B$5,15+$F5),SUM('融资租赁与资金缺口'!$D$5:$D$16)*$AB5*$C5,0),IF(BE$4=EDATE('核心假设'!$B$5,16+$F5),SUM('融资租赁与资金缺口'!$D$5:$D$16)*$AC5*$C5,0),IF(BE$4=EDATE('核心假设'!$B$5,17+$F5),SUM('融资租赁与资金缺口'!$D$5:$D$16)*$AD5*$C5,0))-BE9</x:f>
        <x:v>310723446.5635591</x:v>
      </x:c>
      <x:c r="BF10" s="28" t="n">
        <x:f>BE10+BF6-BF7+SUM(IF(BF$4=EDATE('核心假设'!$B$5,0+$F5),SUM('融资租赁与资金缺口'!$D$5:$D$16)*$M5*$C5,0),IF(BF$4=EDATE('核心假设'!$B$5,1+$F5),SUM('融资租赁与资金缺口'!$D$5:$D$16)*$N5*$C5,0),IF(BF$4=EDATE('核心假设'!$B$5,2+$F5),SUM('融资租赁与资金缺口'!$D$5:$D$16)*$O5*$C5,0),IF(BF$4=EDATE('核心假设'!$B$5,3+$F5),SUM('融资租赁与资金缺口'!$D$5:$D$16)*$P5*$C5,0),IF(BF$4=EDATE('核心假设'!$B$5,4+$F5),SUM('融资租赁与资金缺口'!$D$5:$D$16)*$Q5*$C5,0),IF(BF$4=EDATE('核心假设'!$B$5,5+$F5),SUM('融资租赁与资金缺口'!$D$5:$D$16)*$R5*$C5,0),IF(BF$4=EDATE('核心假设'!$B$5,6+$F5),SUM('融资租赁与资金缺口'!$D$5:$D$16)*$S5*$C5,0),IF(BF$4=EDATE('核心假设'!$B$5,7+$F5),SUM('融资租赁与资金缺口'!$D$5:$D$16)*$T5*$C5,0),IF(BF$4=EDATE('核心假设'!$B$5,8+$F5),SUM('融资租赁与资金缺口'!$D$5:$D$16)*$U5*$C5,0),IF(BF$4=EDATE('核心假设'!$B$5,9+$F5),SUM('融资租赁与资金缺口'!$D$5:$D$16)*$V5*$C5,0),IF(BF$4=EDATE('核心假设'!$B$5,10+$F5),SUM('融资租赁与资金缺口'!$D$5:$D$16)*$W5*$C5,0),IF(BF$4=EDATE('核心假设'!$B$5,11+$F5),SUM('融资租赁与资金缺口'!$D$5:$D$16)*$X5*$C5,0),IF(BF$4=EDATE('核心假设'!$B$5,12+$F5),SUM('融资租赁与资金缺口'!$D$5:$D$16)*$Y5*$C5,0),IF(BF$4=EDATE('核心假设'!$B$5,13+$F5),SUM('融资租赁与资金缺口'!$D$5:$D$16)*$Z5*$C5,0),IF(BF$4=EDATE('核心假设'!$B$5,14+$F5),SUM('融资租赁与资金缺口'!$D$5:$D$16)*$AA5*$C5,0),IF(BF$4=EDATE('核心假设'!$B$5,15+$F5),SUM('融资租赁与资金缺口'!$D$5:$D$16)*$AB5*$C5,0),IF(BF$4=EDATE('核心假设'!$B$5,16+$F5),SUM('融资租赁与资金缺口'!$D$5:$D$16)*$AC5*$C5,0),IF(BF$4=EDATE('核心假设'!$B$5,17+$F5),SUM('融资租赁与资金缺口'!$D$5:$D$16)*$AD5*$C5,0))-BF9</x:f>
        <x:v>331782932.0216548</x:v>
      </x:c>
      <x:c r="BG10" s="28" t="n">
        <x:f>BF10+BG6-BG7+SUM(IF(BG$4=EDATE('核心假设'!$B$5,0+$F5),SUM('融资租赁与资金缺口'!$D$5:$D$16)*$M5*$C5,0),IF(BG$4=EDATE('核心假设'!$B$5,1+$F5),SUM('融资租赁与资金缺口'!$D$5:$D$16)*$N5*$C5,0),IF(BG$4=EDATE('核心假设'!$B$5,2+$F5),SUM('融资租赁与资金缺口'!$D$5:$D$16)*$O5*$C5,0),IF(BG$4=EDATE('核心假设'!$B$5,3+$F5),SUM('融资租赁与资金缺口'!$D$5:$D$16)*$P5*$C5,0),IF(BG$4=EDATE('核心假设'!$B$5,4+$F5),SUM('融资租赁与资金缺口'!$D$5:$D$16)*$Q5*$C5,0),IF(BG$4=EDATE('核心假设'!$B$5,5+$F5),SUM('融资租赁与资金缺口'!$D$5:$D$16)*$R5*$C5,0),IF(BG$4=EDATE('核心假设'!$B$5,6+$F5),SUM('融资租赁与资金缺口'!$D$5:$D$16)*$S5*$C5,0),IF(BG$4=EDATE('核心假设'!$B$5,7+$F5),SUM('融资租赁与资金缺口'!$D$5:$D$16)*$T5*$C5,0),IF(BG$4=EDATE('核心假设'!$B$5,8+$F5),SUM('融资租赁与资金缺口'!$D$5:$D$16)*$U5*$C5,0),IF(BG$4=EDATE('核心假设'!$B$5,9+$F5),SUM('融资租赁与资金缺口'!$D$5:$D$16)*$V5*$C5,0),IF(BG$4=EDATE('核心假设'!$B$5,10+$F5),SUM('融资租赁与资金缺口'!$D$5:$D$16)*$W5*$C5,0),IF(BG$4=EDATE('核心假设'!$B$5,11+$F5),SUM('融资租赁与资金缺口'!$D$5:$D$16)*$X5*$C5,0),IF(BG$4=EDATE('核心假设'!$B$5,12+$F5),SUM('融资租赁与资金缺口'!$D$5:$D$16)*$Y5*$C5,0),IF(BG$4=EDATE('核心假设'!$B$5,13+$F5),SUM('融资租赁与资金缺口'!$D$5:$D$16)*$Z5*$C5,0),IF(BG$4=EDATE('核心假设'!$B$5,14+$F5),SUM('融资租赁与资金缺口'!$D$5:$D$16)*$AA5*$C5,0),IF(BG$4=EDATE('核心假设'!$B$5,15+$F5),SUM('融资租赁与资金缺口'!$D$5:$D$16)*$AB5*$C5,0),IF(BG$4=EDATE('核心假设'!$B$5,16+$F5),SUM('融资租赁与资金缺口'!$D$5:$D$16)*$AC5*$C5,0),IF(BG$4=EDATE('核心假设'!$B$5,17+$F5),SUM('融资租赁与资金缺口'!$D$5:$D$16)*$AD5*$C5,0))-BG9</x:f>
        <x:v>356872131.1054473</x:v>
      </x:c>
      <x:c r="BH10" s="28" t="n">
        <x:f>BG10+BH6-BH7+SUM(IF(BH$4=EDATE('核心假设'!$B$5,0+$F5),SUM('融资租赁与资金缺口'!$D$5:$D$16)*$M5*$C5,0),IF(BH$4=EDATE('核心假设'!$B$5,1+$F5),SUM('融资租赁与资金缺口'!$D$5:$D$16)*$N5*$C5,0),IF(BH$4=EDATE('核心假设'!$B$5,2+$F5),SUM('融资租赁与资金缺口'!$D$5:$D$16)*$O5*$C5,0),IF(BH$4=EDATE('核心假设'!$B$5,3+$F5),SUM('融资租赁与资金缺口'!$D$5:$D$16)*$P5*$C5,0),IF(BH$4=EDATE('核心假设'!$B$5,4+$F5),SUM('融资租赁与资金缺口'!$D$5:$D$16)*$Q5*$C5,0),IF(BH$4=EDATE('核心假设'!$B$5,5+$F5),SUM('融资租赁与资金缺口'!$D$5:$D$16)*$R5*$C5,0),IF(BH$4=EDATE('核心假设'!$B$5,6+$F5),SUM('融资租赁与资金缺口'!$D$5:$D$16)*$S5*$C5,0),IF(BH$4=EDATE('核心假设'!$B$5,7+$F5),SUM('融资租赁与资金缺口'!$D$5:$D$16)*$T5*$C5,0),IF(BH$4=EDATE('核心假设'!$B$5,8+$F5),SUM('融资租赁与资金缺口'!$D$5:$D$16)*$U5*$C5,0),IF(BH$4=EDATE('核心假设'!$B$5,9+$F5),SUM('融资租赁与资金缺口'!$D$5:$D$16)*$V5*$C5,0),IF(BH$4=EDATE('核心假设'!$B$5,10+$F5),SUM('融资租赁与资金缺口'!$D$5:$D$16)*$W5*$C5,0),IF(BH$4=EDATE('核心假设'!$B$5,11+$F5),SUM('融资租赁与资金缺口'!$D$5:$D$16)*$X5*$C5,0),IF(BH$4=EDATE('核心假设'!$B$5,12+$F5),SUM('融资租赁与资金缺口'!$D$5:$D$16)*$Y5*$C5,0),IF(BH$4=EDATE('核心假设'!$B$5,13+$F5),SUM('融资租赁与资金缺口'!$D$5:$D$16)*$Z5*$C5,0),IF(BH$4=EDATE('核心假设'!$B$5,14+$F5),SUM('融资租赁与资金缺口'!$D$5:$D$16)*$AA5*$C5,0),IF(BH$4=EDATE('核心假设'!$B$5,15+$F5),SUM('融资租赁与资金缺口'!$D$5:$D$16)*$AB5*$C5,0),IF(BH$4=EDATE('核心假设'!$B$5,16+$F5),SUM('融资租赁与资金缺口'!$D$5:$D$16)*$AC5*$C5,0),IF(BH$4=EDATE('核心假设'!$B$5,17+$F5),SUM('融资租赁与资金缺口'!$D$5:$D$16)*$AD5*$C5,0))-BH9</x:f>
        <x:v>378288866.66272885</x:v>
      </x:c>
      <x:c r="BI10" s="28" t="n">
        <x:f>BH10+BI6-BI7+SUM(IF(BI$4=EDATE('核心假设'!$B$5,0+$F5),SUM('融资租赁与资金缺口'!$D$5:$D$16)*$M5*$C5,0),IF(BI$4=EDATE('核心假设'!$B$5,1+$F5),SUM('融资租赁与资金缺口'!$D$5:$D$16)*$N5*$C5,0),IF(BI$4=EDATE('核心假设'!$B$5,2+$F5),SUM('融资租赁与资金缺口'!$D$5:$D$16)*$O5*$C5,0),IF(BI$4=EDATE('核心假设'!$B$5,3+$F5),SUM('融资租赁与资金缺口'!$D$5:$D$16)*$P5*$C5,0),IF(BI$4=EDATE('核心假设'!$B$5,4+$F5),SUM('融资租赁与资金缺口'!$D$5:$D$16)*$Q5*$C5,0),IF(BI$4=EDATE('核心假设'!$B$5,5+$F5),SUM('融资租赁与资金缺口'!$D$5:$D$16)*$R5*$C5,0),IF(BI$4=EDATE('核心假设'!$B$5,6+$F5),SUM('融资租赁与资金缺口'!$D$5:$D$16)*$S5*$C5,0),IF(BI$4=EDATE('核心假设'!$B$5,7+$F5),SUM('融资租赁与资金缺口'!$D$5:$D$16)*$T5*$C5,0),IF(BI$4=EDATE('核心假设'!$B$5,8+$F5),SUM('融资租赁与资金缺口'!$D$5:$D$16)*$U5*$C5,0),IF(BI$4=EDATE('核心假设'!$B$5,9+$F5),SUM('融资租赁与资金缺口'!$D$5:$D$16)*$V5*$C5,0),IF(BI$4=EDATE('核心假设'!$B$5,10+$F5),SUM('融资租赁与资金缺口'!$D$5:$D$16)*$W5*$C5,0),IF(BI$4=EDATE('核心假设'!$B$5,11+$F5),SUM('融资租赁与资金缺口'!$D$5:$D$16)*$X5*$C5,0),IF(BI$4=EDATE('核心假设'!$B$5,12+$F5),SUM('融资租赁与资金缺口'!$D$5:$D$16)*$Y5*$C5,0),IF(BI$4=EDATE('核心假设'!$B$5,13+$F5),SUM('融资租赁与资金缺口'!$D$5:$D$16)*$Z5*$C5,0),IF(BI$4=EDATE('核心假设'!$B$5,14+$F5),SUM('融资租赁与资金缺口'!$D$5:$D$16)*$AA5*$C5,0),IF(BI$4=EDATE('核心假设'!$B$5,15+$F5),SUM('融资租赁与资金缺口'!$D$5:$D$16)*$AB5*$C5,0),IF(BI$4=EDATE('核心假设'!$B$5,16+$F5),SUM('融资租赁与资金缺口'!$D$5:$D$16)*$AC5*$C5,0),IF(BI$4=EDATE('核心假设'!$B$5,17+$F5),SUM('融资租赁与资金缺口'!$D$5:$D$16)*$AD5*$C5,0))-BI9</x:f>
        <x:v>392732262.8976875</x:v>
      </x:c>
      <x:c r="BJ10" s="28" t="n">
        <x:f>BI10+BJ6-BJ7+SUM(IF(BJ$4=EDATE('核心假设'!$B$5,0+$F5),SUM('融资租赁与资金缺口'!$D$5:$D$16)*$M5*$C5,0),IF(BJ$4=EDATE('核心假设'!$B$5,1+$F5),SUM('融资租赁与资金缺口'!$D$5:$D$16)*$N5*$C5,0),IF(BJ$4=EDATE('核心假设'!$B$5,2+$F5),SUM('融资租赁与资金缺口'!$D$5:$D$16)*$O5*$C5,0),IF(BJ$4=EDATE('核心假设'!$B$5,3+$F5),SUM('融资租赁与资金缺口'!$D$5:$D$16)*$P5*$C5,0),IF(BJ$4=EDATE('核心假设'!$B$5,4+$F5),SUM('融资租赁与资金缺口'!$D$5:$D$16)*$Q5*$C5,0),IF(BJ$4=EDATE('核心假设'!$B$5,5+$F5),SUM('融资租赁与资金缺口'!$D$5:$D$16)*$R5*$C5,0),IF(BJ$4=EDATE('核心假设'!$B$5,6+$F5),SUM('融资租赁与资金缺口'!$D$5:$D$16)*$S5*$C5,0),IF(BJ$4=EDATE('核心假设'!$B$5,7+$F5),SUM('融资租赁与资金缺口'!$D$5:$D$16)*$T5*$C5,0),IF(BJ$4=EDATE('核心假设'!$B$5,8+$F5),SUM('融资租赁与资金缺口'!$D$5:$D$16)*$U5*$C5,0),IF(BJ$4=EDATE('核心假设'!$B$5,9+$F5),SUM('融资租赁与资金缺口'!$D$5:$D$16)*$V5*$C5,0),IF(BJ$4=EDATE('核心假设'!$B$5,10+$F5),SUM('融资租赁与资金缺口'!$D$5:$D$16)*$W5*$C5,0),IF(BJ$4=EDATE('核心假设'!$B$5,11+$F5),SUM('融资租赁与资金缺口'!$D$5:$D$16)*$X5*$C5,0),IF(BJ$4=EDATE('核心假设'!$B$5,12+$F5),SUM('融资租赁与资金缺口'!$D$5:$D$16)*$Y5*$C5,0),IF(BJ$4=EDATE('核心假设'!$B$5,13+$F5),SUM('融资租赁与资金缺口'!$D$5:$D$16)*$Z5*$C5,0),IF(BJ$4=EDATE('核心假设'!$B$5,14+$F5),SUM('融资租赁与资金缺口'!$D$5:$D$16)*$AA5*$C5,0),IF(BJ$4=EDATE('核心假设'!$B$5,15+$F5),SUM('融资租赁与资金缺口'!$D$5:$D$16)*$AB5*$C5,0),IF(BJ$4=EDATE('核心假设'!$B$5,16+$F5),SUM('融资租赁与资金缺口'!$D$5:$D$16)*$AC5*$C5,0),IF(BJ$4=EDATE('核心假设'!$B$5,17+$F5),SUM('融资租赁与资金缺口'!$D$5:$D$16)*$AD5*$C5,0))-BJ9</x:f>
        <x:v>408883825.28292775</x:v>
      </x:c>
      <x:c r="BK10" s="28" t="n">
        <x:f>BJ10+BK6-BK7+SUM(IF(BK$4=EDATE('核心假设'!$B$5,0+$F5),SUM('融资租赁与资金缺口'!$D$5:$D$16)*$M5*$C5,0),IF(BK$4=EDATE('核心假设'!$B$5,1+$F5),SUM('融资租赁与资金缺口'!$D$5:$D$16)*$N5*$C5,0),IF(BK$4=EDATE('核心假设'!$B$5,2+$F5),SUM('融资租赁与资金缺口'!$D$5:$D$16)*$O5*$C5,0),IF(BK$4=EDATE('核心假设'!$B$5,3+$F5),SUM('融资租赁与资金缺口'!$D$5:$D$16)*$P5*$C5,0),IF(BK$4=EDATE('核心假设'!$B$5,4+$F5),SUM('融资租赁与资金缺口'!$D$5:$D$16)*$Q5*$C5,0),IF(BK$4=EDATE('核心假设'!$B$5,5+$F5),SUM('融资租赁与资金缺口'!$D$5:$D$16)*$R5*$C5,0),IF(BK$4=EDATE('核心假设'!$B$5,6+$F5),SUM('融资租赁与资金缺口'!$D$5:$D$16)*$S5*$C5,0),IF(BK$4=EDATE('核心假设'!$B$5,7+$F5),SUM('融资租赁与资金缺口'!$D$5:$D$16)*$T5*$C5,0),IF(BK$4=EDATE('核心假设'!$B$5,8+$F5),SUM('融资租赁与资金缺口'!$D$5:$D$16)*$U5*$C5,0),IF(BK$4=EDATE('核心假设'!$B$5,9+$F5),SUM('融资租赁与资金缺口'!$D$5:$D$16)*$V5*$C5,0),IF(BK$4=EDATE('核心假设'!$B$5,10+$F5),SUM('融资租赁与资金缺口'!$D$5:$D$16)*$W5*$C5,0),IF(BK$4=EDATE('核心假设'!$B$5,11+$F5),SUM('融资租赁与资金缺口'!$D$5:$D$16)*$X5*$C5,0),IF(BK$4=EDATE('核心假设'!$B$5,12+$F5),SUM('融资租赁与资金缺口'!$D$5:$D$16)*$Y5*$C5,0),IF(BK$4=EDATE('核心假设'!$B$5,13+$F5),SUM('融资租赁与资金缺口'!$D$5:$D$16)*$Z5*$C5,0),IF(BK$4=EDATE('核心假设'!$B$5,14+$F5),SUM('融资租赁与资金缺口'!$D$5:$D$16)*$AA5*$C5,0),IF(BK$4=EDATE('核心假设'!$B$5,15+$F5),SUM('融资租赁与资金缺口'!$D$5:$D$16)*$AB5*$C5,0),IF(BK$4=EDATE('核心假设'!$B$5,16+$F5),SUM('融资租赁与资金缺口'!$D$5:$D$16)*$AC5*$C5,0),IF(BK$4=EDATE('核心假设'!$B$5,17+$F5),SUM('融资租赁与资金缺口'!$D$5:$D$16)*$AD5*$C5,0))-BK9</x:f>
        <x:v>425461914.7758118</x:v>
      </x:c>
      <x:c r="BL10" s="28" t="n">
        <x:f>BK10+BL6-BL7+SUM(IF(BL$4=EDATE('核心假设'!$B$5,0+$F5),SUM('融资租赁与资金缺口'!$D$5:$D$16)*$M5*$C5,0),IF(BL$4=EDATE('核心假设'!$B$5,1+$F5),SUM('融资租赁与资金缺口'!$D$5:$D$16)*$N5*$C5,0),IF(BL$4=EDATE('核心假设'!$B$5,2+$F5),SUM('融资租赁与资金缺口'!$D$5:$D$16)*$O5*$C5,0),IF(BL$4=EDATE('核心假设'!$B$5,3+$F5),SUM('融资租赁与资金缺口'!$D$5:$D$16)*$P5*$C5,0),IF(BL$4=EDATE('核心假设'!$B$5,4+$F5),SUM('融资租赁与资金缺口'!$D$5:$D$16)*$Q5*$C5,0),IF(BL$4=EDATE('核心假设'!$B$5,5+$F5),SUM('融资租赁与资金缺口'!$D$5:$D$16)*$R5*$C5,0),IF(BL$4=EDATE('核心假设'!$B$5,6+$F5),SUM('融资租赁与资金缺口'!$D$5:$D$16)*$S5*$C5,0),IF(BL$4=EDATE('核心假设'!$B$5,7+$F5),SUM('融资租赁与资金缺口'!$D$5:$D$16)*$T5*$C5,0),IF(BL$4=EDATE('核心假设'!$B$5,8+$F5),SUM('融资租赁与资金缺口'!$D$5:$D$16)*$U5*$C5,0),IF(BL$4=EDATE('核心假设'!$B$5,9+$F5),SUM('融资租赁与资金缺口'!$D$5:$D$16)*$V5*$C5,0),IF(BL$4=EDATE('核心假设'!$B$5,10+$F5),SUM('融资租赁与资金缺口'!$D$5:$D$16)*$W5*$C5,0),IF(BL$4=EDATE('核心假设'!$B$5,11+$F5),SUM('融资租赁与资金缺口'!$D$5:$D$16)*$X5*$C5,0),IF(BL$4=EDATE('核心假设'!$B$5,12+$F5),SUM('融资租赁与资金缺口'!$D$5:$D$16)*$Y5*$C5,0),IF(BL$4=EDATE('核心假设'!$B$5,13+$F5),SUM('融资租赁与资金缺口'!$D$5:$D$16)*$Z5*$C5,0),IF(BL$4=EDATE('核心假设'!$B$5,14+$F5),SUM('融资租赁与资金缺口'!$D$5:$D$16)*$AA5*$C5,0),IF(BL$4=EDATE('核心假设'!$B$5,15+$F5),SUM('融资租赁与资金缺口'!$D$5:$D$16)*$AB5*$C5,0),IF(BL$4=EDATE('核心假设'!$B$5,16+$F5),SUM('融资租赁与资金缺口'!$D$5:$D$16)*$AC5*$C5,0),IF(BL$4=EDATE('核心假设'!$B$5,17+$F5),SUM('融资租赁与资金缺口'!$D$5:$D$16)*$AD5*$C5,0))-BL9</x:f>
        <x:v>442921896.48145515</x:v>
      </x:c>
      <x:c r="BM10" s="28" t="n">
        <x:f>BL10+BM6-BM7+SUM(IF(BM$4=EDATE('核心假设'!$B$5,0+$F5),SUM('融资租赁与资金缺口'!$D$5:$D$16)*$M5*$C5,0),IF(BM$4=EDATE('核心假设'!$B$5,1+$F5),SUM('融资租赁与资金缺口'!$D$5:$D$16)*$N5*$C5,0),IF(BM$4=EDATE('核心假设'!$B$5,2+$F5),SUM('融资租赁与资金缺口'!$D$5:$D$16)*$O5*$C5,0),IF(BM$4=EDATE('核心假设'!$B$5,3+$F5),SUM('融资租赁与资金缺口'!$D$5:$D$16)*$P5*$C5,0),IF(BM$4=EDATE('核心假设'!$B$5,4+$F5),SUM('融资租赁与资金缺口'!$D$5:$D$16)*$Q5*$C5,0),IF(BM$4=EDATE('核心假设'!$B$5,5+$F5),SUM('融资租赁与资金缺口'!$D$5:$D$16)*$R5*$C5,0),IF(BM$4=EDATE('核心假设'!$B$5,6+$F5),SUM('融资租赁与资金缺口'!$D$5:$D$16)*$S5*$C5,0),IF(BM$4=EDATE('核心假设'!$B$5,7+$F5),SUM('融资租赁与资金缺口'!$D$5:$D$16)*$T5*$C5,0),IF(BM$4=EDATE('核心假设'!$B$5,8+$F5),SUM('融资租赁与资金缺口'!$D$5:$D$16)*$U5*$C5,0),IF(BM$4=EDATE('核心假设'!$B$5,9+$F5),SUM('融资租赁与资金缺口'!$D$5:$D$16)*$V5*$C5,0),IF(BM$4=EDATE('核心假设'!$B$5,10+$F5),SUM('融资租赁与资金缺口'!$D$5:$D$16)*$W5*$C5,0),IF(BM$4=EDATE('核心假设'!$B$5,11+$F5),SUM('融资租赁与资金缺口'!$D$5:$D$16)*$X5*$C5,0),IF(BM$4=EDATE('核心假设'!$B$5,12+$F5),SUM('融资租赁与资金缺口'!$D$5:$D$16)*$Y5*$C5,0),IF(BM$4=EDATE('核心假设'!$B$5,13+$F5),SUM('融资租赁与资金缺口'!$D$5:$D$16)*$Z5*$C5,0),IF(BM$4=EDATE('核心假设'!$B$5,14+$F5),SUM('融资租赁与资金缺口'!$D$5:$D$16)*$AA5*$C5,0),IF(BM$4=EDATE('核心假设'!$B$5,15+$F5),SUM('融资租赁与资金缺口'!$D$5:$D$16)*$AB5*$C5,0),IF(BM$4=EDATE('核心假设'!$B$5,16+$F5),SUM('融资租赁与资金缺口'!$D$5:$D$16)*$AC5*$C5,0),IF(BM$4=EDATE('核心假设'!$B$5,17+$F5),SUM('融资租赁与资金缺口'!$D$5:$D$16)*$AD5*$C5,0))-BM9</x:f>
        <x:v>462977732.2908966</x:v>
      </x:c>
      <x:c r="BN10" s="28" t="n">
        <x:f>BM10+BN6-BN7+SUM(IF(BN$4=EDATE('核心假设'!$B$5,0+$F5),SUM('融资租赁与资金缺口'!$D$5:$D$16)*$M5*$C5,0),IF(BN$4=EDATE('核心假设'!$B$5,1+$F5),SUM('融资租赁与资金缺口'!$D$5:$D$16)*$N5*$C5,0),IF(BN$4=EDATE('核心假设'!$B$5,2+$F5),SUM('融资租赁与资金缺口'!$D$5:$D$16)*$O5*$C5,0),IF(BN$4=EDATE('核心假设'!$B$5,3+$F5),SUM('融资租赁与资金缺口'!$D$5:$D$16)*$P5*$C5,0),IF(BN$4=EDATE('核心假设'!$B$5,4+$F5),SUM('融资租赁与资金缺口'!$D$5:$D$16)*$Q5*$C5,0),IF(BN$4=EDATE('核心假设'!$B$5,5+$F5),SUM('融资租赁与资金缺口'!$D$5:$D$16)*$R5*$C5,0),IF(BN$4=EDATE('核心假设'!$B$5,6+$F5),SUM('融资租赁与资金缺口'!$D$5:$D$16)*$S5*$C5,0),IF(BN$4=EDATE('核心假设'!$B$5,7+$F5),SUM('融资租赁与资金缺口'!$D$5:$D$16)*$T5*$C5,0),IF(BN$4=EDATE('核心假设'!$B$5,8+$F5),SUM('融资租赁与资金缺口'!$D$5:$D$16)*$U5*$C5,0),IF(BN$4=EDATE('核心假设'!$B$5,9+$F5),SUM('融资租赁与资金缺口'!$D$5:$D$16)*$V5*$C5,0),IF(BN$4=EDATE('核心假设'!$B$5,10+$F5),SUM('融资租赁与资金缺口'!$D$5:$D$16)*$W5*$C5,0),IF(BN$4=EDATE('核心假设'!$B$5,11+$F5),SUM('融资租赁与资金缺口'!$D$5:$D$16)*$X5*$C5,0),IF(BN$4=EDATE('核心假设'!$B$5,12+$F5),SUM('融资租赁与资金缺口'!$D$5:$D$16)*$Y5*$C5,0),IF(BN$4=EDATE('核心假设'!$B$5,13+$F5),SUM('融资租赁与资金缺口'!$D$5:$D$16)*$Z5*$C5,0),IF(BN$4=EDATE('核心假设'!$B$5,14+$F5),SUM('融资租赁与资金缺口'!$D$5:$D$16)*$AA5*$C5,0),IF(BN$4=EDATE('核心假设'!$B$5,15+$F5),SUM('融资租赁与资金缺口'!$D$5:$D$16)*$AB5*$C5,0),IF(BN$4=EDATE('核心假设'!$B$5,16+$F5),SUM('融资租赁与资金缺口'!$D$5:$D$16)*$AC5*$C5,0),IF(BN$4=EDATE('核心假设'!$B$5,17+$F5),SUM('融资租赁与资金缺口'!$D$5:$D$16)*$AD5*$C5,0))-BN9</x:f>
        <x:v>485653755.69220334</x:v>
      </x:c>
      <x:c r="BO10" s="28" t="n">
        <x:f>BN10+BO6-BO7+SUM(IF(BO$4=EDATE('核心假设'!$B$5,0+$F5),SUM('融资租赁与资金缺口'!$D$5:$D$16)*$M5*$C5,0),IF(BO$4=EDATE('核心假设'!$B$5,1+$F5),SUM('融资租赁与资金缺口'!$D$5:$D$16)*$N5*$C5,0),IF(BO$4=EDATE('核心假设'!$B$5,2+$F5),SUM('融资租赁与资金缺口'!$D$5:$D$16)*$O5*$C5,0),IF(BO$4=EDATE('核心假设'!$B$5,3+$F5),SUM('融资租赁与资金缺口'!$D$5:$D$16)*$P5*$C5,0),IF(BO$4=EDATE('核心假设'!$B$5,4+$F5),SUM('融资租赁与资金缺口'!$D$5:$D$16)*$Q5*$C5,0),IF(BO$4=EDATE('核心假设'!$B$5,5+$F5),SUM('融资租赁与资金缺口'!$D$5:$D$16)*$R5*$C5,0),IF(BO$4=EDATE('核心假设'!$B$5,6+$F5),SUM('融资租赁与资金缺口'!$D$5:$D$16)*$S5*$C5,0),IF(BO$4=EDATE('核心假设'!$B$5,7+$F5),SUM('融资租赁与资金缺口'!$D$5:$D$16)*$T5*$C5,0),IF(BO$4=EDATE('核心假设'!$B$5,8+$F5),SUM('融资租赁与资金缺口'!$D$5:$D$16)*$U5*$C5,0),IF(BO$4=EDATE('核心假设'!$B$5,9+$F5),SUM('融资租赁与资金缺口'!$D$5:$D$16)*$V5*$C5,0),IF(BO$4=EDATE('核心假设'!$B$5,10+$F5),SUM('融资租赁与资金缺口'!$D$5:$D$16)*$W5*$C5,0),IF(BO$4=EDATE('核心假设'!$B$5,11+$F5),SUM('融资租赁与资金缺口'!$D$5:$D$16)*$X5*$C5,0),IF(BO$4=EDATE('核心假设'!$B$5,12+$F5),SUM('融资租赁与资金缺口'!$D$5:$D$16)*$Y5*$C5,0),IF(BO$4=EDATE('核心假设'!$B$5,13+$F5),SUM('融资租赁与资金缺口'!$D$5:$D$16)*$Z5*$C5,0),IF(BO$4=EDATE('核心假设'!$B$5,14+$F5),SUM('融资租赁与资金缺口'!$D$5:$D$16)*$AA5*$C5,0),IF(BO$4=EDATE('核心假设'!$B$5,15+$F5),SUM('融资租赁与资金缺口'!$D$5:$D$16)*$AB5*$C5,0),IF(BO$4=EDATE('核心假设'!$B$5,16+$F5),SUM('融资租赁与资金缺口'!$D$5:$D$16)*$AC5*$C5,0),IF(BO$4=EDATE('核心假设'!$B$5,17+$F5),SUM('融资租赁与资金缺口'!$D$5:$D$16)*$AD5*$C5,0))-BO9</x:f>
        <x:v>509708176.1116745</x:v>
      </x:c>
      <x:c r="BP10" s="28" t="n">
        <x:f>BO10+BP6-BP7+SUM(IF(BP$4=EDATE('核心假设'!$B$5,0+$F5),SUM('融资租赁与资金缺口'!$D$5:$D$16)*$M5*$C5,0),IF(BP$4=EDATE('核心假设'!$B$5,1+$F5),SUM('融资租赁与资金缺口'!$D$5:$D$16)*$N5*$C5,0),IF(BP$4=EDATE('核心假设'!$B$5,2+$F5),SUM('融资租赁与资金缺口'!$D$5:$D$16)*$O5*$C5,0),IF(BP$4=EDATE('核心假设'!$B$5,3+$F5),SUM('融资租赁与资金缺口'!$D$5:$D$16)*$P5*$C5,0),IF(BP$4=EDATE('核心假设'!$B$5,4+$F5),SUM('融资租赁与资金缺口'!$D$5:$D$16)*$Q5*$C5,0),IF(BP$4=EDATE('核心假设'!$B$5,5+$F5),SUM('融资租赁与资金缺口'!$D$5:$D$16)*$R5*$C5,0),IF(BP$4=EDATE('核心假设'!$B$5,6+$F5),SUM('融资租赁与资金缺口'!$D$5:$D$16)*$S5*$C5,0),IF(BP$4=EDATE('核心假设'!$B$5,7+$F5),SUM('融资租赁与资金缺口'!$D$5:$D$16)*$T5*$C5,0),IF(BP$4=EDATE('核心假设'!$B$5,8+$F5),SUM('融资租赁与资金缺口'!$D$5:$D$16)*$U5*$C5,0),IF(BP$4=EDATE('核心假设'!$B$5,9+$F5),SUM('融资租赁与资金缺口'!$D$5:$D$16)*$V5*$C5,0),IF(BP$4=EDATE('核心假设'!$B$5,10+$F5),SUM('融资租赁与资金缺口'!$D$5:$D$16)*$W5*$C5,0),IF(BP$4=EDATE('核心假设'!$B$5,11+$F5),SUM('融资租赁与资金缺口'!$D$5:$D$16)*$X5*$C5,0),IF(BP$4=EDATE('核心假设'!$B$5,12+$F5),SUM('融资租赁与资金缺口'!$D$5:$D$16)*$Y5*$C5,0),IF(BP$4=EDATE('核心假设'!$B$5,13+$F5),SUM('融资租赁与资金缺口'!$D$5:$D$16)*$Z5*$C5,0),IF(BP$4=EDATE('核心假设'!$B$5,14+$F5),SUM('融资租赁与资金缺口'!$D$5:$D$16)*$AA5*$C5,0),IF(BP$4=EDATE('核心假设'!$B$5,15+$F5),SUM('融资租赁与资金缺口'!$D$5:$D$16)*$AB5*$C5,0),IF(BP$4=EDATE('核心假设'!$B$5,16+$F5),SUM('融资租赁与资金缺口'!$D$5:$D$16)*$AC5*$C5,0),IF(BP$4=EDATE('核心假设'!$B$5,17+$F5),SUM('融资租赁与资金缺口'!$D$5:$D$16)*$AD5*$C5,0))-BP9</x:f>
        <x:v>531045151.5899121</x:v>
      </x:c>
      <x:c r="BQ10" s="28" t="n">
        <x:f>BP10+BQ6-BQ7+SUM(IF(BQ$4=EDATE('核心假设'!$B$5,0+$F5),SUM('融资租赁与资金缺口'!$D$5:$D$16)*$M5*$C5,0),IF(BQ$4=EDATE('核心假设'!$B$5,1+$F5),SUM('融资租赁与资金缺口'!$D$5:$D$16)*$N5*$C5,0),IF(BQ$4=EDATE('核心假设'!$B$5,2+$F5),SUM('融资租赁与资金缺口'!$D$5:$D$16)*$O5*$C5,0),IF(BQ$4=EDATE('核心假设'!$B$5,3+$F5),SUM('融资租赁与资金缺口'!$D$5:$D$16)*$P5*$C5,0),IF(BQ$4=EDATE('核心假设'!$B$5,4+$F5),SUM('融资租赁与资金缺口'!$D$5:$D$16)*$Q5*$C5,0),IF(BQ$4=EDATE('核心假设'!$B$5,5+$F5),SUM('融资租赁与资金缺口'!$D$5:$D$16)*$R5*$C5,0),IF(BQ$4=EDATE('核心假设'!$B$5,6+$F5),SUM('融资租赁与资金缺口'!$D$5:$D$16)*$S5*$C5,0),IF(BQ$4=EDATE('核心假设'!$B$5,7+$F5),SUM('融资租赁与资金缺口'!$D$5:$D$16)*$T5*$C5,0),IF(BQ$4=EDATE('核心假设'!$B$5,8+$F5),SUM('融资租赁与资金缺口'!$D$5:$D$16)*$U5*$C5,0),IF(BQ$4=EDATE('核心假设'!$B$5,9+$F5),SUM('融资租赁与资金缺口'!$D$5:$D$16)*$V5*$C5,0),IF(BQ$4=EDATE('核心假设'!$B$5,10+$F5),SUM('融资租赁与资金缺口'!$D$5:$D$16)*$W5*$C5,0),IF(BQ$4=EDATE('核心假设'!$B$5,11+$F5),SUM('融资租赁与资金缺口'!$D$5:$D$16)*$X5*$C5,0),IF(BQ$4=EDATE('核心假设'!$B$5,12+$F5),SUM('融资租赁与资金缺口'!$D$5:$D$16)*$Y5*$C5,0),IF(BQ$4=EDATE('核心假设'!$B$5,13+$F5),SUM('融资租赁与资金缺口'!$D$5:$D$16)*$Z5*$C5,0),IF(BQ$4=EDATE('核心假设'!$B$5,14+$F5),SUM('融资租赁与资金缺口'!$D$5:$D$16)*$AA5*$C5,0),IF(BQ$4=EDATE('核心假设'!$B$5,15+$F5),SUM('融资租赁与资金缺口'!$D$5:$D$16)*$AB5*$C5,0),IF(BQ$4=EDATE('核心假设'!$B$5,16+$F5),SUM('融资租赁与资金缺口'!$D$5:$D$16)*$AC5*$C5,0),IF(BQ$4=EDATE('核心假设'!$B$5,17+$F5),SUM('融资租赁与资金缺口'!$D$5:$D$16)*$AD5*$C5,0))-BQ9</x:f>
        <x:v>551084707.0539579</x:v>
      </x:c>
      <x:c r="BR10" s="28" t="n">
        <x:f>BQ10+BR6-BR7+SUM(IF(BR$4=EDATE('核心假设'!$B$5,0+$F5),SUM('融资租赁与资金缺口'!$D$5:$D$16)*$M5*$C5,0),IF(BR$4=EDATE('核心假设'!$B$5,1+$F5),SUM('融资租赁与资金缺口'!$D$5:$D$16)*$N5*$C5,0),IF(BR$4=EDATE('核心假设'!$B$5,2+$F5),SUM('融资租赁与资金缺口'!$D$5:$D$16)*$O5*$C5,0),IF(BR$4=EDATE('核心假设'!$B$5,3+$F5),SUM('融资租赁与资金缺口'!$D$5:$D$16)*$P5*$C5,0),IF(BR$4=EDATE('核心假设'!$B$5,4+$F5),SUM('融资租赁与资金缺口'!$D$5:$D$16)*$Q5*$C5,0),IF(BR$4=EDATE('核心假设'!$B$5,5+$F5),SUM('融资租赁与资金缺口'!$D$5:$D$16)*$R5*$C5,0),IF(BR$4=EDATE('核心假设'!$B$5,6+$F5),SUM('融资租赁与资金缺口'!$D$5:$D$16)*$S5*$C5,0),IF(BR$4=EDATE('核心假设'!$B$5,7+$F5),SUM('融资租赁与资金缺口'!$D$5:$D$16)*$T5*$C5,0),IF(BR$4=EDATE('核心假设'!$B$5,8+$F5),SUM('融资租赁与资金缺口'!$D$5:$D$16)*$U5*$C5,0),IF(BR$4=EDATE('核心假设'!$B$5,9+$F5),SUM('融资租赁与资金缺口'!$D$5:$D$16)*$V5*$C5,0),IF(BR$4=EDATE('核心假设'!$B$5,10+$F5),SUM('融资租赁与资金缺口'!$D$5:$D$16)*$W5*$C5,0),IF(BR$4=EDATE('核心假设'!$B$5,11+$F5),SUM('融资租赁与资金缺口'!$D$5:$D$16)*$X5*$C5,0),IF(BR$4=EDATE('核心假设'!$B$5,12+$F5),SUM('融资租赁与资金缺口'!$D$5:$D$16)*$Y5*$C5,0),IF(BR$4=EDATE('核心假设'!$B$5,13+$F5),SUM('融资租赁与资金缺口'!$D$5:$D$16)*$Z5*$C5,0),IF(BR$4=EDATE('核心假设'!$B$5,14+$F5),SUM('融资租赁与资金缺口'!$D$5:$D$16)*$AA5*$C5,0),IF(BR$4=EDATE('核心假设'!$B$5,15+$F5),SUM('融资租赁与资金缺口'!$D$5:$D$16)*$AB5*$C5,0),IF(BR$4=EDATE('核心假设'!$B$5,16+$F5),SUM('融资租赁与资金缺口'!$D$5:$D$16)*$AC5*$C5,0),IF(BR$4=EDATE('核心假设'!$B$5,17+$F5),SUM('融资租赁与资金缺口'!$D$5:$D$16)*$AD5*$C5,0))-BR9</x:f>
        <x:v>572662763.3561358</x:v>
      </x:c>
      <x:c r="BS10" s="28" t="n">
        <x:f>BR10+BS6-BS7+SUM(IF(BS$4=EDATE('核心假设'!$B$5,0+$F5),SUM('融资租赁与资金缺口'!$D$5:$D$16)*$M5*$C5,0),IF(BS$4=EDATE('核心假设'!$B$5,1+$F5),SUM('融资租赁与资金缺口'!$D$5:$D$16)*$N5*$C5,0),IF(BS$4=EDATE('核心假设'!$B$5,2+$F5),SUM('融资租赁与资金缺口'!$D$5:$D$16)*$O5*$C5,0),IF(BS$4=EDATE('核心假设'!$B$5,3+$F5),SUM('融资租赁与资金缺口'!$D$5:$D$16)*$P5*$C5,0),IF(BS$4=EDATE('核心假设'!$B$5,4+$F5),SUM('融资租赁与资金缺口'!$D$5:$D$16)*$Q5*$C5,0),IF(BS$4=EDATE('核心假设'!$B$5,5+$F5),SUM('融资租赁与资金缺口'!$D$5:$D$16)*$R5*$C5,0),IF(BS$4=EDATE('核心假设'!$B$5,6+$F5),SUM('融资租赁与资金缺口'!$D$5:$D$16)*$S5*$C5,0),IF(BS$4=EDATE('核心假设'!$B$5,7+$F5),SUM('融资租赁与资金缺口'!$D$5:$D$16)*$T5*$C5,0),IF(BS$4=EDATE('核心假设'!$B$5,8+$F5),SUM('融资租赁与资金缺口'!$D$5:$D$16)*$U5*$C5,0),IF(BS$4=EDATE('核心假设'!$B$5,9+$F5),SUM('融资租赁与资金缺口'!$D$5:$D$16)*$V5*$C5,0),IF(BS$4=EDATE('核心假设'!$B$5,10+$F5),SUM('融资租赁与资金缺口'!$D$5:$D$16)*$W5*$C5,0),IF(BS$4=EDATE('核心假设'!$B$5,11+$F5),SUM('融资租赁与资金缺口'!$D$5:$D$16)*$X5*$C5,0),IF(BS$4=EDATE('核心假设'!$B$5,12+$F5),SUM('融资租赁与资金缺口'!$D$5:$D$16)*$Y5*$C5,0),IF(BS$4=EDATE('核心假设'!$B$5,13+$F5),SUM('融资租赁与资金缺口'!$D$5:$D$16)*$Z5*$C5,0),IF(BS$4=EDATE('核心假设'!$B$5,14+$F5),SUM('融资租赁与资金缺口'!$D$5:$D$16)*$AA5*$C5,0),IF(BS$4=EDATE('核心假设'!$B$5,15+$F5),SUM('融资租赁与资金缺口'!$D$5:$D$16)*$AB5*$C5,0),IF(BS$4=EDATE('核心假设'!$B$5,16+$F5),SUM('融资租赁与资金缺口'!$D$5:$D$16)*$AC5*$C5,0),IF(BS$4=EDATE('核心假设'!$B$5,17+$F5),SUM('融资租赁与资金缺口'!$D$5:$D$16)*$AD5*$C5,0))-BS9</x:f>
        <x:v>599229664.2969092</x:v>
      </x:c>
      <x:c r="BT10" s="28" t="n">
        <x:f>BS10+BT6-BT7+SUM(IF(BT$4=EDATE('核心假设'!$B$5,0+$F5),SUM('融资租赁与资金缺口'!$D$5:$D$16)*$M5*$C5,0),IF(BT$4=EDATE('核心假设'!$B$5,1+$F5),SUM('融资租赁与资金缺口'!$D$5:$D$16)*$N5*$C5,0),IF(BT$4=EDATE('核心假设'!$B$5,2+$F5),SUM('融资租赁与资金缺口'!$D$5:$D$16)*$O5*$C5,0),IF(BT$4=EDATE('核心假设'!$B$5,3+$F5),SUM('融资租赁与资金缺口'!$D$5:$D$16)*$P5*$C5,0),IF(BT$4=EDATE('核心假设'!$B$5,4+$F5),SUM('融资租赁与资金缺口'!$D$5:$D$16)*$Q5*$C5,0),IF(BT$4=EDATE('核心假设'!$B$5,5+$F5),SUM('融资租赁与资金缺口'!$D$5:$D$16)*$R5*$C5,0),IF(BT$4=EDATE('核心假设'!$B$5,6+$F5),SUM('融资租赁与资金缺口'!$D$5:$D$16)*$S5*$C5,0),IF(BT$4=EDATE('核心假设'!$B$5,7+$F5),SUM('融资租赁与资金缺口'!$D$5:$D$16)*$T5*$C5,0),IF(BT$4=EDATE('核心假设'!$B$5,8+$F5),SUM('融资租赁与资金缺口'!$D$5:$D$16)*$U5*$C5,0),IF(BT$4=EDATE('核心假设'!$B$5,9+$F5),SUM('融资租赁与资金缺口'!$D$5:$D$16)*$V5*$C5,0),IF(BT$4=EDATE('核心假设'!$B$5,10+$F5),SUM('融资租赁与资金缺口'!$D$5:$D$16)*$W5*$C5,0),IF(BT$4=EDATE('核心假设'!$B$5,11+$F5),SUM('融资租赁与资金缺口'!$D$5:$D$16)*$X5*$C5,0),IF(BT$4=EDATE('核心假设'!$B$5,12+$F5),SUM('融资租赁与资金缺口'!$D$5:$D$16)*$Y5*$C5,0),IF(BT$4=EDATE('核心假设'!$B$5,13+$F5),SUM('融资租赁与资金缺口'!$D$5:$D$16)*$Z5*$C5,0),IF(BT$4=EDATE('核心假设'!$B$5,14+$F5),SUM('融资租赁与资金缺口'!$D$5:$D$16)*$AA5*$C5,0),IF(BT$4=EDATE('核心假设'!$B$5,15+$F5),SUM('融资租赁与资金缺口'!$D$5:$D$16)*$AB5*$C5,0),IF(BT$4=EDATE('核心假设'!$B$5,16+$F5),SUM('融资租赁与资金缺口'!$D$5:$D$16)*$AC5*$C5,0),IF(BT$4=EDATE('核心假设'!$B$5,17+$F5),SUM('融资租赁与资金缺口'!$D$5:$D$16)*$AD5*$C5,0))-BT9</x:f>
        <x:v>623252142.8928866</x:v>
      </x:c>
      <x:c r="BU10" s="28" t="n">
        <x:f>BT10+BU6-BU7+SUM(IF(BU$4=EDATE('核心假设'!$B$5,0+$F5),SUM('融资租赁与资金缺口'!$D$5:$D$16)*$M5*$C5,0),IF(BU$4=EDATE('核心假设'!$B$5,1+$F5),SUM('融资租赁与资金缺口'!$D$5:$D$16)*$N5*$C5,0),IF(BU$4=EDATE('核心假设'!$B$5,2+$F5),SUM('融资租赁与资金缺口'!$D$5:$D$16)*$O5*$C5,0),IF(BU$4=EDATE('核心假设'!$B$5,3+$F5),SUM('融资租赁与资金缺口'!$D$5:$D$16)*$P5*$C5,0),IF(BU$4=EDATE('核心假设'!$B$5,4+$F5),SUM('融资租赁与资金缺口'!$D$5:$D$16)*$Q5*$C5,0),IF(BU$4=EDATE('核心假设'!$B$5,5+$F5),SUM('融资租赁与资金缺口'!$D$5:$D$16)*$R5*$C5,0),IF(BU$4=EDATE('核心假设'!$B$5,6+$F5),SUM('融资租赁与资金缺口'!$D$5:$D$16)*$S5*$C5,0),IF(BU$4=EDATE('核心假设'!$B$5,7+$F5),SUM('融资租赁与资金缺口'!$D$5:$D$16)*$T5*$C5,0),IF(BU$4=EDATE('核心假设'!$B$5,8+$F5),SUM('融资租赁与资金缺口'!$D$5:$D$16)*$U5*$C5,0),IF(BU$4=EDATE('核心假设'!$B$5,9+$F5),SUM('融资租赁与资金缺口'!$D$5:$D$16)*$V5*$C5,0),IF(BU$4=EDATE('核心假设'!$B$5,10+$F5),SUM('融资租赁与资金缺口'!$D$5:$D$16)*$W5*$C5,0),IF(BU$4=EDATE('核心假设'!$B$5,11+$F5),SUM('融资租赁与资金缺口'!$D$5:$D$16)*$X5*$C5,0),IF(BU$4=EDATE('核心假设'!$B$5,12+$F5),SUM('融资租赁与资金缺口'!$D$5:$D$16)*$Y5*$C5,0),IF(BU$4=EDATE('核心假设'!$B$5,13+$F5),SUM('融资租赁与资金缺口'!$D$5:$D$16)*$Z5*$C5,0),IF(BU$4=EDATE('核心假设'!$B$5,14+$F5),SUM('融资租赁与资金缺口'!$D$5:$D$16)*$AA5*$C5,0),IF(BU$4=EDATE('核心假设'!$B$5,15+$F5),SUM('融资租赁与资金缺口'!$D$5:$D$16)*$AB5*$C5,0),IF(BU$4=EDATE('核心假设'!$B$5,16+$F5),SUM('融资租赁与资金缺口'!$D$5:$D$16)*$AC5*$C5,0),IF(BU$4=EDATE('核心假设'!$B$5,17+$F5),SUM('融资租赁与资金缺口'!$D$5:$D$16)*$AD5*$C5,0))-BU9</x:f>
        <x:v>641598233.5170727</x:v>
      </x:c>
      <x:c r="BV10" s="28" t="n">
        <x:f>BU10+BV6-BV7+SUM(IF(BV$4=EDATE('核心假设'!$B$5,0+$F5),SUM('融资租赁与资金缺口'!$D$5:$D$16)*$M5*$C5,0),IF(BV$4=EDATE('核心假设'!$B$5,1+$F5),SUM('融资租赁与资金缺口'!$D$5:$D$16)*$N5*$C5,0),IF(BV$4=EDATE('核心假设'!$B$5,2+$F5),SUM('融资租赁与资金缺口'!$D$5:$D$16)*$O5*$C5,0),IF(BV$4=EDATE('核心假设'!$B$5,3+$F5),SUM('融资租赁与资金缺口'!$D$5:$D$16)*$P5*$C5,0),IF(BV$4=EDATE('核心假设'!$B$5,4+$F5),SUM('融资租赁与资金缺口'!$D$5:$D$16)*$Q5*$C5,0),IF(BV$4=EDATE('核心假设'!$B$5,5+$F5),SUM('融资租赁与资金缺口'!$D$5:$D$16)*$R5*$C5,0),IF(BV$4=EDATE('核心假设'!$B$5,6+$F5),SUM('融资租赁与资金缺口'!$D$5:$D$16)*$S5*$C5,0),IF(BV$4=EDATE('核心假设'!$B$5,7+$F5),SUM('融资租赁与资金缺口'!$D$5:$D$16)*$T5*$C5,0),IF(BV$4=EDATE('核心假设'!$B$5,8+$F5),SUM('融资租赁与资金缺口'!$D$5:$D$16)*$U5*$C5,0),IF(BV$4=EDATE('核心假设'!$B$5,9+$F5),SUM('融资租赁与资金缺口'!$D$5:$D$16)*$V5*$C5,0),IF(BV$4=EDATE('核心假设'!$B$5,10+$F5),SUM('融资租赁与资金缺口'!$D$5:$D$16)*$W5*$C5,0),IF(BV$4=EDATE('核心假设'!$B$5,11+$F5),SUM('融资租赁与资金缺口'!$D$5:$D$16)*$X5*$C5,0),IF(BV$4=EDATE('核心假设'!$B$5,12+$F5),SUM('融资租赁与资金缺口'!$D$5:$D$16)*$Y5*$C5,0),IF(BV$4=EDATE('核心假设'!$B$5,13+$F5),SUM('融资租赁与资金缺口'!$D$5:$D$16)*$Z5*$C5,0),IF(BV$4=EDATE('核心假设'!$B$5,14+$F5),SUM('融资租赁与资金缺口'!$D$5:$D$16)*$AA5*$C5,0),IF(BV$4=EDATE('核心假设'!$B$5,15+$F5),SUM('融资租赁与资金缺口'!$D$5:$D$16)*$AB5*$C5,0),IF(BV$4=EDATE('核心假设'!$B$5,16+$F5),SUM('融资租赁与资金缺口'!$D$5:$D$16)*$AC5*$C5,0),IF(BV$4=EDATE('核心假设'!$B$5,17+$F5),SUM('融资租赁与资金缺口'!$D$5:$D$16)*$AD5*$C5,0))-BV9</x:f>
        <x:v>663118351.8108882</x:v>
      </x:c>
      <x:c r="BW10" s="28" t="n">
        <x:f>BV10+BW6-BW7+SUM(IF(BW$4=EDATE('核心假设'!$B$5,0+$F5),SUM('融资租赁与资金缺口'!$D$5:$D$16)*$M5*$C5,0),IF(BW$4=EDATE('核心假设'!$B$5,1+$F5),SUM('融资租赁与资金缺口'!$D$5:$D$16)*$N5*$C5,0),IF(BW$4=EDATE('核心假设'!$B$5,2+$F5),SUM('融资租赁与资金缺口'!$D$5:$D$16)*$O5*$C5,0),IF(BW$4=EDATE('核心假设'!$B$5,3+$F5),SUM('融资租赁与资金缺口'!$D$5:$D$16)*$P5*$C5,0),IF(BW$4=EDATE('核心假设'!$B$5,4+$F5),SUM('融资租赁与资金缺口'!$D$5:$D$16)*$Q5*$C5,0),IF(BW$4=EDATE('核心假设'!$B$5,5+$F5),SUM('融资租赁与资金缺口'!$D$5:$D$16)*$R5*$C5,0),IF(BW$4=EDATE('核心假设'!$B$5,6+$F5),SUM('融资租赁与资金缺口'!$D$5:$D$16)*$S5*$C5,0),IF(BW$4=EDATE('核心假设'!$B$5,7+$F5),SUM('融资租赁与资金缺口'!$D$5:$D$16)*$T5*$C5,0),IF(BW$4=EDATE('核心假设'!$B$5,8+$F5),SUM('融资租赁与资金缺口'!$D$5:$D$16)*$U5*$C5,0),IF(BW$4=EDATE('核心假设'!$B$5,9+$F5),SUM('融资租赁与资金缺口'!$D$5:$D$16)*$V5*$C5,0),IF(BW$4=EDATE('核心假设'!$B$5,10+$F5),SUM('融资租赁与资金缺口'!$D$5:$D$16)*$W5*$C5,0),IF(BW$4=EDATE('核心假设'!$B$5,11+$F5),SUM('融资租赁与资金缺口'!$D$5:$D$16)*$X5*$C5,0),IF(BW$4=EDATE('核心假设'!$B$5,12+$F5),SUM('融资租赁与资金缺口'!$D$5:$D$16)*$Y5*$C5,0),IF(BW$4=EDATE('核心假设'!$B$5,13+$F5),SUM('融资租赁与资金缺口'!$D$5:$D$16)*$Z5*$C5,0),IF(BW$4=EDATE('核心假设'!$B$5,14+$F5),SUM('融资租赁与资金缺口'!$D$5:$D$16)*$AA5*$C5,0),IF(BW$4=EDATE('核心假设'!$B$5,15+$F5),SUM('融资租赁与资金缺口'!$D$5:$D$16)*$AB5*$C5,0),IF(BW$4=EDATE('核心假设'!$B$5,16+$F5),SUM('融资租赁与资金缺口'!$D$5:$D$16)*$AC5*$C5,0),IF(BW$4=EDATE('核心假设'!$B$5,17+$F5),SUM('融资租赁与资金缺口'!$D$5:$D$16)*$AD5*$C5,0))-BW9</x:f>
        <x:v>686699768.9005119</x:v>
      </x:c>
      <x:c r="BX10" s="28" t="n">
        <x:f>BW10+BX6-BX7+SUM(IF(BX$4=EDATE('核心假设'!$B$5,0+$F5),SUM('融资租赁与资金缺口'!$D$5:$D$16)*$M5*$C5,0),IF(BX$4=EDATE('核心假设'!$B$5,1+$F5),SUM('融资租赁与资金缺口'!$D$5:$D$16)*$N5*$C5,0),IF(BX$4=EDATE('核心假设'!$B$5,2+$F5),SUM('融资租赁与资金缺口'!$D$5:$D$16)*$O5*$C5,0),IF(BX$4=EDATE('核心假设'!$B$5,3+$F5),SUM('融资租赁与资金缺口'!$D$5:$D$16)*$P5*$C5,0),IF(BX$4=EDATE('核心假设'!$B$5,4+$F5),SUM('融资租赁与资金缺口'!$D$5:$D$16)*$Q5*$C5,0),IF(BX$4=EDATE('核心假设'!$B$5,5+$F5),SUM('融资租赁与资金缺口'!$D$5:$D$16)*$R5*$C5,0),IF(BX$4=EDATE('核心假设'!$B$5,6+$F5),SUM('融资租赁与资金缺口'!$D$5:$D$16)*$S5*$C5,0),IF(BX$4=EDATE('核心假设'!$B$5,7+$F5),SUM('融资租赁与资金缺口'!$D$5:$D$16)*$T5*$C5,0),IF(BX$4=EDATE('核心假设'!$B$5,8+$F5),SUM('融资租赁与资金缺口'!$D$5:$D$16)*$U5*$C5,0),IF(BX$4=EDATE('核心假设'!$B$5,9+$F5),SUM('融资租赁与资金缺口'!$D$5:$D$16)*$V5*$C5,0),IF(BX$4=EDATE('核心假设'!$B$5,10+$F5),SUM('融资租赁与资金缺口'!$D$5:$D$16)*$W5*$C5,0),IF(BX$4=EDATE('核心假设'!$B$5,11+$F5),SUM('融资租赁与资金缺口'!$D$5:$D$16)*$X5*$C5,0),IF(BX$4=EDATE('核心假设'!$B$5,12+$F5),SUM('融资租赁与资金缺口'!$D$5:$D$16)*$Y5*$C5,0),IF(BX$4=EDATE('核心假设'!$B$5,13+$F5),SUM('融资租赁与资金缺口'!$D$5:$D$16)*$Z5*$C5,0),IF(BX$4=EDATE('核心假设'!$B$5,14+$F5),SUM('融资租赁与资金缺口'!$D$5:$D$16)*$AA5*$C5,0),IF(BX$4=EDATE('核心假设'!$B$5,15+$F5),SUM('融资租赁与资金缺口'!$D$5:$D$16)*$AB5*$C5,0),IF(BX$4=EDATE('核心假设'!$B$5,16+$F5),SUM('融资租赁与资金缺口'!$D$5:$D$16)*$AC5*$C5,0),IF(BX$4=EDATE('核心假设'!$B$5,17+$F5),SUM('融资租赁与资金缺口'!$D$5:$D$16)*$AD5*$C5,0))-BX9</x:f>
        <x:v>713021090.0598756</x:v>
      </x:c>
      <x:c r="BY10" s="28" t="n">
        <x:f>BX10+BY6-BY7+SUM(IF(BY$4=EDATE('核心假设'!$B$5,0+$F5),SUM('融资租赁与资金缺口'!$D$5:$D$16)*$M5*$C5,0),IF(BY$4=EDATE('核心假设'!$B$5,1+$F5),SUM('融资租赁与资金缺口'!$D$5:$D$16)*$N5*$C5,0),IF(BY$4=EDATE('核心假设'!$B$5,2+$F5),SUM('融资租赁与资金缺口'!$D$5:$D$16)*$O5*$C5,0),IF(BY$4=EDATE('核心假设'!$B$5,3+$F5),SUM('融资租赁与资金缺口'!$D$5:$D$16)*$P5*$C5,0),IF(BY$4=EDATE('核心假设'!$B$5,4+$F5),SUM('融资租赁与资金缺口'!$D$5:$D$16)*$Q5*$C5,0),IF(BY$4=EDATE('核心假设'!$B$5,5+$F5),SUM('融资租赁与资金缺口'!$D$5:$D$16)*$R5*$C5,0),IF(BY$4=EDATE('核心假设'!$B$5,6+$F5),SUM('融资租赁与资金缺口'!$D$5:$D$16)*$S5*$C5,0),IF(BY$4=EDATE('核心假设'!$B$5,7+$F5),SUM('融资租赁与资金缺口'!$D$5:$D$16)*$T5*$C5,0),IF(BY$4=EDATE('核心假设'!$B$5,8+$F5),SUM('融资租赁与资金缺口'!$D$5:$D$16)*$U5*$C5,0),IF(BY$4=EDATE('核心假设'!$B$5,9+$F5),SUM('融资租赁与资金缺口'!$D$5:$D$16)*$V5*$C5,0),IF(BY$4=EDATE('核心假设'!$B$5,10+$F5),SUM('融资租赁与资金缺口'!$D$5:$D$16)*$W5*$C5,0),IF(BY$4=EDATE('核心假设'!$B$5,11+$F5),SUM('融资租赁与资金缺口'!$D$5:$D$16)*$X5*$C5,0),IF(BY$4=EDATE('核心假设'!$B$5,12+$F5),SUM('融资租赁与资金缺口'!$D$5:$D$16)*$Y5*$C5,0),IF(BY$4=EDATE('核心假设'!$B$5,13+$F5),SUM('融资租赁与资金缺口'!$D$5:$D$16)*$Z5*$C5,0),IF(BY$4=EDATE('核心假设'!$B$5,14+$F5),SUM('融资租赁与资金缺口'!$D$5:$D$16)*$AA5*$C5,0),IF(BY$4=EDATE('核心假设'!$B$5,15+$F5),SUM('融资租赁与资金缺口'!$D$5:$D$16)*$AB5*$C5,0),IF(BY$4=EDATE('核心假设'!$B$5,16+$F5),SUM('融资租赁与资金缺口'!$D$5:$D$16)*$AC5*$C5,0),IF(BY$4=EDATE('核心假设'!$B$5,17+$F5),SUM('融资租赁与资金缺口'!$D$5:$D$16)*$AD5*$C5,0))-BY9</x:f>
        <x:v>743850607.1800182</x:v>
      </x:c>
      <x:c r="BZ10" s="28" t="n">
        <x:f>BY10+BZ6-BZ7+SUM(IF(BZ$4=EDATE('核心假设'!$B$5,0+$F5),SUM('融资租赁与资金缺口'!$D$5:$D$16)*$M5*$C5,0),IF(BZ$4=EDATE('核心假设'!$B$5,1+$F5),SUM('融资租赁与资金缺口'!$D$5:$D$16)*$N5*$C5,0),IF(BZ$4=EDATE('核心假设'!$B$5,2+$F5),SUM('融资租赁与资金缺口'!$D$5:$D$16)*$O5*$C5,0),IF(BZ$4=EDATE('核心假设'!$B$5,3+$F5),SUM('融资租赁与资金缺口'!$D$5:$D$16)*$P5*$C5,0),IF(BZ$4=EDATE('核心假设'!$B$5,4+$F5),SUM('融资租赁与资金缺口'!$D$5:$D$16)*$Q5*$C5,0),IF(BZ$4=EDATE('核心假设'!$B$5,5+$F5),SUM('融资租赁与资金缺口'!$D$5:$D$16)*$R5*$C5,0),IF(BZ$4=EDATE('核心假设'!$B$5,6+$F5),SUM('融资租赁与资金缺口'!$D$5:$D$16)*$S5*$C5,0),IF(BZ$4=EDATE('核心假设'!$B$5,7+$F5),SUM('融资租赁与资金缺口'!$D$5:$D$16)*$T5*$C5,0),IF(BZ$4=EDATE('核心假设'!$B$5,8+$F5),SUM('融资租赁与资金缺口'!$D$5:$D$16)*$U5*$C5,0),IF(BZ$4=EDATE('核心假设'!$B$5,9+$F5),SUM('融资租赁与资金缺口'!$D$5:$D$16)*$V5*$C5,0),IF(BZ$4=EDATE('核心假设'!$B$5,10+$F5),SUM('融资租赁与资金缺口'!$D$5:$D$16)*$W5*$C5,0),IF(BZ$4=EDATE('核心假设'!$B$5,11+$F5),SUM('融资租赁与资金缺口'!$D$5:$D$16)*$X5*$C5,0),IF(BZ$4=EDATE('核心假设'!$B$5,12+$F5),SUM('融资租赁与资金缺口'!$D$5:$D$16)*$Y5*$C5,0),IF(BZ$4=EDATE('核心假设'!$B$5,13+$F5),SUM('融资租赁与资金缺口'!$D$5:$D$16)*$Z5*$C5,0),IF(BZ$4=EDATE('核心假设'!$B$5,14+$F5),SUM('融资租赁与资金缺口'!$D$5:$D$16)*$AA5*$C5,0),IF(BZ$4=EDATE('核心假设'!$B$5,15+$F5),SUM('融资租赁与资金缺口'!$D$5:$D$16)*$AB5*$C5,0),IF(BZ$4=EDATE('核心假设'!$B$5,16+$F5),SUM('融资租赁与资金缺口'!$D$5:$D$16)*$AC5*$C5,0),IF(BZ$4=EDATE('核心假设'!$B$5,17+$F5),SUM('融资租赁与资金缺口'!$D$5:$D$16)*$AD5*$C5,0))-BZ9</x:f>
        <x:v>779043743.5801905</x:v>
      </x:c>
      <x:c r="CA10" s="28" t="n">
        <x:f>BZ10+CA6-CA7+SUM(IF(CA$4=EDATE('核心假设'!$B$5,0+$F5),SUM('融资租赁与资金缺口'!$D$5:$D$16)*$M5*$C5,0),IF(CA$4=EDATE('核心假设'!$B$5,1+$F5),SUM('融资租赁与资金缺口'!$D$5:$D$16)*$N5*$C5,0),IF(CA$4=EDATE('核心假设'!$B$5,2+$F5),SUM('融资租赁与资金缺口'!$D$5:$D$16)*$O5*$C5,0),IF(CA$4=EDATE('核心假设'!$B$5,3+$F5),SUM('融资租赁与资金缺口'!$D$5:$D$16)*$P5*$C5,0),IF(CA$4=EDATE('核心假设'!$B$5,4+$F5),SUM('融资租赁与资金缺口'!$D$5:$D$16)*$Q5*$C5,0),IF(CA$4=EDATE('核心假设'!$B$5,5+$F5),SUM('融资租赁与资金缺口'!$D$5:$D$16)*$R5*$C5,0),IF(CA$4=EDATE('核心假设'!$B$5,6+$F5),SUM('融资租赁与资金缺口'!$D$5:$D$16)*$S5*$C5,0),IF(CA$4=EDATE('核心假设'!$B$5,7+$F5),SUM('融资租赁与资金缺口'!$D$5:$D$16)*$T5*$C5,0),IF(CA$4=EDATE('核心假设'!$B$5,8+$F5),SUM('融资租赁与资金缺口'!$D$5:$D$16)*$U5*$C5,0),IF(CA$4=EDATE('核心假设'!$B$5,9+$F5),SUM('融资租赁与资金缺口'!$D$5:$D$16)*$V5*$C5,0),IF(CA$4=EDATE('核心假设'!$B$5,10+$F5),SUM('融资租赁与资金缺口'!$D$5:$D$16)*$W5*$C5,0),IF(CA$4=EDATE('核心假设'!$B$5,11+$F5),SUM('融资租赁与资金缺口'!$D$5:$D$16)*$X5*$C5,0),IF(CA$4=EDATE('核心假设'!$B$5,12+$F5),SUM('融资租赁与资金缺口'!$D$5:$D$16)*$Y5*$C5,0),IF(CA$4=EDATE('核心假设'!$B$5,13+$F5),SUM('融资租赁与资金缺口'!$D$5:$D$16)*$Z5*$C5,0),IF(CA$4=EDATE('核心假设'!$B$5,14+$F5),SUM('融资租赁与资金缺口'!$D$5:$D$16)*$AA5*$C5,0),IF(CA$4=EDATE('核心假设'!$B$5,15+$F5),SUM('融资租赁与资金缺口'!$D$5:$D$16)*$AB5*$C5,0),IF(CA$4=EDATE('核心假设'!$B$5,16+$F5),SUM('融资租赁与资金缺口'!$D$5:$D$16)*$AC5*$C5,0),IF(CA$4=EDATE('核心假设'!$B$5,17+$F5),SUM('融资租赁与资金缺口'!$D$5:$D$16)*$AD5*$C5,0))-CA9</x:f>
        <x:v>817189798.5178752</x:v>
      </x:c>
      <x:c r="CB10" s="28" t="n">
        <x:f>CA10+CB6-CB7+SUM(IF(CB$4=EDATE('核心假设'!$B$5,0+$F5),SUM('融资租赁与资金缺口'!$D$5:$D$16)*$M5*$C5,0),IF(CB$4=EDATE('核心假设'!$B$5,1+$F5),SUM('融资租赁与资金缺口'!$D$5:$D$16)*$N5*$C5,0),IF(CB$4=EDATE('核心假设'!$B$5,2+$F5),SUM('融资租赁与资金缺口'!$D$5:$D$16)*$O5*$C5,0),IF(CB$4=EDATE('核心假设'!$B$5,3+$F5),SUM('融资租赁与资金缺口'!$D$5:$D$16)*$P5*$C5,0),IF(CB$4=EDATE('核心假设'!$B$5,4+$F5),SUM('融资租赁与资金缺口'!$D$5:$D$16)*$Q5*$C5,0),IF(CB$4=EDATE('核心假设'!$B$5,5+$F5),SUM('融资租赁与资金缺口'!$D$5:$D$16)*$R5*$C5,0),IF(CB$4=EDATE('核心假设'!$B$5,6+$F5),SUM('融资租赁与资金缺口'!$D$5:$D$16)*$S5*$C5,0),IF(CB$4=EDATE('核心假设'!$B$5,7+$F5),SUM('融资租赁与资金缺口'!$D$5:$D$16)*$T5*$C5,0),IF(CB$4=EDATE('核心假设'!$B$5,8+$F5),SUM('融资租赁与资金缺口'!$D$5:$D$16)*$U5*$C5,0),IF(CB$4=EDATE('核心假设'!$B$5,9+$F5),SUM('融资租赁与资金缺口'!$D$5:$D$16)*$V5*$C5,0),IF(CB$4=EDATE('核心假设'!$B$5,10+$F5),SUM('融资租赁与资金缺口'!$D$5:$D$16)*$W5*$C5,0),IF(CB$4=EDATE('核心假设'!$B$5,11+$F5),SUM('融资租赁与资金缺口'!$D$5:$D$16)*$X5*$C5,0),IF(CB$4=EDATE('核心假设'!$B$5,12+$F5),SUM('融资租赁与资金缺口'!$D$5:$D$16)*$Y5*$C5,0),IF(CB$4=EDATE('核心假设'!$B$5,13+$F5),SUM('融资租赁与资金缺口'!$D$5:$D$16)*$Z5*$C5,0),IF(CB$4=EDATE('核心假设'!$B$5,14+$F5),SUM('融资租赁与资金缺口'!$D$5:$D$16)*$AA5*$C5,0),IF(CB$4=EDATE('核心假设'!$B$5,15+$F5),SUM('融资租赁与资金缺口'!$D$5:$D$16)*$AB5*$C5,0),IF(CB$4=EDATE('核心假设'!$B$5,16+$F5),SUM('融资租赁与资金缺口'!$D$5:$D$16)*$AC5*$C5,0),IF(CB$4=EDATE('核心假设'!$B$5,17+$F5),SUM('融资租赁与资金缺口'!$D$5:$D$16)*$AD5*$C5,0))-CB9</x:f>
        <x:v>854078349.8648578</x:v>
      </x:c>
      <x:c r="CC10" s="28" t="n">
        <x:f>CB10+CC6-CC7+SUM(IF(CC$4=EDATE('核心假设'!$B$5,0+$F5),SUM('融资租赁与资金缺口'!$D$5:$D$16)*$M5*$C5,0),IF(CC$4=EDATE('核心假设'!$B$5,1+$F5),SUM('融资租赁与资金缺口'!$D$5:$D$16)*$N5*$C5,0),IF(CC$4=EDATE('核心假设'!$B$5,2+$F5),SUM('融资租赁与资金缺口'!$D$5:$D$16)*$O5*$C5,0),IF(CC$4=EDATE('核心假设'!$B$5,3+$F5),SUM('融资租赁与资金缺口'!$D$5:$D$16)*$P5*$C5,0),IF(CC$4=EDATE('核心假设'!$B$5,4+$F5),SUM('融资租赁与资金缺口'!$D$5:$D$16)*$Q5*$C5,0),IF(CC$4=EDATE('核心假设'!$B$5,5+$F5),SUM('融资租赁与资金缺口'!$D$5:$D$16)*$R5*$C5,0),IF(CC$4=EDATE('核心假设'!$B$5,6+$F5),SUM('融资租赁与资金缺口'!$D$5:$D$16)*$S5*$C5,0),IF(CC$4=EDATE('核心假设'!$B$5,7+$F5),SUM('融资租赁与资金缺口'!$D$5:$D$16)*$T5*$C5,0),IF(CC$4=EDATE('核心假设'!$B$5,8+$F5),SUM('融资租赁与资金缺口'!$D$5:$D$16)*$U5*$C5,0),IF(CC$4=EDATE('核心假设'!$B$5,9+$F5),SUM('融资租赁与资金缺口'!$D$5:$D$16)*$V5*$C5,0),IF(CC$4=EDATE('核心假设'!$B$5,10+$F5),SUM('融资租赁与资金缺口'!$D$5:$D$16)*$W5*$C5,0),IF(CC$4=EDATE('核心假设'!$B$5,11+$F5),SUM('融资租赁与资金缺口'!$D$5:$D$16)*$X5*$C5,0),IF(CC$4=EDATE('核心假设'!$B$5,12+$F5),SUM('融资租赁与资金缺口'!$D$5:$D$16)*$Y5*$C5,0),IF(CC$4=EDATE('核心假设'!$B$5,13+$F5),SUM('融资租赁与资金缺口'!$D$5:$D$16)*$Z5*$C5,0),IF(CC$4=EDATE('核心假设'!$B$5,14+$F5),SUM('融资租赁与资金缺口'!$D$5:$D$16)*$AA5*$C5,0),IF(CC$4=EDATE('核心假设'!$B$5,15+$F5),SUM('融资租赁与资金缺口'!$D$5:$D$16)*$AB5*$C5,0),IF(CC$4=EDATE('核心假设'!$B$5,16+$F5),SUM('融资租赁与资金缺口'!$D$5:$D$16)*$AC5*$C5,0),IF(CC$4=EDATE('核心假设'!$B$5,17+$F5),SUM('融资租赁与资金缺口'!$D$5:$D$16)*$AD5*$C5,0))-CC9</x:f>
        <x:v>891280572.2105472</x:v>
      </x:c>
      <x:c r="CD10" s="28" t="n">
        <x:f>CC10+CD6-CD7+SUM(IF(CD$4=EDATE('核心假设'!$B$5,0+$F5),SUM('融资租赁与资金缺口'!$D$5:$D$16)*$M5*$C5,0),IF(CD$4=EDATE('核心假设'!$B$5,1+$F5),SUM('融资租赁与资金缺口'!$D$5:$D$16)*$N5*$C5,0),IF(CD$4=EDATE('核心假设'!$B$5,2+$F5),SUM('融资租赁与资金缺口'!$D$5:$D$16)*$O5*$C5,0),IF(CD$4=EDATE('核心假设'!$B$5,3+$F5),SUM('融资租赁与资金缺口'!$D$5:$D$16)*$P5*$C5,0),IF(CD$4=EDATE('核心假设'!$B$5,4+$F5),SUM('融资租赁与资金缺口'!$D$5:$D$16)*$Q5*$C5,0),IF(CD$4=EDATE('核心假设'!$B$5,5+$F5),SUM('融资租赁与资金缺口'!$D$5:$D$16)*$R5*$C5,0),IF(CD$4=EDATE('核心假设'!$B$5,6+$F5),SUM('融资租赁与资金缺口'!$D$5:$D$16)*$S5*$C5,0),IF(CD$4=EDATE('核心假设'!$B$5,7+$F5),SUM('融资租赁与资金缺口'!$D$5:$D$16)*$T5*$C5,0),IF(CD$4=EDATE('核心假设'!$B$5,8+$F5),SUM('融资租赁与资金缺口'!$D$5:$D$16)*$U5*$C5,0),IF(CD$4=EDATE('核心假设'!$B$5,9+$F5),SUM('融资租赁与资金缺口'!$D$5:$D$16)*$V5*$C5,0),IF(CD$4=EDATE('核心假设'!$B$5,10+$F5),SUM('融资租赁与资金缺口'!$D$5:$D$16)*$W5*$C5,0),IF(CD$4=EDATE('核心假设'!$B$5,11+$F5),SUM('融资租赁与资金缺口'!$D$5:$D$16)*$X5*$C5,0),IF(CD$4=EDATE('核心假设'!$B$5,12+$F5),SUM('融资租赁与资金缺口'!$D$5:$D$16)*$Y5*$C5,0),IF(CD$4=EDATE('核心假设'!$B$5,13+$F5),SUM('融资租赁与资金缺口'!$D$5:$D$16)*$Z5*$C5,0),IF(CD$4=EDATE('核心假设'!$B$5,14+$F5),SUM('融资租赁与资金缺口'!$D$5:$D$16)*$AA5*$C5,0),IF(CD$4=EDATE('核心假设'!$B$5,15+$F5),SUM('融资租赁与资金缺口'!$D$5:$D$16)*$AB5*$C5,0),IF(CD$4=EDATE('核心假设'!$B$5,16+$F5),SUM('融资租赁与资金缺口'!$D$5:$D$16)*$AC5*$C5,0),IF(CD$4=EDATE('核心假设'!$B$5,17+$F5),SUM('融资租赁与资金缺口'!$D$5:$D$16)*$AD5*$C5,0))-CD9</x:f>
        <x:v>929231074.5502865</x:v>
      </x:c>
      <x:c r="CE10" s="28" t="n">
        <x:f>CD10+CE6-CE7+SUM(IF(CE$4=EDATE('核心假设'!$B$5,0+$F5),SUM('融资租赁与资金缺口'!$D$5:$D$16)*$M5*$C5,0),IF(CE$4=EDATE('核心假设'!$B$5,1+$F5),SUM('融资租赁与资金缺口'!$D$5:$D$16)*$N5*$C5,0),IF(CE$4=EDATE('核心假设'!$B$5,2+$F5),SUM('融资租赁与资金缺口'!$D$5:$D$16)*$O5*$C5,0),IF(CE$4=EDATE('核心假设'!$B$5,3+$F5),SUM('融资租赁与资金缺口'!$D$5:$D$16)*$P5*$C5,0),IF(CE$4=EDATE('核心假设'!$B$5,4+$F5),SUM('融资租赁与资金缺口'!$D$5:$D$16)*$Q5*$C5,0),IF(CE$4=EDATE('核心假设'!$B$5,5+$F5),SUM('融资租赁与资金缺口'!$D$5:$D$16)*$R5*$C5,0),IF(CE$4=EDATE('核心假设'!$B$5,6+$F5),SUM('融资租赁与资金缺口'!$D$5:$D$16)*$S5*$C5,0),IF(CE$4=EDATE('核心假设'!$B$5,7+$F5),SUM('融资租赁与资金缺口'!$D$5:$D$16)*$T5*$C5,0),IF(CE$4=EDATE('核心假设'!$B$5,8+$F5),SUM('融资租赁与资金缺口'!$D$5:$D$16)*$U5*$C5,0),IF(CE$4=EDATE('核心假设'!$B$5,9+$F5),SUM('融资租赁与资金缺口'!$D$5:$D$16)*$V5*$C5,0),IF(CE$4=EDATE('核心假设'!$B$5,10+$F5),SUM('融资租赁与资金缺口'!$D$5:$D$16)*$W5*$C5,0),IF(CE$4=EDATE('核心假设'!$B$5,11+$F5),SUM('融资租赁与资金缺口'!$D$5:$D$16)*$X5*$C5,0),IF(CE$4=EDATE('核心假设'!$B$5,12+$F5),SUM('融资租赁与资金缺口'!$D$5:$D$16)*$Y5*$C5,0),IF(CE$4=EDATE('核心假设'!$B$5,13+$F5),SUM('融资租赁与资金缺口'!$D$5:$D$16)*$Z5*$C5,0),IF(CE$4=EDATE('核心假设'!$B$5,14+$F5),SUM('融资租赁与资金缺口'!$D$5:$D$16)*$AA5*$C5,0),IF(CE$4=EDATE('核心假设'!$B$5,15+$F5),SUM('融资租赁与资金缺口'!$D$5:$D$16)*$AB5*$C5,0),IF(CE$4=EDATE('核心假设'!$B$5,16+$F5),SUM('融资租赁与资金缺口'!$D$5:$D$16)*$AC5*$C5,0),IF(CE$4=EDATE('核心假设'!$B$5,17+$F5),SUM('融资租赁与资金缺口'!$D$5:$D$16)*$AD5*$C5,0))-CE9</x:f>
        <x:v>971211290.5157226</x:v>
      </x:c>
      <x:c r="CF10" s="28" t="n">
        <x:f>CE10+CF6-CF7+SUM(IF(CF$4=EDATE('核心假设'!$B$5,0+$F5),SUM('融资租赁与资金缺口'!$D$5:$D$16)*$M5*$C5,0),IF(CF$4=EDATE('核心假设'!$B$5,1+$F5),SUM('融资租赁与资金缺口'!$D$5:$D$16)*$N5*$C5,0),IF(CF$4=EDATE('核心假设'!$B$5,2+$F5),SUM('融资租赁与资金缺口'!$D$5:$D$16)*$O5*$C5,0),IF(CF$4=EDATE('核心假设'!$B$5,3+$F5),SUM('融资租赁与资金缺口'!$D$5:$D$16)*$P5*$C5,0),IF(CF$4=EDATE('核心假设'!$B$5,4+$F5),SUM('融资租赁与资金缺口'!$D$5:$D$16)*$Q5*$C5,0),IF(CF$4=EDATE('核心假设'!$B$5,5+$F5),SUM('融资租赁与资金缺口'!$D$5:$D$16)*$R5*$C5,0),IF(CF$4=EDATE('核心假设'!$B$5,6+$F5),SUM('融资租赁与资金缺口'!$D$5:$D$16)*$S5*$C5,0),IF(CF$4=EDATE('核心假设'!$B$5,7+$F5),SUM('融资租赁与资金缺口'!$D$5:$D$16)*$T5*$C5,0),IF(CF$4=EDATE('核心假设'!$B$5,8+$F5),SUM('融资租赁与资金缺口'!$D$5:$D$16)*$U5*$C5,0),IF(CF$4=EDATE('核心假设'!$B$5,9+$F5),SUM('融资租赁与资金缺口'!$D$5:$D$16)*$V5*$C5,0),IF(CF$4=EDATE('核心假设'!$B$5,10+$F5),SUM('融资租赁与资金缺口'!$D$5:$D$16)*$W5*$C5,0),IF(CF$4=EDATE('核心假设'!$B$5,11+$F5),SUM('融资租赁与资金缺口'!$D$5:$D$16)*$X5*$C5,0),IF(CF$4=EDATE('核心假设'!$B$5,12+$F5),SUM('融资租赁与资金缺口'!$D$5:$D$16)*$Y5*$C5,0),IF(CF$4=EDATE('核心假设'!$B$5,13+$F5),SUM('融资租赁与资金缺口'!$D$5:$D$16)*$Z5*$C5,0),IF(CF$4=EDATE('核心假设'!$B$5,14+$F5),SUM('融资租赁与资金缺口'!$D$5:$D$16)*$AA5*$C5,0),IF(CF$4=EDATE('核心假设'!$B$5,15+$F5),SUM('融资租赁与资金缺口'!$D$5:$D$16)*$AB5*$C5,0),IF(CF$4=EDATE('核心假设'!$B$5,16+$F5),SUM('融资租赁与资金缺口'!$D$5:$D$16)*$AC5*$C5,0),IF(CF$4=EDATE('核心假设'!$B$5,17+$F5),SUM('融资租赁与资金缺口'!$D$5:$D$16)*$AD5*$C5,0))-CF9</x:f>
        <x:v>1009519042.9546478</x:v>
      </x:c>
      <x:c r="CG10" s="28" t="n">
        <x:f>CF10+CG6-CG7+SUM(IF(CG$4=EDATE('核心假设'!$B$5,0+$F5),SUM('融资租赁与资金缺口'!$D$5:$D$16)*$M5*$C5,0),IF(CG$4=EDATE('核心假设'!$B$5,1+$F5),SUM('融资租赁与资金缺口'!$D$5:$D$16)*$N5*$C5,0),IF(CG$4=EDATE('核心假设'!$B$5,2+$F5),SUM('融资租赁与资金缺口'!$D$5:$D$16)*$O5*$C5,0),IF(CG$4=EDATE('核心假设'!$B$5,3+$F5),SUM('融资租赁与资金缺口'!$D$5:$D$16)*$P5*$C5,0),IF(CG$4=EDATE('核心假设'!$B$5,4+$F5),SUM('融资租赁与资金缺口'!$D$5:$D$16)*$Q5*$C5,0),IF(CG$4=EDATE('核心假设'!$B$5,5+$F5),SUM('融资租赁与资金缺口'!$D$5:$D$16)*$R5*$C5,0),IF(CG$4=EDATE('核心假设'!$B$5,6+$F5),SUM('融资租赁与资金缺口'!$D$5:$D$16)*$S5*$C5,0),IF(CG$4=EDATE('核心假设'!$B$5,7+$F5),SUM('融资租赁与资金缺口'!$D$5:$D$16)*$T5*$C5,0),IF(CG$4=EDATE('核心假设'!$B$5,8+$F5),SUM('融资租赁与资金缺口'!$D$5:$D$16)*$U5*$C5,0),IF(CG$4=EDATE('核心假设'!$B$5,9+$F5),SUM('融资租赁与资金缺口'!$D$5:$D$16)*$V5*$C5,0),IF(CG$4=EDATE('核心假设'!$B$5,10+$F5),SUM('融资租赁与资金缺口'!$D$5:$D$16)*$W5*$C5,0),IF(CG$4=EDATE('核心假设'!$B$5,11+$F5),SUM('融资租赁与资金缺口'!$D$5:$D$16)*$X5*$C5,0),IF(CG$4=EDATE('核心假设'!$B$5,12+$F5),SUM('融资租赁与资金缺口'!$D$5:$D$16)*$Y5*$C5,0),IF(CG$4=EDATE('核心假设'!$B$5,13+$F5),SUM('融资租赁与资金缺口'!$D$5:$D$16)*$Z5*$C5,0),IF(CG$4=EDATE('核心假设'!$B$5,14+$F5),SUM('融资租赁与资金缺口'!$D$5:$D$16)*$AA5*$C5,0),IF(CG$4=EDATE('核心假设'!$B$5,15+$F5),SUM('融资租赁与资金缺口'!$D$5:$D$16)*$AB5*$C5,0),IF(CG$4=EDATE('核心假设'!$B$5,16+$F5),SUM('融资租赁与资金缺口'!$D$5:$D$16)*$AC5*$C5,0),IF(CG$4=EDATE('核心假设'!$B$5,17+$F5),SUM('融资租赁与资金缺口'!$D$5:$D$16)*$AD5*$C5,0))-CG9</x:f>
        <x:v>1040853456.0712501</x:v>
      </x:c>
      <x:c r="CH10" s="28" t="n">
        <x:f>CG10+CH6-CH7+SUM(IF(CH$4=EDATE('核心假设'!$B$5,0+$F5),SUM('融资租赁与资金缺口'!$D$5:$D$16)*$M5*$C5,0),IF(CH$4=EDATE('核心假设'!$B$5,1+$F5),SUM('融资租赁与资金缺口'!$D$5:$D$16)*$N5*$C5,0),IF(CH$4=EDATE('核心假设'!$B$5,2+$F5),SUM('融资租赁与资金缺口'!$D$5:$D$16)*$O5*$C5,0),IF(CH$4=EDATE('核心假设'!$B$5,3+$F5),SUM('融资租赁与资金缺口'!$D$5:$D$16)*$P5*$C5,0),IF(CH$4=EDATE('核心假设'!$B$5,4+$F5),SUM('融资租赁与资金缺口'!$D$5:$D$16)*$Q5*$C5,0),IF(CH$4=EDATE('核心假设'!$B$5,5+$F5),SUM('融资租赁与资金缺口'!$D$5:$D$16)*$R5*$C5,0),IF(CH$4=EDATE('核心假设'!$B$5,6+$F5),SUM('融资租赁与资金缺口'!$D$5:$D$16)*$S5*$C5,0),IF(CH$4=EDATE('核心假设'!$B$5,7+$F5),SUM('融资租赁与资金缺口'!$D$5:$D$16)*$T5*$C5,0),IF(CH$4=EDATE('核心假设'!$B$5,8+$F5),SUM('融资租赁与资金缺口'!$D$5:$D$16)*$U5*$C5,0),IF(CH$4=EDATE('核心假设'!$B$5,9+$F5),SUM('融资租赁与资金缺口'!$D$5:$D$16)*$V5*$C5,0),IF(CH$4=EDATE('核心假设'!$B$5,10+$F5),SUM('融资租赁与资金缺口'!$D$5:$D$16)*$W5*$C5,0),IF(CH$4=EDATE('核心假设'!$B$5,11+$F5),SUM('融资租赁与资金缺口'!$D$5:$D$16)*$X5*$C5,0),IF(CH$4=EDATE('核心假设'!$B$5,12+$F5),SUM('融资租赁与资金缺口'!$D$5:$D$16)*$Y5*$C5,0),IF(CH$4=EDATE('核心假设'!$B$5,13+$F5),SUM('融资租赁与资金缺口'!$D$5:$D$16)*$Z5*$C5,0),IF(CH$4=EDATE('核心假设'!$B$5,14+$F5),SUM('融资租赁与资金缺口'!$D$5:$D$16)*$AA5*$C5,0),IF(CH$4=EDATE('核心假设'!$B$5,15+$F5),SUM('融资租赁与资金缺口'!$D$5:$D$16)*$AB5*$C5,0),IF(CH$4=EDATE('核心假设'!$B$5,16+$F5),SUM('融资租赁与资金缺口'!$D$5:$D$16)*$AC5*$C5,0),IF(CH$4=EDATE('核心假设'!$B$5,17+$F5),SUM('融资租赁与资金缺口'!$D$5:$D$16)*$AD5*$C5,0))-CH9</x:f>
        <x:v>1073896035.3381338</x:v>
      </x:c>
      <x:c r="CI10" s="28" t="n">
        <x:f>CH10+CI6-CI7+SUM(IF(CI$4=EDATE('核心假设'!$B$5,0+$F5),SUM('融资租赁与资金缺口'!$D$5:$D$16)*$M5*$C5,0),IF(CI$4=EDATE('核心假设'!$B$5,1+$F5),SUM('融资租赁与资金缺口'!$D$5:$D$16)*$N5*$C5,0),IF(CI$4=EDATE('核心假设'!$B$5,2+$F5),SUM('融资租赁与资金缺口'!$D$5:$D$16)*$O5*$C5,0),IF(CI$4=EDATE('核心假设'!$B$5,3+$F5),SUM('融资租赁与资金缺口'!$D$5:$D$16)*$P5*$C5,0),IF(CI$4=EDATE('核心假设'!$B$5,4+$F5),SUM('融资租赁与资金缺口'!$D$5:$D$16)*$Q5*$C5,0),IF(CI$4=EDATE('核心假设'!$B$5,5+$F5),SUM('融资租赁与资金缺口'!$D$5:$D$16)*$R5*$C5,0),IF(CI$4=EDATE('核心假设'!$B$5,6+$F5),SUM('融资租赁与资金缺口'!$D$5:$D$16)*$S5*$C5,0),IF(CI$4=EDATE('核心假设'!$B$5,7+$F5),SUM('融资租赁与资金缺口'!$D$5:$D$16)*$T5*$C5,0),IF(CI$4=EDATE('核心假设'!$B$5,8+$F5),SUM('融资租赁与资金缺口'!$D$5:$D$16)*$U5*$C5,0),IF(CI$4=EDATE('核心假设'!$B$5,9+$F5),SUM('融资租赁与资金缺口'!$D$5:$D$16)*$V5*$C5,0),IF(CI$4=EDATE('核心假设'!$B$5,10+$F5),SUM('融资租赁与资金缺口'!$D$5:$D$16)*$W5*$C5,0),IF(CI$4=EDATE('核心假设'!$B$5,11+$F5),SUM('融资租赁与资金缺口'!$D$5:$D$16)*$X5*$C5,0),IF(CI$4=EDATE('核心假设'!$B$5,12+$F5),SUM('融资租赁与资金缺口'!$D$5:$D$16)*$Y5*$C5,0),IF(CI$4=EDATE('核心假设'!$B$5,13+$F5),SUM('融资租赁与资金缺口'!$D$5:$D$16)*$Z5*$C5,0),IF(CI$4=EDATE('核心假设'!$B$5,14+$F5),SUM('融资租赁与资金缺口'!$D$5:$D$16)*$AA5*$C5,0),IF(CI$4=EDATE('核心假设'!$B$5,15+$F5),SUM('融资租赁与资金缺口'!$D$5:$D$16)*$AB5*$C5,0),IF(CI$4=EDATE('核心假设'!$B$5,16+$F5),SUM('融资租赁与资金缺口'!$D$5:$D$16)*$AC5*$C5,0),IF(CI$4=EDATE('核心假设'!$B$5,17+$F5),SUM('融资租赁与资金缺口'!$D$5:$D$16)*$AD5*$C5,0))-CI9</x:f>
        <x:v>1107365141.7126615</x:v>
      </x:c>
      <x:c r="CJ10" s="28" t="n">
        <x:f>CI10+CJ6-CJ7+SUM(IF(CJ$4=EDATE('核心假设'!$B$5,0+$F5),SUM('融资租赁与资金缺口'!$D$5:$D$16)*$M5*$C5,0),IF(CJ$4=EDATE('核心假设'!$B$5,1+$F5),SUM('融资租赁与资金缺口'!$D$5:$D$16)*$N5*$C5,0),IF(CJ$4=EDATE('核心假设'!$B$5,2+$F5),SUM('融资租赁与资金缺口'!$D$5:$D$16)*$O5*$C5,0),IF(CJ$4=EDATE('核心假设'!$B$5,3+$F5),SUM('融资租赁与资金缺口'!$D$5:$D$16)*$P5*$C5,0),IF(CJ$4=EDATE('核心假设'!$B$5,4+$F5),SUM('融资租赁与资金缺口'!$D$5:$D$16)*$Q5*$C5,0),IF(CJ$4=EDATE('核心假设'!$B$5,5+$F5),SUM('融资租赁与资金缺口'!$D$5:$D$16)*$R5*$C5,0),IF(CJ$4=EDATE('核心假设'!$B$5,6+$F5),SUM('融资租赁与资金缺口'!$D$5:$D$16)*$S5*$C5,0),IF(CJ$4=EDATE('核心假设'!$B$5,7+$F5),SUM('融资租赁与资金缺口'!$D$5:$D$16)*$T5*$C5,0),IF(CJ$4=EDATE('核心假设'!$B$5,8+$F5),SUM('融资租赁与资金缺口'!$D$5:$D$16)*$U5*$C5,0),IF(CJ$4=EDATE('核心假设'!$B$5,9+$F5),SUM('融资租赁与资金缺口'!$D$5:$D$16)*$V5*$C5,0),IF(CJ$4=EDATE('核心假设'!$B$5,10+$F5),SUM('融资租赁与资金缺口'!$D$5:$D$16)*$W5*$C5,0),IF(CJ$4=EDATE('核心假设'!$B$5,11+$F5),SUM('融资租赁与资金缺口'!$D$5:$D$16)*$X5*$C5,0),IF(CJ$4=EDATE('核心假设'!$B$5,12+$F5),SUM('融资租赁与资金缺口'!$D$5:$D$16)*$Y5*$C5,0),IF(CJ$4=EDATE('核心假设'!$B$5,13+$F5),SUM('融资租赁与资金缺口'!$D$5:$D$16)*$Z5*$C5,0),IF(CJ$4=EDATE('核心假设'!$B$5,14+$F5),SUM('融资租赁与资金缺口'!$D$5:$D$16)*$AA5*$C5,0),IF(CJ$4=EDATE('核心假设'!$B$5,15+$F5),SUM('融资租赁与资金缺口'!$D$5:$D$16)*$AB5*$C5,0),IF(CJ$4=EDATE('核心假设'!$B$5,16+$F5),SUM('融资租赁与资金缺口'!$D$5:$D$16)*$AC5*$C5,0),IF(CJ$4=EDATE('核心假设'!$B$5,17+$F5),SUM('融资租赁与资金缺口'!$D$5:$D$16)*$AD5*$C5,0))-CJ9</x:f>
        <x:v>1141716140.2999485</x:v>
      </x:c>
      <x:c r="CK10" s="28" t="n">
        <x:f>CJ10+CK6-CK7+SUM(IF(CK$4=EDATE('核心假设'!$B$5,0+$F5),SUM('融资租赁与资金缺口'!$D$5:$D$16)*$M5*$C5,0),IF(CK$4=EDATE('核心假设'!$B$5,1+$F5),SUM('融资租赁与资金缺口'!$D$5:$D$16)*$N5*$C5,0),IF(CK$4=EDATE('核心假设'!$B$5,2+$F5),SUM('融资租赁与资金缺口'!$D$5:$D$16)*$O5*$C5,0),IF(CK$4=EDATE('核心假设'!$B$5,3+$F5),SUM('融资租赁与资金缺口'!$D$5:$D$16)*$P5*$C5,0),IF(CK$4=EDATE('核心假设'!$B$5,4+$F5),SUM('融资租赁与资金缺口'!$D$5:$D$16)*$Q5*$C5,0),IF(CK$4=EDATE('核心假设'!$B$5,5+$F5),SUM('融资租赁与资金缺口'!$D$5:$D$16)*$R5*$C5,0),IF(CK$4=EDATE('核心假设'!$B$5,6+$F5),SUM('融资租赁与资金缺口'!$D$5:$D$16)*$S5*$C5,0),IF(CK$4=EDATE('核心假设'!$B$5,7+$F5),SUM('融资租赁与资金缺口'!$D$5:$D$16)*$T5*$C5,0),IF(CK$4=EDATE('核心假设'!$B$5,8+$F5),SUM('融资租赁与资金缺口'!$D$5:$D$16)*$U5*$C5,0),IF(CK$4=EDATE('核心假设'!$B$5,9+$F5),SUM('融资租赁与资金缺口'!$D$5:$D$16)*$V5*$C5,0),IF(CK$4=EDATE('核心假设'!$B$5,10+$F5),SUM('融资租赁与资金缺口'!$D$5:$D$16)*$W5*$C5,0),IF(CK$4=EDATE('核心假设'!$B$5,11+$F5),SUM('融资租赁与资金缺口'!$D$5:$D$16)*$X5*$C5,0),IF(CK$4=EDATE('核心假设'!$B$5,12+$F5),SUM('融资租赁与资金缺口'!$D$5:$D$16)*$Y5*$C5,0),IF(CK$4=EDATE('核心假设'!$B$5,13+$F5),SUM('融资租赁与资金缺口'!$D$5:$D$16)*$Z5*$C5,0),IF(CK$4=EDATE('核心假设'!$B$5,14+$F5),SUM('融资租赁与资金缺口'!$D$5:$D$16)*$AA5*$C5,0),IF(CK$4=EDATE('核心假设'!$B$5,15+$F5),SUM('融资租赁与资金缺口'!$D$5:$D$16)*$AB5*$C5,0),IF(CK$4=EDATE('核心假设'!$B$5,16+$F5),SUM('融资租赁与资金缺口'!$D$5:$D$16)*$AC5*$C5,0),IF(CK$4=EDATE('核心假设'!$B$5,17+$F5),SUM('融资租赁与资金缺口'!$D$5:$D$16)*$AD5*$C5,0))-CK9</x:f>
        <x:v>1178662992.9910336</x:v>
      </x:c>
      <x:c r="CL10" s="28" t="n">
        <x:f>CK10+CL6-CL7+SUM(IF(CL$4=EDATE('核心假设'!$B$5,0+$F5),SUM('融资租赁与资金缺口'!$D$5:$D$16)*$M5*$C5,0),IF(CL$4=EDATE('核心假设'!$B$5,1+$F5),SUM('融资租赁与资金缺口'!$D$5:$D$16)*$N5*$C5,0),IF(CL$4=EDATE('核心假设'!$B$5,2+$F5),SUM('融资租赁与资金缺口'!$D$5:$D$16)*$O5*$C5,0),IF(CL$4=EDATE('核心假设'!$B$5,3+$F5),SUM('融资租赁与资金缺口'!$D$5:$D$16)*$P5*$C5,0),IF(CL$4=EDATE('核心假设'!$B$5,4+$F5),SUM('融资租赁与资金缺口'!$D$5:$D$16)*$Q5*$C5,0),IF(CL$4=EDATE('核心假设'!$B$5,5+$F5),SUM('融资租赁与资金缺口'!$D$5:$D$16)*$R5*$C5,0),IF(CL$4=EDATE('核心假设'!$B$5,6+$F5),SUM('融资租赁与资金缺口'!$D$5:$D$16)*$S5*$C5,0),IF(CL$4=EDATE('核心假设'!$B$5,7+$F5),SUM('融资租赁与资金缺口'!$D$5:$D$16)*$T5*$C5,0),IF(CL$4=EDATE('核心假设'!$B$5,8+$F5),SUM('融资租赁与资金缺口'!$D$5:$D$16)*$U5*$C5,0),IF(CL$4=EDATE('核心假设'!$B$5,9+$F5),SUM('融资租赁与资金缺口'!$D$5:$D$16)*$V5*$C5,0),IF(CL$4=EDATE('核心假设'!$B$5,10+$F5),SUM('融资租赁与资金缺口'!$D$5:$D$16)*$W5*$C5,0),IF(CL$4=EDATE('核心假设'!$B$5,11+$F5),SUM('融资租赁与资金缺口'!$D$5:$D$16)*$X5*$C5,0),IF(CL$4=EDATE('核心假设'!$B$5,12+$F5),SUM('融资租赁与资金缺口'!$D$5:$D$16)*$Y5*$C5,0),IF(CL$4=EDATE('核心假设'!$B$5,13+$F5),SUM('融资租赁与资金缺口'!$D$5:$D$16)*$Z5*$C5,0),IF(CL$4=EDATE('核心假设'!$B$5,14+$F5),SUM('融资租赁与资金缺口'!$D$5:$D$16)*$AA5*$C5,0),IF(CL$4=EDATE('核心假设'!$B$5,15+$F5),SUM('融资租赁与资金缺口'!$D$5:$D$16)*$AB5*$C5,0),IF(CL$4=EDATE('核心假设'!$B$5,16+$F5),SUM('融资租赁与资金缺口'!$D$5:$D$16)*$AC5*$C5,0),IF(CL$4=EDATE('核心假设'!$B$5,17+$F5),SUM('融资租赁与资金缺口'!$D$5:$D$16)*$AD5*$C5,0))-CL9</x:f>
        <x:v>1218230033.273984</x:v>
      </x:c>
      <x:c r="CM10" s="28" t="n">
        <x:f>CL10+CM6-CM7+SUM(IF(CM$4=EDATE('核心假设'!$B$5,0+$F5),SUM('融资租赁与资金缺口'!$D$5:$D$16)*$M5*$C5,0),IF(CM$4=EDATE('核心假设'!$B$5,1+$F5),SUM('融资租赁与资金缺口'!$D$5:$D$16)*$N5*$C5,0),IF(CM$4=EDATE('核心假设'!$B$5,2+$F5),SUM('融资租赁与资金缺口'!$D$5:$D$16)*$O5*$C5,0),IF(CM$4=EDATE('核心假设'!$B$5,3+$F5),SUM('融资租赁与资金缺口'!$D$5:$D$16)*$P5*$C5,0),IF(CM$4=EDATE('核心假设'!$B$5,4+$F5),SUM('融资租赁与资金缺口'!$D$5:$D$16)*$Q5*$C5,0),IF(CM$4=EDATE('核心假设'!$B$5,5+$F5),SUM('融资租赁与资金缺口'!$D$5:$D$16)*$R5*$C5,0),IF(CM$4=EDATE('核心假设'!$B$5,6+$F5),SUM('融资租赁与资金缺口'!$D$5:$D$16)*$S5*$C5,0),IF(CM$4=EDATE('核心假设'!$B$5,7+$F5),SUM('融资租赁与资金缺口'!$D$5:$D$16)*$T5*$C5,0),IF(CM$4=EDATE('核心假设'!$B$5,8+$F5),SUM('融资租赁与资金缺口'!$D$5:$D$16)*$U5*$C5,0),IF(CM$4=EDATE('核心假设'!$B$5,9+$F5),SUM('融资租赁与资金缺口'!$D$5:$D$16)*$V5*$C5,0),IF(CM$4=EDATE('核心假设'!$B$5,10+$F5),SUM('融资租赁与资金缺口'!$D$5:$D$16)*$W5*$C5,0),IF(CM$4=EDATE('核心假设'!$B$5,11+$F5),SUM('融资租赁与资金缺口'!$D$5:$D$16)*$X5*$C5,0),IF(CM$4=EDATE('核心假设'!$B$5,12+$F5),SUM('融资租赁与资金缺口'!$D$5:$D$16)*$Y5*$C5,0),IF(CM$4=EDATE('核心假设'!$B$5,13+$F5),SUM('融资租赁与资金缺口'!$D$5:$D$16)*$Z5*$C5,0),IF(CM$4=EDATE('核心假设'!$B$5,14+$F5),SUM('融资租赁与资金缺口'!$D$5:$D$16)*$AA5*$C5,0),IF(CM$4=EDATE('核心假设'!$B$5,15+$F5),SUM('融资租赁与资金缺口'!$D$5:$D$16)*$AB5*$C5,0),IF(CM$4=EDATE('核心假设'!$B$5,16+$F5),SUM('融资租赁与资金缺口'!$D$5:$D$16)*$AC5*$C5,0),IF(CM$4=EDATE('核心假设'!$B$5,17+$F5),SUM('融资租赁与资金缺口'!$D$5:$D$16)*$AD5*$C5,0))-CM9</x:f>
        <x:v>1259175470.5750988</x:v>
      </x:c>
    </x:row>
    <x:row r="11">
      <x:c r="A11"/>
      <x:c r="B11"/>
      <x:c r="C11"/>
      <x:c r="D11"/>
      <x:c r="E11"/>
      <x:c r="F11"/>
      <x:c r="G11"/>
      <x:c r="H11"/>
      <x:c r="AE11" t="str">
        <x:v>保守收入服务费</x:v>
      </x:c>
      <x:c r="AF11" s="28" t="n">
        <x:f>('核心假设'!$B$6*$M6*INDEX('核心假设'!$B$60:$G$60,1,1))*$B6*DAY(EOMONTH(AF$4,0))*INDEX('年度季节曲线'!$H$6:$H$17,MONTH(AF$4))</x:f>
        <x:v>764560.0346815326</x:v>
      </x:c>
      <x:c r="AG11" s="28" t="n">
        <x:f>('核心假设'!$B$6*$M6*INDEX('核心假设'!$B$60:$G$60,1,2)+'核心假设'!$B$6*$N6*INDEX('核心假设'!$B$60:$G$60,1,1))*$B6*DAY(EOMONTH(AG$4,0))*INDEX('年度季节曲线'!$H$6:$H$17,MONTH(AG$4))</x:f>
        <x:v>1822909.3419490247</x:v>
      </x:c>
      <x:c r="AH11" s="28" t="n">
        <x:f>('核心假设'!$B$6*$M6*INDEX('核心假设'!$B$60:$G$60,1,3)+'核心假设'!$B$6*$N6*INDEX('核心假设'!$B$60:$G$60,1,2)+'核心假设'!$B$6*$O6*INDEX('核心假设'!$B$60:$G$60,1,1))*$B6*DAY(EOMONTH(AH$4,0))*INDEX('年度季节曲线'!$H$6:$H$17,MONTH(AH$4))</x:f>
        <x:v>3276394.1720950967</x:v>
      </x:c>
      <x:c r="AI11" s="28" t="n">
        <x:f>('核心假设'!$B$6*$M6*INDEX('核心假设'!$B$60:$G$60,1,4)+'核心假设'!$B$6*$N6*INDEX('核心假设'!$B$60:$G$60,1,3)+'核心假设'!$B$6*$O6*INDEX('核心假设'!$B$60:$G$60,1,2)+'核心假设'!$B$6*$P6*INDEX('核心假设'!$B$60:$G$60,1,1))*$B6*DAY(EOMONTH(AI$4,0))*INDEX('年度季节曲线'!$H$6:$H$17,MONTH(AI$4))</x:f>
        <x:v>5527396.457533043</x:v>
      </x:c>
      <x:c r="AJ11" s="28" t="n">
        <x:f>('核心假设'!$B$6*$M6*INDEX('核心假设'!$B$60:$G$60,1,5)+'核心假设'!$B$6*$N6*INDEX('核心假设'!$B$60:$G$60,1,4)+'核心假设'!$B$6*$O6*INDEX('核心假设'!$B$60:$G$60,1,3)+'核心假设'!$B$6*$P6*INDEX('核心假设'!$B$60:$G$60,1,2)+'核心假设'!$B$6*$Q6*INDEX('核心假设'!$B$60:$G$60,1,1))*$B6*DAY(EOMONTH(AJ$4,0))*INDEX('年度季节曲线'!$H$6:$H$17,MONTH(AJ$4))</x:f>
        <x:v>7079274.38667911</x:v>
      </x:c>
      <x:c r="AK11" s="28" t="n">
        <x:f>('核心假设'!$B$6*$M6*INDEX('核心假设'!$B$60:$G$60,1,6)+'核心假设'!$B$6*$N6*INDEX('核心假设'!$B$60:$G$60,1,5)+'核心假设'!$B$6*$O6*INDEX('核心假设'!$B$60:$G$60,1,4)+'核心假设'!$B$6*$P6*INDEX('核心假设'!$B$60:$G$60,1,3)+'核心假设'!$B$6*$Q6*INDEX('核心假设'!$B$60:$G$60,1,2)+'核心假设'!$B$6*$R6*INDEX('核心假设'!$B$60:$G$60,1,1))*$B6*DAY(EOMONTH(AK$4,0))*INDEX('年度季节曲线'!$H$6:$H$17,MONTH(AK$4))</x:f>
        <x:v>7689466.864410139</x:v>
      </x:c>
      <x:c r="AL11" s="28" t="n">
        <x:f>('核心假设'!$B$6*$M6*INDEX('核心假设'!$B$60:$G$60,1,6)+'核心假设'!$B$6*$N6*INDEX('核心假设'!$B$60:$G$60,1,6)+'核心假设'!$B$6*$O6*INDEX('核心假设'!$B$60:$G$60,1,5)+'核心假设'!$B$6*$P6*INDEX('核心假设'!$B$60:$G$60,1,4)+'核心假设'!$B$6*$Q6*INDEX('核心假设'!$B$60:$G$60,1,3)+'核心假设'!$B$6*$R6*INDEX('核心假设'!$B$60:$G$60,1,2)+'核心假设'!$B$6*$S6*INDEX('核心假设'!$B$60:$G$60,1,1))*$B6*DAY(EOMONTH(AL$4,0))*INDEX('年度季节曲线'!$H$6:$H$17,MONTH(AL$4))</x:f>
        <x:v>10331315.650870588</x:v>
      </x:c>
      <x:c r="AM11" s="28" t="n">
        <x:f>('核心假设'!$B$6*$M6*INDEX('核心假设'!$B$60:$G$60,1,6)+'核心假设'!$B$6*$N6*INDEX('核心假设'!$B$60:$G$60,1,6)+'核心假设'!$B$6*$O6*INDEX('核心假设'!$B$60:$G$60,1,6)+'核心假设'!$B$6*$P6*INDEX('核心假设'!$B$60:$G$60,1,5)+'核心假设'!$B$6*$Q6*INDEX('核心假设'!$B$60:$G$60,1,4)+'核心假设'!$B$6*$R6*INDEX('核心假设'!$B$60:$G$60,1,3)+'核心假设'!$B$6*$S6*INDEX('核心假设'!$B$60:$G$60,1,2)+'核心假设'!$B$6*$T6*INDEX('核心假设'!$B$60:$G$60,1,1))*$B6*DAY(EOMONTH(AM$4,0))*INDEX('年度季节曲线'!$H$6:$H$17,MONTH(AM$4))</x:f>
        <x:v>12805283.238980655</x:v>
      </x:c>
      <x:c r="AN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$60,1,5)+'核心假设'!$B$6*$R6*INDEX('核心假设'!$B$60:$G$60,1,4)+'核心假设'!$B$6*$S6*INDEX('核心假设'!$B$60:$G$60,1,3)+'核心假设'!$B$6*$T6*INDEX('核心假设'!$B$60:$G$60,1,2)+'核心假设'!$B$6*$U6*INDEX('核心假设'!$B$60:$G$60,1,1))*$B6*DAY(EOMONTH(AN$4,0))*INDEX('年度季节曲线'!$H$6:$H$17,MONTH(AN$4))</x:f>
        <x:v>15464823.356250154</x:v>
      </x:c>
      <x:c r="AO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$60,1,5)+'核心假设'!$B$6*$S6*INDEX('核心假设'!$B$60:$G$60,1,4)+'核心假设'!$B$6*$T6*INDEX('核心假设'!$B$60:$G$60,1,3)+'核心假设'!$B$6*$U6*INDEX('核心假设'!$B$60:$G$60,1,2)+'核心假设'!$B$6*$V6*INDEX('核心假设'!$B$60:$G$60,1,1))*$B6*DAY(EOMONTH(AO$4,0))*INDEX('年度季节曲线'!$H$6:$H$17,MONTH(AO$4))</x:f>
        <x:v>18983297.5677264</x:v>
      </x:c>
      <x:c r="AP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$60,1,5)+'核心假设'!$B$6*$T6*INDEX('核心假设'!$B$60:$G$60,1,4)+'核心假设'!$B$6*$U6*INDEX('核心假设'!$B$60:$G$60,1,3)+'核心假设'!$B$6*$V6*INDEX('核心假设'!$B$60:$G$60,1,2)+'核心假设'!$B$6*$W6*INDEX('核心假设'!$B$60:$G$60,1,1))*$B6*DAY(EOMONTH(AP$4,0))*INDEX('年度季节曲线'!$H$6:$H$17,MONTH(AP$4))</x:f>
        <x:v>22642903.80503808</x:v>
      </x:c>
      <x:c r="AQ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$60,1,5)+'核心假设'!$B$6*$U6*INDEX('核心假设'!$B$60:$G$60,1,4)+'核心假设'!$B$6*$V6*INDEX('核心假设'!$B$60:$G$60,1,3)+'核心假设'!$B$6*$W6*INDEX('核心假设'!$B$60:$G$60,1,2)+'核心假设'!$B$6*$X6*INDEX('核心假设'!$B$60:$G$60,1,1))*$B6*DAY(EOMONTH(AQ$4,0))*INDEX('年度季节曲线'!$H$6:$H$17,MONTH(AQ$4))</x:f>
        <x:v>25418933.709712982</x:v>
      </x:c>
      <x:c r="AR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$60,1,5)+'核心假设'!$B$6*$V6*INDEX('核心假设'!$B$60:$G$60,1,4)+'核心假设'!$B$6*$W6*INDEX('核心假设'!$B$60:$G$60,1,3)+'核心假设'!$B$6*$X6*INDEX('核心假设'!$B$60:$G$60,1,2)+'核心假设'!$B$6*$Y6*INDEX('核心假设'!$B$60:$G$60,1,1))*$B6*DAY(EOMONTH(AR$4,0))*INDEX('年度季节曲线'!$H$6:$H$17,MONTH(AR$4))</x:f>
        <x:v>24537280.046379317</x:v>
      </x:c>
      <x:c r="AS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$60,1,5)+'核心假设'!$B$6*$W6*INDEX('核心假设'!$B$60:$G$60,1,4)+'核心假设'!$B$6*$X6*INDEX('核心假设'!$B$60:$G$60,1,3)+'核心假设'!$B$6*$Y6*INDEX('核心假设'!$B$60:$G$60,1,2)+'核心假设'!$B$6*$Z6*INDEX('核心假设'!$B$60:$G$60,1,1))*$B6*DAY(EOMONTH(AS$4,0))*INDEX('年度季节曲线'!$H$6:$H$17,MONTH(AS$4))</x:f>
        <x:v>24352580.719180238</x:v>
      </x:c>
      <x:c r="AT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$60,1,5)+'核心假设'!$B$6*$X6*INDEX('核心假设'!$B$60:$G$60,1,4)+'核心假设'!$B$6*$Y6*INDEX('核心假设'!$B$60:$G$60,1,3)+'核心假设'!$B$6*$Z6*INDEX('核心假设'!$B$60:$G$60,1,2)+'核心假设'!$B$6*$AA6*INDEX('核心假设'!$B$60:$G$60,1,1))*$B6*DAY(EOMONTH(AT$4,0))*INDEX('年度季节曲线'!$H$6:$H$17,MONTH(AT$4))</x:f>
        <x:v>25118178.641359165</x:v>
      </x:c>
      <x:c r="AU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$60,1,5)+'核心假设'!$B$6*$Y6*INDEX('核心假设'!$B$60:$G$60,1,4)+'核心假设'!$B$6*$Z6*INDEX('核心假设'!$B$60:$G$60,1,3)+'核心假设'!$B$6*$AA6*INDEX('核心假设'!$B$60:$G$60,1,2)+'核心假设'!$B$6*$AB6*INDEX('核心假设'!$B$60:$G$60,1,1))*$B6*DAY(EOMONTH(AU$4,0))*INDEX('年度季节曲线'!$H$6:$H$17,MONTH(AU$4))</x:f>
        <x:v>27936441.234984726</x:v>
      </x:c>
      <x:c r="AV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$60,1,5)+'核心假设'!$B$6*$Z6*INDEX('核心假设'!$B$60:$G$60,1,4)+'核心假设'!$B$6*$AA6*INDEX('核心假设'!$B$60:$G$60,1,3)+'核心假设'!$B$6*$AB6*INDEX('核心假设'!$B$60:$G$60,1,2)+'核心假设'!$B$6*$AC6*INDEX('核心假设'!$B$60:$G$60,1,1))*$B6*DAY(EOMONTH(AV$4,0))*INDEX('年度季节曲线'!$H$6:$H$17,MONTH(AV$4))</x:f>
        <x:v>25538507.88845278</x:v>
      </x:c>
      <x:c r="AW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$60,1,5)+'核心假设'!$B$6*$AA6*INDEX('核心假设'!$B$60:$G$60,1,4)+'核心假设'!$B$6*$AB6*INDEX('核心假设'!$B$60:$G$60,1,3)+'核心假设'!$B$6*$AC6*INDEX('核心假设'!$B$60:$G$60,1,2)+'核心假设'!$B$6*$AD6*INDEX('核心假设'!$B$60:$G$60,1,1))*$B6*DAY(EOMONTH(AW$4,0))*INDEX('年度季节曲线'!$H$6:$H$17,MONTH(AW$4))</x:f>
        <x:v>21635671.505015526</x:v>
      </x:c>
      <x:c r="AX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$60,1,5)+'核心假设'!$B$6*$AB6*INDEX('核心假设'!$B$60:$G$60,1,4)+'核心假设'!$B$6*$AC6*INDEX('核心假设'!$B$60:$G$60,1,3)+'核心假设'!$B$6*$AD6*INDEX('核心假设'!$B$60:$G$60,1,2))*$B6*DAY(EOMONTH(AX$4,0))*INDEX('年度季节曲线'!$H$6:$H$17,MONTH(AX$4))</x:f>
        <x:v>22028391.579681423</x:v>
      </x:c>
      <x:c r="AY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$60,1,5)+'核心假设'!$B$6*$AC6*INDEX('核心假设'!$B$60:$G$60,1,4)+'核心假设'!$B$6*$AD6*INDEX('核心假设'!$B$60:$G$60,1,3))*$B6*DAY(EOMONTH(AY$4,0))*INDEX('年度季节曲线'!$H$6:$H$17,MONTH(AY$4))</x:f>
        <x:v>22312743.05450541</x:v>
      </x:c>
      <x:c r="AZ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$60,1,5)+'核心假设'!$B$6*$AD6*INDEX('核心假设'!$B$60:$G$60,1,4))*$B6*DAY(EOMONTH(AZ$4,0))*INDEX('年度季节曲线'!$H$6:$H$17,MONTH(AZ$4))</x:f>
        <x:v>22900671.340515554</x:v>
      </x:c>
      <x:c r="BA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$60,1,5))*$B6*DAY(EOMONTH(BA$4,0))*INDEX('年度季节曲线'!$H$6:$H$17,MONTH(BA$4))</x:f>
        <x:v>24631241.16741456</x:v>
      </x:c>
      <x:c r="BB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BB$4,0))*INDEX('年度季节曲线'!$H$6:$H$17,MONTH(BB$4))</x:f>
        <x:v>26378033.32366971</x:v>
      </x:c>
      <x:c r="BC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BC$4,0))*INDEX('年度季节曲线'!$H$6:$H$17,MONTH(BC$4))</x:f>
        <x:v>27296964.894451227</x:v>
      </x:c>
      <x:c r="BD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BD$4,0))*INDEX('年度季节曲线'!$H$6:$H$17,MONTH(BD$4))</x:f>
        <x:v>25485334.48938442</x:v>
      </x:c>
      <x:c r="BE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BE$4,0))*INDEX('年度季节曲线'!$H$6:$H$17,MONTH(BE$4))</x:f>
        <x:v>24801487.645564962</x:v>
      </x:c>
      <x:c r="BF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BF$4,0))*INDEX('年度季节曲线'!$H$6:$H$17,MONTH(BF$4))</x:f>
        <x:v>25300341.097259436</x:v>
      </x:c>
      <x:c r="BG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BG$4,0))*INDEX('年度季节曲线'!$H$6:$H$17,MONTH(BG$4))</x:f>
        <x:v>27986817.506496422</x:v>
      </x:c>
      <x:c r="BH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BH$4,0))*INDEX('年度季节曲线'!$H$6:$H$17,MONTH(BH$4))</x:f>
        <x:v>25538507.88845278</x:v>
      </x:c>
      <x:c r="BI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BI$4,0))*INDEX('年度季节曲线'!$H$6:$H$17,MONTH(BI$4))</x:f>
        <x:v>20889613.86691154</x:v>
      </x:c>
      <x:c r="BJ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BJ$4,0))*INDEX('年度季节曲线'!$H$6:$H$17,MONTH(BJ$4))</x:f>
        <x:v>22028391.579681423</x:v>
      </x:c>
      <x:c r="BK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BK$4,0))*INDEX('年度季节曲线'!$H$6:$H$17,MONTH(BK$4))</x:f>
        <x:v>22312743.05450541</x:v>
      </x:c>
      <x:c r="BL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BL$4,0))*INDEX('年度季节曲线'!$H$6:$H$17,MONTH(BL$4))</x:f>
        <x:v>22900671.340515554</x:v>
      </x:c>
      <x:c r="BM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BM$4,0))*INDEX('年度季节曲线'!$H$6:$H$17,MONTH(BM$4))</x:f>
        <x:v>24631241.16741456</x:v>
      </x:c>
      <x:c r="BN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BN$4,0))*INDEX('年度季节曲线'!$H$6:$H$17,MONTH(BN$4))</x:f>
        <x:v>26378033.32366971</x:v>
      </x:c>
      <x:c r="BO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BO$4,0))*INDEX('年度季节曲线'!$H$6:$H$17,MONTH(BO$4))</x:f>
        <x:v>27296964.894451227</x:v>
      </x:c>
      <x:c r="BP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BP$4,0))*INDEX('年度季节曲线'!$H$6:$H$17,MONTH(BP$4))</x:f>
        <x:v>25485334.48938442</x:v>
      </x:c>
      <x:c r="BQ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BQ$4,0))*INDEX('年度季节曲线'!$H$6:$H$17,MONTH(BQ$4))</x:f>
        <x:v>24801487.645564962</x:v>
      </x:c>
      <x:c r="BR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BR$4,0))*INDEX('年度季节曲线'!$H$6:$H$17,MONTH(BR$4))</x:f>
        <x:v>25300341.097259436</x:v>
      </x:c>
      <x:c r="BS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BS$4,0))*INDEX('年度季节曲线'!$H$6:$H$17,MONTH(BS$4))</x:f>
        <x:v>27986817.506496422</x:v>
      </x:c>
      <x:c r="BT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BT$4,0))*INDEX('年度季节曲线'!$H$6:$H$17,MONTH(BT$4))</x:f>
        <x:v>25538507.88845278</x:v>
      </x:c>
      <x:c r="BU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BU$4,0))*INDEX('年度季节曲线'!$H$6:$H$17,MONTH(BU$4))</x:f>
        <x:v>20889613.86691154</x:v>
      </x:c>
      <x:c r="BV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BV$4,0))*INDEX('年度季节曲线'!$H$6:$H$17,MONTH(BV$4))</x:f>
        <x:v>22028391.579681423</x:v>
      </x:c>
      <x:c r="BW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BW$4,0))*INDEX('年度季节曲线'!$H$6:$H$17,MONTH(BW$4))</x:f>
        <x:v>22312743.05450541</x:v>
      </x:c>
      <x:c r="BX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BX$4,0))*INDEX('年度季节曲线'!$H$6:$H$17,MONTH(BX$4))</x:f>
        <x:v>22900671.340515554</x:v>
      </x:c>
      <x:c r="BY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BY$4,0))*INDEX('年度季节曲线'!$H$6:$H$17,MONTH(BY$4))</x:f>
        <x:v>24631241.16741456</x:v>
      </x:c>
      <x:c r="BZ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BZ$4,0))*INDEX('年度季节曲线'!$H$6:$H$17,MONTH(BZ$4))</x:f>
        <x:v>26378033.32366971</x:v>
      </x:c>
      <x:c r="CA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CA$4,0))*INDEX('年度季节曲线'!$H$6:$H$17,MONTH(CA$4))</x:f>
        <x:v>27296964.894451227</x:v>
      </x:c>
      <x:c r="CB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CB$4,0))*INDEX('年度季节曲线'!$H$6:$H$17,MONTH(CB$4))</x:f>
        <x:v>25485334.48938442</x:v>
      </x:c>
      <x:c r="CC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CC$4,0))*INDEX('年度季节曲线'!$H$6:$H$17,MONTH(CC$4))</x:f>
        <x:v>24801487.645564962</x:v>
      </x:c>
      <x:c r="CD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CD$4,0))*INDEX('年度季节曲线'!$H$6:$H$17,MONTH(CD$4))</x:f>
        <x:v>25300341.097259436</x:v>
      </x:c>
      <x:c r="CE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CE$4,0))*INDEX('年度季节曲线'!$H$6:$H$17,MONTH(CE$4))</x:f>
        <x:v>27986817.506496422</x:v>
      </x:c>
      <x:c r="CF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CF$4,0))*INDEX('年度季节曲线'!$H$6:$H$17,MONTH(CF$4))</x:f>
        <x:v>25538507.88845278</x:v>
      </x:c>
      <x:c r="CG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CG$4,0))*INDEX('年度季节曲线'!$H$6:$H$17,MONTH(CG$4))</x:f>
        <x:v>20889613.86691154</x:v>
      </x:c>
      <x:c r="CH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CH$4,0))*INDEX('年度季节曲线'!$H$6:$H$17,MONTH(CH$4))</x:f>
        <x:v>22028391.579681423</x:v>
      </x:c>
      <x:c r="CI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CI$4,0))*INDEX('年度季节曲线'!$H$6:$H$17,MONTH(CI$4))</x:f>
        <x:v>22312743.05450541</x:v>
      </x:c>
      <x:c r="CJ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CJ$4,0))*INDEX('年度季节曲线'!$H$6:$H$17,MONTH(CJ$4))</x:f>
        <x:v>22900671.340515554</x:v>
      </x:c>
      <x:c r="CK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CK$4,0))*INDEX('年度季节曲线'!$H$6:$H$17,MONTH(CK$4))</x:f>
        <x:v>24631241.16741456</x:v>
      </x:c>
      <x:c r="CL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CL$4,0))*INDEX('年度季节曲线'!$H$6:$H$17,MONTH(CL$4))</x:f>
        <x:v>26378033.32366971</x:v>
      </x:c>
      <x:c r="CM11" s="28" t="n">
        <x:f>('核心假设'!$B$6*$M6*INDEX('核心假设'!$B$60:$G$60,1,6)+'核心假设'!$B$6*$N6*INDEX('核心假设'!$B$60:$G$60,1,6)+'核心假设'!$B$6*$O6*INDEX('核心假设'!$B$60:$G$60,1,6)+'核心假设'!$B$6*$P6*INDEX('核心假设'!$B$60:$G$60,1,6)+'核心假设'!$B$6*$Q6*INDEX('核心假设'!$B$60:$G$60,1,6)+'核心假设'!$B$6*$R6*INDEX('核心假设'!$B$60:$G$60,1,6)+'核心假设'!$B$6*$S6*INDEX('核心假设'!$B$60:$G$60,1,6)+'核心假设'!$B$6*$T6*INDEX('核心假设'!$B$60:$G$60,1,6)+'核心假设'!$B$6*$U6*INDEX('核心假设'!$B$60:$G$60,1,6)+'核心假设'!$B$6*$V6*INDEX('核心假设'!$B$60:$G$60,1,6)+'核心假设'!$B$6*$W6*INDEX('核心假设'!$B$60:$G$60,1,6)+'核心假设'!$B$6*$X6*INDEX('核心假设'!$B$60:$G$60,1,6)+'核心假设'!$B$6*$Y6*INDEX('核心假设'!$B$60:$G$60,1,6)+'核心假设'!$B$6*$Z6*INDEX('核心假设'!$B$60:$G$60,1,6)+'核心假设'!$B$6*$AA6*INDEX('核心假设'!$B$60:$G$60,1,6)+'核心假设'!$B$6*$AB6*INDEX('核心假设'!$B$60:$G$60,1,6)+'核心假设'!$B$6*$AC6*INDEX('核心假设'!$B$60:$G$60,1,6)+'核心假设'!$B$6*$AD6*INDEX('核心假设'!$B$60:$G$60,1,6))*$B6*DAY(EOMONTH(CM$4,0))*INDEX('年度季节曲线'!$H$6:$H$17,MONTH(CM$4))</x:f>
        <x:v>27296964.894451227</x:v>
      </x:c>
    </x:row>
    <x:row r="12">
      <x:c r="A12"/>
      <x:c r="B12"/>
      <x:c r="C12"/>
      <x:c r="D12"/>
      <x:c r="E12"/>
      <x:c r="F12"/>
      <x:c r="G12"/>
      <x:c r="H12"/>
      <x:c r="AE12" t="str">
        <x:v>CFADS</x:v>
      </x:c>
      <x:c r="AF12" s="28" t="n">
        <x:f>AF11-IF($G6="固定租金",SUM('月度投放计划'!$J$15:$U$16)*SUM($M6:$M6)*'核心假设'!$B$35,AF11*'核心假设'!$B$34)-AF11*$H6-'核心假设'!$B$37-AF11*'核心假设'!$B$38</x:f>
        <x:v>535192.0242770729</x:v>
      </x:c>
      <x:c r="AG12" s="28" t="n">
        <x:f>AG11-IF($G6="固定租金",SUM('月度投放计划'!$J$15:$U$16)*SUM($M6:$N6)*'核心假设'!$B$35,AG11*'核心假设'!$B$34)-AG11*$H6-'核心假设'!$B$37-AG11*'核心假设'!$B$38</x:f>
        <x:v>1276036.5393643174</x:v>
      </x:c>
      <x:c r="AH12" s="28" t="n">
        <x:f>AH11-IF($G6="固定租金",SUM('月度投放计划'!$J$15:$U$16)*SUM($M6:$O6)*'核心假设'!$B$35,AH11*'核心假设'!$B$34)-AH11*$H6-'核心假设'!$B$37-AH11*'核心假设'!$B$38</x:f>
        <x:v>2293475.9204665674</x:v>
      </x:c>
      <x:c r="AI12" s="28" t="n">
        <x:f>AI11-IF($G6="固定租金",SUM('月度投放计划'!$J$15:$U$16)*SUM($M6:$P6)*'核心假设'!$B$35,AI11*'核心假设'!$B$34)-AI11*$H6-'核心假设'!$B$37-AI11*'核心假设'!$B$38</x:f>
        <x:v>3869177.5202731295</x:v>
      </x:c>
      <x:c r="AJ12" s="28" t="n">
        <x:f>AJ11-IF($G6="固定租金",SUM('月度投放计划'!$J$15:$U$16)*SUM($M6:$Q6)*'核心假设'!$B$35,AJ11*'核心假设'!$B$34)-AJ11*$H6-'核心假设'!$B$37-AJ11*'核心假设'!$B$38</x:f>
        <x:v>4955492.070675377</x:v>
      </x:c>
      <x:c r="AK12" s="28" t="n">
        <x:f>AK11-IF($G6="固定租金",SUM('月度投放计划'!$J$15:$U$16)*SUM($M6:$R6)*'核心假设'!$B$35,AK11*'核心假设'!$B$34)-AK11*$H6-'核心假设'!$B$37-AK11*'核心假设'!$B$38</x:f>
        <x:v>5382626.805087097</x:v>
      </x:c>
      <x:c r="AL12" s="28" t="n">
        <x:f>AL11-IF($G6="固定租金",SUM('月度投放计划'!$J$15:$U$16)*SUM($M6:$S6)*'核心假设'!$B$35,AL11*'核心假设'!$B$34)-AL11*$H6-'核心假设'!$B$37-AL11*'核心假设'!$B$38</x:f>
        <x:v>7231920.955609412</x:v>
      </x:c>
      <x:c r="AM12" s="28" t="n">
        <x:f>AM11-IF($G6="固定租金",SUM('月度投放计划'!$J$15:$U$16)*SUM($M6:$T6)*'核心假设'!$B$35,AM11*'核心假设'!$B$34)-AM11*$H6-'核心假设'!$B$37-AM11*'核心假设'!$B$38</x:f>
        <x:v>8963698.267286457</x:v>
      </x:c>
      <x:c r="AN12" s="28" t="n">
        <x:f>AN11-IF($G6="固定租金",SUM('月度投放计划'!$J$15:$U$16)*SUM($M6:$U6)*'核心假设'!$B$35,AN11*'核心假设'!$B$34)-AN11*$H6-'核心假设'!$B$37-AN11*'核心假设'!$B$38</x:f>
        <x:v>10825376.349375108</x:v>
      </x:c>
      <x:c r="AO12" s="28" t="n">
        <x:f>AO11-IF($G6="固定租金",SUM('月度投放计划'!$J$15:$U$16)*SUM($M6:$V6)*'核心假设'!$B$35,AO11*'核心假设'!$B$34)-AO11*$H6-'核心假设'!$B$37-AO11*'核心假设'!$B$38</x:f>
        <x:v>13288308.29740848</x:v>
      </x:c>
      <x:c r="AP12" s="28" t="n">
        <x:f>AP11-IF($G6="固定租金",SUM('月度投放计划'!$J$15:$U$16)*SUM($M6:$W6)*'核心假设'!$B$35,AP11*'核心假设'!$B$34)-AP11*$H6-'核心假设'!$B$37-AP11*'核心假设'!$B$38</x:f>
        <x:v>15850032.663526658</x:v>
      </x:c>
      <x:c r="AQ12" s="28" t="n">
        <x:f>AQ11-IF($G6="固定租金",SUM('月度投放计划'!$J$15:$U$16)*SUM($M6:$X6)*'核心假设'!$B$35,AQ11*'核心假设'!$B$34)-AQ11*$H6-'核心假设'!$B$37-AQ11*'核心假设'!$B$38</x:f>
        <x:v>17793253.596799087</x:v>
      </x:c>
      <x:c r="AR12" s="28" t="n">
        <x:f>AR11-IF($G6="固定租金",SUM('月度投放计划'!$J$15:$U$16)*SUM($M6:$Y6)*'核心假设'!$B$35,AR11*'核心假设'!$B$34)-AR11*$H6-'核心假设'!$B$37-AR11*'核心假设'!$B$38</x:f>
        <x:v>17176096.03246552</x:v>
      </x:c>
      <x:c r="AS12" s="28" t="n">
        <x:f>AS11-IF($G6="固定租金",SUM('月度投放计划'!$J$15:$U$16)*SUM($M6:$Z6)*'核心假设'!$B$35,AS11*'核心假设'!$B$34)-AS11*$H6-'核心假设'!$B$37-AS11*'核心假设'!$B$38</x:f>
        <x:v>17046806.503426164</x:v>
      </x:c>
      <x:c r="AT12" s="28" t="n">
        <x:f>AT11-IF($G6="固定租金",SUM('月度投放计划'!$J$15:$U$16)*SUM($M6:$AA6)*'核心假设'!$B$35,AT11*'核心假设'!$B$34)-AT11*$H6-'核心假设'!$B$37-AT11*'核心假设'!$B$38</x:f>
        <x:v>17582725.048951413</x:v>
      </x:c>
      <x:c r="AU12" s="28" t="n">
        <x:f>AU11-IF($G6="固定租金",SUM('月度投放计划'!$J$15:$U$16)*SUM($M6:$AB6)*'核心假设'!$B$35,AU11*'核心假设'!$B$34)-AU11*$H6-'核心假设'!$B$37-AU11*'核心假设'!$B$38</x:f>
        <x:v>19555508.864489306</x:v>
      </x:c>
      <x:c r="AV12" s="28" t="n">
        <x:f>AV11-IF($G6="固定租金",SUM('月度投放计划'!$J$15:$U$16)*SUM($M6:$AC6)*'核心假设'!$B$35,AV11*'核心假设'!$B$34)-AV11*$H6-'核心假设'!$B$37-AV11*'核心假设'!$B$38</x:f>
        <x:v>17876955.521916945</x:v>
      </x:c>
      <x:c r="AW12" s="28" t="n">
        <x:f>AW11-IF($G6="固定租金",SUM('月度投放计划'!$J$15:$U$16)*SUM($M6:$AD6)*'核心假设'!$B$35,AW11*'核心假设'!$B$34)-AW11*$H6-'核心假设'!$B$37-AW11*'核心假设'!$B$38</x:f>
        <x:v>15144970.053510867</x:v>
      </x:c>
      <x:c r="AX12" s="28" t="n">
        <x:f>AX11-IF($G6="固定租金",SUM('月度投放计划'!$J$15:$U$16)*SUM($M6:$AD6)*'核心假设'!$B$35,AX11*'核心假设'!$B$34)-AX11*$H6-'核心假设'!$B$37-AX11*'核心假设'!$B$38</x:f>
        <x:v>15419874.105776994</x:v>
      </x:c>
      <x:c r="AY12" s="28" t="n">
        <x:f>AY11-IF($G6="固定租金",SUM('月度投放计划'!$J$15:$U$16)*SUM($M6:$AD6)*'核心假设'!$B$35,AY11*'核心假设'!$B$34)-AY11*$H6-'核心假设'!$B$37-AY11*'核心假设'!$B$38</x:f>
        <x:v>15618920.138153786</x:v>
      </x:c>
      <x:c r="AZ12" s="28" t="n">
        <x:f>AZ11-IF($G6="固定租金",SUM('月度投放计划'!$J$15:$U$16)*SUM($M6:$AD6)*'核心假设'!$B$35,AZ11*'核心假设'!$B$34)-AZ11*$H6-'核心假设'!$B$37-AZ11*'核心假设'!$B$38</x:f>
        <x:v>16030469.938360887</x:v>
      </x:c>
      <x:c r="BA12" s="28" t="n">
        <x:f>BA11-IF($G6="固定租金",SUM('月度投放计划'!$J$15:$U$16)*SUM($M6:$AD6)*'核心假设'!$B$35,BA11*'核心假设'!$B$34)-BA11*$H6-'核心假设'!$B$37-BA11*'核心假设'!$B$38</x:f>
        <x:v>17241868.817190193</x:v>
      </x:c>
      <x:c r="BB12" s="28" t="n">
        <x:f>BB11-IF($G6="固定租金",SUM('月度投放计划'!$J$15:$U$16)*SUM($M6:$AD6)*'核心假设'!$B$35,BB11*'核心假设'!$B$34)-BB11*$H6-'核心假设'!$B$37-BB11*'核心假设'!$B$38</x:f>
        <x:v>18464623.326568797</x:v>
      </x:c>
      <x:c r="BC12" s="28" t="n">
        <x:f>BC11-IF($G6="固定租金",SUM('月度投放计划'!$J$15:$U$16)*SUM($M6:$AD6)*'核心假设'!$B$35,BC11*'核心假设'!$B$34)-BC11*$H6-'核心假设'!$B$37-BC11*'核心假设'!$B$38</x:f>
        <x:v>19107875.42611586</x:v>
      </x:c>
      <x:c r="BD12" s="28" t="n">
        <x:f>BD11-IF($G6="固定租金",SUM('月度投放计划'!$J$15:$U$16)*SUM($M6:$AD6)*'核心假设'!$B$35,BD11*'核心假设'!$B$34)-BD11*$H6-'核心假设'!$B$37-BD11*'核心假设'!$B$38</x:f>
        <x:v>17839734.142569095</x:v>
      </x:c>
      <x:c r="BE12" s="28" t="n">
        <x:f>BE11-IF($G6="固定租金",SUM('月度投放计划'!$J$15:$U$16)*SUM($M6:$AD6)*'核心假设'!$B$35,BE11*'核心假设'!$B$34)-BE11*$H6-'核心假设'!$B$37-BE11*'核心假设'!$B$38</x:f>
        <x:v>17361041.351895474</x:v>
      </x:c>
      <x:c r="BF12" s="28" t="n">
        <x:f>BF11-IF($G6="固定租金",SUM('月度投放计划'!$J$15:$U$16)*SUM($M6:$AD6)*'核心假设'!$B$35,BF11*'核心假设'!$B$34)-BF11*$H6-'核心假设'!$B$37-BF11*'核心假设'!$B$38</x:f>
        <x:v>17710238.768081605</x:v>
      </x:c>
      <x:c r="BG12" s="28" t="n">
        <x:f>BG11-IF($G6="固定租金",SUM('月度投放计划'!$J$15:$U$16)*SUM($M6:$AD6)*'核心假设'!$B$35,BG11*'核心假设'!$B$34)-BG11*$H6-'核心假设'!$B$37-BG11*'核心假设'!$B$38</x:f>
        <x:v>19590772.254547495</x:v>
      </x:c>
      <x:c r="BH12" s="28" t="n">
        <x:f>BH11-IF($G6="固定租金",SUM('月度投放计划'!$J$15:$U$16)*SUM($M6:$AD6)*'核心假设'!$B$35,BH11*'核心假设'!$B$34)-BH11*$H6-'核心假设'!$B$37-BH11*'核心假设'!$B$38</x:f>
        <x:v>17876955.521916945</x:v>
      </x:c>
      <x:c r="BI12" s="28" t="n">
        <x:f>BI11-IF($G6="固定租金",SUM('月度投放计划'!$J$15:$U$16)*SUM($M6:$AD6)*'核心假设'!$B$35,BI11*'核心假设'!$B$34)-BI11*$H6-'核心假设'!$B$37-BI11*'核心假设'!$B$38</x:f>
        <x:v>14622729.706838079</x:v>
      </x:c>
      <x:c r="BJ12" s="28" t="n">
        <x:f>BJ11-IF($G6="固定租金",SUM('月度投放计划'!$J$15:$U$16)*SUM($M6:$AD6)*'核心假设'!$B$35,BJ11*'核心假设'!$B$34)-BJ11*$H6-'核心假设'!$B$37-BJ11*'核心假设'!$B$38</x:f>
        <x:v>15419874.105776994</x:v>
      </x:c>
      <x:c r="BK12" s="28" t="n">
        <x:f>BK11-IF($G6="固定租金",SUM('月度投放计划'!$J$15:$U$16)*SUM($M6:$AD6)*'核心假设'!$B$35,BK11*'核心假设'!$B$34)-BK11*$H6-'核心假设'!$B$37-BK11*'核心假设'!$B$38</x:f>
        <x:v>15618920.138153786</x:v>
      </x:c>
      <x:c r="BL12" s="28" t="n">
        <x:f>BL11-IF($G6="固定租金",SUM('月度投放计划'!$J$15:$U$16)*SUM($M6:$AD6)*'核心假设'!$B$35,BL11*'核心假设'!$B$34)-BL11*$H6-'核心假设'!$B$37-BL11*'核心假设'!$B$38</x:f>
        <x:v>16030469.938360887</x:v>
      </x:c>
      <x:c r="BM12" s="28" t="n">
        <x:f>BM11-IF($G6="固定租金",SUM('月度投放计划'!$J$15:$U$16)*SUM($M6:$AD6)*'核心假设'!$B$35,BM11*'核心假设'!$B$34)-BM11*$H6-'核心假设'!$B$37-BM11*'核心假设'!$B$38</x:f>
        <x:v>17241868.817190193</x:v>
      </x:c>
      <x:c r="BN12" s="28" t="n">
        <x:f>BN11-IF($G6="固定租金",SUM('月度投放计划'!$J$15:$U$16)*SUM($M6:$AD6)*'核心假设'!$B$35,BN11*'核心假设'!$B$34)-BN11*$H6-'核心假设'!$B$37-BN11*'核心假设'!$B$38</x:f>
        <x:v>18464623.326568797</x:v>
      </x:c>
      <x:c r="BO12" s="28" t="n">
        <x:f>BO11-IF($G6="固定租金",SUM('月度投放计划'!$J$15:$U$16)*SUM($M6:$AD6)*'核心假设'!$B$35,BO11*'核心假设'!$B$34)-BO11*$H6-'核心假设'!$B$37-BO11*'核心假设'!$B$38</x:f>
        <x:v>19107875.42611586</x:v>
      </x:c>
      <x:c r="BP12" s="28" t="n">
        <x:f>BP11-IF($G6="固定租金",SUM('月度投放计划'!$J$15:$U$16)*SUM($M6:$AD6)*'核心假设'!$B$35,BP11*'核心假设'!$B$34)-BP11*$H6-'核心假设'!$B$37-BP11*'核心假设'!$B$38</x:f>
        <x:v>17839734.142569095</x:v>
      </x:c>
      <x:c r="BQ12" s="28" t="n">
        <x:f>BQ11-IF($G6="固定租金",SUM('月度投放计划'!$J$15:$U$16)*SUM($M6:$AD6)*'核心假设'!$B$35,BQ11*'核心假设'!$B$34)-BQ11*$H6-'核心假设'!$B$37-BQ11*'核心假设'!$B$38</x:f>
        <x:v>17361041.351895474</x:v>
      </x:c>
      <x:c r="BR12" s="28" t="n">
        <x:f>BR11-IF($G6="固定租金",SUM('月度投放计划'!$J$15:$U$16)*SUM($M6:$AD6)*'核心假设'!$B$35,BR11*'核心假设'!$B$34)-BR11*$H6-'核心假设'!$B$37-BR11*'核心假设'!$B$38</x:f>
        <x:v>17710238.768081605</x:v>
      </x:c>
      <x:c r="BS12" s="28" t="n">
        <x:f>BS11-IF($G6="固定租金",SUM('月度投放计划'!$J$15:$U$16)*SUM($M6:$AD6)*'核心假设'!$B$35,BS11*'核心假设'!$B$34)-BS11*$H6-'核心假设'!$B$37-BS11*'核心假设'!$B$38</x:f>
        <x:v>19590772.254547495</x:v>
      </x:c>
      <x:c r="BT12" s="28" t="n">
        <x:f>BT11-IF($G6="固定租金",SUM('月度投放计划'!$J$15:$U$16)*SUM($M6:$AD6)*'核心假设'!$B$35,BT11*'核心假设'!$B$34)-BT11*$H6-'核心假设'!$B$37-BT11*'核心假设'!$B$38</x:f>
        <x:v>17876955.521916945</x:v>
      </x:c>
      <x:c r="BU12" s="28" t="n">
        <x:f>BU11-IF($G6="固定租金",SUM('月度投放计划'!$J$15:$U$16)*SUM($M6:$AD6)*'核心假设'!$B$35,BU11*'核心假设'!$B$34)-BU11*$H6-'核心假设'!$B$37-BU11*'核心假设'!$B$38</x:f>
        <x:v>14622729.706838079</x:v>
      </x:c>
      <x:c r="BV12" s="28" t="n">
        <x:f>BV11-IF($G6="固定租金",SUM('月度投放计划'!$J$15:$U$16)*SUM($M6:$AD6)*'核心假设'!$B$35,BV11*'核心假设'!$B$34)-BV11*$H6-'核心假设'!$B$37-BV11*'核心假设'!$B$38</x:f>
        <x:v>15419874.105776994</x:v>
      </x:c>
      <x:c r="BW12" s="28" t="n">
        <x:f>BW11-IF($G6="固定租金",SUM('月度投放计划'!$J$15:$U$16)*SUM($M6:$AD6)*'核心假设'!$B$35,BW11*'核心假设'!$B$34)-BW11*$H6-'核心假设'!$B$37-BW11*'核心假设'!$B$38</x:f>
        <x:v>15618920.138153786</x:v>
      </x:c>
      <x:c r="BX12" s="28" t="n">
        <x:f>BX11-IF($G6="固定租金",SUM('月度投放计划'!$J$15:$U$16)*SUM($M6:$AD6)*'核心假设'!$B$35,BX11*'核心假设'!$B$34)-BX11*$H6-'核心假设'!$B$37-BX11*'核心假设'!$B$38</x:f>
        <x:v>16030469.938360887</x:v>
      </x:c>
      <x:c r="BY12" s="28" t="n">
        <x:f>BY11-IF($G6="固定租金",SUM('月度投放计划'!$J$15:$U$16)*SUM($M6:$AD6)*'核心假设'!$B$35,BY11*'核心假设'!$B$34)-BY11*$H6-'核心假设'!$B$37-BY11*'核心假设'!$B$38</x:f>
        <x:v>17241868.817190193</x:v>
      </x:c>
      <x:c r="BZ12" s="28" t="n">
        <x:f>BZ11-IF($G6="固定租金",SUM('月度投放计划'!$J$15:$U$16)*SUM($M6:$AD6)*'核心假设'!$B$35,BZ11*'核心假设'!$B$34)-BZ11*$H6-'核心假设'!$B$37-BZ11*'核心假设'!$B$38</x:f>
        <x:v>18464623.326568797</x:v>
      </x:c>
      <x:c r="CA12" s="28" t="n">
        <x:f>CA11-IF($G6="固定租金",SUM('月度投放计划'!$J$15:$U$16)*SUM($M6:$AD6)*'核心假设'!$B$35,CA11*'核心假设'!$B$34)-CA11*$H6-'核心假设'!$B$37-CA11*'核心假设'!$B$38</x:f>
        <x:v>19107875.42611586</x:v>
      </x:c>
      <x:c r="CB12" s="28" t="n">
        <x:f>CB11-IF($G6="固定租金",SUM('月度投放计划'!$J$15:$U$16)*SUM($M6:$AD6)*'核心假设'!$B$35,CB11*'核心假设'!$B$34)-CB11*$H6-'核心假设'!$B$37-CB11*'核心假设'!$B$38</x:f>
        <x:v>17839734.142569095</x:v>
      </x:c>
      <x:c r="CC12" s="28" t="n">
        <x:f>CC11-IF($G6="固定租金",SUM('月度投放计划'!$J$15:$U$16)*SUM($M6:$AD6)*'核心假设'!$B$35,CC11*'核心假设'!$B$34)-CC11*$H6-'核心假设'!$B$37-CC11*'核心假设'!$B$38</x:f>
        <x:v>17361041.351895474</x:v>
      </x:c>
      <x:c r="CD12" s="28" t="n">
        <x:f>CD11-IF($G6="固定租金",SUM('月度投放计划'!$J$15:$U$16)*SUM($M6:$AD6)*'核心假设'!$B$35,CD11*'核心假设'!$B$34)-CD11*$H6-'核心假设'!$B$37-CD11*'核心假设'!$B$38</x:f>
        <x:v>17710238.768081605</x:v>
      </x:c>
      <x:c r="CE12" s="28" t="n">
        <x:f>CE11-IF($G6="固定租金",SUM('月度投放计划'!$J$15:$U$16)*SUM($M6:$AD6)*'核心假设'!$B$35,CE11*'核心假设'!$B$34)-CE11*$H6-'核心假设'!$B$37-CE11*'核心假设'!$B$38</x:f>
        <x:v>19590772.254547495</x:v>
      </x:c>
      <x:c r="CF12" s="28" t="n">
        <x:f>CF11-IF($G6="固定租金",SUM('月度投放计划'!$J$15:$U$16)*SUM($M6:$AD6)*'核心假设'!$B$35,CF11*'核心假设'!$B$34)-CF11*$H6-'核心假设'!$B$37-CF11*'核心假设'!$B$38</x:f>
        <x:v>17876955.521916945</x:v>
      </x:c>
      <x:c r="CG12" s="28" t="n">
        <x:f>CG11-IF($G6="固定租金",SUM('月度投放计划'!$J$15:$U$16)*SUM($M6:$AD6)*'核心假设'!$B$35,CG11*'核心假设'!$B$34)-CG11*$H6-'核心假设'!$B$37-CG11*'核心假设'!$B$38</x:f>
        <x:v>14622729.706838079</x:v>
      </x:c>
      <x:c r="CH12" s="28" t="n">
        <x:f>CH11-IF($G6="固定租金",SUM('月度投放计划'!$J$15:$U$16)*SUM($M6:$AD6)*'核心假设'!$B$35,CH11*'核心假设'!$B$34)-CH11*$H6-'核心假设'!$B$37-CH11*'核心假设'!$B$38</x:f>
        <x:v>15419874.105776994</x:v>
      </x:c>
      <x:c r="CI12" s="28" t="n">
        <x:f>CI11-IF($G6="固定租金",SUM('月度投放计划'!$J$15:$U$16)*SUM($M6:$AD6)*'核心假设'!$B$35,CI11*'核心假设'!$B$34)-CI11*$H6-'核心假设'!$B$37-CI11*'核心假设'!$B$38</x:f>
        <x:v>15618920.138153786</x:v>
      </x:c>
      <x:c r="CJ12" s="28" t="n">
        <x:f>CJ11-IF($G6="固定租金",SUM('月度投放计划'!$J$15:$U$16)*SUM($M6:$AD6)*'核心假设'!$B$35,CJ11*'核心假设'!$B$34)-CJ11*$H6-'核心假设'!$B$37-CJ11*'核心假设'!$B$38</x:f>
        <x:v>16030469.938360887</x:v>
      </x:c>
      <x:c r="CK12" s="28" t="n">
        <x:f>CK11-IF($G6="固定租金",SUM('月度投放计划'!$J$15:$U$16)*SUM($M6:$AD6)*'核心假设'!$B$35,CK11*'核心假设'!$B$34)-CK11*$H6-'核心假设'!$B$37-CK11*'核心假设'!$B$38</x:f>
        <x:v>17241868.817190193</x:v>
      </x:c>
      <x:c r="CL12" s="28" t="n">
        <x:f>CL11-IF($G6="固定租金",SUM('月度投放计划'!$J$15:$U$16)*SUM($M6:$AD6)*'核心假设'!$B$35,CL11*'核心假设'!$B$34)-CL11*$H6-'核心假设'!$B$37-CL11*'核心假设'!$B$38</x:f>
        <x:v>18464623.326568797</x:v>
      </x:c>
      <x:c r="CM12" s="28" t="n">
        <x:f>CM11-IF($G6="固定租金",SUM('月度投放计划'!$J$15:$U$16)*SUM($M6:$AD6)*'核心假设'!$B$35,CM11*'核心假设'!$B$34)-CM11*$H6-'核心假设'!$B$37-CM11*'核心假设'!$B$38</x:f>
        <x:v>19107875.42611586</x:v>
      </x:c>
    </x:row>
    <x:row r="13">
      <x:c r="A13" s="13" t="str">
        <x:v>18/24/36个月期限比较</x:v>
      </x:c>
      <x:c r="B13" s="14" t="str">
        <x:v>18/24/36个月期限比较</x:v>
      </x:c>
      <x:c r="C13" s="14" t="str">
        <x:v>18/24/36个月期限比较</x:v>
      </x:c>
      <x:c r="D13" s="14" t="str">
        <x:v>18/24/36个月期限比较</x:v>
      </x:c>
      <x:c r="E13" s="14" t="str">
        <x:v>18/24/36个月期限比较</x:v>
      </x:c>
      <x:c r="F13" s="14" t="str">
        <x:v>18/24/36个月期限比较</x:v>
      </x:c>
      <x:c r="G13" s="14" t="str">
        <x:v>18/24/36个月期限比较</x:v>
      </x:c>
      <x:c r="H13" s="15" t="str">
        <x:v>18/24/36个月期限比较</x:v>
      </x:c>
      <x:c r="AE13" t="str">
        <x:v>债务支付</x:v>
      </x:c>
      <x:c r="AF13" s="28" t="n">
        <x:f>SUM(IF(AND(AF$4&gt;EDATE('核心假设'!$B$5,0+$F6),AF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AF$4=EDATE(EDATE('核心假设'!$B$5,0+$F6),$D6),SUM('融资租赁与资金缺口'!$D$5:$D$16)*$M6*'核心假设'!$B$32,0),0),IF(AND(AF$4&gt;EDATE('核心假设'!$B$5,1+$F6),AF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AF$4=EDATE(EDATE('核心假设'!$B$5,1+$F6),$D6),SUM('融资租赁与资金缺口'!$D$5:$D$16)*$N6*'核心假设'!$B$32,0),0),IF(AND(AF$4&gt;EDATE('核心假设'!$B$5,2+$F6),AF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AF$4=EDATE(EDATE('核心假设'!$B$5,2+$F6),$D6),SUM('融资租赁与资金缺口'!$D$5:$D$16)*$O6*'核心假设'!$B$32,0),0),IF(AND(AF$4&gt;EDATE('核心假设'!$B$5,3+$F6),AF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AF$4=EDATE(EDATE('核心假设'!$B$5,3+$F6),$D6),SUM('融资租赁与资金缺口'!$D$5:$D$16)*$P6*'核心假设'!$B$32,0),0),IF(AND(AF$4&gt;EDATE('核心假设'!$B$5,4+$F6),AF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AF$4=EDATE(EDATE('核心假设'!$B$5,4+$F6),$D6),SUM('融资租赁与资金缺口'!$D$5:$D$16)*$Q6*'核心假设'!$B$32,0),0),IF(AND(AF$4&gt;EDATE('核心假设'!$B$5,5+$F6),AF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AF$4=EDATE(EDATE('核心假设'!$B$5,5+$F6),$D6),SUM('融资租赁与资金缺口'!$D$5:$D$16)*$R6*'核心假设'!$B$32,0),0),IF(AND(AF$4&gt;EDATE('核心假设'!$B$5,6+$F6),AF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AF$4=EDATE(EDATE('核心假设'!$B$5,6+$F6),$D6),SUM('融资租赁与资金缺口'!$D$5:$D$16)*$S6*'核心假设'!$B$32,0),0),IF(AND(AF$4&gt;EDATE('核心假设'!$B$5,7+$F6),AF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AF$4=EDATE(EDATE('核心假设'!$B$5,7+$F6),$D6),SUM('融资租赁与资金缺口'!$D$5:$D$16)*$T6*'核心假设'!$B$32,0),0),IF(AND(AF$4&gt;EDATE('核心假设'!$B$5,8+$F6),AF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AF$4=EDATE(EDATE('核心假设'!$B$5,8+$F6),$D6),SUM('融资租赁与资金缺口'!$D$5:$D$16)*$U6*'核心假设'!$B$32,0),0),IF(AND(AF$4&gt;EDATE('核心假设'!$B$5,9+$F6),AF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AF$4=EDATE(EDATE('核心假设'!$B$5,9+$F6),$D6),SUM('融资租赁与资金缺口'!$D$5:$D$16)*$V6*'核心假设'!$B$32,0),0),IF(AND(AF$4&gt;EDATE('核心假设'!$B$5,10+$F6),AF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AF$4=EDATE(EDATE('核心假设'!$B$5,10+$F6),$D6),SUM('融资租赁与资金缺口'!$D$5:$D$16)*$W6*'核心假设'!$B$32,0),0),IF(AND(AF$4&gt;EDATE('核心假设'!$B$5,11+$F6),AF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AF$4=EDATE(EDATE('核心假设'!$B$5,11+$F6),$D6),SUM('融资租赁与资金缺口'!$D$5:$D$16)*$X6*'核心假设'!$B$32,0),0),IF(AND(AF$4&gt;EDATE('核心假设'!$B$5,12+$F6),AF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AF$4=EDATE(EDATE('核心假设'!$B$5,12+$F6),$D6),SUM('融资租赁与资金缺口'!$D$5:$D$16)*$Y6*'核心假设'!$B$32,0),0),IF(AND(AF$4&gt;EDATE('核心假设'!$B$5,13+$F6),AF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AF$4=EDATE(EDATE('核心假设'!$B$5,13+$F6),$D6),SUM('融资租赁与资金缺口'!$D$5:$D$16)*$Z6*'核心假设'!$B$32,0),0),IF(AND(AF$4&gt;EDATE('核心假设'!$B$5,14+$F6),AF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AF$4=EDATE(EDATE('核心假设'!$B$5,14+$F6),$D6),SUM('融资租赁与资金缺口'!$D$5:$D$16)*$AA6*'核心假设'!$B$32,0),0),IF(AND(AF$4&gt;EDATE('核心假设'!$B$5,15+$F6),AF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AF$4=EDATE(EDATE('核心假设'!$B$5,15+$F6),$D6),SUM('融资租赁与资金缺口'!$D$5:$D$16)*$AB6*'核心假设'!$B$32,0),0),IF(AND(AF$4&gt;EDATE('核心假设'!$B$5,16+$F6),AF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AF$4=EDATE(EDATE('核心假设'!$B$5,16+$F6),$D6),SUM('融资租赁与资金缺口'!$D$5:$D$16)*$AC6*'核心假设'!$B$32,0),0),IF(AND(AF$4&gt;EDATE('核心假设'!$B$5,17+$F6),AF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AF$4=EDATE(EDATE('核心假设'!$B$5,17+$F6),$D6),SUM('融资租赁与资金缺口'!$D$5:$D$16)*$AD6*'核心假设'!$B$32,0),0))</x:f>
        <x:v>0</x:v>
      </x:c>
      <x:c r="AG13" s="28" t="n">
        <x:f>SUM(IF(AND(AG$4&gt;EDATE('核心假设'!$B$5,0+$F6),AG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AG$4=EDATE(EDATE('核心假设'!$B$5,0+$F6),$D6),SUM('融资租赁与资金缺口'!$D$5:$D$16)*$M6*'核心假设'!$B$32,0),0),IF(AND(AG$4&gt;EDATE('核心假设'!$B$5,1+$F6),AG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AG$4=EDATE(EDATE('核心假设'!$B$5,1+$F6),$D6),SUM('融资租赁与资金缺口'!$D$5:$D$16)*$N6*'核心假设'!$B$32,0),0),IF(AND(AG$4&gt;EDATE('核心假设'!$B$5,2+$F6),AG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AG$4=EDATE(EDATE('核心假设'!$B$5,2+$F6),$D6),SUM('融资租赁与资金缺口'!$D$5:$D$16)*$O6*'核心假设'!$B$32,0),0),IF(AND(AG$4&gt;EDATE('核心假设'!$B$5,3+$F6),AG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AG$4=EDATE(EDATE('核心假设'!$B$5,3+$F6),$D6),SUM('融资租赁与资金缺口'!$D$5:$D$16)*$P6*'核心假设'!$B$32,0),0),IF(AND(AG$4&gt;EDATE('核心假设'!$B$5,4+$F6),AG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AG$4=EDATE(EDATE('核心假设'!$B$5,4+$F6),$D6),SUM('融资租赁与资金缺口'!$D$5:$D$16)*$Q6*'核心假设'!$B$32,0),0),IF(AND(AG$4&gt;EDATE('核心假设'!$B$5,5+$F6),AG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AG$4=EDATE(EDATE('核心假设'!$B$5,5+$F6),$D6),SUM('融资租赁与资金缺口'!$D$5:$D$16)*$R6*'核心假设'!$B$32,0),0),IF(AND(AG$4&gt;EDATE('核心假设'!$B$5,6+$F6),AG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AG$4=EDATE(EDATE('核心假设'!$B$5,6+$F6),$D6),SUM('融资租赁与资金缺口'!$D$5:$D$16)*$S6*'核心假设'!$B$32,0),0),IF(AND(AG$4&gt;EDATE('核心假设'!$B$5,7+$F6),AG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AG$4=EDATE(EDATE('核心假设'!$B$5,7+$F6),$D6),SUM('融资租赁与资金缺口'!$D$5:$D$16)*$T6*'核心假设'!$B$32,0),0),IF(AND(AG$4&gt;EDATE('核心假设'!$B$5,8+$F6),AG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AG$4=EDATE(EDATE('核心假设'!$B$5,8+$F6),$D6),SUM('融资租赁与资金缺口'!$D$5:$D$16)*$U6*'核心假设'!$B$32,0),0),IF(AND(AG$4&gt;EDATE('核心假设'!$B$5,9+$F6),AG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AG$4=EDATE(EDATE('核心假设'!$B$5,9+$F6),$D6),SUM('融资租赁与资金缺口'!$D$5:$D$16)*$V6*'核心假设'!$B$32,0),0),IF(AND(AG$4&gt;EDATE('核心假设'!$B$5,10+$F6),AG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AG$4=EDATE(EDATE('核心假设'!$B$5,10+$F6),$D6),SUM('融资租赁与资金缺口'!$D$5:$D$16)*$W6*'核心假设'!$B$32,0),0),IF(AND(AG$4&gt;EDATE('核心假设'!$B$5,11+$F6),AG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AG$4=EDATE(EDATE('核心假设'!$B$5,11+$F6),$D6),SUM('融资租赁与资金缺口'!$D$5:$D$16)*$X6*'核心假设'!$B$32,0),0),IF(AND(AG$4&gt;EDATE('核心假设'!$B$5,12+$F6),AG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AG$4=EDATE(EDATE('核心假设'!$B$5,12+$F6),$D6),SUM('融资租赁与资金缺口'!$D$5:$D$16)*$Y6*'核心假设'!$B$32,0),0),IF(AND(AG$4&gt;EDATE('核心假设'!$B$5,13+$F6),AG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AG$4=EDATE(EDATE('核心假设'!$B$5,13+$F6),$D6),SUM('融资租赁与资金缺口'!$D$5:$D$16)*$Z6*'核心假设'!$B$32,0),0),IF(AND(AG$4&gt;EDATE('核心假设'!$B$5,14+$F6),AG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AG$4=EDATE(EDATE('核心假设'!$B$5,14+$F6),$D6),SUM('融资租赁与资金缺口'!$D$5:$D$16)*$AA6*'核心假设'!$B$32,0),0),IF(AND(AG$4&gt;EDATE('核心假设'!$B$5,15+$F6),AG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AG$4=EDATE(EDATE('核心假设'!$B$5,15+$F6),$D6),SUM('融资租赁与资金缺口'!$D$5:$D$16)*$AB6*'核心假设'!$B$32,0),0),IF(AND(AG$4&gt;EDATE('核心假设'!$B$5,16+$F6),AG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AG$4=EDATE(EDATE('核心假设'!$B$5,16+$F6),$D6),SUM('融资租赁与资金缺口'!$D$5:$D$16)*$AC6*'核心假设'!$B$32,0),0),IF(AND(AG$4&gt;EDATE('核心假设'!$B$5,17+$F6),AG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AG$4=EDATE(EDATE('核心假设'!$B$5,17+$F6),$D6),SUM('融资租赁与资金缺口'!$D$5:$D$16)*$AD6*'核心假设'!$B$32,0),0))</x:f>
        <x:v>0</x:v>
      </x:c>
      <x:c r="AH13" s="28" t="n">
        <x:f>SUM(IF(AND(AH$4&gt;EDATE('核心假设'!$B$5,0+$F6),AH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AH$4=EDATE(EDATE('核心假设'!$B$5,0+$F6),$D6),SUM('融资租赁与资金缺口'!$D$5:$D$16)*$M6*'核心假设'!$B$32,0),0),IF(AND(AH$4&gt;EDATE('核心假设'!$B$5,1+$F6),AH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AH$4=EDATE(EDATE('核心假设'!$B$5,1+$F6),$D6),SUM('融资租赁与资金缺口'!$D$5:$D$16)*$N6*'核心假设'!$B$32,0),0),IF(AND(AH$4&gt;EDATE('核心假设'!$B$5,2+$F6),AH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AH$4=EDATE(EDATE('核心假设'!$B$5,2+$F6),$D6),SUM('融资租赁与资金缺口'!$D$5:$D$16)*$O6*'核心假设'!$B$32,0),0),IF(AND(AH$4&gt;EDATE('核心假设'!$B$5,3+$F6),AH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AH$4=EDATE(EDATE('核心假设'!$B$5,3+$F6),$D6),SUM('融资租赁与资金缺口'!$D$5:$D$16)*$P6*'核心假设'!$B$32,0),0),IF(AND(AH$4&gt;EDATE('核心假设'!$B$5,4+$F6),AH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AH$4=EDATE(EDATE('核心假设'!$B$5,4+$F6),$D6),SUM('融资租赁与资金缺口'!$D$5:$D$16)*$Q6*'核心假设'!$B$32,0),0),IF(AND(AH$4&gt;EDATE('核心假设'!$B$5,5+$F6),AH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AH$4=EDATE(EDATE('核心假设'!$B$5,5+$F6),$D6),SUM('融资租赁与资金缺口'!$D$5:$D$16)*$R6*'核心假设'!$B$32,0),0),IF(AND(AH$4&gt;EDATE('核心假设'!$B$5,6+$F6),AH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AH$4=EDATE(EDATE('核心假设'!$B$5,6+$F6),$D6),SUM('融资租赁与资金缺口'!$D$5:$D$16)*$S6*'核心假设'!$B$32,0),0),IF(AND(AH$4&gt;EDATE('核心假设'!$B$5,7+$F6),AH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AH$4=EDATE(EDATE('核心假设'!$B$5,7+$F6),$D6),SUM('融资租赁与资金缺口'!$D$5:$D$16)*$T6*'核心假设'!$B$32,0),0),IF(AND(AH$4&gt;EDATE('核心假设'!$B$5,8+$F6),AH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AH$4=EDATE(EDATE('核心假设'!$B$5,8+$F6),$D6),SUM('融资租赁与资金缺口'!$D$5:$D$16)*$U6*'核心假设'!$B$32,0),0),IF(AND(AH$4&gt;EDATE('核心假设'!$B$5,9+$F6),AH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AH$4=EDATE(EDATE('核心假设'!$B$5,9+$F6),$D6),SUM('融资租赁与资金缺口'!$D$5:$D$16)*$V6*'核心假设'!$B$32,0),0),IF(AND(AH$4&gt;EDATE('核心假设'!$B$5,10+$F6),AH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AH$4=EDATE(EDATE('核心假设'!$B$5,10+$F6),$D6),SUM('融资租赁与资金缺口'!$D$5:$D$16)*$W6*'核心假设'!$B$32,0),0),IF(AND(AH$4&gt;EDATE('核心假设'!$B$5,11+$F6),AH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AH$4=EDATE(EDATE('核心假设'!$B$5,11+$F6),$D6),SUM('融资租赁与资金缺口'!$D$5:$D$16)*$X6*'核心假设'!$B$32,0),0),IF(AND(AH$4&gt;EDATE('核心假设'!$B$5,12+$F6),AH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AH$4=EDATE(EDATE('核心假设'!$B$5,12+$F6),$D6),SUM('融资租赁与资金缺口'!$D$5:$D$16)*$Y6*'核心假设'!$B$32,0),0),IF(AND(AH$4&gt;EDATE('核心假设'!$B$5,13+$F6),AH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AH$4=EDATE(EDATE('核心假设'!$B$5,13+$F6),$D6),SUM('融资租赁与资金缺口'!$D$5:$D$16)*$Z6*'核心假设'!$B$32,0),0),IF(AND(AH$4&gt;EDATE('核心假设'!$B$5,14+$F6),AH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AH$4=EDATE(EDATE('核心假设'!$B$5,14+$F6),$D6),SUM('融资租赁与资金缺口'!$D$5:$D$16)*$AA6*'核心假设'!$B$32,0),0),IF(AND(AH$4&gt;EDATE('核心假设'!$B$5,15+$F6),AH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AH$4=EDATE(EDATE('核心假设'!$B$5,15+$F6),$D6),SUM('融资租赁与资金缺口'!$D$5:$D$16)*$AB6*'核心假设'!$B$32,0),0),IF(AND(AH$4&gt;EDATE('核心假设'!$B$5,16+$F6),AH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AH$4=EDATE(EDATE('核心假设'!$B$5,16+$F6),$D6),SUM('融资租赁与资金缺口'!$D$5:$D$16)*$AC6*'核心假设'!$B$32,0),0),IF(AND(AH$4&gt;EDATE('核心假设'!$B$5,17+$F6),AH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AH$4=EDATE(EDATE('核心假设'!$B$5,17+$F6),$D6),SUM('融资租赁与资金缺口'!$D$5:$D$16)*$AD6*'核心假设'!$B$32,0),0))</x:f>
        <x:v>844550.8440821789</x:v>
      </x:c>
      <x:c r="AI13" s="28" t="n">
        <x:f>SUM(IF(AND(AI$4&gt;EDATE('核心假设'!$B$5,0+$F6),AI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AI$4=EDATE(EDATE('核心假设'!$B$5,0+$F6),$D6),SUM('融资租赁与资金缺口'!$D$5:$D$16)*$M6*'核心假设'!$B$32,0),0),IF(AND(AI$4&gt;EDATE('核心假设'!$B$5,1+$F6),AI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AI$4=EDATE(EDATE('核心假设'!$B$5,1+$F6),$D6),SUM('融资租赁与资金缺口'!$D$5:$D$16)*$N6*'核心假设'!$B$32,0),0),IF(AND(AI$4&gt;EDATE('核心假设'!$B$5,2+$F6),AI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AI$4=EDATE(EDATE('核心假设'!$B$5,2+$F6),$D6),SUM('融资租赁与资金缺口'!$D$5:$D$16)*$O6*'核心假设'!$B$32,0),0),IF(AND(AI$4&gt;EDATE('核心假设'!$B$5,3+$F6),AI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AI$4=EDATE(EDATE('核心假设'!$B$5,3+$F6),$D6),SUM('融资租赁与资金缺口'!$D$5:$D$16)*$P6*'核心假设'!$B$32,0),0),IF(AND(AI$4&gt;EDATE('核心假设'!$B$5,4+$F6),AI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AI$4=EDATE(EDATE('核心假设'!$B$5,4+$F6),$D6),SUM('融资租赁与资金缺口'!$D$5:$D$16)*$Q6*'核心假设'!$B$32,0),0),IF(AND(AI$4&gt;EDATE('核心假设'!$B$5,5+$F6),AI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AI$4=EDATE(EDATE('核心假设'!$B$5,5+$F6),$D6),SUM('融资租赁与资金缺口'!$D$5:$D$16)*$R6*'核心假设'!$B$32,0),0),IF(AND(AI$4&gt;EDATE('核心假设'!$B$5,6+$F6),AI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AI$4=EDATE(EDATE('核心假设'!$B$5,6+$F6),$D6),SUM('融资租赁与资金缺口'!$D$5:$D$16)*$S6*'核心假设'!$B$32,0),0),IF(AND(AI$4&gt;EDATE('核心假设'!$B$5,7+$F6),AI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AI$4=EDATE(EDATE('核心假设'!$B$5,7+$F6),$D6),SUM('融资租赁与资金缺口'!$D$5:$D$16)*$T6*'核心假设'!$B$32,0),0),IF(AND(AI$4&gt;EDATE('核心假设'!$B$5,8+$F6),AI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AI$4=EDATE(EDATE('核心假设'!$B$5,8+$F6),$D6),SUM('融资租赁与资金缺口'!$D$5:$D$16)*$U6*'核心假设'!$B$32,0),0),IF(AND(AI$4&gt;EDATE('核心假设'!$B$5,9+$F6),AI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AI$4=EDATE(EDATE('核心假设'!$B$5,9+$F6),$D6),SUM('融资租赁与资金缺口'!$D$5:$D$16)*$V6*'核心假设'!$B$32,0),0),IF(AND(AI$4&gt;EDATE('核心假设'!$B$5,10+$F6),AI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AI$4=EDATE(EDATE('核心假设'!$B$5,10+$F6),$D6),SUM('融资租赁与资金缺口'!$D$5:$D$16)*$W6*'核心假设'!$B$32,0),0),IF(AND(AI$4&gt;EDATE('核心假设'!$B$5,11+$F6),AI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AI$4=EDATE(EDATE('核心假设'!$B$5,11+$F6),$D6),SUM('融资租赁与资金缺口'!$D$5:$D$16)*$X6*'核心假设'!$B$32,0),0),IF(AND(AI$4&gt;EDATE('核心假设'!$B$5,12+$F6),AI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AI$4=EDATE(EDATE('核心假设'!$B$5,12+$F6),$D6),SUM('融资租赁与资金缺口'!$D$5:$D$16)*$Y6*'核心假设'!$B$32,0),0),IF(AND(AI$4&gt;EDATE('核心假设'!$B$5,13+$F6),AI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AI$4=EDATE(EDATE('核心假设'!$B$5,13+$F6),$D6),SUM('融资租赁与资金缺口'!$D$5:$D$16)*$Z6*'核心假设'!$B$32,0),0),IF(AND(AI$4&gt;EDATE('核心假设'!$B$5,14+$F6),AI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AI$4=EDATE(EDATE('核心假设'!$B$5,14+$F6),$D6),SUM('融资租赁与资金缺口'!$D$5:$D$16)*$AA6*'核心假设'!$B$32,0),0),IF(AND(AI$4&gt;EDATE('核心假设'!$B$5,15+$F6),AI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AI$4=EDATE(EDATE('核心假设'!$B$5,15+$F6),$D6),SUM('融资租赁与资金缺口'!$D$5:$D$16)*$AB6*'核心假设'!$B$32,0),0),IF(AND(AI$4&gt;EDATE('核心假设'!$B$5,16+$F6),AI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AI$4=EDATE(EDATE('核心假设'!$B$5,16+$F6),$D6),SUM('融资租赁与资金缺口'!$D$5:$D$16)*$AC6*'核心假设'!$B$32,0),0),IF(AND(AI$4&gt;EDATE('核心假设'!$B$5,17+$F6),AI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AI$4=EDATE(EDATE('核心假设'!$B$5,17+$F6),$D6),SUM('融资租赁与资金缺口'!$D$5:$D$16)*$AD6*'核心假设'!$B$32,0),0))</x:f>
        <x:v>1858011.8569807936</x:v>
      </x:c>
      <x:c r="AJ13" s="28" t="n">
        <x:f>SUM(IF(AND(AJ$4&gt;EDATE('核心假设'!$B$5,0+$F6),AJ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AJ$4=EDATE(EDATE('核心假设'!$B$5,0+$F6),$D6),SUM('融资租赁与资金缺口'!$D$5:$D$16)*$M6*'核心假设'!$B$32,0),0),IF(AND(AJ$4&gt;EDATE('核心假设'!$B$5,1+$F6),AJ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AJ$4=EDATE(EDATE('核心假设'!$B$5,1+$F6),$D6),SUM('融资租赁与资金缺口'!$D$5:$D$16)*$N6*'核心假设'!$B$32,0),0),IF(AND(AJ$4&gt;EDATE('核心假设'!$B$5,2+$F6),AJ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AJ$4=EDATE(EDATE('核心假设'!$B$5,2+$F6),$D6),SUM('融资租赁与资金缺口'!$D$5:$D$16)*$O6*'核心假设'!$B$32,0),0),IF(AND(AJ$4&gt;EDATE('核心假设'!$B$5,3+$F6),AJ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AJ$4=EDATE(EDATE('核心假设'!$B$5,3+$F6),$D6),SUM('融资租赁与资金缺口'!$D$5:$D$16)*$P6*'核心假设'!$B$32,0),0),IF(AND(AJ$4&gt;EDATE('核心假设'!$B$5,4+$F6),AJ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AJ$4=EDATE(EDATE('核心假设'!$B$5,4+$F6),$D6),SUM('融资租赁与资金缺口'!$D$5:$D$16)*$Q6*'核心假设'!$B$32,0),0),IF(AND(AJ$4&gt;EDATE('核心假设'!$B$5,5+$F6),AJ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AJ$4=EDATE(EDATE('核心假设'!$B$5,5+$F6),$D6),SUM('融资租赁与资金缺口'!$D$5:$D$16)*$R6*'核心假设'!$B$32,0),0),IF(AND(AJ$4&gt;EDATE('核心假设'!$B$5,6+$F6),AJ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AJ$4=EDATE(EDATE('核心假设'!$B$5,6+$F6),$D6),SUM('融资租赁与资金缺口'!$D$5:$D$16)*$S6*'核心假设'!$B$32,0),0),IF(AND(AJ$4&gt;EDATE('核心假设'!$B$5,7+$F6),AJ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AJ$4=EDATE(EDATE('核心假设'!$B$5,7+$F6),$D6),SUM('融资租赁与资金缺口'!$D$5:$D$16)*$T6*'核心假设'!$B$32,0),0),IF(AND(AJ$4&gt;EDATE('核心假设'!$B$5,8+$F6),AJ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AJ$4=EDATE(EDATE('核心假设'!$B$5,8+$F6),$D6),SUM('融资租赁与资金缺口'!$D$5:$D$16)*$U6*'核心假设'!$B$32,0),0),IF(AND(AJ$4&gt;EDATE('核心假设'!$B$5,9+$F6),AJ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AJ$4=EDATE(EDATE('核心假设'!$B$5,9+$F6),$D6),SUM('融资租赁与资金缺口'!$D$5:$D$16)*$V6*'核心假设'!$B$32,0),0),IF(AND(AJ$4&gt;EDATE('核心假设'!$B$5,10+$F6),AJ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AJ$4=EDATE(EDATE('核心假设'!$B$5,10+$F6),$D6),SUM('融资租赁与资金缺口'!$D$5:$D$16)*$W6*'核心假设'!$B$32,0),0),IF(AND(AJ$4&gt;EDATE('核心假设'!$B$5,11+$F6),AJ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AJ$4=EDATE(EDATE('核心假设'!$B$5,11+$F6),$D6),SUM('融资租赁与资金缺口'!$D$5:$D$16)*$X6*'核心假设'!$B$32,0),0),IF(AND(AJ$4&gt;EDATE('核心假设'!$B$5,12+$F6),AJ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AJ$4=EDATE(EDATE('核心假设'!$B$5,12+$F6),$D6),SUM('融资租赁与资金缺口'!$D$5:$D$16)*$Y6*'核心假设'!$B$32,0),0),IF(AND(AJ$4&gt;EDATE('核心假设'!$B$5,13+$F6),AJ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AJ$4=EDATE(EDATE('核心假设'!$B$5,13+$F6),$D6),SUM('融资租赁与资金缺口'!$D$5:$D$16)*$Z6*'核心假设'!$B$32,0),0),IF(AND(AJ$4&gt;EDATE('核心假设'!$B$5,14+$F6),AJ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AJ$4=EDATE(EDATE('核心假设'!$B$5,14+$F6),$D6),SUM('融资租赁与资金缺口'!$D$5:$D$16)*$AA6*'核心假设'!$B$32,0),0),IF(AND(AJ$4&gt;EDATE('核心假设'!$B$5,15+$F6),AJ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AJ$4=EDATE(EDATE('核心假设'!$B$5,15+$F6),$D6),SUM('融资租赁与资金缺口'!$D$5:$D$16)*$AB6*'核心假设'!$B$32,0),0),IF(AND(AJ$4&gt;EDATE('核心假设'!$B$5,16+$F6),AJ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AJ$4=EDATE(EDATE('核心假设'!$B$5,16+$F6),$D6),SUM('融资租赁与资金缺口'!$D$5:$D$16)*$AC6*'核心假设'!$B$32,0),0),IF(AND(AJ$4&gt;EDATE('核心假设'!$B$5,17+$F6),AJ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AJ$4=EDATE(EDATE('核心假设'!$B$5,17+$F6),$D6),SUM('融资租赁与资金缺口'!$D$5:$D$16)*$AD6*'核心假设'!$B$32,0),0))</x:f>
        <x:v>3040383.038695844</x:v>
      </x:c>
      <x:c r="AK13" s="28" t="n">
        <x:f>SUM(IF(AND(AK$4&gt;EDATE('核心假设'!$B$5,0+$F6),AK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AK$4=EDATE(EDATE('核心假设'!$B$5,0+$F6),$D6),SUM('融资租赁与资金缺口'!$D$5:$D$16)*$M6*'核心假设'!$B$32,0),0),IF(AND(AK$4&gt;EDATE('核心假设'!$B$5,1+$F6),AK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AK$4=EDATE(EDATE('核心假设'!$B$5,1+$F6),$D6),SUM('融资租赁与资金缺口'!$D$5:$D$16)*$N6*'核心假设'!$B$32,0),0),IF(AND(AK$4&gt;EDATE('核心假设'!$B$5,2+$F6),AK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AK$4=EDATE(EDATE('核心假设'!$B$5,2+$F6),$D6),SUM('融资租赁与资金缺口'!$D$5:$D$16)*$O6*'核心假设'!$B$32,0),0),IF(AND(AK$4&gt;EDATE('核心假设'!$B$5,3+$F6),AK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AK$4=EDATE(EDATE('核心假设'!$B$5,3+$F6),$D6),SUM('融资租赁与资金缺口'!$D$5:$D$16)*$P6*'核心假设'!$B$32,0),0),IF(AND(AK$4&gt;EDATE('核心假设'!$B$5,4+$F6),AK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AK$4=EDATE(EDATE('核心假设'!$B$5,4+$F6),$D6),SUM('融资租赁与资金缺口'!$D$5:$D$16)*$Q6*'核心假设'!$B$32,0),0),IF(AND(AK$4&gt;EDATE('核心假设'!$B$5,5+$F6),AK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AK$4=EDATE(EDATE('核心假设'!$B$5,5+$F6),$D6),SUM('融资租赁与资金缺口'!$D$5:$D$16)*$R6*'核心假设'!$B$32,0),0),IF(AND(AK$4&gt;EDATE('核心假设'!$B$5,6+$F6),AK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AK$4=EDATE(EDATE('核心假设'!$B$5,6+$F6),$D6),SUM('融资租赁与资金缺口'!$D$5:$D$16)*$S6*'核心假设'!$B$32,0),0),IF(AND(AK$4&gt;EDATE('核心假设'!$B$5,7+$F6),AK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AK$4=EDATE(EDATE('核心假设'!$B$5,7+$F6),$D6),SUM('融资租赁与资金缺口'!$D$5:$D$16)*$T6*'核心假设'!$B$32,0),0),IF(AND(AK$4&gt;EDATE('核心假设'!$B$5,8+$F6),AK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AK$4=EDATE(EDATE('核心假设'!$B$5,8+$F6),$D6),SUM('融资租赁与资金缺口'!$D$5:$D$16)*$U6*'核心假设'!$B$32,0),0),IF(AND(AK$4&gt;EDATE('核心假设'!$B$5,9+$F6),AK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AK$4=EDATE(EDATE('核心假设'!$B$5,9+$F6),$D6),SUM('融资租赁与资金缺口'!$D$5:$D$16)*$V6*'核心假设'!$B$32,0),0),IF(AND(AK$4&gt;EDATE('核心假设'!$B$5,10+$F6),AK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AK$4=EDATE(EDATE('核心假设'!$B$5,10+$F6),$D6),SUM('融资租赁与资金缺口'!$D$5:$D$16)*$W6*'核心假设'!$B$32,0),0),IF(AND(AK$4&gt;EDATE('核心假设'!$B$5,11+$F6),AK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AK$4=EDATE(EDATE('核心假设'!$B$5,11+$F6),$D6),SUM('融资租赁与资金缺口'!$D$5:$D$16)*$X6*'核心假设'!$B$32,0),0),IF(AND(AK$4&gt;EDATE('核心假设'!$B$5,12+$F6),AK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AK$4=EDATE(EDATE('核心假设'!$B$5,12+$F6),$D6),SUM('融资租赁与资金缺口'!$D$5:$D$16)*$Y6*'核心假设'!$B$32,0),0),IF(AND(AK$4&gt;EDATE('核心假设'!$B$5,13+$F6),AK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AK$4=EDATE(EDATE('核心假设'!$B$5,13+$F6),$D6),SUM('融资租赁与资金缺口'!$D$5:$D$16)*$Z6*'核心假设'!$B$32,0),0),IF(AND(AK$4&gt;EDATE('核心假设'!$B$5,14+$F6),AK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AK$4=EDATE(EDATE('核心假设'!$B$5,14+$F6),$D6),SUM('融资租赁与资金缺口'!$D$5:$D$16)*$AA6*'核心假设'!$B$32,0),0),IF(AND(AK$4&gt;EDATE('核心假设'!$B$5,15+$F6),AK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AK$4=EDATE(EDATE('核心假设'!$B$5,15+$F6),$D6),SUM('融资租赁与资金缺口'!$D$5:$D$16)*$AB6*'核心假设'!$B$32,0),0),IF(AND(AK$4&gt;EDATE('核心假设'!$B$5,16+$F6),AK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AK$4=EDATE(EDATE('核心假设'!$B$5,16+$F6),$D6),SUM('融资租赁与资金缺口'!$D$5:$D$16)*$AC6*'核心假设'!$B$32,0),0),IF(AND(AK$4&gt;EDATE('核心假设'!$B$5,17+$F6),AK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AK$4=EDATE(EDATE('核心假设'!$B$5,17+$F6),$D6),SUM('融资租赁与资金缺口'!$D$5:$D$16)*$AD6*'核心假设'!$B$32,0),0))</x:f>
        <x:v>4391664.389227331</x:v>
      </x:c>
      <x:c r="AL13" s="28" t="n">
        <x:f>SUM(IF(AND(AL$4&gt;EDATE('核心假设'!$B$5,0+$F6),AL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AL$4=EDATE(EDATE('核心假设'!$B$5,0+$F6),$D6),SUM('融资租赁与资金缺口'!$D$5:$D$16)*$M6*'核心假设'!$B$32,0),0),IF(AND(AL$4&gt;EDATE('核心假设'!$B$5,1+$F6),AL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AL$4=EDATE(EDATE('核心假设'!$B$5,1+$F6),$D6),SUM('融资租赁与资金缺口'!$D$5:$D$16)*$N6*'核心假设'!$B$32,0),0),IF(AND(AL$4&gt;EDATE('核心假设'!$B$5,2+$F6),AL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AL$4=EDATE(EDATE('核心假设'!$B$5,2+$F6),$D6),SUM('融资租赁与资金缺口'!$D$5:$D$16)*$O6*'核心假设'!$B$32,0),0),IF(AND(AL$4&gt;EDATE('核心假设'!$B$5,3+$F6),AL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AL$4=EDATE(EDATE('核心假设'!$B$5,3+$F6),$D6),SUM('融资租赁与资金缺口'!$D$5:$D$16)*$P6*'核心假设'!$B$32,0),0),IF(AND(AL$4&gt;EDATE('核心假设'!$B$5,4+$F6),AL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AL$4=EDATE(EDATE('核心假设'!$B$5,4+$F6),$D6),SUM('融资租赁与资金缺口'!$D$5:$D$16)*$Q6*'核心假设'!$B$32,0),0),IF(AND(AL$4&gt;EDATE('核心假设'!$B$5,5+$F6),AL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AL$4=EDATE(EDATE('核心假设'!$B$5,5+$F6),$D6),SUM('融资租赁与资金缺口'!$D$5:$D$16)*$R6*'核心假设'!$B$32,0),0),IF(AND(AL$4&gt;EDATE('核心假设'!$B$5,6+$F6),AL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AL$4=EDATE(EDATE('核心假设'!$B$5,6+$F6),$D6),SUM('融资租赁与资金缺口'!$D$5:$D$16)*$S6*'核心假设'!$B$32,0),0),IF(AND(AL$4&gt;EDATE('核心假设'!$B$5,7+$F6),AL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AL$4=EDATE(EDATE('核心假设'!$B$5,7+$F6),$D6),SUM('融资租赁与资金缺口'!$D$5:$D$16)*$T6*'核心假设'!$B$32,0),0),IF(AND(AL$4&gt;EDATE('核心假设'!$B$5,8+$F6),AL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AL$4=EDATE(EDATE('核心假设'!$B$5,8+$F6),$D6),SUM('融资租赁与资金缺口'!$D$5:$D$16)*$U6*'核心假设'!$B$32,0),0),IF(AND(AL$4&gt;EDATE('核心假设'!$B$5,9+$F6),AL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AL$4=EDATE(EDATE('核心假设'!$B$5,9+$F6),$D6),SUM('融资租赁与资金缺口'!$D$5:$D$16)*$V6*'核心假设'!$B$32,0),0),IF(AND(AL$4&gt;EDATE('核心假设'!$B$5,10+$F6),AL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AL$4=EDATE(EDATE('核心假设'!$B$5,10+$F6),$D6),SUM('融资租赁与资金缺口'!$D$5:$D$16)*$W6*'核心假设'!$B$32,0),0),IF(AND(AL$4&gt;EDATE('核心假设'!$B$5,11+$F6),AL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AL$4=EDATE(EDATE('核心假设'!$B$5,11+$F6),$D6),SUM('融资租赁与资金缺口'!$D$5:$D$16)*$X6*'核心假设'!$B$32,0),0),IF(AND(AL$4&gt;EDATE('核心假设'!$B$5,12+$F6),AL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AL$4=EDATE(EDATE('核心假设'!$B$5,12+$F6),$D6),SUM('融资租赁与资金缺口'!$D$5:$D$16)*$Y6*'核心假设'!$B$32,0),0),IF(AND(AL$4&gt;EDATE('核心假设'!$B$5,13+$F6),AL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AL$4=EDATE(EDATE('核心假设'!$B$5,13+$F6),$D6),SUM('融资租赁与资金缺口'!$D$5:$D$16)*$Z6*'核心假设'!$B$32,0),0),IF(AND(AL$4&gt;EDATE('核心假设'!$B$5,14+$F6),AL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AL$4=EDATE(EDATE('核心假设'!$B$5,14+$F6),$D6),SUM('融资租赁与资金缺口'!$D$5:$D$16)*$AA6*'核心假设'!$B$32,0),0),IF(AND(AL$4&gt;EDATE('核心假设'!$B$5,15+$F6),AL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AL$4=EDATE(EDATE('核心假设'!$B$5,15+$F6),$D6),SUM('融资租赁与资金缺口'!$D$5:$D$16)*$AB6*'核心假设'!$B$32,0),0),IF(AND(AL$4&gt;EDATE('核心假设'!$B$5,16+$F6),AL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AL$4=EDATE(EDATE('核心假设'!$B$5,16+$F6),$D6),SUM('融资租赁与资金缺口'!$D$5:$D$16)*$AC6*'核心假设'!$B$32,0),0),IF(AND(AL$4&gt;EDATE('核心假设'!$B$5,17+$F6),AL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AL$4=EDATE(EDATE('核心假设'!$B$5,17+$F6),$D6),SUM('融资租赁与资金缺口'!$D$5:$D$16)*$AD6*'核心假设'!$B$32,0),0))</x:f>
        <x:v>5911855.908575253</x:v>
      </x:c>
      <x:c r="AM13" s="28" t="n">
        <x:f>SUM(IF(AND(AM$4&gt;EDATE('核心假设'!$B$5,0+$F6),AM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AM$4=EDATE(EDATE('核心假设'!$B$5,0+$F6),$D6),SUM('融资租赁与资金缺口'!$D$5:$D$16)*$M6*'核心假设'!$B$32,0),0),IF(AND(AM$4&gt;EDATE('核心假设'!$B$5,1+$F6),AM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AM$4=EDATE(EDATE('核心假设'!$B$5,1+$F6),$D6),SUM('融资租赁与资金缺口'!$D$5:$D$16)*$N6*'核心假设'!$B$32,0),0),IF(AND(AM$4&gt;EDATE('核心假设'!$B$5,2+$F6),AM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AM$4=EDATE(EDATE('核心假设'!$B$5,2+$F6),$D6),SUM('融资租赁与资金缺口'!$D$5:$D$16)*$O6*'核心假设'!$B$32,0),0),IF(AND(AM$4&gt;EDATE('核心假设'!$B$5,3+$F6),AM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AM$4=EDATE(EDATE('核心假设'!$B$5,3+$F6),$D6),SUM('融资租赁与资金缺口'!$D$5:$D$16)*$P6*'核心假设'!$B$32,0),0),IF(AND(AM$4&gt;EDATE('核心假设'!$B$5,4+$F6),AM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AM$4=EDATE(EDATE('核心假设'!$B$5,4+$F6),$D6),SUM('融资租赁与资金缺口'!$D$5:$D$16)*$Q6*'核心假设'!$B$32,0),0),IF(AND(AM$4&gt;EDATE('核心假设'!$B$5,5+$F6),AM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AM$4=EDATE(EDATE('核心假设'!$B$5,5+$F6),$D6),SUM('融资租赁与资金缺口'!$D$5:$D$16)*$R6*'核心假设'!$B$32,0),0),IF(AND(AM$4&gt;EDATE('核心假设'!$B$5,6+$F6),AM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AM$4=EDATE(EDATE('核心假设'!$B$5,6+$F6),$D6),SUM('融资租赁与资金缺口'!$D$5:$D$16)*$S6*'核心假设'!$B$32,0),0),IF(AND(AM$4&gt;EDATE('核心假设'!$B$5,7+$F6),AM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AM$4=EDATE(EDATE('核心假设'!$B$5,7+$F6),$D6),SUM('融资租赁与资金缺口'!$D$5:$D$16)*$T6*'核心假设'!$B$32,0),0),IF(AND(AM$4&gt;EDATE('核心假设'!$B$5,8+$F6),AM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AM$4=EDATE(EDATE('核心假设'!$B$5,8+$F6),$D6),SUM('融资租赁与资金缺口'!$D$5:$D$16)*$U6*'核心假设'!$B$32,0),0),IF(AND(AM$4&gt;EDATE('核心假设'!$B$5,9+$F6),AM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AM$4=EDATE(EDATE('核心假设'!$B$5,9+$F6),$D6),SUM('融资租赁与资金缺口'!$D$5:$D$16)*$V6*'核心假设'!$B$32,0),0),IF(AND(AM$4&gt;EDATE('核心假设'!$B$5,10+$F6),AM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AM$4=EDATE(EDATE('核心假设'!$B$5,10+$F6),$D6),SUM('融资租赁与资金缺口'!$D$5:$D$16)*$W6*'核心假设'!$B$32,0),0),IF(AND(AM$4&gt;EDATE('核心假设'!$B$5,11+$F6),AM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AM$4=EDATE(EDATE('核心假设'!$B$5,11+$F6),$D6),SUM('融资租赁与资金缺口'!$D$5:$D$16)*$X6*'核心假设'!$B$32,0),0),IF(AND(AM$4&gt;EDATE('核心假设'!$B$5,12+$F6),AM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AM$4=EDATE(EDATE('核心假设'!$B$5,12+$F6),$D6),SUM('融资租赁与资金缺口'!$D$5:$D$16)*$Y6*'核心假设'!$B$32,0),0),IF(AND(AM$4&gt;EDATE('核心假设'!$B$5,13+$F6),AM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AM$4=EDATE(EDATE('核心假设'!$B$5,13+$F6),$D6),SUM('融资租赁与资金缺口'!$D$5:$D$16)*$Z6*'核心假设'!$B$32,0),0),IF(AND(AM$4&gt;EDATE('核心假设'!$B$5,14+$F6),AM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AM$4=EDATE(EDATE('核心假设'!$B$5,14+$F6),$D6),SUM('融资租赁与资金缺口'!$D$5:$D$16)*$AA6*'核心假设'!$B$32,0),0),IF(AND(AM$4&gt;EDATE('核心假设'!$B$5,15+$F6),AM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AM$4=EDATE(EDATE('核心假设'!$B$5,15+$F6),$D6),SUM('融资租赁与资金缺口'!$D$5:$D$16)*$AB6*'核心假设'!$B$32,0),0),IF(AND(AM$4&gt;EDATE('核心假设'!$B$5,16+$F6),AM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AM$4=EDATE(EDATE('核心假设'!$B$5,16+$F6),$D6),SUM('融资租赁与资金缺口'!$D$5:$D$16)*$AC6*'核心假设'!$B$32,0),0),IF(AND(AM$4&gt;EDATE('核心假设'!$B$5,17+$F6),AM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AM$4=EDATE(EDATE('核心假设'!$B$5,17+$F6),$D6),SUM('融资租赁与资金缺口'!$D$5:$D$16)*$AD6*'核心假设'!$B$32,0),0))</x:f>
        <x:v>7600957.596739611</x:v>
      </x:c>
      <x:c r="AN13" s="28" t="n">
        <x:f>SUM(IF(AND(AN$4&gt;EDATE('核心假设'!$B$5,0+$F6),AN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AN$4=EDATE(EDATE('核心假设'!$B$5,0+$F6),$D6),SUM('融资租赁与资金缺口'!$D$5:$D$16)*$M6*'核心假设'!$B$32,0),0),IF(AND(AN$4&gt;EDATE('核心假设'!$B$5,1+$F6),AN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AN$4=EDATE(EDATE('核心假设'!$B$5,1+$F6),$D6),SUM('融资租赁与资金缺口'!$D$5:$D$16)*$N6*'核心假设'!$B$32,0),0),IF(AND(AN$4&gt;EDATE('核心假设'!$B$5,2+$F6),AN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AN$4=EDATE(EDATE('核心假设'!$B$5,2+$F6),$D6),SUM('融资租赁与资金缺口'!$D$5:$D$16)*$O6*'核心假设'!$B$32,0),0),IF(AND(AN$4&gt;EDATE('核心假设'!$B$5,3+$F6),AN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AN$4=EDATE(EDATE('核心假设'!$B$5,3+$F6),$D6),SUM('融资租赁与资金缺口'!$D$5:$D$16)*$P6*'核心假设'!$B$32,0),0),IF(AND(AN$4&gt;EDATE('核心假设'!$B$5,4+$F6),AN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AN$4=EDATE(EDATE('核心假设'!$B$5,4+$F6),$D6),SUM('融资租赁与资金缺口'!$D$5:$D$16)*$Q6*'核心假设'!$B$32,0),0),IF(AND(AN$4&gt;EDATE('核心假设'!$B$5,5+$F6),AN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AN$4=EDATE(EDATE('核心假设'!$B$5,5+$F6),$D6),SUM('融资租赁与资金缺口'!$D$5:$D$16)*$R6*'核心假设'!$B$32,0),0),IF(AND(AN$4&gt;EDATE('核心假设'!$B$5,6+$F6),AN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AN$4=EDATE(EDATE('核心假设'!$B$5,6+$F6),$D6),SUM('融资租赁与资金缺口'!$D$5:$D$16)*$S6*'核心假设'!$B$32,0),0),IF(AND(AN$4&gt;EDATE('核心假设'!$B$5,7+$F6),AN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AN$4=EDATE(EDATE('核心假设'!$B$5,7+$F6),$D6),SUM('融资租赁与资金缺口'!$D$5:$D$16)*$T6*'核心假设'!$B$32,0),0),IF(AND(AN$4&gt;EDATE('核心假设'!$B$5,8+$F6),AN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AN$4=EDATE(EDATE('核心假设'!$B$5,8+$F6),$D6),SUM('融资租赁与资金缺口'!$D$5:$D$16)*$U6*'核心假设'!$B$32,0),0),IF(AND(AN$4&gt;EDATE('核心假设'!$B$5,9+$F6),AN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AN$4=EDATE(EDATE('核心假设'!$B$5,9+$F6),$D6),SUM('融资租赁与资金缺口'!$D$5:$D$16)*$V6*'核心假设'!$B$32,0),0),IF(AND(AN$4&gt;EDATE('核心假设'!$B$5,10+$F6),AN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AN$4=EDATE(EDATE('核心假设'!$B$5,10+$F6),$D6),SUM('融资租赁与资金缺口'!$D$5:$D$16)*$W6*'核心假设'!$B$32,0),0),IF(AND(AN$4&gt;EDATE('核心假设'!$B$5,11+$F6),AN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AN$4=EDATE(EDATE('核心假设'!$B$5,11+$F6),$D6),SUM('融资租赁与资金缺口'!$D$5:$D$16)*$X6*'核心假设'!$B$32,0),0),IF(AND(AN$4&gt;EDATE('核心假设'!$B$5,12+$F6),AN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AN$4=EDATE(EDATE('核心假设'!$B$5,12+$F6),$D6),SUM('融资租赁与资金缺口'!$D$5:$D$16)*$Y6*'核心假设'!$B$32,0),0),IF(AND(AN$4&gt;EDATE('核心假设'!$B$5,13+$F6),AN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AN$4=EDATE(EDATE('核心假设'!$B$5,13+$F6),$D6),SUM('融资租赁与资金缺口'!$D$5:$D$16)*$Z6*'核心假设'!$B$32,0),0),IF(AND(AN$4&gt;EDATE('核心假设'!$B$5,14+$F6),AN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AN$4=EDATE(EDATE('核心假设'!$B$5,14+$F6),$D6),SUM('融资租赁与资金缺口'!$D$5:$D$16)*$AA6*'核心假设'!$B$32,0),0),IF(AND(AN$4&gt;EDATE('核心假设'!$B$5,15+$F6),AN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AN$4=EDATE(EDATE('核心假设'!$B$5,15+$F6),$D6),SUM('融资租赁与资金缺口'!$D$5:$D$16)*$AB6*'核心假设'!$B$32,0),0),IF(AND(AN$4&gt;EDATE('核心假设'!$B$5,16+$F6),AN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AN$4=EDATE(EDATE('核心假设'!$B$5,16+$F6),$D6),SUM('融资租赁与资金缺口'!$D$5:$D$16)*$AC6*'核心假设'!$B$32,0),0),IF(AND(AN$4&gt;EDATE('核心假设'!$B$5,17+$F6),AN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AN$4=EDATE(EDATE('核心假设'!$B$5,17+$F6),$D6),SUM('融资租赁与资金缺口'!$D$5:$D$16)*$AD6*'核心假设'!$B$32,0),0))</x:f>
        <x:v>9458969.453720404</x:v>
      </x:c>
      <x:c r="AO13" s="28" t="n">
        <x:f>SUM(IF(AND(AO$4&gt;EDATE('核心假设'!$B$5,0+$F6),AO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AO$4=EDATE(EDATE('核心假设'!$B$5,0+$F6),$D6),SUM('融资租赁与资金缺口'!$D$5:$D$16)*$M6*'核心假设'!$B$32,0),0),IF(AND(AO$4&gt;EDATE('核心假设'!$B$5,1+$F6),AO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AO$4=EDATE(EDATE('核心假设'!$B$5,1+$F6),$D6),SUM('融资租赁与资金缺口'!$D$5:$D$16)*$N6*'核心假设'!$B$32,0),0),IF(AND(AO$4&gt;EDATE('核心假设'!$B$5,2+$F6),AO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AO$4=EDATE(EDATE('核心假设'!$B$5,2+$F6),$D6),SUM('融资租赁与资金缺口'!$D$5:$D$16)*$O6*'核心假设'!$B$32,0),0),IF(AND(AO$4&gt;EDATE('核心假设'!$B$5,3+$F6),AO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AO$4=EDATE(EDATE('核心假设'!$B$5,3+$F6),$D6),SUM('融资租赁与资金缺口'!$D$5:$D$16)*$P6*'核心假设'!$B$32,0),0),IF(AND(AO$4&gt;EDATE('核心假设'!$B$5,4+$F6),AO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AO$4=EDATE(EDATE('核心假设'!$B$5,4+$F6),$D6),SUM('融资租赁与资金缺口'!$D$5:$D$16)*$Q6*'核心假设'!$B$32,0),0),IF(AND(AO$4&gt;EDATE('核心假设'!$B$5,5+$F6),AO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AO$4=EDATE(EDATE('核心假设'!$B$5,5+$F6),$D6),SUM('融资租赁与资金缺口'!$D$5:$D$16)*$R6*'核心假设'!$B$32,0),0),IF(AND(AO$4&gt;EDATE('核心假设'!$B$5,6+$F6),AO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AO$4=EDATE(EDATE('核心假设'!$B$5,6+$F6),$D6),SUM('融资租赁与资金缺口'!$D$5:$D$16)*$S6*'核心假设'!$B$32,0),0),IF(AND(AO$4&gt;EDATE('核心假设'!$B$5,7+$F6),AO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AO$4=EDATE(EDATE('核心假设'!$B$5,7+$F6),$D6),SUM('融资租赁与资金缺口'!$D$5:$D$16)*$T6*'核心假设'!$B$32,0),0),IF(AND(AO$4&gt;EDATE('核心假设'!$B$5,8+$F6),AO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AO$4=EDATE(EDATE('核心假设'!$B$5,8+$F6),$D6),SUM('融资租赁与资金缺口'!$D$5:$D$16)*$U6*'核心假设'!$B$32,0),0),IF(AND(AO$4&gt;EDATE('核心假设'!$B$5,9+$F6),AO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AO$4=EDATE(EDATE('核心假设'!$B$5,9+$F6),$D6),SUM('融资租赁与资金缺口'!$D$5:$D$16)*$V6*'核心假设'!$B$32,0),0),IF(AND(AO$4&gt;EDATE('核心假设'!$B$5,10+$F6),AO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AO$4=EDATE(EDATE('核心假设'!$B$5,10+$F6),$D6),SUM('融资租赁与资金缺口'!$D$5:$D$16)*$W6*'核心假设'!$B$32,0),0),IF(AND(AO$4&gt;EDATE('核心假设'!$B$5,11+$F6),AO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AO$4=EDATE(EDATE('核心假设'!$B$5,11+$F6),$D6),SUM('融资租赁与资金缺口'!$D$5:$D$16)*$X6*'核心假设'!$B$32,0),0),IF(AND(AO$4&gt;EDATE('核心假设'!$B$5,12+$F6),AO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AO$4=EDATE(EDATE('核心假设'!$B$5,12+$F6),$D6),SUM('融资租赁与资金缺口'!$D$5:$D$16)*$Y6*'核心假设'!$B$32,0),0),IF(AND(AO$4&gt;EDATE('核心假设'!$B$5,13+$F6),AO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AO$4=EDATE(EDATE('核心假设'!$B$5,13+$F6),$D6),SUM('融资租赁与资金缺口'!$D$5:$D$16)*$Z6*'核心假设'!$B$32,0),0),IF(AND(AO$4&gt;EDATE('核心假设'!$B$5,14+$F6),AO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AO$4=EDATE(EDATE('核心假设'!$B$5,14+$F6),$D6),SUM('融资租赁与资金缺口'!$D$5:$D$16)*$AA6*'核心假设'!$B$32,0),0),IF(AND(AO$4&gt;EDATE('核心假设'!$B$5,15+$F6),AO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AO$4=EDATE(EDATE('核心假设'!$B$5,15+$F6),$D6),SUM('融资租赁与资金缺口'!$D$5:$D$16)*$AB6*'核心假设'!$B$32,0),0),IF(AND(AO$4&gt;EDATE('核心假设'!$B$5,16+$F6),AO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AO$4=EDATE(EDATE('核心假设'!$B$5,16+$F6),$D6),SUM('融资租赁与资金缺口'!$D$5:$D$16)*$AC6*'核心假设'!$B$32,0),0),IF(AND(AO$4&gt;EDATE('核心假设'!$B$5,17+$F6),AO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AO$4=EDATE(EDATE('核心假设'!$B$5,17+$F6),$D6),SUM('融资租赁与资金缺口'!$D$5:$D$16)*$AD6*'核心假设'!$B$32,0),0))</x:f>
        <x:v>11316981.310701197</x:v>
      </x:c>
      <x:c r="AP13" s="28" t="n">
        <x:f>SUM(IF(AND(AP$4&gt;EDATE('核心假设'!$B$5,0+$F6),AP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AP$4=EDATE(EDATE('核心假设'!$B$5,0+$F6),$D6),SUM('融资租赁与资金缺口'!$D$5:$D$16)*$M6*'核心假设'!$B$32,0),0),IF(AND(AP$4&gt;EDATE('核心假设'!$B$5,1+$F6),AP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AP$4=EDATE(EDATE('核心假设'!$B$5,1+$F6),$D6),SUM('融资租赁与资金缺口'!$D$5:$D$16)*$N6*'核心假设'!$B$32,0),0),IF(AND(AP$4&gt;EDATE('核心假设'!$B$5,2+$F6),AP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AP$4=EDATE(EDATE('核心假设'!$B$5,2+$F6),$D6),SUM('融资租赁与资金缺口'!$D$5:$D$16)*$O6*'核心假设'!$B$32,0),0),IF(AND(AP$4&gt;EDATE('核心假设'!$B$5,3+$F6),AP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AP$4=EDATE(EDATE('核心假设'!$B$5,3+$F6),$D6),SUM('融资租赁与资金缺口'!$D$5:$D$16)*$P6*'核心假设'!$B$32,0),0),IF(AND(AP$4&gt;EDATE('核心假设'!$B$5,4+$F6),AP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AP$4=EDATE(EDATE('核心假设'!$B$5,4+$F6),$D6),SUM('融资租赁与资金缺口'!$D$5:$D$16)*$Q6*'核心假设'!$B$32,0),0),IF(AND(AP$4&gt;EDATE('核心假设'!$B$5,5+$F6),AP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AP$4=EDATE(EDATE('核心假设'!$B$5,5+$F6),$D6),SUM('融资租赁与资金缺口'!$D$5:$D$16)*$R6*'核心假设'!$B$32,0),0),IF(AND(AP$4&gt;EDATE('核心假设'!$B$5,6+$F6),AP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AP$4=EDATE(EDATE('核心假设'!$B$5,6+$F6),$D6),SUM('融资租赁与资金缺口'!$D$5:$D$16)*$S6*'核心假设'!$B$32,0),0),IF(AND(AP$4&gt;EDATE('核心假设'!$B$5,7+$F6),AP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AP$4=EDATE(EDATE('核心假设'!$B$5,7+$F6),$D6),SUM('融资租赁与资金缺口'!$D$5:$D$16)*$T6*'核心假设'!$B$32,0),0),IF(AND(AP$4&gt;EDATE('核心假设'!$B$5,8+$F6),AP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AP$4=EDATE(EDATE('核心假设'!$B$5,8+$F6),$D6),SUM('融资租赁与资金缺口'!$D$5:$D$16)*$U6*'核心假设'!$B$32,0),0),IF(AND(AP$4&gt;EDATE('核心假设'!$B$5,9+$F6),AP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AP$4=EDATE(EDATE('核心假设'!$B$5,9+$F6),$D6),SUM('融资租赁与资金缺口'!$D$5:$D$16)*$V6*'核心假设'!$B$32,0),0),IF(AND(AP$4&gt;EDATE('核心假设'!$B$5,10+$F6),AP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AP$4=EDATE(EDATE('核心假设'!$B$5,10+$F6),$D6),SUM('融资租赁与资金缺口'!$D$5:$D$16)*$W6*'核心假设'!$B$32,0),0),IF(AND(AP$4&gt;EDATE('核心假设'!$B$5,11+$F6),AP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AP$4=EDATE(EDATE('核心假设'!$B$5,11+$F6),$D6),SUM('融资租赁与资金缺口'!$D$5:$D$16)*$X6*'核心假设'!$B$32,0),0),IF(AND(AP$4&gt;EDATE('核心假设'!$B$5,12+$F6),AP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AP$4=EDATE(EDATE('核心假设'!$B$5,12+$F6),$D6),SUM('融资租赁与资金缺口'!$D$5:$D$16)*$Y6*'核心假设'!$B$32,0),0),IF(AND(AP$4&gt;EDATE('核心假设'!$B$5,13+$F6),AP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AP$4=EDATE(EDATE('核心假设'!$B$5,13+$F6),$D6),SUM('融资租赁与资金缺口'!$D$5:$D$16)*$Z6*'核心假设'!$B$32,0),0),IF(AND(AP$4&gt;EDATE('核心假设'!$B$5,14+$F6),AP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AP$4=EDATE(EDATE('核心假设'!$B$5,14+$F6),$D6),SUM('融资租赁与资金缺口'!$D$5:$D$16)*$AA6*'核心假设'!$B$32,0),0),IF(AND(AP$4&gt;EDATE('核心假设'!$B$5,15+$F6),AP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AP$4=EDATE(EDATE('核心假设'!$B$5,15+$F6),$D6),SUM('融资租赁与资金缺口'!$D$5:$D$16)*$AB6*'核心假设'!$B$32,0),0),IF(AND(AP$4&gt;EDATE('核心假设'!$B$5,16+$F6),AP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AP$4=EDATE(EDATE('核心假设'!$B$5,16+$F6),$D6),SUM('融资租赁与资金缺口'!$D$5:$D$16)*$AC6*'核心假设'!$B$32,0),0),IF(AND(AP$4&gt;EDATE('核心假设'!$B$5,17+$F6),AP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AP$4=EDATE(EDATE('核心假设'!$B$5,17+$F6),$D6),SUM('融资租赁与资金缺口'!$D$5:$D$16)*$AD6*'核心假设'!$B$32,0),0))</x:f>
        <x:v>13006082.998865554</x:v>
      </x:c>
      <x:c r="AQ13" s="28" t="n">
        <x:f>SUM(IF(AND(AQ$4&gt;EDATE('核心假设'!$B$5,0+$F6),AQ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AQ$4=EDATE(EDATE('核心假设'!$B$5,0+$F6),$D6),SUM('融资租赁与资金缺口'!$D$5:$D$16)*$M6*'核心假设'!$B$32,0),0),IF(AND(AQ$4&gt;EDATE('核心假设'!$B$5,1+$F6),AQ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AQ$4=EDATE(EDATE('核心假设'!$B$5,1+$F6),$D6),SUM('融资租赁与资金缺口'!$D$5:$D$16)*$N6*'核心假设'!$B$32,0),0),IF(AND(AQ$4&gt;EDATE('核心假设'!$B$5,2+$F6),AQ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AQ$4=EDATE(EDATE('核心假设'!$B$5,2+$F6),$D6),SUM('融资租赁与资金缺口'!$D$5:$D$16)*$O6*'核心假设'!$B$32,0),0),IF(AND(AQ$4&gt;EDATE('核心假设'!$B$5,3+$F6),AQ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AQ$4=EDATE(EDATE('核心假设'!$B$5,3+$F6),$D6),SUM('融资租赁与资金缺口'!$D$5:$D$16)*$P6*'核心假设'!$B$32,0),0),IF(AND(AQ$4&gt;EDATE('核心假设'!$B$5,4+$F6),AQ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AQ$4=EDATE(EDATE('核心假设'!$B$5,4+$F6),$D6),SUM('融资租赁与资金缺口'!$D$5:$D$16)*$Q6*'核心假设'!$B$32,0),0),IF(AND(AQ$4&gt;EDATE('核心假设'!$B$5,5+$F6),AQ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AQ$4=EDATE(EDATE('核心假设'!$B$5,5+$F6),$D6),SUM('融资租赁与资金缺口'!$D$5:$D$16)*$R6*'核心假设'!$B$32,0),0),IF(AND(AQ$4&gt;EDATE('核心假设'!$B$5,6+$F6),AQ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AQ$4=EDATE(EDATE('核心假设'!$B$5,6+$F6),$D6),SUM('融资租赁与资金缺口'!$D$5:$D$16)*$S6*'核心假设'!$B$32,0),0),IF(AND(AQ$4&gt;EDATE('核心假设'!$B$5,7+$F6),AQ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AQ$4=EDATE(EDATE('核心假设'!$B$5,7+$F6),$D6),SUM('融资租赁与资金缺口'!$D$5:$D$16)*$T6*'核心假设'!$B$32,0),0),IF(AND(AQ$4&gt;EDATE('核心假设'!$B$5,8+$F6),AQ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AQ$4=EDATE(EDATE('核心假设'!$B$5,8+$F6),$D6),SUM('融资租赁与资金缺口'!$D$5:$D$16)*$U6*'核心假设'!$B$32,0),0),IF(AND(AQ$4&gt;EDATE('核心假设'!$B$5,9+$F6),AQ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AQ$4=EDATE(EDATE('核心假设'!$B$5,9+$F6),$D6),SUM('融资租赁与资金缺口'!$D$5:$D$16)*$V6*'核心假设'!$B$32,0),0),IF(AND(AQ$4&gt;EDATE('核心假设'!$B$5,10+$F6),AQ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AQ$4=EDATE(EDATE('核心假设'!$B$5,10+$F6),$D6),SUM('融资租赁与资金缺口'!$D$5:$D$16)*$W6*'核心假设'!$B$32,0),0),IF(AND(AQ$4&gt;EDATE('核心假设'!$B$5,11+$F6),AQ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AQ$4=EDATE(EDATE('核心假设'!$B$5,11+$F6),$D6),SUM('融资租赁与资金缺口'!$D$5:$D$16)*$X6*'核心假设'!$B$32,0),0),IF(AND(AQ$4&gt;EDATE('核心假设'!$B$5,12+$F6),AQ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AQ$4=EDATE(EDATE('核心假设'!$B$5,12+$F6),$D6),SUM('融资租赁与资金缺口'!$D$5:$D$16)*$Y6*'核心假设'!$B$32,0),0),IF(AND(AQ$4&gt;EDATE('核心假设'!$B$5,13+$F6),AQ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AQ$4=EDATE(EDATE('核心假设'!$B$5,13+$F6),$D6),SUM('融资租赁与资金缺口'!$D$5:$D$16)*$Z6*'核心假设'!$B$32,0),0),IF(AND(AQ$4&gt;EDATE('核心假设'!$B$5,14+$F6),AQ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AQ$4=EDATE(EDATE('核心假设'!$B$5,14+$F6),$D6),SUM('融资租赁与资金缺口'!$D$5:$D$16)*$AA6*'核心假设'!$B$32,0),0),IF(AND(AQ$4&gt;EDATE('核心假设'!$B$5,15+$F6),AQ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AQ$4=EDATE(EDATE('核心假设'!$B$5,15+$F6),$D6),SUM('融资租赁与资金缺口'!$D$5:$D$16)*$AB6*'核心假设'!$B$32,0),0),IF(AND(AQ$4&gt;EDATE('核心假设'!$B$5,16+$F6),AQ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AQ$4=EDATE(EDATE('核心假设'!$B$5,16+$F6),$D6),SUM('融资租赁与资金缺口'!$D$5:$D$16)*$AC6*'核心假设'!$B$32,0),0),IF(AND(AQ$4&gt;EDATE('核心假设'!$B$5,17+$F6),AQ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AQ$4=EDATE(EDATE('核心假设'!$B$5,17+$F6),$D6),SUM('融资租赁与资金缺口'!$D$5:$D$16)*$AD6*'核心假设'!$B$32,0),0))</x:f>
        <x:v>14526274.518213477</x:v>
      </x:c>
      <x:c r="AR13" s="28" t="n">
        <x:f>SUM(IF(AND(AR$4&gt;EDATE('核心假设'!$B$5,0+$F6),AR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AR$4=EDATE(EDATE('核心假设'!$B$5,0+$F6),$D6),SUM('融资租赁与资金缺口'!$D$5:$D$16)*$M6*'核心假设'!$B$32,0),0),IF(AND(AR$4&gt;EDATE('核心假设'!$B$5,1+$F6),AR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AR$4=EDATE(EDATE('核心假设'!$B$5,1+$F6),$D6),SUM('融资租赁与资金缺口'!$D$5:$D$16)*$N6*'核心假设'!$B$32,0),0),IF(AND(AR$4&gt;EDATE('核心假设'!$B$5,2+$F6),AR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AR$4=EDATE(EDATE('核心假设'!$B$5,2+$F6),$D6),SUM('融资租赁与资金缺口'!$D$5:$D$16)*$O6*'核心假设'!$B$32,0),0),IF(AND(AR$4&gt;EDATE('核心假设'!$B$5,3+$F6),AR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AR$4=EDATE(EDATE('核心假设'!$B$5,3+$F6),$D6),SUM('融资租赁与资金缺口'!$D$5:$D$16)*$P6*'核心假设'!$B$32,0),0),IF(AND(AR$4&gt;EDATE('核心假设'!$B$5,4+$F6),AR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AR$4=EDATE(EDATE('核心假设'!$B$5,4+$F6),$D6),SUM('融资租赁与资金缺口'!$D$5:$D$16)*$Q6*'核心假设'!$B$32,0),0),IF(AND(AR$4&gt;EDATE('核心假设'!$B$5,5+$F6),AR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AR$4=EDATE(EDATE('核心假设'!$B$5,5+$F6),$D6),SUM('融资租赁与资金缺口'!$D$5:$D$16)*$R6*'核心假设'!$B$32,0),0),IF(AND(AR$4&gt;EDATE('核心假设'!$B$5,6+$F6),AR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AR$4=EDATE(EDATE('核心假设'!$B$5,6+$F6),$D6),SUM('融资租赁与资金缺口'!$D$5:$D$16)*$S6*'核心假设'!$B$32,0),0),IF(AND(AR$4&gt;EDATE('核心假设'!$B$5,7+$F6),AR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AR$4=EDATE(EDATE('核心假设'!$B$5,7+$F6),$D6),SUM('融资租赁与资金缺口'!$D$5:$D$16)*$T6*'核心假设'!$B$32,0),0),IF(AND(AR$4&gt;EDATE('核心假设'!$B$5,8+$F6),AR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AR$4=EDATE(EDATE('核心假设'!$B$5,8+$F6),$D6),SUM('融资租赁与资金缺口'!$D$5:$D$16)*$U6*'核心假设'!$B$32,0),0),IF(AND(AR$4&gt;EDATE('核心假设'!$B$5,9+$F6),AR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AR$4=EDATE(EDATE('核心假设'!$B$5,9+$F6),$D6),SUM('融资租赁与资金缺口'!$D$5:$D$16)*$V6*'核心假设'!$B$32,0),0),IF(AND(AR$4&gt;EDATE('核心假设'!$B$5,10+$F6),AR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AR$4=EDATE(EDATE('核心假设'!$B$5,10+$F6),$D6),SUM('融资租赁与资金缺口'!$D$5:$D$16)*$W6*'核心假设'!$B$32,0),0),IF(AND(AR$4&gt;EDATE('核心假设'!$B$5,11+$F6),AR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AR$4=EDATE(EDATE('核心假设'!$B$5,11+$F6),$D6),SUM('融资租赁与资金缺口'!$D$5:$D$16)*$X6*'核心假设'!$B$32,0),0),IF(AND(AR$4&gt;EDATE('核心假设'!$B$5,12+$F6),AR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AR$4=EDATE(EDATE('核心假设'!$B$5,12+$F6),$D6),SUM('融资租赁与资金缺口'!$D$5:$D$16)*$Y6*'核心假设'!$B$32,0),0),IF(AND(AR$4&gt;EDATE('核心假设'!$B$5,13+$F6),AR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AR$4=EDATE(EDATE('核心假设'!$B$5,13+$F6),$D6),SUM('融资租赁与资金缺口'!$D$5:$D$16)*$Z6*'核心假设'!$B$32,0),0),IF(AND(AR$4&gt;EDATE('核心假设'!$B$5,14+$F6),AR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AR$4=EDATE(EDATE('核心假设'!$B$5,14+$F6),$D6),SUM('融资租赁与资金缺口'!$D$5:$D$16)*$AA6*'核心假设'!$B$32,0),0),IF(AND(AR$4&gt;EDATE('核心假设'!$B$5,15+$F6),AR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AR$4=EDATE(EDATE('核心假设'!$B$5,15+$F6),$D6),SUM('融资租赁与资金缺口'!$D$5:$D$16)*$AB6*'核心假设'!$B$32,0),0),IF(AND(AR$4&gt;EDATE('核心假设'!$B$5,16+$F6),AR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AR$4=EDATE(EDATE('核心假设'!$B$5,16+$F6),$D6),SUM('融资租赁与资金缺口'!$D$5:$D$16)*$AC6*'核心假设'!$B$32,0),0),IF(AND(AR$4&gt;EDATE('核心假设'!$B$5,17+$F6),AR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AR$4=EDATE(EDATE('核心假设'!$B$5,17+$F6),$D6),SUM('融资租赁与资金缺口'!$D$5:$D$16)*$AD6*'核心假设'!$B$32,0),0))</x:f>
        <x:v>15877555.868744964</x:v>
      </x:c>
      <x:c r="AS13" s="28" t="n">
        <x:f>SUM(IF(AND(AS$4&gt;EDATE('核心假设'!$B$5,0+$F6),AS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AS$4=EDATE(EDATE('核心假设'!$B$5,0+$F6),$D6),SUM('融资租赁与资金缺口'!$D$5:$D$16)*$M6*'核心假设'!$B$32,0),0),IF(AND(AS$4&gt;EDATE('核心假设'!$B$5,1+$F6),AS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AS$4=EDATE(EDATE('核心假设'!$B$5,1+$F6),$D6),SUM('融资租赁与资金缺口'!$D$5:$D$16)*$N6*'核心假设'!$B$32,0),0),IF(AND(AS$4&gt;EDATE('核心假设'!$B$5,2+$F6),AS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AS$4=EDATE(EDATE('核心假设'!$B$5,2+$F6),$D6),SUM('融资租赁与资金缺口'!$D$5:$D$16)*$O6*'核心假设'!$B$32,0),0),IF(AND(AS$4&gt;EDATE('核心假设'!$B$5,3+$F6),AS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AS$4=EDATE(EDATE('核心假设'!$B$5,3+$F6),$D6),SUM('融资租赁与资金缺口'!$D$5:$D$16)*$P6*'核心假设'!$B$32,0),0),IF(AND(AS$4&gt;EDATE('核心假设'!$B$5,4+$F6),AS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AS$4=EDATE(EDATE('核心假设'!$B$5,4+$F6),$D6),SUM('融资租赁与资金缺口'!$D$5:$D$16)*$Q6*'核心假设'!$B$32,0),0),IF(AND(AS$4&gt;EDATE('核心假设'!$B$5,5+$F6),AS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AS$4=EDATE(EDATE('核心假设'!$B$5,5+$F6),$D6),SUM('融资租赁与资金缺口'!$D$5:$D$16)*$R6*'核心假设'!$B$32,0),0),IF(AND(AS$4&gt;EDATE('核心假设'!$B$5,6+$F6),AS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AS$4=EDATE(EDATE('核心假设'!$B$5,6+$F6),$D6),SUM('融资租赁与资金缺口'!$D$5:$D$16)*$S6*'核心假设'!$B$32,0),0),IF(AND(AS$4&gt;EDATE('核心假设'!$B$5,7+$F6),AS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AS$4=EDATE(EDATE('核心假设'!$B$5,7+$F6),$D6),SUM('融资租赁与资金缺口'!$D$5:$D$16)*$T6*'核心假设'!$B$32,0),0),IF(AND(AS$4&gt;EDATE('核心假设'!$B$5,8+$F6),AS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AS$4=EDATE(EDATE('核心假设'!$B$5,8+$F6),$D6),SUM('融资租赁与资金缺口'!$D$5:$D$16)*$U6*'核心假设'!$B$32,0),0),IF(AND(AS$4&gt;EDATE('核心假设'!$B$5,9+$F6),AS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AS$4=EDATE(EDATE('核心假设'!$B$5,9+$F6),$D6),SUM('融资租赁与资金缺口'!$D$5:$D$16)*$V6*'核心假设'!$B$32,0),0),IF(AND(AS$4&gt;EDATE('核心假设'!$B$5,10+$F6),AS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AS$4=EDATE(EDATE('核心假设'!$B$5,10+$F6),$D6),SUM('融资租赁与资金缺口'!$D$5:$D$16)*$W6*'核心假设'!$B$32,0),0),IF(AND(AS$4&gt;EDATE('核心假设'!$B$5,11+$F6),AS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AS$4=EDATE(EDATE('核心假设'!$B$5,11+$F6),$D6),SUM('融资租赁与资金缺口'!$D$5:$D$16)*$X6*'核心假设'!$B$32,0),0),IF(AND(AS$4&gt;EDATE('核心假设'!$B$5,12+$F6),AS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AS$4=EDATE(EDATE('核心假设'!$B$5,12+$F6),$D6),SUM('融资租赁与资金缺口'!$D$5:$D$16)*$Y6*'核心假设'!$B$32,0),0),IF(AND(AS$4&gt;EDATE('核心假设'!$B$5,13+$F6),AS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AS$4=EDATE(EDATE('核心假设'!$B$5,13+$F6),$D6),SUM('融资租赁与资金缺口'!$D$5:$D$16)*$Z6*'核心假设'!$B$32,0),0),IF(AND(AS$4&gt;EDATE('核心假设'!$B$5,14+$F6),AS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AS$4=EDATE(EDATE('核心假设'!$B$5,14+$F6),$D6),SUM('融资租赁与资金缺口'!$D$5:$D$16)*$AA6*'核心假设'!$B$32,0),0),IF(AND(AS$4&gt;EDATE('核心假设'!$B$5,15+$F6),AS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AS$4=EDATE(EDATE('核心假设'!$B$5,15+$F6),$D6),SUM('融资租赁与资金缺口'!$D$5:$D$16)*$AB6*'核心假设'!$B$32,0),0),IF(AND(AS$4&gt;EDATE('核心假设'!$B$5,16+$F6),AS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AS$4=EDATE(EDATE('核心假设'!$B$5,16+$F6),$D6),SUM('融资租赁与资金缺口'!$D$5:$D$16)*$AC6*'核心假设'!$B$32,0),0),IF(AND(AS$4&gt;EDATE('核心假设'!$B$5,17+$F6),AS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AS$4=EDATE(EDATE('核心假设'!$B$5,17+$F6),$D6),SUM('融资租赁与资金缺口'!$D$5:$D$16)*$AD6*'核心假设'!$B$32,0),0))</x:f>
        <x:v>16891016.88164358</x:v>
      </x:c>
      <x:c r="AT13" s="28" t="n">
        <x:f>SUM(IF(AND(AT$4&gt;EDATE('核心假设'!$B$5,0+$F6),AT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AT$4=EDATE(EDATE('核心假设'!$B$5,0+$F6),$D6),SUM('融资租赁与资金缺口'!$D$5:$D$16)*$M6*'核心假设'!$B$32,0),0),IF(AND(AT$4&gt;EDATE('核心假设'!$B$5,1+$F6),AT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AT$4=EDATE(EDATE('核心假设'!$B$5,1+$F6),$D6),SUM('融资租赁与资金缺口'!$D$5:$D$16)*$N6*'核心假设'!$B$32,0),0),IF(AND(AT$4&gt;EDATE('核心假设'!$B$5,2+$F6),AT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AT$4=EDATE(EDATE('核心假设'!$B$5,2+$F6),$D6),SUM('融资租赁与资金缺口'!$D$5:$D$16)*$O6*'核心假设'!$B$32,0),0),IF(AND(AT$4&gt;EDATE('核心假设'!$B$5,3+$F6),AT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AT$4=EDATE(EDATE('核心假设'!$B$5,3+$F6),$D6),SUM('融资租赁与资金缺口'!$D$5:$D$16)*$P6*'核心假设'!$B$32,0),0),IF(AND(AT$4&gt;EDATE('核心假设'!$B$5,4+$F6),AT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AT$4=EDATE(EDATE('核心假设'!$B$5,4+$F6),$D6),SUM('融资租赁与资金缺口'!$D$5:$D$16)*$Q6*'核心假设'!$B$32,0),0),IF(AND(AT$4&gt;EDATE('核心假设'!$B$5,5+$F6),AT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AT$4=EDATE(EDATE('核心假设'!$B$5,5+$F6),$D6),SUM('融资租赁与资金缺口'!$D$5:$D$16)*$R6*'核心假设'!$B$32,0),0),IF(AND(AT$4&gt;EDATE('核心假设'!$B$5,6+$F6),AT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AT$4=EDATE(EDATE('核心假设'!$B$5,6+$F6),$D6),SUM('融资租赁与资金缺口'!$D$5:$D$16)*$S6*'核心假设'!$B$32,0),0),IF(AND(AT$4&gt;EDATE('核心假设'!$B$5,7+$F6),AT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AT$4=EDATE(EDATE('核心假设'!$B$5,7+$F6),$D6),SUM('融资租赁与资金缺口'!$D$5:$D$16)*$T6*'核心假设'!$B$32,0),0),IF(AND(AT$4&gt;EDATE('核心假设'!$B$5,8+$F6),AT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AT$4=EDATE(EDATE('核心假设'!$B$5,8+$F6),$D6),SUM('融资租赁与资金缺口'!$D$5:$D$16)*$U6*'核心假设'!$B$32,0),0),IF(AND(AT$4&gt;EDATE('核心假设'!$B$5,9+$F6),AT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AT$4=EDATE(EDATE('核心假设'!$B$5,9+$F6),$D6),SUM('融资租赁与资金缺口'!$D$5:$D$16)*$V6*'核心假设'!$B$32,0),0),IF(AND(AT$4&gt;EDATE('核心假设'!$B$5,10+$F6),AT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AT$4=EDATE(EDATE('核心假设'!$B$5,10+$F6),$D6),SUM('融资租赁与资金缺口'!$D$5:$D$16)*$W6*'核心假设'!$B$32,0),0),IF(AND(AT$4&gt;EDATE('核心假设'!$B$5,11+$F6),AT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AT$4=EDATE(EDATE('核心假设'!$B$5,11+$F6),$D6),SUM('融资租赁与资金缺口'!$D$5:$D$16)*$X6*'核心假设'!$B$32,0),0),IF(AND(AT$4&gt;EDATE('核心假设'!$B$5,12+$F6),AT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AT$4=EDATE(EDATE('核心假设'!$B$5,12+$F6),$D6),SUM('融资租赁与资金缺口'!$D$5:$D$16)*$Y6*'核心假设'!$B$32,0),0),IF(AND(AT$4&gt;EDATE('核心假设'!$B$5,13+$F6),AT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AT$4=EDATE(EDATE('核心假设'!$B$5,13+$F6),$D6),SUM('融资租赁与资金缺口'!$D$5:$D$16)*$Z6*'核心假设'!$B$32,0),0),IF(AND(AT$4&gt;EDATE('核心假设'!$B$5,14+$F6),AT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AT$4=EDATE(EDATE('核心假设'!$B$5,14+$F6),$D6),SUM('融资租赁与资金缺口'!$D$5:$D$16)*$AA6*'核心假设'!$B$32,0),0),IF(AND(AT$4&gt;EDATE('核心假设'!$B$5,15+$F6),AT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AT$4=EDATE(EDATE('核心假设'!$B$5,15+$F6),$D6),SUM('融资租赁与资金缺口'!$D$5:$D$16)*$AB6*'核心假设'!$B$32,0),0),IF(AND(AT$4&gt;EDATE('核心假设'!$B$5,16+$F6),AT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AT$4=EDATE(EDATE('核心假设'!$B$5,16+$F6),$D6),SUM('融资租赁与资金缺口'!$D$5:$D$16)*$AC6*'核心假设'!$B$32,0),0),IF(AND(AT$4&gt;EDATE('核心假设'!$B$5,17+$F6),AT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AT$4=EDATE(EDATE('核心假设'!$B$5,17+$F6),$D6),SUM('融资租赁与资金缺口'!$D$5:$D$16)*$AD6*'核心假设'!$B$32,0),0))</x:f>
        <x:v>16891016.88164358</x:v>
      </x:c>
      <x:c r="AU13" s="28" t="n">
        <x:f>SUM(IF(AND(AU$4&gt;EDATE('核心假设'!$B$5,0+$F6),AU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AU$4=EDATE(EDATE('核心假设'!$B$5,0+$F6),$D6),SUM('融资租赁与资金缺口'!$D$5:$D$16)*$M6*'核心假设'!$B$32,0),0),IF(AND(AU$4&gt;EDATE('核心假设'!$B$5,1+$F6),AU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AU$4=EDATE(EDATE('核心假设'!$B$5,1+$F6),$D6),SUM('融资租赁与资金缺口'!$D$5:$D$16)*$N6*'核心假设'!$B$32,0),0),IF(AND(AU$4&gt;EDATE('核心假设'!$B$5,2+$F6),AU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AU$4=EDATE(EDATE('核心假设'!$B$5,2+$F6),$D6),SUM('融资租赁与资金缺口'!$D$5:$D$16)*$O6*'核心假设'!$B$32,0),0),IF(AND(AU$4&gt;EDATE('核心假设'!$B$5,3+$F6),AU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AU$4=EDATE(EDATE('核心假设'!$B$5,3+$F6),$D6),SUM('融资租赁与资金缺口'!$D$5:$D$16)*$P6*'核心假设'!$B$32,0),0),IF(AND(AU$4&gt;EDATE('核心假设'!$B$5,4+$F6),AU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AU$4=EDATE(EDATE('核心假设'!$B$5,4+$F6),$D6),SUM('融资租赁与资金缺口'!$D$5:$D$16)*$Q6*'核心假设'!$B$32,0),0),IF(AND(AU$4&gt;EDATE('核心假设'!$B$5,5+$F6),AU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AU$4=EDATE(EDATE('核心假设'!$B$5,5+$F6),$D6),SUM('融资租赁与资金缺口'!$D$5:$D$16)*$R6*'核心假设'!$B$32,0),0),IF(AND(AU$4&gt;EDATE('核心假设'!$B$5,6+$F6),AU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AU$4=EDATE(EDATE('核心假设'!$B$5,6+$F6),$D6),SUM('融资租赁与资金缺口'!$D$5:$D$16)*$S6*'核心假设'!$B$32,0),0),IF(AND(AU$4&gt;EDATE('核心假设'!$B$5,7+$F6),AU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AU$4=EDATE(EDATE('核心假设'!$B$5,7+$F6),$D6),SUM('融资租赁与资金缺口'!$D$5:$D$16)*$T6*'核心假设'!$B$32,0),0),IF(AND(AU$4&gt;EDATE('核心假设'!$B$5,8+$F6),AU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AU$4=EDATE(EDATE('核心假设'!$B$5,8+$F6),$D6),SUM('融资租赁与资金缺口'!$D$5:$D$16)*$U6*'核心假设'!$B$32,0),0),IF(AND(AU$4&gt;EDATE('核心假设'!$B$5,9+$F6),AU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AU$4=EDATE(EDATE('核心假设'!$B$5,9+$F6),$D6),SUM('融资租赁与资金缺口'!$D$5:$D$16)*$V6*'核心假设'!$B$32,0),0),IF(AND(AU$4&gt;EDATE('核心假设'!$B$5,10+$F6),AU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AU$4=EDATE(EDATE('核心假设'!$B$5,10+$F6),$D6),SUM('融资租赁与资金缺口'!$D$5:$D$16)*$W6*'核心假设'!$B$32,0),0),IF(AND(AU$4&gt;EDATE('核心假设'!$B$5,11+$F6),AU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AU$4=EDATE(EDATE('核心假设'!$B$5,11+$F6),$D6),SUM('融资租赁与资金缺口'!$D$5:$D$16)*$X6*'核心假设'!$B$32,0),0),IF(AND(AU$4&gt;EDATE('核心假设'!$B$5,12+$F6),AU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AU$4=EDATE(EDATE('核心假设'!$B$5,12+$F6),$D6),SUM('融资租赁与资金缺口'!$D$5:$D$16)*$Y6*'核心假设'!$B$32,0),0),IF(AND(AU$4&gt;EDATE('核心假设'!$B$5,13+$F6),AU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AU$4=EDATE(EDATE('核心假设'!$B$5,13+$F6),$D6),SUM('融资租赁与资金缺口'!$D$5:$D$16)*$Z6*'核心假设'!$B$32,0),0),IF(AND(AU$4&gt;EDATE('核心假设'!$B$5,14+$F6),AU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AU$4=EDATE(EDATE('核心假设'!$B$5,14+$F6),$D6),SUM('融资租赁与资金缺口'!$D$5:$D$16)*$AA6*'核心假设'!$B$32,0),0),IF(AND(AU$4&gt;EDATE('核心假设'!$B$5,15+$F6),AU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AU$4=EDATE(EDATE('核心假设'!$B$5,15+$F6),$D6),SUM('融资租赁与资金缺口'!$D$5:$D$16)*$AB6*'核心假设'!$B$32,0),0),IF(AND(AU$4&gt;EDATE('核心假设'!$B$5,16+$F6),AU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AU$4=EDATE(EDATE('核心假设'!$B$5,16+$F6),$D6),SUM('融资租赁与资金缺口'!$D$5:$D$16)*$AC6*'核心假设'!$B$32,0),0),IF(AND(AU$4&gt;EDATE('核心假设'!$B$5,17+$F6),AU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AU$4=EDATE(EDATE('核心假设'!$B$5,17+$F6),$D6),SUM('融资租赁与资金缺口'!$D$5:$D$16)*$AD6*'核心假设'!$B$32,0),0))</x:f>
        <x:v>16891016.88164358</x:v>
      </x:c>
      <x:c r="AV13" s="28" t="n">
        <x:f>SUM(IF(AND(AV$4&gt;EDATE('核心假设'!$B$5,0+$F6),AV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AV$4=EDATE(EDATE('核心假设'!$B$5,0+$F6),$D6),SUM('融资租赁与资金缺口'!$D$5:$D$16)*$M6*'核心假设'!$B$32,0),0),IF(AND(AV$4&gt;EDATE('核心假设'!$B$5,1+$F6),AV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AV$4=EDATE(EDATE('核心假设'!$B$5,1+$F6),$D6),SUM('融资租赁与资金缺口'!$D$5:$D$16)*$N6*'核心假设'!$B$32,0),0),IF(AND(AV$4&gt;EDATE('核心假设'!$B$5,2+$F6),AV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AV$4=EDATE(EDATE('核心假设'!$B$5,2+$F6),$D6),SUM('融资租赁与资金缺口'!$D$5:$D$16)*$O6*'核心假设'!$B$32,0),0),IF(AND(AV$4&gt;EDATE('核心假设'!$B$5,3+$F6),AV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AV$4=EDATE(EDATE('核心假设'!$B$5,3+$F6),$D6),SUM('融资租赁与资金缺口'!$D$5:$D$16)*$P6*'核心假设'!$B$32,0),0),IF(AND(AV$4&gt;EDATE('核心假设'!$B$5,4+$F6),AV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AV$4=EDATE(EDATE('核心假设'!$B$5,4+$F6),$D6),SUM('融资租赁与资金缺口'!$D$5:$D$16)*$Q6*'核心假设'!$B$32,0),0),IF(AND(AV$4&gt;EDATE('核心假设'!$B$5,5+$F6),AV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AV$4=EDATE(EDATE('核心假设'!$B$5,5+$F6),$D6),SUM('融资租赁与资金缺口'!$D$5:$D$16)*$R6*'核心假设'!$B$32,0),0),IF(AND(AV$4&gt;EDATE('核心假设'!$B$5,6+$F6),AV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AV$4=EDATE(EDATE('核心假设'!$B$5,6+$F6),$D6),SUM('融资租赁与资金缺口'!$D$5:$D$16)*$S6*'核心假设'!$B$32,0),0),IF(AND(AV$4&gt;EDATE('核心假设'!$B$5,7+$F6),AV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AV$4=EDATE(EDATE('核心假设'!$B$5,7+$F6),$D6),SUM('融资租赁与资金缺口'!$D$5:$D$16)*$T6*'核心假设'!$B$32,0),0),IF(AND(AV$4&gt;EDATE('核心假设'!$B$5,8+$F6),AV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AV$4=EDATE(EDATE('核心假设'!$B$5,8+$F6),$D6),SUM('融资租赁与资金缺口'!$D$5:$D$16)*$U6*'核心假设'!$B$32,0),0),IF(AND(AV$4&gt;EDATE('核心假设'!$B$5,9+$F6),AV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AV$4=EDATE(EDATE('核心假设'!$B$5,9+$F6),$D6),SUM('融资租赁与资金缺口'!$D$5:$D$16)*$V6*'核心假设'!$B$32,0),0),IF(AND(AV$4&gt;EDATE('核心假设'!$B$5,10+$F6),AV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AV$4=EDATE(EDATE('核心假设'!$B$5,10+$F6),$D6),SUM('融资租赁与资金缺口'!$D$5:$D$16)*$W6*'核心假设'!$B$32,0),0),IF(AND(AV$4&gt;EDATE('核心假设'!$B$5,11+$F6),AV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AV$4=EDATE(EDATE('核心假设'!$B$5,11+$F6),$D6),SUM('融资租赁与资金缺口'!$D$5:$D$16)*$X6*'核心假设'!$B$32,0),0),IF(AND(AV$4&gt;EDATE('核心假设'!$B$5,12+$F6),AV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AV$4=EDATE(EDATE('核心假设'!$B$5,12+$F6),$D6),SUM('融资租赁与资金缺口'!$D$5:$D$16)*$Y6*'核心假设'!$B$32,0),0),IF(AND(AV$4&gt;EDATE('核心假设'!$B$5,13+$F6),AV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AV$4=EDATE(EDATE('核心假设'!$B$5,13+$F6),$D6),SUM('融资租赁与资金缺口'!$D$5:$D$16)*$Z6*'核心假设'!$B$32,0),0),IF(AND(AV$4&gt;EDATE('核心假设'!$B$5,14+$F6),AV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AV$4=EDATE(EDATE('核心假设'!$B$5,14+$F6),$D6),SUM('融资租赁与资金缺口'!$D$5:$D$16)*$AA6*'核心假设'!$B$32,0),0),IF(AND(AV$4&gt;EDATE('核心假设'!$B$5,15+$F6),AV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AV$4=EDATE(EDATE('核心假设'!$B$5,15+$F6),$D6),SUM('融资租赁与资金缺口'!$D$5:$D$16)*$AB6*'核心假设'!$B$32,0),0),IF(AND(AV$4&gt;EDATE('核心假设'!$B$5,16+$F6),AV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AV$4=EDATE(EDATE('核心假设'!$B$5,16+$F6),$D6),SUM('融资租赁与资金缺口'!$D$5:$D$16)*$AC6*'核心假设'!$B$32,0),0),IF(AND(AV$4&gt;EDATE('核心假设'!$B$5,17+$F6),AV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AV$4=EDATE(EDATE('核心假设'!$B$5,17+$F6),$D6),SUM('融资租赁与资金缺口'!$D$5:$D$16)*$AD6*'核心假设'!$B$32,0),0))</x:f>
        <x:v>16891016.88164358</x:v>
      </x:c>
      <x:c r="AW13" s="28" t="n">
        <x:f>SUM(IF(AND(AW$4&gt;EDATE('核心假设'!$B$5,0+$F6),AW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AW$4=EDATE(EDATE('核心假设'!$B$5,0+$F6),$D6),SUM('融资租赁与资金缺口'!$D$5:$D$16)*$M6*'核心假设'!$B$32,0),0),IF(AND(AW$4&gt;EDATE('核心假设'!$B$5,1+$F6),AW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AW$4=EDATE(EDATE('核心假设'!$B$5,1+$F6),$D6),SUM('融资租赁与资金缺口'!$D$5:$D$16)*$N6*'核心假设'!$B$32,0),0),IF(AND(AW$4&gt;EDATE('核心假设'!$B$5,2+$F6),AW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AW$4=EDATE(EDATE('核心假设'!$B$5,2+$F6),$D6),SUM('融资租赁与资金缺口'!$D$5:$D$16)*$O6*'核心假设'!$B$32,0),0),IF(AND(AW$4&gt;EDATE('核心假设'!$B$5,3+$F6),AW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AW$4=EDATE(EDATE('核心假设'!$B$5,3+$F6),$D6),SUM('融资租赁与资金缺口'!$D$5:$D$16)*$P6*'核心假设'!$B$32,0),0),IF(AND(AW$4&gt;EDATE('核心假设'!$B$5,4+$F6),AW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AW$4=EDATE(EDATE('核心假设'!$B$5,4+$F6),$D6),SUM('融资租赁与资金缺口'!$D$5:$D$16)*$Q6*'核心假设'!$B$32,0),0),IF(AND(AW$4&gt;EDATE('核心假设'!$B$5,5+$F6),AW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AW$4=EDATE(EDATE('核心假设'!$B$5,5+$F6),$D6),SUM('融资租赁与资金缺口'!$D$5:$D$16)*$R6*'核心假设'!$B$32,0),0),IF(AND(AW$4&gt;EDATE('核心假设'!$B$5,6+$F6),AW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AW$4=EDATE(EDATE('核心假设'!$B$5,6+$F6),$D6),SUM('融资租赁与资金缺口'!$D$5:$D$16)*$S6*'核心假设'!$B$32,0),0),IF(AND(AW$4&gt;EDATE('核心假设'!$B$5,7+$F6),AW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AW$4=EDATE(EDATE('核心假设'!$B$5,7+$F6),$D6),SUM('融资租赁与资金缺口'!$D$5:$D$16)*$T6*'核心假设'!$B$32,0),0),IF(AND(AW$4&gt;EDATE('核心假设'!$B$5,8+$F6),AW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AW$4=EDATE(EDATE('核心假设'!$B$5,8+$F6),$D6),SUM('融资租赁与资金缺口'!$D$5:$D$16)*$U6*'核心假设'!$B$32,0),0),IF(AND(AW$4&gt;EDATE('核心假设'!$B$5,9+$F6),AW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AW$4=EDATE(EDATE('核心假设'!$B$5,9+$F6),$D6),SUM('融资租赁与资金缺口'!$D$5:$D$16)*$V6*'核心假设'!$B$32,0),0),IF(AND(AW$4&gt;EDATE('核心假设'!$B$5,10+$F6),AW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AW$4=EDATE(EDATE('核心假设'!$B$5,10+$F6),$D6),SUM('融资租赁与资金缺口'!$D$5:$D$16)*$W6*'核心假设'!$B$32,0),0),IF(AND(AW$4&gt;EDATE('核心假设'!$B$5,11+$F6),AW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AW$4=EDATE(EDATE('核心假设'!$B$5,11+$F6),$D6),SUM('融资租赁与资金缺口'!$D$5:$D$16)*$X6*'核心假设'!$B$32,0),0),IF(AND(AW$4&gt;EDATE('核心假设'!$B$5,12+$F6),AW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AW$4=EDATE(EDATE('核心假设'!$B$5,12+$F6),$D6),SUM('融资租赁与资金缺口'!$D$5:$D$16)*$Y6*'核心假设'!$B$32,0),0),IF(AND(AW$4&gt;EDATE('核心假设'!$B$5,13+$F6),AW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AW$4=EDATE(EDATE('核心假设'!$B$5,13+$F6),$D6),SUM('融资租赁与资金缺口'!$D$5:$D$16)*$Z6*'核心假设'!$B$32,0),0),IF(AND(AW$4&gt;EDATE('核心假设'!$B$5,14+$F6),AW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AW$4=EDATE(EDATE('核心假设'!$B$5,14+$F6),$D6),SUM('融资租赁与资金缺口'!$D$5:$D$16)*$AA6*'核心假设'!$B$32,0),0),IF(AND(AW$4&gt;EDATE('核心假设'!$B$5,15+$F6),AW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AW$4=EDATE(EDATE('核心假设'!$B$5,15+$F6),$D6),SUM('融资租赁与资金缺口'!$D$5:$D$16)*$AB6*'核心假设'!$B$32,0),0),IF(AND(AW$4&gt;EDATE('核心假设'!$B$5,16+$F6),AW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AW$4=EDATE(EDATE('核心假设'!$B$5,16+$F6),$D6),SUM('融资租赁与资金缺口'!$D$5:$D$16)*$AC6*'核心假设'!$B$32,0),0),IF(AND(AW$4&gt;EDATE('核心假设'!$B$5,17+$F6),AW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AW$4=EDATE(EDATE('核心假设'!$B$5,17+$F6),$D6),SUM('融资租赁与资金缺口'!$D$5:$D$16)*$AD6*'核心假设'!$B$32,0),0))</x:f>
        <x:v>16891016.88164358</x:v>
      </x:c>
      <x:c r="AX13" s="28" t="n">
        <x:f>SUM(IF(AND(AX$4&gt;EDATE('核心假设'!$B$5,0+$F6),AX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AX$4=EDATE(EDATE('核心假设'!$B$5,0+$F6),$D6),SUM('融资租赁与资金缺口'!$D$5:$D$16)*$M6*'核心假设'!$B$32,0),0),IF(AND(AX$4&gt;EDATE('核心假设'!$B$5,1+$F6),AX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AX$4=EDATE(EDATE('核心假设'!$B$5,1+$F6),$D6),SUM('融资租赁与资金缺口'!$D$5:$D$16)*$N6*'核心假设'!$B$32,0),0),IF(AND(AX$4&gt;EDATE('核心假设'!$B$5,2+$F6),AX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AX$4=EDATE(EDATE('核心假设'!$B$5,2+$F6),$D6),SUM('融资租赁与资金缺口'!$D$5:$D$16)*$O6*'核心假设'!$B$32,0),0),IF(AND(AX$4&gt;EDATE('核心假设'!$B$5,3+$F6),AX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AX$4=EDATE(EDATE('核心假设'!$B$5,3+$F6),$D6),SUM('融资租赁与资金缺口'!$D$5:$D$16)*$P6*'核心假设'!$B$32,0),0),IF(AND(AX$4&gt;EDATE('核心假设'!$B$5,4+$F6),AX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AX$4=EDATE(EDATE('核心假设'!$B$5,4+$F6),$D6),SUM('融资租赁与资金缺口'!$D$5:$D$16)*$Q6*'核心假设'!$B$32,0),0),IF(AND(AX$4&gt;EDATE('核心假设'!$B$5,5+$F6),AX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AX$4=EDATE(EDATE('核心假设'!$B$5,5+$F6),$D6),SUM('融资租赁与资金缺口'!$D$5:$D$16)*$R6*'核心假设'!$B$32,0),0),IF(AND(AX$4&gt;EDATE('核心假设'!$B$5,6+$F6),AX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AX$4=EDATE(EDATE('核心假设'!$B$5,6+$F6),$D6),SUM('融资租赁与资金缺口'!$D$5:$D$16)*$S6*'核心假设'!$B$32,0),0),IF(AND(AX$4&gt;EDATE('核心假设'!$B$5,7+$F6),AX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AX$4=EDATE(EDATE('核心假设'!$B$5,7+$F6),$D6),SUM('融资租赁与资金缺口'!$D$5:$D$16)*$T6*'核心假设'!$B$32,0),0),IF(AND(AX$4&gt;EDATE('核心假设'!$B$5,8+$F6),AX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AX$4=EDATE(EDATE('核心假设'!$B$5,8+$F6),$D6),SUM('融资租赁与资金缺口'!$D$5:$D$16)*$U6*'核心假设'!$B$32,0),0),IF(AND(AX$4&gt;EDATE('核心假设'!$B$5,9+$F6),AX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AX$4=EDATE(EDATE('核心假设'!$B$5,9+$F6),$D6),SUM('融资租赁与资金缺口'!$D$5:$D$16)*$V6*'核心假设'!$B$32,0),0),IF(AND(AX$4&gt;EDATE('核心假设'!$B$5,10+$F6),AX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AX$4=EDATE(EDATE('核心假设'!$B$5,10+$F6),$D6),SUM('融资租赁与资金缺口'!$D$5:$D$16)*$W6*'核心假设'!$B$32,0),0),IF(AND(AX$4&gt;EDATE('核心假设'!$B$5,11+$F6),AX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AX$4=EDATE(EDATE('核心假设'!$B$5,11+$F6),$D6),SUM('融资租赁与资金缺口'!$D$5:$D$16)*$X6*'核心假设'!$B$32,0),0),IF(AND(AX$4&gt;EDATE('核心假设'!$B$5,12+$F6),AX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AX$4=EDATE(EDATE('核心假设'!$B$5,12+$F6),$D6),SUM('融资租赁与资金缺口'!$D$5:$D$16)*$Y6*'核心假设'!$B$32,0),0),IF(AND(AX$4&gt;EDATE('核心假设'!$B$5,13+$F6),AX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AX$4=EDATE(EDATE('核心假设'!$B$5,13+$F6),$D6),SUM('融资租赁与资金缺口'!$D$5:$D$16)*$Z6*'核心假设'!$B$32,0),0),IF(AND(AX$4&gt;EDATE('核心假设'!$B$5,14+$F6),AX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AX$4=EDATE(EDATE('核心假设'!$B$5,14+$F6),$D6),SUM('融资租赁与资金缺口'!$D$5:$D$16)*$AA6*'核心假设'!$B$32,0),0),IF(AND(AX$4&gt;EDATE('核心假设'!$B$5,15+$F6),AX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AX$4=EDATE(EDATE('核心假设'!$B$5,15+$F6),$D6),SUM('融资租赁与资金缺口'!$D$5:$D$16)*$AB6*'核心假设'!$B$32,0),0),IF(AND(AX$4&gt;EDATE('核心假设'!$B$5,16+$F6),AX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AX$4=EDATE(EDATE('核心假设'!$B$5,16+$F6),$D6),SUM('融资租赁与资金缺口'!$D$5:$D$16)*$AC6*'核心假设'!$B$32,0),0),IF(AND(AX$4&gt;EDATE('核心假设'!$B$5,17+$F6),AX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AX$4=EDATE(EDATE('核心假设'!$B$5,17+$F6),$D6),SUM('融资租赁与资金缺口'!$D$5:$D$16)*$AD6*'核心假设'!$B$32,0),0))</x:f>
        <x:v>16891016.88164358</x:v>
      </x:c>
      <x:c r="AY13" s="28" t="n">
        <x:f>SUM(IF(AND(AY$4&gt;EDATE('核心假设'!$B$5,0+$F6),AY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AY$4=EDATE(EDATE('核心假设'!$B$5,0+$F6),$D6),SUM('融资租赁与资金缺口'!$D$5:$D$16)*$M6*'核心假设'!$B$32,0),0),IF(AND(AY$4&gt;EDATE('核心假设'!$B$5,1+$F6),AY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AY$4=EDATE(EDATE('核心假设'!$B$5,1+$F6),$D6),SUM('融资租赁与资金缺口'!$D$5:$D$16)*$N6*'核心假设'!$B$32,0),0),IF(AND(AY$4&gt;EDATE('核心假设'!$B$5,2+$F6),AY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AY$4=EDATE(EDATE('核心假设'!$B$5,2+$F6),$D6),SUM('融资租赁与资金缺口'!$D$5:$D$16)*$O6*'核心假设'!$B$32,0),0),IF(AND(AY$4&gt;EDATE('核心假设'!$B$5,3+$F6),AY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AY$4=EDATE(EDATE('核心假设'!$B$5,3+$F6),$D6),SUM('融资租赁与资金缺口'!$D$5:$D$16)*$P6*'核心假设'!$B$32,0),0),IF(AND(AY$4&gt;EDATE('核心假设'!$B$5,4+$F6),AY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AY$4=EDATE(EDATE('核心假设'!$B$5,4+$F6),$D6),SUM('融资租赁与资金缺口'!$D$5:$D$16)*$Q6*'核心假设'!$B$32,0),0),IF(AND(AY$4&gt;EDATE('核心假设'!$B$5,5+$F6),AY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AY$4=EDATE(EDATE('核心假设'!$B$5,5+$F6),$D6),SUM('融资租赁与资金缺口'!$D$5:$D$16)*$R6*'核心假设'!$B$32,0),0),IF(AND(AY$4&gt;EDATE('核心假设'!$B$5,6+$F6),AY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AY$4=EDATE(EDATE('核心假设'!$B$5,6+$F6),$D6),SUM('融资租赁与资金缺口'!$D$5:$D$16)*$S6*'核心假设'!$B$32,0),0),IF(AND(AY$4&gt;EDATE('核心假设'!$B$5,7+$F6),AY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AY$4=EDATE(EDATE('核心假设'!$B$5,7+$F6),$D6),SUM('融资租赁与资金缺口'!$D$5:$D$16)*$T6*'核心假设'!$B$32,0),0),IF(AND(AY$4&gt;EDATE('核心假设'!$B$5,8+$F6),AY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AY$4=EDATE(EDATE('核心假设'!$B$5,8+$F6),$D6),SUM('融资租赁与资金缺口'!$D$5:$D$16)*$U6*'核心假设'!$B$32,0),0),IF(AND(AY$4&gt;EDATE('核心假设'!$B$5,9+$F6),AY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AY$4=EDATE(EDATE('核心假设'!$B$5,9+$F6),$D6),SUM('融资租赁与资金缺口'!$D$5:$D$16)*$V6*'核心假设'!$B$32,0),0),IF(AND(AY$4&gt;EDATE('核心假设'!$B$5,10+$F6),AY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AY$4=EDATE(EDATE('核心假设'!$B$5,10+$F6),$D6),SUM('融资租赁与资金缺口'!$D$5:$D$16)*$W6*'核心假设'!$B$32,0),0),IF(AND(AY$4&gt;EDATE('核心假设'!$B$5,11+$F6),AY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AY$4=EDATE(EDATE('核心假设'!$B$5,11+$F6),$D6),SUM('融资租赁与资金缺口'!$D$5:$D$16)*$X6*'核心假设'!$B$32,0),0),IF(AND(AY$4&gt;EDATE('核心假设'!$B$5,12+$F6),AY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AY$4=EDATE(EDATE('核心假设'!$B$5,12+$F6),$D6),SUM('融资租赁与资金缺口'!$D$5:$D$16)*$Y6*'核心假设'!$B$32,0),0),IF(AND(AY$4&gt;EDATE('核心假设'!$B$5,13+$F6),AY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AY$4=EDATE(EDATE('核心假设'!$B$5,13+$F6),$D6),SUM('融资租赁与资金缺口'!$D$5:$D$16)*$Z6*'核心假设'!$B$32,0),0),IF(AND(AY$4&gt;EDATE('核心假设'!$B$5,14+$F6),AY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AY$4=EDATE(EDATE('核心假设'!$B$5,14+$F6),$D6),SUM('融资租赁与资金缺口'!$D$5:$D$16)*$AA6*'核心假设'!$B$32,0),0),IF(AND(AY$4&gt;EDATE('核心假设'!$B$5,15+$F6),AY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AY$4=EDATE(EDATE('核心假设'!$B$5,15+$F6),$D6),SUM('融资租赁与资金缺口'!$D$5:$D$16)*$AB6*'核心假设'!$B$32,0),0),IF(AND(AY$4&gt;EDATE('核心假设'!$B$5,16+$F6),AY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AY$4=EDATE(EDATE('核心假设'!$B$5,16+$F6),$D6),SUM('融资租赁与资金缺口'!$D$5:$D$16)*$AC6*'核心假设'!$B$32,0),0),IF(AND(AY$4&gt;EDATE('核心假设'!$B$5,17+$F6),AY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AY$4=EDATE(EDATE('核心假设'!$B$5,17+$F6),$D6),SUM('融资租赁与资金缺口'!$D$5:$D$16)*$AD6*'核心假设'!$B$32,0),0))</x:f>
        <x:v>16891016.88164358</x:v>
      </x:c>
      <x:c r="AZ13" s="28" t="n">
        <x:f>SUM(IF(AND(AZ$4&gt;EDATE('核心假设'!$B$5,0+$F6),AZ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AZ$4=EDATE(EDATE('核心假设'!$B$5,0+$F6),$D6),SUM('融资租赁与资金缺口'!$D$5:$D$16)*$M6*'核心假设'!$B$32,0),0),IF(AND(AZ$4&gt;EDATE('核心假设'!$B$5,1+$F6),AZ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AZ$4=EDATE(EDATE('核心假设'!$B$5,1+$F6),$D6),SUM('融资租赁与资金缺口'!$D$5:$D$16)*$N6*'核心假设'!$B$32,0),0),IF(AND(AZ$4&gt;EDATE('核心假设'!$B$5,2+$F6),AZ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AZ$4=EDATE(EDATE('核心假设'!$B$5,2+$F6),$D6),SUM('融资租赁与资金缺口'!$D$5:$D$16)*$O6*'核心假设'!$B$32,0),0),IF(AND(AZ$4&gt;EDATE('核心假设'!$B$5,3+$F6),AZ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AZ$4=EDATE(EDATE('核心假设'!$B$5,3+$F6),$D6),SUM('融资租赁与资金缺口'!$D$5:$D$16)*$P6*'核心假设'!$B$32,0),0),IF(AND(AZ$4&gt;EDATE('核心假设'!$B$5,4+$F6),AZ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AZ$4=EDATE(EDATE('核心假设'!$B$5,4+$F6),$D6),SUM('融资租赁与资金缺口'!$D$5:$D$16)*$Q6*'核心假设'!$B$32,0),0),IF(AND(AZ$4&gt;EDATE('核心假设'!$B$5,5+$F6),AZ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AZ$4=EDATE(EDATE('核心假设'!$B$5,5+$F6),$D6),SUM('融资租赁与资金缺口'!$D$5:$D$16)*$R6*'核心假设'!$B$32,0),0),IF(AND(AZ$4&gt;EDATE('核心假设'!$B$5,6+$F6),AZ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AZ$4=EDATE(EDATE('核心假设'!$B$5,6+$F6),$D6),SUM('融资租赁与资金缺口'!$D$5:$D$16)*$S6*'核心假设'!$B$32,0),0),IF(AND(AZ$4&gt;EDATE('核心假设'!$B$5,7+$F6),AZ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AZ$4=EDATE(EDATE('核心假设'!$B$5,7+$F6),$D6),SUM('融资租赁与资金缺口'!$D$5:$D$16)*$T6*'核心假设'!$B$32,0),0),IF(AND(AZ$4&gt;EDATE('核心假设'!$B$5,8+$F6),AZ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AZ$4=EDATE(EDATE('核心假设'!$B$5,8+$F6),$D6),SUM('融资租赁与资金缺口'!$D$5:$D$16)*$U6*'核心假设'!$B$32,0),0),IF(AND(AZ$4&gt;EDATE('核心假设'!$B$5,9+$F6),AZ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AZ$4=EDATE(EDATE('核心假设'!$B$5,9+$F6),$D6),SUM('融资租赁与资金缺口'!$D$5:$D$16)*$V6*'核心假设'!$B$32,0),0),IF(AND(AZ$4&gt;EDATE('核心假设'!$B$5,10+$F6),AZ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AZ$4=EDATE(EDATE('核心假设'!$B$5,10+$F6),$D6),SUM('融资租赁与资金缺口'!$D$5:$D$16)*$W6*'核心假设'!$B$32,0),0),IF(AND(AZ$4&gt;EDATE('核心假设'!$B$5,11+$F6),AZ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AZ$4=EDATE(EDATE('核心假设'!$B$5,11+$F6),$D6),SUM('融资租赁与资金缺口'!$D$5:$D$16)*$X6*'核心假设'!$B$32,0),0),IF(AND(AZ$4&gt;EDATE('核心假设'!$B$5,12+$F6),AZ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AZ$4=EDATE(EDATE('核心假设'!$B$5,12+$F6),$D6),SUM('融资租赁与资金缺口'!$D$5:$D$16)*$Y6*'核心假设'!$B$32,0),0),IF(AND(AZ$4&gt;EDATE('核心假设'!$B$5,13+$F6),AZ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AZ$4=EDATE(EDATE('核心假设'!$B$5,13+$F6),$D6),SUM('融资租赁与资金缺口'!$D$5:$D$16)*$Z6*'核心假设'!$B$32,0),0),IF(AND(AZ$4&gt;EDATE('核心假设'!$B$5,14+$F6),AZ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AZ$4=EDATE(EDATE('核心假设'!$B$5,14+$F6),$D6),SUM('融资租赁与资金缺口'!$D$5:$D$16)*$AA6*'核心假设'!$B$32,0),0),IF(AND(AZ$4&gt;EDATE('核心假设'!$B$5,15+$F6),AZ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AZ$4=EDATE(EDATE('核心假设'!$B$5,15+$F6),$D6),SUM('融资租赁与资金缺口'!$D$5:$D$16)*$AB6*'核心假设'!$B$32,0),0),IF(AND(AZ$4&gt;EDATE('核心假设'!$B$5,16+$F6),AZ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AZ$4=EDATE(EDATE('核心假设'!$B$5,16+$F6),$D6),SUM('融资租赁与资金缺口'!$D$5:$D$16)*$AC6*'核心假设'!$B$32,0),0),IF(AND(AZ$4&gt;EDATE('核心假设'!$B$5,17+$F6),AZ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AZ$4=EDATE(EDATE('核心假设'!$B$5,17+$F6),$D6),SUM('融资租赁与资金缺口'!$D$5:$D$16)*$AD6*'核心假设'!$B$32,0),0))</x:f>
        <x:v>16891016.88164358</x:v>
      </x:c>
      <x:c r="BA13" s="28" t="n">
        <x:f>SUM(IF(AND(BA$4&gt;EDATE('核心假设'!$B$5,0+$F6),BA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A$4=EDATE(EDATE('核心假设'!$B$5,0+$F6),$D6),SUM('融资租赁与资金缺口'!$D$5:$D$16)*$M6*'核心假设'!$B$32,0),0),IF(AND(BA$4&gt;EDATE('核心假设'!$B$5,1+$F6),BA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A$4=EDATE(EDATE('核心假设'!$B$5,1+$F6),$D6),SUM('融资租赁与资金缺口'!$D$5:$D$16)*$N6*'核心假设'!$B$32,0),0),IF(AND(BA$4&gt;EDATE('核心假设'!$B$5,2+$F6),BA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A$4=EDATE(EDATE('核心假设'!$B$5,2+$F6),$D6),SUM('融资租赁与资金缺口'!$D$5:$D$16)*$O6*'核心假设'!$B$32,0),0),IF(AND(BA$4&gt;EDATE('核心假设'!$B$5,3+$F6),BA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A$4=EDATE(EDATE('核心假设'!$B$5,3+$F6),$D6),SUM('融资租赁与资金缺口'!$D$5:$D$16)*$P6*'核心假设'!$B$32,0),0),IF(AND(BA$4&gt;EDATE('核心假设'!$B$5,4+$F6),BA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A$4=EDATE(EDATE('核心假设'!$B$5,4+$F6),$D6),SUM('融资租赁与资金缺口'!$D$5:$D$16)*$Q6*'核心假设'!$B$32,0),0),IF(AND(BA$4&gt;EDATE('核心假设'!$B$5,5+$F6),BA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A$4=EDATE(EDATE('核心假设'!$B$5,5+$F6),$D6),SUM('融资租赁与资金缺口'!$D$5:$D$16)*$R6*'核心假设'!$B$32,0),0),IF(AND(BA$4&gt;EDATE('核心假设'!$B$5,6+$F6),BA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A$4=EDATE(EDATE('核心假设'!$B$5,6+$F6),$D6),SUM('融资租赁与资金缺口'!$D$5:$D$16)*$S6*'核心假设'!$B$32,0),0),IF(AND(BA$4&gt;EDATE('核心假设'!$B$5,7+$F6),BA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A$4=EDATE(EDATE('核心假设'!$B$5,7+$F6),$D6),SUM('融资租赁与资金缺口'!$D$5:$D$16)*$T6*'核心假设'!$B$32,0),0),IF(AND(BA$4&gt;EDATE('核心假设'!$B$5,8+$F6),BA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A$4=EDATE(EDATE('核心假设'!$B$5,8+$F6),$D6),SUM('融资租赁与资金缺口'!$D$5:$D$16)*$U6*'核心假设'!$B$32,0),0),IF(AND(BA$4&gt;EDATE('核心假设'!$B$5,9+$F6),BA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A$4=EDATE(EDATE('核心假设'!$B$5,9+$F6),$D6),SUM('融资租赁与资金缺口'!$D$5:$D$16)*$V6*'核心假设'!$B$32,0),0),IF(AND(BA$4&gt;EDATE('核心假设'!$B$5,10+$F6),BA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A$4=EDATE(EDATE('核心假设'!$B$5,10+$F6),$D6),SUM('融资租赁与资金缺口'!$D$5:$D$16)*$W6*'核心假设'!$B$32,0),0),IF(AND(BA$4&gt;EDATE('核心假设'!$B$5,11+$F6),BA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A$4=EDATE(EDATE('核心假设'!$B$5,11+$F6),$D6),SUM('融资租赁与资金缺口'!$D$5:$D$16)*$X6*'核心假设'!$B$32,0),0),IF(AND(BA$4&gt;EDATE('核心假设'!$B$5,12+$F6),BA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A$4=EDATE(EDATE('核心假设'!$B$5,12+$F6),$D6),SUM('融资租赁与资金缺口'!$D$5:$D$16)*$Y6*'核心假设'!$B$32,0),0),IF(AND(BA$4&gt;EDATE('核心假设'!$B$5,13+$F6),BA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A$4=EDATE(EDATE('核心假设'!$B$5,13+$F6),$D6),SUM('融资租赁与资金缺口'!$D$5:$D$16)*$Z6*'核心假设'!$B$32,0),0),IF(AND(BA$4&gt;EDATE('核心假设'!$B$5,14+$F6),BA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A$4=EDATE(EDATE('核心假设'!$B$5,14+$F6),$D6),SUM('融资租赁与资金缺口'!$D$5:$D$16)*$AA6*'核心假设'!$B$32,0),0),IF(AND(BA$4&gt;EDATE('核心假设'!$B$5,15+$F6),BA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A$4=EDATE(EDATE('核心假设'!$B$5,15+$F6),$D6),SUM('融资租赁与资金缺口'!$D$5:$D$16)*$AB6*'核心假设'!$B$32,0),0),IF(AND(BA$4&gt;EDATE('核心假设'!$B$5,16+$F6),BA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A$4=EDATE(EDATE('核心假设'!$B$5,16+$F6),$D6),SUM('融资租赁与资金缺口'!$D$5:$D$16)*$AC6*'核心假设'!$B$32,0),0),IF(AND(BA$4&gt;EDATE('核心假设'!$B$5,17+$F6),BA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A$4=EDATE(EDATE('核心假设'!$B$5,17+$F6),$D6),SUM('融资租赁与资金缺口'!$D$5:$D$16)*$AD6*'核心假设'!$B$32,0),0))</x:f>
        <x:v>16891016.88164358</x:v>
      </x:c>
      <x:c r="BB13" s="28" t="n">
        <x:f>SUM(IF(AND(BB$4&gt;EDATE('核心假设'!$B$5,0+$F6),BB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B$4=EDATE(EDATE('核心假设'!$B$5,0+$F6),$D6),SUM('融资租赁与资金缺口'!$D$5:$D$16)*$M6*'核心假设'!$B$32,0),0),IF(AND(BB$4&gt;EDATE('核心假设'!$B$5,1+$F6),BB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B$4=EDATE(EDATE('核心假设'!$B$5,1+$F6),$D6),SUM('融资租赁与资金缺口'!$D$5:$D$16)*$N6*'核心假设'!$B$32,0),0),IF(AND(BB$4&gt;EDATE('核心假设'!$B$5,2+$F6),BB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B$4=EDATE(EDATE('核心假设'!$B$5,2+$F6),$D6),SUM('融资租赁与资金缺口'!$D$5:$D$16)*$O6*'核心假设'!$B$32,0),0),IF(AND(BB$4&gt;EDATE('核心假设'!$B$5,3+$F6),BB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B$4=EDATE(EDATE('核心假设'!$B$5,3+$F6),$D6),SUM('融资租赁与资金缺口'!$D$5:$D$16)*$P6*'核心假设'!$B$32,0),0),IF(AND(BB$4&gt;EDATE('核心假设'!$B$5,4+$F6),BB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B$4=EDATE(EDATE('核心假设'!$B$5,4+$F6),$D6),SUM('融资租赁与资金缺口'!$D$5:$D$16)*$Q6*'核心假设'!$B$32,0),0),IF(AND(BB$4&gt;EDATE('核心假设'!$B$5,5+$F6),BB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B$4=EDATE(EDATE('核心假设'!$B$5,5+$F6),$D6),SUM('融资租赁与资金缺口'!$D$5:$D$16)*$R6*'核心假设'!$B$32,0),0),IF(AND(BB$4&gt;EDATE('核心假设'!$B$5,6+$F6),BB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B$4=EDATE(EDATE('核心假设'!$B$5,6+$F6),$D6),SUM('融资租赁与资金缺口'!$D$5:$D$16)*$S6*'核心假设'!$B$32,0),0),IF(AND(BB$4&gt;EDATE('核心假设'!$B$5,7+$F6),BB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B$4=EDATE(EDATE('核心假设'!$B$5,7+$F6),$D6),SUM('融资租赁与资金缺口'!$D$5:$D$16)*$T6*'核心假设'!$B$32,0),0),IF(AND(BB$4&gt;EDATE('核心假设'!$B$5,8+$F6),BB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B$4=EDATE(EDATE('核心假设'!$B$5,8+$F6),$D6),SUM('融资租赁与资金缺口'!$D$5:$D$16)*$U6*'核心假设'!$B$32,0),0),IF(AND(BB$4&gt;EDATE('核心假设'!$B$5,9+$F6),BB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B$4=EDATE(EDATE('核心假设'!$B$5,9+$F6),$D6),SUM('融资租赁与资金缺口'!$D$5:$D$16)*$V6*'核心假设'!$B$32,0),0),IF(AND(BB$4&gt;EDATE('核心假设'!$B$5,10+$F6),BB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B$4=EDATE(EDATE('核心假设'!$B$5,10+$F6),$D6),SUM('融资租赁与资金缺口'!$D$5:$D$16)*$W6*'核心假设'!$B$32,0),0),IF(AND(BB$4&gt;EDATE('核心假设'!$B$5,11+$F6),BB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B$4=EDATE(EDATE('核心假设'!$B$5,11+$F6),$D6),SUM('融资租赁与资金缺口'!$D$5:$D$16)*$X6*'核心假设'!$B$32,0),0),IF(AND(BB$4&gt;EDATE('核心假设'!$B$5,12+$F6),BB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B$4=EDATE(EDATE('核心假设'!$B$5,12+$F6),$D6),SUM('融资租赁与资金缺口'!$D$5:$D$16)*$Y6*'核心假设'!$B$32,0),0),IF(AND(BB$4&gt;EDATE('核心假设'!$B$5,13+$F6),BB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B$4=EDATE(EDATE('核心假设'!$B$5,13+$F6),$D6),SUM('融资租赁与资金缺口'!$D$5:$D$16)*$Z6*'核心假设'!$B$32,0),0),IF(AND(BB$4&gt;EDATE('核心假设'!$B$5,14+$F6),BB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B$4=EDATE(EDATE('核心假设'!$B$5,14+$F6),$D6),SUM('融资租赁与资金缺口'!$D$5:$D$16)*$AA6*'核心假设'!$B$32,0),0),IF(AND(BB$4&gt;EDATE('核心假设'!$B$5,15+$F6),BB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B$4=EDATE(EDATE('核心假设'!$B$5,15+$F6),$D6),SUM('融资租赁与资金缺口'!$D$5:$D$16)*$AB6*'核心假设'!$B$32,0),0),IF(AND(BB$4&gt;EDATE('核心假设'!$B$5,16+$F6),BB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B$4=EDATE(EDATE('核心假设'!$B$5,16+$F6),$D6),SUM('融资租赁与资金缺口'!$D$5:$D$16)*$AC6*'核心假设'!$B$32,0),0),IF(AND(BB$4&gt;EDATE('核心假设'!$B$5,17+$F6),BB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B$4=EDATE(EDATE('核心假设'!$B$5,17+$F6),$D6),SUM('融资租赁与资金缺口'!$D$5:$D$16)*$AD6*'核心假设'!$B$32,0),0))</x:f>
        <x:v>16891016.88164358</x:v>
      </x:c>
      <x:c r="BC13" s="28" t="n">
        <x:f>SUM(IF(AND(BC$4&gt;EDATE('核心假设'!$B$5,0+$F6),BC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C$4=EDATE(EDATE('核心假设'!$B$5,0+$F6),$D6),SUM('融资租赁与资金缺口'!$D$5:$D$16)*$M6*'核心假设'!$B$32,0),0),IF(AND(BC$4&gt;EDATE('核心假设'!$B$5,1+$F6),BC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C$4=EDATE(EDATE('核心假设'!$B$5,1+$F6),$D6),SUM('融资租赁与资金缺口'!$D$5:$D$16)*$N6*'核心假设'!$B$32,0),0),IF(AND(BC$4&gt;EDATE('核心假设'!$B$5,2+$F6),BC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C$4=EDATE(EDATE('核心假设'!$B$5,2+$F6),$D6),SUM('融资租赁与资金缺口'!$D$5:$D$16)*$O6*'核心假设'!$B$32,0),0),IF(AND(BC$4&gt;EDATE('核心假设'!$B$5,3+$F6),BC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C$4=EDATE(EDATE('核心假设'!$B$5,3+$F6),$D6),SUM('融资租赁与资金缺口'!$D$5:$D$16)*$P6*'核心假设'!$B$32,0),0),IF(AND(BC$4&gt;EDATE('核心假设'!$B$5,4+$F6),BC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C$4=EDATE(EDATE('核心假设'!$B$5,4+$F6),$D6),SUM('融资租赁与资金缺口'!$D$5:$D$16)*$Q6*'核心假设'!$B$32,0),0),IF(AND(BC$4&gt;EDATE('核心假设'!$B$5,5+$F6),BC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C$4=EDATE(EDATE('核心假设'!$B$5,5+$F6),$D6),SUM('融资租赁与资金缺口'!$D$5:$D$16)*$R6*'核心假设'!$B$32,0),0),IF(AND(BC$4&gt;EDATE('核心假设'!$B$5,6+$F6),BC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C$4=EDATE(EDATE('核心假设'!$B$5,6+$F6),$D6),SUM('融资租赁与资金缺口'!$D$5:$D$16)*$S6*'核心假设'!$B$32,0),0),IF(AND(BC$4&gt;EDATE('核心假设'!$B$5,7+$F6),BC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C$4=EDATE(EDATE('核心假设'!$B$5,7+$F6),$D6),SUM('融资租赁与资金缺口'!$D$5:$D$16)*$T6*'核心假设'!$B$32,0),0),IF(AND(BC$4&gt;EDATE('核心假设'!$B$5,8+$F6),BC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C$4=EDATE(EDATE('核心假设'!$B$5,8+$F6),$D6),SUM('融资租赁与资金缺口'!$D$5:$D$16)*$U6*'核心假设'!$B$32,0),0),IF(AND(BC$4&gt;EDATE('核心假设'!$B$5,9+$F6),BC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C$4=EDATE(EDATE('核心假设'!$B$5,9+$F6),$D6),SUM('融资租赁与资金缺口'!$D$5:$D$16)*$V6*'核心假设'!$B$32,0),0),IF(AND(BC$4&gt;EDATE('核心假设'!$B$5,10+$F6),BC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C$4=EDATE(EDATE('核心假设'!$B$5,10+$F6),$D6),SUM('融资租赁与资金缺口'!$D$5:$D$16)*$W6*'核心假设'!$B$32,0),0),IF(AND(BC$4&gt;EDATE('核心假设'!$B$5,11+$F6),BC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C$4=EDATE(EDATE('核心假设'!$B$5,11+$F6),$D6),SUM('融资租赁与资金缺口'!$D$5:$D$16)*$X6*'核心假设'!$B$32,0),0),IF(AND(BC$4&gt;EDATE('核心假设'!$B$5,12+$F6),BC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C$4=EDATE(EDATE('核心假设'!$B$5,12+$F6),$D6),SUM('融资租赁与资金缺口'!$D$5:$D$16)*$Y6*'核心假设'!$B$32,0),0),IF(AND(BC$4&gt;EDATE('核心假设'!$B$5,13+$F6),BC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C$4=EDATE(EDATE('核心假设'!$B$5,13+$F6),$D6),SUM('融资租赁与资金缺口'!$D$5:$D$16)*$Z6*'核心假设'!$B$32,0),0),IF(AND(BC$4&gt;EDATE('核心假设'!$B$5,14+$F6),BC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C$4=EDATE(EDATE('核心假设'!$B$5,14+$F6),$D6),SUM('融资租赁与资金缺口'!$D$5:$D$16)*$AA6*'核心假设'!$B$32,0),0),IF(AND(BC$4&gt;EDATE('核心假设'!$B$5,15+$F6),BC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C$4=EDATE(EDATE('核心假设'!$B$5,15+$F6),$D6),SUM('融资租赁与资金缺口'!$D$5:$D$16)*$AB6*'核心假设'!$B$32,0),0),IF(AND(BC$4&gt;EDATE('核心假设'!$B$5,16+$F6),BC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C$4=EDATE(EDATE('核心假设'!$B$5,16+$F6),$D6),SUM('融资租赁与资金缺口'!$D$5:$D$16)*$AC6*'核心假设'!$B$32,0),0),IF(AND(BC$4&gt;EDATE('核心假设'!$B$5,17+$F6),BC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C$4=EDATE(EDATE('核心假设'!$B$5,17+$F6),$D6),SUM('融资租赁与资金缺口'!$D$5:$D$16)*$AD6*'核心假设'!$B$32,0),0))</x:f>
        <x:v>16891016.88164358</x:v>
      </x:c>
      <x:c r="BD13" s="28" t="n">
        <x:f>SUM(IF(AND(BD$4&gt;EDATE('核心假设'!$B$5,0+$F6),BD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D$4=EDATE(EDATE('核心假设'!$B$5,0+$F6),$D6),SUM('融资租赁与资金缺口'!$D$5:$D$16)*$M6*'核心假设'!$B$32,0),0),IF(AND(BD$4&gt;EDATE('核心假设'!$B$5,1+$F6),BD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D$4=EDATE(EDATE('核心假设'!$B$5,1+$F6),$D6),SUM('融资租赁与资金缺口'!$D$5:$D$16)*$N6*'核心假设'!$B$32,0),0),IF(AND(BD$4&gt;EDATE('核心假设'!$B$5,2+$F6),BD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D$4=EDATE(EDATE('核心假设'!$B$5,2+$F6),$D6),SUM('融资租赁与资金缺口'!$D$5:$D$16)*$O6*'核心假设'!$B$32,0),0),IF(AND(BD$4&gt;EDATE('核心假设'!$B$5,3+$F6),BD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D$4=EDATE(EDATE('核心假设'!$B$5,3+$F6),$D6),SUM('融资租赁与资金缺口'!$D$5:$D$16)*$P6*'核心假设'!$B$32,0),0),IF(AND(BD$4&gt;EDATE('核心假设'!$B$5,4+$F6),BD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D$4=EDATE(EDATE('核心假设'!$B$5,4+$F6),$D6),SUM('融资租赁与资金缺口'!$D$5:$D$16)*$Q6*'核心假设'!$B$32,0),0),IF(AND(BD$4&gt;EDATE('核心假设'!$B$5,5+$F6),BD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D$4=EDATE(EDATE('核心假设'!$B$5,5+$F6),$D6),SUM('融资租赁与资金缺口'!$D$5:$D$16)*$R6*'核心假设'!$B$32,0),0),IF(AND(BD$4&gt;EDATE('核心假设'!$B$5,6+$F6),BD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D$4=EDATE(EDATE('核心假设'!$B$5,6+$F6),$D6),SUM('融资租赁与资金缺口'!$D$5:$D$16)*$S6*'核心假设'!$B$32,0),0),IF(AND(BD$4&gt;EDATE('核心假设'!$B$5,7+$F6),BD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D$4=EDATE(EDATE('核心假设'!$B$5,7+$F6),$D6),SUM('融资租赁与资金缺口'!$D$5:$D$16)*$T6*'核心假设'!$B$32,0),0),IF(AND(BD$4&gt;EDATE('核心假设'!$B$5,8+$F6),BD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D$4=EDATE(EDATE('核心假设'!$B$5,8+$F6),$D6),SUM('融资租赁与资金缺口'!$D$5:$D$16)*$U6*'核心假设'!$B$32,0),0),IF(AND(BD$4&gt;EDATE('核心假设'!$B$5,9+$F6),BD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D$4=EDATE(EDATE('核心假设'!$B$5,9+$F6),$D6),SUM('融资租赁与资金缺口'!$D$5:$D$16)*$V6*'核心假设'!$B$32,0),0),IF(AND(BD$4&gt;EDATE('核心假设'!$B$5,10+$F6),BD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D$4=EDATE(EDATE('核心假设'!$B$5,10+$F6),$D6),SUM('融资租赁与资金缺口'!$D$5:$D$16)*$W6*'核心假设'!$B$32,0),0),IF(AND(BD$4&gt;EDATE('核心假设'!$B$5,11+$F6),BD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D$4=EDATE(EDATE('核心假设'!$B$5,11+$F6),$D6),SUM('融资租赁与资金缺口'!$D$5:$D$16)*$X6*'核心假设'!$B$32,0),0),IF(AND(BD$4&gt;EDATE('核心假设'!$B$5,12+$F6),BD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D$4=EDATE(EDATE('核心假设'!$B$5,12+$F6),$D6),SUM('融资租赁与资金缺口'!$D$5:$D$16)*$Y6*'核心假设'!$B$32,0),0),IF(AND(BD$4&gt;EDATE('核心假设'!$B$5,13+$F6),BD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D$4=EDATE(EDATE('核心假设'!$B$5,13+$F6),$D6),SUM('融资租赁与资金缺口'!$D$5:$D$16)*$Z6*'核心假设'!$B$32,0),0),IF(AND(BD$4&gt;EDATE('核心假设'!$B$5,14+$F6),BD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D$4=EDATE(EDATE('核心假设'!$B$5,14+$F6),$D6),SUM('融资租赁与资金缺口'!$D$5:$D$16)*$AA6*'核心假设'!$B$32,0),0),IF(AND(BD$4&gt;EDATE('核心假设'!$B$5,15+$F6),BD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D$4=EDATE(EDATE('核心假设'!$B$5,15+$F6),$D6),SUM('融资租赁与资金缺口'!$D$5:$D$16)*$AB6*'核心假设'!$B$32,0),0),IF(AND(BD$4&gt;EDATE('核心假设'!$B$5,16+$F6),BD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D$4=EDATE(EDATE('核心假设'!$B$5,16+$F6),$D6),SUM('融资租赁与资金缺口'!$D$5:$D$16)*$AC6*'核心假设'!$B$32,0),0),IF(AND(BD$4&gt;EDATE('核心假设'!$B$5,17+$F6),BD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D$4=EDATE(EDATE('核心假设'!$B$5,17+$F6),$D6),SUM('融资租赁与资金缺口'!$D$5:$D$16)*$AD6*'核心假设'!$B$32,0),0))</x:f>
        <x:v>16891016.88164358</x:v>
      </x:c>
      <x:c r="BE13" s="28" t="n">
        <x:f>SUM(IF(AND(BE$4&gt;EDATE('核心假设'!$B$5,0+$F6),BE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E$4=EDATE(EDATE('核心假设'!$B$5,0+$F6),$D6),SUM('融资租赁与资金缺口'!$D$5:$D$16)*$M6*'核心假设'!$B$32,0),0),IF(AND(BE$4&gt;EDATE('核心假设'!$B$5,1+$F6),BE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E$4=EDATE(EDATE('核心假设'!$B$5,1+$F6),$D6),SUM('融资租赁与资金缺口'!$D$5:$D$16)*$N6*'核心假设'!$B$32,0),0),IF(AND(BE$4&gt;EDATE('核心假设'!$B$5,2+$F6),BE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E$4=EDATE(EDATE('核心假设'!$B$5,2+$F6),$D6),SUM('融资租赁与资金缺口'!$D$5:$D$16)*$O6*'核心假设'!$B$32,0),0),IF(AND(BE$4&gt;EDATE('核心假设'!$B$5,3+$F6),BE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E$4=EDATE(EDATE('核心假设'!$B$5,3+$F6),$D6),SUM('融资租赁与资金缺口'!$D$5:$D$16)*$P6*'核心假设'!$B$32,0),0),IF(AND(BE$4&gt;EDATE('核心假设'!$B$5,4+$F6),BE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E$4=EDATE(EDATE('核心假设'!$B$5,4+$F6),$D6),SUM('融资租赁与资金缺口'!$D$5:$D$16)*$Q6*'核心假设'!$B$32,0),0),IF(AND(BE$4&gt;EDATE('核心假设'!$B$5,5+$F6),BE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E$4=EDATE(EDATE('核心假设'!$B$5,5+$F6),$D6),SUM('融资租赁与资金缺口'!$D$5:$D$16)*$R6*'核心假设'!$B$32,0),0),IF(AND(BE$4&gt;EDATE('核心假设'!$B$5,6+$F6),BE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E$4=EDATE(EDATE('核心假设'!$B$5,6+$F6),$D6),SUM('融资租赁与资金缺口'!$D$5:$D$16)*$S6*'核心假设'!$B$32,0),0),IF(AND(BE$4&gt;EDATE('核心假设'!$B$5,7+$F6),BE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E$4=EDATE(EDATE('核心假设'!$B$5,7+$F6),$D6),SUM('融资租赁与资金缺口'!$D$5:$D$16)*$T6*'核心假设'!$B$32,0),0),IF(AND(BE$4&gt;EDATE('核心假设'!$B$5,8+$F6),BE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E$4=EDATE(EDATE('核心假设'!$B$5,8+$F6),$D6),SUM('融资租赁与资金缺口'!$D$5:$D$16)*$U6*'核心假设'!$B$32,0),0),IF(AND(BE$4&gt;EDATE('核心假设'!$B$5,9+$F6),BE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E$4=EDATE(EDATE('核心假设'!$B$5,9+$F6),$D6),SUM('融资租赁与资金缺口'!$D$5:$D$16)*$V6*'核心假设'!$B$32,0),0),IF(AND(BE$4&gt;EDATE('核心假设'!$B$5,10+$F6),BE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E$4=EDATE(EDATE('核心假设'!$B$5,10+$F6),$D6),SUM('融资租赁与资金缺口'!$D$5:$D$16)*$W6*'核心假设'!$B$32,0),0),IF(AND(BE$4&gt;EDATE('核心假设'!$B$5,11+$F6),BE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E$4=EDATE(EDATE('核心假设'!$B$5,11+$F6),$D6),SUM('融资租赁与资金缺口'!$D$5:$D$16)*$X6*'核心假设'!$B$32,0),0),IF(AND(BE$4&gt;EDATE('核心假设'!$B$5,12+$F6),BE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E$4=EDATE(EDATE('核心假设'!$B$5,12+$F6),$D6),SUM('融资租赁与资金缺口'!$D$5:$D$16)*$Y6*'核心假设'!$B$32,0),0),IF(AND(BE$4&gt;EDATE('核心假设'!$B$5,13+$F6),BE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E$4=EDATE(EDATE('核心假设'!$B$5,13+$F6),$D6),SUM('融资租赁与资金缺口'!$D$5:$D$16)*$Z6*'核心假设'!$B$32,0),0),IF(AND(BE$4&gt;EDATE('核心假设'!$B$5,14+$F6),BE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E$4=EDATE(EDATE('核心假设'!$B$5,14+$F6),$D6),SUM('融资租赁与资金缺口'!$D$5:$D$16)*$AA6*'核心假设'!$B$32,0),0),IF(AND(BE$4&gt;EDATE('核心假设'!$B$5,15+$F6),BE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E$4=EDATE(EDATE('核心假设'!$B$5,15+$F6),$D6),SUM('融资租赁与资金缺口'!$D$5:$D$16)*$AB6*'核心假设'!$B$32,0),0),IF(AND(BE$4&gt;EDATE('核心假设'!$B$5,16+$F6),BE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E$4=EDATE(EDATE('核心假设'!$B$5,16+$F6),$D6),SUM('融资租赁与资金缺口'!$D$5:$D$16)*$AC6*'核心假设'!$B$32,0),0),IF(AND(BE$4&gt;EDATE('核心假设'!$B$5,17+$F6),BE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E$4=EDATE(EDATE('核心假设'!$B$5,17+$F6),$D6),SUM('融资租赁与资金缺口'!$D$5:$D$16)*$AD6*'核心假设'!$B$32,0),0))</x:f>
        <x:v>16891016.88164358</x:v>
      </x:c>
      <x:c r="BF13" s="28" t="n">
        <x:f>SUM(IF(AND(BF$4&gt;EDATE('核心假设'!$B$5,0+$F6),BF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F$4=EDATE(EDATE('核心假设'!$B$5,0+$F6),$D6),SUM('融资租赁与资金缺口'!$D$5:$D$16)*$M6*'核心假设'!$B$32,0),0),IF(AND(BF$4&gt;EDATE('核心假设'!$B$5,1+$F6),BF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F$4=EDATE(EDATE('核心假设'!$B$5,1+$F6),$D6),SUM('融资租赁与资金缺口'!$D$5:$D$16)*$N6*'核心假设'!$B$32,0),0),IF(AND(BF$4&gt;EDATE('核心假设'!$B$5,2+$F6),BF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F$4=EDATE(EDATE('核心假设'!$B$5,2+$F6),$D6),SUM('融资租赁与资金缺口'!$D$5:$D$16)*$O6*'核心假设'!$B$32,0),0),IF(AND(BF$4&gt;EDATE('核心假设'!$B$5,3+$F6),BF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F$4=EDATE(EDATE('核心假设'!$B$5,3+$F6),$D6),SUM('融资租赁与资金缺口'!$D$5:$D$16)*$P6*'核心假设'!$B$32,0),0),IF(AND(BF$4&gt;EDATE('核心假设'!$B$5,4+$F6),BF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F$4=EDATE(EDATE('核心假设'!$B$5,4+$F6),$D6),SUM('融资租赁与资金缺口'!$D$5:$D$16)*$Q6*'核心假设'!$B$32,0),0),IF(AND(BF$4&gt;EDATE('核心假设'!$B$5,5+$F6),BF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F$4=EDATE(EDATE('核心假设'!$B$5,5+$F6),$D6),SUM('融资租赁与资金缺口'!$D$5:$D$16)*$R6*'核心假设'!$B$32,0),0),IF(AND(BF$4&gt;EDATE('核心假设'!$B$5,6+$F6),BF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F$4=EDATE(EDATE('核心假设'!$B$5,6+$F6),$D6),SUM('融资租赁与资金缺口'!$D$5:$D$16)*$S6*'核心假设'!$B$32,0),0),IF(AND(BF$4&gt;EDATE('核心假设'!$B$5,7+$F6),BF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F$4=EDATE(EDATE('核心假设'!$B$5,7+$F6),$D6),SUM('融资租赁与资金缺口'!$D$5:$D$16)*$T6*'核心假设'!$B$32,0),0),IF(AND(BF$4&gt;EDATE('核心假设'!$B$5,8+$F6),BF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F$4=EDATE(EDATE('核心假设'!$B$5,8+$F6),$D6),SUM('融资租赁与资金缺口'!$D$5:$D$16)*$U6*'核心假设'!$B$32,0),0),IF(AND(BF$4&gt;EDATE('核心假设'!$B$5,9+$F6),BF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F$4=EDATE(EDATE('核心假设'!$B$5,9+$F6),$D6),SUM('融资租赁与资金缺口'!$D$5:$D$16)*$V6*'核心假设'!$B$32,0),0),IF(AND(BF$4&gt;EDATE('核心假设'!$B$5,10+$F6),BF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F$4=EDATE(EDATE('核心假设'!$B$5,10+$F6),$D6),SUM('融资租赁与资金缺口'!$D$5:$D$16)*$W6*'核心假设'!$B$32,0),0),IF(AND(BF$4&gt;EDATE('核心假设'!$B$5,11+$F6),BF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F$4=EDATE(EDATE('核心假设'!$B$5,11+$F6),$D6),SUM('融资租赁与资金缺口'!$D$5:$D$16)*$X6*'核心假设'!$B$32,0),0),IF(AND(BF$4&gt;EDATE('核心假设'!$B$5,12+$F6),BF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F$4=EDATE(EDATE('核心假设'!$B$5,12+$F6),$D6),SUM('融资租赁与资金缺口'!$D$5:$D$16)*$Y6*'核心假设'!$B$32,0),0),IF(AND(BF$4&gt;EDATE('核心假设'!$B$5,13+$F6),BF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F$4=EDATE(EDATE('核心假设'!$B$5,13+$F6),$D6),SUM('融资租赁与资金缺口'!$D$5:$D$16)*$Z6*'核心假设'!$B$32,0),0),IF(AND(BF$4&gt;EDATE('核心假设'!$B$5,14+$F6),BF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F$4=EDATE(EDATE('核心假设'!$B$5,14+$F6),$D6),SUM('融资租赁与资金缺口'!$D$5:$D$16)*$AA6*'核心假设'!$B$32,0),0),IF(AND(BF$4&gt;EDATE('核心假设'!$B$5,15+$F6),BF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F$4=EDATE(EDATE('核心假设'!$B$5,15+$F6),$D6),SUM('融资租赁与资金缺口'!$D$5:$D$16)*$AB6*'核心假设'!$B$32,0),0),IF(AND(BF$4&gt;EDATE('核心假设'!$B$5,16+$F6),BF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F$4=EDATE(EDATE('核心假设'!$B$5,16+$F6),$D6),SUM('融资租赁与资金缺口'!$D$5:$D$16)*$AC6*'核心假设'!$B$32,0),0),IF(AND(BF$4&gt;EDATE('核心假设'!$B$5,17+$F6),BF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F$4=EDATE(EDATE('核心假设'!$B$5,17+$F6),$D6),SUM('融资租赁与资金缺口'!$D$5:$D$16)*$AD6*'核心假设'!$B$32,0),0))</x:f>
        <x:v>16891016.88164358</x:v>
      </x:c>
      <x:c r="BG13" s="28" t="n">
        <x:f>SUM(IF(AND(BG$4&gt;EDATE('核心假设'!$B$5,0+$F6),BG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G$4=EDATE(EDATE('核心假设'!$B$5,0+$F6),$D6),SUM('融资租赁与资金缺口'!$D$5:$D$16)*$M6*'核心假设'!$B$32,0),0),IF(AND(BG$4&gt;EDATE('核心假设'!$B$5,1+$F6),BG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G$4=EDATE(EDATE('核心假设'!$B$5,1+$F6),$D6),SUM('融资租赁与资金缺口'!$D$5:$D$16)*$N6*'核心假设'!$B$32,0),0),IF(AND(BG$4&gt;EDATE('核心假设'!$B$5,2+$F6),BG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G$4=EDATE(EDATE('核心假设'!$B$5,2+$F6),$D6),SUM('融资租赁与资金缺口'!$D$5:$D$16)*$O6*'核心假设'!$B$32,0),0),IF(AND(BG$4&gt;EDATE('核心假设'!$B$5,3+$F6),BG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G$4=EDATE(EDATE('核心假设'!$B$5,3+$F6),$D6),SUM('融资租赁与资金缺口'!$D$5:$D$16)*$P6*'核心假设'!$B$32,0),0),IF(AND(BG$4&gt;EDATE('核心假设'!$B$5,4+$F6),BG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G$4=EDATE(EDATE('核心假设'!$B$5,4+$F6),$D6),SUM('融资租赁与资金缺口'!$D$5:$D$16)*$Q6*'核心假设'!$B$32,0),0),IF(AND(BG$4&gt;EDATE('核心假设'!$B$5,5+$F6),BG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G$4=EDATE(EDATE('核心假设'!$B$5,5+$F6),$D6),SUM('融资租赁与资金缺口'!$D$5:$D$16)*$R6*'核心假设'!$B$32,0),0),IF(AND(BG$4&gt;EDATE('核心假设'!$B$5,6+$F6),BG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G$4=EDATE(EDATE('核心假设'!$B$5,6+$F6),$D6),SUM('融资租赁与资金缺口'!$D$5:$D$16)*$S6*'核心假设'!$B$32,0),0),IF(AND(BG$4&gt;EDATE('核心假设'!$B$5,7+$F6),BG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G$4=EDATE(EDATE('核心假设'!$B$5,7+$F6),$D6),SUM('融资租赁与资金缺口'!$D$5:$D$16)*$T6*'核心假设'!$B$32,0),0),IF(AND(BG$4&gt;EDATE('核心假设'!$B$5,8+$F6),BG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G$4=EDATE(EDATE('核心假设'!$B$5,8+$F6),$D6),SUM('融资租赁与资金缺口'!$D$5:$D$16)*$U6*'核心假设'!$B$32,0),0),IF(AND(BG$4&gt;EDATE('核心假设'!$B$5,9+$F6),BG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G$4=EDATE(EDATE('核心假设'!$B$5,9+$F6),$D6),SUM('融资租赁与资金缺口'!$D$5:$D$16)*$V6*'核心假设'!$B$32,0),0),IF(AND(BG$4&gt;EDATE('核心假设'!$B$5,10+$F6),BG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G$4=EDATE(EDATE('核心假设'!$B$5,10+$F6),$D6),SUM('融资租赁与资金缺口'!$D$5:$D$16)*$W6*'核心假设'!$B$32,0),0),IF(AND(BG$4&gt;EDATE('核心假设'!$B$5,11+$F6),BG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G$4=EDATE(EDATE('核心假设'!$B$5,11+$F6),$D6),SUM('融资租赁与资金缺口'!$D$5:$D$16)*$X6*'核心假设'!$B$32,0),0),IF(AND(BG$4&gt;EDATE('核心假设'!$B$5,12+$F6),BG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G$4=EDATE(EDATE('核心假设'!$B$5,12+$F6),$D6),SUM('融资租赁与资金缺口'!$D$5:$D$16)*$Y6*'核心假设'!$B$32,0),0),IF(AND(BG$4&gt;EDATE('核心假设'!$B$5,13+$F6),BG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G$4=EDATE(EDATE('核心假设'!$B$5,13+$F6),$D6),SUM('融资租赁与资金缺口'!$D$5:$D$16)*$Z6*'核心假设'!$B$32,0),0),IF(AND(BG$4&gt;EDATE('核心假设'!$B$5,14+$F6),BG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G$4=EDATE(EDATE('核心假设'!$B$5,14+$F6),$D6),SUM('融资租赁与资金缺口'!$D$5:$D$16)*$AA6*'核心假设'!$B$32,0),0),IF(AND(BG$4&gt;EDATE('核心假设'!$B$5,15+$F6),BG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G$4=EDATE(EDATE('核心假设'!$B$5,15+$F6),$D6),SUM('融资租赁与资金缺口'!$D$5:$D$16)*$AB6*'核心假设'!$B$32,0),0),IF(AND(BG$4&gt;EDATE('核心假设'!$B$5,16+$F6),BG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G$4=EDATE(EDATE('核心假设'!$B$5,16+$F6),$D6),SUM('融资租赁与资金缺口'!$D$5:$D$16)*$AC6*'核心假设'!$B$32,0),0),IF(AND(BG$4&gt;EDATE('核心假设'!$B$5,17+$F6),BG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G$4=EDATE(EDATE('核心假设'!$B$5,17+$F6),$D6),SUM('融资租赁与资金缺口'!$D$5:$D$16)*$AD6*'核心假设'!$B$32,0),0))</x:f>
        <x:v>16891016.88164358</x:v>
      </x:c>
      <x:c r="BH13" s="28" t="n">
        <x:f>SUM(IF(AND(BH$4&gt;EDATE('核心假设'!$B$5,0+$F6),BH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H$4=EDATE(EDATE('核心假设'!$B$5,0+$F6),$D6),SUM('融资租赁与资金缺口'!$D$5:$D$16)*$M6*'核心假设'!$B$32,0),0),IF(AND(BH$4&gt;EDATE('核心假设'!$B$5,1+$F6),BH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H$4=EDATE(EDATE('核心假设'!$B$5,1+$F6),$D6),SUM('融资租赁与资金缺口'!$D$5:$D$16)*$N6*'核心假设'!$B$32,0),0),IF(AND(BH$4&gt;EDATE('核心假设'!$B$5,2+$F6),BH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H$4=EDATE(EDATE('核心假设'!$B$5,2+$F6),$D6),SUM('融资租赁与资金缺口'!$D$5:$D$16)*$O6*'核心假设'!$B$32,0),0),IF(AND(BH$4&gt;EDATE('核心假设'!$B$5,3+$F6),BH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H$4=EDATE(EDATE('核心假设'!$B$5,3+$F6),$D6),SUM('融资租赁与资金缺口'!$D$5:$D$16)*$P6*'核心假设'!$B$32,0),0),IF(AND(BH$4&gt;EDATE('核心假设'!$B$5,4+$F6),BH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H$4=EDATE(EDATE('核心假设'!$B$5,4+$F6),$D6),SUM('融资租赁与资金缺口'!$D$5:$D$16)*$Q6*'核心假设'!$B$32,0),0),IF(AND(BH$4&gt;EDATE('核心假设'!$B$5,5+$F6),BH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H$4=EDATE(EDATE('核心假设'!$B$5,5+$F6),$D6),SUM('融资租赁与资金缺口'!$D$5:$D$16)*$R6*'核心假设'!$B$32,0),0),IF(AND(BH$4&gt;EDATE('核心假设'!$B$5,6+$F6),BH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H$4=EDATE(EDATE('核心假设'!$B$5,6+$F6),$D6),SUM('融资租赁与资金缺口'!$D$5:$D$16)*$S6*'核心假设'!$B$32,0),0),IF(AND(BH$4&gt;EDATE('核心假设'!$B$5,7+$F6),BH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H$4=EDATE(EDATE('核心假设'!$B$5,7+$F6),$D6),SUM('融资租赁与资金缺口'!$D$5:$D$16)*$T6*'核心假设'!$B$32,0),0),IF(AND(BH$4&gt;EDATE('核心假设'!$B$5,8+$F6),BH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H$4=EDATE(EDATE('核心假设'!$B$5,8+$F6),$D6),SUM('融资租赁与资金缺口'!$D$5:$D$16)*$U6*'核心假设'!$B$32,0),0),IF(AND(BH$4&gt;EDATE('核心假设'!$B$5,9+$F6),BH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H$4=EDATE(EDATE('核心假设'!$B$5,9+$F6),$D6),SUM('融资租赁与资金缺口'!$D$5:$D$16)*$V6*'核心假设'!$B$32,0),0),IF(AND(BH$4&gt;EDATE('核心假设'!$B$5,10+$F6),BH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H$4=EDATE(EDATE('核心假设'!$B$5,10+$F6),$D6),SUM('融资租赁与资金缺口'!$D$5:$D$16)*$W6*'核心假设'!$B$32,0),0),IF(AND(BH$4&gt;EDATE('核心假设'!$B$5,11+$F6),BH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H$4=EDATE(EDATE('核心假设'!$B$5,11+$F6),$D6),SUM('融资租赁与资金缺口'!$D$5:$D$16)*$X6*'核心假设'!$B$32,0),0),IF(AND(BH$4&gt;EDATE('核心假设'!$B$5,12+$F6),BH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H$4=EDATE(EDATE('核心假设'!$B$5,12+$F6),$D6),SUM('融资租赁与资金缺口'!$D$5:$D$16)*$Y6*'核心假设'!$B$32,0),0),IF(AND(BH$4&gt;EDATE('核心假设'!$B$5,13+$F6),BH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H$4=EDATE(EDATE('核心假设'!$B$5,13+$F6),$D6),SUM('融资租赁与资金缺口'!$D$5:$D$16)*$Z6*'核心假设'!$B$32,0),0),IF(AND(BH$4&gt;EDATE('核心假设'!$B$5,14+$F6),BH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H$4=EDATE(EDATE('核心假设'!$B$5,14+$F6),$D6),SUM('融资租赁与资金缺口'!$D$5:$D$16)*$AA6*'核心假设'!$B$32,0),0),IF(AND(BH$4&gt;EDATE('核心假设'!$B$5,15+$F6),BH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H$4=EDATE(EDATE('核心假设'!$B$5,15+$F6),$D6),SUM('融资租赁与资金缺口'!$D$5:$D$16)*$AB6*'核心假设'!$B$32,0),0),IF(AND(BH$4&gt;EDATE('核心假设'!$B$5,16+$F6),BH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H$4=EDATE(EDATE('核心假设'!$B$5,16+$F6),$D6),SUM('融资租赁与资金缺口'!$D$5:$D$16)*$AC6*'核心假设'!$B$32,0),0),IF(AND(BH$4&gt;EDATE('核心假设'!$B$5,17+$F6),BH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H$4=EDATE(EDATE('核心假设'!$B$5,17+$F6),$D6),SUM('融资租赁与资金缺口'!$D$5:$D$16)*$AD6*'核心假设'!$B$32,0),0))</x:f>
        <x:v>16891016.88164358</x:v>
      </x:c>
      <x:c r="BI13" s="28" t="n">
        <x:f>SUM(IF(AND(BI$4&gt;EDATE('核心假设'!$B$5,0+$F6),BI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I$4=EDATE(EDATE('核心假设'!$B$5,0+$F6),$D6),SUM('融资租赁与资金缺口'!$D$5:$D$16)*$M6*'核心假设'!$B$32,0),0),IF(AND(BI$4&gt;EDATE('核心假设'!$B$5,1+$F6),BI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I$4=EDATE(EDATE('核心假设'!$B$5,1+$F6),$D6),SUM('融资租赁与资金缺口'!$D$5:$D$16)*$N6*'核心假设'!$B$32,0),0),IF(AND(BI$4&gt;EDATE('核心假设'!$B$5,2+$F6),BI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I$4=EDATE(EDATE('核心假设'!$B$5,2+$F6),$D6),SUM('融资租赁与资金缺口'!$D$5:$D$16)*$O6*'核心假设'!$B$32,0),0),IF(AND(BI$4&gt;EDATE('核心假设'!$B$5,3+$F6),BI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I$4=EDATE(EDATE('核心假设'!$B$5,3+$F6),$D6),SUM('融资租赁与资金缺口'!$D$5:$D$16)*$P6*'核心假设'!$B$32,0),0),IF(AND(BI$4&gt;EDATE('核心假设'!$B$5,4+$F6),BI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I$4=EDATE(EDATE('核心假设'!$B$5,4+$F6),$D6),SUM('融资租赁与资金缺口'!$D$5:$D$16)*$Q6*'核心假设'!$B$32,0),0),IF(AND(BI$4&gt;EDATE('核心假设'!$B$5,5+$F6),BI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I$4=EDATE(EDATE('核心假设'!$B$5,5+$F6),$D6),SUM('融资租赁与资金缺口'!$D$5:$D$16)*$R6*'核心假设'!$B$32,0),0),IF(AND(BI$4&gt;EDATE('核心假设'!$B$5,6+$F6),BI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I$4=EDATE(EDATE('核心假设'!$B$5,6+$F6),$D6),SUM('融资租赁与资金缺口'!$D$5:$D$16)*$S6*'核心假设'!$B$32,0),0),IF(AND(BI$4&gt;EDATE('核心假设'!$B$5,7+$F6),BI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I$4=EDATE(EDATE('核心假设'!$B$5,7+$F6),$D6),SUM('融资租赁与资金缺口'!$D$5:$D$16)*$T6*'核心假设'!$B$32,0),0),IF(AND(BI$4&gt;EDATE('核心假设'!$B$5,8+$F6),BI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I$4=EDATE(EDATE('核心假设'!$B$5,8+$F6),$D6),SUM('融资租赁与资金缺口'!$D$5:$D$16)*$U6*'核心假设'!$B$32,0),0),IF(AND(BI$4&gt;EDATE('核心假设'!$B$5,9+$F6),BI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I$4=EDATE(EDATE('核心假设'!$B$5,9+$F6),$D6),SUM('融资租赁与资金缺口'!$D$5:$D$16)*$V6*'核心假设'!$B$32,0),0),IF(AND(BI$4&gt;EDATE('核心假设'!$B$5,10+$F6),BI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I$4=EDATE(EDATE('核心假设'!$B$5,10+$F6),$D6),SUM('融资租赁与资金缺口'!$D$5:$D$16)*$W6*'核心假设'!$B$32,0),0),IF(AND(BI$4&gt;EDATE('核心假设'!$B$5,11+$F6),BI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I$4=EDATE(EDATE('核心假设'!$B$5,11+$F6),$D6),SUM('融资租赁与资金缺口'!$D$5:$D$16)*$X6*'核心假设'!$B$32,0),0),IF(AND(BI$4&gt;EDATE('核心假设'!$B$5,12+$F6),BI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I$4=EDATE(EDATE('核心假设'!$B$5,12+$F6),$D6),SUM('融资租赁与资金缺口'!$D$5:$D$16)*$Y6*'核心假设'!$B$32,0),0),IF(AND(BI$4&gt;EDATE('核心假设'!$B$5,13+$F6),BI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I$4=EDATE(EDATE('核心假设'!$B$5,13+$F6),$D6),SUM('融资租赁与资金缺口'!$D$5:$D$16)*$Z6*'核心假设'!$B$32,0),0),IF(AND(BI$4&gt;EDATE('核心假设'!$B$5,14+$F6),BI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I$4=EDATE(EDATE('核心假设'!$B$5,14+$F6),$D6),SUM('融资租赁与资金缺口'!$D$5:$D$16)*$AA6*'核心假设'!$B$32,0),0),IF(AND(BI$4&gt;EDATE('核心假设'!$B$5,15+$F6),BI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I$4=EDATE(EDATE('核心假设'!$B$5,15+$F6),$D6),SUM('融资租赁与资金缺口'!$D$5:$D$16)*$AB6*'核心假设'!$B$32,0),0),IF(AND(BI$4&gt;EDATE('核心假设'!$B$5,16+$F6),BI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I$4=EDATE(EDATE('核心假设'!$B$5,16+$F6),$D6),SUM('融资租赁与资金缺口'!$D$5:$D$16)*$AC6*'核心假设'!$B$32,0),0),IF(AND(BI$4&gt;EDATE('核心假设'!$B$5,17+$F6),BI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I$4=EDATE(EDATE('核心假设'!$B$5,17+$F6),$D6),SUM('融资租赁与资金缺口'!$D$5:$D$16)*$AD6*'核心假设'!$B$32,0),0))</x:f>
        <x:v>16891016.88164358</x:v>
      </x:c>
      <x:c r="BJ13" s="28" t="n">
        <x:f>SUM(IF(AND(BJ$4&gt;EDATE('核心假设'!$B$5,0+$F6),BJ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J$4=EDATE(EDATE('核心假设'!$B$5,0+$F6),$D6),SUM('融资租赁与资金缺口'!$D$5:$D$16)*$M6*'核心假设'!$B$32,0),0),IF(AND(BJ$4&gt;EDATE('核心假设'!$B$5,1+$F6),BJ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J$4=EDATE(EDATE('核心假设'!$B$5,1+$F6),$D6),SUM('融资租赁与资金缺口'!$D$5:$D$16)*$N6*'核心假设'!$B$32,0),0),IF(AND(BJ$4&gt;EDATE('核心假设'!$B$5,2+$F6),BJ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J$4=EDATE(EDATE('核心假设'!$B$5,2+$F6),$D6),SUM('融资租赁与资金缺口'!$D$5:$D$16)*$O6*'核心假设'!$B$32,0),0),IF(AND(BJ$4&gt;EDATE('核心假设'!$B$5,3+$F6),BJ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J$4=EDATE(EDATE('核心假设'!$B$5,3+$F6),$D6),SUM('融资租赁与资金缺口'!$D$5:$D$16)*$P6*'核心假设'!$B$32,0),0),IF(AND(BJ$4&gt;EDATE('核心假设'!$B$5,4+$F6),BJ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J$4=EDATE(EDATE('核心假设'!$B$5,4+$F6),$D6),SUM('融资租赁与资金缺口'!$D$5:$D$16)*$Q6*'核心假设'!$B$32,0),0),IF(AND(BJ$4&gt;EDATE('核心假设'!$B$5,5+$F6),BJ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J$4=EDATE(EDATE('核心假设'!$B$5,5+$F6),$D6),SUM('融资租赁与资金缺口'!$D$5:$D$16)*$R6*'核心假设'!$B$32,0),0),IF(AND(BJ$4&gt;EDATE('核心假设'!$B$5,6+$F6),BJ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J$4=EDATE(EDATE('核心假设'!$B$5,6+$F6),$D6),SUM('融资租赁与资金缺口'!$D$5:$D$16)*$S6*'核心假设'!$B$32,0),0),IF(AND(BJ$4&gt;EDATE('核心假设'!$B$5,7+$F6),BJ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J$4=EDATE(EDATE('核心假设'!$B$5,7+$F6),$D6),SUM('融资租赁与资金缺口'!$D$5:$D$16)*$T6*'核心假设'!$B$32,0),0),IF(AND(BJ$4&gt;EDATE('核心假设'!$B$5,8+$F6),BJ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J$4=EDATE(EDATE('核心假设'!$B$5,8+$F6),$D6),SUM('融资租赁与资金缺口'!$D$5:$D$16)*$U6*'核心假设'!$B$32,0),0),IF(AND(BJ$4&gt;EDATE('核心假设'!$B$5,9+$F6),BJ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J$4=EDATE(EDATE('核心假设'!$B$5,9+$F6),$D6),SUM('融资租赁与资金缺口'!$D$5:$D$16)*$V6*'核心假设'!$B$32,0),0),IF(AND(BJ$4&gt;EDATE('核心假设'!$B$5,10+$F6),BJ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J$4=EDATE(EDATE('核心假设'!$B$5,10+$F6),$D6),SUM('融资租赁与资金缺口'!$D$5:$D$16)*$W6*'核心假设'!$B$32,0),0),IF(AND(BJ$4&gt;EDATE('核心假设'!$B$5,11+$F6),BJ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J$4=EDATE(EDATE('核心假设'!$B$5,11+$F6),$D6),SUM('融资租赁与资金缺口'!$D$5:$D$16)*$X6*'核心假设'!$B$32,0),0),IF(AND(BJ$4&gt;EDATE('核心假设'!$B$5,12+$F6),BJ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J$4=EDATE(EDATE('核心假设'!$B$5,12+$F6),$D6),SUM('融资租赁与资金缺口'!$D$5:$D$16)*$Y6*'核心假设'!$B$32,0),0),IF(AND(BJ$4&gt;EDATE('核心假设'!$B$5,13+$F6),BJ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J$4=EDATE(EDATE('核心假设'!$B$5,13+$F6),$D6),SUM('融资租赁与资金缺口'!$D$5:$D$16)*$Z6*'核心假设'!$B$32,0),0),IF(AND(BJ$4&gt;EDATE('核心假设'!$B$5,14+$F6),BJ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J$4=EDATE(EDATE('核心假设'!$B$5,14+$F6),$D6),SUM('融资租赁与资金缺口'!$D$5:$D$16)*$AA6*'核心假设'!$B$32,0),0),IF(AND(BJ$4&gt;EDATE('核心假设'!$B$5,15+$F6),BJ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J$4=EDATE(EDATE('核心假设'!$B$5,15+$F6),$D6),SUM('融资租赁与资金缺口'!$D$5:$D$16)*$AB6*'核心假设'!$B$32,0),0),IF(AND(BJ$4&gt;EDATE('核心假设'!$B$5,16+$F6),BJ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J$4=EDATE(EDATE('核心假设'!$B$5,16+$F6),$D6),SUM('融资租赁与资金缺口'!$D$5:$D$16)*$AC6*'核心假设'!$B$32,0),0),IF(AND(BJ$4&gt;EDATE('核心假设'!$B$5,17+$F6),BJ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J$4=EDATE(EDATE('核心假设'!$B$5,17+$F6),$D6),SUM('融资租赁与资金缺口'!$D$5:$D$16)*$AD6*'核心假设'!$B$32,0),0))</x:f>
        <x:v>16891016.88164358</x:v>
      </x:c>
      <x:c r="BK13" s="28" t="n">
        <x:f>SUM(IF(AND(BK$4&gt;EDATE('核心假设'!$B$5,0+$F6),BK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K$4=EDATE(EDATE('核心假设'!$B$5,0+$F6),$D6),SUM('融资租赁与资金缺口'!$D$5:$D$16)*$M6*'核心假设'!$B$32,0),0),IF(AND(BK$4&gt;EDATE('核心假设'!$B$5,1+$F6),BK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K$4=EDATE(EDATE('核心假设'!$B$5,1+$F6),$D6),SUM('融资租赁与资金缺口'!$D$5:$D$16)*$N6*'核心假设'!$B$32,0),0),IF(AND(BK$4&gt;EDATE('核心假设'!$B$5,2+$F6),BK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K$4=EDATE(EDATE('核心假设'!$B$5,2+$F6),$D6),SUM('融资租赁与资金缺口'!$D$5:$D$16)*$O6*'核心假设'!$B$32,0),0),IF(AND(BK$4&gt;EDATE('核心假设'!$B$5,3+$F6),BK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K$4=EDATE(EDATE('核心假设'!$B$5,3+$F6),$D6),SUM('融资租赁与资金缺口'!$D$5:$D$16)*$P6*'核心假设'!$B$32,0),0),IF(AND(BK$4&gt;EDATE('核心假设'!$B$5,4+$F6),BK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K$4=EDATE(EDATE('核心假设'!$B$5,4+$F6),$D6),SUM('融资租赁与资金缺口'!$D$5:$D$16)*$Q6*'核心假设'!$B$32,0),0),IF(AND(BK$4&gt;EDATE('核心假设'!$B$5,5+$F6),BK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K$4=EDATE(EDATE('核心假设'!$B$5,5+$F6),$D6),SUM('融资租赁与资金缺口'!$D$5:$D$16)*$R6*'核心假设'!$B$32,0),0),IF(AND(BK$4&gt;EDATE('核心假设'!$B$5,6+$F6),BK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K$4=EDATE(EDATE('核心假设'!$B$5,6+$F6),$D6),SUM('融资租赁与资金缺口'!$D$5:$D$16)*$S6*'核心假设'!$B$32,0),0),IF(AND(BK$4&gt;EDATE('核心假设'!$B$5,7+$F6),BK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K$4=EDATE(EDATE('核心假设'!$B$5,7+$F6),$D6),SUM('融资租赁与资金缺口'!$D$5:$D$16)*$T6*'核心假设'!$B$32,0),0),IF(AND(BK$4&gt;EDATE('核心假设'!$B$5,8+$F6),BK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K$4=EDATE(EDATE('核心假设'!$B$5,8+$F6),$D6),SUM('融资租赁与资金缺口'!$D$5:$D$16)*$U6*'核心假设'!$B$32,0),0),IF(AND(BK$4&gt;EDATE('核心假设'!$B$5,9+$F6),BK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K$4=EDATE(EDATE('核心假设'!$B$5,9+$F6),$D6),SUM('融资租赁与资金缺口'!$D$5:$D$16)*$V6*'核心假设'!$B$32,0),0),IF(AND(BK$4&gt;EDATE('核心假设'!$B$5,10+$F6),BK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K$4=EDATE(EDATE('核心假设'!$B$5,10+$F6),$D6),SUM('融资租赁与资金缺口'!$D$5:$D$16)*$W6*'核心假设'!$B$32,0),0),IF(AND(BK$4&gt;EDATE('核心假设'!$B$5,11+$F6),BK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K$4=EDATE(EDATE('核心假设'!$B$5,11+$F6),$D6),SUM('融资租赁与资金缺口'!$D$5:$D$16)*$X6*'核心假设'!$B$32,0),0),IF(AND(BK$4&gt;EDATE('核心假设'!$B$5,12+$F6),BK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K$4=EDATE(EDATE('核心假设'!$B$5,12+$F6),$D6),SUM('融资租赁与资金缺口'!$D$5:$D$16)*$Y6*'核心假设'!$B$32,0),0),IF(AND(BK$4&gt;EDATE('核心假设'!$B$5,13+$F6),BK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K$4=EDATE(EDATE('核心假设'!$B$5,13+$F6),$D6),SUM('融资租赁与资金缺口'!$D$5:$D$16)*$Z6*'核心假设'!$B$32,0),0),IF(AND(BK$4&gt;EDATE('核心假设'!$B$5,14+$F6),BK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K$4=EDATE(EDATE('核心假设'!$B$5,14+$F6),$D6),SUM('融资租赁与资金缺口'!$D$5:$D$16)*$AA6*'核心假设'!$B$32,0),0),IF(AND(BK$4&gt;EDATE('核心假设'!$B$5,15+$F6),BK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K$4=EDATE(EDATE('核心假设'!$B$5,15+$F6),$D6),SUM('融资租赁与资金缺口'!$D$5:$D$16)*$AB6*'核心假设'!$B$32,0),0),IF(AND(BK$4&gt;EDATE('核心假设'!$B$5,16+$F6),BK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K$4=EDATE(EDATE('核心假设'!$B$5,16+$F6),$D6),SUM('融资租赁与资金缺口'!$D$5:$D$16)*$AC6*'核心假设'!$B$32,0),0),IF(AND(BK$4&gt;EDATE('核心假设'!$B$5,17+$F6),BK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K$4=EDATE(EDATE('核心假设'!$B$5,17+$F6),$D6),SUM('融资租赁与资金缺口'!$D$5:$D$16)*$AD6*'核心假设'!$B$32,0),0))</x:f>
        <x:v>16891016.88164358</x:v>
      </x:c>
      <x:c r="BL13" s="28" t="n">
        <x:f>SUM(IF(AND(BL$4&gt;EDATE('核心假设'!$B$5,0+$F6),BL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L$4=EDATE(EDATE('核心假设'!$B$5,0+$F6),$D6),SUM('融资租赁与资金缺口'!$D$5:$D$16)*$M6*'核心假设'!$B$32,0),0),IF(AND(BL$4&gt;EDATE('核心假设'!$B$5,1+$F6),BL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L$4=EDATE(EDATE('核心假设'!$B$5,1+$F6),$D6),SUM('融资租赁与资金缺口'!$D$5:$D$16)*$N6*'核心假设'!$B$32,0),0),IF(AND(BL$4&gt;EDATE('核心假设'!$B$5,2+$F6),BL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L$4=EDATE(EDATE('核心假设'!$B$5,2+$F6),$D6),SUM('融资租赁与资金缺口'!$D$5:$D$16)*$O6*'核心假设'!$B$32,0),0),IF(AND(BL$4&gt;EDATE('核心假设'!$B$5,3+$F6),BL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L$4=EDATE(EDATE('核心假设'!$B$5,3+$F6),$D6),SUM('融资租赁与资金缺口'!$D$5:$D$16)*$P6*'核心假设'!$B$32,0),0),IF(AND(BL$4&gt;EDATE('核心假设'!$B$5,4+$F6),BL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L$4=EDATE(EDATE('核心假设'!$B$5,4+$F6),$D6),SUM('融资租赁与资金缺口'!$D$5:$D$16)*$Q6*'核心假设'!$B$32,0),0),IF(AND(BL$4&gt;EDATE('核心假设'!$B$5,5+$F6),BL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L$4=EDATE(EDATE('核心假设'!$B$5,5+$F6),$D6),SUM('融资租赁与资金缺口'!$D$5:$D$16)*$R6*'核心假设'!$B$32,0),0),IF(AND(BL$4&gt;EDATE('核心假设'!$B$5,6+$F6),BL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L$4=EDATE(EDATE('核心假设'!$B$5,6+$F6),$D6),SUM('融资租赁与资金缺口'!$D$5:$D$16)*$S6*'核心假设'!$B$32,0),0),IF(AND(BL$4&gt;EDATE('核心假设'!$B$5,7+$F6),BL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L$4=EDATE(EDATE('核心假设'!$B$5,7+$F6),$D6),SUM('融资租赁与资金缺口'!$D$5:$D$16)*$T6*'核心假设'!$B$32,0),0),IF(AND(BL$4&gt;EDATE('核心假设'!$B$5,8+$F6),BL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L$4=EDATE(EDATE('核心假设'!$B$5,8+$F6),$D6),SUM('融资租赁与资金缺口'!$D$5:$D$16)*$U6*'核心假设'!$B$32,0),0),IF(AND(BL$4&gt;EDATE('核心假设'!$B$5,9+$F6),BL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L$4=EDATE(EDATE('核心假设'!$B$5,9+$F6),$D6),SUM('融资租赁与资金缺口'!$D$5:$D$16)*$V6*'核心假设'!$B$32,0),0),IF(AND(BL$4&gt;EDATE('核心假设'!$B$5,10+$F6),BL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L$4=EDATE(EDATE('核心假设'!$B$5,10+$F6),$D6),SUM('融资租赁与资金缺口'!$D$5:$D$16)*$W6*'核心假设'!$B$32,0),0),IF(AND(BL$4&gt;EDATE('核心假设'!$B$5,11+$F6),BL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L$4=EDATE(EDATE('核心假设'!$B$5,11+$F6),$D6),SUM('融资租赁与资金缺口'!$D$5:$D$16)*$X6*'核心假设'!$B$32,0),0),IF(AND(BL$4&gt;EDATE('核心假设'!$B$5,12+$F6),BL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L$4=EDATE(EDATE('核心假设'!$B$5,12+$F6),$D6),SUM('融资租赁与资金缺口'!$D$5:$D$16)*$Y6*'核心假设'!$B$32,0),0),IF(AND(BL$4&gt;EDATE('核心假设'!$B$5,13+$F6),BL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L$4=EDATE(EDATE('核心假设'!$B$5,13+$F6),$D6),SUM('融资租赁与资金缺口'!$D$5:$D$16)*$Z6*'核心假设'!$B$32,0),0),IF(AND(BL$4&gt;EDATE('核心假设'!$B$5,14+$F6),BL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L$4=EDATE(EDATE('核心假设'!$B$5,14+$F6),$D6),SUM('融资租赁与资金缺口'!$D$5:$D$16)*$AA6*'核心假设'!$B$32,0),0),IF(AND(BL$4&gt;EDATE('核心假设'!$B$5,15+$F6),BL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L$4=EDATE(EDATE('核心假设'!$B$5,15+$F6),$D6),SUM('融资租赁与资金缺口'!$D$5:$D$16)*$AB6*'核心假设'!$B$32,0),0),IF(AND(BL$4&gt;EDATE('核心假设'!$B$5,16+$F6),BL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L$4=EDATE(EDATE('核心假设'!$B$5,16+$F6),$D6),SUM('融资租赁与资金缺口'!$D$5:$D$16)*$AC6*'核心假设'!$B$32,0),0),IF(AND(BL$4&gt;EDATE('核心假设'!$B$5,17+$F6),BL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L$4=EDATE(EDATE('核心假设'!$B$5,17+$F6),$D6),SUM('融资租赁与资金缺口'!$D$5:$D$16)*$AD6*'核心假设'!$B$32,0),0))</x:f>
        <x:v>16891016.88164358</x:v>
      </x:c>
      <x:c r="BM13" s="28" t="n">
        <x:f>SUM(IF(AND(BM$4&gt;EDATE('核心假设'!$B$5,0+$F6),BM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M$4=EDATE(EDATE('核心假设'!$B$5,0+$F6),$D6),SUM('融资租赁与资金缺口'!$D$5:$D$16)*$M6*'核心假设'!$B$32,0),0),IF(AND(BM$4&gt;EDATE('核心假设'!$B$5,1+$F6),BM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M$4=EDATE(EDATE('核心假设'!$B$5,1+$F6),$D6),SUM('融资租赁与资金缺口'!$D$5:$D$16)*$N6*'核心假设'!$B$32,0),0),IF(AND(BM$4&gt;EDATE('核心假设'!$B$5,2+$F6),BM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M$4=EDATE(EDATE('核心假设'!$B$5,2+$F6),$D6),SUM('融资租赁与资金缺口'!$D$5:$D$16)*$O6*'核心假设'!$B$32,0),0),IF(AND(BM$4&gt;EDATE('核心假设'!$B$5,3+$F6),BM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M$4=EDATE(EDATE('核心假设'!$B$5,3+$F6),$D6),SUM('融资租赁与资金缺口'!$D$5:$D$16)*$P6*'核心假设'!$B$32,0),0),IF(AND(BM$4&gt;EDATE('核心假设'!$B$5,4+$F6),BM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M$4=EDATE(EDATE('核心假设'!$B$5,4+$F6),$D6),SUM('融资租赁与资金缺口'!$D$5:$D$16)*$Q6*'核心假设'!$B$32,0),0),IF(AND(BM$4&gt;EDATE('核心假设'!$B$5,5+$F6),BM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M$4=EDATE(EDATE('核心假设'!$B$5,5+$F6),$D6),SUM('融资租赁与资金缺口'!$D$5:$D$16)*$R6*'核心假设'!$B$32,0),0),IF(AND(BM$4&gt;EDATE('核心假设'!$B$5,6+$F6),BM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M$4=EDATE(EDATE('核心假设'!$B$5,6+$F6),$D6),SUM('融资租赁与资金缺口'!$D$5:$D$16)*$S6*'核心假设'!$B$32,0),0),IF(AND(BM$4&gt;EDATE('核心假设'!$B$5,7+$F6),BM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M$4=EDATE(EDATE('核心假设'!$B$5,7+$F6),$D6),SUM('融资租赁与资金缺口'!$D$5:$D$16)*$T6*'核心假设'!$B$32,0),0),IF(AND(BM$4&gt;EDATE('核心假设'!$B$5,8+$F6),BM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M$4=EDATE(EDATE('核心假设'!$B$5,8+$F6),$D6),SUM('融资租赁与资金缺口'!$D$5:$D$16)*$U6*'核心假设'!$B$32,0),0),IF(AND(BM$4&gt;EDATE('核心假设'!$B$5,9+$F6),BM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M$4=EDATE(EDATE('核心假设'!$B$5,9+$F6),$D6),SUM('融资租赁与资金缺口'!$D$5:$D$16)*$V6*'核心假设'!$B$32,0),0),IF(AND(BM$4&gt;EDATE('核心假设'!$B$5,10+$F6),BM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M$4=EDATE(EDATE('核心假设'!$B$5,10+$F6),$D6),SUM('融资租赁与资金缺口'!$D$5:$D$16)*$W6*'核心假设'!$B$32,0),0),IF(AND(BM$4&gt;EDATE('核心假设'!$B$5,11+$F6),BM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M$4=EDATE(EDATE('核心假设'!$B$5,11+$F6),$D6),SUM('融资租赁与资金缺口'!$D$5:$D$16)*$X6*'核心假设'!$B$32,0),0),IF(AND(BM$4&gt;EDATE('核心假设'!$B$5,12+$F6),BM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M$4=EDATE(EDATE('核心假设'!$B$5,12+$F6),$D6),SUM('融资租赁与资金缺口'!$D$5:$D$16)*$Y6*'核心假设'!$B$32,0),0),IF(AND(BM$4&gt;EDATE('核心假设'!$B$5,13+$F6),BM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M$4=EDATE(EDATE('核心假设'!$B$5,13+$F6),$D6),SUM('融资租赁与资金缺口'!$D$5:$D$16)*$Z6*'核心假设'!$B$32,0),0),IF(AND(BM$4&gt;EDATE('核心假设'!$B$5,14+$F6),BM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M$4=EDATE(EDATE('核心假设'!$B$5,14+$F6),$D6),SUM('融资租赁与资金缺口'!$D$5:$D$16)*$AA6*'核心假设'!$B$32,0),0),IF(AND(BM$4&gt;EDATE('核心假设'!$B$5,15+$F6),BM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M$4=EDATE(EDATE('核心假设'!$B$5,15+$F6),$D6),SUM('融资租赁与资金缺口'!$D$5:$D$16)*$AB6*'核心假设'!$B$32,0),0),IF(AND(BM$4&gt;EDATE('核心假设'!$B$5,16+$F6),BM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M$4=EDATE(EDATE('核心假设'!$B$5,16+$F6),$D6),SUM('融资租赁与资金缺口'!$D$5:$D$16)*$AC6*'核心假设'!$B$32,0),0),IF(AND(BM$4&gt;EDATE('核心假设'!$B$5,17+$F6),BM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M$4=EDATE(EDATE('核心假设'!$B$5,17+$F6),$D6),SUM('融资租赁与资金缺口'!$D$5:$D$16)*$AD6*'核心假设'!$B$32,0),0))</x:f>
        <x:v>16891016.88164358</x:v>
      </x:c>
      <x:c r="BN13" s="28" t="n">
        <x:f>SUM(IF(AND(BN$4&gt;EDATE('核心假设'!$B$5,0+$F6),BN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N$4=EDATE(EDATE('核心假设'!$B$5,0+$F6),$D6),SUM('融资租赁与资金缺口'!$D$5:$D$16)*$M6*'核心假设'!$B$32,0),0),IF(AND(BN$4&gt;EDATE('核心假设'!$B$5,1+$F6),BN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N$4=EDATE(EDATE('核心假设'!$B$5,1+$F6),$D6),SUM('融资租赁与资金缺口'!$D$5:$D$16)*$N6*'核心假设'!$B$32,0),0),IF(AND(BN$4&gt;EDATE('核心假设'!$B$5,2+$F6),BN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N$4=EDATE(EDATE('核心假设'!$B$5,2+$F6),$D6),SUM('融资租赁与资金缺口'!$D$5:$D$16)*$O6*'核心假设'!$B$32,0),0),IF(AND(BN$4&gt;EDATE('核心假设'!$B$5,3+$F6),BN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N$4=EDATE(EDATE('核心假设'!$B$5,3+$F6),$D6),SUM('融资租赁与资金缺口'!$D$5:$D$16)*$P6*'核心假设'!$B$32,0),0),IF(AND(BN$4&gt;EDATE('核心假设'!$B$5,4+$F6),BN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N$4=EDATE(EDATE('核心假设'!$B$5,4+$F6),$D6),SUM('融资租赁与资金缺口'!$D$5:$D$16)*$Q6*'核心假设'!$B$32,0),0),IF(AND(BN$4&gt;EDATE('核心假设'!$B$5,5+$F6),BN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N$4=EDATE(EDATE('核心假设'!$B$5,5+$F6),$D6),SUM('融资租赁与资金缺口'!$D$5:$D$16)*$R6*'核心假设'!$B$32,0),0),IF(AND(BN$4&gt;EDATE('核心假设'!$B$5,6+$F6),BN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N$4=EDATE(EDATE('核心假设'!$B$5,6+$F6),$D6),SUM('融资租赁与资金缺口'!$D$5:$D$16)*$S6*'核心假设'!$B$32,0),0),IF(AND(BN$4&gt;EDATE('核心假设'!$B$5,7+$F6),BN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N$4=EDATE(EDATE('核心假设'!$B$5,7+$F6),$D6),SUM('融资租赁与资金缺口'!$D$5:$D$16)*$T6*'核心假设'!$B$32,0),0),IF(AND(BN$4&gt;EDATE('核心假设'!$B$5,8+$F6),BN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N$4=EDATE(EDATE('核心假设'!$B$5,8+$F6),$D6),SUM('融资租赁与资金缺口'!$D$5:$D$16)*$U6*'核心假设'!$B$32,0),0),IF(AND(BN$4&gt;EDATE('核心假设'!$B$5,9+$F6),BN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N$4=EDATE(EDATE('核心假设'!$B$5,9+$F6),$D6),SUM('融资租赁与资金缺口'!$D$5:$D$16)*$V6*'核心假设'!$B$32,0),0),IF(AND(BN$4&gt;EDATE('核心假设'!$B$5,10+$F6),BN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N$4=EDATE(EDATE('核心假设'!$B$5,10+$F6),$D6),SUM('融资租赁与资金缺口'!$D$5:$D$16)*$W6*'核心假设'!$B$32,0),0),IF(AND(BN$4&gt;EDATE('核心假设'!$B$5,11+$F6),BN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N$4=EDATE(EDATE('核心假设'!$B$5,11+$F6),$D6),SUM('融资租赁与资金缺口'!$D$5:$D$16)*$X6*'核心假设'!$B$32,0),0),IF(AND(BN$4&gt;EDATE('核心假设'!$B$5,12+$F6),BN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N$4=EDATE(EDATE('核心假设'!$B$5,12+$F6),$D6),SUM('融资租赁与资金缺口'!$D$5:$D$16)*$Y6*'核心假设'!$B$32,0),0),IF(AND(BN$4&gt;EDATE('核心假设'!$B$5,13+$F6),BN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N$4=EDATE(EDATE('核心假设'!$B$5,13+$F6),$D6),SUM('融资租赁与资金缺口'!$D$5:$D$16)*$Z6*'核心假设'!$B$32,0),0),IF(AND(BN$4&gt;EDATE('核心假设'!$B$5,14+$F6),BN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N$4=EDATE(EDATE('核心假设'!$B$5,14+$F6),$D6),SUM('融资租赁与资金缺口'!$D$5:$D$16)*$AA6*'核心假设'!$B$32,0),0),IF(AND(BN$4&gt;EDATE('核心假设'!$B$5,15+$F6),BN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N$4=EDATE(EDATE('核心假设'!$B$5,15+$F6),$D6),SUM('融资租赁与资金缺口'!$D$5:$D$16)*$AB6*'核心假设'!$B$32,0),0),IF(AND(BN$4&gt;EDATE('核心假设'!$B$5,16+$F6),BN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N$4=EDATE(EDATE('核心假设'!$B$5,16+$F6),$D6),SUM('融资租赁与资金缺口'!$D$5:$D$16)*$AC6*'核心假设'!$B$32,0),0),IF(AND(BN$4&gt;EDATE('核心假设'!$B$5,17+$F6),BN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N$4=EDATE(EDATE('核心假设'!$B$5,17+$F6),$D6),SUM('融资租赁与资金缺口'!$D$5:$D$16)*$AD6*'核心假设'!$B$32,0),0))</x:f>
        <x:v>16891016.88164358</x:v>
      </x:c>
      <x:c r="BO13" s="28" t="n">
        <x:f>SUM(IF(AND(BO$4&gt;EDATE('核心假设'!$B$5,0+$F6),BO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O$4=EDATE(EDATE('核心假设'!$B$5,0+$F6),$D6),SUM('融资租赁与资金缺口'!$D$5:$D$16)*$M6*'核心假设'!$B$32,0),0),IF(AND(BO$4&gt;EDATE('核心假设'!$B$5,1+$F6),BO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O$4=EDATE(EDATE('核心假设'!$B$5,1+$F6),$D6),SUM('融资租赁与资金缺口'!$D$5:$D$16)*$N6*'核心假设'!$B$32,0),0),IF(AND(BO$4&gt;EDATE('核心假设'!$B$5,2+$F6),BO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O$4=EDATE(EDATE('核心假设'!$B$5,2+$F6),$D6),SUM('融资租赁与资金缺口'!$D$5:$D$16)*$O6*'核心假设'!$B$32,0),0),IF(AND(BO$4&gt;EDATE('核心假设'!$B$5,3+$F6),BO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O$4=EDATE(EDATE('核心假设'!$B$5,3+$F6),$D6),SUM('融资租赁与资金缺口'!$D$5:$D$16)*$P6*'核心假设'!$B$32,0),0),IF(AND(BO$4&gt;EDATE('核心假设'!$B$5,4+$F6),BO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O$4=EDATE(EDATE('核心假设'!$B$5,4+$F6),$D6),SUM('融资租赁与资金缺口'!$D$5:$D$16)*$Q6*'核心假设'!$B$32,0),0),IF(AND(BO$4&gt;EDATE('核心假设'!$B$5,5+$F6),BO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O$4=EDATE(EDATE('核心假设'!$B$5,5+$F6),$D6),SUM('融资租赁与资金缺口'!$D$5:$D$16)*$R6*'核心假设'!$B$32,0),0),IF(AND(BO$4&gt;EDATE('核心假设'!$B$5,6+$F6),BO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O$4=EDATE(EDATE('核心假设'!$B$5,6+$F6),$D6),SUM('融资租赁与资金缺口'!$D$5:$D$16)*$S6*'核心假设'!$B$32,0),0),IF(AND(BO$4&gt;EDATE('核心假设'!$B$5,7+$F6),BO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O$4=EDATE(EDATE('核心假设'!$B$5,7+$F6),$D6),SUM('融资租赁与资金缺口'!$D$5:$D$16)*$T6*'核心假设'!$B$32,0),0),IF(AND(BO$4&gt;EDATE('核心假设'!$B$5,8+$F6),BO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O$4=EDATE(EDATE('核心假设'!$B$5,8+$F6),$D6),SUM('融资租赁与资金缺口'!$D$5:$D$16)*$U6*'核心假设'!$B$32,0),0),IF(AND(BO$4&gt;EDATE('核心假设'!$B$5,9+$F6),BO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O$4=EDATE(EDATE('核心假设'!$B$5,9+$F6),$D6),SUM('融资租赁与资金缺口'!$D$5:$D$16)*$V6*'核心假设'!$B$32,0),0),IF(AND(BO$4&gt;EDATE('核心假设'!$B$5,10+$F6),BO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O$4=EDATE(EDATE('核心假设'!$B$5,10+$F6),$D6),SUM('融资租赁与资金缺口'!$D$5:$D$16)*$W6*'核心假设'!$B$32,0),0),IF(AND(BO$4&gt;EDATE('核心假设'!$B$5,11+$F6),BO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O$4=EDATE(EDATE('核心假设'!$B$5,11+$F6),$D6),SUM('融资租赁与资金缺口'!$D$5:$D$16)*$X6*'核心假设'!$B$32,0),0),IF(AND(BO$4&gt;EDATE('核心假设'!$B$5,12+$F6),BO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O$4=EDATE(EDATE('核心假设'!$B$5,12+$F6),$D6),SUM('融资租赁与资金缺口'!$D$5:$D$16)*$Y6*'核心假设'!$B$32,0),0),IF(AND(BO$4&gt;EDATE('核心假设'!$B$5,13+$F6),BO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O$4=EDATE(EDATE('核心假设'!$B$5,13+$F6),$D6),SUM('融资租赁与资金缺口'!$D$5:$D$16)*$Z6*'核心假设'!$B$32,0),0),IF(AND(BO$4&gt;EDATE('核心假设'!$B$5,14+$F6),BO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O$4=EDATE(EDATE('核心假设'!$B$5,14+$F6),$D6),SUM('融资租赁与资金缺口'!$D$5:$D$16)*$AA6*'核心假设'!$B$32,0),0),IF(AND(BO$4&gt;EDATE('核心假设'!$B$5,15+$F6),BO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O$4=EDATE(EDATE('核心假设'!$B$5,15+$F6),$D6),SUM('融资租赁与资金缺口'!$D$5:$D$16)*$AB6*'核心假设'!$B$32,0),0),IF(AND(BO$4&gt;EDATE('核心假设'!$B$5,16+$F6),BO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O$4=EDATE(EDATE('核心假设'!$B$5,16+$F6),$D6),SUM('融资租赁与资金缺口'!$D$5:$D$16)*$AC6*'核心假设'!$B$32,0),0),IF(AND(BO$4&gt;EDATE('核心假设'!$B$5,17+$F6),BO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O$4=EDATE(EDATE('核心假设'!$B$5,17+$F6),$D6),SUM('融资租赁与资金缺口'!$D$5:$D$16)*$AD6*'核心假设'!$B$32,0),0))</x:f>
        <x:v>16891016.88164358</x:v>
      </x:c>
      <x:c r="BP13" s="28" t="n">
        <x:f>SUM(IF(AND(BP$4&gt;EDATE('核心假设'!$B$5,0+$F6),BP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P$4=EDATE(EDATE('核心假设'!$B$5,0+$F6),$D6),SUM('融资租赁与资金缺口'!$D$5:$D$16)*$M6*'核心假设'!$B$32,0),0),IF(AND(BP$4&gt;EDATE('核心假设'!$B$5,1+$F6),BP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P$4=EDATE(EDATE('核心假设'!$B$5,1+$F6),$D6),SUM('融资租赁与资金缺口'!$D$5:$D$16)*$N6*'核心假设'!$B$32,0),0),IF(AND(BP$4&gt;EDATE('核心假设'!$B$5,2+$F6),BP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P$4=EDATE(EDATE('核心假设'!$B$5,2+$F6),$D6),SUM('融资租赁与资金缺口'!$D$5:$D$16)*$O6*'核心假设'!$B$32,0),0),IF(AND(BP$4&gt;EDATE('核心假设'!$B$5,3+$F6),BP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P$4=EDATE(EDATE('核心假设'!$B$5,3+$F6),$D6),SUM('融资租赁与资金缺口'!$D$5:$D$16)*$P6*'核心假设'!$B$32,0),0),IF(AND(BP$4&gt;EDATE('核心假设'!$B$5,4+$F6),BP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P$4=EDATE(EDATE('核心假设'!$B$5,4+$F6),$D6),SUM('融资租赁与资金缺口'!$D$5:$D$16)*$Q6*'核心假设'!$B$32,0),0),IF(AND(BP$4&gt;EDATE('核心假设'!$B$5,5+$F6),BP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P$4=EDATE(EDATE('核心假设'!$B$5,5+$F6),$D6),SUM('融资租赁与资金缺口'!$D$5:$D$16)*$R6*'核心假设'!$B$32,0),0),IF(AND(BP$4&gt;EDATE('核心假设'!$B$5,6+$F6),BP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P$4=EDATE(EDATE('核心假设'!$B$5,6+$F6),$D6),SUM('融资租赁与资金缺口'!$D$5:$D$16)*$S6*'核心假设'!$B$32,0),0),IF(AND(BP$4&gt;EDATE('核心假设'!$B$5,7+$F6),BP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P$4=EDATE(EDATE('核心假设'!$B$5,7+$F6),$D6),SUM('融资租赁与资金缺口'!$D$5:$D$16)*$T6*'核心假设'!$B$32,0),0),IF(AND(BP$4&gt;EDATE('核心假设'!$B$5,8+$F6),BP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P$4=EDATE(EDATE('核心假设'!$B$5,8+$F6),$D6),SUM('融资租赁与资金缺口'!$D$5:$D$16)*$U6*'核心假设'!$B$32,0),0),IF(AND(BP$4&gt;EDATE('核心假设'!$B$5,9+$F6),BP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P$4=EDATE(EDATE('核心假设'!$B$5,9+$F6),$D6),SUM('融资租赁与资金缺口'!$D$5:$D$16)*$V6*'核心假设'!$B$32,0),0),IF(AND(BP$4&gt;EDATE('核心假设'!$B$5,10+$F6),BP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P$4=EDATE(EDATE('核心假设'!$B$5,10+$F6),$D6),SUM('融资租赁与资金缺口'!$D$5:$D$16)*$W6*'核心假设'!$B$32,0),0),IF(AND(BP$4&gt;EDATE('核心假设'!$B$5,11+$F6),BP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P$4=EDATE(EDATE('核心假设'!$B$5,11+$F6),$D6),SUM('融资租赁与资金缺口'!$D$5:$D$16)*$X6*'核心假设'!$B$32,0),0),IF(AND(BP$4&gt;EDATE('核心假设'!$B$5,12+$F6),BP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P$4=EDATE(EDATE('核心假设'!$B$5,12+$F6),$D6),SUM('融资租赁与资金缺口'!$D$5:$D$16)*$Y6*'核心假设'!$B$32,0),0),IF(AND(BP$4&gt;EDATE('核心假设'!$B$5,13+$F6),BP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P$4=EDATE(EDATE('核心假设'!$B$5,13+$F6),$D6),SUM('融资租赁与资金缺口'!$D$5:$D$16)*$Z6*'核心假设'!$B$32,0),0),IF(AND(BP$4&gt;EDATE('核心假设'!$B$5,14+$F6),BP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P$4=EDATE(EDATE('核心假设'!$B$5,14+$F6),$D6),SUM('融资租赁与资金缺口'!$D$5:$D$16)*$AA6*'核心假设'!$B$32,0),0),IF(AND(BP$4&gt;EDATE('核心假设'!$B$5,15+$F6),BP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P$4=EDATE(EDATE('核心假设'!$B$5,15+$F6),$D6),SUM('融资租赁与资金缺口'!$D$5:$D$16)*$AB6*'核心假设'!$B$32,0),0),IF(AND(BP$4&gt;EDATE('核心假设'!$B$5,16+$F6),BP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P$4=EDATE(EDATE('核心假设'!$B$5,16+$F6),$D6),SUM('融资租赁与资金缺口'!$D$5:$D$16)*$AC6*'核心假设'!$B$32,0),0),IF(AND(BP$4&gt;EDATE('核心假设'!$B$5,17+$F6),BP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P$4=EDATE(EDATE('核心假设'!$B$5,17+$F6),$D6),SUM('融资租赁与资金缺口'!$D$5:$D$16)*$AD6*'核心假设'!$B$32,0),0))</x:f>
        <x:v>16891016.88164358</x:v>
      </x:c>
      <x:c r="BQ13" s="28" t="n">
        <x:f>SUM(IF(AND(BQ$4&gt;EDATE('核心假设'!$B$5,0+$F6),BQ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Q$4=EDATE(EDATE('核心假设'!$B$5,0+$F6),$D6),SUM('融资租赁与资金缺口'!$D$5:$D$16)*$M6*'核心假设'!$B$32,0),0),IF(AND(BQ$4&gt;EDATE('核心假设'!$B$5,1+$F6),BQ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Q$4=EDATE(EDATE('核心假设'!$B$5,1+$F6),$D6),SUM('融资租赁与资金缺口'!$D$5:$D$16)*$N6*'核心假设'!$B$32,0),0),IF(AND(BQ$4&gt;EDATE('核心假设'!$B$5,2+$F6),BQ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Q$4=EDATE(EDATE('核心假设'!$B$5,2+$F6),$D6),SUM('融资租赁与资金缺口'!$D$5:$D$16)*$O6*'核心假设'!$B$32,0),0),IF(AND(BQ$4&gt;EDATE('核心假设'!$B$5,3+$F6),BQ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Q$4=EDATE(EDATE('核心假设'!$B$5,3+$F6),$D6),SUM('融资租赁与资金缺口'!$D$5:$D$16)*$P6*'核心假设'!$B$32,0),0),IF(AND(BQ$4&gt;EDATE('核心假设'!$B$5,4+$F6),BQ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Q$4=EDATE(EDATE('核心假设'!$B$5,4+$F6),$D6),SUM('融资租赁与资金缺口'!$D$5:$D$16)*$Q6*'核心假设'!$B$32,0),0),IF(AND(BQ$4&gt;EDATE('核心假设'!$B$5,5+$F6),BQ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Q$4=EDATE(EDATE('核心假设'!$B$5,5+$F6),$D6),SUM('融资租赁与资金缺口'!$D$5:$D$16)*$R6*'核心假设'!$B$32,0),0),IF(AND(BQ$4&gt;EDATE('核心假设'!$B$5,6+$F6),BQ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Q$4=EDATE(EDATE('核心假设'!$B$5,6+$F6),$D6),SUM('融资租赁与资金缺口'!$D$5:$D$16)*$S6*'核心假设'!$B$32,0),0),IF(AND(BQ$4&gt;EDATE('核心假设'!$B$5,7+$F6),BQ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Q$4=EDATE(EDATE('核心假设'!$B$5,7+$F6),$D6),SUM('融资租赁与资金缺口'!$D$5:$D$16)*$T6*'核心假设'!$B$32,0),0),IF(AND(BQ$4&gt;EDATE('核心假设'!$B$5,8+$F6),BQ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Q$4=EDATE(EDATE('核心假设'!$B$5,8+$F6),$D6),SUM('融资租赁与资金缺口'!$D$5:$D$16)*$U6*'核心假设'!$B$32,0),0),IF(AND(BQ$4&gt;EDATE('核心假设'!$B$5,9+$F6),BQ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Q$4=EDATE(EDATE('核心假设'!$B$5,9+$F6),$D6),SUM('融资租赁与资金缺口'!$D$5:$D$16)*$V6*'核心假设'!$B$32,0),0),IF(AND(BQ$4&gt;EDATE('核心假设'!$B$5,10+$F6),BQ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Q$4=EDATE(EDATE('核心假设'!$B$5,10+$F6),$D6),SUM('融资租赁与资金缺口'!$D$5:$D$16)*$W6*'核心假设'!$B$32,0),0),IF(AND(BQ$4&gt;EDATE('核心假设'!$B$5,11+$F6),BQ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Q$4=EDATE(EDATE('核心假设'!$B$5,11+$F6),$D6),SUM('融资租赁与资金缺口'!$D$5:$D$16)*$X6*'核心假设'!$B$32,0),0),IF(AND(BQ$4&gt;EDATE('核心假设'!$B$5,12+$F6),BQ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Q$4=EDATE(EDATE('核心假设'!$B$5,12+$F6),$D6),SUM('融资租赁与资金缺口'!$D$5:$D$16)*$Y6*'核心假设'!$B$32,0),0),IF(AND(BQ$4&gt;EDATE('核心假设'!$B$5,13+$F6),BQ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Q$4=EDATE(EDATE('核心假设'!$B$5,13+$F6),$D6),SUM('融资租赁与资金缺口'!$D$5:$D$16)*$Z6*'核心假设'!$B$32,0),0),IF(AND(BQ$4&gt;EDATE('核心假设'!$B$5,14+$F6),BQ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Q$4=EDATE(EDATE('核心假设'!$B$5,14+$F6),$D6),SUM('融资租赁与资金缺口'!$D$5:$D$16)*$AA6*'核心假设'!$B$32,0),0),IF(AND(BQ$4&gt;EDATE('核心假设'!$B$5,15+$F6),BQ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Q$4=EDATE(EDATE('核心假设'!$B$5,15+$F6),$D6),SUM('融资租赁与资金缺口'!$D$5:$D$16)*$AB6*'核心假设'!$B$32,0),0),IF(AND(BQ$4&gt;EDATE('核心假设'!$B$5,16+$F6),BQ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Q$4=EDATE(EDATE('核心假设'!$B$5,16+$F6),$D6),SUM('融资租赁与资金缺口'!$D$5:$D$16)*$AC6*'核心假设'!$B$32,0),0),IF(AND(BQ$4&gt;EDATE('核心假设'!$B$5,17+$F6),BQ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Q$4=EDATE(EDATE('核心假设'!$B$5,17+$F6),$D6),SUM('融资租赁与资金缺口'!$D$5:$D$16)*$AD6*'核心假设'!$B$32,0),0))</x:f>
        <x:v>17162666.88164358</x:v>
      </x:c>
      <x:c r="BR13" s="28" t="n">
        <x:f>SUM(IF(AND(BR$4&gt;EDATE('核心假设'!$B$5,0+$F6),BR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R$4=EDATE(EDATE('核心假设'!$B$5,0+$F6),$D6),SUM('融资租赁与资金缺口'!$D$5:$D$16)*$M6*'核心假设'!$B$32,0),0),IF(AND(BR$4&gt;EDATE('核心假设'!$B$5,1+$F6),BR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R$4=EDATE(EDATE('核心假设'!$B$5,1+$F6),$D6),SUM('融资租赁与资金缺口'!$D$5:$D$16)*$N6*'核心假设'!$B$32,0),0),IF(AND(BR$4&gt;EDATE('核心假设'!$B$5,2+$F6),BR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R$4=EDATE(EDATE('核心假设'!$B$5,2+$F6),$D6),SUM('融资租赁与资金缺口'!$D$5:$D$16)*$O6*'核心假设'!$B$32,0),0),IF(AND(BR$4&gt;EDATE('核心假设'!$B$5,3+$F6),BR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R$4=EDATE(EDATE('核心假设'!$B$5,3+$F6),$D6),SUM('融资租赁与资金缺口'!$D$5:$D$16)*$P6*'核心假设'!$B$32,0),0),IF(AND(BR$4&gt;EDATE('核心假设'!$B$5,4+$F6),BR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R$4=EDATE(EDATE('核心假设'!$B$5,4+$F6),$D6),SUM('融资租赁与资金缺口'!$D$5:$D$16)*$Q6*'核心假设'!$B$32,0),0),IF(AND(BR$4&gt;EDATE('核心假设'!$B$5,5+$F6),BR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R$4=EDATE(EDATE('核心假设'!$B$5,5+$F6),$D6),SUM('融资租赁与资金缺口'!$D$5:$D$16)*$R6*'核心假设'!$B$32,0),0),IF(AND(BR$4&gt;EDATE('核心假设'!$B$5,6+$F6),BR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R$4=EDATE(EDATE('核心假设'!$B$5,6+$F6),$D6),SUM('融资租赁与资金缺口'!$D$5:$D$16)*$S6*'核心假设'!$B$32,0),0),IF(AND(BR$4&gt;EDATE('核心假设'!$B$5,7+$F6),BR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R$4=EDATE(EDATE('核心假设'!$B$5,7+$F6),$D6),SUM('融资租赁与资金缺口'!$D$5:$D$16)*$T6*'核心假设'!$B$32,0),0),IF(AND(BR$4&gt;EDATE('核心假设'!$B$5,8+$F6),BR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R$4=EDATE(EDATE('核心假设'!$B$5,8+$F6),$D6),SUM('融资租赁与资金缺口'!$D$5:$D$16)*$U6*'核心假设'!$B$32,0),0),IF(AND(BR$4&gt;EDATE('核心假设'!$B$5,9+$F6),BR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R$4=EDATE(EDATE('核心假设'!$B$5,9+$F6),$D6),SUM('融资租赁与资金缺口'!$D$5:$D$16)*$V6*'核心假设'!$B$32,0),0),IF(AND(BR$4&gt;EDATE('核心假设'!$B$5,10+$F6),BR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R$4=EDATE(EDATE('核心假设'!$B$5,10+$F6),$D6),SUM('融资租赁与资金缺口'!$D$5:$D$16)*$W6*'核心假设'!$B$32,0),0),IF(AND(BR$4&gt;EDATE('核心假设'!$B$5,11+$F6),BR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R$4=EDATE(EDATE('核心假设'!$B$5,11+$F6),$D6),SUM('融资租赁与资金缺口'!$D$5:$D$16)*$X6*'核心假设'!$B$32,0),0),IF(AND(BR$4&gt;EDATE('核心假设'!$B$5,12+$F6),BR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R$4=EDATE(EDATE('核心假设'!$B$5,12+$F6),$D6),SUM('融资租赁与资金缺口'!$D$5:$D$16)*$Y6*'核心假设'!$B$32,0),0),IF(AND(BR$4&gt;EDATE('核心假设'!$B$5,13+$F6),BR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R$4=EDATE(EDATE('核心假设'!$B$5,13+$F6),$D6),SUM('融资租赁与资金缺口'!$D$5:$D$16)*$Z6*'核心假设'!$B$32,0),0),IF(AND(BR$4&gt;EDATE('核心假设'!$B$5,14+$F6),BR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R$4=EDATE(EDATE('核心假设'!$B$5,14+$F6),$D6),SUM('融资租赁与资金缺口'!$D$5:$D$16)*$AA6*'核心假设'!$B$32,0),0),IF(AND(BR$4&gt;EDATE('核心假设'!$B$5,15+$F6),BR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R$4=EDATE(EDATE('核心假设'!$B$5,15+$F6),$D6),SUM('融资租赁与资金缺口'!$D$5:$D$16)*$AB6*'核心假设'!$B$32,0),0),IF(AND(BR$4&gt;EDATE('核心假设'!$B$5,16+$F6),BR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R$4=EDATE(EDATE('核心假设'!$B$5,16+$F6),$D6),SUM('融资租赁与资金缺口'!$D$5:$D$16)*$AC6*'核心假设'!$B$32,0),0),IF(AND(BR$4&gt;EDATE('核心假设'!$B$5,17+$F6),BR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R$4=EDATE(EDATE('核心假设'!$B$5,17+$F6),$D6),SUM('融资租赁与资金缺口'!$D$5:$D$16)*$AD6*'核心假设'!$B$32,0),0))</x:f>
        <x:v>16372446.0375614</x:v>
      </x:c>
      <x:c r="BS13" s="28" t="n">
        <x:f>SUM(IF(AND(BS$4&gt;EDATE('核心假设'!$B$5,0+$F6),BS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S$4=EDATE(EDATE('核心假设'!$B$5,0+$F6),$D6),SUM('融资租赁与资金缺口'!$D$5:$D$16)*$M6*'核心假设'!$B$32,0),0),IF(AND(BS$4&gt;EDATE('核心假设'!$B$5,1+$F6),BS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S$4=EDATE(EDATE('核心假设'!$B$5,1+$F6),$D6),SUM('融资租赁与资金缺口'!$D$5:$D$16)*$N6*'核心假设'!$B$32,0),0),IF(AND(BS$4&gt;EDATE('核心假设'!$B$5,2+$F6),BS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S$4=EDATE(EDATE('核心假设'!$B$5,2+$F6),$D6),SUM('融资租赁与资金缺口'!$D$5:$D$16)*$O6*'核心假设'!$B$32,0),0),IF(AND(BS$4&gt;EDATE('核心假设'!$B$5,3+$F6),BS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S$4=EDATE(EDATE('核心假设'!$B$5,3+$F6),$D6),SUM('融资租赁与资金缺口'!$D$5:$D$16)*$P6*'核心假设'!$B$32,0),0),IF(AND(BS$4&gt;EDATE('核心假设'!$B$5,4+$F6),BS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S$4=EDATE(EDATE('核心假设'!$B$5,4+$F6),$D6),SUM('融资租赁与资金缺口'!$D$5:$D$16)*$Q6*'核心假设'!$B$32,0),0),IF(AND(BS$4&gt;EDATE('核心假设'!$B$5,5+$F6),BS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S$4=EDATE(EDATE('核心假设'!$B$5,5+$F6),$D6),SUM('融资租赁与资金缺口'!$D$5:$D$16)*$R6*'核心假设'!$B$32,0),0),IF(AND(BS$4&gt;EDATE('核心假设'!$B$5,6+$F6),BS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S$4=EDATE(EDATE('核心假设'!$B$5,6+$F6),$D6),SUM('融资租赁与资金缺口'!$D$5:$D$16)*$S6*'核心假设'!$B$32,0),0),IF(AND(BS$4&gt;EDATE('核心假设'!$B$5,7+$F6),BS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S$4=EDATE(EDATE('核心假设'!$B$5,7+$F6),$D6),SUM('融资租赁与资金缺口'!$D$5:$D$16)*$T6*'核心假设'!$B$32,0),0),IF(AND(BS$4&gt;EDATE('核心假设'!$B$5,8+$F6),BS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S$4=EDATE(EDATE('核心假设'!$B$5,8+$F6),$D6),SUM('融资租赁与资金缺口'!$D$5:$D$16)*$U6*'核心假设'!$B$32,0),0),IF(AND(BS$4&gt;EDATE('核心假设'!$B$5,9+$F6),BS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S$4=EDATE(EDATE('核心假设'!$B$5,9+$F6),$D6),SUM('融资租赁与资金缺口'!$D$5:$D$16)*$V6*'核心假设'!$B$32,0),0),IF(AND(BS$4&gt;EDATE('核心假设'!$B$5,10+$F6),BS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S$4=EDATE(EDATE('核心假设'!$B$5,10+$F6),$D6),SUM('融资租赁与资金缺口'!$D$5:$D$16)*$W6*'核心假设'!$B$32,0),0),IF(AND(BS$4&gt;EDATE('核心假设'!$B$5,11+$F6),BS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S$4=EDATE(EDATE('核心假设'!$B$5,11+$F6),$D6),SUM('融资租赁与资金缺口'!$D$5:$D$16)*$X6*'核心假设'!$B$32,0),0),IF(AND(BS$4&gt;EDATE('核心假设'!$B$5,12+$F6),BS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S$4=EDATE(EDATE('核心假设'!$B$5,12+$F6),$D6),SUM('融资租赁与资金缺口'!$D$5:$D$16)*$Y6*'核心假设'!$B$32,0),0),IF(AND(BS$4&gt;EDATE('核心假设'!$B$5,13+$F6),BS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S$4=EDATE(EDATE('核心假设'!$B$5,13+$F6),$D6),SUM('融资租赁与资金缺口'!$D$5:$D$16)*$Z6*'核心假设'!$B$32,0),0),IF(AND(BS$4&gt;EDATE('核心假设'!$B$5,14+$F6),BS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S$4=EDATE(EDATE('核心假设'!$B$5,14+$F6),$D6),SUM('融资租赁与资金缺口'!$D$5:$D$16)*$AA6*'核心假设'!$B$32,0),0),IF(AND(BS$4&gt;EDATE('核心假设'!$B$5,15+$F6),BS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S$4=EDATE(EDATE('核心假设'!$B$5,15+$F6),$D6),SUM('融资租赁与资金缺口'!$D$5:$D$16)*$AB6*'核心假设'!$B$32,0),0),IF(AND(BS$4&gt;EDATE('核心假设'!$B$5,16+$F6),BS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S$4=EDATE(EDATE('核心假设'!$B$5,16+$F6),$D6),SUM('融资租赁与资金缺口'!$D$5:$D$16)*$AC6*'核心假设'!$B$32,0),0),IF(AND(BS$4&gt;EDATE('核心假设'!$B$5,17+$F6),BS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S$4=EDATE(EDATE('核心假设'!$B$5,17+$F6),$D6),SUM('融资租赁与资金缺口'!$D$5:$D$16)*$AD6*'核心假设'!$B$32,0),0))</x:f>
        <x:v>15413315.024662785</x:v>
      </x:c>
      <x:c r="BT13" s="28" t="n">
        <x:f>SUM(IF(AND(BT$4&gt;EDATE('核心假设'!$B$5,0+$F6),BT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T$4=EDATE(EDATE('核心假设'!$B$5,0+$F6),$D6),SUM('融资租赁与资金缺口'!$D$5:$D$16)*$M6*'核心假设'!$B$32,0),0),IF(AND(BT$4&gt;EDATE('核心假设'!$B$5,1+$F6),BT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T$4=EDATE(EDATE('核心假设'!$B$5,1+$F6),$D6),SUM('融资租赁与资金缺口'!$D$5:$D$16)*$N6*'核心假设'!$B$32,0),0),IF(AND(BT$4&gt;EDATE('核心假设'!$B$5,2+$F6),BT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T$4=EDATE(EDATE('核心假设'!$B$5,2+$F6),$D6),SUM('融资租赁与资金缺口'!$D$5:$D$16)*$O6*'核心假设'!$B$32,0),0),IF(AND(BT$4&gt;EDATE('核心假设'!$B$5,3+$F6),BT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T$4=EDATE(EDATE('核心假设'!$B$5,3+$F6),$D6),SUM('融资租赁与资金缺口'!$D$5:$D$16)*$P6*'核心假设'!$B$32,0),0),IF(AND(BT$4&gt;EDATE('核心假设'!$B$5,4+$F6),BT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T$4=EDATE(EDATE('核心假设'!$B$5,4+$F6),$D6),SUM('融资租赁与资金缺口'!$D$5:$D$16)*$Q6*'核心假设'!$B$32,0),0),IF(AND(BT$4&gt;EDATE('核心假设'!$B$5,5+$F6),BT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T$4=EDATE(EDATE('核心假设'!$B$5,5+$F6),$D6),SUM('融资租赁与资金缺口'!$D$5:$D$16)*$R6*'核心假设'!$B$32,0),0),IF(AND(BT$4&gt;EDATE('核心假设'!$B$5,6+$F6),BT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T$4=EDATE(EDATE('核心假设'!$B$5,6+$F6),$D6),SUM('融资租赁与资金缺口'!$D$5:$D$16)*$S6*'核心假设'!$B$32,0),0),IF(AND(BT$4&gt;EDATE('核心假设'!$B$5,7+$F6),BT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T$4=EDATE(EDATE('核心假设'!$B$5,7+$F6),$D6),SUM('融资租赁与资金缺口'!$D$5:$D$16)*$T6*'核心假设'!$B$32,0),0),IF(AND(BT$4&gt;EDATE('核心假设'!$B$5,8+$F6),BT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T$4=EDATE(EDATE('核心假设'!$B$5,8+$F6),$D6),SUM('融资租赁与资金缺口'!$D$5:$D$16)*$U6*'核心假设'!$B$32,0),0),IF(AND(BT$4&gt;EDATE('核心假设'!$B$5,9+$F6),BT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T$4=EDATE(EDATE('核心假设'!$B$5,9+$F6),$D6),SUM('融资租赁与资金缺口'!$D$5:$D$16)*$V6*'核心假设'!$B$32,0),0),IF(AND(BT$4&gt;EDATE('核心假设'!$B$5,10+$F6),BT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T$4=EDATE(EDATE('核心假设'!$B$5,10+$F6),$D6),SUM('融资租赁与资金缺口'!$D$5:$D$16)*$W6*'核心假设'!$B$32,0),0),IF(AND(BT$4&gt;EDATE('核心假设'!$B$5,11+$F6),BT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T$4=EDATE(EDATE('核心假设'!$B$5,11+$F6),$D6),SUM('融资租赁与资金缺口'!$D$5:$D$16)*$X6*'核心假设'!$B$32,0),0),IF(AND(BT$4&gt;EDATE('核心假设'!$B$5,12+$F6),BT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T$4=EDATE(EDATE('核心假设'!$B$5,12+$F6),$D6),SUM('融资租赁与资金缺口'!$D$5:$D$16)*$Y6*'核心假设'!$B$32,0),0),IF(AND(BT$4&gt;EDATE('核心假设'!$B$5,13+$F6),BT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T$4=EDATE(EDATE('核心假设'!$B$5,13+$F6),$D6),SUM('融资租赁与资金缺口'!$D$5:$D$16)*$Z6*'核心假设'!$B$32,0),0),IF(AND(BT$4&gt;EDATE('核心假设'!$B$5,14+$F6),BT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T$4=EDATE(EDATE('核心假设'!$B$5,14+$F6),$D6),SUM('融资租赁与资金缺口'!$D$5:$D$16)*$AA6*'核心假设'!$B$32,0),0),IF(AND(BT$4&gt;EDATE('核心假设'!$B$5,15+$F6),BT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T$4=EDATE(EDATE('核心假设'!$B$5,15+$F6),$D6),SUM('融资租赁与资金缺口'!$D$5:$D$16)*$AB6*'核心假设'!$B$32,0),0),IF(AND(BT$4&gt;EDATE('核心假设'!$B$5,16+$F6),BT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T$4=EDATE(EDATE('核心假设'!$B$5,16+$F6),$D6),SUM('融资租赁与资金缺口'!$D$5:$D$16)*$AC6*'核心假设'!$B$32,0),0),IF(AND(BT$4&gt;EDATE('核心假设'!$B$5,17+$F6),BT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T$4=EDATE(EDATE('核心假设'!$B$5,17+$F6),$D6),SUM('融资租赁与资金缺口'!$D$5:$D$16)*$AD6*'核心假设'!$B$32,0),0))</x:f>
        <x:v>14285273.842947735</x:v>
      </x:c>
      <x:c r="BU13" s="28" t="n">
        <x:f>SUM(IF(AND(BU$4&gt;EDATE('核心假设'!$B$5,0+$F6),BU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U$4=EDATE(EDATE('核心假设'!$B$5,0+$F6),$D6),SUM('融资租赁与资金缺口'!$D$5:$D$16)*$M6*'核心假设'!$B$32,0),0),IF(AND(BU$4&gt;EDATE('核心假设'!$B$5,1+$F6),BU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U$4=EDATE(EDATE('核心假设'!$B$5,1+$F6),$D6),SUM('融资租赁与资金缺口'!$D$5:$D$16)*$N6*'核心假设'!$B$32,0),0),IF(AND(BU$4&gt;EDATE('核心假设'!$B$5,2+$F6),BU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U$4=EDATE(EDATE('核心假设'!$B$5,2+$F6),$D6),SUM('融资租赁与资金缺口'!$D$5:$D$16)*$O6*'核心假设'!$B$32,0),0),IF(AND(BU$4&gt;EDATE('核心假设'!$B$5,3+$F6),BU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U$4=EDATE(EDATE('核心假设'!$B$5,3+$F6),$D6),SUM('融资租赁与资金缺口'!$D$5:$D$16)*$P6*'核心假设'!$B$32,0),0),IF(AND(BU$4&gt;EDATE('核心假设'!$B$5,4+$F6),BU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U$4=EDATE(EDATE('核心假设'!$B$5,4+$F6),$D6),SUM('融资租赁与资金缺口'!$D$5:$D$16)*$Q6*'核心假设'!$B$32,0),0),IF(AND(BU$4&gt;EDATE('核心假设'!$B$5,5+$F6),BU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U$4=EDATE(EDATE('核心假设'!$B$5,5+$F6),$D6),SUM('融资租赁与资金缺口'!$D$5:$D$16)*$R6*'核心假设'!$B$32,0),0),IF(AND(BU$4&gt;EDATE('核心假设'!$B$5,6+$F6),BU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U$4=EDATE(EDATE('核心假设'!$B$5,6+$F6),$D6),SUM('融资租赁与资金缺口'!$D$5:$D$16)*$S6*'核心假设'!$B$32,0),0),IF(AND(BU$4&gt;EDATE('核心假设'!$B$5,7+$F6),BU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U$4=EDATE(EDATE('核心假设'!$B$5,7+$F6),$D6),SUM('融资租赁与资金缺口'!$D$5:$D$16)*$T6*'核心假设'!$B$32,0),0),IF(AND(BU$4&gt;EDATE('核心假设'!$B$5,8+$F6),BU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U$4=EDATE(EDATE('核心假设'!$B$5,8+$F6),$D6),SUM('融资租赁与资金缺口'!$D$5:$D$16)*$U6*'核心假设'!$B$32,0),0),IF(AND(BU$4&gt;EDATE('核心假设'!$B$5,9+$F6),BU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U$4=EDATE(EDATE('核心假设'!$B$5,9+$F6),$D6),SUM('融资租赁与资金缺口'!$D$5:$D$16)*$V6*'核心假设'!$B$32,0),0),IF(AND(BU$4&gt;EDATE('核心假设'!$B$5,10+$F6),BU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U$4=EDATE(EDATE('核心假设'!$B$5,10+$F6),$D6),SUM('融资租赁与资金缺口'!$D$5:$D$16)*$W6*'核心假设'!$B$32,0),0),IF(AND(BU$4&gt;EDATE('核心假设'!$B$5,11+$F6),BU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U$4=EDATE(EDATE('核心假设'!$B$5,11+$F6),$D6),SUM('融资租赁与资金缺口'!$D$5:$D$16)*$X6*'核心假设'!$B$32,0),0),IF(AND(BU$4&gt;EDATE('核心假设'!$B$5,12+$F6),BU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U$4=EDATE(EDATE('核心假设'!$B$5,12+$F6),$D6),SUM('融资租赁与资金缺口'!$D$5:$D$16)*$Y6*'核心假设'!$B$32,0),0),IF(AND(BU$4&gt;EDATE('核心假设'!$B$5,13+$F6),BU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U$4=EDATE(EDATE('核心假设'!$B$5,13+$F6),$D6),SUM('融资租赁与资金缺口'!$D$5:$D$16)*$Z6*'核心假设'!$B$32,0),0),IF(AND(BU$4&gt;EDATE('核心假设'!$B$5,14+$F6),BU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U$4=EDATE(EDATE('核心假设'!$B$5,14+$F6),$D6),SUM('融资租赁与资金缺口'!$D$5:$D$16)*$AA6*'核心假设'!$B$32,0),0),IF(AND(BU$4&gt;EDATE('核心假设'!$B$5,15+$F6),BU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U$4=EDATE(EDATE('核心假设'!$B$5,15+$F6),$D6),SUM('融资租赁与资金缺口'!$D$5:$D$16)*$AB6*'核心假设'!$B$32,0),0),IF(AND(BU$4&gt;EDATE('核心假设'!$B$5,16+$F6),BU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U$4=EDATE(EDATE('核心假设'!$B$5,16+$F6),$D6),SUM('融资租赁与资金缺口'!$D$5:$D$16)*$AC6*'核心假设'!$B$32,0),0),IF(AND(BU$4&gt;EDATE('核心假设'!$B$5,17+$F6),BU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U$4=EDATE(EDATE('核心假设'!$B$5,17+$F6),$D6),SUM('融资租赁与资金缺口'!$D$5:$D$16)*$AD6*'核心假设'!$B$32,0),0))</x:f>
        <x:v>12988322.492416248</x:v>
      </x:c>
      <x:c r="BV13" s="28" t="n">
        <x:f>SUM(IF(AND(BV$4&gt;EDATE('核心假设'!$B$5,0+$F6),BV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V$4=EDATE(EDATE('核心假设'!$B$5,0+$F6),$D6),SUM('融资租赁与资金缺口'!$D$5:$D$16)*$M6*'核心假设'!$B$32,0),0),IF(AND(BV$4&gt;EDATE('核心假设'!$B$5,1+$F6),BV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V$4=EDATE(EDATE('核心假设'!$B$5,1+$F6),$D6),SUM('融资租赁与资金缺口'!$D$5:$D$16)*$N6*'核心假设'!$B$32,0),0),IF(AND(BV$4&gt;EDATE('核心假设'!$B$5,2+$F6),BV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V$4=EDATE(EDATE('核心假设'!$B$5,2+$F6),$D6),SUM('融资租赁与资金缺口'!$D$5:$D$16)*$O6*'核心假设'!$B$32,0),0),IF(AND(BV$4&gt;EDATE('核心假设'!$B$5,3+$F6),BV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V$4=EDATE(EDATE('核心假设'!$B$5,3+$F6),$D6),SUM('融资租赁与资金缺口'!$D$5:$D$16)*$P6*'核心假设'!$B$32,0),0),IF(AND(BV$4&gt;EDATE('核心假设'!$B$5,4+$F6),BV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V$4=EDATE(EDATE('核心假设'!$B$5,4+$F6),$D6),SUM('融资租赁与资金缺口'!$D$5:$D$16)*$Q6*'核心假设'!$B$32,0),0),IF(AND(BV$4&gt;EDATE('核心假设'!$B$5,5+$F6),BV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V$4=EDATE(EDATE('核心假设'!$B$5,5+$F6),$D6),SUM('融资租赁与资金缺口'!$D$5:$D$16)*$R6*'核心假设'!$B$32,0),0),IF(AND(BV$4&gt;EDATE('核心假设'!$B$5,6+$F6),BV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V$4=EDATE(EDATE('核心假设'!$B$5,6+$F6),$D6),SUM('融资租赁与资金缺口'!$D$5:$D$16)*$S6*'核心假设'!$B$32,0),0),IF(AND(BV$4&gt;EDATE('核心假设'!$B$5,7+$F6),BV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V$4=EDATE(EDATE('核心假设'!$B$5,7+$F6),$D6),SUM('融资租赁与资金缺口'!$D$5:$D$16)*$T6*'核心假设'!$B$32,0),0),IF(AND(BV$4&gt;EDATE('核心假设'!$B$5,8+$F6),BV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V$4=EDATE(EDATE('核心假设'!$B$5,8+$F6),$D6),SUM('融资租赁与资金缺口'!$D$5:$D$16)*$U6*'核心假设'!$B$32,0),0),IF(AND(BV$4&gt;EDATE('核心假设'!$B$5,9+$F6),BV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V$4=EDATE(EDATE('核心假设'!$B$5,9+$F6),$D6),SUM('融资租赁与资金缺口'!$D$5:$D$16)*$V6*'核心假设'!$B$32,0),0),IF(AND(BV$4&gt;EDATE('核心假设'!$B$5,10+$F6),BV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V$4=EDATE(EDATE('核心假设'!$B$5,10+$F6),$D6),SUM('融资租赁与资金缺口'!$D$5:$D$16)*$W6*'核心假设'!$B$32,0),0),IF(AND(BV$4&gt;EDATE('核心假设'!$B$5,11+$F6),BV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V$4=EDATE(EDATE('核心假设'!$B$5,11+$F6),$D6),SUM('融资租赁与资金缺口'!$D$5:$D$16)*$X6*'核心假设'!$B$32,0),0),IF(AND(BV$4&gt;EDATE('核心假设'!$B$5,12+$F6),BV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V$4=EDATE(EDATE('核心假设'!$B$5,12+$F6),$D6),SUM('融资租赁与资金缺口'!$D$5:$D$16)*$Y6*'核心假设'!$B$32,0),0),IF(AND(BV$4&gt;EDATE('核心假设'!$B$5,13+$F6),BV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V$4=EDATE(EDATE('核心假设'!$B$5,13+$F6),$D6),SUM('融资租赁与资金缺口'!$D$5:$D$16)*$Z6*'核心假设'!$B$32,0),0),IF(AND(BV$4&gt;EDATE('核心假设'!$B$5,14+$F6),BV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V$4=EDATE(EDATE('核心假设'!$B$5,14+$F6),$D6),SUM('融资租赁与资金缺口'!$D$5:$D$16)*$AA6*'核心假设'!$B$32,0),0),IF(AND(BV$4&gt;EDATE('核心假设'!$B$5,15+$F6),BV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V$4=EDATE(EDATE('核心假设'!$B$5,15+$F6),$D6),SUM('融资租赁与资金缺口'!$D$5:$D$16)*$AB6*'核心假设'!$B$32,0),0),IF(AND(BV$4&gt;EDATE('核心假设'!$B$5,16+$F6),BV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V$4=EDATE(EDATE('核心假设'!$B$5,16+$F6),$D6),SUM('融资租赁与资金缺口'!$D$5:$D$16)*$AC6*'核心假设'!$B$32,0),0),IF(AND(BV$4&gt;EDATE('核心假设'!$B$5,17+$F6),BV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V$4=EDATE(EDATE('核心假设'!$B$5,17+$F6),$D6),SUM('融资租赁与资金缺口'!$D$5:$D$16)*$AD6*'核心假设'!$B$32,0),0))</x:f>
        <x:v>11522460.973068327</x:v>
      </x:c>
      <x:c r="BW13" s="28" t="n">
        <x:f>SUM(IF(AND(BW$4&gt;EDATE('核心假设'!$B$5,0+$F6),BW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W$4=EDATE(EDATE('核心假设'!$B$5,0+$F6),$D6),SUM('融资租赁与资金缺口'!$D$5:$D$16)*$M6*'核心假设'!$B$32,0),0),IF(AND(BW$4&gt;EDATE('核心假设'!$B$5,1+$F6),BW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W$4=EDATE(EDATE('核心假设'!$B$5,1+$F6),$D6),SUM('融资租赁与资金缺口'!$D$5:$D$16)*$N6*'核心假设'!$B$32,0),0),IF(AND(BW$4&gt;EDATE('核心假设'!$B$5,2+$F6),BW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W$4=EDATE(EDATE('核心假设'!$B$5,2+$F6),$D6),SUM('融资租赁与资金缺口'!$D$5:$D$16)*$O6*'核心假设'!$B$32,0),0),IF(AND(BW$4&gt;EDATE('核心假设'!$B$5,3+$F6),BW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W$4=EDATE(EDATE('核心假设'!$B$5,3+$F6),$D6),SUM('融资租赁与资金缺口'!$D$5:$D$16)*$P6*'核心假设'!$B$32,0),0),IF(AND(BW$4&gt;EDATE('核心假设'!$B$5,4+$F6),BW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W$4=EDATE(EDATE('核心假设'!$B$5,4+$F6),$D6),SUM('融资租赁与资金缺口'!$D$5:$D$16)*$Q6*'核心假设'!$B$32,0),0),IF(AND(BW$4&gt;EDATE('核心假设'!$B$5,5+$F6),BW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W$4=EDATE(EDATE('核心假设'!$B$5,5+$F6),$D6),SUM('融资租赁与资金缺口'!$D$5:$D$16)*$R6*'核心假设'!$B$32,0),0),IF(AND(BW$4&gt;EDATE('核心假设'!$B$5,6+$F6),BW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W$4=EDATE(EDATE('核心假设'!$B$5,6+$F6),$D6),SUM('融资租赁与资金缺口'!$D$5:$D$16)*$S6*'核心假设'!$B$32,0),0),IF(AND(BW$4&gt;EDATE('核心假设'!$B$5,7+$F6),BW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W$4=EDATE(EDATE('核心假设'!$B$5,7+$F6),$D6),SUM('融资租赁与资金缺口'!$D$5:$D$16)*$T6*'核心假设'!$B$32,0),0),IF(AND(BW$4&gt;EDATE('核心假设'!$B$5,8+$F6),BW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W$4=EDATE(EDATE('核心假设'!$B$5,8+$F6),$D6),SUM('融资租赁与资金缺口'!$D$5:$D$16)*$U6*'核心假设'!$B$32,0),0),IF(AND(BW$4&gt;EDATE('核心假设'!$B$5,9+$F6),BW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W$4=EDATE(EDATE('核心假设'!$B$5,9+$F6),$D6),SUM('融资租赁与资金缺口'!$D$5:$D$16)*$V6*'核心假设'!$B$32,0),0),IF(AND(BW$4&gt;EDATE('核心假设'!$B$5,10+$F6),BW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W$4=EDATE(EDATE('核心假设'!$B$5,10+$F6),$D6),SUM('融资租赁与资金缺口'!$D$5:$D$16)*$W6*'核心假设'!$B$32,0),0),IF(AND(BW$4&gt;EDATE('核心假设'!$B$5,11+$F6),BW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W$4=EDATE(EDATE('核心假设'!$B$5,11+$F6),$D6),SUM('融资租赁与资金缺口'!$D$5:$D$16)*$X6*'核心假设'!$B$32,0),0),IF(AND(BW$4&gt;EDATE('核心假设'!$B$5,12+$F6),BW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W$4=EDATE(EDATE('核心假设'!$B$5,12+$F6),$D6),SUM('融资租赁与资金缺口'!$D$5:$D$16)*$Y6*'核心假设'!$B$32,0),0),IF(AND(BW$4&gt;EDATE('核心假设'!$B$5,13+$F6),BW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W$4=EDATE(EDATE('核心假设'!$B$5,13+$F6),$D6),SUM('融资租赁与资金缺口'!$D$5:$D$16)*$Z6*'核心假设'!$B$32,0),0),IF(AND(BW$4&gt;EDATE('核心假设'!$B$5,14+$F6),BW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W$4=EDATE(EDATE('核心假设'!$B$5,14+$F6),$D6),SUM('融资租赁与资金缺口'!$D$5:$D$16)*$AA6*'核心假设'!$B$32,0),0),IF(AND(BW$4&gt;EDATE('核心假设'!$B$5,15+$F6),BW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W$4=EDATE(EDATE('核心假设'!$B$5,15+$F6),$D6),SUM('融资租赁与资金缺口'!$D$5:$D$16)*$AB6*'核心假设'!$B$32,0),0),IF(AND(BW$4&gt;EDATE('核心假设'!$B$5,16+$F6),BW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W$4=EDATE(EDATE('核心假设'!$B$5,16+$F6),$D6),SUM('融资租赁与资金缺口'!$D$5:$D$16)*$AC6*'核心假设'!$B$32,0),0),IF(AND(BW$4&gt;EDATE('核心假设'!$B$5,17+$F6),BW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W$4=EDATE(EDATE('核心假设'!$B$5,17+$F6),$D6),SUM('融资租赁与资金缺口'!$D$5:$D$16)*$AD6*'核心假设'!$B$32,0),0))</x:f>
        <x:v>9887689.284903968</x:v>
      </x:c>
      <x:c r="BX13" s="28" t="n">
        <x:f>SUM(IF(AND(BX$4&gt;EDATE('核心假设'!$B$5,0+$F6),BX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X$4=EDATE(EDATE('核心假设'!$B$5,0+$F6),$D6),SUM('融资租赁与资金缺口'!$D$5:$D$16)*$M6*'核心假设'!$B$32,0),0),IF(AND(BX$4&gt;EDATE('核心假设'!$B$5,1+$F6),BX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X$4=EDATE(EDATE('核心假设'!$B$5,1+$F6),$D6),SUM('融资租赁与资金缺口'!$D$5:$D$16)*$N6*'核心假设'!$B$32,0),0),IF(AND(BX$4&gt;EDATE('核心假设'!$B$5,2+$F6),BX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X$4=EDATE(EDATE('核心假设'!$B$5,2+$F6),$D6),SUM('融资租赁与资金缺口'!$D$5:$D$16)*$O6*'核心假设'!$B$32,0),0),IF(AND(BX$4&gt;EDATE('核心假设'!$B$5,3+$F6),BX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X$4=EDATE(EDATE('核心假设'!$B$5,3+$F6),$D6),SUM('融资租赁与资金缺口'!$D$5:$D$16)*$P6*'核心假设'!$B$32,0),0),IF(AND(BX$4&gt;EDATE('核心假设'!$B$5,4+$F6),BX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X$4=EDATE(EDATE('核心假设'!$B$5,4+$F6),$D6),SUM('融资租赁与资金缺口'!$D$5:$D$16)*$Q6*'核心假设'!$B$32,0),0),IF(AND(BX$4&gt;EDATE('核心假设'!$B$5,5+$F6),BX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X$4=EDATE(EDATE('核心假设'!$B$5,5+$F6),$D6),SUM('融资租赁与资金缺口'!$D$5:$D$16)*$R6*'核心假设'!$B$32,0),0),IF(AND(BX$4&gt;EDATE('核心假设'!$B$5,6+$F6),BX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X$4=EDATE(EDATE('核心假设'!$B$5,6+$F6),$D6),SUM('融资租赁与资金缺口'!$D$5:$D$16)*$S6*'核心假设'!$B$32,0),0),IF(AND(BX$4&gt;EDATE('核心假设'!$B$5,7+$F6),BX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X$4=EDATE(EDATE('核心假设'!$B$5,7+$F6),$D6),SUM('融资租赁与资金缺口'!$D$5:$D$16)*$T6*'核心假设'!$B$32,0),0),IF(AND(BX$4&gt;EDATE('核心假设'!$B$5,8+$F6),BX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X$4=EDATE(EDATE('核心假设'!$B$5,8+$F6),$D6),SUM('融资租赁与资金缺口'!$D$5:$D$16)*$U6*'核心假设'!$B$32,0),0),IF(AND(BX$4&gt;EDATE('核心假设'!$B$5,9+$F6),BX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X$4=EDATE(EDATE('核心假设'!$B$5,9+$F6),$D6),SUM('融资租赁与资金缺口'!$D$5:$D$16)*$V6*'核心假设'!$B$32,0),0),IF(AND(BX$4&gt;EDATE('核心假设'!$B$5,10+$F6),BX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X$4=EDATE(EDATE('核心假设'!$B$5,10+$F6),$D6),SUM('融资租赁与资金缺口'!$D$5:$D$16)*$W6*'核心假设'!$B$32,0),0),IF(AND(BX$4&gt;EDATE('核心假设'!$B$5,11+$F6),BX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X$4=EDATE(EDATE('核心假设'!$B$5,11+$F6),$D6),SUM('融资租赁与资金缺口'!$D$5:$D$16)*$X6*'核心假设'!$B$32,0),0),IF(AND(BX$4&gt;EDATE('核心假设'!$B$5,12+$F6),BX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X$4=EDATE(EDATE('核心假设'!$B$5,12+$F6),$D6),SUM('融资租赁与资金缺口'!$D$5:$D$16)*$Y6*'核心假设'!$B$32,0),0),IF(AND(BX$4&gt;EDATE('核心假设'!$B$5,13+$F6),BX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X$4=EDATE(EDATE('核心假设'!$B$5,13+$F6),$D6),SUM('融资租赁与资金缺口'!$D$5:$D$16)*$Z6*'核心假设'!$B$32,0),0),IF(AND(BX$4&gt;EDATE('核心假设'!$B$5,14+$F6),BX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X$4=EDATE(EDATE('核心假设'!$B$5,14+$F6),$D6),SUM('融资租赁与资金缺口'!$D$5:$D$16)*$AA6*'核心假设'!$B$32,0),0),IF(AND(BX$4&gt;EDATE('核心假设'!$B$5,15+$F6),BX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X$4=EDATE(EDATE('核心假设'!$B$5,15+$F6),$D6),SUM('融资租赁与资金缺口'!$D$5:$D$16)*$AB6*'核心假设'!$B$32,0),0),IF(AND(BX$4&gt;EDATE('核心假设'!$B$5,16+$F6),BX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X$4=EDATE(EDATE('核心假设'!$B$5,16+$F6),$D6),SUM('融资租赁与资金缺口'!$D$5:$D$16)*$AC6*'核心假设'!$B$32,0),0),IF(AND(BX$4&gt;EDATE('核心假设'!$B$5,17+$F6),BX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X$4=EDATE(EDATE('核心假设'!$B$5,17+$F6),$D6),SUM('融资租赁与资金缺口'!$D$5:$D$16)*$AD6*'核心假设'!$B$32,0),0))</x:f>
        <x:v>8029677.427923175</x:v>
      </x:c>
      <x:c r="BY13" s="28" t="n">
        <x:f>SUM(IF(AND(BY$4&gt;EDATE('核心假设'!$B$5,0+$F6),BY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Y$4=EDATE(EDATE('核心假设'!$B$5,0+$F6),$D6),SUM('融资租赁与资金缺口'!$D$5:$D$16)*$M6*'核心假设'!$B$32,0),0),IF(AND(BY$4&gt;EDATE('核心假设'!$B$5,1+$F6),BY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Y$4=EDATE(EDATE('核心假设'!$B$5,1+$F6),$D6),SUM('融资租赁与资金缺口'!$D$5:$D$16)*$N6*'核心假设'!$B$32,0),0),IF(AND(BY$4&gt;EDATE('核心假设'!$B$5,2+$F6),BY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Y$4=EDATE(EDATE('核心假设'!$B$5,2+$F6),$D6),SUM('融资租赁与资金缺口'!$D$5:$D$16)*$O6*'核心假设'!$B$32,0),0),IF(AND(BY$4&gt;EDATE('核心假设'!$B$5,3+$F6),BY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Y$4=EDATE(EDATE('核心假设'!$B$5,3+$F6),$D6),SUM('融资租赁与资金缺口'!$D$5:$D$16)*$P6*'核心假设'!$B$32,0),0),IF(AND(BY$4&gt;EDATE('核心假设'!$B$5,4+$F6),BY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Y$4=EDATE(EDATE('核心假设'!$B$5,4+$F6),$D6),SUM('融资租赁与资金缺口'!$D$5:$D$16)*$Q6*'核心假设'!$B$32,0),0),IF(AND(BY$4&gt;EDATE('核心假设'!$B$5,5+$F6),BY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Y$4=EDATE(EDATE('核心假设'!$B$5,5+$F6),$D6),SUM('融资租赁与资金缺口'!$D$5:$D$16)*$R6*'核心假设'!$B$32,0),0),IF(AND(BY$4&gt;EDATE('核心假设'!$B$5,6+$F6),BY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Y$4=EDATE(EDATE('核心假设'!$B$5,6+$F6),$D6),SUM('融资租赁与资金缺口'!$D$5:$D$16)*$S6*'核心假设'!$B$32,0),0),IF(AND(BY$4&gt;EDATE('核心假设'!$B$5,7+$F6),BY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Y$4=EDATE(EDATE('核心假设'!$B$5,7+$F6),$D6),SUM('融资租赁与资金缺口'!$D$5:$D$16)*$T6*'核心假设'!$B$32,0),0),IF(AND(BY$4&gt;EDATE('核心假设'!$B$5,8+$F6),BY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Y$4=EDATE(EDATE('核心假设'!$B$5,8+$F6),$D6),SUM('融资租赁与资金缺口'!$D$5:$D$16)*$U6*'核心假设'!$B$32,0),0),IF(AND(BY$4&gt;EDATE('核心假设'!$B$5,9+$F6),BY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Y$4=EDATE(EDATE('核心假设'!$B$5,9+$F6),$D6),SUM('融资租赁与资金缺口'!$D$5:$D$16)*$V6*'核心假设'!$B$32,0),0),IF(AND(BY$4&gt;EDATE('核心假设'!$B$5,10+$F6),BY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Y$4=EDATE(EDATE('核心假设'!$B$5,10+$F6),$D6),SUM('融资租赁与资金缺口'!$D$5:$D$16)*$W6*'核心假设'!$B$32,0),0),IF(AND(BY$4&gt;EDATE('核心假设'!$B$5,11+$F6),BY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Y$4=EDATE(EDATE('核心假设'!$B$5,11+$F6),$D6),SUM('融资租赁与资金缺口'!$D$5:$D$16)*$X6*'核心假设'!$B$32,0),0),IF(AND(BY$4&gt;EDATE('核心假设'!$B$5,12+$F6),BY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Y$4=EDATE(EDATE('核心假设'!$B$5,12+$F6),$D6),SUM('融资租赁与资金缺口'!$D$5:$D$16)*$Y6*'核心假设'!$B$32,0),0),IF(AND(BY$4&gt;EDATE('核心假设'!$B$5,13+$F6),BY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Y$4=EDATE(EDATE('核心假设'!$B$5,13+$F6),$D6),SUM('融资租赁与资金缺口'!$D$5:$D$16)*$Z6*'核心假设'!$B$32,0),0),IF(AND(BY$4&gt;EDATE('核心假设'!$B$5,14+$F6),BY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Y$4=EDATE(EDATE('核心假设'!$B$5,14+$F6),$D6),SUM('融资租赁与资金缺口'!$D$5:$D$16)*$AA6*'核心假设'!$B$32,0),0),IF(AND(BY$4&gt;EDATE('核心假设'!$B$5,15+$F6),BY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Y$4=EDATE(EDATE('核心假设'!$B$5,15+$F6),$D6),SUM('融资租赁与资金缺口'!$D$5:$D$16)*$AB6*'核心假设'!$B$32,0),0),IF(AND(BY$4&gt;EDATE('核心假设'!$B$5,16+$F6),BY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Y$4=EDATE(EDATE('核心假设'!$B$5,16+$F6),$D6),SUM('融资租赁与资金缺口'!$D$5:$D$16)*$AC6*'核心假设'!$B$32,0),0),IF(AND(BY$4&gt;EDATE('核心假设'!$B$5,17+$F6),BY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Y$4=EDATE(EDATE('核心假设'!$B$5,17+$F6),$D6),SUM('融资租赁与资金缺口'!$D$5:$D$16)*$AD6*'核心假设'!$B$32,0),0))</x:f>
        <x:v>6117335.570942381</x:v>
      </x:c>
      <x:c r="BZ13" s="28" t="n">
        <x:f>SUM(IF(AND(BZ$4&gt;EDATE('核心假设'!$B$5,0+$F6),BZ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BZ$4=EDATE(EDATE('核心假设'!$B$5,0+$F6),$D6),SUM('融资租赁与资金缺口'!$D$5:$D$16)*$M6*'核心假设'!$B$32,0),0),IF(AND(BZ$4&gt;EDATE('核心假设'!$B$5,1+$F6),BZ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BZ$4=EDATE(EDATE('核心假设'!$B$5,1+$F6),$D6),SUM('融资租赁与资金缺口'!$D$5:$D$16)*$N6*'核心假设'!$B$32,0),0),IF(AND(BZ$4&gt;EDATE('核心假设'!$B$5,2+$F6),BZ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BZ$4=EDATE(EDATE('核心假设'!$B$5,2+$F6),$D6),SUM('融资租赁与资金缺口'!$D$5:$D$16)*$O6*'核心假设'!$B$32,0),0),IF(AND(BZ$4&gt;EDATE('核心假设'!$B$5,3+$F6),BZ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BZ$4=EDATE(EDATE('核心假设'!$B$5,3+$F6),$D6),SUM('融资租赁与资金缺口'!$D$5:$D$16)*$P6*'核心假设'!$B$32,0),0),IF(AND(BZ$4&gt;EDATE('核心假设'!$B$5,4+$F6),BZ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BZ$4=EDATE(EDATE('核心假设'!$B$5,4+$F6),$D6),SUM('融资租赁与资金缺口'!$D$5:$D$16)*$Q6*'核心假设'!$B$32,0),0),IF(AND(BZ$4&gt;EDATE('核心假设'!$B$5,5+$F6),BZ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BZ$4=EDATE(EDATE('核心假设'!$B$5,5+$F6),$D6),SUM('融资租赁与资金缺口'!$D$5:$D$16)*$R6*'核心假设'!$B$32,0),0),IF(AND(BZ$4&gt;EDATE('核心假设'!$B$5,6+$F6),BZ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BZ$4=EDATE(EDATE('核心假设'!$B$5,6+$F6),$D6),SUM('融资租赁与资金缺口'!$D$5:$D$16)*$S6*'核心假设'!$B$32,0),0),IF(AND(BZ$4&gt;EDATE('核心假设'!$B$5,7+$F6),BZ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BZ$4=EDATE(EDATE('核心假设'!$B$5,7+$F6),$D6),SUM('融资租赁与资金缺口'!$D$5:$D$16)*$T6*'核心假设'!$B$32,0),0),IF(AND(BZ$4&gt;EDATE('核心假设'!$B$5,8+$F6),BZ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BZ$4=EDATE(EDATE('核心假设'!$B$5,8+$F6),$D6),SUM('融资租赁与资金缺口'!$D$5:$D$16)*$U6*'核心假设'!$B$32,0),0),IF(AND(BZ$4&gt;EDATE('核心假设'!$B$5,9+$F6),BZ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BZ$4=EDATE(EDATE('核心假设'!$B$5,9+$F6),$D6),SUM('融资租赁与资金缺口'!$D$5:$D$16)*$V6*'核心假设'!$B$32,0),0),IF(AND(BZ$4&gt;EDATE('核心假设'!$B$5,10+$F6),BZ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BZ$4=EDATE(EDATE('核心假设'!$B$5,10+$F6),$D6),SUM('融资租赁与资金缺口'!$D$5:$D$16)*$W6*'核心假设'!$B$32,0),0),IF(AND(BZ$4&gt;EDATE('核心假设'!$B$5,11+$F6),BZ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BZ$4=EDATE(EDATE('核心假设'!$B$5,11+$F6),$D6),SUM('融资租赁与资金缺口'!$D$5:$D$16)*$X6*'核心假设'!$B$32,0),0),IF(AND(BZ$4&gt;EDATE('核心假设'!$B$5,12+$F6),BZ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BZ$4=EDATE(EDATE('核心假设'!$B$5,12+$F6),$D6),SUM('融资租赁与资金缺口'!$D$5:$D$16)*$Y6*'核心假设'!$B$32,0),0),IF(AND(BZ$4&gt;EDATE('核心假设'!$B$5,13+$F6),BZ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BZ$4=EDATE(EDATE('核心假设'!$B$5,13+$F6),$D6),SUM('融资租赁与资金缺口'!$D$5:$D$16)*$Z6*'核心假设'!$B$32,0),0),IF(AND(BZ$4&gt;EDATE('核心假设'!$B$5,14+$F6),BZ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BZ$4=EDATE(EDATE('核心假设'!$B$5,14+$F6),$D6),SUM('融资租赁与资金缺口'!$D$5:$D$16)*$AA6*'核心假设'!$B$32,0),0),IF(AND(BZ$4&gt;EDATE('核心假设'!$B$5,15+$F6),BZ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BZ$4=EDATE(EDATE('核心假设'!$B$5,15+$F6),$D6),SUM('融资租赁与资金缺口'!$D$5:$D$16)*$AB6*'核心假设'!$B$32,0),0),IF(AND(BZ$4&gt;EDATE('核心假设'!$B$5,16+$F6),BZ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BZ$4=EDATE(EDATE('核心假设'!$B$5,16+$F6),$D6),SUM('融资租赁与资金缺口'!$D$5:$D$16)*$AC6*'核心假设'!$B$32,0),0),IF(AND(BZ$4&gt;EDATE('核心假设'!$B$5,17+$F6),BZ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BZ$4=EDATE(EDATE('核心假设'!$B$5,17+$F6),$D6),SUM('融资租赁与资金缺口'!$D$5:$D$16)*$AD6*'核心假设'!$B$32,0),0))</x:f>
        <x:v>4373903.882778023</x:v>
      </x:c>
      <x:c r="CA13" s="28" t="n">
        <x:f>SUM(IF(AND(CA$4&gt;EDATE('核心假设'!$B$5,0+$F6),CA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CA$4=EDATE(EDATE('核心假设'!$B$5,0+$F6),$D6),SUM('融资租赁与资金缺口'!$D$5:$D$16)*$M6*'核心假设'!$B$32,0),0),IF(AND(CA$4&gt;EDATE('核心假设'!$B$5,1+$F6),CA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CA$4=EDATE(EDATE('核心假设'!$B$5,1+$F6),$D6),SUM('融资租赁与资金缺口'!$D$5:$D$16)*$N6*'核心假设'!$B$32,0),0),IF(AND(CA$4&gt;EDATE('核心假设'!$B$5,2+$F6),CA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CA$4=EDATE(EDATE('核心假设'!$B$5,2+$F6),$D6),SUM('融资租赁与资金缺口'!$D$5:$D$16)*$O6*'核心假设'!$B$32,0),0),IF(AND(CA$4&gt;EDATE('核心假设'!$B$5,3+$F6),CA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CA$4=EDATE(EDATE('核心假设'!$B$5,3+$F6),$D6),SUM('融资租赁与资金缺口'!$D$5:$D$16)*$P6*'核心假设'!$B$32,0),0),IF(AND(CA$4&gt;EDATE('核心假设'!$B$5,4+$F6),CA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CA$4=EDATE(EDATE('核心假设'!$B$5,4+$F6),$D6),SUM('融资租赁与资金缺口'!$D$5:$D$16)*$Q6*'核心假设'!$B$32,0),0),IF(AND(CA$4&gt;EDATE('核心假设'!$B$5,5+$F6),CA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CA$4=EDATE(EDATE('核心假设'!$B$5,5+$F6),$D6),SUM('融资租赁与资金缺口'!$D$5:$D$16)*$R6*'核心假设'!$B$32,0),0),IF(AND(CA$4&gt;EDATE('核心假设'!$B$5,6+$F6),CA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CA$4=EDATE(EDATE('核心假设'!$B$5,6+$F6),$D6),SUM('融资租赁与资金缺口'!$D$5:$D$16)*$S6*'核心假设'!$B$32,0),0),IF(AND(CA$4&gt;EDATE('核心假设'!$B$5,7+$F6),CA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CA$4=EDATE(EDATE('核心假设'!$B$5,7+$F6),$D6),SUM('融资租赁与资金缺口'!$D$5:$D$16)*$T6*'核心假设'!$B$32,0),0),IF(AND(CA$4&gt;EDATE('核心假设'!$B$5,8+$F6),CA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CA$4=EDATE(EDATE('核心假设'!$B$5,8+$F6),$D6),SUM('融资租赁与资金缺口'!$D$5:$D$16)*$U6*'核心假设'!$B$32,0),0),IF(AND(CA$4&gt;EDATE('核心假设'!$B$5,9+$F6),CA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CA$4=EDATE(EDATE('核心假设'!$B$5,9+$F6),$D6),SUM('融资租赁与资金缺口'!$D$5:$D$16)*$V6*'核心假设'!$B$32,0),0),IF(AND(CA$4&gt;EDATE('核心假设'!$B$5,10+$F6),CA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CA$4=EDATE(EDATE('核心假设'!$B$5,10+$F6),$D6),SUM('融资租赁与资金缺口'!$D$5:$D$16)*$W6*'核心假设'!$B$32,0),0),IF(AND(CA$4&gt;EDATE('核心假设'!$B$5,11+$F6),CA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CA$4=EDATE(EDATE('核心假设'!$B$5,11+$F6),$D6),SUM('融资租赁与资金缺口'!$D$5:$D$16)*$X6*'核心假设'!$B$32,0),0),IF(AND(CA$4&gt;EDATE('核心假设'!$B$5,12+$F6),CA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CA$4=EDATE(EDATE('核心假设'!$B$5,12+$F6),$D6),SUM('融资租赁与资金缺口'!$D$5:$D$16)*$Y6*'核心假设'!$B$32,0),0),IF(AND(CA$4&gt;EDATE('核心假设'!$B$5,13+$F6),CA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CA$4=EDATE(EDATE('核心假设'!$B$5,13+$F6),$D6),SUM('融资租赁与资金缺口'!$D$5:$D$16)*$Z6*'核心假设'!$B$32,0),0),IF(AND(CA$4&gt;EDATE('核心假设'!$B$5,14+$F6),CA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CA$4=EDATE(EDATE('核心假设'!$B$5,14+$F6),$D6),SUM('融资租赁与资金缺口'!$D$5:$D$16)*$AA6*'核心假设'!$B$32,0),0),IF(AND(CA$4&gt;EDATE('核心假设'!$B$5,15+$F6),CA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CA$4=EDATE(EDATE('核心假设'!$B$5,15+$F6),$D6),SUM('融资租赁与资金缺口'!$D$5:$D$16)*$AB6*'核心假设'!$B$32,0),0),IF(AND(CA$4&gt;EDATE('核心假设'!$B$5,16+$F6),CA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CA$4=EDATE(EDATE('核心假设'!$B$5,16+$F6),$D6),SUM('融资租赁与资金缺口'!$D$5:$D$16)*$AC6*'核心假设'!$B$32,0),0),IF(AND(CA$4&gt;EDATE('核心假设'!$B$5,17+$F6),CA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CA$4=EDATE(EDATE('核心假设'!$B$5,17+$F6),$D6),SUM('融资租赁与资金缺口'!$D$5:$D$16)*$AD6*'核心假设'!$B$32,0),0))</x:f>
        <x:v>2799382.363430101</x:v>
      </x:c>
      <x:c r="CB13" s="28" t="n">
        <x:f>SUM(IF(AND(CB$4&gt;EDATE('核心假设'!$B$5,0+$F6),CB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CB$4=EDATE(EDATE('核心假设'!$B$5,0+$F6),$D6),SUM('融资租赁与资金缺口'!$D$5:$D$16)*$M6*'核心假设'!$B$32,0),0),IF(AND(CB$4&gt;EDATE('核心假设'!$B$5,1+$F6),CB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CB$4=EDATE(EDATE('核心假设'!$B$5,1+$F6),$D6),SUM('融资租赁与资金缺口'!$D$5:$D$16)*$N6*'核心假设'!$B$32,0),0),IF(AND(CB$4&gt;EDATE('核心假设'!$B$5,2+$F6),CB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CB$4=EDATE(EDATE('核心假设'!$B$5,2+$F6),$D6),SUM('融资租赁与资金缺口'!$D$5:$D$16)*$O6*'核心假设'!$B$32,0),0),IF(AND(CB$4&gt;EDATE('核心假设'!$B$5,3+$F6),CB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CB$4=EDATE(EDATE('核心假设'!$B$5,3+$F6),$D6),SUM('融资租赁与资金缺口'!$D$5:$D$16)*$P6*'核心假设'!$B$32,0),0),IF(AND(CB$4&gt;EDATE('核心假设'!$B$5,4+$F6),CB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CB$4=EDATE(EDATE('核心假设'!$B$5,4+$F6),$D6),SUM('融资租赁与资金缺口'!$D$5:$D$16)*$Q6*'核心假设'!$B$32,0),0),IF(AND(CB$4&gt;EDATE('核心假设'!$B$5,5+$F6),CB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CB$4=EDATE(EDATE('核心假设'!$B$5,5+$F6),$D6),SUM('融资租赁与资金缺口'!$D$5:$D$16)*$R6*'核心假设'!$B$32,0),0),IF(AND(CB$4&gt;EDATE('核心假设'!$B$5,6+$F6),CB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CB$4=EDATE(EDATE('核心假设'!$B$5,6+$F6),$D6),SUM('融资租赁与资金缺口'!$D$5:$D$16)*$S6*'核心假设'!$B$32,0),0),IF(AND(CB$4&gt;EDATE('核心假设'!$B$5,7+$F6),CB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CB$4=EDATE(EDATE('核心假设'!$B$5,7+$F6),$D6),SUM('融资租赁与资金缺口'!$D$5:$D$16)*$T6*'核心假设'!$B$32,0),0),IF(AND(CB$4&gt;EDATE('核心假设'!$B$5,8+$F6),CB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CB$4=EDATE(EDATE('核心假设'!$B$5,8+$F6),$D6),SUM('融资租赁与资金缺口'!$D$5:$D$16)*$U6*'核心假设'!$B$32,0),0),IF(AND(CB$4&gt;EDATE('核心假设'!$B$5,9+$F6),CB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CB$4=EDATE(EDATE('核心假设'!$B$5,9+$F6),$D6),SUM('融资租赁与资金缺口'!$D$5:$D$16)*$V6*'核心假设'!$B$32,0),0),IF(AND(CB$4&gt;EDATE('核心假设'!$B$5,10+$F6),CB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CB$4=EDATE(EDATE('核心假设'!$B$5,10+$F6),$D6),SUM('融资租赁与资金缺口'!$D$5:$D$16)*$W6*'核心假设'!$B$32,0),0),IF(AND(CB$4&gt;EDATE('核心假设'!$B$5,11+$F6),CB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CB$4=EDATE(EDATE('核心假设'!$B$5,11+$F6),$D6),SUM('融资租赁与资金缺口'!$D$5:$D$16)*$X6*'核心假设'!$B$32,0),0),IF(AND(CB$4&gt;EDATE('核心假设'!$B$5,12+$F6),CB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CB$4=EDATE(EDATE('核心假设'!$B$5,12+$F6),$D6),SUM('融资租赁与资金缺口'!$D$5:$D$16)*$Y6*'核心假设'!$B$32,0),0),IF(AND(CB$4&gt;EDATE('核心假设'!$B$5,13+$F6),CB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CB$4=EDATE(EDATE('核心假设'!$B$5,13+$F6),$D6),SUM('融资租赁与资金缺口'!$D$5:$D$16)*$Z6*'核心假设'!$B$32,0),0),IF(AND(CB$4&gt;EDATE('核心假设'!$B$5,14+$F6),CB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CB$4=EDATE(EDATE('核心假设'!$B$5,14+$F6),$D6),SUM('融资租赁与资金缺口'!$D$5:$D$16)*$AA6*'核心假设'!$B$32,0),0),IF(AND(CB$4&gt;EDATE('核心假设'!$B$5,15+$F6),CB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CB$4=EDATE(EDATE('核心假设'!$B$5,15+$F6),$D6),SUM('融资租赁与资金缺口'!$D$5:$D$16)*$AB6*'核心假设'!$B$32,0),0),IF(AND(CB$4&gt;EDATE('核心假设'!$B$5,16+$F6),CB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CB$4=EDATE(EDATE('核心假设'!$B$5,16+$F6),$D6),SUM('融资租赁与资金缺口'!$D$5:$D$16)*$AC6*'核心假设'!$B$32,0),0),IF(AND(CB$4&gt;EDATE('核心假设'!$B$5,17+$F6),CB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CB$4=EDATE(EDATE('核心假设'!$B$5,17+$F6),$D6),SUM('融资租赁与资金缺口'!$D$5:$D$16)*$AD6*'核心假设'!$B$32,0),0))</x:f>
        <x:v>1339441.0128986146</x:v>
      </x:c>
      <x:c r="CC13" s="28" t="n">
        <x:f>SUM(IF(AND(CC$4&gt;EDATE('核心假设'!$B$5,0+$F6),CC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CC$4=EDATE(EDATE('核心假设'!$B$5,0+$F6),$D6),SUM('融资租赁与资金缺口'!$D$5:$D$16)*$M6*'核心假设'!$B$32,0),0),IF(AND(CC$4&gt;EDATE('核心假设'!$B$5,1+$F6),CC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CC$4=EDATE(EDATE('核心假设'!$B$5,1+$F6),$D6),SUM('融资租赁与资金缺口'!$D$5:$D$16)*$N6*'核心假设'!$B$32,0),0),IF(AND(CC$4&gt;EDATE('核心假设'!$B$5,2+$F6),CC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CC$4=EDATE(EDATE('核心假设'!$B$5,2+$F6),$D6),SUM('融资租赁与资金缺口'!$D$5:$D$16)*$O6*'核心假设'!$B$32,0),0),IF(AND(CC$4&gt;EDATE('核心假设'!$B$5,3+$F6),CC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CC$4=EDATE(EDATE('核心假设'!$B$5,3+$F6),$D6),SUM('融资租赁与资金缺口'!$D$5:$D$16)*$P6*'核心假设'!$B$32,0),0),IF(AND(CC$4&gt;EDATE('核心假设'!$B$5,4+$F6),CC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CC$4=EDATE(EDATE('核心假设'!$B$5,4+$F6),$D6),SUM('融资租赁与资金缺口'!$D$5:$D$16)*$Q6*'核心假设'!$B$32,0),0),IF(AND(CC$4&gt;EDATE('核心假设'!$B$5,5+$F6),CC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CC$4=EDATE(EDATE('核心假设'!$B$5,5+$F6),$D6),SUM('融资租赁与资金缺口'!$D$5:$D$16)*$R6*'核心假设'!$B$32,0),0),IF(AND(CC$4&gt;EDATE('核心假设'!$B$5,6+$F6),CC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CC$4=EDATE(EDATE('核心假设'!$B$5,6+$F6),$D6),SUM('融资租赁与资金缺口'!$D$5:$D$16)*$S6*'核心假设'!$B$32,0),0),IF(AND(CC$4&gt;EDATE('核心假设'!$B$5,7+$F6),CC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CC$4=EDATE(EDATE('核心假设'!$B$5,7+$F6),$D6),SUM('融资租赁与资金缺口'!$D$5:$D$16)*$T6*'核心假设'!$B$32,0),0),IF(AND(CC$4&gt;EDATE('核心假设'!$B$5,8+$F6),CC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CC$4=EDATE(EDATE('核心假设'!$B$5,8+$F6),$D6),SUM('融资租赁与资金缺口'!$D$5:$D$16)*$U6*'核心假设'!$B$32,0),0),IF(AND(CC$4&gt;EDATE('核心假设'!$B$5,9+$F6),CC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CC$4=EDATE(EDATE('核心假设'!$B$5,9+$F6),$D6),SUM('融资租赁与资金缺口'!$D$5:$D$16)*$V6*'核心假设'!$B$32,0),0),IF(AND(CC$4&gt;EDATE('核心假设'!$B$5,10+$F6),CC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CC$4=EDATE(EDATE('核心假设'!$B$5,10+$F6),$D6),SUM('融资租赁与资金缺口'!$D$5:$D$16)*$W6*'核心假设'!$B$32,0),0),IF(AND(CC$4&gt;EDATE('核心假设'!$B$5,11+$F6),CC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CC$4=EDATE(EDATE('核心假设'!$B$5,11+$F6),$D6),SUM('融资租赁与资金缺口'!$D$5:$D$16)*$X6*'核心假设'!$B$32,0),0),IF(AND(CC$4&gt;EDATE('核心假设'!$B$5,12+$F6),CC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CC$4=EDATE(EDATE('核心假设'!$B$5,12+$F6),$D6),SUM('融资租赁与资金缺口'!$D$5:$D$16)*$Y6*'核心假设'!$B$32,0),0),IF(AND(CC$4&gt;EDATE('核心假设'!$B$5,13+$F6),CC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CC$4=EDATE(EDATE('核心假设'!$B$5,13+$F6),$D6),SUM('融资租赁与资金缺口'!$D$5:$D$16)*$Z6*'核心假设'!$B$32,0),0),IF(AND(CC$4&gt;EDATE('核心假设'!$B$5,14+$F6),CC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CC$4=EDATE(EDATE('核心假设'!$B$5,14+$F6),$D6),SUM('融资租赁与资金缺口'!$D$5:$D$16)*$AA6*'核心假设'!$B$32,0),0),IF(AND(CC$4&gt;EDATE('核心假设'!$B$5,15+$F6),CC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CC$4=EDATE(EDATE('核心假设'!$B$5,15+$F6),$D6),SUM('融资租赁与资金缺口'!$D$5:$D$16)*$AB6*'核心假设'!$B$32,0),0),IF(AND(CC$4&gt;EDATE('核心假设'!$B$5,16+$F6),CC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CC$4=EDATE(EDATE('核心假设'!$B$5,16+$F6),$D6),SUM('融资租赁与资金缺口'!$D$5:$D$16)*$AC6*'核心假设'!$B$32,0),0),IF(AND(CC$4&gt;EDATE('核心假设'!$B$5,17+$F6),CC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CC$4=EDATE(EDATE('核心假设'!$B$5,17+$F6),$D6),SUM('融资租赁与资金缺口'!$D$5:$D$16)*$AD6*'核心假设'!$B$32,0),0))</x:f>
        <x:v>0</x:v>
      </x:c>
      <x:c r="CD13" s="28" t="n">
        <x:f>SUM(IF(AND(CD$4&gt;EDATE('核心假设'!$B$5,0+$F6),CD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CD$4=EDATE(EDATE('核心假设'!$B$5,0+$F6),$D6),SUM('融资租赁与资金缺口'!$D$5:$D$16)*$M6*'核心假设'!$B$32,0),0),IF(AND(CD$4&gt;EDATE('核心假设'!$B$5,1+$F6),CD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CD$4=EDATE(EDATE('核心假设'!$B$5,1+$F6),$D6),SUM('融资租赁与资金缺口'!$D$5:$D$16)*$N6*'核心假设'!$B$32,0),0),IF(AND(CD$4&gt;EDATE('核心假设'!$B$5,2+$F6),CD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CD$4=EDATE(EDATE('核心假设'!$B$5,2+$F6),$D6),SUM('融资租赁与资金缺口'!$D$5:$D$16)*$O6*'核心假设'!$B$32,0),0),IF(AND(CD$4&gt;EDATE('核心假设'!$B$5,3+$F6),CD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CD$4=EDATE(EDATE('核心假设'!$B$5,3+$F6),$D6),SUM('融资租赁与资金缺口'!$D$5:$D$16)*$P6*'核心假设'!$B$32,0),0),IF(AND(CD$4&gt;EDATE('核心假设'!$B$5,4+$F6),CD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CD$4=EDATE(EDATE('核心假设'!$B$5,4+$F6),$D6),SUM('融资租赁与资金缺口'!$D$5:$D$16)*$Q6*'核心假设'!$B$32,0),0),IF(AND(CD$4&gt;EDATE('核心假设'!$B$5,5+$F6),CD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CD$4=EDATE(EDATE('核心假设'!$B$5,5+$F6),$D6),SUM('融资租赁与资金缺口'!$D$5:$D$16)*$R6*'核心假设'!$B$32,0),0),IF(AND(CD$4&gt;EDATE('核心假设'!$B$5,6+$F6),CD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CD$4=EDATE(EDATE('核心假设'!$B$5,6+$F6),$D6),SUM('融资租赁与资金缺口'!$D$5:$D$16)*$S6*'核心假设'!$B$32,0),0),IF(AND(CD$4&gt;EDATE('核心假设'!$B$5,7+$F6),CD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CD$4=EDATE(EDATE('核心假设'!$B$5,7+$F6),$D6),SUM('融资租赁与资金缺口'!$D$5:$D$16)*$T6*'核心假设'!$B$32,0),0),IF(AND(CD$4&gt;EDATE('核心假设'!$B$5,8+$F6),CD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CD$4=EDATE(EDATE('核心假设'!$B$5,8+$F6),$D6),SUM('融资租赁与资金缺口'!$D$5:$D$16)*$U6*'核心假设'!$B$32,0),0),IF(AND(CD$4&gt;EDATE('核心假设'!$B$5,9+$F6),CD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CD$4=EDATE(EDATE('核心假设'!$B$5,9+$F6),$D6),SUM('融资租赁与资金缺口'!$D$5:$D$16)*$V6*'核心假设'!$B$32,0),0),IF(AND(CD$4&gt;EDATE('核心假设'!$B$5,10+$F6),CD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CD$4=EDATE(EDATE('核心假设'!$B$5,10+$F6),$D6),SUM('融资租赁与资金缺口'!$D$5:$D$16)*$W6*'核心假设'!$B$32,0),0),IF(AND(CD$4&gt;EDATE('核心假设'!$B$5,11+$F6),CD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CD$4=EDATE(EDATE('核心假设'!$B$5,11+$F6),$D6),SUM('融资租赁与资金缺口'!$D$5:$D$16)*$X6*'核心假设'!$B$32,0),0),IF(AND(CD$4&gt;EDATE('核心假设'!$B$5,12+$F6),CD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CD$4=EDATE(EDATE('核心假设'!$B$5,12+$F6),$D6),SUM('融资租赁与资金缺口'!$D$5:$D$16)*$Y6*'核心假设'!$B$32,0),0),IF(AND(CD$4&gt;EDATE('核心假设'!$B$5,13+$F6),CD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CD$4=EDATE(EDATE('核心假设'!$B$5,13+$F6),$D6),SUM('融资租赁与资金缺口'!$D$5:$D$16)*$Z6*'核心假设'!$B$32,0),0),IF(AND(CD$4&gt;EDATE('核心假设'!$B$5,14+$F6),CD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CD$4=EDATE(EDATE('核心假设'!$B$5,14+$F6),$D6),SUM('融资租赁与资金缺口'!$D$5:$D$16)*$AA6*'核心假设'!$B$32,0),0),IF(AND(CD$4&gt;EDATE('核心假设'!$B$5,15+$F6),CD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CD$4=EDATE(EDATE('核心假设'!$B$5,15+$F6),$D6),SUM('融资租赁与资金缺口'!$D$5:$D$16)*$AB6*'核心假设'!$B$32,0),0),IF(AND(CD$4&gt;EDATE('核心假设'!$B$5,16+$F6),CD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CD$4=EDATE(EDATE('核心假设'!$B$5,16+$F6),$D6),SUM('融资租赁与资金缺口'!$D$5:$D$16)*$AC6*'核心假设'!$B$32,0),0),IF(AND(CD$4&gt;EDATE('核心假设'!$B$5,17+$F6),CD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CD$4=EDATE(EDATE('核心假设'!$B$5,17+$F6),$D6),SUM('融资租赁与资金缺口'!$D$5:$D$16)*$AD6*'核心假设'!$B$32,0),0))</x:f>
        <x:v>0</x:v>
      </x:c>
      <x:c r="CE13" s="28" t="n">
        <x:f>SUM(IF(AND(CE$4&gt;EDATE('核心假设'!$B$5,0+$F6),CE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CE$4=EDATE(EDATE('核心假设'!$B$5,0+$F6),$D6),SUM('融资租赁与资金缺口'!$D$5:$D$16)*$M6*'核心假设'!$B$32,0),0),IF(AND(CE$4&gt;EDATE('核心假设'!$B$5,1+$F6),CE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CE$4=EDATE(EDATE('核心假设'!$B$5,1+$F6),$D6),SUM('融资租赁与资金缺口'!$D$5:$D$16)*$N6*'核心假设'!$B$32,0),0),IF(AND(CE$4&gt;EDATE('核心假设'!$B$5,2+$F6),CE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CE$4=EDATE(EDATE('核心假设'!$B$5,2+$F6),$D6),SUM('融资租赁与资金缺口'!$D$5:$D$16)*$O6*'核心假设'!$B$32,0),0),IF(AND(CE$4&gt;EDATE('核心假设'!$B$5,3+$F6),CE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CE$4=EDATE(EDATE('核心假设'!$B$5,3+$F6),$D6),SUM('融资租赁与资金缺口'!$D$5:$D$16)*$P6*'核心假设'!$B$32,0),0),IF(AND(CE$4&gt;EDATE('核心假设'!$B$5,4+$F6),CE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CE$4=EDATE(EDATE('核心假设'!$B$5,4+$F6),$D6),SUM('融资租赁与资金缺口'!$D$5:$D$16)*$Q6*'核心假设'!$B$32,0),0),IF(AND(CE$4&gt;EDATE('核心假设'!$B$5,5+$F6),CE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CE$4=EDATE(EDATE('核心假设'!$B$5,5+$F6),$D6),SUM('融资租赁与资金缺口'!$D$5:$D$16)*$R6*'核心假设'!$B$32,0),0),IF(AND(CE$4&gt;EDATE('核心假设'!$B$5,6+$F6),CE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CE$4=EDATE(EDATE('核心假设'!$B$5,6+$F6),$D6),SUM('融资租赁与资金缺口'!$D$5:$D$16)*$S6*'核心假设'!$B$32,0),0),IF(AND(CE$4&gt;EDATE('核心假设'!$B$5,7+$F6),CE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CE$4=EDATE(EDATE('核心假设'!$B$5,7+$F6),$D6),SUM('融资租赁与资金缺口'!$D$5:$D$16)*$T6*'核心假设'!$B$32,0),0),IF(AND(CE$4&gt;EDATE('核心假设'!$B$5,8+$F6),CE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CE$4=EDATE(EDATE('核心假设'!$B$5,8+$F6),$D6),SUM('融资租赁与资金缺口'!$D$5:$D$16)*$U6*'核心假设'!$B$32,0),0),IF(AND(CE$4&gt;EDATE('核心假设'!$B$5,9+$F6),CE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CE$4=EDATE(EDATE('核心假设'!$B$5,9+$F6),$D6),SUM('融资租赁与资金缺口'!$D$5:$D$16)*$V6*'核心假设'!$B$32,0),0),IF(AND(CE$4&gt;EDATE('核心假设'!$B$5,10+$F6),CE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CE$4=EDATE(EDATE('核心假设'!$B$5,10+$F6),$D6),SUM('融资租赁与资金缺口'!$D$5:$D$16)*$W6*'核心假设'!$B$32,0),0),IF(AND(CE$4&gt;EDATE('核心假设'!$B$5,11+$F6),CE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CE$4=EDATE(EDATE('核心假设'!$B$5,11+$F6),$D6),SUM('融资租赁与资金缺口'!$D$5:$D$16)*$X6*'核心假设'!$B$32,0),0),IF(AND(CE$4&gt;EDATE('核心假设'!$B$5,12+$F6),CE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CE$4=EDATE(EDATE('核心假设'!$B$5,12+$F6),$D6),SUM('融资租赁与资金缺口'!$D$5:$D$16)*$Y6*'核心假设'!$B$32,0),0),IF(AND(CE$4&gt;EDATE('核心假设'!$B$5,13+$F6),CE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CE$4=EDATE(EDATE('核心假设'!$B$5,13+$F6),$D6),SUM('融资租赁与资金缺口'!$D$5:$D$16)*$Z6*'核心假设'!$B$32,0),0),IF(AND(CE$4&gt;EDATE('核心假设'!$B$5,14+$F6),CE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CE$4=EDATE(EDATE('核心假设'!$B$5,14+$F6),$D6),SUM('融资租赁与资金缺口'!$D$5:$D$16)*$AA6*'核心假设'!$B$32,0),0),IF(AND(CE$4&gt;EDATE('核心假设'!$B$5,15+$F6),CE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CE$4=EDATE(EDATE('核心假设'!$B$5,15+$F6),$D6),SUM('融资租赁与资金缺口'!$D$5:$D$16)*$AB6*'核心假设'!$B$32,0),0),IF(AND(CE$4&gt;EDATE('核心假设'!$B$5,16+$F6),CE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CE$4=EDATE(EDATE('核心假设'!$B$5,16+$F6),$D6),SUM('融资租赁与资金缺口'!$D$5:$D$16)*$AC6*'核心假设'!$B$32,0),0),IF(AND(CE$4&gt;EDATE('核心假设'!$B$5,17+$F6),CE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CE$4=EDATE(EDATE('核心假设'!$B$5,17+$F6),$D6),SUM('融资租赁与资金缺口'!$D$5:$D$16)*$AD6*'核心假设'!$B$32,0),0))</x:f>
        <x:v>0</x:v>
      </x:c>
      <x:c r="CF13" s="28" t="n">
        <x:f>SUM(IF(AND(CF$4&gt;EDATE('核心假设'!$B$5,0+$F6),CF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CF$4=EDATE(EDATE('核心假设'!$B$5,0+$F6),$D6),SUM('融资租赁与资金缺口'!$D$5:$D$16)*$M6*'核心假设'!$B$32,0),0),IF(AND(CF$4&gt;EDATE('核心假设'!$B$5,1+$F6),CF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CF$4=EDATE(EDATE('核心假设'!$B$5,1+$F6),$D6),SUM('融资租赁与资金缺口'!$D$5:$D$16)*$N6*'核心假设'!$B$32,0),0),IF(AND(CF$4&gt;EDATE('核心假设'!$B$5,2+$F6),CF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CF$4=EDATE(EDATE('核心假设'!$B$5,2+$F6),$D6),SUM('融资租赁与资金缺口'!$D$5:$D$16)*$O6*'核心假设'!$B$32,0),0),IF(AND(CF$4&gt;EDATE('核心假设'!$B$5,3+$F6),CF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CF$4=EDATE(EDATE('核心假设'!$B$5,3+$F6),$D6),SUM('融资租赁与资金缺口'!$D$5:$D$16)*$P6*'核心假设'!$B$32,0),0),IF(AND(CF$4&gt;EDATE('核心假设'!$B$5,4+$F6),CF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CF$4=EDATE(EDATE('核心假设'!$B$5,4+$F6),$D6),SUM('融资租赁与资金缺口'!$D$5:$D$16)*$Q6*'核心假设'!$B$32,0),0),IF(AND(CF$4&gt;EDATE('核心假设'!$B$5,5+$F6),CF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CF$4=EDATE(EDATE('核心假设'!$B$5,5+$F6),$D6),SUM('融资租赁与资金缺口'!$D$5:$D$16)*$R6*'核心假设'!$B$32,0),0),IF(AND(CF$4&gt;EDATE('核心假设'!$B$5,6+$F6),CF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CF$4=EDATE(EDATE('核心假设'!$B$5,6+$F6),$D6),SUM('融资租赁与资金缺口'!$D$5:$D$16)*$S6*'核心假设'!$B$32,0),0),IF(AND(CF$4&gt;EDATE('核心假设'!$B$5,7+$F6),CF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CF$4=EDATE(EDATE('核心假设'!$B$5,7+$F6),$D6),SUM('融资租赁与资金缺口'!$D$5:$D$16)*$T6*'核心假设'!$B$32,0),0),IF(AND(CF$4&gt;EDATE('核心假设'!$B$5,8+$F6),CF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CF$4=EDATE(EDATE('核心假设'!$B$5,8+$F6),$D6),SUM('融资租赁与资金缺口'!$D$5:$D$16)*$U6*'核心假设'!$B$32,0),0),IF(AND(CF$4&gt;EDATE('核心假设'!$B$5,9+$F6),CF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CF$4=EDATE(EDATE('核心假设'!$B$5,9+$F6),$D6),SUM('融资租赁与资金缺口'!$D$5:$D$16)*$V6*'核心假设'!$B$32,0),0),IF(AND(CF$4&gt;EDATE('核心假设'!$B$5,10+$F6),CF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CF$4=EDATE(EDATE('核心假设'!$B$5,10+$F6),$D6),SUM('融资租赁与资金缺口'!$D$5:$D$16)*$W6*'核心假设'!$B$32,0),0),IF(AND(CF$4&gt;EDATE('核心假设'!$B$5,11+$F6),CF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CF$4=EDATE(EDATE('核心假设'!$B$5,11+$F6),$D6),SUM('融资租赁与资金缺口'!$D$5:$D$16)*$X6*'核心假设'!$B$32,0),0),IF(AND(CF$4&gt;EDATE('核心假设'!$B$5,12+$F6),CF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CF$4=EDATE(EDATE('核心假设'!$B$5,12+$F6),$D6),SUM('融资租赁与资金缺口'!$D$5:$D$16)*$Y6*'核心假设'!$B$32,0),0),IF(AND(CF$4&gt;EDATE('核心假设'!$B$5,13+$F6),CF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CF$4=EDATE(EDATE('核心假设'!$B$5,13+$F6),$D6),SUM('融资租赁与资金缺口'!$D$5:$D$16)*$Z6*'核心假设'!$B$32,0),0),IF(AND(CF$4&gt;EDATE('核心假设'!$B$5,14+$F6),CF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CF$4=EDATE(EDATE('核心假设'!$B$5,14+$F6),$D6),SUM('融资租赁与资金缺口'!$D$5:$D$16)*$AA6*'核心假设'!$B$32,0),0),IF(AND(CF$4&gt;EDATE('核心假设'!$B$5,15+$F6),CF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CF$4=EDATE(EDATE('核心假设'!$B$5,15+$F6),$D6),SUM('融资租赁与资金缺口'!$D$5:$D$16)*$AB6*'核心假设'!$B$32,0),0),IF(AND(CF$4&gt;EDATE('核心假设'!$B$5,16+$F6),CF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CF$4=EDATE(EDATE('核心假设'!$B$5,16+$F6),$D6),SUM('融资租赁与资金缺口'!$D$5:$D$16)*$AC6*'核心假设'!$B$32,0),0),IF(AND(CF$4&gt;EDATE('核心假设'!$B$5,17+$F6),CF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CF$4=EDATE(EDATE('核心假设'!$B$5,17+$F6),$D6),SUM('融资租赁与资金缺口'!$D$5:$D$16)*$AD6*'核心假设'!$B$32,0),0))</x:f>
        <x:v>0</x:v>
      </x:c>
      <x:c r="CG13" s="28" t="n">
        <x:f>SUM(IF(AND(CG$4&gt;EDATE('核心假设'!$B$5,0+$F6),CG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CG$4=EDATE(EDATE('核心假设'!$B$5,0+$F6),$D6),SUM('融资租赁与资金缺口'!$D$5:$D$16)*$M6*'核心假设'!$B$32,0),0),IF(AND(CG$4&gt;EDATE('核心假设'!$B$5,1+$F6),CG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CG$4=EDATE(EDATE('核心假设'!$B$5,1+$F6),$D6),SUM('融资租赁与资金缺口'!$D$5:$D$16)*$N6*'核心假设'!$B$32,0),0),IF(AND(CG$4&gt;EDATE('核心假设'!$B$5,2+$F6),CG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CG$4=EDATE(EDATE('核心假设'!$B$5,2+$F6),$D6),SUM('融资租赁与资金缺口'!$D$5:$D$16)*$O6*'核心假设'!$B$32,0),0),IF(AND(CG$4&gt;EDATE('核心假设'!$B$5,3+$F6),CG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CG$4=EDATE(EDATE('核心假设'!$B$5,3+$F6),$D6),SUM('融资租赁与资金缺口'!$D$5:$D$16)*$P6*'核心假设'!$B$32,0),0),IF(AND(CG$4&gt;EDATE('核心假设'!$B$5,4+$F6),CG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CG$4=EDATE(EDATE('核心假设'!$B$5,4+$F6),$D6),SUM('融资租赁与资金缺口'!$D$5:$D$16)*$Q6*'核心假设'!$B$32,0),0),IF(AND(CG$4&gt;EDATE('核心假设'!$B$5,5+$F6),CG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CG$4=EDATE(EDATE('核心假设'!$B$5,5+$F6),$D6),SUM('融资租赁与资金缺口'!$D$5:$D$16)*$R6*'核心假设'!$B$32,0),0),IF(AND(CG$4&gt;EDATE('核心假设'!$B$5,6+$F6),CG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CG$4=EDATE(EDATE('核心假设'!$B$5,6+$F6),$D6),SUM('融资租赁与资金缺口'!$D$5:$D$16)*$S6*'核心假设'!$B$32,0),0),IF(AND(CG$4&gt;EDATE('核心假设'!$B$5,7+$F6),CG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CG$4=EDATE(EDATE('核心假设'!$B$5,7+$F6),$D6),SUM('融资租赁与资金缺口'!$D$5:$D$16)*$T6*'核心假设'!$B$32,0),0),IF(AND(CG$4&gt;EDATE('核心假设'!$B$5,8+$F6),CG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CG$4=EDATE(EDATE('核心假设'!$B$5,8+$F6),$D6),SUM('融资租赁与资金缺口'!$D$5:$D$16)*$U6*'核心假设'!$B$32,0),0),IF(AND(CG$4&gt;EDATE('核心假设'!$B$5,9+$F6),CG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CG$4=EDATE(EDATE('核心假设'!$B$5,9+$F6),$D6),SUM('融资租赁与资金缺口'!$D$5:$D$16)*$V6*'核心假设'!$B$32,0),0),IF(AND(CG$4&gt;EDATE('核心假设'!$B$5,10+$F6),CG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CG$4=EDATE(EDATE('核心假设'!$B$5,10+$F6),$D6),SUM('融资租赁与资金缺口'!$D$5:$D$16)*$W6*'核心假设'!$B$32,0),0),IF(AND(CG$4&gt;EDATE('核心假设'!$B$5,11+$F6),CG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CG$4=EDATE(EDATE('核心假设'!$B$5,11+$F6),$D6),SUM('融资租赁与资金缺口'!$D$5:$D$16)*$X6*'核心假设'!$B$32,0),0),IF(AND(CG$4&gt;EDATE('核心假设'!$B$5,12+$F6),CG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CG$4=EDATE(EDATE('核心假设'!$B$5,12+$F6),$D6),SUM('融资租赁与资金缺口'!$D$5:$D$16)*$Y6*'核心假设'!$B$32,0),0),IF(AND(CG$4&gt;EDATE('核心假设'!$B$5,13+$F6),CG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CG$4=EDATE(EDATE('核心假设'!$B$5,13+$F6),$D6),SUM('融资租赁与资金缺口'!$D$5:$D$16)*$Z6*'核心假设'!$B$32,0),0),IF(AND(CG$4&gt;EDATE('核心假设'!$B$5,14+$F6),CG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CG$4=EDATE(EDATE('核心假设'!$B$5,14+$F6),$D6),SUM('融资租赁与资金缺口'!$D$5:$D$16)*$AA6*'核心假设'!$B$32,0),0),IF(AND(CG$4&gt;EDATE('核心假设'!$B$5,15+$F6),CG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CG$4=EDATE(EDATE('核心假设'!$B$5,15+$F6),$D6),SUM('融资租赁与资金缺口'!$D$5:$D$16)*$AB6*'核心假设'!$B$32,0),0),IF(AND(CG$4&gt;EDATE('核心假设'!$B$5,16+$F6),CG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CG$4=EDATE(EDATE('核心假设'!$B$5,16+$F6),$D6),SUM('融资租赁与资金缺口'!$D$5:$D$16)*$AC6*'核心假设'!$B$32,0),0),IF(AND(CG$4&gt;EDATE('核心假设'!$B$5,17+$F6),CG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CG$4=EDATE(EDATE('核心假设'!$B$5,17+$F6),$D6),SUM('融资租赁与资金缺口'!$D$5:$D$16)*$AD6*'核心假设'!$B$32,0),0))</x:f>
        <x:v>0</x:v>
      </x:c>
      <x:c r="CH13" s="28" t="n">
        <x:f>SUM(IF(AND(CH$4&gt;EDATE('核心假设'!$B$5,0+$F6),CH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CH$4=EDATE(EDATE('核心假设'!$B$5,0+$F6),$D6),SUM('融资租赁与资金缺口'!$D$5:$D$16)*$M6*'核心假设'!$B$32,0),0),IF(AND(CH$4&gt;EDATE('核心假设'!$B$5,1+$F6),CH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CH$4=EDATE(EDATE('核心假设'!$B$5,1+$F6),$D6),SUM('融资租赁与资金缺口'!$D$5:$D$16)*$N6*'核心假设'!$B$32,0),0),IF(AND(CH$4&gt;EDATE('核心假设'!$B$5,2+$F6),CH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CH$4=EDATE(EDATE('核心假设'!$B$5,2+$F6),$D6),SUM('融资租赁与资金缺口'!$D$5:$D$16)*$O6*'核心假设'!$B$32,0),0),IF(AND(CH$4&gt;EDATE('核心假设'!$B$5,3+$F6),CH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CH$4=EDATE(EDATE('核心假设'!$B$5,3+$F6),$D6),SUM('融资租赁与资金缺口'!$D$5:$D$16)*$P6*'核心假设'!$B$32,0),0),IF(AND(CH$4&gt;EDATE('核心假设'!$B$5,4+$F6),CH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CH$4=EDATE(EDATE('核心假设'!$B$5,4+$F6),$D6),SUM('融资租赁与资金缺口'!$D$5:$D$16)*$Q6*'核心假设'!$B$32,0),0),IF(AND(CH$4&gt;EDATE('核心假设'!$B$5,5+$F6),CH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CH$4=EDATE(EDATE('核心假设'!$B$5,5+$F6),$D6),SUM('融资租赁与资金缺口'!$D$5:$D$16)*$R6*'核心假设'!$B$32,0),0),IF(AND(CH$4&gt;EDATE('核心假设'!$B$5,6+$F6),CH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CH$4=EDATE(EDATE('核心假设'!$B$5,6+$F6),$D6),SUM('融资租赁与资金缺口'!$D$5:$D$16)*$S6*'核心假设'!$B$32,0),0),IF(AND(CH$4&gt;EDATE('核心假设'!$B$5,7+$F6),CH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CH$4=EDATE(EDATE('核心假设'!$B$5,7+$F6),$D6),SUM('融资租赁与资金缺口'!$D$5:$D$16)*$T6*'核心假设'!$B$32,0),0),IF(AND(CH$4&gt;EDATE('核心假设'!$B$5,8+$F6),CH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CH$4=EDATE(EDATE('核心假设'!$B$5,8+$F6),$D6),SUM('融资租赁与资金缺口'!$D$5:$D$16)*$U6*'核心假设'!$B$32,0),0),IF(AND(CH$4&gt;EDATE('核心假设'!$B$5,9+$F6),CH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CH$4=EDATE(EDATE('核心假设'!$B$5,9+$F6),$D6),SUM('融资租赁与资金缺口'!$D$5:$D$16)*$V6*'核心假设'!$B$32,0),0),IF(AND(CH$4&gt;EDATE('核心假设'!$B$5,10+$F6),CH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CH$4=EDATE(EDATE('核心假设'!$B$5,10+$F6),$D6),SUM('融资租赁与资金缺口'!$D$5:$D$16)*$W6*'核心假设'!$B$32,0),0),IF(AND(CH$4&gt;EDATE('核心假设'!$B$5,11+$F6),CH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CH$4=EDATE(EDATE('核心假设'!$B$5,11+$F6),$D6),SUM('融资租赁与资金缺口'!$D$5:$D$16)*$X6*'核心假设'!$B$32,0),0),IF(AND(CH$4&gt;EDATE('核心假设'!$B$5,12+$F6),CH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CH$4=EDATE(EDATE('核心假设'!$B$5,12+$F6),$D6),SUM('融资租赁与资金缺口'!$D$5:$D$16)*$Y6*'核心假设'!$B$32,0),0),IF(AND(CH$4&gt;EDATE('核心假设'!$B$5,13+$F6),CH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CH$4=EDATE(EDATE('核心假设'!$B$5,13+$F6),$D6),SUM('融资租赁与资金缺口'!$D$5:$D$16)*$Z6*'核心假设'!$B$32,0),0),IF(AND(CH$4&gt;EDATE('核心假设'!$B$5,14+$F6),CH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CH$4=EDATE(EDATE('核心假设'!$B$5,14+$F6),$D6),SUM('融资租赁与资金缺口'!$D$5:$D$16)*$AA6*'核心假设'!$B$32,0),0),IF(AND(CH$4&gt;EDATE('核心假设'!$B$5,15+$F6),CH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CH$4=EDATE(EDATE('核心假设'!$B$5,15+$F6),$D6),SUM('融资租赁与资金缺口'!$D$5:$D$16)*$AB6*'核心假设'!$B$32,0),0),IF(AND(CH$4&gt;EDATE('核心假设'!$B$5,16+$F6),CH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CH$4=EDATE(EDATE('核心假设'!$B$5,16+$F6),$D6),SUM('融资租赁与资金缺口'!$D$5:$D$16)*$AC6*'核心假设'!$B$32,0),0),IF(AND(CH$4&gt;EDATE('核心假设'!$B$5,17+$F6),CH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CH$4=EDATE(EDATE('核心假设'!$B$5,17+$F6),$D6),SUM('融资租赁与资金缺口'!$D$5:$D$16)*$AD6*'核心假设'!$B$32,0),0))</x:f>
        <x:v>0</x:v>
      </x:c>
      <x:c r="CI13" s="28" t="n">
        <x:f>SUM(IF(AND(CI$4&gt;EDATE('核心假设'!$B$5,0+$F6),CI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CI$4=EDATE(EDATE('核心假设'!$B$5,0+$F6),$D6),SUM('融资租赁与资金缺口'!$D$5:$D$16)*$M6*'核心假设'!$B$32,0),0),IF(AND(CI$4&gt;EDATE('核心假设'!$B$5,1+$F6),CI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CI$4=EDATE(EDATE('核心假设'!$B$5,1+$F6),$D6),SUM('融资租赁与资金缺口'!$D$5:$D$16)*$N6*'核心假设'!$B$32,0),0),IF(AND(CI$4&gt;EDATE('核心假设'!$B$5,2+$F6),CI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CI$4=EDATE(EDATE('核心假设'!$B$5,2+$F6),$D6),SUM('融资租赁与资金缺口'!$D$5:$D$16)*$O6*'核心假设'!$B$32,0),0),IF(AND(CI$4&gt;EDATE('核心假设'!$B$5,3+$F6),CI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CI$4=EDATE(EDATE('核心假设'!$B$5,3+$F6),$D6),SUM('融资租赁与资金缺口'!$D$5:$D$16)*$P6*'核心假设'!$B$32,0),0),IF(AND(CI$4&gt;EDATE('核心假设'!$B$5,4+$F6),CI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CI$4=EDATE(EDATE('核心假设'!$B$5,4+$F6),$D6),SUM('融资租赁与资金缺口'!$D$5:$D$16)*$Q6*'核心假设'!$B$32,0),0),IF(AND(CI$4&gt;EDATE('核心假设'!$B$5,5+$F6),CI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CI$4=EDATE(EDATE('核心假设'!$B$5,5+$F6),$D6),SUM('融资租赁与资金缺口'!$D$5:$D$16)*$R6*'核心假设'!$B$32,0),0),IF(AND(CI$4&gt;EDATE('核心假设'!$B$5,6+$F6),CI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CI$4=EDATE(EDATE('核心假设'!$B$5,6+$F6),$D6),SUM('融资租赁与资金缺口'!$D$5:$D$16)*$S6*'核心假设'!$B$32,0),0),IF(AND(CI$4&gt;EDATE('核心假设'!$B$5,7+$F6),CI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CI$4=EDATE(EDATE('核心假设'!$B$5,7+$F6),$D6),SUM('融资租赁与资金缺口'!$D$5:$D$16)*$T6*'核心假设'!$B$32,0),0),IF(AND(CI$4&gt;EDATE('核心假设'!$B$5,8+$F6),CI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CI$4=EDATE(EDATE('核心假设'!$B$5,8+$F6),$D6),SUM('融资租赁与资金缺口'!$D$5:$D$16)*$U6*'核心假设'!$B$32,0),0),IF(AND(CI$4&gt;EDATE('核心假设'!$B$5,9+$F6),CI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CI$4=EDATE(EDATE('核心假设'!$B$5,9+$F6),$D6),SUM('融资租赁与资金缺口'!$D$5:$D$16)*$V6*'核心假设'!$B$32,0),0),IF(AND(CI$4&gt;EDATE('核心假设'!$B$5,10+$F6),CI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CI$4=EDATE(EDATE('核心假设'!$B$5,10+$F6),$D6),SUM('融资租赁与资金缺口'!$D$5:$D$16)*$W6*'核心假设'!$B$32,0),0),IF(AND(CI$4&gt;EDATE('核心假设'!$B$5,11+$F6),CI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CI$4=EDATE(EDATE('核心假设'!$B$5,11+$F6),$D6),SUM('融资租赁与资金缺口'!$D$5:$D$16)*$X6*'核心假设'!$B$32,0),0),IF(AND(CI$4&gt;EDATE('核心假设'!$B$5,12+$F6),CI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CI$4=EDATE(EDATE('核心假设'!$B$5,12+$F6),$D6),SUM('融资租赁与资金缺口'!$D$5:$D$16)*$Y6*'核心假设'!$B$32,0),0),IF(AND(CI$4&gt;EDATE('核心假设'!$B$5,13+$F6),CI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CI$4=EDATE(EDATE('核心假设'!$B$5,13+$F6),$D6),SUM('融资租赁与资金缺口'!$D$5:$D$16)*$Z6*'核心假设'!$B$32,0),0),IF(AND(CI$4&gt;EDATE('核心假设'!$B$5,14+$F6),CI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CI$4=EDATE(EDATE('核心假设'!$B$5,14+$F6),$D6),SUM('融资租赁与资金缺口'!$D$5:$D$16)*$AA6*'核心假设'!$B$32,0),0),IF(AND(CI$4&gt;EDATE('核心假设'!$B$5,15+$F6),CI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CI$4=EDATE(EDATE('核心假设'!$B$5,15+$F6),$D6),SUM('融资租赁与资金缺口'!$D$5:$D$16)*$AB6*'核心假设'!$B$32,0),0),IF(AND(CI$4&gt;EDATE('核心假设'!$B$5,16+$F6),CI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CI$4=EDATE(EDATE('核心假设'!$B$5,16+$F6),$D6),SUM('融资租赁与资金缺口'!$D$5:$D$16)*$AC6*'核心假设'!$B$32,0),0),IF(AND(CI$4&gt;EDATE('核心假设'!$B$5,17+$F6),CI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CI$4=EDATE(EDATE('核心假设'!$B$5,17+$F6),$D6),SUM('融资租赁与资金缺口'!$D$5:$D$16)*$AD6*'核心假设'!$B$32,0),0))</x:f>
        <x:v>0</x:v>
      </x:c>
      <x:c r="CJ13" s="28" t="n">
        <x:f>SUM(IF(AND(CJ$4&gt;EDATE('核心假设'!$B$5,0+$F6),CJ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CJ$4=EDATE(EDATE('核心假设'!$B$5,0+$F6),$D6),SUM('融资租赁与资金缺口'!$D$5:$D$16)*$M6*'核心假设'!$B$32,0),0),IF(AND(CJ$4&gt;EDATE('核心假设'!$B$5,1+$F6),CJ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CJ$4=EDATE(EDATE('核心假设'!$B$5,1+$F6),$D6),SUM('融资租赁与资金缺口'!$D$5:$D$16)*$N6*'核心假设'!$B$32,0),0),IF(AND(CJ$4&gt;EDATE('核心假设'!$B$5,2+$F6),CJ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CJ$4=EDATE(EDATE('核心假设'!$B$5,2+$F6),$D6),SUM('融资租赁与资金缺口'!$D$5:$D$16)*$O6*'核心假设'!$B$32,0),0),IF(AND(CJ$4&gt;EDATE('核心假设'!$B$5,3+$F6),CJ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CJ$4=EDATE(EDATE('核心假设'!$B$5,3+$F6),$D6),SUM('融资租赁与资金缺口'!$D$5:$D$16)*$P6*'核心假设'!$B$32,0),0),IF(AND(CJ$4&gt;EDATE('核心假设'!$B$5,4+$F6),CJ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CJ$4=EDATE(EDATE('核心假设'!$B$5,4+$F6),$D6),SUM('融资租赁与资金缺口'!$D$5:$D$16)*$Q6*'核心假设'!$B$32,0),0),IF(AND(CJ$4&gt;EDATE('核心假设'!$B$5,5+$F6),CJ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CJ$4=EDATE(EDATE('核心假设'!$B$5,5+$F6),$D6),SUM('融资租赁与资金缺口'!$D$5:$D$16)*$R6*'核心假设'!$B$32,0),0),IF(AND(CJ$4&gt;EDATE('核心假设'!$B$5,6+$F6),CJ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CJ$4=EDATE(EDATE('核心假设'!$B$5,6+$F6),$D6),SUM('融资租赁与资金缺口'!$D$5:$D$16)*$S6*'核心假设'!$B$32,0),0),IF(AND(CJ$4&gt;EDATE('核心假设'!$B$5,7+$F6),CJ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CJ$4=EDATE(EDATE('核心假设'!$B$5,7+$F6),$D6),SUM('融资租赁与资金缺口'!$D$5:$D$16)*$T6*'核心假设'!$B$32,0),0),IF(AND(CJ$4&gt;EDATE('核心假设'!$B$5,8+$F6),CJ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CJ$4=EDATE(EDATE('核心假设'!$B$5,8+$F6),$D6),SUM('融资租赁与资金缺口'!$D$5:$D$16)*$U6*'核心假设'!$B$32,0),0),IF(AND(CJ$4&gt;EDATE('核心假设'!$B$5,9+$F6),CJ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CJ$4=EDATE(EDATE('核心假设'!$B$5,9+$F6),$D6),SUM('融资租赁与资金缺口'!$D$5:$D$16)*$V6*'核心假设'!$B$32,0),0),IF(AND(CJ$4&gt;EDATE('核心假设'!$B$5,10+$F6),CJ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CJ$4=EDATE(EDATE('核心假设'!$B$5,10+$F6),$D6),SUM('融资租赁与资金缺口'!$D$5:$D$16)*$W6*'核心假设'!$B$32,0),0),IF(AND(CJ$4&gt;EDATE('核心假设'!$B$5,11+$F6),CJ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CJ$4=EDATE(EDATE('核心假设'!$B$5,11+$F6),$D6),SUM('融资租赁与资金缺口'!$D$5:$D$16)*$X6*'核心假设'!$B$32,0),0),IF(AND(CJ$4&gt;EDATE('核心假设'!$B$5,12+$F6),CJ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CJ$4=EDATE(EDATE('核心假设'!$B$5,12+$F6),$D6),SUM('融资租赁与资金缺口'!$D$5:$D$16)*$Y6*'核心假设'!$B$32,0),0),IF(AND(CJ$4&gt;EDATE('核心假设'!$B$5,13+$F6),CJ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CJ$4=EDATE(EDATE('核心假设'!$B$5,13+$F6),$D6),SUM('融资租赁与资金缺口'!$D$5:$D$16)*$Z6*'核心假设'!$B$32,0),0),IF(AND(CJ$4&gt;EDATE('核心假设'!$B$5,14+$F6),CJ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CJ$4=EDATE(EDATE('核心假设'!$B$5,14+$F6),$D6),SUM('融资租赁与资金缺口'!$D$5:$D$16)*$AA6*'核心假设'!$B$32,0),0),IF(AND(CJ$4&gt;EDATE('核心假设'!$B$5,15+$F6),CJ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CJ$4=EDATE(EDATE('核心假设'!$B$5,15+$F6),$D6),SUM('融资租赁与资金缺口'!$D$5:$D$16)*$AB6*'核心假设'!$B$32,0),0),IF(AND(CJ$4&gt;EDATE('核心假设'!$B$5,16+$F6),CJ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CJ$4=EDATE(EDATE('核心假设'!$B$5,16+$F6),$D6),SUM('融资租赁与资金缺口'!$D$5:$D$16)*$AC6*'核心假设'!$B$32,0),0),IF(AND(CJ$4&gt;EDATE('核心假设'!$B$5,17+$F6),CJ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CJ$4=EDATE(EDATE('核心假设'!$B$5,17+$F6),$D6),SUM('融资租赁与资金缺口'!$D$5:$D$16)*$AD6*'核心假设'!$B$32,0),0))</x:f>
        <x:v>0</x:v>
      </x:c>
      <x:c r="CK13" s="28" t="n">
        <x:f>SUM(IF(AND(CK$4&gt;EDATE('核心假设'!$B$5,0+$F6),CK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CK$4=EDATE(EDATE('核心假设'!$B$5,0+$F6),$D6),SUM('融资租赁与资金缺口'!$D$5:$D$16)*$M6*'核心假设'!$B$32,0),0),IF(AND(CK$4&gt;EDATE('核心假设'!$B$5,1+$F6),CK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CK$4=EDATE(EDATE('核心假设'!$B$5,1+$F6),$D6),SUM('融资租赁与资金缺口'!$D$5:$D$16)*$N6*'核心假设'!$B$32,0),0),IF(AND(CK$4&gt;EDATE('核心假设'!$B$5,2+$F6),CK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CK$4=EDATE(EDATE('核心假设'!$B$5,2+$F6),$D6),SUM('融资租赁与资金缺口'!$D$5:$D$16)*$O6*'核心假设'!$B$32,0),0),IF(AND(CK$4&gt;EDATE('核心假设'!$B$5,3+$F6),CK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CK$4=EDATE(EDATE('核心假设'!$B$5,3+$F6),$D6),SUM('融资租赁与资金缺口'!$D$5:$D$16)*$P6*'核心假设'!$B$32,0),0),IF(AND(CK$4&gt;EDATE('核心假设'!$B$5,4+$F6),CK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CK$4=EDATE(EDATE('核心假设'!$B$5,4+$F6),$D6),SUM('融资租赁与资金缺口'!$D$5:$D$16)*$Q6*'核心假设'!$B$32,0),0),IF(AND(CK$4&gt;EDATE('核心假设'!$B$5,5+$F6),CK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CK$4=EDATE(EDATE('核心假设'!$B$5,5+$F6),$D6),SUM('融资租赁与资金缺口'!$D$5:$D$16)*$R6*'核心假设'!$B$32,0),0),IF(AND(CK$4&gt;EDATE('核心假设'!$B$5,6+$F6),CK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CK$4=EDATE(EDATE('核心假设'!$B$5,6+$F6),$D6),SUM('融资租赁与资金缺口'!$D$5:$D$16)*$S6*'核心假设'!$B$32,0),0),IF(AND(CK$4&gt;EDATE('核心假设'!$B$5,7+$F6),CK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CK$4=EDATE(EDATE('核心假设'!$B$5,7+$F6),$D6),SUM('融资租赁与资金缺口'!$D$5:$D$16)*$T6*'核心假设'!$B$32,0),0),IF(AND(CK$4&gt;EDATE('核心假设'!$B$5,8+$F6),CK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CK$4=EDATE(EDATE('核心假设'!$B$5,8+$F6),$D6),SUM('融资租赁与资金缺口'!$D$5:$D$16)*$U6*'核心假设'!$B$32,0),0),IF(AND(CK$4&gt;EDATE('核心假设'!$B$5,9+$F6),CK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CK$4=EDATE(EDATE('核心假设'!$B$5,9+$F6),$D6),SUM('融资租赁与资金缺口'!$D$5:$D$16)*$V6*'核心假设'!$B$32,0),0),IF(AND(CK$4&gt;EDATE('核心假设'!$B$5,10+$F6),CK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CK$4=EDATE(EDATE('核心假设'!$B$5,10+$F6),$D6),SUM('融资租赁与资金缺口'!$D$5:$D$16)*$W6*'核心假设'!$B$32,0),0),IF(AND(CK$4&gt;EDATE('核心假设'!$B$5,11+$F6),CK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CK$4=EDATE(EDATE('核心假设'!$B$5,11+$F6),$D6),SUM('融资租赁与资金缺口'!$D$5:$D$16)*$X6*'核心假设'!$B$32,0),0),IF(AND(CK$4&gt;EDATE('核心假设'!$B$5,12+$F6),CK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CK$4=EDATE(EDATE('核心假设'!$B$5,12+$F6),$D6),SUM('融资租赁与资金缺口'!$D$5:$D$16)*$Y6*'核心假设'!$B$32,0),0),IF(AND(CK$4&gt;EDATE('核心假设'!$B$5,13+$F6),CK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CK$4=EDATE(EDATE('核心假设'!$B$5,13+$F6),$D6),SUM('融资租赁与资金缺口'!$D$5:$D$16)*$Z6*'核心假设'!$B$32,0),0),IF(AND(CK$4&gt;EDATE('核心假设'!$B$5,14+$F6),CK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CK$4=EDATE(EDATE('核心假设'!$B$5,14+$F6),$D6),SUM('融资租赁与资金缺口'!$D$5:$D$16)*$AA6*'核心假设'!$B$32,0),0),IF(AND(CK$4&gt;EDATE('核心假设'!$B$5,15+$F6),CK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CK$4=EDATE(EDATE('核心假设'!$B$5,15+$F6),$D6),SUM('融资租赁与资金缺口'!$D$5:$D$16)*$AB6*'核心假设'!$B$32,0),0),IF(AND(CK$4&gt;EDATE('核心假设'!$B$5,16+$F6),CK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CK$4=EDATE(EDATE('核心假设'!$B$5,16+$F6),$D6),SUM('融资租赁与资金缺口'!$D$5:$D$16)*$AC6*'核心假设'!$B$32,0),0),IF(AND(CK$4&gt;EDATE('核心假设'!$B$5,17+$F6),CK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CK$4=EDATE(EDATE('核心假设'!$B$5,17+$F6),$D6),SUM('融资租赁与资金缺口'!$D$5:$D$16)*$AD6*'核心假设'!$B$32,0),0))</x:f>
        <x:v>0</x:v>
      </x:c>
      <x:c r="CL13" s="28" t="n">
        <x:f>SUM(IF(AND(CL$4&gt;EDATE('核心假设'!$B$5,0+$F6),CL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CL$4=EDATE(EDATE('核心假设'!$B$5,0+$F6),$D6),SUM('融资租赁与资金缺口'!$D$5:$D$16)*$M6*'核心假设'!$B$32,0),0),IF(AND(CL$4&gt;EDATE('核心假设'!$B$5,1+$F6),CL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CL$4=EDATE(EDATE('核心假设'!$B$5,1+$F6),$D6),SUM('融资租赁与资金缺口'!$D$5:$D$16)*$N6*'核心假设'!$B$32,0),0),IF(AND(CL$4&gt;EDATE('核心假设'!$B$5,2+$F6),CL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CL$4=EDATE(EDATE('核心假设'!$B$5,2+$F6),$D6),SUM('融资租赁与资金缺口'!$D$5:$D$16)*$O6*'核心假设'!$B$32,0),0),IF(AND(CL$4&gt;EDATE('核心假设'!$B$5,3+$F6),CL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CL$4=EDATE(EDATE('核心假设'!$B$5,3+$F6),$D6),SUM('融资租赁与资金缺口'!$D$5:$D$16)*$P6*'核心假设'!$B$32,0),0),IF(AND(CL$4&gt;EDATE('核心假设'!$B$5,4+$F6),CL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CL$4=EDATE(EDATE('核心假设'!$B$5,4+$F6),$D6),SUM('融资租赁与资金缺口'!$D$5:$D$16)*$Q6*'核心假设'!$B$32,0),0),IF(AND(CL$4&gt;EDATE('核心假设'!$B$5,5+$F6),CL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CL$4=EDATE(EDATE('核心假设'!$B$5,5+$F6),$D6),SUM('融资租赁与资金缺口'!$D$5:$D$16)*$R6*'核心假设'!$B$32,0),0),IF(AND(CL$4&gt;EDATE('核心假设'!$B$5,6+$F6),CL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CL$4=EDATE(EDATE('核心假设'!$B$5,6+$F6),$D6),SUM('融资租赁与资金缺口'!$D$5:$D$16)*$S6*'核心假设'!$B$32,0),0),IF(AND(CL$4&gt;EDATE('核心假设'!$B$5,7+$F6),CL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CL$4=EDATE(EDATE('核心假设'!$B$5,7+$F6),$D6),SUM('融资租赁与资金缺口'!$D$5:$D$16)*$T6*'核心假设'!$B$32,0),0),IF(AND(CL$4&gt;EDATE('核心假设'!$B$5,8+$F6),CL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CL$4=EDATE(EDATE('核心假设'!$B$5,8+$F6),$D6),SUM('融资租赁与资金缺口'!$D$5:$D$16)*$U6*'核心假设'!$B$32,0),0),IF(AND(CL$4&gt;EDATE('核心假设'!$B$5,9+$F6),CL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CL$4=EDATE(EDATE('核心假设'!$B$5,9+$F6),$D6),SUM('融资租赁与资金缺口'!$D$5:$D$16)*$V6*'核心假设'!$B$32,0),0),IF(AND(CL$4&gt;EDATE('核心假设'!$B$5,10+$F6),CL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CL$4=EDATE(EDATE('核心假设'!$B$5,10+$F6),$D6),SUM('融资租赁与资金缺口'!$D$5:$D$16)*$W6*'核心假设'!$B$32,0),0),IF(AND(CL$4&gt;EDATE('核心假设'!$B$5,11+$F6),CL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CL$4=EDATE(EDATE('核心假设'!$B$5,11+$F6),$D6),SUM('融资租赁与资金缺口'!$D$5:$D$16)*$X6*'核心假设'!$B$32,0),0),IF(AND(CL$4&gt;EDATE('核心假设'!$B$5,12+$F6),CL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CL$4=EDATE(EDATE('核心假设'!$B$5,12+$F6),$D6),SUM('融资租赁与资金缺口'!$D$5:$D$16)*$Y6*'核心假设'!$B$32,0),0),IF(AND(CL$4&gt;EDATE('核心假设'!$B$5,13+$F6),CL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CL$4=EDATE(EDATE('核心假设'!$B$5,13+$F6),$D6),SUM('融资租赁与资金缺口'!$D$5:$D$16)*$Z6*'核心假设'!$B$32,0),0),IF(AND(CL$4&gt;EDATE('核心假设'!$B$5,14+$F6),CL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CL$4=EDATE(EDATE('核心假设'!$B$5,14+$F6),$D6),SUM('融资租赁与资金缺口'!$D$5:$D$16)*$AA6*'核心假设'!$B$32,0),0),IF(AND(CL$4&gt;EDATE('核心假设'!$B$5,15+$F6),CL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CL$4=EDATE(EDATE('核心假设'!$B$5,15+$F6),$D6),SUM('融资租赁与资金缺口'!$D$5:$D$16)*$AB6*'核心假设'!$B$32,0),0),IF(AND(CL$4&gt;EDATE('核心假设'!$B$5,16+$F6),CL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CL$4=EDATE(EDATE('核心假设'!$B$5,16+$F6),$D6),SUM('融资租赁与资金缺口'!$D$5:$D$16)*$AC6*'核心假设'!$B$32,0),0),IF(AND(CL$4&gt;EDATE('核心假设'!$B$5,17+$F6),CL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CL$4=EDATE(EDATE('核心假设'!$B$5,17+$F6),$D6),SUM('融资租赁与资金缺口'!$D$5:$D$16)*$AD6*'核心假设'!$B$32,0),0))</x:f>
        <x:v>0</x:v>
      </x:c>
      <x:c r="CM13" s="28" t="n">
        <x:f>SUM(IF(AND(CM$4&gt;EDATE('核心假设'!$B$5,0+$F6),CM$4&lt;=EDATE(EDATE('核心假设'!$B$5,0+$F6),$D6)),IF($E6/12=0,(SUM('融资租赁与资金缺口'!$D$5:$D$16)*$M6*$C6-SUM('融资租赁与资金缺口'!$D$5:$D$16)*$M6*'核心假设'!$B$32)/$D6,(SUM('融资租赁与资金缺口'!$D$5:$D$16)*$M6*$C6-SUM('融资租赁与资金缺口'!$D$5:$D$16)*$M6*'核心假设'!$B$32/(1+$E6/12)^$D6)*$E6/12/(1-(1+$E6/12)^-$D6))+IF(CM$4=EDATE(EDATE('核心假设'!$B$5,0+$F6),$D6),SUM('融资租赁与资金缺口'!$D$5:$D$16)*$M6*'核心假设'!$B$32,0),0),IF(AND(CM$4&gt;EDATE('核心假设'!$B$5,1+$F6),CM$4&lt;=EDATE(EDATE('核心假设'!$B$5,1+$F6),$D6)),IF($E6/12=0,(SUM('融资租赁与资金缺口'!$D$5:$D$16)*$N6*$C6-SUM('融资租赁与资金缺口'!$D$5:$D$16)*$N6*'核心假设'!$B$32)/$D6,(SUM('融资租赁与资金缺口'!$D$5:$D$16)*$N6*$C6-SUM('融资租赁与资金缺口'!$D$5:$D$16)*$N6*'核心假设'!$B$32/(1+$E6/12)^$D6)*$E6/12/(1-(1+$E6/12)^-$D6))+IF(CM$4=EDATE(EDATE('核心假设'!$B$5,1+$F6),$D6),SUM('融资租赁与资金缺口'!$D$5:$D$16)*$N6*'核心假设'!$B$32,0),0),IF(AND(CM$4&gt;EDATE('核心假设'!$B$5,2+$F6),CM$4&lt;=EDATE(EDATE('核心假设'!$B$5,2+$F6),$D6)),IF($E6/12=0,(SUM('融资租赁与资金缺口'!$D$5:$D$16)*$O6*$C6-SUM('融资租赁与资金缺口'!$D$5:$D$16)*$O6*'核心假设'!$B$32)/$D6,(SUM('融资租赁与资金缺口'!$D$5:$D$16)*$O6*$C6-SUM('融资租赁与资金缺口'!$D$5:$D$16)*$O6*'核心假设'!$B$32/(1+$E6/12)^$D6)*$E6/12/(1-(1+$E6/12)^-$D6))+IF(CM$4=EDATE(EDATE('核心假设'!$B$5,2+$F6),$D6),SUM('融资租赁与资金缺口'!$D$5:$D$16)*$O6*'核心假设'!$B$32,0),0),IF(AND(CM$4&gt;EDATE('核心假设'!$B$5,3+$F6),CM$4&lt;=EDATE(EDATE('核心假设'!$B$5,3+$F6),$D6)),IF($E6/12=0,(SUM('融资租赁与资金缺口'!$D$5:$D$16)*$P6*$C6-SUM('融资租赁与资金缺口'!$D$5:$D$16)*$P6*'核心假设'!$B$32)/$D6,(SUM('融资租赁与资金缺口'!$D$5:$D$16)*$P6*$C6-SUM('融资租赁与资金缺口'!$D$5:$D$16)*$P6*'核心假设'!$B$32/(1+$E6/12)^$D6)*$E6/12/(1-(1+$E6/12)^-$D6))+IF(CM$4=EDATE(EDATE('核心假设'!$B$5,3+$F6),$D6),SUM('融资租赁与资金缺口'!$D$5:$D$16)*$P6*'核心假设'!$B$32,0),0),IF(AND(CM$4&gt;EDATE('核心假设'!$B$5,4+$F6),CM$4&lt;=EDATE(EDATE('核心假设'!$B$5,4+$F6),$D6)),IF($E6/12=0,(SUM('融资租赁与资金缺口'!$D$5:$D$16)*$Q6*$C6-SUM('融资租赁与资金缺口'!$D$5:$D$16)*$Q6*'核心假设'!$B$32)/$D6,(SUM('融资租赁与资金缺口'!$D$5:$D$16)*$Q6*$C6-SUM('融资租赁与资金缺口'!$D$5:$D$16)*$Q6*'核心假设'!$B$32/(1+$E6/12)^$D6)*$E6/12/(1-(1+$E6/12)^-$D6))+IF(CM$4=EDATE(EDATE('核心假设'!$B$5,4+$F6),$D6),SUM('融资租赁与资金缺口'!$D$5:$D$16)*$Q6*'核心假设'!$B$32,0),0),IF(AND(CM$4&gt;EDATE('核心假设'!$B$5,5+$F6),CM$4&lt;=EDATE(EDATE('核心假设'!$B$5,5+$F6),$D6)),IF($E6/12=0,(SUM('融资租赁与资金缺口'!$D$5:$D$16)*$R6*$C6-SUM('融资租赁与资金缺口'!$D$5:$D$16)*$R6*'核心假设'!$B$32)/$D6,(SUM('融资租赁与资金缺口'!$D$5:$D$16)*$R6*$C6-SUM('融资租赁与资金缺口'!$D$5:$D$16)*$R6*'核心假设'!$B$32/(1+$E6/12)^$D6)*$E6/12/(1-(1+$E6/12)^-$D6))+IF(CM$4=EDATE(EDATE('核心假设'!$B$5,5+$F6),$D6),SUM('融资租赁与资金缺口'!$D$5:$D$16)*$R6*'核心假设'!$B$32,0),0),IF(AND(CM$4&gt;EDATE('核心假设'!$B$5,6+$F6),CM$4&lt;=EDATE(EDATE('核心假设'!$B$5,6+$F6),$D6)),IF($E6/12=0,(SUM('融资租赁与资金缺口'!$D$5:$D$16)*$S6*$C6-SUM('融资租赁与资金缺口'!$D$5:$D$16)*$S6*'核心假设'!$B$32)/$D6,(SUM('融资租赁与资金缺口'!$D$5:$D$16)*$S6*$C6-SUM('融资租赁与资金缺口'!$D$5:$D$16)*$S6*'核心假设'!$B$32/(1+$E6/12)^$D6)*$E6/12/(1-(1+$E6/12)^-$D6))+IF(CM$4=EDATE(EDATE('核心假设'!$B$5,6+$F6),$D6),SUM('融资租赁与资金缺口'!$D$5:$D$16)*$S6*'核心假设'!$B$32,0),0),IF(AND(CM$4&gt;EDATE('核心假设'!$B$5,7+$F6),CM$4&lt;=EDATE(EDATE('核心假设'!$B$5,7+$F6),$D6)),IF($E6/12=0,(SUM('融资租赁与资金缺口'!$D$5:$D$16)*$T6*$C6-SUM('融资租赁与资金缺口'!$D$5:$D$16)*$T6*'核心假设'!$B$32)/$D6,(SUM('融资租赁与资金缺口'!$D$5:$D$16)*$T6*$C6-SUM('融资租赁与资金缺口'!$D$5:$D$16)*$T6*'核心假设'!$B$32/(1+$E6/12)^$D6)*$E6/12/(1-(1+$E6/12)^-$D6))+IF(CM$4=EDATE(EDATE('核心假设'!$B$5,7+$F6),$D6),SUM('融资租赁与资金缺口'!$D$5:$D$16)*$T6*'核心假设'!$B$32,0),0),IF(AND(CM$4&gt;EDATE('核心假设'!$B$5,8+$F6),CM$4&lt;=EDATE(EDATE('核心假设'!$B$5,8+$F6),$D6)),IF($E6/12=0,(SUM('融资租赁与资金缺口'!$D$5:$D$16)*$U6*$C6-SUM('融资租赁与资金缺口'!$D$5:$D$16)*$U6*'核心假设'!$B$32)/$D6,(SUM('融资租赁与资金缺口'!$D$5:$D$16)*$U6*$C6-SUM('融资租赁与资金缺口'!$D$5:$D$16)*$U6*'核心假设'!$B$32/(1+$E6/12)^$D6)*$E6/12/(1-(1+$E6/12)^-$D6))+IF(CM$4=EDATE(EDATE('核心假设'!$B$5,8+$F6),$D6),SUM('融资租赁与资金缺口'!$D$5:$D$16)*$U6*'核心假设'!$B$32,0),0),IF(AND(CM$4&gt;EDATE('核心假设'!$B$5,9+$F6),CM$4&lt;=EDATE(EDATE('核心假设'!$B$5,9+$F6),$D6)),IF($E6/12=0,(SUM('融资租赁与资金缺口'!$D$5:$D$16)*$V6*$C6-SUM('融资租赁与资金缺口'!$D$5:$D$16)*$V6*'核心假设'!$B$32)/$D6,(SUM('融资租赁与资金缺口'!$D$5:$D$16)*$V6*$C6-SUM('融资租赁与资金缺口'!$D$5:$D$16)*$V6*'核心假设'!$B$32/(1+$E6/12)^$D6)*$E6/12/(1-(1+$E6/12)^-$D6))+IF(CM$4=EDATE(EDATE('核心假设'!$B$5,9+$F6),$D6),SUM('融资租赁与资金缺口'!$D$5:$D$16)*$V6*'核心假设'!$B$32,0),0),IF(AND(CM$4&gt;EDATE('核心假设'!$B$5,10+$F6),CM$4&lt;=EDATE(EDATE('核心假设'!$B$5,10+$F6),$D6)),IF($E6/12=0,(SUM('融资租赁与资金缺口'!$D$5:$D$16)*$W6*$C6-SUM('融资租赁与资金缺口'!$D$5:$D$16)*$W6*'核心假设'!$B$32)/$D6,(SUM('融资租赁与资金缺口'!$D$5:$D$16)*$W6*$C6-SUM('融资租赁与资金缺口'!$D$5:$D$16)*$W6*'核心假设'!$B$32/(1+$E6/12)^$D6)*$E6/12/(1-(1+$E6/12)^-$D6))+IF(CM$4=EDATE(EDATE('核心假设'!$B$5,10+$F6),$D6),SUM('融资租赁与资金缺口'!$D$5:$D$16)*$W6*'核心假设'!$B$32,0),0),IF(AND(CM$4&gt;EDATE('核心假设'!$B$5,11+$F6),CM$4&lt;=EDATE(EDATE('核心假设'!$B$5,11+$F6),$D6)),IF($E6/12=0,(SUM('融资租赁与资金缺口'!$D$5:$D$16)*$X6*$C6-SUM('融资租赁与资金缺口'!$D$5:$D$16)*$X6*'核心假设'!$B$32)/$D6,(SUM('融资租赁与资金缺口'!$D$5:$D$16)*$X6*$C6-SUM('融资租赁与资金缺口'!$D$5:$D$16)*$X6*'核心假设'!$B$32/(1+$E6/12)^$D6)*$E6/12/(1-(1+$E6/12)^-$D6))+IF(CM$4=EDATE(EDATE('核心假设'!$B$5,11+$F6),$D6),SUM('融资租赁与资金缺口'!$D$5:$D$16)*$X6*'核心假设'!$B$32,0),0),IF(AND(CM$4&gt;EDATE('核心假设'!$B$5,12+$F6),CM$4&lt;=EDATE(EDATE('核心假设'!$B$5,12+$F6),$D6)),IF($E6/12=0,(SUM('融资租赁与资金缺口'!$D$5:$D$16)*$Y6*$C6-SUM('融资租赁与资金缺口'!$D$5:$D$16)*$Y6*'核心假设'!$B$32)/$D6,(SUM('融资租赁与资金缺口'!$D$5:$D$16)*$Y6*$C6-SUM('融资租赁与资金缺口'!$D$5:$D$16)*$Y6*'核心假设'!$B$32/(1+$E6/12)^$D6)*$E6/12/(1-(1+$E6/12)^-$D6))+IF(CM$4=EDATE(EDATE('核心假设'!$B$5,12+$F6),$D6),SUM('融资租赁与资金缺口'!$D$5:$D$16)*$Y6*'核心假设'!$B$32,0),0),IF(AND(CM$4&gt;EDATE('核心假设'!$B$5,13+$F6),CM$4&lt;=EDATE(EDATE('核心假设'!$B$5,13+$F6),$D6)),IF($E6/12=0,(SUM('融资租赁与资金缺口'!$D$5:$D$16)*$Z6*$C6-SUM('融资租赁与资金缺口'!$D$5:$D$16)*$Z6*'核心假设'!$B$32)/$D6,(SUM('融资租赁与资金缺口'!$D$5:$D$16)*$Z6*$C6-SUM('融资租赁与资金缺口'!$D$5:$D$16)*$Z6*'核心假设'!$B$32/(1+$E6/12)^$D6)*$E6/12/(1-(1+$E6/12)^-$D6))+IF(CM$4=EDATE(EDATE('核心假设'!$B$5,13+$F6),$D6),SUM('融资租赁与资金缺口'!$D$5:$D$16)*$Z6*'核心假设'!$B$32,0),0),IF(AND(CM$4&gt;EDATE('核心假设'!$B$5,14+$F6),CM$4&lt;=EDATE(EDATE('核心假设'!$B$5,14+$F6),$D6)),IF($E6/12=0,(SUM('融资租赁与资金缺口'!$D$5:$D$16)*$AA6*$C6-SUM('融资租赁与资金缺口'!$D$5:$D$16)*$AA6*'核心假设'!$B$32)/$D6,(SUM('融资租赁与资金缺口'!$D$5:$D$16)*$AA6*$C6-SUM('融资租赁与资金缺口'!$D$5:$D$16)*$AA6*'核心假设'!$B$32/(1+$E6/12)^$D6)*$E6/12/(1-(1+$E6/12)^-$D6))+IF(CM$4=EDATE(EDATE('核心假设'!$B$5,14+$F6),$D6),SUM('融资租赁与资金缺口'!$D$5:$D$16)*$AA6*'核心假设'!$B$32,0),0),IF(AND(CM$4&gt;EDATE('核心假设'!$B$5,15+$F6),CM$4&lt;=EDATE(EDATE('核心假设'!$B$5,15+$F6),$D6)),IF($E6/12=0,(SUM('融资租赁与资金缺口'!$D$5:$D$16)*$AB6*$C6-SUM('融资租赁与资金缺口'!$D$5:$D$16)*$AB6*'核心假设'!$B$32)/$D6,(SUM('融资租赁与资金缺口'!$D$5:$D$16)*$AB6*$C6-SUM('融资租赁与资金缺口'!$D$5:$D$16)*$AB6*'核心假设'!$B$32/(1+$E6/12)^$D6)*$E6/12/(1-(1+$E6/12)^-$D6))+IF(CM$4=EDATE(EDATE('核心假设'!$B$5,15+$F6),$D6),SUM('融资租赁与资金缺口'!$D$5:$D$16)*$AB6*'核心假设'!$B$32,0),0),IF(AND(CM$4&gt;EDATE('核心假设'!$B$5,16+$F6),CM$4&lt;=EDATE(EDATE('核心假设'!$B$5,16+$F6),$D6)),IF($E6/12=0,(SUM('融资租赁与资金缺口'!$D$5:$D$16)*$AC6*$C6-SUM('融资租赁与资金缺口'!$D$5:$D$16)*$AC6*'核心假设'!$B$32)/$D6,(SUM('融资租赁与资金缺口'!$D$5:$D$16)*$AC6*$C6-SUM('融资租赁与资金缺口'!$D$5:$D$16)*$AC6*'核心假设'!$B$32/(1+$E6/12)^$D6)*$E6/12/(1-(1+$E6/12)^-$D6))+IF(CM$4=EDATE(EDATE('核心假设'!$B$5,16+$F6),$D6),SUM('融资租赁与资金缺口'!$D$5:$D$16)*$AC6*'核心假设'!$B$32,0),0),IF(AND(CM$4&gt;EDATE('核心假设'!$B$5,17+$F6),CM$4&lt;=EDATE(EDATE('核心假设'!$B$5,17+$F6),$D6)),IF($E6/12=0,(SUM('融资租赁与资金缺口'!$D$5:$D$16)*$AD6*$C6-SUM('融资租赁与资金缺口'!$D$5:$D$16)*$AD6*'核心假设'!$B$32)/$D6,(SUM('融资租赁与资金缺口'!$D$5:$D$16)*$AD6*$C6-SUM('融资租赁与资金缺口'!$D$5:$D$16)*$AD6*'核心假设'!$B$32/(1+$E6/12)^$D6)*$E6/12/(1-(1+$E6/12)^-$D6))+IF(CM$4=EDATE(EDATE('核心假设'!$B$5,17+$F6),$D6),SUM('融资租赁与资金缺口'!$D$5:$D$16)*$AD6*'核心假设'!$B$32,0),0))</x:f>
        <x:v>0</x:v>
      </x:c>
    </x:row>
    <x:row r="14">
      <x:c r="A14" s="13" t="str">
        <x:v>期限</x:v>
      </x:c>
      <x:c r="B14" s="14" t="str">
        <x:v>月租金合计</x:v>
      </x:c>
      <x:c r="C14" s="14" t="str">
        <x:v>三年债务服务</x:v>
      </x:c>
      <x:c r="D14" s="14" t="str">
        <x:v>最低月度DSCR</x:v>
      </x:c>
      <x:c r="E14" s="14" t="str">
        <x:v>三年末余额</x:v>
      </x:c>
      <x:c r="F14" s="14" t="str">
        <x:v>峰值资金缺口</x:v>
      </x:c>
      <x:c r="G14" s="14" t="str">
        <x:v>全期融资成本</x:v>
      </x:c>
      <x:c r="H14" s="15" t="str">
        <x:v>三年服务费</x:v>
      </x:c>
      <x:c r="AE14" t="str">
        <x:v>DSCR</x:v>
      </x:c>
      <x:c r="AF14" s="28" t="str">
        <x:f>IF(AF13=0,"",AF12/AF13)</x:f>
      </x:c>
      <x:c r="AG14" s="28" t="str">
        <x:f>IF(AG13=0,"",AG12/AG13)</x:f>
      </x:c>
      <x:c r="AH14" s="28" t="n">
        <x:f>IF(AH13=0,"",AH12/AH13)</x:f>
        <x:v>2.715616160397089</x:v>
      </x:c>
      <x:c r="AI14" s="28" t="n">
        <x:f>IF(AI13=0,"",AI12/AI13)</x:f>
        <x:v>2.0824288638073667</x:v>
      </x:c>
      <x:c r="AJ14" s="28" t="n">
        <x:f>IF(AJ13=0,"",AJ12/AJ13)</x:f>
        <x:v>1.629890710349775</x:v>
      </x:c>
      <x:c r="AK14" s="28" t="n">
        <x:f>IF(AK13=0,"",AK12/AK13)</x:f>
        <x:v>1.225646207913924</x:v>
      </x:c>
      <x:c r="AL14" s="28" t="n">
        <x:f>IF(AL13=0,"",AL12/AL13)</x:f>
        <x:v>1.2232911402863154</x:v>
      </x:c>
      <x:c r="AM14" s="28" t="n">
        <x:f>IF(AM13=0,"",AM12/AM13)</x:f>
        <x:v>1.179285393084075</x:v>
      </x:c>
      <x:c r="AN14" s="28" t="n">
        <x:f>IF(AN13=0,"",AN12/AN13)</x:f>
        <x:v>1.144456211888629</x:v>
      </x:c>
      <x:c r="AO14" s="28" t="n">
        <x:f>IF(AO13=0,"",AO12/AO13)</x:f>
        <x:v>1.1741919450589904</x:v>
      </x:c>
      <x:c r="AP14" s="28" t="n">
        <x:f>IF(AP13=0,"",AP12/AP13)</x:f>
        <x:v>1.218663041356046</x:v>
      </x:c>
      <x:c r="AQ14" s="28" t="n">
        <x:f>IF(AQ13=0,"",AQ12/AQ13)</x:f>
        <x:v>1.2249013726464673</x:v>
      </x:c>
      <x:c r="AR14" s="28" t="n">
        <x:f>IF(AR13=0,"",AR12/AR13)</x:f>
        <x:v>1.0817846382941558</x:v>
      </x:c>
      <x:c r="AS14" s="28" t="n">
        <x:f>IF(AS13=0,"",AS12/AS13)</x:f>
        <x:v>1.0092232233780958</x:v>
      </x:c>
      <x:c r="AT14" s="28" t="n">
        <x:f>IF(AT13=0,"",AT12/AT13)</x:f>
        <x:v>1.0409512448039497</x:v>
      </x:c>
      <x:c r="AU14" s="28" t="n">
        <x:f>IF(AU13=0,"",AU12/AU13)</x:f>
        <x:v>1.1577460967279822</x:v>
      </x:c>
      <x:c r="AV14" s="28" t="n">
        <x:f>IF(AV13=0,"",AV12/AV13)</x:f>
        <x:v>1.0583705911362176</x:v>
      </x:c>
      <x:c r="AW14" s="28" t="n">
        <x:f>IF(AW13=0,"",AW12/AW13)</x:f>
        <x:v>0.8966286730770935</x:v>
      </x:c>
      <x:c r="AX14" s="28" t="n">
        <x:f>IF(AX13=0,"",AX12/AX13)</x:f>
        <x:v>0.9129038360345635</x:v>
      </x:c>
      <x:c r="AY14" s="28" t="n">
        <x:f>IF(AY13=0,"",AY12/AY13)</x:f>
        <x:v>0.9246879715766402</x:v>
      </x:c>
      <x:c r="AZ14" s="28" t="n">
        <x:f>IF(AZ13=0,"",AZ12/AZ13)</x:f>
        <x:v>0.949052981871216</x:v>
      </x:c>
      <x:c r="BA14" s="28" t="n">
        <x:f>IF(BA13=0,"",BA12/BA13)</x:f>
        <x:v>1.0207715105612087</x:v>
      </x:c>
      <x:c r="BB14" s="28" t="n">
        <x:f>IF(BB13=0,"",BB12/BB13)</x:f>
        <x:v>1.093162327404654</x:v>
      </x:c>
      <x:c r="BC14" s="28" t="n">
        <x:f>IF(BC13=0,"",BC12/BC13)</x:f>
        <x:v>1.131244824394289</x:v>
      </x:c>
      <x:c r="BD14" s="28" t="n">
        <x:f>IF(BD13=0,"",BD12/BD13)</x:f>
        <x:v>1.056166971329982</x:v>
      </x:c>
      <x:c r="BE14" s="28" t="n">
        <x:f>IF(BE13=0,"",BE12/BE13)</x:f>
        <x:v>1.0278268900887013</x:v>
      </x:c>
      <x:c r="BF14" s="28" t="n">
        <x:f>IF(BF13=0,"",BF12/BF13)</x:f>
        <x:v>1.0485004480297644</x:v>
      </x:c>
      <x:c r="BG14" s="28" t="n">
        <x:f>IF(BG13=0,"",BG12/BG13)</x:f>
        <x:v>1.1598337975635968</x:v>
      </x:c>
      <x:c r="BH14" s="28" t="n">
        <x:f>IF(BH13=0,"",BH12/BH13)</x:f>
        <x:v>1.0583705911362176</x:v>
      </x:c>
      <x:c r="BI14" s="28" t="n">
        <x:f>IF(BI13=0,"",BI12/BI13)</x:f>
        <x:v>0.8657104429709869</x:v>
      </x:c>
      <x:c r="BJ14" s="28" t="n">
        <x:f>IF(BJ13=0,"",BJ12/BJ13)</x:f>
        <x:v>0.9129038360345635</x:v>
      </x:c>
      <x:c r="BK14" s="28" t="n">
        <x:f>IF(BK13=0,"",BK12/BK13)</x:f>
        <x:v>0.9246879715766402</x:v>
      </x:c>
      <x:c r="BL14" s="28" t="n">
        <x:f>IF(BL13=0,"",BL12/BL13)</x:f>
        <x:v>0.949052981871216</x:v>
      </x:c>
      <x:c r="BM14" s="28" t="n">
        <x:f>IF(BM13=0,"",BM12/BM13)</x:f>
        <x:v>1.0207715105612087</x:v>
      </x:c>
      <x:c r="BN14" s="28" t="n">
        <x:f>IF(BN13=0,"",BN12/BN13)</x:f>
        <x:v>1.093162327404654</x:v>
      </x:c>
      <x:c r="BO14" s="28" t="n">
        <x:f>IF(BO13=0,"",BO12/BO13)</x:f>
        <x:v>1.131244824394289</x:v>
      </x:c>
      <x:c r="BP14" s="28" t="n">
        <x:f>IF(BP13=0,"",BP12/BP13)</x:f>
        <x:v>1.056166971329982</x:v>
      </x:c>
      <x:c r="BQ14" s="28" t="n">
        <x:f>IF(BQ13=0,"",BQ12/BQ13)</x:f>
        <x:v>1.0115584874786603</x:v>
      </x:c>
      <x:c r="BR14" s="28" t="n">
        <x:f>IF(BR13=0,"",BR12/BR13)</x:f>
        <x:v>1.0817100100651462</x:v>
      </x:c>
      <x:c r="BS14" s="28" t="n">
        <x:f>IF(BS13=0,"",BS12/BS13)</x:f>
        <x:v>1.2710291214576732</x:v>
      </x:c>
      <x:c r="BT14" s="28" t="n">
        <x:f>IF(BT13=0,"",BT12/BT13)</x:f>
        <x:v>1.251425469224892</x:v>
      </x:c>
      <x:c r="BU14" s="28" t="n">
        <x:f>IF(BU13=0,"",BU12/BU13)</x:f>
        <x:v>1.1258366671582218</x:v>
      </x:c>
      <x:c r="BV14" s="28" t="n">
        <x:f>IF(BV13=0,"",BV12/BV13)</x:f>
        <x:v>1.3382448542735936</x:v>
      </x:c>
      <x:c r="BW14" s="28" t="n">
        <x:f>IF(BW13=0,"",BW12/BW13)</x:f>
        <x:v>1.5796329848268975</x:v>
      </x:c>
      <x:c r="BX14" s="28" t="n">
        <x:f>IF(BX13=0,"",BX12/BX13)</x:f>
        <x:v>1.9964027300293514</x:v>
      </x:c>
      <x:c r="BY14" s="28" t="n">
        <x:f>IF(BY13=0,"",BY12/BY13)</x:f>
        <x:v>2.818525911687736</x:v>
      </x:c>
      <x:c r="BZ14" s="28" t="n">
        <x:f>IF(BZ13=0,"",BZ12/BZ13)</x:f>
        <x:v>4.221543001727156</x:v>
      </x:c>
      <x:c r="CA14" s="28" t="n">
        <x:f>IF(CA13=0,"",CA12/CA13)</x:f>
        <x:v>6.825746877501528</x:v>
      </x:c>
      <x:c r="CB14" s="28" t="n">
        <x:f>IF(CB13=0,"",CB12/CB13)</x:f>
        <x:v>13.318790428824524</x:v>
      </x:c>
      <x:c r="CC14" s="28" t="str">
        <x:f>IF(CC13=0,"",CC12/CC13)</x:f>
      </x:c>
      <x:c r="CD14" s="28" t="str">
        <x:f>IF(CD13=0,"",CD12/CD13)</x:f>
      </x:c>
      <x:c r="CE14" s="28" t="str">
        <x:f>IF(CE13=0,"",CE12/CE13)</x:f>
      </x:c>
      <x:c r="CF14" s="28" t="str">
        <x:f>IF(CF13=0,"",CF12/CF13)</x:f>
      </x:c>
      <x:c r="CG14" s="28" t="str">
        <x:f>IF(CG13=0,"",CG12/CG13)</x:f>
      </x:c>
      <x:c r="CH14" s="28" t="str">
        <x:f>IF(CH13=0,"",CH12/CH13)</x:f>
      </x:c>
      <x:c r="CI14" s="28" t="str">
        <x:f>IF(CI13=0,"",CI12/CI13)</x:f>
      </x:c>
      <x:c r="CJ14" s="28" t="str">
        <x:f>IF(CJ13=0,"",CJ12/CJ13)</x:f>
      </x:c>
      <x:c r="CK14" s="28" t="str">
        <x:f>IF(CK13=0,"",CK12/CK13)</x:f>
      </x:c>
      <x:c r="CL14" s="28" t="str">
        <x:f>IF(CL13=0,"",CL12/CL13)</x:f>
      </x:c>
      <x:c r="CM14" s="28" t="str">
        <x:f>IF(CM13=0,"",CM12/CM13)</x:f>
      </x:c>
    </x:row>
    <x:row r="15">
      <x:c r="A15" t="n">
        <x:v>18</x:v>
      </x:c>
      <x:c r="B15" s="29" t="n">
        <x:f>SUM(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)</x:f>
        <x:v>31845834.98014287</x:v>
      </x:c>
      <x:c r="C15" s="29" t="n">
        <x:f>SUM(AF47:BO47)</x:f>
        <x:v>578658029.6425717</x:v>
      </x:c>
      <x:c r="D15" s="116" t="n">
        <x:f>MIN(AF49:CM49)</x:f>
        <x:v>1.0190814377947408</x:v>
      </x:c>
      <x:c r="E15" s="29" t="n">
        <x:f>BO48</x:f>
        <x:v>0</x:v>
      </x:c>
      <x:c r="F15" s="29" t="n">
        <x:f>MAX(0,-MIN(AF50:CM50))</x:f>
        <x:v>9831162.139051318</x:v>
      </x:c>
      <x:c r="G15" s="29" t="n">
        <x:f>SUM(AF47:CM47)-SUM('融资租赁与资金缺口'!$E$5:$E$16)</x:f>
        <x:v>35358029.64257169</x:v>
      </x:c>
      <x:c r="H15" s="29" t="n">
        <x:f>SUM('36月运营模型'!$B$12:$AK$12)</x:f>
        <x:v>1547192645.9628906</x:v>
      </x:c>
      <x:c r="AE15" t="str">
        <x:v>供应商付款</x:v>
      </x:c>
      <x:c r="AF15" s="28" t="n">
        <x:f>SUM(IF(EDATE('核心假设'!$B$5,0-1+'核心假设'!$B$31)&lt;=AF$4,SUM('融资租赁与资金缺口'!$M$5:$M$16)*$M6,0),IF(EDATE('核心假设'!$B$5,1-1+'核心假设'!$B$31)&lt;=AF$4,SUM('融资租赁与资金缺口'!$M$5:$M$16)*$N6,0),IF(EDATE('核心假设'!$B$5,2-1+'核心假设'!$B$31)&lt;=AF$4,SUM('融资租赁与资金缺口'!$M$5:$M$16)*$O6,0),IF(EDATE('核心假设'!$B$5,3-1+'核心假设'!$B$31)&lt;=AF$4,SUM('融资租赁与资金缺口'!$M$5:$M$16)*$P6,0),IF(EDATE('核心假设'!$B$5,4-1+'核心假设'!$B$31)&lt;=AF$4,SUM('融资租赁与资金缺口'!$M$5:$M$16)*$Q6,0),IF(EDATE('核心假设'!$B$5,5-1+'核心假设'!$B$31)&lt;=AF$4,SUM('融资租赁与资金缺口'!$M$5:$M$16)*$R6,0),IF(EDATE('核心假设'!$B$5,6-1+'核心假设'!$B$31)&lt;=AF$4,SUM('融资租赁与资金缺口'!$M$5:$M$16)*$S6,0),IF(EDATE('核心假设'!$B$5,7-1+'核心假设'!$B$31)&lt;=AF$4,SUM('融资租赁与资金缺口'!$M$5:$M$16)*$T6,0),IF(EDATE('核心假设'!$B$5,8-1+'核心假设'!$B$31)&lt;=AF$4,SUM('融资租赁与资金缺口'!$M$5:$M$16)*$U6,0),IF(EDATE('核心假设'!$B$5,9-1+'核心假设'!$B$31)&lt;=AF$4,SUM('融资租赁与资金缺口'!$M$5:$M$16)*$V6,0),IF(EDATE('核心假设'!$B$5,10-1+'核心假设'!$B$31)&lt;=AF$4,SUM('融资租赁与资金缺口'!$M$5:$M$16)*$W6,0),IF(EDATE('核心假设'!$B$5,11-1+'核心假设'!$B$31)&lt;=AF$4,SUM('融资租赁与资金缺口'!$M$5:$M$16)*$X6,0),IF(EDATE('核心假设'!$B$5,12-1+'核心假设'!$B$31)&lt;=AF$4,SUM('融资租赁与资金缺口'!$M$5:$M$16)*$Y6,0),IF(EDATE('核心假设'!$B$5,13-1+'核心假设'!$B$31)&lt;=AF$4,SUM('融资租赁与资金缺口'!$M$5:$M$16)*$Z6,0),IF(EDATE('核心假设'!$B$5,14-1+'核心假设'!$B$31)&lt;=AF$4,SUM('融资租赁与资金缺口'!$M$5:$M$16)*$AA6,0),IF(EDATE('核心假设'!$B$5,15-1+'核心假设'!$B$31)&lt;=AF$4,SUM('融资租赁与资金缺口'!$M$5:$M$16)*$AB6,0),IF(EDATE('核心假设'!$B$5,16-1+'核心假设'!$B$31)&lt;=AF$4,SUM('融资租赁与资金缺口'!$M$5:$M$16)*$AC6,0),IF(EDATE('核心假设'!$B$5,17-1+'核心假设'!$B$31)&lt;=AF$4,SUM('融资租赁与资金缺口'!$M$5:$M$16)*$AD6,0))</x:f>
        <x:v>0</x:v>
      </x:c>
      <x:c r="AG15" s="28" t="n">
        <x:f>SUM(IF(AG$4=EDATE('核心假设'!$B$5,0-1+'核心假设'!$B$31),SUM('融资租赁与资金缺口'!$M$5:$M$16)*$M6,0),IF(AG$4=EDATE('核心假设'!$B$5,1-1+'核心假设'!$B$31),SUM('融资租赁与资金缺口'!$M$5:$M$16)*$N6,0),IF(AG$4=EDATE('核心假设'!$B$5,2-1+'核心假设'!$B$31),SUM('融资租赁与资金缺口'!$M$5:$M$16)*$O6,0),IF(AG$4=EDATE('核心假设'!$B$5,3-1+'核心假设'!$B$31),SUM('融资租赁与资金缺口'!$M$5:$M$16)*$P6,0),IF(AG$4=EDATE('核心假设'!$B$5,4-1+'核心假设'!$B$31),SUM('融资租赁与资金缺口'!$M$5:$M$16)*$Q6,0),IF(AG$4=EDATE('核心假设'!$B$5,5-1+'核心假设'!$B$31),SUM('融资租赁与资金缺口'!$M$5:$M$16)*$R6,0),IF(AG$4=EDATE('核心假设'!$B$5,6-1+'核心假设'!$B$31),SUM('融资租赁与资金缺口'!$M$5:$M$16)*$S6,0),IF(AG$4=EDATE('核心假设'!$B$5,7-1+'核心假设'!$B$31),SUM('融资租赁与资金缺口'!$M$5:$M$16)*$T6,0),IF(AG$4=EDATE('核心假设'!$B$5,8-1+'核心假设'!$B$31),SUM('融资租赁与资金缺口'!$M$5:$M$16)*$U6,0),IF(AG$4=EDATE('核心假设'!$B$5,9-1+'核心假设'!$B$31),SUM('融资租赁与资金缺口'!$M$5:$M$16)*$V6,0),IF(AG$4=EDATE('核心假设'!$B$5,10-1+'核心假设'!$B$31),SUM('融资租赁与资金缺口'!$M$5:$M$16)*$W6,0),IF(AG$4=EDATE('核心假设'!$B$5,11-1+'核心假设'!$B$31),SUM('融资租赁与资金缺口'!$M$5:$M$16)*$X6,0),IF(AG$4=EDATE('核心假设'!$B$5,12-1+'核心假设'!$B$31),SUM('融资租赁与资金缺口'!$M$5:$M$16)*$Y6,0),IF(AG$4=EDATE('核心假设'!$B$5,13-1+'核心假设'!$B$31),SUM('融资租赁与资金缺口'!$M$5:$M$16)*$Z6,0),IF(AG$4=EDATE('核心假设'!$B$5,14-1+'核心假设'!$B$31),SUM('融资租赁与资金缺口'!$M$5:$M$16)*$AA6,0),IF(AG$4=EDATE('核心假设'!$B$5,15-1+'核心假设'!$B$31),SUM('融资租赁与资金缺口'!$M$5:$M$16)*$AB6,0),IF(AG$4=EDATE('核心假设'!$B$5,16-1+'核心假设'!$B$31),SUM('融资租赁与资金缺口'!$M$5:$M$16)*$AC6,0),IF(AG$4=EDATE('核心假设'!$B$5,17-1+'核心假设'!$B$31),SUM('融资租赁与资金缺口'!$M$5:$M$16)*$AD6,0))</x:f>
        <x:v>32015000</x:v>
      </x:c>
      <x:c r="AH15" s="28" t="n">
        <x:f>SUM(IF(AH$4=EDATE('核心假设'!$B$5,0-1+'核心假设'!$B$31),SUM('融资租赁与资金缺口'!$M$5:$M$16)*$M6,0),IF(AH$4=EDATE('核心假设'!$B$5,1-1+'核心假设'!$B$31),SUM('融资租赁与资金缺口'!$M$5:$M$16)*$N6,0),IF(AH$4=EDATE('核心假设'!$B$5,2-1+'核心假设'!$B$31),SUM('融资租赁与资金缺口'!$M$5:$M$16)*$O6,0),IF(AH$4=EDATE('核心假设'!$B$5,3-1+'核心假设'!$B$31),SUM('融资租赁与资金缺口'!$M$5:$M$16)*$P6,0),IF(AH$4=EDATE('核心假设'!$B$5,4-1+'核心假设'!$B$31),SUM('融资租赁与资金缺口'!$M$5:$M$16)*$Q6,0),IF(AH$4=EDATE('核心假设'!$B$5,5-1+'核心假设'!$B$31),SUM('融资租赁与资金缺口'!$M$5:$M$16)*$R6,0),IF(AH$4=EDATE('核心假设'!$B$5,6-1+'核心假设'!$B$31),SUM('融资租赁与资金缺口'!$M$5:$M$16)*$S6,0),IF(AH$4=EDATE('核心假设'!$B$5,7-1+'核心假设'!$B$31),SUM('融资租赁与资金缺口'!$M$5:$M$16)*$T6,0),IF(AH$4=EDATE('核心假设'!$B$5,8-1+'核心假设'!$B$31),SUM('融资租赁与资金缺口'!$M$5:$M$16)*$U6,0),IF(AH$4=EDATE('核心假设'!$B$5,9-1+'核心假设'!$B$31),SUM('融资租赁与资金缺口'!$M$5:$M$16)*$V6,0),IF(AH$4=EDATE('核心假设'!$B$5,10-1+'核心假设'!$B$31),SUM('融资租赁与资金缺口'!$M$5:$M$16)*$W6,0),IF(AH$4=EDATE('核心假设'!$B$5,11-1+'核心假设'!$B$31),SUM('融资租赁与资金缺口'!$M$5:$M$16)*$X6,0),IF(AH$4=EDATE('核心假设'!$B$5,12-1+'核心假设'!$B$31),SUM('融资租赁与资金缺口'!$M$5:$M$16)*$Y6,0),IF(AH$4=EDATE('核心假设'!$B$5,13-1+'核心假设'!$B$31),SUM('融资租赁与资金缺口'!$M$5:$M$16)*$Z6,0),IF(AH$4=EDATE('核心假设'!$B$5,14-1+'核心假设'!$B$31),SUM('融资租赁与资金缺口'!$M$5:$M$16)*$AA6,0),IF(AH$4=EDATE('核心假设'!$B$5,15-1+'核心假设'!$B$31),SUM('融资租赁与资金缺口'!$M$5:$M$16)*$AB6,0),IF(AH$4=EDATE('核心假设'!$B$5,16-1+'核心假设'!$B$31),SUM('融资租赁与资金缺口'!$M$5:$M$16)*$AC6,0),IF(AH$4=EDATE('核心假设'!$B$5,17-1+'核心假设'!$B$31),SUM('融资租赁与资金缺口'!$M$5:$M$16)*$AD6,0))</x:f>
        <x:v>38418000</x:v>
      </x:c>
      <x:c r="AI15" s="28" t="n">
        <x:f>SUM(IF(AI$4=EDATE('核心假设'!$B$5,0-1+'核心假设'!$B$31),SUM('融资租赁与资金缺口'!$M$5:$M$16)*$M6,0),IF(AI$4=EDATE('核心假设'!$B$5,1-1+'核心假设'!$B$31),SUM('融资租赁与资金缺口'!$M$5:$M$16)*$N6,0),IF(AI$4=EDATE('核心假设'!$B$5,2-1+'核心假设'!$B$31),SUM('融资租赁与资金缺口'!$M$5:$M$16)*$O6,0),IF(AI$4=EDATE('核心假设'!$B$5,3-1+'核心假设'!$B$31),SUM('融资租赁与资金缺口'!$M$5:$M$16)*$P6,0),IF(AI$4=EDATE('核心假设'!$B$5,4-1+'核心假设'!$B$31),SUM('融资租赁与资金缺口'!$M$5:$M$16)*$Q6,0),IF(AI$4=EDATE('核心假设'!$B$5,5-1+'核心假设'!$B$31),SUM('融资租赁与资金缺口'!$M$5:$M$16)*$R6,0),IF(AI$4=EDATE('核心假设'!$B$5,6-1+'核心假设'!$B$31),SUM('融资租赁与资金缺口'!$M$5:$M$16)*$S6,0),IF(AI$4=EDATE('核心假设'!$B$5,7-1+'核心假设'!$B$31),SUM('融资租赁与资金缺口'!$M$5:$M$16)*$T6,0),IF(AI$4=EDATE('核心假设'!$B$5,8-1+'核心假设'!$B$31),SUM('融资租赁与资金缺口'!$M$5:$M$16)*$U6,0),IF(AI$4=EDATE('核心假设'!$B$5,9-1+'核心假设'!$B$31),SUM('融资租赁与资金缺口'!$M$5:$M$16)*$V6,0),IF(AI$4=EDATE('核心假设'!$B$5,10-1+'核心假设'!$B$31),SUM('融资租赁与资金缺口'!$M$5:$M$16)*$W6,0),IF(AI$4=EDATE('核心假设'!$B$5,11-1+'核心假设'!$B$31),SUM('融资租赁与资金缺口'!$M$5:$M$16)*$X6,0),IF(AI$4=EDATE('核心假设'!$B$5,12-1+'核心假设'!$B$31),SUM('融资租赁与资金缺口'!$M$5:$M$16)*$Y6,0),IF(AI$4=EDATE('核心假设'!$B$5,13-1+'核心假设'!$B$31),SUM('融资租赁与资金缺口'!$M$5:$M$16)*$Z6,0),IF(AI$4=EDATE('核心假设'!$B$5,14-1+'核心假设'!$B$31),SUM('融资租赁与资金缺口'!$M$5:$M$16)*$AA6,0),IF(AI$4=EDATE('核心假设'!$B$5,15-1+'核心假设'!$B$31),SUM('融资租赁与资金缺口'!$M$5:$M$16)*$AB6,0),IF(AI$4=EDATE('核心假设'!$B$5,16-1+'核心假设'!$B$31),SUM('融资租赁与资金缺口'!$M$5:$M$16)*$AC6,0),IF(AI$4=EDATE('核心假设'!$B$5,17-1+'核心假设'!$B$31),SUM('融资租赁与资金缺口'!$M$5:$M$16)*$AD6,0))</x:f>
        <x:v>44821000.00000001</x:v>
      </x:c>
      <x:c r="AJ15" s="28" t="n">
        <x:f>SUM(IF(AJ$4=EDATE('核心假设'!$B$5,0-1+'核心假设'!$B$31),SUM('融资租赁与资金缺口'!$M$5:$M$16)*$M6,0),IF(AJ$4=EDATE('核心假设'!$B$5,1-1+'核心假设'!$B$31),SUM('融资租赁与资金缺口'!$M$5:$M$16)*$N6,0),IF(AJ$4=EDATE('核心假设'!$B$5,2-1+'核心假设'!$B$31),SUM('融资租赁与资金缺口'!$M$5:$M$16)*$O6,0),IF(AJ$4=EDATE('核心假设'!$B$5,3-1+'核心假设'!$B$31),SUM('融资租赁与资金缺口'!$M$5:$M$16)*$P6,0),IF(AJ$4=EDATE('核心假设'!$B$5,4-1+'核心假设'!$B$31),SUM('融资租赁与资金缺口'!$M$5:$M$16)*$Q6,0),IF(AJ$4=EDATE('核心假设'!$B$5,5-1+'核心假设'!$B$31),SUM('融资租赁与资金缺口'!$M$5:$M$16)*$R6,0),IF(AJ$4=EDATE('核心假设'!$B$5,6-1+'核心假设'!$B$31),SUM('融资租赁与资金缺口'!$M$5:$M$16)*$S6,0),IF(AJ$4=EDATE('核心假设'!$B$5,7-1+'核心假设'!$B$31),SUM('融资租赁与资金缺口'!$M$5:$M$16)*$T6,0),IF(AJ$4=EDATE('核心假设'!$B$5,8-1+'核心假设'!$B$31),SUM('融资租赁与资金缺口'!$M$5:$M$16)*$U6,0),IF(AJ$4=EDATE('核心假设'!$B$5,9-1+'核心假设'!$B$31),SUM('融资租赁与资金缺口'!$M$5:$M$16)*$V6,0),IF(AJ$4=EDATE('核心假设'!$B$5,10-1+'核心假设'!$B$31),SUM('融资租赁与资金缺口'!$M$5:$M$16)*$W6,0),IF(AJ$4=EDATE('核心假设'!$B$5,11-1+'核心假设'!$B$31),SUM('融资租赁与资金缺口'!$M$5:$M$16)*$X6,0),IF(AJ$4=EDATE('核心假设'!$B$5,12-1+'核心假设'!$B$31),SUM('融资租赁与资金缺口'!$M$5:$M$16)*$Y6,0),IF(AJ$4=EDATE('核心假设'!$B$5,13-1+'核心假设'!$B$31),SUM('融资租赁与资金缺口'!$M$5:$M$16)*$Z6,0),IF(AJ$4=EDATE('核心假设'!$B$5,14-1+'核心假设'!$B$31),SUM('融资租赁与资金缺口'!$M$5:$M$16)*$AA6,0),IF(AJ$4=EDATE('核心假设'!$B$5,15-1+'核心假设'!$B$31),SUM('融资租赁与资金缺口'!$M$5:$M$16)*$AB6,0),IF(AJ$4=EDATE('核心假设'!$B$5,16-1+'核心假设'!$B$31),SUM('融资租赁与资金缺口'!$M$5:$M$16)*$AC6,0),IF(AJ$4=EDATE('核心假设'!$B$5,17-1+'核心假设'!$B$31),SUM('融资租赁与资金缺口'!$M$5:$M$16)*$AD6,0))</x:f>
        <x:v>51224000</x:v>
      </x:c>
      <x:c r="AK15" s="28" t="n">
        <x:f>SUM(IF(AK$4=EDATE('核心假设'!$B$5,0-1+'核心假设'!$B$31),SUM('融资租赁与资金缺口'!$M$5:$M$16)*$M6,0),IF(AK$4=EDATE('核心假设'!$B$5,1-1+'核心假设'!$B$31),SUM('融资租赁与资金缺口'!$M$5:$M$16)*$N6,0),IF(AK$4=EDATE('核心假设'!$B$5,2-1+'核心假设'!$B$31),SUM('融资租赁与资金缺口'!$M$5:$M$16)*$O6,0),IF(AK$4=EDATE('核心假设'!$B$5,3-1+'核心假设'!$B$31),SUM('融资租赁与资金缺口'!$M$5:$M$16)*$P6,0),IF(AK$4=EDATE('核心假设'!$B$5,4-1+'核心假设'!$B$31),SUM('融资租赁与资金缺口'!$M$5:$M$16)*$Q6,0),IF(AK$4=EDATE('核心假设'!$B$5,5-1+'核心假设'!$B$31),SUM('融资租赁与资金缺口'!$M$5:$M$16)*$R6,0),IF(AK$4=EDATE('核心假设'!$B$5,6-1+'核心假设'!$B$31),SUM('融资租赁与资金缺口'!$M$5:$M$16)*$S6,0),IF(AK$4=EDATE('核心假设'!$B$5,7-1+'核心假设'!$B$31),SUM('融资租赁与资金缺口'!$M$5:$M$16)*$T6,0),IF(AK$4=EDATE('核心假设'!$B$5,8-1+'核心假设'!$B$31),SUM('融资租赁与资金缺口'!$M$5:$M$16)*$U6,0),IF(AK$4=EDATE('核心假设'!$B$5,9-1+'核心假设'!$B$31),SUM('融资租赁与资金缺口'!$M$5:$M$16)*$V6,0),IF(AK$4=EDATE('核心假设'!$B$5,10-1+'核心假设'!$B$31),SUM('融资租赁与资金缺口'!$M$5:$M$16)*$W6,0),IF(AK$4=EDATE('核心假设'!$B$5,11-1+'核心假设'!$B$31),SUM('融资租赁与资金缺口'!$M$5:$M$16)*$X6,0),IF(AK$4=EDATE('核心假设'!$B$5,12-1+'核心假设'!$B$31),SUM('融资租赁与资金缺口'!$M$5:$M$16)*$Y6,0),IF(AK$4=EDATE('核心假设'!$B$5,13-1+'核心假设'!$B$31),SUM('融资租赁与资金缺口'!$M$5:$M$16)*$Z6,0),IF(AK$4=EDATE('核心假设'!$B$5,14-1+'核心假设'!$B$31),SUM('融资租赁与资金缺口'!$M$5:$M$16)*$AA6,0),IF(AK$4=EDATE('核心假设'!$B$5,15-1+'核心假设'!$B$31),SUM('融资租赁与资金缺口'!$M$5:$M$16)*$AB6,0),IF(AK$4=EDATE('核心假设'!$B$5,16-1+'核心假设'!$B$31),SUM('融资租赁与资金缺口'!$M$5:$M$16)*$AC6,0),IF(AK$4=EDATE('核心假设'!$B$5,17-1+'核心假设'!$B$31),SUM('融资租赁与资金缺口'!$M$5:$M$16)*$AD6,0))</x:f>
        <x:v>57627000</x:v>
      </x:c>
      <x:c r="AL15" s="28" t="n">
        <x:f>SUM(IF(AL$4=EDATE('核心假设'!$B$5,0-1+'核心假设'!$B$31),SUM('融资租赁与资金缺口'!$M$5:$M$16)*$M6,0),IF(AL$4=EDATE('核心假设'!$B$5,1-1+'核心假设'!$B$31),SUM('融资租赁与资金缺口'!$M$5:$M$16)*$N6,0),IF(AL$4=EDATE('核心假设'!$B$5,2-1+'核心假设'!$B$31),SUM('融资租赁与资金缺口'!$M$5:$M$16)*$O6,0),IF(AL$4=EDATE('核心假设'!$B$5,3-1+'核心假设'!$B$31),SUM('融资租赁与资金缺口'!$M$5:$M$16)*$P6,0),IF(AL$4=EDATE('核心假设'!$B$5,4-1+'核心假设'!$B$31),SUM('融资租赁与资金缺口'!$M$5:$M$16)*$Q6,0),IF(AL$4=EDATE('核心假设'!$B$5,5-1+'核心假设'!$B$31),SUM('融资租赁与资金缺口'!$M$5:$M$16)*$R6,0),IF(AL$4=EDATE('核心假设'!$B$5,6-1+'核心假设'!$B$31),SUM('融资租赁与资金缺口'!$M$5:$M$16)*$S6,0),IF(AL$4=EDATE('核心假设'!$B$5,7-1+'核心假设'!$B$31),SUM('融资租赁与资金缺口'!$M$5:$M$16)*$T6,0),IF(AL$4=EDATE('核心假设'!$B$5,8-1+'核心假设'!$B$31),SUM('融资租赁与资金缺口'!$M$5:$M$16)*$U6,0),IF(AL$4=EDATE('核心假设'!$B$5,9-1+'核心假设'!$B$31),SUM('融资租赁与资金缺口'!$M$5:$M$16)*$V6,0),IF(AL$4=EDATE('核心假设'!$B$5,10-1+'核心假设'!$B$31),SUM('融资租赁与资金缺口'!$M$5:$M$16)*$W6,0),IF(AL$4=EDATE('核心假设'!$B$5,11-1+'核心假设'!$B$31),SUM('融资租赁与资金缺口'!$M$5:$M$16)*$X6,0),IF(AL$4=EDATE('核心假设'!$B$5,12-1+'核心假设'!$B$31),SUM('融资租赁与资金缺口'!$M$5:$M$16)*$Y6,0),IF(AL$4=EDATE('核心假设'!$B$5,13-1+'核心假设'!$B$31),SUM('融资租赁与资金缺口'!$M$5:$M$16)*$Z6,0),IF(AL$4=EDATE('核心假设'!$B$5,14-1+'核心假设'!$B$31),SUM('融资租赁与资金缺口'!$M$5:$M$16)*$AA6,0),IF(AL$4=EDATE('核心假设'!$B$5,15-1+'核心假设'!$B$31),SUM('融资租赁与资金缺口'!$M$5:$M$16)*$AB6,0),IF(AL$4=EDATE('核心假设'!$B$5,16-1+'核心假设'!$B$31),SUM('融资租赁与资金缺口'!$M$5:$M$16)*$AC6,0),IF(AL$4=EDATE('核心假设'!$B$5,17-1+'核心假设'!$B$31),SUM('融资租赁与资金缺口'!$M$5:$M$16)*$AD6,0))</x:f>
        <x:v>64030000</x:v>
      </x:c>
      <x:c r="AM15" s="28" t="n">
        <x:f>SUM(IF(AM$4=EDATE('核心假设'!$B$5,0-1+'核心假设'!$B$31),SUM('融资租赁与资金缺口'!$M$5:$M$16)*$M6,0),IF(AM$4=EDATE('核心假设'!$B$5,1-1+'核心假设'!$B$31),SUM('融资租赁与资金缺口'!$M$5:$M$16)*$N6,0),IF(AM$4=EDATE('核心假设'!$B$5,2-1+'核心假设'!$B$31),SUM('融资租赁与资金缺口'!$M$5:$M$16)*$O6,0),IF(AM$4=EDATE('核心假设'!$B$5,3-1+'核心假设'!$B$31),SUM('融资租赁与资金缺口'!$M$5:$M$16)*$P6,0),IF(AM$4=EDATE('核心假设'!$B$5,4-1+'核心假设'!$B$31),SUM('融资租赁与资金缺口'!$M$5:$M$16)*$Q6,0),IF(AM$4=EDATE('核心假设'!$B$5,5-1+'核心假设'!$B$31),SUM('融资租赁与资金缺口'!$M$5:$M$16)*$R6,0),IF(AM$4=EDATE('核心假设'!$B$5,6-1+'核心假设'!$B$31),SUM('融资租赁与资金缺口'!$M$5:$M$16)*$S6,0),IF(AM$4=EDATE('核心假设'!$B$5,7-1+'核心假设'!$B$31),SUM('融资租赁与资金缺口'!$M$5:$M$16)*$T6,0),IF(AM$4=EDATE('核心假设'!$B$5,8-1+'核心假设'!$B$31),SUM('融资租赁与资金缺口'!$M$5:$M$16)*$U6,0),IF(AM$4=EDATE('核心假设'!$B$5,9-1+'核心假设'!$B$31),SUM('融资租赁与资金缺口'!$M$5:$M$16)*$V6,0),IF(AM$4=EDATE('核心假设'!$B$5,10-1+'核心假设'!$B$31),SUM('融资租赁与资金缺口'!$M$5:$M$16)*$W6,0),IF(AM$4=EDATE('核心假设'!$B$5,11-1+'核心假设'!$B$31),SUM('融资租赁与资金缺口'!$M$5:$M$16)*$X6,0),IF(AM$4=EDATE('核心假设'!$B$5,12-1+'核心假设'!$B$31),SUM('融资租赁与资金缺口'!$M$5:$M$16)*$Y6,0),IF(AM$4=EDATE('核心假设'!$B$5,13-1+'核心假设'!$B$31),SUM('融资租赁与资金缺口'!$M$5:$M$16)*$Z6,0),IF(AM$4=EDATE('核心假设'!$B$5,14-1+'核心假设'!$B$31),SUM('融资租赁与资金缺口'!$M$5:$M$16)*$AA6,0),IF(AM$4=EDATE('核心假设'!$B$5,15-1+'核心假设'!$B$31),SUM('融资租赁与资金缺口'!$M$5:$M$16)*$AB6,0),IF(AM$4=EDATE('核心假设'!$B$5,16-1+'核心假设'!$B$31),SUM('融资租赁与资金缺口'!$M$5:$M$16)*$AC6,0),IF(AM$4=EDATE('核心假设'!$B$5,17-1+'核心假设'!$B$31),SUM('融资租赁与资金缺口'!$M$5:$M$16)*$AD6,0))</x:f>
        <x:v>70433000</x:v>
      </x:c>
      <x:c r="AN15" s="28" t="n">
        <x:f>SUM(IF(AN$4=EDATE('核心假设'!$B$5,0-1+'核心假设'!$B$31),SUM('融资租赁与资金缺口'!$M$5:$M$16)*$M6,0),IF(AN$4=EDATE('核心假设'!$B$5,1-1+'核心假设'!$B$31),SUM('融资租赁与资金缺口'!$M$5:$M$16)*$N6,0),IF(AN$4=EDATE('核心假设'!$B$5,2-1+'核心假设'!$B$31),SUM('融资租赁与资金缺口'!$M$5:$M$16)*$O6,0),IF(AN$4=EDATE('核心假设'!$B$5,3-1+'核心假设'!$B$31),SUM('融资租赁与资金缺口'!$M$5:$M$16)*$P6,0),IF(AN$4=EDATE('核心假设'!$B$5,4-1+'核心假设'!$B$31),SUM('融资租赁与资金缺口'!$M$5:$M$16)*$Q6,0),IF(AN$4=EDATE('核心假设'!$B$5,5-1+'核心假设'!$B$31),SUM('融资租赁与资金缺口'!$M$5:$M$16)*$R6,0),IF(AN$4=EDATE('核心假设'!$B$5,6-1+'核心假设'!$B$31),SUM('融资租赁与资金缺口'!$M$5:$M$16)*$S6,0),IF(AN$4=EDATE('核心假设'!$B$5,7-1+'核心假设'!$B$31),SUM('融资租赁与资金缺口'!$M$5:$M$16)*$T6,0),IF(AN$4=EDATE('核心假设'!$B$5,8-1+'核心假设'!$B$31),SUM('融资租赁与资金缺口'!$M$5:$M$16)*$U6,0),IF(AN$4=EDATE('核心假设'!$B$5,9-1+'核心假设'!$B$31),SUM('融资租赁与资金缺口'!$M$5:$M$16)*$V6,0),IF(AN$4=EDATE('核心假设'!$B$5,10-1+'核心假设'!$B$31),SUM('融资租赁与资金缺口'!$M$5:$M$16)*$W6,0),IF(AN$4=EDATE('核心假设'!$B$5,11-1+'核心假设'!$B$31),SUM('融资租赁与资金缺口'!$M$5:$M$16)*$X6,0),IF(AN$4=EDATE('核心假设'!$B$5,12-1+'核心假设'!$B$31),SUM('融资租赁与资金缺口'!$M$5:$M$16)*$Y6,0),IF(AN$4=EDATE('核心假设'!$B$5,13-1+'核心假设'!$B$31),SUM('融资租赁与资金缺口'!$M$5:$M$16)*$Z6,0),IF(AN$4=EDATE('核心假设'!$B$5,14-1+'核心假设'!$B$31),SUM('融资租赁与资金缺口'!$M$5:$M$16)*$AA6,0),IF(AN$4=EDATE('核心假设'!$B$5,15-1+'核心假设'!$B$31),SUM('融资租赁与资金缺口'!$M$5:$M$16)*$AB6,0),IF(AN$4=EDATE('核心假设'!$B$5,16-1+'核心假设'!$B$31),SUM('融资租赁与资金缺口'!$M$5:$M$16)*$AC6,0),IF(AN$4=EDATE('核心假设'!$B$5,17-1+'核心假设'!$B$31),SUM('融资租赁与资金缺口'!$M$5:$M$16)*$AD6,0))</x:f>
        <x:v>70433000</x:v>
      </x:c>
      <x:c r="AO15" s="28" t="n">
        <x:f>SUM(IF(AO$4=EDATE('核心假设'!$B$5,0-1+'核心假设'!$B$31),SUM('融资租赁与资金缺口'!$M$5:$M$16)*$M6,0),IF(AO$4=EDATE('核心假设'!$B$5,1-1+'核心假设'!$B$31),SUM('融资租赁与资金缺口'!$M$5:$M$16)*$N6,0),IF(AO$4=EDATE('核心假设'!$B$5,2-1+'核心假设'!$B$31),SUM('融资租赁与资金缺口'!$M$5:$M$16)*$O6,0),IF(AO$4=EDATE('核心假设'!$B$5,3-1+'核心假设'!$B$31),SUM('融资租赁与资金缺口'!$M$5:$M$16)*$P6,0),IF(AO$4=EDATE('核心假设'!$B$5,4-1+'核心假设'!$B$31),SUM('融资租赁与资金缺口'!$M$5:$M$16)*$Q6,0),IF(AO$4=EDATE('核心假设'!$B$5,5-1+'核心假设'!$B$31),SUM('融资租赁与资金缺口'!$M$5:$M$16)*$R6,0),IF(AO$4=EDATE('核心假设'!$B$5,6-1+'核心假设'!$B$31),SUM('融资租赁与资金缺口'!$M$5:$M$16)*$S6,0),IF(AO$4=EDATE('核心假设'!$B$5,7-1+'核心假设'!$B$31),SUM('融资租赁与资金缺口'!$M$5:$M$16)*$T6,0),IF(AO$4=EDATE('核心假设'!$B$5,8-1+'核心假设'!$B$31),SUM('融资租赁与资金缺口'!$M$5:$M$16)*$U6,0),IF(AO$4=EDATE('核心假设'!$B$5,9-1+'核心假设'!$B$31),SUM('融资租赁与资金缺口'!$M$5:$M$16)*$V6,0),IF(AO$4=EDATE('核心假设'!$B$5,10-1+'核心假设'!$B$31),SUM('融资租赁与资金缺口'!$M$5:$M$16)*$W6,0),IF(AO$4=EDATE('核心假设'!$B$5,11-1+'核心假设'!$B$31),SUM('融资租赁与资金缺口'!$M$5:$M$16)*$X6,0),IF(AO$4=EDATE('核心假设'!$B$5,12-1+'核心假设'!$B$31),SUM('融资租赁与资金缺口'!$M$5:$M$16)*$Y6,0),IF(AO$4=EDATE('核心假设'!$B$5,13-1+'核心假设'!$B$31),SUM('融资租赁与资金缺口'!$M$5:$M$16)*$Z6,0),IF(AO$4=EDATE('核心假设'!$B$5,14-1+'核心假设'!$B$31),SUM('融资租赁与资金缺口'!$M$5:$M$16)*$AA6,0),IF(AO$4=EDATE('核心假设'!$B$5,15-1+'核心假设'!$B$31),SUM('融资租赁与资金缺口'!$M$5:$M$16)*$AB6,0),IF(AO$4=EDATE('核心假设'!$B$5,16-1+'核心假设'!$B$31),SUM('融资租赁与资金缺口'!$M$5:$M$16)*$AC6,0),IF(AO$4=EDATE('核心假设'!$B$5,17-1+'核心假设'!$B$31),SUM('融资租赁与资金缺口'!$M$5:$M$16)*$AD6,0))</x:f>
        <x:v>64030000</x:v>
      </x:c>
      <x:c r="AP15" s="28" t="n">
        <x:f>SUM(IF(AP$4=EDATE('核心假设'!$B$5,0-1+'核心假设'!$B$31),SUM('融资租赁与资金缺口'!$M$5:$M$16)*$M6,0),IF(AP$4=EDATE('核心假设'!$B$5,1-1+'核心假设'!$B$31),SUM('融资租赁与资金缺口'!$M$5:$M$16)*$N6,0),IF(AP$4=EDATE('核心假设'!$B$5,2-1+'核心假设'!$B$31),SUM('融资租赁与资金缺口'!$M$5:$M$16)*$O6,0),IF(AP$4=EDATE('核心假设'!$B$5,3-1+'核心假设'!$B$31),SUM('融资租赁与资金缺口'!$M$5:$M$16)*$P6,0),IF(AP$4=EDATE('核心假设'!$B$5,4-1+'核心假设'!$B$31),SUM('融资租赁与资金缺口'!$M$5:$M$16)*$Q6,0),IF(AP$4=EDATE('核心假设'!$B$5,5-1+'核心假设'!$B$31),SUM('融资租赁与资金缺口'!$M$5:$M$16)*$R6,0),IF(AP$4=EDATE('核心假设'!$B$5,6-1+'核心假设'!$B$31),SUM('融资租赁与资金缺口'!$M$5:$M$16)*$S6,0),IF(AP$4=EDATE('核心假设'!$B$5,7-1+'核心假设'!$B$31),SUM('融资租赁与资金缺口'!$M$5:$M$16)*$T6,0),IF(AP$4=EDATE('核心假设'!$B$5,8-1+'核心假设'!$B$31),SUM('融资租赁与资金缺口'!$M$5:$M$16)*$U6,0),IF(AP$4=EDATE('核心假设'!$B$5,9-1+'核心假设'!$B$31),SUM('融资租赁与资金缺口'!$M$5:$M$16)*$V6,0),IF(AP$4=EDATE('核心假设'!$B$5,10-1+'核心假设'!$B$31),SUM('融资租赁与资金缺口'!$M$5:$M$16)*$W6,0),IF(AP$4=EDATE('核心假设'!$B$5,11-1+'核心假设'!$B$31),SUM('融资租赁与资金缺口'!$M$5:$M$16)*$X6,0),IF(AP$4=EDATE('核心假设'!$B$5,12-1+'核心假设'!$B$31),SUM('融资租赁与资金缺口'!$M$5:$M$16)*$Y6,0),IF(AP$4=EDATE('核心假设'!$B$5,13-1+'核心假设'!$B$31),SUM('融资租赁与资金缺口'!$M$5:$M$16)*$Z6,0),IF(AP$4=EDATE('核心假设'!$B$5,14-1+'核心假设'!$B$31),SUM('融资租赁与资金缺口'!$M$5:$M$16)*$AA6,0),IF(AP$4=EDATE('核心假设'!$B$5,15-1+'核心假设'!$B$31),SUM('融资租赁与资金缺口'!$M$5:$M$16)*$AB6,0),IF(AP$4=EDATE('核心假设'!$B$5,16-1+'核心假设'!$B$31),SUM('融资租赁与资金缺口'!$M$5:$M$16)*$AC6,0),IF(AP$4=EDATE('核心假设'!$B$5,17-1+'核心假设'!$B$31),SUM('融资租赁与资金缺口'!$M$5:$M$16)*$AD6,0))</x:f>
        <x:v>57627000</x:v>
      </x:c>
      <x:c r="AQ15" s="28" t="n">
        <x:f>SUM(IF(AQ$4=EDATE('核心假设'!$B$5,0-1+'核心假设'!$B$31),SUM('融资租赁与资金缺口'!$M$5:$M$16)*$M6,0),IF(AQ$4=EDATE('核心假设'!$B$5,1-1+'核心假设'!$B$31),SUM('融资租赁与资金缺口'!$M$5:$M$16)*$N6,0),IF(AQ$4=EDATE('核心假设'!$B$5,2-1+'核心假设'!$B$31),SUM('融资租赁与资金缺口'!$M$5:$M$16)*$O6,0),IF(AQ$4=EDATE('核心假设'!$B$5,3-1+'核心假设'!$B$31),SUM('融资租赁与资金缺口'!$M$5:$M$16)*$P6,0),IF(AQ$4=EDATE('核心假设'!$B$5,4-1+'核心假设'!$B$31),SUM('融资租赁与资金缺口'!$M$5:$M$16)*$Q6,0),IF(AQ$4=EDATE('核心假设'!$B$5,5-1+'核心假设'!$B$31),SUM('融资租赁与资金缺口'!$M$5:$M$16)*$R6,0),IF(AQ$4=EDATE('核心假设'!$B$5,6-1+'核心假设'!$B$31),SUM('融资租赁与资金缺口'!$M$5:$M$16)*$S6,0),IF(AQ$4=EDATE('核心假设'!$B$5,7-1+'核心假设'!$B$31),SUM('融资租赁与资金缺口'!$M$5:$M$16)*$T6,0),IF(AQ$4=EDATE('核心假设'!$B$5,8-1+'核心假设'!$B$31),SUM('融资租赁与资金缺口'!$M$5:$M$16)*$U6,0),IF(AQ$4=EDATE('核心假设'!$B$5,9-1+'核心假设'!$B$31),SUM('融资租赁与资金缺口'!$M$5:$M$16)*$V6,0),IF(AQ$4=EDATE('核心假设'!$B$5,10-1+'核心假设'!$B$31),SUM('融资租赁与资金缺口'!$M$5:$M$16)*$W6,0),IF(AQ$4=EDATE('核心假设'!$B$5,11-1+'核心假设'!$B$31),SUM('融资租赁与资金缺口'!$M$5:$M$16)*$X6,0),IF(AQ$4=EDATE('核心假设'!$B$5,12-1+'核心假设'!$B$31),SUM('融资租赁与资金缺口'!$M$5:$M$16)*$Y6,0),IF(AQ$4=EDATE('核心假设'!$B$5,13-1+'核心假设'!$B$31),SUM('融资租赁与资金缺口'!$M$5:$M$16)*$Z6,0),IF(AQ$4=EDATE('核心假设'!$B$5,14-1+'核心假设'!$B$31),SUM('融资租赁与资金缺口'!$M$5:$M$16)*$AA6,0),IF(AQ$4=EDATE('核心假设'!$B$5,15-1+'核心假设'!$B$31),SUM('融资租赁与资金缺口'!$M$5:$M$16)*$AB6,0),IF(AQ$4=EDATE('核心假设'!$B$5,16-1+'核心假设'!$B$31),SUM('融资租赁与资金缺口'!$M$5:$M$16)*$AC6,0),IF(AQ$4=EDATE('核心假设'!$B$5,17-1+'核心假设'!$B$31),SUM('融资租赁与资金缺口'!$M$5:$M$16)*$AD6,0))</x:f>
        <x:v>51224000</x:v>
      </x:c>
      <x:c r="AR15" s="28" t="n">
        <x:f>SUM(IF(AR$4=EDATE('核心假设'!$B$5,0-1+'核心假设'!$B$31),SUM('融资租赁与资金缺口'!$M$5:$M$16)*$M6,0),IF(AR$4=EDATE('核心假设'!$B$5,1-1+'核心假设'!$B$31),SUM('融资租赁与资金缺口'!$M$5:$M$16)*$N6,0),IF(AR$4=EDATE('核心假设'!$B$5,2-1+'核心假设'!$B$31),SUM('融资租赁与资金缺口'!$M$5:$M$16)*$O6,0),IF(AR$4=EDATE('核心假设'!$B$5,3-1+'核心假设'!$B$31),SUM('融资租赁与资金缺口'!$M$5:$M$16)*$P6,0),IF(AR$4=EDATE('核心假设'!$B$5,4-1+'核心假设'!$B$31),SUM('融资租赁与资金缺口'!$M$5:$M$16)*$Q6,0),IF(AR$4=EDATE('核心假设'!$B$5,5-1+'核心假设'!$B$31),SUM('融资租赁与资金缺口'!$M$5:$M$16)*$R6,0),IF(AR$4=EDATE('核心假设'!$B$5,6-1+'核心假设'!$B$31),SUM('融资租赁与资金缺口'!$M$5:$M$16)*$S6,0),IF(AR$4=EDATE('核心假设'!$B$5,7-1+'核心假设'!$B$31),SUM('融资租赁与资金缺口'!$M$5:$M$16)*$T6,0),IF(AR$4=EDATE('核心假设'!$B$5,8-1+'核心假设'!$B$31),SUM('融资租赁与资金缺口'!$M$5:$M$16)*$U6,0),IF(AR$4=EDATE('核心假设'!$B$5,9-1+'核心假设'!$B$31),SUM('融资租赁与资金缺口'!$M$5:$M$16)*$V6,0),IF(AR$4=EDATE('核心假设'!$B$5,10-1+'核心假设'!$B$31),SUM('融资租赁与资金缺口'!$M$5:$M$16)*$W6,0),IF(AR$4=EDATE('核心假设'!$B$5,11-1+'核心假设'!$B$31),SUM('融资租赁与资金缺口'!$M$5:$M$16)*$X6,0),IF(AR$4=EDATE('核心假设'!$B$5,12-1+'核心假设'!$B$31),SUM('融资租赁与资金缺口'!$M$5:$M$16)*$Y6,0),IF(AR$4=EDATE('核心假设'!$B$5,13-1+'核心假设'!$B$31),SUM('融资租赁与资金缺口'!$M$5:$M$16)*$Z6,0),IF(AR$4=EDATE('核心假设'!$B$5,14-1+'核心假设'!$B$31),SUM('融资租赁与资金缺口'!$M$5:$M$16)*$AA6,0),IF(AR$4=EDATE('核心假设'!$B$5,15-1+'核心假设'!$B$31),SUM('融资租赁与资金缺口'!$M$5:$M$16)*$AB6,0),IF(AR$4=EDATE('核心假设'!$B$5,16-1+'核心假设'!$B$31),SUM('融资租赁与资金缺口'!$M$5:$M$16)*$AC6,0),IF(AR$4=EDATE('核心假设'!$B$5,17-1+'核心假设'!$B$31),SUM('融资租赁与资金缺口'!$M$5:$M$16)*$AD6,0))</x:f>
        <x:v>38418000</x:v>
      </x:c>
      <x:c r="AS15" s="28" t="n">
        <x:f>SUM(IF(AS$4=EDATE('核心假设'!$B$5,0-1+'核心假设'!$B$31),SUM('融资租赁与资金缺口'!$M$5:$M$16)*$M6,0),IF(AS$4=EDATE('核心假设'!$B$5,1-1+'核心假设'!$B$31),SUM('融资租赁与资金缺口'!$M$5:$M$16)*$N6,0),IF(AS$4=EDATE('核心假设'!$B$5,2-1+'核心假设'!$B$31),SUM('融资租赁与资金缺口'!$M$5:$M$16)*$O6,0),IF(AS$4=EDATE('核心假设'!$B$5,3-1+'核心假设'!$B$31),SUM('融资租赁与资金缺口'!$M$5:$M$16)*$P6,0),IF(AS$4=EDATE('核心假设'!$B$5,4-1+'核心假设'!$B$31),SUM('融资租赁与资金缺口'!$M$5:$M$16)*$Q6,0),IF(AS$4=EDATE('核心假设'!$B$5,5-1+'核心假设'!$B$31),SUM('融资租赁与资金缺口'!$M$5:$M$16)*$R6,0),IF(AS$4=EDATE('核心假设'!$B$5,6-1+'核心假设'!$B$31),SUM('融资租赁与资金缺口'!$M$5:$M$16)*$S6,0),IF(AS$4=EDATE('核心假设'!$B$5,7-1+'核心假设'!$B$31),SUM('融资租赁与资金缺口'!$M$5:$M$16)*$T6,0),IF(AS$4=EDATE('核心假设'!$B$5,8-1+'核心假设'!$B$31),SUM('融资租赁与资金缺口'!$M$5:$M$16)*$U6,0),IF(AS$4=EDATE('核心假设'!$B$5,9-1+'核心假设'!$B$31),SUM('融资租赁与资金缺口'!$M$5:$M$16)*$V6,0),IF(AS$4=EDATE('核心假设'!$B$5,10-1+'核心假设'!$B$31),SUM('融资租赁与资金缺口'!$M$5:$M$16)*$W6,0),IF(AS$4=EDATE('核心假设'!$B$5,11-1+'核心假设'!$B$31),SUM('融资租赁与资金缺口'!$M$5:$M$16)*$X6,0),IF(AS$4=EDATE('核心假设'!$B$5,12-1+'核心假设'!$B$31),SUM('融资租赁与资金缺口'!$M$5:$M$16)*$Y6,0),IF(AS$4=EDATE('核心假设'!$B$5,13-1+'核心假设'!$B$31),SUM('融资租赁与资金缺口'!$M$5:$M$16)*$Z6,0),IF(AS$4=EDATE('核心假设'!$B$5,14-1+'核心假设'!$B$31),SUM('融资租赁与资金缺口'!$M$5:$M$16)*$AA6,0),IF(AS$4=EDATE('核心假设'!$B$5,15-1+'核心假设'!$B$31),SUM('融资租赁与资金缺口'!$M$5:$M$16)*$AB6,0),IF(AS$4=EDATE('核心假设'!$B$5,16-1+'核心假设'!$B$31),SUM('融资租赁与资金缺口'!$M$5:$M$16)*$AC6,0),IF(AS$4=EDATE('核心假设'!$B$5,17-1+'核心假设'!$B$31),SUM('融资租赁与资金缺口'!$M$5:$M$16)*$AD6,0))</x:f>
        <x:v>0</x:v>
      </x:c>
      <x:c r="AT15" s="28" t="n">
        <x:f>SUM(IF(AT$4=EDATE('核心假设'!$B$5,0-1+'核心假设'!$B$31),SUM('融资租赁与资金缺口'!$M$5:$M$16)*$M6,0),IF(AT$4=EDATE('核心假设'!$B$5,1-1+'核心假设'!$B$31),SUM('融资租赁与资金缺口'!$M$5:$M$16)*$N6,0),IF(AT$4=EDATE('核心假设'!$B$5,2-1+'核心假设'!$B$31),SUM('融资租赁与资金缺口'!$M$5:$M$16)*$O6,0),IF(AT$4=EDATE('核心假设'!$B$5,3-1+'核心假设'!$B$31),SUM('融资租赁与资金缺口'!$M$5:$M$16)*$P6,0),IF(AT$4=EDATE('核心假设'!$B$5,4-1+'核心假设'!$B$31),SUM('融资租赁与资金缺口'!$M$5:$M$16)*$Q6,0),IF(AT$4=EDATE('核心假设'!$B$5,5-1+'核心假设'!$B$31),SUM('融资租赁与资金缺口'!$M$5:$M$16)*$R6,0),IF(AT$4=EDATE('核心假设'!$B$5,6-1+'核心假设'!$B$31),SUM('融资租赁与资金缺口'!$M$5:$M$16)*$S6,0),IF(AT$4=EDATE('核心假设'!$B$5,7-1+'核心假设'!$B$31),SUM('融资租赁与资金缺口'!$M$5:$M$16)*$T6,0),IF(AT$4=EDATE('核心假设'!$B$5,8-1+'核心假设'!$B$31),SUM('融资租赁与资金缺口'!$M$5:$M$16)*$U6,0),IF(AT$4=EDATE('核心假设'!$B$5,9-1+'核心假设'!$B$31),SUM('融资租赁与资金缺口'!$M$5:$M$16)*$V6,0),IF(AT$4=EDATE('核心假设'!$B$5,10-1+'核心假设'!$B$31),SUM('融资租赁与资金缺口'!$M$5:$M$16)*$W6,0),IF(AT$4=EDATE('核心假设'!$B$5,11-1+'核心假设'!$B$31),SUM('融资租赁与资金缺口'!$M$5:$M$16)*$X6,0),IF(AT$4=EDATE('核心假设'!$B$5,12-1+'核心假设'!$B$31),SUM('融资租赁与资金缺口'!$M$5:$M$16)*$Y6,0),IF(AT$4=EDATE('核心假设'!$B$5,13-1+'核心假设'!$B$31),SUM('融资租赁与资金缺口'!$M$5:$M$16)*$Z6,0),IF(AT$4=EDATE('核心假设'!$B$5,14-1+'核心假设'!$B$31),SUM('融资租赁与资金缺口'!$M$5:$M$16)*$AA6,0),IF(AT$4=EDATE('核心假设'!$B$5,15-1+'核心假设'!$B$31),SUM('融资租赁与资金缺口'!$M$5:$M$16)*$AB6,0),IF(AT$4=EDATE('核心假设'!$B$5,16-1+'核心假设'!$B$31),SUM('融资租赁与资金缺口'!$M$5:$M$16)*$AC6,0),IF(AT$4=EDATE('核心假设'!$B$5,17-1+'核心假设'!$B$31),SUM('融资租赁与资金缺口'!$M$5:$M$16)*$AD6,0))</x:f>
        <x:v>0</x:v>
      </x:c>
      <x:c r="AU15" s="28" t="n">
        <x:f>SUM(IF(AU$4=EDATE('核心假设'!$B$5,0-1+'核心假设'!$B$31),SUM('融资租赁与资金缺口'!$M$5:$M$16)*$M6,0),IF(AU$4=EDATE('核心假设'!$B$5,1-1+'核心假设'!$B$31),SUM('融资租赁与资金缺口'!$M$5:$M$16)*$N6,0),IF(AU$4=EDATE('核心假设'!$B$5,2-1+'核心假设'!$B$31),SUM('融资租赁与资金缺口'!$M$5:$M$16)*$O6,0),IF(AU$4=EDATE('核心假设'!$B$5,3-1+'核心假设'!$B$31),SUM('融资租赁与资金缺口'!$M$5:$M$16)*$P6,0),IF(AU$4=EDATE('核心假设'!$B$5,4-1+'核心假设'!$B$31),SUM('融资租赁与资金缺口'!$M$5:$M$16)*$Q6,0),IF(AU$4=EDATE('核心假设'!$B$5,5-1+'核心假设'!$B$31),SUM('融资租赁与资金缺口'!$M$5:$M$16)*$R6,0),IF(AU$4=EDATE('核心假设'!$B$5,6-1+'核心假设'!$B$31),SUM('融资租赁与资金缺口'!$M$5:$M$16)*$S6,0),IF(AU$4=EDATE('核心假设'!$B$5,7-1+'核心假设'!$B$31),SUM('融资租赁与资金缺口'!$M$5:$M$16)*$T6,0),IF(AU$4=EDATE('核心假设'!$B$5,8-1+'核心假设'!$B$31),SUM('融资租赁与资金缺口'!$M$5:$M$16)*$U6,0),IF(AU$4=EDATE('核心假设'!$B$5,9-1+'核心假设'!$B$31),SUM('融资租赁与资金缺口'!$M$5:$M$16)*$V6,0),IF(AU$4=EDATE('核心假设'!$B$5,10-1+'核心假设'!$B$31),SUM('融资租赁与资金缺口'!$M$5:$M$16)*$W6,0),IF(AU$4=EDATE('核心假设'!$B$5,11-1+'核心假设'!$B$31),SUM('融资租赁与资金缺口'!$M$5:$M$16)*$X6,0),IF(AU$4=EDATE('核心假设'!$B$5,12-1+'核心假设'!$B$31),SUM('融资租赁与资金缺口'!$M$5:$M$16)*$Y6,0),IF(AU$4=EDATE('核心假设'!$B$5,13-1+'核心假设'!$B$31),SUM('融资租赁与资金缺口'!$M$5:$M$16)*$Z6,0),IF(AU$4=EDATE('核心假设'!$B$5,14-1+'核心假设'!$B$31),SUM('融资租赁与资金缺口'!$M$5:$M$16)*$AA6,0),IF(AU$4=EDATE('核心假设'!$B$5,15-1+'核心假设'!$B$31),SUM('融资租赁与资金缺口'!$M$5:$M$16)*$AB6,0),IF(AU$4=EDATE('核心假设'!$B$5,16-1+'核心假设'!$B$31),SUM('融资租赁与资金缺口'!$M$5:$M$16)*$AC6,0),IF(AU$4=EDATE('核心假设'!$B$5,17-1+'核心假设'!$B$31),SUM('融资租赁与资金缺口'!$M$5:$M$16)*$AD6,0))</x:f>
        <x:v>0</x:v>
      </x:c>
      <x:c r="AV15" s="28" t="n">
        <x:f>SUM(IF(AV$4=EDATE('核心假设'!$B$5,0-1+'核心假设'!$B$31),SUM('融资租赁与资金缺口'!$M$5:$M$16)*$M6,0),IF(AV$4=EDATE('核心假设'!$B$5,1-1+'核心假设'!$B$31),SUM('融资租赁与资金缺口'!$M$5:$M$16)*$N6,0),IF(AV$4=EDATE('核心假设'!$B$5,2-1+'核心假设'!$B$31),SUM('融资租赁与资金缺口'!$M$5:$M$16)*$O6,0),IF(AV$4=EDATE('核心假设'!$B$5,3-1+'核心假设'!$B$31),SUM('融资租赁与资金缺口'!$M$5:$M$16)*$P6,0),IF(AV$4=EDATE('核心假设'!$B$5,4-1+'核心假设'!$B$31),SUM('融资租赁与资金缺口'!$M$5:$M$16)*$Q6,0),IF(AV$4=EDATE('核心假设'!$B$5,5-1+'核心假设'!$B$31),SUM('融资租赁与资金缺口'!$M$5:$M$16)*$R6,0),IF(AV$4=EDATE('核心假设'!$B$5,6-1+'核心假设'!$B$31),SUM('融资租赁与资金缺口'!$M$5:$M$16)*$S6,0),IF(AV$4=EDATE('核心假设'!$B$5,7-1+'核心假设'!$B$31),SUM('融资租赁与资金缺口'!$M$5:$M$16)*$T6,0),IF(AV$4=EDATE('核心假设'!$B$5,8-1+'核心假设'!$B$31),SUM('融资租赁与资金缺口'!$M$5:$M$16)*$U6,0),IF(AV$4=EDATE('核心假设'!$B$5,9-1+'核心假设'!$B$31),SUM('融资租赁与资金缺口'!$M$5:$M$16)*$V6,0),IF(AV$4=EDATE('核心假设'!$B$5,10-1+'核心假设'!$B$31),SUM('融资租赁与资金缺口'!$M$5:$M$16)*$W6,0),IF(AV$4=EDATE('核心假设'!$B$5,11-1+'核心假设'!$B$31),SUM('融资租赁与资金缺口'!$M$5:$M$16)*$X6,0),IF(AV$4=EDATE('核心假设'!$B$5,12-1+'核心假设'!$B$31),SUM('融资租赁与资金缺口'!$M$5:$M$16)*$Y6,0),IF(AV$4=EDATE('核心假设'!$B$5,13-1+'核心假设'!$B$31),SUM('融资租赁与资金缺口'!$M$5:$M$16)*$Z6,0),IF(AV$4=EDATE('核心假设'!$B$5,14-1+'核心假设'!$B$31),SUM('融资租赁与资金缺口'!$M$5:$M$16)*$AA6,0),IF(AV$4=EDATE('核心假设'!$B$5,15-1+'核心假设'!$B$31),SUM('融资租赁与资金缺口'!$M$5:$M$16)*$AB6,0),IF(AV$4=EDATE('核心假设'!$B$5,16-1+'核心假设'!$B$31),SUM('融资租赁与资金缺口'!$M$5:$M$16)*$AC6,0),IF(AV$4=EDATE('核心假设'!$B$5,17-1+'核心假设'!$B$31),SUM('融资租赁与资金缺口'!$M$5:$M$16)*$AD6,0))</x:f>
        <x:v>0</x:v>
      </x:c>
      <x:c r="AW15" s="28" t="n">
        <x:f>SUM(IF(AW$4=EDATE('核心假设'!$B$5,0-1+'核心假设'!$B$31),SUM('融资租赁与资金缺口'!$M$5:$M$16)*$M6,0),IF(AW$4=EDATE('核心假设'!$B$5,1-1+'核心假设'!$B$31),SUM('融资租赁与资金缺口'!$M$5:$M$16)*$N6,0),IF(AW$4=EDATE('核心假设'!$B$5,2-1+'核心假设'!$B$31),SUM('融资租赁与资金缺口'!$M$5:$M$16)*$O6,0),IF(AW$4=EDATE('核心假设'!$B$5,3-1+'核心假设'!$B$31),SUM('融资租赁与资金缺口'!$M$5:$M$16)*$P6,0),IF(AW$4=EDATE('核心假设'!$B$5,4-1+'核心假设'!$B$31),SUM('融资租赁与资金缺口'!$M$5:$M$16)*$Q6,0),IF(AW$4=EDATE('核心假设'!$B$5,5-1+'核心假设'!$B$31),SUM('融资租赁与资金缺口'!$M$5:$M$16)*$R6,0),IF(AW$4=EDATE('核心假设'!$B$5,6-1+'核心假设'!$B$31),SUM('融资租赁与资金缺口'!$M$5:$M$16)*$S6,0),IF(AW$4=EDATE('核心假设'!$B$5,7-1+'核心假设'!$B$31),SUM('融资租赁与资金缺口'!$M$5:$M$16)*$T6,0),IF(AW$4=EDATE('核心假设'!$B$5,8-1+'核心假设'!$B$31),SUM('融资租赁与资金缺口'!$M$5:$M$16)*$U6,0),IF(AW$4=EDATE('核心假设'!$B$5,9-1+'核心假设'!$B$31),SUM('融资租赁与资金缺口'!$M$5:$M$16)*$V6,0),IF(AW$4=EDATE('核心假设'!$B$5,10-1+'核心假设'!$B$31),SUM('融资租赁与资金缺口'!$M$5:$M$16)*$W6,0),IF(AW$4=EDATE('核心假设'!$B$5,11-1+'核心假设'!$B$31),SUM('融资租赁与资金缺口'!$M$5:$M$16)*$X6,0),IF(AW$4=EDATE('核心假设'!$B$5,12-1+'核心假设'!$B$31),SUM('融资租赁与资金缺口'!$M$5:$M$16)*$Y6,0),IF(AW$4=EDATE('核心假设'!$B$5,13-1+'核心假设'!$B$31),SUM('融资租赁与资金缺口'!$M$5:$M$16)*$Z6,0),IF(AW$4=EDATE('核心假设'!$B$5,14-1+'核心假设'!$B$31),SUM('融资租赁与资金缺口'!$M$5:$M$16)*$AA6,0),IF(AW$4=EDATE('核心假设'!$B$5,15-1+'核心假设'!$B$31),SUM('融资租赁与资金缺口'!$M$5:$M$16)*$AB6,0),IF(AW$4=EDATE('核心假设'!$B$5,16-1+'核心假设'!$B$31),SUM('融资租赁与资金缺口'!$M$5:$M$16)*$AC6,0),IF(AW$4=EDATE('核心假设'!$B$5,17-1+'核心假设'!$B$31),SUM('融资租赁与资金缺口'!$M$5:$M$16)*$AD6,0))</x:f>
        <x:v>0</x:v>
      </x:c>
      <x:c r="AX15" s="28" t="n">
        <x:f>SUM(IF(AX$4=EDATE('核心假设'!$B$5,0-1+'核心假设'!$B$31),SUM('融资租赁与资金缺口'!$M$5:$M$16)*$M6,0),IF(AX$4=EDATE('核心假设'!$B$5,1-1+'核心假设'!$B$31),SUM('融资租赁与资金缺口'!$M$5:$M$16)*$N6,0),IF(AX$4=EDATE('核心假设'!$B$5,2-1+'核心假设'!$B$31),SUM('融资租赁与资金缺口'!$M$5:$M$16)*$O6,0),IF(AX$4=EDATE('核心假设'!$B$5,3-1+'核心假设'!$B$31),SUM('融资租赁与资金缺口'!$M$5:$M$16)*$P6,0),IF(AX$4=EDATE('核心假设'!$B$5,4-1+'核心假设'!$B$31),SUM('融资租赁与资金缺口'!$M$5:$M$16)*$Q6,0),IF(AX$4=EDATE('核心假设'!$B$5,5-1+'核心假设'!$B$31),SUM('融资租赁与资金缺口'!$M$5:$M$16)*$R6,0),IF(AX$4=EDATE('核心假设'!$B$5,6-1+'核心假设'!$B$31),SUM('融资租赁与资金缺口'!$M$5:$M$16)*$S6,0),IF(AX$4=EDATE('核心假设'!$B$5,7-1+'核心假设'!$B$31),SUM('融资租赁与资金缺口'!$M$5:$M$16)*$T6,0),IF(AX$4=EDATE('核心假设'!$B$5,8-1+'核心假设'!$B$31),SUM('融资租赁与资金缺口'!$M$5:$M$16)*$U6,0),IF(AX$4=EDATE('核心假设'!$B$5,9-1+'核心假设'!$B$31),SUM('融资租赁与资金缺口'!$M$5:$M$16)*$V6,0),IF(AX$4=EDATE('核心假设'!$B$5,10-1+'核心假设'!$B$31),SUM('融资租赁与资金缺口'!$M$5:$M$16)*$W6,0),IF(AX$4=EDATE('核心假设'!$B$5,11-1+'核心假设'!$B$31),SUM('融资租赁与资金缺口'!$M$5:$M$16)*$X6,0),IF(AX$4=EDATE('核心假设'!$B$5,12-1+'核心假设'!$B$31),SUM('融资租赁与资金缺口'!$M$5:$M$16)*$Y6,0),IF(AX$4=EDATE('核心假设'!$B$5,13-1+'核心假设'!$B$31),SUM('融资租赁与资金缺口'!$M$5:$M$16)*$Z6,0),IF(AX$4=EDATE('核心假设'!$B$5,14-1+'核心假设'!$B$31),SUM('融资租赁与资金缺口'!$M$5:$M$16)*$AA6,0),IF(AX$4=EDATE('核心假设'!$B$5,15-1+'核心假设'!$B$31),SUM('融资租赁与资金缺口'!$M$5:$M$16)*$AB6,0),IF(AX$4=EDATE('核心假设'!$B$5,16-1+'核心假设'!$B$31),SUM('融资租赁与资金缺口'!$M$5:$M$16)*$AC6,0),IF(AX$4=EDATE('核心假设'!$B$5,17-1+'核心假设'!$B$31),SUM('融资租赁与资金缺口'!$M$5:$M$16)*$AD6,0))</x:f>
        <x:v>0</x:v>
      </x:c>
      <x:c r="AY15" s="28" t="n">
        <x:f>SUM(IF(AY$4=EDATE('核心假设'!$B$5,0-1+'核心假设'!$B$31),SUM('融资租赁与资金缺口'!$M$5:$M$16)*$M6,0),IF(AY$4=EDATE('核心假设'!$B$5,1-1+'核心假设'!$B$31),SUM('融资租赁与资金缺口'!$M$5:$M$16)*$N6,0),IF(AY$4=EDATE('核心假设'!$B$5,2-1+'核心假设'!$B$31),SUM('融资租赁与资金缺口'!$M$5:$M$16)*$O6,0),IF(AY$4=EDATE('核心假设'!$B$5,3-1+'核心假设'!$B$31),SUM('融资租赁与资金缺口'!$M$5:$M$16)*$P6,0),IF(AY$4=EDATE('核心假设'!$B$5,4-1+'核心假设'!$B$31),SUM('融资租赁与资金缺口'!$M$5:$M$16)*$Q6,0),IF(AY$4=EDATE('核心假设'!$B$5,5-1+'核心假设'!$B$31),SUM('融资租赁与资金缺口'!$M$5:$M$16)*$R6,0),IF(AY$4=EDATE('核心假设'!$B$5,6-1+'核心假设'!$B$31),SUM('融资租赁与资金缺口'!$M$5:$M$16)*$S6,0),IF(AY$4=EDATE('核心假设'!$B$5,7-1+'核心假设'!$B$31),SUM('融资租赁与资金缺口'!$M$5:$M$16)*$T6,0),IF(AY$4=EDATE('核心假设'!$B$5,8-1+'核心假设'!$B$31),SUM('融资租赁与资金缺口'!$M$5:$M$16)*$U6,0),IF(AY$4=EDATE('核心假设'!$B$5,9-1+'核心假设'!$B$31),SUM('融资租赁与资金缺口'!$M$5:$M$16)*$V6,0),IF(AY$4=EDATE('核心假设'!$B$5,10-1+'核心假设'!$B$31),SUM('融资租赁与资金缺口'!$M$5:$M$16)*$W6,0),IF(AY$4=EDATE('核心假设'!$B$5,11-1+'核心假设'!$B$31),SUM('融资租赁与资金缺口'!$M$5:$M$16)*$X6,0),IF(AY$4=EDATE('核心假设'!$B$5,12-1+'核心假设'!$B$31),SUM('融资租赁与资金缺口'!$M$5:$M$16)*$Y6,0),IF(AY$4=EDATE('核心假设'!$B$5,13-1+'核心假设'!$B$31),SUM('融资租赁与资金缺口'!$M$5:$M$16)*$Z6,0),IF(AY$4=EDATE('核心假设'!$B$5,14-1+'核心假设'!$B$31),SUM('融资租赁与资金缺口'!$M$5:$M$16)*$AA6,0),IF(AY$4=EDATE('核心假设'!$B$5,15-1+'核心假设'!$B$31),SUM('融资租赁与资金缺口'!$M$5:$M$16)*$AB6,0),IF(AY$4=EDATE('核心假设'!$B$5,16-1+'核心假设'!$B$31),SUM('融资租赁与资金缺口'!$M$5:$M$16)*$AC6,0),IF(AY$4=EDATE('核心假设'!$B$5,17-1+'核心假设'!$B$31),SUM('融资租赁与资金缺口'!$M$5:$M$16)*$AD6,0))</x:f>
        <x:v>0</x:v>
      </x:c>
      <x:c r="AZ15" s="28" t="n">
        <x:f>SUM(IF(AZ$4=EDATE('核心假设'!$B$5,0-1+'核心假设'!$B$31),SUM('融资租赁与资金缺口'!$M$5:$M$16)*$M6,0),IF(AZ$4=EDATE('核心假设'!$B$5,1-1+'核心假设'!$B$31),SUM('融资租赁与资金缺口'!$M$5:$M$16)*$N6,0),IF(AZ$4=EDATE('核心假设'!$B$5,2-1+'核心假设'!$B$31),SUM('融资租赁与资金缺口'!$M$5:$M$16)*$O6,0),IF(AZ$4=EDATE('核心假设'!$B$5,3-1+'核心假设'!$B$31),SUM('融资租赁与资金缺口'!$M$5:$M$16)*$P6,0),IF(AZ$4=EDATE('核心假设'!$B$5,4-1+'核心假设'!$B$31),SUM('融资租赁与资金缺口'!$M$5:$M$16)*$Q6,0),IF(AZ$4=EDATE('核心假设'!$B$5,5-1+'核心假设'!$B$31),SUM('融资租赁与资金缺口'!$M$5:$M$16)*$R6,0),IF(AZ$4=EDATE('核心假设'!$B$5,6-1+'核心假设'!$B$31),SUM('融资租赁与资金缺口'!$M$5:$M$16)*$S6,0),IF(AZ$4=EDATE('核心假设'!$B$5,7-1+'核心假设'!$B$31),SUM('融资租赁与资金缺口'!$M$5:$M$16)*$T6,0),IF(AZ$4=EDATE('核心假设'!$B$5,8-1+'核心假设'!$B$31),SUM('融资租赁与资金缺口'!$M$5:$M$16)*$U6,0),IF(AZ$4=EDATE('核心假设'!$B$5,9-1+'核心假设'!$B$31),SUM('融资租赁与资金缺口'!$M$5:$M$16)*$V6,0),IF(AZ$4=EDATE('核心假设'!$B$5,10-1+'核心假设'!$B$31),SUM('融资租赁与资金缺口'!$M$5:$M$16)*$W6,0),IF(AZ$4=EDATE('核心假设'!$B$5,11-1+'核心假设'!$B$31),SUM('融资租赁与资金缺口'!$M$5:$M$16)*$X6,0),IF(AZ$4=EDATE('核心假设'!$B$5,12-1+'核心假设'!$B$31),SUM('融资租赁与资金缺口'!$M$5:$M$16)*$Y6,0),IF(AZ$4=EDATE('核心假设'!$B$5,13-1+'核心假设'!$B$31),SUM('融资租赁与资金缺口'!$M$5:$M$16)*$Z6,0),IF(AZ$4=EDATE('核心假设'!$B$5,14-1+'核心假设'!$B$31),SUM('融资租赁与资金缺口'!$M$5:$M$16)*$AA6,0),IF(AZ$4=EDATE('核心假设'!$B$5,15-1+'核心假设'!$B$31),SUM('融资租赁与资金缺口'!$M$5:$M$16)*$AB6,0),IF(AZ$4=EDATE('核心假设'!$B$5,16-1+'核心假设'!$B$31),SUM('融资租赁与资金缺口'!$M$5:$M$16)*$AC6,0),IF(AZ$4=EDATE('核心假设'!$B$5,17-1+'核心假设'!$B$31),SUM('融资租赁与资金缺口'!$M$5:$M$16)*$AD6,0))</x:f>
        <x:v>0</x:v>
      </x:c>
      <x:c r="BA15" s="28" t="n">
        <x:f>SUM(IF(BA$4=EDATE('核心假设'!$B$5,0-1+'核心假设'!$B$31),SUM('融资租赁与资金缺口'!$M$5:$M$16)*$M6,0),IF(BA$4=EDATE('核心假设'!$B$5,1-1+'核心假设'!$B$31),SUM('融资租赁与资金缺口'!$M$5:$M$16)*$N6,0),IF(BA$4=EDATE('核心假设'!$B$5,2-1+'核心假设'!$B$31),SUM('融资租赁与资金缺口'!$M$5:$M$16)*$O6,0),IF(BA$4=EDATE('核心假设'!$B$5,3-1+'核心假设'!$B$31),SUM('融资租赁与资金缺口'!$M$5:$M$16)*$P6,0),IF(BA$4=EDATE('核心假设'!$B$5,4-1+'核心假设'!$B$31),SUM('融资租赁与资金缺口'!$M$5:$M$16)*$Q6,0),IF(BA$4=EDATE('核心假设'!$B$5,5-1+'核心假设'!$B$31),SUM('融资租赁与资金缺口'!$M$5:$M$16)*$R6,0),IF(BA$4=EDATE('核心假设'!$B$5,6-1+'核心假设'!$B$31),SUM('融资租赁与资金缺口'!$M$5:$M$16)*$S6,0),IF(BA$4=EDATE('核心假设'!$B$5,7-1+'核心假设'!$B$31),SUM('融资租赁与资金缺口'!$M$5:$M$16)*$T6,0),IF(BA$4=EDATE('核心假设'!$B$5,8-1+'核心假设'!$B$31),SUM('融资租赁与资金缺口'!$M$5:$M$16)*$U6,0),IF(BA$4=EDATE('核心假设'!$B$5,9-1+'核心假设'!$B$31),SUM('融资租赁与资金缺口'!$M$5:$M$16)*$V6,0),IF(BA$4=EDATE('核心假设'!$B$5,10-1+'核心假设'!$B$31),SUM('融资租赁与资金缺口'!$M$5:$M$16)*$W6,0),IF(BA$4=EDATE('核心假设'!$B$5,11-1+'核心假设'!$B$31),SUM('融资租赁与资金缺口'!$M$5:$M$16)*$X6,0),IF(BA$4=EDATE('核心假设'!$B$5,12-1+'核心假设'!$B$31),SUM('融资租赁与资金缺口'!$M$5:$M$16)*$Y6,0),IF(BA$4=EDATE('核心假设'!$B$5,13-1+'核心假设'!$B$31),SUM('融资租赁与资金缺口'!$M$5:$M$16)*$Z6,0),IF(BA$4=EDATE('核心假设'!$B$5,14-1+'核心假设'!$B$31),SUM('融资租赁与资金缺口'!$M$5:$M$16)*$AA6,0),IF(BA$4=EDATE('核心假设'!$B$5,15-1+'核心假设'!$B$31),SUM('融资租赁与资金缺口'!$M$5:$M$16)*$AB6,0),IF(BA$4=EDATE('核心假设'!$B$5,16-1+'核心假设'!$B$31),SUM('融资租赁与资金缺口'!$M$5:$M$16)*$AC6,0),IF(BA$4=EDATE('核心假设'!$B$5,17-1+'核心假设'!$B$31),SUM('融资租赁与资金缺口'!$M$5:$M$16)*$AD6,0))</x:f>
        <x:v>0</x:v>
      </x:c>
      <x:c r="BB15" s="28" t="n">
        <x:f>SUM(IF(BB$4=EDATE('核心假设'!$B$5,0-1+'核心假设'!$B$31),SUM('融资租赁与资金缺口'!$M$5:$M$16)*$M6,0),IF(BB$4=EDATE('核心假设'!$B$5,1-1+'核心假设'!$B$31),SUM('融资租赁与资金缺口'!$M$5:$M$16)*$N6,0),IF(BB$4=EDATE('核心假设'!$B$5,2-1+'核心假设'!$B$31),SUM('融资租赁与资金缺口'!$M$5:$M$16)*$O6,0),IF(BB$4=EDATE('核心假设'!$B$5,3-1+'核心假设'!$B$31),SUM('融资租赁与资金缺口'!$M$5:$M$16)*$P6,0),IF(BB$4=EDATE('核心假设'!$B$5,4-1+'核心假设'!$B$31),SUM('融资租赁与资金缺口'!$M$5:$M$16)*$Q6,0),IF(BB$4=EDATE('核心假设'!$B$5,5-1+'核心假设'!$B$31),SUM('融资租赁与资金缺口'!$M$5:$M$16)*$R6,0),IF(BB$4=EDATE('核心假设'!$B$5,6-1+'核心假设'!$B$31),SUM('融资租赁与资金缺口'!$M$5:$M$16)*$S6,0),IF(BB$4=EDATE('核心假设'!$B$5,7-1+'核心假设'!$B$31),SUM('融资租赁与资金缺口'!$M$5:$M$16)*$T6,0),IF(BB$4=EDATE('核心假设'!$B$5,8-1+'核心假设'!$B$31),SUM('融资租赁与资金缺口'!$M$5:$M$16)*$U6,0),IF(BB$4=EDATE('核心假设'!$B$5,9-1+'核心假设'!$B$31),SUM('融资租赁与资金缺口'!$M$5:$M$16)*$V6,0),IF(BB$4=EDATE('核心假设'!$B$5,10-1+'核心假设'!$B$31),SUM('融资租赁与资金缺口'!$M$5:$M$16)*$W6,0),IF(BB$4=EDATE('核心假设'!$B$5,11-1+'核心假设'!$B$31),SUM('融资租赁与资金缺口'!$M$5:$M$16)*$X6,0),IF(BB$4=EDATE('核心假设'!$B$5,12-1+'核心假设'!$B$31),SUM('融资租赁与资金缺口'!$M$5:$M$16)*$Y6,0),IF(BB$4=EDATE('核心假设'!$B$5,13-1+'核心假设'!$B$31),SUM('融资租赁与资金缺口'!$M$5:$M$16)*$Z6,0),IF(BB$4=EDATE('核心假设'!$B$5,14-1+'核心假设'!$B$31),SUM('融资租赁与资金缺口'!$M$5:$M$16)*$AA6,0),IF(BB$4=EDATE('核心假设'!$B$5,15-1+'核心假设'!$B$31),SUM('融资租赁与资金缺口'!$M$5:$M$16)*$AB6,0),IF(BB$4=EDATE('核心假设'!$B$5,16-1+'核心假设'!$B$31),SUM('融资租赁与资金缺口'!$M$5:$M$16)*$AC6,0),IF(BB$4=EDATE('核心假设'!$B$5,17-1+'核心假设'!$B$31),SUM('融资租赁与资金缺口'!$M$5:$M$16)*$AD6,0))</x:f>
        <x:v>0</x:v>
      </x:c>
      <x:c r="BC15" s="28" t="n">
        <x:f>SUM(IF(BC$4=EDATE('核心假设'!$B$5,0-1+'核心假设'!$B$31),SUM('融资租赁与资金缺口'!$M$5:$M$16)*$M6,0),IF(BC$4=EDATE('核心假设'!$B$5,1-1+'核心假设'!$B$31),SUM('融资租赁与资金缺口'!$M$5:$M$16)*$N6,0),IF(BC$4=EDATE('核心假设'!$B$5,2-1+'核心假设'!$B$31),SUM('融资租赁与资金缺口'!$M$5:$M$16)*$O6,0),IF(BC$4=EDATE('核心假设'!$B$5,3-1+'核心假设'!$B$31),SUM('融资租赁与资金缺口'!$M$5:$M$16)*$P6,0),IF(BC$4=EDATE('核心假设'!$B$5,4-1+'核心假设'!$B$31),SUM('融资租赁与资金缺口'!$M$5:$M$16)*$Q6,0),IF(BC$4=EDATE('核心假设'!$B$5,5-1+'核心假设'!$B$31),SUM('融资租赁与资金缺口'!$M$5:$M$16)*$R6,0),IF(BC$4=EDATE('核心假设'!$B$5,6-1+'核心假设'!$B$31),SUM('融资租赁与资金缺口'!$M$5:$M$16)*$S6,0),IF(BC$4=EDATE('核心假设'!$B$5,7-1+'核心假设'!$B$31),SUM('融资租赁与资金缺口'!$M$5:$M$16)*$T6,0),IF(BC$4=EDATE('核心假设'!$B$5,8-1+'核心假设'!$B$31),SUM('融资租赁与资金缺口'!$M$5:$M$16)*$U6,0),IF(BC$4=EDATE('核心假设'!$B$5,9-1+'核心假设'!$B$31),SUM('融资租赁与资金缺口'!$M$5:$M$16)*$V6,0),IF(BC$4=EDATE('核心假设'!$B$5,10-1+'核心假设'!$B$31),SUM('融资租赁与资金缺口'!$M$5:$M$16)*$W6,0),IF(BC$4=EDATE('核心假设'!$B$5,11-1+'核心假设'!$B$31),SUM('融资租赁与资金缺口'!$M$5:$M$16)*$X6,0),IF(BC$4=EDATE('核心假设'!$B$5,12-1+'核心假设'!$B$31),SUM('融资租赁与资金缺口'!$M$5:$M$16)*$Y6,0),IF(BC$4=EDATE('核心假设'!$B$5,13-1+'核心假设'!$B$31),SUM('融资租赁与资金缺口'!$M$5:$M$16)*$Z6,0),IF(BC$4=EDATE('核心假设'!$B$5,14-1+'核心假设'!$B$31),SUM('融资租赁与资金缺口'!$M$5:$M$16)*$AA6,0),IF(BC$4=EDATE('核心假设'!$B$5,15-1+'核心假设'!$B$31),SUM('融资租赁与资金缺口'!$M$5:$M$16)*$AB6,0),IF(BC$4=EDATE('核心假设'!$B$5,16-1+'核心假设'!$B$31),SUM('融资租赁与资金缺口'!$M$5:$M$16)*$AC6,0),IF(BC$4=EDATE('核心假设'!$B$5,17-1+'核心假设'!$B$31),SUM('融资租赁与资金缺口'!$M$5:$M$16)*$AD6,0))</x:f>
        <x:v>0</x:v>
      </x:c>
      <x:c r="BD15" s="28" t="n">
        <x:f>SUM(IF(BD$4=EDATE('核心假设'!$B$5,0-1+'核心假设'!$B$31),SUM('融资租赁与资金缺口'!$M$5:$M$16)*$M6,0),IF(BD$4=EDATE('核心假设'!$B$5,1-1+'核心假设'!$B$31),SUM('融资租赁与资金缺口'!$M$5:$M$16)*$N6,0),IF(BD$4=EDATE('核心假设'!$B$5,2-1+'核心假设'!$B$31),SUM('融资租赁与资金缺口'!$M$5:$M$16)*$O6,0),IF(BD$4=EDATE('核心假设'!$B$5,3-1+'核心假设'!$B$31),SUM('融资租赁与资金缺口'!$M$5:$M$16)*$P6,0),IF(BD$4=EDATE('核心假设'!$B$5,4-1+'核心假设'!$B$31),SUM('融资租赁与资金缺口'!$M$5:$M$16)*$Q6,0),IF(BD$4=EDATE('核心假设'!$B$5,5-1+'核心假设'!$B$31),SUM('融资租赁与资金缺口'!$M$5:$M$16)*$R6,0),IF(BD$4=EDATE('核心假设'!$B$5,6-1+'核心假设'!$B$31),SUM('融资租赁与资金缺口'!$M$5:$M$16)*$S6,0),IF(BD$4=EDATE('核心假设'!$B$5,7-1+'核心假设'!$B$31),SUM('融资租赁与资金缺口'!$M$5:$M$16)*$T6,0),IF(BD$4=EDATE('核心假设'!$B$5,8-1+'核心假设'!$B$31),SUM('融资租赁与资金缺口'!$M$5:$M$16)*$U6,0),IF(BD$4=EDATE('核心假设'!$B$5,9-1+'核心假设'!$B$31),SUM('融资租赁与资金缺口'!$M$5:$M$16)*$V6,0),IF(BD$4=EDATE('核心假设'!$B$5,10-1+'核心假设'!$B$31),SUM('融资租赁与资金缺口'!$M$5:$M$16)*$W6,0),IF(BD$4=EDATE('核心假设'!$B$5,11-1+'核心假设'!$B$31),SUM('融资租赁与资金缺口'!$M$5:$M$16)*$X6,0),IF(BD$4=EDATE('核心假设'!$B$5,12-1+'核心假设'!$B$31),SUM('融资租赁与资金缺口'!$M$5:$M$16)*$Y6,0),IF(BD$4=EDATE('核心假设'!$B$5,13-1+'核心假设'!$B$31),SUM('融资租赁与资金缺口'!$M$5:$M$16)*$Z6,0),IF(BD$4=EDATE('核心假设'!$B$5,14-1+'核心假设'!$B$31),SUM('融资租赁与资金缺口'!$M$5:$M$16)*$AA6,0),IF(BD$4=EDATE('核心假设'!$B$5,15-1+'核心假设'!$B$31),SUM('融资租赁与资金缺口'!$M$5:$M$16)*$AB6,0),IF(BD$4=EDATE('核心假设'!$B$5,16-1+'核心假设'!$B$31),SUM('融资租赁与资金缺口'!$M$5:$M$16)*$AC6,0),IF(BD$4=EDATE('核心假设'!$B$5,17-1+'核心假设'!$B$31),SUM('融资租赁与资金缺口'!$M$5:$M$16)*$AD6,0))</x:f>
        <x:v>0</x:v>
      </x:c>
      <x:c r="BE15" s="28" t="n">
        <x:f>SUM(IF(BE$4=EDATE('核心假设'!$B$5,0-1+'核心假设'!$B$31),SUM('融资租赁与资金缺口'!$M$5:$M$16)*$M6,0),IF(BE$4=EDATE('核心假设'!$B$5,1-1+'核心假设'!$B$31),SUM('融资租赁与资金缺口'!$M$5:$M$16)*$N6,0),IF(BE$4=EDATE('核心假设'!$B$5,2-1+'核心假设'!$B$31),SUM('融资租赁与资金缺口'!$M$5:$M$16)*$O6,0),IF(BE$4=EDATE('核心假设'!$B$5,3-1+'核心假设'!$B$31),SUM('融资租赁与资金缺口'!$M$5:$M$16)*$P6,0),IF(BE$4=EDATE('核心假设'!$B$5,4-1+'核心假设'!$B$31),SUM('融资租赁与资金缺口'!$M$5:$M$16)*$Q6,0),IF(BE$4=EDATE('核心假设'!$B$5,5-1+'核心假设'!$B$31),SUM('融资租赁与资金缺口'!$M$5:$M$16)*$R6,0),IF(BE$4=EDATE('核心假设'!$B$5,6-1+'核心假设'!$B$31),SUM('融资租赁与资金缺口'!$M$5:$M$16)*$S6,0),IF(BE$4=EDATE('核心假设'!$B$5,7-1+'核心假设'!$B$31),SUM('融资租赁与资金缺口'!$M$5:$M$16)*$T6,0),IF(BE$4=EDATE('核心假设'!$B$5,8-1+'核心假设'!$B$31),SUM('融资租赁与资金缺口'!$M$5:$M$16)*$U6,0),IF(BE$4=EDATE('核心假设'!$B$5,9-1+'核心假设'!$B$31),SUM('融资租赁与资金缺口'!$M$5:$M$16)*$V6,0),IF(BE$4=EDATE('核心假设'!$B$5,10-1+'核心假设'!$B$31),SUM('融资租赁与资金缺口'!$M$5:$M$16)*$W6,0),IF(BE$4=EDATE('核心假设'!$B$5,11-1+'核心假设'!$B$31),SUM('融资租赁与资金缺口'!$M$5:$M$16)*$X6,0),IF(BE$4=EDATE('核心假设'!$B$5,12-1+'核心假设'!$B$31),SUM('融资租赁与资金缺口'!$M$5:$M$16)*$Y6,0),IF(BE$4=EDATE('核心假设'!$B$5,13-1+'核心假设'!$B$31),SUM('融资租赁与资金缺口'!$M$5:$M$16)*$Z6,0),IF(BE$4=EDATE('核心假设'!$B$5,14-1+'核心假设'!$B$31),SUM('融资租赁与资金缺口'!$M$5:$M$16)*$AA6,0),IF(BE$4=EDATE('核心假设'!$B$5,15-1+'核心假设'!$B$31),SUM('融资租赁与资金缺口'!$M$5:$M$16)*$AB6,0),IF(BE$4=EDATE('核心假设'!$B$5,16-1+'核心假设'!$B$31),SUM('融资租赁与资金缺口'!$M$5:$M$16)*$AC6,0),IF(BE$4=EDATE('核心假设'!$B$5,17-1+'核心假设'!$B$31),SUM('融资租赁与资金缺口'!$M$5:$M$16)*$AD6,0))</x:f>
        <x:v>0</x:v>
      </x:c>
      <x:c r="BF15" s="28" t="n">
        <x:f>SUM(IF(BF$4=EDATE('核心假设'!$B$5,0-1+'核心假设'!$B$31),SUM('融资租赁与资金缺口'!$M$5:$M$16)*$M6,0),IF(BF$4=EDATE('核心假设'!$B$5,1-1+'核心假设'!$B$31),SUM('融资租赁与资金缺口'!$M$5:$M$16)*$N6,0),IF(BF$4=EDATE('核心假设'!$B$5,2-1+'核心假设'!$B$31),SUM('融资租赁与资金缺口'!$M$5:$M$16)*$O6,0),IF(BF$4=EDATE('核心假设'!$B$5,3-1+'核心假设'!$B$31),SUM('融资租赁与资金缺口'!$M$5:$M$16)*$P6,0),IF(BF$4=EDATE('核心假设'!$B$5,4-1+'核心假设'!$B$31),SUM('融资租赁与资金缺口'!$M$5:$M$16)*$Q6,0),IF(BF$4=EDATE('核心假设'!$B$5,5-1+'核心假设'!$B$31),SUM('融资租赁与资金缺口'!$M$5:$M$16)*$R6,0),IF(BF$4=EDATE('核心假设'!$B$5,6-1+'核心假设'!$B$31),SUM('融资租赁与资金缺口'!$M$5:$M$16)*$S6,0),IF(BF$4=EDATE('核心假设'!$B$5,7-1+'核心假设'!$B$31),SUM('融资租赁与资金缺口'!$M$5:$M$16)*$T6,0),IF(BF$4=EDATE('核心假设'!$B$5,8-1+'核心假设'!$B$31),SUM('融资租赁与资金缺口'!$M$5:$M$16)*$U6,0),IF(BF$4=EDATE('核心假设'!$B$5,9-1+'核心假设'!$B$31),SUM('融资租赁与资金缺口'!$M$5:$M$16)*$V6,0),IF(BF$4=EDATE('核心假设'!$B$5,10-1+'核心假设'!$B$31),SUM('融资租赁与资金缺口'!$M$5:$M$16)*$W6,0),IF(BF$4=EDATE('核心假设'!$B$5,11-1+'核心假设'!$B$31),SUM('融资租赁与资金缺口'!$M$5:$M$16)*$X6,0),IF(BF$4=EDATE('核心假设'!$B$5,12-1+'核心假设'!$B$31),SUM('融资租赁与资金缺口'!$M$5:$M$16)*$Y6,0),IF(BF$4=EDATE('核心假设'!$B$5,13-1+'核心假设'!$B$31),SUM('融资租赁与资金缺口'!$M$5:$M$16)*$Z6,0),IF(BF$4=EDATE('核心假设'!$B$5,14-1+'核心假设'!$B$31),SUM('融资租赁与资金缺口'!$M$5:$M$16)*$AA6,0),IF(BF$4=EDATE('核心假设'!$B$5,15-1+'核心假设'!$B$31),SUM('融资租赁与资金缺口'!$M$5:$M$16)*$AB6,0),IF(BF$4=EDATE('核心假设'!$B$5,16-1+'核心假设'!$B$31),SUM('融资租赁与资金缺口'!$M$5:$M$16)*$AC6,0),IF(BF$4=EDATE('核心假设'!$B$5,17-1+'核心假设'!$B$31),SUM('融资租赁与资金缺口'!$M$5:$M$16)*$AD6,0))</x:f>
        <x:v>0</x:v>
      </x:c>
      <x:c r="BG15" s="28" t="n">
        <x:f>SUM(IF(BG$4=EDATE('核心假设'!$B$5,0-1+'核心假设'!$B$31),SUM('融资租赁与资金缺口'!$M$5:$M$16)*$M6,0),IF(BG$4=EDATE('核心假设'!$B$5,1-1+'核心假设'!$B$31),SUM('融资租赁与资金缺口'!$M$5:$M$16)*$N6,0),IF(BG$4=EDATE('核心假设'!$B$5,2-1+'核心假设'!$B$31),SUM('融资租赁与资金缺口'!$M$5:$M$16)*$O6,0),IF(BG$4=EDATE('核心假设'!$B$5,3-1+'核心假设'!$B$31),SUM('融资租赁与资金缺口'!$M$5:$M$16)*$P6,0),IF(BG$4=EDATE('核心假设'!$B$5,4-1+'核心假设'!$B$31),SUM('融资租赁与资金缺口'!$M$5:$M$16)*$Q6,0),IF(BG$4=EDATE('核心假设'!$B$5,5-1+'核心假设'!$B$31),SUM('融资租赁与资金缺口'!$M$5:$M$16)*$R6,0),IF(BG$4=EDATE('核心假设'!$B$5,6-1+'核心假设'!$B$31),SUM('融资租赁与资金缺口'!$M$5:$M$16)*$S6,0),IF(BG$4=EDATE('核心假设'!$B$5,7-1+'核心假设'!$B$31),SUM('融资租赁与资金缺口'!$M$5:$M$16)*$T6,0),IF(BG$4=EDATE('核心假设'!$B$5,8-1+'核心假设'!$B$31),SUM('融资租赁与资金缺口'!$M$5:$M$16)*$U6,0),IF(BG$4=EDATE('核心假设'!$B$5,9-1+'核心假设'!$B$31),SUM('融资租赁与资金缺口'!$M$5:$M$16)*$V6,0),IF(BG$4=EDATE('核心假设'!$B$5,10-1+'核心假设'!$B$31),SUM('融资租赁与资金缺口'!$M$5:$M$16)*$W6,0),IF(BG$4=EDATE('核心假设'!$B$5,11-1+'核心假设'!$B$31),SUM('融资租赁与资金缺口'!$M$5:$M$16)*$X6,0),IF(BG$4=EDATE('核心假设'!$B$5,12-1+'核心假设'!$B$31),SUM('融资租赁与资金缺口'!$M$5:$M$16)*$Y6,0),IF(BG$4=EDATE('核心假设'!$B$5,13-1+'核心假设'!$B$31),SUM('融资租赁与资金缺口'!$M$5:$M$16)*$Z6,0),IF(BG$4=EDATE('核心假设'!$B$5,14-1+'核心假设'!$B$31),SUM('融资租赁与资金缺口'!$M$5:$M$16)*$AA6,0),IF(BG$4=EDATE('核心假设'!$B$5,15-1+'核心假设'!$B$31),SUM('融资租赁与资金缺口'!$M$5:$M$16)*$AB6,0),IF(BG$4=EDATE('核心假设'!$B$5,16-1+'核心假设'!$B$31),SUM('融资租赁与资金缺口'!$M$5:$M$16)*$AC6,0),IF(BG$4=EDATE('核心假设'!$B$5,17-1+'核心假设'!$B$31),SUM('融资租赁与资金缺口'!$M$5:$M$16)*$AD6,0))</x:f>
        <x:v>0</x:v>
      </x:c>
      <x:c r="BH15" s="28" t="n">
        <x:f>SUM(IF(BH$4=EDATE('核心假设'!$B$5,0-1+'核心假设'!$B$31),SUM('融资租赁与资金缺口'!$M$5:$M$16)*$M6,0),IF(BH$4=EDATE('核心假设'!$B$5,1-1+'核心假设'!$B$31),SUM('融资租赁与资金缺口'!$M$5:$M$16)*$N6,0),IF(BH$4=EDATE('核心假设'!$B$5,2-1+'核心假设'!$B$31),SUM('融资租赁与资金缺口'!$M$5:$M$16)*$O6,0),IF(BH$4=EDATE('核心假设'!$B$5,3-1+'核心假设'!$B$31),SUM('融资租赁与资金缺口'!$M$5:$M$16)*$P6,0),IF(BH$4=EDATE('核心假设'!$B$5,4-1+'核心假设'!$B$31),SUM('融资租赁与资金缺口'!$M$5:$M$16)*$Q6,0),IF(BH$4=EDATE('核心假设'!$B$5,5-1+'核心假设'!$B$31),SUM('融资租赁与资金缺口'!$M$5:$M$16)*$R6,0),IF(BH$4=EDATE('核心假设'!$B$5,6-1+'核心假设'!$B$31),SUM('融资租赁与资金缺口'!$M$5:$M$16)*$S6,0),IF(BH$4=EDATE('核心假设'!$B$5,7-1+'核心假设'!$B$31),SUM('融资租赁与资金缺口'!$M$5:$M$16)*$T6,0),IF(BH$4=EDATE('核心假设'!$B$5,8-1+'核心假设'!$B$31),SUM('融资租赁与资金缺口'!$M$5:$M$16)*$U6,0),IF(BH$4=EDATE('核心假设'!$B$5,9-1+'核心假设'!$B$31),SUM('融资租赁与资金缺口'!$M$5:$M$16)*$V6,0),IF(BH$4=EDATE('核心假设'!$B$5,10-1+'核心假设'!$B$31),SUM('融资租赁与资金缺口'!$M$5:$M$16)*$W6,0),IF(BH$4=EDATE('核心假设'!$B$5,11-1+'核心假设'!$B$31),SUM('融资租赁与资金缺口'!$M$5:$M$16)*$X6,0),IF(BH$4=EDATE('核心假设'!$B$5,12-1+'核心假设'!$B$31),SUM('融资租赁与资金缺口'!$M$5:$M$16)*$Y6,0),IF(BH$4=EDATE('核心假设'!$B$5,13-1+'核心假设'!$B$31),SUM('融资租赁与资金缺口'!$M$5:$M$16)*$Z6,0),IF(BH$4=EDATE('核心假设'!$B$5,14-1+'核心假设'!$B$31),SUM('融资租赁与资金缺口'!$M$5:$M$16)*$AA6,0),IF(BH$4=EDATE('核心假设'!$B$5,15-1+'核心假设'!$B$31),SUM('融资租赁与资金缺口'!$M$5:$M$16)*$AB6,0),IF(BH$4=EDATE('核心假设'!$B$5,16-1+'核心假设'!$B$31),SUM('融资租赁与资金缺口'!$M$5:$M$16)*$AC6,0),IF(BH$4=EDATE('核心假设'!$B$5,17-1+'核心假设'!$B$31),SUM('融资租赁与资金缺口'!$M$5:$M$16)*$AD6,0))</x:f>
        <x:v>0</x:v>
      </x:c>
      <x:c r="BI15" s="28" t="n">
        <x:f>SUM(IF(BI$4=EDATE('核心假设'!$B$5,0-1+'核心假设'!$B$31),SUM('融资租赁与资金缺口'!$M$5:$M$16)*$M6,0),IF(BI$4=EDATE('核心假设'!$B$5,1-1+'核心假设'!$B$31),SUM('融资租赁与资金缺口'!$M$5:$M$16)*$N6,0),IF(BI$4=EDATE('核心假设'!$B$5,2-1+'核心假设'!$B$31),SUM('融资租赁与资金缺口'!$M$5:$M$16)*$O6,0),IF(BI$4=EDATE('核心假设'!$B$5,3-1+'核心假设'!$B$31),SUM('融资租赁与资金缺口'!$M$5:$M$16)*$P6,0),IF(BI$4=EDATE('核心假设'!$B$5,4-1+'核心假设'!$B$31),SUM('融资租赁与资金缺口'!$M$5:$M$16)*$Q6,0),IF(BI$4=EDATE('核心假设'!$B$5,5-1+'核心假设'!$B$31),SUM('融资租赁与资金缺口'!$M$5:$M$16)*$R6,0),IF(BI$4=EDATE('核心假设'!$B$5,6-1+'核心假设'!$B$31),SUM('融资租赁与资金缺口'!$M$5:$M$16)*$S6,0),IF(BI$4=EDATE('核心假设'!$B$5,7-1+'核心假设'!$B$31),SUM('融资租赁与资金缺口'!$M$5:$M$16)*$T6,0),IF(BI$4=EDATE('核心假设'!$B$5,8-1+'核心假设'!$B$31),SUM('融资租赁与资金缺口'!$M$5:$M$16)*$U6,0),IF(BI$4=EDATE('核心假设'!$B$5,9-1+'核心假设'!$B$31),SUM('融资租赁与资金缺口'!$M$5:$M$16)*$V6,0),IF(BI$4=EDATE('核心假设'!$B$5,10-1+'核心假设'!$B$31),SUM('融资租赁与资金缺口'!$M$5:$M$16)*$W6,0),IF(BI$4=EDATE('核心假设'!$B$5,11-1+'核心假设'!$B$31),SUM('融资租赁与资金缺口'!$M$5:$M$16)*$X6,0),IF(BI$4=EDATE('核心假设'!$B$5,12-1+'核心假设'!$B$31),SUM('融资租赁与资金缺口'!$M$5:$M$16)*$Y6,0),IF(BI$4=EDATE('核心假设'!$B$5,13-1+'核心假设'!$B$31),SUM('融资租赁与资金缺口'!$M$5:$M$16)*$Z6,0),IF(BI$4=EDATE('核心假设'!$B$5,14-1+'核心假设'!$B$31),SUM('融资租赁与资金缺口'!$M$5:$M$16)*$AA6,0),IF(BI$4=EDATE('核心假设'!$B$5,15-1+'核心假设'!$B$31),SUM('融资租赁与资金缺口'!$M$5:$M$16)*$AB6,0),IF(BI$4=EDATE('核心假设'!$B$5,16-1+'核心假设'!$B$31),SUM('融资租赁与资金缺口'!$M$5:$M$16)*$AC6,0),IF(BI$4=EDATE('核心假设'!$B$5,17-1+'核心假设'!$B$31),SUM('融资租赁与资金缺口'!$M$5:$M$16)*$AD6,0))</x:f>
        <x:v>0</x:v>
      </x:c>
      <x:c r="BJ15" s="28" t="n">
        <x:f>SUM(IF(BJ$4=EDATE('核心假设'!$B$5,0-1+'核心假设'!$B$31),SUM('融资租赁与资金缺口'!$M$5:$M$16)*$M6,0),IF(BJ$4=EDATE('核心假设'!$B$5,1-1+'核心假设'!$B$31),SUM('融资租赁与资金缺口'!$M$5:$M$16)*$N6,0),IF(BJ$4=EDATE('核心假设'!$B$5,2-1+'核心假设'!$B$31),SUM('融资租赁与资金缺口'!$M$5:$M$16)*$O6,0),IF(BJ$4=EDATE('核心假设'!$B$5,3-1+'核心假设'!$B$31),SUM('融资租赁与资金缺口'!$M$5:$M$16)*$P6,0),IF(BJ$4=EDATE('核心假设'!$B$5,4-1+'核心假设'!$B$31),SUM('融资租赁与资金缺口'!$M$5:$M$16)*$Q6,0),IF(BJ$4=EDATE('核心假设'!$B$5,5-1+'核心假设'!$B$31),SUM('融资租赁与资金缺口'!$M$5:$M$16)*$R6,0),IF(BJ$4=EDATE('核心假设'!$B$5,6-1+'核心假设'!$B$31),SUM('融资租赁与资金缺口'!$M$5:$M$16)*$S6,0),IF(BJ$4=EDATE('核心假设'!$B$5,7-1+'核心假设'!$B$31),SUM('融资租赁与资金缺口'!$M$5:$M$16)*$T6,0),IF(BJ$4=EDATE('核心假设'!$B$5,8-1+'核心假设'!$B$31),SUM('融资租赁与资金缺口'!$M$5:$M$16)*$U6,0),IF(BJ$4=EDATE('核心假设'!$B$5,9-1+'核心假设'!$B$31),SUM('融资租赁与资金缺口'!$M$5:$M$16)*$V6,0),IF(BJ$4=EDATE('核心假设'!$B$5,10-1+'核心假设'!$B$31),SUM('融资租赁与资金缺口'!$M$5:$M$16)*$W6,0),IF(BJ$4=EDATE('核心假设'!$B$5,11-1+'核心假设'!$B$31),SUM('融资租赁与资金缺口'!$M$5:$M$16)*$X6,0),IF(BJ$4=EDATE('核心假设'!$B$5,12-1+'核心假设'!$B$31),SUM('融资租赁与资金缺口'!$M$5:$M$16)*$Y6,0),IF(BJ$4=EDATE('核心假设'!$B$5,13-1+'核心假设'!$B$31),SUM('融资租赁与资金缺口'!$M$5:$M$16)*$Z6,0),IF(BJ$4=EDATE('核心假设'!$B$5,14-1+'核心假设'!$B$31),SUM('融资租赁与资金缺口'!$M$5:$M$16)*$AA6,0),IF(BJ$4=EDATE('核心假设'!$B$5,15-1+'核心假设'!$B$31),SUM('融资租赁与资金缺口'!$M$5:$M$16)*$AB6,0),IF(BJ$4=EDATE('核心假设'!$B$5,16-1+'核心假设'!$B$31),SUM('融资租赁与资金缺口'!$M$5:$M$16)*$AC6,0),IF(BJ$4=EDATE('核心假设'!$B$5,17-1+'核心假设'!$B$31),SUM('融资租赁与资金缺口'!$M$5:$M$16)*$AD6,0))</x:f>
        <x:v>0</x:v>
      </x:c>
      <x:c r="BK15" s="28" t="n">
        <x:f>SUM(IF(BK$4=EDATE('核心假设'!$B$5,0-1+'核心假设'!$B$31),SUM('融资租赁与资金缺口'!$M$5:$M$16)*$M6,0),IF(BK$4=EDATE('核心假设'!$B$5,1-1+'核心假设'!$B$31),SUM('融资租赁与资金缺口'!$M$5:$M$16)*$N6,0),IF(BK$4=EDATE('核心假设'!$B$5,2-1+'核心假设'!$B$31),SUM('融资租赁与资金缺口'!$M$5:$M$16)*$O6,0),IF(BK$4=EDATE('核心假设'!$B$5,3-1+'核心假设'!$B$31),SUM('融资租赁与资金缺口'!$M$5:$M$16)*$P6,0),IF(BK$4=EDATE('核心假设'!$B$5,4-1+'核心假设'!$B$31),SUM('融资租赁与资金缺口'!$M$5:$M$16)*$Q6,0),IF(BK$4=EDATE('核心假设'!$B$5,5-1+'核心假设'!$B$31),SUM('融资租赁与资金缺口'!$M$5:$M$16)*$R6,0),IF(BK$4=EDATE('核心假设'!$B$5,6-1+'核心假设'!$B$31),SUM('融资租赁与资金缺口'!$M$5:$M$16)*$S6,0),IF(BK$4=EDATE('核心假设'!$B$5,7-1+'核心假设'!$B$31),SUM('融资租赁与资金缺口'!$M$5:$M$16)*$T6,0),IF(BK$4=EDATE('核心假设'!$B$5,8-1+'核心假设'!$B$31),SUM('融资租赁与资金缺口'!$M$5:$M$16)*$U6,0),IF(BK$4=EDATE('核心假设'!$B$5,9-1+'核心假设'!$B$31),SUM('融资租赁与资金缺口'!$M$5:$M$16)*$V6,0),IF(BK$4=EDATE('核心假设'!$B$5,10-1+'核心假设'!$B$31),SUM('融资租赁与资金缺口'!$M$5:$M$16)*$W6,0),IF(BK$4=EDATE('核心假设'!$B$5,11-1+'核心假设'!$B$31),SUM('融资租赁与资金缺口'!$M$5:$M$16)*$X6,0),IF(BK$4=EDATE('核心假设'!$B$5,12-1+'核心假设'!$B$31),SUM('融资租赁与资金缺口'!$M$5:$M$16)*$Y6,0),IF(BK$4=EDATE('核心假设'!$B$5,13-1+'核心假设'!$B$31),SUM('融资租赁与资金缺口'!$M$5:$M$16)*$Z6,0),IF(BK$4=EDATE('核心假设'!$B$5,14-1+'核心假设'!$B$31),SUM('融资租赁与资金缺口'!$M$5:$M$16)*$AA6,0),IF(BK$4=EDATE('核心假设'!$B$5,15-1+'核心假设'!$B$31),SUM('融资租赁与资金缺口'!$M$5:$M$16)*$AB6,0),IF(BK$4=EDATE('核心假设'!$B$5,16-1+'核心假设'!$B$31),SUM('融资租赁与资金缺口'!$M$5:$M$16)*$AC6,0),IF(BK$4=EDATE('核心假设'!$B$5,17-1+'核心假设'!$B$31),SUM('融资租赁与资金缺口'!$M$5:$M$16)*$AD6,0))</x:f>
        <x:v>0</x:v>
      </x:c>
      <x:c r="BL15" s="28" t="n">
        <x:f>SUM(IF(BL$4=EDATE('核心假设'!$B$5,0-1+'核心假设'!$B$31),SUM('融资租赁与资金缺口'!$M$5:$M$16)*$M6,0),IF(BL$4=EDATE('核心假设'!$B$5,1-1+'核心假设'!$B$31),SUM('融资租赁与资金缺口'!$M$5:$M$16)*$N6,0),IF(BL$4=EDATE('核心假设'!$B$5,2-1+'核心假设'!$B$31),SUM('融资租赁与资金缺口'!$M$5:$M$16)*$O6,0),IF(BL$4=EDATE('核心假设'!$B$5,3-1+'核心假设'!$B$31),SUM('融资租赁与资金缺口'!$M$5:$M$16)*$P6,0),IF(BL$4=EDATE('核心假设'!$B$5,4-1+'核心假设'!$B$31),SUM('融资租赁与资金缺口'!$M$5:$M$16)*$Q6,0),IF(BL$4=EDATE('核心假设'!$B$5,5-1+'核心假设'!$B$31),SUM('融资租赁与资金缺口'!$M$5:$M$16)*$R6,0),IF(BL$4=EDATE('核心假设'!$B$5,6-1+'核心假设'!$B$31),SUM('融资租赁与资金缺口'!$M$5:$M$16)*$S6,0),IF(BL$4=EDATE('核心假设'!$B$5,7-1+'核心假设'!$B$31),SUM('融资租赁与资金缺口'!$M$5:$M$16)*$T6,0),IF(BL$4=EDATE('核心假设'!$B$5,8-1+'核心假设'!$B$31),SUM('融资租赁与资金缺口'!$M$5:$M$16)*$U6,0),IF(BL$4=EDATE('核心假设'!$B$5,9-1+'核心假设'!$B$31),SUM('融资租赁与资金缺口'!$M$5:$M$16)*$V6,0),IF(BL$4=EDATE('核心假设'!$B$5,10-1+'核心假设'!$B$31),SUM('融资租赁与资金缺口'!$M$5:$M$16)*$W6,0),IF(BL$4=EDATE('核心假设'!$B$5,11-1+'核心假设'!$B$31),SUM('融资租赁与资金缺口'!$M$5:$M$16)*$X6,0),IF(BL$4=EDATE('核心假设'!$B$5,12-1+'核心假设'!$B$31),SUM('融资租赁与资金缺口'!$M$5:$M$16)*$Y6,0),IF(BL$4=EDATE('核心假设'!$B$5,13-1+'核心假设'!$B$31),SUM('融资租赁与资金缺口'!$M$5:$M$16)*$Z6,0),IF(BL$4=EDATE('核心假设'!$B$5,14-1+'核心假设'!$B$31),SUM('融资租赁与资金缺口'!$M$5:$M$16)*$AA6,0),IF(BL$4=EDATE('核心假设'!$B$5,15-1+'核心假设'!$B$31),SUM('融资租赁与资金缺口'!$M$5:$M$16)*$AB6,0),IF(BL$4=EDATE('核心假设'!$B$5,16-1+'核心假设'!$B$31),SUM('融资租赁与资金缺口'!$M$5:$M$16)*$AC6,0),IF(BL$4=EDATE('核心假设'!$B$5,17-1+'核心假设'!$B$31),SUM('融资租赁与资金缺口'!$M$5:$M$16)*$AD6,0))</x:f>
        <x:v>0</x:v>
      </x:c>
      <x:c r="BM15" s="28" t="n">
        <x:f>SUM(IF(BM$4=EDATE('核心假设'!$B$5,0-1+'核心假设'!$B$31),SUM('融资租赁与资金缺口'!$M$5:$M$16)*$M6,0),IF(BM$4=EDATE('核心假设'!$B$5,1-1+'核心假设'!$B$31),SUM('融资租赁与资金缺口'!$M$5:$M$16)*$N6,0),IF(BM$4=EDATE('核心假设'!$B$5,2-1+'核心假设'!$B$31),SUM('融资租赁与资金缺口'!$M$5:$M$16)*$O6,0),IF(BM$4=EDATE('核心假设'!$B$5,3-1+'核心假设'!$B$31),SUM('融资租赁与资金缺口'!$M$5:$M$16)*$P6,0),IF(BM$4=EDATE('核心假设'!$B$5,4-1+'核心假设'!$B$31),SUM('融资租赁与资金缺口'!$M$5:$M$16)*$Q6,0),IF(BM$4=EDATE('核心假设'!$B$5,5-1+'核心假设'!$B$31),SUM('融资租赁与资金缺口'!$M$5:$M$16)*$R6,0),IF(BM$4=EDATE('核心假设'!$B$5,6-1+'核心假设'!$B$31),SUM('融资租赁与资金缺口'!$M$5:$M$16)*$S6,0),IF(BM$4=EDATE('核心假设'!$B$5,7-1+'核心假设'!$B$31),SUM('融资租赁与资金缺口'!$M$5:$M$16)*$T6,0),IF(BM$4=EDATE('核心假设'!$B$5,8-1+'核心假设'!$B$31),SUM('融资租赁与资金缺口'!$M$5:$M$16)*$U6,0),IF(BM$4=EDATE('核心假设'!$B$5,9-1+'核心假设'!$B$31),SUM('融资租赁与资金缺口'!$M$5:$M$16)*$V6,0),IF(BM$4=EDATE('核心假设'!$B$5,10-1+'核心假设'!$B$31),SUM('融资租赁与资金缺口'!$M$5:$M$16)*$W6,0),IF(BM$4=EDATE('核心假设'!$B$5,11-1+'核心假设'!$B$31),SUM('融资租赁与资金缺口'!$M$5:$M$16)*$X6,0),IF(BM$4=EDATE('核心假设'!$B$5,12-1+'核心假设'!$B$31),SUM('融资租赁与资金缺口'!$M$5:$M$16)*$Y6,0),IF(BM$4=EDATE('核心假设'!$B$5,13-1+'核心假设'!$B$31),SUM('融资租赁与资金缺口'!$M$5:$M$16)*$Z6,0),IF(BM$4=EDATE('核心假设'!$B$5,14-1+'核心假设'!$B$31),SUM('融资租赁与资金缺口'!$M$5:$M$16)*$AA6,0),IF(BM$4=EDATE('核心假设'!$B$5,15-1+'核心假设'!$B$31),SUM('融资租赁与资金缺口'!$M$5:$M$16)*$AB6,0),IF(BM$4=EDATE('核心假设'!$B$5,16-1+'核心假设'!$B$31),SUM('融资租赁与资金缺口'!$M$5:$M$16)*$AC6,0),IF(BM$4=EDATE('核心假设'!$B$5,17-1+'核心假设'!$B$31),SUM('融资租赁与资金缺口'!$M$5:$M$16)*$AD6,0))</x:f>
        <x:v>0</x:v>
      </x:c>
      <x:c r="BN15" s="28" t="n">
        <x:f>SUM(IF(BN$4=EDATE('核心假设'!$B$5,0-1+'核心假设'!$B$31),SUM('融资租赁与资金缺口'!$M$5:$M$16)*$M6,0),IF(BN$4=EDATE('核心假设'!$B$5,1-1+'核心假设'!$B$31),SUM('融资租赁与资金缺口'!$M$5:$M$16)*$N6,0),IF(BN$4=EDATE('核心假设'!$B$5,2-1+'核心假设'!$B$31),SUM('融资租赁与资金缺口'!$M$5:$M$16)*$O6,0),IF(BN$4=EDATE('核心假设'!$B$5,3-1+'核心假设'!$B$31),SUM('融资租赁与资金缺口'!$M$5:$M$16)*$P6,0),IF(BN$4=EDATE('核心假设'!$B$5,4-1+'核心假设'!$B$31),SUM('融资租赁与资金缺口'!$M$5:$M$16)*$Q6,0),IF(BN$4=EDATE('核心假设'!$B$5,5-1+'核心假设'!$B$31),SUM('融资租赁与资金缺口'!$M$5:$M$16)*$R6,0),IF(BN$4=EDATE('核心假设'!$B$5,6-1+'核心假设'!$B$31),SUM('融资租赁与资金缺口'!$M$5:$M$16)*$S6,0),IF(BN$4=EDATE('核心假设'!$B$5,7-1+'核心假设'!$B$31),SUM('融资租赁与资金缺口'!$M$5:$M$16)*$T6,0),IF(BN$4=EDATE('核心假设'!$B$5,8-1+'核心假设'!$B$31),SUM('融资租赁与资金缺口'!$M$5:$M$16)*$U6,0),IF(BN$4=EDATE('核心假设'!$B$5,9-1+'核心假设'!$B$31),SUM('融资租赁与资金缺口'!$M$5:$M$16)*$V6,0),IF(BN$4=EDATE('核心假设'!$B$5,10-1+'核心假设'!$B$31),SUM('融资租赁与资金缺口'!$M$5:$M$16)*$W6,0),IF(BN$4=EDATE('核心假设'!$B$5,11-1+'核心假设'!$B$31),SUM('融资租赁与资金缺口'!$M$5:$M$16)*$X6,0),IF(BN$4=EDATE('核心假设'!$B$5,12-1+'核心假设'!$B$31),SUM('融资租赁与资金缺口'!$M$5:$M$16)*$Y6,0),IF(BN$4=EDATE('核心假设'!$B$5,13-1+'核心假设'!$B$31),SUM('融资租赁与资金缺口'!$M$5:$M$16)*$Z6,0),IF(BN$4=EDATE('核心假设'!$B$5,14-1+'核心假设'!$B$31),SUM('融资租赁与资金缺口'!$M$5:$M$16)*$AA6,0),IF(BN$4=EDATE('核心假设'!$B$5,15-1+'核心假设'!$B$31),SUM('融资租赁与资金缺口'!$M$5:$M$16)*$AB6,0),IF(BN$4=EDATE('核心假设'!$B$5,16-1+'核心假设'!$B$31),SUM('融资租赁与资金缺口'!$M$5:$M$16)*$AC6,0),IF(BN$4=EDATE('核心假设'!$B$5,17-1+'核心假设'!$B$31),SUM('融资租赁与资金缺口'!$M$5:$M$16)*$AD6,0))</x:f>
        <x:v>0</x:v>
      </x:c>
      <x:c r="BO15" s="28" t="n">
        <x:f>SUM(IF(BO$4=EDATE('核心假设'!$B$5,0-1+'核心假设'!$B$31),SUM('融资租赁与资金缺口'!$M$5:$M$16)*$M6,0),IF(BO$4=EDATE('核心假设'!$B$5,1-1+'核心假设'!$B$31),SUM('融资租赁与资金缺口'!$M$5:$M$16)*$N6,0),IF(BO$4=EDATE('核心假设'!$B$5,2-1+'核心假设'!$B$31),SUM('融资租赁与资金缺口'!$M$5:$M$16)*$O6,0),IF(BO$4=EDATE('核心假设'!$B$5,3-1+'核心假设'!$B$31),SUM('融资租赁与资金缺口'!$M$5:$M$16)*$P6,0),IF(BO$4=EDATE('核心假设'!$B$5,4-1+'核心假设'!$B$31),SUM('融资租赁与资金缺口'!$M$5:$M$16)*$Q6,0),IF(BO$4=EDATE('核心假设'!$B$5,5-1+'核心假设'!$B$31),SUM('融资租赁与资金缺口'!$M$5:$M$16)*$R6,0),IF(BO$4=EDATE('核心假设'!$B$5,6-1+'核心假设'!$B$31),SUM('融资租赁与资金缺口'!$M$5:$M$16)*$S6,0),IF(BO$4=EDATE('核心假设'!$B$5,7-1+'核心假设'!$B$31),SUM('融资租赁与资金缺口'!$M$5:$M$16)*$T6,0),IF(BO$4=EDATE('核心假设'!$B$5,8-1+'核心假设'!$B$31),SUM('融资租赁与资金缺口'!$M$5:$M$16)*$U6,0),IF(BO$4=EDATE('核心假设'!$B$5,9-1+'核心假设'!$B$31),SUM('融资租赁与资金缺口'!$M$5:$M$16)*$V6,0),IF(BO$4=EDATE('核心假设'!$B$5,10-1+'核心假设'!$B$31),SUM('融资租赁与资金缺口'!$M$5:$M$16)*$W6,0),IF(BO$4=EDATE('核心假设'!$B$5,11-1+'核心假设'!$B$31),SUM('融资租赁与资金缺口'!$M$5:$M$16)*$X6,0),IF(BO$4=EDATE('核心假设'!$B$5,12-1+'核心假设'!$B$31),SUM('融资租赁与资金缺口'!$M$5:$M$16)*$Y6,0),IF(BO$4=EDATE('核心假设'!$B$5,13-1+'核心假设'!$B$31),SUM('融资租赁与资金缺口'!$M$5:$M$16)*$Z6,0),IF(BO$4=EDATE('核心假设'!$B$5,14-1+'核心假设'!$B$31),SUM('融资租赁与资金缺口'!$M$5:$M$16)*$AA6,0),IF(BO$4=EDATE('核心假设'!$B$5,15-1+'核心假设'!$B$31),SUM('融资租赁与资金缺口'!$M$5:$M$16)*$AB6,0),IF(BO$4=EDATE('核心假设'!$B$5,16-1+'核心假设'!$B$31),SUM('融资租赁与资金缺口'!$M$5:$M$16)*$AC6,0),IF(BO$4=EDATE('核心假设'!$B$5,17-1+'核心假设'!$B$31),SUM('融资租赁与资金缺口'!$M$5:$M$16)*$AD6,0))</x:f>
        <x:v>0</x:v>
      </x:c>
      <x:c r="BP15" s="28" t="n">
        <x:f>SUM(IF(BP$4=EDATE('核心假设'!$B$5,0-1+'核心假设'!$B$31),SUM('融资租赁与资金缺口'!$M$5:$M$16)*$M6,0),IF(BP$4=EDATE('核心假设'!$B$5,1-1+'核心假设'!$B$31),SUM('融资租赁与资金缺口'!$M$5:$M$16)*$N6,0),IF(BP$4=EDATE('核心假设'!$B$5,2-1+'核心假设'!$B$31),SUM('融资租赁与资金缺口'!$M$5:$M$16)*$O6,0),IF(BP$4=EDATE('核心假设'!$B$5,3-1+'核心假设'!$B$31),SUM('融资租赁与资金缺口'!$M$5:$M$16)*$P6,0),IF(BP$4=EDATE('核心假设'!$B$5,4-1+'核心假设'!$B$31),SUM('融资租赁与资金缺口'!$M$5:$M$16)*$Q6,0),IF(BP$4=EDATE('核心假设'!$B$5,5-1+'核心假设'!$B$31),SUM('融资租赁与资金缺口'!$M$5:$M$16)*$R6,0),IF(BP$4=EDATE('核心假设'!$B$5,6-1+'核心假设'!$B$31),SUM('融资租赁与资金缺口'!$M$5:$M$16)*$S6,0),IF(BP$4=EDATE('核心假设'!$B$5,7-1+'核心假设'!$B$31),SUM('融资租赁与资金缺口'!$M$5:$M$16)*$T6,0),IF(BP$4=EDATE('核心假设'!$B$5,8-1+'核心假设'!$B$31),SUM('融资租赁与资金缺口'!$M$5:$M$16)*$U6,0),IF(BP$4=EDATE('核心假设'!$B$5,9-1+'核心假设'!$B$31),SUM('融资租赁与资金缺口'!$M$5:$M$16)*$V6,0),IF(BP$4=EDATE('核心假设'!$B$5,10-1+'核心假设'!$B$31),SUM('融资租赁与资金缺口'!$M$5:$M$16)*$W6,0),IF(BP$4=EDATE('核心假设'!$B$5,11-1+'核心假设'!$B$31),SUM('融资租赁与资金缺口'!$M$5:$M$16)*$X6,0),IF(BP$4=EDATE('核心假设'!$B$5,12-1+'核心假设'!$B$31),SUM('融资租赁与资金缺口'!$M$5:$M$16)*$Y6,0),IF(BP$4=EDATE('核心假设'!$B$5,13-1+'核心假设'!$B$31),SUM('融资租赁与资金缺口'!$M$5:$M$16)*$Z6,0),IF(BP$4=EDATE('核心假设'!$B$5,14-1+'核心假设'!$B$31),SUM('融资租赁与资金缺口'!$M$5:$M$16)*$AA6,0),IF(BP$4=EDATE('核心假设'!$B$5,15-1+'核心假设'!$B$31),SUM('融资租赁与资金缺口'!$M$5:$M$16)*$AB6,0),IF(BP$4=EDATE('核心假设'!$B$5,16-1+'核心假设'!$B$31),SUM('融资租赁与资金缺口'!$M$5:$M$16)*$AC6,0),IF(BP$4=EDATE('核心假设'!$B$5,17-1+'核心假设'!$B$31),SUM('融资租赁与资金缺口'!$M$5:$M$16)*$AD6,0))</x:f>
        <x:v>0</x:v>
      </x:c>
      <x:c r="BQ15" s="28" t="n">
        <x:f>SUM(IF(BQ$4=EDATE('核心假设'!$B$5,0-1+'核心假设'!$B$31),SUM('融资租赁与资金缺口'!$M$5:$M$16)*$M6,0),IF(BQ$4=EDATE('核心假设'!$B$5,1-1+'核心假设'!$B$31),SUM('融资租赁与资金缺口'!$M$5:$M$16)*$N6,0),IF(BQ$4=EDATE('核心假设'!$B$5,2-1+'核心假设'!$B$31),SUM('融资租赁与资金缺口'!$M$5:$M$16)*$O6,0),IF(BQ$4=EDATE('核心假设'!$B$5,3-1+'核心假设'!$B$31),SUM('融资租赁与资金缺口'!$M$5:$M$16)*$P6,0),IF(BQ$4=EDATE('核心假设'!$B$5,4-1+'核心假设'!$B$31),SUM('融资租赁与资金缺口'!$M$5:$M$16)*$Q6,0),IF(BQ$4=EDATE('核心假设'!$B$5,5-1+'核心假设'!$B$31),SUM('融资租赁与资金缺口'!$M$5:$M$16)*$R6,0),IF(BQ$4=EDATE('核心假设'!$B$5,6-1+'核心假设'!$B$31),SUM('融资租赁与资金缺口'!$M$5:$M$16)*$S6,0),IF(BQ$4=EDATE('核心假设'!$B$5,7-1+'核心假设'!$B$31),SUM('融资租赁与资金缺口'!$M$5:$M$16)*$T6,0),IF(BQ$4=EDATE('核心假设'!$B$5,8-1+'核心假设'!$B$31),SUM('融资租赁与资金缺口'!$M$5:$M$16)*$U6,0),IF(BQ$4=EDATE('核心假设'!$B$5,9-1+'核心假设'!$B$31),SUM('融资租赁与资金缺口'!$M$5:$M$16)*$V6,0),IF(BQ$4=EDATE('核心假设'!$B$5,10-1+'核心假设'!$B$31),SUM('融资租赁与资金缺口'!$M$5:$M$16)*$W6,0),IF(BQ$4=EDATE('核心假设'!$B$5,11-1+'核心假设'!$B$31),SUM('融资租赁与资金缺口'!$M$5:$M$16)*$X6,0),IF(BQ$4=EDATE('核心假设'!$B$5,12-1+'核心假设'!$B$31),SUM('融资租赁与资金缺口'!$M$5:$M$16)*$Y6,0),IF(BQ$4=EDATE('核心假设'!$B$5,13-1+'核心假设'!$B$31),SUM('融资租赁与资金缺口'!$M$5:$M$16)*$Z6,0),IF(BQ$4=EDATE('核心假设'!$B$5,14-1+'核心假设'!$B$31),SUM('融资租赁与资金缺口'!$M$5:$M$16)*$AA6,0),IF(BQ$4=EDATE('核心假设'!$B$5,15-1+'核心假设'!$B$31),SUM('融资租赁与资金缺口'!$M$5:$M$16)*$AB6,0),IF(BQ$4=EDATE('核心假设'!$B$5,16-1+'核心假设'!$B$31),SUM('融资租赁与资金缺口'!$M$5:$M$16)*$AC6,0),IF(BQ$4=EDATE('核心假设'!$B$5,17-1+'核心假设'!$B$31),SUM('融资租赁与资金缺口'!$M$5:$M$16)*$AD6,0))</x:f>
        <x:v>0</x:v>
      </x:c>
      <x:c r="BR15" s="28" t="n">
        <x:f>SUM(IF(BR$4=EDATE('核心假设'!$B$5,0-1+'核心假设'!$B$31),SUM('融资租赁与资金缺口'!$M$5:$M$16)*$M6,0),IF(BR$4=EDATE('核心假设'!$B$5,1-1+'核心假设'!$B$31),SUM('融资租赁与资金缺口'!$M$5:$M$16)*$N6,0),IF(BR$4=EDATE('核心假设'!$B$5,2-1+'核心假设'!$B$31),SUM('融资租赁与资金缺口'!$M$5:$M$16)*$O6,0),IF(BR$4=EDATE('核心假设'!$B$5,3-1+'核心假设'!$B$31),SUM('融资租赁与资金缺口'!$M$5:$M$16)*$P6,0),IF(BR$4=EDATE('核心假设'!$B$5,4-1+'核心假设'!$B$31),SUM('融资租赁与资金缺口'!$M$5:$M$16)*$Q6,0),IF(BR$4=EDATE('核心假设'!$B$5,5-1+'核心假设'!$B$31),SUM('融资租赁与资金缺口'!$M$5:$M$16)*$R6,0),IF(BR$4=EDATE('核心假设'!$B$5,6-1+'核心假设'!$B$31),SUM('融资租赁与资金缺口'!$M$5:$M$16)*$S6,0),IF(BR$4=EDATE('核心假设'!$B$5,7-1+'核心假设'!$B$31),SUM('融资租赁与资金缺口'!$M$5:$M$16)*$T6,0),IF(BR$4=EDATE('核心假设'!$B$5,8-1+'核心假设'!$B$31),SUM('融资租赁与资金缺口'!$M$5:$M$16)*$U6,0),IF(BR$4=EDATE('核心假设'!$B$5,9-1+'核心假设'!$B$31),SUM('融资租赁与资金缺口'!$M$5:$M$16)*$V6,0),IF(BR$4=EDATE('核心假设'!$B$5,10-1+'核心假设'!$B$31),SUM('融资租赁与资金缺口'!$M$5:$M$16)*$W6,0),IF(BR$4=EDATE('核心假设'!$B$5,11-1+'核心假设'!$B$31),SUM('融资租赁与资金缺口'!$M$5:$M$16)*$X6,0),IF(BR$4=EDATE('核心假设'!$B$5,12-1+'核心假设'!$B$31),SUM('融资租赁与资金缺口'!$M$5:$M$16)*$Y6,0),IF(BR$4=EDATE('核心假设'!$B$5,13-1+'核心假设'!$B$31),SUM('融资租赁与资金缺口'!$M$5:$M$16)*$Z6,0),IF(BR$4=EDATE('核心假设'!$B$5,14-1+'核心假设'!$B$31),SUM('融资租赁与资金缺口'!$M$5:$M$16)*$AA6,0),IF(BR$4=EDATE('核心假设'!$B$5,15-1+'核心假设'!$B$31),SUM('融资租赁与资金缺口'!$M$5:$M$16)*$AB6,0),IF(BR$4=EDATE('核心假设'!$B$5,16-1+'核心假设'!$B$31),SUM('融资租赁与资金缺口'!$M$5:$M$16)*$AC6,0),IF(BR$4=EDATE('核心假设'!$B$5,17-1+'核心假设'!$B$31),SUM('融资租赁与资金缺口'!$M$5:$M$16)*$AD6,0))</x:f>
        <x:v>0</x:v>
      </x:c>
      <x:c r="BS15" s="28" t="n">
        <x:f>SUM(IF(BS$4=EDATE('核心假设'!$B$5,0-1+'核心假设'!$B$31),SUM('融资租赁与资金缺口'!$M$5:$M$16)*$M6,0),IF(BS$4=EDATE('核心假设'!$B$5,1-1+'核心假设'!$B$31),SUM('融资租赁与资金缺口'!$M$5:$M$16)*$N6,0),IF(BS$4=EDATE('核心假设'!$B$5,2-1+'核心假设'!$B$31),SUM('融资租赁与资金缺口'!$M$5:$M$16)*$O6,0),IF(BS$4=EDATE('核心假设'!$B$5,3-1+'核心假设'!$B$31),SUM('融资租赁与资金缺口'!$M$5:$M$16)*$P6,0),IF(BS$4=EDATE('核心假设'!$B$5,4-1+'核心假设'!$B$31),SUM('融资租赁与资金缺口'!$M$5:$M$16)*$Q6,0),IF(BS$4=EDATE('核心假设'!$B$5,5-1+'核心假设'!$B$31),SUM('融资租赁与资金缺口'!$M$5:$M$16)*$R6,0),IF(BS$4=EDATE('核心假设'!$B$5,6-1+'核心假设'!$B$31),SUM('融资租赁与资金缺口'!$M$5:$M$16)*$S6,0),IF(BS$4=EDATE('核心假设'!$B$5,7-1+'核心假设'!$B$31),SUM('融资租赁与资金缺口'!$M$5:$M$16)*$T6,0),IF(BS$4=EDATE('核心假设'!$B$5,8-1+'核心假设'!$B$31),SUM('融资租赁与资金缺口'!$M$5:$M$16)*$U6,0),IF(BS$4=EDATE('核心假设'!$B$5,9-1+'核心假设'!$B$31),SUM('融资租赁与资金缺口'!$M$5:$M$16)*$V6,0),IF(BS$4=EDATE('核心假设'!$B$5,10-1+'核心假设'!$B$31),SUM('融资租赁与资金缺口'!$M$5:$M$16)*$W6,0),IF(BS$4=EDATE('核心假设'!$B$5,11-1+'核心假设'!$B$31),SUM('融资租赁与资金缺口'!$M$5:$M$16)*$X6,0),IF(BS$4=EDATE('核心假设'!$B$5,12-1+'核心假设'!$B$31),SUM('融资租赁与资金缺口'!$M$5:$M$16)*$Y6,0),IF(BS$4=EDATE('核心假设'!$B$5,13-1+'核心假设'!$B$31),SUM('融资租赁与资金缺口'!$M$5:$M$16)*$Z6,0),IF(BS$4=EDATE('核心假设'!$B$5,14-1+'核心假设'!$B$31),SUM('融资租赁与资金缺口'!$M$5:$M$16)*$AA6,0),IF(BS$4=EDATE('核心假设'!$B$5,15-1+'核心假设'!$B$31),SUM('融资租赁与资金缺口'!$M$5:$M$16)*$AB6,0),IF(BS$4=EDATE('核心假设'!$B$5,16-1+'核心假设'!$B$31),SUM('融资租赁与资金缺口'!$M$5:$M$16)*$AC6,0),IF(BS$4=EDATE('核心假设'!$B$5,17-1+'核心假设'!$B$31),SUM('融资租赁与资金缺口'!$M$5:$M$16)*$AD6,0))</x:f>
        <x:v>0</x:v>
      </x:c>
      <x:c r="BT15" s="28" t="n">
        <x:f>SUM(IF(BT$4=EDATE('核心假设'!$B$5,0-1+'核心假设'!$B$31),SUM('融资租赁与资金缺口'!$M$5:$M$16)*$M6,0),IF(BT$4=EDATE('核心假设'!$B$5,1-1+'核心假设'!$B$31),SUM('融资租赁与资金缺口'!$M$5:$M$16)*$N6,0),IF(BT$4=EDATE('核心假设'!$B$5,2-1+'核心假设'!$B$31),SUM('融资租赁与资金缺口'!$M$5:$M$16)*$O6,0),IF(BT$4=EDATE('核心假设'!$B$5,3-1+'核心假设'!$B$31),SUM('融资租赁与资金缺口'!$M$5:$M$16)*$P6,0),IF(BT$4=EDATE('核心假设'!$B$5,4-1+'核心假设'!$B$31),SUM('融资租赁与资金缺口'!$M$5:$M$16)*$Q6,0),IF(BT$4=EDATE('核心假设'!$B$5,5-1+'核心假设'!$B$31),SUM('融资租赁与资金缺口'!$M$5:$M$16)*$R6,0),IF(BT$4=EDATE('核心假设'!$B$5,6-1+'核心假设'!$B$31),SUM('融资租赁与资金缺口'!$M$5:$M$16)*$S6,0),IF(BT$4=EDATE('核心假设'!$B$5,7-1+'核心假设'!$B$31),SUM('融资租赁与资金缺口'!$M$5:$M$16)*$T6,0),IF(BT$4=EDATE('核心假设'!$B$5,8-1+'核心假设'!$B$31),SUM('融资租赁与资金缺口'!$M$5:$M$16)*$U6,0),IF(BT$4=EDATE('核心假设'!$B$5,9-1+'核心假设'!$B$31),SUM('融资租赁与资金缺口'!$M$5:$M$16)*$V6,0),IF(BT$4=EDATE('核心假设'!$B$5,10-1+'核心假设'!$B$31),SUM('融资租赁与资金缺口'!$M$5:$M$16)*$W6,0),IF(BT$4=EDATE('核心假设'!$B$5,11-1+'核心假设'!$B$31),SUM('融资租赁与资金缺口'!$M$5:$M$16)*$X6,0),IF(BT$4=EDATE('核心假设'!$B$5,12-1+'核心假设'!$B$31),SUM('融资租赁与资金缺口'!$M$5:$M$16)*$Y6,0),IF(BT$4=EDATE('核心假设'!$B$5,13-1+'核心假设'!$B$31),SUM('融资租赁与资金缺口'!$M$5:$M$16)*$Z6,0),IF(BT$4=EDATE('核心假设'!$B$5,14-1+'核心假设'!$B$31),SUM('融资租赁与资金缺口'!$M$5:$M$16)*$AA6,0),IF(BT$4=EDATE('核心假设'!$B$5,15-1+'核心假设'!$B$31),SUM('融资租赁与资金缺口'!$M$5:$M$16)*$AB6,0),IF(BT$4=EDATE('核心假设'!$B$5,16-1+'核心假设'!$B$31),SUM('融资租赁与资金缺口'!$M$5:$M$16)*$AC6,0),IF(BT$4=EDATE('核心假设'!$B$5,17-1+'核心假设'!$B$31),SUM('融资租赁与资金缺口'!$M$5:$M$16)*$AD6,0))</x:f>
        <x:v>0</x:v>
      </x:c>
      <x:c r="BU15" s="28" t="n">
        <x:f>SUM(IF(BU$4=EDATE('核心假设'!$B$5,0-1+'核心假设'!$B$31),SUM('融资租赁与资金缺口'!$M$5:$M$16)*$M6,0),IF(BU$4=EDATE('核心假设'!$B$5,1-1+'核心假设'!$B$31),SUM('融资租赁与资金缺口'!$M$5:$M$16)*$N6,0),IF(BU$4=EDATE('核心假设'!$B$5,2-1+'核心假设'!$B$31),SUM('融资租赁与资金缺口'!$M$5:$M$16)*$O6,0),IF(BU$4=EDATE('核心假设'!$B$5,3-1+'核心假设'!$B$31),SUM('融资租赁与资金缺口'!$M$5:$M$16)*$P6,0),IF(BU$4=EDATE('核心假设'!$B$5,4-1+'核心假设'!$B$31),SUM('融资租赁与资金缺口'!$M$5:$M$16)*$Q6,0),IF(BU$4=EDATE('核心假设'!$B$5,5-1+'核心假设'!$B$31),SUM('融资租赁与资金缺口'!$M$5:$M$16)*$R6,0),IF(BU$4=EDATE('核心假设'!$B$5,6-1+'核心假设'!$B$31),SUM('融资租赁与资金缺口'!$M$5:$M$16)*$S6,0),IF(BU$4=EDATE('核心假设'!$B$5,7-1+'核心假设'!$B$31),SUM('融资租赁与资金缺口'!$M$5:$M$16)*$T6,0),IF(BU$4=EDATE('核心假设'!$B$5,8-1+'核心假设'!$B$31),SUM('融资租赁与资金缺口'!$M$5:$M$16)*$U6,0),IF(BU$4=EDATE('核心假设'!$B$5,9-1+'核心假设'!$B$31),SUM('融资租赁与资金缺口'!$M$5:$M$16)*$V6,0),IF(BU$4=EDATE('核心假设'!$B$5,10-1+'核心假设'!$B$31),SUM('融资租赁与资金缺口'!$M$5:$M$16)*$W6,0),IF(BU$4=EDATE('核心假设'!$B$5,11-1+'核心假设'!$B$31),SUM('融资租赁与资金缺口'!$M$5:$M$16)*$X6,0),IF(BU$4=EDATE('核心假设'!$B$5,12-1+'核心假设'!$B$31),SUM('融资租赁与资金缺口'!$M$5:$M$16)*$Y6,0),IF(BU$4=EDATE('核心假设'!$B$5,13-1+'核心假设'!$B$31),SUM('融资租赁与资金缺口'!$M$5:$M$16)*$Z6,0),IF(BU$4=EDATE('核心假设'!$B$5,14-1+'核心假设'!$B$31),SUM('融资租赁与资金缺口'!$M$5:$M$16)*$AA6,0),IF(BU$4=EDATE('核心假设'!$B$5,15-1+'核心假设'!$B$31),SUM('融资租赁与资金缺口'!$M$5:$M$16)*$AB6,0),IF(BU$4=EDATE('核心假设'!$B$5,16-1+'核心假设'!$B$31),SUM('融资租赁与资金缺口'!$M$5:$M$16)*$AC6,0),IF(BU$4=EDATE('核心假设'!$B$5,17-1+'核心假设'!$B$31),SUM('融资租赁与资金缺口'!$M$5:$M$16)*$AD6,0))</x:f>
        <x:v>0</x:v>
      </x:c>
      <x:c r="BV15" s="28" t="n">
        <x:f>SUM(IF(BV$4=EDATE('核心假设'!$B$5,0-1+'核心假设'!$B$31),SUM('融资租赁与资金缺口'!$M$5:$M$16)*$M6,0),IF(BV$4=EDATE('核心假设'!$B$5,1-1+'核心假设'!$B$31),SUM('融资租赁与资金缺口'!$M$5:$M$16)*$N6,0),IF(BV$4=EDATE('核心假设'!$B$5,2-1+'核心假设'!$B$31),SUM('融资租赁与资金缺口'!$M$5:$M$16)*$O6,0),IF(BV$4=EDATE('核心假设'!$B$5,3-1+'核心假设'!$B$31),SUM('融资租赁与资金缺口'!$M$5:$M$16)*$P6,0),IF(BV$4=EDATE('核心假设'!$B$5,4-1+'核心假设'!$B$31),SUM('融资租赁与资金缺口'!$M$5:$M$16)*$Q6,0),IF(BV$4=EDATE('核心假设'!$B$5,5-1+'核心假设'!$B$31),SUM('融资租赁与资金缺口'!$M$5:$M$16)*$R6,0),IF(BV$4=EDATE('核心假设'!$B$5,6-1+'核心假设'!$B$31),SUM('融资租赁与资金缺口'!$M$5:$M$16)*$S6,0),IF(BV$4=EDATE('核心假设'!$B$5,7-1+'核心假设'!$B$31),SUM('融资租赁与资金缺口'!$M$5:$M$16)*$T6,0),IF(BV$4=EDATE('核心假设'!$B$5,8-1+'核心假设'!$B$31),SUM('融资租赁与资金缺口'!$M$5:$M$16)*$U6,0),IF(BV$4=EDATE('核心假设'!$B$5,9-1+'核心假设'!$B$31),SUM('融资租赁与资金缺口'!$M$5:$M$16)*$V6,0),IF(BV$4=EDATE('核心假设'!$B$5,10-1+'核心假设'!$B$31),SUM('融资租赁与资金缺口'!$M$5:$M$16)*$W6,0),IF(BV$4=EDATE('核心假设'!$B$5,11-1+'核心假设'!$B$31),SUM('融资租赁与资金缺口'!$M$5:$M$16)*$X6,0),IF(BV$4=EDATE('核心假设'!$B$5,12-1+'核心假设'!$B$31),SUM('融资租赁与资金缺口'!$M$5:$M$16)*$Y6,0),IF(BV$4=EDATE('核心假设'!$B$5,13-1+'核心假设'!$B$31),SUM('融资租赁与资金缺口'!$M$5:$M$16)*$Z6,0),IF(BV$4=EDATE('核心假设'!$B$5,14-1+'核心假设'!$B$31),SUM('融资租赁与资金缺口'!$M$5:$M$16)*$AA6,0),IF(BV$4=EDATE('核心假设'!$B$5,15-1+'核心假设'!$B$31),SUM('融资租赁与资金缺口'!$M$5:$M$16)*$AB6,0),IF(BV$4=EDATE('核心假设'!$B$5,16-1+'核心假设'!$B$31),SUM('融资租赁与资金缺口'!$M$5:$M$16)*$AC6,0),IF(BV$4=EDATE('核心假设'!$B$5,17-1+'核心假设'!$B$31),SUM('融资租赁与资金缺口'!$M$5:$M$16)*$AD6,0))</x:f>
        <x:v>0</x:v>
      </x:c>
      <x:c r="BW15" s="28" t="n">
        <x:f>SUM(IF(BW$4=EDATE('核心假设'!$B$5,0-1+'核心假设'!$B$31),SUM('融资租赁与资金缺口'!$M$5:$M$16)*$M6,0),IF(BW$4=EDATE('核心假设'!$B$5,1-1+'核心假设'!$B$31),SUM('融资租赁与资金缺口'!$M$5:$M$16)*$N6,0),IF(BW$4=EDATE('核心假设'!$B$5,2-1+'核心假设'!$B$31),SUM('融资租赁与资金缺口'!$M$5:$M$16)*$O6,0),IF(BW$4=EDATE('核心假设'!$B$5,3-1+'核心假设'!$B$31),SUM('融资租赁与资金缺口'!$M$5:$M$16)*$P6,0),IF(BW$4=EDATE('核心假设'!$B$5,4-1+'核心假设'!$B$31),SUM('融资租赁与资金缺口'!$M$5:$M$16)*$Q6,0),IF(BW$4=EDATE('核心假设'!$B$5,5-1+'核心假设'!$B$31),SUM('融资租赁与资金缺口'!$M$5:$M$16)*$R6,0),IF(BW$4=EDATE('核心假设'!$B$5,6-1+'核心假设'!$B$31),SUM('融资租赁与资金缺口'!$M$5:$M$16)*$S6,0),IF(BW$4=EDATE('核心假设'!$B$5,7-1+'核心假设'!$B$31),SUM('融资租赁与资金缺口'!$M$5:$M$16)*$T6,0),IF(BW$4=EDATE('核心假设'!$B$5,8-1+'核心假设'!$B$31),SUM('融资租赁与资金缺口'!$M$5:$M$16)*$U6,0),IF(BW$4=EDATE('核心假设'!$B$5,9-1+'核心假设'!$B$31),SUM('融资租赁与资金缺口'!$M$5:$M$16)*$V6,0),IF(BW$4=EDATE('核心假设'!$B$5,10-1+'核心假设'!$B$31),SUM('融资租赁与资金缺口'!$M$5:$M$16)*$W6,0),IF(BW$4=EDATE('核心假设'!$B$5,11-1+'核心假设'!$B$31),SUM('融资租赁与资金缺口'!$M$5:$M$16)*$X6,0),IF(BW$4=EDATE('核心假设'!$B$5,12-1+'核心假设'!$B$31),SUM('融资租赁与资金缺口'!$M$5:$M$16)*$Y6,0),IF(BW$4=EDATE('核心假设'!$B$5,13-1+'核心假设'!$B$31),SUM('融资租赁与资金缺口'!$M$5:$M$16)*$Z6,0),IF(BW$4=EDATE('核心假设'!$B$5,14-1+'核心假设'!$B$31),SUM('融资租赁与资金缺口'!$M$5:$M$16)*$AA6,0),IF(BW$4=EDATE('核心假设'!$B$5,15-1+'核心假设'!$B$31),SUM('融资租赁与资金缺口'!$M$5:$M$16)*$AB6,0),IF(BW$4=EDATE('核心假设'!$B$5,16-1+'核心假设'!$B$31),SUM('融资租赁与资金缺口'!$M$5:$M$16)*$AC6,0),IF(BW$4=EDATE('核心假设'!$B$5,17-1+'核心假设'!$B$31),SUM('融资租赁与资金缺口'!$M$5:$M$16)*$AD6,0))</x:f>
        <x:v>0</x:v>
      </x:c>
      <x:c r="BX15" s="28" t="n">
        <x:f>SUM(IF(BX$4=EDATE('核心假设'!$B$5,0-1+'核心假设'!$B$31),SUM('融资租赁与资金缺口'!$M$5:$M$16)*$M6,0),IF(BX$4=EDATE('核心假设'!$B$5,1-1+'核心假设'!$B$31),SUM('融资租赁与资金缺口'!$M$5:$M$16)*$N6,0),IF(BX$4=EDATE('核心假设'!$B$5,2-1+'核心假设'!$B$31),SUM('融资租赁与资金缺口'!$M$5:$M$16)*$O6,0),IF(BX$4=EDATE('核心假设'!$B$5,3-1+'核心假设'!$B$31),SUM('融资租赁与资金缺口'!$M$5:$M$16)*$P6,0),IF(BX$4=EDATE('核心假设'!$B$5,4-1+'核心假设'!$B$31),SUM('融资租赁与资金缺口'!$M$5:$M$16)*$Q6,0),IF(BX$4=EDATE('核心假设'!$B$5,5-1+'核心假设'!$B$31),SUM('融资租赁与资金缺口'!$M$5:$M$16)*$R6,0),IF(BX$4=EDATE('核心假设'!$B$5,6-1+'核心假设'!$B$31),SUM('融资租赁与资金缺口'!$M$5:$M$16)*$S6,0),IF(BX$4=EDATE('核心假设'!$B$5,7-1+'核心假设'!$B$31),SUM('融资租赁与资金缺口'!$M$5:$M$16)*$T6,0),IF(BX$4=EDATE('核心假设'!$B$5,8-1+'核心假设'!$B$31),SUM('融资租赁与资金缺口'!$M$5:$M$16)*$U6,0),IF(BX$4=EDATE('核心假设'!$B$5,9-1+'核心假设'!$B$31),SUM('融资租赁与资金缺口'!$M$5:$M$16)*$V6,0),IF(BX$4=EDATE('核心假设'!$B$5,10-1+'核心假设'!$B$31),SUM('融资租赁与资金缺口'!$M$5:$M$16)*$W6,0),IF(BX$4=EDATE('核心假设'!$B$5,11-1+'核心假设'!$B$31),SUM('融资租赁与资金缺口'!$M$5:$M$16)*$X6,0),IF(BX$4=EDATE('核心假设'!$B$5,12-1+'核心假设'!$B$31),SUM('融资租赁与资金缺口'!$M$5:$M$16)*$Y6,0),IF(BX$4=EDATE('核心假设'!$B$5,13-1+'核心假设'!$B$31),SUM('融资租赁与资金缺口'!$M$5:$M$16)*$Z6,0),IF(BX$4=EDATE('核心假设'!$B$5,14-1+'核心假设'!$B$31),SUM('融资租赁与资金缺口'!$M$5:$M$16)*$AA6,0),IF(BX$4=EDATE('核心假设'!$B$5,15-1+'核心假设'!$B$31),SUM('融资租赁与资金缺口'!$M$5:$M$16)*$AB6,0),IF(BX$4=EDATE('核心假设'!$B$5,16-1+'核心假设'!$B$31),SUM('融资租赁与资金缺口'!$M$5:$M$16)*$AC6,0),IF(BX$4=EDATE('核心假设'!$B$5,17-1+'核心假设'!$B$31),SUM('融资租赁与资金缺口'!$M$5:$M$16)*$AD6,0))</x:f>
        <x:v>0</x:v>
      </x:c>
      <x:c r="BY15" s="28" t="n">
        <x:f>SUM(IF(BY$4=EDATE('核心假设'!$B$5,0-1+'核心假设'!$B$31),SUM('融资租赁与资金缺口'!$M$5:$M$16)*$M6,0),IF(BY$4=EDATE('核心假设'!$B$5,1-1+'核心假设'!$B$31),SUM('融资租赁与资金缺口'!$M$5:$M$16)*$N6,0),IF(BY$4=EDATE('核心假设'!$B$5,2-1+'核心假设'!$B$31),SUM('融资租赁与资金缺口'!$M$5:$M$16)*$O6,0),IF(BY$4=EDATE('核心假设'!$B$5,3-1+'核心假设'!$B$31),SUM('融资租赁与资金缺口'!$M$5:$M$16)*$P6,0),IF(BY$4=EDATE('核心假设'!$B$5,4-1+'核心假设'!$B$31),SUM('融资租赁与资金缺口'!$M$5:$M$16)*$Q6,0),IF(BY$4=EDATE('核心假设'!$B$5,5-1+'核心假设'!$B$31),SUM('融资租赁与资金缺口'!$M$5:$M$16)*$R6,0),IF(BY$4=EDATE('核心假设'!$B$5,6-1+'核心假设'!$B$31),SUM('融资租赁与资金缺口'!$M$5:$M$16)*$S6,0),IF(BY$4=EDATE('核心假设'!$B$5,7-1+'核心假设'!$B$31),SUM('融资租赁与资金缺口'!$M$5:$M$16)*$T6,0),IF(BY$4=EDATE('核心假设'!$B$5,8-1+'核心假设'!$B$31),SUM('融资租赁与资金缺口'!$M$5:$M$16)*$U6,0),IF(BY$4=EDATE('核心假设'!$B$5,9-1+'核心假设'!$B$31),SUM('融资租赁与资金缺口'!$M$5:$M$16)*$V6,0),IF(BY$4=EDATE('核心假设'!$B$5,10-1+'核心假设'!$B$31),SUM('融资租赁与资金缺口'!$M$5:$M$16)*$W6,0),IF(BY$4=EDATE('核心假设'!$B$5,11-1+'核心假设'!$B$31),SUM('融资租赁与资金缺口'!$M$5:$M$16)*$X6,0),IF(BY$4=EDATE('核心假设'!$B$5,12-1+'核心假设'!$B$31),SUM('融资租赁与资金缺口'!$M$5:$M$16)*$Y6,0),IF(BY$4=EDATE('核心假设'!$B$5,13-1+'核心假设'!$B$31),SUM('融资租赁与资金缺口'!$M$5:$M$16)*$Z6,0),IF(BY$4=EDATE('核心假设'!$B$5,14-1+'核心假设'!$B$31),SUM('融资租赁与资金缺口'!$M$5:$M$16)*$AA6,0),IF(BY$4=EDATE('核心假设'!$B$5,15-1+'核心假设'!$B$31),SUM('融资租赁与资金缺口'!$M$5:$M$16)*$AB6,0),IF(BY$4=EDATE('核心假设'!$B$5,16-1+'核心假设'!$B$31),SUM('融资租赁与资金缺口'!$M$5:$M$16)*$AC6,0),IF(BY$4=EDATE('核心假设'!$B$5,17-1+'核心假设'!$B$31),SUM('融资租赁与资金缺口'!$M$5:$M$16)*$AD6,0))</x:f>
        <x:v>0</x:v>
      </x:c>
      <x:c r="BZ15" s="28" t="n">
        <x:f>SUM(IF(BZ$4=EDATE('核心假设'!$B$5,0-1+'核心假设'!$B$31),SUM('融资租赁与资金缺口'!$M$5:$M$16)*$M6,0),IF(BZ$4=EDATE('核心假设'!$B$5,1-1+'核心假设'!$B$31),SUM('融资租赁与资金缺口'!$M$5:$M$16)*$N6,0),IF(BZ$4=EDATE('核心假设'!$B$5,2-1+'核心假设'!$B$31),SUM('融资租赁与资金缺口'!$M$5:$M$16)*$O6,0),IF(BZ$4=EDATE('核心假设'!$B$5,3-1+'核心假设'!$B$31),SUM('融资租赁与资金缺口'!$M$5:$M$16)*$P6,0),IF(BZ$4=EDATE('核心假设'!$B$5,4-1+'核心假设'!$B$31),SUM('融资租赁与资金缺口'!$M$5:$M$16)*$Q6,0),IF(BZ$4=EDATE('核心假设'!$B$5,5-1+'核心假设'!$B$31),SUM('融资租赁与资金缺口'!$M$5:$M$16)*$R6,0),IF(BZ$4=EDATE('核心假设'!$B$5,6-1+'核心假设'!$B$31),SUM('融资租赁与资金缺口'!$M$5:$M$16)*$S6,0),IF(BZ$4=EDATE('核心假设'!$B$5,7-1+'核心假设'!$B$31),SUM('融资租赁与资金缺口'!$M$5:$M$16)*$T6,0),IF(BZ$4=EDATE('核心假设'!$B$5,8-1+'核心假设'!$B$31),SUM('融资租赁与资金缺口'!$M$5:$M$16)*$U6,0),IF(BZ$4=EDATE('核心假设'!$B$5,9-1+'核心假设'!$B$31),SUM('融资租赁与资金缺口'!$M$5:$M$16)*$V6,0),IF(BZ$4=EDATE('核心假设'!$B$5,10-1+'核心假设'!$B$31),SUM('融资租赁与资金缺口'!$M$5:$M$16)*$W6,0),IF(BZ$4=EDATE('核心假设'!$B$5,11-1+'核心假设'!$B$31),SUM('融资租赁与资金缺口'!$M$5:$M$16)*$X6,0),IF(BZ$4=EDATE('核心假设'!$B$5,12-1+'核心假设'!$B$31),SUM('融资租赁与资金缺口'!$M$5:$M$16)*$Y6,0),IF(BZ$4=EDATE('核心假设'!$B$5,13-1+'核心假设'!$B$31),SUM('融资租赁与资金缺口'!$M$5:$M$16)*$Z6,0),IF(BZ$4=EDATE('核心假设'!$B$5,14-1+'核心假设'!$B$31),SUM('融资租赁与资金缺口'!$M$5:$M$16)*$AA6,0),IF(BZ$4=EDATE('核心假设'!$B$5,15-1+'核心假设'!$B$31),SUM('融资租赁与资金缺口'!$M$5:$M$16)*$AB6,0),IF(BZ$4=EDATE('核心假设'!$B$5,16-1+'核心假设'!$B$31),SUM('融资租赁与资金缺口'!$M$5:$M$16)*$AC6,0),IF(BZ$4=EDATE('核心假设'!$B$5,17-1+'核心假设'!$B$31),SUM('融资租赁与资金缺口'!$M$5:$M$16)*$AD6,0))</x:f>
        <x:v>0</x:v>
      </x:c>
      <x:c r="CA15" s="28" t="n">
        <x:f>SUM(IF(CA$4=EDATE('核心假设'!$B$5,0-1+'核心假设'!$B$31),SUM('融资租赁与资金缺口'!$M$5:$M$16)*$M6,0),IF(CA$4=EDATE('核心假设'!$B$5,1-1+'核心假设'!$B$31),SUM('融资租赁与资金缺口'!$M$5:$M$16)*$N6,0),IF(CA$4=EDATE('核心假设'!$B$5,2-1+'核心假设'!$B$31),SUM('融资租赁与资金缺口'!$M$5:$M$16)*$O6,0),IF(CA$4=EDATE('核心假设'!$B$5,3-1+'核心假设'!$B$31),SUM('融资租赁与资金缺口'!$M$5:$M$16)*$P6,0),IF(CA$4=EDATE('核心假设'!$B$5,4-1+'核心假设'!$B$31),SUM('融资租赁与资金缺口'!$M$5:$M$16)*$Q6,0),IF(CA$4=EDATE('核心假设'!$B$5,5-1+'核心假设'!$B$31),SUM('融资租赁与资金缺口'!$M$5:$M$16)*$R6,0),IF(CA$4=EDATE('核心假设'!$B$5,6-1+'核心假设'!$B$31),SUM('融资租赁与资金缺口'!$M$5:$M$16)*$S6,0),IF(CA$4=EDATE('核心假设'!$B$5,7-1+'核心假设'!$B$31),SUM('融资租赁与资金缺口'!$M$5:$M$16)*$T6,0),IF(CA$4=EDATE('核心假设'!$B$5,8-1+'核心假设'!$B$31),SUM('融资租赁与资金缺口'!$M$5:$M$16)*$U6,0),IF(CA$4=EDATE('核心假设'!$B$5,9-1+'核心假设'!$B$31),SUM('融资租赁与资金缺口'!$M$5:$M$16)*$V6,0),IF(CA$4=EDATE('核心假设'!$B$5,10-1+'核心假设'!$B$31),SUM('融资租赁与资金缺口'!$M$5:$M$16)*$W6,0),IF(CA$4=EDATE('核心假设'!$B$5,11-1+'核心假设'!$B$31),SUM('融资租赁与资金缺口'!$M$5:$M$16)*$X6,0),IF(CA$4=EDATE('核心假设'!$B$5,12-1+'核心假设'!$B$31),SUM('融资租赁与资金缺口'!$M$5:$M$16)*$Y6,0),IF(CA$4=EDATE('核心假设'!$B$5,13-1+'核心假设'!$B$31),SUM('融资租赁与资金缺口'!$M$5:$M$16)*$Z6,0),IF(CA$4=EDATE('核心假设'!$B$5,14-1+'核心假设'!$B$31),SUM('融资租赁与资金缺口'!$M$5:$M$16)*$AA6,0),IF(CA$4=EDATE('核心假设'!$B$5,15-1+'核心假设'!$B$31),SUM('融资租赁与资金缺口'!$M$5:$M$16)*$AB6,0),IF(CA$4=EDATE('核心假设'!$B$5,16-1+'核心假设'!$B$31),SUM('融资租赁与资金缺口'!$M$5:$M$16)*$AC6,0),IF(CA$4=EDATE('核心假设'!$B$5,17-1+'核心假设'!$B$31),SUM('融资租赁与资金缺口'!$M$5:$M$16)*$AD6,0))</x:f>
        <x:v>0</x:v>
      </x:c>
      <x:c r="CB15" s="28" t="n">
        <x:f>SUM(IF(CB$4=EDATE('核心假设'!$B$5,0-1+'核心假设'!$B$31),SUM('融资租赁与资金缺口'!$M$5:$M$16)*$M6,0),IF(CB$4=EDATE('核心假设'!$B$5,1-1+'核心假设'!$B$31),SUM('融资租赁与资金缺口'!$M$5:$M$16)*$N6,0),IF(CB$4=EDATE('核心假设'!$B$5,2-1+'核心假设'!$B$31),SUM('融资租赁与资金缺口'!$M$5:$M$16)*$O6,0),IF(CB$4=EDATE('核心假设'!$B$5,3-1+'核心假设'!$B$31),SUM('融资租赁与资金缺口'!$M$5:$M$16)*$P6,0),IF(CB$4=EDATE('核心假设'!$B$5,4-1+'核心假设'!$B$31),SUM('融资租赁与资金缺口'!$M$5:$M$16)*$Q6,0),IF(CB$4=EDATE('核心假设'!$B$5,5-1+'核心假设'!$B$31),SUM('融资租赁与资金缺口'!$M$5:$M$16)*$R6,0),IF(CB$4=EDATE('核心假设'!$B$5,6-1+'核心假设'!$B$31),SUM('融资租赁与资金缺口'!$M$5:$M$16)*$S6,0),IF(CB$4=EDATE('核心假设'!$B$5,7-1+'核心假设'!$B$31),SUM('融资租赁与资金缺口'!$M$5:$M$16)*$T6,0),IF(CB$4=EDATE('核心假设'!$B$5,8-1+'核心假设'!$B$31),SUM('融资租赁与资金缺口'!$M$5:$M$16)*$U6,0),IF(CB$4=EDATE('核心假设'!$B$5,9-1+'核心假设'!$B$31),SUM('融资租赁与资金缺口'!$M$5:$M$16)*$V6,0),IF(CB$4=EDATE('核心假设'!$B$5,10-1+'核心假设'!$B$31),SUM('融资租赁与资金缺口'!$M$5:$M$16)*$W6,0),IF(CB$4=EDATE('核心假设'!$B$5,11-1+'核心假设'!$B$31),SUM('融资租赁与资金缺口'!$M$5:$M$16)*$X6,0),IF(CB$4=EDATE('核心假设'!$B$5,12-1+'核心假设'!$B$31),SUM('融资租赁与资金缺口'!$M$5:$M$16)*$Y6,0),IF(CB$4=EDATE('核心假设'!$B$5,13-1+'核心假设'!$B$31),SUM('融资租赁与资金缺口'!$M$5:$M$16)*$Z6,0),IF(CB$4=EDATE('核心假设'!$B$5,14-1+'核心假设'!$B$31),SUM('融资租赁与资金缺口'!$M$5:$M$16)*$AA6,0),IF(CB$4=EDATE('核心假设'!$B$5,15-1+'核心假设'!$B$31),SUM('融资租赁与资金缺口'!$M$5:$M$16)*$AB6,0),IF(CB$4=EDATE('核心假设'!$B$5,16-1+'核心假设'!$B$31),SUM('融资租赁与资金缺口'!$M$5:$M$16)*$AC6,0),IF(CB$4=EDATE('核心假设'!$B$5,17-1+'核心假设'!$B$31),SUM('融资租赁与资金缺口'!$M$5:$M$16)*$AD6,0))</x:f>
        <x:v>0</x:v>
      </x:c>
      <x:c r="CC15" s="28" t="n">
        <x:f>SUM(IF(CC$4=EDATE('核心假设'!$B$5,0-1+'核心假设'!$B$31),SUM('融资租赁与资金缺口'!$M$5:$M$16)*$M6,0),IF(CC$4=EDATE('核心假设'!$B$5,1-1+'核心假设'!$B$31),SUM('融资租赁与资金缺口'!$M$5:$M$16)*$N6,0),IF(CC$4=EDATE('核心假设'!$B$5,2-1+'核心假设'!$B$31),SUM('融资租赁与资金缺口'!$M$5:$M$16)*$O6,0),IF(CC$4=EDATE('核心假设'!$B$5,3-1+'核心假设'!$B$31),SUM('融资租赁与资金缺口'!$M$5:$M$16)*$P6,0),IF(CC$4=EDATE('核心假设'!$B$5,4-1+'核心假设'!$B$31),SUM('融资租赁与资金缺口'!$M$5:$M$16)*$Q6,0),IF(CC$4=EDATE('核心假设'!$B$5,5-1+'核心假设'!$B$31),SUM('融资租赁与资金缺口'!$M$5:$M$16)*$R6,0),IF(CC$4=EDATE('核心假设'!$B$5,6-1+'核心假设'!$B$31),SUM('融资租赁与资金缺口'!$M$5:$M$16)*$S6,0),IF(CC$4=EDATE('核心假设'!$B$5,7-1+'核心假设'!$B$31),SUM('融资租赁与资金缺口'!$M$5:$M$16)*$T6,0),IF(CC$4=EDATE('核心假设'!$B$5,8-1+'核心假设'!$B$31),SUM('融资租赁与资金缺口'!$M$5:$M$16)*$U6,0),IF(CC$4=EDATE('核心假设'!$B$5,9-1+'核心假设'!$B$31),SUM('融资租赁与资金缺口'!$M$5:$M$16)*$V6,0),IF(CC$4=EDATE('核心假设'!$B$5,10-1+'核心假设'!$B$31),SUM('融资租赁与资金缺口'!$M$5:$M$16)*$W6,0),IF(CC$4=EDATE('核心假设'!$B$5,11-1+'核心假设'!$B$31),SUM('融资租赁与资金缺口'!$M$5:$M$16)*$X6,0),IF(CC$4=EDATE('核心假设'!$B$5,12-1+'核心假设'!$B$31),SUM('融资租赁与资金缺口'!$M$5:$M$16)*$Y6,0),IF(CC$4=EDATE('核心假设'!$B$5,13-1+'核心假设'!$B$31),SUM('融资租赁与资金缺口'!$M$5:$M$16)*$Z6,0),IF(CC$4=EDATE('核心假设'!$B$5,14-1+'核心假设'!$B$31),SUM('融资租赁与资金缺口'!$M$5:$M$16)*$AA6,0),IF(CC$4=EDATE('核心假设'!$B$5,15-1+'核心假设'!$B$31),SUM('融资租赁与资金缺口'!$M$5:$M$16)*$AB6,0),IF(CC$4=EDATE('核心假设'!$B$5,16-1+'核心假设'!$B$31),SUM('融资租赁与资金缺口'!$M$5:$M$16)*$AC6,0),IF(CC$4=EDATE('核心假设'!$B$5,17-1+'核心假设'!$B$31),SUM('融资租赁与资金缺口'!$M$5:$M$16)*$AD6,0))</x:f>
        <x:v>0</x:v>
      </x:c>
      <x:c r="CD15" s="28" t="n">
        <x:f>SUM(IF(CD$4=EDATE('核心假设'!$B$5,0-1+'核心假设'!$B$31),SUM('融资租赁与资金缺口'!$M$5:$M$16)*$M6,0),IF(CD$4=EDATE('核心假设'!$B$5,1-1+'核心假设'!$B$31),SUM('融资租赁与资金缺口'!$M$5:$M$16)*$N6,0),IF(CD$4=EDATE('核心假设'!$B$5,2-1+'核心假设'!$B$31),SUM('融资租赁与资金缺口'!$M$5:$M$16)*$O6,0),IF(CD$4=EDATE('核心假设'!$B$5,3-1+'核心假设'!$B$31),SUM('融资租赁与资金缺口'!$M$5:$M$16)*$P6,0),IF(CD$4=EDATE('核心假设'!$B$5,4-1+'核心假设'!$B$31),SUM('融资租赁与资金缺口'!$M$5:$M$16)*$Q6,0),IF(CD$4=EDATE('核心假设'!$B$5,5-1+'核心假设'!$B$31),SUM('融资租赁与资金缺口'!$M$5:$M$16)*$R6,0),IF(CD$4=EDATE('核心假设'!$B$5,6-1+'核心假设'!$B$31),SUM('融资租赁与资金缺口'!$M$5:$M$16)*$S6,0),IF(CD$4=EDATE('核心假设'!$B$5,7-1+'核心假设'!$B$31),SUM('融资租赁与资金缺口'!$M$5:$M$16)*$T6,0),IF(CD$4=EDATE('核心假设'!$B$5,8-1+'核心假设'!$B$31),SUM('融资租赁与资金缺口'!$M$5:$M$16)*$U6,0),IF(CD$4=EDATE('核心假设'!$B$5,9-1+'核心假设'!$B$31),SUM('融资租赁与资金缺口'!$M$5:$M$16)*$V6,0),IF(CD$4=EDATE('核心假设'!$B$5,10-1+'核心假设'!$B$31),SUM('融资租赁与资金缺口'!$M$5:$M$16)*$W6,0),IF(CD$4=EDATE('核心假设'!$B$5,11-1+'核心假设'!$B$31),SUM('融资租赁与资金缺口'!$M$5:$M$16)*$X6,0),IF(CD$4=EDATE('核心假设'!$B$5,12-1+'核心假设'!$B$31),SUM('融资租赁与资金缺口'!$M$5:$M$16)*$Y6,0),IF(CD$4=EDATE('核心假设'!$B$5,13-1+'核心假设'!$B$31),SUM('融资租赁与资金缺口'!$M$5:$M$16)*$Z6,0),IF(CD$4=EDATE('核心假设'!$B$5,14-1+'核心假设'!$B$31),SUM('融资租赁与资金缺口'!$M$5:$M$16)*$AA6,0),IF(CD$4=EDATE('核心假设'!$B$5,15-1+'核心假设'!$B$31),SUM('融资租赁与资金缺口'!$M$5:$M$16)*$AB6,0),IF(CD$4=EDATE('核心假设'!$B$5,16-1+'核心假设'!$B$31),SUM('融资租赁与资金缺口'!$M$5:$M$16)*$AC6,0),IF(CD$4=EDATE('核心假设'!$B$5,17-1+'核心假设'!$B$31),SUM('融资租赁与资金缺口'!$M$5:$M$16)*$AD6,0))</x:f>
        <x:v>0</x:v>
      </x:c>
      <x:c r="CE15" s="28" t="n">
        <x:f>SUM(IF(CE$4=EDATE('核心假设'!$B$5,0-1+'核心假设'!$B$31),SUM('融资租赁与资金缺口'!$M$5:$M$16)*$M6,0),IF(CE$4=EDATE('核心假设'!$B$5,1-1+'核心假设'!$B$31),SUM('融资租赁与资金缺口'!$M$5:$M$16)*$N6,0),IF(CE$4=EDATE('核心假设'!$B$5,2-1+'核心假设'!$B$31),SUM('融资租赁与资金缺口'!$M$5:$M$16)*$O6,0),IF(CE$4=EDATE('核心假设'!$B$5,3-1+'核心假设'!$B$31),SUM('融资租赁与资金缺口'!$M$5:$M$16)*$P6,0),IF(CE$4=EDATE('核心假设'!$B$5,4-1+'核心假设'!$B$31),SUM('融资租赁与资金缺口'!$M$5:$M$16)*$Q6,0),IF(CE$4=EDATE('核心假设'!$B$5,5-1+'核心假设'!$B$31),SUM('融资租赁与资金缺口'!$M$5:$M$16)*$R6,0),IF(CE$4=EDATE('核心假设'!$B$5,6-1+'核心假设'!$B$31),SUM('融资租赁与资金缺口'!$M$5:$M$16)*$S6,0),IF(CE$4=EDATE('核心假设'!$B$5,7-1+'核心假设'!$B$31),SUM('融资租赁与资金缺口'!$M$5:$M$16)*$T6,0),IF(CE$4=EDATE('核心假设'!$B$5,8-1+'核心假设'!$B$31),SUM('融资租赁与资金缺口'!$M$5:$M$16)*$U6,0),IF(CE$4=EDATE('核心假设'!$B$5,9-1+'核心假设'!$B$31),SUM('融资租赁与资金缺口'!$M$5:$M$16)*$V6,0),IF(CE$4=EDATE('核心假设'!$B$5,10-1+'核心假设'!$B$31),SUM('融资租赁与资金缺口'!$M$5:$M$16)*$W6,0),IF(CE$4=EDATE('核心假设'!$B$5,11-1+'核心假设'!$B$31),SUM('融资租赁与资金缺口'!$M$5:$M$16)*$X6,0),IF(CE$4=EDATE('核心假设'!$B$5,12-1+'核心假设'!$B$31),SUM('融资租赁与资金缺口'!$M$5:$M$16)*$Y6,0),IF(CE$4=EDATE('核心假设'!$B$5,13-1+'核心假设'!$B$31),SUM('融资租赁与资金缺口'!$M$5:$M$16)*$Z6,0),IF(CE$4=EDATE('核心假设'!$B$5,14-1+'核心假设'!$B$31),SUM('融资租赁与资金缺口'!$M$5:$M$16)*$AA6,0),IF(CE$4=EDATE('核心假设'!$B$5,15-1+'核心假设'!$B$31),SUM('融资租赁与资金缺口'!$M$5:$M$16)*$AB6,0),IF(CE$4=EDATE('核心假设'!$B$5,16-1+'核心假设'!$B$31),SUM('融资租赁与资金缺口'!$M$5:$M$16)*$AC6,0),IF(CE$4=EDATE('核心假设'!$B$5,17-1+'核心假设'!$B$31),SUM('融资租赁与资金缺口'!$M$5:$M$16)*$AD6,0))</x:f>
        <x:v>0</x:v>
      </x:c>
      <x:c r="CF15" s="28" t="n">
        <x:f>SUM(IF(CF$4=EDATE('核心假设'!$B$5,0-1+'核心假设'!$B$31),SUM('融资租赁与资金缺口'!$M$5:$M$16)*$M6,0),IF(CF$4=EDATE('核心假设'!$B$5,1-1+'核心假设'!$B$31),SUM('融资租赁与资金缺口'!$M$5:$M$16)*$N6,0),IF(CF$4=EDATE('核心假设'!$B$5,2-1+'核心假设'!$B$31),SUM('融资租赁与资金缺口'!$M$5:$M$16)*$O6,0),IF(CF$4=EDATE('核心假设'!$B$5,3-1+'核心假设'!$B$31),SUM('融资租赁与资金缺口'!$M$5:$M$16)*$P6,0),IF(CF$4=EDATE('核心假设'!$B$5,4-1+'核心假设'!$B$31),SUM('融资租赁与资金缺口'!$M$5:$M$16)*$Q6,0),IF(CF$4=EDATE('核心假设'!$B$5,5-1+'核心假设'!$B$31),SUM('融资租赁与资金缺口'!$M$5:$M$16)*$R6,0),IF(CF$4=EDATE('核心假设'!$B$5,6-1+'核心假设'!$B$31),SUM('融资租赁与资金缺口'!$M$5:$M$16)*$S6,0),IF(CF$4=EDATE('核心假设'!$B$5,7-1+'核心假设'!$B$31),SUM('融资租赁与资金缺口'!$M$5:$M$16)*$T6,0),IF(CF$4=EDATE('核心假设'!$B$5,8-1+'核心假设'!$B$31),SUM('融资租赁与资金缺口'!$M$5:$M$16)*$U6,0),IF(CF$4=EDATE('核心假设'!$B$5,9-1+'核心假设'!$B$31),SUM('融资租赁与资金缺口'!$M$5:$M$16)*$V6,0),IF(CF$4=EDATE('核心假设'!$B$5,10-1+'核心假设'!$B$31),SUM('融资租赁与资金缺口'!$M$5:$M$16)*$W6,0),IF(CF$4=EDATE('核心假设'!$B$5,11-1+'核心假设'!$B$31),SUM('融资租赁与资金缺口'!$M$5:$M$16)*$X6,0),IF(CF$4=EDATE('核心假设'!$B$5,12-1+'核心假设'!$B$31),SUM('融资租赁与资金缺口'!$M$5:$M$16)*$Y6,0),IF(CF$4=EDATE('核心假设'!$B$5,13-1+'核心假设'!$B$31),SUM('融资租赁与资金缺口'!$M$5:$M$16)*$Z6,0),IF(CF$4=EDATE('核心假设'!$B$5,14-1+'核心假设'!$B$31),SUM('融资租赁与资金缺口'!$M$5:$M$16)*$AA6,0),IF(CF$4=EDATE('核心假设'!$B$5,15-1+'核心假设'!$B$31),SUM('融资租赁与资金缺口'!$M$5:$M$16)*$AB6,0),IF(CF$4=EDATE('核心假设'!$B$5,16-1+'核心假设'!$B$31),SUM('融资租赁与资金缺口'!$M$5:$M$16)*$AC6,0),IF(CF$4=EDATE('核心假设'!$B$5,17-1+'核心假设'!$B$31),SUM('融资租赁与资金缺口'!$M$5:$M$16)*$AD6,0))</x:f>
        <x:v>0</x:v>
      </x:c>
      <x:c r="CG15" s="28" t="n">
        <x:f>SUM(IF(CG$4=EDATE('核心假设'!$B$5,0-1+'核心假设'!$B$31),SUM('融资租赁与资金缺口'!$M$5:$M$16)*$M6,0),IF(CG$4=EDATE('核心假设'!$B$5,1-1+'核心假设'!$B$31),SUM('融资租赁与资金缺口'!$M$5:$M$16)*$N6,0),IF(CG$4=EDATE('核心假设'!$B$5,2-1+'核心假设'!$B$31),SUM('融资租赁与资金缺口'!$M$5:$M$16)*$O6,0),IF(CG$4=EDATE('核心假设'!$B$5,3-1+'核心假设'!$B$31),SUM('融资租赁与资金缺口'!$M$5:$M$16)*$P6,0),IF(CG$4=EDATE('核心假设'!$B$5,4-1+'核心假设'!$B$31),SUM('融资租赁与资金缺口'!$M$5:$M$16)*$Q6,0),IF(CG$4=EDATE('核心假设'!$B$5,5-1+'核心假设'!$B$31),SUM('融资租赁与资金缺口'!$M$5:$M$16)*$R6,0),IF(CG$4=EDATE('核心假设'!$B$5,6-1+'核心假设'!$B$31),SUM('融资租赁与资金缺口'!$M$5:$M$16)*$S6,0),IF(CG$4=EDATE('核心假设'!$B$5,7-1+'核心假设'!$B$31),SUM('融资租赁与资金缺口'!$M$5:$M$16)*$T6,0),IF(CG$4=EDATE('核心假设'!$B$5,8-1+'核心假设'!$B$31),SUM('融资租赁与资金缺口'!$M$5:$M$16)*$U6,0),IF(CG$4=EDATE('核心假设'!$B$5,9-1+'核心假设'!$B$31),SUM('融资租赁与资金缺口'!$M$5:$M$16)*$V6,0),IF(CG$4=EDATE('核心假设'!$B$5,10-1+'核心假设'!$B$31),SUM('融资租赁与资金缺口'!$M$5:$M$16)*$W6,0),IF(CG$4=EDATE('核心假设'!$B$5,11-1+'核心假设'!$B$31),SUM('融资租赁与资金缺口'!$M$5:$M$16)*$X6,0),IF(CG$4=EDATE('核心假设'!$B$5,12-1+'核心假设'!$B$31),SUM('融资租赁与资金缺口'!$M$5:$M$16)*$Y6,0),IF(CG$4=EDATE('核心假设'!$B$5,13-1+'核心假设'!$B$31),SUM('融资租赁与资金缺口'!$M$5:$M$16)*$Z6,0),IF(CG$4=EDATE('核心假设'!$B$5,14-1+'核心假设'!$B$31),SUM('融资租赁与资金缺口'!$M$5:$M$16)*$AA6,0),IF(CG$4=EDATE('核心假设'!$B$5,15-1+'核心假设'!$B$31),SUM('融资租赁与资金缺口'!$M$5:$M$16)*$AB6,0),IF(CG$4=EDATE('核心假设'!$B$5,16-1+'核心假设'!$B$31),SUM('融资租赁与资金缺口'!$M$5:$M$16)*$AC6,0),IF(CG$4=EDATE('核心假设'!$B$5,17-1+'核心假设'!$B$31),SUM('融资租赁与资金缺口'!$M$5:$M$16)*$AD6,0))</x:f>
        <x:v>0</x:v>
      </x:c>
      <x:c r="CH15" s="28" t="n">
        <x:f>SUM(IF(CH$4=EDATE('核心假设'!$B$5,0-1+'核心假设'!$B$31),SUM('融资租赁与资金缺口'!$M$5:$M$16)*$M6,0),IF(CH$4=EDATE('核心假设'!$B$5,1-1+'核心假设'!$B$31),SUM('融资租赁与资金缺口'!$M$5:$M$16)*$N6,0),IF(CH$4=EDATE('核心假设'!$B$5,2-1+'核心假设'!$B$31),SUM('融资租赁与资金缺口'!$M$5:$M$16)*$O6,0),IF(CH$4=EDATE('核心假设'!$B$5,3-1+'核心假设'!$B$31),SUM('融资租赁与资金缺口'!$M$5:$M$16)*$P6,0),IF(CH$4=EDATE('核心假设'!$B$5,4-1+'核心假设'!$B$31),SUM('融资租赁与资金缺口'!$M$5:$M$16)*$Q6,0),IF(CH$4=EDATE('核心假设'!$B$5,5-1+'核心假设'!$B$31),SUM('融资租赁与资金缺口'!$M$5:$M$16)*$R6,0),IF(CH$4=EDATE('核心假设'!$B$5,6-1+'核心假设'!$B$31),SUM('融资租赁与资金缺口'!$M$5:$M$16)*$S6,0),IF(CH$4=EDATE('核心假设'!$B$5,7-1+'核心假设'!$B$31),SUM('融资租赁与资金缺口'!$M$5:$M$16)*$T6,0),IF(CH$4=EDATE('核心假设'!$B$5,8-1+'核心假设'!$B$31),SUM('融资租赁与资金缺口'!$M$5:$M$16)*$U6,0),IF(CH$4=EDATE('核心假设'!$B$5,9-1+'核心假设'!$B$31),SUM('融资租赁与资金缺口'!$M$5:$M$16)*$V6,0),IF(CH$4=EDATE('核心假设'!$B$5,10-1+'核心假设'!$B$31),SUM('融资租赁与资金缺口'!$M$5:$M$16)*$W6,0),IF(CH$4=EDATE('核心假设'!$B$5,11-1+'核心假设'!$B$31),SUM('融资租赁与资金缺口'!$M$5:$M$16)*$X6,0),IF(CH$4=EDATE('核心假设'!$B$5,12-1+'核心假设'!$B$31),SUM('融资租赁与资金缺口'!$M$5:$M$16)*$Y6,0),IF(CH$4=EDATE('核心假设'!$B$5,13-1+'核心假设'!$B$31),SUM('融资租赁与资金缺口'!$M$5:$M$16)*$Z6,0),IF(CH$4=EDATE('核心假设'!$B$5,14-1+'核心假设'!$B$31),SUM('融资租赁与资金缺口'!$M$5:$M$16)*$AA6,0),IF(CH$4=EDATE('核心假设'!$B$5,15-1+'核心假设'!$B$31),SUM('融资租赁与资金缺口'!$M$5:$M$16)*$AB6,0),IF(CH$4=EDATE('核心假设'!$B$5,16-1+'核心假设'!$B$31),SUM('融资租赁与资金缺口'!$M$5:$M$16)*$AC6,0),IF(CH$4=EDATE('核心假设'!$B$5,17-1+'核心假设'!$B$31),SUM('融资租赁与资金缺口'!$M$5:$M$16)*$AD6,0))</x:f>
        <x:v>0</x:v>
      </x:c>
      <x:c r="CI15" s="28" t="n">
        <x:f>SUM(IF(CI$4=EDATE('核心假设'!$B$5,0-1+'核心假设'!$B$31),SUM('融资租赁与资金缺口'!$M$5:$M$16)*$M6,0),IF(CI$4=EDATE('核心假设'!$B$5,1-1+'核心假设'!$B$31),SUM('融资租赁与资金缺口'!$M$5:$M$16)*$N6,0),IF(CI$4=EDATE('核心假设'!$B$5,2-1+'核心假设'!$B$31),SUM('融资租赁与资金缺口'!$M$5:$M$16)*$O6,0),IF(CI$4=EDATE('核心假设'!$B$5,3-1+'核心假设'!$B$31),SUM('融资租赁与资金缺口'!$M$5:$M$16)*$P6,0),IF(CI$4=EDATE('核心假设'!$B$5,4-1+'核心假设'!$B$31),SUM('融资租赁与资金缺口'!$M$5:$M$16)*$Q6,0),IF(CI$4=EDATE('核心假设'!$B$5,5-1+'核心假设'!$B$31),SUM('融资租赁与资金缺口'!$M$5:$M$16)*$R6,0),IF(CI$4=EDATE('核心假设'!$B$5,6-1+'核心假设'!$B$31),SUM('融资租赁与资金缺口'!$M$5:$M$16)*$S6,0),IF(CI$4=EDATE('核心假设'!$B$5,7-1+'核心假设'!$B$31),SUM('融资租赁与资金缺口'!$M$5:$M$16)*$T6,0),IF(CI$4=EDATE('核心假设'!$B$5,8-1+'核心假设'!$B$31),SUM('融资租赁与资金缺口'!$M$5:$M$16)*$U6,0),IF(CI$4=EDATE('核心假设'!$B$5,9-1+'核心假设'!$B$31),SUM('融资租赁与资金缺口'!$M$5:$M$16)*$V6,0),IF(CI$4=EDATE('核心假设'!$B$5,10-1+'核心假设'!$B$31),SUM('融资租赁与资金缺口'!$M$5:$M$16)*$W6,0),IF(CI$4=EDATE('核心假设'!$B$5,11-1+'核心假设'!$B$31),SUM('融资租赁与资金缺口'!$M$5:$M$16)*$X6,0),IF(CI$4=EDATE('核心假设'!$B$5,12-1+'核心假设'!$B$31),SUM('融资租赁与资金缺口'!$M$5:$M$16)*$Y6,0),IF(CI$4=EDATE('核心假设'!$B$5,13-1+'核心假设'!$B$31),SUM('融资租赁与资金缺口'!$M$5:$M$16)*$Z6,0),IF(CI$4=EDATE('核心假设'!$B$5,14-1+'核心假设'!$B$31),SUM('融资租赁与资金缺口'!$M$5:$M$16)*$AA6,0),IF(CI$4=EDATE('核心假设'!$B$5,15-1+'核心假设'!$B$31),SUM('融资租赁与资金缺口'!$M$5:$M$16)*$AB6,0),IF(CI$4=EDATE('核心假设'!$B$5,16-1+'核心假设'!$B$31),SUM('融资租赁与资金缺口'!$M$5:$M$16)*$AC6,0),IF(CI$4=EDATE('核心假设'!$B$5,17-1+'核心假设'!$B$31),SUM('融资租赁与资金缺口'!$M$5:$M$16)*$AD6,0))</x:f>
        <x:v>0</x:v>
      </x:c>
      <x:c r="CJ15" s="28" t="n">
        <x:f>SUM(IF(CJ$4=EDATE('核心假设'!$B$5,0-1+'核心假设'!$B$31),SUM('融资租赁与资金缺口'!$M$5:$M$16)*$M6,0),IF(CJ$4=EDATE('核心假设'!$B$5,1-1+'核心假设'!$B$31),SUM('融资租赁与资金缺口'!$M$5:$M$16)*$N6,0),IF(CJ$4=EDATE('核心假设'!$B$5,2-1+'核心假设'!$B$31),SUM('融资租赁与资金缺口'!$M$5:$M$16)*$O6,0),IF(CJ$4=EDATE('核心假设'!$B$5,3-1+'核心假设'!$B$31),SUM('融资租赁与资金缺口'!$M$5:$M$16)*$P6,0),IF(CJ$4=EDATE('核心假设'!$B$5,4-1+'核心假设'!$B$31),SUM('融资租赁与资金缺口'!$M$5:$M$16)*$Q6,0),IF(CJ$4=EDATE('核心假设'!$B$5,5-1+'核心假设'!$B$31),SUM('融资租赁与资金缺口'!$M$5:$M$16)*$R6,0),IF(CJ$4=EDATE('核心假设'!$B$5,6-1+'核心假设'!$B$31),SUM('融资租赁与资金缺口'!$M$5:$M$16)*$S6,0),IF(CJ$4=EDATE('核心假设'!$B$5,7-1+'核心假设'!$B$31),SUM('融资租赁与资金缺口'!$M$5:$M$16)*$T6,0),IF(CJ$4=EDATE('核心假设'!$B$5,8-1+'核心假设'!$B$31),SUM('融资租赁与资金缺口'!$M$5:$M$16)*$U6,0),IF(CJ$4=EDATE('核心假设'!$B$5,9-1+'核心假设'!$B$31),SUM('融资租赁与资金缺口'!$M$5:$M$16)*$V6,0),IF(CJ$4=EDATE('核心假设'!$B$5,10-1+'核心假设'!$B$31),SUM('融资租赁与资金缺口'!$M$5:$M$16)*$W6,0),IF(CJ$4=EDATE('核心假设'!$B$5,11-1+'核心假设'!$B$31),SUM('融资租赁与资金缺口'!$M$5:$M$16)*$X6,0),IF(CJ$4=EDATE('核心假设'!$B$5,12-1+'核心假设'!$B$31),SUM('融资租赁与资金缺口'!$M$5:$M$16)*$Y6,0),IF(CJ$4=EDATE('核心假设'!$B$5,13-1+'核心假设'!$B$31),SUM('融资租赁与资金缺口'!$M$5:$M$16)*$Z6,0),IF(CJ$4=EDATE('核心假设'!$B$5,14-1+'核心假设'!$B$31),SUM('融资租赁与资金缺口'!$M$5:$M$16)*$AA6,0),IF(CJ$4=EDATE('核心假设'!$B$5,15-1+'核心假设'!$B$31),SUM('融资租赁与资金缺口'!$M$5:$M$16)*$AB6,0),IF(CJ$4=EDATE('核心假设'!$B$5,16-1+'核心假设'!$B$31),SUM('融资租赁与资金缺口'!$M$5:$M$16)*$AC6,0),IF(CJ$4=EDATE('核心假设'!$B$5,17-1+'核心假设'!$B$31),SUM('融资租赁与资金缺口'!$M$5:$M$16)*$AD6,0))</x:f>
        <x:v>0</x:v>
      </x:c>
      <x:c r="CK15" s="28" t="n">
        <x:f>SUM(IF(CK$4=EDATE('核心假设'!$B$5,0-1+'核心假设'!$B$31),SUM('融资租赁与资金缺口'!$M$5:$M$16)*$M6,0),IF(CK$4=EDATE('核心假设'!$B$5,1-1+'核心假设'!$B$31),SUM('融资租赁与资金缺口'!$M$5:$M$16)*$N6,0),IF(CK$4=EDATE('核心假设'!$B$5,2-1+'核心假设'!$B$31),SUM('融资租赁与资金缺口'!$M$5:$M$16)*$O6,0),IF(CK$4=EDATE('核心假设'!$B$5,3-1+'核心假设'!$B$31),SUM('融资租赁与资金缺口'!$M$5:$M$16)*$P6,0),IF(CK$4=EDATE('核心假设'!$B$5,4-1+'核心假设'!$B$31),SUM('融资租赁与资金缺口'!$M$5:$M$16)*$Q6,0),IF(CK$4=EDATE('核心假设'!$B$5,5-1+'核心假设'!$B$31),SUM('融资租赁与资金缺口'!$M$5:$M$16)*$R6,0),IF(CK$4=EDATE('核心假设'!$B$5,6-1+'核心假设'!$B$31),SUM('融资租赁与资金缺口'!$M$5:$M$16)*$S6,0),IF(CK$4=EDATE('核心假设'!$B$5,7-1+'核心假设'!$B$31),SUM('融资租赁与资金缺口'!$M$5:$M$16)*$T6,0),IF(CK$4=EDATE('核心假设'!$B$5,8-1+'核心假设'!$B$31),SUM('融资租赁与资金缺口'!$M$5:$M$16)*$U6,0),IF(CK$4=EDATE('核心假设'!$B$5,9-1+'核心假设'!$B$31),SUM('融资租赁与资金缺口'!$M$5:$M$16)*$V6,0),IF(CK$4=EDATE('核心假设'!$B$5,10-1+'核心假设'!$B$31),SUM('融资租赁与资金缺口'!$M$5:$M$16)*$W6,0),IF(CK$4=EDATE('核心假设'!$B$5,11-1+'核心假设'!$B$31),SUM('融资租赁与资金缺口'!$M$5:$M$16)*$X6,0),IF(CK$4=EDATE('核心假设'!$B$5,12-1+'核心假设'!$B$31),SUM('融资租赁与资金缺口'!$M$5:$M$16)*$Y6,0),IF(CK$4=EDATE('核心假设'!$B$5,13-1+'核心假设'!$B$31),SUM('融资租赁与资金缺口'!$M$5:$M$16)*$Z6,0),IF(CK$4=EDATE('核心假设'!$B$5,14-1+'核心假设'!$B$31),SUM('融资租赁与资金缺口'!$M$5:$M$16)*$AA6,0),IF(CK$4=EDATE('核心假设'!$B$5,15-1+'核心假设'!$B$31),SUM('融资租赁与资金缺口'!$M$5:$M$16)*$AB6,0),IF(CK$4=EDATE('核心假设'!$B$5,16-1+'核心假设'!$B$31),SUM('融资租赁与资金缺口'!$M$5:$M$16)*$AC6,0),IF(CK$4=EDATE('核心假设'!$B$5,17-1+'核心假设'!$B$31),SUM('融资租赁与资金缺口'!$M$5:$M$16)*$AD6,0))</x:f>
        <x:v>0</x:v>
      </x:c>
      <x:c r="CL15" s="28" t="n">
        <x:f>SUM(IF(CL$4=EDATE('核心假设'!$B$5,0-1+'核心假设'!$B$31),SUM('融资租赁与资金缺口'!$M$5:$M$16)*$M6,0),IF(CL$4=EDATE('核心假设'!$B$5,1-1+'核心假设'!$B$31),SUM('融资租赁与资金缺口'!$M$5:$M$16)*$N6,0),IF(CL$4=EDATE('核心假设'!$B$5,2-1+'核心假设'!$B$31),SUM('融资租赁与资金缺口'!$M$5:$M$16)*$O6,0),IF(CL$4=EDATE('核心假设'!$B$5,3-1+'核心假设'!$B$31),SUM('融资租赁与资金缺口'!$M$5:$M$16)*$P6,0),IF(CL$4=EDATE('核心假设'!$B$5,4-1+'核心假设'!$B$31),SUM('融资租赁与资金缺口'!$M$5:$M$16)*$Q6,0),IF(CL$4=EDATE('核心假设'!$B$5,5-1+'核心假设'!$B$31),SUM('融资租赁与资金缺口'!$M$5:$M$16)*$R6,0),IF(CL$4=EDATE('核心假设'!$B$5,6-1+'核心假设'!$B$31),SUM('融资租赁与资金缺口'!$M$5:$M$16)*$S6,0),IF(CL$4=EDATE('核心假设'!$B$5,7-1+'核心假设'!$B$31),SUM('融资租赁与资金缺口'!$M$5:$M$16)*$T6,0),IF(CL$4=EDATE('核心假设'!$B$5,8-1+'核心假设'!$B$31),SUM('融资租赁与资金缺口'!$M$5:$M$16)*$U6,0),IF(CL$4=EDATE('核心假设'!$B$5,9-1+'核心假设'!$B$31),SUM('融资租赁与资金缺口'!$M$5:$M$16)*$V6,0),IF(CL$4=EDATE('核心假设'!$B$5,10-1+'核心假设'!$B$31),SUM('融资租赁与资金缺口'!$M$5:$M$16)*$W6,0),IF(CL$4=EDATE('核心假设'!$B$5,11-1+'核心假设'!$B$31),SUM('融资租赁与资金缺口'!$M$5:$M$16)*$X6,0),IF(CL$4=EDATE('核心假设'!$B$5,12-1+'核心假设'!$B$31),SUM('融资租赁与资金缺口'!$M$5:$M$16)*$Y6,0),IF(CL$4=EDATE('核心假设'!$B$5,13-1+'核心假设'!$B$31),SUM('融资租赁与资金缺口'!$M$5:$M$16)*$Z6,0),IF(CL$4=EDATE('核心假设'!$B$5,14-1+'核心假设'!$B$31),SUM('融资租赁与资金缺口'!$M$5:$M$16)*$AA6,0),IF(CL$4=EDATE('核心假设'!$B$5,15-1+'核心假设'!$B$31),SUM('融资租赁与资金缺口'!$M$5:$M$16)*$AB6,0),IF(CL$4=EDATE('核心假设'!$B$5,16-1+'核心假设'!$B$31),SUM('融资租赁与资金缺口'!$M$5:$M$16)*$AC6,0),IF(CL$4=EDATE('核心假设'!$B$5,17-1+'核心假设'!$B$31),SUM('融资租赁与资金缺口'!$M$5:$M$16)*$AD6,0))</x:f>
        <x:v>0</x:v>
      </x:c>
      <x:c r="CM15" s="28" t="n">
        <x:f>SUM(IF(CM$4=EDATE('核心假设'!$B$5,0-1+'核心假设'!$B$31),SUM('融资租赁与资金缺口'!$M$5:$M$16)*$M6,0),IF(CM$4=EDATE('核心假设'!$B$5,1-1+'核心假设'!$B$31),SUM('融资租赁与资金缺口'!$M$5:$M$16)*$N6,0),IF(CM$4=EDATE('核心假设'!$B$5,2-1+'核心假设'!$B$31),SUM('融资租赁与资金缺口'!$M$5:$M$16)*$O6,0),IF(CM$4=EDATE('核心假设'!$B$5,3-1+'核心假设'!$B$31),SUM('融资租赁与资金缺口'!$M$5:$M$16)*$P6,0),IF(CM$4=EDATE('核心假设'!$B$5,4-1+'核心假设'!$B$31),SUM('融资租赁与资金缺口'!$M$5:$M$16)*$Q6,0),IF(CM$4=EDATE('核心假设'!$B$5,5-1+'核心假设'!$B$31),SUM('融资租赁与资金缺口'!$M$5:$M$16)*$R6,0),IF(CM$4=EDATE('核心假设'!$B$5,6-1+'核心假设'!$B$31),SUM('融资租赁与资金缺口'!$M$5:$M$16)*$S6,0),IF(CM$4=EDATE('核心假设'!$B$5,7-1+'核心假设'!$B$31),SUM('融资租赁与资金缺口'!$M$5:$M$16)*$T6,0),IF(CM$4=EDATE('核心假设'!$B$5,8-1+'核心假设'!$B$31),SUM('融资租赁与资金缺口'!$M$5:$M$16)*$U6,0),IF(CM$4=EDATE('核心假设'!$B$5,9-1+'核心假设'!$B$31),SUM('融资租赁与资金缺口'!$M$5:$M$16)*$V6,0),IF(CM$4=EDATE('核心假设'!$B$5,10-1+'核心假设'!$B$31),SUM('融资租赁与资金缺口'!$M$5:$M$16)*$W6,0),IF(CM$4=EDATE('核心假设'!$B$5,11-1+'核心假设'!$B$31),SUM('融资租赁与资金缺口'!$M$5:$M$16)*$X6,0),IF(CM$4=EDATE('核心假设'!$B$5,12-1+'核心假设'!$B$31),SUM('融资租赁与资金缺口'!$M$5:$M$16)*$Y6,0),IF(CM$4=EDATE('核心假设'!$B$5,13-1+'核心假设'!$B$31),SUM('融资租赁与资金缺口'!$M$5:$M$16)*$Z6,0),IF(CM$4=EDATE('核心假设'!$B$5,14-1+'核心假设'!$B$31),SUM('融资租赁与资金缺口'!$M$5:$M$16)*$AA6,0),IF(CM$4=EDATE('核心假设'!$B$5,15-1+'核心假设'!$B$31),SUM('融资租赁与资金缺口'!$M$5:$M$16)*$AB6,0),IF(CM$4=EDATE('核心假设'!$B$5,16-1+'核心假设'!$B$31),SUM('融资租赁与资金缺口'!$M$5:$M$16)*$AC6,0),IF(CM$4=EDATE('核心假设'!$B$5,17-1+'核心假设'!$B$31),SUM('融资租赁与资金缺口'!$M$5:$M$16)*$AD6,0))</x:f>
        <x:v>0</x:v>
      </x:c>
    </x:row>
    <x:row r="16">
      <x:c r="A16" t="n">
        <x:v>24</x:v>
      </x:c>
      <x:c r="B16" s="29" t="n">
        <x:f>SUM(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)</x:f>
        <x:v>24362487.573663626</x:v>
      </x:c>
      <x:c r="C16" s="29" t="n">
        <x:f>SUM(AF52:BO52)</x:f>
        <x:v>587664825.9335542</x:v>
      </x:c>
      <x:c r="D16" s="116" t="n">
        <x:f>MIN(AF54:CM54)</x:f>
        <x:v>1.3321094244259761</x:v>
      </x:c>
      <x:c r="E16" s="29" t="n">
        <x:f>BO53</x:f>
        <x:v>2451532.2858010232</x:v>
      </x:c>
      <x:c r="F16" s="29" t="n">
        <x:f>MAX(0,-MIN(AF55:CM55))</x:f>
        <x:v>545206.8601081446</x:v>
      </x:c>
      <x:c r="G16" s="29" t="n">
        <x:f>SUM(AF52:CM52)-SUM('融资租赁与资金缺口'!$E$5:$E$16)</x:f>
        <x:v>46832701.76792717</x:v>
      </x:c>
      <x:c r="H16" s="29" t="n">
        <x:f>SUM('36月运营模型'!$B$12:$AK$12)</x:f>
        <x:v>1547192645.9628906</x:v>
      </x:c>
      <x:c r="AE16" t="str">
        <x:v>注资前累计现金</x:v>
      </x:c>
      <x:c r="AF16" s="28" t="n">
        <x:f>'核心假设'!$B$39+AF12-AF13+SUM(IF(AF$4=EDATE('核心假设'!$B$5,0+$F6),SUM('融资租赁与资金缺口'!$D$5:$D$16)*$M6*$C6,0),IF(AF$4=EDATE('核心假设'!$B$5,1+$F6),SUM('融资租赁与资金缺口'!$D$5:$D$16)*$N6*$C6,0),IF(AF$4=EDATE('核心假设'!$B$5,2+$F6),SUM('融资租赁与资金缺口'!$D$5:$D$16)*$O6*$C6,0),IF(AF$4=EDATE('核心假设'!$B$5,3+$F6),SUM('融资租赁与资金缺口'!$D$5:$D$16)*$P6*$C6,0),IF(AF$4=EDATE('核心假设'!$B$5,4+$F6),SUM('融资租赁与资金缺口'!$D$5:$D$16)*$Q6*$C6,0),IF(AF$4=EDATE('核心假设'!$B$5,5+$F6),SUM('融资租赁与资金缺口'!$D$5:$D$16)*$R6*$C6,0),IF(AF$4=EDATE('核心假设'!$B$5,6+$F6),SUM('融资租赁与资金缺口'!$D$5:$D$16)*$S6*$C6,0),IF(AF$4=EDATE('核心假设'!$B$5,7+$F6),SUM('融资租赁与资金缺口'!$D$5:$D$16)*$T6*$C6,0),IF(AF$4=EDATE('核心假设'!$B$5,8+$F6),SUM('融资租赁与资金缺口'!$D$5:$D$16)*$U6*$C6,0),IF(AF$4=EDATE('核心假设'!$B$5,9+$F6),SUM('融资租赁与资金缺口'!$D$5:$D$16)*$V6*$C6,0),IF(AF$4=EDATE('核心假设'!$B$5,10+$F6),SUM('融资租赁与资金缺口'!$D$5:$D$16)*$W6*$C6,0),IF(AF$4=EDATE('核心假设'!$B$5,11+$F6),SUM('融资租赁与资金缺口'!$D$5:$D$16)*$X6*$C6,0),IF(AF$4=EDATE('核心假设'!$B$5,12+$F6),SUM('融资租赁与资金缺口'!$D$5:$D$16)*$Y6*$C6,0),IF(AF$4=EDATE('核心假设'!$B$5,13+$F6),SUM('融资租赁与资金缺口'!$D$5:$D$16)*$Z6*$C6,0),IF(AF$4=EDATE('核心假设'!$B$5,14+$F6),SUM('融资租赁与资金缺口'!$D$5:$D$16)*$AA6*$C6,0),IF(AF$4=EDATE('核心假设'!$B$5,15+$F6),SUM('融资租赁与资金缺口'!$D$5:$D$16)*$AB6*$C6,0),IF(AF$4=EDATE('核心假设'!$B$5,16+$F6),SUM('融资租赁与资金缺口'!$D$5:$D$16)*$AC6*$C6,0),IF(AF$4=EDATE('核心假设'!$B$5,17+$F6),SUM('融资租赁与资金缺口'!$D$5:$D$16)*$AD6*$C6,0))-AF15</x:f>
        <x:v>535192.0242770729</x:v>
      </x:c>
      <x:c r="AG16" s="28" t="n">
        <x:f>AF16+AG12-AG13+SUM(IF(AG$4=EDATE('核心假设'!$B$5,0+$F6),SUM('融资租赁与资金缺口'!$D$5:$D$16)*$M6*$C6,0),IF(AG$4=EDATE('核心假设'!$B$5,1+$F6),SUM('融资租赁与资金缺口'!$D$5:$D$16)*$N6*$C6,0),IF(AG$4=EDATE('核心假设'!$B$5,2+$F6),SUM('融资租赁与资金缺口'!$D$5:$D$16)*$O6*$C6,0),IF(AG$4=EDATE('核心假设'!$B$5,3+$F6),SUM('融资租赁与资金缺口'!$D$5:$D$16)*$P6*$C6,0),IF(AG$4=EDATE('核心假设'!$B$5,4+$F6),SUM('融资租赁与资金缺口'!$D$5:$D$16)*$Q6*$C6,0),IF(AG$4=EDATE('核心假设'!$B$5,5+$F6),SUM('融资租赁与资金缺口'!$D$5:$D$16)*$R6*$C6,0),IF(AG$4=EDATE('核心假设'!$B$5,6+$F6),SUM('融资租赁与资金缺口'!$D$5:$D$16)*$S6*$C6,0),IF(AG$4=EDATE('核心假设'!$B$5,7+$F6),SUM('融资租赁与资金缺口'!$D$5:$D$16)*$T6*$C6,0),IF(AG$4=EDATE('核心假设'!$B$5,8+$F6),SUM('融资租赁与资金缺口'!$D$5:$D$16)*$U6*$C6,0),IF(AG$4=EDATE('核心假设'!$B$5,9+$F6),SUM('融资租赁与资金缺口'!$D$5:$D$16)*$V6*$C6,0),IF(AG$4=EDATE('核心假设'!$B$5,10+$F6),SUM('融资租赁与资金缺口'!$D$5:$D$16)*$W6*$C6,0),IF(AG$4=EDATE('核心假设'!$B$5,11+$F6),SUM('融资租赁与资金缺口'!$D$5:$D$16)*$X6*$C6,0),IF(AG$4=EDATE('核心假设'!$B$5,12+$F6),SUM('融资租赁与资金缺口'!$D$5:$D$16)*$Y6*$C6,0),IF(AG$4=EDATE('核心假设'!$B$5,13+$F6),SUM('融资租赁与资金缺口'!$D$5:$D$16)*$Z6*$C6,0),IF(AG$4=EDATE('核心假设'!$B$5,14+$F6),SUM('融资租赁与资金缺口'!$D$5:$D$16)*$AA6*$C6,0),IF(AG$4=EDATE('核心假设'!$B$5,15+$F6),SUM('融资租赁与资金缺口'!$D$5:$D$16)*$AB6*$C6,0),IF(AG$4=EDATE('核心假设'!$B$5,16+$F6),SUM('融资租赁与资金缺口'!$D$5:$D$16)*$AC6*$C6,0),IF(AG$4=EDATE('核心假设'!$B$5,17+$F6),SUM('融资租赁与资金缺口'!$D$5:$D$16)*$AD6*$C6,0))-AG15</x:f>
        <x:v>-3038771.4363586083</x:v>
      </x:c>
      <x:c r="AH16" s="28" t="n">
        <x:f>AG16+AH12-AH13+SUM(IF(AH$4=EDATE('核心假设'!$B$5,0+$F6),SUM('融资租赁与资金缺口'!$D$5:$D$16)*$M6*$C6,0),IF(AH$4=EDATE('核心假设'!$B$5,1+$F6),SUM('融资租赁与资金缺口'!$D$5:$D$16)*$N6*$C6,0),IF(AH$4=EDATE('核心假设'!$B$5,2+$F6),SUM('融资租赁与资金缺口'!$D$5:$D$16)*$O6*$C6,0),IF(AH$4=EDATE('核心假设'!$B$5,3+$F6),SUM('融资租赁与资金缺口'!$D$5:$D$16)*$P6*$C6,0),IF(AH$4=EDATE('核心假设'!$B$5,4+$F6),SUM('融资租赁与资金缺口'!$D$5:$D$16)*$Q6*$C6,0),IF(AH$4=EDATE('核心假设'!$B$5,5+$F6),SUM('融资租赁与资金缺口'!$D$5:$D$16)*$R6*$C6,0),IF(AH$4=EDATE('核心假设'!$B$5,6+$F6),SUM('融资租赁与资金缺口'!$D$5:$D$16)*$S6*$C6,0),IF(AH$4=EDATE('核心假设'!$B$5,7+$F6),SUM('融资租赁与资金缺口'!$D$5:$D$16)*$T6*$C6,0),IF(AH$4=EDATE('核心假设'!$B$5,8+$F6),SUM('融资租赁与资金缺口'!$D$5:$D$16)*$U6*$C6,0),IF(AH$4=EDATE('核心假设'!$B$5,9+$F6),SUM('融资租赁与资金缺口'!$D$5:$D$16)*$V6*$C6,0),IF(AH$4=EDATE('核心假设'!$B$5,10+$F6),SUM('融资租赁与资金缺口'!$D$5:$D$16)*$W6*$C6,0),IF(AH$4=EDATE('核心假设'!$B$5,11+$F6),SUM('融资租赁与资金缺口'!$D$5:$D$16)*$X6*$C6,0),IF(AH$4=EDATE('核心假设'!$B$5,12+$F6),SUM('融资租赁与资金缺口'!$D$5:$D$16)*$Y6*$C6,0),IF(AH$4=EDATE('核心假设'!$B$5,13+$F6),SUM('融资租赁与资金缺口'!$D$5:$D$16)*$Z6*$C6,0),IF(AH$4=EDATE('核心假设'!$B$5,14+$F6),SUM('融资租赁与资金缺口'!$D$5:$D$16)*$AA6*$C6,0),IF(AH$4=EDATE('核心假设'!$B$5,15+$F6),SUM('融资租赁与资金缺口'!$D$5:$D$16)*$AB6*$C6,0),IF(AH$4=EDATE('核心假设'!$B$5,16+$F6),SUM('融资租赁与资金缺口'!$D$5:$D$16)*$AC6*$C6,0),IF(AH$4=EDATE('核心假设'!$B$5,17+$F6),SUM('融资租赁与资金缺口'!$D$5:$D$16)*$AD6*$C6,0))-AH15</x:f>
        <x:v>-7409846.35997422</x:v>
      </x:c>
      <x:c r="AI16" s="28" t="n">
        <x:f>AH16+AI12-AI13+SUM(IF(AI$4=EDATE('核心假设'!$B$5,0+$F6),SUM('融资租赁与资金缺口'!$D$5:$D$16)*$M6*$C6,0),IF(AI$4=EDATE('核心假设'!$B$5,1+$F6),SUM('融资租赁与资金缺口'!$D$5:$D$16)*$N6*$C6,0),IF(AI$4=EDATE('核心假设'!$B$5,2+$F6),SUM('融资租赁与资金缺口'!$D$5:$D$16)*$O6*$C6,0),IF(AI$4=EDATE('核心假设'!$B$5,3+$F6),SUM('融资租赁与资金缺口'!$D$5:$D$16)*$P6*$C6,0),IF(AI$4=EDATE('核心假设'!$B$5,4+$F6),SUM('融资租赁与资金缺口'!$D$5:$D$16)*$Q6*$C6,0),IF(AI$4=EDATE('核心假设'!$B$5,5+$F6),SUM('融资租赁与资金缺口'!$D$5:$D$16)*$R6*$C6,0),IF(AI$4=EDATE('核心假设'!$B$5,6+$F6),SUM('融资租赁与资金缺口'!$D$5:$D$16)*$S6*$C6,0),IF(AI$4=EDATE('核心假设'!$B$5,7+$F6),SUM('融资租赁与资金缺口'!$D$5:$D$16)*$T6*$C6,0),IF(AI$4=EDATE('核心假设'!$B$5,8+$F6),SUM('融资租赁与资金缺口'!$D$5:$D$16)*$U6*$C6,0),IF(AI$4=EDATE('核心假设'!$B$5,9+$F6),SUM('融资租赁与资金缺口'!$D$5:$D$16)*$V6*$C6,0),IF(AI$4=EDATE('核心假设'!$B$5,10+$F6),SUM('融资租赁与资金缺口'!$D$5:$D$16)*$W6*$C6,0),IF(AI$4=EDATE('核心假设'!$B$5,11+$F6),SUM('融资租赁与资金缺口'!$D$5:$D$16)*$X6*$C6,0),IF(AI$4=EDATE('核心假设'!$B$5,12+$F6),SUM('融资租赁与资金缺口'!$D$5:$D$16)*$Y6*$C6,0),IF(AI$4=EDATE('核心假设'!$B$5,13+$F6),SUM('融资租赁与资金缺口'!$D$5:$D$16)*$Z6*$C6,0),IF(AI$4=EDATE('核心假设'!$B$5,14+$F6),SUM('融资租赁与资金缺口'!$D$5:$D$16)*$AA6*$C6,0),IF(AI$4=EDATE('核心假设'!$B$5,15+$F6),SUM('融资租赁与资金缺口'!$D$5:$D$16)*$AB6*$C6,0),IF(AI$4=EDATE('核心假设'!$B$5,16+$F6),SUM('融资租赁与资金缺口'!$D$5:$D$16)*$AC6*$C6,0),IF(AI$4=EDATE('核心假设'!$B$5,17+$F6),SUM('融资租赁与资金缺口'!$D$5:$D$16)*$AD6*$C6,0))-AI15</x:f>
        <x:v>-12188680.696681894</x:v>
      </x:c>
      <x:c r="AJ16" s="28" t="n">
        <x:f>AI16+AJ12-AJ13+SUM(IF(AJ$4=EDATE('核心假设'!$B$5,0+$F6),SUM('融资租赁与资金缺口'!$D$5:$D$16)*$M6*$C6,0),IF(AJ$4=EDATE('核心假设'!$B$5,1+$F6),SUM('融资租赁与资金缺口'!$D$5:$D$16)*$N6*$C6,0),IF(AJ$4=EDATE('核心假设'!$B$5,2+$F6),SUM('融资租赁与资金缺口'!$D$5:$D$16)*$O6*$C6,0),IF(AJ$4=EDATE('核心假设'!$B$5,3+$F6),SUM('融资租赁与资金缺口'!$D$5:$D$16)*$P6*$C6,0),IF(AJ$4=EDATE('核心假设'!$B$5,4+$F6),SUM('融资租赁与资金缺口'!$D$5:$D$16)*$Q6*$C6,0),IF(AJ$4=EDATE('核心假设'!$B$5,5+$F6),SUM('融资租赁与资金缺口'!$D$5:$D$16)*$R6*$C6,0),IF(AJ$4=EDATE('核心假设'!$B$5,6+$F6),SUM('融资租赁与资金缺口'!$D$5:$D$16)*$S6*$C6,0),IF(AJ$4=EDATE('核心假设'!$B$5,7+$F6),SUM('融资租赁与资金缺口'!$D$5:$D$16)*$T6*$C6,0),IF(AJ$4=EDATE('核心假设'!$B$5,8+$F6),SUM('融资租赁与资金缺口'!$D$5:$D$16)*$U6*$C6,0),IF(AJ$4=EDATE('核心假设'!$B$5,9+$F6),SUM('融资租赁与资金缺口'!$D$5:$D$16)*$V6*$C6,0),IF(AJ$4=EDATE('核心假设'!$B$5,10+$F6),SUM('融资租赁与资金缺口'!$D$5:$D$16)*$W6*$C6,0),IF(AJ$4=EDATE('核心假设'!$B$5,11+$F6),SUM('融资租赁与资金缺口'!$D$5:$D$16)*$X6*$C6,0),IF(AJ$4=EDATE('核心假设'!$B$5,12+$F6),SUM('融资租赁与资金缺口'!$D$5:$D$16)*$Y6*$C6,0),IF(AJ$4=EDATE('核心假设'!$B$5,13+$F6),SUM('融资租赁与资金缺口'!$D$5:$D$16)*$Z6*$C6,0),IF(AJ$4=EDATE('核心假设'!$B$5,14+$F6),SUM('融资租赁与资金缺口'!$D$5:$D$16)*$AA6*$C6,0),IF(AJ$4=EDATE('核心假设'!$B$5,15+$F6),SUM('融资租赁与资金缺口'!$D$5:$D$16)*$AB6*$C6,0),IF(AJ$4=EDATE('核心假设'!$B$5,16+$F6),SUM('融资租赁与资金缺口'!$D$5:$D$16)*$AC6*$C6,0),IF(AJ$4=EDATE('核心假设'!$B$5,17+$F6),SUM('融资租赁与资金缺口'!$D$5:$D$16)*$AD6*$C6,0))-AJ15</x:f>
        <x:v>-18033571.664702363</x:v>
      </x:c>
      <x:c r="AK16" s="28" t="n">
        <x:f>AJ16+AK12-AK13+SUM(IF(AK$4=EDATE('核心假设'!$B$5,0+$F6),SUM('融资租赁与资金缺口'!$D$5:$D$16)*$M6*$C6,0),IF(AK$4=EDATE('核心假设'!$B$5,1+$F6),SUM('融资租赁与资金缺口'!$D$5:$D$16)*$N6*$C6,0),IF(AK$4=EDATE('核心假设'!$B$5,2+$F6),SUM('融资租赁与资金缺口'!$D$5:$D$16)*$O6*$C6,0),IF(AK$4=EDATE('核心假设'!$B$5,3+$F6),SUM('融资租赁与资金缺口'!$D$5:$D$16)*$P6*$C6,0),IF(AK$4=EDATE('核心假设'!$B$5,4+$F6),SUM('融资租赁与资金缺口'!$D$5:$D$16)*$Q6*$C6,0),IF(AK$4=EDATE('核心假设'!$B$5,5+$F6),SUM('融资租赁与资金缺口'!$D$5:$D$16)*$R6*$C6,0),IF(AK$4=EDATE('核心假设'!$B$5,6+$F6),SUM('融资租赁与资金缺口'!$D$5:$D$16)*$S6*$C6,0),IF(AK$4=EDATE('核心假设'!$B$5,7+$F6),SUM('融资租赁与资金缺口'!$D$5:$D$16)*$T6*$C6,0),IF(AK$4=EDATE('核心假设'!$B$5,8+$F6),SUM('融资租赁与资金缺口'!$D$5:$D$16)*$U6*$C6,0),IF(AK$4=EDATE('核心假设'!$B$5,9+$F6),SUM('融资租赁与资金缺口'!$D$5:$D$16)*$V6*$C6,0),IF(AK$4=EDATE('核心假设'!$B$5,10+$F6),SUM('融资租赁与资金缺口'!$D$5:$D$16)*$W6*$C6,0),IF(AK$4=EDATE('核心假设'!$B$5,11+$F6),SUM('融资租赁与资金缺口'!$D$5:$D$16)*$X6*$C6,0),IF(AK$4=EDATE('核心假设'!$B$5,12+$F6),SUM('融资租赁与资金缺口'!$D$5:$D$16)*$Y6*$C6,0),IF(AK$4=EDATE('核心假设'!$B$5,13+$F6),SUM('融资租赁与资金缺口'!$D$5:$D$16)*$Z6*$C6,0),IF(AK$4=EDATE('核心假设'!$B$5,14+$F6),SUM('融资租赁与资金缺口'!$D$5:$D$16)*$AA6*$C6,0),IF(AK$4=EDATE('核心假设'!$B$5,15+$F6),SUM('融资租赁与资金缺口'!$D$5:$D$16)*$AB6*$C6,0),IF(AK$4=EDATE('核心假设'!$B$5,16+$F6),SUM('融资租赁与资金缺口'!$D$5:$D$16)*$AC6*$C6,0),IF(AK$4=EDATE('核心假设'!$B$5,17+$F6),SUM('融资租赁与资金缺口'!$D$5:$D$16)*$AD6*$C6,0))-AK15</x:f>
        <x:v>-25772609.248842597</x:v>
      </x:c>
      <x:c r="AL16" s="28" t="n">
        <x:f>AK16+AL12-AL13+SUM(IF(AL$4=EDATE('核心假设'!$B$5,0+$F6),SUM('融资租赁与资金缺口'!$D$5:$D$16)*$M6*$C6,0),IF(AL$4=EDATE('核心假设'!$B$5,1+$F6),SUM('融资租赁与资金缺口'!$D$5:$D$16)*$N6*$C6,0),IF(AL$4=EDATE('核心假设'!$B$5,2+$F6),SUM('融资租赁与资金缺口'!$D$5:$D$16)*$O6*$C6,0),IF(AL$4=EDATE('核心假设'!$B$5,3+$F6),SUM('融资租赁与资金缺口'!$D$5:$D$16)*$P6*$C6,0),IF(AL$4=EDATE('核心假设'!$B$5,4+$F6),SUM('融资租赁与资金缺口'!$D$5:$D$16)*$Q6*$C6,0),IF(AL$4=EDATE('核心假设'!$B$5,5+$F6),SUM('融资租赁与资金缺口'!$D$5:$D$16)*$R6*$C6,0),IF(AL$4=EDATE('核心假设'!$B$5,6+$F6),SUM('融资租赁与资金缺口'!$D$5:$D$16)*$S6*$C6,0),IF(AL$4=EDATE('核心假设'!$B$5,7+$F6),SUM('融资租赁与资金缺口'!$D$5:$D$16)*$T6*$C6,0),IF(AL$4=EDATE('核心假设'!$B$5,8+$F6),SUM('融资租赁与资金缺口'!$D$5:$D$16)*$U6*$C6,0),IF(AL$4=EDATE('核心假设'!$B$5,9+$F6),SUM('融资租赁与资金缺口'!$D$5:$D$16)*$V6*$C6,0),IF(AL$4=EDATE('核心假设'!$B$5,10+$F6),SUM('融资租赁与资金缺口'!$D$5:$D$16)*$W6*$C6,0),IF(AL$4=EDATE('核心假设'!$B$5,11+$F6),SUM('融资租赁与资金缺口'!$D$5:$D$16)*$X6*$C6,0),IF(AL$4=EDATE('核心假设'!$B$5,12+$F6),SUM('融资租赁与资金缺口'!$D$5:$D$16)*$Y6*$C6,0),IF(AL$4=EDATE('核心假设'!$B$5,13+$F6),SUM('融资租赁与资金缺口'!$D$5:$D$16)*$Z6*$C6,0),IF(AL$4=EDATE('核心假设'!$B$5,14+$F6),SUM('融资租赁与资金缺口'!$D$5:$D$16)*$AA6*$C6,0),IF(AL$4=EDATE('核心假设'!$B$5,15+$F6),SUM('融资租赁与资金缺口'!$D$5:$D$16)*$AB6*$C6,0),IF(AL$4=EDATE('核心假设'!$B$5,16+$F6),SUM('融资租赁与资金缺口'!$D$5:$D$16)*$AC6*$C6,0),IF(AL$4=EDATE('核心假设'!$B$5,17+$F6),SUM('融资租赁与资金缺口'!$D$5:$D$16)*$AD6*$C6,0))-AL15</x:f>
        <x:v>-34152544.20180844</x:v>
      </x:c>
      <x:c r="AM16" s="28" t="n">
        <x:f>AL16+AM12-AM13+SUM(IF(AM$4=EDATE('核心假设'!$B$5,0+$F6),SUM('融资租赁与资金缺口'!$D$5:$D$16)*$M6*$C6,0),IF(AM$4=EDATE('核心假设'!$B$5,1+$F6),SUM('融资租赁与资金缺口'!$D$5:$D$16)*$N6*$C6,0),IF(AM$4=EDATE('核心假设'!$B$5,2+$F6),SUM('融资租赁与资金缺口'!$D$5:$D$16)*$O6*$C6,0),IF(AM$4=EDATE('核心假设'!$B$5,3+$F6),SUM('融资租赁与资金缺口'!$D$5:$D$16)*$P6*$C6,0),IF(AM$4=EDATE('核心假设'!$B$5,4+$F6),SUM('融资租赁与资金缺口'!$D$5:$D$16)*$Q6*$C6,0),IF(AM$4=EDATE('核心假设'!$B$5,5+$F6),SUM('融资租赁与资金缺口'!$D$5:$D$16)*$R6*$C6,0),IF(AM$4=EDATE('核心假设'!$B$5,6+$F6),SUM('融资租赁与资金缺口'!$D$5:$D$16)*$S6*$C6,0),IF(AM$4=EDATE('核心假设'!$B$5,7+$F6),SUM('融资租赁与资金缺口'!$D$5:$D$16)*$T6*$C6,0),IF(AM$4=EDATE('核心假设'!$B$5,8+$F6),SUM('融资租赁与资金缺口'!$D$5:$D$16)*$U6*$C6,0),IF(AM$4=EDATE('核心假设'!$B$5,9+$F6),SUM('融资租赁与资金缺口'!$D$5:$D$16)*$V6*$C6,0),IF(AM$4=EDATE('核心假设'!$B$5,10+$F6),SUM('融资租赁与资金缺口'!$D$5:$D$16)*$W6*$C6,0),IF(AM$4=EDATE('核心假设'!$B$5,11+$F6),SUM('融资租赁与资金缺口'!$D$5:$D$16)*$X6*$C6,0),IF(AM$4=EDATE('核心假设'!$B$5,12+$F6),SUM('融资租赁与资金缺口'!$D$5:$D$16)*$Y6*$C6,0),IF(AM$4=EDATE('核心假设'!$B$5,13+$F6),SUM('融资租赁与资金缺口'!$D$5:$D$16)*$Z6*$C6,0),IF(AM$4=EDATE('核心假设'!$B$5,14+$F6),SUM('融资租赁与资金缺口'!$D$5:$D$16)*$AA6*$C6,0),IF(AM$4=EDATE('核心假设'!$B$5,15+$F6),SUM('融资租赁与资金缺口'!$D$5:$D$16)*$AB6*$C6,0),IF(AM$4=EDATE('核心假设'!$B$5,16+$F6),SUM('融资租赁与资金缺口'!$D$5:$D$16)*$AC6*$C6,0),IF(AM$4=EDATE('核心假设'!$B$5,17+$F6),SUM('融资租赁与资金缺口'!$D$5:$D$16)*$AD6*$C6,0))-AM15</x:f>
        <x:v>-43459803.53126159</x:v>
      </x:c>
      <x:c r="AN16" s="28" t="n">
        <x:f>AM16+AN12-AN13+SUM(IF(AN$4=EDATE('核心假设'!$B$5,0+$F6),SUM('融资租赁与资金缺口'!$D$5:$D$16)*$M6*$C6,0),IF(AN$4=EDATE('核心假设'!$B$5,1+$F6),SUM('融资租赁与资金缺口'!$D$5:$D$16)*$N6*$C6,0),IF(AN$4=EDATE('核心假设'!$B$5,2+$F6),SUM('融资租赁与资金缺口'!$D$5:$D$16)*$O6*$C6,0),IF(AN$4=EDATE('核心假设'!$B$5,3+$F6),SUM('融资租赁与资金缺口'!$D$5:$D$16)*$P6*$C6,0),IF(AN$4=EDATE('核心假设'!$B$5,4+$F6),SUM('融资租赁与资金缺口'!$D$5:$D$16)*$Q6*$C6,0),IF(AN$4=EDATE('核心假设'!$B$5,5+$F6),SUM('融资租赁与资金缺口'!$D$5:$D$16)*$R6*$C6,0),IF(AN$4=EDATE('核心假设'!$B$5,6+$F6),SUM('融资租赁与资金缺口'!$D$5:$D$16)*$S6*$C6,0),IF(AN$4=EDATE('核心假设'!$B$5,7+$F6),SUM('融资租赁与资金缺口'!$D$5:$D$16)*$T6*$C6,0),IF(AN$4=EDATE('核心假设'!$B$5,8+$F6),SUM('融资租赁与资金缺口'!$D$5:$D$16)*$U6*$C6,0),IF(AN$4=EDATE('核心假设'!$B$5,9+$F6),SUM('融资租赁与资金缺口'!$D$5:$D$16)*$V6*$C6,0),IF(AN$4=EDATE('核心假设'!$B$5,10+$F6),SUM('融资租赁与资金缺口'!$D$5:$D$16)*$W6*$C6,0),IF(AN$4=EDATE('核心假设'!$B$5,11+$F6),SUM('融资租赁与资金缺口'!$D$5:$D$16)*$X6*$C6,0),IF(AN$4=EDATE('核心假设'!$B$5,12+$F6),SUM('融资租赁与资金缺口'!$D$5:$D$16)*$Y6*$C6,0),IF(AN$4=EDATE('核心假设'!$B$5,13+$F6),SUM('融资租赁与资金缺口'!$D$5:$D$16)*$Z6*$C6,0),IF(AN$4=EDATE('核心假设'!$B$5,14+$F6),SUM('融资租赁与资金缺口'!$D$5:$D$16)*$AA6*$C6,0),IF(AN$4=EDATE('核心假设'!$B$5,15+$F6),SUM('融资租赁与资金缺口'!$D$5:$D$16)*$AB6*$C6,0),IF(AN$4=EDATE('核心假设'!$B$5,16+$F6),SUM('融资租赁与资金缺口'!$D$5:$D$16)*$AC6*$C6,0),IF(AN$4=EDATE('核心假设'!$B$5,17+$F6),SUM('融资租赁与资金缺口'!$D$5:$D$16)*$AD6*$C6,0))-AN15</x:f>
        <x:v>-52763396.63560689</x:v>
      </x:c>
      <x:c r="AO16" s="28" t="n">
        <x:f>AN16+AO12-AO13+SUM(IF(AO$4=EDATE('核心假设'!$B$5,0+$F6),SUM('融资租赁与资金缺口'!$D$5:$D$16)*$M6*$C6,0),IF(AO$4=EDATE('核心假设'!$B$5,1+$F6),SUM('融资租赁与资金缺口'!$D$5:$D$16)*$N6*$C6,0),IF(AO$4=EDATE('核心假设'!$B$5,2+$F6),SUM('融资租赁与资金缺口'!$D$5:$D$16)*$O6*$C6,0),IF(AO$4=EDATE('核心假设'!$B$5,3+$F6),SUM('融资租赁与资金缺口'!$D$5:$D$16)*$P6*$C6,0),IF(AO$4=EDATE('核心假设'!$B$5,4+$F6),SUM('融资租赁与资金缺口'!$D$5:$D$16)*$Q6*$C6,0),IF(AO$4=EDATE('核心假设'!$B$5,5+$F6),SUM('融资租赁与资金缺口'!$D$5:$D$16)*$R6*$C6,0),IF(AO$4=EDATE('核心假设'!$B$5,6+$F6),SUM('融资租赁与资金缺口'!$D$5:$D$16)*$S6*$C6,0),IF(AO$4=EDATE('核心假设'!$B$5,7+$F6),SUM('融资租赁与资金缺口'!$D$5:$D$16)*$T6*$C6,0),IF(AO$4=EDATE('核心假设'!$B$5,8+$F6),SUM('融资租赁与资金缺口'!$D$5:$D$16)*$U6*$C6,0),IF(AO$4=EDATE('核心假设'!$B$5,9+$F6),SUM('融资租赁与资金缺口'!$D$5:$D$16)*$V6*$C6,0),IF(AO$4=EDATE('核心假设'!$B$5,10+$F6),SUM('融资租赁与资金缺口'!$D$5:$D$16)*$W6*$C6,0),IF(AO$4=EDATE('核心假设'!$B$5,11+$F6),SUM('融资租赁与资金缺口'!$D$5:$D$16)*$X6*$C6,0),IF(AO$4=EDATE('核心假设'!$B$5,12+$F6),SUM('融资租赁与资金缺口'!$D$5:$D$16)*$Y6*$C6,0),IF(AO$4=EDATE('核心假设'!$B$5,13+$F6),SUM('融资租赁与资金缺口'!$D$5:$D$16)*$Z6*$C6,0),IF(AO$4=EDATE('核心假设'!$B$5,14+$F6),SUM('融资租赁与资金缺口'!$D$5:$D$16)*$AA6*$C6,0),IF(AO$4=EDATE('核心假设'!$B$5,15+$F6),SUM('融资租赁与资金缺口'!$D$5:$D$16)*$AB6*$C6,0),IF(AO$4=EDATE('核心假设'!$B$5,16+$F6),SUM('融资租赁与资金缺口'!$D$5:$D$16)*$AC6*$C6,0),IF(AO$4=EDATE('核心假设'!$B$5,17+$F6),SUM('融资租赁与资金缺口'!$D$5:$D$16)*$AD6*$C6,0))-AO15</x:f>
        <x:v>-60492069.64889961</x:v>
      </x:c>
      <x:c r="AP16" s="28" t="n">
        <x:f>AO16+AP12-AP13+SUM(IF(AP$4=EDATE('核心假设'!$B$5,0+$F6),SUM('融资租赁与资金缺口'!$D$5:$D$16)*$M6*$C6,0),IF(AP$4=EDATE('核心假设'!$B$5,1+$F6),SUM('融资租赁与资金缺口'!$D$5:$D$16)*$N6*$C6,0),IF(AP$4=EDATE('核心假设'!$B$5,2+$F6),SUM('融资租赁与资金缺口'!$D$5:$D$16)*$O6*$C6,0),IF(AP$4=EDATE('核心假设'!$B$5,3+$F6),SUM('融资租赁与资金缺口'!$D$5:$D$16)*$P6*$C6,0),IF(AP$4=EDATE('核心假设'!$B$5,4+$F6),SUM('融资租赁与资金缺口'!$D$5:$D$16)*$Q6*$C6,0),IF(AP$4=EDATE('核心假设'!$B$5,5+$F6),SUM('融资租赁与资金缺口'!$D$5:$D$16)*$R6*$C6,0),IF(AP$4=EDATE('核心假设'!$B$5,6+$F6),SUM('融资租赁与资金缺口'!$D$5:$D$16)*$S6*$C6,0),IF(AP$4=EDATE('核心假设'!$B$5,7+$F6),SUM('融资租赁与资金缺口'!$D$5:$D$16)*$T6*$C6,0),IF(AP$4=EDATE('核心假设'!$B$5,8+$F6),SUM('融资租赁与资金缺口'!$D$5:$D$16)*$U6*$C6,0),IF(AP$4=EDATE('核心假设'!$B$5,9+$F6),SUM('融资租赁与资金缺口'!$D$5:$D$16)*$V6*$C6,0),IF(AP$4=EDATE('核心假设'!$B$5,10+$F6),SUM('融资租赁与资金缺口'!$D$5:$D$16)*$W6*$C6,0),IF(AP$4=EDATE('核心假设'!$B$5,11+$F6),SUM('融资租赁与资金缺口'!$D$5:$D$16)*$X6*$C6,0),IF(AP$4=EDATE('核心假设'!$B$5,12+$F6),SUM('融资租赁与资金缺口'!$D$5:$D$16)*$Y6*$C6,0),IF(AP$4=EDATE('核心假设'!$B$5,13+$F6),SUM('融资租赁与资金缺口'!$D$5:$D$16)*$Z6*$C6,0),IF(AP$4=EDATE('核心假设'!$B$5,14+$F6),SUM('融资租赁与资金缺口'!$D$5:$D$16)*$AA6*$C6,0),IF(AP$4=EDATE('核心假设'!$B$5,15+$F6),SUM('融资租赁与资金缺口'!$D$5:$D$16)*$AB6*$C6,0),IF(AP$4=EDATE('核心假设'!$B$5,16+$F6),SUM('融资租赁与资金缺口'!$D$5:$D$16)*$AC6*$C6,0),IF(AP$4=EDATE('核心假设'!$B$5,17+$F6),SUM('融资租赁与资金缺口'!$D$5:$D$16)*$AD6*$C6,0))-AP15</x:f>
        <x:v>-66378119.9842385</x:v>
      </x:c>
      <x:c r="AQ16" s="28" t="n">
        <x:f>AP16+AQ12-AQ13+SUM(IF(AQ$4=EDATE('核心假设'!$B$5,0+$F6),SUM('融资租赁与资金缺口'!$D$5:$D$16)*$M6*$C6,0),IF(AQ$4=EDATE('核心假设'!$B$5,1+$F6),SUM('融资租赁与资金缺口'!$D$5:$D$16)*$N6*$C6,0),IF(AQ$4=EDATE('核心假设'!$B$5,2+$F6),SUM('融资租赁与资金缺口'!$D$5:$D$16)*$O6*$C6,0),IF(AQ$4=EDATE('核心假设'!$B$5,3+$F6),SUM('融资租赁与资金缺口'!$D$5:$D$16)*$P6*$C6,0),IF(AQ$4=EDATE('核心假设'!$B$5,4+$F6),SUM('融资租赁与资金缺口'!$D$5:$D$16)*$Q6*$C6,0),IF(AQ$4=EDATE('核心假设'!$B$5,5+$F6),SUM('融资租赁与资金缺口'!$D$5:$D$16)*$R6*$C6,0),IF(AQ$4=EDATE('核心假设'!$B$5,6+$F6),SUM('融资租赁与资金缺口'!$D$5:$D$16)*$S6*$C6,0),IF(AQ$4=EDATE('核心假设'!$B$5,7+$F6),SUM('融资租赁与资金缺口'!$D$5:$D$16)*$T6*$C6,0),IF(AQ$4=EDATE('核心假设'!$B$5,8+$F6),SUM('融资租赁与资金缺口'!$D$5:$D$16)*$U6*$C6,0),IF(AQ$4=EDATE('核心假设'!$B$5,9+$F6),SUM('融资租赁与资金缺口'!$D$5:$D$16)*$V6*$C6,0),IF(AQ$4=EDATE('核心假设'!$B$5,10+$F6),SUM('融资租赁与资金缺口'!$D$5:$D$16)*$W6*$C6,0),IF(AQ$4=EDATE('核心假设'!$B$5,11+$F6),SUM('融资租赁与资金缺口'!$D$5:$D$16)*$X6*$C6,0),IF(AQ$4=EDATE('核心假设'!$B$5,12+$F6),SUM('融资租赁与资金缺口'!$D$5:$D$16)*$Y6*$C6,0),IF(AQ$4=EDATE('核心假设'!$B$5,13+$F6),SUM('融资租赁与资金缺口'!$D$5:$D$16)*$Z6*$C6,0),IF(AQ$4=EDATE('核心假设'!$B$5,14+$F6),SUM('融资租赁与资金缺口'!$D$5:$D$16)*$AA6*$C6,0),IF(AQ$4=EDATE('核心假设'!$B$5,15+$F6),SUM('融资租赁与资金缺口'!$D$5:$D$16)*$AB6*$C6,0),IF(AQ$4=EDATE('核心假设'!$B$5,16+$F6),SUM('融资租赁与资金缺口'!$D$5:$D$16)*$AC6*$C6,0),IF(AQ$4=EDATE('核心假设'!$B$5,17+$F6),SUM('融资租赁与资金缺口'!$D$5:$D$16)*$AD6*$C6,0))-AQ15</x:f>
        <x:v>-70871140.9056529</x:v>
      </x:c>
      <x:c r="AR16" s="28" t="n">
        <x:f>AQ16+AR12-AR13+SUM(IF(AR$4=EDATE('核心假设'!$B$5,0+$F6),SUM('融资租赁与资金缺口'!$D$5:$D$16)*$M6*$C6,0),IF(AR$4=EDATE('核心假设'!$B$5,1+$F6),SUM('融资租赁与资金缺口'!$D$5:$D$16)*$N6*$C6,0),IF(AR$4=EDATE('核心假设'!$B$5,2+$F6),SUM('融资租赁与资金缺口'!$D$5:$D$16)*$O6*$C6,0),IF(AR$4=EDATE('核心假设'!$B$5,3+$F6),SUM('融资租赁与资金缺口'!$D$5:$D$16)*$P6*$C6,0),IF(AR$4=EDATE('核心假设'!$B$5,4+$F6),SUM('融资租赁与资金缺口'!$D$5:$D$16)*$Q6*$C6,0),IF(AR$4=EDATE('核心假设'!$B$5,5+$F6),SUM('融资租赁与资金缺口'!$D$5:$D$16)*$R6*$C6,0),IF(AR$4=EDATE('核心假设'!$B$5,6+$F6),SUM('融资租赁与资金缺口'!$D$5:$D$16)*$S6*$C6,0),IF(AR$4=EDATE('核心假设'!$B$5,7+$F6),SUM('融资租赁与资金缺口'!$D$5:$D$16)*$T6*$C6,0),IF(AR$4=EDATE('核心假设'!$B$5,8+$F6),SUM('融资租赁与资金缺口'!$D$5:$D$16)*$U6*$C6,0),IF(AR$4=EDATE('核心假设'!$B$5,9+$F6),SUM('融资租赁与资金缺口'!$D$5:$D$16)*$V6*$C6,0),IF(AR$4=EDATE('核心假设'!$B$5,10+$F6),SUM('融资租赁与资金缺口'!$D$5:$D$16)*$W6*$C6,0),IF(AR$4=EDATE('核心假设'!$B$5,11+$F6),SUM('融资租赁与资金缺口'!$D$5:$D$16)*$X6*$C6,0),IF(AR$4=EDATE('核心假设'!$B$5,12+$F6),SUM('融资租赁与资金缺口'!$D$5:$D$16)*$Y6*$C6,0),IF(AR$4=EDATE('核心假设'!$B$5,13+$F6),SUM('融资租赁与资金缺口'!$D$5:$D$16)*$Z6*$C6,0),IF(AR$4=EDATE('核心假设'!$B$5,14+$F6),SUM('融资租赁与资金缺口'!$D$5:$D$16)*$AA6*$C6,0),IF(AR$4=EDATE('核心假设'!$B$5,15+$F6),SUM('融资租赁与资金缺口'!$D$5:$D$16)*$AB6*$C6,0),IF(AR$4=EDATE('核心假设'!$B$5,16+$F6),SUM('融资租赁与资金缺口'!$D$5:$D$16)*$AC6*$C6,0),IF(AR$4=EDATE('核心假设'!$B$5,17+$F6),SUM('融资租赁与资金缺口'!$D$5:$D$16)*$AD6*$C6,0))-AR15</x:f>
        <x:v>-75392600.74193235</x:v>
      </x:c>
      <x:c r="AS16" s="28" t="n">
        <x:f>AR16+AS12-AS13+SUM(IF(AS$4=EDATE('核心假设'!$B$5,0+$F6),SUM('融资租赁与资金缺口'!$D$5:$D$16)*$M6*$C6,0),IF(AS$4=EDATE('核心假设'!$B$5,1+$F6),SUM('融资租赁与资金缺口'!$D$5:$D$16)*$N6*$C6,0),IF(AS$4=EDATE('核心假设'!$B$5,2+$F6),SUM('融资租赁与资金缺口'!$D$5:$D$16)*$O6*$C6,0),IF(AS$4=EDATE('核心假设'!$B$5,3+$F6),SUM('融资租赁与资金缺口'!$D$5:$D$16)*$P6*$C6,0),IF(AS$4=EDATE('核心假设'!$B$5,4+$F6),SUM('融资租赁与资金缺口'!$D$5:$D$16)*$Q6*$C6,0),IF(AS$4=EDATE('核心假设'!$B$5,5+$F6),SUM('融资租赁与资金缺口'!$D$5:$D$16)*$R6*$C6,0),IF(AS$4=EDATE('核心假设'!$B$5,6+$F6),SUM('融资租赁与资金缺口'!$D$5:$D$16)*$S6*$C6,0),IF(AS$4=EDATE('核心假设'!$B$5,7+$F6),SUM('融资租赁与资金缺口'!$D$5:$D$16)*$T6*$C6,0),IF(AS$4=EDATE('核心假设'!$B$5,8+$F6),SUM('融资租赁与资金缺口'!$D$5:$D$16)*$U6*$C6,0),IF(AS$4=EDATE('核心假设'!$B$5,9+$F6),SUM('融资租赁与资金缺口'!$D$5:$D$16)*$V6*$C6,0),IF(AS$4=EDATE('核心假设'!$B$5,10+$F6),SUM('融资租赁与资金缺口'!$D$5:$D$16)*$W6*$C6,0),IF(AS$4=EDATE('核心假设'!$B$5,11+$F6),SUM('融资租赁与资金缺口'!$D$5:$D$16)*$X6*$C6,0),IF(AS$4=EDATE('核心假设'!$B$5,12+$F6),SUM('融资租赁与资金缺口'!$D$5:$D$16)*$Y6*$C6,0),IF(AS$4=EDATE('核心假设'!$B$5,13+$F6),SUM('融资租赁与资金缺口'!$D$5:$D$16)*$Z6*$C6,0),IF(AS$4=EDATE('核心假设'!$B$5,14+$F6),SUM('融资租赁与资金缺口'!$D$5:$D$16)*$AA6*$C6,0),IF(AS$4=EDATE('核心假设'!$B$5,15+$F6),SUM('融资租赁与资金缺口'!$D$5:$D$16)*$AB6*$C6,0),IF(AS$4=EDATE('核心假设'!$B$5,16+$F6),SUM('融资租赁与资金缺口'!$D$5:$D$16)*$AC6*$C6,0),IF(AS$4=EDATE('核心假设'!$B$5,17+$F6),SUM('融资租赁与资金缺口'!$D$5:$D$16)*$AD6*$C6,0))-AS15</x:f>
        <x:v>-75236811.12014976</x:v>
      </x:c>
      <x:c r="AT16" s="28" t="n">
        <x:f>AS16+AT12-AT13+SUM(IF(AT$4=EDATE('核心假设'!$B$5,0+$F6),SUM('融资租赁与资金缺口'!$D$5:$D$16)*$M6*$C6,0),IF(AT$4=EDATE('核心假设'!$B$5,1+$F6),SUM('融资租赁与资金缺口'!$D$5:$D$16)*$N6*$C6,0),IF(AT$4=EDATE('核心假设'!$B$5,2+$F6),SUM('融资租赁与资金缺口'!$D$5:$D$16)*$O6*$C6,0),IF(AT$4=EDATE('核心假设'!$B$5,3+$F6),SUM('融资租赁与资金缺口'!$D$5:$D$16)*$P6*$C6,0),IF(AT$4=EDATE('核心假设'!$B$5,4+$F6),SUM('融资租赁与资金缺口'!$D$5:$D$16)*$Q6*$C6,0),IF(AT$4=EDATE('核心假设'!$B$5,5+$F6),SUM('融资租赁与资金缺口'!$D$5:$D$16)*$R6*$C6,0),IF(AT$4=EDATE('核心假设'!$B$5,6+$F6),SUM('融资租赁与资金缺口'!$D$5:$D$16)*$S6*$C6,0),IF(AT$4=EDATE('核心假设'!$B$5,7+$F6),SUM('融资租赁与资金缺口'!$D$5:$D$16)*$T6*$C6,0),IF(AT$4=EDATE('核心假设'!$B$5,8+$F6),SUM('融资租赁与资金缺口'!$D$5:$D$16)*$U6*$C6,0),IF(AT$4=EDATE('核心假设'!$B$5,9+$F6),SUM('融资租赁与资金缺口'!$D$5:$D$16)*$V6*$C6,0),IF(AT$4=EDATE('核心假设'!$B$5,10+$F6),SUM('融资租赁与资金缺口'!$D$5:$D$16)*$W6*$C6,0),IF(AT$4=EDATE('核心假设'!$B$5,11+$F6),SUM('融资租赁与资金缺口'!$D$5:$D$16)*$X6*$C6,0),IF(AT$4=EDATE('核心假设'!$B$5,12+$F6),SUM('融资租赁与资金缺口'!$D$5:$D$16)*$Y6*$C6,0),IF(AT$4=EDATE('核心假设'!$B$5,13+$F6),SUM('融资租赁与资金缺口'!$D$5:$D$16)*$Z6*$C6,0),IF(AT$4=EDATE('核心假设'!$B$5,14+$F6),SUM('融资租赁与资金缺口'!$D$5:$D$16)*$AA6*$C6,0),IF(AT$4=EDATE('核心假设'!$B$5,15+$F6),SUM('融资租赁与资金缺口'!$D$5:$D$16)*$AB6*$C6,0),IF(AT$4=EDATE('核心假设'!$B$5,16+$F6),SUM('融资租赁与资金缺口'!$D$5:$D$16)*$AC6*$C6,0),IF(AT$4=EDATE('核心假设'!$B$5,17+$F6),SUM('融资租赁与资金缺口'!$D$5:$D$16)*$AD6*$C6,0))-AT15</x:f>
        <x:v>-74545102.95284192</x:v>
      </x:c>
      <x:c r="AU16" s="28" t="n">
        <x:f>AT16+AU12-AU13+SUM(IF(AU$4=EDATE('核心假设'!$B$5,0+$F6),SUM('融资租赁与资金缺口'!$D$5:$D$16)*$M6*$C6,0),IF(AU$4=EDATE('核心假设'!$B$5,1+$F6),SUM('融资租赁与资金缺口'!$D$5:$D$16)*$N6*$C6,0),IF(AU$4=EDATE('核心假设'!$B$5,2+$F6),SUM('融资租赁与资金缺口'!$D$5:$D$16)*$O6*$C6,0),IF(AU$4=EDATE('核心假设'!$B$5,3+$F6),SUM('融资租赁与资金缺口'!$D$5:$D$16)*$P6*$C6,0),IF(AU$4=EDATE('核心假设'!$B$5,4+$F6),SUM('融资租赁与资金缺口'!$D$5:$D$16)*$Q6*$C6,0),IF(AU$4=EDATE('核心假设'!$B$5,5+$F6),SUM('融资租赁与资金缺口'!$D$5:$D$16)*$R6*$C6,0),IF(AU$4=EDATE('核心假设'!$B$5,6+$F6),SUM('融资租赁与资金缺口'!$D$5:$D$16)*$S6*$C6,0),IF(AU$4=EDATE('核心假设'!$B$5,7+$F6),SUM('融资租赁与资金缺口'!$D$5:$D$16)*$T6*$C6,0),IF(AU$4=EDATE('核心假设'!$B$5,8+$F6),SUM('融资租赁与资金缺口'!$D$5:$D$16)*$U6*$C6,0),IF(AU$4=EDATE('核心假设'!$B$5,9+$F6),SUM('融资租赁与资金缺口'!$D$5:$D$16)*$V6*$C6,0),IF(AU$4=EDATE('核心假设'!$B$5,10+$F6),SUM('融资租赁与资金缺口'!$D$5:$D$16)*$W6*$C6,0),IF(AU$4=EDATE('核心假设'!$B$5,11+$F6),SUM('融资租赁与资金缺口'!$D$5:$D$16)*$X6*$C6,0),IF(AU$4=EDATE('核心假设'!$B$5,12+$F6),SUM('融资租赁与资金缺口'!$D$5:$D$16)*$Y6*$C6,0),IF(AU$4=EDATE('核心假设'!$B$5,13+$F6),SUM('融资租赁与资金缺口'!$D$5:$D$16)*$Z6*$C6,0),IF(AU$4=EDATE('核心假设'!$B$5,14+$F6),SUM('融资租赁与资金缺口'!$D$5:$D$16)*$AA6*$C6,0),IF(AU$4=EDATE('核心假设'!$B$5,15+$F6),SUM('融资租赁与资金缺口'!$D$5:$D$16)*$AB6*$C6,0),IF(AU$4=EDATE('核心假设'!$B$5,16+$F6),SUM('融资租赁与资金缺口'!$D$5:$D$16)*$AC6*$C6,0),IF(AU$4=EDATE('核心假设'!$B$5,17+$F6),SUM('融资租赁与资金缺口'!$D$5:$D$16)*$AD6*$C6,0))-AU15</x:f>
        <x:v>-71880610.9699962</x:v>
      </x:c>
      <x:c r="AV16" s="28" t="n">
        <x:f>AU16+AV12-AV13+SUM(IF(AV$4=EDATE('核心假设'!$B$5,0+$F6),SUM('融资租赁与资金缺口'!$D$5:$D$16)*$M6*$C6,0),IF(AV$4=EDATE('核心假设'!$B$5,1+$F6),SUM('融资租赁与资金缺口'!$D$5:$D$16)*$N6*$C6,0),IF(AV$4=EDATE('核心假设'!$B$5,2+$F6),SUM('融资租赁与资金缺口'!$D$5:$D$16)*$O6*$C6,0),IF(AV$4=EDATE('核心假设'!$B$5,3+$F6),SUM('融资租赁与资金缺口'!$D$5:$D$16)*$P6*$C6,0),IF(AV$4=EDATE('核心假设'!$B$5,4+$F6),SUM('融资租赁与资金缺口'!$D$5:$D$16)*$Q6*$C6,0),IF(AV$4=EDATE('核心假设'!$B$5,5+$F6),SUM('融资租赁与资金缺口'!$D$5:$D$16)*$R6*$C6,0),IF(AV$4=EDATE('核心假设'!$B$5,6+$F6),SUM('融资租赁与资金缺口'!$D$5:$D$16)*$S6*$C6,0),IF(AV$4=EDATE('核心假设'!$B$5,7+$F6),SUM('融资租赁与资金缺口'!$D$5:$D$16)*$T6*$C6,0),IF(AV$4=EDATE('核心假设'!$B$5,8+$F6),SUM('融资租赁与资金缺口'!$D$5:$D$16)*$U6*$C6,0),IF(AV$4=EDATE('核心假设'!$B$5,9+$F6),SUM('融资租赁与资金缺口'!$D$5:$D$16)*$V6*$C6,0),IF(AV$4=EDATE('核心假设'!$B$5,10+$F6),SUM('融资租赁与资金缺口'!$D$5:$D$16)*$W6*$C6,0),IF(AV$4=EDATE('核心假设'!$B$5,11+$F6),SUM('融资租赁与资金缺口'!$D$5:$D$16)*$X6*$C6,0),IF(AV$4=EDATE('核心假设'!$B$5,12+$F6),SUM('融资租赁与资金缺口'!$D$5:$D$16)*$Y6*$C6,0),IF(AV$4=EDATE('核心假设'!$B$5,13+$F6),SUM('融资租赁与资金缺口'!$D$5:$D$16)*$Z6*$C6,0),IF(AV$4=EDATE('核心假设'!$B$5,14+$F6),SUM('融资租赁与资金缺口'!$D$5:$D$16)*$AA6*$C6,0),IF(AV$4=EDATE('核心假设'!$B$5,15+$F6),SUM('融资租赁与资金缺口'!$D$5:$D$16)*$AB6*$C6,0),IF(AV$4=EDATE('核心假设'!$B$5,16+$F6),SUM('融资租赁与资金缺口'!$D$5:$D$16)*$AC6*$C6,0),IF(AV$4=EDATE('核心假设'!$B$5,17+$F6),SUM('融资租赁与资金缺口'!$D$5:$D$16)*$AD6*$C6,0))-AV15</x:f>
        <x:v>-70894672.32972284</x:v>
      </x:c>
      <x:c r="AW16" s="28" t="n">
        <x:f>AV16+AW12-AW13+SUM(IF(AW$4=EDATE('核心假设'!$B$5,0+$F6),SUM('融资租赁与资金缺口'!$D$5:$D$16)*$M6*$C6,0),IF(AW$4=EDATE('核心假设'!$B$5,1+$F6),SUM('融资租赁与资金缺口'!$D$5:$D$16)*$N6*$C6,0),IF(AW$4=EDATE('核心假设'!$B$5,2+$F6),SUM('融资租赁与资金缺口'!$D$5:$D$16)*$O6*$C6,0),IF(AW$4=EDATE('核心假设'!$B$5,3+$F6),SUM('融资租赁与资金缺口'!$D$5:$D$16)*$P6*$C6,0),IF(AW$4=EDATE('核心假设'!$B$5,4+$F6),SUM('融资租赁与资金缺口'!$D$5:$D$16)*$Q6*$C6,0),IF(AW$4=EDATE('核心假设'!$B$5,5+$F6),SUM('融资租赁与资金缺口'!$D$5:$D$16)*$R6*$C6,0),IF(AW$4=EDATE('核心假设'!$B$5,6+$F6),SUM('融资租赁与资金缺口'!$D$5:$D$16)*$S6*$C6,0),IF(AW$4=EDATE('核心假设'!$B$5,7+$F6),SUM('融资租赁与资金缺口'!$D$5:$D$16)*$T6*$C6,0),IF(AW$4=EDATE('核心假设'!$B$5,8+$F6),SUM('融资租赁与资金缺口'!$D$5:$D$16)*$U6*$C6,0),IF(AW$4=EDATE('核心假设'!$B$5,9+$F6),SUM('融资租赁与资金缺口'!$D$5:$D$16)*$V6*$C6,0),IF(AW$4=EDATE('核心假设'!$B$5,10+$F6),SUM('融资租赁与资金缺口'!$D$5:$D$16)*$W6*$C6,0),IF(AW$4=EDATE('核心假设'!$B$5,11+$F6),SUM('融资租赁与资金缺口'!$D$5:$D$16)*$X6*$C6,0),IF(AW$4=EDATE('核心假设'!$B$5,12+$F6),SUM('融资租赁与资金缺口'!$D$5:$D$16)*$Y6*$C6,0),IF(AW$4=EDATE('核心假设'!$B$5,13+$F6),SUM('融资租赁与资金缺口'!$D$5:$D$16)*$Z6*$C6,0),IF(AW$4=EDATE('核心假设'!$B$5,14+$F6),SUM('融资租赁与资金缺口'!$D$5:$D$16)*$AA6*$C6,0),IF(AW$4=EDATE('核心假设'!$B$5,15+$F6),SUM('融资租赁与资金缺口'!$D$5:$D$16)*$AB6*$C6,0),IF(AW$4=EDATE('核心假设'!$B$5,16+$F6),SUM('融资租赁与资金缺口'!$D$5:$D$16)*$AC6*$C6,0),IF(AW$4=EDATE('核心假设'!$B$5,17+$F6),SUM('融资租赁与资金缺口'!$D$5:$D$16)*$AD6*$C6,0))-AW15</x:f>
        <x:v>-72640719.15785554</x:v>
      </x:c>
      <x:c r="AX16" s="28" t="n">
        <x:f>AW16+AX12-AX13+SUM(IF(AX$4=EDATE('核心假设'!$B$5,0+$F6),SUM('融资租赁与资金缺口'!$D$5:$D$16)*$M6*$C6,0),IF(AX$4=EDATE('核心假设'!$B$5,1+$F6),SUM('融资租赁与资金缺口'!$D$5:$D$16)*$N6*$C6,0),IF(AX$4=EDATE('核心假设'!$B$5,2+$F6),SUM('融资租赁与资金缺口'!$D$5:$D$16)*$O6*$C6,0),IF(AX$4=EDATE('核心假设'!$B$5,3+$F6),SUM('融资租赁与资金缺口'!$D$5:$D$16)*$P6*$C6,0),IF(AX$4=EDATE('核心假设'!$B$5,4+$F6),SUM('融资租赁与资金缺口'!$D$5:$D$16)*$Q6*$C6,0),IF(AX$4=EDATE('核心假设'!$B$5,5+$F6),SUM('融资租赁与资金缺口'!$D$5:$D$16)*$R6*$C6,0),IF(AX$4=EDATE('核心假设'!$B$5,6+$F6),SUM('融资租赁与资金缺口'!$D$5:$D$16)*$S6*$C6,0),IF(AX$4=EDATE('核心假设'!$B$5,7+$F6),SUM('融资租赁与资金缺口'!$D$5:$D$16)*$T6*$C6,0),IF(AX$4=EDATE('核心假设'!$B$5,8+$F6),SUM('融资租赁与资金缺口'!$D$5:$D$16)*$U6*$C6,0),IF(AX$4=EDATE('核心假设'!$B$5,9+$F6),SUM('融资租赁与资金缺口'!$D$5:$D$16)*$V6*$C6,0),IF(AX$4=EDATE('核心假设'!$B$5,10+$F6),SUM('融资租赁与资金缺口'!$D$5:$D$16)*$W6*$C6,0),IF(AX$4=EDATE('核心假设'!$B$5,11+$F6),SUM('融资租赁与资金缺口'!$D$5:$D$16)*$X6*$C6,0),IF(AX$4=EDATE('核心假设'!$B$5,12+$F6),SUM('融资租赁与资金缺口'!$D$5:$D$16)*$Y6*$C6,0),IF(AX$4=EDATE('核心假设'!$B$5,13+$F6),SUM('融资租赁与资金缺口'!$D$5:$D$16)*$Z6*$C6,0),IF(AX$4=EDATE('核心假设'!$B$5,14+$F6),SUM('融资租赁与资金缺口'!$D$5:$D$16)*$AA6*$C6,0),IF(AX$4=EDATE('核心假设'!$B$5,15+$F6),SUM('融资租赁与资金缺口'!$D$5:$D$16)*$AB6*$C6,0),IF(AX$4=EDATE('核心假设'!$B$5,16+$F6),SUM('融资租赁与资金缺口'!$D$5:$D$16)*$AC6*$C6,0),IF(AX$4=EDATE('核心假设'!$B$5,17+$F6),SUM('融资租赁与资金缺口'!$D$5:$D$16)*$AD6*$C6,0))-AX15</x:f>
        <x:v>-74111861.93372212</x:v>
      </x:c>
      <x:c r="AY16" s="28" t="n">
        <x:f>AX16+AY12-AY13+SUM(IF(AY$4=EDATE('核心假设'!$B$5,0+$F6),SUM('融资租赁与资金缺口'!$D$5:$D$16)*$M6*$C6,0),IF(AY$4=EDATE('核心假设'!$B$5,1+$F6),SUM('融资租赁与资金缺口'!$D$5:$D$16)*$N6*$C6,0),IF(AY$4=EDATE('核心假设'!$B$5,2+$F6),SUM('融资租赁与资金缺口'!$D$5:$D$16)*$O6*$C6,0),IF(AY$4=EDATE('核心假设'!$B$5,3+$F6),SUM('融资租赁与资金缺口'!$D$5:$D$16)*$P6*$C6,0),IF(AY$4=EDATE('核心假设'!$B$5,4+$F6),SUM('融资租赁与资金缺口'!$D$5:$D$16)*$Q6*$C6,0),IF(AY$4=EDATE('核心假设'!$B$5,5+$F6),SUM('融资租赁与资金缺口'!$D$5:$D$16)*$R6*$C6,0),IF(AY$4=EDATE('核心假设'!$B$5,6+$F6),SUM('融资租赁与资金缺口'!$D$5:$D$16)*$S6*$C6,0),IF(AY$4=EDATE('核心假设'!$B$5,7+$F6),SUM('融资租赁与资金缺口'!$D$5:$D$16)*$T6*$C6,0),IF(AY$4=EDATE('核心假设'!$B$5,8+$F6),SUM('融资租赁与资金缺口'!$D$5:$D$16)*$U6*$C6,0),IF(AY$4=EDATE('核心假设'!$B$5,9+$F6),SUM('融资租赁与资金缺口'!$D$5:$D$16)*$V6*$C6,0),IF(AY$4=EDATE('核心假设'!$B$5,10+$F6),SUM('融资租赁与资金缺口'!$D$5:$D$16)*$W6*$C6,0),IF(AY$4=EDATE('核心假设'!$B$5,11+$F6),SUM('融资租赁与资金缺口'!$D$5:$D$16)*$X6*$C6,0),IF(AY$4=EDATE('核心假设'!$B$5,12+$F6),SUM('融资租赁与资金缺口'!$D$5:$D$16)*$Y6*$C6,0),IF(AY$4=EDATE('核心假设'!$B$5,13+$F6),SUM('融资租赁与资金缺口'!$D$5:$D$16)*$Z6*$C6,0),IF(AY$4=EDATE('核心假设'!$B$5,14+$F6),SUM('融资租赁与资金缺口'!$D$5:$D$16)*$AA6*$C6,0),IF(AY$4=EDATE('核心假设'!$B$5,15+$F6),SUM('融资租赁与资金缺口'!$D$5:$D$16)*$AB6*$C6,0),IF(AY$4=EDATE('核心假设'!$B$5,16+$F6),SUM('融资租赁与资金缺口'!$D$5:$D$16)*$AC6*$C6,0),IF(AY$4=EDATE('核心假设'!$B$5,17+$F6),SUM('融资租赁与资金缺口'!$D$5:$D$16)*$AD6*$C6,0))-AY15</x:f>
        <x:v>-75383958.67721191</x:v>
      </x:c>
      <x:c r="AZ16" s="28" t="n">
        <x:f>AY16+AZ12-AZ13+SUM(IF(AZ$4=EDATE('核心假设'!$B$5,0+$F6),SUM('融资租赁与资金缺口'!$D$5:$D$16)*$M6*$C6,0),IF(AZ$4=EDATE('核心假设'!$B$5,1+$F6),SUM('融资租赁与资金缺口'!$D$5:$D$16)*$N6*$C6,0),IF(AZ$4=EDATE('核心假设'!$B$5,2+$F6),SUM('融资租赁与资金缺口'!$D$5:$D$16)*$O6*$C6,0),IF(AZ$4=EDATE('核心假设'!$B$5,3+$F6),SUM('融资租赁与资金缺口'!$D$5:$D$16)*$P6*$C6,0),IF(AZ$4=EDATE('核心假设'!$B$5,4+$F6),SUM('融资租赁与资金缺口'!$D$5:$D$16)*$Q6*$C6,0),IF(AZ$4=EDATE('核心假设'!$B$5,5+$F6),SUM('融资租赁与资金缺口'!$D$5:$D$16)*$R6*$C6,0),IF(AZ$4=EDATE('核心假设'!$B$5,6+$F6),SUM('融资租赁与资金缺口'!$D$5:$D$16)*$S6*$C6,0),IF(AZ$4=EDATE('核心假设'!$B$5,7+$F6),SUM('融资租赁与资金缺口'!$D$5:$D$16)*$T6*$C6,0),IF(AZ$4=EDATE('核心假设'!$B$5,8+$F6),SUM('融资租赁与资金缺口'!$D$5:$D$16)*$U6*$C6,0),IF(AZ$4=EDATE('核心假设'!$B$5,9+$F6),SUM('融资租赁与资金缺口'!$D$5:$D$16)*$V6*$C6,0),IF(AZ$4=EDATE('核心假设'!$B$5,10+$F6),SUM('融资租赁与资金缺口'!$D$5:$D$16)*$W6*$C6,0),IF(AZ$4=EDATE('核心假设'!$B$5,11+$F6),SUM('融资租赁与资金缺口'!$D$5:$D$16)*$X6*$C6,0),IF(AZ$4=EDATE('核心假设'!$B$5,12+$F6),SUM('融资租赁与资金缺口'!$D$5:$D$16)*$Y6*$C6,0),IF(AZ$4=EDATE('核心假设'!$B$5,13+$F6),SUM('融资租赁与资金缺口'!$D$5:$D$16)*$Z6*$C6,0),IF(AZ$4=EDATE('核心假设'!$B$5,14+$F6),SUM('融资租赁与资金缺口'!$D$5:$D$16)*$AA6*$C6,0),IF(AZ$4=EDATE('核心假设'!$B$5,15+$F6),SUM('融资租赁与资金缺口'!$D$5:$D$16)*$AB6*$C6,0),IF(AZ$4=EDATE('核心假设'!$B$5,16+$F6),SUM('融资租赁与资金缺口'!$D$5:$D$16)*$AC6*$C6,0),IF(AZ$4=EDATE('核心假设'!$B$5,17+$F6),SUM('融资租赁与资金缺口'!$D$5:$D$16)*$AD6*$C6,0))-AZ15</x:f>
        <x:v>-76244505.6204946</x:v>
      </x:c>
      <x:c r="BA16" s="28" t="n">
        <x:f>AZ16+BA12-BA13+SUM(IF(BA$4=EDATE('核心假设'!$B$5,0+$F6),SUM('融资租赁与资金缺口'!$D$5:$D$16)*$M6*$C6,0),IF(BA$4=EDATE('核心假设'!$B$5,1+$F6),SUM('融资租赁与资金缺口'!$D$5:$D$16)*$N6*$C6,0),IF(BA$4=EDATE('核心假设'!$B$5,2+$F6),SUM('融资租赁与资金缺口'!$D$5:$D$16)*$O6*$C6,0),IF(BA$4=EDATE('核心假设'!$B$5,3+$F6),SUM('融资租赁与资金缺口'!$D$5:$D$16)*$P6*$C6,0),IF(BA$4=EDATE('核心假设'!$B$5,4+$F6),SUM('融资租赁与资金缺口'!$D$5:$D$16)*$Q6*$C6,0),IF(BA$4=EDATE('核心假设'!$B$5,5+$F6),SUM('融资租赁与资金缺口'!$D$5:$D$16)*$R6*$C6,0),IF(BA$4=EDATE('核心假设'!$B$5,6+$F6),SUM('融资租赁与资金缺口'!$D$5:$D$16)*$S6*$C6,0),IF(BA$4=EDATE('核心假设'!$B$5,7+$F6),SUM('融资租赁与资金缺口'!$D$5:$D$16)*$T6*$C6,0),IF(BA$4=EDATE('核心假设'!$B$5,8+$F6),SUM('融资租赁与资金缺口'!$D$5:$D$16)*$U6*$C6,0),IF(BA$4=EDATE('核心假设'!$B$5,9+$F6),SUM('融资租赁与资金缺口'!$D$5:$D$16)*$V6*$C6,0),IF(BA$4=EDATE('核心假设'!$B$5,10+$F6),SUM('融资租赁与资金缺口'!$D$5:$D$16)*$W6*$C6,0),IF(BA$4=EDATE('核心假设'!$B$5,11+$F6),SUM('融资租赁与资金缺口'!$D$5:$D$16)*$X6*$C6,0),IF(BA$4=EDATE('核心假设'!$B$5,12+$F6),SUM('融资租赁与资金缺口'!$D$5:$D$16)*$Y6*$C6,0),IF(BA$4=EDATE('核心假设'!$B$5,13+$F6),SUM('融资租赁与资金缺口'!$D$5:$D$16)*$Z6*$C6,0),IF(BA$4=EDATE('核心假设'!$B$5,14+$F6),SUM('融资租赁与资金缺口'!$D$5:$D$16)*$AA6*$C6,0),IF(BA$4=EDATE('核心假设'!$B$5,15+$F6),SUM('融资租赁与资金缺口'!$D$5:$D$16)*$AB6*$C6,0),IF(BA$4=EDATE('核心假设'!$B$5,16+$F6),SUM('融资租赁与资金缺口'!$D$5:$D$16)*$AC6*$C6,0),IF(BA$4=EDATE('核心假设'!$B$5,17+$F6),SUM('融资租赁与资金缺口'!$D$5:$D$16)*$AD6*$C6,0))-BA15</x:f>
        <x:v>-75893653.684948</x:v>
      </x:c>
      <x:c r="BB16" s="28" t="n">
        <x:f>BA16+BB12-BB13+SUM(IF(BB$4=EDATE('核心假设'!$B$5,0+$F6),SUM('融资租赁与资金缺口'!$D$5:$D$16)*$M6*$C6,0),IF(BB$4=EDATE('核心假设'!$B$5,1+$F6),SUM('融资租赁与资金缺口'!$D$5:$D$16)*$N6*$C6,0),IF(BB$4=EDATE('核心假设'!$B$5,2+$F6),SUM('融资租赁与资金缺口'!$D$5:$D$16)*$O6*$C6,0),IF(BB$4=EDATE('核心假设'!$B$5,3+$F6),SUM('融资租赁与资金缺口'!$D$5:$D$16)*$P6*$C6,0),IF(BB$4=EDATE('核心假设'!$B$5,4+$F6),SUM('融资租赁与资金缺口'!$D$5:$D$16)*$Q6*$C6,0),IF(BB$4=EDATE('核心假设'!$B$5,5+$F6),SUM('融资租赁与资金缺口'!$D$5:$D$16)*$R6*$C6,0),IF(BB$4=EDATE('核心假设'!$B$5,6+$F6),SUM('融资租赁与资金缺口'!$D$5:$D$16)*$S6*$C6,0),IF(BB$4=EDATE('核心假设'!$B$5,7+$F6),SUM('融资租赁与资金缺口'!$D$5:$D$16)*$T6*$C6,0),IF(BB$4=EDATE('核心假设'!$B$5,8+$F6),SUM('融资租赁与资金缺口'!$D$5:$D$16)*$U6*$C6,0),IF(BB$4=EDATE('核心假设'!$B$5,9+$F6),SUM('融资租赁与资金缺口'!$D$5:$D$16)*$V6*$C6,0),IF(BB$4=EDATE('核心假设'!$B$5,10+$F6),SUM('融资租赁与资金缺口'!$D$5:$D$16)*$W6*$C6,0),IF(BB$4=EDATE('核心假设'!$B$5,11+$F6),SUM('融资租赁与资金缺口'!$D$5:$D$16)*$X6*$C6,0),IF(BB$4=EDATE('核心假设'!$B$5,12+$F6),SUM('融资租赁与资金缺口'!$D$5:$D$16)*$Y6*$C6,0),IF(BB$4=EDATE('核心假设'!$B$5,13+$F6),SUM('融资租赁与资金缺口'!$D$5:$D$16)*$Z6*$C6,0),IF(BB$4=EDATE('核心假设'!$B$5,14+$F6),SUM('融资租赁与资金缺口'!$D$5:$D$16)*$AA6*$C6,0),IF(BB$4=EDATE('核心假设'!$B$5,15+$F6),SUM('融资租赁与资金缺口'!$D$5:$D$16)*$AB6*$C6,0),IF(BB$4=EDATE('核心假设'!$B$5,16+$F6),SUM('融资租赁与资金缺口'!$D$5:$D$16)*$AC6*$C6,0),IF(BB$4=EDATE('核心假设'!$B$5,17+$F6),SUM('融资租赁与资金缺口'!$D$5:$D$16)*$AD6*$C6,0))-BB15</x:f>
        <x:v>-74320047.24002278</x:v>
      </x:c>
      <x:c r="BC16" s="28" t="n">
        <x:f>BB16+BC12-BC13+SUM(IF(BC$4=EDATE('核心假设'!$B$5,0+$F6),SUM('融资租赁与资金缺口'!$D$5:$D$16)*$M6*$C6,0),IF(BC$4=EDATE('核心假设'!$B$5,1+$F6),SUM('融资租赁与资金缺口'!$D$5:$D$16)*$N6*$C6,0),IF(BC$4=EDATE('核心假设'!$B$5,2+$F6),SUM('融资租赁与资金缺口'!$D$5:$D$16)*$O6*$C6,0),IF(BC$4=EDATE('核心假设'!$B$5,3+$F6),SUM('融资租赁与资金缺口'!$D$5:$D$16)*$P6*$C6,0),IF(BC$4=EDATE('核心假设'!$B$5,4+$F6),SUM('融资租赁与资金缺口'!$D$5:$D$16)*$Q6*$C6,0),IF(BC$4=EDATE('核心假设'!$B$5,5+$F6),SUM('融资租赁与资金缺口'!$D$5:$D$16)*$R6*$C6,0),IF(BC$4=EDATE('核心假设'!$B$5,6+$F6),SUM('融资租赁与资金缺口'!$D$5:$D$16)*$S6*$C6,0),IF(BC$4=EDATE('核心假设'!$B$5,7+$F6),SUM('融资租赁与资金缺口'!$D$5:$D$16)*$T6*$C6,0),IF(BC$4=EDATE('核心假设'!$B$5,8+$F6),SUM('融资租赁与资金缺口'!$D$5:$D$16)*$U6*$C6,0),IF(BC$4=EDATE('核心假设'!$B$5,9+$F6),SUM('融资租赁与资金缺口'!$D$5:$D$16)*$V6*$C6,0),IF(BC$4=EDATE('核心假设'!$B$5,10+$F6),SUM('融资租赁与资金缺口'!$D$5:$D$16)*$W6*$C6,0),IF(BC$4=EDATE('核心假设'!$B$5,11+$F6),SUM('融资租赁与资金缺口'!$D$5:$D$16)*$X6*$C6,0),IF(BC$4=EDATE('核心假设'!$B$5,12+$F6),SUM('融资租赁与资金缺口'!$D$5:$D$16)*$Y6*$C6,0),IF(BC$4=EDATE('核心假设'!$B$5,13+$F6),SUM('融资租赁与资金缺口'!$D$5:$D$16)*$Z6*$C6,0),IF(BC$4=EDATE('核心假设'!$B$5,14+$F6),SUM('融资租赁与资金缺口'!$D$5:$D$16)*$AA6*$C6,0),IF(BC$4=EDATE('核心假设'!$B$5,15+$F6),SUM('融资租赁与资金缺口'!$D$5:$D$16)*$AB6*$C6,0),IF(BC$4=EDATE('核心假设'!$B$5,16+$F6),SUM('融资租赁与资金缺口'!$D$5:$D$16)*$AC6*$C6,0),IF(BC$4=EDATE('核心假设'!$B$5,17+$F6),SUM('融资租赁与资金缺口'!$D$5:$D$16)*$AD6*$C6,0))-BC15</x:f>
        <x:v>-72103188.6955505</x:v>
      </x:c>
      <x:c r="BD16" s="28" t="n">
        <x:f>BC16+BD12-BD13+SUM(IF(BD$4=EDATE('核心假设'!$B$5,0+$F6),SUM('融资租赁与资金缺口'!$D$5:$D$16)*$M6*$C6,0),IF(BD$4=EDATE('核心假设'!$B$5,1+$F6),SUM('融资租赁与资金缺口'!$D$5:$D$16)*$N6*$C6,0),IF(BD$4=EDATE('核心假设'!$B$5,2+$F6),SUM('融资租赁与资金缺口'!$D$5:$D$16)*$O6*$C6,0),IF(BD$4=EDATE('核心假设'!$B$5,3+$F6),SUM('融资租赁与资金缺口'!$D$5:$D$16)*$P6*$C6,0),IF(BD$4=EDATE('核心假设'!$B$5,4+$F6),SUM('融资租赁与资金缺口'!$D$5:$D$16)*$Q6*$C6,0),IF(BD$4=EDATE('核心假设'!$B$5,5+$F6),SUM('融资租赁与资金缺口'!$D$5:$D$16)*$R6*$C6,0),IF(BD$4=EDATE('核心假设'!$B$5,6+$F6),SUM('融资租赁与资金缺口'!$D$5:$D$16)*$S6*$C6,0),IF(BD$4=EDATE('核心假设'!$B$5,7+$F6),SUM('融资租赁与资金缺口'!$D$5:$D$16)*$T6*$C6,0),IF(BD$4=EDATE('核心假设'!$B$5,8+$F6),SUM('融资租赁与资金缺口'!$D$5:$D$16)*$U6*$C6,0),IF(BD$4=EDATE('核心假设'!$B$5,9+$F6),SUM('融资租赁与资金缺口'!$D$5:$D$16)*$V6*$C6,0),IF(BD$4=EDATE('核心假设'!$B$5,10+$F6),SUM('融资租赁与资金缺口'!$D$5:$D$16)*$W6*$C6,0),IF(BD$4=EDATE('核心假设'!$B$5,11+$F6),SUM('融资租赁与资金缺口'!$D$5:$D$16)*$X6*$C6,0),IF(BD$4=EDATE('核心假设'!$B$5,12+$F6),SUM('融资租赁与资金缺口'!$D$5:$D$16)*$Y6*$C6,0),IF(BD$4=EDATE('核心假设'!$B$5,13+$F6),SUM('融资租赁与资金缺口'!$D$5:$D$16)*$Z6*$C6,0),IF(BD$4=EDATE('核心假设'!$B$5,14+$F6),SUM('融资租赁与资金缺口'!$D$5:$D$16)*$AA6*$C6,0),IF(BD$4=EDATE('核心假设'!$B$5,15+$F6),SUM('融资租赁与资金缺口'!$D$5:$D$16)*$AB6*$C6,0),IF(BD$4=EDATE('核心假设'!$B$5,16+$F6),SUM('融资租赁与资金缺口'!$D$5:$D$16)*$AC6*$C6,0),IF(BD$4=EDATE('核心假设'!$B$5,17+$F6),SUM('融资租赁与资金缺口'!$D$5:$D$16)*$AD6*$C6,0))-BD15</x:f>
        <x:v>-71154471.43462498</x:v>
      </x:c>
      <x:c r="BE16" s="28" t="n">
        <x:f>BD16+BE12-BE13+SUM(IF(BE$4=EDATE('核心假设'!$B$5,0+$F6),SUM('融资租赁与资金缺口'!$D$5:$D$16)*$M6*$C6,0),IF(BE$4=EDATE('核心假设'!$B$5,1+$F6),SUM('融资租赁与资金缺口'!$D$5:$D$16)*$N6*$C6,0),IF(BE$4=EDATE('核心假设'!$B$5,2+$F6),SUM('融资租赁与资金缺口'!$D$5:$D$16)*$O6*$C6,0),IF(BE$4=EDATE('核心假设'!$B$5,3+$F6),SUM('融资租赁与资金缺口'!$D$5:$D$16)*$P6*$C6,0),IF(BE$4=EDATE('核心假设'!$B$5,4+$F6),SUM('融资租赁与资金缺口'!$D$5:$D$16)*$Q6*$C6,0),IF(BE$4=EDATE('核心假设'!$B$5,5+$F6),SUM('融资租赁与资金缺口'!$D$5:$D$16)*$R6*$C6,0),IF(BE$4=EDATE('核心假设'!$B$5,6+$F6),SUM('融资租赁与资金缺口'!$D$5:$D$16)*$S6*$C6,0),IF(BE$4=EDATE('核心假设'!$B$5,7+$F6),SUM('融资租赁与资金缺口'!$D$5:$D$16)*$T6*$C6,0),IF(BE$4=EDATE('核心假设'!$B$5,8+$F6),SUM('融资租赁与资金缺口'!$D$5:$D$16)*$U6*$C6,0),IF(BE$4=EDATE('核心假设'!$B$5,9+$F6),SUM('融资租赁与资金缺口'!$D$5:$D$16)*$V6*$C6,0),IF(BE$4=EDATE('核心假设'!$B$5,10+$F6),SUM('融资租赁与资金缺口'!$D$5:$D$16)*$W6*$C6,0),IF(BE$4=EDATE('核心假设'!$B$5,11+$F6),SUM('融资租赁与资金缺口'!$D$5:$D$16)*$X6*$C6,0),IF(BE$4=EDATE('核心假设'!$B$5,12+$F6),SUM('融资租赁与资金缺口'!$D$5:$D$16)*$Y6*$C6,0),IF(BE$4=EDATE('核心假设'!$B$5,13+$F6),SUM('融资租赁与资金缺口'!$D$5:$D$16)*$Z6*$C6,0),IF(BE$4=EDATE('核心假设'!$B$5,14+$F6),SUM('融资租赁与资金缺口'!$D$5:$D$16)*$AA6*$C6,0),IF(BE$4=EDATE('核心假设'!$B$5,15+$F6),SUM('融资租赁与资金缺口'!$D$5:$D$16)*$AB6*$C6,0),IF(BE$4=EDATE('核心假设'!$B$5,16+$F6),SUM('融资租赁与资金缺口'!$D$5:$D$16)*$AC6*$C6,0),IF(BE$4=EDATE('核心假设'!$B$5,17+$F6),SUM('融资租赁与资金缺口'!$D$5:$D$16)*$AD6*$C6,0))-BE15</x:f>
        <x:v>-70684446.96437308</x:v>
      </x:c>
      <x:c r="BF16" s="28" t="n">
        <x:f>BE16+BF12-BF13+SUM(IF(BF$4=EDATE('核心假设'!$B$5,0+$F6),SUM('融资租赁与资金缺口'!$D$5:$D$16)*$M6*$C6,0),IF(BF$4=EDATE('核心假设'!$B$5,1+$F6),SUM('融资租赁与资金缺口'!$D$5:$D$16)*$N6*$C6,0),IF(BF$4=EDATE('核心假设'!$B$5,2+$F6),SUM('融资租赁与资金缺口'!$D$5:$D$16)*$O6*$C6,0),IF(BF$4=EDATE('核心假设'!$B$5,3+$F6),SUM('融资租赁与资金缺口'!$D$5:$D$16)*$P6*$C6,0),IF(BF$4=EDATE('核心假设'!$B$5,4+$F6),SUM('融资租赁与资金缺口'!$D$5:$D$16)*$Q6*$C6,0),IF(BF$4=EDATE('核心假设'!$B$5,5+$F6),SUM('融资租赁与资金缺口'!$D$5:$D$16)*$R6*$C6,0),IF(BF$4=EDATE('核心假设'!$B$5,6+$F6),SUM('融资租赁与资金缺口'!$D$5:$D$16)*$S6*$C6,0),IF(BF$4=EDATE('核心假设'!$B$5,7+$F6),SUM('融资租赁与资金缺口'!$D$5:$D$16)*$T6*$C6,0),IF(BF$4=EDATE('核心假设'!$B$5,8+$F6),SUM('融资租赁与资金缺口'!$D$5:$D$16)*$U6*$C6,0),IF(BF$4=EDATE('核心假设'!$B$5,9+$F6),SUM('融资租赁与资金缺口'!$D$5:$D$16)*$V6*$C6,0),IF(BF$4=EDATE('核心假设'!$B$5,10+$F6),SUM('融资租赁与资金缺口'!$D$5:$D$16)*$W6*$C6,0),IF(BF$4=EDATE('核心假设'!$B$5,11+$F6),SUM('融资租赁与资金缺口'!$D$5:$D$16)*$X6*$C6,0),IF(BF$4=EDATE('核心假设'!$B$5,12+$F6),SUM('融资租赁与资金缺口'!$D$5:$D$16)*$Y6*$C6,0),IF(BF$4=EDATE('核心假设'!$B$5,13+$F6),SUM('融资租赁与资金缺口'!$D$5:$D$16)*$Z6*$C6,0),IF(BF$4=EDATE('核心假设'!$B$5,14+$F6),SUM('融资租赁与资金缺口'!$D$5:$D$16)*$AA6*$C6,0),IF(BF$4=EDATE('核心假设'!$B$5,15+$F6),SUM('融资租赁与资金缺口'!$D$5:$D$16)*$AB6*$C6,0),IF(BF$4=EDATE('核心假设'!$B$5,16+$F6),SUM('融资租赁与资金缺口'!$D$5:$D$16)*$AC6*$C6,0),IF(BF$4=EDATE('核心假设'!$B$5,17+$F6),SUM('融资租赁与资金缺口'!$D$5:$D$16)*$AD6*$C6,0))-BF15</x:f>
        <x:v>-69865225.07793505</x:v>
      </x:c>
      <x:c r="BG16" s="28" t="n">
        <x:f>BF16+BG12-BG13+SUM(IF(BG$4=EDATE('核心假设'!$B$5,0+$F6),SUM('融资租赁与资金缺口'!$D$5:$D$16)*$M6*$C6,0),IF(BG$4=EDATE('核心假设'!$B$5,1+$F6),SUM('融资租赁与资金缺口'!$D$5:$D$16)*$N6*$C6,0),IF(BG$4=EDATE('核心假设'!$B$5,2+$F6),SUM('融资租赁与资金缺口'!$D$5:$D$16)*$O6*$C6,0),IF(BG$4=EDATE('核心假设'!$B$5,3+$F6),SUM('融资租赁与资金缺口'!$D$5:$D$16)*$P6*$C6,0),IF(BG$4=EDATE('核心假设'!$B$5,4+$F6),SUM('融资租赁与资金缺口'!$D$5:$D$16)*$Q6*$C6,0),IF(BG$4=EDATE('核心假设'!$B$5,5+$F6),SUM('融资租赁与资金缺口'!$D$5:$D$16)*$R6*$C6,0),IF(BG$4=EDATE('核心假设'!$B$5,6+$F6),SUM('融资租赁与资金缺口'!$D$5:$D$16)*$S6*$C6,0),IF(BG$4=EDATE('核心假设'!$B$5,7+$F6),SUM('融资租赁与资金缺口'!$D$5:$D$16)*$T6*$C6,0),IF(BG$4=EDATE('核心假设'!$B$5,8+$F6),SUM('融资租赁与资金缺口'!$D$5:$D$16)*$U6*$C6,0),IF(BG$4=EDATE('核心假设'!$B$5,9+$F6),SUM('融资租赁与资金缺口'!$D$5:$D$16)*$V6*$C6,0),IF(BG$4=EDATE('核心假设'!$B$5,10+$F6),SUM('融资租赁与资金缺口'!$D$5:$D$16)*$W6*$C6,0),IF(BG$4=EDATE('核心假设'!$B$5,11+$F6),SUM('融资租赁与资金缺口'!$D$5:$D$16)*$X6*$C6,0),IF(BG$4=EDATE('核心假设'!$B$5,12+$F6),SUM('融资租赁与资金缺口'!$D$5:$D$16)*$Y6*$C6,0),IF(BG$4=EDATE('核心假设'!$B$5,13+$F6),SUM('融资租赁与资金缺口'!$D$5:$D$16)*$Z6*$C6,0),IF(BG$4=EDATE('核心假设'!$B$5,14+$F6),SUM('融资租赁与资金缺口'!$D$5:$D$16)*$AA6*$C6,0),IF(BG$4=EDATE('核心假设'!$B$5,15+$F6),SUM('融资租赁与资金缺口'!$D$5:$D$16)*$AB6*$C6,0),IF(BG$4=EDATE('核心假设'!$B$5,16+$F6),SUM('融资租赁与资金缺口'!$D$5:$D$16)*$AC6*$C6,0),IF(BG$4=EDATE('核心假设'!$B$5,17+$F6),SUM('融资租赁与资金缺口'!$D$5:$D$16)*$AD6*$C6,0))-BG15</x:f>
        <x:v>-67165469.70503114</x:v>
      </x:c>
      <x:c r="BH16" s="28" t="n">
        <x:f>BG16+BH12-BH13+SUM(IF(BH$4=EDATE('核心假设'!$B$5,0+$F6),SUM('融资租赁与资金缺口'!$D$5:$D$16)*$M6*$C6,0),IF(BH$4=EDATE('核心假设'!$B$5,1+$F6),SUM('融资租赁与资金缺口'!$D$5:$D$16)*$N6*$C6,0),IF(BH$4=EDATE('核心假设'!$B$5,2+$F6),SUM('融资租赁与资金缺口'!$D$5:$D$16)*$O6*$C6,0),IF(BH$4=EDATE('核心假设'!$B$5,3+$F6),SUM('融资租赁与资金缺口'!$D$5:$D$16)*$P6*$C6,0),IF(BH$4=EDATE('核心假设'!$B$5,4+$F6),SUM('融资租赁与资金缺口'!$D$5:$D$16)*$Q6*$C6,0),IF(BH$4=EDATE('核心假设'!$B$5,5+$F6),SUM('融资租赁与资金缺口'!$D$5:$D$16)*$R6*$C6,0),IF(BH$4=EDATE('核心假设'!$B$5,6+$F6),SUM('融资租赁与资金缺口'!$D$5:$D$16)*$S6*$C6,0),IF(BH$4=EDATE('核心假设'!$B$5,7+$F6),SUM('融资租赁与资金缺口'!$D$5:$D$16)*$T6*$C6,0),IF(BH$4=EDATE('核心假设'!$B$5,8+$F6),SUM('融资租赁与资金缺口'!$D$5:$D$16)*$U6*$C6,0),IF(BH$4=EDATE('核心假设'!$B$5,9+$F6),SUM('融资租赁与资金缺口'!$D$5:$D$16)*$V6*$C6,0),IF(BH$4=EDATE('核心假设'!$B$5,10+$F6),SUM('融资租赁与资金缺口'!$D$5:$D$16)*$W6*$C6,0),IF(BH$4=EDATE('核心假设'!$B$5,11+$F6),SUM('融资租赁与资金缺口'!$D$5:$D$16)*$X6*$C6,0),IF(BH$4=EDATE('核心假设'!$B$5,12+$F6),SUM('融资租赁与资金缺口'!$D$5:$D$16)*$Y6*$C6,0),IF(BH$4=EDATE('核心假设'!$B$5,13+$F6),SUM('融资租赁与资金缺口'!$D$5:$D$16)*$Z6*$C6,0),IF(BH$4=EDATE('核心假设'!$B$5,14+$F6),SUM('融资租赁与资金缺口'!$D$5:$D$16)*$AA6*$C6,0),IF(BH$4=EDATE('核心假设'!$B$5,15+$F6),SUM('融资租赁与资金缺口'!$D$5:$D$16)*$AB6*$C6,0),IF(BH$4=EDATE('核心假设'!$B$5,16+$F6),SUM('融资租赁与资金缺口'!$D$5:$D$16)*$AC6*$C6,0),IF(BH$4=EDATE('核心假设'!$B$5,17+$F6),SUM('融资租赁与资金缺口'!$D$5:$D$16)*$AD6*$C6,0))-BH15</x:f>
        <x:v>-66179531.06475778</x:v>
      </x:c>
      <x:c r="BI16" s="28" t="n">
        <x:f>BH16+BI12-BI13+SUM(IF(BI$4=EDATE('核心假设'!$B$5,0+$F6),SUM('融资租赁与资金缺口'!$D$5:$D$16)*$M6*$C6,0),IF(BI$4=EDATE('核心假设'!$B$5,1+$F6),SUM('融资租赁与资金缺口'!$D$5:$D$16)*$N6*$C6,0),IF(BI$4=EDATE('核心假设'!$B$5,2+$F6),SUM('融资租赁与资金缺口'!$D$5:$D$16)*$O6*$C6,0),IF(BI$4=EDATE('核心假设'!$B$5,3+$F6),SUM('融资租赁与资金缺口'!$D$5:$D$16)*$P6*$C6,0),IF(BI$4=EDATE('核心假设'!$B$5,4+$F6),SUM('融资租赁与资金缺口'!$D$5:$D$16)*$Q6*$C6,0),IF(BI$4=EDATE('核心假设'!$B$5,5+$F6),SUM('融资租赁与资金缺口'!$D$5:$D$16)*$R6*$C6,0),IF(BI$4=EDATE('核心假设'!$B$5,6+$F6),SUM('融资租赁与资金缺口'!$D$5:$D$16)*$S6*$C6,0),IF(BI$4=EDATE('核心假设'!$B$5,7+$F6),SUM('融资租赁与资金缺口'!$D$5:$D$16)*$T6*$C6,0),IF(BI$4=EDATE('核心假设'!$B$5,8+$F6),SUM('融资租赁与资金缺口'!$D$5:$D$16)*$U6*$C6,0),IF(BI$4=EDATE('核心假设'!$B$5,9+$F6),SUM('融资租赁与资金缺口'!$D$5:$D$16)*$V6*$C6,0),IF(BI$4=EDATE('核心假设'!$B$5,10+$F6),SUM('融资租赁与资金缺口'!$D$5:$D$16)*$W6*$C6,0),IF(BI$4=EDATE('核心假设'!$B$5,11+$F6),SUM('融资租赁与资金缺口'!$D$5:$D$16)*$X6*$C6,0),IF(BI$4=EDATE('核心假设'!$B$5,12+$F6),SUM('融资租赁与资金缺口'!$D$5:$D$16)*$Y6*$C6,0),IF(BI$4=EDATE('核心假设'!$B$5,13+$F6),SUM('融资租赁与资金缺口'!$D$5:$D$16)*$Z6*$C6,0),IF(BI$4=EDATE('核心假设'!$B$5,14+$F6),SUM('融资租赁与资金缺口'!$D$5:$D$16)*$AA6*$C6,0),IF(BI$4=EDATE('核心假设'!$B$5,15+$F6),SUM('融资租赁与资金缺口'!$D$5:$D$16)*$AB6*$C6,0),IF(BI$4=EDATE('核心假设'!$B$5,16+$F6),SUM('融资租赁与资金缺口'!$D$5:$D$16)*$AC6*$C6,0),IF(BI$4=EDATE('核心假设'!$B$5,17+$F6),SUM('融资租赁与资金缺口'!$D$5:$D$16)*$AD6*$C6,0))-BI15</x:f>
        <x:v>-68447818.23956329</x:v>
      </x:c>
      <x:c r="BJ16" s="28" t="n">
        <x:f>BI16+BJ12-BJ13+SUM(IF(BJ$4=EDATE('核心假设'!$B$5,0+$F6),SUM('融资租赁与资金缺口'!$D$5:$D$16)*$M6*$C6,0),IF(BJ$4=EDATE('核心假设'!$B$5,1+$F6),SUM('融资租赁与资金缺口'!$D$5:$D$16)*$N6*$C6,0),IF(BJ$4=EDATE('核心假设'!$B$5,2+$F6),SUM('融资租赁与资金缺口'!$D$5:$D$16)*$O6*$C6,0),IF(BJ$4=EDATE('核心假设'!$B$5,3+$F6),SUM('融资租赁与资金缺口'!$D$5:$D$16)*$P6*$C6,0),IF(BJ$4=EDATE('核心假设'!$B$5,4+$F6),SUM('融资租赁与资金缺口'!$D$5:$D$16)*$Q6*$C6,0),IF(BJ$4=EDATE('核心假设'!$B$5,5+$F6),SUM('融资租赁与资金缺口'!$D$5:$D$16)*$R6*$C6,0),IF(BJ$4=EDATE('核心假设'!$B$5,6+$F6),SUM('融资租赁与资金缺口'!$D$5:$D$16)*$S6*$C6,0),IF(BJ$4=EDATE('核心假设'!$B$5,7+$F6),SUM('融资租赁与资金缺口'!$D$5:$D$16)*$T6*$C6,0),IF(BJ$4=EDATE('核心假设'!$B$5,8+$F6),SUM('融资租赁与资金缺口'!$D$5:$D$16)*$U6*$C6,0),IF(BJ$4=EDATE('核心假设'!$B$5,9+$F6),SUM('融资租赁与资金缺口'!$D$5:$D$16)*$V6*$C6,0),IF(BJ$4=EDATE('核心假设'!$B$5,10+$F6),SUM('融资租赁与资金缺口'!$D$5:$D$16)*$W6*$C6,0),IF(BJ$4=EDATE('核心假设'!$B$5,11+$F6),SUM('融资租赁与资金缺口'!$D$5:$D$16)*$X6*$C6,0),IF(BJ$4=EDATE('核心假设'!$B$5,12+$F6),SUM('融资租赁与资金缺口'!$D$5:$D$16)*$Y6*$C6,0),IF(BJ$4=EDATE('核心假设'!$B$5,13+$F6),SUM('融资租赁与资金缺口'!$D$5:$D$16)*$Z6*$C6,0),IF(BJ$4=EDATE('核心假设'!$B$5,14+$F6),SUM('融资租赁与资金缺口'!$D$5:$D$16)*$AA6*$C6,0),IF(BJ$4=EDATE('核心假设'!$B$5,15+$F6),SUM('融资租赁与资金缺口'!$D$5:$D$16)*$AB6*$C6,0),IF(BJ$4=EDATE('核心假设'!$B$5,16+$F6),SUM('融资租赁与资金缺口'!$D$5:$D$16)*$AC6*$C6,0),IF(BJ$4=EDATE('核心假设'!$B$5,17+$F6),SUM('融资租赁与资金缺口'!$D$5:$D$16)*$AD6*$C6,0))-BJ15</x:f>
        <x:v>-69918961.01542987</x:v>
      </x:c>
      <x:c r="BK16" s="28" t="n">
        <x:f>BJ16+BK12-BK13+SUM(IF(BK$4=EDATE('核心假设'!$B$5,0+$F6),SUM('融资租赁与资金缺口'!$D$5:$D$16)*$M6*$C6,0),IF(BK$4=EDATE('核心假设'!$B$5,1+$F6),SUM('融资租赁与资金缺口'!$D$5:$D$16)*$N6*$C6,0),IF(BK$4=EDATE('核心假设'!$B$5,2+$F6),SUM('融资租赁与资金缺口'!$D$5:$D$16)*$O6*$C6,0),IF(BK$4=EDATE('核心假设'!$B$5,3+$F6),SUM('融资租赁与资金缺口'!$D$5:$D$16)*$P6*$C6,0),IF(BK$4=EDATE('核心假设'!$B$5,4+$F6),SUM('融资租赁与资金缺口'!$D$5:$D$16)*$Q6*$C6,0),IF(BK$4=EDATE('核心假设'!$B$5,5+$F6),SUM('融资租赁与资金缺口'!$D$5:$D$16)*$R6*$C6,0),IF(BK$4=EDATE('核心假设'!$B$5,6+$F6),SUM('融资租赁与资金缺口'!$D$5:$D$16)*$S6*$C6,0),IF(BK$4=EDATE('核心假设'!$B$5,7+$F6),SUM('融资租赁与资金缺口'!$D$5:$D$16)*$T6*$C6,0),IF(BK$4=EDATE('核心假设'!$B$5,8+$F6),SUM('融资租赁与资金缺口'!$D$5:$D$16)*$U6*$C6,0),IF(BK$4=EDATE('核心假设'!$B$5,9+$F6),SUM('融资租赁与资金缺口'!$D$5:$D$16)*$V6*$C6,0),IF(BK$4=EDATE('核心假设'!$B$5,10+$F6),SUM('融资租赁与资金缺口'!$D$5:$D$16)*$W6*$C6,0),IF(BK$4=EDATE('核心假设'!$B$5,11+$F6),SUM('融资租赁与资金缺口'!$D$5:$D$16)*$X6*$C6,0),IF(BK$4=EDATE('核心假设'!$B$5,12+$F6),SUM('融资租赁与资金缺口'!$D$5:$D$16)*$Y6*$C6,0),IF(BK$4=EDATE('核心假设'!$B$5,13+$F6),SUM('融资租赁与资金缺口'!$D$5:$D$16)*$Z6*$C6,0),IF(BK$4=EDATE('核心假设'!$B$5,14+$F6),SUM('融资租赁与资金缺口'!$D$5:$D$16)*$AA6*$C6,0),IF(BK$4=EDATE('核心假设'!$B$5,15+$F6),SUM('融资租赁与资金缺口'!$D$5:$D$16)*$AB6*$C6,0),IF(BK$4=EDATE('核心假设'!$B$5,16+$F6),SUM('融资租赁与资金缺口'!$D$5:$D$16)*$AC6*$C6,0),IF(BK$4=EDATE('核心假设'!$B$5,17+$F6),SUM('融资租赁与资金缺口'!$D$5:$D$16)*$AD6*$C6,0))-BK15</x:f>
        <x:v>-71191057.75891966</x:v>
      </x:c>
      <x:c r="BL16" s="28" t="n">
        <x:f>BK16+BL12-BL13+SUM(IF(BL$4=EDATE('核心假设'!$B$5,0+$F6),SUM('融资租赁与资金缺口'!$D$5:$D$16)*$M6*$C6,0),IF(BL$4=EDATE('核心假设'!$B$5,1+$F6),SUM('融资租赁与资金缺口'!$D$5:$D$16)*$N6*$C6,0),IF(BL$4=EDATE('核心假设'!$B$5,2+$F6),SUM('融资租赁与资金缺口'!$D$5:$D$16)*$O6*$C6,0),IF(BL$4=EDATE('核心假设'!$B$5,3+$F6),SUM('融资租赁与资金缺口'!$D$5:$D$16)*$P6*$C6,0),IF(BL$4=EDATE('核心假设'!$B$5,4+$F6),SUM('融资租赁与资金缺口'!$D$5:$D$16)*$Q6*$C6,0),IF(BL$4=EDATE('核心假设'!$B$5,5+$F6),SUM('融资租赁与资金缺口'!$D$5:$D$16)*$R6*$C6,0),IF(BL$4=EDATE('核心假设'!$B$5,6+$F6),SUM('融资租赁与资金缺口'!$D$5:$D$16)*$S6*$C6,0),IF(BL$4=EDATE('核心假设'!$B$5,7+$F6),SUM('融资租赁与资金缺口'!$D$5:$D$16)*$T6*$C6,0),IF(BL$4=EDATE('核心假设'!$B$5,8+$F6),SUM('融资租赁与资金缺口'!$D$5:$D$16)*$U6*$C6,0),IF(BL$4=EDATE('核心假设'!$B$5,9+$F6),SUM('融资租赁与资金缺口'!$D$5:$D$16)*$V6*$C6,0),IF(BL$4=EDATE('核心假设'!$B$5,10+$F6),SUM('融资租赁与资金缺口'!$D$5:$D$16)*$W6*$C6,0),IF(BL$4=EDATE('核心假设'!$B$5,11+$F6),SUM('融资租赁与资金缺口'!$D$5:$D$16)*$X6*$C6,0),IF(BL$4=EDATE('核心假设'!$B$5,12+$F6),SUM('融资租赁与资金缺口'!$D$5:$D$16)*$Y6*$C6,0),IF(BL$4=EDATE('核心假设'!$B$5,13+$F6),SUM('融资租赁与资金缺口'!$D$5:$D$16)*$Z6*$C6,0),IF(BL$4=EDATE('核心假设'!$B$5,14+$F6),SUM('融资租赁与资金缺口'!$D$5:$D$16)*$AA6*$C6,0),IF(BL$4=EDATE('核心假设'!$B$5,15+$F6),SUM('融资租赁与资金缺口'!$D$5:$D$16)*$AB6*$C6,0),IF(BL$4=EDATE('核心假设'!$B$5,16+$F6),SUM('融资租赁与资金缺口'!$D$5:$D$16)*$AC6*$C6,0),IF(BL$4=EDATE('核心假设'!$B$5,17+$F6),SUM('融资租赁与资金缺口'!$D$5:$D$16)*$AD6*$C6,0))-BL15</x:f>
        <x:v>-72051604.70220235</x:v>
      </x:c>
      <x:c r="BM16" s="28" t="n">
        <x:f>BL16+BM12-BM13+SUM(IF(BM$4=EDATE('核心假设'!$B$5,0+$F6),SUM('融资租赁与资金缺口'!$D$5:$D$16)*$M6*$C6,0),IF(BM$4=EDATE('核心假设'!$B$5,1+$F6),SUM('融资租赁与资金缺口'!$D$5:$D$16)*$N6*$C6,0),IF(BM$4=EDATE('核心假设'!$B$5,2+$F6),SUM('融资租赁与资金缺口'!$D$5:$D$16)*$O6*$C6,0),IF(BM$4=EDATE('核心假设'!$B$5,3+$F6),SUM('融资租赁与资金缺口'!$D$5:$D$16)*$P6*$C6,0),IF(BM$4=EDATE('核心假设'!$B$5,4+$F6),SUM('融资租赁与资金缺口'!$D$5:$D$16)*$Q6*$C6,0),IF(BM$4=EDATE('核心假设'!$B$5,5+$F6),SUM('融资租赁与资金缺口'!$D$5:$D$16)*$R6*$C6,0),IF(BM$4=EDATE('核心假设'!$B$5,6+$F6),SUM('融资租赁与资金缺口'!$D$5:$D$16)*$S6*$C6,0),IF(BM$4=EDATE('核心假设'!$B$5,7+$F6),SUM('融资租赁与资金缺口'!$D$5:$D$16)*$T6*$C6,0),IF(BM$4=EDATE('核心假设'!$B$5,8+$F6),SUM('融资租赁与资金缺口'!$D$5:$D$16)*$U6*$C6,0),IF(BM$4=EDATE('核心假设'!$B$5,9+$F6),SUM('融资租赁与资金缺口'!$D$5:$D$16)*$V6*$C6,0),IF(BM$4=EDATE('核心假设'!$B$5,10+$F6),SUM('融资租赁与资金缺口'!$D$5:$D$16)*$W6*$C6,0),IF(BM$4=EDATE('核心假设'!$B$5,11+$F6),SUM('融资租赁与资金缺口'!$D$5:$D$16)*$X6*$C6,0),IF(BM$4=EDATE('核心假设'!$B$5,12+$F6),SUM('融资租赁与资金缺口'!$D$5:$D$16)*$Y6*$C6,0),IF(BM$4=EDATE('核心假设'!$B$5,13+$F6),SUM('融资租赁与资金缺口'!$D$5:$D$16)*$Z6*$C6,0),IF(BM$4=EDATE('核心假设'!$B$5,14+$F6),SUM('融资租赁与资金缺口'!$D$5:$D$16)*$AA6*$C6,0),IF(BM$4=EDATE('核心假设'!$B$5,15+$F6),SUM('融资租赁与资金缺口'!$D$5:$D$16)*$AB6*$C6,0),IF(BM$4=EDATE('核心假设'!$B$5,16+$F6),SUM('融资租赁与资金缺口'!$D$5:$D$16)*$AC6*$C6,0),IF(BM$4=EDATE('核心假设'!$B$5,17+$F6),SUM('融资租赁与资金缺口'!$D$5:$D$16)*$AD6*$C6,0))-BM15</x:f>
        <x:v>-71700752.76665574</x:v>
      </x:c>
      <x:c r="BN16" s="28" t="n">
        <x:f>BM16+BN12-BN13+SUM(IF(BN$4=EDATE('核心假设'!$B$5,0+$F6),SUM('融资租赁与资金缺口'!$D$5:$D$16)*$M6*$C6,0),IF(BN$4=EDATE('核心假设'!$B$5,1+$F6),SUM('融资租赁与资金缺口'!$D$5:$D$16)*$N6*$C6,0),IF(BN$4=EDATE('核心假设'!$B$5,2+$F6),SUM('融资租赁与资金缺口'!$D$5:$D$16)*$O6*$C6,0),IF(BN$4=EDATE('核心假设'!$B$5,3+$F6),SUM('融资租赁与资金缺口'!$D$5:$D$16)*$P6*$C6,0),IF(BN$4=EDATE('核心假设'!$B$5,4+$F6),SUM('融资租赁与资金缺口'!$D$5:$D$16)*$Q6*$C6,0),IF(BN$4=EDATE('核心假设'!$B$5,5+$F6),SUM('融资租赁与资金缺口'!$D$5:$D$16)*$R6*$C6,0),IF(BN$4=EDATE('核心假设'!$B$5,6+$F6),SUM('融资租赁与资金缺口'!$D$5:$D$16)*$S6*$C6,0),IF(BN$4=EDATE('核心假设'!$B$5,7+$F6),SUM('融资租赁与资金缺口'!$D$5:$D$16)*$T6*$C6,0),IF(BN$4=EDATE('核心假设'!$B$5,8+$F6),SUM('融资租赁与资金缺口'!$D$5:$D$16)*$U6*$C6,0),IF(BN$4=EDATE('核心假设'!$B$5,9+$F6),SUM('融资租赁与资金缺口'!$D$5:$D$16)*$V6*$C6,0),IF(BN$4=EDATE('核心假设'!$B$5,10+$F6),SUM('融资租赁与资金缺口'!$D$5:$D$16)*$W6*$C6,0),IF(BN$4=EDATE('核心假设'!$B$5,11+$F6),SUM('融资租赁与资金缺口'!$D$5:$D$16)*$X6*$C6,0),IF(BN$4=EDATE('核心假设'!$B$5,12+$F6),SUM('融资租赁与资金缺口'!$D$5:$D$16)*$Y6*$C6,0),IF(BN$4=EDATE('核心假设'!$B$5,13+$F6),SUM('融资租赁与资金缺口'!$D$5:$D$16)*$Z6*$C6,0),IF(BN$4=EDATE('核心假设'!$B$5,14+$F6),SUM('融资租赁与资金缺口'!$D$5:$D$16)*$AA6*$C6,0),IF(BN$4=EDATE('核心假设'!$B$5,15+$F6),SUM('融资租赁与资金缺口'!$D$5:$D$16)*$AB6*$C6,0),IF(BN$4=EDATE('核心假设'!$B$5,16+$F6),SUM('融资租赁与资金缺口'!$D$5:$D$16)*$AC6*$C6,0),IF(BN$4=EDATE('核心假设'!$B$5,17+$F6),SUM('融资租赁与资金缺口'!$D$5:$D$16)*$AD6*$C6,0))-BN15</x:f>
        <x:v>-70127146.32173052</x:v>
      </x:c>
      <x:c r="BO16" s="28" t="n">
        <x:f>BN16+BO12-BO13+SUM(IF(BO$4=EDATE('核心假设'!$B$5,0+$F6),SUM('融资租赁与资金缺口'!$D$5:$D$16)*$M6*$C6,0),IF(BO$4=EDATE('核心假设'!$B$5,1+$F6),SUM('融资租赁与资金缺口'!$D$5:$D$16)*$N6*$C6,0),IF(BO$4=EDATE('核心假设'!$B$5,2+$F6),SUM('融资租赁与资金缺口'!$D$5:$D$16)*$O6*$C6,0),IF(BO$4=EDATE('核心假设'!$B$5,3+$F6),SUM('融资租赁与资金缺口'!$D$5:$D$16)*$P6*$C6,0),IF(BO$4=EDATE('核心假设'!$B$5,4+$F6),SUM('融资租赁与资金缺口'!$D$5:$D$16)*$Q6*$C6,0),IF(BO$4=EDATE('核心假设'!$B$5,5+$F6),SUM('融资租赁与资金缺口'!$D$5:$D$16)*$R6*$C6,0),IF(BO$4=EDATE('核心假设'!$B$5,6+$F6),SUM('融资租赁与资金缺口'!$D$5:$D$16)*$S6*$C6,0),IF(BO$4=EDATE('核心假设'!$B$5,7+$F6),SUM('融资租赁与资金缺口'!$D$5:$D$16)*$T6*$C6,0),IF(BO$4=EDATE('核心假设'!$B$5,8+$F6),SUM('融资租赁与资金缺口'!$D$5:$D$16)*$U6*$C6,0),IF(BO$4=EDATE('核心假设'!$B$5,9+$F6),SUM('融资租赁与资金缺口'!$D$5:$D$16)*$V6*$C6,0),IF(BO$4=EDATE('核心假设'!$B$5,10+$F6),SUM('融资租赁与资金缺口'!$D$5:$D$16)*$W6*$C6,0),IF(BO$4=EDATE('核心假设'!$B$5,11+$F6),SUM('融资租赁与资金缺口'!$D$5:$D$16)*$X6*$C6,0),IF(BO$4=EDATE('核心假设'!$B$5,12+$F6),SUM('融资租赁与资金缺口'!$D$5:$D$16)*$Y6*$C6,0),IF(BO$4=EDATE('核心假设'!$B$5,13+$F6),SUM('融资租赁与资金缺口'!$D$5:$D$16)*$Z6*$C6,0),IF(BO$4=EDATE('核心假设'!$B$5,14+$F6),SUM('融资租赁与资金缺口'!$D$5:$D$16)*$AA6*$C6,0),IF(BO$4=EDATE('核心假设'!$B$5,15+$F6),SUM('融资租赁与资金缺口'!$D$5:$D$16)*$AB6*$C6,0),IF(BO$4=EDATE('核心假设'!$B$5,16+$F6),SUM('融资租赁与资金缺口'!$D$5:$D$16)*$AC6*$C6,0),IF(BO$4=EDATE('核心假设'!$B$5,17+$F6),SUM('融资租赁与资金缺口'!$D$5:$D$16)*$AD6*$C6,0))-BO15</x:f>
        <x:v>-67910287.77725825</x:v>
      </x:c>
      <x:c r="BP16" s="28" t="n">
        <x:f>BO16+BP12-BP13+SUM(IF(BP$4=EDATE('核心假设'!$B$5,0+$F6),SUM('融资租赁与资金缺口'!$D$5:$D$16)*$M6*$C6,0),IF(BP$4=EDATE('核心假设'!$B$5,1+$F6),SUM('融资租赁与资金缺口'!$D$5:$D$16)*$N6*$C6,0),IF(BP$4=EDATE('核心假设'!$B$5,2+$F6),SUM('融资租赁与资金缺口'!$D$5:$D$16)*$O6*$C6,0),IF(BP$4=EDATE('核心假设'!$B$5,3+$F6),SUM('融资租赁与资金缺口'!$D$5:$D$16)*$P6*$C6,0),IF(BP$4=EDATE('核心假设'!$B$5,4+$F6),SUM('融资租赁与资金缺口'!$D$5:$D$16)*$Q6*$C6,0),IF(BP$4=EDATE('核心假设'!$B$5,5+$F6),SUM('融资租赁与资金缺口'!$D$5:$D$16)*$R6*$C6,0),IF(BP$4=EDATE('核心假设'!$B$5,6+$F6),SUM('融资租赁与资金缺口'!$D$5:$D$16)*$S6*$C6,0),IF(BP$4=EDATE('核心假设'!$B$5,7+$F6),SUM('融资租赁与资金缺口'!$D$5:$D$16)*$T6*$C6,0),IF(BP$4=EDATE('核心假设'!$B$5,8+$F6),SUM('融资租赁与资金缺口'!$D$5:$D$16)*$U6*$C6,0),IF(BP$4=EDATE('核心假设'!$B$5,9+$F6),SUM('融资租赁与资金缺口'!$D$5:$D$16)*$V6*$C6,0),IF(BP$4=EDATE('核心假设'!$B$5,10+$F6),SUM('融资租赁与资金缺口'!$D$5:$D$16)*$W6*$C6,0),IF(BP$4=EDATE('核心假设'!$B$5,11+$F6),SUM('融资租赁与资金缺口'!$D$5:$D$16)*$X6*$C6,0),IF(BP$4=EDATE('核心假设'!$B$5,12+$F6),SUM('融资租赁与资金缺口'!$D$5:$D$16)*$Y6*$C6,0),IF(BP$4=EDATE('核心假设'!$B$5,13+$F6),SUM('融资租赁与资金缺口'!$D$5:$D$16)*$Z6*$C6,0),IF(BP$4=EDATE('核心假设'!$B$5,14+$F6),SUM('融资租赁与资金缺口'!$D$5:$D$16)*$AA6*$C6,0),IF(BP$4=EDATE('核心假设'!$B$5,15+$F6),SUM('融资租赁与资金缺口'!$D$5:$D$16)*$AB6*$C6,0),IF(BP$4=EDATE('核心假设'!$B$5,16+$F6),SUM('融资租赁与资金缺口'!$D$5:$D$16)*$AC6*$C6,0),IF(BP$4=EDATE('核心假设'!$B$5,17+$F6),SUM('融资租赁与资金缺口'!$D$5:$D$16)*$AD6*$C6,0))-BP15</x:f>
        <x:v>-66961570.51633273</x:v>
      </x:c>
      <x:c r="BQ16" s="28" t="n">
        <x:f>BP16+BQ12-BQ13+SUM(IF(BQ$4=EDATE('核心假设'!$B$5,0+$F6),SUM('融资租赁与资金缺口'!$D$5:$D$16)*$M6*$C6,0),IF(BQ$4=EDATE('核心假设'!$B$5,1+$F6),SUM('融资租赁与资金缺口'!$D$5:$D$16)*$N6*$C6,0),IF(BQ$4=EDATE('核心假设'!$B$5,2+$F6),SUM('融资租赁与资金缺口'!$D$5:$D$16)*$O6*$C6,0),IF(BQ$4=EDATE('核心假设'!$B$5,3+$F6),SUM('融资租赁与资金缺口'!$D$5:$D$16)*$P6*$C6,0),IF(BQ$4=EDATE('核心假设'!$B$5,4+$F6),SUM('融资租赁与资金缺口'!$D$5:$D$16)*$Q6*$C6,0),IF(BQ$4=EDATE('核心假设'!$B$5,5+$F6),SUM('融资租赁与资金缺口'!$D$5:$D$16)*$R6*$C6,0),IF(BQ$4=EDATE('核心假设'!$B$5,6+$F6),SUM('融资租赁与资金缺口'!$D$5:$D$16)*$S6*$C6,0),IF(BQ$4=EDATE('核心假设'!$B$5,7+$F6),SUM('融资租赁与资金缺口'!$D$5:$D$16)*$T6*$C6,0),IF(BQ$4=EDATE('核心假设'!$B$5,8+$F6),SUM('融资租赁与资金缺口'!$D$5:$D$16)*$U6*$C6,0),IF(BQ$4=EDATE('核心假设'!$B$5,9+$F6),SUM('融资租赁与资金缺口'!$D$5:$D$16)*$V6*$C6,0),IF(BQ$4=EDATE('核心假设'!$B$5,10+$F6),SUM('融资租赁与资金缺口'!$D$5:$D$16)*$W6*$C6,0),IF(BQ$4=EDATE('核心假设'!$B$5,11+$F6),SUM('融资租赁与资金缺口'!$D$5:$D$16)*$X6*$C6,0),IF(BQ$4=EDATE('核心假设'!$B$5,12+$F6),SUM('融资租赁与资金缺口'!$D$5:$D$16)*$Y6*$C6,0),IF(BQ$4=EDATE('核心假设'!$B$5,13+$F6),SUM('融资租赁与资金缺口'!$D$5:$D$16)*$Z6*$C6,0),IF(BQ$4=EDATE('核心假设'!$B$5,14+$F6),SUM('融资租赁与资金缺口'!$D$5:$D$16)*$AA6*$C6,0),IF(BQ$4=EDATE('核心假设'!$B$5,15+$F6),SUM('融资租赁与资金缺口'!$D$5:$D$16)*$AB6*$C6,0),IF(BQ$4=EDATE('核心假设'!$B$5,16+$F6),SUM('融资租赁与资金缺口'!$D$5:$D$16)*$AC6*$C6,0),IF(BQ$4=EDATE('核心假设'!$B$5,17+$F6),SUM('融资租赁与资金缺口'!$D$5:$D$16)*$AD6*$C6,0))-BQ15</x:f>
        <x:v>-66763196.046080835</x:v>
      </x:c>
      <x:c r="BR16" s="28" t="n">
        <x:f>BQ16+BR12-BR13+SUM(IF(BR$4=EDATE('核心假设'!$B$5,0+$F6),SUM('融资租赁与资金缺口'!$D$5:$D$16)*$M6*$C6,0),IF(BR$4=EDATE('核心假设'!$B$5,1+$F6),SUM('融资租赁与资金缺口'!$D$5:$D$16)*$N6*$C6,0),IF(BR$4=EDATE('核心假设'!$B$5,2+$F6),SUM('融资租赁与资金缺口'!$D$5:$D$16)*$O6*$C6,0),IF(BR$4=EDATE('核心假设'!$B$5,3+$F6),SUM('融资租赁与资金缺口'!$D$5:$D$16)*$P6*$C6,0),IF(BR$4=EDATE('核心假设'!$B$5,4+$F6),SUM('融资租赁与资金缺口'!$D$5:$D$16)*$Q6*$C6,0),IF(BR$4=EDATE('核心假设'!$B$5,5+$F6),SUM('融资租赁与资金缺口'!$D$5:$D$16)*$R6*$C6,0),IF(BR$4=EDATE('核心假设'!$B$5,6+$F6),SUM('融资租赁与资金缺口'!$D$5:$D$16)*$S6*$C6,0),IF(BR$4=EDATE('核心假设'!$B$5,7+$F6),SUM('融资租赁与资金缺口'!$D$5:$D$16)*$T6*$C6,0),IF(BR$4=EDATE('核心假设'!$B$5,8+$F6),SUM('融资租赁与资金缺口'!$D$5:$D$16)*$U6*$C6,0),IF(BR$4=EDATE('核心假设'!$B$5,9+$F6),SUM('融资租赁与资金缺口'!$D$5:$D$16)*$V6*$C6,0),IF(BR$4=EDATE('核心假设'!$B$5,10+$F6),SUM('融资租赁与资金缺口'!$D$5:$D$16)*$W6*$C6,0),IF(BR$4=EDATE('核心假设'!$B$5,11+$F6),SUM('融资租赁与资金缺口'!$D$5:$D$16)*$X6*$C6,0),IF(BR$4=EDATE('核心假设'!$B$5,12+$F6),SUM('融资租赁与资金缺口'!$D$5:$D$16)*$Y6*$C6,0),IF(BR$4=EDATE('核心假设'!$B$5,13+$F6),SUM('融资租赁与资金缺口'!$D$5:$D$16)*$Z6*$C6,0),IF(BR$4=EDATE('核心假设'!$B$5,14+$F6),SUM('融资租赁与资金缺口'!$D$5:$D$16)*$AA6*$C6,0),IF(BR$4=EDATE('核心假设'!$B$5,15+$F6),SUM('融资租赁与资金缺口'!$D$5:$D$16)*$AB6*$C6,0),IF(BR$4=EDATE('核心假设'!$B$5,16+$F6),SUM('融资租赁与资金缺口'!$D$5:$D$16)*$AC6*$C6,0),IF(BR$4=EDATE('核心假设'!$B$5,17+$F6),SUM('融资租赁与资金缺口'!$D$5:$D$16)*$AD6*$C6,0))-BR15</x:f>
        <x:v>-65425403.31556063</x:v>
      </x:c>
      <x:c r="BS16" s="28" t="n">
        <x:f>BR16+BS12-BS13+SUM(IF(BS$4=EDATE('核心假设'!$B$5,0+$F6),SUM('融资租赁与资金缺口'!$D$5:$D$16)*$M6*$C6,0),IF(BS$4=EDATE('核心假设'!$B$5,1+$F6),SUM('融资租赁与资金缺口'!$D$5:$D$16)*$N6*$C6,0),IF(BS$4=EDATE('核心假设'!$B$5,2+$F6),SUM('融资租赁与资金缺口'!$D$5:$D$16)*$O6*$C6,0),IF(BS$4=EDATE('核心假设'!$B$5,3+$F6),SUM('融资租赁与资金缺口'!$D$5:$D$16)*$P6*$C6,0),IF(BS$4=EDATE('核心假设'!$B$5,4+$F6),SUM('融资租赁与资金缺口'!$D$5:$D$16)*$Q6*$C6,0),IF(BS$4=EDATE('核心假设'!$B$5,5+$F6),SUM('融资租赁与资金缺口'!$D$5:$D$16)*$R6*$C6,0),IF(BS$4=EDATE('核心假设'!$B$5,6+$F6),SUM('融资租赁与资金缺口'!$D$5:$D$16)*$S6*$C6,0),IF(BS$4=EDATE('核心假设'!$B$5,7+$F6),SUM('融资租赁与资金缺口'!$D$5:$D$16)*$T6*$C6,0),IF(BS$4=EDATE('核心假设'!$B$5,8+$F6),SUM('融资租赁与资金缺口'!$D$5:$D$16)*$U6*$C6,0),IF(BS$4=EDATE('核心假设'!$B$5,9+$F6),SUM('融资租赁与资金缺口'!$D$5:$D$16)*$V6*$C6,0),IF(BS$4=EDATE('核心假设'!$B$5,10+$F6),SUM('融资租赁与资金缺口'!$D$5:$D$16)*$W6*$C6,0),IF(BS$4=EDATE('核心假设'!$B$5,11+$F6),SUM('融资租赁与资金缺口'!$D$5:$D$16)*$X6*$C6,0),IF(BS$4=EDATE('核心假设'!$B$5,12+$F6),SUM('融资租赁与资金缺口'!$D$5:$D$16)*$Y6*$C6,0),IF(BS$4=EDATE('核心假设'!$B$5,13+$F6),SUM('融资租赁与资金缺口'!$D$5:$D$16)*$Z6*$C6,0),IF(BS$4=EDATE('核心假设'!$B$5,14+$F6),SUM('融资租赁与资金缺口'!$D$5:$D$16)*$AA6*$C6,0),IF(BS$4=EDATE('核心假设'!$B$5,15+$F6),SUM('融资租赁与资金缺口'!$D$5:$D$16)*$AB6*$C6,0),IF(BS$4=EDATE('核心假设'!$B$5,16+$F6),SUM('融资租赁与资金缺口'!$D$5:$D$16)*$AC6*$C6,0),IF(BS$4=EDATE('核心假设'!$B$5,17+$F6),SUM('融资租赁与资金缺口'!$D$5:$D$16)*$AD6*$C6,0))-BS15</x:f>
        <x:v>-61247946.08567592</x:v>
      </x:c>
      <x:c r="BT16" s="28" t="n">
        <x:f>BS16+BT12-BT13+SUM(IF(BT$4=EDATE('核心假设'!$B$5,0+$F6),SUM('融资租赁与资金缺口'!$D$5:$D$16)*$M6*$C6,0),IF(BT$4=EDATE('核心假设'!$B$5,1+$F6),SUM('融资租赁与资金缺口'!$D$5:$D$16)*$N6*$C6,0),IF(BT$4=EDATE('核心假设'!$B$5,2+$F6),SUM('融资租赁与资金缺口'!$D$5:$D$16)*$O6*$C6,0),IF(BT$4=EDATE('核心假设'!$B$5,3+$F6),SUM('融资租赁与资金缺口'!$D$5:$D$16)*$P6*$C6,0),IF(BT$4=EDATE('核心假设'!$B$5,4+$F6),SUM('融资租赁与资金缺口'!$D$5:$D$16)*$Q6*$C6,0),IF(BT$4=EDATE('核心假设'!$B$5,5+$F6),SUM('融资租赁与资金缺口'!$D$5:$D$16)*$R6*$C6,0),IF(BT$4=EDATE('核心假设'!$B$5,6+$F6),SUM('融资租赁与资金缺口'!$D$5:$D$16)*$S6*$C6,0),IF(BT$4=EDATE('核心假设'!$B$5,7+$F6),SUM('融资租赁与资金缺口'!$D$5:$D$16)*$T6*$C6,0),IF(BT$4=EDATE('核心假设'!$B$5,8+$F6),SUM('融资租赁与资金缺口'!$D$5:$D$16)*$U6*$C6,0),IF(BT$4=EDATE('核心假设'!$B$5,9+$F6),SUM('融资租赁与资金缺口'!$D$5:$D$16)*$V6*$C6,0),IF(BT$4=EDATE('核心假设'!$B$5,10+$F6),SUM('融资租赁与资金缺口'!$D$5:$D$16)*$W6*$C6,0),IF(BT$4=EDATE('核心假设'!$B$5,11+$F6),SUM('融资租赁与资金缺口'!$D$5:$D$16)*$X6*$C6,0),IF(BT$4=EDATE('核心假设'!$B$5,12+$F6),SUM('融资租赁与资金缺口'!$D$5:$D$16)*$Y6*$C6,0),IF(BT$4=EDATE('核心假设'!$B$5,13+$F6),SUM('融资租赁与资金缺口'!$D$5:$D$16)*$Z6*$C6,0),IF(BT$4=EDATE('核心假设'!$B$5,14+$F6),SUM('融资租赁与资金缺口'!$D$5:$D$16)*$AA6*$C6,0),IF(BT$4=EDATE('核心假设'!$B$5,15+$F6),SUM('融资租赁与资金缺口'!$D$5:$D$16)*$AB6*$C6,0),IF(BT$4=EDATE('核心假设'!$B$5,16+$F6),SUM('融资租赁与资金缺口'!$D$5:$D$16)*$AC6*$C6,0),IF(BT$4=EDATE('核心假设'!$B$5,17+$F6),SUM('融资租赁与资金缺口'!$D$5:$D$16)*$AD6*$C6,0))-BT15</x:f>
        <x:v>-57656264.406706706</x:v>
      </x:c>
      <x:c r="BU16" s="28" t="n">
        <x:f>BT16+BU12-BU13+SUM(IF(BU$4=EDATE('核心假设'!$B$5,0+$F6),SUM('融资租赁与资金缺口'!$D$5:$D$16)*$M6*$C6,0),IF(BU$4=EDATE('核心假设'!$B$5,1+$F6),SUM('融资租赁与资金缺口'!$D$5:$D$16)*$N6*$C6,0),IF(BU$4=EDATE('核心假设'!$B$5,2+$F6),SUM('融资租赁与资金缺口'!$D$5:$D$16)*$O6*$C6,0),IF(BU$4=EDATE('核心假设'!$B$5,3+$F6),SUM('融资租赁与资金缺口'!$D$5:$D$16)*$P6*$C6,0),IF(BU$4=EDATE('核心假设'!$B$5,4+$F6),SUM('融资租赁与资金缺口'!$D$5:$D$16)*$Q6*$C6,0),IF(BU$4=EDATE('核心假设'!$B$5,5+$F6),SUM('融资租赁与资金缺口'!$D$5:$D$16)*$R6*$C6,0),IF(BU$4=EDATE('核心假设'!$B$5,6+$F6),SUM('融资租赁与资金缺口'!$D$5:$D$16)*$S6*$C6,0),IF(BU$4=EDATE('核心假设'!$B$5,7+$F6),SUM('融资租赁与资金缺口'!$D$5:$D$16)*$T6*$C6,0),IF(BU$4=EDATE('核心假设'!$B$5,8+$F6),SUM('融资租赁与资金缺口'!$D$5:$D$16)*$U6*$C6,0),IF(BU$4=EDATE('核心假设'!$B$5,9+$F6),SUM('融资租赁与资金缺口'!$D$5:$D$16)*$V6*$C6,0),IF(BU$4=EDATE('核心假设'!$B$5,10+$F6),SUM('融资租赁与资金缺口'!$D$5:$D$16)*$W6*$C6,0),IF(BU$4=EDATE('核心假设'!$B$5,11+$F6),SUM('融资租赁与资金缺口'!$D$5:$D$16)*$X6*$C6,0),IF(BU$4=EDATE('核心假设'!$B$5,12+$F6),SUM('融资租赁与资金缺口'!$D$5:$D$16)*$Y6*$C6,0),IF(BU$4=EDATE('核心假设'!$B$5,13+$F6),SUM('融资租赁与资金缺口'!$D$5:$D$16)*$Z6*$C6,0),IF(BU$4=EDATE('核心假设'!$B$5,14+$F6),SUM('融资租赁与资金缺口'!$D$5:$D$16)*$AA6*$C6,0),IF(BU$4=EDATE('核心假设'!$B$5,15+$F6),SUM('融资租赁与资金缺口'!$D$5:$D$16)*$AB6*$C6,0),IF(BU$4=EDATE('核心假设'!$B$5,16+$F6),SUM('融资租赁与资金缺口'!$D$5:$D$16)*$AC6*$C6,0),IF(BU$4=EDATE('核心假设'!$B$5,17+$F6),SUM('融资租赁与资金缺口'!$D$5:$D$16)*$AD6*$C6,0))-BU15</x:f>
        <x:v>-56021857.192284875</x:v>
      </x:c>
      <x:c r="BV16" s="28" t="n">
        <x:f>BU16+BV12-BV13+SUM(IF(BV$4=EDATE('核心假设'!$B$5,0+$F6),SUM('融资租赁与资金缺口'!$D$5:$D$16)*$M6*$C6,0),IF(BV$4=EDATE('核心假设'!$B$5,1+$F6),SUM('融资租赁与资金缺口'!$D$5:$D$16)*$N6*$C6,0),IF(BV$4=EDATE('核心假设'!$B$5,2+$F6),SUM('融资租赁与资金缺口'!$D$5:$D$16)*$O6*$C6,0),IF(BV$4=EDATE('核心假设'!$B$5,3+$F6),SUM('融资租赁与资金缺口'!$D$5:$D$16)*$P6*$C6,0),IF(BV$4=EDATE('核心假设'!$B$5,4+$F6),SUM('融资租赁与资金缺口'!$D$5:$D$16)*$Q6*$C6,0),IF(BV$4=EDATE('核心假设'!$B$5,5+$F6),SUM('融资租赁与资金缺口'!$D$5:$D$16)*$R6*$C6,0),IF(BV$4=EDATE('核心假设'!$B$5,6+$F6),SUM('融资租赁与资金缺口'!$D$5:$D$16)*$S6*$C6,0),IF(BV$4=EDATE('核心假设'!$B$5,7+$F6),SUM('融资租赁与资金缺口'!$D$5:$D$16)*$T6*$C6,0),IF(BV$4=EDATE('核心假设'!$B$5,8+$F6),SUM('融资租赁与资金缺口'!$D$5:$D$16)*$U6*$C6,0),IF(BV$4=EDATE('核心假设'!$B$5,9+$F6),SUM('融资租赁与资金缺口'!$D$5:$D$16)*$V6*$C6,0),IF(BV$4=EDATE('核心假设'!$B$5,10+$F6),SUM('融资租赁与资金缺口'!$D$5:$D$16)*$W6*$C6,0),IF(BV$4=EDATE('核心假设'!$B$5,11+$F6),SUM('融资租赁与资金缺口'!$D$5:$D$16)*$X6*$C6,0),IF(BV$4=EDATE('核心假设'!$B$5,12+$F6),SUM('融资租赁与资金缺口'!$D$5:$D$16)*$Y6*$C6,0),IF(BV$4=EDATE('核心假设'!$B$5,13+$F6),SUM('融资租赁与资金缺口'!$D$5:$D$16)*$Z6*$C6,0),IF(BV$4=EDATE('核心假设'!$B$5,14+$F6),SUM('融资租赁与资金缺口'!$D$5:$D$16)*$AA6*$C6,0),IF(BV$4=EDATE('核心假设'!$B$5,15+$F6),SUM('融资租赁与资金缺口'!$D$5:$D$16)*$AB6*$C6,0),IF(BV$4=EDATE('核心假设'!$B$5,16+$F6),SUM('融资租赁与资金缺口'!$D$5:$D$16)*$AC6*$C6,0),IF(BV$4=EDATE('核心假设'!$B$5,17+$F6),SUM('融资租赁与资金缺口'!$D$5:$D$16)*$AD6*$C6,0))-BV15</x:f>
        <x:v>-52124444.059576206</x:v>
      </x:c>
      <x:c r="BW16" s="28" t="n">
        <x:f>BV16+BW12-BW13+SUM(IF(BW$4=EDATE('核心假设'!$B$5,0+$F6),SUM('融资租赁与资金缺口'!$D$5:$D$16)*$M6*$C6,0),IF(BW$4=EDATE('核心假设'!$B$5,1+$F6),SUM('融资租赁与资金缺口'!$D$5:$D$16)*$N6*$C6,0),IF(BW$4=EDATE('核心假设'!$B$5,2+$F6),SUM('融资租赁与资金缺口'!$D$5:$D$16)*$O6*$C6,0),IF(BW$4=EDATE('核心假设'!$B$5,3+$F6),SUM('融资租赁与资金缺口'!$D$5:$D$16)*$P6*$C6,0),IF(BW$4=EDATE('核心假设'!$B$5,4+$F6),SUM('融资租赁与资金缺口'!$D$5:$D$16)*$Q6*$C6,0),IF(BW$4=EDATE('核心假设'!$B$5,5+$F6),SUM('融资租赁与资金缺口'!$D$5:$D$16)*$R6*$C6,0),IF(BW$4=EDATE('核心假设'!$B$5,6+$F6),SUM('融资租赁与资金缺口'!$D$5:$D$16)*$S6*$C6,0),IF(BW$4=EDATE('核心假设'!$B$5,7+$F6),SUM('融资租赁与资金缺口'!$D$5:$D$16)*$T6*$C6,0),IF(BW$4=EDATE('核心假设'!$B$5,8+$F6),SUM('融资租赁与资金缺口'!$D$5:$D$16)*$U6*$C6,0),IF(BW$4=EDATE('核心假设'!$B$5,9+$F6),SUM('融资租赁与资金缺口'!$D$5:$D$16)*$V6*$C6,0),IF(BW$4=EDATE('核心假设'!$B$5,10+$F6),SUM('融资租赁与资金缺口'!$D$5:$D$16)*$W6*$C6,0),IF(BW$4=EDATE('核心假设'!$B$5,11+$F6),SUM('融资租赁与资金缺口'!$D$5:$D$16)*$X6*$C6,0),IF(BW$4=EDATE('核心假设'!$B$5,12+$F6),SUM('融资租赁与资金缺口'!$D$5:$D$16)*$Y6*$C6,0),IF(BW$4=EDATE('核心假设'!$B$5,13+$F6),SUM('融资租赁与资金缺口'!$D$5:$D$16)*$Z6*$C6,0),IF(BW$4=EDATE('核心假设'!$B$5,14+$F6),SUM('融资租赁与资金缺口'!$D$5:$D$16)*$AA6*$C6,0),IF(BW$4=EDATE('核心假设'!$B$5,15+$F6),SUM('融资租赁与资金缺口'!$D$5:$D$16)*$AB6*$C6,0),IF(BW$4=EDATE('核心假设'!$B$5,16+$F6),SUM('融资租赁与资金缺口'!$D$5:$D$16)*$AC6*$C6,0),IF(BW$4=EDATE('核心假设'!$B$5,17+$F6),SUM('融资租赁与资金缺口'!$D$5:$D$16)*$AD6*$C6,0))-BW15</x:f>
        <x:v>-46393213.20632639</x:v>
      </x:c>
      <x:c r="BX16" s="28" t="n">
        <x:f>BW16+BX12-BX13+SUM(IF(BX$4=EDATE('核心假设'!$B$5,0+$F6),SUM('融资租赁与资金缺口'!$D$5:$D$16)*$M6*$C6,0),IF(BX$4=EDATE('核心假设'!$B$5,1+$F6),SUM('融资租赁与资金缺口'!$D$5:$D$16)*$N6*$C6,0),IF(BX$4=EDATE('核心假设'!$B$5,2+$F6),SUM('融资租赁与资金缺口'!$D$5:$D$16)*$O6*$C6,0),IF(BX$4=EDATE('核心假设'!$B$5,3+$F6),SUM('融资租赁与资金缺口'!$D$5:$D$16)*$P6*$C6,0),IF(BX$4=EDATE('核心假设'!$B$5,4+$F6),SUM('融资租赁与资金缺口'!$D$5:$D$16)*$Q6*$C6,0),IF(BX$4=EDATE('核心假设'!$B$5,5+$F6),SUM('融资租赁与资金缺口'!$D$5:$D$16)*$R6*$C6,0),IF(BX$4=EDATE('核心假设'!$B$5,6+$F6),SUM('融资租赁与资金缺口'!$D$5:$D$16)*$S6*$C6,0),IF(BX$4=EDATE('核心假设'!$B$5,7+$F6),SUM('融资租赁与资金缺口'!$D$5:$D$16)*$T6*$C6,0),IF(BX$4=EDATE('核心假设'!$B$5,8+$F6),SUM('融资租赁与资金缺口'!$D$5:$D$16)*$U6*$C6,0),IF(BX$4=EDATE('核心假设'!$B$5,9+$F6),SUM('融资租赁与资金缺口'!$D$5:$D$16)*$V6*$C6,0),IF(BX$4=EDATE('核心假设'!$B$5,10+$F6),SUM('融资租赁与资金缺口'!$D$5:$D$16)*$W6*$C6,0),IF(BX$4=EDATE('核心假设'!$B$5,11+$F6),SUM('融资租赁与资金缺口'!$D$5:$D$16)*$X6*$C6,0),IF(BX$4=EDATE('核心假设'!$B$5,12+$F6),SUM('融资租赁与资金缺口'!$D$5:$D$16)*$Y6*$C6,0),IF(BX$4=EDATE('核心假设'!$B$5,13+$F6),SUM('融资租赁与资金缺口'!$D$5:$D$16)*$Z6*$C6,0),IF(BX$4=EDATE('核心假设'!$B$5,14+$F6),SUM('融资租赁与资金缺口'!$D$5:$D$16)*$AA6*$C6,0),IF(BX$4=EDATE('核心假设'!$B$5,15+$F6),SUM('融资租赁与资金缺口'!$D$5:$D$16)*$AB6*$C6,0),IF(BX$4=EDATE('核心假设'!$B$5,16+$F6),SUM('融资租赁与资金缺口'!$D$5:$D$16)*$AC6*$C6,0),IF(BX$4=EDATE('核心假设'!$B$5,17+$F6),SUM('融资租赁与资金缺口'!$D$5:$D$16)*$AD6*$C6,0))-BX15</x:f>
        <x:v>-38392420.695888676</x:v>
      </x:c>
      <x:c r="BY16" s="28" t="n">
        <x:f>BX16+BY12-BY13+SUM(IF(BY$4=EDATE('核心假设'!$B$5,0+$F6),SUM('融资租赁与资金缺口'!$D$5:$D$16)*$M6*$C6,0),IF(BY$4=EDATE('核心假设'!$B$5,1+$F6),SUM('融资租赁与资金缺口'!$D$5:$D$16)*$N6*$C6,0),IF(BY$4=EDATE('核心假设'!$B$5,2+$F6),SUM('融资租赁与资金缺口'!$D$5:$D$16)*$O6*$C6,0),IF(BY$4=EDATE('核心假设'!$B$5,3+$F6),SUM('融资租赁与资金缺口'!$D$5:$D$16)*$P6*$C6,0),IF(BY$4=EDATE('核心假设'!$B$5,4+$F6),SUM('融资租赁与资金缺口'!$D$5:$D$16)*$Q6*$C6,0),IF(BY$4=EDATE('核心假设'!$B$5,5+$F6),SUM('融资租赁与资金缺口'!$D$5:$D$16)*$R6*$C6,0),IF(BY$4=EDATE('核心假设'!$B$5,6+$F6),SUM('融资租赁与资金缺口'!$D$5:$D$16)*$S6*$C6,0),IF(BY$4=EDATE('核心假设'!$B$5,7+$F6),SUM('融资租赁与资金缺口'!$D$5:$D$16)*$T6*$C6,0),IF(BY$4=EDATE('核心假设'!$B$5,8+$F6),SUM('融资租赁与资金缺口'!$D$5:$D$16)*$U6*$C6,0),IF(BY$4=EDATE('核心假设'!$B$5,9+$F6),SUM('融资租赁与资金缺口'!$D$5:$D$16)*$V6*$C6,0),IF(BY$4=EDATE('核心假设'!$B$5,10+$F6),SUM('融资租赁与资金缺口'!$D$5:$D$16)*$W6*$C6,0),IF(BY$4=EDATE('核心假设'!$B$5,11+$F6),SUM('融资租赁与资金缺口'!$D$5:$D$16)*$X6*$C6,0),IF(BY$4=EDATE('核心假设'!$B$5,12+$F6),SUM('融资租赁与资金缺口'!$D$5:$D$16)*$Y6*$C6,0),IF(BY$4=EDATE('核心假设'!$B$5,13+$F6),SUM('融资租赁与资金缺口'!$D$5:$D$16)*$Z6*$C6,0),IF(BY$4=EDATE('核心假设'!$B$5,14+$F6),SUM('融资租赁与资金缺口'!$D$5:$D$16)*$AA6*$C6,0),IF(BY$4=EDATE('核心假设'!$B$5,15+$F6),SUM('融资租赁与资金缺口'!$D$5:$D$16)*$AB6*$C6,0),IF(BY$4=EDATE('核心假设'!$B$5,16+$F6),SUM('融资租赁与资金缺口'!$D$5:$D$16)*$AC6*$C6,0),IF(BY$4=EDATE('核心假设'!$B$5,17+$F6),SUM('融资租赁与资金缺口'!$D$5:$D$16)*$AD6*$C6,0))-BY15</x:f>
        <x:v>-27267887.449640863</x:v>
      </x:c>
      <x:c r="BZ16" s="28" t="n">
        <x:f>BY16+BZ12-BZ13+SUM(IF(BZ$4=EDATE('核心假设'!$B$5,0+$F6),SUM('融资租赁与资金缺口'!$D$5:$D$16)*$M6*$C6,0),IF(BZ$4=EDATE('核心假设'!$B$5,1+$F6),SUM('融资租赁与资金缺口'!$D$5:$D$16)*$N6*$C6,0),IF(BZ$4=EDATE('核心假设'!$B$5,2+$F6),SUM('融资租赁与资金缺口'!$D$5:$D$16)*$O6*$C6,0),IF(BZ$4=EDATE('核心假设'!$B$5,3+$F6),SUM('融资租赁与资金缺口'!$D$5:$D$16)*$P6*$C6,0),IF(BZ$4=EDATE('核心假设'!$B$5,4+$F6),SUM('融资租赁与资金缺口'!$D$5:$D$16)*$Q6*$C6,0),IF(BZ$4=EDATE('核心假设'!$B$5,5+$F6),SUM('融资租赁与资金缺口'!$D$5:$D$16)*$R6*$C6,0),IF(BZ$4=EDATE('核心假设'!$B$5,6+$F6),SUM('融资租赁与资金缺口'!$D$5:$D$16)*$S6*$C6,0),IF(BZ$4=EDATE('核心假设'!$B$5,7+$F6),SUM('融资租赁与资金缺口'!$D$5:$D$16)*$T6*$C6,0),IF(BZ$4=EDATE('核心假设'!$B$5,8+$F6),SUM('融资租赁与资金缺口'!$D$5:$D$16)*$U6*$C6,0),IF(BZ$4=EDATE('核心假设'!$B$5,9+$F6),SUM('融资租赁与资金缺口'!$D$5:$D$16)*$V6*$C6,0),IF(BZ$4=EDATE('核心假设'!$B$5,10+$F6),SUM('融资租赁与资金缺口'!$D$5:$D$16)*$W6*$C6,0),IF(BZ$4=EDATE('核心假设'!$B$5,11+$F6),SUM('融资租赁与资金缺口'!$D$5:$D$16)*$X6*$C6,0),IF(BZ$4=EDATE('核心假设'!$B$5,12+$F6),SUM('融资租赁与资金缺口'!$D$5:$D$16)*$Y6*$C6,0),IF(BZ$4=EDATE('核心假设'!$B$5,13+$F6),SUM('融资租赁与资金缺口'!$D$5:$D$16)*$Z6*$C6,0),IF(BZ$4=EDATE('核心假设'!$B$5,14+$F6),SUM('融资租赁与资金缺口'!$D$5:$D$16)*$AA6*$C6,0),IF(BZ$4=EDATE('核心假设'!$B$5,15+$F6),SUM('融资租赁与资金缺口'!$D$5:$D$16)*$AB6*$C6,0),IF(BZ$4=EDATE('核心假设'!$B$5,16+$F6),SUM('融资租赁与资金缺口'!$D$5:$D$16)*$AC6*$C6,0),IF(BZ$4=EDATE('核心假设'!$B$5,17+$F6),SUM('融资租赁与资金缺口'!$D$5:$D$16)*$AD6*$C6,0))-BZ15</x:f>
        <x:v>-13177168.005850088</x:v>
      </x:c>
      <x:c r="CA16" s="28" t="n">
        <x:f>BZ16+CA12-CA13+SUM(IF(CA$4=EDATE('核心假设'!$B$5,0+$F6),SUM('融资租赁与资金缺口'!$D$5:$D$16)*$M6*$C6,0),IF(CA$4=EDATE('核心假设'!$B$5,1+$F6),SUM('融资租赁与资金缺口'!$D$5:$D$16)*$N6*$C6,0),IF(CA$4=EDATE('核心假设'!$B$5,2+$F6),SUM('融资租赁与资金缺口'!$D$5:$D$16)*$O6*$C6,0),IF(CA$4=EDATE('核心假设'!$B$5,3+$F6),SUM('融资租赁与资金缺口'!$D$5:$D$16)*$P6*$C6,0),IF(CA$4=EDATE('核心假设'!$B$5,4+$F6),SUM('融资租赁与资金缺口'!$D$5:$D$16)*$Q6*$C6,0),IF(CA$4=EDATE('核心假设'!$B$5,5+$F6),SUM('融资租赁与资金缺口'!$D$5:$D$16)*$R6*$C6,0),IF(CA$4=EDATE('核心假设'!$B$5,6+$F6),SUM('融资租赁与资金缺口'!$D$5:$D$16)*$S6*$C6,0),IF(CA$4=EDATE('核心假设'!$B$5,7+$F6),SUM('融资租赁与资金缺口'!$D$5:$D$16)*$T6*$C6,0),IF(CA$4=EDATE('核心假设'!$B$5,8+$F6),SUM('融资租赁与资金缺口'!$D$5:$D$16)*$U6*$C6,0),IF(CA$4=EDATE('核心假设'!$B$5,9+$F6),SUM('融资租赁与资金缺口'!$D$5:$D$16)*$V6*$C6,0),IF(CA$4=EDATE('核心假设'!$B$5,10+$F6),SUM('融资租赁与资金缺口'!$D$5:$D$16)*$W6*$C6,0),IF(CA$4=EDATE('核心假设'!$B$5,11+$F6),SUM('融资租赁与资金缺口'!$D$5:$D$16)*$X6*$C6,0),IF(CA$4=EDATE('核心假设'!$B$5,12+$F6),SUM('融资租赁与资金缺口'!$D$5:$D$16)*$Y6*$C6,0),IF(CA$4=EDATE('核心假设'!$B$5,13+$F6),SUM('融资租赁与资金缺口'!$D$5:$D$16)*$Z6*$C6,0),IF(CA$4=EDATE('核心假设'!$B$5,14+$F6),SUM('融资租赁与资金缺口'!$D$5:$D$16)*$AA6*$C6,0),IF(CA$4=EDATE('核心假设'!$B$5,15+$F6),SUM('融资租赁与资金缺口'!$D$5:$D$16)*$AB6*$C6,0),IF(CA$4=EDATE('核心假设'!$B$5,16+$F6),SUM('融资租赁与资金缺口'!$D$5:$D$16)*$AC6*$C6,0),IF(CA$4=EDATE('核心假设'!$B$5,17+$F6),SUM('融资租赁与资金缺口'!$D$5:$D$16)*$AD6*$C6,0))-CA15</x:f>
        <x:v>3131325.0568356705</x:v>
      </x:c>
      <x:c r="CB16" s="28" t="n">
        <x:f>CA16+CB12-CB13+SUM(IF(CB$4=EDATE('核心假设'!$B$5,0+$F6),SUM('融资租赁与资金缺口'!$D$5:$D$16)*$M6*$C6,0),IF(CB$4=EDATE('核心假设'!$B$5,1+$F6),SUM('融资租赁与资金缺口'!$D$5:$D$16)*$N6*$C6,0),IF(CB$4=EDATE('核心假设'!$B$5,2+$F6),SUM('融资租赁与资金缺口'!$D$5:$D$16)*$O6*$C6,0),IF(CB$4=EDATE('核心假设'!$B$5,3+$F6),SUM('融资租赁与资金缺口'!$D$5:$D$16)*$P6*$C6,0),IF(CB$4=EDATE('核心假设'!$B$5,4+$F6),SUM('融资租赁与资金缺口'!$D$5:$D$16)*$Q6*$C6,0),IF(CB$4=EDATE('核心假设'!$B$5,5+$F6),SUM('融资租赁与资金缺口'!$D$5:$D$16)*$R6*$C6,0),IF(CB$4=EDATE('核心假设'!$B$5,6+$F6),SUM('融资租赁与资金缺口'!$D$5:$D$16)*$S6*$C6,0),IF(CB$4=EDATE('核心假设'!$B$5,7+$F6),SUM('融资租赁与资金缺口'!$D$5:$D$16)*$T6*$C6,0),IF(CB$4=EDATE('核心假设'!$B$5,8+$F6),SUM('融资租赁与资金缺口'!$D$5:$D$16)*$U6*$C6,0),IF(CB$4=EDATE('核心假设'!$B$5,9+$F6),SUM('融资租赁与资金缺口'!$D$5:$D$16)*$V6*$C6,0),IF(CB$4=EDATE('核心假设'!$B$5,10+$F6),SUM('融资租赁与资金缺口'!$D$5:$D$16)*$W6*$C6,0),IF(CB$4=EDATE('核心假设'!$B$5,11+$F6),SUM('融资租赁与资金缺口'!$D$5:$D$16)*$X6*$C6,0),IF(CB$4=EDATE('核心假设'!$B$5,12+$F6),SUM('融资租赁与资金缺口'!$D$5:$D$16)*$Y6*$C6,0),IF(CB$4=EDATE('核心假设'!$B$5,13+$F6),SUM('融资租赁与资金缺口'!$D$5:$D$16)*$Z6*$C6,0),IF(CB$4=EDATE('核心假设'!$B$5,14+$F6),SUM('融资租赁与资金缺口'!$D$5:$D$16)*$AA6*$C6,0),IF(CB$4=EDATE('核心假设'!$B$5,15+$F6),SUM('融资租赁与资金缺口'!$D$5:$D$16)*$AB6*$C6,0),IF(CB$4=EDATE('核心假设'!$B$5,16+$F6),SUM('融资租赁与资金缺口'!$D$5:$D$16)*$AC6*$C6,0),IF(CB$4=EDATE('核心假设'!$B$5,17+$F6),SUM('融资租赁与资金缺口'!$D$5:$D$16)*$AD6*$C6,0))-CB15</x:f>
        <x:v>19631618.186506152</x:v>
      </x:c>
      <x:c r="CC16" s="28" t="n">
        <x:f>CB16+CC12-CC13+SUM(IF(CC$4=EDATE('核心假设'!$B$5,0+$F6),SUM('融资租赁与资金缺口'!$D$5:$D$16)*$M6*$C6,0),IF(CC$4=EDATE('核心假设'!$B$5,1+$F6),SUM('融资租赁与资金缺口'!$D$5:$D$16)*$N6*$C6,0),IF(CC$4=EDATE('核心假设'!$B$5,2+$F6),SUM('融资租赁与资金缺口'!$D$5:$D$16)*$O6*$C6,0),IF(CC$4=EDATE('核心假设'!$B$5,3+$F6),SUM('融资租赁与资金缺口'!$D$5:$D$16)*$P6*$C6,0),IF(CC$4=EDATE('核心假设'!$B$5,4+$F6),SUM('融资租赁与资金缺口'!$D$5:$D$16)*$Q6*$C6,0),IF(CC$4=EDATE('核心假设'!$B$5,5+$F6),SUM('融资租赁与资金缺口'!$D$5:$D$16)*$R6*$C6,0),IF(CC$4=EDATE('核心假设'!$B$5,6+$F6),SUM('融资租赁与资金缺口'!$D$5:$D$16)*$S6*$C6,0),IF(CC$4=EDATE('核心假设'!$B$5,7+$F6),SUM('融资租赁与资金缺口'!$D$5:$D$16)*$T6*$C6,0),IF(CC$4=EDATE('核心假设'!$B$5,8+$F6),SUM('融资租赁与资金缺口'!$D$5:$D$16)*$U6*$C6,0),IF(CC$4=EDATE('核心假设'!$B$5,9+$F6),SUM('融资租赁与资金缺口'!$D$5:$D$16)*$V6*$C6,0),IF(CC$4=EDATE('核心假设'!$B$5,10+$F6),SUM('融资租赁与资金缺口'!$D$5:$D$16)*$W6*$C6,0),IF(CC$4=EDATE('核心假设'!$B$5,11+$F6),SUM('融资租赁与资金缺口'!$D$5:$D$16)*$X6*$C6,0),IF(CC$4=EDATE('核心假设'!$B$5,12+$F6),SUM('融资租赁与资金缺口'!$D$5:$D$16)*$Y6*$C6,0),IF(CC$4=EDATE('核心假设'!$B$5,13+$F6),SUM('融资租赁与资金缺口'!$D$5:$D$16)*$Z6*$C6,0),IF(CC$4=EDATE('核心假设'!$B$5,14+$F6),SUM('融资租赁与资金缺口'!$D$5:$D$16)*$AA6*$C6,0),IF(CC$4=EDATE('核心假设'!$B$5,15+$F6),SUM('融资租赁与资金缺口'!$D$5:$D$16)*$AB6*$C6,0),IF(CC$4=EDATE('核心假设'!$B$5,16+$F6),SUM('融资租赁与资金缺口'!$D$5:$D$16)*$AC6*$C6,0),IF(CC$4=EDATE('核心假设'!$B$5,17+$F6),SUM('融资租赁与资金缺口'!$D$5:$D$16)*$AD6*$C6,0))-CC15</x:f>
        <x:v>36992659.538401626</x:v>
      </x:c>
      <x:c r="CD16" s="28" t="n">
        <x:f>CC16+CD12-CD13+SUM(IF(CD$4=EDATE('核心假设'!$B$5,0+$F6),SUM('融资租赁与资金缺口'!$D$5:$D$16)*$M6*$C6,0),IF(CD$4=EDATE('核心假设'!$B$5,1+$F6),SUM('融资租赁与资金缺口'!$D$5:$D$16)*$N6*$C6,0),IF(CD$4=EDATE('核心假设'!$B$5,2+$F6),SUM('融资租赁与资金缺口'!$D$5:$D$16)*$O6*$C6,0),IF(CD$4=EDATE('核心假设'!$B$5,3+$F6),SUM('融资租赁与资金缺口'!$D$5:$D$16)*$P6*$C6,0),IF(CD$4=EDATE('核心假设'!$B$5,4+$F6),SUM('融资租赁与资金缺口'!$D$5:$D$16)*$Q6*$C6,0),IF(CD$4=EDATE('核心假设'!$B$5,5+$F6),SUM('融资租赁与资金缺口'!$D$5:$D$16)*$R6*$C6,0),IF(CD$4=EDATE('核心假设'!$B$5,6+$F6),SUM('融资租赁与资金缺口'!$D$5:$D$16)*$S6*$C6,0),IF(CD$4=EDATE('核心假设'!$B$5,7+$F6),SUM('融资租赁与资金缺口'!$D$5:$D$16)*$T6*$C6,0),IF(CD$4=EDATE('核心假设'!$B$5,8+$F6),SUM('融资租赁与资金缺口'!$D$5:$D$16)*$U6*$C6,0),IF(CD$4=EDATE('核心假设'!$B$5,9+$F6),SUM('融资租赁与资金缺口'!$D$5:$D$16)*$V6*$C6,0),IF(CD$4=EDATE('核心假设'!$B$5,10+$F6),SUM('融资租赁与资金缺口'!$D$5:$D$16)*$W6*$C6,0),IF(CD$4=EDATE('核心假设'!$B$5,11+$F6),SUM('融资租赁与资金缺口'!$D$5:$D$16)*$X6*$C6,0),IF(CD$4=EDATE('核心假设'!$B$5,12+$F6),SUM('融资租赁与资金缺口'!$D$5:$D$16)*$Y6*$C6,0),IF(CD$4=EDATE('核心假设'!$B$5,13+$F6),SUM('融资租赁与资金缺口'!$D$5:$D$16)*$Z6*$C6,0),IF(CD$4=EDATE('核心假设'!$B$5,14+$F6),SUM('融资租赁与资金缺口'!$D$5:$D$16)*$AA6*$C6,0),IF(CD$4=EDATE('核心假设'!$B$5,15+$F6),SUM('融资租赁与资金缺口'!$D$5:$D$16)*$AB6*$C6,0),IF(CD$4=EDATE('核心假设'!$B$5,16+$F6),SUM('融资租赁与资金缺口'!$D$5:$D$16)*$AC6*$C6,0),IF(CD$4=EDATE('核心假设'!$B$5,17+$F6),SUM('融资租赁与资金缺口'!$D$5:$D$16)*$AD6*$C6,0))-CD15</x:f>
        <x:v>54702898.30648323</x:v>
      </x:c>
      <x:c r="CE16" s="28" t="n">
        <x:f>CD16+CE12-CE13+SUM(IF(CE$4=EDATE('核心假设'!$B$5,0+$F6),SUM('融资租赁与资金缺口'!$D$5:$D$16)*$M6*$C6,0),IF(CE$4=EDATE('核心假设'!$B$5,1+$F6),SUM('融资租赁与资金缺口'!$D$5:$D$16)*$N6*$C6,0),IF(CE$4=EDATE('核心假设'!$B$5,2+$F6),SUM('融资租赁与资金缺口'!$D$5:$D$16)*$O6*$C6,0),IF(CE$4=EDATE('核心假设'!$B$5,3+$F6),SUM('融资租赁与资金缺口'!$D$5:$D$16)*$P6*$C6,0),IF(CE$4=EDATE('核心假设'!$B$5,4+$F6),SUM('融资租赁与资金缺口'!$D$5:$D$16)*$Q6*$C6,0),IF(CE$4=EDATE('核心假设'!$B$5,5+$F6),SUM('融资租赁与资金缺口'!$D$5:$D$16)*$R6*$C6,0),IF(CE$4=EDATE('核心假设'!$B$5,6+$F6),SUM('融资租赁与资金缺口'!$D$5:$D$16)*$S6*$C6,0),IF(CE$4=EDATE('核心假设'!$B$5,7+$F6),SUM('融资租赁与资金缺口'!$D$5:$D$16)*$T6*$C6,0),IF(CE$4=EDATE('核心假设'!$B$5,8+$F6),SUM('融资租赁与资金缺口'!$D$5:$D$16)*$U6*$C6,0),IF(CE$4=EDATE('核心假设'!$B$5,9+$F6),SUM('融资租赁与资金缺口'!$D$5:$D$16)*$V6*$C6,0),IF(CE$4=EDATE('核心假设'!$B$5,10+$F6),SUM('融资租赁与资金缺口'!$D$5:$D$16)*$W6*$C6,0),IF(CE$4=EDATE('核心假设'!$B$5,11+$F6),SUM('融资租赁与资金缺口'!$D$5:$D$16)*$X6*$C6,0),IF(CE$4=EDATE('核心假设'!$B$5,12+$F6),SUM('融资租赁与资金缺口'!$D$5:$D$16)*$Y6*$C6,0),IF(CE$4=EDATE('核心假设'!$B$5,13+$F6),SUM('融资租赁与资金缺口'!$D$5:$D$16)*$Z6*$C6,0),IF(CE$4=EDATE('核心假设'!$B$5,14+$F6),SUM('融资租赁与资金缺口'!$D$5:$D$16)*$AA6*$C6,0),IF(CE$4=EDATE('核心假设'!$B$5,15+$F6),SUM('融资租赁与资金缺口'!$D$5:$D$16)*$AB6*$C6,0),IF(CE$4=EDATE('核心假设'!$B$5,16+$F6),SUM('融资租赁与资金缺口'!$D$5:$D$16)*$AC6*$C6,0),IF(CE$4=EDATE('核心假设'!$B$5,17+$F6),SUM('融资租赁与资金缺口'!$D$5:$D$16)*$AD6*$C6,0))-CE15</x:f>
        <x:v>74293670.56103073</x:v>
      </x:c>
      <x:c r="CF16" s="28" t="n">
        <x:f>CE16+CF12-CF13+SUM(IF(CF$4=EDATE('核心假设'!$B$5,0+$F6),SUM('融资租赁与资金缺口'!$D$5:$D$16)*$M6*$C6,0),IF(CF$4=EDATE('核心假设'!$B$5,1+$F6),SUM('融资租赁与资金缺口'!$D$5:$D$16)*$N6*$C6,0),IF(CF$4=EDATE('核心假设'!$B$5,2+$F6),SUM('融资租赁与资金缺口'!$D$5:$D$16)*$O6*$C6,0),IF(CF$4=EDATE('核心假设'!$B$5,3+$F6),SUM('融资租赁与资金缺口'!$D$5:$D$16)*$P6*$C6,0),IF(CF$4=EDATE('核心假设'!$B$5,4+$F6),SUM('融资租赁与资金缺口'!$D$5:$D$16)*$Q6*$C6,0),IF(CF$4=EDATE('核心假设'!$B$5,5+$F6),SUM('融资租赁与资金缺口'!$D$5:$D$16)*$R6*$C6,0),IF(CF$4=EDATE('核心假设'!$B$5,6+$F6),SUM('融资租赁与资金缺口'!$D$5:$D$16)*$S6*$C6,0),IF(CF$4=EDATE('核心假设'!$B$5,7+$F6),SUM('融资租赁与资金缺口'!$D$5:$D$16)*$T6*$C6,0),IF(CF$4=EDATE('核心假设'!$B$5,8+$F6),SUM('融资租赁与资金缺口'!$D$5:$D$16)*$U6*$C6,0),IF(CF$4=EDATE('核心假设'!$B$5,9+$F6),SUM('融资租赁与资金缺口'!$D$5:$D$16)*$V6*$C6,0),IF(CF$4=EDATE('核心假设'!$B$5,10+$F6),SUM('融资租赁与资金缺口'!$D$5:$D$16)*$W6*$C6,0),IF(CF$4=EDATE('核心假设'!$B$5,11+$F6),SUM('融资租赁与资金缺口'!$D$5:$D$16)*$X6*$C6,0),IF(CF$4=EDATE('核心假设'!$B$5,12+$F6),SUM('融资租赁与资金缺口'!$D$5:$D$16)*$Y6*$C6,0),IF(CF$4=EDATE('核心假设'!$B$5,13+$F6),SUM('融资租赁与资金缺口'!$D$5:$D$16)*$Z6*$C6,0),IF(CF$4=EDATE('核心假设'!$B$5,14+$F6),SUM('融资租赁与资金缺口'!$D$5:$D$16)*$AA6*$C6,0),IF(CF$4=EDATE('核心假设'!$B$5,15+$F6),SUM('融资租赁与资金缺口'!$D$5:$D$16)*$AB6*$C6,0),IF(CF$4=EDATE('核心假设'!$B$5,16+$F6),SUM('融资租赁与资金缺口'!$D$5:$D$16)*$AC6*$C6,0),IF(CF$4=EDATE('核心假设'!$B$5,17+$F6),SUM('融资租赁与资金缺口'!$D$5:$D$16)*$AD6*$C6,0))-CF15</x:f>
        <x:v>92170626.08294767</x:v>
      </x:c>
      <x:c r="CG16" s="28" t="n">
        <x:f>CF16+CG12-CG13+SUM(IF(CG$4=EDATE('核心假设'!$B$5,0+$F6),SUM('融资租赁与资金缺口'!$D$5:$D$16)*$M6*$C6,0),IF(CG$4=EDATE('核心假设'!$B$5,1+$F6),SUM('融资租赁与资金缺口'!$D$5:$D$16)*$N6*$C6,0),IF(CG$4=EDATE('核心假设'!$B$5,2+$F6),SUM('融资租赁与资金缺口'!$D$5:$D$16)*$O6*$C6,0),IF(CG$4=EDATE('核心假设'!$B$5,3+$F6),SUM('融资租赁与资金缺口'!$D$5:$D$16)*$P6*$C6,0),IF(CG$4=EDATE('核心假设'!$B$5,4+$F6),SUM('融资租赁与资金缺口'!$D$5:$D$16)*$Q6*$C6,0),IF(CG$4=EDATE('核心假设'!$B$5,5+$F6),SUM('融资租赁与资金缺口'!$D$5:$D$16)*$R6*$C6,0),IF(CG$4=EDATE('核心假设'!$B$5,6+$F6),SUM('融资租赁与资金缺口'!$D$5:$D$16)*$S6*$C6,0),IF(CG$4=EDATE('核心假设'!$B$5,7+$F6),SUM('融资租赁与资金缺口'!$D$5:$D$16)*$T6*$C6,0),IF(CG$4=EDATE('核心假设'!$B$5,8+$F6),SUM('融资租赁与资金缺口'!$D$5:$D$16)*$U6*$C6,0),IF(CG$4=EDATE('核心假设'!$B$5,9+$F6),SUM('融资租赁与资金缺口'!$D$5:$D$16)*$V6*$C6,0),IF(CG$4=EDATE('核心假设'!$B$5,10+$F6),SUM('融资租赁与资金缺口'!$D$5:$D$16)*$W6*$C6,0),IF(CG$4=EDATE('核心假设'!$B$5,11+$F6),SUM('融资租赁与资金缺口'!$D$5:$D$16)*$X6*$C6,0),IF(CG$4=EDATE('核心假设'!$B$5,12+$F6),SUM('融资租赁与资金缺口'!$D$5:$D$16)*$Y6*$C6,0),IF(CG$4=EDATE('核心假设'!$B$5,13+$F6),SUM('融资租赁与资金缺口'!$D$5:$D$16)*$Z6*$C6,0),IF(CG$4=EDATE('核心假设'!$B$5,14+$F6),SUM('融资租赁与资金缺口'!$D$5:$D$16)*$AA6*$C6,0),IF(CG$4=EDATE('核心假设'!$B$5,15+$F6),SUM('融资租赁与资金缺口'!$D$5:$D$16)*$AB6*$C6,0),IF(CG$4=EDATE('核心假设'!$B$5,16+$F6),SUM('融资租赁与资金缺口'!$D$5:$D$16)*$AC6*$C6,0),IF(CG$4=EDATE('核心假设'!$B$5,17+$F6),SUM('融资租赁与资金缺口'!$D$5:$D$16)*$AD6*$C6,0))-CG15</x:f>
        <x:v>106793355.78978574</x:v>
      </x:c>
      <x:c r="CH16" s="28" t="n">
        <x:f>CG16+CH12-CH13+SUM(IF(CH$4=EDATE('核心假设'!$B$5,0+$F6),SUM('融资租赁与资金缺口'!$D$5:$D$16)*$M6*$C6,0),IF(CH$4=EDATE('核心假设'!$B$5,1+$F6),SUM('融资租赁与资金缺口'!$D$5:$D$16)*$N6*$C6,0),IF(CH$4=EDATE('核心假设'!$B$5,2+$F6),SUM('融资租赁与资金缺口'!$D$5:$D$16)*$O6*$C6,0),IF(CH$4=EDATE('核心假设'!$B$5,3+$F6),SUM('融资租赁与资金缺口'!$D$5:$D$16)*$P6*$C6,0),IF(CH$4=EDATE('核心假设'!$B$5,4+$F6),SUM('融资租赁与资金缺口'!$D$5:$D$16)*$Q6*$C6,0),IF(CH$4=EDATE('核心假设'!$B$5,5+$F6),SUM('融资租赁与资金缺口'!$D$5:$D$16)*$R6*$C6,0),IF(CH$4=EDATE('核心假设'!$B$5,6+$F6),SUM('融资租赁与资金缺口'!$D$5:$D$16)*$S6*$C6,0),IF(CH$4=EDATE('核心假设'!$B$5,7+$F6),SUM('融资租赁与资金缺口'!$D$5:$D$16)*$T6*$C6,0),IF(CH$4=EDATE('核心假设'!$B$5,8+$F6),SUM('融资租赁与资金缺口'!$D$5:$D$16)*$U6*$C6,0),IF(CH$4=EDATE('核心假设'!$B$5,9+$F6),SUM('融资租赁与资金缺口'!$D$5:$D$16)*$V6*$C6,0),IF(CH$4=EDATE('核心假设'!$B$5,10+$F6),SUM('融资租赁与资金缺口'!$D$5:$D$16)*$W6*$C6,0),IF(CH$4=EDATE('核心假设'!$B$5,11+$F6),SUM('融资租赁与资金缺口'!$D$5:$D$16)*$X6*$C6,0),IF(CH$4=EDATE('核心假设'!$B$5,12+$F6),SUM('融资租赁与资金缺口'!$D$5:$D$16)*$Y6*$C6,0),IF(CH$4=EDATE('核心假设'!$B$5,13+$F6),SUM('融资租赁与资金缺口'!$D$5:$D$16)*$Z6*$C6,0),IF(CH$4=EDATE('核心假设'!$B$5,14+$F6),SUM('融资租赁与资金缺口'!$D$5:$D$16)*$AA6*$C6,0),IF(CH$4=EDATE('核心假设'!$B$5,15+$F6),SUM('融资租赁与资金缺口'!$D$5:$D$16)*$AB6*$C6,0),IF(CH$4=EDATE('核心假设'!$B$5,16+$F6),SUM('融资租赁与资金缺口'!$D$5:$D$16)*$AC6*$C6,0),IF(CH$4=EDATE('核心假设'!$B$5,17+$F6),SUM('融资租赁与资金缺口'!$D$5:$D$16)*$AD6*$C6,0))-CH15</x:f>
        <x:v>122213229.89556274</x:v>
      </x:c>
      <x:c r="CI16" s="28" t="n">
        <x:f>CH16+CI12-CI13+SUM(IF(CI$4=EDATE('核心假设'!$B$5,0+$F6),SUM('融资租赁与资金缺口'!$D$5:$D$16)*$M6*$C6,0),IF(CI$4=EDATE('核心假设'!$B$5,1+$F6),SUM('融资租赁与资金缺口'!$D$5:$D$16)*$N6*$C6,0),IF(CI$4=EDATE('核心假设'!$B$5,2+$F6),SUM('融资租赁与资金缺口'!$D$5:$D$16)*$O6*$C6,0),IF(CI$4=EDATE('核心假设'!$B$5,3+$F6),SUM('融资租赁与资金缺口'!$D$5:$D$16)*$P6*$C6,0),IF(CI$4=EDATE('核心假设'!$B$5,4+$F6),SUM('融资租赁与资金缺口'!$D$5:$D$16)*$Q6*$C6,0),IF(CI$4=EDATE('核心假设'!$B$5,5+$F6),SUM('融资租赁与资金缺口'!$D$5:$D$16)*$R6*$C6,0),IF(CI$4=EDATE('核心假设'!$B$5,6+$F6),SUM('融资租赁与资金缺口'!$D$5:$D$16)*$S6*$C6,0),IF(CI$4=EDATE('核心假设'!$B$5,7+$F6),SUM('融资租赁与资金缺口'!$D$5:$D$16)*$T6*$C6,0),IF(CI$4=EDATE('核心假设'!$B$5,8+$F6),SUM('融资租赁与资金缺口'!$D$5:$D$16)*$U6*$C6,0),IF(CI$4=EDATE('核心假设'!$B$5,9+$F6),SUM('融资租赁与资金缺口'!$D$5:$D$16)*$V6*$C6,0),IF(CI$4=EDATE('核心假设'!$B$5,10+$F6),SUM('融资租赁与资金缺口'!$D$5:$D$16)*$W6*$C6,0),IF(CI$4=EDATE('核心假设'!$B$5,11+$F6),SUM('融资租赁与资金缺口'!$D$5:$D$16)*$X6*$C6,0),IF(CI$4=EDATE('核心假设'!$B$5,12+$F6),SUM('融资租赁与资金缺口'!$D$5:$D$16)*$Y6*$C6,0),IF(CI$4=EDATE('核心假设'!$B$5,13+$F6),SUM('融资租赁与资金缺口'!$D$5:$D$16)*$Z6*$C6,0),IF(CI$4=EDATE('核心假设'!$B$5,14+$F6),SUM('融资租赁与资金缺口'!$D$5:$D$16)*$AA6*$C6,0),IF(CI$4=EDATE('核心假设'!$B$5,15+$F6),SUM('融资租赁与资金缺口'!$D$5:$D$16)*$AB6*$C6,0),IF(CI$4=EDATE('核心假设'!$B$5,16+$F6),SUM('融资租赁与资金缺口'!$D$5:$D$16)*$AC6*$C6,0),IF(CI$4=EDATE('核心假设'!$B$5,17+$F6),SUM('融资租赁与资金缺口'!$D$5:$D$16)*$AD6*$C6,0))-CI15</x:f>
        <x:v>137832150.03371653</x:v>
      </x:c>
      <x:c r="CJ16" s="28" t="n">
        <x:f>CI16+CJ12-CJ13+SUM(IF(CJ$4=EDATE('核心假设'!$B$5,0+$F6),SUM('融资租赁与资金缺口'!$D$5:$D$16)*$M6*$C6,0),IF(CJ$4=EDATE('核心假设'!$B$5,1+$F6),SUM('融资租赁与资金缺口'!$D$5:$D$16)*$N6*$C6,0),IF(CJ$4=EDATE('核心假设'!$B$5,2+$F6),SUM('融资租赁与资金缺口'!$D$5:$D$16)*$O6*$C6,0),IF(CJ$4=EDATE('核心假设'!$B$5,3+$F6),SUM('融资租赁与资金缺口'!$D$5:$D$16)*$P6*$C6,0),IF(CJ$4=EDATE('核心假设'!$B$5,4+$F6),SUM('融资租赁与资金缺口'!$D$5:$D$16)*$Q6*$C6,0),IF(CJ$4=EDATE('核心假设'!$B$5,5+$F6),SUM('融资租赁与资金缺口'!$D$5:$D$16)*$R6*$C6,0),IF(CJ$4=EDATE('核心假设'!$B$5,6+$F6),SUM('融资租赁与资金缺口'!$D$5:$D$16)*$S6*$C6,0),IF(CJ$4=EDATE('核心假设'!$B$5,7+$F6),SUM('融资租赁与资金缺口'!$D$5:$D$16)*$T6*$C6,0),IF(CJ$4=EDATE('核心假设'!$B$5,8+$F6),SUM('融资租赁与资金缺口'!$D$5:$D$16)*$U6*$C6,0),IF(CJ$4=EDATE('核心假设'!$B$5,9+$F6),SUM('融资租赁与资金缺口'!$D$5:$D$16)*$V6*$C6,0),IF(CJ$4=EDATE('核心假设'!$B$5,10+$F6),SUM('融资租赁与资金缺口'!$D$5:$D$16)*$W6*$C6,0),IF(CJ$4=EDATE('核心假设'!$B$5,11+$F6),SUM('融资租赁与资金缺口'!$D$5:$D$16)*$X6*$C6,0),IF(CJ$4=EDATE('核心假设'!$B$5,12+$F6),SUM('融资租赁与资金缺口'!$D$5:$D$16)*$Y6*$C6,0),IF(CJ$4=EDATE('核心假设'!$B$5,13+$F6),SUM('融资租赁与资金缺口'!$D$5:$D$16)*$Z6*$C6,0),IF(CJ$4=EDATE('核心假设'!$B$5,14+$F6),SUM('融资租赁与资金缺口'!$D$5:$D$16)*$AA6*$C6,0),IF(CJ$4=EDATE('核心假设'!$B$5,15+$F6),SUM('融资租赁与资金缺口'!$D$5:$D$16)*$AB6*$C6,0),IF(CJ$4=EDATE('核心假设'!$B$5,16+$F6),SUM('融资租赁与资金缺口'!$D$5:$D$16)*$AC6*$C6,0),IF(CJ$4=EDATE('核心假设'!$B$5,17+$F6),SUM('融资租赁与资金缺口'!$D$5:$D$16)*$AD6*$C6,0))-CJ15</x:f>
        <x:v>153862619.97207743</x:v>
      </x:c>
      <x:c r="CK16" s="28" t="n">
        <x:f>CJ16+CK12-CK13+SUM(IF(CK$4=EDATE('核心假设'!$B$5,0+$F6),SUM('融资租赁与资金缺口'!$D$5:$D$16)*$M6*$C6,0),IF(CK$4=EDATE('核心假设'!$B$5,1+$F6),SUM('融资租赁与资金缺口'!$D$5:$D$16)*$N6*$C6,0),IF(CK$4=EDATE('核心假设'!$B$5,2+$F6),SUM('融资租赁与资金缺口'!$D$5:$D$16)*$O6*$C6,0),IF(CK$4=EDATE('核心假设'!$B$5,3+$F6),SUM('融资租赁与资金缺口'!$D$5:$D$16)*$P6*$C6,0),IF(CK$4=EDATE('核心假设'!$B$5,4+$F6),SUM('融资租赁与资金缺口'!$D$5:$D$16)*$Q6*$C6,0),IF(CK$4=EDATE('核心假设'!$B$5,5+$F6),SUM('融资租赁与资金缺口'!$D$5:$D$16)*$R6*$C6,0),IF(CK$4=EDATE('核心假设'!$B$5,6+$F6),SUM('融资租赁与资金缺口'!$D$5:$D$16)*$S6*$C6,0),IF(CK$4=EDATE('核心假设'!$B$5,7+$F6),SUM('融资租赁与资金缺口'!$D$5:$D$16)*$T6*$C6,0),IF(CK$4=EDATE('核心假设'!$B$5,8+$F6),SUM('融资租赁与资金缺口'!$D$5:$D$16)*$U6*$C6,0),IF(CK$4=EDATE('核心假设'!$B$5,9+$F6),SUM('融资租赁与资金缺口'!$D$5:$D$16)*$V6*$C6,0),IF(CK$4=EDATE('核心假设'!$B$5,10+$F6),SUM('融资租赁与资金缺口'!$D$5:$D$16)*$W6*$C6,0),IF(CK$4=EDATE('核心假设'!$B$5,11+$F6),SUM('融资租赁与资金缺口'!$D$5:$D$16)*$X6*$C6,0),IF(CK$4=EDATE('核心假设'!$B$5,12+$F6),SUM('融资租赁与资金缺口'!$D$5:$D$16)*$Y6*$C6,0),IF(CK$4=EDATE('核心假设'!$B$5,13+$F6),SUM('融资租赁与资金缺口'!$D$5:$D$16)*$Z6*$C6,0),IF(CK$4=EDATE('核心假设'!$B$5,14+$F6),SUM('融资租赁与资金缺口'!$D$5:$D$16)*$AA6*$C6,0),IF(CK$4=EDATE('核心假设'!$B$5,15+$F6),SUM('融资租赁与资金缺口'!$D$5:$D$16)*$AB6*$C6,0),IF(CK$4=EDATE('核心假设'!$B$5,16+$F6),SUM('融资租赁与资金缺口'!$D$5:$D$16)*$AC6*$C6,0),IF(CK$4=EDATE('核心假设'!$B$5,17+$F6),SUM('融资租赁与资金缺口'!$D$5:$D$16)*$AD6*$C6,0))-CK15</x:f>
        <x:v>171104488.78926763</x:v>
      </x:c>
      <x:c r="CL16" s="28" t="n">
        <x:f>CK16+CL12-CL13+SUM(IF(CL$4=EDATE('核心假设'!$B$5,0+$F6),SUM('融资租赁与资金缺口'!$D$5:$D$16)*$M6*$C6,0),IF(CL$4=EDATE('核心假设'!$B$5,1+$F6),SUM('融资租赁与资金缺口'!$D$5:$D$16)*$N6*$C6,0),IF(CL$4=EDATE('核心假设'!$B$5,2+$F6),SUM('融资租赁与资金缺口'!$D$5:$D$16)*$O6*$C6,0),IF(CL$4=EDATE('核心假设'!$B$5,3+$F6),SUM('融资租赁与资金缺口'!$D$5:$D$16)*$P6*$C6,0),IF(CL$4=EDATE('核心假设'!$B$5,4+$F6),SUM('融资租赁与资金缺口'!$D$5:$D$16)*$Q6*$C6,0),IF(CL$4=EDATE('核心假设'!$B$5,5+$F6),SUM('融资租赁与资金缺口'!$D$5:$D$16)*$R6*$C6,0),IF(CL$4=EDATE('核心假设'!$B$5,6+$F6),SUM('融资租赁与资金缺口'!$D$5:$D$16)*$S6*$C6,0),IF(CL$4=EDATE('核心假设'!$B$5,7+$F6),SUM('融资租赁与资金缺口'!$D$5:$D$16)*$T6*$C6,0),IF(CL$4=EDATE('核心假设'!$B$5,8+$F6),SUM('融资租赁与资金缺口'!$D$5:$D$16)*$U6*$C6,0),IF(CL$4=EDATE('核心假设'!$B$5,9+$F6),SUM('融资租赁与资金缺口'!$D$5:$D$16)*$V6*$C6,0),IF(CL$4=EDATE('核心假设'!$B$5,10+$F6),SUM('融资租赁与资金缺口'!$D$5:$D$16)*$W6*$C6,0),IF(CL$4=EDATE('核心假设'!$B$5,11+$F6),SUM('融资租赁与资金缺口'!$D$5:$D$16)*$X6*$C6,0),IF(CL$4=EDATE('核心假设'!$B$5,12+$F6),SUM('融资租赁与资金缺口'!$D$5:$D$16)*$Y6*$C6,0),IF(CL$4=EDATE('核心假设'!$B$5,13+$F6),SUM('融资租赁与资金缺口'!$D$5:$D$16)*$Z6*$C6,0),IF(CL$4=EDATE('核心假设'!$B$5,14+$F6),SUM('融资租赁与资金缺口'!$D$5:$D$16)*$AA6*$C6,0),IF(CL$4=EDATE('核心假设'!$B$5,15+$F6),SUM('融资租赁与资金缺口'!$D$5:$D$16)*$AB6*$C6,0),IF(CL$4=EDATE('核心假设'!$B$5,16+$F6),SUM('融资租赁与资金缺口'!$D$5:$D$16)*$AC6*$C6,0),IF(CL$4=EDATE('核心假设'!$B$5,17+$F6),SUM('融资租赁与资金缺口'!$D$5:$D$16)*$AD6*$C6,0))-CL15</x:f>
        <x:v>189569112.11583644</x:v>
      </x:c>
      <x:c r="CM16" s="28" t="n">
        <x:f>CL16+CM12-CM13+SUM(IF(CM$4=EDATE('核心假设'!$B$5,0+$F6),SUM('融资租赁与资金缺口'!$D$5:$D$16)*$M6*$C6,0),IF(CM$4=EDATE('核心假设'!$B$5,1+$F6),SUM('融资租赁与资金缺口'!$D$5:$D$16)*$N6*$C6,0),IF(CM$4=EDATE('核心假设'!$B$5,2+$F6),SUM('融资租赁与资金缺口'!$D$5:$D$16)*$O6*$C6,0),IF(CM$4=EDATE('核心假设'!$B$5,3+$F6),SUM('融资租赁与资金缺口'!$D$5:$D$16)*$P6*$C6,0),IF(CM$4=EDATE('核心假设'!$B$5,4+$F6),SUM('融资租赁与资金缺口'!$D$5:$D$16)*$Q6*$C6,0),IF(CM$4=EDATE('核心假设'!$B$5,5+$F6),SUM('融资租赁与资金缺口'!$D$5:$D$16)*$R6*$C6,0),IF(CM$4=EDATE('核心假设'!$B$5,6+$F6),SUM('融资租赁与资金缺口'!$D$5:$D$16)*$S6*$C6,0),IF(CM$4=EDATE('核心假设'!$B$5,7+$F6),SUM('融资租赁与资金缺口'!$D$5:$D$16)*$T6*$C6,0),IF(CM$4=EDATE('核心假设'!$B$5,8+$F6),SUM('融资租赁与资金缺口'!$D$5:$D$16)*$U6*$C6,0),IF(CM$4=EDATE('核心假设'!$B$5,9+$F6),SUM('融资租赁与资金缺口'!$D$5:$D$16)*$V6*$C6,0),IF(CM$4=EDATE('核心假设'!$B$5,10+$F6),SUM('融资租赁与资金缺口'!$D$5:$D$16)*$W6*$C6,0),IF(CM$4=EDATE('核心假设'!$B$5,11+$F6),SUM('融资租赁与资金缺口'!$D$5:$D$16)*$X6*$C6,0),IF(CM$4=EDATE('核心假设'!$B$5,12+$F6),SUM('融资租赁与资金缺口'!$D$5:$D$16)*$Y6*$C6,0),IF(CM$4=EDATE('核心假设'!$B$5,13+$F6),SUM('融资租赁与资金缺口'!$D$5:$D$16)*$Z6*$C6,0),IF(CM$4=EDATE('核心假设'!$B$5,14+$F6),SUM('融资租赁与资金缺口'!$D$5:$D$16)*$AA6*$C6,0),IF(CM$4=EDATE('核心假设'!$B$5,15+$F6),SUM('融资租赁与资金缺口'!$D$5:$D$16)*$AB6*$C6,0),IF(CM$4=EDATE('核心假设'!$B$5,16+$F6),SUM('融资租赁与资金缺口'!$D$5:$D$16)*$AC6*$C6,0),IF(CM$4=EDATE('核心假设'!$B$5,17+$F6),SUM('融资租赁与资金缺口'!$D$5:$D$16)*$AD6*$C6,0))-CM15</x:f>
        <x:v>208676987.5419523</x:v>
      </x:c>
    </x:row>
    <x:row r="17">
      <x:c r="A17" t="n">
        <x:v>36</x:v>
      </x:c>
      <x:c r="B17" s="29" t="n">
        <x:f>SUM(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)</x:f>
        <x:v>16891016.88164358</x:v>
      </x:c>
      <x:c r="C17" s="29" t="n">
        <x:f>SUM(AF57:BO57)</x:f>
        <x:v>466646099.4517498</x:v>
      </x:c>
      <x:c r="D17" s="116" t="n">
        <x:f>MIN(AF59:CM59)</x:f>
        <x:v>1.8550933514639445</x:v>
      </x:c>
      <x:c r="E17" s="29" t="n">
        <x:f>BO58</x:f>
        <x:v>141715483.68353772</x:v>
      </x:c>
      <x:c r="F17" s="29" t="n">
        <x:f>MAX(0,-MIN(AF60:CM60))</x:f>
        <x:v>229020.49134148657</x:v>
      </x:c>
      <x:c r="G17" s="29" t="n">
        <x:f>SUM(AF57:CM57)-SUM('融资租赁与资金缺口'!$E$5:$E$16)</x:f>
        <x:v>70209607.73916924</x:v>
      </x:c>
      <x:c r="H17" s="29" t="n">
        <x:f>SUM('36月运营模型'!$B$12:$AK$12)</x:f>
        <x:v>1547192645.9628906</x:v>
      </x:c>
      <x:c r="AE17" t="str">
        <x:v>融资收缩服务费</x:v>
      </x:c>
      <x:c r="AF17" s="28" t="n">
        <x:f>('核心假设'!$B$6*$M7*INDEX('核心假设'!$B$60:$G$60,1,1))*$B7*DAY(EOMONTH(AF$4,0))*INDEX('年度季节曲线'!$H$6:$H$17,MONTH(AF$4))</x:f>
        <x:v>1638342.5297091946</x:v>
      </x:c>
      <x:c r="AG17" s="28" t="n">
        <x:f>('核心假设'!$B$6*$M7*INDEX('核心假设'!$B$60:$G$60,1,2)+'核心假设'!$B$6*$N7*INDEX('核心假设'!$B$60:$G$60,1,1))*$B7*DAY(EOMONTH(AG$4,0))*INDEX('年度季节曲线'!$H$6:$H$17,MONTH(AG$4))</x:f>
        <x:v>3906233.3462973856</x:v>
      </x:c>
      <x:c r="AH17" s="28" t="n">
        <x:f>('核心假设'!$B$6*$M7*INDEX('核心假设'!$B$60:$G$60,1,3)+'核心假设'!$B$6*$N7*INDEX('核心假设'!$B$60:$G$60,1,2)+'核心假设'!$B$6*$O7*INDEX('核心假设'!$B$60:$G$60,1,1))*$B7*DAY(EOMONTH(AH$4,0))*INDEX('年度季节曲线'!$H$6:$H$17,MONTH(AH$4))</x:f>
        <x:v>7020842.932851772</x:v>
      </x:c>
      <x:c r="AI17" s="28" t="n">
        <x:f>('核心假设'!$B$6*$M7*INDEX('核心假设'!$B$60:$G$60,1,4)+'核心假设'!$B$6*$N7*INDEX('核心假设'!$B$60:$G$60,1,3)+'核心假设'!$B$6*$O7*INDEX('核心假设'!$B$60:$G$60,1,2)+'核心假设'!$B$6*$P7*INDEX('核心假设'!$B$60:$G$60,1,1))*$B7*DAY(EOMONTH(AI$4,0))*INDEX('年度季节曲线'!$H$6:$H$17,MONTH(AI$4))</x:f>
        <x:v>11844418.075962324</x:v>
      </x:c>
      <x:c r="AJ17" s="28" t="n">
        <x:f>('核心假设'!$B$6*$M7*INDEX('核心假设'!$B$60:$G$60,1,5)+'核心假设'!$B$6*$N7*INDEX('核心假设'!$B$60:$G$60,1,4)+'核心假设'!$B$6*$O7*INDEX('核心假设'!$B$60:$G$60,1,3)+'核心假设'!$B$6*$P7*INDEX('核心假设'!$B$60:$G$60,1,2)+'核心假设'!$B$6*$Q7*INDEX('核心假设'!$B$60:$G$60,1,1))*$B7*DAY(EOMONTH(AJ$4,0))*INDEX('年度季节曲线'!$H$6:$H$17,MONTH(AJ$4))</x:f>
        <x:v>15169869.965814352</x:v>
      </x:c>
      <x:c r="AK17" s="28" t="n">
        <x:f>('核心假设'!$B$6*$M7*INDEX('核心假设'!$B$60:$G$60,1,6)+'核心假设'!$B$6*$N7*INDEX('核心假设'!$B$60:$G$60,1,5)+'核心假设'!$B$6*$O7*INDEX('核心假设'!$B$60:$G$60,1,4)+'核心假设'!$B$6*$P7*INDEX('核心假设'!$B$60:$G$60,1,3)+'核心假设'!$B$6*$Q7*INDEX('核心假设'!$B$60:$G$60,1,2)+'核心假设'!$B$6*$R7*INDEX('核心假设'!$B$60:$G$60,1,1))*$B7*DAY(EOMONTH(AK$4,0))*INDEX('年度季节曲线'!$H$6:$H$17,MONTH(AK$4))</x:f>
        <x:v>16477424.954601841</x:v>
      </x:c>
      <x:c r="AL17" s="28" t="n">
        <x:f>('核心假设'!$B$6*$M7*INDEX('核心假设'!$B$60:$G$60,1,6)+'核心假设'!$B$6*$N7*INDEX('核心假设'!$B$60:$G$60,1,6)+'核心假设'!$B$6*$O7*INDEX('核心假设'!$B$60:$G$60,1,5)+'核心假设'!$B$6*$P7*INDEX('核心假设'!$B$60:$G$60,1,4)+'核心假设'!$B$6*$Q7*INDEX('核心假设'!$B$60:$G$60,1,3)+'核心假设'!$B$6*$R7*INDEX('核心假设'!$B$60:$G$60,1,2)+'核心假设'!$B$6*$S7*INDEX('核心假设'!$B$60:$G$60,1,1))*$B7*DAY(EOMONTH(AL$4,0))*INDEX('年度季节曲线'!$H$6:$H$17,MONTH(AL$4))</x:f>
        <x:v>22138528.108812165</x:v>
      </x:c>
      <x:c r="AM17" s="28" t="n">
        <x:f>('核心假设'!$B$6*$M7*INDEX('核心假设'!$B$60:$G$60,1,6)+'核心假设'!$B$6*$N7*INDEX('核心假设'!$B$60:$G$60,1,6)+'核心假设'!$B$6*$O7*INDEX('核心假设'!$B$60:$G$60,1,6)+'核心假设'!$B$6*$P7*INDEX('核心假设'!$B$60:$G$60,1,5)+'核心假设'!$B$6*$Q7*INDEX('核心假设'!$B$60:$G$60,1,4)+'核心假设'!$B$6*$R7*INDEX('核心假设'!$B$60:$G$60,1,3)+'核心假设'!$B$6*$S7*INDEX('核心假设'!$B$60:$G$60,1,2)+'核心假设'!$B$6*$T7*INDEX('核心假设'!$B$60:$G$60,1,1))*$B7*DAY(EOMONTH(AM$4,0))*INDEX('年度季节曲线'!$H$6:$H$17,MONTH(AM$4))</x:f>
        <x:v>27439885.92620202</x:v>
      </x:c>
      <x:c r="AN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$60,1,5)+'核心假设'!$B$6*$R7*INDEX('核心假设'!$B$60:$G$60,1,4)+'核心假设'!$B$6*$S7*INDEX('核心假设'!$B$60:$G$60,1,3)+'核心假设'!$B$6*$T7*INDEX('核心假设'!$B$60:$G$60,1,2)+'核心假设'!$B$6*$U7*INDEX('核心假设'!$B$60:$G$60,1,1))*$B7*DAY(EOMONTH(AN$4,0))*INDEX('年度季节曲线'!$H$6:$H$17,MONTH(AN$4))</x:f>
        <x:v>33138899.06570695</x:v>
      </x:c>
      <x:c r="AO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$60,1,5)+'核心假设'!$B$6*$S7*INDEX('核心假设'!$B$60:$G$60,1,4)+'核心假设'!$B$6*$T7*INDEX('核心假设'!$B$60:$G$60,1,3)+'核心假设'!$B$6*$U7*INDEX('核心假设'!$B$60:$G$60,1,2)+'核心假设'!$B$6*$V7*INDEX('核心假设'!$B$60:$G$60,1,1))*$B7*DAY(EOMONTH(AO$4,0))*INDEX('年度季节曲线'!$H$6:$H$17,MONTH(AO$4))</x:f>
        <x:v>40678484.81288463</x:v>
      </x:c>
      <x:c r="AP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$60,1,5)+'核心假设'!$B$6*$T7*INDEX('核心假设'!$B$60:$G$60,1,4)+'核心假设'!$B$6*$U7*INDEX('核心假设'!$B$60:$G$60,1,3)+'核心假设'!$B$6*$V7*INDEX('核心假设'!$B$60:$G$60,1,2)+'核心假设'!$B$6*$W7*INDEX('核心假设'!$B$60:$G$60,1,1))*$B7*DAY(EOMONTH(AP$4,0))*INDEX('年度季节曲线'!$H$6:$H$17,MONTH(AP$4))</x:f>
        <x:v>48520496.255549416</x:v>
      </x:c>
      <x:c r="AQ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$60,1,5)+'核心假设'!$B$6*$U7*INDEX('核心假设'!$B$60:$G$60,1,4)+'核心假设'!$B$6*$V7*INDEX('核心假设'!$B$60:$G$60,1,3)+'核心假设'!$B$6*$W7*INDEX('核心假设'!$B$60:$G$60,1,2)+'核心假设'!$B$6*$X7*INDEX('核心假设'!$B$60:$G$60,1,1))*$B7*DAY(EOMONTH(AQ$4,0))*INDEX('年度季节曲线'!$H$6:$H$17,MONTH(AQ$4))</x:f>
        <x:v>54469130.30685436</x:v>
      </x:c>
      <x:c r="AR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$60,1,5)+'核心假设'!$B$6*$V7*INDEX('核心假设'!$B$60:$G$60,1,4)+'核心假设'!$B$6*$W7*INDEX('核心假设'!$B$60:$G$60,1,3)+'核心假设'!$B$6*$X7*INDEX('核心假设'!$B$60:$G$60,1,2)+'核心假设'!$B$6*$Y7*INDEX('核心假设'!$B$60:$G$60,1,1))*$B7*DAY(EOMONTH(AR$4,0))*INDEX('年度季节曲线'!$H$6:$H$17,MONTH(AR$4))</x:f>
        <x:v>52579872.920133755</x:v>
      </x:c>
      <x:c r="AS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$60,1,5)+'核心假设'!$B$6*$W7*INDEX('核心假设'!$B$60:$G$60,1,4)+'核心假设'!$B$6*$X7*INDEX('核心假设'!$B$60:$G$60,1,3)+'核心假设'!$B$6*$Y7*INDEX('核心假设'!$B$60:$G$60,1,2)+'核心假设'!$B$6*$Z7*INDEX('核心假设'!$B$60:$G$60,1,1))*$B7*DAY(EOMONTH(AS$4,0))*INDEX('年度季节曲线'!$H$6:$H$17,MONTH(AS$4))</x:f>
        <x:v>52184088.74461772</x:v>
      </x:c>
      <x:c r="AT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$60,1,5)+'核心假设'!$B$6*$X7*INDEX('核心假设'!$B$60:$G$60,1,4)+'核心假设'!$B$6*$Y7*INDEX('核心假设'!$B$60:$G$60,1,3)+'核心假设'!$B$6*$Z7*INDEX('核心假设'!$B$60:$G$60,1,2)+'核心假设'!$B$6*$AA7*INDEX('核心假设'!$B$60:$G$60,1,1))*$B7*DAY(EOMONTH(AT$4,0))*INDEX('年度季节曲线'!$H$6:$H$17,MONTH(AT$4))</x:f>
        <x:v>53824655.31841882</x:v>
      </x:c>
      <x:c r="AU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$60,1,5)+'核心假设'!$B$6*$Y7*INDEX('核心假设'!$B$60:$G$60,1,4)+'核心假设'!$B$6*$Z7*INDEX('核心假设'!$B$60:$G$60,1,3)+'核心假设'!$B$6*$AA7*INDEX('核心假设'!$B$60:$G$60,1,2)+'核心假设'!$B$6*$AB7*INDEX('核心假设'!$B$60:$G$60,1,1))*$B7*DAY(EOMONTH(AU$4,0))*INDEX('年度季节曲线'!$H$6:$H$17,MONTH(AU$4))</x:f>
        <x:v>59863787.96671186</x:v>
      </x:c>
      <x:c r="AV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$60,1,5)+'核心假设'!$B$6*$Z7*INDEX('核心假设'!$B$60:$G$60,1,4)+'核心假设'!$B$6*$AA7*INDEX('核心假设'!$B$60:$G$60,1,3)+'核心假设'!$B$6*$AB7*INDEX('核心假设'!$B$60:$G$60,1,2)+'核心假设'!$B$6*$AC7*INDEX('核心假设'!$B$60:$G$60,1,1))*$B7*DAY(EOMONTH(AV$4,0))*INDEX('年度季节曲线'!$H$6:$H$17,MONTH(AV$4))</x:f>
        <x:v>54725360.62703589</x:v>
      </x:c>
      <x:c r="AW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$60,1,5)+'核心假设'!$B$6*$AA7*INDEX('核心假设'!$B$60:$G$60,1,4)+'核心假设'!$B$6*$AB7*INDEX('核心假设'!$B$60:$G$60,1,3)+'核心假设'!$B$6*$AC7*INDEX('核心假设'!$B$60:$G$60,1,2)+'核心假设'!$B$6*$AD7*INDEX('核心假设'!$B$60:$G$60,1,1))*$B7*DAY(EOMONTH(AW$4,0))*INDEX('年度季节曲线'!$H$6:$H$17,MONTH(AW$4))</x:f>
        <x:v>46362141.856197216</x:v>
      </x:c>
      <x:c r="AX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$60,1,5)+'核心假设'!$B$6*$AB7*INDEX('核心假设'!$B$60:$G$60,1,4)+'核心假设'!$B$6*$AC7*INDEX('核心假设'!$B$60:$G$60,1,3)+'核心假设'!$B$6*$AD7*INDEX('核心假设'!$B$60:$G$60,1,2))*$B7*DAY(EOMONTH(AX$4,0))*INDEX('年度季节曲线'!$H$6:$H$17,MONTH(AX$4))</x:f>
        <x:v>47203684.6669769</x:v>
      </x:c>
      <x:c r="AY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$60,1,5)+'核心假设'!$B$6*$AC7*INDEX('核心假设'!$B$60:$G$60,1,4)+'核心假设'!$B$6*$AD7*INDEX('核心假设'!$B$60:$G$60,1,3))*$B7*DAY(EOMONTH(AY$4,0))*INDEX('年度季节曲线'!$H$6:$H$17,MONTH(AY$4))</x:f>
        <x:v>47813009.10646806</x:v>
      </x:c>
      <x:c r="AZ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$60,1,5)+'核心假设'!$B$6*$AD7*INDEX('核心假设'!$B$60:$G$60,1,4))*$B7*DAY(EOMONTH(AZ$4,0))*INDEX('年度季节曲线'!$H$6:$H$17,MONTH(AZ$4))</x:f>
        <x:v>49072855.124695614</x:v>
      </x:c>
      <x:c r="BA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$60,1,5))*$B7*DAY(EOMONTH(BA$4,0))*INDEX('年度季节曲线'!$H$6:$H$17,MONTH(BA$4))</x:f>
        <x:v>52781218.13012149</x:v>
      </x:c>
      <x:c r="BB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BB$4,0))*INDEX('年度季节曲线'!$H$6:$H$17,MONTH(BB$4))</x:f>
        <x:v>56524343.26135766</x:v>
      </x:c>
      <x:c r="BC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BC$4,0))*INDEX('年度季节曲线'!$H$6:$H$17,MONTH(BC$4))</x:f>
        <x:v>58493481.85873535</x:v>
      </x:c>
      <x:c r="BD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BD$4,0))*INDEX('年度季节曲线'!$H$6:$H$17,MONTH(BD$4))</x:f>
        <x:v>54611417.65697315</x:v>
      </x:c>
      <x:c r="BE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BE$4,0))*INDEX('年度季节曲线'!$H$6:$H$17,MONTH(BE$4))</x:f>
        <x:v>53146031.92241341</x:v>
      </x:c>
      <x:c r="BF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BF$4,0))*INDEX('年度季节曲线'!$H$6:$H$17,MONTH(BF$4))</x:f>
        <x:v>54215003.34248471</x:v>
      </x:c>
      <x:c r="BG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BG$4,0))*INDEX('年度季节曲线'!$H$6:$H$17,MONTH(BG$4))</x:f>
        <x:v>59971737.093480125</x:v>
      </x:c>
      <x:c r="BH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BH$4,0))*INDEX('年度季节曲线'!$H$6:$H$17,MONTH(BH$4))</x:f>
        <x:v>54725360.62703589</x:v>
      </x:c>
      <x:c r="BI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BI$4,0))*INDEX('年度季节曲线'!$H$6:$H$17,MONTH(BI$4))</x:f>
        <x:v>44763447.30943179</x:v>
      </x:c>
      <x:c r="BJ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BJ$4,0))*INDEX('年度季节曲线'!$H$6:$H$17,MONTH(BJ$4))</x:f>
        <x:v>47203684.6669769</x:v>
      </x:c>
      <x:c r="BK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BK$4,0))*INDEX('年度季节曲线'!$H$6:$H$17,MONTH(BK$4))</x:f>
        <x:v>47813009.10646806</x:v>
      </x:c>
      <x:c r="BL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BL$4,0))*INDEX('年度季节曲线'!$H$6:$H$17,MONTH(BL$4))</x:f>
        <x:v>49072855.124695614</x:v>
      </x:c>
      <x:c r="BM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BM$4,0))*INDEX('年度季节曲线'!$H$6:$H$17,MONTH(BM$4))</x:f>
        <x:v>52781218.13012149</x:v>
      </x:c>
      <x:c r="BN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BN$4,0))*INDEX('年度季节曲线'!$H$6:$H$17,MONTH(BN$4))</x:f>
        <x:v>56524343.26135766</x:v>
      </x:c>
      <x:c r="BO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BO$4,0))*INDEX('年度季节曲线'!$H$6:$H$17,MONTH(BO$4))</x:f>
        <x:v>58493481.85873535</x:v>
      </x:c>
      <x:c r="BP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BP$4,0))*INDEX('年度季节曲线'!$H$6:$H$17,MONTH(BP$4))</x:f>
        <x:v>54611417.65697315</x:v>
      </x:c>
      <x:c r="BQ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BQ$4,0))*INDEX('年度季节曲线'!$H$6:$H$17,MONTH(BQ$4))</x:f>
        <x:v>53146031.92241341</x:v>
      </x:c>
      <x:c r="BR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BR$4,0))*INDEX('年度季节曲线'!$H$6:$H$17,MONTH(BR$4))</x:f>
        <x:v>54215003.34248471</x:v>
      </x:c>
      <x:c r="BS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BS$4,0))*INDEX('年度季节曲线'!$H$6:$H$17,MONTH(BS$4))</x:f>
        <x:v>59971737.093480125</x:v>
      </x:c>
      <x:c r="BT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BT$4,0))*INDEX('年度季节曲线'!$H$6:$H$17,MONTH(BT$4))</x:f>
        <x:v>54725360.62703589</x:v>
      </x:c>
      <x:c r="BU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BU$4,0))*INDEX('年度季节曲线'!$H$6:$H$17,MONTH(BU$4))</x:f>
        <x:v>44763447.30943179</x:v>
      </x:c>
      <x:c r="BV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BV$4,0))*INDEX('年度季节曲线'!$H$6:$H$17,MONTH(BV$4))</x:f>
        <x:v>47203684.6669769</x:v>
      </x:c>
      <x:c r="BW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BW$4,0))*INDEX('年度季节曲线'!$H$6:$H$17,MONTH(BW$4))</x:f>
        <x:v>47813009.10646806</x:v>
      </x:c>
      <x:c r="BX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BX$4,0))*INDEX('年度季节曲线'!$H$6:$H$17,MONTH(BX$4))</x:f>
        <x:v>49072855.124695614</x:v>
      </x:c>
      <x:c r="BY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BY$4,0))*INDEX('年度季节曲线'!$H$6:$H$17,MONTH(BY$4))</x:f>
        <x:v>52781218.13012149</x:v>
      </x:c>
      <x:c r="BZ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BZ$4,0))*INDEX('年度季节曲线'!$H$6:$H$17,MONTH(BZ$4))</x:f>
        <x:v>56524343.26135766</x:v>
      </x:c>
      <x:c r="CA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CA$4,0))*INDEX('年度季节曲线'!$H$6:$H$17,MONTH(CA$4))</x:f>
        <x:v>58493481.85873535</x:v>
      </x:c>
      <x:c r="CB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CB$4,0))*INDEX('年度季节曲线'!$H$6:$H$17,MONTH(CB$4))</x:f>
        <x:v>54611417.65697315</x:v>
      </x:c>
      <x:c r="CC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CC$4,0))*INDEX('年度季节曲线'!$H$6:$H$17,MONTH(CC$4))</x:f>
        <x:v>53146031.92241341</x:v>
      </x:c>
      <x:c r="CD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CD$4,0))*INDEX('年度季节曲线'!$H$6:$H$17,MONTH(CD$4))</x:f>
        <x:v>54215003.34248471</x:v>
      </x:c>
      <x:c r="CE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CE$4,0))*INDEX('年度季节曲线'!$H$6:$H$17,MONTH(CE$4))</x:f>
        <x:v>59971737.093480125</x:v>
      </x:c>
      <x:c r="CF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CF$4,0))*INDEX('年度季节曲线'!$H$6:$H$17,MONTH(CF$4))</x:f>
        <x:v>54725360.62703589</x:v>
      </x:c>
      <x:c r="CG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CG$4,0))*INDEX('年度季节曲线'!$H$6:$H$17,MONTH(CG$4))</x:f>
        <x:v>44763447.30943179</x:v>
      </x:c>
      <x:c r="CH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CH$4,0))*INDEX('年度季节曲线'!$H$6:$H$17,MONTH(CH$4))</x:f>
        <x:v>47203684.6669769</x:v>
      </x:c>
      <x:c r="CI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CI$4,0))*INDEX('年度季节曲线'!$H$6:$H$17,MONTH(CI$4))</x:f>
        <x:v>47813009.10646806</x:v>
      </x:c>
      <x:c r="CJ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CJ$4,0))*INDEX('年度季节曲线'!$H$6:$H$17,MONTH(CJ$4))</x:f>
        <x:v>49072855.124695614</x:v>
      </x:c>
      <x:c r="CK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CK$4,0))*INDEX('年度季节曲线'!$H$6:$H$17,MONTH(CK$4))</x:f>
        <x:v>52781218.13012149</x:v>
      </x:c>
      <x:c r="CL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CL$4,0))*INDEX('年度季节曲线'!$H$6:$H$17,MONTH(CL$4))</x:f>
        <x:v>56524343.26135766</x:v>
      </x:c>
      <x:c r="CM17" s="28" t="n">
        <x:f>('核心假设'!$B$6*$M7*INDEX('核心假设'!$B$60:$G$60,1,6)+'核心假设'!$B$6*$N7*INDEX('核心假设'!$B$60:$G$60,1,6)+'核心假设'!$B$6*$O7*INDEX('核心假设'!$B$60:$G$60,1,6)+'核心假设'!$B$6*$P7*INDEX('核心假设'!$B$60:$G$60,1,6)+'核心假设'!$B$6*$Q7*INDEX('核心假设'!$B$60:$G$60,1,6)+'核心假设'!$B$6*$R7*INDEX('核心假设'!$B$60:$G$60,1,6)+'核心假设'!$B$6*$S7*INDEX('核心假设'!$B$60:$G$60,1,6)+'核心假设'!$B$6*$T7*INDEX('核心假设'!$B$60:$G$60,1,6)+'核心假设'!$B$6*$U7*INDEX('核心假设'!$B$60:$G$60,1,6)+'核心假设'!$B$6*$V7*INDEX('核心假设'!$B$60:$G$60,1,6)+'核心假设'!$B$6*$W7*INDEX('核心假设'!$B$60:$G$60,1,6)+'核心假设'!$B$6*$X7*INDEX('核心假设'!$B$60:$G$60,1,6)+'核心假设'!$B$6*$Y7*INDEX('核心假设'!$B$60:$G$60,1,6)+'核心假设'!$B$6*$Z7*INDEX('核心假设'!$B$60:$G$60,1,6)+'核心假设'!$B$6*$AA7*INDEX('核心假设'!$B$60:$G$60,1,6)+'核心假设'!$B$6*$AB7*INDEX('核心假设'!$B$60:$G$60,1,6)+'核心假设'!$B$6*$AC7*INDEX('核心假设'!$B$60:$G$60,1,6)+'核心假设'!$B$6*$AD7*INDEX('核心假设'!$B$60:$G$60,1,6))*$B7*DAY(EOMONTH(CM$4,0))*INDEX('年度季节曲线'!$H$6:$H$17,MONTH(CM$4))</x:f>
        <x:v>58493481.85873535</x:v>
      </x:c>
    </x:row>
    <x:row r="18">
      <x:c r="A18"/>
      <x:c r="B18"/>
      <x:c r="C18"/>
      <x:c r="D18"/>
      <x:c r="E18"/>
      <x:c r="F18"/>
      <x:c r="G18"/>
      <x:c r="H18"/>
      <x:c r="AE18" t="str">
        <x:v>CFADS</x:v>
      </x:c>
      <x:c r="AF18" s="28" t="n">
        <x:f>AF17-IF($G7="固定租金",SUM('月度投放计划'!$J$15:$U$16)*SUM($M7:$M7)*'核心假设'!$B$35,AF17*'核心假设'!$B$34)-AF17*$H7-'核心假设'!$B$37-AF17*'核心假设'!$B$38</x:f>
        <x:v>1146839.7707964361</x:v>
      </x:c>
      <x:c r="AG18" s="28" t="n">
        <x:f>AG17-IF($G7="固定租金",SUM('月度投放计划'!$J$15:$U$16)*SUM($M7:$N7)*'核心假设'!$B$35,AG17*'核心假设'!$B$34)-AG17*$H7-'核心假设'!$B$37-AG17*'核心假设'!$B$38</x:f>
        <x:v>2734363.34240817</x:v>
      </x:c>
      <x:c r="AH18" s="28" t="n">
        <x:f>AH17-IF($G7="固定租金",SUM('月度投放计划'!$J$15:$U$16)*SUM($M7:$O7)*'核心假设'!$B$35,AH17*'核心假设'!$B$34)-AH17*$H7-'核心假设'!$B$37-AH17*'核心假设'!$B$38</x:f>
        <x:v>4914590.052996241</x:v>
      </x:c>
      <x:c r="AI18" s="28" t="n">
        <x:f>AI17-IF($G7="固定租金",SUM('月度投放计划'!$J$15:$U$16)*SUM($M7:$P7)*'核心假设'!$B$35,AI17*'核心假设'!$B$34)-AI17*$H7-'核心假设'!$B$37-AI17*'核心假设'!$B$38</x:f>
        <x:v>8291092.6531736255</x:v>
      </x:c>
      <x:c r="AJ18" s="28" t="n">
        <x:f>AJ17-IF($G7="固定租金",SUM('月度投放计划'!$J$15:$U$16)*SUM($M7:$Q7)*'核心假设'!$B$35,AJ17*'核心假设'!$B$34)-AJ17*$H7-'核心假设'!$B$37-AJ17*'核心假设'!$B$38</x:f>
        <x:v>10618908.976070046</x:v>
      </x:c>
      <x:c r="AK18" s="28" t="n">
        <x:f>AK17-IF($G7="固定租金",SUM('月度投放计划'!$J$15:$U$16)*SUM($M7:$R7)*'核心假设'!$B$35,AK17*'核心假设'!$B$34)-AK17*$H7-'核心假设'!$B$37-AK17*'核心假设'!$B$38</x:f>
        <x:v>11534197.468221288</x:v>
      </x:c>
      <x:c r="AL18" s="28" t="n">
        <x:f>AL17-IF($G7="固定租金",SUM('月度投放计划'!$J$15:$U$16)*SUM($M7:$S7)*'核心假设'!$B$35,AL17*'核心假设'!$B$34)-AL17*$H7-'核心假设'!$B$37-AL17*'核心假设'!$B$38</x:f>
        <x:v>15496969.676168516</x:v>
      </x:c>
      <x:c r="AM18" s="28" t="n">
        <x:f>AM17-IF($G7="固定租金",SUM('月度投放计划'!$J$15:$U$16)*SUM($M7:$T7)*'核心假设'!$B$35,AM17*'核心假设'!$B$34)-AM17*$H7-'核心假设'!$B$37-AM17*'核心假设'!$B$38</x:f>
        <x:v>19207920.148341417</x:v>
      </x:c>
      <x:c r="AN18" s="28" t="n">
        <x:f>AN17-IF($G7="固定租金",SUM('月度投放计划'!$J$15:$U$16)*SUM($M7:$U7)*'核心假设'!$B$35,AN17*'核心假设'!$B$34)-AN17*$H7-'核心假设'!$B$37-AN17*'核心假设'!$B$38</x:f>
        <x:v>23197229.345994864</x:v>
      </x:c>
      <x:c r="AO18" s="28" t="n">
        <x:f>AO17-IF($G7="固定租金",SUM('月度投放计划'!$J$15:$U$16)*SUM($M7:$V7)*'核心假设'!$B$35,AO17*'核心假设'!$B$34)-AO17*$H7-'核心假设'!$B$37-AO17*'核心假设'!$B$38</x:f>
        <x:v>28474939.36901924</x:v>
      </x:c>
      <x:c r="AP18" s="28" t="n">
        <x:f>AP17-IF($G7="固定租金",SUM('月度投放计划'!$J$15:$U$16)*SUM($M7:$W7)*'核心假设'!$B$35,AP17*'核心假设'!$B$34)-AP17*$H7-'核心假设'!$B$37-AP17*'核心假设'!$B$38</x:f>
        <x:v>33964347.37888459</x:v>
      </x:c>
      <x:c r="AQ18" s="28" t="n">
        <x:f>AQ17-IF($G7="固定租金",SUM('月度投放计划'!$J$15:$U$16)*SUM($M7:$X7)*'核心假设'!$B$35,AQ17*'核心假设'!$B$34)-AQ17*$H7-'核心假设'!$B$37-AQ17*'核心假设'!$B$38</x:f>
        <x:v>38128391.21479805</x:v>
      </x:c>
      <x:c r="AR18" s="28" t="n">
        <x:f>AR17-IF($G7="固定租金",SUM('月度投放计划'!$J$15:$U$16)*SUM($M7:$Y7)*'核心假设'!$B$35,AR17*'核心假设'!$B$34)-AR17*$H7-'核心假设'!$B$37-AR17*'核心假设'!$B$38</x:f>
        <x:v>36805911.044093624</x:v>
      </x:c>
      <x:c r="AS18" s="28" t="n">
        <x:f>AS17-IF($G7="固定租金",SUM('月度投放计划'!$J$15:$U$16)*SUM($M7:$Z7)*'核心假设'!$B$35,AS17*'核心假设'!$B$34)-AS17*$H7-'核心假设'!$B$37-AS17*'核心假设'!$B$38</x:f>
        <x:v>36528862.121232405</x:v>
      </x:c>
      <x:c r="AT18" s="28" t="n">
        <x:f>AT17-IF($G7="固定租金",SUM('月度投放计划'!$J$15:$U$16)*SUM($M7:$AA7)*'核心假设'!$B$35,AT17*'核心假设'!$B$34)-AT17*$H7-'核心假设'!$B$37-AT17*'核心假设'!$B$38</x:f>
        <x:v>37677258.72289318</x:v>
      </x:c>
      <x:c r="AU18" s="28" t="n">
        <x:f>AU17-IF($G7="固定租金",SUM('月度投放计划'!$J$15:$U$16)*SUM($M7:$AB7)*'核心假设'!$B$35,AU17*'核心假设'!$B$34)-AU17*$H7-'核心假设'!$B$37-AU17*'核心假设'!$B$38</x:f>
        <x:v>41904651.5766983</x:v>
      </x:c>
      <x:c r="AV18" s="28" t="n">
        <x:f>AV17-IF($G7="固定租金",SUM('月度投放计划'!$J$15:$U$16)*SUM($M7:$AC7)*'核心假设'!$B$35,AV17*'核心假设'!$B$34)-AV17*$H7-'核心假设'!$B$37-AV17*'核心假设'!$B$38</x:f>
        <x:v>38307752.438925125</x:v>
      </x:c>
      <x:c r="AW18" s="28" t="n">
        <x:f>AW17-IF($G7="固定租金",SUM('月度投放计划'!$J$15:$U$16)*SUM($M7:$AD7)*'核心假设'!$B$35,AW17*'核心假设'!$B$34)-AW17*$H7-'核心假设'!$B$37-AW17*'核心假设'!$B$38</x:f>
        <x:v>32453499.299338046</x:v>
      </x:c>
      <x:c r="AX18" s="28" t="n">
        <x:f>AX17-IF($G7="固定租金",SUM('月度投放计划'!$J$15:$U$16)*SUM($M7:$AD7)*'核心假设'!$B$35,AX17*'核心假设'!$B$34)-AX17*$H7-'核心假设'!$B$37-AX17*'核心假设'!$B$38</x:f>
        <x:v>33042579.26688383</x:v>
      </x:c>
      <x:c r="AY18" s="28" t="n">
        <x:f>AY17-IF($G7="固定租金",SUM('月度投放计划'!$J$15:$U$16)*SUM($M7:$AD7)*'核心假设'!$B$35,AY17*'核心假设'!$B$34)-AY17*$H7-'核心假设'!$B$37-AY17*'核心假设'!$B$38</x:f>
        <x:v>33469106.374527637</x:v>
      </x:c>
      <x:c r="AZ18" s="28" t="n">
        <x:f>AZ17-IF($G7="固定租金",SUM('月度投放计划'!$J$15:$U$16)*SUM($M7:$AD7)*'核心假设'!$B$35,AZ17*'核心假设'!$B$34)-AZ17*$H7-'核心假设'!$B$37-AZ17*'核心假设'!$B$38</x:f>
        <x:v>34350998.587286934</x:v>
      </x:c>
      <x:c r="BA18" s="28" t="n">
        <x:f>BA17-IF($G7="固定租金",SUM('月度投放计划'!$J$15:$U$16)*SUM($M7:$AD7)*'核心假设'!$B$35,BA17*'核心假设'!$B$34)-BA17*$H7-'核心假设'!$B$37-BA17*'核心假设'!$B$38</x:f>
        <x:v>36946852.69108504</x:v>
      </x:c>
      <x:c r="BB18" s="28" t="n">
        <x:f>BB17-IF($G7="固定租金",SUM('月度投放计划'!$J$15:$U$16)*SUM($M7:$AD7)*'核心假设'!$B$35,BB17*'核心假设'!$B$34)-BB17*$H7-'核心假设'!$B$37-BB17*'核心假设'!$B$38</x:f>
        <x:v>39567040.28295036</x:v>
      </x:c>
      <x:c r="BC18" s="28" t="n">
        <x:f>BC17-IF($G7="固定租金",SUM('月度投放计划'!$J$15:$U$16)*SUM($M7:$AD7)*'核心假设'!$B$35,BC17*'核心假设'!$B$34)-BC17*$H7-'核心假设'!$B$37-BC17*'核心假设'!$B$38</x:f>
        <x:v>40945437.301114745</x:v>
      </x:c>
      <x:c r="BD18" s="28" t="n">
        <x:f>BD17-IF($G7="固定租金",SUM('月度投放计划'!$J$15:$U$16)*SUM($M7:$AD7)*'核心假设'!$B$35,BD17*'核心假设'!$B$34)-BD17*$H7-'核心假设'!$B$37-BD17*'核心假设'!$B$38</x:f>
        <x:v>38227992.35988121</x:v>
      </x:c>
      <x:c r="BE18" s="28" t="n">
        <x:f>BE17-IF($G7="固定租金",SUM('月度投放计划'!$J$15:$U$16)*SUM($M7:$AD7)*'核心假设'!$B$35,BE17*'核心假设'!$B$34)-BE17*$H7-'核心假设'!$B$37-BE17*'核心假设'!$B$38</x:f>
        <x:v>37202222.345689386</x:v>
      </x:c>
      <x:c r="BF18" s="28" t="n">
        <x:f>BF17-IF($G7="固定租金",SUM('月度投放计划'!$J$15:$U$16)*SUM($M7:$AD7)*'核心假设'!$B$35,BF17*'核心假设'!$B$34)-BF17*$H7-'核心假设'!$B$37-BF17*'核心假设'!$B$38</x:f>
        <x:v>37950502.33973929</x:v>
      </x:c>
      <x:c r="BG18" s="28" t="n">
        <x:f>BG17-IF($G7="固定租金",SUM('月度投放计划'!$J$15:$U$16)*SUM($M7:$AD7)*'核心假设'!$B$35,BG17*'核心假设'!$B$34)-BG17*$H7-'核心假设'!$B$37-BG17*'核心假设'!$B$38</x:f>
        <x:v>41980215.965436086</x:v>
      </x:c>
      <x:c r="BH18" s="28" t="n">
        <x:f>BH17-IF($G7="固定租金",SUM('月度投放计划'!$J$15:$U$16)*SUM($M7:$AD7)*'核心假设'!$B$35,BH17*'核心假设'!$B$34)-BH17*$H7-'核心假设'!$B$37-BH17*'核心假设'!$B$38</x:f>
        <x:v>38307752.438925125</x:v>
      </x:c>
      <x:c r="BI18" s="28" t="n">
        <x:f>BI17-IF($G7="固定租金",SUM('月度投放计划'!$J$15:$U$16)*SUM($M7:$AD7)*'核心假设'!$B$35,BI17*'核心假设'!$B$34)-BI17*$H7-'核心假设'!$B$37-BI17*'核心假设'!$B$38</x:f>
        <x:v>31334413.11660225</x:v>
      </x:c>
      <x:c r="BJ18" s="28" t="n">
        <x:f>BJ17-IF($G7="固定租金",SUM('月度投放计划'!$J$15:$U$16)*SUM($M7:$AD7)*'核心假设'!$B$35,BJ17*'核心假设'!$B$34)-BJ17*$H7-'核心假设'!$B$37-BJ17*'核心假设'!$B$38</x:f>
        <x:v>33042579.26688383</x:v>
      </x:c>
      <x:c r="BK18" s="28" t="n">
        <x:f>BK17-IF($G7="固定租金",SUM('月度投放计划'!$J$15:$U$16)*SUM($M7:$AD7)*'核心假设'!$B$35,BK17*'核心假设'!$B$34)-BK17*$H7-'核心假设'!$B$37-BK17*'核心假设'!$B$38</x:f>
        <x:v>33469106.374527637</x:v>
      </x:c>
      <x:c r="BL18" s="28" t="n">
        <x:f>BL17-IF($G7="固定租金",SUM('月度投放计划'!$J$15:$U$16)*SUM($M7:$AD7)*'核心假设'!$B$35,BL17*'核心假设'!$B$34)-BL17*$H7-'核心假设'!$B$37-BL17*'核心假设'!$B$38</x:f>
        <x:v>34350998.587286934</x:v>
      </x:c>
      <x:c r="BM18" s="28" t="n">
        <x:f>BM17-IF($G7="固定租金",SUM('月度投放计划'!$J$15:$U$16)*SUM($M7:$AD7)*'核心假设'!$B$35,BM17*'核心假设'!$B$34)-BM17*$H7-'核心假设'!$B$37-BM17*'核心假设'!$B$38</x:f>
        <x:v>36946852.69108504</x:v>
      </x:c>
      <x:c r="BN18" s="28" t="n">
        <x:f>BN17-IF($G7="固定租金",SUM('月度投放计划'!$J$15:$U$16)*SUM($M7:$AD7)*'核心假设'!$B$35,BN17*'核心假设'!$B$34)-BN17*$H7-'核心假设'!$B$37-BN17*'核心假设'!$B$38</x:f>
        <x:v>39567040.28295036</x:v>
      </x:c>
      <x:c r="BO18" s="28" t="n">
        <x:f>BO17-IF($G7="固定租金",SUM('月度投放计划'!$J$15:$U$16)*SUM($M7:$AD7)*'核心假设'!$B$35,BO17*'核心假设'!$B$34)-BO17*$H7-'核心假设'!$B$37-BO17*'核心假设'!$B$38</x:f>
        <x:v>40945437.301114745</x:v>
      </x:c>
      <x:c r="BP18" s="28" t="n">
        <x:f>BP17-IF($G7="固定租金",SUM('月度投放计划'!$J$15:$U$16)*SUM($M7:$AD7)*'核心假设'!$B$35,BP17*'核心假设'!$B$34)-BP17*$H7-'核心假设'!$B$37-BP17*'核心假设'!$B$38</x:f>
        <x:v>38227992.35988121</x:v>
      </x:c>
      <x:c r="BQ18" s="28" t="n">
        <x:f>BQ17-IF($G7="固定租金",SUM('月度投放计划'!$J$15:$U$16)*SUM($M7:$AD7)*'核心假设'!$B$35,BQ17*'核心假设'!$B$34)-BQ17*$H7-'核心假设'!$B$37-BQ17*'核心假设'!$B$38</x:f>
        <x:v>37202222.345689386</x:v>
      </x:c>
      <x:c r="BR18" s="28" t="n">
        <x:f>BR17-IF($G7="固定租金",SUM('月度投放计划'!$J$15:$U$16)*SUM($M7:$AD7)*'核心假设'!$B$35,BR17*'核心假设'!$B$34)-BR17*$H7-'核心假设'!$B$37-BR17*'核心假设'!$B$38</x:f>
        <x:v>37950502.33973929</x:v>
      </x:c>
      <x:c r="BS18" s="28" t="n">
        <x:f>BS17-IF($G7="固定租金",SUM('月度投放计划'!$J$15:$U$16)*SUM($M7:$AD7)*'核心假设'!$B$35,BS17*'核心假设'!$B$34)-BS17*$H7-'核心假设'!$B$37-BS17*'核心假设'!$B$38</x:f>
        <x:v>41980215.965436086</x:v>
      </x:c>
      <x:c r="BT18" s="28" t="n">
        <x:f>BT17-IF($G7="固定租金",SUM('月度投放计划'!$J$15:$U$16)*SUM($M7:$AD7)*'核心假设'!$B$35,BT17*'核心假设'!$B$34)-BT17*$H7-'核心假设'!$B$37-BT17*'核心假设'!$B$38</x:f>
        <x:v>38307752.438925125</x:v>
      </x:c>
      <x:c r="BU18" s="28" t="n">
        <x:f>BU17-IF($G7="固定租金",SUM('月度投放计划'!$J$15:$U$16)*SUM($M7:$AD7)*'核心假设'!$B$35,BU17*'核心假设'!$B$34)-BU17*$H7-'核心假设'!$B$37-BU17*'核心假设'!$B$38</x:f>
        <x:v>31334413.11660225</x:v>
      </x:c>
      <x:c r="BV18" s="28" t="n">
        <x:f>BV17-IF($G7="固定租金",SUM('月度投放计划'!$J$15:$U$16)*SUM($M7:$AD7)*'核心假设'!$B$35,BV17*'核心假设'!$B$34)-BV17*$H7-'核心假设'!$B$37-BV17*'核心假设'!$B$38</x:f>
        <x:v>33042579.26688383</x:v>
      </x:c>
      <x:c r="BW18" s="28" t="n">
        <x:f>BW17-IF($G7="固定租金",SUM('月度投放计划'!$J$15:$U$16)*SUM($M7:$AD7)*'核心假设'!$B$35,BW17*'核心假设'!$B$34)-BW17*$H7-'核心假设'!$B$37-BW17*'核心假设'!$B$38</x:f>
        <x:v>33469106.374527637</x:v>
      </x:c>
      <x:c r="BX18" s="28" t="n">
        <x:f>BX17-IF($G7="固定租金",SUM('月度投放计划'!$J$15:$U$16)*SUM($M7:$AD7)*'核心假设'!$B$35,BX17*'核心假设'!$B$34)-BX17*$H7-'核心假设'!$B$37-BX17*'核心假设'!$B$38</x:f>
        <x:v>34350998.587286934</x:v>
      </x:c>
      <x:c r="BY18" s="28" t="n">
        <x:f>BY17-IF($G7="固定租金",SUM('月度投放计划'!$J$15:$U$16)*SUM($M7:$AD7)*'核心假设'!$B$35,BY17*'核心假设'!$B$34)-BY17*$H7-'核心假设'!$B$37-BY17*'核心假设'!$B$38</x:f>
        <x:v>36946852.69108504</x:v>
      </x:c>
      <x:c r="BZ18" s="28" t="n">
        <x:f>BZ17-IF($G7="固定租金",SUM('月度投放计划'!$J$15:$U$16)*SUM($M7:$AD7)*'核心假设'!$B$35,BZ17*'核心假设'!$B$34)-BZ17*$H7-'核心假设'!$B$37-BZ17*'核心假设'!$B$38</x:f>
        <x:v>39567040.28295036</x:v>
      </x:c>
      <x:c r="CA18" s="28" t="n">
        <x:f>CA17-IF($G7="固定租金",SUM('月度投放计划'!$J$15:$U$16)*SUM($M7:$AD7)*'核心假设'!$B$35,CA17*'核心假设'!$B$34)-CA17*$H7-'核心假设'!$B$37-CA17*'核心假设'!$B$38</x:f>
        <x:v>40945437.301114745</x:v>
      </x:c>
      <x:c r="CB18" s="28" t="n">
        <x:f>CB17-IF($G7="固定租金",SUM('月度投放计划'!$J$15:$U$16)*SUM($M7:$AD7)*'核心假设'!$B$35,CB17*'核心假设'!$B$34)-CB17*$H7-'核心假设'!$B$37-CB17*'核心假设'!$B$38</x:f>
        <x:v>38227992.35988121</x:v>
      </x:c>
      <x:c r="CC18" s="28" t="n">
        <x:f>CC17-IF($G7="固定租金",SUM('月度投放计划'!$J$15:$U$16)*SUM($M7:$AD7)*'核心假设'!$B$35,CC17*'核心假设'!$B$34)-CC17*$H7-'核心假设'!$B$37-CC17*'核心假设'!$B$38</x:f>
        <x:v>37202222.345689386</x:v>
      </x:c>
      <x:c r="CD18" s="28" t="n">
        <x:f>CD17-IF($G7="固定租金",SUM('月度投放计划'!$J$15:$U$16)*SUM($M7:$AD7)*'核心假设'!$B$35,CD17*'核心假设'!$B$34)-CD17*$H7-'核心假设'!$B$37-CD17*'核心假设'!$B$38</x:f>
        <x:v>37950502.33973929</x:v>
      </x:c>
      <x:c r="CE18" s="28" t="n">
        <x:f>CE17-IF($G7="固定租金",SUM('月度投放计划'!$J$15:$U$16)*SUM($M7:$AD7)*'核心假设'!$B$35,CE17*'核心假设'!$B$34)-CE17*$H7-'核心假设'!$B$37-CE17*'核心假设'!$B$38</x:f>
        <x:v>41980215.965436086</x:v>
      </x:c>
      <x:c r="CF18" s="28" t="n">
        <x:f>CF17-IF($G7="固定租金",SUM('月度投放计划'!$J$15:$U$16)*SUM($M7:$AD7)*'核心假设'!$B$35,CF17*'核心假设'!$B$34)-CF17*$H7-'核心假设'!$B$37-CF17*'核心假设'!$B$38</x:f>
        <x:v>38307752.438925125</x:v>
      </x:c>
      <x:c r="CG18" s="28" t="n">
        <x:f>CG17-IF($G7="固定租金",SUM('月度投放计划'!$J$15:$U$16)*SUM($M7:$AD7)*'核心假设'!$B$35,CG17*'核心假设'!$B$34)-CG17*$H7-'核心假设'!$B$37-CG17*'核心假设'!$B$38</x:f>
        <x:v>31334413.11660225</x:v>
      </x:c>
      <x:c r="CH18" s="28" t="n">
        <x:f>CH17-IF($G7="固定租金",SUM('月度投放计划'!$J$15:$U$16)*SUM($M7:$AD7)*'核心假设'!$B$35,CH17*'核心假设'!$B$34)-CH17*$H7-'核心假设'!$B$37-CH17*'核心假设'!$B$38</x:f>
        <x:v>33042579.26688383</x:v>
      </x:c>
      <x:c r="CI18" s="28" t="n">
        <x:f>CI17-IF($G7="固定租金",SUM('月度投放计划'!$J$15:$U$16)*SUM($M7:$AD7)*'核心假设'!$B$35,CI17*'核心假设'!$B$34)-CI17*$H7-'核心假设'!$B$37-CI17*'核心假设'!$B$38</x:f>
        <x:v>33469106.374527637</x:v>
      </x:c>
      <x:c r="CJ18" s="28" t="n">
        <x:f>CJ17-IF($G7="固定租金",SUM('月度投放计划'!$J$15:$U$16)*SUM($M7:$AD7)*'核心假设'!$B$35,CJ17*'核心假设'!$B$34)-CJ17*$H7-'核心假设'!$B$37-CJ17*'核心假设'!$B$38</x:f>
        <x:v>34350998.587286934</x:v>
      </x:c>
      <x:c r="CK18" s="28" t="n">
        <x:f>CK17-IF($G7="固定租金",SUM('月度投放计划'!$J$15:$U$16)*SUM($M7:$AD7)*'核心假设'!$B$35,CK17*'核心假设'!$B$34)-CK17*$H7-'核心假设'!$B$37-CK17*'核心假设'!$B$38</x:f>
        <x:v>36946852.69108504</x:v>
      </x:c>
      <x:c r="CL18" s="28" t="n">
        <x:f>CL17-IF($G7="固定租金",SUM('月度投放计划'!$J$15:$U$16)*SUM($M7:$AD7)*'核心假设'!$B$35,CL17*'核心假设'!$B$34)-CL17*$H7-'核心假设'!$B$37-CL17*'核心假设'!$B$38</x:f>
        <x:v>39567040.28295036</x:v>
      </x:c>
      <x:c r="CM18" s="28" t="n">
        <x:f>CM17-IF($G7="固定租金",SUM('月度投放计划'!$J$15:$U$16)*SUM($M7:$AD7)*'核心假设'!$B$35,CM17*'核心假设'!$B$34)-CM17*$H7-'核心假设'!$B$37-CM17*'核心假设'!$B$38</x:f>
        <x:v>40945437.301114745</x:v>
      </x:c>
    </x:row>
    <x:row r="19">
      <x:c r="A19" t="str">
        <x:v>模型总状态</x:v>
      </x:c>
      <x:c r="B19" t="str">
        <x:f>IF(COUNTIF(F22:F38,"FAIL")=0,"PASS","FAIL")</x:f>
        <x:v>PASS</x:v>
      </x:c>
      <x:c r="C19"/>
      <x:c r="D19"/>
      <x:c r="E19"/>
      <x:c r="F19"/>
      <x:c r="G19"/>
      <x:c r="H19"/>
      <x:c r="AE19" t="str">
        <x:v>债务支付</x:v>
      </x:c>
      <x:c r="AF19" s="28" t="n">
        <x:f>SUM(IF(AND(AF$4&gt;EDATE('核心假设'!$B$5,0+$F7),AF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AF$4=EDATE(EDATE('核心假设'!$B$5,0+$F7),$D7),SUM('融资租赁与资金缺口'!$D$5:$D$16)*$M7*'核心假设'!$B$32,0),0),IF(AND(AF$4&gt;EDATE('核心假设'!$B$5,1+$F7),AF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AF$4=EDATE(EDATE('核心假设'!$B$5,1+$F7),$D7),SUM('融资租赁与资金缺口'!$D$5:$D$16)*$N7*'核心假设'!$B$32,0),0),IF(AND(AF$4&gt;EDATE('核心假设'!$B$5,2+$F7),AF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AF$4=EDATE(EDATE('核心假设'!$B$5,2+$F7),$D7),SUM('融资租赁与资金缺口'!$D$5:$D$16)*$O7*'核心假设'!$B$32,0),0),IF(AND(AF$4&gt;EDATE('核心假设'!$B$5,3+$F7),AF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AF$4=EDATE(EDATE('核心假设'!$B$5,3+$F7),$D7),SUM('融资租赁与资金缺口'!$D$5:$D$16)*$P7*'核心假设'!$B$32,0),0),IF(AND(AF$4&gt;EDATE('核心假设'!$B$5,4+$F7),AF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AF$4=EDATE(EDATE('核心假设'!$B$5,4+$F7),$D7),SUM('融资租赁与资金缺口'!$D$5:$D$16)*$Q7*'核心假设'!$B$32,0),0),IF(AND(AF$4&gt;EDATE('核心假设'!$B$5,5+$F7),AF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AF$4=EDATE(EDATE('核心假设'!$B$5,5+$F7),$D7),SUM('融资租赁与资金缺口'!$D$5:$D$16)*$R7*'核心假设'!$B$32,0),0),IF(AND(AF$4&gt;EDATE('核心假设'!$B$5,6+$F7),AF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AF$4=EDATE(EDATE('核心假设'!$B$5,6+$F7),$D7),SUM('融资租赁与资金缺口'!$D$5:$D$16)*$S7*'核心假设'!$B$32,0),0),IF(AND(AF$4&gt;EDATE('核心假设'!$B$5,7+$F7),AF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AF$4=EDATE(EDATE('核心假设'!$B$5,7+$F7),$D7),SUM('融资租赁与资金缺口'!$D$5:$D$16)*$T7*'核心假设'!$B$32,0),0),IF(AND(AF$4&gt;EDATE('核心假设'!$B$5,8+$F7),AF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AF$4=EDATE(EDATE('核心假设'!$B$5,8+$F7),$D7),SUM('融资租赁与资金缺口'!$D$5:$D$16)*$U7*'核心假设'!$B$32,0),0),IF(AND(AF$4&gt;EDATE('核心假设'!$B$5,9+$F7),AF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AF$4=EDATE(EDATE('核心假设'!$B$5,9+$F7),$D7),SUM('融资租赁与资金缺口'!$D$5:$D$16)*$V7*'核心假设'!$B$32,0),0),IF(AND(AF$4&gt;EDATE('核心假设'!$B$5,10+$F7),AF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AF$4=EDATE(EDATE('核心假设'!$B$5,10+$F7),$D7),SUM('融资租赁与资金缺口'!$D$5:$D$16)*$W7*'核心假设'!$B$32,0),0),IF(AND(AF$4&gt;EDATE('核心假设'!$B$5,11+$F7),AF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AF$4=EDATE(EDATE('核心假设'!$B$5,11+$F7),$D7),SUM('融资租赁与资金缺口'!$D$5:$D$16)*$X7*'核心假设'!$B$32,0),0),IF(AND(AF$4&gt;EDATE('核心假设'!$B$5,12+$F7),AF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AF$4=EDATE(EDATE('核心假设'!$B$5,12+$F7),$D7),SUM('融资租赁与资金缺口'!$D$5:$D$16)*$Y7*'核心假设'!$B$32,0),0),IF(AND(AF$4&gt;EDATE('核心假设'!$B$5,13+$F7),AF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AF$4=EDATE(EDATE('核心假设'!$B$5,13+$F7),$D7),SUM('融资租赁与资金缺口'!$D$5:$D$16)*$Z7*'核心假设'!$B$32,0),0),IF(AND(AF$4&gt;EDATE('核心假设'!$B$5,14+$F7),AF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AF$4=EDATE(EDATE('核心假设'!$B$5,14+$F7),$D7),SUM('融资租赁与资金缺口'!$D$5:$D$16)*$AA7*'核心假设'!$B$32,0),0),IF(AND(AF$4&gt;EDATE('核心假设'!$B$5,15+$F7),AF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AF$4=EDATE(EDATE('核心假设'!$B$5,15+$F7),$D7),SUM('融资租赁与资金缺口'!$D$5:$D$16)*$AB7*'核心假设'!$B$32,0),0),IF(AND(AF$4&gt;EDATE('核心假设'!$B$5,16+$F7),AF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AF$4=EDATE(EDATE('核心假设'!$B$5,16+$F7),$D7),SUM('融资租赁与资金缺口'!$D$5:$D$16)*$AC7*'核心假设'!$B$32,0),0),IF(AND(AF$4&gt;EDATE('核心假设'!$B$5,17+$F7),AF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AF$4=EDATE(EDATE('核心假设'!$B$5,17+$F7),$D7),SUM('融资租赁与资金缺口'!$D$5:$D$16)*$AD7*'核心假设'!$B$32,0),0))</x:f>
        <x:v>0</x:v>
      </x:c>
      <x:c r="AG19" s="28" t="n">
        <x:f>SUM(IF(AND(AG$4&gt;EDATE('核心假设'!$B$5,0+$F7),AG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AG$4=EDATE(EDATE('核心假设'!$B$5,0+$F7),$D7),SUM('融资租赁与资金缺口'!$D$5:$D$16)*$M7*'核心假设'!$B$32,0),0),IF(AND(AG$4&gt;EDATE('核心假设'!$B$5,1+$F7),AG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AG$4=EDATE(EDATE('核心假设'!$B$5,1+$F7),$D7),SUM('融资租赁与资金缺口'!$D$5:$D$16)*$N7*'核心假设'!$B$32,0),0),IF(AND(AG$4&gt;EDATE('核心假设'!$B$5,2+$F7),AG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AG$4=EDATE(EDATE('核心假设'!$B$5,2+$F7),$D7),SUM('融资租赁与资金缺口'!$D$5:$D$16)*$O7*'核心假设'!$B$32,0),0),IF(AND(AG$4&gt;EDATE('核心假设'!$B$5,3+$F7),AG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AG$4=EDATE(EDATE('核心假设'!$B$5,3+$F7),$D7),SUM('融资租赁与资金缺口'!$D$5:$D$16)*$P7*'核心假设'!$B$32,0),0),IF(AND(AG$4&gt;EDATE('核心假设'!$B$5,4+$F7),AG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AG$4=EDATE(EDATE('核心假设'!$B$5,4+$F7),$D7),SUM('融资租赁与资金缺口'!$D$5:$D$16)*$Q7*'核心假设'!$B$32,0),0),IF(AND(AG$4&gt;EDATE('核心假设'!$B$5,5+$F7),AG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AG$4=EDATE(EDATE('核心假设'!$B$5,5+$F7),$D7),SUM('融资租赁与资金缺口'!$D$5:$D$16)*$R7*'核心假设'!$B$32,0),0),IF(AND(AG$4&gt;EDATE('核心假设'!$B$5,6+$F7),AG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AG$4=EDATE(EDATE('核心假设'!$B$5,6+$F7),$D7),SUM('融资租赁与资金缺口'!$D$5:$D$16)*$S7*'核心假设'!$B$32,0),0),IF(AND(AG$4&gt;EDATE('核心假设'!$B$5,7+$F7),AG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AG$4=EDATE(EDATE('核心假设'!$B$5,7+$F7),$D7),SUM('融资租赁与资金缺口'!$D$5:$D$16)*$T7*'核心假设'!$B$32,0),0),IF(AND(AG$4&gt;EDATE('核心假设'!$B$5,8+$F7),AG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AG$4=EDATE(EDATE('核心假设'!$B$5,8+$F7),$D7),SUM('融资租赁与资金缺口'!$D$5:$D$16)*$U7*'核心假设'!$B$32,0),0),IF(AND(AG$4&gt;EDATE('核心假设'!$B$5,9+$F7),AG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AG$4=EDATE(EDATE('核心假设'!$B$5,9+$F7),$D7),SUM('融资租赁与资金缺口'!$D$5:$D$16)*$V7*'核心假设'!$B$32,0),0),IF(AND(AG$4&gt;EDATE('核心假设'!$B$5,10+$F7),AG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AG$4=EDATE(EDATE('核心假设'!$B$5,10+$F7),$D7),SUM('融资租赁与资金缺口'!$D$5:$D$16)*$W7*'核心假设'!$B$32,0),0),IF(AND(AG$4&gt;EDATE('核心假设'!$B$5,11+$F7),AG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AG$4=EDATE(EDATE('核心假设'!$B$5,11+$F7),$D7),SUM('融资租赁与资金缺口'!$D$5:$D$16)*$X7*'核心假设'!$B$32,0),0),IF(AND(AG$4&gt;EDATE('核心假设'!$B$5,12+$F7),AG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AG$4=EDATE(EDATE('核心假设'!$B$5,12+$F7),$D7),SUM('融资租赁与资金缺口'!$D$5:$D$16)*$Y7*'核心假设'!$B$32,0),0),IF(AND(AG$4&gt;EDATE('核心假设'!$B$5,13+$F7),AG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AG$4=EDATE(EDATE('核心假设'!$B$5,13+$F7),$D7),SUM('融资租赁与资金缺口'!$D$5:$D$16)*$Z7*'核心假设'!$B$32,0),0),IF(AND(AG$4&gt;EDATE('核心假设'!$B$5,14+$F7),AG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AG$4=EDATE(EDATE('核心假设'!$B$5,14+$F7),$D7),SUM('融资租赁与资金缺口'!$D$5:$D$16)*$AA7*'核心假设'!$B$32,0),0),IF(AND(AG$4&gt;EDATE('核心假设'!$B$5,15+$F7),AG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AG$4=EDATE(EDATE('核心假设'!$B$5,15+$F7),$D7),SUM('融资租赁与资金缺口'!$D$5:$D$16)*$AB7*'核心假设'!$B$32,0),0),IF(AND(AG$4&gt;EDATE('核心假设'!$B$5,16+$F7),AG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AG$4=EDATE(EDATE('核心假设'!$B$5,16+$F7),$D7),SUM('融资租赁与资金缺口'!$D$5:$D$16)*$AC7*'核心假设'!$B$32,0),0),IF(AND(AG$4&gt;EDATE('核心假设'!$B$5,17+$F7),AG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AG$4=EDATE(EDATE('核心假设'!$B$5,17+$F7),$D7),SUM('融资租赁与资金缺口'!$D$5:$D$16)*$AD7*'核心假设'!$B$32,0),0))</x:f>
        <x:v>0</x:v>
      </x:c>
      <x:c r="AH19" s="28" t="n">
        <x:f>SUM(IF(AND(AH$4&gt;EDATE('核心假设'!$B$5,0+$F7),AH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AH$4=EDATE(EDATE('核心假设'!$B$5,0+$F7),$D7),SUM('融资租赁与资金缺口'!$D$5:$D$16)*$M7*'核心假设'!$B$32,0),0),IF(AND(AH$4&gt;EDATE('核心假设'!$B$5,1+$F7),AH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AH$4=EDATE(EDATE('核心假设'!$B$5,1+$F7),$D7),SUM('融资租赁与资金缺口'!$D$5:$D$16)*$N7*'核心假设'!$B$32,0),0),IF(AND(AH$4&gt;EDATE('核心假设'!$B$5,2+$F7),AH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AH$4=EDATE(EDATE('核心假设'!$B$5,2+$F7),$D7),SUM('融资租赁与资金缺口'!$D$5:$D$16)*$O7*'核心假设'!$B$32,0),0),IF(AND(AH$4&gt;EDATE('核心假设'!$B$5,3+$F7),AH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AH$4=EDATE(EDATE('核心假设'!$B$5,3+$F7),$D7),SUM('融资租赁与资金缺口'!$D$5:$D$16)*$P7*'核心假设'!$B$32,0),0),IF(AND(AH$4&gt;EDATE('核心假设'!$B$5,4+$F7),AH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AH$4=EDATE(EDATE('核心假设'!$B$5,4+$F7),$D7),SUM('融资租赁与资金缺口'!$D$5:$D$16)*$Q7*'核心假设'!$B$32,0),0),IF(AND(AH$4&gt;EDATE('核心假设'!$B$5,5+$F7),AH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AH$4=EDATE(EDATE('核心假设'!$B$5,5+$F7),$D7),SUM('融资租赁与资金缺口'!$D$5:$D$16)*$R7*'核心假设'!$B$32,0),0),IF(AND(AH$4&gt;EDATE('核心假设'!$B$5,6+$F7),AH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AH$4=EDATE(EDATE('核心假设'!$B$5,6+$F7),$D7),SUM('融资租赁与资金缺口'!$D$5:$D$16)*$S7*'核心假设'!$B$32,0),0),IF(AND(AH$4&gt;EDATE('核心假设'!$B$5,7+$F7),AH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AH$4=EDATE(EDATE('核心假设'!$B$5,7+$F7),$D7),SUM('融资租赁与资金缺口'!$D$5:$D$16)*$T7*'核心假设'!$B$32,0),0),IF(AND(AH$4&gt;EDATE('核心假设'!$B$5,8+$F7),AH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AH$4=EDATE(EDATE('核心假设'!$B$5,8+$F7),$D7),SUM('融资租赁与资金缺口'!$D$5:$D$16)*$U7*'核心假设'!$B$32,0),0),IF(AND(AH$4&gt;EDATE('核心假设'!$B$5,9+$F7),AH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AH$4=EDATE(EDATE('核心假设'!$B$5,9+$F7),$D7),SUM('融资租赁与资金缺口'!$D$5:$D$16)*$V7*'核心假设'!$B$32,0),0),IF(AND(AH$4&gt;EDATE('核心假设'!$B$5,10+$F7),AH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AH$4=EDATE(EDATE('核心假设'!$B$5,10+$F7),$D7),SUM('融资租赁与资金缺口'!$D$5:$D$16)*$W7*'核心假设'!$B$32,0),0),IF(AND(AH$4&gt;EDATE('核心假设'!$B$5,11+$F7),AH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AH$4=EDATE(EDATE('核心假设'!$B$5,11+$F7),$D7),SUM('融资租赁与资金缺口'!$D$5:$D$16)*$X7*'核心假设'!$B$32,0),0),IF(AND(AH$4&gt;EDATE('核心假设'!$B$5,12+$F7),AH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AH$4=EDATE(EDATE('核心假设'!$B$5,12+$F7),$D7),SUM('融资租赁与资金缺口'!$D$5:$D$16)*$Y7*'核心假设'!$B$32,0),0),IF(AND(AH$4&gt;EDATE('核心假设'!$B$5,13+$F7),AH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AH$4=EDATE(EDATE('核心假设'!$B$5,13+$F7),$D7),SUM('融资租赁与资金缺口'!$D$5:$D$16)*$Z7*'核心假设'!$B$32,0),0),IF(AND(AH$4&gt;EDATE('核心假设'!$B$5,14+$F7),AH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AH$4=EDATE(EDATE('核心假设'!$B$5,14+$F7),$D7),SUM('融资租赁与资金缺口'!$D$5:$D$16)*$AA7*'核心假设'!$B$32,0),0),IF(AND(AH$4&gt;EDATE('核心假设'!$B$5,15+$F7),AH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AH$4=EDATE(EDATE('核心假设'!$B$5,15+$F7),$D7),SUM('融资租赁与资金缺口'!$D$5:$D$16)*$AB7*'核心假设'!$B$32,0),0),IF(AND(AH$4&gt;EDATE('核心假设'!$B$5,16+$F7),AH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AH$4=EDATE(EDATE('核心假设'!$B$5,16+$F7),$D7),SUM('融资租赁与资金缺口'!$D$5:$D$16)*$AC7*'核心假设'!$B$32,0),0),IF(AND(AH$4&gt;EDATE('核心假设'!$B$5,17+$F7),AH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AH$4=EDATE(EDATE('核心假设'!$B$5,17+$F7),$D7),SUM('融资租赁与资金缺口'!$D$5:$D$16)*$AD7*'核心假设'!$B$32,0),0))</x:f>
        <x:v>674300.3705302236</x:v>
      </x:c>
      <x:c r="AI19" s="28" t="n">
        <x:f>SUM(IF(AND(AI$4&gt;EDATE('核心假设'!$B$5,0+$F7),AI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AI$4=EDATE(EDATE('核心假设'!$B$5,0+$F7),$D7),SUM('融资租赁与资金缺口'!$D$5:$D$16)*$M7*'核心假设'!$B$32,0),0),IF(AND(AI$4&gt;EDATE('核心假设'!$B$5,1+$F7),AI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AI$4=EDATE(EDATE('核心假设'!$B$5,1+$F7),$D7),SUM('融资租赁与资金缺口'!$D$5:$D$16)*$N7*'核心假设'!$B$32,0),0),IF(AND(AI$4&gt;EDATE('核心假设'!$B$5,2+$F7),AI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AI$4=EDATE(EDATE('核心假设'!$B$5,2+$F7),$D7),SUM('融资租赁与资金缺口'!$D$5:$D$16)*$O7*'核心假设'!$B$32,0),0),IF(AND(AI$4&gt;EDATE('核心假设'!$B$5,3+$F7),AI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AI$4=EDATE(EDATE('核心假设'!$B$5,3+$F7),$D7),SUM('融资租赁与资金缺口'!$D$5:$D$16)*$P7*'核心假设'!$B$32,0),0),IF(AND(AI$4&gt;EDATE('核心假设'!$B$5,4+$F7),AI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AI$4=EDATE(EDATE('核心假设'!$B$5,4+$F7),$D7),SUM('融资租赁与资金缺口'!$D$5:$D$16)*$Q7*'核心假设'!$B$32,0),0),IF(AND(AI$4&gt;EDATE('核心假设'!$B$5,5+$F7),AI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AI$4=EDATE(EDATE('核心假设'!$B$5,5+$F7),$D7),SUM('融资租赁与资金缺口'!$D$5:$D$16)*$R7*'核心假设'!$B$32,0),0),IF(AND(AI$4&gt;EDATE('核心假设'!$B$5,6+$F7),AI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AI$4=EDATE(EDATE('核心假设'!$B$5,6+$F7),$D7),SUM('融资租赁与资金缺口'!$D$5:$D$16)*$S7*'核心假设'!$B$32,0),0),IF(AND(AI$4&gt;EDATE('核心假设'!$B$5,7+$F7),AI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AI$4=EDATE(EDATE('核心假设'!$B$5,7+$F7),$D7),SUM('融资租赁与资金缺口'!$D$5:$D$16)*$T7*'核心假设'!$B$32,0),0),IF(AND(AI$4&gt;EDATE('核心假设'!$B$5,8+$F7),AI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AI$4=EDATE(EDATE('核心假设'!$B$5,8+$F7),$D7),SUM('融资租赁与资金缺口'!$D$5:$D$16)*$U7*'核心假设'!$B$32,0),0),IF(AND(AI$4&gt;EDATE('核心假设'!$B$5,9+$F7),AI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AI$4=EDATE(EDATE('核心假设'!$B$5,9+$F7),$D7),SUM('融资租赁与资金缺口'!$D$5:$D$16)*$V7*'核心假设'!$B$32,0),0),IF(AND(AI$4&gt;EDATE('核心假设'!$B$5,10+$F7),AI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AI$4=EDATE(EDATE('核心假设'!$B$5,10+$F7),$D7),SUM('融资租赁与资金缺口'!$D$5:$D$16)*$W7*'核心假设'!$B$32,0),0),IF(AND(AI$4&gt;EDATE('核心假设'!$B$5,11+$F7),AI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AI$4=EDATE(EDATE('核心假设'!$B$5,11+$F7),$D7),SUM('融资租赁与资金缺口'!$D$5:$D$16)*$X7*'核心假设'!$B$32,0),0),IF(AND(AI$4&gt;EDATE('核心假设'!$B$5,12+$F7),AI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AI$4=EDATE(EDATE('核心假设'!$B$5,12+$F7),$D7),SUM('融资租赁与资金缺口'!$D$5:$D$16)*$Y7*'核心假设'!$B$32,0),0),IF(AND(AI$4&gt;EDATE('核心假设'!$B$5,13+$F7),AI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AI$4=EDATE(EDATE('核心假设'!$B$5,13+$F7),$D7),SUM('融资租赁与资金缺口'!$D$5:$D$16)*$Z7*'核心假设'!$B$32,0),0),IF(AND(AI$4&gt;EDATE('核心假设'!$B$5,14+$F7),AI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AI$4=EDATE(EDATE('核心假设'!$B$5,14+$F7),$D7),SUM('融资租赁与资金缺口'!$D$5:$D$16)*$AA7*'核心假设'!$B$32,0),0),IF(AND(AI$4&gt;EDATE('核心假设'!$B$5,15+$F7),AI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AI$4=EDATE(EDATE('核心假设'!$B$5,15+$F7),$D7),SUM('融资租赁与资金缺口'!$D$5:$D$16)*$AB7*'核心假设'!$B$32,0),0),IF(AND(AI$4&gt;EDATE('核心假设'!$B$5,16+$F7),AI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AI$4=EDATE(EDATE('核心假设'!$B$5,16+$F7),$D7),SUM('融资租赁与资金缺口'!$D$5:$D$16)*$AC7*'核心假设'!$B$32,0),0),IF(AND(AI$4&gt;EDATE('核心假设'!$B$5,17+$F7),AI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AI$4=EDATE(EDATE('核心假设'!$B$5,17+$F7),$D7),SUM('融资租赁与资金缺口'!$D$5:$D$16)*$AD7*'核心假设'!$B$32,0),0))</x:f>
        <x:v>1483460.815166492</x:v>
      </x:c>
      <x:c r="AJ19" s="28" t="n">
        <x:f>SUM(IF(AND(AJ$4&gt;EDATE('核心假设'!$B$5,0+$F7),AJ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AJ$4=EDATE(EDATE('核心假设'!$B$5,0+$F7),$D7),SUM('融资租赁与资金缺口'!$D$5:$D$16)*$M7*'核心假设'!$B$32,0),0),IF(AND(AJ$4&gt;EDATE('核心假设'!$B$5,1+$F7),AJ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AJ$4=EDATE(EDATE('核心假设'!$B$5,1+$F7),$D7),SUM('融资租赁与资金缺口'!$D$5:$D$16)*$N7*'核心假设'!$B$32,0),0),IF(AND(AJ$4&gt;EDATE('核心假设'!$B$5,2+$F7),AJ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AJ$4=EDATE(EDATE('核心假设'!$B$5,2+$F7),$D7),SUM('融资租赁与资金缺口'!$D$5:$D$16)*$O7*'核心假设'!$B$32,0),0),IF(AND(AJ$4&gt;EDATE('核心假设'!$B$5,3+$F7),AJ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AJ$4=EDATE(EDATE('核心假设'!$B$5,3+$F7),$D7),SUM('融资租赁与资金缺口'!$D$5:$D$16)*$P7*'核心假设'!$B$32,0),0),IF(AND(AJ$4&gt;EDATE('核心假设'!$B$5,4+$F7),AJ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AJ$4=EDATE(EDATE('核心假设'!$B$5,4+$F7),$D7),SUM('融资租赁与资金缺口'!$D$5:$D$16)*$Q7*'核心假设'!$B$32,0),0),IF(AND(AJ$4&gt;EDATE('核心假设'!$B$5,5+$F7),AJ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AJ$4=EDATE(EDATE('核心假设'!$B$5,5+$F7),$D7),SUM('融资租赁与资金缺口'!$D$5:$D$16)*$R7*'核心假设'!$B$32,0),0),IF(AND(AJ$4&gt;EDATE('核心假设'!$B$5,6+$F7),AJ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AJ$4=EDATE(EDATE('核心假设'!$B$5,6+$F7),$D7),SUM('融资租赁与资金缺口'!$D$5:$D$16)*$S7*'核心假设'!$B$32,0),0),IF(AND(AJ$4&gt;EDATE('核心假设'!$B$5,7+$F7),AJ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AJ$4=EDATE(EDATE('核心假设'!$B$5,7+$F7),$D7),SUM('融资租赁与资金缺口'!$D$5:$D$16)*$T7*'核心假设'!$B$32,0),0),IF(AND(AJ$4&gt;EDATE('核心假设'!$B$5,8+$F7),AJ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AJ$4=EDATE(EDATE('核心假设'!$B$5,8+$F7),$D7),SUM('融资租赁与资金缺口'!$D$5:$D$16)*$U7*'核心假设'!$B$32,0),0),IF(AND(AJ$4&gt;EDATE('核心假设'!$B$5,9+$F7),AJ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AJ$4=EDATE(EDATE('核心假设'!$B$5,9+$F7),$D7),SUM('融资租赁与资金缺口'!$D$5:$D$16)*$V7*'核心假设'!$B$32,0),0),IF(AND(AJ$4&gt;EDATE('核心假设'!$B$5,10+$F7),AJ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AJ$4=EDATE(EDATE('核心假设'!$B$5,10+$F7),$D7),SUM('融资租赁与资金缺口'!$D$5:$D$16)*$W7*'核心假设'!$B$32,0),0),IF(AND(AJ$4&gt;EDATE('核心假设'!$B$5,11+$F7),AJ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AJ$4=EDATE(EDATE('核心假设'!$B$5,11+$F7),$D7),SUM('融资租赁与资金缺口'!$D$5:$D$16)*$X7*'核心假设'!$B$32,0),0),IF(AND(AJ$4&gt;EDATE('核心假设'!$B$5,12+$F7),AJ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AJ$4=EDATE(EDATE('核心假设'!$B$5,12+$F7),$D7),SUM('融资租赁与资金缺口'!$D$5:$D$16)*$Y7*'核心假设'!$B$32,0),0),IF(AND(AJ$4&gt;EDATE('核心假设'!$B$5,13+$F7),AJ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AJ$4=EDATE(EDATE('核心假设'!$B$5,13+$F7),$D7),SUM('融资租赁与资金缺口'!$D$5:$D$16)*$Z7*'核心假设'!$B$32,0),0),IF(AND(AJ$4&gt;EDATE('核心假设'!$B$5,14+$F7),AJ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AJ$4=EDATE(EDATE('核心假设'!$B$5,14+$F7),$D7),SUM('融资租赁与资金缺口'!$D$5:$D$16)*$AA7*'核心假设'!$B$32,0),0),IF(AND(AJ$4&gt;EDATE('核心假设'!$B$5,15+$F7),AJ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AJ$4=EDATE(EDATE('核心假设'!$B$5,15+$F7),$D7),SUM('融资租赁与资金缺口'!$D$5:$D$16)*$AB7*'核心假设'!$B$32,0),0),IF(AND(AJ$4&gt;EDATE('核心假设'!$B$5,16+$F7),AJ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AJ$4=EDATE(EDATE('核心假设'!$B$5,16+$F7),$D7),SUM('融资租赁与资金缺口'!$D$5:$D$16)*$AC7*'核心假设'!$B$32,0),0),IF(AND(AJ$4&gt;EDATE('核心假设'!$B$5,17+$F7),AJ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AJ$4=EDATE(EDATE('核心假设'!$B$5,17+$F7),$D7),SUM('融资租赁与资金缺口'!$D$5:$D$16)*$AD7*'核心假设'!$B$32,0),0))</x:f>
        <x:v>2427481.3339088047</x:v>
      </x:c>
      <x:c r="AK19" s="28" t="n">
        <x:f>SUM(IF(AND(AK$4&gt;EDATE('核心假设'!$B$5,0+$F7),AK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AK$4=EDATE(EDATE('核心假设'!$B$5,0+$F7),$D7),SUM('融资租赁与资金缺口'!$D$5:$D$16)*$M7*'核心假设'!$B$32,0),0),IF(AND(AK$4&gt;EDATE('核心假设'!$B$5,1+$F7),AK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AK$4=EDATE(EDATE('核心假设'!$B$5,1+$F7),$D7),SUM('融资租赁与资金缺口'!$D$5:$D$16)*$N7*'核心假设'!$B$32,0),0),IF(AND(AK$4&gt;EDATE('核心假设'!$B$5,2+$F7),AK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AK$4=EDATE(EDATE('核心假设'!$B$5,2+$F7),$D7),SUM('融资租赁与资金缺口'!$D$5:$D$16)*$O7*'核心假设'!$B$32,0),0),IF(AND(AK$4&gt;EDATE('核心假设'!$B$5,3+$F7),AK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AK$4=EDATE(EDATE('核心假设'!$B$5,3+$F7),$D7),SUM('融资租赁与资金缺口'!$D$5:$D$16)*$P7*'核心假设'!$B$32,0),0),IF(AND(AK$4&gt;EDATE('核心假设'!$B$5,4+$F7),AK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AK$4=EDATE(EDATE('核心假设'!$B$5,4+$F7),$D7),SUM('融资租赁与资金缺口'!$D$5:$D$16)*$Q7*'核心假设'!$B$32,0),0),IF(AND(AK$4&gt;EDATE('核心假设'!$B$5,5+$F7),AK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AK$4=EDATE(EDATE('核心假设'!$B$5,5+$F7),$D7),SUM('融资租赁与资金缺口'!$D$5:$D$16)*$R7*'核心假设'!$B$32,0),0),IF(AND(AK$4&gt;EDATE('核心假设'!$B$5,6+$F7),AK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AK$4=EDATE(EDATE('核心假设'!$B$5,6+$F7),$D7),SUM('融资租赁与资金缺口'!$D$5:$D$16)*$S7*'核心假设'!$B$32,0),0),IF(AND(AK$4&gt;EDATE('核心假设'!$B$5,7+$F7),AK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AK$4=EDATE(EDATE('核心假设'!$B$5,7+$F7),$D7),SUM('融资租赁与资金缺口'!$D$5:$D$16)*$T7*'核心假设'!$B$32,0),0),IF(AND(AK$4&gt;EDATE('核心假设'!$B$5,8+$F7),AK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AK$4=EDATE(EDATE('核心假设'!$B$5,8+$F7),$D7),SUM('融资租赁与资金缺口'!$D$5:$D$16)*$U7*'核心假设'!$B$32,0),0),IF(AND(AK$4&gt;EDATE('核心假设'!$B$5,9+$F7),AK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AK$4=EDATE(EDATE('核心假设'!$B$5,9+$F7),$D7),SUM('融资租赁与资金缺口'!$D$5:$D$16)*$V7*'核心假设'!$B$32,0),0),IF(AND(AK$4&gt;EDATE('核心假设'!$B$5,10+$F7),AK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AK$4=EDATE(EDATE('核心假设'!$B$5,10+$F7),$D7),SUM('融资租赁与资金缺口'!$D$5:$D$16)*$W7*'核心假设'!$B$32,0),0),IF(AND(AK$4&gt;EDATE('核心假设'!$B$5,11+$F7),AK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AK$4=EDATE(EDATE('核心假设'!$B$5,11+$F7),$D7),SUM('融资租赁与资金缺口'!$D$5:$D$16)*$X7*'核心假设'!$B$32,0),0),IF(AND(AK$4&gt;EDATE('核心假设'!$B$5,12+$F7),AK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AK$4=EDATE(EDATE('核心假设'!$B$5,12+$F7),$D7),SUM('融资租赁与资金缺口'!$D$5:$D$16)*$Y7*'核心假设'!$B$32,0),0),IF(AND(AK$4&gt;EDATE('核心假设'!$B$5,13+$F7),AK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AK$4=EDATE(EDATE('核心假设'!$B$5,13+$F7),$D7),SUM('融资租赁与资金缺口'!$D$5:$D$16)*$Z7*'核心假设'!$B$32,0),0),IF(AND(AK$4&gt;EDATE('核心假设'!$B$5,14+$F7),AK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AK$4=EDATE(EDATE('核心假设'!$B$5,14+$F7),$D7),SUM('融资租赁与资金缺口'!$D$5:$D$16)*$AA7*'核心假设'!$B$32,0),0),IF(AND(AK$4&gt;EDATE('核心假设'!$B$5,15+$F7),AK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AK$4=EDATE(EDATE('核心假设'!$B$5,15+$F7),$D7),SUM('融资租赁与资金缺口'!$D$5:$D$16)*$AB7*'核心假设'!$B$32,0),0),IF(AND(AK$4&gt;EDATE('核心假设'!$B$5,16+$F7),AK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AK$4=EDATE(EDATE('核心假设'!$B$5,16+$F7),$D7),SUM('融资租赁与资金缺口'!$D$5:$D$16)*$AC7*'核心假设'!$B$32,0),0),IF(AND(AK$4&gt;EDATE('核心假设'!$B$5,17+$F7),AK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AK$4=EDATE(EDATE('核心假设'!$B$5,17+$F7),$D7),SUM('融资租赁与资金缺口'!$D$5:$D$16)*$AD7*'核心假设'!$B$32,0),0))</x:f>
        <x:v>3506361.9267571624</x:v>
      </x:c>
      <x:c r="AL19" s="28" t="n">
        <x:f>SUM(IF(AND(AL$4&gt;EDATE('核心假设'!$B$5,0+$F7),AL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AL$4=EDATE(EDATE('核心假设'!$B$5,0+$F7),$D7),SUM('融资租赁与资金缺口'!$D$5:$D$16)*$M7*'核心假设'!$B$32,0),0),IF(AND(AL$4&gt;EDATE('核心假设'!$B$5,1+$F7),AL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AL$4=EDATE(EDATE('核心假设'!$B$5,1+$F7),$D7),SUM('融资租赁与资金缺口'!$D$5:$D$16)*$N7*'核心假设'!$B$32,0),0),IF(AND(AL$4&gt;EDATE('核心假设'!$B$5,2+$F7),AL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AL$4=EDATE(EDATE('核心假设'!$B$5,2+$F7),$D7),SUM('融资租赁与资金缺口'!$D$5:$D$16)*$O7*'核心假设'!$B$32,0),0),IF(AND(AL$4&gt;EDATE('核心假设'!$B$5,3+$F7),AL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AL$4=EDATE(EDATE('核心假设'!$B$5,3+$F7),$D7),SUM('融资租赁与资金缺口'!$D$5:$D$16)*$P7*'核心假设'!$B$32,0),0),IF(AND(AL$4&gt;EDATE('核心假设'!$B$5,4+$F7),AL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AL$4=EDATE(EDATE('核心假设'!$B$5,4+$F7),$D7),SUM('融资租赁与资金缺口'!$D$5:$D$16)*$Q7*'核心假设'!$B$32,0),0),IF(AND(AL$4&gt;EDATE('核心假设'!$B$5,5+$F7),AL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AL$4=EDATE(EDATE('核心假设'!$B$5,5+$F7),$D7),SUM('融资租赁与资金缺口'!$D$5:$D$16)*$R7*'核心假设'!$B$32,0),0),IF(AND(AL$4&gt;EDATE('核心假设'!$B$5,6+$F7),AL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AL$4=EDATE(EDATE('核心假设'!$B$5,6+$F7),$D7),SUM('融资租赁与资金缺口'!$D$5:$D$16)*$S7*'核心假设'!$B$32,0),0),IF(AND(AL$4&gt;EDATE('核心假设'!$B$5,7+$F7),AL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AL$4=EDATE(EDATE('核心假设'!$B$5,7+$F7),$D7),SUM('融资租赁与资金缺口'!$D$5:$D$16)*$T7*'核心假设'!$B$32,0),0),IF(AND(AL$4&gt;EDATE('核心假设'!$B$5,8+$F7),AL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AL$4=EDATE(EDATE('核心假设'!$B$5,8+$F7),$D7),SUM('融资租赁与资金缺口'!$D$5:$D$16)*$U7*'核心假设'!$B$32,0),0),IF(AND(AL$4&gt;EDATE('核心假设'!$B$5,9+$F7),AL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AL$4=EDATE(EDATE('核心假设'!$B$5,9+$F7),$D7),SUM('融资租赁与资金缺口'!$D$5:$D$16)*$V7*'核心假设'!$B$32,0),0),IF(AND(AL$4&gt;EDATE('核心假设'!$B$5,10+$F7),AL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AL$4=EDATE(EDATE('核心假设'!$B$5,10+$F7),$D7),SUM('融资租赁与资金缺口'!$D$5:$D$16)*$W7*'核心假设'!$B$32,0),0),IF(AND(AL$4&gt;EDATE('核心假设'!$B$5,11+$F7),AL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AL$4=EDATE(EDATE('核心假设'!$B$5,11+$F7),$D7),SUM('融资租赁与资金缺口'!$D$5:$D$16)*$X7*'核心假设'!$B$32,0),0),IF(AND(AL$4&gt;EDATE('核心假设'!$B$5,12+$F7),AL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AL$4=EDATE(EDATE('核心假设'!$B$5,12+$F7),$D7),SUM('融资租赁与资金缺口'!$D$5:$D$16)*$Y7*'核心假设'!$B$32,0),0),IF(AND(AL$4&gt;EDATE('核心假设'!$B$5,13+$F7),AL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AL$4=EDATE(EDATE('核心假设'!$B$5,13+$F7),$D7),SUM('融资租赁与资金缺口'!$D$5:$D$16)*$Z7*'核心假设'!$B$32,0),0),IF(AND(AL$4&gt;EDATE('核心假设'!$B$5,14+$F7),AL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AL$4=EDATE(EDATE('核心假设'!$B$5,14+$F7),$D7),SUM('融资租赁与资金缺口'!$D$5:$D$16)*$AA7*'核心假设'!$B$32,0),0),IF(AND(AL$4&gt;EDATE('核心假设'!$B$5,15+$F7),AL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AL$4=EDATE(EDATE('核心假设'!$B$5,15+$F7),$D7),SUM('融资租赁与资金缺口'!$D$5:$D$16)*$AB7*'核心假设'!$B$32,0),0),IF(AND(AL$4&gt;EDATE('核心假设'!$B$5,16+$F7),AL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AL$4=EDATE(EDATE('核心假设'!$B$5,16+$F7),$D7),SUM('融资租赁与资金缺口'!$D$5:$D$16)*$AC7*'核心假设'!$B$32,0),0),IF(AND(AL$4&gt;EDATE('核心假设'!$B$5,17+$F7),AL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AL$4=EDATE(EDATE('核心假设'!$B$5,17+$F7),$D7),SUM('融资租赁与资金缺口'!$D$5:$D$16)*$AD7*'核心假设'!$B$32,0),0))</x:f>
        <x:v>4720102.593711564</x:v>
      </x:c>
      <x:c r="AM19" s="28" t="n">
        <x:f>SUM(IF(AND(AM$4&gt;EDATE('核心假设'!$B$5,0+$F7),AM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AM$4=EDATE(EDATE('核心假设'!$B$5,0+$F7),$D7),SUM('融资租赁与资金缺口'!$D$5:$D$16)*$M7*'核心假设'!$B$32,0),0),IF(AND(AM$4&gt;EDATE('核心假设'!$B$5,1+$F7),AM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AM$4=EDATE(EDATE('核心假设'!$B$5,1+$F7),$D7),SUM('融资租赁与资金缺口'!$D$5:$D$16)*$N7*'核心假设'!$B$32,0),0),IF(AND(AM$4&gt;EDATE('核心假设'!$B$5,2+$F7),AM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AM$4=EDATE(EDATE('核心假设'!$B$5,2+$F7),$D7),SUM('融资租赁与资金缺口'!$D$5:$D$16)*$O7*'核心假设'!$B$32,0),0),IF(AND(AM$4&gt;EDATE('核心假设'!$B$5,3+$F7),AM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AM$4=EDATE(EDATE('核心假设'!$B$5,3+$F7),$D7),SUM('融资租赁与资金缺口'!$D$5:$D$16)*$P7*'核心假设'!$B$32,0),0),IF(AND(AM$4&gt;EDATE('核心假设'!$B$5,4+$F7),AM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AM$4=EDATE(EDATE('核心假设'!$B$5,4+$F7),$D7),SUM('融资租赁与资金缺口'!$D$5:$D$16)*$Q7*'核心假设'!$B$32,0),0),IF(AND(AM$4&gt;EDATE('核心假设'!$B$5,5+$F7),AM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AM$4=EDATE(EDATE('核心假设'!$B$5,5+$F7),$D7),SUM('融资租赁与资金缺口'!$D$5:$D$16)*$R7*'核心假设'!$B$32,0),0),IF(AND(AM$4&gt;EDATE('核心假设'!$B$5,6+$F7),AM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AM$4=EDATE(EDATE('核心假设'!$B$5,6+$F7),$D7),SUM('融资租赁与资金缺口'!$D$5:$D$16)*$S7*'核心假设'!$B$32,0),0),IF(AND(AM$4&gt;EDATE('核心假设'!$B$5,7+$F7),AM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AM$4=EDATE(EDATE('核心假设'!$B$5,7+$F7),$D7),SUM('融资租赁与资金缺口'!$D$5:$D$16)*$T7*'核心假设'!$B$32,0),0),IF(AND(AM$4&gt;EDATE('核心假设'!$B$5,8+$F7),AM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AM$4=EDATE(EDATE('核心假设'!$B$5,8+$F7),$D7),SUM('融资租赁与资金缺口'!$D$5:$D$16)*$U7*'核心假设'!$B$32,0),0),IF(AND(AM$4&gt;EDATE('核心假设'!$B$5,9+$F7),AM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AM$4=EDATE(EDATE('核心假设'!$B$5,9+$F7),$D7),SUM('融资租赁与资金缺口'!$D$5:$D$16)*$V7*'核心假设'!$B$32,0),0),IF(AND(AM$4&gt;EDATE('核心假设'!$B$5,10+$F7),AM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AM$4=EDATE(EDATE('核心假设'!$B$5,10+$F7),$D7),SUM('融资租赁与资金缺口'!$D$5:$D$16)*$W7*'核心假设'!$B$32,0),0),IF(AND(AM$4&gt;EDATE('核心假设'!$B$5,11+$F7),AM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AM$4=EDATE(EDATE('核心假设'!$B$5,11+$F7),$D7),SUM('融资租赁与资金缺口'!$D$5:$D$16)*$X7*'核心假设'!$B$32,0),0),IF(AND(AM$4&gt;EDATE('核心假设'!$B$5,12+$F7),AM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AM$4=EDATE(EDATE('核心假设'!$B$5,12+$F7),$D7),SUM('融资租赁与资金缺口'!$D$5:$D$16)*$Y7*'核心假设'!$B$32,0),0),IF(AND(AM$4&gt;EDATE('核心假设'!$B$5,13+$F7),AM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AM$4=EDATE(EDATE('核心假设'!$B$5,13+$F7),$D7),SUM('融资租赁与资金缺口'!$D$5:$D$16)*$Z7*'核心假设'!$B$32,0),0),IF(AND(AM$4&gt;EDATE('核心假设'!$B$5,14+$F7),AM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AM$4=EDATE(EDATE('核心假设'!$B$5,14+$F7),$D7),SUM('融资租赁与资金缺口'!$D$5:$D$16)*$AA7*'核心假设'!$B$32,0),0),IF(AND(AM$4&gt;EDATE('核心假设'!$B$5,15+$F7),AM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AM$4=EDATE(EDATE('核心假设'!$B$5,15+$F7),$D7),SUM('融资租赁与资金缺口'!$D$5:$D$16)*$AB7*'核心假设'!$B$32,0),0),IF(AND(AM$4&gt;EDATE('核心假设'!$B$5,16+$F7),AM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AM$4=EDATE(EDATE('核心假设'!$B$5,16+$F7),$D7),SUM('融资租赁与资金缺口'!$D$5:$D$16)*$AC7*'核心假设'!$B$32,0),0),IF(AND(AM$4&gt;EDATE('核心假设'!$B$5,17+$F7),AM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AM$4=EDATE(EDATE('核心假设'!$B$5,17+$F7),$D7),SUM('融资租赁与资金缺口'!$D$5:$D$16)*$AD7*'核心假设'!$B$32,0),0))</x:f>
        <x:v>6068703.334772011</x:v>
      </x:c>
      <x:c r="AN19" s="28" t="n">
        <x:f>SUM(IF(AND(AN$4&gt;EDATE('核心假设'!$B$5,0+$F7),AN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AN$4=EDATE(EDATE('核心假设'!$B$5,0+$F7),$D7),SUM('融资租赁与资金缺口'!$D$5:$D$16)*$M7*'核心假设'!$B$32,0),0),IF(AND(AN$4&gt;EDATE('核心假设'!$B$5,1+$F7),AN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AN$4=EDATE(EDATE('核心假设'!$B$5,1+$F7),$D7),SUM('融资租赁与资金缺口'!$D$5:$D$16)*$N7*'核心假设'!$B$32,0),0),IF(AND(AN$4&gt;EDATE('核心假设'!$B$5,2+$F7),AN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AN$4=EDATE(EDATE('核心假设'!$B$5,2+$F7),$D7),SUM('融资租赁与资金缺口'!$D$5:$D$16)*$O7*'核心假设'!$B$32,0),0),IF(AND(AN$4&gt;EDATE('核心假设'!$B$5,3+$F7),AN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AN$4=EDATE(EDATE('核心假设'!$B$5,3+$F7),$D7),SUM('融资租赁与资金缺口'!$D$5:$D$16)*$P7*'核心假设'!$B$32,0),0),IF(AND(AN$4&gt;EDATE('核心假设'!$B$5,4+$F7),AN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AN$4=EDATE(EDATE('核心假设'!$B$5,4+$F7),$D7),SUM('融资租赁与资金缺口'!$D$5:$D$16)*$Q7*'核心假设'!$B$32,0),0),IF(AND(AN$4&gt;EDATE('核心假设'!$B$5,5+$F7),AN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AN$4=EDATE(EDATE('核心假设'!$B$5,5+$F7),$D7),SUM('融资租赁与资金缺口'!$D$5:$D$16)*$R7*'核心假设'!$B$32,0),0),IF(AND(AN$4&gt;EDATE('核心假设'!$B$5,6+$F7),AN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AN$4=EDATE(EDATE('核心假设'!$B$5,6+$F7),$D7),SUM('融资租赁与资金缺口'!$D$5:$D$16)*$S7*'核心假设'!$B$32,0),0),IF(AND(AN$4&gt;EDATE('核心假设'!$B$5,7+$F7),AN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AN$4=EDATE(EDATE('核心假设'!$B$5,7+$F7),$D7),SUM('融资租赁与资金缺口'!$D$5:$D$16)*$T7*'核心假设'!$B$32,0),0),IF(AND(AN$4&gt;EDATE('核心假设'!$B$5,8+$F7),AN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AN$4=EDATE(EDATE('核心假设'!$B$5,8+$F7),$D7),SUM('融资租赁与资金缺口'!$D$5:$D$16)*$U7*'核心假设'!$B$32,0),0),IF(AND(AN$4&gt;EDATE('核心假设'!$B$5,9+$F7),AN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AN$4=EDATE(EDATE('核心假设'!$B$5,9+$F7),$D7),SUM('融资租赁与资金缺口'!$D$5:$D$16)*$V7*'核心假设'!$B$32,0),0),IF(AND(AN$4&gt;EDATE('核心假设'!$B$5,10+$F7),AN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AN$4=EDATE(EDATE('核心假设'!$B$5,10+$F7),$D7),SUM('融资租赁与资金缺口'!$D$5:$D$16)*$W7*'核心假设'!$B$32,0),0),IF(AND(AN$4&gt;EDATE('核心假设'!$B$5,11+$F7),AN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AN$4=EDATE(EDATE('核心假设'!$B$5,11+$F7),$D7),SUM('融资租赁与资金缺口'!$D$5:$D$16)*$X7*'核心假设'!$B$32,0),0),IF(AND(AN$4&gt;EDATE('核心假设'!$B$5,12+$F7),AN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AN$4=EDATE(EDATE('核心假设'!$B$5,12+$F7),$D7),SUM('融资租赁与资金缺口'!$D$5:$D$16)*$Y7*'核心假设'!$B$32,0),0),IF(AND(AN$4&gt;EDATE('核心假设'!$B$5,13+$F7),AN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AN$4=EDATE(EDATE('核心假设'!$B$5,13+$F7),$D7),SUM('融资租赁与资金缺口'!$D$5:$D$16)*$Z7*'核心假设'!$B$32,0),0),IF(AND(AN$4&gt;EDATE('核心假设'!$B$5,14+$F7),AN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AN$4=EDATE(EDATE('核心假设'!$B$5,14+$F7),$D7),SUM('融资租赁与资金缺口'!$D$5:$D$16)*$AA7*'核心假设'!$B$32,0),0),IF(AND(AN$4&gt;EDATE('核心假设'!$B$5,15+$F7),AN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AN$4=EDATE(EDATE('核心假设'!$B$5,15+$F7),$D7),SUM('融资租赁与资金缺口'!$D$5:$D$16)*$AB7*'核心假设'!$B$32,0),0),IF(AND(AN$4&gt;EDATE('核心假设'!$B$5,16+$F7),AN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AN$4=EDATE(EDATE('核心假设'!$B$5,16+$F7),$D7),SUM('融资租赁与资金缺口'!$D$5:$D$16)*$AC7*'核心假设'!$B$32,0),0),IF(AND(AN$4&gt;EDATE('核心假设'!$B$5,17+$F7),AN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AN$4=EDATE(EDATE('核心假设'!$B$5,17+$F7),$D7),SUM('融资租赁与资金缺口'!$D$5:$D$16)*$AD7*'核心假设'!$B$32,0),0))</x:f>
        <x:v>7552164.149938503</x:v>
      </x:c>
      <x:c r="AO19" s="28" t="n">
        <x:f>SUM(IF(AND(AO$4&gt;EDATE('核心假设'!$B$5,0+$F7),AO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AO$4=EDATE(EDATE('核心假设'!$B$5,0+$F7),$D7),SUM('融资租赁与资金缺口'!$D$5:$D$16)*$M7*'核心假设'!$B$32,0),0),IF(AND(AO$4&gt;EDATE('核心假设'!$B$5,1+$F7),AO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AO$4=EDATE(EDATE('核心假设'!$B$5,1+$F7),$D7),SUM('融资租赁与资金缺口'!$D$5:$D$16)*$N7*'核心假设'!$B$32,0),0),IF(AND(AO$4&gt;EDATE('核心假设'!$B$5,2+$F7),AO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AO$4=EDATE(EDATE('核心假设'!$B$5,2+$F7),$D7),SUM('融资租赁与资金缺口'!$D$5:$D$16)*$O7*'核心假设'!$B$32,0),0),IF(AND(AO$4&gt;EDATE('核心假设'!$B$5,3+$F7),AO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AO$4=EDATE(EDATE('核心假设'!$B$5,3+$F7),$D7),SUM('融资租赁与资金缺口'!$D$5:$D$16)*$P7*'核心假设'!$B$32,0),0),IF(AND(AO$4&gt;EDATE('核心假设'!$B$5,4+$F7),AO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AO$4=EDATE(EDATE('核心假设'!$B$5,4+$F7),$D7),SUM('融资租赁与资金缺口'!$D$5:$D$16)*$Q7*'核心假设'!$B$32,0),0),IF(AND(AO$4&gt;EDATE('核心假设'!$B$5,5+$F7),AO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AO$4=EDATE(EDATE('核心假设'!$B$5,5+$F7),$D7),SUM('融资租赁与资金缺口'!$D$5:$D$16)*$R7*'核心假设'!$B$32,0),0),IF(AND(AO$4&gt;EDATE('核心假设'!$B$5,6+$F7),AO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AO$4=EDATE(EDATE('核心假设'!$B$5,6+$F7),$D7),SUM('融资租赁与资金缺口'!$D$5:$D$16)*$S7*'核心假设'!$B$32,0),0),IF(AND(AO$4&gt;EDATE('核心假设'!$B$5,7+$F7),AO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AO$4=EDATE(EDATE('核心假设'!$B$5,7+$F7),$D7),SUM('融资租赁与资金缺口'!$D$5:$D$16)*$T7*'核心假设'!$B$32,0),0),IF(AND(AO$4&gt;EDATE('核心假设'!$B$5,8+$F7),AO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AO$4=EDATE(EDATE('核心假设'!$B$5,8+$F7),$D7),SUM('融资租赁与资金缺口'!$D$5:$D$16)*$U7*'核心假设'!$B$32,0),0),IF(AND(AO$4&gt;EDATE('核心假设'!$B$5,9+$F7),AO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AO$4=EDATE(EDATE('核心假设'!$B$5,9+$F7),$D7),SUM('融资租赁与资金缺口'!$D$5:$D$16)*$V7*'核心假设'!$B$32,0),0),IF(AND(AO$4&gt;EDATE('核心假设'!$B$5,10+$F7),AO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AO$4=EDATE(EDATE('核心假设'!$B$5,10+$F7),$D7),SUM('融资租赁与资金缺口'!$D$5:$D$16)*$W7*'核心假设'!$B$32,0),0),IF(AND(AO$4&gt;EDATE('核心假设'!$B$5,11+$F7),AO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AO$4=EDATE(EDATE('核心假设'!$B$5,11+$F7),$D7),SUM('融资租赁与资金缺口'!$D$5:$D$16)*$X7*'核心假设'!$B$32,0),0),IF(AND(AO$4&gt;EDATE('核心假设'!$B$5,12+$F7),AO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AO$4=EDATE(EDATE('核心假设'!$B$5,12+$F7),$D7),SUM('融资租赁与资金缺口'!$D$5:$D$16)*$Y7*'核心假设'!$B$32,0),0),IF(AND(AO$4&gt;EDATE('核心假设'!$B$5,13+$F7),AO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AO$4=EDATE(EDATE('核心假设'!$B$5,13+$F7),$D7),SUM('融资租赁与资金缺口'!$D$5:$D$16)*$Z7*'核心假设'!$B$32,0),0),IF(AND(AO$4&gt;EDATE('核心假设'!$B$5,14+$F7),AO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AO$4=EDATE(EDATE('核心假设'!$B$5,14+$F7),$D7),SUM('融资租赁与资金缺口'!$D$5:$D$16)*$AA7*'核心假设'!$B$32,0),0),IF(AND(AO$4&gt;EDATE('核心假设'!$B$5,15+$F7),AO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AO$4=EDATE(EDATE('核心假设'!$B$5,15+$F7),$D7),SUM('融资租赁与资金缺口'!$D$5:$D$16)*$AB7*'核心假设'!$B$32,0),0),IF(AND(AO$4&gt;EDATE('核心假设'!$B$5,16+$F7),AO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AO$4=EDATE(EDATE('核心假设'!$B$5,16+$F7),$D7),SUM('融资租赁与资金缺口'!$D$5:$D$16)*$AC7*'核心假设'!$B$32,0),0),IF(AND(AO$4&gt;EDATE('核心假设'!$B$5,17+$F7),AO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AO$4=EDATE(EDATE('核心假设'!$B$5,17+$F7),$D7),SUM('融资租赁与资金缺口'!$D$5:$D$16)*$AD7*'核心假设'!$B$32,0),0))</x:f>
        <x:v>9035624.965104995</x:v>
      </x:c>
      <x:c r="AP19" s="28" t="n">
        <x:f>SUM(IF(AND(AP$4&gt;EDATE('核心假设'!$B$5,0+$F7),AP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AP$4=EDATE(EDATE('核心假设'!$B$5,0+$F7),$D7),SUM('融资租赁与资金缺口'!$D$5:$D$16)*$M7*'核心假设'!$B$32,0),0),IF(AND(AP$4&gt;EDATE('核心假设'!$B$5,1+$F7),AP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AP$4=EDATE(EDATE('核心假设'!$B$5,1+$F7),$D7),SUM('融资租赁与资金缺口'!$D$5:$D$16)*$N7*'核心假设'!$B$32,0),0),IF(AND(AP$4&gt;EDATE('核心假设'!$B$5,2+$F7),AP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AP$4=EDATE(EDATE('核心假设'!$B$5,2+$F7),$D7),SUM('融资租赁与资金缺口'!$D$5:$D$16)*$O7*'核心假设'!$B$32,0),0),IF(AND(AP$4&gt;EDATE('核心假设'!$B$5,3+$F7),AP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AP$4=EDATE(EDATE('核心假设'!$B$5,3+$F7),$D7),SUM('融资租赁与资金缺口'!$D$5:$D$16)*$P7*'核心假设'!$B$32,0),0),IF(AND(AP$4&gt;EDATE('核心假设'!$B$5,4+$F7),AP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AP$4=EDATE(EDATE('核心假设'!$B$5,4+$F7),$D7),SUM('融资租赁与资金缺口'!$D$5:$D$16)*$Q7*'核心假设'!$B$32,0),0),IF(AND(AP$4&gt;EDATE('核心假设'!$B$5,5+$F7),AP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AP$4=EDATE(EDATE('核心假设'!$B$5,5+$F7),$D7),SUM('融资租赁与资金缺口'!$D$5:$D$16)*$R7*'核心假设'!$B$32,0),0),IF(AND(AP$4&gt;EDATE('核心假设'!$B$5,6+$F7),AP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AP$4=EDATE(EDATE('核心假设'!$B$5,6+$F7),$D7),SUM('融资租赁与资金缺口'!$D$5:$D$16)*$S7*'核心假设'!$B$32,0),0),IF(AND(AP$4&gt;EDATE('核心假设'!$B$5,7+$F7),AP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AP$4=EDATE(EDATE('核心假设'!$B$5,7+$F7),$D7),SUM('融资租赁与资金缺口'!$D$5:$D$16)*$T7*'核心假设'!$B$32,0),0),IF(AND(AP$4&gt;EDATE('核心假设'!$B$5,8+$F7),AP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AP$4=EDATE(EDATE('核心假设'!$B$5,8+$F7),$D7),SUM('融资租赁与资金缺口'!$D$5:$D$16)*$U7*'核心假设'!$B$32,0),0),IF(AND(AP$4&gt;EDATE('核心假设'!$B$5,9+$F7),AP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AP$4=EDATE(EDATE('核心假设'!$B$5,9+$F7),$D7),SUM('融资租赁与资金缺口'!$D$5:$D$16)*$V7*'核心假设'!$B$32,0),0),IF(AND(AP$4&gt;EDATE('核心假设'!$B$5,10+$F7),AP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AP$4=EDATE(EDATE('核心假设'!$B$5,10+$F7),$D7),SUM('融资租赁与资金缺口'!$D$5:$D$16)*$W7*'核心假设'!$B$32,0),0),IF(AND(AP$4&gt;EDATE('核心假设'!$B$5,11+$F7),AP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AP$4=EDATE(EDATE('核心假设'!$B$5,11+$F7),$D7),SUM('融资租赁与资金缺口'!$D$5:$D$16)*$X7*'核心假设'!$B$32,0),0),IF(AND(AP$4&gt;EDATE('核心假设'!$B$5,12+$F7),AP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AP$4=EDATE(EDATE('核心假设'!$B$5,12+$F7),$D7),SUM('融资租赁与资金缺口'!$D$5:$D$16)*$Y7*'核心假设'!$B$32,0),0),IF(AND(AP$4&gt;EDATE('核心假设'!$B$5,13+$F7),AP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AP$4=EDATE(EDATE('核心假设'!$B$5,13+$F7),$D7),SUM('融资租赁与资金缺口'!$D$5:$D$16)*$Z7*'核心假设'!$B$32,0),0),IF(AND(AP$4&gt;EDATE('核心假设'!$B$5,14+$F7),AP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AP$4=EDATE(EDATE('核心假设'!$B$5,14+$F7),$D7),SUM('融资租赁与资金缺口'!$D$5:$D$16)*$AA7*'核心假设'!$B$32,0),0),IF(AND(AP$4&gt;EDATE('核心假设'!$B$5,15+$F7),AP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AP$4=EDATE(EDATE('核心假设'!$B$5,15+$F7),$D7),SUM('融资租赁与资金缺口'!$D$5:$D$16)*$AB7*'核心假设'!$B$32,0),0),IF(AND(AP$4&gt;EDATE('核心假设'!$B$5,16+$F7),AP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AP$4=EDATE(EDATE('核心假设'!$B$5,16+$F7),$D7),SUM('融资租赁与资金缺口'!$D$5:$D$16)*$AC7*'核心假设'!$B$32,0),0),IF(AND(AP$4&gt;EDATE('核心假设'!$B$5,17+$F7),AP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AP$4=EDATE(EDATE('核心假设'!$B$5,17+$F7),$D7),SUM('融资租赁与资金缺口'!$D$5:$D$16)*$AD7*'核心假设'!$B$32,0),0))</x:f>
        <x:v>10384225.706165442</x:v>
      </x:c>
      <x:c r="AQ19" s="28" t="n">
        <x:f>SUM(IF(AND(AQ$4&gt;EDATE('核心假设'!$B$5,0+$F7),AQ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AQ$4=EDATE(EDATE('核心假设'!$B$5,0+$F7),$D7),SUM('融资租赁与资金缺口'!$D$5:$D$16)*$M7*'核心假设'!$B$32,0),0),IF(AND(AQ$4&gt;EDATE('核心假设'!$B$5,1+$F7),AQ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AQ$4=EDATE(EDATE('核心假设'!$B$5,1+$F7),$D7),SUM('融资租赁与资金缺口'!$D$5:$D$16)*$N7*'核心假设'!$B$32,0),0),IF(AND(AQ$4&gt;EDATE('核心假设'!$B$5,2+$F7),AQ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AQ$4=EDATE(EDATE('核心假设'!$B$5,2+$F7),$D7),SUM('融资租赁与资金缺口'!$D$5:$D$16)*$O7*'核心假设'!$B$32,0),0),IF(AND(AQ$4&gt;EDATE('核心假设'!$B$5,3+$F7),AQ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AQ$4=EDATE(EDATE('核心假设'!$B$5,3+$F7),$D7),SUM('融资租赁与资金缺口'!$D$5:$D$16)*$P7*'核心假设'!$B$32,0),0),IF(AND(AQ$4&gt;EDATE('核心假设'!$B$5,4+$F7),AQ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AQ$4=EDATE(EDATE('核心假设'!$B$5,4+$F7),$D7),SUM('融资租赁与资金缺口'!$D$5:$D$16)*$Q7*'核心假设'!$B$32,0),0),IF(AND(AQ$4&gt;EDATE('核心假设'!$B$5,5+$F7),AQ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AQ$4=EDATE(EDATE('核心假设'!$B$5,5+$F7),$D7),SUM('融资租赁与资金缺口'!$D$5:$D$16)*$R7*'核心假设'!$B$32,0),0),IF(AND(AQ$4&gt;EDATE('核心假设'!$B$5,6+$F7),AQ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AQ$4=EDATE(EDATE('核心假设'!$B$5,6+$F7),$D7),SUM('融资租赁与资金缺口'!$D$5:$D$16)*$S7*'核心假设'!$B$32,0),0),IF(AND(AQ$4&gt;EDATE('核心假设'!$B$5,7+$F7),AQ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AQ$4=EDATE(EDATE('核心假设'!$B$5,7+$F7),$D7),SUM('融资租赁与资金缺口'!$D$5:$D$16)*$T7*'核心假设'!$B$32,0),0),IF(AND(AQ$4&gt;EDATE('核心假设'!$B$5,8+$F7),AQ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AQ$4=EDATE(EDATE('核心假设'!$B$5,8+$F7),$D7),SUM('融资租赁与资金缺口'!$D$5:$D$16)*$U7*'核心假设'!$B$32,0),0),IF(AND(AQ$4&gt;EDATE('核心假设'!$B$5,9+$F7),AQ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AQ$4=EDATE(EDATE('核心假设'!$B$5,9+$F7),$D7),SUM('融资租赁与资金缺口'!$D$5:$D$16)*$V7*'核心假设'!$B$32,0),0),IF(AND(AQ$4&gt;EDATE('核心假设'!$B$5,10+$F7),AQ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AQ$4=EDATE(EDATE('核心假设'!$B$5,10+$F7),$D7),SUM('融资租赁与资金缺口'!$D$5:$D$16)*$W7*'核心假设'!$B$32,0),0),IF(AND(AQ$4&gt;EDATE('核心假设'!$B$5,11+$F7),AQ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AQ$4=EDATE(EDATE('核心假设'!$B$5,11+$F7),$D7),SUM('融资租赁与资金缺口'!$D$5:$D$16)*$X7*'核心假设'!$B$32,0),0),IF(AND(AQ$4&gt;EDATE('核心假设'!$B$5,12+$F7),AQ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AQ$4=EDATE(EDATE('核心假设'!$B$5,12+$F7),$D7),SUM('融资租赁与资金缺口'!$D$5:$D$16)*$Y7*'核心假设'!$B$32,0),0),IF(AND(AQ$4&gt;EDATE('核心假设'!$B$5,13+$F7),AQ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AQ$4=EDATE(EDATE('核心假设'!$B$5,13+$F7),$D7),SUM('融资租赁与资金缺口'!$D$5:$D$16)*$Z7*'核心假设'!$B$32,0),0),IF(AND(AQ$4&gt;EDATE('核心假设'!$B$5,14+$F7),AQ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AQ$4=EDATE(EDATE('核心假设'!$B$5,14+$F7),$D7),SUM('融资租赁与资金缺口'!$D$5:$D$16)*$AA7*'核心假设'!$B$32,0),0),IF(AND(AQ$4&gt;EDATE('核心假设'!$B$5,15+$F7),AQ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AQ$4=EDATE(EDATE('核心假设'!$B$5,15+$F7),$D7),SUM('融资租赁与资金缺口'!$D$5:$D$16)*$AB7*'核心假设'!$B$32,0),0),IF(AND(AQ$4&gt;EDATE('核心假设'!$B$5,16+$F7),AQ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AQ$4=EDATE(EDATE('核心假设'!$B$5,16+$F7),$D7),SUM('融资租赁与资金缺口'!$D$5:$D$16)*$AC7*'核心假设'!$B$32,0),0),IF(AND(AQ$4&gt;EDATE('核心假设'!$B$5,17+$F7),AQ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AQ$4=EDATE(EDATE('核心假设'!$B$5,17+$F7),$D7),SUM('融资租赁与资金缺口'!$D$5:$D$16)*$AD7*'核心假设'!$B$32,0),0))</x:f>
        <x:v>11597966.373119844</x:v>
      </x:c>
      <x:c r="AR19" s="28" t="n">
        <x:f>SUM(IF(AND(AR$4&gt;EDATE('核心假设'!$B$5,0+$F7),AR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AR$4=EDATE(EDATE('核心假设'!$B$5,0+$F7),$D7),SUM('融资租赁与资金缺口'!$D$5:$D$16)*$M7*'核心假设'!$B$32,0),0),IF(AND(AR$4&gt;EDATE('核心假设'!$B$5,1+$F7),AR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AR$4=EDATE(EDATE('核心假设'!$B$5,1+$F7),$D7),SUM('融资租赁与资金缺口'!$D$5:$D$16)*$N7*'核心假设'!$B$32,0),0),IF(AND(AR$4&gt;EDATE('核心假设'!$B$5,2+$F7),AR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AR$4=EDATE(EDATE('核心假设'!$B$5,2+$F7),$D7),SUM('融资租赁与资金缺口'!$D$5:$D$16)*$O7*'核心假设'!$B$32,0),0),IF(AND(AR$4&gt;EDATE('核心假设'!$B$5,3+$F7),AR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AR$4=EDATE(EDATE('核心假设'!$B$5,3+$F7),$D7),SUM('融资租赁与资金缺口'!$D$5:$D$16)*$P7*'核心假设'!$B$32,0),0),IF(AND(AR$4&gt;EDATE('核心假设'!$B$5,4+$F7),AR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AR$4=EDATE(EDATE('核心假设'!$B$5,4+$F7),$D7),SUM('融资租赁与资金缺口'!$D$5:$D$16)*$Q7*'核心假设'!$B$32,0),0),IF(AND(AR$4&gt;EDATE('核心假设'!$B$5,5+$F7),AR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AR$4=EDATE(EDATE('核心假设'!$B$5,5+$F7),$D7),SUM('融资租赁与资金缺口'!$D$5:$D$16)*$R7*'核心假设'!$B$32,0),0),IF(AND(AR$4&gt;EDATE('核心假设'!$B$5,6+$F7),AR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AR$4=EDATE(EDATE('核心假设'!$B$5,6+$F7),$D7),SUM('融资租赁与资金缺口'!$D$5:$D$16)*$S7*'核心假设'!$B$32,0),0),IF(AND(AR$4&gt;EDATE('核心假设'!$B$5,7+$F7),AR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AR$4=EDATE(EDATE('核心假设'!$B$5,7+$F7),$D7),SUM('融资租赁与资金缺口'!$D$5:$D$16)*$T7*'核心假设'!$B$32,0),0),IF(AND(AR$4&gt;EDATE('核心假设'!$B$5,8+$F7),AR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AR$4=EDATE(EDATE('核心假设'!$B$5,8+$F7),$D7),SUM('融资租赁与资金缺口'!$D$5:$D$16)*$U7*'核心假设'!$B$32,0),0),IF(AND(AR$4&gt;EDATE('核心假设'!$B$5,9+$F7),AR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AR$4=EDATE(EDATE('核心假设'!$B$5,9+$F7),$D7),SUM('融资租赁与资金缺口'!$D$5:$D$16)*$V7*'核心假设'!$B$32,0),0),IF(AND(AR$4&gt;EDATE('核心假设'!$B$5,10+$F7),AR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AR$4=EDATE(EDATE('核心假设'!$B$5,10+$F7),$D7),SUM('融资租赁与资金缺口'!$D$5:$D$16)*$W7*'核心假设'!$B$32,0),0),IF(AND(AR$4&gt;EDATE('核心假设'!$B$5,11+$F7),AR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AR$4=EDATE(EDATE('核心假设'!$B$5,11+$F7),$D7),SUM('融资租赁与资金缺口'!$D$5:$D$16)*$X7*'核心假设'!$B$32,0),0),IF(AND(AR$4&gt;EDATE('核心假设'!$B$5,12+$F7),AR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AR$4=EDATE(EDATE('核心假设'!$B$5,12+$F7),$D7),SUM('融资租赁与资金缺口'!$D$5:$D$16)*$Y7*'核心假设'!$B$32,0),0),IF(AND(AR$4&gt;EDATE('核心假设'!$B$5,13+$F7),AR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AR$4=EDATE(EDATE('核心假设'!$B$5,13+$F7),$D7),SUM('融资租赁与资金缺口'!$D$5:$D$16)*$Z7*'核心假设'!$B$32,0),0),IF(AND(AR$4&gt;EDATE('核心假设'!$B$5,14+$F7),AR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AR$4=EDATE(EDATE('核心假设'!$B$5,14+$F7),$D7),SUM('融资租赁与资金缺口'!$D$5:$D$16)*$AA7*'核心假设'!$B$32,0),0),IF(AND(AR$4&gt;EDATE('核心假设'!$B$5,15+$F7),AR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AR$4=EDATE(EDATE('核心假设'!$B$5,15+$F7),$D7),SUM('融资租赁与资金缺口'!$D$5:$D$16)*$AB7*'核心假设'!$B$32,0),0),IF(AND(AR$4&gt;EDATE('核心假设'!$B$5,16+$F7),AR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AR$4=EDATE(EDATE('核心假设'!$B$5,16+$F7),$D7),SUM('融资租赁与资金缺口'!$D$5:$D$16)*$AC7*'核心假设'!$B$32,0),0),IF(AND(AR$4&gt;EDATE('核心假设'!$B$5,17+$F7),AR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AR$4=EDATE(EDATE('核心假设'!$B$5,17+$F7),$D7),SUM('融资租赁与资金缺口'!$D$5:$D$16)*$AD7*'核心假设'!$B$32,0),0))</x:f>
        <x:v>12676846.965968203</x:v>
      </x:c>
      <x:c r="AS19" s="28" t="n">
        <x:f>SUM(IF(AND(AS$4&gt;EDATE('核心假设'!$B$5,0+$F7),AS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AS$4=EDATE(EDATE('核心假设'!$B$5,0+$F7),$D7),SUM('融资租赁与资金缺口'!$D$5:$D$16)*$M7*'核心假设'!$B$32,0),0),IF(AND(AS$4&gt;EDATE('核心假设'!$B$5,1+$F7),AS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AS$4=EDATE(EDATE('核心假设'!$B$5,1+$F7),$D7),SUM('融资租赁与资金缺口'!$D$5:$D$16)*$N7*'核心假设'!$B$32,0),0),IF(AND(AS$4&gt;EDATE('核心假设'!$B$5,2+$F7),AS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AS$4=EDATE(EDATE('核心假设'!$B$5,2+$F7),$D7),SUM('融资租赁与资金缺口'!$D$5:$D$16)*$O7*'核心假设'!$B$32,0),0),IF(AND(AS$4&gt;EDATE('核心假设'!$B$5,3+$F7),AS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AS$4=EDATE(EDATE('核心假设'!$B$5,3+$F7),$D7),SUM('融资租赁与资金缺口'!$D$5:$D$16)*$P7*'核心假设'!$B$32,0),0),IF(AND(AS$4&gt;EDATE('核心假设'!$B$5,4+$F7),AS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AS$4=EDATE(EDATE('核心假设'!$B$5,4+$F7),$D7),SUM('融资租赁与资金缺口'!$D$5:$D$16)*$Q7*'核心假设'!$B$32,0),0),IF(AND(AS$4&gt;EDATE('核心假设'!$B$5,5+$F7),AS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AS$4=EDATE(EDATE('核心假设'!$B$5,5+$F7),$D7),SUM('融资租赁与资金缺口'!$D$5:$D$16)*$R7*'核心假设'!$B$32,0),0),IF(AND(AS$4&gt;EDATE('核心假设'!$B$5,6+$F7),AS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AS$4=EDATE(EDATE('核心假设'!$B$5,6+$F7),$D7),SUM('融资租赁与资金缺口'!$D$5:$D$16)*$S7*'核心假设'!$B$32,0),0),IF(AND(AS$4&gt;EDATE('核心假设'!$B$5,7+$F7),AS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AS$4=EDATE(EDATE('核心假设'!$B$5,7+$F7),$D7),SUM('融资租赁与资金缺口'!$D$5:$D$16)*$T7*'核心假设'!$B$32,0),0),IF(AND(AS$4&gt;EDATE('核心假设'!$B$5,8+$F7),AS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AS$4=EDATE(EDATE('核心假设'!$B$5,8+$F7),$D7),SUM('融资租赁与资金缺口'!$D$5:$D$16)*$U7*'核心假设'!$B$32,0),0),IF(AND(AS$4&gt;EDATE('核心假设'!$B$5,9+$F7),AS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AS$4=EDATE(EDATE('核心假设'!$B$5,9+$F7),$D7),SUM('融资租赁与资金缺口'!$D$5:$D$16)*$V7*'核心假设'!$B$32,0),0),IF(AND(AS$4&gt;EDATE('核心假设'!$B$5,10+$F7),AS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AS$4=EDATE(EDATE('核心假设'!$B$5,10+$F7),$D7),SUM('融资租赁与资金缺口'!$D$5:$D$16)*$W7*'核心假设'!$B$32,0),0),IF(AND(AS$4&gt;EDATE('核心假设'!$B$5,11+$F7),AS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AS$4=EDATE(EDATE('核心假设'!$B$5,11+$F7),$D7),SUM('融资租赁与资金缺口'!$D$5:$D$16)*$X7*'核心假设'!$B$32,0),0),IF(AND(AS$4&gt;EDATE('核心假设'!$B$5,12+$F7),AS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AS$4=EDATE(EDATE('核心假设'!$B$5,12+$F7),$D7),SUM('融资租赁与资金缺口'!$D$5:$D$16)*$Y7*'核心假设'!$B$32,0),0),IF(AND(AS$4&gt;EDATE('核心假设'!$B$5,13+$F7),AS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AS$4=EDATE(EDATE('核心假设'!$B$5,13+$F7),$D7),SUM('融资租赁与资金缺口'!$D$5:$D$16)*$Z7*'核心假设'!$B$32,0),0),IF(AND(AS$4&gt;EDATE('核心假设'!$B$5,14+$F7),AS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AS$4=EDATE(EDATE('核心假设'!$B$5,14+$F7),$D7),SUM('融资租赁与资金缺口'!$D$5:$D$16)*$AA7*'核心假设'!$B$32,0),0),IF(AND(AS$4&gt;EDATE('核心假设'!$B$5,15+$F7),AS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AS$4=EDATE(EDATE('核心假设'!$B$5,15+$F7),$D7),SUM('融资租赁与资金缺口'!$D$5:$D$16)*$AB7*'核心假设'!$B$32,0),0),IF(AND(AS$4&gt;EDATE('核心假设'!$B$5,16+$F7),AS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AS$4=EDATE(EDATE('核心假设'!$B$5,16+$F7),$D7),SUM('融资租赁与资金缺口'!$D$5:$D$16)*$AC7*'核心假设'!$B$32,0),0),IF(AND(AS$4&gt;EDATE('核心假设'!$B$5,17+$F7),AS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AS$4=EDATE(EDATE('核心假设'!$B$5,17+$F7),$D7),SUM('融资租赁与资金缺口'!$D$5:$D$16)*$AD7*'核心假设'!$B$32,0),0))</x:f>
        <x:v>13486007.410604471</x:v>
      </x:c>
      <x:c r="AT19" s="28" t="n">
        <x:f>SUM(IF(AND(AT$4&gt;EDATE('核心假设'!$B$5,0+$F7),AT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AT$4=EDATE(EDATE('核心假设'!$B$5,0+$F7),$D7),SUM('融资租赁与资金缺口'!$D$5:$D$16)*$M7*'核心假设'!$B$32,0),0),IF(AND(AT$4&gt;EDATE('核心假设'!$B$5,1+$F7),AT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AT$4=EDATE(EDATE('核心假设'!$B$5,1+$F7),$D7),SUM('融资租赁与资金缺口'!$D$5:$D$16)*$N7*'核心假设'!$B$32,0),0),IF(AND(AT$4&gt;EDATE('核心假设'!$B$5,2+$F7),AT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AT$4=EDATE(EDATE('核心假设'!$B$5,2+$F7),$D7),SUM('融资租赁与资金缺口'!$D$5:$D$16)*$O7*'核心假设'!$B$32,0),0),IF(AND(AT$4&gt;EDATE('核心假设'!$B$5,3+$F7),AT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AT$4=EDATE(EDATE('核心假设'!$B$5,3+$F7),$D7),SUM('融资租赁与资金缺口'!$D$5:$D$16)*$P7*'核心假设'!$B$32,0),0),IF(AND(AT$4&gt;EDATE('核心假设'!$B$5,4+$F7),AT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AT$4=EDATE(EDATE('核心假设'!$B$5,4+$F7),$D7),SUM('融资租赁与资金缺口'!$D$5:$D$16)*$Q7*'核心假设'!$B$32,0),0),IF(AND(AT$4&gt;EDATE('核心假设'!$B$5,5+$F7),AT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AT$4=EDATE(EDATE('核心假设'!$B$5,5+$F7),$D7),SUM('融资租赁与资金缺口'!$D$5:$D$16)*$R7*'核心假设'!$B$32,0),0),IF(AND(AT$4&gt;EDATE('核心假设'!$B$5,6+$F7),AT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AT$4=EDATE(EDATE('核心假设'!$B$5,6+$F7),$D7),SUM('融资租赁与资金缺口'!$D$5:$D$16)*$S7*'核心假设'!$B$32,0),0),IF(AND(AT$4&gt;EDATE('核心假设'!$B$5,7+$F7),AT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AT$4=EDATE(EDATE('核心假设'!$B$5,7+$F7),$D7),SUM('融资租赁与资金缺口'!$D$5:$D$16)*$T7*'核心假设'!$B$32,0),0),IF(AND(AT$4&gt;EDATE('核心假设'!$B$5,8+$F7),AT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AT$4=EDATE(EDATE('核心假设'!$B$5,8+$F7),$D7),SUM('融资租赁与资金缺口'!$D$5:$D$16)*$U7*'核心假设'!$B$32,0),0),IF(AND(AT$4&gt;EDATE('核心假设'!$B$5,9+$F7),AT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AT$4=EDATE(EDATE('核心假设'!$B$5,9+$F7),$D7),SUM('融资租赁与资金缺口'!$D$5:$D$16)*$V7*'核心假设'!$B$32,0),0),IF(AND(AT$4&gt;EDATE('核心假设'!$B$5,10+$F7),AT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AT$4=EDATE(EDATE('核心假设'!$B$5,10+$F7),$D7),SUM('融资租赁与资金缺口'!$D$5:$D$16)*$W7*'核心假设'!$B$32,0),0),IF(AND(AT$4&gt;EDATE('核心假设'!$B$5,11+$F7),AT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AT$4=EDATE(EDATE('核心假设'!$B$5,11+$F7),$D7),SUM('融资租赁与资金缺口'!$D$5:$D$16)*$X7*'核心假设'!$B$32,0),0),IF(AND(AT$4&gt;EDATE('核心假设'!$B$5,12+$F7),AT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AT$4=EDATE(EDATE('核心假设'!$B$5,12+$F7),$D7),SUM('融资租赁与资金缺口'!$D$5:$D$16)*$Y7*'核心假设'!$B$32,0),0),IF(AND(AT$4&gt;EDATE('核心假设'!$B$5,13+$F7),AT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AT$4=EDATE(EDATE('核心假设'!$B$5,13+$F7),$D7),SUM('融资租赁与资金缺口'!$D$5:$D$16)*$Z7*'核心假设'!$B$32,0),0),IF(AND(AT$4&gt;EDATE('核心假设'!$B$5,14+$F7),AT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AT$4=EDATE(EDATE('核心假设'!$B$5,14+$F7),$D7),SUM('融资租赁与资金缺口'!$D$5:$D$16)*$AA7*'核心假设'!$B$32,0),0),IF(AND(AT$4&gt;EDATE('核心假设'!$B$5,15+$F7),AT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AT$4=EDATE(EDATE('核心假设'!$B$5,15+$F7),$D7),SUM('融资租赁与资金缺口'!$D$5:$D$16)*$AB7*'核心假设'!$B$32,0),0),IF(AND(AT$4&gt;EDATE('核心假设'!$B$5,16+$F7),AT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AT$4=EDATE(EDATE('核心假设'!$B$5,16+$F7),$D7),SUM('融资租赁与资金缺口'!$D$5:$D$16)*$AC7*'核心假设'!$B$32,0),0),IF(AND(AT$4&gt;EDATE('核心假设'!$B$5,17+$F7),AT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AT$4=EDATE(EDATE('核心假设'!$B$5,17+$F7),$D7),SUM('融资租赁与资金缺口'!$D$5:$D$16)*$AD7*'核心假设'!$B$32,0),0))</x:f>
        <x:v>13486007.410604471</x:v>
      </x:c>
      <x:c r="AU19" s="28" t="n">
        <x:f>SUM(IF(AND(AU$4&gt;EDATE('核心假设'!$B$5,0+$F7),AU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AU$4=EDATE(EDATE('核心假设'!$B$5,0+$F7),$D7),SUM('融资租赁与资金缺口'!$D$5:$D$16)*$M7*'核心假设'!$B$32,0),0),IF(AND(AU$4&gt;EDATE('核心假设'!$B$5,1+$F7),AU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AU$4=EDATE(EDATE('核心假设'!$B$5,1+$F7),$D7),SUM('融资租赁与资金缺口'!$D$5:$D$16)*$N7*'核心假设'!$B$32,0),0),IF(AND(AU$4&gt;EDATE('核心假设'!$B$5,2+$F7),AU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AU$4=EDATE(EDATE('核心假设'!$B$5,2+$F7),$D7),SUM('融资租赁与资金缺口'!$D$5:$D$16)*$O7*'核心假设'!$B$32,0),0),IF(AND(AU$4&gt;EDATE('核心假设'!$B$5,3+$F7),AU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AU$4=EDATE(EDATE('核心假设'!$B$5,3+$F7),$D7),SUM('融资租赁与资金缺口'!$D$5:$D$16)*$P7*'核心假设'!$B$32,0),0),IF(AND(AU$4&gt;EDATE('核心假设'!$B$5,4+$F7),AU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AU$4=EDATE(EDATE('核心假设'!$B$5,4+$F7),$D7),SUM('融资租赁与资金缺口'!$D$5:$D$16)*$Q7*'核心假设'!$B$32,0),0),IF(AND(AU$4&gt;EDATE('核心假设'!$B$5,5+$F7),AU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AU$4=EDATE(EDATE('核心假设'!$B$5,5+$F7),$D7),SUM('融资租赁与资金缺口'!$D$5:$D$16)*$R7*'核心假设'!$B$32,0),0),IF(AND(AU$4&gt;EDATE('核心假设'!$B$5,6+$F7),AU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AU$4=EDATE(EDATE('核心假设'!$B$5,6+$F7),$D7),SUM('融资租赁与资金缺口'!$D$5:$D$16)*$S7*'核心假设'!$B$32,0),0),IF(AND(AU$4&gt;EDATE('核心假设'!$B$5,7+$F7),AU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AU$4=EDATE(EDATE('核心假设'!$B$5,7+$F7),$D7),SUM('融资租赁与资金缺口'!$D$5:$D$16)*$T7*'核心假设'!$B$32,0),0),IF(AND(AU$4&gt;EDATE('核心假设'!$B$5,8+$F7),AU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AU$4=EDATE(EDATE('核心假设'!$B$5,8+$F7),$D7),SUM('融资租赁与资金缺口'!$D$5:$D$16)*$U7*'核心假设'!$B$32,0),0),IF(AND(AU$4&gt;EDATE('核心假设'!$B$5,9+$F7),AU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AU$4=EDATE(EDATE('核心假设'!$B$5,9+$F7),$D7),SUM('融资租赁与资金缺口'!$D$5:$D$16)*$V7*'核心假设'!$B$32,0),0),IF(AND(AU$4&gt;EDATE('核心假设'!$B$5,10+$F7),AU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AU$4=EDATE(EDATE('核心假设'!$B$5,10+$F7),$D7),SUM('融资租赁与资金缺口'!$D$5:$D$16)*$W7*'核心假设'!$B$32,0),0),IF(AND(AU$4&gt;EDATE('核心假设'!$B$5,11+$F7),AU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AU$4=EDATE(EDATE('核心假设'!$B$5,11+$F7),$D7),SUM('融资租赁与资金缺口'!$D$5:$D$16)*$X7*'核心假设'!$B$32,0),0),IF(AND(AU$4&gt;EDATE('核心假设'!$B$5,12+$F7),AU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AU$4=EDATE(EDATE('核心假设'!$B$5,12+$F7),$D7),SUM('融资租赁与资金缺口'!$D$5:$D$16)*$Y7*'核心假设'!$B$32,0),0),IF(AND(AU$4&gt;EDATE('核心假设'!$B$5,13+$F7),AU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AU$4=EDATE(EDATE('核心假设'!$B$5,13+$F7),$D7),SUM('融资租赁与资金缺口'!$D$5:$D$16)*$Z7*'核心假设'!$B$32,0),0),IF(AND(AU$4&gt;EDATE('核心假设'!$B$5,14+$F7),AU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AU$4=EDATE(EDATE('核心假设'!$B$5,14+$F7),$D7),SUM('融资租赁与资金缺口'!$D$5:$D$16)*$AA7*'核心假设'!$B$32,0),0),IF(AND(AU$4&gt;EDATE('核心假设'!$B$5,15+$F7),AU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AU$4=EDATE(EDATE('核心假设'!$B$5,15+$F7),$D7),SUM('融资租赁与资金缺口'!$D$5:$D$16)*$AB7*'核心假设'!$B$32,0),0),IF(AND(AU$4&gt;EDATE('核心假设'!$B$5,16+$F7),AU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AU$4=EDATE(EDATE('核心假设'!$B$5,16+$F7),$D7),SUM('融资租赁与资金缺口'!$D$5:$D$16)*$AC7*'核心假设'!$B$32,0),0),IF(AND(AU$4&gt;EDATE('核心假设'!$B$5,17+$F7),AU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AU$4=EDATE(EDATE('核心假设'!$B$5,17+$F7),$D7),SUM('融资租赁与资金缺口'!$D$5:$D$16)*$AD7*'核心假设'!$B$32,0),0))</x:f>
        <x:v>13486007.410604471</x:v>
      </x:c>
      <x:c r="AV19" s="28" t="n">
        <x:f>SUM(IF(AND(AV$4&gt;EDATE('核心假设'!$B$5,0+$F7),AV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AV$4=EDATE(EDATE('核心假设'!$B$5,0+$F7),$D7),SUM('融资租赁与资金缺口'!$D$5:$D$16)*$M7*'核心假设'!$B$32,0),0),IF(AND(AV$4&gt;EDATE('核心假设'!$B$5,1+$F7),AV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AV$4=EDATE(EDATE('核心假设'!$B$5,1+$F7),$D7),SUM('融资租赁与资金缺口'!$D$5:$D$16)*$N7*'核心假设'!$B$32,0),0),IF(AND(AV$4&gt;EDATE('核心假设'!$B$5,2+$F7),AV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AV$4=EDATE(EDATE('核心假设'!$B$5,2+$F7),$D7),SUM('融资租赁与资金缺口'!$D$5:$D$16)*$O7*'核心假设'!$B$32,0),0),IF(AND(AV$4&gt;EDATE('核心假设'!$B$5,3+$F7),AV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AV$4=EDATE(EDATE('核心假设'!$B$5,3+$F7),$D7),SUM('融资租赁与资金缺口'!$D$5:$D$16)*$P7*'核心假设'!$B$32,0),0),IF(AND(AV$4&gt;EDATE('核心假设'!$B$5,4+$F7),AV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AV$4=EDATE(EDATE('核心假设'!$B$5,4+$F7),$D7),SUM('融资租赁与资金缺口'!$D$5:$D$16)*$Q7*'核心假设'!$B$32,0),0),IF(AND(AV$4&gt;EDATE('核心假设'!$B$5,5+$F7),AV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AV$4=EDATE(EDATE('核心假设'!$B$5,5+$F7),$D7),SUM('融资租赁与资金缺口'!$D$5:$D$16)*$R7*'核心假设'!$B$32,0),0),IF(AND(AV$4&gt;EDATE('核心假设'!$B$5,6+$F7),AV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AV$4=EDATE(EDATE('核心假设'!$B$5,6+$F7),$D7),SUM('融资租赁与资金缺口'!$D$5:$D$16)*$S7*'核心假设'!$B$32,0),0),IF(AND(AV$4&gt;EDATE('核心假设'!$B$5,7+$F7),AV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AV$4=EDATE(EDATE('核心假设'!$B$5,7+$F7),$D7),SUM('融资租赁与资金缺口'!$D$5:$D$16)*$T7*'核心假设'!$B$32,0),0),IF(AND(AV$4&gt;EDATE('核心假设'!$B$5,8+$F7),AV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AV$4=EDATE(EDATE('核心假设'!$B$5,8+$F7),$D7),SUM('融资租赁与资金缺口'!$D$5:$D$16)*$U7*'核心假设'!$B$32,0),0),IF(AND(AV$4&gt;EDATE('核心假设'!$B$5,9+$F7),AV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AV$4=EDATE(EDATE('核心假设'!$B$5,9+$F7),$D7),SUM('融资租赁与资金缺口'!$D$5:$D$16)*$V7*'核心假设'!$B$32,0),0),IF(AND(AV$4&gt;EDATE('核心假设'!$B$5,10+$F7),AV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AV$4=EDATE(EDATE('核心假设'!$B$5,10+$F7),$D7),SUM('融资租赁与资金缺口'!$D$5:$D$16)*$W7*'核心假设'!$B$32,0),0),IF(AND(AV$4&gt;EDATE('核心假设'!$B$5,11+$F7),AV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AV$4=EDATE(EDATE('核心假设'!$B$5,11+$F7),$D7),SUM('融资租赁与资金缺口'!$D$5:$D$16)*$X7*'核心假设'!$B$32,0),0),IF(AND(AV$4&gt;EDATE('核心假设'!$B$5,12+$F7),AV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AV$4=EDATE(EDATE('核心假设'!$B$5,12+$F7),$D7),SUM('融资租赁与资金缺口'!$D$5:$D$16)*$Y7*'核心假设'!$B$32,0),0),IF(AND(AV$4&gt;EDATE('核心假设'!$B$5,13+$F7),AV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AV$4=EDATE(EDATE('核心假设'!$B$5,13+$F7),$D7),SUM('融资租赁与资金缺口'!$D$5:$D$16)*$Z7*'核心假设'!$B$32,0),0),IF(AND(AV$4&gt;EDATE('核心假设'!$B$5,14+$F7),AV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AV$4=EDATE(EDATE('核心假设'!$B$5,14+$F7),$D7),SUM('融资租赁与资金缺口'!$D$5:$D$16)*$AA7*'核心假设'!$B$32,0),0),IF(AND(AV$4&gt;EDATE('核心假设'!$B$5,15+$F7),AV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AV$4=EDATE(EDATE('核心假设'!$B$5,15+$F7),$D7),SUM('融资租赁与资金缺口'!$D$5:$D$16)*$AB7*'核心假设'!$B$32,0),0),IF(AND(AV$4&gt;EDATE('核心假设'!$B$5,16+$F7),AV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AV$4=EDATE(EDATE('核心假设'!$B$5,16+$F7),$D7),SUM('融资租赁与资金缺口'!$D$5:$D$16)*$AC7*'核心假设'!$B$32,0),0),IF(AND(AV$4&gt;EDATE('核心假设'!$B$5,17+$F7),AV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AV$4=EDATE(EDATE('核心假设'!$B$5,17+$F7),$D7),SUM('融资租赁与资金缺口'!$D$5:$D$16)*$AD7*'核心假设'!$B$32,0),0))</x:f>
        <x:v>13486007.410604471</x:v>
      </x:c>
      <x:c r="AW19" s="28" t="n">
        <x:f>SUM(IF(AND(AW$4&gt;EDATE('核心假设'!$B$5,0+$F7),AW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AW$4=EDATE(EDATE('核心假设'!$B$5,0+$F7),$D7),SUM('融资租赁与资金缺口'!$D$5:$D$16)*$M7*'核心假设'!$B$32,0),0),IF(AND(AW$4&gt;EDATE('核心假设'!$B$5,1+$F7),AW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AW$4=EDATE(EDATE('核心假设'!$B$5,1+$F7),$D7),SUM('融资租赁与资金缺口'!$D$5:$D$16)*$N7*'核心假设'!$B$32,0),0),IF(AND(AW$4&gt;EDATE('核心假设'!$B$5,2+$F7),AW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AW$4=EDATE(EDATE('核心假设'!$B$5,2+$F7),$D7),SUM('融资租赁与资金缺口'!$D$5:$D$16)*$O7*'核心假设'!$B$32,0),0),IF(AND(AW$4&gt;EDATE('核心假设'!$B$5,3+$F7),AW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AW$4=EDATE(EDATE('核心假设'!$B$5,3+$F7),$D7),SUM('融资租赁与资金缺口'!$D$5:$D$16)*$P7*'核心假设'!$B$32,0),0),IF(AND(AW$4&gt;EDATE('核心假设'!$B$5,4+$F7),AW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AW$4=EDATE(EDATE('核心假设'!$B$5,4+$F7),$D7),SUM('融资租赁与资金缺口'!$D$5:$D$16)*$Q7*'核心假设'!$B$32,0),0),IF(AND(AW$4&gt;EDATE('核心假设'!$B$5,5+$F7),AW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AW$4=EDATE(EDATE('核心假设'!$B$5,5+$F7),$D7),SUM('融资租赁与资金缺口'!$D$5:$D$16)*$R7*'核心假设'!$B$32,0),0),IF(AND(AW$4&gt;EDATE('核心假设'!$B$5,6+$F7),AW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AW$4=EDATE(EDATE('核心假设'!$B$5,6+$F7),$D7),SUM('融资租赁与资金缺口'!$D$5:$D$16)*$S7*'核心假设'!$B$32,0),0),IF(AND(AW$4&gt;EDATE('核心假设'!$B$5,7+$F7),AW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AW$4=EDATE(EDATE('核心假设'!$B$5,7+$F7),$D7),SUM('融资租赁与资金缺口'!$D$5:$D$16)*$T7*'核心假设'!$B$32,0),0),IF(AND(AW$4&gt;EDATE('核心假设'!$B$5,8+$F7),AW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AW$4=EDATE(EDATE('核心假设'!$B$5,8+$F7),$D7),SUM('融资租赁与资金缺口'!$D$5:$D$16)*$U7*'核心假设'!$B$32,0),0),IF(AND(AW$4&gt;EDATE('核心假设'!$B$5,9+$F7),AW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AW$4=EDATE(EDATE('核心假设'!$B$5,9+$F7),$D7),SUM('融资租赁与资金缺口'!$D$5:$D$16)*$V7*'核心假设'!$B$32,0),0),IF(AND(AW$4&gt;EDATE('核心假设'!$B$5,10+$F7),AW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AW$4=EDATE(EDATE('核心假设'!$B$5,10+$F7),$D7),SUM('融资租赁与资金缺口'!$D$5:$D$16)*$W7*'核心假设'!$B$32,0),0),IF(AND(AW$4&gt;EDATE('核心假设'!$B$5,11+$F7),AW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AW$4=EDATE(EDATE('核心假设'!$B$5,11+$F7),$D7),SUM('融资租赁与资金缺口'!$D$5:$D$16)*$X7*'核心假设'!$B$32,0),0),IF(AND(AW$4&gt;EDATE('核心假设'!$B$5,12+$F7),AW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AW$4=EDATE(EDATE('核心假设'!$B$5,12+$F7),$D7),SUM('融资租赁与资金缺口'!$D$5:$D$16)*$Y7*'核心假设'!$B$32,0),0),IF(AND(AW$4&gt;EDATE('核心假设'!$B$5,13+$F7),AW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AW$4=EDATE(EDATE('核心假设'!$B$5,13+$F7),$D7),SUM('融资租赁与资金缺口'!$D$5:$D$16)*$Z7*'核心假设'!$B$32,0),0),IF(AND(AW$4&gt;EDATE('核心假设'!$B$5,14+$F7),AW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AW$4=EDATE(EDATE('核心假设'!$B$5,14+$F7),$D7),SUM('融资租赁与资金缺口'!$D$5:$D$16)*$AA7*'核心假设'!$B$32,0),0),IF(AND(AW$4&gt;EDATE('核心假设'!$B$5,15+$F7),AW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AW$4=EDATE(EDATE('核心假设'!$B$5,15+$F7),$D7),SUM('融资租赁与资金缺口'!$D$5:$D$16)*$AB7*'核心假设'!$B$32,0),0),IF(AND(AW$4&gt;EDATE('核心假设'!$B$5,16+$F7),AW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AW$4=EDATE(EDATE('核心假设'!$B$5,16+$F7),$D7),SUM('融资租赁与资金缺口'!$D$5:$D$16)*$AC7*'核心假设'!$B$32,0),0),IF(AND(AW$4&gt;EDATE('核心假设'!$B$5,17+$F7),AW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AW$4=EDATE(EDATE('核心假设'!$B$5,17+$F7),$D7),SUM('融资租赁与资金缺口'!$D$5:$D$16)*$AD7*'核心假设'!$B$32,0),0))</x:f>
        <x:v>13486007.410604471</x:v>
      </x:c>
      <x:c r="AX19" s="28" t="n">
        <x:f>SUM(IF(AND(AX$4&gt;EDATE('核心假设'!$B$5,0+$F7),AX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AX$4=EDATE(EDATE('核心假设'!$B$5,0+$F7),$D7),SUM('融资租赁与资金缺口'!$D$5:$D$16)*$M7*'核心假设'!$B$32,0),0),IF(AND(AX$4&gt;EDATE('核心假设'!$B$5,1+$F7),AX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AX$4=EDATE(EDATE('核心假设'!$B$5,1+$F7),$D7),SUM('融资租赁与资金缺口'!$D$5:$D$16)*$N7*'核心假设'!$B$32,0),0),IF(AND(AX$4&gt;EDATE('核心假设'!$B$5,2+$F7),AX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AX$4=EDATE(EDATE('核心假设'!$B$5,2+$F7),$D7),SUM('融资租赁与资金缺口'!$D$5:$D$16)*$O7*'核心假设'!$B$32,0),0),IF(AND(AX$4&gt;EDATE('核心假设'!$B$5,3+$F7),AX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AX$4=EDATE(EDATE('核心假设'!$B$5,3+$F7),$D7),SUM('融资租赁与资金缺口'!$D$5:$D$16)*$P7*'核心假设'!$B$32,0),0),IF(AND(AX$4&gt;EDATE('核心假设'!$B$5,4+$F7),AX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AX$4=EDATE(EDATE('核心假设'!$B$5,4+$F7),$D7),SUM('融资租赁与资金缺口'!$D$5:$D$16)*$Q7*'核心假设'!$B$32,0),0),IF(AND(AX$4&gt;EDATE('核心假设'!$B$5,5+$F7),AX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AX$4=EDATE(EDATE('核心假设'!$B$5,5+$F7),$D7),SUM('融资租赁与资金缺口'!$D$5:$D$16)*$R7*'核心假设'!$B$32,0),0),IF(AND(AX$4&gt;EDATE('核心假设'!$B$5,6+$F7),AX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AX$4=EDATE(EDATE('核心假设'!$B$5,6+$F7),$D7),SUM('融资租赁与资金缺口'!$D$5:$D$16)*$S7*'核心假设'!$B$32,0),0),IF(AND(AX$4&gt;EDATE('核心假设'!$B$5,7+$F7),AX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AX$4=EDATE(EDATE('核心假设'!$B$5,7+$F7),$D7),SUM('融资租赁与资金缺口'!$D$5:$D$16)*$T7*'核心假设'!$B$32,0),0),IF(AND(AX$4&gt;EDATE('核心假设'!$B$5,8+$F7),AX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AX$4=EDATE(EDATE('核心假设'!$B$5,8+$F7),$D7),SUM('融资租赁与资金缺口'!$D$5:$D$16)*$U7*'核心假设'!$B$32,0),0),IF(AND(AX$4&gt;EDATE('核心假设'!$B$5,9+$F7),AX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AX$4=EDATE(EDATE('核心假设'!$B$5,9+$F7),$D7),SUM('融资租赁与资金缺口'!$D$5:$D$16)*$V7*'核心假设'!$B$32,0),0),IF(AND(AX$4&gt;EDATE('核心假设'!$B$5,10+$F7),AX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AX$4=EDATE(EDATE('核心假设'!$B$5,10+$F7),$D7),SUM('融资租赁与资金缺口'!$D$5:$D$16)*$W7*'核心假设'!$B$32,0),0),IF(AND(AX$4&gt;EDATE('核心假设'!$B$5,11+$F7),AX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AX$4=EDATE(EDATE('核心假设'!$B$5,11+$F7),$D7),SUM('融资租赁与资金缺口'!$D$5:$D$16)*$X7*'核心假设'!$B$32,0),0),IF(AND(AX$4&gt;EDATE('核心假设'!$B$5,12+$F7),AX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AX$4=EDATE(EDATE('核心假设'!$B$5,12+$F7),$D7),SUM('融资租赁与资金缺口'!$D$5:$D$16)*$Y7*'核心假设'!$B$32,0),0),IF(AND(AX$4&gt;EDATE('核心假设'!$B$5,13+$F7),AX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AX$4=EDATE(EDATE('核心假设'!$B$5,13+$F7),$D7),SUM('融资租赁与资金缺口'!$D$5:$D$16)*$Z7*'核心假设'!$B$32,0),0),IF(AND(AX$4&gt;EDATE('核心假设'!$B$5,14+$F7),AX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AX$4=EDATE(EDATE('核心假设'!$B$5,14+$F7),$D7),SUM('融资租赁与资金缺口'!$D$5:$D$16)*$AA7*'核心假设'!$B$32,0),0),IF(AND(AX$4&gt;EDATE('核心假设'!$B$5,15+$F7),AX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AX$4=EDATE(EDATE('核心假设'!$B$5,15+$F7),$D7),SUM('融资租赁与资金缺口'!$D$5:$D$16)*$AB7*'核心假设'!$B$32,0),0),IF(AND(AX$4&gt;EDATE('核心假设'!$B$5,16+$F7),AX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AX$4=EDATE(EDATE('核心假设'!$B$5,16+$F7),$D7),SUM('融资租赁与资金缺口'!$D$5:$D$16)*$AC7*'核心假设'!$B$32,0),0),IF(AND(AX$4&gt;EDATE('核心假设'!$B$5,17+$F7),AX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AX$4=EDATE(EDATE('核心假设'!$B$5,17+$F7),$D7),SUM('融资租赁与资金缺口'!$D$5:$D$16)*$AD7*'核心假设'!$B$32,0),0))</x:f>
        <x:v>13486007.410604471</x:v>
      </x:c>
      <x:c r="AY19" s="28" t="n">
        <x:f>SUM(IF(AND(AY$4&gt;EDATE('核心假设'!$B$5,0+$F7),AY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AY$4=EDATE(EDATE('核心假设'!$B$5,0+$F7),$D7),SUM('融资租赁与资金缺口'!$D$5:$D$16)*$M7*'核心假设'!$B$32,0),0),IF(AND(AY$4&gt;EDATE('核心假设'!$B$5,1+$F7),AY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AY$4=EDATE(EDATE('核心假设'!$B$5,1+$F7),$D7),SUM('融资租赁与资金缺口'!$D$5:$D$16)*$N7*'核心假设'!$B$32,0),0),IF(AND(AY$4&gt;EDATE('核心假设'!$B$5,2+$F7),AY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AY$4=EDATE(EDATE('核心假设'!$B$5,2+$F7),$D7),SUM('融资租赁与资金缺口'!$D$5:$D$16)*$O7*'核心假设'!$B$32,0),0),IF(AND(AY$4&gt;EDATE('核心假设'!$B$5,3+$F7),AY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AY$4=EDATE(EDATE('核心假设'!$B$5,3+$F7),$D7),SUM('融资租赁与资金缺口'!$D$5:$D$16)*$P7*'核心假设'!$B$32,0),0),IF(AND(AY$4&gt;EDATE('核心假设'!$B$5,4+$F7),AY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AY$4=EDATE(EDATE('核心假设'!$B$5,4+$F7),$D7),SUM('融资租赁与资金缺口'!$D$5:$D$16)*$Q7*'核心假设'!$B$32,0),0),IF(AND(AY$4&gt;EDATE('核心假设'!$B$5,5+$F7),AY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AY$4=EDATE(EDATE('核心假设'!$B$5,5+$F7),$D7),SUM('融资租赁与资金缺口'!$D$5:$D$16)*$R7*'核心假设'!$B$32,0),0),IF(AND(AY$4&gt;EDATE('核心假设'!$B$5,6+$F7),AY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AY$4=EDATE(EDATE('核心假设'!$B$5,6+$F7),$D7),SUM('融资租赁与资金缺口'!$D$5:$D$16)*$S7*'核心假设'!$B$32,0),0),IF(AND(AY$4&gt;EDATE('核心假设'!$B$5,7+$F7),AY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AY$4=EDATE(EDATE('核心假设'!$B$5,7+$F7),$D7),SUM('融资租赁与资金缺口'!$D$5:$D$16)*$T7*'核心假设'!$B$32,0),0),IF(AND(AY$4&gt;EDATE('核心假设'!$B$5,8+$F7),AY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AY$4=EDATE(EDATE('核心假设'!$B$5,8+$F7),$D7),SUM('融资租赁与资金缺口'!$D$5:$D$16)*$U7*'核心假设'!$B$32,0),0),IF(AND(AY$4&gt;EDATE('核心假设'!$B$5,9+$F7),AY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AY$4=EDATE(EDATE('核心假设'!$B$5,9+$F7),$D7),SUM('融资租赁与资金缺口'!$D$5:$D$16)*$V7*'核心假设'!$B$32,0),0),IF(AND(AY$4&gt;EDATE('核心假设'!$B$5,10+$F7),AY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AY$4=EDATE(EDATE('核心假设'!$B$5,10+$F7),$D7),SUM('融资租赁与资金缺口'!$D$5:$D$16)*$W7*'核心假设'!$B$32,0),0),IF(AND(AY$4&gt;EDATE('核心假设'!$B$5,11+$F7),AY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AY$4=EDATE(EDATE('核心假设'!$B$5,11+$F7),$D7),SUM('融资租赁与资金缺口'!$D$5:$D$16)*$X7*'核心假设'!$B$32,0),0),IF(AND(AY$4&gt;EDATE('核心假设'!$B$5,12+$F7),AY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AY$4=EDATE(EDATE('核心假设'!$B$5,12+$F7),$D7),SUM('融资租赁与资金缺口'!$D$5:$D$16)*$Y7*'核心假设'!$B$32,0),0),IF(AND(AY$4&gt;EDATE('核心假设'!$B$5,13+$F7),AY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AY$4=EDATE(EDATE('核心假设'!$B$5,13+$F7),$D7),SUM('融资租赁与资金缺口'!$D$5:$D$16)*$Z7*'核心假设'!$B$32,0),0),IF(AND(AY$4&gt;EDATE('核心假设'!$B$5,14+$F7),AY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AY$4=EDATE(EDATE('核心假设'!$B$5,14+$F7),$D7),SUM('融资租赁与资金缺口'!$D$5:$D$16)*$AA7*'核心假设'!$B$32,0),0),IF(AND(AY$4&gt;EDATE('核心假设'!$B$5,15+$F7),AY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AY$4=EDATE(EDATE('核心假设'!$B$5,15+$F7),$D7),SUM('融资租赁与资金缺口'!$D$5:$D$16)*$AB7*'核心假设'!$B$32,0),0),IF(AND(AY$4&gt;EDATE('核心假设'!$B$5,16+$F7),AY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AY$4=EDATE(EDATE('核心假设'!$B$5,16+$F7),$D7),SUM('融资租赁与资金缺口'!$D$5:$D$16)*$AC7*'核心假设'!$B$32,0),0),IF(AND(AY$4&gt;EDATE('核心假设'!$B$5,17+$F7),AY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AY$4=EDATE(EDATE('核心假设'!$B$5,17+$F7),$D7),SUM('融资租赁与资金缺口'!$D$5:$D$16)*$AD7*'核心假设'!$B$32,0),0))</x:f>
        <x:v>13486007.410604471</x:v>
      </x:c>
      <x:c r="AZ19" s="28" t="n">
        <x:f>SUM(IF(AND(AZ$4&gt;EDATE('核心假设'!$B$5,0+$F7),AZ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AZ$4=EDATE(EDATE('核心假设'!$B$5,0+$F7),$D7),SUM('融资租赁与资金缺口'!$D$5:$D$16)*$M7*'核心假设'!$B$32,0),0),IF(AND(AZ$4&gt;EDATE('核心假设'!$B$5,1+$F7),AZ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AZ$4=EDATE(EDATE('核心假设'!$B$5,1+$F7),$D7),SUM('融资租赁与资金缺口'!$D$5:$D$16)*$N7*'核心假设'!$B$32,0),0),IF(AND(AZ$4&gt;EDATE('核心假设'!$B$5,2+$F7),AZ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AZ$4=EDATE(EDATE('核心假设'!$B$5,2+$F7),$D7),SUM('融资租赁与资金缺口'!$D$5:$D$16)*$O7*'核心假设'!$B$32,0),0),IF(AND(AZ$4&gt;EDATE('核心假设'!$B$5,3+$F7),AZ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AZ$4=EDATE(EDATE('核心假设'!$B$5,3+$F7),$D7),SUM('融资租赁与资金缺口'!$D$5:$D$16)*$P7*'核心假设'!$B$32,0),0),IF(AND(AZ$4&gt;EDATE('核心假设'!$B$5,4+$F7),AZ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AZ$4=EDATE(EDATE('核心假设'!$B$5,4+$F7),$D7),SUM('融资租赁与资金缺口'!$D$5:$D$16)*$Q7*'核心假设'!$B$32,0),0),IF(AND(AZ$4&gt;EDATE('核心假设'!$B$5,5+$F7),AZ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AZ$4=EDATE(EDATE('核心假设'!$B$5,5+$F7),$D7),SUM('融资租赁与资金缺口'!$D$5:$D$16)*$R7*'核心假设'!$B$32,0),0),IF(AND(AZ$4&gt;EDATE('核心假设'!$B$5,6+$F7),AZ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AZ$4=EDATE(EDATE('核心假设'!$B$5,6+$F7),$D7),SUM('融资租赁与资金缺口'!$D$5:$D$16)*$S7*'核心假设'!$B$32,0),0),IF(AND(AZ$4&gt;EDATE('核心假设'!$B$5,7+$F7),AZ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AZ$4=EDATE(EDATE('核心假设'!$B$5,7+$F7),$D7),SUM('融资租赁与资金缺口'!$D$5:$D$16)*$T7*'核心假设'!$B$32,0),0),IF(AND(AZ$4&gt;EDATE('核心假设'!$B$5,8+$F7),AZ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AZ$4=EDATE(EDATE('核心假设'!$B$5,8+$F7),$D7),SUM('融资租赁与资金缺口'!$D$5:$D$16)*$U7*'核心假设'!$B$32,0),0),IF(AND(AZ$4&gt;EDATE('核心假设'!$B$5,9+$F7),AZ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AZ$4=EDATE(EDATE('核心假设'!$B$5,9+$F7),$D7),SUM('融资租赁与资金缺口'!$D$5:$D$16)*$V7*'核心假设'!$B$32,0),0),IF(AND(AZ$4&gt;EDATE('核心假设'!$B$5,10+$F7),AZ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AZ$4=EDATE(EDATE('核心假设'!$B$5,10+$F7),$D7),SUM('融资租赁与资金缺口'!$D$5:$D$16)*$W7*'核心假设'!$B$32,0),0),IF(AND(AZ$4&gt;EDATE('核心假设'!$B$5,11+$F7),AZ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AZ$4=EDATE(EDATE('核心假设'!$B$5,11+$F7),$D7),SUM('融资租赁与资金缺口'!$D$5:$D$16)*$X7*'核心假设'!$B$32,0),0),IF(AND(AZ$4&gt;EDATE('核心假设'!$B$5,12+$F7),AZ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AZ$4=EDATE(EDATE('核心假设'!$B$5,12+$F7),$D7),SUM('融资租赁与资金缺口'!$D$5:$D$16)*$Y7*'核心假设'!$B$32,0),0),IF(AND(AZ$4&gt;EDATE('核心假设'!$B$5,13+$F7),AZ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AZ$4=EDATE(EDATE('核心假设'!$B$5,13+$F7),$D7),SUM('融资租赁与资金缺口'!$D$5:$D$16)*$Z7*'核心假设'!$B$32,0),0),IF(AND(AZ$4&gt;EDATE('核心假设'!$B$5,14+$F7),AZ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AZ$4=EDATE(EDATE('核心假设'!$B$5,14+$F7),$D7),SUM('融资租赁与资金缺口'!$D$5:$D$16)*$AA7*'核心假设'!$B$32,0),0),IF(AND(AZ$4&gt;EDATE('核心假设'!$B$5,15+$F7),AZ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AZ$4=EDATE(EDATE('核心假设'!$B$5,15+$F7),$D7),SUM('融资租赁与资金缺口'!$D$5:$D$16)*$AB7*'核心假设'!$B$32,0),0),IF(AND(AZ$4&gt;EDATE('核心假设'!$B$5,16+$F7),AZ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AZ$4=EDATE(EDATE('核心假设'!$B$5,16+$F7),$D7),SUM('融资租赁与资金缺口'!$D$5:$D$16)*$AC7*'核心假设'!$B$32,0),0),IF(AND(AZ$4&gt;EDATE('核心假设'!$B$5,17+$F7),AZ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AZ$4=EDATE(EDATE('核心假设'!$B$5,17+$F7),$D7),SUM('融资租赁与资金缺口'!$D$5:$D$16)*$AD7*'核心假设'!$B$32,0),0))</x:f>
        <x:v>13486007.410604471</x:v>
      </x:c>
      <x:c r="BA19" s="28" t="n">
        <x:f>SUM(IF(AND(BA$4&gt;EDATE('核心假设'!$B$5,0+$F7),BA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A$4=EDATE(EDATE('核心假设'!$B$5,0+$F7),$D7),SUM('融资租赁与资金缺口'!$D$5:$D$16)*$M7*'核心假设'!$B$32,0),0),IF(AND(BA$4&gt;EDATE('核心假设'!$B$5,1+$F7),BA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A$4=EDATE(EDATE('核心假设'!$B$5,1+$F7),$D7),SUM('融资租赁与资金缺口'!$D$5:$D$16)*$N7*'核心假设'!$B$32,0),0),IF(AND(BA$4&gt;EDATE('核心假设'!$B$5,2+$F7),BA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A$4=EDATE(EDATE('核心假设'!$B$5,2+$F7),$D7),SUM('融资租赁与资金缺口'!$D$5:$D$16)*$O7*'核心假设'!$B$32,0),0),IF(AND(BA$4&gt;EDATE('核心假设'!$B$5,3+$F7),BA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A$4=EDATE(EDATE('核心假设'!$B$5,3+$F7),$D7),SUM('融资租赁与资金缺口'!$D$5:$D$16)*$P7*'核心假设'!$B$32,0),0),IF(AND(BA$4&gt;EDATE('核心假设'!$B$5,4+$F7),BA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A$4=EDATE(EDATE('核心假设'!$B$5,4+$F7),$D7),SUM('融资租赁与资金缺口'!$D$5:$D$16)*$Q7*'核心假设'!$B$32,0),0),IF(AND(BA$4&gt;EDATE('核心假设'!$B$5,5+$F7),BA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A$4=EDATE(EDATE('核心假设'!$B$5,5+$F7),$D7),SUM('融资租赁与资金缺口'!$D$5:$D$16)*$R7*'核心假设'!$B$32,0),0),IF(AND(BA$4&gt;EDATE('核心假设'!$B$5,6+$F7),BA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A$4=EDATE(EDATE('核心假设'!$B$5,6+$F7),$D7),SUM('融资租赁与资金缺口'!$D$5:$D$16)*$S7*'核心假设'!$B$32,0),0),IF(AND(BA$4&gt;EDATE('核心假设'!$B$5,7+$F7),BA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A$4=EDATE(EDATE('核心假设'!$B$5,7+$F7),$D7),SUM('融资租赁与资金缺口'!$D$5:$D$16)*$T7*'核心假设'!$B$32,0),0),IF(AND(BA$4&gt;EDATE('核心假设'!$B$5,8+$F7),BA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A$4=EDATE(EDATE('核心假设'!$B$5,8+$F7),$D7),SUM('融资租赁与资金缺口'!$D$5:$D$16)*$U7*'核心假设'!$B$32,0),0),IF(AND(BA$4&gt;EDATE('核心假设'!$B$5,9+$F7),BA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A$4=EDATE(EDATE('核心假设'!$B$5,9+$F7),$D7),SUM('融资租赁与资金缺口'!$D$5:$D$16)*$V7*'核心假设'!$B$32,0),0),IF(AND(BA$4&gt;EDATE('核心假设'!$B$5,10+$F7),BA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A$4=EDATE(EDATE('核心假设'!$B$5,10+$F7),$D7),SUM('融资租赁与资金缺口'!$D$5:$D$16)*$W7*'核心假设'!$B$32,0),0),IF(AND(BA$4&gt;EDATE('核心假设'!$B$5,11+$F7),BA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A$4=EDATE(EDATE('核心假设'!$B$5,11+$F7),$D7),SUM('融资租赁与资金缺口'!$D$5:$D$16)*$X7*'核心假设'!$B$32,0),0),IF(AND(BA$4&gt;EDATE('核心假设'!$B$5,12+$F7),BA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A$4=EDATE(EDATE('核心假设'!$B$5,12+$F7),$D7),SUM('融资租赁与资金缺口'!$D$5:$D$16)*$Y7*'核心假设'!$B$32,0),0),IF(AND(BA$4&gt;EDATE('核心假设'!$B$5,13+$F7),BA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A$4=EDATE(EDATE('核心假设'!$B$5,13+$F7),$D7),SUM('融资租赁与资金缺口'!$D$5:$D$16)*$Z7*'核心假设'!$B$32,0),0),IF(AND(BA$4&gt;EDATE('核心假设'!$B$5,14+$F7),BA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A$4=EDATE(EDATE('核心假设'!$B$5,14+$F7),$D7),SUM('融资租赁与资金缺口'!$D$5:$D$16)*$AA7*'核心假设'!$B$32,0),0),IF(AND(BA$4&gt;EDATE('核心假设'!$B$5,15+$F7),BA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A$4=EDATE(EDATE('核心假设'!$B$5,15+$F7),$D7),SUM('融资租赁与资金缺口'!$D$5:$D$16)*$AB7*'核心假设'!$B$32,0),0),IF(AND(BA$4&gt;EDATE('核心假设'!$B$5,16+$F7),BA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A$4=EDATE(EDATE('核心假设'!$B$5,16+$F7),$D7),SUM('融资租赁与资金缺口'!$D$5:$D$16)*$AC7*'核心假设'!$B$32,0),0),IF(AND(BA$4&gt;EDATE('核心假设'!$B$5,17+$F7),BA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A$4=EDATE(EDATE('核心假设'!$B$5,17+$F7),$D7),SUM('融资租赁与资金缺口'!$D$5:$D$16)*$AD7*'核心假设'!$B$32,0),0))</x:f>
        <x:v>13486007.410604471</x:v>
      </x:c>
      <x:c r="BB19" s="28" t="n">
        <x:f>SUM(IF(AND(BB$4&gt;EDATE('核心假设'!$B$5,0+$F7),BB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B$4=EDATE(EDATE('核心假设'!$B$5,0+$F7),$D7),SUM('融资租赁与资金缺口'!$D$5:$D$16)*$M7*'核心假设'!$B$32,0),0),IF(AND(BB$4&gt;EDATE('核心假设'!$B$5,1+$F7),BB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B$4=EDATE(EDATE('核心假设'!$B$5,1+$F7),$D7),SUM('融资租赁与资金缺口'!$D$5:$D$16)*$N7*'核心假设'!$B$32,0),0),IF(AND(BB$4&gt;EDATE('核心假设'!$B$5,2+$F7),BB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B$4=EDATE(EDATE('核心假设'!$B$5,2+$F7),$D7),SUM('融资租赁与资金缺口'!$D$5:$D$16)*$O7*'核心假设'!$B$32,0),0),IF(AND(BB$4&gt;EDATE('核心假设'!$B$5,3+$F7),BB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B$4=EDATE(EDATE('核心假设'!$B$5,3+$F7),$D7),SUM('融资租赁与资金缺口'!$D$5:$D$16)*$P7*'核心假设'!$B$32,0),0),IF(AND(BB$4&gt;EDATE('核心假设'!$B$5,4+$F7),BB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B$4=EDATE(EDATE('核心假设'!$B$5,4+$F7),$D7),SUM('融资租赁与资金缺口'!$D$5:$D$16)*$Q7*'核心假设'!$B$32,0),0),IF(AND(BB$4&gt;EDATE('核心假设'!$B$5,5+$F7),BB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B$4=EDATE(EDATE('核心假设'!$B$5,5+$F7),$D7),SUM('融资租赁与资金缺口'!$D$5:$D$16)*$R7*'核心假设'!$B$32,0),0),IF(AND(BB$4&gt;EDATE('核心假设'!$B$5,6+$F7),BB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B$4=EDATE(EDATE('核心假设'!$B$5,6+$F7),$D7),SUM('融资租赁与资金缺口'!$D$5:$D$16)*$S7*'核心假设'!$B$32,0),0),IF(AND(BB$4&gt;EDATE('核心假设'!$B$5,7+$F7),BB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B$4=EDATE(EDATE('核心假设'!$B$5,7+$F7),$D7),SUM('融资租赁与资金缺口'!$D$5:$D$16)*$T7*'核心假设'!$B$32,0),0),IF(AND(BB$4&gt;EDATE('核心假设'!$B$5,8+$F7),BB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B$4=EDATE(EDATE('核心假设'!$B$5,8+$F7),$D7),SUM('融资租赁与资金缺口'!$D$5:$D$16)*$U7*'核心假设'!$B$32,0),0),IF(AND(BB$4&gt;EDATE('核心假设'!$B$5,9+$F7),BB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B$4=EDATE(EDATE('核心假设'!$B$5,9+$F7),$D7),SUM('融资租赁与资金缺口'!$D$5:$D$16)*$V7*'核心假设'!$B$32,0),0),IF(AND(BB$4&gt;EDATE('核心假设'!$B$5,10+$F7),BB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B$4=EDATE(EDATE('核心假设'!$B$5,10+$F7),$D7),SUM('融资租赁与资金缺口'!$D$5:$D$16)*$W7*'核心假设'!$B$32,0),0),IF(AND(BB$4&gt;EDATE('核心假设'!$B$5,11+$F7),BB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B$4=EDATE(EDATE('核心假设'!$B$5,11+$F7),$D7),SUM('融资租赁与资金缺口'!$D$5:$D$16)*$X7*'核心假设'!$B$32,0),0),IF(AND(BB$4&gt;EDATE('核心假设'!$B$5,12+$F7),BB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B$4=EDATE(EDATE('核心假设'!$B$5,12+$F7),$D7),SUM('融资租赁与资金缺口'!$D$5:$D$16)*$Y7*'核心假设'!$B$32,0),0),IF(AND(BB$4&gt;EDATE('核心假设'!$B$5,13+$F7),BB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B$4=EDATE(EDATE('核心假设'!$B$5,13+$F7),$D7),SUM('融资租赁与资金缺口'!$D$5:$D$16)*$Z7*'核心假设'!$B$32,0),0),IF(AND(BB$4&gt;EDATE('核心假设'!$B$5,14+$F7),BB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B$4=EDATE(EDATE('核心假设'!$B$5,14+$F7),$D7),SUM('融资租赁与资金缺口'!$D$5:$D$16)*$AA7*'核心假设'!$B$32,0),0),IF(AND(BB$4&gt;EDATE('核心假设'!$B$5,15+$F7),BB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B$4=EDATE(EDATE('核心假设'!$B$5,15+$F7),$D7),SUM('融资租赁与资金缺口'!$D$5:$D$16)*$AB7*'核心假设'!$B$32,0),0),IF(AND(BB$4&gt;EDATE('核心假设'!$B$5,16+$F7),BB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B$4=EDATE(EDATE('核心假设'!$B$5,16+$F7),$D7),SUM('融资租赁与资金缺口'!$D$5:$D$16)*$AC7*'核心假设'!$B$32,0),0),IF(AND(BB$4&gt;EDATE('核心假设'!$B$5,17+$F7),BB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B$4=EDATE(EDATE('核心假设'!$B$5,17+$F7),$D7),SUM('融资租赁与资金缺口'!$D$5:$D$16)*$AD7*'核心假设'!$B$32,0),0))</x:f>
        <x:v>13486007.410604471</x:v>
      </x:c>
      <x:c r="BC19" s="28" t="n">
        <x:f>SUM(IF(AND(BC$4&gt;EDATE('核心假设'!$B$5,0+$F7),BC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C$4=EDATE(EDATE('核心假设'!$B$5,0+$F7),$D7),SUM('融资租赁与资金缺口'!$D$5:$D$16)*$M7*'核心假设'!$B$32,0),0),IF(AND(BC$4&gt;EDATE('核心假设'!$B$5,1+$F7),BC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C$4=EDATE(EDATE('核心假设'!$B$5,1+$F7),$D7),SUM('融资租赁与资金缺口'!$D$5:$D$16)*$N7*'核心假设'!$B$32,0),0),IF(AND(BC$4&gt;EDATE('核心假设'!$B$5,2+$F7),BC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C$4=EDATE(EDATE('核心假设'!$B$5,2+$F7),$D7),SUM('融资租赁与资金缺口'!$D$5:$D$16)*$O7*'核心假设'!$B$32,0),0),IF(AND(BC$4&gt;EDATE('核心假设'!$B$5,3+$F7),BC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C$4=EDATE(EDATE('核心假设'!$B$5,3+$F7),$D7),SUM('融资租赁与资金缺口'!$D$5:$D$16)*$P7*'核心假设'!$B$32,0),0),IF(AND(BC$4&gt;EDATE('核心假设'!$B$5,4+$F7),BC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C$4=EDATE(EDATE('核心假设'!$B$5,4+$F7),$D7),SUM('融资租赁与资金缺口'!$D$5:$D$16)*$Q7*'核心假设'!$B$32,0),0),IF(AND(BC$4&gt;EDATE('核心假设'!$B$5,5+$F7),BC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C$4=EDATE(EDATE('核心假设'!$B$5,5+$F7),$D7),SUM('融资租赁与资金缺口'!$D$5:$D$16)*$R7*'核心假设'!$B$32,0),0),IF(AND(BC$4&gt;EDATE('核心假设'!$B$5,6+$F7),BC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C$4=EDATE(EDATE('核心假设'!$B$5,6+$F7),$D7),SUM('融资租赁与资金缺口'!$D$5:$D$16)*$S7*'核心假设'!$B$32,0),0),IF(AND(BC$4&gt;EDATE('核心假设'!$B$5,7+$F7),BC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C$4=EDATE(EDATE('核心假设'!$B$5,7+$F7),$D7),SUM('融资租赁与资金缺口'!$D$5:$D$16)*$T7*'核心假设'!$B$32,0),0),IF(AND(BC$4&gt;EDATE('核心假设'!$B$5,8+$F7),BC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C$4=EDATE(EDATE('核心假设'!$B$5,8+$F7),$D7),SUM('融资租赁与资金缺口'!$D$5:$D$16)*$U7*'核心假设'!$B$32,0),0),IF(AND(BC$4&gt;EDATE('核心假设'!$B$5,9+$F7),BC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C$4=EDATE(EDATE('核心假设'!$B$5,9+$F7),$D7),SUM('融资租赁与资金缺口'!$D$5:$D$16)*$V7*'核心假设'!$B$32,0),0),IF(AND(BC$4&gt;EDATE('核心假设'!$B$5,10+$F7),BC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C$4=EDATE(EDATE('核心假设'!$B$5,10+$F7),$D7),SUM('融资租赁与资金缺口'!$D$5:$D$16)*$W7*'核心假设'!$B$32,0),0),IF(AND(BC$4&gt;EDATE('核心假设'!$B$5,11+$F7),BC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C$4=EDATE(EDATE('核心假设'!$B$5,11+$F7),$D7),SUM('融资租赁与资金缺口'!$D$5:$D$16)*$X7*'核心假设'!$B$32,0),0),IF(AND(BC$4&gt;EDATE('核心假设'!$B$5,12+$F7),BC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C$4=EDATE(EDATE('核心假设'!$B$5,12+$F7),$D7),SUM('融资租赁与资金缺口'!$D$5:$D$16)*$Y7*'核心假设'!$B$32,0),0),IF(AND(BC$4&gt;EDATE('核心假设'!$B$5,13+$F7),BC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C$4=EDATE(EDATE('核心假设'!$B$5,13+$F7),$D7),SUM('融资租赁与资金缺口'!$D$5:$D$16)*$Z7*'核心假设'!$B$32,0),0),IF(AND(BC$4&gt;EDATE('核心假设'!$B$5,14+$F7),BC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C$4=EDATE(EDATE('核心假设'!$B$5,14+$F7),$D7),SUM('融资租赁与资金缺口'!$D$5:$D$16)*$AA7*'核心假设'!$B$32,0),0),IF(AND(BC$4&gt;EDATE('核心假设'!$B$5,15+$F7),BC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C$4=EDATE(EDATE('核心假设'!$B$5,15+$F7),$D7),SUM('融资租赁与资金缺口'!$D$5:$D$16)*$AB7*'核心假设'!$B$32,0),0),IF(AND(BC$4&gt;EDATE('核心假设'!$B$5,16+$F7),BC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C$4=EDATE(EDATE('核心假设'!$B$5,16+$F7),$D7),SUM('融资租赁与资金缺口'!$D$5:$D$16)*$AC7*'核心假设'!$B$32,0),0),IF(AND(BC$4&gt;EDATE('核心假设'!$B$5,17+$F7),BC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C$4=EDATE(EDATE('核心假设'!$B$5,17+$F7),$D7),SUM('融资租赁与资金缺口'!$D$5:$D$16)*$AD7*'核心假设'!$B$32,0),0))</x:f>
        <x:v>13486007.410604471</x:v>
      </x:c>
      <x:c r="BD19" s="28" t="n">
        <x:f>SUM(IF(AND(BD$4&gt;EDATE('核心假设'!$B$5,0+$F7),BD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D$4=EDATE(EDATE('核心假设'!$B$5,0+$F7),$D7),SUM('融资租赁与资金缺口'!$D$5:$D$16)*$M7*'核心假设'!$B$32,0),0),IF(AND(BD$4&gt;EDATE('核心假设'!$B$5,1+$F7),BD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D$4=EDATE(EDATE('核心假设'!$B$5,1+$F7),$D7),SUM('融资租赁与资金缺口'!$D$5:$D$16)*$N7*'核心假设'!$B$32,0),0),IF(AND(BD$4&gt;EDATE('核心假设'!$B$5,2+$F7),BD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D$4=EDATE(EDATE('核心假设'!$B$5,2+$F7),$D7),SUM('融资租赁与资金缺口'!$D$5:$D$16)*$O7*'核心假设'!$B$32,0),0),IF(AND(BD$4&gt;EDATE('核心假设'!$B$5,3+$F7),BD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D$4=EDATE(EDATE('核心假设'!$B$5,3+$F7),$D7),SUM('融资租赁与资金缺口'!$D$5:$D$16)*$P7*'核心假设'!$B$32,0),0),IF(AND(BD$4&gt;EDATE('核心假设'!$B$5,4+$F7),BD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D$4=EDATE(EDATE('核心假设'!$B$5,4+$F7),$D7),SUM('融资租赁与资金缺口'!$D$5:$D$16)*$Q7*'核心假设'!$B$32,0),0),IF(AND(BD$4&gt;EDATE('核心假设'!$B$5,5+$F7),BD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D$4=EDATE(EDATE('核心假设'!$B$5,5+$F7),$D7),SUM('融资租赁与资金缺口'!$D$5:$D$16)*$R7*'核心假设'!$B$32,0),0),IF(AND(BD$4&gt;EDATE('核心假设'!$B$5,6+$F7),BD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D$4=EDATE(EDATE('核心假设'!$B$5,6+$F7),$D7),SUM('融资租赁与资金缺口'!$D$5:$D$16)*$S7*'核心假设'!$B$32,0),0),IF(AND(BD$4&gt;EDATE('核心假设'!$B$5,7+$F7),BD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D$4=EDATE(EDATE('核心假设'!$B$5,7+$F7),$D7),SUM('融资租赁与资金缺口'!$D$5:$D$16)*$T7*'核心假设'!$B$32,0),0),IF(AND(BD$4&gt;EDATE('核心假设'!$B$5,8+$F7),BD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D$4=EDATE(EDATE('核心假设'!$B$5,8+$F7),$D7),SUM('融资租赁与资金缺口'!$D$5:$D$16)*$U7*'核心假设'!$B$32,0),0),IF(AND(BD$4&gt;EDATE('核心假设'!$B$5,9+$F7),BD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D$4=EDATE(EDATE('核心假设'!$B$5,9+$F7),$D7),SUM('融资租赁与资金缺口'!$D$5:$D$16)*$V7*'核心假设'!$B$32,0),0),IF(AND(BD$4&gt;EDATE('核心假设'!$B$5,10+$F7),BD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D$4=EDATE(EDATE('核心假设'!$B$5,10+$F7),$D7),SUM('融资租赁与资金缺口'!$D$5:$D$16)*$W7*'核心假设'!$B$32,0),0),IF(AND(BD$4&gt;EDATE('核心假设'!$B$5,11+$F7),BD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D$4=EDATE(EDATE('核心假设'!$B$5,11+$F7),$D7),SUM('融资租赁与资金缺口'!$D$5:$D$16)*$X7*'核心假设'!$B$32,0),0),IF(AND(BD$4&gt;EDATE('核心假设'!$B$5,12+$F7),BD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D$4=EDATE(EDATE('核心假设'!$B$5,12+$F7),$D7),SUM('融资租赁与资金缺口'!$D$5:$D$16)*$Y7*'核心假设'!$B$32,0),0),IF(AND(BD$4&gt;EDATE('核心假设'!$B$5,13+$F7),BD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D$4=EDATE(EDATE('核心假设'!$B$5,13+$F7),$D7),SUM('融资租赁与资金缺口'!$D$5:$D$16)*$Z7*'核心假设'!$B$32,0),0),IF(AND(BD$4&gt;EDATE('核心假设'!$B$5,14+$F7),BD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D$4=EDATE(EDATE('核心假设'!$B$5,14+$F7),$D7),SUM('融资租赁与资金缺口'!$D$5:$D$16)*$AA7*'核心假设'!$B$32,0),0),IF(AND(BD$4&gt;EDATE('核心假设'!$B$5,15+$F7),BD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D$4=EDATE(EDATE('核心假设'!$B$5,15+$F7),$D7),SUM('融资租赁与资金缺口'!$D$5:$D$16)*$AB7*'核心假设'!$B$32,0),0),IF(AND(BD$4&gt;EDATE('核心假设'!$B$5,16+$F7),BD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D$4=EDATE(EDATE('核心假设'!$B$5,16+$F7),$D7),SUM('融资租赁与资金缺口'!$D$5:$D$16)*$AC7*'核心假设'!$B$32,0),0),IF(AND(BD$4&gt;EDATE('核心假设'!$B$5,17+$F7),BD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D$4=EDATE(EDATE('核心假设'!$B$5,17+$F7),$D7),SUM('融资租赁与资金缺口'!$D$5:$D$16)*$AD7*'核心假设'!$B$32,0),0))</x:f>
        <x:v>13486007.410604471</x:v>
      </x:c>
      <x:c r="BE19" s="28" t="n">
        <x:f>SUM(IF(AND(BE$4&gt;EDATE('核心假设'!$B$5,0+$F7),BE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E$4=EDATE(EDATE('核心假设'!$B$5,0+$F7),$D7),SUM('融资租赁与资金缺口'!$D$5:$D$16)*$M7*'核心假设'!$B$32,0),0),IF(AND(BE$4&gt;EDATE('核心假设'!$B$5,1+$F7),BE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E$4=EDATE(EDATE('核心假设'!$B$5,1+$F7),$D7),SUM('融资租赁与资金缺口'!$D$5:$D$16)*$N7*'核心假设'!$B$32,0),0),IF(AND(BE$4&gt;EDATE('核心假设'!$B$5,2+$F7),BE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E$4=EDATE(EDATE('核心假设'!$B$5,2+$F7),$D7),SUM('融资租赁与资金缺口'!$D$5:$D$16)*$O7*'核心假设'!$B$32,0),0),IF(AND(BE$4&gt;EDATE('核心假设'!$B$5,3+$F7),BE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E$4=EDATE(EDATE('核心假设'!$B$5,3+$F7),$D7),SUM('融资租赁与资金缺口'!$D$5:$D$16)*$P7*'核心假设'!$B$32,0),0),IF(AND(BE$4&gt;EDATE('核心假设'!$B$5,4+$F7),BE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E$4=EDATE(EDATE('核心假设'!$B$5,4+$F7),$D7),SUM('融资租赁与资金缺口'!$D$5:$D$16)*$Q7*'核心假设'!$B$32,0),0),IF(AND(BE$4&gt;EDATE('核心假设'!$B$5,5+$F7),BE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E$4=EDATE(EDATE('核心假设'!$B$5,5+$F7),$D7),SUM('融资租赁与资金缺口'!$D$5:$D$16)*$R7*'核心假设'!$B$32,0),0),IF(AND(BE$4&gt;EDATE('核心假设'!$B$5,6+$F7),BE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E$4=EDATE(EDATE('核心假设'!$B$5,6+$F7),$D7),SUM('融资租赁与资金缺口'!$D$5:$D$16)*$S7*'核心假设'!$B$32,0),0),IF(AND(BE$4&gt;EDATE('核心假设'!$B$5,7+$F7),BE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E$4=EDATE(EDATE('核心假设'!$B$5,7+$F7),$D7),SUM('融资租赁与资金缺口'!$D$5:$D$16)*$T7*'核心假设'!$B$32,0),0),IF(AND(BE$4&gt;EDATE('核心假设'!$B$5,8+$F7),BE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E$4=EDATE(EDATE('核心假设'!$B$5,8+$F7),$D7),SUM('融资租赁与资金缺口'!$D$5:$D$16)*$U7*'核心假设'!$B$32,0),0),IF(AND(BE$4&gt;EDATE('核心假设'!$B$5,9+$F7),BE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E$4=EDATE(EDATE('核心假设'!$B$5,9+$F7),$D7),SUM('融资租赁与资金缺口'!$D$5:$D$16)*$V7*'核心假设'!$B$32,0),0),IF(AND(BE$4&gt;EDATE('核心假设'!$B$5,10+$F7),BE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E$4=EDATE(EDATE('核心假设'!$B$5,10+$F7),$D7),SUM('融资租赁与资金缺口'!$D$5:$D$16)*$W7*'核心假设'!$B$32,0),0),IF(AND(BE$4&gt;EDATE('核心假设'!$B$5,11+$F7),BE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E$4=EDATE(EDATE('核心假设'!$B$5,11+$F7),$D7),SUM('融资租赁与资金缺口'!$D$5:$D$16)*$X7*'核心假设'!$B$32,0),0),IF(AND(BE$4&gt;EDATE('核心假设'!$B$5,12+$F7),BE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E$4=EDATE(EDATE('核心假设'!$B$5,12+$F7),$D7),SUM('融资租赁与资金缺口'!$D$5:$D$16)*$Y7*'核心假设'!$B$32,0),0),IF(AND(BE$4&gt;EDATE('核心假设'!$B$5,13+$F7),BE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E$4=EDATE(EDATE('核心假设'!$B$5,13+$F7),$D7),SUM('融资租赁与资金缺口'!$D$5:$D$16)*$Z7*'核心假设'!$B$32,0),0),IF(AND(BE$4&gt;EDATE('核心假设'!$B$5,14+$F7),BE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E$4=EDATE(EDATE('核心假设'!$B$5,14+$F7),$D7),SUM('融资租赁与资金缺口'!$D$5:$D$16)*$AA7*'核心假设'!$B$32,0),0),IF(AND(BE$4&gt;EDATE('核心假设'!$B$5,15+$F7),BE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E$4=EDATE(EDATE('核心假设'!$B$5,15+$F7),$D7),SUM('融资租赁与资金缺口'!$D$5:$D$16)*$AB7*'核心假设'!$B$32,0),0),IF(AND(BE$4&gt;EDATE('核心假设'!$B$5,16+$F7),BE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E$4=EDATE(EDATE('核心假设'!$B$5,16+$F7),$D7),SUM('融资租赁与资金缺口'!$D$5:$D$16)*$AC7*'核心假设'!$B$32,0),0),IF(AND(BE$4&gt;EDATE('核心假设'!$B$5,17+$F7),BE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E$4=EDATE(EDATE('核心假设'!$B$5,17+$F7),$D7),SUM('融资租赁与资金缺口'!$D$5:$D$16)*$AD7*'核心假设'!$B$32,0),0))</x:f>
        <x:v>13486007.410604471</x:v>
      </x:c>
      <x:c r="BF19" s="28" t="n">
        <x:f>SUM(IF(AND(BF$4&gt;EDATE('核心假设'!$B$5,0+$F7),BF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F$4=EDATE(EDATE('核心假设'!$B$5,0+$F7),$D7),SUM('融资租赁与资金缺口'!$D$5:$D$16)*$M7*'核心假设'!$B$32,0),0),IF(AND(BF$4&gt;EDATE('核心假设'!$B$5,1+$F7),BF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F$4=EDATE(EDATE('核心假设'!$B$5,1+$F7),$D7),SUM('融资租赁与资金缺口'!$D$5:$D$16)*$N7*'核心假设'!$B$32,0),0),IF(AND(BF$4&gt;EDATE('核心假设'!$B$5,2+$F7),BF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F$4=EDATE(EDATE('核心假设'!$B$5,2+$F7),$D7),SUM('融资租赁与资金缺口'!$D$5:$D$16)*$O7*'核心假设'!$B$32,0),0),IF(AND(BF$4&gt;EDATE('核心假设'!$B$5,3+$F7),BF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F$4=EDATE(EDATE('核心假设'!$B$5,3+$F7),$D7),SUM('融资租赁与资金缺口'!$D$5:$D$16)*$P7*'核心假设'!$B$32,0),0),IF(AND(BF$4&gt;EDATE('核心假设'!$B$5,4+$F7),BF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F$4=EDATE(EDATE('核心假设'!$B$5,4+$F7),$D7),SUM('融资租赁与资金缺口'!$D$5:$D$16)*$Q7*'核心假设'!$B$32,0),0),IF(AND(BF$4&gt;EDATE('核心假设'!$B$5,5+$F7),BF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F$4=EDATE(EDATE('核心假设'!$B$5,5+$F7),$D7),SUM('融资租赁与资金缺口'!$D$5:$D$16)*$R7*'核心假设'!$B$32,0),0),IF(AND(BF$4&gt;EDATE('核心假设'!$B$5,6+$F7),BF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F$4=EDATE(EDATE('核心假设'!$B$5,6+$F7),$D7),SUM('融资租赁与资金缺口'!$D$5:$D$16)*$S7*'核心假设'!$B$32,0),0),IF(AND(BF$4&gt;EDATE('核心假设'!$B$5,7+$F7),BF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F$4=EDATE(EDATE('核心假设'!$B$5,7+$F7),$D7),SUM('融资租赁与资金缺口'!$D$5:$D$16)*$T7*'核心假设'!$B$32,0),0),IF(AND(BF$4&gt;EDATE('核心假设'!$B$5,8+$F7),BF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F$4=EDATE(EDATE('核心假设'!$B$5,8+$F7),$D7),SUM('融资租赁与资金缺口'!$D$5:$D$16)*$U7*'核心假设'!$B$32,0),0),IF(AND(BF$4&gt;EDATE('核心假设'!$B$5,9+$F7),BF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F$4=EDATE(EDATE('核心假设'!$B$5,9+$F7),$D7),SUM('融资租赁与资金缺口'!$D$5:$D$16)*$V7*'核心假设'!$B$32,0),0),IF(AND(BF$4&gt;EDATE('核心假设'!$B$5,10+$F7),BF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F$4=EDATE(EDATE('核心假设'!$B$5,10+$F7),$D7),SUM('融资租赁与资金缺口'!$D$5:$D$16)*$W7*'核心假设'!$B$32,0),0),IF(AND(BF$4&gt;EDATE('核心假设'!$B$5,11+$F7),BF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F$4=EDATE(EDATE('核心假设'!$B$5,11+$F7),$D7),SUM('融资租赁与资金缺口'!$D$5:$D$16)*$X7*'核心假设'!$B$32,0),0),IF(AND(BF$4&gt;EDATE('核心假设'!$B$5,12+$F7),BF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F$4=EDATE(EDATE('核心假设'!$B$5,12+$F7),$D7),SUM('融资租赁与资金缺口'!$D$5:$D$16)*$Y7*'核心假设'!$B$32,0),0),IF(AND(BF$4&gt;EDATE('核心假设'!$B$5,13+$F7),BF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F$4=EDATE(EDATE('核心假设'!$B$5,13+$F7),$D7),SUM('融资租赁与资金缺口'!$D$5:$D$16)*$Z7*'核心假设'!$B$32,0),0),IF(AND(BF$4&gt;EDATE('核心假设'!$B$5,14+$F7),BF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F$4=EDATE(EDATE('核心假设'!$B$5,14+$F7),$D7),SUM('融资租赁与资金缺口'!$D$5:$D$16)*$AA7*'核心假设'!$B$32,0),0),IF(AND(BF$4&gt;EDATE('核心假设'!$B$5,15+$F7),BF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F$4=EDATE(EDATE('核心假设'!$B$5,15+$F7),$D7),SUM('融资租赁与资金缺口'!$D$5:$D$16)*$AB7*'核心假设'!$B$32,0),0),IF(AND(BF$4&gt;EDATE('核心假设'!$B$5,16+$F7),BF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F$4=EDATE(EDATE('核心假设'!$B$5,16+$F7),$D7),SUM('融资租赁与资金缺口'!$D$5:$D$16)*$AC7*'核心假设'!$B$32,0),0),IF(AND(BF$4&gt;EDATE('核心假设'!$B$5,17+$F7),BF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F$4=EDATE(EDATE('核心假设'!$B$5,17+$F7),$D7),SUM('融资租赁与资金缺口'!$D$5:$D$16)*$AD7*'核心假设'!$B$32,0),0))</x:f>
        <x:v>13486007.410604471</x:v>
      </x:c>
      <x:c r="BG19" s="28" t="n">
        <x:f>SUM(IF(AND(BG$4&gt;EDATE('核心假设'!$B$5,0+$F7),BG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G$4=EDATE(EDATE('核心假设'!$B$5,0+$F7),$D7),SUM('融资租赁与资金缺口'!$D$5:$D$16)*$M7*'核心假设'!$B$32,0),0),IF(AND(BG$4&gt;EDATE('核心假设'!$B$5,1+$F7),BG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G$4=EDATE(EDATE('核心假设'!$B$5,1+$F7),$D7),SUM('融资租赁与资金缺口'!$D$5:$D$16)*$N7*'核心假设'!$B$32,0),0),IF(AND(BG$4&gt;EDATE('核心假设'!$B$5,2+$F7),BG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G$4=EDATE(EDATE('核心假设'!$B$5,2+$F7),$D7),SUM('融资租赁与资金缺口'!$D$5:$D$16)*$O7*'核心假设'!$B$32,0),0),IF(AND(BG$4&gt;EDATE('核心假设'!$B$5,3+$F7),BG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G$4=EDATE(EDATE('核心假设'!$B$5,3+$F7),$D7),SUM('融资租赁与资金缺口'!$D$5:$D$16)*$P7*'核心假设'!$B$32,0),0),IF(AND(BG$4&gt;EDATE('核心假设'!$B$5,4+$F7),BG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G$4=EDATE(EDATE('核心假设'!$B$5,4+$F7),$D7),SUM('融资租赁与资金缺口'!$D$5:$D$16)*$Q7*'核心假设'!$B$32,0),0),IF(AND(BG$4&gt;EDATE('核心假设'!$B$5,5+$F7),BG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G$4=EDATE(EDATE('核心假设'!$B$5,5+$F7),$D7),SUM('融资租赁与资金缺口'!$D$5:$D$16)*$R7*'核心假设'!$B$32,0),0),IF(AND(BG$4&gt;EDATE('核心假设'!$B$5,6+$F7),BG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G$4=EDATE(EDATE('核心假设'!$B$5,6+$F7),$D7),SUM('融资租赁与资金缺口'!$D$5:$D$16)*$S7*'核心假设'!$B$32,0),0),IF(AND(BG$4&gt;EDATE('核心假设'!$B$5,7+$F7),BG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G$4=EDATE(EDATE('核心假设'!$B$5,7+$F7),$D7),SUM('融资租赁与资金缺口'!$D$5:$D$16)*$T7*'核心假设'!$B$32,0),0),IF(AND(BG$4&gt;EDATE('核心假设'!$B$5,8+$F7),BG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G$4=EDATE(EDATE('核心假设'!$B$5,8+$F7),$D7),SUM('融资租赁与资金缺口'!$D$5:$D$16)*$U7*'核心假设'!$B$32,0),0),IF(AND(BG$4&gt;EDATE('核心假设'!$B$5,9+$F7),BG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G$4=EDATE(EDATE('核心假设'!$B$5,9+$F7),$D7),SUM('融资租赁与资金缺口'!$D$5:$D$16)*$V7*'核心假设'!$B$32,0),0),IF(AND(BG$4&gt;EDATE('核心假设'!$B$5,10+$F7),BG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G$4=EDATE(EDATE('核心假设'!$B$5,10+$F7),$D7),SUM('融资租赁与资金缺口'!$D$5:$D$16)*$W7*'核心假设'!$B$32,0),0),IF(AND(BG$4&gt;EDATE('核心假设'!$B$5,11+$F7),BG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G$4=EDATE(EDATE('核心假设'!$B$5,11+$F7),$D7),SUM('融资租赁与资金缺口'!$D$5:$D$16)*$X7*'核心假设'!$B$32,0),0),IF(AND(BG$4&gt;EDATE('核心假设'!$B$5,12+$F7),BG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G$4=EDATE(EDATE('核心假设'!$B$5,12+$F7),$D7),SUM('融资租赁与资金缺口'!$D$5:$D$16)*$Y7*'核心假设'!$B$32,0),0),IF(AND(BG$4&gt;EDATE('核心假设'!$B$5,13+$F7),BG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G$4=EDATE(EDATE('核心假设'!$B$5,13+$F7),$D7),SUM('融资租赁与资金缺口'!$D$5:$D$16)*$Z7*'核心假设'!$B$32,0),0),IF(AND(BG$4&gt;EDATE('核心假设'!$B$5,14+$F7),BG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G$4=EDATE(EDATE('核心假设'!$B$5,14+$F7),$D7),SUM('融资租赁与资金缺口'!$D$5:$D$16)*$AA7*'核心假设'!$B$32,0),0),IF(AND(BG$4&gt;EDATE('核心假设'!$B$5,15+$F7),BG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G$4=EDATE(EDATE('核心假设'!$B$5,15+$F7),$D7),SUM('融资租赁与资金缺口'!$D$5:$D$16)*$AB7*'核心假设'!$B$32,0),0),IF(AND(BG$4&gt;EDATE('核心假设'!$B$5,16+$F7),BG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G$4=EDATE(EDATE('核心假设'!$B$5,16+$F7),$D7),SUM('融资租赁与资金缺口'!$D$5:$D$16)*$AC7*'核心假设'!$B$32,0),0),IF(AND(BG$4&gt;EDATE('核心假设'!$B$5,17+$F7),BG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G$4=EDATE(EDATE('核心假设'!$B$5,17+$F7),$D7),SUM('融资租赁与资金缺口'!$D$5:$D$16)*$AD7*'核心假设'!$B$32,0),0))</x:f>
        <x:v>13486007.410604471</x:v>
      </x:c>
      <x:c r="BH19" s="28" t="n">
        <x:f>SUM(IF(AND(BH$4&gt;EDATE('核心假设'!$B$5,0+$F7),BH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H$4=EDATE(EDATE('核心假设'!$B$5,0+$F7),$D7),SUM('融资租赁与资金缺口'!$D$5:$D$16)*$M7*'核心假设'!$B$32,0),0),IF(AND(BH$4&gt;EDATE('核心假设'!$B$5,1+$F7),BH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H$4=EDATE(EDATE('核心假设'!$B$5,1+$F7),$D7),SUM('融资租赁与资金缺口'!$D$5:$D$16)*$N7*'核心假设'!$B$32,0),0),IF(AND(BH$4&gt;EDATE('核心假设'!$B$5,2+$F7),BH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H$4=EDATE(EDATE('核心假设'!$B$5,2+$F7),$D7),SUM('融资租赁与资金缺口'!$D$5:$D$16)*$O7*'核心假设'!$B$32,0),0),IF(AND(BH$4&gt;EDATE('核心假设'!$B$5,3+$F7),BH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H$4=EDATE(EDATE('核心假设'!$B$5,3+$F7),$D7),SUM('融资租赁与资金缺口'!$D$5:$D$16)*$P7*'核心假设'!$B$32,0),0),IF(AND(BH$4&gt;EDATE('核心假设'!$B$5,4+$F7),BH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H$4=EDATE(EDATE('核心假设'!$B$5,4+$F7),$D7),SUM('融资租赁与资金缺口'!$D$5:$D$16)*$Q7*'核心假设'!$B$32,0),0),IF(AND(BH$4&gt;EDATE('核心假设'!$B$5,5+$F7),BH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H$4=EDATE(EDATE('核心假设'!$B$5,5+$F7),$D7),SUM('融资租赁与资金缺口'!$D$5:$D$16)*$R7*'核心假设'!$B$32,0),0),IF(AND(BH$4&gt;EDATE('核心假设'!$B$5,6+$F7),BH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H$4=EDATE(EDATE('核心假设'!$B$5,6+$F7),$D7),SUM('融资租赁与资金缺口'!$D$5:$D$16)*$S7*'核心假设'!$B$32,0),0),IF(AND(BH$4&gt;EDATE('核心假设'!$B$5,7+$F7),BH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H$4=EDATE(EDATE('核心假设'!$B$5,7+$F7),$D7),SUM('融资租赁与资金缺口'!$D$5:$D$16)*$T7*'核心假设'!$B$32,0),0),IF(AND(BH$4&gt;EDATE('核心假设'!$B$5,8+$F7),BH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H$4=EDATE(EDATE('核心假设'!$B$5,8+$F7),$D7),SUM('融资租赁与资金缺口'!$D$5:$D$16)*$U7*'核心假设'!$B$32,0),0),IF(AND(BH$4&gt;EDATE('核心假设'!$B$5,9+$F7),BH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H$4=EDATE(EDATE('核心假设'!$B$5,9+$F7),$D7),SUM('融资租赁与资金缺口'!$D$5:$D$16)*$V7*'核心假设'!$B$32,0),0),IF(AND(BH$4&gt;EDATE('核心假设'!$B$5,10+$F7),BH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H$4=EDATE(EDATE('核心假设'!$B$5,10+$F7),$D7),SUM('融资租赁与资金缺口'!$D$5:$D$16)*$W7*'核心假设'!$B$32,0),0),IF(AND(BH$4&gt;EDATE('核心假设'!$B$5,11+$F7),BH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H$4=EDATE(EDATE('核心假设'!$B$5,11+$F7),$D7),SUM('融资租赁与资金缺口'!$D$5:$D$16)*$X7*'核心假设'!$B$32,0),0),IF(AND(BH$4&gt;EDATE('核心假设'!$B$5,12+$F7),BH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H$4=EDATE(EDATE('核心假设'!$B$5,12+$F7),$D7),SUM('融资租赁与资金缺口'!$D$5:$D$16)*$Y7*'核心假设'!$B$32,0),0),IF(AND(BH$4&gt;EDATE('核心假设'!$B$5,13+$F7),BH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H$4=EDATE(EDATE('核心假设'!$B$5,13+$F7),$D7),SUM('融资租赁与资金缺口'!$D$5:$D$16)*$Z7*'核心假设'!$B$32,0),0),IF(AND(BH$4&gt;EDATE('核心假设'!$B$5,14+$F7),BH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H$4=EDATE(EDATE('核心假设'!$B$5,14+$F7),$D7),SUM('融资租赁与资金缺口'!$D$5:$D$16)*$AA7*'核心假设'!$B$32,0),0),IF(AND(BH$4&gt;EDATE('核心假设'!$B$5,15+$F7),BH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H$4=EDATE(EDATE('核心假设'!$B$5,15+$F7),$D7),SUM('融资租赁与资金缺口'!$D$5:$D$16)*$AB7*'核心假设'!$B$32,0),0),IF(AND(BH$4&gt;EDATE('核心假设'!$B$5,16+$F7),BH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H$4=EDATE(EDATE('核心假设'!$B$5,16+$F7),$D7),SUM('融资租赁与资金缺口'!$D$5:$D$16)*$AC7*'核心假设'!$B$32,0),0),IF(AND(BH$4&gt;EDATE('核心假设'!$B$5,17+$F7),BH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H$4=EDATE(EDATE('核心假设'!$B$5,17+$F7),$D7),SUM('融资租赁与资金缺口'!$D$5:$D$16)*$AD7*'核心假设'!$B$32,0),0))</x:f>
        <x:v>13486007.410604471</x:v>
      </x:c>
      <x:c r="BI19" s="28" t="n">
        <x:f>SUM(IF(AND(BI$4&gt;EDATE('核心假设'!$B$5,0+$F7),BI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I$4=EDATE(EDATE('核心假设'!$B$5,0+$F7),$D7),SUM('融资租赁与资金缺口'!$D$5:$D$16)*$M7*'核心假设'!$B$32,0),0),IF(AND(BI$4&gt;EDATE('核心假设'!$B$5,1+$F7),BI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I$4=EDATE(EDATE('核心假设'!$B$5,1+$F7),$D7),SUM('融资租赁与资金缺口'!$D$5:$D$16)*$N7*'核心假设'!$B$32,0),0),IF(AND(BI$4&gt;EDATE('核心假设'!$B$5,2+$F7),BI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I$4=EDATE(EDATE('核心假设'!$B$5,2+$F7),$D7),SUM('融资租赁与资金缺口'!$D$5:$D$16)*$O7*'核心假设'!$B$32,0),0),IF(AND(BI$4&gt;EDATE('核心假设'!$B$5,3+$F7),BI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I$4=EDATE(EDATE('核心假设'!$B$5,3+$F7),$D7),SUM('融资租赁与资金缺口'!$D$5:$D$16)*$P7*'核心假设'!$B$32,0),0),IF(AND(BI$4&gt;EDATE('核心假设'!$B$5,4+$F7),BI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I$4=EDATE(EDATE('核心假设'!$B$5,4+$F7),$D7),SUM('融资租赁与资金缺口'!$D$5:$D$16)*$Q7*'核心假设'!$B$32,0),0),IF(AND(BI$4&gt;EDATE('核心假设'!$B$5,5+$F7),BI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I$4=EDATE(EDATE('核心假设'!$B$5,5+$F7),$D7),SUM('融资租赁与资金缺口'!$D$5:$D$16)*$R7*'核心假设'!$B$32,0),0),IF(AND(BI$4&gt;EDATE('核心假设'!$B$5,6+$F7),BI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I$4=EDATE(EDATE('核心假设'!$B$5,6+$F7),$D7),SUM('融资租赁与资金缺口'!$D$5:$D$16)*$S7*'核心假设'!$B$32,0),0),IF(AND(BI$4&gt;EDATE('核心假设'!$B$5,7+$F7),BI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I$4=EDATE(EDATE('核心假设'!$B$5,7+$F7),$D7),SUM('融资租赁与资金缺口'!$D$5:$D$16)*$T7*'核心假设'!$B$32,0),0),IF(AND(BI$4&gt;EDATE('核心假设'!$B$5,8+$F7),BI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I$4=EDATE(EDATE('核心假设'!$B$5,8+$F7),$D7),SUM('融资租赁与资金缺口'!$D$5:$D$16)*$U7*'核心假设'!$B$32,0),0),IF(AND(BI$4&gt;EDATE('核心假设'!$B$5,9+$F7),BI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I$4=EDATE(EDATE('核心假设'!$B$5,9+$F7),$D7),SUM('融资租赁与资金缺口'!$D$5:$D$16)*$V7*'核心假设'!$B$32,0),0),IF(AND(BI$4&gt;EDATE('核心假设'!$B$5,10+$F7),BI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I$4=EDATE(EDATE('核心假设'!$B$5,10+$F7),$D7),SUM('融资租赁与资金缺口'!$D$5:$D$16)*$W7*'核心假设'!$B$32,0),0),IF(AND(BI$4&gt;EDATE('核心假设'!$B$5,11+$F7),BI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I$4=EDATE(EDATE('核心假设'!$B$5,11+$F7),$D7),SUM('融资租赁与资金缺口'!$D$5:$D$16)*$X7*'核心假设'!$B$32,0),0),IF(AND(BI$4&gt;EDATE('核心假设'!$B$5,12+$F7),BI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I$4=EDATE(EDATE('核心假设'!$B$5,12+$F7),$D7),SUM('融资租赁与资金缺口'!$D$5:$D$16)*$Y7*'核心假设'!$B$32,0),0),IF(AND(BI$4&gt;EDATE('核心假设'!$B$5,13+$F7),BI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I$4=EDATE(EDATE('核心假设'!$B$5,13+$F7),$D7),SUM('融资租赁与资金缺口'!$D$5:$D$16)*$Z7*'核心假设'!$B$32,0),0),IF(AND(BI$4&gt;EDATE('核心假设'!$B$5,14+$F7),BI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I$4=EDATE(EDATE('核心假设'!$B$5,14+$F7),$D7),SUM('融资租赁与资金缺口'!$D$5:$D$16)*$AA7*'核心假设'!$B$32,0),0),IF(AND(BI$4&gt;EDATE('核心假设'!$B$5,15+$F7),BI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I$4=EDATE(EDATE('核心假设'!$B$5,15+$F7),$D7),SUM('融资租赁与资金缺口'!$D$5:$D$16)*$AB7*'核心假设'!$B$32,0),0),IF(AND(BI$4&gt;EDATE('核心假设'!$B$5,16+$F7),BI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I$4=EDATE(EDATE('核心假设'!$B$5,16+$F7),$D7),SUM('融资租赁与资金缺口'!$D$5:$D$16)*$AC7*'核心假设'!$B$32,0),0),IF(AND(BI$4&gt;EDATE('核心假设'!$B$5,17+$F7),BI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I$4=EDATE(EDATE('核心假设'!$B$5,17+$F7),$D7),SUM('融资租赁与资金缺口'!$D$5:$D$16)*$AD7*'核心假设'!$B$32,0),0))</x:f>
        <x:v>13486007.410604471</x:v>
      </x:c>
      <x:c r="BJ19" s="28" t="n">
        <x:f>SUM(IF(AND(BJ$4&gt;EDATE('核心假设'!$B$5,0+$F7),BJ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J$4=EDATE(EDATE('核心假设'!$B$5,0+$F7),$D7),SUM('融资租赁与资金缺口'!$D$5:$D$16)*$M7*'核心假设'!$B$32,0),0),IF(AND(BJ$4&gt;EDATE('核心假设'!$B$5,1+$F7),BJ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J$4=EDATE(EDATE('核心假设'!$B$5,1+$F7),$D7),SUM('融资租赁与资金缺口'!$D$5:$D$16)*$N7*'核心假设'!$B$32,0),0),IF(AND(BJ$4&gt;EDATE('核心假设'!$B$5,2+$F7),BJ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J$4=EDATE(EDATE('核心假设'!$B$5,2+$F7),$D7),SUM('融资租赁与资金缺口'!$D$5:$D$16)*$O7*'核心假设'!$B$32,0),0),IF(AND(BJ$4&gt;EDATE('核心假设'!$B$5,3+$F7),BJ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J$4=EDATE(EDATE('核心假设'!$B$5,3+$F7),$D7),SUM('融资租赁与资金缺口'!$D$5:$D$16)*$P7*'核心假设'!$B$32,0),0),IF(AND(BJ$4&gt;EDATE('核心假设'!$B$5,4+$F7),BJ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J$4=EDATE(EDATE('核心假设'!$B$5,4+$F7),$D7),SUM('融资租赁与资金缺口'!$D$5:$D$16)*$Q7*'核心假设'!$B$32,0),0),IF(AND(BJ$4&gt;EDATE('核心假设'!$B$5,5+$F7),BJ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J$4=EDATE(EDATE('核心假设'!$B$5,5+$F7),$D7),SUM('融资租赁与资金缺口'!$D$5:$D$16)*$R7*'核心假设'!$B$32,0),0),IF(AND(BJ$4&gt;EDATE('核心假设'!$B$5,6+$F7),BJ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J$4=EDATE(EDATE('核心假设'!$B$5,6+$F7),$D7),SUM('融资租赁与资金缺口'!$D$5:$D$16)*$S7*'核心假设'!$B$32,0),0),IF(AND(BJ$4&gt;EDATE('核心假设'!$B$5,7+$F7),BJ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J$4=EDATE(EDATE('核心假设'!$B$5,7+$F7),$D7),SUM('融资租赁与资金缺口'!$D$5:$D$16)*$T7*'核心假设'!$B$32,0),0),IF(AND(BJ$4&gt;EDATE('核心假设'!$B$5,8+$F7),BJ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J$4=EDATE(EDATE('核心假设'!$B$5,8+$F7),$D7),SUM('融资租赁与资金缺口'!$D$5:$D$16)*$U7*'核心假设'!$B$32,0),0),IF(AND(BJ$4&gt;EDATE('核心假设'!$B$5,9+$F7),BJ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J$4=EDATE(EDATE('核心假设'!$B$5,9+$F7),$D7),SUM('融资租赁与资金缺口'!$D$5:$D$16)*$V7*'核心假设'!$B$32,0),0),IF(AND(BJ$4&gt;EDATE('核心假设'!$B$5,10+$F7),BJ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J$4=EDATE(EDATE('核心假设'!$B$5,10+$F7),$D7),SUM('融资租赁与资金缺口'!$D$5:$D$16)*$W7*'核心假设'!$B$32,0),0),IF(AND(BJ$4&gt;EDATE('核心假设'!$B$5,11+$F7),BJ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J$4=EDATE(EDATE('核心假设'!$B$5,11+$F7),$D7),SUM('融资租赁与资金缺口'!$D$5:$D$16)*$X7*'核心假设'!$B$32,0),0),IF(AND(BJ$4&gt;EDATE('核心假设'!$B$5,12+$F7),BJ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J$4=EDATE(EDATE('核心假设'!$B$5,12+$F7),$D7),SUM('融资租赁与资金缺口'!$D$5:$D$16)*$Y7*'核心假设'!$B$32,0),0),IF(AND(BJ$4&gt;EDATE('核心假设'!$B$5,13+$F7),BJ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J$4=EDATE(EDATE('核心假设'!$B$5,13+$F7),$D7),SUM('融资租赁与资金缺口'!$D$5:$D$16)*$Z7*'核心假设'!$B$32,0),0),IF(AND(BJ$4&gt;EDATE('核心假设'!$B$5,14+$F7),BJ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J$4=EDATE(EDATE('核心假设'!$B$5,14+$F7),$D7),SUM('融资租赁与资金缺口'!$D$5:$D$16)*$AA7*'核心假设'!$B$32,0),0),IF(AND(BJ$4&gt;EDATE('核心假设'!$B$5,15+$F7),BJ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J$4=EDATE(EDATE('核心假设'!$B$5,15+$F7),$D7),SUM('融资租赁与资金缺口'!$D$5:$D$16)*$AB7*'核心假设'!$B$32,0),0),IF(AND(BJ$4&gt;EDATE('核心假设'!$B$5,16+$F7),BJ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J$4=EDATE(EDATE('核心假设'!$B$5,16+$F7),$D7),SUM('融资租赁与资金缺口'!$D$5:$D$16)*$AC7*'核心假设'!$B$32,0),0),IF(AND(BJ$4&gt;EDATE('核心假设'!$B$5,17+$F7),BJ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J$4=EDATE(EDATE('核心假设'!$B$5,17+$F7),$D7),SUM('融资租赁与资金缺口'!$D$5:$D$16)*$AD7*'核心假设'!$B$32,0),0))</x:f>
        <x:v>13486007.410604471</x:v>
      </x:c>
      <x:c r="BK19" s="28" t="n">
        <x:f>SUM(IF(AND(BK$4&gt;EDATE('核心假设'!$B$5,0+$F7),BK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K$4=EDATE(EDATE('核心假设'!$B$5,0+$F7),$D7),SUM('融资租赁与资金缺口'!$D$5:$D$16)*$M7*'核心假设'!$B$32,0),0),IF(AND(BK$4&gt;EDATE('核心假设'!$B$5,1+$F7),BK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K$4=EDATE(EDATE('核心假设'!$B$5,1+$F7),$D7),SUM('融资租赁与资金缺口'!$D$5:$D$16)*$N7*'核心假设'!$B$32,0),0),IF(AND(BK$4&gt;EDATE('核心假设'!$B$5,2+$F7),BK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K$4=EDATE(EDATE('核心假设'!$B$5,2+$F7),$D7),SUM('融资租赁与资金缺口'!$D$5:$D$16)*$O7*'核心假设'!$B$32,0),0),IF(AND(BK$4&gt;EDATE('核心假设'!$B$5,3+$F7),BK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K$4=EDATE(EDATE('核心假设'!$B$5,3+$F7),$D7),SUM('融资租赁与资金缺口'!$D$5:$D$16)*$P7*'核心假设'!$B$32,0),0),IF(AND(BK$4&gt;EDATE('核心假设'!$B$5,4+$F7),BK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K$4=EDATE(EDATE('核心假设'!$B$5,4+$F7),$D7),SUM('融资租赁与资金缺口'!$D$5:$D$16)*$Q7*'核心假设'!$B$32,0),0),IF(AND(BK$4&gt;EDATE('核心假设'!$B$5,5+$F7),BK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K$4=EDATE(EDATE('核心假设'!$B$5,5+$F7),$D7),SUM('融资租赁与资金缺口'!$D$5:$D$16)*$R7*'核心假设'!$B$32,0),0),IF(AND(BK$4&gt;EDATE('核心假设'!$B$5,6+$F7),BK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K$4=EDATE(EDATE('核心假设'!$B$5,6+$F7),$D7),SUM('融资租赁与资金缺口'!$D$5:$D$16)*$S7*'核心假设'!$B$32,0),0),IF(AND(BK$4&gt;EDATE('核心假设'!$B$5,7+$F7),BK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K$4=EDATE(EDATE('核心假设'!$B$5,7+$F7),$D7),SUM('融资租赁与资金缺口'!$D$5:$D$16)*$T7*'核心假设'!$B$32,0),0),IF(AND(BK$4&gt;EDATE('核心假设'!$B$5,8+$F7),BK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K$4=EDATE(EDATE('核心假设'!$B$5,8+$F7),$D7),SUM('融资租赁与资金缺口'!$D$5:$D$16)*$U7*'核心假设'!$B$32,0),0),IF(AND(BK$4&gt;EDATE('核心假设'!$B$5,9+$F7),BK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K$4=EDATE(EDATE('核心假设'!$B$5,9+$F7),$D7),SUM('融资租赁与资金缺口'!$D$5:$D$16)*$V7*'核心假设'!$B$32,0),0),IF(AND(BK$4&gt;EDATE('核心假设'!$B$5,10+$F7),BK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K$4=EDATE(EDATE('核心假设'!$B$5,10+$F7),$D7),SUM('融资租赁与资金缺口'!$D$5:$D$16)*$W7*'核心假设'!$B$32,0),0),IF(AND(BK$4&gt;EDATE('核心假设'!$B$5,11+$F7),BK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K$4=EDATE(EDATE('核心假设'!$B$5,11+$F7),$D7),SUM('融资租赁与资金缺口'!$D$5:$D$16)*$X7*'核心假设'!$B$32,0),0),IF(AND(BK$4&gt;EDATE('核心假设'!$B$5,12+$F7),BK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K$4=EDATE(EDATE('核心假设'!$B$5,12+$F7),$D7),SUM('融资租赁与资金缺口'!$D$5:$D$16)*$Y7*'核心假设'!$B$32,0),0),IF(AND(BK$4&gt;EDATE('核心假设'!$B$5,13+$F7),BK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K$4=EDATE(EDATE('核心假设'!$B$5,13+$F7),$D7),SUM('融资租赁与资金缺口'!$D$5:$D$16)*$Z7*'核心假设'!$B$32,0),0),IF(AND(BK$4&gt;EDATE('核心假设'!$B$5,14+$F7),BK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K$4=EDATE(EDATE('核心假设'!$B$5,14+$F7),$D7),SUM('融资租赁与资金缺口'!$D$5:$D$16)*$AA7*'核心假设'!$B$32,0),0),IF(AND(BK$4&gt;EDATE('核心假设'!$B$5,15+$F7),BK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K$4=EDATE(EDATE('核心假设'!$B$5,15+$F7),$D7),SUM('融资租赁与资金缺口'!$D$5:$D$16)*$AB7*'核心假设'!$B$32,0),0),IF(AND(BK$4&gt;EDATE('核心假设'!$B$5,16+$F7),BK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K$4=EDATE(EDATE('核心假设'!$B$5,16+$F7),$D7),SUM('融资租赁与资金缺口'!$D$5:$D$16)*$AC7*'核心假设'!$B$32,0),0),IF(AND(BK$4&gt;EDATE('核心假设'!$B$5,17+$F7),BK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K$4=EDATE(EDATE('核心假设'!$B$5,17+$F7),$D7),SUM('融资租赁与资金缺口'!$D$5:$D$16)*$AD7*'核心假设'!$B$32,0),0))</x:f>
        <x:v>13486007.410604471</x:v>
      </x:c>
      <x:c r="BL19" s="28" t="n">
        <x:f>SUM(IF(AND(BL$4&gt;EDATE('核心假设'!$B$5,0+$F7),BL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L$4=EDATE(EDATE('核心假设'!$B$5,0+$F7),$D7),SUM('融资租赁与资金缺口'!$D$5:$D$16)*$M7*'核心假设'!$B$32,0),0),IF(AND(BL$4&gt;EDATE('核心假设'!$B$5,1+$F7),BL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L$4=EDATE(EDATE('核心假设'!$B$5,1+$F7),$D7),SUM('融资租赁与资金缺口'!$D$5:$D$16)*$N7*'核心假设'!$B$32,0),0),IF(AND(BL$4&gt;EDATE('核心假设'!$B$5,2+$F7),BL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L$4=EDATE(EDATE('核心假设'!$B$5,2+$F7),$D7),SUM('融资租赁与资金缺口'!$D$5:$D$16)*$O7*'核心假设'!$B$32,0),0),IF(AND(BL$4&gt;EDATE('核心假设'!$B$5,3+$F7),BL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L$4=EDATE(EDATE('核心假设'!$B$5,3+$F7),$D7),SUM('融资租赁与资金缺口'!$D$5:$D$16)*$P7*'核心假设'!$B$32,0),0),IF(AND(BL$4&gt;EDATE('核心假设'!$B$5,4+$F7),BL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L$4=EDATE(EDATE('核心假设'!$B$5,4+$F7),$D7),SUM('融资租赁与资金缺口'!$D$5:$D$16)*$Q7*'核心假设'!$B$32,0),0),IF(AND(BL$4&gt;EDATE('核心假设'!$B$5,5+$F7),BL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L$4=EDATE(EDATE('核心假设'!$B$5,5+$F7),$D7),SUM('融资租赁与资金缺口'!$D$5:$D$16)*$R7*'核心假设'!$B$32,0),0),IF(AND(BL$4&gt;EDATE('核心假设'!$B$5,6+$F7),BL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L$4=EDATE(EDATE('核心假设'!$B$5,6+$F7),$D7),SUM('融资租赁与资金缺口'!$D$5:$D$16)*$S7*'核心假设'!$B$32,0),0),IF(AND(BL$4&gt;EDATE('核心假设'!$B$5,7+$F7),BL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L$4=EDATE(EDATE('核心假设'!$B$5,7+$F7),$D7),SUM('融资租赁与资金缺口'!$D$5:$D$16)*$T7*'核心假设'!$B$32,0),0),IF(AND(BL$4&gt;EDATE('核心假设'!$B$5,8+$F7),BL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L$4=EDATE(EDATE('核心假设'!$B$5,8+$F7),$D7),SUM('融资租赁与资金缺口'!$D$5:$D$16)*$U7*'核心假设'!$B$32,0),0),IF(AND(BL$4&gt;EDATE('核心假设'!$B$5,9+$F7),BL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L$4=EDATE(EDATE('核心假设'!$B$5,9+$F7),$D7),SUM('融资租赁与资金缺口'!$D$5:$D$16)*$V7*'核心假设'!$B$32,0),0),IF(AND(BL$4&gt;EDATE('核心假设'!$B$5,10+$F7),BL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L$4=EDATE(EDATE('核心假设'!$B$5,10+$F7),$D7),SUM('融资租赁与资金缺口'!$D$5:$D$16)*$W7*'核心假设'!$B$32,0),0),IF(AND(BL$4&gt;EDATE('核心假设'!$B$5,11+$F7),BL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L$4=EDATE(EDATE('核心假设'!$B$5,11+$F7),$D7),SUM('融资租赁与资金缺口'!$D$5:$D$16)*$X7*'核心假设'!$B$32,0),0),IF(AND(BL$4&gt;EDATE('核心假设'!$B$5,12+$F7),BL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L$4=EDATE(EDATE('核心假设'!$B$5,12+$F7),$D7),SUM('融资租赁与资金缺口'!$D$5:$D$16)*$Y7*'核心假设'!$B$32,0),0),IF(AND(BL$4&gt;EDATE('核心假设'!$B$5,13+$F7),BL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L$4=EDATE(EDATE('核心假设'!$B$5,13+$F7),$D7),SUM('融资租赁与资金缺口'!$D$5:$D$16)*$Z7*'核心假设'!$B$32,0),0),IF(AND(BL$4&gt;EDATE('核心假设'!$B$5,14+$F7),BL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L$4=EDATE(EDATE('核心假设'!$B$5,14+$F7),$D7),SUM('融资租赁与资金缺口'!$D$5:$D$16)*$AA7*'核心假设'!$B$32,0),0),IF(AND(BL$4&gt;EDATE('核心假设'!$B$5,15+$F7),BL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L$4=EDATE(EDATE('核心假设'!$B$5,15+$F7),$D7),SUM('融资租赁与资金缺口'!$D$5:$D$16)*$AB7*'核心假设'!$B$32,0),0),IF(AND(BL$4&gt;EDATE('核心假设'!$B$5,16+$F7),BL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L$4=EDATE(EDATE('核心假设'!$B$5,16+$F7),$D7),SUM('融资租赁与资金缺口'!$D$5:$D$16)*$AC7*'核心假设'!$B$32,0),0),IF(AND(BL$4&gt;EDATE('核心假设'!$B$5,17+$F7),BL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L$4=EDATE(EDATE('核心假设'!$B$5,17+$F7),$D7),SUM('融资租赁与资金缺口'!$D$5:$D$16)*$AD7*'核心假设'!$B$32,0),0))</x:f>
        <x:v>13486007.410604471</x:v>
      </x:c>
      <x:c r="BM19" s="28" t="n">
        <x:f>SUM(IF(AND(BM$4&gt;EDATE('核心假设'!$B$5,0+$F7),BM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M$4=EDATE(EDATE('核心假设'!$B$5,0+$F7),$D7),SUM('融资租赁与资金缺口'!$D$5:$D$16)*$M7*'核心假设'!$B$32,0),0),IF(AND(BM$4&gt;EDATE('核心假设'!$B$5,1+$F7),BM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M$4=EDATE(EDATE('核心假设'!$B$5,1+$F7),$D7),SUM('融资租赁与资金缺口'!$D$5:$D$16)*$N7*'核心假设'!$B$32,0),0),IF(AND(BM$4&gt;EDATE('核心假设'!$B$5,2+$F7),BM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M$4=EDATE(EDATE('核心假设'!$B$5,2+$F7),$D7),SUM('融资租赁与资金缺口'!$D$5:$D$16)*$O7*'核心假设'!$B$32,0),0),IF(AND(BM$4&gt;EDATE('核心假设'!$B$5,3+$F7),BM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M$4=EDATE(EDATE('核心假设'!$B$5,3+$F7),$D7),SUM('融资租赁与资金缺口'!$D$5:$D$16)*$P7*'核心假设'!$B$32,0),0),IF(AND(BM$4&gt;EDATE('核心假设'!$B$5,4+$F7),BM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M$4=EDATE(EDATE('核心假设'!$B$5,4+$F7),$D7),SUM('融资租赁与资金缺口'!$D$5:$D$16)*$Q7*'核心假设'!$B$32,0),0),IF(AND(BM$4&gt;EDATE('核心假设'!$B$5,5+$F7),BM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M$4=EDATE(EDATE('核心假设'!$B$5,5+$F7),$D7),SUM('融资租赁与资金缺口'!$D$5:$D$16)*$R7*'核心假设'!$B$32,0),0),IF(AND(BM$4&gt;EDATE('核心假设'!$B$5,6+$F7),BM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M$4=EDATE(EDATE('核心假设'!$B$5,6+$F7),$D7),SUM('融资租赁与资金缺口'!$D$5:$D$16)*$S7*'核心假设'!$B$32,0),0),IF(AND(BM$4&gt;EDATE('核心假设'!$B$5,7+$F7),BM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M$4=EDATE(EDATE('核心假设'!$B$5,7+$F7),$D7),SUM('融资租赁与资金缺口'!$D$5:$D$16)*$T7*'核心假设'!$B$32,0),0),IF(AND(BM$4&gt;EDATE('核心假设'!$B$5,8+$F7),BM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M$4=EDATE(EDATE('核心假设'!$B$5,8+$F7),$D7),SUM('融资租赁与资金缺口'!$D$5:$D$16)*$U7*'核心假设'!$B$32,0),0),IF(AND(BM$4&gt;EDATE('核心假设'!$B$5,9+$F7),BM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M$4=EDATE(EDATE('核心假设'!$B$5,9+$F7),$D7),SUM('融资租赁与资金缺口'!$D$5:$D$16)*$V7*'核心假设'!$B$32,0),0),IF(AND(BM$4&gt;EDATE('核心假设'!$B$5,10+$F7),BM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M$4=EDATE(EDATE('核心假设'!$B$5,10+$F7),$D7),SUM('融资租赁与资金缺口'!$D$5:$D$16)*$W7*'核心假设'!$B$32,0),0),IF(AND(BM$4&gt;EDATE('核心假设'!$B$5,11+$F7),BM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M$4=EDATE(EDATE('核心假设'!$B$5,11+$F7),$D7),SUM('融资租赁与资金缺口'!$D$5:$D$16)*$X7*'核心假设'!$B$32,0),0),IF(AND(BM$4&gt;EDATE('核心假设'!$B$5,12+$F7),BM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M$4=EDATE(EDATE('核心假设'!$B$5,12+$F7),$D7),SUM('融资租赁与资金缺口'!$D$5:$D$16)*$Y7*'核心假设'!$B$32,0),0),IF(AND(BM$4&gt;EDATE('核心假设'!$B$5,13+$F7),BM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M$4=EDATE(EDATE('核心假设'!$B$5,13+$F7),$D7),SUM('融资租赁与资金缺口'!$D$5:$D$16)*$Z7*'核心假设'!$B$32,0),0),IF(AND(BM$4&gt;EDATE('核心假设'!$B$5,14+$F7),BM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M$4=EDATE(EDATE('核心假设'!$B$5,14+$F7),$D7),SUM('融资租赁与资金缺口'!$D$5:$D$16)*$AA7*'核心假设'!$B$32,0),0),IF(AND(BM$4&gt;EDATE('核心假设'!$B$5,15+$F7),BM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M$4=EDATE(EDATE('核心假设'!$B$5,15+$F7),$D7),SUM('融资租赁与资金缺口'!$D$5:$D$16)*$AB7*'核心假设'!$B$32,0),0),IF(AND(BM$4&gt;EDATE('核心假设'!$B$5,16+$F7),BM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M$4=EDATE(EDATE('核心假设'!$B$5,16+$F7),$D7),SUM('融资租赁与资金缺口'!$D$5:$D$16)*$AC7*'核心假设'!$B$32,0),0),IF(AND(BM$4&gt;EDATE('核心假设'!$B$5,17+$F7),BM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M$4=EDATE(EDATE('核心假设'!$B$5,17+$F7),$D7),SUM('融资租赁与资金缺口'!$D$5:$D$16)*$AD7*'核心假设'!$B$32,0),0))</x:f>
        <x:v>13486007.410604471</x:v>
      </x:c>
      <x:c r="BN19" s="28" t="n">
        <x:f>SUM(IF(AND(BN$4&gt;EDATE('核心假设'!$B$5,0+$F7),BN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N$4=EDATE(EDATE('核心假设'!$B$5,0+$F7),$D7),SUM('融资租赁与资金缺口'!$D$5:$D$16)*$M7*'核心假设'!$B$32,0),0),IF(AND(BN$4&gt;EDATE('核心假设'!$B$5,1+$F7),BN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N$4=EDATE(EDATE('核心假设'!$B$5,1+$F7),$D7),SUM('融资租赁与资金缺口'!$D$5:$D$16)*$N7*'核心假设'!$B$32,0),0),IF(AND(BN$4&gt;EDATE('核心假设'!$B$5,2+$F7),BN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N$4=EDATE(EDATE('核心假设'!$B$5,2+$F7),$D7),SUM('融资租赁与资金缺口'!$D$5:$D$16)*$O7*'核心假设'!$B$32,0),0),IF(AND(BN$4&gt;EDATE('核心假设'!$B$5,3+$F7),BN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N$4=EDATE(EDATE('核心假设'!$B$5,3+$F7),$D7),SUM('融资租赁与资金缺口'!$D$5:$D$16)*$P7*'核心假设'!$B$32,0),0),IF(AND(BN$4&gt;EDATE('核心假设'!$B$5,4+$F7),BN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N$4=EDATE(EDATE('核心假设'!$B$5,4+$F7),$D7),SUM('融资租赁与资金缺口'!$D$5:$D$16)*$Q7*'核心假设'!$B$32,0),0),IF(AND(BN$4&gt;EDATE('核心假设'!$B$5,5+$F7),BN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N$4=EDATE(EDATE('核心假设'!$B$5,5+$F7),$D7),SUM('融资租赁与资金缺口'!$D$5:$D$16)*$R7*'核心假设'!$B$32,0),0),IF(AND(BN$4&gt;EDATE('核心假设'!$B$5,6+$F7),BN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N$4=EDATE(EDATE('核心假设'!$B$5,6+$F7),$D7),SUM('融资租赁与资金缺口'!$D$5:$D$16)*$S7*'核心假设'!$B$32,0),0),IF(AND(BN$4&gt;EDATE('核心假设'!$B$5,7+$F7),BN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N$4=EDATE(EDATE('核心假设'!$B$5,7+$F7),$D7),SUM('融资租赁与资金缺口'!$D$5:$D$16)*$T7*'核心假设'!$B$32,0),0),IF(AND(BN$4&gt;EDATE('核心假设'!$B$5,8+$F7),BN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N$4=EDATE(EDATE('核心假设'!$B$5,8+$F7),$D7),SUM('融资租赁与资金缺口'!$D$5:$D$16)*$U7*'核心假设'!$B$32,0),0),IF(AND(BN$4&gt;EDATE('核心假设'!$B$5,9+$F7),BN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N$4=EDATE(EDATE('核心假设'!$B$5,9+$F7),$D7),SUM('融资租赁与资金缺口'!$D$5:$D$16)*$V7*'核心假设'!$B$32,0),0),IF(AND(BN$4&gt;EDATE('核心假设'!$B$5,10+$F7),BN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N$4=EDATE(EDATE('核心假设'!$B$5,10+$F7),$D7),SUM('融资租赁与资金缺口'!$D$5:$D$16)*$W7*'核心假设'!$B$32,0),0),IF(AND(BN$4&gt;EDATE('核心假设'!$B$5,11+$F7),BN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N$4=EDATE(EDATE('核心假设'!$B$5,11+$F7),$D7),SUM('融资租赁与资金缺口'!$D$5:$D$16)*$X7*'核心假设'!$B$32,0),0),IF(AND(BN$4&gt;EDATE('核心假设'!$B$5,12+$F7),BN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N$4=EDATE(EDATE('核心假设'!$B$5,12+$F7),$D7),SUM('融资租赁与资金缺口'!$D$5:$D$16)*$Y7*'核心假设'!$B$32,0),0),IF(AND(BN$4&gt;EDATE('核心假设'!$B$5,13+$F7),BN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N$4=EDATE(EDATE('核心假设'!$B$5,13+$F7),$D7),SUM('融资租赁与资金缺口'!$D$5:$D$16)*$Z7*'核心假设'!$B$32,0),0),IF(AND(BN$4&gt;EDATE('核心假设'!$B$5,14+$F7),BN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N$4=EDATE(EDATE('核心假设'!$B$5,14+$F7),$D7),SUM('融资租赁与资金缺口'!$D$5:$D$16)*$AA7*'核心假设'!$B$32,0),0),IF(AND(BN$4&gt;EDATE('核心假设'!$B$5,15+$F7),BN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N$4=EDATE(EDATE('核心假设'!$B$5,15+$F7),$D7),SUM('融资租赁与资金缺口'!$D$5:$D$16)*$AB7*'核心假设'!$B$32,0),0),IF(AND(BN$4&gt;EDATE('核心假设'!$B$5,16+$F7),BN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N$4=EDATE(EDATE('核心假设'!$B$5,16+$F7),$D7),SUM('融资租赁与资金缺口'!$D$5:$D$16)*$AC7*'核心假设'!$B$32,0),0),IF(AND(BN$4&gt;EDATE('核心假设'!$B$5,17+$F7),BN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N$4=EDATE(EDATE('核心假设'!$B$5,17+$F7),$D7),SUM('融资租赁与资金缺口'!$D$5:$D$16)*$AD7*'核心假设'!$B$32,0),0))</x:f>
        <x:v>13486007.410604471</x:v>
      </x:c>
      <x:c r="BO19" s="28" t="n">
        <x:f>SUM(IF(AND(BO$4&gt;EDATE('核心假设'!$B$5,0+$F7),BO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O$4=EDATE(EDATE('核心假设'!$B$5,0+$F7),$D7),SUM('融资租赁与资金缺口'!$D$5:$D$16)*$M7*'核心假设'!$B$32,0),0),IF(AND(BO$4&gt;EDATE('核心假设'!$B$5,1+$F7),BO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O$4=EDATE(EDATE('核心假设'!$B$5,1+$F7),$D7),SUM('融资租赁与资金缺口'!$D$5:$D$16)*$N7*'核心假设'!$B$32,0),0),IF(AND(BO$4&gt;EDATE('核心假设'!$B$5,2+$F7),BO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O$4=EDATE(EDATE('核心假设'!$B$5,2+$F7),$D7),SUM('融资租赁与资金缺口'!$D$5:$D$16)*$O7*'核心假设'!$B$32,0),0),IF(AND(BO$4&gt;EDATE('核心假设'!$B$5,3+$F7),BO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O$4=EDATE(EDATE('核心假设'!$B$5,3+$F7),$D7),SUM('融资租赁与资金缺口'!$D$5:$D$16)*$P7*'核心假设'!$B$32,0),0),IF(AND(BO$4&gt;EDATE('核心假设'!$B$5,4+$F7),BO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O$4=EDATE(EDATE('核心假设'!$B$5,4+$F7),$D7),SUM('融资租赁与资金缺口'!$D$5:$D$16)*$Q7*'核心假设'!$B$32,0),0),IF(AND(BO$4&gt;EDATE('核心假设'!$B$5,5+$F7),BO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O$4=EDATE(EDATE('核心假设'!$B$5,5+$F7),$D7),SUM('融资租赁与资金缺口'!$D$5:$D$16)*$R7*'核心假设'!$B$32,0),0),IF(AND(BO$4&gt;EDATE('核心假设'!$B$5,6+$F7),BO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O$4=EDATE(EDATE('核心假设'!$B$5,6+$F7),$D7),SUM('融资租赁与资金缺口'!$D$5:$D$16)*$S7*'核心假设'!$B$32,0),0),IF(AND(BO$4&gt;EDATE('核心假设'!$B$5,7+$F7),BO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O$4=EDATE(EDATE('核心假设'!$B$5,7+$F7),$D7),SUM('融资租赁与资金缺口'!$D$5:$D$16)*$T7*'核心假设'!$B$32,0),0),IF(AND(BO$4&gt;EDATE('核心假设'!$B$5,8+$F7),BO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O$4=EDATE(EDATE('核心假设'!$B$5,8+$F7),$D7),SUM('融资租赁与资金缺口'!$D$5:$D$16)*$U7*'核心假设'!$B$32,0),0),IF(AND(BO$4&gt;EDATE('核心假设'!$B$5,9+$F7),BO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O$4=EDATE(EDATE('核心假设'!$B$5,9+$F7),$D7),SUM('融资租赁与资金缺口'!$D$5:$D$16)*$V7*'核心假设'!$B$32,0),0),IF(AND(BO$4&gt;EDATE('核心假设'!$B$5,10+$F7),BO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O$4=EDATE(EDATE('核心假设'!$B$5,10+$F7),$D7),SUM('融资租赁与资金缺口'!$D$5:$D$16)*$W7*'核心假设'!$B$32,0),0),IF(AND(BO$4&gt;EDATE('核心假设'!$B$5,11+$F7),BO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O$4=EDATE(EDATE('核心假设'!$B$5,11+$F7),$D7),SUM('融资租赁与资金缺口'!$D$5:$D$16)*$X7*'核心假设'!$B$32,0),0),IF(AND(BO$4&gt;EDATE('核心假设'!$B$5,12+$F7),BO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O$4=EDATE(EDATE('核心假设'!$B$5,12+$F7),$D7),SUM('融资租赁与资金缺口'!$D$5:$D$16)*$Y7*'核心假设'!$B$32,0),0),IF(AND(BO$4&gt;EDATE('核心假设'!$B$5,13+$F7),BO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O$4=EDATE(EDATE('核心假设'!$B$5,13+$F7),$D7),SUM('融资租赁与资金缺口'!$D$5:$D$16)*$Z7*'核心假设'!$B$32,0),0),IF(AND(BO$4&gt;EDATE('核心假设'!$B$5,14+$F7),BO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O$4=EDATE(EDATE('核心假设'!$B$5,14+$F7),$D7),SUM('融资租赁与资金缺口'!$D$5:$D$16)*$AA7*'核心假设'!$B$32,0),0),IF(AND(BO$4&gt;EDATE('核心假设'!$B$5,15+$F7),BO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O$4=EDATE(EDATE('核心假设'!$B$5,15+$F7),$D7),SUM('融资租赁与资金缺口'!$D$5:$D$16)*$AB7*'核心假设'!$B$32,0),0),IF(AND(BO$4&gt;EDATE('核心假设'!$B$5,16+$F7),BO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O$4=EDATE(EDATE('核心假设'!$B$5,16+$F7),$D7),SUM('融资租赁与资金缺口'!$D$5:$D$16)*$AC7*'核心假设'!$B$32,0),0),IF(AND(BO$4&gt;EDATE('核心假设'!$B$5,17+$F7),BO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O$4=EDATE(EDATE('核心假设'!$B$5,17+$F7),$D7),SUM('融资租赁与资金缺口'!$D$5:$D$16)*$AD7*'核心假设'!$B$32,0),0))</x:f>
        <x:v>13486007.410604471</x:v>
      </x:c>
      <x:c r="BP19" s="28" t="n">
        <x:f>SUM(IF(AND(BP$4&gt;EDATE('核心假设'!$B$5,0+$F7),BP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P$4=EDATE(EDATE('核心假设'!$B$5,0+$F7),$D7),SUM('融资租赁与资金缺口'!$D$5:$D$16)*$M7*'核心假设'!$B$32,0),0),IF(AND(BP$4&gt;EDATE('核心假设'!$B$5,1+$F7),BP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P$4=EDATE(EDATE('核心假设'!$B$5,1+$F7),$D7),SUM('融资租赁与资金缺口'!$D$5:$D$16)*$N7*'核心假设'!$B$32,0),0),IF(AND(BP$4&gt;EDATE('核心假设'!$B$5,2+$F7),BP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P$4=EDATE(EDATE('核心假设'!$B$5,2+$F7),$D7),SUM('融资租赁与资金缺口'!$D$5:$D$16)*$O7*'核心假设'!$B$32,0),0),IF(AND(BP$4&gt;EDATE('核心假设'!$B$5,3+$F7),BP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P$4=EDATE(EDATE('核心假设'!$B$5,3+$F7),$D7),SUM('融资租赁与资金缺口'!$D$5:$D$16)*$P7*'核心假设'!$B$32,0),0),IF(AND(BP$4&gt;EDATE('核心假设'!$B$5,4+$F7),BP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P$4=EDATE(EDATE('核心假设'!$B$5,4+$F7),$D7),SUM('融资租赁与资金缺口'!$D$5:$D$16)*$Q7*'核心假设'!$B$32,0),0),IF(AND(BP$4&gt;EDATE('核心假设'!$B$5,5+$F7),BP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P$4=EDATE(EDATE('核心假设'!$B$5,5+$F7),$D7),SUM('融资租赁与资金缺口'!$D$5:$D$16)*$R7*'核心假设'!$B$32,0),0),IF(AND(BP$4&gt;EDATE('核心假设'!$B$5,6+$F7),BP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P$4=EDATE(EDATE('核心假设'!$B$5,6+$F7),$D7),SUM('融资租赁与资金缺口'!$D$5:$D$16)*$S7*'核心假设'!$B$32,0),0),IF(AND(BP$4&gt;EDATE('核心假设'!$B$5,7+$F7),BP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P$4=EDATE(EDATE('核心假设'!$B$5,7+$F7),$D7),SUM('融资租赁与资金缺口'!$D$5:$D$16)*$T7*'核心假设'!$B$32,0),0),IF(AND(BP$4&gt;EDATE('核心假设'!$B$5,8+$F7),BP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P$4=EDATE(EDATE('核心假设'!$B$5,8+$F7),$D7),SUM('融资租赁与资金缺口'!$D$5:$D$16)*$U7*'核心假设'!$B$32,0),0),IF(AND(BP$4&gt;EDATE('核心假设'!$B$5,9+$F7),BP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P$4=EDATE(EDATE('核心假设'!$B$5,9+$F7),$D7),SUM('融资租赁与资金缺口'!$D$5:$D$16)*$V7*'核心假设'!$B$32,0),0),IF(AND(BP$4&gt;EDATE('核心假设'!$B$5,10+$F7),BP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P$4=EDATE(EDATE('核心假设'!$B$5,10+$F7),$D7),SUM('融资租赁与资金缺口'!$D$5:$D$16)*$W7*'核心假设'!$B$32,0),0),IF(AND(BP$4&gt;EDATE('核心假设'!$B$5,11+$F7),BP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P$4=EDATE(EDATE('核心假设'!$B$5,11+$F7),$D7),SUM('融资租赁与资金缺口'!$D$5:$D$16)*$X7*'核心假设'!$B$32,0),0),IF(AND(BP$4&gt;EDATE('核心假设'!$B$5,12+$F7),BP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P$4=EDATE(EDATE('核心假设'!$B$5,12+$F7),$D7),SUM('融资租赁与资金缺口'!$D$5:$D$16)*$Y7*'核心假设'!$B$32,0),0),IF(AND(BP$4&gt;EDATE('核心假设'!$B$5,13+$F7),BP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P$4=EDATE(EDATE('核心假设'!$B$5,13+$F7),$D7),SUM('融资租赁与资金缺口'!$D$5:$D$16)*$Z7*'核心假设'!$B$32,0),0),IF(AND(BP$4&gt;EDATE('核心假设'!$B$5,14+$F7),BP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P$4=EDATE(EDATE('核心假设'!$B$5,14+$F7),$D7),SUM('融资租赁与资金缺口'!$D$5:$D$16)*$AA7*'核心假设'!$B$32,0),0),IF(AND(BP$4&gt;EDATE('核心假设'!$B$5,15+$F7),BP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P$4=EDATE(EDATE('核心假设'!$B$5,15+$F7),$D7),SUM('融资租赁与资金缺口'!$D$5:$D$16)*$AB7*'核心假设'!$B$32,0),0),IF(AND(BP$4&gt;EDATE('核心假设'!$B$5,16+$F7),BP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P$4=EDATE(EDATE('核心假设'!$B$5,16+$F7),$D7),SUM('融资租赁与资金缺口'!$D$5:$D$16)*$AC7*'核心假设'!$B$32,0),0),IF(AND(BP$4&gt;EDATE('核心假设'!$B$5,17+$F7),BP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P$4=EDATE(EDATE('核心假设'!$B$5,17+$F7),$D7),SUM('融资租赁与资金缺口'!$D$5:$D$16)*$AD7*'核心假设'!$B$32,0),0))</x:f>
        <x:v>13486007.410604471</x:v>
      </x:c>
      <x:c r="BQ19" s="28" t="n">
        <x:f>SUM(IF(AND(BQ$4&gt;EDATE('核心假设'!$B$5,0+$F7),BQ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Q$4=EDATE(EDATE('核心假设'!$B$5,0+$F7),$D7),SUM('融资租赁与资金缺口'!$D$5:$D$16)*$M7*'核心假设'!$B$32,0),0),IF(AND(BQ$4&gt;EDATE('核心假设'!$B$5,1+$F7),BQ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Q$4=EDATE(EDATE('核心假设'!$B$5,1+$F7),$D7),SUM('融资租赁与资金缺口'!$D$5:$D$16)*$N7*'核心假设'!$B$32,0),0),IF(AND(BQ$4&gt;EDATE('核心假设'!$B$5,2+$F7),BQ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Q$4=EDATE(EDATE('核心假设'!$B$5,2+$F7),$D7),SUM('融资租赁与资金缺口'!$D$5:$D$16)*$O7*'核心假设'!$B$32,0),0),IF(AND(BQ$4&gt;EDATE('核心假设'!$B$5,3+$F7),BQ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Q$4=EDATE(EDATE('核心假设'!$B$5,3+$F7),$D7),SUM('融资租赁与资金缺口'!$D$5:$D$16)*$P7*'核心假设'!$B$32,0),0),IF(AND(BQ$4&gt;EDATE('核心假设'!$B$5,4+$F7),BQ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Q$4=EDATE(EDATE('核心假设'!$B$5,4+$F7),$D7),SUM('融资租赁与资金缺口'!$D$5:$D$16)*$Q7*'核心假设'!$B$32,0),0),IF(AND(BQ$4&gt;EDATE('核心假设'!$B$5,5+$F7),BQ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Q$4=EDATE(EDATE('核心假设'!$B$5,5+$F7),$D7),SUM('融资租赁与资金缺口'!$D$5:$D$16)*$R7*'核心假设'!$B$32,0),0),IF(AND(BQ$4&gt;EDATE('核心假设'!$B$5,6+$F7),BQ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Q$4=EDATE(EDATE('核心假设'!$B$5,6+$F7),$D7),SUM('融资租赁与资金缺口'!$D$5:$D$16)*$S7*'核心假设'!$B$32,0),0),IF(AND(BQ$4&gt;EDATE('核心假设'!$B$5,7+$F7),BQ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Q$4=EDATE(EDATE('核心假设'!$B$5,7+$F7),$D7),SUM('融资租赁与资金缺口'!$D$5:$D$16)*$T7*'核心假设'!$B$32,0),0),IF(AND(BQ$4&gt;EDATE('核心假设'!$B$5,8+$F7),BQ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Q$4=EDATE(EDATE('核心假设'!$B$5,8+$F7),$D7),SUM('融资租赁与资金缺口'!$D$5:$D$16)*$U7*'核心假设'!$B$32,0),0),IF(AND(BQ$4&gt;EDATE('核心假设'!$B$5,9+$F7),BQ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Q$4=EDATE(EDATE('核心假设'!$B$5,9+$F7),$D7),SUM('融资租赁与资金缺口'!$D$5:$D$16)*$V7*'核心假设'!$B$32,0),0),IF(AND(BQ$4&gt;EDATE('核心假设'!$B$5,10+$F7),BQ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Q$4=EDATE(EDATE('核心假设'!$B$5,10+$F7),$D7),SUM('融资租赁与资金缺口'!$D$5:$D$16)*$W7*'核心假设'!$B$32,0),0),IF(AND(BQ$4&gt;EDATE('核心假设'!$B$5,11+$F7),BQ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Q$4=EDATE(EDATE('核心假设'!$B$5,11+$F7),$D7),SUM('融资租赁与资金缺口'!$D$5:$D$16)*$X7*'核心假设'!$B$32,0),0),IF(AND(BQ$4&gt;EDATE('核心假设'!$B$5,12+$F7),BQ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Q$4=EDATE(EDATE('核心假设'!$B$5,12+$F7),$D7),SUM('融资租赁与资金缺口'!$D$5:$D$16)*$Y7*'核心假设'!$B$32,0),0),IF(AND(BQ$4&gt;EDATE('核心假设'!$B$5,13+$F7),BQ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Q$4=EDATE(EDATE('核心假设'!$B$5,13+$F7),$D7),SUM('融资租赁与资金缺口'!$D$5:$D$16)*$Z7*'核心假设'!$B$32,0),0),IF(AND(BQ$4&gt;EDATE('核心假设'!$B$5,14+$F7),BQ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Q$4=EDATE(EDATE('核心假设'!$B$5,14+$F7),$D7),SUM('融资租赁与资金缺口'!$D$5:$D$16)*$AA7*'核心假设'!$B$32,0),0),IF(AND(BQ$4&gt;EDATE('核心假设'!$B$5,15+$F7),BQ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Q$4=EDATE(EDATE('核心假设'!$B$5,15+$F7),$D7),SUM('融资租赁与资金缺口'!$D$5:$D$16)*$AB7*'核心假设'!$B$32,0),0),IF(AND(BQ$4&gt;EDATE('核心假设'!$B$5,16+$F7),BQ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Q$4=EDATE(EDATE('核心假设'!$B$5,16+$F7),$D7),SUM('融资租赁与资金缺口'!$D$5:$D$16)*$AC7*'核心假设'!$B$32,0),0),IF(AND(BQ$4&gt;EDATE('核心假设'!$B$5,17+$F7),BQ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Q$4=EDATE(EDATE('核心假设'!$B$5,17+$F7),$D7),SUM('融资租赁与资金缺口'!$D$5:$D$16)*$AD7*'核心假设'!$B$32,0),0))</x:f>
        <x:v>13757657.410604471</x:v>
      </x:c>
      <x:c r="BR19" s="28" t="n">
        <x:f>SUM(IF(AND(BR$4&gt;EDATE('核心假设'!$B$5,0+$F7),BR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R$4=EDATE(EDATE('核心假设'!$B$5,0+$F7),$D7),SUM('融资租赁与资金缺口'!$D$5:$D$16)*$M7*'核心假设'!$B$32,0),0),IF(AND(BR$4&gt;EDATE('核心假设'!$B$5,1+$F7),BR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R$4=EDATE(EDATE('核心假设'!$B$5,1+$F7),$D7),SUM('融资租赁与资金缺口'!$D$5:$D$16)*$N7*'核心假设'!$B$32,0),0),IF(AND(BR$4&gt;EDATE('核心假设'!$B$5,2+$F7),BR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R$4=EDATE(EDATE('核心假设'!$B$5,2+$F7),$D7),SUM('融资租赁与资金缺口'!$D$5:$D$16)*$O7*'核心假设'!$B$32,0),0),IF(AND(BR$4&gt;EDATE('核心假设'!$B$5,3+$F7),BR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R$4=EDATE(EDATE('核心假设'!$B$5,3+$F7),$D7),SUM('融资租赁与资金缺口'!$D$5:$D$16)*$P7*'核心假设'!$B$32,0),0),IF(AND(BR$4&gt;EDATE('核心假设'!$B$5,4+$F7),BR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R$4=EDATE(EDATE('核心假设'!$B$5,4+$F7),$D7),SUM('融资租赁与资金缺口'!$D$5:$D$16)*$Q7*'核心假设'!$B$32,0),0),IF(AND(BR$4&gt;EDATE('核心假设'!$B$5,5+$F7),BR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R$4=EDATE(EDATE('核心假设'!$B$5,5+$F7),$D7),SUM('融资租赁与资金缺口'!$D$5:$D$16)*$R7*'核心假设'!$B$32,0),0),IF(AND(BR$4&gt;EDATE('核心假设'!$B$5,6+$F7),BR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R$4=EDATE(EDATE('核心假设'!$B$5,6+$F7),$D7),SUM('融资租赁与资金缺口'!$D$5:$D$16)*$S7*'核心假设'!$B$32,0),0),IF(AND(BR$4&gt;EDATE('核心假设'!$B$5,7+$F7),BR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R$4=EDATE(EDATE('核心假设'!$B$5,7+$F7),$D7),SUM('融资租赁与资金缺口'!$D$5:$D$16)*$T7*'核心假设'!$B$32,0),0),IF(AND(BR$4&gt;EDATE('核心假设'!$B$5,8+$F7),BR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R$4=EDATE(EDATE('核心假设'!$B$5,8+$F7),$D7),SUM('融资租赁与资金缺口'!$D$5:$D$16)*$U7*'核心假设'!$B$32,0),0),IF(AND(BR$4&gt;EDATE('核心假设'!$B$5,9+$F7),BR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R$4=EDATE(EDATE('核心假设'!$B$5,9+$F7),$D7),SUM('融资租赁与资金缺口'!$D$5:$D$16)*$V7*'核心假设'!$B$32,0),0),IF(AND(BR$4&gt;EDATE('核心假设'!$B$5,10+$F7),BR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R$4=EDATE(EDATE('核心假设'!$B$5,10+$F7),$D7),SUM('融资租赁与资金缺口'!$D$5:$D$16)*$W7*'核心假设'!$B$32,0),0),IF(AND(BR$4&gt;EDATE('核心假设'!$B$5,11+$F7),BR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R$4=EDATE(EDATE('核心假设'!$B$5,11+$F7),$D7),SUM('融资租赁与资金缺口'!$D$5:$D$16)*$X7*'核心假设'!$B$32,0),0),IF(AND(BR$4&gt;EDATE('核心假设'!$B$5,12+$F7),BR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R$4=EDATE(EDATE('核心假设'!$B$5,12+$F7),$D7),SUM('融资租赁与资金缺口'!$D$5:$D$16)*$Y7*'核心假设'!$B$32,0),0),IF(AND(BR$4&gt;EDATE('核心假设'!$B$5,13+$F7),BR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R$4=EDATE(EDATE('核心假设'!$B$5,13+$F7),$D7),SUM('融资租赁与资金缺口'!$D$5:$D$16)*$Z7*'核心假设'!$B$32,0),0),IF(AND(BR$4&gt;EDATE('核心假设'!$B$5,14+$F7),BR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R$4=EDATE(EDATE('核心假设'!$B$5,14+$F7),$D7),SUM('融资租赁与资金缺口'!$D$5:$D$16)*$AA7*'核心假设'!$B$32,0),0),IF(AND(BR$4&gt;EDATE('核心假设'!$B$5,15+$F7),BR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R$4=EDATE(EDATE('核心假设'!$B$5,15+$F7),$D7),SUM('融资租赁与资金缺口'!$D$5:$D$16)*$AB7*'核心假设'!$B$32,0),0),IF(AND(BR$4&gt;EDATE('核心假设'!$B$5,16+$F7),BR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R$4=EDATE(EDATE('核心假设'!$B$5,16+$F7),$D7),SUM('融资租赁与资金缺口'!$D$5:$D$16)*$AC7*'核心假设'!$B$32,0),0),IF(AND(BR$4&gt;EDATE('核心假设'!$B$5,17+$F7),BR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R$4=EDATE(EDATE('核心假设'!$B$5,17+$F7),$D7),SUM('融资租赁与资金缺口'!$D$5:$D$16)*$AD7*'核心假设'!$B$32,0),0))</x:f>
        <x:v>13137687.040074246</x:v>
      </x:c>
      <x:c r="BS19" s="28" t="n">
        <x:f>SUM(IF(AND(BS$4&gt;EDATE('核心假设'!$B$5,0+$F7),BS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S$4=EDATE(EDATE('核心假设'!$B$5,0+$F7),$D7),SUM('融资租赁与资金缺口'!$D$5:$D$16)*$M7*'核心假设'!$B$32,0),0),IF(AND(BS$4&gt;EDATE('核心假设'!$B$5,1+$F7),BS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S$4=EDATE(EDATE('核心假设'!$B$5,1+$F7),$D7),SUM('融资租赁与资金缺口'!$D$5:$D$16)*$N7*'核心假设'!$B$32,0),0),IF(AND(BS$4&gt;EDATE('核心假设'!$B$5,2+$F7),BS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S$4=EDATE(EDATE('核心假设'!$B$5,2+$F7),$D7),SUM('融资租赁与资金缺口'!$D$5:$D$16)*$O7*'核心假设'!$B$32,0),0),IF(AND(BS$4&gt;EDATE('核心假设'!$B$5,3+$F7),BS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S$4=EDATE(EDATE('核心假设'!$B$5,3+$F7),$D7),SUM('融资租赁与资金缺口'!$D$5:$D$16)*$P7*'核心假设'!$B$32,0),0),IF(AND(BS$4&gt;EDATE('核心假设'!$B$5,4+$F7),BS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S$4=EDATE(EDATE('核心假设'!$B$5,4+$F7),$D7),SUM('融资租赁与资金缺口'!$D$5:$D$16)*$Q7*'核心假设'!$B$32,0),0),IF(AND(BS$4&gt;EDATE('核心假设'!$B$5,5+$F7),BS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S$4=EDATE(EDATE('核心假设'!$B$5,5+$F7),$D7),SUM('融资租赁与资金缺口'!$D$5:$D$16)*$R7*'核心假设'!$B$32,0),0),IF(AND(BS$4&gt;EDATE('核心假设'!$B$5,6+$F7),BS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S$4=EDATE(EDATE('核心假设'!$B$5,6+$F7),$D7),SUM('融资租赁与资金缺口'!$D$5:$D$16)*$S7*'核心假设'!$B$32,0),0),IF(AND(BS$4&gt;EDATE('核心假设'!$B$5,7+$F7),BS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S$4=EDATE(EDATE('核心假设'!$B$5,7+$F7),$D7),SUM('融资租赁与资金缺口'!$D$5:$D$16)*$T7*'核心假设'!$B$32,0),0),IF(AND(BS$4&gt;EDATE('核心假设'!$B$5,8+$F7),BS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S$4=EDATE(EDATE('核心假设'!$B$5,8+$F7),$D7),SUM('融资租赁与资金缺口'!$D$5:$D$16)*$U7*'核心假设'!$B$32,0),0),IF(AND(BS$4&gt;EDATE('核心假设'!$B$5,9+$F7),BS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S$4=EDATE(EDATE('核心假设'!$B$5,9+$F7),$D7),SUM('融资租赁与资金缺口'!$D$5:$D$16)*$V7*'核心假设'!$B$32,0),0),IF(AND(BS$4&gt;EDATE('核心假设'!$B$5,10+$F7),BS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S$4=EDATE(EDATE('核心假设'!$B$5,10+$F7),$D7),SUM('融资租赁与资金缺口'!$D$5:$D$16)*$W7*'核心假设'!$B$32,0),0),IF(AND(BS$4&gt;EDATE('核心假设'!$B$5,11+$F7),BS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S$4=EDATE(EDATE('核心假设'!$B$5,11+$F7),$D7),SUM('融资租赁与资金缺口'!$D$5:$D$16)*$X7*'核心假设'!$B$32,0),0),IF(AND(BS$4&gt;EDATE('核心假设'!$B$5,12+$F7),BS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S$4=EDATE(EDATE('核心假设'!$B$5,12+$F7),$D7),SUM('融资租赁与资金缺口'!$D$5:$D$16)*$Y7*'核心假设'!$B$32,0),0),IF(AND(BS$4&gt;EDATE('核心假设'!$B$5,13+$F7),BS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S$4=EDATE(EDATE('核心假设'!$B$5,13+$F7),$D7),SUM('融资租赁与资金缺口'!$D$5:$D$16)*$Z7*'核心假设'!$B$32,0),0),IF(AND(BS$4&gt;EDATE('核心假设'!$B$5,14+$F7),BS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S$4=EDATE(EDATE('核心假设'!$B$5,14+$F7),$D7),SUM('融资租赁与资金缺口'!$D$5:$D$16)*$AA7*'核心假设'!$B$32,0),0),IF(AND(BS$4&gt;EDATE('核心假设'!$B$5,15+$F7),BS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S$4=EDATE(EDATE('核心假设'!$B$5,15+$F7),$D7),SUM('融资租赁与资金缺口'!$D$5:$D$16)*$AB7*'核心假设'!$B$32,0),0),IF(AND(BS$4&gt;EDATE('核心假设'!$B$5,16+$F7),BS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S$4=EDATE(EDATE('核心假设'!$B$5,16+$F7),$D7),SUM('融资租赁与资金缺口'!$D$5:$D$16)*$AC7*'核心假设'!$B$32,0),0),IF(AND(BS$4&gt;EDATE('核心假设'!$B$5,17+$F7),BS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S$4=EDATE(EDATE('核心假设'!$B$5,17+$F7),$D7),SUM('融资租赁与资金缺口'!$D$5:$D$16)*$AD7*'核心假设'!$B$32,0),0))</x:f>
        <x:v>12382856.59543798</x:v>
      </x:c>
      <x:c r="BT19" s="28" t="n">
        <x:f>SUM(IF(AND(BT$4&gt;EDATE('核心假设'!$B$5,0+$F7),BT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T$4=EDATE(EDATE('核心假设'!$B$5,0+$F7),$D7),SUM('融资租赁与资金缺口'!$D$5:$D$16)*$M7*'核心假设'!$B$32,0),0),IF(AND(BT$4&gt;EDATE('核心假设'!$B$5,1+$F7),BT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T$4=EDATE(EDATE('核心假设'!$B$5,1+$F7),$D7),SUM('融资租赁与资金缺口'!$D$5:$D$16)*$N7*'核心假设'!$B$32,0),0),IF(AND(BT$4&gt;EDATE('核心假设'!$B$5,2+$F7),BT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T$4=EDATE(EDATE('核心假设'!$B$5,2+$F7),$D7),SUM('融资租赁与资金缺口'!$D$5:$D$16)*$O7*'核心假设'!$B$32,0),0),IF(AND(BT$4&gt;EDATE('核心假设'!$B$5,3+$F7),BT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T$4=EDATE(EDATE('核心假设'!$B$5,3+$F7),$D7),SUM('融资租赁与资金缺口'!$D$5:$D$16)*$P7*'核心假设'!$B$32,0),0),IF(AND(BT$4&gt;EDATE('核心假设'!$B$5,4+$F7),BT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T$4=EDATE(EDATE('核心假设'!$B$5,4+$F7),$D7),SUM('融资租赁与资金缺口'!$D$5:$D$16)*$Q7*'核心假设'!$B$32,0),0),IF(AND(BT$4&gt;EDATE('核心假设'!$B$5,5+$F7),BT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T$4=EDATE(EDATE('核心假设'!$B$5,5+$F7),$D7),SUM('融资租赁与资金缺口'!$D$5:$D$16)*$R7*'核心假设'!$B$32,0),0),IF(AND(BT$4&gt;EDATE('核心假设'!$B$5,6+$F7),BT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T$4=EDATE(EDATE('核心假设'!$B$5,6+$F7),$D7),SUM('融资租赁与资金缺口'!$D$5:$D$16)*$S7*'核心假设'!$B$32,0),0),IF(AND(BT$4&gt;EDATE('核心假设'!$B$5,7+$F7),BT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T$4=EDATE(EDATE('核心假设'!$B$5,7+$F7),$D7),SUM('融资租赁与资金缺口'!$D$5:$D$16)*$T7*'核心假设'!$B$32,0),0),IF(AND(BT$4&gt;EDATE('核心假设'!$B$5,8+$F7),BT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T$4=EDATE(EDATE('核心假设'!$B$5,8+$F7),$D7),SUM('融资租赁与资金缺口'!$D$5:$D$16)*$U7*'核心假设'!$B$32,0),0),IF(AND(BT$4&gt;EDATE('核心假设'!$B$5,9+$F7),BT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T$4=EDATE(EDATE('核心假设'!$B$5,9+$F7),$D7),SUM('融资租赁与资金缺口'!$D$5:$D$16)*$V7*'核心假设'!$B$32,0),0),IF(AND(BT$4&gt;EDATE('核心假设'!$B$5,10+$F7),BT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T$4=EDATE(EDATE('核心假设'!$B$5,10+$F7),$D7),SUM('融资租赁与资金缺口'!$D$5:$D$16)*$W7*'核心假设'!$B$32,0),0),IF(AND(BT$4&gt;EDATE('核心假设'!$B$5,11+$F7),BT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T$4=EDATE(EDATE('核心假设'!$B$5,11+$F7),$D7),SUM('融资租赁与资金缺口'!$D$5:$D$16)*$X7*'核心假设'!$B$32,0),0),IF(AND(BT$4&gt;EDATE('核心假设'!$B$5,12+$F7),BT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T$4=EDATE(EDATE('核心假设'!$B$5,12+$F7),$D7),SUM('融资租赁与资金缺口'!$D$5:$D$16)*$Y7*'核心假设'!$B$32,0),0),IF(AND(BT$4&gt;EDATE('核心假设'!$B$5,13+$F7),BT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T$4=EDATE(EDATE('核心假设'!$B$5,13+$F7),$D7),SUM('融资租赁与资金缺口'!$D$5:$D$16)*$Z7*'核心假设'!$B$32,0),0),IF(AND(BT$4&gt;EDATE('核心假设'!$B$5,14+$F7),BT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T$4=EDATE(EDATE('核心假设'!$B$5,14+$F7),$D7),SUM('融资租赁与资金缺口'!$D$5:$D$16)*$AA7*'核心假设'!$B$32,0),0),IF(AND(BT$4&gt;EDATE('核心假设'!$B$5,15+$F7),BT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T$4=EDATE(EDATE('核心假设'!$B$5,15+$F7),$D7),SUM('融资租赁与资金缺口'!$D$5:$D$16)*$AB7*'核心假设'!$B$32,0),0),IF(AND(BT$4&gt;EDATE('核心假设'!$B$5,16+$F7),BT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T$4=EDATE(EDATE('核心假设'!$B$5,16+$F7),$D7),SUM('融资租赁与资金缺口'!$D$5:$D$16)*$AC7*'核心假设'!$B$32,0),0),IF(AND(BT$4&gt;EDATE('核心假设'!$B$5,17+$F7),BT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T$4=EDATE(EDATE('核心假设'!$B$5,17+$F7),$D7),SUM('融资租赁与资金缺口'!$D$5:$D$16)*$AD7*'核心假设'!$B$32,0),0))</x:f>
        <x:v>11493166.076695668</x:v>
      </x:c>
      <x:c r="BU19" s="28" t="n">
        <x:f>SUM(IF(AND(BU$4&gt;EDATE('核心假设'!$B$5,0+$F7),BU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U$4=EDATE(EDATE('核心假设'!$B$5,0+$F7),$D7),SUM('融资租赁与资金缺口'!$D$5:$D$16)*$M7*'核心假设'!$B$32,0),0),IF(AND(BU$4&gt;EDATE('核心假设'!$B$5,1+$F7),BU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U$4=EDATE(EDATE('核心假设'!$B$5,1+$F7),$D7),SUM('融资租赁与资金缺口'!$D$5:$D$16)*$N7*'核心假设'!$B$32,0),0),IF(AND(BU$4&gt;EDATE('核心假设'!$B$5,2+$F7),BU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U$4=EDATE(EDATE('核心假设'!$B$5,2+$F7),$D7),SUM('融资租赁与资金缺口'!$D$5:$D$16)*$O7*'核心假设'!$B$32,0),0),IF(AND(BU$4&gt;EDATE('核心假设'!$B$5,3+$F7),BU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U$4=EDATE(EDATE('核心假设'!$B$5,3+$F7),$D7),SUM('融资租赁与资金缺口'!$D$5:$D$16)*$P7*'核心假设'!$B$32,0),0),IF(AND(BU$4&gt;EDATE('核心假设'!$B$5,4+$F7),BU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U$4=EDATE(EDATE('核心假设'!$B$5,4+$F7),$D7),SUM('融资租赁与资金缺口'!$D$5:$D$16)*$Q7*'核心假设'!$B$32,0),0),IF(AND(BU$4&gt;EDATE('核心假设'!$B$5,5+$F7),BU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U$4=EDATE(EDATE('核心假设'!$B$5,5+$F7),$D7),SUM('融资租赁与资金缺口'!$D$5:$D$16)*$R7*'核心假设'!$B$32,0),0),IF(AND(BU$4&gt;EDATE('核心假设'!$B$5,6+$F7),BU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U$4=EDATE(EDATE('核心假设'!$B$5,6+$F7),$D7),SUM('融资租赁与资金缺口'!$D$5:$D$16)*$S7*'核心假设'!$B$32,0),0),IF(AND(BU$4&gt;EDATE('核心假设'!$B$5,7+$F7),BU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U$4=EDATE(EDATE('核心假设'!$B$5,7+$F7),$D7),SUM('融资租赁与资金缺口'!$D$5:$D$16)*$T7*'核心假设'!$B$32,0),0),IF(AND(BU$4&gt;EDATE('核心假设'!$B$5,8+$F7),BU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U$4=EDATE(EDATE('核心假设'!$B$5,8+$F7),$D7),SUM('融资租赁与资金缺口'!$D$5:$D$16)*$U7*'核心假设'!$B$32,0),0),IF(AND(BU$4&gt;EDATE('核心假设'!$B$5,9+$F7),BU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U$4=EDATE(EDATE('核心假设'!$B$5,9+$F7),$D7),SUM('融资租赁与资金缺口'!$D$5:$D$16)*$V7*'核心假设'!$B$32,0),0),IF(AND(BU$4&gt;EDATE('核心假设'!$B$5,10+$F7),BU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U$4=EDATE(EDATE('核心假设'!$B$5,10+$F7),$D7),SUM('融资租赁与资金缺口'!$D$5:$D$16)*$W7*'核心假设'!$B$32,0),0),IF(AND(BU$4&gt;EDATE('核心假设'!$B$5,11+$F7),BU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U$4=EDATE(EDATE('核心假设'!$B$5,11+$F7),$D7),SUM('融资租赁与资金缺口'!$D$5:$D$16)*$X7*'核心假设'!$B$32,0),0),IF(AND(BU$4&gt;EDATE('核心假设'!$B$5,12+$F7),BU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U$4=EDATE(EDATE('核心假设'!$B$5,12+$F7),$D7),SUM('融资租赁与资金缺口'!$D$5:$D$16)*$Y7*'核心假设'!$B$32,0),0),IF(AND(BU$4&gt;EDATE('核心假设'!$B$5,13+$F7),BU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U$4=EDATE(EDATE('核心假设'!$B$5,13+$F7),$D7),SUM('融资租赁与资金缺口'!$D$5:$D$16)*$Z7*'核心假设'!$B$32,0),0),IF(AND(BU$4&gt;EDATE('核心假设'!$B$5,14+$F7),BU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U$4=EDATE(EDATE('核心假设'!$B$5,14+$F7),$D7),SUM('融资租赁与资金缺口'!$D$5:$D$16)*$AA7*'核心假设'!$B$32,0),0),IF(AND(BU$4&gt;EDATE('核心假设'!$B$5,15+$F7),BU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U$4=EDATE(EDATE('核心假设'!$B$5,15+$F7),$D7),SUM('融资租赁与资金缺口'!$D$5:$D$16)*$AB7*'核心假设'!$B$32,0),0),IF(AND(BU$4&gt;EDATE('核心假设'!$B$5,16+$F7),BU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U$4=EDATE(EDATE('核心假设'!$B$5,16+$F7),$D7),SUM('融资租赁与资金缺口'!$D$5:$D$16)*$AC7*'核心假设'!$B$32,0),0),IF(AND(BU$4&gt;EDATE('核心假设'!$B$5,17+$F7),BU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U$4=EDATE(EDATE('核心假设'!$B$5,17+$F7),$D7),SUM('融资租赁与资金缺口'!$D$5:$D$16)*$AD7*'核心假设'!$B$32,0),0))</x:f>
        <x:v>10468615.48384731</x:v>
      </x:c>
      <x:c r="BV19" s="28" t="n">
        <x:f>SUM(IF(AND(BV$4&gt;EDATE('核心假设'!$B$5,0+$F7),BV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V$4=EDATE(EDATE('核心假设'!$B$5,0+$F7),$D7),SUM('融资租赁与资金缺口'!$D$5:$D$16)*$M7*'核心假设'!$B$32,0),0),IF(AND(BV$4&gt;EDATE('核心假设'!$B$5,1+$F7),BV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V$4=EDATE(EDATE('核心假设'!$B$5,1+$F7),$D7),SUM('融资租赁与资金缺口'!$D$5:$D$16)*$N7*'核心假设'!$B$32,0),0),IF(AND(BV$4&gt;EDATE('核心假设'!$B$5,2+$F7),BV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V$4=EDATE(EDATE('核心假设'!$B$5,2+$F7),$D7),SUM('融资租赁与资金缺口'!$D$5:$D$16)*$O7*'核心假设'!$B$32,0),0),IF(AND(BV$4&gt;EDATE('核心假设'!$B$5,3+$F7),BV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V$4=EDATE(EDATE('核心假设'!$B$5,3+$F7),$D7),SUM('融资租赁与资金缺口'!$D$5:$D$16)*$P7*'核心假设'!$B$32,0),0),IF(AND(BV$4&gt;EDATE('核心假设'!$B$5,4+$F7),BV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V$4=EDATE(EDATE('核心假设'!$B$5,4+$F7),$D7),SUM('融资租赁与资金缺口'!$D$5:$D$16)*$Q7*'核心假设'!$B$32,0),0),IF(AND(BV$4&gt;EDATE('核心假设'!$B$5,5+$F7),BV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V$4=EDATE(EDATE('核心假设'!$B$5,5+$F7),$D7),SUM('融资租赁与资金缺口'!$D$5:$D$16)*$R7*'核心假设'!$B$32,0),0),IF(AND(BV$4&gt;EDATE('核心假设'!$B$5,6+$F7),BV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V$4=EDATE(EDATE('核心假设'!$B$5,6+$F7),$D7),SUM('融资租赁与资金缺口'!$D$5:$D$16)*$S7*'核心假设'!$B$32,0),0),IF(AND(BV$4&gt;EDATE('核心假设'!$B$5,7+$F7),BV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V$4=EDATE(EDATE('核心假设'!$B$5,7+$F7),$D7),SUM('融资租赁与资金缺口'!$D$5:$D$16)*$T7*'核心假设'!$B$32,0),0),IF(AND(BV$4&gt;EDATE('核心假设'!$B$5,8+$F7),BV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V$4=EDATE(EDATE('核心假设'!$B$5,8+$F7),$D7),SUM('融资租赁与资金缺口'!$D$5:$D$16)*$U7*'核心假设'!$B$32,0),0),IF(AND(BV$4&gt;EDATE('核心假设'!$B$5,9+$F7),BV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V$4=EDATE(EDATE('核心假设'!$B$5,9+$F7),$D7),SUM('融资租赁与资金缺口'!$D$5:$D$16)*$V7*'核心假设'!$B$32,0),0),IF(AND(BV$4&gt;EDATE('核心假设'!$B$5,10+$F7),BV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V$4=EDATE(EDATE('核心假设'!$B$5,10+$F7),$D7),SUM('融资租赁与资金缺口'!$D$5:$D$16)*$W7*'核心假设'!$B$32,0),0),IF(AND(BV$4&gt;EDATE('核心假设'!$B$5,11+$F7),BV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V$4=EDATE(EDATE('核心假设'!$B$5,11+$F7),$D7),SUM('融资租赁与资金缺口'!$D$5:$D$16)*$X7*'核心假设'!$B$32,0),0),IF(AND(BV$4&gt;EDATE('核心假设'!$B$5,12+$F7),BV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V$4=EDATE(EDATE('核心假设'!$B$5,12+$F7),$D7),SUM('融资租赁与资金缺口'!$D$5:$D$16)*$Y7*'核心假设'!$B$32,0),0),IF(AND(BV$4&gt;EDATE('核心假设'!$B$5,13+$F7),BV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V$4=EDATE(EDATE('核心假设'!$B$5,13+$F7),$D7),SUM('融资租赁与资金缺口'!$D$5:$D$16)*$Z7*'核心假设'!$B$32,0),0),IF(AND(BV$4&gt;EDATE('核心假设'!$B$5,14+$F7),BV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V$4=EDATE(EDATE('核心假设'!$B$5,14+$F7),$D7),SUM('融资租赁与资金缺口'!$D$5:$D$16)*$AA7*'核心假设'!$B$32,0),0),IF(AND(BV$4&gt;EDATE('核心假设'!$B$5,15+$F7),BV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V$4=EDATE(EDATE('核心假设'!$B$5,15+$F7),$D7),SUM('融资租赁与资金缺口'!$D$5:$D$16)*$AB7*'核心假设'!$B$32,0),0),IF(AND(BV$4&gt;EDATE('核心假设'!$B$5,16+$F7),BV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V$4=EDATE(EDATE('核心假设'!$B$5,16+$F7),$D7),SUM('融资租赁与资金缺口'!$D$5:$D$16)*$AC7*'核心假设'!$B$32,0),0),IF(AND(BV$4&gt;EDATE('核心假设'!$B$5,17+$F7),BV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V$4=EDATE(EDATE('核心假设'!$B$5,17+$F7),$D7),SUM('融资租赁与资金缺口'!$D$5:$D$16)*$AD7*'核心假设'!$B$32,0),0))</x:f>
        <x:v>9309204.816892905</x:v>
      </x:c>
      <x:c r="BW19" s="28" t="n">
        <x:f>SUM(IF(AND(BW$4&gt;EDATE('核心假设'!$B$5,0+$F7),BW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W$4=EDATE(EDATE('核心假设'!$B$5,0+$F7),$D7),SUM('融资租赁与资金缺口'!$D$5:$D$16)*$M7*'核心假设'!$B$32,0),0),IF(AND(BW$4&gt;EDATE('核心假设'!$B$5,1+$F7),BW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W$4=EDATE(EDATE('核心假设'!$B$5,1+$F7),$D7),SUM('融资租赁与资金缺口'!$D$5:$D$16)*$N7*'核心假设'!$B$32,0),0),IF(AND(BW$4&gt;EDATE('核心假设'!$B$5,2+$F7),BW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W$4=EDATE(EDATE('核心假设'!$B$5,2+$F7),$D7),SUM('融资租赁与资金缺口'!$D$5:$D$16)*$O7*'核心假设'!$B$32,0),0),IF(AND(BW$4&gt;EDATE('核心假设'!$B$5,3+$F7),BW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W$4=EDATE(EDATE('核心假设'!$B$5,3+$F7),$D7),SUM('融资租赁与资金缺口'!$D$5:$D$16)*$P7*'核心假设'!$B$32,0),0),IF(AND(BW$4&gt;EDATE('核心假设'!$B$5,4+$F7),BW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W$4=EDATE(EDATE('核心假设'!$B$5,4+$F7),$D7),SUM('融资租赁与资金缺口'!$D$5:$D$16)*$Q7*'核心假设'!$B$32,0),0),IF(AND(BW$4&gt;EDATE('核心假设'!$B$5,5+$F7),BW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W$4=EDATE(EDATE('核心假设'!$B$5,5+$F7),$D7),SUM('融资租赁与资金缺口'!$D$5:$D$16)*$R7*'核心假设'!$B$32,0),0),IF(AND(BW$4&gt;EDATE('核心假设'!$B$5,6+$F7),BW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W$4=EDATE(EDATE('核心假设'!$B$5,6+$F7),$D7),SUM('融资租赁与资金缺口'!$D$5:$D$16)*$S7*'核心假设'!$B$32,0),0),IF(AND(BW$4&gt;EDATE('核心假设'!$B$5,7+$F7),BW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W$4=EDATE(EDATE('核心假设'!$B$5,7+$F7),$D7),SUM('融资租赁与资金缺口'!$D$5:$D$16)*$T7*'核心假设'!$B$32,0),0),IF(AND(BW$4&gt;EDATE('核心假设'!$B$5,8+$F7),BW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W$4=EDATE(EDATE('核心假设'!$B$5,8+$F7),$D7),SUM('融资租赁与资金缺口'!$D$5:$D$16)*$U7*'核心假设'!$B$32,0),0),IF(AND(BW$4&gt;EDATE('核心假设'!$B$5,9+$F7),BW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W$4=EDATE(EDATE('核心假设'!$B$5,9+$F7),$D7),SUM('融资租赁与资金缺口'!$D$5:$D$16)*$V7*'核心假设'!$B$32,0),0),IF(AND(BW$4&gt;EDATE('核心假设'!$B$5,10+$F7),BW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W$4=EDATE(EDATE('核心假设'!$B$5,10+$F7),$D7),SUM('融资租赁与资金缺口'!$D$5:$D$16)*$W7*'核心假设'!$B$32,0),0),IF(AND(BW$4&gt;EDATE('核心假设'!$B$5,11+$F7),BW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W$4=EDATE(EDATE('核心假设'!$B$5,11+$F7),$D7),SUM('融资租赁与资金缺口'!$D$5:$D$16)*$X7*'核心假设'!$B$32,0),0),IF(AND(BW$4&gt;EDATE('核心假设'!$B$5,12+$F7),BW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W$4=EDATE(EDATE('核心假设'!$B$5,12+$F7),$D7),SUM('融资租赁与资金缺口'!$D$5:$D$16)*$Y7*'核心假设'!$B$32,0),0),IF(AND(BW$4&gt;EDATE('核心假设'!$B$5,13+$F7),BW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W$4=EDATE(EDATE('核心假设'!$B$5,13+$F7),$D7),SUM('融资租赁与资金缺口'!$D$5:$D$16)*$Z7*'核心假设'!$B$32,0),0),IF(AND(BW$4&gt;EDATE('核心假设'!$B$5,14+$F7),BW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W$4=EDATE(EDATE('核心假设'!$B$5,14+$F7),$D7),SUM('融资租赁与资金缺口'!$D$5:$D$16)*$AA7*'核心假设'!$B$32,0),0),IF(AND(BW$4&gt;EDATE('核心假设'!$B$5,15+$F7),BW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W$4=EDATE(EDATE('核心假设'!$B$5,15+$F7),$D7),SUM('融资租赁与资金缺口'!$D$5:$D$16)*$AB7*'核心假设'!$B$32,0),0),IF(AND(BW$4&gt;EDATE('核心假设'!$B$5,16+$F7),BW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W$4=EDATE(EDATE('核心假设'!$B$5,16+$F7),$D7),SUM('融资租赁与资金缺口'!$D$5:$D$16)*$AC7*'核心假设'!$B$32,0),0),IF(AND(BW$4&gt;EDATE('核心假设'!$B$5,17+$F7),BW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W$4=EDATE(EDATE('核心假设'!$B$5,17+$F7),$D7),SUM('融资租赁与资金缺口'!$D$5:$D$16)*$AD7*'核心假设'!$B$32,0),0))</x:f>
        <x:v>8014934.075832459</x:v>
      </x:c>
      <x:c r="BX19" s="28" t="n">
        <x:f>SUM(IF(AND(BX$4&gt;EDATE('核心假设'!$B$5,0+$F7),BX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X$4=EDATE(EDATE('核心假设'!$B$5,0+$F7),$D7),SUM('融资租赁与资金缺口'!$D$5:$D$16)*$M7*'核心假设'!$B$32,0),0),IF(AND(BX$4&gt;EDATE('核心假设'!$B$5,1+$F7),BX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X$4=EDATE(EDATE('核心假设'!$B$5,1+$F7),$D7),SUM('融资租赁与资金缺口'!$D$5:$D$16)*$N7*'核心假设'!$B$32,0),0),IF(AND(BX$4&gt;EDATE('核心假设'!$B$5,2+$F7),BX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X$4=EDATE(EDATE('核心假设'!$B$5,2+$F7),$D7),SUM('融资租赁与资金缺口'!$D$5:$D$16)*$O7*'核心假设'!$B$32,0),0),IF(AND(BX$4&gt;EDATE('核心假设'!$B$5,3+$F7),BX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X$4=EDATE(EDATE('核心假设'!$B$5,3+$F7),$D7),SUM('融资租赁与资金缺口'!$D$5:$D$16)*$P7*'核心假设'!$B$32,0),0),IF(AND(BX$4&gt;EDATE('核心假设'!$B$5,4+$F7),BX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X$4=EDATE(EDATE('核心假设'!$B$5,4+$F7),$D7),SUM('融资租赁与资金缺口'!$D$5:$D$16)*$Q7*'核心假设'!$B$32,0),0),IF(AND(BX$4&gt;EDATE('核心假设'!$B$5,5+$F7),BX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X$4=EDATE(EDATE('核心假设'!$B$5,5+$F7),$D7),SUM('融资租赁与资金缺口'!$D$5:$D$16)*$R7*'核心假设'!$B$32,0),0),IF(AND(BX$4&gt;EDATE('核心假设'!$B$5,6+$F7),BX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X$4=EDATE(EDATE('核心假设'!$B$5,6+$F7),$D7),SUM('融资租赁与资金缺口'!$D$5:$D$16)*$S7*'核心假设'!$B$32,0),0),IF(AND(BX$4&gt;EDATE('核心假设'!$B$5,7+$F7),BX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X$4=EDATE(EDATE('核心假设'!$B$5,7+$F7),$D7),SUM('融资租赁与资金缺口'!$D$5:$D$16)*$T7*'核心假设'!$B$32,0),0),IF(AND(BX$4&gt;EDATE('核心假设'!$B$5,8+$F7),BX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X$4=EDATE(EDATE('核心假设'!$B$5,8+$F7),$D7),SUM('融资租赁与资金缺口'!$D$5:$D$16)*$U7*'核心假设'!$B$32,0),0),IF(AND(BX$4&gt;EDATE('核心假设'!$B$5,9+$F7),BX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X$4=EDATE(EDATE('核心假设'!$B$5,9+$F7),$D7),SUM('融资租赁与资金缺口'!$D$5:$D$16)*$V7*'核心假设'!$B$32,0),0),IF(AND(BX$4&gt;EDATE('核心假设'!$B$5,10+$F7),BX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X$4=EDATE(EDATE('核心假设'!$B$5,10+$F7),$D7),SUM('融资租赁与资金缺口'!$D$5:$D$16)*$W7*'核心假设'!$B$32,0),0),IF(AND(BX$4&gt;EDATE('核心假设'!$B$5,11+$F7),BX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X$4=EDATE(EDATE('核心假设'!$B$5,11+$F7),$D7),SUM('融资租赁与资金缺口'!$D$5:$D$16)*$X7*'核心假设'!$B$32,0),0),IF(AND(BX$4&gt;EDATE('核心假设'!$B$5,12+$F7),BX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X$4=EDATE(EDATE('核心假设'!$B$5,12+$F7),$D7),SUM('融资租赁与资金缺口'!$D$5:$D$16)*$Y7*'核心假设'!$B$32,0),0),IF(AND(BX$4&gt;EDATE('核心假设'!$B$5,13+$F7),BX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X$4=EDATE(EDATE('核心假设'!$B$5,13+$F7),$D7),SUM('融资租赁与资金缺口'!$D$5:$D$16)*$Z7*'核心假设'!$B$32,0),0),IF(AND(BX$4&gt;EDATE('核心假设'!$B$5,14+$F7),BX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X$4=EDATE(EDATE('核心假设'!$B$5,14+$F7),$D7),SUM('融资租赁与资金缺口'!$D$5:$D$16)*$AA7*'核心假设'!$B$32,0),0),IF(AND(BX$4&gt;EDATE('核心假设'!$B$5,15+$F7),BX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X$4=EDATE(EDATE('核心假设'!$B$5,15+$F7),$D7),SUM('融资租赁与资金缺口'!$D$5:$D$16)*$AB7*'核心假设'!$B$32,0),0),IF(AND(BX$4&gt;EDATE('核心假设'!$B$5,16+$F7),BX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X$4=EDATE(EDATE('核心假设'!$B$5,16+$F7),$D7),SUM('融资租赁与资金缺口'!$D$5:$D$16)*$AC7*'核心假设'!$B$32,0),0),IF(AND(BX$4&gt;EDATE('核心假设'!$B$5,17+$F7),BX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X$4=EDATE(EDATE('核心假设'!$B$5,17+$F7),$D7),SUM('融资租赁与资金缺口'!$D$5:$D$16)*$AD7*'核心假设'!$B$32,0),0))</x:f>
        <x:v>6531473.260665967</x:v>
      </x:c>
      <x:c r="BY19" s="28" t="n">
        <x:f>SUM(IF(AND(BY$4&gt;EDATE('核心假设'!$B$5,0+$F7),BY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Y$4=EDATE(EDATE('核心假设'!$B$5,0+$F7),$D7),SUM('融资租赁与资金缺口'!$D$5:$D$16)*$M7*'核心假设'!$B$32,0),0),IF(AND(BY$4&gt;EDATE('核心假设'!$B$5,1+$F7),BY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Y$4=EDATE(EDATE('核心假设'!$B$5,1+$F7),$D7),SUM('融资租赁与资金缺口'!$D$5:$D$16)*$N7*'核心假设'!$B$32,0),0),IF(AND(BY$4&gt;EDATE('核心假设'!$B$5,2+$F7),BY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Y$4=EDATE(EDATE('核心假设'!$B$5,2+$F7),$D7),SUM('融资租赁与资金缺口'!$D$5:$D$16)*$O7*'核心假设'!$B$32,0),0),IF(AND(BY$4&gt;EDATE('核心假设'!$B$5,3+$F7),BY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Y$4=EDATE(EDATE('核心假设'!$B$5,3+$F7),$D7),SUM('融资租赁与资金缺口'!$D$5:$D$16)*$P7*'核心假设'!$B$32,0),0),IF(AND(BY$4&gt;EDATE('核心假设'!$B$5,4+$F7),BY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Y$4=EDATE(EDATE('核心假设'!$B$5,4+$F7),$D7),SUM('融资租赁与资金缺口'!$D$5:$D$16)*$Q7*'核心假设'!$B$32,0),0),IF(AND(BY$4&gt;EDATE('核心假设'!$B$5,5+$F7),BY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Y$4=EDATE(EDATE('核心假设'!$B$5,5+$F7),$D7),SUM('融资租赁与资金缺口'!$D$5:$D$16)*$R7*'核心假设'!$B$32,0),0),IF(AND(BY$4&gt;EDATE('核心假设'!$B$5,6+$F7),BY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Y$4=EDATE(EDATE('核心假设'!$B$5,6+$F7),$D7),SUM('融资租赁与资金缺口'!$D$5:$D$16)*$S7*'核心假设'!$B$32,0),0),IF(AND(BY$4&gt;EDATE('核心假设'!$B$5,7+$F7),BY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Y$4=EDATE(EDATE('核心假设'!$B$5,7+$F7),$D7),SUM('融资租赁与资金缺口'!$D$5:$D$16)*$T7*'核心假设'!$B$32,0),0),IF(AND(BY$4&gt;EDATE('核心假设'!$B$5,8+$F7),BY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Y$4=EDATE(EDATE('核心假设'!$B$5,8+$F7),$D7),SUM('融资租赁与资金缺口'!$D$5:$D$16)*$U7*'核心假设'!$B$32,0),0),IF(AND(BY$4&gt;EDATE('核心假设'!$B$5,9+$F7),BY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Y$4=EDATE(EDATE('核心假设'!$B$5,9+$F7),$D7),SUM('融资租赁与资金缺口'!$D$5:$D$16)*$V7*'核心假设'!$B$32,0),0),IF(AND(BY$4&gt;EDATE('核心假设'!$B$5,10+$F7),BY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Y$4=EDATE(EDATE('核心假设'!$B$5,10+$F7),$D7),SUM('融资租赁与资金缺口'!$D$5:$D$16)*$W7*'核心假设'!$B$32,0),0),IF(AND(BY$4&gt;EDATE('核心假设'!$B$5,11+$F7),BY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Y$4=EDATE(EDATE('核心假设'!$B$5,11+$F7),$D7),SUM('融资租赁与资金缺口'!$D$5:$D$16)*$X7*'核心假设'!$B$32,0),0),IF(AND(BY$4&gt;EDATE('核心假设'!$B$5,12+$F7),BY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Y$4=EDATE(EDATE('核心假设'!$B$5,12+$F7),$D7),SUM('融资租赁与资金缺口'!$D$5:$D$16)*$Y7*'核心假设'!$B$32,0),0),IF(AND(BY$4&gt;EDATE('核心假设'!$B$5,13+$F7),BY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Y$4=EDATE(EDATE('核心假设'!$B$5,13+$F7),$D7),SUM('融资租赁与资金缺口'!$D$5:$D$16)*$Z7*'核心假设'!$B$32,0),0),IF(AND(BY$4&gt;EDATE('核心假设'!$B$5,14+$F7),BY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Y$4=EDATE(EDATE('核心假设'!$B$5,14+$F7),$D7),SUM('融资租赁与资金缺口'!$D$5:$D$16)*$AA7*'核心假设'!$B$32,0),0),IF(AND(BY$4&gt;EDATE('核心假设'!$B$5,15+$F7),BY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Y$4=EDATE(EDATE('核心假设'!$B$5,15+$F7),$D7),SUM('融资租赁与资金缺口'!$D$5:$D$16)*$AB7*'核心假设'!$B$32,0),0),IF(AND(BY$4&gt;EDATE('核心假设'!$B$5,16+$F7),BY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Y$4=EDATE(EDATE('核心假设'!$B$5,16+$F7),$D7),SUM('融资租赁与资金缺口'!$D$5:$D$16)*$AC7*'核心假设'!$B$32,0),0),IF(AND(BY$4&gt;EDATE('核心假设'!$B$5,17+$F7),BY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Y$4=EDATE(EDATE('核心假设'!$B$5,17+$F7),$D7),SUM('融资租赁与资金缺口'!$D$5:$D$16)*$AD7*'核心假设'!$B$32,0),0))</x:f>
        <x:v>4993682.445499476</x:v>
      </x:c>
      <x:c r="BZ19" s="28" t="n">
        <x:f>SUM(IF(AND(BZ$4&gt;EDATE('核心假设'!$B$5,0+$F7),BZ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BZ$4=EDATE(EDATE('核心假设'!$B$5,0+$F7),$D7),SUM('融资租赁与资金缺口'!$D$5:$D$16)*$M7*'核心假设'!$B$32,0),0),IF(AND(BZ$4&gt;EDATE('核心假设'!$B$5,1+$F7),BZ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BZ$4=EDATE(EDATE('核心假设'!$B$5,1+$F7),$D7),SUM('融资租赁与资金缺口'!$D$5:$D$16)*$N7*'核心假设'!$B$32,0),0),IF(AND(BZ$4&gt;EDATE('核心假设'!$B$5,2+$F7),BZ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BZ$4=EDATE(EDATE('核心假设'!$B$5,2+$F7),$D7),SUM('融资租赁与资金缺口'!$D$5:$D$16)*$O7*'核心假设'!$B$32,0),0),IF(AND(BZ$4&gt;EDATE('核心假设'!$B$5,3+$F7),BZ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BZ$4=EDATE(EDATE('核心假设'!$B$5,3+$F7),$D7),SUM('融资租赁与资金缺口'!$D$5:$D$16)*$P7*'核心假设'!$B$32,0),0),IF(AND(BZ$4&gt;EDATE('核心假设'!$B$5,4+$F7),BZ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BZ$4=EDATE(EDATE('核心假设'!$B$5,4+$F7),$D7),SUM('融资租赁与资金缺口'!$D$5:$D$16)*$Q7*'核心假设'!$B$32,0),0),IF(AND(BZ$4&gt;EDATE('核心假设'!$B$5,5+$F7),BZ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BZ$4=EDATE(EDATE('核心假设'!$B$5,5+$F7),$D7),SUM('融资租赁与资金缺口'!$D$5:$D$16)*$R7*'核心假设'!$B$32,0),0),IF(AND(BZ$4&gt;EDATE('核心假设'!$B$5,6+$F7),BZ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BZ$4=EDATE(EDATE('核心假设'!$B$5,6+$F7),$D7),SUM('融资租赁与资金缺口'!$D$5:$D$16)*$S7*'核心假设'!$B$32,0),0),IF(AND(BZ$4&gt;EDATE('核心假设'!$B$5,7+$F7),BZ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BZ$4=EDATE(EDATE('核心假设'!$B$5,7+$F7),$D7),SUM('融资租赁与资金缺口'!$D$5:$D$16)*$T7*'核心假设'!$B$32,0),0),IF(AND(BZ$4&gt;EDATE('核心假设'!$B$5,8+$F7),BZ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BZ$4=EDATE(EDATE('核心假设'!$B$5,8+$F7),$D7),SUM('融资租赁与资金缺口'!$D$5:$D$16)*$U7*'核心假设'!$B$32,0),0),IF(AND(BZ$4&gt;EDATE('核心假设'!$B$5,9+$F7),BZ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BZ$4=EDATE(EDATE('核心假设'!$B$5,9+$F7),$D7),SUM('融资租赁与资金缺口'!$D$5:$D$16)*$V7*'核心假设'!$B$32,0),0),IF(AND(BZ$4&gt;EDATE('核心假设'!$B$5,10+$F7),BZ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BZ$4=EDATE(EDATE('核心假设'!$B$5,10+$F7),$D7),SUM('融资租赁与资金缺口'!$D$5:$D$16)*$W7*'核心假设'!$B$32,0),0),IF(AND(BZ$4&gt;EDATE('核心假设'!$B$5,11+$F7),BZ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BZ$4=EDATE(EDATE('核心假设'!$B$5,11+$F7),$D7),SUM('融资租赁与资金缺口'!$D$5:$D$16)*$X7*'核心假设'!$B$32,0),0),IF(AND(BZ$4&gt;EDATE('核心假设'!$B$5,12+$F7),BZ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BZ$4=EDATE(EDATE('核心假设'!$B$5,12+$F7),$D7),SUM('融资租赁与资金缺口'!$D$5:$D$16)*$Y7*'核心假设'!$B$32,0),0),IF(AND(BZ$4&gt;EDATE('核心假设'!$B$5,13+$F7),BZ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BZ$4=EDATE(EDATE('核心假设'!$B$5,13+$F7),$D7),SUM('融资租赁与资金缺口'!$D$5:$D$16)*$Z7*'核心假设'!$B$32,0),0),IF(AND(BZ$4&gt;EDATE('核心假设'!$B$5,14+$F7),BZ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BZ$4=EDATE(EDATE('核心假设'!$B$5,14+$F7),$D7),SUM('融资租赁与资金缺口'!$D$5:$D$16)*$AA7*'核心假设'!$B$32,0),0),IF(AND(BZ$4&gt;EDATE('核心假设'!$B$5,15+$F7),BZ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BZ$4=EDATE(EDATE('核心假设'!$B$5,15+$F7),$D7),SUM('融资租赁与资金缺口'!$D$5:$D$16)*$AB7*'核心假设'!$B$32,0),0),IF(AND(BZ$4&gt;EDATE('核心假设'!$B$5,16+$F7),BZ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BZ$4=EDATE(EDATE('核心假设'!$B$5,16+$F7),$D7),SUM('融资租赁与资金缺口'!$D$5:$D$16)*$AC7*'核心假设'!$B$32,0),0),IF(AND(BZ$4&gt;EDATE('核心假设'!$B$5,17+$F7),BZ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BZ$4=EDATE(EDATE('核心假设'!$B$5,17+$F7),$D7),SUM('融资租赁与资金缺口'!$D$5:$D$16)*$AD7*'核心假设'!$B$32,0),0))</x:f>
        <x:v>3590751.704439028</x:v>
      </x:c>
      <x:c r="CA19" s="28" t="n">
        <x:f>SUM(IF(AND(CA$4&gt;EDATE('核心假设'!$B$5,0+$F7),CA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CA$4=EDATE(EDATE('核心假设'!$B$5,0+$F7),$D7),SUM('融资租赁与资金缺口'!$D$5:$D$16)*$M7*'核心假设'!$B$32,0),0),IF(AND(CA$4&gt;EDATE('核心假设'!$B$5,1+$F7),CA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CA$4=EDATE(EDATE('核心假设'!$B$5,1+$F7),$D7),SUM('融资租赁与资金缺口'!$D$5:$D$16)*$N7*'核心假设'!$B$32,0),0),IF(AND(CA$4&gt;EDATE('核心假设'!$B$5,2+$F7),CA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CA$4=EDATE(EDATE('核心假设'!$B$5,2+$F7),$D7),SUM('融资租赁与资金缺口'!$D$5:$D$16)*$O7*'核心假设'!$B$32,0),0),IF(AND(CA$4&gt;EDATE('核心假设'!$B$5,3+$F7),CA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CA$4=EDATE(EDATE('核心假设'!$B$5,3+$F7),$D7),SUM('融资租赁与资金缺口'!$D$5:$D$16)*$P7*'核心假设'!$B$32,0),0),IF(AND(CA$4&gt;EDATE('核心假设'!$B$5,4+$F7),CA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CA$4=EDATE(EDATE('核心假设'!$B$5,4+$F7),$D7),SUM('融资租赁与资金缺口'!$D$5:$D$16)*$Q7*'核心假设'!$B$32,0),0),IF(AND(CA$4&gt;EDATE('核心假设'!$B$5,5+$F7),CA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CA$4=EDATE(EDATE('核心假设'!$B$5,5+$F7),$D7),SUM('融资租赁与资金缺口'!$D$5:$D$16)*$R7*'核心假设'!$B$32,0),0),IF(AND(CA$4&gt;EDATE('核心假设'!$B$5,6+$F7),CA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CA$4=EDATE(EDATE('核心假设'!$B$5,6+$F7),$D7),SUM('融资租赁与资金缺口'!$D$5:$D$16)*$S7*'核心假设'!$B$32,0),0),IF(AND(CA$4&gt;EDATE('核心假设'!$B$5,7+$F7),CA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CA$4=EDATE(EDATE('核心假设'!$B$5,7+$F7),$D7),SUM('融资租赁与资金缺口'!$D$5:$D$16)*$T7*'核心假设'!$B$32,0),0),IF(AND(CA$4&gt;EDATE('核心假设'!$B$5,8+$F7),CA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CA$4=EDATE(EDATE('核心假设'!$B$5,8+$F7),$D7),SUM('融资租赁与资金缺口'!$D$5:$D$16)*$U7*'核心假设'!$B$32,0),0),IF(AND(CA$4&gt;EDATE('核心假设'!$B$5,9+$F7),CA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CA$4=EDATE(EDATE('核心假设'!$B$5,9+$F7),$D7),SUM('融资租赁与资金缺口'!$D$5:$D$16)*$V7*'核心假设'!$B$32,0),0),IF(AND(CA$4&gt;EDATE('核心假设'!$B$5,10+$F7),CA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CA$4=EDATE(EDATE('核心假设'!$B$5,10+$F7),$D7),SUM('融资租赁与资金缺口'!$D$5:$D$16)*$W7*'核心假设'!$B$32,0),0),IF(AND(CA$4&gt;EDATE('核心假设'!$B$5,11+$F7),CA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CA$4=EDATE(EDATE('核心假设'!$B$5,11+$F7),$D7),SUM('融资租赁与资金缺口'!$D$5:$D$16)*$X7*'核心假设'!$B$32,0),0),IF(AND(CA$4&gt;EDATE('核心假设'!$B$5,12+$F7),CA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CA$4=EDATE(EDATE('核心假设'!$B$5,12+$F7),$D7),SUM('融资租赁与资金缺口'!$D$5:$D$16)*$Y7*'核心假设'!$B$32,0),0),IF(AND(CA$4&gt;EDATE('核心假设'!$B$5,13+$F7),CA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CA$4=EDATE(EDATE('核心假设'!$B$5,13+$F7),$D7),SUM('融资租赁与资金缺口'!$D$5:$D$16)*$Z7*'核心假设'!$B$32,0),0),IF(AND(CA$4&gt;EDATE('核心假设'!$B$5,14+$F7),CA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CA$4=EDATE(EDATE('核心假设'!$B$5,14+$F7),$D7),SUM('融资租赁与资金缺口'!$D$5:$D$16)*$AA7*'核心假设'!$B$32,0),0),IF(AND(CA$4&gt;EDATE('核心假设'!$B$5,15+$F7),CA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CA$4=EDATE(EDATE('核心假设'!$B$5,15+$F7),$D7),SUM('融资租赁与资金缺口'!$D$5:$D$16)*$AB7*'核心假设'!$B$32,0),0),IF(AND(CA$4&gt;EDATE('核心假设'!$B$5,16+$F7),CA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CA$4=EDATE(EDATE('核心假设'!$B$5,16+$F7),$D7),SUM('融资租赁与资金缺口'!$D$5:$D$16)*$AC7*'核心假设'!$B$32,0),0),IF(AND(CA$4&gt;EDATE('核心假设'!$B$5,17+$F7),CA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CA$4=EDATE(EDATE('核心假设'!$B$5,17+$F7),$D7),SUM('融资租赁与资金缺口'!$D$5:$D$16)*$AD7*'核心假设'!$B$32,0),0))</x:f>
        <x:v>2322681.0374846263</x:v>
      </x:c>
      <x:c r="CB19" s="28" t="n">
        <x:f>SUM(IF(AND(CB$4&gt;EDATE('核心假设'!$B$5,0+$F7),CB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CB$4=EDATE(EDATE('核心假设'!$B$5,0+$F7),$D7),SUM('融资租赁与资金缺口'!$D$5:$D$16)*$M7*'核心假设'!$B$32,0),0),IF(AND(CB$4&gt;EDATE('核心假设'!$B$5,1+$F7),CB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CB$4=EDATE(EDATE('核心假设'!$B$5,1+$F7),$D7),SUM('融资租赁与资金缺口'!$D$5:$D$16)*$N7*'核心假设'!$B$32,0),0),IF(AND(CB$4&gt;EDATE('核心假设'!$B$5,2+$F7),CB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CB$4=EDATE(EDATE('核心假设'!$B$5,2+$F7),$D7),SUM('融资租赁与资金缺口'!$D$5:$D$16)*$O7*'核心假设'!$B$32,0),0),IF(AND(CB$4&gt;EDATE('核心假设'!$B$5,3+$F7),CB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CB$4=EDATE(EDATE('核心假设'!$B$5,3+$F7),$D7),SUM('融资租赁与资金缺口'!$D$5:$D$16)*$P7*'核心假设'!$B$32,0),0),IF(AND(CB$4&gt;EDATE('核心假设'!$B$5,4+$F7),CB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CB$4=EDATE(EDATE('核心假设'!$B$5,4+$F7),$D7),SUM('融资租赁与资金缺口'!$D$5:$D$16)*$Q7*'核心假设'!$B$32,0),0),IF(AND(CB$4&gt;EDATE('核心假设'!$B$5,5+$F7),CB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CB$4=EDATE(EDATE('核心假设'!$B$5,5+$F7),$D7),SUM('融资租赁与资金缺口'!$D$5:$D$16)*$R7*'核心假设'!$B$32,0),0),IF(AND(CB$4&gt;EDATE('核心假设'!$B$5,6+$F7),CB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CB$4=EDATE(EDATE('核心假设'!$B$5,6+$F7),$D7),SUM('融资租赁与资金缺口'!$D$5:$D$16)*$S7*'核心假设'!$B$32,0),0),IF(AND(CB$4&gt;EDATE('核心假设'!$B$5,7+$F7),CB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CB$4=EDATE(EDATE('核心假设'!$B$5,7+$F7),$D7),SUM('融资租赁与资金缺口'!$D$5:$D$16)*$T7*'核心假设'!$B$32,0),0),IF(AND(CB$4&gt;EDATE('核心假设'!$B$5,8+$F7),CB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CB$4=EDATE(EDATE('核心假设'!$B$5,8+$F7),$D7),SUM('融资租赁与资金缺口'!$D$5:$D$16)*$U7*'核心假设'!$B$32,0),0),IF(AND(CB$4&gt;EDATE('核心假设'!$B$5,9+$F7),CB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CB$4=EDATE(EDATE('核心假设'!$B$5,9+$F7),$D7),SUM('融资租赁与资金缺口'!$D$5:$D$16)*$V7*'核心假设'!$B$32,0),0),IF(AND(CB$4&gt;EDATE('核心假设'!$B$5,10+$F7),CB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CB$4=EDATE(EDATE('核心假设'!$B$5,10+$F7),$D7),SUM('融资租赁与资金缺口'!$D$5:$D$16)*$W7*'核心假设'!$B$32,0),0),IF(AND(CB$4&gt;EDATE('核心假设'!$B$5,11+$F7),CB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CB$4=EDATE(EDATE('核心假设'!$B$5,11+$F7),$D7),SUM('融资租赁与资金缺口'!$D$5:$D$16)*$X7*'核心假设'!$B$32,0),0),IF(AND(CB$4&gt;EDATE('核心假设'!$B$5,12+$F7),CB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CB$4=EDATE(EDATE('核心假设'!$B$5,12+$F7),$D7),SUM('融资租赁与资金缺口'!$D$5:$D$16)*$Y7*'核心假设'!$B$32,0),0),IF(AND(CB$4&gt;EDATE('核心假设'!$B$5,13+$F7),CB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CB$4=EDATE(EDATE('核心假设'!$B$5,13+$F7),$D7),SUM('融资租赁与资金缺口'!$D$5:$D$16)*$Z7*'核心假设'!$B$32,0),0),IF(AND(CB$4&gt;EDATE('核心假设'!$B$5,14+$F7),CB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CB$4=EDATE(EDATE('核心假设'!$B$5,14+$F7),$D7),SUM('融资租赁与资金缺口'!$D$5:$D$16)*$AA7*'核心假设'!$B$32,0),0),IF(AND(CB$4&gt;EDATE('核心假设'!$B$5,15+$F7),CB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CB$4=EDATE(EDATE('核心假设'!$B$5,15+$F7),$D7),SUM('融资租赁与资金缺口'!$D$5:$D$16)*$AB7*'核心假设'!$B$32,0),0),IF(AND(CB$4&gt;EDATE('核心假设'!$B$5,16+$F7),CB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CB$4=EDATE(EDATE('核心假设'!$B$5,16+$F7),$D7),SUM('融资租赁与资金缺口'!$D$5:$D$16)*$AC7*'核心假设'!$B$32,0),0),IF(AND(CB$4&gt;EDATE('核心假设'!$B$5,17+$F7),CB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CB$4=EDATE(EDATE('核心假设'!$B$5,17+$F7),$D7),SUM('融资租赁与资金缺口'!$D$5:$D$16)*$AD7*'核心假设'!$B$32,0),0))</x:f>
        <x:v>1135140.4446362683</x:v>
      </x:c>
      <x:c r="CC19" s="28" t="n">
        <x:f>SUM(IF(AND(CC$4&gt;EDATE('核心假设'!$B$5,0+$F7),CC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CC$4=EDATE(EDATE('核心假设'!$B$5,0+$F7),$D7),SUM('融资租赁与资金缺口'!$D$5:$D$16)*$M7*'核心假设'!$B$32,0),0),IF(AND(CC$4&gt;EDATE('核心假设'!$B$5,1+$F7),CC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CC$4=EDATE(EDATE('核心假设'!$B$5,1+$F7),$D7),SUM('融资租赁与资金缺口'!$D$5:$D$16)*$N7*'核心假设'!$B$32,0),0),IF(AND(CC$4&gt;EDATE('核心假设'!$B$5,2+$F7),CC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CC$4=EDATE(EDATE('核心假设'!$B$5,2+$F7),$D7),SUM('融资租赁与资金缺口'!$D$5:$D$16)*$O7*'核心假设'!$B$32,0),0),IF(AND(CC$4&gt;EDATE('核心假设'!$B$5,3+$F7),CC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CC$4=EDATE(EDATE('核心假设'!$B$5,3+$F7),$D7),SUM('融资租赁与资金缺口'!$D$5:$D$16)*$P7*'核心假设'!$B$32,0),0),IF(AND(CC$4&gt;EDATE('核心假设'!$B$5,4+$F7),CC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CC$4=EDATE(EDATE('核心假设'!$B$5,4+$F7),$D7),SUM('融资租赁与资金缺口'!$D$5:$D$16)*$Q7*'核心假设'!$B$32,0),0),IF(AND(CC$4&gt;EDATE('核心假设'!$B$5,5+$F7),CC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CC$4=EDATE(EDATE('核心假设'!$B$5,5+$F7),$D7),SUM('融资租赁与资金缺口'!$D$5:$D$16)*$R7*'核心假设'!$B$32,0),0),IF(AND(CC$4&gt;EDATE('核心假设'!$B$5,6+$F7),CC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CC$4=EDATE(EDATE('核心假设'!$B$5,6+$F7),$D7),SUM('融资租赁与资金缺口'!$D$5:$D$16)*$S7*'核心假设'!$B$32,0),0),IF(AND(CC$4&gt;EDATE('核心假设'!$B$5,7+$F7),CC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CC$4=EDATE(EDATE('核心假设'!$B$5,7+$F7),$D7),SUM('融资租赁与资金缺口'!$D$5:$D$16)*$T7*'核心假设'!$B$32,0),0),IF(AND(CC$4&gt;EDATE('核心假设'!$B$5,8+$F7),CC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CC$4=EDATE(EDATE('核心假设'!$B$5,8+$F7),$D7),SUM('融资租赁与资金缺口'!$D$5:$D$16)*$U7*'核心假设'!$B$32,0),0),IF(AND(CC$4&gt;EDATE('核心假设'!$B$5,9+$F7),CC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CC$4=EDATE(EDATE('核心假设'!$B$5,9+$F7),$D7),SUM('融资租赁与资金缺口'!$D$5:$D$16)*$V7*'核心假设'!$B$32,0),0),IF(AND(CC$4&gt;EDATE('核心假设'!$B$5,10+$F7),CC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CC$4=EDATE(EDATE('核心假设'!$B$5,10+$F7),$D7),SUM('融资租赁与资金缺口'!$D$5:$D$16)*$W7*'核心假设'!$B$32,0),0),IF(AND(CC$4&gt;EDATE('核心假设'!$B$5,11+$F7),CC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CC$4=EDATE(EDATE('核心假设'!$B$5,11+$F7),$D7),SUM('融资租赁与资金缺口'!$D$5:$D$16)*$X7*'核心假设'!$B$32,0),0),IF(AND(CC$4&gt;EDATE('核心假设'!$B$5,12+$F7),CC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CC$4=EDATE(EDATE('核心假设'!$B$5,12+$F7),$D7),SUM('融资租赁与资金缺口'!$D$5:$D$16)*$Y7*'核心假设'!$B$32,0),0),IF(AND(CC$4&gt;EDATE('核心假设'!$B$5,13+$F7),CC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CC$4=EDATE(EDATE('核心假设'!$B$5,13+$F7),$D7),SUM('融资租赁与资金缺口'!$D$5:$D$16)*$Z7*'核心假设'!$B$32,0),0),IF(AND(CC$4&gt;EDATE('核心假设'!$B$5,14+$F7),CC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CC$4=EDATE(EDATE('核心假设'!$B$5,14+$F7),$D7),SUM('融资租赁与资金缺口'!$D$5:$D$16)*$AA7*'核心假设'!$B$32,0),0),IF(AND(CC$4&gt;EDATE('核心假设'!$B$5,15+$F7),CC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CC$4=EDATE(EDATE('核心假设'!$B$5,15+$F7),$D7),SUM('融资租赁与资金缺口'!$D$5:$D$16)*$AB7*'核心假设'!$B$32,0),0),IF(AND(CC$4&gt;EDATE('核心假设'!$B$5,16+$F7),CC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CC$4=EDATE(EDATE('核心假设'!$B$5,16+$F7),$D7),SUM('融资租赁与资金缺口'!$D$5:$D$16)*$AC7*'核心假设'!$B$32,0),0),IF(AND(CC$4&gt;EDATE('核心假设'!$B$5,17+$F7),CC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CC$4=EDATE(EDATE('核心假设'!$B$5,17+$F7),$D7),SUM('融资租赁与资金缺口'!$D$5:$D$16)*$AD7*'核心假设'!$B$32,0),0))</x:f>
        <x:v>0</x:v>
      </x:c>
      <x:c r="CD19" s="28" t="n">
        <x:f>SUM(IF(AND(CD$4&gt;EDATE('核心假设'!$B$5,0+$F7),CD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CD$4=EDATE(EDATE('核心假设'!$B$5,0+$F7),$D7),SUM('融资租赁与资金缺口'!$D$5:$D$16)*$M7*'核心假设'!$B$32,0),0),IF(AND(CD$4&gt;EDATE('核心假设'!$B$5,1+$F7),CD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CD$4=EDATE(EDATE('核心假设'!$B$5,1+$F7),$D7),SUM('融资租赁与资金缺口'!$D$5:$D$16)*$N7*'核心假设'!$B$32,0),0),IF(AND(CD$4&gt;EDATE('核心假设'!$B$5,2+$F7),CD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CD$4=EDATE(EDATE('核心假设'!$B$5,2+$F7),$D7),SUM('融资租赁与资金缺口'!$D$5:$D$16)*$O7*'核心假设'!$B$32,0),0),IF(AND(CD$4&gt;EDATE('核心假设'!$B$5,3+$F7),CD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CD$4=EDATE(EDATE('核心假设'!$B$5,3+$F7),$D7),SUM('融资租赁与资金缺口'!$D$5:$D$16)*$P7*'核心假设'!$B$32,0),0),IF(AND(CD$4&gt;EDATE('核心假设'!$B$5,4+$F7),CD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CD$4=EDATE(EDATE('核心假设'!$B$5,4+$F7),$D7),SUM('融资租赁与资金缺口'!$D$5:$D$16)*$Q7*'核心假设'!$B$32,0),0),IF(AND(CD$4&gt;EDATE('核心假设'!$B$5,5+$F7),CD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CD$4=EDATE(EDATE('核心假设'!$B$5,5+$F7),$D7),SUM('融资租赁与资金缺口'!$D$5:$D$16)*$R7*'核心假设'!$B$32,0),0),IF(AND(CD$4&gt;EDATE('核心假设'!$B$5,6+$F7),CD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CD$4=EDATE(EDATE('核心假设'!$B$5,6+$F7),$D7),SUM('融资租赁与资金缺口'!$D$5:$D$16)*$S7*'核心假设'!$B$32,0),0),IF(AND(CD$4&gt;EDATE('核心假设'!$B$5,7+$F7),CD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CD$4=EDATE(EDATE('核心假设'!$B$5,7+$F7),$D7),SUM('融资租赁与资金缺口'!$D$5:$D$16)*$T7*'核心假设'!$B$32,0),0),IF(AND(CD$4&gt;EDATE('核心假设'!$B$5,8+$F7),CD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CD$4=EDATE(EDATE('核心假设'!$B$5,8+$F7),$D7),SUM('融资租赁与资金缺口'!$D$5:$D$16)*$U7*'核心假设'!$B$32,0),0),IF(AND(CD$4&gt;EDATE('核心假设'!$B$5,9+$F7),CD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CD$4=EDATE(EDATE('核心假设'!$B$5,9+$F7),$D7),SUM('融资租赁与资金缺口'!$D$5:$D$16)*$V7*'核心假设'!$B$32,0),0),IF(AND(CD$4&gt;EDATE('核心假设'!$B$5,10+$F7),CD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CD$4=EDATE(EDATE('核心假设'!$B$5,10+$F7),$D7),SUM('融资租赁与资金缺口'!$D$5:$D$16)*$W7*'核心假设'!$B$32,0),0),IF(AND(CD$4&gt;EDATE('核心假设'!$B$5,11+$F7),CD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CD$4=EDATE(EDATE('核心假设'!$B$5,11+$F7),$D7),SUM('融资租赁与资金缺口'!$D$5:$D$16)*$X7*'核心假设'!$B$32,0),0),IF(AND(CD$4&gt;EDATE('核心假设'!$B$5,12+$F7),CD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CD$4=EDATE(EDATE('核心假设'!$B$5,12+$F7),$D7),SUM('融资租赁与资金缺口'!$D$5:$D$16)*$Y7*'核心假设'!$B$32,0),0),IF(AND(CD$4&gt;EDATE('核心假设'!$B$5,13+$F7),CD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CD$4=EDATE(EDATE('核心假设'!$B$5,13+$F7),$D7),SUM('融资租赁与资金缺口'!$D$5:$D$16)*$Z7*'核心假设'!$B$32,0),0),IF(AND(CD$4&gt;EDATE('核心假设'!$B$5,14+$F7),CD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CD$4=EDATE(EDATE('核心假设'!$B$5,14+$F7),$D7),SUM('融资租赁与资金缺口'!$D$5:$D$16)*$AA7*'核心假设'!$B$32,0),0),IF(AND(CD$4&gt;EDATE('核心假设'!$B$5,15+$F7),CD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CD$4=EDATE(EDATE('核心假设'!$B$5,15+$F7),$D7),SUM('融资租赁与资金缺口'!$D$5:$D$16)*$AB7*'核心假设'!$B$32,0),0),IF(AND(CD$4&gt;EDATE('核心假设'!$B$5,16+$F7),CD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CD$4=EDATE(EDATE('核心假设'!$B$5,16+$F7),$D7),SUM('融资租赁与资金缺口'!$D$5:$D$16)*$AC7*'核心假设'!$B$32,0),0),IF(AND(CD$4&gt;EDATE('核心假设'!$B$5,17+$F7),CD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CD$4=EDATE(EDATE('核心假设'!$B$5,17+$F7),$D7),SUM('融资租赁与资金缺口'!$D$5:$D$16)*$AD7*'核心假设'!$B$32,0),0))</x:f>
        <x:v>0</x:v>
      </x:c>
      <x:c r="CE19" s="28" t="n">
        <x:f>SUM(IF(AND(CE$4&gt;EDATE('核心假设'!$B$5,0+$F7),CE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CE$4=EDATE(EDATE('核心假设'!$B$5,0+$F7),$D7),SUM('融资租赁与资金缺口'!$D$5:$D$16)*$M7*'核心假设'!$B$32,0),0),IF(AND(CE$4&gt;EDATE('核心假设'!$B$5,1+$F7),CE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CE$4=EDATE(EDATE('核心假设'!$B$5,1+$F7),$D7),SUM('融资租赁与资金缺口'!$D$5:$D$16)*$N7*'核心假设'!$B$32,0),0),IF(AND(CE$4&gt;EDATE('核心假设'!$B$5,2+$F7),CE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CE$4=EDATE(EDATE('核心假设'!$B$5,2+$F7),$D7),SUM('融资租赁与资金缺口'!$D$5:$D$16)*$O7*'核心假设'!$B$32,0),0),IF(AND(CE$4&gt;EDATE('核心假设'!$B$5,3+$F7),CE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CE$4=EDATE(EDATE('核心假设'!$B$5,3+$F7),$D7),SUM('融资租赁与资金缺口'!$D$5:$D$16)*$P7*'核心假设'!$B$32,0),0),IF(AND(CE$4&gt;EDATE('核心假设'!$B$5,4+$F7),CE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CE$4=EDATE(EDATE('核心假设'!$B$5,4+$F7),$D7),SUM('融资租赁与资金缺口'!$D$5:$D$16)*$Q7*'核心假设'!$B$32,0),0),IF(AND(CE$4&gt;EDATE('核心假设'!$B$5,5+$F7),CE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CE$4=EDATE(EDATE('核心假设'!$B$5,5+$F7),$D7),SUM('融资租赁与资金缺口'!$D$5:$D$16)*$R7*'核心假设'!$B$32,0),0),IF(AND(CE$4&gt;EDATE('核心假设'!$B$5,6+$F7),CE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CE$4=EDATE(EDATE('核心假设'!$B$5,6+$F7),$D7),SUM('融资租赁与资金缺口'!$D$5:$D$16)*$S7*'核心假设'!$B$32,0),0),IF(AND(CE$4&gt;EDATE('核心假设'!$B$5,7+$F7),CE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CE$4=EDATE(EDATE('核心假设'!$B$5,7+$F7),$D7),SUM('融资租赁与资金缺口'!$D$5:$D$16)*$T7*'核心假设'!$B$32,0),0),IF(AND(CE$4&gt;EDATE('核心假设'!$B$5,8+$F7),CE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CE$4=EDATE(EDATE('核心假设'!$B$5,8+$F7),$D7),SUM('融资租赁与资金缺口'!$D$5:$D$16)*$U7*'核心假设'!$B$32,0),0),IF(AND(CE$4&gt;EDATE('核心假设'!$B$5,9+$F7),CE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CE$4=EDATE(EDATE('核心假设'!$B$5,9+$F7),$D7),SUM('融资租赁与资金缺口'!$D$5:$D$16)*$V7*'核心假设'!$B$32,0),0),IF(AND(CE$4&gt;EDATE('核心假设'!$B$5,10+$F7),CE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CE$4=EDATE(EDATE('核心假设'!$B$5,10+$F7),$D7),SUM('融资租赁与资金缺口'!$D$5:$D$16)*$W7*'核心假设'!$B$32,0),0),IF(AND(CE$4&gt;EDATE('核心假设'!$B$5,11+$F7),CE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CE$4=EDATE(EDATE('核心假设'!$B$5,11+$F7),$D7),SUM('融资租赁与资金缺口'!$D$5:$D$16)*$X7*'核心假设'!$B$32,0),0),IF(AND(CE$4&gt;EDATE('核心假设'!$B$5,12+$F7),CE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CE$4=EDATE(EDATE('核心假设'!$B$5,12+$F7),$D7),SUM('融资租赁与资金缺口'!$D$5:$D$16)*$Y7*'核心假设'!$B$32,0),0),IF(AND(CE$4&gt;EDATE('核心假设'!$B$5,13+$F7),CE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CE$4=EDATE(EDATE('核心假设'!$B$5,13+$F7),$D7),SUM('融资租赁与资金缺口'!$D$5:$D$16)*$Z7*'核心假设'!$B$32,0),0),IF(AND(CE$4&gt;EDATE('核心假设'!$B$5,14+$F7),CE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CE$4=EDATE(EDATE('核心假设'!$B$5,14+$F7),$D7),SUM('融资租赁与资金缺口'!$D$5:$D$16)*$AA7*'核心假设'!$B$32,0),0),IF(AND(CE$4&gt;EDATE('核心假设'!$B$5,15+$F7),CE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CE$4=EDATE(EDATE('核心假设'!$B$5,15+$F7),$D7),SUM('融资租赁与资金缺口'!$D$5:$D$16)*$AB7*'核心假设'!$B$32,0),0),IF(AND(CE$4&gt;EDATE('核心假设'!$B$5,16+$F7),CE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CE$4=EDATE(EDATE('核心假设'!$B$5,16+$F7),$D7),SUM('融资租赁与资金缺口'!$D$5:$D$16)*$AC7*'核心假设'!$B$32,0),0),IF(AND(CE$4&gt;EDATE('核心假设'!$B$5,17+$F7),CE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CE$4=EDATE(EDATE('核心假设'!$B$5,17+$F7),$D7),SUM('融资租赁与资金缺口'!$D$5:$D$16)*$AD7*'核心假设'!$B$32,0),0))</x:f>
        <x:v>0</x:v>
      </x:c>
      <x:c r="CF19" s="28" t="n">
        <x:f>SUM(IF(AND(CF$4&gt;EDATE('核心假设'!$B$5,0+$F7),CF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CF$4=EDATE(EDATE('核心假设'!$B$5,0+$F7),$D7),SUM('融资租赁与资金缺口'!$D$5:$D$16)*$M7*'核心假设'!$B$32,0),0),IF(AND(CF$4&gt;EDATE('核心假设'!$B$5,1+$F7),CF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CF$4=EDATE(EDATE('核心假设'!$B$5,1+$F7),$D7),SUM('融资租赁与资金缺口'!$D$5:$D$16)*$N7*'核心假设'!$B$32,0),0),IF(AND(CF$4&gt;EDATE('核心假设'!$B$5,2+$F7),CF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CF$4=EDATE(EDATE('核心假设'!$B$5,2+$F7),$D7),SUM('融资租赁与资金缺口'!$D$5:$D$16)*$O7*'核心假设'!$B$32,0),0),IF(AND(CF$4&gt;EDATE('核心假设'!$B$5,3+$F7),CF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CF$4=EDATE(EDATE('核心假设'!$B$5,3+$F7),$D7),SUM('融资租赁与资金缺口'!$D$5:$D$16)*$P7*'核心假设'!$B$32,0),0),IF(AND(CF$4&gt;EDATE('核心假设'!$B$5,4+$F7),CF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CF$4=EDATE(EDATE('核心假设'!$B$5,4+$F7),$D7),SUM('融资租赁与资金缺口'!$D$5:$D$16)*$Q7*'核心假设'!$B$32,0),0),IF(AND(CF$4&gt;EDATE('核心假设'!$B$5,5+$F7),CF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CF$4=EDATE(EDATE('核心假设'!$B$5,5+$F7),$D7),SUM('融资租赁与资金缺口'!$D$5:$D$16)*$R7*'核心假设'!$B$32,0),0),IF(AND(CF$4&gt;EDATE('核心假设'!$B$5,6+$F7),CF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CF$4=EDATE(EDATE('核心假设'!$B$5,6+$F7),$D7),SUM('融资租赁与资金缺口'!$D$5:$D$16)*$S7*'核心假设'!$B$32,0),0),IF(AND(CF$4&gt;EDATE('核心假设'!$B$5,7+$F7),CF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CF$4=EDATE(EDATE('核心假设'!$B$5,7+$F7),$D7),SUM('融资租赁与资金缺口'!$D$5:$D$16)*$T7*'核心假设'!$B$32,0),0),IF(AND(CF$4&gt;EDATE('核心假设'!$B$5,8+$F7),CF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CF$4=EDATE(EDATE('核心假设'!$B$5,8+$F7),$D7),SUM('融资租赁与资金缺口'!$D$5:$D$16)*$U7*'核心假设'!$B$32,0),0),IF(AND(CF$4&gt;EDATE('核心假设'!$B$5,9+$F7),CF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CF$4=EDATE(EDATE('核心假设'!$B$5,9+$F7),$D7),SUM('融资租赁与资金缺口'!$D$5:$D$16)*$V7*'核心假设'!$B$32,0),0),IF(AND(CF$4&gt;EDATE('核心假设'!$B$5,10+$F7),CF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CF$4=EDATE(EDATE('核心假设'!$B$5,10+$F7),$D7),SUM('融资租赁与资金缺口'!$D$5:$D$16)*$W7*'核心假设'!$B$32,0),0),IF(AND(CF$4&gt;EDATE('核心假设'!$B$5,11+$F7),CF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CF$4=EDATE(EDATE('核心假设'!$B$5,11+$F7),$D7),SUM('融资租赁与资金缺口'!$D$5:$D$16)*$X7*'核心假设'!$B$32,0),0),IF(AND(CF$4&gt;EDATE('核心假设'!$B$5,12+$F7),CF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CF$4=EDATE(EDATE('核心假设'!$B$5,12+$F7),$D7),SUM('融资租赁与资金缺口'!$D$5:$D$16)*$Y7*'核心假设'!$B$32,0),0),IF(AND(CF$4&gt;EDATE('核心假设'!$B$5,13+$F7),CF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CF$4=EDATE(EDATE('核心假设'!$B$5,13+$F7),$D7),SUM('融资租赁与资金缺口'!$D$5:$D$16)*$Z7*'核心假设'!$B$32,0),0),IF(AND(CF$4&gt;EDATE('核心假设'!$B$5,14+$F7),CF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CF$4=EDATE(EDATE('核心假设'!$B$5,14+$F7),$D7),SUM('融资租赁与资金缺口'!$D$5:$D$16)*$AA7*'核心假设'!$B$32,0),0),IF(AND(CF$4&gt;EDATE('核心假设'!$B$5,15+$F7),CF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CF$4=EDATE(EDATE('核心假设'!$B$5,15+$F7),$D7),SUM('融资租赁与资金缺口'!$D$5:$D$16)*$AB7*'核心假设'!$B$32,0),0),IF(AND(CF$4&gt;EDATE('核心假设'!$B$5,16+$F7),CF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CF$4=EDATE(EDATE('核心假设'!$B$5,16+$F7),$D7),SUM('融资租赁与资金缺口'!$D$5:$D$16)*$AC7*'核心假设'!$B$32,0),0),IF(AND(CF$4&gt;EDATE('核心假设'!$B$5,17+$F7),CF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CF$4=EDATE(EDATE('核心假设'!$B$5,17+$F7),$D7),SUM('融资租赁与资金缺口'!$D$5:$D$16)*$AD7*'核心假设'!$B$32,0),0))</x:f>
        <x:v>0</x:v>
      </x:c>
      <x:c r="CG19" s="28" t="n">
        <x:f>SUM(IF(AND(CG$4&gt;EDATE('核心假设'!$B$5,0+$F7),CG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CG$4=EDATE(EDATE('核心假设'!$B$5,0+$F7),$D7),SUM('融资租赁与资金缺口'!$D$5:$D$16)*$M7*'核心假设'!$B$32,0),0),IF(AND(CG$4&gt;EDATE('核心假设'!$B$5,1+$F7),CG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CG$4=EDATE(EDATE('核心假设'!$B$5,1+$F7),$D7),SUM('融资租赁与资金缺口'!$D$5:$D$16)*$N7*'核心假设'!$B$32,0),0),IF(AND(CG$4&gt;EDATE('核心假设'!$B$5,2+$F7),CG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CG$4=EDATE(EDATE('核心假设'!$B$5,2+$F7),$D7),SUM('融资租赁与资金缺口'!$D$5:$D$16)*$O7*'核心假设'!$B$32,0),0),IF(AND(CG$4&gt;EDATE('核心假设'!$B$5,3+$F7),CG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CG$4=EDATE(EDATE('核心假设'!$B$5,3+$F7),$D7),SUM('融资租赁与资金缺口'!$D$5:$D$16)*$P7*'核心假设'!$B$32,0),0),IF(AND(CG$4&gt;EDATE('核心假设'!$B$5,4+$F7),CG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CG$4=EDATE(EDATE('核心假设'!$B$5,4+$F7),$D7),SUM('融资租赁与资金缺口'!$D$5:$D$16)*$Q7*'核心假设'!$B$32,0),0),IF(AND(CG$4&gt;EDATE('核心假设'!$B$5,5+$F7),CG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CG$4=EDATE(EDATE('核心假设'!$B$5,5+$F7),$D7),SUM('融资租赁与资金缺口'!$D$5:$D$16)*$R7*'核心假设'!$B$32,0),0),IF(AND(CG$4&gt;EDATE('核心假设'!$B$5,6+$F7),CG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CG$4=EDATE(EDATE('核心假设'!$B$5,6+$F7),$D7),SUM('融资租赁与资金缺口'!$D$5:$D$16)*$S7*'核心假设'!$B$32,0),0),IF(AND(CG$4&gt;EDATE('核心假设'!$B$5,7+$F7),CG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CG$4=EDATE(EDATE('核心假设'!$B$5,7+$F7),$D7),SUM('融资租赁与资金缺口'!$D$5:$D$16)*$T7*'核心假设'!$B$32,0),0),IF(AND(CG$4&gt;EDATE('核心假设'!$B$5,8+$F7),CG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CG$4=EDATE(EDATE('核心假设'!$B$5,8+$F7),$D7),SUM('融资租赁与资金缺口'!$D$5:$D$16)*$U7*'核心假设'!$B$32,0),0),IF(AND(CG$4&gt;EDATE('核心假设'!$B$5,9+$F7),CG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CG$4=EDATE(EDATE('核心假设'!$B$5,9+$F7),$D7),SUM('融资租赁与资金缺口'!$D$5:$D$16)*$V7*'核心假设'!$B$32,0),0),IF(AND(CG$4&gt;EDATE('核心假设'!$B$5,10+$F7),CG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CG$4=EDATE(EDATE('核心假设'!$B$5,10+$F7),$D7),SUM('融资租赁与资金缺口'!$D$5:$D$16)*$W7*'核心假设'!$B$32,0),0),IF(AND(CG$4&gt;EDATE('核心假设'!$B$5,11+$F7),CG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CG$4=EDATE(EDATE('核心假设'!$B$5,11+$F7),$D7),SUM('融资租赁与资金缺口'!$D$5:$D$16)*$X7*'核心假设'!$B$32,0),0),IF(AND(CG$4&gt;EDATE('核心假设'!$B$5,12+$F7),CG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CG$4=EDATE(EDATE('核心假设'!$B$5,12+$F7),$D7),SUM('融资租赁与资金缺口'!$D$5:$D$16)*$Y7*'核心假设'!$B$32,0),0),IF(AND(CG$4&gt;EDATE('核心假设'!$B$5,13+$F7),CG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CG$4=EDATE(EDATE('核心假设'!$B$5,13+$F7),$D7),SUM('融资租赁与资金缺口'!$D$5:$D$16)*$Z7*'核心假设'!$B$32,0),0),IF(AND(CG$4&gt;EDATE('核心假设'!$B$5,14+$F7),CG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CG$4=EDATE(EDATE('核心假设'!$B$5,14+$F7),$D7),SUM('融资租赁与资金缺口'!$D$5:$D$16)*$AA7*'核心假设'!$B$32,0),0),IF(AND(CG$4&gt;EDATE('核心假设'!$B$5,15+$F7),CG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CG$4=EDATE(EDATE('核心假设'!$B$5,15+$F7),$D7),SUM('融资租赁与资金缺口'!$D$5:$D$16)*$AB7*'核心假设'!$B$32,0),0),IF(AND(CG$4&gt;EDATE('核心假设'!$B$5,16+$F7),CG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CG$4=EDATE(EDATE('核心假设'!$B$5,16+$F7),$D7),SUM('融资租赁与资金缺口'!$D$5:$D$16)*$AC7*'核心假设'!$B$32,0),0),IF(AND(CG$4&gt;EDATE('核心假设'!$B$5,17+$F7),CG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CG$4=EDATE(EDATE('核心假设'!$B$5,17+$F7),$D7),SUM('融资租赁与资金缺口'!$D$5:$D$16)*$AD7*'核心假设'!$B$32,0),0))</x:f>
        <x:v>0</x:v>
      </x:c>
      <x:c r="CH19" s="28" t="n">
        <x:f>SUM(IF(AND(CH$4&gt;EDATE('核心假设'!$B$5,0+$F7),CH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CH$4=EDATE(EDATE('核心假设'!$B$5,0+$F7),$D7),SUM('融资租赁与资金缺口'!$D$5:$D$16)*$M7*'核心假设'!$B$32,0),0),IF(AND(CH$4&gt;EDATE('核心假设'!$B$5,1+$F7),CH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CH$4=EDATE(EDATE('核心假设'!$B$5,1+$F7),$D7),SUM('融资租赁与资金缺口'!$D$5:$D$16)*$N7*'核心假设'!$B$32,0),0),IF(AND(CH$4&gt;EDATE('核心假设'!$B$5,2+$F7),CH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CH$4=EDATE(EDATE('核心假设'!$B$5,2+$F7),$D7),SUM('融资租赁与资金缺口'!$D$5:$D$16)*$O7*'核心假设'!$B$32,0),0),IF(AND(CH$4&gt;EDATE('核心假设'!$B$5,3+$F7),CH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CH$4=EDATE(EDATE('核心假设'!$B$5,3+$F7),$D7),SUM('融资租赁与资金缺口'!$D$5:$D$16)*$P7*'核心假设'!$B$32,0),0),IF(AND(CH$4&gt;EDATE('核心假设'!$B$5,4+$F7),CH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CH$4=EDATE(EDATE('核心假设'!$B$5,4+$F7),$D7),SUM('融资租赁与资金缺口'!$D$5:$D$16)*$Q7*'核心假设'!$B$32,0),0),IF(AND(CH$4&gt;EDATE('核心假设'!$B$5,5+$F7),CH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CH$4=EDATE(EDATE('核心假设'!$B$5,5+$F7),$D7),SUM('融资租赁与资金缺口'!$D$5:$D$16)*$R7*'核心假设'!$B$32,0),0),IF(AND(CH$4&gt;EDATE('核心假设'!$B$5,6+$F7),CH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CH$4=EDATE(EDATE('核心假设'!$B$5,6+$F7),$D7),SUM('融资租赁与资金缺口'!$D$5:$D$16)*$S7*'核心假设'!$B$32,0),0),IF(AND(CH$4&gt;EDATE('核心假设'!$B$5,7+$F7),CH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CH$4=EDATE(EDATE('核心假设'!$B$5,7+$F7),$D7),SUM('融资租赁与资金缺口'!$D$5:$D$16)*$T7*'核心假设'!$B$32,0),0),IF(AND(CH$4&gt;EDATE('核心假设'!$B$5,8+$F7),CH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CH$4=EDATE(EDATE('核心假设'!$B$5,8+$F7),$D7),SUM('融资租赁与资金缺口'!$D$5:$D$16)*$U7*'核心假设'!$B$32,0),0),IF(AND(CH$4&gt;EDATE('核心假设'!$B$5,9+$F7),CH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CH$4=EDATE(EDATE('核心假设'!$B$5,9+$F7),$D7),SUM('融资租赁与资金缺口'!$D$5:$D$16)*$V7*'核心假设'!$B$32,0),0),IF(AND(CH$4&gt;EDATE('核心假设'!$B$5,10+$F7),CH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CH$4=EDATE(EDATE('核心假设'!$B$5,10+$F7),$D7),SUM('融资租赁与资金缺口'!$D$5:$D$16)*$W7*'核心假设'!$B$32,0),0),IF(AND(CH$4&gt;EDATE('核心假设'!$B$5,11+$F7),CH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CH$4=EDATE(EDATE('核心假设'!$B$5,11+$F7),$D7),SUM('融资租赁与资金缺口'!$D$5:$D$16)*$X7*'核心假设'!$B$32,0),0),IF(AND(CH$4&gt;EDATE('核心假设'!$B$5,12+$F7),CH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CH$4=EDATE(EDATE('核心假设'!$B$5,12+$F7),$D7),SUM('融资租赁与资金缺口'!$D$5:$D$16)*$Y7*'核心假设'!$B$32,0),0),IF(AND(CH$4&gt;EDATE('核心假设'!$B$5,13+$F7),CH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CH$4=EDATE(EDATE('核心假设'!$B$5,13+$F7),$D7),SUM('融资租赁与资金缺口'!$D$5:$D$16)*$Z7*'核心假设'!$B$32,0),0),IF(AND(CH$4&gt;EDATE('核心假设'!$B$5,14+$F7),CH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CH$4=EDATE(EDATE('核心假设'!$B$5,14+$F7),$D7),SUM('融资租赁与资金缺口'!$D$5:$D$16)*$AA7*'核心假设'!$B$32,0),0),IF(AND(CH$4&gt;EDATE('核心假设'!$B$5,15+$F7),CH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CH$4=EDATE(EDATE('核心假设'!$B$5,15+$F7),$D7),SUM('融资租赁与资金缺口'!$D$5:$D$16)*$AB7*'核心假设'!$B$32,0),0),IF(AND(CH$4&gt;EDATE('核心假设'!$B$5,16+$F7),CH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CH$4=EDATE(EDATE('核心假设'!$B$5,16+$F7),$D7),SUM('融资租赁与资金缺口'!$D$5:$D$16)*$AC7*'核心假设'!$B$32,0),0),IF(AND(CH$4&gt;EDATE('核心假设'!$B$5,17+$F7),CH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CH$4=EDATE(EDATE('核心假设'!$B$5,17+$F7),$D7),SUM('融资租赁与资金缺口'!$D$5:$D$16)*$AD7*'核心假设'!$B$32,0),0))</x:f>
        <x:v>0</x:v>
      </x:c>
      <x:c r="CI19" s="28" t="n">
        <x:f>SUM(IF(AND(CI$4&gt;EDATE('核心假设'!$B$5,0+$F7),CI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CI$4=EDATE(EDATE('核心假设'!$B$5,0+$F7),$D7),SUM('融资租赁与资金缺口'!$D$5:$D$16)*$M7*'核心假设'!$B$32,0),0),IF(AND(CI$4&gt;EDATE('核心假设'!$B$5,1+$F7),CI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CI$4=EDATE(EDATE('核心假设'!$B$5,1+$F7),$D7),SUM('融资租赁与资金缺口'!$D$5:$D$16)*$N7*'核心假设'!$B$32,0),0),IF(AND(CI$4&gt;EDATE('核心假设'!$B$5,2+$F7),CI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CI$4=EDATE(EDATE('核心假设'!$B$5,2+$F7),$D7),SUM('融资租赁与资金缺口'!$D$5:$D$16)*$O7*'核心假设'!$B$32,0),0),IF(AND(CI$4&gt;EDATE('核心假设'!$B$5,3+$F7),CI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CI$4=EDATE(EDATE('核心假设'!$B$5,3+$F7),$D7),SUM('融资租赁与资金缺口'!$D$5:$D$16)*$P7*'核心假设'!$B$32,0),0),IF(AND(CI$4&gt;EDATE('核心假设'!$B$5,4+$F7),CI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CI$4=EDATE(EDATE('核心假设'!$B$5,4+$F7),$D7),SUM('融资租赁与资金缺口'!$D$5:$D$16)*$Q7*'核心假设'!$B$32,0),0),IF(AND(CI$4&gt;EDATE('核心假设'!$B$5,5+$F7),CI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CI$4=EDATE(EDATE('核心假设'!$B$5,5+$F7),$D7),SUM('融资租赁与资金缺口'!$D$5:$D$16)*$R7*'核心假设'!$B$32,0),0),IF(AND(CI$4&gt;EDATE('核心假设'!$B$5,6+$F7),CI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CI$4=EDATE(EDATE('核心假设'!$B$5,6+$F7),$D7),SUM('融资租赁与资金缺口'!$D$5:$D$16)*$S7*'核心假设'!$B$32,0),0),IF(AND(CI$4&gt;EDATE('核心假设'!$B$5,7+$F7),CI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CI$4=EDATE(EDATE('核心假设'!$B$5,7+$F7),$D7),SUM('融资租赁与资金缺口'!$D$5:$D$16)*$T7*'核心假设'!$B$32,0),0),IF(AND(CI$4&gt;EDATE('核心假设'!$B$5,8+$F7),CI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CI$4=EDATE(EDATE('核心假设'!$B$5,8+$F7),$D7),SUM('融资租赁与资金缺口'!$D$5:$D$16)*$U7*'核心假设'!$B$32,0),0),IF(AND(CI$4&gt;EDATE('核心假设'!$B$5,9+$F7),CI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CI$4=EDATE(EDATE('核心假设'!$B$5,9+$F7),$D7),SUM('融资租赁与资金缺口'!$D$5:$D$16)*$V7*'核心假设'!$B$32,0),0),IF(AND(CI$4&gt;EDATE('核心假设'!$B$5,10+$F7),CI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CI$4=EDATE(EDATE('核心假设'!$B$5,10+$F7),$D7),SUM('融资租赁与资金缺口'!$D$5:$D$16)*$W7*'核心假设'!$B$32,0),0),IF(AND(CI$4&gt;EDATE('核心假设'!$B$5,11+$F7),CI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CI$4=EDATE(EDATE('核心假设'!$B$5,11+$F7),$D7),SUM('融资租赁与资金缺口'!$D$5:$D$16)*$X7*'核心假设'!$B$32,0),0),IF(AND(CI$4&gt;EDATE('核心假设'!$B$5,12+$F7),CI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CI$4=EDATE(EDATE('核心假设'!$B$5,12+$F7),$D7),SUM('融资租赁与资金缺口'!$D$5:$D$16)*$Y7*'核心假设'!$B$32,0),0),IF(AND(CI$4&gt;EDATE('核心假设'!$B$5,13+$F7),CI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CI$4=EDATE(EDATE('核心假设'!$B$5,13+$F7),$D7),SUM('融资租赁与资金缺口'!$D$5:$D$16)*$Z7*'核心假设'!$B$32,0),0),IF(AND(CI$4&gt;EDATE('核心假设'!$B$5,14+$F7),CI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CI$4=EDATE(EDATE('核心假设'!$B$5,14+$F7),$D7),SUM('融资租赁与资金缺口'!$D$5:$D$16)*$AA7*'核心假设'!$B$32,0),0),IF(AND(CI$4&gt;EDATE('核心假设'!$B$5,15+$F7),CI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CI$4=EDATE(EDATE('核心假设'!$B$5,15+$F7),$D7),SUM('融资租赁与资金缺口'!$D$5:$D$16)*$AB7*'核心假设'!$B$32,0),0),IF(AND(CI$4&gt;EDATE('核心假设'!$B$5,16+$F7),CI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CI$4=EDATE(EDATE('核心假设'!$B$5,16+$F7),$D7),SUM('融资租赁与资金缺口'!$D$5:$D$16)*$AC7*'核心假设'!$B$32,0),0),IF(AND(CI$4&gt;EDATE('核心假设'!$B$5,17+$F7),CI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CI$4=EDATE(EDATE('核心假设'!$B$5,17+$F7),$D7),SUM('融资租赁与资金缺口'!$D$5:$D$16)*$AD7*'核心假设'!$B$32,0),0))</x:f>
        <x:v>0</x:v>
      </x:c>
      <x:c r="CJ19" s="28" t="n">
        <x:f>SUM(IF(AND(CJ$4&gt;EDATE('核心假设'!$B$5,0+$F7),CJ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CJ$4=EDATE(EDATE('核心假设'!$B$5,0+$F7),$D7),SUM('融资租赁与资金缺口'!$D$5:$D$16)*$M7*'核心假设'!$B$32,0),0),IF(AND(CJ$4&gt;EDATE('核心假设'!$B$5,1+$F7),CJ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CJ$4=EDATE(EDATE('核心假设'!$B$5,1+$F7),$D7),SUM('融资租赁与资金缺口'!$D$5:$D$16)*$N7*'核心假设'!$B$32,0),0),IF(AND(CJ$4&gt;EDATE('核心假设'!$B$5,2+$F7),CJ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CJ$4=EDATE(EDATE('核心假设'!$B$5,2+$F7),$D7),SUM('融资租赁与资金缺口'!$D$5:$D$16)*$O7*'核心假设'!$B$32,0),0),IF(AND(CJ$4&gt;EDATE('核心假设'!$B$5,3+$F7),CJ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CJ$4=EDATE(EDATE('核心假设'!$B$5,3+$F7),$D7),SUM('融资租赁与资金缺口'!$D$5:$D$16)*$P7*'核心假设'!$B$32,0),0),IF(AND(CJ$4&gt;EDATE('核心假设'!$B$5,4+$F7),CJ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CJ$4=EDATE(EDATE('核心假设'!$B$5,4+$F7),$D7),SUM('融资租赁与资金缺口'!$D$5:$D$16)*$Q7*'核心假设'!$B$32,0),0),IF(AND(CJ$4&gt;EDATE('核心假设'!$B$5,5+$F7),CJ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CJ$4=EDATE(EDATE('核心假设'!$B$5,5+$F7),$D7),SUM('融资租赁与资金缺口'!$D$5:$D$16)*$R7*'核心假设'!$B$32,0),0),IF(AND(CJ$4&gt;EDATE('核心假设'!$B$5,6+$F7),CJ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CJ$4=EDATE(EDATE('核心假设'!$B$5,6+$F7),$D7),SUM('融资租赁与资金缺口'!$D$5:$D$16)*$S7*'核心假设'!$B$32,0),0),IF(AND(CJ$4&gt;EDATE('核心假设'!$B$5,7+$F7),CJ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CJ$4=EDATE(EDATE('核心假设'!$B$5,7+$F7),$D7),SUM('融资租赁与资金缺口'!$D$5:$D$16)*$T7*'核心假设'!$B$32,0),0),IF(AND(CJ$4&gt;EDATE('核心假设'!$B$5,8+$F7),CJ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CJ$4=EDATE(EDATE('核心假设'!$B$5,8+$F7),$D7),SUM('融资租赁与资金缺口'!$D$5:$D$16)*$U7*'核心假设'!$B$32,0),0),IF(AND(CJ$4&gt;EDATE('核心假设'!$B$5,9+$F7),CJ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CJ$4=EDATE(EDATE('核心假设'!$B$5,9+$F7),$D7),SUM('融资租赁与资金缺口'!$D$5:$D$16)*$V7*'核心假设'!$B$32,0),0),IF(AND(CJ$4&gt;EDATE('核心假设'!$B$5,10+$F7),CJ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CJ$4=EDATE(EDATE('核心假设'!$B$5,10+$F7),$D7),SUM('融资租赁与资金缺口'!$D$5:$D$16)*$W7*'核心假设'!$B$32,0),0),IF(AND(CJ$4&gt;EDATE('核心假设'!$B$5,11+$F7),CJ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CJ$4=EDATE(EDATE('核心假设'!$B$5,11+$F7),$D7),SUM('融资租赁与资金缺口'!$D$5:$D$16)*$X7*'核心假设'!$B$32,0),0),IF(AND(CJ$4&gt;EDATE('核心假设'!$B$5,12+$F7),CJ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CJ$4=EDATE(EDATE('核心假设'!$B$5,12+$F7),$D7),SUM('融资租赁与资金缺口'!$D$5:$D$16)*$Y7*'核心假设'!$B$32,0),0),IF(AND(CJ$4&gt;EDATE('核心假设'!$B$5,13+$F7),CJ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CJ$4=EDATE(EDATE('核心假设'!$B$5,13+$F7),$D7),SUM('融资租赁与资金缺口'!$D$5:$D$16)*$Z7*'核心假设'!$B$32,0),0),IF(AND(CJ$4&gt;EDATE('核心假设'!$B$5,14+$F7),CJ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CJ$4=EDATE(EDATE('核心假设'!$B$5,14+$F7),$D7),SUM('融资租赁与资金缺口'!$D$5:$D$16)*$AA7*'核心假设'!$B$32,0),0),IF(AND(CJ$4&gt;EDATE('核心假设'!$B$5,15+$F7),CJ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CJ$4=EDATE(EDATE('核心假设'!$B$5,15+$F7),$D7),SUM('融资租赁与资金缺口'!$D$5:$D$16)*$AB7*'核心假设'!$B$32,0),0),IF(AND(CJ$4&gt;EDATE('核心假设'!$B$5,16+$F7),CJ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CJ$4=EDATE(EDATE('核心假设'!$B$5,16+$F7),$D7),SUM('融资租赁与资金缺口'!$D$5:$D$16)*$AC7*'核心假设'!$B$32,0),0),IF(AND(CJ$4&gt;EDATE('核心假设'!$B$5,17+$F7),CJ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CJ$4=EDATE(EDATE('核心假设'!$B$5,17+$F7),$D7),SUM('融资租赁与资金缺口'!$D$5:$D$16)*$AD7*'核心假设'!$B$32,0),0))</x:f>
        <x:v>0</x:v>
      </x:c>
      <x:c r="CK19" s="28" t="n">
        <x:f>SUM(IF(AND(CK$4&gt;EDATE('核心假设'!$B$5,0+$F7),CK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CK$4=EDATE(EDATE('核心假设'!$B$5,0+$F7),$D7),SUM('融资租赁与资金缺口'!$D$5:$D$16)*$M7*'核心假设'!$B$32,0),0),IF(AND(CK$4&gt;EDATE('核心假设'!$B$5,1+$F7),CK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CK$4=EDATE(EDATE('核心假设'!$B$5,1+$F7),$D7),SUM('融资租赁与资金缺口'!$D$5:$D$16)*$N7*'核心假设'!$B$32,0),0),IF(AND(CK$4&gt;EDATE('核心假设'!$B$5,2+$F7),CK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CK$4=EDATE(EDATE('核心假设'!$B$5,2+$F7),$D7),SUM('融资租赁与资金缺口'!$D$5:$D$16)*$O7*'核心假设'!$B$32,0),0),IF(AND(CK$4&gt;EDATE('核心假设'!$B$5,3+$F7),CK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CK$4=EDATE(EDATE('核心假设'!$B$5,3+$F7),$D7),SUM('融资租赁与资金缺口'!$D$5:$D$16)*$P7*'核心假设'!$B$32,0),0),IF(AND(CK$4&gt;EDATE('核心假设'!$B$5,4+$F7),CK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CK$4=EDATE(EDATE('核心假设'!$B$5,4+$F7),$D7),SUM('融资租赁与资金缺口'!$D$5:$D$16)*$Q7*'核心假设'!$B$32,0),0),IF(AND(CK$4&gt;EDATE('核心假设'!$B$5,5+$F7),CK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CK$4=EDATE(EDATE('核心假设'!$B$5,5+$F7),$D7),SUM('融资租赁与资金缺口'!$D$5:$D$16)*$R7*'核心假设'!$B$32,0),0),IF(AND(CK$4&gt;EDATE('核心假设'!$B$5,6+$F7),CK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CK$4=EDATE(EDATE('核心假设'!$B$5,6+$F7),$D7),SUM('融资租赁与资金缺口'!$D$5:$D$16)*$S7*'核心假设'!$B$32,0),0),IF(AND(CK$4&gt;EDATE('核心假设'!$B$5,7+$F7),CK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CK$4=EDATE(EDATE('核心假设'!$B$5,7+$F7),$D7),SUM('融资租赁与资金缺口'!$D$5:$D$16)*$T7*'核心假设'!$B$32,0),0),IF(AND(CK$4&gt;EDATE('核心假设'!$B$5,8+$F7),CK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CK$4=EDATE(EDATE('核心假设'!$B$5,8+$F7),$D7),SUM('融资租赁与资金缺口'!$D$5:$D$16)*$U7*'核心假设'!$B$32,0),0),IF(AND(CK$4&gt;EDATE('核心假设'!$B$5,9+$F7),CK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CK$4=EDATE(EDATE('核心假设'!$B$5,9+$F7),$D7),SUM('融资租赁与资金缺口'!$D$5:$D$16)*$V7*'核心假设'!$B$32,0),0),IF(AND(CK$4&gt;EDATE('核心假设'!$B$5,10+$F7),CK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CK$4=EDATE(EDATE('核心假设'!$B$5,10+$F7),$D7),SUM('融资租赁与资金缺口'!$D$5:$D$16)*$W7*'核心假设'!$B$32,0),0),IF(AND(CK$4&gt;EDATE('核心假设'!$B$5,11+$F7),CK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CK$4=EDATE(EDATE('核心假设'!$B$5,11+$F7),$D7),SUM('融资租赁与资金缺口'!$D$5:$D$16)*$X7*'核心假设'!$B$32,0),0),IF(AND(CK$4&gt;EDATE('核心假设'!$B$5,12+$F7),CK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CK$4=EDATE(EDATE('核心假设'!$B$5,12+$F7),$D7),SUM('融资租赁与资金缺口'!$D$5:$D$16)*$Y7*'核心假设'!$B$32,0),0),IF(AND(CK$4&gt;EDATE('核心假设'!$B$5,13+$F7),CK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CK$4=EDATE(EDATE('核心假设'!$B$5,13+$F7),$D7),SUM('融资租赁与资金缺口'!$D$5:$D$16)*$Z7*'核心假设'!$B$32,0),0),IF(AND(CK$4&gt;EDATE('核心假设'!$B$5,14+$F7),CK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CK$4=EDATE(EDATE('核心假设'!$B$5,14+$F7),$D7),SUM('融资租赁与资金缺口'!$D$5:$D$16)*$AA7*'核心假设'!$B$32,0),0),IF(AND(CK$4&gt;EDATE('核心假设'!$B$5,15+$F7),CK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CK$4=EDATE(EDATE('核心假设'!$B$5,15+$F7),$D7),SUM('融资租赁与资金缺口'!$D$5:$D$16)*$AB7*'核心假设'!$B$32,0),0),IF(AND(CK$4&gt;EDATE('核心假设'!$B$5,16+$F7),CK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CK$4=EDATE(EDATE('核心假设'!$B$5,16+$F7),$D7),SUM('融资租赁与资金缺口'!$D$5:$D$16)*$AC7*'核心假设'!$B$32,0),0),IF(AND(CK$4&gt;EDATE('核心假设'!$B$5,17+$F7),CK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CK$4=EDATE(EDATE('核心假设'!$B$5,17+$F7),$D7),SUM('融资租赁与资金缺口'!$D$5:$D$16)*$AD7*'核心假设'!$B$32,0),0))</x:f>
        <x:v>0</x:v>
      </x:c>
      <x:c r="CL19" s="28" t="n">
        <x:f>SUM(IF(AND(CL$4&gt;EDATE('核心假设'!$B$5,0+$F7),CL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CL$4=EDATE(EDATE('核心假设'!$B$5,0+$F7),$D7),SUM('融资租赁与资金缺口'!$D$5:$D$16)*$M7*'核心假设'!$B$32,0),0),IF(AND(CL$4&gt;EDATE('核心假设'!$B$5,1+$F7),CL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CL$4=EDATE(EDATE('核心假设'!$B$5,1+$F7),$D7),SUM('融资租赁与资金缺口'!$D$5:$D$16)*$N7*'核心假设'!$B$32,0),0),IF(AND(CL$4&gt;EDATE('核心假设'!$B$5,2+$F7),CL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CL$4=EDATE(EDATE('核心假设'!$B$5,2+$F7),$D7),SUM('融资租赁与资金缺口'!$D$5:$D$16)*$O7*'核心假设'!$B$32,0),0),IF(AND(CL$4&gt;EDATE('核心假设'!$B$5,3+$F7),CL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CL$4=EDATE(EDATE('核心假设'!$B$5,3+$F7),$D7),SUM('融资租赁与资金缺口'!$D$5:$D$16)*$P7*'核心假设'!$B$32,0),0),IF(AND(CL$4&gt;EDATE('核心假设'!$B$5,4+$F7),CL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CL$4=EDATE(EDATE('核心假设'!$B$5,4+$F7),$D7),SUM('融资租赁与资金缺口'!$D$5:$D$16)*$Q7*'核心假设'!$B$32,0),0),IF(AND(CL$4&gt;EDATE('核心假设'!$B$5,5+$F7),CL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CL$4=EDATE(EDATE('核心假设'!$B$5,5+$F7),$D7),SUM('融资租赁与资金缺口'!$D$5:$D$16)*$R7*'核心假设'!$B$32,0),0),IF(AND(CL$4&gt;EDATE('核心假设'!$B$5,6+$F7),CL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CL$4=EDATE(EDATE('核心假设'!$B$5,6+$F7),$D7),SUM('融资租赁与资金缺口'!$D$5:$D$16)*$S7*'核心假设'!$B$32,0),0),IF(AND(CL$4&gt;EDATE('核心假设'!$B$5,7+$F7),CL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CL$4=EDATE(EDATE('核心假设'!$B$5,7+$F7),$D7),SUM('融资租赁与资金缺口'!$D$5:$D$16)*$T7*'核心假设'!$B$32,0),0),IF(AND(CL$4&gt;EDATE('核心假设'!$B$5,8+$F7),CL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CL$4=EDATE(EDATE('核心假设'!$B$5,8+$F7),$D7),SUM('融资租赁与资金缺口'!$D$5:$D$16)*$U7*'核心假设'!$B$32,0),0),IF(AND(CL$4&gt;EDATE('核心假设'!$B$5,9+$F7),CL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CL$4=EDATE(EDATE('核心假设'!$B$5,9+$F7),$D7),SUM('融资租赁与资金缺口'!$D$5:$D$16)*$V7*'核心假设'!$B$32,0),0),IF(AND(CL$4&gt;EDATE('核心假设'!$B$5,10+$F7),CL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CL$4=EDATE(EDATE('核心假设'!$B$5,10+$F7),$D7),SUM('融资租赁与资金缺口'!$D$5:$D$16)*$W7*'核心假设'!$B$32,0),0),IF(AND(CL$4&gt;EDATE('核心假设'!$B$5,11+$F7),CL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CL$4=EDATE(EDATE('核心假设'!$B$5,11+$F7),$D7),SUM('融资租赁与资金缺口'!$D$5:$D$16)*$X7*'核心假设'!$B$32,0),0),IF(AND(CL$4&gt;EDATE('核心假设'!$B$5,12+$F7),CL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CL$4=EDATE(EDATE('核心假设'!$B$5,12+$F7),$D7),SUM('融资租赁与资金缺口'!$D$5:$D$16)*$Y7*'核心假设'!$B$32,0),0),IF(AND(CL$4&gt;EDATE('核心假设'!$B$5,13+$F7),CL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CL$4=EDATE(EDATE('核心假设'!$B$5,13+$F7),$D7),SUM('融资租赁与资金缺口'!$D$5:$D$16)*$Z7*'核心假设'!$B$32,0),0),IF(AND(CL$4&gt;EDATE('核心假设'!$B$5,14+$F7),CL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CL$4=EDATE(EDATE('核心假设'!$B$5,14+$F7),$D7),SUM('融资租赁与资金缺口'!$D$5:$D$16)*$AA7*'核心假设'!$B$32,0),0),IF(AND(CL$4&gt;EDATE('核心假设'!$B$5,15+$F7),CL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CL$4=EDATE(EDATE('核心假设'!$B$5,15+$F7),$D7),SUM('融资租赁与资金缺口'!$D$5:$D$16)*$AB7*'核心假设'!$B$32,0),0),IF(AND(CL$4&gt;EDATE('核心假设'!$B$5,16+$F7),CL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CL$4=EDATE(EDATE('核心假设'!$B$5,16+$F7),$D7),SUM('融资租赁与资金缺口'!$D$5:$D$16)*$AC7*'核心假设'!$B$32,0),0),IF(AND(CL$4&gt;EDATE('核心假设'!$B$5,17+$F7),CL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CL$4=EDATE(EDATE('核心假设'!$B$5,17+$F7),$D7),SUM('融资租赁与资金缺口'!$D$5:$D$16)*$AD7*'核心假设'!$B$32,0),0))</x:f>
        <x:v>0</x:v>
      </x:c>
      <x:c r="CM19" s="28" t="n">
        <x:f>SUM(IF(AND(CM$4&gt;EDATE('核心假设'!$B$5,0+$F7),CM$4&lt;=EDATE(EDATE('核心假设'!$B$5,0+$F7),$D7)),IF($E7/12=0,(SUM('融资租赁与资金缺口'!$D$5:$D$16)*$M7*$C7-SUM('融资租赁与资金缺口'!$D$5:$D$16)*$M7*'核心假设'!$B$32)/$D7,(SUM('融资租赁与资金缺口'!$D$5:$D$16)*$M7*$C7-SUM('融资租赁与资金缺口'!$D$5:$D$16)*$M7*'核心假设'!$B$32/(1+$E7/12)^$D7)*$E7/12/(1-(1+$E7/12)^-$D7))+IF(CM$4=EDATE(EDATE('核心假设'!$B$5,0+$F7),$D7),SUM('融资租赁与资金缺口'!$D$5:$D$16)*$M7*'核心假设'!$B$32,0),0),IF(AND(CM$4&gt;EDATE('核心假设'!$B$5,1+$F7),CM$4&lt;=EDATE(EDATE('核心假设'!$B$5,1+$F7),$D7)),IF($E7/12=0,(SUM('融资租赁与资金缺口'!$D$5:$D$16)*$N7*$C7-SUM('融资租赁与资金缺口'!$D$5:$D$16)*$N7*'核心假设'!$B$32)/$D7,(SUM('融资租赁与资金缺口'!$D$5:$D$16)*$N7*$C7-SUM('融资租赁与资金缺口'!$D$5:$D$16)*$N7*'核心假设'!$B$32/(1+$E7/12)^$D7)*$E7/12/(1-(1+$E7/12)^-$D7))+IF(CM$4=EDATE(EDATE('核心假设'!$B$5,1+$F7),$D7),SUM('融资租赁与资金缺口'!$D$5:$D$16)*$N7*'核心假设'!$B$32,0),0),IF(AND(CM$4&gt;EDATE('核心假设'!$B$5,2+$F7),CM$4&lt;=EDATE(EDATE('核心假设'!$B$5,2+$F7),$D7)),IF($E7/12=0,(SUM('融资租赁与资金缺口'!$D$5:$D$16)*$O7*$C7-SUM('融资租赁与资金缺口'!$D$5:$D$16)*$O7*'核心假设'!$B$32)/$D7,(SUM('融资租赁与资金缺口'!$D$5:$D$16)*$O7*$C7-SUM('融资租赁与资金缺口'!$D$5:$D$16)*$O7*'核心假设'!$B$32/(1+$E7/12)^$D7)*$E7/12/(1-(1+$E7/12)^-$D7))+IF(CM$4=EDATE(EDATE('核心假设'!$B$5,2+$F7),$D7),SUM('融资租赁与资金缺口'!$D$5:$D$16)*$O7*'核心假设'!$B$32,0),0),IF(AND(CM$4&gt;EDATE('核心假设'!$B$5,3+$F7),CM$4&lt;=EDATE(EDATE('核心假设'!$B$5,3+$F7),$D7)),IF($E7/12=0,(SUM('融资租赁与资金缺口'!$D$5:$D$16)*$P7*$C7-SUM('融资租赁与资金缺口'!$D$5:$D$16)*$P7*'核心假设'!$B$32)/$D7,(SUM('融资租赁与资金缺口'!$D$5:$D$16)*$P7*$C7-SUM('融资租赁与资金缺口'!$D$5:$D$16)*$P7*'核心假设'!$B$32/(1+$E7/12)^$D7)*$E7/12/(1-(1+$E7/12)^-$D7))+IF(CM$4=EDATE(EDATE('核心假设'!$B$5,3+$F7),$D7),SUM('融资租赁与资金缺口'!$D$5:$D$16)*$P7*'核心假设'!$B$32,0),0),IF(AND(CM$4&gt;EDATE('核心假设'!$B$5,4+$F7),CM$4&lt;=EDATE(EDATE('核心假设'!$B$5,4+$F7),$D7)),IF($E7/12=0,(SUM('融资租赁与资金缺口'!$D$5:$D$16)*$Q7*$C7-SUM('融资租赁与资金缺口'!$D$5:$D$16)*$Q7*'核心假设'!$B$32)/$D7,(SUM('融资租赁与资金缺口'!$D$5:$D$16)*$Q7*$C7-SUM('融资租赁与资金缺口'!$D$5:$D$16)*$Q7*'核心假设'!$B$32/(1+$E7/12)^$D7)*$E7/12/(1-(1+$E7/12)^-$D7))+IF(CM$4=EDATE(EDATE('核心假设'!$B$5,4+$F7),$D7),SUM('融资租赁与资金缺口'!$D$5:$D$16)*$Q7*'核心假设'!$B$32,0),0),IF(AND(CM$4&gt;EDATE('核心假设'!$B$5,5+$F7),CM$4&lt;=EDATE(EDATE('核心假设'!$B$5,5+$F7),$D7)),IF($E7/12=0,(SUM('融资租赁与资金缺口'!$D$5:$D$16)*$R7*$C7-SUM('融资租赁与资金缺口'!$D$5:$D$16)*$R7*'核心假设'!$B$32)/$D7,(SUM('融资租赁与资金缺口'!$D$5:$D$16)*$R7*$C7-SUM('融资租赁与资金缺口'!$D$5:$D$16)*$R7*'核心假设'!$B$32/(1+$E7/12)^$D7)*$E7/12/(1-(1+$E7/12)^-$D7))+IF(CM$4=EDATE(EDATE('核心假设'!$B$5,5+$F7),$D7),SUM('融资租赁与资金缺口'!$D$5:$D$16)*$R7*'核心假设'!$B$32,0),0),IF(AND(CM$4&gt;EDATE('核心假设'!$B$5,6+$F7),CM$4&lt;=EDATE(EDATE('核心假设'!$B$5,6+$F7),$D7)),IF($E7/12=0,(SUM('融资租赁与资金缺口'!$D$5:$D$16)*$S7*$C7-SUM('融资租赁与资金缺口'!$D$5:$D$16)*$S7*'核心假设'!$B$32)/$D7,(SUM('融资租赁与资金缺口'!$D$5:$D$16)*$S7*$C7-SUM('融资租赁与资金缺口'!$D$5:$D$16)*$S7*'核心假设'!$B$32/(1+$E7/12)^$D7)*$E7/12/(1-(1+$E7/12)^-$D7))+IF(CM$4=EDATE(EDATE('核心假设'!$B$5,6+$F7),$D7),SUM('融资租赁与资金缺口'!$D$5:$D$16)*$S7*'核心假设'!$B$32,0),0),IF(AND(CM$4&gt;EDATE('核心假设'!$B$5,7+$F7),CM$4&lt;=EDATE(EDATE('核心假设'!$B$5,7+$F7),$D7)),IF($E7/12=0,(SUM('融资租赁与资金缺口'!$D$5:$D$16)*$T7*$C7-SUM('融资租赁与资金缺口'!$D$5:$D$16)*$T7*'核心假设'!$B$32)/$D7,(SUM('融资租赁与资金缺口'!$D$5:$D$16)*$T7*$C7-SUM('融资租赁与资金缺口'!$D$5:$D$16)*$T7*'核心假设'!$B$32/(1+$E7/12)^$D7)*$E7/12/(1-(1+$E7/12)^-$D7))+IF(CM$4=EDATE(EDATE('核心假设'!$B$5,7+$F7),$D7),SUM('融资租赁与资金缺口'!$D$5:$D$16)*$T7*'核心假设'!$B$32,0),0),IF(AND(CM$4&gt;EDATE('核心假设'!$B$5,8+$F7),CM$4&lt;=EDATE(EDATE('核心假设'!$B$5,8+$F7),$D7)),IF($E7/12=0,(SUM('融资租赁与资金缺口'!$D$5:$D$16)*$U7*$C7-SUM('融资租赁与资金缺口'!$D$5:$D$16)*$U7*'核心假设'!$B$32)/$D7,(SUM('融资租赁与资金缺口'!$D$5:$D$16)*$U7*$C7-SUM('融资租赁与资金缺口'!$D$5:$D$16)*$U7*'核心假设'!$B$32/(1+$E7/12)^$D7)*$E7/12/(1-(1+$E7/12)^-$D7))+IF(CM$4=EDATE(EDATE('核心假设'!$B$5,8+$F7),$D7),SUM('融资租赁与资金缺口'!$D$5:$D$16)*$U7*'核心假设'!$B$32,0),0),IF(AND(CM$4&gt;EDATE('核心假设'!$B$5,9+$F7),CM$4&lt;=EDATE(EDATE('核心假设'!$B$5,9+$F7),$D7)),IF($E7/12=0,(SUM('融资租赁与资金缺口'!$D$5:$D$16)*$V7*$C7-SUM('融资租赁与资金缺口'!$D$5:$D$16)*$V7*'核心假设'!$B$32)/$D7,(SUM('融资租赁与资金缺口'!$D$5:$D$16)*$V7*$C7-SUM('融资租赁与资金缺口'!$D$5:$D$16)*$V7*'核心假设'!$B$32/(1+$E7/12)^$D7)*$E7/12/(1-(1+$E7/12)^-$D7))+IF(CM$4=EDATE(EDATE('核心假设'!$B$5,9+$F7),$D7),SUM('融资租赁与资金缺口'!$D$5:$D$16)*$V7*'核心假设'!$B$32,0),0),IF(AND(CM$4&gt;EDATE('核心假设'!$B$5,10+$F7),CM$4&lt;=EDATE(EDATE('核心假设'!$B$5,10+$F7),$D7)),IF($E7/12=0,(SUM('融资租赁与资金缺口'!$D$5:$D$16)*$W7*$C7-SUM('融资租赁与资金缺口'!$D$5:$D$16)*$W7*'核心假设'!$B$32)/$D7,(SUM('融资租赁与资金缺口'!$D$5:$D$16)*$W7*$C7-SUM('融资租赁与资金缺口'!$D$5:$D$16)*$W7*'核心假设'!$B$32/(1+$E7/12)^$D7)*$E7/12/(1-(1+$E7/12)^-$D7))+IF(CM$4=EDATE(EDATE('核心假设'!$B$5,10+$F7),$D7),SUM('融资租赁与资金缺口'!$D$5:$D$16)*$W7*'核心假设'!$B$32,0),0),IF(AND(CM$4&gt;EDATE('核心假设'!$B$5,11+$F7),CM$4&lt;=EDATE(EDATE('核心假设'!$B$5,11+$F7),$D7)),IF($E7/12=0,(SUM('融资租赁与资金缺口'!$D$5:$D$16)*$X7*$C7-SUM('融资租赁与资金缺口'!$D$5:$D$16)*$X7*'核心假设'!$B$32)/$D7,(SUM('融资租赁与资金缺口'!$D$5:$D$16)*$X7*$C7-SUM('融资租赁与资金缺口'!$D$5:$D$16)*$X7*'核心假设'!$B$32/(1+$E7/12)^$D7)*$E7/12/(1-(1+$E7/12)^-$D7))+IF(CM$4=EDATE(EDATE('核心假设'!$B$5,11+$F7),$D7),SUM('融资租赁与资金缺口'!$D$5:$D$16)*$X7*'核心假设'!$B$32,0),0),IF(AND(CM$4&gt;EDATE('核心假设'!$B$5,12+$F7),CM$4&lt;=EDATE(EDATE('核心假设'!$B$5,12+$F7),$D7)),IF($E7/12=0,(SUM('融资租赁与资金缺口'!$D$5:$D$16)*$Y7*$C7-SUM('融资租赁与资金缺口'!$D$5:$D$16)*$Y7*'核心假设'!$B$32)/$D7,(SUM('融资租赁与资金缺口'!$D$5:$D$16)*$Y7*$C7-SUM('融资租赁与资金缺口'!$D$5:$D$16)*$Y7*'核心假设'!$B$32/(1+$E7/12)^$D7)*$E7/12/(1-(1+$E7/12)^-$D7))+IF(CM$4=EDATE(EDATE('核心假设'!$B$5,12+$F7),$D7),SUM('融资租赁与资金缺口'!$D$5:$D$16)*$Y7*'核心假设'!$B$32,0),0),IF(AND(CM$4&gt;EDATE('核心假设'!$B$5,13+$F7),CM$4&lt;=EDATE(EDATE('核心假设'!$B$5,13+$F7),$D7)),IF($E7/12=0,(SUM('融资租赁与资金缺口'!$D$5:$D$16)*$Z7*$C7-SUM('融资租赁与资金缺口'!$D$5:$D$16)*$Z7*'核心假设'!$B$32)/$D7,(SUM('融资租赁与资金缺口'!$D$5:$D$16)*$Z7*$C7-SUM('融资租赁与资金缺口'!$D$5:$D$16)*$Z7*'核心假设'!$B$32/(1+$E7/12)^$D7)*$E7/12/(1-(1+$E7/12)^-$D7))+IF(CM$4=EDATE(EDATE('核心假设'!$B$5,13+$F7),$D7),SUM('融资租赁与资金缺口'!$D$5:$D$16)*$Z7*'核心假设'!$B$32,0),0),IF(AND(CM$4&gt;EDATE('核心假设'!$B$5,14+$F7),CM$4&lt;=EDATE(EDATE('核心假设'!$B$5,14+$F7),$D7)),IF($E7/12=0,(SUM('融资租赁与资金缺口'!$D$5:$D$16)*$AA7*$C7-SUM('融资租赁与资金缺口'!$D$5:$D$16)*$AA7*'核心假设'!$B$32)/$D7,(SUM('融资租赁与资金缺口'!$D$5:$D$16)*$AA7*$C7-SUM('融资租赁与资金缺口'!$D$5:$D$16)*$AA7*'核心假设'!$B$32/(1+$E7/12)^$D7)*$E7/12/(1-(1+$E7/12)^-$D7))+IF(CM$4=EDATE(EDATE('核心假设'!$B$5,14+$F7),$D7),SUM('融资租赁与资金缺口'!$D$5:$D$16)*$AA7*'核心假设'!$B$32,0),0),IF(AND(CM$4&gt;EDATE('核心假设'!$B$5,15+$F7),CM$4&lt;=EDATE(EDATE('核心假设'!$B$5,15+$F7),$D7)),IF($E7/12=0,(SUM('融资租赁与资金缺口'!$D$5:$D$16)*$AB7*$C7-SUM('融资租赁与资金缺口'!$D$5:$D$16)*$AB7*'核心假设'!$B$32)/$D7,(SUM('融资租赁与资金缺口'!$D$5:$D$16)*$AB7*$C7-SUM('融资租赁与资金缺口'!$D$5:$D$16)*$AB7*'核心假设'!$B$32/(1+$E7/12)^$D7)*$E7/12/(1-(1+$E7/12)^-$D7))+IF(CM$4=EDATE(EDATE('核心假设'!$B$5,15+$F7),$D7),SUM('融资租赁与资金缺口'!$D$5:$D$16)*$AB7*'核心假设'!$B$32,0),0),IF(AND(CM$4&gt;EDATE('核心假设'!$B$5,16+$F7),CM$4&lt;=EDATE(EDATE('核心假设'!$B$5,16+$F7),$D7)),IF($E7/12=0,(SUM('融资租赁与资金缺口'!$D$5:$D$16)*$AC7*$C7-SUM('融资租赁与资金缺口'!$D$5:$D$16)*$AC7*'核心假设'!$B$32)/$D7,(SUM('融资租赁与资金缺口'!$D$5:$D$16)*$AC7*$C7-SUM('融资租赁与资金缺口'!$D$5:$D$16)*$AC7*'核心假设'!$B$32/(1+$E7/12)^$D7)*$E7/12/(1-(1+$E7/12)^-$D7))+IF(CM$4=EDATE(EDATE('核心假设'!$B$5,16+$F7),$D7),SUM('融资租赁与资金缺口'!$D$5:$D$16)*$AC7*'核心假设'!$B$32,0),0),IF(AND(CM$4&gt;EDATE('核心假设'!$B$5,17+$F7),CM$4&lt;=EDATE(EDATE('核心假设'!$B$5,17+$F7),$D7)),IF($E7/12=0,(SUM('融资租赁与资金缺口'!$D$5:$D$16)*$AD7*$C7-SUM('融资租赁与资金缺口'!$D$5:$D$16)*$AD7*'核心假设'!$B$32)/$D7,(SUM('融资租赁与资金缺口'!$D$5:$D$16)*$AD7*$C7-SUM('融资租赁与资金缺口'!$D$5:$D$16)*$AD7*'核心假设'!$B$32/(1+$E7/12)^$D7)*$E7/12/(1-(1+$E7/12)^-$D7))+IF(CM$4=EDATE(EDATE('核心假设'!$B$5,17+$F7),$D7),SUM('融资租赁与资金缺口'!$D$5:$D$16)*$AD7*'核心假设'!$B$32,0),0))</x:f>
        <x:v>0</x:v>
      </x:c>
    </x:row>
    <x:row r="20">
      <x:c r="A20" s="13" t="str">
        <x:v>至少17项公式检查</x:v>
      </x:c>
      <x:c r="B20" s="14" t="str">
        <x:v>至少17项公式检查</x:v>
      </x:c>
      <x:c r="C20" s="14" t="str">
        <x:v>至少17项公式检查</x:v>
      </x:c>
      <x:c r="D20" s="14" t="str">
        <x:v>至少17项公式检查</x:v>
      </x:c>
      <x:c r="E20" s="14" t="str">
        <x:v>至少17项公式检查</x:v>
      </x:c>
      <x:c r="F20" s="14" t="str">
        <x:v>至少17项公式检查</x:v>
      </x:c>
      <x:c r="G20" s="14" t="str">
        <x:v>至少17项公式检查</x:v>
      </x:c>
      <x:c r="H20" s="15" t="str">
        <x:v>至少17项公式检查</x:v>
      </x:c>
      <x:c r="AE20" t="str">
        <x:v>DSCR</x:v>
      </x:c>
      <x:c r="AF20" s="28" t="str">
        <x:f>IF(AF19=0,"",AF18/AF19)</x:f>
      </x:c>
      <x:c r="AG20" s="28" t="str">
        <x:f>IF(AG19=0,"",AG18/AG19)</x:f>
      </x:c>
      <x:c r="AH20" s="28" t="n">
        <x:f>IF(AH19=0,"",AH18/AH19)</x:f>
        <x:v>7.2884285220424</x:v>
      </x:c>
      <x:c r="AI20" s="28" t="n">
        <x:f>IF(AI19=0,"",AI18/AI19)</x:f>
        <x:v>5.589020328954963</x:v>
      </x:c>
      <x:c r="AJ20" s="28" t="n">
        <x:f>IF(AJ19=0,"",AJ18/AJ19)</x:f>
        <x:v>4.374455460372647</x:v>
      </x:c>
      <x:c r="AK20" s="28" t="n">
        <x:f>IF(AK19=0,"",AK18/AK19)</x:f>
        <x:v>3.2895056782939176</x:v>
      </x:c>
      <x:c r="AL20" s="28" t="n">
        <x:f>IF(AL19=0,"",AL18/AL19)</x:f>
        <x:v>3.2831849241613122</x:v>
      </x:c>
      <x:c r="AM20" s="28" t="n">
        <x:f>IF(AM19=0,"",AM18/AM19)</x:f>
        <x:v>3.1650781211013044</x:v>
      </x:c>
      <x:c r="AN20" s="28" t="n">
        <x:f>IF(AN19=0,"",AN18/AN19)</x:f>
        <x:v>3.0716002572830408</x:v>
      </x:c>
      <x:c r="AO20" s="28" t="n">
        <x:f>IF(AO19=0,"",AO18/AO19)</x:f>
        <x:v>3.1514078416255247</x:v>
      </x:c>
      <x:c r="AP20" s="28" t="n">
        <x:f>IF(AP19=0,"",AP18/AP19)</x:f>
        <x:v>3.2707635927750385</x:v>
      </x:c>
      <x:c r="AQ20" s="28" t="n">
        <x:f>IF(AQ19=0,"",AQ18/AQ19)</x:f>
        <x:v>3.287506618674696</x:v>
      </x:c>
      <x:c r="AR20" s="28" t="n">
        <x:f>IF(AR19=0,"",AR18/AR19)</x:f>
        <x:v>2.903396336873153</x:v>
      </x:c>
      <x:c r="AS20" s="28" t="n">
        <x:f>IF(AS19=0,"",AS18/AS19)</x:f>
        <x:v>2.7086491212001422</x:v>
      </x:c>
      <x:c r="AT20" s="28" t="n">
        <x:f>IF(AT19=0,"",AT18/AT19)</x:f>
        <x:v>2.793803797947372</x:v>
      </x:c>
      <x:c r="AU20" s="28" t="n">
        <x:f>IF(AU19=0,"",AU18/AU19)</x:f>
        <x:v>3.1072689122020916</x:v>
      </x:c>
      <x:c r="AV20" s="28" t="n">
        <x:f>IF(AV19=0,"",AV18/AV19)</x:f>
        <x:v>2.840555493748471</x:v>
      </x:c>
      <x:c r="AW20" s="28" t="n">
        <x:f>IF(AW19=0,"",AW18/AW19)</x:f>
        <x:v>2.4064571752955466</x:v>
      </x:c>
      <x:c r="AX20" s="28" t="n">
        <x:f>IF(AX19=0,"",AX18/AX19)</x:f>
        <x:v>2.4501380031054567</x:v>
      </x:c>
      <x:c r="AY20" s="28" t="n">
        <x:f>IF(AY19=0,"",AY18/AY19)</x:f>
        <x:v>2.4817653850768187</x:v>
      </x:c>
      <x:c r="AZ20" s="28" t="n">
        <x:f>IF(AZ19=0,"",AZ18/AZ19)</x:f>
        <x:v>2.547158513369618</x:v>
      </x:c>
      <x:c r="BA20" s="28" t="n">
        <x:f>IF(BA19=0,"",BA18/BA19)</x:f>
        <x:v>2.7396435109499175</x:v>
      </x:c>
      <x:c r="BB20" s="28" t="n">
        <x:f>IF(BB19=0,"",BB18/BB19)</x:f>
        <x:v>2.933932859315912</x:v>
      </x:c>
      <x:c r="BC20" s="28" t="n">
        <x:f>IF(BC19=0,"",BC18/BC19)</x:f>
        <x:v>3.0361422809925243</x:v>
      </x:c>
      <x:c r="BD20" s="28" t="n">
        <x:f>IF(BD19=0,"",BD18/BD19)</x:f>
        <x:v>2.8346412096601203</x:v>
      </x:c>
      <x:c r="BE20" s="28" t="n">
        <x:f>IF(BE19=0,"",BE18/BE19)</x:f>
        <x:v>2.7585794084938815</x:v>
      </x:c>
      <x:c r="BF20" s="28" t="n">
        <x:f>IF(BF19=0,"",BF18/BF19)</x:f>
        <x:v>2.814065066425636</x:v>
      </x:c>
      <x:c r="BG20" s="28" t="n">
        <x:f>IF(BG19=0,"",BG18/BG19)</x:f>
        <x:v>3.1128720819496007</x:v>
      </x:c>
      <x:c r="BH20" s="28" t="n">
        <x:f>IF(BH19=0,"",BH18/BH19)</x:f>
        <x:v>2.840555493748471</x:v>
      </x:c>
      <x:c r="BI20" s="28" t="n">
        <x:f>IF(BI19=0,"",BI18/BI19)</x:f>
        <x:v>2.3234758933888036</x:v>
      </x:c>
      <x:c r="BJ20" s="28" t="n">
        <x:f>IF(BJ19=0,"",BJ18/BJ19)</x:f>
        <x:v>2.4501380031054567</x:v>
      </x:c>
      <x:c r="BK20" s="28" t="n">
        <x:f>IF(BK19=0,"",BK18/BK19)</x:f>
        <x:v>2.4817653850768187</x:v>
      </x:c>
      <x:c r="BL20" s="28" t="n">
        <x:f>IF(BL19=0,"",BL18/BL19)</x:f>
        <x:v>2.547158513369618</x:v>
      </x:c>
      <x:c r="BM20" s="28" t="n">
        <x:f>IF(BM19=0,"",BM18/BM19)</x:f>
        <x:v>2.7396435109499175</x:v>
      </x:c>
      <x:c r="BN20" s="28" t="n">
        <x:f>IF(BN19=0,"",BN18/BN19)</x:f>
        <x:v>2.933932859315912</x:v>
      </x:c>
      <x:c r="BO20" s="28" t="n">
        <x:f>IF(BO19=0,"",BO18/BO19)</x:f>
        <x:v>3.0361422809925243</x:v>
      </x:c>
      <x:c r="BP20" s="28" t="n">
        <x:f>IF(BP19=0,"",BP18/BP19)</x:f>
        <x:v>2.8346412096601203</x:v>
      </x:c>
      <x:c r="BQ20" s="28" t="n">
        <x:f>IF(BQ19=0,"",BQ18/BQ19)</x:f>
        <x:v>2.7041102445983083</x:v>
      </x:c>
      <x:c r="BR20" s="28" t="n">
        <x:f>IF(BR19=0,"",BR18/BR19)</x:f>
        <x:v>2.8886745607486186</x:v>
      </x:c>
      <x:c r="BS20" s="28" t="n">
        <x:f>IF(BS19=0,"",BS18/BS19)</x:f>
        <x:v>3.3901883335144327</x:v>
      </x:c>
      <x:c r="BT20" s="28" t="n">
        <x:f>IF(BT19=0,"",BT18/BT19)</x:f>
        <x:v>3.333089610233733</x:v>
      </x:c>
      <x:c r="BU20" s="28" t="n">
        <x:f>IF(BU19=0,"",BU18/BU19)</x:f>
        <x:v>2.993176429581361</x:v>
      </x:c>
      <x:c r="BV20" s="28" t="n">
        <x:f>IF(BV19=0,"",BV18/BV19)</x:f>
        <x:v>3.5494523879121522</x:v>
      </x:c>
      <x:c r="BW20" s="28" t="n">
        <x:f>IF(BW19=0,"",BW18/BW19)</x:f>
        <x:v>4.17584300230834</x:v>
      </x:c>
      <x:c r="BX20" s="28" t="n">
        <x:f>IF(BX19=0,"",BX18/BX19)</x:f>
        <x:v>5.259303256151494</x:v>
      </x:c>
      <x:c r="BY20" s="28" t="n">
        <x:f>IF(BY19=0,"",BY18/BY19)</x:f>
        <x:v>7.398718900194215</x:v>
      </x:c>
      <x:c r="BZ20" s="28" t="n">
        <x:f>IF(BZ19=0,"",BZ18/BZ19)</x:f>
        <x:v>11.019152405897637</x:v>
      </x:c>
      <x:c r="CA20" s="28" t="n">
        <x:f>IF(CA19=0,"",CA18/CA19)</x:f>
        <x:v>17.62852352101564</x:v>
      </x:c>
      <x:c r="CB20" s="28" t="n">
        <x:f>IF(CB19=0,"",CB18/CB19)</x:f>
        <x:v>33.67688336761761</x:v>
      </x:c>
      <x:c r="CC20" s="28" t="str">
        <x:f>IF(CC19=0,"",CC18/CC19)</x:f>
      </x:c>
      <x:c r="CD20" s="28" t="str">
        <x:f>IF(CD19=0,"",CD18/CD19)</x:f>
      </x:c>
      <x:c r="CE20" s="28" t="str">
        <x:f>IF(CE19=0,"",CE18/CE19)</x:f>
      </x:c>
      <x:c r="CF20" s="28" t="str">
        <x:f>IF(CF19=0,"",CF18/CF19)</x:f>
      </x:c>
      <x:c r="CG20" s="28" t="str">
        <x:f>IF(CG19=0,"",CG18/CG19)</x:f>
      </x:c>
      <x:c r="CH20" s="28" t="str">
        <x:f>IF(CH19=0,"",CH18/CH19)</x:f>
      </x:c>
      <x:c r="CI20" s="28" t="str">
        <x:f>IF(CI19=0,"",CI18/CI19)</x:f>
      </x:c>
      <x:c r="CJ20" s="28" t="str">
        <x:f>IF(CJ19=0,"",CJ18/CJ19)</x:f>
      </x:c>
      <x:c r="CK20" s="28" t="str">
        <x:f>IF(CK19=0,"",CK18/CK19)</x:f>
      </x:c>
      <x:c r="CL20" s="28" t="str">
        <x:f>IF(CL19=0,"",CL18/CL19)</x:f>
      </x:c>
      <x:c r="CM20" s="28" t="str">
        <x:f>IF(CM19=0,"",CM18/CM19)</x:f>
      </x:c>
    </x:row>
    <x:row r="21">
      <x:c r="A21" s="13" t="str">
        <x:v>检查项</x:v>
      </x:c>
      <x:c r="B21" s="14" t="str">
        <x:v>实际</x:v>
      </x:c>
      <x:c r="C21" s="14" t="str">
        <x:v>预期</x:v>
      </x:c>
      <x:c r="D21" s="14" t="str">
        <x:v>差额</x:v>
      </x:c>
      <x:c r="E21" s="14" t="str">
        <x:v>容差</x:v>
      </x:c>
      <x:c r="F21" s="14" t="str">
        <x:v>状态</x:v>
      </x:c>
      <x:c r="G21" s="14" t="str">
        <x:v>修复位置</x:v>
      </x:c>
      <x:c r="H21" s="15" t="str">
        <x:v>说明</x:v>
      </x:c>
      <x:c r="AE21" t="str">
        <x:v>供应商付款</x:v>
      </x:c>
      <x:c r="AF21" s="28" t="n">
        <x:f>SUM(IF(EDATE('核心假设'!$B$5,0-1+'核心假设'!$B$31)&lt;=AF$4,SUM('融资租赁与资金缺口'!$M$5:$M$16)*$M7,0),IF(EDATE('核心假设'!$B$5,1-1+'核心假设'!$B$31)&lt;=AF$4,SUM('融资租赁与资金缺口'!$M$5:$M$16)*$N7,0),IF(EDATE('核心假设'!$B$5,2-1+'核心假设'!$B$31)&lt;=AF$4,SUM('融资租赁与资金缺口'!$M$5:$M$16)*$O7,0),IF(EDATE('核心假设'!$B$5,3-1+'核心假设'!$B$31)&lt;=AF$4,SUM('融资租赁与资金缺口'!$M$5:$M$16)*$P7,0),IF(EDATE('核心假设'!$B$5,4-1+'核心假设'!$B$31)&lt;=AF$4,SUM('融资租赁与资金缺口'!$M$5:$M$16)*$Q7,0),IF(EDATE('核心假设'!$B$5,5-1+'核心假设'!$B$31)&lt;=AF$4,SUM('融资租赁与资金缺口'!$M$5:$M$16)*$R7,0),IF(EDATE('核心假设'!$B$5,6-1+'核心假设'!$B$31)&lt;=AF$4,SUM('融资租赁与资金缺口'!$M$5:$M$16)*$S7,0),IF(EDATE('核心假设'!$B$5,7-1+'核心假设'!$B$31)&lt;=AF$4,SUM('融资租赁与资金缺口'!$M$5:$M$16)*$T7,0),IF(EDATE('核心假设'!$B$5,8-1+'核心假设'!$B$31)&lt;=AF$4,SUM('融资租赁与资金缺口'!$M$5:$M$16)*$U7,0),IF(EDATE('核心假设'!$B$5,9-1+'核心假设'!$B$31)&lt;=AF$4,SUM('融资租赁与资金缺口'!$M$5:$M$16)*$V7,0),IF(EDATE('核心假设'!$B$5,10-1+'核心假设'!$B$31)&lt;=AF$4,SUM('融资租赁与资金缺口'!$M$5:$M$16)*$W7,0),IF(EDATE('核心假设'!$B$5,11-1+'核心假设'!$B$31)&lt;=AF$4,SUM('融资租赁与资金缺口'!$M$5:$M$16)*$X7,0),IF(EDATE('核心假设'!$B$5,12-1+'核心假设'!$B$31)&lt;=AF$4,SUM('融资租赁与资金缺口'!$M$5:$M$16)*$Y7,0),IF(EDATE('核心假设'!$B$5,13-1+'核心假设'!$B$31)&lt;=AF$4,SUM('融资租赁与资金缺口'!$M$5:$M$16)*$Z7,0),IF(EDATE('核心假设'!$B$5,14-1+'核心假设'!$B$31)&lt;=AF$4,SUM('融资租赁与资金缺口'!$M$5:$M$16)*$AA7,0),IF(EDATE('核心假设'!$B$5,15-1+'核心假设'!$B$31)&lt;=AF$4,SUM('融资租赁与资金缺口'!$M$5:$M$16)*$AB7,0),IF(EDATE('核心假设'!$B$5,16-1+'核心假设'!$B$31)&lt;=AF$4,SUM('融资租赁与资金缺口'!$M$5:$M$16)*$AC7,0),IF(EDATE('核心假设'!$B$5,17-1+'核心假设'!$B$31)&lt;=AF$4,SUM('融资租赁与资金缺口'!$M$5:$M$16)*$AD7,0))</x:f>
        <x:v>0</x:v>
      </x:c>
      <x:c r="AG21" s="28" t="n">
        <x:f>SUM(IF(AG$4=EDATE('核心假设'!$B$5,0-1+'核心假设'!$B$31),SUM('融资租赁与资金缺口'!$M$5:$M$16)*$M7,0),IF(AG$4=EDATE('核心假设'!$B$5,1-1+'核心假设'!$B$31),SUM('融资租赁与资金缺口'!$M$5:$M$16)*$N7,0),IF(AG$4=EDATE('核心假设'!$B$5,2-1+'核心假设'!$B$31),SUM('融资租赁与资金缺口'!$M$5:$M$16)*$O7,0),IF(AG$4=EDATE('核心假设'!$B$5,3-1+'核心假设'!$B$31),SUM('融资租赁与资金缺口'!$M$5:$M$16)*$P7,0),IF(AG$4=EDATE('核心假设'!$B$5,4-1+'核心假设'!$B$31),SUM('融资租赁与资金缺口'!$M$5:$M$16)*$Q7,0),IF(AG$4=EDATE('核心假设'!$B$5,5-1+'核心假设'!$B$31),SUM('融资租赁与资金缺口'!$M$5:$M$16)*$R7,0),IF(AG$4=EDATE('核心假设'!$B$5,6-1+'核心假设'!$B$31),SUM('融资租赁与资金缺口'!$M$5:$M$16)*$S7,0),IF(AG$4=EDATE('核心假设'!$B$5,7-1+'核心假设'!$B$31),SUM('融资租赁与资金缺口'!$M$5:$M$16)*$T7,0),IF(AG$4=EDATE('核心假设'!$B$5,8-1+'核心假设'!$B$31),SUM('融资租赁与资金缺口'!$M$5:$M$16)*$U7,0),IF(AG$4=EDATE('核心假设'!$B$5,9-1+'核心假设'!$B$31),SUM('融资租赁与资金缺口'!$M$5:$M$16)*$V7,0),IF(AG$4=EDATE('核心假设'!$B$5,10-1+'核心假设'!$B$31),SUM('融资租赁与资金缺口'!$M$5:$M$16)*$W7,0),IF(AG$4=EDATE('核心假设'!$B$5,11-1+'核心假设'!$B$31),SUM('融资租赁与资金缺口'!$M$5:$M$16)*$X7,0),IF(AG$4=EDATE('核心假设'!$B$5,12-1+'核心假设'!$B$31),SUM('融资租赁与资金缺口'!$M$5:$M$16)*$Y7,0),IF(AG$4=EDATE('核心假设'!$B$5,13-1+'核心假设'!$B$31),SUM('融资租赁与资金缺口'!$M$5:$M$16)*$Z7,0),IF(AG$4=EDATE('核心假设'!$B$5,14-1+'核心假设'!$B$31),SUM('融资租赁与资金缺口'!$M$5:$M$16)*$AA7,0),IF(AG$4=EDATE('核心假设'!$B$5,15-1+'核心假设'!$B$31),SUM('融资租赁与资金缺口'!$M$5:$M$16)*$AB7,0),IF(AG$4=EDATE('核心假设'!$B$5,16-1+'核心假设'!$B$31),SUM('融资租赁与资金缺口'!$M$5:$M$16)*$AC7,0),IF(AG$4=EDATE('核心假设'!$B$5,17-1+'核心假设'!$B$31),SUM('融资租赁与资金缺口'!$M$5:$M$16)*$AD7,0))</x:f>
        <x:v>32015000</x:v>
      </x:c>
      <x:c r="AH21" s="28" t="n">
        <x:f>SUM(IF(AH$4=EDATE('核心假设'!$B$5,0-1+'核心假设'!$B$31),SUM('融资租赁与资金缺口'!$M$5:$M$16)*$M7,0),IF(AH$4=EDATE('核心假设'!$B$5,1-1+'核心假设'!$B$31),SUM('融资租赁与资金缺口'!$M$5:$M$16)*$N7,0),IF(AH$4=EDATE('核心假设'!$B$5,2-1+'核心假设'!$B$31),SUM('融资租赁与资金缺口'!$M$5:$M$16)*$O7,0),IF(AH$4=EDATE('核心假设'!$B$5,3-1+'核心假设'!$B$31),SUM('融资租赁与资金缺口'!$M$5:$M$16)*$P7,0),IF(AH$4=EDATE('核心假设'!$B$5,4-1+'核心假设'!$B$31),SUM('融资租赁与资金缺口'!$M$5:$M$16)*$Q7,0),IF(AH$4=EDATE('核心假设'!$B$5,5-1+'核心假设'!$B$31),SUM('融资租赁与资金缺口'!$M$5:$M$16)*$R7,0),IF(AH$4=EDATE('核心假设'!$B$5,6-1+'核心假设'!$B$31),SUM('融资租赁与资金缺口'!$M$5:$M$16)*$S7,0),IF(AH$4=EDATE('核心假设'!$B$5,7-1+'核心假设'!$B$31),SUM('融资租赁与资金缺口'!$M$5:$M$16)*$T7,0),IF(AH$4=EDATE('核心假设'!$B$5,8-1+'核心假设'!$B$31),SUM('融资租赁与资金缺口'!$M$5:$M$16)*$U7,0),IF(AH$4=EDATE('核心假设'!$B$5,9-1+'核心假设'!$B$31),SUM('融资租赁与资金缺口'!$M$5:$M$16)*$V7,0),IF(AH$4=EDATE('核心假设'!$B$5,10-1+'核心假设'!$B$31),SUM('融资租赁与资金缺口'!$M$5:$M$16)*$W7,0),IF(AH$4=EDATE('核心假设'!$B$5,11-1+'核心假设'!$B$31),SUM('融资租赁与资金缺口'!$M$5:$M$16)*$X7,0),IF(AH$4=EDATE('核心假设'!$B$5,12-1+'核心假设'!$B$31),SUM('融资租赁与资金缺口'!$M$5:$M$16)*$Y7,0),IF(AH$4=EDATE('核心假设'!$B$5,13-1+'核心假设'!$B$31),SUM('融资租赁与资金缺口'!$M$5:$M$16)*$Z7,0),IF(AH$4=EDATE('核心假设'!$B$5,14-1+'核心假设'!$B$31),SUM('融资租赁与资金缺口'!$M$5:$M$16)*$AA7,0),IF(AH$4=EDATE('核心假设'!$B$5,15-1+'核心假设'!$B$31),SUM('融资租赁与资金缺口'!$M$5:$M$16)*$AB7,0),IF(AH$4=EDATE('核心假设'!$B$5,16-1+'核心假设'!$B$31),SUM('融资租赁与资金缺口'!$M$5:$M$16)*$AC7,0),IF(AH$4=EDATE('核心假设'!$B$5,17-1+'核心假设'!$B$31),SUM('融资租赁与资金缺口'!$M$5:$M$16)*$AD7,0))</x:f>
        <x:v>38418000</x:v>
      </x:c>
      <x:c r="AI21" s="28" t="n">
        <x:f>SUM(IF(AI$4=EDATE('核心假设'!$B$5,0-1+'核心假设'!$B$31),SUM('融资租赁与资金缺口'!$M$5:$M$16)*$M7,0),IF(AI$4=EDATE('核心假设'!$B$5,1-1+'核心假设'!$B$31),SUM('融资租赁与资金缺口'!$M$5:$M$16)*$N7,0),IF(AI$4=EDATE('核心假设'!$B$5,2-1+'核心假设'!$B$31),SUM('融资租赁与资金缺口'!$M$5:$M$16)*$O7,0),IF(AI$4=EDATE('核心假设'!$B$5,3-1+'核心假设'!$B$31),SUM('融资租赁与资金缺口'!$M$5:$M$16)*$P7,0),IF(AI$4=EDATE('核心假设'!$B$5,4-1+'核心假设'!$B$31),SUM('融资租赁与资金缺口'!$M$5:$M$16)*$Q7,0),IF(AI$4=EDATE('核心假设'!$B$5,5-1+'核心假设'!$B$31),SUM('融资租赁与资金缺口'!$M$5:$M$16)*$R7,0),IF(AI$4=EDATE('核心假设'!$B$5,6-1+'核心假设'!$B$31),SUM('融资租赁与资金缺口'!$M$5:$M$16)*$S7,0),IF(AI$4=EDATE('核心假设'!$B$5,7-1+'核心假设'!$B$31),SUM('融资租赁与资金缺口'!$M$5:$M$16)*$T7,0),IF(AI$4=EDATE('核心假设'!$B$5,8-1+'核心假设'!$B$31),SUM('融资租赁与资金缺口'!$M$5:$M$16)*$U7,0),IF(AI$4=EDATE('核心假设'!$B$5,9-1+'核心假设'!$B$31),SUM('融资租赁与资金缺口'!$M$5:$M$16)*$V7,0),IF(AI$4=EDATE('核心假设'!$B$5,10-1+'核心假设'!$B$31),SUM('融资租赁与资金缺口'!$M$5:$M$16)*$W7,0),IF(AI$4=EDATE('核心假设'!$B$5,11-1+'核心假设'!$B$31),SUM('融资租赁与资金缺口'!$M$5:$M$16)*$X7,0),IF(AI$4=EDATE('核心假设'!$B$5,12-1+'核心假设'!$B$31),SUM('融资租赁与资金缺口'!$M$5:$M$16)*$Y7,0),IF(AI$4=EDATE('核心假设'!$B$5,13-1+'核心假设'!$B$31),SUM('融资租赁与资金缺口'!$M$5:$M$16)*$Z7,0),IF(AI$4=EDATE('核心假设'!$B$5,14-1+'核心假设'!$B$31),SUM('融资租赁与资金缺口'!$M$5:$M$16)*$AA7,0),IF(AI$4=EDATE('核心假设'!$B$5,15-1+'核心假设'!$B$31),SUM('融资租赁与资金缺口'!$M$5:$M$16)*$AB7,0),IF(AI$4=EDATE('核心假设'!$B$5,16-1+'核心假设'!$B$31),SUM('融资租赁与资金缺口'!$M$5:$M$16)*$AC7,0),IF(AI$4=EDATE('核心假设'!$B$5,17-1+'核心假设'!$B$31),SUM('融资租赁与资金缺口'!$M$5:$M$16)*$AD7,0))</x:f>
        <x:v>44821000.00000001</x:v>
      </x:c>
      <x:c r="AJ21" s="28" t="n">
        <x:f>SUM(IF(AJ$4=EDATE('核心假设'!$B$5,0-1+'核心假设'!$B$31),SUM('融资租赁与资金缺口'!$M$5:$M$16)*$M7,0),IF(AJ$4=EDATE('核心假设'!$B$5,1-1+'核心假设'!$B$31),SUM('融资租赁与资金缺口'!$M$5:$M$16)*$N7,0),IF(AJ$4=EDATE('核心假设'!$B$5,2-1+'核心假设'!$B$31),SUM('融资租赁与资金缺口'!$M$5:$M$16)*$O7,0),IF(AJ$4=EDATE('核心假设'!$B$5,3-1+'核心假设'!$B$31),SUM('融资租赁与资金缺口'!$M$5:$M$16)*$P7,0),IF(AJ$4=EDATE('核心假设'!$B$5,4-1+'核心假设'!$B$31),SUM('融资租赁与资金缺口'!$M$5:$M$16)*$Q7,0),IF(AJ$4=EDATE('核心假设'!$B$5,5-1+'核心假设'!$B$31),SUM('融资租赁与资金缺口'!$M$5:$M$16)*$R7,0),IF(AJ$4=EDATE('核心假设'!$B$5,6-1+'核心假设'!$B$31),SUM('融资租赁与资金缺口'!$M$5:$M$16)*$S7,0),IF(AJ$4=EDATE('核心假设'!$B$5,7-1+'核心假设'!$B$31),SUM('融资租赁与资金缺口'!$M$5:$M$16)*$T7,0),IF(AJ$4=EDATE('核心假设'!$B$5,8-1+'核心假设'!$B$31),SUM('融资租赁与资金缺口'!$M$5:$M$16)*$U7,0),IF(AJ$4=EDATE('核心假设'!$B$5,9-1+'核心假设'!$B$31),SUM('融资租赁与资金缺口'!$M$5:$M$16)*$V7,0),IF(AJ$4=EDATE('核心假设'!$B$5,10-1+'核心假设'!$B$31),SUM('融资租赁与资金缺口'!$M$5:$M$16)*$W7,0),IF(AJ$4=EDATE('核心假设'!$B$5,11-1+'核心假设'!$B$31),SUM('融资租赁与资金缺口'!$M$5:$M$16)*$X7,0),IF(AJ$4=EDATE('核心假设'!$B$5,12-1+'核心假设'!$B$31),SUM('融资租赁与资金缺口'!$M$5:$M$16)*$Y7,0),IF(AJ$4=EDATE('核心假设'!$B$5,13-1+'核心假设'!$B$31),SUM('融资租赁与资金缺口'!$M$5:$M$16)*$Z7,0),IF(AJ$4=EDATE('核心假设'!$B$5,14-1+'核心假设'!$B$31),SUM('融资租赁与资金缺口'!$M$5:$M$16)*$AA7,0),IF(AJ$4=EDATE('核心假设'!$B$5,15-1+'核心假设'!$B$31),SUM('融资租赁与资金缺口'!$M$5:$M$16)*$AB7,0),IF(AJ$4=EDATE('核心假设'!$B$5,16-1+'核心假设'!$B$31),SUM('融资租赁与资金缺口'!$M$5:$M$16)*$AC7,0),IF(AJ$4=EDATE('核心假设'!$B$5,17-1+'核心假设'!$B$31),SUM('融资租赁与资金缺口'!$M$5:$M$16)*$AD7,0))</x:f>
        <x:v>51224000</x:v>
      </x:c>
      <x:c r="AK21" s="28" t="n">
        <x:f>SUM(IF(AK$4=EDATE('核心假设'!$B$5,0-1+'核心假设'!$B$31),SUM('融资租赁与资金缺口'!$M$5:$M$16)*$M7,0),IF(AK$4=EDATE('核心假设'!$B$5,1-1+'核心假设'!$B$31),SUM('融资租赁与资金缺口'!$M$5:$M$16)*$N7,0),IF(AK$4=EDATE('核心假设'!$B$5,2-1+'核心假设'!$B$31),SUM('融资租赁与资金缺口'!$M$5:$M$16)*$O7,0),IF(AK$4=EDATE('核心假设'!$B$5,3-1+'核心假设'!$B$31),SUM('融资租赁与资金缺口'!$M$5:$M$16)*$P7,0),IF(AK$4=EDATE('核心假设'!$B$5,4-1+'核心假设'!$B$31),SUM('融资租赁与资金缺口'!$M$5:$M$16)*$Q7,0),IF(AK$4=EDATE('核心假设'!$B$5,5-1+'核心假设'!$B$31),SUM('融资租赁与资金缺口'!$M$5:$M$16)*$R7,0),IF(AK$4=EDATE('核心假设'!$B$5,6-1+'核心假设'!$B$31),SUM('融资租赁与资金缺口'!$M$5:$M$16)*$S7,0),IF(AK$4=EDATE('核心假设'!$B$5,7-1+'核心假设'!$B$31),SUM('融资租赁与资金缺口'!$M$5:$M$16)*$T7,0),IF(AK$4=EDATE('核心假设'!$B$5,8-1+'核心假设'!$B$31),SUM('融资租赁与资金缺口'!$M$5:$M$16)*$U7,0),IF(AK$4=EDATE('核心假设'!$B$5,9-1+'核心假设'!$B$31),SUM('融资租赁与资金缺口'!$M$5:$M$16)*$V7,0),IF(AK$4=EDATE('核心假设'!$B$5,10-1+'核心假设'!$B$31),SUM('融资租赁与资金缺口'!$M$5:$M$16)*$W7,0),IF(AK$4=EDATE('核心假设'!$B$5,11-1+'核心假设'!$B$31),SUM('融资租赁与资金缺口'!$M$5:$M$16)*$X7,0),IF(AK$4=EDATE('核心假设'!$B$5,12-1+'核心假设'!$B$31),SUM('融资租赁与资金缺口'!$M$5:$M$16)*$Y7,0),IF(AK$4=EDATE('核心假设'!$B$5,13-1+'核心假设'!$B$31),SUM('融资租赁与资金缺口'!$M$5:$M$16)*$Z7,0),IF(AK$4=EDATE('核心假设'!$B$5,14-1+'核心假设'!$B$31),SUM('融资租赁与资金缺口'!$M$5:$M$16)*$AA7,0),IF(AK$4=EDATE('核心假设'!$B$5,15-1+'核心假设'!$B$31),SUM('融资租赁与资金缺口'!$M$5:$M$16)*$AB7,0),IF(AK$4=EDATE('核心假设'!$B$5,16-1+'核心假设'!$B$31),SUM('融资租赁与资金缺口'!$M$5:$M$16)*$AC7,0),IF(AK$4=EDATE('核心假设'!$B$5,17-1+'核心假设'!$B$31),SUM('融资租赁与资金缺口'!$M$5:$M$16)*$AD7,0))</x:f>
        <x:v>57627000</x:v>
      </x:c>
      <x:c r="AL21" s="28" t="n">
        <x:f>SUM(IF(AL$4=EDATE('核心假设'!$B$5,0-1+'核心假设'!$B$31),SUM('融资租赁与资金缺口'!$M$5:$M$16)*$M7,0),IF(AL$4=EDATE('核心假设'!$B$5,1-1+'核心假设'!$B$31),SUM('融资租赁与资金缺口'!$M$5:$M$16)*$N7,0),IF(AL$4=EDATE('核心假设'!$B$5,2-1+'核心假设'!$B$31),SUM('融资租赁与资金缺口'!$M$5:$M$16)*$O7,0),IF(AL$4=EDATE('核心假设'!$B$5,3-1+'核心假设'!$B$31),SUM('融资租赁与资金缺口'!$M$5:$M$16)*$P7,0),IF(AL$4=EDATE('核心假设'!$B$5,4-1+'核心假设'!$B$31),SUM('融资租赁与资金缺口'!$M$5:$M$16)*$Q7,0),IF(AL$4=EDATE('核心假设'!$B$5,5-1+'核心假设'!$B$31),SUM('融资租赁与资金缺口'!$M$5:$M$16)*$R7,0),IF(AL$4=EDATE('核心假设'!$B$5,6-1+'核心假设'!$B$31),SUM('融资租赁与资金缺口'!$M$5:$M$16)*$S7,0),IF(AL$4=EDATE('核心假设'!$B$5,7-1+'核心假设'!$B$31),SUM('融资租赁与资金缺口'!$M$5:$M$16)*$T7,0),IF(AL$4=EDATE('核心假设'!$B$5,8-1+'核心假设'!$B$31),SUM('融资租赁与资金缺口'!$M$5:$M$16)*$U7,0),IF(AL$4=EDATE('核心假设'!$B$5,9-1+'核心假设'!$B$31),SUM('融资租赁与资金缺口'!$M$5:$M$16)*$V7,0),IF(AL$4=EDATE('核心假设'!$B$5,10-1+'核心假设'!$B$31),SUM('融资租赁与资金缺口'!$M$5:$M$16)*$W7,0),IF(AL$4=EDATE('核心假设'!$B$5,11-1+'核心假设'!$B$31),SUM('融资租赁与资金缺口'!$M$5:$M$16)*$X7,0),IF(AL$4=EDATE('核心假设'!$B$5,12-1+'核心假设'!$B$31),SUM('融资租赁与资金缺口'!$M$5:$M$16)*$Y7,0),IF(AL$4=EDATE('核心假设'!$B$5,13-1+'核心假设'!$B$31),SUM('融资租赁与资金缺口'!$M$5:$M$16)*$Z7,0),IF(AL$4=EDATE('核心假设'!$B$5,14-1+'核心假设'!$B$31),SUM('融资租赁与资金缺口'!$M$5:$M$16)*$AA7,0),IF(AL$4=EDATE('核心假设'!$B$5,15-1+'核心假设'!$B$31),SUM('融资租赁与资金缺口'!$M$5:$M$16)*$AB7,0),IF(AL$4=EDATE('核心假设'!$B$5,16-1+'核心假设'!$B$31),SUM('融资租赁与资金缺口'!$M$5:$M$16)*$AC7,0),IF(AL$4=EDATE('核心假设'!$B$5,17-1+'核心假设'!$B$31),SUM('融资租赁与资金缺口'!$M$5:$M$16)*$AD7,0))</x:f>
        <x:v>64030000</x:v>
      </x:c>
      <x:c r="AM21" s="28" t="n">
        <x:f>SUM(IF(AM$4=EDATE('核心假设'!$B$5,0-1+'核心假设'!$B$31),SUM('融资租赁与资金缺口'!$M$5:$M$16)*$M7,0),IF(AM$4=EDATE('核心假设'!$B$5,1-1+'核心假设'!$B$31),SUM('融资租赁与资金缺口'!$M$5:$M$16)*$N7,0),IF(AM$4=EDATE('核心假设'!$B$5,2-1+'核心假设'!$B$31),SUM('融资租赁与资金缺口'!$M$5:$M$16)*$O7,0),IF(AM$4=EDATE('核心假设'!$B$5,3-1+'核心假设'!$B$31),SUM('融资租赁与资金缺口'!$M$5:$M$16)*$P7,0),IF(AM$4=EDATE('核心假设'!$B$5,4-1+'核心假设'!$B$31),SUM('融资租赁与资金缺口'!$M$5:$M$16)*$Q7,0),IF(AM$4=EDATE('核心假设'!$B$5,5-1+'核心假设'!$B$31),SUM('融资租赁与资金缺口'!$M$5:$M$16)*$R7,0),IF(AM$4=EDATE('核心假设'!$B$5,6-1+'核心假设'!$B$31),SUM('融资租赁与资金缺口'!$M$5:$M$16)*$S7,0),IF(AM$4=EDATE('核心假设'!$B$5,7-1+'核心假设'!$B$31),SUM('融资租赁与资金缺口'!$M$5:$M$16)*$T7,0),IF(AM$4=EDATE('核心假设'!$B$5,8-1+'核心假设'!$B$31),SUM('融资租赁与资金缺口'!$M$5:$M$16)*$U7,0),IF(AM$4=EDATE('核心假设'!$B$5,9-1+'核心假设'!$B$31),SUM('融资租赁与资金缺口'!$M$5:$M$16)*$V7,0),IF(AM$4=EDATE('核心假设'!$B$5,10-1+'核心假设'!$B$31),SUM('融资租赁与资金缺口'!$M$5:$M$16)*$W7,0),IF(AM$4=EDATE('核心假设'!$B$5,11-1+'核心假设'!$B$31),SUM('融资租赁与资金缺口'!$M$5:$M$16)*$X7,0),IF(AM$4=EDATE('核心假设'!$B$5,12-1+'核心假设'!$B$31),SUM('融资租赁与资金缺口'!$M$5:$M$16)*$Y7,0),IF(AM$4=EDATE('核心假设'!$B$5,13-1+'核心假设'!$B$31),SUM('融资租赁与资金缺口'!$M$5:$M$16)*$Z7,0),IF(AM$4=EDATE('核心假设'!$B$5,14-1+'核心假设'!$B$31),SUM('融资租赁与资金缺口'!$M$5:$M$16)*$AA7,0),IF(AM$4=EDATE('核心假设'!$B$5,15-1+'核心假设'!$B$31),SUM('融资租赁与资金缺口'!$M$5:$M$16)*$AB7,0),IF(AM$4=EDATE('核心假设'!$B$5,16-1+'核心假设'!$B$31),SUM('融资租赁与资金缺口'!$M$5:$M$16)*$AC7,0),IF(AM$4=EDATE('核心假设'!$B$5,17-1+'核心假设'!$B$31),SUM('融资租赁与资金缺口'!$M$5:$M$16)*$AD7,0))</x:f>
        <x:v>70433000</x:v>
      </x:c>
      <x:c r="AN21" s="28" t="n">
        <x:f>SUM(IF(AN$4=EDATE('核心假设'!$B$5,0-1+'核心假设'!$B$31),SUM('融资租赁与资金缺口'!$M$5:$M$16)*$M7,0),IF(AN$4=EDATE('核心假设'!$B$5,1-1+'核心假设'!$B$31),SUM('融资租赁与资金缺口'!$M$5:$M$16)*$N7,0),IF(AN$4=EDATE('核心假设'!$B$5,2-1+'核心假设'!$B$31),SUM('融资租赁与资金缺口'!$M$5:$M$16)*$O7,0),IF(AN$4=EDATE('核心假设'!$B$5,3-1+'核心假设'!$B$31),SUM('融资租赁与资金缺口'!$M$5:$M$16)*$P7,0),IF(AN$4=EDATE('核心假设'!$B$5,4-1+'核心假设'!$B$31),SUM('融资租赁与资金缺口'!$M$5:$M$16)*$Q7,0),IF(AN$4=EDATE('核心假设'!$B$5,5-1+'核心假设'!$B$31),SUM('融资租赁与资金缺口'!$M$5:$M$16)*$R7,0),IF(AN$4=EDATE('核心假设'!$B$5,6-1+'核心假设'!$B$31),SUM('融资租赁与资金缺口'!$M$5:$M$16)*$S7,0),IF(AN$4=EDATE('核心假设'!$B$5,7-1+'核心假设'!$B$31),SUM('融资租赁与资金缺口'!$M$5:$M$16)*$T7,0),IF(AN$4=EDATE('核心假设'!$B$5,8-1+'核心假设'!$B$31),SUM('融资租赁与资金缺口'!$M$5:$M$16)*$U7,0),IF(AN$4=EDATE('核心假设'!$B$5,9-1+'核心假设'!$B$31),SUM('融资租赁与资金缺口'!$M$5:$M$16)*$V7,0),IF(AN$4=EDATE('核心假设'!$B$5,10-1+'核心假设'!$B$31),SUM('融资租赁与资金缺口'!$M$5:$M$16)*$W7,0),IF(AN$4=EDATE('核心假设'!$B$5,11-1+'核心假设'!$B$31),SUM('融资租赁与资金缺口'!$M$5:$M$16)*$X7,0),IF(AN$4=EDATE('核心假设'!$B$5,12-1+'核心假设'!$B$31),SUM('融资租赁与资金缺口'!$M$5:$M$16)*$Y7,0),IF(AN$4=EDATE('核心假设'!$B$5,13-1+'核心假设'!$B$31),SUM('融资租赁与资金缺口'!$M$5:$M$16)*$Z7,0),IF(AN$4=EDATE('核心假设'!$B$5,14-1+'核心假设'!$B$31),SUM('融资租赁与资金缺口'!$M$5:$M$16)*$AA7,0),IF(AN$4=EDATE('核心假设'!$B$5,15-1+'核心假设'!$B$31),SUM('融资租赁与资金缺口'!$M$5:$M$16)*$AB7,0),IF(AN$4=EDATE('核心假设'!$B$5,16-1+'核心假设'!$B$31),SUM('融资租赁与资金缺口'!$M$5:$M$16)*$AC7,0),IF(AN$4=EDATE('核心假设'!$B$5,17-1+'核心假设'!$B$31),SUM('融资租赁与资金缺口'!$M$5:$M$16)*$AD7,0))</x:f>
        <x:v>70433000</x:v>
      </x:c>
      <x:c r="AO21" s="28" t="n">
        <x:f>SUM(IF(AO$4=EDATE('核心假设'!$B$5,0-1+'核心假设'!$B$31),SUM('融资租赁与资金缺口'!$M$5:$M$16)*$M7,0),IF(AO$4=EDATE('核心假设'!$B$5,1-1+'核心假设'!$B$31),SUM('融资租赁与资金缺口'!$M$5:$M$16)*$N7,0),IF(AO$4=EDATE('核心假设'!$B$5,2-1+'核心假设'!$B$31),SUM('融资租赁与资金缺口'!$M$5:$M$16)*$O7,0),IF(AO$4=EDATE('核心假设'!$B$5,3-1+'核心假设'!$B$31),SUM('融资租赁与资金缺口'!$M$5:$M$16)*$P7,0),IF(AO$4=EDATE('核心假设'!$B$5,4-1+'核心假设'!$B$31),SUM('融资租赁与资金缺口'!$M$5:$M$16)*$Q7,0),IF(AO$4=EDATE('核心假设'!$B$5,5-1+'核心假设'!$B$31),SUM('融资租赁与资金缺口'!$M$5:$M$16)*$R7,0),IF(AO$4=EDATE('核心假设'!$B$5,6-1+'核心假设'!$B$31),SUM('融资租赁与资金缺口'!$M$5:$M$16)*$S7,0),IF(AO$4=EDATE('核心假设'!$B$5,7-1+'核心假设'!$B$31),SUM('融资租赁与资金缺口'!$M$5:$M$16)*$T7,0),IF(AO$4=EDATE('核心假设'!$B$5,8-1+'核心假设'!$B$31),SUM('融资租赁与资金缺口'!$M$5:$M$16)*$U7,0),IF(AO$4=EDATE('核心假设'!$B$5,9-1+'核心假设'!$B$31),SUM('融资租赁与资金缺口'!$M$5:$M$16)*$V7,0),IF(AO$4=EDATE('核心假设'!$B$5,10-1+'核心假设'!$B$31),SUM('融资租赁与资金缺口'!$M$5:$M$16)*$W7,0),IF(AO$4=EDATE('核心假设'!$B$5,11-1+'核心假设'!$B$31),SUM('融资租赁与资金缺口'!$M$5:$M$16)*$X7,0),IF(AO$4=EDATE('核心假设'!$B$5,12-1+'核心假设'!$B$31),SUM('融资租赁与资金缺口'!$M$5:$M$16)*$Y7,0),IF(AO$4=EDATE('核心假设'!$B$5,13-1+'核心假设'!$B$31),SUM('融资租赁与资金缺口'!$M$5:$M$16)*$Z7,0),IF(AO$4=EDATE('核心假设'!$B$5,14-1+'核心假设'!$B$31),SUM('融资租赁与资金缺口'!$M$5:$M$16)*$AA7,0),IF(AO$4=EDATE('核心假设'!$B$5,15-1+'核心假设'!$B$31),SUM('融资租赁与资金缺口'!$M$5:$M$16)*$AB7,0),IF(AO$4=EDATE('核心假设'!$B$5,16-1+'核心假设'!$B$31),SUM('融资租赁与资金缺口'!$M$5:$M$16)*$AC7,0),IF(AO$4=EDATE('核心假设'!$B$5,17-1+'核心假设'!$B$31),SUM('融资租赁与资金缺口'!$M$5:$M$16)*$AD7,0))</x:f>
        <x:v>64030000</x:v>
      </x:c>
      <x:c r="AP21" s="28" t="n">
        <x:f>SUM(IF(AP$4=EDATE('核心假设'!$B$5,0-1+'核心假设'!$B$31),SUM('融资租赁与资金缺口'!$M$5:$M$16)*$M7,0),IF(AP$4=EDATE('核心假设'!$B$5,1-1+'核心假设'!$B$31),SUM('融资租赁与资金缺口'!$M$5:$M$16)*$N7,0),IF(AP$4=EDATE('核心假设'!$B$5,2-1+'核心假设'!$B$31),SUM('融资租赁与资金缺口'!$M$5:$M$16)*$O7,0),IF(AP$4=EDATE('核心假设'!$B$5,3-1+'核心假设'!$B$31),SUM('融资租赁与资金缺口'!$M$5:$M$16)*$P7,0),IF(AP$4=EDATE('核心假设'!$B$5,4-1+'核心假设'!$B$31),SUM('融资租赁与资金缺口'!$M$5:$M$16)*$Q7,0),IF(AP$4=EDATE('核心假设'!$B$5,5-1+'核心假设'!$B$31),SUM('融资租赁与资金缺口'!$M$5:$M$16)*$R7,0),IF(AP$4=EDATE('核心假设'!$B$5,6-1+'核心假设'!$B$31),SUM('融资租赁与资金缺口'!$M$5:$M$16)*$S7,0),IF(AP$4=EDATE('核心假设'!$B$5,7-1+'核心假设'!$B$31),SUM('融资租赁与资金缺口'!$M$5:$M$16)*$T7,0),IF(AP$4=EDATE('核心假设'!$B$5,8-1+'核心假设'!$B$31),SUM('融资租赁与资金缺口'!$M$5:$M$16)*$U7,0),IF(AP$4=EDATE('核心假设'!$B$5,9-1+'核心假设'!$B$31),SUM('融资租赁与资金缺口'!$M$5:$M$16)*$V7,0),IF(AP$4=EDATE('核心假设'!$B$5,10-1+'核心假设'!$B$31),SUM('融资租赁与资金缺口'!$M$5:$M$16)*$W7,0),IF(AP$4=EDATE('核心假设'!$B$5,11-1+'核心假设'!$B$31),SUM('融资租赁与资金缺口'!$M$5:$M$16)*$X7,0),IF(AP$4=EDATE('核心假设'!$B$5,12-1+'核心假设'!$B$31),SUM('融资租赁与资金缺口'!$M$5:$M$16)*$Y7,0),IF(AP$4=EDATE('核心假设'!$B$5,13-1+'核心假设'!$B$31),SUM('融资租赁与资金缺口'!$M$5:$M$16)*$Z7,0),IF(AP$4=EDATE('核心假设'!$B$5,14-1+'核心假设'!$B$31),SUM('融资租赁与资金缺口'!$M$5:$M$16)*$AA7,0),IF(AP$4=EDATE('核心假设'!$B$5,15-1+'核心假设'!$B$31),SUM('融资租赁与资金缺口'!$M$5:$M$16)*$AB7,0),IF(AP$4=EDATE('核心假设'!$B$5,16-1+'核心假设'!$B$31),SUM('融资租赁与资金缺口'!$M$5:$M$16)*$AC7,0),IF(AP$4=EDATE('核心假设'!$B$5,17-1+'核心假设'!$B$31),SUM('融资租赁与资金缺口'!$M$5:$M$16)*$AD7,0))</x:f>
        <x:v>57627000</x:v>
      </x:c>
      <x:c r="AQ21" s="28" t="n">
        <x:f>SUM(IF(AQ$4=EDATE('核心假设'!$B$5,0-1+'核心假设'!$B$31),SUM('融资租赁与资金缺口'!$M$5:$M$16)*$M7,0),IF(AQ$4=EDATE('核心假设'!$B$5,1-1+'核心假设'!$B$31),SUM('融资租赁与资金缺口'!$M$5:$M$16)*$N7,0),IF(AQ$4=EDATE('核心假设'!$B$5,2-1+'核心假设'!$B$31),SUM('融资租赁与资金缺口'!$M$5:$M$16)*$O7,0),IF(AQ$4=EDATE('核心假设'!$B$5,3-1+'核心假设'!$B$31),SUM('融资租赁与资金缺口'!$M$5:$M$16)*$P7,0),IF(AQ$4=EDATE('核心假设'!$B$5,4-1+'核心假设'!$B$31),SUM('融资租赁与资金缺口'!$M$5:$M$16)*$Q7,0),IF(AQ$4=EDATE('核心假设'!$B$5,5-1+'核心假设'!$B$31),SUM('融资租赁与资金缺口'!$M$5:$M$16)*$R7,0),IF(AQ$4=EDATE('核心假设'!$B$5,6-1+'核心假设'!$B$31),SUM('融资租赁与资金缺口'!$M$5:$M$16)*$S7,0),IF(AQ$4=EDATE('核心假设'!$B$5,7-1+'核心假设'!$B$31),SUM('融资租赁与资金缺口'!$M$5:$M$16)*$T7,0),IF(AQ$4=EDATE('核心假设'!$B$5,8-1+'核心假设'!$B$31),SUM('融资租赁与资金缺口'!$M$5:$M$16)*$U7,0),IF(AQ$4=EDATE('核心假设'!$B$5,9-1+'核心假设'!$B$31),SUM('融资租赁与资金缺口'!$M$5:$M$16)*$V7,0),IF(AQ$4=EDATE('核心假设'!$B$5,10-1+'核心假设'!$B$31),SUM('融资租赁与资金缺口'!$M$5:$M$16)*$W7,0),IF(AQ$4=EDATE('核心假设'!$B$5,11-1+'核心假设'!$B$31),SUM('融资租赁与资金缺口'!$M$5:$M$16)*$X7,0),IF(AQ$4=EDATE('核心假设'!$B$5,12-1+'核心假设'!$B$31),SUM('融资租赁与资金缺口'!$M$5:$M$16)*$Y7,0),IF(AQ$4=EDATE('核心假设'!$B$5,13-1+'核心假设'!$B$31),SUM('融资租赁与资金缺口'!$M$5:$M$16)*$Z7,0),IF(AQ$4=EDATE('核心假设'!$B$5,14-1+'核心假设'!$B$31),SUM('融资租赁与资金缺口'!$M$5:$M$16)*$AA7,0),IF(AQ$4=EDATE('核心假设'!$B$5,15-1+'核心假设'!$B$31),SUM('融资租赁与资金缺口'!$M$5:$M$16)*$AB7,0),IF(AQ$4=EDATE('核心假设'!$B$5,16-1+'核心假设'!$B$31),SUM('融资租赁与资金缺口'!$M$5:$M$16)*$AC7,0),IF(AQ$4=EDATE('核心假设'!$B$5,17-1+'核心假设'!$B$31),SUM('融资租赁与资金缺口'!$M$5:$M$16)*$AD7,0))</x:f>
        <x:v>51224000</x:v>
      </x:c>
      <x:c r="AR21" s="28" t="n">
        <x:f>SUM(IF(AR$4=EDATE('核心假设'!$B$5,0-1+'核心假设'!$B$31),SUM('融资租赁与资金缺口'!$M$5:$M$16)*$M7,0),IF(AR$4=EDATE('核心假设'!$B$5,1-1+'核心假设'!$B$31),SUM('融资租赁与资金缺口'!$M$5:$M$16)*$N7,0),IF(AR$4=EDATE('核心假设'!$B$5,2-1+'核心假设'!$B$31),SUM('融资租赁与资金缺口'!$M$5:$M$16)*$O7,0),IF(AR$4=EDATE('核心假设'!$B$5,3-1+'核心假设'!$B$31),SUM('融资租赁与资金缺口'!$M$5:$M$16)*$P7,0),IF(AR$4=EDATE('核心假设'!$B$5,4-1+'核心假设'!$B$31),SUM('融资租赁与资金缺口'!$M$5:$M$16)*$Q7,0),IF(AR$4=EDATE('核心假设'!$B$5,5-1+'核心假设'!$B$31),SUM('融资租赁与资金缺口'!$M$5:$M$16)*$R7,0),IF(AR$4=EDATE('核心假设'!$B$5,6-1+'核心假设'!$B$31),SUM('融资租赁与资金缺口'!$M$5:$M$16)*$S7,0),IF(AR$4=EDATE('核心假设'!$B$5,7-1+'核心假设'!$B$31),SUM('融资租赁与资金缺口'!$M$5:$M$16)*$T7,0),IF(AR$4=EDATE('核心假设'!$B$5,8-1+'核心假设'!$B$31),SUM('融资租赁与资金缺口'!$M$5:$M$16)*$U7,0),IF(AR$4=EDATE('核心假设'!$B$5,9-1+'核心假设'!$B$31),SUM('融资租赁与资金缺口'!$M$5:$M$16)*$V7,0),IF(AR$4=EDATE('核心假设'!$B$5,10-1+'核心假设'!$B$31),SUM('融资租赁与资金缺口'!$M$5:$M$16)*$W7,0),IF(AR$4=EDATE('核心假设'!$B$5,11-1+'核心假设'!$B$31),SUM('融资租赁与资金缺口'!$M$5:$M$16)*$X7,0),IF(AR$4=EDATE('核心假设'!$B$5,12-1+'核心假设'!$B$31),SUM('融资租赁与资金缺口'!$M$5:$M$16)*$Y7,0),IF(AR$4=EDATE('核心假设'!$B$5,13-1+'核心假设'!$B$31),SUM('融资租赁与资金缺口'!$M$5:$M$16)*$Z7,0),IF(AR$4=EDATE('核心假设'!$B$5,14-1+'核心假设'!$B$31),SUM('融资租赁与资金缺口'!$M$5:$M$16)*$AA7,0),IF(AR$4=EDATE('核心假设'!$B$5,15-1+'核心假设'!$B$31),SUM('融资租赁与资金缺口'!$M$5:$M$16)*$AB7,0),IF(AR$4=EDATE('核心假设'!$B$5,16-1+'核心假设'!$B$31),SUM('融资租赁与资金缺口'!$M$5:$M$16)*$AC7,0),IF(AR$4=EDATE('核心假设'!$B$5,17-1+'核心假设'!$B$31),SUM('融资租赁与资金缺口'!$M$5:$M$16)*$AD7,0))</x:f>
        <x:v>38418000</x:v>
      </x:c>
      <x:c r="AS21" s="28" t="n">
        <x:f>SUM(IF(AS$4=EDATE('核心假设'!$B$5,0-1+'核心假设'!$B$31),SUM('融资租赁与资金缺口'!$M$5:$M$16)*$M7,0),IF(AS$4=EDATE('核心假设'!$B$5,1-1+'核心假设'!$B$31),SUM('融资租赁与资金缺口'!$M$5:$M$16)*$N7,0),IF(AS$4=EDATE('核心假设'!$B$5,2-1+'核心假设'!$B$31),SUM('融资租赁与资金缺口'!$M$5:$M$16)*$O7,0),IF(AS$4=EDATE('核心假设'!$B$5,3-1+'核心假设'!$B$31),SUM('融资租赁与资金缺口'!$M$5:$M$16)*$P7,0),IF(AS$4=EDATE('核心假设'!$B$5,4-1+'核心假设'!$B$31),SUM('融资租赁与资金缺口'!$M$5:$M$16)*$Q7,0),IF(AS$4=EDATE('核心假设'!$B$5,5-1+'核心假设'!$B$31),SUM('融资租赁与资金缺口'!$M$5:$M$16)*$R7,0),IF(AS$4=EDATE('核心假设'!$B$5,6-1+'核心假设'!$B$31),SUM('融资租赁与资金缺口'!$M$5:$M$16)*$S7,0),IF(AS$4=EDATE('核心假设'!$B$5,7-1+'核心假设'!$B$31),SUM('融资租赁与资金缺口'!$M$5:$M$16)*$T7,0),IF(AS$4=EDATE('核心假设'!$B$5,8-1+'核心假设'!$B$31),SUM('融资租赁与资金缺口'!$M$5:$M$16)*$U7,0),IF(AS$4=EDATE('核心假设'!$B$5,9-1+'核心假设'!$B$31),SUM('融资租赁与资金缺口'!$M$5:$M$16)*$V7,0),IF(AS$4=EDATE('核心假设'!$B$5,10-1+'核心假设'!$B$31),SUM('融资租赁与资金缺口'!$M$5:$M$16)*$W7,0),IF(AS$4=EDATE('核心假设'!$B$5,11-1+'核心假设'!$B$31),SUM('融资租赁与资金缺口'!$M$5:$M$16)*$X7,0),IF(AS$4=EDATE('核心假设'!$B$5,12-1+'核心假设'!$B$31),SUM('融资租赁与资金缺口'!$M$5:$M$16)*$Y7,0),IF(AS$4=EDATE('核心假设'!$B$5,13-1+'核心假设'!$B$31),SUM('融资租赁与资金缺口'!$M$5:$M$16)*$Z7,0),IF(AS$4=EDATE('核心假设'!$B$5,14-1+'核心假设'!$B$31),SUM('融资租赁与资金缺口'!$M$5:$M$16)*$AA7,0),IF(AS$4=EDATE('核心假设'!$B$5,15-1+'核心假设'!$B$31),SUM('融资租赁与资金缺口'!$M$5:$M$16)*$AB7,0),IF(AS$4=EDATE('核心假设'!$B$5,16-1+'核心假设'!$B$31),SUM('融资租赁与资金缺口'!$M$5:$M$16)*$AC7,0),IF(AS$4=EDATE('核心假设'!$B$5,17-1+'核心假设'!$B$31),SUM('融资租赁与资金缺口'!$M$5:$M$16)*$AD7,0))</x:f>
        <x:v>0</x:v>
      </x:c>
      <x:c r="AT21" s="28" t="n">
        <x:f>SUM(IF(AT$4=EDATE('核心假设'!$B$5,0-1+'核心假设'!$B$31),SUM('融资租赁与资金缺口'!$M$5:$M$16)*$M7,0),IF(AT$4=EDATE('核心假设'!$B$5,1-1+'核心假设'!$B$31),SUM('融资租赁与资金缺口'!$M$5:$M$16)*$N7,0),IF(AT$4=EDATE('核心假设'!$B$5,2-1+'核心假设'!$B$31),SUM('融资租赁与资金缺口'!$M$5:$M$16)*$O7,0),IF(AT$4=EDATE('核心假设'!$B$5,3-1+'核心假设'!$B$31),SUM('融资租赁与资金缺口'!$M$5:$M$16)*$P7,0),IF(AT$4=EDATE('核心假设'!$B$5,4-1+'核心假设'!$B$31),SUM('融资租赁与资金缺口'!$M$5:$M$16)*$Q7,0),IF(AT$4=EDATE('核心假设'!$B$5,5-1+'核心假设'!$B$31),SUM('融资租赁与资金缺口'!$M$5:$M$16)*$R7,0),IF(AT$4=EDATE('核心假设'!$B$5,6-1+'核心假设'!$B$31),SUM('融资租赁与资金缺口'!$M$5:$M$16)*$S7,0),IF(AT$4=EDATE('核心假设'!$B$5,7-1+'核心假设'!$B$31),SUM('融资租赁与资金缺口'!$M$5:$M$16)*$T7,0),IF(AT$4=EDATE('核心假设'!$B$5,8-1+'核心假设'!$B$31),SUM('融资租赁与资金缺口'!$M$5:$M$16)*$U7,0),IF(AT$4=EDATE('核心假设'!$B$5,9-1+'核心假设'!$B$31),SUM('融资租赁与资金缺口'!$M$5:$M$16)*$V7,0),IF(AT$4=EDATE('核心假设'!$B$5,10-1+'核心假设'!$B$31),SUM('融资租赁与资金缺口'!$M$5:$M$16)*$W7,0),IF(AT$4=EDATE('核心假设'!$B$5,11-1+'核心假设'!$B$31),SUM('融资租赁与资金缺口'!$M$5:$M$16)*$X7,0),IF(AT$4=EDATE('核心假设'!$B$5,12-1+'核心假设'!$B$31),SUM('融资租赁与资金缺口'!$M$5:$M$16)*$Y7,0),IF(AT$4=EDATE('核心假设'!$B$5,13-1+'核心假设'!$B$31),SUM('融资租赁与资金缺口'!$M$5:$M$16)*$Z7,0),IF(AT$4=EDATE('核心假设'!$B$5,14-1+'核心假设'!$B$31),SUM('融资租赁与资金缺口'!$M$5:$M$16)*$AA7,0),IF(AT$4=EDATE('核心假设'!$B$5,15-1+'核心假设'!$B$31),SUM('融资租赁与资金缺口'!$M$5:$M$16)*$AB7,0),IF(AT$4=EDATE('核心假设'!$B$5,16-1+'核心假设'!$B$31),SUM('融资租赁与资金缺口'!$M$5:$M$16)*$AC7,0),IF(AT$4=EDATE('核心假设'!$B$5,17-1+'核心假设'!$B$31),SUM('融资租赁与资金缺口'!$M$5:$M$16)*$AD7,0))</x:f>
        <x:v>0</x:v>
      </x:c>
      <x:c r="AU21" s="28" t="n">
        <x:f>SUM(IF(AU$4=EDATE('核心假设'!$B$5,0-1+'核心假设'!$B$31),SUM('融资租赁与资金缺口'!$M$5:$M$16)*$M7,0),IF(AU$4=EDATE('核心假设'!$B$5,1-1+'核心假设'!$B$31),SUM('融资租赁与资金缺口'!$M$5:$M$16)*$N7,0),IF(AU$4=EDATE('核心假设'!$B$5,2-1+'核心假设'!$B$31),SUM('融资租赁与资金缺口'!$M$5:$M$16)*$O7,0),IF(AU$4=EDATE('核心假设'!$B$5,3-1+'核心假设'!$B$31),SUM('融资租赁与资金缺口'!$M$5:$M$16)*$P7,0),IF(AU$4=EDATE('核心假设'!$B$5,4-1+'核心假设'!$B$31),SUM('融资租赁与资金缺口'!$M$5:$M$16)*$Q7,0),IF(AU$4=EDATE('核心假设'!$B$5,5-1+'核心假设'!$B$31),SUM('融资租赁与资金缺口'!$M$5:$M$16)*$R7,0),IF(AU$4=EDATE('核心假设'!$B$5,6-1+'核心假设'!$B$31),SUM('融资租赁与资金缺口'!$M$5:$M$16)*$S7,0),IF(AU$4=EDATE('核心假设'!$B$5,7-1+'核心假设'!$B$31),SUM('融资租赁与资金缺口'!$M$5:$M$16)*$T7,0),IF(AU$4=EDATE('核心假设'!$B$5,8-1+'核心假设'!$B$31),SUM('融资租赁与资金缺口'!$M$5:$M$16)*$U7,0),IF(AU$4=EDATE('核心假设'!$B$5,9-1+'核心假设'!$B$31),SUM('融资租赁与资金缺口'!$M$5:$M$16)*$V7,0),IF(AU$4=EDATE('核心假设'!$B$5,10-1+'核心假设'!$B$31),SUM('融资租赁与资金缺口'!$M$5:$M$16)*$W7,0),IF(AU$4=EDATE('核心假设'!$B$5,11-1+'核心假设'!$B$31),SUM('融资租赁与资金缺口'!$M$5:$M$16)*$X7,0),IF(AU$4=EDATE('核心假设'!$B$5,12-1+'核心假设'!$B$31),SUM('融资租赁与资金缺口'!$M$5:$M$16)*$Y7,0),IF(AU$4=EDATE('核心假设'!$B$5,13-1+'核心假设'!$B$31),SUM('融资租赁与资金缺口'!$M$5:$M$16)*$Z7,0),IF(AU$4=EDATE('核心假设'!$B$5,14-1+'核心假设'!$B$31),SUM('融资租赁与资金缺口'!$M$5:$M$16)*$AA7,0),IF(AU$4=EDATE('核心假设'!$B$5,15-1+'核心假设'!$B$31),SUM('融资租赁与资金缺口'!$M$5:$M$16)*$AB7,0),IF(AU$4=EDATE('核心假设'!$B$5,16-1+'核心假设'!$B$31),SUM('融资租赁与资金缺口'!$M$5:$M$16)*$AC7,0),IF(AU$4=EDATE('核心假设'!$B$5,17-1+'核心假设'!$B$31),SUM('融资租赁与资金缺口'!$M$5:$M$16)*$AD7,0))</x:f>
        <x:v>0</x:v>
      </x:c>
      <x:c r="AV21" s="28" t="n">
        <x:f>SUM(IF(AV$4=EDATE('核心假设'!$B$5,0-1+'核心假设'!$B$31),SUM('融资租赁与资金缺口'!$M$5:$M$16)*$M7,0),IF(AV$4=EDATE('核心假设'!$B$5,1-1+'核心假设'!$B$31),SUM('融资租赁与资金缺口'!$M$5:$M$16)*$N7,0),IF(AV$4=EDATE('核心假设'!$B$5,2-1+'核心假设'!$B$31),SUM('融资租赁与资金缺口'!$M$5:$M$16)*$O7,0),IF(AV$4=EDATE('核心假设'!$B$5,3-1+'核心假设'!$B$31),SUM('融资租赁与资金缺口'!$M$5:$M$16)*$P7,0),IF(AV$4=EDATE('核心假设'!$B$5,4-1+'核心假设'!$B$31),SUM('融资租赁与资金缺口'!$M$5:$M$16)*$Q7,0),IF(AV$4=EDATE('核心假设'!$B$5,5-1+'核心假设'!$B$31),SUM('融资租赁与资金缺口'!$M$5:$M$16)*$R7,0),IF(AV$4=EDATE('核心假设'!$B$5,6-1+'核心假设'!$B$31),SUM('融资租赁与资金缺口'!$M$5:$M$16)*$S7,0),IF(AV$4=EDATE('核心假设'!$B$5,7-1+'核心假设'!$B$31),SUM('融资租赁与资金缺口'!$M$5:$M$16)*$T7,0),IF(AV$4=EDATE('核心假设'!$B$5,8-1+'核心假设'!$B$31),SUM('融资租赁与资金缺口'!$M$5:$M$16)*$U7,0),IF(AV$4=EDATE('核心假设'!$B$5,9-1+'核心假设'!$B$31),SUM('融资租赁与资金缺口'!$M$5:$M$16)*$V7,0),IF(AV$4=EDATE('核心假设'!$B$5,10-1+'核心假设'!$B$31),SUM('融资租赁与资金缺口'!$M$5:$M$16)*$W7,0),IF(AV$4=EDATE('核心假设'!$B$5,11-1+'核心假设'!$B$31),SUM('融资租赁与资金缺口'!$M$5:$M$16)*$X7,0),IF(AV$4=EDATE('核心假设'!$B$5,12-1+'核心假设'!$B$31),SUM('融资租赁与资金缺口'!$M$5:$M$16)*$Y7,0),IF(AV$4=EDATE('核心假设'!$B$5,13-1+'核心假设'!$B$31),SUM('融资租赁与资金缺口'!$M$5:$M$16)*$Z7,0),IF(AV$4=EDATE('核心假设'!$B$5,14-1+'核心假设'!$B$31),SUM('融资租赁与资金缺口'!$M$5:$M$16)*$AA7,0),IF(AV$4=EDATE('核心假设'!$B$5,15-1+'核心假设'!$B$31),SUM('融资租赁与资金缺口'!$M$5:$M$16)*$AB7,0),IF(AV$4=EDATE('核心假设'!$B$5,16-1+'核心假设'!$B$31),SUM('融资租赁与资金缺口'!$M$5:$M$16)*$AC7,0),IF(AV$4=EDATE('核心假设'!$B$5,17-1+'核心假设'!$B$31),SUM('融资租赁与资金缺口'!$M$5:$M$16)*$AD7,0))</x:f>
        <x:v>0</x:v>
      </x:c>
      <x:c r="AW21" s="28" t="n">
        <x:f>SUM(IF(AW$4=EDATE('核心假设'!$B$5,0-1+'核心假设'!$B$31),SUM('融资租赁与资金缺口'!$M$5:$M$16)*$M7,0),IF(AW$4=EDATE('核心假设'!$B$5,1-1+'核心假设'!$B$31),SUM('融资租赁与资金缺口'!$M$5:$M$16)*$N7,0),IF(AW$4=EDATE('核心假设'!$B$5,2-1+'核心假设'!$B$31),SUM('融资租赁与资金缺口'!$M$5:$M$16)*$O7,0),IF(AW$4=EDATE('核心假设'!$B$5,3-1+'核心假设'!$B$31),SUM('融资租赁与资金缺口'!$M$5:$M$16)*$P7,0),IF(AW$4=EDATE('核心假设'!$B$5,4-1+'核心假设'!$B$31),SUM('融资租赁与资金缺口'!$M$5:$M$16)*$Q7,0),IF(AW$4=EDATE('核心假设'!$B$5,5-1+'核心假设'!$B$31),SUM('融资租赁与资金缺口'!$M$5:$M$16)*$R7,0),IF(AW$4=EDATE('核心假设'!$B$5,6-1+'核心假设'!$B$31),SUM('融资租赁与资金缺口'!$M$5:$M$16)*$S7,0),IF(AW$4=EDATE('核心假设'!$B$5,7-1+'核心假设'!$B$31),SUM('融资租赁与资金缺口'!$M$5:$M$16)*$T7,0),IF(AW$4=EDATE('核心假设'!$B$5,8-1+'核心假设'!$B$31),SUM('融资租赁与资金缺口'!$M$5:$M$16)*$U7,0),IF(AW$4=EDATE('核心假设'!$B$5,9-1+'核心假设'!$B$31),SUM('融资租赁与资金缺口'!$M$5:$M$16)*$V7,0),IF(AW$4=EDATE('核心假设'!$B$5,10-1+'核心假设'!$B$31),SUM('融资租赁与资金缺口'!$M$5:$M$16)*$W7,0),IF(AW$4=EDATE('核心假设'!$B$5,11-1+'核心假设'!$B$31),SUM('融资租赁与资金缺口'!$M$5:$M$16)*$X7,0),IF(AW$4=EDATE('核心假设'!$B$5,12-1+'核心假设'!$B$31),SUM('融资租赁与资金缺口'!$M$5:$M$16)*$Y7,0),IF(AW$4=EDATE('核心假设'!$B$5,13-1+'核心假设'!$B$31),SUM('融资租赁与资金缺口'!$M$5:$M$16)*$Z7,0),IF(AW$4=EDATE('核心假设'!$B$5,14-1+'核心假设'!$B$31),SUM('融资租赁与资金缺口'!$M$5:$M$16)*$AA7,0),IF(AW$4=EDATE('核心假设'!$B$5,15-1+'核心假设'!$B$31),SUM('融资租赁与资金缺口'!$M$5:$M$16)*$AB7,0),IF(AW$4=EDATE('核心假设'!$B$5,16-1+'核心假设'!$B$31),SUM('融资租赁与资金缺口'!$M$5:$M$16)*$AC7,0),IF(AW$4=EDATE('核心假设'!$B$5,17-1+'核心假设'!$B$31),SUM('融资租赁与资金缺口'!$M$5:$M$16)*$AD7,0))</x:f>
        <x:v>0</x:v>
      </x:c>
      <x:c r="AX21" s="28" t="n">
        <x:f>SUM(IF(AX$4=EDATE('核心假设'!$B$5,0-1+'核心假设'!$B$31),SUM('融资租赁与资金缺口'!$M$5:$M$16)*$M7,0),IF(AX$4=EDATE('核心假设'!$B$5,1-1+'核心假设'!$B$31),SUM('融资租赁与资金缺口'!$M$5:$M$16)*$N7,0),IF(AX$4=EDATE('核心假设'!$B$5,2-1+'核心假设'!$B$31),SUM('融资租赁与资金缺口'!$M$5:$M$16)*$O7,0),IF(AX$4=EDATE('核心假设'!$B$5,3-1+'核心假设'!$B$31),SUM('融资租赁与资金缺口'!$M$5:$M$16)*$P7,0),IF(AX$4=EDATE('核心假设'!$B$5,4-1+'核心假设'!$B$31),SUM('融资租赁与资金缺口'!$M$5:$M$16)*$Q7,0),IF(AX$4=EDATE('核心假设'!$B$5,5-1+'核心假设'!$B$31),SUM('融资租赁与资金缺口'!$M$5:$M$16)*$R7,0),IF(AX$4=EDATE('核心假设'!$B$5,6-1+'核心假设'!$B$31),SUM('融资租赁与资金缺口'!$M$5:$M$16)*$S7,0),IF(AX$4=EDATE('核心假设'!$B$5,7-1+'核心假设'!$B$31),SUM('融资租赁与资金缺口'!$M$5:$M$16)*$T7,0),IF(AX$4=EDATE('核心假设'!$B$5,8-1+'核心假设'!$B$31),SUM('融资租赁与资金缺口'!$M$5:$M$16)*$U7,0),IF(AX$4=EDATE('核心假设'!$B$5,9-1+'核心假设'!$B$31),SUM('融资租赁与资金缺口'!$M$5:$M$16)*$V7,0),IF(AX$4=EDATE('核心假设'!$B$5,10-1+'核心假设'!$B$31),SUM('融资租赁与资金缺口'!$M$5:$M$16)*$W7,0),IF(AX$4=EDATE('核心假设'!$B$5,11-1+'核心假设'!$B$31),SUM('融资租赁与资金缺口'!$M$5:$M$16)*$X7,0),IF(AX$4=EDATE('核心假设'!$B$5,12-1+'核心假设'!$B$31),SUM('融资租赁与资金缺口'!$M$5:$M$16)*$Y7,0),IF(AX$4=EDATE('核心假设'!$B$5,13-1+'核心假设'!$B$31),SUM('融资租赁与资金缺口'!$M$5:$M$16)*$Z7,0),IF(AX$4=EDATE('核心假设'!$B$5,14-1+'核心假设'!$B$31),SUM('融资租赁与资金缺口'!$M$5:$M$16)*$AA7,0),IF(AX$4=EDATE('核心假设'!$B$5,15-1+'核心假设'!$B$31),SUM('融资租赁与资金缺口'!$M$5:$M$16)*$AB7,0),IF(AX$4=EDATE('核心假设'!$B$5,16-1+'核心假设'!$B$31),SUM('融资租赁与资金缺口'!$M$5:$M$16)*$AC7,0),IF(AX$4=EDATE('核心假设'!$B$5,17-1+'核心假设'!$B$31),SUM('融资租赁与资金缺口'!$M$5:$M$16)*$AD7,0))</x:f>
        <x:v>0</x:v>
      </x:c>
      <x:c r="AY21" s="28" t="n">
        <x:f>SUM(IF(AY$4=EDATE('核心假设'!$B$5,0-1+'核心假设'!$B$31),SUM('融资租赁与资金缺口'!$M$5:$M$16)*$M7,0),IF(AY$4=EDATE('核心假设'!$B$5,1-1+'核心假设'!$B$31),SUM('融资租赁与资金缺口'!$M$5:$M$16)*$N7,0),IF(AY$4=EDATE('核心假设'!$B$5,2-1+'核心假设'!$B$31),SUM('融资租赁与资金缺口'!$M$5:$M$16)*$O7,0),IF(AY$4=EDATE('核心假设'!$B$5,3-1+'核心假设'!$B$31),SUM('融资租赁与资金缺口'!$M$5:$M$16)*$P7,0),IF(AY$4=EDATE('核心假设'!$B$5,4-1+'核心假设'!$B$31),SUM('融资租赁与资金缺口'!$M$5:$M$16)*$Q7,0),IF(AY$4=EDATE('核心假设'!$B$5,5-1+'核心假设'!$B$31),SUM('融资租赁与资金缺口'!$M$5:$M$16)*$R7,0),IF(AY$4=EDATE('核心假设'!$B$5,6-1+'核心假设'!$B$31),SUM('融资租赁与资金缺口'!$M$5:$M$16)*$S7,0),IF(AY$4=EDATE('核心假设'!$B$5,7-1+'核心假设'!$B$31),SUM('融资租赁与资金缺口'!$M$5:$M$16)*$T7,0),IF(AY$4=EDATE('核心假设'!$B$5,8-1+'核心假设'!$B$31),SUM('融资租赁与资金缺口'!$M$5:$M$16)*$U7,0),IF(AY$4=EDATE('核心假设'!$B$5,9-1+'核心假设'!$B$31),SUM('融资租赁与资金缺口'!$M$5:$M$16)*$V7,0),IF(AY$4=EDATE('核心假设'!$B$5,10-1+'核心假设'!$B$31),SUM('融资租赁与资金缺口'!$M$5:$M$16)*$W7,0),IF(AY$4=EDATE('核心假设'!$B$5,11-1+'核心假设'!$B$31),SUM('融资租赁与资金缺口'!$M$5:$M$16)*$X7,0),IF(AY$4=EDATE('核心假设'!$B$5,12-1+'核心假设'!$B$31),SUM('融资租赁与资金缺口'!$M$5:$M$16)*$Y7,0),IF(AY$4=EDATE('核心假设'!$B$5,13-1+'核心假设'!$B$31),SUM('融资租赁与资金缺口'!$M$5:$M$16)*$Z7,0),IF(AY$4=EDATE('核心假设'!$B$5,14-1+'核心假设'!$B$31),SUM('融资租赁与资金缺口'!$M$5:$M$16)*$AA7,0),IF(AY$4=EDATE('核心假设'!$B$5,15-1+'核心假设'!$B$31),SUM('融资租赁与资金缺口'!$M$5:$M$16)*$AB7,0),IF(AY$4=EDATE('核心假设'!$B$5,16-1+'核心假设'!$B$31),SUM('融资租赁与资金缺口'!$M$5:$M$16)*$AC7,0),IF(AY$4=EDATE('核心假设'!$B$5,17-1+'核心假设'!$B$31),SUM('融资租赁与资金缺口'!$M$5:$M$16)*$AD7,0))</x:f>
        <x:v>0</x:v>
      </x:c>
      <x:c r="AZ21" s="28" t="n">
        <x:f>SUM(IF(AZ$4=EDATE('核心假设'!$B$5,0-1+'核心假设'!$B$31),SUM('融资租赁与资金缺口'!$M$5:$M$16)*$M7,0),IF(AZ$4=EDATE('核心假设'!$B$5,1-1+'核心假设'!$B$31),SUM('融资租赁与资金缺口'!$M$5:$M$16)*$N7,0),IF(AZ$4=EDATE('核心假设'!$B$5,2-1+'核心假设'!$B$31),SUM('融资租赁与资金缺口'!$M$5:$M$16)*$O7,0),IF(AZ$4=EDATE('核心假设'!$B$5,3-1+'核心假设'!$B$31),SUM('融资租赁与资金缺口'!$M$5:$M$16)*$P7,0),IF(AZ$4=EDATE('核心假设'!$B$5,4-1+'核心假设'!$B$31),SUM('融资租赁与资金缺口'!$M$5:$M$16)*$Q7,0),IF(AZ$4=EDATE('核心假设'!$B$5,5-1+'核心假设'!$B$31),SUM('融资租赁与资金缺口'!$M$5:$M$16)*$R7,0),IF(AZ$4=EDATE('核心假设'!$B$5,6-1+'核心假设'!$B$31),SUM('融资租赁与资金缺口'!$M$5:$M$16)*$S7,0),IF(AZ$4=EDATE('核心假设'!$B$5,7-1+'核心假设'!$B$31),SUM('融资租赁与资金缺口'!$M$5:$M$16)*$T7,0),IF(AZ$4=EDATE('核心假设'!$B$5,8-1+'核心假设'!$B$31),SUM('融资租赁与资金缺口'!$M$5:$M$16)*$U7,0),IF(AZ$4=EDATE('核心假设'!$B$5,9-1+'核心假设'!$B$31),SUM('融资租赁与资金缺口'!$M$5:$M$16)*$V7,0),IF(AZ$4=EDATE('核心假设'!$B$5,10-1+'核心假设'!$B$31),SUM('融资租赁与资金缺口'!$M$5:$M$16)*$W7,0),IF(AZ$4=EDATE('核心假设'!$B$5,11-1+'核心假设'!$B$31),SUM('融资租赁与资金缺口'!$M$5:$M$16)*$X7,0),IF(AZ$4=EDATE('核心假设'!$B$5,12-1+'核心假设'!$B$31),SUM('融资租赁与资金缺口'!$M$5:$M$16)*$Y7,0),IF(AZ$4=EDATE('核心假设'!$B$5,13-1+'核心假设'!$B$31),SUM('融资租赁与资金缺口'!$M$5:$M$16)*$Z7,0),IF(AZ$4=EDATE('核心假设'!$B$5,14-1+'核心假设'!$B$31),SUM('融资租赁与资金缺口'!$M$5:$M$16)*$AA7,0),IF(AZ$4=EDATE('核心假设'!$B$5,15-1+'核心假设'!$B$31),SUM('融资租赁与资金缺口'!$M$5:$M$16)*$AB7,0),IF(AZ$4=EDATE('核心假设'!$B$5,16-1+'核心假设'!$B$31),SUM('融资租赁与资金缺口'!$M$5:$M$16)*$AC7,0),IF(AZ$4=EDATE('核心假设'!$B$5,17-1+'核心假设'!$B$31),SUM('融资租赁与资金缺口'!$M$5:$M$16)*$AD7,0))</x:f>
        <x:v>0</x:v>
      </x:c>
      <x:c r="BA21" s="28" t="n">
        <x:f>SUM(IF(BA$4=EDATE('核心假设'!$B$5,0-1+'核心假设'!$B$31),SUM('融资租赁与资金缺口'!$M$5:$M$16)*$M7,0),IF(BA$4=EDATE('核心假设'!$B$5,1-1+'核心假设'!$B$31),SUM('融资租赁与资金缺口'!$M$5:$M$16)*$N7,0),IF(BA$4=EDATE('核心假设'!$B$5,2-1+'核心假设'!$B$31),SUM('融资租赁与资金缺口'!$M$5:$M$16)*$O7,0),IF(BA$4=EDATE('核心假设'!$B$5,3-1+'核心假设'!$B$31),SUM('融资租赁与资金缺口'!$M$5:$M$16)*$P7,0),IF(BA$4=EDATE('核心假设'!$B$5,4-1+'核心假设'!$B$31),SUM('融资租赁与资金缺口'!$M$5:$M$16)*$Q7,0),IF(BA$4=EDATE('核心假设'!$B$5,5-1+'核心假设'!$B$31),SUM('融资租赁与资金缺口'!$M$5:$M$16)*$R7,0),IF(BA$4=EDATE('核心假设'!$B$5,6-1+'核心假设'!$B$31),SUM('融资租赁与资金缺口'!$M$5:$M$16)*$S7,0),IF(BA$4=EDATE('核心假设'!$B$5,7-1+'核心假设'!$B$31),SUM('融资租赁与资金缺口'!$M$5:$M$16)*$T7,0),IF(BA$4=EDATE('核心假设'!$B$5,8-1+'核心假设'!$B$31),SUM('融资租赁与资金缺口'!$M$5:$M$16)*$U7,0),IF(BA$4=EDATE('核心假设'!$B$5,9-1+'核心假设'!$B$31),SUM('融资租赁与资金缺口'!$M$5:$M$16)*$V7,0),IF(BA$4=EDATE('核心假设'!$B$5,10-1+'核心假设'!$B$31),SUM('融资租赁与资金缺口'!$M$5:$M$16)*$W7,0),IF(BA$4=EDATE('核心假设'!$B$5,11-1+'核心假设'!$B$31),SUM('融资租赁与资金缺口'!$M$5:$M$16)*$X7,0),IF(BA$4=EDATE('核心假设'!$B$5,12-1+'核心假设'!$B$31),SUM('融资租赁与资金缺口'!$M$5:$M$16)*$Y7,0),IF(BA$4=EDATE('核心假设'!$B$5,13-1+'核心假设'!$B$31),SUM('融资租赁与资金缺口'!$M$5:$M$16)*$Z7,0),IF(BA$4=EDATE('核心假设'!$B$5,14-1+'核心假设'!$B$31),SUM('融资租赁与资金缺口'!$M$5:$M$16)*$AA7,0),IF(BA$4=EDATE('核心假设'!$B$5,15-1+'核心假设'!$B$31),SUM('融资租赁与资金缺口'!$M$5:$M$16)*$AB7,0),IF(BA$4=EDATE('核心假设'!$B$5,16-1+'核心假设'!$B$31),SUM('融资租赁与资金缺口'!$M$5:$M$16)*$AC7,0),IF(BA$4=EDATE('核心假设'!$B$5,17-1+'核心假设'!$B$31),SUM('融资租赁与资金缺口'!$M$5:$M$16)*$AD7,0))</x:f>
        <x:v>0</x:v>
      </x:c>
      <x:c r="BB21" s="28" t="n">
        <x:f>SUM(IF(BB$4=EDATE('核心假设'!$B$5,0-1+'核心假设'!$B$31),SUM('融资租赁与资金缺口'!$M$5:$M$16)*$M7,0),IF(BB$4=EDATE('核心假设'!$B$5,1-1+'核心假设'!$B$31),SUM('融资租赁与资金缺口'!$M$5:$M$16)*$N7,0),IF(BB$4=EDATE('核心假设'!$B$5,2-1+'核心假设'!$B$31),SUM('融资租赁与资金缺口'!$M$5:$M$16)*$O7,0),IF(BB$4=EDATE('核心假设'!$B$5,3-1+'核心假设'!$B$31),SUM('融资租赁与资金缺口'!$M$5:$M$16)*$P7,0),IF(BB$4=EDATE('核心假设'!$B$5,4-1+'核心假设'!$B$31),SUM('融资租赁与资金缺口'!$M$5:$M$16)*$Q7,0),IF(BB$4=EDATE('核心假设'!$B$5,5-1+'核心假设'!$B$31),SUM('融资租赁与资金缺口'!$M$5:$M$16)*$R7,0),IF(BB$4=EDATE('核心假设'!$B$5,6-1+'核心假设'!$B$31),SUM('融资租赁与资金缺口'!$M$5:$M$16)*$S7,0),IF(BB$4=EDATE('核心假设'!$B$5,7-1+'核心假设'!$B$31),SUM('融资租赁与资金缺口'!$M$5:$M$16)*$T7,0),IF(BB$4=EDATE('核心假设'!$B$5,8-1+'核心假设'!$B$31),SUM('融资租赁与资金缺口'!$M$5:$M$16)*$U7,0),IF(BB$4=EDATE('核心假设'!$B$5,9-1+'核心假设'!$B$31),SUM('融资租赁与资金缺口'!$M$5:$M$16)*$V7,0),IF(BB$4=EDATE('核心假设'!$B$5,10-1+'核心假设'!$B$31),SUM('融资租赁与资金缺口'!$M$5:$M$16)*$W7,0),IF(BB$4=EDATE('核心假设'!$B$5,11-1+'核心假设'!$B$31),SUM('融资租赁与资金缺口'!$M$5:$M$16)*$X7,0),IF(BB$4=EDATE('核心假设'!$B$5,12-1+'核心假设'!$B$31),SUM('融资租赁与资金缺口'!$M$5:$M$16)*$Y7,0),IF(BB$4=EDATE('核心假设'!$B$5,13-1+'核心假设'!$B$31),SUM('融资租赁与资金缺口'!$M$5:$M$16)*$Z7,0),IF(BB$4=EDATE('核心假设'!$B$5,14-1+'核心假设'!$B$31),SUM('融资租赁与资金缺口'!$M$5:$M$16)*$AA7,0),IF(BB$4=EDATE('核心假设'!$B$5,15-1+'核心假设'!$B$31),SUM('融资租赁与资金缺口'!$M$5:$M$16)*$AB7,0),IF(BB$4=EDATE('核心假设'!$B$5,16-1+'核心假设'!$B$31),SUM('融资租赁与资金缺口'!$M$5:$M$16)*$AC7,0),IF(BB$4=EDATE('核心假设'!$B$5,17-1+'核心假设'!$B$31),SUM('融资租赁与资金缺口'!$M$5:$M$16)*$AD7,0))</x:f>
        <x:v>0</x:v>
      </x:c>
      <x:c r="BC21" s="28" t="n">
        <x:f>SUM(IF(BC$4=EDATE('核心假设'!$B$5,0-1+'核心假设'!$B$31),SUM('融资租赁与资金缺口'!$M$5:$M$16)*$M7,0),IF(BC$4=EDATE('核心假设'!$B$5,1-1+'核心假设'!$B$31),SUM('融资租赁与资金缺口'!$M$5:$M$16)*$N7,0),IF(BC$4=EDATE('核心假设'!$B$5,2-1+'核心假设'!$B$31),SUM('融资租赁与资金缺口'!$M$5:$M$16)*$O7,0),IF(BC$4=EDATE('核心假设'!$B$5,3-1+'核心假设'!$B$31),SUM('融资租赁与资金缺口'!$M$5:$M$16)*$P7,0),IF(BC$4=EDATE('核心假设'!$B$5,4-1+'核心假设'!$B$31),SUM('融资租赁与资金缺口'!$M$5:$M$16)*$Q7,0),IF(BC$4=EDATE('核心假设'!$B$5,5-1+'核心假设'!$B$31),SUM('融资租赁与资金缺口'!$M$5:$M$16)*$R7,0),IF(BC$4=EDATE('核心假设'!$B$5,6-1+'核心假设'!$B$31),SUM('融资租赁与资金缺口'!$M$5:$M$16)*$S7,0),IF(BC$4=EDATE('核心假设'!$B$5,7-1+'核心假设'!$B$31),SUM('融资租赁与资金缺口'!$M$5:$M$16)*$T7,0),IF(BC$4=EDATE('核心假设'!$B$5,8-1+'核心假设'!$B$31),SUM('融资租赁与资金缺口'!$M$5:$M$16)*$U7,0),IF(BC$4=EDATE('核心假设'!$B$5,9-1+'核心假设'!$B$31),SUM('融资租赁与资金缺口'!$M$5:$M$16)*$V7,0),IF(BC$4=EDATE('核心假设'!$B$5,10-1+'核心假设'!$B$31),SUM('融资租赁与资金缺口'!$M$5:$M$16)*$W7,0),IF(BC$4=EDATE('核心假设'!$B$5,11-1+'核心假设'!$B$31),SUM('融资租赁与资金缺口'!$M$5:$M$16)*$X7,0),IF(BC$4=EDATE('核心假设'!$B$5,12-1+'核心假设'!$B$31),SUM('融资租赁与资金缺口'!$M$5:$M$16)*$Y7,0),IF(BC$4=EDATE('核心假设'!$B$5,13-1+'核心假设'!$B$31),SUM('融资租赁与资金缺口'!$M$5:$M$16)*$Z7,0),IF(BC$4=EDATE('核心假设'!$B$5,14-1+'核心假设'!$B$31),SUM('融资租赁与资金缺口'!$M$5:$M$16)*$AA7,0),IF(BC$4=EDATE('核心假设'!$B$5,15-1+'核心假设'!$B$31),SUM('融资租赁与资金缺口'!$M$5:$M$16)*$AB7,0),IF(BC$4=EDATE('核心假设'!$B$5,16-1+'核心假设'!$B$31),SUM('融资租赁与资金缺口'!$M$5:$M$16)*$AC7,0),IF(BC$4=EDATE('核心假设'!$B$5,17-1+'核心假设'!$B$31),SUM('融资租赁与资金缺口'!$M$5:$M$16)*$AD7,0))</x:f>
        <x:v>0</x:v>
      </x:c>
      <x:c r="BD21" s="28" t="n">
        <x:f>SUM(IF(BD$4=EDATE('核心假设'!$B$5,0-1+'核心假设'!$B$31),SUM('融资租赁与资金缺口'!$M$5:$M$16)*$M7,0),IF(BD$4=EDATE('核心假设'!$B$5,1-1+'核心假设'!$B$31),SUM('融资租赁与资金缺口'!$M$5:$M$16)*$N7,0),IF(BD$4=EDATE('核心假设'!$B$5,2-1+'核心假设'!$B$31),SUM('融资租赁与资金缺口'!$M$5:$M$16)*$O7,0),IF(BD$4=EDATE('核心假设'!$B$5,3-1+'核心假设'!$B$31),SUM('融资租赁与资金缺口'!$M$5:$M$16)*$P7,0),IF(BD$4=EDATE('核心假设'!$B$5,4-1+'核心假设'!$B$31),SUM('融资租赁与资金缺口'!$M$5:$M$16)*$Q7,0),IF(BD$4=EDATE('核心假设'!$B$5,5-1+'核心假设'!$B$31),SUM('融资租赁与资金缺口'!$M$5:$M$16)*$R7,0),IF(BD$4=EDATE('核心假设'!$B$5,6-1+'核心假设'!$B$31),SUM('融资租赁与资金缺口'!$M$5:$M$16)*$S7,0),IF(BD$4=EDATE('核心假设'!$B$5,7-1+'核心假设'!$B$31),SUM('融资租赁与资金缺口'!$M$5:$M$16)*$T7,0),IF(BD$4=EDATE('核心假设'!$B$5,8-1+'核心假设'!$B$31),SUM('融资租赁与资金缺口'!$M$5:$M$16)*$U7,0),IF(BD$4=EDATE('核心假设'!$B$5,9-1+'核心假设'!$B$31),SUM('融资租赁与资金缺口'!$M$5:$M$16)*$V7,0),IF(BD$4=EDATE('核心假设'!$B$5,10-1+'核心假设'!$B$31),SUM('融资租赁与资金缺口'!$M$5:$M$16)*$W7,0),IF(BD$4=EDATE('核心假设'!$B$5,11-1+'核心假设'!$B$31),SUM('融资租赁与资金缺口'!$M$5:$M$16)*$X7,0),IF(BD$4=EDATE('核心假设'!$B$5,12-1+'核心假设'!$B$31),SUM('融资租赁与资金缺口'!$M$5:$M$16)*$Y7,0),IF(BD$4=EDATE('核心假设'!$B$5,13-1+'核心假设'!$B$31),SUM('融资租赁与资金缺口'!$M$5:$M$16)*$Z7,0),IF(BD$4=EDATE('核心假设'!$B$5,14-1+'核心假设'!$B$31),SUM('融资租赁与资金缺口'!$M$5:$M$16)*$AA7,0),IF(BD$4=EDATE('核心假设'!$B$5,15-1+'核心假设'!$B$31),SUM('融资租赁与资金缺口'!$M$5:$M$16)*$AB7,0),IF(BD$4=EDATE('核心假设'!$B$5,16-1+'核心假设'!$B$31),SUM('融资租赁与资金缺口'!$M$5:$M$16)*$AC7,0),IF(BD$4=EDATE('核心假设'!$B$5,17-1+'核心假设'!$B$31),SUM('融资租赁与资金缺口'!$M$5:$M$16)*$AD7,0))</x:f>
        <x:v>0</x:v>
      </x:c>
      <x:c r="BE21" s="28" t="n">
        <x:f>SUM(IF(BE$4=EDATE('核心假设'!$B$5,0-1+'核心假设'!$B$31),SUM('融资租赁与资金缺口'!$M$5:$M$16)*$M7,0),IF(BE$4=EDATE('核心假设'!$B$5,1-1+'核心假设'!$B$31),SUM('融资租赁与资金缺口'!$M$5:$M$16)*$N7,0),IF(BE$4=EDATE('核心假设'!$B$5,2-1+'核心假设'!$B$31),SUM('融资租赁与资金缺口'!$M$5:$M$16)*$O7,0),IF(BE$4=EDATE('核心假设'!$B$5,3-1+'核心假设'!$B$31),SUM('融资租赁与资金缺口'!$M$5:$M$16)*$P7,0),IF(BE$4=EDATE('核心假设'!$B$5,4-1+'核心假设'!$B$31),SUM('融资租赁与资金缺口'!$M$5:$M$16)*$Q7,0),IF(BE$4=EDATE('核心假设'!$B$5,5-1+'核心假设'!$B$31),SUM('融资租赁与资金缺口'!$M$5:$M$16)*$R7,0),IF(BE$4=EDATE('核心假设'!$B$5,6-1+'核心假设'!$B$31),SUM('融资租赁与资金缺口'!$M$5:$M$16)*$S7,0),IF(BE$4=EDATE('核心假设'!$B$5,7-1+'核心假设'!$B$31),SUM('融资租赁与资金缺口'!$M$5:$M$16)*$T7,0),IF(BE$4=EDATE('核心假设'!$B$5,8-1+'核心假设'!$B$31),SUM('融资租赁与资金缺口'!$M$5:$M$16)*$U7,0),IF(BE$4=EDATE('核心假设'!$B$5,9-1+'核心假设'!$B$31),SUM('融资租赁与资金缺口'!$M$5:$M$16)*$V7,0),IF(BE$4=EDATE('核心假设'!$B$5,10-1+'核心假设'!$B$31),SUM('融资租赁与资金缺口'!$M$5:$M$16)*$W7,0),IF(BE$4=EDATE('核心假设'!$B$5,11-1+'核心假设'!$B$31),SUM('融资租赁与资金缺口'!$M$5:$M$16)*$X7,0),IF(BE$4=EDATE('核心假设'!$B$5,12-1+'核心假设'!$B$31),SUM('融资租赁与资金缺口'!$M$5:$M$16)*$Y7,0),IF(BE$4=EDATE('核心假设'!$B$5,13-1+'核心假设'!$B$31),SUM('融资租赁与资金缺口'!$M$5:$M$16)*$Z7,0),IF(BE$4=EDATE('核心假设'!$B$5,14-1+'核心假设'!$B$31),SUM('融资租赁与资金缺口'!$M$5:$M$16)*$AA7,0),IF(BE$4=EDATE('核心假设'!$B$5,15-1+'核心假设'!$B$31),SUM('融资租赁与资金缺口'!$M$5:$M$16)*$AB7,0),IF(BE$4=EDATE('核心假设'!$B$5,16-1+'核心假设'!$B$31),SUM('融资租赁与资金缺口'!$M$5:$M$16)*$AC7,0),IF(BE$4=EDATE('核心假设'!$B$5,17-1+'核心假设'!$B$31),SUM('融资租赁与资金缺口'!$M$5:$M$16)*$AD7,0))</x:f>
        <x:v>0</x:v>
      </x:c>
      <x:c r="BF21" s="28" t="n">
        <x:f>SUM(IF(BF$4=EDATE('核心假设'!$B$5,0-1+'核心假设'!$B$31),SUM('融资租赁与资金缺口'!$M$5:$M$16)*$M7,0),IF(BF$4=EDATE('核心假设'!$B$5,1-1+'核心假设'!$B$31),SUM('融资租赁与资金缺口'!$M$5:$M$16)*$N7,0),IF(BF$4=EDATE('核心假设'!$B$5,2-1+'核心假设'!$B$31),SUM('融资租赁与资金缺口'!$M$5:$M$16)*$O7,0),IF(BF$4=EDATE('核心假设'!$B$5,3-1+'核心假设'!$B$31),SUM('融资租赁与资金缺口'!$M$5:$M$16)*$P7,0),IF(BF$4=EDATE('核心假设'!$B$5,4-1+'核心假设'!$B$31),SUM('融资租赁与资金缺口'!$M$5:$M$16)*$Q7,0),IF(BF$4=EDATE('核心假设'!$B$5,5-1+'核心假设'!$B$31),SUM('融资租赁与资金缺口'!$M$5:$M$16)*$R7,0),IF(BF$4=EDATE('核心假设'!$B$5,6-1+'核心假设'!$B$31),SUM('融资租赁与资金缺口'!$M$5:$M$16)*$S7,0),IF(BF$4=EDATE('核心假设'!$B$5,7-1+'核心假设'!$B$31),SUM('融资租赁与资金缺口'!$M$5:$M$16)*$T7,0),IF(BF$4=EDATE('核心假设'!$B$5,8-1+'核心假设'!$B$31),SUM('融资租赁与资金缺口'!$M$5:$M$16)*$U7,0),IF(BF$4=EDATE('核心假设'!$B$5,9-1+'核心假设'!$B$31),SUM('融资租赁与资金缺口'!$M$5:$M$16)*$V7,0),IF(BF$4=EDATE('核心假设'!$B$5,10-1+'核心假设'!$B$31),SUM('融资租赁与资金缺口'!$M$5:$M$16)*$W7,0),IF(BF$4=EDATE('核心假设'!$B$5,11-1+'核心假设'!$B$31),SUM('融资租赁与资金缺口'!$M$5:$M$16)*$X7,0),IF(BF$4=EDATE('核心假设'!$B$5,12-1+'核心假设'!$B$31),SUM('融资租赁与资金缺口'!$M$5:$M$16)*$Y7,0),IF(BF$4=EDATE('核心假设'!$B$5,13-1+'核心假设'!$B$31),SUM('融资租赁与资金缺口'!$M$5:$M$16)*$Z7,0),IF(BF$4=EDATE('核心假设'!$B$5,14-1+'核心假设'!$B$31),SUM('融资租赁与资金缺口'!$M$5:$M$16)*$AA7,0),IF(BF$4=EDATE('核心假设'!$B$5,15-1+'核心假设'!$B$31),SUM('融资租赁与资金缺口'!$M$5:$M$16)*$AB7,0),IF(BF$4=EDATE('核心假设'!$B$5,16-1+'核心假设'!$B$31),SUM('融资租赁与资金缺口'!$M$5:$M$16)*$AC7,0),IF(BF$4=EDATE('核心假设'!$B$5,17-1+'核心假设'!$B$31),SUM('融资租赁与资金缺口'!$M$5:$M$16)*$AD7,0))</x:f>
        <x:v>0</x:v>
      </x:c>
      <x:c r="BG21" s="28" t="n">
        <x:f>SUM(IF(BG$4=EDATE('核心假设'!$B$5,0-1+'核心假设'!$B$31),SUM('融资租赁与资金缺口'!$M$5:$M$16)*$M7,0),IF(BG$4=EDATE('核心假设'!$B$5,1-1+'核心假设'!$B$31),SUM('融资租赁与资金缺口'!$M$5:$M$16)*$N7,0),IF(BG$4=EDATE('核心假设'!$B$5,2-1+'核心假设'!$B$31),SUM('融资租赁与资金缺口'!$M$5:$M$16)*$O7,0),IF(BG$4=EDATE('核心假设'!$B$5,3-1+'核心假设'!$B$31),SUM('融资租赁与资金缺口'!$M$5:$M$16)*$P7,0),IF(BG$4=EDATE('核心假设'!$B$5,4-1+'核心假设'!$B$31),SUM('融资租赁与资金缺口'!$M$5:$M$16)*$Q7,0),IF(BG$4=EDATE('核心假设'!$B$5,5-1+'核心假设'!$B$31),SUM('融资租赁与资金缺口'!$M$5:$M$16)*$R7,0),IF(BG$4=EDATE('核心假设'!$B$5,6-1+'核心假设'!$B$31),SUM('融资租赁与资金缺口'!$M$5:$M$16)*$S7,0),IF(BG$4=EDATE('核心假设'!$B$5,7-1+'核心假设'!$B$31),SUM('融资租赁与资金缺口'!$M$5:$M$16)*$T7,0),IF(BG$4=EDATE('核心假设'!$B$5,8-1+'核心假设'!$B$31),SUM('融资租赁与资金缺口'!$M$5:$M$16)*$U7,0),IF(BG$4=EDATE('核心假设'!$B$5,9-1+'核心假设'!$B$31),SUM('融资租赁与资金缺口'!$M$5:$M$16)*$V7,0),IF(BG$4=EDATE('核心假设'!$B$5,10-1+'核心假设'!$B$31),SUM('融资租赁与资金缺口'!$M$5:$M$16)*$W7,0),IF(BG$4=EDATE('核心假设'!$B$5,11-1+'核心假设'!$B$31),SUM('融资租赁与资金缺口'!$M$5:$M$16)*$X7,0),IF(BG$4=EDATE('核心假设'!$B$5,12-1+'核心假设'!$B$31),SUM('融资租赁与资金缺口'!$M$5:$M$16)*$Y7,0),IF(BG$4=EDATE('核心假设'!$B$5,13-1+'核心假设'!$B$31),SUM('融资租赁与资金缺口'!$M$5:$M$16)*$Z7,0),IF(BG$4=EDATE('核心假设'!$B$5,14-1+'核心假设'!$B$31),SUM('融资租赁与资金缺口'!$M$5:$M$16)*$AA7,0),IF(BG$4=EDATE('核心假设'!$B$5,15-1+'核心假设'!$B$31),SUM('融资租赁与资金缺口'!$M$5:$M$16)*$AB7,0),IF(BG$4=EDATE('核心假设'!$B$5,16-1+'核心假设'!$B$31),SUM('融资租赁与资金缺口'!$M$5:$M$16)*$AC7,0),IF(BG$4=EDATE('核心假设'!$B$5,17-1+'核心假设'!$B$31),SUM('融资租赁与资金缺口'!$M$5:$M$16)*$AD7,0))</x:f>
        <x:v>0</x:v>
      </x:c>
      <x:c r="BH21" s="28" t="n">
        <x:f>SUM(IF(BH$4=EDATE('核心假设'!$B$5,0-1+'核心假设'!$B$31),SUM('融资租赁与资金缺口'!$M$5:$M$16)*$M7,0),IF(BH$4=EDATE('核心假设'!$B$5,1-1+'核心假设'!$B$31),SUM('融资租赁与资金缺口'!$M$5:$M$16)*$N7,0),IF(BH$4=EDATE('核心假设'!$B$5,2-1+'核心假设'!$B$31),SUM('融资租赁与资金缺口'!$M$5:$M$16)*$O7,0),IF(BH$4=EDATE('核心假设'!$B$5,3-1+'核心假设'!$B$31),SUM('融资租赁与资金缺口'!$M$5:$M$16)*$P7,0),IF(BH$4=EDATE('核心假设'!$B$5,4-1+'核心假设'!$B$31),SUM('融资租赁与资金缺口'!$M$5:$M$16)*$Q7,0),IF(BH$4=EDATE('核心假设'!$B$5,5-1+'核心假设'!$B$31),SUM('融资租赁与资金缺口'!$M$5:$M$16)*$R7,0),IF(BH$4=EDATE('核心假设'!$B$5,6-1+'核心假设'!$B$31),SUM('融资租赁与资金缺口'!$M$5:$M$16)*$S7,0),IF(BH$4=EDATE('核心假设'!$B$5,7-1+'核心假设'!$B$31),SUM('融资租赁与资金缺口'!$M$5:$M$16)*$T7,0),IF(BH$4=EDATE('核心假设'!$B$5,8-1+'核心假设'!$B$31),SUM('融资租赁与资金缺口'!$M$5:$M$16)*$U7,0),IF(BH$4=EDATE('核心假设'!$B$5,9-1+'核心假设'!$B$31),SUM('融资租赁与资金缺口'!$M$5:$M$16)*$V7,0),IF(BH$4=EDATE('核心假设'!$B$5,10-1+'核心假设'!$B$31),SUM('融资租赁与资金缺口'!$M$5:$M$16)*$W7,0),IF(BH$4=EDATE('核心假设'!$B$5,11-1+'核心假设'!$B$31),SUM('融资租赁与资金缺口'!$M$5:$M$16)*$X7,0),IF(BH$4=EDATE('核心假设'!$B$5,12-1+'核心假设'!$B$31),SUM('融资租赁与资金缺口'!$M$5:$M$16)*$Y7,0),IF(BH$4=EDATE('核心假设'!$B$5,13-1+'核心假设'!$B$31),SUM('融资租赁与资金缺口'!$M$5:$M$16)*$Z7,0),IF(BH$4=EDATE('核心假设'!$B$5,14-1+'核心假设'!$B$31),SUM('融资租赁与资金缺口'!$M$5:$M$16)*$AA7,0),IF(BH$4=EDATE('核心假设'!$B$5,15-1+'核心假设'!$B$31),SUM('融资租赁与资金缺口'!$M$5:$M$16)*$AB7,0),IF(BH$4=EDATE('核心假设'!$B$5,16-1+'核心假设'!$B$31),SUM('融资租赁与资金缺口'!$M$5:$M$16)*$AC7,0),IF(BH$4=EDATE('核心假设'!$B$5,17-1+'核心假设'!$B$31),SUM('融资租赁与资金缺口'!$M$5:$M$16)*$AD7,0))</x:f>
        <x:v>0</x:v>
      </x:c>
      <x:c r="BI21" s="28" t="n">
        <x:f>SUM(IF(BI$4=EDATE('核心假设'!$B$5,0-1+'核心假设'!$B$31),SUM('融资租赁与资金缺口'!$M$5:$M$16)*$M7,0),IF(BI$4=EDATE('核心假设'!$B$5,1-1+'核心假设'!$B$31),SUM('融资租赁与资金缺口'!$M$5:$M$16)*$N7,0),IF(BI$4=EDATE('核心假设'!$B$5,2-1+'核心假设'!$B$31),SUM('融资租赁与资金缺口'!$M$5:$M$16)*$O7,0),IF(BI$4=EDATE('核心假设'!$B$5,3-1+'核心假设'!$B$31),SUM('融资租赁与资金缺口'!$M$5:$M$16)*$P7,0),IF(BI$4=EDATE('核心假设'!$B$5,4-1+'核心假设'!$B$31),SUM('融资租赁与资金缺口'!$M$5:$M$16)*$Q7,0),IF(BI$4=EDATE('核心假设'!$B$5,5-1+'核心假设'!$B$31),SUM('融资租赁与资金缺口'!$M$5:$M$16)*$R7,0),IF(BI$4=EDATE('核心假设'!$B$5,6-1+'核心假设'!$B$31),SUM('融资租赁与资金缺口'!$M$5:$M$16)*$S7,0),IF(BI$4=EDATE('核心假设'!$B$5,7-1+'核心假设'!$B$31),SUM('融资租赁与资金缺口'!$M$5:$M$16)*$T7,0),IF(BI$4=EDATE('核心假设'!$B$5,8-1+'核心假设'!$B$31),SUM('融资租赁与资金缺口'!$M$5:$M$16)*$U7,0),IF(BI$4=EDATE('核心假设'!$B$5,9-1+'核心假设'!$B$31),SUM('融资租赁与资金缺口'!$M$5:$M$16)*$V7,0),IF(BI$4=EDATE('核心假设'!$B$5,10-1+'核心假设'!$B$31),SUM('融资租赁与资金缺口'!$M$5:$M$16)*$W7,0),IF(BI$4=EDATE('核心假设'!$B$5,11-1+'核心假设'!$B$31),SUM('融资租赁与资金缺口'!$M$5:$M$16)*$X7,0),IF(BI$4=EDATE('核心假设'!$B$5,12-1+'核心假设'!$B$31),SUM('融资租赁与资金缺口'!$M$5:$M$16)*$Y7,0),IF(BI$4=EDATE('核心假设'!$B$5,13-1+'核心假设'!$B$31),SUM('融资租赁与资金缺口'!$M$5:$M$16)*$Z7,0),IF(BI$4=EDATE('核心假设'!$B$5,14-1+'核心假设'!$B$31),SUM('融资租赁与资金缺口'!$M$5:$M$16)*$AA7,0),IF(BI$4=EDATE('核心假设'!$B$5,15-1+'核心假设'!$B$31),SUM('融资租赁与资金缺口'!$M$5:$M$16)*$AB7,0),IF(BI$4=EDATE('核心假设'!$B$5,16-1+'核心假设'!$B$31),SUM('融资租赁与资金缺口'!$M$5:$M$16)*$AC7,0),IF(BI$4=EDATE('核心假设'!$B$5,17-1+'核心假设'!$B$31),SUM('融资租赁与资金缺口'!$M$5:$M$16)*$AD7,0))</x:f>
        <x:v>0</x:v>
      </x:c>
      <x:c r="BJ21" s="28" t="n">
        <x:f>SUM(IF(BJ$4=EDATE('核心假设'!$B$5,0-1+'核心假设'!$B$31),SUM('融资租赁与资金缺口'!$M$5:$M$16)*$M7,0),IF(BJ$4=EDATE('核心假设'!$B$5,1-1+'核心假设'!$B$31),SUM('融资租赁与资金缺口'!$M$5:$M$16)*$N7,0),IF(BJ$4=EDATE('核心假设'!$B$5,2-1+'核心假设'!$B$31),SUM('融资租赁与资金缺口'!$M$5:$M$16)*$O7,0),IF(BJ$4=EDATE('核心假设'!$B$5,3-1+'核心假设'!$B$31),SUM('融资租赁与资金缺口'!$M$5:$M$16)*$P7,0),IF(BJ$4=EDATE('核心假设'!$B$5,4-1+'核心假设'!$B$31),SUM('融资租赁与资金缺口'!$M$5:$M$16)*$Q7,0),IF(BJ$4=EDATE('核心假设'!$B$5,5-1+'核心假设'!$B$31),SUM('融资租赁与资金缺口'!$M$5:$M$16)*$R7,0),IF(BJ$4=EDATE('核心假设'!$B$5,6-1+'核心假设'!$B$31),SUM('融资租赁与资金缺口'!$M$5:$M$16)*$S7,0),IF(BJ$4=EDATE('核心假设'!$B$5,7-1+'核心假设'!$B$31),SUM('融资租赁与资金缺口'!$M$5:$M$16)*$T7,0),IF(BJ$4=EDATE('核心假设'!$B$5,8-1+'核心假设'!$B$31),SUM('融资租赁与资金缺口'!$M$5:$M$16)*$U7,0),IF(BJ$4=EDATE('核心假设'!$B$5,9-1+'核心假设'!$B$31),SUM('融资租赁与资金缺口'!$M$5:$M$16)*$V7,0),IF(BJ$4=EDATE('核心假设'!$B$5,10-1+'核心假设'!$B$31),SUM('融资租赁与资金缺口'!$M$5:$M$16)*$W7,0),IF(BJ$4=EDATE('核心假设'!$B$5,11-1+'核心假设'!$B$31),SUM('融资租赁与资金缺口'!$M$5:$M$16)*$X7,0),IF(BJ$4=EDATE('核心假设'!$B$5,12-1+'核心假设'!$B$31),SUM('融资租赁与资金缺口'!$M$5:$M$16)*$Y7,0),IF(BJ$4=EDATE('核心假设'!$B$5,13-1+'核心假设'!$B$31),SUM('融资租赁与资金缺口'!$M$5:$M$16)*$Z7,0),IF(BJ$4=EDATE('核心假设'!$B$5,14-1+'核心假设'!$B$31),SUM('融资租赁与资金缺口'!$M$5:$M$16)*$AA7,0),IF(BJ$4=EDATE('核心假设'!$B$5,15-1+'核心假设'!$B$31),SUM('融资租赁与资金缺口'!$M$5:$M$16)*$AB7,0),IF(BJ$4=EDATE('核心假设'!$B$5,16-1+'核心假设'!$B$31),SUM('融资租赁与资金缺口'!$M$5:$M$16)*$AC7,0),IF(BJ$4=EDATE('核心假设'!$B$5,17-1+'核心假设'!$B$31),SUM('融资租赁与资金缺口'!$M$5:$M$16)*$AD7,0))</x:f>
        <x:v>0</x:v>
      </x:c>
      <x:c r="BK21" s="28" t="n">
        <x:f>SUM(IF(BK$4=EDATE('核心假设'!$B$5,0-1+'核心假设'!$B$31),SUM('融资租赁与资金缺口'!$M$5:$M$16)*$M7,0),IF(BK$4=EDATE('核心假设'!$B$5,1-1+'核心假设'!$B$31),SUM('融资租赁与资金缺口'!$M$5:$M$16)*$N7,0),IF(BK$4=EDATE('核心假设'!$B$5,2-1+'核心假设'!$B$31),SUM('融资租赁与资金缺口'!$M$5:$M$16)*$O7,0),IF(BK$4=EDATE('核心假设'!$B$5,3-1+'核心假设'!$B$31),SUM('融资租赁与资金缺口'!$M$5:$M$16)*$P7,0),IF(BK$4=EDATE('核心假设'!$B$5,4-1+'核心假设'!$B$31),SUM('融资租赁与资金缺口'!$M$5:$M$16)*$Q7,0),IF(BK$4=EDATE('核心假设'!$B$5,5-1+'核心假设'!$B$31),SUM('融资租赁与资金缺口'!$M$5:$M$16)*$R7,0),IF(BK$4=EDATE('核心假设'!$B$5,6-1+'核心假设'!$B$31),SUM('融资租赁与资金缺口'!$M$5:$M$16)*$S7,0),IF(BK$4=EDATE('核心假设'!$B$5,7-1+'核心假设'!$B$31),SUM('融资租赁与资金缺口'!$M$5:$M$16)*$T7,0),IF(BK$4=EDATE('核心假设'!$B$5,8-1+'核心假设'!$B$31),SUM('融资租赁与资金缺口'!$M$5:$M$16)*$U7,0),IF(BK$4=EDATE('核心假设'!$B$5,9-1+'核心假设'!$B$31),SUM('融资租赁与资金缺口'!$M$5:$M$16)*$V7,0),IF(BK$4=EDATE('核心假设'!$B$5,10-1+'核心假设'!$B$31),SUM('融资租赁与资金缺口'!$M$5:$M$16)*$W7,0),IF(BK$4=EDATE('核心假设'!$B$5,11-1+'核心假设'!$B$31),SUM('融资租赁与资金缺口'!$M$5:$M$16)*$X7,0),IF(BK$4=EDATE('核心假设'!$B$5,12-1+'核心假设'!$B$31),SUM('融资租赁与资金缺口'!$M$5:$M$16)*$Y7,0),IF(BK$4=EDATE('核心假设'!$B$5,13-1+'核心假设'!$B$31),SUM('融资租赁与资金缺口'!$M$5:$M$16)*$Z7,0),IF(BK$4=EDATE('核心假设'!$B$5,14-1+'核心假设'!$B$31),SUM('融资租赁与资金缺口'!$M$5:$M$16)*$AA7,0),IF(BK$4=EDATE('核心假设'!$B$5,15-1+'核心假设'!$B$31),SUM('融资租赁与资金缺口'!$M$5:$M$16)*$AB7,0),IF(BK$4=EDATE('核心假设'!$B$5,16-1+'核心假设'!$B$31),SUM('融资租赁与资金缺口'!$M$5:$M$16)*$AC7,0),IF(BK$4=EDATE('核心假设'!$B$5,17-1+'核心假设'!$B$31),SUM('融资租赁与资金缺口'!$M$5:$M$16)*$AD7,0))</x:f>
        <x:v>0</x:v>
      </x:c>
      <x:c r="BL21" s="28" t="n">
        <x:f>SUM(IF(BL$4=EDATE('核心假设'!$B$5,0-1+'核心假设'!$B$31),SUM('融资租赁与资金缺口'!$M$5:$M$16)*$M7,0),IF(BL$4=EDATE('核心假设'!$B$5,1-1+'核心假设'!$B$31),SUM('融资租赁与资金缺口'!$M$5:$M$16)*$N7,0),IF(BL$4=EDATE('核心假设'!$B$5,2-1+'核心假设'!$B$31),SUM('融资租赁与资金缺口'!$M$5:$M$16)*$O7,0),IF(BL$4=EDATE('核心假设'!$B$5,3-1+'核心假设'!$B$31),SUM('融资租赁与资金缺口'!$M$5:$M$16)*$P7,0),IF(BL$4=EDATE('核心假设'!$B$5,4-1+'核心假设'!$B$31),SUM('融资租赁与资金缺口'!$M$5:$M$16)*$Q7,0),IF(BL$4=EDATE('核心假设'!$B$5,5-1+'核心假设'!$B$31),SUM('融资租赁与资金缺口'!$M$5:$M$16)*$R7,0),IF(BL$4=EDATE('核心假设'!$B$5,6-1+'核心假设'!$B$31),SUM('融资租赁与资金缺口'!$M$5:$M$16)*$S7,0),IF(BL$4=EDATE('核心假设'!$B$5,7-1+'核心假设'!$B$31),SUM('融资租赁与资金缺口'!$M$5:$M$16)*$T7,0),IF(BL$4=EDATE('核心假设'!$B$5,8-1+'核心假设'!$B$31),SUM('融资租赁与资金缺口'!$M$5:$M$16)*$U7,0),IF(BL$4=EDATE('核心假设'!$B$5,9-1+'核心假设'!$B$31),SUM('融资租赁与资金缺口'!$M$5:$M$16)*$V7,0),IF(BL$4=EDATE('核心假设'!$B$5,10-1+'核心假设'!$B$31),SUM('融资租赁与资金缺口'!$M$5:$M$16)*$W7,0),IF(BL$4=EDATE('核心假设'!$B$5,11-1+'核心假设'!$B$31),SUM('融资租赁与资金缺口'!$M$5:$M$16)*$X7,0),IF(BL$4=EDATE('核心假设'!$B$5,12-1+'核心假设'!$B$31),SUM('融资租赁与资金缺口'!$M$5:$M$16)*$Y7,0),IF(BL$4=EDATE('核心假设'!$B$5,13-1+'核心假设'!$B$31),SUM('融资租赁与资金缺口'!$M$5:$M$16)*$Z7,0),IF(BL$4=EDATE('核心假设'!$B$5,14-1+'核心假设'!$B$31),SUM('融资租赁与资金缺口'!$M$5:$M$16)*$AA7,0),IF(BL$4=EDATE('核心假设'!$B$5,15-1+'核心假设'!$B$31),SUM('融资租赁与资金缺口'!$M$5:$M$16)*$AB7,0),IF(BL$4=EDATE('核心假设'!$B$5,16-1+'核心假设'!$B$31),SUM('融资租赁与资金缺口'!$M$5:$M$16)*$AC7,0),IF(BL$4=EDATE('核心假设'!$B$5,17-1+'核心假设'!$B$31),SUM('融资租赁与资金缺口'!$M$5:$M$16)*$AD7,0))</x:f>
        <x:v>0</x:v>
      </x:c>
      <x:c r="BM21" s="28" t="n">
        <x:f>SUM(IF(BM$4=EDATE('核心假设'!$B$5,0-1+'核心假设'!$B$31),SUM('融资租赁与资金缺口'!$M$5:$M$16)*$M7,0),IF(BM$4=EDATE('核心假设'!$B$5,1-1+'核心假设'!$B$31),SUM('融资租赁与资金缺口'!$M$5:$M$16)*$N7,0),IF(BM$4=EDATE('核心假设'!$B$5,2-1+'核心假设'!$B$31),SUM('融资租赁与资金缺口'!$M$5:$M$16)*$O7,0),IF(BM$4=EDATE('核心假设'!$B$5,3-1+'核心假设'!$B$31),SUM('融资租赁与资金缺口'!$M$5:$M$16)*$P7,0),IF(BM$4=EDATE('核心假设'!$B$5,4-1+'核心假设'!$B$31),SUM('融资租赁与资金缺口'!$M$5:$M$16)*$Q7,0),IF(BM$4=EDATE('核心假设'!$B$5,5-1+'核心假设'!$B$31),SUM('融资租赁与资金缺口'!$M$5:$M$16)*$R7,0),IF(BM$4=EDATE('核心假设'!$B$5,6-1+'核心假设'!$B$31),SUM('融资租赁与资金缺口'!$M$5:$M$16)*$S7,0),IF(BM$4=EDATE('核心假设'!$B$5,7-1+'核心假设'!$B$31),SUM('融资租赁与资金缺口'!$M$5:$M$16)*$T7,0),IF(BM$4=EDATE('核心假设'!$B$5,8-1+'核心假设'!$B$31),SUM('融资租赁与资金缺口'!$M$5:$M$16)*$U7,0),IF(BM$4=EDATE('核心假设'!$B$5,9-1+'核心假设'!$B$31),SUM('融资租赁与资金缺口'!$M$5:$M$16)*$V7,0),IF(BM$4=EDATE('核心假设'!$B$5,10-1+'核心假设'!$B$31),SUM('融资租赁与资金缺口'!$M$5:$M$16)*$W7,0),IF(BM$4=EDATE('核心假设'!$B$5,11-1+'核心假设'!$B$31),SUM('融资租赁与资金缺口'!$M$5:$M$16)*$X7,0),IF(BM$4=EDATE('核心假设'!$B$5,12-1+'核心假设'!$B$31),SUM('融资租赁与资金缺口'!$M$5:$M$16)*$Y7,0),IF(BM$4=EDATE('核心假设'!$B$5,13-1+'核心假设'!$B$31),SUM('融资租赁与资金缺口'!$M$5:$M$16)*$Z7,0),IF(BM$4=EDATE('核心假设'!$B$5,14-1+'核心假设'!$B$31),SUM('融资租赁与资金缺口'!$M$5:$M$16)*$AA7,0),IF(BM$4=EDATE('核心假设'!$B$5,15-1+'核心假设'!$B$31),SUM('融资租赁与资金缺口'!$M$5:$M$16)*$AB7,0),IF(BM$4=EDATE('核心假设'!$B$5,16-1+'核心假设'!$B$31),SUM('融资租赁与资金缺口'!$M$5:$M$16)*$AC7,0),IF(BM$4=EDATE('核心假设'!$B$5,17-1+'核心假设'!$B$31),SUM('融资租赁与资金缺口'!$M$5:$M$16)*$AD7,0))</x:f>
        <x:v>0</x:v>
      </x:c>
      <x:c r="BN21" s="28" t="n">
        <x:f>SUM(IF(BN$4=EDATE('核心假设'!$B$5,0-1+'核心假设'!$B$31),SUM('融资租赁与资金缺口'!$M$5:$M$16)*$M7,0),IF(BN$4=EDATE('核心假设'!$B$5,1-1+'核心假设'!$B$31),SUM('融资租赁与资金缺口'!$M$5:$M$16)*$N7,0),IF(BN$4=EDATE('核心假设'!$B$5,2-1+'核心假设'!$B$31),SUM('融资租赁与资金缺口'!$M$5:$M$16)*$O7,0),IF(BN$4=EDATE('核心假设'!$B$5,3-1+'核心假设'!$B$31),SUM('融资租赁与资金缺口'!$M$5:$M$16)*$P7,0),IF(BN$4=EDATE('核心假设'!$B$5,4-1+'核心假设'!$B$31),SUM('融资租赁与资金缺口'!$M$5:$M$16)*$Q7,0),IF(BN$4=EDATE('核心假设'!$B$5,5-1+'核心假设'!$B$31),SUM('融资租赁与资金缺口'!$M$5:$M$16)*$R7,0),IF(BN$4=EDATE('核心假设'!$B$5,6-1+'核心假设'!$B$31),SUM('融资租赁与资金缺口'!$M$5:$M$16)*$S7,0),IF(BN$4=EDATE('核心假设'!$B$5,7-1+'核心假设'!$B$31),SUM('融资租赁与资金缺口'!$M$5:$M$16)*$T7,0),IF(BN$4=EDATE('核心假设'!$B$5,8-1+'核心假设'!$B$31),SUM('融资租赁与资金缺口'!$M$5:$M$16)*$U7,0),IF(BN$4=EDATE('核心假设'!$B$5,9-1+'核心假设'!$B$31),SUM('融资租赁与资金缺口'!$M$5:$M$16)*$V7,0),IF(BN$4=EDATE('核心假设'!$B$5,10-1+'核心假设'!$B$31),SUM('融资租赁与资金缺口'!$M$5:$M$16)*$W7,0),IF(BN$4=EDATE('核心假设'!$B$5,11-1+'核心假设'!$B$31),SUM('融资租赁与资金缺口'!$M$5:$M$16)*$X7,0),IF(BN$4=EDATE('核心假设'!$B$5,12-1+'核心假设'!$B$31),SUM('融资租赁与资金缺口'!$M$5:$M$16)*$Y7,0),IF(BN$4=EDATE('核心假设'!$B$5,13-1+'核心假设'!$B$31),SUM('融资租赁与资金缺口'!$M$5:$M$16)*$Z7,0),IF(BN$4=EDATE('核心假设'!$B$5,14-1+'核心假设'!$B$31),SUM('融资租赁与资金缺口'!$M$5:$M$16)*$AA7,0),IF(BN$4=EDATE('核心假设'!$B$5,15-1+'核心假设'!$B$31),SUM('融资租赁与资金缺口'!$M$5:$M$16)*$AB7,0),IF(BN$4=EDATE('核心假设'!$B$5,16-1+'核心假设'!$B$31),SUM('融资租赁与资金缺口'!$M$5:$M$16)*$AC7,0),IF(BN$4=EDATE('核心假设'!$B$5,17-1+'核心假设'!$B$31),SUM('融资租赁与资金缺口'!$M$5:$M$16)*$AD7,0))</x:f>
        <x:v>0</x:v>
      </x:c>
      <x:c r="BO21" s="28" t="n">
        <x:f>SUM(IF(BO$4=EDATE('核心假设'!$B$5,0-1+'核心假设'!$B$31),SUM('融资租赁与资金缺口'!$M$5:$M$16)*$M7,0),IF(BO$4=EDATE('核心假设'!$B$5,1-1+'核心假设'!$B$31),SUM('融资租赁与资金缺口'!$M$5:$M$16)*$N7,0),IF(BO$4=EDATE('核心假设'!$B$5,2-1+'核心假设'!$B$31),SUM('融资租赁与资金缺口'!$M$5:$M$16)*$O7,0),IF(BO$4=EDATE('核心假设'!$B$5,3-1+'核心假设'!$B$31),SUM('融资租赁与资金缺口'!$M$5:$M$16)*$P7,0),IF(BO$4=EDATE('核心假设'!$B$5,4-1+'核心假设'!$B$31),SUM('融资租赁与资金缺口'!$M$5:$M$16)*$Q7,0),IF(BO$4=EDATE('核心假设'!$B$5,5-1+'核心假设'!$B$31),SUM('融资租赁与资金缺口'!$M$5:$M$16)*$R7,0),IF(BO$4=EDATE('核心假设'!$B$5,6-1+'核心假设'!$B$31),SUM('融资租赁与资金缺口'!$M$5:$M$16)*$S7,0),IF(BO$4=EDATE('核心假设'!$B$5,7-1+'核心假设'!$B$31),SUM('融资租赁与资金缺口'!$M$5:$M$16)*$T7,0),IF(BO$4=EDATE('核心假设'!$B$5,8-1+'核心假设'!$B$31),SUM('融资租赁与资金缺口'!$M$5:$M$16)*$U7,0),IF(BO$4=EDATE('核心假设'!$B$5,9-1+'核心假设'!$B$31),SUM('融资租赁与资金缺口'!$M$5:$M$16)*$V7,0),IF(BO$4=EDATE('核心假设'!$B$5,10-1+'核心假设'!$B$31),SUM('融资租赁与资金缺口'!$M$5:$M$16)*$W7,0),IF(BO$4=EDATE('核心假设'!$B$5,11-1+'核心假设'!$B$31),SUM('融资租赁与资金缺口'!$M$5:$M$16)*$X7,0),IF(BO$4=EDATE('核心假设'!$B$5,12-1+'核心假设'!$B$31),SUM('融资租赁与资金缺口'!$M$5:$M$16)*$Y7,0),IF(BO$4=EDATE('核心假设'!$B$5,13-1+'核心假设'!$B$31),SUM('融资租赁与资金缺口'!$M$5:$M$16)*$Z7,0),IF(BO$4=EDATE('核心假设'!$B$5,14-1+'核心假设'!$B$31),SUM('融资租赁与资金缺口'!$M$5:$M$16)*$AA7,0),IF(BO$4=EDATE('核心假设'!$B$5,15-1+'核心假设'!$B$31),SUM('融资租赁与资金缺口'!$M$5:$M$16)*$AB7,0),IF(BO$4=EDATE('核心假设'!$B$5,16-1+'核心假设'!$B$31),SUM('融资租赁与资金缺口'!$M$5:$M$16)*$AC7,0),IF(BO$4=EDATE('核心假设'!$B$5,17-1+'核心假设'!$B$31),SUM('融资租赁与资金缺口'!$M$5:$M$16)*$AD7,0))</x:f>
        <x:v>0</x:v>
      </x:c>
      <x:c r="BP21" s="28" t="n">
        <x:f>SUM(IF(BP$4=EDATE('核心假设'!$B$5,0-1+'核心假设'!$B$31),SUM('融资租赁与资金缺口'!$M$5:$M$16)*$M7,0),IF(BP$4=EDATE('核心假设'!$B$5,1-1+'核心假设'!$B$31),SUM('融资租赁与资金缺口'!$M$5:$M$16)*$N7,0),IF(BP$4=EDATE('核心假设'!$B$5,2-1+'核心假设'!$B$31),SUM('融资租赁与资金缺口'!$M$5:$M$16)*$O7,0),IF(BP$4=EDATE('核心假设'!$B$5,3-1+'核心假设'!$B$31),SUM('融资租赁与资金缺口'!$M$5:$M$16)*$P7,0),IF(BP$4=EDATE('核心假设'!$B$5,4-1+'核心假设'!$B$31),SUM('融资租赁与资金缺口'!$M$5:$M$16)*$Q7,0),IF(BP$4=EDATE('核心假设'!$B$5,5-1+'核心假设'!$B$31),SUM('融资租赁与资金缺口'!$M$5:$M$16)*$R7,0),IF(BP$4=EDATE('核心假设'!$B$5,6-1+'核心假设'!$B$31),SUM('融资租赁与资金缺口'!$M$5:$M$16)*$S7,0),IF(BP$4=EDATE('核心假设'!$B$5,7-1+'核心假设'!$B$31),SUM('融资租赁与资金缺口'!$M$5:$M$16)*$T7,0),IF(BP$4=EDATE('核心假设'!$B$5,8-1+'核心假设'!$B$31),SUM('融资租赁与资金缺口'!$M$5:$M$16)*$U7,0),IF(BP$4=EDATE('核心假设'!$B$5,9-1+'核心假设'!$B$31),SUM('融资租赁与资金缺口'!$M$5:$M$16)*$V7,0),IF(BP$4=EDATE('核心假设'!$B$5,10-1+'核心假设'!$B$31),SUM('融资租赁与资金缺口'!$M$5:$M$16)*$W7,0),IF(BP$4=EDATE('核心假设'!$B$5,11-1+'核心假设'!$B$31),SUM('融资租赁与资金缺口'!$M$5:$M$16)*$X7,0),IF(BP$4=EDATE('核心假设'!$B$5,12-1+'核心假设'!$B$31),SUM('融资租赁与资金缺口'!$M$5:$M$16)*$Y7,0),IF(BP$4=EDATE('核心假设'!$B$5,13-1+'核心假设'!$B$31),SUM('融资租赁与资金缺口'!$M$5:$M$16)*$Z7,0),IF(BP$4=EDATE('核心假设'!$B$5,14-1+'核心假设'!$B$31),SUM('融资租赁与资金缺口'!$M$5:$M$16)*$AA7,0),IF(BP$4=EDATE('核心假设'!$B$5,15-1+'核心假设'!$B$31),SUM('融资租赁与资金缺口'!$M$5:$M$16)*$AB7,0),IF(BP$4=EDATE('核心假设'!$B$5,16-1+'核心假设'!$B$31),SUM('融资租赁与资金缺口'!$M$5:$M$16)*$AC7,0),IF(BP$4=EDATE('核心假设'!$B$5,17-1+'核心假设'!$B$31),SUM('融资租赁与资金缺口'!$M$5:$M$16)*$AD7,0))</x:f>
        <x:v>0</x:v>
      </x:c>
      <x:c r="BQ21" s="28" t="n">
        <x:f>SUM(IF(BQ$4=EDATE('核心假设'!$B$5,0-1+'核心假设'!$B$31),SUM('融资租赁与资金缺口'!$M$5:$M$16)*$M7,0),IF(BQ$4=EDATE('核心假设'!$B$5,1-1+'核心假设'!$B$31),SUM('融资租赁与资金缺口'!$M$5:$M$16)*$N7,0),IF(BQ$4=EDATE('核心假设'!$B$5,2-1+'核心假设'!$B$31),SUM('融资租赁与资金缺口'!$M$5:$M$16)*$O7,0),IF(BQ$4=EDATE('核心假设'!$B$5,3-1+'核心假设'!$B$31),SUM('融资租赁与资金缺口'!$M$5:$M$16)*$P7,0),IF(BQ$4=EDATE('核心假设'!$B$5,4-1+'核心假设'!$B$31),SUM('融资租赁与资金缺口'!$M$5:$M$16)*$Q7,0),IF(BQ$4=EDATE('核心假设'!$B$5,5-1+'核心假设'!$B$31),SUM('融资租赁与资金缺口'!$M$5:$M$16)*$R7,0),IF(BQ$4=EDATE('核心假设'!$B$5,6-1+'核心假设'!$B$31),SUM('融资租赁与资金缺口'!$M$5:$M$16)*$S7,0),IF(BQ$4=EDATE('核心假设'!$B$5,7-1+'核心假设'!$B$31),SUM('融资租赁与资金缺口'!$M$5:$M$16)*$T7,0),IF(BQ$4=EDATE('核心假设'!$B$5,8-1+'核心假设'!$B$31),SUM('融资租赁与资金缺口'!$M$5:$M$16)*$U7,0),IF(BQ$4=EDATE('核心假设'!$B$5,9-1+'核心假设'!$B$31),SUM('融资租赁与资金缺口'!$M$5:$M$16)*$V7,0),IF(BQ$4=EDATE('核心假设'!$B$5,10-1+'核心假设'!$B$31),SUM('融资租赁与资金缺口'!$M$5:$M$16)*$W7,0),IF(BQ$4=EDATE('核心假设'!$B$5,11-1+'核心假设'!$B$31),SUM('融资租赁与资金缺口'!$M$5:$M$16)*$X7,0),IF(BQ$4=EDATE('核心假设'!$B$5,12-1+'核心假设'!$B$31),SUM('融资租赁与资金缺口'!$M$5:$M$16)*$Y7,0),IF(BQ$4=EDATE('核心假设'!$B$5,13-1+'核心假设'!$B$31),SUM('融资租赁与资金缺口'!$M$5:$M$16)*$Z7,0),IF(BQ$4=EDATE('核心假设'!$B$5,14-1+'核心假设'!$B$31),SUM('融资租赁与资金缺口'!$M$5:$M$16)*$AA7,0),IF(BQ$4=EDATE('核心假设'!$B$5,15-1+'核心假设'!$B$31),SUM('融资租赁与资金缺口'!$M$5:$M$16)*$AB7,0),IF(BQ$4=EDATE('核心假设'!$B$5,16-1+'核心假设'!$B$31),SUM('融资租赁与资金缺口'!$M$5:$M$16)*$AC7,0),IF(BQ$4=EDATE('核心假设'!$B$5,17-1+'核心假设'!$B$31),SUM('融资租赁与资金缺口'!$M$5:$M$16)*$AD7,0))</x:f>
        <x:v>0</x:v>
      </x:c>
      <x:c r="BR21" s="28" t="n">
        <x:f>SUM(IF(BR$4=EDATE('核心假设'!$B$5,0-1+'核心假设'!$B$31),SUM('融资租赁与资金缺口'!$M$5:$M$16)*$M7,0),IF(BR$4=EDATE('核心假设'!$B$5,1-1+'核心假设'!$B$31),SUM('融资租赁与资金缺口'!$M$5:$M$16)*$N7,0),IF(BR$4=EDATE('核心假设'!$B$5,2-1+'核心假设'!$B$31),SUM('融资租赁与资金缺口'!$M$5:$M$16)*$O7,0),IF(BR$4=EDATE('核心假设'!$B$5,3-1+'核心假设'!$B$31),SUM('融资租赁与资金缺口'!$M$5:$M$16)*$P7,0),IF(BR$4=EDATE('核心假设'!$B$5,4-1+'核心假设'!$B$31),SUM('融资租赁与资金缺口'!$M$5:$M$16)*$Q7,0),IF(BR$4=EDATE('核心假设'!$B$5,5-1+'核心假设'!$B$31),SUM('融资租赁与资金缺口'!$M$5:$M$16)*$R7,0),IF(BR$4=EDATE('核心假设'!$B$5,6-1+'核心假设'!$B$31),SUM('融资租赁与资金缺口'!$M$5:$M$16)*$S7,0),IF(BR$4=EDATE('核心假设'!$B$5,7-1+'核心假设'!$B$31),SUM('融资租赁与资金缺口'!$M$5:$M$16)*$T7,0),IF(BR$4=EDATE('核心假设'!$B$5,8-1+'核心假设'!$B$31),SUM('融资租赁与资金缺口'!$M$5:$M$16)*$U7,0),IF(BR$4=EDATE('核心假设'!$B$5,9-1+'核心假设'!$B$31),SUM('融资租赁与资金缺口'!$M$5:$M$16)*$V7,0),IF(BR$4=EDATE('核心假设'!$B$5,10-1+'核心假设'!$B$31),SUM('融资租赁与资金缺口'!$M$5:$M$16)*$W7,0),IF(BR$4=EDATE('核心假设'!$B$5,11-1+'核心假设'!$B$31),SUM('融资租赁与资金缺口'!$M$5:$M$16)*$X7,0),IF(BR$4=EDATE('核心假设'!$B$5,12-1+'核心假设'!$B$31),SUM('融资租赁与资金缺口'!$M$5:$M$16)*$Y7,0),IF(BR$4=EDATE('核心假设'!$B$5,13-1+'核心假设'!$B$31),SUM('融资租赁与资金缺口'!$M$5:$M$16)*$Z7,0),IF(BR$4=EDATE('核心假设'!$B$5,14-1+'核心假设'!$B$31),SUM('融资租赁与资金缺口'!$M$5:$M$16)*$AA7,0),IF(BR$4=EDATE('核心假设'!$B$5,15-1+'核心假设'!$B$31),SUM('融资租赁与资金缺口'!$M$5:$M$16)*$AB7,0),IF(BR$4=EDATE('核心假设'!$B$5,16-1+'核心假设'!$B$31),SUM('融资租赁与资金缺口'!$M$5:$M$16)*$AC7,0),IF(BR$4=EDATE('核心假设'!$B$5,17-1+'核心假设'!$B$31),SUM('融资租赁与资金缺口'!$M$5:$M$16)*$AD7,0))</x:f>
        <x:v>0</x:v>
      </x:c>
      <x:c r="BS21" s="28" t="n">
        <x:f>SUM(IF(BS$4=EDATE('核心假设'!$B$5,0-1+'核心假设'!$B$31),SUM('融资租赁与资金缺口'!$M$5:$M$16)*$M7,0),IF(BS$4=EDATE('核心假设'!$B$5,1-1+'核心假设'!$B$31),SUM('融资租赁与资金缺口'!$M$5:$M$16)*$N7,0),IF(BS$4=EDATE('核心假设'!$B$5,2-1+'核心假设'!$B$31),SUM('融资租赁与资金缺口'!$M$5:$M$16)*$O7,0),IF(BS$4=EDATE('核心假设'!$B$5,3-1+'核心假设'!$B$31),SUM('融资租赁与资金缺口'!$M$5:$M$16)*$P7,0),IF(BS$4=EDATE('核心假设'!$B$5,4-1+'核心假设'!$B$31),SUM('融资租赁与资金缺口'!$M$5:$M$16)*$Q7,0),IF(BS$4=EDATE('核心假设'!$B$5,5-1+'核心假设'!$B$31),SUM('融资租赁与资金缺口'!$M$5:$M$16)*$R7,0),IF(BS$4=EDATE('核心假设'!$B$5,6-1+'核心假设'!$B$31),SUM('融资租赁与资金缺口'!$M$5:$M$16)*$S7,0),IF(BS$4=EDATE('核心假设'!$B$5,7-1+'核心假设'!$B$31),SUM('融资租赁与资金缺口'!$M$5:$M$16)*$T7,0),IF(BS$4=EDATE('核心假设'!$B$5,8-1+'核心假设'!$B$31),SUM('融资租赁与资金缺口'!$M$5:$M$16)*$U7,0),IF(BS$4=EDATE('核心假设'!$B$5,9-1+'核心假设'!$B$31),SUM('融资租赁与资金缺口'!$M$5:$M$16)*$V7,0),IF(BS$4=EDATE('核心假设'!$B$5,10-1+'核心假设'!$B$31),SUM('融资租赁与资金缺口'!$M$5:$M$16)*$W7,0),IF(BS$4=EDATE('核心假设'!$B$5,11-1+'核心假设'!$B$31),SUM('融资租赁与资金缺口'!$M$5:$M$16)*$X7,0),IF(BS$4=EDATE('核心假设'!$B$5,12-1+'核心假设'!$B$31),SUM('融资租赁与资金缺口'!$M$5:$M$16)*$Y7,0),IF(BS$4=EDATE('核心假设'!$B$5,13-1+'核心假设'!$B$31),SUM('融资租赁与资金缺口'!$M$5:$M$16)*$Z7,0),IF(BS$4=EDATE('核心假设'!$B$5,14-1+'核心假设'!$B$31),SUM('融资租赁与资金缺口'!$M$5:$M$16)*$AA7,0),IF(BS$4=EDATE('核心假设'!$B$5,15-1+'核心假设'!$B$31),SUM('融资租赁与资金缺口'!$M$5:$M$16)*$AB7,0),IF(BS$4=EDATE('核心假设'!$B$5,16-1+'核心假设'!$B$31),SUM('融资租赁与资金缺口'!$M$5:$M$16)*$AC7,0),IF(BS$4=EDATE('核心假设'!$B$5,17-1+'核心假设'!$B$31),SUM('融资租赁与资金缺口'!$M$5:$M$16)*$AD7,0))</x:f>
        <x:v>0</x:v>
      </x:c>
      <x:c r="BT21" s="28" t="n">
        <x:f>SUM(IF(BT$4=EDATE('核心假设'!$B$5,0-1+'核心假设'!$B$31),SUM('融资租赁与资金缺口'!$M$5:$M$16)*$M7,0),IF(BT$4=EDATE('核心假设'!$B$5,1-1+'核心假设'!$B$31),SUM('融资租赁与资金缺口'!$M$5:$M$16)*$N7,0),IF(BT$4=EDATE('核心假设'!$B$5,2-1+'核心假设'!$B$31),SUM('融资租赁与资金缺口'!$M$5:$M$16)*$O7,0),IF(BT$4=EDATE('核心假设'!$B$5,3-1+'核心假设'!$B$31),SUM('融资租赁与资金缺口'!$M$5:$M$16)*$P7,0),IF(BT$4=EDATE('核心假设'!$B$5,4-1+'核心假设'!$B$31),SUM('融资租赁与资金缺口'!$M$5:$M$16)*$Q7,0),IF(BT$4=EDATE('核心假设'!$B$5,5-1+'核心假设'!$B$31),SUM('融资租赁与资金缺口'!$M$5:$M$16)*$R7,0),IF(BT$4=EDATE('核心假设'!$B$5,6-1+'核心假设'!$B$31),SUM('融资租赁与资金缺口'!$M$5:$M$16)*$S7,0),IF(BT$4=EDATE('核心假设'!$B$5,7-1+'核心假设'!$B$31),SUM('融资租赁与资金缺口'!$M$5:$M$16)*$T7,0),IF(BT$4=EDATE('核心假设'!$B$5,8-1+'核心假设'!$B$31),SUM('融资租赁与资金缺口'!$M$5:$M$16)*$U7,0),IF(BT$4=EDATE('核心假设'!$B$5,9-1+'核心假设'!$B$31),SUM('融资租赁与资金缺口'!$M$5:$M$16)*$V7,0),IF(BT$4=EDATE('核心假设'!$B$5,10-1+'核心假设'!$B$31),SUM('融资租赁与资金缺口'!$M$5:$M$16)*$W7,0),IF(BT$4=EDATE('核心假设'!$B$5,11-1+'核心假设'!$B$31),SUM('融资租赁与资金缺口'!$M$5:$M$16)*$X7,0),IF(BT$4=EDATE('核心假设'!$B$5,12-1+'核心假设'!$B$31),SUM('融资租赁与资金缺口'!$M$5:$M$16)*$Y7,0),IF(BT$4=EDATE('核心假设'!$B$5,13-1+'核心假设'!$B$31),SUM('融资租赁与资金缺口'!$M$5:$M$16)*$Z7,0),IF(BT$4=EDATE('核心假设'!$B$5,14-1+'核心假设'!$B$31),SUM('融资租赁与资金缺口'!$M$5:$M$16)*$AA7,0),IF(BT$4=EDATE('核心假设'!$B$5,15-1+'核心假设'!$B$31),SUM('融资租赁与资金缺口'!$M$5:$M$16)*$AB7,0),IF(BT$4=EDATE('核心假设'!$B$5,16-1+'核心假设'!$B$31),SUM('融资租赁与资金缺口'!$M$5:$M$16)*$AC7,0),IF(BT$4=EDATE('核心假设'!$B$5,17-1+'核心假设'!$B$31),SUM('融资租赁与资金缺口'!$M$5:$M$16)*$AD7,0))</x:f>
        <x:v>0</x:v>
      </x:c>
      <x:c r="BU21" s="28" t="n">
        <x:f>SUM(IF(BU$4=EDATE('核心假设'!$B$5,0-1+'核心假设'!$B$31),SUM('融资租赁与资金缺口'!$M$5:$M$16)*$M7,0),IF(BU$4=EDATE('核心假设'!$B$5,1-1+'核心假设'!$B$31),SUM('融资租赁与资金缺口'!$M$5:$M$16)*$N7,0),IF(BU$4=EDATE('核心假设'!$B$5,2-1+'核心假设'!$B$31),SUM('融资租赁与资金缺口'!$M$5:$M$16)*$O7,0),IF(BU$4=EDATE('核心假设'!$B$5,3-1+'核心假设'!$B$31),SUM('融资租赁与资金缺口'!$M$5:$M$16)*$P7,0),IF(BU$4=EDATE('核心假设'!$B$5,4-1+'核心假设'!$B$31),SUM('融资租赁与资金缺口'!$M$5:$M$16)*$Q7,0),IF(BU$4=EDATE('核心假设'!$B$5,5-1+'核心假设'!$B$31),SUM('融资租赁与资金缺口'!$M$5:$M$16)*$R7,0),IF(BU$4=EDATE('核心假设'!$B$5,6-1+'核心假设'!$B$31),SUM('融资租赁与资金缺口'!$M$5:$M$16)*$S7,0),IF(BU$4=EDATE('核心假设'!$B$5,7-1+'核心假设'!$B$31),SUM('融资租赁与资金缺口'!$M$5:$M$16)*$T7,0),IF(BU$4=EDATE('核心假设'!$B$5,8-1+'核心假设'!$B$31),SUM('融资租赁与资金缺口'!$M$5:$M$16)*$U7,0),IF(BU$4=EDATE('核心假设'!$B$5,9-1+'核心假设'!$B$31),SUM('融资租赁与资金缺口'!$M$5:$M$16)*$V7,0),IF(BU$4=EDATE('核心假设'!$B$5,10-1+'核心假设'!$B$31),SUM('融资租赁与资金缺口'!$M$5:$M$16)*$W7,0),IF(BU$4=EDATE('核心假设'!$B$5,11-1+'核心假设'!$B$31),SUM('融资租赁与资金缺口'!$M$5:$M$16)*$X7,0),IF(BU$4=EDATE('核心假设'!$B$5,12-1+'核心假设'!$B$31),SUM('融资租赁与资金缺口'!$M$5:$M$16)*$Y7,0),IF(BU$4=EDATE('核心假设'!$B$5,13-1+'核心假设'!$B$31),SUM('融资租赁与资金缺口'!$M$5:$M$16)*$Z7,0),IF(BU$4=EDATE('核心假设'!$B$5,14-1+'核心假设'!$B$31),SUM('融资租赁与资金缺口'!$M$5:$M$16)*$AA7,0),IF(BU$4=EDATE('核心假设'!$B$5,15-1+'核心假设'!$B$31),SUM('融资租赁与资金缺口'!$M$5:$M$16)*$AB7,0),IF(BU$4=EDATE('核心假设'!$B$5,16-1+'核心假设'!$B$31),SUM('融资租赁与资金缺口'!$M$5:$M$16)*$AC7,0),IF(BU$4=EDATE('核心假设'!$B$5,17-1+'核心假设'!$B$31),SUM('融资租赁与资金缺口'!$M$5:$M$16)*$AD7,0))</x:f>
        <x:v>0</x:v>
      </x:c>
      <x:c r="BV21" s="28" t="n">
        <x:f>SUM(IF(BV$4=EDATE('核心假设'!$B$5,0-1+'核心假设'!$B$31),SUM('融资租赁与资金缺口'!$M$5:$M$16)*$M7,0),IF(BV$4=EDATE('核心假设'!$B$5,1-1+'核心假设'!$B$31),SUM('融资租赁与资金缺口'!$M$5:$M$16)*$N7,0),IF(BV$4=EDATE('核心假设'!$B$5,2-1+'核心假设'!$B$31),SUM('融资租赁与资金缺口'!$M$5:$M$16)*$O7,0),IF(BV$4=EDATE('核心假设'!$B$5,3-1+'核心假设'!$B$31),SUM('融资租赁与资金缺口'!$M$5:$M$16)*$P7,0),IF(BV$4=EDATE('核心假设'!$B$5,4-1+'核心假设'!$B$31),SUM('融资租赁与资金缺口'!$M$5:$M$16)*$Q7,0),IF(BV$4=EDATE('核心假设'!$B$5,5-1+'核心假设'!$B$31),SUM('融资租赁与资金缺口'!$M$5:$M$16)*$R7,0),IF(BV$4=EDATE('核心假设'!$B$5,6-1+'核心假设'!$B$31),SUM('融资租赁与资金缺口'!$M$5:$M$16)*$S7,0),IF(BV$4=EDATE('核心假设'!$B$5,7-1+'核心假设'!$B$31),SUM('融资租赁与资金缺口'!$M$5:$M$16)*$T7,0),IF(BV$4=EDATE('核心假设'!$B$5,8-1+'核心假设'!$B$31),SUM('融资租赁与资金缺口'!$M$5:$M$16)*$U7,0),IF(BV$4=EDATE('核心假设'!$B$5,9-1+'核心假设'!$B$31),SUM('融资租赁与资金缺口'!$M$5:$M$16)*$V7,0),IF(BV$4=EDATE('核心假设'!$B$5,10-1+'核心假设'!$B$31),SUM('融资租赁与资金缺口'!$M$5:$M$16)*$W7,0),IF(BV$4=EDATE('核心假设'!$B$5,11-1+'核心假设'!$B$31),SUM('融资租赁与资金缺口'!$M$5:$M$16)*$X7,0),IF(BV$4=EDATE('核心假设'!$B$5,12-1+'核心假设'!$B$31),SUM('融资租赁与资金缺口'!$M$5:$M$16)*$Y7,0),IF(BV$4=EDATE('核心假设'!$B$5,13-1+'核心假设'!$B$31),SUM('融资租赁与资金缺口'!$M$5:$M$16)*$Z7,0),IF(BV$4=EDATE('核心假设'!$B$5,14-1+'核心假设'!$B$31),SUM('融资租赁与资金缺口'!$M$5:$M$16)*$AA7,0),IF(BV$4=EDATE('核心假设'!$B$5,15-1+'核心假设'!$B$31),SUM('融资租赁与资金缺口'!$M$5:$M$16)*$AB7,0),IF(BV$4=EDATE('核心假设'!$B$5,16-1+'核心假设'!$B$31),SUM('融资租赁与资金缺口'!$M$5:$M$16)*$AC7,0),IF(BV$4=EDATE('核心假设'!$B$5,17-1+'核心假设'!$B$31),SUM('融资租赁与资金缺口'!$M$5:$M$16)*$AD7,0))</x:f>
        <x:v>0</x:v>
      </x:c>
      <x:c r="BW21" s="28" t="n">
        <x:f>SUM(IF(BW$4=EDATE('核心假设'!$B$5,0-1+'核心假设'!$B$31),SUM('融资租赁与资金缺口'!$M$5:$M$16)*$M7,0),IF(BW$4=EDATE('核心假设'!$B$5,1-1+'核心假设'!$B$31),SUM('融资租赁与资金缺口'!$M$5:$M$16)*$N7,0),IF(BW$4=EDATE('核心假设'!$B$5,2-1+'核心假设'!$B$31),SUM('融资租赁与资金缺口'!$M$5:$M$16)*$O7,0),IF(BW$4=EDATE('核心假设'!$B$5,3-1+'核心假设'!$B$31),SUM('融资租赁与资金缺口'!$M$5:$M$16)*$P7,0),IF(BW$4=EDATE('核心假设'!$B$5,4-1+'核心假设'!$B$31),SUM('融资租赁与资金缺口'!$M$5:$M$16)*$Q7,0),IF(BW$4=EDATE('核心假设'!$B$5,5-1+'核心假设'!$B$31),SUM('融资租赁与资金缺口'!$M$5:$M$16)*$R7,0),IF(BW$4=EDATE('核心假设'!$B$5,6-1+'核心假设'!$B$31),SUM('融资租赁与资金缺口'!$M$5:$M$16)*$S7,0),IF(BW$4=EDATE('核心假设'!$B$5,7-1+'核心假设'!$B$31),SUM('融资租赁与资金缺口'!$M$5:$M$16)*$T7,0),IF(BW$4=EDATE('核心假设'!$B$5,8-1+'核心假设'!$B$31),SUM('融资租赁与资金缺口'!$M$5:$M$16)*$U7,0),IF(BW$4=EDATE('核心假设'!$B$5,9-1+'核心假设'!$B$31),SUM('融资租赁与资金缺口'!$M$5:$M$16)*$V7,0),IF(BW$4=EDATE('核心假设'!$B$5,10-1+'核心假设'!$B$31),SUM('融资租赁与资金缺口'!$M$5:$M$16)*$W7,0),IF(BW$4=EDATE('核心假设'!$B$5,11-1+'核心假设'!$B$31),SUM('融资租赁与资金缺口'!$M$5:$M$16)*$X7,0),IF(BW$4=EDATE('核心假设'!$B$5,12-1+'核心假设'!$B$31),SUM('融资租赁与资金缺口'!$M$5:$M$16)*$Y7,0),IF(BW$4=EDATE('核心假设'!$B$5,13-1+'核心假设'!$B$31),SUM('融资租赁与资金缺口'!$M$5:$M$16)*$Z7,0),IF(BW$4=EDATE('核心假设'!$B$5,14-1+'核心假设'!$B$31),SUM('融资租赁与资金缺口'!$M$5:$M$16)*$AA7,0),IF(BW$4=EDATE('核心假设'!$B$5,15-1+'核心假设'!$B$31),SUM('融资租赁与资金缺口'!$M$5:$M$16)*$AB7,0),IF(BW$4=EDATE('核心假设'!$B$5,16-1+'核心假设'!$B$31),SUM('融资租赁与资金缺口'!$M$5:$M$16)*$AC7,0),IF(BW$4=EDATE('核心假设'!$B$5,17-1+'核心假设'!$B$31),SUM('融资租赁与资金缺口'!$M$5:$M$16)*$AD7,0))</x:f>
        <x:v>0</x:v>
      </x:c>
      <x:c r="BX21" s="28" t="n">
        <x:f>SUM(IF(BX$4=EDATE('核心假设'!$B$5,0-1+'核心假设'!$B$31),SUM('融资租赁与资金缺口'!$M$5:$M$16)*$M7,0),IF(BX$4=EDATE('核心假设'!$B$5,1-1+'核心假设'!$B$31),SUM('融资租赁与资金缺口'!$M$5:$M$16)*$N7,0),IF(BX$4=EDATE('核心假设'!$B$5,2-1+'核心假设'!$B$31),SUM('融资租赁与资金缺口'!$M$5:$M$16)*$O7,0),IF(BX$4=EDATE('核心假设'!$B$5,3-1+'核心假设'!$B$31),SUM('融资租赁与资金缺口'!$M$5:$M$16)*$P7,0),IF(BX$4=EDATE('核心假设'!$B$5,4-1+'核心假设'!$B$31),SUM('融资租赁与资金缺口'!$M$5:$M$16)*$Q7,0),IF(BX$4=EDATE('核心假设'!$B$5,5-1+'核心假设'!$B$31),SUM('融资租赁与资金缺口'!$M$5:$M$16)*$R7,0),IF(BX$4=EDATE('核心假设'!$B$5,6-1+'核心假设'!$B$31),SUM('融资租赁与资金缺口'!$M$5:$M$16)*$S7,0),IF(BX$4=EDATE('核心假设'!$B$5,7-1+'核心假设'!$B$31),SUM('融资租赁与资金缺口'!$M$5:$M$16)*$T7,0),IF(BX$4=EDATE('核心假设'!$B$5,8-1+'核心假设'!$B$31),SUM('融资租赁与资金缺口'!$M$5:$M$16)*$U7,0),IF(BX$4=EDATE('核心假设'!$B$5,9-1+'核心假设'!$B$31),SUM('融资租赁与资金缺口'!$M$5:$M$16)*$V7,0),IF(BX$4=EDATE('核心假设'!$B$5,10-1+'核心假设'!$B$31),SUM('融资租赁与资金缺口'!$M$5:$M$16)*$W7,0),IF(BX$4=EDATE('核心假设'!$B$5,11-1+'核心假设'!$B$31),SUM('融资租赁与资金缺口'!$M$5:$M$16)*$X7,0),IF(BX$4=EDATE('核心假设'!$B$5,12-1+'核心假设'!$B$31),SUM('融资租赁与资金缺口'!$M$5:$M$16)*$Y7,0),IF(BX$4=EDATE('核心假设'!$B$5,13-1+'核心假设'!$B$31),SUM('融资租赁与资金缺口'!$M$5:$M$16)*$Z7,0),IF(BX$4=EDATE('核心假设'!$B$5,14-1+'核心假设'!$B$31),SUM('融资租赁与资金缺口'!$M$5:$M$16)*$AA7,0),IF(BX$4=EDATE('核心假设'!$B$5,15-1+'核心假设'!$B$31),SUM('融资租赁与资金缺口'!$M$5:$M$16)*$AB7,0),IF(BX$4=EDATE('核心假设'!$B$5,16-1+'核心假设'!$B$31),SUM('融资租赁与资金缺口'!$M$5:$M$16)*$AC7,0),IF(BX$4=EDATE('核心假设'!$B$5,17-1+'核心假设'!$B$31),SUM('融资租赁与资金缺口'!$M$5:$M$16)*$AD7,0))</x:f>
        <x:v>0</x:v>
      </x:c>
      <x:c r="BY21" s="28" t="n">
        <x:f>SUM(IF(BY$4=EDATE('核心假设'!$B$5,0-1+'核心假设'!$B$31),SUM('融资租赁与资金缺口'!$M$5:$M$16)*$M7,0),IF(BY$4=EDATE('核心假设'!$B$5,1-1+'核心假设'!$B$31),SUM('融资租赁与资金缺口'!$M$5:$M$16)*$N7,0),IF(BY$4=EDATE('核心假设'!$B$5,2-1+'核心假设'!$B$31),SUM('融资租赁与资金缺口'!$M$5:$M$16)*$O7,0),IF(BY$4=EDATE('核心假设'!$B$5,3-1+'核心假设'!$B$31),SUM('融资租赁与资金缺口'!$M$5:$M$16)*$P7,0),IF(BY$4=EDATE('核心假设'!$B$5,4-1+'核心假设'!$B$31),SUM('融资租赁与资金缺口'!$M$5:$M$16)*$Q7,0),IF(BY$4=EDATE('核心假设'!$B$5,5-1+'核心假设'!$B$31),SUM('融资租赁与资金缺口'!$M$5:$M$16)*$R7,0),IF(BY$4=EDATE('核心假设'!$B$5,6-1+'核心假设'!$B$31),SUM('融资租赁与资金缺口'!$M$5:$M$16)*$S7,0),IF(BY$4=EDATE('核心假设'!$B$5,7-1+'核心假设'!$B$31),SUM('融资租赁与资金缺口'!$M$5:$M$16)*$T7,0),IF(BY$4=EDATE('核心假设'!$B$5,8-1+'核心假设'!$B$31),SUM('融资租赁与资金缺口'!$M$5:$M$16)*$U7,0),IF(BY$4=EDATE('核心假设'!$B$5,9-1+'核心假设'!$B$31),SUM('融资租赁与资金缺口'!$M$5:$M$16)*$V7,0),IF(BY$4=EDATE('核心假设'!$B$5,10-1+'核心假设'!$B$31),SUM('融资租赁与资金缺口'!$M$5:$M$16)*$W7,0),IF(BY$4=EDATE('核心假设'!$B$5,11-1+'核心假设'!$B$31),SUM('融资租赁与资金缺口'!$M$5:$M$16)*$X7,0),IF(BY$4=EDATE('核心假设'!$B$5,12-1+'核心假设'!$B$31),SUM('融资租赁与资金缺口'!$M$5:$M$16)*$Y7,0),IF(BY$4=EDATE('核心假设'!$B$5,13-1+'核心假设'!$B$31),SUM('融资租赁与资金缺口'!$M$5:$M$16)*$Z7,0),IF(BY$4=EDATE('核心假设'!$B$5,14-1+'核心假设'!$B$31),SUM('融资租赁与资金缺口'!$M$5:$M$16)*$AA7,0),IF(BY$4=EDATE('核心假设'!$B$5,15-1+'核心假设'!$B$31),SUM('融资租赁与资金缺口'!$M$5:$M$16)*$AB7,0),IF(BY$4=EDATE('核心假设'!$B$5,16-1+'核心假设'!$B$31),SUM('融资租赁与资金缺口'!$M$5:$M$16)*$AC7,0),IF(BY$4=EDATE('核心假设'!$B$5,17-1+'核心假设'!$B$31),SUM('融资租赁与资金缺口'!$M$5:$M$16)*$AD7,0))</x:f>
        <x:v>0</x:v>
      </x:c>
      <x:c r="BZ21" s="28" t="n">
        <x:f>SUM(IF(BZ$4=EDATE('核心假设'!$B$5,0-1+'核心假设'!$B$31),SUM('融资租赁与资金缺口'!$M$5:$M$16)*$M7,0),IF(BZ$4=EDATE('核心假设'!$B$5,1-1+'核心假设'!$B$31),SUM('融资租赁与资金缺口'!$M$5:$M$16)*$N7,0),IF(BZ$4=EDATE('核心假设'!$B$5,2-1+'核心假设'!$B$31),SUM('融资租赁与资金缺口'!$M$5:$M$16)*$O7,0),IF(BZ$4=EDATE('核心假设'!$B$5,3-1+'核心假设'!$B$31),SUM('融资租赁与资金缺口'!$M$5:$M$16)*$P7,0),IF(BZ$4=EDATE('核心假设'!$B$5,4-1+'核心假设'!$B$31),SUM('融资租赁与资金缺口'!$M$5:$M$16)*$Q7,0),IF(BZ$4=EDATE('核心假设'!$B$5,5-1+'核心假设'!$B$31),SUM('融资租赁与资金缺口'!$M$5:$M$16)*$R7,0),IF(BZ$4=EDATE('核心假设'!$B$5,6-1+'核心假设'!$B$31),SUM('融资租赁与资金缺口'!$M$5:$M$16)*$S7,0),IF(BZ$4=EDATE('核心假设'!$B$5,7-1+'核心假设'!$B$31),SUM('融资租赁与资金缺口'!$M$5:$M$16)*$T7,0),IF(BZ$4=EDATE('核心假设'!$B$5,8-1+'核心假设'!$B$31),SUM('融资租赁与资金缺口'!$M$5:$M$16)*$U7,0),IF(BZ$4=EDATE('核心假设'!$B$5,9-1+'核心假设'!$B$31),SUM('融资租赁与资金缺口'!$M$5:$M$16)*$V7,0),IF(BZ$4=EDATE('核心假设'!$B$5,10-1+'核心假设'!$B$31),SUM('融资租赁与资金缺口'!$M$5:$M$16)*$W7,0),IF(BZ$4=EDATE('核心假设'!$B$5,11-1+'核心假设'!$B$31),SUM('融资租赁与资金缺口'!$M$5:$M$16)*$X7,0),IF(BZ$4=EDATE('核心假设'!$B$5,12-1+'核心假设'!$B$31),SUM('融资租赁与资金缺口'!$M$5:$M$16)*$Y7,0),IF(BZ$4=EDATE('核心假设'!$B$5,13-1+'核心假设'!$B$31),SUM('融资租赁与资金缺口'!$M$5:$M$16)*$Z7,0),IF(BZ$4=EDATE('核心假设'!$B$5,14-1+'核心假设'!$B$31),SUM('融资租赁与资金缺口'!$M$5:$M$16)*$AA7,0),IF(BZ$4=EDATE('核心假设'!$B$5,15-1+'核心假设'!$B$31),SUM('融资租赁与资金缺口'!$M$5:$M$16)*$AB7,0),IF(BZ$4=EDATE('核心假设'!$B$5,16-1+'核心假设'!$B$31),SUM('融资租赁与资金缺口'!$M$5:$M$16)*$AC7,0),IF(BZ$4=EDATE('核心假设'!$B$5,17-1+'核心假设'!$B$31),SUM('融资租赁与资金缺口'!$M$5:$M$16)*$AD7,0))</x:f>
        <x:v>0</x:v>
      </x:c>
      <x:c r="CA21" s="28" t="n">
        <x:f>SUM(IF(CA$4=EDATE('核心假设'!$B$5,0-1+'核心假设'!$B$31),SUM('融资租赁与资金缺口'!$M$5:$M$16)*$M7,0),IF(CA$4=EDATE('核心假设'!$B$5,1-1+'核心假设'!$B$31),SUM('融资租赁与资金缺口'!$M$5:$M$16)*$N7,0),IF(CA$4=EDATE('核心假设'!$B$5,2-1+'核心假设'!$B$31),SUM('融资租赁与资金缺口'!$M$5:$M$16)*$O7,0),IF(CA$4=EDATE('核心假设'!$B$5,3-1+'核心假设'!$B$31),SUM('融资租赁与资金缺口'!$M$5:$M$16)*$P7,0),IF(CA$4=EDATE('核心假设'!$B$5,4-1+'核心假设'!$B$31),SUM('融资租赁与资金缺口'!$M$5:$M$16)*$Q7,0),IF(CA$4=EDATE('核心假设'!$B$5,5-1+'核心假设'!$B$31),SUM('融资租赁与资金缺口'!$M$5:$M$16)*$R7,0),IF(CA$4=EDATE('核心假设'!$B$5,6-1+'核心假设'!$B$31),SUM('融资租赁与资金缺口'!$M$5:$M$16)*$S7,0),IF(CA$4=EDATE('核心假设'!$B$5,7-1+'核心假设'!$B$31),SUM('融资租赁与资金缺口'!$M$5:$M$16)*$T7,0),IF(CA$4=EDATE('核心假设'!$B$5,8-1+'核心假设'!$B$31),SUM('融资租赁与资金缺口'!$M$5:$M$16)*$U7,0),IF(CA$4=EDATE('核心假设'!$B$5,9-1+'核心假设'!$B$31),SUM('融资租赁与资金缺口'!$M$5:$M$16)*$V7,0),IF(CA$4=EDATE('核心假设'!$B$5,10-1+'核心假设'!$B$31),SUM('融资租赁与资金缺口'!$M$5:$M$16)*$W7,0),IF(CA$4=EDATE('核心假设'!$B$5,11-1+'核心假设'!$B$31),SUM('融资租赁与资金缺口'!$M$5:$M$16)*$X7,0),IF(CA$4=EDATE('核心假设'!$B$5,12-1+'核心假设'!$B$31),SUM('融资租赁与资金缺口'!$M$5:$M$16)*$Y7,0),IF(CA$4=EDATE('核心假设'!$B$5,13-1+'核心假设'!$B$31),SUM('融资租赁与资金缺口'!$M$5:$M$16)*$Z7,0),IF(CA$4=EDATE('核心假设'!$B$5,14-1+'核心假设'!$B$31),SUM('融资租赁与资金缺口'!$M$5:$M$16)*$AA7,0),IF(CA$4=EDATE('核心假设'!$B$5,15-1+'核心假设'!$B$31),SUM('融资租赁与资金缺口'!$M$5:$M$16)*$AB7,0),IF(CA$4=EDATE('核心假设'!$B$5,16-1+'核心假设'!$B$31),SUM('融资租赁与资金缺口'!$M$5:$M$16)*$AC7,0),IF(CA$4=EDATE('核心假设'!$B$5,17-1+'核心假设'!$B$31),SUM('融资租赁与资金缺口'!$M$5:$M$16)*$AD7,0))</x:f>
        <x:v>0</x:v>
      </x:c>
      <x:c r="CB21" s="28" t="n">
        <x:f>SUM(IF(CB$4=EDATE('核心假设'!$B$5,0-1+'核心假设'!$B$31),SUM('融资租赁与资金缺口'!$M$5:$M$16)*$M7,0),IF(CB$4=EDATE('核心假设'!$B$5,1-1+'核心假设'!$B$31),SUM('融资租赁与资金缺口'!$M$5:$M$16)*$N7,0),IF(CB$4=EDATE('核心假设'!$B$5,2-1+'核心假设'!$B$31),SUM('融资租赁与资金缺口'!$M$5:$M$16)*$O7,0),IF(CB$4=EDATE('核心假设'!$B$5,3-1+'核心假设'!$B$31),SUM('融资租赁与资金缺口'!$M$5:$M$16)*$P7,0),IF(CB$4=EDATE('核心假设'!$B$5,4-1+'核心假设'!$B$31),SUM('融资租赁与资金缺口'!$M$5:$M$16)*$Q7,0),IF(CB$4=EDATE('核心假设'!$B$5,5-1+'核心假设'!$B$31),SUM('融资租赁与资金缺口'!$M$5:$M$16)*$R7,0),IF(CB$4=EDATE('核心假设'!$B$5,6-1+'核心假设'!$B$31),SUM('融资租赁与资金缺口'!$M$5:$M$16)*$S7,0),IF(CB$4=EDATE('核心假设'!$B$5,7-1+'核心假设'!$B$31),SUM('融资租赁与资金缺口'!$M$5:$M$16)*$T7,0),IF(CB$4=EDATE('核心假设'!$B$5,8-1+'核心假设'!$B$31),SUM('融资租赁与资金缺口'!$M$5:$M$16)*$U7,0),IF(CB$4=EDATE('核心假设'!$B$5,9-1+'核心假设'!$B$31),SUM('融资租赁与资金缺口'!$M$5:$M$16)*$V7,0),IF(CB$4=EDATE('核心假设'!$B$5,10-1+'核心假设'!$B$31),SUM('融资租赁与资金缺口'!$M$5:$M$16)*$W7,0),IF(CB$4=EDATE('核心假设'!$B$5,11-1+'核心假设'!$B$31),SUM('融资租赁与资金缺口'!$M$5:$M$16)*$X7,0),IF(CB$4=EDATE('核心假设'!$B$5,12-1+'核心假设'!$B$31),SUM('融资租赁与资金缺口'!$M$5:$M$16)*$Y7,0),IF(CB$4=EDATE('核心假设'!$B$5,13-1+'核心假设'!$B$31),SUM('融资租赁与资金缺口'!$M$5:$M$16)*$Z7,0),IF(CB$4=EDATE('核心假设'!$B$5,14-1+'核心假设'!$B$31),SUM('融资租赁与资金缺口'!$M$5:$M$16)*$AA7,0),IF(CB$4=EDATE('核心假设'!$B$5,15-1+'核心假设'!$B$31),SUM('融资租赁与资金缺口'!$M$5:$M$16)*$AB7,0),IF(CB$4=EDATE('核心假设'!$B$5,16-1+'核心假设'!$B$31),SUM('融资租赁与资金缺口'!$M$5:$M$16)*$AC7,0),IF(CB$4=EDATE('核心假设'!$B$5,17-1+'核心假设'!$B$31),SUM('融资租赁与资金缺口'!$M$5:$M$16)*$AD7,0))</x:f>
        <x:v>0</x:v>
      </x:c>
      <x:c r="CC21" s="28" t="n">
        <x:f>SUM(IF(CC$4=EDATE('核心假设'!$B$5,0-1+'核心假设'!$B$31),SUM('融资租赁与资金缺口'!$M$5:$M$16)*$M7,0),IF(CC$4=EDATE('核心假设'!$B$5,1-1+'核心假设'!$B$31),SUM('融资租赁与资金缺口'!$M$5:$M$16)*$N7,0),IF(CC$4=EDATE('核心假设'!$B$5,2-1+'核心假设'!$B$31),SUM('融资租赁与资金缺口'!$M$5:$M$16)*$O7,0),IF(CC$4=EDATE('核心假设'!$B$5,3-1+'核心假设'!$B$31),SUM('融资租赁与资金缺口'!$M$5:$M$16)*$P7,0),IF(CC$4=EDATE('核心假设'!$B$5,4-1+'核心假设'!$B$31),SUM('融资租赁与资金缺口'!$M$5:$M$16)*$Q7,0),IF(CC$4=EDATE('核心假设'!$B$5,5-1+'核心假设'!$B$31),SUM('融资租赁与资金缺口'!$M$5:$M$16)*$R7,0),IF(CC$4=EDATE('核心假设'!$B$5,6-1+'核心假设'!$B$31),SUM('融资租赁与资金缺口'!$M$5:$M$16)*$S7,0),IF(CC$4=EDATE('核心假设'!$B$5,7-1+'核心假设'!$B$31),SUM('融资租赁与资金缺口'!$M$5:$M$16)*$T7,0),IF(CC$4=EDATE('核心假设'!$B$5,8-1+'核心假设'!$B$31),SUM('融资租赁与资金缺口'!$M$5:$M$16)*$U7,0),IF(CC$4=EDATE('核心假设'!$B$5,9-1+'核心假设'!$B$31),SUM('融资租赁与资金缺口'!$M$5:$M$16)*$V7,0),IF(CC$4=EDATE('核心假设'!$B$5,10-1+'核心假设'!$B$31),SUM('融资租赁与资金缺口'!$M$5:$M$16)*$W7,0),IF(CC$4=EDATE('核心假设'!$B$5,11-1+'核心假设'!$B$31),SUM('融资租赁与资金缺口'!$M$5:$M$16)*$X7,0),IF(CC$4=EDATE('核心假设'!$B$5,12-1+'核心假设'!$B$31),SUM('融资租赁与资金缺口'!$M$5:$M$16)*$Y7,0),IF(CC$4=EDATE('核心假设'!$B$5,13-1+'核心假设'!$B$31),SUM('融资租赁与资金缺口'!$M$5:$M$16)*$Z7,0),IF(CC$4=EDATE('核心假设'!$B$5,14-1+'核心假设'!$B$31),SUM('融资租赁与资金缺口'!$M$5:$M$16)*$AA7,0),IF(CC$4=EDATE('核心假设'!$B$5,15-1+'核心假设'!$B$31),SUM('融资租赁与资金缺口'!$M$5:$M$16)*$AB7,0),IF(CC$4=EDATE('核心假设'!$B$5,16-1+'核心假设'!$B$31),SUM('融资租赁与资金缺口'!$M$5:$M$16)*$AC7,0),IF(CC$4=EDATE('核心假设'!$B$5,17-1+'核心假设'!$B$31),SUM('融资租赁与资金缺口'!$M$5:$M$16)*$AD7,0))</x:f>
        <x:v>0</x:v>
      </x:c>
      <x:c r="CD21" s="28" t="n">
        <x:f>SUM(IF(CD$4=EDATE('核心假设'!$B$5,0-1+'核心假设'!$B$31),SUM('融资租赁与资金缺口'!$M$5:$M$16)*$M7,0),IF(CD$4=EDATE('核心假设'!$B$5,1-1+'核心假设'!$B$31),SUM('融资租赁与资金缺口'!$M$5:$M$16)*$N7,0),IF(CD$4=EDATE('核心假设'!$B$5,2-1+'核心假设'!$B$31),SUM('融资租赁与资金缺口'!$M$5:$M$16)*$O7,0),IF(CD$4=EDATE('核心假设'!$B$5,3-1+'核心假设'!$B$31),SUM('融资租赁与资金缺口'!$M$5:$M$16)*$P7,0),IF(CD$4=EDATE('核心假设'!$B$5,4-1+'核心假设'!$B$31),SUM('融资租赁与资金缺口'!$M$5:$M$16)*$Q7,0),IF(CD$4=EDATE('核心假设'!$B$5,5-1+'核心假设'!$B$31),SUM('融资租赁与资金缺口'!$M$5:$M$16)*$R7,0),IF(CD$4=EDATE('核心假设'!$B$5,6-1+'核心假设'!$B$31),SUM('融资租赁与资金缺口'!$M$5:$M$16)*$S7,0),IF(CD$4=EDATE('核心假设'!$B$5,7-1+'核心假设'!$B$31),SUM('融资租赁与资金缺口'!$M$5:$M$16)*$T7,0),IF(CD$4=EDATE('核心假设'!$B$5,8-1+'核心假设'!$B$31),SUM('融资租赁与资金缺口'!$M$5:$M$16)*$U7,0),IF(CD$4=EDATE('核心假设'!$B$5,9-1+'核心假设'!$B$31),SUM('融资租赁与资金缺口'!$M$5:$M$16)*$V7,0),IF(CD$4=EDATE('核心假设'!$B$5,10-1+'核心假设'!$B$31),SUM('融资租赁与资金缺口'!$M$5:$M$16)*$W7,0),IF(CD$4=EDATE('核心假设'!$B$5,11-1+'核心假设'!$B$31),SUM('融资租赁与资金缺口'!$M$5:$M$16)*$X7,0),IF(CD$4=EDATE('核心假设'!$B$5,12-1+'核心假设'!$B$31),SUM('融资租赁与资金缺口'!$M$5:$M$16)*$Y7,0),IF(CD$4=EDATE('核心假设'!$B$5,13-1+'核心假设'!$B$31),SUM('融资租赁与资金缺口'!$M$5:$M$16)*$Z7,0),IF(CD$4=EDATE('核心假设'!$B$5,14-1+'核心假设'!$B$31),SUM('融资租赁与资金缺口'!$M$5:$M$16)*$AA7,0),IF(CD$4=EDATE('核心假设'!$B$5,15-1+'核心假设'!$B$31),SUM('融资租赁与资金缺口'!$M$5:$M$16)*$AB7,0),IF(CD$4=EDATE('核心假设'!$B$5,16-1+'核心假设'!$B$31),SUM('融资租赁与资金缺口'!$M$5:$M$16)*$AC7,0),IF(CD$4=EDATE('核心假设'!$B$5,17-1+'核心假设'!$B$31),SUM('融资租赁与资金缺口'!$M$5:$M$16)*$AD7,0))</x:f>
        <x:v>0</x:v>
      </x:c>
      <x:c r="CE21" s="28" t="n">
        <x:f>SUM(IF(CE$4=EDATE('核心假设'!$B$5,0-1+'核心假设'!$B$31),SUM('融资租赁与资金缺口'!$M$5:$M$16)*$M7,0),IF(CE$4=EDATE('核心假设'!$B$5,1-1+'核心假设'!$B$31),SUM('融资租赁与资金缺口'!$M$5:$M$16)*$N7,0),IF(CE$4=EDATE('核心假设'!$B$5,2-1+'核心假设'!$B$31),SUM('融资租赁与资金缺口'!$M$5:$M$16)*$O7,0),IF(CE$4=EDATE('核心假设'!$B$5,3-1+'核心假设'!$B$31),SUM('融资租赁与资金缺口'!$M$5:$M$16)*$P7,0),IF(CE$4=EDATE('核心假设'!$B$5,4-1+'核心假设'!$B$31),SUM('融资租赁与资金缺口'!$M$5:$M$16)*$Q7,0),IF(CE$4=EDATE('核心假设'!$B$5,5-1+'核心假设'!$B$31),SUM('融资租赁与资金缺口'!$M$5:$M$16)*$R7,0),IF(CE$4=EDATE('核心假设'!$B$5,6-1+'核心假设'!$B$31),SUM('融资租赁与资金缺口'!$M$5:$M$16)*$S7,0),IF(CE$4=EDATE('核心假设'!$B$5,7-1+'核心假设'!$B$31),SUM('融资租赁与资金缺口'!$M$5:$M$16)*$T7,0),IF(CE$4=EDATE('核心假设'!$B$5,8-1+'核心假设'!$B$31),SUM('融资租赁与资金缺口'!$M$5:$M$16)*$U7,0),IF(CE$4=EDATE('核心假设'!$B$5,9-1+'核心假设'!$B$31),SUM('融资租赁与资金缺口'!$M$5:$M$16)*$V7,0),IF(CE$4=EDATE('核心假设'!$B$5,10-1+'核心假设'!$B$31),SUM('融资租赁与资金缺口'!$M$5:$M$16)*$W7,0),IF(CE$4=EDATE('核心假设'!$B$5,11-1+'核心假设'!$B$31),SUM('融资租赁与资金缺口'!$M$5:$M$16)*$X7,0),IF(CE$4=EDATE('核心假设'!$B$5,12-1+'核心假设'!$B$31),SUM('融资租赁与资金缺口'!$M$5:$M$16)*$Y7,0),IF(CE$4=EDATE('核心假设'!$B$5,13-1+'核心假设'!$B$31),SUM('融资租赁与资金缺口'!$M$5:$M$16)*$Z7,0),IF(CE$4=EDATE('核心假设'!$B$5,14-1+'核心假设'!$B$31),SUM('融资租赁与资金缺口'!$M$5:$M$16)*$AA7,0),IF(CE$4=EDATE('核心假设'!$B$5,15-1+'核心假设'!$B$31),SUM('融资租赁与资金缺口'!$M$5:$M$16)*$AB7,0),IF(CE$4=EDATE('核心假设'!$B$5,16-1+'核心假设'!$B$31),SUM('融资租赁与资金缺口'!$M$5:$M$16)*$AC7,0),IF(CE$4=EDATE('核心假设'!$B$5,17-1+'核心假设'!$B$31),SUM('融资租赁与资金缺口'!$M$5:$M$16)*$AD7,0))</x:f>
        <x:v>0</x:v>
      </x:c>
      <x:c r="CF21" s="28" t="n">
        <x:f>SUM(IF(CF$4=EDATE('核心假设'!$B$5,0-1+'核心假设'!$B$31),SUM('融资租赁与资金缺口'!$M$5:$M$16)*$M7,0),IF(CF$4=EDATE('核心假设'!$B$5,1-1+'核心假设'!$B$31),SUM('融资租赁与资金缺口'!$M$5:$M$16)*$N7,0),IF(CF$4=EDATE('核心假设'!$B$5,2-1+'核心假设'!$B$31),SUM('融资租赁与资金缺口'!$M$5:$M$16)*$O7,0),IF(CF$4=EDATE('核心假设'!$B$5,3-1+'核心假设'!$B$31),SUM('融资租赁与资金缺口'!$M$5:$M$16)*$P7,0),IF(CF$4=EDATE('核心假设'!$B$5,4-1+'核心假设'!$B$31),SUM('融资租赁与资金缺口'!$M$5:$M$16)*$Q7,0),IF(CF$4=EDATE('核心假设'!$B$5,5-1+'核心假设'!$B$31),SUM('融资租赁与资金缺口'!$M$5:$M$16)*$R7,0),IF(CF$4=EDATE('核心假设'!$B$5,6-1+'核心假设'!$B$31),SUM('融资租赁与资金缺口'!$M$5:$M$16)*$S7,0),IF(CF$4=EDATE('核心假设'!$B$5,7-1+'核心假设'!$B$31),SUM('融资租赁与资金缺口'!$M$5:$M$16)*$T7,0),IF(CF$4=EDATE('核心假设'!$B$5,8-1+'核心假设'!$B$31),SUM('融资租赁与资金缺口'!$M$5:$M$16)*$U7,0),IF(CF$4=EDATE('核心假设'!$B$5,9-1+'核心假设'!$B$31),SUM('融资租赁与资金缺口'!$M$5:$M$16)*$V7,0),IF(CF$4=EDATE('核心假设'!$B$5,10-1+'核心假设'!$B$31),SUM('融资租赁与资金缺口'!$M$5:$M$16)*$W7,0),IF(CF$4=EDATE('核心假设'!$B$5,11-1+'核心假设'!$B$31),SUM('融资租赁与资金缺口'!$M$5:$M$16)*$X7,0),IF(CF$4=EDATE('核心假设'!$B$5,12-1+'核心假设'!$B$31),SUM('融资租赁与资金缺口'!$M$5:$M$16)*$Y7,0),IF(CF$4=EDATE('核心假设'!$B$5,13-1+'核心假设'!$B$31),SUM('融资租赁与资金缺口'!$M$5:$M$16)*$Z7,0),IF(CF$4=EDATE('核心假设'!$B$5,14-1+'核心假设'!$B$31),SUM('融资租赁与资金缺口'!$M$5:$M$16)*$AA7,0),IF(CF$4=EDATE('核心假设'!$B$5,15-1+'核心假设'!$B$31),SUM('融资租赁与资金缺口'!$M$5:$M$16)*$AB7,0),IF(CF$4=EDATE('核心假设'!$B$5,16-1+'核心假设'!$B$31),SUM('融资租赁与资金缺口'!$M$5:$M$16)*$AC7,0),IF(CF$4=EDATE('核心假设'!$B$5,17-1+'核心假设'!$B$31),SUM('融资租赁与资金缺口'!$M$5:$M$16)*$AD7,0))</x:f>
        <x:v>0</x:v>
      </x:c>
      <x:c r="CG21" s="28" t="n">
        <x:f>SUM(IF(CG$4=EDATE('核心假设'!$B$5,0-1+'核心假设'!$B$31),SUM('融资租赁与资金缺口'!$M$5:$M$16)*$M7,0),IF(CG$4=EDATE('核心假设'!$B$5,1-1+'核心假设'!$B$31),SUM('融资租赁与资金缺口'!$M$5:$M$16)*$N7,0),IF(CG$4=EDATE('核心假设'!$B$5,2-1+'核心假设'!$B$31),SUM('融资租赁与资金缺口'!$M$5:$M$16)*$O7,0),IF(CG$4=EDATE('核心假设'!$B$5,3-1+'核心假设'!$B$31),SUM('融资租赁与资金缺口'!$M$5:$M$16)*$P7,0),IF(CG$4=EDATE('核心假设'!$B$5,4-1+'核心假设'!$B$31),SUM('融资租赁与资金缺口'!$M$5:$M$16)*$Q7,0),IF(CG$4=EDATE('核心假设'!$B$5,5-1+'核心假设'!$B$31),SUM('融资租赁与资金缺口'!$M$5:$M$16)*$R7,0),IF(CG$4=EDATE('核心假设'!$B$5,6-1+'核心假设'!$B$31),SUM('融资租赁与资金缺口'!$M$5:$M$16)*$S7,0),IF(CG$4=EDATE('核心假设'!$B$5,7-1+'核心假设'!$B$31),SUM('融资租赁与资金缺口'!$M$5:$M$16)*$T7,0),IF(CG$4=EDATE('核心假设'!$B$5,8-1+'核心假设'!$B$31),SUM('融资租赁与资金缺口'!$M$5:$M$16)*$U7,0),IF(CG$4=EDATE('核心假设'!$B$5,9-1+'核心假设'!$B$31),SUM('融资租赁与资金缺口'!$M$5:$M$16)*$V7,0),IF(CG$4=EDATE('核心假设'!$B$5,10-1+'核心假设'!$B$31),SUM('融资租赁与资金缺口'!$M$5:$M$16)*$W7,0),IF(CG$4=EDATE('核心假设'!$B$5,11-1+'核心假设'!$B$31),SUM('融资租赁与资金缺口'!$M$5:$M$16)*$X7,0),IF(CG$4=EDATE('核心假设'!$B$5,12-1+'核心假设'!$B$31),SUM('融资租赁与资金缺口'!$M$5:$M$16)*$Y7,0),IF(CG$4=EDATE('核心假设'!$B$5,13-1+'核心假设'!$B$31),SUM('融资租赁与资金缺口'!$M$5:$M$16)*$Z7,0),IF(CG$4=EDATE('核心假设'!$B$5,14-1+'核心假设'!$B$31),SUM('融资租赁与资金缺口'!$M$5:$M$16)*$AA7,0),IF(CG$4=EDATE('核心假设'!$B$5,15-1+'核心假设'!$B$31),SUM('融资租赁与资金缺口'!$M$5:$M$16)*$AB7,0),IF(CG$4=EDATE('核心假设'!$B$5,16-1+'核心假设'!$B$31),SUM('融资租赁与资金缺口'!$M$5:$M$16)*$AC7,0),IF(CG$4=EDATE('核心假设'!$B$5,17-1+'核心假设'!$B$31),SUM('融资租赁与资金缺口'!$M$5:$M$16)*$AD7,0))</x:f>
        <x:v>0</x:v>
      </x:c>
      <x:c r="CH21" s="28" t="n">
        <x:f>SUM(IF(CH$4=EDATE('核心假设'!$B$5,0-1+'核心假设'!$B$31),SUM('融资租赁与资金缺口'!$M$5:$M$16)*$M7,0),IF(CH$4=EDATE('核心假设'!$B$5,1-1+'核心假设'!$B$31),SUM('融资租赁与资金缺口'!$M$5:$M$16)*$N7,0),IF(CH$4=EDATE('核心假设'!$B$5,2-1+'核心假设'!$B$31),SUM('融资租赁与资金缺口'!$M$5:$M$16)*$O7,0),IF(CH$4=EDATE('核心假设'!$B$5,3-1+'核心假设'!$B$31),SUM('融资租赁与资金缺口'!$M$5:$M$16)*$P7,0),IF(CH$4=EDATE('核心假设'!$B$5,4-1+'核心假设'!$B$31),SUM('融资租赁与资金缺口'!$M$5:$M$16)*$Q7,0),IF(CH$4=EDATE('核心假设'!$B$5,5-1+'核心假设'!$B$31),SUM('融资租赁与资金缺口'!$M$5:$M$16)*$R7,0),IF(CH$4=EDATE('核心假设'!$B$5,6-1+'核心假设'!$B$31),SUM('融资租赁与资金缺口'!$M$5:$M$16)*$S7,0),IF(CH$4=EDATE('核心假设'!$B$5,7-1+'核心假设'!$B$31),SUM('融资租赁与资金缺口'!$M$5:$M$16)*$T7,0),IF(CH$4=EDATE('核心假设'!$B$5,8-1+'核心假设'!$B$31),SUM('融资租赁与资金缺口'!$M$5:$M$16)*$U7,0),IF(CH$4=EDATE('核心假设'!$B$5,9-1+'核心假设'!$B$31),SUM('融资租赁与资金缺口'!$M$5:$M$16)*$V7,0),IF(CH$4=EDATE('核心假设'!$B$5,10-1+'核心假设'!$B$31),SUM('融资租赁与资金缺口'!$M$5:$M$16)*$W7,0),IF(CH$4=EDATE('核心假设'!$B$5,11-1+'核心假设'!$B$31),SUM('融资租赁与资金缺口'!$M$5:$M$16)*$X7,0),IF(CH$4=EDATE('核心假设'!$B$5,12-1+'核心假设'!$B$31),SUM('融资租赁与资金缺口'!$M$5:$M$16)*$Y7,0),IF(CH$4=EDATE('核心假设'!$B$5,13-1+'核心假设'!$B$31),SUM('融资租赁与资金缺口'!$M$5:$M$16)*$Z7,0),IF(CH$4=EDATE('核心假设'!$B$5,14-1+'核心假设'!$B$31),SUM('融资租赁与资金缺口'!$M$5:$M$16)*$AA7,0),IF(CH$4=EDATE('核心假设'!$B$5,15-1+'核心假设'!$B$31),SUM('融资租赁与资金缺口'!$M$5:$M$16)*$AB7,0),IF(CH$4=EDATE('核心假设'!$B$5,16-1+'核心假设'!$B$31),SUM('融资租赁与资金缺口'!$M$5:$M$16)*$AC7,0),IF(CH$4=EDATE('核心假设'!$B$5,17-1+'核心假设'!$B$31),SUM('融资租赁与资金缺口'!$M$5:$M$16)*$AD7,0))</x:f>
        <x:v>0</x:v>
      </x:c>
      <x:c r="CI21" s="28" t="n">
        <x:f>SUM(IF(CI$4=EDATE('核心假设'!$B$5,0-1+'核心假设'!$B$31),SUM('融资租赁与资金缺口'!$M$5:$M$16)*$M7,0),IF(CI$4=EDATE('核心假设'!$B$5,1-1+'核心假设'!$B$31),SUM('融资租赁与资金缺口'!$M$5:$M$16)*$N7,0),IF(CI$4=EDATE('核心假设'!$B$5,2-1+'核心假设'!$B$31),SUM('融资租赁与资金缺口'!$M$5:$M$16)*$O7,0),IF(CI$4=EDATE('核心假设'!$B$5,3-1+'核心假设'!$B$31),SUM('融资租赁与资金缺口'!$M$5:$M$16)*$P7,0),IF(CI$4=EDATE('核心假设'!$B$5,4-1+'核心假设'!$B$31),SUM('融资租赁与资金缺口'!$M$5:$M$16)*$Q7,0),IF(CI$4=EDATE('核心假设'!$B$5,5-1+'核心假设'!$B$31),SUM('融资租赁与资金缺口'!$M$5:$M$16)*$R7,0),IF(CI$4=EDATE('核心假设'!$B$5,6-1+'核心假设'!$B$31),SUM('融资租赁与资金缺口'!$M$5:$M$16)*$S7,0),IF(CI$4=EDATE('核心假设'!$B$5,7-1+'核心假设'!$B$31),SUM('融资租赁与资金缺口'!$M$5:$M$16)*$T7,0),IF(CI$4=EDATE('核心假设'!$B$5,8-1+'核心假设'!$B$31),SUM('融资租赁与资金缺口'!$M$5:$M$16)*$U7,0),IF(CI$4=EDATE('核心假设'!$B$5,9-1+'核心假设'!$B$31),SUM('融资租赁与资金缺口'!$M$5:$M$16)*$V7,0),IF(CI$4=EDATE('核心假设'!$B$5,10-1+'核心假设'!$B$31),SUM('融资租赁与资金缺口'!$M$5:$M$16)*$W7,0),IF(CI$4=EDATE('核心假设'!$B$5,11-1+'核心假设'!$B$31),SUM('融资租赁与资金缺口'!$M$5:$M$16)*$X7,0),IF(CI$4=EDATE('核心假设'!$B$5,12-1+'核心假设'!$B$31),SUM('融资租赁与资金缺口'!$M$5:$M$16)*$Y7,0),IF(CI$4=EDATE('核心假设'!$B$5,13-1+'核心假设'!$B$31),SUM('融资租赁与资金缺口'!$M$5:$M$16)*$Z7,0),IF(CI$4=EDATE('核心假设'!$B$5,14-1+'核心假设'!$B$31),SUM('融资租赁与资金缺口'!$M$5:$M$16)*$AA7,0),IF(CI$4=EDATE('核心假设'!$B$5,15-1+'核心假设'!$B$31),SUM('融资租赁与资金缺口'!$M$5:$M$16)*$AB7,0),IF(CI$4=EDATE('核心假设'!$B$5,16-1+'核心假设'!$B$31),SUM('融资租赁与资金缺口'!$M$5:$M$16)*$AC7,0),IF(CI$4=EDATE('核心假设'!$B$5,17-1+'核心假设'!$B$31),SUM('融资租赁与资金缺口'!$M$5:$M$16)*$AD7,0))</x:f>
        <x:v>0</x:v>
      </x:c>
      <x:c r="CJ21" s="28" t="n">
        <x:f>SUM(IF(CJ$4=EDATE('核心假设'!$B$5,0-1+'核心假设'!$B$31),SUM('融资租赁与资金缺口'!$M$5:$M$16)*$M7,0),IF(CJ$4=EDATE('核心假设'!$B$5,1-1+'核心假设'!$B$31),SUM('融资租赁与资金缺口'!$M$5:$M$16)*$N7,0),IF(CJ$4=EDATE('核心假设'!$B$5,2-1+'核心假设'!$B$31),SUM('融资租赁与资金缺口'!$M$5:$M$16)*$O7,0),IF(CJ$4=EDATE('核心假设'!$B$5,3-1+'核心假设'!$B$31),SUM('融资租赁与资金缺口'!$M$5:$M$16)*$P7,0),IF(CJ$4=EDATE('核心假设'!$B$5,4-1+'核心假设'!$B$31),SUM('融资租赁与资金缺口'!$M$5:$M$16)*$Q7,0),IF(CJ$4=EDATE('核心假设'!$B$5,5-1+'核心假设'!$B$31),SUM('融资租赁与资金缺口'!$M$5:$M$16)*$R7,0),IF(CJ$4=EDATE('核心假设'!$B$5,6-1+'核心假设'!$B$31),SUM('融资租赁与资金缺口'!$M$5:$M$16)*$S7,0),IF(CJ$4=EDATE('核心假设'!$B$5,7-1+'核心假设'!$B$31),SUM('融资租赁与资金缺口'!$M$5:$M$16)*$T7,0),IF(CJ$4=EDATE('核心假设'!$B$5,8-1+'核心假设'!$B$31),SUM('融资租赁与资金缺口'!$M$5:$M$16)*$U7,0),IF(CJ$4=EDATE('核心假设'!$B$5,9-1+'核心假设'!$B$31),SUM('融资租赁与资金缺口'!$M$5:$M$16)*$V7,0),IF(CJ$4=EDATE('核心假设'!$B$5,10-1+'核心假设'!$B$31),SUM('融资租赁与资金缺口'!$M$5:$M$16)*$W7,0),IF(CJ$4=EDATE('核心假设'!$B$5,11-1+'核心假设'!$B$31),SUM('融资租赁与资金缺口'!$M$5:$M$16)*$X7,0),IF(CJ$4=EDATE('核心假设'!$B$5,12-1+'核心假设'!$B$31),SUM('融资租赁与资金缺口'!$M$5:$M$16)*$Y7,0),IF(CJ$4=EDATE('核心假设'!$B$5,13-1+'核心假设'!$B$31),SUM('融资租赁与资金缺口'!$M$5:$M$16)*$Z7,0),IF(CJ$4=EDATE('核心假设'!$B$5,14-1+'核心假设'!$B$31),SUM('融资租赁与资金缺口'!$M$5:$M$16)*$AA7,0),IF(CJ$4=EDATE('核心假设'!$B$5,15-1+'核心假设'!$B$31),SUM('融资租赁与资金缺口'!$M$5:$M$16)*$AB7,0),IF(CJ$4=EDATE('核心假设'!$B$5,16-1+'核心假设'!$B$31),SUM('融资租赁与资金缺口'!$M$5:$M$16)*$AC7,0),IF(CJ$4=EDATE('核心假设'!$B$5,17-1+'核心假设'!$B$31),SUM('融资租赁与资金缺口'!$M$5:$M$16)*$AD7,0))</x:f>
        <x:v>0</x:v>
      </x:c>
      <x:c r="CK21" s="28" t="n">
        <x:f>SUM(IF(CK$4=EDATE('核心假设'!$B$5,0-1+'核心假设'!$B$31),SUM('融资租赁与资金缺口'!$M$5:$M$16)*$M7,0),IF(CK$4=EDATE('核心假设'!$B$5,1-1+'核心假设'!$B$31),SUM('融资租赁与资金缺口'!$M$5:$M$16)*$N7,0),IF(CK$4=EDATE('核心假设'!$B$5,2-1+'核心假设'!$B$31),SUM('融资租赁与资金缺口'!$M$5:$M$16)*$O7,0),IF(CK$4=EDATE('核心假设'!$B$5,3-1+'核心假设'!$B$31),SUM('融资租赁与资金缺口'!$M$5:$M$16)*$P7,0),IF(CK$4=EDATE('核心假设'!$B$5,4-1+'核心假设'!$B$31),SUM('融资租赁与资金缺口'!$M$5:$M$16)*$Q7,0),IF(CK$4=EDATE('核心假设'!$B$5,5-1+'核心假设'!$B$31),SUM('融资租赁与资金缺口'!$M$5:$M$16)*$R7,0),IF(CK$4=EDATE('核心假设'!$B$5,6-1+'核心假设'!$B$31),SUM('融资租赁与资金缺口'!$M$5:$M$16)*$S7,0),IF(CK$4=EDATE('核心假设'!$B$5,7-1+'核心假设'!$B$31),SUM('融资租赁与资金缺口'!$M$5:$M$16)*$T7,0),IF(CK$4=EDATE('核心假设'!$B$5,8-1+'核心假设'!$B$31),SUM('融资租赁与资金缺口'!$M$5:$M$16)*$U7,0),IF(CK$4=EDATE('核心假设'!$B$5,9-1+'核心假设'!$B$31),SUM('融资租赁与资金缺口'!$M$5:$M$16)*$V7,0),IF(CK$4=EDATE('核心假设'!$B$5,10-1+'核心假设'!$B$31),SUM('融资租赁与资金缺口'!$M$5:$M$16)*$W7,0),IF(CK$4=EDATE('核心假设'!$B$5,11-1+'核心假设'!$B$31),SUM('融资租赁与资金缺口'!$M$5:$M$16)*$X7,0),IF(CK$4=EDATE('核心假设'!$B$5,12-1+'核心假设'!$B$31),SUM('融资租赁与资金缺口'!$M$5:$M$16)*$Y7,0),IF(CK$4=EDATE('核心假设'!$B$5,13-1+'核心假设'!$B$31),SUM('融资租赁与资金缺口'!$M$5:$M$16)*$Z7,0),IF(CK$4=EDATE('核心假设'!$B$5,14-1+'核心假设'!$B$31),SUM('融资租赁与资金缺口'!$M$5:$M$16)*$AA7,0),IF(CK$4=EDATE('核心假设'!$B$5,15-1+'核心假设'!$B$31),SUM('融资租赁与资金缺口'!$M$5:$M$16)*$AB7,0),IF(CK$4=EDATE('核心假设'!$B$5,16-1+'核心假设'!$B$31),SUM('融资租赁与资金缺口'!$M$5:$M$16)*$AC7,0),IF(CK$4=EDATE('核心假设'!$B$5,17-1+'核心假设'!$B$31),SUM('融资租赁与资金缺口'!$M$5:$M$16)*$AD7,0))</x:f>
        <x:v>0</x:v>
      </x:c>
      <x:c r="CL21" s="28" t="n">
        <x:f>SUM(IF(CL$4=EDATE('核心假设'!$B$5,0-1+'核心假设'!$B$31),SUM('融资租赁与资金缺口'!$M$5:$M$16)*$M7,0),IF(CL$4=EDATE('核心假设'!$B$5,1-1+'核心假设'!$B$31),SUM('融资租赁与资金缺口'!$M$5:$M$16)*$N7,0),IF(CL$4=EDATE('核心假设'!$B$5,2-1+'核心假设'!$B$31),SUM('融资租赁与资金缺口'!$M$5:$M$16)*$O7,0),IF(CL$4=EDATE('核心假设'!$B$5,3-1+'核心假设'!$B$31),SUM('融资租赁与资金缺口'!$M$5:$M$16)*$P7,0),IF(CL$4=EDATE('核心假设'!$B$5,4-1+'核心假设'!$B$31),SUM('融资租赁与资金缺口'!$M$5:$M$16)*$Q7,0),IF(CL$4=EDATE('核心假设'!$B$5,5-1+'核心假设'!$B$31),SUM('融资租赁与资金缺口'!$M$5:$M$16)*$R7,0),IF(CL$4=EDATE('核心假设'!$B$5,6-1+'核心假设'!$B$31),SUM('融资租赁与资金缺口'!$M$5:$M$16)*$S7,0),IF(CL$4=EDATE('核心假设'!$B$5,7-1+'核心假设'!$B$31),SUM('融资租赁与资金缺口'!$M$5:$M$16)*$T7,0),IF(CL$4=EDATE('核心假设'!$B$5,8-1+'核心假设'!$B$31),SUM('融资租赁与资金缺口'!$M$5:$M$16)*$U7,0),IF(CL$4=EDATE('核心假设'!$B$5,9-1+'核心假设'!$B$31),SUM('融资租赁与资金缺口'!$M$5:$M$16)*$V7,0),IF(CL$4=EDATE('核心假设'!$B$5,10-1+'核心假设'!$B$31),SUM('融资租赁与资金缺口'!$M$5:$M$16)*$W7,0),IF(CL$4=EDATE('核心假设'!$B$5,11-1+'核心假设'!$B$31),SUM('融资租赁与资金缺口'!$M$5:$M$16)*$X7,0),IF(CL$4=EDATE('核心假设'!$B$5,12-1+'核心假设'!$B$31),SUM('融资租赁与资金缺口'!$M$5:$M$16)*$Y7,0),IF(CL$4=EDATE('核心假设'!$B$5,13-1+'核心假设'!$B$31),SUM('融资租赁与资金缺口'!$M$5:$M$16)*$Z7,0),IF(CL$4=EDATE('核心假设'!$B$5,14-1+'核心假设'!$B$31),SUM('融资租赁与资金缺口'!$M$5:$M$16)*$AA7,0),IF(CL$4=EDATE('核心假设'!$B$5,15-1+'核心假设'!$B$31),SUM('融资租赁与资金缺口'!$M$5:$M$16)*$AB7,0),IF(CL$4=EDATE('核心假设'!$B$5,16-1+'核心假设'!$B$31),SUM('融资租赁与资金缺口'!$M$5:$M$16)*$AC7,0),IF(CL$4=EDATE('核心假设'!$B$5,17-1+'核心假设'!$B$31),SUM('融资租赁与资金缺口'!$M$5:$M$16)*$AD7,0))</x:f>
        <x:v>0</x:v>
      </x:c>
      <x:c r="CM21" s="28" t="n">
        <x:f>SUM(IF(CM$4=EDATE('核心假设'!$B$5,0-1+'核心假设'!$B$31),SUM('融资租赁与资金缺口'!$M$5:$M$16)*$M7,0),IF(CM$4=EDATE('核心假设'!$B$5,1-1+'核心假设'!$B$31),SUM('融资租赁与资金缺口'!$M$5:$M$16)*$N7,0),IF(CM$4=EDATE('核心假设'!$B$5,2-1+'核心假设'!$B$31),SUM('融资租赁与资金缺口'!$M$5:$M$16)*$O7,0),IF(CM$4=EDATE('核心假设'!$B$5,3-1+'核心假设'!$B$31),SUM('融资租赁与资金缺口'!$M$5:$M$16)*$P7,0),IF(CM$4=EDATE('核心假设'!$B$5,4-1+'核心假设'!$B$31),SUM('融资租赁与资金缺口'!$M$5:$M$16)*$Q7,0),IF(CM$4=EDATE('核心假设'!$B$5,5-1+'核心假设'!$B$31),SUM('融资租赁与资金缺口'!$M$5:$M$16)*$R7,0),IF(CM$4=EDATE('核心假设'!$B$5,6-1+'核心假设'!$B$31),SUM('融资租赁与资金缺口'!$M$5:$M$16)*$S7,0),IF(CM$4=EDATE('核心假设'!$B$5,7-1+'核心假设'!$B$31),SUM('融资租赁与资金缺口'!$M$5:$M$16)*$T7,0),IF(CM$4=EDATE('核心假设'!$B$5,8-1+'核心假设'!$B$31),SUM('融资租赁与资金缺口'!$M$5:$M$16)*$U7,0),IF(CM$4=EDATE('核心假设'!$B$5,9-1+'核心假设'!$B$31),SUM('融资租赁与资金缺口'!$M$5:$M$16)*$V7,0),IF(CM$4=EDATE('核心假设'!$B$5,10-1+'核心假设'!$B$31),SUM('融资租赁与资金缺口'!$M$5:$M$16)*$W7,0),IF(CM$4=EDATE('核心假设'!$B$5,11-1+'核心假设'!$B$31),SUM('融资租赁与资金缺口'!$M$5:$M$16)*$X7,0),IF(CM$4=EDATE('核心假设'!$B$5,12-1+'核心假设'!$B$31),SUM('融资租赁与资金缺口'!$M$5:$M$16)*$Y7,0),IF(CM$4=EDATE('核心假设'!$B$5,13-1+'核心假设'!$B$31),SUM('融资租赁与资金缺口'!$M$5:$M$16)*$Z7,0),IF(CM$4=EDATE('核心假设'!$B$5,14-1+'核心假设'!$B$31),SUM('融资租赁与资金缺口'!$M$5:$M$16)*$AA7,0),IF(CM$4=EDATE('核心假设'!$B$5,15-1+'核心假设'!$B$31),SUM('融资租赁与资金缺口'!$M$5:$M$16)*$AB7,0),IF(CM$4=EDATE('核心假设'!$B$5,16-1+'核心假设'!$B$31),SUM('融资租赁与资金缺口'!$M$5:$M$16)*$AC7,0),IF(CM$4=EDATE('核心假设'!$B$5,17-1+'核心假设'!$B$31),SUM('融资租赁与资金缺口'!$M$5:$M$16)*$AD7,0))</x:f>
        <x:v>0</x:v>
      </x:c>
    </x:row>
    <x:row r="22">
      <x:c r="A22" s="55" t="str">
        <x:v>新增枪数累计精确等于目标</x:v>
      </x:c>
      <x:c r="B22" s="67" t="n">
        <x:f>SUM('36月运营模型'!$B$7:$BI$7)</x:f>
        <x:v>30000</x:v>
      </x:c>
      <x:c r="C22" s="67" t="n">
        <x:f>'核心假设'!$B$6</x:f>
        <x:v>30000</x:v>
      </x:c>
      <x:c r="D22" s="69" t="n">
        <x:f>B22-C22</x:f>
        <x:v>0</x:v>
      </x:c>
      <x:c r="E22" s="69" t="n">
        <x:v>0</x:v>
      </x:c>
      <x:c r="F22" s="58" t="str">
        <x:f>IF(ABS(D22)&lt;=E22,"PASS","FAIL")</x:f>
        <x:v>PASS</x:v>
      </x:c>
      <x:c r="G22" s="57" t="str">
        <x:v>36月运营模型!B7:BI7</x:v>
      </x:c>
      <x:c r="H22" s="59" t="str">
        <x:v>投放期后新增为0</x:v>
      </x:c>
      <x:c r="AE22" t="str">
        <x:v>注资前累计现金</x:v>
      </x:c>
      <x:c r="AF22" s="28" t="n">
        <x:f>'核心假设'!$B$39+AF18-AF19+SUM(IF(AF$4=EDATE('核心假设'!$B$5,0+$F7),SUM('融资租赁与资金缺口'!$D$5:$D$16)*$M7*$C7,0),IF(AF$4=EDATE('核心假设'!$B$5,1+$F7),SUM('融资租赁与资金缺口'!$D$5:$D$16)*$N7*$C7,0),IF(AF$4=EDATE('核心假设'!$B$5,2+$F7),SUM('融资租赁与资金缺口'!$D$5:$D$16)*$O7*$C7,0),IF(AF$4=EDATE('核心假设'!$B$5,3+$F7),SUM('融资租赁与资金缺口'!$D$5:$D$16)*$P7*$C7,0),IF(AF$4=EDATE('核心假设'!$B$5,4+$F7),SUM('融资租赁与资金缺口'!$D$5:$D$16)*$Q7*$C7,0),IF(AF$4=EDATE('核心假设'!$B$5,5+$F7),SUM('融资租赁与资金缺口'!$D$5:$D$16)*$R7*$C7,0),IF(AF$4=EDATE('核心假设'!$B$5,6+$F7),SUM('融资租赁与资金缺口'!$D$5:$D$16)*$S7*$C7,0),IF(AF$4=EDATE('核心假设'!$B$5,7+$F7),SUM('融资租赁与资金缺口'!$D$5:$D$16)*$T7*$C7,0),IF(AF$4=EDATE('核心假设'!$B$5,8+$F7),SUM('融资租赁与资金缺口'!$D$5:$D$16)*$U7*$C7,0),IF(AF$4=EDATE('核心假设'!$B$5,9+$F7),SUM('融资租赁与资金缺口'!$D$5:$D$16)*$V7*$C7,0),IF(AF$4=EDATE('核心假设'!$B$5,10+$F7),SUM('融资租赁与资金缺口'!$D$5:$D$16)*$W7*$C7,0),IF(AF$4=EDATE('核心假设'!$B$5,11+$F7),SUM('融资租赁与资金缺口'!$D$5:$D$16)*$X7*$C7,0),IF(AF$4=EDATE('核心假设'!$B$5,12+$F7),SUM('融资租赁与资金缺口'!$D$5:$D$16)*$Y7*$C7,0),IF(AF$4=EDATE('核心假设'!$B$5,13+$F7),SUM('融资租赁与资金缺口'!$D$5:$D$16)*$Z7*$C7,0),IF(AF$4=EDATE('核心假设'!$B$5,14+$F7),SUM('融资租赁与资金缺口'!$D$5:$D$16)*$AA7*$C7,0),IF(AF$4=EDATE('核心假设'!$B$5,15+$F7),SUM('融资租赁与资金缺口'!$D$5:$D$16)*$AB7*$C7,0),IF(AF$4=EDATE('核心假设'!$B$5,16+$F7),SUM('融资租赁与资金缺口'!$D$5:$D$16)*$AC7*$C7,0),IF(AF$4=EDATE('核心假设'!$B$5,17+$F7),SUM('融资租赁与资金缺口'!$D$5:$D$16)*$AD7*$C7,0))-AF21</x:f>
        <x:v>1146839.7707964361</x:v>
      </x:c>
      <x:c r="AG22" s="28" t="n">
        <x:f>AF22+AG18-AG19+SUM(IF(AG$4=EDATE('核心假设'!$B$5,0+$F7),SUM('融资租赁与资金缺口'!$D$5:$D$16)*$M7*$C7,0),IF(AG$4=EDATE('核心假设'!$B$5,1+$F7),SUM('融资租赁与资金缺口'!$D$5:$D$16)*$N7*$C7,0),IF(AG$4=EDATE('核心假设'!$B$5,2+$F7),SUM('融资租赁与资金缺口'!$D$5:$D$16)*$O7*$C7,0),IF(AG$4=EDATE('核心假设'!$B$5,3+$F7),SUM('融资租赁与资金缺口'!$D$5:$D$16)*$P7*$C7,0),IF(AG$4=EDATE('核心假设'!$B$5,4+$F7),SUM('融资租赁与资金缺口'!$D$5:$D$16)*$Q7*$C7,0),IF(AG$4=EDATE('核心假设'!$B$5,5+$F7),SUM('融资租赁与资金缺口'!$D$5:$D$16)*$R7*$C7,0),IF(AG$4=EDATE('核心假设'!$B$5,6+$F7),SUM('融资租赁与资金缺口'!$D$5:$D$16)*$S7*$C7,0),IF(AG$4=EDATE('核心假设'!$B$5,7+$F7),SUM('融资租赁与资金缺口'!$D$5:$D$16)*$T7*$C7,0),IF(AG$4=EDATE('核心假设'!$B$5,8+$F7),SUM('融资租赁与资金缺口'!$D$5:$D$16)*$U7*$C7,0),IF(AG$4=EDATE('核心假设'!$B$5,9+$F7),SUM('融资租赁与资金缺口'!$D$5:$D$16)*$V7*$C7,0),IF(AG$4=EDATE('核心假设'!$B$5,10+$F7),SUM('融资租赁与资金缺口'!$D$5:$D$16)*$W7*$C7,0),IF(AG$4=EDATE('核心假设'!$B$5,11+$F7),SUM('融资租赁与资金缺口'!$D$5:$D$16)*$X7*$C7,0),IF(AG$4=EDATE('核心假设'!$B$5,12+$F7),SUM('融资租赁与资金缺口'!$D$5:$D$16)*$Y7*$C7,0),IF(AG$4=EDATE('核心假设'!$B$5,13+$F7),SUM('融资租赁与资金缺口'!$D$5:$D$16)*$Z7*$C7,0),IF(AG$4=EDATE('核心假设'!$B$5,14+$F7),SUM('融资租赁与资金缺口'!$D$5:$D$16)*$AA7*$C7,0),IF(AG$4=EDATE('核心假设'!$B$5,15+$F7),SUM('融资租赁与资金缺口'!$D$5:$D$16)*$AB7*$C7,0),IF(AG$4=EDATE('核心假设'!$B$5,16+$F7),SUM('融资租赁与资金缺口'!$D$5:$D$16)*$AC7*$C7,0),IF(AG$4=EDATE('核心假设'!$B$5,17+$F7),SUM('融资租赁与资金缺口'!$D$5:$D$16)*$AD7*$C7,0))-AG21</x:f>
        <x:v>-6401796.886795394</x:v>
      </x:c>
      <x:c r="AH22" s="28" t="n">
        <x:f>AG22+AH18-AH19+SUM(IF(AH$4=EDATE('核心假设'!$B$5,0+$F7),SUM('融资租赁与资金缺口'!$D$5:$D$16)*$M7*$C7,0),IF(AH$4=EDATE('核心假设'!$B$5,1+$F7),SUM('融资租赁与资金缺口'!$D$5:$D$16)*$N7*$C7,0),IF(AH$4=EDATE('核心假设'!$B$5,2+$F7),SUM('融资租赁与资金缺口'!$D$5:$D$16)*$O7*$C7,0),IF(AH$4=EDATE('核心假设'!$B$5,3+$F7),SUM('融资租赁与资金缺口'!$D$5:$D$16)*$P7*$C7,0),IF(AH$4=EDATE('核心假设'!$B$5,4+$F7),SUM('融资租赁与资金缺口'!$D$5:$D$16)*$Q7*$C7,0),IF(AH$4=EDATE('核心假设'!$B$5,5+$F7),SUM('融资租赁与资金缺口'!$D$5:$D$16)*$R7*$C7,0),IF(AH$4=EDATE('核心假设'!$B$5,6+$F7),SUM('融资租赁与资金缺口'!$D$5:$D$16)*$S7*$C7,0),IF(AH$4=EDATE('核心假设'!$B$5,7+$F7),SUM('融资租赁与资金缺口'!$D$5:$D$16)*$T7*$C7,0),IF(AH$4=EDATE('核心假设'!$B$5,8+$F7),SUM('融资租赁与资金缺口'!$D$5:$D$16)*$U7*$C7,0),IF(AH$4=EDATE('核心假设'!$B$5,9+$F7),SUM('融资租赁与资金缺口'!$D$5:$D$16)*$V7*$C7,0),IF(AH$4=EDATE('核心假设'!$B$5,10+$F7),SUM('融资租赁与资金缺口'!$D$5:$D$16)*$W7*$C7,0),IF(AH$4=EDATE('核心假设'!$B$5,11+$F7),SUM('融资租赁与资金缺口'!$D$5:$D$16)*$X7*$C7,0),IF(AH$4=EDATE('核心假设'!$B$5,12+$F7),SUM('融资租赁与资金缺口'!$D$5:$D$16)*$Y7*$C7,0),IF(AH$4=EDATE('核心假设'!$B$5,13+$F7),SUM('融资租赁与资金缺口'!$D$5:$D$16)*$Z7*$C7,0),IF(AH$4=EDATE('核心假设'!$B$5,14+$F7),SUM('融资租赁与资金缺口'!$D$5:$D$16)*$AA7*$C7,0),IF(AH$4=EDATE('核心假设'!$B$5,15+$F7),SUM('融资租赁与资金缺口'!$D$5:$D$16)*$AB7*$C7,0),IF(AH$4=EDATE('核心假设'!$B$5,16+$F7),SUM('融资租赁与资金缺口'!$D$5:$D$16)*$AC7*$C7,0),IF(AH$4=EDATE('核心假设'!$B$5,17+$F7),SUM('融资租赁与资金缺口'!$D$5:$D$16)*$AD7*$C7,0))-AH21</x:f>
        <x:v>-14501107.204329379</x:v>
      </x:c>
      <x:c r="AI22" s="28" t="n">
        <x:f>AH22+AI18-AI19+SUM(IF(AI$4=EDATE('核心假设'!$B$5,0+$F7),SUM('融资租赁与资金缺口'!$D$5:$D$16)*$M7*$C7,0),IF(AI$4=EDATE('核心假设'!$B$5,1+$F7),SUM('融资租赁与资金缺口'!$D$5:$D$16)*$N7*$C7,0),IF(AI$4=EDATE('核心假设'!$B$5,2+$F7),SUM('融资租赁与资金缺口'!$D$5:$D$16)*$O7*$C7,0),IF(AI$4=EDATE('核心假设'!$B$5,3+$F7),SUM('融资租赁与资金缺口'!$D$5:$D$16)*$P7*$C7,0),IF(AI$4=EDATE('核心假设'!$B$5,4+$F7),SUM('融资租赁与资金缺口'!$D$5:$D$16)*$Q7*$C7,0),IF(AI$4=EDATE('核心假设'!$B$5,5+$F7),SUM('融资租赁与资金缺口'!$D$5:$D$16)*$R7*$C7,0),IF(AI$4=EDATE('核心假设'!$B$5,6+$F7),SUM('融资租赁与资金缺口'!$D$5:$D$16)*$S7*$C7,0),IF(AI$4=EDATE('核心假设'!$B$5,7+$F7),SUM('融资租赁与资金缺口'!$D$5:$D$16)*$T7*$C7,0),IF(AI$4=EDATE('核心假设'!$B$5,8+$F7),SUM('融资租赁与资金缺口'!$D$5:$D$16)*$U7*$C7,0),IF(AI$4=EDATE('核心假设'!$B$5,9+$F7),SUM('融资租赁与资金缺口'!$D$5:$D$16)*$V7*$C7,0),IF(AI$4=EDATE('核心假设'!$B$5,10+$F7),SUM('融资租赁与资金缺口'!$D$5:$D$16)*$W7*$C7,0),IF(AI$4=EDATE('核心假设'!$B$5,11+$F7),SUM('融资租赁与资金缺口'!$D$5:$D$16)*$X7*$C7,0),IF(AI$4=EDATE('核心假设'!$B$5,12+$F7),SUM('融资租赁与资金缺口'!$D$5:$D$16)*$Y7*$C7,0),IF(AI$4=EDATE('核心假设'!$B$5,13+$F7),SUM('融资租赁与资金缺口'!$D$5:$D$16)*$Z7*$C7,0),IF(AI$4=EDATE('核心假设'!$B$5,14+$F7),SUM('融资租赁与资金缺口'!$D$5:$D$16)*$AA7*$C7,0),IF(AI$4=EDATE('核心假设'!$B$5,15+$F7),SUM('融资租赁与资金缺口'!$D$5:$D$16)*$AB7*$C7,0),IF(AI$4=EDATE('核心假设'!$B$5,16+$F7),SUM('融资租赁与资金缺口'!$D$5:$D$16)*$AC7*$C7,0),IF(AI$4=EDATE('核心假设'!$B$5,17+$F7),SUM('融资租赁与资金缺口'!$D$5:$D$16)*$AD7*$C7,0))-AI21</x:f>
        <x:v>-22089675.366322253</x:v>
      </x:c>
      <x:c r="AJ22" s="28" t="n">
        <x:f>AI22+AJ18-AJ19+SUM(IF(AJ$4=EDATE('核心假设'!$B$5,0+$F7),SUM('融资租赁与资金缺口'!$D$5:$D$16)*$M7*$C7,0),IF(AJ$4=EDATE('核心假设'!$B$5,1+$F7),SUM('融资租赁与资金缺口'!$D$5:$D$16)*$N7*$C7,0),IF(AJ$4=EDATE('核心假设'!$B$5,2+$F7),SUM('融资租赁与资金缺口'!$D$5:$D$16)*$O7*$C7,0),IF(AJ$4=EDATE('核心假设'!$B$5,3+$F7),SUM('融资租赁与资金缺口'!$D$5:$D$16)*$P7*$C7,0),IF(AJ$4=EDATE('核心假设'!$B$5,4+$F7),SUM('融资租赁与资金缺口'!$D$5:$D$16)*$Q7*$C7,0),IF(AJ$4=EDATE('核心假设'!$B$5,5+$F7),SUM('融资租赁与资金缺口'!$D$5:$D$16)*$R7*$C7,0),IF(AJ$4=EDATE('核心假设'!$B$5,6+$F7),SUM('融资租赁与资金缺口'!$D$5:$D$16)*$S7*$C7,0),IF(AJ$4=EDATE('核心假设'!$B$5,7+$F7),SUM('融资租赁与资金缺口'!$D$5:$D$16)*$T7*$C7,0),IF(AJ$4=EDATE('核心假设'!$B$5,8+$F7),SUM('融资租赁与资金缺口'!$D$5:$D$16)*$U7*$C7,0),IF(AJ$4=EDATE('核心假设'!$B$5,9+$F7),SUM('融资租赁与资金缺口'!$D$5:$D$16)*$V7*$C7,0),IF(AJ$4=EDATE('核心假设'!$B$5,10+$F7),SUM('融资租赁与资金缺口'!$D$5:$D$16)*$W7*$C7,0),IF(AJ$4=EDATE('核心假设'!$B$5,11+$F7),SUM('融资租赁与资金缺口'!$D$5:$D$16)*$X7*$C7,0),IF(AJ$4=EDATE('核心假设'!$B$5,12+$F7),SUM('融资租赁与资金缺口'!$D$5:$D$16)*$Y7*$C7,0),IF(AJ$4=EDATE('核心假设'!$B$5,13+$F7),SUM('融资租赁与资金缺口'!$D$5:$D$16)*$Z7*$C7,0),IF(AJ$4=EDATE('核心假设'!$B$5,14+$F7),SUM('融资租赁与资金缺口'!$D$5:$D$16)*$AA7*$C7,0),IF(AJ$4=EDATE('核心假设'!$B$5,15+$F7),SUM('融资租赁与资金缺口'!$D$5:$D$16)*$AB7*$C7,0),IF(AJ$4=EDATE('核心假设'!$B$5,16+$F7),SUM('融资租赁与资金缺口'!$D$5:$D$16)*$AC7*$C7,0),IF(AJ$4=EDATE('核心假设'!$B$5,17+$F7),SUM('融资租赁与资金缺口'!$D$5:$D$16)*$AD7*$C7,0))-AJ21</x:f>
        <x:v>-30351047.72416101</x:v>
      </x:c>
      <x:c r="AK22" s="28" t="n">
        <x:f>AJ22+AK18-AK19+SUM(IF(AK$4=EDATE('核心假设'!$B$5,0+$F7),SUM('融资租赁与资金缺口'!$D$5:$D$16)*$M7*$C7,0),IF(AK$4=EDATE('核心假设'!$B$5,1+$F7),SUM('融资租赁与资金缺口'!$D$5:$D$16)*$N7*$C7,0),IF(AK$4=EDATE('核心假设'!$B$5,2+$F7),SUM('融资租赁与资金缺口'!$D$5:$D$16)*$O7*$C7,0),IF(AK$4=EDATE('核心假设'!$B$5,3+$F7),SUM('融资租赁与资金缺口'!$D$5:$D$16)*$P7*$C7,0),IF(AK$4=EDATE('核心假设'!$B$5,4+$F7),SUM('融资租赁与资金缺口'!$D$5:$D$16)*$Q7*$C7,0),IF(AK$4=EDATE('核心假设'!$B$5,5+$F7),SUM('融资租赁与资金缺口'!$D$5:$D$16)*$R7*$C7,0),IF(AK$4=EDATE('核心假设'!$B$5,6+$F7),SUM('融资租赁与资金缺口'!$D$5:$D$16)*$S7*$C7,0),IF(AK$4=EDATE('核心假设'!$B$5,7+$F7),SUM('融资租赁与资金缺口'!$D$5:$D$16)*$T7*$C7,0),IF(AK$4=EDATE('核心假设'!$B$5,8+$F7),SUM('融资租赁与资金缺口'!$D$5:$D$16)*$U7*$C7,0),IF(AK$4=EDATE('核心假设'!$B$5,9+$F7),SUM('融资租赁与资金缺口'!$D$5:$D$16)*$V7*$C7,0),IF(AK$4=EDATE('核心假设'!$B$5,10+$F7),SUM('融资租赁与资金缺口'!$D$5:$D$16)*$W7*$C7,0),IF(AK$4=EDATE('核心假设'!$B$5,11+$F7),SUM('融资租赁与资金缺口'!$D$5:$D$16)*$X7*$C7,0),IF(AK$4=EDATE('核心假设'!$B$5,12+$F7),SUM('融资租赁与资金缺口'!$D$5:$D$16)*$Y7*$C7,0),IF(AK$4=EDATE('核心假设'!$B$5,13+$F7),SUM('融资租赁与资金缺口'!$D$5:$D$16)*$Z7*$C7,0),IF(AK$4=EDATE('核心假设'!$B$5,14+$F7),SUM('融资租赁与资金缺口'!$D$5:$D$16)*$AA7*$C7,0),IF(AK$4=EDATE('核心假设'!$B$5,15+$F7),SUM('融资租赁与资金缺口'!$D$5:$D$16)*$AB7*$C7,0),IF(AK$4=EDATE('核心假设'!$B$5,16+$F7),SUM('融资租赁与资金缺口'!$D$5:$D$16)*$AC7*$C7,0),IF(AK$4=EDATE('核心假设'!$B$5,17+$F7),SUM('融资租赁与资金缺口'!$D$5:$D$16)*$AD7*$C7,0))-AK21</x:f>
        <x:v>-40832612.18269689</x:v>
      </x:c>
      <x:c r="AL22" s="28" t="n">
        <x:f>AK22+AL18-AL19+SUM(IF(AL$4=EDATE('核心假设'!$B$5,0+$F7),SUM('融资租赁与资金缺口'!$D$5:$D$16)*$M7*$C7,0),IF(AL$4=EDATE('核心假设'!$B$5,1+$F7),SUM('融资租赁与资金缺口'!$D$5:$D$16)*$N7*$C7,0),IF(AL$4=EDATE('核心假设'!$B$5,2+$F7),SUM('融资租赁与资金缺口'!$D$5:$D$16)*$O7*$C7,0),IF(AL$4=EDATE('核心假设'!$B$5,3+$F7),SUM('融资租赁与资金缺口'!$D$5:$D$16)*$P7*$C7,0),IF(AL$4=EDATE('核心假设'!$B$5,4+$F7),SUM('融资租赁与资金缺口'!$D$5:$D$16)*$Q7*$C7,0),IF(AL$4=EDATE('核心假设'!$B$5,5+$F7),SUM('融资租赁与资金缺口'!$D$5:$D$16)*$R7*$C7,0),IF(AL$4=EDATE('核心假设'!$B$5,6+$F7),SUM('融资租赁与资金缺口'!$D$5:$D$16)*$S7*$C7,0),IF(AL$4=EDATE('核心假设'!$B$5,7+$F7),SUM('融资租赁与资金缺口'!$D$5:$D$16)*$T7*$C7,0),IF(AL$4=EDATE('核心假设'!$B$5,8+$F7),SUM('融资租赁与资金缺口'!$D$5:$D$16)*$U7*$C7,0),IF(AL$4=EDATE('核心假设'!$B$5,9+$F7),SUM('融资租赁与资金缺口'!$D$5:$D$16)*$V7*$C7,0),IF(AL$4=EDATE('核心假设'!$B$5,10+$F7),SUM('融资租赁与资金缺口'!$D$5:$D$16)*$W7*$C7,0),IF(AL$4=EDATE('核心假设'!$B$5,11+$F7),SUM('融资租赁与资金缺口'!$D$5:$D$16)*$X7*$C7,0),IF(AL$4=EDATE('核心假设'!$B$5,12+$F7),SUM('融资租赁与资金缺口'!$D$5:$D$16)*$Y7*$C7,0),IF(AL$4=EDATE('核心假设'!$B$5,13+$F7),SUM('融资租赁与资金缺口'!$D$5:$D$16)*$Z7*$C7,0),IF(AL$4=EDATE('核心假设'!$B$5,14+$F7),SUM('融资租赁与资金缺口'!$D$5:$D$16)*$AA7*$C7,0),IF(AL$4=EDATE('核心假设'!$B$5,15+$F7),SUM('融资租赁与资金缺口'!$D$5:$D$16)*$AB7*$C7,0),IF(AL$4=EDATE('核心假设'!$B$5,16+$F7),SUM('融资租赁与资金缺口'!$D$5:$D$16)*$AC7*$C7,0),IF(AL$4=EDATE('核心假设'!$B$5,17+$F7),SUM('融资租赁与资金缺口'!$D$5:$D$16)*$AD7*$C7,0))-AL21</x:f>
        <x:v>-50621745.10023993</x:v>
      </x:c>
      <x:c r="AM22" s="28" t="n">
        <x:f>AL22+AM18-AM19+SUM(IF(AM$4=EDATE('核心假设'!$B$5,0+$F7),SUM('融资租赁与资金缺口'!$D$5:$D$16)*$M7*$C7,0),IF(AM$4=EDATE('核心假设'!$B$5,1+$F7),SUM('融资租赁与资金缺口'!$D$5:$D$16)*$N7*$C7,0),IF(AM$4=EDATE('核心假设'!$B$5,2+$F7),SUM('融资租赁与资金缺口'!$D$5:$D$16)*$O7*$C7,0),IF(AM$4=EDATE('核心假设'!$B$5,3+$F7),SUM('融资租赁与资金缺口'!$D$5:$D$16)*$P7*$C7,0),IF(AM$4=EDATE('核心假设'!$B$5,4+$F7),SUM('融资租赁与资金缺口'!$D$5:$D$16)*$Q7*$C7,0),IF(AM$4=EDATE('核心假设'!$B$5,5+$F7),SUM('融资租赁与资金缺口'!$D$5:$D$16)*$R7*$C7,0),IF(AM$4=EDATE('核心假设'!$B$5,6+$F7),SUM('融资租赁与资金缺口'!$D$5:$D$16)*$S7*$C7,0),IF(AM$4=EDATE('核心假设'!$B$5,7+$F7),SUM('融资租赁与资金缺口'!$D$5:$D$16)*$T7*$C7,0),IF(AM$4=EDATE('核心假设'!$B$5,8+$F7),SUM('融资租赁与资金缺口'!$D$5:$D$16)*$U7*$C7,0),IF(AM$4=EDATE('核心假设'!$B$5,9+$F7),SUM('融资租赁与资金缺口'!$D$5:$D$16)*$V7*$C7,0),IF(AM$4=EDATE('核心假设'!$B$5,10+$F7),SUM('融资租赁与资金缺口'!$D$5:$D$16)*$W7*$C7,0),IF(AM$4=EDATE('核心假设'!$B$5,11+$F7),SUM('融资租赁与资金缺口'!$D$5:$D$16)*$X7*$C7,0),IF(AM$4=EDATE('核心假设'!$B$5,12+$F7),SUM('融资租赁与资金缺口'!$D$5:$D$16)*$Y7*$C7,0),IF(AM$4=EDATE('核心假设'!$B$5,13+$F7),SUM('融资租赁与资金缺口'!$D$5:$D$16)*$Z7*$C7,0),IF(AM$4=EDATE('核心假设'!$B$5,14+$F7),SUM('融资租赁与资金缺口'!$D$5:$D$16)*$AA7*$C7,0),IF(AM$4=EDATE('核心假设'!$B$5,15+$F7),SUM('融资租赁与资金缺口'!$D$5:$D$16)*$AB7*$C7,0),IF(AM$4=EDATE('核心假设'!$B$5,16+$F7),SUM('融资租赁与资金缺口'!$D$5:$D$16)*$AC7*$C7,0),IF(AM$4=EDATE('核心假设'!$B$5,17+$F7),SUM('融资租赁与资金缺口'!$D$5:$D$16)*$AD7*$C7,0))-AM21</x:f>
        <x:v>-60105128.28667053</x:v>
      </x:c>
      <x:c r="AN22" s="28" t="n">
        <x:f>AM22+AN18-AN19+SUM(IF(AN$4=EDATE('核心假设'!$B$5,0+$F7),SUM('融资租赁与资金缺口'!$D$5:$D$16)*$M7*$C7,0),IF(AN$4=EDATE('核心假设'!$B$5,1+$F7),SUM('融资租赁与资金缺口'!$D$5:$D$16)*$N7*$C7,0),IF(AN$4=EDATE('核心假设'!$B$5,2+$F7),SUM('融资租赁与资金缺口'!$D$5:$D$16)*$O7*$C7,0),IF(AN$4=EDATE('核心假设'!$B$5,3+$F7),SUM('融资租赁与资金缺口'!$D$5:$D$16)*$P7*$C7,0),IF(AN$4=EDATE('核心假设'!$B$5,4+$F7),SUM('融资租赁与资金缺口'!$D$5:$D$16)*$Q7*$C7,0),IF(AN$4=EDATE('核心假设'!$B$5,5+$F7),SUM('融资租赁与资金缺口'!$D$5:$D$16)*$R7*$C7,0),IF(AN$4=EDATE('核心假设'!$B$5,6+$F7),SUM('融资租赁与资金缺口'!$D$5:$D$16)*$S7*$C7,0),IF(AN$4=EDATE('核心假设'!$B$5,7+$F7),SUM('融资租赁与资金缺口'!$D$5:$D$16)*$T7*$C7,0),IF(AN$4=EDATE('核心假设'!$B$5,8+$F7),SUM('融资租赁与资金缺口'!$D$5:$D$16)*$U7*$C7,0),IF(AN$4=EDATE('核心假设'!$B$5,9+$F7),SUM('融资租赁与资金缺口'!$D$5:$D$16)*$V7*$C7,0),IF(AN$4=EDATE('核心假设'!$B$5,10+$F7),SUM('融资租赁与资金缺口'!$D$5:$D$16)*$W7*$C7,0),IF(AN$4=EDATE('核心假设'!$B$5,11+$F7),SUM('融资租赁与资金缺口'!$D$5:$D$16)*$X7*$C7,0),IF(AN$4=EDATE('核心假设'!$B$5,12+$F7),SUM('融资租赁与资金缺口'!$D$5:$D$16)*$Y7*$C7,0),IF(AN$4=EDATE('核心假设'!$B$5,13+$F7),SUM('融资租赁与资金缺口'!$D$5:$D$16)*$Z7*$C7,0),IF(AN$4=EDATE('核心假设'!$B$5,14+$F7),SUM('融资租赁与资金缺口'!$D$5:$D$16)*$AA7*$C7,0),IF(AN$4=EDATE('核心假设'!$B$5,15+$F7),SUM('融资租赁与资金缺口'!$D$5:$D$16)*$AB7*$C7,0),IF(AN$4=EDATE('核心假设'!$B$5,16+$F7),SUM('融资租赁与资金缺口'!$D$5:$D$16)*$AC7*$C7,0),IF(AN$4=EDATE('核心假设'!$B$5,17+$F7),SUM('融资租赁与资金缺口'!$D$5:$D$16)*$AD7*$C7,0))-AN21</x:f>
        <x:v>-67082663.09061416</x:v>
      </x:c>
      <x:c r="AO22" s="28" t="n">
        <x:f>AN22+AO18-AO19+SUM(IF(AO$4=EDATE('核心假设'!$B$5,0+$F7),SUM('融资租赁与资金缺口'!$D$5:$D$16)*$M7*$C7,0),IF(AO$4=EDATE('核心假设'!$B$5,1+$F7),SUM('融资租赁与资金缺口'!$D$5:$D$16)*$N7*$C7,0),IF(AO$4=EDATE('核心假设'!$B$5,2+$F7),SUM('融资租赁与资金缺口'!$D$5:$D$16)*$O7*$C7,0),IF(AO$4=EDATE('核心假设'!$B$5,3+$F7),SUM('融资租赁与资金缺口'!$D$5:$D$16)*$P7*$C7,0),IF(AO$4=EDATE('核心假设'!$B$5,4+$F7),SUM('融资租赁与资金缺口'!$D$5:$D$16)*$Q7*$C7,0),IF(AO$4=EDATE('核心假设'!$B$5,5+$F7),SUM('融资租赁与资金缺口'!$D$5:$D$16)*$R7*$C7,0),IF(AO$4=EDATE('核心假设'!$B$5,6+$F7),SUM('融资租赁与资金缺口'!$D$5:$D$16)*$S7*$C7,0),IF(AO$4=EDATE('核心假设'!$B$5,7+$F7),SUM('融资租赁与资金缺口'!$D$5:$D$16)*$T7*$C7,0),IF(AO$4=EDATE('核心假设'!$B$5,8+$F7),SUM('融资租赁与资金缺口'!$D$5:$D$16)*$U7*$C7,0),IF(AO$4=EDATE('核心假设'!$B$5,9+$F7),SUM('融资租赁与资金缺口'!$D$5:$D$16)*$V7*$C7,0),IF(AO$4=EDATE('核心假设'!$B$5,10+$F7),SUM('融资租赁与资金缺口'!$D$5:$D$16)*$W7*$C7,0),IF(AO$4=EDATE('核心假设'!$B$5,11+$F7),SUM('融资租赁与资金缺口'!$D$5:$D$16)*$X7*$C7,0),IF(AO$4=EDATE('核心假设'!$B$5,12+$F7),SUM('融资租赁与资金缺口'!$D$5:$D$16)*$Y7*$C7,0),IF(AO$4=EDATE('核心假设'!$B$5,13+$F7),SUM('融资租赁与资金缺口'!$D$5:$D$16)*$Z7*$C7,0),IF(AO$4=EDATE('核心假设'!$B$5,14+$F7),SUM('融资租赁与资金缺口'!$D$5:$D$16)*$AA7*$C7,0),IF(AO$4=EDATE('核心假设'!$B$5,15+$F7),SUM('融资租赁与资金缺口'!$D$5:$D$16)*$AB7*$C7,0),IF(AO$4=EDATE('核心假设'!$B$5,16+$F7),SUM('融资租赁与资金缺口'!$D$5:$D$16)*$AC7*$C7,0),IF(AO$4=EDATE('核心假设'!$B$5,17+$F7),SUM('融资租赁与资金缺口'!$D$5:$D$16)*$AD7*$C7,0))-AO21</x:f>
        <x:v>-68209348.68669993</x:v>
      </x:c>
      <x:c r="AP22" s="28" t="n">
        <x:f>AO22+AP18-AP19+SUM(IF(AP$4=EDATE('核心假设'!$B$5,0+$F7),SUM('融资租赁与资金缺口'!$D$5:$D$16)*$M7*$C7,0),IF(AP$4=EDATE('核心假设'!$B$5,1+$F7),SUM('融资租赁与资金缺口'!$D$5:$D$16)*$N7*$C7,0),IF(AP$4=EDATE('核心假设'!$B$5,2+$F7),SUM('融资租赁与资金缺口'!$D$5:$D$16)*$O7*$C7,0),IF(AP$4=EDATE('核心假设'!$B$5,3+$F7),SUM('融资租赁与资金缺口'!$D$5:$D$16)*$P7*$C7,0),IF(AP$4=EDATE('核心假设'!$B$5,4+$F7),SUM('融资租赁与资金缺口'!$D$5:$D$16)*$Q7*$C7,0),IF(AP$4=EDATE('核心假设'!$B$5,5+$F7),SUM('融资租赁与资金缺口'!$D$5:$D$16)*$R7*$C7,0),IF(AP$4=EDATE('核心假设'!$B$5,6+$F7),SUM('融资租赁与资金缺口'!$D$5:$D$16)*$S7*$C7,0),IF(AP$4=EDATE('核心假设'!$B$5,7+$F7),SUM('融资租赁与资金缺口'!$D$5:$D$16)*$T7*$C7,0),IF(AP$4=EDATE('核心假设'!$B$5,8+$F7),SUM('融资租赁与资金缺口'!$D$5:$D$16)*$U7*$C7,0),IF(AP$4=EDATE('核心假设'!$B$5,9+$F7),SUM('融资租赁与资金缺口'!$D$5:$D$16)*$V7*$C7,0),IF(AP$4=EDATE('核心假设'!$B$5,10+$F7),SUM('融资租赁与资金缺口'!$D$5:$D$16)*$W7*$C7,0),IF(AP$4=EDATE('核心假设'!$B$5,11+$F7),SUM('融资租赁与资金缺口'!$D$5:$D$16)*$X7*$C7,0),IF(AP$4=EDATE('核心假设'!$B$5,12+$F7),SUM('融资租赁与资金缺口'!$D$5:$D$16)*$Y7*$C7,0),IF(AP$4=EDATE('核心假设'!$B$5,13+$F7),SUM('融资租赁与资金缺口'!$D$5:$D$16)*$Z7*$C7,0),IF(AP$4=EDATE('核心假设'!$B$5,14+$F7),SUM('融资租赁与资金缺口'!$D$5:$D$16)*$AA7*$C7,0),IF(AP$4=EDATE('核心假设'!$B$5,15+$F7),SUM('融资租赁与资金缺口'!$D$5:$D$16)*$AB7*$C7,0),IF(AP$4=EDATE('核心假设'!$B$5,16+$F7),SUM('融资租赁与资金缺口'!$D$5:$D$16)*$AC7*$C7,0),IF(AP$4=EDATE('核心假设'!$B$5,17+$F7),SUM('融资租赁与资金缺口'!$D$5:$D$16)*$AD7*$C7,0))-AP21</x:f>
        <x:v>-63138627.013980776</x:v>
      </x:c>
      <x:c r="AQ22" s="28" t="n">
        <x:f>AP22+AQ18-AQ19+SUM(IF(AQ$4=EDATE('核心假设'!$B$5,0+$F7),SUM('融资租赁与资金缺口'!$D$5:$D$16)*$M7*$C7,0),IF(AQ$4=EDATE('核心假设'!$B$5,1+$F7),SUM('融资租赁与资金缺口'!$D$5:$D$16)*$N7*$C7,0),IF(AQ$4=EDATE('核心假设'!$B$5,2+$F7),SUM('融资租赁与资金缺口'!$D$5:$D$16)*$O7*$C7,0),IF(AQ$4=EDATE('核心假设'!$B$5,3+$F7),SUM('融资租赁与资金缺口'!$D$5:$D$16)*$P7*$C7,0),IF(AQ$4=EDATE('核心假设'!$B$5,4+$F7),SUM('融资租赁与资金缺口'!$D$5:$D$16)*$Q7*$C7,0),IF(AQ$4=EDATE('核心假设'!$B$5,5+$F7),SUM('融资租赁与资金缺口'!$D$5:$D$16)*$R7*$C7,0),IF(AQ$4=EDATE('核心假设'!$B$5,6+$F7),SUM('融资租赁与资金缺口'!$D$5:$D$16)*$S7*$C7,0),IF(AQ$4=EDATE('核心假设'!$B$5,7+$F7),SUM('融资租赁与资金缺口'!$D$5:$D$16)*$T7*$C7,0),IF(AQ$4=EDATE('核心假设'!$B$5,8+$F7),SUM('融资租赁与资金缺口'!$D$5:$D$16)*$U7*$C7,0),IF(AQ$4=EDATE('核心假设'!$B$5,9+$F7),SUM('融资租赁与资金缺口'!$D$5:$D$16)*$V7*$C7,0),IF(AQ$4=EDATE('核心假设'!$B$5,10+$F7),SUM('融资租赁与资金缺口'!$D$5:$D$16)*$W7*$C7,0),IF(AQ$4=EDATE('核心假设'!$B$5,11+$F7),SUM('融资租赁与资金缺口'!$D$5:$D$16)*$X7*$C7,0),IF(AQ$4=EDATE('核心假设'!$B$5,12+$F7),SUM('融资租赁与资金缺口'!$D$5:$D$16)*$Y7*$C7,0),IF(AQ$4=EDATE('核心假设'!$B$5,13+$F7),SUM('融资租赁与资金缺口'!$D$5:$D$16)*$Z7*$C7,0),IF(AQ$4=EDATE('核心假设'!$B$5,14+$F7),SUM('融资租赁与资金缺口'!$D$5:$D$16)*$AA7*$C7,0),IF(AQ$4=EDATE('核心假设'!$B$5,15+$F7),SUM('融资租赁与资金缺口'!$D$5:$D$16)*$AB7*$C7,0),IF(AQ$4=EDATE('核心假设'!$B$5,16+$F7),SUM('融资租赁与资金缺口'!$D$5:$D$16)*$AC7*$C7,0),IF(AQ$4=EDATE('核心假设'!$B$5,17+$F7),SUM('融资租赁与资金缺口'!$D$5:$D$16)*$AD7*$C7,0))-AQ21</x:f>
        <x:v>-53061002.172302574</x:v>
      </x:c>
      <x:c r="AR22" s="28" t="n">
        <x:f>AQ22+AR18-AR19+SUM(IF(AR$4=EDATE('核心假设'!$B$5,0+$F7),SUM('融资租赁与资金缺口'!$D$5:$D$16)*$M7*$C7,0),IF(AR$4=EDATE('核心假设'!$B$5,1+$F7),SUM('融资租赁与资金缺口'!$D$5:$D$16)*$N7*$C7,0),IF(AR$4=EDATE('核心假设'!$B$5,2+$F7),SUM('融资租赁与资金缺口'!$D$5:$D$16)*$O7*$C7,0),IF(AR$4=EDATE('核心假设'!$B$5,3+$F7),SUM('融资租赁与资金缺口'!$D$5:$D$16)*$P7*$C7,0),IF(AR$4=EDATE('核心假设'!$B$5,4+$F7),SUM('融资租赁与资金缺口'!$D$5:$D$16)*$Q7*$C7,0),IF(AR$4=EDATE('核心假设'!$B$5,5+$F7),SUM('融资租赁与资金缺口'!$D$5:$D$16)*$R7*$C7,0),IF(AR$4=EDATE('核心假设'!$B$5,6+$F7),SUM('融资租赁与资金缺口'!$D$5:$D$16)*$S7*$C7,0),IF(AR$4=EDATE('核心假设'!$B$5,7+$F7),SUM('融资租赁与资金缺口'!$D$5:$D$16)*$T7*$C7,0),IF(AR$4=EDATE('核心假设'!$B$5,8+$F7),SUM('融资租赁与资金缺口'!$D$5:$D$16)*$U7*$C7,0),IF(AR$4=EDATE('核心假设'!$B$5,9+$F7),SUM('融资租赁与资金缺口'!$D$5:$D$16)*$V7*$C7,0),IF(AR$4=EDATE('核心假设'!$B$5,10+$F7),SUM('融资租赁与资金缺口'!$D$5:$D$16)*$W7*$C7,0),IF(AR$4=EDATE('核心假设'!$B$5,11+$F7),SUM('融资租赁与资金缺口'!$D$5:$D$16)*$X7*$C7,0),IF(AR$4=EDATE('核心假设'!$B$5,12+$F7),SUM('融资租赁与资金缺口'!$D$5:$D$16)*$Y7*$C7,0),IF(AR$4=EDATE('核心假设'!$B$5,13+$F7),SUM('融资租赁与资金缺口'!$D$5:$D$16)*$Z7*$C7,0),IF(AR$4=EDATE('核心假设'!$B$5,14+$F7),SUM('融资租赁与资金缺口'!$D$5:$D$16)*$AA7*$C7,0),IF(AR$4=EDATE('核心假设'!$B$5,15+$F7),SUM('融资租赁与资金缺口'!$D$5:$D$16)*$AB7*$C7,0),IF(AR$4=EDATE('核心假设'!$B$5,16+$F7),SUM('融资租赁与资金缺口'!$D$5:$D$16)*$AC7*$C7,0),IF(AR$4=EDATE('核心假设'!$B$5,17+$F7),SUM('融资租赁与资金缺口'!$D$5:$D$16)*$AD7*$C7,0))-AR21</x:f>
        <x:v>-41271538.09417716</x:v>
      </x:c>
      <x:c r="AS22" s="28" t="n">
        <x:f>AR22+AS18-AS19+SUM(IF(AS$4=EDATE('核心假设'!$B$5,0+$F7),SUM('融资租赁与资金缺口'!$D$5:$D$16)*$M7*$C7,0),IF(AS$4=EDATE('核心假设'!$B$5,1+$F7),SUM('融资租赁与资金缺口'!$D$5:$D$16)*$N7*$C7,0),IF(AS$4=EDATE('核心假设'!$B$5,2+$F7),SUM('融资租赁与资金缺口'!$D$5:$D$16)*$O7*$C7,0),IF(AS$4=EDATE('核心假设'!$B$5,3+$F7),SUM('融资租赁与资金缺口'!$D$5:$D$16)*$P7*$C7,0),IF(AS$4=EDATE('核心假设'!$B$5,4+$F7),SUM('融资租赁与资金缺口'!$D$5:$D$16)*$Q7*$C7,0),IF(AS$4=EDATE('核心假设'!$B$5,5+$F7),SUM('融资租赁与资金缺口'!$D$5:$D$16)*$R7*$C7,0),IF(AS$4=EDATE('核心假设'!$B$5,6+$F7),SUM('融资租赁与资金缺口'!$D$5:$D$16)*$S7*$C7,0),IF(AS$4=EDATE('核心假设'!$B$5,7+$F7),SUM('融资租赁与资金缺口'!$D$5:$D$16)*$T7*$C7,0),IF(AS$4=EDATE('核心假设'!$B$5,8+$F7),SUM('融资租赁与资金缺口'!$D$5:$D$16)*$U7*$C7,0),IF(AS$4=EDATE('核心假设'!$B$5,9+$F7),SUM('融资租赁与资金缺口'!$D$5:$D$16)*$V7*$C7,0),IF(AS$4=EDATE('核心假设'!$B$5,10+$F7),SUM('融资租赁与资金缺口'!$D$5:$D$16)*$W7*$C7,0),IF(AS$4=EDATE('核心假设'!$B$5,11+$F7),SUM('融资租赁与资金缺口'!$D$5:$D$16)*$X7*$C7,0),IF(AS$4=EDATE('核心假设'!$B$5,12+$F7),SUM('融资租赁与资金缺口'!$D$5:$D$16)*$Y7*$C7,0),IF(AS$4=EDATE('核心假设'!$B$5,13+$F7),SUM('融资租赁与资金缺口'!$D$5:$D$16)*$Z7*$C7,0),IF(AS$4=EDATE('核心假设'!$B$5,14+$F7),SUM('融资租赁与资金缺口'!$D$5:$D$16)*$AA7*$C7,0),IF(AS$4=EDATE('核心假设'!$B$5,15+$F7),SUM('融资租赁与资金缺口'!$D$5:$D$16)*$AB7*$C7,0),IF(AS$4=EDATE('核心假设'!$B$5,16+$F7),SUM('融资租赁与资金缺口'!$D$5:$D$16)*$AC7*$C7,0),IF(AS$4=EDATE('核心假设'!$B$5,17+$F7),SUM('融资租赁与资金缺口'!$D$5:$D$16)*$AD7*$C7,0))-AS21</x:f>
        <x:v>-18228683.38354922</x:v>
      </x:c>
      <x:c r="AT22" s="28" t="n">
        <x:f>AS22+AT18-AT19+SUM(IF(AT$4=EDATE('核心假设'!$B$5,0+$F7),SUM('融资租赁与资金缺口'!$D$5:$D$16)*$M7*$C7,0),IF(AT$4=EDATE('核心假设'!$B$5,1+$F7),SUM('融资租赁与资金缺口'!$D$5:$D$16)*$N7*$C7,0),IF(AT$4=EDATE('核心假设'!$B$5,2+$F7),SUM('融资租赁与资金缺口'!$D$5:$D$16)*$O7*$C7,0),IF(AT$4=EDATE('核心假设'!$B$5,3+$F7),SUM('融资租赁与资金缺口'!$D$5:$D$16)*$P7*$C7,0),IF(AT$4=EDATE('核心假设'!$B$5,4+$F7),SUM('融资租赁与资金缺口'!$D$5:$D$16)*$Q7*$C7,0),IF(AT$4=EDATE('核心假设'!$B$5,5+$F7),SUM('融资租赁与资金缺口'!$D$5:$D$16)*$R7*$C7,0),IF(AT$4=EDATE('核心假设'!$B$5,6+$F7),SUM('融资租赁与资金缺口'!$D$5:$D$16)*$S7*$C7,0),IF(AT$4=EDATE('核心假设'!$B$5,7+$F7),SUM('融资租赁与资金缺口'!$D$5:$D$16)*$T7*$C7,0),IF(AT$4=EDATE('核心假设'!$B$5,8+$F7),SUM('融资租赁与资金缺口'!$D$5:$D$16)*$U7*$C7,0),IF(AT$4=EDATE('核心假设'!$B$5,9+$F7),SUM('融资租赁与资金缺口'!$D$5:$D$16)*$V7*$C7,0),IF(AT$4=EDATE('核心假设'!$B$5,10+$F7),SUM('融资租赁与资金缺口'!$D$5:$D$16)*$W7*$C7,0),IF(AT$4=EDATE('核心假设'!$B$5,11+$F7),SUM('融资租赁与资金缺口'!$D$5:$D$16)*$X7*$C7,0),IF(AT$4=EDATE('核心假设'!$B$5,12+$F7),SUM('融资租赁与资金缺口'!$D$5:$D$16)*$Y7*$C7,0),IF(AT$4=EDATE('核心假设'!$B$5,13+$F7),SUM('融资租赁与资金缺口'!$D$5:$D$16)*$Z7*$C7,0),IF(AT$4=EDATE('核心假设'!$B$5,14+$F7),SUM('融资租赁与资金缺口'!$D$5:$D$16)*$AA7*$C7,0),IF(AT$4=EDATE('核心假设'!$B$5,15+$F7),SUM('融资租赁与资金缺口'!$D$5:$D$16)*$AB7*$C7,0),IF(AT$4=EDATE('核心假设'!$B$5,16+$F7),SUM('融资租赁与资金缺口'!$D$5:$D$16)*$AC7*$C7,0),IF(AT$4=EDATE('核心假设'!$B$5,17+$F7),SUM('融资租赁与资金缺口'!$D$5:$D$16)*$AD7*$C7,0))-AT21</x:f>
        <x:v>5962567.928739486</x:v>
      </x:c>
      <x:c r="AU22" s="28" t="n">
        <x:f>AT22+AU18-AU19+SUM(IF(AU$4=EDATE('核心假设'!$B$5,0+$F7),SUM('融资租赁与资金缺口'!$D$5:$D$16)*$M7*$C7,0),IF(AU$4=EDATE('核心假设'!$B$5,1+$F7),SUM('融资租赁与资金缺口'!$D$5:$D$16)*$N7*$C7,0),IF(AU$4=EDATE('核心假设'!$B$5,2+$F7),SUM('融资租赁与资金缺口'!$D$5:$D$16)*$O7*$C7,0),IF(AU$4=EDATE('核心假设'!$B$5,3+$F7),SUM('融资租赁与资金缺口'!$D$5:$D$16)*$P7*$C7,0),IF(AU$4=EDATE('核心假设'!$B$5,4+$F7),SUM('融资租赁与资金缺口'!$D$5:$D$16)*$Q7*$C7,0),IF(AU$4=EDATE('核心假设'!$B$5,5+$F7),SUM('融资租赁与资金缺口'!$D$5:$D$16)*$R7*$C7,0),IF(AU$4=EDATE('核心假设'!$B$5,6+$F7),SUM('融资租赁与资金缺口'!$D$5:$D$16)*$S7*$C7,0),IF(AU$4=EDATE('核心假设'!$B$5,7+$F7),SUM('融资租赁与资金缺口'!$D$5:$D$16)*$T7*$C7,0),IF(AU$4=EDATE('核心假设'!$B$5,8+$F7),SUM('融资租赁与资金缺口'!$D$5:$D$16)*$U7*$C7,0),IF(AU$4=EDATE('核心假设'!$B$5,9+$F7),SUM('融资租赁与资金缺口'!$D$5:$D$16)*$V7*$C7,0),IF(AU$4=EDATE('核心假设'!$B$5,10+$F7),SUM('融资租赁与资金缺口'!$D$5:$D$16)*$W7*$C7,0),IF(AU$4=EDATE('核心假设'!$B$5,11+$F7),SUM('融资租赁与资金缺口'!$D$5:$D$16)*$X7*$C7,0),IF(AU$4=EDATE('核心假设'!$B$5,12+$F7),SUM('融资租赁与资金缺口'!$D$5:$D$16)*$Y7*$C7,0),IF(AU$4=EDATE('核心假设'!$B$5,13+$F7),SUM('融资租赁与资金缺口'!$D$5:$D$16)*$Z7*$C7,0),IF(AU$4=EDATE('核心假设'!$B$5,14+$F7),SUM('融资租赁与资金缺口'!$D$5:$D$16)*$AA7*$C7,0),IF(AU$4=EDATE('核心假设'!$B$5,15+$F7),SUM('融资租赁与资金缺口'!$D$5:$D$16)*$AB7*$C7,0),IF(AU$4=EDATE('核心假设'!$B$5,16+$F7),SUM('融资租赁与资金缺口'!$D$5:$D$16)*$AC7*$C7,0),IF(AU$4=EDATE('核心假设'!$B$5,17+$F7),SUM('融资租赁与资金缺口'!$D$5:$D$16)*$AD7*$C7,0))-AU21</x:f>
        <x:v>34381212.09483332</x:v>
      </x:c>
      <x:c r="AV22" s="28" t="n">
        <x:f>AU22+AV18-AV19+SUM(IF(AV$4=EDATE('核心假设'!$B$5,0+$F7),SUM('融资租赁与资金缺口'!$D$5:$D$16)*$M7*$C7,0),IF(AV$4=EDATE('核心假设'!$B$5,1+$F7),SUM('融资租赁与资金缺口'!$D$5:$D$16)*$N7*$C7,0),IF(AV$4=EDATE('核心假设'!$B$5,2+$F7),SUM('融资租赁与资金缺口'!$D$5:$D$16)*$O7*$C7,0),IF(AV$4=EDATE('核心假设'!$B$5,3+$F7),SUM('融资租赁与资金缺口'!$D$5:$D$16)*$P7*$C7,0),IF(AV$4=EDATE('核心假设'!$B$5,4+$F7),SUM('融资租赁与资金缺口'!$D$5:$D$16)*$Q7*$C7,0),IF(AV$4=EDATE('核心假设'!$B$5,5+$F7),SUM('融资租赁与资金缺口'!$D$5:$D$16)*$R7*$C7,0),IF(AV$4=EDATE('核心假设'!$B$5,6+$F7),SUM('融资租赁与资金缺口'!$D$5:$D$16)*$S7*$C7,0),IF(AV$4=EDATE('核心假设'!$B$5,7+$F7),SUM('融资租赁与资金缺口'!$D$5:$D$16)*$T7*$C7,0),IF(AV$4=EDATE('核心假设'!$B$5,8+$F7),SUM('融资租赁与资金缺口'!$D$5:$D$16)*$U7*$C7,0),IF(AV$4=EDATE('核心假设'!$B$5,9+$F7),SUM('融资租赁与资金缺口'!$D$5:$D$16)*$V7*$C7,0),IF(AV$4=EDATE('核心假设'!$B$5,10+$F7),SUM('融资租赁与资金缺口'!$D$5:$D$16)*$W7*$C7,0),IF(AV$4=EDATE('核心假设'!$B$5,11+$F7),SUM('融资租赁与资金缺口'!$D$5:$D$16)*$X7*$C7,0),IF(AV$4=EDATE('核心假设'!$B$5,12+$F7),SUM('融资租赁与资金缺口'!$D$5:$D$16)*$Y7*$C7,0),IF(AV$4=EDATE('核心假设'!$B$5,13+$F7),SUM('融资租赁与资金缺口'!$D$5:$D$16)*$Z7*$C7,0),IF(AV$4=EDATE('核心假设'!$B$5,14+$F7),SUM('融资租赁与资金缺口'!$D$5:$D$16)*$AA7*$C7,0),IF(AV$4=EDATE('核心假设'!$B$5,15+$F7),SUM('融资租赁与资金缺口'!$D$5:$D$16)*$AB7*$C7,0),IF(AV$4=EDATE('核心假设'!$B$5,16+$F7),SUM('融资租赁与资金缺口'!$D$5:$D$16)*$AC7*$C7,0),IF(AV$4=EDATE('核心假设'!$B$5,17+$F7),SUM('融资租赁与资金缺口'!$D$5:$D$16)*$AD7*$C7,0))-AV21</x:f>
        <x:v>59202957.12315398</x:v>
      </x:c>
      <x:c r="AW22" s="28" t="n">
        <x:f>AV22+AW18-AW19+SUM(IF(AW$4=EDATE('核心假设'!$B$5,0+$F7),SUM('融资租赁与资金缺口'!$D$5:$D$16)*$M7*$C7,0),IF(AW$4=EDATE('核心假设'!$B$5,1+$F7),SUM('融资租赁与资金缺口'!$D$5:$D$16)*$N7*$C7,0),IF(AW$4=EDATE('核心假设'!$B$5,2+$F7),SUM('融资租赁与资金缺口'!$D$5:$D$16)*$O7*$C7,0),IF(AW$4=EDATE('核心假设'!$B$5,3+$F7),SUM('融资租赁与资金缺口'!$D$5:$D$16)*$P7*$C7,0),IF(AW$4=EDATE('核心假设'!$B$5,4+$F7),SUM('融资租赁与资金缺口'!$D$5:$D$16)*$Q7*$C7,0),IF(AW$4=EDATE('核心假设'!$B$5,5+$F7),SUM('融资租赁与资金缺口'!$D$5:$D$16)*$R7*$C7,0),IF(AW$4=EDATE('核心假设'!$B$5,6+$F7),SUM('融资租赁与资金缺口'!$D$5:$D$16)*$S7*$C7,0),IF(AW$4=EDATE('核心假设'!$B$5,7+$F7),SUM('融资租赁与资金缺口'!$D$5:$D$16)*$T7*$C7,0),IF(AW$4=EDATE('核心假设'!$B$5,8+$F7),SUM('融资租赁与资金缺口'!$D$5:$D$16)*$U7*$C7,0),IF(AW$4=EDATE('核心假设'!$B$5,9+$F7),SUM('融资租赁与资金缺口'!$D$5:$D$16)*$V7*$C7,0),IF(AW$4=EDATE('核心假设'!$B$5,10+$F7),SUM('融资租赁与资金缺口'!$D$5:$D$16)*$W7*$C7,0),IF(AW$4=EDATE('核心假设'!$B$5,11+$F7),SUM('融资租赁与资金缺口'!$D$5:$D$16)*$X7*$C7,0),IF(AW$4=EDATE('核心假设'!$B$5,12+$F7),SUM('融资租赁与资金缺口'!$D$5:$D$16)*$Y7*$C7,0),IF(AW$4=EDATE('核心假设'!$B$5,13+$F7),SUM('融资租赁与资金缺口'!$D$5:$D$16)*$Z7*$C7,0),IF(AW$4=EDATE('核心假设'!$B$5,14+$F7),SUM('融资租赁与资金缺口'!$D$5:$D$16)*$AA7*$C7,0),IF(AW$4=EDATE('核心假设'!$B$5,15+$F7),SUM('融资租赁与资金缺口'!$D$5:$D$16)*$AB7*$C7,0),IF(AW$4=EDATE('核心假设'!$B$5,16+$F7),SUM('融资租赁与资金缺口'!$D$5:$D$16)*$AC7*$C7,0),IF(AW$4=EDATE('核心假设'!$B$5,17+$F7),SUM('融资租赁与资金缺口'!$D$5:$D$16)*$AD7*$C7,0))-AW21</x:f>
        <x:v>78170449.01188755</x:v>
      </x:c>
      <x:c r="AX22" s="28" t="n">
        <x:f>AW22+AX18-AX19+SUM(IF(AX$4=EDATE('核心假设'!$B$5,0+$F7),SUM('融资租赁与资金缺口'!$D$5:$D$16)*$M7*$C7,0),IF(AX$4=EDATE('核心假设'!$B$5,1+$F7),SUM('融资租赁与资金缺口'!$D$5:$D$16)*$N7*$C7,0),IF(AX$4=EDATE('核心假设'!$B$5,2+$F7),SUM('融资租赁与资金缺口'!$D$5:$D$16)*$O7*$C7,0),IF(AX$4=EDATE('核心假设'!$B$5,3+$F7),SUM('融资租赁与资金缺口'!$D$5:$D$16)*$P7*$C7,0),IF(AX$4=EDATE('核心假设'!$B$5,4+$F7),SUM('融资租赁与资金缺口'!$D$5:$D$16)*$Q7*$C7,0),IF(AX$4=EDATE('核心假设'!$B$5,5+$F7),SUM('融资租赁与资金缺口'!$D$5:$D$16)*$R7*$C7,0),IF(AX$4=EDATE('核心假设'!$B$5,6+$F7),SUM('融资租赁与资金缺口'!$D$5:$D$16)*$S7*$C7,0),IF(AX$4=EDATE('核心假设'!$B$5,7+$F7),SUM('融资租赁与资金缺口'!$D$5:$D$16)*$T7*$C7,0),IF(AX$4=EDATE('核心假设'!$B$5,8+$F7),SUM('融资租赁与资金缺口'!$D$5:$D$16)*$U7*$C7,0),IF(AX$4=EDATE('核心假设'!$B$5,9+$F7),SUM('融资租赁与资金缺口'!$D$5:$D$16)*$V7*$C7,0),IF(AX$4=EDATE('核心假设'!$B$5,10+$F7),SUM('融资租赁与资金缺口'!$D$5:$D$16)*$W7*$C7,0),IF(AX$4=EDATE('核心假设'!$B$5,11+$F7),SUM('融资租赁与资金缺口'!$D$5:$D$16)*$X7*$C7,0),IF(AX$4=EDATE('核心假设'!$B$5,12+$F7),SUM('融资租赁与资金缺口'!$D$5:$D$16)*$Y7*$C7,0),IF(AX$4=EDATE('核心假设'!$B$5,13+$F7),SUM('融资租赁与资金缺口'!$D$5:$D$16)*$Z7*$C7,0),IF(AX$4=EDATE('核心假设'!$B$5,14+$F7),SUM('融资租赁与资金缺口'!$D$5:$D$16)*$AA7*$C7,0),IF(AX$4=EDATE('核心假设'!$B$5,15+$F7),SUM('融资租赁与资金缺口'!$D$5:$D$16)*$AB7*$C7,0),IF(AX$4=EDATE('核心假设'!$B$5,16+$F7),SUM('融资租赁与资金缺口'!$D$5:$D$16)*$AC7*$C7,0),IF(AX$4=EDATE('核心假设'!$B$5,17+$F7),SUM('融资租赁与资金缺口'!$D$5:$D$16)*$AD7*$C7,0))-AX21</x:f>
        <x:v>97727020.86816691</x:v>
      </x:c>
      <x:c r="AY22" s="28" t="n">
        <x:f>AX22+AY18-AY19+SUM(IF(AY$4=EDATE('核心假设'!$B$5,0+$F7),SUM('融资租赁与资金缺口'!$D$5:$D$16)*$M7*$C7,0),IF(AY$4=EDATE('核心假设'!$B$5,1+$F7),SUM('融资租赁与资金缺口'!$D$5:$D$16)*$N7*$C7,0),IF(AY$4=EDATE('核心假设'!$B$5,2+$F7),SUM('融资租赁与资金缺口'!$D$5:$D$16)*$O7*$C7,0),IF(AY$4=EDATE('核心假设'!$B$5,3+$F7),SUM('融资租赁与资金缺口'!$D$5:$D$16)*$P7*$C7,0),IF(AY$4=EDATE('核心假设'!$B$5,4+$F7),SUM('融资租赁与资金缺口'!$D$5:$D$16)*$Q7*$C7,0),IF(AY$4=EDATE('核心假设'!$B$5,5+$F7),SUM('融资租赁与资金缺口'!$D$5:$D$16)*$R7*$C7,0),IF(AY$4=EDATE('核心假设'!$B$5,6+$F7),SUM('融资租赁与资金缺口'!$D$5:$D$16)*$S7*$C7,0),IF(AY$4=EDATE('核心假设'!$B$5,7+$F7),SUM('融资租赁与资金缺口'!$D$5:$D$16)*$T7*$C7,0),IF(AY$4=EDATE('核心假设'!$B$5,8+$F7),SUM('融资租赁与资金缺口'!$D$5:$D$16)*$U7*$C7,0),IF(AY$4=EDATE('核心假设'!$B$5,9+$F7),SUM('融资租赁与资金缺口'!$D$5:$D$16)*$V7*$C7,0),IF(AY$4=EDATE('核心假设'!$B$5,10+$F7),SUM('融资租赁与资金缺口'!$D$5:$D$16)*$W7*$C7,0),IF(AY$4=EDATE('核心假设'!$B$5,11+$F7),SUM('融资租赁与资金缺口'!$D$5:$D$16)*$X7*$C7,0),IF(AY$4=EDATE('核心假设'!$B$5,12+$F7),SUM('融资租赁与资金缺口'!$D$5:$D$16)*$Y7*$C7,0),IF(AY$4=EDATE('核心假设'!$B$5,13+$F7),SUM('融资租赁与资金缺口'!$D$5:$D$16)*$Z7*$C7,0),IF(AY$4=EDATE('核心假设'!$B$5,14+$F7),SUM('融资租赁与资金缺口'!$D$5:$D$16)*$AA7*$C7,0),IF(AY$4=EDATE('核心假设'!$B$5,15+$F7),SUM('融资租赁与资金缺口'!$D$5:$D$16)*$AB7*$C7,0),IF(AY$4=EDATE('核心假设'!$B$5,16+$F7),SUM('融资租赁与资金缺口'!$D$5:$D$16)*$AC7*$C7,0),IF(AY$4=EDATE('核心假设'!$B$5,17+$F7),SUM('融资租赁与资金缺口'!$D$5:$D$16)*$AD7*$C7,0))-AY21</x:f>
        <x:v>117710119.83209006</x:v>
      </x:c>
      <x:c r="AZ22" s="28" t="n">
        <x:f>AY22+AZ18-AZ19+SUM(IF(AZ$4=EDATE('核心假设'!$B$5,0+$F7),SUM('融资租赁与资金缺口'!$D$5:$D$16)*$M7*$C7,0),IF(AZ$4=EDATE('核心假设'!$B$5,1+$F7),SUM('融资租赁与资金缺口'!$D$5:$D$16)*$N7*$C7,0),IF(AZ$4=EDATE('核心假设'!$B$5,2+$F7),SUM('融资租赁与资金缺口'!$D$5:$D$16)*$O7*$C7,0),IF(AZ$4=EDATE('核心假设'!$B$5,3+$F7),SUM('融资租赁与资金缺口'!$D$5:$D$16)*$P7*$C7,0),IF(AZ$4=EDATE('核心假设'!$B$5,4+$F7),SUM('融资租赁与资金缺口'!$D$5:$D$16)*$Q7*$C7,0),IF(AZ$4=EDATE('核心假设'!$B$5,5+$F7),SUM('融资租赁与资金缺口'!$D$5:$D$16)*$R7*$C7,0),IF(AZ$4=EDATE('核心假设'!$B$5,6+$F7),SUM('融资租赁与资金缺口'!$D$5:$D$16)*$S7*$C7,0),IF(AZ$4=EDATE('核心假设'!$B$5,7+$F7),SUM('融资租赁与资金缺口'!$D$5:$D$16)*$T7*$C7,0),IF(AZ$4=EDATE('核心假设'!$B$5,8+$F7),SUM('融资租赁与资金缺口'!$D$5:$D$16)*$U7*$C7,0),IF(AZ$4=EDATE('核心假设'!$B$5,9+$F7),SUM('融资租赁与资金缺口'!$D$5:$D$16)*$V7*$C7,0),IF(AZ$4=EDATE('核心假设'!$B$5,10+$F7),SUM('融资租赁与资金缺口'!$D$5:$D$16)*$W7*$C7,0),IF(AZ$4=EDATE('核心假设'!$B$5,11+$F7),SUM('融资租赁与资金缺口'!$D$5:$D$16)*$X7*$C7,0),IF(AZ$4=EDATE('核心假设'!$B$5,12+$F7),SUM('融资租赁与资金缺口'!$D$5:$D$16)*$Y7*$C7,0),IF(AZ$4=EDATE('核心假设'!$B$5,13+$F7),SUM('融资租赁与资金缺口'!$D$5:$D$16)*$Z7*$C7,0),IF(AZ$4=EDATE('核心假设'!$B$5,14+$F7),SUM('融资租赁与资金缺口'!$D$5:$D$16)*$AA7*$C7,0),IF(AZ$4=EDATE('核心假设'!$B$5,15+$F7),SUM('融资租赁与资金缺口'!$D$5:$D$16)*$AB7*$C7,0),IF(AZ$4=EDATE('核心假设'!$B$5,16+$F7),SUM('融资租赁与资金缺口'!$D$5:$D$16)*$AC7*$C7,0),IF(AZ$4=EDATE('核心假设'!$B$5,17+$F7),SUM('融资租赁与资金缺口'!$D$5:$D$16)*$AD7*$C7,0))-AZ21</x:f>
        <x:v>138575111.00877252</x:v>
      </x:c>
      <x:c r="BA22" s="28" t="n">
        <x:f>AZ22+BA18-BA19+SUM(IF(BA$4=EDATE('核心假设'!$B$5,0+$F7),SUM('融资租赁与资金缺口'!$D$5:$D$16)*$M7*$C7,0),IF(BA$4=EDATE('核心假设'!$B$5,1+$F7),SUM('融资租赁与资金缺口'!$D$5:$D$16)*$N7*$C7,0),IF(BA$4=EDATE('核心假设'!$B$5,2+$F7),SUM('融资租赁与资金缺口'!$D$5:$D$16)*$O7*$C7,0),IF(BA$4=EDATE('核心假设'!$B$5,3+$F7),SUM('融资租赁与资金缺口'!$D$5:$D$16)*$P7*$C7,0),IF(BA$4=EDATE('核心假设'!$B$5,4+$F7),SUM('融资租赁与资金缺口'!$D$5:$D$16)*$Q7*$C7,0),IF(BA$4=EDATE('核心假设'!$B$5,5+$F7),SUM('融资租赁与资金缺口'!$D$5:$D$16)*$R7*$C7,0),IF(BA$4=EDATE('核心假设'!$B$5,6+$F7),SUM('融资租赁与资金缺口'!$D$5:$D$16)*$S7*$C7,0),IF(BA$4=EDATE('核心假设'!$B$5,7+$F7),SUM('融资租赁与资金缺口'!$D$5:$D$16)*$T7*$C7,0),IF(BA$4=EDATE('核心假设'!$B$5,8+$F7),SUM('融资租赁与资金缺口'!$D$5:$D$16)*$U7*$C7,0),IF(BA$4=EDATE('核心假设'!$B$5,9+$F7),SUM('融资租赁与资金缺口'!$D$5:$D$16)*$V7*$C7,0),IF(BA$4=EDATE('核心假设'!$B$5,10+$F7),SUM('融资租赁与资金缺口'!$D$5:$D$16)*$W7*$C7,0),IF(BA$4=EDATE('核心假设'!$B$5,11+$F7),SUM('融资租赁与资金缺口'!$D$5:$D$16)*$X7*$C7,0),IF(BA$4=EDATE('核心假设'!$B$5,12+$F7),SUM('融资租赁与资金缺口'!$D$5:$D$16)*$Y7*$C7,0),IF(BA$4=EDATE('核心假设'!$B$5,13+$F7),SUM('融资租赁与资金缺口'!$D$5:$D$16)*$Z7*$C7,0),IF(BA$4=EDATE('核心假设'!$B$5,14+$F7),SUM('融资租赁与资金缺口'!$D$5:$D$16)*$AA7*$C7,0),IF(BA$4=EDATE('核心假设'!$B$5,15+$F7),SUM('融资租赁与资金缺口'!$D$5:$D$16)*$AB7*$C7,0),IF(BA$4=EDATE('核心假设'!$B$5,16+$F7),SUM('融资租赁与资金缺口'!$D$5:$D$16)*$AC7*$C7,0),IF(BA$4=EDATE('核心假设'!$B$5,17+$F7),SUM('融资租赁与资金缺口'!$D$5:$D$16)*$AD7*$C7,0))-BA21</x:f>
        <x:v>162035956.2892531</x:v>
      </x:c>
      <x:c r="BB22" s="28" t="n">
        <x:f>BA22+BB18-BB19+SUM(IF(BB$4=EDATE('核心假设'!$B$5,0+$F7),SUM('融资租赁与资金缺口'!$D$5:$D$16)*$M7*$C7,0),IF(BB$4=EDATE('核心假设'!$B$5,1+$F7),SUM('融资租赁与资金缺口'!$D$5:$D$16)*$N7*$C7,0),IF(BB$4=EDATE('核心假设'!$B$5,2+$F7),SUM('融资租赁与资金缺口'!$D$5:$D$16)*$O7*$C7,0),IF(BB$4=EDATE('核心假设'!$B$5,3+$F7),SUM('融资租赁与资金缺口'!$D$5:$D$16)*$P7*$C7,0),IF(BB$4=EDATE('核心假设'!$B$5,4+$F7),SUM('融资租赁与资金缺口'!$D$5:$D$16)*$Q7*$C7,0),IF(BB$4=EDATE('核心假设'!$B$5,5+$F7),SUM('融资租赁与资金缺口'!$D$5:$D$16)*$R7*$C7,0),IF(BB$4=EDATE('核心假设'!$B$5,6+$F7),SUM('融资租赁与资金缺口'!$D$5:$D$16)*$S7*$C7,0),IF(BB$4=EDATE('核心假设'!$B$5,7+$F7),SUM('融资租赁与资金缺口'!$D$5:$D$16)*$T7*$C7,0),IF(BB$4=EDATE('核心假设'!$B$5,8+$F7),SUM('融资租赁与资金缺口'!$D$5:$D$16)*$U7*$C7,0),IF(BB$4=EDATE('核心假设'!$B$5,9+$F7),SUM('融资租赁与资金缺口'!$D$5:$D$16)*$V7*$C7,0),IF(BB$4=EDATE('核心假设'!$B$5,10+$F7),SUM('融资租赁与资金缺口'!$D$5:$D$16)*$W7*$C7,0),IF(BB$4=EDATE('核心假设'!$B$5,11+$F7),SUM('融资租赁与资金缺口'!$D$5:$D$16)*$X7*$C7,0),IF(BB$4=EDATE('核心假设'!$B$5,12+$F7),SUM('融资租赁与资金缺口'!$D$5:$D$16)*$Y7*$C7,0),IF(BB$4=EDATE('核心假设'!$B$5,13+$F7),SUM('融资租赁与资金缺口'!$D$5:$D$16)*$Z7*$C7,0),IF(BB$4=EDATE('核心假设'!$B$5,14+$F7),SUM('融资租赁与资金缺口'!$D$5:$D$16)*$AA7*$C7,0),IF(BB$4=EDATE('核心假设'!$B$5,15+$F7),SUM('融资租赁与资金缺口'!$D$5:$D$16)*$AB7*$C7,0),IF(BB$4=EDATE('核心假设'!$B$5,16+$F7),SUM('融资租赁与资金缺口'!$D$5:$D$16)*$AC7*$C7,0),IF(BB$4=EDATE('核心假设'!$B$5,17+$F7),SUM('融资租赁与资金缺口'!$D$5:$D$16)*$AD7*$C7,0))-BB21</x:f>
        <x:v>188116989.16159898</x:v>
      </x:c>
      <x:c r="BC22" s="28" t="n">
        <x:f>BB22+BC18-BC19+SUM(IF(BC$4=EDATE('核心假设'!$B$5,0+$F7),SUM('融资租赁与资金缺口'!$D$5:$D$16)*$M7*$C7,0),IF(BC$4=EDATE('核心假设'!$B$5,1+$F7),SUM('融资租赁与资金缺口'!$D$5:$D$16)*$N7*$C7,0),IF(BC$4=EDATE('核心假设'!$B$5,2+$F7),SUM('融资租赁与资金缺口'!$D$5:$D$16)*$O7*$C7,0),IF(BC$4=EDATE('核心假设'!$B$5,3+$F7),SUM('融资租赁与资金缺口'!$D$5:$D$16)*$P7*$C7,0),IF(BC$4=EDATE('核心假设'!$B$5,4+$F7),SUM('融资租赁与资金缺口'!$D$5:$D$16)*$Q7*$C7,0),IF(BC$4=EDATE('核心假设'!$B$5,5+$F7),SUM('融资租赁与资金缺口'!$D$5:$D$16)*$R7*$C7,0),IF(BC$4=EDATE('核心假设'!$B$5,6+$F7),SUM('融资租赁与资金缺口'!$D$5:$D$16)*$S7*$C7,0),IF(BC$4=EDATE('核心假设'!$B$5,7+$F7),SUM('融资租赁与资金缺口'!$D$5:$D$16)*$T7*$C7,0),IF(BC$4=EDATE('核心假设'!$B$5,8+$F7),SUM('融资租赁与资金缺口'!$D$5:$D$16)*$U7*$C7,0),IF(BC$4=EDATE('核心假设'!$B$5,9+$F7),SUM('融资租赁与资金缺口'!$D$5:$D$16)*$V7*$C7,0),IF(BC$4=EDATE('核心假设'!$B$5,10+$F7),SUM('融资租赁与资金缺口'!$D$5:$D$16)*$W7*$C7,0),IF(BC$4=EDATE('核心假设'!$B$5,11+$F7),SUM('融资租赁与资金缺口'!$D$5:$D$16)*$X7*$C7,0),IF(BC$4=EDATE('核心假设'!$B$5,12+$F7),SUM('融资租赁与资金缺口'!$D$5:$D$16)*$Y7*$C7,0),IF(BC$4=EDATE('核心假设'!$B$5,13+$F7),SUM('融资租赁与资金缺口'!$D$5:$D$16)*$Z7*$C7,0),IF(BC$4=EDATE('核心假设'!$B$5,14+$F7),SUM('融资租赁与资金缺口'!$D$5:$D$16)*$AA7*$C7,0),IF(BC$4=EDATE('核心假设'!$B$5,15+$F7),SUM('融资租赁与资金缺口'!$D$5:$D$16)*$AB7*$C7,0),IF(BC$4=EDATE('核心假设'!$B$5,16+$F7),SUM('融资租赁与资金缺口'!$D$5:$D$16)*$AC7*$C7,0),IF(BC$4=EDATE('核心假设'!$B$5,17+$F7),SUM('融资租赁与资金缺口'!$D$5:$D$16)*$AD7*$C7,0))-BC21</x:f>
        <x:v>215576419.05210924</x:v>
      </x:c>
      <x:c r="BD22" s="28" t="n">
        <x:f>BC22+BD18-BD19+SUM(IF(BD$4=EDATE('核心假设'!$B$5,0+$F7),SUM('融资租赁与资金缺口'!$D$5:$D$16)*$M7*$C7,0),IF(BD$4=EDATE('核心假设'!$B$5,1+$F7),SUM('融资租赁与资金缺口'!$D$5:$D$16)*$N7*$C7,0),IF(BD$4=EDATE('核心假设'!$B$5,2+$F7),SUM('融资租赁与资金缺口'!$D$5:$D$16)*$O7*$C7,0),IF(BD$4=EDATE('核心假设'!$B$5,3+$F7),SUM('融资租赁与资金缺口'!$D$5:$D$16)*$P7*$C7,0),IF(BD$4=EDATE('核心假设'!$B$5,4+$F7),SUM('融资租赁与资金缺口'!$D$5:$D$16)*$Q7*$C7,0),IF(BD$4=EDATE('核心假设'!$B$5,5+$F7),SUM('融资租赁与资金缺口'!$D$5:$D$16)*$R7*$C7,0),IF(BD$4=EDATE('核心假设'!$B$5,6+$F7),SUM('融资租赁与资金缺口'!$D$5:$D$16)*$S7*$C7,0),IF(BD$4=EDATE('核心假设'!$B$5,7+$F7),SUM('融资租赁与资金缺口'!$D$5:$D$16)*$T7*$C7,0),IF(BD$4=EDATE('核心假设'!$B$5,8+$F7),SUM('融资租赁与资金缺口'!$D$5:$D$16)*$U7*$C7,0),IF(BD$4=EDATE('核心假设'!$B$5,9+$F7),SUM('融资租赁与资金缺口'!$D$5:$D$16)*$V7*$C7,0),IF(BD$4=EDATE('核心假设'!$B$5,10+$F7),SUM('融资租赁与资金缺口'!$D$5:$D$16)*$W7*$C7,0),IF(BD$4=EDATE('核心假设'!$B$5,11+$F7),SUM('融资租赁与资金缺口'!$D$5:$D$16)*$X7*$C7,0),IF(BD$4=EDATE('核心假设'!$B$5,12+$F7),SUM('融资租赁与资金缺口'!$D$5:$D$16)*$Y7*$C7,0),IF(BD$4=EDATE('核心假设'!$B$5,13+$F7),SUM('融资租赁与资金缺口'!$D$5:$D$16)*$Z7*$C7,0),IF(BD$4=EDATE('核心假设'!$B$5,14+$F7),SUM('融资租赁与资金缺口'!$D$5:$D$16)*$AA7*$C7,0),IF(BD$4=EDATE('核心假设'!$B$5,15+$F7),SUM('融资租赁与资金缺口'!$D$5:$D$16)*$AB7*$C7,0),IF(BD$4=EDATE('核心假设'!$B$5,16+$F7),SUM('融资租赁与资金缺口'!$D$5:$D$16)*$AC7*$C7,0),IF(BD$4=EDATE('核心假设'!$B$5,17+$F7),SUM('融资租赁与资金缺口'!$D$5:$D$16)*$AD7*$C7,0))-BD21</x:f>
        <x:v>240318404.001386</x:v>
      </x:c>
      <x:c r="BE22" s="28" t="n">
        <x:f>BD22+BE18-BE19+SUM(IF(BE$4=EDATE('核心假设'!$B$5,0+$F7),SUM('融资租赁与资金缺口'!$D$5:$D$16)*$M7*$C7,0),IF(BE$4=EDATE('核心假设'!$B$5,1+$F7),SUM('融资租赁与资金缺口'!$D$5:$D$16)*$N7*$C7,0),IF(BE$4=EDATE('核心假设'!$B$5,2+$F7),SUM('融资租赁与资金缺口'!$D$5:$D$16)*$O7*$C7,0),IF(BE$4=EDATE('核心假设'!$B$5,3+$F7),SUM('融资租赁与资金缺口'!$D$5:$D$16)*$P7*$C7,0),IF(BE$4=EDATE('核心假设'!$B$5,4+$F7),SUM('融资租赁与资金缺口'!$D$5:$D$16)*$Q7*$C7,0),IF(BE$4=EDATE('核心假设'!$B$5,5+$F7),SUM('融资租赁与资金缺口'!$D$5:$D$16)*$R7*$C7,0),IF(BE$4=EDATE('核心假设'!$B$5,6+$F7),SUM('融资租赁与资金缺口'!$D$5:$D$16)*$S7*$C7,0),IF(BE$4=EDATE('核心假设'!$B$5,7+$F7),SUM('融资租赁与资金缺口'!$D$5:$D$16)*$T7*$C7,0),IF(BE$4=EDATE('核心假设'!$B$5,8+$F7),SUM('融资租赁与资金缺口'!$D$5:$D$16)*$U7*$C7,0),IF(BE$4=EDATE('核心假设'!$B$5,9+$F7),SUM('融资租赁与资金缺口'!$D$5:$D$16)*$V7*$C7,0),IF(BE$4=EDATE('核心假设'!$B$5,10+$F7),SUM('融资租赁与资金缺口'!$D$5:$D$16)*$W7*$C7,0),IF(BE$4=EDATE('核心假设'!$B$5,11+$F7),SUM('融资租赁与资金缺口'!$D$5:$D$16)*$X7*$C7,0),IF(BE$4=EDATE('核心假设'!$B$5,12+$F7),SUM('融资租赁与资金缺口'!$D$5:$D$16)*$Y7*$C7,0),IF(BE$4=EDATE('核心假设'!$B$5,13+$F7),SUM('融资租赁与资金缺口'!$D$5:$D$16)*$Z7*$C7,0),IF(BE$4=EDATE('核心假设'!$B$5,14+$F7),SUM('融资租赁与资金缺口'!$D$5:$D$16)*$AA7*$C7,0),IF(BE$4=EDATE('核心假设'!$B$5,15+$F7),SUM('融资租赁与资金缺口'!$D$5:$D$16)*$AB7*$C7,0),IF(BE$4=EDATE('核心假设'!$B$5,16+$F7),SUM('融资租赁与资金缺口'!$D$5:$D$16)*$AC7*$C7,0),IF(BE$4=EDATE('核心假设'!$B$5,17+$F7),SUM('融资租赁与资金缺口'!$D$5:$D$16)*$AD7*$C7,0))-BE21</x:f>
        <x:v>264034618.93647087</x:v>
      </x:c>
      <x:c r="BF22" s="28" t="n">
        <x:f>BE22+BF18-BF19+SUM(IF(BF$4=EDATE('核心假设'!$B$5,0+$F7),SUM('融资租赁与资金缺口'!$D$5:$D$16)*$M7*$C7,0),IF(BF$4=EDATE('核心假设'!$B$5,1+$F7),SUM('融资租赁与资金缺口'!$D$5:$D$16)*$N7*$C7,0),IF(BF$4=EDATE('核心假设'!$B$5,2+$F7),SUM('融资租赁与资金缺口'!$D$5:$D$16)*$O7*$C7,0),IF(BF$4=EDATE('核心假设'!$B$5,3+$F7),SUM('融资租赁与资金缺口'!$D$5:$D$16)*$P7*$C7,0),IF(BF$4=EDATE('核心假设'!$B$5,4+$F7),SUM('融资租赁与资金缺口'!$D$5:$D$16)*$Q7*$C7,0),IF(BF$4=EDATE('核心假设'!$B$5,5+$F7),SUM('融资租赁与资金缺口'!$D$5:$D$16)*$R7*$C7,0),IF(BF$4=EDATE('核心假设'!$B$5,6+$F7),SUM('融资租赁与资金缺口'!$D$5:$D$16)*$S7*$C7,0),IF(BF$4=EDATE('核心假设'!$B$5,7+$F7),SUM('融资租赁与资金缺口'!$D$5:$D$16)*$T7*$C7,0),IF(BF$4=EDATE('核心假设'!$B$5,8+$F7),SUM('融资租赁与资金缺口'!$D$5:$D$16)*$U7*$C7,0),IF(BF$4=EDATE('核心假设'!$B$5,9+$F7),SUM('融资租赁与资金缺口'!$D$5:$D$16)*$V7*$C7,0),IF(BF$4=EDATE('核心假设'!$B$5,10+$F7),SUM('融资租赁与资金缺口'!$D$5:$D$16)*$W7*$C7,0),IF(BF$4=EDATE('核心假设'!$B$5,11+$F7),SUM('融资租赁与资金缺口'!$D$5:$D$16)*$X7*$C7,0),IF(BF$4=EDATE('核心假设'!$B$5,12+$F7),SUM('融资租赁与资金缺口'!$D$5:$D$16)*$Y7*$C7,0),IF(BF$4=EDATE('核心假设'!$B$5,13+$F7),SUM('融资租赁与资金缺口'!$D$5:$D$16)*$Z7*$C7,0),IF(BF$4=EDATE('核心假设'!$B$5,14+$F7),SUM('融资租赁与资金缺口'!$D$5:$D$16)*$AA7*$C7,0),IF(BF$4=EDATE('核心假设'!$B$5,15+$F7),SUM('融资租赁与资金缺口'!$D$5:$D$16)*$AB7*$C7,0),IF(BF$4=EDATE('核心假设'!$B$5,16+$F7),SUM('融资租赁与资金缺口'!$D$5:$D$16)*$AC7*$C7,0),IF(BF$4=EDATE('核心假设'!$B$5,17+$F7),SUM('融资租赁与资金缺口'!$D$5:$D$16)*$AD7*$C7,0))-BF21</x:f>
        <x:v>288499113.8656057</x:v>
      </x:c>
      <x:c r="BG22" s="28" t="n">
        <x:f>BF22+BG18-BG19+SUM(IF(BG$4=EDATE('核心假设'!$B$5,0+$F7),SUM('融资租赁与资金缺口'!$D$5:$D$16)*$M7*$C7,0),IF(BG$4=EDATE('核心假设'!$B$5,1+$F7),SUM('融资租赁与资金缺口'!$D$5:$D$16)*$N7*$C7,0),IF(BG$4=EDATE('核心假设'!$B$5,2+$F7),SUM('融资租赁与资金缺口'!$D$5:$D$16)*$O7*$C7,0),IF(BG$4=EDATE('核心假设'!$B$5,3+$F7),SUM('融资租赁与资金缺口'!$D$5:$D$16)*$P7*$C7,0),IF(BG$4=EDATE('核心假设'!$B$5,4+$F7),SUM('融资租赁与资金缺口'!$D$5:$D$16)*$Q7*$C7,0),IF(BG$4=EDATE('核心假设'!$B$5,5+$F7),SUM('融资租赁与资金缺口'!$D$5:$D$16)*$R7*$C7,0),IF(BG$4=EDATE('核心假设'!$B$5,6+$F7),SUM('融资租赁与资金缺口'!$D$5:$D$16)*$S7*$C7,0),IF(BG$4=EDATE('核心假设'!$B$5,7+$F7),SUM('融资租赁与资金缺口'!$D$5:$D$16)*$T7*$C7,0),IF(BG$4=EDATE('核心假设'!$B$5,8+$F7),SUM('融资租赁与资金缺口'!$D$5:$D$16)*$U7*$C7,0),IF(BG$4=EDATE('核心假设'!$B$5,9+$F7),SUM('融资租赁与资金缺口'!$D$5:$D$16)*$V7*$C7,0),IF(BG$4=EDATE('核心假设'!$B$5,10+$F7),SUM('融资租赁与资金缺口'!$D$5:$D$16)*$W7*$C7,0),IF(BG$4=EDATE('核心假设'!$B$5,11+$F7),SUM('融资租赁与资金缺口'!$D$5:$D$16)*$X7*$C7,0),IF(BG$4=EDATE('核心假设'!$B$5,12+$F7),SUM('融资租赁与资金缺口'!$D$5:$D$16)*$Y7*$C7,0),IF(BG$4=EDATE('核心假设'!$B$5,13+$F7),SUM('融资租赁与资金缺口'!$D$5:$D$16)*$Z7*$C7,0),IF(BG$4=EDATE('核心假设'!$B$5,14+$F7),SUM('融资租赁与资金缺口'!$D$5:$D$16)*$AA7*$C7,0),IF(BG$4=EDATE('核心假设'!$B$5,15+$F7),SUM('融资租赁与资金缺口'!$D$5:$D$16)*$AB7*$C7,0),IF(BG$4=EDATE('核心假设'!$B$5,16+$F7),SUM('融资租赁与资金缺口'!$D$5:$D$16)*$AC7*$C7,0),IF(BG$4=EDATE('核心假设'!$B$5,17+$F7),SUM('融资租赁与资金缺口'!$D$5:$D$16)*$AD7*$C7,0))-BG21</x:f>
        <x:v>316993322.42043734</x:v>
      </x:c>
      <x:c r="BH22" s="28" t="n">
        <x:f>BG22+BH18-BH19+SUM(IF(BH$4=EDATE('核心假设'!$B$5,0+$F7),SUM('融资租赁与资金缺口'!$D$5:$D$16)*$M7*$C7,0),IF(BH$4=EDATE('核心假设'!$B$5,1+$F7),SUM('融资租赁与资金缺口'!$D$5:$D$16)*$N7*$C7,0),IF(BH$4=EDATE('核心假设'!$B$5,2+$F7),SUM('融资租赁与资金缺口'!$D$5:$D$16)*$O7*$C7,0),IF(BH$4=EDATE('核心假设'!$B$5,3+$F7),SUM('融资租赁与资金缺口'!$D$5:$D$16)*$P7*$C7,0),IF(BH$4=EDATE('核心假设'!$B$5,4+$F7),SUM('融资租赁与资金缺口'!$D$5:$D$16)*$Q7*$C7,0),IF(BH$4=EDATE('核心假设'!$B$5,5+$F7),SUM('融资租赁与资金缺口'!$D$5:$D$16)*$R7*$C7,0),IF(BH$4=EDATE('核心假设'!$B$5,6+$F7),SUM('融资租赁与资金缺口'!$D$5:$D$16)*$S7*$C7,0),IF(BH$4=EDATE('核心假设'!$B$5,7+$F7),SUM('融资租赁与资金缺口'!$D$5:$D$16)*$T7*$C7,0),IF(BH$4=EDATE('核心假设'!$B$5,8+$F7),SUM('融资租赁与资金缺口'!$D$5:$D$16)*$U7*$C7,0),IF(BH$4=EDATE('核心假设'!$B$5,9+$F7),SUM('融资租赁与资金缺口'!$D$5:$D$16)*$V7*$C7,0),IF(BH$4=EDATE('核心假设'!$B$5,10+$F7),SUM('融资租赁与资金缺口'!$D$5:$D$16)*$W7*$C7,0),IF(BH$4=EDATE('核心假设'!$B$5,11+$F7),SUM('融资租赁与资金缺口'!$D$5:$D$16)*$X7*$C7,0),IF(BH$4=EDATE('核心假设'!$B$5,12+$F7),SUM('融资租赁与资金缺口'!$D$5:$D$16)*$Y7*$C7,0),IF(BH$4=EDATE('核心假设'!$B$5,13+$F7),SUM('融资租赁与资金缺口'!$D$5:$D$16)*$Z7*$C7,0),IF(BH$4=EDATE('核心假设'!$B$5,14+$F7),SUM('融资租赁与资金缺口'!$D$5:$D$16)*$AA7*$C7,0),IF(BH$4=EDATE('核心假设'!$B$5,15+$F7),SUM('融资租赁与资金缺口'!$D$5:$D$16)*$AB7*$C7,0),IF(BH$4=EDATE('核心假设'!$B$5,16+$F7),SUM('融资租赁与资金缺口'!$D$5:$D$16)*$AC7*$C7,0),IF(BH$4=EDATE('核心假设'!$B$5,17+$F7),SUM('融资租赁与资金缺口'!$D$5:$D$16)*$AD7*$C7,0))-BH21</x:f>
        <x:v>341815067.448758</x:v>
      </x:c>
      <x:c r="BI22" s="28" t="n">
        <x:f>BH22+BI18-BI19+SUM(IF(BI$4=EDATE('核心假设'!$B$5,0+$F7),SUM('融资租赁与资金缺口'!$D$5:$D$16)*$M7*$C7,0),IF(BI$4=EDATE('核心假设'!$B$5,1+$F7),SUM('融资租赁与资金缺口'!$D$5:$D$16)*$N7*$C7,0),IF(BI$4=EDATE('核心假设'!$B$5,2+$F7),SUM('融资租赁与资金缺口'!$D$5:$D$16)*$O7*$C7,0),IF(BI$4=EDATE('核心假设'!$B$5,3+$F7),SUM('融资租赁与资金缺口'!$D$5:$D$16)*$P7*$C7,0),IF(BI$4=EDATE('核心假设'!$B$5,4+$F7),SUM('融资租赁与资金缺口'!$D$5:$D$16)*$Q7*$C7,0),IF(BI$4=EDATE('核心假设'!$B$5,5+$F7),SUM('融资租赁与资金缺口'!$D$5:$D$16)*$R7*$C7,0),IF(BI$4=EDATE('核心假设'!$B$5,6+$F7),SUM('融资租赁与资金缺口'!$D$5:$D$16)*$S7*$C7,0),IF(BI$4=EDATE('核心假设'!$B$5,7+$F7),SUM('融资租赁与资金缺口'!$D$5:$D$16)*$T7*$C7,0),IF(BI$4=EDATE('核心假设'!$B$5,8+$F7),SUM('融资租赁与资金缺口'!$D$5:$D$16)*$U7*$C7,0),IF(BI$4=EDATE('核心假设'!$B$5,9+$F7),SUM('融资租赁与资金缺口'!$D$5:$D$16)*$V7*$C7,0),IF(BI$4=EDATE('核心假设'!$B$5,10+$F7),SUM('融资租赁与资金缺口'!$D$5:$D$16)*$W7*$C7,0),IF(BI$4=EDATE('核心假设'!$B$5,11+$F7),SUM('融资租赁与资金缺口'!$D$5:$D$16)*$X7*$C7,0),IF(BI$4=EDATE('核心假设'!$B$5,12+$F7),SUM('融资租赁与资金缺口'!$D$5:$D$16)*$Y7*$C7,0),IF(BI$4=EDATE('核心假设'!$B$5,13+$F7),SUM('融资租赁与资金缺口'!$D$5:$D$16)*$Z7*$C7,0),IF(BI$4=EDATE('核心假设'!$B$5,14+$F7),SUM('融资租赁与资金缺口'!$D$5:$D$16)*$AA7*$C7,0),IF(BI$4=EDATE('核心假设'!$B$5,15+$F7),SUM('融资租赁与资金缺口'!$D$5:$D$16)*$AB7*$C7,0),IF(BI$4=EDATE('核心假设'!$B$5,16+$F7),SUM('融资租赁与资金缺口'!$D$5:$D$16)*$AC7*$C7,0),IF(BI$4=EDATE('核心假设'!$B$5,17+$F7),SUM('融资租赁与资金缺口'!$D$5:$D$16)*$AD7*$C7,0))-BI21</x:f>
        <x:v>359663473.1547558</x:v>
      </x:c>
      <x:c r="BJ22" s="28" t="n">
        <x:f>BI22+BJ18-BJ19+SUM(IF(BJ$4=EDATE('核心假设'!$B$5,0+$F7),SUM('融资租赁与资金缺口'!$D$5:$D$16)*$M7*$C7,0),IF(BJ$4=EDATE('核心假设'!$B$5,1+$F7),SUM('融资租赁与资金缺口'!$D$5:$D$16)*$N7*$C7,0),IF(BJ$4=EDATE('核心假设'!$B$5,2+$F7),SUM('融资租赁与资金缺口'!$D$5:$D$16)*$O7*$C7,0),IF(BJ$4=EDATE('核心假设'!$B$5,3+$F7),SUM('融资租赁与资金缺口'!$D$5:$D$16)*$P7*$C7,0),IF(BJ$4=EDATE('核心假设'!$B$5,4+$F7),SUM('融资租赁与资金缺口'!$D$5:$D$16)*$Q7*$C7,0),IF(BJ$4=EDATE('核心假设'!$B$5,5+$F7),SUM('融资租赁与资金缺口'!$D$5:$D$16)*$R7*$C7,0),IF(BJ$4=EDATE('核心假设'!$B$5,6+$F7),SUM('融资租赁与资金缺口'!$D$5:$D$16)*$S7*$C7,0),IF(BJ$4=EDATE('核心假设'!$B$5,7+$F7),SUM('融资租赁与资金缺口'!$D$5:$D$16)*$T7*$C7,0),IF(BJ$4=EDATE('核心假设'!$B$5,8+$F7),SUM('融资租赁与资金缺口'!$D$5:$D$16)*$U7*$C7,0),IF(BJ$4=EDATE('核心假设'!$B$5,9+$F7),SUM('融资租赁与资金缺口'!$D$5:$D$16)*$V7*$C7,0),IF(BJ$4=EDATE('核心假设'!$B$5,10+$F7),SUM('融资租赁与资金缺口'!$D$5:$D$16)*$W7*$C7,0),IF(BJ$4=EDATE('核心假设'!$B$5,11+$F7),SUM('融资租赁与资金缺口'!$D$5:$D$16)*$X7*$C7,0),IF(BJ$4=EDATE('核心假设'!$B$5,12+$F7),SUM('融资租赁与资金缺口'!$D$5:$D$16)*$Y7*$C7,0),IF(BJ$4=EDATE('核心假设'!$B$5,13+$F7),SUM('融资租赁与资金缺口'!$D$5:$D$16)*$Z7*$C7,0),IF(BJ$4=EDATE('核心假设'!$B$5,14+$F7),SUM('融资租赁与资金缺口'!$D$5:$D$16)*$AA7*$C7,0),IF(BJ$4=EDATE('核心假设'!$B$5,15+$F7),SUM('融资租赁与资金缺口'!$D$5:$D$16)*$AB7*$C7,0),IF(BJ$4=EDATE('核心假设'!$B$5,16+$F7),SUM('融资租赁与资金缺口'!$D$5:$D$16)*$AC7*$C7,0),IF(BJ$4=EDATE('核心假设'!$B$5,17+$F7),SUM('融资租赁与资金缺口'!$D$5:$D$16)*$AD7*$C7,0))-BJ21</x:f>
        <x:v>379220045.01103514</x:v>
      </x:c>
      <x:c r="BK22" s="28" t="n">
        <x:f>BJ22+BK18-BK19+SUM(IF(BK$4=EDATE('核心假设'!$B$5,0+$F7),SUM('融资租赁与资金缺口'!$D$5:$D$16)*$M7*$C7,0),IF(BK$4=EDATE('核心假设'!$B$5,1+$F7),SUM('融资租赁与资金缺口'!$D$5:$D$16)*$N7*$C7,0),IF(BK$4=EDATE('核心假设'!$B$5,2+$F7),SUM('融资租赁与资金缺口'!$D$5:$D$16)*$O7*$C7,0),IF(BK$4=EDATE('核心假设'!$B$5,3+$F7),SUM('融资租赁与资金缺口'!$D$5:$D$16)*$P7*$C7,0),IF(BK$4=EDATE('核心假设'!$B$5,4+$F7),SUM('融资租赁与资金缺口'!$D$5:$D$16)*$Q7*$C7,0),IF(BK$4=EDATE('核心假设'!$B$5,5+$F7),SUM('融资租赁与资金缺口'!$D$5:$D$16)*$R7*$C7,0),IF(BK$4=EDATE('核心假设'!$B$5,6+$F7),SUM('融资租赁与资金缺口'!$D$5:$D$16)*$S7*$C7,0),IF(BK$4=EDATE('核心假设'!$B$5,7+$F7),SUM('融资租赁与资金缺口'!$D$5:$D$16)*$T7*$C7,0),IF(BK$4=EDATE('核心假设'!$B$5,8+$F7),SUM('融资租赁与资金缺口'!$D$5:$D$16)*$U7*$C7,0),IF(BK$4=EDATE('核心假设'!$B$5,9+$F7),SUM('融资租赁与资金缺口'!$D$5:$D$16)*$V7*$C7,0),IF(BK$4=EDATE('核心假设'!$B$5,10+$F7),SUM('融资租赁与资金缺口'!$D$5:$D$16)*$W7*$C7,0),IF(BK$4=EDATE('核心假设'!$B$5,11+$F7),SUM('融资租赁与资金缺口'!$D$5:$D$16)*$X7*$C7,0),IF(BK$4=EDATE('核心假设'!$B$5,12+$F7),SUM('融资租赁与资金缺口'!$D$5:$D$16)*$Y7*$C7,0),IF(BK$4=EDATE('核心假设'!$B$5,13+$F7),SUM('融资租赁与资金缺口'!$D$5:$D$16)*$Z7*$C7,0),IF(BK$4=EDATE('核心假设'!$B$5,14+$F7),SUM('融资租赁与资金缺口'!$D$5:$D$16)*$AA7*$C7,0),IF(BK$4=EDATE('核心假设'!$B$5,15+$F7),SUM('融资租赁与资金缺口'!$D$5:$D$16)*$AB7*$C7,0),IF(BK$4=EDATE('核心假设'!$B$5,16+$F7),SUM('融资租赁与资金缺口'!$D$5:$D$16)*$AC7*$C7,0),IF(BK$4=EDATE('核心假设'!$B$5,17+$F7),SUM('融资租赁与资金缺口'!$D$5:$D$16)*$AD7*$C7,0))-BK21</x:f>
        <x:v>399203143.9749583</x:v>
      </x:c>
      <x:c r="BL22" s="28" t="n">
        <x:f>BK22+BL18-BL19+SUM(IF(BL$4=EDATE('核心假设'!$B$5,0+$F7),SUM('融资租赁与资金缺口'!$D$5:$D$16)*$M7*$C7,0),IF(BL$4=EDATE('核心假设'!$B$5,1+$F7),SUM('融资租赁与资金缺口'!$D$5:$D$16)*$N7*$C7,0),IF(BL$4=EDATE('核心假设'!$B$5,2+$F7),SUM('融资租赁与资金缺口'!$D$5:$D$16)*$O7*$C7,0),IF(BL$4=EDATE('核心假设'!$B$5,3+$F7),SUM('融资租赁与资金缺口'!$D$5:$D$16)*$P7*$C7,0),IF(BL$4=EDATE('核心假设'!$B$5,4+$F7),SUM('融资租赁与资金缺口'!$D$5:$D$16)*$Q7*$C7,0),IF(BL$4=EDATE('核心假设'!$B$5,5+$F7),SUM('融资租赁与资金缺口'!$D$5:$D$16)*$R7*$C7,0),IF(BL$4=EDATE('核心假设'!$B$5,6+$F7),SUM('融资租赁与资金缺口'!$D$5:$D$16)*$S7*$C7,0),IF(BL$4=EDATE('核心假设'!$B$5,7+$F7),SUM('融资租赁与资金缺口'!$D$5:$D$16)*$T7*$C7,0),IF(BL$4=EDATE('核心假设'!$B$5,8+$F7),SUM('融资租赁与资金缺口'!$D$5:$D$16)*$U7*$C7,0),IF(BL$4=EDATE('核心假设'!$B$5,9+$F7),SUM('融资租赁与资金缺口'!$D$5:$D$16)*$V7*$C7,0),IF(BL$4=EDATE('核心假设'!$B$5,10+$F7),SUM('融资租赁与资金缺口'!$D$5:$D$16)*$W7*$C7,0),IF(BL$4=EDATE('核心假设'!$B$5,11+$F7),SUM('融资租赁与资金缺口'!$D$5:$D$16)*$X7*$C7,0),IF(BL$4=EDATE('核心假设'!$B$5,12+$F7),SUM('融资租赁与资金缺口'!$D$5:$D$16)*$Y7*$C7,0),IF(BL$4=EDATE('核心假设'!$B$5,13+$F7),SUM('融资租赁与资金缺口'!$D$5:$D$16)*$Z7*$C7,0),IF(BL$4=EDATE('核心假设'!$B$5,14+$F7),SUM('融资租赁与资金缺口'!$D$5:$D$16)*$AA7*$C7,0),IF(BL$4=EDATE('核心假设'!$B$5,15+$F7),SUM('融资租赁与资金缺口'!$D$5:$D$16)*$AB7*$C7,0),IF(BL$4=EDATE('核心假设'!$B$5,16+$F7),SUM('融资租赁与资金缺口'!$D$5:$D$16)*$AC7*$C7,0),IF(BL$4=EDATE('核心假设'!$B$5,17+$F7),SUM('融资租赁与资金缺口'!$D$5:$D$16)*$AD7*$C7,0))-BL21</x:f>
        <x:v>420068135.1516408</x:v>
      </x:c>
      <x:c r="BM22" s="28" t="n">
        <x:f>BL22+BM18-BM19+SUM(IF(BM$4=EDATE('核心假设'!$B$5,0+$F7),SUM('融资租赁与资金缺口'!$D$5:$D$16)*$M7*$C7,0),IF(BM$4=EDATE('核心假设'!$B$5,1+$F7),SUM('融资租赁与资金缺口'!$D$5:$D$16)*$N7*$C7,0),IF(BM$4=EDATE('核心假设'!$B$5,2+$F7),SUM('融资租赁与资金缺口'!$D$5:$D$16)*$O7*$C7,0),IF(BM$4=EDATE('核心假设'!$B$5,3+$F7),SUM('融资租赁与资金缺口'!$D$5:$D$16)*$P7*$C7,0),IF(BM$4=EDATE('核心假设'!$B$5,4+$F7),SUM('融资租赁与资金缺口'!$D$5:$D$16)*$Q7*$C7,0),IF(BM$4=EDATE('核心假设'!$B$5,5+$F7),SUM('融资租赁与资金缺口'!$D$5:$D$16)*$R7*$C7,0),IF(BM$4=EDATE('核心假设'!$B$5,6+$F7),SUM('融资租赁与资金缺口'!$D$5:$D$16)*$S7*$C7,0),IF(BM$4=EDATE('核心假设'!$B$5,7+$F7),SUM('融资租赁与资金缺口'!$D$5:$D$16)*$T7*$C7,0),IF(BM$4=EDATE('核心假设'!$B$5,8+$F7),SUM('融资租赁与资金缺口'!$D$5:$D$16)*$U7*$C7,0),IF(BM$4=EDATE('核心假设'!$B$5,9+$F7),SUM('融资租赁与资金缺口'!$D$5:$D$16)*$V7*$C7,0),IF(BM$4=EDATE('核心假设'!$B$5,10+$F7),SUM('融资租赁与资金缺口'!$D$5:$D$16)*$W7*$C7,0),IF(BM$4=EDATE('核心假设'!$B$5,11+$F7),SUM('融资租赁与资金缺口'!$D$5:$D$16)*$X7*$C7,0),IF(BM$4=EDATE('核心假设'!$B$5,12+$F7),SUM('融资租赁与资金缺口'!$D$5:$D$16)*$Y7*$C7,0),IF(BM$4=EDATE('核心假设'!$B$5,13+$F7),SUM('融资租赁与资金缺口'!$D$5:$D$16)*$Z7*$C7,0),IF(BM$4=EDATE('核心假设'!$B$5,14+$F7),SUM('融资租赁与资金缺口'!$D$5:$D$16)*$AA7*$C7,0),IF(BM$4=EDATE('核心假设'!$B$5,15+$F7),SUM('融资租赁与资金缺口'!$D$5:$D$16)*$AB7*$C7,0),IF(BM$4=EDATE('核心假设'!$B$5,16+$F7),SUM('融资租赁与资金缺口'!$D$5:$D$16)*$AC7*$C7,0),IF(BM$4=EDATE('核心假设'!$B$5,17+$F7),SUM('融资租赁与资金缺口'!$D$5:$D$16)*$AD7*$C7,0))-BM21</x:f>
        <x:v>443528980.43212134</x:v>
      </x:c>
      <x:c r="BN22" s="28" t="n">
        <x:f>BM22+BN18-BN19+SUM(IF(BN$4=EDATE('核心假设'!$B$5,0+$F7),SUM('融资租赁与资金缺口'!$D$5:$D$16)*$M7*$C7,0),IF(BN$4=EDATE('核心假设'!$B$5,1+$F7),SUM('融资租赁与资金缺口'!$D$5:$D$16)*$N7*$C7,0),IF(BN$4=EDATE('核心假设'!$B$5,2+$F7),SUM('融资租赁与资金缺口'!$D$5:$D$16)*$O7*$C7,0),IF(BN$4=EDATE('核心假设'!$B$5,3+$F7),SUM('融资租赁与资金缺口'!$D$5:$D$16)*$P7*$C7,0),IF(BN$4=EDATE('核心假设'!$B$5,4+$F7),SUM('融资租赁与资金缺口'!$D$5:$D$16)*$Q7*$C7,0),IF(BN$4=EDATE('核心假设'!$B$5,5+$F7),SUM('融资租赁与资金缺口'!$D$5:$D$16)*$R7*$C7,0),IF(BN$4=EDATE('核心假设'!$B$5,6+$F7),SUM('融资租赁与资金缺口'!$D$5:$D$16)*$S7*$C7,0),IF(BN$4=EDATE('核心假设'!$B$5,7+$F7),SUM('融资租赁与资金缺口'!$D$5:$D$16)*$T7*$C7,0),IF(BN$4=EDATE('核心假设'!$B$5,8+$F7),SUM('融资租赁与资金缺口'!$D$5:$D$16)*$U7*$C7,0),IF(BN$4=EDATE('核心假设'!$B$5,9+$F7),SUM('融资租赁与资金缺口'!$D$5:$D$16)*$V7*$C7,0),IF(BN$4=EDATE('核心假设'!$B$5,10+$F7),SUM('融资租赁与资金缺口'!$D$5:$D$16)*$W7*$C7,0),IF(BN$4=EDATE('核心假设'!$B$5,11+$F7),SUM('融资租赁与资金缺口'!$D$5:$D$16)*$X7*$C7,0),IF(BN$4=EDATE('核心假设'!$B$5,12+$F7),SUM('融资租赁与资金缺口'!$D$5:$D$16)*$Y7*$C7,0),IF(BN$4=EDATE('核心假设'!$B$5,13+$F7),SUM('融资租赁与资金缺口'!$D$5:$D$16)*$Z7*$C7,0),IF(BN$4=EDATE('核心假设'!$B$5,14+$F7),SUM('融资租赁与资金缺口'!$D$5:$D$16)*$AA7*$C7,0),IF(BN$4=EDATE('核心假设'!$B$5,15+$F7),SUM('融资租赁与资金缺口'!$D$5:$D$16)*$AB7*$C7,0),IF(BN$4=EDATE('核心假设'!$B$5,16+$F7),SUM('融资租赁与资金缺口'!$D$5:$D$16)*$AC7*$C7,0),IF(BN$4=EDATE('核心假设'!$B$5,17+$F7),SUM('融资租赁与资金缺口'!$D$5:$D$16)*$AD7*$C7,0))-BN21</x:f>
        <x:v>469610013.3044672</x:v>
      </x:c>
      <x:c r="BO22" s="28" t="n">
        <x:f>BN22+BO18-BO19+SUM(IF(BO$4=EDATE('核心假设'!$B$5,0+$F7),SUM('融资租赁与资金缺口'!$D$5:$D$16)*$M7*$C7,0),IF(BO$4=EDATE('核心假设'!$B$5,1+$F7),SUM('融资租赁与资金缺口'!$D$5:$D$16)*$N7*$C7,0),IF(BO$4=EDATE('核心假设'!$B$5,2+$F7),SUM('融资租赁与资金缺口'!$D$5:$D$16)*$O7*$C7,0),IF(BO$4=EDATE('核心假设'!$B$5,3+$F7),SUM('融资租赁与资金缺口'!$D$5:$D$16)*$P7*$C7,0),IF(BO$4=EDATE('核心假设'!$B$5,4+$F7),SUM('融资租赁与资金缺口'!$D$5:$D$16)*$Q7*$C7,0),IF(BO$4=EDATE('核心假设'!$B$5,5+$F7),SUM('融资租赁与资金缺口'!$D$5:$D$16)*$R7*$C7,0),IF(BO$4=EDATE('核心假设'!$B$5,6+$F7),SUM('融资租赁与资金缺口'!$D$5:$D$16)*$S7*$C7,0),IF(BO$4=EDATE('核心假设'!$B$5,7+$F7),SUM('融资租赁与资金缺口'!$D$5:$D$16)*$T7*$C7,0),IF(BO$4=EDATE('核心假设'!$B$5,8+$F7),SUM('融资租赁与资金缺口'!$D$5:$D$16)*$U7*$C7,0),IF(BO$4=EDATE('核心假设'!$B$5,9+$F7),SUM('融资租赁与资金缺口'!$D$5:$D$16)*$V7*$C7,0),IF(BO$4=EDATE('核心假设'!$B$5,10+$F7),SUM('融资租赁与资金缺口'!$D$5:$D$16)*$W7*$C7,0),IF(BO$4=EDATE('核心假设'!$B$5,11+$F7),SUM('融资租赁与资金缺口'!$D$5:$D$16)*$X7*$C7,0),IF(BO$4=EDATE('核心假设'!$B$5,12+$F7),SUM('融资租赁与资金缺口'!$D$5:$D$16)*$Y7*$C7,0),IF(BO$4=EDATE('核心假设'!$B$5,13+$F7),SUM('融资租赁与资金缺口'!$D$5:$D$16)*$Z7*$C7,0),IF(BO$4=EDATE('核心假设'!$B$5,14+$F7),SUM('融资租赁与资金缺口'!$D$5:$D$16)*$AA7*$C7,0),IF(BO$4=EDATE('核心假设'!$B$5,15+$F7),SUM('融资租赁与资金缺口'!$D$5:$D$16)*$AB7*$C7,0),IF(BO$4=EDATE('核心假设'!$B$5,16+$F7),SUM('融资租赁与资金缺口'!$D$5:$D$16)*$AC7*$C7,0),IF(BO$4=EDATE('核心假设'!$B$5,17+$F7),SUM('融资租赁与资金缺口'!$D$5:$D$16)*$AD7*$C7,0))-BO21</x:f>
        <x:v>497069443.19497746</x:v>
      </x:c>
      <x:c r="BP22" s="28" t="n">
        <x:f>BO22+BP18-BP19+SUM(IF(BP$4=EDATE('核心假设'!$B$5,0+$F7),SUM('融资租赁与资金缺口'!$D$5:$D$16)*$M7*$C7,0),IF(BP$4=EDATE('核心假设'!$B$5,1+$F7),SUM('融资租赁与资金缺口'!$D$5:$D$16)*$N7*$C7,0),IF(BP$4=EDATE('核心假设'!$B$5,2+$F7),SUM('融资租赁与资金缺口'!$D$5:$D$16)*$O7*$C7,0),IF(BP$4=EDATE('核心假设'!$B$5,3+$F7),SUM('融资租赁与资金缺口'!$D$5:$D$16)*$P7*$C7,0),IF(BP$4=EDATE('核心假设'!$B$5,4+$F7),SUM('融资租赁与资金缺口'!$D$5:$D$16)*$Q7*$C7,0),IF(BP$4=EDATE('核心假设'!$B$5,5+$F7),SUM('融资租赁与资金缺口'!$D$5:$D$16)*$R7*$C7,0),IF(BP$4=EDATE('核心假设'!$B$5,6+$F7),SUM('融资租赁与资金缺口'!$D$5:$D$16)*$S7*$C7,0),IF(BP$4=EDATE('核心假设'!$B$5,7+$F7),SUM('融资租赁与资金缺口'!$D$5:$D$16)*$T7*$C7,0),IF(BP$4=EDATE('核心假设'!$B$5,8+$F7),SUM('融资租赁与资金缺口'!$D$5:$D$16)*$U7*$C7,0),IF(BP$4=EDATE('核心假设'!$B$5,9+$F7),SUM('融资租赁与资金缺口'!$D$5:$D$16)*$V7*$C7,0),IF(BP$4=EDATE('核心假设'!$B$5,10+$F7),SUM('融资租赁与资金缺口'!$D$5:$D$16)*$W7*$C7,0),IF(BP$4=EDATE('核心假设'!$B$5,11+$F7),SUM('融资租赁与资金缺口'!$D$5:$D$16)*$X7*$C7,0),IF(BP$4=EDATE('核心假设'!$B$5,12+$F7),SUM('融资租赁与资金缺口'!$D$5:$D$16)*$Y7*$C7,0),IF(BP$4=EDATE('核心假设'!$B$5,13+$F7),SUM('融资租赁与资金缺口'!$D$5:$D$16)*$Z7*$C7,0),IF(BP$4=EDATE('核心假设'!$B$5,14+$F7),SUM('融资租赁与资金缺口'!$D$5:$D$16)*$AA7*$C7,0),IF(BP$4=EDATE('核心假设'!$B$5,15+$F7),SUM('融资租赁与资金缺口'!$D$5:$D$16)*$AB7*$C7,0),IF(BP$4=EDATE('核心假设'!$B$5,16+$F7),SUM('融资租赁与资金缺口'!$D$5:$D$16)*$AC7*$C7,0),IF(BP$4=EDATE('核心假设'!$B$5,17+$F7),SUM('融资租赁与资金缺口'!$D$5:$D$16)*$AD7*$C7,0))-BP21</x:f>
        <x:v>521811428.1442542</x:v>
      </x:c>
      <x:c r="BQ22" s="28" t="n">
        <x:f>BP22+BQ18-BQ19+SUM(IF(BQ$4=EDATE('核心假设'!$B$5,0+$F7),SUM('融资租赁与资金缺口'!$D$5:$D$16)*$M7*$C7,0),IF(BQ$4=EDATE('核心假设'!$B$5,1+$F7),SUM('融资租赁与资金缺口'!$D$5:$D$16)*$N7*$C7,0),IF(BQ$4=EDATE('核心假设'!$B$5,2+$F7),SUM('融资租赁与资金缺口'!$D$5:$D$16)*$O7*$C7,0),IF(BQ$4=EDATE('核心假设'!$B$5,3+$F7),SUM('融资租赁与资金缺口'!$D$5:$D$16)*$P7*$C7,0),IF(BQ$4=EDATE('核心假设'!$B$5,4+$F7),SUM('融资租赁与资金缺口'!$D$5:$D$16)*$Q7*$C7,0),IF(BQ$4=EDATE('核心假设'!$B$5,5+$F7),SUM('融资租赁与资金缺口'!$D$5:$D$16)*$R7*$C7,0),IF(BQ$4=EDATE('核心假设'!$B$5,6+$F7),SUM('融资租赁与资金缺口'!$D$5:$D$16)*$S7*$C7,0),IF(BQ$4=EDATE('核心假设'!$B$5,7+$F7),SUM('融资租赁与资金缺口'!$D$5:$D$16)*$T7*$C7,0),IF(BQ$4=EDATE('核心假设'!$B$5,8+$F7),SUM('融资租赁与资金缺口'!$D$5:$D$16)*$U7*$C7,0),IF(BQ$4=EDATE('核心假设'!$B$5,9+$F7),SUM('融资租赁与资金缺口'!$D$5:$D$16)*$V7*$C7,0),IF(BQ$4=EDATE('核心假设'!$B$5,10+$F7),SUM('融资租赁与资金缺口'!$D$5:$D$16)*$W7*$C7,0),IF(BQ$4=EDATE('核心假设'!$B$5,11+$F7),SUM('融资租赁与资金缺口'!$D$5:$D$16)*$X7*$C7,0),IF(BQ$4=EDATE('核心假设'!$B$5,12+$F7),SUM('融资租赁与资金缺口'!$D$5:$D$16)*$Y7*$C7,0),IF(BQ$4=EDATE('核心假设'!$B$5,13+$F7),SUM('融资租赁与资金缺口'!$D$5:$D$16)*$Z7*$C7,0),IF(BQ$4=EDATE('核心假设'!$B$5,14+$F7),SUM('融资租赁与资金缺口'!$D$5:$D$16)*$AA7*$C7,0),IF(BQ$4=EDATE('核心假设'!$B$5,15+$F7),SUM('融资租赁与资金缺口'!$D$5:$D$16)*$AB7*$C7,0),IF(BQ$4=EDATE('核心假设'!$B$5,16+$F7),SUM('融资租赁与资金缺口'!$D$5:$D$16)*$AC7*$C7,0),IF(BQ$4=EDATE('核心假设'!$B$5,17+$F7),SUM('融资租赁与资金缺口'!$D$5:$D$16)*$AD7*$C7,0))-BQ21</x:f>
        <x:v>545255993.0793391</x:v>
      </x:c>
      <x:c r="BR22" s="28" t="n">
        <x:f>BQ22+BR18-BR19+SUM(IF(BR$4=EDATE('核心假设'!$B$5,0+$F7),SUM('融资租赁与资金缺口'!$D$5:$D$16)*$M7*$C7,0),IF(BR$4=EDATE('核心假设'!$B$5,1+$F7),SUM('融资租赁与资金缺口'!$D$5:$D$16)*$N7*$C7,0),IF(BR$4=EDATE('核心假设'!$B$5,2+$F7),SUM('融资租赁与资金缺口'!$D$5:$D$16)*$O7*$C7,0),IF(BR$4=EDATE('核心假设'!$B$5,3+$F7),SUM('融资租赁与资金缺口'!$D$5:$D$16)*$P7*$C7,0),IF(BR$4=EDATE('核心假设'!$B$5,4+$F7),SUM('融资租赁与资金缺口'!$D$5:$D$16)*$Q7*$C7,0),IF(BR$4=EDATE('核心假设'!$B$5,5+$F7),SUM('融资租赁与资金缺口'!$D$5:$D$16)*$R7*$C7,0),IF(BR$4=EDATE('核心假设'!$B$5,6+$F7),SUM('融资租赁与资金缺口'!$D$5:$D$16)*$S7*$C7,0),IF(BR$4=EDATE('核心假设'!$B$5,7+$F7),SUM('融资租赁与资金缺口'!$D$5:$D$16)*$T7*$C7,0),IF(BR$4=EDATE('核心假设'!$B$5,8+$F7),SUM('融资租赁与资金缺口'!$D$5:$D$16)*$U7*$C7,0),IF(BR$4=EDATE('核心假设'!$B$5,9+$F7),SUM('融资租赁与资金缺口'!$D$5:$D$16)*$V7*$C7,0),IF(BR$4=EDATE('核心假设'!$B$5,10+$F7),SUM('融资租赁与资金缺口'!$D$5:$D$16)*$W7*$C7,0),IF(BR$4=EDATE('核心假设'!$B$5,11+$F7),SUM('融资租赁与资金缺口'!$D$5:$D$16)*$X7*$C7,0),IF(BR$4=EDATE('核心假设'!$B$5,12+$F7),SUM('融资租赁与资金缺口'!$D$5:$D$16)*$Y7*$C7,0),IF(BR$4=EDATE('核心假设'!$B$5,13+$F7),SUM('融资租赁与资金缺口'!$D$5:$D$16)*$Z7*$C7,0),IF(BR$4=EDATE('核心假设'!$B$5,14+$F7),SUM('融资租赁与资金缺口'!$D$5:$D$16)*$AA7*$C7,0),IF(BR$4=EDATE('核心假设'!$B$5,15+$F7),SUM('融资租赁与资金缺口'!$D$5:$D$16)*$AB7*$C7,0),IF(BR$4=EDATE('核心假设'!$B$5,16+$F7),SUM('融资租赁与资金缺口'!$D$5:$D$16)*$AC7*$C7,0),IF(BR$4=EDATE('核心假设'!$B$5,17+$F7),SUM('融资租赁与资金缺口'!$D$5:$D$16)*$AD7*$C7,0))-BR21</x:f>
        <x:v>570068808.3790042</x:v>
      </x:c>
      <x:c r="BS22" s="28" t="n">
        <x:f>BR22+BS18-BS19+SUM(IF(BS$4=EDATE('核心假设'!$B$5,0+$F7),SUM('融资租赁与资金缺口'!$D$5:$D$16)*$M7*$C7,0),IF(BS$4=EDATE('核心假设'!$B$5,1+$F7),SUM('融资租赁与资金缺口'!$D$5:$D$16)*$N7*$C7,0),IF(BS$4=EDATE('核心假设'!$B$5,2+$F7),SUM('融资租赁与资金缺口'!$D$5:$D$16)*$O7*$C7,0),IF(BS$4=EDATE('核心假设'!$B$5,3+$F7),SUM('融资租赁与资金缺口'!$D$5:$D$16)*$P7*$C7,0),IF(BS$4=EDATE('核心假设'!$B$5,4+$F7),SUM('融资租赁与资金缺口'!$D$5:$D$16)*$Q7*$C7,0),IF(BS$4=EDATE('核心假设'!$B$5,5+$F7),SUM('融资租赁与资金缺口'!$D$5:$D$16)*$R7*$C7,0),IF(BS$4=EDATE('核心假设'!$B$5,6+$F7),SUM('融资租赁与资金缺口'!$D$5:$D$16)*$S7*$C7,0),IF(BS$4=EDATE('核心假设'!$B$5,7+$F7),SUM('融资租赁与资金缺口'!$D$5:$D$16)*$T7*$C7,0),IF(BS$4=EDATE('核心假设'!$B$5,8+$F7),SUM('融资租赁与资金缺口'!$D$5:$D$16)*$U7*$C7,0),IF(BS$4=EDATE('核心假设'!$B$5,9+$F7),SUM('融资租赁与资金缺口'!$D$5:$D$16)*$V7*$C7,0),IF(BS$4=EDATE('核心假设'!$B$5,10+$F7),SUM('融资租赁与资金缺口'!$D$5:$D$16)*$W7*$C7,0),IF(BS$4=EDATE('核心假设'!$B$5,11+$F7),SUM('融资租赁与资金缺口'!$D$5:$D$16)*$X7*$C7,0),IF(BS$4=EDATE('核心假设'!$B$5,12+$F7),SUM('融资租赁与资金缺口'!$D$5:$D$16)*$Y7*$C7,0),IF(BS$4=EDATE('核心假设'!$B$5,13+$F7),SUM('融资租赁与资金缺口'!$D$5:$D$16)*$Z7*$C7,0),IF(BS$4=EDATE('核心假设'!$B$5,14+$F7),SUM('融资租赁与资金缺口'!$D$5:$D$16)*$AA7*$C7,0),IF(BS$4=EDATE('核心假设'!$B$5,15+$F7),SUM('融资租赁与资金缺口'!$D$5:$D$16)*$AB7*$C7,0),IF(BS$4=EDATE('核心假设'!$B$5,16+$F7),SUM('融资租赁与资金缺口'!$D$5:$D$16)*$AC7*$C7,0),IF(BS$4=EDATE('核心假设'!$B$5,17+$F7),SUM('融资租赁与资金缺口'!$D$5:$D$16)*$AD7*$C7,0))-BS21</x:f>
        <x:v>599666167.7490023</x:v>
      </x:c>
      <x:c r="BT22" s="28" t="n">
        <x:f>BS22+BT18-BT19+SUM(IF(BT$4=EDATE('核心假设'!$B$5,0+$F7),SUM('融资租赁与资金缺口'!$D$5:$D$16)*$M7*$C7,0),IF(BT$4=EDATE('核心假设'!$B$5,1+$F7),SUM('融资租赁与资金缺口'!$D$5:$D$16)*$N7*$C7,0),IF(BT$4=EDATE('核心假设'!$B$5,2+$F7),SUM('融资租赁与资金缺口'!$D$5:$D$16)*$O7*$C7,0),IF(BT$4=EDATE('核心假设'!$B$5,3+$F7),SUM('融资租赁与资金缺口'!$D$5:$D$16)*$P7*$C7,0),IF(BT$4=EDATE('核心假设'!$B$5,4+$F7),SUM('融资租赁与资金缺口'!$D$5:$D$16)*$Q7*$C7,0),IF(BT$4=EDATE('核心假设'!$B$5,5+$F7),SUM('融资租赁与资金缺口'!$D$5:$D$16)*$R7*$C7,0),IF(BT$4=EDATE('核心假设'!$B$5,6+$F7),SUM('融资租赁与资金缺口'!$D$5:$D$16)*$S7*$C7,0),IF(BT$4=EDATE('核心假设'!$B$5,7+$F7),SUM('融资租赁与资金缺口'!$D$5:$D$16)*$T7*$C7,0),IF(BT$4=EDATE('核心假设'!$B$5,8+$F7),SUM('融资租赁与资金缺口'!$D$5:$D$16)*$U7*$C7,0),IF(BT$4=EDATE('核心假设'!$B$5,9+$F7),SUM('融资租赁与资金缺口'!$D$5:$D$16)*$V7*$C7,0),IF(BT$4=EDATE('核心假设'!$B$5,10+$F7),SUM('融资租赁与资金缺口'!$D$5:$D$16)*$W7*$C7,0),IF(BT$4=EDATE('核心假设'!$B$5,11+$F7),SUM('融资租赁与资金缺口'!$D$5:$D$16)*$X7*$C7,0),IF(BT$4=EDATE('核心假设'!$B$5,12+$F7),SUM('融资租赁与资金缺口'!$D$5:$D$16)*$Y7*$C7,0),IF(BT$4=EDATE('核心假设'!$B$5,13+$F7),SUM('融资租赁与资金缺口'!$D$5:$D$16)*$Z7*$C7,0),IF(BT$4=EDATE('核心假设'!$B$5,14+$F7),SUM('融资租赁与资金缺口'!$D$5:$D$16)*$AA7*$C7,0),IF(BT$4=EDATE('核心假设'!$B$5,15+$F7),SUM('融资租赁与资金缺口'!$D$5:$D$16)*$AB7*$C7,0),IF(BT$4=EDATE('核心假设'!$B$5,16+$F7),SUM('融资租赁与资金缺口'!$D$5:$D$16)*$AC7*$C7,0),IF(BT$4=EDATE('核心假设'!$B$5,17+$F7),SUM('融资租赁与资金缺口'!$D$5:$D$16)*$AD7*$C7,0))-BT21</x:f>
        <x:v>626480754.1112318</x:v>
      </x:c>
      <x:c r="BU22" s="28" t="n">
        <x:f>BT22+BU18-BU19+SUM(IF(BU$4=EDATE('核心假设'!$B$5,0+$F7),SUM('融资租赁与资金缺口'!$D$5:$D$16)*$M7*$C7,0),IF(BU$4=EDATE('核心假设'!$B$5,1+$F7),SUM('融资租赁与资金缺口'!$D$5:$D$16)*$N7*$C7,0),IF(BU$4=EDATE('核心假设'!$B$5,2+$F7),SUM('融资租赁与资金缺口'!$D$5:$D$16)*$O7*$C7,0),IF(BU$4=EDATE('核心假设'!$B$5,3+$F7),SUM('融资租赁与资金缺口'!$D$5:$D$16)*$P7*$C7,0),IF(BU$4=EDATE('核心假设'!$B$5,4+$F7),SUM('融资租赁与资金缺口'!$D$5:$D$16)*$Q7*$C7,0),IF(BU$4=EDATE('核心假设'!$B$5,5+$F7),SUM('融资租赁与资金缺口'!$D$5:$D$16)*$R7*$C7,0),IF(BU$4=EDATE('核心假设'!$B$5,6+$F7),SUM('融资租赁与资金缺口'!$D$5:$D$16)*$S7*$C7,0),IF(BU$4=EDATE('核心假设'!$B$5,7+$F7),SUM('融资租赁与资金缺口'!$D$5:$D$16)*$T7*$C7,0),IF(BU$4=EDATE('核心假设'!$B$5,8+$F7),SUM('融资租赁与资金缺口'!$D$5:$D$16)*$U7*$C7,0),IF(BU$4=EDATE('核心假设'!$B$5,9+$F7),SUM('融资租赁与资金缺口'!$D$5:$D$16)*$V7*$C7,0),IF(BU$4=EDATE('核心假设'!$B$5,10+$F7),SUM('融资租赁与资金缺口'!$D$5:$D$16)*$W7*$C7,0),IF(BU$4=EDATE('核心假设'!$B$5,11+$F7),SUM('融资租赁与资金缺口'!$D$5:$D$16)*$X7*$C7,0),IF(BU$4=EDATE('核心假设'!$B$5,12+$F7),SUM('融资租赁与资金缺口'!$D$5:$D$16)*$Y7*$C7,0),IF(BU$4=EDATE('核心假设'!$B$5,13+$F7),SUM('融资租赁与资金缺口'!$D$5:$D$16)*$Z7*$C7,0),IF(BU$4=EDATE('核心假设'!$B$5,14+$F7),SUM('融资租赁与资金缺口'!$D$5:$D$16)*$AA7*$C7,0),IF(BU$4=EDATE('核心假设'!$B$5,15+$F7),SUM('融资租赁与资金缺口'!$D$5:$D$16)*$AB7*$C7,0),IF(BU$4=EDATE('核心假设'!$B$5,16+$F7),SUM('融资租赁与资金缺口'!$D$5:$D$16)*$AC7*$C7,0),IF(BU$4=EDATE('核心假设'!$B$5,17+$F7),SUM('融资租赁与资金缺口'!$D$5:$D$16)*$AD7*$C7,0))-BU21</x:f>
        <x:v>647346551.7439868</x:v>
      </x:c>
      <x:c r="BV22" s="28" t="n">
        <x:f>BU22+BV18-BV19+SUM(IF(BV$4=EDATE('核心假设'!$B$5,0+$F7),SUM('融资租赁与资金缺口'!$D$5:$D$16)*$M7*$C7,0),IF(BV$4=EDATE('核心假设'!$B$5,1+$F7),SUM('融资租赁与资金缺口'!$D$5:$D$16)*$N7*$C7,0),IF(BV$4=EDATE('核心假设'!$B$5,2+$F7),SUM('融资租赁与资金缺口'!$D$5:$D$16)*$O7*$C7,0),IF(BV$4=EDATE('核心假设'!$B$5,3+$F7),SUM('融资租赁与资金缺口'!$D$5:$D$16)*$P7*$C7,0),IF(BV$4=EDATE('核心假设'!$B$5,4+$F7),SUM('融资租赁与资金缺口'!$D$5:$D$16)*$Q7*$C7,0),IF(BV$4=EDATE('核心假设'!$B$5,5+$F7),SUM('融资租赁与资金缺口'!$D$5:$D$16)*$R7*$C7,0),IF(BV$4=EDATE('核心假设'!$B$5,6+$F7),SUM('融资租赁与资金缺口'!$D$5:$D$16)*$S7*$C7,0),IF(BV$4=EDATE('核心假设'!$B$5,7+$F7),SUM('融资租赁与资金缺口'!$D$5:$D$16)*$T7*$C7,0),IF(BV$4=EDATE('核心假设'!$B$5,8+$F7),SUM('融资租赁与资金缺口'!$D$5:$D$16)*$U7*$C7,0),IF(BV$4=EDATE('核心假设'!$B$5,9+$F7),SUM('融资租赁与资金缺口'!$D$5:$D$16)*$V7*$C7,0),IF(BV$4=EDATE('核心假设'!$B$5,10+$F7),SUM('融资租赁与资金缺口'!$D$5:$D$16)*$W7*$C7,0),IF(BV$4=EDATE('核心假设'!$B$5,11+$F7),SUM('融资租赁与资金缺口'!$D$5:$D$16)*$X7*$C7,0),IF(BV$4=EDATE('核心假设'!$B$5,12+$F7),SUM('融资租赁与资金缺口'!$D$5:$D$16)*$Y7*$C7,0),IF(BV$4=EDATE('核心假设'!$B$5,13+$F7),SUM('融资租赁与资金缺口'!$D$5:$D$16)*$Z7*$C7,0),IF(BV$4=EDATE('核心假设'!$B$5,14+$F7),SUM('融资租赁与资金缺口'!$D$5:$D$16)*$AA7*$C7,0),IF(BV$4=EDATE('核心假设'!$B$5,15+$F7),SUM('融资租赁与资金缺口'!$D$5:$D$16)*$AB7*$C7,0),IF(BV$4=EDATE('核心假设'!$B$5,16+$F7),SUM('融资租赁与资金缺口'!$D$5:$D$16)*$AC7*$C7,0),IF(BV$4=EDATE('核心假设'!$B$5,17+$F7),SUM('融资租赁与资金缺口'!$D$5:$D$16)*$AD7*$C7,0))-BV21</x:f>
        <x:v>671079926.1939778</x:v>
      </x:c>
      <x:c r="BW22" s="28" t="n">
        <x:f>BV22+BW18-BW19+SUM(IF(BW$4=EDATE('核心假设'!$B$5,0+$F7),SUM('融资租赁与资金缺口'!$D$5:$D$16)*$M7*$C7,0),IF(BW$4=EDATE('核心假设'!$B$5,1+$F7),SUM('融资租赁与资金缺口'!$D$5:$D$16)*$N7*$C7,0),IF(BW$4=EDATE('核心假设'!$B$5,2+$F7),SUM('融资租赁与资金缺口'!$D$5:$D$16)*$O7*$C7,0),IF(BW$4=EDATE('核心假设'!$B$5,3+$F7),SUM('融资租赁与资金缺口'!$D$5:$D$16)*$P7*$C7,0),IF(BW$4=EDATE('核心假设'!$B$5,4+$F7),SUM('融资租赁与资金缺口'!$D$5:$D$16)*$Q7*$C7,0),IF(BW$4=EDATE('核心假设'!$B$5,5+$F7),SUM('融资租赁与资金缺口'!$D$5:$D$16)*$R7*$C7,0),IF(BW$4=EDATE('核心假设'!$B$5,6+$F7),SUM('融资租赁与资金缺口'!$D$5:$D$16)*$S7*$C7,0),IF(BW$4=EDATE('核心假设'!$B$5,7+$F7),SUM('融资租赁与资金缺口'!$D$5:$D$16)*$T7*$C7,0),IF(BW$4=EDATE('核心假设'!$B$5,8+$F7),SUM('融资租赁与资金缺口'!$D$5:$D$16)*$U7*$C7,0),IF(BW$4=EDATE('核心假设'!$B$5,9+$F7),SUM('融资租赁与资金缺口'!$D$5:$D$16)*$V7*$C7,0),IF(BW$4=EDATE('核心假设'!$B$5,10+$F7),SUM('融资租赁与资金缺口'!$D$5:$D$16)*$W7*$C7,0),IF(BW$4=EDATE('核心假设'!$B$5,11+$F7),SUM('融资租赁与资金缺口'!$D$5:$D$16)*$X7*$C7,0),IF(BW$4=EDATE('核心假设'!$B$5,12+$F7),SUM('融资租赁与资金缺口'!$D$5:$D$16)*$Y7*$C7,0),IF(BW$4=EDATE('核心假设'!$B$5,13+$F7),SUM('融资租赁与资金缺口'!$D$5:$D$16)*$Z7*$C7,0),IF(BW$4=EDATE('核心假设'!$B$5,14+$F7),SUM('融资租赁与资金缺口'!$D$5:$D$16)*$AA7*$C7,0),IF(BW$4=EDATE('核心假设'!$B$5,15+$F7),SUM('融资租赁与资金缺口'!$D$5:$D$16)*$AB7*$C7,0),IF(BW$4=EDATE('核心假设'!$B$5,16+$F7),SUM('融资租赁与资金缺口'!$D$5:$D$16)*$AC7*$C7,0),IF(BW$4=EDATE('核心假设'!$B$5,17+$F7),SUM('融资租赁与资金缺口'!$D$5:$D$16)*$AD7*$C7,0))-BW21</x:f>
        <x:v>696534098.492673</x:v>
      </x:c>
      <x:c r="BX22" s="28" t="n">
        <x:f>BW22+BX18-BX19+SUM(IF(BX$4=EDATE('核心假设'!$B$5,0+$F7),SUM('融资租赁与资金缺口'!$D$5:$D$16)*$M7*$C7,0),IF(BX$4=EDATE('核心假设'!$B$5,1+$F7),SUM('融资租赁与资金缺口'!$D$5:$D$16)*$N7*$C7,0),IF(BX$4=EDATE('核心假设'!$B$5,2+$F7),SUM('融资租赁与资金缺口'!$D$5:$D$16)*$O7*$C7,0),IF(BX$4=EDATE('核心假设'!$B$5,3+$F7),SUM('融资租赁与资金缺口'!$D$5:$D$16)*$P7*$C7,0),IF(BX$4=EDATE('核心假设'!$B$5,4+$F7),SUM('融资租赁与资金缺口'!$D$5:$D$16)*$Q7*$C7,0),IF(BX$4=EDATE('核心假设'!$B$5,5+$F7),SUM('融资租赁与资金缺口'!$D$5:$D$16)*$R7*$C7,0),IF(BX$4=EDATE('核心假设'!$B$5,6+$F7),SUM('融资租赁与资金缺口'!$D$5:$D$16)*$S7*$C7,0),IF(BX$4=EDATE('核心假设'!$B$5,7+$F7),SUM('融资租赁与资金缺口'!$D$5:$D$16)*$T7*$C7,0),IF(BX$4=EDATE('核心假设'!$B$5,8+$F7),SUM('融资租赁与资金缺口'!$D$5:$D$16)*$U7*$C7,0),IF(BX$4=EDATE('核心假设'!$B$5,9+$F7),SUM('融资租赁与资金缺口'!$D$5:$D$16)*$V7*$C7,0),IF(BX$4=EDATE('核心假设'!$B$5,10+$F7),SUM('融资租赁与资金缺口'!$D$5:$D$16)*$W7*$C7,0),IF(BX$4=EDATE('核心假设'!$B$5,11+$F7),SUM('融资租赁与资金缺口'!$D$5:$D$16)*$X7*$C7,0),IF(BX$4=EDATE('核心假设'!$B$5,12+$F7),SUM('融资租赁与资金缺口'!$D$5:$D$16)*$Y7*$C7,0),IF(BX$4=EDATE('核心假设'!$B$5,13+$F7),SUM('融资租赁与资金缺口'!$D$5:$D$16)*$Z7*$C7,0),IF(BX$4=EDATE('核心假设'!$B$5,14+$F7),SUM('融资租赁与资金缺口'!$D$5:$D$16)*$AA7*$C7,0),IF(BX$4=EDATE('核心假设'!$B$5,15+$F7),SUM('融资租赁与资金缺口'!$D$5:$D$16)*$AB7*$C7,0),IF(BX$4=EDATE('核心假设'!$B$5,16+$F7),SUM('融资租赁与资金缺口'!$D$5:$D$16)*$AC7*$C7,0),IF(BX$4=EDATE('核心假设'!$B$5,17+$F7),SUM('融资租赁与资金缺口'!$D$5:$D$16)*$AD7*$C7,0))-BX21</x:f>
        <x:v>724353623.819294</x:v>
      </x:c>
      <x:c r="BY22" s="28" t="n">
        <x:f>BX22+BY18-BY19+SUM(IF(BY$4=EDATE('核心假设'!$B$5,0+$F7),SUM('融资租赁与资金缺口'!$D$5:$D$16)*$M7*$C7,0),IF(BY$4=EDATE('核心假设'!$B$5,1+$F7),SUM('融资租赁与资金缺口'!$D$5:$D$16)*$N7*$C7,0),IF(BY$4=EDATE('核心假设'!$B$5,2+$F7),SUM('融资租赁与资金缺口'!$D$5:$D$16)*$O7*$C7,0),IF(BY$4=EDATE('核心假设'!$B$5,3+$F7),SUM('融资租赁与资金缺口'!$D$5:$D$16)*$P7*$C7,0),IF(BY$4=EDATE('核心假设'!$B$5,4+$F7),SUM('融资租赁与资金缺口'!$D$5:$D$16)*$Q7*$C7,0),IF(BY$4=EDATE('核心假设'!$B$5,5+$F7),SUM('融资租赁与资金缺口'!$D$5:$D$16)*$R7*$C7,0),IF(BY$4=EDATE('核心假设'!$B$5,6+$F7),SUM('融资租赁与资金缺口'!$D$5:$D$16)*$S7*$C7,0),IF(BY$4=EDATE('核心假设'!$B$5,7+$F7),SUM('融资租赁与资金缺口'!$D$5:$D$16)*$T7*$C7,0),IF(BY$4=EDATE('核心假设'!$B$5,8+$F7),SUM('融资租赁与资金缺口'!$D$5:$D$16)*$U7*$C7,0),IF(BY$4=EDATE('核心假设'!$B$5,9+$F7),SUM('融资租赁与资金缺口'!$D$5:$D$16)*$V7*$C7,0),IF(BY$4=EDATE('核心假设'!$B$5,10+$F7),SUM('融资租赁与资金缺口'!$D$5:$D$16)*$W7*$C7,0),IF(BY$4=EDATE('核心假设'!$B$5,11+$F7),SUM('融资租赁与资金缺口'!$D$5:$D$16)*$X7*$C7,0),IF(BY$4=EDATE('核心假设'!$B$5,12+$F7),SUM('融资租赁与资金缺口'!$D$5:$D$16)*$Y7*$C7,0),IF(BY$4=EDATE('核心假设'!$B$5,13+$F7),SUM('融资租赁与资金缺口'!$D$5:$D$16)*$Z7*$C7,0),IF(BY$4=EDATE('核心假设'!$B$5,14+$F7),SUM('融资租赁与资金缺口'!$D$5:$D$16)*$AA7*$C7,0),IF(BY$4=EDATE('核心假设'!$B$5,15+$F7),SUM('融资租赁与资金缺口'!$D$5:$D$16)*$AB7*$C7,0),IF(BY$4=EDATE('核心假设'!$B$5,16+$F7),SUM('融资租赁与资金缺口'!$D$5:$D$16)*$AC7*$C7,0),IF(BY$4=EDATE('核心假设'!$B$5,17+$F7),SUM('融资租赁与资金缺口'!$D$5:$D$16)*$AD7*$C7,0))-BY21</x:f>
        <x:v>756306794.0648797</x:v>
      </x:c>
      <x:c r="BZ22" s="28" t="n">
        <x:f>BY22+BZ18-BZ19+SUM(IF(BZ$4=EDATE('核心假设'!$B$5,0+$F7),SUM('融资租赁与资金缺口'!$D$5:$D$16)*$M7*$C7,0),IF(BZ$4=EDATE('核心假设'!$B$5,1+$F7),SUM('融资租赁与资金缺口'!$D$5:$D$16)*$N7*$C7,0),IF(BZ$4=EDATE('核心假设'!$B$5,2+$F7),SUM('融资租赁与资金缺口'!$D$5:$D$16)*$O7*$C7,0),IF(BZ$4=EDATE('核心假设'!$B$5,3+$F7),SUM('融资租赁与资金缺口'!$D$5:$D$16)*$P7*$C7,0),IF(BZ$4=EDATE('核心假设'!$B$5,4+$F7),SUM('融资租赁与资金缺口'!$D$5:$D$16)*$Q7*$C7,0),IF(BZ$4=EDATE('核心假设'!$B$5,5+$F7),SUM('融资租赁与资金缺口'!$D$5:$D$16)*$R7*$C7,0),IF(BZ$4=EDATE('核心假设'!$B$5,6+$F7),SUM('融资租赁与资金缺口'!$D$5:$D$16)*$S7*$C7,0),IF(BZ$4=EDATE('核心假设'!$B$5,7+$F7),SUM('融资租赁与资金缺口'!$D$5:$D$16)*$T7*$C7,0),IF(BZ$4=EDATE('核心假设'!$B$5,8+$F7),SUM('融资租赁与资金缺口'!$D$5:$D$16)*$U7*$C7,0),IF(BZ$4=EDATE('核心假设'!$B$5,9+$F7),SUM('融资租赁与资金缺口'!$D$5:$D$16)*$V7*$C7,0),IF(BZ$4=EDATE('核心假设'!$B$5,10+$F7),SUM('融资租赁与资金缺口'!$D$5:$D$16)*$W7*$C7,0),IF(BZ$4=EDATE('核心假设'!$B$5,11+$F7),SUM('融资租赁与资金缺口'!$D$5:$D$16)*$X7*$C7,0),IF(BZ$4=EDATE('核心假设'!$B$5,12+$F7),SUM('融资租赁与资金缺口'!$D$5:$D$16)*$Y7*$C7,0),IF(BZ$4=EDATE('核心假设'!$B$5,13+$F7),SUM('融资租赁与资金缺口'!$D$5:$D$16)*$Z7*$C7,0),IF(BZ$4=EDATE('核心假设'!$B$5,14+$F7),SUM('融资租赁与资金缺口'!$D$5:$D$16)*$AA7*$C7,0),IF(BZ$4=EDATE('核心假设'!$B$5,15+$F7),SUM('融资租赁与资金缺口'!$D$5:$D$16)*$AB7*$C7,0),IF(BZ$4=EDATE('核心假设'!$B$5,16+$F7),SUM('融资租赁与资金缺口'!$D$5:$D$16)*$AC7*$C7,0),IF(BZ$4=EDATE('核心假设'!$B$5,17+$F7),SUM('融资租赁与资金缺口'!$D$5:$D$16)*$AD7*$C7,0))-BZ21</x:f>
        <x:v>792283082.643391</x:v>
      </x:c>
      <x:c r="CA22" s="28" t="n">
        <x:f>BZ22+CA18-CA19+SUM(IF(CA$4=EDATE('核心假设'!$B$5,0+$F7),SUM('融资租赁与资金缺口'!$D$5:$D$16)*$M7*$C7,0),IF(CA$4=EDATE('核心假设'!$B$5,1+$F7),SUM('融资租赁与资金缺口'!$D$5:$D$16)*$N7*$C7,0),IF(CA$4=EDATE('核心假设'!$B$5,2+$F7),SUM('融资租赁与资金缺口'!$D$5:$D$16)*$O7*$C7,0),IF(CA$4=EDATE('核心假设'!$B$5,3+$F7),SUM('融资租赁与资金缺口'!$D$5:$D$16)*$P7*$C7,0),IF(CA$4=EDATE('核心假设'!$B$5,4+$F7),SUM('融资租赁与资金缺口'!$D$5:$D$16)*$Q7*$C7,0),IF(CA$4=EDATE('核心假设'!$B$5,5+$F7),SUM('融资租赁与资金缺口'!$D$5:$D$16)*$R7*$C7,0),IF(CA$4=EDATE('核心假设'!$B$5,6+$F7),SUM('融资租赁与资金缺口'!$D$5:$D$16)*$S7*$C7,0),IF(CA$4=EDATE('核心假设'!$B$5,7+$F7),SUM('融资租赁与资金缺口'!$D$5:$D$16)*$T7*$C7,0),IF(CA$4=EDATE('核心假设'!$B$5,8+$F7),SUM('融资租赁与资金缺口'!$D$5:$D$16)*$U7*$C7,0),IF(CA$4=EDATE('核心假设'!$B$5,9+$F7),SUM('融资租赁与资金缺口'!$D$5:$D$16)*$V7*$C7,0),IF(CA$4=EDATE('核心假设'!$B$5,10+$F7),SUM('融资租赁与资金缺口'!$D$5:$D$16)*$W7*$C7,0),IF(CA$4=EDATE('核心假设'!$B$5,11+$F7),SUM('融资租赁与资金缺口'!$D$5:$D$16)*$X7*$C7,0),IF(CA$4=EDATE('核心假设'!$B$5,12+$F7),SUM('融资租赁与资金缺口'!$D$5:$D$16)*$Y7*$C7,0),IF(CA$4=EDATE('核心假设'!$B$5,13+$F7),SUM('融资租赁与资金缺口'!$D$5:$D$16)*$Z7*$C7,0),IF(CA$4=EDATE('核心假设'!$B$5,14+$F7),SUM('融资租赁与资金缺口'!$D$5:$D$16)*$AA7*$C7,0),IF(CA$4=EDATE('核心假设'!$B$5,15+$F7),SUM('融资租赁与资金缺口'!$D$5:$D$16)*$AB7*$C7,0),IF(CA$4=EDATE('核心假设'!$B$5,16+$F7),SUM('融资租赁与资金缺口'!$D$5:$D$16)*$AC7*$C7,0),IF(CA$4=EDATE('核心假设'!$B$5,17+$F7),SUM('融资租赁与资金缺口'!$D$5:$D$16)*$AD7*$C7,0))-CA21</x:f>
        <x:v>830905838.9070212</x:v>
      </x:c>
      <x:c r="CB22" s="28" t="n">
        <x:f>CA22+CB18-CB19+SUM(IF(CB$4=EDATE('核心假设'!$B$5,0+$F7),SUM('融资租赁与资金缺口'!$D$5:$D$16)*$M7*$C7,0),IF(CB$4=EDATE('核心假设'!$B$5,1+$F7),SUM('融资租赁与资金缺口'!$D$5:$D$16)*$N7*$C7,0),IF(CB$4=EDATE('核心假设'!$B$5,2+$F7),SUM('融资租赁与资金缺口'!$D$5:$D$16)*$O7*$C7,0),IF(CB$4=EDATE('核心假设'!$B$5,3+$F7),SUM('融资租赁与资金缺口'!$D$5:$D$16)*$P7*$C7,0),IF(CB$4=EDATE('核心假设'!$B$5,4+$F7),SUM('融资租赁与资金缺口'!$D$5:$D$16)*$Q7*$C7,0),IF(CB$4=EDATE('核心假设'!$B$5,5+$F7),SUM('融资租赁与资金缺口'!$D$5:$D$16)*$R7*$C7,0),IF(CB$4=EDATE('核心假设'!$B$5,6+$F7),SUM('融资租赁与资金缺口'!$D$5:$D$16)*$S7*$C7,0),IF(CB$4=EDATE('核心假设'!$B$5,7+$F7),SUM('融资租赁与资金缺口'!$D$5:$D$16)*$T7*$C7,0),IF(CB$4=EDATE('核心假设'!$B$5,8+$F7),SUM('融资租赁与资金缺口'!$D$5:$D$16)*$U7*$C7,0),IF(CB$4=EDATE('核心假设'!$B$5,9+$F7),SUM('融资租赁与资金缺口'!$D$5:$D$16)*$V7*$C7,0),IF(CB$4=EDATE('核心假设'!$B$5,10+$F7),SUM('融资租赁与资金缺口'!$D$5:$D$16)*$W7*$C7,0),IF(CB$4=EDATE('核心假设'!$B$5,11+$F7),SUM('融资租赁与资金缺口'!$D$5:$D$16)*$X7*$C7,0),IF(CB$4=EDATE('核心假设'!$B$5,12+$F7),SUM('融资租赁与资金缺口'!$D$5:$D$16)*$Y7*$C7,0),IF(CB$4=EDATE('核心假设'!$B$5,13+$F7),SUM('融资租赁与资金缺口'!$D$5:$D$16)*$Z7*$C7,0),IF(CB$4=EDATE('核心假设'!$B$5,14+$F7),SUM('融资租赁与资金缺口'!$D$5:$D$16)*$AA7*$C7,0),IF(CB$4=EDATE('核心假设'!$B$5,15+$F7),SUM('融资租赁与资金缺口'!$D$5:$D$16)*$AB7*$C7,0),IF(CB$4=EDATE('核心假设'!$B$5,16+$F7),SUM('融资租赁与资金缺口'!$D$5:$D$16)*$AC7*$C7,0),IF(CB$4=EDATE('核心假设'!$B$5,17+$F7),SUM('融资租赁与资金缺口'!$D$5:$D$16)*$AD7*$C7,0))-CB21</x:f>
        <x:v>867998690.8222661</x:v>
      </x:c>
      <x:c r="CC22" s="28" t="n">
        <x:f>CB22+CC18-CC19+SUM(IF(CC$4=EDATE('核心假设'!$B$5,0+$F7),SUM('融资租赁与资金缺口'!$D$5:$D$16)*$M7*$C7,0),IF(CC$4=EDATE('核心假设'!$B$5,1+$F7),SUM('融资租赁与资金缺口'!$D$5:$D$16)*$N7*$C7,0),IF(CC$4=EDATE('核心假设'!$B$5,2+$F7),SUM('融资租赁与资金缺口'!$D$5:$D$16)*$O7*$C7,0),IF(CC$4=EDATE('核心假设'!$B$5,3+$F7),SUM('融资租赁与资金缺口'!$D$5:$D$16)*$P7*$C7,0),IF(CC$4=EDATE('核心假设'!$B$5,4+$F7),SUM('融资租赁与资金缺口'!$D$5:$D$16)*$Q7*$C7,0),IF(CC$4=EDATE('核心假设'!$B$5,5+$F7),SUM('融资租赁与资金缺口'!$D$5:$D$16)*$R7*$C7,0),IF(CC$4=EDATE('核心假设'!$B$5,6+$F7),SUM('融资租赁与资金缺口'!$D$5:$D$16)*$S7*$C7,0),IF(CC$4=EDATE('核心假设'!$B$5,7+$F7),SUM('融资租赁与资金缺口'!$D$5:$D$16)*$T7*$C7,0),IF(CC$4=EDATE('核心假设'!$B$5,8+$F7),SUM('融资租赁与资金缺口'!$D$5:$D$16)*$U7*$C7,0),IF(CC$4=EDATE('核心假设'!$B$5,9+$F7),SUM('融资租赁与资金缺口'!$D$5:$D$16)*$V7*$C7,0),IF(CC$4=EDATE('核心假设'!$B$5,10+$F7),SUM('融资租赁与资金缺口'!$D$5:$D$16)*$W7*$C7,0),IF(CC$4=EDATE('核心假设'!$B$5,11+$F7),SUM('融资租赁与资金缺口'!$D$5:$D$16)*$X7*$C7,0),IF(CC$4=EDATE('核心假设'!$B$5,12+$F7),SUM('融资租赁与资金缺口'!$D$5:$D$16)*$Y7*$C7,0),IF(CC$4=EDATE('核心假设'!$B$5,13+$F7),SUM('融资租赁与资金缺口'!$D$5:$D$16)*$Z7*$C7,0),IF(CC$4=EDATE('核心假设'!$B$5,14+$F7),SUM('融资租赁与资金缺口'!$D$5:$D$16)*$AA7*$C7,0),IF(CC$4=EDATE('核心假设'!$B$5,15+$F7),SUM('融资租赁与资金缺口'!$D$5:$D$16)*$AB7*$C7,0),IF(CC$4=EDATE('核心假设'!$B$5,16+$F7),SUM('融资租赁与资金缺口'!$D$5:$D$16)*$AC7*$C7,0),IF(CC$4=EDATE('核心假设'!$B$5,17+$F7),SUM('融资租赁与资金缺口'!$D$5:$D$16)*$AD7*$C7,0))-CC21</x:f>
        <x:v>905200913.1679555</x:v>
      </x:c>
      <x:c r="CD22" s="28" t="n">
        <x:f>CC22+CD18-CD19+SUM(IF(CD$4=EDATE('核心假设'!$B$5,0+$F7),SUM('融资租赁与资金缺口'!$D$5:$D$16)*$M7*$C7,0),IF(CD$4=EDATE('核心假设'!$B$5,1+$F7),SUM('融资租赁与资金缺口'!$D$5:$D$16)*$N7*$C7,0),IF(CD$4=EDATE('核心假设'!$B$5,2+$F7),SUM('融资租赁与资金缺口'!$D$5:$D$16)*$O7*$C7,0),IF(CD$4=EDATE('核心假设'!$B$5,3+$F7),SUM('融资租赁与资金缺口'!$D$5:$D$16)*$P7*$C7,0),IF(CD$4=EDATE('核心假设'!$B$5,4+$F7),SUM('融资租赁与资金缺口'!$D$5:$D$16)*$Q7*$C7,0),IF(CD$4=EDATE('核心假设'!$B$5,5+$F7),SUM('融资租赁与资金缺口'!$D$5:$D$16)*$R7*$C7,0),IF(CD$4=EDATE('核心假设'!$B$5,6+$F7),SUM('融资租赁与资金缺口'!$D$5:$D$16)*$S7*$C7,0),IF(CD$4=EDATE('核心假设'!$B$5,7+$F7),SUM('融资租赁与资金缺口'!$D$5:$D$16)*$T7*$C7,0),IF(CD$4=EDATE('核心假设'!$B$5,8+$F7),SUM('融资租赁与资金缺口'!$D$5:$D$16)*$U7*$C7,0),IF(CD$4=EDATE('核心假设'!$B$5,9+$F7),SUM('融资租赁与资金缺口'!$D$5:$D$16)*$V7*$C7,0),IF(CD$4=EDATE('核心假设'!$B$5,10+$F7),SUM('融资租赁与资金缺口'!$D$5:$D$16)*$W7*$C7,0),IF(CD$4=EDATE('核心假设'!$B$5,11+$F7),SUM('融资租赁与资金缺口'!$D$5:$D$16)*$X7*$C7,0),IF(CD$4=EDATE('核心假设'!$B$5,12+$F7),SUM('融资租赁与资金缺口'!$D$5:$D$16)*$Y7*$C7,0),IF(CD$4=EDATE('核心假设'!$B$5,13+$F7),SUM('融资租赁与资金缺口'!$D$5:$D$16)*$Z7*$C7,0),IF(CD$4=EDATE('核心假设'!$B$5,14+$F7),SUM('融资租赁与资金缺口'!$D$5:$D$16)*$AA7*$C7,0),IF(CD$4=EDATE('核心假设'!$B$5,15+$F7),SUM('融资租赁与资金缺口'!$D$5:$D$16)*$AB7*$C7,0),IF(CD$4=EDATE('核心假设'!$B$5,16+$F7),SUM('融资租赁与资金缺口'!$D$5:$D$16)*$AC7*$C7,0),IF(CD$4=EDATE('核心假设'!$B$5,17+$F7),SUM('融资租赁与资金缺口'!$D$5:$D$16)*$AD7*$C7,0))-CD21</x:f>
        <x:v>943151415.5076948</x:v>
      </x:c>
      <x:c r="CE22" s="28" t="n">
        <x:f>CD22+CE18-CE19+SUM(IF(CE$4=EDATE('核心假设'!$B$5,0+$F7),SUM('融资租赁与资金缺口'!$D$5:$D$16)*$M7*$C7,0),IF(CE$4=EDATE('核心假设'!$B$5,1+$F7),SUM('融资租赁与资金缺口'!$D$5:$D$16)*$N7*$C7,0),IF(CE$4=EDATE('核心假设'!$B$5,2+$F7),SUM('融资租赁与资金缺口'!$D$5:$D$16)*$O7*$C7,0),IF(CE$4=EDATE('核心假设'!$B$5,3+$F7),SUM('融资租赁与资金缺口'!$D$5:$D$16)*$P7*$C7,0),IF(CE$4=EDATE('核心假设'!$B$5,4+$F7),SUM('融资租赁与资金缺口'!$D$5:$D$16)*$Q7*$C7,0),IF(CE$4=EDATE('核心假设'!$B$5,5+$F7),SUM('融资租赁与资金缺口'!$D$5:$D$16)*$R7*$C7,0),IF(CE$4=EDATE('核心假设'!$B$5,6+$F7),SUM('融资租赁与资金缺口'!$D$5:$D$16)*$S7*$C7,0),IF(CE$4=EDATE('核心假设'!$B$5,7+$F7),SUM('融资租赁与资金缺口'!$D$5:$D$16)*$T7*$C7,0),IF(CE$4=EDATE('核心假设'!$B$5,8+$F7),SUM('融资租赁与资金缺口'!$D$5:$D$16)*$U7*$C7,0),IF(CE$4=EDATE('核心假设'!$B$5,9+$F7),SUM('融资租赁与资金缺口'!$D$5:$D$16)*$V7*$C7,0),IF(CE$4=EDATE('核心假设'!$B$5,10+$F7),SUM('融资租赁与资金缺口'!$D$5:$D$16)*$W7*$C7,0),IF(CE$4=EDATE('核心假设'!$B$5,11+$F7),SUM('融资租赁与资金缺口'!$D$5:$D$16)*$X7*$C7,0),IF(CE$4=EDATE('核心假设'!$B$5,12+$F7),SUM('融资租赁与资金缺口'!$D$5:$D$16)*$Y7*$C7,0),IF(CE$4=EDATE('核心假设'!$B$5,13+$F7),SUM('融资租赁与资金缺口'!$D$5:$D$16)*$Z7*$C7,0),IF(CE$4=EDATE('核心假设'!$B$5,14+$F7),SUM('融资租赁与资金缺口'!$D$5:$D$16)*$AA7*$C7,0),IF(CE$4=EDATE('核心假设'!$B$5,15+$F7),SUM('融资租赁与资金缺口'!$D$5:$D$16)*$AB7*$C7,0),IF(CE$4=EDATE('核心假设'!$B$5,16+$F7),SUM('融资租赁与资金缺口'!$D$5:$D$16)*$AC7*$C7,0),IF(CE$4=EDATE('核心假设'!$B$5,17+$F7),SUM('融资租赁与资金缺口'!$D$5:$D$16)*$AD7*$C7,0))-CE21</x:f>
        <x:v>985131631.473131</x:v>
      </x:c>
      <x:c r="CF22" s="28" t="n">
        <x:f>CE22+CF18-CF19+SUM(IF(CF$4=EDATE('核心假设'!$B$5,0+$F7),SUM('融资租赁与资金缺口'!$D$5:$D$16)*$M7*$C7,0),IF(CF$4=EDATE('核心假设'!$B$5,1+$F7),SUM('融资租赁与资金缺口'!$D$5:$D$16)*$N7*$C7,0),IF(CF$4=EDATE('核心假设'!$B$5,2+$F7),SUM('融资租赁与资金缺口'!$D$5:$D$16)*$O7*$C7,0),IF(CF$4=EDATE('核心假设'!$B$5,3+$F7),SUM('融资租赁与资金缺口'!$D$5:$D$16)*$P7*$C7,0),IF(CF$4=EDATE('核心假设'!$B$5,4+$F7),SUM('融资租赁与资金缺口'!$D$5:$D$16)*$Q7*$C7,0),IF(CF$4=EDATE('核心假设'!$B$5,5+$F7),SUM('融资租赁与资金缺口'!$D$5:$D$16)*$R7*$C7,0),IF(CF$4=EDATE('核心假设'!$B$5,6+$F7),SUM('融资租赁与资金缺口'!$D$5:$D$16)*$S7*$C7,0),IF(CF$4=EDATE('核心假设'!$B$5,7+$F7),SUM('融资租赁与资金缺口'!$D$5:$D$16)*$T7*$C7,0),IF(CF$4=EDATE('核心假设'!$B$5,8+$F7),SUM('融资租赁与资金缺口'!$D$5:$D$16)*$U7*$C7,0),IF(CF$4=EDATE('核心假设'!$B$5,9+$F7),SUM('融资租赁与资金缺口'!$D$5:$D$16)*$V7*$C7,0),IF(CF$4=EDATE('核心假设'!$B$5,10+$F7),SUM('融资租赁与资金缺口'!$D$5:$D$16)*$W7*$C7,0),IF(CF$4=EDATE('核心假设'!$B$5,11+$F7),SUM('融资租赁与资金缺口'!$D$5:$D$16)*$X7*$C7,0),IF(CF$4=EDATE('核心假设'!$B$5,12+$F7),SUM('融资租赁与资金缺口'!$D$5:$D$16)*$Y7*$C7,0),IF(CF$4=EDATE('核心假设'!$B$5,13+$F7),SUM('融资租赁与资金缺口'!$D$5:$D$16)*$Z7*$C7,0),IF(CF$4=EDATE('核心假设'!$B$5,14+$F7),SUM('融资租赁与资金缺口'!$D$5:$D$16)*$AA7*$C7,0),IF(CF$4=EDATE('核心假设'!$B$5,15+$F7),SUM('融资租赁与资金缺口'!$D$5:$D$16)*$AB7*$C7,0),IF(CF$4=EDATE('核心假设'!$B$5,16+$F7),SUM('融资租赁与资金缺口'!$D$5:$D$16)*$AC7*$C7,0),IF(CF$4=EDATE('核心假设'!$B$5,17+$F7),SUM('融资租赁与资金缺口'!$D$5:$D$16)*$AD7*$C7,0))-CF21</x:f>
        <x:v>1023439383.9120561</x:v>
      </x:c>
      <x:c r="CG22" s="28" t="n">
        <x:f>CF22+CG18-CG19+SUM(IF(CG$4=EDATE('核心假设'!$B$5,0+$F7),SUM('融资租赁与资金缺口'!$D$5:$D$16)*$M7*$C7,0),IF(CG$4=EDATE('核心假设'!$B$5,1+$F7),SUM('融资租赁与资金缺口'!$D$5:$D$16)*$N7*$C7,0),IF(CG$4=EDATE('核心假设'!$B$5,2+$F7),SUM('融资租赁与资金缺口'!$D$5:$D$16)*$O7*$C7,0),IF(CG$4=EDATE('核心假设'!$B$5,3+$F7),SUM('融资租赁与资金缺口'!$D$5:$D$16)*$P7*$C7,0),IF(CG$4=EDATE('核心假设'!$B$5,4+$F7),SUM('融资租赁与资金缺口'!$D$5:$D$16)*$Q7*$C7,0),IF(CG$4=EDATE('核心假设'!$B$5,5+$F7),SUM('融资租赁与资金缺口'!$D$5:$D$16)*$R7*$C7,0),IF(CG$4=EDATE('核心假设'!$B$5,6+$F7),SUM('融资租赁与资金缺口'!$D$5:$D$16)*$S7*$C7,0),IF(CG$4=EDATE('核心假设'!$B$5,7+$F7),SUM('融资租赁与资金缺口'!$D$5:$D$16)*$T7*$C7,0),IF(CG$4=EDATE('核心假设'!$B$5,8+$F7),SUM('融资租赁与资金缺口'!$D$5:$D$16)*$U7*$C7,0),IF(CG$4=EDATE('核心假设'!$B$5,9+$F7),SUM('融资租赁与资金缺口'!$D$5:$D$16)*$V7*$C7,0),IF(CG$4=EDATE('核心假设'!$B$5,10+$F7),SUM('融资租赁与资金缺口'!$D$5:$D$16)*$W7*$C7,0),IF(CG$4=EDATE('核心假设'!$B$5,11+$F7),SUM('融资租赁与资金缺口'!$D$5:$D$16)*$X7*$C7,0),IF(CG$4=EDATE('核心假设'!$B$5,12+$F7),SUM('融资租赁与资金缺口'!$D$5:$D$16)*$Y7*$C7,0),IF(CG$4=EDATE('核心假设'!$B$5,13+$F7),SUM('融资租赁与资金缺口'!$D$5:$D$16)*$Z7*$C7,0),IF(CG$4=EDATE('核心假设'!$B$5,14+$F7),SUM('融资租赁与资金缺口'!$D$5:$D$16)*$AA7*$C7,0),IF(CG$4=EDATE('核心假设'!$B$5,15+$F7),SUM('融资租赁与资金缺口'!$D$5:$D$16)*$AB7*$C7,0),IF(CG$4=EDATE('核心假设'!$B$5,16+$F7),SUM('融资租赁与资金缺口'!$D$5:$D$16)*$AC7*$C7,0),IF(CG$4=EDATE('核心假设'!$B$5,17+$F7),SUM('融资租赁与资金缺口'!$D$5:$D$16)*$AD7*$C7,0))-CG21</x:f>
        <x:v>1054773797.0286584</x:v>
      </x:c>
      <x:c r="CH22" s="28" t="n">
        <x:f>CG22+CH18-CH19+SUM(IF(CH$4=EDATE('核心假设'!$B$5,0+$F7),SUM('融资租赁与资金缺口'!$D$5:$D$16)*$M7*$C7,0),IF(CH$4=EDATE('核心假设'!$B$5,1+$F7),SUM('融资租赁与资金缺口'!$D$5:$D$16)*$N7*$C7,0),IF(CH$4=EDATE('核心假设'!$B$5,2+$F7),SUM('融资租赁与资金缺口'!$D$5:$D$16)*$O7*$C7,0),IF(CH$4=EDATE('核心假设'!$B$5,3+$F7),SUM('融资租赁与资金缺口'!$D$5:$D$16)*$P7*$C7,0),IF(CH$4=EDATE('核心假设'!$B$5,4+$F7),SUM('融资租赁与资金缺口'!$D$5:$D$16)*$Q7*$C7,0),IF(CH$4=EDATE('核心假设'!$B$5,5+$F7),SUM('融资租赁与资金缺口'!$D$5:$D$16)*$R7*$C7,0),IF(CH$4=EDATE('核心假设'!$B$5,6+$F7),SUM('融资租赁与资金缺口'!$D$5:$D$16)*$S7*$C7,0),IF(CH$4=EDATE('核心假设'!$B$5,7+$F7),SUM('融资租赁与资金缺口'!$D$5:$D$16)*$T7*$C7,0),IF(CH$4=EDATE('核心假设'!$B$5,8+$F7),SUM('融资租赁与资金缺口'!$D$5:$D$16)*$U7*$C7,0),IF(CH$4=EDATE('核心假设'!$B$5,9+$F7),SUM('融资租赁与资金缺口'!$D$5:$D$16)*$V7*$C7,0),IF(CH$4=EDATE('核心假设'!$B$5,10+$F7),SUM('融资租赁与资金缺口'!$D$5:$D$16)*$W7*$C7,0),IF(CH$4=EDATE('核心假设'!$B$5,11+$F7),SUM('融资租赁与资金缺口'!$D$5:$D$16)*$X7*$C7,0),IF(CH$4=EDATE('核心假设'!$B$5,12+$F7),SUM('融资租赁与资金缺口'!$D$5:$D$16)*$Y7*$C7,0),IF(CH$4=EDATE('核心假设'!$B$5,13+$F7),SUM('融资租赁与资金缺口'!$D$5:$D$16)*$Z7*$C7,0),IF(CH$4=EDATE('核心假设'!$B$5,14+$F7),SUM('融资租赁与资金缺口'!$D$5:$D$16)*$AA7*$C7,0),IF(CH$4=EDATE('核心假设'!$B$5,15+$F7),SUM('融资租赁与资金缺口'!$D$5:$D$16)*$AB7*$C7,0),IF(CH$4=EDATE('核心假设'!$B$5,16+$F7),SUM('融资租赁与资金缺口'!$D$5:$D$16)*$AC7*$C7,0),IF(CH$4=EDATE('核心假设'!$B$5,17+$F7),SUM('融资租赁与资金缺口'!$D$5:$D$16)*$AD7*$C7,0))-CH21</x:f>
        <x:v>1087816376.2955422</x:v>
      </x:c>
      <x:c r="CI22" s="28" t="n">
        <x:f>CH22+CI18-CI19+SUM(IF(CI$4=EDATE('核心假设'!$B$5,0+$F7),SUM('融资租赁与资金缺口'!$D$5:$D$16)*$M7*$C7,0),IF(CI$4=EDATE('核心假设'!$B$5,1+$F7),SUM('融资租赁与资金缺口'!$D$5:$D$16)*$N7*$C7,0),IF(CI$4=EDATE('核心假设'!$B$5,2+$F7),SUM('融资租赁与资金缺口'!$D$5:$D$16)*$O7*$C7,0),IF(CI$4=EDATE('核心假设'!$B$5,3+$F7),SUM('融资租赁与资金缺口'!$D$5:$D$16)*$P7*$C7,0),IF(CI$4=EDATE('核心假设'!$B$5,4+$F7),SUM('融资租赁与资金缺口'!$D$5:$D$16)*$Q7*$C7,0),IF(CI$4=EDATE('核心假设'!$B$5,5+$F7),SUM('融资租赁与资金缺口'!$D$5:$D$16)*$R7*$C7,0),IF(CI$4=EDATE('核心假设'!$B$5,6+$F7),SUM('融资租赁与资金缺口'!$D$5:$D$16)*$S7*$C7,0),IF(CI$4=EDATE('核心假设'!$B$5,7+$F7),SUM('融资租赁与资金缺口'!$D$5:$D$16)*$T7*$C7,0),IF(CI$4=EDATE('核心假设'!$B$5,8+$F7),SUM('融资租赁与资金缺口'!$D$5:$D$16)*$U7*$C7,0),IF(CI$4=EDATE('核心假设'!$B$5,9+$F7),SUM('融资租赁与资金缺口'!$D$5:$D$16)*$V7*$C7,0),IF(CI$4=EDATE('核心假设'!$B$5,10+$F7),SUM('融资租赁与资金缺口'!$D$5:$D$16)*$W7*$C7,0),IF(CI$4=EDATE('核心假设'!$B$5,11+$F7),SUM('融资租赁与资金缺口'!$D$5:$D$16)*$X7*$C7,0),IF(CI$4=EDATE('核心假设'!$B$5,12+$F7),SUM('融资租赁与资金缺口'!$D$5:$D$16)*$Y7*$C7,0),IF(CI$4=EDATE('核心假设'!$B$5,13+$F7),SUM('融资租赁与资金缺口'!$D$5:$D$16)*$Z7*$C7,0),IF(CI$4=EDATE('核心假设'!$B$5,14+$F7),SUM('融资租赁与资金缺口'!$D$5:$D$16)*$AA7*$C7,0),IF(CI$4=EDATE('核心假设'!$B$5,15+$F7),SUM('融资租赁与资金缺口'!$D$5:$D$16)*$AB7*$C7,0),IF(CI$4=EDATE('核心假设'!$B$5,16+$F7),SUM('融资租赁与资金缺口'!$D$5:$D$16)*$AC7*$C7,0),IF(CI$4=EDATE('核心假设'!$B$5,17+$F7),SUM('融资租赁与资金缺口'!$D$5:$D$16)*$AD7*$C7,0))-CI21</x:f>
        <x:v>1121285482.67007</x:v>
      </x:c>
      <x:c r="CJ22" s="28" t="n">
        <x:f>CI22+CJ18-CJ19+SUM(IF(CJ$4=EDATE('核心假设'!$B$5,0+$F7),SUM('融资租赁与资金缺口'!$D$5:$D$16)*$M7*$C7,0),IF(CJ$4=EDATE('核心假设'!$B$5,1+$F7),SUM('融资租赁与资金缺口'!$D$5:$D$16)*$N7*$C7,0),IF(CJ$4=EDATE('核心假设'!$B$5,2+$F7),SUM('融资租赁与资金缺口'!$D$5:$D$16)*$O7*$C7,0),IF(CJ$4=EDATE('核心假设'!$B$5,3+$F7),SUM('融资租赁与资金缺口'!$D$5:$D$16)*$P7*$C7,0),IF(CJ$4=EDATE('核心假设'!$B$5,4+$F7),SUM('融资租赁与资金缺口'!$D$5:$D$16)*$Q7*$C7,0),IF(CJ$4=EDATE('核心假设'!$B$5,5+$F7),SUM('融资租赁与资金缺口'!$D$5:$D$16)*$R7*$C7,0),IF(CJ$4=EDATE('核心假设'!$B$5,6+$F7),SUM('融资租赁与资金缺口'!$D$5:$D$16)*$S7*$C7,0),IF(CJ$4=EDATE('核心假设'!$B$5,7+$F7),SUM('融资租赁与资金缺口'!$D$5:$D$16)*$T7*$C7,0),IF(CJ$4=EDATE('核心假设'!$B$5,8+$F7),SUM('融资租赁与资金缺口'!$D$5:$D$16)*$U7*$C7,0),IF(CJ$4=EDATE('核心假设'!$B$5,9+$F7),SUM('融资租赁与资金缺口'!$D$5:$D$16)*$V7*$C7,0),IF(CJ$4=EDATE('核心假设'!$B$5,10+$F7),SUM('融资租赁与资金缺口'!$D$5:$D$16)*$W7*$C7,0),IF(CJ$4=EDATE('核心假设'!$B$5,11+$F7),SUM('融资租赁与资金缺口'!$D$5:$D$16)*$X7*$C7,0),IF(CJ$4=EDATE('核心假设'!$B$5,12+$F7),SUM('融资租赁与资金缺口'!$D$5:$D$16)*$Y7*$C7,0),IF(CJ$4=EDATE('核心假设'!$B$5,13+$F7),SUM('融资租赁与资金缺口'!$D$5:$D$16)*$Z7*$C7,0),IF(CJ$4=EDATE('核心假设'!$B$5,14+$F7),SUM('融资租赁与资金缺口'!$D$5:$D$16)*$AA7*$C7,0),IF(CJ$4=EDATE('核心假设'!$B$5,15+$F7),SUM('融资租赁与资金缺口'!$D$5:$D$16)*$AB7*$C7,0),IF(CJ$4=EDATE('核心假设'!$B$5,16+$F7),SUM('融资租赁与资金缺口'!$D$5:$D$16)*$AC7*$C7,0),IF(CJ$4=EDATE('核心假设'!$B$5,17+$F7),SUM('融资租赁与资金缺口'!$D$5:$D$16)*$AD7*$C7,0))-CJ21</x:f>
        <x:v>1155636481.257357</x:v>
      </x:c>
      <x:c r="CK22" s="28" t="n">
        <x:f>CJ22+CK18-CK19+SUM(IF(CK$4=EDATE('核心假设'!$B$5,0+$F7),SUM('融资租赁与资金缺口'!$D$5:$D$16)*$M7*$C7,0),IF(CK$4=EDATE('核心假设'!$B$5,1+$F7),SUM('融资租赁与资金缺口'!$D$5:$D$16)*$N7*$C7,0),IF(CK$4=EDATE('核心假设'!$B$5,2+$F7),SUM('融资租赁与资金缺口'!$D$5:$D$16)*$O7*$C7,0),IF(CK$4=EDATE('核心假设'!$B$5,3+$F7),SUM('融资租赁与资金缺口'!$D$5:$D$16)*$P7*$C7,0),IF(CK$4=EDATE('核心假设'!$B$5,4+$F7),SUM('融资租赁与资金缺口'!$D$5:$D$16)*$Q7*$C7,0),IF(CK$4=EDATE('核心假设'!$B$5,5+$F7),SUM('融资租赁与资金缺口'!$D$5:$D$16)*$R7*$C7,0),IF(CK$4=EDATE('核心假设'!$B$5,6+$F7),SUM('融资租赁与资金缺口'!$D$5:$D$16)*$S7*$C7,0),IF(CK$4=EDATE('核心假设'!$B$5,7+$F7),SUM('融资租赁与资金缺口'!$D$5:$D$16)*$T7*$C7,0),IF(CK$4=EDATE('核心假设'!$B$5,8+$F7),SUM('融资租赁与资金缺口'!$D$5:$D$16)*$U7*$C7,0),IF(CK$4=EDATE('核心假设'!$B$5,9+$F7),SUM('融资租赁与资金缺口'!$D$5:$D$16)*$V7*$C7,0),IF(CK$4=EDATE('核心假设'!$B$5,10+$F7),SUM('融资租赁与资金缺口'!$D$5:$D$16)*$W7*$C7,0),IF(CK$4=EDATE('核心假设'!$B$5,11+$F7),SUM('融资租赁与资金缺口'!$D$5:$D$16)*$X7*$C7,0),IF(CK$4=EDATE('核心假设'!$B$5,12+$F7),SUM('融资租赁与资金缺口'!$D$5:$D$16)*$Y7*$C7,0),IF(CK$4=EDATE('核心假设'!$B$5,13+$F7),SUM('融资租赁与资金缺口'!$D$5:$D$16)*$Z7*$C7,0),IF(CK$4=EDATE('核心假设'!$B$5,14+$F7),SUM('融资租赁与资金缺口'!$D$5:$D$16)*$AA7*$C7,0),IF(CK$4=EDATE('核心假设'!$B$5,15+$F7),SUM('融资租赁与资金缺口'!$D$5:$D$16)*$AB7*$C7,0),IF(CK$4=EDATE('核心假设'!$B$5,16+$F7),SUM('融资租赁与资金缺口'!$D$5:$D$16)*$AC7*$C7,0),IF(CK$4=EDATE('核心假设'!$B$5,17+$F7),SUM('融资租赁与资金缺口'!$D$5:$D$16)*$AD7*$C7,0))-CK21</x:f>
        <x:v>1192583333.948442</x:v>
      </x:c>
      <x:c r="CL22" s="28" t="n">
        <x:f>CK22+CL18-CL19+SUM(IF(CL$4=EDATE('核心假设'!$B$5,0+$F7),SUM('融资租赁与资金缺口'!$D$5:$D$16)*$M7*$C7,0),IF(CL$4=EDATE('核心假设'!$B$5,1+$F7),SUM('融资租赁与资金缺口'!$D$5:$D$16)*$N7*$C7,0),IF(CL$4=EDATE('核心假设'!$B$5,2+$F7),SUM('融资租赁与资金缺口'!$D$5:$D$16)*$O7*$C7,0),IF(CL$4=EDATE('核心假设'!$B$5,3+$F7),SUM('融资租赁与资金缺口'!$D$5:$D$16)*$P7*$C7,0),IF(CL$4=EDATE('核心假设'!$B$5,4+$F7),SUM('融资租赁与资金缺口'!$D$5:$D$16)*$Q7*$C7,0),IF(CL$4=EDATE('核心假设'!$B$5,5+$F7),SUM('融资租赁与资金缺口'!$D$5:$D$16)*$R7*$C7,0),IF(CL$4=EDATE('核心假设'!$B$5,6+$F7),SUM('融资租赁与资金缺口'!$D$5:$D$16)*$S7*$C7,0),IF(CL$4=EDATE('核心假设'!$B$5,7+$F7),SUM('融资租赁与资金缺口'!$D$5:$D$16)*$T7*$C7,0),IF(CL$4=EDATE('核心假设'!$B$5,8+$F7),SUM('融资租赁与资金缺口'!$D$5:$D$16)*$U7*$C7,0),IF(CL$4=EDATE('核心假设'!$B$5,9+$F7),SUM('融资租赁与资金缺口'!$D$5:$D$16)*$V7*$C7,0),IF(CL$4=EDATE('核心假设'!$B$5,10+$F7),SUM('融资租赁与资金缺口'!$D$5:$D$16)*$W7*$C7,0),IF(CL$4=EDATE('核心假设'!$B$5,11+$F7),SUM('融资租赁与资金缺口'!$D$5:$D$16)*$X7*$C7,0),IF(CL$4=EDATE('核心假设'!$B$5,12+$F7),SUM('融资租赁与资金缺口'!$D$5:$D$16)*$Y7*$C7,0),IF(CL$4=EDATE('核心假设'!$B$5,13+$F7),SUM('融资租赁与资金缺口'!$D$5:$D$16)*$Z7*$C7,0),IF(CL$4=EDATE('核心假设'!$B$5,14+$F7),SUM('融资租赁与资金缺口'!$D$5:$D$16)*$AA7*$C7,0),IF(CL$4=EDATE('核心假设'!$B$5,15+$F7),SUM('融资租赁与资金缺口'!$D$5:$D$16)*$AB7*$C7,0),IF(CL$4=EDATE('核心假设'!$B$5,16+$F7),SUM('融资租赁与资金缺口'!$D$5:$D$16)*$AC7*$C7,0),IF(CL$4=EDATE('核心假设'!$B$5,17+$F7),SUM('融资租赁与资金缺口'!$D$5:$D$16)*$AD7*$C7,0))-CL21</x:f>
        <x:v>1232150374.2313924</x:v>
      </x:c>
      <x:c r="CM22" s="28" t="n">
        <x:f>CL22+CM18-CM19+SUM(IF(CM$4=EDATE('核心假设'!$B$5,0+$F7),SUM('融资租赁与资金缺口'!$D$5:$D$16)*$M7*$C7,0),IF(CM$4=EDATE('核心假设'!$B$5,1+$F7),SUM('融资租赁与资金缺口'!$D$5:$D$16)*$N7*$C7,0),IF(CM$4=EDATE('核心假设'!$B$5,2+$F7),SUM('融资租赁与资金缺口'!$D$5:$D$16)*$O7*$C7,0),IF(CM$4=EDATE('核心假设'!$B$5,3+$F7),SUM('融资租赁与资金缺口'!$D$5:$D$16)*$P7*$C7,0),IF(CM$4=EDATE('核心假设'!$B$5,4+$F7),SUM('融资租赁与资金缺口'!$D$5:$D$16)*$Q7*$C7,0),IF(CM$4=EDATE('核心假设'!$B$5,5+$F7),SUM('融资租赁与资金缺口'!$D$5:$D$16)*$R7*$C7,0),IF(CM$4=EDATE('核心假设'!$B$5,6+$F7),SUM('融资租赁与资金缺口'!$D$5:$D$16)*$S7*$C7,0),IF(CM$4=EDATE('核心假设'!$B$5,7+$F7),SUM('融资租赁与资金缺口'!$D$5:$D$16)*$T7*$C7,0),IF(CM$4=EDATE('核心假设'!$B$5,8+$F7),SUM('融资租赁与资金缺口'!$D$5:$D$16)*$U7*$C7,0),IF(CM$4=EDATE('核心假设'!$B$5,9+$F7),SUM('融资租赁与资金缺口'!$D$5:$D$16)*$V7*$C7,0),IF(CM$4=EDATE('核心假设'!$B$5,10+$F7),SUM('融资租赁与资金缺口'!$D$5:$D$16)*$W7*$C7,0),IF(CM$4=EDATE('核心假设'!$B$5,11+$F7),SUM('融资租赁与资金缺口'!$D$5:$D$16)*$X7*$C7,0),IF(CM$4=EDATE('核心假设'!$B$5,12+$F7),SUM('融资租赁与资金缺口'!$D$5:$D$16)*$Y7*$C7,0),IF(CM$4=EDATE('核心假设'!$B$5,13+$F7),SUM('融资租赁与资金缺口'!$D$5:$D$16)*$Z7*$C7,0),IF(CM$4=EDATE('核心假设'!$B$5,14+$F7),SUM('融资租赁与资金缺口'!$D$5:$D$16)*$AA7*$C7,0),IF(CM$4=EDATE('核心假设'!$B$5,15+$F7),SUM('融资租赁与资金缺口'!$D$5:$D$16)*$AB7*$C7,0),IF(CM$4=EDATE('核心假设'!$B$5,16+$F7),SUM('融资租赁与资金缺口'!$D$5:$D$16)*$AC7*$C7,0),IF(CM$4=EDATE('核心假设'!$B$5,17+$F7),SUM('融资租赁与资金缺口'!$D$5:$D$16)*$AD7*$C7,0))-CM21</x:f>
        <x:v>1273095811.5325072</x:v>
      </x:c>
    </x:row>
    <x:row r="23">
      <x:c r="A23" s="60" t="str">
        <x:v>城市枪数/站数非负且站数为整数</x:v>
      </x:c>
      <x:c r="B23" s="70" t="n">
        <x:f>IF(AND('核心假设'!$B$6&gt;0,MOD('核心假设'!$B$6,1)=0,MOD('核心假设'!$B$6,2)=0),0,1)+COUNTIF('城市分配'!$J$6:$J$61,"&lt;0")+SUM(MOD('城市分配'!$J$6,2),MOD('城市分配'!$J$7,2),MOD('城市分配'!$J$8,2),MOD('城市分配'!$J$9,2),MOD('城市分配'!$J$10,2),MOD('城市分配'!$J$11,2),MOD('城市分配'!$J$12,2),MOD('城市分配'!$J$13,2),MOD('城市分配'!$J$14,2),MOD('城市分配'!$J$15,2),MOD('城市分配'!$J$16,2),MOD('城市分配'!$J$17,2),MOD('城市分配'!$J$18,2),MOD('城市分配'!$J$19,2),MOD('城市分配'!$J$20,2),MOD('城市分配'!$J$21,2),MOD('城市分配'!$J$22,2),MOD('城市分配'!$J$23,2),MOD('城市分配'!$J$24,2),MOD('城市分配'!$J$25,2),MOD('城市分配'!$J$26,2),MOD('城市分配'!$J$27,2),MOD('城市分配'!$J$28,2),MOD('城市分配'!$J$29,2),MOD('城市分配'!$J$30,2),MOD('城市分配'!$J$31,2),MOD('城市分配'!$J$32,2),MOD('城市分配'!$J$33,2),MOD('城市分配'!$J$34,2),MOD('城市分配'!$J$35,2),MOD('城市分配'!$J$36,2),MOD('城市分配'!$J$37,2),MOD('城市分配'!$J$38,2),MOD('城市分配'!$J$39,2),MOD('城市分配'!$J$40,2),MOD('城市分配'!$J$41,2),MOD('城市分配'!$J$42,2),MOD('城市分配'!$J$43,2),MOD('城市分配'!$J$44,2),MOD('城市分配'!$J$45,2),MOD('城市分配'!$J$46,2),MOD('城市分配'!$J$47,2),MOD('城市分配'!$J$48,2),MOD('城市分配'!$J$49,2),MOD('城市分配'!$J$50,2),MOD('城市分配'!$J$51,2),MOD('城市分配'!$J$52,2),MOD('城市分配'!$J$53,2),MOD('城市分配'!$J$54,2),MOD('城市分配'!$J$55,2),MOD('城市分配'!$J$56,2),MOD('城市分配'!$J$57,2),MOD('城市分配'!$J$58,2),MOD('城市分配'!$J$59,2),MOD('城市分配'!$J$60,2),MOD('城市分配'!$J$61,2))+COUNTIF('城市分配'!$L$6:$M$61,"&lt;0")+SUM(MOD('城市分配'!$L$6,1),MOD('城市分配'!$M$6,1),MOD('城市分配'!$L$7,1),MOD('城市分配'!$M$7,1),MOD('城市分配'!$L$8,1),MOD('城市分配'!$M$8,1),MOD('城市分配'!$L$9,1),MOD('城市分配'!$M$9,1),MOD('城市分配'!$L$10,1),MOD('城市分配'!$M$10,1),MOD('城市分配'!$L$11,1),MOD('城市分配'!$M$11,1),MOD('城市分配'!$L$12,1),MOD('城市分配'!$M$12,1),MOD('城市分配'!$L$13,1),MOD('城市分配'!$M$13,1),MOD('城市分配'!$L$14,1),MOD('城市分配'!$M$14,1),MOD('城市分配'!$L$15,1),MOD('城市分配'!$M$15,1),MOD('城市分配'!$L$16,1),MOD('城市分配'!$M$16,1),MOD('城市分配'!$L$17,1),MOD('城市分配'!$M$17,1),MOD('城市分配'!$L$18,1),MOD('城市分配'!$M$18,1),MOD('城市分配'!$L$19,1),MOD('城市分配'!$M$19,1),MOD('城市分配'!$L$20,1),MOD('城市分配'!$M$20,1),MOD('城市分配'!$L$21,1),MOD('城市分配'!$M$21,1),MOD('城市分配'!$L$22,1),MOD('城市分配'!$M$22,1),MOD('城市分配'!$L$23,1),MOD('城市分配'!$M$23,1),MOD('城市分配'!$L$24,1),MOD('城市分配'!$M$24,1),MOD('城市分配'!$L$25,1),MOD('城市分配'!$M$25,1),MOD('城市分配'!$L$26,1),MOD('城市分配'!$M$26,1),MOD('城市分配'!$L$27,1),MOD('城市分配'!$M$27,1),MOD('城市分配'!$L$28,1),MOD('城市分配'!$M$28,1),MOD('城市分配'!$L$29,1),MOD('城市分配'!$M$29,1),MOD('城市分配'!$L$30,1),MOD('城市分配'!$M$30,1),MOD('城市分配'!$L$31,1),MOD('城市分配'!$M$31,1),MOD('城市分配'!$L$32,1),MOD('城市分配'!$M$32,1),MOD('城市分配'!$L$33,1),MOD('城市分配'!$M$33,1),MOD('城市分配'!$L$34,1),MOD('城市分配'!$M$34,1),MOD('城市分配'!$L$35,1),MOD('城市分配'!$M$35,1),MOD('城市分配'!$L$36,1),MOD('城市分配'!$M$36,1),MOD('城市分配'!$L$37,1),MOD('城市分配'!$M$37,1),MOD('城市分配'!$L$38,1),MOD('城市分配'!$M$38,1),MOD('城市分配'!$L$39,1),MOD('城市分配'!$M$39,1),MOD('城市分配'!$L$40,1),MOD('城市分配'!$M$40,1),MOD('城市分配'!$L$41,1),MOD('城市分配'!$M$41,1),MOD('城市分配'!$L$42,1),MOD('城市分配'!$M$42,1),MOD('城市分配'!$L$43,1),MOD('城市分配'!$M$43,1),MOD('城市分配'!$L$44,1),MOD('城市分配'!$M$44,1),MOD('城市分配'!$L$45,1),MOD('城市分配'!$M$45,1),MOD('城市分配'!$L$46,1),MOD('城市分配'!$M$46,1),MOD('城市分配'!$L$47,1),MOD('城市分配'!$M$47,1),MOD('城市分配'!$L$48,1),MOD('城市分配'!$M$48,1),MOD('城市分配'!$L$49,1),MOD('城市分配'!$M$49,1),MOD('城市分配'!$L$50,1),MOD('城市分配'!$M$50,1),MOD('城市分配'!$L$51,1),MOD('城市分配'!$M$51,1),MOD('城市分配'!$L$52,1),MOD('城市分配'!$M$52,1),MOD('城市分配'!$L$53,1),MOD('城市分配'!$M$53,1),MOD('城市分配'!$L$54,1),MOD('城市分配'!$M$54,1),MOD('城市分配'!$L$55,1),MOD('城市分配'!$M$55,1),MOD('城市分配'!$L$56,1),MOD('城市分配'!$M$56,1),MOD('城市分配'!$L$57,1),MOD('城市分配'!$M$57,1),MOD('城市分配'!$L$58,1),MOD('城市分配'!$M$58,1),MOD('城市分配'!$L$59,1),MOD('城市分配'!$M$59,1),MOD('城市分配'!$L$60,1),MOD('城市分配'!$M$60,1),MOD('城市分配'!$L$61,1),MOD('城市分配'!$M$61,1))</x:f>
        <x:v>0</x:v>
      </x:c>
      <x:c r="C23" s="70" t="n">
        <x:f>0</x:f>
        <x:v>0</x:v>
      </x:c>
      <x:c r="D23" s="72" t="n">
        <x:f>B23-C23</x:f>
        <x:v>0</x:v>
      </x:c>
      <x:c r="E23" s="72" t="n">
        <x:v>0</x:v>
      </x:c>
      <x:c r="F23" s="54" t="str">
        <x:f>IF(ABS(D23)&lt;=E23,"PASS","FAIL")</x:f>
        <x:v>PASS</x:v>
      </x:c>
      <x:c r="G23" s="52" t="str">
        <x:v>核心假设!B6,城市分配!J6:M61</x:v>
      </x:c>
      <x:c r="H23" s="61" t="str">
        <x:v>目标枪数必须为正偶数；逐城目标非负偶数，2枪/4枪站数非负整数</x:v>
      </x:c>
      <x:c r="AE23" t="str">
        <x:v>放款延迟服务费</x:v>
      </x:c>
      <x:c r="AF23" s="28" t="n">
        <x:f>('核心假设'!$B$6*$M8*INDEX('核心假设'!$B$60:$G$60,1,1))*$B8*DAY(EOMONTH(AF$4,0))*INDEX('年度季节曲线'!$H$6:$H$17,MONTH(AF$4))</x:f>
        <x:v>1638342.5297091946</x:v>
      </x:c>
      <x:c r="AG23" s="28" t="n">
        <x:f>('核心假设'!$B$6*$M8*INDEX('核心假设'!$B$60:$G$60,1,2)+'核心假设'!$B$6*$N8*INDEX('核心假设'!$B$60:$G$60,1,1))*$B8*DAY(EOMONTH(AG$4,0))*INDEX('年度季节曲线'!$H$6:$H$17,MONTH(AG$4))</x:f>
        <x:v>3906233.3462973856</x:v>
      </x:c>
      <x:c r="AH23" s="28" t="n">
        <x:f>('核心假设'!$B$6*$M8*INDEX('核心假设'!$B$60:$G$60,1,3)+'核心假设'!$B$6*$N8*INDEX('核心假设'!$B$60:$G$60,1,2)+'核心假设'!$B$6*$O8*INDEX('核心假设'!$B$60:$G$60,1,1))*$B8*DAY(EOMONTH(AH$4,0))*INDEX('年度季节曲线'!$H$6:$H$17,MONTH(AH$4))</x:f>
        <x:v>7020842.932851772</x:v>
      </x:c>
      <x:c r="AI23" s="28" t="n">
        <x:f>('核心假设'!$B$6*$M8*INDEX('核心假设'!$B$60:$G$60,1,4)+'核心假设'!$B$6*$N8*INDEX('核心假设'!$B$60:$G$60,1,3)+'核心假设'!$B$6*$O8*INDEX('核心假设'!$B$60:$G$60,1,2)+'核心假设'!$B$6*$P8*INDEX('核心假设'!$B$60:$G$60,1,1))*$B8*DAY(EOMONTH(AI$4,0))*INDEX('年度季节曲线'!$H$6:$H$17,MONTH(AI$4))</x:f>
        <x:v>11844418.075962324</x:v>
      </x:c>
      <x:c r="AJ23" s="28" t="n">
        <x:f>('核心假设'!$B$6*$M8*INDEX('核心假设'!$B$60:$G$60,1,5)+'核心假设'!$B$6*$N8*INDEX('核心假设'!$B$60:$G$60,1,4)+'核心假设'!$B$6*$O8*INDEX('核心假设'!$B$60:$G$60,1,3)+'核心假设'!$B$6*$P8*INDEX('核心假设'!$B$60:$G$60,1,2)+'核心假设'!$B$6*$Q8*INDEX('核心假设'!$B$60:$G$60,1,1))*$B8*DAY(EOMONTH(AJ$4,0))*INDEX('年度季节曲线'!$H$6:$H$17,MONTH(AJ$4))</x:f>
        <x:v>15169869.965814352</x:v>
      </x:c>
      <x:c r="AK23" s="28" t="n">
        <x:f>('核心假设'!$B$6*$M8*INDEX('核心假设'!$B$60:$G$60,1,6)+'核心假设'!$B$6*$N8*INDEX('核心假设'!$B$60:$G$60,1,5)+'核心假设'!$B$6*$O8*INDEX('核心假设'!$B$60:$G$60,1,4)+'核心假设'!$B$6*$P8*INDEX('核心假设'!$B$60:$G$60,1,3)+'核心假设'!$B$6*$Q8*INDEX('核心假设'!$B$60:$G$60,1,2)+'核心假设'!$B$6*$R8*INDEX('核心假设'!$B$60:$G$60,1,1))*$B8*DAY(EOMONTH(AK$4,0))*INDEX('年度季节曲线'!$H$6:$H$17,MONTH(AK$4))</x:f>
        <x:v>16477424.954601841</x:v>
      </x:c>
      <x:c r="AL23" s="28" t="n">
        <x:f>('核心假设'!$B$6*$M8*INDEX('核心假设'!$B$60:$G$60,1,6)+'核心假设'!$B$6*$N8*INDEX('核心假设'!$B$60:$G$60,1,6)+'核心假设'!$B$6*$O8*INDEX('核心假设'!$B$60:$G$60,1,5)+'核心假设'!$B$6*$P8*INDEX('核心假设'!$B$60:$G$60,1,4)+'核心假设'!$B$6*$Q8*INDEX('核心假设'!$B$60:$G$60,1,3)+'核心假设'!$B$6*$R8*INDEX('核心假设'!$B$60:$G$60,1,2)+'核心假设'!$B$6*$S8*INDEX('核心假设'!$B$60:$G$60,1,1))*$B8*DAY(EOMONTH(AL$4,0))*INDEX('年度季节曲线'!$H$6:$H$17,MONTH(AL$4))</x:f>
        <x:v>22138528.108812165</x:v>
      </x:c>
      <x:c r="AM23" s="28" t="n">
        <x:f>('核心假设'!$B$6*$M8*INDEX('核心假设'!$B$60:$G$60,1,6)+'核心假设'!$B$6*$N8*INDEX('核心假设'!$B$60:$G$60,1,6)+'核心假设'!$B$6*$O8*INDEX('核心假设'!$B$60:$G$60,1,6)+'核心假设'!$B$6*$P8*INDEX('核心假设'!$B$60:$G$60,1,5)+'核心假设'!$B$6*$Q8*INDEX('核心假设'!$B$60:$G$60,1,4)+'核心假设'!$B$6*$R8*INDEX('核心假设'!$B$60:$G$60,1,3)+'核心假设'!$B$6*$S8*INDEX('核心假设'!$B$60:$G$60,1,2)+'核心假设'!$B$6*$T8*INDEX('核心假设'!$B$60:$G$60,1,1))*$B8*DAY(EOMONTH(AM$4,0))*INDEX('年度季节曲线'!$H$6:$H$17,MONTH(AM$4))</x:f>
        <x:v>27439885.92620202</x:v>
      </x:c>
      <x:c r="AN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$60,1,5)+'核心假设'!$B$6*$R8*INDEX('核心假设'!$B$60:$G$60,1,4)+'核心假设'!$B$6*$S8*INDEX('核心假设'!$B$60:$G$60,1,3)+'核心假设'!$B$6*$T8*INDEX('核心假设'!$B$60:$G$60,1,2)+'核心假设'!$B$6*$U8*INDEX('核心假设'!$B$60:$G$60,1,1))*$B8*DAY(EOMONTH(AN$4,0))*INDEX('年度季节曲线'!$H$6:$H$17,MONTH(AN$4))</x:f>
        <x:v>33138899.06570695</x:v>
      </x:c>
      <x:c r="AO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$60,1,5)+'核心假设'!$B$6*$S8*INDEX('核心假设'!$B$60:$G$60,1,4)+'核心假设'!$B$6*$T8*INDEX('核心假设'!$B$60:$G$60,1,3)+'核心假设'!$B$6*$U8*INDEX('核心假设'!$B$60:$G$60,1,2)+'核心假设'!$B$6*$V8*INDEX('核心假设'!$B$60:$G$60,1,1))*$B8*DAY(EOMONTH(AO$4,0))*INDEX('年度季节曲线'!$H$6:$H$17,MONTH(AO$4))</x:f>
        <x:v>40678484.81288463</x:v>
      </x:c>
      <x:c r="AP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$60,1,5)+'核心假设'!$B$6*$T8*INDEX('核心假设'!$B$60:$G$60,1,4)+'核心假设'!$B$6*$U8*INDEX('核心假设'!$B$60:$G$60,1,3)+'核心假设'!$B$6*$V8*INDEX('核心假设'!$B$60:$G$60,1,2)+'核心假设'!$B$6*$W8*INDEX('核心假设'!$B$60:$G$60,1,1))*$B8*DAY(EOMONTH(AP$4,0))*INDEX('年度季节曲线'!$H$6:$H$17,MONTH(AP$4))</x:f>
        <x:v>48520496.255549416</x:v>
      </x:c>
      <x:c r="AQ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$60,1,5)+'核心假设'!$B$6*$U8*INDEX('核心假设'!$B$60:$G$60,1,4)+'核心假设'!$B$6*$V8*INDEX('核心假设'!$B$60:$G$60,1,3)+'核心假设'!$B$6*$W8*INDEX('核心假设'!$B$60:$G$60,1,2)+'核心假设'!$B$6*$X8*INDEX('核心假设'!$B$60:$G$60,1,1))*$B8*DAY(EOMONTH(AQ$4,0))*INDEX('年度季节曲线'!$H$6:$H$17,MONTH(AQ$4))</x:f>
        <x:v>54469130.30685436</x:v>
      </x:c>
      <x:c r="AR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$60,1,5)+'核心假设'!$B$6*$V8*INDEX('核心假设'!$B$60:$G$60,1,4)+'核心假设'!$B$6*$W8*INDEX('核心假设'!$B$60:$G$60,1,3)+'核心假设'!$B$6*$X8*INDEX('核心假设'!$B$60:$G$60,1,2)+'核心假设'!$B$6*$Y8*INDEX('核心假设'!$B$60:$G$60,1,1))*$B8*DAY(EOMONTH(AR$4,0))*INDEX('年度季节曲线'!$H$6:$H$17,MONTH(AR$4))</x:f>
        <x:v>52579872.920133755</x:v>
      </x:c>
      <x:c r="AS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$60,1,5)+'核心假设'!$B$6*$W8*INDEX('核心假设'!$B$60:$G$60,1,4)+'核心假设'!$B$6*$X8*INDEX('核心假设'!$B$60:$G$60,1,3)+'核心假设'!$B$6*$Y8*INDEX('核心假设'!$B$60:$G$60,1,2)+'核心假设'!$B$6*$Z8*INDEX('核心假设'!$B$60:$G$60,1,1))*$B8*DAY(EOMONTH(AS$4,0))*INDEX('年度季节曲线'!$H$6:$H$17,MONTH(AS$4))</x:f>
        <x:v>52184088.74461772</x:v>
      </x:c>
      <x:c r="AT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$60,1,5)+'核心假设'!$B$6*$X8*INDEX('核心假设'!$B$60:$G$60,1,4)+'核心假设'!$B$6*$Y8*INDEX('核心假设'!$B$60:$G$60,1,3)+'核心假设'!$B$6*$Z8*INDEX('核心假设'!$B$60:$G$60,1,2)+'核心假设'!$B$6*$AA8*INDEX('核心假设'!$B$60:$G$60,1,1))*$B8*DAY(EOMONTH(AT$4,0))*INDEX('年度季节曲线'!$H$6:$H$17,MONTH(AT$4))</x:f>
        <x:v>53824655.31841882</x:v>
      </x:c>
      <x:c r="AU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$60,1,5)+'核心假设'!$B$6*$Y8*INDEX('核心假设'!$B$60:$G$60,1,4)+'核心假设'!$B$6*$Z8*INDEX('核心假设'!$B$60:$G$60,1,3)+'核心假设'!$B$6*$AA8*INDEX('核心假设'!$B$60:$G$60,1,2)+'核心假设'!$B$6*$AB8*INDEX('核心假设'!$B$60:$G$60,1,1))*$B8*DAY(EOMONTH(AU$4,0))*INDEX('年度季节曲线'!$H$6:$H$17,MONTH(AU$4))</x:f>
        <x:v>59863787.96671186</x:v>
      </x:c>
      <x:c r="AV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$60,1,5)+'核心假设'!$B$6*$Z8*INDEX('核心假设'!$B$60:$G$60,1,4)+'核心假设'!$B$6*$AA8*INDEX('核心假设'!$B$60:$G$60,1,3)+'核心假设'!$B$6*$AB8*INDEX('核心假设'!$B$60:$G$60,1,2)+'核心假设'!$B$6*$AC8*INDEX('核心假设'!$B$60:$G$60,1,1))*$B8*DAY(EOMONTH(AV$4,0))*INDEX('年度季节曲线'!$H$6:$H$17,MONTH(AV$4))</x:f>
        <x:v>54725360.62703589</x:v>
      </x:c>
      <x:c r="AW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$60,1,5)+'核心假设'!$B$6*$AA8*INDEX('核心假设'!$B$60:$G$60,1,4)+'核心假设'!$B$6*$AB8*INDEX('核心假设'!$B$60:$G$60,1,3)+'核心假设'!$B$6*$AC8*INDEX('核心假设'!$B$60:$G$60,1,2)+'核心假设'!$B$6*$AD8*INDEX('核心假设'!$B$60:$G$60,1,1))*$B8*DAY(EOMONTH(AW$4,0))*INDEX('年度季节曲线'!$H$6:$H$17,MONTH(AW$4))</x:f>
        <x:v>46362141.856197216</x:v>
      </x:c>
      <x:c r="AX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$60,1,5)+'核心假设'!$B$6*$AB8*INDEX('核心假设'!$B$60:$G$60,1,4)+'核心假设'!$B$6*$AC8*INDEX('核心假设'!$B$60:$G$60,1,3)+'核心假设'!$B$6*$AD8*INDEX('核心假设'!$B$60:$G$60,1,2))*$B8*DAY(EOMONTH(AX$4,0))*INDEX('年度季节曲线'!$H$6:$H$17,MONTH(AX$4))</x:f>
        <x:v>47203684.6669769</x:v>
      </x:c>
      <x:c r="AY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$60,1,5)+'核心假设'!$B$6*$AC8*INDEX('核心假设'!$B$60:$G$60,1,4)+'核心假设'!$B$6*$AD8*INDEX('核心假设'!$B$60:$G$60,1,3))*$B8*DAY(EOMONTH(AY$4,0))*INDEX('年度季节曲线'!$H$6:$H$17,MONTH(AY$4))</x:f>
        <x:v>47813009.10646806</x:v>
      </x:c>
      <x:c r="AZ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$60,1,5)+'核心假设'!$B$6*$AD8*INDEX('核心假设'!$B$60:$G$60,1,4))*$B8*DAY(EOMONTH(AZ$4,0))*INDEX('年度季节曲线'!$H$6:$H$17,MONTH(AZ$4))</x:f>
        <x:v>49072855.124695614</x:v>
      </x:c>
      <x:c r="BA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$60,1,5))*$B8*DAY(EOMONTH(BA$4,0))*INDEX('年度季节曲线'!$H$6:$H$17,MONTH(BA$4))</x:f>
        <x:v>52781218.13012149</x:v>
      </x:c>
      <x:c r="BB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BB$4,0))*INDEX('年度季节曲线'!$H$6:$H$17,MONTH(BB$4))</x:f>
        <x:v>56524343.26135766</x:v>
      </x:c>
      <x:c r="BC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BC$4,0))*INDEX('年度季节曲线'!$H$6:$H$17,MONTH(BC$4))</x:f>
        <x:v>58493481.85873535</x:v>
      </x:c>
      <x:c r="BD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BD$4,0))*INDEX('年度季节曲线'!$H$6:$H$17,MONTH(BD$4))</x:f>
        <x:v>54611417.65697315</x:v>
      </x:c>
      <x:c r="BE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BE$4,0))*INDEX('年度季节曲线'!$H$6:$H$17,MONTH(BE$4))</x:f>
        <x:v>53146031.92241341</x:v>
      </x:c>
      <x:c r="BF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BF$4,0))*INDEX('年度季节曲线'!$H$6:$H$17,MONTH(BF$4))</x:f>
        <x:v>54215003.34248471</x:v>
      </x:c>
      <x:c r="BG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BG$4,0))*INDEX('年度季节曲线'!$H$6:$H$17,MONTH(BG$4))</x:f>
        <x:v>59971737.093480125</x:v>
      </x:c>
      <x:c r="BH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BH$4,0))*INDEX('年度季节曲线'!$H$6:$H$17,MONTH(BH$4))</x:f>
        <x:v>54725360.62703589</x:v>
      </x:c>
      <x:c r="BI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BI$4,0))*INDEX('年度季节曲线'!$H$6:$H$17,MONTH(BI$4))</x:f>
        <x:v>44763447.30943179</x:v>
      </x:c>
      <x:c r="BJ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BJ$4,0))*INDEX('年度季节曲线'!$H$6:$H$17,MONTH(BJ$4))</x:f>
        <x:v>47203684.6669769</x:v>
      </x:c>
      <x:c r="BK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BK$4,0))*INDEX('年度季节曲线'!$H$6:$H$17,MONTH(BK$4))</x:f>
        <x:v>47813009.10646806</x:v>
      </x:c>
      <x:c r="BL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BL$4,0))*INDEX('年度季节曲线'!$H$6:$H$17,MONTH(BL$4))</x:f>
        <x:v>49072855.124695614</x:v>
      </x:c>
      <x:c r="BM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BM$4,0))*INDEX('年度季节曲线'!$H$6:$H$17,MONTH(BM$4))</x:f>
        <x:v>52781218.13012149</x:v>
      </x:c>
      <x:c r="BN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BN$4,0))*INDEX('年度季节曲线'!$H$6:$H$17,MONTH(BN$4))</x:f>
        <x:v>56524343.26135766</x:v>
      </x:c>
      <x:c r="BO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BO$4,0))*INDEX('年度季节曲线'!$H$6:$H$17,MONTH(BO$4))</x:f>
        <x:v>58493481.85873535</x:v>
      </x:c>
      <x:c r="BP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BP$4,0))*INDEX('年度季节曲线'!$H$6:$H$17,MONTH(BP$4))</x:f>
        <x:v>54611417.65697315</x:v>
      </x:c>
      <x:c r="BQ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BQ$4,0))*INDEX('年度季节曲线'!$H$6:$H$17,MONTH(BQ$4))</x:f>
        <x:v>53146031.92241341</x:v>
      </x:c>
      <x:c r="BR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BR$4,0))*INDEX('年度季节曲线'!$H$6:$H$17,MONTH(BR$4))</x:f>
        <x:v>54215003.34248471</x:v>
      </x:c>
      <x:c r="BS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BS$4,0))*INDEX('年度季节曲线'!$H$6:$H$17,MONTH(BS$4))</x:f>
        <x:v>59971737.093480125</x:v>
      </x:c>
      <x:c r="BT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BT$4,0))*INDEX('年度季节曲线'!$H$6:$H$17,MONTH(BT$4))</x:f>
        <x:v>54725360.62703589</x:v>
      </x:c>
      <x:c r="BU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BU$4,0))*INDEX('年度季节曲线'!$H$6:$H$17,MONTH(BU$4))</x:f>
        <x:v>44763447.30943179</x:v>
      </x:c>
      <x:c r="BV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BV$4,0))*INDEX('年度季节曲线'!$H$6:$H$17,MONTH(BV$4))</x:f>
        <x:v>47203684.6669769</x:v>
      </x:c>
      <x:c r="BW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BW$4,0))*INDEX('年度季节曲线'!$H$6:$H$17,MONTH(BW$4))</x:f>
        <x:v>47813009.10646806</x:v>
      </x:c>
      <x:c r="BX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BX$4,0))*INDEX('年度季节曲线'!$H$6:$H$17,MONTH(BX$4))</x:f>
        <x:v>49072855.124695614</x:v>
      </x:c>
      <x:c r="BY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BY$4,0))*INDEX('年度季节曲线'!$H$6:$H$17,MONTH(BY$4))</x:f>
        <x:v>52781218.13012149</x:v>
      </x:c>
      <x:c r="BZ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BZ$4,0))*INDEX('年度季节曲线'!$H$6:$H$17,MONTH(BZ$4))</x:f>
        <x:v>56524343.26135766</x:v>
      </x:c>
      <x:c r="CA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CA$4,0))*INDEX('年度季节曲线'!$H$6:$H$17,MONTH(CA$4))</x:f>
        <x:v>58493481.85873535</x:v>
      </x:c>
      <x:c r="CB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CB$4,0))*INDEX('年度季节曲线'!$H$6:$H$17,MONTH(CB$4))</x:f>
        <x:v>54611417.65697315</x:v>
      </x:c>
      <x:c r="CC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CC$4,0))*INDEX('年度季节曲线'!$H$6:$H$17,MONTH(CC$4))</x:f>
        <x:v>53146031.92241341</x:v>
      </x:c>
      <x:c r="CD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CD$4,0))*INDEX('年度季节曲线'!$H$6:$H$17,MONTH(CD$4))</x:f>
        <x:v>54215003.34248471</x:v>
      </x:c>
      <x:c r="CE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CE$4,0))*INDEX('年度季节曲线'!$H$6:$H$17,MONTH(CE$4))</x:f>
        <x:v>59971737.093480125</x:v>
      </x:c>
      <x:c r="CF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CF$4,0))*INDEX('年度季节曲线'!$H$6:$H$17,MONTH(CF$4))</x:f>
        <x:v>54725360.62703589</x:v>
      </x:c>
      <x:c r="CG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CG$4,0))*INDEX('年度季节曲线'!$H$6:$H$17,MONTH(CG$4))</x:f>
        <x:v>44763447.30943179</x:v>
      </x:c>
      <x:c r="CH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CH$4,0))*INDEX('年度季节曲线'!$H$6:$H$17,MONTH(CH$4))</x:f>
        <x:v>47203684.6669769</x:v>
      </x:c>
      <x:c r="CI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CI$4,0))*INDEX('年度季节曲线'!$H$6:$H$17,MONTH(CI$4))</x:f>
        <x:v>47813009.10646806</x:v>
      </x:c>
      <x:c r="CJ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CJ$4,0))*INDEX('年度季节曲线'!$H$6:$H$17,MONTH(CJ$4))</x:f>
        <x:v>49072855.124695614</x:v>
      </x:c>
      <x:c r="CK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CK$4,0))*INDEX('年度季节曲线'!$H$6:$H$17,MONTH(CK$4))</x:f>
        <x:v>52781218.13012149</x:v>
      </x:c>
      <x:c r="CL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CL$4,0))*INDEX('年度季节曲线'!$H$6:$H$17,MONTH(CL$4))</x:f>
        <x:v>56524343.26135766</x:v>
      </x:c>
      <x:c r="CM23" s="28" t="n">
        <x:f>('核心假设'!$B$6*$M8*INDEX('核心假设'!$B$60:$G$60,1,6)+'核心假设'!$B$6*$N8*INDEX('核心假设'!$B$60:$G$60,1,6)+'核心假设'!$B$6*$O8*INDEX('核心假设'!$B$60:$G$60,1,6)+'核心假设'!$B$6*$P8*INDEX('核心假设'!$B$60:$G$60,1,6)+'核心假设'!$B$6*$Q8*INDEX('核心假设'!$B$60:$G$60,1,6)+'核心假设'!$B$6*$R8*INDEX('核心假设'!$B$60:$G$60,1,6)+'核心假设'!$B$6*$S8*INDEX('核心假设'!$B$60:$G$60,1,6)+'核心假设'!$B$6*$T8*INDEX('核心假设'!$B$60:$G$60,1,6)+'核心假设'!$B$6*$U8*INDEX('核心假设'!$B$60:$G$60,1,6)+'核心假设'!$B$6*$V8*INDEX('核心假设'!$B$60:$G$60,1,6)+'核心假设'!$B$6*$W8*INDEX('核心假设'!$B$60:$G$60,1,6)+'核心假设'!$B$6*$X8*INDEX('核心假设'!$B$60:$G$60,1,6)+'核心假设'!$B$6*$Y8*INDEX('核心假设'!$B$60:$G$60,1,6)+'核心假设'!$B$6*$Z8*INDEX('核心假设'!$B$60:$G$60,1,6)+'核心假设'!$B$6*$AA8*INDEX('核心假设'!$B$60:$G$60,1,6)+'核心假设'!$B$6*$AB8*INDEX('核心假设'!$B$60:$G$60,1,6)+'核心假设'!$B$6*$AC8*INDEX('核心假设'!$B$60:$G$60,1,6)+'核心假设'!$B$6*$AD8*INDEX('核心假设'!$B$60:$G$60,1,6))*$B8*DAY(EOMONTH(CM$4,0))*INDEX('年度季节曲线'!$H$6:$H$17,MONTH(CM$4))</x:f>
        <x:v>58493481.85873535</x:v>
      </x:c>
    </x:row>
    <x:row r="24">
      <x:c r="A24" s="60" t="str">
        <x:v>每城站型枪数回归目标</x:v>
      </x:c>
      <x:c r="B24" s="70" t="n">
        <x:f>COUNTIF('城市分配'!$O$6:$O$61,"&lt;&gt;0")</x:f>
        <x:v>0</x:v>
      </x:c>
      <x:c r="C24" s="70" t="n">
        <x:f>0</x:f>
        <x:v>0</x:v>
      </x:c>
      <x:c r="D24" s="72" t="n">
        <x:f>B24-C24</x:f>
        <x:v>0</x:v>
      </x:c>
      <x:c r="E24" s="72" t="n">
        <x:v>0</x:v>
      </x:c>
      <x:c r="F24" s="54" t="str">
        <x:f>IF(ABS(D24)&lt;=E24,"PASS","FAIL")</x:f>
        <x:v>PASS</x:v>
      </x:c>
      <x:c r="G24" s="52" t="str">
        <x:v>城市分配!O6:O61</x:v>
      </x:c>
      <x:c r="H24" s="61" t="str">
        <x:v>2×2枪站+4×4枪站=目标，亦保证偶数枪</x:v>
      </x:c>
      <x:c r="AE24" t="str">
        <x:v>CFADS</x:v>
      </x:c>
      <x:c r="AF24" s="28" t="n">
        <x:f>AF23-IF($G8="固定租金",SUM('月度投放计划'!$J$15:$U$16)*SUM($M8:$M8)*'核心假设'!$B$35,AF23*'核心假设'!$B$34)-AF23*$H8-'核心假设'!$B$37-AF23*'核心假设'!$B$38</x:f>
        <x:v>1146839.7707964361</x:v>
      </x:c>
      <x:c r="AG24" s="28" t="n">
        <x:f>AG23-IF($G8="固定租金",SUM('月度投放计划'!$J$15:$U$16)*SUM($M8:$N8)*'核心假设'!$B$35,AG23*'核心假设'!$B$34)-AG23*$H8-'核心假设'!$B$37-AG23*'核心假设'!$B$38</x:f>
        <x:v>2734363.34240817</x:v>
      </x:c>
      <x:c r="AH24" s="28" t="n">
        <x:f>AH23-IF($G8="固定租金",SUM('月度投放计划'!$J$15:$U$16)*SUM($M8:$O8)*'核心假设'!$B$35,AH23*'核心假设'!$B$34)-AH23*$H8-'核心假设'!$B$37-AH23*'核心假设'!$B$38</x:f>
        <x:v>4914590.052996241</x:v>
      </x:c>
      <x:c r="AI24" s="28" t="n">
        <x:f>AI23-IF($G8="固定租金",SUM('月度投放计划'!$J$15:$U$16)*SUM($M8:$P8)*'核心假设'!$B$35,AI23*'核心假设'!$B$34)-AI23*$H8-'核心假设'!$B$37-AI23*'核心假设'!$B$38</x:f>
        <x:v>8291092.6531736255</x:v>
      </x:c>
      <x:c r="AJ24" s="28" t="n">
        <x:f>AJ23-IF($G8="固定租金",SUM('月度投放计划'!$J$15:$U$16)*SUM($M8:$Q8)*'核心假设'!$B$35,AJ23*'核心假设'!$B$34)-AJ23*$H8-'核心假设'!$B$37-AJ23*'核心假设'!$B$38</x:f>
        <x:v>10618908.976070046</x:v>
      </x:c>
      <x:c r="AK24" s="28" t="n">
        <x:f>AK23-IF($G8="固定租金",SUM('月度投放计划'!$J$15:$U$16)*SUM($M8:$R8)*'核心假设'!$B$35,AK23*'核心假设'!$B$34)-AK23*$H8-'核心假设'!$B$37-AK23*'核心假设'!$B$38</x:f>
        <x:v>11534197.468221288</x:v>
      </x:c>
      <x:c r="AL24" s="28" t="n">
        <x:f>AL23-IF($G8="固定租金",SUM('月度投放计划'!$J$15:$U$16)*SUM($M8:$S8)*'核心假设'!$B$35,AL23*'核心假设'!$B$34)-AL23*$H8-'核心假设'!$B$37-AL23*'核心假设'!$B$38</x:f>
        <x:v>15496969.676168516</x:v>
      </x:c>
      <x:c r="AM24" s="28" t="n">
        <x:f>AM23-IF($G8="固定租金",SUM('月度投放计划'!$J$15:$U$16)*SUM($M8:$T8)*'核心假设'!$B$35,AM23*'核心假设'!$B$34)-AM23*$H8-'核心假设'!$B$37-AM23*'核心假设'!$B$38</x:f>
        <x:v>19207920.148341417</x:v>
      </x:c>
      <x:c r="AN24" s="28" t="n">
        <x:f>AN23-IF($G8="固定租金",SUM('月度投放计划'!$J$15:$U$16)*SUM($M8:$U8)*'核心假设'!$B$35,AN23*'核心假设'!$B$34)-AN23*$H8-'核心假设'!$B$37-AN23*'核心假设'!$B$38</x:f>
        <x:v>23197229.345994864</x:v>
      </x:c>
      <x:c r="AO24" s="28" t="n">
        <x:f>AO23-IF($G8="固定租金",SUM('月度投放计划'!$J$15:$U$16)*SUM($M8:$V8)*'核心假设'!$B$35,AO23*'核心假设'!$B$34)-AO23*$H8-'核心假设'!$B$37-AO23*'核心假设'!$B$38</x:f>
        <x:v>28474939.36901924</x:v>
      </x:c>
      <x:c r="AP24" s="28" t="n">
        <x:f>AP23-IF($G8="固定租金",SUM('月度投放计划'!$J$15:$U$16)*SUM($M8:$W8)*'核心假设'!$B$35,AP23*'核心假设'!$B$34)-AP23*$H8-'核心假设'!$B$37-AP23*'核心假设'!$B$38</x:f>
        <x:v>33964347.37888459</x:v>
      </x:c>
      <x:c r="AQ24" s="28" t="n">
        <x:f>AQ23-IF($G8="固定租金",SUM('月度投放计划'!$J$15:$U$16)*SUM($M8:$X8)*'核心假设'!$B$35,AQ23*'核心假设'!$B$34)-AQ23*$H8-'核心假设'!$B$37-AQ23*'核心假设'!$B$38</x:f>
        <x:v>38128391.21479805</x:v>
      </x:c>
      <x:c r="AR24" s="28" t="n">
        <x:f>AR23-IF($G8="固定租金",SUM('月度投放计划'!$J$15:$U$16)*SUM($M8:$Y8)*'核心假设'!$B$35,AR23*'核心假设'!$B$34)-AR23*$H8-'核心假设'!$B$37-AR23*'核心假设'!$B$38</x:f>
        <x:v>36805911.044093624</x:v>
      </x:c>
      <x:c r="AS24" s="28" t="n">
        <x:f>AS23-IF($G8="固定租金",SUM('月度投放计划'!$J$15:$U$16)*SUM($M8:$Z8)*'核心假设'!$B$35,AS23*'核心假设'!$B$34)-AS23*$H8-'核心假设'!$B$37-AS23*'核心假设'!$B$38</x:f>
        <x:v>36528862.121232405</x:v>
      </x:c>
      <x:c r="AT24" s="28" t="n">
        <x:f>AT23-IF($G8="固定租金",SUM('月度投放计划'!$J$15:$U$16)*SUM($M8:$AA8)*'核心假设'!$B$35,AT23*'核心假设'!$B$34)-AT23*$H8-'核心假设'!$B$37-AT23*'核心假设'!$B$38</x:f>
        <x:v>37677258.72289318</x:v>
      </x:c>
      <x:c r="AU24" s="28" t="n">
        <x:f>AU23-IF($G8="固定租金",SUM('月度投放计划'!$J$15:$U$16)*SUM($M8:$AB8)*'核心假设'!$B$35,AU23*'核心假设'!$B$34)-AU23*$H8-'核心假设'!$B$37-AU23*'核心假设'!$B$38</x:f>
        <x:v>41904651.5766983</x:v>
      </x:c>
      <x:c r="AV24" s="28" t="n">
        <x:f>AV23-IF($G8="固定租金",SUM('月度投放计划'!$J$15:$U$16)*SUM($M8:$AC8)*'核心假设'!$B$35,AV23*'核心假设'!$B$34)-AV23*$H8-'核心假设'!$B$37-AV23*'核心假设'!$B$38</x:f>
        <x:v>38307752.438925125</x:v>
      </x:c>
      <x:c r="AW24" s="28" t="n">
        <x:f>AW23-IF($G8="固定租金",SUM('月度投放计划'!$J$15:$U$16)*SUM($M8:$AD8)*'核心假设'!$B$35,AW23*'核心假设'!$B$34)-AW23*$H8-'核心假设'!$B$37-AW23*'核心假设'!$B$38</x:f>
        <x:v>32453499.299338046</x:v>
      </x:c>
      <x:c r="AX24" s="28" t="n">
        <x:f>AX23-IF($G8="固定租金",SUM('月度投放计划'!$J$15:$U$16)*SUM($M8:$AD8)*'核心假设'!$B$35,AX23*'核心假设'!$B$34)-AX23*$H8-'核心假设'!$B$37-AX23*'核心假设'!$B$38</x:f>
        <x:v>33042579.26688383</x:v>
      </x:c>
      <x:c r="AY24" s="28" t="n">
        <x:f>AY23-IF($G8="固定租金",SUM('月度投放计划'!$J$15:$U$16)*SUM($M8:$AD8)*'核心假设'!$B$35,AY23*'核心假设'!$B$34)-AY23*$H8-'核心假设'!$B$37-AY23*'核心假设'!$B$38</x:f>
        <x:v>33469106.374527637</x:v>
      </x:c>
      <x:c r="AZ24" s="28" t="n">
        <x:f>AZ23-IF($G8="固定租金",SUM('月度投放计划'!$J$15:$U$16)*SUM($M8:$AD8)*'核心假设'!$B$35,AZ23*'核心假设'!$B$34)-AZ23*$H8-'核心假设'!$B$37-AZ23*'核心假设'!$B$38</x:f>
        <x:v>34350998.587286934</x:v>
      </x:c>
      <x:c r="BA24" s="28" t="n">
        <x:f>BA23-IF($G8="固定租金",SUM('月度投放计划'!$J$15:$U$16)*SUM($M8:$AD8)*'核心假设'!$B$35,BA23*'核心假设'!$B$34)-BA23*$H8-'核心假设'!$B$37-BA23*'核心假设'!$B$38</x:f>
        <x:v>36946852.69108504</x:v>
      </x:c>
      <x:c r="BB24" s="28" t="n">
        <x:f>BB23-IF($G8="固定租金",SUM('月度投放计划'!$J$15:$U$16)*SUM($M8:$AD8)*'核心假设'!$B$35,BB23*'核心假设'!$B$34)-BB23*$H8-'核心假设'!$B$37-BB23*'核心假设'!$B$38</x:f>
        <x:v>39567040.28295036</x:v>
      </x:c>
      <x:c r="BC24" s="28" t="n">
        <x:f>BC23-IF($G8="固定租金",SUM('月度投放计划'!$J$15:$U$16)*SUM($M8:$AD8)*'核心假设'!$B$35,BC23*'核心假设'!$B$34)-BC23*$H8-'核心假设'!$B$37-BC23*'核心假设'!$B$38</x:f>
        <x:v>40945437.301114745</x:v>
      </x:c>
      <x:c r="BD24" s="28" t="n">
        <x:f>BD23-IF($G8="固定租金",SUM('月度投放计划'!$J$15:$U$16)*SUM($M8:$AD8)*'核心假设'!$B$35,BD23*'核心假设'!$B$34)-BD23*$H8-'核心假设'!$B$37-BD23*'核心假设'!$B$38</x:f>
        <x:v>38227992.35988121</x:v>
      </x:c>
      <x:c r="BE24" s="28" t="n">
        <x:f>BE23-IF($G8="固定租金",SUM('月度投放计划'!$J$15:$U$16)*SUM($M8:$AD8)*'核心假设'!$B$35,BE23*'核心假设'!$B$34)-BE23*$H8-'核心假设'!$B$37-BE23*'核心假设'!$B$38</x:f>
        <x:v>37202222.345689386</x:v>
      </x:c>
      <x:c r="BF24" s="28" t="n">
        <x:f>BF23-IF($G8="固定租金",SUM('月度投放计划'!$J$15:$U$16)*SUM($M8:$AD8)*'核心假设'!$B$35,BF23*'核心假设'!$B$34)-BF23*$H8-'核心假设'!$B$37-BF23*'核心假设'!$B$38</x:f>
        <x:v>37950502.33973929</x:v>
      </x:c>
      <x:c r="BG24" s="28" t="n">
        <x:f>BG23-IF($G8="固定租金",SUM('月度投放计划'!$J$15:$U$16)*SUM($M8:$AD8)*'核心假设'!$B$35,BG23*'核心假设'!$B$34)-BG23*$H8-'核心假设'!$B$37-BG23*'核心假设'!$B$38</x:f>
        <x:v>41980215.965436086</x:v>
      </x:c>
      <x:c r="BH24" s="28" t="n">
        <x:f>BH23-IF($G8="固定租金",SUM('月度投放计划'!$J$15:$U$16)*SUM($M8:$AD8)*'核心假设'!$B$35,BH23*'核心假设'!$B$34)-BH23*$H8-'核心假设'!$B$37-BH23*'核心假设'!$B$38</x:f>
        <x:v>38307752.438925125</x:v>
      </x:c>
      <x:c r="BI24" s="28" t="n">
        <x:f>BI23-IF($G8="固定租金",SUM('月度投放计划'!$J$15:$U$16)*SUM($M8:$AD8)*'核心假设'!$B$35,BI23*'核心假设'!$B$34)-BI23*$H8-'核心假设'!$B$37-BI23*'核心假设'!$B$38</x:f>
        <x:v>31334413.11660225</x:v>
      </x:c>
      <x:c r="BJ24" s="28" t="n">
        <x:f>BJ23-IF($G8="固定租金",SUM('月度投放计划'!$J$15:$U$16)*SUM($M8:$AD8)*'核心假设'!$B$35,BJ23*'核心假设'!$B$34)-BJ23*$H8-'核心假设'!$B$37-BJ23*'核心假设'!$B$38</x:f>
        <x:v>33042579.26688383</x:v>
      </x:c>
      <x:c r="BK24" s="28" t="n">
        <x:f>BK23-IF($G8="固定租金",SUM('月度投放计划'!$J$15:$U$16)*SUM($M8:$AD8)*'核心假设'!$B$35,BK23*'核心假设'!$B$34)-BK23*$H8-'核心假设'!$B$37-BK23*'核心假设'!$B$38</x:f>
        <x:v>33469106.374527637</x:v>
      </x:c>
      <x:c r="BL24" s="28" t="n">
        <x:f>BL23-IF($G8="固定租金",SUM('月度投放计划'!$J$15:$U$16)*SUM($M8:$AD8)*'核心假设'!$B$35,BL23*'核心假设'!$B$34)-BL23*$H8-'核心假设'!$B$37-BL23*'核心假设'!$B$38</x:f>
        <x:v>34350998.587286934</x:v>
      </x:c>
      <x:c r="BM24" s="28" t="n">
        <x:f>BM23-IF($G8="固定租金",SUM('月度投放计划'!$J$15:$U$16)*SUM($M8:$AD8)*'核心假设'!$B$35,BM23*'核心假设'!$B$34)-BM23*$H8-'核心假设'!$B$37-BM23*'核心假设'!$B$38</x:f>
        <x:v>36946852.69108504</x:v>
      </x:c>
      <x:c r="BN24" s="28" t="n">
        <x:f>BN23-IF($G8="固定租金",SUM('月度投放计划'!$J$15:$U$16)*SUM($M8:$AD8)*'核心假设'!$B$35,BN23*'核心假设'!$B$34)-BN23*$H8-'核心假设'!$B$37-BN23*'核心假设'!$B$38</x:f>
        <x:v>39567040.28295036</x:v>
      </x:c>
      <x:c r="BO24" s="28" t="n">
        <x:f>BO23-IF($G8="固定租金",SUM('月度投放计划'!$J$15:$U$16)*SUM($M8:$AD8)*'核心假设'!$B$35,BO23*'核心假设'!$B$34)-BO23*$H8-'核心假设'!$B$37-BO23*'核心假设'!$B$38</x:f>
        <x:v>40945437.301114745</x:v>
      </x:c>
      <x:c r="BP24" s="28" t="n">
        <x:f>BP23-IF($G8="固定租金",SUM('月度投放计划'!$J$15:$U$16)*SUM($M8:$AD8)*'核心假设'!$B$35,BP23*'核心假设'!$B$34)-BP23*$H8-'核心假设'!$B$37-BP23*'核心假设'!$B$38</x:f>
        <x:v>38227992.35988121</x:v>
      </x:c>
      <x:c r="BQ24" s="28" t="n">
        <x:f>BQ23-IF($G8="固定租金",SUM('月度投放计划'!$J$15:$U$16)*SUM($M8:$AD8)*'核心假设'!$B$35,BQ23*'核心假设'!$B$34)-BQ23*$H8-'核心假设'!$B$37-BQ23*'核心假设'!$B$38</x:f>
        <x:v>37202222.345689386</x:v>
      </x:c>
      <x:c r="BR24" s="28" t="n">
        <x:f>BR23-IF($G8="固定租金",SUM('月度投放计划'!$J$15:$U$16)*SUM($M8:$AD8)*'核心假设'!$B$35,BR23*'核心假设'!$B$34)-BR23*$H8-'核心假设'!$B$37-BR23*'核心假设'!$B$38</x:f>
        <x:v>37950502.33973929</x:v>
      </x:c>
      <x:c r="BS24" s="28" t="n">
        <x:f>BS23-IF($G8="固定租金",SUM('月度投放计划'!$J$15:$U$16)*SUM($M8:$AD8)*'核心假设'!$B$35,BS23*'核心假设'!$B$34)-BS23*$H8-'核心假设'!$B$37-BS23*'核心假设'!$B$38</x:f>
        <x:v>41980215.965436086</x:v>
      </x:c>
      <x:c r="BT24" s="28" t="n">
        <x:f>BT23-IF($G8="固定租金",SUM('月度投放计划'!$J$15:$U$16)*SUM($M8:$AD8)*'核心假设'!$B$35,BT23*'核心假设'!$B$34)-BT23*$H8-'核心假设'!$B$37-BT23*'核心假设'!$B$38</x:f>
        <x:v>38307752.438925125</x:v>
      </x:c>
      <x:c r="BU24" s="28" t="n">
        <x:f>BU23-IF($G8="固定租金",SUM('月度投放计划'!$J$15:$U$16)*SUM($M8:$AD8)*'核心假设'!$B$35,BU23*'核心假设'!$B$34)-BU23*$H8-'核心假设'!$B$37-BU23*'核心假设'!$B$38</x:f>
        <x:v>31334413.11660225</x:v>
      </x:c>
      <x:c r="BV24" s="28" t="n">
        <x:f>BV23-IF($G8="固定租金",SUM('月度投放计划'!$J$15:$U$16)*SUM($M8:$AD8)*'核心假设'!$B$35,BV23*'核心假设'!$B$34)-BV23*$H8-'核心假设'!$B$37-BV23*'核心假设'!$B$38</x:f>
        <x:v>33042579.26688383</x:v>
      </x:c>
      <x:c r="BW24" s="28" t="n">
        <x:f>BW23-IF($G8="固定租金",SUM('月度投放计划'!$J$15:$U$16)*SUM($M8:$AD8)*'核心假设'!$B$35,BW23*'核心假设'!$B$34)-BW23*$H8-'核心假设'!$B$37-BW23*'核心假设'!$B$38</x:f>
        <x:v>33469106.374527637</x:v>
      </x:c>
      <x:c r="BX24" s="28" t="n">
        <x:f>BX23-IF($G8="固定租金",SUM('月度投放计划'!$J$15:$U$16)*SUM($M8:$AD8)*'核心假设'!$B$35,BX23*'核心假设'!$B$34)-BX23*$H8-'核心假设'!$B$37-BX23*'核心假设'!$B$38</x:f>
        <x:v>34350998.587286934</x:v>
      </x:c>
      <x:c r="BY24" s="28" t="n">
        <x:f>BY23-IF($G8="固定租金",SUM('月度投放计划'!$J$15:$U$16)*SUM($M8:$AD8)*'核心假设'!$B$35,BY23*'核心假设'!$B$34)-BY23*$H8-'核心假设'!$B$37-BY23*'核心假设'!$B$38</x:f>
        <x:v>36946852.69108504</x:v>
      </x:c>
      <x:c r="BZ24" s="28" t="n">
        <x:f>BZ23-IF($G8="固定租金",SUM('月度投放计划'!$J$15:$U$16)*SUM($M8:$AD8)*'核心假设'!$B$35,BZ23*'核心假设'!$B$34)-BZ23*$H8-'核心假设'!$B$37-BZ23*'核心假设'!$B$38</x:f>
        <x:v>39567040.28295036</x:v>
      </x:c>
      <x:c r="CA24" s="28" t="n">
        <x:f>CA23-IF($G8="固定租金",SUM('月度投放计划'!$J$15:$U$16)*SUM($M8:$AD8)*'核心假设'!$B$35,CA23*'核心假设'!$B$34)-CA23*$H8-'核心假设'!$B$37-CA23*'核心假设'!$B$38</x:f>
        <x:v>40945437.301114745</x:v>
      </x:c>
      <x:c r="CB24" s="28" t="n">
        <x:f>CB23-IF($G8="固定租金",SUM('月度投放计划'!$J$15:$U$16)*SUM($M8:$AD8)*'核心假设'!$B$35,CB23*'核心假设'!$B$34)-CB23*$H8-'核心假设'!$B$37-CB23*'核心假设'!$B$38</x:f>
        <x:v>38227992.35988121</x:v>
      </x:c>
      <x:c r="CC24" s="28" t="n">
        <x:f>CC23-IF($G8="固定租金",SUM('月度投放计划'!$J$15:$U$16)*SUM($M8:$AD8)*'核心假设'!$B$35,CC23*'核心假设'!$B$34)-CC23*$H8-'核心假设'!$B$37-CC23*'核心假设'!$B$38</x:f>
        <x:v>37202222.345689386</x:v>
      </x:c>
      <x:c r="CD24" s="28" t="n">
        <x:f>CD23-IF($G8="固定租金",SUM('月度投放计划'!$J$15:$U$16)*SUM($M8:$AD8)*'核心假设'!$B$35,CD23*'核心假设'!$B$34)-CD23*$H8-'核心假设'!$B$37-CD23*'核心假设'!$B$38</x:f>
        <x:v>37950502.33973929</x:v>
      </x:c>
      <x:c r="CE24" s="28" t="n">
        <x:f>CE23-IF($G8="固定租金",SUM('月度投放计划'!$J$15:$U$16)*SUM($M8:$AD8)*'核心假设'!$B$35,CE23*'核心假设'!$B$34)-CE23*$H8-'核心假设'!$B$37-CE23*'核心假设'!$B$38</x:f>
        <x:v>41980215.965436086</x:v>
      </x:c>
      <x:c r="CF24" s="28" t="n">
        <x:f>CF23-IF($G8="固定租金",SUM('月度投放计划'!$J$15:$U$16)*SUM($M8:$AD8)*'核心假设'!$B$35,CF23*'核心假设'!$B$34)-CF23*$H8-'核心假设'!$B$37-CF23*'核心假设'!$B$38</x:f>
        <x:v>38307752.438925125</x:v>
      </x:c>
      <x:c r="CG24" s="28" t="n">
        <x:f>CG23-IF($G8="固定租金",SUM('月度投放计划'!$J$15:$U$16)*SUM($M8:$AD8)*'核心假设'!$B$35,CG23*'核心假设'!$B$34)-CG23*$H8-'核心假设'!$B$37-CG23*'核心假设'!$B$38</x:f>
        <x:v>31334413.11660225</x:v>
      </x:c>
      <x:c r="CH24" s="28" t="n">
        <x:f>CH23-IF($G8="固定租金",SUM('月度投放计划'!$J$15:$U$16)*SUM($M8:$AD8)*'核心假设'!$B$35,CH23*'核心假设'!$B$34)-CH23*$H8-'核心假设'!$B$37-CH23*'核心假设'!$B$38</x:f>
        <x:v>33042579.26688383</x:v>
      </x:c>
      <x:c r="CI24" s="28" t="n">
        <x:f>CI23-IF($G8="固定租金",SUM('月度投放计划'!$J$15:$U$16)*SUM($M8:$AD8)*'核心假设'!$B$35,CI23*'核心假设'!$B$34)-CI23*$H8-'核心假设'!$B$37-CI23*'核心假设'!$B$38</x:f>
        <x:v>33469106.374527637</x:v>
      </x:c>
      <x:c r="CJ24" s="28" t="n">
        <x:f>CJ23-IF($G8="固定租金",SUM('月度投放计划'!$J$15:$U$16)*SUM($M8:$AD8)*'核心假设'!$B$35,CJ23*'核心假设'!$B$34)-CJ23*$H8-'核心假设'!$B$37-CJ23*'核心假设'!$B$38</x:f>
        <x:v>34350998.587286934</x:v>
      </x:c>
      <x:c r="CK24" s="28" t="n">
        <x:f>CK23-IF($G8="固定租金",SUM('月度投放计划'!$J$15:$U$16)*SUM($M8:$AD8)*'核心假设'!$B$35,CK23*'核心假设'!$B$34)-CK23*$H8-'核心假设'!$B$37-CK23*'核心假设'!$B$38</x:f>
        <x:v>36946852.69108504</x:v>
      </x:c>
      <x:c r="CL24" s="28" t="n">
        <x:f>CL23-IF($G8="固定租金",SUM('月度投放计划'!$J$15:$U$16)*SUM($M8:$AD8)*'核心假设'!$B$35,CL23*'核心假设'!$B$34)-CL23*$H8-'核心假设'!$B$37-CL23*'核心假设'!$B$38</x:f>
        <x:v>39567040.28295036</x:v>
      </x:c>
      <x:c r="CM24" s="28" t="n">
        <x:f>CM23-IF($G8="固定租金",SUM('月度投放计划'!$J$15:$U$16)*SUM($M8:$AD8)*'核心假设'!$B$35,CM23*'核心假设'!$B$34)-CM23*$H8-'核心假设'!$B$37-CM23*'核心假设'!$B$38</x:f>
        <x:v>40945437.301114745</x:v>
      </x:c>
    </x:row>
    <x:row r="25">
      <x:c r="A25" s="60" t="str">
        <x:v>首批26城前6月实际上线</x:v>
      </x:c>
      <x:c r="B25" s="70" t="n">
        <x:f>'核心假设'!$B$46-SUM('月度投放计划'!$AI$28:$AI$83)</x:f>
        <x:v>0</x:v>
      </x:c>
      <x:c r="C25" s="70" t="n">
        <x:f>0</x:f>
        <x:v>0</x:v>
      </x:c>
      <x:c r="D25" s="72" t="n">
        <x:f>B25-C25</x:f>
        <x:v>0</x:v>
      </x:c>
      <x:c r="E25" s="72" t="n">
        <x:v>0</x:v>
      </x:c>
      <x:c r="F25" s="54" t="str">
        <x:f>IF(ABS(D25)&lt;=E25,"PASS","FAIL")</x:f>
        <x:v>PASS</x:v>
      </x:c>
      <x:c r="G25" s="52" t="str">
        <x:v>月度投放计划!J28:O83,V28:AA83,AI28:AI83</x:v>
      </x:c>
      <x:c r="H25" s="61" t="str">
        <x:v>直接检查每个固定城市前6月实际2枪/4枪站数</x:v>
      </x:c>
      <x:c r="AE25" t="str">
        <x:v>债务支付</x:v>
      </x:c>
      <x:c r="AF25" s="28" t="n">
        <x:f>SUM(IF(AND(AF$4&gt;EDATE('核心假设'!$B$5,0+$F8),AF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AF$4=EDATE(EDATE('核心假设'!$B$5,0+$F8),$D8),SUM('融资租赁与资金缺口'!$D$5:$D$16)*$M8*'核心假设'!$B$32,0),0),IF(AND(AF$4&gt;EDATE('核心假设'!$B$5,1+$F8),AF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AF$4=EDATE(EDATE('核心假设'!$B$5,1+$F8),$D8),SUM('融资租赁与资金缺口'!$D$5:$D$16)*$N8*'核心假设'!$B$32,0),0),IF(AND(AF$4&gt;EDATE('核心假设'!$B$5,2+$F8),AF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AF$4=EDATE(EDATE('核心假设'!$B$5,2+$F8),$D8),SUM('融资租赁与资金缺口'!$D$5:$D$16)*$O8*'核心假设'!$B$32,0),0),IF(AND(AF$4&gt;EDATE('核心假设'!$B$5,3+$F8),AF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AF$4=EDATE(EDATE('核心假设'!$B$5,3+$F8),$D8),SUM('融资租赁与资金缺口'!$D$5:$D$16)*$P8*'核心假设'!$B$32,0),0),IF(AND(AF$4&gt;EDATE('核心假设'!$B$5,4+$F8),AF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AF$4=EDATE(EDATE('核心假设'!$B$5,4+$F8),$D8),SUM('融资租赁与资金缺口'!$D$5:$D$16)*$Q8*'核心假设'!$B$32,0),0),IF(AND(AF$4&gt;EDATE('核心假设'!$B$5,5+$F8),AF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AF$4=EDATE(EDATE('核心假设'!$B$5,5+$F8),$D8),SUM('融资租赁与资金缺口'!$D$5:$D$16)*$R8*'核心假设'!$B$32,0),0),IF(AND(AF$4&gt;EDATE('核心假设'!$B$5,6+$F8),AF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AF$4=EDATE(EDATE('核心假设'!$B$5,6+$F8),$D8),SUM('融资租赁与资金缺口'!$D$5:$D$16)*$S8*'核心假设'!$B$32,0),0),IF(AND(AF$4&gt;EDATE('核心假设'!$B$5,7+$F8),AF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AF$4=EDATE(EDATE('核心假设'!$B$5,7+$F8),$D8),SUM('融资租赁与资金缺口'!$D$5:$D$16)*$T8*'核心假设'!$B$32,0),0),IF(AND(AF$4&gt;EDATE('核心假设'!$B$5,8+$F8),AF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AF$4=EDATE(EDATE('核心假设'!$B$5,8+$F8),$D8),SUM('融资租赁与资金缺口'!$D$5:$D$16)*$U8*'核心假设'!$B$32,0),0),IF(AND(AF$4&gt;EDATE('核心假设'!$B$5,9+$F8),AF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AF$4=EDATE(EDATE('核心假设'!$B$5,9+$F8),$D8),SUM('融资租赁与资金缺口'!$D$5:$D$16)*$V8*'核心假设'!$B$32,0),0),IF(AND(AF$4&gt;EDATE('核心假设'!$B$5,10+$F8),AF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AF$4=EDATE(EDATE('核心假设'!$B$5,10+$F8),$D8),SUM('融资租赁与资金缺口'!$D$5:$D$16)*$W8*'核心假设'!$B$32,0),0),IF(AND(AF$4&gt;EDATE('核心假设'!$B$5,11+$F8),AF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AF$4=EDATE(EDATE('核心假设'!$B$5,11+$F8),$D8),SUM('融资租赁与资金缺口'!$D$5:$D$16)*$X8*'核心假设'!$B$32,0),0),IF(AND(AF$4&gt;EDATE('核心假设'!$B$5,12+$F8),AF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AF$4=EDATE(EDATE('核心假设'!$B$5,12+$F8),$D8),SUM('融资租赁与资金缺口'!$D$5:$D$16)*$Y8*'核心假设'!$B$32,0),0),IF(AND(AF$4&gt;EDATE('核心假设'!$B$5,13+$F8),AF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AF$4=EDATE(EDATE('核心假设'!$B$5,13+$F8),$D8),SUM('融资租赁与资金缺口'!$D$5:$D$16)*$Z8*'核心假设'!$B$32,0),0),IF(AND(AF$4&gt;EDATE('核心假设'!$B$5,14+$F8),AF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AF$4=EDATE(EDATE('核心假设'!$B$5,14+$F8),$D8),SUM('融资租赁与资金缺口'!$D$5:$D$16)*$AA8*'核心假设'!$B$32,0),0),IF(AND(AF$4&gt;EDATE('核心假设'!$B$5,15+$F8),AF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AF$4=EDATE(EDATE('核心假设'!$B$5,15+$F8),$D8),SUM('融资租赁与资金缺口'!$D$5:$D$16)*$AB8*'核心假设'!$B$32,0),0),IF(AND(AF$4&gt;EDATE('核心假设'!$B$5,16+$F8),AF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AF$4=EDATE(EDATE('核心假设'!$B$5,16+$F8),$D8),SUM('融资租赁与资金缺口'!$D$5:$D$16)*$AC8*'核心假设'!$B$32,0),0),IF(AND(AF$4&gt;EDATE('核心假设'!$B$5,17+$F8),AF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AF$4=EDATE(EDATE('核心假设'!$B$5,17+$F8),$D8),SUM('融资租赁与资金缺口'!$D$5:$D$16)*$AD8*'核心假设'!$B$32,0),0))</x:f>
        <x:v>0</x:v>
      </x:c>
      <x:c r="AG25" s="28" t="n">
        <x:f>SUM(IF(AND(AG$4&gt;EDATE('核心假设'!$B$5,0+$F8),AG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AG$4=EDATE(EDATE('核心假设'!$B$5,0+$F8),$D8),SUM('融资租赁与资金缺口'!$D$5:$D$16)*$M8*'核心假设'!$B$32,0),0),IF(AND(AG$4&gt;EDATE('核心假设'!$B$5,1+$F8),AG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AG$4=EDATE(EDATE('核心假设'!$B$5,1+$F8),$D8),SUM('融资租赁与资金缺口'!$D$5:$D$16)*$N8*'核心假设'!$B$32,0),0),IF(AND(AG$4&gt;EDATE('核心假设'!$B$5,2+$F8),AG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AG$4=EDATE(EDATE('核心假设'!$B$5,2+$F8),$D8),SUM('融资租赁与资金缺口'!$D$5:$D$16)*$O8*'核心假设'!$B$32,0),0),IF(AND(AG$4&gt;EDATE('核心假设'!$B$5,3+$F8),AG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AG$4=EDATE(EDATE('核心假设'!$B$5,3+$F8),$D8),SUM('融资租赁与资金缺口'!$D$5:$D$16)*$P8*'核心假设'!$B$32,0),0),IF(AND(AG$4&gt;EDATE('核心假设'!$B$5,4+$F8),AG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AG$4=EDATE(EDATE('核心假设'!$B$5,4+$F8),$D8),SUM('融资租赁与资金缺口'!$D$5:$D$16)*$Q8*'核心假设'!$B$32,0),0),IF(AND(AG$4&gt;EDATE('核心假设'!$B$5,5+$F8),AG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AG$4=EDATE(EDATE('核心假设'!$B$5,5+$F8),$D8),SUM('融资租赁与资金缺口'!$D$5:$D$16)*$R8*'核心假设'!$B$32,0),0),IF(AND(AG$4&gt;EDATE('核心假设'!$B$5,6+$F8),AG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AG$4=EDATE(EDATE('核心假设'!$B$5,6+$F8),$D8),SUM('融资租赁与资金缺口'!$D$5:$D$16)*$S8*'核心假设'!$B$32,0),0),IF(AND(AG$4&gt;EDATE('核心假设'!$B$5,7+$F8),AG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AG$4=EDATE(EDATE('核心假设'!$B$5,7+$F8),$D8),SUM('融资租赁与资金缺口'!$D$5:$D$16)*$T8*'核心假设'!$B$32,0),0),IF(AND(AG$4&gt;EDATE('核心假设'!$B$5,8+$F8),AG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AG$4=EDATE(EDATE('核心假设'!$B$5,8+$F8),$D8),SUM('融资租赁与资金缺口'!$D$5:$D$16)*$U8*'核心假设'!$B$32,0),0),IF(AND(AG$4&gt;EDATE('核心假设'!$B$5,9+$F8),AG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AG$4=EDATE(EDATE('核心假设'!$B$5,9+$F8),$D8),SUM('融资租赁与资金缺口'!$D$5:$D$16)*$V8*'核心假设'!$B$32,0),0),IF(AND(AG$4&gt;EDATE('核心假设'!$B$5,10+$F8),AG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AG$4=EDATE(EDATE('核心假设'!$B$5,10+$F8),$D8),SUM('融资租赁与资金缺口'!$D$5:$D$16)*$W8*'核心假设'!$B$32,0),0),IF(AND(AG$4&gt;EDATE('核心假设'!$B$5,11+$F8),AG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AG$4=EDATE(EDATE('核心假设'!$B$5,11+$F8),$D8),SUM('融资租赁与资金缺口'!$D$5:$D$16)*$X8*'核心假设'!$B$32,0),0),IF(AND(AG$4&gt;EDATE('核心假设'!$B$5,12+$F8),AG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AG$4=EDATE(EDATE('核心假设'!$B$5,12+$F8),$D8),SUM('融资租赁与资金缺口'!$D$5:$D$16)*$Y8*'核心假设'!$B$32,0),0),IF(AND(AG$4&gt;EDATE('核心假设'!$B$5,13+$F8),AG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AG$4=EDATE(EDATE('核心假设'!$B$5,13+$F8),$D8),SUM('融资租赁与资金缺口'!$D$5:$D$16)*$Z8*'核心假设'!$B$32,0),0),IF(AND(AG$4&gt;EDATE('核心假设'!$B$5,14+$F8),AG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AG$4=EDATE(EDATE('核心假设'!$B$5,14+$F8),$D8),SUM('融资租赁与资金缺口'!$D$5:$D$16)*$AA8*'核心假设'!$B$32,0),0),IF(AND(AG$4&gt;EDATE('核心假设'!$B$5,15+$F8),AG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AG$4=EDATE(EDATE('核心假设'!$B$5,15+$F8),$D8),SUM('融资租赁与资金缺口'!$D$5:$D$16)*$AB8*'核心假设'!$B$32,0),0),IF(AND(AG$4&gt;EDATE('核心假设'!$B$5,16+$F8),AG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AG$4=EDATE(EDATE('核心假设'!$B$5,16+$F8),$D8),SUM('融资租赁与资金缺口'!$D$5:$D$16)*$AC8*'核心假设'!$B$32,0),0),IF(AND(AG$4&gt;EDATE('核心假设'!$B$5,17+$F8),AG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AG$4=EDATE(EDATE('核心假设'!$B$5,17+$F8),$D8),SUM('融资租赁与资金缺口'!$D$5:$D$16)*$AD8*'核心假设'!$B$32,0),0))</x:f>
        <x:v>0</x:v>
      </x:c>
      <x:c r="AH25" s="28" t="n">
        <x:f>SUM(IF(AND(AH$4&gt;EDATE('核心假设'!$B$5,0+$F8),AH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AH$4=EDATE(EDATE('核心假设'!$B$5,0+$F8),$D8),SUM('融资租赁与资金缺口'!$D$5:$D$16)*$M8*'核心假设'!$B$32,0),0),IF(AND(AH$4&gt;EDATE('核心假设'!$B$5,1+$F8),AH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AH$4=EDATE(EDATE('核心假设'!$B$5,1+$F8),$D8),SUM('融资租赁与资金缺口'!$D$5:$D$16)*$N8*'核心假设'!$B$32,0),0),IF(AND(AH$4&gt;EDATE('核心假设'!$B$5,2+$F8),AH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AH$4=EDATE(EDATE('核心假设'!$B$5,2+$F8),$D8),SUM('融资租赁与资金缺口'!$D$5:$D$16)*$O8*'核心假设'!$B$32,0),0),IF(AND(AH$4&gt;EDATE('核心假设'!$B$5,3+$F8),AH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AH$4=EDATE(EDATE('核心假设'!$B$5,3+$F8),$D8),SUM('融资租赁与资金缺口'!$D$5:$D$16)*$P8*'核心假设'!$B$32,0),0),IF(AND(AH$4&gt;EDATE('核心假设'!$B$5,4+$F8),AH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AH$4=EDATE(EDATE('核心假设'!$B$5,4+$F8),$D8),SUM('融资租赁与资金缺口'!$D$5:$D$16)*$Q8*'核心假设'!$B$32,0),0),IF(AND(AH$4&gt;EDATE('核心假设'!$B$5,5+$F8),AH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AH$4=EDATE(EDATE('核心假设'!$B$5,5+$F8),$D8),SUM('融资租赁与资金缺口'!$D$5:$D$16)*$R8*'核心假设'!$B$32,0),0),IF(AND(AH$4&gt;EDATE('核心假设'!$B$5,6+$F8),AH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AH$4=EDATE(EDATE('核心假设'!$B$5,6+$F8),$D8),SUM('融资租赁与资金缺口'!$D$5:$D$16)*$S8*'核心假设'!$B$32,0),0),IF(AND(AH$4&gt;EDATE('核心假设'!$B$5,7+$F8),AH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AH$4=EDATE(EDATE('核心假设'!$B$5,7+$F8),$D8),SUM('融资租赁与资金缺口'!$D$5:$D$16)*$T8*'核心假设'!$B$32,0),0),IF(AND(AH$4&gt;EDATE('核心假设'!$B$5,8+$F8),AH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AH$4=EDATE(EDATE('核心假设'!$B$5,8+$F8),$D8),SUM('融资租赁与资金缺口'!$D$5:$D$16)*$U8*'核心假设'!$B$32,0),0),IF(AND(AH$4&gt;EDATE('核心假设'!$B$5,9+$F8),AH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AH$4=EDATE(EDATE('核心假设'!$B$5,9+$F8),$D8),SUM('融资租赁与资金缺口'!$D$5:$D$16)*$V8*'核心假设'!$B$32,0),0),IF(AND(AH$4&gt;EDATE('核心假设'!$B$5,10+$F8),AH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AH$4=EDATE(EDATE('核心假设'!$B$5,10+$F8),$D8),SUM('融资租赁与资金缺口'!$D$5:$D$16)*$W8*'核心假设'!$B$32,0),0),IF(AND(AH$4&gt;EDATE('核心假设'!$B$5,11+$F8),AH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AH$4=EDATE(EDATE('核心假设'!$B$5,11+$F8),$D8),SUM('融资租赁与资金缺口'!$D$5:$D$16)*$X8*'核心假设'!$B$32,0),0),IF(AND(AH$4&gt;EDATE('核心假设'!$B$5,12+$F8),AH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AH$4=EDATE(EDATE('核心假设'!$B$5,12+$F8),$D8),SUM('融资租赁与资金缺口'!$D$5:$D$16)*$Y8*'核心假设'!$B$32,0),0),IF(AND(AH$4&gt;EDATE('核心假设'!$B$5,13+$F8),AH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AH$4=EDATE(EDATE('核心假设'!$B$5,13+$F8),$D8),SUM('融资租赁与资金缺口'!$D$5:$D$16)*$Z8*'核心假设'!$B$32,0),0),IF(AND(AH$4&gt;EDATE('核心假设'!$B$5,14+$F8),AH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AH$4=EDATE(EDATE('核心假设'!$B$5,14+$F8),$D8),SUM('融资租赁与资金缺口'!$D$5:$D$16)*$AA8*'核心假设'!$B$32,0),0),IF(AND(AH$4&gt;EDATE('核心假设'!$B$5,15+$F8),AH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AH$4=EDATE(EDATE('核心假设'!$B$5,15+$F8),$D8),SUM('融资租赁与资金缺口'!$D$5:$D$16)*$AB8*'核心假设'!$B$32,0),0),IF(AND(AH$4&gt;EDATE('核心假设'!$B$5,16+$F8),AH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AH$4=EDATE(EDATE('核心假设'!$B$5,16+$F8),$D8),SUM('融资租赁与资金缺口'!$D$5:$D$16)*$AC8*'核心假设'!$B$32,0),0),IF(AND(AH$4&gt;EDATE('核心假设'!$B$5,17+$F8),AH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AH$4=EDATE(EDATE('核心假设'!$B$5,17+$F8),$D8),SUM('融资租赁与资金缺口'!$D$5:$D$16)*$AD8*'核心假设'!$B$32,0),0))</x:f>
        <x:v>0</x:v>
      </x:c>
      <x:c r="AI25" s="28" t="n">
        <x:f>SUM(IF(AND(AI$4&gt;EDATE('核心假设'!$B$5,0+$F8),AI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AI$4=EDATE(EDATE('核心假设'!$B$5,0+$F8),$D8),SUM('融资租赁与资金缺口'!$D$5:$D$16)*$M8*'核心假设'!$B$32,0),0),IF(AND(AI$4&gt;EDATE('核心假设'!$B$5,1+$F8),AI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AI$4=EDATE(EDATE('核心假设'!$B$5,1+$F8),$D8),SUM('融资租赁与资金缺口'!$D$5:$D$16)*$N8*'核心假设'!$B$32,0),0),IF(AND(AI$4&gt;EDATE('核心假设'!$B$5,2+$F8),AI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AI$4=EDATE(EDATE('核心假设'!$B$5,2+$F8),$D8),SUM('融资租赁与资金缺口'!$D$5:$D$16)*$O8*'核心假设'!$B$32,0),0),IF(AND(AI$4&gt;EDATE('核心假设'!$B$5,3+$F8),AI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AI$4=EDATE(EDATE('核心假设'!$B$5,3+$F8),$D8),SUM('融资租赁与资金缺口'!$D$5:$D$16)*$P8*'核心假设'!$B$32,0),0),IF(AND(AI$4&gt;EDATE('核心假设'!$B$5,4+$F8),AI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AI$4=EDATE(EDATE('核心假设'!$B$5,4+$F8),$D8),SUM('融资租赁与资金缺口'!$D$5:$D$16)*$Q8*'核心假设'!$B$32,0),0),IF(AND(AI$4&gt;EDATE('核心假设'!$B$5,5+$F8),AI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AI$4=EDATE(EDATE('核心假设'!$B$5,5+$F8),$D8),SUM('融资租赁与资金缺口'!$D$5:$D$16)*$R8*'核心假设'!$B$32,0),0),IF(AND(AI$4&gt;EDATE('核心假设'!$B$5,6+$F8),AI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AI$4=EDATE(EDATE('核心假设'!$B$5,6+$F8),$D8),SUM('融资租赁与资金缺口'!$D$5:$D$16)*$S8*'核心假设'!$B$32,0),0),IF(AND(AI$4&gt;EDATE('核心假设'!$B$5,7+$F8),AI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AI$4=EDATE(EDATE('核心假设'!$B$5,7+$F8),$D8),SUM('融资租赁与资金缺口'!$D$5:$D$16)*$T8*'核心假设'!$B$32,0),0),IF(AND(AI$4&gt;EDATE('核心假设'!$B$5,8+$F8),AI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AI$4=EDATE(EDATE('核心假设'!$B$5,8+$F8),$D8),SUM('融资租赁与资金缺口'!$D$5:$D$16)*$U8*'核心假设'!$B$32,0),0),IF(AND(AI$4&gt;EDATE('核心假设'!$B$5,9+$F8),AI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AI$4=EDATE(EDATE('核心假设'!$B$5,9+$F8),$D8),SUM('融资租赁与资金缺口'!$D$5:$D$16)*$V8*'核心假设'!$B$32,0),0),IF(AND(AI$4&gt;EDATE('核心假设'!$B$5,10+$F8),AI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AI$4=EDATE(EDATE('核心假设'!$B$5,10+$F8),$D8),SUM('融资租赁与资金缺口'!$D$5:$D$16)*$W8*'核心假设'!$B$32,0),0),IF(AND(AI$4&gt;EDATE('核心假设'!$B$5,11+$F8),AI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AI$4=EDATE(EDATE('核心假设'!$B$5,11+$F8),$D8),SUM('融资租赁与资金缺口'!$D$5:$D$16)*$X8*'核心假设'!$B$32,0),0),IF(AND(AI$4&gt;EDATE('核心假设'!$B$5,12+$F8),AI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AI$4=EDATE(EDATE('核心假设'!$B$5,12+$F8),$D8),SUM('融资租赁与资金缺口'!$D$5:$D$16)*$Y8*'核心假设'!$B$32,0),0),IF(AND(AI$4&gt;EDATE('核心假设'!$B$5,13+$F8),AI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AI$4=EDATE(EDATE('核心假设'!$B$5,13+$F8),$D8),SUM('融资租赁与资金缺口'!$D$5:$D$16)*$Z8*'核心假设'!$B$32,0),0),IF(AND(AI$4&gt;EDATE('核心假设'!$B$5,14+$F8),AI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AI$4=EDATE(EDATE('核心假设'!$B$5,14+$F8),$D8),SUM('融资租赁与资金缺口'!$D$5:$D$16)*$AA8*'核心假设'!$B$32,0),0),IF(AND(AI$4&gt;EDATE('核心假设'!$B$5,15+$F8),AI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AI$4=EDATE(EDATE('核心假设'!$B$5,15+$F8),$D8),SUM('融资租赁与资金缺口'!$D$5:$D$16)*$AB8*'核心假设'!$B$32,0),0),IF(AND(AI$4&gt;EDATE('核心假设'!$B$5,16+$F8),AI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AI$4=EDATE(EDATE('核心假设'!$B$5,16+$F8),$D8),SUM('融资租赁与资金缺口'!$D$5:$D$16)*$AC8*'核心假设'!$B$32,0),0),IF(AND(AI$4&gt;EDATE('核心假设'!$B$5,17+$F8),AI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AI$4=EDATE(EDATE('核心假设'!$B$5,17+$F8),$D8),SUM('融资租赁与资金缺口'!$D$5:$D$16)*$AD8*'核心假设'!$B$32,0),0))</x:f>
        <x:v>844550.8440821789</x:v>
      </x:c>
      <x:c r="AJ25" s="28" t="n">
        <x:f>SUM(IF(AND(AJ$4&gt;EDATE('核心假设'!$B$5,0+$F8),AJ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AJ$4=EDATE(EDATE('核心假设'!$B$5,0+$F8),$D8),SUM('融资租赁与资金缺口'!$D$5:$D$16)*$M8*'核心假设'!$B$32,0),0),IF(AND(AJ$4&gt;EDATE('核心假设'!$B$5,1+$F8),AJ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AJ$4=EDATE(EDATE('核心假设'!$B$5,1+$F8),$D8),SUM('融资租赁与资金缺口'!$D$5:$D$16)*$N8*'核心假设'!$B$32,0),0),IF(AND(AJ$4&gt;EDATE('核心假设'!$B$5,2+$F8),AJ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AJ$4=EDATE(EDATE('核心假设'!$B$5,2+$F8),$D8),SUM('融资租赁与资金缺口'!$D$5:$D$16)*$O8*'核心假设'!$B$32,0),0),IF(AND(AJ$4&gt;EDATE('核心假设'!$B$5,3+$F8),AJ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AJ$4=EDATE(EDATE('核心假设'!$B$5,3+$F8),$D8),SUM('融资租赁与资金缺口'!$D$5:$D$16)*$P8*'核心假设'!$B$32,0),0),IF(AND(AJ$4&gt;EDATE('核心假设'!$B$5,4+$F8),AJ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AJ$4=EDATE(EDATE('核心假设'!$B$5,4+$F8),$D8),SUM('融资租赁与资金缺口'!$D$5:$D$16)*$Q8*'核心假设'!$B$32,0),0),IF(AND(AJ$4&gt;EDATE('核心假设'!$B$5,5+$F8),AJ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AJ$4=EDATE(EDATE('核心假设'!$B$5,5+$F8),$D8),SUM('融资租赁与资金缺口'!$D$5:$D$16)*$R8*'核心假设'!$B$32,0),0),IF(AND(AJ$4&gt;EDATE('核心假设'!$B$5,6+$F8),AJ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AJ$4=EDATE(EDATE('核心假设'!$B$5,6+$F8),$D8),SUM('融资租赁与资金缺口'!$D$5:$D$16)*$S8*'核心假设'!$B$32,0),0),IF(AND(AJ$4&gt;EDATE('核心假设'!$B$5,7+$F8),AJ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AJ$4=EDATE(EDATE('核心假设'!$B$5,7+$F8),$D8),SUM('融资租赁与资金缺口'!$D$5:$D$16)*$T8*'核心假设'!$B$32,0),0),IF(AND(AJ$4&gt;EDATE('核心假设'!$B$5,8+$F8),AJ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AJ$4=EDATE(EDATE('核心假设'!$B$5,8+$F8),$D8),SUM('融资租赁与资金缺口'!$D$5:$D$16)*$U8*'核心假设'!$B$32,0),0),IF(AND(AJ$4&gt;EDATE('核心假设'!$B$5,9+$F8),AJ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AJ$4=EDATE(EDATE('核心假设'!$B$5,9+$F8),$D8),SUM('融资租赁与资金缺口'!$D$5:$D$16)*$V8*'核心假设'!$B$32,0),0),IF(AND(AJ$4&gt;EDATE('核心假设'!$B$5,10+$F8),AJ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AJ$4=EDATE(EDATE('核心假设'!$B$5,10+$F8),$D8),SUM('融资租赁与资金缺口'!$D$5:$D$16)*$W8*'核心假设'!$B$32,0),0),IF(AND(AJ$4&gt;EDATE('核心假设'!$B$5,11+$F8),AJ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AJ$4=EDATE(EDATE('核心假设'!$B$5,11+$F8),$D8),SUM('融资租赁与资金缺口'!$D$5:$D$16)*$X8*'核心假设'!$B$32,0),0),IF(AND(AJ$4&gt;EDATE('核心假设'!$B$5,12+$F8),AJ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AJ$4=EDATE(EDATE('核心假设'!$B$5,12+$F8),$D8),SUM('融资租赁与资金缺口'!$D$5:$D$16)*$Y8*'核心假设'!$B$32,0),0),IF(AND(AJ$4&gt;EDATE('核心假设'!$B$5,13+$F8),AJ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AJ$4=EDATE(EDATE('核心假设'!$B$5,13+$F8),$D8),SUM('融资租赁与资金缺口'!$D$5:$D$16)*$Z8*'核心假设'!$B$32,0),0),IF(AND(AJ$4&gt;EDATE('核心假设'!$B$5,14+$F8),AJ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AJ$4=EDATE(EDATE('核心假设'!$B$5,14+$F8),$D8),SUM('融资租赁与资金缺口'!$D$5:$D$16)*$AA8*'核心假设'!$B$32,0),0),IF(AND(AJ$4&gt;EDATE('核心假设'!$B$5,15+$F8),AJ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AJ$4=EDATE(EDATE('核心假设'!$B$5,15+$F8),$D8),SUM('融资租赁与资金缺口'!$D$5:$D$16)*$AB8*'核心假设'!$B$32,0),0),IF(AND(AJ$4&gt;EDATE('核心假设'!$B$5,16+$F8),AJ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AJ$4=EDATE(EDATE('核心假设'!$B$5,16+$F8),$D8),SUM('融资租赁与资金缺口'!$D$5:$D$16)*$AC8*'核心假设'!$B$32,0),0),IF(AND(AJ$4&gt;EDATE('核心假设'!$B$5,17+$F8),AJ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AJ$4=EDATE(EDATE('核心假设'!$B$5,17+$F8),$D8),SUM('融资租赁与资金缺口'!$D$5:$D$16)*$AD8*'核心假设'!$B$32,0),0))</x:f>
        <x:v>1858011.8569807936</x:v>
      </x:c>
      <x:c r="AK25" s="28" t="n">
        <x:f>SUM(IF(AND(AK$4&gt;EDATE('核心假设'!$B$5,0+$F8),AK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AK$4=EDATE(EDATE('核心假设'!$B$5,0+$F8),$D8),SUM('融资租赁与资金缺口'!$D$5:$D$16)*$M8*'核心假设'!$B$32,0),0),IF(AND(AK$4&gt;EDATE('核心假设'!$B$5,1+$F8),AK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AK$4=EDATE(EDATE('核心假设'!$B$5,1+$F8),$D8),SUM('融资租赁与资金缺口'!$D$5:$D$16)*$N8*'核心假设'!$B$32,0),0),IF(AND(AK$4&gt;EDATE('核心假设'!$B$5,2+$F8),AK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AK$4=EDATE(EDATE('核心假设'!$B$5,2+$F8),$D8),SUM('融资租赁与资金缺口'!$D$5:$D$16)*$O8*'核心假设'!$B$32,0),0),IF(AND(AK$4&gt;EDATE('核心假设'!$B$5,3+$F8),AK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AK$4=EDATE(EDATE('核心假设'!$B$5,3+$F8),$D8),SUM('融资租赁与资金缺口'!$D$5:$D$16)*$P8*'核心假设'!$B$32,0),0),IF(AND(AK$4&gt;EDATE('核心假设'!$B$5,4+$F8),AK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AK$4=EDATE(EDATE('核心假设'!$B$5,4+$F8),$D8),SUM('融资租赁与资金缺口'!$D$5:$D$16)*$Q8*'核心假设'!$B$32,0),0),IF(AND(AK$4&gt;EDATE('核心假设'!$B$5,5+$F8),AK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AK$4=EDATE(EDATE('核心假设'!$B$5,5+$F8),$D8),SUM('融资租赁与资金缺口'!$D$5:$D$16)*$R8*'核心假设'!$B$32,0),0),IF(AND(AK$4&gt;EDATE('核心假设'!$B$5,6+$F8),AK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AK$4=EDATE(EDATE('核心假设'!$B$5,6+$F8),$D8),SUM('融资租赁与资金缺口'!$D$5:$D$16)*$S8*'核心假设'!$B$32,0),0),IF(AND(AK$4&gt;EDATE('核心假设'!$B$5,7+$F8),AK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AK$4=EDATE(EDATE('核心假设'!$B$5,7+$F8),$D8),SUM('融资租赁与资金缺口'!$D$5:$D$16)*$T8*'核心假设'!$B$32,0),0),IF(AND(AK$4&gt;EDATE('核心假设'!$B$5,8+$F8),AK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AK$4=EDATE(EDATE('核心假设'!$B$5,8+$F8),$D8),SUM('融资租赁与资金缺口'!$D$5:$D$16)*$U8*'核心假设'!$B$32,0),0),IF(AND(AK$4&gt;EDATE('核心假设'!$B$5,9+$F8),AK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AK$4=EDATE(EDATE('核心假设'!$B$5,9+$F8),$D8),SUM('融资租赁与资金缺口'!$D$5:$D$16)*$V8*'核心假设'!$B$32,0),0),IF(AND(AK$4&gt;EDATE('核心假设'!$B$5,10+$F8),AK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AK$4=EDATE(EDATE('核心假设'!$B$5,10+$F8),$D8),SUM('融资租赁与资金缺口'!$D$5:$D$16)*$W8*'核心假设'!$B$32,0),0),IF(AND(AK$4&gt;EDATE('核心假设'!$B$5,11+$F8),AK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AK$4=EDATE(EDATE('核心假设'!$B$5,11+$F8),$D8),SUM('融资租赁与资金缺口'!$D$5:$D$16)*$X8*'核心假设'!$B$32,0),0),IF(AND(AK$4&gt;EDATE('核心假设'!$B$5,12+$F8),AK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AK$4=EDATE(EDATE('核心假设'!$B$5,12+$F8),$D8),SUM('融资租赁与资金缺口'!$D$5:$D$16)*$Y8*'核心假设'!$B$32,0),0),IF(AND(AK$4&gt;EDATE('核心假设'!$B$5,13+$F8),AK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AK$4=EDATE(EDATE('核心假设'!$B$5,13+$F8),$D8),SUM('融资租赁与资金缺口'!$D$5:$D$16)*$Z8*'核心假设'!$B$32,0),0),IF(AND(AK$4&gt;EDATE('核心假设'!$B$5,14+$F8),AK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AK$4=EDATE(EDATE('核心假设'!$B$5,14+$F8),$D8),SUM('融资租赁与资金缺口'!$D$5:$D$16)*$AA8*'核心假设'!$B$32,0),0),IF(AND(AK$4&gt;EDATE('核心假设'!$B$5,15+$F8),AK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AK$4=EDATE(EDATE('核心假设'!$B$5,15+$F8),$D8),SUM('融资租赁与资金缺口'!$D$5:$D$16)*$AB8*'核心假设'!$B$32,0),0),IF(AND(AK$4&gt;EDATE('核心假设'!$B$5,16+$F8),AK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AK$4=EDATE(EDATE('核心假设'!$B$5,16+$F8),$D8),SUM('融资租赁与资金缺口'!$D$5:$D$16)*$AC8*'核心假设'!$B$32,0),0),IF(AND(AK$4&gt;EDATE('核心假设'!$B$5,17+$F8),AK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AK$4=EDATE(EDATE('核心假设'!$B$5,17+$F8),$D8),SUM('融资租赁与资金缺口'!$D$5:$D$16)*$AD8*'核心假设'!$B$32,0),0))</x:f>
        <x:v>3040383.038695844</x:v>
      </x:c>
      <x:c r="AL25" s="28" t="n">
        <x:f>SUM(IF(AND(AL$4&gt;EDATE('核心假设'!$B$5,0+$F8),AL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AL$4=EDATE(EDATE('核心假设'!$B$5,0+$F8),$D8),SUM('融资租赁与资金缺口'!$D$5:$D$16)*$M8*'核心假设'!$B$32,0),0),IF(AND(AL$4&gt;EDATE('核心假设'!$B$5,1+$F8),AL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AL$4=EDATE(EDATE('核心假设'!$B$5,1+$F8),$D8),SUM('融资租赁与资金缺口'!$D$5:$D$16)*$N8*'核心假设'!$B$32,0),0),IF(AND(AL$4&gt;EDATE('核心假设'!$B$5,2+$F8),AL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AL$4=EDATE(EDATE('核心假设'!$B$5,2+$F8),$D8),SUM('融资租赁与资金缺口'!$D$5:$D$16)*$O8*'核心假设'!$B$32,0),0),IF(AND(AL$4&gt;EDATE('核心假设'!$B$5,3+$F8),AL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AL$4=EDATE(EDATE('核心假设'!$B$5,3+$F8),$D8),SUM('融资租赁与资金缺口'!$D$5:$D$16)*$P8*'核心假设'!$B$32,0),0),IF(AND(AL$4&gt;EDATE('核心假设'!$B$5,4+$F8),AL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AL$4=EDATE(EDATE('核心假设'!$B$5,4+$F8),$D8),SUM('融资租赁与资金缺口'!$D$5:$D$16)*$Q8*'核心假设'!$B$32,0),0),IF(AND(AL$4&gt;EDATE('核心假设'!$B$5,5+$F8),AL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AL$4=EDATE(EDATE('核心假设'!$B$5,5+$F8),$D8),SUM('融资租赁与资金缺口'!$D$5:$D$16)*$R8*'核心假设'!$B$32,0),0),IF(AND(AL$4&gt;EDATE('核心假设'!$B$5,6+$F8),AL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AL$4=EDATE(EDATE('核心假设'!$B$5,6+$F8),$D8),SUM('融资租赁与资金缺口'!$D$5:$D$16)*$S8*'核心假设'!$B$32,0),0),IF(AND(AL$4&gt;EDATE('核心假设'!$B$5,7+$F8),AL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AL$4=EDATE(EDATE('核心假设'!$B$5,7+$F8),$D8),SUM('融资租赁与资金缺口'!$D$5:$D$16)*$T8*'核心假设'!$B$32,0),0),IF(AND(AL$4&gt;EDATE('核心假设'!$B$5,8+$F8),AL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AL$4=EDATE(EDATE('核心假设'!$B$5,8+$F8),$D8),SUM('融资租赁与资金缺口'!$D$5:$D$16)*$U8*'核心假设'!$B$32,0),0),IF(AND(AL$4&gt;EDATE('核心假设'!$B$5,9+$F8),AL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AL$4=EDATE(EDATE('核心假设'!$B$5,9+$F8),$D8),SUM('融资租赁与资金缺口'!$D$5:$D$16)*$V8*'核心假设'!$B$32,0),0),IF(AND(AL$4&gt;EDATE('核心假设'!$B$5,10+$F8),AL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AL$4=EDATE(EDATE('核心假设'!$B$5,10+$F8),$D8),SUM('融资租赁与资金缺口'!$D$5:$D$16)*$W8*'核心假设'!$B$32,0),0),IF(AND(AL$4&gt;EDATE('核心假设'!$B$5,11+$F8),AL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AL$4=EDATE(EDATE('核心假设'!$B$5,11+$F8),$D8),SUM('融资租赁与资金缺口'!$D$5:$D$16)*$X8*'核心假设'!$B$32,0),0),IF(AND(AL$4&gt;EDATE('核心假设'!$B$5,12+$F8),AL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AL$4=EDATE(EDATE('核心假设'!$B$5,12+$F8),$D8),SUM('融资租赁与资金缺口'!$D$5:$D$16)*$Y8*'核心假设'!$B$32,0),0),IF(AND(AL$4&gt;EDATE('核心假设'!$B$5,13+$F8),AL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AL$4=EDATE(EDATE('核心假设'!$B$5,13+$F8),$D8),SUM('融资租赁与资金缺口'!$D$5:$D$16)*$Z8*'核心假设'!$B$32,0),0),IF(AND(AL$4&gt;EDATE('核心假设'!$B$5,14+$F8),AL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AL$4=EDATE(EDATE('核心假设'!$B$5,14+$F8),$D8),SUM('融资租赁与资金缺口'!$D$5:$D$16)*$AA8*'核心假设'!$B$32,0),0),IF(AND(AL$4&gt;EDATE('核心假设'!$B$5,15+$F8),AL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AL$4=EDATE(EDATE('核心假设'!$B$5,15+$F8),$D8),SUM('融资租赁与资金缺口'!$D$5:$D$16)*$AB8*'核心假设'!$B$32,0),0),IF(AND(AL$4&gt;EDATE('核心假设'!$B$5,16+$F8),AL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AL$4=EDATE(EDATE('核心假设'!$B$5,16+$F8),$D8),SUM('融资租赁与资金缺口'!$D$5:$D$16)*$AC8*'核心假设'!$B$32,0),0),IF(AND(AL$4&gt;EDATE('核心假设'!$B$5,17+$F8),AL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AL$4=EDATE(EDATE('核心假设'!$B$5,17+$F8),$D8),SUM('融资租赁与资金缺口'!$D$5:$D$16)*$AD8*'核心假设'!$B$32,0),0))</x:f>
        <x:v>4391664.389227331</x:v>
      </x:c>
      <x:c r="AM25" s="28" t="n">
        <x:f>SUM(IF(AND(AM$4&gt;EDATE('核心假设'!$B$5,0+$F8),AM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AM$4=EDATE(EDATE('核心假设'!$B$5,0+$F8),$D8),SUM('融资租赁与资金缺口'!$D$5:$D$16)*$M8*'核心假设'!$B$32,0),0),IF(AND(AM$4&gt;EDATE('核心假设'!$B$5,1+$F8),AM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AM$4=EDATE(EDATE('核心假设'!$B$5,1+$F8),$D8),SUM('融资租赁与资金缺口'!$D$5:$D$16)*$N8*'核心假设'!$B$32,0),0),IF(AND(AM$4&gt;EDATE('核心假设'!$B$5,2+$F8),AM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AM$4=EDATE(EDATE('核心假设'!$B$5,2+$F8),$D8),SUM('融资租赁与资金缺口'!$D$5:$D$16)*$O8*'核心假设'!$B$32,0),0),IF(AND(AM$4&gt;EDATE('核心假设'!$B$5,3+$F8),AM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AM$4=EDATE(EDATE('核心假设'!$B$5,3+$F8),$D8),SUM('融资租赁与资金缺口'!$D$5:$D$16)*$P8*'核心假设'!$B$32,0),0),IF(AND(AM$4&gt;EDATE('核心假设'!$B$5,4+$F8),AM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AM$4=EDATE(EDATE('核心假设'!$B$5,4+$F8),$D8),SUM('融资租赁与资金缺口'!$D$5:$D$16)*$Q8*'核心假设'!$B$32,0),0),IF(AND(AM$4&gt;EDATE('核心假设'!$B$5,5+$F8),AM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AM$4=EDATE(EDATE('核心假设'!$B$5,5+$F8),$D8),SUM('融资租赁与资金缺口'!$D$5:$D$16)*$R8*'核心假设'!$B$32,0),0),IF(AND(AM$4&gt;EDATE('核心假设'!$B$5,6+$F8),AM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AM$4=EDATE(EDATE('核心假设'!$B$5,6+$F8),$D8),SUM('融资租赁与资金缺口'!$D$5:$D$16)*$S8*'核心假设'!$B$32,0),0),IF(AND(AM$4&gt;EDATE('核心假设'!$B$5,7+$F8),AM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AM$4=EDATE(EDATE('核心假设'!$B$5,7+$F8),$D8),SUM('融资租赁与资金缺口'!$D$5:$D$16)*$T8*'核心假设'!$B$32,0),0),IF(AND(AM$4&gt;EDATE('核心假设'!$B$5,8+$F8),AM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AM$4=EDATE(EDATE('核心假设'!$B$5,8+$F8),$D8),SUM('融资租赁与资金缺口'!$D$5:$D$16)*$U8*'核心假设'!$B$32,0),0),IF(AND(AM$4&gt;EDATE('核心假设'!$B$5,9+$F8),AM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AM$4=EDATE(EDATE('核心假设'!$B$5,9+$F8),$D8),SUM('融资租赁与资金缺口'!$D$5:$D$16)*$V8*'核心假设'!$B$32,0),0),IF(AND(AM$4&gt;EDATE('核心假设'!$B$5,10+$F8),AM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AM$4=EDATE(EDATE('核心假设'!$B$5,10+$F8),$D8),SUM('融资租赁与资金缺口'!$D$5:$D$16)*$W8*'核心假设'!$B$32,0),0),IF(AND(AM$4&gt;EDATE('核心假设'!$B$5,11+$F8),AM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AM$4=EDATE(EDATE('核心假设'!$B$5,11+$F8),$D8),SUM('融资租赁与资金缺口'!$D$5:$D$16)*$X8*'核心假设'!$B$32,0),0),IF(AND(AM$4&gt;EDATE('核心假设'!$B$5,12+$F8),AM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AM$4=EDATE(EDATE('核心假设'!$B$5,12+$F8),$D8),SUM('融资租赁与资金缺口'!$D$5:$D$16)*$Y8*'核心假设'!$B$32,0),0),IF(AND(AM$4&gt;EDATE('核心假设'!$B$5,13+$F8),AM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AM$4=EDATE(EDATE('核心假设'!$B$5,13+$F8),$D8),SUM('融资租赁与资金缺口'!$D$5:$D$16)*$Z8*'核心假设'!$B$32,0),0),IF(AND(AM$4&gt;EDATE('核心假设'!$B$5,14+$F8),AM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AM$4=EDATE(EDATE('核心假设'!$B$5,14+$F8),$D8),SUM('融资租赁与资金缺口'!$D$5:$D$16)*$AA8*'核心假设'!$B$32,0),0),IF(AND(AM$4&gt;EDATE('核心假设'!$B$5,15+$F8),AM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AM$4=EDATE(EDATE('核心假设'!$B$5,15+$F8),$D8),SUM('融资租赁与资金缺口'!$D$5:$D$16)*$AB8*'核心假设'!$B$32,0),0),IF(AND(AM$4&gt;EDATE('核心假设'!$B$5,16+$F8),AM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AM$4=EDATE(EDATE('核心假设'!$B$5,16+$F8),$D8),SUM('融资租赁与资金缺口'!$D$5:$D$16)*$AC8*'核心假设'!$B$32,0),0),IF(AND(AM$4&gt;EDATE('核心假设'!$B$5,17+$F8),AM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AM$4=EDATE(EDATE('核心假设'!$B$5,17+$F8),$D8),SUM('融资租赁与资金缺口'!$D$5:$D$16)*$AD8*'核心假设'!$B$32,0),0))</x:f>
        <x:v>5911855.908575253</x:v>
      </x:c>
      <x:c r="AN25" s="28" t="n">
        <x:f>SUM(IF(AND(AN$4&gt;EDATE('核心假设'!$B$5,0+$F8),AN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AN$4=EDATE(EDATE('核心假设'!$B$5,0+$F8),$D8),SUM('融资租赁与资金缺口'!$D$5:$D$16)*$M8*'核心假设'!$B$32,0),0),IF(AND(AN$4&gt;EDATE('核心假设'!$B$5,1+$F8),AN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AN$4=EDATE(EDATE('核心假设'!$B$5,1+$F8),$D8),SUM('融资租赁与资金缺口'!$D$5:$D$16)*$N8*'核心假设'!$B$32,0),0),IF(AND(AN$4&gt;EDATE('核心假设'!$B$5,2+$F8),AN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AN$4=EDATE(EDATE('核心假设'!$B$5,2+$F8),$D8),SUM('融资租赁与资金缺口'!$D$5:$D$16)*$O8*'核心假设'!$B$32,0),0),IF(AND(AN$4&gt;EDATE('核心假设'!$B$5,3+$F8),AN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AN$4=EDATE(EDATE('核心假设'!$B$5,3+$F8),$D8),SUM('融资租赁与资金缺口'!$D$5:$D$16)*$P8*'核心假设'!$B$32,0),0),IF(AND(AN$4&gt;EDATE('核心假设'!$B$5,4+$F8),AN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AN$4=EDATE(EDATE('核心假设'!$B$5,4+$F8),$D8),SUM('融资租赁与资金缺口'!$D$5:$D$16)*$Q8*'核心假设'!$B$32,0),0),IF(AND(AN$4&gt;EDATE('核心假设'!$B$5,5+$F8),AN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AN$4=EDATE(EDATE('核心假设'!$B$5,5+$F8),$D8),SUM('融资租赁与资金缺口'!$D$5:$D$16)*$R8*'核心假设'!$B$32,0),0),IF(AND(AN$4&gt;EDATE('核心假设'!$B$5,6+$F8),AN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AN$4=EDATE(EDATE('核心假设'!$B$5,6+$F8),$D8),SUM('融资租赁与资金缺口'!$D$5:$D$16)*$S8*'核心假设'!$B$32,0),0),IF(AND(AN$4&gt;EDATE('核心假设'!$B$5,7+$F8),AN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AN$4=EDATE(EDATE('核心假设'!$B$5,7+$F8),$D8),SUM('融资租赁与资金缺口'!$D$5:$D$16)*$T8*'核心假设'!$B$32,0),0),IF(AND(AN$4&gt;EDATE('核心假设'!$B$5,8+$F8),AN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AN$4=EDATE(EDATE('核心假设'!$B$5,8+$F8),$D8),SUM('融资租赁与资金缺口'!$D$5:$D$16)*$U8*'核心假设'!$B$32,0),0),IF(AND(AN$4&gt;EDATE('核心假设'!$B$5,9+$F8),AN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AN$4=EDATE(EDATE('核心假设'!$B$5,9+$F8),$D8),SUM('融资租赁与资金缺口'!$D$5:$D$16)*$V8*'核心假设'!$B$32,0),0),IF(AND(AN$4&gt;EDATE('核心假设'!$B$5,10+$F8),AN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AN$4=EDATE(EDATE('核心假设'!$B$5,10+$F8),$D8),SUM('融资租赁与资金缺口'!$D$5:$D$16)*$W8*'核心假设'!$B$32,0),0),IF(AND(AN$4&gt;EDATE('核心假设'!$B$5,11+$F8),AN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AN$4=EDATE(EDATE('核心假设'!$B$5,11+$F8),$D8),SUM('融资租赁与资金缺口'!$D$5:$D$16)*$X8*'核心假设'!$B$32,0),0),IF(AND(AN$4&gt;EDATE('核心假设'!$B$5,12+$F8),AN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AN$4=EDATE(EDATE('核心假设'!$B$5,12+$F8),$D8),SUM('融资租赁与资金缺口'!$D$5:$D$16)*$Y8*'核心假设'!$B$32,0),0),IF(AND(AN$4&gt;EDATE('核心假设'!$B$5,13+$F8),AN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AN$4=EDATE(EDATE('核心假设'!$B$5,13+$F8),$D8),SUM('融资租赁与资金缺口'!$D$5:$D$16)*$Z8*'核心假设'!$B$32,0),0),IF(AND(AN$4&gt;EDATE('核心假设'!$B$5,14+$F8),AN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AN$4=EDATE(EDATE('核心假设'!$B$5,14+$F8),$D8),SUM('融资租赁与资金缺口'!$D$5:$D$16)*$AA8*'核心假设'!$B$32,0),0),IF(AND(AN$4&gt;EDATE('核心假设'!$B$5,15+$F8),AN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AN$4=EDATE(EDATE('核心假设'!$B$5,15+$F8),$D8),SUM('融资租赁与资金缺口'!$D$5:$D$16)*$AB8*'核心假设'!$B$32,0),0),IF(AND(AN$4&gt;EDATE('核心假设'!$B$5,16+$F8),AN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AN$4=EDATE(EDATE('核心假设'!$B$5,16+$F8),$D8),SUM('融资租赁与资金缺口'!$D$5:$D$16)*$AC8*'核心假设'!$B$32,0),0),IF(AND(AN$4&gt;EDATE('核心假设'!$B$5,17+$F8),AN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AN$4=EDATE(EDATE('核心假设'!$B$5,17+$F8),$D8),SUM('融资租赁与资金缺口'!$D$5:$D$16)*$AD8*'核心假设'!$B$32,0),0))</x:f>
        <x:v>7600957.596739611</x:v>
      </x:c>
      <x:c r="AO25" s="28" t="n">
        <x:f>SUM(IF(AND(AO$4&gt;EDATE('核心假设'!$B$5,0+$F8),AO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AO$4=EDATE(EDATE('核心假设'!$B$5,0+$F8),$D8),SUM('融资租赁与资金缺口'!$D$5:$D$16)*$M8*'核心假设'!$B$32,0),0),IF(AND(AO$4&gt;EDATE('核心假设'!$B$5,1+$F8),AO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AO$4=EDATE(EDATE('核心假设'!$B$5,1+$F8),$D8),SUM('融资租赁与资金缺口'!$D$5:$D$16)*$N8*'核心假设'!$B$32,0),0),IF(AND(AO$4&gt;EDATE('核心假设'!$B$5,2+$F8),AO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AO$4=EDATE(EDATE('核心假设'!$B$5,2+$F8),$D8),SUM('融资租赁与资金缺口'!$D$5:$D$16)*$O8*'核心假设'!$B$32,0),0),IF(AND(AO$4&gt;EDATE('核心假设'!$B$5,3+$F8),AO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AO$4=EDATE(EDATE('核心假设'!$B$5,3+$F8),$D8),SUM('融资租赁与资金缺口'!$D$5:$D$16)*$P8*'核心假设'!$B$32,0),0),IF(AND(AO$4&gt;EDATE('核心假设'!$B$5,4+$F8),AO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AO$4=EDATE(EDATE('核心假设'!$B$5,4+$F8),$D8),SUM('融资租赁与资金缺口'!$D$5:$D$16)*$Q8*'核心假设'!$B$32,0),0),IF(AND(AO$4&gt;EDATE('核心假设'!$B$5,5+$F8),AO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AO$4=EDATE(EDATE('核心假设'!$B$5,5+$F8),$D8),SUM('融资租赁与资金缺口'!$D$5:$D$16)*$R8*'核心假设'!$B$32,0),0),IF(AND(AO$4&gt;EDATE('核心假设'!$B$5,6+$F8),AO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AO$4=EDATE(EDATE('核心假设'!$B$5,6+$F8),$D8),SUM('融资租赁与资金缺口'!$D$5:$D$16)*$S8*'核心假设'!$B$32,0),0),IF(AND(AO$4&gt;EDATE('核心假设'!$B$5,7+$F8),AO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AO$4=EDATE(EDATE('核心假设'!$B$5,7+$F8),$D8),SUM('融资租赁与资金缺口'!$D$5:$D$16)*$T8*'核心假设'!$B$32,0),0),IF(AND(AO$4&gt;EDATE('核心假设'!$B$5,8+$F8),AO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AO$4=EDATE(EDATE('核心假设'!$B$5,8+$F8),$D8),SUM('融资租赁与资金缺口'!$D$5:$D$16)*$U8*'核心假设'!$B$32,0),0),IF(AND(AO$4&gt;EDATE('核心假设'!$B$5,9+$F8),AO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AO$4=EDATE(EDATE('核心假设'!$B$5,9+$F8),$D8),SUM('融资租赁与资金缺口'!$D$5:$D$16)*$V8*'核心假设'!$B$32,0),0),IF(AND(AO$4&gt;EDATE('核心假设'!$B$5,10+$F8),AO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AO$4=EDATE(EDATE('核心假设'!$B$5,10+$F8),$D8),SUM('融资租赁与资金缺口'!$D$5:$D$16)*$W8*'核心假设'!$B$32,0),0),IF(AND(AO$4&gt;EDATE('核心假设'!$B$5,11+$F8),AO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AO$4=EDATE(EDATE('核心假设'!$B$5,11+$F8),$D8),SUM('融资租赁与资金缺口'!$D$5:$D$16)*$X8*'核心假设'!$B$32,0),0),IF(AND(AO$4&gt;EDATE('核心假设'!$B$5,12+$F8),AO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AO$4=EDATE(EDATE('核心假设'!$B$5,12+$F8),$D8),SUM('融资租赁与资金缺口'!$D$5:$D$16)*$Y8*'核心假设'!$B$32,0),0),IF(AND(AO$4&gt;EDATE('核心假设'!$B$5,13+$F8),AO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AO$4=EDATE(EDATE('核心假设'!$B$5,13+$F8),$D8),SUM('融资租赁与资金缺口'!$D$5:$D$16)*$Z8*'核心假设'!$B$32,0),0),IF(AND(AO$4&gt;EDATE('核心假设'!$B$5,14+$F8),AO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AO$4=EDATE(EDATE('核心假设'!$B$5,14+$F8),$D8),SUM('融资租赁与资金缺口'!$D$5:$D$16)*$AA8*'核心假设'!$B$32,0),0),IF(AND(AO$4&gt;EDATE('核心假设'!$B$5,15+$F8),AO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AO$4=EDATE(EDATE('核心假设'!$B$5,15+$F8),$D8),SUM('融资租赁与资金缺口'!$D$5:$D$16)*$AB8*'核心假设'!$B$32,0),0),IF(AND(AO$4&gt;EDATE('核心假设'!$B$5,16+$F8),AO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AO$4=EDATE(EDATE('核心假设'!$B$5,16+$F8),$D8),SUM('融资租赁与资金缺口'!$D$5:$D$16)*$AC8*'核心假设'!$B$32,0),0),IF(AND(AO$4&gt;EDATE('核心假设'!$B$5,17+$F8),AO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AO$4=EDATE(EDATE('核心假设'!$B$5,17+$F8),$D8),SUM('融资租赁与资金缺口'!$D$5:$D$16)*$AD8*'核心假设'!$B$32,0),0))</x:f>
        <x:v>9458969.453720404</x:v>
      </x:c>
      <x:c r="AP25" s="28" t="n">
        <x:f>SUM(IF(AND(AP$4&gt;EDATE('核心假设'!$B$5,0+$F8),AP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AP$4=EDATE(EDATE('核心假设'!$B$5,0+$F8),$D8),SUM('融资租赁与资金缺口'!$D$5:$D$16)*$M8*'核心假设'!$B$32,0),0),IF(AND(AP$4&gt;EDATE('核心假设'!$B$5,1+$F8),AP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AP$4=EDATE(EDATE('核心假设'!$B$5,1+$F8),$D8),SUM('融资租赁与资金缺口'!$D$5:$D$16)*$N8*'核心假设'!$B$32,0),0),IF(AND(AP$4&gt;EDATE('核心假设'!$B$5,2+$F8),AP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AP$4=EDATE(EDATE('核心假设'!$B$5,2+$F8),$D8),SUM('融资租赁与资金缺口'!$D$5:$D$16)*$O8*'核心假设'!$B$32,0),0),IF(AND(AP$4&gt;EDATE('核心假设'!$B$5,3+$F8),AP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AP$4=EDATE(EDATE('核心假设'!$B$5,3+$F8),$D8),SUM('融资租赁与资金缺口'!$D$5:$D$16)*$P8*'核心假设'!$B$32,0),0),IF(AND(AP$4&gt;EDATE('核心假设'!$B$5,4+$F8),AP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AP$4=EDATE(EDATE('核心假设'!$B$5,4+$F8),$D8),SUM('融资租赁与资金缺口'!$D$5:$D$16)*$Q8*'核心假设'!$B$32,0),0),IF(AND(AP$4&gt;EDATE('核心假设'!$B$5,5+$F8),AP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AP$4=EDATE(EDATE('核心假设'!$B$5,5+$F8),$D8),SUM('融资租赁与资金缺口'!$D$5:$D$16)*$R8*'核心假设'!$B$32,0),0),IF(AND(AP$4&gt;EDATE('核心假设'!$B$5,6+$F8),AP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AP$4=EDATE(EDATE('核心假设'!$B$5,6+$F8),$D8),SUM('融资租赁与资金缺口'!$D$5:$D$16)*$S8*'核心假设'!$B$32,0),0),IF(AND(AP$4&gt;EDATE('核心假设'!$B$5,7+$F8),AP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AP$4=EDATE(EDATE('核心假设'!$B$5,7+$F8),$D8),SUM('融资租赁与资金缺口'!$D$5:$D$16)*$T8*'核心假设'!$B$32,0),0),IF(AND(AP$4&gt;EDATE('核心假设'!$B$5,8+$F8),AP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AP$4=EDATE(EDATE('核心假设'!$B$5,8+$F8),$D8),SUM('融资租赁与资金缺口'!$D$5:$D$16)*$U8*'核心假设'!$B$32,0),0),IF(AND(AP$4&gt;EDATE('核心假设'!$B$5,9+$F8),AP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AP$4=EDATE(EDATE('核心假设'!$B$5,9+$F8),$D8),SUM('融资租赁与资金缺口'!$D$5:$D$16)*$V8*'核心假设'!$B$32,0),0),IF(AND(AP$4&gt;EDATE('核心假设'!$B$5,10+$F8),AP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AP$4=EDATE(EDATE('核心假设'!$B$5,10+$F8),$D8),SUM('融资租赁与资金缺口'!$D$5:$D$16)*$W8*'核心假设'!$B$32,0),0),IF(AND(AP$4&gt;EDATE('核心假设'!$B$5,11+$F8),AP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AP$4=EDATE(EDATE('核心假设'!$B$5,11+$F8),$D8),SUM('融资租赁与资金缺口'!$D$5:$D$16)*$X8*'核心假设'!$B$32,0),0),IF(AND(AP$4&gt;EDATE('核心假设'!$B$5,12+$F8),AP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AP$4=EDATE(EDATE('核心假设'!$B$5,12+$F8),$D8),SUM('融资租赁与资金缺口'!$D$5:$D$16)*$Y8*'核心假设'!$B$32,0),0),IF(AND(AP$4&gt;EDATE('核心假设'!$B$5,13+$F8),AP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AP$4=EDATE(EDATE('核心假设'!$B$5,13+$F8),$D8),SUM('融资租赁与资金缺口'!$D$5:$D$16)*$Z8*'核心假设'!$B$32,0),0),IF(AND(AP$4&gt;EDATE('核心假设'!$B$5,14+$F8),AP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AP$4=EDATE(EDATE('核心假设'!$B$5,14+$F8),$D8),SUM('融资租赁与资金缺口'!$D$5:$D$16)*$AA8*'核心假设'!$B$32,0),0),IF(AND(AP$4&gt;EDATE('核心假设'!$B$5,15+$F8),AP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AP$4=EDATE(EDATE('核心假设'!$B$5,15+$F8),$D8),SUM('融资租赁与资金缺口'!$D$5:$D$16)*$AB8*'核心假设'!$B$32,0),0),IF(AND(AP$4&gt;EDATE('核心假设'!$B$5,16+$F8),AP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AP$4=EDATE(EDATE('核心假设'!$B$5,16+$F8),$D8),SUM('融资租赁与资金缺口'!$D$5:$D$16)*$AC8*'核心假设'!$B$32,0),0),IF(AND(AP$4&gt;EDATE('核心假设'!$B$5,17+$F8),AP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AP$4=EDATE(EDATE('核心假设'!$B$5,17+$F8),$D8),SUM('融资租赁与资金缺口'!$D$5:$D$16)*$AD8*'核心假设'!$B$32,0),0))</x:f>
        <x:v>11316981.310701197</x:v>
      </x:c>
      <x:c r="AQ25" s="28" t="n">
        <x:f>SUM(IF(AND(AQ$4&gt;EDATE('核心假设'!$B$5,0+$F8),AQ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AQ$4=EDATE(EDATE('核心假设'!$B$5,0+$F8),$D8),SUM('融资租赁与资金缺口'!$D$5:$D$16)*$M8*'核心假设'!$B$32,0),0),IF(AND(AQ$4&gt;EDATE('核心假设'!$B$5,1+$F8),AQ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AQ$4=EDATE(EDATE('核心假设'!$B$5,1+$F8),$D8),SUM('融资租赁与资金缺口'!$D$5:$D$16)*$N8*'核心假设'!$B$32,0),0),IF(AND(AQ$4&gt;EDATE('核心假设'!$B$5,2+$F8),AQ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AQ$4=EDATE(EDATE('核心假设'!$B$5,2+$F8),$D8),SUM('融资租赁与资金缺口'!$D$5:$D$16)*$O8*'核心假设'!$B$32,0),0),IF(AND(AQ$4&gt;EDATE('核心假设'!$B$5,3+$F8),AQ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AQ$4=EDATE(EDATE('核心假设'!$B$5,3+$F8),$D8),SUM('融资租赁与资金缺口'!$D$5:$D$16)*$P8*'核心假设'!$B$32,0),0),IF(AND(AQ$4&gt;EDATE('核心假设'!$B$5,4+$F8),AQ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AQ$4=EDATE(EDATE('核心假设'!$B$5,4+$F8),$D8),SUM('融资租赁与资金缺口'!$D$5:$D$16)*$Q8*'核心假设'!$B$32,0),0),IF(AND(AQ$4&gt;EDATE('核心假设'!$B$5,5+$F8),AQ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AQ$4=EDATE(EDATE('核心假设'!$B$5,5+$F8),$D8),SUM('融资租赁与资金缺口'!$D$5:$D$16)*$R8*'核心假设'!$B$32,0),0),IF(AND(AQ$4&gt;EDATE('核心假设'!$B$5,6+$F8),AQ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AQ$4=EDATE(EDATE('核心假设'!$B$5,6+$F8),$D8),SUM('融资租赁与资金缺口'!$D$5:$D$16)*$S8*'核心假设'!$B$32,0),0),IF(AND(AQ$4&gt;EDATE('核心假设'!$B$5,7+$F8),AQ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AQ$4=EDATE(EDATE('核心假设'!$B$5,7+$F8),$D8),SUM('融资租赁与资金缺口'!$D$5:$D$16)*$T8*'核心假设'!$B$32,0),0),IF(AND(AQ$4&gt;EDATE('核心假设'!$B$5,8+$F8),AQ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AQ$4=EDATE(EDATE('核心假设'!$B$5,8+$F8),$D8),SUM('融资租赁与资金缺口'!$D$5:$D$16)*$U8*'核心假设'!$B$32,0),0),IF(AND(AQ$4&gt;EDATE('核心假设'!$B$5,9+$F8),AQ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AQ$4=EDATE(EDATE('核心假设'!$B$5,9+$F8),$D8),SUM('融资租赁与资金缺口'!$D$5:$D$16)*$V8*'核心假设'!$B$32,0),0),IF(AND(AQ$4&gt;EDATE('核心假设'!$B$5,10+$F8),AQ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AQ$4=EDATE(EDATE('核心假设'!$B$5,10+$F8),$D8),SUM('融资租赁与资金缺口'!$D$5:$D$16)*$W8*'核心假设'!$B$32,0),0),IF(AND(AQ$4&gt;EDATE('核心假设'!$B$5,11+$F8),AQ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AQ$4=EDATE(EDATE('核心假设'!$B$5,11+$F8),$D8),SUM('融资租赁与资金缺口'!$D$5:$D$16)*$X8*'核心假设'!$B$32,0),0),IF(AND(AQ$4&gt;EDATE('核心假设'!$B$5,12+$F8),AQ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AQ$4=EDATE(EDATE('核心假设'!$B$5,12+$F8),$D8),SUM('融资租赁与资金缺口'!$D$5:$D$16)*$Y8*'核心假设'!$B$32,0),0),IF(AND(AQ$4&gt;EDATE('核心假设'!$B$5,13+$F8),AQ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AQ$4=EDATE(EDATE('核心假设'!$B$5,13+$F8),$D8),SUM('融资租赁与资金缺口'!$D$5:$D$16)*$Z8*'核心假设'!$B$32,0),0),IF(AND(AQ$4&gt;EDATE('核心假设'!$B$5,14+$F8),AQ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AQ$4=EDATE(EDATE('核心假设'!$B$5,14+$F8),$D8),SUM('融资租赁与资金缺口'!$D$5:$D$16)*$AA8*'核心假设'!$B$32,0),0),IF(AND(AQ$4&gt;EDATE('核心假设'!$B$5,15+$F8),AQ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AQ$4=EDATE(EDATE('核心假设'!$B$5,15+$F8),$D8),SUM('融资租赁与资金缺口'!$D$5:$D$16)*$AB8*'核心假设'!$B$32,0),0),IF(AND(AQ$4&gt;EDATE('核心假设'!$B$5,16+$F8),AQ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AQ$4=EDATE(EDATE('核心假设'!$B$5,16+$F8),$D8),SUM('融资租赁与资金缺口'!$D$5:$D$16)*$AC8*'核心假设'!$B$32,0),0),IF(AND(AQ$4&gt;EDATE('核心假设'!$B$5,17+$F8),AQ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AQ$4=EDATE(EDATE('核心假设'!$B$5,17+$F8),$D8),SUM('融资租赁与资金缺口'!$D$5:$D$16)*$AD8*'核心假设'!$B$32,0),0))</x:f>
        <x:v>13006082.998865554</x:v>
      </x:c>
      <x:c r="AR25" s="28" t="n">
        <x:f>SUM(IF(AND(AR$4&gt;EDATE('核心假设'!$B$5,0+$F8),AR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AR$4=EDATE(EDATE('核心假设'!$B$5,0+$F8),$D8),SUM('融资租赁与资金缺口'!$D$5:$D$16)*$M8*'核心假设'!$B$32,0),0),IF(AND(AR$4&gt;EDATE('核心假设'!$B$5,1+$F8),AR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AR$4=EDATE(EDATE('核心假设'!$B$5,1+$F8),$D8),SUM('融资租赁与资金缺口'!$D$5:$D$16)*$N8*'核心假设'!$B$32,0),0),IF(AND(AR$4&gt;EDATE('核心假设'!$B$5,2+$F8),AR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AR$4=EDATE(EDATE('核心假设'!$B$5,2+$F8),$D8),SUM('融资租赁与资金缺口'!$D$5:$D$16)*$O8*'核心假设'!$B$32,0),0),IF(AND(AR$4&gt;EDATE('核心假设'!$B$5,3+$F8),AR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AR$4=EDATE(EDATE('核心假设'!$B$5,3+$F8),$D8),SUM('融资租赁与资金缺口'!$D$5:$D$16)*$P8*'核心假设'!$B$32,0),0),IF(AND(AR$4&gt;EDATE('核心假设'!$B$5,4+$F8),AR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AR$4=EDATE(EDATE('核心假设'!$B$5,4+$F8),$D8),SUM('融资租赁与资金缺口'!$D$5:$D$16)*$Q8*'核心假设'!$B$32,0),0),IF(AND(AR$4&gt;EDATE('核心假设'!$B$5,5+$F8),AR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AR$4=EDATE(EDATE('核心假设'!$B$5,5+$F8),$D8),SUM('融资租赁与资金缺口'!$D$5:$D$16)*$R8*'核心假设'!$B$32,0),0),IF(AND(AR$4&gt;EDATE('核心假设'!$B$5,6+$F8),AR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AR$4=EDATE(EDATE('核心假设'!$B$5,6+$F8),$D8),SUM('融资租赁与资金缺口'!$D$5:$D$16)*$S8*'核心假设'!$B$32,0),0),IF(AND(AR$4&gt;EDATE('核心假设'!$B$5,7+$F8),AR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AR$4=EDATE(EDATE('核心假设'!$B$5,7+$F8),$D8),SUM('融资租赁与资金缺口'!$D$5:$D$16)*$T8*'核心假设'!$B$32,0),0),IF(AND(AR$4&gt;EDATE('核心假设'!$B$5,8+$F8),AR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AR$4=EDATE(EDATE('核心假设'!$B$5,8+$F8),$D8),SUM('融资租赁与资金缺口'!$D$5:$D$16)*$U8*'核心假设'!$B$32,0),0),IF(AND(AR$4&gt;EDATE('核心假设'!$B$5,9+$F8),AR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AR$4=EDATE(EDATE('核心假设'!$B$5,9+$F8),$D8),SUM('融资租赁与资金缺口'!$D$5:$D$16)*$V8*'核心假设'!$B$32,0),0),IF(AND(AR$4&gt;EDATE('核心假设'!$B$5,10+$F8),AR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AR$4=EDATE(EDATE('核心假设'!$B$5,10+$F8),$D8),SUM('融资租赁与资金缺口'!$D$5:$D$16)*$W8*'核心假设'!$B$32,0),0),IF(AND(AR$4&gt;EDATE('核心假设'!$B$5,11+$F8),AR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AR$4=EDATE(EDATE('核心假设'!$B$5,11+$F8),$D8),SUM('融资租赁与资金缺口'!$D$5:$D$16)*$X8*'核心假设'!$B$32,0),0),IF(AND(AR$4&gt;EDATE('核心假设'!$B$5,12+$F8),AR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AR$4=EDATE(EDATE('核心假设'!$B$5,12+$F8),$D8),SUM('融资租赁与资金缺口'!$D$5:$D$16)*$Y8*'核心假设'!$B$32,0),0),IF(AND(AR$4&gt;EDATE('核心假设'!$B$5,13+$F8),AR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AR$4=EDATE(EDATE('核心假设'!$B$5,13+$F8),$D8),SUM('融资租赁与资金缺口'!$D$5:$D$16)*$Z8*'核心假设'!$B$32,0),0),IF(AND(AR$4&gt;EDATE('核心假设'!$B$5,14+$F8),AR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AR$4=EDATE(EDATE('核心假设'!$B$5,14+$F8),$D8),SUM('融资租赁与资金缺口'!$D$5:$D$16)*$AA8*'核心假设'!$B$32,0),0),IF(AND(AR$4&gt;EDATE('核心假设'!$B$5,15+$F8),AR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AR$4=EDATE(EDATE('核心假设'!$B$5,15+$F8),$D8),SUM('融资租赁与资金缺口'!$D$5:$D$16)*$AB8*'核心假设'!$B$32,0),0),IF(AND(AR$4&gt;EDATE('核心假设'!$B$5,16+$F8),AR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AR$4=EDATE(EDATE('核心假设'!$B$5,16+$F8),$D8),SUM('融资租赁与资金缺口'!$D$5:$D$16)*$AC8*'核心假设'!$B$32,0),0),IF(AND(AR$4&gt;EDATE('核心假设'!$B$5,17+$F8),AR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AR$4=EDATE(EDATE('核心假设'!$B$5,17+$F8),$D8),SUM('融资租赁与资金缺口'!$D$5:$D$16)*$AD8*'核心假设'!$B$32,0),0))</x:f>
        <x:v>14526274.518213477</x:v>
      </x:c>
      <x:c r="AS25" s="28" t="n">
        <x:f>SUM(IF(AND(AS$4&gt;EDATE('核心假设'!$B$5,0+$F8),AS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AS$4=EDATE(EDATE('核心假设'!$B$5,0+$F8),$D8),SUM('融资租赁与资金缺口'!$D$5:$D$16)*$M8*'核心假设'!$B$32,0),0),IF(AND(AS$4&gt;EDATE('核心假设'!$B$5,1+$F8),AS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AS$4=EDATE(EDATE('核心假设'!$B$5,1+$F8),$D8),SUM('融资租赁与资金缺口'!$D$5:$D$16)*$N8*'核心假设'!$B$32,0),0),IF(AND(AS$4&gt;EDATE('核心假设'!$B$5,2+$F8),AS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AS$4=EDATE(EDATE('核心假设'!$B$5,2+$F8),$D8),SUM('融资租赁与资金缺口'!$D$5:$D$16)*$O8*'核心假设'!$B$32,0),0),IF(AND(AS$4&gt;EDATE('核心假设'!$B$5,3+$F8),AS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AS$4=EDATE(EDATE('核心假设'!$B$5,3+$F8),$D8),SUM('融资租赁与资金缺口'!$D$5:$D$16)*$P8*'核心假设'!$B$32,0),0),IF(AND(AS$4&gt;EDATE('核心假设'!$B$5,4+$F8),AS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AS$4=EDATE(EDATE('核心假设'!$B$5,4+$F8),$D8),SUM('融资租赁与资金缺口'!$D$5:$D$16)*$Q8*'核心假设'!$B$32,0),0),IF(AND(AS$4&gt;EDATE('核心假设'!$B$5,5+$F8),AS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AS$4=EDATE(EDATE('核心假设'!$B$5,5+$F8),$D8),SUM('融资租赁与资金缺口'!$D$5:$D$16)*$R8*'核心假设'!$B$32,0),0),IF(AND(AS$4&gt;EDATE('核心假设'!$B$5,6+$F8),AS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AS$4=EDATE(EDATE('核心假设'!$B$5,6+$F8),$D8),SUM('融资租赁与资金缺口'!$D$5:$D$16)*$S8*'核心假设'!$B$32,0),0),IF(AND(AS$4&gt;EDATE('核心假设'!$B$5,7+$F8),AS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AS$4=EDATE(EDATE('核心假设'!$B$5,7+$F8),$D8),SUM('融资租赁与资金缺口'!$D$5:$D$16)*$T8*'核心假设'!$B$32,0),0),IF(AND(AS$4&gt;EDATE('核心假设'!$B$5,8+$F8),AS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AS$4=EDATE(EDATE('核心假设'!$B$5,8+$F8),$D8),SUM('融资租赁与资金缺口'!$D$5:$D$16)*$U8*'核心假设'!$B$32,0),0),IF(AND(AS$4&gt;EDATE('核心假设'!$B$5,9+$F8),AS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AS$4=EDATE(EDATE('核心假设'!$B$5,9+$F8),$D8),SUM('融资租赁与资金缺口'!$D$5:$D$16)*$V8*'核心假设'!$B$32,0),0),IF(AND(AS$4&gt;EDATE('核心假设'!$B$5,10+$F8),AS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AS$4=EDATE(EDATE('核心假设'!$B$5,10+$F8),$D8),SUM('融资租赁与资金缺口'!$D$5:$D$16)*$W8*'核心假设'!$B$32,0),0),IF(AND(AS$4&gt;EDATE('核心假设'!$B$5,11+$F8),AS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AS$4=EDATE(EDATE('核心假设'!$B$5,11+$F8),$D8),SUM('融资租赁与资金缺口'!$D$5:$D$16)*$X8*'核心假设'!$B$32,0),0),IF(AND(AS$4&gt;EDATE('核心假设'!$B$5,12+$F8),AS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AS$4=EDATE(EDATE('核心假设'!$B$5,12+$F8),$D8),SUM('融资租赁与资金缺口'!$D$5:$D$16)*$Y8*'核心假设'!$B$32,0),0),IF(AND(AS$4&gt;EDATE('核心假设'!$B$5,13+$F8),AS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AS$4=EDATE(EDATE('核心假设'!$B$5,13+$F8),$D8),SUM('融资租赁与资金缺口'!$D$5:$D$16)*$Z8*'核心假设'!$B$32,0),0),IF(AND(AS$4&gt;EDATE('核心假设'!$B$5,14+$F8),AS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AS$4=EDATE(EDATE('核心假设'!$B$5,14+$F8),$D8),SUM('融资租赁与资金缺口'!$D$5:$D$16)*$AA8*'核心假设'!$B$32,0),0),IF(AND(AS$4&gt;EDATE('核心假设'!$B$5,15+$F8),AS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AS$4=EDATE(EDATE('核心假设'!$B$5,15+$F8),$D8),SUM('融资租赁与资金缺口'!$D$5:$D$16)*$AB8*'核心假设'!$B$32,0),0),IF(AND(AS$4&gt;EDATE('核心假设'!$B$5,16+$F8),AS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AS$4=EDATE(EDATE('核心假设'!$B$5,16+$F8),$D8),SUM('融资租赁与资金缺口'!$D$5:$D$16)*$AC8*'核心假设'!$B$32,0),0),IF(AND(AS$4&gt;EDATE('核心假设'!$B$5,17+$F8),AS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AS$4=EDATE(EDATE('核心假设'!$B$5,17+$F8),$D8),SUM('融资租赁与资金缺口'!$D$5:$D$16)*$AD8*'核心假设'!$B$32,0),0))</x:f>
        <x:v>15877555.868744964</x:v>
      </x:c>
      <x:c r="AT25" s="28" t="n">
        <x:f>SUM(IF(AND(AT$4&gt;EDATE('核心假设'!$B$5,0+$F8),AT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AT$4=EDATE(EDATE('核心假设'!$B$5,0+$F8),$D8),SUM('融资租赁与资金缺口'!$D$5:$D$16)*$M8*'核心假设'!$B$32,0),0),IF(AND(AT$4&gt;EDATE('核心假设'!$B$5,1+$F8),AT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AT$4=EDATE(EDATE('核心假设'!$B$5,1+$F8),$D8),SUM('融资租赁与资金缺口'!$D$5:$D$16)*$N8*'核心假设'!$B$32,0),0),IF(AND(AT$4&gt;EDATE('核心假设'!$B$5,2+$F8),AT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AT$4=EDATE(EDATE('核心假设'!$B$5,2+$F8),$D8),SUM('融资租赁与资金缺口'!$D$5:$D$16)*$O8*'核心假设'!$B$32,0),0),IF(AND(AT$4&gt;EDATE('核心假设'!$B$5,3+$F8),AT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AT$4=EDATE(EDATE('核心假设'!$B$5,3+$F8),$D8),SUM('融资租赁与资金缺口'!$D$5:$D$16)*$P8*'核心假设'!$B$32,0),0),IF(AND(AT$4&gt;EDATE('核心假设'!$B$5,4+$F8),AT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AT$4=EDATE(EDATE('核心假设'!$B$5,4+$F8),$D8),SUM('融资租赁与资金缺口'!$D$5:$D$16)*$Q8*'核心假设'!$B$32,0),0),IF(AND(AT$4&gt;EDATE('核心假设'!$B$5,5+$F8),AT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AT$4=EDATE(EDATE('核心假设'!$B$5,5+$F8),$D8),SUM('融资租赁与资金缺口'!$D$5:$D$16)*$R8*'核心假设'!$B$32,0),0),IF(AND(AT$4&gt;EDATE('核心假设'!$B$5,6+$F8),AT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AT$4=EDATE(EDATE('核心假设'!$B$5,6+$F8),$D8),SUM('融资租赁与资金缺口'!$D$5:$D$16)*$S8*'核心假设'!$B$32,0),0),IF(AND(AT$4&gt;EDATE('核心假设'!$B$5,7+$F8),AT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AT$4=EDATE(EDATE('核心假设'!$B$5,7+$F8),$D8),SUM('融资租赁与资金缺口'!$D$5:$D$16)*$T8*'核心假设'!$B$32,0),0),IF(AND(AT$4&gt;EDATE('核心假设'!$B$5,8+$F8),AT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AT$4=EDATE(EDATE('核心假设'!$B$5,8+$F8),$D8),SUM('融资租赁与资金缺口'!$D$5:$D$16)*$U8*'核心假设'!$B$32,0),0),IF(AND(AT$4&gt;EDATE('核心假设'!$B$5,9+$F8),AT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AT$4=EDATE(EDATE('核心假设'!$B$5,9+$F8),$D8),SUM('融资租赁与资金缺口'!$D$5:$D$16)*$V8*'核心假设'!$B$32,0),0),IF(AND(AT$4&gt;EDATE('核心假设'!$B$5,10+$F8),AT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AT$4=EDATE(EDATE('核心假设'!$B$5,10+$F8),$D8),SUM('融资租赁与资金缺口'!$D$5:$D$16)*$W8*'核心假设'!$B$32,0),0),IF(AND(AT$4&gt;EDATE('核心假设'!$B$5,11+$F8),AT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AT$4=EDATE(EDATE('核心假设'!$B$5,11+$F8),$D8),SUM('融资租赁与资金缺口'!$D$5:$D$16)*$X8*'核心假设'!$B$32,0),0),IF(AND(AT$4&gt;EDATE('核心假设'!$B$5,12+$F8),AT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AT$4=EDATE(EDATE('核心假设'!$B$5,12+$F8),$D8),SUM('融资租赁与资金缺口'!$D$5:$D$16)*$Y8*'核心假设'!$B$32,0),0),IF(AND(AT$4&gt;EDATE('核心假设'!$B$5,13+$F8),AT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AT$4=EDATE(EDATE('核心假设'!$B$5,13+$F8),$D8),SUM('融资租赁与资金缺口'!$D$5:$D$16)*$Z8*'核心假设'!$B$32,0),0),IF(AND(AT$4&gt;EDATE('核心假设'!$B$5,14+$F8),AT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AT$4=EDATE(EDATE('核心假设'!$B$5,14+$F8),$D8),SUM('融资租赁与资金缺口'!$D$5:$D$16)*$AA8*'核心假设'!$B$32,0),0),IF(AND(AT$4&gt;EDATE('核心假设'!$B$5,15+$F8),AT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AT$4=EDATE(EDATE('核心假设'!$B$5,15+$F8),$D8),SUM('融资租赁与资金缺口'!$D$5:$D$16)*$AB8*'核心假设'!$B$32,0),0),IF(AND(AT$4&gt;EDATE('核心假设'!$B$5,16+$F8),AT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AT$4=EDATE(EDATE('核心假设'!$B$5,16+$F8),$D8),SUM('融资租赁与资金缺口'!$D$5:$D$16)*$AC8*'核心假设'!$B$32,0),0),IF(AND(AT$4&gt;EDATE('核心假设'!$B$5,17+$F8),AT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AT$4=EDATE(EDATE('核心假设'!$B$5,17+$F8),$D8),SUM('融资租赁与资金缺口'!$D$5:$D$16)*$AD8*'核心假设'!$B$32,0),0))</x:f>
        <x:v>16891016.88164358</x:v>
      </x:c>
      <x:c r="AU25" s="28" t="n">
        <x:f>SUM(IF(AND(AU$4&gt;EDATE('核心假设'!$B$5,0+$F8),AU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AU$4=EDATE(EDATE('核心假设'!$B$5,0+$F8),$D8),SUM('融资租赁与资金缺口'!$D$5:$D$16)*$M8*'核心假设'!$B$32,0),0),IF(AND(AU$4&gt;EDATE('核心假设'!$B$5,1+$F8),AU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AU$4=EDATE(EDATE('核心假设'!$B$5,1+$F8),$D8),SUM('融资租赁与资金缺口'!$D$5:$D$16)*$N8*'核心假设'!$B$32,0),0),IF(AND(AU$4&gt;EDATE('核心假设'!$B$5,2+$F8),AU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AU$4=EDATE(EDATE('核心假设'!$B$5,2+$F8),$D8),SUM('融资租赁与资金缺口'!$D$5:$D$16)*$O8*'核心假设'!$B$32,0),0),IF(AND(AU$4&gt;EDATE('核心假设'!$B$5,3+$F8),AU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AU$4=EDATE(EDATE('核心假设'!$B$5,3+$F8),$D8),SUM('融资租赁与资金缺口'!$D$5:$D$16)*$P8*'核心假设'!$B$32,0),0),IF(AND(AU$4&gt;EDATE('核心假设'!$B$5,4+$F8),AU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AU$4=EDATE(EDATE('核心假设'!$B$5,4+$F8),$D8),SUM('融资租赁与资金缺口'!$D$5:$D$16)*$Q8*'核心假设'!$B$32,0),0),IF(AND(AU$4&gt;EDATE('核心假设'!$B$5,5+$F8),AU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AU$4=EDATE(EDATE('核心假设'!$B$5,5+$F8),$D8),SUM('融资租赁与资金缺口'!$D$5:$D$16)*$R8*'核心假设'!$B$32,0),0),IF(AND(AU$4&gt;EDATE('核心假设'!$B$5,6+$F8),AU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AU$4=EDATE(EDATE('核心假设'!$B$5,6+$F8),$D8),SUM('融资租赁与资金缺口'!$D$5:$D$16)*$S8*'核心假设'!$B$32,0),0),IF(AND(AU$4&gt;EDATE('核心假设'!$B$5,7+$F8),AU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AU$4=EDATE(EDATE('核心假设'!$B$5,7+$F8),$D8),SUM('融资租赁与资金缺口'!$D$5:$D$16)*$T8*'核心假设'!$B$32,0),0),IF(AND(AU$4&gt;EDATE('核心假设'!$B$5,8+$F8),AU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AU$4=EDATE(EDATE('核心假设'!$B$5,8+$F8),$D8),SUM('融资租赁与资金缺口'!$D$5:$D$16)*$U8*'核心假设'!$B$32,0),0),IF(AND(AU$4&gt;EDATE('核心假设'!$B$5,9+$F8),AU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AU$4=EDATE(EDATE('核心假设'!$B$5,9+$F8),$D8),SUM('融资租赁与资金缺口'!$D$5:$D$16)*$V8*'核心假设'!$B$32,0),0),IF(AND(AU$4&gt;EDATE('核心假设'!$B$5,10+$F8),AU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AU$4=EDATE(EDATE('核心假设'!$B$5,10+$F8),$D8),SUM('融资租赁与资金缺口'!$D$5:$D$16)*$W8*'核心假设'!$B$32,0),0),IF(AND(AU$4&gt;EDATE('核心假设'!$B$5,11+$F8),AU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AU$4=EDATE(EDATE('核心假设'!$B$5,11+$F8),$D8),SUM('融资租赁与资金缺口'!$D$5:$D$16)*$X8*'核心假设'!$B$32,0),0),IF(AND(AU$4&gt;EDATE('核心假设'!$B$5,12+$F8),AU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AU$4=EDATE(EDATE('核心假设'!$B$5,12+$F8),$D8),SUM('融资租赁与资金缺口'!$D$5:$D$16)*$Y8*'核心假设'!$B$32,0),0),IF(AND(AU$4&gt;EDATE('核心假设'!$B$5,13+$F8),AU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AU$4=EDATE(EDATE('核心假设'!$B$5,13+$F8),$D8),SUM('融资租赁与资金缺口'!$D$5:$D$16)*$Z8*'核心假设'!$B$32,0),0),IF(AND(AU$4&gt;EDATE('核心假设'!$B$5,14+$F8),AU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AU$4=EDATE(EDATE('核心假设'!$B$5,14+$F8),$D8),SUM('融资租赁与资金缺口'!$D$5:$D$16)*$AA8*'核心假设'!$B$32,0),0),IF(AND(AU$4&gt;EDATE('核心假设'!$B$5,15+$F8),AU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AU$4=EDATE(EDATE('核心假设'!$B$5,15+$F8),$D8),SUM('融资租赁与资金缺口'!$D$5:$D$16)*$AB8*'核心假设'!$B$32,0),0),IF(AND(AU$4&gt;EDATE('核心假设'!$B$5,16+$F8),AU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AU$4=EDATE(EDATE('核心假设'!$B$5,16+$F8),$D8),SUM('融资租赁与资金缺口'!$D$5:$D$16)*$AC8*'核心假设'!$B$32,0),0),IF(AND(AU$4&gt;EDATE('核心假设'!$B$5,17+$F8),AU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AU$4=EDATE(EDATE('核心假设'!$B$5,17+$F8),$D8),SUM('融资租赁与资金缺口'!$D$5:$D$16)*$AD8*'核心假设'!$B$32,0),0))</x:f>
        <x:v>16891016.88164358</x:v>
      </x:c>
      <x:c r="AV25" s="28" t="n">
        <x:f>SUM(IF(AND(AV$4&gt;EDATE('核心假设'!$B$5,0+$F8),AV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AV$4=EDATE(EDATE('核心假设'!$B$5,0+$F8),$D8),SUM('融资租赁与资金缺口'!$D$5:$D$16)*$M8*'核心假设'!$B$32,0),0),IF(AND(AV$4&gt;EDATE('核心假设'!$B$5,1+$F8),AV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AV$4=EDATE(EDATE('核心假设'!$B$5,1+$F8),$D8),SUM('融资租赁与资金缺口'!$D$5:$D$16)*$N8*'核心假设'!$B$32,0),0),IF(AND(AV$4&gt;EDATE('核心假设'!$B$5,2+$F8),AV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AV$4=EDATE(EDATE('核心假设'!$B$5,2+$F8),$D8),SUM('融资租赁与资金缺口'!$D$5:$D$16)*$O8*'核心假设'!$B$32,0),0),IF(AND(AV$4&gt;EDATE('核心假设'!$B$5,3+$F8),AV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AV$4=EDATE(EDATE('核心假设'!$B$5,3+$F8),$D8),SUM('融资租赁与资金缺口'!$D$5:$D$16)*$P8*'核心假设'!$B$32,0),0),IF(AND(AV$4&gt;EDATE('核心假设'!$B$5,4+$F8),AV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AV$4=EDATE(EDATE('核心假设'!$B$5,4+$F8),$D8),SUM('融资租赁与资金缺口'!$D$5:$D$16)*$Q8*'核心假设'!$B$32,0),0),IF(AND(AV$4&gt;EDATE('核心假设'!$B$5,5+$F8),AV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AV$4=EDATE(EDATE('核心假设'!$B$5,5+$F8),$D8),SUM('融资租赁与资金缺口'!$D$5:$D$16)*$R8*'核心假设'!$B$32,0),0),IF(AND(AV$4&gt;EDATE('核心假设'!$B$5,6+$F8),AV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AV$4=EDATE(EDATE('核心假设'!$B$5,6+$F8),$D8),SUM('融资租赁与资金缺口'!$D$5:$D$16)*$S8*'核心假设'!$B$32,0),0),IF(AND(AV$4&gt;EDATE('核心假设'!$B$5,7+$F8),AV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AV$4=EDATE(EDATE('核心假设'!$B$5,7+$F8),$D8),SUM('融资租赁与资金缺口'!$D$5:$D$16)*$T8*'核心假设'!$B$32,0),0),IF(AND(AV$4&gt;EDATE('核心假设'!$B$5,8+$F8),AV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AV$4=EDATE(EDATE('核心假设'!$B$5,8+$F8),$D8),SUM('融资租赁与资金缺口'!$D$5:$D$16)*$U8*'核心假设'!$B$32,0),0),IF(AND(AV$4&gt;EDATE('核心假设'!$B$5,9+$F8),AV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AV$4=EDATE(EDATE('核心假设'!$B$5,9+$F8),$D8),SUM('融资租赁与资金缺口'!$D$5:$D$16)*$V8*'核心假设'!$B$32,0),0),IF(AND(AV$4&gt;EDATE('核心假设'!$B$5,10+$F8),AV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AV$4=EDATE(EDATE('核心假设'!$B$5,10+$F8),$D8),SUM('融资租赁与资金缺口'!$D$5:$D$16)*$W8*'核心假设'!$B$32,0),0),IF(AND(AV$4&gt;EDATE('核心假设'!$B$5,11+$F8),AV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AV$4=EDATE(EDATE('核心假设'!$B$5,11+$F8),$D8),SUM('融资租赁与资金缺口'!$D$5:$D$16)*$X8*'核心假设'!$B$32,0),0),IF(AND(AV$4&gt;EDATE('核心假设'!$B$5,12+$F8),AV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AV$4=EDATE(EDATE('核心假设'!$B$5,12+$F8),$D8),SUM('融资租赁与资金缺口'!$D$5:$D$16)*$Y8*'核心假设'!$B$32,0),0),IF(AND(AV$4&gt;EDATE('核心假设'!$B$5,13+$F8),AV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AV$4=EDATE(EDATE('核心假设'!$B$5,13+$F8),$D8),SUM('融资租赁与资金缺口'!$D$5:$D$16)*$Z8*'核心假设'!$B$32,0),0),IF(AND(AV$4&gt;EDATE('核心假设'!$B$5,14+$F8),AV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AV$4=EDATE(EDATE('核心假设'!$B$5,14+$F8),$D8),SUM('融资租赁与资金缺口'!$D$5:$D$16)*$AA8*'核心假设'!$B$32,0),0),IF(AND(AV$4&gt;EDATE('核心假设'!$B$5,15+$F8),AV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AV$4=EDATE(EDATE('核心假设'!$B$5,15+$F8),$D8),SUM('融资租赁与资金缺口'!$D$5:$D$16)*$AB8*'核心假设'!$B$32,0),0),IF(AND(AV$4&gt;EDATE('核心假设'!$B$5,16+$F8),AV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AV$4=EDATE(EDATE('核心假设'!$B$5,16+$F8),$D8),SUM('融资租赁与资金缺口'!$D$5:$D$16)*$AC8*'核心假设'!$B$32,0),0),IF(AND(AV$4&gt;EDATE('核心假设'!$B$5,17+$F8),AV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AV$4=EDATE(EDATE('核心假设'!$B$5,17+$F8),$D8),SUM('融资租赁与资金缺口'!$D$5:$D$16)*$AD8*'核心假设'!$B$32,0),0))</x:f>
        <x:v>16891016.88164358</x:v>
      </x:c>
      <x:c r="AW25" s="28" t="n">
        <x:f>SUM(IF(AND(AW$4&gt;EDATE('核心假设'!$B$5,0+$F8),AW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AW$4=EDATE(EDATE('核心假设'!$B$5,0+$F8),$D8),SUM('融资租赁与资金缺口'!$D$5:$D$16)*$M8*'核心假设'!$B$32,0),0),IF(AND(AW$4&gt;EDATE('核心假设'!$B$5,1+$F8),AW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AW$4=EDATE(EDATE('核心假设'!$B$5,1+$F8),$D8),SUM('融资租赁与资金缺口'!$D$5:$D$16)*$N8*'核心假设'!$B$32,0),0),IF(AND(AW$4&gt;EDATE('核心假设'!$B$5,2+$F8),AW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AW$4=EDATE(EDATE('核心假设'!$B$5,2+$F8),$D8),SUM('融资租赁与资金缺口'!$D$5:$D$16)*$O8*'核心假设'!$B$32,0),0),IF(AND(AW$4&gt;EDATE('核心假设'!$B$5,3+$F8),AW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AW$4=EDATE(EDATE('核心假设'!$B$5,3+$F8),$D8),SUM('融资租赁与资金缺口'!$D$5:$D$16)*$P8*'核心假设'!$B$32,0),0),IF(AND(AW$4&gt;EDATE('核心假设'!$B$5,4+$F8),AW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AW$4=EDATE(EDATE('核心假设'!$B$5,4+$F8),$D8),SUM('融资租赁与资金缺口'!$D$5:$D$16)*$Q8*'核心假设'!$B$32,0),0),IF(AND(AW$4&gt;EDATE('核心假设'!$B$5,5+$F8),AW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AW$4=EDATE(EDATE('核心假设'!$B$5,5+$F8),$D8),SUM('融资租赁与资金缺口'!$D$5:$D$16)*$R8*'核心假设'!$B$32,0),0),IF(AND(AW$4&gt;EDATE('核心假设'!$B$5,6+$F8),AW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AW$4=EDATE(EDATE('核心假设'!$B$5,6+$F8),$D8),SUM('融资租赁与资金缺口'!$D$5:$D$16)*$S8*'核心假设'!$B$32,0),0),IF(AND(AW$4&gt;EDATE('核心假设'!$B$5,7+$F8),AW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AW$4=EDATE(EDATE('核心假设'!$B$5,7+$F8),$D8),SUM('融资租赁与资金缺口'!$D$5:$D$16)*$T8*'核心假设'!$B$32,0),0),IF(AND(AW$4&gt;EDATE('核心假设'!$B$5,8+$F8),AW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AW$4=EDATE(EDATE('核心假设'!$B$5,8+$F8),$D8),SUM('融资租赁与资金缺口'!$D$5:$D$16)*$U8*'核心假设'!$B$32,0),0),IF(AND(AW$4&gt;EDATE('核心假设'!$B$5,9+$F8),AW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AW$4=EDATE(EDATE('核心假设'!$B$5,9+$F8),$D8),SUM('融资租赁与资金缺口'!$D$5:$D$16)*$V8*'核心假设'!$B$32,0),0),IF(AND(AW$4&gt;EDATE('核心假设'!$B$5,10+$F8),AW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AW$4=EDATE(EDATE('核心假设'!$B$5,10+$F8),$D8),SUM('融资租赁与资金缺口'!$D$5:$D$16)*$W8*'核心假设'!$B$32,0),0),IF(AND(AW$4&gt;EDATE('核心假设'!$B$5,11+$F8),AW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AW$4=EDATE(EDATE('核心假设'!$B$5,11+$F8),$D8),SUM('融资租赁与资金缺口'!$D$5:$D$16)*$X8*'核心假设'!$B$32,0),0),IF(AND(AW$4&gt;EDATE('核心假设'!$B$5,12+$F8),AW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AW$4=EDATE(EDATE('核心假设'!$B$5,12+$F8),$D8),SUM('融资租赁与资金缺口'!$D$5:$D$16)*$Y8*'核心假设'!$B$32,0),0),IF(AND(AW$4&gt;EDATE('核心假设'!$B$5,13+$F8),AW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AW$4=EDATE(EDATE('核心假设'!$B$5,13+$F8),$D8),SUM('融资租赁与资金缺口'!$D$5:$D$16)*$Z8*'核心假设'!$B$32,0),0),IF(AND(AW$4&gt;EDATE('核心假设'!$B$5,14+$F8),AW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AW$4=EDATE(EDATE('核心假设'!$B$5,14+$F8),$D8),SUM('融资租赁与资金缺口'!$D$5:$D$16)*$AA8*'核心假设'!$B$32,0),0),IF(AND(AW$4&gt;EDATE('核心假设'!$B$5,15+$F8),AW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AW$4=EDATE(EDATE('核心假设'!$B$5,15+$F8),$D8),SUM('融资租赁与资金缺口'!$D$5:$D$16)*$AB8*'核心假设'!$B$32,0),0),IF(AND(AW$4&gt;EDATE('核心假设'!$B$5,16+$F8),AW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AW$4=EDATE(EDATE('核心假设'!$B$5,16+$F8),$D8),SUM('融资租赁与资金缺口'!$D$5:$D$16)*$AC8*'核心假设'!$B$32,0),0),IF(AND(AW$4&gt;EDATE('核心假设'!$B$5,17+$F8),AW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AW$4=EDATE(EDATE('核心假设'!$B$5,17+$F8),$D8),SUM('融资租赁与资金缺口'!$D$5:$D$16)*$AD8*'核心假设'!$B$32,0),0))</x:f>
        <x:v>16891016.88164358</x:v>
      </x:c>
      <x:c r="AX25" s="28" t="n">
        <x:f>SUM(IF(AND(AX$4&gt;EDATE('核心假设'!$B$5,0+$F8),AX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AX$4=EDATE(EDATE('核心假设'!$B$5,0+$F8),$D8),SUM('融资租赁与资金缺口'!$D$5:$D$16)*$M8*'核心假设'!$B$32,0),0),IF(AND(AX$4&gt;EDATE('核心假设'!$B$5,1+$F8),AX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AX$4=EDATE(EDATE('核心假设'!$B$5,1+$F8),$D8),SUM('融资租赁与资金缺口'!$D$5:$D$16)*$N8*'核心假设'!$B$32,0),0),IF(AND(AX$4&gt;EDATE('核心假设'!$B$5,2+$F8),AX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AX$4=EDATE(EDATE('核心假设'!$B$5,2+$F8),$D8),SUM('融资租赁与资金缺口'!$D$5:$D$16)*$O8*'核心假设'!$B$32,0),0),IF(AND(AX$4&gt;EDATE('核心假设'!$B$5,3+$F8),AX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AX$4=EDATE(EDATE('核心假设'!$B$5,3+$F8),$D8),SUM('融资租赁与资金缺口'!$D$5:$D$16)*$P8*'核心假设'!$B$32,0),0),IF(AND(AX$4&gt;EDATE('核心假设'!$B$5,4+$F8),AX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AX$4=EDATE(EDATE('核心假设'!$B$5,4+$F8),$D8),SUM('融资租赁与资金缺口'!$D$5:$D$16)*$Q8*'核心假设'!$B$32,0),0),IF(AND(AX$4&gt;EDATE('核心假设'!$B$5,5+$F8),AX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AX$4=EDATE(EDATE('核心假设'!$B$5,5+$F8),$D8),SUM('融资租赁与资金缺口'!$D$5:$D$16)*$R8*'核心假设'!$B$32,0),0),IF(AND(AX$4&gt;EDATE('核心假设'!$B$5,6+$F8),AX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AX$4=EDATE(EDATE('核心假设'!$B$5,6+$F8),$D8),SUM('融资租赁与资金缺口'!$D$5:$D$16)*$S8*'核心假设'!$B$32,0),0),IF(AND(AX$4&gt;EDATE('核心假设'!$B$5,7+$F8),AX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AX$4=EDATE(EDATE('核心假设'!$B$5,7+$F8),$D8),SUM('融资租赁与资金缺口'!$D$5:$D$16)*$T8*'核心假设'!$B$32,0),0),IF(AND(AX$4&gt;EDATE('核心假设'!$B$5,8+$F8),AX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AX$4=EDATE(EDATE('核心假设'!$B$5,8+$F8),$D8),SUM('融资租赁与资金缺口'!$D$5:$D$16)*$U8*'核心假设'!$B$32,0),0),IF(AND(AX$4&gt;EDATE('核心假设'!$B$5,9+$F8),AX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AX$4=EDATE(EDATE('核心假设'!$B$5,9+$F8),$D8),SUM('融资租赁与资金缺口'!$D$5:$D$16)*$V8*'核心假设'!$B$32,0),0),IF(AND(AX$4&gt;EDATE('核心假设'!$B$5,10+$F8),AX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AX$4=EDATE(EDATE('核心假设'!$B$5,10+$F8),$D8),SUM('融资租赁与资金缺口'!$D$5:$D$16)*$W8*'核心假设'!$B$32,0),0),IF(AND(AX$4&gt;EDATE('核心假设'!$B$5,11+$F8),AX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AX$4=EDATE(EDATE('核心假设'!$B$5,11+$F8),$D8),SUM('融资租赁与资金缺口'!$D$5:$D$16)*$X8*'核心假设'!$B$32,0),0),IF(AND(AX$4&gt;EDATE('核心假设'!$B$5,12+$F8),AX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AX$4=EDATE(EDATE('核心假设'!$B$5,12+$F8),$D8),SUM('融资租赁与资金缺口'!$D$5:$D$16)*$Y8*'核心假设'!$B$32,0),0),IF(AND(AX$4&gt;EDATE('核心假设'!$B$5,13+$F8),AX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AX$4=EDATE(EDATE('核心假设'!$B$5,13+$F8),$D8),SUM('融资租赁与资金缺口'!$D$5:$D$16)*$Z8*'核心假设'!$B$32,0),0),IF(AND(AX$4&gt;EDATE('核心假设'!$B$5,14+$F8),AX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AX$4=EDATE(EDATE('核心假设'!$B$5,14+$F8),$D8),SUM('融资租赁与资金缺口'!$D$5:$D$16)*$AA8*'核心假设'!$B$32,0),0),IF(AND(AX$4&gt;EDATE('核心假设'!$B$5,15+$F8),AX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AX$4=EDATE(EDATE('核心假设'!$B$5,15+$F8),$D8),SUM('融资租赁与资金缺口'!$D$5:$D$16)*$AB8*'核心假设'!$B$32,0),0),IF(AND(AX$4&gt;EDATE('核心假设'!$B$5,16+$F8),AX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AX$4=EDATE(EDATE('核心假设'!$B$5,16+$F8),$D8),SUM('融资租赁与资金缺口'!$D$5:$D$16)*$AC8*'核心假设'!$B$32,0),0),IF(AND(AX$4&gt;EDATE('核心假设'!$B$5,17+$F8),AX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AX$4=EDATE(EDATE('核心假设'!$B$5,17+$F8),$D8),SUM('融资租赁与资金缺口'!$D$5:$D$16)*$AD8*'核心假设'!$B$32,0),0))</x:f>
        <x:v>16891016.88164358</x:v>
      </x:c>
      <x:c r="AY25" s="28" t="n">
        <x:f>SUM(IF(AND(AY$4&gt;EDATE('核心假设'!$B$5,0+$F8),AY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AY$4=EDATE(EDATE('核心假设'!$B$5,0+$F8),$D8),SUM('融资租赁与资金缺口'!$D$5:$D$16)*$M8*'核心假设'!$B$32,0),0),IF(AND(AY$4&gt;EDATE('核心假设'!$B$5,1+$F8),AY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AY$4=EDATE(EDATE('核心假设'!$B$5,1+$F8),$D8),SUM('融资租赁与资金缺口'!$D$5:$D$16)*$N8*'核心假设'!$B$32,0),0),IF(AND(AY$4&gt;EDATE('核心假设'!$B$5,2+$F8),AY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AY$4=EDATE(EDATE('核心假设'!$B$5,2+$F8),$D8),SUM('融资租赁与资金缺口'!$D$5:$D$16)*$O8*'核心假设'!$B$32,0),0),IF(AND(AY$4&gt;EDATE('核心假设'!$B$5,3+$F8),AY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AY$4=EDATE(EDATE('核心假设'!$B$5,3+$F8),$D8),SUM('融资租赁与资金缺口'!$D$5:$D$16)*$P8*'核心假设'!$B$32,0),0),IF(AND(AY$4&gt;EDATE('核心假设'!$B$5,4+$F8),AY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AY$4=EDATE(EDATE('核心假设'!$B$5,4+$F8),$D8),SUM('融资租赁与资金缺口'!$D$5:$D$16)*$Q8*'核心假设'!$B$32,0),0),IF(AND(AY$4&gt;EDATE('核心假设'!$B$5,5+$F8),AY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AY$4=EDATE(EDATE('核心假设'!$B$5,5+$F8),$D8),SUM('融资租赁与资金缺口'!$D$5:$D$16)*$R8*'核心假设'!$B$32,0),0),IF(AND(AY$4&gt;EDATE('核心假设'!$B$5,6+$F8),AY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AY$4=EDATE(EDATE('核心假设'!$B$5,6+$F8),$D8),SUM('融资租赁与资金缺口'!$D$5:$D$16)*$S8*'核心假设'!$B$32,0),0),IF(AND(AY$4&gt;EDATE('核心假设'!$B$5,7+$F8),AY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AY$4=EDATE(EDATE('核心假设'!$B$5,7+$F8),$D8),SUM('融资租赁与资金缺口'!$D$5:$D$16)*$T8*'核心假设'!$B$32,0),0),IF(AND(AY$4&gt;EDATE('核心假设'!$B$5,8+$F8),AY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AY$4=EDATE(EDATE('核心假设'!$B$5,8+$F8),$D8),SUM('融资租赁与资金缺口'!$D$5:$D$16)*$U8*'核心假设'!$B$32,0),0),IF(AND(AY$4&gt;EDATE('核心假设'!$B$5,9+$F8),AY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AY$4=EDATE(EDATE('核心假设'!$B$5,9+$F8),$D8),SUM('融资租赁与资金缺口'!$D$5:$D$16)*$V8*'核心假设'!$B$32,0),0),IF(AND(AY$4&gt;EDATE('核心假设'!$B$5,10+$F8),AY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AY$4=EDATE(EDATE('核心假设'!$B$5,10+$F8),$D8),SUM('融资租赁与资金缺口'!$D$5:$D$16)*$W8*'核心假设'!$B$32,0),0),IF(AND(AY$4&gt;EDATE('核心假设'!$B$5,11+$F8),AY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AY$4=EDATE(EDATE('核心假设'!$B$5,11+$F8),$D8),SUM('融资租赁与资金缺口'!$D$5:$D$16)*$X8*'核心假设'!$B$32,0),0),IF(AND(AY$4&gt;EDATE('核心假设'!$B$5,12+$F8),AY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AY$4=EDATE(EDATE('核心假设'!$B$5,12+$F8),$D8),SUM('融资租赁与资金缺口'!$D$5:$D$16)*$Y8*'核心假设'!$B$32,0),0),IF(AND(AY$4&gt;EDATE('核心假设'!$B$5,13+$F8),AY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AY$4=EDATE(EDATE('核心假设'!$B$5,13+$F8),$D8),SUM('融资租赁与资金缺口'!$D$5:$D$16)*$Z8*'核心假设'!$B$32,0),0),IF(AND(AY$4&gt;EDATE('核心假设'!$B$5,14+$F8),AY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AY$4=EDATE(EDATE('核心假设'!$B$5,14+$F8),$D8),SUM('融资租赁与资金缺口'!$D$5:$D$16)*$AA8*'核心假设'!$B$32,0),0),IF(AND(AY$4&gt;EDATE('核心假设'!$B$5,15+$F8),AY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AY$4=EDATE(EDATE('核心假设'!$B$5,15+$F8),$D8),SUM('融资租赁与资金缺口'!$D$5:$D$16)*$AB8*'核心假设'!$B$32,0),0),IF(AND(AY$4&gt;EDATE('核心假设'!$B$5,16+$F8),AY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AY$4=EDATE(EDATE('核心假设'!$B$5,16+$F8),$D8),SUM('融资租赁与资金缺口'!$D$5:$D$16)*$AC8*'核心假设'!$B$32,0),0),IF(AND(AY$4&gt;EDATE('核心假设'!$B$5,17+$F8),AY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AY$4=EDATE(EDATE('核心假设'!$B$5,17+$F8),$D8),SUM('融资租赁与资金缺口'!$D$5:$D$16)*$AD8*'核心假设'!$B$32,0),0))</x:f>
        <x:v>16891016.88164358</x:v>
      </x:c>
      <x:c r="AZ25" s="28" t="n">
        <x:f>SUM(IF(AND(AZ$4&gt;EDATE('核心假设'!$B$5,0+$F8),AZ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AZ$4=EDATE(EDATE('核心假设'!$B$5,0+$F8),$D8),SUM('融资租赁与资金缺口'!$D$5:$D$16)*$M8*'核心假设'!$B$32,0),0),IF(AND(AZ$4&gt;EDATE('核心假设'!$B$5,1+$F8),AZ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AZ$4=EDATE(EDATE('核心假设'!$B$5,1+$F8),$D8),SUM('融资租赁与资金缺口'!$D$5:$D$16)*$N8*'核心假设'!$B$32,0),0),IF(AND(AZ$4&gt;EDATE('核心假设'!$B$5,2+$F8),AZ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AZ$4=EDATE(EDATE('核心假设'!$B$5,2+$F8),$D8),SUM('融资租赁与资金缺口'!$D$5:$D$16)*$O8*'核心假设'!$B$32,0),0),IF(AND(AZ$4&gt;EDATE('核心假设'!$B$5,3+$F8),AZ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AZ$4=EDATE(EDATE('核心假设'!$B$5,3+$F8),$D8),SUM('融资租赁与资金缺口'!$D$5:$D$16)*$P8*'核心假设'!$B$32,0),0),IF(AND(AZ$4&gt;EDATE('核心假设'!$B$5,4+$F8),AZ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AZ$4=EDATE(EDATE('核心假设'!$B$5,4+$F8),$D8),SUM('融资租赁与资金缺口'!$D$5:$D$16)*$Q8*'核心假设'!$B$32,0),0),IF(AND(AZ$4&gt;EDATE('核心假设'!$B$5,5+$F8),AZ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AZ$4=EDATE(EDATE('核心假设'!$B$5,5+$F8),$D8),SUM('融资租赁与资金缺口'!$D$5:$D$16)*$R8*'核心假设'!$B$32,0),0),IF(AND(AZ$4&gt;EDATE('核心假设'!$B$5,6+$F8),AZ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AZ$4=EDATE(EDATE('核心假设'!$B$5,6+$F8),$D8),SUM('融资租赁与资金缺口'!$D$5:$D$16)*$S8*'核心假设'!$B$32,0),0),IF(AND(AZ$4&gt;EDATE('核心假设'!$B$5,7+$F8),AZ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AZ$4=EDATE(EDATE('核心假设'!$B$5,7+$F8),$D8),SUM('融资租赁与资金缺口'!$D$5:$D$16)*$T8*'核心假设'!$B$32,0),0),IF(AND(AZ$4&gt;EDATE('核心假设'!$B$5,8+$F8),AZ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AZ$4=EDATE(EDATE('核心假设'!$B$5,8+$F8),$D8),SUM('融资租赁与资金缺口'!$D$5:$D$16)*$U8*'核心假设'!$B$32,0),0),IF(AND(AZ$4&gt;EDATE('核心假设'!$B$5,9+$F8),AZ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AZ$4=EDATE(EDATE('核心假设'!$B$5,9+$F8),$D8),SUM('融资租赁与资金缺口'!$D$5:$D$16)*$V8*'核心假设'!$B$32,0),0),IF(AND(AZ$4&gt;EDATE('核心假设'!$B$5,10+$F8),AZ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AZ$4=EDATE(EDATE('核心假设'!$B$5,10+$F8),$D8),SUM('融资租赁与资金缺口'!$D$5:$D$16)*$W8*'核心假设'!$B$32,0),0),IF(AND(AZ$4&gt;EDATE('核心假设'!$B$5,11+$F8),AZ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AZ$4=EDATE(EDATE('核心假设'!$B$5,11+$F8),$D8),SUM('融资租赁与资金缺口'!$D$5:$D$16)*$X8*'核心假设'!$B$32,0),0),IF(AND(AZ$4&gt;EDATE('核心假设'!$B$5,12+$F8),AZ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AZ$4=EDATE(EDATE('核心假设'!$B$5,12+$F8),$D8),SUM('融资租赁与资金缺口'!$D$5:$D$16)*$Y8*'核心假设'!$B$32,0),0),IF(AND(AZ$4&gt;EDATE('核心假设'!$B$5,13+$F8),AZ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AZ$4=EDATE(EDATE('核心假设'!$B$5,13+$F8),$D8),SUM('融资租赁与资金缺口'!$D$5:$D$16)*$Z8*'核心假设'!$B$32,0),0),IF(AND(AZ$4&gt;EDATE('核心假设'!$B$5,14+$F8),AZ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AZ$4=EDATE(EDATE('核心假设'!$B$5,14+$F8),$D8),SUM('融资租赁与资金缺口'!$D$5:$D$16)*$AA8*'核心假设'!$B$32,0),0),IF(AND(AZ$4&gt;EDATE('核心假设'!$B$5,15+$F8),AZ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AZ$4=EDATE(EDATE('核心假设'!$B$5,15+$F8),$D8),SUM('融资租赁与资金缺口'!$D$5:$D$16)*$AB8*'核心假设'!$B$32,0),0),IF(AND(AZ$4&gt;EDATE('核心假设'!$B$5,16+$F8),AZ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AZ$4=EDATE(EDATE('核心假设'!$B$5,16+$F8),$D8),SUM('融资租赁与资金缺口'!$D$5:$D$16)*$AC8*'核心假设'!$B$32,0),0),IF(AND(AZ$4&gt;EDATE('核心假设'!$B$5,17+$F8),AZ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AZ$4=EDATE(EDATE('核心假设'!$B$5,17+$F8),$D8),SUM('融资租赁与资金缺口'!$D$5:$D$16)*$AD8*'核心假设'!$B$32,0),0))</x:f>
        <x:v>16891016.88164358</x:v>
      </x:c>
      <x:c r="BA25" s="28" t="n">
        <x:f>SUM(IF(AND(BA$4&gt;EDATE('核心假设'!$B$5,0+$F8),BA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A$4=EDATE(EDATE('核心假设'!$B$5,0+$F8),$D8),SUM('融资租赁与资金缺口'!$D$5:$D$16)*$M8*'核心假设'!$B$32,0),0),IF(AND(BA$4&gt;EDATE('核心假设'!$B$5,1+$F8),BA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A$4=EDATE(EDATE('核心假设'!$B$5,1+$F8),$D8),SUM('融资租赁与资金缺口'!$D$5:$D$16)*$N8*'核心假设'!$B$32,0),0),IF(AND(BA$4&gt;EDATE('核心假设'!$B$5,2+$F8),BA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A$4=EDATE(EDATE('核心假设'!$B$5,2+$F8),$D8),SUM('融资租赁与资金缺口'!$D$5:$D$16)*$O8*'核心假设'!$B$32,0),0),IF(AND(BA$4&gt;EDATE('核心假设'!$B$5,3+$F8),BA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A$4=EDATE(EDATE('核心假设'!$B$5,3+$F8),$D8),SUM('融资租赁与资金缺口'!$D$5:$D$16)*$P8*'核心假设'!$B$32,0),0),IF(AND(BA$4&gt;EDATE('核心假设'!$B$5,4+$F8),BA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A$4=EDATE(EDATE('核心假设'!$B$5,4+$F8),$D8),SUM('融资租赁与资金缺口'!$D$5:$D$16)*$Q8*'核心假设'!$B$32,0),0),IF(AND(BA$4&gt;EDATE('核心假设'!$B$5,5+$F8),BA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A$4=EDATE(EDATE('核心假设'!$B$5,5+$F8),$D8),SUM('融资租赁与资金缺口'!$D$5:$D$16)*$R8*'核心假设'!$B$32,0),0),IF(AND(BA$4&gt;EDATE('核心假设'!$B$5,6+$F8),BA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A$4=EDATE(EDATE('核心假设'!$B$5,6+$F8),$D8),SUM('融资租赁与资金缺口'!$D$5:$D$16)*$S8*'核心假设'!$B$32,0),0),IF(AND(BA$4&gt;EDATE('核心假设'!$B$5,7+$F8),BA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A$4=EDATE(EDATE('核心假设'!$B$5,7+$F8),$D8),SUM('融资租赁与资金缺口'!$D$5:$D$16)*$T8*'核心假设'!$B$32,0),0),IF(AND(BA$4&gt;EDATE('核心假设'!$B$5,8+$F8),BA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A$4=EDATE(EDATE('核心假设'!$B$5,8+$F8),$D8),SUM('融资租赁与资金缺口'!$D$5:$D$16)*$U8*'核心假设'!$B$32,0),0),IF(AND(BA$4&gt;EDATE('核心假设'!$B$5,9+$F8),BA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A$4=EDATE(EDATE('核心假设'!$B$5,9+$F8),$D8),SUM('融资租赁与资金缺口'!$D$5:$D$16)*$V8*'核心假设'!$B$32,0),0),IF(AND(BA$4&gt;EDATE('核心假设'!$B$5,10+$F8),BA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A$4=EDATE(EDATE('核心假设'!$B$5,10+$F8),$D8),SUM('融资租赁与资金缺口'!$D$5:$D$16)*$W8*'核心假设'!$B$32,0),0),IF(AND(BA$4&gt;EDATE('核心假设'!$B$5,11+$F8),BA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A$4=EDATE(EDATE('核心假设'!$B$5,11+$F8),$D8),SUM('融资租赁与资金缺口'!$D$5:$D$16)*$X8*'核心假设'!$B$32,0),0),IF(AND(BA$4&gt;EDATE('核心假设'!$B$5,12+$F8),BA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A$4=EDATE(EDATE('核心假设'!$B$5,12+$F8),$D8),SUM('融资租赁与资金缺口'!$D$5:$D$16)*$Y8*'核心假设'!$B$32,0),0),IF(AND(BA$4&gt;EDATE('核心假设'!$B$5,13+$F8),BA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A$4=EDATE(EDATE('核心假设'!$B$5,13+$F8),$D8),SUM('融资租赁与资金缺口'!$D$5:$D$16)*$Z8*'核心假设'!$B$32,0),0),IF(AND(BA$4&gt;EDATE('核心假设'!$B$5,14+$F8),BA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A$4=EDATE(EDATE('核心假设'!$B$5,14+$F8),$D8),SUM('融资租赁与资金缺口'!$D$5:$D$16)*$AA8*'核心假设'!$B$32,0),0),IF(AND(BA$4&gt;EDATE('核心假设'!$B$5,15+$F8),BA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A$4=EDATE(EDATE('核心假设'!$B$5,15+$F8),$D8),SUM('融资租赁与资金缺口'!$D$5:$D$16)*$AB8*'核心假设'!$B$32,0),0),IF(AND(BA$4&gt;EDATE('核心假设'!$B$5,16+$F8),BA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A$4=EDATE(EDATE('核心假设'!$B$5,16+$F8),$D8),SUM('融资租赁与资金缺口'!$D$5:$D$16)*$AC8*'核心假设'!$B$32,0),0),IF(AND(BA$4&gt;EDATE('核心假设'!$B$5,17+$F8),BA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A$4=EDATE(EDATE('核心假设'!$B$5,17+$F8),$D8),SUM('融资租赁与资金缺口'!$D$5:$D$16)*$AD8*'核心假设'!$B$32,0),0))</x:f>
        <x:v>16891016.88164358</x:v>
      </x:c>
      <x:c r="BB25" s="28" t="n">
        <x:f>SUM(IF(AND(BB$4&gt;EDATE('核心假设'!$B$5,0+$F8),BB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B$4=EDATE(EDATE('核心假设'!$B$5,0+$F8),$D8),SUM('融资租赁与资金缺口'!$D$5:$D$16)*$M8*'核心假设'!$B$32,0),0),IF(AND(BB$4&gt;EDATE('核心假设'!$B$5,1+$F8),BB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B$4=EDATE(EDATE('核心假设'!$B$5,1+$F8),$D8),SUM('融资租赁与资金缺口'!$D$5:$D$16)*$N8*'核心假设'!$B$32,0),0),IF(AND(BB$4&gt;EDATE('核心假设'!$B$5,2+$F8),BB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B$4=EDATE(EDATE('核心假设'!$B$5,2+$F8),$D8),SUM('融资租赁与资金缺口'!$D$5:$D$16)*$O8*'核心假设'!$B$32,0),0),IF(AND(BB$4&gt;EDATE('核心假设'!$B$5,3+$F8),BB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B$4=EDATE(EDATE('核心假设'!$B$5,3+$F8),$D8),SUM('融资租赁与资金缺口'!$D$5:$D$16)*$P8*'核心假设'!$B$32,0),0),IF(AND(BB$4&gt;EDATE('核心假设'!$B$5,4+$F8),BB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B$4=EDATE(EDATE('核心假设'!$B$5,4+$F8),$D8),SUM('融资租赁与资金缺口'!$D$5:$D$16)*$Q8*'核心假设'!$B$32,0),0),IF(AND(BB$4&gt;EDATE('核心假设'!$B$5,5+$F8),BB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B$4=EDATE(EDATE('核心假设'!$B$5,5+$F8),$D8),SUM('融资租赁与资金缺口'!$D$5:$D$16)*$R8*'核心假设'!$B$32,0),0),IF(AND(BB$4&gt;EDATE('核心假设'!$B$5,6+$F8),BB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B$4=EDATE(EDATE('核心假设'!$B$5,6+$F8),$D8),SUM('融资租赁与资金缺口'!$D$5:$D$16)*$S8*'核心假设'!$B$32,0),0),IF(AND(BB$4&gt;EDATE('核心假设'!$B$5,7+$F8),BB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B$4=EDATE(EDATE('核心假设'!$B$5,7+$F8),$D8),SUM('融资租赁与资金缺口'!$D$5:$D$16)*$T8*'核心假设'!$B$32,0),0),IF(AND(BB$4&gt;EDATE('核心假设'!$B$5,8+$F8),BB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B$4=EDATE(EDATE('核心假设'!$B$5,8+$F8),$D8),SUM('融资租赁与资金缺口'!$D$5:$D$16)*$U8*'核心假设'!$B$32,0),0),IF(AND(BB$4&gt;EDATE('核心假设'!$B$5,9+$F8),BB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B$4=EDATE(EDATE('核心假设'!$B$5,9+$F8),$D8),SUM('融资租赁与资金缺口'!$D$5:$D$16)*$V8*'核心假设'!$B$32,0),0),IF(AND(BB$4&gt;EDATE('核心假设'!$B$5,10+$F8),BB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B$4=EDATE(EDATE('核心假设'!$B$5,10+$F8),$D8),SUM('融资租赁与资金缺口'!$D$5:$D$16)*$W8*'核心假设'!$B$32,0),0),IF(AND(BB$4&gt;EDATE('核心假设'!$B$5,11+$F8),BB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B$4=EDATE(EDATE('核心假设'!$B$5,11+$F8),$D8),SUM('融资租赁与资金缺口'!$D$5:$D$16)*$X8*'核心假设'!$B$32,0),0),IF(AND(BB$4&gt;EDATE('核心假设'!$B$5,12+$F8),BB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B$4=EDATE(EDATE('核心假设'!$B$5,12+$F8),$D8),SUM('融资租赁与资金缺口'!$D$5:$D$16)*$Y8*'核心假设'!$B$32,0),0),IF(AND(BB$4&gt;EDATE('核心假设'!$B$5,13+$F8),BB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B$4=EDATE(EDATE('核心假设'!$B$5,13+$F8),$D8),SUM('融资租赁与资金缺口'!$D$5:$D$16)*$Z8*'核心假设'!$B$32,0),0),IF(AND(BB$4&gt;EDATE('核心假设'!$B$5,14+$F8),BB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B$4=EDATE(EDATE('核心假设'!$B$5,14+$F8),$D8),SUM('融资租赁与资金缺口'!$D$5:$D$16)*$AA8*'核心假设'!$B$32,0),0),IF(AND(BB$4&gt;EDATE('核心假设'!$B$5,15+$F8),BB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B$4=EDATE(EDATE('核心假设'!$B$5,15+$F8),$D8),SUM('融资租赁与资金缺口'!$D$5:$D$16)*$AB8*'核心假设'!$B$32,0),0),IF(AND(BB$4&gt;EDATE('核心假设'!$B$5,16+$F8),BB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B$4=EDATE(EDATE('核心假设'!$B$5,16+$F8),$D8),SUM('融资租赁与资金缺口'!$D$5:$D$16)*$AC8*'核心假设'!$B$32,0),0),IF(AND(BB$4&gt;EDATE('核心假设'!$B$5,17+$F8),BB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B$4=EDATE(EDATE('核心假设'!$B$5,17+$F8),$D8),SUM('融资租赁与资金缺口'!$D$5:$D$16)*$AD8*'核心假设'!$B$32,0),0))</x:f>
        <x:v>16891016.88164358</x:v>
      </x:c>
      <x:c r="BC25" s="28" t="n">
        <x:f>SUM(IF(AND(BC$4&gt;EDATE('核心假设'!$B$5,0+$F8),BC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C$4=EDATE(EDATE('核心假设'!$B$5,0+$F8),$D8),SUM('融资租赁与资金缺口'!$D$5:$D$16)*$M8*'核心假设'!$B$32,0),0),IF(AND(BC$4&gt;EDATE('核心假设'!$B$5,1+$F8),BC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C$4=EDATE(EDATE('核心假设'!$B$5,1+$F8),$D8),SUM('融资租赁与资金缺口'!$D$5:$D$16)*$N8*'核心假设'!$B$32,0),0),IF(AND(BC$4&gt;EDATE('核心假设'!$B$5,2+$F8),BC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C$4=EDATE(EDATE('核心假设'!$B$5,2+$F8),$D8),SUM('融资租赁与资金缺口'!$D$5:$D$16)*$O8*'核心假设'!$B$32,0),0),IF(AND(BC$4&gt;EDATE('核心假设'!$B$5,3+$F8),BC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C$4=EDATE(EDATE('核心假设'!$B$5,3+$F8),$D8),SUM('融资租赁与资金缺口'!$D$5:$D$16)*$P8*'核心假设'!$B$32,0),0),IF(AND(BC$4&gt;EDATE('核心假设'!$B$5,4+$F8),BC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C$4=EDATE(EDATE('核心假设'!$B$5,4+$F8),$D8),SUM('融资租赁与资金缺口'!$D$5:$D$16)*$Q8*'核心假设'!$B$32,0),0),IF(AND(BC$4&gt;EDATE('核心假设'!$B$5,5+$F8),BC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C$4=EDATE(EDATE('核心假设'!$B$5,5+$F8),$D8),SUM('融资租赁与资金缺口'!$D$5:$D$16)*$R8*'核心假设'!$B$32,0),0),IF(AND(BC$4&gt;EDATE('核心假设'!$B$5,6+$F8),BC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C$4=EDATE(EDATE('核心假设'!$B$5,6+$F8),$D8),SUM('融资租赁与资金缺口'!$D$5:$D$16)*$S8*'核心假设'!$B$32,0),0),IF(AND(BC$4&gt;EDATE('核心假设'!$B$5,7+$F8),BC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C$4=EDATE(EDATE('核心假设'!$B$5,7+$F8),$D8),SUM('融资租赁与资金缺口'!$D$5:$D$16)*$T8*'核心假设'!$B$32,0),0),IF(AND(BC$4&gt;EDATE('核心假设'!$B$5,8+$F8),BC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C$4=EDATE(EDATE('核心假设'!$B$5,8+$F8),$D8),SUM('融资租赁与资金缺口'!$D$5:$D$16)*$U8*'核心假设'!$B$32,0),0),IF(AND(BC$4&gt;EDATE('核心假设'!$B$5,9+$F8),BC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C$4=EDATE(EDATE('核心假设'!$B$5,9+$F8),$D8),SUM('融资租赁与资金缺口'!$D$5:$D$16)*$V8*'核心假设'!$B$32,0),0),IF(AND(BC$4&gt;EDATE('核心假设'!$B$5,10+$F8),BC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C$4=EDATE(EDATE('核心假设'!$B$5,10+$F8),$D8),SUM('融资租赁与资金缺口'!$D$5:$D$16)*$W8*'核心假设'!$B$32,0),0),IF(AND(BC$4&gt;EDATE('核心假设'!$B$5,11+$F8),BC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C$4=EDATE(EDATE('核心假设'!$B$5,11+$F8),$D8),SUM('融资租赁与资金缺口'!$D$5:$D$16)*$X8*'核心假设'!$B$32,0),0),IF(AND(BC$4&gt;EDATE('核心假设'!$B$5,12+$F8),BC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C$4=EDATE(EDATE('核心假设'!$B$5,12+$F8),$D8),SUM('融资租赁与资金缺口'!$D$5:$D$16)*$Y8*'核心假设'!$B$32,0),0),IF(AND(BC$4&gt;EDATE('核心假设'!$B$5,13+$F8),BC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C$4=EDATE(EDATE('核心假设'!$B$5,13+$F8),$D8),SUM('融资租赁与资金缺口'!$D$5:$D$16)*$Z8*'核心假设'!$B$32,0),0),IF(AND(BC$4&gt;EDATE('核心假设'!$B$5,14+$F8),BC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C$4=EDATE(EDATE('核心假设'!$B$5,14+$F8),$D8),SUM('融资租赁与资金缺口'!$D$5:$D$16)*$AA8*'核心假设'!$B$32,0),0),IF(AND(BC$4&gt;EDATE('核心假设'!$B$5,15+$F8),BC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C$4=EDATE(EDATE('核心假设'!$B$5,15+$F8),$D8),SUM('融资租赁与资金缺口'!$D$5:$D$16)*$AB8*'核心假设'!$B$32,0),0),IF(AND(BC$4&gt;EDATE('核心假设'!$B$5,16+$F8),BC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C$4=EDATE(EDATE('核心假设'!$B$5,16+$F8),$D8),SUM('融资租赁与资金缺口'!$D$5:$D$16)*$AC8*'核心假设'!$B$32,0),0),IF(AND(BC$4&gt;EDATE('核心假设'!$B$5,17+$F8),BC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C$4=EDATE(EDATE('核心假设'!$B$5,17+$F8),$D8),SUM('融资租赁与资金缺口'!$D$5:$D$16)*$AD8*'核心假设'!$B$32,0),0))</x:f>
        <x:v>16891016.88164358</x:v>
      </x:c>
      <x:c r="BD25" s="28" t="n">
        <x:f>SUM(IF(AND(BD$4&gt;EDATE('核心假设'!$B$5,0+$F8),BD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D$4=EDATE(EDATE('核心假设'!$B$5,0+$F8),$D8),SUM('融资租赁与资金缺口'!$D$5:$D$16)*$M8*'核心假设'!$B$32,0),0),IF(AND(BD$4&gt;EDATE('核心假设'!$B$5,1+$F8),BD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D$4=EDATE(EDATE('核心假设'!$B$5,1+$F8),$D8),SUM('融资租赁与资金缺口'!$D$5:$D$16)*$N8*'核心假设'!$B$32,0),0),IF(AND(BD$4&gt;EDATE('核心假设'!$B$5,2+$F8),BD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D$4=EDATE(EDATE('核心假设'!$B$5,2+$F8),$D8),SUM('融资租赁与资金缺口'!$D$5:$D$16)*$O8*'核心假设'!$B$32,0),0),IF(AND(BD$4&gt;EDATE('核心假设'!$B$5,3+$F8),BD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D$4=EDATE(EDATE('核心假设'!$B$5,3+$F8),$D8),SUM('融资租赁与资金缺口'!$D$5:$D$16)*$P8*'核心假设'!$B$32,0),0),IF(AND(BD$4&gt;EDATE('核心假设'!$B$5,4+$F8),BD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D$4=EDATE(EDATE('核心假设'!$B$5,4+$F8),$D8),SUM('融资租赁与资金缺口'!$D$5:$D$16)*$Q8*'核心假设'!$B$32,0),0),IF(AND(BD$4&gt;EDATE('核心假设'!$B$5,5+$F8),BD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D$4=EDATE(EDATE('核心假设'!$B$5,5+$F8),$D8),SUM('融资租赁与资金缺口'!$D$5:$D$16)*$R8*'核心假设'!$B$32,0),0),IF(AND(BD$4&gt;EDATE('核心假设'!$B$5,6+$F8),BD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D$4=EDATE(EDATE('核心假设'!$B$5,6+$F8),$D8),SUM('融资租赁与资金缺口'!$D$5:$D$16)*$S8*'核心假设'!$B$32,0),0),IF(AND(BD$4&gt;EDATE('核心假设'!$B$5,7+$F8),BD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D$4=EDATE(EDATE('核心假设'!$B$5,7+$F8),$D8),SUM('融资租赁与资金缺口'!$D$5:$D$16)*$T8*'核心假设'!$B$32,0),0),IF(AND(BD$4&gt;EDATE('核心假设'!$B$5,8+$F8),BD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D$4=EDATE(EDATE('核心假设'!$B$5,8+$F8),$D8),SUM('融资租赁与资金缺口'!$D$5:$D$16)*$U8*'核心假设'!$B$32,0),0),IF(AND(BD$4&gt;EDATE('核心假设'!$B$5,9+$F8),BD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D$4=EDATE(EDATE('核心假设'!$B$5,9+$F8),$D8),SUM('融资租赁与资金缺口'!$D$5:$D$16)*$V8*'核心假设'!$B$32,0),0),IF(AND(BD$4&gt;EDATE('核心假设'!$B$5,10+$F8),BD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D$4=EDATE(EDATE('核心假设'!$B$5,10+$F8),$D8),SUM('融资租赁与资金缺口'!$D$5:$D$16)*$W8*'核心假设'!$B$32,0),0),IF(AND(BD$4&gt;EDATE('核心假设'!$B$5,11+$F8),BD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D$4=EDATE(EDATE('核心假设'!$B$5,11+$F8),$D8),SUM('融资租赁与资金缺口'!$D$5:$D$16)*$X8*'核心假设'!$B$32,0),0),IF(AND(BD$4&gt;EDATE('核心假设'!$B$5,12+$F8),BD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D$4=EDATE(EDATE('核心假设'!$B$5,12+$F8),$D8),SUM('融资租赁与资金缺口'!$D$5:$D$16)*$Y8*'核心假设'!$B$32,0),0),IF(AND(BD$4&gt;EDATE('核心假设'!$B$5,13+$F8),BD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D$4=EDATE(EDATE('核心假设'!$B$5,13+$F8),$D8),SUM('融资租赁与资金缺口'!$D$5:$D$16)*$Z8*'核心假设'!$B$32,0),0),IF(AND(BD$4&gt;EDATE('核心假设'!$B$5,14+$F8),BD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D$4=EDATE(EDATE('核心假设'!$B$5,14+$F8),$D8),SUM('融资租赁与资金缺口'!$D$5:$D$16)*$AA8*'核心假设'!$B$32,0),0),IF(AND(BD$4&gt;EDATE('核心假设'!$B$5,15+$F8),BD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D$4=EDATE(EDATE('核心假设'!$B$5,15+$F8),$D8),SUM('融资租赁与资金缺口'!$D$5:$D$16)*$AB8*'核心假设'!$B$32,0),0),IF(AND(BD$4&gt;EDATE('核心假设'!$B$5,16+$F8),BD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D$4=EDATE(EDATE('核心假设'!$B$5,16+$F8),$D8),SUM('融资租赁与资金缺口'!$D$5:$D$16)*$AC8*'核心假设'!$B$32,0),0),IF(AND(BD$4&gt;EDATE('核心假设'!$B$5,17+$F8),BD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D$4=EDATE(EDATE('核心假设'!$B$5,17+$F8),$D8),SUM('融资租赁与资金缺口'!$D$5:$D$16)*$AD8*'核心假设'!$B$32,0),0))</x:f>
        <x:v>16891016.88164358</x:v>
      </x:c>
      <x:c r="BE25" s="28" t="n">
        <x:f>SUM(IF(AND(BE$4&gt;EDATE('核心假设'!$B$5,0+$F8),BE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E$4=EDATE(EDATE('核心假设'!$B$5,0+$F8),$D8),SUM('融资租赁与资金缺口'!$D$5:$D$16)*$M8*'核心假设'!$B$32,0),0),IF(AND(BE$4&gt;EDATE('核心假设'!$B$5,1+$F8),BE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E$4=EDATE(EDATE('核心假设'!$B$5,1+$F8),$D8),SUM('融资租赁与资金缺口'!$D$5:$D$16)*$N8*'核心假设'!$B$32,0),0),IF(AND(BE$4&gt;EDATE('核心假设'!$B$5,2+$F8),BE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E$4=EDATE(EDATE('核心假设'!$B$5,2+$F8),$D8),SUM('融资租赁与资金缺口'!$D$5:$D$16)*$O8*'核心假设'!$B$32,0),0),IF(AND(BE$4&gt;EDATE('核心假设'!$B$5,3+$F8),BE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E$4=EDATE(EDATE('核心假设'!$B$5,3+$F8),$D8),SUM('融资租赁与资金缺口'!$D$5:$D$16)*$P8*'核心假设'!$B$32,0),0),IF(AND(BE$4&gt;EDATE('核心假设'!$B$5,4+$F8),BE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E$4=EDATE(EDATE('核心假设'!$B$5,4+$F8),$D8),SUM('融资租赁与资金缺口'!$D$5:$D$16)*$Q8*'核心假设'!$B$32,0),0),IF(AND(BE$4&gt;EDATE('核心假设'!$B$5,5+$F8),BE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E$4=EDATE(EDATE('核心假设'!$B$5,5+$F8),$D8),SUM('融资租赁与资金缺口'!$D$5:$D$16)*$R8*'核心假设'!$B$32,0),0),IF(AND(BE$4&gt;EDATE('核心假设'!$B$5,6+$F8),BE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E$4=EDATE(EDATE('核心假设'!$B$5,6+$F8),$D8),SUM('融资租赁与资金缺口'!$D$5:$D$16)*$S8*'核心假设'!$B$32,0),0),IF(AND(BE$4&gt;EDATE('核心假设'!$B$5,7+$F8),BE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E$4=EDATE(EDATE('核心假设'!$B$5,7+$F8),$D8),SUM('融资租赁与资金缺口'!$D$5:$D$16)*$T8*'核心假设'!$B$32,0),0),IF(AND(BE$4&gt;EDATE('核心假设'!$B$5,8+$F8),BE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E$4=EDATE(EDATE('核心假设'!$B$5,8+$F8),$D8),SUM('融资租赁与资金缺口'!$D$5:$D$16)*$U8*'核心假设'!$B$32,0),0),IF(AND(BE$4&gt;EDATE('核心假设'!$B$5,9+$F8),BE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E$4=EDATE(EDATE('核心假设'!$B$5,9+$F8),$D8),SUM('融资租赁与资金缺口'!$D$5:$D$16)*$V8*'核心假设'!$B$32,0),0),IF(AND(BE$4&gt;EDATE('核心假设'!$B$5,10+$F8),BE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E$4=EDATE(EDATE('核心假设'!$B$5,10+$F8),$D8),SUM('融资租赁与资金缺口'!$D$5:$D$16)*$W8*'核心假设'!$B$32,0),0),IF(AND(BE$4&gt;EDATE('核心假设'!$B$5,11+$F8),BE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E$4=EDATE(EDATE('核心假设'!$B$5,11+$F8),$D8),SUM('融资租赁与资金缺口'!$D$5:$D$16)*$X8*'核心假设'!$B$32,0),0),IF(AND(BE$4&gt;EDATE('核心假设'!$B$5,12+$F8),BE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E$4=EDATE(EDATE('核心假设'!$B$5,12+$F8),$D8),SUM('融资租赁与资金缺口'!$D$5:$D$16)*$Y8*'核心假设'!$B$32,0),0),IF(AND(BE$4&gt;EDATE('核心假设'!$B$5,13+$F8),BE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E$4=EDATE(EDATE('核心假设'!$B$5,13+$F8),$D8),SUM('融资租赁与资金缺口'!$D$5:$D$16)*$Z8*'核心假设'!$B$32,0),0),IF(AND(BE$4&gt;EDATE('核心假设'!$B$5,14+$F8),BE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E$4=EDATE(EDATE('核心假设'!$B$5,14+$F8),$D8),SUM('融资租赁与资金缺口'!$D$5:$D$16)*$AA8*'核心假设'!$B$32,0),0),IF(AND(BE$4&gt;EDATE('核心假设'!$B$5,15+$F8),BE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E$4=EDATE(EDATE('核心假设'!$B$5,15+$F8),$D8),SUM('融资租赁与资金缺口'!$D$5:$D$16)*$AB8*'核心假设'!$B$32,0),0),IF(AND(BE$4&gt;EDATE('核心假设'!$B$5,16+$F8),BE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E$4=EDATE(EDATE('核心假设'!$B$5,16+$F8),$D8),SUM('融资租赁与资金缺口'!$D$5:$D$16)*$AC8*'核心假设'!$B$32,0),0),IF(AND(BE$4&gt;EDATE('核心假设'!$B$5,17+$F8),BE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E$4=EDATE(EDATE('核心假设'!$B$5,17+$F8),$D8),SUM('融资租赁与资金缺口'!$D$5:$D$16)*$AD8*'核心假设'!$B$32,0),0))</x:f>
        <x:v>16891016.88164358</x:v>
      </x:c>
      <x:c r="BF25" s="28" t="n">
        <x:f>SUM(IF(AND(BF$4&gt;EDATE('核心假设'!$B$5,0+$F8),BF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F$4=EDATE(EDATE('核心假设'!$B$5,0+$F8),$D8),SUM('融资租赁与资金缺口'!$D$5:$D$16)*$M8*'核心假设'!$B$32,0),0),IF(AND(BF$4&gt;EDATE('核心假设'!$B$5,1+$F8),BF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F$4=EDATE(EDATE('核心假设'!$B$5,1+$F8),$D8),SUM('融资租赁与资金缺口'!$D$5:$D$16)*$N8*'核心假设'!$B$32,0),0),IF(AND(BF$4&gt;EDATE('核心假设'!$B$5,2+$F8),BF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F$4=EDATE(EDATE('核心假设'!$B$5,2+$F8),$D8),SUM('融资租赁与资金缺口'!$D$5:$D$16)*$O8*'核心假设'!$B$32,0),0),IF(AND(BF$4&gt;EDATE('核心假设'!$B$5,3+$F8),BF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F$4=EDATE(EDATE('核心假设'!$B$5,3+$F8),$D8),SUM('融资租赁与资金缺口'!$D$5:$D$16)*$P8*'核心假设'!$B$32,0),0),IF(AND(BF$4&gt;EDATE('核心假设'!$B$5,4+$F8),BF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F$4=EDATE(EDATE('核心假设'!$B$5,4+$F8),$D8),SUM('融资租赁与资金缺口'!$D$5:$D$16)*$Q8*'核心假设'!$B$32,0),0),IF(AND(BF$4&gt;EDATE('核心假设'!$B$5,5+$F8),BF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F$4=EDATE(EDATE('核心假设'!$B$5,5+$F8),$D8),SUM('融资租赁与资金缺口'!$D$5:$D$16)*$R8*'核心假设'!$B$32,0),0),IF(AND(BF$4&gt;EDATE('核心假设'!$B$5,6+$F8),BF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F$4=EDATE(EDATE('核心假设'!$B$5,6+$F8),$D8),SUM('融资租赁与资金缺口'!$D$5:$D$16)*$S8*'核心假设'!$B$32,0),0),IF(AND(BF$4&gt;EDATE('核心假设'!$B$5,7+$F8),BF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F$4=EDATE(EDATE('核心假设'!$B$5,7+$F8),$D8),SUM('融资租赁与资金缺口'!$D$5:$D$16)*$T8*'核心假设'!$B$32,0),0),IF(AND(BF$4&gt;EDATE('核心假设'!$B$5,8+$F8),BF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F$4=EDATE(EDATE('核心假设'!$B$5,8+$F8),$D8),SUM('融资租赁与资金缺口'!$D$5:$D$16)*$U8*'核心假设'!$B$32,0),0),IF(AND(BF$4&gt;EDATE('核心假设'!$B$5,9+$F8),BF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F$4=EDATE(EDATE('核心假设'!$B$5,9+$F8),$D8),SUM('融资租赁与资金缺口'!$D$5:$D$16)*$V8*'核心假设'!$B$32,0),0),IF(AND(BF$4&gt;EDATE('核心假设'!$B$5,10+$F8),BF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F$4=EDATE(EDATE('核心假设'!$B$5,10+$F8),$D8),SUM('融资租赁与资金缺口'!$D$5:$D$16)*$W8*'核心假设'!$B$32,0),0),IF(AND(BF$4&gt;EDATE('核心假设'!$B$5,11+$F8),BF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F$4=EDATE(EDATE('核心假设'!$B$5,11+$F8),$D8),SUM('融资租赁与资金缺口'!$D$5:$D$16)*$X8*'核心假设'!$B$32,0),0),IF(AND(BF$4&gt;EDATE('核心假设'!$B$5,12+$F8),BF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F$4=EDATE(EDATE('核心假设'!$B$5,12+$F8),$D8),SUM('融资租赁与资金缺口'!$D$5:$D$16)*$Y8*'核心假设'!$B$32,0),0),IF(AND(BF$4&gt;EDATE('核心假设'!$B$5,13+$F8),BF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F$4=EDATE(EDATE('核心假设'!$B$5,13+$F8),$D8),SUM('融资租赁与资金缺口'!$D$5:$D$16)*$Z8*'核心假设'!$B$32,0),0),IF(AND(BF$4&gt;EDATE('核心假设'!$B$5,14+$F8),BF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F$4=EDATE(EDATE('核心假设'!$B$5,14+$F8),$D8),SUM('融资租赁与资金缺口'!$D$5:$D$16)*$AA8*'核心假设'!$B$32,0),0),IF(AND(BF$4&gt;EDATE('核心假设'!$B$5,15+$F8),BF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F$4=EDATE(EDATE('核心假设'!$B$5,15+$F8),$D8),SUM('融资租赁与资金缺口'!$D$5:$D$16)*$AB8*'核心假设'!$B$32,0),0),IF(AND(BF$4&gt;EDATE('核心假设'!$B$5,16+$F8),BF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F$4=EDATE(EDATE('核心假设'!$B$5,16+$F8),$D8),SUM('融资租赁与资金缺口'!$D$5:$D$16)*$AC8*'核心假设'!$B$32,0),0),IF(AND(BF$4&gt;EDATE('核心假设'!$B$5,17+$F8),BF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F$4=EDATE(EDATE('核心假设'!$B$5,17+$F8),$D8),SUM('融资租赁与资金缺口'!$D$5:$D$16)*$AD8*'核心假设'!$B$32,0),0))</x:f>
        <x:v>16891016.88164358</x:v>
      </x:c>
      <x:c r="BG25" s="28" t="n">
        <x:f>SUM(IF(AND(BG$4&gt;EDATE('核心假设'!$B$5,0+$F8),BG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G$4=EDATE(EDATE('核心假设'!$B$5,0+$F8),$D8),SUM('融资租赁与资金缺口'!$D$5:$D$16)*$M8*'核心假设'!$B$32,0),0),IF(AND(BG$4&gt;EDATE('核心假设'!$B$5,1+$F8),BG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G$4=EDATE(EDATE('核心假设'!$B$5,1+$F8),$D8),SUM('融资租赁与资金缺口'!$D$5:$D$16)*$N8*'核心假设'!$B$32,0),0),IF(AND(BG$4&gt;EDATE('核心假设'!$B$5,2+$F8),BG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G$4=EDATE(EDATE('核心假设'!$B$5,2+$F8),$D8),SUM('融资租赁与资金缺口'!$D$5:$D$16)*$O8*'核心假设'!$B$32,0),0),IF(AND(BG$4&gt;EDATE('核心假设'!$B$5,3+$F8),BG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G$4=EDATE(EDATE('核心假设'!$B$5,3+$F8),$D8),SUM('融资租赁与资金缺口'!$D$5:$D$16)*$P8*'核心假设'!$B$32,0),0),IF(AND(BG$4&gt;EDATE('核心假设'!$B$5,4+$F8),BG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G$4=EDATE(EDATE('核心假设'!$B$5,4+$F8),$D8),SUM('融资租赁与资金缺口'!$D$5:$D$16)*$Q8*'核心假设'!$B$32,0),0),IF(AND(BG$4&gt;EDATE('核心假设'!$B$5,5+$F8),BG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G$4=EDATE(EDATE('核心假设'!$B$5,5+$F8),$D8),SUM('融资租赁与资金缺口'!$D$5:$D$16)*$R8*'核心假设'!$B$32,0),0),IF(AND(BG$4&gt;EDATE('核心假设'!$B$5,6+$F8),BG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G$4=EDATE(EDATE('核心假设'!$B$5,6+$F8),$D8),SUM('融资租赁与资金缺口'!$D$5:$D$16)*$S8*'核心假设'!$B$32,0),0),IF(AND(BG$4&gt;EDATE('核心假设'!$B$5,7+$F8),BG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G$4=EDATE(EDATE('核心假设'!$B$5,7+$F8),$D8),SUM('融资租赁与资金缺口'!$D$5:$D$16)*$T8*'核心假设'!$B$32,0),0),IF(AND(BG$4&gt;EDATE('核心假设'!$B$5,8+$F8),BG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G$4=EDATE(EDATE('核心假设'!$B$5,8+$F8),$D8),SUM('融资租赁与资金缺口'!$D$5:$D$16)*$U8*'核心假设'!$B$32,0),0),IF(AND(BG$4&gt;EDATE('核心假设'!$B$5,9+$F8),BG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G$4=EDATE(EDATE('核心假设'!$B$5,9+$F8),$D8),SUM('融资租赁与资金缺口'!$D$5:$D$16)*$V8*'核心假设'!$B$32,0),0),IF(AND(BG$4&gt;EDATE('核心假设'!$B$5,10+$F8),BG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G$4=EDATE(EDATE('核心假设'!$B$5,10+$F8),$D8),SUM('融资租赁与资金缺口'!$D$5:$D$16)*$W8*'核心假设'!$B$32,0),0),IF(AND(BG$4&gt;EDATE('核心假设'!$B$5,11+$F8),BG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G$4=EDATE(EDATE('核心假设'!$B$5,11+$F8),$D8),SUM('融资租赁与资金缺口'!$D$5:$D$16)*$X8*'核心假设'!$B$32,0),0),IF(AND(BG$4&gt;EDATE('核心假设'!$B$5,12+$F8),BG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G$4=EDATE(EDATE('核心假设'!$B$5,12+$F8),$D8),SUM('融资租赁与资金缺口'!$D$5:$D$16)*$Y8*'核心假设'!$B$32,0),0),IF(AND(BG$4&gt;EDATE('核心假设'!$B$5,13+$F8),BG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G$4=EDATE(EDATE('核心假设'!$B$5,13+$F8),$D8),SUM('融资租赁与资金缺口'!$D$5:$D$16)*$Z8*'核心假设'!$B$32,0),0),IF(AND(BG$4&gt;EDATE('核心假设'!$B$5,14+$F8),BG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G$4=EDATE(EDATE('核心假设'!$B$5,14+$F8),$D8),SUM('融资租赁与资金缺口'!$D$5:$D$16)*$AA8*'核心假设'!$B$32,0),0),IF(AND(BG$4&gt;EDATE('核心假设'!$B$5,15+$F8),BG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G$4=EDATE(EDATE('核心假设'!$B$5,15+$F8),$D8),SUM('融资租赁与资金缺口'!$D$5:$D$16)*$AB8*'核心假设'!$B$32,0),0),IF(AND(BG$4&gt;EDATE('核心假设'!$B$5,16+$F8),BG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G$4=EDATE(EDATE('核心假设'!$B$5,16+$F8),$D8),SUM('融资租赁与资金缺口'!$D$5:$D$16)*$AC8*'核心假设'!$B$32,0),0),IF(AND(BG$4&gt;EDATE('核心假设'!$B$5,17+$F8),BG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G$4=EDATE(EDATE('核心假设'!$B$5,17+$F8),$D8),SUM('融资租赁与资金缺口'!$D$5:$D$16)*$AD8*'核心假设'!$B$32,0),0))</x:f>
        <x:v>16891016.88164358</x:v>
      </x:c>
      <x:c r="BH25" s="28" t="n">
        <x:f>SUM(IF(AND(BH$4&gt;EDATE('核心假设'!$B$5,0+$F8),BH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H$4=EDATE(EDATE('核心假设'!$B$5,0+$F8),$D8),SUM('融资租赁与资金缺口'!$D$5:$D$16)*$M8*'核心假设'!$B$32,0),0),IF(AND(BH$4&gt;EDATE('核心假设'!$B$5,1+$F8),BH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H$4=EDATE(EDATE('核心假设'!$B$5,1+$F8),$D8),SUM('融资租赁与资金缺口'!$D$5:$D$16)*$N8*'核心假设'!$B$32,0),0),IF(AND(BH$4&gt;EDATE('核心假设'!$B$5,2+$F8),BH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H$4=EDATE(EDATE('核心假设'!$B$5,2+$F8),$D8),SUM('融资租赁与资金缺口'!$D$5:$D$16)*$O8*'核心假设'!$B$32,0),0),IF(AND(BH$4&gt;EDATE('核心假设'!$B$5,3+$F8),BH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H$4=EDATE(EDATE('核心假设'!$B$5,3+$F8),$D8),SUM('融资租赁与资金缺口'!$D$5:$D$16)*$P8*'核心假设'!$B$32,0),0),IF(AND(BH$4&gt;EDATE('核心假设'!$B$5,4+$F8),BH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H$4=EDATE(EDATE('核心假设'!$B$5,4+$F8),$D8),SUM('融资租赁与资金缺口'!$D$5:$D$16)*$Q8*'核心假设'!$B$32,0),0),IF(AND(BH$4&gt;EDATE('核心假设'!$B$5,5+$F8),BH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H$4=EDATE(EDATE('核心假设'!$B$5,5+$F8),$D8),SUM('融资租赁与资金缺口'!$D$5:$D$16)*$R8*'核心假设'!$B$32,0),0),IF(AND(BH$4&gt;EDATE('核心假设'!$B$5,6+$F8),BH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H$4=EDATE(EDATE('核心假设'!$B$5,6+$F8),$D8),SUM('融资租赁与资金缺口'!$D$5:$D$16)*$S8*'核心假设'!$B$32,0),0),IF(AND(BH$4&gt;EDATE('核心假设'!$B$5,7+$F8),BH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H$4=EDATE(EDATE('核心假设'!$B$5,7+$F8),$D8),SUM('融资租赁与资金缺口'!$D$5:$D$16)*$T8*'核心假设'!$B$32,0),0),IF(AND(BH$4&gt;EDATE('核心假设'!$B$5,8+$F8),BH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H$4=EDATE(EDATE('核心假设'!$B$5,8+$F8),$D8),SUM('融资租赁与资金缺口'!$D$5:$D$16)*$U8*'核心假设'!$B$32,0),0),IF(AND(BH$4&gt;EDATE('核心假设'!$B$5,9+$F8),BH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H$4=EDATE(EDATE('核心假设'!$B$5,9+$F8),$D8),SUM('融资租赁与资金缺口'!$D$5:$D$16)*$V8*'核心假设'!$B$32,0),0),IF(AND(BH$4&gt;EDATE('核心假设'!$B$5,10+$F8),BH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H$4=EDATE(EDATE('核心假设'!$B$5,10+$F8),$D8),SUM('融资租赁与资金缺口'!$D$5:$D$16)*$W8*'核心假设'!$B$32,0),0),IF(AND(BH$4&gt;EDATE('核心假设'!$B$5,11+$F8),BH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H$4=EDATE(EDATE('核心假设'!$B$5,11+$F8),$D8),SUM('融资租赁与资金缺口'!$D$5:$D$16)*$X8*'核心假设'!$B$32,0),0),IF(AND(BH$4&gt;EDATE('核心假设'!$B$5,12+$F8),BH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H$4=EDATE(EDATE('核心假设'!$B$5,12+$F8),$D8),SUM('融资租赁与资金缺口'!$D$5:$D$16)*$Y8*'核心假设'!$B$32,0),0),IF(AND(BH$4&gt;EDATE('核心假设'!$B$5,13+$F8),BH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H$4=EDATE(EDATE('核心假设'!$B$5,13+$F8),$D8),SUM('融资租赁与资金缺口'!$D$5:$D$16)*$Z8*'核心假设'!$B$32,0),0),IF(AND(BH$4&gt;EDATE('核心假设'!$B$5,14+$F8),BH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H$4=EDATE(EDATE('核心假设'!$B$5,14+$F8),$D8),SUM('融资租赁与资金缺口'!$D$5:$D$16)*$AA8*'核心假设'!$B$32,0),0),IF(AND(BH$4&gt;EDATE('核心假设'!$B$5,15+$F8),BH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H$4=EDATE(EDATE('核心假设'!$B$5,15+$F8),$D8),SUM('融资租赁与资金缺口'!$D$5:$D$16)*$AB8*'核心假设'!$B$32,0),0),IF(AND(BH$4&gt;EDATE('核心假设'!$B$5,16+$F8),BH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H$4=EDATE(EDATE('核心假设'!$B$5,16+$F8),$D8),SUM('融资租赁与资金缺口'!$D$5:$D$16)*$AC8*'核心假设'!$B$32,0),0),IF(AND(BH$4&gt;EDATE('核心假设'!$B$5,17+$F8),BH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H$4=EDATE(EDATE('核心假设'!$B$5,17+$F8),$D8),SUM('融资租赁与资金缺口'!$D$5:$D$16)*$AD8*'核心假设'!$B$32,0),0))</x:f>
        <x:v>16891016.88164358</x:v>
      </x:c>
      <x:c r="BI25" s="28" t="n">
        <x:f>SUM(IF(AND(BI$4&gt;EDATE('核心假设'!$B$5,0+$F8),BI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I$4=EDATE(EDATE('核心假设'!$B$5,0+$F8),$D8),SUM('融资租赁与资金缺口'!$D$5:$D$16)*$M8*'核心假设'!$B$32,0),0),IF(AND(BI$4&gt;EDATE('核心假设'!$B$5,1+$F8),BI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I$4=EDATE(EDATE('核心假设'!$B$5,1+$F8),$D8),SUM('融资租赁与资金缺口'!$D$5:$D$16)*$N8*'核心假设'!$B$32,0),0),IF(AND(BI$4&gt;EDATE('核心假设'!$B$5,2+$F8),BI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I$4=EDATE(EDATE('核心假设'!$B$5,2+$F8),$D8),SUM('融资租赁与资金缺口'!$D$5:$D$16)*$O8*'核心假设'!$B$32,0),0),IF(AND(BI$4&gt;EDATE('核心假设'!$B$5,3+$F8),BI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I$4=EDATE(EDATE('核心假设'!$B$5,3+$F8),$D8),SUM('融资租赁与资金缺口'!$D$5:$D$16)*$P8*'核心假设'!$B$32,0),0),IF(AND(BI$4&gt;EDATE('核心假设'!$B$5,4+$F8),BI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I$4=EDATE(EDATE('核心假设'!$B$5,4+$F8),$D8),SUM('融资租赁与资金缺口'!$D$5:$D$16)*$Q8*'核心假设'!$B$32,0),0),IF(AND(BI$4&gt;EDATE('核心假设'!$B$5,5+$F8),BI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I$4=EDATE(EDATE('核心假设'!$B$5,5+$F8),$D8),SUM('融资租赁与资金缺口'!$D$5:$D$16)*$R8*'核心假设'!$B$32,0),0),IF(AND(BI$4&gt;EDATE('核心假设'!$B$5,6+$F8),BI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I$4=EDATE(EDATE('核心假设'!$B$5,6+$F8),$D8),SUM('融资租赁与资金缺口'!$D$5:$D$16)*$S8*'核心假设'!$B$32,0),0),IF(AND(BI$4&gt;EDATE('核心假设'!$B$5,7+$F8),BI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I$4=EDATE(EDATE('核心假设'!$B$5,7+$F8),$D8),SUM('融资租赁与资金缺口'!$D$5:$D$16)*$T8*'核心假设'!$B$32,0),0),IF(AND(BI$4&gt;EDATE('核心假设'!$B$5,8+$F8),BI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I$4=EDATE(EDATE('核心假设'!$B$5,8+$F8),$D8),SUM('融资租赁与资金缺口'!$D$5:$D$16)*$U8*'核心假设'!$B$32,0),0),IF(AND(BI$4&gt;EDATE('核心假设'!$B$5,9+$F8),BI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I$4=EDATE(EDATE('核心假设'!$B$5,9+$F8),$D8),SUM('融资租赁与资金缺口'!$D$5:$D$16)*$V8*'核心假设'!$B$32,0),0),IF(AND(BI$4&gt;EDATE('核心假设'!$B$5,10+$F8),BI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I$4=EDATE(EDATE('核心假设'!$B$5,10+$F8),$D8),SUM('融资租赁与资金缺口'!$D$5:$D$16)*$W8*'核心假设'!$B$32,0),0),IF(AND(BI$4&gt;EDATE('核心假设'!$B$5,11+$F8),BI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I$4=EDATE(EDATE('核心假设'!$B$5,11+$F8),$D8),SUM('融资租赁与资金缺口'!$D$5:$D$16)*$X8*'核心假设'!$B$32,0),0),IF(AND(BI$4&gt;EDATE('核心假设'!$B$5,12+$F8),BI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I$4=EDATE(EDATE('核心假设'!$B$5,12+$F8),$D8),SUM('融资租赁与资金缺口'!$D$5:$D$16)*$Y8*'核心假设'!$B$32,0),0),IF(AND(BI$4&gt;EDATE('核心假设'!$B$5,13+$F8),BI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I$4=EDATE(EDATE('核心假设'!$B$5,13+$F8),$D8),SUM('融资租赁与资金缺口'!$D$5:$D$16)*$Z8*'核心假设'!$B$32,0),0),IF(AND(BI$4&gt;EDATE('核心假设'!$B$5,14+$F8),BI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I$4=EDATE(EDATE('核心假设'!$B$5,14+$F8),$D8),SUM('融资租赁与资金缺口'!$D$5:$D$16)*$AA8*'核心假设'!$B$32,0),0),IF(AND(BI$4&gt;EDATE('核心假设'!$B$5,15+$F8),BI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I$4=EDATE(EDATE('核心假设'!$B$5,15+$F8),$D8),SUM('融资租赁与资金缺口'!$D$5:$D$16)*$AB8*'核心假设'!$B$32,0),0),IF(AND(BI$4&gt;EDATE('核心假设'!$B$5,16+$F8),BI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I$4=EDATE(EDATE('核心假设'!$B$5,16+$F8),$D8),SUM('融资租赁与资金缺口'!$D$5:$D$16)*$AC8*'核心假设'!$B$32,0),0),IF(AND(BI$4&gt;EDATE('核心假设'!$B$5,17+$F8),BI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I$4=EDATE(EDATE('核心假设'!$B$5,17+$F8),$D8),SUM('融资租赁与资金缺口'!$D$5:$D$16)*$AD8*'核心假设'!$B$32,0),0))</x:f>
        <x:v>16891016.88164358</x:v>
      </x:c>
      <x:c r="BJ25" s="28" t="n">
        <x:f>SUM(IF(AND(BJ$4&gt;EDATE('核心假设'!$B$5,0+$F8),BJ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J$4=EDATE(EDATE('核心假设'!$B$5,0+$F8),$D8),SUM('融资租赁与资金缺口'!$D$5:$D$16)*$M8*'核心假设'!$B$32,0),0),IF(AND(BJ$4&gt;EDATE('核心假设'!$B$5,1+$F8),BJ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J$4=EDATE(EDATE('核心假设'!$B$5,1+$F8),$D8),SUM('融资租赁与资金缺口'!$D$5:$D$16)*$N8*'核心假设'!$B$32,0),0),IF(AND(BJ$4&gt;EDATE('核心假设'!$B$5,2+$F8),BJ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J$4=EDATE(EDATE('核心假设'!$B$5,2+$F8),$D8),SUM('融资租赁与资金缺口'!$D$5:$D$16)*$O8*'核心假设'!$B$32,0),0),IF(AND(BJ$4&gt;EDATE('核心假设'!$B$5,3+$F8),BJ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J$4=EDATE(EDATE('核心假设'!$B$5,3+$F8),$D8),SUM('融资租赁与资金缺口'!$D$5:$D$16)*$P8*'核心假设'!$B$32,0),0),IF(AND(BJ$4&gt;EDATE('核心假设'!$B$5,4+$F8),BJ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J$4=EDATE(EDATE('核心假设'!$B$5,4+$F8),$D8),SUM('融资租赁与资金缺口'!$D$5:$D$16)*$Q8*'核心假设'!$B$32,0),0),IF(AND(BJ$4&gt;EDATE('核心假设'!$B$5,5+$F8),BJ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J$4=EDATE(EDATE('核心假设'!$B$5,5+$F8),$D8),SUM('融资租赁与资金缺口'!$D$5:$D$16)*$R8*'核心假设'!$B$32,0),0),IF(AND(BJ$4&gt;EDATE('核心假设'!$B$5,6+$F8),BJ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J$4=EDATE(EDATE('核心假设'!$B$5,6+$F8),$D8),SUM('融资租赁与资金缺口'!$D$5:$D$16)*$S8*'核心假设'!$B$32,0),0),IF(AND(BJ$4&gt;EDATE('核心假设'!$B$5,7+$F8),BJ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J$4=EDATE(EDATE('核心假设'!$B$5,7+$F8),$D8),SUM('融资租赁与资金缺口'!$D$5:$D$16)*$T8*'核心假设'!$B$32,0),0),IF(AND(BJ$4&gt;EDATE('核心假设'!$B$5,8+$F8),BJ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J$4=EDATE(EDATE('核心假设'!$B$5,8+$F8),$D8),SUM('融资租赁与资金缺口'!$D$5:$D$16)*$U8*'核心假设'!$B$32,0),0),IF(AND(BJ$4&gt;EDATE('核心假设'!$B$5,9+$F8),BJ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J$4=EDATE(EDATE('核心假设'!$B$5,9+$F8),$D8),SUM('融资租赁与资金缺口'!$D$5:$D$16)*$V8*'核心假设'!$B$32,0),0),IF(AND(BJ$4&gt;EDATE('核心假设'!$B$5,10+$F8),BJ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J$4=EDATE(EDATE('核心假设'!$B$5,10+$F8),$D8),SUM('融资租赁与资金缺口'!$D$5:$D$16)*$W8*'核心假设'!$B$32,0),0),IF(AND(BJ$4&gt;EDATE('核心假设'!$B$5,11+$F8),BJ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J$4=EDATE(EDATE('核心假设'!$B$5,11+$F8),$D8),SUM('融资租赁与资金缺口'!$D$5:$D$16)*$X8*'核心假设'!$B$32,0),0),IF(AND(BJ$4&gt;EDATE('核心假设'!$B$5,12+$F8),BJ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J$4=EDATE(EDATE('核心假设'!$B$5,12+$F8),$D8),SUM('融资租赁与资金缺口'!$D$5:$D$16)*$Y8*'核心假设'!$B$32,0),0),IF(AND(BJ$4&gt;EDATE('核心假设'!$B$5,13+$F8),BJ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J$4=EDATE(EDATE('核心假设'!$B$5,13+$F8),$D8),SUM('融资租赁与资金缺口'!$D$5:$D$16)*$Z8*'核心假设'!$B$32,0),0),IF(AND(BJ$4&gt;EDATE('核心假设'!$B$5,14+$F8),BJ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J$4=EDATE(EDATE('核心假设'!$B$5,14+$F8),$D8),SUM('融资租赁与资金缺口'!$D$5:$D$16)*$AA8*'核心假设'!$B$32,0),0),IF(AND(BJ$4&gt;EDATE('核心假设'!$B$5,15+$F8),BJ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J$4=EDATE(EDATE('核心假设'!$B$5,15+$F8),$D8),SUM('融资租赁与资金缺口'!$D$5:$D$16)*$AB8*'核心假设'!$B$32,0),0),IF(AND(BJ$4&gt;EDATE('核心假设'!$B$5,16+$F8),BJ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J$4=EDATE(EDATE('核心假设'!$B$5,16+$F8),$D8),SUM('融资租赁与资金缺口'!$D$5:$D$16)*$AC8*'核心假设'!$B$32,0),0),IF(AND(BJ$4&gt;EDATE('核心假设'!$B$5,17+$F8),BJ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J$4=EDATE(EDATE('核心假设'!$B$5,17+$F8),$D8),SUM('融资租赁与资金缺口'!$D$5:$D$16)*$AD8*'核心假设'!$B$32,0),0))</x:f>
        <x:v>16891016.88164358</x:v>
      </x:c>
      <x:c r="BK25" s="28" t="n">
        <x:f>SUM(IF(AND(BK$4&gt;EDATE('核心假设'!$B$5,0+$F8),BK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K$4=EDATE(EDATE('核心假设'!$B$5,0+$F8),$D8),SUM('融资租赁与资金缺口'!$D$5:$D$16)*$M8*'核心假设'!$B$32,0),0),IF(AND(BK$4&gt;EDATE('核心假设'!$B$5,1+$F8),BK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K$4=EDATE(EDATE('核心假设'!$B$5,1+$F8),$D8),SUM('融资租赁与资金缺口'!$D$5:$D$16)*$N8*'核心假设'!$B$32,0),0),IF(AND(BK$4&gt;EDATE('核心假设'!$B$5,2+$F8),BK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K$4=EDATE(EDATE('核心假设'!$B$5,2+$F8),$D8),SUM('融资租赁与资金缺口'!$D$5:$D$16)*$O8*'核心假设'!$B$32,0),0),IF(AND(BK$4&gt;EDATE('核心假设'!$B$5,3+$F8),BK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K$4=EDATE(EDATE('核心假设'!$B$5,3+$F8),$D8),SUM('融资租赁与资金缺口'!$D$5:$D$16)*$P8*'核心假设'!$B$32,0),0),IF(AND(BK$4&gt;EDATE('核心假设'!$B$5,4+$F8),BK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K$4=EDATE(EDATE('核心假设'!$B$5,4+$F8),$D8),SUM('融资租赁与资金缺口'!$D$5:$D$16)*$Q8*'核心假设'!$B$32,0),0),IF(AND(BK$4&gt;EDATE('核心假设'!$B$5,5+$F8),BK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K$4=EDATE(EDATE('核心假设'!$B$5,5+$F8),$D8),SUM('融资租赁与资金缺口'!$D$5:$D$16)*$R8*'核心假设'!$B$32,0),0),IF(AND(BK$4&gt;EDATE('核心假设'!$B$5,6+$F8),BK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K$4=EDATE(EDATE('核心假设'!$B$5,6+$F8),$D8),SUM('融资租赁与资金缺口'!$D$5:$D$16)*$S8*'核心假设'!$B$32,0),0),IF(AND(BK$4&gt;EDATE('核心假设'!$B$5,7+$F8),BK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K$4=EDATE(EDATE('核心假设'!$B$5,7+$F8),$D8),SUM('融资租赁与资金缺口'!$D$5:$D$16)*$T8*'核心假设'!$B$32,0),0),IF(AND(BK$4&gt;EDATE('核心假设'!$B$5,8+$F8),BK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K$4=EDATE(EDATE('核心假设'!$B$5,8+$F8),$D8),SUM('融资租赁与资金缺口'!$D$5:$D$16)*$U8*'核心假设'!$B$32,0),0),IF(AND(BK$4&gt;EDATE('核心假设'!$B$5,9+$F8),BK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K$4=EDATE(EDATE('核心假设'!$B$5,9+$F8),$D8),SUM('融资租赁与资金缺口'!$D$5:$D$16)*$V8*'核心假设'!$B$32,0),0),IF(AND(BK$4&gt;EDATE('核心假设'!$B$5,10+$F8),BK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K$4=EDATE(EDATE('核心假设'!$B$5,10+$F8),$D8),SUM('融资租赁与资金缺口'!$D$5:$D$16)*$W8*'核心假设'!$B$32,0),0),IF(AND(BK$4&gt;EDATE('核心假设'!$B$5,11+$F8),BK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K$4=EDATE(EDATE('核心假设'!$B$5,11+$F8),$D8),SUM('融资租赁与资金缺口'!$D$5:$D$16)*$X8*'核心假设'!$B$32,0),0),IF(AND(BK$4&gt;EDATE('核心假设'!$B$5,12+$F8),BK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K$4=EDATE(EDATE('核心假设'!$B$5,12+$F8),$D8),SUM('融资租赁与资金缺口'!$D$5:$D$16)*$Y8*'核心假设'!$B$32,0),0),IF(AND(BK$4&gt;EDATE('核心假设'!$B$5,13+$F8),BK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K$4=EDATE(EDATE('核心假设'!$B$5,13+$F8),$D8),SUM('融资租赁与资金缺口'!$D$5:$D$16)*$Z8*'核心假设'!$B$32,0),0),IF(AND(BK$4&gt;EDATE('核心假设'!$B$5,14+$F8),BK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K$4=EDATE(EDATE('核心假设'!$B$5,14+$F8),$D8),SUM('融资租赁与资金缺口'!$D$5:$D$16)*$AA8*'核心假设'!$B$32,0),0),IF(AND(BK$4&gt;EDATE('核心假设'!$B$5,15+$F8),BK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K$4=EDATE(EDATE('核心假设'!$B$5,15+$F8),$D8),SUM('融资租赁与资金缺口'!$D$5:$D$16)*$AB8*'核心假设'!$B$32,0),0),IF(AND(BK$4&gt;EDATE('核心假设'!$B$5,16+$F8),BK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K$4=EDATE(EDATE('核心假设'!$B$5,16+$F8),$D8),SUM('融资租赁与资金缺口'!$D$5:$D$16)*$AC8*'核心假设'!$B$32,0),0),IF(AND(BK$4&gt;EDATE('核心假设'!$B$5,17+$F8),BK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K$4=EDATE(EDATE('核心假设'!$B$5,17+$F8),$D8),SUM('融资租赁与资金缺口'!$D$5:$D$16)*$AD8*'核心假设'!$B$32,0),0))</x:f>
        <x:v>16891016.88164358</x:v>
      </x:c>
      <x:c r="BL25" s="28" t="n">
        <x:f>SUM(IF(AND(BL$4&gt;EDATE('核心假设'!$B$5,0+$F8),BL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L$4=EDATE(EDATE('核心假设'!$B$5,0+$F8),$D8),SUM('融资租赁与资金缺口'!$D$5:$D$16)*$M8*'核心假设'!$B$32,0),0),IF(AND(BL$4&gt;EDATE('核心假设'!$B$5,1+$F8),BL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L$4=EDATE(EDATE('核心假设'!$B$5,1+$F8),$D8),SUM('融资租赁与资金缺口'!$D$5:$D$16)*$N8*'核心假设'!$B$32,0),0),IF(AND(BL$4&gt;EDATE('核心假设'!$B$5,2+$F8),BL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L$4=EDATE(EDATE('核心假设'!$B$5,2+$F8),$D8),SUM('融资租赁与资金缺口'!$D$5:$D$16)*$O8*'核心假设'!$B$32,0),0),IF(AND(BL$4&gt;EDATE('核心假设'!$B$5,3+$F8),BL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L$4=EDATE(EDATE('核心假设'!$B$5,3+$F8),$D8),SUM('融资租赁与资金缺口'!$D$5:$D$16)*$P8*'核心假设'!$B$32,0),0),IF(AND(BL$4&gt;EDATE('核心假设'!$B$5,4+$F8),BL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L$4=EDATE(EDATE('核心假设'!$B$5,4+$F8),$D8),SUM('融资租赁与资金缺口'!$D$5:$D$16)*$Q8*'核心假设'!$B$32,0),0),IF(AND(BL$4&gt;EDATE('核心假设'!$B$5,5+$F8),BL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L$4=EDATE(EDATE('核心假设'!$B$5,5+$F8),$D8),SUM('融资租赁与资金缺口'!$D$5:$D$16)*$R8*'核心假设'!$B$32,0),0),IF(AND(BL$4&gt;EDATE('核心假设'!$B$5,6+$F8),BL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L$4=EDATE(EDATE('核心假设'!$B$5,6+$F8),$D8),SUM('融资租赁与资金缺口'!$D$5:$D$16)*$S8*'核心假设'!$B$32,0),0),IF(AND(BL$4&gt;EDATE('核心假设'!$B$5,7+$F8),BL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L$4=EDATE(EDATE('核心假设'!$B$5,7+$F8),$D8),SUM('融资租赁与资金缺口'!$D$5:$D$16)*$T8*'核心假设'!$B$32,0),0),IF(AND(BL$4&gt;EDATE('核心假设'!$B$5,8+$F8),BL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L$4=EDATE(EDATE('核心假设'!$B$5,8+$F8),$D8),SUM('融资租赁与资金缺口'!$D$5:$D$16)*$U8*'核心假设'!$B$32,0),0),IF(AND(BL$4&gt;EDATE('核心假设'!$B$5,9+$F8),BL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L$4=EDATE(EDATE('核心假设'!$B$5,9+$F8),$D8),SUM('融资租赁与资金缺口'!$D$5:$D$16)*$V8*'核心假设'!$B$32,0),0),IF(AND(BL$4&gt;EDATE('核心假设'!$B$5,10+$F8),BL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L$4=EDATE(EDATE('核心假设'!$B$5,10+$F8),$D8),SUM('融资租赁与资金缺口'!$D$5:$D$16)*$W8*'核心假设'!$B$32,0),0),IF(AND(BL$4&gt;EDATE('核心假设'!$B$5,11+$F8),BL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L$4=EDATE(EDATE('核心假设'!$B$5,11+$F8),$D8),SUM('融资租赁与资金缺口'!$D$5:$D$16)*$X8*'核心假设'!$B$32,0),0),IF(AND(BL$4&gt;EDATE('核心假设'!$B$5,12+$F8),BL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L$4=EDATE(EDATE('核心假设'!$B$5,12+$F8),$D8),SUM('融资租赁与资金缺口'!$D$5:$D$16)*$Y8*'核心假设'!$B$32,0),0),IF(AND(BL$4&gt;EDATE('核心假设'!$B$5,13+$F8),BL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L$4=EDATE(EDATE('核心假设'!$B$5,13+$F8),$D8),SUM('融资租赁与资金缺口'!$D$5:$D$16)*$Z8*'核心假设'!$B$32,0),0),IF(AND(BL$4&gt;EDATE('核心假设'!$B$5,14+$F8),BL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L$4=EDATE(EDATE('核心假设'!$B$5,14+$F8),$D8),SUM('融资租赁与资金缺口'!$D$5:$D$16)*$AA8*'核心假设'!$B$32,0),0),IF(AND(BL$4&gt;EDATE('核心假设'!$B$5,15+$F8),BL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L$4=EDATE(EDATE('核心假设'!$B$5,15+$F8),$D8),SUM('融资租赁与资金缺口'!$D$5:$D$16)*$AB8*'核心假设'!$B$32,0),0),IF(AND(BL$4&gt;EDATE('核心假设'!$B$5,16+$F8),BL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L$4=EDATE(EDATE('核心假设'!$B$5,16+$F8),$D8),SUM('融资租赁与资金缺口'!$D$5:$D$16)*$AC8*'核心假设'!$B$32,0),0),IF(AND(BL$4&gt;EDATE('核心假设'!$B$5,17+$F8),BL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L$4=EDATE(EDATE('核心假设'!$B$5,17+$F8),$D8),SUM('融资租赁与资金缺口'!$D$5:$D$16)*$AD8*'核心假设'!$B$32,0),0))</x:f>
        <x:v>16891016.88164358</x:v>
      </x:c>
      <x:c r="BM25" s="28" t="n">
        <x:f>SUM(IF(AND(BM$4&gt;EDATE('核心假设'!$B$5,0+$F8),BM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M$4=EDATE(EDATE('核心假设'!$B$5,0+$F8),$D8),SUM('融资租赁与资金缺口'!$D$5:$D$16)*$M8*'核心假设'!$B$32,0),0),IF(AND(BM$4&gt;EDATE('核心假设'!$B$5,1+$F8),BM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M$4=EDATE(EDATE('核心假设'!$B$5,1+$F8),$D8),SUM('融资租赁与资金缺口'!$D$5:$D$16)*$N8*'核心假设'!$B$32,0),0),IF(AND(BM$4&gt;EDATE('核心假设'!$B$5,2+$F8),BM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M$4=EDATE(EDATE('核心假设'!$B$5,2+$F8),$D8),SUM('融资租赁与资金缺口'!$D$5:$D$16)*$O8*'核心假设'!$B$32,0),0),IF(AND(BM$4&gt;EDATE('核心假设'!$B$5,3+$F8),BM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M$4=EDATE(EDATE('核心假设'!$B$5,3+$F8),$D8),SUM('融资租赁与资金缺口'!$D$5:$D$16)*$P8*'核心假设'!$B$32,0),0),IF(AND(BM$4&gt;EDATE('核心假设'!$B$5,4+$F8),BM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M$4=EDATE(EDATE('核心假设'!$B$5,4+$F8),$D8),SUM('融资租赁与资金缺口'!$D$5:$D$16)*$Q8*'核心假设'!$B$32,0),0),IF(AND(BM$4&gt;EDATE('核心假设'!$B$5,5+$F8),BM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M$4=EDATE(EDATE('核心假设'!$B$5,5+$F8),$D8),SUM('融资租赁与资金缺口'!$D$5:$D$16)*$R8*'核心假设'!$B$32,0),0),IF(AND(BM$4&gt;EDATE('核心假设'!$B$5,6+$F8),BM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M$4=EDATE(EDATE('核心假设'!$B$5,6+$F8),$D8),SUM('融资租赁与资金缺口'!$D$5:$D$16)*$S8*'核心假设'!$B$32,0),0),IF(AND(BM$4&gt;EDATE('核心假设'!$B$5,7+$F8),BM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M$4=EDATE(EDATE('核心假设'!$B$5,7+$F8),$D8),SUM('融资租赁与资金缺口'!$D$5:$D$16)*$T8*'核心假设'!$B$32,0),0),IF(AND(BM$4&gt;EDATE('核心假设'!$B$5,8+$F8),BM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M$4=EDATE(EDATE('核心假设'!$B$5,8+$F8),$D8),SUM('融资租赁与资金缺口'!$D$5:$D$16)*$U8*'核心假设'!$B$32,0),0),IF(AND(BM$4&gt;EDATE('核心假设'!$B$5,9+$F8),BM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M$4=EDATE(EDATE('核心假设'!$B$5,9+$F8),$D8),SUM('融资租赁与资金缺口'!$D$5:$D$16)*$V8*'核心假设'!$B$32,0),0),IF(AND(BM$4&gt;EDATE('核心假设'!$B$5,10+$F8),BM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M$4=EDATE(EDATE('核心假设'!$B$5,10+$F8),$D8),SUM('融资租赁与资金缺口'!$D$5:$D$16)*$W8*'核心假设'!$B$32,0),0),IF(AND(BM$4&gt;EDATE('核心假设'!$B$5,11+$F8),BM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M$4=EDATE(EDATE('核心假设'!$B$5,11+$F8),$D8),SUM('融资租赁与资金缺口'!$D$5:$D$16)*$X8*'核心假设'!$B$32,0),0),IF(AND(BM$4&gt;EDATE('核心假设'!$B$5,12+$F8),BM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M$4=EDATE(EDATE('核心假设'!$B$5,12+$F8),$D8),SUM('融资租赁与资金缺口'!$D$5:$D$16)*$Y8*'核心假设'!$B$32,0),0),IF(AND(BM$4&gt;EDATE('核心假设'!$B$5,13+$F8),BM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M$4=EDATE(EDATE('核心假设'!$B$5,13+$F8),$D8),SUM('融资租赁与资金缺口'!$D$5:$D$16)*$Z8*'核心假设'!$B$32,0),0),IF(AND(BM$4&gt;EDATE('核心假设'!$B$5,14+$F8),BM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M$4=EDATE(EDATE('核心假设'!$B$5,14+$F8),$D8),SUM('融资租赁与资金缺口'!$D$5:$D$16)*$AA8*'核心假设'!$B$32,0),0),IF(AND(BM$4&gt;EDATE('核心假设'!$B$5,15+$F8),BM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M$4=EDATE(EDATE('核心假设'!$B$5,15+$F8),$D8),SUM('融资租赁与资金缺口'!$D$5:$D$16)*$AB8*'核心假设'!$B$32,0),0),IF(AND(BM$4&gt;EDATE('核心假设'!$B$5,16+$F8),BM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M$4=EDATE(EDATE('核心假设'!$B$5,16+$F8),$D8),SUM('融资租赁与资金缺口'!$D$5:$D$16)*$AC8*'核心假设'!$B$32,0),0),IF(AND(BM$4&gt;EDATE('核心假设'!$B$5,17+$F8),BM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M$4=EDATE(EDATE('核心假设'!$B$5,17+$F8),$D8),SUM('融资租赁与资金缺口'!$D$5:$D$16)*$AD8*'核心假设'!$B$32,0),0))</x:f>
        <x:v>16891016.88164358</x:v>
      </x:c>
      <x:c r="BN25" s="28" t="n">
        <x:f>SUM(IF(AND(BN$4&gt;EDATE('核心假设'!$B$5,0+$F8),BN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N$4=EDATE(EDATE('核心假设'!$B$5,0+$F8),$D8),SUM('融资租赁与资金缺口'!$D$5:$D$16)*$M8*'核心假设'!$B$32,0),0),IF(AND(BN$4&gt;EDATE('核心假设'!$B$5,1+$F8),BN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N$4=EDATE(EDATE('核心假设'!$B$5,1+$F8),$D8),SUM('融资租赁与资金缺口'!$D$5:$D$16)*$N8*'核心假设'!$B$32,0),0),IF(AND(BN$4&gt;EDATE('核心假设'!$B$5,2+$F8),BN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N$4=EDATE(EDATE('核心假设'!$B$5,2+$F8),$D8),SUM('融资租赁与资金缺口'!$D$5:$D$16)*$O8*'核心假设'!$B$32,0),0),IF(AND(BN$4&gt;EDATE('核心假设'!$B$5,3+$F8),BN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N$4=EDATE(EDATE('核心假设'!$B$5,3+$F8),$D8),SUM('融资租赁与资金缺口'!$D$5:$D$16)*$P8*'核心假设'!$B$32,0),0),IF(AND(BN$4&gt;EDATE('核心假设'!$B$5,4+$F8),BN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N$4=EDATE(EDATE('核心假设'!$B$5,4+$F8),$D8),SUM('融资租赁与资金缺口'!$D$5:$D$16)*$Q8*'核心假设'!$B$32,0),0),IF(AND(BN$4&gt;EDATE('核心假设'!$B$5,5+$F8),BN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N$4=EDATE(EDATE('核心假设'!$B$5,5+$F8),$D8),SUM('融资租赁与资金缺口'!$D$5:$D$16)*$R8*'核心假设'!$B$32,0),0),IF(AND(BN$4&gt;EDATE('核心假设'!$B$5,6+$F8),BN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N$4=EDATE(EDATE('核心假设'!$B$5,6+$F8),$D8),SUM('融资租赁与资金缺口'!$D$5:$D$16)*$S8*'核心假设'!$B$32,0),0),IF(AND(BN$4&gt;EDATE('核心假设'!$B$5,7+$F8),BN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N$4=EDATE(EDATE('核心假设'!$B$5,7+$F8),$D8),SUM('融资租赁与资金缺口'!$D$5:$D$16)*$T8*'核心假设'!$B$32,0),0),IF(AND(BN$4&gt;EDATE('核心假设'!$B$5,8+$F8),BN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N$4=EDATE(EDATE('核心假设'!$B$5,8+$F8),$D8),SUM('融资租赁与资金缺口'!$D$5:$D$16)*$U8*'核心假设'!$B$32,0),0),IF(AND(BN$4&gt;EDATE('核心假设'!$B$5,9+$F8),BN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N$4=EDATE(EDATE('核心假设'!$B$5,9+$F8),$D8),SUM('融资租赁与资金缺口'!$D$5:$D$16)*$V8*'核心假设'!$B$32,0),0),IF(AND(BN$4&gt;EDATE('核心假设'!$B$5,10+$F8),BN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N$4=EDATE(EDATE('核心假设'!$B$5,10+$F8),$D8),SUM('融资租赁与资金缺口'!$D$5:$D$16)*$W8*'核心假设'!$B$32,0),0),IF(AND(BN$4&gt;EDATE('核心假设'!$B$5,11+$F8),BN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N$4=EDATE(EDATE('核心假设'!$B$5,11+$F8),$D8),SUM('融资租赁与资金缺口'!$D$5:$D$16)*$X8*'核心假设'!$B$32,0),0),IF(AND(BN$4&gt;EDATE('核心假设'!$B$5,12+$F8),BN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N$4=EDATE(EDATE('核心假设'!$B$5,12+$F8),$D8),SUM('融资租赁与资金缺口'!$D$5:$D$16)*$Y8*'核心假设'!$B$32,0),0),IF(AND(BN$4&gt;EDATE('核心假设'!$B$5,13+$F8),BN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N$4=EDATE(EDATE('核心假设'!$B$5,13+$F8),$D8),SUM('融资租赁与资金缺口'!$D$5:$D$16)*$Z8*'核心假设'!$B$32,0),0),IF(AND(BN$4&gt;EDATE('核心假设'!$B$5,14+$F8),BN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N$4=EDATE(EDATE('核心假设'!$B$5,14+$F8),$D8),SUM('融资租赁与资金缺口'!$D$5:$D$16)*$AA8*'核心假设'!$B$32,0),0),IF(AND(BN$4&gt;EDATE('核心假设'!$B$5,15+$F8),BN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N$4=EDATE(EDATE('核心假设'!$B$5,15+$F8),$D8),SUM('融资租赁与资金缺口'!$D$5:$D$16)*$AB8*'核心假设'!$B$32,0),0),IF(AND(BN$4&gt;EDATE('核心假设'!$B$5,16+$F8),BN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N$4=EDATE(EDATE('核心假设'!$B$5,16+$F8),$D8),SUM('融资租赁与资金缺口'!$D$5:$D$16)*$AC8*'核心假设'!$B$32,0),0),IF(AND(BN$4&gt;EDATE('核心假设'!$B$5,17+$F8),BN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N$4=EDATE(EDATE('核心假设'!$B$5,17+$F8),$D8),SUM('融资租赁与资金缺口'!$D$5:$D$16)*$AD8*'核心假设'!$B$32,0),0))</x:f>
        <x:v>16891016.88164358</x:v>
      </x:c>
      <x:c r="BO25" s="28" t="n">
        <x:f>SUM(IF(AND(BO$4&gt;EDATE('核心假设'!$B$5,0+$F8),BO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O$4=EDATE(EDATE('核心假设'!$B$5,0+$F8),$D8),SUM('融资租赁与资金缺口'!$D$5:$D$16)*$M8*'核心假设'!$B$32,0),0),IF(AND(BO$4&gt;EDATE('核心假设'!$B$5,1+$F8),BO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O$4=EDATE(EDATE('核心假设'!$B$5,1+$F8),$D8),SUM('融资租赁与资金缺口'!$D$5:$D$16)*$N8*'核心假设'!$B$32,0),0),IF(AND(BO$4&gt;EDATE('核心假设'!$B$5,2+$F8),BO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O$4=EDATE(EDATE('核心假设'!$B$5,2+$F8),$D8),SUM('融资租赁与资金缺口'!$D$5:$D$16)*$O8*'核心假设'!$B$32,0),0),IF(AND(BO$4&gt;EDATE('核心假设'!$B$5,3+$F8),BO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O$4=EDATE(EDATE('核心假设'!$B$5,3+$F8),$D8),SUM('融资租赁与资金缺口'!$D$5:$D$16)*$P8*'核心假设'!$B$32,0),0),IF(AND(BO$4&gt;EDATE('核心假设'!$B$5,4+$F8),BO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O$4=EDATE(EDATE('核心假设'!$B$5,4+$F8),$D8),SUM('融资租赁与资金缺口'!$D$5:$D$16)*$Q8*'核心假设'!$B$32,0),0),IF(AND(BO$4&gt;EDATE('核心假设'!$B$5,5+$F8),BO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O$4=EDATE(EDATE('核心假设'!$B$5,5+$F8),$D8),SUM('融资租赁与资金缺口'!$D$5:$D$16)*$R8*'核心假设'!$B$32,0),0),IF(AND(BO$4&gt;EDATE('核心假设'!$B$5,6+$F8),BO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O$4=EDATE(EDATE('核心假设'!$B$5,6+$F8),$D8),SUM('融资租赁与资金缺口'!$D$5:$D$16)*$S8*'核心假设'!$B$32,0),0),IF(AND(BO$4&gt;EDATE('核心假设'!$B$5,7+$F8),BO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O$4=EDATE(EDATE('核心假设'!$B$5,7+$F8),$D8),SUM('融资租赁与资金缺口'!$D$5:$D$16)*$T8*'核心假设'!$B$32,0),0),IF(AND(BO$4&gt;EDATE('核心假设'!$B$5,8+$F8),BO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O$4=EDATE(EDATE('核心假设'!$B$5,8+$F8),$D8),SUM('融资租赁与资金缺口'!$D$5:$D$16)*$U8*'核心假设'!$B$32,0),0),IF(AND(BO$4&gt;EDATE('核心假设'!$B$5,9+$F8),BO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O$4=EDATE(EDATE('核心假设'!$B$5,9+$F8),$D8),SUM('融资租赁与资金缺口'!$D$5:$D$16)*$V8*'核心假设'!$B$32,0),0),IF(AND(BO$4&gt;EDATE('核心假设'!$B$5,10+$F8),BO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O$4=EDATE(EDATE('核心假设'!$B$5,10+$F8),$D8),SUM('融资租赁与资金缺口'!$D$5:$D$16)*$W8*'核心假设'!$B$32,0),0),IF(AND(BO$4&gt;EDATE('核心假设'!$B$5,11+$F8),BO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O$4=EDATE(EDATE('核心假设'!$B$5,11+$F8),$D8),SUM('融资租赁与资金缺口'!$D$5:$D$16)*$X8*'核心假设'!$B$32,0),0),IF(AND(BO$4&gt;EDATE('核心假设'!$B$5,12+$F8),BO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O$4=EDATE(EDATE('核心假设'!$B$5,12+$F8),$D8),SUM('融资租赁与资金缺口'!$D$5:$D$16)*$Y8*'核心假设'!$B$32,0),0),IF(AND(BO$4&gt;EDATE('核心假设'!$B$5,13+$F8),BO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O$4=EDATE(EDATE('核心假设'!$B$5,13+$F8),$D8),SUM('融资租赁与资金缺口'!$D$5:$D$16)*$Z8*'核心假设'!$B$32,0),0),IF(AND(BO$4&gt;EDATE('核心假设'!$B$5,14+$F8),BO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O$4=EDATE(EDATE('核心假设'!$B$5,14+$F8),$D8),SUM('融资租赁与资金缺口'!$D$5:$D$16)*$AA8*'核心假设'!$B$32,0),0),IF(AND(BO$4&gt;EDATE('核心假设'!$B$5,15+$F8),BO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O$4=EDATE(EDATE('核心假设'!$B$5,15+$F8),$D8),SUM('融资租赁与资金缺口'!$D$5:$D$16)*$AB8*'核心假设'!$B$32,0),0),IF(AND(BO$4&gt;EDATE('核心假设'!$B$5,16+$F8),BO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O$4=EDATE(EDATE('核心假设'!$B$5,16+$F8),$D8),SUM('融资租赁与资金缺口'!$D$5:$D$16)*$AC8*'核心假设'!$B$32,0),0),IF(AND(BO$4&gt;EDATE('核心假设'!$B$5,17+$F8),BO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O$4=EDATE(EDATE('核心假设'!$B$5,17+$F8),$D8),SUM('融资租赁与资金缺口'!$D$5:$D$16)*$AD8*'核心假设'!$B$32,0),0))</x:f>
        <x:v>16891016.88164358</x:v>
      </x:c>
      <x:c r="BP25" s="28" t="n">
        <x:f>SUM(IF(AND(BP$4&gt;EDATE('核心假设'!$B$5,0+$F8),BP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P$4=EDATE(EDATE('核心假设'!$B$5,0+$F8),$D8),SUM('融资租赁与资金缺口'!$D$5:$D$16)*$M8*'核心假设'!$B$32,0),0),IF(AND(BP$4&gt;EDATE('核心假设'!$B$5,1+$F8),BP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P$4=EDATE(EDATE('核心假设'!$B$5,1+$F8),$D8),SUM('融资租赁与资金缺口'!$D$5:$D$16)*$N8*'核心假设'!$B$32,0),0),IF(AND(BP$4&gt;EDATE('核心假设'!$B$5,2+$F8),BP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P$4=EDATE(EDATE('核心假设'!$B$5,2+$F8),$D8),SUM('融资租赁与资金缺口'!$D$5:$D$16)*$O8*'核心假设'!$B$32,0),0),IF(AND(BP$4&gt;EDATE('核心假设'!$B$5,3+$F8),BP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P$4=EDATE(EDATE('核心假设'!$B$5,3+$F8),$D8),SUM('融资租赁与资金缺口'!$D$5:$D$16)*$P8*'核心假设'!$B$32,0),0),IF(AND(BP$4&gt;EDATE('核心假设'!$B$5,4+$F8),BP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P$4=EDATE(EDATE('核心假设'!$B$5,4+$F8),$D8),SUM('融资租赁与资金缺口'!$D$5:$D$16)*$Q8*'核心假设'!$B$32,0),0),IF(AND(BP$4&gt;EDATE('核心假设'!$B$5,5+$F8),BP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P$4=EDATE(EDATE('核心假设'!$B$5,5+$F8),$D8),SUM('融资租赁与资金缺口'!$D$5:$D$16)*$R8*'核心假设'!$B$32,0),0),IF(AND(BP$4&gt;EDATE('核心假设'!$B$5,6+$F8),BP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P$4=EDATE(EDATE('核心假设'!$B$5,6+$F8),$D8),SUM('融资租赁与资金缺口'!$D$5:$D$16)*$S8*'核心假设'!$B$32,0),0),IF(AND(BP$4&gt;EDATE('核心假设'!$B$5,7+$F8),BP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P$4=EDATE(EDATE('核心假设'!$B$5,7+$F8),$D8),SUM('融资租赁与资金缺口'!$D$5:$D$16)*$T8*'核心假设'!$B$32,0),0),IF(AND(BP$4&gt;EDATE('核心假设'!$B$5,8+$F8),BP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P$4=EDATE(EDATE('核心假设'!$B$5,8+$F8),$D8),SUM('融资租赁与资金缺口'!$D$5:$D$16)*$U8*'核心假设'!$B$32,0),0),IF(AND(BP$4&gt;EDATE('核心假设'!$B$5,9+$F8),BP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P$4=EDATE(EDATE('核心假设'!$B$5,9+$F8),$D8),SUM('融资租赁与资金缺口'!$D$5:$D$16)*$V8*'核心假设'!$B$32,0),0),IF(AND(BP$4&gt;EDATE('核心假设'!$B$5,10+$F8),BP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P$4=EDATE(EDATE('核心假设'!$B$5,10+$F8),$D8),SUM('融资租赁与资金缺口'!$D$5:$D$16)*$W8*'核心假设'!$B$32,0),0),IF(AND(BP$4&gt;EDATE('核心假设'!$B$5,11+$F8),BP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P$4=EDATE(EDATE('核心假设'!$B$5,11+$F8),$D8),SUM('融资租赁与资金缺口'!$D$5:$D$16)*$X8*'核心假设'!$B$32,0),0),IF(AND(BP$4&gt;EDATE('核心假设'!$B$5,12+$F8),BP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P$4=EDATE(EDATE('核心假设'!$B$5,12+$F8),$D8),SUM('融资租赁与资金缺口'!$D$5:$D$16)*$Y8*'核心假设'!$B$32,0),0),IF(AND(BP$4&gt;EDATE('核心假设'!$B$5,13+$F8),BP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P$4=EDATE(EDATE('核心假设'!$B$5,13+$F8),$D8),SUM('融资租赁与资金缺口'!$D$5:$D$16)*$Z8*'核心假设'!$B$32,0),0),IF(AND(BP$4&gt;EDATE('核心假设'!$B$5,14+$F8),BP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P$4=EDATE(EDATE('核心假设'!$B$5,14+$F8),$D8),SUM('融资租赁与资金缺口'!$D$5:$D$16)*$AA8*'核心假设'!$B$32,0),0),IF(AND(BP$4&gt;EDATE('核心假设'!$B$5,15+$F8),BP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P$4=EDATE(EDATE('核心假设'!$B$5,15+$F8),$D8),SUM('融资租赁与资金缺口'!$D$5:$D$16)*$AB8*'核心假设'!$B$32,0),0),IF(AND(BP$4&gt;EDATE('核心假设'!$B$5,16+$F8),BP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P$4=EDATE(EDATE('核心假设'!$B$5,16+$F8),$D8),SUM('融资租赁与资金缺口'!$D$5:$D$16)*$AC8*'核心假设'!$B$32,0),0),IF(AND(BP$4&gt;EDATE('核心假设'!$B$5,17+$F8),BP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P$4=EDATE(EDATE('核心假设'!$B$5,17+$F8),$D8),SUM('融资租赁与资金缺口'!$D$5:$D$16)*$AD8*'核心假设'!$B$32,0),0))</x:f>
        <x:v>16891016.88164358</x:v>
      </x:c>
      <x:c r="BQ25" s="28" t="n">
        <x:f>SUM(IF(AND(BQ$4&gt;EDATE('核心假设'!$B$5,0+$F8),BQ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Q$4=EDATE(EDATE('核心假设'!$B$5,0+$F8),$D8),SUM('融资租赁与资金缺口'!$D$5:$D$16)*$M8*'核心假设'!$B$32,0),0),IF(AND(BQ$4&gt;EDATE('核心假设'!$B$5,1+$F8),BQ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Q$4=EDATE(EDATE('核心假设'!$B$5,1+$F8),$D8),SUM('融资租赁与资金缺口'!$D$5:$D$16)*$N8*'核心假设'!$B$32,0),0),IF(AND(BQ$4&gt;EDATE('核心假设'!$B$5,2+$F8),BQ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Q$4=EDATE(EDATE('核心假设'!$B$5,2+$F8),$D8),SUM('融资租赁与资金缺口'!$D$5:$D$16)*$O8*'核心假设'!$B$32,0),0),IF(AND(BQ$4&gt;EDATE('核心假设'!$B$5,3+$F8),BQ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Q$4=EDATE(EDATE('核心假设'!$B$5,3+$F8),$D8),SUM('融资租赁与资金缺口'!$D$5:$D$16)*$P8*'核心假设'!$B$32,0),0),IF(AND(BQ$4&gt;EDATE('核心假设'!$B$5,4+$F8),BQ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Q$4=EDATE(EDATE('核心假设'!$B$5,4+$F8),$D8),SUM('融资租赁与资金缺口'!$D$5:$D$16)*$Q8*'核心假设'!$B$32,0),0),IF(AND(BQ$4&gt;EDATE('核心假设'!$B$5,5+$F8),BQ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Q$4=EDATE(EDATE('核心假设'!$B$5,5+$F8),$D8),SUM('融资租赁与资金缺口'!$D$5:$D$16)*$R8*'核心假设'!$B$32,0),0),IF(AND(BQ$4&gt;EDATE('核心假设'!$B$5,6+$F8),BQ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Q$4=EDATE(EDATE('核心假设'!$B$5,6+$F8),$D8),SUM('融资租赁与资金缺口'!$D$5:$D$16)*$S8*'核心假设'!$B$32,0),0),IF(AND(BQ$4&gt;EDATE('核心假设'!$B$5,7+$F8),BQ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Q$4=EDATE(EDATE('核心假设'!$B$5,7+$F8),$D8),SUM('融资租赁与资金缺口'!$D$5:$D$16)*$T8*'核心假设'!$B$32,0),0),IF(AND(BQ$4&gt;EDATE('核心假设'!$B$5,8+$F8),BQ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Q$4=EDATE(EDATE('核心假设'!$B$5,8+$F8),$D8),SUM('融资租赁与资金缺口'!$D$5:$D$16)*$U8*'核心假设'!$B$32,0),0),IF(AND(BQ$4&gt;EDATE('核心假设'!$B$5,9+$F8),BQ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Q$4=EDATE(EDATE('核心假设'!$B$5,9+$F8),$D8),SUM('融资租赁与资金缺口'!$D$5:$D$16)*$V8*'核心假设'!$B$32,0),0),IF(AND(BQ$4&gt;EDATE('核心假设'!$B$5,10+$F8),BQ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Q$4=EDATE(EDATE('核心假设'!$B$5,10+$F8),$D8),SUM('融资租赁与资金缺口'!$D$5:$D$16)*$W8*'核心假设'!$B$32,0),0),IF(AND(BQ$4&gt;EDATE('核心假设'!$B$5,11+$F8),BQ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Q$4=EDATE(EDATE('核心假设'!$B$5,11+$F8),$D8),SUM('融资租赁与资金缺口'!$D$5:$D$16)*$X8*'核心假设'!$B$32,0),0),IF(AND(BQ$4&gt;EDATE('核心假设'!$B$5,12+$F8),BQ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Q$4=EDATE(EDATE('核心假设'!$B$5,12+$F8),$D8),SUM('融资租赁与资金缺口'!$D$5:$D$16)*$Y8*'核心假设'!$B$32,0),0),IF(AND(BQ$4&gt;EDATE('核心假设'!$B$5,13+$F8),BQ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Q$4=EDATE(EDATE('核心假设'!$B$5,13+$F8),$D8),SUM('融资租赁与资金缺口'!$D$5:$D$16)*$Z8*'核心假设'!$B$32,0),0),IF(AND(BQ$4&gt;EDATE('核心假设'!$B$5,14+$F8),BQ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Q$4=EDATE(EDATE('核心假设'!$B$5,14+$F8),$D8),SUM('融资租赁与资金缺口'!$D$5:$D$16)*$AA8*'核心假设'!$B$32,0),0),IF(AND(BQ$4&gt;EDATE('核心假设'!$B$5,15+$F8),BQ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Q$4=EDATE(EDATE('核心假设'!$B$5,15+$F8),$D8),SUM('融资租赁与资金缺口'!$D$5:$D$16)*$AB8*'核心假设'!$B$32,0),0),IF(AND(BQ$4&gt;EDATE('核心假设'!$B$5,16+$F8),BQ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Q$4=EDATE(EDATE('核心假设'!$B$5,16+$F8),$D8),SUM('融资租赁与资金缺口'!$D$5:$D$16)*$AC8*'核心假设'!$B$32,0),0),IF(AND(BQ$4&gt;EDATE('核心假设'!$B$5,17+$F8),BQ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Q$4=EDATE(EDATE('核心假设'!$B$5,17+$F8),$D8),SUM('融资租赁与资金缺口'!$D$5:$D$16)*$AD8*'核心假设'!$B$32,0),0))</x:f>
        <x:v>16891016.88164358</x:v>
      </x:c>
      <x:c r="BR25" s="28" t="n">
        <x:f>SUM(IF(AND(BR$4&gt;EDATE('核心假设'!$B$5,0+$F8),BR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R$4=EDATE(EDATE('核心假设'!$B$5,0+$F8),$D8),SUM('融资租赁与资金缺口'!$D$5:$D$16)*$M8*'核心假设'!$B$32,0),0),IF(AND(BR$4&gt;EDATE('核心假设'!$B$5,1+$F8),BR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R$4=EDATE(EDATE('核心假设'!$B$5,1+$F8),$D8),SUM('融资租赁与资金缺口'!$D$5:$D$16)*$N8*'核心假设'!$B$32,0),0),IF(AND(BR$4&gt;EDATE('核心假设'!$B$5,2+$F8),BR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R$4=EDATE(EDATE('核心假设'!$B$5,2+$F8),$D8),SUM('融资租赁与资金缺口'!$D$5:$D$16)*$O8*'核心假设'!$B$32,0),0),IF(AND(BR$4&gt;EDATE('核心假设'!$B$5,3+$F8),BR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R$4=EDATE(EDATE('核心假设'!$B$5,3+$F8),$D8),SUM('融资租赁与资金缺口'!$D$5:$D$16)*$P8*'核心假设'!$B$32,0),0),IF(AND(BR$4&gt;EDATE('核心假设'!$B$5,4+$F8),BR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R$4=EDATE(EDATE('核心假设'!$B$5,4+$F8),$D8),SUM('融资租赁与资金缺口'!$D$5:$D$16)*$Q8*'核心假设'!$B$32,0),0),IF(AND(BR$4&gt;EDATE('核心假设'!$B$5,5+$F8),BR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R$4=EDATE(EDATE('核心假设'!$B$5,5+$F8),$D8),SUM('融资租赁与资金缺口'!$D$5:$D$16)*$R8*'核心假设'!$B$32,0),0),IF(AND(BR$4&gt;EDATE('核心假设'!$B$5,6+$F8),BR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R$4=EDATE(EDATE('核心假设'!$B$5,6+$F8),$D8),SUM('融资租赁与资金缺口'!$D$5:$D$16)*$S8*'核心假设'!$B$32,0),0),IF(AND(BR$4&gt;EDATE('核心假设'!$B$5,7+$F8),BR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R$4=EDATE(EDATE('核心假设'!$B$5,7+$F8),$D8),SUM('融资租赁与资金缺口'!$D$5:$D$16)*$T8*'核心假设'!$B$32,0),0),IF(AND(BR$4&gt;EDATE('核心假设'!$B$5,8+$F8),BR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R$4=EDATE(EDATE('核心假设'!$B$5,8+$F8),$D8),SUM('融资租赁与资金缺口'!$D$5:$D$16)*$U8*'核心假设'!$B$32,0),0),IF(AND(BR$4&gt;EDATE('核心假设'!$B$5,9+$F8),BR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R$4=EDATE(EDATE('核心假设'!$B$5,9+$F8),$D8),SUM('融资租赁与资金缺口'!$D$5:$D$16)*$V8*'核心假设'!$B$32,0),0),IF(AND(BR$4&gt;EDATE('核心假设'!$B$5,10+$F8),BR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R$4=EDATE(EDATE('核心假设'!$B$5,10+$F8),$D8),SUM('融资租赁与资金缺口'!$D$5:$D$16)*$W8*'核心假设'!$B$32,0),0),IF(AND(BR$4&gt;EDATE('核心假设'!$B$5,11+$F8),BR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R$4=EDATE(EDATE('核心假设'!$B$5,11+$F8),$D8),SUM('融资租赁与资金缺口'!$D$5:$D$16)*$X8*'核心假设'!$B$32,0),0),IF(AND(BR$4&gt;EDATE('核心假设'!$B$5,12+$F8),BR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R$4=EDATE(EDATE('核心假设'!$B$5,12+$F8),$D8),SUM('融资租赁与资金缺口'!$D$5:$D$16)*$Y8*'核心假设'!$B$32,0),0),IF(AND(BR$4&gt;EDATE('核心假设'!$B$5,13+$F8),BR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R$4=EDATE(EDATE('核心假设'!$B$5,13+$F8),$D8),SUM('融资租赁与资金缺口'!$D$5:$D$16)*$Z8*'核心假设'!$B$32,0),0),IF(AND(BR$4&gt;EDATE('核心假设'!$B$5,14+$F8),BR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R$4=EDATE(EDATE('核心假设'!$B$5,14+$F8),$D8),SUM('融资租赁与资金缺口'!$D$5:$D$16)*$AA8*'核心假设'!$B$32,0),0),IF(AND(BR$4&gt;EDATE('核心假设'!$B$5,15+$F8),BR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R$4=EDATE(EDATE('核心假设'!$B$5,15+$F8),$D8),SUM('融资租赁与资金缺口'!$D$5:$D$16)*$AB8*'核心假设'!$B$32,0),0),IF(AND(BR$4&gt;EDATE('核心假设'!$B$5,16+$F8),BR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R$4=EDATE(EDATE('核心假设'!$B$5,16+$F8),$D8),SUM('融资租赁与资金缺口'!$D$5:$D$16)*$AC8*'核心假设'!$B$32,0),0),IF(AND(BR$4&gt;EDATE('核心假设'!$B$5,17+$F8),BR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R$4=EDATE(EDATE('核心假设'!$B$5,17+$F8),$D8),SUM('融资租赁与资金缺口'!$D$5:$D$16)*$AD8*'核心假设'!$B$32,0),0))</x:f>
        <x:v>17162666.88164358</x:v>
      </x:c>
      <x:c r="BS25" s="28" t="n">
        <x:f>SUM(IF(AND(BS$4&gt;EDATE('核心假设'!$B$5,0+$F8),BS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S$4=EDATE(EDATE('核心假设'!$B$5,0+$F8),$D8),SUM('融资租赁与资金缺口'!$D$5:$D$16)*$M8*'核心假设'!$B$32,0),0),IF(AND(BS$4&gt;EDATE('核心假设'!$B$5,1+$F8),BS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S$4=EDATE(EDATE('核心假设'!$B$5,1+$F8),$D8),SUM('融资租赁与资金缺口'!$D$5:$D$16)*$N8*'核心假设'!$B$32,0),0),IF(AND(BS$4&gt;EDATE('核心假设'!$B$5,2+$F8),BS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S$4=EDATE(EDATE('核心假设'!$B$5,2+$F8),$D8),SUM('融资租赁与资金缺口'!$D$5:$D$16)*$O8*'核心假设'!$B$32,0),0),IF(AND(BS$4&gt;EDATE('核心假设'!$B$5,3+$F8),BS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S$4=EDATE(EDATE('核心假设'!$B$5,3+$F8),$D8),SUM('融资租赁与资金缺口'!$D$5:$D$16)*$P8*'核心假设'!$B$32,0),0),IF(AND(BS$4&gt;EDATE('核心假设'!$B$5,4+$F8),BS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S$4=EDATE(EDATE('核心假设'!$B$5,4+$F8),$D8),SUM('融资租赁与资金缺口'!$D$5:$D$16)*$Q8*'核心假设'!$B$32,0),0),IF(AND(BS$4&gt;EDATE('核心假设'!$B$5,5+$F8),BS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S$4=EDATE(EDATE('核心假设'!$B$5,5+$F8),$D8),SUM('融资租赁与资金缺口'!$D$5:$D$16)*$R8*'核心假设'!$B$32,0),0),IF(AND(BS$4&gt;EDATE('核心假设'!$B$5,6+$F8),BS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S$4=EDATE(EDATE('核心假设'!$B$5,6+$F8),$D8),SUM('融资租赁与资金缺口'!$D$5:$D$16)*$S8*'核心假设'!$B$32,0),0),IF(AND(BS$4&gt;EDATE('核心假设'!$B$5,7+$F8),BS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S$4=EDATE(EDATE('核心假设'!$B$5,7+$F8),$D8),SUM('融资租赁与资金缺口'!$D$5:$D$16)*$T8*'核心假设'!$B$32,0),0),IF(AND(BS$4&gt;EDATE('核心假设'!$B$5,8+$F8),BS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S$4=EDATE(EDATE('核心假设'!$B$5,8+$F8),$D8),SUM('融资租赁与资金缺口'!$D$5:$D$16)*$U8*'核心假设'!$B$32,0),0),IF(AND(BS$4&gt;EDATE('核心假设'!$B$5,9+$F8),BS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S$4=EDATE(EDATE('核心假设'!$B$5,9+$F8),$D8),SUM('融资租赁与资金缺口'!$D$5:$D$16)*$V8*'核心假设'!$B$32,0),0),IF(AND(BS$4&gt;EDATE('核心假设'!$B$5,10+$F8),BS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S$4=EDATE(EDATE('核心假设'!$B$5,10+$F8),$D8),SUM('融资租赁与资金缺口'!$D$5:$D$16)*$W8*'核心假设'!$B$32,0),0),IF(AND(BS$4&gt;EDATE('核心假设'!$B$5,11+$F8),BS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S$4=EDATE(EDATE('核心假设'!$B$5,11+$F8),$D8),SUM('融资租赁与资金缺口'!$D$5:$D$16)*$X8*'核心假设'!$B$32,0),0),IF(AND(BS$4&gt;EDATE('核心假设'!$B$5,12+$F8),BS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S$4=EDATE(EDATE('核心假设'!$B$5,12+$F8),$D8),SUM('融资租赁与资金缺口'!$D$5:$D$16)*$Y8*'核心假设'!$B$32,0),0),IF(AND(BS$4&gt;EDATE('核心假设'!$B$5,13+$F8),BS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S$4=EDATE(EDATE('核心假设'!$B$5,13+$F8),$D8),SUM('融资租赁与资金缺口'!$D$5:$D$16)*$Z8*'核心假设'!$B$32,0),0),IF(AND(BS$4&gt;EDATE('核心假设'!$B$5,14+$F8),BS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S$4=EDATE(EDATE('核心假设'!$B$5,14+$F8),$D8),SUM('融资租赁与资金缺口'!$D$5:$D$16)*$AA8*'核心假设'!$B$32,0),0),IF(AND(BS$4&gt;EDATE('核心假设'!$B$5,15+$F8),BS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S$4=EDATE(EDATE('核心假设'!$B$5,15+$F8),$D8),SUM('融资租赁与资金缺口'!$D$5:$D$16)*$AB8*'核心假设'!$B$32,0),0),IF(AND(BS$4&gt;EDATE('核心假设'!$B$5,16+$F8),BS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S$4=EDATE(EDATE('核心假设'!$B$5,16+$F8),$D8),SUM('融资租赁与资金缺口'!$D$5:$D$16)*$AC8*'核心假设'!$B$32,0),0),IF(AND(BS$4&gt;EDATE('核心假设'!$B$5,17+$F8),BS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S$4=EDATE(EDATE('核心假设'!$B$5,17+$F8),$D8),SUM('融资租赁与资金缺口'!$D$5:$D$16)*$AD8*'核心假设'!$B$32,0),0))</x:f>
        <x:v>16372446.0375614</x:v>
      </x:c>
      <x:c r="BT25" s="28" t="n">
        <x:f>SUM(IF(AND(BT$4&gt;EDATE('核心假设'!$B$5,0+$F8),BT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T$4=EDATE(EDATE('核心假设'!$B$5,0+$F8),$D8),SUM('融资租赁与资金缺口'!$D$5:$D$16)*$M8*'核心假设'!$B$32,0),0),IF(AND(BT$4&gt;EDATE('核心假设'!$B$5,1+$F8),BT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T$4=EDATE(EDATE('核心假设'!$B$5,1+$F8),$D8),SUM('融资租赁与资金缺口'!$D$5:$D$16)*$N8*'核心假设'!$B$32,0),0),IF(AND(BT$4&gt;EDATE('核心假设'!$B$5,2+$F8),BT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T$4=EDATE(EDATE('核心假设'!$B$5,2+$F8),$D8),SUM('融资租赁与资金缺口'!$D$5:$D$16)*$O8*'核心假设'!$B$32,0),0),IF(AND(BT$4&gt;EDATE('核心假设'!$B$5,3+$F8),BT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T$4=EDATE(EDATE('核心假设'!$B$5,3+$F8),$D8),SUM('融资租赁与资金缺口'!$D$5:$D$16)*$P8*'核心假设'!$B$32,0),0),IF(AND(BT$4&gt;EDATE('核心假设'!$B$5,4+$F8),BT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T$4=EDATE(EDATE('核心假设'!$B$5,4+$F8),$D8),SUM('融资租赁与资金缺口'!$D$5:$D$16)*$Q8*'核心假设'!$B$32,0),0),IF(AND(BT$4&gt;EDATE('核心假设'!$B$5,5+$F8),BT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T$4=EDATE(EDATE('核心假设'!$B$5,5+$F8),$D8),SUM('融资租赁与资金缺口'!$D$5:$D$16)*$R8*'核心假设'!$B$32,0),0),IF(AND(BT$4&gt;EDATE('核心假设'!$B$5,6+$F8),BT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T$4=EDATE(EDATE('核心假设'!$B$5,6+$F8),$D8),SUM('融资租赁与资金缺口'!$D$5:$D$16)*$S8*'核心假设'!$B$32,0),0),IF(AND(BT$4&gt;EDATE('核心假设'!$B$5,7+$F8),BT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T$4=EDATE(EDATE('核心假设'!$B$5,7+$F8),$D8),SUM('融资租赁与资金缺口'!$D$5:$D$16)*$T8*'核心假设'!$B$32,0),0),IF(AND(BT$4&gt;EDATE('核心假设'!$B$5,8+$F8),BT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T$4=EDATE(EDATE('核心假设'!$B$5,8+$F8),$D8),SUM('融资租赁与资金缺口'!$D$5:$D$16)*$U8*'核心假设'!$B$32,0),0),IF(AND(BT$4&gt;EDATE('核心假设'!$B$5,9+$F8),BT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T$4=EDATE(EDATE('核心假设'!$B$5,9+$F8),$D8),SUM('融资租赁与资金缺口'!$D$5:$D$16)*$V8*'核心假设'!$B$32,0),0),IF(AND(BT$4&gt;EDATE('核心假设'!$B$5,10+$F8),BT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T$4=EDATE(EDATE('核心假设'!$B$5,10+$F8),$D8),SUM('融资租赁与资金缺口'!$D$5:$D$16)*$W8*'核心假设'!$B$32,0),0),IF(AND(BT$4&gt;EDATE('核心假设'!$B$5,11+$F8),BT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T$4=EDATE(EDATE('核心假设'!$B$5,11+$F8),$D8),SUM('融资租赁与资金缺口'!$D$5:$D$16)*$X8*'核心假设'!$B$32,0),0),IF(AND(BT$4&gt;EDATE('核心假设'!$B$5,12+$F8),BT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T$4=EDATE(EDATE('核心假设'!$B$5,12+$F8),$D8),SUM('融资租赁与资金缺口'!$D$5:$D$16)*$Y8*'核心假设'!$B$32,0),0),IF(AND(BT$4&gt;EDATE('核心假设'!$B$5,13+$F8),BT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T$4=EDATE(EDATE('核心假设'!$B$5,13+$F8),$D8),SUM('融资租赁与资金缺口'!$D$5:$D$16)*$Z8*'核心假设'!$B$32,0),0),IF(AND(BT$4&gt;EDATE('核心假设'!$B$5,14+$F8),BT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T$4=EDATE(EDATE('核心假设'!$B$5,14+$F8),$D8),SUM('融资租赁与资金缺口'!$D$5:$D$16)*$AA8*'核心假设'!$B$32,0),0),IF(AND(BT$4&gt;EDATE('核心假设'!$B$5,15+$F8),BT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T$4=EDATE(EDATE('核心假设'!$B$5,15+$F8),$D8),SUM('融资租赁与资金缺口'!$D$5:$D$16)*$AB8*'核心假设'!$B$32,0),0),IF(AND(BT$4&gt;EDATE('核心假设'!$B$5,16+$F8),BT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T$4=EDATE(EDATE('核心假设'!$B$5,16+$F8),$D8),SUM('融资租赁与资金缺口'!$D$5:$D$16)*$AC8*'核心假设'!$B$32,0),0),IF(AND(BT$4&gt;EDATE('核心假设'!$B$5,17+$F8),BT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T$4=EDATE(EDATE('核心假设'!$B$5,17+$F8),$D8),SUM('融资租赁与资金缺口'!$D$5:$D$16)*$AD8*'核心假设'!$B$32,0),0))</x:f>
        <x:v>15413315.024662785</x:v>
      </x:c>
      <x:c r="BU25" s="28" t="n">
        <x:f>SUM(IF(AND(BU$4&gt;EDATE('核心假设'!$B$5,0+$F8),BU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U$4=EDATE(EDATE('核心假设'!$B$5,0+$F8),$D8),SUM('融资租赁与资金缺口'!$D$5:$D$16)*$M8*'核心假设'!$B$32,0),0),IF(AND(BU$4&gt;EDATE('核心假设'!$B$5,1+$F8),BU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U$4=EDATE(EDATE('核心假设'!$B$5,1+$F8),$D8),SUM('融资租赁与资金缺口'!$D$5:$D$16)*$N8*'核心假设'!$B$32,0),0),IF(AND(BU$4&gt;EDATE('核心假设'!$B$5,2+$F8),BU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U$4=EDATE(EDATE('核心假设'!$B$5,2+$F8),$D8),SUM('融资租赁与资金缺口'!$D$5:$D$16)*$O8*'核心假设'!$B$32,0),0),IF(AND(BU$4&gt;EDATE('核心假设'!$B$5,3+$F8),BU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U$4=EDATE(EDATE('核心假设'!$B$5,3+$F8),$D8),SUM('融资租赁与资金缺口'!$D$5:$D$16)*$P8*'核心假设'!$B$32,0),0),IF(AND(BU$4&gt;EDATE('核心假设'!$B$5,4+$F8),BU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U$4=EDATE(EDATE('核心假设'!$B$5,4+$F8),$D8),SUM('融资租赁与资金缺口'!$D$5:$D$16)*$Q8*'核心假设'!$B$32,0),0),IF(AND(BU$4&gt;EDATE('核心假设'!$B$5,5+$F8),BU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U$4=EDATE(EDATE('核心假设'!$B$5,5+$F8),$D8),SUM('融资租赁与资金缺口'!$D$5:$D$16)*$R8*'核心假设'!$B$32,0),0),IF(AND(BU$4&gt;EDATE('核心假设'!$B$5,6+$F8),BU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U$4=EDATE(EDATE('核心假设'!$B$5,6+$F8),$D8),SUM('融资租赁与资金缺口'!$D$5:$D$16)*$S8*'核心假设'!$B$32,0),0),IF(AND(BU$4&gt;EDATE('核心假设'!$B$5,7+$F8),BU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U$4=EDATE(EDATE('核心假设'!$B$5,7+$F8),$D8),SUM('融资租赁与资金缺口'!$D$5:$D$16)*$T8*'核心假设'!$B$32,0),0),IF(AND(BU$4&gt;EDATE('核心假设'!$B$5,8+$F8),BU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U$4=EDATE(EDATE('核心假设'!$B$5,8+$F8),$D8),SUM('融资租赁与资金缺口'!$D$5:$D$16)*$U8*'核心假设'!$B$32,0),0),IF(AND(BU$4&gt;EDATE('核心假设'!$B$5,9+$F8),BU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U$4=EDATE(EDATE('核心假设'!$B$5,9+$F8),$D8),SUM('融资租赁与资金缺口'!$D$5:$D$16)*$V8*'核心假设'!$B$32,0),0),IF(AND(BU$4&gt;EDATE('核心假设'!$B$5,10+$F8),BU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U$4=EDATE(EDATE('核心假设'!$B$5,10+$F8),$D8),SUM('融资租赁与资金缺口'!$D$5:$D$16)*$W8*'核心假设'!$B$32,0),0),IF(AND(BU$4&gt;EDATE('核心假设'!$B$5,11+$F8),BU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U$4=EDATE(EDATE('核心假设'!$B$5,11+$F8),$D8),SUM('融资租赁与资金缺口'!$D$5:$D$16)*$X8*'核心假设'!$B$32,0),0),IF(AND(BU$4&gt;EDATE('核心假设'!$B$5,12+$F8),BU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U$4=EDATE(EDATE('核心假设'!$B$5,12+$F8),$D8),SUM('融资租赁与资金缺口'!$D$5:$D$16)*$Y8*'核心假设'!$B$32,0),0),IF(AND(BU$4&gt;EDATE('核心假设'!$B$5,13+$F8),BU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U$4=EDATE(EDATE('核心假设'!$B$5,13+$F8),$D8),SUM('融资租赁与资金缺口'!$D$5:$D$16)*$Z8*'核心假设'!$B$32,0),0),IF(AND(BU$4&gt;EDATE('核心假设'!$B$5,14+$F8),BU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U$4=EDATE(EDATE('核心假设'!$B$5,14+$F8),$D8),SUM('融资租赁与资金缺口'!$D$5:$D$16)*$AA8*'核心假设'!$B$32,0),0),IF(AND(BU$4&gt;EDATE('核心假设'!$B$5,15+$F8),BU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U$4=EDATE(EDATE('核心假设'!$B$5,15+$F8),$D8),SUM('融资租赁与资金缺口'!$D$5:$D$16)*$AB8*'核心假设'!$B$32,0),0),IF(AND(BU$4&gt;EDATE('核心假设'!$B$5,16+$F8),BU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U$4=EDATE(EDATE('核心假设'!$B$5,16+$F8),$D8),SUM('融资租赁与资金缺口'!$D$5:$D$16)*$AC8*'核心假设'!$B$32,0),0),IF(AND(BU$4&gt;EDATE('核心假设'!$B$5,17+$F8),BU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U$4=EDATE(EDATE('核心假设'!$B$5,17+$F8),$D8),SUM('融资租赁与资金缺口'!$D$5:$D$16)*$AD8*'核心假设'!$B$32,0),0))</x:f>
        <x:v>14285273.842947735</x:v>
      </x:c>
      <x:c r="BV25" s="28" t="n">
        <x:f>SUM(IF(AND(BV$4&gt;EDATE('核心假设'!$B$5,0+$F8),BV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V$4=EDATE(EDATE('核心假设'!$B$5,0+$F8),$D8),SUM('融资租赁与资金缺口'!$D$5:$D$16)*$M8*'核心假设'!$B$32,0),0),IF(AND(BV$4&gt;EDATE('核心假设'!$B$5,1+$F8),BV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V$4=EDATE(EDATE('核心假设'!$B$5,1+$F8),$D8),SUM('融资租赁与资金缺口'!$D$5:$D$16)*$N8*'核心假设'!$B$32,0),0),IF(AND(BV$4&gt;EDATE('核心假设'!$B$5,2+$F8),BV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V$4=EDATE(EDATE('核心假设'!$B$5,2+$F8),$D8),SUM('融资租赁与资金缺口'!$D$5:$D$16)*$O8*'核心假设'!$B$32,0),0),IF(AND(BV$4&gt;EDATE('核心假设'!$B$5,3+$F8),BV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V$4=EDATE(EDATE('核心假设'!$B$5,3+$F8),$D8),SUM('融资租赁与资金缺口'!$D$5:$D$16)*$P8*'核心假设'!$B$32,0),0),IF(AND(BV$4&gt;EDATE('核心假设'!$B$5,4+$F8),BV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V$4=EDATE(EDATE('核心假设'!$B$5,4+$F8),$D8),SUM('融资租赁与资金缺口'!$D$5:$D$16)*$Q8*'核心假设'!$B$32,0),0),IF(AND(BV$4&gt;EDATE('核心假设'!$B$5,5+$F8),BV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V$4=EDATE(EDATE('核心假设'!$B$5,5+$F8),$D8),SUM('融资租赁与资金缺口'!$D$5:$D$16)*$R8*'核心假设'!$B$32,0),0),IF(AND(BV$4&gt;EDATE('核心假设'!$B$5,6+$F8),BV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V$4=EDATE(EDATE('核心假设'!$B$5,6+$F8),$D8),SUM('融资租赁与资金缺口'!$D$5:$D$16)*$S8*'核心假设'!$B$32,0),0),IF(AND(BV$4&gt;EDATE('核心假设'!$B$5,7+$F8),BV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V$4=EDATE(EDATE('核心假设'!$B$5,7+$F8),$D8),SUM('融资租赁与资金缺口'!$D$5:$D$16)*$T8*'核心假设'!$B$32,0),0),IF(AND(BV$4&gt;EDATE('核心假设'!$B$5,8+$F8),BV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V$4=EDATE(EDATE('核心假设'!$B$5,8+$F8),$D8),SUM('融资租赁与资金缺口'!$D$5:$D$16)*$U8*'核心假设'!$B$32,0),0),IF(AND(BV$4&gt;EDATE('核心假设'!$B$5,9+$F8),BV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V$4=EDATE(EDATE('核心假设'!$B$5,9+$F8),$D8),SUM('融资租赁与资金缺口'!$D$5:$D$16)*$V8*'核心假设'!$B$32,0),0),IF(AND(BV$4&gt;EDATE('核心假设'!$B$5,10+$F8),BV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V$4=EDATE(EDATE('核心假设'!$B$5,10+$F8),$D8),SUM('融资租赁与资金缺口'!$D$5:$D$16)*$W8*'核心假设'!$B$32,0),0),IF(AND(BV$4&gt;EDATE('核心假设'!$B$5,11+$F8),BV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V$4=EDATE(EDATE('核心假设'!$B$5,11+$F8),$D8),SUM('融资租赁与资金缺口'!$D$5:$D$16)*$X8*'核心假设'!$B$32,0),0),IF(AND(BV$4&gt;EDATE('核心假设'!$B$5,12+$F8),BV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V$4=EDATE(EDATE('核心假设'!$B$5,12+$F8),$D8),SUM('融资租赁与资金缺口'!$D$5:$D$16)*$Y8*'核心假设'!$B$32,0),0),IF(AND(BV$4&gt;EDATE('核心假设'!$B$5,13+$F8),BV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V$4=EDATE(EDATE('核心假设'!$B$5,13+$F8),$D8),SUM('融资租赁与资金缺口'!$D$5:$D$16)*$Z8*'核心假设'!$B$32,0),0),IF(AND(BV$4&gt;EDATE('核心假设'!$B$5,14+$F8),BV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V$4=EDATE(EDATE('核心假设'!$B$5,14+$F8),$D8),SUM('融资租赁与资金缺口'!$D$5:$D$16)*$AA8*'核心假设'!$B$32,0),0),IF(AND(BV$4&gt;EDATE('核心假设'!$B$5,15+$F8),BV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V$4=EDATE(EDATE('核心假设'!$B$5,15+$F8),$D8),SUM('融资租赁与资金缺口'!$D$5:$D$16)*$AB8*'核心假设'!$B$32,0),0),IF(AND(BV$4&gt;EDATE('核心假设'!$B$5,16+$F8),BV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V$4=EDATE(EDATE('核心假设'!$B$5,16+$F8),$D8),SUM('融资租赁与资金缺口'!$D$5:$D$16)*$AC8*'核心假设'!$B$32,0),0),IF(AND(BV$4&gt;EDATE('核心假设'!$B$5,17+$F8),BV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V$4=EDATE(EDATE('核心假设'!$B$5,17+$F8),$D8),SUM('融资租赁与资金缺口'!$D$5:$D$16)*$AD8*'核心假设'!$B$32,0),0))</x:f>
        <x:v>12988322.492416248</x:v>
      </x:c>
      <x:c r="BW25" s="28" t="n">
        <x:f>SUM(IF(AND(BW$4&gt;EDATE('核心假设'!$B$5,0+$F8),BW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W$4=EDATE(EDATE('核心假设'!$B$5,0+$F8),$D8),SUM('融资租赁与资金缺口'!$D$5:$D$16)*$M8*'核心假设'!$B$32,0),0),IF(AND(BW$4&gt;EDATE('核心假设'!$B$5,1+$F8),BW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W$4=EDATE(EDATE('核心假设'!$B$5,1+$F8),$D8),SUM('融资租赁与资金缺口'!$D$5:$D$16)*$N8*'核心假设'!$B$32,0),0),IF(AND(BW$4&gt;EDATE('核心假设'!$B$5,2+$F8),BW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W$4=EDATE(EDATE('核心假设'!$B$5,2+$F8),$D8),SUM('融资租赁与资金缺口'!$D$5:$D$16)*$O8*'核心假设'!$B$32,0),0),IF(AND(BW$4&gt;EDATE('核心假设'!$B$5,3+$F8),BW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W$4=EDATE(EDATE('核心假设'!$B$5,3+$F8),$D8),SUM('融资租赁与资金缺口'!$D$5:$D$16)*$P8*'核心假设'!$B$32,0),0),IF(AND(BW$4&gt;EDATE('核心假设'!$B$5,4+$F8),BW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W$4=EDATE(EDATE('核心假设'!$B$5,4+$F8),$D8),SUM('融资租赁与资金缺口'!$D$5:$D$16)*$Q8*'核心假设'!$B$32,0),0),IF(AND(BW$4&gt;EDATE('核心假设'!$B$5,5+$F8),BW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W$4=EDATE(EDATE('核心假设'!$B$5,5+$F8),$D8),SUM('融资租赁与资金缺口'!$D$5:$D$16)*$R8*'核心假设'!$B$32,0),0),IF(AND(BW$4&gt;EDATE('核心假设'!$B$5,6+$F8),BW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W$4=EDATE(EDATE('核心假设'!$B$5,6+$F8),$D8),SUM('融资租赁与资金缺口'!$D$5:$D$16)*$S8*'核心假设'!$B$32,0),0),IF(AND(BW$4&gt;EDATE('核心假设'!$B$5,7+$F8),BW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W$4=EDATE(EDATE('核心假设'!$B$5,7+$F8),$D8),SUM('融资租赁与资金缺口'!$D$5:$D$16)*$T8*'核心假设'!$B$32,0),0),IF(AND(BW$4&gt;EDATE('核心假设'!$B$5,8+$F8),BW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W$4=EDATE(EDATE('核心假设'!$B$5,8+$F8),$D8),SUM('融资租赁与资金缺口'!$D$5:$D$16)*$U8*'核心假设'!$B$32,0),0),IF(AND(BW$4&gt;EDATE('核心假设'!$B$5,9+$F8),BW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W$4=EDATE(EDATE('核心假设'!$B$5,9+$F8),$D8),SUM('融资租赁与资金缺口'!$D$5:$D$16)*$V8*'核心假设'!$B$32,0),0),IF(AND(BW$4&gt;EDATE('核心假设'!$B$5,10+$F8),BW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W$4=EDATE(EDATE('核心假设'!$B$5,10+$F8),$D8),SUM('融资租赁与资金缺口'!$D$5:$D$16)*$W8*'核心假设'!$B$32,0),0),IF(AND(BW$4&gt;EDATE('核心假设'!$B$5,11+$F8),BW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W$4=EDATE(EDATE('核心假设'!$B$5,11+$F8),$D8),SUM('融资租赁与资金缺口'!$D$5:$D$16)*$X8*'核心假设'!$B$32,0),0),IF(AND(BW$4&gt;EDATE('核心假设'!$B$5,12+$F8),BW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W$4=EDATE(EDATE('核心假设'!$B$5,12+$F8),$D8),SUM('融资租赁与资金缺口'!$D$5:$D$16)*$Y8*'核心假设'!$B$32,0),0),IF(AND(BW$4&gt;EDATE('核心假设'!$B$5,13+$F8),BW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W$4=EDATE(EDATE('核心假设'!$B$5,13+$F8),$D8),SUM('融资租赁与资金缺口'!$D$5:$D$16)*$Z8*'核心假设'!$B$32,0),0),IF(AND(BW$4&gt;EDATE('核心假设'!$B$5,14+$F8),BW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W$4=EDATE(EDATE('核心假设'!$B$5,14+$F8),$D8),SUM('融资租赁与资金缺口'!$D$5:$D$16)*$AA8*'核心假设'!$B$32,0),0),IF(AND(BW$4&gt;EDATE('核心假设'!$B$5,15+$F8),BW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W$4=EDATE(EDATE('核心假设'!$B$5,15+$F8),$D8),SUM('融资租赁与资金缺口'!$D$5:$D$16)*$AB8*'核心假设'!$B$32,0),0),IF(AND(BW$4&gt;EDATE('核心假设'!$B$5,16+$F8),BW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W$4=EDATE(EDATE('核心假设'!$B$5,16+$F8),$D8),SUM('融资租赁与资金缺口'!$D$5:$D$16)*$AC8*'核心假设'!$B$32,0),0),IF(AND(BW$4&gt;EDATE('核心假设'!$B$5,17+$F8),BW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W$4=EDATE(EDATE('核心假设'!$B$5,17+$F8),$D8),SUM('融资租赁与资金缺口'!$D$5:$D$16)*$AD8*'核心假设'!$B$32,0),0))</x:f>
        <x:v>11522460.973068327</x:v>
      </x:c>
      <x:c r="BX25" s="28" t="n">
        <x:f>SUM(IF(AND(BX$4&gt;EDATE('核心假设'!$B$5,0+$F8),BX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X$4=EDATE(EDATE('核心假设'!$B$5,0+$F8),$D8),SUM('融资租赁与资金缺口'!$D$5:$D$16)*$M8*'核心假设'!$B$32,0),0),IF(AND(BX$4&gt;EDATE('核心假设'!$B$5,1+$F8),BX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X$4=EDATE(EDATE('核心假设'!$B$5,1+$F8),$D8),SUM('融资租赁与资金缺口'!$D$5:$D$16)*$N8*'核心假设'!$B$32,0),0),IF(AND(BX$4&gt;EDATE('核心假设'!$B$5,2+$F8),BX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X$4=EDATE(EDATE('核心假设'!$B$5,2+$F8),$D8),SUM('融资租赁与资金缺口'!$D$5:$D$16)*$O8*'核心假设'!$B$32,0),0),IF(AND(BX$4&gt;EDATE('核心假设'!$B$5,3+$F8),BX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X$4=EDATE(EDATE('核心假设'!$B$5,3+$F8),$D8),SUM('融资租赁与资金缺口'!$D$5:$D$16)*$P8*'核心假设'!$B$32,0),0),IF(AND(BX$4&gt;EDATE('核心假设'!$B$5,4+$F8),BX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X$4=EDATE(EDATE('核心假设'!$B$5,4+$F8),$D8),SUM('融资租赁与资金缺口'!$D$5:$D$16)*$Q8*'核心假设'!$B$32,0),0),IF(AND(BX$4&gt;EDATE('核心假设'!$B$5,5+$F8),BX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X$4=EDATE(EDATE('核心假设'!$B$5,5+$F8),$D8),SUM('融资租赁与资金缺口'!$D$5:$D$16)*$R8*'核心假设'!$B$32,0),0),IF(AND(BX$4&gt;EDATE('核心假设'!$B$5,6+$F8),BX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X$4=EDATE(EDATE('核心假设'!$B$5,6+$F8),$D8),SUM('融资租赁与资金缺口'!$D$5:$D$16)*$S8*'核心假设'!$B$32,0),0),IF(AND(BX$4&gt;EDATE('核心假设'!$B$5,7+$F8),BX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X$4=EDATE(EDATE('核心假设'!$B$5,7+$F8),$D8),SUM('融资租赁与资金缺口'!$D$5:$D$16)*$T8*'核心假设'!$B$32,0),0),IF(AND(BX$4&gt;EDATE('核心假设'!$B$5,8+$F8),BX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X$4=EDATE(EDATE('核心假设'!$B$5,8+$F8),$D8),SUM('融资租赁与资金缺口'!$D$5:$D$16)*$U8*'核心假设'!$B$32,0),0),IF(AND(BX$4&gt;EDATE('核心假设'!$B$5,9+$F8),BX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X$4=EDATE(EDATE('核心假设'!$B$5,9+$F8),$D8),SUM('融资租赁与资金缺口'!$D$5:$D$16)*$V8*'核心假设'!$B$32,0),0),IF(AND(BX$4&gt;EDATE('核心假设'!$B$5,10+$F8),BX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X$4=EDATE(EDATE('核心假设'!$B$5,10+$F8),$D8),SUM('融资租赁与资金缺口'!$D$5:$D$16)*$W8*'核心假设'!$B$32,0),0),IF(AND(BX$4&gt;EDATE('核心假设'!$B$5,11+$F8),BX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X$4=EDATE(EDATE('核心假设'!$B$5,11+$F8),$D8),SUM('融资租赁与资金缺口'!$D$5:$D$16)*$X8*'核心假设'!$B$32,0),0),IF(AND(BX$4&gt;EDATE('核心假设'!$B$5,12+$F8),BX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X$4=EDATE(EDATE('核心假设'!$B$5,12+$F8),$D8),SUM('融资租赁与资金缺口'!$D$5:$D$16)*$Y8*'核心假设'!$B$32,0),0),IF(AND(BX$4&gt;EDATE('核心假设'!$B$5,13+$F8),BX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X$4=EDATE(EDATE('核心假设'!$B$5,13+$F8),$D8),SUM('融资租赁与资金缺口'!$D$5:$D$16)*$Z8*'核心假设'!$B$32,0),0),IF(AND(BX$4&gt;EDATE('核心假设'!$B$5,14+$F8),BX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X$4=EDATE(EDATE('核心假设'!$B$5,14+$F8),$D8),SUM('融资租赁与资金缺口'!$D$5:$D$16)*$AA8*'核心假设'!$B$32,0),0),IF(AND(BX$4&gt;EDATE('核心假设'!$B$5,15+$F8),BX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X$4=EDATE(EDATE('核心假设'!$B$5,15+$F8),$D8),SUM('融资租赁与资金缺口'!$D$5:$D$16)*$AB8*'核心假设'!$B$32,0),0),IF(AND(BX$4&gt;EDATE('核心假设'!$B$5,16+$F8),BX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X$4=EDATE(EDATE('核心假设'!$B$5,16+$F8),$D8),SUM('融资租赁与资金缺口'!$D$5:$D$16)*$AC8*'核心假设'!$B$32,0),0),IF(AND(BX$4&gt;EDATE('核心假设'!$B$5,17+$F8),BX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X$4=EDATE(EDATE('核心假设'!$B$5,17+$F8),$D8),SUM('融资租赁与资金缺口'!$D$5:$D$16)*$AD8*'核心假设'!$B$32,0),0))</x:f>
        <x:v>9887689.284903968</x:v>
      </x:c>
      <x:c r="BY25" s="28" t="n">
        <x:f>SUM(IF(AND(BY$4&gt;EDATE('核心假设'!$B$5,0+$F8),BY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Y$4=EDATE(EDATE('核心假设'!$B$5,0+$F8),$D8),SUM('融资租赁与资金缺口'!$D$5:$D$16)*$M8*'核心假设'!$B$32,0),0),IF(AND(BY$4&gt;EDATE('核心假设'!$B$5,1+$F8),BY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Y$4=EDATE(EDATE('核心假设'!$B$5,1+$F8),$D8),SUM('融资租赁与资金缺口'!$D$5:$D$16)*$N8*'核心假设'!$B$32,0),0),IF(AND(BY$4&gt;EDATE('核心假设'!$B$5,2+$F8),BY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Y$4=EDATE(EDATE('核心假设'!$B$5,2+$F8),$D8),SUM('融资租赁与资金缺口'!$D$5:$D$16)*$O8*'核心假设'!$B$32,0),0),IF(AND(BY$4&gt;EDATE('核心假设'!$B$5,3+$F8),BY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Y$4=EDATE(EDATE('核心假设'!$B$5,3+$F8),$D8),SUM('融资租赁与资金缺口'!$D$5:$D$16)*$P8*'核心假设'!$B$32,0),0),IF(AND(BY$4&gt;EDATE('核心假设'!$B$5,4+$F8),BY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Y$4=EDATE(EDATE('核心假设'!$B$5,4+$F8),$D8),SUM('融资租赁与资金缺口'!$D$5:$D$16)*$Q8*'核心假设'!$B$32,0),0),IF(AND(BY$4&gt;EDATE('核心假设'!$B$5,5+$F8),BY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Y$4=EDATE(EDATE('核心假设'!$B$5,5+$F8),$D8),SUM('融资租赁与资金缺口'!$D$5:$D$16)*$R8*'核心假设'!$B$32,0),0),IF(AND(BY$4&gt;EDATE('核心假设'!$B$5,6+$F8),BY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Y$4=EDATE(EDATE('核心假设'!$B$5,6+$F8),$D8),SUM('融资租赁与资金缺口'!$D$5:$D$16)*$S8*'核心假设'!$B$32,0),0),IF(AND(BY$4&gt;EDATE('核心假设'!$B$5,7+$F8),BY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Y$4=EDATE(EDATE('核心假设'!$B$5,7+$F8),$D8),SUM('融资租赁与资金缺口'!$D$5:$D$16)*$T8*'核心假设'!$B$32,0),0),IF(AND(BY$4&gt;EDATE('核心假设'!$B$5,8+$F8),BY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Y$4=EDATE(EDATE('核心假设'!$B$5,8+$F8),$D8),SUM('融资租赁与资金缺口'!$D$5:$D$16)*$U8*'核心假设'!$B$32,0),0),IF(AND(BY$4&gt;EDATE('核心假设'!$B$5,9+$F8),BY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Y$4=EDATE(EDATE('核心假设'!$B$5,9+$F8),$D8),SUM('融资租赁与资金缺口'!$D$5:$D$16)*$V8*'核心假设'!$B$32,0),0),IF(AND(BY$4&gt;EDATE('核心假设'!$B$5,10+$F8),BY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Y$4=EDATE(EDATE('核心假设'!$B$5,10+$F8),$D8),SUM('融资租赁与资金缺口'!$D$5:$D$16)*$W8*'核心假设'!$B$32,0),0),IF(AND(BY$4&gt;EDATE('核心假设'!$B$5,11+$F8),BY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Y$4=EDATE(EDATE('核心假设'!$B$5,11+$F8),$D8),SUM('融资租赁与资金缺口'!$D$5:$D$16)*$X8*'核心假设'!$B$32,0),0),IF(AND(BY$4&gt;EDATE('核心假设'!$B$5,12+$F8),BY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Y$4=EDATE(EDATE('核心假设'!$B$5,12+$F8),$D8),SUM('融资租赁与资金缺口'!$D$5:$D$16)*$Y8*'核心假设'!$B$32,0),0),IF(AND(BY$4&gt;EDATE('核心假设'!$B$5,13+$F8),BY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Y$4=EDATE(EDATE('核心假设'!$B$5,13+$F8),$D8),SUM('融资租赁与资金缺口'!$D$5:$D$16)*$Z8*'核心假设'!$B$32,0),0),IF(AND(BY$4&gt;EDATE('核心假设'!$B$5,14+$F8),BY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Y$4=EDATE(EDATE('核心假设'!$B$5,14+$F8),$D8),SUM('融资租赁与资金缺口'!$D$5:$D$16)*$AA8*'核心假设'!$B$32,0),0),IF(AND(BY$4&gt;EDATE('核心假设'!$B$5,15+$F8),BY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Y$4=EDATE(EDATE('核心假设'!$B$5,15+$F8),$D8),SUM('融资租赁与资金缺口'!$D$5:$D$16)*$AB8*'核心假设'!$B$32,0),0),IF(AND(BY$4&gt;EDATE('核心假设'!$B$5,16+$F8),BY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Y$4=EDATE(EDATE('核心假设'!$B$5,16+$F8),$D8),SUM('融资租赁与资金缺口'!$D$5:$D$16)*$AC8*'核心假设'!$B$32,0),0),IF(AND(BY$4&gt;EDATE('核心假设'!$B$5,17+$F8),BY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Y$4=EDATE(EDATE('核心假设'!$B$5,17+$F8),$D8),SUM('融资租赁与资金缺口'!$D$5:$D$16)*$AD8*'核心假设'!$B$32,0),0))</x:f>
        <x:v>8029677.427923175</x:v>
      </x:c>
      <x:c r="BZ25" s="28" t="n">
        <x:f>SUM(IF(AND(BZ$4&gt;EDATE('核心假设'!$B$5,0+$F8),BZ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BZ$4=EDATE(EDATE('核心假设'!$B$5,0+$F8),$D8),SUM('融资租赁与资金缺口'!$D$5:$D$16)*$M8*'核心假设'!$B$32,0),0),IF(AND(BZ$4&gt;EDATE('核心假设'!$B$5,1+$F8),BZ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BZ$4=EDATE(EDATE('核心假设'!$B$5,1+$F8),$D8),SUM('融资租赁与资金缺口'!$D$5:$D$16)*$N8*'核心假设'!$B$32,0),0),IF(AND(BZ$4&gt;EDATE('核心假设'!$B$5,2+$F8),BZ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BZ$4=EDATE(EDATE('核心假设'!$B$5,2+$F8),$D8),SUM('融资租赁与资金缺口'!$D$5:$D$16)*$O8*'核心假设'!$B$32,0),0),IF(AND(BZ$4&gt;EDATE('核心假设'!$B$5,3+$F8),BZ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BZ$4=EDATE(EDATE('核心假设'!$B$5,3+$F8),$D8),SUM('融资租赁与资金缺口'!$D$5:$D$16)*$P8*'核心假设'!$B$32,0),0),IF(AND(BZ$4&gt;EDATE('核心假设'!$B$5,4+$F8),BZ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BZ$4=EDATE(EDATE('核心假设'!$B$5,4+$F8),$D8),SUM('融资租赁与资金缺口'!$D$5:$D$16)*$Q8*'核心假设'!$B$32,0),0),IF(AND(BZ$4&gt;EDATE('核心假设'!$B$5,5+$F8),BZ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BZ$4=EDATE(EDATE('核心假设'!$B$5,5+$F8),$D8),SUM('融资租赁与资金缺口'!$D$5:$D$16)*$R8*'核心假设'!$B$32,0),0),IF(AND(BZ$4&gt;EDATE('核心假设'!$B$5,6+$F8),BZ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BZ$4=EDATE(EDATE('核心假设'!$B$5,6+$F8),$D8),SUM('融资租赁与资金缺口'!$D$5:$D$16)*$S8*'核心假设'!$B$32,0),0),IF(AND(BZ$4&gt;EDATE('核心假设'!$B$5,7+$F8),BZ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BZ$4=EDATE(EDATE('核心假设'!$B$5,7+$F8),$D8),SUM('融资租赁与资金缺口'!$D$5:$D$16)*$T8*'核心假设'!$B$32,0),0),IF(AND(BZ$4&gt;EDATE('核心假设'!$B$5,8+$F8),BZ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BZ$4=EDATE(EDATE('核心假设'!$B$5,8+$F8),$D8),SUM('融资租赁与资金缺口'!$D$5:$D$16)*$U8*'核心假设'!$B$32,0),0),IF(AND(BZ$4&gt;EDATE('核心假设'!$B$5,9+$F8),BZ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BZ$4=EDATE(EDATE('核心假设'!$B$5,9+$F8),$D8),SUM('融资租赁与资金缺口'!$D$5:$D$16)*$V8*'核心假设'!$B$32,0),0),IF(AND(BZ$4&gt;EDATE('核心假设'!$B$5,10+$F8),BZ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BZ$4=EDATE(EDATE('核心假设'!$B$5,10+$F8),$D8),SUM('融资租赁与资金缺口'!$D$5:$D$16)*$W8*'核心假设'!$B$32,0),0),IF(AND(BZ$4&gt;EDATE('核心假设'!$B$5,11+$F8),BZ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BZ$4=EDATE(EDATE('核心假设'!$B$5,11+$F8),$D8),SUM('融资租赁与资金缺口'!$D$5:$D$16)*$X8*'核心假设'!$B$32,0),0),IF(AND(BZ$4&gt;EDATE('核心假设'!$B$5,12+$F8),BZ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BZ$4=EDATE(EDATE('核心假设'!$B$5,12+$F8),$D8),SUM('融资租赁与资金缺口'!$D$5:$D$16)*$Y8*'核心假设'!$B$32,0),0),IF(AND(BZ$4&gt;EDATE('核心假设'!$B$5,13+$F8),BZ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BZ$4=EDATE(EDATE('核心假设'!$B$5,13+$F8),$D8),SUM('融资租赁与资金缺口'!$D$5:$D$16)*$Z8*'核心假设'!$B$32,0),0),IF(AND(BZ$4&gt;EDATE('核心假设'!$B$5,14+$F8),BZ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BZ$4=EDATE(EDATE('核心假设'!$B$5,14+$F8),$D8),SUM('融资租赁与资金缺口'!$D$5:$D$16)*$AA8*'核心假设'!$B$32,0),0),IF(AND(BZ$4&gt;EDATE('核心假设'!$B$5,15+$F8),BZ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BZ$4=EDATE(EDATE('核心假设'!$B$5,15+$F8),$D8),SUM('融资租赁与资金缺口'!$D$5:$D$16)*$AB8*'核心假设'!$B$32,0),0),IF(AND(BZ$4&gt;EDATE('核心假设'!$B$5,16+$F8),BZ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BZ$4=EDATE(EDATE('核心假设'!$B$5,16+$F8),$D8),SUM('融资租赁与资金缺口'!$D$5:$D$16)*$AC8*'核心假设'!$B$32,0),0),IF(AND(BZ$4&gt;EDATE('核心假设'!$B$5,17+$F8),BZ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BZ$4=EDATE(EDATE('核心假设'!$B$5,17+$F8),$D8),SUM('融资租赁与资金缺口'!$D$5:$D$16)*$AD8*'核心假设'!$B$32,0),0))</x:f>
        <x:v>6117335.570942381</x:v>
      </x:c>
      <x:c r="CA25" s="28" t="n">
        <x:f>SUM(IF(AND(CA$4&gt;EDATE('核心假设'!$B$5,0+$F8),CA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CA$4=EDATE(EDATE('核心假设'!$B$5,0+$F8),$D8),SUM('融资租赁与资金缺口'!$D$5:$D$16)*$M8*'核心假设'!$B$32,0),0),IF(AND(CA$4&gt;EDATE('核心假设'!$B$5,1+$F8),CA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CA$4=EDATE(EDATE('核心假设'!$B$5,1+$F8),$D8),SUM('融资租赁与资金缺口'!$D$5:$D$16)*$N8*'核心假设'!$B$32,0),0),IF(AND(CA$4&gt;EDATE('核心假设'!$B$5,2+$F8),CA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CA$4=EDATE(EDATE('核心假设'!$B$5,2+$F8),$D8),SUM('融资租赁与资金缺口'!$D$5:$D$16)*$O8*'核心假设'!$B$32,0),0),IF(AND(CA$4&gt;EDATE('核心假设'!$B$5,3+$F8),CA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CA$4=EDATE(EDATE('核心假设'!$B$5,3+$F8),$D8),SUM('融资租赁与资金缺口'!$D$5:$D$16)*$P8*'核心假设'!$B$32,0),0),IF(AND(CA$4&gt;EDATE('核心假设'!$B$5,4+$F8),CA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CA$4=EDATE(EDATE('核心假设'!$B$5,4+$F8),$D8),SUM('融资租赁与资金缺口'!$D$5:$D$16)*$Q8*'核心假设'!$B$32,0),0),IF(AND(CA$4&gt;EDATE('核心假设'!$B$5,5+$F8),CA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CA$4=EDATE(EDATE('核心假设'!$B$5,5+$F8),$D8),SUM('融资租赁与资金缺口'!$D$5:$D$16)*$R8*'核心假设'!$B$32,0),0),IF(AND(CA$4&gt;EDATE('核心假设'!$B$5,6+$F8),CA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CA$4=EDATE(EDATE('核心假设'!$B$5,6+$F8),$D8),SUM('融资租赁与资金缺口'!$D$5:$D$16)*$S8*'核心假设'!$B$32,0),0),IF(AND(CA$4&gt;EDATE('核心假设'!$B$5,7+$F8),CA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CA$4=EDATE(EDATE('核心假设'!$B$5,7+$F8),$D8),SUM('融资租赁与资金缺口'!$D$5:$D$16)*$T8*'核心假设'!$B$32,0),0),IF(AND(CA$4&gt;EDATE('核心假设'!$B$5,8+$F8),CA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CA$4=EDATE(EDATE('核心假设'!$B$5,8+$F8),$D8),SUM('融资租赁与资金缺口'!$D$5:$D$16)*$U8*'核心假设'!$B$32,0),0),IF(AND(CA$4&gt;EDATE('核心假设'!$B$5,9+$F8),CA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CA$4=EDATE(EDATE('核心假设'!$B$5,9+$F8),$D8),SUM('融资租赁与资金缺口'!$D$5:$D$16)*$V8*'核心假设'!$B$32,0),0),IF(AND(CA$4&gt;EDATE('核心假设'!$B$5,10+$F8),CA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CA$4=EDATE(EDATE('核心假设'!$B$5,10+$F8),$D8),SUM('融资租赁与资金缺口'!$D$5:$D$16)*$W8*'核心假设'!$B$32,0),0),IF(AND(CA$4&gt;EDATE('核心假设'!$B$5,11+$F8),CA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CA$4=EDATE(EDATE('核心假设'!$B$5,11+$F8),$D8),SUM('融资租赁与资金缺口'!$D$5:$D$16)*$X8*'核心假设'!$B$32,0),0),IF(AND(CA$4&gt;EDATE('核心假设'!$B$5,12+$F8),CA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CA$4=EDATE(EDATE('核心假设'!$B$5,12+$F8),$D8),SUM('融资租赁与资金缺口'!$D$5:$D$16)*$Y8*'核心假设'!$B$32,0),0),IF(AND(CA$4&gt;EDATE('核心假设'!$B$5,13+$F8),CA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CA$4=EDATE(EDATE('核心假设'!$B$5,13+$F8),$D8),SUM('融资租赁与资金缺口'!$D$5:$D$16)*$Z8*'核心假设'!$B$32,0),0),IF(AND(CA$4&gt;EDATE('核心假设'!$B$5,14+$F8),CA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CA$4=EDATE(EDATE('核心假设'!$B$5,14+$F8),$D8),SUM('融资租赁与资金缺口'!$D$5:$D$16)*$AA8*'核心假设'!$B$32,0),0),IF(AND(CA$4&gt;EDATE('核心假设'!$B$5,15+$F8),CA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CA$4=EDATE(EDATE('核心假设'!$B$5,15+$F8),$D8),SUM('融资租赁与资金缺口'!$D$5:$D$16)*$AB8*'核心假设'!$B$32,0),0),IF(AND(CA$4&gt;EDATE('核心假设'!$B$5,16+$F8),CA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CA$4=EDATE(EDATE('核心假设'!$B$5,16+$F8),$D8),SUM('融资租赁与资金缺口'!$D$5:$D$16)*$AC8*'核心假设'!$B$32,0),0),IF(AND(CA$4&gt;EDATE('核心假设'!$B$5,17+$F8),CA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CA$4=EDATE(EDATE('核心假设'!$B$5,17+$F8),$D8),SUM('融资租赁与资金缺口'!$D$5:$D$16)*$AD8*'核心假设'!$B$32,0),0))</x:f>
        <x:v>4373903.882778023</x:v>
      </x:c>
      <x:c r="CB25" s="28" t="n">
        <x:f>SUM(IF(AND(CB$4&gt;EDATE('核心假设'!$B$5,0+$F8),CB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CB$4=EDATE(EDATE('核心假设'!$B$5,0+$F8),$D8),SUM('融资租赁与资金缺口'!$D$5:$D$16)*$M8*'核心假设'!$B$32,0),0),IF(AND(CB$4&gt;EDATE('核心假设'!$B$5,1+$F8),CB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CB$4=EDATE(EDATE('核心假设'!$B$5,1+$F8),$D8),SUM('融资租赁与资金缺口'!$D$5:$D$16)*$N8*'核心假设'!$B$32,0),0),IF(AND(CB$4&gt;EDATE('核心假设'!$B$5,2+$F8),CB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CB$4=EDATE(EDATE('核心假设'!$B$5,2+$F8),$D8),SUM('融资租赁与资金缺口'!$D$5:$D$16)*$O8*'核心假设'!$B$32,0),0),IF(AND(CB$4&gt;EDATE('核心假设'!$B$5,3+$F8),CB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CB$4=EDATE(EDATE('核心假设'!$B$5,3+$F8),$D8),SUM('融资租赁与资金缺口'!$D$5:$D$16)*$P8*'核心假设'!$B$32,0),0),IF(AND(CB$4&gt;EDATE('核心假设'!$B$5,4+$F8),CB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CB$4=EDATE(EDATE('核心假设'!$B$5,4+$F8),$D8),SUM('融资租赁与资金缺口'!$D$5:$D$16)*$Q8*'核心假设'!$B$32,0),0),IF(AND(CB$4&gt;EDATE('核心假设'!$B$5,5+$F8),CB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CB$4=EDATE(EDATE('核心假设'!$B$5,5+$F8),$D8),SUM('融资租赁与资金缺口'!$D$5:$D$16)*$R8*'核心假设'!$B$32,0),0),IF(AND(CB$4&gt;EDATE('核心假设'!$B$5,6+$F8),CB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CB$4=EDATE(EDATE('核心假设'!$B$5,6+$F8),$D8),SUM('融资租赁与资金缺口'!$D$5:$D$16)*$S8*'核心假设'!$B$32,0),0),IF(AND(CB$4&gt;EDATE('核心假设'!$B$5,7+$F8),CB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CB$4=EDATE(EDATE('核心假设'!$B$5,7+$F8),$D8),SUM('融资租赁与资金缺口'!$D$5:$D$16)*$T8*'核心假设'!$B$32,0),0),IF(AND(CB$4&gt;EDATE('核心假设'!$B$5,8+$F8),CB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CB$4=EDATE(EDATE('核心假设'!$B$5,8+$F8),$D8),SUM('融资租赁与资金缺口'!$D$5:$D$16)*$U8*'核心假设'!$B$32,0),0),IF(AND(CB$4&gt;EDATE('核心假设'!$B$5,9+$F8),CB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CB$4=EDATE(EDATE('核心假设'!$B$5,9+$F8),$D8),SUM('融资租赁与资金缺口'!$D$5:$D$16)*$V8*'核心假设'!$B$32,0),0),IF(AND(CB$4&gt;EDATE('核心假设'!$B$5,10+$F8),CB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CB$4=EDATE(EDATE('核心假设'!$B$5,10+$F8),$D8),SUM('融资租赁与资金缺口'!$D$5:$D$16)*$W8*'核心假设'!$B$32,0),0),IF(AND(CB$4&gt;EDATE('核心假设'!$B$5,11+$F8),CB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CB$4=EDATE(EDATE('核心假设'!$B$5,11+$F8),$D8),SUM('融资租赁与资金缺口'!$D$5:$D$16)*$X8*'核心假设'!$B$32,0),0),IF(AND(CB$4&gt;EDATE('核心假设'!$B$5,12+$F8),CB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CB$4=EDATE(EDATE('核心假设'!$B$5,12+$F8),$D8),SUM('融资租赁与资金缺口'!$D$5:$D$16)*$Y8*'核心假设'!$B$32,0),0),IF(AND(CB$4&gt;EDATE('核心假设'!$B$5,13+$F8),CB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CB$4=EDATE(EDATE('核心假设'!$B$5,13+$F8),$D8),SUM('融资租赁与资金缺口'!$D$5:$D$16)*$Z8*'核心假设'!$B$32,0),0),IF(AND(CB$4&gt;EDATE('核心假设'!$B$5,14+$F8),CB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CB$4=EDATE(EDATE('核心假设'!$B$5,14+$F8),$D8),SUM('融资租赁与资金缺口'!$D$5:$D$16)*$AA8*'核心假设'!$B$32,0),0),IF(AND(CB$4&gt;EDATE('核心假设'!$B$5,15+$F8),CB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CB$4=EDATE(EDATE('核心假设'!$B$5,15+$F8),$D8),SUM('融资租赁与资金缺口'!$D$5:$D$16)*$AB8*'核心假设'!$B$32,0),0),IF(AND(CB$4&gt;EDATE('核心假设'!$B$5,16+$F8),CB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CB$4=EDATE(EDATE('核心假设'!$B$5,16+$F8),$D8),SUM('融资租赁与资金缺口'!$D$5:$D$16)*$AC8*'核心假设'!$B$32,0),0),IF(AND(CB$4&gt;EDATE('核心假设'!$B$5,17+$F8),CB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CB$4=EDATE(EDATE('核心假设'!$B$5,17+$F8),$D8),SUM('融资租赁与资金缺口'!$D$5:$D$16)*$AD8*'核心假设'!$B$32,0),0))</x:f>
        <x:v>2799382.363430101</x:v>
      </x:c>
      <x:c r="CC25" s="28" t="n">
        <x:f>SUM(IF(AND(CC$4&gt;EDATE('核心假设'!$B$5,0+$F8),CC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CC$4=EDATE(EDATE('核心假设'!$B$5,0+$F8),$D8),SUM('融资租赁与资金缺口'!$D$5:$D$16)*$M8*'核心假设'!$B$32,0),0),IF(AND(CC$4&gt;EDATE('核心假设'!$B$5,1+$F8),CC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CC$4=EDATE(EDATE('核心假设'!$B$5,1+$F8),$D8),SUM('融资租赁与资金缺口'!$D$5:$D$16)*$N8*'核心假设'!$B$32,0),0),IF(AND(CC$4&gt;EDATE('核心假设'!$B$5,2+$F8),CC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CC$4=EDATE(EDATE('核心假设'!$B$5,2+$F8),$D8),SUM('融资租赁与资金缺口'!$D$5:$D$16)*$O8*'核心假设'!$B$32,0),0),IF(AND(CC$4&gt;EDATE('核心假设'!$B$5,3+$F8),CC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CC$4=EDATE(EDATE('核心假设'!$B$5,3+$F8),$D8),SUM('融资租赁与资金缺口'!$D$5:$D$16)*$P8*'核心假设'!$B$32,0),0),IF(AND(CC$4&gt;EDATE('核心假设'!$B$5,4+$F8),CC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CC$4=EDATE(EDATE('核心假设'!$B$5,4+$F8),$D8),SUM('融资租赁与资金缺口'!$D$5:$D$16)*$Q8*'核心假设'!$B$32,0),0),IF(AND(CC$4&gt;EDATE('核心假设'!$B$5,5+$F8),CC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CC$4=EDATE(EDATE('核心假设'!$B$5,5+$F8),$D8),SUM('融资租赁与资金缺口'!$D$5:$D$16)*$R8*'核心假设'!$B$32,0),0),IF(AND(CC$4&gt;EDATE('核心假设'!$B$5,6+$F8),CC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CC$4=EDATE(EDATE('核心假设'!$B$5,6+$F8),$D8),SUM('融资租赁与资金缺口'!$D$5:$D$16)*$S8*'核心假设'!$B$32,0),0),IF(AND(CC$4&gt;EDATE('核心假设'!$B$5,7+$F8),CC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CC$4=EDATE(EDATE('核心假设'!$B$5,7+$F8),$D8),SUM('融资租赁与资金缺口'!$D$5:$D$16)*$T8*'核心假设'!$B$32,0),0),IF(AND(CC$4&gt;EDATE('核心假设'!$B$5,8+$F8),CC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CC$4=EDATE(EDATE('核心假设'!$B$5,8+$F8),$D8),SUM('融资租赁与资金缺口'!$D$5:$D$16)*$U8*'核心假设'!$B$32,0),0),IF(AND(CC$4&gt;EDATE('核心假设'!$B$5,9+$F8),CC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CC$4=EDATE(EDATE('核心假设'!$B$5,9+$F8),$D8),SUM('融资租赁与资金缺口'!$D$5:$D$16)*$V8*'核心假设'!$B$32,0),0),IF(AND(CC$4&gt;EDATE('核心假设'!$B$5,10+$F8),CC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CC$4=EDATE(EDATE('核心假设'!$B$5,10+$F8),$D8),SUM('融资租赁与资金缺口'!$D$5:$D$16)*$W8*'核心假设'!$B$32,0),0),IF(AND(CC$4&gt;EDATE('核心假设'!$B$5,11+$F8),CC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CC$4=EDATE(EDATE('核心假设'!$B$5,11+$F8),$D8),SUM('融资租赁与资金缺口'!$D$5:$D$16)*$X8*'核心假设'!$B$32,0),0),IF(AND(CC$4&gt;EDATE('核心假设'!$B$5,12+$F8),CC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CC$4=EDATE(EDATE('核心假设'!$B$5,12+$F8),$D8),SUM('融资租赁与资金缺口'!$D$5:$D$16)*$Y8*'核心假设'!$B$32,0),0),IF(AND(CC$4&gt;EDATE('核心假设'!$B$5,13+$F8),CC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CC$4=EDATE(EDATE('核心假设'!$B$5,13+$F8),$D8),SUM('融资租赁与资金缺口'!$D$5:$D$16)*$Z8*'核心假设'!$B$32,0),0),IF(AND(CC$4&gt;EDATE('核心假设'!$B$5,14+$F8),CC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CC$4=EDATE(EDATE('核心假设'!$B$5,14+$F8),$D8),SUM('融资租赁与资金缺口'!$D$5:$D$16)*$AA8*'核心假设'!$B$32,0),0),IF(AND(CC$4&gt;EDATE('核心假设'!$B$5,15+$F8),CC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CC$4=EDATE(EDATE('核心假设'!$B$5,15+$F8),$D8),SUM('融资租赁与资金缺口'!$D$5:$D$16)*$AB8*'核心假设'!$B$32,0),0),IF(AND(CC$4&gt;EDATE('核心假设'!$B$5,16+$F8),CC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CC$4=EDATE(EDATE('核心假设'!$B$5,16+$F8),$D8),SUM('融资租赁与资金缺口'!$D$5:$D$16)*$AC8*'核心假设'!$B$32,0),0),IF(AND(CC$4&gt;EDATE('核心假设'!$B$5,17+$F8),CC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CC$4=EDATE(EDATE('核心假设'!$B$5,17+$F8),$D8),SUM('融资租赁与资金缺口'!$D$5:$D$16)*$AD8*'核心假设'!$B$32,0),0))</x:f>
        <x:v>1339441.0128986146</x:v>
      </x:c>
      <x:c r="CD25" s="28" t="n">
        <x:f>SUM(IF(AND(CD$4&gt;EDATE('核心假设'!$B$5,0+$F8),CD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CD$4=EDATE(EDATE('核心假设'!$B$5,0+$F8),$D8),SUM('融资租赁与资金缺口'!$D$5:$D$16)*$M8*'核心假设'!$B$32,0),0),IF(AND(CD$4&gt;EDATE('核心假设'!$B$5,1+$F8),CD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CD$4=EDATE(EDATE('核心假设'!$B$5,1+$F8),$D8),SUM('融资租赁与资金缺口'!$D$5:$D$16)*$N8*'核心假设'!$B$32,0),0),IF(AND(CD$4&gt;EDATE('核心假设'!$B$5,2+$F8),CD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CD$4=EDATE(EDATE('核心假设'!$B$5,2+$F8),$D8),SUM('融资租赁与资金缺口'!$D$5:$D$16)*$O8*'核心假设'!$B$32,0),0),IF(AND(CD$4&gt;EDATE('核心假设'!$B$5,3+$F8),CD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CD$4=EDATE(EDATE('核心假设'!$B$5,3+$F8),$D8),SUM('融资租赁与资金缺口'!$D$5:$D$16)*$P8*'核心假设'!$B$32,0),0),IF(AND(CD$4&gt;EDATE('核心假设'!$B$5,4+$F8),CD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CD$4=EDATE(EDATE('核心假设'!$B$5,4+$F8),$D8),SUM('融资租赁与资金缺口'!$D$5:$D$16)*$Q8*'核心假设'!$B$32,0),0),IF(AND(CD$4&gt;EDATE('核心假设'!$B$5,5+$F8),CD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CD$4=EDATE(EDATE('核心假设'!$B$5,5+$F8),$D8),SUM('融资租赁与资金缺口'!$D$5:$D$16)*$R8*'核心假设'!$B$32,0),0),IF(AND(CD$4&gt;EDATE('核心假设'!$B$5,6+$F8),CD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CD$4=EDATE(EDATE('核心假设'!$B$5,6+$F8),$D8),SUM('融资租赁与资金缺口'!$D$5:$D$16)*$S8*'核心假设'!$B$32,0),0),IF(AND(CD$4&gt;EDATE('核心假设'!$B$5,7+$F8),CD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CD$4=EDATE(EDATE('核心假设'!$B$5,7+$F8),$D8),SUM('融资租赁与资金缺口'!$D$5:$D$16)*$T8*'核心假设'!$B$32,0),0),IF(AND(CD$4&gt;EDATE('核心假设'!$B$5,8+$F8),CD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CD$4=EDATE(EDATE('核心假设'!$B$5,8+$F8),$D8),SUM('融资租赁与资金缺口'!$D$5:$D$16)*$U8*'核心假设'!$B$32,0),0),IF(AND(CD$4&gt;EDATE('核心假设'!$B$5,9+$F8),CD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CD$4=EDATE(EDATE('核心假设'!$B$5,9+$F8),$D8),SUM('融资租赁与资金缺口'!$D$5:$D$16)*$V8*'核心假设'!$B$32,0),0),IF(AND(CD$4&gt;EDATE('核心假设'!$B$5,10+$F8),CD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CD$4=EDATE(EDATE('核心假设'!$B$5,10+$F8),$D8),SUM('融资租赁与资金缺口'!$D$5:$D$16)*$W8*'核心假设'!$B$32,0),0),IF(AND(CD$4&gt;EDATE('核心假设'!$B$5,11+$F8),CD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CD$4=EDATE(EDATE('核心假设'!$B$5,11+$F8),$D8),SUM('融资租赁与资金缺口'!$D$5:$D$16)*$X8*'核心假设'!$B$32,0),0),IF(AND(CD$4&gt;EDATE('核心假设'!$B$5,12+$F8),CD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CD$4=EDATE(EDATE('核心假设'!$B$5,12+$F8),$D8),SUM('融资租赁与资金缺口'!$D$5:$D$16)*$Y8*'核心假设'!$B$32,0),0),IF(AND(CD$4&gt;EDATE('核心假设'!$B$5,13+$F8),CD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CD$4=EDATE(EDATE('核心假设'!$B$5,13+$F8),$D8),SUM('融资租赁与资金缺口'!$D$5:$D$16)*$Z8*'核心假设'!$B$32,0),0),IF(AND(CD$4&gt;EDATE('核心假设'!$B$5,14+$F8),CD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CD$4=EDATE(EDATE('核心假设'!$B$5,14+$F8),$D8),SUM('融资租赁与资金缺口'!$D$5:$D$16)*$AA8*'核心假设'!$B$32,0),0),IF(AND(CD$4&gt;EDATE('核心假设'!$B$5,15+$F8),CD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CD$4=EDATE(EDATE('核心假设'!$B$5,15+$F8),$D8),SUM('融资租赁与资金缺口'!$D$5:$D$16)*$AB8*'核心假设'!$B$32,0),0),IF(AND(CD$4&gt;EDATE('核心假设'!$B$5,16+$F8),CD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CD$4=EDATE(EDATE('核心假设'!$B$5,16+$F8),$D8),SUM('融资租赁与资金缺口'!$D$5:$D$16)*$AC8*'核心假设'!$B$32,0),0),IF(AND(CD$4&gt;EDATE('核心假设'!$B$5,17+$F8),CD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CD$4=EDATE(EDATE('核心假设'!$B$5,17+$F8),$D8),SUM('融资租赁与资金缺口'!$D$5:$D$16)*$AD8*'核心假设'!$B$32,0),0))</x:f>
        <x:v>0</x:v>
      </x:c>
      <x:c r="CE25" s="28" t="n">
        <x:f>SUM(IF(AND(CE$4&gt;EDATE('核心假设'!$B$5,0+$F8),CE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CE$4=EDATE(EDATE('核心假设'!$B$5,0+$F8),$D8),SUM('融资租赁与资金缺口'!$D$5:$D$16)*$M8*'核心假设'!$B$32,0),0),IF(AND(CE$4&gt;EDATE('核心假设'!$B$5,1+$F8),CE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CE$4=EDATE(EDATE('核心假设'!$B$5,1+$F8),$D8),SUM('融资租赁与资金缺口'!$D$5:$D$16)*$N8*'核心假设'!$B$32,0),0),IF(AND(CE$4&gt;EDATE('核心假设'!$B$5,2+$F8),CE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CE$4=EDATE(EDATE('核心假设'!$B$5,2+$F8),$D8),SUM('融资租赁与资金缺口'!$D$5:$D$16)*$O8*'核心假设'!$B$32,0),0),IF(AND(CE$4&gt;EDATE('核心假设'!$B$5,3+$F8),CE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CE$4=EDATE(EDATE('核心假设'!$B$5,3+$F8),$D8),SUM('融资租赁与资金缺口'!$D$5:$D$16)*$P8*'核心假设'!$B$32,0),0),IF(AND(CE$4&gt;EDATE('核心假设'!$B$5,4+$F8),CE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CE$4=EDATE(EDATE('核心假设'!$B$5,4+$F8),$D8),SUM('融资租赁与资金缺口'!$D$5:$D$16)*$Q8*'核心假设'!$B$32,0),0),IF(AND(CE$4&gt;EDATE('核心假设'!$B$5,5+$F8),CE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CE$4=EDATE(EDATE('核心假设'!$B$5,5+$F8),$D8),SUM('融资租赁与资金缺口'!$D$5:$D$16)*$R8*'核心假设'!$B$32,0),0),IF(AND(CE$4&gt;EDATE('核心假设'!$B$5,6+$F8),CE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CE$4=EDATE(EDATE('核心假设'!$B$5,6+$F8),$D8),SUM('融资租赁与资金缺口'!$D$5:$D$16)*$S8*'核心假设'!$B$32,0),0),IF(AND(CE$4&gt;EDATE('核心假设'!$B$5,7+$F8),CE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CE$4=EDATE(EDATE('核心假设'!$B$5,7+$F8),$D8),SUM('融资租赁与资金缺口'!$D$5:$D$16)*$T8*'核心假设'!$B$32,0),0),IF(AND(CE$4&gt;EDATE('核心假设'!$B$5,8+$F8),CE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CE$4=EDATE(EDATE('核心假设'!$B$5,8+$F8),$D8),SUM('融资租赁与资金缺口'!$D$5:$D$16)*$U8*'核心假设'!$B$32,0),0),IF(AND(CE$4&gt;EDATE('核心假设'!$B$5,9+$F8),CE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CE$4=EDATE(EDATE('核心假设'!$B$5,9+$F8),$D8),SUM('融资租赁与资金缺口'!$D$5:$D$16)*$V8*'核心假设'!$B$32,0),0),IF(AND(CE$4&gt;EDATE('核心假设'!$B$5,10+$F8),CE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CE$4=EDATE(EDATE('核心假设'!$B$5,10+$F8),$D8),SUM('融资租赁与资金缺口'!$D$5:$D$16)*$W8*'核心假设'!$B$32,0),0),IF(AND(CE$4&gt;EDATE('核心假设'!$B$5,11+$F8),CE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CE$4=EDATE(EDATE('核心假设'!$B$5,11+$F8),$D8),SUM('融资租赁与资金缺口'!$D$5:$D$16)*$X8*'核心假设'!$B$32,0),0),IF(AND(CE$4&gt;EDATE('核心假设'!$B$5,12+$F8),CE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CE$4=EDATE(EDATE('核心假设'!$B$5,12+$F8),$D8),SUM('融资租赁与资金缺口'!$D$5:$D$16)*$Y8*'核心假设'!$B$32,0),0),IF(AND(CE$4&gt;EDATE('核心假设'!$B$5,13+$F8),CE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CE$4=EDATE(EDATE('核心假设'!$B$5,13+$F8),$D8),SUM('融资租赁与资金缺口'!$D$5:$D$16)*$Z8*'核心假设'!$B$32,0),0),IF(AND(CE$4&gt;EDATE('核心假设'!$B$5,14+$F8),CE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CE$4=EDATE(EDATE('核心假设'!$B$5,14+$F8),$D8),SUM('融资租赁与资金缺口'!$D$5:$D$16)*$AA8*'核心假设'!$B$32,0),0),IF(AND(CE$4&gt;EDATE('核心假设'!$B$5,15+$F8),CE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CE$4=EDATE(EDATE('核心假设'!$B$5,15+$F8),$D8),SUM('融资租赁与资金缺口'!$D$5:$D$16)*$AB8*'核心假设'!$B$32,0),0),IF(AND(CE$4&gt;EDATE('核心假设'!$B$5,16+$F8),CE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CE$4=EDATE(EDATE('核心假设'!$B$5,16+$F8),$D8),SUM('融资租赁与资金缺口'!$D$5:$D$16)*$AC8*'核心假设'!$B$32,0),0),IF(AND(CE$4&gt;EDATE('核心假设'!$B$5,17+$F8),CE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CE$4=EDATE(EDATE('核心假设'!$B$5,17+$F8),$D8),SUM('融资租赁与资金缺口'!$D$5:$D$16)*$AD8*'核心假设'!$B$32,0),0))</x:f>
        <x:v>0</x:v>
      </x:c>
      <x:c r="CF25" s="28" t="n">
        <x:f>SUM(IF(AND(CF$4&gt;EDATE('核心假设'!$B$5,0+$F8),CF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CF$4=EDATE(EDATE('核心假设'!$B$5,0+$F8),$D8),SUM('融资租赁与资金缺口'!$D$5:$D$16)*$M8*'核心假设'!$B$32,0),0),IF(AND(CF$4&gt;EDATE('核心假设'!$B$5,1+$F8),CF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CF$4=EDATE(EDATE('核心假设'!$B$5,1+$F8),$D8),SUM('融资租赁与资金缺口'!$D$5:$D$16)*$N8*'核心假设'!$B$32,0),0),IF(AND(CF$4&gt;EDATE('核心假设'!$B$5,2+$F8),CF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CF$4=EDATE(EDATE('核心假设'!$B$5,2+$F8),$D8),SUM('融资租赁与资金缺口'!$D$5:$D$16)*$O8*'核心假设'!$B$32,0),0),IF(AND(CF$4&gt;EDATE('核心假设'!$B$5,3+$F8),CF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CF$4=EDATE(EDATE('核心假设'!$B$5,3+$F8),$D8),SUM('融资租赁与资金缺口'!$D$5:$D$16)*$P8*'核心假设'!$B$32,0),0),IF(AND(CF$4&gt;EDATE('核心假设'!$B$5,4+$F8),CF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CF$4=EDATE(EDATE('核心假设'!$B$5,4+$F8),$D8),SUM('融资租赁与资金缺口'!$D$5:$D$16)*$Q8*'核心假设'!$B$32,0),0),IF(AND(CF$4&gt;EDATE('核心假设'!$B$5,5+$F8),CF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CF$4=EDATE(EDATE('核心假设'!$B$5,5+$F8),$D8),SUM('融资租赁与资金缺口'!$D$5:$D$16)*$R8*'核心假设'!$B$32,0),0),IF(AND(CF$4&gt;EDATE('核心假设'!$B$5,6+$F8),CF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CF$4=EDATE(EDATE('核心假设'!$B$5,6+$F8),$D8),SUM('融资租赁与资金缺口'!$D$5:$D$16)*$S8*'核心假设'!$B$32,0),0),IF(AND(CF$4&gt;EDATE('核心假设'!$B$5,7+$F8),CF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CF$4=EDATE(EDATE('核心假设'!$B$5,7+$F8),$D8),SUM('融资租赁与资金缺口'!$D$5:$D$16)*$T8*'核心假设'!$B$32,0),0),IF(AND(CF$4&gt;EDATE('核心假设'!$B$5,8+$F8),CF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CF$4=EDATE(EDATE('核心假设'!$B$5,8+$F8),$D8),SUM('融资租赁与资金缺口'!$D$5:$D$16)*$U8*'核心假设'!$B$32,0),0),IF(AND(CF$4&gt;EDATE('核心假设'!$B$5,9+$F8),CF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CF$4=EDATE(EDATE('核心假设'!$B$5,9+$F8),$D8),SUM('融资租赁与资金缺口'!$D$5:$D$16)*$V8*'核心假设'!$B$32,0),0),IF(AND(CF$4&gt;EDATE('核心假设'!$B$5,10+$F8),CF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CF$4=EDATE(EDATE('核心假设'!$B$5,10+$F8),$D8),SUM('融资租赁与资金缺口'!$D$5:$D$16)*$W8*'核心假设'!$B$32,0),0),IF(AND(CF$4&gt;EDATE('核心假设'!$B$5,11+$F8),CF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CF$4=EDATE(EDATE('核心假设'!$B$5,11+$F8),$D8),SUM('融资租赁与资金缺口'!$D$5:$D$16)*$X8*'核心假设'!$B$32,0),0),IF(AND(CF$4&gt;EDATE('核心假设'!$B$5,12+$F8),CF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CF$4=EDATE(EDATE('核心假设'!$B$5,12+$F8),$D8),SUM('融资租赁与资金缺口'!$D$5:$D$16)*$Y8*'核心假设'!$B$32,0),0),IF(AND(CF$4&gt;EDATE('核心假设'!$B$5,13+$F8),CF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CF$4=EDATE(EDATE('核心假设'!$B$5,13+$F8),$D8),SUM('融资租赁与资金缺口'!$D$5:$D$16)*$Z8*'核心假设'!$B$32,0),0),IF(AND(CF$4&gt;EDATE('核心假设'!$B$5,14+$F8),CF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CF$4=EDATE(EDATE('核心假设'!$B$5,14+$F8),$D8),SUM('融资租赁与资金缺口'!$D$5:$D$16)*$AA8*'核心假设'!$B$32,0),0),IF(AND(CF$4&gt;EDATE('核心假设'!$B$5,15+$F8),CF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CF$4=EDATE(EDATE('核心假设'!$B$5,15+$F8),$D8),SUM('融资租赁与资金缺口'!$D$5:$D$16)*$AB8*'核心假设'!$B$32,0),0),IF(AND(CF$4&gt;EDATE('核心假设'!$B$5,16+$F8),CF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CF$4=EDATE(EDATE('核心假设'!$B$5,16+$F8),$D8),SUM('融资租赁与资金缺口'!$D$5:$D$16)*$AC8*'核心假设'!$B$32,0),0),IF(AND(CF$4&gt;EDATE('核心假设'!$B$5,17+$F8),CF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CF$4=EDATE(EDATE('核心假设'!$B$5,17+$F8),$D8),SUM('融资租赁与资金缺口'!$D$5:$D$16)*$AD8*'核心假设'!$B$32,0),0))</x:f>
        <x:v>0</x:v>
      </x:c>
      <x:c r="CG25" s="28" t="n">
        <x:f>SUM(IF(AND(CG$4&gt;EDATE('核心假设'!$B$5,0+$F8),CG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CG$4=EDATE(EDATE('核心假设'!$B$5,0+$F8),$D8),SUM('融资租赁与资金缺口'!$D$5:$D$16)*$M8*'核心假设'!$B$32,0),0),IF(AND(CG$4&gt;EDATE('核心假设'!$B$5,1+$F8),CG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CG$4=EDATE(EDATE('核心假设'!$B$5,1+$F8),$D8),SUM('融资租赁与资金缺口'!$D$5:$D$16)*$N8*'核心假设'!$B$32,0),0),IF(AND(CG$4&gt;EDATE('核心假设'!$B$5,2+$F8),CG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CG$4=EDATE(EDATE('核心假设'!$B$5,2+$F8),$D8),SUM('融资租赁与资金缺口'!$D$5:$D$16)*$O8*'核心假设'!$B$32,0),0),IF(AND(CG$4&gt;EDATE('核心假设'!$B$5,3+$F8),CG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CG$4=EDATE(EDATE('核心假设'!$B$5,3+$F8),$D8),SUM('融资租赁与资金缺口'!$D$5:$D$16)*$P8*'核心假设'!$B$32,0),0),IF(AND(CG$4&gt;EDATE('核心假设'!$B$5,4+$F8),CG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CG$4=EDATE(EDATE('核心假设'!$B$5,4+$F8),$D8),SUM('融资租赁与资金缺口'!$D$5:$D$16)*$Q8*'核心假设'!$B$32,0),0),IF(AND(CG$4&gt;EDATE('核心假设'!$B$5,5+$F8),CG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CG$4=EDATE(EDATE('核心假设'!$B$5,5+$F8),$D8),SUM('融资租赁与资金缺口'!$D$5:$D$16)*$R8*'核心假设'!$B$32,0),0),IF(AND(CG$4&gt;EDATE('核心假设'!$B$5,6+$F8),CG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CG$4=EDATE(EDATE('核心假设'!$B$5,6+$F8),$D8),SUM('融资租赁与资金缺口'!$D$5:$D$16)*$S8*'核心假设'!$B$32,0),0),IF(AND(CG$4&gt;EDATE('核心假设'!$B$5,7+$F8),CG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CG$4=EDATE(EDATE('核心假设'!$B$5,7+$F8),$D8),SUM('融资租赁与资金缺口'!$D$5:$D$16)*$T8*'核心假设'!$B$32,0),0),IF(AND(CG$4&gt;EDATE('核心假设'!$B$5,8+$F8),CG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CG$4=EDATE(EDATE('核心假设'!$B$5,8+$F8),$D8),SUM('融资租赁与资金缺口'!$D$5:$D$16)*$U8*'核心假设'!$B$32,0),0),IF(AND(CG$4&gt;EDATE('核心假设'!$B$5,9+$F8),CG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CG$4=EDATE(EDATE('核心假设'!$B$5,9+$F8),$D8),SUM('融资租赁与资金缺口'!$D$5:$D$16)*$V8*'核心假设'!$B$32,0),0),IF(AND(CG$4&gt;EDATE('核心假设'!$B$5,10+$F8),CG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CG$4=EDATE(EDATE('核心假设'!$B$5,10+$F8),$D8),SUM('融资租赁与资金缺口'!$D$5:$D$16)*$W8*'核心假设'!$B$32,0),0),IF(AND(CG$4&gt;EDATE('核心假设'!$B$5,11+$F8),CG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CG$4=EDATE(EDATE('核心假设'!$B$5,11+$F8),$D8),SUM('融资租赁与资金缺口'!$D$5:$D$16)*$X8*'核心假设'!$B$32,0),0),IF(AND(CG$4&gt;EDATE('核心假设'!$B$5,12+$F8),CG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CG$4=EDATE(EDATE('核心假设'!$B$5,12+$F8),$D8),SUM('融资租赁与资金缺口'!$D$5:$D$16)*$Y8*'核心假设'!$B$32,0),0),IF(AND(CG$4&gt;EDATE('核心假设'!$B$5,13+$F8),CG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CG$4=EDATE(EDATE('核心假设'!$B$5,13+$F8),$D8),SUM('融资租赁与资金缺口'!$D$5:$D$16)*$Z8*'核心假设'!$B$32,0),0),IF(AND(CG$4&gt;EDATE('核心假设'!$B$5,14+$F8),CG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CG$4=EDATE(EDATE('核心假设'!$B$5,14+$F8),$D8),SUM('融资租赁与资金缺口'!$D$5:$D$16)*$AA8*'核心假设'!$B$32,0),0),IF(AND(CG$4&gt;EDATE('核心假设'!$B$5,15+$F8),CG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CG$4=EDATE(EDATE('核心假设'!$B$5,15+$F8),$D8),SUM('融资租赁与资金缺口'!$D$5:$D$16)*$AB8*'核心假设'!$B$32,0),0),IF(AND(CG$4&gt;EDATE('核心假设'!$B$5,16+$F8),CG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CG$4=EDATE(EDATE('核心假设'!$B$5,16+$F8),$D8),SUM('融资租赁与资金缺口'!$D$5:$D$16)*$AC8*'核心假设'!$B$32,0),0),IF(AND(CG$4&gt;EDATE('核心假设'!$B$5,17+$F8),CG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CG$4=EDATE(EDATE('核心假设'!$B$5,17+$F8),$D8),SUM('融资租赁与资金缺口'!$D$5:$D$16)*$AD8*'核心假设'!$B$32,0),0))</x:f>
        <x:v>0</x:v>
      </x:c>
      <x:c r="CH25" s="28" t="n">
        <x:f>SUM(IF(AND(CH$4&gt;EDATE('核心假设'!$B$5,0+$F8),CH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CH$4=EDATE(EDATE('核心假设'!$B$5,0+$F8),$D8),SUM('融资租赁与资金缺口'!$D$5:$D$16)*$M8*'核心假设'!$B$32,0),0),IF(AND(CH$4&gt;EDATE('核心假设'!$B$5,1+$F8),CH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CH$4=EDATE(EDATE('核心假设'!$B$5,1+$F8),$D8),SUM('融资租赁与资金缺口'!$D$5:$D$16)*$N8*'核心假设'!$B$32,0),0),IF(AND(CH$4&gt;EDATE('核心假设'!$B$5,2+$F8),CH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CH$4=EDATE(EDATE('核心假设'!$B$5,2+$F8),$D8),SUM('融资租赁与资金缺口'!$D$5:$D$16)*$O8*'核心假设'!$B$32,0),0),IF(AND(CH$4&gt;EDATE('核心假设'!$B$5,3+$F8),CH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CH$4=EDATE(EDATE('核心假设'!$B$5,3+$F8),$D8),SUM('融资租赁与资金缺口'!$D$5:$D$16)*$P8*'核心假设'!$B$32,0),0),IF(AND(CH$4&gt;EDATE('核心假设'!$B$5,4+$F8),CH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CH$4=EDATE(EDATE('核心假设'!$B$5,4+$F8),$D8),SUM('融资租赁与资金缺口'!$D$5:$D$16)*$Q8*'核心假设'!$B$32,0),0),IF(AND(CH$4&gt;EDATE('核心假设'!$B$5,5+$F8),CH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CH$4=EDATE(EDATE('核心假设'!$B$5,5+$F8),$D8),SUM('融资租赁与资金缺口'!$D$5:$D$16)*$R8*'核心假设'!$B$32,0),0),IF(AND(CH$4&gt;EDATE('核心假设'!$B$5,6+$F8),CH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CH$4=EDATE(EDATE('核心假设'!$B$5,6+$F8),$D8),SUM('融资租赁与资金缺口'!$D$5:$D$16)*$S8*'核心假设'!$B$32,0),0),IF(AND(CH$4&gt;EDATE('核心假设'!$B$5,7+$F8),CH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CH$4=EDATE(EDATE('核心假设'!$B$5,7+$F8),$D8),SUM('融资租赁与资金缺口'!$D$5:$D$16)*$T8*'核心假设'!$B$32,0),0),IF(AND(CH$4&gt;EDATE('核心假设'!$B$5,8+$F8),CH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CH$4=EDATE(EDATE('核心假设'!$B$5,8+$F8),$D8),SUM('融资租赁与资金缺口'!$D$5:$D$16)*$U8*'核心假设'!$B$32,0),0),IF(AND(CH$4&gt;EDATE('核心假设'!$B$5,9+$F8),CH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CH$4=EDATE(EDATE('核心假设'!$B$5,9+$F8),$D8),SUM('融资租赁与资金缺口'!$D$5:$D$16)*$V8*'核心假设'!$B$32,0),0),IF(AND(CH$4&gt;EDATE('核心假设'!$B$5,10+$F8),CH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CH$4=EDATE(EDATE('核心假设'!$B$5,10+$F8),$D8),SUM('融资租赁与资金缺口'!$D$5:$D$16)*$W8*'核心假设'!$B$32,0),0),IF(AND(CH$4&gt;EDATE('核心假设'!$B$5,11+$F8),CH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CH$4=EDATE(EDATE('核心假设'!$B$5,11+$F8),$D8),SUM('融资租赁与资金缺口'!$D$5:$D$16)*$X8*'核心假设'!$B$32,0),0),IF(AND(CH$4&gt;EDATE('核心假设'!$B$5,12+$F8),CH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CH$4=EDATE(EDATE('核心假设'!$B$5,12+$F8),$D8),SUM('融资租赁与资金缺口'!$D$5:$D$16)*$Y8*'核心假设'!$B$32,0),0),IF(AND(CH$4&gt;EDATE('核心假设'!$B$5,13+$F8),CH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CH$4=EDATE(EDATE('核心假设'!$B$5,13+$F8),$D8),SUM('融资租赁与资金缺口'!$D$5:$D$16)*$Z8*'核心假设'!$B$32,0),0),IF(AND(CH$4&gt;EDATE('核心假设'!$B$5,14+$F8),CH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CH$4=EDATE(EDATE('核心假设'!$B$5,14+$F8),$D8),SUM('融资租赁与资金缺口'!$D$5:$D$16)*$AA8*'核心假设'!$B$32,0),0),IF(AND(CH$4&gt;EDATE('核心假设'!$B$5,15+$F8),CH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CH$4=EDATE(EDATE('核心假设'!$B$5,15+$F8),$D8),SUM('融资租赁与资金缺口'!$D$5:$D$16)*$AB8*'核心假设'!$B$32,0),0),IF(AND(CH$4&gt;EDATE('核心假设'!$B$5,16+$F8),CH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CH$4=EDATE(EDATE('核心假设'!$B$5,16+$F8),$D8),SUM('融资租赁与资金缺口'!$D$5:$D$16)*$AC8*'核心假设'!$B$32,0),0),IF(AND(CH$4&gt;EDATE('核心假设'!$B$5,17+$F8),CH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CH$4=EDATE(EDATE('核心假设'!$B$5,17+$F8),$D8),SUM('融资租赁与资金缺口'!$D$5:$D$16)*$AD8*'核心假设'!$B$32,0),0))</x:f>
        <x:v>0</x:v>
      </x:c>
      <x:c r="CI25" s="28" t="n">
        <x:f>SUM(IF(AND(CI$4&gt;EDATE('核心假设'!$B$5,0+$F8),CI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CI$4=EDATE(EDATE('核心假设'!$B$5,0+$F8),$D8),SUM('融资租赁与资金缺口'!$D$5:$D$16)*$M8*'核心假设'!$B$32,0),0),IF(AND(CI$4&gt;EDATE('核心假设'!$B$5,1+$F8),CI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CI$4=EDATE(EDATE('核心假设'!$B$5,1+$F8),$D8),SUM('融资租赁与资金缺口'!$D$5:$D$16)*$N8*'核心假设'!$B$32,0),0),IF(AND(CI$4&gt;EDATE('核心假设'!$B$5,2+$F8),CI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CI$4=EDATE(EDATE('核心假设'!$B$5,2+$F8),$D8),SUM('融资租赁与资金缺口'!$D$5:$D$16)*$O8*'核心假设'!$B$32,0),0),IF(AND(CI$4&gt;EDATE('核心假设'!$B$5,3+$F8),CI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CI$4=EDATE(EDATE('核心假设'!$B$5,3+$F8),$D8),SUM('融资租赁与资金缺口'!$D$5:$D$16)*$P8*'核心假设'!$B$32,0),0),IF(AND(CI$4&gt;EDATE('核心假设'!$B$5,4+$F8),CI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CI$4=EDATE(EDATE('核心假设'!$B$5,4+$F8),$D8),SUM('融资租赁与资金缺口'!$D$5:$D$16)*$Q8*'核心假设'!$B$32,0),0),IF(AND(CI$4&gt;EDATE('核心假设'!$B$5,5+$F8),CI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CI$4=EDATE(EDATE('核心假设'!$B$5,5+$F8),$D8),SUM('融资租赁与资金缺口'!$D$5:$D$16)*$R8*'核心假设'!$B$32,0),0),IF(AND(CI$4&gt;EDATE('核心假设'!$B$5,6+$F8),CI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CI$4=EDATE(EDATE('核心假设'!$B$5,6+$F8),$D8),SUM('融资租赁与资金缺口'!$D$5:$D$16)*$S8*'核心假设'!$B$32,0),0),IF(AND(CI$4&gt;EDATE('核心假设'!$B$5,7+$F8),CI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CI$4=EDATE(EDATE('核心假设'!$B$5,7+$F8),$D8),SUM('融资租赁与资金缺口'!$D$5:$D$16)*$T8*'核心假设'!$B$32,0),0),IF(AND(CI$4&gt;EDATE('核心假设'!$B$5,8+$F8),CI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CI$4=EDATE(EDATE('核心假设'!$B$5,8+$F8),$D8),SUM('融资租赁与资金缺口'!$D$5:$D$16)*$U8*'核心假设'!$B$32,0),0),IF(AND(CI$4&gt;EDATE('核心假设'!$B$5,9+$F8),CI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CI$4=EDATE(EDATE('核心假设'!$B$5,9+$F8),$D8),SUM('融资租赁与资金缺口'!$D$5:$D$16)*$V8*'核心假设'!$B$32,0),0),IF(AND(CI$4&gt;EDATE('核心假设'!$B$5,10+$F8),CI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CI$4=EDATE(EDATE('核心假设'!$B$5,10+$F8),$D8),SUM('融资租赁与资金缺口'!$D$5:$D$16)*$W8*'核心假设'!$B$32,0),0),IF(AND(CI$4&gt;EDATE('核心假设'!$B$5,11+$F8),CI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CI$4=EDATE(EDATE('核心假设'!$B$5,11+$F8),$D8),SUM('融资租赁与资金缺口'!$D$5:$D$16)*$X8*'核心假设'!$B$32,0),0),IF(AND(CI$4&gt;EDATE('核心假设'!$B$5,12+$F8),CI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CI$4=EDATE(EDATE('核心假设'!$B$5,12+$F8),$D8),SUM('融资租赁与资金缺口'!$D$5:$D$16)*$Y8*'核心假设'!$B$32,0),0),IF(AND(CI$4&gt;EDATE('核心假设'!$B$5,13+$F8),CI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CI$4=EDATE(EDATE('核心假设'!$B$5,13+$F8),$D8),SUM('融资租赁与资金缺口'!$D$5:$D$16)*$Z8*'核心假设'!$B$32,0),0),IF(AND(CI$4&gt;EDATE('核心假设'!$B$5,14+$F8),CI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CI$4=EDATE(EDATE('核心假设'!$B$5,14+$F8),$D8),SUM('融资租赁与资金缺口'!$D$5:$D$16)*$AA8*'核心假设'!$B$32,0),0),IF(AND(CI$4&gt;EDATE('核心假设'!$B$5,15+$F8),CI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CI$4=EDATE(EDATE('核心假设'!$B$5,15+$F8),$D8),SUM('融资租赁与资金缺口'!$D$5:$D$16)*$AB8*'核心假设'!$B$32,0),0),IF(AND(CI$4&gt;EDATE('核心假设'!$B$5,16+$F8),CI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CI$4=EDATE(EDATE('核心假设'!$B$5,16+$F8),$D8),SUM('融资租赁与资金缺口'!$D$5:$D$16)*$AC8*'核心假设'!$B$32,0),0),IF(AND(CI$4&gt;EDATE('核心假设'!$B$5,17+$F8),CI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CI$4=EDATE(EDATE('核心假设'!$B$5,17+$F8),$D8),SUM('融资租赁与资金缺口'!$D$5:$D$16)*$AD8*'核心假设'!$B$32,0),0))</x:f>
        <x:v>0</x:v>
      </x:c>
      <x:c r="CJ25" s="28" t="n">
        <x:f>SUM(IF(AND(CJ$4&gt;EDATE('核心假设'!$B$5,0+$F8),CJ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CJ$4=EDATE(EDATE('核心假设'!$B$5,0+$F8),$D8),SUM('融资租赁与资金缺口'!$D$5:$D$16)*$M8*'核心假设'!$B$32,0),0),IF(AND(CJ$4&gt;EDATE('核心假设'!$B$5,1+$F8),CJ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CJ$4=EDATE(EDATE('核心假设'!$B$5,1+$F8),$D8),SUM('融资租赁与资金缺口'!$D$5:$D$16)*$N8*'核心假设'!$B$32,0),0),IF(AND(CJ$4&gt;EDATE('核心假设'!$B$5,2+$F8),CJ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CJ$4=EDATE(EDATE('核心假设'!$B$5,2+$F8),$D8),SUM('融资租赁与资金缺口'!$D$5:$D$16)*$O8*'核心假设'!$B$32,0),0),IF(AND(CJ$4&gt;EDATE('核心假设'!$B$5,3+$F8),CJ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CJ$4=EDATE(EDATE('核心假设'!$B$5,3+$F8),$D8),SUM('融资租赁与资金缺口'!$D$5:$D$16)*$P8*'核心假设'!$B$32,0),0),IF(AND(CJ$4&gt;EDATE('核心假设'!$B$5,4+$F8),CJ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CJ$4=EDATE(EDATE('核心假设'!$B$5,4+$F8),$D8),SUM('融资租赁与资金缺口'!$D$5:$D$16)*$Q8*'核心假设'!$B$32,0),0),IF(AND(CJ$4&gt;EDATE('核心假设'!$B$5,5+$F8),CJ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CJ$4=EDATE(EDATE('核心假设'!$B$5,5+$F8),$D8),SUM('融资租赁与资金缺口'!$D$5:$D$16)*$R8*'核心假设'!$B$32,0),0),IF(AND(CJ$4&gt;EDATE('核心假设'!$B$5,6+$F8),CJ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CJ$4=EDATE(EDATE('核心假设'!$B$5,6+$F8),$D8),SUM('融资租赁与资金缺口'!$D$5:$D$16)*$S8*'核心假设'!$B$32,0),0),IF(AND(CJ$4&gt;EDATE('核心假设'!$B$5,7+$F8),CJ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CJ$4=EDATE(EDATE('核心假设'!$B$5,7+$F8),$D8),SUM('融资租赁与资金缺口'!$D$5:$D$16)*$T8*'核心假设'!$B$32,0),0),IF(AND(CJ$4&gt;EDATE('核心假设'!$B$5,8+$F8),CJ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CJ$4=EDATE(EDATE('核心假设'!$B$5,8+$F8),$D8),SUM('融资租赁与资金缺口'!$D$5:$D$16)*$U8*'核心假设'!$B$32,0),0),IF(AND(CJ$4&gt;EDATE('核心假设'!$B$5,9+$F8),CJ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CJ$4=EDATE(EDATE('核心假设'!$B$5,9+$F8),$D8),SUM('融资租赁与资金缺口'!$D$5:$D$16)*$V8*'核心假设'!$B$32,0),0),IF(AND(CJ$4&gt;EDATE('核心假设'!$B$5,10+$F8),CJ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CJ$4=EDATE(EDATE('核心假设'!$B$5,10+$F8),$D8),SUM('融资租赁与资金缺口'!$D$5:$D$16)*$W8*'核心假设'!$B$32,0),0),IF(AND(CJ$4&gt;EDATE('核心假设'!$B$5,11+$F8),CJ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CJ$4=EDATE(EDATE('核心假设'!$B$5,11+$F8),$D8),SUM('融资租赁与资金缺口'!$D$5:$D$16)*$X8*'核心假设'!$B$32,0),0),IF(AND(CJ$4&gt;EDATE('核心假设'!$B$5,12+$F8),CJ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CJ$4=EDATE(EDATE('核心假设'!$B$5,12+$F8),$D8),SUM('融资租赁与资金缺口'!$D$5:$D$16)*$Y8*'核心假设'!$B$32,0),0),IF(AND(CJ$4&gt;EDATE('核心假设'!$B$5,13+$F8),CJ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CJ$4=EDATE(EDATE('核心假设'!$B$5,13+$F8),$D8),SUM('融资租赁与资金缺口'!$D$5:$D$16)*$Z8*'核心假设'!$B$32,0),0),IF(AND(CJ$4&gt;EDATE('核心假设'!$B$5,14+$F8),CJ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CJ$4=EDATE(EDATE('核心假设'!$B$5,14+$F8),$D8),SUM('融资租赁与资金缺口'!$D$5:$D$16)*$AA8*'核心假设'!$B$32,0),0),IF(AND(CJ$4&gt;EDATE('核心假设'!$B$5,15+$F8),CJ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CJ$4=EDATE(EDATE('核心假设'!$B$5,15+$F8),$D8),SUM('融资租赁与资金缺口'!$D$5:$D$16)*$AB8*'核心假设'!$B$32,0),0),IF(AND(CJ$4&gt;EDATE('核心假设'!$B$5,16+$F8),CJ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CJ$4=EDATE(EDATE('核心假设'!$B$5,16+$F8),$D8),SUM('融资租赁与资金缺口'!$D$5:$D$16)*$AC8*'核心假设'!$B$32,0),0),IF(AND(CJ$4&gt;EDATE('核心假设'!$B$5,17+$F8),CJ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CJ$4=EDATE(EDATE('核心假设'!$B$5,17+$F8),$D8),SUM('融资租赁与资金缺口'!$D$5:$D$16)*$AD8*'核心假设'!$B$32,0),0))</x:f>
        <x:v>0</x:v>
      </x:c>
      <x:c r="CK25" s="28" t="n">
        <x:f>SUM(IF(AND(CK$4&gt;EDATE('核心假设'!$B$5,0+$F8),CK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CK$4=EDATE(EDATE('核心假设'!$B$5,0+$F8),$D8),SUM('融资租赁与资金缺口'!$D$5:$D$16)*$M8*'核心假设'!$B$32,0),0),IF(AND(CK$4&gt;EDATE('核心假设'!$B$5,1+$F8),CK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CK$4=EDATE(EDATE('核心假设'!$B$5,1+$F8),$D8),SUM('融资租赁与资金缺口'!$D$5:$D$16)*$N8*'核心假设'!$B$32,0),0),IF(AND(CK$4&gt;EDATE('核心假设'!$B$5,2+$F8),CK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CK$4=EDATE(EDATE('核心假设'!$B$5,2+$F8),$D8),SUM('融资租赁与资金缺口'!$D$5:$D$16)*$O8*'核心假设'!$B$32,0),0),IF(AND(CK$4&gt;EDATE('核心假设'!$B$5,3+$F8),CK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CK$4=EDATE(EDATE('核心假设'!$B$5,3+$F8),$D8),SUM('融资租赁与资金缺口'!$D$5:$D$16)*$P8*'核心假设'!$B$32,0),0),IF(AND(CK$4&gt;EDATE('核心假设'!$B$5,4+$F8),CK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CK$4=EDATE(EDATE('核心假设'!$B$5,4+$F8),$D8),SUM('融资租赁与资金缺口'!$D$5:$D$16)*$Q8*'核心假设'!$B$32,0),0),IF(AND(CK$4&gt;EDATE('核心假设'!$B$5,5+$F8),CK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CK$4=EDATE(EDATE('核心假设'!$B$5,5+$F8),$D8),SUM('融资租赁与资金缺口'!$D$5:$D$16)*$R8*'核心假设'!$B$32,0),0),IF(AND(CK$4&gt;EDATE('核心假设'!$B$5,6+$F8),CK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CK$4=EDATE(EDATE('核心假设'!$B$5,6+$F8),$D8),SUM('融资租赁与资金缺口'!$D$5:$D$16)*$S8*'核心假设'!$B$32,0),0),IF(AND(CK$4&gt;EDATE('核心假设'!$B$5,7+$F8),CK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CK$4=EDATE(EDATE('核心假设'!$B$5,7+$F8),$D8),SUM('融资租赁与资金缺口'!$D$5:$D$16)*$T8*'核心假设'!$B$32,0),0),IF(AND(CK$4&gt;EDATE('核心假设'!$B$5,8+$F8),CK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CK$4=EDATE(EDATE('核心假设'!$B$5,8+$F8),$D8),SUM('融资租赁与资金缺口'!$D$5:$D$16)*$U8*'核心假设'!$B$32,0),0),IF(AND(CK$4&gt;EDATE('核心假设'!$B$5,9+$F8),CK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CK$4=EDATE(EDATE('核心假设'!$B$5,9+$F8),$D8),SUM('融资租赁与资金缺口'!$D$5:$D$16)*$V8*'核心假设'!$B$32,0),0),IF(AND(CK$4&gt;EDATE('核心假设'!$B$5,10+$F8),CK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CK$4=EDATE(EDATE('核心假设'!$B$5,10+$F8),$D8),SUM('融资租赁与资金缺口'!$D$5:$D$16)*$W8*'核心假设'!$B$32,0),0),IF(AND(CK$4&gt;EDATE('核心假设'!$B$5,11+$F8),CK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CK$4=EDATE(EDATE('核心假设'!$B$5,11+$F8),$D8),SUM('融资租赁与资金缺口'!$D$5:$D$16)*$X8*'核心假设'!$B$32,0),0),IF(AND(CK$4&gt;EDATE('核心假设'!$B$5,12+$F8),CK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CK$4=EDATE(EDATE('核心假设'!$B$5,12+$F8),$D8),SUM('融资租赁与资金缺口'!$D$5:$D$16)*$Y8*'核心假设'!$B$32,0),0),IF(AND(CK$4&gt;EDATE('核心假设'!$B$5,13+$F8),CK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CK$4=EDATE(EDATE('核心假设'!$B$5,13+$F8),$D8),SUM('融资租赁与资金缺口'!$D$5:$D$16)*$Z8*'核心假设'!$B$32,0),0),IF(AND(CK$4&gt;EDATE('核心假设'!$B$5,14+$F8),CK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CK$4=EDATE(EDATE('核心假设'!$B$5,14+$F8),$D8),SUM('融资租赁与资金缺口'!$D$5:$D$16)*$AA8*'核心假设'!$B$32,0),0),IF(AND(CK$4&gt;EDATE('核心假设'!$B$5,15+$F8),CK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CK$4=EDATE(EDATE('核心假设'!$B$5,15+$F8),$D8),SUM('融资租赁与资金缺口'!$D$5:$D$16)*$AB8*'核心假设'!$B$32,0),0),IF(AND(CK$4&gt;EDATE('核心假设'!$B$5,16+$F8),CK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CK$4=EDATE(EDATE('核心假设'!$B$5,16+$F8),$D8),SUM('融资租赁与资金缺口'!$D$5:$D$16)*$AC8*'核心假设'!$B$32,0),0),IF(AND(CK$4&gt;EDATE('核心假设'!$B$5,17+$F8),CK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CK$4=EDATE(EDATE('核心假设'!$B$5,17+$F8),$D8),SUM('融资租赁与资金缺口'!$D$5:$D$16)*$AD8*'核心假设'!$B$32,0),0))</x:f>
        <x:v>0</x:v>
      </x:c>
      <x:c r="CL25" s="28" t="n">
        <x:f>SUM(IF(AND(CL$4&gt;EDATE('核心假设'!$B$5,0+$F8),CL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CL$4=EDATE(EDATE('核心假设'!$B$5,0+$F8),$D8),SUM('融资租赁与资金缺口'!$D$5:$D$16)*$M8*'核心假设'!$B$32,0),0),IF(AND(CL$4&gt;EDATE('核心假设'!$B$5,1+$F8),CL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CL$4=EDATE(EDATE('核心假设'!$B$5,1+$F8),$D8),SUM('融资租赁与资金缺口'!$D$5:$D$16)*$N8*'核心假设'!$B$32,0),0),IF(AND(CL$4&gt;EDATE('核心假设'!$B$5,2+$F8),CL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CL$4=EDATE(EDATE('核心假设'!$B$5,2+$F8),$D8),SUM('融资租赁与资金缺口'!$D$5:$D$16)*$O8*'核心假设'!$B$32,0),0),IF(AND(CL$4&gt;EDATE('核心假设'!$B$5,3+$F8),CL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CL$4=EDATE(EDATE('核心假设'!$B$5,3+$F8),$D8),SUM('融资租赁与资金缺口'!$D$5:$D$16)*$P8*'核心假设'!$B$32,0),0),IF(AND(CL$4&gt;EDATE('核心假设'!$B$5,4+$F8),CL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CL$4=EDATE(EDATE('核心假设'!$B$5,4+$F8),$D8),SUM('融资租赁与资金缺口'!$D$5:$D$16)*$Q8*'核心假设'!$B$32,0),0),IF(AND(CL$4&gt;EDATE('核心假设'!$B$5,5+$F8),CL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CL$4=EDATE(EDATE('核心假设'!$B$5,5+$F8),$D8),SUM('融资租赁与资金缺口'!$D$5:$D$16)*$R8*'核心假设'!$B$32,0),0),IF(AND(CL$4&gt;EDATE('核心假设'!$B$5,6+$F8),CL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CL$4=EDATE(EDATE('核心假设'!$B$5,6+$F8),$D8),SUM('融资租赁与资金缺口'!$D$5:$D$16)*$S8*'核心假设'!$B$32,0),0),IF(AND(CL$4&gt;EDATE('核心假设'!$B$5,7+$F8),CL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CL$4=EDATE(EDATE('核心假设'!$B$5,7+$F8),$D8),SUM('融资租赁与资金缺口'!$D$5:$D$16)*$T8*'核心假设'!$B$32,0),0),IF(AND(CL$4&gt;EDATE('核心假设'!$B$5,8+$F8),CL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CL$4=EDATE(EDATE('核心假设'!$B$5,8+$F8),$D8),SUM('融资租赁与资金缺口'!$D$5:$D$16)*$U8*'核心假设'!$B$32,0),0),IF(AND(CL$4&gt;EDATE('核心假设'!$B$5,9+$F8),CL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CL$4=EDATE(EDATE('核心假设'!$B$5,9+$F8),$D8),SUM('融资租赁与资金缺口'!$D$5:$D$16)*$V8*'核心假设'!$B$32,0),0),IF(AND(CL$4&gt;EDATE('核心假设'!$B$5,10+$F8),CL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CL$4=EDATE(EDATE('核心假设'!$B$5,10+$F8),$D8),SUM('融资租赁与资金缺口'!$D$5:$D$16)*$W8*'核心假设'!$B$32,0),0),IF(AND(CL$4&gt;EDATE('核心假设'!$B$5,11+$F8),CL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CL$4=EDATE(EDATE('核心假设'!$B$5,11+$F8),$D8),SUM('融资租赁与资金缺口'!$D$5:$D$16)*$X8*'核心假设'!$B$32,0),0),IF(AND(CL$4&gt;EDATE('核心假设'!$B$5,12+$F8),CL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CL$4=EDATE(EDATE('核心假设'!$B$5,12+$F8),$D8),SUM('融资租赁与资金缺口'!$D$5:$D$16)*$Y8*'核心假设'!$B$32,0),0),IF(AND(CL$4&gt;EDATE('核心假设'!$B$5,13+$F8),CL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CL$4=EDATE(EDATE('核心假设'!$B$5,13+$F8),$D8),SUM('融资租赁与资金缺口'!$D$5:$D$16)*$Z8*'核心假设'!$B$32,0),0),IF(AND(CL$4&gt;EDATE('核心假设'!$B$5,14+$F8),CL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CL$4=EDATE(EDATE('核心假设'!$B$5,14+$F8),$D8),SUM('融资租赁与资金缺口'!$D$5:$D$16)*$AA8*'核心假设'!$B$32,0),0),IF(AND(CL$4&gt;EDATE('核心假设'!$B$5,15+$F8),CL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CL$4=EDATE(EDATE('核心假设'!$B$5,15+$F8),$D8),SUM('融资租赁与资金缺口'!$D$5:$D$16)*$AB8*'核心假设'!$B$32,0),0),IF(AND(CL$4&gt;EDATE('核心假设'!$B$5,16+$F8),CL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CL$4=EDATE(EDATE('核心假设'!$B$5,16+$F8),$D8),SUM('融资租赁与资金缺口'!$D$5:$D$16)*$AC8*'核心假设'!$B$32,0),0),IF(AND(CL$4&gt;EDATE('核心假设'!$B$5,17+$F8),CL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CL$4=EDATE(EDATE('核心假设'!$B$5,17+$F8),$D8),SUM('融资租赁与资金缺口'!$D$5:$D$16)*$AD8*'核心假设'!$B$32,0),0))</x:f>
        <x:v>0</x:v>
      </x:c>
      <x:c r="CM25" s="28" t="n">
        <x:f>SUM(IF(AND(CM$4&gt;EDATE('核心假设'!$B$5,0+$F8),CM$4&lt;=EDATE(EDATE('核心假设'!$B$5,0+$F8),$D8)),IF($E8/12=0,(SUM('融资租赁与资金缺口'!$D$5:$D$16)*$M8*$C8-SUM('融资租赁与资金缺口'!$D$5:$D$16)*$M8*'核心假设'!$B$32)/$D8,(SUM('融资租赁与资金缺口'!$D$5:$D$16)*$M8*$C8-SUM('融资租赁与资金缺口'!$D$5:$D$16)*$M8*'核心假设'!$B$32/(1+$E8/12)^$D8)*$E8/12/(1-(1+$E8/12)^-$D8))+IF(CM$4=EDATE(EDATE('核心假设'!$B$5,0+$F8),$D8),SUM('融资租赁与资金缺口'!$D$5:$D$16)*$M8*'核心假设'!$B$32,0),0),IF(AND(CM$4&gt;EDATE('核心假设'!$B$5,1+$F8),CM$4&lt;=EDATE(EDATE('核心假设'!$B$5,1+$F8),$D8)),IF($E8/12=0,(SUM('融资租赁与资金缺口'!$D$5:$D$16)*$N8*$C8-SUM('融资租赁与资金缺口'!$D$5:$D$16)*$N8*'核心假设'!$B$32)/$D8,(SUM('融资租赁与资金缺口'!$D$5:$D$16)*$N8*$C8-SUM('融资租赁与资金缺口'!$D$5:$D$16)*$N8*'核心假设'!$B$32/(1+$E8/12)^$D8)*$E8/12/(1-(1+$E8/12)^-$D8))+IF(CM$4=EDATE(EDATE('核心假设'!$B$5,1+$F8),$D8),SUM('融资租赁与资金缺口'!$D$5:$D$16)*$N8*'核心假设'!$B$32,0),0),IF(AND(CM$4&gt;EDATE('核心假设'!$B$5,2+$F8),CM$4&lt;=EDATE(EDATE('核心假设'!$B$5,2+$F8),$D8)),IF($E8/12=0,(SUM('融资租赁与资金缺口'!$D$5:$D$16)*$O8*$C8-SUM('融资租赁与资金缺口'!$D$5:$D$16)*$O8*'核心假设'!$B$32)/$D8,(SUM('融资租赁与资金缺口'!$D$5:$D$16)*$O8*$C8-SUM('融资租赁与资金缺口'!$D$5:$D$16)*$O8*'核心假设'!$B$32/(1+$E8/12)^$D8)*$E8/12/(1-(1+$E8/12)^-$D8))+IF(CM$4=EDATE(EDATE('核心假设'!$B$5,2+$F8),$D8),SUM('融资租赁与资金缺口'!$D$5:$D$16)*$O8*'核心假设'!$B$32,0),0),IF(AND(CM$4&gt;EDATE('核心假设'!$B$5,3+$F8),CM$4&lt;=EDATE(EDATE('核心假设'!$B$5,3+$F8),$D8)),IF($E8/12=0,(SUM('融资租赁与资金缺口'!$D$5:$D$16)*$P8*$C8-SUM('融资租赁与资金缺口'!$D$5:$D$16)*$P8*'核心假设'!$B$32)/$D8,(SUM('融资租赁与资金缺口'!$D$5:$D$16)*$P8*$C8-SUM('融资租赁与资金缺口'!$D$5:$D$16)*$P8*'核心假设'!$B$32/(1+$E8/12)^$D8)*$E8/12/(1-(1+$E8/12)^-$D8))+IF(CM$4=EDATE(EDATE('核心假设'!$B$5,3+$F8),$D8),SUM('融资租赁与资金缺口'!$D$5:$D$16)*$P8*'核心假设'!$B$32,0),0),IF(AND(CM$4&gt;EDATE('核心假设'!$B$5,4+$F8),CM$4&lt;=EDATE(EDATE('核心假设'!$B$5,4+$F8),$D8)),IF($E8/12=0,(SUM('融资租赁与资金缺口'!$D$5:$D$16)*$Q8*$C8-SUM('融资租赁与资金缺口'!$D$5:$D$16)*$Q8*'核心假设'!$B$32)/$D8,(SUM('融资租赁与资金缺口'!$D$5:$D$16)*$Q8*$C8-SUM('融资租赁与资金缺口'!$D$5:$D$16)*$Q8*'核心假设'!$B$32/(1+$E8/12)^$D8)*$E8/12/(1-(1+$E8/12)^-$D8))+IF(CM$4=EDATE(EDATE('核心假设'!$B$5,4+$F8),$D8),SUM('融资租赁与资金缺口'!$D$5:$D$16)*$Q8*'核心假设'!$B$32,0),0),IF(AND(CM$4&gt;EDATE('核心假设'!$B$5,5+$F8),CM$4&lt;=EDATE(EDATE('核心假设'!$B$5,5+$F8),$D8)),IF($E8/12=0,(SUM('融资租赁与资金缺口'!$D$5:$D$16)*$R8*$C8-SUM('融资租赁与资金缺口'!$D$5:$D$16)*$R8*'核心假设'!$B$32)/$D8,(SUM('融资租赁与资金缺口'!$D$5:$D$16)*$R8*$C8-SUM('融资租赁与资金缺口'!$D$5:$D$16)*$R8*'核心假设'!$B$32/(1+$E8/12)^$D8)*$E8/12/(1-(1+$E8/12)^-$D8))+IF(CM$4=EDATE(EDATE('核心假设'!$B$5,5+$F8),$D8),SUM('融资租赁与资金缺口'!$D$5:$D$16)*$R8*'核心假设'!$B$32,0),0),IF(AND(CM$4&gt;EDATE('核心假设'!$B$5,6+$F8),CM$4&lt;=EDATE(EDATE('核心假设'!$B$5,6+$F8),$D8)),IF($E8/12=0,(SUM('融资租赁与资金缺口'!$D$5:$D$16)*$S8*$C8-SUM('融资租赁与资金缺口'!$D$5:$D$16)*$S8*'核心假设'!$B$32)/$D8,(SUM('融资租赁与资金缺口'!$D$5:$D$16)*$S8*$C8-SUM('融资租赁与资金缺口'!$D$5:$D$16)*$S8*'核心假设'!$B$32/(1+$E8/12)^$D8)*$E8/12/(1-(1+$E8/12)^-$D8))+IF(CM$4=EDATE(EDATE('核心假设'!$B$5,6+$F8),$D8),SUM('融资租赁与资金缺口'!$D$5:$D$16)*$S8*'核心假设'!$B$32,0),0),IF(AND(CM$4&gt;EDATE('核心假设'!$B$5,7+$F8),CM$4&lt;=EDATE(EDATE('核心假设'!$B$5,7+$F8),$D8)),IF($E8/12=0,(SUM('融资租赁与资金缺口'!$D$5:$D$16)*$T8*$C8-SUM('融资租赁与资金缺口'!$D$5:$D$16)*$T8*'核心假设'!$B$32)/$D8,(SUM('融资租赁与资金缺口'!$D$5:$D$16)*$T8*$C8-SUM('融资租赁与资金缺口'!$D$5:$D$16)*$T8*'核心假设'!$B$32/(1+$E8/12)^$D8)*$E8/12/(1-(1+$E8/12)^-$D8))+IF(CM$4=EDATE(EDATE('核心假设'!$B$5,7+$F8),$D8),SUM('融资租赁与资金缺口'!$D$5:$D$16)*$T8*'核心假设'!$B$32,0),0),IF(AND(CM$4&gt;EDATE('核心假设'!$B$5,8+$F8),CM$4&lt;=EDATE(EDATE('核心假设'!$B$5,8+$F8),$D8)),IF($E8/12=0,(SUM('融资租赁与资金缺口'!$D$5:$D$16)*$U8*$C8-SUM('融资租赁与资金缺口'!$D$5:$D$16)*$U8*'核心假设'!$B$32)/$D8,(SUM('融资租赁与资金缺口'!$D$5:$D$16)*$U8*$C8-SUM('融资租赁与资金缺口'!$D$5:$D$16)*$U8*'核心假设'!$B$32/(1+$E8/12)^$D8)*$E8/12/(1-(1+$E8/12)^-$D8))+IF(CM$4=EDATE(EDATE('核心假设'!$B$5,8+$F8),$D8),SUM('融资租赁与资金缺口'!$D$5:$D$16)*$U8*'核心假设'!$B$32,0),0),IF(AND(CM$4&gt;EDATE('核心假设'!$B$5,9+$F8),CM$4&lt;=EDATE(EDATE('核心假设'!$B$5,9+$F8),$D8)),IF($E8/12=0,(SUM('融资租赁与资金缺口'!$D$5:$D$16)*$V8*$C8-SUM('融资租赁与资金缺口'!$D$5:$D$16)*$V8*'核心假设'!$B$32)/$D8,(SUM('融资租赁与资金缺口'!$D$5:$D$16)*$V8*$C8-SUM('融资租赁与资金缺口'!$D$5:$D$16)*$V8*'核心假设'!$B$32/(1+$E8/12)^$D8)*$E8/12/(1-(1+$E8/12)^-$D8))+IF(CM$4=EDATE(EDATE('核心假设'!$B$5,9+$F8),$D8),SUM('融资租赁与资金缺口'!$D$5:$D$16)*$V8*'核心假设'!$B$32,0),0),IF(AND(CM$4&gt;EDATE('核心假设'!$B$5,10+$F8),CM$4&lt;=EDATE(EDATE('核心假设'!$B$5,10+$F8),$D8)),IF($E8/12=0,(SUM('融资租赁与资金缺口'!$D$5:$D$16)*$W8*$C8-SUM('融资租赁与资金缺口'!$D$5:$D$16)*$W8*'核心假设'!$B$32)/$D8,(SUM('融资租赁与资金缺口'!$D$5:$D$16)*$W8*$C8-SUM('融资租赁与资金缺口'!$D$5:$D$16)*$W8*'核心假设'!$B$32/(1+$E8/12)^$D8)*$E8/12/(1-(1+$E8/12)^-$D8))+IF(CM$4=EDATE(EDATE('核心假设'!$B$5,10+$F8),$D8),SUM('融资租赁与资金缺口'!$D$5:$D$16)*$W8*'核心假设'!$B$32,0),0),IF(AND(CM$4&gt;EDATE('核心假设'!$B$5,11+$F8),CM$4&lt;=EDATE(EDATE('核心假设'!$B$5,11+$F8),$D8)),IF($E8/12=0,(SUM('融资租赁与资金缺口'!$D$5:$D$16)*$X8*$C8-SUM('融资租赁与资金缺口'!$D$5:$D$16)*$X8*'核心假设'!$B$32)/$D8,(SUM('融资租赁与资金缺口'!$D$5:$D$16)*$X8*$C8-SUM('融资租赁与资金缺口'!$D$5:$D$16)*$X8*'核心假设'!$B$32/(1+$E8/12)^$D8)*$E8/12/(1-(1+$E8/12)^-$D8))+IF(CM$4=EDATE(EDATE('核心假设'!$B$5,11+$F8),$D8),SUM('融资租赁与资金缺口'!$D$5:$D$16)*$X8*'核心假设'!$B$32,0),0),IF(AND(CM$4&gt;EDATE('核心假设'!$B$5,12+$F8),CM$4&lt;=EDATE(EDATE('核心假设'!$B$5,12+$F8),$D8)),IF($E8/12=0,(SUM('融资租赁与资金缺口'!$D$5:$D$16)*$Y8*$C8-SUM('融资租赁与资金缺口'!$D$5:$D$16)*$Y8*'核心假设'!$B$32)/$D8,(SUM('融资租赁与资金缺口'!$D$5:$D$16)*$Y8*$C8-SUM('融资租赁与资金缺口'!$D$5:$D$16)*$Y8*'核心假设'!$B$32/(1+$E8/12)^$D8)*$E8/12/(1-(1+$E8/12)^-$D8))+IF(CM$4=EDATE(EDATE('核心假设'!$B$5,12+$F8),$D8),SUM('融资租赁与资金缺口'!$D$5:$D$16)*$Y8*'核心假设'!$B$32,0),0),IF(AND(CM$4&gt;EDATE('核心假设'!$B$5,13+$F8),CM$4&lt;=EDATE(EDATE('核心假设'!$B$5,13+$F8),$D8)),IF($E8/12=0,(SUM('融资租赁与资金缺口'!$D$5:$D$16)*$Z8*$C8-SUM('融资租赁与资金缺口'!$D$5:$D$16)*$Z8*'核心假设'!$B$32)/$D8,(SUM('融资租赁与资金缺口'!$D$5:$D$16)*$Z8*$C8-SUM('融资租赁与资金缺口'!$D$5:$D$16)*$Z8*'核心假设'!$B$32/(1+$E8/12)^$D8)*$E8/12/(1-(1+$E8/12)^-$D8))+IF(CM$4=EDATE(EDATE('核心假设'!$B$5,13+$F8),$D8),SUM('融资租赁与资金缺口'!$D$5:$D$16)*$Z8*'核心假设'!$B$32,0),0),IF(AND(CM$4&gt;EDATE('核心假设'!$B$5,14+$F8),CM$4&lt;=EDATE(EDATE('核心假设'!$B$5,14+$F8),$D8)),IF($E8/12=0,(SUM('融资租赁与资金缺口'!$D$5:$D$16)*$AA8*$C8-SUM('融资租赁与资金缺口'!$D$5:$D$16)*$AA8*'核心假设'!$B$32)/$D8,(SUM('融资租赁与资金缺口'!$D$5:$D$16)*$AA8*$C8-SUM('融资租赁与资金缺口'!$D$5:$D$16)*$AA8*'核心假设'!$B$32/(1+$E8/12)^$D8)*$E8/12/(1-(1+$E8/12)^-$D8))+IF(CM$4=EDATE(EDATE('核心假设'!$B$5,14+$F8),$D8),SUM('融资租赁与资金缺口'!$D$5:$D$16)*$AA8*'核心假设'!$B$32,0),0),IF(AND(CM$4&gt;EDATE('核心假设'!$B$5,15+$F8),CM$4&lt;=EDATE(EDATE('核心假设'!$B$5,15+$F8),$D8)),IF($E8/12=0,(SUM('融资租赁与资金缺口'!$D$5:$D$16)*$AB8*$C8-SUM('融资租赁与资金缺口'!$D$5:$D$16)*$AB8*'核心假设'!$B$32)/$D8,(SUM('融资租赁与资金缺口'!$D$5:$D$16)*$AB8*$C8-SUM('融资租赁与资金缺口'!$D$5:$D$16)*$AB8*'核心假设'!$B$32/(1+$E8/12)^$D8)*$E8/12/(1-(1+$E8/12)^-$D8))+IF(CM$4=EDATE(EDATE('核心假设'!$B$5,15+$F8),$D8),SUM('融资租赁与资金缺口'!$D$5:$D$16)*$AB8*'核心假设'!$B$32,0),0),IF(AND(CM$4&gt;EDATE('核心假设'!$B$5,16+$F8),CM$4&lt;=EDATE(EDATE('核心假设'!$B$5,16+$F8),$D8)),IF($E8/12=0,(SUM('融资租赁与资金缺口'!$D$5:$D$16)*$AC8*$C8-SUM('融资租赁与资金缺口'!$D$5:$D$16)*$AC8*'核心假设'!$B$32)/$D8,(SUM('融资租赁与资金缺口'!$D$5:$D$16)*$AC8*$C8-SUM('融资租赁与资金缺口'!$D$5:$D$16)*$AC8*'核心假设'!$B$32/(1+$E8/12)^$D8)*$E8/12/(1-(1+$E8/12)^-$D8))+IF(CM$4=EDATE(EDATE('核心假设'!$B$5,16+$F8),$D8),SUM('融资租赁与资金缺口'!$D$5:$D$16)*$AC8*'核心假设'!$B$32,0),0),IF(AND(CM$4&gt;EDATE('核心假设'!$B$5,17+$F8),CM$4&lt;=EDATE(EDATE('核心假设'!$B$5,17+$F8),$D8)),IF($E8/12=0,(SUM('融资租赁与资金缺口'!$D$5:$D$16)*$AD8*$C8-SUM('融资租赁与资金缺口'!$D$5:$D$16)*$AD8*'核心假设'!$B$32)/$D8,(SUM('融资租赁与资金缺口'!$D$5:$D$16)*$AD8*$C8-SUM('融资租赁与资金缺口'!$D$5:$D$16)*$AD8*'核心假设'!$B$32/(1+$E8/12)^$D8)*$E8/12/(1-(1+$E8/12)^-$D8))+IF(CM$4=EDATE(EDATE('核心假设'!$B$5,17+$F8),$D8),SUM('融资租赁与资金缺口'!$D$5:$D$16)*$AD8*'核心假设'!$B$32,0),0))</x:f>
        <x:v>0</x:v>
      </x:c>
    </x:row>
    <x:row r="26">
      <x:c r="A26" s="60" t="str">
        <x:v>月度新增与城市批次明细一致</x:v>
      </x:c>
      <x:c r="B26" s="70" t="n">
        <x:f>SUM('月度投放计划'!$J$17:$U$17)+SUM('月度投放计划'!$AH$28:$AH$83)</x:f>
        <x:v>0</x:v>
      </x:c>
      <x:c r="C26" s="70" t="n">
        <x:f>0</x:f>
        <x:v>0</x:v>
      </x:c>
      <x:c r="D26" s="72" t="n">
        <x:f>B26-C26</x:f>
        <x:v>0</x:v>
      </x:c>
      <x:c r="E26" s="72" t="n">
        <x:v>0</x:v>
      </x:c>
      <x:c r="F26" s="54" t="str">
        <x:f>IF(ABS(D26)&lt;=E26,"PASS","FAIL")</x:f>
        <x:v>PASS</x:v>
      </x:c>
      <x:c r="G26" s="52" t="str">
        <x:v>月度投放计划!J17:AH83</x:v>
      </x:c>
      <x:c r="H26" s="61" t="str">
        <x:v>月度站型和逐城分配同时回归</x:v>
      </x:c>
      <x:c r="AE26" t="str">
        <x:v>DSCR</x:v>
      </x:c>
      <x:c r="AF26" s="28" t="str">
        <x:f>IF(AF25=0,"",AF24/AF25)</x:f>
      </x:c>
      <x:c r="AG26" s="28" t="str">
        <x:f>IF(AG25=0,"",AG24/AG25)</x:f>
      </x:c>
      <x:c r="AH26" s="28" t="str">
        <x:f>IF(AH25=0,"",AH24/AH25)</x:f>
      </x:c>
      <x:c r="AI26" s="28" t="n">
        <x:f>IF(AI25=0,"",AI24/AI25)</x:f>
        <x:v>9.817162236317488</x:v>
      </x:c>
      <x:c r="AJ26" s="28" t="n">
        <x:f>IF(AJ25=0,"",AJ24/AJ25)</x:f>
        <x:v>5.715199790665176</x:v>
      </x:c>
      <x:c r="AK26" s="28" t="n">
        <x:f>IF(AK25=0,"",AK24/AK25)</x:f>
        <x:v>3.7936659037437668</x:v>
      </x:c>
      <x:c r="AL26" s="28" t="n">
        <x:f>IF(AL25=0,"",AL24/AL25)</x:f>
        <x:v>3.528723577826732</x:v>
      </x:c>
      <x:c r="AM26" s="28" t="n">
        <x:f>IF(AM25=0,"",AM24/AM25)</x:f>
        <x:v>3.2490507964647763</x:v>
      </x:c>
      <x:c r="AN26" s="28" t="n">
        <x:f>IF(AN25=0,"",AN24/AN25)</x:f>
        <x:v>3.051882483326205</x:v>
      </x:c>
      <x:c r="AO26" s="28" t="n">
        <x:f>IF(AO25=0,"",AO24/AO25)</x:f>
        <x:v>3.0103638148254586</x:v>
      </x:c>
      <x:c r="AP26" s="28" t="n">
        <x:f>IF(AP25=0,"",AP24/AP25)</x:f>
        <x:v>3.0011843659022683</x:v>
      </x:c>
      <x:c r="AQ26" s="28" t="n">
        <x:f>IF(AQ25=0,"",AQ24/AQ25)</x:f>
        <x:v>2.931581416028467</x:v>
      </x:c>
      <x:c r="AR26" s="28" t="n">
        <x:f>IF(AR25=0,"",AR24/AR25)</x:f>
        <x:v>2.533747451760276</x:v>
      </x:c>
      <x:c r="AS26" s="28" t="n">
        <x:f>IF(AS25=0,"",AS24/AS25)</x:f>
        <x:v>2.300660279403559</x:v>
      </x:c>
      <x:c r="AT26" s="28" t="n">
        <x:f>IF(AT25=0,"",AT24/AT25)</x:f>
        <x:v>2.2306092633084265</x:v>
      </x:c>
      <x:c r="AU26" s="28" t="n">
        <x:f>IF(AU25=0,"",AU24/AU25)</x:f>
        <x:v>2.480883884630916</x:v>
      </x:c>
      <x:c r="AV26" s="28" t="n">
        <x:f>IF(AV25=0,"",AV24/AV25)</x:f>
        <x:v>2.2679364248671328</x:v>
      </x:c>
      <x:c r="AW26" s="28" t="n">
        <x:f>IF(AW25=0,"",AW24/AW25)</x:f>
        <x:v>1.9213466854447998</x:v>
      </x:c>
      <x:c r="AX26" s="28" t="n">
        <x:f>IF(AX25=0,"",AX24/AX25)</x:f>
        <x:v>1.9562220260873144</x:v>
      </x:c>
      <x:c r="AY26" s="28" t="n">
        <x:f>IF(AY25=0,"",AY24/AY25)</x:f>
        <x:v>1.9814737389138724</x:v>
      </x:c>
      <x:c r="AZ26" s="28" t="n">
        <x:f>IF(AZ25=0,"",AZ24/AZ25)</x:f>
        <x:v>2.0336844624563786</x:v>
      </x:c>
      <x:c r="BA26" s="28" t="n">
        <x:f>IF(BA25=0,"",BA24/BA25)</x:f>
        <x:v>2.187366986249198</x:v>
      </x:c>
      <x:c r="BB26" s="28" t="n">
        <x:f>IF(BB25=0,"",BB24/BB25)</x:f>
        <x:v>2.342490127160437</x:v>
      </x:c>
      <x:c r="BC26" s="28" t="n">
        <x:f>IF(BC25=0,"",BC24/BC25)</x:f>
        <x:v>2.4240954578414082</x:v>
      </x:c>
      <x:c r="BD26" s="28" t="n">
        <x:f>IF(BD25=0,"",BD24/BD25)</x:f>
        <x:v>2.2632143835831298</x:v>
      </x:c>
      <x:c r="BE26" s="28" t="n">
        <x:f>IF(BE25=0,"",BE24/BE25)</x:f>
        <x:v>2.202485652957883</x:v>
      </x:c>
      <x:c r="BF26" s="28" t="n">
        <x:f>IF(BF25=0,"",BF24/BF25)</x:f>
        <x:v>2.2467861233968835</x:v>
      </x:c>
      <x:c r="BG26" s="28" t="n">
        <x:f>IF(BG25=0,"",BG24/BG25)</x:f>
        <x:v>2.485357528181643</x:v>
      </x:c>
      <x:c r="BH26" s="28" t="n">
        <x:f>IF(BH25=0,"",BH24/BH25)</x:f>
        <x:v>2.2679364248671328</x:v>
      </x:c>
      <x:c r="BI26" s="28" t="n">
        <x:f>IF(BI25=0,"",BI24/BI25)</x:f>
        <x:v>1.8550933514639445</x:v>
      </x:c>
      <x:c r="BJ26" s="28" t="n">
        <x:f>IF(BJ25=0,"",BJ24/BJ25)</x:f>
        <x:v>1.9562220260873144</x:v>
      </x:c>
      <x:c r="BK26" s="28" t="n">
        <x:f>IF(BK25=0,"",BK24/BK25)</x:f>
        <x:v>1.9814737389138724</x:v>
      </x:c>
      <x:c r="BL26" s="28" t="n">
        <x:f>IF(BL25=0,"",BL24/BL25)</x:f>
        <x:v>2.0336844624563786</x:v>
      </x:c>
      <x:c r="BM26" s="28" t="n">
        <x:f>IF(BM25=0,"",BM24/BM25)</x:f>
        <x:v>2.187366986249198</x:v>
      </x:c>
      <x:c r="BN26" s="28" t="n">
        <x:f>IF(BN25=0,"",BN24/BN25)</x:f>
        <x:v>2.342490127160437</x:v>
      </x:c>
      <x:c r="BO26" s="28" t="n">
        <x:f>IF(BO25=0,"",BO24/BO25)</x:f>
        <x:v>2.4240954578414082</x:v>
      </x:c>
      <x:c r="BP26" s="28" t="n">
        <x:f>IF(BP25=0,"",BP24/BP25)</x:f>
        <x:v>2.2632143835831298</x:v>
      </x:c>
      <x:c r="BQ26" s="28" t="n">
        <x:f>IF(BQ25=0,"",BQ24/BQ25)</x:f>
        <x:v>2.202485652957883</x:v>
      </x:c>
      <x:c r="BR26" s="28" t="n">
        <x:f>IF(BR25=0,"",BR24/BR25)</x:f>
        <x:v>2.2112240831481413</x:v>
      </x:c>
      <x:c r="BS26" s="28" t="n">
        <x:f>IF(BS25=0,"",BS24/BS25)</x:f>
        <x:v>2.564077222739092</x:v>
      </x:c>
      <x:c r="BT26" s="28" t="n">
        <x:f>IF(BT25=0,"",BT24/BT25)</x:f>
        <x:v>2.4853675135834856</x:v>
      </x:c>
      <x:c r="BU26" s="28" t="n">
        <x:f>IF(BU25=0,"",BU24/BU25)</x:f>
        <x:v>2.1934765452236133</x:v>
      </x:c>
      <x:c r="BV26" s="28" t="n">
        <x:f>IF(BV25=0,"",BV24/BV25)</x:f>
        <x:v>2.5440220849287556</x:v>
      </x:c>
      <x:c r="BW26" s="28" t="n">
        <x:f>IF(BW25=0,"",BW24/BW25)</x:f>
        <x:v>2.9046838564049495</x:v>
      </x:c>
      <x:c r="BX26" s="28" t="n">
        <x:f>IF(BX25=0,"",BX24/BX25)</x:f>
        <x:v>3.4741179255837187</x:v>
      </x:c>
      <x:c r="BY26" s="28" t="n">
        <x:f>IF(BY25=0,"",BY24/BY25)</x:f>
        <x:v>4.601287289898159</x:v>
      </x:c>
      <x:c r="BZ26" s="28" t="n">
        <x:f>IF(BZ25=0,"",BZ24/BZ25)</x:f>
        <x:v>6.4680186045205</x:v>
      </x:c>
      <x:c r="CA26" s="28" t="n">
        <x:f>IF(CA25=0,"",CA24/CA25)</x:f>
        <x:v>9.361302488226794</x:v>
      </x:c>
      <x:c r="CB26" s="28" t="n">
        <x:f>IF(CB25=0,"",CB24/CB25)</x:f>
        <x:v>13.655866686621618</x:v>
      </x:c>
      <x:c r="CC26" s="28" t="n">
        <x:f>IF(CC25=0,"",CC24/CC25)</x:f>
        <x:v>27.77443873036409</x:v>
      </x:c>
      <x:c r="CD26" s="28" t="str">
        <x:f>IF(CD25=0,"",CD24/CD25)</x:f>
      </x:c>
      <x:c r="CE26" s="28" t="str">
        <x:f>IF(CE25=0,"",CE24/CE25)</x:f>
      </x:c>
      <x:c r="CF26" s="28" t="str">
        <x:f>IF(CF25=0,"",CF24/CF25)</x:f>
      </x:c>
      <x:c r="CG26" s="28" t="str">
        <x:f>IF(CG25=0,"",CG24/CG25)</x:f>
      </x:c>
      <x:c r="CH26" s="28" t="str">
        <x:f>IF(CH25=0,"",CH24/CH25)</x:f>
      </x:c>
      <x:c r="CI26" s="28" t="str">
        <x:f>IF(CI25=0,"",CI24/CI25)</x:f>
      </x:c>
      <x:c r="CJ26" s="28" t="str">
        <x:f>IF(CJ25=0,"",CJ24/CJ25)</x:f>
      </x:c>
      <x:c r="CK26" s="28" t="str">
        <x:f>IF(CK25=0,"",CK24/CK25)</x:f>
      </x:c>
      <x:c r="CL26" s="28" t="str">
        <x:f>IF(CL25=0,"",CL24/CL25)</x:f>
      </x:c>
      <x:c r="CM26" s="28" t="str">
        <x:f>IF(CM25=0,"",CM24/CM25)</x:f>
      </x:c>
    </x:row>
    <x:row r="27">
      <x:c r="A27" s="60" t="str">
        <x:v>总投资与原值成本口径</x:v>
      </x:c>
      <x:c r="B27" s="70" t="n">
        <x:f>SUM('融资租赁与资金缺口'!$M$5:$M$16)</x:f>
        <x:v>640300000</x:v>
      </x:c>
      <x:c r="C27" s="70" t="n">
        <x:f>SUM('月度投放计划'!$J$15:$U$15)*'单站成本'!$E$5+SUM('月度投放计划'!$J$16:$U$16)*'单站成本'!$E$6</x:f>
        <x:v>640300000</x:v>
      </x:c>
      <x:c r="D27" s="72" t="n">
        <x:f>B27-C27</x:f>
        <x:v>0</x:v>
      </x:c>
      <x:c r="E27" s="72" t="n">
        <x:v>0.01</x:v>
      </x:c>
      <x:c r="F27" s="54" t="str">
        <x:f>IF(ABS(D27)&lt;=E27,"PASS","FAIL")</x:f>
        <x:v>PASS</x:v>
      </x:c>
      <x:c r="G27" s="52" t="str">
        <x:v>融资租赁与资金缺口!D5:M16</x:v>
      </x:c>
      <x:c r="H27" s="61" t="str">
        <x:v>总投资含渠道，租赁原值仅设备工程</x:v>
      </x:c>
      <x:c r="AE27" t="str">
        <x:v>供应商付款</x:v>
      </x:c>
      <x:c r="AF27" s="28" t="n">
        <x:f>SUM(IF(EDATE('核心假设'!$B$5,0-1+'核心假设'!$B$31)&lt;=AF$4,SUM('融资租赁与资金缺口'!$M$5:$M$16)*$M8,0),IF(EDATE('核心假设'!$B$5,1-1+'核心假设'!$B$31)&lt;=AF$4,SUM('融资租赁与资金缺口'!$M$5:$M$16)*$N8,0),IF(EDATE('核心假设'!$B$5,2-1+'核心假设'!$B$31)&lt;=AF$4,SUM('融资租赁与资金缺口'!$M$5:$M$16)*$O8,0),IF(EDATE('核心假设'!$B$5,3-1+'核心假设'!$B$31)&lt;=AF$4,SUM('融资租赁与资金缺口'!$M$5:$M$16)*$P8,0),IF(EDATE('核心假设'!$B$5,4-1+'核心假设'!$B$31)&lt;=AF$4,SUM('融资租赁与资金缺口'!$M$5:$M$16)*$Q8,0),IF(EDATE('核心假设'!$B$5,5-1+'核心假设'!$B$31)&lt;=AF$4,SUM('融资租赁与资金缺口'!$M$5:$M$16)*$R8,0),IF(EDATE('核心假设'!$B$5,6-1+'核心假设'!$B$31)&lt;=AF$4,SUM('融资租赁与资金缺口'!$M$5:$M$16)*$S8,0),IF(EDATE('核心假设'!$B$5,7-1+'核心假设'!$B$31)&lt;=AF$4,SUM('融资租赁与资金缺口'!$M$5:$M$16)*$T8,0),IF(EDATE('核心假设'!$B$5,8-1+'核心假设'!$B$31)&lt;=AF$4,SUM('融资租赁与资金缺口'!$M$5:$M$16)*$U8,0),IF(EDATE('核心假设'!$B$5,9-1+'核心假设'!$B$31)&lt;=AF$4,SUM('融资租赁与资金缺口'!$M$5:$M$16)*$V8,0),IF(EDATE('核心假设'!$B$5,10-1+'核心假设'!$B$31)&lt;=AF$4,SUM('融资租赁与资金缺口'!$M$5:$M$16)*$W8,0),IF(EDATE('核心假设'!$B$5,11-1+'核心假设'!$B$31)&lt;=AF$4,SUM('融资租赁与资金缺口'!$M$5:$M$16)*$X8,0),IF(EDATE('核心假设'!$B$5,12-1+'核心假设'!$B$31)&lt;=AF$4,SUM('融资租赁与资金缺口'!$M$5:$M$16)*$Y8,0),IF(EDATE('核心假设'!$B$5,13-1+'核心假设'!$B$31)&lt;=AF$4,SUM('融资租赁与资金缺口'!$M$5:$M$16)*$Z8,0),IF(EDATE('核心假设'!$B$5,14-1+'核心假设'!$B$31)&lt;=AF$4,SUM('融资租赁与资金缺口'!$M$5:$M$16)*$AA8,0),IF(EDATE('核心假设'!$B$5,15-1+'核心假设'!$B$31)&lt;=AF$4,SUM('融资租赁与资金缺口'!$M$5:$M$16)*$AB8,0),IF(EDATE('核心假设'!$B$5,16-1+'核心假设'!$B$31)&lt;=AF$4,SUM('融资租赁与资金缺口'!$M$5:$M$16)*$AC8,0),IF(EDATE('核心假设'!$B$5,17-1+'核心假设'!$B$31)&lt;=AF$4,SUM('融资租赁与资金缺口'!$M$5:$M$16)*$AD8,0))</x:f>
        <x:v>0</x:v>
      </x:c>
      <x:c r="AG27" s="28" t="n">
        <x:f>SUM(IF(AG$4=EDATE('核心假设'!$B$5,0-1+'核心假设'!$B$31),SUM('融资租赁与资金缺口'!$M$5:$M$16)*$M8,0),IF(AG$4=EDATE('核心假设'!$B$5,1-1+'核心假设'!$B$31),SUM('融资租赁与资金缺口'!$M$5:$M$16)*$N8,0),IF(AG$4=EDATE('核心假设'!$B$5,2-1+'核心假设'!$B$31),SUM('融资租赁与资金缺口'!$M$5:$M$16)*$O8,0),IF(AG$4=EDATE('核心假设'!$B$5,3-1+'核心假设'!$B$31),SUM('融资租赁与资金缺口'!$M$5:$M$16)*$P8,0),IF(AG$4=EDATE('核心假设'!$B$5,4-1+'核心假设'!$B$31),SUM('融资租赁与资金缺口'!$M$5:$M$16)*$Q8,0),IF(AG$4=EDATE('核心假设'!$B$5,5-1+'核心假设'!$B$31),SUM('融资租赁与资金缺口'!$M$5:$M$16)*$R8,0),IF(AG$4=EDATE('核心假设'!$B$5,6-1+'核心假设'!$B$31),SUM('融资租赁与资金缺口'!$M$5:$M$16)*$S8,0),IF(AG$4=EDATE('核心假设'!$B$5,7-1+'核心假设'!$B$31),SUM('融资租赁与资金缺口'!$M$5:$M$16)*$T8,0),IF(AG$4=EDATE('核心假设'!$B$5,8-1+'核心假设'!$B$31),SUM('融资租赁与资金缺口'!$M$5:$M$16)*$U8,0),IF(AG$4=EDATE('核心假设'!$B$5,9-1+'核心假设'!$B$31),SUM('融资租赁与资金缺口'!$M$5:$M$16)*$V8,0),IF(AG$4=EDATE('核心假设'!$B$5,10-1+'核心假设'!$B$31),SUM('融资租赁与资金缺口'!$M$5:$M$16)*$W8,0),IF(AG$4=EDATE('核心假设'!$B$5,11-1+'核心假设'!$B$31),SUM('融资租赁与资金缺口'!$M$5:$M$16)*$X8,0),IF(AG$4=EDATE('核心假设'!$B$5,12-1+'核心假设'!$B$31),SUM('融资租赁与资金缺口'!$M$5:$M$16)*$Y8,0),IF(AG$4=EDATE('核心假设'!$B$5,13-1+'核心假设'!$B$31),SUM('融资租赁与资金缺口'!$M$5:$M$16)*$Z8,0),IF(AG$4=EDATE('核心假设'!$B$5,14-1+'核心假设'!$B$31),SUM('融资租赁与资金缺口'!$M$5:$M$16)*$AA8,0),IF(AG$4=EDATE('核心假设'!$B$5,15-1+'核心假设'!$B$31),SUM('融资租赁与资金缺口'!$M$5:$M$16)*$AB8,0),IF(AG$4=EDATE('核心假设'!$B$5,16-1+'核心假设'!$B$31),SUM('融资租赁与资金缺口'!$M$5:$M$16)*$AC8,0),IF(AG$4=EDATE('核心假设'!$B$5,17-1+'核心假设'!$B$31),SUM('融资租赁与资金缺口'!$M$5:$M$16)*$AD8,0))</x:f>
        <x:v>32015000</x:v>
      </x:c>
      <x:c r="AH27" s="28" t="n">
        <x:f>SUM(IF(AH$4=EDATE('核心假设'!$B$5,0-1+'核心假设'!$B$31),SUM('融资租赁与资金缺口'!$M$5:$M$16)*$M8,0),IF(AH$4=EDATE('核心假设'!$B$5,1-1+'核心假设'!$B$31),SUM('融资租赁与资金缺口'!$M$5:$M$16)*$N8,0),IF(AH$4=EDATE('核心假设'!$B$5,2-1+'核心假设'!$B$31),SUM('融资租赁与资金缺口'!$M$5:$M$16)*$O8,0),IF(AH$4=EDATE('核心假设'!$B$5,3-1+'核心假设'!$B$31),SUM('融资租赁与资金缺口'!$M$5:$M$16)*$P8,0),IF(AH$4=EDATE('核心假设'!$B$5,4-1+'核心假设'!$B$31),SUM('融资租赁与资金缺口'!$M$5:$M$16)*$Q8,0),IF(AH$4=EDATE('核心假设'!$B$5,5-1+'核心假设'!$B$31),SUM('融资租赁与资金缺口'!$M$5:$M$16)*$R8,0),IF(AH$4=EDATE('核心假设'!$B$5,6-1+'核心假设'!$B$31),SUM('融资租赁与资金缺口'!$M$5:$M$16)*$S8,0),IF(AH$4=EDATE('核心假设'!$B$5,7-1+'核心假设'!$B$31),SUM('融资租赁与资金缺口'!$M$5:$M$16)*$T8,0),IF(AH$4=EDATE('核心假设'!$B$5,8-1+'核心假设'!$B$31),SUM('融资租赁与资金缺口'!$M$5:$M$16)*$U8,0),IF(AH$4=EDATE('核心假设'!$B$5,9-1+'核心假设'!$B$31),SUM('融资租赁与资金缺口'!$M$5:$M$16)*$V8,0),IF(AH$4=EDATE('核心假设'!$B$5,10-1+'核心假设'!$B$31),SUM('融资租赁与资金缺口'!$M$5:$M$16)*$W8,0),IF(AH$4=EDATE('核心假设'!$B$5,11-1+'核心假设'!$B$31),SUM('融资租赁与资金缺口'!$M$5:$M$16)*$X8,0),IF(AH$4=EDATE('核心假设'!$B$5,12-1+'核心假设'!$B$31),SUM('融资租赁与资金缺口'!$M$5:$M$16)*$Y8,0),IF(AH$4=EDATE('核心假设'!$B$5,13-1+'核心假设'!$B$31),SUM('融资租赁与资金缺口'!$M$5:$M$16)*$Z8,0),IF(AH$4=EDATE('核心假设'!$B$5,14-1+'核心假设'!$B$31),SUM('融资租赁与资金缺口'!$M$5:$M$16)*$AA8,0),IF(AH$4=EDATE('核心假设'!$B$5,15-1+'核心假设'!$B$31),SUM('融资租赁与资金缺口'!$M$5:$M$16)*$AB8,0),IF(AH$4=EDATE('核心假设'!$B$5,16-1+'核心假设'!$B$31),SUM('融资租赁与资金缺口'!$M$5:$M$16)*$AC8,0),IF(AH$4=EDATE('核心假设'!$B$5,17-1+'核心假设'!$B$31),SUM('融资租赁与资金缺口'!$M$5:$M$16)*$AD8,0))</x:f>
        <x:v>38418000</x:v>
      </x:c>
      <x:c r="AI27" s="28" t="n">
        <x:f>SUM(IF(AI$4=EDATE('核心假设'!$B$5,0-1+'核心假设'!$B$31),SUM('融资租赁与资金缺口'!$M$5:$M$16)*$M8,0),IF(AI$4=EDATE('核心假设'!$B$5,1-1+'核心假设'!$B$31),SUM('融资租赁与资金缺口'!$M$5:$M$16)*$N8,0),IF(AI$4=EDATE('核心假设'!$B$5,2-1+'核心假设'!$B$31),SUM('融资租赁与资金缺口'!$M$5:$M$16)*$O8,0),IF(AI$4=EDATE('核心假设'!$B$5,3-1+'核心假设'!$B$31),SUM('融资租赁与资金缺口'!$M$5:$M$16)*$P8,0),IF(AI$4=EDATE('核心假设'!$B$5,4-1+'核心假设'!$B$31),SUM('融资租赁与资金缺口'!$M$5:$M$16)*$Q8,0),IF(AI$4=EDATE('核心假设'!$B$5,5-1+'核心假设'!$B$31),SUM('融资租赁与资金缺口'!$M$5:$M$16)*$R8,0),IF(AI$4=EDATE('核心假设'!$B$5,6-1+'核心假设'!$B$31),SUM('融资租赁与资金缺口'!$M$5:$M$16)*$S8,0),IF(AI$4=EDATE('核心假设'!$B$5,7-1+'核心假设'!$B$31),SUM('融资租赁与资金缺口'!$M$5:$M$16)*$T8,0),IF(AI$4=EDATE('核心假设'!$B$5,8-1+'核心假设'!$B$31),SUM('融资租赁与资金缺口'!$M$5:$M$16)*$U8,0),IF(AI$4=EDATE('核心假设'!$B$5,9-1+'核心假设'!$B$31),SUM('融资租赁与资金缺口'!$M$5:$M$16)*$V8,0),IF(AI$4=EDATE('核心假设'!$B$5,10-1+'核心假设'!$B$31),SUM('融资租赁与资金缺口'!$M$5:$M$16)*$W8,0),IF(AI$4=EDATE('核心假设'!$B$5,11-1+'核心假设'!$B$31),SUM('融资租赁与资金缺口'!$M$5:$M$16)*$X8,0),IF(AI$4=EDATE('核心假设'!$B$5,12-1+'核心假设'!$B$31),SUM('融资租赁与资金缺口'!$M$5:$M$16)*$Y8,0),IF(AI$4=EDATE('核心假设'!$B$5,13-1+'核心假设'!$B$31),SUM('融资租赁与资金缺口'!$M$5:$M$16)*$Z8,0),IF(AI$4=EDATE('核心假设'!$B$5,14-1+'核心假设'!$B$31),SUM('融资租赁与资金缺口'!$M$5:$M$16)*$AA8,0),IF(AI$4=EDATE('核心假设'!$B$5,15-1+'核心假设'!$B$31),SUM('融资租赁与资金缺口'!$M$5:$M$16)*$AB8,0),IF(AI$4=EDATE('核心假设'!$B$5,16-1+'核心假设'!$B$31),SUM('融资租赁与资金缺口'!$M$5:$M$16)*$AC8,0),IF(AI$4=EDATE('核心假设'!$B$5,17-1+'核心假设'!$B$31),SUM('融资租赁与资金缺口'!$M$5:$M$16)*$AD8,0))</x:f>
        <x:v>44821000.00000001</x:v>
      </x:c>
      <x:c r="AJ27" s="28" t="n">
        <x:f>SUM(IF(AJ$4=EDATE('核心假设'!$B$5,0-1+'核心假设'!$B$31),SUM('融资租赁与资金缺口'!$M$5:$M$16)*$M8,0),IF(AJ$4=EDATE('核心假设'!$B$5,1-1+'核心假设'!$B$31),SUM('融资租赁与资金缺口'!$M$5:$M$16)*$N8,0),IF(AJ$4=EDATE('核心假设'!$B$5,2-1+'核心假设'!$B$31),SUM('融资租赁与资金缺口'!$M$5:$M$16)*$O8,0),IF(AJ$4=EDATE('核心假设'!$B$5,3-1+'核心假设'!$B$31),SUM('融资租赁与资金缺口'!$M$5:$M$16)*$P8,0),IF(AJ$4=EDATE('核心假设'!$B$5,4-1+'核心假设'!$B$31),SUM('融资租赁与资金缺口'!$M$5:$M$16)*$Q8,0),IF(AJ$4=EDATE('核心假设'!$B$5,5-1+'核心假设'!$B$31),SUM('融资租赁与资金缺口'!$M$5:$M$16)*$R8,0),IF(AJ$4=EDATE('核心假设'!$B$5,6-1+'核心假设'!$B$31),SUM('融资租赁与资金缺口'!$M$5:$M$16)*$S8,0),IF(AJ$4=EDATE('核心假设'!$B$5,7-1+'核心假设'!$B$31),SUM('融资租赁与资金缺口'!$M$5:$M$16)*$T8,0),IF(AJ$4=EDATE('核心假设'!$B$5,8-1+'核心假设'!$B$31),SUM('融资租赁与资金缺口'!$M$5:$M$16)*$U8,0),IF(AJ$4=EDATE('核心假设'!$B$5,9-1+'核心假设'!$B$31),SUM('融资租赁与资金缺口'!$M$5:$M$16)*$V8,0),IF(AJ$4=EDATE('核心假设'!$B$5,10-1+'核心假设'!$B$31),SUM('融资租赁与资金缺口'!$M$5:$M$16)*$W8,0),IF(AJ$4=EDATE('核心假设'!$B$5,11-1+'核心假设'!$B$31),SUM('融资租赁与资金缺口'!$M$5:$M$16)*$X8,0),IF(AJ$4=EDATE('核心假设'!$B$5,12-1+'核心假设'!$B$31),SUM('融资租赁与资金缺口'!$M$5:$M$16)*$Y8,0),IF(AJ$4=EDATE('核心假设'!$B$5,13-1+'核心假设'!$B$31),SUM('融资租赁与资金缺口'!$M$5:$M$16)*$Z8,0),IF(AJ$4=EDATE('核心假设'!$B$5,14-1+'核心假设'!$B$31),SUM('融资租赁与资金缺口'!$M$5:$M$16)*$AA8,0),IF(AJ$4=EDATE('核心假设'!$B$5,15-1+'核心假设'!$B$31),SUM('融资租赁与资金缺口'!$M$5:$M$16)*$AB8,0),IF(AJ$4=EDATE('核心假设'!$B$5,16-1+'核心假设'!$B$31),SUM('融资租赁与资金缺口'!$M$5:$M$16)*$AC8,0),IF(AJ$4=EDATE('核心假设'!$B$5,17-1+'核心假设'!$B$31),SUM('融资租赁与资金缺口'!$M$5:$M$16)*$AD8,0))</x:f>
        <x:v>51224000</x:v>
      </x:c>
      <x:c r="AK27" s="28" t="n">
        <x:f>SUM(IF(AK$4=EDATE('核心假设'!$B$5,0-1+'核心假设'!$B$31),SUM('融资租赁与资金缺口'!$M$5:$M$16)*$M8,0),IF(AK$4=EDATE('核心假设'!$B$5,1-1+'核心假设'!$B$31),SUM('融资租赁与资金缺口'!$M$5:$M$16)*$N8,0),IF(AK$4=EDATE('核心假设'!$B$5,2-1+'核心假设'!$B$31),SUM('融资租赁与资金缺口'!$M$5:$M$16)*$O8,0),IF(AK$4=EDATE('核心假设'!$B$5,3-1+'核心假设'!$B$31),SUM('融资租赁与资金缺口'!$M$5:$M$16)*$P8,0),IF(AK$4=EDATE('核心假设'!$B$5,4-1+'核心假设'!$B$31),SUM('融资租赁与资金缺口'!$M$5:$M$16)*$Q8,0),IF(AK$4=EDATE('核心假设'!$B$5,5-1+'核心假设'!$B$31),SUM('融资租赁与资金缺口'!$M$5:$M$16)*$R8,0),IF(AK$4=EDATE('核心假设'!$B$5,6-1+'核心假设'!$B$31),SUM('融资租赁与资金缺口'!$M$5:$M$16)*$S8,0),IF(AK$4=EDATE('核心假设'!$B$5,7-1+'核心假设'!$B$31),SUM('融资租赁与资金缺口'!$M$5:$M$16)*$T8,0),IF(AK$4=EDATE('核心假设'!$B$5,8-1+'核心假设'!$B$31),SUM('融资租赁与资金缺口'!$M$5:$M$16)*$U8,0),IF(AK$4=EDATE('核心假设'!$B$5,9-1+'核心假设'!$B$31),SUM('融资租赁与资金缺口'!$M$5:$M$16)*$V8,0),IF(AK$4=EDATE('核心假设'!$B$5,10-1+'核心假设'!$B$31),SUM('融资租赁与资金缺口'!$M$5:$M$16)*$W8,0),IF(AK$4=EDATE('核心假设'!$B$5,11-1+'核心假设'!$B$31),SUM('融资租赁与资金缺口'!$M$5:$M$16)*$X8,0),IF(AK$4=EDATE('核心假设'!$B$5,12-1+'核心假设'!$B$31),SUM('融资租赁与资金缺口'!$M$5:$M$16)*$Y8,0),IF(AK$4=EDATE('核心假设'!$B$5,13-1+'核心假设'!$B$31),SUM('融资租赁与资金缺口'!$M$5:$M$16)*$Z8,0),IF(AK$4=EDATE('核心假设'!$B$5,14-1+'核心假设'!$B$31),SUM('融资租赁与资金缺口'!$M$5:$M$16)*$AA8,0),IF(AK$4=EDATE('核心假设'!$B$5,15-1+'核心假设'!$B$31),SUM('融资租赁与资金缺口'!$M$5:$M$16)*$AB8,0),IF(AK$4=EDATE('核心假设'!$B$5,16-1+'核心假设'!$B$31),SUM('融资租赁与资金缺口'!$M$5:$M$16)*$AC8,0),IF(AK$4=EDATE('核心假设'!$B$5,17-1+'核心假设'!$B$31),SUM('融资租赁与资金缺口'!$M$5:$M$16)*$AD8,0))</x:f>
        <x:v>57627000</x:v>
      </x:c>
      <x:c r="AL27" s="28" t="n">
        <x:f>SUM(IF(AL$4=EDATE('核心假设'!$B$5,0-1+'核心假设'!$B$31),SUM('融资租赁与资金缺口'!$M$5:$M$16)*$M8,0),IF(AL$4=EDATE('核心假设'!$B$5,1-1+'核心假设'!$B$31),SUM('融资租赁与资金缺口'!$M$5:$M$16)*$N8,0),IF(AL$4=EDATE('核心假设'!$B$5,2-1+'核心假设'!$B$31),SUM('融资租赁与资金缺口'!$M$5:$M$16)*$O8,0),IF(AL$4=EDATE('核心假设'!$B$5,3-1+'核心假设'!$B$31),SUM('融资租赁与资金缺口'!$M$5:$M$16)*$P8,0),IF(AL$4=EDATE('核心假设'!$B$5,4-1+'核心假设'!$B$31),SUM('融资租赁与资金缺口'!$M$5:$M$16)*$Q8,0),IF(AL$4=EDATE('核心假设'!$B$5,5-1+'核心假设'!$B$31),SUM('融资租赁与资金缺口'!$M$5:$M$16)*$R8,0),IF(AL$4=EDATE('核心假设'!$B$5,6-1+'核心假设'!$B$31),SUM('融资租赁与资金缺口'!$M$5:$M$16)*$S8,0),IF(AL$4=EDATE('核心假设'!$B$5,7-1+'核心假设'!$B$31),SUM('融资租赁与资金缺口'!$M$5:$M$16)*$T8,0),IF(AL$4=EDATE('核心假设'!$B$5,8-1+'核心假设'!$B$31),SUM('融资租赁与资金缺口'!$M$5:$M$16)*$U8,0),IF(AL$4=EDATE('核心假设'!$B$5,9-1+'核心假设'!$B$31),SUM('融资租赁与资金缺口'!$M$5:$M$16)*$V8,0),IF(AL$4=EDATE('核心假设'!$B$5,10-1+'核心假设'!$B$31),SUM('融资租赁与资金缺口'!$M$5:$M$16)*$W8,0),IF(AL$4=EDATE('核心假设'!$B$5,11-1+'核心假设'!$B$31),SUM('融资租赁与资金缺口'!$M$5:$M$16)*$X8,0),IF(AL$4=EDATE('核心假设'!$B$5,12-1+'核心假设'!$B$31),SUM('融资租赁与资金缺口'!$M$5:$M$16)*$Y8,0),IF(AL$4=EDATE('核心假设'!$B$5,13-1+'核心假设'!$B$31),SUM('融资租赁与资金缺口'!$M$5:$M$16)*$Z8,0),IF(AL$4=EDATE('核心假设'!$B$5,14-1+'核心假设'!$B$31),SUM('融资租赁与资金缺口'!$M$5:$M$16)*$AA8,0),IF(AL$4=EDATE('核心假设'!$B$5,15-1+'核心假设'!$B$31),SUM('融资租赁与资金缺口'!$M$5:$M$16)*$AB8,0),IF(AL$4=EDATE('核心假设'!$B$5,16-1+'核心假设'!$B$31),SUM('融资租赁与资金缺口'!$M$5:$M$16)*$AC8,0),IF(AL$4=EDATE('核心假设'!$B$5,17-1+'核心假设'!$B$31),SUM('融资租赁与资金缺口'!$M$5:$M$16)*$AD8,0))</x:f>
        <x:v>64030000</x:v>
      </x:c>
      <x:c r="AM27" s="28" t="n">
        <x:f>SUM(IF(AM$4=EDATE('核心假设'!$B$5,0-1+'核心假设'!$B$31),SUM('融资租赁与资金缺口'!$M$5:$M$16)*$M8,0),IF(AM$4=EDATE('核心假设'!$B$5,1-1+'核心假设'!$B$31),SUM('融资租赁与资金缺口'!$M$5:$M$16)*$N8,0),IF(AM$4=EDATE('核心假设'!$B$5,2-1+'核心假设'!$B$31),SUM('融资租赁与资金缺口'!$M$5:$M$16)*$O8,0),IF(AM$4=EDATE('核心假设'!$B$5,3-1+'核心假设'!$B$31),SUM('融资租赁与资金缺口'!$M$5:$M$16)*$P8,0),IF(AM$4=EDATE('核心假设'!$B$5,4-1+'核心假设'!$B$31),SUM('融资租赁与资金缺口'!$M$5:$M$16)*$Q8,0),IF(AM$4=EDATE('核心假设'!$B$5,5-1+'核心假设'!$B$31),SUM('融资租赁与资金缺口'!$M$5:$M$16)*$R8,0),IF(AM$4=EDATE('核心假设'!$B$5,6-1+'核心假设'!$B$31),SUM('融资租赁与资金缺口'!$M$5:$M$16)*$S8,0),IF(AM$4=EDATE('核心假设'!$B$5,7-1+'核心假设'!$B$31),SUM('融资租赁与资金缺口'!$M$5:$M$16)*$T8,0),IF(AM$4=EDATE('核心假设'!$B$5,8-1+'核心假设'!$B$31),SUM('融资租赁与资金缺口'!$M$5:$M$16)*$U8,0),IF(AM$4=EDATE('核心假设'!$B$5,9-1+'核心假设'!$B$31),SUM('融资租赁与资金缺口'!$M$5:$M$16)*$V8,0),IF(AM$4=EDATE('核心假设'!$B$5,10-1+'核心假设'!$B$31),SUM('融资租赁与资金缺口'!$M$5:$M$16)*$W8,0),IF(AM$4=EDATE('核心假设'!$B$5,11-1+'核心假设'!$B$31),SUM('融资租赁与资金缺口'!$M$5:$M$16)*$X8,0),IF(AM$4=EDATE('核心假设'!$B$5,12-1+'核心假设'!$B$31),SUM('融资租赁与资金缺口'!$M$5:$M$16)*$Y8,0),IF(AM$4=EDATE('核心假设'!$B$5,13-1+'核心假设'!$B$31),SUM('融资租赁与资金缺口'!$M$5:$M$16)*$Z8,0),IF(AM$4=EDATE('核心假设'!$B$5,14-1+'核心假设'!$B$31),SUM('融资租赁与资金缺口'!$M$5:$M$16)*$AA8,0),IF(AM$4=EDATE('核心假设'!$B$5,15-1+'核心假设'!$B$31),SUM('融资租赁与资金缺口'!$M$5:$M$16)*$AB8,0),IF(AM$4=EDATE('核心假设'!$B$5,16-1+'核心假设'!$B$31),SUM('融资租赁与资金缺口'!$M$5:$M$16)*$AC8,0),IF(AM$4=EDATE('核心假设'!$B$5,17-1+'核心假设'!$B$31),SUM('融资租赁与资金缺口'!$M$5:$M$16)*$AD8,0))</x:f>
        <x:v>70433000</x:v>
      </x:c>
      <x:c r="AN27" s="28" t="n">
        <x:f>SUM(IF(AN$4=EDATE('核心假设'!$B$5,0-1+'核心假设'!$B$31),SUM('融资租赁与资金缺口'!$M$5:$M$16)*$M8,0),IF(AN$4=EDATE('核心假设'!$B$5,1-1+'核心假设'!$B$31),SUM('融资租赁与资金缺口'!$M$5:$M$16)*$N8,0),IF(AN$4=EDATE('核心假设'!$B$5,2-1+'核心假设'!$B$31),SUM('融资租赁与资金缺口'!$M$5:$M$16)*$O8,0),IF(AN$4=EDATE('核心假设'!$B$5,3-1+'核心假设'!$B$31),SUM('融资租赁与资金缺口'!$M$5:$M$16)*$P8,0),IF(AN$4=EDATE('核心假设'!$B$5,4-1+'核心假设'!$B$31),SUM('融资租赁与资金缺口'!$M$5:$M$16)*$Q8,0),IF(AN$4=EDATE('核心假设'!$B$5,5-1+'核心假设'!$B$31),SUM('融资租赁与资金缺口'!$M$5:$M$16)*$R8,0),IF(AN$4=EDATE('核心假设'!$B$5,6-1+'核心假设'!$B$31),SUM('融资租赁与资金缺口'!$M$5:$M$16)*$S8,0),IF(AN$4=EDATE('核心假设'!$B$5,7-1+'核心假设'!$B$31),SUM('融资租赁与资金缺口'!$M$5:$M$16)*$T8,0),IF(AN$4=EDATE('核心假设'!$B$5,8-1+'核心假设'!$B$31),SUM('融资租赁与资金缺口'!$M$5:$M$16)*$U8,0),IF(AN$4=EDATE('核心假设'!$B$5,9-1+'核心假设'!$B$31),SUM('融资租赁与资金缺口'!$M$5:$M$16)*$V8,0),IF(AN$4=EDATE('核心假设'!$B$5,10-1+'核心假设'!$B$31),SUM('融资租赁与资金缺口'!$M$5:$M$16)*$W8,0),IF(AN$4=EDATE('核心假设'!$B$5,11-1+'核心假设'!$B$31),SUM('融资租赁与资金缺口'!$M$5:$M$16)*$X8,0),IF(AN$4=EDATE('核心假设'!$B$5,12-1+'核心假设'!$B$31),SUM('融资租赁与资金缺口'!$M$5:$M$16)*$Y8,0),IF(AN$4=EDATE('核心假设'!$B$5,13-1+'核心假设'!$B$31),SUM('融资租赁与资金缺口'!$M$5:$M$16)*$Z8,0),IF(AN$4=EDATE('核心假设'!$B$5,14-1+'核心假设'!$B$31),SUM('融资租赁与资金缺口'!$M$5:$M$16)*$AA8,0),IF(AN$4=EDATE('核心假设'!$B$5,15-1+'核心假设'!$B$31),SUM('融资租赁与资金缺口'!$M$5:$M$16)*$AB8,0),IF(AN$4=EDATE('核心假设'!$B$5,16-1+'核心假设'!$B$31),SUM('融资租赁与资金缺口'!$M$5:$M$16)*$AC8,0),IF(AN$4=EDATE('核心假设'!$B$5,17-1+'核心假设'!$B$31),SUM('融资租赁与资金缺口'!$M$5:$M$16)*$AD8,0))</x:f>
        <x:v>70433000</x:v>
      </x:c>
      <x:c r="AO27" s="28" t="n">
        <x:f>SUM(IF(AO$4=EDATE('核心假设'!$B$5,0-1+'核心假设'!$B$31),SUM('融资租赁与资金缺口'!$M$5:$M$16)*$M8,0),IF(AO$4=EDATE('核心假设'!$B$5,1-1+'核心假设'!$B$31),SUM('融资租赁与资金缺口'!$M$5:$M$16)*$N8,0),IF(AO$4=EDATE('核心假设'!$B$5,2-1+'核心假设'!$B$31),SUM('融资租赁与资金缺口'!$M$5:$M$16)*$O8,0),IF(AO$4=EDATE('核心假设'!$B$5,3-1+'核心假设'!$B$31),SUM('融资租赁与资金缺口'!$M$5:$M$16)*$P8,0),IF(AO$4=EDATE('核心假设'!$B$5,4-1+'核心假设'!$B$31),SUM('融资租赁与资金缺口'!$M$5:$M$16)*$Q8,0),IF(AO$4=EDATE('核心假设'!$B$5,5-1+'核心假设'!$B$31),SUM('融资租赁与资金缺口'!$M$5:$M$16)*$R8,0),IF(AO$4=EDATE('核心假设'!$B$5,6-1+'核心假设'!$B$31),SUM('融资租赁与资金缺口'!$M$5:$M$16)*$S8,0),IF(AO$4=EDATE('核心假设'!$B$5,7-1+'核心假设'!$B$31),SUM('融资租赁与资金缺口'!$M$5:$M$16)*$T8,0),IF(AO$4=EDATE('核心假设'!$B$5,8-1+'核心假设'!$B$31),SUM('融资租赁与资金缺口'!$M$5:$M$16)*$U8,0),IF(AO$4=EDATE('核心假设'!$B$5,9-1+'核心假设'!$B$31),SUM('融资租赁与资金缺口'!$M$5:$M$16)*$V8,0),IF(AO$4=EDATE('核心假设'!$B$5,10-1+'核心假设'!$B$31),SUM('融资租赁与资金缺口'!$M$5:$M$16)*$W8,0),IF(AO$4=EDATE('核心假设'!$B$5,11-1+'核心假设'!$B$31),SUM('融资租赁与资金缺口'!$M$5:$M$16)*$X8,0),IF(AO$4=EDATE('核心假设'!$B$5,12-1+'核心假设'!$B$31),SUM('融资租赁与资金缺口'!$M$5:$M$16)*$Y8,0),IF(AO$4=EDATE('核心假设'!$B$5,13-1+'核心假设'!$B$31),SUM('融资租赁与资金缺口'!$M$5:$M$16)*$Z8,0),IF(AO$4=EDATE('核心假设'!$B$5,14-1+'核心假设'!$B$31),SUM('融资租赁与资金缺口'!$M$5:$M$16)*$AA8,0),IF(AO$4=EDATE('核心假设'!$B$5,15-1+'核心假设'!$B$31),SUM('融资租赁与资金缺口'!$M$5:$M$16)*$AB8,0),IF(AO$4=EDATE('核心假设'!$B$5,16-1+'核心假设'!$B$31),SUM('融资租赁与资金缺口'!$M$5:$M$16)*$AC8,0),IF(AO$4=EDATE('核心假设'!$B$5,17-1+'核心假设'!$B$31),SUM('融资租赁与资金缺口'!$M$5:$M$16)*$AD8,0))</x:f>
        <x:v>64030000</x:v>
      </x:c>
      <x:c r="AP27" s="28" t="n">
        <x:f>SUM(IF(AP$4=EDATE('核心假设'!$B$5,0-1+'核心假设'!$B$31),SUM('融资租赁与资金缺口'!$M$5:$M$16)*$M8,0),IF(AP$4=EDATE('核心假设'!$B$5,1-1+'核心假设'!$B$31),SUM('融资租赁与资金缺口'!$M$5:$M$16)*$N8,0),IF(AP$4=EDATE('核心假设'!$B$5,2-1+'核心假设'!$B$31),SUM('融资租赁与资金缺口'!$M$5:$M$16)*$O8,0),IF(AP$4=EDATE('核心假设'!$B$5,3-1+'核心假设'!$B$31),SUM('融资租赁与资金缺口'!$M$5:$M$16)*$P8,0),IF(AP$4=EDATE('核心假设'!$B$5,4-1+'核心假设'!$B$31),SUM('融资租赁与资金缺口'!$M$5:$M$16)*$Q8,0),IF(AP$4=EDATE('核心假设'!$B$5,5-1+'核心假设'!$B$31),SUM('融资租赁与资金缺口'!$M$5:$M$16)*$R8,0),IF(AP$4=EDATE('核心假设'!$B$5,6-1+'核心假设'!$B$31),SUM('融资租赁与资金缺口'!$M$5:$M$16)*$S8,0),IF(AP$4=EDATE('核心假设'!$B$5,7-1+'核心假设'!$B$31),SUM('融资租赁与资金缺口'!$M$5:$M$16)*$T8,0),IF(AP$4=EDATE('核心假设'!$B$5,8-1+'核心假设'!$B$31),SUM('融资租赁与资金缺口'!$M$5:$M$16)*$U8,0),IF(AP$4=EDATE('核心假设'!$B$5,9-1+'核心假设'!$B$31),SUM('融资租赁与资金缺口'!$M$5:$M$16)*$V8,0),IF(AP$4=EDATE('核心假设'!$B$5,10-1+'核心假设'!$B$31),SUM('融资租赁与资金缺口'!$M$5:$M$16)*$W8,0),IF(AP$4=EDATE('核心假设'!$B$5,11-1+'核心假设'!$B$31),SUM('融资租赁与资金缺口'!$M$5:$M$16)*$X8,0),IF(AP$4=EDATE('核心假设'!$B$5,12-1+'核心假设'!$B$31),SUM('融资租赁与资金缺口'!$M$5:$M$16)*$Y8,0),IF(AP$4=EDATE('核心假设'!$B$5,13-1+'核心假设'!$B$31),SUM('融资租赁与资金缺口'!$M$5:$M$16)*$Z8,0),IF(AP$4=EDATE('核心假设'!$B$5,14-1+'核心假设'!$B$31),SUM('融资租赁与资金缺口'!$M$5:$M$16)*$AA8,0),IF(AP$4=EDATE('核心假设'!$B$5,15-1+'核心假设'!$B$31),SUM('融资租赁与资金缺口'!$M$5:$M$16)*$AB8,0),IF(AP$4=EDATE('核心假设'!$B$5,16-1+'核心假设'!$B$31),SUM('融资租赁与资金缺口'!$M$5:$M$16)*$AC8,0),IF(AP$4=EDATE('核心假设'!$B$5,17-1+'核心假设'!$B$31),SUM('融资租赁与资金缺口'!$M$5:$M$16)*$AD8,0))</x:f>
        <x:v>57627000</x:v>
      </x:c>
      <x:c r="AQ27" s="28" t="n">
        <x:f>SUM(IF(AQ$4=EDATE('核心假设'!$B$5,0-1+'核心假设'!$B$31),SUM('融资租赁与资金缺口'!$M$5:$M$16)*$M8,0),IF(AQ$4=EDATE('核心假设'!$B$5,1-1+'核心假设'!$B$31),SUM('融资租赁与资金缺口'!$M$5:$M$16)*$N8,0),IF(AQ$4=EDATE('核心假设'!$B$5,2-1+'核心假设'!$B$31),SUM('融资租赁与资金缺口'!$M$5:$M$16)*$O8,0),IF(AQ$4=EDATE('核心假设'!$B$5,3-1+'核心假设'!$B$31),SUM('融资租赁与资金缺口'!$M$5:$M$16)*$P8,0),IF(AQ$4=EDATE('核心假设'!$B$5,4-1+'核心假设'!$B$31),SUM('融资租赁与资金缺口'!$M$5:$M$16)*$Q8,0),IF(AQ$4=EDATE('核心假设'!$B$5,5-1+'核心假设'!$B$31),SUM('融资租赁与资金缺口'!$M$5:$M$16)*$R8,0),IF(AQ$4=EDATE('核心假设'!$B$5,6-1+'核心假设'!$B$31),SUM('融资租赁与资金缺口'!$M$5:$M$16)*$S8,0),IF(AQ$4=EDATE('核心假设'!$B$5,7-1+'核心假设'!$B$31),SUM('融资租赁与资金缺口'!$M$5:$M$16)*$T8,0),IF(AQ$4=EDATE('核心假设'!$B$5,8-1+'核心假设'!$B$31),SUM('融资租赁与资金缺口'!$M$5:$M$16)*$U8,0),IF(AQ$4=EDATE('核心假设'!$B$5,9-1+'核心假设'!$B$31),SUM('融资租赁与资金缺口'!$M$5:$M$16)*$V8,0),IF(AQ$4=EDATE('核心假设'!$B$5,10-1+'核心假设'!$B$31),SUM('融资租赁与资金缺口'!$M$5:$M$16)*$W8,0),IF(AQ$4=EDATE('核心假设'!$B$5,11-1+'核心假设'!$B$31),SUM('融资租赁与资金缺口'!$M$5:$M$16)*$X8,0),IF(AQ$4=EDATE('核心假设'!$B$5,12-1+'核心假设'!$B$31),SUM('融资租赁与资金缺口'!$M$5:$M$16)*$Y8,0),IF(AQ$4=EDATE('核心假设'!$B$5,13-1+'核心假设'!$B$31),SUM('融资租赁与资金缺口'!$M$5:$M$16)*$Z8,0),IF(AQ$4=EDATE('核心假设'!$B$5,14-1+'核心假设'!$B$31),SUM('融资租赁与资金缺口'!$M$5:$M$16)*$AA8,0),IF(AQ$4=EDATE('核心假设'!$B$5,15-1+'核心假设'!$B$31),SUM('融资租赁与资金缺口'!$M$5:$M$16)*$AB8,0),IF(AQ$4=EDATE('核心假设'!$B$5,16-1+'核心假设'!$B$31),SUM('融资租赁与资金缺口'!$M$5:$M$16)*$AC8,0),IF(AQ$4=EDATE('核心假设'!$B$5,17-1+'核心假设'!$B$31),SUM('融资租赁与资金缺口'!$M$5:$M$16)*$AD8,0))</x:f>
        <x:v>51224000</x:v>
      </x:c>
      <x:c r="AR27" s="28" t="n">
        <x:f>SUM(IF(AR$4=EDATE('核心假设'!$B$5,0-1+'核心假设'!$B$31),SUM('融资租赁与资金缺口'!$M$5:$M$16)*$M8,0),IF(AR$4=EDATE('核心假设'!$B$5,1-1+'核心假设'!$B$31),SUM('融资租赁与资金缺口'!$M$5:$M$16)*$N8,0),IF(AR$4=EDATE('核心假设'!$B$5,2-1+'核心假设'!$B$31),SUM('融资租赁与资金缺口'!$M$5:$M$16)*$O8,0),IF(AR$4=EDATE('核心假设'!$B$5,3-1+'核心假设'!$B$31),SUM('融资租赁与资金缺口'!$M$5:$M$16)*$P8,0),IF(AR$4=EDATE('核心假设'!$B$5,4-1+'核心假设'!$B$31),SUM('融资租赁与资金缺口'!$M$5:$M$16)*$Q8,0),IF(AR$4=EDATE('核心假设'!$B$5,5-1+'核心假设'!$B$31),SUM('融资租赁与资金缺口'!$M$5:$M$16)*$R8,0),IF(AR$4=EDATE('核心假设'!$B$5,6-1+'核心假设'!$B$31),SUM('融资租赁与资金缺口'!$M$5:$M$16)*$S8,0),IF(AR$4=EDATE('核心假设'!$B$5,7-1+'核心假设'!$B$31),SUM('融资租赁与资金缺口'!$M$5:$M$16)*$T8,0),IF(AR$4=EDATE('核心假设'!$B$5,8-1+'核心假设'!$B$31),SUM('融资租赁与资金缺口'!$M$5:$M$16)*$U8,0),IF(AR$4=EDATE('核心假设'!$B$5,9-1+'核心假设'!$B$31),SUM('融资租赁与资金缺口'!$M$5:$M$16)*$V8,0),IF(AR$4=EDATE('核心假设'!$B$5,10-1+'核心假设'!$B$31),SUM('融资租赁与资金缺口'!$M$5:$M$16)*$W8,0),IF(AR$4=EDATE('核心假设'!$B$5,11-1+'核心假设'!$B$31),SUM('融资租赁与资金缺口'!$M$5:$M$16)*$X8,0),IF(AR$4=EDATE('核心假设'!$B$5,12-1+'核心假设'!$B$31),SUM('融资租赁与资金缺口'!$M$5:$M$16)*$Y8,0),IF(AR$4=EDATE('核心假设'!$B$5,13-1+'核心假设'!$B$31),SUM('融资租赁与资金缺口'!$M$5:$M$16)*$Z8,0),IF(AR$4=EDATE('核心假设'!$B$5,14-1+'核心假设'!$B$31),SUM('融资租赁与资金缺口'!$M$5:$M$16)*$AA8,0),IF(AR$4=EDATE('核心假设'!$B$5,15-1+'核心假设'!$B$31),SUM('融资租赁与资金缺口'!$M$5:$M$16)*$AB8,0),IF(AR$4=EDATE('核心假设'!$B$5,16-1+'核心假设'!$B$31),SUM('融资租赁与资金缺口'!$M$5:$M$16)*$AC8,0),IF(AR$4=EDATE('核心假设'!$B$5,17-1+'核心假设'!$B$31),SUM('融资租赁与资金缺口'!$M$5:$M$16)*$AD8,0))</x:f>
        <x:v>38418000</x:v>
      </x:c>
      <x:c r="AS27" s="28" t="n">
        <x:f>SUM(IF(AS$4=EDATE('核心假设'!$B$5,0-1+'核心假设'!$B$31),SUM('融资租赁与资金缺口'!$M$5:$M$16)*$M8,0),IF(AS$4=EDATE('核心假设'!$B$5,1-1+'核心假设'!$B$31),SUM('融资租赁与资金缺口'!$M$5:$M$16)*$N8,0),IF(AS$4=EDATE('核心假设'!$B$5,2-1+'核心假设'!$B$31),SUM('融资租赁与资金缺口'!$M$5:$M$16)*$O8,0),IF(AS$4=EDATE('核心假设'!$B$5,3-1+'核心假设'!$B$31),SUM('融资租赁与资金缺口'!$M$5:$M$16)*$P8,0),IF(AS$4=EDATE('核心假设'!$B$5,4-1+'核心假设'!$B$31),SUM('融资租赁与资金缺口'!$M$5:$M$16)*$Q8,0),IF(AS$4=EDATE('核心假设'!$B$5,5-1+'核心假设'!$B$31),SUM('融资租赁与资金缺口'!$M$5:$M$16)*$R8,0),IF(AS$4=EDATE('核心假设'!$B$5,6-1+'核心假设'!$B$31),SUM('融资租赁与资金缺口'!$M$5:$M$16)*$S8,0),IF(AS$4=EDATE('核心假设'!$B$5,7-1+'核心假设'!$B$31),SUM('融资租赁与资金缺口'!$M$5:$M$16)*$T8,0),IF(AS$4=EDATE('核心假设'!$B$5,8-1+'核心假设'!$B$31),SUM('融资租赁与资金缺口'!$M$5:$M$16)*$U8,0),IF(AS$4=EDATE('核心假设'!$B$5,9-1+'核心假设'!$B$31),SUM('融资租赁与资金缺口'!$M$5:$M$16)*$V8,0),IF(AS$4=EDATE('核心假设'!$B$5,10-1+'核心假设'!$B$31),SUM('融资租赁与资金缺口'!$M$5:$M$16)*$W8,0),IF(AS$4=EDATE('核心假设'!$B$5,11-1+'核心假设'!$B$31),SUM('融资租赁与资金缺口'!$M$5:$M$16)*$X8,0),IF(AS$4=EDATE('核心假设'!$B$5,12-1+'核心假设'!$B$31),SUM('融资租赁与资金缺口'!$M$5:$M$16)*$Y8,0),IF(AS$4=EDATE('核心假设'!$B$5,13-1+'核心假设'!$B$31),SUM('融资租赁与资金缺口'!$M$5:$M$16)*$Z8,0),IF(AS$4=EDATE('核心假设'!$B$5,14-1+'核心假设'!$B$31),SUM('融资租赁与资金缺口'!$M$5:$M$16)*$AA8,0),IF(AS$4=EDATE('核心假设'!$B$5,15-1+'核心假设'!$B$31),SUM('融资租赁与资金缺口'!$M$5:$M$16)*$AB8,0),IF(AS$4=EDATE('核心假设'!$B$5,16-1+'核心假设'!$B$31),SUM('融资租赁与资金缺口'!$M$5:$M$16)*$AC8,0),IF(AS$4=EDATE('核心假设'!$B$5,17-1+'核心假设'!$B$31),SUM('融资租赁与资金缺口'!$M$5:$M$16)*$AD8,0))</x:f>
        <x:v>0</x:v>
      </x:c>
      <x:c r="AT27" s="28" t="n">
        <x:f>SUM(IF(AT$4=EDATE('核心假设'!$B$5,0-1+'核心假设'!$B$31),SUM('融资租赁与资金缺口'!$M$5:$M$16)*$M8,0),IF(AT$4=EDATE('核心假设'!$B$5,1-1+'核心假设'!$B$31),SUM('融资租赁与资金缺口'!$M$5:$M$16)*$N8,0),IF(AT$4=EDATE('核心假设'!$B$5,2-1+'核心假设'!$B$31),SUM('融资租赁与资金缺口'!$M$5:$M$16)*$O8,0),IF(AT$4=EDATE('核心假设'!$B$5,3-1+'核心假设'!$B$31),SUM('融资租赁与资金缺口'!$M$5:$M$16)*$P8,0),IF(AT$4=EDATE('核心假设'!$B$5,4-1+'核心假设'!$B$31),SUM('融资租赁与资金缺口'!$M$5:$M$16)*$Q8,0),IF(AT$4=EDATE('核心假设'!$B$5,5-1+'核心假设'!$B$31),SUM('融资租赁与资金缺口'!$M$5:$M$16)*$R8,0),IF(AT$4=EDATE('核心假设'!$B$5,6-1+'核心假设'!$B$31),SUM('融资租赁与资金缺口'!$M$5:$M$16)*$S8,0),IF(AT$4=EDATE('核心假设'!$B$5,7-1+'核心假设'!$B$31),SUM('融资租赁与资金缺口'!$M$5:$M$16)*$T8,0),IF(AT$4=EDATE('核心假设'!$B$5,8-1+'核心假设'!$B$31),SUM('融资租赁与资金缺口'!$M$5:$M$16)*$U8,0),IF(AT$4=EDATE('核心假设'!$B$5,9-1+'核心假设'!$B$31),SUM('融资租赁与资金缺口'!$M$5:$M$16)*$V8,0),IF(AT$4=EDATE('核心假设'!$B$5,10-1+'核心假设'!$B$31),SUM('融资租赁与资金缺口'!$M$5:$M$16)*$W8,0),IF(AT$4=EDATE('核心假设'!$B$5,11-1+'核心假设'!$B$31),SUM('融资租赁与资金缺口'!$M$5:$M$16)*$X8,0),IF(AT$4=EDATE('核心假设'!$B$5,12-1+'核心假设'!$B$31),SUM('融资租赁与资金缺口'!$M$5:$M$16)*$Y8,0),IF(AT$4=EDATE('核心假设'!$B$5,13-1+'核心假设'!$B$31),SUM('融资租赁与资金缺口'!$M$5:$M$16)*$Z8,0),IF(AT$4=EDATE('核心假设'!$B$5,14-1+'核心假设'!$B$31),SUM('融资租赁与资金缺口'!$M$5:$M$16)*$AA8,0),IF(AT$4=EDATE('核心假设'!$B$5,15-1+'核心假设'!$B$31),SUM('融资租赁与资金缺口'!$M$5:$M$16)*$AB8,0),IF(AT$4=EDATE('核心假设'!$B$5,16-1+'核心假设'!$B$31),SUM('融资租赁与资金缺口'!$M$5:$M$16)*$AC8,0),IF(AT$4=EDATE('核心假设'!$B$5,17-1+'核心假设'!$B$31),SUM('融资租赁与资金缺口'!$M$5:$M$16)*$AD8,0))</x:f>
        <x:v>0</x:v>
      </x:c>
      <x:c r="AU27" s="28" t="n">
        <x:f>SUM(IF(AU$4=EDATE('核心假设'!$B$5,0-1+'核心假设'!$B$31),SUM('融资租赁与资金缺口'!$M$5:$M$16)*$M8,0),IF(AU$4=EDATE('核心假设'!$B$5,1-1+'核心假设'!$B$31),SUM('融资租赁与资金缺口'!$M$5:$M$16)*$N8,0),IF(AU$4=EDATE('核心假设'!$B$5,2-1+'核心假设'!$B$31),SUM('融资租赁与资金缺口'!$M$5:$M$16)*$O8,0),IF(AU$4=EDATE('核心假设'!$B$5,3-1+'核心假设'!$B$31),SUM('融资租赁与资金缺口'!$M$5:$M$16)*$P8,0),IF(AU$4=EDATE('核心假设'!$B$5,4-1+'核心假设'!$B$31),SUM('融资租赁与资金缺口'!$M$5:$M$16)*$Q8,0),IF(AU$4=EDATE('核心假设'!$B$5,5-1+'核心假设'!$B$31),SUM('融资租赁与资金缺口'!$M$5:$M$16)*$R8,0),IF(AU$4=EDATE('核心假设'!$B$5,6-1+'核心假设'!$B$31),SUM('融资租赁与资金缺口'!$M$5:$M$16)*$S8,0),IF(AU$4=EDATE('核心假设'!$B$5,7-1+'核心假设'!$B$31),SUM('融资租赁与资金缺口'!$M$5:$M$16)*$T8,0),IF(AU$4=EDATE('核心假设'!$B$5,8-1+'核心假设'!$B$31),SUM('融资租赁与资金缺口'!$M$5:$M$16)*$U8,0),IF(AU$4=EDATE('核心假设'!$B$5,9-1+'核心假设'!$B$31),SUM('融资租赁与资金缺口'!$M$5:$M$16)*$V8,0),IF(AU$4=EDATE('核心假设'!$B$5,10-1+'核心假设'!$B$31),SUM('融资租赁与资金缺口'!$M$5:$M$16)*$W8,0),IF(AU$4=EDATE('核心假设'!$B$5,11-1+'核心假设'!$B$31),SUM('融资租赁与资金缺口'!$M$5:$M$16)*$X8,0),IF(AU$4=EDATE('核心假设'!$B$5,12-1+'核心假设'!$B$31),SUM('融资租赁与资金缺口'!$M$5:$M$16)*$Y8,0),IF(AU$4=EDATE('核心假设'!$B$5,13-1+'核心假设'!$B$31),SUM('融资租赁与资金缺口'!$M$5:$M$16)*$Z8,0),IF(AU$4=EDATE('核心假设'!$B$5,14-1+'核心假设'!$B$31),SUM('融资租赁与资金缺口'!$M$5:$M$16)*$AA8,0),IF(AU$4=EDATE('核心假设'!$B$5,15-1+'核心假设'!$B$31),SUM('融资租赁与资金缺口'!$M$5:$M$16)*$AB8,0),IF(AU$4=EDATE('核心假设'!$B$5,16-1+'核心假设'!$B$31),SUM('融资租赁与资金缺口'!$M$5:$M$16)*$AC8,0),IF(AU$4=EDATE('核心假设'!$B$5,17-1+'核心假设'!$B$31),SUM('融资租赁与资金缺口'!$M$5:$M$16)*$AD8,0))</x:f>
        <x:v>0</x:v>
      </x:c>
      <x:c r="AV27" s="28" t="n">
        <x:f>SUM(IF(AV$4=EDATE('核心假设'!$B$5,0-1+'核心假设'!$B$31),SUM('融资租赁与资金缺口'!$M$5:$M$16)*$M8,0),IF(AV$4=EDATE('核心假设'!$B$5,1-1+'核心假设'!$B$31),SUM('融资租赁与资金缺口'!$M$5:$M$16)*$N8,0),IF(AV$4=EDATE('核心假设'!$B$5,2-1+'核心假设'!$B$31),SUM('融资租赁与资金缺口'!$M$5:$M$16)*$O8,0),IF(AV$4=EDATE('核心假设'!$B$5,3-1+'核心假设'!$B$31),SUM('融资租赁与资金缺口'!$M$5:$M$16)*$P8,0),IF(AV$4=EDATE('核心假设'!$B$5,4-1+'核心假设'!$B$31),SUM('融资租赁与资金缺口'!$M$5:$M$16)*$Q8,0),IF(AV$4=EDATE('核心假设'!$B$5,5-1+'核心假设'!$B$31),SUM('融资租赁与资金缺口'!$M$5:$M$16)*$R8,0),IF(AV$4=EDATE('核心假设'!$B$5,6-1+'核心假设'!$B$31),SUM('融资租赁与资金缺口'!$M$5:$M$16)*$S8,0),IF(AV$4=EDATE('核心假设'!$B$5,7-1+'核心假设'!$B$31),SUM('融资租赁与资金缺口'!$M$5:$M$16)*$T8,0),IF(AV$4=EDATE('核心假设'!$B$5,8-1+'核心假设'!$B$31),SUM('融资租赁与资金缺口'!$M$5:$M$16)*$U8,0),IF(AV$4=EDATE('核心假设'!$B$5,9-1+'核心假设'!$B$31),SUM('融资租赁与资金缺口'!$M$5:$M$16)*$V8,0),IF(AV$4=EDATE('核心假设'!$B$5,10-1+'核心假设'!$B$31),SUM('融资租赁与资金缺口'!$M$5:$M$16)*$W8,0),IF(AV$4=EDATE('核心假设'!$B$5,11-1+'核心假设'!$B$31),SUM('融资租赁与资金缺口'!$M$5:$M$16)*$X8,0),IF(AV$4=EDATE('核心假设'!$B$5,12-1+'核心假设'!$B$31),SUM('融资租赁与资金缺口'!$M$5:$M$16)*$Y8,0),IF(AV$4=EDATE('核心假设'!$B$5,13-1+'核心假设'!$B$31),SUM('融资租赁与资金缺口'!$M$5:$M$16)*$Z8,0),IF(AV$4=EDATE('核心假设'!$B$5,14-1+'核心假设'!$B$31),SUM('融资租赁与资金缺口'!$M$5:$M$16)*$AA8,0),IF(AV$4=EDATE('核心假设'!$B$5,15-1+'核心假设'!$B$31),SUM('融资租赁与资金缺口'!$M$5:$M$16)*$AB8,0),IF(AV$4=EDATE('核心假设'!$B$5,16-1+'核心假设'!$B$31),SUM('融资租赁与资金缺口'!$M$5:$M$16)*$AC8,0),IF(AV$4=EDATE('核心假设'!$B$5,17-1+'核心假设'!$B$31),SUM('融资租赁与资金缺口'!$M$5:$M$16)*$AD8,0))</x:f>
        <x:v>0</x:v>
      </x:c>
      <x:c r="AW27" s="28" t="n">
        <x:f>SUM(IF(AW$4=EDATE('核心假设'!$B$5,0-1+'核心假设'!$B$31),SUM('融资租赁与资金缺口'!$M$5:$M$16)*$M8,0),IF(AW$4=EDATE('核心假设'!$B$5,1-1+'核心假设'!$B$31),SUM('融资租赁与资金缺口'!$M$5:$M$16)*$N8,0),IF(AW$4=EDATE('核心假设'!$B$5,2-1+'核心假设'!$B$31),SUM('融资租赁与资金缺口'!$M$5:$M$16)*$O8,0),IF(AW$4=EDATE('核心假设'!$B$5,3-1+'核心假设'!$B$31),SUM('融资租赁与资金缺口'!$M$5:$M$16)*$P8,0),IF(AW$4=EDATE('核心假设'!$B$5,4-1+'核心假设'!$B$31),SUM('融资租赁与资金缺口'!$M$5:$M$16)*$Q8,0),IF(AW$4=EDATE('核心假设'!$B$5,5-1+'核心假设'!$B$31),SUM('融资租赁与资金缺口'!$M$5:$M$16)*$R8,0),IF(AW$4=EDATE('核心假设'!$B$5,6-1+'核心假设'!$B$31),SUM('融资租赁与资金缺口'!$M$5:$M$16)*$S8,0),IF(AW$4=EDATE('核心假设'!$B$5,7-1+'核心假设'!$B$31),SUM('融资租赁与资金缺口'!$M$5:$M$16)*$T8,0),IF(AW$4=EDATE('核心假设'!$B$5,8-1+'核心假设'!$B$31),SUM('融资租赁与资金缺口'!$M$5:$M$16)*$U8,0),IF(AW$4=EDATE('核心假设'!$B$5,9-1+'核心假设'!$B$31),SUM('融资租赁与资金缺口'!$M$5:$M$16)*$V8,0),IF(AW$4=EDATE('核心假设'!$B$5,10-1+'核心假设'!$B$31),SUM('融资租赁与资金缺口'!$M$5:$M$16)*$W8,0),IF(AW$4=EDATE('核心假设'!$B$5,11-1+'核心假设'!$B$31),SUM('融资租赁与资金缺口'!$M$5:$M$16)*$X8,0),IF(AW$4=EDATE('核心假设'!$B$5,12-1+'核心假设'!$B$31),SUM('融资租赁与资金缺口'!$M$5:$M$16)*$Y8,0),IF(AW$4=EDATE('核心假设'!$B$5,13-1+'核心假设'!$B$31),SUM('融资租赁与资金缺口'!$M$5:$M$16)*$Z8,0),IF(AW$4=EDATE('核心假设'!$B$5,14-1+'核心假设'!$B$31),SUM('融资租赁与资金缺口'!$M$5:$M$16)*$AA8,0),IF(AW$4=EDATE('核心假设'!$B$5,15-1+'核心假设'!$B$31),SUM('融资租赁与资金缺口'!$M$5:$M$16)*$AB8,0),IF(AW$4=EDATE('核心假设'!$B$5,16-1+'核心假设'!$B$31),SUM('融资租赁与资金缺口'!$M$5:$M$16)*$AC8,0),IF(AW$4=EDATE('核心假设'!$B$5,17-1+'核心假设'!$B$31),SUM('融资租赁与资金缺口'!$M$5:$M$16)*$AD8,0))</x:f>
        <x:v>0</x:v>
      </x:c>
      <x:c r="AX27" s="28" t="n">
        <x:f>SUM(IF(AX$4=EDATE('核心假设'!$B$5,0-1+'核心假设'!$B$31),SUM('融资租赁与资金缺口'!$M$5:$M$16)*$M8,0),IF(AX$4=EDATE('核心假设'!$B$5,1-1+'核心假设'!$B$31),SUM('融资租赁与资金缺口'!$M$5:$M$16)*$N8,0),IF(AX$4=EDATE('核心假设'!$B$5,2-1+'核心假设'!$B$31),SUM('融资租赁与资金缺口'!$M$5:$M$16)*$O8,0),IF(AX$4=EDATE('核心假设'!$B$5,3-1+'核心假设'!$B$31),SUM('融资租赁与资金缺口'!$M$5:$M$16)*$P8,0),IF(AX$4=EDATE('核心假设'!$B$5,4-1+'核心假设'!$B$31),SUM('融资租赁与资金缺口'!$M$5:$M$16)*$Q8,0),IF(AX$4=EDATE('核心假设'!$B$5,5-1+'核心假设'!$B$31),SUM('融资租赁与资金缺口'!$M$5:$M$16)*$R8,0),IF(AX$4=EDATE('核心假设'!$B$5,6-1+'核心假设'!$B$31),SUM('融资租赁与资金缺口'!$M$5:$M$16)*$S8,0),IF(AX$4=EDATE('核心假设'!$B$5,7-1+'核心假设'!$B$31),SUM('融资租赁与资金缺口'!$M$5:$M$16)*$T8,0),IF(AX$4=EDATE('核心假设'!$B$5,8-1+'核心假设'!$B$31),SUM('融资租赁与资金缺口'!$M$5:$M$16)*$U8,0),IF(AX$4=EDATE('核心假设'!$B$5,9-1+'核心假设'!$B$31),SUM('融资租赁与资金缺口'!$M$5:$M$16)*$V8,0),IF(AX$4=EDATE('核心假设'!$B$5,10-1+'核心假设'!$B$31),SUM('融资租赁与资金缺口'!$M$5:$M$16)*$W8,0),IF(AX$4=EDATE('核心假设'!$B$5,11-1+'核心假设'!$B$31),SUM('融资租赁与资金缺口'!$M$5:$M$16)*$X8,0),IF(AX$4=EDATE('核心假设'!$B$5,12-1+'核心假设'!$B$31),SUM('融资租赁与资金缺口'!$M$5:$M$16)*$Y8,0),IF(AX$4=EDATE('核心假设'!$B$5,13-1+'核心假设'!$B$31),SUM('融资租赁与资金缺口'!$M$5:$M$16)*$Z8,0),IF(AX$4=EDATE('核心假设'!$B$5,14-1+'核心假设'!$B$31),SUM('融资租赁与资金缺口'!$M$5:$M$16)*$AA8,0),IF(AX$4=EDATE('核心假设'!$B$5,15-1+'核心假设'!$B$31),SUM('融资租赁与资金缺口'!$M$5:$M$16)*$AB8,0),IF(AX$4=EDATE('核心假设'!$B$5,16-1+'核心假设'!$B$31),SUM('融资租赁与资金缺口'!$M$5:$M$16)*$AC8,0),IF(AX$4=EDATE('核心假设'!$B$5,17-1+'核心假设'!$B$31),SUM('融资租赁与资金缺口'!$M$5:$M$16)*$AD8,0))</x:f>
        <x:v>0</x:v>
      </x:c>
      <x:c r="AY27" s="28" t="n">
        <x:f>SUM(IF(AY$4=EDATE('核心假设'!$B$5,0-1+'核心假设'!$B$31),SUM('融资租赁与资金缺口'!$M$5:$M$16)*$M8,0),IF(AY$4=EDATE('核心假设'!$B$5,1-1+'核心假设'!$B$31),SUM('融资租赁与资金缺口'!$M$5:$M$16)*$N8,0),IF(AY$4=EDATE('核心假设'!$B$5,2-1+'核心假设'!$B$31),SUM('融资租赁与资金缺口'!$M$5:$M$16)*$O8,0),IF(AY$4=EDATE('核心假设'!$B$5,3-1+'核心假设'!$B$31),SUM('融资租赁与资金缺口'!$M$5:$M$16)*$P8,0),IF(AY$4=EDATE('核心假设'!$B$5,4-1+'核心假设'!$B$31),SUM('融资租赁与资金缺口'!$M$5:$M$16)*$Q8,0),IF(AY$4=EDATE('核心假设'!$B$5,5-1+'核心假设'!$B$31),SUM('融资租赁与资金缺口'!$M$5:$M$16)*$R8,0),IF(AY$4=EDATE('核心假设'!$B$5,6-1+'核心假设'!$B$31),SUM('融资租赁与资金缺口'!$M$5:$M$16)*$S8,0),IF(AY$4=EDATE('核心假设'!$B$5,7-1+'核心假设'!$B$31),SUM('融资租赁与资金缺口'!$M$5:$M$16)*$T8,0),IF(AY$4=EDATE('核心假设'!$B$5,8-1+'核心假设'!$B$31),SUM('融资租赁与资金缺口'!$M$5:$M$16)*$U8,0),IF(AY$4=EDATE('核心假设'!$B$5,9-1+'核心假设'!$B$31),SUM('融资租赁与资金缺口'!$M$5:$M$16)*$V8,0),IF(AY$4=EDATE('核心假设'!$B$5,10-1+'核心假设'!$B$31),SUM('融资租赁与资金缺口'!$M$5:$M$16)*$W8,0),IF(AY$4=EDATE('核心假设'!$B$5,11-1+'核心假设'!$B$31),SUM('融资租赁与资金缺口'!$M$5:$M$16)*$X8,0),IF(AY$4=EDATE('核心假设'!$B$5,12-1+'核心假设'!$B$31),SUM('融资租赁与资金缺口'!$M$5:$M$16)*$Y8,0),IF(AY$4=EDATE('核心假设'!$B$5,13-1+'核心假设'!$B$31),SUM('融资租赁与资金缺口'!$M$5:$M$16)*$Z8,0),IF(AY$4=EDATE('核心假设'!$B$5,14-1+'核心假设'!$B$31),SUM('融资租赁与资金缺口'!$M$5:$M$16)*$AA8,0),IF(AY$4=EDATE('核心假设'!$B$5,15-1+'核心假设'!$B$31),SUM('融资租赁与资金缺口'!$M$5:$M$16)*$AB8,0),IF(AY$4=EDATE('核心假设'!$B$5,16-1+'核心假设'!$B$31),SUM('融资租赁与资金缺口'!$M$5:$M$16)*$AC8,0),IF(AY$4=EDATE('核心假设'!$B$5,17-1+'核心假设'!$B$31),SUM('融资租赁与资金缺口'!$M$5:$M$16)*$AD8,0))</x:f>
        <x:v>0</x:v>
      </x:c>
      <x:c r="AZ27" s="28" t="n">
        <x:f>SUM(IF(AZ$4=EDATE('核心假设'!$B$5,0-1+'核心假设'!$B$31),SUM('融资租赁与资金缺口'!$M$5:$M$16)*$M8,0),IF(AZ$4=EDATE('核心假设'!$B$5,1-1+'核心假设'!$B$31),SUM('融资租赁与资金缺口'!$M$5:$M$16)*$N8,0),IF(AZ$4=EDATE('核心假设'!$B$5,2-1+'核心假设'!$B$31),SUM('融资租赁与资金缺口'!$M$5:$M$16)*$O8,0),IF(AZ$4=EDATE('核心假设'!$B$5,3-1+'核心假设'!$B$31),SUM('融资租赁与资金缺口'!$M$5:$M$16)*$P8,0),IF(AZ$4=EDATE('核心假设'!$B$5,4-1+'核心假设'!$B$31),SUM('融资租赁与资金缺口'!$M$5:$M$16)*$Q8,0),IF(AZ$4=EDATE('核心假设'!$B$5,5-1+'核心假设'!$B$31),SUM('融资租赁与资金缺口'!$M$5:$M$16)*$R8,0),IF(AZ$4=EDATE('核心假设'!$B$5,6-1+'核心假设'!$B$31),SUM('融资租赁与资金缺口'!$M$5:$M$16)*$S8,0),IF(AZ$4=EDATE('核心假设'!$B$5,7-1+'核心假设'!$B$31),SUM('融资租赁与资金缺口'!$M$5:$M$16)*$T8,0),IF(AZ$4=EDATE('核心假设'!$B$5,8-1+'核心假设'!$B$31),SUM('融资租赁与资金缺口'!$M$5:$M$16)*$U8,0),IF(AZ$4=EDATE('核心假设'!$B$5,9-1+'核心假设'!$B$31),SUM('融资租赁与资金缺口'!$M$5:$M$16)*$V8,0),IF(AZ$4=EDATE('核心假设'!$B$5,10-1+'核心假设'!$B$31),SUM('融资租赁与资金缺口'!$M$5:$M$16)*$W8,0),IF(AZ$4=EDATE('核心假设'!$B$5,11-1+'核心假设'!$B$31),SUM('融资租赁与资金缺口'!$M$5:$M$16)*$X8,0),IF(AZ$4=EDATE('核心假设'!$B$5,12-1+'核心假设'!$B$31),SUM('融资租赁与资金缺口'!$M$5:$M$16)*$Y8,0),IF(AZ$4=EDATE('核心假设'!$B$5,13-1+'核心假设'!$B$31),SUM('融资租赁与资金缺口'!$M$5:$M$16)*$Z8,0),IF(AZ$4=EDATE('核心假设'!$B$5,14-1+'核心假设'!$B$31),SUM('融资租赁与资金缺口'!$M$5:$M$16)*$AA8,0),IF(AZ$4=EDATE('核心假设'!$B$5,15-1+'核心假设'!$B$31),SUM('融资租赁与资金缺口'!$M$5:$M$16)*$AB8,0),IF(AZ$4=EDATE('核心假设'!$B$5,16-1+'核心假设'!$B$31),SUM('融资租赁与资金缺口'!$M$5:$M$16)*$AC8,0),IF(AZ$4=EDATE('核心假设'!$B$5,17-1+'核心假设'!$B$31),SUM('融资租赁与资金缺口'!$M$5:$M$16)*$AD8,0))</x:f>
        <x:v>0</x:v>
      </x:c>
      <x:c r="BA27" s="28" t="n">
        <x:f>SUM(IF(BA$4=EDATE('核心假设'!$B$5,0-1+'核心假设'!$B$31),SUM('融资租赁与资金缺口'!$M$5:$M$16)*$M8,0),IF(BA$4=EDATE('核心假设'!$B$5,1-1+'核心假设'!$B$31),SUM('融资租赁与资金缺口'!$M$5:$M$16)*$N8,0),IF(BA$4=EDATE('核心假设'!$B$5,2-1+'核心假设'!$B$31),SUM('融资租赁与资金缺口'!$M$5:$M$16)*$O8,0),IF(BA$4=EDATE('核心假设'!$B$5,3-1+'核心假设'!$B$31),SUM('融资租赁与资金缺口'!$M$5:$M$16)*$P8,0),IF(BA$4=EDATE('核心假设'!$B$5,4-1+'核心假设'!$B$31),SUM('融资租赁与资金缺口'!$M$5:$M$16)*$Q8,0),IF(BA$4=EDATE('核心假设'!$B$5,5-1+'核心假设'!$B$31),SUM('融资租赁与资金缺口'!$M$5:$M$16)*$R8,0),IF(BA$4=EDATE('核心假设'!$B$5,6-1+'核心假设'!$B$31),SUM('融资租赁与资金缺口'!$M$5:$M$16)*$S8,0),IF(BA$4=EDATE('核心假设'!$B$5,7-1+'核心假设'!$B$31),SUM('融资租赁与资金缺口'!$M$5:$M$16)*$T8,0),IF(BA$4=EDATE('核心假设'!$B$5,8-1+'核心假设'!$B$31),SUM('融资租赁与资金缺口'!$M$5:$M$16)*$U8,0),IF(BA$4=EDATE('核心假设'!$B$5,9-1+'核心假设'!$B$31),SUM('融资租赁与资金缺口'!$M$5:$M$16)*$V8,0),IF(BA$4=EDATE('核心假设'!$B$5,10-1+'核心假设'!$B$31),SUM('融资租赁与资金缺口'!$M$5:$M$16)*$W8,0),IF(BA$4=EDATE('核心假设'!$B$5,11-1+'核心假设'!$B$31),SUM('融资租赁与资金缺口'!$M$5:$M$16)*$X8,0),IF(BA$4=EDATE('核心假设'!$B$5,12-1+'核心假设'!$B$31),SUM('融资租赁与资金缺口'!$M$5:$M$16)*$Y8,0),IF(BA$4=EDATE('核心假设'!$B$5,13-1+'核心假设'!$B$31),SUM('融资租赁与资金缺口'!$M$5:$M$16)*$Z8,0),IF(BA$4=EDATE('核心假设'!$B$5,14-1+'核心假设'!$B$31),SUM('融资租赁与资金缺口'!$M$5:$M$16)*$AA8,0),IF(BA$4=EDATE('核心假设'!$B$5,15-1+'核心假设'!$B$31),SUM('融资租赁与资金缺口'!$M$5:$M$16)*$AB8,0),IF(BA$4=EDATE('核心假设'!$B$5,16-1+'核心假设'!$B$31),SUM('融资租赁与资金缺口'!$M$5:$M$16)*$AC8,0),IF(BA$4=EDATE('核心假设'!$B$5,17-1+'核心假设'!$B$31),SUM('融资租赁与资金缺口'!$M$5:$M$16)*$AD8,0))</x:f>
        <x:v>0</x:v>
      </x:c>
      <x:c r="BB27" s="28" t="n">
        <x:f>SUM(IF(BB$4=EDATE('核心假设'!$B$5,0-1+'核心假设'!$B$31),SUM('融资租赁与资金缺口'!$M$5:$M$16)*$M8,0),IF(BB$4=EDATE('核心假设'!$B$5,1-1+'核心假设'!$B$31),SUM('融资租赁与资金缺口'!$M$5:$M$16)*$N8,0),IF(BB$4=EDATE('核心假设'!$B$5,2-1+'核心假设'!$B$31),SUM('融资租赁与资金缺口'!$M$5:$M$16)*$O8,0),IF(BB$4=EDATE('核心假设'!$B$5,3-1+'核心假设'!$B$31),SUM('融资租赁与资金缺口'!$M$5:$M$16)*$P8,0),IF(BB$4=EDATE('核心假设'!$B$5,4-1+'核心假设'!$B$31),SUM('融资租赁与资金缺口'!$M$5:$M$16)*$Q8,0),IF(BB$4=EDATE('核心假设'!$B$5,5-1+'核心假设'!$B$31),SUM('融资租赁与资金缺口'!$M$5:$M$16)*$R8,0),IF(BB$4=EDATE('核心假设'!$B$5,6-1+'核心假设'!$B$31),SUM('融资租赁与资金缺口'!$M$5:$M$16)*$S8,0),IF(BB$4=EDATE('核心假设'!$B$5,7-1+'核心假设'!$B$31),SUM('融资租赁与资金缺口'!$M$5:$M$16)*$T8,0),IF(BB$4=EDATE('核心假设'!$B$5,8-1+'核心假设'!$B$31),SUM('融资租赁与资金缺口'!$M$5:$M$16)*$U8,0),IF(BB$4=EDATE('核心假设'!$B$5,9-1+'核心假设'!$B$31),SUM('融资租赁与资金缺口'!$M$5:$M$16)*$V8,0),IF(BB$4=EDATE('核心假设'!$B$5,10-1+'核心假设'!$B$31),SUM('融资租赁与资金缺口'!$M$5:$M$16)*$W8,0),IF(BB$4=EDATE('核心假设'!$B$5,11-1+'核心假设'!$B$31),SUM('融资租赁与资金缺口'!$M$5:$M$16)*$X8,0),IF(BB$4=EDATE('核心假设'!$B$5,12-1+'核心假设'!$B$31),SUM('融资租赁与资金缺口'!$M$5:$M$16)*$Y8,0),IF(BB$4=EDATE('核心假设'!$B$5,13-1+'核心假设'!$B$31),SUM('融资租赁与资金缺口'!$M$5:$M$16)*$Z8,0),IF(BB$4=EDATE('核心假设'!$B$5,14-1+'核心假设'!$B$31),SUM('融资租赁与资金缺口'!$M$5:$M$16)*$AA8,0),IF(BB$4=EDATE('核心假设'!$B$5,15-1+'核心假设'!$B$31),SUM('融资租赁与资金缺口'!$M$5:$M$16)*$AB8,0),IF(BB$4=EDATE('核心假设'!$B$5,16-1+'核心假设'!$B$31),SUM('融资租赁与资金缺口'!$M$5:$M$16)*$AC8,0),IF(BB$4=EDATE('核心假设'!$B$5,17-1+'核心假设'!$B$31),SUM('融资租赁与资金缺口'!$M$5:$M$16)*$AD8,0))</x:f>
        <x:v>0</x:v>
      </x:c>
      <x:c r="BC27" s="28" t="n">
        <x:f>SUM(IF(BC$4=EDATE('核心假设'!$B$5,0-1+'核心假设'!$B$31),SUM('融资租赁与资金缺口'!$M$5:$M$16)*$M8,0),IF(BC$4=EDATE('核心假设'!$B$5,1-1+'核心假设'!$B$31),SUM('融资租赁与资金缺口'!$M$5:$M$16)*$N8,0),IF(BC$4=EDATE('核心假设'!$B$5,2-1+'核心假设'!$B$31),SUM('融资租赁与资金缺口'!$M$5:$M$16)*$O8,0),IF(BC$4=EDATE('核心假设'!$B$5,3-1+'核心假设'!$B$31),SUM('融资租赁与资金缺口'!$M$5:$M$16)*$P8,0),IF(BC$4=EDATE('核心假设'!$B$5,4-1+'核心假设'!$B$31),SUM('融资租赁与资金缺口'!$M$5:$M$16)*$Q8,0),IF(BC$4=EDATE('核心假设'!$B$5,5-1+'核心假设'!$B$31),SUM('融资租赁与资金缺口'!$M$5:$M$16)*$R8,0),IF(BC$4=EDATE('核心假设'!$B$5,6-1+'核心假设'!$B$31),SUM('融资租赁与资金缺口'!$M$5:$M$16)*$S8,0),IF(BC$4=EDATE('核心假设'!$B$5,7-1+'核心假设'!$B$31),SUM('融资租赁与资金缺口'!$M$5:$M$16)*$T8,0),IF(BC$4=EDATE('核心假设'!$B$5,8-1+'核心假设'!$B$31),SUM('融资租赁与资金缺口'!$M$5:$M$16)*$U8,0),IF(BC$4=EDATE('核心假设'!$B$5,9-1+'核心假设'!$B$31),SUM('融资租赁与资金缺口'!$M$5:$M$16)*$V8,0),IF(BC$4=EDATE('核心假设'!$B$5,10-1+'核心假设'!$B$31),SUM('融资租赁与资金缺口'!$M$5:$M$16)*$W8,0),IF(BC$4=EDATE('核心假设'!$B$5,11-1+'核心假设'!$B$31),SUM('融资租赁与资金缺口'!$M$5:$M$16)*$X8,0),IF(BC$4=EDATE('核心假设'!$B$5,12-1+'核心假设'!$B$31),SUM('融资租赁与资金缺口'!$M$5:$M$16)*$Y8,0),IF(BC$4=EDATE('核心假设'!$B$5,13-1+'核心假设'!$B$31),SUM('融资租赁与资金缺口'!$M$5:$M$16)*$Z8,0),IF(BC$4=EDATE('核心假设'!$B$5,14-1+'核心假设'!$B$31),SUM('融资租赁与资金缺口'!$M$5:$M$16)*$AA8,0),IF(BC$4=EDATE('核心假设'!$B$5,15-1+'核心假设'!$B$31),SUM('融资租赁与资金缺口'!$M$5:$M$16)*$AB8,0),IF(BC$4=EDATE('核心假设'!$B$5,16-1+'核心假设'!$B$31),SUM('融资租赁与资金缺口'!$M$5:$M$16)*$AC8,0),IF(BC$4=EDATE('核心假设'!$B$5,17-1+'核心假设'!$B$31),SUM('融资租赁与资金缺口'!$M$5:$M$16)*$AD8,0))</x:f>
        <x:v>0</x:v>
      </x:c>
      <x:c r="BD27" s="28" t="n">
        <x:f>SUM(IF(BD$4=EDATE('核心假设'!$B$5,0-1+'核心假设'!$B$31),SUM('融资租赁与资金缺口'!$M$5:$M$16)*$M8,0),IF(BD$4=EDATE('核心假设'!$B$5,1-1+'核心假设'!$B$31),SUM('融资租赁与资金缺口'!$M$5:$M$16)*$N8,0),IF(BD$4=EDATE('核心假设'!$B$5,2-1+'核心假设'!$B$31),SUM('融资租赁与资金缺口'!$M$5:$M$16)*$O8,0),IF(BD$4=EDATE('核心假设'!$B$5,3-1+'核心假设'!$B$31),SUM('融资租赁与资金缺口'!$M$5:$M$16)*$P8,0),IF(BD$4=EDATE('核心假设'!$B$5,4-1+'核心假设'!$B$31),SUM('融资租赁与资金缺口'!$M$5:$M$16)*$Q8,0),IF(BD$4=EDATE('核心假设'!$B$5,5-1+'核心假设'!$B$31),SUM('融资租赁与资金缺口'!$M$5:$M$16)*$R8,0),IF(BD$4=EDATE('核心假设'!$B$5,6-1+'核心假设'!$B$31),SUM('融资租赁与资金缺口'!$M$5:$M$16)*$S8,0),IF(BD$4=EDATE('核心假设'!$B$5,7-1+'核心假设'!$B$31),SUM('融资租赁与资金缺口'!$M$5:$M$16)*$T8,0),IF(BD$4=EDATE('核心假设'!$B$5,8-1+'核心假设'!$B$31),SUM('融资租赁与资金缺口'!$M$5:$M$16)*$U8,0),IF(BD$4=EDATE('核心假设'!$B$5,9-1+'核心假设'!$B$31),SUM('融资租赁与资金缺口'!$M$5:$M$16)*$V8,0),IF(BD$4=EDATE('核心假设'!$B$5,10-1+'核心假设'!$B$31),SUM('融资租赁与资金缺口'!$M$5:$M$16)*$W8,0),IF(BD$4=EDATE('核心假设'!$B$5,11-1+'核心假设'!$B$31),SUM('融资租赁与资金缺口'!$M$5:$M$16)*$X8,0),IF(BD$4=EDATE('核心假设'!$B$5,12-1+'核心假设'!$B$31),SUM('融资租赁与资金缺口'!$M$5:$M$16)*$Y8,0),IF(BD$4=EDATE('核心假设'!$B$5,13-1+'核心假设'!$B$31),SUM('融资租赁与资金缺口'!$M$5:$M$16)*$Z8,0),IF(BD$4=EDATE('核心假设'!$B$5,14-1+'核心假设'!$B$31),SUM('融资租赁与资金缺口'!$M$5:$M$16)*$AA8,0),IF(BD$4=EDATE('核心假设'!$B$5,15-1+'核心假设'!$B$31),SUM('融资租赁与资金缺口'!$M$5:$M$16)*$AB8,0),IF(BD$4=EDATE('核心假设'!$B$5,16-1+'核心假设'!$B$31),SUM('融资租赁与资金缺口'!$M$5:$M$16)*$AC8,0),IF(BD$4=EDATE('核心假设'!$B$5,17-1+'核心假设'!$B$31),SUM('融资租赁与资金缺口'!$M$5:$M$16)*$AD8,0))</x:f>
        <x:v>0</x:v>
      </x:c>
      <x:c r="BE27" s="28" t="n">
        <x:f>SUM(IF(BE$4=EDATE('核心假设'!$B$5,0-1+'核心假设'!$B$31),SUM('融资租赁与资金缺口'!$M$5:$M$16)*$M8,0),IF(BE$4=EDATE('核心假设'!$B$5,1-1+'核心假设'!$B$31),SUM('融资租赁与资金缺口'!$M$5:$M$16)*$N8,0),IF(BE$4=EDATE('核心假设'!$B$5,2-1+'核心假设'!$B$31),SUM('融资租赁与资金缺口'!$M$5:$M$16)*$O8,0),IF(BE$4=EDATE('核心假设'!$B$5,3-1+'核心假设'!$B$31),SUM('融资租赁与资金缺口'!$M$5:$M$16)*$P8,0),IF(BE$4=EDATE('核心假设'!$B$5,4-1+'核心假设'!$B$31),SUM('融资租赁与资金缺口'!$M$5:$M$16)*$Q8,0),IF(BE$4=EDATE('核心假设'!$B$5,5-1+'核心假设'!$B$31),SUM('融资租赁与资金缺口'!$M$5:$M$16)*$R8,0),IF(BE$4=EDATE('核心假设'!$B$5,6-1+'核心假设'!$B$31),SUM('融资租赁与资金缺口'!$M$5:$M$16)*$S8,0),IF(BE$4=EDATE('核心假设'!$B$5,7-1+'核心假设'!$B$31),SUM('融资租赁与资金缺口'!$M$5:$M$16)*$T8,0),IF(BE$4=EDATE('核心假设'!$B$5,8-1+'核心假设'!$B$31),SUM('融资租赁与资金缺口'!$M$5:$M$16)*$U8,0),IF(BE$4=EDATE('核心假设'!$B$5,9-1+'核心假设'!$B$31),SUM('融资租赁与资金缺口'!$M$5:$M$16)*$V8,0),IF(BE$4=EDATE('核心假设'!$B$5,10-1+'核心假设'!$B$31),SUM('融资租赁与资金缺口'!$M$5:$M$16)*$W8,0),IF(BE$4=EDATE('核心假设'!$B$5,11-1+'核心假设'!$B$31),SUM('融资租赁与资金缺口'!$M$5:$M$16)*$X8,0),IF(BE$4=EDATE('核心假设'!$B$5,12-1+'核心假设'!$B$31),SUM('融资租赁与资金缺口'!$M$5:$M$16)*$Y8,0),IF(BE$4=EDATE('核心假设'!$B$5,13-1+'核心假设'!$B$31),SUM('融资租赁与资金缺口'!$M$5:$M$16)*$Z8,0),IF(BE$4=EDATE('核心假设'!$B$5,14-1+'核心假设'!$B$31),SUM('融资租赁与资金缺口'!$M$5:$M$16)*$AA8,0),IF(BE$4=EDATE('核心假设'!$B$5,15-1+'核心假设'!$B$31),SUM('融资租赁与资金缺口'!$M$5:$M$16)*$AB8,0),IF(BE$4=EDATE('核心假设'!$B$5,16-1+'核心假设'!$B$31),SUM('融资租赁与资金缺口'!$M$5:$M$16)*$AC8,0),IF(BE$4=EDATE('核心假设'!$B$5,17-1+'核心假设'!$B$31),SUM('融资租赁与资金缺口'!$M$5:$M$16)*$AD8,0))</x:f>
        <x:v>0</x:v>
      </x:c>
      <x:c r="BF27" s="28" t="n">
        <x:f>SUM(IF(BF$4=EDATE('核心假设'!$B$5,0-1+'核心假设'!$B$31),SUM('融资租赁与资金缺口'!$M$5:$M$16)*$M8,0),IF(BF$4=EDATE('核心假设'!$B$5,1-1+'核心假设'!$B$31),SUM('融资租赁与资金缺口'!$M$5:$M$16)*$N8,0),IF(BF$4=EDATE('核心假设'!$B$5,2-1+'核心假设'!$B$31),SUM('融资租赁与资金缺口'!$M$5:$M$16)*$O8,0),IF(BF$4=EDATE('核心假设'!$B$5,3-1+'核心假设'!$B$31),SUM('融资租赁与资金缺口'!$M$5:$M$16)*$P8,0),IF(BF$4=EDATE('核心假设'!$B$5,4-1+'核心假设'!$B$31),SUM('融资租赁与资金缺口'!$M$5:$M$16)*$Q8,0),IF(BF$4=EDATE('核心假设'!$B$5,5-1+'核心假设'!$B$31),SUM('融资租赁与资金缺口'!$M$5:$M$16)*$R8,0),IF(BF$4=EDATE('核心假设'!$B$5,6-1+'核心假设'!$B$31),SUM('融资租赁与资金缺口'!$M$5:$M$16)*$S8,0),IF(BF$4=EDATE('核心假设'!$B$5,7-1+'核心假设'!$B$31),SUM('融资租赁与资金缺口'!$M$5:$M$16)*$T8,0),IF(BF$4=EDATE('核心假设'!$B$5,8-1+'核心假设'!$B$31),SUM('融资租赁与资金缺口'!$M$5:$M$16)*$U8,0),IF(BF$4=EDATE('核心假设'!$B$5,9-1+'核心假设'!$B$31),SUM('融资租赁与资金缺口'!$M$5:$M$16)*$V8,0),IF(BF$4=EDATE('核心假设'!$B$5,10-1+'核心假设'!$B$31),SUM('融资租赁与资金缺口'!$M$5:$M$16)*$W8,0),IF(BF$4=EDATE('核心假设'!$B$5,11-1+'核心假设'!$B$31),SUM('融资租赁与资金缺口'!$M$5:$M$16)*$X8,0),IF(BF$4=EDATE('核心假设'!$B$5,12-1+'核心假设'!$B$31),SUM('融资租赁与资金缺口'!$M$5:$M$16)*$Y8,0),IF(BF$4=EDATE('核心假设'!$B$5,13-1+'核心假设'!$B$31),SUM('融资租赁与资金缺口'!$M$5:$M$16)*$Z8,0),IF(BF$4=EDATE('核心假设'!$B$5,14-1+'核心假设'!$B$31),SUM('融资租赁与资金缺口'!$M$5:$M$16)*$AA8,0),IF(BF$4=EDATE('核心假设'!$B$5,15-1+'核心假设'!$B$31),SUM('融资租赁与资金缺口'!$M$5:$M$16)*$AB8,0),IF(BF$4=EDATE('核心假设'!$B$5,16-1+'核心假设'!$B$31),SUM('融资租赁与资金缺口'!$M$5:$M$16)*$AC8,0),IF(BF$4=EDATE('核心假设'!$B$5,17-1+'核心假设'!$B$31),SUM('融资租赁与资金缺口'!$M$5:$M$16)*$AD8,0))</x:f>
        <x:v>0</x:v>
      </x:c>
      <x:c r="BG27" s="28" t="n">
        <x:f>SUM(IF(BG$4=EDATE('核心假设'!$B$5,0-1+'核心假设'!$B$31),SUM('融资租赁与资金缺口'!$M$5:$M$16)*$M8,0),IF(BG$4=EDATE('核心假设'!$B$5,1-1+'核心假设'!$B$31),SUM('融资租赁与资金缺口'!$M$5:$M$16)*$N8,0),IF(BG$4=EDATE('核心假设'!$B$5,2-1+'核心假设'!$B$31),SUM('融资租赁与资金缺口'!$M$5:$M$16)*$O8,0),IF(BG$4=EDATE('核心假设'!$B$5,3-1+'核心假设'!$B$31),SUM('融资租赁与资金缺口'!$M$5:$M$16)*$P8,0),IF(BG$4=EDATE('核心假设'!$B$5,4-1+'核心假设'!$B$31),SUM('融资租赁与资金缺口'!$M$5:$M$16)*$Q8,0),IF(BG$4=EDATE('核心假设'!$B$5,5-1+'核心假设'!$B$31),SUM('融资租赁与资金缺口'!$M$5:$M$16)*$R8,0),IF(BG$4=EDATE('核心假设'!$B$5,6-1+'核心假设'!$B$31),SUM('融资租赁与资金缺口'!$M$5:$M$16)*$S8,0),IF(BG$4=EDATE('核心假设'!$B$5,7-1+'核心假设'!$B$31),SUM('融资租赁与资金缺口'!$M$5:$M$16)*$T8,0),IF(BG$4=EDATE('核心假设'!$B$5,8-1+'核心假设'!$B$31),SUM('融资租赁与资金缺口'!$M$5:$M$16)*$U8,0),IF(BG$4=EDATE('核心假设'!$B$5,9-1+'核心假设'!$B$31),SUM('融资租赁与资金缺口'!$M$5:$M$16)*$V8,0),IF(BG$4=EDATE('核心假设'!$B$5,10-1+'核心假设'!$B$31),SUM('融资租赁与资金缺口'!$M$5:$M$16)*$W8,0),IF(BG$4=EDATE('核心假设'!$B$5,11-1+'核心假设'!$B$31),SUM('融资租赁与资金缺口'!$M$5:$M$16)*$X8,0),IF(BG$4=EDATE('核心假设'!$B$5,12-1+'核心假设'!$B$31),SUM('融资租赁与资金缺口'!$M$5:$M$16)*$Y8,0),IF(BG$4=EDATE('核心假设'!$B$5,13-1+'核心假设'!$B$31),SUM('融资租赁与资金缺口'!$M$5:$M$16)*$Z8,0),IF(BG$4=EDATE('核心假设'!$B$5,14-1+'核心假设'!$B$31),SUM('融资租赁与资金缺口'!$M$5:$M$16)*$AA8,0),IF(BG$4=EDATE('核心假设'!$B$5,15-1+'核心假设'!$B$31),SUM('融资租赁与资金缺口'!$M$5:$M$16)*$AB8,0),IF(BG$4=EDATE('核心假设'!$B$5,16-1+'核心假设'!$B$31),SUM('融资租赁与资金缺口'!$M$5:$M$16)*$AC8,0),IF(BG$4=EDATE('核心假设'!$B$5,17-1+'核心假设'!$B$31),SUM('融资租赁与资金缺口'!$M$5:$M$16)*$AD8,0))</x:f>
        <x:v>0</x:v>
      </x:c>
      <x:c r="BH27" s="28" t="n">
        <x:f>SUM(IF(BH$4=EDATE('核心假设'!$B$5,0-1+'核心假设'!$B$31),SUM('融资租赁与资金缺口'!$M$5:$M$16)*$M8,0),IF(BH$4=EDATE('核心假设'!$B$5,1-1+'核心假设'!$B$31),SUM('融资租赁与资金缺口'!$M$5:$M$16)*$N8,0),IF(BH$4=EDATE('核心假设'!$B$5,2-1+'核心假设'!$B$31),SUM('融资租赁与资金缺口'!$M$5:$M$16)*$O8,0),IF(BH$4=EDATE('核心假设'!$B$5,3-1+'核心假设'!$B$31),SUM('融资租赁与资金缺口'!$M$5:$M$16)*$P8,0),IF(BH$4=EDATE('核心假设'!$B$5,4-1+'核心假设'!$B$31),SUM('融资租赁与资金缺口'!$M$5:$M$16)*$Q8,0),IF(BH$4=EDATE('核心假设'!$B$5,5-1+'核心假设'!$B$31),SUM('融资租赁与资金缺口'!$M$5:$M$16)*$R8,0),IF(BH$4=EDATE('核心假设'!$B$5,6-1+'核心假设'!$B$31),SUM('融资租赁与资金缺口'!$M$5:$M$16)*$S8,0),IF(BH$4=EDATE('核心假设'!$B$5,7-1+'核心假设'!$B$31),SUM('融资租赁与资金缺口'!$M$5:$M$16)*$T8,0),IF(BH$4=EDATE('核心假设'!$B$5,8-1+'核心假设'!$B$31),SUM('融资租赁与资金缺口'!$M$5:$M$16)*$U8,0),IF(BH$4=EDATE('核心假设'!$B$5,9-1+'核心假设'!$B$31),SUM('融资租赁与资金缺口'!$M$5:$M$16)*$V8,0),IF(BH$4=EDATE('核心假设'!$B$5,10-1+'核心假设'!$B$31),SUM('融资租赁与资金缺口'!$M$5:$M$16)*$W8,0),IF(BH$4=EDATE('核心假设'!$B$5,11-1+'核心假设'!$B$31),SUM('融资租赁与资金缺口'!$M$5:$M$16)*$X8,0),IF(BH$4=EDATE('核心假设'!$B$5,12-1+'核心假设'!$B$31),SUM('融资租赁与资金缺口'!$M$5:$M$16)*$Y8,0),IF(BH$4=EDATE('核心假设'!$B$5,13-1+'核心假设'!$B$31),SUM('融资租赁与资金缺口'!$M$5:$M$16)*$Z8,0),IF(BH$4=EDATE('核心假设'!$B$5,14-1+'核心假设'!$B$31),SUM('融资租赁与资金缺口'!$M$5:$M$16)*$AA8,0),IF(BH$4=EDATE('核心假设'!$B$5,15-1+'核心假设'!$B$31),SUM('融资租赁与资金缺口'!$M$5:$M$16)*$AB8,0),IF(BH$4=EDATE('核心假设'!$B$5,16-1+'核心假设'!$B$31),SUM('融资租赁与资金缺口'!$M$5:$M$16)*$AC8,0),IF(BH$4=EDATE('核心假设'!$B$5,17-1+'核心假设'!$B$31),SUM('融资租赁与资金缺口'!$M$5:$M$16)*$AD8,0))</x:f>
        <x:v>0</x:v>
      </x:c>
      <x:c r="BI27" s="28" t="n">
        <x:f>SUM(IF(BI$4=EDATE('核心假设'!$B$5,0-1+'核心假设'!$B$31),SUM('融资租赁与资金缺口'!$M$5:$M$16)*$M8,0),IF(BI$4=EDATE('核心假设'!$B$5,1-1+'核心假设'!$B$31),SUM('融资租赁与资金缺口'!$M$5:$M$16)*$N8,0),IF(BI$4=EDATE('核心假设'!$B$5,2-1+'核心假设'!$B$31),SUM('融资租赁与资金缺口'!$M$5:$M$16)*$O8,0),IF(BI$4=EDATE('核心假设'!$B$5,3-1+'核心假设'!$B$31),SUM('融资租赁与资金缺口'!$M$5:$M$16)*$P8,0),IF(BI$4=EDATE('核心假设'!$B$5,4-1+'核心假设'!$B$31),SUM('融资租赁与资金缺口'!$M$5:$M$16)*$Q8,0),IF(BI$4=EDATE('核心假设'!$B$5,5-1+'核心假设'!$B$31),SUM('融资租赁与资金缺口'!$M$5:$M$16)*$R8,0),IF(BI$4=EDATE('核心假设'!$B$5,6-1+'核心假设'!$B$31),SUM('融资租赁与资金缺口'!$M$5:$M$16)*$S8,0),IF(BI$4=EDATE('核心假设'!$B$5,7-1+'核心假设'!$B$31),SUM('融资租赁与资金缺口'!$M$5:$M$16)*$T8,0),IF(BI$4=EDATE('核心假设'!$B$5,8-1+'核心假设'!$B$31),SUM('融资租赁与资金缺口'!$M$5:$M$16)*$U8,0),IF(BI$4=EDATE('核心假设'!$B$5,9-1+'核心假设'!$B$31),SUM('融资租赁与资金缺口'!$M$5:$M$16)*$V8,0),IF(BI$4=EDATE('核心假设'!$B$5,10-1+'核心假设'!$B$31),SUM('融资租赁与资金缺口'!$M$5:$M$16)*$W8,0),IF(BI$4=EDATE('核心假设'!$B$5,11-1+'核心假设'!$B$31),SUM('融资租赁与资金缺口'!$M$5:$M$16)*$X8,0),IF(BI$4=EDATE('核心假设'!$B$5,12-1+'核心假设'!$B$31),SUM('融资租赁与资金缺口'!$M$5:$M$16)*$Y8,0),IF(BI$4=EDATE('核心假设'!$B$5,13-1+'核心假设'!$B$31),SUM('融资租赁与资金缺口'!$M$5:$M$16)*$Z8,0),IF(BI$4=EDATE('核心假设'!$B$5,14-1+'核心假设'!$B$31),SUM('融资租赁与资金缺口'!$M$5:$M$16)*$AA8,0),IF(BI$4=EDATE('核心假设'!$B$5,15-1+'核心假设'!$B$31),SUM('融资租赁与资金缺口'!$M$5:$M$16)*$AB8,0),IF(BI$4=EDATE('核心假设'!$B$5,16-1+'核心假设'!$B$31),SUM('融资租赁与资金缺口'!$M$5:$M$16)*$AC8,0),IF(BI$4=EDATE('核心假设'!$B$5,17-1+'核心假设'!$B$31),SUM('融资租赁与资金缺口'!$M$5:$M$16)*$AD8,0))</x:f>
        <x:v>0</x:v>
      </x:c>
      <x:c r="BJ27" s="28" t="n">
        <x:f>SUM(IF(BJ$4=EDATE('核心假设'!$B$5,0-1+'核心假设'!$B$31),SUM('融资租赁与资金缺口'!$M$5:$M$16)*$M8,0),IF(BJ$4=EDATE('核心假设'!$B$5,1-1+'核心假设'!$B$31),SUM('融资租赁与资金缺口'!$M$5:$M$16)*$N8,0),IF(BJ$4=EDATE('核心假设'!$B$5,2-1+'核心假设'!$B$31),SUM('融资租赁与资金缺口'!$M$5:$M$16)*$O8,0),IF(BJ$4=EDATE('核心假设'!$B$5,3-1+'核心假设'!$B$31),SUM('融资租赁与资金缺口'!$M$5:$M$16)*$P8,0),IF(BJ$4=EDATE('核心假设'!$B$5,4-1+'核心假设'!$B$31),SUM('融资租赁与资金缺口'!$M$5:$M$16)*$Q8,0),IF(BJ$4=EDATE('核心假设'!$B$5,5-1+'核心假设'!$B$31),SUM('融资租赁与资金缺口'!$M$5:$M$16)*$R8,0),IF(BJ$4=EDATE('核心假设'!$B$5,6-1+'核心假设'!$B$31),SUM('融资租赁与资金缺口'!$M$5:$M$16)*$S8,0),IF(BJ$4=EDATE('核心假设'!$B$5,7-1+'核心假设'!$B$31),SUM('融资租赁与资金缺口'!$M$5:$M$16)*$T8,0),IF(BJ$4=EDATE('核心假设'!$B$5,8-1+'核心假设'!$B$31),SUM('融资租赁与资金缺口'!$M$5:$M$16)*$U8,0),IF(BJ$4=EDATE('核心假设'!$B$5,9-1+'核心假设'!$B$31),SUM('融资租赁与资金缺口'!$M$5:$M$16)*$V8,0),IF(BJ$4=EDATE('核心假设'!$B$5,10-1+'核心假设'!$B$31),SUM('融资租赁与资金缺口'!$M$5:$M$16)*$W8,0),IF(BJ$4=EDATE('核心假设'!$B$5,11-1+'核心假设'!$B$31),SUM('融资租赁与资金缺口'!$M$5:$M$16)*$X8,0),IF(BJ$4=EDATE('核心假设'!$B$5,12-1+'核心假设'!$B$31),SUM('融资租赁与资金缺口'!$M$5:$M$16)*$Y8,0),IF(BJ$4=EDATE('核心假设'!$B$5,13-1+'核心假设'!$B$31),SUM('融资租赁与资金缺口'!$M$5:$M$16)*$Z8,0),IF(BJ$4=EDATE('核心假设'!$B$5,14-1+'核心假设'!$B$31),SUM('融资租赁与资金缺口'!$M$5:$M$16)*$AA8,0),IF(BJ$4=EDATE('核心假设'!$B$5,15-1+'核心假设'!$B$31),SUM('融资租赁与资金缺口'!$M$5:$M$16)*$AB8,0),IF(BJ$4=EDATE('核心假设'!$B$5,16-1+'核心假设'!$B$31),SUM('融资租赁与资金缺口'!$M$5:$M$16)*$AC8,0),IF(BJ$4=EDATE('核心假设'!$B$5,17-1+'核心假设'!$B$31),SUM('融资租赁与资金缺口'!$M$5:$M$16)*$AD8,0))</x:f>
        <x:v>0</x:v>
      </x:c>
      <x:c r="BK27" s="28" t="n">
        <x:f>SUM(IF(BK$4=EDATE('核心假设'!$B$5,0-1+'核心假设'!$B$31),SUM('融资租赁与资金缺口'!$M$5:$M$16)*$M8,0),IF(BK$4=EDATE('核心假设'!$B$5,1-1+'核心假设'!$B$31),SUM('融资租赁与资金缺口'!$M$5:$M$16)*$N8,0),IF(BK$4=EDATE('核心假设'!$B$5,2-1+'核心假设'!$B$31),SUM('融资租赁与资金缺口'!$M$5:$M$16)*$O8,0),IF(BK$4=EDATE('核心假设'!$B$5,3-1+'核心假设'!$B$31),SUM('融资租赁与资金缺口'!$M$5:$M$16)*$P8,0),IF(BK$4=EDATE('核心假设'!$B$5,4-1+'核心假设'!$B$31),SUM('融资租赁与资金缺口'!$M$5:$M$16)*$Q8,0),IF(BK$4=EDATE('核心假设'!$B$5,5-1+'核心假设'!$B$31),SUM('融资租赁与资金缺口'!$M$5:$M$16)*$R8,0),IF(BK$4=EDATE('核心假设'!$B$5,6-1+'核心假设'!$B$31),SUM('融资租赁与资金缺口'!$M$5:$M$16)*$S8,0),IF(BK$4=EDATE('核心假设'!$B$5,7-1+'核心假设'!$B$31),SUM('融资租赁与资金缺口'!$M$5:$M$16)*$T8,0),IF(BK$4=EDATE('核心假设'!$B$5,8-1+'核心假设'!$B$31),SUM('融资租赁与资金缺口'!$M$5:$M$16)*$U8,0),IF(BK$4=EDATE('核心假设'!$B$5,9-1+'核心假设'!$B$31),SUM('融资租赁与资金缺口'!$M$5:$M$16)*$V8,0),IF(BK$4=EDATE('核心假设'!$B$5,10-1+'核心假设'!$B$31),SUM('融资租赁与资金缺口'!$M$5:$M$16)*$W8,0),IF(BK$4=EDATE('核心假设'!$B$5,11-1+'核心假设'!$B$31),SUM('融资租赁与资金缺口'!$M$5:$M$16)*$X8,0),IF(BK$4=EDATE('核心假设'!$B$5,12-1+'核心假设'!$B$31),SUM('融资租赁与资金缺口'!$M$5:$M$16)*$Y8,0),IF(BK$4=EDATE('核心假设'!$B$5,13-1+'核心假设'!$B$31),SUM('融资租赁与资金缺口'!$M$5:$M$16)*$Z8,0),IF(BK$4=EDATE('核心假设'!$B$5,14-1+'核心假设'!$B$31),SUM('融资租赁与资金缺口'!$M$5:$M$16)*$AA8,0),IF(BK$4=EDATE('核心假设'!$B$5,15-1+'核心假设'!$B$31),SUM('融资租赁与资金缺口'!$M$5:$M$16)*$AB8,0),IF(BK$4=EDATE('核心假设'!$B$5,16-1+'核心假设'!$B$31),SUM('融资租赁与资金缺口'!$M$5:$M$16)*$AC8,0),IF(BK$4=EDATE('核心假设'!$B$5,17-1+'核心假设'!$B$31),SUM('融资租赁与资金缺口'!$M$5:$M$16)*$AD8,0))</x:f>
        <x:v>0</x:v>
      </x:c>
      <x:c r="BL27" s="28" t="n">
        <x:f>SUM(IF(BL$4=EDATE('核心假设'!$B$5,0-1+'核心假设'!$B$31),SUM('融资租赁与资金缺口'!$M$5:$M$16)*$M8,0),IF(BL$4=EDATE('核心假设'!$B$5,1-1+'核心假设'!$B$31),SUM('融资租赁与资金缺口'!$M$5:$M$16)*$N8,0),IF(BL$4=EDATE('核心假设'!$B$5,2-1+'核心假设'!$B$31),SUM('融资租赁与资金缺口'!$M$5:$M$16)*$O8,0),IF(BL$4=EDATE('核心假设'!$B$5,3-1+'核心假设'!$B$31),SUM('融资租赁与资金缺口'!$M$5:$M$16)*$P8,0),IF(BL$4=EDATE('核心假设'!$B$5,4-1+'核心假设'!$B$31),SUM('融资租赁与资金缺口'!$M$5:$M$16)*$Q8,0),IF(BL$4=EDATE('核心假设'!$B$5,5-1+'核心假设'!$B$31),SUM('融资租赁与资金缺口'!$M$5:$M$16)*$R8,0),IF(BL$4=EDATE('核心假设'!$B$5,6-1+'核心假设'!$B$31),SUM('融资租赁与资金缺口'!$M$5:$M$16)*$S8,0),IF(BL$4=EDATE('核心假设'!$B$5,7-1+'核心假设'!$B$31),SUM('融资租赁与资金缺口'!$M$5:$M$16)*$T8,0),IF(BL$4=EDATE('核心假设'!$B$5,8-1+'核心假设'!$B$31),SUM('融资租赁与资金缺口'!$M$5:$M$16)*$U8,0),IF(BL$4=EDATE('核心假设'!$B$5,9-1+'核心假设'!$B$31),SUM('融资租赁与资金缺口'!$M$5:$M$16)*$V8,0),IF(BL$4=EDATE('核心假设'!$B$5,10-1+'核心假设'!$B$31),SUM('融资租赁与资金缺口'!$M$5:$M$16)*$W8,0),IF(BL$4=EDATE('核心假设'!$B$5,11-1+'核心假设'!$B$31),SUM('融资租赁与资金缺口'!$M$5:$M$16)*$X8,0),IF(BL$4=EDATE('核心假设'!$B$5,12-1+'核心假设'!$B$31),SUM('融资租赁与资金缺口'!$M$5:$M$16)*$Y8,0),IF(BL$4=EDATE('核心假设'!$B$5,13-1+'核心假设'!$B$31),SUM('融资租赁与资金缺口'!$M$5:$M$16)*$Z8,0),IF(BL$4=EDATE('核心假设'!$B$5,14-1+'核心假设'!$B$31),SUM('融资租赁与资金缺口'!$M$5:$M$16)*$AA8,0),IF(BL$4=EDATE('核心假设'!$B$5,15-1+'核心假设'!$B$31),SUM('融资租赁与资金缺口'!$M$5:$M$16)*$AB8,0),IF(BL$4=EDATE('核心假设'!$B$5,16-1+'核心假设'!$B$31),SUM('融资租赁与资金缺口'!$M$5:$M$16)*$AC8,0),IF(BL$4=EDATE('核心假设'!$B$5,17-1+'核心假设'!$B$31),SUM('融资租赁与资金缺口'!$M$5:$M$16)*$AD8,0))</x:f>
        <x:v>0</x:v>
      </x:c>
      <x:c r="BM27" s="28" t="n">
        <x:f>SUM(IF(BM$4=EDATE('核心假设'!$B$5,0-1+'核心假设'!$B$31),SUM('融资租赁与资金缺口'!$M$5:$M$16)*$M8,0),IF(BM$4=EDATE('核心假设'!$B$5,1-1+'核心假设'!$B$31),SUM('融资租赁与资金缺口'!$M$5:$M$16)*$N8,0),IF(BM$4=EDATE('核心假设'!$B$5,2-1+'核心假设'!$B$31),SUM('融资租赁与资金缺口'!$M$5:$M$16)*$O8,0),IF(BM$4=EDATE('核心假设'!$B$5,3-1+'核心假设'!$B$31),SUM('融资租赁与资金缺口'!$M$5:$M$16)*$P8,0),IF(BM$4=EDATE('核心假设'!$B$5,4-1+'核心假设'!$B$31),SUM('融资租赁与资金缺口'!$M$5:$M$16)*$Q8,0),IF(BM$4=EDATE('核心假设'!$B$5,5-1+'核心假设'!$B$31),SUM('融资租赁与资金缺口'!$M$5:$M$16)*$R8,0),IF(BM$4=EDATE('核心假设'!$B$5,6-1+'核心假设'!$B$31),SUM('融资租赁与资金缺口'!$M$5:$M$16)*$S8,0),IF(BM$4=EDATE('核心假设'!$B$5,7-1+'核心假设'!$B$31),SUM('融资租赁与资金缺口'!$M$5:$M$16)*$T8,0),IF(BM$4=EDATE('核心假设'!$B$5,8-1+'核心假设'!$B$31),SUM('融资租赁与资金缺口'!$M$5:$M$16)*$U8,0),IF(BM$4=EDATE('核心假设'!$B$5,9-1+'核心假设'!$B$31),SUM('融资租赁与资金缺口'!$M$5:$M$16)*$V8,0),IF(BM$4=EDATE('核心假设'!$B$5,10-1+'核心假设'!$B$31),SUM('融资租赁与资金缺口'!$M$5:$M$16)*$W8,0),IF(BM$4=EDATE('核心假设'!$B$5,11-1+'核心假设'!$B$31),SUM('融资租赁与资金缺口'!$M$5:$M$16)*$X8,0),IF(BM$4=EDATE('核心假设'!$B$5,12-1+'核心假设'!$B$31),SUM('融资租赁与资金缺口'!$M$5:$M$16)*$Y8,0),IF(BM$4=EDATE('核心假设'!$B$5,13-1+'核心假设'!$B$31),SUM('融资租赁与资金缺口'!$M$5:$M$16)*$Z8,0),IF(BM$4=EDATE('核心假设'!$B$5,14-1+'核心假设'!$B$31),SUM('融资租赁与资金缺口'!$M$5:$M$16)*$AA8,0),IF(BM$4=EDATE('核心假设'!$B$5,15-1+'核心假设'!$B$31),SUM('融资租赁与资金缺口'!$M$5:$M$16)*$AB8,0),IF(BM$4=EDATE('核心假设'!$B$5,16-1+'核心假设'!$B$31),SUM('融资租赁与资金缺口'!$M$5:$M$16)*$AC8,0),IF(BM$4=EDATE('核心假设'!$B$5,17-1+'核心假设'!$B$31),SUM('融资租赁与资金缺口'!$M$5:$M$16)*$AD8,0))</x:f>
        <x:v>0</x:v>
      </x:c>
      <x:c r="BN27" s="28" t="n">
        <x:f>SUM(IF(BN$4=EDATE('核心假设'!$B$5,0-1+'核心假设'!$B$31),SUM('融资租赁与资金缺口'!$M$5:$M$16)*$M8,0),IF(BN$4=EDATE('核心假设'!$B$5,1-1+'核心假设'!$B$31),SUM('融资租赁与资金缺口'!$M$5:$M$16)*$N8,0),IF(BN$4=EDATE('核心假设'!$B$5,2-1+'核心假设'!$B$31),SUM('融资租赁与资金缺口'!$M$5:$M$16)*$O8,0),IF(BN$4=EDATE('核心假设'!$B$5,3-1+'核心假设'!$B$31),SUM('融资租赁与资金缺口'!$M$5:$M$16)*$P8,0),IF(BN$4=EDATE('核心假设'!$B$5,4-1+'核心假设'!$B$31),SUM('融资租赁与资金缺口'!$M$5:$M$16)*$Q8,0),IF(BN$4=EDATE('核心假设'!$B$5,5-1+'核心假设'!$B$31),SUM('融资租赁与资金缺口'!$M$5:$M$16)*$R8,0),IF(BN$4=EDATE('核心假设'!$B$5,6-1+'核心假设'!$B$31),SUM('融资租赁与资金缺口'!$M$5:$M$16)*$S8,0),IF(BN$4=EDATE('核心假设'!$B$5,7-1+'核心假设'!$B$31),SUM('融资租赁与资金缺口'!$M$5:$M$16)*$T8,0),IF(BN$4=EDATE('核心假设'!$B$5,8-1+'核心假设'!$B$31),SUM('融资租赁与资金缺口'!$M$5:$M$16)*$U8,0),IF(BN$4=EDATE('核心假设'!$B$5,9-1+'核心假设'!$B$31),SUM('融资租赁与资金缺口'!$M$5:$M$16)*$V8,0),IF(BN$4=EDATE('核心假设'!$B$5,10-1+'核心假设'!$B$31),SUM('融资租赁与资金缺口'!$M$5:$M$16)*$W8,0),IF(BN$4=EDATE('核心假设'!$B$5,11-1+'核心假设'!$B$31),SUM('融资租赁与资金缺口'!$M$5:$M$16)*$X8,0),IF(BN$4=EDATE('核心假设'!$B$5,12-1+'核心假设'!$B$31),SUM('融资租赁与资金缺口'!$M$5:$M$16)*$Y8,0),IF(BN$4=EDATE('核心假设'!$B$5,13-1+'核心假设'!$B$31),SUM('融资租赁与资金缺口'!$M$5:$M$16)*$Z8,0),IF(BN$4=EDATE('核心假设'!$B$5,14-1+'核心假设'!$B$31),SUM('融资租赁与资金缺口'!$M$5:$M$16)*$AA8,0),IF(BN$4=EDATE('核心假设'!$B$5,15-1+'核心假设'!$B$31),SUM('融资租赁与资金缺口'!$M$5:$M$16)*$AB8,0),IF(BN$4=EDATE('核心假设'!$B$5,16-1+'核心假设'!$B$31),SUM('融资租赁与资金缺口'!$M$5:$M$16)*$AC8,0),IF(BN$4=EDATE('核心假设'!$B$5,17-1+'核心假设'!$B$31),SUM('融资租赁与资金缺口'!$M$5:$M$16)*$AD8,0))</x:f>
        <x:v>0</x:v>
      </x:c>
      <x:c r="BO27" s="28" t="n">
        <x:f>SUM(IF(BO$4=EDATE('核心假设'!$B$5,0-1+'核心假设'!$B$31),SUM('融资租赁与资金缺口'!$M$5:$M$16)*$M8,0),IF(BO$4=EDATE('核心假设'!$B$5,1-1+'核心假设'!$B$31),SUM('融资租赁与资金缺口'!$M$5:$M$16)*$N8,0),IF(BO$4=EDATE('核心假设'!$B$5,2-1+'核心假设'!$B$31),SUM('融资租赁与资金缺口'!$M$5:$M$16)*$O8,0),IF(BO$4=EDATE('核心假设'!$B$5,3-1+'核心假设'!$B$31),SUM('融资租赁与资金缺口'!$M$5:$M$16)*$P8,0),IF(BO$4=EDATE('核心假设'!$B$5,4-1+'核心假设'!$B$31),SUM('融资租赁与资金缺口'!$M$5:$M$16)*$Q8,0),IF(BO$4=EDATE('核心假设'!$B$5,5-1+'核心假设'!$B$31),SUM('融资租赁与资金缺口'!$M$5:$M$16)*$R8,0),IF(BO$4=EDATE('核心假设'!$B$5,6-1+'核心假设'!$B$31),SUM('融资租赁与资金缺口'!$M$5:$M$16)*$S8,0),IF(BO$4=EDATE('核心假设'!$B$5,7-1+'核心假设'!$B$31),SUM('融资租赁与资金缺口'!$M$5:$M$16)*$T8,0),IF(BO$4=EDATE('核心假设'!$B$5,8-1+'核心假设'!$B$31),SUM('融资租赁与资金缺口'!$M$5:$M$16)*$U8,0),IF(BO$4=EDATE('核心假设'!$B$5,9-1+'核心假设'!$B$31),SUM('融资租赁与资金缺口'!$M$5:$M$16)*$V8,0),IF(BO$4=EDATE('核心假设'!$B$5,10-1+'核心假设'!$B$31),SUM('融资租赁与资金缺口'!$M$5:$M$16)*$W8,0),IF(BO$4=EDATE('核心假设'!$B$5,11-1+'核心假设'!$B$31),SUM('融资租赁与资金缺口'!$M$5:$M$16)*$X8,0),IF(BO$4=EDATE('核心假设'!$B$5,12-1+'核心假设'!$B$31),SUM('融资租赁与资金缺口'!$M$5:$M$16)*$Y8,0),IF(BO$4=EDATE('核心假设'!$B$5,13-1+'核心假设'!$B$31),SUM('融资租赁与资金缺口'!$M$5:$M$16)*$Z8,0),IF(BO$4=EDATE('核心假设'!$B$5,14-1+'核心假设'!$B$31),SUM('融资租赁与资金缺口'!$M$5:$M$16)*$AA8,0),IF(BO$4=EDATE('核心假设'!$B$5,15-1+'核心假设'!$B$31),SUM('融资租赁与资金缺口'!$M$5:$M$16)*$AB8,0),IF(BO$4=EDATE('核心假设'!$B$5,16-1+'核心假设'!$B$31),SUM('融资租赁与资金缺口'!$M$5:$M$16)*$AC8,0),IF(BO$4=EDATE('核心假设'!$B$5,17-1+'核心假设'!$B$31),SUM('融资租赁与资金缺口'!$M$5:$M$16)*$AD8,0))</x:f>
        <x:v>0</x:v>
      </x:c>
      <x:c r="BP27" s="28" t="n">
        <x:f>SUM(IF(BP$4=EDATE('核心假设'!$B$5,0-1+'核心假设'!$B$31),SUM('融资租赁与资金缺口'!$M$5:$M$16)*$M8,0),IF(BP$4=EDATE('核心假设'!$B$5,1-1+'核心假设'!$B$31),SUM('融资租赁与资金缺口'!$M$5:$M$16)*$N8,0),IF(BP$4=EDATE('核心假设'!$B$5,2-1+'核心假设'!$B$31),SUM('融资租赁与资金缺口'!$M$5:$M$16)*$O8,0),IF(BP$4=EDATE('核心假设'!$B$5,3-1+'核心假设'!$B$31),SUM('融资租赁与资金缺口'!$M$5:$M$16)*$P8,0),IF(BP$4=EDATE('核心假设'!$B$5,4-1+'核心假设'!$B$31),SUM('融资租赁与资金缺口'!$M$5:$M$16)*$Q8,0),IF(BP$4=EDATE('核心假设'!$B$5,5-1+'核心假设'!$B$31),SUM('融资租赁与资金缺口'!$M$5:$M$16)*$R8,0),IF(BP$4=EDATE('核心假设'!$B$5,6-1+'核心假设'!$B$31),SUM('融资租赁与资金缺口'!$M$5:$M$16)*$S8,0),IF(BP$4=EDATE('核心假设'!$B$5,7-1+'核心假设'!$B$31),SUM('融资租赁与资金缺口'!$M$5:$M$16)*$T8,0),IF(BP$4=EDATE('核心假设'!$B$5,8-1+'核心假设'!$B$31),SUM('融资租赁与资金缺口'!$M$5:$M$16)*$U8,0),IF(BP$4=EDATE('核心假设'!$B$5,9-1+'核心假设'!$B$31),SUM('融资租赁与资金缺口'!$M$5:$M$16)*$V8,0),IF(BP$4=EDATE('核心假设'!$B$5,10-1+'核心假设'!$B$31),SUM('融资租赁与资金缺口'!$M$5:$M$16)*$W8,0),IF(BP$4=EDATE('核心假设'!$B$5,11-1+'核心假设'!$B$31),SUM('融资租赁与资金缺口'!$M$5:$M$16)*$X8,0),IF(BP$4=EDATE('核心假设'!$B$5,12-1+'核心假设'!$B$31),SUM('融资租赁与资金缺口'!$M$5:$M$16)*$Y8,0),IF(BP$4=EDATE('核心假设'!$B$5,13-1+'核心假设'!$B$31),SUM('融资租赁与资金缺口'!$M$5:$M$16)*$Z8,0),IF(BP$4=EDATE('核心假设'!$B$5,14-1+'核心假设'!$B$31),SUM('融资租赁与资金缺口'!$M$5:$M$16)*$AA8,0),IF(BP$4=EDATE('核心假设'!$B$5,15-1+'核心假设'!$B$31),SUM('融资租赁与资金缺口'!$M$5:$M$16)*$AB8,0),IF(BP$4=EDATE('核心假设'!$B$5,16-1+'核心假设'!$B$31),SUM('融资租赁与资金缺口'!$M$5:$M$16)*$AC8,0),IF(BP$4=EDATE('核心假设'!$B$5,17-1+'核心假设'!$B$31),SUM('融资租赁与资金缺口'!$M$5:$M$16)*$AD8,0))</x:f>
        <x:v>0</x:v>
      </x:c>
      <x:c r="BQ27" s="28" t="n">
        <x:f>SUM(IF(BQ$4=EDATE('核心假设'!$B$5,0-1+'核心假设'!$B$31),SUM('融资租赁与资金缺口'!$M$5:$M$16)*$M8,0),IF(BQ$4=EDATE('核心假设'!$B$5,1-1+'核心假设'!$B$31),SUM('融资租赁与资金缺口'!$M$5:$M$16)*$N8,0),IF(BQ$4=EDATE('核心假设'!$B$5,2-1+'核心假设'!$B$31),SUM('融资租赁与资金缺口'!$M$5:$M$16)*$O8,0),IF(BQ$4=EDATE('核心假设'!$B$5,3-1+'核心假设'!$B$31),SUM('融资租赁与资金缺口'!$M$5:$M$16)*$P8,0),IF(BQ$4=EDATE('核心假设'!$B$5,4-1+'核心假设'!$B$31),SUM('融资租赁与资金缺口'!$M$5:$M$16)*$Q8,0),IF(BQ$4=EDATE('核心假设'!$B$5,5-1+'核心假设'!$B$31),SUM('融资租赁与资金缺口'!$M$5:$M$16)*$R8,0),IF(BQ$4=EDATE('核心假设'!$B$5,6-1+'核心假设'!$B$31),SUM('融资租赁与资金缺口'!$M$5:$M$16)*$S8,0),IF(BQ$4=EDATE('核心假设'!$B$5,7-1+'核心假设'!$B$31),SUM('融资租赁与资金缺口'!$M$5:$M$16)*$T8,0),IF(BQ$4=EDATE('核心假设'!$B$5,8-1+'核心假设'!$B$31),SUM('融资租赁与资金缺口'!$M$5:$M$16)*$U8,0),IF(BQ$4=EDATE('核心假设'!$B$5,9-1+'核心假设'!$B$31),SUM('融资租赁与资金缺口'!$M$5:$M$16)*$V8,0),IF(BQ$4=EDATE('核心假设'!$B$5,10-1+'核心假设'!$B$31),SUM('融资租赁与资金缺口'!$M$5:$M$16)*$W8,0),IF(BQ$4=EDATE('核心假设'!$B$5,11-1+'核心假设'!$B$31),SUM('融资租赁与资金缺口'!$M$5:$M$16)*$X8,0),IF(BQ$4=EDATE('核心假设'!$B$5,12-1+'核心假设'!$B$31),SUM('融资租赁与资金缺口'!$M$5:$M$16)*$Y8,0),IF(BQ$4=EDATE('核心假设'!$B$5,13-1+'核心假设'!$B$31),SUM('融资租赁与资金缺口'!$M$5:$M$16)*$Z8,0),IF(BQ$4=EDATE('核心假设'!$B$5,14-1+'核心假设'!$B$31),SUM('融资租赁与资金缺口'!$M$5:$M$16)*$AA8,0),IF(BQ$4=EDATE('核心假设'!$B$5,15-1+'核心假设'!$B$31),SUM('融资租赁与资金缺口'!$M$5:$M$16)*$AB8,0),IF(BQ$4=EDATE('核心假设'!$B$5,16-1+'核心假设'!$B$31),SUM('融资租赁与资金缺口'!$M$5:$M$16)*$AC8,0),IF(BQ$4=EDATE('核心假设'!$B$5,17-1+'核心假设'!$B$31),SUM('融资租赁与资金缺口'!$M$5:$M$16)*$AD8,0))</x:f>
        <x:v>0</x:v>
      </x:c>
      <x:c r="BR27" s="28" t="n">
        <x:f>SUM(IF(BR$4=EDATE('核心假设'!$B$5,0-1+'核心假设'!$B$31),SUM('融资租赁与资金缺口'!$M$5:$M$16)*$M8,0),IF(BR$4=EDATE('核心假设'!$B$5,1-1+'核心假设'!$B$31),SUM('融资租赁与资金缺口'!$M$5:$M$16)*$N8,0),IF(BR$4=EDATE('核心假设'!$B$5,2-1+'核心假设'!$B$31),SUM('融资租赁与资金缺口'!$M$5:$M$16)*$O8,0),IF(BR$4=EDATE('核心假设'!$B$5,3-1+'核心假设'!$B$31),SUM('融资租赁与资金缺口'!$M$5:$M$16)*$P8,0),IF(BR$4=EDATE('核心假设'!$B$5,4-1+'核心假设'!$B$31),SUM('融资租赁与资金缺口'!$M$5:$M$16)*$Q8,0),IF(BR$4=EDATE('核心假设'!$B$5,5-1+'核心假设'!$B$31),SUM('融资租赁与资金缺口'!$M$5:$M$16)*$R8,0),IF(BR$4=EDATE('核心假设'!$B$5,6-1+'核心假设'!$B$31),SUM('融资租赁与资金缺口'!$M$5:$M$16)*$S8,0),IF(BR$4=EDATE('核心假设'!$B$5,7-1+'核心假设'!$B$31),SUM('融资租赁与资金缺口'!$M$5:$M$16)*$T8,0),IF(BR$4=EDATE('核心假设'!$B$5,8-1+'核心假设'!$B$31),SUM('融资租赁与资金缺口'!$M$5:$M$16)*$U8,0),IF(BR$4=EDATE('核心假设'!$B$5,9-1+'核心假设'!$B$31),SUM('融资租赁与资金缺口'!$M$5:$M$16)*$V8,0),IF(BR$4=EDATE('核心假设'!$B$5,10-1+'核心假设'!$B$31),SUM('融资租赁与资金缺口'!$M$5:$M$16)*$W8,0),IF(BR$4=EDATE('核心假设'!$B$5,11-1+'核心假设'!$B$31),SUM('融资租赁与资金缺口'!$M$5:$M$16)*$X8,0),IF(BR$4=EDATE('核心假设'!$B$5,12-1+'核心假设'!$B$31),SUM('融资租赁与资金缺口'!$M$5:$M$16)*$Y8,0),IF(BR$4=EDATE('核心假设'!$B$5,13-1+'核心假设'!$B$31),SUM('融资租赁与资金缺口'!$M$5:$M$16)*$Z8,0),IF(BR$4=EDATE('核心假设'!$B$5,14-1+'核心假设'!$B$31),SUM('融资租赁与资金缺口'!$M$5:$M$16)*$AA8,0),IF(BR$4=EDATE('核心假设'!$B$5,15-1+'核心假设'!$B$31),SUM('融资租赁与资金缺口'!$M$5:$M$16)*$AB8,0),IF(BR$4=EDATE('核心假设'!$B$5,16-1+'核心假设'!$B$31),SUM('融资租赁与资金缺口'!$M$5:$M$16)*$AC8,0),IF(BR$4=EDATE('核心假设'!$B$5,17-1+'核心假设'!$B$31),SUM('融资租赁与资金缺口'!$M$5:$M$16)*$AD8,0))</x:f>
        <x:v>0</x:v>
      </x:c>
      <x:c r="BS27" s="28" t="n">
        <x:f>SUM(IF(BS$4=EDATE('核心假设'!$B$5,0-1+'核心假设'!$B$31),SUM('融资租赁与资金缺口'!$M$5:$M$16)*$M8,0),IF(BS$4=EDATE('核心假设'!$B$5,1-1+'核心假设'!$B$31),SUM('融资租赁与资金缺口'!$M$5:$M$16)*$N8,0),IF(BS$4=EDATE('核心假设'!$B$5,2-1+'核心假设'!$B$31),SUM('融资租赁与资金缺口'!$M$5:$M$16)*$O8,0),IF(BS$4=EDATE('核心假设'!$B$5,3-1+'核心假设'!$B$31),SUM('融资租赁与资金缺口'!$M$5:$M$16)*$P8,0),IF(BS$4=EDATE('核心假设'!$B$5,4-1+'核心假设'!$B$31),SUM('融资租赁与资金缺口'!$M$5:$M$16)*$Q8,0),IF(BS$4=EDATE('核心假设'!$B$5,5-1+'核心假设'!$B$31),SUM('融资租赁与资金缺口'!$M$5:$M$16)*$R8,0),IF(BS$4=EDATE('核心假设'!$B$5,6-1+'核心假设'!$B$31),SUM('融资租赁与资金缺口'!$M$5:$M$16)*$S8,0),IF(BS$4=EDATE('核心假设'!$B$5,7-1+'核心假设'!$B$31),SUM('融资租赁与资金缺口'!$M$5:$M$16)*$T8,0),IF(BS$4=EDATE('核心假设'!$B$5,8-1+'核心假设'!$B$31),SUM('融资租赁与资金缺口'!$M$5:$M$16)*$U8,0),IF(BS$4=EDATE('核心假设'!$B$5,9-1+'核心假设'!$B$31),SUM('融资租赁与资金缺口'!$M$5:$M$16)*$V8,0),IF(BS$4=EDATE('核心假设'!$B$5,10-1+'核心假设'!$B$31),SUM('融资租赁与资金缺口'!$M$5:$M$16)*$W8,0),IF(BS$4=EDATE('核心假设'!$B$5,11-1+'核心假设'!$B$31),SUM('融资租赁与资金缺口'!$M$5:$M$16)*$X8,0),IF(BS$4=EDATE('核心假设'!$B$5,12-1+'核心假设'!$B$31),SUM('融资租赁与资金缺口'!$M$5:$M$16)*$Y8,0),IF(BS$4=EDATE('核心假设'!$B$5,13-1+'核心假设'!$B$31),SUM('融资租赁与资金缺口'!$M$5:$M$16)*$Z8,0),IF(BS$4=EDATE('核心假设'!$B$5,14-1+'核心假设'!$B$31),SUM('融资租赁与资金缺口'!$M$5:$M$16)*$AA8,0),IF(BS$4=EDATE('核心假设'!$B$5,15-1+'核心假设'!$B$31),SUM('融资租赁与资金缺口'!$M$5:$M$16)*$AB8,0),IF(BS$4=EDATE('核心假设'!$B$5,16-1+'核心假设'!$B$31),SUM('融资租赁与资金缺口'!$M$5:$M$16)*$AC8,0),IF(BS$4=EDATE('核心假设'!$B$5,17-1+'核心假设'!$B$31),SUM('融资租赁与资金缺口'!$M$5:$M$16)*$AD8,0))</x:f>
        <x:v>0</x:v>
      </x:c>
      <x:c r="BT27" s="28" t="n">
        <x:f>SUM(IF(BT$4=EDATE('核心假设'!$B$5,0-1+'核心假设'!$B$31),SUM('融资租赁与资金缺口'!$M$5:$M$16)*$M8,0),IF(BT$4=EDATE('核心假设'!$B$5,1-1+'核心假设'!$B$31),SUM('融资租赁与资金缺口'!$M$5:$M$16)*$N8,0),IF(BT$4=EDATE('核心假设'!$B$5,2-1+'核心假设'!$B$31),SUM('融资租赁与资金缺口'!$M$5:$M$16)*$O8,0),IF(BT$4=EDATE('核心假设'!$B$5,3-1+'核心假设'!$B$31),SUM('融资租赁与资金缺口'!$M$5:$M$16)*$P8,0),IF(BT$4=EDATE('核心假设'!$B$5,4-1+'核心假设'!$B$31),SUM('融资租赁与资金缺口'!$M$5:$M$16)*$Q8,0),IF(BT$4=EDATE('核心假设'!$B$5,5-1+'核心假设'!$B$31),SUM('融资租赁与资金缺口'!$M$5:$M$16)*$R8,0),IF(BT$4=EDATE('核心假设'!$B$5,6-1+'核心假设'!$B$31),SUM('融资租赁与资金缺口'!$M$5:$M$16)*$S8,0),IF(BT$4=EDATE('核心假设'!$B$5,7-1+'核心假设'!$B$31),SUM('融资租赁与资金缺口'!$M$5:$M$16)*$T8,0),IF(BT$4=EDATE('核心假设'!$B$5,8-1+'核心假设'!$B$31),SUM('融资租赁与资金缺口'!$M$5:$M$16)*$U8,0),IF(BT$4=EDATE('核心假设'!$B$5,9-1+'核心假设'!$B$31),SUM('融资租赁与资金缺口'!$M$5:$M$16)*$V8,0),IF(BT$4=EDATE('核心假设'!$B$5,10-1+'核心假设'!$B$31),SUM('融资租赁与资金缺口'!$M$5:$M$16)*$W8,0),IF(BT$4=EDATE('核心假设'!$B$5,11-1+'核心假设'!$B$31),SUM('融资租赁与资金缺口'!$M$5:$M$16)*$X8,0),IF(BT$4=EDATE('核心假设'!$B$5,12-1+'核心假设'!$B$31),SUM('融资租赁与资金缺口'!$M$5:$M$16)*$Y8,0),IF(BT$4=EDATE('核心假设'!$B$5,13-1+'核心假设'!$B$31),SUM('融资租赁与资金缺口'!$M$5:$M$16)*$Z8,0),IF(BT$4=EDATE('核心假设'!$B$5,14-1+'核心假设'!$B$31),SUM('融资租赁与资金缺口'!$M$5:$M$16)*$AA8,0),IF(BT$4=EDATE('核心假设'!$B$5,15-1+'核心假设'!$B$31),SUM('融资租赁与资金缺口'!$M$5:$M$16)*$AB8,0),IF(BT$4=EDATE('核心假设'!$B$5,16-1+'核心假设'!$B$31),SUM('融资租赁与资金缺口'!$M$5:$M$16)*$AC8,0),IF(BT$4=EDATE('核心假设'!$B$5,17-1+'核心假设'!$B$31),SUM('融资租赁与资金缺口'!$M$5:$M$16)*$AD8,0))</x:f>
        <x:v>0</x:v>
      </x:c>
      <x:c r="BU27" s="28" t="n">
        <x:f>SUM(IF(BU$4=EDATE('核心假设'!$B$5,0-1+'核心假设'!$B$31),SUM('融资租赁与资金缺口'!$M$5:$M$16)*$M8,0),IF(BU$4=EDATE('核心假设'!$B$5,1-1+'核心假设'!$B$31),SUM('融资租赁与资金缺口'!$M$5:$M$16)*$N8,0),IF(BU$4=EDATE('核心假设'!$B$5,2-1+'核心假设'!$B$31),SUM('融资租赁与资金缺口'!$M$5:$M$16)*$O8,0),IF(BU$4=EDATE('核心假设'!$B$5,3-1+'核心假设'!$B$31),SUM('融资租赁与资金缺口'!$M$5:$M$16)*$P8,0),IF(BU$4=EDATE('核心假设'!$B$5,4-1+'核心假设'!$B$31),SUM('融资租赁与资金缺口'!$M$5:$M$16)*$Q8,0),IF(BU$4=EDATE('核心假设'!$B$5,5-1+'核心假设'!$B$31),SUM('融资租赁与资金缺口'!$M$5:$M$16)*$R8,0),IF(BU$4=EDATE('核心假设'!$B$5,6-1+'核心假设'!$B$31),SUM('融资租赁与资金缺口'!$M$5:$M$16)*$S8,0),IF(BU$4=EDATE('核心假设'!$B$5,7-1+'核心假设'!$B$31),SUM('融资租赁与资金缺口'!$M$5:$M$16)*$T8,0),IF(BU$4=EDATE('核心假设'!$B$5,8-1+'核心假设'!$B$31),SUM('融资租赁与资金缺口'!$M$5:$M$16)*$U8,0),IF(BU$4=EDATE('核心假设'!$B$5,9-1+'核心假设'!$B$31),SUM('融资租赁与资金缺口'!$M$5:$M$16)*$V8,0),IF(BU$4=EDATE('核心假设'!$B$5,10-1+'核心假设'!$B$31),SUM('融资租赁与资金缺口'!$M$5:$M$16)*$W8,0),IF(BU$4=EDATE('核心假设'!$B$5,11-1+'核心假设'!$B$31),SUM('融资租赁与资金缺口'!$M$5:$M$16)*$X8,0),IF(BU$4=EDATE('核心假设'!$B$5,12-1+'核心假设'!$B$31),SUM('融资租赁与资金缺口'!$M$5:$M$16)*$Y8,0),IF(BU$4=EDATE('核心假设'!$B$5,13-1+'核心假设'!$B$31),SUM('融资租赁与资金缺口'!$M$5:$M$16)*$Z8,0),IF(BU$4=EDATE('核心假设'!$B$5,14-1+'核心假设'!$B$31),SUM('融资租赁与资金缺口'!$M$5:$M$16)*$AA8,0),IF(BU$4=EDATE('核心假设'!$B$5,15-1+'核心假设'!$B$31),SUM('融资租赁与资金缺口'!$M$5:$M$16)*$AB8,0),IF(BU$4=EDATE('核心假设'!$B$5,16-1+'核心假设'!$B$31),SUM('融资租赁与资金缺口'!$M$5:$M$16)*$AC8,0),IF(BU$4=EDATE('核心假设'!$B$5,17-1+'核心假设'!$B$31),SUM('融资租赁与资金缺口'!$M$5:$M$16)*$AD8,0))</x:f>
        <x:v>0</x:v>
      </x:c>
      <x:c r="BV27" s="28" t="n">
        <x:f>SUM(IF(BV$4=EDATE('核心假设'!$B$5,0-1+'核心假设'!$B$31),SUM('融资租赁与资金缺口'!$M$5:$M$16)*$M8,0),IF(BV$4=EDATE('核心假设'!$B$5,1-1+'核心假设'!$B$31),SUM('融资租赁与资金缺口'!$M$5:$M$16)*$N8,0),IF(BV$4=EDATE('核心假设'!$B$5,2-1+'核心假设'!$B$31),SUM('融资租赁与资金缺口'!$M$5:$M$16)*$O8,0),IF(BV$4=EDATE('核心假设'!$B$5,3-1+'核心假设'!$B$31),SUM('融资租赁与资金缺口'!$M$5:$M$16)*$P8,0),IF(BV$4=EDATE('核心假设'!$B$5,4-1+'核心假设'!$B$31),SUM('融资租赁与资金缺口'!$M$5:$M$16)*$Q8,0),IF(BV$4=EDATE('核心假设'!$B$5,5-1+'核心假设'!$B$31),SUM('融资租赁与资金缺口'!$M$5:$M$16)*$R8,0),IF(BV$4=EDATE('核心假设'!$B$5,6-1+'核心假设'!$B$31),SUM('融资租赁与资金缺口'!$M$5:$M$16)*$S8,0),IF(BV$4=EDATE('核心假设'!$B$5,7-1+'核心假设'!$B$31),SUM('融资租赁与资金缺口'!$M$5:$M$16)*$T8,0),IF(BV$4=EDATE('核心假设'!$B$5,8-1+'核心假设'!$B$31),SUM('融资租赁与资金缺口'!$M$5:$M$16)*$U8,0),IF(BV$4=EDATE('核心假设'!$B$5,9-1+'核心假设'!$B$31),SUM('融资租赁与资金缺口'!$M$5:$M$16)*$V8,0),IF(BV$4=EDATE('核心假设'!$B$5,10-1+'核心假设'!$B$31),SUM('融资租赁与资金缺口'!$M$5:$M$16)*$W8,0),IF(BV$4=EDATE('核心假设'!$B$5,11-1+'核心假设'!$B$31),SUM('融资租赁与资金缺口'!$M$5:$M$16)*$X8,0),IF(BV$4=EDATE('核心假设'!$B$5,12-1+'核心假设'!$B$31),SUM('融资租赁与资金缺口'!$M$5:$M$16)*$Y8,0),IF(BV$4=EDATE('核心假设'!$B$5,13-1+'核心假设'!$B$31),SUM('融资租赁与资金缺口'!$M$5:$M$16)*$Z8,0),IF(BV$4=EDATE('核心假设'!$B$5,14-1+'核心假设'!$B$31),SUM('融资租赁与资金缺口'!$M$5:$M$16)*$AA8,0),IF(BV$4=EDATE('核心假设'!$B$5,15-1+'核心假设'!$B$31),SUM('融资租赁与资金缺口'!$M$5:$M$16)*$AB8,0),IF(BV$4=EDATE('核心假设'!$B$5,16-1+'核心假设'!$B$31),SUM('融资租赁与资金缺口'!$M$5:$M$16)*$AC8,0),IF(BV$4=EDATE('核心假设'!$B$5,17-1+'核心假设'!$B$31),SUM('融资租赁与资金缺口'!$M$5:$M$16)*$AD8,0))</x:f>
        <x:v>0</x:v>
      </x:c>
      <x:c r="BW27" s="28" t="n">
        <x:f>SUM(IF(BW$4=EDATE('核心假设'!$B$5,0-1+'核心假设'!$B$31),SUM('融资租赁与资金缺口'!$M$5:$M$16)*$M8,0),IF(BW$4=EDATE('核心假设'!$B$5,1-1+'核心假设'!$B$31),SUM('融资租赁与资金缺口'!$M$5:$M$16)*$N8,0),IF(BW$4=EDATE('核心假设'!$B$5,2-1+'核心假设'!$B$31),SUM('融资租赁与资金缺口'!$M$5:$M$16)*$O8,0),IF(BW$4=EDATE('核心假设'!$B$5,3-1+'核心假设'!$B$31),SUM('融资租赁与资金缺口'!$M$5:$M$16)*$P8,0),IF(BW$4=EDATE('核心假设'!$B$5,4-1+'核心假设'!$B$31),SUM('融资租赁与资金缺口'!$M$5:$M$16)*$Q8,0),IF(BW$4=EDATE('核心假设'!$B$5,5-1+'核心假设'!$B$31),SUM('融资租赁与资金缺口'!$M$5:$M$16)*$R8,0),IF(BW$4=EDATE('核心假设'!$B$5,6-1+'核心假设'!$B$31),SUM('融资租赁与资金缺口'!$M$5:$M$16)*$S8,0),IF(BW$4=EDATE('核心假设'!$B$5,7-1+'核心假设'!$B$31),SUM('融资租赁与资金缺口'!$M$5:$M$16)*$T8,0),IF(BW$4=EDATE('核心假设'!$B$5,8-1+'核心假设'!$B$31),SUM('融资租赁与资金缺口'!$M$5:$M$16)*$U8,0),IF(BW$4=EDATE('核心假设'!$B$5,9-1+'核心假设'!$B$31),SUM('融资租赁与资金缺口'!$M$5:$M$16)*$V8,0),IF(BW$4=EDATE('核心假设'!$B$5,10-1+'核心假设'!$B$31),SUM('融资租赁与资金缺口'!$M$5:$M$16)*$W8,0),IF(BW$4=EDATE('核心假设'!$B$5,11-1+'核心假设'!$B$31),SUM('融资租赁与资金缺口'!$M$5:$M$16)*$X8,0),IF(BW$4=EDATE('核心假设'!$B$5,12-1+'核心假设'!$B$31),SUM('融资租赁与资金缺口'!$M$5:$M$16)*$Y8,0),IF(BW$4=EDATE('核心假设'!$B$5,13-1+'核心假设'!$B$31),SUM('融资租赁与资金缺口'!$M$5:$M$16)*$Z8,0),IF(BW$4=EDATE('核心假设'!$B$5,14-1+'核心假设'!$B$31),SUM('融资租赁与资金缺口'!$M$5:$M$16)*$AA8,0),IF(BW$4=EDATE('核心假设'!$B$5,15-1+'核心假设'!$B$31),SUM('融资租赁与资金缺口'!$M$5:$M$16)*$AB8,0),IF(BW$4=EDATE('核心假设'!$B$5,16-1+'核心假设'!$B$31),SUM('融资租赁与资金缺口'!$M$5:$M$16)*$AC8,0),IF(BW$4=EDATE('核心假设'!$B$5,17-1+'核心假设'!$B$31),SUM('融资租赁与资金缺口'!$M$5:$M$16)*$AD8,0))</x:f>
        <x:v>0</x:v>
      </x:c>
      <x:c r="BX27" s="28" t="n">
        <x:f>SUM(IF(BX$4=EDATE('核心假设'!$B$5,0-1+'核心假设'!$B$31),SUM('融资租赁与资金缺口'!$M$5:$M$16)*$M8,0),IF(BX$4=EDATE('核心假设'!$B$5,1-1+'核心假设'!$B$31),SUM('融资租赁与资金缺口'!$M$5:$M$16)*$N8,0),IF(BX$4=EDATE('核心假设'!$B$5,2-1+'核心假设'!$B$31),SUM('融资租赁与资金缺口'!$M$5:$M$16)*$O8,0),IF(BX$4=EDATE('核心假设'!$B$5,3-1+'核心假设'!$B$31),SUM('融资租赁与资金缺口'!$M$5:$M$16)*$P8,0),IF(BX$4=EDATE('核心假设'!$B$5,4-1+'核心假设'!$B$31),SUM('融资租赁与资金缺口'!$M$5:$M$16)*$Q8,0),IF(BX$4=EDATE('核心假设'!$B$5,5-1+'核心假设'!$B$31),SUM('融资租赁与资金缺口'!$M$5:$M$16)*$R8,0),IF(BX$4=EDATE('核心假设'!$B$5,6-1+'核心假设'!$B$31),SUM('融资租赁与资金缺口'!$M$5:$M$16)*$S8,0),IF(BX$4=EDATE('核心假设'!$B$5,7-1+'核心假设'!$B$31),SUM('融资租赁与资金缺口'!$M$5:$M$16)*$T8,0),IF(BX$4=EDATE('核心假设'!$B$5,8-1+'核心假设'!$B$31),SUM('融资租赁与资金缺口'!$M$5:$M$16)*$U8,0),IF(BX$4=EDATE('核心假设'!$B$5,9-1+'核心假设'!$B$31),SUM('融资租赁与资金缺口'!$M$5:$M$16)*$V8,0),IF(BX$4=EDATE('核心假设'!$B$5,10-1+'核心假设'!$B$31),SUM('融资租赁与资金缺口'!$M$5:$M$16)*$W8,0),IF(BX$4=EDATE('核心假设'!$B$5,11-1+'核心假设'!$B$31),SUM('融资租赁与资金缺口'!$M$5:$M$16)*$X8,0),IF(BX$4=EDATE('核心假设'!$B$5,12-1+'核心假设'!$B$31),SUM('融资租赁与资金缺口'!$M$5:$M$16)*$Y8,0),IF(BX$4=EDATE('核心假设'!$B$5,13-1+'核心假设'!$B$31),SUM('融资租赁与资金缺口'!$M$5:$M$16)*$Z8,0),IF(BX$4=EDATE('核心假设'!$B$5,14-1+'核心假设'!$B$31),SUM('融资租赁与资金缺口'!$M$5:$M$16)*$AA8,0),IF(BX$4=EDATE('核心假设'!$B$5,15-1+'核心假设'!$B$31),SUM('融资租赁与资金缺口'!$M$5:$M$16)*$AB8,0),IF(BX$4=EDATE('核心假设'!$B$5,16-1+'核心假设'!$B$31),SUM('融资租赁与资金缺口'!$M$5:$M$16)*$AC8,0),IF(BX$4=EDATE('核心假设'!$B$5,17-1+'核心假设'!$B$31),SUM('融资租赁与资金缺口'!$M$5:$M$16)*$AD8,0))</x:f>
        <x:v>0</x:v>
      </x:c>
      <x:c r="BY27" s="28" t="n">
        <x:f>SUM(IF(BY$4=EDATE('核心假设'!$B$5,0-1+'核心假设'!$B$31),SUM('融资租赁与资金缺口'!$M$5:$M$16)*$M8,0),IF(BY$4=EDATE('核心假设'!$B$5,1-1+'核心假设'!$B$31),SUM('融资租赁与资金缺口'!$M$5:$M$16)*$N8,0),IF(BY$4=EDATE('核心假设'!$B$5,2-1+'核心假设'!$B$31),SUM('融资租赁与资金缺口'!$M$5:$M$16)*$O8,0),IF(BY$4=EDATE('核心假设'!$B$5,3-1+'核心假设'!$B$31),SUM('融资租赁与资金缺口'!$M$5:$M$16)*$P8,0),IF(BY$4=EDATE('核心假设'!$B$5,4-1+'核心假设'!$B$31),SUM('融资租赁与资金缺口'!$M$5:$M$16)*$Q8,0),IF(BY$4=EDATE('核心假设'!$B$5,5-1+'核心假设'!$B$31),SUM('融资租赁与资金缺口'!$M$5:$M$16)*$R8,0),IF(BY$4=EDATE('核心假设'!$B$5,6-1+'核心假设'!$B$31),SUM('融资租赁与资金缺口'!$M$5:$M$16)*$S8,0),IF(BY$4=EDATE('核心假设'!$B$5,7-1+'核心假设'!$B$31),SUM('融资租赁与资金缺口'!$M$5:$M$16)*$T8,0),IF(BY$4=EDATE('核心假设'!$B$5,8-1+'核心假设'!$B$31),SUM('融资租赁与资金缺口'!$M$5:$M$16)*$U8,0),IF(BY$4=EDATE('核心假设'!$B$5,9-1+'核心假设'!$B$31),SUM('融资租赁与资金缺口'!$M$5:$M$16)*$V8,0),IF(BY$4=EDATE('核心假设'!$B$5,10-1+'核心假设'!$B$31),SUM('融资租赁与资金缺口'!$M$5:$M$16)*$W8,0),IF(BY$4=EDATE('核心假设'!$B$5,11-1+'核心假设'!$B$31),SUM('融资租赁与资金缺口'!$M$5:$M$16)*$X8,0),IF(BY$4=EDATE('核心假设'!$B$5,12-1+'核心假设'!$B$31),SUM('融资租赁与资金缺口'!$M$5:$M$16)*$Y8,0),IF(BY$4=EDATE('核心假设'!$B$5,13-1+'核心假设'!$B$31),SUM('融资租赁与资金缺口'!$M$5:$M$16)*$Z8,0),IF(BY$4=EDATE('核心假设'!$B$5,14-1+'核心假设'!$B$31),SUM('融资租赁与资金缺口'!$M$5:$M$16)*$AA8,0),IF(BY$4=EDATE('核心假设'!$B$5,15-1+'核心假设'!$B$31),SUM('融资租赁与资金缺口'!$M$5:$M$16)*$AB8,0),IF(BY$4=EDATE('核心假设'!$B$5,16-1+'核心假设'!$B$31),SUM('融资租赁与资金缺口'!$M$5:$M$16)*$AC8,0),IF(BY$4=EDATE('核心假设'!$B$5,17-1+'核心假设'!$B$31),SUM('融资租赁与资金缺口'!$M$5:$M$16)*$AD8,0))</x:f>
        <x:v>0</x:v>
      </x:c>
      <x:c r="BZ27" s="28" t="n">
        <x:f>SUM(IF(BZ$4=EDATE('核心假设'!$B$5,0-1+'核心假设'!$B$31),SUM('融资租赁与资金缺口'!$M$5:$M$16)*$M8,0),IF(BZ$4=EDATE('核心假设'!$B$5,1-1+'核心假设'!$B$31),SUM('融资租赁与资金缺口'!$M$5:$M$16)*$N8,0),IF(BZ$4=EDATE('核心假设'!$B$5,2-1+'核心假设'!$B$31),SUM('融资租赁与资金缺口'!$M$5:$M$16)*$O8,0),IF(BZ$4=EDATE('核心假设'!$B$5,3-1+'核心假设'!$B$31),SUM('融资租赁与资金缺口'!$M$5:$M$16)*$P8,0),IF(BZ$4=EDATE('核心假设'!$B$5,4-1+'核心假设'!$B$31),SUM('融资租赁与资金缺口'!$M$5:$M$16)*$Q8,0),IF(BZ$4=EDATE('核心假设'!$B$5,5-1+'核心假设'!$B$31),SUM('融资租赁与资金缺口'!$M$5:$M$16)*$R8,0),IF(BZ$4=EDATE('核心假设'!$B$5,6-1+'核心假设'!$B$31),SUM('融资租赁与资金缺口'!$M$5:$M$16)*$S8,0),IF(BZ$4=EDATE('核心假设'!$B$5,7-1+'核心假设'!$B$31),SUM('融资租赁与资金缺口'!$M$5:$M$16)*$T8,0),IF(BZ$4=EDATE('核心假设'!$B$5,8-1+'核心假设'!$B$31),SUM('融资租赁与资金缺口'!$M$5:$M$16)*$U8,0),IF(BZ$4=EDATE('核心假设'!$B$5,9-1+'核心假设'!$B$31),SUM('融资租赁与资金缺口'!$M$5:$M$16)*$V8,0),IF(BZ$4=EDATE('核心假设'!$B$5,10-1+'核心假设'!$B$31),SUM('融资租赁与资金缺口'!$M$5:$M$16)*$W8,0),IF(BZ$4=EDATE('核心假设'!$B$5,11-1+'核心假设'!$B$31),SUM('融资租赁与资金缺口'!$M$5:$M$16)*$X8,0),IF(BZ$4=EDATE('核心假设'!$B$5,12-1+'核心假设'!$B$31),SUM('融资租赁与资金缺口'!$M$5:$M$16)*$Y8,0),IF(BZ$4=EDATE('核心假设'!$B$5,13-1+'核心假设'!$B$31),SUM('融资租赁与资金缺口'!$M$5:$M$16)*$Z8,0),IF(BZ$4=EDATE('核心假设'!$B$5,14-1+'核心假设'!$B$31),SUM('融资租赁与资金缺口'!$M$5:$M$16)*$AA8,0),IF(BZ$4=EDATE('核心假设'!$B$5,15-1+'核心假设'!$B$31),SUM('融资租赁与资金缺口'!$M$5:$M$16)*$AB8,0),IF(BZ$4=EDATE('核心假设'!$B$5,16-1+'核心假设'!$B$31),SUM('融资租赁与资金缺口'!$M$5:$M$16)*$AC8,0),IF(BZ$4=EDATE('核心假设'!$B$5,17-1+'核心假设'!$B$31),SUM('融资租赁与资金缺口'!$M$5:$M$16)*$AD8,0))</x:f>
        <x:v>0</x:v>
      </x:c>
      <x:c r="CA27" s="28" t="n">
        <x:f>SUM(IF(CA$4=EDATE('核心假设'!$B$5,0-1+'核心假设'!$B$31),SUM('融资租赁与资金缺口'!$M$5:$M$16)*$M8,0),IF(CA$4=EDATE('核心假设'!$B$5,1-1+'核心假设'!$B$31),SUM('融资租赁与资金缺口'!$M$5:$M$16)*$N8,0),IF(CA$4=EDATE('核心假设'!$B$5,2-1+'核心假设'!$B$31),SUM('融资租赁与资金缺口'!$M$5:$M$16)*$O8,0),IF(CA$4=EDATE('核心假设'!$B$5,3-1+'核心假设'!$B$31),SUM('融资租赁与资金缺口'!$M$5:$M$16)*$P8,0),IF(CA$4=EDATE('核心假设'!$B$5,4-1+'核心假设'!$B$31),SUM('融资租赁与资金缺口'!$M$5:$M$16)*$Q8,0),IF(CA$4=EDATE('核心假设'!$B$5,5-1+'核心假设'!$B$31),SUM('融资租赁与资金缺口'!$M$5:$M$16)*$R8,0),IF(CA$4=EDATE('核心假设'!$B$5,6-1+'核心假设'!$B$31),SUM('融资租赁与资金缺口'!$M$5:$M$16)*$S8,0),IF(CA$4=EDATE('核心假设'!$B$5,7-1+'核心假设'!$B$31),SUM('融资租赁与资金缺口'!$M$5:$M$16)*$T8,0),IF(CA$4=EDATE('核心假设'!$B$5,8-1+'核心假设'!$B$31),SUM('融资租赁与资金缺口'!$M$5:$M$16)*$U8,0),IF(CA$4=EDATE('核心假设'!$B$5,9-1+'核心假设'!$B$31),SUM('融资租赁与资金缺口'!$M$5:$M$16)*$V8,0),IF(CA$4=EDATE('核心假设'!$B$5,10-1+'核心假设'!$B$31),SUM('融资租赁与资金缺口'!$M$5:$M$16)*$W8,0),IF(CA$4=EDATE('核心假设'!$B$5,11-1+'核心假设'!$B$31),SUM('融资租赁与资金缺口'!$M$5:$M$16)*$X8,0),IF(CA$4=EDATE('核心假设'!$B$5,12-1+'核心假设'!$B$31),SUM('融资租赁与资金缺口'!$M$5:$M$16)*$Y8,0),IF(CA$4=EDATE('核心假设'!$B$5,13-1+'核心假设'!$B$31),SUM('融资租赁与资金缺口'!$M$5:$M$16)*$Z8,0),IF(CA$4=EDATE('核心假设'!$B$5,14-1+'核心假设'!$B$31),SUM('融资租赁与资金缺口'!$M$5:$M$16)*$AA8,0),IF(CA$4=EDATE('核心假设'!$B$5,15-1+'核心假设'!$B$31),SUM('融资租赁与资金缺口'!$M$5:$M$16)*$AB8,0),IF(CA$4=EDATE('核心假设'!$B$5,16-1+'核心假设'!$B$31),SUM('融资租赁与资金缺口'!$M$5:$M$16)*$AC8,0),IF(CA$4=EDATE('核心假设'!$B$5,17-1+'核心假设'!$B$31),SUM('融资租赁与资金缺口'!$M$5:$M$16)*$AD8,0))</x:f>
        <x:v>0</x:v>
      </x:c>
      <x:c r="CB27" s="28" t="n">
        <x:f>SUM(IF(CB$4=EDATE('核心假设'!$B$5,0-1+'核心假设'!$B$31),SUM('融资租赁与资金缺口'!$M$5:$M$16)*$M8,0),IF(CB$4=EDATE('核心假设'!$B$5,1-1+'核心假设'!$B$31),SUM('融资租赁与资金缺口'!$M$5:$M$16)*$N8,0),IF(CB$4=EDATE('核心假设'!$B$5,2-1+'核心假设'!$B$31),SUM('融资租赁与资金缺口'!$M$5:$M$16)*$O8,0),IF(CB$4=EDATE('核心假设'!$B$5,3-1+'核心假设'!$B$31),SUM('融资租赁与资金缺口'!$M$5:$M$16)*$P8,0),IF(CB$4=EDATE('核心假设'!$B$5,4-1+'核心假设'!$B$31),SUM('融资租赁与资金缺口'!$M$5:$M$16)*$Q8,0),IF(CB$4=EDATE('核心假设'!$B$5,5-1+'核心假设'!$B$31),SUM('融资租赁与资金缺口'!$M$5:$M$16)*$R8,0),IF(CB$4=EDATE('核心假设'!$B$5,6-1+'核心假设'!$B$31),SUM('融资租赁与资金缺口'!$M$5:$M$16)*$S8,0),IF(CB$4=EDATE('核心假设'!$B$5,7-1+'核心假设'!$B$31),SUM('融资租赁与资金缺口'!$M$5:$M$16)*$T8,0),IF(CB$4=EDATE('核心假设'!$B$5,8-1+'核心假设'!$B$31),SUM('融资租赁与资金缺口'!$M$5:$M$16)*$U8,0),IF(CB$4=EDATE('核心假设'!$B$5,9-1+'核心假设'!$B$31),SUM('融资租赁与资金缺口'!$M$5:$M$16)*$V8,0),IF(CB$4=EDATE('核心假设'!$B$5,10-1+'核心假设'!$B$31),SUM('融资租赁与资金缺口'!$M$5:$M$16)*$W8,0),IF(CB$4=EDATE('核心假设'!$B$5,11-1+'核心假设'!$B$31),SUM('融资租赁与资金缺口'!$M$5:$M$16)*$X8,0),IF(CB$4=EDATE('核心假设'!$B$5,12-1+'核心假设'!$B$31),SUM('融资租赁与资金缺口'!$M$5:$M$16)*$Y8,0),IF(CB$4=EDATE('核心假设'!$B$5,13-1+'核心假设'!$B$31),SUM('融资租赁与资金缺口'!$M$5:$M$16)*$Z8,0),IF(CB$4=EDATE('核心假设'!$B$5,14-1+'核心假设'!$B$31),SUM('融资租赁与资金缺口'!$M$5:$M$16)*$AA8,0),IF(CB$4=EDATE('核心假设'!$B$5,15-1+'核心假设'!$B$31),SUM('融资租赁与资金缺口'!$M$5:$M$16)*$AB8,0),IF(CB$4=EDATE('核心假设'!$B$5,16-1+'核心假设'!$B$31),SUM('融资租赁与资金缺口'!$M$5:$M$16)*$AC8,0),IF(CB$4=EDATE('核心假设'!$B$5,17-1+'核心假设'!$B$31),SUM('融资租赁与资金缺口'!$M$5:$M$16)*$AD8,0))</x:f>
        <x:v>0</x:v>
      </x:c>
      <x:c r="CC27" s="28" t="n">
        <x:f>SUM(IF(CC$4=EDATE('核心假设'!$B$5,0-1+'核心假设'!$B$31),SUM('融资租赁与资金缺口'!$M$5:$M$16)*$M8,0),IF(CC$4=EDATE('核心假设'!$B$5,1-1+'核心假设'!$B$31),SUM('融资租赁与资金缺口'!$M$5:$M$16)*$N8,0),IF(CC$4=EDATE('核心假设'!$B$5,2-1+'核心假设'!$B$31),SUM('融资租赁与资金缺口'!$M$5:$M$16)*$O8,0),IF(CC$4=EDATE('核心假设'!$B$5,3-1+'核心假设'!$B$31),SUM('融资租赁与资金缺口'!$M$5:$M$16)*$P8,0),IF(CC$4=EDATE('核心假设'!$B$5,4-1+'核心假设'!$B$31),SUM('融资租赁与资金缺口'!$M$5:$M$16)*$Q8,0),IF(CC$4=EDATE('核心假设'!$B$5,5-1+'核心假设'!$B$31),SUM('融资租赁与资金缺口'!$M$5:$M$16)*$R8,0),IF(CC$4=EDATE('核心假设'!$B$5,6-1+'核心假设'!$B$31),SUM('融资租赁与资金缺口'!$M$5:$M$16)*$S8,0),IF(CC$4=EDATE('核心假设'!$B$5,7-1+'核心假设'!$B$31),SUM('融资租赁与资金缺口'!$M$5:$M$16)*$T8,0),IF(CC$4=EDATE('核心假设'!$B$5,8-1+'核心假设'!$B$31),SUM('融资租赁与资金缺口'!$M$5:$M$16)*$U8,0),IF(CC$4=EDATE('核心假设'!$B$5,9-1+'核心假设'!$B$31),SUM('融资租赁与资金缺口'!$M$5:$M$16)*$V8,0),IF(CC$4=EDATE('核心假设'!$B$5,10-1+'核心假设'!$B$31),SUM('融资租赁与资金缺口'!$M$5:$M$16)*$W8,0),IF(CC$4=EDATE('核心假设'!$B$5,11-1+'核心假设'!$B$31),SUM('融资租赁与资金缺口'!$M$5:$M$16)*$X8,0),IF(CC$4=EDATE('核心假设'!$B$5,12-1+'核心假设'!$B$31),SUM('融资租赁与资金缺口'!$M$5:$M$16)*$Y8,0),IF(CC$4=EDATE('核心假设'!$B$5,13-1+'核心假设'!$B$31),SUM('融资租赁与资金缺口'!$M$5:$M$16)*$Z8,0),IF(CC$4=EDATE('核心假设'!$B$5,14-1+'核心假设'!$B$31),SUM('融资租赁与资金缺口'!$M$5:$M$16)*$AA8,0),IF(CC$4=EDATE('核心假设'!$B$5,15-1+'核心假设'!$B$31),SUM('融资租赁与资金缺口'!$M$5:$M$16)*$AB8,0),IF(CC$4=EDATE('核心假设'!$B$5,16-1+'核心假设'!$B$31),SUM('融资租赁与资金缺口'!$M$5:$M$16)*$AC8,0),IF(CC$4=EDATE('核心假设'!$B$5,17-1+'核心假设'!$B$31),SUM('融资租赁与资金缺口'!$M$5:$M$16)*$AD8,0))</x:f>
        <x:v>0</x:v>
      </x:c>
      <x:c r="CD27" s="28" t="n">
        <x:f>SUM(IF(CD$4=EDATE('核心假设'!$B$5,0-1+'核心假设'!$B$31),SUM('融资租赁与资金缺口'!$M$5:$M$16)*$M8,0),IF(CD$4=EDATE('核心假设'!$B$5,1-1+'核心假设'!$B$31),SUM('融资租赁与资金缺口'!$M$5:$M$16)*$N8,0),IF(CD$4=EDATE('核心假设'!$B$5,2-1+'核心假设'!$B$31),SUM('融资租赁与资金缺口'!$M$5:$M$16)*$O8,0),IF(CD$4=EDATE('核心假设'!$B$5,3-1+'核心假设'!$B$31),SUM('融资租赁与资金缺口'!$M$5:$M$16)*$P8,0),IF(CD$4=EDATE('核心假设'!$B$5,4-1+'核心假设'!$B$31),SUM('融资租赁与资金缺口'!$M$5:$M$16)*$Q8,0),IF(CD$4=EDATE('核心假设'!$B$5,5-1+'核心假设'!$B$31),SUM('融资租赁与资金缺口'!$M$5:$M$16)*$R8,0),IF(CD$4=EDATE('核心假设'!$B$5,6-1+'核心假设'!$B$31),SUM('融资租赁与资金缺口'!$M$5:$M$16)*$S8,0),IF(CD$4=EDATE('核心假设'!$B$5,7-1+'核心假设'!$B$31),SUM('融资租赁与资金缺口'!$M$5:$M$16)*$T8,0),IF(CD$4=EDATE('核心假设'!$B$5,8-1+'核心假设'!$B$31),SUM('融资租赁与资金缺口'!$M$5:$M$16)*$U8,0),IF(CD$4=EDATE('核心假设'!$B$5,9-1+'核心假设'!$B$31),SUM('融资租赁与资金缺口'!$M$5:$M$16)*$V8,0),IF(CD$4=EDATE('核心假设'!$B$5,10-1+'核心假设'!$B$31),SUM('融资租赁与资金缺口'!$M$5:$M$16)*$W8,0),IF(CD$4=EDATE('核心假设'!$B$5,11-1+'核心假设'!$B$31),SUM('融资租赁与资金缺口'!$M$5:$M$16)*$X8,0),IF(CD$4=EDATE('核心假设'!$B$5,12-1+'核心假设'!$B$31),SUM('融资租赁与资金缺口'!$M$5:$M$16)*$Y8,0),IF(CD$4=EDATE('核心假设'!$B$5,13-1+'核心假设'!$B$31),SUM('融资租赁与资金缺口'!$M$5:$M$16)*$Z8,0),IF(CD$4=EDATE('核心假设'!$B$5,14-1+'核心假设'!$B$31),SUM('融资租赁与资金缺口'!$M$5:$M$16)*$AA8,0),IF(CD$4=EDATE('核心假设'!$B$5,15-1+'核心假设'!$B$31),SUM('融资租赁与资金缺口'!$M$5:$M$16)*$AB8,0),IF(CD$4=EDATE('核心假设'!$B$5,16-1+'核心假设'!$B$31),SUM('融资租赁与资金缺口'!$M$5:$M$16)*$AC8,0),IF(CD$4=EDATE('核心假设'!$B$5,17-1+'核心假设'!$B$31),SUM('融资租赁与资金缺口'!$M$5:$M$16)*$AD8,0))</x:f>
        <x:v>0</x:v>
      </x:c>
      <x:c r="CE27" s="28" t="n">
        <x:f>SUM(IF(CE$4=EDATE('核心假设'!$B$5,0-1+'核心假设'!$B$31),SUM('融资租赁与资金缺口'!$M$5:$M$16)*$M8,0),IF(CE$4=EDATE('核心假设'!$B$5,1-1+'核心假设'!$B$31),SUM('融资租赁与资金缺口'!$M$5:$M$16)*$N8,0),IF(CE$4=EDATE('核心假设'!$B$5,2-1+'核心假设'!$B$31),SUM('融资租赁与资金缺口'!$M$5:$M$16)*$O8,0),IF(CE$4=EDATE('核心假设'!$B$5,3-1+'核心假设'!$B$31),SUM('融资租赁与资金缺口'!$M$5:$M$16)*$P8,0),IF(CE$4=EDATE('核心假设'!$B$5,4-1+'核心假设'!$B$31),SUM('融资租赁与资金缺口'!$M$5:$M$16)*$Q8,0),IF(CE$4=EDATE('核心假设'!$B$5,5-1+'核心假设'!$B$31),SUM('融资租赁与资金缺口'!$M$5:$M$16)*$R8,0),IF(CE$4=EDATE('核心假设'!$B$5,6-1+'核心假设'!$B$31),SUM('融资租赁与资金缺口'!$M$5:$M$16)*$S8,0),IF(CE$4=EDATE('核心假设'!$B$5,7-1+'核心假设'!$B$31),SUM('融资租赁与资金缺口'!$M$5:$M$16)*$T8,0),IF(CE$4=EDATE('核心假设'!$B$5,8-1+'核心假设'!$B$31),SUM('融资租赁与资金缺口'!$M$5:$M$16)*$U8,0),IF(CE$4=EDATE('核心假设'!$B$5,9-1+'核心假设'!$B$31),SUM('融资租赁与资金缺口'!$M$5:$M$16)*$V8,0),IF(CE$4=EDATE('核心假设'!$B$5,10-1+'核心假设'!$B$31),SUM('融资租赁与资金缺口'!$M$5:$M$16)*$W8,0),IF(CE$4=EDATE('核心假设'!$B$5,11-1+'核心假设'!$B$31),SUM('融资租赁与资金缺口'!$M$5:$M$16)*$X8,0),IF(CE$4=EDATE('核心假设'!$B$5,12-1+'核心假设'!$B$31),SUM('融资租赁与资金缺口'!$M$5:$M$16)*$Y8,0),IF(CE$4=EDATE('核心假设'!$B$5,13-1+'核心假设'!$B$31),SUM('融资租赁与资金缺口'!$M$5:$M$16)*$Z8,0),IF(CE$4=EDATE('核心假设'!$B$5,14-1+'核心假设'!$B$31),SUM('融资租赁与资金缺口'!$M$5:$M$16)*$AA8,0),IF(CE$4=EDATE('核心假设'!$B$5,15-1+'核心假设'!$B$31),SUM('融资租赁与资金缺口'!$M$5:$M$16)*$AB8,0),IF(CE$4=EDATE('核心假设'!$B$5,16-1+'核心假设'!$B$31),SUM('融资租赁与资金缺口'!$M$5:$M$16)*$AC8,0),IF(CE$4=EDATE('核心假设'!$B$5,17-1+'核心假设'!$B$31),SUM('融资租赁与资金缺口'!$M$5:$M$16)*$AD8,0))</x:f>
        <x:v>0</x:v>
      </x:c>
      <x:c r="CF27" s="28" t="n">
        <x:f>SUM(IF(CF$4=EDATE('核心假设'!$B$5,0-1+'核心假设'!$B$31),SUM('融资租赁与资金缺口'!$M$5:$M$16)*$M8,0),IF(CF$4=EDATE('核心假设'!$B$5,1-1+'核心假设'!$B$31),SUM('融资租赁与资金缺口'!$M$5:$M$16)*$N8,0),IF(CF$4=EDATE('核心假设'!$B$5,2-1+'核心假设'!$B$31),SUM('融资租赁与资金缺口'!$M$5:$M$16)*$O8,0),IF(CF$4=EDATE('核心假设'!$B$5,3-1+'核心假设'!$B$31),SUM('融资租赁与资金缺口'!$M$5:$M$16)*$P8,0),IF(CF$4=EDATE('核心假设'!$B$5,4-1+'核心假设'!$B$31),SUM('融资租赁与资金缺口'!$M$5:$M$16)*$Q8,0),IF(CF$4=EDATE('核心假设'!$B$5,5-1+'核心假设'!$B$31),SUM('融资租赁与资金缺口'!$M$5:$M$16)*$R8,0),IF(CF$4=EDATE('核心假设'!$B$5,6-1+'核心假设'!$B$31),SUM('融资租赁与资金缺口'!$M$5:$M$16)*$S8,0),IF(CF$4=EDATE('核心假设'!$B$5,7-1+'核心假设'!$B$31),SUM('融资租赁与资金缺口'!$M$5:$M$16)*$T8,0),IF(CF$4=EDATE('核心假设'!$B$5,8-1+'核心假设'!$B$31),SUM('融资租赁与资金缺口'!$M$5:$M$16)*$U8,0),IF(CF$4=EDATE('核心假设'!$B$5,9-1+'核心假设'!$B$31),SUM('融资租赁与资金缺口'!$M$5:$M$16)*$V8,0),IF(CF$4=EDATE('核心假设'!$B$5,10-1+'核心假设'!$B$31),SUM('融资租赁与资金缺口'!$M$5:$M$16)*$W8,0),IF(CF$4=EDATE('核心假设'!$B$5,11-1+'核心假设'!$B$31),SUM('融资租赁与资金缺口'!$M$5:$M$16)*$X8,0),IF(CF$4=EDATE('核心假设'!$B$5,12-1+'核心假设'!$B$31),SUM('融资租赁与资金缺口'!$M$5:$M$16)*$Y8,0),IF(CF$4=EDATE('核心假设'!$B$5,13-1+'核心假设'!$B$31),SUM('融资租赁与资金缺口'!$M$5:$M$16)*$Z8,0),IF(CF$4=EDATE('核心假设'!$B$5,14-1+'核心假设'!$B$31),SUM('融资租赁与资金缺口'!$M$5:$M$16)*$AA8,0),IF(CF$4=EDATE('核心假设'!$B$5,15-1+'核心假设'!$B$31),SUM('融资租赁与资金缺口'!$M$5:$M$16)*$AB8,0),IF(CF$4=EDATE('核心假设'!$B$5,16-1+'核心假设'!$B$31),SUM('融资租赁与资金缺口'!$M$5:$M$16)*$AC8,0),IF(CF$4=EDATE('核心假设'!$B$5,17-1+'核心假设'!$B$31),SUM('融资租赁与资金缺口'!$M$5:$M$16)*$AD8,0))</x:f>
        <x:v>0</x:v>
      </x:c>
      <x:c r="CG27" s="28" t="n">
        <x:f>SUM(IF(CG$4=EDATE('核心假设'!$B$5,0-1+'核心假设'!$B$31),SUM('融资租赁与资金缺口'!$M$5:$M$16)*$M8,0),IF(CG$4=EDATE('核心假设'!$B$5,1-1+'核心假设'!$B$31),SUM('融资租赁与资金缺口'!$M$5:$M$16)*$N8,0),IF(CG$4=EDATE('核心假设'!$B$5,2-1+'核心假设'!$B$31),SUM('融资租赁与资金缺口'!$M$5:$M$16)*$O8,0),IF(CG$4=EDATE('核心假设'!$B$5,3-1+'核心假设'!$B$31),SUM('融资租赁与资金缺口'!$M$5:$M$16)*$P8,0),IF(CG$4=EDATE('核心假设'!$B$5,4-1+'核心假设'!$B$31),SUM('融资租赁与资金缺口'!$M$5:$M$16)*$Q8,0),IF(CG$4=EDATE('核心假设'!$B$5,5-1+'核心假设'!$B$31),SUM('融资租赁与资金缺口'!$M$5:$M$16)*$R8,0),IF(CG$4=EDATE('核心假设'!$B$5,6-1+'核心假设'!$B$31),SUM('融资租赁与资金缺口'!$M$5:$M$16)*$S8,0),IF(CG$4=EDATE('核心假设'!$B$5,7-1+'核心假设'!$B$31),SUM('融资租赁与资金缺口'!$M$5:$M$16)*$T8,0),IF(CG$4=EDATE('核心假设'!$B$5,8-1+'核心假设'!$B$31),SUM('融资租赁与资金缺口'!$M$5:$M$16)*$U8,0),IF(CG$4=EDATE('核心假设'!$B$5,9-1+'核心假设'!$B$31),SUM('融资租赁与资金缺口'!$M$5:$M$16)*$V8,0),IF(CG$4=EDATE('核心假设'!$B$5,10-1+'核心假设'!$B$31),SUM('融资租赁与资金缺口'!$M$5:$M$16)*$W8,0),IF(CG$4=EDATE('核心假设'!$B$5,11-1+'核心假设'!$B$31),SUM('融资租赁与资金缺口'!$M$5:$M$16)*$X8,0),IF(CG$4=EDATE('核心假设'!$B$5,12-1+'核心假设'!$B$31),SUM('融资租赁与资金缺口'!$M$5:$M$16)*$Y8,0),IF(CG$4=EDATE('核心假设'!$B$5,13-1+'核心假设'!$B$31),SUM('融资租赁与资金缺口'!$M$5:$M$16)*$Z8,0),IF(CG$4=EDATE('核心假设'!$B$5,14-1+'核心假设'!$B$31),SUM('融资租赁与资金缺口'!$M$5:$M$16)*$AA8,0),IF(CG$4=EDATE('核心假设'!$B$5,15-1+'核心假设'!$B$31),SUM('融资租赁与资金缺口'!$M$5:$M$16)*$AB8,0),IF(CG$4=EDATE('核心假设'!$B$5,16-1+'核心假设'!$B$31),SUM('融资租赁与资金缺口'!$M$5:$M$16)*$AC8,0),IF(CG$4=EDATE('核心假设'!$B$5,17-1+'核心假设'!$B$31),SUM('融资租赁与资金缺口'!$M$5:$M$16)*$AD8,0))</x:f>
        <x:v>0</x:v>
      </x:c>
      <x:c r="CH27" s="28" t="n">
        <x:f>SUM(IF(CH$4=EDATE('核心假设'!$B$5,0-1+'核心假设'!$B$31),SUM('融资租赁与资金缺口'!$M$5:$M$16)*$M8,0),IF(CH$4=EDATE('核心假设'!$B$5,1-1+'核心假设'!$B$31),SUM('融资租赁与资金缺口'!$M$5:$M$16)*$N8,0),IF(CH$4=EDATE('核心假设'!$B$5,2-1+'核心假设'!$B$31),SUM('融资租赁与资金缺口'!$M$5:$M$16)*$O8,0),IF(CH$4=EDATE('核心假设'!$B$5,3-1+'核心假设'!$B$31),SUM('融资租赁与资金缺口'!$M$5:$M$16)*$P8,0),IF(CH$4=EDATE('核心假设'!$B$5,4-1+'核心假设'!$B$31),SUM('融资租赁与资金缺口'!$M$5:$M$16)*$Q8,0),IF(CH$4=EDATE('核心假设'!$B$5,5-1+'核心假设'!$B$31),SUM('融资租赁与资金缺口'!$M$5:$M$16)*$R8,0),IF(CH$4=EDATE('核心假设'!$B$5,6-1+'核心假设'!$B$31),SUM('融资租赁与资金缺口'!$M$5:$M$16)*$S8,0),IF(CH$4=EDATE('核心假设'!$B$5,7-1+'核心假设'!$B$31),SUM('融资租赁与资金缺口'!$M$5:$M$16)*$T8,0),IF(CH$4=EDATE('核心假设'!$B$5,8-1+'核心假设'!$B$31),SUM('融资租赁与资金缺口'!$M$5:$M$16)*$U8,0),IF(CH$4=EDATE('核心假设'!$B$5,9-1+'核心假设'!$B$31),SUM('融资租赁与资金缺口'!$M$5:$M$16)*$V8,0),IF(CH$4=EDATE('核心假设'!$B$5,10-1+'核心假设'!$B$31),SUM('融资租赁与资金缺口'!$M$5:$M$16)*$W8,0),IF(CH$4=EDATE('核心假设'!$B$5,11-1+'核心假设'!$B$31),SUM('融资租赁与资金缺口'!$M$5:$M$16)*$X8,0),IF(CH$4=EDATE('核心假设'!$B$5,12-1+'核心假设'!$B$31),SUM('融资租赁与资金缺口'!$M$5:$M$16)*$Y8,0),IF(CH$4=EDATE('核心假设'!$B$5,13-1+'核心假设'!$B$31),SUM('融资租赁与资金缺口'!$M$5:$M$16)*$Z8,0),IF(CH$4=EDATE('核心假设'!$B$5,14-1+'核心假设'!$B$31),SUM('融资租赁与资金缺口'!$M$5:$M$16)*$AA8,0),IF(CH$4=EDATE('核心假设'!$B$5,15-1+'核心假设'!$B$31),SUM('融资租赁与资金缺口'!$M$5:$M$16)*$AB8,0),IF(CH$4=EDATE('核心假设'!$B$5,16-1+'核心假设'!$B$31),SUM('融资租赁与资金缺口'!$M$5:$M$16)*$AC8,0),IF(CH$4=EDATE('核心假设'!$B$5,17-1+'核心假设'!$B$31),SUM('融资租赁与资金缺口'!$M$5:$M$16)*$AD8,0))</x:f>
        <x:v>0</x:v>
      </x:c>
      <x:c r="CI27" s="28" t="n">
        <x:f>SUM(IF(CI$4=EDATE('核心假设'!$B$5,0-1+'核心假设'!$B$31),SUM('融资租赁与资金缺口'!$M$5:$M$16)*$M8,0),IF(CI$4=EDATE('核心假设'!$B$5,1-1+'核心假设'!$B$31),SUM('融资租赁与资金缺口'!$M$5:$M$16)*$N8,0),IF(CI$4=EDATE('核心假设'!$B$5,2-1+'核心假设'!$B$31),SUM('融资租赁与资金缺口'!$M$5:$M$16)*$O8,0),IF(CI$4=EDATE('核心假设'!$B$5,3-1+'核心假设'!$B$31),SUM('融资租赁与资金缺口'!$M$5:$M$16)*$P8,0),IF(CI$4=EDATE('核心假设'!$B$5,4-1+'核心假设'!$B$31),SUM('融资租赁与资金缺口'!$M$5:$M$16)*$Q8,0),IF(CI$4=EDATE('核心假设'!$B$5,5-1+'核心假设'!$B$31),SUM('融资租赁与资金缺口'!$M$5:$M$16)*$R8,0),IF(CI$4=EDATE('核心假设'!$B$5,6-1+'核心假设'!$B$31),SUM('融资租赁与资金缺口'!$M$5:$M$16)*$S8,0),IF(CI$4=EDATE('核心假设'!$B$5,7-1+'核心假设'!$B$31),SUM('融资租赁与资金缺口'!$M$5:$M$16)*$T8,0),IF(CI$4=EDATE('核心假设'!$B$5,8-1+'核心假设'!$B$31),SUM('融资租赁与资金缺口'!$M$5:$M$16)*$U8,0),IF(CI$4=EDATE('核心假设'!$B$5,9-1+'核心假设'!$B$31),SUM('融资租赁与资金缺口'!$M$5:$M$16)*$V8,0),IF(CI$4=EDATE('核心假设'!$B$5,10-1+'核心假设'!$B$31),SUM('融资租赁与资金缺口'!$M$5:$M$16)*$W8,0),IF(CI$4=EDATE('核心假设'!$B$5,11-1+'核心假设'!$B$31),SUM('融资租赁与资金缺口'!$M$5:$M$16)*$X8,0),IF(CI$4=EDATE('核心假设'!$B$5,12-1+'核心假设'!$B$31),SUM('融资租赁与资金缺口'!$M$5:$M$16)*$Y8,0),IF(CI$4=EDATE('核心假设'!$B$5,13-1+'核心假设'!$B$31),SUM('融资租赁与资金缺口'!$M$5:$M$16)*$Z8,0),IF(CI$4=EDATE('核心假设'!$B$5,14-1+'核心假设'!$B$31),SUM('融资租赁与资金缺口'!$M$5:$M$16)*$AA8,0),IF(CI$4=EDATE('核心假设'!$B$5,15-1+'核心假设'!$B$31),SUM('融资租赁与资金缺口'!$M$5:$M$16)*$AB8,0),IF(CI$4=EDATE('核心假设'!$B$5,16-1+'核心假设'!$B$31),SUM('融资租赁与资金缺口'!$M$5:$M$16)*$AC8,0),IF(CI$4=EDATE('核心假设'!$B$5,17-1+'核心假设'!$B$31),SUM('融资租赁与资金缺口'!$M$5:$M$16)*$AD8,0))</x:f>
        <x:v>0</x:v>
      </x:c>
      <x:c r="CJ27" s="28" t="n">
        <x:f>SUM(IF(CJ$4=EDATE('核心假设'!$B$5,0-1+'核心假设'!$B$31),SUM('融资租赁与资金缺口'!$M$5:$M$16)*$M8,0),IF(CJ$4=EDATE('核心假设'!$B$5,1-1+'核心假设'!$B$31),SUM('融资租赁与资金缺口'!$M$5:$M$16)*$N8,0),IF(CJ$4=EDATE('核心假设'!$B$5,2-1+'核心假设'!$B$31),SUM('融资租赁与资金缺口'!$M$5:$M$16)*$O8,0),IF(CJ$4=EDATE('核心假设'!$B$5,3-1+'核心假设'!$B$31),SUM('融资租赁与资金缺口'!$M$5:$M$16)*$P8,0),IF(CJ$4=EDATE('核心假设'!$B$5,4-1+'核心假设'!$B$31),SUM('融资租赁与资金缺口'!$M$5:$M$16)*$Q8,0),IF(CJ$4=EDATE('核心假设'!$B$5,5-1+'核心假设'!$B$31),SUM('融资租赁与资金缺口'!$M$5:$M$16)*$R8,0),IF(CJ$4=EDATE('核心假设'!$B$5,6-1+'核心假设'!$B$31),SUM('融资租赁与资金缺口'!$M$5:$M$16)*$S8,0),IF(CJ$4=EDATE('核心假设'!$B$5,7-1+'核心假设'!$B$31),SUM('融资租赁与资金缺口'!$M$5:$M$16)*$T8,0),IF(CJ$4=EDATE('核心假设'!$B$5,8-1+'核心假设'!$B$31),SUM('融资租赁与资金缺口'!$M$5:$M$16)*$U8,0),IF(CJ$4=EDATE('核心假设'!$B$5,9-1+'核心假设'!$B$31),SUM('融资租赁与资金缺口'!$M$5:$M$16)*$V8,0),IF(CJ$4=EDATE('核心假设'!$B$5,10-1+'核心假设'!$B$31),SUM('融资租赁与资金缺口'!$M$5:$M$16)*$W8,0),IF(CJ$4=EDATE('核心假设'!$B$5,11-1+'核心假设'!$B$31),SUM('融资租赁与资金缺口'!$M$5:$M$16)*$X8,0),IF(CJ$4=EDATE('核心假设'!$B$5,12-1+'核心假设'!$B$31),SUM('融资租赁与资金缺口'!$M$5:$M$16)*$Y8,0),IF(CJ$4=EDATE('核心假设'!$B$5,13-1+'核心假设'!$B$31),SUM('融资租赁与资金缺口'!$M$5:$M$16)*$Z8,0),IF(CJ$4=EDATE('核心假设'!$B$5,14-1+'核心假设'!$B$31),SUM('融资租赁与资金缺口'!$M$5:$M$16)*$AA8,0),IF(CJ$4=EDATE('核心假设'!$B$5,15-1+'核心假设'!$B$31),SUM('融资租赁与资金缺口'!$M$5:$M$16)*$AB8,0),IF(CJ$4=EDATE('核心假设'!$B$5,16-1+'核心假设'!$B$31),SUM('融资租赁与资金缺口'!$M$5:$M$16)*$AC8,0),IF(CJ$4=EDATE('核心假设'!$B$5,17-1+'核心假设'!$B$31),SUM('融资租赁与资金缺口'!$M$5:$M$16)*$AD8,0))</x:f>
        <x:v>0</x:v>
      </x:c>
      <x:c r="CK27" s="28" t="n">
        <x:f>SUM(IF(CK$4=EDATE('核心假设'!$B$5,0-1+'核心假设'!$B$31),SUM('融资租赁与资金缺口'!$M$5:$M$16)*$M8,0),IF(CK$4=EDATE('核心假设'!$B$5,1-1+'核心假设'!$B$31),SUM('融资租赁与资金缺口'!$M$5:$M$16)*$N8,0),IF(CK$4=EDATE('核心假设'!$B$5,2-1+'核心假设'!$B$31),SUM('融资租赁与资金缺口'!$M$5:$M$16)*$O8,0),IF(CK$4=EDATE('核心假设'!$B$5,3-1+'核心假设'!$B$31),SUM('融资租赁与资金缺口'!$M$5:$M$16)*$P8,0),IF(CK$4=EDATE('核心假设'!$B$5,4-1+'核心假设'!$B$31),SUM('融资租赁与资金缺口'!$M$5:$M$16)*$Q8,0),IF(CK$4=EDATE('核心假设'!$B$5,5-1+'核心假设'!$B$31),SUM('融资租赁与资金缺口'!$M$5:$M$16)*$R8,0),IF(CK$4=EDATE('核心假设'!$B$5,6-1+'核心假设'!$B$31),SUM('融资租赁与资金缺口'!$M$5:$M$16)*$S8,0),IF(CK$4=EDATE('核心假设'!$B$5,7-1+'核心假设'!$B$31),SUM('融资租赁与资金缺口'!$M$5:$M$16)*$T8,0),IF(CK$4=EDATE('核心假设'!$B$5,8-1+'核心假设'!$B$31),SUM('融资租赁与资金缺口'!$M$5:$M$16)*$U8,0),IF(CK$4=EDATE('核心假设'!$B$5,9-1+'核心假设'!$B$31),SUM('融资租赁与资金缺口'!$M$5:$M$16)*$V8,0),IF(CK$4=EDATE('核心假设'!$B$5,10-1+'核心假设'!$B$31),SUM('融资租赁与资金缺口'!$M$5:$M$16)*$W8,0),IF(CK$4=EDATE('核心假设'!$B$5,11-1+'核心假设'!$B$31),SUM('融资租赁与资金缺口'!$M$5:$M$16)*$X8,0),IF(CK$4=EDATE('核心假设'!$B$5,12-1+'核心假设'!$B$31),SUM('融资租赁与资金缺口'!$M$5:$M$16)*$Y8,0),IF(CK$4=EDATE('核心假设'!$B$5,13-1+'核心假设'!$B$31),SUM('融资租赁与资金缺口'!$M$5:$M$16)*$Z8,0),IF(CK$4=EDATE('核心假设'!$B$5,14-1+'核心假设'!$B$31),SUM('融资租赁与资金缺口'!$M$5:$M$16)*$AA8,0),IF(CK$4=EDATE('核心假设'!$B$5,15-1+'核心假设'!$B$31),SUM('融资租赁与资金缺口'!$M$5:$M$16)*$AB8,0),IF(CK$4=EDATE('核心假设'!$B$5,16-1+'核心假设'!$B$31),SUM('融资租赁与资金缺口'!$M$5:$M$16)*$AC8,0),IF(CK$4=EDATE('核心假设'!$B$5,17-1+'核心假设'!$B$31),SUM('融资租赁与资金缺口'!$M$5:$M$16)*$AD8,0))</x:f>
        <x:v>0</x:v>
      </x:c>
      <x:c r="CL27" s="28" t="n">
        <x:f>SUM(IF(CL$4=EDATE('核心假设'!$B$5,0-1+'核心假设'!$B$31),SUM('融资租赁与资金缺口'!$M$5:$M$16)*$M8,0),IF(CL$4=EDATE('核心假设'!$B$5,1-1+'核心假设'!$B$31),SUM('融资租赁与资金缺口'!$M$5:$M$16)*$N8,0),IF(CL$4=EDATE('核心假设'!$B$5,2-1+'核心假设'!$B$31),SUM('融资租赁与资金缺口'!$M$5:$M$16)*$O8,0),IF(CL$4=EDATE('核心假设'!$B$5,3-1+'核心假设'!$B$31),SUM('融资租赁与资金缺口'!$M$5:$M$16)*$P8,0),IF(CL$4=EDATE('核心假设'!$B$5,4-1+'核心假设'!$B$31),SUM('融资租赁与资金缺口'!$M$5:$M$16)*$Q8,0),IF(CL$4=EDATE('核心假设'!$B$5,5-1+'核心假设'!$B$31),SUM('融资租赁与资金缺口'!$M$5:$M$16)*$R8,0),IF(CL$4=EDATE('核心假设'!$B$5,6-1+'核心假设'!$B$31),SUM('融资租赁与资金缺口'!$M$5:$M$16)*$S8,0),IF(CL$4=EDATE('核心假设'!$B$5,7-1+'核心假设'!$B$31),SUM('融资租赁与资金缺口'!$M$5:$M$16)*$T8,0),IF(CL$4=EDATE('核心假设'!$B$5,8-1+'核心假设'!$B$31),SUM('融资租赁与资金缺口'!$M$5:$M$16)*$U8,0),IF(CL$4=EDATE('核心假设'!$B$5,9-1+'核心假设'!$B$31),SUM('融资租赁与资金缺口'!$M$5:$M$16)*$V8,0),IF(CL$4=EDATE('核心假设'!$B$5,10-1+'核心假设'!$B$31),SUM('融资租赁与资金缺口'!$M$5:$M$16)*$W8,0),IF(CL$4=EDATE('核心假设'!$B$5,11-1+'核心假设'!$B$31),SUM('融资租赁与资金缺口'!$M$5:$M$16)*$X8,0),IF(CL$4=EDATE('核心假设'!$B$5,12-1+'核心假设'!$B$31),SUM('融资租赁与资金缺口'!$M$5:$M$16)*$Y8,0),IF(CL$4=EDATE('核心假设'!$B$5,13-1+'核心假设'!$B$31),SUM('融资租赁与资金缺口'!$M$5:$M$16)*$Z8,0),IF(CL$4=EDATE('核心假设'!$B$5,14-1+'核心假设'!$B$31),SUM('融资租赁与资金缺口'!$M$5:$M$16)*$AA8,0),IF(CL$4=EDATE('核心假设'!$B$5,15-1+'核心假设'!$B$31),SUM('融资租赁与资金缺口'!$M$5:$M$16)*$AB8,0),IF(CL$4=EDATE('核心假设'!$B$5,16-1+'核心假设'!$B$31),SUM('融资租赁与资金缺口'!$M$5:$M$16)*$AC8,0),IF(CL$4=EDATE('核心假设'!$B$5,17-1+'核心假设'!$B$31),SUM('融资租赁与资金缺口'!$M$5:$M$16)*$AD8,0))</x:f>
        <x:v>0</x:v>
      </x:c>
      <x:c r="CM27" s="28" t="n">
        <x:f>SUM(IF(CM$4=EDATE('核心假设'!$B$5,0-1+'核心假设'!$B$31),SUM('融资租赁与资金缺口'!$M$5:$M$16)*$M8,0),IF(CM$4=EDATE('核心假设'!$B$5,1-1+'核心假设'!$B$31),SUM('融资租赁与资金缺口'!$M$5:$M$16)*$N8,0),IF(CM$4=EDATE('核心假设'!$B$5,2-1+'核心假设'!$B$31),SUM('融资租赁与资金缺口'!$M$5:$M$16)*$O8,0),IF(CM$4=EDATE('核心假设'!$B$5,3-1+'核心假设'!$B$31),SUM('融资租赁与资金缺口'!$M$5:$M$16)*$P8,0),IF(CM$4=EDATE('核心假设'!$B$5,4-1+'核心假设'!$B$31),SUM('融资租赁与资金缺口'!$M$5:$M$16)*$Q8,0),IF(CM$4=EDATE('核心假设'!$B$5,5-1+'核心假设'!$B$31),SUM('融资租赁与资金缺口'!$M$5:$M$16)*$R8,0),IF(CM$4=EDATE('核心假设'!$B$5,6-1+'核心假设'!$B$31),SUM('融资租赁与资金缺口'!$M$5:$M$16)*$S8,0),IF(CM$4=EDATE('核心假设'!$B$5,7-1+'核心假设'!$B$31),SUM('融资租赁与资金缺口'!$M$5:$M$16)*$T8,0),IF(CM$4=EDATE('核心假设'!$B$5,8-1+'核心假设'!$B$31),SUM('融资租赁与资金缺口'!$M$5:$M$16)*$U8,0),IF(CM$4=EDATE('核心假设'!$B$5,9-1+'核心假设'!$B$31),SUM('融资租赁与资金缺口'!$M$5:$M$16)*$V8,0),IF(CM$4=EDATE('核心假设'!$B$5,10-1+'核心假设'!$B$31),SUM('融资租赁与资金缺口'!$M$5:$M$16)*$W8,0),IF(CM$4=EDATE('核心假设'!$B$5,11-1+'核心假设'!$B$31),SUM('融资租赁与资金缺口'!$M$5:$M$16)*$X8,0),IF(CM$4=EDATE('核心假设'!$B$5,12-1+'核心假设'!$B$31),SUM('融资租赁与资金缺口'!$M$5:$M$16)*$Y8,0),IF(CM$4=EDATE('核心假设'!$B$5,13-1+'核心假设'!$B$31),SUM('融资租赁与资金缺口'!$M$5:$M$16)*$Z8,0),IF(CM$4=EDATE('核心假设'!$B$5,14-1+'核心假设'!$B$31),SUM('融资租赁与资金缺口'!$M$5:$M$16)*$AA8,0),IF(CM$4=EDATE('核心假设'!$B$5,15-1+'核心假设'!$B$31),SUM('融资租赁与资金缺口'!$M$5:$M$16)*$AB8,0),IF(CM$4=EDATE('核心假设'!$B$5,16-1+'核心假设'!$B$31),SUM('融资租赁与资金缺口'!$M$5:$M$16)*$AC8,0),IF(CM$4=EDATE('核心假设'!$B$5,17-1+'核心假设'!$B$31),SUM('融资租赁与资金缺口'!$M$5:$M$16)*$AD8,0))</x:f>
        <x:v>0</x:v>
      </x:c>
    </x:row>
    <x:row r="28">
      <x:c r="A28" s="60" t="str">
        <x:v>应付形成/付款/余额滚动</x:v>
      </x:c>
      <x:c r="B28" s="70" t="n">
        <x:f>SUM('融资租赁与资金缺口'!$B$102:$BI$102)-SUM('融资租赁与资金缺口'!$B$103:$BI$103)-'融资租赁与资金缺口'!$BI$104</x:f>
        <x:v>0</x:v>
      </x:c>
      <x:c r="C28" s="70" t="n">
        <x:f>0</x:f>
        <x:v>0</x:v>
      </x:c>
      <x:c r="D28" s="72" t="n">
        <x:f>B28-C28</x:f>
        <x:v>0</x:v>
      </x:c>
      <x:c r="E28" s="72" t="n">
        <x:v>0.01</x:v>
      </x:c>
      <x:c r="F28" s="54" t="str">
        <x:f>IF(ABS(D28)&lt;=E28,"PASS","FAIL")</x:f>
        <x:v>PASS</x:v>
      </x:c>
      <x:c r="G28" s="52" t="str">
        <x:v>融资租赁与资金缺口!102:104</x:v>
      </x:c>
      <x:c r="H28" s="61" t="str">
        <x:v>供应商选定形成应付并按t+2付款</x:v>
      </x:c>
      <x:c r="AE28" t="str">
        <x:v>注资前累计现金</x:v>
      </x:c>
      <x:c r="AF28" s="28" t="n">
        <x:f>'核心假设'!$B$39+AF24-AF25+SUM(IF(AF$4=EDATE('核心假设'!$B$5,0+$F8),SUM('融资租赁与资金缺口'!$D$5:$D$16)*$M8*$C8,0),IF(AF$4=EDATE('核心假设'!$B$5,1+$F8),SUM('融资租赁与资金缺口'!$D$5:$D$16)*$N8*$C8,0),IF(AF$4=EDATE('核心假设'!$B$5,2+$F8),SUM('融资租赁与资金缺口'!$D$5:$D$16)*$O8*$C8,0),IF(AF$4=EDATE('核心假设'!$B$5,3+$F8),SUM('融资租赁与资金缺口'!$D$5:$D$16)*$P8*$C8,0),IF(AF$4=EDATE('核心假设'!$B$5,4+$F8),SUM('融资租赁与资金缺口'!$D$5:$D$16)*$Q8*$C8,0),IF(AF$4=EDATE('核心假设'!$B$5,5+$F8),SUM('融资租赁与资金缺口'!$D$5:$D$16)*$R8*$C8,0),IF(AF$4=EDATE('核心假设'!$B$5,6+$F8),SUM('融资租赁与资金缺口'!$D$5:$D$16)*$S8*$C8,0),IF(AF$4=EDATE('核心假设'!$B$5,7+$F8),SUM('融资租赁与资金缺口'!$D$5:$D$16)*$T8*$C8,0),IF(AF$4=EDATE('核心假设'!$B$5,8+$F8),SUM('融资租赁与资金缺口'!$D$5:$D$16)*$U8*$C8,0),IF(AF$4=EDATE('核心假设'!$B$5,9+$F8),SUM('融资租赁与资金缺口'!$D$5:$D$16)*$V8*$C8,0),IF(AF$4=EDATE('核心假设'!$B$5,10+$F8),SUM('融资租赁与资金缺口'!$D$5:$D$16)*$W8*$C8,0),IF(AF$4=EDATE('核心假设'!$B$5,11+$F8),SUM('融资租赁与资金缺口'!$D$5:$D$16)*$X8*$C8,0),IF(AF$4=EDATE('核心假设'!$B$5,12+$F8),SUM('融资租赁与资金缺口'!$D$5:$D$16)*$Y8*$C8,0),IF(AF$4=EDATE('核心假设'!$B$5,13+$F8),SUM('融资租赁与资金缺口'!$D$5:$D$16)*$Z8*$C8,0),IF(AF$4=EDATE('核心假设'!$B$5,14+$F8),SUM('融资租赁与资金缺口'!$D$5:$D$16)*$AA8*$C8,0),IF(AF$4=EDATE('核心假设'!$B$5,15+$F8),SUM('融资租赁与资金缺口'!$D$5:$D$16)*$AB8*$C8,0),IF(AF$4=EDATE('核心假设'!$B$5,16+$F8),SUM('融资租赁与资金缺口'!$D$5:$D$16)*$AC8*$C8,0),IF(AF$4=EDATE('核心假设'!$B$5,17+$F8),SUM('融资租赁与资金缺口'!$D$5:$D$16)*$AD8*$C8,0))-AF27</x:f>
        <x:v>1146839.7707964361</x:v>
      </x:c>
      <x:c r="AG28" s="28" t="n">
        <x:f>AF28+AG24-AG25+SUM(IF(AG$4=EDATE('核心假设'!$B$5,0+$F8),SUM('融资租赁与资金缺口'!$D$5:$D$16)*$M8*$C8,0),IF(AG$4=EDATE('核心假设'!$B$5,1+$F8),SUM('融资租赁与资金缺口'!$D$5:$D$16)*$N8*$C8,0),IF(AG$4=EDATE('核心假设'!$B$5,2+$F8),SUM('融资租赁与资金缺口'!$D$5:$D$16)*$O8*$C8,0),IF(AG$4=EDATE('核心假设'!$B$5,3+$F8),SUM('融资租赁与资金缺口'!$D$5:$D$16)*$P8*$C8,0),IF(AG$4=EDATE('核心假设'!$B$5,4+$F8),SUM('融资租赁与资金缺口'!$D$5:$D$16)*$Q8*$C8,0),IF(AG$4=EDATE('核心假设'!$B$5,5+$F8),SUM('融资租赁与资金缺口'!$D$5:$D$16)*$R8*$C8,0),IF(AG$4=EDATE('核心假设'!$B$5,6+$F8),SUM('融资租赁与资金缺口'!$D$5:$D$16)*$S8*$C8,0),IF(AG$4=EDATE('核心假设'!$B$5,7+$F8),SUM('融资租赁与资金缺口'!$D$5:$D$16)*$T8*$C8,0),IF(AG$4=EDATE('核心假设'!$B$5,8+$F8),SUM('融资租赁与资金缺口'!$D$5:$D$16)*$U8*$C8,0),IF(AG$4=EDATE('核心假设'!$B$5,9+$F8),SUM('融资租赁与资金缺口'!$D$5:$D$16)*$V8*$C8,0),IF(AG$4=EDATE('核心假设'!$B$5,10+$F8),SUM('融资租赁与资金缺口'!$D$5:$D$16)*$W8*$C8,0),IF(AG$4=EDATE('核心假设'!$B$5,11+$F8),SUM('融资租赁与资金缺口'!$D$5:$D$16)*$X8*$C8,0),IF(AG$4=EDATE('核心假设'!$B$5,12+$F8),SUM('融资租赁与资金缺口'!$D$5:$D$16)*$Y8*$C8,0),IF(AG$4=EDATE('核心假设'!$B$5,13+$F8),SUM('融资租赁与资金缺口'!$D$5:$D$16)*$Z8*$C8,0),IF(AG$4=EDATE('核心假设'!$B$5,14+$F8),SUM('融资租赁与资金缺口'!$D$5:$D$16)*$AA8*$C8,0),IF(AG$4=EDATE('核心假设'!$B$5,15+$F8),SUM('融资租赁与资金缺口'!$D$5:$D$16)*$AB8*$C8,0),IF(AG$4=EDATE('核心假设'!$B$5,16+$F8),SUM('融资租赁与资金缺口'!$D$5:$D$16)*$AC8*$C8,0),IF(AG$4=EDATE('核心假设'!$B$5,17+$F8),SUM('融资租赁与资金缺口'!$D$5:$D$16)*$AD8*$C8,0))-AG27</x:f>
        <x:v>-28133796.886795394</x:v>
      </x:c>
      <x:c r="AH28" s="28" t="n">
        <x:f>AG28+AH24-AH25+SUM(IF(AH$4=EDATE('核心假设'!$B$5,0+$F8),SUM('融资租赁与资金缺口'!$D$5:$D$16)*$M8*$C8,0),IF(AH$4=EDATE('核心假设'!$B$5,1+$F8),SUM('融资租赁与资金缺口'!$D$5:$D$16)*$N8*$C8,0),IF(AH$4=EDATE('核心假设'!$B$5,2+$F8),SUM('融资租赁与资金缺口'!$D$5:$D$16)*$O8*$C8,0),IF(AH$4=EDATE('核心假设'!$B$5,3+$F8),SUM('融资租赁与资金缺口'!$D$5:$D$16)*$P8*$C8,0),IF(AH$4=EDATE('核心假设'!$B$5,4+$F8),SUM('融资租赁与资金缺口'!$D$5:$D$16)*$Q8*$C8,0),IF(AH$4=EDATE('核心假设'!$B$5,5+$F8),SUM('融资租赁与资金缺口'!$D$5:$D$16)*$R8*$C8,0),IF(AH$4=EDATE('核心假设'!$B$5,6+$F8),SUM('融资租赁与资金缺口'!$D$5:$D$16)*$S8*$C8,0),IF(AH$4=EDATE('核心假设'!$B$5,7+$F8),SUM('融资租赁与资金缺口'!$D$5:$D$16)*$T8*$C8,0),IF(AH$4=EDATE('核心假设'!$B$5,8+$F8),SUM('融资租赁与资金缺口'!$D$5:$D$16)*$U8*$C8,0),IF(AH$4=EDATE('核心假设'!$B$5,9+$F8),SUM('融资租赁与资金缺口'!$D$5:$D$16)*$V8*$C8,0),IF(AH$4=EDATE('核心假设'!$B$5,10+$F8),SUM('融资租赁与资金缺口'!$D$5:$D$16)*$W8*$C8,0),IF(AH$4=EDATE('核心假设'!$B$5,11+$F8),SUM('融资租赁与资金缺口'!$D$5:$D$16)*$X8*$C8,0),IF(AH$4=EDATE('核心假设'!$B$5,12+$F8),SUM('融资租赁与资金缺口'!$D$5:$D$16)*$Y8*$C8,0),IF(AH$4=EDATE('核心假设'!$B$5,13+$F8),SUM('融资租赁与资金缺口'!$D$5:$D$16)*$Z8*$C8,0),IF(AH$4=EDATE('核心假设'!$B$5,14+$F8),SUM('融资租赁与资金缺口'!$D$5:$D$16)*$AA8*$C8,0),IF(AH$4=EDATE('核心假设'!$B$5,15+$F8),SUM('融资租赁与资金缺口'!$D$5:$D$16)*$AB8*$C8,0),IF(AH$4=EDATE('核心假设'!$B$5,16+$F8),SUM('融资租赁与资金缺口'!$D$5:$D$16)*$AC8*$C8,0),IF(AH$4=EDATE('核心假设'!$B$5,17+$F8),SUM('融资租赁与资金缺口'!$D$5:$D$16)*$AD8*$C8,0))-AH27</x:f>
        <x:v>-34472206.83379915</x:v>
      </x:c>
      <x:c r="AI28" s="28" t="n">
        <x:f>AH28+AI24-AI25+SUM(IF(AI$4=EDATE('核心假设'!$B$5,0+$F8),SUM('融资租赁与资金缺口'!$D$5:$D$16)*$M8*$C8,0),IF(AI$4=EDATE('核心假设'!$B$5,1+$F8),SUM('融资租赁与资金缺口'!$D$5:$D$16)*$N8*$C8,0),IF(AI$4=EDATE('核心假设'!$B$5,2+$F8),SUM('融资租赁与资金缺口'!$D$5:$D$16)*$O8*$C8,0),IF(AI$4=EDATE('核心假设'!$B$5,3+$F8),SUM('融资租赁与资金缺口'!$D$5:$D$16)*$P8*$C8,0),IF(AI$4=EDATE('核心假设'!$B$5,4+$F8),SUM('融资租赁与资金缺口'!$D$5:$D$16)*$Q8*$C8,0),IF(AI$4=EDATE('核心假设'!$B$5,5+$F8),SUM('融资租赁与资金缺口'!$D$5:$D$16)*$R8*$C8,0),IF(AI$4=EDATE('核心假设'!$B$5,6+$F8),SUM('融资租赁与资金缺口'!$D$5:$D$16)*$S8*$C8,0),IF(AI$4=EDATE('核心假设'!$B$5,7+$F8),SUM('融资租赁与资金缺口'!$D$5:$D$16)*$T8*$C8,0),IF(AI$4=EDATE('核心假设'!$B$5,8+$F8),SUM('融资租赁与资金缺口'!$D$5:$D$16)*$U8*$C8,0),IF(AI$4=EDATE('核心假设'!$B$5,9+$F8),SUM('融资租赁与资金缺口'!$D$5:$D$16)*$V8*$C8,0),IF(AI$4=EDATE('核心假设'!$B$5,10+$F8),SUM('融资租赁与资金缺口'!$D$5:$D$16)*$W8*$C8,0),IF(AI$4=EDATE('核心假设'!$B$5,11+$F8),SUM('融资租赁与资金缺口'!$D$5:$D$16)*$X8*$C8,0),IF(AI$4=EDATE('核心假设'!$B$5,12+$F8),SUM('融资租赁与资金缺口'!$D$5:$D$16)*$Y8*$C8,0),IF(AI$4=EDATE('核心假设'!$B$5,13+$F8),SUM('融资租赁与资金缺口'!$D$5:$D$16)*$Z8*$C8,0),IF(AI$4=EDATE('核心假设'!$B$5,14+$F8),SUM('融资租赁与资金缺口'!$D$5:$D$16)*$AA8*$C8,0),IF(AI$4=EDATE('核心假设'!$B$5,15+$F8),SUM('融资租赁与资金缺口'!$D$5:$D$16)*$AB8*$C8,0),IF(AI$4=EDATE('核心假设'!$B$5,16+$F8),SUM('融资租赁与资金缺口'!$D$5:$D$16)*$AC8*$C8,0),IF(AI$4=EDATE('核心假设'!$B$5,17+$F8),SUM('融资租赁与资金缺口'!$D$5:$D$16)*$AD8*$C8,0))-AI27</x:f>
        <x:v>-39248665.02470772</x:v>
      </x:c>
      <x:c r="AJ28" s="28" t="n">
        <x:f>AI28+AJ24-AJ25+SUM(IF(AJ$4=EDATE('核心假设'!$B$5,0+$F8),SUM('融资租赁与资金缺口'!$D$5:$D$16)*$M8*$C8,0),IF(AJ$4=EDATE('核心假设'!$B$5,1+$F8),SUM('融资租赁与资金缺口'!$D$5:$D$16)*$N8*$C8,0),IF(AJ$4=EDATE('核心假设'!$B$5,2+$F8),SUM('融资租赁与资金缺口'!$D$5:$D$16)*$O8*$C8,0),IF(AJ$4=EDATE('核心假设'!$B$5,3+$F8),SUM('融资租赁与资金缺口'!$D$5:$D$16)*$P8*$C8,0),IF(AJ$4=EDATE('核心假设'!$B$5,4+$F8),SUM('融资租赁与资金缺口'!$D$5:$D$16)*$Q8*$C8,0),IF(AJ$4=EDATE('核心假设'!$B$5,5+$F8),SUM('融资租赁与资金缺口'!$D$5:$D$16)*$R8*$C8,0),IF(AJ$4=EDATE('核心假设'!$B$5,6+$F8),SUM('融资租赁与资金缺口'!$D$5:$D$16)*$S8*$C8,0),IF(AJ$4=EDATE('核心假设'!$B$5,7+$F8),SUM('融资租赁与资金缺口'!$D$5:$D$16)*$T8*$C8,0),IF(AJ$4=EDATE('核心假设'!$B$5,8+$F8),SUM('融资租赁与资金缺口'!$D$5:$D$16)*$U8*$C8,0),IF(AJ$4=EDATE('核心假设'!$B$5,9+$F8),SUM('融资租赁与资金缺口'!$D$5:$D$16)*$V8*$C8,0),IF(AJ$4=EDATE('核心假设'!$B$5,10+$F8),SUM('融资租赁与资金缺口'!$D$5:$D$16)*$W8*$C8,0),IF(AJ$4=EDATE('核心假设'!$B$5,11+$F8),SUM('融资租赁与资金缺口'!$D$5:$D$16)*$X8*$C8,0),IF(AJ$4=EDATE('核心假设'!$B$5,12+$F8),SUM('融资租赁与资金缺口'!$D$5:$D$16)*$Y8*$C8,0),IF(AJ$4=EDATE('核心假设'!$B$5,13+$F8),SUM('融资租赁与资金缺口'!$D$5:$D$16)*$Z8*$C8,0),IF(AJ$4=EDATE('核心假设'!$B$5,14+$F8),SUM('融资租赁与资金缺口'!$D$5:$D$16)*$AA8*$C8,0),IF(AJ$4=EDATE('核心假设'!$B$5,15+$F8),SUM('融资租赁与资金缺口'!$D$5:$D$16)*$AB8*$C8,0),IF(AJ$4=EDATE('核心假设'!$B$5,16+$F8),SUM('融资租赁与资金缺口'!$D$5:$D$16)*$AC8*$C8,0),IF(AJ$4=EDATE('核心假设'!$B$5,17+$F8),SUM('融资租赁与资金缺口'!$D$5:$D$16)*$AD8*$C8,0))-AJ27</x:f>
        <x:v>-43680767.90561847</x:v>
      </x:c>
      <x:c r="AK28" s="28" t="n">
        <x:f>AJ28+AK24-AK25+SUM(IF(AK$4=EDATE('核心假设'!$B$5,0+$F8),SUM('融资租赁与资金缺口'!$D$5:$D$16)*$M8*$C8,0),IF(AK$4=EDATE('核心假设'!$B$5,1+$F8),SUM('融资租赁与资金缺口'!$D$5:$D$16)*$N8*$C8,0),IF(AK$4=EDATE('核心假设'!$B$5,2+$F8),SUM('融资租赁与资金缺口'!$D$5:$D$16)*$O8*$C8,0),IF(AK$4=EDATE('核心假设'!$B$5,3+$F8),SUM('融资租赁与资金缺口'!$D$5:$D$16)*$P8*$C8,0),IF(AK$4=EDATE('核心假设'!$B$5,4+$F8),SUM('融资租赁与资金缺口'!$D$5:$D$16)*$Q8*$C8,0),IF(AK$4=EDATE('核心假设'!$B$5,5+$F8),SUM('融资租赁与资金缺口'!$D$5:$D$16)*$R8*$C8,0),IF(AK$4=EDATE('核心假设'!$B$5,6+$F8),SUM('融资租赁与资金缺口'!$D$5:$D$16)*$S8*$C8,0),IF(AK$4=EDATE('核心假设'!$B$5,7+$F8),SUM('融资租赁与资金缺口'!$D$5:$D$16)*$T8*$C8,0),IF(AK$4=EDATE('核心假设'!$B$5,8+$F8),SUM('融资租赁与资金缺口'!$D$5:$D$16)*$U8*$C8,0),IF(AK$4=EDATE('核心假设'!$B$5,9+$F8),SUM('融资租赁与资金缺口'!$D$5:$D$16)*$V8*$C8,0),IF(AK$4=EDATE('核心假设'!$B$5,10+$F8),SUM('融资租赁与资金缺口'!$D$5:$D$16)*$W8*$C8,0),IF(AK$4=EDATE('核心假设'!$B$5,11+$F8),SUM('融资租赁与资金缺口'!$D$5:$D$16)*$X8*$C8,0),IF(AK$4=EDATE('核心假设'!$B$5,12+$F8),SUM('融资租赁与资金缺口'!$D$5:$D$16)*$Y8*$C8,0),IF(AK$4=EDATE('核心假设'!$B$5,13+$F8),SUM('融资租赁与资金缺口'!$D$5:$D$16)*$Z8*$C8,0),IF(AK$4=EDATE('核心假设'!$B$5,14+$F8),SUM('融资租赁与资金缺口'!$D$5:$D$16)*$AA8*$C8,0),IF(AK$4=EDATE('核心假设'!$B$5,15+$F8),SUM('融资租赁与资金缺口'!$D$5:$D$16)*$AB8*$C8,0),IF(AK$4=EDATE('核心假设'!$B$5,16+$F8),SUM('融资租赁与资金缺口'!$D$5:$D$16)*$AC8*$C8,0),IF(AK$4=EDATE('核心假设'!$B$5,17+$F8),SUM('融资租赁与资金缺口'!$D$5:$D$16)*$AD8*$C8,0))-AK27</x:f>
        <x:v>-49349953.476093024</x:v>
      </x:c>
      <x:c r="AL28" s="28" t="n">
        <x:f>AK28+AL24-AL25+SUM(IF(AL$4=EDATE('核心假设'!$B$5,0+$F8),SUM('融资租赁与资金缺口'!$D$5:$D$16)*$M8*$C8,0),IF(AL$4=EDATE('核心假设'!$B$5,1+$F8),SUM('融资租赁与资金缺口'!$D$5:$D$16)*$N8*$C8,0),IF(AL$4=EDATE('核心假设'!$B$5,2+$F8),SUM('融资租赁与资金缺口'!$D$5:$D$16)*$O8*$C8,0),IF(AL$4=EDATE('核心假设'!$B$5,3+$F8),SUM('融资租赁与资金缺口'!$D$5:$D$16)*$P8*$C8,0),IF(AL$4=EDATE('核心假设'!$B$5,4+$F8),SUM('融资租赁与资金缺口'!$D$5:$D$16)*$Q8*$C8,0),IF(AL$4=EDATE('核心假设'!$B$5,5+$F8),SUM('融资租赁与资金缺口'!$D$5:$D$16)*$R8*$C8,0),IF(AL$4=EDATE('核心假设'!$B$5,6+$F8),SUM('融资租赁与资金缺口'!$D$5:$D$16)*$S8*$C8,0),IF(AL$4=EDATE('核心假设'!$B$5,7+$F8),SUM('融资租赁与资金缺口'!$D$5:$D$16)*$T8*$C8,0),IF(AL$4=EDATE('核心假设'!$B$5,8+$F8),SUM('融资租赁与资金缺口'!$D$5:$D$16)*$U8*$C8,0),IF(AL$4=EDATE('核心假设'!$B$5,9+$F8),SUM('融资租赁与资金缺口'!$D$5:$D$16)*$V8*$C8,0),IF(AL$4=EDATE('核心假设'!$B$5,10+$F8),SUM('融资租赁与资金缺口'!$D$5:$D$16)*$W8*$C8,0),IF(AL$4=EDATE('核心假设'!$B$5,11+$F8),SUM('融资租赁与资金缺口'!$D$5:$D$16)*$X8*$C8,0),IF(AL$4=EDATE('核心假设'!$B$5,12+$F8),SUM('融资租赁与资金缺口'!$D$5:$D$16)*$Y8*$C8,0),IF(AL$4=EDATE('核心假设'!$B$5,13+$F8),SUM('融资租赁与资金缺口'!$D$5:$D$16)*$Z8*$C8,0),IF(AL$4=EDATE('核心假设'!$B$5,14+$F8),SUM('融资租赁与资金缺口'!$D$5:$D$16)*$AA8*$C8,0),IF(AL$4=EDATE('核心假设'!$B$5,15+$F8),SUM('融资租赁与资金缺口'!$D$5:$D$16)*$AB8*$C8,0),IF(AL$4=EDATE('核心假设'!$B$5,16+$F8),SUM('融资租赁与资金缺口'!$D$5:$D$16)*$AC8*$C8,0),IF(AL$4=EDATE('核心假设'!$B$5,17+$F8),SUM('融资租赁与资金缺口'!$D$5:$D$16)*$AD8*$C8,0))-AL27</x:f>
        <x:v>-53377648.18915184</x:v>
      </x:c>
      <x:c r="AM28" s="28" t="n">
        <x:f>AL28+AM24-AM25+SUM(IF(AM$4=EDATE('核心假设'!$B$5,0+$F8),SUM('融资租赁与资金缺口'!$D$5:$D$16)*$M8*$C8,0),IF(AM$4=EDATE('核心假设'!$B$5,1+$F8),SUM('融资租赁与资金缺口'!$D$5:$D$16)*$N8*$C8,0),IF(AM$4=EDATE('核心假设'!$B$5,2+$F8),SUM('融资租赁与资金缺口'!$D$5:$D$16)*$O8*$C8,0),IF(AM$4=EDATE('核心假设'!$B$5,3+$F8),SUM('融资租赁与资金缺口'!$D$5:$D$16)*$P8*$C8,0),IF(AM$4=EDATE('核心假设'!$B$5,4+$F8),SUM('融资租赁与资金缺口'!$D$5:$D$16)*$Q8*$C8,0),IF(AM$4=EDATE('核心假设'!$B$5,5+$F8),SUM('融资租赁与资金缺口'!$D$5:$D$16)*$R8*$C8,0),IF(AM$4=EDATE('核心假设'!$B$5,6+$F8),SUM('融资租赁与资金缺口'!$D$5:$D$16)*$S8*$C8,0),IF(AM$4=EDATE('核心假设'!$B$5,7+$F8),SUM('融资租赁与资金缺口'!$D$5:$D$16)*$T8*$C8,0),IF(AM$4=EDATE('核心假设'!$B$5,8+$F8),SUM('融资租赁与资金缺口'!$D$5:$D$16)*$U8*$C8,0),IF(AM$4=EDATE('核心假设'!$B$5,9+$F8),SUM('融资租赁与资金缺口'!$D$5:$D$16)*$V8*$C8,0),IF(AM$4=EDATE('核心假设'!$B$5,10+$F8),SUM('融资租赁与资金缺口'!$D$5:$D$16)*$W8*$C8,0),IF(AM$4=EDATE('核心假设'!$B$5,11+$F8),SUM('融资租赁与资金缺口'!$D$5:$D$16)*$X8*$C8,0),IF(AM$4=EDATE('核心假设'!$B$5,12+$F8),SUM('融资租赁与资金缺口'!$D$5:$D$16)*$Y8*$C8,0),IF(AM$4=EDATE('核心假设'!$B$5,13+$F8),SUM('融资租赁与资金缺口'!$D$5:$D$16)*$Z8*$C8,0),IF(AM$4=EDATE('核心假设'!$B$5,14+$F8),SUM('融资租赁与资金缺口'!$D$5:$D$16)*$AA8*$C8,0),IF(AM$4=EDATE('核心假设'!$B$5,15+$F8),SUM('融资租赁与资金缺口'!$D$5:$D$16)*$AB8*$C8,0),IF(AM$4=EDATE('核心假设'!$B$5,16+$F8),SUM('融资租赁与资金缺口'!$D$5:$D$16)*$AC8*$C8,0),IF(AM$4=EDATE('核心假设'!$B$5,17+$F8),SUM('融资租赁与资金缺口'!$D$5:$D$16)*$AD8*$C8,0))-AM27</x:f>
        <x:v>-56184583.94938567</x:v>
      </x:c>
      <x:c r="AN28" s="28" t="n">
        <x:f>AM28+AN24-AN25+SUM(IF(AN$4=EDATE('核心假设'!$B$5,0+$F8),SUM('融资租赁与资金缺口'!$D$5:$D$16)*$M8*$C8,0),IF(AN$4=EDATE('核心假设'!$B$5,1+$F8),SUM('融资租赁与资金缺口'!$D$5:$D$16)*$N8*$C8,0),IF(AN$4=EDATE('核心假设'!$B$5,2+$F8),SUM('融资租赁与资金缺口'!$D$5:$D$16)*$O8*$C8,0),IF(AN$4=EDATE('核心假设'!$B$5,3+$F8),SUM('融资租赁与资金缺口'!$D$5:$D$16)*$P8*$C8,0),IF(AN$4=EDATE('核心假设'!$B$5,4+$F8),SUM('融资租赁与资金缺口'!$D$5:$D$16)*$Q8*$C8,0),IF(AN$4=EDATE('核心假设'!$B$5,5+$F8),SUM('融资租赁与资金缺口'!$D$5:$D$16)*$R8*$C8,0),IF(AN$4=EDATE('核心假设'!$B$5,6+$F8),SUM('融资租赁与资金缺口'!$D$5:$D$16)*$S8*$C8,0),IF(AN$4=EDATE('核心假设'!$B$5,7+$F8),SUM('融资租赁与资金缺口'!$D$5:$D$16)*$T8*$C8,0),IF(AN$4=EDATE('核心假设'!$B$5,8+$F8),SUM('融资租赁与资金缺口'!$D$5:$D$16)*$U8*$C8,0),IF(AN$4=EDATE('核心假设'!$B$5,9+$F8),SUM('融资租赁与资金缺口'!$D$5:$D$16)*$V8*$C8,0),IF(AN$4=EDATE('核心假设'!$B$5,10+$F8),SUM('融资租赁与资金缺口'!$D$5:$D$16)*$W8*$C8,0),IF(AN$4=EDATE('核心假设'!$B$5,11+$F8),SUM('融资租赁与资金缺口'!$D$5:$D$16)*$X8*$C8,0),IF(AN$4=EDATE('核心假设'!$B$5,12+$F8),SUM('融资租赁与资金缺口'!$D$5:$D$16)*$Y8*$C8,0),IF(AN$4=EDATE('核心假设'!$B$5,13+$F8),SUM('融资租赁与资金缺口'!$D$5:$D$16)*$Z8*$C8,0),IF(AN$4=EDATE('核心假设'!$B$5,14+$F8),SUM('融资租赁与资金缺口'!$D$5:$D$16)*$AA8*$C8,0),IF(AN$4=EDATE('核心假设'!$B$5,15+$F8),SUM('融资租赁与资金缺口'!$D$5:$D$16)*$AB8*$C8,0),IF(AN$4=EDATE('核心假设'!$B$5,16+$F8),SUM('融资租赁与资金缺口'!$D$5:$D$16)*$AC8*$C8,0),IF(AN$4=EDATE('核心假设'!$B$5,17+$F8),SUM('融资租赁与资金缺口'!$D$5:$D$16)*$AD8*$C8,0))-AN27</x:f>
        <x:v>-51258312.20013042</x:v>
      </x:c>
      <x:c r="AO28" s="28" t="n">
        <x:f>AN28+AO24-AO25+SUM(IF(AO$4=EDATE('核心假设'!$B$5,0+$F8),SUM('融资租赁与资金缺口'!$D$5:$D$16)*$M8*$C8,0),IF(AO$4=EDATE('核心假设'!$B$5,1+$F8),SUM('融资租赁与资金缺口'!$D$5:$D$16)*$N8*$C8,0),IF(AO$4=EDATE('核心假设'!$B$5,2+$F8),SUM('融资租赁与资金缺口'!$D$5:$D$16)*$O8*$C8,0),IF(AO$4=EDATE('核心假设'!$B$5,3+$F8),SUM('融资租赁与资金缺口'!$D$5:$D$16)*$P8*$C8,0),IF(AO$4=EDATE('核心假设'!$B$5,4+$F8),SUM('融资租赁与资金缺口'!$D$5:$D$16)*$Q8*$C8,0),IF(AO$4=EDATE('核心假设'!$B$5,5+$F8),SUM('融资租赁与资金缺口'!$D$5:$D$16)*$R8*$C8,0),IF(AO$4=EDATE('核心假设'!$B$5,6+$F8),SUM('融资租赁与资金缺口'!$D$5:$D$16)*$S8*$C8,0),IF(AO$4=EDATE('核心假设'!$B$5,7+$F8),SUM('融资租赁与资金缺口'!$D$5:$D$16)*$T8*$C8,0),IF(AO$4=EDATE('核心假设'!$B$5,8+$F8),SUM('融资租赁与资金缺口'!$D$5:$D$16)*$U8*$C8,0),IF(AO$4=EDATE('核心假设'!$B$5,9+$F8),SUM('融资租赁与资金缺口'!$D$5:$D$16)*$V8*$C8,0),IF(AO$4=EDATE('核心假设'!$B$5,10+$F8),SUM('融资租赁与资金缺口'!$D$5:$D$16)*$W8*$C8,0),IF(AO$4=EDATE('核心假设'!$B$5,11+$F8),SUM('融资租赁与资金缺口'!$D$5:$D$16)*$X8*$C8,0),IF(AO$4=EDATE('核心假设'!$B$5,12+$F8),SUM('融资租赁与资金缺口'!$D$5:$D$16)*$Y8*$C8,0),IF(AO$4=EDATE('核心假设'!$B$5,13+$F8),SUM('融资租赁与资金缺口'!$D$5:$D$16)*$Z8*$C8,0),IF(AO$4=EDATE('核心假设'!$B$5,14+$F8),SUM('融资租赁与资金缺口'!$D$5:$D$16)*$AA8*$C8,0),IF(AO$4=EDATE('核心假设'!$B$5,15+$F8),SUM('融资租赁与资金缺口'!$D$5:$D$16)*$AB8*$C8,0),IF(AO$4=EDATE('核心假设'!$B$5,16+$F8),SUM('融资租赁与资金缺口'!$D$5:$D$16)*$AC8*$C8,0),IF(AO$4=EDATE('核心假设'!$B$5,17+$F8),SUM('融资租赁与资金缺口'!$D$5:$D$16)*$AD8*$C8,0))-AO27</x:f>
        <x:v>-36509342.28483158</x:v>
      </x:c>
      <x:c r="AP28" s="28" t="n">
        <x:f>AO28+AP24-AP25+SUM(IF(AP$4=EDATE('核心假设'!$B$5,0+$F8),SUM('融资租赁与资金缺口'!$D$5:$D$16)*$M8*$C8,0),IF(AP$4=EDATE('核心假设'!$B$5,1+$F8),SUM('融资租赁与资金缺口'!$D$5:$D$16)*$N8*$C8,0),IF(AP$4=EDATE('核心假设'!$B$5,2+$F8),SUM('融资租赁与资金缺口'!$D$5:$D$16)*$O8*$C8,0),IF(AP$4=EDATE('核心假设'!$B$5,3+$F8),SUM('融资租赁与资金缺口'!$D$5:$D$16)*$P8*$C8,0),IF(AP$4=EDATE('核心假设'!$B$5,4+$F8),SUM('融资租赁与资金缺口'!$D$5:$D$16)*$Q8*$C8,0),IF(AP$4=EDATE('核心假设'!$B$5,5+$F8),SUM('融资租赁与资金缺口'!$D$5:$D$16)*$R8*$C8,0),IF(AP$4=EDATE('核心假设'!$B$5,6+$F8),SUM('融资租赁与资金缺口'!$D$5:$D$16)*$S8*$C8,0),IF(AP$4=EDATE('核心假设'!$B$5,7+$F8),SUM('融资租赁与资金缺口'!$D$5:$D$16)*$T8*$C8,0),IF(AP$4=EDATE('核心假设'!$B$5,8+$F8),SUM('融资租赁与资金缺口'!$D$5:$D$16)*$U8*$C8,0),IF(AP$4=EDATE('核心假设'!$B$5,9+$F8),SUM('融资租赁与资金缺口'!$D$5:$D$16)*$V8*$C8,0),IF(AP$4=EDATE('核心假设'!$B$5,10+$F8),SUM('融资租赁与资金缺口'!$D$5:$D$16)*$W8*$C8,0),IF(AP$4=EDATE('核心假设'!$B$5,11+$F8),SUM('融资租赁与资金缺口'!$D$5:$D$16)*$X8*$C8,0),IF(AP$4=EDATE('核心假设'!$B$5,12+$F8),SUM('融资租赁与资金缺口'!$D$5:$D$16)*$Y8*$C8,0),IF(AP$4=EDATE('核心假设'!$B$5,13+$F8),SUM('融资租赁与资金缺口'!$D$5:$D$16)*$Z8*$C8,0),IF(AP$4=EDATE('核心假设'!$B$5,14+$F8),SUM('融资租赁与资金缺口'!$D$5:$D$16)*$AA8*$C8,0),IF(AP$4=EDATE('核心假设'!$B$5,15+$F8),SUM('融资租赁与资金缺口'!$D$5:$D$16)*$AB8*$C8,0),IF(AP$4=EDATE('核心假设'!$B$5,16+$F8),SUM('融资租赁与资金缺口'!$D$5:$D$16)*$AC8*$C8,0),IF(AP$4=EDATE('核心假设'!$B$5,17+$F8),SUM('融资租赁与资金缺口'!$D$5:$D$16)*$AD8*$C8,0))-AP27</x:f>
        <x:v>-17158976.21664819</x:v>
      </x:c>
      <x:c r="AQ28" s="28" t="n">
        <x:f>AP28+AQ24-AQ25+SUM(IF(AQ$4=EDATE('核心假设'!$B$5,0+$F8),SUM('融资租赁与资金缺口'!$D$5:$D$16)*$M8*$C8,0),IF(AQ$4=EDATE('核心假设'!$B$5,1+$F8),SUM('融资租赁与资金缺口'!$D$5:$D$16)*$N8*$C8,0),IF(AQ$4=EDATE('核心假设'!$B$5,2+$F8),SUM('融资租赁与资金缺口'!$D$5:$D$16)*$O8*$C8,0),IF(AQ$4=EDATE('核心假设'!$B$5,3+$F8),SUM('融资租赁与资金缺口'!$D$5:$D$16)*$P8*$C8,0),IF(AQ$4=EDATE('核心假设'!$B$5,4+$F8),SUM('融资租赁与资金缺口'!$D$5:$D$16)*$Q8*$C8,0),IF(AQ$4=EDATE('核心假设'!$B$5,5+$F8),SUM('融资租赁与资金缺口'!$D$5:$D$16)*$R8*$C8,0),IF(AQ$4=EDATE('核心假设'!$B$5,6+$F8),SUM('融资租赁与资金缺口'!$D$5:$D$16)*$S8*$C8,0),IF(AQ$4=EDATE('核心假设'!$B$5,7+$F8),SUM('融资租赁与资金缺口'!$D$5:$D$16)*$T8*$C8,0),IF(AQ$4=EDATE('核心假设'!$B$5,8+$F8),SUM('融资租赁与资金缺口'!$D$5:$D$16)*$U8*$C8,0),IF(AQ$4=EDATE('核心假设'!$B$5,9+$F8),SUM('融资租赁与资金缺口'!$D$5:$D$16)*$V8*$C8,0),IF(AQ$4=EDATE('核心假设'!$B$5,10+$F8),SUM('融资租赁与资金缺口'!$D$5:$D$16)*$W8*$C8,0),IF(AQ$4=EDATE('核心假设'!$B$5,11+$F8),SUM('融资租赁与资金缺口'!$D$5:$D$16)*$X8*$C8,0),IF(AQ$4=EDATE('核心假设'!$B$5,12+$F8),SUM('融资租赁与资金缺口'!$D$5:$D$16)*$Y8*$C8,0),IF(AQ$4=EDATE('核心假设'!$B$5,13+$F8),SUM('融资租赁与资金缺口'!$D$5:$D$16)*$Z8*$C8,0),IF(AQ$4=EDATE('核心假设'!$B$5,14+$F8),SUM('融资租赁与资金缺口'!$D$5:$D$16)*$AA8*$C8,0),IF(AQ$4=EDATE('核心假设'!$B$5,15+$F8),SUM('融资租赁与资金缺口'!$D$5:$D$16)*$AB8*$C8,0),IF(AQ$4=EDATE('核心假设'!$B$5,16+$F8),SUM('融资租赁与资金缺口'!$D$5:$D$16)*$AC8*$C8,0),IF(AQ$4=EDATE('核心假设'!$B$5,17+$F8),SUM('融资租赁与资金缺口'!$D$5:$D$16)*$AD8*$C8,0))-AQ27</x:f>
        <x:v>5636331.999284305</x:v>
      </x:c>
      <x:c r="AR28" s="28" t="n">
        <x:f>AQ28+AR24-AR25+SUM(IF(AR$4=EDATE('核心假设'!$B$5,0+$F8),SUM('融资租赁与资金缺口'!$D$5:$D$16)*$M8*$C8,0),IF(AR$4=EDATE('核心假设'!$B$5,1+$F8),SUM('融资租赁与资金缺口'!$D$5:$D$16)*$N8*$C8,0),IF(AR$4=EDATE('核心假设'!$B$5,2+$F8),SUM('融资租赁与资金缺口'!$D$5:$D$16)*$O8*$C8,0),IF(AR$4=EDATE('核心假设'!$B$5,3+$F8),SUM('融资租赁与资金缺口'!$D$5:$D$16)*$P8*$C8,0),IF(AR$4=EDATE('核心假设'!$B$5,4+$F8),SUM('融资租赁与资金缺口'!$D$5:$D$16)*$Q8*$C8,0),IF(AR$4=EDATE('核心假设'!$B$5,5+$F8),SUM('融资租赁与资金缺口'!$D$5:$D$16)*$R8*$C8,0),IF(AR$4=EDATE('核心假设'!$B$5,6+$F8),SUM('融资租赁与资金缺口'!$D$5:$D$16)*$S8*$C8,0),IF(AR$4=EDATE('核心假设'!$B$5,7+$F8),SUM('融资租赁与资金缺口'!$D$5:$D$16)*$T8*$C8,0),IF(AR$4=EDATE('核心假设'!$B$5,8+$F8),SUM('融资租赁与资金缺口'!$D$5:$D$16)*$U8*$C8,0),IF(AR$4=EDATE('核心假设'!$B$5,9+$F8),SUM('融资租赁与资金缺口'!$D$5:$D$16)*$V8*$C8,0),IF(AR$4=EDATE('核心假设'!$B$5,10+$F8),SUM('融资租赁与资金缺口'!$D$5:$D$16)*$W8*$C8,0),IF(AR$4=EDATE('核心假设'!$B$5,11+$F8),SUM('融资租赁与资金缺口'!$D$5:$D$16)*$X8*$C8,0),IF(AR$4=EDATE('核心假设'!$B$5,12+$F8),SUM('融资租赁与资金缺口'!$D$5:$D$16)*$Y8*$C8,0),IF(AR$4=EDATE('核心假设'!$B$5,13+$F8),SUM('融资租赁与资金缺口'!$D$5:$D$16)*$Z8*$C8,0),IF(AR$4=EDATE('核心假设'!$B$5,14+$F8),SUM('融资租赁与资金缺口'!$D$5:$D$16)*$AA8*$C8,0),IF(AR$4=EDATE('核心假设'!$B$5,15+$F8),SUM('融资租赁与资金缺口'!$D$5:$D$16)*$AB8*$C8,0),IF(AR$4=EDATE('核心假设'!$B$5,16+$F8),SUM('融资租赁与资金缺口'!$D$5:$D$16)*$AC8*$C8,0),IF(AR$4=EDATE('核心假设'!$B$5,17+$F8),SUM('融资租赁与资金缺口'!$D$5:$D$16)*$AD8*$C8,0))-AR27</x:f>
        <x:v>32961968.525164455</x:v>
      </x:c>
      <x:c r="AS28" s="28" t="n">
        <x:f>AR28+AS24-AS25+SUM(IF(AS$4=EDATE('核心假设'!$B$5,0+$F8),SUM('融资租赁与资金缺口'!$D$5:$D$16)*$M8*$C8,0),IF(AS$4=EDATE('核心假设'!$B$5,1+$F8),SUM('融资租赁与资金缺口'!$D$5:$D$16)*$N8*$C8,0),IF(AS$4=EDATE('核心假设'!$B$5,2+$F8),SUM('融资租赁与资金缺口'!$D$5:$D$16)*$O8*$C8,0),IF(AS$4=EDATE('核心假设'!$B$5,3+$F8),SUM('融资租赁与资金缺口'!$D$5:$D$16)*$P8*$C8,0),IF(AS$4=EDATE('核心假设'!$B$5,4+$F8),SUM('融资租赁与资金缺口'!$D$5:$D$16)*$Q8*$C8,0),IF(AS$4=EDATE('核心假设'!$B$5,5+$F8),SUM('融资租赁与资金缺口'!$D$5:$D$16)*$R8*$C8,0),IF(AS$4=EDATE('核心假设'!$B$5,6+$F8),SUM('融资租赁与资金缺口'!$D$5:$D$16)*$S8*$C8,0),IF(AS$4=EDATE('核心假设'!$B$5,7+$F8),SUM('融资租赁与资金缺口'!$D$5:$D$16)*$T8*$C8,0),IF(AS$4=EDATE('核心假设'!$B$5,8+$F8),SUM('融资租赁与资金缺口'!$D$5:$D$16)*$U8*$C8,0),IF(AS$4=EDATE('核心假设'!$B$5,9+$F8),SUM('融资租赁与资金缺口'!$D$5:$D$16)*$V8*$C8,0),IF(AS$4=EDATE('核心假设'!$B$5,10+$F8),SUM('融资租赁与资金缺口'!$D$5:$D$16)*$W8*$C8,0),IF(AS$4=EDATE('核心假设'!$B$5,11+$F8),SUM('融资租赁与资金缺口'!$D$5:$D$16)*$X8*$C8,0),IF(AS$4=EDATE('核心假设'!$B$5,12+$F8),SUM('融资租赁与资金缺口'!$D$5:$D$16)*$Y8*$C8,0),IF(AS$4=EDATE('核心假设'!$B$5,13+$F8),SUM('融资租赁与资金缺口'!$D$5:$D$16)*$Z8*$C8,0),IF(AS$4=EDATE('核心假设'!$B$5,14+$F8),SUM('融资租赁与资金缺口'!$D$5:$D$16)*$AA8*$C8,0),IF(AS$4=EDATE('核心假设'!$B$5,15+$F8),SUM('融资租赁与资金缺口'!$D$5:$D$16)*$AB8*$C8,0),IF(AS$4=EDATE('核心假设'!$B$5,16+$F8),SUM('融资租赁与资金缺口'!$D$5:$D$16)*$AC8*$C8,0),IF(AS$4=EDATE('核心假设'!$B$5,17+$F8),SUM('融资租赁与资金缺口'!$D$5:$D$16)*$AD8*$C8,0))-AS27</x:f>
        <x:v>86211274.7776519</x:v>
      </x:c>
      <x:c r="AT28" s="28" t="n">
        <x:f>AS28+AT24-AT25+SUM(IF(AT$4=EDATE('核心假设'!$B$5,0+$F8),SUM('融资租赁与资金缺口'!$D$5:$D$16)*$M8*$C8,0),IF(AT$4=EDATE('核心假设'!$B$5,1+$F8),SUM('融资租赁与资金缺口'!$D$5:$D$16)*$N8*$C8,0),IF(AT$4=EDATE('核心假设'!$B$5,2+$F8),SUM('融资租赁与资金缺口'!$D$5:$D$16)*$O8*$C8,0),IF(AT$4=EDATE('核心假设'!$B$5,3+$F8),SUM('融资租赁与资金缺口'!$D$5:$D$16)*$P8*$C8,0),IF(AT$4=EDATE('核心假设'!$B$5,4+$F8),SUM('融资租赁与资金缺口'!$D$5:$D$16)*$Q8*$C8,0),IF(AT$4=EDATE('核心假设'!$B$5,5+$F8),SUM('融资租赁与资金缺口'!$D$5:$D$16)*$R8*$C8,0),IF(AT$4=EDATE('核心假设'!$B$5,6+$F8),SUM('融资租赁与资金缺口'!$D$5:$D$16)*$S8*$C8,0),IF(AT$4=EDATE('核心假设'!$B$5,7+$F8),SUM('融资租赁与资金缺口'!$D$5:$D$16)*$T8*$C8,0),IF(AT$4=EDATE('核心假设'!$B$5,8+$F8),SUM('融资租赁与资金缺口'!$D$5:$D$16)*$U8*$C8,0),IF(AT$4=EDATE('核心假设'!$B$5,9+$F8),SUM('融资租赁与资金缺口'!$D$5:$D$16)*$V8*$C8,0),IF(AT$4=EDATE('核心假设'!$B$5,10+$F8),SUM('融资租赁与资金缺口'!$D$5:$D$16)*$W8*$C8,0),IF(AT$4=EDATE('核心假设'!$B$5,11+$F8),SUM('融资租赁与资金缺口'!$D$5:$D$16)*$X8*$C8,0),IF(AT$4=EDATE('核心假设'!$B$5,12+$F8),SUM('融资租赁与资金缺口'!$D$5:$D$16)*$Y8*$C8,0),IF(AT$4=EDATE('核心假设'!$B$5,13+$F8),SUM('融资租赁与资金缺口'!$D$5:$D$16)*$Z8*$C8,0),IF(AT$4=EDATE('核心假设'!$B$5,14+$F8),SUM('融资租赁与资金缺口'!$D$5:$D$16)*$AA8*$C8,0),IF(AT$4=EDATE('核心假设'!$B$5,15+$F8),SUM('融资租赁与资金缺口'!$D$5:$D$16)*$AB8*$C8,0),IF(AT$4=EDATE('核心假设'!$B$5,16+$F8),SUM('融资租赁与资金缺口'!$D$5:$D$16)*$AC8*$C8,0),IF(AT$4=EDATE('核心假设'!$B$5,17+$F8),SUM('融资租赁与资金缺口'!$D$5:$D$16)*$AD8*$C8,0))-AT27</x:f>
        <x:v>106997516.6189015</x:v>
      </x:c>
      <x:c r="AU28" s="28" t="n">
        <x:f>AT28+AU24-AU25+SUM(IF(AU$4=EDATE('核心假设'!$B$5,0+$F8),SUM('融资租赁与资金缺口'!$D$5:$D$16)*$M8*$C8,0),IF(AU$4=EDATE('核心假设'!$B$5,1+$F8),SUM('融资租赁与资金缺口'!$D$5:$D$16)*$N8*$C8,0),IF(AU$4=EDATE('核心假设'!$B$5,2+$F8),SUM('融资租赁与资金缺口'!$D$5:$D$16)*$O8*$C8,0),IF(AU$4=EDATE('核心假设'!$B$5,3+$F8),SUM('融资租赁与资金缺口'!$D$5:$D$16)*$P8*$C8,0),IF(AU$4=EDATE('核心假设'!$B$5,4+$F8),SUM('融资租赁与资金缺口'!$D$5:$D$16)*$Q8*$C8,0),IF(AU$4=EDATE('核心假设'!$B$5,5+$F8),SUM('融资租赁与资金缺口'!$D$5:$D$16)*$R8*$C8,0),IF(AU$4=EDATE('核心假设'!$B$5,6+$F8),SUM('融资租赁与资金缺口'!$D$5:$D$16)*$S8*$C8,0),IF(AU$4=EDATE('核心假设'!$B$5,7+$F8),SUM('融资租赁与资金缺口'!$D$5:$D$16)*$T8*$C8,0),IF(AU$4=EDATE('核心假设'!$B$5,8+$F8),SUM('融资租赁与资金缺口'!$D$5:$D$16)*$U8*$C8,0),IF(AU$4=EDATE('核心假设'!$B$5,9+$F8),SUM('融资租赁与资金缺口'!$D$5:$D$16)*$V8*$C8,0),IF(AU$4=EDATE('核心假设'!$B$5,10+$F8),SUM('融资租赁与资金缺口'!$D$5:$D$16)*$W8*$C8,0),IF(AU$4=EDATE('核心假设'!$B$5,11+$F8),SUM('融资租赁与资金缺口'!$D$5:$D$16)*$X8*$C8,0),IF(AU$4=EDATE('核心假设'!$B$5,12+$F8),SUM('融资租赁与资金缺口'!$D$5:$D$16)*$Y8*$C8,0),IF(AU$4=EDATE('核心假设'!$B$5,13+$F8),SUM('融资租赁与资金缺口'!$D$5:$D$16)*$Z8*$C8,0),IF(AU$4=EDATE('核心假设'!$B$5,14+$F8),SUM('融资租赁与资金缺口'!$D$5:$D$16)*$AA8*$C8,0),IF(AU$4=EDATE('核心假设'!$B$5,15+$F8),SUM('融资租赁与资金缺口'!$D$5:$D$16)*$AB8*$C8,0),IF(AU$4=EDATE('核心假设'!$B$5,16+$F8),SUM('融资租赁与资金缺口'!$D$5:$D$16)*$AC8*$C8,0),IF(AU$4=EDATE('核心假设'!$B$5,17+$F8),SUM('融资租赁与资金缺口'!$D$5:$D$16)*$AD8*$C8,0))-AU27</x:f>
        <x:v>132011151.31395622</x:v>
      </x:c>
      <x:c r="AV28" s="28" t="n">
        <x:f>AU28+AV24-AV25+SUM(IF(AV$4=EDATE('核心假设'!$B$5,0+$F8),SUM('融资租赁与资金缺口'!$D$5:$D$16)*$M8*$C8,0),IF(AV$4=EDATE('核心假设'!$B$5,1+$F8),SUM('融资租赁与资金缺口'!$D$5:$D$16)*$N8*$C8,0),IF(AV$4=EDATE('核心假设'!$B$5,2+$F8),SUM('融资租赁与资金缺口'!$D$5:$D$16)*$O8*$C8,0),IF(AV$4=EDATE('核心假设'!$B$5,3+$F8),SUM('融资租赁与资金缺口'!$D$5:$D$16)*$P8*$C8,0),IF(AV$4=EDATE('核心假设'!$B$5,4+$F8),SUM('融资租赁与资金缺口'!$D$5:$D$16)*$Q8*$C8,0),IF(AV$4=EDATE('核心假设'!$B$5,5+$F8),SUM('融资租赁与资金缺口'!$D$5:$D$16)*$R8*$C8,0),IF(AV$4=EDATE('核心假设'!$B$5,6+$F8),SUM('融资租赁与资金缺口'!$D$5:$D$16)*$S8*$C8,0),IF(AV$4=EDATE('核心假设'!$B$5,7+$F8),SUM('融资租赁与资金缺口'!$D$5:$D$16)*$T8*$C8,0),IF(AV$4=EDATE('核心假设'!$B$5,8+$F8),SUM('融资租赁与资金缺口'!$D$5:$D$16)*$U8*$C8,0),IF(AV$4=EDATE('核心假设'!$B$5,9+$F8),SUM('融资租赁与资金缺口'!$D$5:$D$16)*$V8*$C8,0),IF(AV$4=EDATE('核心假设'!$B$5,10+$F8),SUM('融资租赁与资金缺口'!$D$5:$D$16)*$W8*$C8,0),IF(AV$4=EDATE('核心假设'!$B$5,11+$F8),SUM('融资租赁与资金缺口'!$D$5:$D$16)*$X8*$C8,0),IF(AV$4=EDATE('核心假设'!$B$5,12+$F8),SUM('融资租赁与资金缺口'!$D$5:$D$16)*$Y8*$C8,0),IF(AV$4=EDATE('核心假设'!$B$5,13+$F8),SUM('融资租赁与资金缺口'!$D$5:$D$16)*$Z8*$C8,0),IF(AV$4=EDATE('核心假设'!$B$5,14+$F8),SUM('融资租赁与资金缺口'!$D$5:$D$16)*$AA8*$C8,0),IF(AV$4=EDATE('核心假设'!$B$5,15+$F8),SUM('融资租赁与资金缺口'!$D$5:$D$16)*$AB8*$C8,0),IF(AV$4=EDATE('核心假设'!$B$5,16+$F8),SUM('融资租赁与资金缺口'!$D$5:$D$16)*$AC8*$C8,0),IF(AV$4=EDATE('核心假设'!$B$5,17+$F8),SUM('融资租赁与资金缺口'!$D$5:$D$16)*$AD8*$C8,0))-AV27</x:f>
        <x:v>153427886.87123775</x:v>
      </x:c>
      <x:c r="AW28" s="28" t="n">
        <x:f>AV28+AW24-AW25+SUM(IF(AW$4=EDATE('核心假设'!$B$5,0+$F8),SUM('融资租赁与资金缺口'!$D$5:$D$16)*$M8*$C8,0),IF(AW$4=EDATE('核心假设'!$B$5,1+$F8),SUM('融资租赁与资金缺口'!$D$5:$D$16)*$N8*$C8,0),IF(AW$4=EDATE('核心假设'!$B$5,2+$F8),SUM('融资租赁与资金缺口'!$D$5:$D$16)*$O8*$C8,0),IF(AW$4=EDATE('核心假设'!$B$5,3+$F8),SUM('融资租赁与资金缺口'!$D$5:$D$16)*$P8*$C8,0),IF(AW$4=EDATE('核心假设'!$B$5,4+$F8),SUM('融资租赁与资金缺口'!$D$5:$D$16)*$Q8*$C8,0),IF(AW$4=EDATE('核心假设'!$B$5,5+$F8),SUM('融资租赁与资金缺口'!$D$5:$D$16)*$R8*$C8,0),IF(AW$4=EDATE('核心假设'!$B$5,6+$F8),SUM('融资租赁与资金缺口'!$D$5:$D$16)*$S8*$C8,0),IF(AW$4=EDATE('核心假设'!$B$5,7+$F8),SUM('融资租赁与资金缺口'!$D$5:$D$16)*$T8*$C8,0),IF(AW$4=EDATE('核心假设'!$B$5,8+$F8),SUM('融资租赁与资金缺口'!$D$5:$D$16)*$U8*$C8,0),IF(AW$4=EDATE('核心假设'!$B$5,9+$F8),SUM('融资租赁与资金缺口'!$D$5:$D$16)*$V8*$C8,0),IF(AW$4=EDATE('核心假设'!$B$5,10+$F8),SUM('融资租赁与资金缺口'!$D$5:$D$16)*$W8*$C8,0),IF(AW$4=EDATE('核心假设'!$B$5,11+$F8),SUM('融资租赁与资金缺口'!$D$5:$D$16)*$X8*$C8,0),IF(AW$4=EDATE('核心假设'!$B$5,12+$F8),SUM('融资租赁与资金缺口'!$D$5:$D$16)*$Y8*$C8,0),IF(AW$4=EDATE('核心假设'!$B$5,13+$F8),SUM('融资租赁与资金缺口'!$D$5:$D$16)*$Z8*$C8,0),IF(AW$4=EDATE('核心假设'!$B$5,14+$F8),SUM('融资租赁与资金缺口'!$D$5:$D$16)*$AA8*$C8,0),IF(AW$4=EDATE('核心假设'!$B$5,15+$F8),SUM('融资租赁与资金缺口'!$D$5:$D$16)*$AB8*$C8,0),IF(AW$4=EDATE('核心假设'!$B$5,16+$F8),SUM('融资租赁与资金缺口'!$D$5:$D$16)*$AC8*$C8,0),IF(AW$4=EDATE('核心假设'!$B$5,17+$F8),SUM('融资租赁与资金缺口'!$D$5:$D$16)*$AD8*$C8,0))-AW27</x:f>
        <x:v>168990369.2889322</x:v>
      </x:c>
      <x:c r="AX28" s="28" t="n">
        <x:f>AW28+AX24-AX25+SUM(IF(AX$4=EDATE('核心假设'!$B$5,0+$F8),SUM('融资租赁与资金缺口'!$D$5:$D$16)*$M8*$C8,0),IF(AX$4=EDATE('核心假设'!$B$5,1+$F8),SUM('融资租赁与资金缺口'!$D$5:$D$16)*$N8*$C8,0),IF(AX$4=EDATE('核心假设'!$B$5,2+$F8),SUM('融资租赁与资金缺口'!$D$5:$D$16)*$O8*$C8,0),IF(AX$4=EDATE('核心假设'!$B$5,3+$F8),SUM('融资租赁与资金缺口'!$D$5:$D$16)*$P8*$C8,0),IF(AX$4=EDATE('核心假设'!$B$5,4+$F8),SUM('融资租赁与资金缺口'!$D$5:$D$16)*$Q8*$C8,0),IF(AX$4=EDATE('核心假设'!$B$5,5+$F8),SUM('融资租赁与资金缺口'!$D$5:$D$16)*$R8*$C8,0),IF(AX$4=EDATE('核心假设'!$B$5,6+$F8),SUM('融资租赁与资金缺口'!$D$5:$D$16)*$S8*$C8,0),IF(AX$4=EDATE('核心假设'!$B$5,7+$F8),SUM('融资租赁与资金缺口'!$D$5:$D$16)*$T8*$C8,0),IF(AX$4=EDATE('核心假设'!$B$5,8+$F8),SUM('融资租赁与资金缺口'!$D$5:$D$16)*$U8*$C8,0),IF(AX$4=EDATE('核心假设'!$B$5,9+$F8),SUM('融资租赁与资金缺口'!$D$5:$D$16)*$V8*$C8,0),IF(AX$4=EDATE('核心假设'!$B$5,10+$F8),SUM('融资租赁与资金缺口'!$D$5:$D$16)*$W8*$C8,0),IF(AX$4=EDATE('核心假设'!$B$5,11+$F8),SUM('融资租赁与资金缺口'!$D$5:$D$16)*$X8*$C8,0),IF(AX$4=EDATE('核心假设'!$B$5,12+$F8),SUM('融资租赁与资金缺口'!$D$5:$D$16)*$Y8*$C8,0),IF(AX$4=EDATE('核心假设'!$B$5,13+$F8),SUM('融资租赁与资金缺口'!$D$5:$D$16)*$Z8*$C8,0),IF(AX$4=EDATE('核心假设'!$B$5,14+$F8),SUM('融资租赁与资金缺口'!$D$5:$D$16)*$AA8*$C8,0),IF(AX$4=EDATE('核心假设'!$B$5,15+$F8),SUM('融资租赁与资金缺口'!$D$5:$D$16)*$AB8*$C8,0),IF(AX$4=EDATE('核心假设'!$B$5,16+$F8),SUM('融资租赁与资金缺口'!$D$5:$D$16)*$AC8*$C8,0),IF(AX$4=EDATE('核心假设'!$B$5,17+$F8),SUM('融资租赁与资金缺口'!$D$5:$D$16)*$AD8*$C8,0))-AX27</x:f>
        <x:v>185141931.67417246</x:v>
      </x:c>
      <x:c r="AY28" s="28" t="n">
        <x:f>AX28+AY24-AY25+SUM(IF(AY$4=EDATE('核心假设'!$B$5,0+$F8),SUM('融资租赁与资金缺口'!$D$5:$D$16)*$M8*$C8,0),IF(AY$4=EDATE('核心假设'!$B$5,1+$F8),SUM('融资租赁与资金缺口'!$D$5:$D$16)*$N8*$C8,0),IF(AY$4=EDATE('核心假设'!$B$5,2+$F8),SUM('融资租赁与资金缺口'!$D$5:$D$16)*$O8*$C8,0),IF(AY$4=EDATE('核心假设'!$B$5,3+$F8),SUM('融资租赁与资金缺口'!$D$5:$D$16)*$P8*$C8,0),IF(AY$4=EDATE('核心假设'!$B$5,4+$F8),SUM('融资租赁与资金缺口'!$D$5:$D$16)*$Q8*$C8,0),IF(AY$4=EDATE('核心假设'!$B$5,5+$F8),SUM('融资租赁与资金缺口'!$D$5:$D$16)*$R8*$C8,0),IF(AY$4=EDATE('核心假设'!$B$5,6+$F8),SUM('融资租赁与资金缺口'!$D$5:$D$16)*$S8*$C8,0),IF(AY$4=EDATE('核心假设'!$B$5,7+$F8),SUM('融资租赁与资金缺口'!$D$5:$D$16)*$T8*$C8,0),IF(AY$4=EDATE('核心假设'!$B$5,8+$F8),SUM('融资租赁与资金缺口'!$D$5:$D$16)*$U8*$C8,0),IF(AY$4=EDATE('核心假设'!$B$5,9+$F8),SUM('融资租赁与资金缺口'!$D$5:$D$16)*$V8*$C8,0),IF(AY$4=EDATE('核心假设'!$B$5,10+$F8),SUM('融资租赁与资金缺口'!$D$5:$D$16)*$W8*$C8,0),IF(AY$4=EDATE('核心假设'!$B$5,11+$F8),SUM('融资租赁与资金缺口'!$D$5:$D$16)*$X8*$C8,0),IF(AY$4=EDATE('核心假设'!$B$5,12+$F8),SUM('融资租赁与资金缺口'!$D$5:$D$16)*$Y8*$C8,0),IF(AY$4=EDATE('核心假设'!$B$5,13+$F8),SUM('融资租赁与资金缺口'!$D$5:$D$16)*$Z8*$C8,0),IF(AY$4=EDATE('核心假设'!$B$5,14+$F8),SUM('融资租赁与资金缺口'!$D$5:$D$16)*$AA8*$C8,0),IF(AY$4=EDATE('核心假设'!$B$5,15+$F8),SUM('融资租赁与资金缺口'!$D$5:$D$16)*$AB8*$C8,0),IF(AY$4=EDATE('核心假设'!$B$5,16+$F8),SUM('融资租赁与资金缺口'!$D$5:$D$16)*$AC8*$C8,0),IF(AY$4=EDATE('核心假设'!$B$5,17+$F8),SUM('融资租赁与资金缺口'!$D$5:$D$16)*$AD8*$C8,0))-AY27</x:f>
        <x:v>201720021.1670565</x:v>
      </x:c>
      <x:c r="AZ28" s="28" t="n">
        <x:f>AY28+AZ24-AZ25+SUM(IF(AZ$4=EDATE('核心假设'!$B$5,0+$F8),SUM('融资租赁与资金缺口'!$D$5:$D$16)*$M8*$C8,0),IF(AZ$4=EDATE('核心假设'!$B$5,1+$F8),SUM('融资租赁与资金缺口'!$D$5:$D$16)*$N8*$C8,0),IF(AZ$4=EDATE('核心假设'!$B$5,2+$F8),SUM('融资租赁与资金缺口'!$D$5:$D$16)*$O8*$C8,0),IF(AZ$4=EDATE('核心假设'!$B$5,3+$F8),SUM('融资租赁与资金缺口'!$D$5:$D$16)*$P8*$C8,0),IF(AZ$4=EDATE('核心假设'!$B$5,4+$F8),SUM('融资租赁与资金缺口'!$D$5:$D$16)*$Q8*$C8,0),IF(AZ$4=EDATE('核心假设'!$B$5,5+$F8),SUM('融资租赁与资金缺口'!$D$5:$D$16)*$R8*$C8,0),IF(AZ$4=EDATE('核心假设'!$B$5,6+$F8),SUM('融资租赁与资金缺口'!$D$5:$D$16)*$S8*$C8,0),IF(AZ$4=EDATE('核心假设'!$B$5,7+$F8),SUM('融资租赁与资金缺口'!$D$5:$D$16)*$T8*$C8,0),IF(AZ$4=EDATE('核心假设'!$B$5,8+$F8),SUM('融资租赁与资金缺口'!$D$5:$D$16)*$U8*$C8,0),IF(AZ$4=EDATE('核心假设'!$B$5,9+$F8),SUM('融资租赁与资金缺口'!$D$5:$D$16)*$V8*$C8,0),IF(AZ$4=EDATE('核心假设'!$B$5,10+$F8),SUM('融资租赁与资金缺口'!$D$5:$D$16)*$W8*$C8,0),IF(AZ$4=EDATE('核心假设'!$B$5,11+$F8),SUM('融资租赁与资金缺口'!$D$5:$D$16)*$X8*$C8,0),IF(AZ$4=EDATE('核心假设'!$B$5,12+$F8),SUM('融资租赁与资金缺口'!$D$5:$D$16)*$Y8*$C8,0),IF(AZ$4=EDATE('核心假设'!$B$5,13+$F8),SUM('融资租赁与资金缺口'!$D$5:$D$16)*$Z8*$C8,0),IF(AZ$4=EDATE('核心假设'!$B$5,14+$F8),SUM('融资租赁与资金缺口'!$D$5:$D$16)*$AA8*$C8,0),IF(AZ$4=EDATE('核心假设'!$B$5,15+$F8),SUM('融资租赁与资金缺口'!$D$5:$D$16)*$AB8*$C8,0),IF(AZ$4=EDATE('核心假设'!$B$5,16+$F8),SUM('融资租赁与资金缺口'!$D$5:$D$16)*$AC8*$C8,0),IF(AZ$4=EDATE('核心假设'!$B$5,17+$F8),SUM('融资租赁与资金缺口'!$D$5:$D$16)*$AD8*$C8,0))-AZ27</x:f>
        <x:v>219180002.87269986</x:v>
      </x:c>
      <x:c r="BA28" s="28" t="n">
        <x:f>AZ28+BA24-BA25+SUM(IF(BA$4=EDATE('核心假设'!$B$5,0+$F8),SUM('融资租赁与资金缺口'!$D$5:$D$16)*$M8*$C8,0),IF(BA$4=EDATE('核心假设'!$B$5,1+$F8),SUM('融资租赁与资金缺口'!$D$5:$D$16)*$N8*$C8,0),IF(BA$4=EDATE('核心假设'!$B$5,2+$F8),SUM('融资租赁与资金缺口'!$D$5:$D$16)*$O8*$C8,0),IF(BA$4=EDATE('核心假设'!$B$5,3+$F8),SUM('融资租赁与资金缺口'!$D$5:$D$16)*$P8*$C8,0),IF(BA$4=EDATE('核心假设'!$B$5,4+$F8),SUM('融资租赁与资金缺口'!$D$5:$D$16)*$Q8*$C8,0),IF(BA$4=EDATE('核心假设'!$B$5,5+$F8),SUM('融资租赁与资金缺口'!$D$5:$D$16)*$R8*$C8,0),IF(BA$4=EDATE('核心假设'!$B$5,6+$F8),SUM('融资租赁与资金缺口'!$D$5:$D$16)*$S8*$C8,0),IF(BA$4=EDATE('核心假设'!$B$5,7+$F8),SUM('融资租赁与资金缺口'!$D$5:$D$16)*$T8*$C8,0),IF(BA$4=EDATE('核心假设'!$B$5,8+$F8),SUM('融资租赁与资金缺口'!$D$5:$D$16)*$U8*$C8,0),IF(BA$4=EDATE('核心假设'!$B$5,9+$F8),SUM('融资租赁与资金缺口'!$D$5:$D$16)*$V8*$C8,0),IF(BA$4=EDATE('核心假设'!$B$5,10+$F8),SUM('融资租赁与资金缺口'!$D$5:$D$16)*$W8*$C8,0),IF(BA$4=EDATE('核心假设'!$B$5,11+$F8),SUM('融资租赁与资金缺口'!$D$5:$D$16)*$X8*$C8,0),IF(BA$4=EDATE('核心假设'!$B$5,12+$F8),SUM('融资租赁与资金缺口'!$D$5:$D$16)*$Y8*$C8,0),IF(BA$4=EDATE('核心假设'!$B$5,13+$F8),SUM('融资租赁与资金缺口'!$D$5:$D$16)*$Z8*$C8,0),IF(BA$4=EDATE('核心假设'!$B$5,14+$F8),SUM('融资租赁与资金缺口'!$D$5:$D$16)*$AA8*$C8,0),IF(BA$4=EDATE('核心假设'!$B$5,15+$F8),SUM('融资租赁与资金缺口'!$D$5:$D$16)*$AB8*$C8,0),IF(BA$4=EDATE('核心假设'!$B$5,16+$F8),SUM('融资租赁与资金缺口'!$D$5:$D$16)*$AC8*$C8,0),IF(BA$4=EDATE('核心假设'!$B$5,17+$F8),SUM('融资租赁与资金缺口'!$D$5:$D$16)*$AD8*$C8,0))-BA27</x:f>
        <x:v>239235838.6821413</x:v>
      </x:c>
      <x:c r="BB28" s="28" t="n">
        <x:f>BA28+BB24-BB25+SUM(IF(BB$4=EDATE('核心假设'!$B$5,0+$F8),SUM('融资租赁与资金缺口'!$D$5:$D$16)*$M8*$C8,0),IF(BB$4=EDATE('核心假设'!$B$5,1+$F8),SUM('融资租赁与资金缺口'!$D$5:$D$16)*$N8*$C8,0),IF(BB$4=EDATE('核心假设'!$B$5,2+$F8),SUM('融资租赁与资金缺口'!$D$5:$D$16)*$O8*$C8,0),IF(BB$4=EDATE('核心假设'!$B$5,3+$F8),SUM('融资租赁与资金缺口'!$D$5:$D$16)*$P8*$C8,0),IF(BB$4=EDATE('核心假设'!$B$5,4+$F8),SUM('融资租赁与资金缺口'!$D$5:$D$16)*$Q8*$C8,0),IF(BB$4=EDATE('核心假设'!$B$5,5+$F8),SUM('融资租赁与资金缺口'!$D$5:$D$16)*$R8*$C8,0),IF(BB$4=EDATE('核心假设'!$B$5,6+$F8),SUM('融资租赁与资金缺口'!$D$5:$D$16)*$S8*$C8,0),IF(BB$4=EDATE('核心假设'!$B$5,7+$F8),SUM('融资租赁与资金缺口'!$D$5:$D$16)*$T8*$C8,0),IF(BB$4=EDATE('核心假设'!$B$5,8+$F8),SUM('融资租赁与资金缺口'!$D$5:$D$16)*$U8*$C8,0),IF(BB$4=EDATE('核心假设'!$B$5,9+$F8),SUM('融资租赁与资金缺口'!$D$5:$D$16)*$V8*$C8,0),IF(BB$4=EDATE('核心假设'!$B$5,10+$F8),SUM('融资租赁与资金缺口'!$D$5:$D$16)*$W8*$C8,0),IF(BB$4=EDATE('核心假设'!$B$5,11+$F8),SUM('融资租赁与资金缺口'!$D$5:$D$16)*$X8*$C8,0),IF(BB$4=EDATE('核心假设'!$B$5,12+$F8),SUM('融资租赁与资金缺口'!$D$5:$D$16)*$Y8*$C8,0),IF(BB$4=EDATE('核心假设'!$B$5,13+$F8),SUM('融资租赁与资金缺口'!$D$5:$D$16)*$Z8*$C8,0),IF(BB$4=EDATE('核心假设'!$B$5,14+$F8),SUM('融资租赁与资金缺口'!$D$5:$D$16)*$AA8*$C8,0),IF(BB$4=EDATE('核心假设'!$B$5,15+$F8),SUM('融资租赁与资金缺口'!$D$5:$D$16)*$AB8*$C8,0),IF(BB$4=EDATE('核心假设'!$B$5,16+$F8),SUM('融资租赁与资金缺口'!$D$5:$D$16)*$AC8*$C8,0),IF(BB$4=EDATE('核心假设'!$B$5,17+$F8),SUM('融资租赁与资金缺口'!$D$5:$D$16)*$AD8*$C8,0))-BB27</x:f>
        <x:v>261911862.08344805</x:v>
      </x:c>
      <x:c r="BC28" s="28" t="n">
        <x:f>BB28+BC24-BC25+SUM(IF(BC$4=EDATE('核心假设'!$B$5,0+$F8),SUM('融资租赁与资金缺口'!$D$5:$D$16)*$M8*$C8,0),IF(BC$4=EDATE('核心假设'!$B$5,1+$F8),SUM('融资租赁与资金缺口'!$D$5:$D$16)*$N8*$C8,0),IF(BC$4=EDATE('核心假设'!$B$5,2+$F8),SUM('融资租赁与资金缺口'!$D$5:$D$16)*$O8*$C8,0),IF(BC$4=EDATE('核心假设'!$B$5,3+$F8),SUM('融资租赁与资金缺口'!$D$5:$D$16)*$P8*$C8,0),IF(BC$4=EDATE('核心假设'!$B$5,4+$F8),SUM('融资租赁与资金缺口'!$D$5:$D$16)*$Q8*$C8,0),IF(BC$4=EDATE('核心假设'!$B$5,5+$F8),SUM('融资租赁与资金缺口'!$D$5:$D$16)*$R8*$C8,0),IF(BC$4=EDATE('核心假设'!$B$5,6+$F8),SUM('融资租赁与资金缺口'!$D$5:$D$16)*$S8*$C8,0),IF(BC$4=EDATE('核心假设'!$B$5,7+$F8),SUM('融资租赁与资金缺口'!$D$5:$D$16)*$T8*$C8,0),IF(BC$4=EDATE('核心假设'!$B$5,8+$F8),SUM('融资租赁与资金缺口'!$D$5:$D$16)*$U8*$C8,0),IF(BC$4=EDATE('核心假设'!$B$5,9+$F8),SUM('融资租赁与资金缺口'!$D$5:$D$16)*$V8*$C8,0),IF(BC$4=EDATE('核心假设'!$B$5,10+$F8),SUM('融资租赁与资金缺口'!$D$5:$D$16)*$W8*$C8,0),IF(BC$4=EDATE('核心假设'!$B$5,11+$F8),SUM('融资租赁与资金缺口'!$D$5:$D$16)*$X8*$C8,0),IF(BC$4=EDATE('核心假设'!$B$5,12+$F8),SUM('融资租赁与资金缺口'!$D$5:$D$16)*$Y8*$C8,0),IF(BC$4=EDATE('核心假设'!$B$5,13+$F8),SUM('融资租赁与资金缺口'!$D$5:$D$16)*$Z8*$C8,0),IF(BC$4=EDATE('核心假设'!$B$5,14+$F8),SUM('融资租赁与资金缺口'!$D$5:$D$16)*$AA8*$C8,0),IF(BC$4=EDATE('核心假设'!$B$5,15+$F8),SUM('融资租赁与资金缺口'!$D$5:$D$16)*$AB8*$C8,0),IF(BC$4=EDATE('核心假设'!$B$5,16+$F8),SUM('融资租赁与资金缺口'!$D$5:$D$16)*$AC8*$C8,0),IF(BC$4=EDATE('核心假设'!$B$5,17+$F8),SUM('融资租赁与资金缺口'!$D$5:$D$16)*$AD8*$C8,0))-BC27</x:f>
        <x:v>285966282.5029192</x:v>
      </x:c>
      <x:c r="BD28" s="28" t="n">
        <x:f>BC28+BD24-BD25+SUM(IF(BD$4=EDATE('核心假设'!$B$5,0+$F8),SUM('融资租赁与资金缺口'!$D$5:$D$16)*$M8*$C8,0),IF(BD$4=EDATE('核心假设'!$B$5,1+$F8),SUM('融资租赁与资金缺口'!$D$5:$D$16)*$N8*$C8,0),IF(BD$4=EDATE('核心假设'!$B$5,2+$F8),SUM('融资租赁与资金缺口'!$D$5:$D$16)*$O8*$C8,0),IF(BD$4=EDATE('核心假设'!$B$5,3+$F8),SUM('融资租赁与资金缺口'!$D$5:$D$16)*$P8*$C8,0),IF(BD$4=EDATE('核心假设'!$B$5,4+$F8),SUM('融资租赁与资金缺口'!$D$5:$D$16)*$Q8*$C8,0),IF(BD$4=EDATE('核心假设'!$B$5,5+$F8),SUM('融资租赁与资金缺口'!$D$5:$D$16)*$R8*$C8,0),IF(BD$4=EDATE('核心假设'!$B$5,6+$F8),SUM('融资租赁与资金缺口'!$D$5:$D$16)*$S8*$C8,0),IF(BD$4=EDATE('核心假设'!$B$5,7+$F8),SUM('融资租赁与资金缺口'!$D$5:$D$16)*$T8*$C8,0),IF(BD$4=EDATE('核心假设'!$B$5,8+$F8),SUM('融资租赁与资金缺口'!$D$5:$D$16)*$U8*$C8,0),IF(BD$4=EDATE('核心假设'!$B$5,9+$F8),SUM('融资租赁与资金缺口'!$D$5:$D$16)*$V8*$C8,0),IF(BD$4=EDATE('核心假设'!$B$5,10+$F8),SUM('融资租赁与资金缺口'!$D$5:$D$16)*$W8*$C8,0),IF(BD$4=EDATE('核心假设'!$B$5,11+$F8),SUM('融资租赁与资金缺口'!$D$5:$D$16)*$X8*$C8,0),IF(BD$4=EDATE('核心假设'!$B$5,12+$F8),SUM('融资租赁与资金缺口'!$D$5:$D$16)*$Y8*$C8,0),IF(BD$4=EDATE('核心假设'!$B$5,13+$F8),SUM('融资租赁与资金缺口'!$D$5:$D$16)*$Z8*$C8,0),IF(BD$4=EDATE('核心假设'!$B$5,14+$F8),SUM('融资租赁与资金缺口'!$D$5:$D$16)*$AA8*$C8,0),IF(BD$4=EDATE('核心假设'!$B$5,15+$F8),SUM('融资租赁与资金缺口'!$D$5:$D$16)*$AB8*$C8,0),IF(BD$4=EDATE('核心假设'!$B$5,16+$F8),SUM('融资租赁与资金缺口'!$D$5:$D$16)*$AC8*$C8,0),IF(BD$4=EDATE('核心假设'!$B$5,17+$F8),SUM('融资租赁与资金缺口'!$D$5:$D$16)*$AD8*$C8,0))-BD27</x:f>
        <x:v>307303257.9811568</x:v>
      </x:c>
      <x:c r="BE28" s="28" t="n">
        <x:f>BD28+BE24-BE25+SUM(IF(BE$4=EDATE('核心假设'!$B$5,0+$F8),SUM('融资租赁与资金缺口'!$D$5:$D$16)*$M8*$C8,0),IF(BE$4=EDATE('核心假设'!$B$5,1+$F8),SUM('融资租赁与资金缺口'!$D$5:$D$16)*$N8*$C8,0),IF(BE$4=EDATE('核心假设'!$B$5,2+$F8),SUM('融资租赁与资金缺口'!$D$5:$D$16)*$O8*$C8,0),IF(BE$4=EDATE('核心假设'!$B$5,3+$F8),SUM('融资租赁与资金缺口'!$D$5:$D$16)*$P8*$C8,0),IF(BE$4=EDATE('核心假设'!$B$5,4+$F8),SUM('融资租赁与资金缺口'!$D$5:$D$16)*$Q8*$C8,0),IF(BE$4=EDATE('核心假设'!$B$5,5+$F8),SUM('融资租赁与资金缺口'!$D$5:$D$16)*$R8*$C8,0),IF(BE$4=EDATE('核心假设'!$B$5,6+$F8),SUM('融资租赁与资金缺口'!$D$5:$D$16)*$S8*$C8,0),IF(BE$4=EDATE('核心假设'!$B$5,7+$F8),SUM('融资租赁与资金缺口'!$D$5:$D$16)*$T8*$C8,0),IF(BE$4=EDATE('核心假设'!$B$5,8+$F8),SUM('融资租赁与资金缺口'!$D$5:$D$16)*$U8*$C8,0),IF(BE$4=EDATE('核心假设'!$B$5,9+$F8),SUM('融资租赁与资金缺口'!$D$5:$D$16)*$V8*$C8,0),IF(BE$4=EDATE('核心假设'!$B$5,10+$F8),SUM('融资租赁与资金缺口'!$D$5:$D$16)*$W8*$C8,0),IF(BE$4=EDATE('核心假设'!$B$5,11+$F8),SUM('融资租赁与资金缺口'!$D$5:$D$16)*$X8*$C8,0),IF(BE$4=EDATE('核心假设'!$B$5,12+$F8),SUM('融资租赁与资金缺口'!$D$5:$D$16)*$Y8*$C8,0),IF(BE$4=EDATE('核心假设'!$B$5,13+$F8),SUM('融资租赁与资金缺口'!$D$5:$D$16)*$Z8*$C8,0),IF(BE$4=EDATE('核心假设'!$B$5,14+$F8),SUM('融资租赁与资金缺口'!$D$5:$D$16)*$AA8*$C8,0),IF(BE$4=EDATE('核心假设'!$B$5,15+$F8),SUM('融资租赁与资金缺口'!$D$5:$D$16)*$AB8*$C8,0),IF(BE$4=EDATE('核心假设'!$B$5,16+$F8),SUM('融资租赁与资金缺口'!$D$5:$D$16)*$AC8*$C8,0),IF(BE$4=EDATE('核心假设'!$B$5,17+$F8),SUM('融资租赁与资金缺口'!$D$5:$D$16)*$AD8*$C8,0))-BE27</x:f>
        <x:v>327614463.44520265</x:v>
      </x:c>
      <x:c r="BF28" s="28" t="n">
        <x:f>BE28+BF24-BF25+SUM(IF(BF$4=EDATE('核心假设'!$B$5,0+$F8),SUM('融资租赁与资金缺口'!$D$5:$D$16)*$M8*$C8,0),IF(BF$4=EDATE('核心假设'!$B$5,1+$F8),SUM('融资租赁与资金缺口'!$D$5:$D$16)*$N8*$C8,0),IF(BF$4=EDATE('核心假设'!$B$5,2+$F8),SUM('融资租赁与资金缺口'!$D$5:$D$16)*$O8*$C8,0),IF(BF$4=EDATE('核心假设'!$B$5,3+$F8),SUM('融资租赁与资金缺口'!$D$5:$D$16)*$P8*$C8,0),IF(BF$4=EDATE('核心假设'!$B$5,4+$F8),SUM('融资租赁与资金缺口'!$D$5:$D$16)*$Q8*$C8,0),IF(BF$4=EDATE('核心假设'!$B$5,5+$F8),SUM('融资租赁与资金缺口'!$D$5:$D$16)*$R8*$C8,0),IF(BF$4=EDATE('核心假设'!$B$5,6+$F8),SUM('融资租赁与资金缺口'!$D$5:$D$16)*$S8*$C8,0),IF(BF$4=EDATE('核心假设'!$B$5,7+$F8),SUM('融资租赁与资金缺口'!$D$5:$D$16)*$T8*$C8,0),IF(BF$4=EDATE('核心假设'!$B$5,8+$F8),SUM('融资租赁与资金缺口'!$D$5:$D$16)*$U8*$C8,0),IF(BF$4=EDATE('核心假设'!$B$5,9+$F8),SUM('融资租赁与资金缺口'!$D$5:$D$16)*$V8*$C8,0),IF(BF$4=EDATE('核心假设'!$B$5,10+$F8),SUM('融资租赁与资金缺口'!$D$5:$D$16)*$W8*$C8,0),IF(BF$4=EDATE('核心假设'!$B$5,11+$F8),SUM('融资租赁与资金缺口'!$D$5:$D$16)*$X8*$C8,0),IF(BF$4=EDATE('核心假设'!$B$5,12+$F8),SUM('融资租赁与资金缺口'!$D$5:$D$16)*$Y8*$C8,0),IF(BF$4=EDATE('核心假设'!$B$5,13+$F8),SUM('融资租赁与资金缺口'!$D$5:$D$16)*$Z8*$C8,0),IF(BF$4=EDATE('核心假设'!$B$5,14+$F8),SUM('融资租赁与资金缺口'!$D$5:$D$16)*$AA8*$C8,0),IF(BF$4=EDATE('核心假设'!$B$5,15+$F8),SUM('融资租赁与资金缺口'!$D$5:$D$16)*$AB8*$C8,0),IF(BF$4=EDATE('核心假设'!$B$5,16+$F8),SUM('融资租赁与资金缺口'!$D$5:$D$16)*$AC8*$C8,0),IF(BF$4=EDATE('核心假设'!$B$5,17+$F8),SUM('融资租赁与资金缺口'!$D$5:$D$16)*$AD8*$C8,0))-BF27</x:f>
        <x:v>348673948.9032983</x:v>
      </x:c>
      <x:c r="BG28" s="28" t="n">
        <x:f>BF28+BG24-BG25+SUM(IF(BG$4=EDATE('核心假设'!$B$5,0+$F8),SUM('融资租赁与资金缺口'!$D$5:$D$16)*$M8*$C8,0),IF(BG$4=EDATE('核心假设'!$B$5,1+$F8),SUM('融资租赁与资金缺口'!$D$5:$D$16)*$N8*$C8,0),IF(BG$4=EDATE('核心假设'!$B$5,2+$F8),SUM('融资租赁与资金缺口'!$D$5:$D$16)*$O8*$C8,0),IF(BG$4=EDATE('核心假设'!$B$5,3+$F8),SUM('融资租赁与资金缺口'!$D$5:$D$16)*$P8*$C8,0),IF(BG$4=EDATE('核心假设'!$B$5,4+$F8),SUM('融资租赁与资金缺口'!$D$5:$D$16)*$Q8*$C8,0),IF(BG$4=EDATE('核心假设'!$B$5,5+$F8),SUM('融资租赁与资金缺口'!$D$5:$D$16)*$R8*$C8,0),IF(BG$4=EDATE('核心假设'!$B$5,6+$F8),SUM('融资租赁与资金缺口'!$D$5:$D$16)*$S8*$C8,0),IF(BG$4=EDATE('核心假设'!$B$5,7+$F8),SUM('融资租赁与资金缺口'!$D$5:$D$16)*$T8*$C8,0),IF(BG$4=EDATE('核心假设'!$B$5,8+$F8),SUM('融资租赁与资金缺口'!$D$5:$D$16)*$U8*$C8,0),IF(BG$4=EDATE('核心假设'!$B$5,9+$F8),SUM('融资租赁与资金缺口'!$D$5:$D$16)*$V8*$C8,0),IF(BG$4=EDATE('核心假设'!$B$5,10+$F8),SUM('融资租赁与资金缺口'!$D$5:$D$16)*$W8*$C8,0),IF(BG$4=EDATE('核心假设'!$B$5,11+$F8),SUM('融资租赁与资金缺口'!$D$5:$D$16)*$X8*$C8,0),IF(BG$4=EDATE('核心假设'!$B$5,12+$F8),SUM('融资租赁与资金缺口'!$D$5:$D$16)*$Y8*$C8,0),IF(BG$4=EDATE('核心假设'!$B$5,13+$F8),SUM('融资租赁与资金缺口'!$D$5:$D$16)*$Z8*$C8,0),IF(BG$4=EDATE('核心假设'!$B$5,14+$F8),SUM('融资租赁与资金缺口'!$D$5:$D$16)*$AA8*$C8,0),IF(BG$4=EDATE('核心假设'!$B$5,15+$F8),SUM('融资租赁与资金缺口'!$D$5:$D$16)*$AB8*$C8,0),IF(BG$4=EDATE('核心假设'!$B$5,16+$F8),SUM('融资租赁与资金缺口'!$D$5:$D$16)*$AC8*$C8,0),IF(BG$4=EDATE('核心假设'!$B$5,17+$F8),SUM('融资租赁与资金缺口'!$D$5:$D$16)*$AD8*$C8,0))-BG27</x:f>
        <x:v>373763147.9870908</x:v>
      </x:c>
      <x:c r="BH28" s="28" t="n">
        <x:f>BG28+BH24-BH25+SUM(IF(BH$4=EDATE('核心假设'!$B$5,0+$F8),SUM('融资租赁与资金缺口'!$D$5:$D$16)*$M8*$C8,0),IF(BH$4=EDATE('核心假设'!$B$5,1+$F8),SUM('融资租赁与资金缺口'!$D$5:$D$16)*$N8*$C8,0),IF(BH$4=EDATE('核心假设'!$B$5,2+$F8),SUM('融资租赁与资金缺口'!$D$5:$D$16)*$O8*$C8,0),IF(BH$4=EDATE('核心假设'!$B$5,3+$F8),SUM('融资租赁与资金缺口'!$D$5:$D$16)*$P8*$C8,0),IF(BH$4=EDATE('核心假设'!$B$5,4+$F8),SUM('融资租赁与资金缺口'!$D$5:$D$16)*$Q8*$C8,0),IF(BH$4=EDATE('核心假设'!$B$5,5+$F8),SUM('融资租赁与资金缺口'!$D$5:$D$16)*$R8*$C8,0),IF(BH$4=EDATE('核心假设'!$B$5,6+$F8),SUM('融资租赁与资金缺口'!$D$5:$D$16)*$S8*$C8,0),IF(BH$4=EDATE('核心假设'!$B$5,7+$F8),SUM('融资租赁与资金缺口'!$D$5:$D$16)*$T8*$C8,0),IF(BH$4=EDATE('核心假设'!$B$5,8+$F8),SUM('融资租赁与资金缺口'!$D$5:$D$16)*$U8*$C8,0),IF(BH$4=EDATE('核心假设'!$B$5,9+$F8),SUM('融资租赁与资金缺口'!$D$5:$D$16)*$V8*$C8,0),IF(BH$4=EDATE('核心假设'!$B$5,10+$F8),SUM('融资租赁与资金缺口'!$D$5:$D$16)*$W8*$C8,0),IF(BH$4=EDATE('核心假设'!$B$5,11+$F8),SUM('融资租赁与资金缺口'!$D$5:$D$16)*$X8*$C8,0),IF(BH$4=EDATE('核心假设'!$B$5,12+$F8),SUM('融资租赁与资金缺口'!$D$5:$D$16)*$Y8*$C8,0),IF(BH$4=EDATE('核心假设'!$B$5,13+$F8),SUM('融资租赁与资金缺口'!$D$5:$D$16)*$Z8*$C8,0),IF(BH$4=EDATE('核心假设'!$B$5,14+$F8),SUM('融资租赁与资金缺口'!$D$5:$D$16)*$AA8*$C8,0),IF(BH$4=EDATE('核心假设'!$B$5,15+$F8),SUM('融资租赁与资金缺口'!$D$5:$D$16)*$AB8*$C8,0),IF(BH$4=EDATE('核心假设'!$B$5,16+$F8),SUM('融资租赁与资金缺口'!$D$5:$D$16)*$AC8*$C8,0),IF(BH$4=EDATE('核心假设'!$B$5,17+$F8),SUM('融资租赁与资金缺口'!$D$5:$D$16)*$AD8*$C8,0))-BH27</x:f>
        <x:v>395179883.5443724</x:v>
      </x:c>
      <x:c r="BI28" s="28" t="n">
        <x:f>BH28+BI24-BI25+SUM(IF(BI$4=EDATE('核心假设'!$B$5,0+$F8),SUM('融资租赁与资金缺口'!$D$5:$D$16)*$M8*$C8,0),IF(BI$4=EDATE('核心假设'!$B$5,1+$F8),SUM('融资租赁与资金缺口'!$D$5:$D$16)*$N8*$C8,0),IF(BI$4=EDATE('核心假设'!$B$5,2+$F8),SUM('融资租赁与资金缺口'!$D$5:$D$16)*$O8*$C8,0),IF(BI$4=EDATE('核心假设'!$B$5,3+$F8),SUM('融资租赁与资金缺口'!$D$5:$D$16)*$P8*$C8,0),IF(BI$4=EDATE('核心假设'!$B$5,4+$F8),SUM('融资租赁与资金缺口'!$D$5:$D$16)*$Q8*$C8,0),IF(BI$4=EDATE('核心假设'!$B$5,5+$F8),SUM('融资租赁与资金缺口'!$D$5:$D$16)*$R8*$C8,0),IF(BI$4=EDATE('核心假设'!$B$5,6+$F8),SUM('融资租赁与资金缺口'!$D$5:$D$16)*$S8*$C8,0),IF(BI$4=EDATE('核心假设'!$B$5,7+$F8),SUM('融资租赁与资金缺口'!$D$5:$D$16)*$T8*$C8,0),IF(BI$4=EDATE('核心假设'!$B$5,8+$F8),SUM('融资租赁与资金缺口'!$D$5:$D$16)*$U8*$C8,0),IF(BI$4=EDATE('核心假设'!$B$5,9+$F8),SUM('融资租赁与资金缺口'!$D$5:$D$16)*$V8*$C8,0),IF(BI$4=EDATE('核心假设'!$B$5,10+$F8),SUM('融资租赁与资金缺口'!$D$5:$D$16)*$W8*$C8,0),IF(BI$4=EDATE('核心假设'!$B$5,11+$F8),SUM('融资租赁与资金缺口'!$D$5:$D$16)*$X8*$C8,0),IF(BI$4=EDATE('核心假设'!$B$5,12+$F8),SUM('融资租赁与资金缺口'!$D$5:$D$16)*$Y8*$C8,0),IF(BI$4=EDATE('核心假设'!$B$5,13+$F8),SUM('融资租赁与资金缺口'!$D$5:$D$16)*$Z8*$C8,0),IF(BI$4=EDATE('核心假设'!$B$5,14+$F8),SUM('融资租赁与资金缺口'!$D$5:$D$16)*$AA8*$C8,0),IF(BI$4=EDATE('核心假设'!$B$5,15+$F8),SUM('融资租赁与资金缺口'!$D$5:$D$16)*$AB8*$C8,0),IF(BI$4=EDATE('核心假设'!$B$5,16+$F8),SUM('融资租赁与资金缺口'!$D$5:$D$16)*$AC8*$C8,0),IF(BI$4=EDATE('核心假设'!$B$5,17+$F8),SUM('融资租赁与资金缺口'!$D$5:$D$16)*$AD8*$C8,0))-BI27</x:f>
        <x:v>409623279.779331</x:v>
      </x:c>
      <x:c r="BJ28" s="28" t="n">
        <x:f>BI28+BJ24-BJ25+SUM(IF(BJ$4=EDATE('核心假设'!$B$5,0+$F8),SUM('融资租赁与资金缺口'!$D$5:$D$16)*$M8*$C8,0),IF(BJ$4=EDATE('核心假设'!$B$5,1+$F8),SUM('融资租赁与资金缺口'!$D$5:$D$16)*$N8*$C8,0),IF(BJ$4=EDATE('核心假设'!$B$5,2+$F8),SUM('融资租赁与资金缺口'!$D$5:$D$16)*$O8*$C8,0),IF(BJ$4=EDATE('核心假设'!$B$5,3+$F8),SUM('融资租赁与资金缺口'!$D$5:$D$16)*$P8*$C8,0),IF(BJ$4=EDATE('核心假设'!$B$5,4+$F8),SUM('融资租赁与资金缺口'!$D$5:$D$16)*$Q8*$C8,0),IF(BJ$4=EDATE('核心假设'!$B$5,5+$F8),SUM('融资租赁与资金缺口'!$D$5:$D$16)*$R8*$C8,0),IF(BJ$4=EDATE('核心假设'!$B$5,6+$F8),SUM('融资租赁与资金缺口'!$D$5:$D$16)*$S8*$C8,0),IF(BJ$4=EDATE('核心假设'!$B$5,7+$F8),SUM('融资租赁与资金缺口'!$D$5:$D$16)*$T8*$C8,0),IF(BJ$4=EDATE('核心假设'!$B$5,8+$F8),SUM('融资租赁与资金缺口'!$D$5:$D$16)*$U8*$C8,0),IF(BJ$4=EDATE('核心假设'!$B$5,9+$F8),SUM('融资租赁与资金缺口'!$D$5:$D$16)*$V8*$C8,0),IF(BJ$4=EDATE('核心假设'!$B$5,10+$F8),SUM('融资租赁与资金缺口'!$D$5:$D$16)*$W8*$C8,0),IF(BJ$4=EDATE('核心假设'!$B$5,11+$F8),SUM('融资租赁与资金缺口'!$D$5:$D$16)*$X8*$C8,0),IF(BJ$4=EDATE('核心假设'!$B$5,12+$F8),SUM('融资租赁与资金缺口'!$D$5:$D$16)*$Y8*$C8,0),IF(BJ$4=EDATE('核心假设'!$B$5,13+$F8),SUM('融资租赁与资金缺口'!$D$5:$D$16)*$Z8*$C8,0),IF(BJ$4=EDATE('核心假设'!$B$5,14+$F8),SUM('融资租赁与资金缺口'!$D$5:$D$16)*$AA8*$C8,0),IF(BJ$4=EDATE('核心假设'!$B$5,15+$F8),SUM('融资租赁与资金缺口'!$D$5:$D$16)*$AB8*$C8,0),IF(BJ$4=EDATE('核心假设'!$B$5,16+$F8),SUM('融资租赁与资金缺口'!$D$5:$D$16)*$AC8*$C8,0),IF(BJ$4=EDATE('核心假设'!$B$5,17+$F8),SUM('融资租赁与资金缺口'!$D$5:$D$16)*$AD8*$C8,0))-BJ27</x:f>
        <x:v>425774842.1645713</x:v>
      </x:c>
      <x:c r="BK28" s="28" t="n">
        <x:f>BJ28+BK24-BK25+SUM(IF(BK$4=EDATE('核心假设'!$B$5,0+$F8),SUM('融资租赁与资金缺口'!$D$5:$D$16)*$M8*$C8,0),IF(BK$4=EDATE('核心假设'!$B$5,1+$F8),SUM('融资租赁与资金缺口'!$D$5:$D$16)*$N8*$C8,0),IF(BK$4=EDATE('核心假设'!$B$5,2+$F8),SUM('融资租赁与资金缺口'!$D$5:$D$16)*$O8*$C8,0),IF(BK$4=EDATE('核心假设'!$B$5,3+$F8),SUM('融资租赁与资金缺口'!$D$5:$D$16)*$P8*$C8,0),IF(BK$4=EDATE('核心假设'!$B$5,4+$F8),SUM('融资租赁与资金缺口'!$D$5:$D$16)*$Q8*$C8,0),IF(BK$4=EDATE('核心假设'!$B$5,5+$F8),SUM('融资租赁与资金缺口'!$D$5:$D$16)*$R8*$C8,0),IF(BK$4=EDATE('核心假设'!$B$5,6+$F8),SUM('融资租赁与资金缺口'!$D$5:$D$16)*$S8*$C8,0),IF(BK$4=EDATE('核心假设'!$B$5,7+$F8),SUM('融资租赁与资金缺口'!$D$5:$D$16)*$T8*$C8,0),IF(BK$4=EDATE('核心假设'!$B$5,8+$F8),SUM('融资租赁与资金缺口'!$D$5:$D$16)*$U8*$C8,0),IF(BK$4=EDATE('核心假设'!$B$5,9+$F8),SUM('融资租赁与资金缺口'!$D$5:$D$16)*$V8*$C8,0),IF(BK$4=EDATE('核心假设'!$B$5,10+$F8),SUM('融资租赁与资金缺口'!$D$5:$D$16)*$W8*$C8,0),IF(BK$4=EDATE('核心假设'!$B$5,11+$F8),SUM('融资租赁与资金缺口'!$D$5:$D$16)*$X8*$C8,0),IF(BK$4=EDATE('核心假设'!$B$5,12+$F8),SUM('融资租赁与资金缺口'!$D$5:$D$16)*$Y8*$C8,0),IF(BK$4=EDATE('核心假设'!$B$5,13+$F8),SUM('融资租赁与资金缺口'!$D$5:$D$16)*$Z8*$C8,0),IF(BK$4=EDATE('核心假设'!$B$5,14+$F8),SUM('融资租赁与资金缺口'!$D$5:$D$16)*$AA8*$C8,0),IF(BK$4=EDATE('核心假设'!$B$5,15+$F8),SUM('融资租赁与资金缺口'!$D$5:$D$16)*$AB8*$C8,0),IF(BK$4=EDATE('核心假设'!$B$5,16+$F8),SUM('融资租赁与资金缺口'!$D$5:$D$16)*$AC8*$C8,0),IF(BK$4=EDATE('核心假设'!$B$5,17+$F8),SUM('融资租赁与资金缺口'!$D$5:$D$16)*$AD8*$C8,0))-BK27</x:f>
        <x:v>442352931.6574553</x:v>
      </x:c>
      <x:c r="BL28" s="28" t="n">
        <x:f>BK28+BL24-BL25+SUM(IF(BL$4=EDATE('核心假设'!$B$5,0+$F8),SUM('融资租赁与资金缺口'!$D$5:$D$16)*$M8*$C8,0),IF(BL$4=EDATE('核心假设'!$B$5,1+$F8),SUM('融资租赁与资金缺口'!$D$5:$D$16)*$N8*$C8,0),IF(BL$4=EDATE('核心假设'!$B$5,2+$F8),SUM('融资租赁与资金缺口'!$D$5:$D$16)*$O8*$C8,0),IF(BL$4=EDATE('核心假设'!$B$5,3+$F8),SUM('融资租赁与资金缺口'!$D$5:$D$16)*$P8*$C8,0),IF(BL$4=EDATE('核心假设'!$B$5,4+$F8),SUM('融资租赁与资金缺口'!$D$5:$D$16)*$Q8*$C8,0),IF(BL$4=EDATE('核心假设'!$B$5,5+$F8),SUM('融资租赁与资金缺口'!$D$5:$D$16)*$R8*$C8,0),IF(BL$4=EDATE('核心假设'!$B$5,6+$F8),SUM('融资租赁与资金缺口'!$D$5:$D$16)*$S8*$C8,0),IF(BL$4=EDATE('核心假设'!$B$5,7+$F8),SUM('融资租赁与资金缺口'!$D$5:$D$16)*$T8*$C8,0),IF(BL$4=EDATE('核心假设'!$B$5,8+$F8),SUM('融资租赁与资金缺口'!$D$5:$D$16)*$U8*$C8,0),IF(BL$4=EDATE('核心假设'!$B$5,9+$F8),SUM('融资租赁与资金缺口'!$D$5:$D$16)*$V8*$C8,0),IF(BL$4=EDATE('核心假设'!$B$5,10+$F8),SUM('融资租赁与资金缺口'!$D$5:$D$16)*$W8*$C8,0),IF(BL$4=EDATE('核心假设'!$B$5,11+$F8),SUM('融资租赁与资金缺口'!$D$5:$D$16)*$X8*$C8,0),IF(BL$4=EDATE('核心假设'!$B$5,12+$F8),SUM('融资租赁与资金缺口'!$D$5:$D$16)*$Y8*$C8,0),IF(BL$4=EDATE('核心假设'!$B$5,13+$F8),SUM('融资租赁与资金缺口'!$D$5:$D$16)*$Z8*$C8,0),IF(BL$4=EDATE('核心假设'!$B$5,14+$F8),SUM('融资租赁与资金缺口'!$D$5:$D$16)*$AA8*$C8,0),IF(BL$4=EDATE('核心假设'!$B$5,15+$F8),SUM('融资租赁与资金缺口'!$D$5:$D$16)*$AB8*$C8,0),IF(BL$4=EDATE('核心假设'!$B$5,16+$F8),SUM('融资租赁与资金缺口'!$D$5:$D$16)*$AC8*$C8,0),IF(BL$4=EDATE('核心假设'!$B$5,17+$F8),SUM('融资租赁与资金缺口'!$D$5:$D$16)*$AD8*$C8,0))-BL27</x:f>
        <x:v>459812913.3630987</x:v>
      </x:c>
      <x:c r="BM28" s="28" t="n">
        <x:f>BL28+BM24-BM25+SUM(IF(BM$4=EDATE('核心假设'!$B$5,0+$F8),SUM('融资租赁与资金缺口'!$D$5:$D$16)*$M8*$C8,0),IF(BM$4=EDATE('核心假设'!$B$5,1+$F8),SUM('融资租赁与资金缺口'!$D$5:$D$16)*$N8*$C8,0),IF(BM$4=EDATE('核心假设'!$B$5,2+$F8),SUM('融资租赁与资金缺口'!$D$5:$D$16)*$O8*$C8,0),IF(BM$4=EDATE('核心假设'!$B$5,3+$F8),SUM('融资租赁与资金缺口'!$D$5:$D$16)*$P8*$C8,0),IF(BM$4=EDATE('核心假设'!$B$5,4+$F8),SUM('融资租赁与资金缺口'!$D$5:$D$16)*$Q8*$C8,0),IF(BM$4=EDATE('核心假设'!$B$5,5+$F8),SUM('融资租赁与资金缺口'!$D$5:$D$16)*$R8*$C8,0),IF(BM$4=EDATE('核心假设'!$B$5,6+$F8),SUM('融资租赁与资金缺口'!$D$5:$D$16)*$S8*$C8,0),IF(BM$4=EDATE('核心假设'!$B$5,7+$F8),SUM('融资租赁与资金缺口'!$D$5:$D$16)*$T8*$C8,0),IF(BM$4=EDATE('核心假设'!$B$5,8+$F8),SUM('融资租赁与资金缺口'!$D$5:$D$16)*$U8*$C8,0),IF(BM$4=EDATE('核心假设'!$B$5,9+$F8),SUM('融资租赁与资金缺口'!$D$5:$D$16)*$V8*$C8,0),IF(BM$4=EDATE('核心假设'!$B$5,10+$F8),SUM('融资租赁与资金缺口'!$D$5:$D$16)*$W8*$C8,0),IF(BM$4=EDATE('核心假设'!$B$5,11+$F8),SUM('融资租赁与资金缺口'!$D$5:$D$16)*$X8*$C8,0),IF(BM$4=EDATE('核心假设'!$B$5,12+$F8),SUM('融资租赁与资金缺口'!$D$5:$D$16)*$Y8*$C8,0),IF(BM$4=EDATE('核心假设'!$B$5,13+$F8),SUM('融资租赁与资金缺口'!$D$5:$D$16)*$Z8*$C8,0),IF(BM$4=EDATE('核心假设'!$B$5,14+$F8),SUM('融资租赁与资金缺口'!$D$5:$D$16)*$AA8*$C8,0),IF(BM$4=EDATE('核心假设'!$B$5,15+$F8),SUM('融资租赁与资金缺口'!$D$5:$D$16)*$AB8*$C8,0),IF(BM$4=EDATE('核心假设'!$B$5,16+$F8),SUM('融资租赁与资金缺口'!$D$5:$D$16)*$AC8*$C8,0),IF(BM$4=EDATE('核心假设'!$B$5,17+$F8),SUM('融资租赁与资金缺口'!$D$5:$D$16)*$AD8*$C8,0))-BM27</x:f>
        <x:v>479868749.1725401</x:v>
      </x:c>
      <x:c r="BN28" s="28" t="n">
        <x:f>BM28+BN24-BN25+SUM(IF(BN$4=EDATE('核心假设'!$B$5,0+$F8),SUM('融资租赁与资金缺口'!$D$5:$D$16)*$M8*$C8,0),IF(BN$4=EDATE('核心假设'!$B$5,1+$F8),SUM('融资租赁与资金缺口'!$D$5:$D$16)*$N8*$C8,0),IF(BN$4=EDATE('核心假设'!$B$5,2+$F8),SUM('融资租赁与资金缺口'!$D$5:$D$16)*$O8*$C8,0),IF(BN$4=EDATE('核心假设'!$B$5,3+$F8),SUM('融资租赁与资金缺口'!$D$5:$D$16)*$P8*$C8,0),IF(BN$4=EDATE('核心假设'!$B$5,4+$F8),SUM('融资租赁与资金缺口'!$D$5:$D$16)*$Q8*$C8,0),IF(BN$4=EDATE('核心假设'!$B$5,5+$F8),SUM('融资租赁与资金缺口'!$D$5:$D$16)*$R8*$C8,0),IF(BN$4=EDATE('核心假设'!$B$5,6+$F8),SUM('融资租赁与资金缺口'!$D$5:$D$16)*$S8*$C8,0),IF(BN$4=EDATE('核心假设'!$B$5,7+$F8),SUM('融资租赁与资金缺口'!$D$5:$D$16)*$T8*$C8,0),IF(BN$4=EDATE('核心假设'!$B$5,8+$F8),SUM('融资租赁与资金缺口'!$D$5:$D$16)*$U8*$C8,0),IF(BN$4=EDATE('核心假设'!$B$5,9+$F8),SUM('融资租赁与资金缺口'!$D$5:$D$16)*$V8*$C8,0),IF(BN$4=EDATE('核心假设'!$B$5,10+$F8),SUM('融资租赁与资金缺口'!$D$5:$D$16)*$W8*$C8,0),IF(BN$4=EDATE('核心假设'!$B$5,11+$F8),SUM('融资租赁与资金缺口'!$D$5:$D$16)*$X8*$C8,0),IF(BN$4=EDATE('核心假设'!$B$5,12+$F8),SUM('融资租赁与资金缺口'!$D$5:$D$16)*$Y8*$C8,0),IF(BN$4=EDATE('核心假设'!$B$5,13+$F8),SUM('融资租赁与资金缺口'!$D$5:$D$16)*$Z8*$C8,0),IF(BN$4=EDATE('核心假设'!$B$5,14+$F8),SUM('融资租赁与资金缺口'!$D$5:$D$16)*$AA8*$C8,0),IF(BN$4=EDATE('核心假设'!$B$5,15+$F8),SUM('融资租赁与资金缺口'!$D$5:$D$16)*$AB8*$C8,0),IF(BN$4=EDATE('核心假设'!$B$5,16+$F8),SUM('融资租赁与资金缺口'!$D$5:$D$16)*$AC8*$C8,0),IF(BN$4=EDATE('核心假设'!$B$5,17+$F8),SUM('融资租赁与资金缺口'!$D$5:$D$16)*$AD8*$C8,0))-BN27</x:f>
        <x:v>502544772.5738469</x:v>
      </x:c>
      <x:c r="BO28" s="28" t="n">
        <x:f>BN28+BO24-BO25+SUM(IF(BO$4=EDATE('核心假设'!$B$5,0+$F8),SUM('融资租赁与资金缺口'!$D$5:$D$16)*$M8*$C8,0),IF(BO$4=EDATE('核心假设'!$B$5,1+$F8),SUM('融资租赁与资金缺口'!$D$5:$D$16)*$N8*$C8,0),IF(BO$4=EDATE('核心假设'!$B$5,2+$F8),SUM('融资租赁与资金缺口'!$D$5:$D$16)*$O8*$C8,0),IF(BO$4=EDATE('核心假设'!$B$5,3+$F8),SUM('融资租赁与资金缺口'!$D$5:$D$16)*$P8*$C8,0),IF(BO$4=EDATE('核心假设'!$B$5,4+$F8),SUM('融资租赁与资金缺口'!$D$5:$D$16)*$Q8*$C8,0),IF(BO$4=EDATE('核心假设'!$B$5,5+$F8),SUM('融资租赁与资金缺口'!$D$5:$D$16)*$R8*$C8,0),IF(BO$4=EDATE('核心假设'!$B$5,6+$F8),SUM('融资租赁与资金缺口'!$D$5:$D$16)*$S8*$C8,0),IF(BO$4=EDATE('核心假设'!$B$5,7+$F8),SUM('融资租赁与资金缺口'!$D$5:$D$16)*$T8*$C8,0),IF(BO$4=EDATE('核心假设'!$B$5,8+$F8),SUM('融资租赁与资金缺口'!$D$5:$D$16)*$U8*$C8,0),IF(BO$4=EDATE('核心假设'!$B$5,9+$F8),SUM('融资租赁与资金缺口'!$D$5:$D$16)*$V8*$C8,0),IF(BO$4=EDATE('核心假设'!$B$5,10+$F8),SUM('融资租赁与资金缺口'!$D$5:$D$16)*$W8*$C8,0),IF(BO$4=EDATE('核心假设'!$B$5,11+$F8),SUM('融资租赁与资金缺口'!$D$5:$D$16)*$X8*$C8,0),IF(BO$4=EDATE('核心假设'!$B$5,12+$F8),SUM('融资租赁与资金缺口'!$D$5:$D$16)*$Y8*$C8,0),IF(BO$4=EDATE('核心假设'!$B$5,13+$F8),SUM('融资租赁与资金缺口'!$D$5:$D$16)*$Z8*$C8,0),IF(BO$4=EDATE('核心假设'!$B$5,14+$F8),SUM('融资租赁与资金缺口'!$D$5:$D$16)*$AA8*$C8,0),IF(BO$4=EDATE('核心假设'!$B$5,15+$F8),SUM('融资租赁与资金缺口'!$D$5:$D$16)*$AB8*$C8,0),IF(BO$4=EDATE('核心假设'!$B$5,16+$F8),SUM('融资租赁与资金缺口'!$D$5:$D$16)*$AC8*$C8,0),IF(BO$4=EDATE('核心假设'!$B$5,17+$F8),SUM('融资租赁与资金缺口'!$D$5:$D$16)*$AD8*$C8,0))-BO27</x:f>
        <x:v>526599192.993318</x:v>
      </x:c>
      <x:c r="BP28" s="28" t="n">
        <x:f>BO28+BP24-BP25+SUM(IF(BP$4=EDATE('核心假设'!$B$5,0+$F8),SUM('融资租赁与资金缺口'!$D$5:$D$16)*$M8*$C8,0),IF(BP$4=EDATE('核心假设'!$B$5,1+$F8),SUM('融资租赁与资金缺口'!$D$5:$D$16)*$N8*$C8,0),IF(BP$4=EDATE('核心假设'!$B$5,2+$F8),SUM('融资租赁与资金缺口'!$D$5:$D$16)*$O8*$C8,0),IF(BP$4=EDATE('核心假设'!$B$5,3+$F8),SUM('融资租赁与资金缺口'!$D$5:$D$16)*$P8*$C8,0),IF(BP$4=EDATE('核心假设'!$B$5,4+$F8),SUM('融资租赁与资金缺口'!$D$5:$D$16)*$Q8*$C8,0),IF(BP$4=EDATE('核心假设'!$B$5,5+$F8),SUM('融资租赁与资金缺口'!$D$5:$D$16)*$R8*$C8,0),IF(BP$4=EDATE('核心假设'!$B$5,6+$F8),SUM('融资租赁与资金缺口'!$D$5:$D$16)*$S8*$C8,0),IF(BP$4=EDATE('核心假设'!$B$5,7+$F8),SUM('融资租赁与资金缺口'!$D$5:$D$16)*$T8*$C8,0),IF(BP$4=EDATE('核心假设'!$B$5,8+$F8),SUM('融资租赁与资金缺口'!$D$5:$D$16)*$U8*$C8,0),IF(BP$4=EDATE('核心假设'!$B$5,9+$F8),SUM('融资租赁与资金缺口'!$D$5:$D$16)*$V8*$C8,0),IF(BP$4=EDATE('核心假设'!$B$5,10+$F8),SUM('融资租赁与资金缺口'!$D$5:$D$16)*$W8*$C8,0),IF(BP$4=EDATE('核心假设'!$B$5,11+$F8),SUM('融资租赁与资金缺口'!$D$5:$D$16)*$X8*$C8,0),IF(BP$4=EDATE('核心假设'!$B$5,12+$F8),SUM('融资租赁与资金缺口'!$D$5:$D$16)*$Y8*$C8,0),IF(BP$4=EDATE('核心假设'!$B$5,13+$F8),SUM('融资租赁与资金缺口'!$D$5:$D$16)*$Z8*$C8,0),IF(BP$4=EDATE('核心假设'!$B$5,14+$F8),SUM('融资租赁与资金缺口'!$D$5:$D$16)*$AA8*$C8,0),IF(BP$4=EDATE('核心假设'!$B$5,15+$F8),SUM('融资租赁与资金缺口'!$D$5:$D$16)*$AB8*$C8,0),IF(BP$4=EDATE('核心假设'!$B$5,16+$F8),SUM('融资租赁与资金缺口'!$D$5:$D$16)*$AC8*$C8,0),IF(BP$4=EDATE('核心假设'!$B$5,17+$F8),SUM('融资租赁与资金缺口'!$D$5:$D$16)*$AD8*$C8,0))-BP27</x:f>
        <x:v>547936168.4715557</x:v>
      </x:c>
      <x:c r="BQ28" s="28" t="n">
        <x:f>BP28+BQ24-BQ25+SUM(IF(BQ$4=EDATE('核心假设'!$B$5,0+$F8),SUM('融资租赁与资金缺口'!$D$5:$D$16)*$M8*$C8,0),IF(BQ$4=EDATE('核心假设'!$B$5,1+$F8),SUM('融资租赁与资金缺口'!$D$5:$D$16)*$N8*$C8,0),IF(BQ$4=EDATE('核心假设'!$B$5,2+$F8),SUM('融资租赁与资金缺口'!$D$5:$D$16)*$O8*$C8,0),IF(BQ$4=EDATE('核心假设'!$B$5,3+$F8),SUM('融资租赁与资金缺口'!$D$5:$D$16)*$P8*$C8,0),IF(BQ$4=EDATE('核心假设'!$B$5,4+$F8),SUM('融资租赁与资金缺口'!$D$5:$D$16)*$Q8*$C8,0),IF(BQ$4=EDATE('核心假设'!$B$5,5+$F8),SUM('融资租赁与资金缺口'!$D$5:$D$16)*$R8*$C8,0),IF(BQ$4=EDATE('核心假设'!$B$5,6+$F8),SUM('融资租赁与资金缺口'!$D$5:$D$16)*$S8*$C8,0),IF(BQ$4=EDATE('核心假设'!$B$5,7+$F8),SUM('融资租赁与资金缺口'!$D$5:$D$16)*$T8*$C8,0),IF(BQ$4=EDATE('核心假设'!$B$5,8+$F8),SUM('融资租赁与资金缺口'!$D$5:$D$16)*$U8*$C8,0),IF(BQ$4=EDATE('核心假设'!$B$5,9+$F8),SUM('融资租赁与资金缺口'!$D$5:$D$16)*$V8*$C8,0),IF(BQ$4=EDATE('核心假设'!$B$5,10+$F8),SUM('融资租赁与资金缺口'!$D$5:$D$16)*$W8*$C8,0),IF(BQ$4=EDATE('核心假设'!$B$5,11+$F8),SUM('融资租赁与资金缺口'!$D$5:$D$16)*$X8*$C8,0),IF(BQ$4=EDATE('核心假设'!$B$5,12+$F8),SUM('融资租赁与资金缺口'!$D$5:$D$16)*$Y8*$C8,0),IF(BQ$4=EDATE('核心假设'!$B$5,13+$F8),SUM('融资租赁与资金缺口'!$D$5:$D$16)*$Z8*$C8,0),IF(BQ$4=EDATE('核心假设'!$B$5,14+$F8),SUM('融资租赁与资金缺口'!$D$5:$D$16)*$AA8*$C8,0),IF(BQ$4=EDATE('核心假设'!$B$5,15+$F8),SUM('融资租赁与资金缺口'!$D$5:$D$16)*$AB8*$C8,0),IF(BQ$4=EDATE('核心假设'!$B$5,16+$F8),SUM('融资租赁与资金缺口'!$D$5:$D$16)*$AC8*$C8,0),IF(BQ$4=EDATE('核心假设'!$B$5,17+$F8),SUM('融资租赁与资金缺口'!$D$5:$D$16)*$AD8*$C8,0))-BQ27</x:f>
        <x:v>568247373.9356016</x:v>
      </x:c>
      <x:c r="BR28" s="28" t="n">
        <x:f>BQ28+BR24-BR25+SUM(IF(BR$4=EDATE('核心假设'!$B$5,0+$F8),SUM('融资租赁与资金缺口'!$D$5:$D$16)*$M8*$C8,0),IF(BR$4=EDATE('核心假设'!$B$5,1+$F8),SUM('融资租赁与资金缺口'!$D$5:$D$16)*$N8*$C8,0),IF(BR$4=EDATE('核心假设'!$B$5,2+$F8),SUM('融资租赁与资金缺口'!$D$5:$D$16)*$O8*$C8,0),IF(BR$4=EDATE('核心假设'!$B$5,3+$F8),SUM('融资租赁与资金缺口'!$D$5:$D$16)*$P8*$C8,0),IF(BR$4=EDATE('核心假设'!$B$5,4+$F8),SUM('融资租赁与资金缺口'!$D$5:$D$16)*$Q8*$C8,0),IF(BR$4=EDATE('核心假设'!$B$5,5+$F8),SUM('融资租赁与资金缺口'!$D$5:$D$16)*$R8*$C8,0),IF(BR$4=EDATE('核心假设'!$B$5,6+$F8),SUM('融资租赁与资金缺口'!$D$5:$D$16)*$S8*$C8,0),IF(BR$4=EDATE('核心假设'!$B$5,7+$F8),SUM('融资租赁与资金缺口'!$D$5:$D$16)*$T8*$C8,0),IF(BR$4=EDATE('核心假设'!$B$5,8+$F8),SUM('融资租赁与资金缺口'!$D$5:$D$16)*$U8*$C8,0),IF(BR$4=EDATE('核心假设'!$B$5,9+$F8),SUM('融资租赁与资金缺口'!$D$5:$D$16)*$V8*$C8,0),IF(BR$4=EDATE('核心假设'!$B$5,10+$F8),SUM('融资租赁与资金缺口'!$D$5:$D$16)*$W8*$C8,0),IF(BR$4=EDATE('核心假设'!$B$5,11+$F8),SUM('融资租赁与资金缺口'!$D$5:$D$16)*$X8*$C8,0),IF(BR$4=EDATE('核心假设'!$B$5,12+$F8),SUM('融资租赁与资金缺口'!$D$5:$D$16)*$Y8*$C8,0),IF(BR$4=EDATE('核心假设'!$B$5,13+$F8),SUM('融资租赁与资金缺口'!$D$5:$D$16)*$Z8*$C8,0),IF(BR$4=EDATE('核心假设'!$B$5,14+$F8),SUM('融资租赁与资金缺口'!$D$5:$D$16)*$AA8*$C8,0),IF(BR$4=EDATE('核心假设'!$B$5,15+$F8),SUM('融资租赁与资金缺口'!$D$5:$D$16)*$AB8*$C8,0),IF(BR$4=EDATE('核心假设'!$B$5,16+$F8),SUM('融资租赁与资金缺口'!$D$5:$D$16)*$AC8*$C8,0),IF(BR$4=EDATE('核心假设'!$B$5,17+$F8),SUM('融资租赁与资金缺口'!$D$5:$D$16)*$AD8*$C8,0))-BR27</x:f>
        <x:v>589035209.3936974</x:v>
      </x:c>
      <x:c r="BS28" s="28" t="n">
        <x:f>BR28+BS24-BS25+SUM(IF(BS$4=EDATE('核心假设'!$B$5,0+$F8),SUM('融资租赁与资金缺口'!$D$5:$D$16)*$M8*$C8,0),IF(BS$4=EDATE('核心假设'!$B$5,1+$F8),SUM('融资租赁与资金缺口'!$D$5:$D$16)*$N8*$C8,0),IF(BS$4=EDATE('核心假设'!$B$5,2+$F8),SUM('融资租赁与资金缺口'!$D$5:$D$16)*$O8*$C8,0),IF(BS$4=EDATE('核心假设'!$B$5,3+$F8),SUM('融资租赁与资金缺口'!$D$5:$D$16)*$P8*$C8,0),IF(BS$4=EDATE('核心假设'!$B$5,4+$F8),SUM('融资租赁与资金缺口'!$D$5:$D$16)*$Q8*$C8,0),IF(BS$4=EDATE('核心假设'!$B$5,5+$F8),SUM('融资租赁与资金缺口'!$D$5:$D$16)*$R8*$C8,0),IF(BS$4=EDATE('核心假设'!$B$5,6+$F8),SUM('融资租赁与资金缺口'!$D$5:$D$16)*$S8*$C8,0),IF(BS$4=EDATE('核心假设'!$B$5,7+$F8),SUM('融资租赁与资金缺口'!$D$5:$D$16)*$T8*$C8,0),IF(BS$4=EDATE('核心假设'!$B$5,8+$F8),SUM('融资租赁与资金缺口'!$D$5:$D$16)*$U8*$C8,0),IF(BS$4=EDATE('核心假设'!$B$5,9+$F8),SUM('融资租赁与资金缺口'!$D$5:$D$16)*$V8*$C8,0),IF(BS$4=EDATE('核心假设'!$B$5,10+$F8),SUM('融资租赁与资金缺口'!$D$5:$D$16)*$W8*$C8,0),IF(BS$4=EDATE('核心假设'!$B$5,11+$F8),SUM('融资租赁与资金缺口'!$D$5:$D$16)*$X8*$C8,0),IF(BS$4=EDATE('核心假设'!$B$5,12+$F8),SUM('融资租赁与资金缺口'!$D$5:$D$16)*$Y8*$C8,0),IF(BS$4=EDATE('核心假设'!$B$5,13+$F8),SUM('融资租赁与资金缺口'!$D$5:$D$16)*$Z8*$C8,0),IF(BS$4=EDATE('核心假设'!$B$5,14+$F8),SUM('融资租赁与资金缺口'!$D$5:$D$16)*$AA8*$C8,0),IF(BS$4=EDATE('核心假设'!$B$5,15+$F8),SUM('融资租赁与资金缺口'!$D$5:$D$16)*$AB8*$C8,0),IF(BS$4=EDATE('核心假设'!$B$5,16+$F8),SUM('融资租赁与资金缺口'!$D$5:$D$16)*$AC8*$C8,0),IF(BS$4=EDATE('核心假设'!$B$5,17+$F8),SUM('融资租赁与资金缺口'!$D$5:$D$16)*$AD8*$C8,0))-BS27</x:f>
        <x:v>614642979.3215721</x:v>
      </x:c>
      <x:c r="BT28" s="28" t="n">
        <x:f>BS28+BT24-BT25+SUM(IF(BT$4=EDATE('核心假设'!$B$5,0+$F8),SUM('融资租赁与资金缺口'!$D$5:$D$16)*$M8*$C8,0),IF(BT$4=EDATE('核心假设'!$B$5,1+$F8),SUM('融资租赁与资金缺口'!$D$5:$D$16)*$N8*$C8,0),IF(BT$4=EDATE('核心假设'!$B$5,2+$F8),SUM('融资租赁与资金缺口'!$D$5:$D$16)*$O8*$C8,0),IF(BT$4=EDATE('核心假设'!$B$5,3+$F8),SUM('融资租赁与资金缺口'!$D$5:$D$16)*$P8*$C8,0),IF(BT$4=EDATE('核心假设'!$B$5,4+$F8),SUM('融资租赁与资金缺口'!$D$5:$D$16)*$Q8*$C8,0),IF(BT$4=EDATE('核心假设'!$B$5,5+$F8),SUM('融资租赁与资金缺口'!$D$5:$D$16)*$R8*$C8,0),IF(BT$4=EDATE('核心假设'!$B$5,6+$F8),SUM('融资租赁与资金缺口'!$D$5:$D$16)*$S8*$C8,0),IF(BT$4=EDATE('核心假设'!$B$5,7+$F8),SUM('融资租赁与资金缺口'!$D$5:$D$16)*$T8*$C8,0),IF(BT$4=EDATE('核心假设'!$B$5,8+$F8),SUM('融资租赁与资金缺口'!$D$5:$D$16)*$U8*$C8,0),IF(BT$4=EDATE('核心假设'!$B$5,9+$F8),SUM('融资租赁与资金缺口'!$D$5:$D$16)*$V8*$C8,0),IF(BT$4=EDATE('核心假设'!$B$5,10+$F8),SUM('融资租赁与资金缺口'!$D$5:$D$16)*$W8*$C8,0),IF(BT$4=EDATE('核心假设'!$B$5,11+$F8),SUM('融资租赁与资金缺口'!$D$5:$D$16)*$X8*$C8,0),IF(BT$4=EDATE('核心假设'!$B$5,12+$F8),SUM('融资租赁与资金缺口'!$D$5:$D$16)*$Y8*$C8,0),IF(BT$4=EDATE('核心假设'!$B$5,13+$F8),SUM('融资租赁与资金缺口'!$D$5:$D$16)*$Z8*$C8,0),IF(BT$4=EDATE('核心假设'!$B$5,14+$F8),SUM('融资租赁与资金缺口'!$D$5:$D$16)*$AA8*$C8,0),IF(BT$4=EDATE('核心假设'!$B$5,15+$F8),SUM('融资租赁与资金缺口'!$D$5:$D$16)*$AB8*$C8,0),IF(BT$4=EDATE('核心假设'!$B$5,16+$F8),SUM('融资租赁与资金缺口'!$D$5:$D$16)*$AC8*$C8,0),IF(BT$4=EDATE('核心假设'!$B$5,17+$F8),SUM('融资租赁与资金缺口'!$D$5:$D$16)*$AD8*$C8,0))-BT27</x:f>
        <x:v>637537416.7358345</x:v>
      </x:c>
      <x:c r="BU28" s="28" t="n">
        <x:f>BT28+BU24-BU25+SUM(IF(BU$4=EDATE('核心假设'!$B$5,0+$F8),SUM('融资租赁与资金缺口'!$D$5:$D$16)*$M8*$C8,0),IF(BU$4=EDATE('核心假设'!$B$5,1+$F8),SUM('融资租赁与资金缺口'!$D$5:$D$16)*$N8*$C8,0),IF(BU$4=EDATE('核心假设'!$B$5,2+$F8),SUM('融资租赁与资金缺口'!$D$5:$D$16)*$O8*$C8,0),IF(BU$4=EDATE('核心假设'!$B$5,3+$F8),SUM('融资租赁与资金缺口'!$D$5:$D$16)*$P8*$C8,0),IF(BU$4=EDATE('核心假设'!$B$5,4+$F8),SUM('融资租赁与资金缺口'!$D$5:$D$16)*$Q8*$C8,0),IF(BU$4=EDATE('核心假设'!$B$5,5+$F8),SUM('融资租赁与资金缺口'!$D$5:$D$16)*$R8*$C8,0),IF(BU$4=EDATE('核心假设'!$B$5,6+$F8),SUM('融资租赁与资金缺口'!$D$5:$D$16)*$S8*$C8,0),IF(BU$4=EDATE('核心假设'!$B$5,7+$F8),SUM('融资租赁与资金缺口'!$D$5:$D$16)*$T8*$C8,0),IF(BU$4=EDATE('核心假设'!$B$5,8+$F8),SUM('融资租赁与资金缺口'!$D$5:$D$16)*$U8*$C8,0),IF(BU$4=EDATE('核心假设'!$B$5,9+$F8),SUM('融资租赁与资金缺口'!$D$5:$D$16)*$V8*$C8,0),IF(BU$4=EDATE('核心假设'!$B$5,10+$F8),SUM('融资租赁与资金缺口'!$D$5:$D$16)*$W8*$C8,0),IF(BU$4=EDATE('核心假设'!$B$5,11+$F8),SUM('融资租赁与资金缺口'!$D$5:$D$16)*$X8*$C8,0),IF(BU$4=EDATE('核心假设'!$B$5,12+$F8),SUM('融资租赁与资金缺口'!$D$5:$D$16)*$Y8*$C8,0),IF(BU$4=EDATE('核心假设'!$B$5,13+$F8),SUM('融资租赁与资金缺口'!$D$5:$D$16)*$Z8*$C8,0),IF(BU$4=EDATE('核心假设'!$B$5,14+$F8),SUM('融资租赁与资金缺口'!$D$5:$D$16)*$AA8*$C8,0),IF(BU$4=EDATE('核心假设'!$B$5,15+$F8),SUM('融资租赁与资金缺口'!$D$5:$D$16)*$AB8*$C8,0),IF(BU$4=EDATE('核心假设'!$B$5,16+$F8),SUM('融资租赁与资金缺口'!$D$5:$D$16)*$AC8*$C8,0),IF(BU$4=EDATE('核心假设'!$B$5,17+$F8),SUM('融资租赁与资金缺口'!$D$5:$D$16)*$AD8*$C8,0))-BU27</x:f>
        <x:v>654586556.009489</x:v>
      </x:c>
      <x:c r="BV28" s="28" t="n">
        <x:f>BU28+BV24-BV25+SUM(IF(BV$4=EDATE('核心假设'!$B$5,0+$F8),SUM('融资租赁与资金缺口'!$D$5:$D$16)*$M8*$C8,0),IF(BV$4=EDATE('核心假设'!$B$5,1+$F8),SUM('融资租赁与资金缺口'!$D$5:$D$16)*$N8*$C8,0),IF(BV$4=EDATE('核心假设'!$B$5,2+$F8),SUM('融资租赁与资金缺口'!$D$5:$D$16)*$O8*$C8,0),IF(BV$4=EDATE('核心假设'!$B$5,3+$F8),SUM('融资租赁与资金缺口'!$D$5:$D$16)*$P8*$C8,0),IF(BV$4=EDATE('核心假设'!$B$5,4+$F8),SUM('融资租赁与资金缺口'!$D$5:$D$16)*$Q8*$C8,0),IF(BV$4=EDATE('核心假设'!$B$5,5+$F8),SUM('融资租赁与资金缺口'!$D$5:$D$16)*$R8*$C8,0),IF(BV$4=EDATE('核心假设'!$B$5,6+$F8),SUM('融资租赁与资金缺口'!$D$5:$D$16)*$S8*$C8,0),IF(BV$4=EDATE('核心假设'!$B$5,7+$F8),SUM('融资租赁与资金缺口'!$D$5:$D$16)*$T8*$C8,0),IF(BV$4=EDATE('核心假设'!$B$5,8+$F8),SUM('融资租赁与资金缺口'!$D$5:$D$16)*$U8*$C8,0),IF(BV$4=EDATE('核心假设'!$B$5,9+$F8),SUM('融资租赁与资金缺口'!$D$5:$D$16)*$V8*$C8,0),IF(BV$4=EDATE('核心假设'!$B$5,10+$F8),SUM('融资租赁与资金缺口'!$D$5:$D$16)*$W8*$C8,0),IF(BV$4=EDATE('核心假设'!$B$5,11+$F8),SUM('融资租赁与资金缺口'!$D$5:$D$16)*$X8*$C8,0),IF(BV$4=EDATE('核心假设'!$B$5,12+$F8),SUM('融资租赁与资金缺口'!$D$5:$D$16)*$Y8*$C8,0),IF(BV$4=EDATE('核心假设'!$B$5,13+$F8),SUM('融资租赁与资金缺口'!$D$5:$D$16)*$Z8*$C8,0),IF(BV$4=EDATE('核心假设'!$B$5,14+$F8),SUM('融资租赁与资金缺口'!$D$5:$D$16)*$AA8*$C8,0),IF(BV$4=EDATE('核心假设'!$B$5,15+$F8),SUM('融资租赁与资金缺口'!$D$5:$D$16)*$AB8*$C8,0),IF(BV$4=EDATE('核心假设'!$B$5,16+$F8),SUM('融资租赁与资金缺口'!$D$5:$D$16)*$AC8*$C8,0),IF(BV$4=EDATE('核心假设'!$B$5,17+$F8),SUM('融资租赁与资金缺口'!$D$5:$D$16)*$AD8*$C8,0))-BV27</x:f>
        <x:v>674640812.7839566</x:v>
      </x:c>
      <x:c r="BW28" s="28" t="n">
        <x:f>BV28+BW24-BW25+SUM(IF(BW$4=EDATE('核心假设'!$B$5,0+$F8),SUM('融资租赁与资金缺口'!$D$5:$D$16)*$M8*$C8,0),IF(BW$4=EDATE('核心假设'!$B$5,1+$F8),SUM('融资租赁与资金缺口'!$D$5:$D$16)*$N8*$C8,0),IF(BW$4=EDATE('核心假设'!$B$5,2+$F8),SUM('融资租赁与资金缺口'!$D$5:$D$16)*$O8*$C8,0),IF(BW$4=EDATE('核心假设'!$B$5,3+$F8),SUM('融资租赁与资金缺口'!$D$5:$D$16)*$P8*$C8,0),IF(BW$4=EDATE('核心假设'!$B$5,4+$F8),SUM('融资租赁与资金缺口'!$D$5:$D$16)*$Q8*$C8,0),IF(BW$4=EDATE('核心假设'!$B$5,5+$F8),SUM('融资租赁与资金缺口'!$D$5:$D$16)*$R8*$C8,0),IF(BW$4=EDATE('核心假设'!$B$5,6+$F8),SUM('融资租赁与资金缺口'!$D$5:$D$16)*$S8*$C8,0),IF(BW$4=EDATE('核心假设'!$B$5,7+$F8),SUM('融资租赁与资金缺口'!$D$5:$D$16)*$T8*$C8,0),IF(BW$4=EDATE('核心假设'!$B$5,8+$F8),SUM('融资租赁与资金缺口'!$D$5:$D$16)*$U8*$C8,0),IF(BW$4=EDATE('核心假设'!$B$5,9+$F8),SUM('融资租赁与资金缺口'!$D$5:$D$16)*$V8*$C8,0),IF(BW$4=EDATE('核心假设'!$B$5,10+$F8),SUM('融资租赁与资金缺口'!$D$5:$D$16)*$W8*$C8,0),IF(BW$4=EDATE('核心假设'!$B$5,11+$F8),SUM('融资租赁与资金缺口'!$D$5:$D$16)*$X8*$C8,0),IF(BW$4=EDATE('核心假设'!$B$5,12+$F8),SUM('融资租赁与资金缺口'!$D$5:$D$16)*$Y8*$C8,0),IF(BW$4=EDATE('核心假设'!$B$5,13+$F8),SUM('融资租赁与资金缺口'!$D$5:$D$16)*$Z8*$C8,0),IF(BW$4=EDATE('核心假设'!$B$5,14+$F8),SUM('融资租赁与资金缺口'!$D$5:$D$16)*$AA8*$C8,0),IF(BW$4=EDATE('核心假设'!$B$5,15+$F8),SUM('融资租赁与资金缺口'!$D$5:$D$16)*$AB8*$C8,0),IF(BW$4=EDATE('核心假设'!$B$5,16+$F8),SUM('融资租赁与资金缺口'!$D$5:$D$16)*$AC8*$C8,0),IF(BW$4=EDATE('核心假设'!$B$5,17+$F8),SUM('融资租赁与资金缺口'!$D$5:$D$16)*$AD8*$C8,0))-BW27</x:f>
        <x:v>696587458.185416</x:v>
      </x:c>
      <x:c r="BX28" s="28" t="n">
        <x:f>BW28+BX24-BX25+SUM(IF(BX$4=EDATE('核心假设'!$B$5,0+$F8),SUM('融资租赁与资金缺口'!$D$5:$D$16)*$M8*$C8,0),IF(BX$4=EDATE('核心假设'!$B$5,1+$F8),SUM('融资租赁与资金缺口'!$D$5:$D$16)*$N8*$C8,0),IF(BX$4=EDATE('核心假设'!$B$5,2+$F8),SUM('融资租赁与资金缺口'!$D$5:$D$16)*$O8*$C8,0),IF(BX$4=EDATE('核心假设'!$B$5,3+$F8),SUM('融资租赁与资金缺口'!$D$5:$D$16)*$P8*$C8,0),IF(BX$4=EDATE('核心假设'!$B$5,4+$F8),SUM('融资租赁与资金缺口'!$D$5:$D$16)*$Q8*$C8,0),IF(BX$4=EDATE('核心假设'!$B$5,5+$F8),SUM('融资租赁与资金缺口'!$D$5:$D$16)*$R8*$C8,0),IF(BX$4=EDATE('核心假设'!$B$5,6+$F8),SUM('融资租赁与资金缺口'!$D$5:$D$16)*$S8*$C8,0),IF(BX$4=EDATE('核心假设'!$B$5,7+$F8),SUM('融资租赁与资金缺口'!$D$5:$D$16)*$T8*$C8,0),IF(BX$4=EDATE('核心假设'!$B$5,8+$F8),SUM('融资租赁与资金缺口'!$D$5:$D$16)*$U8*$C8,0),IF(BX$4=EDATE('核心假设'!$B$5,9+$F8),SUM('融资租赁与资金缺口'!$D$5:$D$16)*$V8*$C8,0),IF(BX$4=EDATE('核心假设'!$B$5,10+$F8),SUM('融资租赁与资金缺口'!$D$5:$D$16)*$W8*$C8,0),IF(BX$4=EDATE('核心假设'!$B$5,11+$F8),SUM('融资租赁与资金缺口'!$D$5:$D$16)*$X8*$C8,0),IF(BX$4=EDATE('核心假设'!$B$5,12+$F8),SUM('融资租赁与资金缺口'!$D$5:$D$16)*$Y8*$C8,0),IF(BX$4=EDATE('核心假设'!$B$5,13+$F8),SUM('融资租赁与资金缺口'!$D$5:$D$16)*$Z8*$C8,0),IF(BX$4=EDATE('核心假设'!$B$5,14+$F8),SUM('融资租赁与资金缺口'!$D$5:$D$16)*$AA8*$C8,0),IF(BX$4=EDATE('核心假设'!$B$5,15+$F8),SUM('融资租赁与资金缺口'!$D$5:$D$16)*$AB8*$C8,0),IF(BX$4=EDATE('核心假设'!$B$5,16+$F8),SUM('融资租赁与资金缺口'!$D$5:$D$16)*$AC8*$C8,0),IF(BX$4=EDATE('核心假设'!$B$5,17+$F8),SUM('融资租赁与资金缺口'!$D$5:$D$16)*$AD8*$C8,0))-BX27</x:f>
        <x:v>721050767.4877989</x:v>
      </x:c>
      <x:c r="BY28" s="28" t="n">
        <x:f>BX28+BY24-BY25+SUM(IF(BY$4=EDATE('核心假设'!$B$5,0+$F8),SUM('融资租赁与资金缺口'!$D$5:$D$16)*$M8*$C8,0),IF(BY$4=EDATE('核心假设'!$B$5,1+$F8),SUM('融资租赁与资金缺口'!$D$5:$D$16)*$N8*$C8,0),IF(BY$4=EDATE('核心假设'!$B$5,2+$F8),SUM('融资租赁与资金缺口'!$D$5:$D$16)*$O8*$C8,0),IF(BY$4=EDATE('核心假设'!$B$5,3+$F8),SUM('融资租赁与资金缺口'!$D$5:$D$16)*$P8*$C8,0),IF(BY$4=EDATE('核心假设'!$B$5,4+$F8),SUM('融资租赁与资金缺口'!$D$5:$D$16)*$Q8*$C8,0),IF(BY$4=EDATE('核心假设'!$B$5,5+$F8),SUM('融资租赁与资金缺口'!$D$5:$D$16)*$R8*$C8,0),IF(BY$4=EDATE('核心假设'!$B$5,6+$F8),SUM('融资租赁与资金缺口'!$D$5:$D$16)*$S8*$C8,0),IF(BY$4=EDATE('核心假设'!$B$5,7+$F8),SUM('融资租赁与资金缺口'!$D$5:$D$16)*$T8*$C8,0),IF(BY$4=EDATE('核心假设'!$B$5,8+$F8),SUM('融资租赁与资金缺口'!$D$5:$D$16)*$U8*$C8,0),IF(BY$4=EDATE('核心假设'!$B$5,9+$F8),SUM('融资租赁与资金缺口'!$D$5:$D$16)*$V8*$C8,0),IF(BY$4=EDATE('核心假设'!$B$5,10+$F8),SUM('融资租赁与资金缺口'!$D$5:$D$16)*$W8*$C8,0),IF(BY$4=EDATE('核心假设'!$B$5,11+$F8),SUM('融资租赁与资金缺口'!$D$5:$D$16)*$X8*$C8,0),IF(BY$4=EDATE('核心假设'!$B$5,12+$F8),SUM('融资租赁与资金缺口'!$D$5:$D$16)*$Y8*$C8,0),IF(BY$4=EDATE('核心假设'!$B$5,13+$F8),SUM('融资租赁与资金缺口'!$D$5:$D$16)*$Z8*$C8,0),IF(BY$4=EDATE('核心假设'!$B$5,14+$F8),SUM('融资租赁与资金缺口'!$D$5:$D$16)*$AA8*$C8,0),IF(BY$4=EDATE('核心假设'!$B$5,15+$F8),SUM('融资租赁与资金缺口'!$D$5:$D$16)*$AB8*$C8,0),IF(BY$4=EDATE('核心假设'!$B$5,16+$F8),SUM('融资租赁与资金缺口'!$D$5:$D$16)*$AC8*$C8,0),IF(BY$4=EDATE('核心假设'!$B$5,17+$F8),SUM('融资租赁与资金缺口'!$D$5:$D$16)*$AD8*$C8,0))-BY27</x:f>
        <x:v>749967942.7509608</x:v>
      </x:c>
      <x:c r="BZ28" s="28" t="n">
        <x:f>BY28+BZ24-BZ25+SUM(IF(BZ$4=EDATE('核心假设'!$B$5,0+$F8),SUM('融资租赁与资金缺口'!$D$5:$D$16)*$M8*$C8,0),IF(BZ$4=EDATE('核心假设'!$B$5,1+$F8),SUM('融资租赁与资金缺口'!$D$5:$D$16)*$N8*$C8,0),IF(BZ$4=EDATE('核心假设'!$B$5,2+$F8),SUM('融资租赁与资金缺口'!$D$5:$D$16)*$O8*$C8,0),IF(BZ$4=EDATE('核心假设'!$B$5,3+$F8),SUM('融资租赁与资金缺口'!$D$5:$D$16)*$P8*$C8,0),IF(BZ$4=EDATE('核心假设'!$B$5,4+$F8),SUM('融资租赁与资金缺口'!$D$5:$D$16)*$Q8*$C8,0),IF(BZ$4=EDATE('核心假设'!$B$5,5+$F8),SUM('融资租赁与资金缺口'!$D$5:$D$16)*$R8*$C8,0),IF(BZ$4=EDATE('核心假设'!$B$5,6+$F8),SUM('融资租赁与资金缺口'!$D$5:$D$16)*$S8*$C8,0),IF(BZ$4=EDATE('核心假设'!$B$5,7+$F8),SUM('融资租赁与资金缺口'!$D$5:$D$16)*$T8*$C8,0),IF(BZ$4=EDATE('核心假设'!$B$5,8+$F8),SUM('融资租赁与资金缺口'!$D$5:$D$16)*$U8*$C8,0),IF(BZ$4=EDATE('核心假设'!$B$5,9+$F8),SUM('融资租赁与资金缺口'!$D$5:$D$16)*$V8*$C8,0),IF(BZ$4=EDATE('核心假设'!$B$5,10+$F8),SUM('融资租赁与资金缺口'!$D$5:$D$16)*$W8*$C8,0),IF(BZ$4=EDATE('核心假设'!$B$5,11+$F8),SUM('融资租赁与资金缺口'!$D$5:$D$16)*$X8*$C8,0),IF(BZ$4=EDATE('核心假设'!$B$5,12+$F8),SUM('融资租赁与资金缺口'!$D$5:$D$16)*$Y8*$C8,0),IF(BZ$4=EDATE('核心假设'!$B$5,13+$F8),SUM('融资租赁与资金缺口'!$D$5:$D$16)*$Z8*$C8,0),IF(BZ$4=EDATE('核心假设'!$B$5,14+$F8),SUM('融资租赁与资金缺口'!$D$5:$D$16)*$AA8*$C8,0),IF(BZ$4=EDATE('核心假设'!$B$5,15+$F8),SUM('融资租赁与资金缺口'!$D$5:$D$16)*$AB8*$C8,0),IF(BZ$4=EDATE('核心假设'!$B$5,16+$F8),SUM('融资租赁与资金缺口'!$D$5:$D$16)*$AC8*$C8,0),IF(BZ$4=EDATE('核心假设'!$B$5,17+$F8),SUM('融资租赁与资金缺口'!$D$5:$D$16)*$AD8*$C8,0))-BZ27</x:f>
        <x:v>783417647.4629688</x:v>
      </x:c>
      <x:c r="CA28" s="28" t="n">
        <x:f>BZ28+CA24-CA25+SUM(IF(CA$4=EDATE('核心假设'!$B$5,0+$F8),SUM('融资租赁与资金缺口'!$D$5:$D$16)*$M8*$C8,0),IF(CA$4=EDATE('核心假设'!$B$5,1+$F8),SUM('融资租赁与资金缺口'!$D$5:$D$16)*$N8*$C8,0),IF(CA$4=EDATE('核心假设'!$B$5,2+$F8),SUM('融资租赁与资金缺口'!$D$5:$D$16)*$O8*$C8,0),IF(CA$4=EDATE('核心假设'!$B$5,3+$F8),SUM('融资租赁与资金缺口'!$D$5:$D$16)*$P8*$C8,0),IF(CA$4=EDATE('核心假设'!$B$5,4+$F8),SUM('融资租赁与资金缺口'!$D$5:$D$16)*$Q8*$C8,0),IF(CA$4=EDATE('核心假设'!$B$5,5+$F8),SUM('融资租赁与资金缺口'!$D$5:$D$16)*$R8*$C8,0),IF(CA$4=EDATE('核心假设'!$B$5,6+$F8),SUM('融资租赁与资金缺口'!$D$5:$D$16)*$S8*$C8,0),IF(CA$4=EDATE('核心假设'!$B$5,7+$F8),SUM('融资租赁与资金缺口'!$D$5:$D$16)*$T8*$C8,0),IF(CA$4=EDATE('核心假设'!$B$5,8+$F8),SUM('融资租赁与资金缺口'!$D$5:$D$16)*$U8*$C8,0),IF(CA$4=EDATE('核心假设'!$B$5,9+$F8),SUM('融资租赁与资金缺口'!$D$5:$D$16)*$V8*$C8,0),IF(CA$4=EDATE('核心假设'!$B$5,10+$F8),SUM('融资租赁与资金缺口'!$D$5:$D$16)*$W8*$C8,0),IF(CA$4=EDATE('核心假设'!$B$5,11+$F8),SUM('融资租赁与资金缺口'!$D$5:$D$16)*$X8*$C8,0),IF(CA$4=EDATE('核心假设'!$B$5,12+$F8),SUM('融资租赁与资金缺口'!$D$5:$D$16)*$Y8*$C8,0),IF(CA$4=EDATE('核心假设'!$B$5,13+$F8),SUM('融资租赁与资金缺口'!$D$5:$D$16)*$Z8*$C8,0),IF(CA$4=EDATE('核心假设'!$B$5,14+$F8),SUM('融资租赁与资金缺口'!$D$5:$D$16)*$AA8*$C8,0),IF(CA$4=EDATE('核心假设'!$B$5,15+$F8),SUM('融资租赁与资金缺口'!$D$5:$D$16)*$AB8*$C8,0),IF(CA$4=EDATE('核心假设'!$B$5,16+$F8),SUM('融资租赁与资金缺口'!$D$5:$D$16)*$AC8*$C8,0),IF(CA$4=EDATE('核心假设'!$B$5,17+$F8),SUM('融资租赁与资金缺口'!$D$5:$D$16)*$AD8*$C8,0))-CA27</x:f>
        <x:v>819989180.8813056</x:v>
      </x:c>
      <x:c r="CB28" s="28" t="n">
        <x:f>CA28+CB24-CB25+SUM(IF(CB$4=EDATE('核心假设'!$B$5,0+$F8),SUM('融资租赁与资金缺口'!$D$5:$D$16)*$M8*$C8,0),IF(CB$4=EDATE('核心假设'!$B$5,1+$F8),SUM('融资租赁与资金缺口'!$D$5:$D$16)*$N8*$C8,0),IF(CB$4=EDATE('核心假设'!$B$5,2+$F8),SUM('融资租赁与资金缺口'!$D$5:$D$16)*$O8*$C8,0),IF(CB$4=EDATE('核心假设'!$B$5,3+$F8),SUM('融资租赁与资金缺口'!$D$5:$D$16)*$P8*$C8,0),IF(CB$4=EDATE('核心假设'!$B$5,4+$F8),SUM('融资租赁与资金缺口'!$D$5:$D$16)*$Q8*$C8,0),IF(CB$4=EDATE('核心假设'!$B$5,5+$F8),SUM('融资租赁与资金缺口'!$D$5:$D$16)*$R8*$C8,0),IF(CB$4=EDATE('核心假设'!$B$5,6+$F8),SUM('融资租赁与资金缺口'!$D$5:$D$16)*$S8*$C8,0),IF(CB$4=EDATE('核心假设'!$B$5,7+$F8),SUM('融资租赁与资金缺口'!$D$5:$D$16)*$T8*$C8,0),IF(CB$4=EDATE('核心假设'!$B$5,8+$F8),SUM('融资租赁与资金缺口'!$D$5:$D$16)*$U8*$C8,0),IF(CB$4=EDATE('核心假设'!$B$5,9+$F8),SUM('融资租赁与资金缺口'!$D$5:$D$16)*$V8*$C8,0),IF(CB$4=EDATE('核心假设'!$B$5,10+$F8),SUM('融资租赁与资金缺口'!$D$5:$D$16)*$W8*$C8,0),IF(CB$4=EDATE('核心假设'!$B$5,11+$F8),SUM('融资租赁与资金缺口'!$D$5:$D$16)*$X8*$C8,0),IF(CB$4=EDATE('核心假设'!$B$5,12+$F8),SUM('融资租赁与资金缺口'!$D$5:$D$16)*$Y8*$C8,0),IF(CB$4=EDATE('核心假设'!$B$5,13+$F8),SUM('融资租赁与资金缺口'!$D$5:$D$16)*$Z8*$C8,0),IF(CB$4=EDATE('核心假设'!$B$5,14+$F8),SUM('融资租赁与资金缺口'!$D$5:$D$16)*$AA8*$C8,0),IF(CB$4=EDATE('核心假设'!$B$5,15+$F8),SUM('融资租赁与资金缺口'!$D$5:$D$16)*$AB8*$C8,0),IF(CB$4=EDATE('核心假设'!$B$5,16+$F8),SUM('融资租赁与资金缺口'!$D$5:$D$16)*$AC8*$C8,0),IF(CB$4=EDATE('核心假设'!$B$5,17+$F8),SUM('融资租赁与资金缺口'!$D$5:$D$16)*$AD8*$C8,0))-CB27</x:f>
        <x:v>855417790.8777566</x:v>
      </x:c>
      <x:c r="CC28" s="28" t="n">
        <x:f>CB28+CC24-CC25+SUM(IF(CC$4=EDATE('核心假设'!$B$5,0+$F8),SUM('融资租赁与资金缺口'!$D$5:$D$16)*$M8*$C8,0),IF(CC$4=EDATE('核心假设'!$B$5,1+$F8),SUM('融资租赁与资金缺口'!$D$5:$D$16)*$N8*$C8,0),IF(CC$4=EDATE('核心假设'!$B$5,2+$F8),SUM('融资租赁与资金缺口'!$D$5:$D$16)*$O8*$C8,0),IF(CC$4=EDATE('核心假设'!$B$5,3+$F8),SUM('融资租赁与资金缺口'!$D$5:$D$16)*$P8*$C8,0),IF(CC$4=EDATE('核心假设'!$B$5,4+$F8),SUM('融资租赁与资金缺口'!$D$5:$D$16)*$Q8*$C8,0),IF(CC$4=EDATE('核心假设'!$B$5,5+$F8),SUM('融资租赁与资金缺口'!$D$5:$D$16)*$R8*$C8,0),IF(CC$4=EDATE('核心假设'!$B$5,6+$F8),SUM('融资租赁与资金缺口'!$D$5:$D$16)*$S8*$C8,0),IF(CC$4=EDATE('核心假设'!$B$5,7+$F8),SUM('融资租赁与资金缺口'!$D$5:$D$16)*$T8*$C8,0),IF(CC$4=EDATE('核心假设'!$B$5,8+$F8),SUM('融资租赁与资金缺口'!$D$5:$D$16)*$U8*$C8,0),IF(CC$4=EDATE('核心假设'!$B$5,9+$F8),SUM('融资租赁与资金缺口'!$D$5:$D$16)*$V8*$C8,0),IF(CC$4=EDATE('核心假设'!$B$5,10+$F8),SUM('融资租赁与资金缺口'!$D$5:$D$16)*$W8*$C8,0),IF(CC$4=EDATE('核心假设'!$B$5,11+$F8),SUM('融资租赁与资金缺口'!$D$5:$D$16)*$X8*$C8,0),IF(CC$4=EDATE('核心假设'!$B$5,12+$F8),SUM('融资租赁与资金缺口'!$D$5:$D$16)*$Y8*$C8,0),IF(CC$4=EDATE('核心假设'!$B$5,13+$F8),SUM('融资租赁与资金缺口'!$D$5:$D$16)*$Z8*$C8,0),IF(CC$4=EDATE('核心假设'!$B$5,14+$F8),SUM('融资租赁与资金缺口'!$D$5:$D$16)*$AA8*$C8,0),IF(CC$4=EDATE('核心假设'!$B$5,15+$F8),SUM('融资租赁与资金缺口'!$D$5:$D$16)*$AB8*$C8,0),IF(CC$4=EDATE('核心假设'!$B$5,16+$F8),SUM('融资租赁与资金缺口'!$D$5:$D$16)*$AC8*$C8,0),IF(CC$4=EDATE('核心假设'!$B$5,17+$F8),SUM('融资租赁与资金缺口'!$D$5:$D$16)*$AD8*$C8,0))-CC27</x:f>
        <x:v>891280572.2105474</x:v>
      </x:c>
      <x:c r="CD28" s="28" t="n">
        <x:f>CC28+CD24-CD25+SUM(IF(CD$4=EDATE('核心假设'!$B$5,0+$F8),SUM('融资租赁与资金缺口'!$D$5:$D$16)*$M8*$C8,0),IF(CD$4=EDATE('核心假设'!$B$5,1+$F8),SUM('融资租赁与资金缺口'!$D$5:$D$16)*$N8*$C8,0),IF(CD$4=EDATE('核心假设'!$B$5,2+$F8),SUM('融资租赁与资金缺口'!$D$5:$D$16)*$O8*$C8,0),IF(CD$4=EDATE('核心假设'!$B$5,3+$F8),SUM('融资租赁与资金缺口'!$D$5:$D$16)*$P8*$C8,0),IF(CD$4=EDATE('核心假设'!$B$5,4+$F8),SUM('融资租赁与资金缺口'!$D$5:$D$16)*$Q8*$C8,0),IF(CD$4=EDATE('核心假设'!$B$5,5+$F8),SUM('融资租赁与资金缺口'!$D$5:$D$16)*$R8*$C8,0),IF(CD$4=EDATE('核心假设'!$B$5,6+$F8),SUM('融资租赁与资金缺口'!$D$5:$D$16)*$S8*$C8,0),IF(CD$4=EDATE('核心假设'!$B$5,7+$F8),SUM('融资租赁与资金缺口'!$D$5:$D$16)*$T8*$C8,0),IF(CD$4=EDATE('核心假设'!$B$5,8+$F8),SUM('融资租赁与资金缺口'!$D$5:$D$16)*$U8*$C8,0),IF(CD$4=EDATE('核心假设'!$B$5,9+$F8),SUM('融资租赁与资金缺口'!$D$5:$D$16)*$V8*$C8,0),IF(CD$4=EDATE('核心假设'!$B$5,10+$F8),SUM('融资租赁与资金缺口'!$D$5:$D$16)*$W8*$C8,0),IF(CD$4=EDATE('核心假设'!$B$5,11+$F8),SUM('融资租赁与资金缺口'!$D$5:$D$16)*$X8*$C8,0),IF(CD$4=EDATE('核心假设'!$B$5,12+$F8),SUM('融资租赁与资金缺口'!$D$5:$D$16)*$Y8*$C8,0),IF(CD$4=EDATE('核心假设'!$B$5,13+$F8),SUM('融资租赁与资金缺口'!$D$5:$D$16)*$Z8*$C8,0),IF(CD$4=EDATE('核心假设'!$B$5,14+$F8),SUM('融资租赁与资金缺口'!$D$5:$D$16)*$AA8*$C8,0),IF(CD$4=EDATE('核心假设'!$B$5,15+$F8),SUM('融资租赁与资金缺口'!$D$5:$D$16)*$AB8*$C8,0),IF(CD$4=EDATE('核心假设'!$B$5,16+$F8),SUM('融资租赁与资金缺口'!$D$5:$D$16)*$AC8*$C8,0),IF(CD$4=EDATE('核心假设'!$B$5,17+$F8),SUM('融资租赁与资金缺口'!$D$5:$D$16)*$AD8*$C8,0))-CD27</x:f>
        <x:v>929231074.5502868</x:v>
      </x:c>
      <x:c r="CE28" s="28" t="n">
        <x:f>CD28+CE24-CE25+SUM(IF(CE$4=EDATE('核心假设'!$B$5,0+$F8),SUM('融资租赁与资金缺口'!$D$5:$D$16)*$M8*$C8,0),IF(CE$4=EDATE('核心假设'!$B$5,1+$F8),SUM('融资租赁与资金缺口'!$D$5:$D$16)*$N8*$C8,0),IF(CE$4=EDATE('核心假设'!$B$5,2+$F8),SUM('融资租赁与资金缺口'!$D$5:$D$16)*$O8*$C8,0),IF(CE$4=EDATE('核心假设'!$B$5,3+$F8),SUM('融资租赁与资金缺口'!$D$5:$D$16)*$P8*$C8,0),IF(CE$4=EDATE('核心假设'!$B$5,4+$F8),SUM('融资租赁与资金缺口'!$D$5:$D$16)*$Q8*$C8,0),IF(CE$4=EDATE('核心假设'!$B$5,5+$F8),SUM('融资租赁与资金缺口'!$D$5:$D$16)*$R8*$C8,0),IF(CE$4=EDATE('核心假设'!$B$5,6+$F8),SUM('融资租赁与资金缺口'!$D$5:$D$16)*$S8*$C8,0),IF(CE$4=EDATE('核心假设'!$B$5,7+$F8),SUM('融资租赁与资金缺口'!$D$5:$D$16)*$T8*$C8,0),IF(CE$4=EDATE('核心假设'!$B$5,8+$F8),SUM('融资租赁与资金缺口'!$D$5:$D$16)*$U8*$C8,0),IF(CE$4=EDATE('核心假设'!$B$5,9+$F8),SUM('融资租赁与资金缺口'!$D$5:$D$16)*$V8*$C8,0),IF(CE$4=EDATE('核心假设'!$B$5,10+$F8),SUM('融资租赁与资金缺口'!$D$5:$D$16)*$W8*$C8,0),IF(CE$4=EDATE('核心假设'!$B$5,11+$F8),SUM('融资租赁与资金缺口'!$D$5:$D$16)*$X8*$C8,0),IF(CE$4=EDATE('核心假设'!$B$5,12+$F8),SUM('融资租赁与资金缺口'!$D$5:$D$16)*$Y8*$C8,0),IF(CE$4=EDATE('核心假设'!$B$5,13+$F8),SUM('融资租赁与资金缺口'!$D$5:$D$16)*$Z8*$C8,0),IF(CE$4=EDATE('核心假设'!$B$5,14+$F8),SUM('融资租赁与资金缺口'!$D$5:$D$16)*$AA8*$C8,0),IF(CE$4=EDATE('核心假设'!$B$5,15+$F8),SUM('融资租赁与资金缺口'!$D$5:$D$16)*$AB8*$C8,0),IF(CE$4=EDATE('核心假设'!$B$5,16+$F8),SUM('融资租赁与资金缺口'!$D$5:$D$16)*$AC8*$C8,0),IF(CE$4=EDATE('核心假设'!$B$5,17+$F8),SUM('融资租赁与资金缺口'!$D$5:$D$16)*$AD8*$C8,0))-CE27</x:f>
        <x:v>971211290.5157229</x:v>
      </x:c>
      <x:c r="CF28" s="28" t="n">
        <x:f>CE28+CF24-CF25+SUM(IF(CF$4=EDATE('核心假设'!$B$5,0+$F8),SUM('融资租赁与资金缺口'!$D$5:$D$16)*$M8*$C8,0),IF(CF$4=EDATE('核心假设'!$B$5,1+$F8),SUM('融资租赁与资金缺口'!$D$5:$D$16)*$N8*$C8,0),IF(CF$4=EDATE('核心假设'!$B$5,2+$F8),SUM('融资租赁与资金缺口'!$D$5:$D$16)*$O8*$C8,0),IF(CF$4=EDATE('核心假设'!$B$5,3+$F8),SUM('融资租赁与资金缺口'!$D$5:$D$16)*$P8*$C8,0),IF(CF$4=EDATE('核心假设'!$B$5,4+$F8),SUM('融资租赁与资金缺口'!$D$5:$D$16)*$Q8*$C8,0),IF(CF$4=EDATE('核心假设'!$B$5,5+$F8),SUM('融资租赁与资金缺口'!$D$5:$D$16)*$R8*$C8,0),IF(CF$4=EDATE('核心假设'!$B$5,6+$F8),SUM('融资租赁与资金缺口'!$D$5:$D$16)*$S8*$C8,0),IF(CF$4=EDATE('核心假设'!$B$5,7+$F8),SUM('融资租赁与资金缺口'!$D$5:$D$16)*$T8*$C8,0),IF(CF$4=EDATE('核心假设'!$B$5,8+$F8),SUM('融资租赁与资金缺口'!$D$5:$D$16)*$U8*$C8,0),IF(CF$4=EDATE('核心假设'!$B$5,9+$F8),SUM('融资租赁与资金缺口'!$D$5:$D$16)*$V8*$C8,0),IF(CF$4=EDATE('核心假设'!$B$5,10+$F8),SUM('融资租赁与资金缺口'!$D$5:$D$16)*$W8*$C8,0),IF(CF$4=EDATE('核心假设'!$B$5,11+$F8),SUM('融资租赁与资金缺口'!$D$5:$D$16)*$X8*$C8,0),IF(CF$4=EDATE('核心假设'!$B$5,12+$F8),SUM('融资租赁与资金缺口'!$D$5:$D$16)*$Y8*$C8,0),IF(CF$4=EDATE('核心假设'!$B$5,13+$F8),SUM('融资租赁与资金缺口'!$D$5:$D$16)*$Z8*$C8,0),IF(CF$4=EDATE('核心假设'!$B$5,14+$F8),SUM('融资租赁与资金缺口'!$D$5:$D$16)*$AA8*$C8,0),IF(CF$4=EDATE('核心假设'!$B$5,15+$F8),SUM('融资租赁与资金缺口'!$D$5:$D$16)*$AB8*$C8,0),IF(CF$4=EDATE('核心假设'!$B$5,16+$F8),SUM('融资租赁与资金缺口'!$D$5:$D$16)*$AC8*$C8,0),IF(CF$4=EDATE('核心假设'!$B$5,17+$F8),SUM('融资租赁与资金缺口'!$D$5:$D$16)*$AD8*$C8,0))-CF27</x:f>
        <x:v>1009519042.954648</x:v>
      </x:c>
      <x:c r="CG28" s="28" t="n">
        <x:f>CF28+CG24-CG25+SUM(IF(CG$4=EDATE('核心假设'!$B$5,0+$F8),SUM('融资租赁与资金缺口'!$D$5:$D$16)*$M8*$C8,0),IF(CG$4=EDATE('核心假设'!$B$5,1+$F8),SUM('融资租赁与资金缺口'!$D$5:$D$16)*$N8*$C8,0),IF(CG$4=EDATE('核心假设'!$B$5,2+$F8),SUM('融资租赁与资金缺口'!$D$5:$D$16)*$O8*$C8,0),IF(CG$4=EDATE('核心假设'!$B$5,3+$F8),SUM('融资租赁与资金缺口'!$D$5:$D$16)*$P8*$C8,0),IF(CG$4=EDATE('核心假设'!$B$5,4+$F8),SUM('融资租赁与资金缺口'!$D$5:$D$16)*$Q8*$C8,0),IF(CG$4=EDATE('核心假设'!$B$5,5+$F8),SUM('融资租赁与资金缺口'!$D$5:$D$16)*$R8*$C8,0),IF(CG$4=EDATE('核心假设'!$B$5,6+$F8),SUM('融资租赁与资金缺口'!$D$5:$D$16)*$S8*$C8,0),IF(CG$4=EDATE('核心假设'!$B$5,7+$F8),SUM('融资租赁与资金缺口'!$D$5:$D$16)*$T8*$C8,0),IF(CG$4=EDATE('核心假设'!$B$5,8+$F8),SUM('融资租赁与资金缺口'!$D$5:$D$16)*$U8*$C8,0),IF(CG$4=EDATE('核心假设'!$B$5,9+$F8),SUM('融资租赁与资金缺口'!$D$5:$D$16)*$V8*$C8,0),IF(CG$4=EDATE('核心假设'!$B$5,10+$F8),SUM('融资租赁与资金缺口'!$D$5:$D$16)*$W8*$C8,0),IF(CG$4=EDATE('核心假设'!$B$5,11+$F8),SUM('融资租赁与资金缺口'!$D$5:$D$16)*$X8*$C8,0),IF(CG$4=EDATE('核心假设'!$B$5,12+$F8),SUM('融资租赁与资金缺口'!$D$5:$D$16)*$Y8*$C8,0),IF(CG$4=EDATE('核心假设'!$B$5,13+$F8),SUM('融资租赁与资金缺口'!$D$5:$D$16)*$Z8*$C8,0),IF(CG$4=EDATE('核心假设'!$B$5,14+$F8),SUM('融资租赁与资金缺口'!$D$5:$D$16)*$AA8*$C8,0),IF(CG$4=EDATE('核心假设'!$B$5,15+$F8),SUM('融资租赁与资金缺口'!$D$5:$D$16)*$AB8*$C8,0),IF(CG$4=EDATE('核心假设'!$B$5,16+$F8),SUM('融资租赁与资金缺口'!$D$5:$D$16)*$AC8*$C8,0),IF(CG$4=EDATE('核心假设'!$B$5,17+$F8),SUM('融资租赁与资金缺口'!$D$5:$D$16)*$AD8*$C8,0))-CG27</x:f>
        <x:v>1040853456.0712503</x:v>
      </x:c>
      <x:c r="CH28" s="28" t="n">
        <x:f>CG28+CH24-CH25+SUM(IF(CH$4=EDATE('核心假设'!$B$5,0+$F8),SUM('融资租赁与资金缺口'!$D$5:$D$16)*$M8*$C8,0),IF(CH$4=EDATE('核心假设'!$B$5,1+$F8),SUM('融资租赁与资金缺口'!$D$5:$D$16)*$N8*$C8,0),IF(CH$4=EDATE('核心假设'!$B$5,2+$F8),SUM('融资租赁与资金缺口'!$D$5:$D$16)*$O8*$C8,0),IF(CH$4=EDATE('核心假设'!$B$5,3+$F8),SUM('融资租赁与资金缺口'!$D$5:$D$16)*$P8*$C8,0),IF(CH$4=EDATE('核心假设'!$B$5,4+$F8),SUM('融资租赁与资金缺口'!$D$5:$D$16)*$Q8*$C8,0),IF(CH$4=EDATE('核心假设'!$B$5,5+$F8),SUM('融资租赁与资金缺口'!$D$5:$D$16)*$R8*$C8,0),IF(CH$4=EDATE('核心假设'!$B$5,6+$F8),SUM('融资租赁与资金缺口'!$D$5:$D$16)*$S8*$C8,0),IF(CH$4=EDATE('核心假设'!$B$5,7+$F8),SUM('融资租赁与资金缺口'!$D$5:$D$16)*$T8*$C8,0),IF(CH$4=EDATE('核心假设'!$B$5,8+$F8),SUM('融资租赁与资金缺口'!$D$5:$D$16)*$U8*$C8,0),IF(CH$4=EDATE('核心假设'!$B$5,9+$F8),SUM('融资租赁与资金缺口'!$D$5:$D$16)*$V8*$C8,0),IF(CH$4=EDATE('核心假设'!$B$5,10+$F8),SUM('融资租赁与资金缺口'!$D$5:$D$16)*$W8*$C8,0),IF(CH$4=EDATE('核心假设'!$B$5,11+$F8),SUM('融资租赁与资金缺口'!$D$5:$D$16)*$X8*$C8,0),IF(CH$4=EDATE('核心假设'!$B$5,12+$F8),SUM('融资租赁与资金缺口'!$D$5:$D$16)*$Y8*$C8,0),IF(CH$4=EDATE('核心假设'!$B$5,13+$F8),SUM('融资租赁与资金缺口'!$D$5:$D$16)*$Z8*$C8,0),IF(CH$4=EDATE('核心假设'!$B$5,14+$F8),SUM('融资租赁与资金缺口'!$D$5:$D$16)*$AA8*$C8,0),IF(CH$4=EDATE('核心假设'!$B$5,15+$F8),SUM('融资租赁与资金缺口'!$D$5:$D$16)*$AB8*$C8,0),IF(CH$4=EDATE('核心假设'!$B$5,16+$F8),SUM('融资租赁与资金缺口'!$D$5:$D$16)*$AC8*$C8,0),IF(CH$4=EDATE('核心假设'!$B$5,17+$F8),SUM('融资租赁与资金缺口'!$D$5:$D$16)*$AD8*$C8,0))-CH27</x:f>
        <x:v>1073896035.338134</x:v>
      </x:c>
      <x:c r="CI28" s="28" t="n">
        <x:f>CH28+CI24-CI25+SUM(IF(CI$4=EDATE('核心假设'!$B$5,0+$F8),SUM('融资租赁与资金缺口'!$D$5:$D$16)*$M8*$C8,0),IF(CI$4=EDATE('核心假设'!$B$5,1+$F8),SUM('融资租赁与资金缺口'!$D$5:$D$16)*$N8*$C8,0),IF(CI$4=EDATE('核心假设'!$B$5,2+$F8),SUM('融资租赁与资金缺口'!$D$5:$D$16)*$O8*$C8,0),IF(CI$4=EDATE('核心假设'!$B$5,3+$F8),SUM('融资租赁与资金缺口'!$D$5:$D$16)*$P8*$C8,0),IF(CI$4=EDATE('核心假设'!$B$5,4+$F8),SUM('融资租赁与资金缺口'!$D$5:$D$16)*$Q8*$C8,0),IF(CI$4=EDATE('核心假设'!$B$5,5+$F8),SUM('融资租赁与资金缺口'!$D$5:$D$16)*$R8*$C8,0),IF(CI$4=EDATE('核心假设'!$B$5,6+$F8),SUM('融资租赁与资金缺口'!$D$5:$D$16)*$S8*$C8,0),IF(CI$4=EDATE('核心假设'!$B$5,7+$F8),SUM('融资租赁与资金缺口'!$D$5:$D$16)*$T8*$C8,0),IF(CI$4=EDATE('核心假设'!$B$5,8+$F8),SUM('融资租赁与资金缺口'!$D$5:$D$16)*$U8*$C8,0),IF(CI$4=EDATE('核心假设'!$B$5,9+$F8),SUM('融资租赁与资金缺口'!$D$5:$D$16)*$V8*$C8,0),IF(CI$4=EDATE('核心假设'!$B$5,10+$F8),SUM('融资租赁与资金缺口'!$D$5:$D$16)*$W8*$C8,0),IF(CI$4=EDATE('核心假设'!$B$5,11+$F8),SUM('融资租赁与资金缺口'!$D$5:$D$16)*$X8*$C8,0),IF(CI$4=EDATE('核心假设'!$B$5,12+$F8),SUM('融资租赁与资金缺口'!$D$5:$D$16)*$Y8*$C8,0),IF(CI$4=EDATE('核心假设'!$B$5,13+$F8),SUM('融资租赁与资金缺口'!$D$5:$D$16)*$Z8*$C8,0),IF(CI$4=EDATE('核心假设'!$B$5,14+$F8),SUM('融资租赁与资金缺口'!$D$5:$D$16)*$AA8*$C8,0),IF(CI$4=EDATE('核心假设'!$B$5,15+$F8),SUM('融资租赁与资金缺口'!$D$5:$D$16)*$AB8*$C8,0),IF(CI$4=EDATE('核心假设'!$B$5,16+$F8),SUM('融资租赁与资金缺口'!$D$5:$D$16)*$AC8*$C8,0),IF(CI$4=EDATE('核心假设'!$B$5,17+$F8),SUM('融资租赁与资金缺口'!$D$5:$D$16)*$AD8*$C8,0))-CI27</x:f>
        <x:v>1107365141.7126617</x:v>
      </x:c>
      <x:c r="CJ28" s="28" t="n">
        <x:f>CI28+CJ24-CJ25+SUM(IF(CJ$4=EDATE('核心假设'!$B$5,0+$F8),SUM('融资租赁与资金缺口'!$D$5:$D$16)*$M8*$C8,0),IF(CJ$4=EDATE('核心假设'!$B$5,1+$F8),SUM('融资租赁与资金缺口'!$D$5:$D$16)*$N8*$C8,0),IF(CJ$4=EDATE('核心假设'!$B$5,2+$F8),SUM('融资租赁与资金缺口'!$D$5:$D$16)*$O8*$C8,0),IF(CJ$4=EDATE('核心假设'!$B$5,3+$F8),SUM('融资租赁与资金缺口'!$D$5:$D$16)*$P8*$C8,0),IF(CJ$4=EDATE('核心假设'!$B$5,4+$F8),SUM('融资租赁与资金缺口'!$D$5:$D$16)*$Q8*$C8,0),IF(CJ$4=EDATE('核心假设'!$B$5,5+$F8),SUM('融资租赁与资金缺口'!$D$5:$D$16)*$R8*$C8,0),IF(CJ$4=EDATE('核心假设'!$B$5,6+$F8),SUM('融资租赁与资金缺口'!$D$5:$D$16)*$S8*$C8,0),IF(CJ$4=EDATE('核心假设'!$B$5,7+$F8),SUM('融资租赁与资金缺口'!$D$5:$D$16)*$T8*$C8,0),IF(CJ$4=EDATE('核心假设'!$B$5,8+$F8),SUM('融资租赁与资金缺口'!$D$5:$D$16)*$U8*$C8,0),IF(CJ$4=EDATE('核心假设'!$B$5,9+$F8),SUM('融资租赁与资金缺口'!$D$5:$D$16)*$V8*$C8,0),IF(CJ$4=EDATE('核心假设'!$B$5,10+$F8),SUM('融资租赁与资金缺口'!$D$5:$D$16)*$W8*$C8,0),IF(CJ$4=EDATE('核心假设'!$B$5,11+$F8),SUM('融资租赁与资金缺口'!$D$5:$D$16)*$X8*$C8,0),IF(CJ$4=EDATE('核心假设'!$B$5,12+$F8),SUM('融资租赁与资金缺口'!$D$5:$D$16)*$Y8*$C8,0),IF(CJ$4=EDATE('核心假设'!$B$5,13+$F8),SUM('融资租赁与资金缺口'!$D$5:$D$16)*$Z8*$C8,0),IF(CJ$4=EDATE('核心假设'!$B$5,14+$F8),SUM('融资租赁与资金缺口'!$D$5:$D$16)*$AA8*$C8,0),IF(CJ$4=EDATE('核心假设'!$B$5,15+$F8),SUM('融资租赁与资金缺口'!$D$5:$D$16)*$AB8*$C8,0),IF(CJ$4=EDATE('核心假设'!$B$5,16+$F8),SUM('融资租赁与资金缺口'!$D$5:$D$16)*$AC8*$C8,0),IF(CJ$4=EDATE('核心假设'!$B$5,17+$F8),SUM('融资租赁与资金缺口'!$D$5:$D$16)*$AD8*$C8,0))-CJ27</x:f>
        <x:v>1141716140.2999487</x:v>
      </x:c>
      <x:c r="CK28" s="28" t="n">
        <x:f>CJ28+CK24-CK25+SUM(IF(CK$4=EDATE('核心假设'!$B$5,0+$F8),SUM('融资租赁与资金缺口'!$D$5:$D$16)*$M8*$C8,0),IF(CK$4=EDATE('核心假设'!$B$5,1+$F8),SUM('融资租赁与资金缺口'!$D$5:$D$16)*$N8*$C8,0),IF(CK$4=EDATE('核心假设'!$B$5,2+$F8),SUM('融资租赁与资金缺口'!$D$5:$D$16)*$O8*$C8,0),IF(CK$4=EDATE('核心假设'!$B$5,3+$F8),SUM('融资租赁与资金缺口'!$D$5:$D$16)*$P8*$C8,0),IF(CK$4=EDATE('核心假设'!$B$5,4+$F8),SUM('融资租赁与资金缺口'!$D$5:$D$16)*$Q8*$C8,0),IF(CK$4=EDATE('核心假设'!$B$5,5+$F8),SUM('融资租赁与资金缺口'!$D$5:$D$16)*$R8*$C8,0),IF(CK$4=EDATE('核心假设'!$B$5,6+$F8),SUM('融资租赁与资金缺口'!$D$5:$D$16)*$S8*$C8,0),IF(CK$4=EDATE('核心假设'!$B$5,7+$F8),SUM('融资租赁与资金缺口'!$D$5:$D$16)*$T8*$C8,0),IF(CK$4=EDATE('核心假设'!$B$5,8+$F8),SUM('融资租赁与资金缺口'!$D$5:$D$16)*$U8*$C8,0),IF(CK$4=EDATE('核心假设'!$B$5,9+$F8),SUM('融资租赁与资金缺口'!$D$5:$D$16)*$V8*$C8,0),IF(CK$4=EDATE('核心假设'!$B$5,10+$F8),SUM('融资租赁与资金缺口'!$D$5:$D$16)*$W8*$C8,0),IF(CK$4=EDATE('核心假设'!$B$5,11+$F8),SUM('融资租赁与资金缺口'!$D$5:$D$16)*$X8*$C8,0),IF(CK$4=EDATE('核心假设'!$B$5,12+$F8),SUM('融资租赁与资金缺口'!$D$5:$D$16)*$Y8*$C8,0),IF(CK$4=EDATE('核心假设'!$B$5,13+$F8),SUM('融资租赁与资金缺口'!$D$5:$D$16)*$Z8*$C8,0),IF(CK$4=EDATE('核心假设'!$B$5,14+$F8),SUM('融资租赁与资金缺口'!$D$5:$D$16)*$AA8*$C8,0),IF(CK$4=EDATE('核心假设'!$B$5,15+$F8),SUM('融资租赁与资金缺口'!$D$5:$D$16)*$AB8*$C8,0),IF(CK$4=EDATE('核心假设'!$B$5,16+$F8),SUM('融资租赁与资金缺口'!$D$5:$D$16)*$AC8*$C8,0),IF(CK$4=EDATE('核心假设'!$B$5,17+$F8),SUM('融资租赁与资金缺口'!$D$5:$D$16)*$AD8*$C8,0))-CK27</x:f>
        <x:v>1178662992.9910338</x:v>
      </x:c>
      <x:c r="CL28" s="28" t="n">
        <x:f>CK28+CL24-CL25+SUM(IF(CL$4=EDATE('核心假设'!$B$5,0+$F8),SUM('融资租赁与资金缺口'!$D$5:$D$16)*$M8*$C8,0),IF(CL$4=EDATE('核心假设'!$B$5,1+$F8),SUM('融资租赁与资金缺口'!$D$5:$D$16)*$N8*$C8,0),IF(CL$4=EDATE('核心假设'!$B$5,2+$F8),SUM('融资租赁与资金缺口'!$D$5:$D$16)*$O8*$C8,0),IF(CL$4=EDATE('核心假设'!$B$5,3+$F8),SUM('融资租赁与资金缺口'!$D$5:$D$16)*$P8*$C8,0),IF(CL$4=EDATE('核心假设'!$B$5,4+$F8),SUM('融资租赁与资金缺口'!$D$5:$D$16)*$Q8*$C8,0),IF(CL$4=EDATE('核心假设'!$B$5,5+$F8),SUM('融资租赁与资金缺口'!$D$5:$D$16)*$R8*$C8,0),IF(CL$4=EDATE('核心假设'!$B$5,6+$F8),SUM('融资租赁与资金缺口'!$D$5:$D$16)*$S8*$C8,0),IF(CL$4=EDATE('核心假设'!$B$5,7+$F8),SUM('融资租赁与资金缺口'!$D$5:$D$16)*$T8*$C8,0),IF(CL$4=EDATE('核心假设'!$B$5,8+$F8),SUM('融资租赁与资金缺口'!$D$5:$D$16)*$U8*$C8,0),IF(CL$4=EDATE('核心假设'!$B$5,9+$F8),SUM('融资租赁与资金缺口'!$D$5:$D$16)*$V8*$C8,0),IF(CL$4=EDATE('核心假设'!$B$5,10+$F8),SUM('融资租赁与资金缺口'!$D$5:$D$16)*$W8*$C8,0),IF(CL$4=EDATE('核心假设'!$B$5,11+$F8),SUM('融资租赁与资金缺口'!$D$5:$D$16)*$X8*$C8,0),IF(CL$4=EDATE('核心假设'!$B$5,12+$F8),SUM('融资租赁与资金缺口'!$D$5:$D$16)*$Y8*$C8,0),IF(CL$4=EDATE('核心假设'!$B$5,13+$F8),SUM('融资租赁与资金缺口'!$D$5:$D$16)*$Z8*$C8,0),IF(CL$4=EDATE('核心假设'!$B$5,14+$F8),SUM('融资租赁与资金缺口'!$D$5:$D$16)*$AA8*$C8,0),IF(CL$4=EDATE('核心假设'!$B$5,15+$F8),SUM('融资租赁与资金缺口'!$D$5:$D$16)*$AB8*$C8,0),IF(CL$4=EDATE('核心假设'!$B$5,16+$F8),SUM('融资租赁与资金缺口'!$D$5:$D$16)*$AC8*$C8,0),IF(CL$4=EDATE('核心假设'!$B$5,17+$F8),SUM('融资租赁与资金缺口'!$D$5:$D$16)*$AD8*$C8,0))-CL27</x:f>
        <x:v>1218230033.2739842</x:v>
      </x:c>
      <x:c r="CM28" s="28" t="n">
        <x:f>CL28+CM24-CM25+SUM(IF(CM$4=EDATE('核心假设'!$B$5,0+$F8),SUM('融资租赁与资金缺口'!$D$5:$D$16)*$M8*$C8,0),IF(CM$4=EDATE('核心假设'!$B$5,1+$F8),SUM('融资租赁与资金缺口'!$D$5:$D$16)*$N8*$C8,0),IF(CM$4=EDATE('核心假设'!$B$5,2+$F8),SUM('融资租赁与资金缺口'!$D$5:$D$16)*$O8*$C8,0),IF(CM$4=EDATE('核心假设'!$B$5,3+$F8),SUM('融资租赁与资金缺口'!$D$5:$D$16)*$P8*$C8,0),IF(CM$4=EDATE('核心假设'!$B$5,4+$F8),SUM('融资租赁与资金缺口'!$D$5:$D$16)*$Q8*$C8,0),IF(CM$4=EDATE('核心假设'!$B$5,5+$F8),SUM('融资租赁与资金缺口'!$D$5:$D$16)*$R8*$C8,0),IF(CM$4=EDATE('核心假设'!$B$5,6+$F8),SUM('融资租赁与资金缺口'!$D$5:$D$16)*$S8*$C8,0),IF(CM$4=EDATE('核心假设'!$B$5,7+$F8),SUM('融资租赁与资金缺口'!$D$5:$D$16)*$T8*$C8,0),IF(CM$4=EDATE('核心假设'!$B$5,8+$F8),SUM('融资租赁与资金缺口'!$D$5:$D$16)*$U8*$C8,0),IF(CM$4=EDATE('核心假设'!$B$5,9+$F8),SUM('融资租赁与资金缺口'!$D$5:$D$16)*$V8*$C8,0),IF(CM$4=EDATE('核心假设'!$B$5,10+$F8),SUM('融资租赁与资金缺口'!$D$5:$D$16)*$W8*$C8,0),IF(CM$4=EDATE('核心假设'!$B$5,11+$F8),SUM('融资租赁与资金缺口'!$D$5:$D$16)*$X8*$C8,0),IF(CM$4=EDATE('核心假设'!$B$5,12+$F8),SUM('融资租赁与资金缺口'!$D$5:$D$16)*$Y8*$C8,0),IF(CM$4=EDATE('核心假设'!$B$5,13+$F8),SUM('融资租赁与资金缺口'!$D$5:$D$16)*$Z8*$C8,0),IF(CM$4=EDATE('核心假设'!$B$5,14+$F8),SUM('融资租赁与资金缺口'!$D$5:$D$16)*$AA8*$C8,0),IF(CM$4=EDATE('核心假设'!$B$5,15+$F8),SUM('融资租赁与资金缺口'!$D$5:$D$16)*$AB8*$C8,0),IF(CM$4=EDATE('核心假设'!$B$5,16+$F8),SUM('融资租赁与资金缺口'!$D$5:$D$16)*$AC8*$C8,0),IF(CM$4=EDATE('核心假设'!$B$5,17+$F8),SUM('融资租赁与资金缺口'!$D$5:$D$16)*$AD8*$C8,0))-CM27</x:f>
        <x:v>1259175470.575099</x:v>
      </x:c>
    </x:row>
    <x:row r="29">
      <x:c r="A29" s="60" t="str">
        <x:v>融资输入、残值与放款</x:v>
      </x:c>
      <x:c r="B29" s="70" t="n">
        <x:f>MAX(ABS(SUM('融资租赁与资金缺口'!$E$5:$E$16)-SUM('融资租赁与资金缺口'!$D$5:$D$16)*'核心假设'!$B$27),ABS(MIN('融资租赁与资金缺口'!$O$5:$O$16)),ABS(MAX('融资租赁与资金缺口'!$O$5:$O$16)))+IF(OR('核心假设'!$B$27=80%,'核心假设'!$B$27=90%,'核心假设'!$B$27=100%),0,1)+IF(OR('核心假设'!$B$28=18,'核心假设'!$B$28=24,'核心假设'!$B$28=36),0,1)+IF(OR('核心假设'!$B$29=6%,'核心假设'!$B$29=8%,'核心假设'!$B$29=10%,'核心假设'!$B$29=12%),0,1)+IF(OR('核心假设'!$B$30=0,'核心假设'!$B$30=1,'核心假设'!$B$30=2),0,1)+IF(AND('核心假设'!$B$32&gt;=0,'核心假设'!$B$32&lt;='核心假设'!$B$27),0,1)+SUM(IF('融资租赁与资金缺口'!$J$5&gt;'融资租赁与资金缺口'!$E$5,1,0),IF('融资租赁与资金缺口'!$J$6&gt;'融资租赁与资金缺口'!$E$6,1,0),IF('融资租赁与资金缺口'!$J$7&gt;'融资租赁与资金缺口'!$E$7,1,0),IF('融资租赁与资金缺口'!$J$8&gt;'融资租赁与资金缺口'!$E$8,1,0),IF('融资租赁与资金缺口'!$J$9&gt;'融资租赁与资金缺口'!$E$9,1,0),IF('融资租赁与资金缺口'!$J$10&gt;'融资租赁与资金缺口'!$E$10,1,0),IF('融资租赁与资金缺口'!$J$11&gt;'融资租赁与资金缺口'!$E$11,1,0),IF('融资租赁与资金缺口'!$J$12&gt;'融资租赁与资金缺口'!$E$12,1,0),IF('融资租赁与资金缺口'!$J$13&gt;'融资租赁与资金缺口'!$E$13,1,0),IF('融资租赁与资金缺口'!$J$14&gt;'融资租赁与资金缺口'!$E$14,1,0),IF('融资租赁与资金缺口'!$J$15&gt;'融资租赁与资金缺口'!$E$15,1,0),IF('融资租赁与资金缺口'!$J$16&gt;'融资租赁与资金缺口'!$E$16,1,0))+COUNTIF('融资租赁与资金缺口'!$K$5:$K$16,"&lt;0")+COUNTIF('融资租赁与资金缺口'!$B$70:$BI$81,"&lt;0")</x:f>
        <x:v>0</x:v>
      </x:c>
      <x:c r="C29" s="70" t="n">
        <x:f>0</x:f>
        <x:v>0</x:v>
      </x:c>
      <x:c r="D29" s="72" t="n">
        <x:f>B29-C29</x:f>
        <x:v>0</x:v>
      </x:c>
      <x:c r="E29" s="72" t="n">
        <x:v>0.01</x:v>
      </x:c>
      <x:c r="F29" s="54" t="str">
        <x:f>IF(ABS(D29)&lt;=E29,"PASS","FAIL")</x:f>
        <x:v>PASS</x:v>
      </x:c>
      <x:c r="G29" s="52" t="str">
        <x:v>核心假设!B27:B32,融资租赁与资金缺口!E5:O16,70:81</x:v>
      </x:c>
      <x:c r="H29" s="61" t="str">
        <x:v>融资比例/期限/成本/延迟属于批准域；逐批残值不超过融资额且无负月租或负摊销</x:v>
      </x:c>
      <x:c r="AE29" t="str">
        <x:v>慢建设服务费</x:v>
      </x:c>
      <x:c r="AF29" s="28" t="n">
        <x:f>('核心假设'!$B$6*$M9*INDEX('核心假设'!$B$60:$G$60,1,1))*$B9*DAY(EOMONTH(AF$4,0))*INDEX('年度季节曲线'!$H$6:$H$17,MONTH(AF$4))</x:f>
        <x:v>983005.5178255168</x:v>
      </x:c>
      <x:c r="AG29" s="28" t="n">
        <x:f>('核心假设'!$B$6*$M9*INDEX('核心假设'!$B$60:$G$60,1,2)+'核心假设'!$B$6*$N9*INDEX('核心假设'!$B$60:$G$60,1,1))*$B9*DAY(EOMONTH(AG$4,0))*INDEX('年度季节曲线'!$H$6:$H$17,MONTH(AG$4))</x:f>
        <x:v>2471290.4843922234</x:v>
      </x:c>
      <x:c r="AH29" s="28" t="n">
        <x:f>('核心假设'!$B$6*$M9*INDEX('核心假设'!$B$60:$G$60,1,3)+'核心假设'!$B$6*$N9*INDEX('核心假设'!$B$60:$G$60,1,2)+'核心假设'!$B$6*$O9*INDEX('核心假设'!$B$60:$G$60,1,1))*$B9*DAY(EOMONTH(AH$4,0))*INDEX('年度季节曲线'!$H$6:$H$17,MONTH(AH$4))</x:f>
        <x:v>4310092.765727535</x:v>
      </x:c>
      <x:c r="AI29" s="28" t="n">
        <x:f>('核心假设'!$B$6*$M9*INDEX('核心假设'!$B$60:$G$60,1,4)+'核心假设'!$B$6*$N9*INDEX('核心假设'!$B$60:$G$60,1,3)+'核心假设'!$B$6*$O9*INDEX('核心假设'!$B$60:$G$60,1,2)+'核心假设'!$B$6*$P9*INDEX('核心假设'!$B$60:$G$60,1,1))*$B9*DAY(EOMONTH(AI$4,0))*INDEX('年度季节曲线'!$H$6:$H$17,MONTH(AI$4))</x:f>
        <x:v>7292563.230567182</x:v>
      </x:c>
      <x:c r="AJ29" s="28" t="n">
        <x:f>('核心假设'!$B$6*$M9*INDEX('核心假设'!$B$60:$G$60,1,5)+'核心假设'!$B$6*$N9*INDEX('核心假设'!$B$60:$G$60,1,4)+'核心假设'!$B$6*$O9*INDEX('核心假设'!$B$60:$G$60,1,3)+'核心假设'!$B$6*$P9*INDEX('核心假设'!$B$60:$G$60,1,2)+'核心假设'!$B$6*$Q9*INDEX('核心假设'!$B$60:$G$60,1,1))*$B9*DAY(EOMONTH(AJ$4,0))*INDEX('年度季节曲线'!$H$6:$H$17,MONTH(AJ$4))</x:f>
        <x:v>9161025.36896581</x:v>
      </x:c>
      <x:c r="AK29" s="28" t="n">
        <x:f>('核心假设'!$B$6*$M9*INDEX('核心假设'!$B$60:$G$60,1,6)+'核心假设'!$B$6*$N9*INDEX('核心假设'!$B$60:$G$60,1,5)+'核心假设'!$B$6*$O9*INDEX('核心假设'!$B$60:$G$60,1,4)+'核心假设'!$B$6*$P9*INDEX('核心假设'!$B$60:$G$60,1,3)+'核心假设'!$B$6*$Q9*INDEX('核心假设'!$B$60:$G$60,1,2)+'核心假设'!$B$6*$R9*INDEX('核心假设'!$B$60:$G$60,1,1))*$B9*DAY(EOMONTH(AK$4,0))*INDEX('年度季节曲线'!$H$6:$H$17,MONTH(AK$4))</x:f>
        <x:v>9919579.923770083</x:v>
      </x:c>
      <x:c r="AL29" s="28" t="n">
        <x:f>('核心假设'!$B$6*$M9*INDEX('核心假设'!$B$60:$G$60,1,6)+'核心假设'!$B$6*$N9*INDEX('核心假设'!$B$60:$G$60,1,6)+'核心假设'!$B$6*$O9*INDEX('核心假设'!$B$60:$G$60,1,5)+'核心假设'!$B$6*$P9*INDEX('核心假设'!$B$60:$G$60,1,4)+'核心假设'!$B$6*$Q9*INDEX('核心假设'!$B$60:$G$60,1,3)+'核心假设'!$B$6*$R9*INDEX('核心假设'!$B$60:$G$60,1,2)+'核心假设'!$B$6*$S9*INDEX('核心假设'!$B$60:$G$60,1,1))*$B9*DAY(EOMONTH(AL$4,0))*INDEX('年度季节曲线'!$H$6:$H$17,MONTH(AL$4))</x:f>
        <x:v>13136785.44281967</x:v>
      </x:c>
      <x:c r="AM29" s="28" t="n">
        <x:f>('核心假设'!$B$6*$M9*INDEX('核心假设'!$B$60:$G$60,1,6)+'核心假设'!$B$6*$N9*INDEX('核心假设'!$B$60:$G$60,1,6)+'核心假设'!$B$6*$O9*INDEX('核心假设'!$B$60:$G$60,1,6)+'核心假设'!$B$6*$P9*INDEX('核心假设'!$B$60:$G$60,1,5)+'核心假设'!$B$6*$Q9*INDEX('核心假设'!$B$60:$G$60,1,4)+'核心假设'!$B$6*$R9*INDEX('核心假设'!$B$60:$G$60,1,3)+'核心假设'!$B$6*$S9*INDEX('核心假设'!$B$60:$G$60,1,2)+'核心假设'!$B$6*$T9*INDEX('核心假设'!$B$60:$G$60,1,1))*$B9*DAY(EOMONTH(AM$4,0))*INDEX('年度季节曲线'!$H$6:$H$17,MONTH(AM$4))</x:f>
        <x:v>16375955.618965311</x:v>
      </x:c>
      <x:c r="AN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$60,1,5)+'核心假设'!$B$6*$R9*INDEX('核心假设'!$B$60:$G$60,1,4)+'核心假设'!$B$6*$S9*INDEX('核心假设'!$B$60:$G$60,1,3)+'核心假设'!$B$6*$T9*INDEX('核心假设'!$B$60:$G$60,1,2)+'核心假设'!$B$6*$U9*INDEX('核心假设'!$B$60:$G$60,1,1))*$B9*DAY(EOMONTH(AN$4,0))*INDEX('年度季节曲线'!$H$6:$H$17,MONTH(AN$4))</x:f>
        <x:v>20080612.317025445</x:v>
      </x:c>
      <x:c r="AO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$60,1,5)+'核心假设'!$B$6*$S9*INDEX('核心假设'!$B$60:$G$60,1,4)+'核心假设'!$B$6*$T9*INDEX('核心假设'!$B$60:$G$60,1,3)+'核心假设'!$B$6*$U9*INDEX('核心假设'!$B$60:$G$60,1,2)+'核心假设'!$B$6*$V9*INDEX('核心假设'!$B$60:$G$60,1,1))*$B9*DAY(EOMONTH(AO$4,0))*INDEX('年度季节曲线'!$H$6:$H$17,MONTH(AO$4))</x:f>
        <x:v>25197753.53532</x:v>
      </x:c>
      <x:c r="AP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$60,1,5)+'核心假设'!$B$6*$T9*INDEX('核心假设'!$B$60:$G$60,1,4)+'核心假设'!$B$6*$U9*INDEX('核心假设'!$B$60:$G$60,1,3)+'核心假设'!$B$6*$V9*INDEX('核心假设'!$B$60:$G$60,1,2)+'核心假设'!$B$6*$W9*INDEX('核心假设'!$B$60:$G$60,1,1))*$B9*DAY(EOMONTH(AP$4,0))*INDEX('年度季节曲线'!$H$6:$H$17,MONTH(AP$4))</x:f>
        <x:v>30896206.026658095</x:v>
      </x:c>
      <x:c r="AQ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$60,1,5)+'核心假设'!$B$6*$U9*INDEX('核心假设'!$B$60:$G$60,1,4)+'核心假设'!$B$6*$V9*INDEX('核心假设'!$B$60:$G$60,1,3)+'核心假设'!$B$6*$W9*INDEX('核心假设'!$B$60:$G$60,1,2)+'核心假设'!$B$6*$X9*INDEX('核心假设'!$B$60:$G$60,1,1))*$B9*DAY(EOMONTH(AQ$4,0))*INDEX('年度季节曲线'!$H$6:$H$17,MONTH(AQ$4))</x:f>
        <x:v>36049532.86953859</x:v>
      </x:c>
      <x:c r="AR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$60,1,5)+'核心假设'!$B$6*$V9*INDEX('核心假设'!$B$60:$G$60,1,4)+'核心假设'!$B$6*$W9*INDEX('核心假设'!$B$60:$G$60,1,3)+'核心假设'!$B$6*$X9*INDEX('核心假设'!$B$60:$G$60,1,2)+'核心假设'!$B$6*$Y9*INDEX('核心假设'!$B$60:$G$60,1,1))*$B9*DAY(EOMONTH(AR$4,0))*INDEX('年度季节曲线'!$H$6:$H$17,MONTH(AR$4))</x:f>
        <x:v>37479815.937980674</x:v>
      </x:c>
      <x:c r="AS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$60,1,5)+'核心假设'!$B$6*$W9*INDEX('核心假设'!$B$60:$G$60,1,4)+'核心假设'!$B$6*$X9*INDEX('核心假设'!$B$60:$G$60,1,3)+'核心假设'!$B$6*$Y9*INDEX('核心假设'!$B$60:$G$60,1,2)+'核心假设'!$B$6*$Z9*INDEX('核心假设'!$B$60:$G$60,1,1))*$B9*DAY(EOMONTH(AS$4,0))*INDEX('年度季节曲线'!$H$6:$H$17,MONTH(AS$4))</x:f>
        <x:v>39875467.751386784</x:v>
      </x:c>
      <x:c r="AT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$60,1,5)+'核心假设'!$B$6*$X9*INDEX('核心假设'!$B$60:$G$60,1,4)+'核心假设'!$B$6*$Y9*INDEX('核心假设'!$B$60:$G$60,1,3)+'核心假设'!$B$6*$Z9*INDEX('核心假设'!$B$60:$G$60,1,2)+'核心假设'!$B$6*$AA9*INDEX('核心假设'!$B$60:$G$60,1,1))*$B9*DAY(EOMONTH(AT$4,0))*INDEX('年度季节曲线'!$H$6:$H$17,MONTH(AT$4))</x:f>
        <x:v>44065954.71677158</x:v>
      </x:c>
      <x:c r="AU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$60,1,5)+'核心假设'!$B$6*$Y9*INDEX('核心假设'!$B$60:$G$60,1,4)+'核心假设'!$B$6*$Z9*INDEX('核心假设'!$B$60:$G$60,1,3)+'核心假设'!$B$6*$AA9*INDEX('核心假设'!$B$60:$G$60,1,2)+'核心假设'!$B$6*$AB9*INDEX('核心假设'!$B$60:$G$60,1,1))*$B9*DAY(EOMONTH(AU$4,0))*INDEX('年度季节曲线'!$H$6:$H$17,MONTH(AU$4))</x:f>
        <x:v>52073459.31826879</x:v>
      </x:c>
      <x:c r="AV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$60,1,5)+'核心假设'!$B$6*$Z9*INDEX('核心假设'!$B$60:$G$60,1,4)+'核心假设'!$B$6*$AA9*INDEX('核心假设'!$B$60:$G$60,1,3)+'核心假设'!$B$6*$AB9*INDEX('核心假设'!$B$60:$G$60,1,2)+'核心假设'!$B$6*$AC9*INDEX('核心假设'!$B$60:$G$60,1,1))*$B9*DAY(EOMONTH(AV$4,0))*INDEX('年度季节曲线'!$H$6:$H$17,MONTH(AV$4))</x:f>
        <x:v>50106540.19011407</x:v>
      </x:c>
      <x:c r="AW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$60,1,5)+'核心假设'!$B$6*$AA9*INDEX('核心假设'!$B$60:$G$60,1,4)+'核心假设'!$B$6*$AB9*INDEX('核心假设'!$B$60:$G$60,1,3)+'核心假设'!$B$6*$AC9*INDEX('核心假设'!$B$60:$G$60,1,2)+'核心假设'!$B$6*$AD9*INDEX('核心假设'!$B$60:$G$60,1,1))*$B9*DAY(EOMONTH(AW$4,0))*INDEX('年度季节曲线'!$H$6:$H$17,MONTH(AW$4))</x:f>
        <x:v>44503019.9677637</x:v>
      </x:c>
      <x:c r="AX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$60,1,5)+'核心假设'!$B$6*$AB9*INDEX('核心假设'!$B$60:$G$60,1,4)+'核心假设'!$B$6*$AC9*INDEX('核心假设'!$B$60:$G$60,1,3)+'核心假设'!$B$6*$AD9*INDEX('核心假设'!$B$60:$G$60,1,2))*$B9*DAY(EOMONTH(AX$4,0))*INDEX('年度季节曲线'!$H$6:$H$17,MONTH(AX$4))</x:f>
        <x:v>46174644.3412368</x:v>
      </x:c>
      <x:c r="AY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$60,1,5)+'核心假设'!$B$6*$AC9*INDEX('核心假设'!$B$60:$G$60,1,4)+'核心假设'!$B$6*$AD9*INDEX('核心假设'!$B$60:$G$60,1,3))*$B9*DAY(EOMONTH(AY$4,0))*INDEX('年度季节曲线'!$H$6:$H$17,MONTH(AY$4))</x:f>
        <x:v>47301409.90902885</x:v>
      </x:c>
      <x:c r="AZ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$60,1,5)+'核心假设'!$B$6*$AD9*INDEX('核心假设'!$B$60:$G$60,1,4))*$B9*DAY(EOMONTH(AZ$4,0))*INDEX('年度季节曲线'!$H$6:$H$17,MONTH(AZ$4))</x:f>
        <x:v>48856934.562146954</x:v>
      </x:c>
      <x:c r="BA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$60,1,5))*$B9*DAY(EOMONTH(BA$4,0))*INDEX('年度季节曲线'!$H$6:$H$17,MONTH(BA$4))</x:f>
        <x:v>52717880.668365344</x:v>
      </x:c>
      <x:c r="BB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BB$4,0))*INDEX('年度季节曲线'!$H$6:$H$17,MONTH(BB$4))</x:f>
        <x:v>56524343.26135766</x:v>
      </x:c>
      <x:c r="BC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BC$4,0))*INDEX('年度季节曲线'!$H$6:$H$17,MONTH(BC$4))</x:f>
        <x:v>58493481.85873535</x:v>
      </x:c>
      <x:c r="BD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BD$4,0))*INDEX('年度季节曲线'!$H$6:$H$17,MONTH(BD$4))</x:f>
        <x:v>54611417.65697315</x:v>
      </x:c>
      <x:c r="BE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BE$4,0))*INDEX('年度季节曲线'!$H$6:$H$17,MONTH(BE$4))</x:f>
        <x:v>53146031.92241341</x:v>
      </x:c>
      <x:c r="BF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BF$4,0))*INDEX('年度季节曲线'!$H$6:$H$17,MONTH(BF$4))</x:f>
        <x:v>54215003.34248471</x:v>
      </x:c>
      <x:c r="BG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BG$4,0))*INDEX('年度季节曲线'!$H$6:$H$17,MONTH(BG$4))</x:f>
        <x:v>59971737.093480125</x:v>
      </x:c>
      <x:c r="BH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BH$4,0))*INDEX('年度季节曲线'!$H$6:$H$17,MONTH(BH$4))</x:f>
        <x:v>54725360.62703589</x:v>
      </x:c>
      <x:c r="BI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BI$4,0))*INDEX('年度季节曲线'!$H$6:$H$17,MONTH(BI$4))</x:f>
        <x:v>44763447.30943179</x:v>
      </x:c>
      <x:c r="BJ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BJ$4,0))*INDEX('年度季节曲线'!$H$6:$H$17,MONTH(BJ$4))</x:f>
        <x:v>47203684.6669769</x:v>
      </x:c>
      <x:c r="BK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BK$4,0))*INDEX('年度季节曲线'!$H$6:$H$17,MONTH(BK$4))</x:f>
        <x:v>47813009.10646806</x:v>
      </x:c>
      <x:c r="BL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BL$4,0))*INDEX('年度季节曲线'!$H$6:$H$17,MONTH(BL$4))</x:f>
        <x:v>49072855.124695614</x:v>
      </x:c>
      <x:c r="BM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BM$4,0))*INDEX('年度季节曲线'!$H$6:$H$17,MONTH(BM$4))</x:f>
        <x:v>52781218.13012149</x:v>
      </x:c>
      <x:c r="BN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BN$4,0))*INDEX('年度季节曲线'!$H$6:$H$17,MONTH(BN$4))</x:f>
        <x:v>56524343.26135766</x:v>
      </x:c>
      <x:c r="BO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BO$4,0))*INDEX('年度季节曲线'!$H$6:$H$17,MONTH(BO$4))</x:f>
        <x:v>58493481.85873535</x:v>
      </x:c>
      <x:c r="BP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BP$4,0))*INDEX('年度季节曲线'!$H$6:$H$17,MONTH(BP$4))</x:f>
        <x:v>54611417.65697315</x:v>
      </x:c>
      <x:c r="BQ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BQ$4,0))*INDEX('年度季节曲线'!$H$6:$H$17,MONTH(BQ$4))</x:f>
        <x:v>53146031.92241341</x:v>
      </x:c>
      <x:c r="BR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BR$4,0))*INDEX('年度季节曲线'!$H$6:$H$17,MONTH(BR$4))</x:f>
        <x:v>54215003.34248471</x:v>
      </x:c>
      <x:c r="BS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BS$4,0))*INDEX('年度季节曲线'!$H$6:$H$17,MONTH(BS$4))</x:f>
        <x:v>59971737.093480125</x:v>
      </x:c>
      <x:c r="BT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BT$4,0))*INDEX('年度季节曲线'!$H$6:$H$17,MONTH(BT$4))</x:f>
        <x:v>54725360.62703589</x:v>
      </x:c>
      <x:c r="BU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BU$4,0))*INDEX('年度季节曲线'!$H$6:$H$17,MONTH(BU$4))</x:f>
        <x:v>44763447.30943179</x:v>
      </x:c>
      <x:c r="BV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BV$4,0))*INDEX('年度季节曲线'!$H$6:$H$17,MONTH(BV$4))</x:f>
        <x:v>47203684.6669769</x:v>
      </x:c>
      <x:c r="BW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BW$4,0))*INDEX('年度季节曲线'!$H$6:$H$17,MONTH(BW$4))</x:f>
        <x:v>47813009.10646806</x:v>
      </x:c>
      <x:c r="BX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BX$4,0))*INDEX('年度季节曲线'!$H$6:$H$17,MONTH(BX$4))</x:f>
        <x:v>49072855.124695614</x:v>
      </x:c>
      <x:c r="BY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BY$4,0))*INDEX('年度季节曲线'!$H$6:$H$17,MONTH(BY$4))</x:f>
        <x:v>52781218.13012149</x:v>
      </x:c>
      <x:c r="BZ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BZ$4,0))*INDEX('年度季节曲线'!$H$6:$H$17,MONTH(BZ$4))</x:f>
        <x:v>56524343.26135766</x:v>
      </x:c>
      <x:c r="CA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CA$4,0))*INDEX('年度季节曲线'!$H$6:$H$17,MONTH(CA$4))</x:f>
        <x:v>58493481.85873535</x:v>
      </x:c>
      <x:c r="CB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CB$4,0))*INDEX('年度季节曲线'!$H$6:$H$17,MONTH(CB$4))</x:f>
        <x:v>54611417.65697315</x:v>
      </x:c>
      <x:c r="CC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CC$4,0))*INDEX('年度季节曲线'!$H$6:$H$17,MONTH(CC$4))</x:f>
        <x:v>53146031.92241341</x:v>
      </x:c>
      <x:c r="CD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CD$4,0))*INDEX('年度季节曲线'!$H$6:$H$17,MONTH(CD$4))</x:f>
        <x:v>54215003.34248471</x:v>
      </x:c>
      <x:c r="CE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CE$4,0))*INDEX('年度季节曲线'!$H$6:$H$17,MONTH(CE$4))</x:f>
        <x:v>59971737.093480125</x:v>
      </x:c>
      <x:c r="CF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CF$4,0))*INDEX('年度季节曲线'!$H$6:$H$17,MONTH(CF$4))</x:f>
        <x:v>54725360.62703589</x:v>
      </x:c>
      <x:c r="CG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CG$4,0))*INDEX('年度季节曲线'!$H$6:$H$17,MONTH(CG$4))</x:f>
        <x:v>44763447.30943179</x:v>
      </x:c>
      <x:c r="CH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CH$4,0))*INDEX('年度季节曲线'!$H$6:$H$17,MONTH(CH$4))</x:f>
        <x:v>47203684.6669769</x:v>
      </x:c>
      <x:c r="CI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CI$4,0))*INDEX('年度季节曲线'!$H$6:$H$17,MONTH(CI$4))</x:f>
        <x:v>47813009.10646806</x:v>
      </x:c>
      <x:c r="CJ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CJ$4,0))*INDEX('年度季节曲线'!$H$6:$H$17,MONTH(CJ$4))</x:f>
        <x:v>49072855.124695614</x:v>
      </x:c>
      <x:c r="CK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CK$4,0))*INDEX('年度季节曲线'!$H$6:$H$17,MONTH(CK$4))</x:f>
        <x:v>52781218.13012149</x:v>
      </x:c>
      <x:c r="CL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CL$4,0))*INDEX('年度季节曲线'!$H$6:$H$17,MONTH(CL$4))</x:f>
        <x:v>56524343.26135766</x:v>
      </x:c>
      <x:c r="CM29" s="28" t="n">
        <x:f>('核心假设'!$B$6*$M9*INDEX('核心假设'!$B$60:$G$60,1,6)+'核心假设'!$B$6*$N9*INDEX('核心假设'!$B$60:$G$60,1,6)+'核心假设'!$B$6*$O9*INDEX('核心假设'!$B$60:$G$60,1,6)+'核心假设'!$B$6*$P9*INDEX('核心假设'!$B$60:$G$60,1,6)+'核心假设'!$B$6*$Q9*INDEX('核心假设'!$B$60:$G$60,1,6)+'核心假设'!$B$6*$R9*INDEX('核心假设'!$B$60:$G$60,1,6)+'核心假设'!$B$6*$S9*INDEX('核心假设'!$B$60:$G$60,1,6)+'核心假设'!$B$6*$T9*INDEX('核心假设'!$B$60:$G$60,1,6)+'核心假设'!$B$6*$U9*INDEX('核心假设'!$B$60:$G$60,1,6)+'核心假设'!$B$6*$V9*INDEX('核心假设'!$B$60:$G$60,1,6)+'核心假设'!$B$6*$W9*INDEX('核心假设'!$B$60:$G$60,1,6)+'核心假设'!$B$6*$X9*INDEX('核心假设'!$B$60:$G$60,1,6)+'核心假设'!$B$6*$Y9*INDEX('核心假设'!$B$60:$G$60,1,6)+'核心假设'!$B$6*$Z9*INDEX('核心假设'!$B$60:$G$60,1,6)+'核心假设'!$B$6*$AA9*INDEX('核心假设'!$B$60:$G$60,1,6)+'核心假设'!$B$6*$AB9*INDEX('核心假设'!$B$60:$G$60,1,6)+'核心假设'!$B$6*$AC9*INDEX('核心假设'!$B$60:$G$60,1,6)+'核心假设'!$B$6*$AD9*INDEX('核心假设'!$B$60:$G$60,1,6))*$B9*DAY(EOMONTH(CM$4,0))*INDEX('年度季节曲线'!$H$6:$H$17,MONTH(CM$4))</x:f>
        <x:v>58493481.85873535</x:v>
      </x:c>
    </x:row>
    <x:row r="30">
      <x:c r="A30" s="60" t="str">
        <x:v>逐批摊销及末期归零</x:v>
      </x:c>
      <x:c r="B30" s="70" t="n">
        <x:f>MAX('融资租赁与资金缺口'!$BI$22:$BI$33)</x:f>
        <x:v>0</x:v>
      </x:c>
      <x:c r="C30" s="70" t="n">
        <x:f>0</x:f>
        <x:v>0</x:v>
      </x:c>
      <x:c r="D30" s="72" t="n">
        <x:f>B30-C30</x:f>
        <x:v>0</x:v>
      </x:c>
      <x:c r="E30" s="72" t="n">
        <x:v>0.01</x:v>
      </x:c>
      <x:c r="F30" s="54" t="str">
        <x:f>IF(ABS(D30)&lt;=E30,"PASS","FAIL")</x:f>
        <x:v>PASS</x:v>
      </x:c>
      <x:c r="G30" s="52" t="str">
        <x:v>融资租赁与资金缺口!22:97</x:v>
      </x:c>
      <x:c r="H30" s="61" t="str">
        <x:v>末期租金及留购后逐批余额归零</x:v>
      </x:c>
      <x:c r="AE30" t="str">
        <x:v>CFADS</x:v>
      </x:c>
      <x:c r="AF30" s="28" t="n">
        <x:f>AF29-IF($G9="固定租金",SUM('月度投放计划'!$J$15:$U$16)*SUM($M9:$M9)*'核心假设'!$B$35,AF29*'核心假设'!$B$34)-AF29*$H9-'核心假设'!$B$37-AF29*'核心假设'!$B$38</x:f>
        <x:v>688103.8624778617</x:v>
      </x:c>
      <x:c r="AG30" s="28" t="n">
        <x:f>AG29-IF($G9="固定租金",SUM('月度投放计划'!$J$15:$U$16)*SUM($M9:$N9)*'核心假设'!$B$35,AG29*'核心假设'!$B$34)-AG29*$H9-'核心假设'!$B$37-AG29*'核心假设'!$B$38</x:f>
        <x:v>1729903.3390745563</x:v>
      </x:c>
      <x:c r="AH30" s="28" t="n">
        <x:f>AH29-IF($G9="固定租金",SUM('月度投放计划'!$J$15:$U$16)*SUM($M9:$O9)*'核心假设'!$B$35,AH29*'核心假设'!$B$34)-AH29*$H9-'核心假设'!$B$37-AH29*'核心假设'!$B$38</x:f>
        <x:v>3017064.9360092743</x:v>
      </x:c>
      <x:c r="AI30" s="28" t="n">
        <x:f>AI29-IF($G9="固定租金",SUM('月度投放计划'!$J$15:$U$16)*SUM($M9:$P9)*'核心假设'!$B$35,AI29*'核心假设'!$B$34)-AI29*$H9-'核心假设'!$B$37-AI29*'核心假设'!$B$38</x:f>
        <x:v>5104794.261397027</x:v>
      </x:c>
      <x:c r="AJ30" s="28" t="n">
        <x:f>AJ29-IF($G9="固定租金",SUM('月度投放计划'!$J$15:$U$16)*SUM($M9:$Q9)*'核心假设'!$B$35,AJ29*'核心假设'!$B$34)-AJ29*$H9-'核心假设'!$B$37-AJ29*'核心假设'!$B$38</x:f>
        <x:v>6412717.758276068</x:v>
      </x:c>
      <x:c r="AK30" s="28" t="n">
        <x:f>AK29-IF($G9="固定租金",SUM('月度投放计划'!$J$15:$U$16)*SUM($M9:$R9)*'核心假设'!$B$35,AK29*'核心假设'!$B$34)-AK29*$H9-'核心假设'!$B$37-AK29*'核心假设'!$B$38</x:f>
        <x:v>6943705.946639058</x:v>
      </x:c>
      <x:c r="AL30" s="28" t="n">
        <x:f>AL29-IF($G9="固定租金",SUM('月度投放计划'!$J$15:$U$16)*SUM($M9:$S9)*'核心假设'!$B$35,AL29*'核心假设'!$B$34)-AL29*$H9-'核心假设'!$B$37-AL29*'核心假设'!$B$38</x:f>
        <x:v>9195749.809973769</x:v>
      </x:c>
      <x:c r="AM30" s="28" t="n">
        <x:f>AM29-IF($G9="固定租金",SUM('月度投放计划'!$J$15:$U$16)*SUM($M9:$T9)*'核心假设'!$B$35,AM29*'核心假设'!$B$34)-AM29*$H9-'核心假设'!$B$37-AM29*'核心假设'!$B$38</x:f>
        <x:v>11463168.933275718</x:v>
      </x:c>
      <x:c r="AN30" s="28" t="n">
        <x:f>AN29-IF($G9="固定租金",SUM('月度投放计划'!$J$15:$U$16)*SUM($M9:$U9)*'核心假设'!$B$35,AN29*'核心假设'!$B$34)-AN29*$H9-'核心假设'!$B$37-AN29*'核心假设'!$B$38</x:f>
        <x:v>14056428.62191781</x:v>
      </x:c>
      <x:c r="AO30" s="28" t="n">
        <x:f>AO29-IF($G9="固定租金",SUM('月度投放计划'!$J$15:$U$16)*SUM($M9:$V9)*'核心假设'!$B$35,AO29*'核心假设'!$B$34)-AO29*$H9-'核心假设'!$B$37-AO29*'核心假设'!$B$38</x:f>
        <x:v>17638427.474724</x:v>
      </x:c>
      <x:c r="AP30" s="28" t="n">
        <x:f>AP29-IF($G9="固定租金",SUM('月度投放计划'!$J$15:$U$16)*SUM($M9:$W9)*'核心假设'!$B$35,AP29*'核心假设'!$B$34)-AP29*$H9-'核心假设'!$B$37-AP29*'核心假设'!$B$38</x:f>
        <x:v>21627344.218660668</x:v>
      </x:c>
      <x:c r="AQ30" s="28" t="n">
        <x:f>AQ29-IF($G9="固定租金",SUM('月度投放计划'!$J$15:$U$16)*SUM($M9:$X9)*'核心假设'!$B$35,AQ29*'核心假设'!$B$34)-AQ29*$H9-'核心假设'!$B$37-AQ29*'核心假设'!$B$38</x:f>
        <x:v>25234673.008677013</x:v>
      </x:c>
      <x:c r="AR30" s="28" t="n">
        <x:f>AR29-IF($G9="固定租金",SUM('月度投放计划'!$J$15:$U$16)*SUM($M9:$Y9)*'核心假设'!$B$35,AR29*'核心假设'!$B$34)-AR29*$H9-'核心假设'!$B$37-AR29*'核心假设'!$B$38</x:f>
        <x:v>26235871.156586472</x:v>
      </x:c>
      <x:c r="AS30" s="28" t="n">
        <x:f>AS29-IF($G9="固定租金",SUM('月度投放计划'!$J$15:$U$16)*SUM($M9:$Z9)*'核心假设'!$B$35,AS29*'核心假设'!$B$34)-AS29*$H9-'核心假设'!$B$37-AS29*'核心假设'!$B$38</x:f>
        <x:v>27912827.425970748</x:v>
      </x:c>
      <x:c r="AT30" s="28" t="n">
        <x:f>AT29-IF($G9="固定租金",SUM('月度投放计划'!$J$15:$U$16)*SUM($M9:$AA9)*'核心假设'!$B$35,AT29*'核心假设'!$B$34)-AT29*$H9-'核心假设'!$B$37-AT29*'核心假设'!$B$38</x:f>
        <x:v>30846168.301740106</x:v>
      </x:c>
      <x:c r="AU30" s="28" t="n">
        <x:f>AU29-IF($G9="固定租金",SUM('月度投放计划'!$J$15:$U$16)*SUM($M9:$AB9)*'核心假设'!$B$35,AU29*'核心假设'!$B$34)-AU29*$H9-'核心假设'!$B$37-AU29*'核心假设'!$B$38</x:f>
        <x:v>36451421.52278815</x:v>
      </x:c>
      <x:c r="AV30" s="28" t="n">
        <x:f>AV29-IF($G9="固定租金",SUM('月度投放计划'!$J$15:$U$16)*SUM($M9:$AC9)*'核心假设'!$B$35,AV29*'核心假设'!$B$34)-AV29*$H9-'核心假设'!$B$37-AV29*'核心假设'!$B$38</x:f>
        <x:v>35074578.13307985</x:v>
      </x:c>
      <x:c r="AW30" s="28" t="n">
        <x:f>AW29-IF($G9="固定租金",SUM('月度投放计划'!$J$15:$U$16)*SUM($M9:$AD9)*'核心假设'!$B$35,AW29*'核心假设'!$B$34)-AW29*$H9-'核心假设'!$B$37-AW29*'核心假设'!$B$38</x:f>
        <x:v>31152113.97743459</x:v>
      </x:c>
      <x:c r="AX30" s="28" t="n">
        <x:f>AX29-IF($G9="固定租金",SUM('月度投放计划'!$J$15:$U$16)*SUM($M9:$AD9)*'核心假设'!$B$35,AX29*'核心假设'!$B$34)-AX29*$H9-'核心假设'!$B$37-AX29*'核心假设'!$B$38</x:f>
        <x:v>32322251.03886576</x:v>
      </x:c>
      <x:c r="AY30" s="28" t="n">
        <x:f>AY29-IF($G9="固定租金",SUM('月度投放计划'!$J$15:$U$16)*SUM($M9:$AD9)*'核心假设'!$B$35,AY29*'核心假设'!$B$34)-AY29*$H9-'核心假设'!$B$37-AY29*'核心假设'!$B$38</x:f>
        <x:v>33110986.936320193</x:v>
      </x:c>
      <x:c r="AZ30" s="28" t="n">
        <x:f>AZ29-IF($G9="固定租金",SUM('月度投放计划'!$J$15:$U$16)*SUM($M9:$AD9)*'核心假设'!$B$35,AZ29*'核心假设'!$B$34)-AZ29*$H9-'核心假设'!$B$37-AZ29*'核心假设'!$B$38</x:f>
        <x:v>34199854.193502866</x:v>
      </x:c>
      <x:c r="BA30" s="28" t="n">
        <x:f>BA29-IF($G9="固定租金",SUM('月度投放计划'!$J$15:$U$16)*SUM($M9:$AD9)*'核心假设'!$B$35,BA29*'核心假设'!$B$34)-BA29*$H9-'核心假设'!$B$37-BA29*'核心假设'!$B$38</x:f>
        <x:v>36902516.46785574</x:v>
      </x:c>
      <x:c r="BB30" s="28" t="n">
        <x:f>BB29-IF($G9="固定租金",SUM('月度投放计划'!$J$15:$U$16)*SUM($M9:$AD9)*'核心假设'!$B$35,BB29*'核心假设'!$B$34)-BB29*$H9-'核心假设'!$B$37-BB29*'核心假设'!$B$38</x:f>
        <x:v>39567040.28295036</x:v>
      </x:c>
      <x:c r="BC30" s="28" t="n">
        <x:f>BC29-IF($G9="固定租金",SUM('月度投放计划'!$J$15:$U$16)*SUM($M9:$AD9)*'核心假设'!$B$35,BC29*'核心假设'!$B$34)-BC29*$H9-'核心假设'!$B$37-BC29*'核心假设'!$B$38</x:f>
        <x:v>40945437.301114745</x:v>
      </x:c>
      <x:c r="BD30" s="28" t="n">
        <x:f>BD29-IF($G9="固定租金",SUM('月度投放计划'!$J$15:$U$16)*SUM($M9:$AD9)*'核心假设'!$B$35,BD29*'核心假设'!$B$34)-BD29*$H9-'核心假设'!$B$37-BD29*'核心假设'!$B$38</x:f>
        <x:v>38227992.35988121</x:v>
      </x:c>
      <x:c r="BE30" s="28" t="n">
        <x:f>BE29-IF($G9="固定租金",SUM('月度投放计划'!$J$15:$U$16)*SUM($M9:$AD9)*'核心假设'!$B$35,BE29*'核心假设'!$B$34)-BE29*$H9-'核心假设'!$B$37-BE29*'核心假设'!$B$38</x:f>
        <x:v>37202222.345689386</x:v>
      </x:c>
      <x:c r="BF30" s="28" t="n">
        <x:f>BF29-IF($G9="固定租金",SUM('月度投放计划'!$J$15:$U$16)*SUM($M9:$AD9)*'核心假设'!$B$35,BF29*'核心假设'!$B$34)-BF29*$H9-'核心假设'!$B$37-BF29*'核心假设'!$B$38</x:f>
        <x:v>37950502.33973929</x:v>
      </x:c>
      <x:c r="BG30" s="28" t="n">
        <x:f>BG29-IF($G9="固定租金",SUM('月度投放计划'!$J$15:$U$16)*SUM($M9:$AD9)*'核心假设'!$B$35,BG29*'核心假设'!$B$34)-BG29*$H9-'核心假设'!$B$37-BG29*'核心假设'!$B$38</x:f>
        <x:v>41980215.965436086</x:v>
      </x:c>
      <x:c r="BH30" s="28" t="n">
        <x:f>BH29-IF($G9="固定租金",SUM('月度投放计划'!$J$15:$U$16)*SUM($M9:$AD9)*'核心假设'!$B$35,BH29*'核心假设'!$B$34)-BH29*$H9-'核心假设'!$B$37-BH29*'核心假设'!$B$38</x:f>
        <x:v>38307752.438925125</x:v>
      </x:c>
      <x:c r="BI30" s="28" t="n">
        <x:f>BI29-IF($G9="固定租金",SUM('月度投放计划'!$J$15:$U$16)*SUM($M9:$AD9)*'核心假设'!$B$35,BI29*'核心假设'!$B$34)-BI29*$H9-'核心假设'!$B$37-BI29*'核心假设'!$B$38</x:f>
        <x:v>31334413.11660225</x:v>
      </x:c>
      <x:c r="BJ30" s="28" t="n">
        <x:f>BJ29-IF($G9="固定租金",SUM('月度投放计划'!$J$15:$U$16)*SUM($M9:$AD9)*'核心假设'!$B$35,BJ29*'核心假设'!$B$34)-BJ29*$H9-'核心假设'!$B$37-BJ29*'核心假设'!$B$38</x:f>
        <x:v>33042579.26688383</x:v>
      </x:c>
      <x:c r="BK30" s="28" t="n">
        <x:f>BK29-IF($G9="固定租金",SUM('月度投放计划'!$J$15:$U$16)*SUM($M9:$AD9)*'核心假设'!$B$35,BK29*'核心假设'!$B$34)-BK29*$H9-'核心假设'!$B$37-BK29*'核心假设'!$B$38</x:f>
        <x:v>33469106.374527637</x:v>
      </x:c>
      <x:c r="BL30" s="28" t="n">
        <x:f>BL29-IF($G9="固定租金",SUM('月度投放计划'!$J$15:$U$16)*SUM($M9:$AD9)*'核心假设'!$B$35,BL29*'核心假设'!$B$34)-BL29*$H9-'核心假设'!$B$37-BL29*'核心假设'!$B$38</x:f>
        <x:v>34350998.587286934</x:v>
      </x:c>
      <x:c r="BM30" s="28" t="n">
        <x:f>BM29-IF($G9="固定租金",SUM('月度投放计划'!$J$15:$U$16)*SUM($M9:$AD9)*'核心假设'!$B$35,BM29*'核心假设'!$B$34)-BM29*$H9-'核心假设'!$B$37-BM29*'核心假设'!$B$38</x:f>
        <x:v>36946852.69108504</x:v>
      </x:c>
      <x:c r="BN30" s="28" t="n">
        <x:f>BN29-IF($G9="固定租金",SUM('月度投放计划'!$J$15:$U$16)*SUM($M9:$AD9)*'核心假设'!$B$35,BN29*'核心假设'!$B$34)-BN29*$H9-'核心假设'!$B$37-BN29*'核心假设'!$B$38</x:f>
        <x:v>39567040.28295036</x:v>
      </x:c>
      <x:c r="BO30" s="28" t="n">
        <x:f>BO29-IF($G9="固定租金",SUM('月度投放计划'!$J$15:$U$16)*SUM($M9:$AD9)*'核心假设'!$B$35,BO29*'核心假设'!$B$34)-BO29*$H9-'核心假设'!$B$37-BO29*'核心假设'!$B$38</x:f>
        <x:v>40945437.301114745</x:v>
      </x:c>
      <x:c r="BP30" s="28" t="n">
        <x:f>BP29-IF($G9="固定租金",SUM('月度投放计划'!$J$15:$U$16)*SUM($M9:$AD9)*'核心假设'!$B$35,BP29*'核心假设'!$B$34)-BP29*$H9-'核心假设'!$B$37-BP29*'核心假设'!$B$38</x:f>
        <x:v>38227992.35988121</x:v>
      </x:c>
      <x:c r="BQ30" s="28" t="n">
        <x:f>BQ29-IF($G9="固定租金",SUM('月度投放计划'!$J$15:$U$16)*SUM($M9:$AD9)*'核心假设'!$B$35,BQ29*'核心假设'!$B$34)-BQ29*$H9-'核心假设'!$B$37-BQ29*'核心假设'!$B$38</x:f>
        <x:v>37202222.345689386</x:v>
      </x:c>
      <x:c r="BR30" s="28" t="n">
        <x:f>BR29-IF($G9="固定租金",SUM('月度投放计划'!$J$15:$U$16)*SUM($M9:$AD9)*'核心假设'!$B$35,BR29*'核心假设'!$B$34)-BR29*$H9-'核心假设'!$B$37-BR29*'核心假设'!$B$38</x:f>
        <x:v>37950502.33973929</x:v>
      </x:c>
      <x:c r="BS30" s="28" t="n">
        <x:f>BS29-IF($G9="固定租金",SUM('月度投放计划'!$J$15:$U$16)*SUM($M9:$AD9)*'核心假设'!$B$35,BS29*'核心假设'!$B$34)-BS29*$H9-'核心假设'!$B$37-BS29*'核心假设'!$B$38</x:f>
        <x:v>41980215.965436086</x:v>
      </x:c>
      <x:c r="BT30" s="28" t="n">
        <x:f>BT29-IF($G9="固定租金",SUM('月度投放计划'!$J$15:$U$16)*SUM($M9:$AD9)*'核心假设'!$B$35,BT29*'核心假设'!$B$34)-BT29*$H9-'核心假设'!$B$37-BT29*'核心假设'!$B$38</x:f>
        <x:v>38307752.438925125</x:v>
      </x:c>
      <x:c r="BU30" s="28" t="n">
        <x:f>BU29-IF($G9="固定租金",SUM('月度投放计划'!$J$15:$U$16)*SUM($M9:$AD9)*'核心假设'!$B$35,BU29*'核心假设'!$B$34)-BU29*$H9-'核心假设'!$B$37-BU29*'核心假设'!$B$38</x:f>
        <x:v>31334413.11660225</x:v>
      </x:c>
      <x:c r="BV30" s="28" t="n">
        <x:f>BV29-IF($G9="固定租金",SUM('月度投放计划'!$J$15:$U$16)*SUM($M9:$AD9)*'核心假设'!$B$35,BV29*'核心假设'!$B$34)-BV29*$H9-'核心假设'!$B$37-BV29*'核心假设'!$B$38</x:f>
        <x:v>33042579.26688383</x:v>
      </x:c>
      <x:c r="BW30" s="28" t="n">
        <x:f>BW29-IF($G9="固定租金",SUM('月度投放计划'!$J$15:$U$16)*SUM($M9:$AD9)*'核心假设'!$B$35,BW29*'核心假设'!$B$34)-BW29*$H9-'核心假设'!$B$37-BW29*'核心假设'!$B$38</x:f>
        <x:v>33469106.374527637</x:v>
      </x:c>
      <x:c r="BX30" s="28" t="n">
        <x:f>BX29-IF($G9="固定租金",SUM('月度投放计划'!$J$15:$U$16)*SUM($M9:$AD9)*'核心假设'!$B$35,BX29*'核心假设'!$B$34)-BX29*$H9-'核心假设'!$B$37-BX29*'核心假设'!$B$38</x:f>
        <x:v>34350998.587286934</x:v>
      </x:c>
      <x:c r="BY30" s="28" t="n">
        <x:f>BY29-IF($G9="固定租金",SUM('月度投放计划'!$J$15:$U$16)*SUM($M9:$AD9)*'核心假设'!$B$35,BY29*'核心假设'!$B$34)-BY29*$H9-'核心假设'!$B$37-BY29*'核心假设'!$B$38</x:f>
        <x:v>36946852.69108504</x:v>
      </x:c>
      <x:c r="BZ30" s="28" t="n">
        <x:f>BZ29-IF($G9="固定租金",SUM('月度投放计划'!$J$15:$U$16)*SUM($M9:$AD9)*'核心假设'!$B$35,BZ29*'核心假设'!$B$34)-BZ29*$H9-'核心假设'!$B$37-BZ29*'核心假设'!$B$38</x:f>
        <x:v>39567040.28295036</x:v>
      </x:c>
      <x:c r="CA30" s="28" t="n">
        <x:f>CA29-IF($G9="固定租金",SUM('月度投放计划'!$J$15:$U$16)*SUM($M9:$AD9)*'核心假设'!$B$35,CA29*'核心假设'!$B$34)-CA29*$H9-'核心假设'!$B$37-CA29*'核心假设'!$B$38</x:f>
        <x:v>40945437.301114745</x:v>
      </x:c>
      <x:c r="CB30" s="28" t="n">
        <x:f>CB29-IF($G9="固定租金",SUM('月度投放计划'!$J$15:$U$16)*SUM($M9:$AD9)*'核心假设'!$B$35,CB29*'核心假设'!$B$34)-CB29*$H9-'核心假设'!$B$37-CB29*'核心假设'!$B$38</x:f>
        <x:v>38227992.35988121</x:v>
      </x:c>
      <x:c r="CC30" s="28" t="n">
        <x:f>CC29-IF($G9="固定租金",SUM('月度投放计划'!$J$15:$U$16)*SUM($M9:$AD9)*'核心假设'!$B$35,CC29*'核心假设'!$B$34)-CC29*$H9-'核心假设'!$B$37-CC29*'核心假设'!$B$38</x:f>
        <x:v>37202222.345689386</x:v>
      </x:c>
      <x:c r="CD30" s="28" t="n">
        <x:f>CD29-IF($G9="固定租金",SUM('月度投放计划'!$J$15:$U$16)*SUM($M9:$AD9)*'核心假设'!$B$35,CD29*'核心假设'!$B$34)-CD29*$H9-'核心假设'!$B$37-CD29*'核心假设'!$B$38</x:f>
        <x:v>37950502.33973929</x:v>
      </x:c>
      <x:c r="CE30" s="28" t="n">
        <x:f>CE29-IF($G9="固定租金",SUM('月度投放计划'!$J$15:$U$16)*SUM($M9:$AD9)*'核心假设'!$B$35,CE29*'核心假设'!$B$34)-CE29*$H9-'核心假设'!$B$37-CE29*'核心假设'!$B$38</x:f>
        <x:v>41980215.965436086</x:v>
      </x:c>
      <x:c r="CF30" s="28" t="n">
        <x:f>CF29-IF($G9="固定租金",SUM('月度投放计划'!$J$15:$U$16)*SUM($M9:$AD9)*'核心假设'!$B$35,CF29*'核心假设'!$B$34)-CF29*$H9-'核心假设'!$B$37-CF29*'核心假设'!$B$38</x:f>
        <x:v>38307752.438925125</x:v>
      </x:c>
      <x:c r="CG30" s="28" t="n">
        <x:f>CG29-IF($G9="固定租金",SUM('月度投放计划'!$J$15:$U$16)*SUM($M9:$AD9)*'核心假设'!$B$35,CG29*'核心假设'!$B$34)-CG29*$H9-'核心假设'!$B$37-CG29*'核心假设'!$B$38</x:f>
        <x:v>31334413.11660225</x:v>
      </x:c>
      <x:c r="CH30" s="28" t="n">
        <x:f>CH29-IF($G9="固定租金",SUM('月度投放计划'!$J$15:$U$16)*SUM($M9:$AD9)*'核心假设'!$B$35,CH29*'核心假设'!$B$34)-CH29*$H9-'核心假设'!$B$37-CH29*'核心假设'!$B$38</x:f>
        <x:v>33042579.26688383</x:v>
      </x:c>
      <x:c r="CI30" s="28" t="n">
        <x:f>CI29-IF($G9="固定租金",SUM('月度投放计划'!$J$15:$U$16)*SUM($M9:$AD9)*'核心假设'!$B$35,CI29*'核心假设'!$B$34)-CI29*$H9-'核心假设'!$B$37-CI29*'核心假设'!$B$38</x:f>
        <x:v>33469106.374527637</x:v>
      </x:c>
      <x:c r="CJ30" s="28" t="n">
        <x:f>CJ29-IF($G9="固定租金",SUM('月度投放计划'!$J$15:$U$16)*SUM($M9:$AD9)*'核心假设'!$B$35,CJ29*'核心假设'!$B$34)-CJ29*$H9-'核心假设'!$B$37-CJ29*'核心假设'!$B$38</x:f>
        <x:v>34350998.587286934</x:v>
      </x:c>
      <x:c r="CK30" s="28" t="n">
        <x:f>CK29-IF($G9="固定租金",SUM('月度投放计划'!$J$15:$U$16)*SUM($M9:$AD9)*'核心假设'!$B$35,CK29*'核心假设'!$B$34)-CK29*$H9-'核心假设'!$B$37-CK29*'核心假设'!$B$38</x:f>
        <x:v>36946852.69108504</x:v>
      </x:c>
      <x:c r="CL30" s="28" t="n">
        <x:f>CL29-IF($G9="固定租金",SUM('月度投放计划'!$J$15:$U$16)*SUM($M9:$AD9)*'核心假设'!$B$35,CL29*'核心假设'!$B$34)-CL29*$H9-'核心假设'!$B$37-CL29*'核心假设'!$B$38</x:f>
        <x:v>39567040.28295036</x:v>
      </x:c>
      <x:c r="CM30" s="28" t="n">
        <x:f>CM29-IF($G9="固定租金",SUM('月度投放计划'!$J$15:$U$16)*SUM($M9:$AD9)*'核心假设'!$B$35,CM29*'核心假设'!$B$34)-CM29*$H9-'核心假设'!$B$37-CM29*'核心假设'!$B$38</x:f>
        <x:v>40945437.301114745</x:v>
      </x:c>
    </x:row>
    <x:row r="31">
      <x:c r="A31" s="60" t="str">
        <x:v>物业固定租金与分成互斥</x:v>
      </x:c>
      <x:c r="B31" s="70" t="n">
        <x:f>SUM('36月运营模型'!$B$15:$BI$15)</x:f>
        <x:v>562767165.2326477</x:v>
      </x:c>
      <x:c r="C31" s="70" t="n">
        <x:f>IF('核心假设'!$B$33="固定租金",SUM('36月运营模型'!$B$9:$BI$9)*'核心假设'!$B$35,SUM('36月运营模型'!$B$12:$BI$12)*'核心假设'!$B$34)</x:f>
        <x:v>562767165.232648</x:v>
      </x:c>
      <x:c r="D31" s="72" t="n">
        <x:f>B31-C31</x:f>
        <x:v>-3.5762786865234375e-7</x:v>
      </x:c>
      <x:c r="E31" s="72" t="n">
        <x:v>0.01</x:v>
      </x:c>
      <x:c r="F31" s="54" t="str">
        <x:f>IF(ABS(D31)&lt;=E31,"PASS","FAIL")</x:f>
        <x:v>PASS</x:v>
      </x:c>
      <x:c r="G31" s="52" t="str">
        <x:v>36月运营模型!15:15</x:v>
      </x:c>
      <x:c r="H31" s="61" t="str">
        <x:v>同月只命中一种物业成本</x:v>
      </x:c>
      <x:c r="AE31" t="str">
        <x:v>债务支付</x:v>
      </x:c>
      <x:c r="AF31" s="28" t="n">
        <x:f>SUM(IF(AND(AF$4&gt;EDATE('核心假设'!$B$5,0+$F9),AF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AF$4=EDATE(EDATE('核心假设'!$B$5,0+$F9),$D9),SUM('融资租赁与资金缺口'!$D$5:$D$16)*$M9*'核心假设'!$B$32,0),0),IF(AND(AF$4&gt;EDATE('核心假设'!$B$5,1+$F9),AF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AF$4=EDATE(EDATE('核心假设'!$B$5,1+$F9),$D9),SUM('融资租赁与资金缺口'!$D$5:$D$16)*$N9*'核心假设'!$B$32,0),0),IF(AND(AF$4&gt;EDATE('核心假设'!$B$5,2+$F9),AF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AF$4=EDATE(EDATE('核心假设'!$B$5,2+$F9),$D9),SUM('融资租赁与资金缺口'!$D$5:$D$16)*$O9*'核心假设'!$B$32,0),0),IF(AND(AF$4&gt;EDATE('核心假设'!$B$5,3+$F9),AF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AF$4=EDATE(EDATE('核心假设'!$B$5,3+$F9),$D9),SUM('融资租赁与资金缺口'!$D$5:$D$16)*$P9*'核心假设'!$B$32,0),0),IF(AND(AF$4&gt;EDATE('核心假设'!$B$5,4+$F9),AF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AF$4=EDATE(EDATE('核心假设'!$B$5,4+$F9),$D9),SUM('融资租赁与资金缺口'!$D$5:$D$16)*$Q9*'核心假设'!$B$32,0),0),IF(AND(AF$4&gt;EDATE('核心假设'!$B$5,5+$F9),AF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AF$4=EDATE(EDATE('核心假设'!$B$5,5+$F9),$D9),SUM('融资租赁与资金缺口'!$D$5:$D$16)*$R9*'核心假设'!$B$32,0),0),IF(AND(AF$4&gt;EDATE('核心假设'!$B$5,6+$F9),AF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AF$4=EDATE(EDATE('核心假设'!$B$5,6+$F9),$D9),SUM('融资租赁与资金缺口'!$D$5:$D$16)*$S9*'核心假设'!$B$32,0),0),IF(AND(AF$4&gt;EDATE('核心假设'!$B$5,7+$F9),AF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AF$4=EDATE(EDATE('核心假设'!$B$5,7+$F9),$D9),SUM('融资租赁与资金缺口'!$D$5:$D$16)*$T9*'核心假设'!$B$32,0),0),IF(AND(AF$4&gt;EDATE('核心假设'!$B$5,8+$F9),AF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AF$4=EDATE(EDATE('核心假设'!$B$5,8+$F9),$D9),SUM('融资租赁与资金缺口'!$D$5:$D$16)*$U9*'核心假设'!$B$32,0),0),IF(AND(AF$4&gt;EDATE('核心假设'!$B$5,9+$F9),AF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AF$4=EDATE(EDATE('核心假设'!$B$5,9+$F9),$D9),SUM('融资租赁与资金缺口'!$D$5:$D$16)*$V9*'核心假设'!$B$32,0),0),IF(AND(AF$4&gt;EDATE('核心假设'!$B$5,10+$F9),AF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AF$4=EDATE(EDATE('核心假设'!$B$5,10+$F9),$D9),SUM('融资租赁与资金缺口'!$D$5:$D$16)*$W9*'核心假设'!$B$32,0),0),IF(AND(AF$4&gt;EDATE('核心假设'!$B$5,11+$F9),AF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AF$4=EDATE(EDATE('核心假设'!$B$5,11+$F9),$D9),SUM('融资租赁与资金缺口'!$D$5:$D$16)*$X9*'核心假设'!$B$32,0),0),IF(AND(AF$4&gt;EDATE('核心假设'!$B$5,12+$F9),AF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AF$4=EDATE(EDATE('核心假设'!$B$5,12+$F9),$D9),SUM('融资租赁与资金缺口'!$D$5:$D$16)*$Y9*'核心假设'!$B$32,0),0),IF(AND(AF$4&gt;EDATE('核心假设'!$B$5,13+$F9),AF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AF$4=EDATE(EDATE('核心假设'!$B$5,13+$F9),$D9),SUM('融资租赁与资金缺口'!$D$5:$D$16)*$Z9*'核心假设'!$B$32,0),0),IF(AND(AF$4&gt;EDATE('核心假设'!$B$5,14+$F9),AF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AF$4=EDATE(EDATE('核心假设'!$B$5,14+$F9),$D9),SUM('融资租赁与资金缺口'!$D$5:$D$16)*$AA9*'核心假设'!$B$32,0),0),IF(AND(AF$4&gt;EDATE('核心假设'!$B$5,15+$F9),AF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AF$4=EDATE(EDATE('核心假设'!$B$5,15+$F9),$D9),SUM('融资租赁与资金缺口'!$D$5:$D$16)*$AB9*'核心假设'!$B$32,0),0),IF(AND(AF$4&gt;EDATE('核心假设'!$B$5,16+$F9),AF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AF$4=EDATE(EDATE('核心假设'!$B$5,16+$F9),$D9),SUM('融资租赁与资金缺口'!$D$5:$D$16)*$AC9*'核心假设'!$B$32,0),0),IF(AND(AF$4&gt;EDATE('核心假设'!$B$5,17+$F9),AF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AF$4=EDATE(EDATE('核心假设'!$B$5,17+$F9),$D9),SUM('融资租赁与资金缺口'!$D$5:$D$16)*$AD9*'核心假设'!$B$32,0),0))</x:f>
        <x:v>0</x:v>
      </x:c>
      <x:c r="AG31" s="28" t="n">
        <x:f>SUM(IF(AND(AG$4&gt;EDATE('核心假设'!$B$5,0+$F9),AG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AG$4=EDATE(EDATE('核心假设'!$B$5,0+$F9),$D9),SUM('融资租赁与资金缺口'!$D$5:$D$16)*$M9*'核心假设'!$B$32,0),0),IF(AND(AG$4&gt;EDATE('核心假设'!$B$5,1+$F9),AG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AG$4=EDATE(EDATE('核心假设'!$B$5,1+$F9),$D9),SUM('融资租赁与资金缺口'!$D$5:$D$16)*$N9*'核心假设'!$B$32,0),0),IF(AND(AG$4&gt;EDATE('核心假设'!$B$5,2+$F9),AG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AG$4=EDATE(EDATE('核心假设'!$B$5,2+$F9),$D9),SUM('融资租赁与资金缺口'!$D$5:$D$16)*$O9*'核心假设'!$B$32,0),0),IF(AND(AG$4&gt;EDATE('核心假设'!$B$5,3+$F9),AG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AG$4=EDATE(EDATE('核心假设'!$B$5,3+$F9),$D9),SUM('融资租赁与资金缺口'!$D$5:$D$16)*$P9*'核心假设'!$B$32,0),0),IF(AND(AG$4&gt;EDATE('核心假设'!$B$5,4+$F9),AG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AG$4=EDATE(EDATE('核心假设'!$B$5,4+$F9),$D9),SUM('融资租赁与资金缺口'!$D$5:$D$16)*$Q9*'核心假设'!$B$32,0),0),IF(AND(AG$4&gt;EDATE('核心假设'!$B$5,5+$F9),AG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AG$4=EDATE(EDATE('核心假设'!$B$5,5+$F9),$D9),SUM('融资租赁与资金缺口'!$D$5:$D$16)*$R9*'核心假设'!$B$32,0),0),IF(AND(AG$4&gt;EDATE('核心假设'!$B$5,6+$F9),AG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AG$4=EDATE(EDATE('核心假设'!$B$5,6+$F9),$D9),SUM('融资租赁与资金缺口'!$D$5:$D$16)*$S9*'核心假设'!$B$32,0),0),IF(AND(AG$4&gt;EDATE('核心假设'!$B$5,7+$F9),AG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AG$4=EDATE(EDATE('核心假设'!$B$5,7+$F9),$D9),SUM('融资租赁与资金缺口'!$D$5:$D$16)*$T9*'核心假设'!$B$32,0),0),IF(AND(AG$4&gt;EDATE('核心假设'!$B$5,8+$F9),AG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AG$4=EDATE(EDATE('核心假设'!$B$5,8+$F9),$D9),SUM('融资租赁与资金缺口'!$D$5:$D$16)*$U9*'核心假设'!$B$32,0),0),IF(AND(AG$4&gt;EDATE('核心假设'!$B$5,9+$F9),AG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AG$4=EDATE(EDATE('核心假设'!$B$5,9+$F9),$D9),SUM('融资租赁与资金缺口'!$D$5:$D$16)*$V9*'核心假设'!$B$32,0),0),IF(AND(AG$4&gt;EDATE('核心假设'!$B$5,10+$F9),AG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AG$4=EDATE(EDATE('核心假设'!$B$5,10+$F9),$D9),SUM('融资租赁与资金缺口'!$D$5:$D$16)*$W9*'核心假设'!$B$32,0),0),IF(AND(AG$4&gt;EDATE('核心假设'!$B$5,11+$F9),AG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AG$4=EDATE(EDATE('核心假设'!$B$5,11+$F9),$D9),SUM('融资租赁与资金缺口'!$D$5:$D$16)*$X9*'核心假设'!$B$32,0),0),IF(AND(AG$4&gt;EDATE('核心假设'!$B$5,12+$F9),AG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AG$4=EDATE(EDATE('核心假设'!$B$5,12+$F9),$D9),SUM('融资租赁与资金缺口'!$D$5:$D$16)*$Y9*'核心假设'!$B$32,0),0),IF(AND(AG$4&gt;EDATE('核心假设'!$B$5,13+$F9),AG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AG$4=EDATE(EDATE('核心假设'!$B$5,13+$F9),$D9),SUM('融资租赁与资金缺口'!$D$5:$D$16)*$Z9*'核心假设'!$B$32,0),0),IF(AND(AG$4&gt;EDATE('核心假设'!$B$5,14+$F9),AG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AG$4=EDATE(EDATE('核心假设'!$B$5,14+$F9),$D9),SUM('融资租赁与资金缺口'!$D$5:$D$16)*$AA9*'核心假设'!$B$32,0),0),IF(AND(AG$4&gt;EDATE('核心假设'!$B$5,15+$F9),AG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AG$4=EDATE(EDATE('核心假设'!$B$5,15+$F9),$D9),SUM('融资租赁与资金缺口'!$D$5:$D$16)*$AB9*'核心假设'!$B$32,0),0),IF(AND(AG$4&gt;EDATE('核心假设'!$B$5,16+$F9),AG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AG$4=EDATE(EDATE('核心假设'!$B$5,16+$F9),$D9),SUM('融资租赁与资金缺口'!$D$5:$D$16)*$AC9*'核心假设'!$B$32,0),0),IF(AND(AG$4&gt;EDATE('核心假设'!$B$5,17+$F9),AG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AG$4=EDATE(EDATE('核心假设'!$B$5,17+$F9),$D9),SUM('融资租赁与资金缺口'!$D$5:$D$16)*$AD9*'核心假设'!$B$32,0),0))</x:f>
        <x:v>0</x:v>
      </x:c>
      <x:c r="AH31" s="28" t="n">
        <x:f>SUM(IF(AND(AH$4&gt;EDATE('核心假设'!$B$5,0+$F9),AH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AH$4=EDATE(EDATE('核心假设'!$B$5,0+$F9),$D9),SUM('融资租赁与资金缺口'!$D$5:$D$16)*$M9*'核心假设'!$B$32,0),0),IF(AND(AH$4&gt;EDATE('核心假设'!$B$5,1+$F9),AH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AH$4=EDATE(EDATE('核心假设'!$B$5,1+$F9),$D9),SUM('融资租赁与资金缺口'!$D$5:$D$16)*$N9*'核心假设'!$B$32,0),0),IF(AND(AH$4&gt;EDATE('核心假设'!$B$5,2+$F9),AH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AH$4=EDATE(EDATE('核心假设'!$B$5,2+$F9),$D9),SUM('融资租赁与资金缺口'!$D$5:$D$16)*$O9*'核心假设'!$B$32,0),0),IF(AND(AH$4&gt;EDATE('核心假设'!$B$5,3+$F9),AH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AH$4=EDATE(EDATE('核心假设'!$B$5,3+$F9),$D9),SUM('融资租赁与资金缺口'!$D$5:$D$16)*$P9*'核心假设'!$B$32,0),0),IF(AND(AH$4&gt;EDATE('核心假设'!$B$5,4+$F9),AH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AH$4=EDATE(EDATE('核心假设'!$B$5,4+$F9),$D9),SUM('融资租赁与资金缺口'!$D$5:$D$16)*$Q9*'核心假设'!$B$32,0),0),IF(AND(AH$4&gt;EDATE('核心假设'!$B$5,5+$F9),AH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AH$4=EDATE(EDATE('核心假设'!$B$5,5+$F9),$D9),SUM('融资租赁与资金缺口'!$D$5:$D$16)*$R9*'核心假设'!$B$32,0),0),IF(AND(AH$4&gt;EDATE('核心假设'!$B$5,6+$F9),AH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AH$4=EDATE(EDATE('核心假设'!$B$5,6+$F9),$D9),SUM('融资租赁与资金缺口'!$D$5:$D$16)*$S9*'核心假设'!$B$32,0),0),IF(AND(AH$4&gt;EDATE('核心假设'!$B$5,7+$F9),AH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AH$4=EDATE(EDATE('核心假设'!$B$5,7+$F9),$D9),SUM('融资租赁与资金缺口'!$D$5:$D$16)*$T9*'核心假设'!$B$32,0),0),IF(AND(AH$4&gt;EDATE('核心假设'!$B$5,8+$F9),AH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AH$4=EDATE(EDATE('核心假设'!$B$5,8+$F9),$D9),SUM('融资租赁与资金缺口'!$D$5:$D$16)*$U9*'核心假设'!$B$32,0),0),IF(AND(AH$4&gt;EDATE('核心假设'!$B$5,9+$F9),AH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AH$4=EDATE(EDATE('核心假设'!$B$5,9+$F9),$D9),SUM('融资租赁与资金缺口'!$D$5:$D$16)*$V9*'核心假设'!$B$32,0),0),IF(AND(AH$4&gt;EDATE('核心假设'!$B$5,10+$F9),AH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AH$4=EDATE(EDATE('核心假设'!$B$5,10+$F9),$D9),SUM('融资租赁与资金缺口'!$D$5:$D$16)*$W9*'核心假设'!$B$32,0),0),IF(AND(AH$4&gt;EDATE('核心假设'!$B$5,11+$F9),AH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AH$4=EDATE(EDATE('核心假设'!$B$5,11+$F9),$D9),SUM('融资租赁与资金缺口'!$D$5:$D$16)*$X9*'核心假设'!$B$32,0),0),IF(AND(AH$4&gt;EDATE('核心假设'!$B$5,12+$F9),AH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AH$4=EDATE(EDATE('核心假设'!$B$5,12+$F9),$D9),SUM('融资租赁与资金缺口'!$D$5:$D$16)*$Y9*'核心假设'!$B$32,0),0),IF(AND(AH$4&gt;EDATE('核心假设'!$B$5,13+$F9),AH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AH$4=EDATE(EDATE('核心假设'!$B$5,13+$F9),$D9),SUM('融资租赁与资金缺口'!$D$5:$D$16)*$Z9*'核心假设'!$B$32,0),0),IF(AND(AH$4&gt;EDATE('核心假设'!$B$5,14+$F9),AH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AH$4=EDATE(EDATE('核心假设'!$B$5,14+$F9),$D9),SUM('融资租赁与资金缺口'!$D$5:$D$16)*$AA9*'核心假设'!$B$32,0),0),IF(AND(AH$4&gt;EDATE('核心假设'!$B$5,15+$F9),AH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AH$4=EDATE(EDATE('核心假设'!$B$5,15+$F9),$D9),SUM('融资租赁与资金缺口'!$D$5:$D$16)*$AB9*'核心假设'!$B$32,0),0),IF(AND(AH$4&gt;EDATE('核心假设'!$B$5,16+$F9),AH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AH$4=EDATE(EDATE('核心假设'!$B$5,16+$F9),$D9),SUM('融资租赁与资金缺口'!$D$5:$D$16)*$AC9*'核心假设'!$B$32,0),0),IF(AND(AH$4&gt;EDATE('核心假设'!$B$5,17+$F9),AH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AH$4=EDATE(EDATE('核心假设'!$B$5,17+$F9),$D9),SUM('融资租赁与资金缺口'!$D$5:$D$16)*$AD9*'核心假设'!$B$32,0),0))</x:f>
        <x:v>506730.5064493074</x:v>
      </x:c>
      <x:c r="AI31" s="28" t="n">
        <x:f>SUM(IF(AND(AI$4&gt;EDATE('核心假设'!$B$5,0+$F9),AI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AI$4=EDATE(EDATE('核心假设'!$B$5,0+$F9),$D9),SUM('融资租赁与资金缺口'!$D$5:$D$16)*$M9*'核心假设'!$B$32,0),0),IF(AND(AI$4&gt;EDATE('核心假设'!$B$5,1+$F9),AI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AI$4=EDATE(EDATE('核心假设'!$B$5,1+$F9),$D9),SUM('融资租赁与资金缺口'!$D$5:$D$16)*$N9*'核心假设'!$B$32,0),0),IF(AND(AI$4&gt;EDATE('核心假设'!$B$5,2+$F9),AI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AI$4=EDATE(EDATE('核心假设'!$B$5,2+$F9),$D9),SUM('融资租赁与资金缺口'!$D$5:$D$16)*$O9*'核心假设'!$B$32,0),0),IF(AND(AI$4&gt;EDATE('核心假设'!$B$5,3+$F9),AI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AI$4=EDATE(EDATE('核心假设'!$B$5,3+$F9),$D9),SUM('融资租赁与资金缺口'!$D$5:$D$16)*$P9*'核心假设'!$B$32,0),0),IF(AND(AI$4&gt;EDATE('核心假设'!$B$5,4+$F9),AI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AI$4=EDATE(EDATE('核心假设'!$B$5,4+$F9),$D9),SUM('融资租赁与资金缺口'!$D$5:$D$16)*$Q9*'核心假设'!$B$32,0),0),IF(AND(AI$4&gt;EDATE('核心假设'!$B$5,5+$F9),AI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AI$4=EDATE(EDATE('核心假设'!$B$5,5+$F9),$D9),SUM('融资租赁与资金缺口'!$D$5:$D$16)*$R9*'核心假设'!$B$32,0),0),IF(AND(AI$4&gt;EDATE('核心假设'!$B$5,6+$F9),AI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AI$4=EDATE(EDATE('核心假设'!$B$5,6+$F9),$D9),SUM('融资租赁与资金缺口'!$D$5:$D$16)*$S9*'核心假设'!$B$32,0),0),IF(AND(AI$4&gt;EDATE('核心假设'!$B$5,7+$F9),AI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AI$4=EDATE(EDATE('核心假设'!$B$5,7+$F9),$D9),SUM('融资租赁与资金缺口'!$D$5:$D$16)*$T9*'核心假设'!$B$32,0),0),IF(AND(AI$4&gt;EDATE('核心假设'!$B$5,8+$F9),AI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AI$4=EDATE(EDATE('核心假设'!$B$5,8+$F9),$D9),SUM('融资租赁与资金缺口'!$D$5:$D$16)*$U9*'核心假设'!$B$32,0),0),IF(AND(AI$4&gt;EDATE('核心假设'!$B$5,9+$F9),AI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AI$4=EDATE(EDATE('核心假设'!$B$5,9+$F9),$D9),SUM('融资租赁与资金缺口'!$D$5:$D$16)*$V9*'核心假设'!$B$32,0),0),IF(AND(AI$4&gt;EDATE('核心假设'!$B$5,10+$F9),AI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AI$4=EDATE(EDATE('核心假设'!$B$5,10+$F9),$D9),SUM('融资租赁与资金缺口'!$D$5:$D$16)*$W9*'核心假设'!$B$32,0),0),IF(AND(AI$4&gt;EDATE('核心假设'!$B$5,11+$F9),AI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AI$4=EDATE(EDATE('核心假设'!$B$5,11+$F9),$D9),SUM('融资租赁与资金缺口'!$D$5:$D$16)*$X9*'核心假设'!$B$32,0),0),IF(AND(AI$4&gt;EDATE('核心假设'!$B$5,12+$F9),AI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AI$4=EDATE(EDATE('核心假设'!$B$5,12+$F9),$D9),SUM('融资租赁与资金缺口'!$D$5:$D$16)*$Y9*'核心假设'!$B$32,0),0),IF(AND(AI$4&gt;EDATE('核心假设'!$B$5,13+$F9),AI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AI$4=EDATE(EDATE('核心假设'!$B$5,13+$F9),$D9),SUM('融资租赁与资金缺口'!$D$5:$D$16)*$Z9*'核心假设'!$B$32,0),0),IF(AND(AI$4&gt;EDATE('核心假设'!$B$5,14+$F9),AI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AI$4=EDATE(EDATE('核心假设'!$B$5,14+$F9),$D9),SUM('融资租赁与资金缺口'!$D$5:$D$16)*$AA9*'核心假设'!$B$32,0),0),IF(AND(AI$4&gt;EDATE('核心假设'!$B$5,15+$F9),AI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AI$4=EDATE(EDATE('核心假设'!$B$5,15+$F9),$D9),SUM('融资租赁与资金缺口'!$D$5:$D$16)*$AB9*'核心假设'!$B$32,0),0),IF(AND(AI$4&gt;EDATE('核心假设'!$B$5,16+$F9),AI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AI$4=EDATE(EDATE('核心假设'!$B$5,16+$F9),$D9),SUM('融资租赁与资金缺口'!$D$5:$D$16)*$AC9*'核心假设'!$B$32,0),0),IF(AND(AI$4&gt;EDATE('核心假设'!$B$5,17+$F9),AI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AI$4=EDATE(EDATE('核心假设'!$B$5,17+$F9),$D9),SUM('融资租赁与资金缺口'!$D$5:$D$16)*$AD9*'核心假设'!$B$32,0),0))</x:f>
        <x:v>1182371.1817150505</x:v>
      </x:c>
      <x:c r="AJ31" s="28" t="n">
        <x:f>SUM(IF(AND(AJ$4&gt;EDATE('核心假设'!$B$5,0+$F9),AJ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AJ$4=EDATE(EDATE('核心假设'!$B$5,0+$F9),$D9),SUM('融资租赁与资金缺口'!$D$5:$D$16)*$M9*'核心假设'!$B$32,0),0),IF(AND(AJ$4&gt;EDATE('核心假设'!$B$5,1+$F9),AJ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AJ$4=EDATE(EDATE('核心假设'!$B$5,1+$F9),$D9),SUM('融资租赁与资金缺口'!$D$5:$D$16)*$N9*'核心假设'!$B$32,0),0),IF(AND(AJ$4&gt;EDATE('核心假设'!$B$5,2+$F9),AJ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AJ$4=EDATE(EDATE('核心假设'!$B$5,2+$F9),$D9),SUM('融资租赁与资金缺口'!$D$5:$D$16)*$O9*'核心假设'!$B$32,0),0),IF(AND(AJ$4&gt;EDATE('核心假设'!$B$5,3+$F9),AJ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AJ$4=EDATE(EDATE('核心假设'!$B$5,3+$F9),$D9),SUM('融资租赁与资金缺口'!$D$5:$D$16)*$P9*'核心假设'!$B$32,0),0),IF(AND(AJ$4&gt;EDATE('核心假设'!$B$5,4+$F9),AJ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AJ$4=EDATE(EDATE('核心假设'!$B$5,4+$F9),$D9),SUM('融资租赁与资金缺口'!$D$5:$D$16)*$Q9*'核心假设'!$B$32,0),0),IF(AND(AJ$4&gt;EDATE('核心假设'!$B$5,5+$F9),AJ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AJ$4=EDATE(EDATE('核心假设'!$B$5,5+$F9),$D9),SUM('融资租赁与资金缺口'!$D$5:$D$16)*$R9*'核心假设'!$B$32,0),0),IF(AND(AJ$4&gt;EDATE('核心假设'!$B$5,6+$F9),AJ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AJ$4=EDATE(EDATE('核心假设'!$B$5,6+$F9),$D9),SUM('融资租赁与资金缺口'!$D$5:$D$16)*$S9*'核心假设'!$B$32,0),0),IF(AND(AJ$4&gt;EDATE('核心假设'!$B$5,7+$F9),AJ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AJ$4=EDATE(EDATE('核心假设'!$B$5,7+$F9),$D9),SUM('融资租赁与资金缺口'!$D$5:$D$16)*$T9*'核心假设'!$B$32,0),0),IF(AND(AJ$4&gt;EDATE('核心假设'!$B$5,8+$F9),AJ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AJ$4=EDATE(EDATE('核心假设'!$B$5,8+$F9),$D9),SUM('融资租赁与资金缺口'!$D$5:$D$16)*$U9*'核心假设'!$B$32,0),0),IF(AND(AJ$4&gt;EDATE('核心假设'!$B$5,9+$F9),AJ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AJ$4=EDATE(EDATE('核心假设'!$B$5,9+$F9),$D9),SUM('融资租赁与资金缺口'!$D$5:$D$16)*$V9*'核心假设'!$B$32,0),0),IF(AND(AJ$4&gt;EDATE('核心假设'!$B$5,10+$F9),AJ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AJ$4=EDATE(EDATE('核心假设'!$B$5,10+$F9),$D9),SUM('融资租赁与资金缺口'!$D$5:$D$16)*$W9*'核心假设'!$B$32,0),0),IF(AND(AJ$4&gt;EDATE('核心假设'!$B$5,11+$F9),AJ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AJ$4=EDATE(EDATE('核心假设'!$B$5,11+$F9),$D9),SUM('融资租赁与资金缺口'!$D$5:$D$16)*$X9*'核心假设'!$B$32,0),0),IF(AND(AJ$4&gt;EDATE('核心假设'!$B$5,12+$F9),AJ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AJ$4=EDATE(EDATE('核心假设'!$B$5,12+$F9),$D9),SUM('融资租赁与资金缺口'!$D$5:$D$16)*$Y9*'核心假设'!$B$32,0),0),IF(AND(AJ$4&gt;EDATE('核心假设'!$B$5,13+$F9),AJ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AJ$4=EDATE(EDATE('核心假设'!$B$5,13+$F9),$D9),SUM('融资租赁与资金缺口'!$D$5:$D$16)*$Z9*'核心假设'!$B$32,0),0),IF(AND(AJ$4&gt;EDATE('核心假设'!$B$5,14+$F9),AJ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AJ$4=EDATE(EDATE('核心假设'!$B$5,14+$F9),$D9),SUM('融资租赁与资金缺口'!$D$5:$D$16)*$AA9*'核心假设'!$B$32,0),0),IF(AND(AJ$4&gt;EDATE('核心假设'!$B$5,15+$F9),AJ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AJ$4=EDATE(EDATE('核心假设'!$B$5,15+$F9),$D9),SUM('融资租赁与资金缺口'!$D$5:$D$16)*$AB9*'核心假设'!$B$32,0),0),IF(AND(AJ$4&gt;EDATE('核心假设'!$B$5,16+$F9),AJ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AJ$4=EDATE(EDATE('核心假设'!$B$5,16+$F9),$D9),SUM('融资租赁与资金缺口'!$D$5:$D$16)*$AC9*'核心假设'!$B$32,0),0),IF(AND(AJ$4&gt;EDATE('核心假设'!$B$5,17+$F9),AJ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AJ$4=EDATE(EDATE('核心假设'!$B$5,17+$F9),$D9),SUM('融资租赁与资金缺口'!$D$5:$D$16)*$AD9*'核心假设'!$B$32,0),0))</x:f>
        <x:v>1858011.8569807936</x:v>
      </x:c>
      <x:c r="AK31" s="28" t="n">
        <x:f>SUM(IF(AND(AK$4&gt;EDATE('核心假设'!$B$5,0+$F9),AK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AK$4=EDATE(EDATE('核心假设'!$B$5,0+$F9),$D9),SUM('融资租赁与资金缺口'!$D$5:$D$16)*$M9*'核心假设'!$B$32,0),0),IF(AND(AK$4&gt;EDATE('核心假设'!$B$5,1+$F9),AK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AK$4=EDATE(EDATE('核心假设'!$B$5,1+$F9),$D9),SUM('融资租赁与资金缺口'!$D$5:$D$16)*$N9*'核心假设'!$B$32,0),0),IF(AND(AK$4&gt;EDATE('核心假设'!$B$5,2+$F9),AK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AK$4=EDATE(EDATE('核心假设'!$B$5,2+$F9),$D9),SUM('融资租赁与资金缺口'!$D$5:$D$16)*$O9*'核心假设'!$B$32,0),0),IF(AND(AK$4&gt;EDATE('核心假设'!$B$5,3+$F9),AK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AK$4=EDATE(EDATE('核心假设'!$B$5,3+$F9),$D9),SUM('融资租赁与资金缺口'!$D$5:$D$16)*$P9*'核心假设'!$B$32,0),0),IF(AND(AK$4&gt;EDATE('核心假设'!$B$5,4+$F9),AK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AK$4=EDATE(EDATE('核心假设'!$B$5,4+$F9),$D9),SUM('融资租赁与资金缺口'!$D$5:$D$16)*$Q9*'核心假设'!$B$32,0),0),IF(AND(AK$4&gt;EDATE('核心假设'!$B$5,5+$F9),AK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AK$4=EDATE(EDATE('核心假设'!$B$5,5+$F9),$D9),SUM('融资租赁与资金缺口'!$D$5:$D$16)*$R9*'核心假设'!$B$32,0),0),IF(AND(AK$4&gt;EDATE('核心假设'!$B$5,6+$F9),AK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AK$4=EDATE(EDATE('核心假设'!$B$5,6+$F9),$D9),SUM('融资租赁与资金缺口'!$D$5:$D$16)*$S9*'核心假设'!$B$32,0),0),IF(AND(AK$4&gt;EDATE('核心假设'!$B$5,7+$F9),AK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AK$4=EDATE(EDATE('核心假设'!$B$5,7+$F9),$D9),SUM('融资租赁与资金缺口'!$D$5:$D$16)*$T9*'核心假设'!$B$32,0),0),IF(AND(AK$4&gt;EDATE('核心假设'!$B$5,8+$F9),AK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AK$4=EDATE(EDATE('核心假设'!$B$5,8+$F9),$D9),SUM('融资租赁与资金缺口'!$D$5:$D$16)*$U9*'核心假设'!$B$32,0),0),IF(AND(AK$4&gt;EDATE('核心假设'!$B$5,9+$F9),AK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AK$4=EDATE(EDATE('核心假设'!$B$5,9+$F9),$D9),SUM('融资租赁与资金缺口'!$D$5:$D$16)*$V9*'核心假设'!$B$32,0),0),IF(AND(AK$4&gt;EDATE('核心假设'!$B$5,10+$F9),AK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AK$4=EDATE(EDATE('核心假设'!$B$5,10+$F9),$D9),SUM('融资租赁与资金缺口'!$D$5:$D$16)*$W9*'核心假设'!$B$32,0),0),IF(AND(AK$4&gt;EDATE('核心假设'!$B$5,11+$F9),AK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AK$4=EDATE(EDATE('核心假设'!$B$5,11+$F9),$D9),SUM('融资租赁与资金缺口'!$D$5:$D$16)*$X9*'核心假设'!$B$32,0),0),IF(AND(AK$4&gt;EDATE('核心假设'!$B$5,12+$F9),AK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AK$4=EDATE(EDATE('核心假设'!$B$5,12+$F9),$D9),SUM('融资租赁与资金缺口'!$D$5:$D$16)*$Y9*'核心假设'!$B$32,0),0),IF(AND(AK$4&gt;EDATE('核心假设'!$B$5,13+$F9),AK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AK$4=EDATE(EDATE('核心假设'!$B$5,13+$F9),$D9),SUM('融资租赁与资金缺口'!$D$5:$D$16)*$Z9*'核心假设'!$B$32,0),0),IF(AND(AK$4&gt;EDATE('核心假设'!$B$5,14+$F9),AK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AK$4=EDATE(EDATE('核心假设'!$B$5,14+$F9),$D9),SUM('融资租赁与资金缺口'!$D$5:$D$16)*$AA9*'核心假设'!$B$32,0),0),IF(AND(AK$4&gt;EDATE('核心假设'!$B$5,15+$F9),AK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AK$4=EDATE(EDATE('核心假设'!$B$5,15+$F9),$D9),SUM('融资租赁与资金缺口'!$D$5:$D$16)*$AB9*'核心假设'!$B$32,0),0),IF(AND(AK$4&gt;EDATE('核心假设'!$B$5,16+$F9),AK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AK$4=EDATE(EDATE('核心假设'!$B$5,16+$F9),$D9),SUM('融资租赁与资金缺口'!$D$5:$D$16)*$AC9*'核心假设'!$B$32,0),0),IF(AND(AK$4&gt;EDATE('核心假设'!$B$5,17+$F9),AK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AK$4=EDATE(EDATE('核心假设'!$B$5,17+$F9),$D9),SUM('融资租赁与资金缺口'!$D$5:$D$16)*$AD9*'核心假设'!$B$32,0),0))</x:f>
        <x:v>2702562.7010629727</x:v>
      </x:c>
      <x:c r="AL31" s="28" t="n">
        <x:f>SUM(IF(AND(AL$4&gt;EDATE('核心假设'!$B$5,0+$F9),AL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AL$4=EDATE(EDATE('核心假设'!$B$5,0+$F9),$D9),SUM('融资租赁与资金缺口'!$D$5:$D$16)*$M9*'核心假设'!$B$32,0),0),IF(AND(AL$4&gt;EDATE('核心假设'!$B$5,1+$F9),AL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AL$4=EDATE(EDATE('核心假设'!$B$5,1+$F9),$D9),SUM('融资租赁与资金缺口'!$D$5:$D$16)*$N9*'核心假设'!$B$32,0),0),IF(AND(AL$4&gt;EDATE('核心假设'!$B$5,2+$F9),AL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AL$4=EDATE(EDATE('核心假设'!$B$5,2+$F9),$D9),SUM('融资租赁与资金缺口'!$D$5:$D$16)*$O9*'核心假设'!$B$32,0),0),IF(AND(AL$4&gt;EDATE('核心假设'!$B$5,3+$F9),AL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AL$4=EDATE(EDATE('核心假设'!$B$5,3+$F9),$D9),SUM('融资租赁与资金缺口'!$D$5:$D$16)*$P9*'核心假设'!$B$32,0),0),IF(AND(AL$4&gt;EDATE('核心假设'!$B$5,4+$F9),AL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AL$4=EDATE(EDATE('核心假设'!$B$5,4+$F9),$D9),SUM('融资租赁与资金缺口'!$D$5:$D$16)*$Q9*'核心假设'!$B$32,0),0),IF(AND(AL$4&gt;EDATE('核心假设'!$B$5,5+$F9),AL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AL$4=EDATE(EDATE('核心假设'!$B$5,5+$F9),$D9),SUM('融资租赁与资金缺口'!$D$5:$D$16)*$R9*'核心假设'!$B$32,0),0),IF(AND(AL$4&gt;EDATE('核心假设'!$B$5,6+$F9),AL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AL$4=EDATE(EDATE('核心假设'!$B$5,6+$F9),$D9),SUM('融资租赁与资金缺口'!$D$5:$D$16)*$S9*'核心假设'!$B$32,0),0),IF(AND(AL$4&gt;EDATE('核心假设'!$B$5,7+$F9),AL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AL$4=EDATE(EDATE('核心假设'!$B$5,7+$F9),$D9),SUM('融资租赁与资金缺口'!$D$5:$D$16)*$T9*'核心假设'!$B$32,0),0),IF(AND(AL$4&gt;EDATE('核心假设'!$B$5,8+$F9),AL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AL$4=EDATE(EDATE('核心假设'!$B$5,8+$F9),$D9),SUM('融资租赁与资金缺口'!$D$5:$D$16)*$U9*'核心假设'!$B$32,0),0),IF(AND(AL$4&gt;EDATE('核心假设'!$B$5,9+$F9),AL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AL$4=EDATE(EDATE('核心假设'!$B$5,9+$F9),$D9),SUM('融资租赁与资金缺口'!$D$5:$D$16)*$V9*'核心假设'!$B$32,0),0),IF(AND(AL$4&gt;EDATE('核心假设'!$B$5,10+$F9),AL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AL$4=EDATE(EDATE('核心假设'!$B$5,10+$F9),$D9),SUM('融资租赁与资金缺口'!$D$5:$D$16)*$W9*'核心假设'!$B$32,0),0),IF(AND(AL$4&gt;EDATE('核心假设'!$B$5,11+$F9),AL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AL$4=EDATE(EDATE('核心假设'!$B$5,11+$F9),$D9),SUM('融资租赁与资金缺口'!$D$5:$D$16)*$X9*'核心假设'!$B$32,0),0),IF(AND(AL$4&gt;EDATE('核心假设'!$B$5,12+$F9),AL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AL$4=EDATE(EDATE('核心假设'!$B$5,12+$F9),$D9),SUM('融资租赁与资金缺口'!$D$5:$D$16)*$Y9*'核心假设'!$B$32,0),0),IF(AND(AL$4&gt;EDATE('核心假设'!$B$5,13+$F9),AL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AL$4=EDATE(EDATE('核心假设'!$B$5,13+$F9),$D9),SUM('融资租赁与资金缺口'!$D$5:$D$16)*$Z9*'核心假设'!$B$32,0),0),IF(AND(AL$4&gt;EDATE('核心假设'!$B$5,14+$F9),AL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AL$4=EDATE(EDATE('核心假设'!$B$5,14+$F9),$D9),SUM('融资租赁与资金缺口'!$D$5:$D$16)*$AA9*'核心假设'!$B$32,0),0),IF(AND(AL$4&gt;EDATE('核心假设'!$B$5,15+$F9),AL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AL$4=EDATE(EDATE('核心假设'!$B$5,15+$F9),$D9),SUM('融资租赁与资金缺口'!$D$5:$D$16)*$AB9*'核心假设'!$B$32,0),0),IF(AND(AL$4&gt;EDATE('核心假设'!$B$5,16+$F9),AL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AL$4=EDATE(EDATE('核心假设'!$B$5,16+$F9),$D9),SUM('融资租赁与资金缺口'!$D$5:$D$16)*$AC9*'核心假设'!$B$32,0),0),IF(AND(AL$4&gt;EDATE('核心假设'!$B$5,17+$F9),AL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AL$4=EDATE(EDATE('核心假设'!$B$5,17+$F9),$D9),SUM('融资租赁与资金缺口'!$D$5:$D$16)*$AD9*'核心假设'!$B$32,0),0))</x:f>
        <x:v>3547113.5451451517</x:v>
      </x:c>
      <x:c r="AM31" s="28" t="n">
        <x:f>SUM(IF(AND(AM$4&gt;EDATE('核心假设'!$B$5,0+$F9),AM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AM$4=EDATE(EDATE('核心假设'!$B$5,0+$F9),$D9),SUM('融资租赁与资金缺口'!$D$5:$D$16)*$M9*'核心假设'!$B$32,0),0),IF(AND(AM$4&gt;EDATE('核心假设'!$B$5,1+$F9),AM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AM$4=EDATE(EDATE('核心假设'!$B$5,1+$F9),$D9),SUM('融资租赁与资金缺口'!$D$5:$D$16)*$N9*'核心假设'!$B$32,0),0),IF(AND(AM$4&gt;EDATE('核心假设'!$B$5,2+$F9),AM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AM$4=EDATE(EDATE('核心假设'!$B$5,2+$F9),$D9),SUM('融资租赁与资金缺口'!$D$5:$D$16)*$O9*'核心假设'!$B$32,0),0),IF(AND(AM$4&gt;EDATE('核心假设'!$B$5,3+$F9),AM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AM$4=EDATE(EDATE('核心假设'!$B$5,3+$F9),$D9),SUM('融资租赁与资金缺口'!$D$5:$D$16)*$P9*'核心假设'!$B$32,0),0),IF(AND(AM$4&gt;EDATE('核心假设'!$B$5,4+$F9),AM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AM$4=EDATE(EDATE('核心假设'!$B$5,4+$F9),$D9),SUM('融资租赁与资金缺口'!$D$5:$D$16)*$Q9*'核心假设'!$B$32,0),0),IF(AND(AM$4&gt;EDATE('核心假设'!$B$5,5+$F9),AM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AM$4=EDATE(EDATE('核心假设'!$B$5,5+$F9),$D9),SUM('融资租赁与资金缺口'!$D$5:$D$16)*$R9*'核心假设'!$B$32,0),0),IF(AND(AM$4&gt;EDATE('核心假设'!$B$5,6+$F9),AM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AM$4=EDATE(EDATE('核心假设'!$B$5,6+$F9),$D9),SUM('融资租赁与资金缺口'!$D$5:$D$16)*$S9*'核心假设'!$B$32,0),0),IF(AND(AM$4&gt;EDATE('核心假设'!$B$5,7+$F9),AM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AM$4=EDATE(EDATE('核心假设'!$B$5,7+$F9),$D9),SUM('融资租赁与资金缺口'!$D$5:$D$16)*$T9*'核心假设'!$B$32,0),0),IF(AND(AM$4&gt;EDATE('核心假设'!$B$5,8+$F9),AM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AM$4=EDATE(EDATE('核心假设'!$B$5,8+$F9),$D9),SUM('融资租赁与资金缺口'!$D$5:$D$16)*$U9*'核心假设'!$B$32,0),0),IF(AND(AM$4&gt;EDATE('核心假设'!$B$5,9+$F9),AM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AM$4=EDATE(EDATE('核心假设'!$B$5,9+$F9),$D9),SUM('融资租赁与资金缺口'!$D$5:$D$16)*$V9*'核心假设'!$B$32,0),0),IF(AND(AM$4&gt;EDATE('核心假设'!$B$5,10+$F9),AM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AM$4=EDATE(EDATE('核心假设'!$B$5,10+$F9),$D9),SUM('融资租赁与资金缺口'!$D$5:$D$16)*$W9*'核心假设'!$B$32,0),0),IF(AND(AM$4&gt;EDATE('核心假设'!$B$5,11+$F9),AM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AM$4=EDATE(EDATE('核心假设'!$B$5,11+$F9),$D9),SUM('融资租赁与资金缺口'!$D$5:$D$16)*$X9*'核心假设'!$B$32,0),0),IF(AND(AM$4&gt;EDATE('核心假设'!$B$5,12+$F9),AM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AM$4=EDATE(EDATE('核心假设'!$B$5,12+$F9),$D9),SUM('融资租赁与资金缺口'!$D$5:$D$16)*$Y9*'核心假设'!$B$32,0),0),IF(AND(AM$4&gt;EDATE('核心假设'!$B$5,13+$F9),AM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AM$4=EDATE(EDATE('核心假设'!$B$5,13+$F9),$D9),SUM('融资租赁与资金缺口'!$D$5:$D$16)*$Z9*'核心假设'!$B$32,0),0),IF(AND(AM$4&gt;EDATE('核心假设'!$B$5,14+$F9),AM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AM$4=EDATE(EDATE('核心假设'!$B$5,14+$F9),$D9),SUM('融资租赁与资金缺口'!$D$5:$D$16)*$AA9*'核心假设'!$B$32,0),0),IF(AND(AM$4&gt;EDATE('核心假设'!$B$5,15+$F9),AM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AM$4=EDATE(EDATE('核心假设'!$B$5,15+$F9),$D9),SUM('融资租赁与资金缺口'!$D$5:$D$16)*$AB9*'核心假设'!$B$32,0),0),IF(AND(AM$4&gt;EDATE('核心假设'!$B$5,16+$F9),AM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AM$4=EDATE(EDATE('核心假设'!$B$5,16+$F9),$D9),SUM('融资租赁与资金缺口'!$D$5:$D$16)*$AC9*'核心假设'!$B$32,0),0),IF(AND(AM$4&gt;EDATE('核心假设'!$B$5,17+$F9),AM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AM$4=EDATE(EDATE('核心假设'!$B$5,17+$F9),$D9),SUM('融资租赁与资金缺口'!$D$5:$D$16)*$AD9*'核心假设'!$B$32,0),0))</x:f>
        <x:v>4560574.558043767</x:v>
      </x:c>
      <x:c r="AN31" s="28" t="n">
        <x:f>SUM(IF(AND(AN$4&gt;EDATE('核心假设'!$B$5,0+$F9),AN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AN$4=EDATE(EDATE('核心假设'!$B$5,0+$F9),$D9),SUM('融资租赁与资金缺口'!$D$5:$D$16)*$M9*'核心假设'!$B$32,0),0),IF(AND(AN$4&gt;EDATE('核心假设'!$B$5,1+$F9),AN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AN$4=EDATE(EDATE('核心假设'!$B$5,1+$F9),$D9),SUM('融资租赁与资金缺口'!$D$5:$D$16)*$N9*'核心假设'!$B$32,0),0),IF(AND(AN$4&gt;EDATE('核心假设'!$B$5,2+$F9),AN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AN$4=EDATE(EDATE('核心假设'!$B$5,2+$F9),$D9),SUM('融资租赁与资金缺口'!$D$5:$D$16)*$O9*'核心假设'!$B$32,0),0),IF(AND(AN$4&gt;EDATE('核心假设'!$B$5,3+$F9),AN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AN$4=EDATE(EDATE('核心假设'!$B$5,3+$F9),$D9),SUM('融资租赁与资金缺口'!$D$5:$D$16)*$P9*'核心假设'!$B$32,0),0),IF(AND(AN$4&gt;EDATE('核心假设'!$B$5,4+$F9),AN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AN$4=EDATE(EDATE('核心假设'!$B$5,4+$F9),$D9),SUM('融资租赁与资金缺口'!$D$5:$D$16)*$Q9*'核心假设'!$B$32,0),0),IF(AND(AN$4&gt;EDATE('核心假设'!$B$5,5+$F9),AN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AN$4=EDATE(EDATE('核心假设'!$B$5,5+$F9),$D9),SUM('融资租赁与资金缺口'!$D$5:$D$16)*$R9*'核心假设'!$B$32,0),0),IF(AND(AN$4&gt;EDATE('核心假设'!$B$5,6+$F9),AN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AN$4=EDATE(EDATE('核心假设'!$B$5,6+$F9),$D9),SUM('融资租赁与资金缺口'!$D$5:$D$16)*$S9*'核心假设'!$B$32,0),0),IF(AND(AN$4&gt;EDATE('核心假设'!$B$5,7+$F9),AN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AN$4=EDATE(EDATE('核心假设'!$B$5,7+$F9),$D9),SUM('融资租赁与资金缺口'!$D$5:$D$16)*$T9*'核心假设'!$B$32,0),0),IF(AND(AN$4&gt;EDATE('核心假设'!$B$5,8+$F9),AN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AN$4=EDATE(EDATE('核心假设'!$B$5,8+$F9),$D9),SUM('融资租赁与资金缺口'!$D$5:$D$16)*$U9*'核心假设'!$B$32,0),0),IF(AND(AN$4&gt;EDATE('核心假设'!$B$5,9+$F9),AN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AN$4=EDATE(EDATE('核心假设'!$B$5,9+$F9),$D9),SUM('融资租赁与资金缺口'!$D$5:$D$16)*$V9*'核心假设'!$B$32,0),0),IF(AND(AN$4&gt;EDATE('核心假设'!$B$5,10+$F9),AN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AN$4=EDATE(EDATE('核心假设'!$B$5,10+$F9),$D9),SUM('融资租赁与资金缺口'!$D$5:$D$16)*$W9*'核心假设'!$B$32,0),0),IF(AND(AN$4&gt;EDATE('核心假设'!$B$5,11+$F9),AN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AN$4=EDATE(EDATE('核心假设'!$B$5,11+$F9),$D9),SUM('融资租赁与资金缺口'!$D$5:$D$16)*$X9*'核心假设'!$B$32,0),0),IF(AND(AN$4&gt;EDATE('核心假设'!$B$5,12+$F9),AN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AN$4=EDATE(EDATE('核心假设'!$B$5,12+$F9),$D9),SUM('融资租赁与资金缺口'!$D$5:$D$16)*$Y9*'核心假设'!$B$32,0),0),IF(AND(AN$4&gt;EDATE('核心假设'!$B$5,13+$F9),AN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AN$4=EDATE(EDATE('核心假设'!$B$5,13+$F9),$D9),SUM('融资租赁与资金缺口'!$D$5:$D$16)*$Z9*'核心假设'!$B$32,0),0),IF(AND(AN$4&gt;EDATE('核心假设'!$B$5,14+$F9),AN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AN$4=EDATE(EDATE('核心假设'!$B$5,14+$F9),$D9),SUM('融资租赁与资金缺口'!$D$5:$D$16)*$AA9*'核心假设'!$B$32,0),0),IF(AND(AN$4&gt;EDATE('核心假设'!$B$5,15+$F9),AN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AN$4=EDATE(EDATE('核心假设'!$B$5,15+$F9),$D9),SUM('融资租赁与资金缺口'!$D$5:$D$16)*$AB9*'核心假设'!$B$32,0),0),IF(AND(AN$4&gt;EDATE('核心假设'!$B$5,16+$F9),AN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AN$4=EDATE(EDATE('核心假设'!$B$5,16+$F9),$D9),SUM('融资租赁与资金缺口'!$D$5:$D$16)*$AC9*'核心假设'!$B$32,0),0),IF(AND(AN$4&gt;EDATE('核心假设'!$B$5,17+$F9),AN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AN$4=EDATE(EDATE('核心假设'!$B$5,17+$F9),$D9),SUM('融资租赁与资金缺口'!$D$5:$D$16)*$AD9*'核心假设'!$B$32,0),0))</x:f>
        <x:v>5574035.570942381</x:v>
      </x:c>
      <x:c r="AO31" s="28" t="n">
        <x:f>SUM(IF(AND(AO$4&gt;EDATE('核心假设'!$B$5,0+$F9),AO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AO$4=EDATE(EDATE('核心假设'!$B$5,0+$F9),$D9),SUM('融资租赁与资金缺口'!$D$5:$D$16)*$M9*'核心假设'!$B$32,0),0),IF(AND(AO$4&gt;EDATE('核心假设'!$B$5,1+$F9),AO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AO$4=EDATE(EDATE('核心假设'!$B$5,1+$F9),$D9),SUM('融资租赁与资金缺口'!$D$5:$D$16)*$N9*'核心假设'!$B$32,0),0),IF(AND(AO$4&gt;EDATE('核心假设'!$B$5,2+$F9),AO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AO$4=EDATE(EDATE('核心假设'!$B$5,2+$F9),$D9),SUM('融资租赁与资金缺口'!$D$5:$D$16)*$O9*'核心假设'!$B$32,0),0),IF(AND(AO$4&gt;EDATE('核心假设'!$B$5,3+$F9),AO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AO$4=EDATE(EDATE('核心假设'!$B$5,3+$F9),$D9),SUM('融资租赁与资金缺口'!$D$5:$D$16)*$P9*'核心假设'!$B$32,0),0),IF(AND(AO$4&gt;EDATE('核心假设'!$B$5,4+$F9),AO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AO$4=EDATE(EDATE('核心假设'!$B$5,4+$F9),$D9),SUM('融资租赁与资金缺口'!$D$5:$D$16)*$Q9*'核心假设'!$B$32,0),0),IF(AND(AO$4&gt;EDATE('核心假设'!$B$5,5+$F9),AO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AO$4=EDATE(EDATE('核心假设'!$B$5,5+$F9),$D9),SUM('融资租赁与资金缺口'!$D$5:$D$16)*$R9*'核心假设'!$B$32,0),0),IF(AND(AO$4&gt;EDATE('核心假设'!$B$5,6+$F9),AO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AO$4=EDATE(EDATE('核心假设'!$B$5,6+$F9),$D9),SUM('融资租赁与资金缺口'!$D$5:$D$16)*$S9*'核心假设'!$B$32,0),0),IF(AND(AO$4&gt;EDATE('核心假设'!$B$5,7+$F9),AO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AO$4=EDATE(EDATE('核心假设'!$B$5,7+$F9),$D9),SUM('融资租赁与资金缺口'!$D$5:$D$16)*$T9*'核心假设'!$B$32,0),0),IF(AND(AO$4&gt;EDATE('核心假设'!$B$5,8+$F9),AO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AO$4=EDATE(EDATE('核心假设'!$B$5,8+$F9),$D9),SUM('融资租赁与资金缺口'!$D$5:$D$16)*$U9*'核心假设'!$B$32,0),0),IF(AND(AO$4&gt;EDATE('核心假设'!$B$5,9+$F9),AO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AO$4=EDATE(EDATE('核心假设'!$B$5,9+$F9),$D9),SUM('融资租赁与资金缺口'!$D$5:$D$16)*$V9*'核心假设'!$B$32,0),0),IF(AND(AO$4&gt;EDATE('核心假设'!$B$5,10+$F9),AO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AO$4=EDATE(EDATE('核心假设'!$B$5,10+$F9),$D9),SUM('融资租赁与资金缺口'!$D$5:$D$16)*$W9*'核心假设'!$B$32,0),0),IF(AND(AO$4&gt;EDATE('核心假设'!$B$5,11+$F9),AO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AO$4=EDATE(EDATE('核心假设'!$B$5,11+$F9),$D9),SUM('融资租赁与资金缺口'!$D$5:$D$16)*$X9*'核心假设'!$B$32,0),0),IF(AND(AO$4&gt;EDATE('核心假设'!$B$5,12+$F9),AO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AO$4=EDATE(EDATE('核心假设'!$B$5,12+$F9),$D9),SUM('融资租赁与资金缺口'!$D$5:$D$16)*$Y9*'核心假设'!$B$32,0),0),IF(AND(AO$4&gt;EDATE('核心假设'!$B$5,13+$F9),AO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AO$4=EDATE(EDATE('核心假设'!$B$5,13+$F9),$D9),SUM('融资租赁与资金缺口'!$D$5:$D$16)*$Z9*'核心假设'!$B$32,0),0),IF(AND(AO$4&gt;EDATE('核心假设'!$B$5,14+$F9),AO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AO$4=EDATE(EDATE('核心假设'!$B$5,14+$F9),$D9),SUM('融资租赁与资金缺口'!$D$5:$D$16)*$AA9*'核心假设'!$B$32,0),0),IF(AND(AO$4&gt;EDATE('核心假设'!$B$5,15+$F9),AO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AO$4=EDATE(EDATE('核心假设'!$B$5,15+$F9),$D9),SUM('融资租赁与资金缺口'!$D$5:$D$16)*$AB9*'核心假设'!$B$32,0),0),IF(AND(AO$4&gt;EDATE('核心假设'!$B$5,16+$F9),AO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AO$4=EDATE(EDATE('核心假设'!$B$5,16+$F9),$D9),SUM('融资租赁与资金缺口'!$D$5:$D$16)*$AC9*'核心假设'!$B$32,0),0),IF(AND(AO$4&gt;EDATE('核心假设'!$B$5,17+$F9),AO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AO$4=EDATE(EDATE('核心假设'!$B$5,17+$F9),$D9),SUM('融资租赁与资金缺口'!$D$5:$D$16)*$AD9*'核心假设'!$B$32,0),0))</x:f>
        <x:v>6756406.752657432</x:v>
      </x:c>
      <x:c r="AP31" s="28" t="n">
        <x:f>SUM(IF(AND(AP$4&gt;EDATE('核心假设'!$B$5,0+$F9),AP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AP$4=EDATE(EDATE('核心假设'!$B$5,0+$F9),$D9),SUM('融资租赁与资金缺口'!$D$5:$D$16)*$M9*'核心假设'!$B$32,0),0),IF(AND(AP$4&gt;EDATE('核心假设'!$B$5,1+$F9),AP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AP$4=EDATE(EDATE('核心假设'!$B$5,1+$F9),$D9),SUM('融资租赁与资金缺口'!$D$5:$D$16)*$N9*'核心假设'!$B$32,0),0),IF(AND(AP$4&gt;EDATE('核心假设'!$B$5,2+$F9),AP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AP$4=EDATE(EDATE('核心假设'!$B$5,2+$F9),$D9),SUM('融资租赁与资金缺口'!$D$5:$D$16)*$O9*'核心假设'!$B$32,0),0),IF(AND(AP$4&gt;EDATE('核心假设'!$B$5,3+$F9),AP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AP$4=EDATE(EDATE('核心假设'!$B$5,3+$F9),$D9),SUM('融资租赁与资金缺口'!$D$5:$D$16)*$P9*'核心假设'!$B$32,0),0),IF(AND(AP$4&gt;EDATE('核心假设'!$B$5,4+$F9),AP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AP$4=EDATE(EDATE('核心假设'!$B$5,4+$F9),$D9),SUM('融资租赁与资金缺口'!$D$5:$D$16)*$Q9*'核心假设'!$B$32,0),0),IF(AND(AP$4&gt;EDATE('核心假设'!$B$5,5+$F9),AP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AP$4=EDATE(EDATE('核心假设'!$B$5,5+$F9),$D9),SUM('融资租赁与资金缺口'!$D$5:$D$16)*$R9*'核心假设'!$B$32,0),0),IF(AND(AP$4&gt;EDATE('核心假设'!$B$5,6+$F9),AP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AP$4=EDATE(EDATE('核心假设'!$B$5,6+$F9),$D9),SUM('融资租赁与资金缺口'!$D$5:$D$16)*$S9*'核心假设'!$B$32,0),0),IF(AND(AP$4&gt;EDATE('核心假设'!$B$5,7+$F9),AP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AP$4=EDATE(EDATE('核心假设'!$B$5,7+$F9),$D9),SUM('融资租赁与资金缺口'!$D$5:$D$16)*$T9*'核心假设'!$B$32,0),0),IF(AND(AP$4&gt;EDATE('核心假设'!$B$5,8+$F9),AP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AP$4=EDATE(EDATE('核心假设'!$B$5,8+$F9),$D9),SUM('融资租赁与资金缺口'!$D$5:$D$16)*$U9*'核心假设'!$B$32,0),0),IF(AND(AP$4&gt;EDATE('核心假设'!$B$5,9+$F9),AP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AP$4=EDATE(EDATE('核心假设'!$B$5,9+$F9),$D9),SUM('融资租赁与资金缺口'!$D$5:$D$16)*$V9*'核心假设'!$B$32,0),0),IF(AND(AP$4&gt;EDATE('核心假设'!$B$5,10+$F9),AP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AP$4=EDATE(EDATE('核心假设'!$B$5,10+$F9),$D9),SUM('融资租赁与资金缺口'!$D$5:$D$16)*$W9*'核心假设'!$B$32,0),0),IF(AND(AP$4&gt;EDATE('核心假设'!$B$5,11+$F9),AP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AP$4=EDATE(EDATE('核心假设'!$B$5,11+$F9),$D9),SUM('融资租赁与资金缺口'!$D$5:$D$16)*$X9*'核心假设'!$B$32,0),0),IF(AND(AP$4&gt;EDATE('核心假设'!$B$5,12+$F9),AP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AP$4=EDATE(EDATE('核心假设'!$B$5,12+$F9),$D9),SUM('融资租赁与资金缺口'!$D$5:$D$16)*$Y9*'核心假设'!$B$32,0),0),IF(AND(AP$4&gt;EDATE('核心假设'!$B$5,13+$F9),AP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AP$4=EDATE(EDATE('核心假设'!$B$5,13+$F9),$D9),SUM('融资租赁与资金缺口'!$D$5:$D$16)*$Z9*'核心假设'!$B$32,0),0),IF(AND(AP$4&gt;EDATE('核心假设'!$B$5,14+$F9),AP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AP$4=EDATE(EDATE('核心假设'!$B$5,14+$F9),$D9),SUM('融资租赁与资金缺口'!$D$5:$D$16)*$AA9*'核心假设'!$B$32,0),0),IF(AND(AP$4&gt;EDATE('核心假设'!$B$5,15+$F9),AP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AP$4=EDATE(EDATE('核心假设'!$B$5,15+$F9),$D9),SUM('融资租赁与资金缺口'!$D$5:$D$16)*$AB9*'核心假设'!$B$32,0),0),IF(AND(AP$4&gt;EDATE('核心假设'!$B$5,16+$F9),AP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AP$4=EDATE(EDATE('核心假设'!$B$5,16+$F9),$D9),SUM('融资租赁与资金缺口'!$D$5:$D$16)*$AC9*'核心假设'!$B$32,0),0),IF(AND(AP$4&gt;EDATE('核心假设'!$B$5,17+$F9),AP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AP$4=EDATE(EDATE('核心假设'!$B$5,17+$F9),$D9),SUM('融资租赁与资金缺口'!$D$5:$D$16)*$AD9*'核心假设'!$B$32,0),0))</x:f>
        <x:v>7938777.934372483</x:v>
      </x:c>
      <x:c r="AQ31" s="28" t="n">
        <x:f>SUM(IF(AND(AQ$4&gt;EDATE('核心假设'!$B$5,0+$F9),AQ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AQ$4=EDATE(EDATE('核心假设'!$B$5,0+$F9),$D9),SUM('融资租赁与资金缺口'!$D$5:$D$16)*$M9*'核心假设'!$B$32,0),0),IF(AND(AQ$4&gt;EDATE('核心假设'!$B$5,1+$F9),AQ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AQ$4=EDATE(EDATE('核心假设'!$B$5,1+$F9),$D9),SUM('融资租赁与资金缺口'!$D$5:$D$16)*$N9*'核心假设'!$B$32,0),0),IF(AND(AQ$4&gt;EDATE('核心假设'!$B$5,2+$F9),AQ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AQ$4=EDATE(EDATE('核心假设'!$B$5,2+$F9),$D9),SUM('融资租赁与资金缺口'!$D$5:$D$16)*$O9*'核心假设'!$B$32,0),0),IF(AND(AQ$4&gt;EDATE('核心假设'!$B$5,3+$F9),AQ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AQ$4=EDATE(EDATE('核心假设'!$B$5,3+$F9),$D9),SUM('融资租赁与资金缺口'!$D$5:$D$16)*$P9*'核心假设'!$B$32,0),0),IF(AND(AQ$4&gt;EDATE('核心假设'!$B$5,4+$F9),AQ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AQ$4=EDATE(EDATE('核心假设'!$B$5,4+$F9),$D9),SUM('融资租赁与资金缺口'!$D$5:$D$16)*$Q9*'核心假设'!$B$32,0),0),IF(AND(AQ$4&gt;EDATE('核心假设'!$B$5,5+$F9),AQ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AQ$4=EDATE(EDATE('核心假设'!$B$5,5+$F9),$D9),SUM('融资租赁与资金缺口'!$D$5:$D$16)*$R9*'核心假设'!$B$32,0),0),IF(AND(AQ$4&gt;EDATE('核心假设'!$B$5,6+$F9),AQ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AQ$4=EDATE(EDATE('核心假设'!$B$5,6+$F9),$D9),SUM('融资租赁与资金缺口'!$D$5:$D$16)*$S9*'核心假设'!$B$32,0),0),IF(AND(AQ$4&gt;EDATE('核心假设'!$B$5,7+$F9),AQ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AQ$4=EDATE(EDATE('核心假设'!$B$5,7+$F9),$D9),SUM('融资租赁与资金缺口'!$D$5:$D$16)*$T9*'核心假设'!$B$32,0),0),IF(AND(AQ$4&gt;EDATE('核心假设'!$B$5,8+$F9),AQ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AQ$4=EDATE(EDATE('核心假设'!$B$5,8+$F9),$D9),SUM('融资租赁与资金缺口'!$D$5:$D$16)*$U9*'核心假设'!$B$32,0),0),IF(AND(AQ$4&gt;EDATE('核心假设'!$B$5,9+$F9),AQ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AQ$4=EDATE(EDATE('核心假设'!$B$5,9+$F9),$D9),SUM('融资租赁与资金缺口'!$D$5:$D$16)*$V9*'核心假设'!$B$32,0),0),IF(AND(AQ$4&gt;EDATE('核心假设'!$B$5,10+$F9),AQ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AQ$4=EDATE(EDATE('核心假设'!$B$5,10+$F9),$D9),SUM('融资租赁与资金缺口'!$D$5:$D$16)*$W9*'核心假设'!$B$32,0),0),IF(AND(AQ$4&gt;EDATE('核心假设'!$B$5,11+$F9),AQ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AQ$4=EDATE(EDATE('核心假设'!$B$5,11+$F9),$D9),SUM('融资租赁与资金缺口'!$D$5:$D$16)*$X9*'核心假设'!$B$32,0),0),IF(AND(AQ$4&gt;EDATE('核心假设'!$B$5,12+$F9),AQ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AQ$4=EDATE(EDATE('核心假设'!$B$5,12+$F9),$D9),SUM('融资租赁与资金缺口'!$D$5:$D$16)*$Y9*'核心假设'!$B$32,0),0),IF(AND(AQ$4&gt;EDATE('核心假设'!$B$5,13+$F9),AQ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AQ$4=EDATE(EDATE('核心假设'!$B$5,13+$F9),$D9),SUM('融资租赁与资金缺口'!$D$5:$D$16)*$Z9*'核心假设'!$B$32,0),0),IF(AND(AQ$4&gt;EDATE('核心假设'!$B$5,14+$F9),AQ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AQ$4=EDATE(EDATE('核心假设'!$B$5,14+$F9),$D9),SUM('融资租赁与资金缺口'!$D$5:$D$16)*$AA9*'核心假设'!$B$32,0),0),IF(AND(AQ$4&gt;EDATE('核心假设'!$B$5,15+$F9),AQ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AQ$4=EDATE(EDATE('核心假设'!$B$5,15+$F9),$D9),SUM('融资租赁与资金缺口'!$D$5:$D$16)*$AB9*'核心假设'!$B$32,0),0),IF(AND(AQ$4&gt;EDATE('核心假设'!$B$5,16+$F9),AQ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AQ$4=EDATE(EDATE('核心假设'!$B$5,16+$F9),$D9),SUM('融资租赁与资金缺口'!$D$5:$D$16)*$AC9*'核心假设'!$B$32,0),0),IF(AND(AQ$4&gt;EDATE('核心假设'!$B$5,17+$F9),AQ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AQ$4=EDATE(EDATE('核心假设'!$B$5,17+$F9),$D9),SUM('融资租赁与资金缺口'!$D$5:$D$16)*$AD9*'核心假设'!$B$32,0),0))</x:f>
        <x:v>9121149.116087534</x:v>
      </x:c>
      <x:c r="AR31" s="28" t="n">
        <x:f>SUM(IF(AND(AR$4&gt;EDATE('核心假设'!$B$5,0+$F9),AR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AR$4=EDATE(EDATE('核心假设'!$B$5,0+$F9),$D9),SUM('融资租赁与资金缺口'!$D$5:$D$16)*$M9*'核心假设'!$B$32,0),0),IF(AND(AR$4&gt;EDATE('核心假设'!$B$5,1+$F9),AR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AR$4=EDATE(EDATE('核心假设'!$B$5,1+$F9),$D9),SUM('融资租赁与资金缺口'!$D$5:$D$16)*$N9*'核心假设'!$B$32,0),0),IF(AND(AR$4&gt;EDATE('核心假设'!$B$5,2+$F9),AR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AR$4=EDATE(EDATE('核心假设'!$B$5,2+$F9),$D9),SUM('融资租赁与资金缺口'!$D$5:$D$16)*$O9*'核心假设'!$B$32,0),0),IF(AND(AR$4&gt;EDATE('核心假设'!$B$5,3+$F9),AR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AR$4=EDATE(EDATE('核心假设'!$B$5,3+$F9),$D9),SUM('融资租赁与资金缺口'!$D$5:$D$16)*$P9*'核心假设'!$B$32,0),0),IF(AND(AR$4&gt;EDATE('核心假设'!$B$5,4+$F9),AR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AR$4=EDATE(EDATE('核心假设'!$B$5,4+$F9),$D9),SUM('融资租赁与资金缺口'!$D$5:$D$16)*$Q9*'核心假设'!$B$32,0),0),IF(AND(AR$4&gt;EDATE('核心假设'!$B$5,5+$F9),AR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AR$4=EDATE(EDATE('核心假设'!$B$5,5+$F9),$D9),SUM('融资租赁与资金缺口'!$D$5:$D$16)*$R9*'核心假设'!$B$32,0),0),IF(AND(AR$4&gt;EDATE('核心假设'!$B$5,6+$F9),AR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AR$4=EDATE(EDATE('核心假设'!$B$5,6+$F9),$D9),SUM('融资租赁与资金缺口'!$D$5:$D$16)*$S9*'核心假设'!$B$32,0),0),IF(AND(AR$4&gt;EDATE('核心假设'!$B$5,7+$F9),AR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AR$4=EDATE(EDATE('核心假设'!$B$5,7+$F9),$D9),SUM('融资租赁与资金缺口'!$D$5:$D$16)*$T9*'核心假设'!$B$32,0),0),IF(AND(AR$4&gt;EDATE('核心假设'!$B$5,8+$F9),AR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AR$4=EDATE(EDATE('核心假设'!$B$5,8+$F9),$D9),SUM('融资租赁与资金缺口'!$D$5:$D$16)*$U9*'核心假设'!$B$32,0),0),IF(AND(AR$4&gt;EDATE('核心假设'!$B$5,9+$F9),AR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AR$4=EDATE(EDATE('核心假设'!$B$5,9+$F9),$D9),SUM('融资租赁与资金缺口'!$D$5:$D$16)*$V9*'核心假设'!$B$32,0),0),IF(AND(AR$4&gt;EDATE('核心假设'!$B$5,10+$F9),AR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AR$4=EDATE(EDATE('核心假设'!$B$5,10+$F9),$D9),SUM('融资租赁与资金缺口'!$D$5:$D$16)*$W9*'核心假设'!$B$32,0),0),IF(AND(AR$4&gt;EDATE('核心假设'!$B$5,11+$F9),AR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AR$4=EDATE(EDATE('核心假设'!$B$5,11+$F9),$D9),SUM('融资租赁与资金缺口'!$D$5:$D$16)*$X9*'核心假设'!$B$32,0),0),IF(AND(AR$4&gt;EDATE('核心假设'!$B$5,12+$F9),AR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AR$4=EDATE(EDATE('核心假设'!$B$5,12+$F9),$D9),SUM('融资租赁与资金缺口'!$D$5:$D$16)*$Y9*'核心假设'!$B$32,0),0),IF(AND(AR$4&gt;EDATE('核心假设'!$B$5,13+$F9),AR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AR$4=EDATE(EDATE('核心假设'!$B$5,13+$F9),$D9),SUM('融资租赁与资金缺口'!$D$5:$D$16)*$Z9*'核心假设'!$B$32,0),0),IF(AND(AR$4&gt;EDATE('核心假设'!$B$5,14+$F9),AR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AR$4=EDATE(EDATE('核心假设'!$B$5,14+$F9),$D9),SUM('融资租赁与资金缺口'!$D$5:$D$16)*$AA9*'核心假设'!$B$32,0),0),IF(AND(AR$4&gt;EDATE('核心假设'!$B$5,15+$F9),AR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AR$4=EDATE(EDATE('核心假设'!$B$5,15+$F9),$D9),SUM('融资租赁与资金缺口'!$D$5:$D$16)*$AB9*'核心假设'!$B$32,0),0),IF(AND(AR$4&gt;EDATE('核心假设'!$B$5,16+$F9),AR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AR$4=EDATE(EDATE('核心假设'!$B$5,16+$F9),$D9),SUM('融资租赁与资金缺口'!$D$5:$D$16)*$AC9*'核心假设'!$B$32,0),0),IF(AND(AR$4&gt;EDATE('核心假设'!$B$5,17+$F9),AR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AR$4=EDATE(EDATE('核心假设'!$B$5,17+$F9),$D9),SUM('融资租赁与资金缺口'!$D$5:$D$16)*$AD9*'核心假设'!$B$32,0),0))</x:f>
        <x:v>10303520.297802584</x:v>
      </x:c>
      <x:c r="AS31" s="28" t="n">
        <x:f>SUM(IF(AND(AS$4&gt;EDATE('核心假设'!$B$5,0+$F9),AS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AS$4=EDATE(EDATE('核心假设'!$B$5,0+$F9),$D9),SUM('融资租赁与资金缺口'!$D$5:$D$16)*$M9*'核心假设'!$B$32,0),0),IF(AND(AS$4&gt;EDATE('核心假设'!$B$5,1+$F9),AS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AS$4=EDATE(EDATE('核心假设'!$B$5,1+$F9),$D9),SUM('融资租赁与资金缺口'!$D$5:$D$16)*$N9*'核心假设'!$B$32,0),0),IF(AND(AS$4&gt;EDATE('核心假设'!$B$5,2+$F9),AS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AS$4=EDATE(EDATE('核心假设'!$B$5,2+$F9),$D9),SUM('融资租赁与资金缺口'!$D$5:$D$16)*$O9*'核心假设'!$B$32,0),0),IF(AND(AS$4&gt;EDATE('核心假设'!$B$5,3+$F9),AS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AS$4=EDATE(EDATE('核心假设'!$B$5,3+$F9),$D9),SUM('融资租赁与资金缺口'!$D$5:$D$16)*$P9*'核心假设'!$B$32,0),0),IF(AND(AS$4&gt;EDATE('核心假设'!$B$5,4+$F9),AS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AS$4=EDATE(EDATE('核心假设'!$B$5,4+$F9),$D9),SUM('融资租赁与资金缺口'!$D$5:$D$16)*$Q9*'核心假设'!$B$32,0),0),IF(AND(AS$4&gt;EDATE('核心假设'!$B$5,5+$F9),AS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AS$4=EDATE(EDATE('核心假设'!$B$5,5+$F9),$D9),SUM('融资租赁与资金缺口'!$D$5:$D$16)*$R9*'核心假设'!$B$32,0),0),IF(AND(AS$4&gt;EDATE('核心假设'!$B$5,6+$F9),AS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AS$4=EDATE(EDATE('核心假设'!$B$5,6+$F9),$D9),SUM('融资租赁与资金缺口'!$D$5:$D$16)*$S9*'核心假设'!$B$32,0),0),IF(AND(AS$4&gt;EDATE('核心假设'!$B$5,7+$F9),AS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AS$4=EDATE(EDATE('核心假设'!$B$5,7+$F9),$D9),SUM('融资租赁与资金缺口'!$D$5:$D$16)*$T9*'核心假设'!$B$32,0),0),IF(AND(AS$4&gt;EDATE('核心假设'!$B$5,8+$F9),AS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AS$4=EDATE(EDATE('核心假设'!$B$5,8+$F9),$D9),SUM('融资租赁与资金缺口'!$D$5:$D$16)*$U9*'核心假设'!$B$32,0),0),IF(AND(AS$4&gt;EDATE('核心假设'!$B$5,9+$F9),AS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AS$4=EDATE(EDATE('核心假设'!$B$5,9+$F9),$D9),SUM('融资租赁与资金缺口'!$D$5:$D$16)*$V9*'核心假设'!$B$32,0),0),IF(AND(AS$4&gt;EDATE('核心假设'!$B$5,10+$F9),AS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AS$4=EDATE(EDATE('核心假设'!$B$5,10+$F9),$D9),SUM('融资租赁与资金缺口'!$D$5:$D$16)*$W9*'核心假设'!$B$32,0),0),IF(AND(AS$4&gt;EDATE('核心假设'!$B$5,11+$F9),AS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AS$4=EDATE(EDATE('核心假设'!$B$5,11+$F9),$D9),SUM('融资租赁与资金缺口'!$D$5:$D$16)*$X9*'核心假设'!$B$32,0),0),IF(AND(AS$4&gt;EDATE('核心假设'!$B$5,12+$F9),AS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AS$4=EDATE(EDATE('核心假设'!$B$5,12+$F9),$D9),SUM('融资租赁与资金缺口'!$D$5:$D$16)*$Y9*'核心假设'!$B$32,0),0),IF(AND(AS$4&gt;EDATE('核心假设'!$B$5,13+$F9),AS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AS$4=EDATE(EDATE('核心假设'!$B$5,13+$F9),$D9),SUM('融资租赁与资金缺口'!$D$5:$D$16)*$Z9*'核心假设'!$B$32,0),0),IF(AND(AS$4&gt;EDATE('核心假设'!$B$5,14+$F9),AS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AS$4=EDATE(EDATE('核心假设'!$B$5,14+$F9),$D9),SUM('融资租赁与资金缺口'!$D$5:$D$16)*$AA9*'核心假设'!$B$32,0),0),IF(AND(AS$4&gt;EDATE('核心假设'!$B$5,15+$F9),AS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AS$4=EDATE(EDATE('核心假设'!$B$5,15+$F9),$D9),SUM('融资租赁与资金缺口'!$D$5:$D$16)*$AB9*'核心假设'!$B$32,0),0),IF(AND(AS$4&gt;EDATE('核心假设'!$B$5,16+$F9),AS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AS$4=EDATE(EDATE('核心假设'!$B$5,16+$F9),$D9),SUM('融资租赁与资金缺口'!$D$5:$D$16)*$AC9*'核心假设'!$B$32,0),0),IF(AND(AS$4&gt;EDATE('核心假设'!$B$5,17+$F9),AS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AS$4=EDATE(EDATE('核心假设'!$B$5,17+$F9),$D9),SUM('融资租赁与资金缺口'!$D$5:$D$16)*$AD9*'核心假设'!$B$32,0),0))</x:f>
        <x:v>11485891.479517635</x:v>
      </x:c>
      <x:c r="AT31" s="28" t="n">
        <x:f>SUM(IF(AND(AT$4&gt;EDATE('核心假设'!$B$5,0+$F9),AT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AT$4=EDATE(EDATE('核心假设'!$B$5,0+$F9),$D9),SUM('融资租赁与资金缺口'!$D$5:$D$16)*$M9*'核心假设'!$B$32,0),0),IF(AND(AT$4&gt;EDATE('核心假设'!$B$5,1+$F9),AT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AT$4=EDATE(EDATE('核心假设'!$B$5,1+$F9),$D9),SUM('融资租赁与资金缺口'!$D$5:$D$16)*$N9*'核心假设'!$B$32,0),0),IF(AND(AT$4&gt;EDATE('核心假设'!$B$5,2+$F9),AT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AT$4=EDATE(EDATE('核心假设'!$B$5,2+$F9),$D9),SUM('融资租赁与资金缺口'!$D$5:$D$16)*$O9*'核心假设'!$B$32,0),0),IF(AND(AT$4&gt;EDATE('核心假设'!$B$5,3+$F9),AT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AT$4=EDATE(EDATE('核心假设'!$B$5,3+$F9),$D9),SUM('融资租赁与资金缺口'!$D$5:$D$16)*$P9*'核心假设'!$B$32,0),0),IF(AND(AT$4&gt;EDATE('核心假设'!$B$5,4+$F9),AT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AT$4=EDATE(EDATE('核心假设'!$B$5,4+$F9),$D9),SUM('融资租赁与资金缺口'!$D$5:$D$16)*$Q9*'核心假设'!$B$32,0),0),IF(AND(AT$4&gt;EDATE('核心假设'!$B$5,5+$F9),AT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AT$4=EDATE(EDATE('核心假设'!$B$5,5+$F9),$D9),SUM('融资租赁与资金缺口'!$D$5:$D$16)*$R9*'核心假设'!$B$32,0),0),IF(AND(AT$4&gt;EDATE('核心假设'!$B$5,6+$F9),AT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AT$4=EDATE(EDATE('核心假设'!$B$5,6+$F9),$D9),SUM('融资租赁与资金缺口'!$D$5:$D$16)*$S9*'核心假设'!$B$32,0),0),IF(AND(AT$4&gt;EDATE('核心假设'!$B$5,7+$F9),AT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AT$4=EDATE(EDATE('核心假设'!$B$5,7+$F9),$D9),SUM('融资租赁与资金缺口'!$D$5:$D$16)*$T9*'核心假设'!$B$32,0),0),IF(AND(AT$4&gt;EDATE('核心假设'!$B$5,8+$F9),AT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AT$4=EDATE(EDATE('核心假设'!$B$5,8+$F9),$D9),SUM('融资租赁与资金缺口'!$D$5:$D$16)*$U9*'核心假设'!$B$32,0),0),IF(AND(AT$4&gt;EDATE('核心假设'!$B$5,9+$F9),AT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AT$4=EDATE(EDATE('核心假设'!$B$5,9+$F9),$D9),SUM('融资租赁与资金缺口'!$D$5:$D$16)*$V9*'核心假设'!$B$32,0),0),IF(AND(AT$4&gt;EDATE('核心假设'!$B$5,10+$F9),AT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AT$4=EDATE(EDATE('核心假设'!$B$5,10+$F9),$D9),SUM('融资租赁与资金缺口'!$D$5:$D$16)*$W9*'核心假设'!$B$32,0),0),IF(AND(AT$4&gt;EDATE('核心假设'!$B$5,11+$F9),AT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AT$4=EDATE(EDATE('核心假设'!$B$5,11+$F9),$D9),SUM('融资租赁与资金缺口'!$D$5:$D$16)*$X9*'核心假设'!$B$32,0),0),IF(AND(AT$4&gt;EDATE('核心假设'!$B$5,12+$F9),AT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AT$4=EDATE(EDATE('核心假设'!$B$5,12+$F9),$D9),SUM('融资租赁与资金缺口'!$D$5:$D$16)*$Y9*'核心假设'!$B$32,0),0),IF(AND(AT$4&gt;EDATE('核心假设'!$B$5,13+$F9),AT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AT$4=EDATE(EDATE('核心假设'!$B$5,13+$F9),$D9),SUM('融资租赁与资金缺口'!$D$5:$D$16)*$Z9*'核心假设'!$B$32,0),0),IF(AND(AT$4&gt;EDATE('核心假设'!$B$5,14+$F9),AT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AT$4=EDATE(EDATE('核心假设'!$B$5,14+$F9),$D9),SUM('融资租赁与资金缺口'!$D$5:$D$16)*$AA9*'核心假设'!$B$32,0),0),IF(AND(AT$4&gt;EDATE('核心假设'!$B$5,15+$F9),AT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AT$4=EDATE(EDATE('核心假设'!$B$5,15+$F9),$D9),SUM('融资租赁与资金缺口'!$D$5:$D$16)*$AB9*'核心假设'!$B$32,0),0),IF(AND(AT$4&gt;EDATE('核心假设'!$B$5,16+$F9),AT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AT$4=EDATE(EDATE('核心假设'!$B$5,16+$F9),$D9),SUM('融资租赁与资金缺口'!$D$5:$D$16)*$AC9*'核心假设'!$B$32,0),0),IF(AND(AT$4&gt;EDATE('核心假设'!$B$5,17+$F9),AT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AT$4=EDATE(EDATE('核心假设'!$B$5,17+$F9),$D9),SUM('融资租赁与资金缺口'!$D$5:$D$16)*$AD9*'核心假设'!$B$32,0),0))</x:f>
        <x:v>12668262.661232686</x:v>
      </x:c>
      <x:c r="AU31" s="28" t="n">
        <x:f>SUM(IF(AND(AU$4&gt;EDATE('核心假设'!$B$5,0+$F9),AU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AU$4=EDATE(EDATE('核心假设'!$B$5,0+$F9),$D9),SUM('融资租赁与资金缺口'!$D$5:$D$16)*$M9*'核心假设'!$B$32,0),0),IF(AND(AU$4&gt;EDATE('核心假设'!$B$5,1+$F9),AU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AU$4=EDATE(EDATE('核心假设'!$B$5,1+$F9),$D9),SUM('融资租赁与资金缺口'!$D$5:$D$16)*$N9*'核心假设'!$B$32,0),0),IF(AND(AU$4&gt;EDATE('核心假设'!$B$5,2+$F9),AU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AU$4=EDATE(EDATE('核心假设'!$B$5,2+$F9),$D9),SUM('融资租赁与资金缺口'!$D$5:$D$16)*$O9*'核心假设'!$B$32,0),0),IF(AND(AU$4&gt;EDATE('核心假设'!$B$5,3+$F9),AU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AU$4=EDATE(EDATE('核心假设'!$B$5,3+$F9),$D9),SUM('融资租赁与资金缺口'!$D$5:$D$16)*$P9*'核心假设'!$B$32,0),0),IF(AND(AU$4&gt;EDATE('核心假设'!$B$5,4+$F9),AU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AU$4=EDATE(EDATE('核心假设'!$B$5,4+$F9),$D9),SUM('融资租赁与资金缺口'!$D$5:$D$16)*$Q9*'核心假设'!$B$32,0),0),IF(AND(AU$4&gt;EDATE('核心假设'!$B$5,5+$F9),AU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AU$4=EDATE(EDATE('核心假设'!$B$5,5+$F9),$D9),SUM('融资租赁与资金缺口'!$D$5:$D$16)*$R9*'核心假设'!$B$32,0),0),IF(AND(AU$4&gt;EDATE('核心假设'!$B$5,6+$F9),AU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AU$4=EDATE(EDATE('核心假设'!$B$5,6+$F9),$D9),SUM('融资租赁与资金缺口'!$D$5:$D$16)*$S9*'核心假设'!$B$32,0),0),IF(AND(AU$4&gt;EDATE('核心假设'!$B$5,7+$F9),AU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AU$4=EDATE(EDATE('核心假设'!$B$5,7+$F9),$D9),SUM('融资租赁与资金缺口'!$D$5:$D$16)*$T9*'核心假设'!$B$32,0),0),IF(AND(AU$4&gt;EDATE('核心假设'!$B$5,8+$F9),AU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AU$4=EDATE(EDATE('核心假设'!$B$5,8+$F9),$D9),SUM('融资租赁与资金缺口'!$D$5:$D$16)*$U9*'核心假设'!$B$32,0),0),IF(AND(AU$4&gt;EDATE('核心假设'!$B$5,9+$F9),AU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AU$4=EDATE(EDATE('核心假设'!$B$5,9+$F9),$D9),SUM('融资租赁与资金缺口'!$D$5:$D$16)*$V9*'核心假设'!$B$32,0),0),IF(AND(AU$4&gt;EDATE('核心假设'!$B$5,10+$F9),AU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AU$4=EDATE(EDATE('核心假设'!$B$5,10+$F9),$D9),SUM('融资租赁与资金缺口'!$D$5:$D$16)*$W9*'核心假设'!$B$32,0),0),IF(AND(AU$4&gt;EDATE('核心假设'!$B$5,11+$F9),AU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AU$4=EDATE(EDATE('核心假设'!$B$5,11+$F9),$D9),SUM('融资租赁与资金缺口'!$D$5:$D$16)*$X9*'核心假设'!$B$32,0),0),IF(AND(AU$4&gt;EDATE('核心假设'!$B$5,12+$F9),AU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AU$4=EDATE(EDATE('核心假设'!$B$5,12+$F9),$D9),SUM('融资租赁与资金缺口'!$D$5:$D$16)*$Y9*'核心假设'!$B$32,0),0),IF(AND(AU$4&gt;EDATE('核心假设'!$B$5,13+$F9),AU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AU$4=EDATE(EDATE('核心假设'!$B$5,13+$F9),$D9),SUM('融资租赁与资金缺口'!$D$5:$D$16)*$Z9*'核心假设'!$B$32,0),0),IF(AND(AU$4&gt;EDATE('核心假设'!$B$5,14+$F9),AU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AU$4=EDATE(EDATE('核心假设'!$B$5,14+$F9),$D9),SUM('融资租赁与资金缺口'!$D$5:$D$16)*$AA9*'核心假设'!$B$32,0),0),IF(AND(AU$4&gt;EDATE('核心假设'!$B$5,15+$F9),AU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AU$4=EDATE(EDATE('核心假设'!$B$5,15+$F9),$D9),SUM('融资租赁与资金缺口'!$D$5:$D$16)*$AB9*'核心假设'!$B$32,0),0),IF(AND(AU$4&gt;EDATE('核心假设'!$B$5,16+$F9),AU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AU$4=EDATE(EDATE('核心假设'!$B$5,16+$F9),$D9),SUM('融资租赁与资金缺口'!$D$5:$D$16)*$AC9*'核心假设'!$B$32,0),0),IF(AND(AU$4&gt;EDATE('核心假设'!$B$5,17+$F9),AU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AU$4=EDATE(EDATE('核心假设'!$B$5,17+$F9),$D9),SUM('融资租赁与资金缺口'!$D$5:$D$16)*$AD9*'核心假设'!$B$32,0),0))</x:f>
        <x:v>13681723.6741313</x:v>
      </x:c>
      <x:c r="AV31" s="28" t="n">
        <x:f>SUM(IF(AND(AV$4&gt;EDATE('核心假设'!$B$5,0+$F9),AV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AV$4=EDATE(EDATE('核心假设'!$B$5,0+$F9),$D9),SUM('融资租赁与资金缺口'!$D$5:$D$16)*$M9*'核心假设'!$B$32,0),0),IF(AND(AV$4&gt;EDATE('核心假设'!$B$5,1+$F9),AV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AV$4=EDATE(EDATE('核心假设'!$B$5,1+$F9),$D9),SUM('融资租赁与资金缺口'!$D$5:$D$16)*$N9*'核心假设'!$B$32,0),0),IF(AND(AV$4&gt;EDATE('核心假设'!$B$5,2+$F9),AV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AV$4=EDATE(EDATE('核心假设'!$B$5,2+$F9),$D9),SUM('融资租赁与资金缺口'!$D$5:$D$16)*$O9*'核心假设'!$B$32,0),0),IF(AND(AV$4&gt;EDATE('核心假设'!$B$5,3+$F9),AV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AV$4=EDATE(EDATE('核心假设'!$B$5,3+$F9),$D9),SUM('融资租赁与资金缺口'!$D$5:$D$16)*$P9*'核心假设'!$B$32,0),0),IF(AND(AV$4&gt;EDATE('核心假设'!$B$5,4+$F9),AV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AV$4=EDATE(EDATE('核心假设'!$B$5,4+$F9),$D9),SUM('融资租赁与资金缺口'!$D$5:$D$16)*$Q9*'核心假设'!$B$32,0),0),IF(AND(AV$4&gt;EDATE('核心假设'!$B$5,5+$F9),AV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AV$4=EDATE(EDATE('核心假设'!$B$5,5+$F9),$D9),SUM('融资租赁与资金缺口'!$D$5:$D$16)*$R9*'核心假设'!$B$32,0),0),IF(AND(AV$4&gt;EDATE('核心假设'!$B$5,6+$F9),AV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AV$4=EDATE(EDATE('核心假设'!$B$5,6+$F9),$D9),SUM('融资租赁与资金缺口'!$D$5:$D$16)*$S9*'核心假设'!$B$32,0),0),IF(AND(AV$4&gt;EDATE('核心假设'!$B$5,7+$F9),AV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AV$4=EDATE(EDATE('核心假设'!$B$5,7+$F9),$D9),SUM('融资租赁与资金缺口'!$D$5:$D$16)*$T9*'核心假设'!$B$32,0),0),IF(AND(AV$4&gt;EDATE('核心假设'!$B$5,8+$F9),AV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AV$4=EDATE(EDATE('核心假设'!$B$5,8+$F9),$D9),SUM('融资租赁与资金缺口'!$D$5:$D$16)*$U9*'核心假设'!$B$32,0),0),IF(AND(AV$4&gt;EDATE('核心假设'!$B$5,9+$F9),AV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AV$4=EDATE(EDATE('核心假设'!$B$5,9+$F9),$D9),SUM('融资租赁与资金缺口'!$D$5:$D$16)*$V9*'核心假设'!$B$32,0),0),IF(AND(AV$4&gt;EDATE('核心假设'!$B$5,10+$F9),AV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AV$4=EDATE(EDATE('核心假设'!$B$5,10+$F9),$D9),SUM('融资租赁与资金缺口'!$D$5:$D$16)*$W9*'核心假设'!$B$32,0),0),IF(AND(AV$4&gt;EDATE('核心假设'!$B$5,11+$F9),AV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AV$4=EDATE(EDATE('核心假设'!$B$5,11+$F9),$D9),SUM('融资租赁与资金缺口'!$D$5:$D$16)*$X9*'核心假设'!$B$32,0),0),IF(AND(AV$4&gt;EDATE('核心假设'!$B$5,12+$F9),AV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AV$4=EDATE(EDATE('核心假设'!$B$5,12+$F9),$D9),SUM('融资租赁与资金缺口'!$D$5:$D$16)*$Y9*'核心假设'!$B$32,0),0),IF(AND(AV$4&gt;EDATE('核心假设'!$B$5,13+$F9),AV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AV$4=EDATE(EDATE('核心假设'!$B$5,13+$F9),$D9),SUM('融资租赁与资金缺口'!$D$5:$D$16)*$Z9*'核心假设'!$B$32,0),0),IF(AND(AV$4&gt;EDATE('核心假设'!$B$5,14+$F9),AV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AV$4=EDATE(EDATE('核心假设'!$B$5,14+$F9),$D9),SUM('融资租赁与资金缺口'!$D$5:$D$16)*$AA9*'核心假设'!$B$32,0),0),IF(AND(AV$4&gt;EDATE('核心假设'!$B$5,15+$F9),AV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AV$4=EDATE(EDATE('核心假设'!$B$5,15+$F9),$D9),SUM('融资租赁与资金缺口'!$D$5:$D$16)*$AB9*'核心假设'!$B$32,0),0),IF(AND(AV$4&gt;EDATE('核心假设'!$B$5,16+$F9),AV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AV$4=EDATE(EDATE('核心假设'!$B$5,16+$F9),$D9),SUM('融资租赁与资金缺口'!$D$5:$D$16)*$AC9*'核心假设'!$B$32,0),0),IF(AND(AV$4&gt;EDATE('核心假设'!$B$5,17+$F9),AV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AV$4=EDATE(EDATE('核心假设'!$B$5,17+$F9),$D9),SUM('融资租赁与资金缺口'!$D$5:$D$16)*$AD9*'核心假设'!$B$32,0),0))</x:f>
        <x:v>14695184.687029915</x:v>
      </x:c>
      <x:c r="AW31" s="28" t="n">
        <x:f>SUM(IF(AND(AW$4&gt;EDATE('核心假设'!$B$5,0+$F9),AW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AW$4=EDATE(EDATE('核心假设'!$B$5,0+$F9),$D9),SUM('融资租赁与资金缺口'!$D$5:$D$16)*$M9*'核心假设'!$B$32,0),0),IF(AND(AW$4&gt;EDATE('核心假设'!$B$5,1+$F9),AW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AW$4=EDATE(EDATE('核心假设'!$B$5,1+$F9),$D9),SUM('融资租赁与资金缺口'!$D$5:$D$16)*$N9*'核心假设'!$B$32,0),0),IF(AND(AW$4&gt;EDATE('核心假设'!$B$5,2+$F9),AW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AW$4=EDATE(EDATE('核心假设'!$B$5,2+$F9),$D9),SUM('融资租赁与资金缺口'!$D$5:$D$16)*$O9*'核心假设'!$B$32,0),0),IF(AND(AW$4&gt;EDATE('核心假设'!$B$5,3+$F9),AW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AW$4=EDATE(EDATE('核心假设'!$B$5,3+$F9),$D9),SUM('融资租赁与资金缺口'!$D$5:$D$16)*$P9*'核心假设'!$B$32,0),0),IF(AND(AW$4&gt;EDATE('核心假设'!$B$5,4+$F9),AW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AW$4=EDATE(EDATE('核心假设'!$B$5,4+$F9),$D9),SUM('融资租赁与资金缺口'!$D$5:$D$16)*$Q9*'核心假设'!$B$32,0),0),IF(AND(AW$4&gt;EDATE('核心假设'!$B$5,5+$F9),AW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AW$4=EDATE(EDATE('核心假设'!$B$5,5+$F9),$D9),SUM('融资租赁与资金缺口'!$D$5:$D$16)*$R9*'核心假设'!$B$32,0),0),IF(AND(AW$4&gt;EDATE('核心假设'!$B$5,6+$F9),AW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AW$4=EDATE(EDATE('核心假设'!$B$5,6+$F9),$D9),SUM('融资租赁与资金缺口'!$D$5:$D$16)*$S9*'核心假设'!$B$32,0),0),IF(AND(AW$4&gt;EDATE('核心假设'!$B$5,7+$F9),AW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AW$4=EDATE(EDATE('核心假设'!$B$5,7+$F9),$D9),SUM('融资租赁与资金缺口'!$D$5:$D$16)*$T9*'核心假设'!$B$32,0),0),IF(AND(AW$4&gt;EDATE('核心假设'!$B$5,8+$F9),AW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AW$4=EDATE(EDATE('核心假设'!$B$5,8+$F9),$D9),SUM('融资租赁与资金缺口'!$D$5:$D$16)*$U9*'核心假设'!$B$32,0),0),IF(AND(AW$4&gt;EDATE('核心假设'!$B$5,9+$F9),AW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AW$4=EDATE(EDATE('核心假设'!$B$5,9+$F9),$D9),SUM('融资租赁与资金缺口'!$D$5:$D$16)*$V9*'核心假设'!$B$32,0),0),IF(AND(AW$4&gt;EDATE('核心假设'!$B$5,10+$F9),AW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AW$4=EDATE(EDATE('核心假设'!$B$5,10+$F9),$D9),SUM('融资租赁与资金缺口'!$D$5:$D$16)*$W9*'核心假设'!$B$32,0),0),IF(AND(AW$4&gt;EDATE('核心假设'!$B$5,11+$F9),AW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AW$4=EDATE(EDATE('核心假设'!$B$5,11+$F9),$D9),SUM('融资租赁与资金缺口'!$D$5:$D$16)*$X9*'核心假设'!$B$32,0),0),IF(AND(AW$4&gt;EDATE('核心假设'!$B$5,12+$F9),AW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AW$4=EDATE(EDATE('核心假设'!$B$5,12+$F9),$D9),SUM('融资租赁与资金缺口'!$D$5:$D$16)*$Y9*'核心假设'!$B$32,0),0),IF(AND(AW$4&gt;EDATE('核心假设'!$B$5,13+$F9),AW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AW$4=EDATE(EDATE('核心假设'!$B$5,13+$F9),$D9),SUM('融资租赁与资金缺口'!$D$5:$D$16)*$Z9*'核心假设'!$B$32,0),0),IF(AND(AW$4&gt;EDATE('核心假设'!$B$5,14+$F9),AW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AW$4=EDATE(EDATE('核心假设'!$B$5,14+$F9),$D9),SUM('融资租赁与资金缺口'!$D$5:$D$16)*$AA9*'核心假设'!$B$32,0),0),IF(AND(AW$4&gt;EDATE('核心假设'!$B$5,15+$F9),AW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AW$4=EDATE(EDATE('核心假设'!$B$5,15+$F9),$D9),SUM('融资租赁与资金缺口'!$D$5:$D$16)*$AB9*'核心假设'!$B$32,0),0),IF(AND(AW$4&gt;EDATE('核心假设'!$B$5,16+$F9),AW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AW$4=EDATE(EDATE('核心假设'!$B$5,16+$F9),$D9),SUM('融资租赁与资金缺口'!$D$5:$D$16)*$AC9*'核心假设'!$B$32,0),0),IF(AND(AW$4&gt;EDATE('核心假设'!$B$5,17+$F9),AW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AW$4=EDATE(EDATE('核心假设'!$B$5,17+$F9),$D9),SUM('融资租赁与资金缺口'!$D$5:$D$16)*$AD9*'核心假设'!$B$32,0),0))</x:f>
        <x:v>15539735.531112093</x:v>
      </x:c>
      <x:c r="AX31" s="28" t="n">
        <x:f>SUM(IF(AND(AX$4&gt;EDATE('核心假设'!$B$5,0+$F9),AX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AX$4=EDATE(EDATE('核心假设'!$B$5,0+$F9),$D9),SUM('融资租赁与资金缺口'!$D$5:$D$16)*$M9*'核心假设'!$B$32,0),0),IF(AND(AX$4&gt;EDATE('核心假设'!$B$5,1+$F9),AX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AX$4=EDATE(EDATE('核心假设'!$B$5,1+$F9),$D9),SUM('融资租赁与资金缺口'!$D$5:$D$16)*$N9*'核心假设'!$B$32,0),0),IF(AND(AX$4&gt;EDATE('核心假设'!$B$5,2+$F9),AX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AX$4=EDATE(EDATE('核心假设'!$B$5,2+$F9),$D9),SUM('融资租赁与资金缺口'!$D$5:$D$16)*$O9*'核心假设'!$B$32,0),0),IF(AND(AX$4&gt;EDATE('核心假设'!$B$5,3+$F9),AX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AX$4=EDATE(EDATE('核心假设'!$B$5,3+$F9),$D9),SUM('融资租赁与资金缺口'!$D$5:$D$16)*$P9*'核心假设'!$B$32,0),0),IF(AND(AX$4&gt;EDATE('核心假设'!$B$5,4+$F9),AX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AX$4=EDATE(EDATE('核心假设'!$B$5,4+$F9),$D9),SUM('融资租赁与资金缺口'!$D$5:$D$16)*$Q9*'核心假设'!$B$32,0),0),IF(AND(AX$4&gt;EDATE('核心假设'!$B$5,5+$F9),AX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AX$4=EDATE(EDATE('核心假设'!$B$5,5+$F9),$D9),SUM('融资租赁与资金缺口'!$D$5:$D$16)*$R9*'核心假设'!$B$32,0),0),IF(AND(AX$4&gt;EDATE('核心假设'!$B$5,6+$F9),AX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AX$4=EDATE(EDATE('核心假设'!$B$5,6+$F9),$D9),SUM('融资租赁与资金缺口'!$D$5:$D$16)*$S9*'核心假设'!$B$32,0),0),IF(AND(AX$4&gt;EDATE('核心假设'!$B$5,7+$F9),AX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AX$4=EDATE(EDATE('核心假设'!$B$5,7+$F9),$D9),SUM('融资租赁与资金缺口'!$D$5:$D$16)*$T9*'核心假设'!$B$32,0),0),IF(AND(AX$4&gt;EDATE('核心假设'!$B$5,8+$F9),AX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AX$4=EDATE(EDATE('核心假设'!$B$5,8+$F9),$D9),SUM('融资租赁与资金缺口'!$D$5:$D$16)*$U9*'核心假设'!$B$32,0),0),IF(AND(AX$4&gt;EDATE('核心假设'!$B$5,9+$F9),AX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AX$4=EDATE(EDATE('核心假设'!$B$5,9+$F9),$D9),SUM('融资租赁与资金缺口'!$D$5:$D$16)*$V9*'核心假设'!$B$32,0),0),IF(AND(AX$4&gt;EDATE('核心假设'!$B$5,10+$F9),AX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AX$4=EDATE(EDATE('核心假设'!$B$5,10+$F9),$D9),SUM('融资租赁与资金缺口'!$D$5:$D$16)*$W9*'核心假设'!$B$32,0),0),IF(AND(AX$4&gt;EDATE('核心假设'!$B$5,11+$F9),AX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AX$4=EDATE(EDATE('核心假设'!$B$5,11+$F9),$D9),SUM('融资租赁与资金缺口'!$D$5:$D$16)*$X9*'核心假设'!$B$32,0),0),IF(AND(AX$4&gt;EDATE('核心假设'!$B$5,12+$F9),AX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AX$4=EDATE(EDATE('核心假设'!$B$5,12+$F9),$D9),SUM('融资租赁与资金缺口'!$D$5:$D$16)*$Y9*'核心假设'!$B$32,0),0),IF(AND(AX$4&gt;EDATE('核心假设'!$B$5,13+$F9),AX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AX$4=EDATE(EDATE('核心假设'!$B$5,13+$F9),$D9),SUM('融资租赁与资金缺口'!$D$5:$D$16)*$Z9*'核心假设'!$B$32,0),0),IF(AND(AX$4&gt;EDATE('核心假设'!$B$5,14+$F9),AX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AX$4=EDATE(EDATE('核心假设'!$B$5,14+$F9),$D9),SUM('融资租赁与资金缺口'!$D$5:$D$16)*$AA9*'核心假设'!$B$32,0),0),IF(AND(AX$4&gt;EDATE('核心假设'!$B$5,15+$F9),AX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AX$4=EDATE(EDATE('核心假设'!$B$5,15+$F9),$D9),SUM('融资租赁与资金缺口'!$D$5:$D$16)*$AB9*'核心假设'!$B$32,0),0),IF(AND(AX$4&gt;EDATE('核心假设'!$B$5,16+$F9),AX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AX$4=EDATE(EDATE('核心假设'!$B$5,16+$F9),$D9),SUM('融资租赁与资金缺口'!$D$5:$D$16)*$AC9*'核心假设'!$B$32,0),0),IF(AND(AX$4&gt;EDATE('核心假设'!$B$5,17+$F9),AX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AX$4=EDATE(EDATE('核心假设'!$B$5,17+$F9),$D9),SUM('融资租赁与资金缺口'!$D$5:$D$16)*$AD9*'核心假设'!$B$32,0),0))</x:f>
        <x:v>16215376.206377836</x:v>
      </x:c>
      <x:c r="AY31" s="28" t="n">
        <x:f>SUM(IF(AND(AY$4&gt;EDATE('核心假设'!$B$5,0+$F9),AY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AY$4=EDATE(EDATE('核心假设'!$B$5,0+$F9),$D9),SUM('融资租赁与资金缺口'!$D$5:$D$16)*$M9*'核心假设'!$B$32,0),0),IF(AND(AY$4&gt;EDATE('核心假设'!$B$5,1+$F9),AY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AY$4=EDATE(EDATE('核心假设'!$B$5,1+$F9),$D9),SUM('融资租赁与资金缺口'!$D$5:$D$16)*$N9*'核心假设'!$B$32,0),0),IF(AND(AY$4&gt;EDATE('核心假设'!$B$5,2+$F9),AY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AY$4=EDATE(EDATE('核心假设'!$B$5,2+$F9),$D9),SUM('融资租赁与资金缺口'!$D$5:$D$16)*$O9*'核心假设'!$B$32,0),0),IF(AND(AY$4&gt;EDATE('核心假设'!$B$5,3+$F9),AY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AY$4=EDATE(EDATE('核心假设'!$B$5,3+$F9),$D9),SUM('融资租赁与资金缺口'!$D$5:$D$16)*$P9*'核心假设'!$B$32,0),0),IF(AND(AY$4&gt;EDATE('核心假设'!$B$5,4+$F9),AY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AY$4=EDATE(EDATE('核心假设'!$B$5,4+$F9),$D9),SUM('融资租赁与资金缺口'!$D$5:$D$16)*$Q9*'核心假设'!$B$32,0),0),IF(AND(AY$4&gt;EDATE('核心假设'!$B$5,5+$F9),AY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AY$4=EDATE(EDATE('核心假设'!$B$5,5+$F9),$D9),SUM('融资租赁与资金缺口'!$D$5:$D$16)*$R9*'核心假设'!$B$32,0),0),IF(AND(AY$4&gt;EDATE('核心假设'!$B$5,6+$F9),AY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AY$4=EDATE(EDATE('核心假设'!$B$5,6+$F9),$D9),SUM('融资租赁与资金缺口'!$D$5:$D$16)*$S9*'核心假设'!$B$32,0),0),IF(AND(AY$4&gt;EDATE('核心假设'!$B$5,7+$F9),AY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AY$4=EDATE(EDATE('核心假设'!$B$5,7+$F9),$D9),SUM('融资租赁与资金缺口'!$D$5:$D$16)*$T9*'核心假设'!$B$32,0),0),IF(AND(AY$4&gt;EDATE('核心假设'!$B$5,8+$F9),AY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AY$4=EDATE(EDATE('核心假设'!$B$5,8+$F9),$D9),SUM('融资租赁与资金缺口'!$D$5:$D$16)*$U9*'核心假设'!$B$32,0),0),IF(AND(AY$4&gt;EDATE('核心假设'!$B$5,9+$F9),AY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AY$4=EDATE(EDATE('核心假设'!$B$5,9+$F9),$D9),SUM('融资租赁与资金缺口'!$D$5:$D$16)*$V9*'核心假设'!$B$32,0),0),IF(AND(AY$4&gt;EDATE('核心假设'!$B$5,10+$F9),AY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AY$4=EDATE(EDATE('核心假设'!$B$5,10+$F9),$D9),SUM('融资租赁与资金缺口'!$D$5:$D$16)*$W9*'核心假设'!$B$32,0),0),IF(AND(AY$4&gt;EDATE('核心假设'!$B$5,11+$F9),AY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AY$4=EDATE(EDATE('核心假设'!$B$5,11+$F9),$D9),SUM('融资租赁与资金缺口'!$D$5:$D$16)*$X9*'核心假设'!$B$32,0),0),IF(AND(AY$4&gt;EDATE('核心假设'!$B$5,12+$F9),AY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AY$4=EDATE(EDATE('核心假设'!$B$5,12+$F9),$D9),SUM('融资租赁与资金缺口'!$D$5:$D$16)*$Y9*'核心假设'!$B$32,0),0),IF(AND(AY$4&gt;EDATE('核心假设'!$B$5,13+$F9),AY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AY$4=EDATE(EDATE('核心假设'!$B$5,13+$F9),$D9),SUM('融资租赁与资金缺口'!$D$5:$D$16)*$Z9*'核心假设'!$B$32,0),0),IF(AND(AY$4&gt;EDATE('核心假设'!$B$5,14+$F9),AY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AY$4=EDATE(EDATE('核心假设'!$B$5,14+$F9),$D9),SUM('融资租赁与资金缺口'!$D$5:$D$16)*$AA9*'核心假设'!$B$32,0),0),IF(AND(AY$4&gt;EDATE('核心假设'!$B$5,15+$F9),AY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AY$4=EDATE(EDATE('核心假设'!$B$5,15+$F9),$D9),SUM('融资租赁与资金缺口'!$D$5:$D$16)*$AB9*'核心假设'!$B$32,0),0),IF(AND(AY$4&gt;EDATE('核心假设'!$B$5,16+$F9),AY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AY$4=EDATE(EDATE('核心假设'!$B$5,16+$F9),$D9),SUM('融资租赁与资金缺口'!$D$5:$D$16)*$AC9*'核心假设'!$B$32,0),0),IF(AND(AY$4&gt;EDATE('核心假设'!$B$5,17+$F9),AY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AY$4=EDATE(EDATE('核心假设'!$B$5,17+$F9),$D9),SUM('融资租赁与资金缺口'!$D$5:$D$16)*$AD9*'核心假设'!$B$32,0),0))</x:f>
        <x:v>16891016.88164358</x:v>
      </x:c>
      <x:c r="AZ31" s="28" t="n">
        <x:f>SUM(IF(AND(AZ$4&gt;EDATE('核心假设'!$B$5,0+$F9),AZ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AZ$4=EDATE(EDATE('核心假设'!$B$5,0+$F9),$D9),SUM('融资租赁与资金缺口'!$D$5:$D$16)*$M9*'核心假设'!$B$32,0),0),IF(AND(AZ$4&gt;EDATE('核心假设'!$B$5,1+$F9),AZ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AZ$4=EDATE(EDATE('核心假设'!$B$5,1+$F9),$D9),SUM('融资租赁与资金缺口'!$D$5:$D$16)*$N9*'核心假设'!$B$32,0),0),IF(AND(AZ$4&gt;EDATE('核心假设'!$B$5,2+$F9),AZ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AZ$4=EDATE(EDATE('核心假设'!$B$5,2+$F9),$D9),SUM('融资租赁与资金缺口'!$D$5:$D$16)*$O9*'核心假设'!$B$32,0),0),IF(AND(AZ$4&gt;EDATE('核心假设'!$B$5,3+$F9),AZ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AZ$4=EDATE(EDATE('核心假设'!$B$5,3+$F9),$D9),SUM('融资租赁与资金缺口'!$D$5:$D$16)*$P9*'核心假设'!$B$32,0),0),IF(AND(AZ$4&gt;EDATE('核心假设'!$B$5,4+$F9),AZ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AZ$4=EDATE(EDATE('核心假设'!$B$5,4+$F9),$D9),SUM('融资租赁与资金缺口'!$D$5:$D$16)*$Q9*'核心假设'!$B$32,0),0),IF(AND(AZ$4&gt;EDATE('核心假设'!$B$5,5+$F9),AZ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AZ$4=EDATE(EDATE('核心假设'!$B$5,5+$F9),$D9),SUM('融资租赁与资金缺口'!$D$5:$D$16)*$R9*'核心假设'!$B$32,0),0),IF(AND(AZ$4&gt;EDATE('核心假设'!$B$5,6+$F9),AZ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AZ$4=EDATE(EDATE('核心假设'!$B$5,6+$F9),$D9),SUM('融资租赁与资金缺口'!$D$5:$D$16)*$S9*'核心假设'!$B$32,0),0),IF(AND(AZ$4&gt;EDATE('核心假设'!$B$5,7+$F9),AZ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AZ$4=EDATE(EDATE('核心假设'!$B$5,7+$F9),$D9),SUM('融资租赁与资金缺口'!$D$5:$D$16)*$T9*'核心假设'!$B$32,0),0),IF(AND(AZ$4&gt;EDATE('核心假设'!$B$5,8+$F9),AZ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AZ$4=EDATE(EDATE('核心假设'!$B$5,8+$F9),$D9),SUM('融资租赁与资金缺口'!$D$5:$D$16)*$U9*'核心假设'!$B$32,0),0),IF(AND(AZ$4&gt;EDATE('核心假设'!$B$5,9+$F9),AZ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AZ$4=EDATE(EDATE('核心假设'!$B$5,9+$F9),$D9),SUM('融资租赁与资金缺口'!$D$5:$D$16)*$V9*'核心假设'!$B$32,0),0),IF(AND(AZ$4&gt;EDATE('核心假设'!$B$5,10+$F9),AZ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AZ$4=EDATE(EDATE('核心假设'!$B$5,10+$F9),$D9),SUM('融资租赁与资金缺口'!$D$5:$D$16)*$W9*'核心假设'!$B$32,0),0),IF(AND(AZ$4&gt;EDATE('核心假设'!$B$5,11+$F9),AZ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AZ$4=EDATE(EDATE('核心假设'!$B$5,11+$F9),$D9),SUM('融资租赁与资金缺口'!$D$5:$D$16)*$X9*'核心假设'!$B$32,0),0),IF(AND(AZ$4&gt;EDATE('核心假设'!$B$5,12+$F9),AZ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AZ$4=EDATE(EDATE('核心假设'!$B$5,12+$F9),$D9),SUM('融资租赁与资金缺口'!$D$5:$D$16)*$Y9*'核心假设'!$B$32,0),0),IF(AND(AZ$4&gt;EDATE('核心假设'!$B$5,13+$F9),AZ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AZ$4=EDATE(EDATE('核心假设'!$B$5,13+$F9),$D9),SUM('融资租赁与资金缺口'!$D$5:$D$16)*$Z9*'核心假设'!$B$32,0),0),IF(AND(AZ$4&gt;EDATE('核心假设'!$B$5,14+$F9),AZ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AZ$4=EDATE(EDATE('核心假设'!$B$5,14+$F9),$D9),SUM('融资租赁与资金缺口'!$D$5:$D$16)*$AA9*'核心假设'!$B$32,0),0),IF(AND(AZ$4&gt;EDATE('核心假设'!$B$5,15+$F9),AZ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AZ$4=EDATE(EDATE('核心假设'!$B$5,15+$F9),$D9),SUM('融资租赁与资金缺口'!$D$5:$D$16)*$AB9*'核心假设'!$B$32,0),0),IF(AND(AZ$4&gt;EDATE('核心假设'!$B$5,16+$F9),AZ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AZ$4=EDATE(EDATE('核心假设'!$B$5,16+$F9),$D9),SUM('融资租赁与资金缺口'!$D$5:$D$16)*$AC9*'核心假设'!$B$32,0),0),IF(AND(AZ$4&gt;EDATE('核心假设'!$B$5,17+$F9),AZ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AZ$4=EDATE(EDATE('核心假设'!$B$5,17+$F9),$D9),SUM('融资租赁与资金缺口'!$D$5:$D$16)*$AD9*'核心假设'!$B$32,0),0))</x:f>
        <x:v>16891016.88164358</x:v>
      </x:c>
      <x:c r="BA31" s="28" t="n">
        <x:f>SUM(IF(AND(BA$4&gt;EDATE('核心假设'!$B$5,0+$F9),BA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A$4=EDATE(EDATE('核心假设'!$B$5,0+$F9),$D9),SUM('融资租赁与资金缺口'!$D$5:$D$16)*$M9*'核心假设'!$B$32,0),0),IF(AND(BA$4&gt;EDATE('核心假设'!$B$5,1+$F9),BA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A$4=EDATE(EDATE('核心假设'!$B$5,1+$F9),$D9),SUM('融资租赁与资金缺口'!$D$5:$D$16)*$N9*'核心假设'!$B$32,0),0),IF(AND(BA$4&gt;EDATE('核心假设'!$B$5,2+$F9),BA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A$4=EDATE(EDATE('核心假设'!$B$5,2+$F9),$D9),SUM('融资租赁与资金缺口'!$D$5:$D$16)*$O9*'核心假设'!$B$32,0),0),IF(AND(BA$4&gt;EDATE('核心假设'!$B$5,3+$F9),BA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A$4=EDATE(EDATE('核心假设'!$B$5,3+$F9),$D9),SUM('融资租赁与资金缺口'!$D$5:$D$16)*$P9*'核心假设'!$B$32,0),0),IF(AND(BA$4&gt;EDATE('核心假设'!$B$5,4+$F9),BA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A$4=EDATE(EDATE('核心假设'!$B$5,4+$F9),$D9),SUM('融资租赁与资金缺口'!$D$5:$D$16)*$Q9*'核心假设'!$B$32,0),0),IF(AND(BA$4&gt;EDATE('核心假设'!$B$5,5+$F9),BA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A$4=EDATE(EDATE('核心假设'!$B$5,5+$F9),$D9),SUM('融资租赁与资金缺口'!$D$5:$D$16)*$R9*'核心假设'!$B$32,0),0),IF(AND(BA$4&gt;EDATE('核心假设'!$B$5,6+$F9),BA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A$4=EDATE(EDATE('核心假设'!$B$5,6+$F9),$D9),SUM('融资租赁与资金缺口'!$D$5:$D$16)*$S9*'核心假设'!$B$32,0),0),IF(AND(BA$4&gt;EDATE('核心假设'!$B$5,7+$F9),BA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A$4=EDATE(EDATE('核心假设'!$B$5,7+$F9),$D9),SUM('融资租赁与资金缺口'!$D$5:$D$16)*$T9*'核心假设'!$B$32,0),0),IF(AND(BA$4&gt;EDATE('核心假设'!$B$5,8+$F9),BA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A$4=EDATE(EDATE('核心假设'!$B$5,8+$F9),$D9),SUM('融资租赁与资金缺口'!$D$5:$D$16)*$U9*'核心假设'!$B$32,0),0),IF(AND(BA$4&gt;EDATE('核心假设'!$B$5,9+$F9),BA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A$4=EDATE(EDATE('核心假设'!$B$5,9+$F9),$D9),SUM('融资租赁与资金缺口'!$D$5:$D$16)*$V9*'核心假设'!$B$32,0),0),IF(AND(BA$4&gt;EDATE('核心假设'!$B$5,10+$F9),BA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A$4=EDATE(EDATE('核心假设'!$B$5,10+$F9),$D9),SUM('融资租赁与资金缺口'!$D$5:$D$16)*$W9*'核心假设'!$B$32,0),0),IF(AND(BA$4&gt;EDATE('核心假设'!$B$5,11+$F9),BA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A$4=EDATE(EDATE('核心假设'!$B$5,11+$F9),$D9),SUM('融资租赁与资金缺口'!$D$5:$D$16)*$X9*'核心假设'!$B$32,0),0),IF(AND(BA$4&gt;EDATE('核心假设'!$B$5,12+$F9),BA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A$4=EDATE(EDATE('核心假设'!$B$5,12+$F9),$D9),SUM('融资租赁与资金缺口'!$D$5:$D$16)*$Y9*'核心假设'!$B$32,0),0),IF(AND(BA$4&gt;EDATE('核心假设'!$B$5,13+$F9),BA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A$4=EDATE(EDATE('核心假设'!$B$5,13+$F9),$D9),SUM('融资租赁与资金缺口'!$D$5:$D$16)*$Z9*'核心假设'!$B$32,0),0),IF(AND(BA$4&gt;EDATE('核心假设'!$B$5,14+$F9),BA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A$4=EDATE(EDATE('核心假设'!$B$5,14+$F9),$D9),SUM('融资租赁与资金缺口'!$D$5:$D$16)*$AA9*'核心假设'!$B$32,0),0),IF(AND(BA$4&gt;EDATE('核心假设'!$B$5,15+$F9),BA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A$4=EDATE(EDATE('核心假设'!$B$5,15+$F9),$D9),SUM('融资租赁与资金缺口'!$D$5:$D$16)*$AB9*'核心假设'!$B$32,0),0),IF(AND(BA$4&gt;EDATE('核心假设'!$B$5,16+$F9),BA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A$4=EDATE(EDATE('核心假设'!$B$5,16+$F9),$D9),SUM('融资租赁与资金缺口'!$D$5:$D$16)*$AC9*'核心假设'!$B$32,0),0),IF(AND(BA$4&gt;EDATE('核心假设'!$B$5,17+$F9),BA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A$4=EDATE(EDATE('核心假设'!$B$5,17+$F9),$D9),SUM('融资租赁与资金缺口'!$D$5:$D$16)*$AD9*'核心假设'!$B$32,0),0))</x:f>
        <x:v>16891016.88164358</x:v>
      </x:c>
      <x:c r="BB31" s="28" t="n">
        <x:f>SUM(IF(AND(BB$4&gt;EDATE('核心假设'!$B$5,0+$F9),BB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B$4=EDATE(EDATE('核心假设'!$B$5,0+$F9),$D9),SUM('融资租赁与资金缺口'!$D$5:$D$16)*$M9*'核心假设'!$B$32,0),0),IF(AND(BB$4&gt;EDATE('核心假设'!$B$5,1+$F9),BB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B$4=EDATE(EDATE('核心假设'!$B$5,1+$F9),$D9),SUM('融资租赁与资金缺口'!$D$5:$D$16)*$N9*'核心假设'!$B$32,0),0),IF(AND(BB$4&gt;EDATE('核心假设'!$B$5,2+$F9),BB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B$4=EDATE(EDATE('核心假设'!$B$5,2+$F9),$D9),SUM('融资租赁与资金缺口'!$D$5:$D$16)*$O9*'核心假设'!$B$32,0),0),IF(AND(BB$4&gt;EDATE('核心假设'!$B$5,3+$F9),BB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B$4=EDATE(EDATE('核心假设'!$B$5,3+$F9),$D9),SUM('融资租赁与资金缺口'!$D$5:$D$16)*$P9*'核心假设'!$B$32,0),0),IF(AND(BB$4&gt;EDATE('核心假设'!$B$5,4+$F9),BB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B$4=EDATE(EDATE('核心假设'!$B$5,4+$F9),$D9),SUM('融资租赁与资金缺口'!$D$5:$D$16)*$Q9*'核心假设'!$B$32,0),0),IF(AND(BB$4&gt;EDATE('核心假设'!$B$5,5+$F9),BB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B$4=EDATE(EDATE('核心假设'!$B$5,5+$F9),$D9),SUM('融资租赁与资金缺口'!$D$5:$D$16)*$R9*'核心假设'!$B$32,0),0),IF(AND(BB$4&gt;EDATE('核心假设'!$B$5,6+$F9),BB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B$4=EDATE(EDATE('核心假设'!$B$5,6+$F9),$D9),SUM('融资租赁与资金缺口'!$D$5:$D$16)*$S9*'核心假设'!$B$32,0),0),IF(AND(BB$4&gt;EDATE('核心假设'!$B$5,7+$F9),BB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B$4=EDATE(EDATE('核心假设'!$B$5,7+$F9),$D9),SUM('融资租赁与资金缺口'!$D$5:$D$16)*$T9*'核心假设'!$B$32,0),0),IF(AND(BB$4&gt;EDATE('核心假设'!$B$5,8+$F9),BB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B$4=EDATE(EDATE('核心假设'!$B$5,8+$F9),$D9),SUM('融资租赁与资金缺口'!$D$5:$D$16)*$U9*'核心假设'!$B$32,0),0),IF(AND(BB$4&gt;EDATE('核心假设'!$B$5,9+$F9),BB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B$4=EDATE(EDATE('核心假设'!$B$5,9+$F9),$D9),SUM('融资租赁与资金缺口'!$D$5:$D$16)*$V9*'核心假设'!$B$32,0),0),IF(AND(BB$4&gt;EDATE('核心假设'!$B$5,10+$F9),BB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B$4=EDATE(EDATE('核心假设'!$B$5,10+$F9),$D9),SUM('融资租赁与资金缺口'!$D$5:$D$16)*$W9*'核心假设'!$B$32,0),0),IF(AND(BB$4&gt;EDATE('核心假设'!$B$5,11+$F9),BB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B$4=EDATE(EDATE('核心假设'!$B$5,11+$F9),$D9),SUM('融资租赁与资金缺口'!$D$5:$D$16)*$X9*'核心假设'!$B$32,0),0),IF(AND(BB$4&gt;EDATE('核心假设'!$B$5,12+$F9),BB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B$4=EDATE(EDATE('核心假设'!$B$5,12+$F9),$D9),SUM('融资租赁与资金缺口'!$D$5:$D$16)*$Y9*'核心假设'!$B$32,0),0),IF(AND(BB$4&gt;EDATE('核心假设'!$B$5,13+$F9),BB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B$4=EDATE(EDATE('核心假设'!$B$5,13+$F9),$D9),SUM('融资租赁与资金缺口'!$D$5:$D$16)*$Z9*'核心假设'!$B$32,0),0),IF(AND(BB$4&gt;EDATE('核心假设'!$B$5,14+$F9),BB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B$4=EDATE(EDATE('核心假设'!$B$5,14+$F9),$D9),SUM('融资租赁与资金缺口'!$D$5:$D$16)*$AA9*'核心假设'!$B$32,0),0),IF(AND(BB$4&gt;EDATE('核心假设'!$B$5,15+$F9),BB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B$4=EDATE(EDATE('核心假设'!$B$5,15+$F9),$D9),SUM('融资租赁与资金缺口'!$D$5:$D$16)*$AB9*'核心假设'!$B$32,0),0),IF(AND(BB$4&gt;EDATE('核心假设'!$B$5,16+$F9),BB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B$4=EDATE(EDATE('核心假设'!$B$5,16+$F9),$D9),SUM('融资租赁与资金缺口'!$D$5:$D$16)*$AC9*'核心假设'!$B$32,0),0),IF(AND(BB$4&gt;EDATE('核心假设'!$B$5,17+$F9),BB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B$4=EDATE(EDATE('核心假设'!$B$5,17+$F9),$D9),SUM('融资租赁与资金缺口'!$D$5:$D$16)*$AD9*'核心假设'!$B$32,0),0))</x:f>
        <x:v>16891016.88164358</x:v>
      </x:c>
      <x:c r="BC31" s="28" t="n">
        <x:f>SUM(IF(AND(BC$4&gt;EDATE('核心假设'!$B$5,0+$F9),BC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C$4=EDATE(EDATE('核心假设'!$B$5,0+$F9),$D9),SUM('融资租赁与资金缺口'!$D$5:$D$16)*$M9*'核心假设'!$B$32,0),0),IF(AND(BC$4&gt;EDATE('核心假设'!$B$5,1+$F9),BC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C$4=EDATE(EDATE('核心假设'!$B$5,1+$F9),$D9),SUM('融资租赁与资金缺口'!$D$5:$D$16)*$N9*'核心假设'!$B$32,0),0),IF(AND(BC$4&gt;EDATE('核心假设'!$B$5,2+$F9),BC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C$4=EDATE(EDATE('核心假设'!$B$5,2+$F9),$D9),SUM('融资租赁与资金缺口'!$D$5:$D$16)*$O9*'核心假设'!$B$32,0),0),IF(AND(BC$4&gt;EDATE('核心假设'!$B$5,3+$F9),BC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C$4=EDATE(EDATE('核心假设'!$B$5,3+$F9),$D9),SUM('融资租赁与资金缺口'!$D$5:$D$16)*$P9*'核心假设'!$B$32,0),0),IF(AND(BC$4&gt;EDATE('核心假设'!$B$5,4+$F9),BC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C$4=EDATE(EDATE('核心假设'!$B$5,4+$F9),$D9),SUM('融资租赁与资金缺口'!$D$5:$D$16)*$Q9*'核心假设'!$B$32,0),0),IF(AND(BC$4&gt;EDATE('核心假设'!$B$5,5+$F9),BC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C$4=EDATE(EDATE('核心假设'!$B$5,5+$F9),$D9),SUM('融资租赁与资金缺口'!$D$5:$D$16)*$R9*'核心假设'!$B$32,0),0),IF(AND(BC$4&gt;EDATE('核心假设'!$B$5,6+$F9),BC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C$4=EDATE(EDATE('核心假设'!$B$5,6+$F9),$D9),SUM('融资租赁与资金缺口'!$D$5:$D$16)*$S9*'核心假设'!$B$32,0),0),IF(AND(BC$4&gt;EDATE('核心假设'!$B$5,7+$F9),BC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C$4=EDATE(EDATE('核心假设'!$B$5,7+$F9),$D9),SUM('融资租赁与资金缺口'!$D$5:$D$16)*$T9*'核心假设'!$B$32,0),0),IF(AND(BC$4&gt;EDATE('核心假设'!$B$5,8+$F9),BC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C$4=EDATE(EDATE('核心假设'!$B$5,8+$F9),$D9),SUM('融资租赁与资金缺口'!$D$5:$D$16)*$U9*'核心假设'!$B$32,0),0),IF(AND(BC$4&gt;EDATE('核心假设'!$B$5,9+$F9),BC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C$4=EDATE(EDATE('核心假设'!$B$5,9+$F9),$D9),SUM('融资租赁与资金缺口'!$D$5:$D$16)*$V9*'核心假设'!$B$32,0),0),IF(AND(BC$4&gt;EDATE('核心假设'!$B$5,10+$F9),BC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C$4=EDATE(EDATE('核心假设'!$B$5,10+$F9),$D9),SUM('融资租赁与资金缺口'!$D$5:$D$16)*$W9*'核心假设'!$B$32,0),0),IF(AND(BC$4&gt;EDATE('核心假设'!$B$5,11+$F9),BC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C$4=EDATE(EDATE('核心假设'!$B$5,11+$F9),$D9),SUM('融资租赁与资金缺口'!$D$5:$D$16)*$X9*'核心假设'!$B$32,0),0),IF(AND(BC$4&gt;EDATE('核心假设'!$B$5,12+$F9),BC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C$4=EDATE(EDATE('核心假设'!$B$5,12+$F9),$D9),SUM('融资租赁与资金缺口'!$D$5:$D$16)*$Y9*'核心假设'!$B$32,0),0),IF(AND(BC$4&gt;EDATE('核心假设'!$B$5,13+$F9),BC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C$4=EDATE(EDATE('核心假设'!$B$5,13+$F9),$D9),SUM('融资租赁与资金缺口'!$D$5:$D$16)*$Z9*'核心假设'!$B$32,0),0),IF(AND(BC$4&gt;EDATE('核心假设'!$B$5,14+$F9),BC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C$4=EDATE(EDATE('核心假设'!$B$5,14+$F9),$D9),SUM('融资租赁与资金缺口'!$D$5:$D$16)*$AA9*'核心假设'!$B$32,0),0),IF(AND(BC$4&gt;EDATE('核心假设'!$B$5,15+$F9),BC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C$4=EDATE(EDATE('核心假设'!$B$5,15+$F9),$D9),SUM('融资租赁与资金缺口'!$D$5:$D$16)*$AB9*'核心假设'!$B$32,0),0),IF(AND(BC$4&gt;EDATE('核心假设'!$B$5,16+$F9),BC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C$4=EDATE(EDATE('核心假设'!$B$5,16+$F9),$D9),SUM('融资租赁与资金缺口'!$D$5:$D$16)*$AC9*'核心假设'!$B$32,0),0),IF(AND(BC$4&gt;EDATE('核心假设'!$B$5,17+$F9),BC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C$4=EDATE(EDATE('核心假设'!$B$5,17+$F9),$D9),SUM('融资租赁与资金缺口'!$D$5:$D$16)*$AD9*'核心假设'!$B$32,0),0))</x:f>
        <x:v>16891016.88164358</x:v>
      </x:c>
      <x:c r="BD31" s="28" t="n">
        <x:f>SUM(IF(AND(BD$4&gt;EDATE('核心假设'!$B$5,0+$F9),BD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D$4=EDATE(EDATE('核心假设'!$B$5,0+$F9),$D9),SUM('融资租赁与资金缺口'!$D$5:$D$16)*$M9*'核心假设'!$B$32,0),0),IF(AND(BD$4&gt;EDATE('核心假设'!$B$5,1+$F9),BD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D$4=EDATE(EDATE('核心假设'!$B$5,1+$F9),$D9),SUM('融资租赁与资金缺口'!$D$5:$D$16)*$N9*'核心假设'!$B$32,0),0),IF(AND(BD$4&gt;EDATE('核心假设'!$B$5,2+$F9),BD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D$4=EDATE(EDATE('核心假设'!$B$5,2+$F9),$D9),SUM('融资租赁与资金缺口'!$D$5:$D$16)*$O9*'核心假设'!$B$32,0),0),IF(AND(BD$4&gt;EDATE('核心假设'!$B$5,3+$F9),BD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D$4=EDATE(EDATE('核心假设'!$B$5,3+$F9),$D9),SUM('融资租赁与资金缺口'!$D$5:$D$16)*$P9*'核心假设'!$B$32,0),0),IF(AND(BD$4&gt;EDATE('核心假设'!$B$5,4+$F9),BD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D$4=EDATE(EDATE('核心假设'!$B$5,4+$F9),$D9),SUM('融资租赁与资金缺口'!$D$5:$D$16)*$Q9*'核心假设'!$B$32,0),0),IF(AND(BD$4&gt;EDATE('核心假设'!$B$5,5+$F9),BD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D$4=EDATE(EDATE('核心假设'!$B$5,5+$F9),$D9),SUM('融资租赁与资金缺口'!$D$5:$D$16)*$R9*'核心假设'!$B$32,0),0),IF(AND(BD$4&gt;EDATE('核心假设'!$B$5,6+$F9),BD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D$4=EDATE(EDATE('核心假设'!$B$5,6+$F9),$D9),SUM('融资租赁与资金缺口'!$D$5:$D$16)*$S9*'核心假设'!$B$32,0),0),IF(AND(BD$4&gt;EDATE('核心假设'!$B$5,7+$F9),BD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D$4=EDATE(EDATE('核心假设'!$B$5,7+$F9),$D9),SUM('融资租赁与资金缺口'!$D$5:$D$16)*$T9*'核心假设'!$B$32,0),0),IF(AND(BD$4&gt;EDATE('核心假设'!$B$5,8+$F9),BD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D$4=EDATE(EDATE('核心假设'!$B$5,8+$F9),$D9),SUM('融资租赁与资金缺口'!$D$5:$D$16)*$U9*'核心假设'!$B$32,0),0),IF(AND(BD$4&gt;EDATE('核心假设'!$B$5,9+$F9),BD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D$4=EDATE(EDATE('核心假设'!$B$5,9+$F9),$D9),SUM('融资租赁与资金缺口'!$D$5:$D$16)*$V9*'核心假设'!$B$32,0),0),IF(AND(BD$4&gt;EDATE('核心假设'!$B$5,10+$F9),BD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D$4=EDATE(EDATE('核心假设'!$B$5,10+$F9),$D9),SUM('融资租赁与资金缺口'!$D$5:$D$16)*$W9*'核心假设'!$B$32,0),0),IF(AND(BD$4&gt;EDATE('核心假设'!$B$5,11+$F9),BD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D$4=EDATE(EDATE('核心假设'!$B$5,11+$F9),$D9),SUM('融资租赁与资金缺口'!$D$5:$D$16)*$X9*'核心假设'!$B$32,0),0),IF(AND(BD$4&gt;EDATE('核心假设'!$B$5,12+$F9),BD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D$4=EDATE(EDATE('核心假设'!$B$5,12+$F9),$D9),SUM('融资租赁与资金缺口'!$D$5:$D$16)*$Y9*'核心假设'!$B$32,0),0),IF(AND(BD$4&gt;EDATE('核心假设'!$B$5,13+$F9),BD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D$4=EDATE(EDATE('核心假设'!$B$5,13+$F9),$D9),SUM('融资租赁与资金缺口'!$D$5:$D$16)*$Z9*'核心假设'!$B$32,0),0),IF(AND(BD$4&gt;EDATE('核心假设'!$B$5,14+$F9),BD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D$4=EDATE(EDATE('核心假设'!$B$5,14+$F9),$D9),SUM('融资租赁与资金缺口'!$D$5:$D$16)*$AA9*'核心假设'!$B$32,0),0),IF(AND(BD$4&gt;EDATE('核心假设'!$B$5,15+$F9),BD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D$4=EDATE(EDATE('核心假设'!$B$5,15+$F9),$D9),SUM('融资租赁与资金缺口'!$D$5:$D$16)*$AB9*'核心假设'!$B$32,0),0),IF(AND(BD$4&gt;EDATE('核心假设'!$B$5,16+$F9),BD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D$4=EDATE(EDATE('核心假设'!$B$5,16+$F9),$D9),SUM('融资租赁与资金缺口'!$D$5:$D$16)*$AC9*'核心假设'!$B$32,0),0),IF(AND(BD$4&gt;EDATE('核心假设'!$B$5,17+$F9),BD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D$4=EDATE(EDATE('核心假设'!$B$5,17+$F9),$D9),SUM('融资租赁与资金缺口'!$D$5:$D$16)*$AD9*'核心假设'!$B$32,0),0))</x:f>
        <x:v>16891016.88164358</x:v>
      </x:c>
      <x:c r="BE31" s="28" t="n">
        <x:f>SUM(IF(AND(BE$4&gt;EDATE('核心假设'!$B$5,0+$F9),BE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E$4=EDATE(EDATE('核心假设'!$B$5,0+$F9),$D9),SUM('融资租赁与资金缺口'!$D$5:$D$16)*$M9*'核心假设'!$B$32,0),0),IF(AND(BE$4&gt;EDATE('核心假设'!$B$5,1+$F9),BE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E$4=EDATE(EDATE('核心假设'!$B$5,1+$F9),$D9),SUM('融资租赁与资金缺口'!$D$5:$D$16)*$N9*'核心假设'!$B$32,0),0),IF(AND(BE$4&gt;EDATE('核心假设'!$B$5,2+$F9),BE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E$4=EDATE(EDATE('核心假设'!$B$5,2+$F9),$D9),SUM('融资租赁与资金缺口'!$D$5:$D$16)*$O9*'核心假设'!$B$32,0),0),IF(AND(BE$4&gt;EDATE('核心假设'!$B$5,3+$F9),BE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E$4=EDATE(EDATE('核心假设'!$B$5,3+$F9),$D9),SUM('融资租赁与资金缺口'!$D$5:$D$16)*$P9*'核心假设'!$B$32,0),0),IF(AND(BE$4&gt;EDATE('核心假设'!$B$5,4+$F9),BE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E$4=EDATE(EDATE('核心假设'!$B$5,4+$F9),$D9),SUM('融资租赁与资金缺口'!$D$5:$D$16)*$Q9*'核心假设'!$B$32,0),0),IF(AND(BE$4&gt;EDATE('核心假设'!$B$5,5+$F9),BE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E$4=EDATE(EDATE('核心假设'!$B$5,5+$F9),$D9),SUM('融资租赁与资金缺口'!$D$5:$D$16)*$R9*'核心假设'!$B$32,0),0),IF(AND(BE$4&gt;EDATE('核心假设'!$B$5,6+$F9),BE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E$4=EDATE(EDATE('核心假设'!$B$5,6+$F9),$D9),SUM('融资租赁与资金缺口'!$D$5:$D$16)*$S9*'核心假设'!$B$32,0),0),IF(AND(BE$4&gt;EDATE('核心假设'!$B$5,7+$F9),BE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E$4=EDATE(EDATE('核心假设'!$B$5,7+$F9),$D9),SUM('融资租赁与资金缺口'!$D$5:$D$16)*$T9*'核心假设'!$B$32,0),0),IF(AND(BE$4&gt;EDATE('核心假设'!$B$5,8+$F9),BE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E$4=EDATE(EDATE('核心假设'!$B$5,8+$F9),$D9),SUM('融资租赁与资金缺口'!$D$5:$D$16)*$U9*'核心假设'!$B$32,0),0),IF(AND(BE$4&gt;EDATE('核心假设'!$B$5,9+$F9),BE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E$4=EDATE(EDATE('核心假设'!$B$5,9+$F9),$D9),SUM('融资租赁与资金缺口'!$D$5:$D$16)*$V9*'核心假设'!$B$32,0),0),IF(AND(BE$4&gt;EDATE('核心假设'!$B$5,10+$F9),BE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E$4=EDATE(EDATE('核心假设'!$B$5,10+$F9),$D9),SUM('融资租赁与资金缺口'!$D$5:$D$16)*$W9*'核心假设'!$B$32,0),0),IF(AND(BE$4&gt;EDATE('核心假设'!$B$5,11+$F9),BE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E$4=EDATE(EDATE('核心假设'!$B$5,11+$F9),$D9),SUM('融资租赁与资金缺口'!$D$5:$D$16)*$X9*'核心假设'!$B$32,0),0),IF(AND(BE$4&gt;EDATE('核心假设'!$B$5,12+$F9),BE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E$4=EDATE(EDATE('核心假设'!$B$5,12+$F9),$D9),SUM('融资租赁与资金缺口'!$D$5:$D$16)*$Y9*'核心假设'!$B$32,0),0),IF(AND(BE$4&gt;EDATE('核心假设'!$B$5,13+$F9),BE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E$4=EDATE(EDATE('核心假设'!$B$5,13+$F9),$D9),SUM('融资租赁与资金缺口'!$D$5:$D$16)*$Z9*'核心假设'!$B$32,0),0),IF(AND(BE$4&gt;EDATE('核心假设'!$B$5,14+$F9),BE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E$4=EDATE(EDATE('核心假设'!$B$5,14+$F9),$D9),SUM('融资租赁与资金缺口'!$D$5:$D$16)*$AA9*'核心假设'!$B$32,0),0),IF(AND(BE$4&gt;EDATE('核心假设'!$B$5,15+$F9),BE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E$4=EDATE(EDATE('核心假设'!$B$5,15+$F9),$D9),SUM('融资租赁与资金缺口'!$D$5:$D$16)*$AB9*'核心假设'!$B$32,0),0),IF(AND(BE$4&gt;EDATE('核心假设'!$B$5,16+$F9),BE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E$4=EDATE(EDATE('核心假设'!$B$5,16+$F9),$D9),SUM('融资租赁与资金缺口'!$D$5:$D$16)*$AC9*'核心假设'!$B$32,0),0),IF(AND(BE$4&gt;EDATE('核心假设'!$B$5,17+$F9),BE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E$4=EDATE(EDATE('核心假设'!$B$5,17+$F9),$D9),SUM('融资租赁与资金缺口'!$D$5:$D$16)*$AD9*'核心假设'!$B$32,0),0))</x:f>
        <x:v>16891016.88164358</x:v>
      </x:c>
      <x:c r="BF31" s="28" t="n">
        <x:f>SUM(IF(AND(BF$4&gt;EDATE('核心假设'!$B$5,0+$F9),BF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F$4=EDATE(EDATE('核心假设'!$B$5,0+$F9),$D9),SUM('融资租赁与资金缺口'!$D$5:$D$16)*$M9*'核心假设'!$B$32,0),0),IF(AND(BF$4&gt;EDATE('核心假设'!$B$5,1+$F9),BF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F$4=EDATE(EDATE('核心假设'!$B$5,1+$F9),$D9),SUM('融资租赁与资金缺口'!$D$5:$D$16)*$N9*'核心假设'!$B$32,0),0),IF(AND(BF$4&gt;EDATE('核心假设'!$B$5,2+$F9),BF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F$4=EDATE(EDATE('核心假设'!$B$5,2+$F9),$D9),SUM('融资租赁与资金缺口'!$D$5:$D$16)*$O9*'核心假设'!$B$32,0),0),IF(AND(BF$4&gt;EDATE('核心假设'!$B$5,3+$F9),BF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F$4=EDATE(EDATE('核心假设'!$B$5,3+$F9),$D9),SUM('融资租赁与资金缺口'!$D$5:$D$16)*$P9*'核心假设'!$B$32,0),0),IF(AND(BF$4&gt;EDATE('核心假设'!$B$5,4+$F9),BF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F$4=EDATE(EDATE('核心假设'!$B$5,4+$F9),$D9),SUM('融资租赁与资金缺口'!$D$5:$D$16)*$Q9*'核心假设'!$B$32,0),0),IF(AND(BF$4&gt;EDATE('核心假设'!$B$5,5+$F9),BF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F$4=EDATE(EDATE('核心假设'!$B$5,5+$F9),$D9),SUM('融资租赁与资金缺口'!$D$5:$D$16)*$R9*'核心假设'!$B$32,0),0),IF(AND(BF$4&gt;EDATE('核心假设'!$B$5,6+$F9),BF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F$4=EDATE(EDATE('核心假设'!$B$5,6+$F9),$D9),SUM('融资租赁与资金缺口'!$D$5:$D$16)*$S9*'核心假设'!$B$32,0),0),IF(AND(BF$4&gt;EDATE('核心假设'!$B$5,7+$F9),BF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F$4=EDATE(EDATE('核心假设'!$B$5,7+$F9),$D9),SUM('融资租赁与资金缺口'!$D$5:$D$16)*$T9*'核心假设'!$B$32,0),0),IF(AND(BF$4&gt;EDATE('核心假设'!$B$5,8+$F9),BF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F$4=EDATE(EDATE('核心假设'!$B$5,8+$F9),$D9),SUM('融资租赁与资金缺口'!$D$5:$D$16)*$U9*'核心假设'!$B$32,0),0),IF(AND(BF$4&gt;EDATE('核心假设'!$B$5,9+$F9),BF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F$4=EDATE(EDATE('核心假设'!$B$5,9+$F9),$D9),SUM('融资租赁与资金缺口'!$D$5:$D$16)*$V9*'核心假设'!$B$32,0),0),IF(AND(BF$4&gt;EDATE('核心假设'!$B$5,10+$F9),BF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F$4=EDATE(EDATE('核心假设'!$B$5,10+$F9),$D9),SUM('融资租赁与资金缺口'!$D$5:$D$16)*$W9*'核心假设'!$B$32,0),0),IF(AND(BF$4&gt;EDATE('核心假设'!$B$5,11+$F9),BF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F$4=EDATE(EDATE('核心假设'!$B$5,11+$F9),$D9),SUM('融资租赁与资金缺口'!$D$5:$D$16)*$X9*'核心假设'!$B$32,0),0),IF(AND(BF$4&gt;EDATE('核心假设'!$B$5,12+$F9),BF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F$4=EDATE(EDATE('核心假设'!$B$5,12+$F9),$D9),SUM('融资租赁与资金缺口'!$D$5:$D$16)*$Y9*'核心假设'!$B$32,0),0),IF(AND(BF$4&gt;EDATE('核心假设'!$B$5,13+$F9),BF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F$4=EDATE(EDATE('核心假设'!$B$5,13+$F9),$D9),SUM('融资租赁与资金缺口'!$D$5:$D$16)*$Z9*'核心假设'!$B$32,0),0),IF(AND(BF$4&gt;EDATE('核心假设'!$B$5,14+$F9),BF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F$4=EDATE(EDATE('核心假设'!$B$5,14+$F9),$D9),SUM('融资租赁与资金缺口'!$D$5:$D$16)*$AA9*'核心假设'!$B$32,0),0),IF(AND(BF$4&gt;EDATE('核心假设'!$B$5,15+$F9),BF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F$4=EDATE(EDATE('核心假设'!$B$5,15+$F9),$D9),SUM('融资租赁与资金缺口'!$D$5:$D$16)*$AB9*'核心假设'!$B$32,0),0),IF(AND(BF$4&gt;EDATE('核心假设'!$B$5,16+$F9),BF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F$4=EDATE(EDATE('核心假设'!$B$5,16+$F9),$D9),SUM('融资租赁与资金缺口'!$D$5:$D$16)*$AC9*'核心假设'!$B$32,0),0),IF(AND(BF$4&gt;EDATE('核心假设'!$B$5,17+$F9),BF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F$4=EDATE(EDATE('核心假设'!$B$5,17+$F9),$D9),SUM('融资租赁与资金缺口'!$D$5:$D$16)*$AD9*'核心假设'!$B$32,0),0))</x:f>
        <x:v>16891016.88164358</x:v>
      </x:c>
      <x:c r="BG31" s="28" t="n">
        <x:f>SUM(IF(AND(BG$4&gt;EDATE('核心假设'!$B$5,0+$F9),BG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G$4=EDATE(EDATE('核心假设'!$B$5,0+$F9),$D9),SUM('融资租赁与资金缺口'!$D$5:$D$16)*$M9*'核心假设'!$B$32,0),0),IF(AND(BG$4&gt;EDATE('核心假设'!$B$5,1+$F9),BG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G$4=EDATE(EDATE('核心假设'!$B$5,1+$F9),$D9),SUM('融资租赁与资金缺口'!$D$5:$D$16)*$N9*'核心假设'!$B$32,0),0),IF(AND(BG$4&gt;EDATE('核心假设'!$B$5,2+$F9),BG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G$4=EDATE(EDATE('核心假设'!$B$5,2+$F9),$D9),SUM('融资租赁与资金缺口'!$D$5:$D$16)*$O9*'核心假设'!$B$32,0),0),IF(AND(BG$4&gt;EDATE('核心假设'!$B$5,3+$F9),BG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G$4=EDATE(EDATE('核心假设'!$B$5,3+$F9),$D9),SUM('融资租赁与资金缺口'!$D$5:$D$16)*$P9*'核心假设'!$B$32,0),0),IF(AND(BG$4&gt;EDATE('核心假设'!$B$5,4+$F9),BG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G$4=EDATE(EDATE('核心假设'!$B$5,4+$F9),$D9),SUM('融资租赁与资金缺口'!$D$5:$D$16)*$Q9*'核心假设'!$B$32,0),0),IF(AND(BG$4&gt;EDATE('核心假设'!$B$5,5+$F9),BG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G$4=EDATE(EDATE('核心假设'!$B$5,5+$F9),$D9),SUM('融资租赁与资金缺口'!$D$5:$D$16)*$R9*'核心假设'!$B$32,0),0),IF(AND(BG$4&gt;EDATE('核心假设'!$B$5,6+$F9),BG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G$4=EDATE(EDATE('核心假设'!$B$5,6+$F9),$D9),SUM('融资租赁与资金缺口'!$D$5:$D$16)*$S9*'核心假设'!$B$32,0),0),IF(AND(BG$4&gt;EDATE('核心假设'!$B$5,7+$F9),BG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G$4=EDATE(EDATE('核心假设'!$B$5,7+$F9),$D9),SUM('融资租赁与资金缺口'!$D$5:$D$16)*$T9*'核心假设'!$B$32,0),0),IF(AND(BG$4&gt;EDATE('核心假设'!$B$5,8+$F9),BG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G$4=EDATE(EDATE('核心假设'!$B$5,8+$F9),$D9),SUM('融资租赁与资金缺口'!$D$5:$D$16)*$U9*'核心假设'!$B$32,0),0),IF(AND(BG$4&gt;EDATE('核心假设'!$B$5,9+$F9),BG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G$4=EDATE(EDATE('核心假设'!$B$5,9+$F9),$D9),SUM('融资租赁与资金缺口'!$D$5:$D$16)*$V9*'核心假设'!$B$32,0),0),IF(AND(BG$4&gt;EDATE('核心假设'!$B$5,10+$F9),BG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G$4=EDATE(EDATE('核心假设'!$B$5,10+$F9),$D9),SUM('融资租赁与资金缺口'!$D$5:$D$16)*$W9*'核心假设'!$B$32,0),0),IF(AND(BG$4&gt;EDATE('核心假设'!$B$5,11+$F9),BG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G$4=EDATE(EDATE('核心假设'!$B$5,11+$F9),$D9),SUM('融资租赁与资金缺口'!$D$5:$D$16)*$X9*'核心假设'!$B$32,0),0),IF(AND(BG$4&gt;EDATE('核心假设'!$B$5,12+$F9),BG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G$4=EDATE(EDATE('核心假设'!$B$5,12+$F9),$D9),SUM('融资租赁与资金缺口'!$D$5:$D$16)*$Y9*'核心假设'!$B$32,0),0),IF(AND(BG$4&gt;EDATE('核心假设'!$B$5,13+$F9),BG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G$4=EDATE(EDATE('核心假设'!$B$5,13+$F9),$D9),SUM('融资租赁与资金缺口'!$D$5:$D$16)*$Z9*'核心假设'!$B$32,0),0),IF(AND(BG$4&gt;EDATE('核心假设'!$B$5,14+$F9),BG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G$4=EDATE(EDATE('核心假设'!$B$5,14+$F9),$D9),SUM('融资租赁与资金缺口'!$D$5:$D$16)*$AA9*'核心假设'!$B$32,0),0),IF(AND(BG$4&gt;EDATE('核心假设'!$B$5,15+$F9),BG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G$4=EDATE(EDATE('核心假设'!$B$5,15+$F9),$D9),SUM('融资租赁与资金缺口'!$D$5:$D$16)*$AB9*'核心假设'!$B$32,0),0),IF(AND(BG$4&gt;EDATE('核心假设'!$B$5,16+$F9),BG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G$4=EDATE(EDATE('核心假设'!$B$5,16+$F9),$D9),SUM('融资租赁与资金缺口'!$D$5:$D$16)*$AC9*'核心假设'!$B$32,0),0),IF(AND(BG$4&gt;EDATE('核心假设'!$B$5,17+$F9),BG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G$4=EDATE(EDATE('核心假设'!$B$5,17+$F9),$D9),SUM('融资租赁与资金缺口'!$D$5:$D$16)*$AD9*'核心假设'!$B$32,0),0))</x:f>
        <x:v>16891016.88164358</x:v>
      </x:c>
      <x:c r="BH31" s="28" t="n">
        <x:f>SUM(IF(AND(BH$4&gt;EDATE('核心假设'!$B$5,0+$F9),BH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H$4=EDATE(EDATE('核心假设'!$B$5,0+$F9),$D9),SUM('融资租赁与资金缺口'!$D$5:$D$16)*$M9*'核心假设'!$B$32,0),0),IF(AND(BH$4&gt;EDATE('核心假设'!$B$5,1+$F9),BH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H$4=EDATE(EDATE('核心假设'!$B$5,1+$F9),$D9),SUM('融资租赁与资金缺口'!$D$5:$D$16)*$N9*'核心假设'!$B$32,0),0),IF(AND(BH$4&gt;EDATE('核心假设'!$B$5,2+$F9),BH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H$4=EDATE(EDATE('核心假设'!$B$5,2+$F9),$D9),SUM('融资租赁与资金缺口'!$D$5:$D$16)*$O9*'核心假设'!$B$32,0),0),IF(AND(BH$4&gt;EDATE('核心假设'!$B$5,3+$F9),BH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H$4=EDATE(EDATE('核心假设'!$B$5,3+$F9),$D9),SUM('融资租赁与资金缺口'!$D$5:$D$16)*$P9*'核心假设'!$B$32,0),0),IF(AND(BH$4&gt;EDATE('核心假设'!$B$5,4+$F9),BH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H$4=EDATE(EDATE('核心假设'!$B$5,4+$F9),$D9),SUM('融资租赁与资金缺口'!$D$5:$D$16)*$Q9*'核心假设'!$B$32,0),0),IF(AND(BH$4&gt;EDATE('核心假设'!$B$5,5+$F9),BH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H$4=EDATE(EDATE('核心假设'!$B$5,5+$F9),$D9),SUM('融资租赁与资金缺口'!$D$5:$D$16)*$R9*'核心假设'!$B$32,0),0),IF(AND(BH$4&gt;EDATE('核心假设'!$B$5,6+$F9),BH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H$4=EDATE(EDATE('核心假设'!$B$5,6+$F9),$D9),SUM('融资租赁与资金缺口'!$D$5:$D$16)*$S9*'核心假设'!$B$32,0),0),IF(AND(BH$4&gt;EDATE('核心假设'!$B$5,7+$F9),BH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H$4=EDATE(EDATE('核心假设'!$B$5,7+$F9),$D9),SUM('融资租赁与资金缺口'!$D$5:$D$16)*$T9*'核心假设'!$B$32,0),0),IF(AND(BH$4&gt;EDATE('核心假设'!$B$5,8+$F9),BH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H$4=EDATE(EDATE('核心假设'!$B$5,8+$F9),$D9),SUM('融资租赁与资金缺口'!$D$5:$D$16)*$U9*'核心假设'!$B$32,0),0),IF(AND(BH$4&gt;EDATE('核心假设'!$B$5,9+$F9),BH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H$4=EDATE(EDATE('核心假设'!$B$5,9+$F9),$D9),SUM('融资租赁与资金缺口'!$D$5:$D$16)*$V9*'核心假设'!$B$32,0),0),IF(AND(BH$4&gt;EDATE('核心假设'!$B$5,10+$F9),BH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H$4=EDATE(EDATE('核心假设'!$B$5,10+$F9),$D9),SUM('融资租赁与资金缺口'!$D$5:$D$16)*$W9*'核心假设'!$B$32,0),0),IF(AND(BH$4&gt;EDATE('核心假设'!$B$5,11+$F9),BH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H$4=EDATE(EDATE('核心假设'!$B$5,11+$F9),$D9),SUM('融资租赁与资金缺口'!$D$5:$D$16)*$X9*'核心假设'!$B$32,0),0),IF(AND(BH$4&gt;EDATE('核心假设'!$B$5,12+$F9),BH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H$4=EDATE(EDATE('核心假设'!$B$5,12+$F9),$D9),SUM('融资租赁与资金缺口'!$D$5:$D$16)*$Y9*'核心假设'!$B$32,0),0),IF(AND(BH$4&gt;EDATE('核心假设'!$B$5,13+$F9),BH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H$4=EDATE(EDATE('核心假设'!$B$5,13+$F9),$D9),SUM('融资租赁与资金缺口'!$D$5:$D$16)*$Z9*'核心假设'!$B$32,0),0),IF(AND(BH$4&gt;EDATE('核心假设'!$B$5,14+$F9),BH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H$4=EDATE(EDATE('核心假设'!$B$5,14+$F9),$D9),SUM('融资租赁与资金缺口'!$D$5:$D$16)*$AA9*'核心假设'!$B$32,0),0),IF(AND(BH$4&gt;EDATE('核心假设'!$B$5,15+$F9),BH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H$4=EDATE(EDATE('核心假设'!$B$5,15+$F9),$D9),SUM('融资租赁与资金缺口'!$D$5:$D$16)*$AB9*'核心假设'!$B$32,0),0),IF(AND(BH$4&gt;EDATE('核心假设'!$B$5,16+$F9),BH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H$4=EDATE(EDATE('核心假设'!$B$5,16+$F9),$D9),SUM('融资租赁与资金缺口'!$D$5:$D$16)*$AC9*'核心假设'!$B$32,0),0),IF(AND(BH$4&gt;EDATE('核心假设'!$B$5,17+$F9),BH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H$4=EDATE(EDATE('核心假设'!$B$5,17+$F9),$D9),SUM('融资租赁与资金缺口'!$D$5:$D$16)*$AD9*'核心假设'!$B$32,0),0))</x:f>
        <x:v>16891016.88164358</x:v>
      </x:c>
      <x:c r="BI31" s="28" t="n">
        <x:f>SUM(IF(AND(BI$4&gt;EDATE('核心假设'!$B$5,0+$F9),BI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I$4=EDATE(EDATE('核心假设'!$B$5,0+$F9),$D9),SUM('融资租赁与资金缺口'!$D$5:$D$16)*$M9*'核心假设'!$B$32,0),0),IF(AND(BI$4&gt;EDATE('核心假设'!$B$5,1+$F9),BI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I$4=EDATE(EDATE('核心假设'!$B$5,1+$F9),$D9),SUM('融资租赁与资金缺口'!$D$5:$D$16)*$N9*'核心假设'!$B$32,0),0),IF(AND(BI$4&gt;EDATE('核心假设'!$B$5,2+$F9),BI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I$4=EDATE(EDATE('核心假设'!$B$5,2+$F9),$D9),SUM('融资租赁与资金缺口'!$D$5:$D$16)*$O9*'核心假设'!$B$32,0),0),IF(AND(BI$4&gt;EDATE('核心假设'!$B$5,3+$F9),BI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I$4=EDATE(EDATE('核心假设'!$B$5,3+$F9),$D9),SUM('融资租赁与资金缺口'!$D$5:$D$16)*$P9*'核心假设'!$B$32,0),0),IF(AND(BI$4&gt;EDATE('核心假设'!$B$5,4+$F9),BI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I$4=EDATE(EDATE('核心假设'!$B$5,4+$F9),$D9),SUM('融资租赁与资金缺口'!$D$5:$D$16)*$Q9*'核心假设'!$B$32,0),0),IF(AND(BI$4&gt;EDATE('核心假设'!$B$5,5+$F9),BI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I$4=EDATE(EDATE('核心假设'!$B$5,5+$F9),$D9),SUM('融资租赁与资金缺口'!$D$5:$D$16)*$R9*'核心假设'!$B$32,0),0),IF(AND(BI$4&gt;EDATE('核心假设'!$B$5,6+$F9),BI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I$4=EDATE(EDATE('核心假设'!$B$5,6+$F9),$D9),SUM('融资租赁与资金缺口'!$D$5:$D$16)*$S9*'核心假设'!$B$32,0),0),IF(AND(BI$4&gt;EDATE('核心假设'!$B$5,7+$F9),BI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I$4=EDATE(EDATE('核心假设'!$B$5,7+$F9),$D9),SUM('融资租赁与资金缺口'!$D$5:$D$16)*$T9*'核心假设'!$B$32,0),0),IF(AND(BI$4&gt;EDATE('核心假设'!$B$5,8+$F9),BI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I$4=EDATE(EDATE('核心假设'!$B$5,8+$F9),$D9),SUM('融资租赁与资金缺口'!$D$5:$D$16)*$U9*'核心假设'!$B$32,0),0),IF(AND(BI$4&gt;EDATE('核心假设'!$B$5,9+$F9),BI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I$4=EDATE(EDATE('核心假设'!$B$5,9+$F9),$D9),SUM('融资租赁与资金缺口'!$D$5:$D$16)*$V9*'核心假设'!$B$32,0),0),IF(AND(BI$4&gt;EDATE('核心假设'!$B$5,10+$F9),BI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I$4=EDATE(EDATE('核心假设'!$B$5,10+$F9),$D9),SUM('融资租赁与资金缺口'!$D$5:$D$16)*$W9*'核心假设'!$B$32,0),0),IF(AND(BI$4&gt;EDATE('核心假设'!$B$5,11+$F9),BI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I$4=EDATE(EDATE('核心假设'!$B$5,11+$F9),$D9),SUM('融资租赁与资金缺口'!$D$5:$D$16)*$X9*'核心假设'!$B$32,0),0),IF(AND(BI$4&gt;EDATE('核心假设'!$B$5,12+$F9),BI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I$4=EDATE(EDATE('核心假设'!$B$5,12+$F9),$D9),SUM('融资租赁与资金缺口'!$D$5:$D$16)*$Y9*'核心假设'!$B$32,0),0),IF(AND(BI$4&gt;EDATE('核心假设'!$B$5,13+$F9),BI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I$4=EDATE(EDATE('核心假设'!$B$5,13+$F9),$D9),SUM('融资租赁与资金缺口'!$D$5:$D$16)*$Z9*'核心假设'!$B$32,0),0),IF(AND(BI$4&gt;EDATE('核心假设'!$B$5,14+$F9),BI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I$4=EDATE(EDATE('核心假设'!$B$5,14+$F9),$D9),SUM('融资租赁与资金缺口'!$D$5:$D$16)*$AA9*'核心假设'!$B$32,0),0),IF(AND(BI$4&gt;EDATE('核心假设'!$B$5,15+$F9),BI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I$4=EDATE(EDATE('核心假设'!$B$5,15+$F9),$D9),SUM('融资租赁与资金缺口'!$D$5:$D$16)*$AB9*'核心假设'!$B$32,0),0),IF(AND(BI$4&gt;EDATE('核心假设'!$B$5,16+$F9),BI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I$4=EDATE(EDATE('核心假设'!$B$5,16+$F9),$D9),SUM('融资租赁与资金缺口'!$D$5:$D$16)*$AC9*'核心假设'!$B$32,0),0),IF(AND(BI$4&gt;EDATE('核心假设'!$B$5,17+$F9),BI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I$4=EDATE(EDATE('核心假设'!$B$5,17+$F9),$D9),SUM('融资租赁与资金缺口'!$D$5:$D$16)*$AD9*'核心假设'!$B$32,0),0))</x:f>
        <x:v>16891016.88164358</x:v>
      </x:c>
      <x:c r="BJ31" s="28" t="n">
        <x:f>SUM(IF(AND(BJ$4&gt;EDATE('核心假设'!$B$5,0+$F9),BJ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J$4=EDATE(EDATE('核心假设'!$B$5,0+$F9),$D9),SUM('融资租赁与资金缺口'!$D$5:$D$16)*$M9*'核心假设'!$B$32,0),0),IF(AND(BJ$4&gt;EDATE('核心假设'!$B$5,1+$F9),BJ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J$4=EDATE(EDATE('核心假设'!$B$5,1+$F9),$D9),SUM('融资租赁与资金缺口'!$D$5:$D$16)*$N9*'核心假设'!$B$32,0),0),IF(AND(BJ$4&gt;EDATE('核心假设'!$B$5,2+$F9),BJ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J$4=EDATE(EDATE('核心假设'!$B$5,2+$F9),$D9),SUM('融资租赁与资金缺口'!$D$5:$D$16)*$O9*'核心假设'!$B$32,0),0),IF(AND(BJ$4&gt;EDATE('核心假设'!$B$5,3+$F9),BJ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J$4=EDATE(EDATE('核心假设'!$B$5,3+$F9),$D9),SUM('融资租赁与资金缺口'!$D$5:$D$16)*$P9*'核心假设'!$B$32,0),0),IF(AND(BJ$4&gt;EDATE('核心假设'!$B$5,4+$F9),BJ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J$4=EDATE(EDATE('核心假设'!$B$5,4+$F9),$D9),SUM('融资租赁与资金缺口'!$D$5:$D$16)*$Q9*'核心假设'!$B$32,0),0),IF(AND(BJ$4&gt;EDATE('核心假设'!$B$5,5+$F9),BJ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J$4=EDATE(EDATE('核心假设'!$B$5,5+$F9),$D9),SUM('融资租赁与资金缺口'!$D$5:$D$16)*$R9*'核心假设'!$B$32,0),0),IF(AND(BJ$4&gt;EDATE('核心假设'!$B$5,6+$F9),BJ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J$4=EDATE(EDATE('核心假设'!$B$5,6+$F9),$D9),SUM('融资租赁与资金缺口'!$D$5:$D$16)*$S9*'核心假设'!$B$32,0),0),IF(AND(BJ$4&gt;EDATE('核心假设'!$B$5,7+$F9),BJ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J$4=EDATE(EDATE('核心假设'!$B$5,7+$F9),$D9),SUM('融资租赁与资金缺口'!$D$5:$D$16)*$T9*'核心假设'!$B$32,0),0),IF(AND(BJ$4&gt;EDATE('核心假设'!$B$5,8+$F9),BJ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J$4=EDATE(EDATE('核心假设'!$B$5,8+$F9),$D9),SUM('融资租赁与资金缺口'!$D$5:$D$16)*$U9*'核心假设'!$B$32,0),0),IF(AND(BJ$4&gt;EDATE('核心假设'!$B$5,9+$F9),BJ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J$4=EDATE(EDATE('核心假设'!$B$5,9+$F9),$D9),SUM('融资租赁与资金缺口'!$D$5:$D$16)*$V9*'核心假设'!$B$32,0),0),IF(AND(BJ$4&gt;EDATE('核心假设'!$B$5,10+$F9),BJ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J$4=EDATE(EDATE('核心假设'!$B$5,10+$F9),$D9),SUM('融资租赁与资金缺口'!$D$5:$D$16)*$W9*'核心假设'!$B$32,0),0),IF(AND(BJ$4&gt;EDATE('核心假设'!$B$5,11+$F9),BJ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J$4=EDATE(EDATE('核心假设'!$B$5,11+$F9),$D9),SUM('融资租赁与资金缺口'!$D$5:$D$16)*$X9*'核心假设'!$B$32,0),0),IF(AND(BJ$4&gt;EDATE('核心假设'!$B$5,12+$F9),BJ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J$4=EDATE(EDATE('核心假设'!$B$5,12+$F9),$D9),SUM('融资租赁与资金缺口'!$D$5:$D$16)*$Y9*'核心假设'!$B$32,0),0),IF(AND(BJ$4&gt;EDATE('核心假设'!$B$5,13+$F9),BJ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J$4=EDATE(EDATE('核心假设'!$B$5,13+$F9),$D9),SUM('融资租赁与资金缺口'!$D$5:$D$16)*$Z9*'核心假设'!$B$32,0),0),IF(AND(BJ$4&gt;EDATE('核心假设'!$B$5,14+$F9),BJ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J$4=EDATE(EDATE('核心假设'!$B$5,14+$F9),$D9),SUM('融资租赁与资金缺口'!$D$5:$D$16)*$AA9*'核心假设'!$B$32,0),0),IF(AND(BJ$4&gt;EDATE('核心假设'!$B$5,15+$F9),BJ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J$4=EDATE(EDATE('核心假设'!$B$5,15+$F9),$D9),SUM('融资租赁与资金缺口'!$D$5:$D$16)*$AB9*'核心假设'!$B$32,0),0),IF(AND(BJ$4&gt;EDATE('核心假设'!$B$5,16+$F9),BJ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J$4=EDATE(EDATE('核心假设'!$B$5,16+$F9),$D9),SUM('融资租赁与资金缺口'!$D$5:$D$16)*$AC9*'核心假设'!$B$32,0),0),IF(AND(BJ$4&gt;EDATE('核心假设'!$B$5,17+$F9),BJ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J$4=EDATE(EDATE('核心假设'!$B$5,17+$F9),$D9),SUM('融资租赁与资金缺口'!$D$5:$D$16)*$AD9*'核心假设'!$B$32,0),0))</x:f>
        <x:v>16891016.88164358</x:v>
      </x:c>
      <x:c r="BK31" s="28" t="n">
        <x:f>SUM(IF(AND(BK$4&gt;EDATE('核心假设'!$B$5,0+$F9),BK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K$4=EDATE(EDATE('核心假设'!$B$5,0+$F9),$D9),SUM('融资租赁与资金缺口'!$D$5:$D$16)*$M9*'核心假设'!$B$32,0),0),IF(AND(BK$4&gt;EDATE('核心假设'!$B$5,1+$F9),BK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K$4=EDATE(EDATE('核心假设'!$B$5,1+$F9),$D9),SUM('融资租赁与资金缺口'!$D$5:$D$16)*$N9*'核心假设'!$B$32,0),0),IF(AND(BK$4&gt;EDATE('核心假设'!$B$5,2+$F9),BK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K$4=EDATE(EDATE('核心假设'!$B$5,2+$F9),$D9),SUM('融资租赁与资金缺口'!$D$5:$D$16)*$O9*'核心假设'!$B$32,0),0),IF(AND(BK$4&gt;EDATE('核心假设'!$B$5,3+$F9),BK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K$4=EDATE(EDATE('核心假设'!$B$5,3+$F9),$D9),SUM('融资租赁与资金缺口'!$D$5:$D$16)*$P9*'核心假设'!$B$32,0),0),IF(AND(BK$4&gt;EDATE('核心假设'!$B$5,4+$F9),BK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K$4=EDATE(EDATE('核心假设'!$B$5,4+$F9),$D9),SUM('融资租赁与资金缺口'!$D$5:$D$16)*$Q9*'核心假设'!$B$32,0),0),IF(AND(BK$4&gt;EDATE('核心假设'!$B$5,5+$F9),BK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K$4=EDATE(EDATE('核心假设'!$B$5,5+$F9),$D9),SUM('融资租赁与资金缺口'!$D$5:$D$16)*$R9*'核心假设'!$B$32,0),0),IF(AND(BK$4&gt;EDATE('核心假设'!$B$5,6+$F9),BK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K$4=EDATE(EDATE('核心假设'!$B$5,6+$F9),$D9),SUM('融资租赁与资金缺口'!$D$5:$D$16)*$S9*'核心假设'!$B$32,0),0),IF(AND(BK$4&gt;EDATE('核心假设'!$B$5,7+$F9),BK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K$4=EDATE(EDATE('核心假设'!$B$5,7+$F9),$D9),SUM('融资租赁与资金缺口'!$D$5:$D$16)*$T9*'核心假设'!$B$32,0),0),IF(AND(BK$4&gt;EDATE('核心假设'!$B$5,8+$F9),BK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K$4=EDATE(EDATE('核心假设'!$B$5,8+$F9),$D9),SUM('融资租赁与资金缺口'!$D$5:$D$16)*$U9*'核心假设'!$B$32,0),0),IF(AND(BK$4&gt;EDATE('核心假设'!$B$5,9+$F9),BK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K$4=EDATE(EDATE('核心假设'!$B$5,9+$F9),$D9),SUM('融资租赁与资金缺口'!$D$5:$D$16)*$V9*'核心假设'!$B$32,0),0),IF(AND(BK$4&gt;EDATE('核心假设'!$B$5,10+$F9),BK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K$4=EDATE(EDATE('核心假设'!$B$5,10+$F9),$D9),SUM('融资租赁与资金缺口'!$D$5:$D$16)*$W9*'核心假设'!$B$32,0),0),IF(AND(BK$4&gt;EDATE('核心假设'!$B$5,11+$F9),BK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K$4=EDATE(EDATE('核心假设'!$B$5,11+$F9),$D9),SUM('融资租赁与资金缺口'!$D$5:$D$16)*$X9*'核心假设'!$B$32,0),0),IF(AND(BK$4&gt;EDATE('核心假设'!$B$5,12+$F9),BK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K$4=EDATE(EDATE('核心假设'!$B$5,12+$F9),$D9),SUM('融资租赁与资金缺口'!$D$5:$D$16)*$Y9*'核心假设'!$B$32,0),0),IF(AND(BK$4&gt;EDATE('核心假设'!$B$5,13+$F9),BK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K$4=EDATE(EDATE('核心假设'!$B$5,13+$F9),$D9),SUM('融资租赁与资金缺口'!$D$5:$D$16)*$Z9*'核心假设'!$B$32,0),0),IF(AND(BK$4&gt;EDATE('核心假设'!$B$5,14+$F9),BK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K$4=EDATE(EDATE('核心假设'!$B$5,14+$F9),$D9),SUM('融资租赁与资金缺口'!$D$5:$D$16)*$AA9*'核心假设'!$B$32,0),0),IF(AND(BK$4&gt;EDATE('核心假设'!$B$5,15+$F9),BK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K$4=EDATE(EDATE('核心假设'!$B$5,15+$F9),$D9),SUM('融资租赁与资金缺口'!$D$5:$D$16)*$AB9*'核心假设'!$B$32,0),0),IF(AND(BK$4&gt;EDATE('核心假设'!$B$5,16+$F9),BK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K$4=EDATE(EDATE('核心假设'!$B$5,16+$F9),$D9),SUM('融资租赁与资金缺口'!$D$5:$D$16)*$AC9*'核心假设'!$B$32,0),0),IF(AND(BK$4&gt;EDATE('核心假设'!$B$5,17+$F9),BK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K$4=EDATE(EDATE('核心假设'!$B$5,17+$F9),$D9),SUM('融资租赁与资金缺口'!$D$5:$D$16)*$AD9*'核心假设'!$B$32,0),0))</x:f>
        <x:v>16891016.88164358</x:v>
      </x:c>
      <x:c r="BL31" s="28" t="n">
        <x:f>SUM(IF(AND(BL$4&gt;EDATE('核心假设'!$B$5,0+$F9),BL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L$4=EDATE(EDATE('核心假设'!$B$5,0+$F9),$D9),SUM('融资租赁与资金缺口'!$D$5:$D$16)*$M9*'核心假设'!$B$32,0),0),IF(AND(BL$4&gt;EDATE('核心假设'!$B$5,1+$F9),BL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L$4=EDATE(EDATE('核心假设'!$B$5,1+$F9),$D9),SUM('融资租赁与资金缺口'!$D$5:$D$16)*$N9*'核心假设'!$B$32,0),0),IF(AND(BL$4&gt;EDATE('核心假设'!$B$5,2+$F9),BL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L$4=EDATE(EDATE('核心假设'!$B$5,2+$F9),$D9),SUM('融资租赁与资金缺口'!$D$5:$D$16)*$O9*'核心假设'!$B$32,0),0),IF(AND(BL$4&gt;EDATE('核心假设'!$B$5,3+$F9),BL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L$4=EDATE(EDATE('核心假设'!$B$5,3+$F9),$D9),SUM('融资租赁与资金缺口'!$D$5:$D$16)*$P9*'核心假设'!$B$32,0),0),IF(AND(BL$4&gt;EDATE('核心假设'!$B$5,4+$F9),BL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L$4=EDATE(EDATE('核心假设'!$B$5,4+$F9),$D9),SUM('融资租赁与资金缺口'!$D$5:$D$16)*$Q9*'核心假设'!$B$32,0),0),IF(AND(BL$4&gt;EDATE('核心假设'!$B$5,5+$F9),BL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L$4=EDATE(EDATE('核心假设'!$B$5,5+$F9),$D9),SUM('融资租赁与资金缺口'!$D$5:$D$16)*$R9*'核心假设'!$B$32,0),0),IF(AND(BL$4&gt;EDATE('核心假设'!$B$5,6+$F9),BL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L$4=EDATE(EDATE('核心假设'!$B$5,6+$F9),$D9),SUM('融资租赁与资金缺口'!$D$5:$D$16)*$S9*'核心假设'!$B$32,0),0),IF(AND(BL$4&gt;EDATE('核心假设'!$B$5,7+$F9),BL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L$4=EDATE(EDATE('核心假设'!$B$5,7+$F9),$D9),SUM('融资租赁与资金缺口'!$D$5:$D$16)*$T9*'核心假设'!$B$32,0),0),IF(AND(BL$4&gt;EDATE('核心假设'!$B$5,8+$F9),BL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L$4=EDATE(EDATE('核心假设'!$B$5,8+$F9),$D9),SUM('融资租赁与资金缺口'!$D$5:$D$16)*$U9*'核心假设'!$B$32,0),0),IF(AND(BL$4&gt;EDATE('核心假设'!$B$5,9+$F9),BL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L$4=EDATE(EDATE('核心假设'!$B$5,9+$F9),$D9),SUM('融资租赁与资金缺口'!$D$5:$D$16)*$V9*'核心假设'!$B$32,0),0),IF(AND(BL$4&gt;EDATE('核心假设'!$B$5,10+$F9),BL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L$4=EDATE(EDATE('核心假设'!$B$5,10+$F9),$D9),SUM('融资租赁与资金缺口'!$D$5:$D$16)*$W9*'核心假设'!$B$32,0),0),IF(AND(BL$4&gt;EDATE('核心假设'!$B$5,11+$F9),BL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L$4=EDATE(EDATE('核心假设'!$B$5,11+$F9),$D9),SUM('融资租赁与资金缺口'!$D$5:$D$16)*$X9*'核心假设'!$B$32,0),0),IF(AND(BL$4&gt;EDATE('核心假设'!$B$5,12+$F9),BL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L$4=EDATE(EDATE('核心假设'!$B$5,12+$F9),$D9),SUM('融资租赁与资金缺口'!$D$5:$D$16)*$Y9*'核心假设'!$B$32,0),0),IF(AND(BL$4&gt;EDATE('核心假设'!$B$5,13+$F9),BL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L$4=EDATE(EDATE('核心假设'!$B$5,13+$F9),$D9),SUM('融资租赁与资金缺口'!$D$5:$D$16)*$Z9*'核心假设'!$B$32,0),0),IF(AND(BL$4&gt;EDATE('核心假设'!$B$5,14+$F9),BL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L$4=EDATE(EDATE('核心假设'!$B$5,14+$F9),$D9),SUM('融资租赁与资金缺口'!$D$5:$D$16)*$AA9*'核心假设'!$B$32,0),0),IF(AND(BL$4&gt;EDATE('核心假设'!$B$5,15+$F9),BL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L$4=EDATE(EDATE('核心假设'!$B$5,15+$F9),$D9),SUM('融资租赁与资金缺口'!$D$5:$D$16)*$AB9*'核心假设'!$B$32,0),0),IF(AND(BL$4&gt;EDATE('核心假设'!$B$5,16+$F9),BL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L$4=EDATE(EDATE('核心假设'!$B$5,16+$F9),$D9),SUM('融资租赁与资金缺口'!$D$5:$D$16)*$AC9*'核心假设'!$B$32,0),0),IF(AND(BL$4&gt;EDATE('核心假设'!$B$5,17+$F9),BL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L$4=EDATE(EDATE('核心假设'!$B$5,17+$F9),$D9),SUM('融资租赁与资金缺口'!$D$5:$D$16)*$AD9*'核心假设'!$B$32,0),0))</x:f>
        <x:v>16891016.88164358</x:v>
      </x:c>
      <x:c r="BM31" s="28" t="n">
        <x:f>SUM(IF(AND(BM$4&gt;EDATE('核心假设'!$B$5,0+$F9),BM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M$4=EDATE(EDATE('核心假设'!$B$5,0+$F9),$D9),SUM('融资租赁与资金缺口'!$D$5:$D$16)*$M9*'核心假设'!$B$32,0),0),IF(AND(BM$4&gt;EDATE('核心假设'!$B$5,1+$F9),BM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M$4=EDATE(EDATE('核心假设'!$B$5,1+$F9),$D9),SUM('融资租赁与资金缺口'!$D$5:$D$16)*$N9*'核心假设'!$B$32,0),0),IF(AND(BM$4&gt;EDATE('核心假设'!$B$5,2+$F9),BM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M$4=EDATE(EDATE('核心假设'!$B$5,2+$F9),$D9),SUM('融资租赁与资金缺口'!$D$5:$D$16)*$O9*'核心假设'!$B$32,0),0),IF(AND(BM$4&gt;EDATE('核心假设'!$B$5,3+$F9),BM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M$4=EDATE(EDATE('核心假设'!$B$5,3+$F9),$D9),SUM('融资租赁与资金缺口'!$D$5:$D$16)*$P9*'核心假设'!$B$32,0),0),IF(AND(BM$4&gt;EDATE('核心假设'!$B$5,4+$F9),BM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M$4=EDATE(EDATE('核心假设'!$B$5,4+$F9),$D9),SUM('融资租赁与资金缺口'!$D$5:$D$16)*$Q9*'核心假设'!$B$32,0),0),IF(AND(BM$4&gt;EDATE('核心假设'!$B$5,5+$F9),BM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M$4=EDATE(EDATE('核心假设'!$B$5,5+$F9),$D9),SUM('融资租赁与资金缺口'!$D$5:$D$16)*$R9*'核心假设'!$B$32,0),0),IF(AND(BM$4&gt;EDATE('核心假设'!$B$5,6+$F9),BM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M$4=EDATE(EDATE('核心假设'!$B$5,6+$F9),$D9),SUM('融资租赁与资金缺口'!$D$5:$D$16)*$S9*'核心假设'!$B$32,0),0),IF(AND(BM$4&gt;EDATE('核心假设'!$B$5,7+$F9),BM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M$4=EDATE(EDATE('核心假设'!$B$5,7+$F9),$D9),SUM('融资租赁与资金缺口'!$D$5:$D$16)*$T9*'核心假设'!$B$32,0),0),IF(AND(BM$4&gt;EDATE('核心假设'!$B$5,8+$F9),BM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M$4=EDATE(EDATE('核心假设'!$B$5,8+$F9),$D9),SUM('融资租赁与资金缺口'!$D$5:$D$16)*$U9*'核心假设'!$B$32,0),0),IF(AND(BM$4&gt;EDATE('核心假设'!$B$5,9+$F9),BM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M$4=EDATE(EDATE('核心假设'!$B$5,9+$F9),$D9),SUM('融资租赁与资金缺口'!$D$5:$D$16)*$V9*'核心假设'!$B$32,0),0),IF(AND(BM$4&gt;EDATE('核心假设'!$B$5,10+$F9),BM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M$4=EDATE(EDATE('核心假设'!$B$5,10+$F9),$D9),SUM('融资租赁与资金缺口'!$D$5:$D$16)*$W9*'核心假设'!$B$32,0),0),IF(AND(BM$4&gt;EDATE('核心假设'!$B$5,11+$F9),BM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M$4=EDATE(EDATE('核心假设'!$B$5,11+$F9),$D9),SUM('融资租赁与资金缺口'!$D$5:$D$16)*$X9*'核心假设'!$B$32,0),0),IF(AND(BM$4&gt;EDATE('核心假设'!$B$5,12+$F9),BM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M$4=EDATE(EDATE('核心假设'!$B$5,12+$F9),$D9),SUM('融资租赁与资金缺口'!$D$5:$D$16)*$Y9*'核心假设'!$B$32,0),0),IF(AND(BM$4&gt;EDATE('核心假设'!$B$5,13+$F9),BM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M$4=EDATE(EDATE('核心假设'!$B$5,13+$F9),$D9),SUM('融资租赁与资金缺口'!$D$5:$D$16)*$Z9*'核心假设'!$B$32,0),0),IF(AND(BM$4&gt;EDATE('核心假设'!$B$5,14+$F9),BM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M$4=EDATE(EDATE('核心假设'!$B$5,14+$F9),$D9),SUM('融资租赁与资金缺口'!$D$5:$D$16)*$AA9*'核心假设'!$B$32,0),0),IF(AND(BM$4&gt;EDATE('核心假设'!$B$5,15+$F9),BM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M$4=EDATE(EDATE('核心假设'!$B$5,15+$F9),$D9),SUM('融资租赁与资金缺口'!$D$5:$D$16)*$AB9*'核心假设'!$B$32,0),0),IF(AND(BM$4&gt;EDATE('核心假设'!$B$5,16+$F9),BM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M$4=EDATE(EDATE('核心假设'!$B$5,16+$F9),$D9),SUM('融资租赁与资金缺口'!$D$5:$D$16)*$AC9*'核心假设'!$B$32,0),0),IF(AND(BM$4&gt;EDATE('核心假设'!$B$5,17+$F9),BM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M$4=EDATE(EDATE('核心假设'!$B$5,17+$F9),$D9),SUM('融资租赁与资金缺口'!$D$5:$D$16)*$AD9*'核心假设'!$B$32,0),0))</x:f>
        <x:v>16891016.88164358</x:v>
      </x:c>
      <x:c r="BN31" s="28" t="n">
        <x:f>SUM(IF(AND(BN$4&gt;EDATE('核心假设'!$B$5,0+$F9),BN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N$4=EDATE(EDATE('核心假设'!$B$5,0+$F9),$D9),SUM('融资租赁与资金缺口'!$D$5:$D$16)*$M9*'核心假设'!$B$32,0),0),IF(AND(BN$4&gt;EDATE('核心假设'!$B$5,1+$F9),BN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N$4=EDATE(EDATE('核心假设'!$B$5,1+$F9),$D9),SUM('融资租赁与资金缺口'!$D$5:$D$16)*$N9*'核心假设'!$B$32,0),0),IF(AND(BN$4&gt;EDATE('核心假设'!$B$5,2+$F9),BN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N$4=EDATE(EDATE('核心假设'!$B$5,2+$F9),$D9),SUM('融资租赁与资金缺口'!$D$5:$D$16)*$O9*'核心假设'!$B$32,0),0),IF(AND(BN$4&gt;EDATE('核心假设'!$B$5,3+$F9),BN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N$4=EDATE(EDATE('核心假设'!$B$5,3+$F9),$D9),SUM('融资租赁与资金缺口'!$D$5:$D$16)*$P9*'核心假设'!$B$32,0),0),IF(AND(BN$4&gt;EDATE('核心假设'!$B$5,4+$F9),BN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N$4=EDATE(EDATE('核心假设'!$B$5,4+$F9),$D9),SUM('融资租赁与资金缺口'!$D$5:$D$16)*$Q9*'核心假设'!$B$32,0),0),IF(AND(BN$4&gt;EDATE('核心假设'!$B$5,5+$F9),BN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N$4=EDATE(EDATE('核心假设'!$B$5,5+$F9),$D9),SUM('融资租赁与资金缺口'!$D$5:$D$16)*$R9*'核心假设'!$B$32,0),0),IF(AND(BN$4&gt;EDATE('核心假设'!$B$5,6+$F9),BN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N$4=EDATE(EDATE('核心假设'!$B$5,6+$F9),$D9),SUM('融资租赁与资金缺口'!$D$5:$D$16)*$S9*'核心假设'!$B$32,0),0),IF(AND(BN$4&gt;EDATE('核心假设'!$B$5,7+$F9),BN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N$4=EDATE(EDATE('核心假设'!$B$5,7+$F9),$D9),SUM('融资租赁与资金缺口'!$D$5:$D$16)*$T9*'核心假设'!$B$32,0),0),IF(AND(BN$4&gt;EDATE('核心假设'!$B$5,8+$F9),BN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N$4=EDATE(EDATE('核心假设'!$B$5,8+$F9),$D9),SUM('融资租赁与资金缺口'!$D$5:$D$16)*$U9*'核心假设'!$B$32,0),0),IF(AND(BN$4&gt;EDATE('核心假设'!$B$5,9+$F9),BN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N$4=EDATE(EDATE('核心假设'!$B$5,9+$F9),$D9),SUM('融资租赁与资金缺口'!$D$5:$D$16)*$V9*'核心假设'!$B$32,0),0),IF(AND(BN$4&gt;EDATE('核心假设'!$B$5,10+$F9),BN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N$4=EDATE(EDATE('核心假设'!$B$5,10+$F9),$D9),SUM('融资租赁与资金缺口'!$D$5:$D$16)*$W9*'核心假设'!$B$32,0),0),IF(AND(BN$4&gt;EDATE('核心假设'!$B$5,11+$F9),BN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N$4=EDATE(EDATE('核心假设'!$B$5,11+$F9),$D9),SUM('融资租赁与资金缺口'!$D$5:$D$16)*$X9*'核心假设'!$B$32,0),0),IF(AND(BN$4&gt;EDATE('核心假设'!$B$5,12+$F9),BN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N$4=EDATE(EDATE('核心假设'!$B$5,12+$F9),$D9),SUM('融资租赁与资金缺口'!$D$5:$D$16)*$Y9*'核心假设'!$B$32,0),0),IF(AND(BN$4&gt;EDATE('核心假设'!$B$5,13+$F9),BN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N$4=EDATE(EDATE('核心假设'!$B$5,13+$F9),$D9),SUM('融资租赁与资金缺口'!$D$5:$D$16)*$Z9*'核心假设'!$B$32,0),0),IF(AND(BN$4&gt;EDATE('核心假设'!$B$5,14+$F9),BN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N$4=EDATE(EDATE('核心假设'!$B$5,14+$F9),$D9),SUM('融资租赁与资金缺口'!$D$5:$D$16)*$AA9*'核心假设'!$B$32,0),0),IF(AND(BN$4&gt;EDATE('核心假设'!$B$5,15+$F9),BN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N$4=EDATE(EDATE('核心假设'!$B$5,15+$F9),$D9),SUM('融资租赁与资金缺口'!$D$5:$D$16)*$AB9*'核心假设'!$B$32,0),0),IF(AND(BN$4&gt;EDATE('核心假设'!$B$5,16+$F9),BN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N$4=EDATE(EDATE('核心假设'!$B$5,16+$F9),$D9),SUM('融资租赁与资金缺口'!$D$5:$D$16)*$AC9*'核心假设'!$B$32,0),0),IF(AND(BN$4&gt;EDATE('核心假设'!$B$5,17+$F9),BN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N$4=EDATE(EDATE('核心假设'!$B$5,17+$F9),$D9),SUM('融资租赁与资金缺口'!$D$5:$D$16)*$AD9*'核心假设'!$B$32,0),0))</x:f>
        <x:v>16891016.88164358</x:v>
      </x:c>
      <x:c r="BO31" s="28" t="n">
        <x:f>SUM(IF(AND(BO$4&gt;EDATE('核心假设'!$B$5,0+$F9),BO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O$4=EDATE(EDATE('核心假设'!$B$5,0+$F9),$D9),SUM('融资租赁与资金缺口'!$D$5:$D$16)*$M9*'核心假设'!$B$32,0),0),IF(AND(BO$4&gt;EDATE('核心假设'!$B$5,1+$F9),BO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O$4=EDATE(EDATE('核心假设'!$B$5,1+$F9),$D9),SUM('融资租赁与资金缺口'!$D$5:$D$16)*$N9*'核心假设'!$B$32,0),0),IF(AND(BO$4&gt;EDATE('核心假设'!$B$5,2+$F9),BO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O$4=EDATE(EDATE('核心假设'!$B$5,2+$F9),$D9),SUM('融资租赁与资金缺口'!$D$5:$D$16)*$O9*'核心假设'!$B$32,0),0),IF(AND(BO$4&gt;EDATE('核心假设'!$B$5,3+$F9),BO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O$4=EDATE(EDATE('核心假设'!$B$5,3+$F9),$D9),SUM('融资租赁与资金缺口'!$D$5:$D$16)*$P9*'核心假设'!$B$32,0),0),IF(AND(BO$4&gt;EDATE('核心假设'!$B$5,4+$F9),BO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O$4=EDATE(EDATE('核心假设'!$B$5,4+$F9),$D9),SUM('融资租赁与资金缺口'!$D$5:$D$16)*$Q9*'核心假设'!$B$32,0),0),IF(AND(BO$4&gt;EDATE('核心假设'!$B$5,5+$F9),BO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O$4=EDATE(EDATE('核心假设'!$B$5,5+$F9),$D9),SUM('融资租赁与资金缺口'!$D$5:$D$16)*$R9*'核心假设'!$B$32,0),0),IF(AND(BO$4&gt;EDATE('核心假设'!$B$5,6+$F9),BO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O$4=EDATE(EDATE('核心假设'!$B$5,6+$F9),$D9),SUM('融资租赁与资金缺口'!$D$5:$D$16)*$S9*'核心假设'!$B$32,0),0),IF(AND(BO$4&gt;EDATE('核心假设'!$B$5,7+$F9),BO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O$4=EDATE(EDATE('核心假设'!$B$5,7+$F9),$D9),SUM('融资租赁与资金缺口'!$D$5:$D$16)*$T9*'核心假设'!$B$32,0),0),IF(AND(BO$4&gt;EDATE('核心假设'!$B$5,8+$F9),BO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O$4=EDATE(EDATE('核心假设'!$B$5,8+$F9),$D9),SUM('融资租赁与资金缺口'!$D$5:$D$16)*$U9*'核心假设'!$B$32,0),0),IF(AND(BO$4&gt;EDATE('核心假设'!$B$5,9+$F9),BO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O$4=EDATE(EDATE('核心假设'!$B$5,9+$F9),$D9),SUM('融资租赁与资金缺口'!$D$5:$D$16)*$V9*'核心假设'!$B$32,0),0),IF(AND(BO$4&gt;EDATE('核心假设'!$B$5,10+$F9),BO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O$4=EDATE(EDATE('核心假设'!$B$5,10+$F9),$D9),SUM('融资租赁与资金缺口'!$D$5:$D$16)*$W9*'核心假设'!$B$32,0),0),IF(AND(BO$4&gt;EDATE('核心假设'!$B$5,11+$F9),BO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O$4=EDATE(EDATE('核心假设'!$B$5,11+$F9),$D9),SUM('融资租赁与资金缺口'!$D$5:$D$16)*$X9*'核心假设'!$B$32,0),0),IF(AND(BO$4&gt;EDATE('核心假设'!$B$5,12+$F9),BO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O$4=EDATE(EDATE('核心假设'!$B$5,12+$F9),$D9),SUM('融资租赁与资金缺口'!$D$5:$D$16)*$Y9*'核心假设'!$B$32,0),0),IF(AND(BO$4&gt;EDATE('核心假设'!$B$5,13+$F9),BO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O$4=EDATE(EDATE('核心假设'!$B$5,13+$F9),$D9),SUM('融资租赁与资金缺口'!$D$5:$D$16)*$Z9*'核心假设'!$B$32,0),0),IF(AND(BO$4&gt;EDATE('核心假设'!$B$5,14+$F9),BO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O$4=EDATE(EDATE('核心假设'!$B$5,14+$F9),$D9),SUM('融资租赁与资金缺口'!$D$5:$D$16)*$AA9*'核心假设'!$B$32,0),0),IF(AND(BO$4&gt;EDATE('核心假设'!$B$5,15+$F9),BO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O$4=EDATE(EDATE('核心假设'!$B$5,15+$F9),$D9),SUM('融资租赁与资金缺口'!$D$5:$D$16)*$AB9*'核心假设'!$B$32,0),0),IF(AND(BO$4&gt;EDATE('核心假设'!$B$5,16+$F9),BO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O$4=EDATE(EDATE('核心假设'!$B$5,16+$F9),$D9),SUM('融资租赁与资金缺口'!$D$5:$D$16)*$AC9*'核心假设'!$B$32,0),0),IF(AND(BO$4&gt;EDATE('核心假设'!$B$5,17+$F9),BO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O$4=EDATE(EDATE('核心假设'!$B$5,17+$F9),$D9),SUM('融资租赁与资金缺口'!$D$5:$D$16)*$AD9*'核心假设'!$B$32,0),0))</x:f>
        <x:v>16891016.88164358</x:v>
      </x:c>
      <x:c r="BP31" s="28" t="n">
        <x:f>SUM(IF(AND(BP$4&gt;EDATE('核心假设'!$B$5,0+$F9),BP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P$4=EDATE(EDATE('核心假设'!$B$5,0+$F9),$D9),SUM('融资租赁与资金缺口'!$D$5:$D$16)*$M9*'核心假设'!$B$32,0),0),IF(AND(BP$4&gt;EDATE('核心假设'!$B$5,1+$F9),BP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P$4=EDATE(EDATE('核心假设'!$B$5,1+$F9),$D9),SUM('融资租赁与资金缺口'!$D$5:$D$16)*$N9*'核心假设'!$B$32,0),0),IF(AND(BP$4&gt;EDATE('核心假设'!$B$5,2+$F9),BP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P$4=EDATE(EDATE('核心假设'!$B$5,2+$F9),$D9),SUM('融资租赁与资金缺口'!$D$5:$D$16)*$O9*'核心假设'!$B$32,0),0),IF(AND(BP$4&gt;EDATE('核心假设'!$B$5,3+$F9),BP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P$4=EDATE(EDATE('核心假设'!$B$5,3+$F9),$D9),SUM('融资租赁与资金缺口'!$D$5:$D$16)*$P9*'核心假设'!$B$32,0),0),IF(AND(BP$4&gt;EDATE('核心假设'!$B$5,4+$F9),BP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P$4=EDATE(EDATE('核心假设'!$B$5,4+$F9),$D9),SUM('融资租赁与资金缺口'!$D$5:$D$16)*$Q9*'核心假设'!$B$32,0),0),IF(AND(BP$4&gt;EDATE('核心假设'!$B$5,5+$F9),BP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P$4=EDATE(EDATE('核心假设'!$B$5,5+$F9),$D9),SUM('融资租赁与资金缺口'!$D$5:$D$16)*$R9*'核心假设'!$B$32,0),0),IF(AND(BP$4&gt;EDATE('核心假设'!$B$5,6+$F9),BP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P$4=EDATE(EDATE('核心假设'!$B$5,6+$F9),$D9),SUM('融资租赁与资金缺口'!$D$5:$D$16)*$S9*'核心假设'!$B$32,0),0),IF(AND(BP$4&gt;EDATE('核心假设'!$B$5,7+$F9),BP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P$4=EDATE(EDATE('核心假设'!$B$5,7+$F9),$D9),SUM('融资租赁与资金缺口'!$D$5:$D$16)*$T9*'核心假设'!$B$32,0),0),IF(AND(BP$4&gt;EDATE('核心假设'!$B$5,8+$F9),BP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P$4=EDATE(EDATE('核心假设'!$B$5,8+$F9),$D9),SUM('融资租赁与资金缺口'!$D$5:$D$16)*$U9*'核心假设'!$B$32,0),0),IF(AND(BP$4&gt;EDATE('核心假设'!$B$5,9+$F9),BP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P$4=EDATE(EDATE('核心假设'!$B$5,9+$F9),$D9),SUM('融资租赁与资金缺口'!$D$5:$D$16)*$V9*'核心假设'!$B$32,0),0),IF(AND(BP$4&gt;EDATE('核心假设'!$B$5,10+$F9),BP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P$4=EDATE(EDATE('核心假设'!$B$5,10+$F9),$D9),SUM('融资租赁与资金缺口'!$D$5:$D$16)*$W9*'核心假设'!$B$32,0),0),IF(AND(BP$4&gt;EDATE('核心假设'!$B$5,11+$F9),BP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P$4=EDATE(EDATE('核心假设'!$B$5,11+$F9),$D9),SUM('融资租赁与资金缺口'!$D$5:$D$16)*$X9*'核心假设'!$B$32,0),0),IF(AND(BP$4&gt;EDATE('核心假设'!$B$5,12+$F9),BP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P$4=EDATE(EDATE('核心假设'!$B$5,12+$F9),$D9),SUM('融资租赁与资金缺口'!$D$5:$D$16)*$Y9*'核心假设'!$B$32,0),0),IF(AND(BP$4&gt;EDATE('核心假设'!$B$5,13+$F9),BP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P$4=EDATE(EDATE('核心假设'!$B$5,13+$F9),$D9),SUM('融资租赁与资金缺口'!$D$5:$D$16)*$Z9*'核心假设'!$B$32,0),0),IF(AND(BP$4&gt;EDATE('核心假设'!$B$5,14+$F9),BP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P$4=EDATE(EDATE('核心假设'!$B$5,14+$F9),$D9),SUM('融资租赁与资金缺口'!$D$5:$D$16)*$AA9*'核心假设'!$B$32,0),0),IF(AND(BP$4&gt;EDATE('核心假设'!$B$5,15+$F9),BP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P$4=EDATE(EDATE('核心假设'!$B$5,15+$F9),$D9),SUM('融资租赁与资金缺口'!$D$5:$D$16)*$AB9*'核心假设'!$B$32,0),0),IF(AND(BP$4&gt;EDATE('核心假设'!$B$5,16+$F9),BP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P$4=EDATE(EDATE('核心假设'!$B$5,16+$F9),$D9),SUM('融资租赁与资金缺口'!$D$5:$D$16)*$AC9*'核心假设'!$B$32,0),0),IF(AND(BP$4&gt;EDATE('核心假设'!$B$5,17+$F9),BP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P$4=EDATE(EDATE('核心假设'!$B$5,17+$F9),$D9),SUM('融资租赁与资金缺口'!$D$5:$D$16)*$AD9*'核心假设'!$B$32,0),0))</x:f>
        <x:v>16891016.88164358</x:v>
      </x:c>
      <x:c r="BQ31" s="28" t="n">
        <x:f>SUM(IF(AND(BQ$4&gt;EDATE('核心假设'!$B$5,0+$F9),BQ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Q$4=EDATE(EDATE('核心假设'!$B$5,0+$F9),$D9),SUM('融资租赁与资金缺口'!$D$5:$D$16)*$M9*'核心假设'!$B$32,0),0),IF(AND(BQ$4&gt;EDATE('核心假设'!$B$5,1+$F9),BQ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Q$4=EDATE(EDATE('核心假设'!$B$5,1+$F9),$D9),SUM('融资租赁与资金缺口'!$D$5:$D$16)*$N9*'核心假设'!$B$32,0),0),IF(AND(BQ$4&gt;EDATE('核心假设'!$B$5,2+$F9),BQ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Q$4=EDATE(EDATE('核心假设'!$B$5,2+$F9),$D9),SUM('融资租赁与资金缺口'!$D$5:$D$16)*$O9*'核心假设'!$B$32,0),0),IF(AND(BQ$4&gt;EDATE('核心假设'!$B$5,3+$F9),BQ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Q$4=EDATE(EDATE('核心假设'!$B$5,3+$F9),$D9),SUM('融资租赁与资金缺口'!$D$5:$D$16)*$P9*'核心假设'!$B$32,0),0),IF(AND(BQ$4&gt;EDATE('核心假设'!$B$5,4+$F9),BQ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Q$4=EDATE(EDATE('核心假设'!$B$5,4+$F9),$D9),SUM('融资租赁与资金缺口'!$D$5:$D$16)*$Q9*'核心假设'!$B$32,0),0),IF(AND(BQ$4&gt;EDATE('核心假设'!$B$5,5+$F9),BQ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Q$4=EDATE(EDATE('核心假设'!$B$5,5+$F9),$D9),SUM('融资租赁与资金缺口'!$D$5:$D$16)*$R9*'核心假设'!$B$32,0),0),IF(AND(BQ$4&gt;EDATE('核心假设'!$B$5,6+$F9),BQ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Q$4=EDATE(EDATE('核心假设'!$B$5,6+$F9),$D9),SUM('融资租赁与资金缺口'!$D$5:$D$16)*$S9*'核心假设'!$B$32,0),0),IF(AND(BQ$4&gt;EDATE('核心假设'!$B$5,7+$F9),BQ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Q$4=EDATE(EDATE('核心假设'!$B$5,7+$F9),$D9),SUM('融资租赁与资金缺口'!$D$5:$D$16)*$T9*'核心假设'!$B$32,0),0),IF(AND(BQ$4&gt;EDATE('核心假设'!$B$5,8+$F9),BQ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Q$4=EDATE(EDATE('核心假设'!$B$5,8+$F9),$D9),SUM('融资租赁与资金缺口'!$D$5:$D$16)*$U9*'核心假设'!$B$32,0),0),IF(AND(BQ$4&gt;EDATE('核心假设'!$B$5,9+$F9),BQ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Q$4=EDATE(EDATE('核心假设'!$B$5,9+$F9),$D9),SUM('融资租赁与资金缺口'!$D$5:$D$16)*$V9*'核心假设'!$B$32,0),0),IF(AND(BQ$4&gt;EDATE('核心假设'!$B$5,10+$F9),BQ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Q$4=EDATE(EDATE('核心假设'!$B$5,10+$F9),$D9),SUM('融资租赁与资金缺口'!$D$5:$D$16)*$W9*'核心假设'!$B$32,0),0),IF(AND(BQ$4&gt;EDATE('核心假设'!$B$5,11+$F9),BQ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Q$4=EDATE(EDATE('核心假设'!$B$5,11+$F9),$D9),SUM('融资租赁与资金缺口'!$D$5:$D$16)*$X9*'核心假设'!$B$32,0),0),IF(AND(BQ$4&gt;EDATE('核心假设'!$B$5,12+$F9),BQ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Q$4=EDATE(EDATE('核心假设'!$B$5,12+$F9),$D9),SUM('融资租赁与资金缺口'!$D$5:$D$16)*$Y9*'核心假设'!$B$32,0),0),IF(AND(BQ$4&gt;EDATE('核心假设'!$B$5,13+$F9),BQ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Q$4=EDATE(EDATE('核心假设'!$B$5,13+$F9),$D9),SUM('融资租赁与资金缺口'!$D$5:$D$16)*$Z9*'核心假设'!$B$32,0),0),IF(AND(BQ$4&gt;EDATE('核心假设'!$B$5,14+$F9),BQ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Q$4=EDATE(EDATE('核心假设'!$B$5,14+$F9),$D9),SUM('融资租赁与资金缺口'!$D$5:$D$16)*$AA9*'核心假设'!$B$32,0),0),IF(AND(BQ$4&gt;EDATE('核心假设'!$B$5,15+$F9),BQ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Q$4=EDATE(EDATE('核心假设'!$B$5,15+$F9),$D9),SUM('融资租赁与资金缺口'!$D$5:$D$16)*$AB9*'核心假设'!$B$32,0),0),IF(AND(BQ$4&gt;EDATE('核心假设'!$B$5,16+$F9),BQ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Q$4=EDATE(EDATE('核心假设'!$B$5,16+$F9),$D9),SUM('融资租赁与资金缺口'!$D$5:$D$16)*$AC9*'核心假设'!$B$32,0),0),IF(AND(BQ$4&gt;EDATE('核心假设'!$B$5,17+$F9),BQ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Q$4=EDATE(EDATE('核心假设'!$B$5,17+$F9),$D9),SUM('融资租赁与资金缺口'!$D$5:$D$16)*$AD9*'核心假设'!$B$32,0),0))</x:f>
        <x:v>17054006.88164358</x:v>
      </x:c>
      <x:c r="BR31" s="28" t="n">
        <x:f>SUM(IF(AND(BR$4&gt;EDATE('核心假设'!$B$5,0+$F9),BR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R$4=EDATE(EDATE('核心假设'!$B$5,0+$F9),$D9),SUM('融资租赁与资金缺口'!$D$5:$D$16)*$M9*'核心假设'!$B$32,0),0),IF(AND(BR$4&gt;EDATE('核心假设'!$B$5,1+$F9),BR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R$4=EDATE(EDATE('核心假设'!$B$5,1+$F9),$D9),SUM('融资租赁与资金缺口'!$D$5:$D$16)*$N9*'核心假设'!$B$32,0),0),IF(AND(BR$4&gt;EDATE('核心假设'!$B$5,2+$F9),BR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R$4=EDATE(EDATE('核心假设'!$B$5,2+$F9),$D9),SUM('融资租赁与资金缺口'!$D$5:$D$16)*$O9*'核心假设'!$B$32,0),0),IF(AND(BR$4&gt;EDATE('核心假设'!$B$5,3+$F9),BR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R$4=EDATE(EDATE('核心假设'!$B$5,3+$F9),$D9),SUM('融资租赁与资金缺口'!$D$5:$D$16)*$P9*'核心假设'!$B$32,0),0),IF(AND(BR$4&gt;EDATE('核心假设'!$B$5,4+$F9),BR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R$4=EDATE(EDATE('核心假设'!$B$5,4+$F9),$D9),SUM('融资租赁与资金缺口'!$D$5:$D$16)*$Q9*'核心假设'!$B$32,0),0),IF(AND(BR$4&gt;EDATE('核心假设'!$B$5,5+$F9),BR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R$4=EDATE(EDATE('核心假设'!$B$5,5+$F9),$D9),SUM('融资租赁与资金缺口'!$D$5:$D$16)*$R9*'核心假设'!$B$32,0),0),IF(AND(BR$4&gt;EDATE('核心假设'!$B$5,6+$F9),BR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R$4=EDATE(EDATE('核心假设'!$B$5,6+$F9),$D9),SUM('融资租赁与资金缺口'!$D$5:$D$16)*$S9*'核心假设'!$B$32,0),0),IF(AND(BR$4&gt;EDATE('核心假设'!$B$5,7+$F9),BR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R$4=EDATE(EDATE('核心假设'!$B$5,7+$F9),$D9),SUM('融资租赁与资金缺口'!$D$5:$D$16)*$T9*'核心假设'!$B$32,0),0),IF(AND(BR$4&gt;EDATE('核心假设'!$B$5,8+$F9),BR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R$4=EDATE(EDATE('核心假设'!$B$5,8+$F9),$D9),SUM('融资租赁与资金缺口'!$D$5:$D$16)*$U9*'核心假设'!$B$32,0),0),IF(AND(BR$4&gt;EDATE('核心假设'!$B$5,9+$F9),BR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R$4=EDATE(EDATE('核心假设'!$B$5,9+$F9),$D9),SUM('融资租赁与资金缺口'!$D$5:$D$16)*$V9*'核心假设'!$B$32,0),0),IF(AND(BR$4&gt;EDATE('核心假设'!$B$5,10+$F9),BR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R$4=EDATE(EDATE('核心假设'!$B$5,10+$F9),$D9),SUM('融资租赁与资金缺口'!$D$5:$D$16)*$W9*'核心假设'!$B$32,0),0),IF(AND(BR$4&gt;EDATE('核心假设'!$B$5,11+$F9),BR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R$4=EDATE(EDATE('核心假设'!$B$5,11+$F9),$D9),SUM('融资租赁与资金缺口'!$D$5:$D$16)*$X9*'核心假设'!$B$32,0),0),IF(AND(BR$4&gt;EDATE('核心假设'!$B$5,12+$F9),BR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R$4=EDATE(EDATE('核心假设'!$B$5,12+$F9),$D9),SUM('融资租赁与资金缺口'!$D$5:$D$16)*$Y9*'核心假设'!$B$32,0),0),IF(AND(BR$4&gt;EDATE('核心假设'!$B$5,13+$F9),BR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R$4=EDATE(EDATE('核心假设'!$B$5,13+$F9),$D9),SUM('融资租赁与资金缺口'!$D$5:$D$16)*$Z9*'核心假设'!$B$32,0),0),IF(AND(BR$4&gt;EDATE('核心假设'!$B$5,14+$F9),BR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R$4=EDATE(EDATE('核心假设'!$B$5,14+$F9),$D9),SUM('融资租赁与资金缺口'!$D$5:$D$16)*$AA9*'核心假设'!$B$32,0),0),IF(AND(BR$4&gt;EDATE('核心假设'!$B$5,15+$F9),BR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R$4=EDATE(EDATE('核心假设'!$B$5,15+$F9),$D9),SUM('融资租赁与资金缺口'!$D$5:$D$16)*$AB9*'核心假设'!$B$32,0),0),IF(AND(BR$4&gt;EDATE('核心假设'!$B$5,16+$F9),BR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R$4=EDATE(EDATE('核心假设'!$B$5,16+$F9),$D9),SUM('融资租赁与资金缺口'!$D$5:$D$16)*$AC9*'核心假设'!$B$32,0),0),IF(AND(BR$4&gt;EDATE('核心假设'!$B$5,17+$F9),BR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R$4=EDATE(EDATE('核心假设'!$B$5,17+$F9),$D9),SUM('融资租赁与资金缺口'!$D$5:$D$16)*$AD9*'核心假设'!$B$32,0),0))</x:f>
        <x:v>16601606.37519427</x:v>
      </x:c>
      <x:c r="BS31" s="28" t="n">
        <x:f>SUM(IF(AND(BS$4&gt;EDATE('核心假设'!$B$5,0+$F9),BS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S$4=EDATE(EDATE('核心假设'!$B$5,0+$F9),$D9),SUM('融资租赁与资金缺口'!$D$5:$D$16)*$M9*'核心假设'!$B$32,0),0),IF(AND(BS$4&gt;EDATE('核心假设'!$B$5,1+$F9),BS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S$4=EDATE(EDATE('核心假设'!$B$5,1+$F9),$D9),SUM('融资租赁与资金缺口'!$D$5:$D$16)*$N9*'核心假设'!$B$32,0),0),IF(AND(BS$4&gt;EDATE('核心假设'!$B$5,2+$F9),BS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S$4=EDATE(EDATE('核心假设'!$B$5,2+$F9),$D9),SUM('融资租赁与资金缺口'!$D$5:$D$16)*$O9*'核心假设'!$B$32,0),0),IF(AND(BS$4&gt;EDATE('核心假设'!$B$5,3+$F9),BS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S$4=EDATE(EDATE('核心假设'!$B$5,3+$F9),$D9),SUM('融资租赁与资金缺口'!$D$5:$D$16)*$P9*'核心假设'!$B$32,0),0),IF(AND(BS$4&gt;EDATE('核心假设'!$B$5,4+$F9),BS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S$4=EDATE(EDATE('核心假设'!$B$5,4+$F9),$D9),SUM('融资租赁与资金缺口'!$D$5:$D$16)*$Q9*'核心假设'!$B$32,0),0),IF(AND(BS$4&gt;EDATE('核心假设'!$B$5,5+$F9),BS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S$4=EDATE(EDATE('核心假设'!$B$5,5+$F9),$D9),SUM('融资租赁与资金缺口'!$D$5:$D$16)*$R9*'核心假设'!$B$32,0),0),IF(AND(BS$4&gt;EDATE('核心假设'!$B$5,6+$F9),BS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S$4=EDATE(EDATE('核心假设'!$B$5,6+$F9),$D9),SUM('融资租赁与资金缺口'!$D$5:$D$16)*$S9*'核心假设'!$B$32,0),0),IF(AND(BS$4&gt;EDATE('核心假设'!$B$5,7+$F9),BS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S$4=EDATE(EDATE('核心假设'!$B$5,7+$F9),$D9),SUM('融资租赁与资金缺口'!$D$5:$D$16)*$T9*'核心假设'!$B$32,0),0),IF(AND(BS$4&gt;EDATE('核心假设'!$B$5,8+$F9),BS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S$4=EDATE(EDATE('核心假设'!$B$5,8+$F9),$D9),SUM('融资租赁与资金缺口'!$D$5:$D$16)*$U9*'核心假设'!$B$32,0),0),IF(AND(BS$4&gt;EDATE('核心假设'!$B$5,9+$F9),BS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S$4=EDATE(EDATE('核心假设'!$B$5,9+$F9),$D9),SUM('融资租赁与资金缺口'!$D$5:$D$16)*$V9*'核心假设'!$B$32,0),0),IF(AND(BS$4&gt;EDATE('核心假设'!$B$5,10+$F9),BS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S$4=EDATE(EDATE('核心假设'!$B$5,10+$F9),$D9),SUM('融资租赁与资金缺口'!$D$5:$D$16)*$W9*'核心假设'!$B$32,0),0),IF(AND(BS$4&gt;EDATE('核心假设'!$B$5,11+$F9),BS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S$4=EDATE(EDATE('核心假设'!$B$5,11+$F9),$D9),SUM('融资租赁与资金缺口'!$D$5:$D$16)*$X9*'核心假设'!$B$32,0),0),IF(AND(BS$4&gt;EDATE('核心假设'!$B$5,12+$F9),BS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S$4=EDATE(EDATE('核心假设'!$B$5,12+$F9),$D9),SUM('融资租赁与资金缺口'!$D$5:$D$16)*$Y9*'核心假设'!$B$32,0),0),IF(AND(BS$4&gt;EDATE('核心假设'!$B$5,13+$F9),BS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S$4=EDATE(EDATE('核心假设'!$B$5,13+$F9),$D9),SUM('融资租赁与资金缺口'!$D$5:$D$16)*$Z9*'核心假设'!$B$32,0),0),IF(AND(BS$4&gt;EDATE('核心假设'!$B$5,14+$F9),BS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S$4=EDATE(EDATE('核心假设'!$B$5,14+$F9),$D9),SUM('融资租赁与资金缺口'!$D$5:$D$16)*$AA9*'核心假设'!$B$32,0),0),IF(AND(BS$4&gt;EDATE('核心假设'!$B$5,15+$F9),BS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S$4=EDATE(EDATE('核心假设'!$B$5,15+$F9),$D9),SUM('融资租赁与资金缺口'!$D$5:$D$16)*$AB9*'核心假设'!$B$32,0),0),IF(AND(BS$4&gt;EDATE('核心假设'!$B$5,16+$F9),BS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S$4=EDATE(EDATE('核心假设'!$B$5,16+$F9),$D9),SUM('融资租赁与资金缺口'!$D$5:$D$16)*$AC9*'核心假设'!$B$32,0),0),IF(AND(BS$4&gt;EDATE('核心假设'!$B$5,17+$F9),BS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S$4=EDATE(EDATE('核心假设'!$B$5,17+$F9),$D9),SUM('融资租赁与资金缺口'!$D$5:$D$16)*$AD9*'核心假设'!$B$32,0),0))</x:f>
        <x:v>15925965.699928528</x:v>
      </x:c>
      <x:c r="BT31" s="28" t="n">
        <x:f>SUM(IF(AND(BT$4&gt;EDATE('核心假设'!$B$5,0+$F9),BT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T$4=EDATE(EDATE('核心假设'!$B$5,0+$F9),$D9),SUM('融资租赁与资金缺口'!$D$5:$D$16)*$M9*'核心假设'!$B$32,0),0),IF(AND(BT$4&gt;EDATE('核心假设'!$B$5,1+$F9),BT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T$4=EDATE(EDATE('核心假设'!$B$5,1+$F9),$D9),SUM('融资租赁与资金缺口'!$D$5:$D$16)*$N9*'核心假设'!$B$32,0),0),IF(AND(BT$4&gt;EDATE('核心假设'!$B$5,2+$F9),BT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T$4=EDATE(EDATE('核心假设'!$B$5,2+$F9),$D9),SUM('融资租赁与资金缺口'!$D$5:$D$16)*$O9*'核心假设'!$B$32,0),0),IF(AND(BT$4&gt;EDATE('核心假设'!$B$5,3+$F9),BT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T$4=EDATE(EDATE('核心假设'!$B$5,3+$F9),$D9),SUM('融资租赁与资金缺口'!$D$5:$D$16)*$P9*'核心假设'!$B$32,0),0),IF(AND(BT$4&gt;EDATE('核心假设'!$B$5,4+$F9),BT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T$4=EDATE(EDATE('核心假设'!$B$5,4+$F9),$D9),SUM('融资租赁与资金缺口'!$D$5:$D$16)*$Q9*'核心假设'!$B$32,0),0),IF(AND(BT$4&gt;EDATE('核心假设'!$B$5,5+$F9),BT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T$4=EDATE(EDATE('核心假设'!$B$5,5+$F9),$D9),SUM('融资租赁与资金缺口'!$D$5:$D$16)*$R9*'核心假设'!$B$32,0),0),IF(AND(BT$4&gt;EDATE('核心假设'!$B$5,6+$F9),BT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T$4=EDATE(EDATE('核心假设'!$B$5,6+$F9),$D9),SUM('融资租赁与资金缺口'!$D$5:$D$16)*$S9*'核心假设'!$B$32,0),0),IF(AND(BT$4&gt;EDATE('核心假设'!$B$5,7+$F9),BT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T$4=EDATE(EDATE('核心假设'!$B$5,7+$F9),$D9),SUM('融资租赁与资金缺口'!$D$5:$D$16)*$T9*'核心假设'!$B$32,0),0),IF(AND(BT$4&gt;EDATE('核心假设'!$B$5,8+$F9),BT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T$4=EDATE(EDATE('核心假设'!$B$5,8+$F9),$D9),SUM('融资租赁与资金缺口'!$D$5:$D$16)*$U9*'核心假设'!$B$32,0),0),IF(AND(BT$4&gt;EDATE('核心假设'!$B$5,9+$F9),BT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T$4=EDATE(EDATE('核心假设'!$B$5,9+$F9),$D9),SUM('融资租赁与资金缺口'!$D$5:$D$16)*$V9*'核心假设'!$B$32,0),0),IF(AND(BT$4&gt;EDATE('核心假设'!$B$5,10+$F9),BT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T$4=EDATE(EDATE('核心假设'!$B$5,10+$F9),$D9),SUM('融资租赁与资金缺口'!$D$5:$D$16)*$W9*'核心假设'!$B$32,0),0),IF(AND(BT$4&gt;EDATE('核心假设'!$B$5,11+$F9),BT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T$4=EDATE(EDATE('核心假设'!$B$5,11+$F9),$D9),SUM('融资租赁与资金缺口'!$D$5:$D$16)*$X9*'核心假设'!$B$32,0),0),IF(AND(BT$4&gt;EDATE('核心假设'!$B$5,12+$F9),BT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T$4=EDATE(EDATE('核心假设'!$B$5,12+$F9),$D9),SUM('融资租赁与资金缺口'!$D$5:$D$16)*$Y9*'核心假设'!$B$32,0),0),IF(AND(BT$4&gt;EDATE('核心假设'!$B$5,13+$F9),BT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T$4=EDATE(EDATE('核心假设'!$B$5,13+$F9),$D9),SUM('融资租赁与资金缺口'!$D$5:$D$16)*$Z9*'核心假设'!$B$32,0),0),IF(AND(BT$4&gt;EDATE('核心假设'!$B$5,14+$F9),BT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T$4=EDATE(EDATE('核心假设'!$B$5,14+$F9),$D9),SUM('融资租赁与资金缺口'!$D$5:$D$16)*$AA9*'核心假设'!$B$32,0),0),IF(AND(BT$4&gt;EDATE('核心假设'!$B$5,15+$F9),BT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T$4=EDATE(EDATE('核心假设'!$B$5,15+$F9),$D9),SUM('融资租赁与资金缺口'!$D$5:$D$16)*$AB9*'核心假设'!$B$32,0),0),IF(AND(BT$4&gt;EDATE('核心假设'!$B$5,16+$F9),BT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T$4=EDATE(EDATE('核心假设'!$B$5,16+$F9),$D9),SUM('融资租赁与资金缺口'!$D$5:$D$16)*$AC9*'核心假设'!$B$32,0),0),IF(AND(BT$4&gt;EDATE('核心假设'!$B$5,17+$F9),BT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T$4=EDATE(EDATE('核心假设'!$B$5,17+$F9),$D9),SUM('融资租赁与资金缺口'!$D$5:$D$16)*$AD9*'核心假设'!$B$32,0),0))</x:f>
        <x:v>15304655.024662783</x:v>
      </x:c>
      <x:c r="BU31" s="28" t="n">
        <x:f>SUM(IF(AND(BU$4&gt;EDATE('核心假设'!$B$5,0+$F9),BU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U$4=EDATE(EDATE('核心假设'!$B$5,0+$F9),$D9),SUM('融资租赁与资金缺口'!$D$5:$D$16)*$M9*'核心假设'!$B$32,0),0),IF(AND(BU$4&gt;EDATE('核心假设'!$B$5,1+$F9),BU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U$4=EDATE(EDATE('核心假设'!$B$5,1+$F9),$D9),SUM('融资租赁与资金缺口'!$D$5:$D$16)*$N9*'核心假设'!$B$32,0),0),IF(AND(BU$4&gt;EDATE('核心假设'!$B$5,2+$F9),BU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U$4=EDATE(EDATE('核心假设'!$B$5,2+$F9),$D9),SUM('融资租赁与资金缺口'!$D$5:$D$16)*$O9*'核心假设'!$B$32,0),0),IF(AND(BU$4&gt;EDATE('核心假设'!$B$5,3+$F9),BU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U$4=EDATE(EDATE('核心假设'!$B$5,3+$F9),$D9),SUM('融资租赁与资金缺口'!$D$5:$D$16)*$P9*'核心假设'!$B$32,0),0),IF(AND(BU$4&gt;EDATE('核心假设'!$B$5,4+$F9),BU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U$4=EDATE(EDATE('核心假设'!$B$5,4+$F9),$D9),SUM('融资租赁与资金缺口'!$D$5:$D$16)*$Q9*'核心假设'!$B$32,0),0),IF(AND(BU$4&gt;EDATE('核心假设'!$B$5,5+$F9),BU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U$4=EDATE(EDATE('核心假设'!$B$5,5+$F9),$D9),SUM('融资租赁与资金缺口'!$D$5:$D$16)*$R9*'核心假设'!$B$32,0),0),IF(AND(BU$4&gt;EDATE('核心假设'!$B$5,6+$F9),BU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U$4=EDATE(EDATE('核心假设'!$B$5,6+$F9),$D9),SUM('融资租赁与资金缺口'!$D$5:$D$16)*$S9*'核心假设'!$B$32,0),0),IF(AND(BU$4&gt;EDATE('核心假设'!$B$5,7+$F9),BU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U$4=EDATE(EDATE('核心假设'!$B$5,7+$F9),$D9),SUM('融资租赁与资金缺口'!$D$5:$D$16)*$T9*'核心假设'!$B$32,0),0),IF(AND(BU$4&gt;EDATE('核心假设'!$B$5,8+$F9),BU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U$4=EDATE(EDATE('核心假设'!$B$5,8+$F9),$D9),SUM('融资租赁与资金缺口'!$D$5:$D$16)*$U9*'核心假设'!$B$32,0),0),IF(AND(BU$4&gt;EDATE('核心假设'!$B$5,9+$F9),BU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U$4=EDATE(EDATE('核心假设'!$B$5,9+$F9),$D9),SUM('融资租赁与资金缺口'!$D$5:$D$16)*$V9*'核心假设'!$B$32,0),0),IF(AND(BU$4&gt;EDATE('核心假设'!$B$5,10+$F9),BU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U$4=EDATE(EDATE('核心假设'!$B$5,10+$F9),$D9),SUM('融资租赁与资金缺口'!$D$5:$D$16)*$W9*'核心假设'!$B$32,0),0),IF(AND(BU$4&gt;EDATE('核心假设'!$B$5,11+$F9),BU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U$4=EDATE(EDATE('核心假设'!$B$5,11+$F9),$D9),SUM('融资租赁与资金缺口'!$D$5:$D$16)*$X9*'核心假设'!$B$32,0),0),IF(AND(BU$4&gt;EDATE('核心假设'!$B$5,12+$F9),BU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U$4=EDATE(EDATE('核心假设'!$B$5,12+$F9),$D9),SUM('融资租赁与资金缺口'!$D$5:$D$16)*$Y9*'核心假设'!$B$32,0),0),IF(AND(BU$4&gt;EDATE('核心假设'!$B$5,13+$F9),BU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U$4=EDATE(EDATE('核心假设'!$B$5,13+$F9),$D9),SUM('融资租赁与资金缺口'!$D$5:$D$16)*$Z9*'核心假设'!$B$32,0),0),IF(AND(BU$4&gt;EDATE('核心假设'!$B$5,14+$F9),BU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U$4=EDATE(EDATE('核心假设'!$B$5,14+$F9),$D9),SUM('融资租赁与资金缺口'!$D$5:$D$16)*$AA9*'核心假设'!$B$32,0),0),IF(AND(BU$4&gt;EDATE('核心假设'!$B$5,15+$F9),BU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U$4=EDATE(EDATE('核心假设'!$B$5,15+$F9),$D9),SUM('融资租赁与资金缺口'!$D$5:$D$16)*$AB9*'核心假设'!$B$32,0),0),IF(AND(BU$4&gt;EDATE('核心假设'!$B$5,16+$F9),BU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U$4=EDATE(EDATE('核心假设'!$B$5,16+$F9),$D9),SUM('融资租赁与资金缺口'!$D$5:$D$16)*$AC9*'核心假设'!$B$32,0),0),IF(AND(BU$4&gt;EDATE('核心假设'!$B$5,17+$F9),BU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U$4=EDATE(EDATE('核心假设'!$B$5,17+$F9),$D9),SUM('融资租赁与资金缺口'!$D$5:$D$16)*$AD9*'核心假设'!$B$32,0),0))</x:f>
        <x:v>14460104.180580605</x:v>
      </x:c>
      <x:c r="BV31" s="28" t="n">
        <x:f>SUM(IF(AND(BV$4&gt;EDATE('核心假设'!$B$5,0+$F9),BV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V$4=EDATE(EDATE('核心假设'!$B$5,0+$F9),$D9),SUM('融资租赁与资金缺口'!$D$5:$D$16)*$M9*'核心假设'!$B$32,0),0),IF(AND(BV$4&gt;EDATE('核心假设'!$B$5,1+$F9),BV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V$4=EDATE(EDATE('核心假设'!$B$5,1+$F9),$D9),SUM('融资租赁与资金缺口'!$D$5:$D$16)*$N9*'核心假设'!$B$32,0),0),IF(AND(BV$4&gt;EDATE('核心假设'!$B$5,2+$F9),BV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V$4=EDATE(EDATE('核心假设'!$B$5,2+$F9),$D9),SUM('融资租赁与资金缺口'!$D$5:$D$16)*$O9*'核心假设'!$B$32,0),0),IF(AND(BV$4&gt;EDATE('核心假设'!$B$5,3+$F9),BV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V$4=EDATE(EDATE('核心假设'!$B$5,3+$F9),$D9),SUM('融资租赁与资金缺口'!$D$5:$D$16)*$P9*'核心假设'!$B$32,0),0),IF(AND(BV$4&gt;EDATE('核心假设'!$B$5,4+$F9),BV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V$4=EDATE(EDATE('核心假设'!$B$5,4+$F9),$D9),SUM('融资租赁与资金缺口'!$D$5:$D$16)*$Q9*'核心假设'!$B$32,0),0),IF(AND(BV$4&gt;EDATE('核心假设'!$B$5,5+$F9),BV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V$4=EDATE(EDATE('核心假设'!$B$5,5+$F9),$D9),SUM('融资租赁与资金缺口'!$D$5:$D$16)*$R9*'核心假设'!$B$32,0),0),IF(AND(BV$4&gt;EDATE('核心假设'!$B$5,6+$F9),BV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V$4=EDATE(EDATE('核心假设'!$B$5,6+$F9),$D9),SUM('融资租赁与资金缺口'!$D$5:$D$16)*$S9*'核心假设'!$B$32,0),0),IF(AND(BV$4&gt;EDATE('核心假设'!$B$5,7+$F9),BV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V$4=EDATE(EDATE('核心假设'!$B$5,7+$F9),$D9),SUM('融资租赁与资金缺口'!$D$5:$D$16)*$T9*'核心假设'!$B$32,0),0),IF(AND(BV$4&gt;EDATE('核心假设'!$B$5,8+$F9),BV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V$4=EDATE(EDATE('核心假设'!$B$5,8+$F9),$D9),SUM('融资租赁与资金缺口'!$D$5:$D$16)*$U9*'核心假设'!$B$32,0),0),IF(AND(BV$4&gt;EDATE('核心假设'!$B$5,9+$F9),BV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V$4=EDATE(EDATE('核心假设'!$B$5,9+$F9),$D9),SUM('融资租赁与资金缺口'!$D$5:$D$16)*$V9*'核心假设'!$B$32,0),0),IF(AND(BV$4&gt;EDATE('核心假设'!$B$5,10+$F9),BV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V$4=EDATE(EDATE('核心假设'!$B$5,10+$F9),$D9),SUM('融资租赁与资金缺口'!$D$5:$D$16)*$W9*'核心假设'!$B$32,0),0),IF(AND(BV$4&gt;EDATE('核心假设'!$B$5,11+$F9),BV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V$4=EDATE(EDATE('核心假设'!$B$5,11+$F9),$D9),SUM('融资租赁与资金缺口'!$D$5:$D$16)*$X9*'核心假设'!$B$32,0),0),IF(AND(BV$4&gt;EDATE('核心假设'!$B$5,12+$F9),BV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V$4=EDATE(EDATE('核心假设'!$B$5,12+$F9),$D9),SUM('融资租赁与资金缺口'!$D$5:$D$16)*$Y9*'核心假设'!$B$32,0),0),IF(AND(BV$4&gt;EDATE('核心假设'!$B$5,13+$F9),BV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V$4=EDATE(EDATE('核心假设'!$B$5,13+$F9),$D9),SUM('融资租赁与资金缺口'!$D$5:$D$16)*$Z9*'核心假设'!$B$32,0),0),IF(AND(BV$4&gt;EDATE('核心假设'!$B$5,14+$F9),BV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V$4=EDATE(EDATE('核心假设'!$B$5,14+$F9),$D9),SUM('融资租赁与资金缺口'!$D$5:$D$16)*$AA9*'核心假设'!$B$32,0),0),IF(AND(BV$4&gt;EDATE('核心假设'!$B$5,15+$F9),BV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V$4=EDATE(EDATE('核心假设'!$B$5,15+$F9),$D9),SUM('融资租赁与资金缺口'!$D$5:$D$16)*$AB9*'核心假设'!$B$32,0),0),IF(AND(BV$4&gt;EDATE('核心假设'!$B$5,16+$F9),BV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V$4=EDATE(EDATE('核心假设'!$B$5,16+$F9),$D9),SUM('融资租赁与资金缺口'!$D$5:$D$16)*$AC9*'核心假设'!$B$32,0),0),IF(AND(BV$4&gt;EDATE('核心假设'!$B$5,17+$F9),BV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V$4=EDATE(EDATE('核心假设'!$B$5,17+$F9),$D9),SUM('融资租赁与资金缺口'!$D$5:$D$16)*$AD9*'核心假设'!$B$32,0),0))</x:f>
        <x:v>13669883.336498426</x:v>
      </x:c>
      <x:c r="BW31" s="28" t="n">
        <x:f>SUM(IF(AND(BW$4&gt;EDATE('核心假设'!$B$5,0+$F9),BW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W$4=EDATE(EDATE('核心假设'!$B$5,0+$F9),$D9),SUM('融资租赁与资金缺口'!$D$5:$D$16)*$M9*'核心假设'!$B$32,0),0),IF(AND(BW$4&gt;EDATE('核心假设'!$B$5,1+$F9),BW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W$4=EDATE(EDATE('核心假设'!$B$5,1+$F9),$D9),SUM('融资租赁与资金缺口'!$D$5:$D$16)*$N9*'核心假设'!$B$32,0),0),IF(AND(BW$4&gt;EDATE('核心假设'!$B$5,2+$F9),BW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W$4=EDATE(EDATE('核心假设'!$B$5,2+$F9),$D9),SUM('融资租赁与资金缺口'!$D$5:$D$16)*$O9*'核心假设'!$B$32,0),0),IF(AND(BW$4&gt;EDATE('核心假设'!$B$5,3+$F9),BW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W$4=EDATE(EDATE('核心假设'!$B$5,3+$F9),$D9),SUM('融资租赁与资金缺口'!$D$5:$D$16)*$P9*'核心假设'!$B$32,0),0),IF(AND(BW$4&gt;EDATE('核心假设'!$B$5,4+$F9),BW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W$4=EDATE(EDATE('核心假设'!$B$5,4+$F9),$D9),SUM('融资租赁与资金缺口'!$D$5:$D$16)*$Q9*'核心假设'!$B$32,0),0),IF(AND(BW$4&gt;EDATE('核心假设'!$B$5,5+$F9),BW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W$4=EDATE(EDATE('核心假设'!$B$5,5+$F9),$D9),SUM('融资租赁与资金缺口'!$D$5:$D$16)*$R9*'核心假设'!$B$32,0),0),IF(AND(BW$4&gt;EDATE('核心假设'!$B$5,6+$F9),BW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W$4=EDATE(EDATE('核心假设'!$B$5,6+$F9),$D9),SUM('融资租赁与资金缺口'!$D$5:$D$16)*$S9*'核心假设'!$B$32,0),0),IF(AND(BW$4&gt;EDATE('核心假设'!$B$5,7+$F9),BW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W$4=EDATE(EDATE('核心假设'!$B$5,7+$F9),$D9),SUM('融资租赁与资金缺口'!$D$5:$D$16)*$T9*'核心假设'!$B$32,0),0),IF(AND(BW$4&gt;EDATE('核心假设'!$B$5,8+$F9),BW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W$4=EDATE(EDATE('核心假设'!$B$5,8+$F9),$D9),SUM('融资租赁与资金缺口'!$D$5:$D$16)*$U9*'核心假设'!$B$32,0),0),IF(AND(BW$4&gt;EDATE('核心假设'!$B$5,9+$F9),BW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W$4=EDATE(EDATE('核心假设'!$B$5,9+$F9),$D9),SUM('融资租赁与资金缺口'!$D$5:$D$16)*$V9*'核心假设'!$B$32,0),0),IF(AND(BW$4&gt;EDATE('核心假设'!$B$5,10+$F9),BW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W$4=EDATE(EDATE('核心假设'!$B$5,10+$F9),$D9),SUM('融资租赁与资金缺口'!$D$5:$D$16)*$W9*'核心假设'!$B$32,0),0),IF(AND(BW$4&gt;EDATE('核心假设'!$B$5,11+$F9),BW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W$4=EDATE(EDATE('核心假设'!$B$5,11+$F9),$D9),SUM('融资租赁与资金缺口'!$D$5:$D$16)*$X9*'核心假设'!$B$32,0),0),IF(AND(BW$4&gt;EDATE('核心假设'!$B$5,12+$F9),BW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W$4=EDATE(EDATE('核心假设'!$B$5,12+$F9),$D9),SUM('融资租赁与资金缺口'!$D$5:$D$16)*$Y9*'核心假设'!$B$32,0),0),IF(AND(BW$4&gt;EDATE('核心假设'!$B$5,13+$F9),BW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W$4=EDATE(EDATE('核心假设'!$B$5,13+$F9),$D9),SUM('融资租赁与资金缺口'!$D$5:$D$16)*$Z9*'核心假设'!$B$32,0),0),IF(AND(BW$4&gt;EDATE('核心假设'!$B$5,14+$F9),BW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W$4=EDATE(EDATE('核心假设'!$B$5,14+$F9),$D9),SUM('融资租赁与资金缺口'!$D$5:$D$16)*$AA9*'核心假设'!$B$32,0),0),IF(AND(BW$4&gt;EDATE('核心假设'!$B$5,15+$F9),BW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W$4=EDATE(EDATE('核心假设'!$B$5,15+$F9),$D9),SUM('融资租赁与资金缺口'!$D$5:$D$16)*$AB9*'核心假设'!$B$32,0),0),IF(AND(BW$4&gt;EDATE('核心假设'!$B$5,16+$F9),BW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W$4=EDATE(EDATE('核心假设'!$B$5,16+$F9),$D9),SUM('融资租赁与资金缺口'!$D$5:$D$16)*$AC9*'核心假设'!$B$32,0),0),IF(AND(BW$4&gt;EDATE('核心假设'!$B$5,17+$F9),BW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W$4=EDATE(EDATE('核心假设'!$B$5,17+$F9),$D9),SUM('融资租赁与资金缺口'!$D$5:$D$16)*$AD9*'核心假设'!$B$32,0),0))</x:f>
        <x:v>12656422.323599812</x:v>
      </x:c>
      <x:c r="BX31" s="28" t="n">
        <x:f>SUM(IF(AND(BX$4&gt;EDATE('核心假设'!$B$5,0+$F9),BX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X$4=EDATE(EDATE('核心假设'!$B$5,0+$F9),$D9),SUM('融资租赁与资金缺口'!$D$5:$D$16)*$M9*'核心假设'!$B$32,0),0),IF(AND(BX$4&gt;EDATE('核心假设'!$B$5,1+$F9),BX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X$4=EDATE(EDATE('核心假设'!$B$5,1+$F9),$D9),SUM('融资租赁与资金缺口'!$D$5:$D$16)*$N9*'核心假设'!$B$32,0),0),IF(AND(BX$4&gt;EDATE('核心假设'!$B$5,2+$F9),BX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X$4=EDATE(EDATE('核心假设'!$B$5,2+$F9),$D9),SUM('融资租赁与资金缺口'!$D$5:$D$16)*$O9*'核心假设'!$B$32,0),0),IF(AND(BX$4&gt;EDATE('核心假设'!$B$5,3+$F9),BX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X$4=EDATE(EDATE('核心假设'!$B$5,3+$F9),$D9),SUM('融资租赁与资金缺口'!$D$5:$D$16)*$P9*'核心假设'!$B$32,0),0),IF(AND(BX$4&gt;EDATE('核心假设'!$B$5,4+$F9),BX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X$4=EDATE(EDATE('核心假设'!$B$5,4+$F9),$D9),SUM('融资租赁与资金缺口'!$D$5:$D$16)*$Q9*'核心假设'!$B$32,0),0),IF(AND(BX$4&gt;EDATE('核心假设'!$B$5,5+$F9),BX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X$4=EDATE(EDATE('核心假设'!$B$5,5+$F9),$D9),SUM('融资租赁与资金缺口'!$D$5:$D$16)*$R9*'核心假设'!$B$32,0),0),IF(AND(BX$4&gt;EDATE('核心假设'!$B$5,6+$F9),BX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X$4=EDATE(EDATE('核心假设'!$B$5,6+$F9),$D9),SUM('融资租赁与资金缺口'!$D$5:$D$16)*$S9*'核心假设'!$B$32,0),0),IF(AND(BX$4&gt;EDATE('核心假设'!$B$5,7+$F9),BX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X$4=EDATE(EDATE('核心假设'!$B$5,7+$F9),$D9),SUM('融资租赁与资金缺口'!$D$5:$D$16)*$T9*'核心假设'!$B$32,0),0),IF(AND(BX$4&gt;EDATE('核心假设'!$B$5,8+$F9),BX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X$4=EDATE(EDATE('核心假设'!$B$5,8+$F9),$D9),SUM('融资租赁与资金缺口'!$D$5:$D$16)*$U9*'核心假设'!$B$32,0),0),IF(AND(BX$4&gt;EDATE('核心假设'!$B$5,9+$F9),BX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X$4=EDATE(EDATE('核心假设'!$B$5,9+$F9),$D9),SUM('融资租赁与资金缺口'!$D$5:$D$16)*$V9*'核心假设'!$B$32,0),0),IF(AND(BX$4&gt;EDATE('核心假设'!$B$5,10+$F9),BX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X$4=EDATE(EDATE('核心假设'!$B$5,10+$F9),$D9),SUM('融资租赁与资金缺口'!$D$5:$D$16)*$W9*'核心假设'!$B$32,0),0),IF(AND(BX$4&gt;EDATE('核心假设'!$B$5,11+$F9),BX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X$4=EDATE(EDATE('核心假设'!$B$5,11+$F9),$D9),SUM('融资租赁与资金缺口'!$D$5:$D$16)*$X9*'核心假设'!$B$32,0),0),IF(AND(BX$4&gt;EDATE('核心假设'!$B$5,12+$F9),BX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X$4=EDATE(EDATE('核心假设'!$B$5,12+$F9),$D9),SUM('融资租赁与资金缺口'!$D$5:$D$16)*$Y9*'核心假设'!$B$32,0),0),IF(AND(BX$4&gt;EDATE('核心假设'!$B$5,13+$F9),BX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X$4=EDATE(EDATE('核心假设'!$B$5,13+$F9),$D9),SUM('融资租赁与资金缺口'!$D$5:$D$16)*$Z9*'核心假设'!$B$32,0),0),IF(AND(BX$4&gt;EDATE('核心假设'!$B$5,14+$F9),BX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X$4=EDATE(EDATE('核心假设'!$B$5,14+$F9),$D9),SUM('融资租赁与资金缺口'!$D$5:$D$16)*$AA9*'核心假设'!$B$32,0),0),IF(AND(BX$4&gt;EDATE('核心假设'!$B$5,15+$F9),BX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X$4=EDATE(EDATE('核心假设'!$B$5,15+$F9),$D9),SUM('融资租赁与资金缺口'!$D$5:$D$16)*$AB9*'核心假设'!$B$32,0),0),IF(AND(BX$4&gt;EDATE('核心假设'!$B$5,16+$F9),BX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X$4=EDATE(EDATE('核心假设'!$B$5,16+$F9),$D9),SUM('融资租赁与资金缺口'!$D$5:$D$16)*$AC9*'核心假设'!$B$32,0),0),IF(AND(BX$4&gt;EDATE('核心假设'!$B$5,17+$F9),BX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X$4=EDATE(EDATE('核心假设'!$B$5,17+$F9),$D9),SUM('融资租赁与资金缺口'!$D$5:$D$16)*$AD9*'核心假设'!$B$32,0),0))</x:f>
        <x:v>11697291.310701197</x:v>
      </x:c>
      <x:c r="BY31" s="28" t="n">
        <x:f>SUM(IF(AND(BY$4&gt;EDATE('核心假设'!$B$5,0+$F9),BY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Y$4=EDATE(EDATE('核心假设'!$B$5,0+$F9),$D9),SUM('融资租赁与资金缺口'!$D$5:$D$16)*$M9*'核心假设'!$B$32,0),0),IF(AND(BY$4&gt;EDATE('核心假设'!$B$5,1+$F9),BY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Y$4=EDATE(EDATE('核心假设'!$B$5,1+$F9),$D9),SUM('融资租赁与资金缺口'!$D$5:$D$16)*$N9*'核心假设'!$B$32,0),0),IF(AND(BY$4&gt;EDATE('核心假设'!$B$5,2+$F9),BY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Y$4=EDATE(EDATE('核心假设'!$B$5,2+$F9),$D9),SUM('融资租赁与资金缺口'!$D$5:$D$16)*$O9*'核心假设'!$B$32,0),0),IF(AND(BY$4&gt;EDATE('核心假设'!$B$5,3+$F9),BY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Y$4=EDATE(EDATE('核心假设'!$B$5,3+$F9),$D9),SUM('融资租赁与资金缺口'!$D$5:$D$16)*$P9*'核心假设'!$B$32,0),0),IF(AND(BY$4&gt;EDATE('核心假设'!$B$5,4+$F9),BY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Y$4=EDATE(EDATE('核心假设'!$B$5,4+$F9),$D9),SUM('融资租赁与资金缺口'!$D$5:$D$16)*$Q9*'核心假设'!$B$32,0),0),IF(AND(BY$4&gt;EDATE('核心假设'!$B$5,5+$F9),BY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Y$4=EDATE(EDATE('核心假设'!$B$5,5+$F9),$D9),SUM('融资租赁与资金缺口'!$D$5:$D$16)*$R9*'核心假设'!$B$32,0),0),IF(AND(BY$4&gt;EDATE('核心假设'!$B$5,6+$F9),BY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Y$4=EDATE(EDATE('核心假设'!$B$5,6+$F9),$D9),SUM('融资租赁与资金缺口'!$D$5:$D$16)*$S9*'核心假设'!$B$32,0),0),IF(AND(BY$4&gt;EDATE('核心假设'!$B$5,7+$F9),BY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Y$4=EDATE(EDATE('核心假设'!$B$5,7+$F9),$D9),SUM('融资租赁与资金缺口'!$D$5:$D$16)*$T9*'核心假设'!$B$32,0),0),IF(AND(BY$4&gt;EDATE('核心假设'!$B$5,8+$F9),BY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Y$4=EDATE(EDATE('核心假设'!$B$5,8+$F9),$D9),SUM('融资租赁与资金缺口'!$D$5:$D$16)*$U9*'核心假设'!$B$32,0),0),IF(AND(BY$4&gt;EDATE('核心假设'!$B$5,9+$F9),BY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Y$4=EDATE(EDATE('核心假设'!$B$5,9+$F9),$D9),SUM('融资租赁与资金缺口'!$D$5:$D$16)*$V9*'核心假设'!$B$32,0),0),IF(AND(BY$4&gt;EDATE('核心假设'!$B$5,10+$F9),BY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Y$4=EDATE(EDATE('核心假设'!$B$5,10+$F9),$D9),SUM('融资租赁与资金缺口'!$D$5:$D$16)*$W9*'核心假设'!$B$32,0),0),IF(AND(BY$4&gt;EDATE('核心假设'!$B$5,11+$F9),BY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Y$4=EDATE(EDATE('核心假设'!$B$5,11+$F9),$D9),SUM('融资租赁与资金缺口'!$D$5:$D$16)*$X9*'核心假设'!$B$32,0),0),IF(AND(BY$4&gt;EDATE('核心假设'!$B$5,12+$F9),BY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Y$4=EDATE(EDATE('核心假设'!$B$5,12+$F9),$D9),SUM('融资租赁与资金缺口'!$D$5:$D$16)*$Y9*'核心假设'!$B$32,0),0),IF(AND(BY$4&gt;EDATE('核心假设'!$B$5,13+$F9),BY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Y$4=EDATE(EDATE('核心假设'!$B$5,13+$F9),$D9),SUM('融资租赁与资金缺口'!$D$5:$D$16)*$Z9*'核心假设'!$B$32,0),0),IF(AND(BY$4&gt;EDATE('核心假设'!$B$5,14+$F9),BY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Y$4=EDATE(EDATE('核心假设'!$B$5,14+$F9),$D9),SUM('融资租赁与资金缺口'!$D$5:$D$16)*$AA9*'核心假设'!$B$32,0),0),IF(AND(BY$4&gt;EDATE('核心假设'!$B$5,15+$F9),BY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Y$4=EDATE(EDATE('核心假设'!$B$5,15+$F9),$D9),SUM('融资租赁与资金缺口'!$D$5:$D$16)*$AB9*'核心假设'!$B$32,0),0),IF(AND(BY$4&gt;EDATE('核心假设'!$B$5,16+$F9),BY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Y$4=EDATE(EDATE('核心假设'!$B$5,16+$F9),$D9),SUM('融资租赁与资金缺口'!$D$5:$D$16)*$AC9*'核心假设'!$B$32,0),0),IF(AND(BY$4&gt;EDATE('核心假设'!$B$5,17+$F9),BY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Y$4=EDATE(EDATE('核心假设'!$B$5,17+$F9),$D9),SUM('融资租赁与资金缺口'!$D$5:$D$16)*$AD9*'核心假设'!$B$32,0),0))</x:f>
        <x:v>10514920.128986146</x:v>
      </x:c>
      <x:c r="BZ31" s="28" t="n">
        <x:f>SUM(IF(AND(BZ$4&gt;EDATE('核心假设'!$B$5,0+$F9),BZ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BZ$4=EDATE(EDATE('核心假设'!$B$5,0+$F9),$D9),SUM('融资租赁与资金缺口'!$D$5:$D$16)*$M9*'核心假设'!$B$32,0),0),IF(AND(BZ$4&gt;EDATE('核心假设'!$B$5,1+$F9),BZ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BZ$4=EDATE(EDATE('核心假设'!$B$5,1+$F9),$D9),SUM('融资租赁与资金缺口'!$D$5:$D$16)*$N9*'核心假设'!$B$32,0),0),IF(AND(BZ$4&gt;EDATE('核心假设'!$B$5,2+$F9),BZ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BZ$4=EDATE(EDATE('核心假设'!$B$5,2+$F9),$D9),SUM('融资租赁与资金缺口'!$D$5:$D$16)*$O9*'核心假设'!$B$32,0),0),IF(AND(BZ$4&gt;EDATE('核心假设'!$B$5,3+$F9),BZ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BZ$4=EDATE(EDATE('核心假设'!$B$5,3+$F9),$D9),SUM('融资租赁与资金缺口'!$D$5:$D$16)*$P9*'核心假设'!$B$32,0),0),IF(AND(BZ$4&gt;EDATE('核心假设'!$B$5,4+$F9),BZ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BZ$4=EDATE(EDATE('核心假设'!$B$5,4+$F9),$D9),SUM('融资租赁与资金缺口'!$D$5:$D$16)*$Q9*'核心假设'!$B$32,0),0),IF(AND(BZ$4&gt;EDATE('核心假设'!$B$5,5+$F9),BZ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BZ$4=EDATE(EDATE('核心假设'!$B$5,5+$F9),$D9),SUM('融资租赁与资金缺口'!$D$5:$D$16)*$R9*'核心假设'!$B$32,0),0),IF(AND(BZ$4&gt;EDATE('核心假设'!$B$5,6+$F9),BZ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BZ$4=EDATE(EDATE('核心假设'!$B$5,6+$F9),$D9),SUM('融资租赁与资金缺口'!$D$5:$D$16)*$S9*'核心假设'!$B$32,0),0),IF(AND(BZ$4&gt;EDATE('核心假设'!$B$5,7+$F9),BZ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BZ$4=EDATE(EDATE('核心假设'!$B$5,7+$F9),$D9),SUM('融资租赁与资金缺口'!$D$5:$D$16)*$T9*'核心假设'!$B$32,0),0),IF(AND(BZ$4&gt;EDATE('核心假设'!$B$5,8+$F9),BZ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BZ$4=EDATE(EDATE('核心假设'!$B$5,8+$F9),$D9),SUM('融资租赁与资金缺口'!$D$5:$D$16)*$U9*'核心假设'!$B$32,0),0),IF(AND(BZ$4&gt;EDATE('核心假设'!$B$5,9+$F9),BZ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BZ$4=EDATE(EDATE('核心假设'!$B$5,9+$F9),$D9),SUM('融资租赁与资金缺口'!$D$5:$D$16)*$V9*'核心假设'!$B$32,0),0),IF(AND(BZ$4&gt;EDATE('核心假设'!$B$5,10+$F9),BZ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BZ$4=EDATE(EDATE('核心假设'!$B$5,10+$F9),$D9),SUM('融资租赁与资金缺口'!$D$5:$D$16)*$W9*'核心假设'!$B$32,0),0),IF(AND(BZ$4&gt;EDATE('核心假设'!$B$5,11+$F9),BZ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BZ$4=EDATE(EDATE('核心假设'!$B$5,11+$F9),$D9),SUM('融资租赁与资金缺口'!$D$5:$D$16)*$X9*'核心假设'!$B$32,0),0),IF(AND(BZ$4&gt;EDATE('核心假设'!$B$5,12+$F9),BZ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BZ$4=EDATE(EDATE('核心假设'!$B$5,12+$F9),$D9),SUM('融资租赁与资金缺口'!$D$5:$D$16)*$Y9*'核心假设'!$B$32,0),0),IF(AND(BZ$4&gt;EDATE('核心假设'!$B$5,13+$F9),BZ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BZ$4=EDATE(EDATE('核心假设'!$B$5,13+$F9),$D9),SUM('融资租赁与资金缺口'!$D$5:$D$16)*$Z9*'核心假设'!$B$32,0),0),IF(AND(BZ$4&gt;EDATE('核心假设'!$B$5,14+$F9),BZ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BZ$4=EDATE(EDATE('核心假设'!$B$5,14+$F9),$D9),SUM('融资租赁与资金缺口'!$D$5:$D$16)*$AA9*'核心假设'!$B$32,0),0),IF(AND(BZ$4&gt;EDATE('核心假设'!$B$5,15+$F9),BZ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BZ$4=EDATE(EDATE('核心假设'!$B$5,15+$F9),$D9),SUM('融资租赁与资金缺口'!$D$5:$D$16)*$AB9*'核心假设'!$B$32,0),0),IF(AND(BZ$4&gt;EDATE('核心假设'!$B$5,16+$F9),BZ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BZ$4=EDATE(EDATE('核心假设'!$B$5,16+$F9),$D9),SUM('融资租赁与资金缺口'!$D$5:$D$16)*$AC9*'核心假设'!$B$32,0),0),IF(AND(BZ$4&gt;EDATE('核心假设'!$B$5,17+$F9),BZ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BZ$4=EDATE(EDATE('核心假设'!$B$5,17+$F9),$D9),SUM('融资租赁与资金缺口'!$D$5:$D$16)*$AD9*'核心假设'!$B$32,0),0))</x:f>
        <x:v>9332548.947271096</x:v>
      </x:c>
      <x:c r="CA31" s="28" t="n">
        <x:f>SUM(IF(AND(CA$4&gt;EDATE('核心假设'!$B$5,0+$F9),CA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CA$4=EDATE(EDATE('核心假设'!$B$5,0+$F9),$D9),SUM('融资租赁与资金缺口'!$D$5:$D$16)*$M9*'核心假设'!$B$32,0),0),IF(AND(CA$4&gt;EDATE('核心假设'!$B$5,1+$F9),CA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CA$4=EDATE(EDATE('核心假设'!$B$5,1+$F9),$D9),SUM('融资租赁与资金缺口'!$D$5:$D$16)*$N9*'核心假设'!$B$32,0),0),IF(AND(CA$4&gt;EDATE('核心假设'!$B$5,2+$F9),CA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CA$4=EDATE(EDATE('核心假设'!$B$5,2+$F9),$D9),SUM('融资租赁与资金缺口'!$D$5:$D$16)*$O9*'核心假设'!$B$32,0),0),IF(AND(CA$4&gt;EDATE('核心假设'!$B$5,3+$F9),CA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CA$4=EDATE(EDATE('核心假设'!$B$5,3+$F9),$D9),SUM('融资租赁与资金缺口'!$D$5:$D$16)*$P9*'核心假设'!$B$32,0),0),IF(AND(CA$4&gt;EDATE('核心假设'!$B$5,4+$F9),CA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CA$4=EDATE(EDATE('核心假设'!$B$5,4+$F9),$D9),SUM('融资租赁与资金缺口'!$D$5:$D$16)*$Q9*'核心假设'!$B$32,0),0),IF(AND(CA$4&gt;EDATE('核心假设'!$B$5,5+$F9),CA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CA$4=EDATE(EDATE('核心假设'!$B$5,5+$F9),$D9),SUM('融资租赁与资金缺口'!$D$5:$D$16)*$R9*'核心假设'!$B$32,0),0),IF(AND(CA$4&gt;EDATE('核心假设'!$B$5,6+$F9),CA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CA$4=EDATE(EDATE('核心假设'!$B$5,6+$F9),$D9),SUM('融资租赁与资金缺口'!$D$5:$D$16)*$S9*'核心假设'!$B$32,0),0),IF(AND(CA$4&gt;EDATE('核心假设'!$B$5,7+$F9),CA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CA$4=EDATE(EDATE('核心假设'!$B$5,7+$F9),$D9),SUM('融资租赁与资金缺口'!$D$5:$D$16)*$T9*'核心假设'!$B$32,0),0),IF(AND(CA$4&gt;EDATE('核心假设'!$B$5,8+$F9),CA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CA$4=EDATE(EDATE('核心假设'!$B$5,8+$F9),$D9),SUM('融资租赁与资金缺口'!$D$5:$D$16)*$U9*'核心假设'!$B$32,0),0),IF(AND(CA$4&gt;EDATE('核心假设'!$B$5,9+$F9),CA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CA$4=EDATE(EDATE('核心假设'!$B$5,9+$F9),$D9),SUM('融资租赁与资金缺口'!$D$5:$D$16)*$V9*'核心假设'!$B$32,0),0),IF(AND(CA$4&gt;EDATE('核心假设'!$B$5,10+$F9),CA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CA$4=EDATE(EDATE('核心假设'!$B$5,10+$F9),$D9),SUM('融资租赁与资金缺口'!$D$5:$D$16)*$W9*'核心假设'!$B$32,0),0),IF(AND(CA$4&gt;EDATE('核心假设'!$B$5,11+$F9),CA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CA$4=EDATE(EDATE('核心假设'!$B$5,11+$F9),$D9),SUM('融资租赁与资金缺口'!$D$5:$D$16)*$X9*'核心假设'!$B$32,0),0),IF(AND(CA$4&gt;EDATE('核心假设'!$B$5,12+$F9),CA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CA$4=EDATE(EDATE('核心假设'!$B$5,12+$F9),$D9),SUM('融资租赁与资金缺口'!$D$5:$D$16)*$Y9*'核心假设'!$B$32,0),0),IF(AND(CA$4&gt;EDATE('核心假设'!$B$5,13+$F9),CA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CA$4=EDATE(EDATE('核心假设'!$B$5,13+$F9),$D9),SUM('融资租赁与资金缺口'!$D$5:$D$16)*$Z9*'核心假设'!$B$32,0),0),IF(AND(CA$4&gt;EDATE('核心假设'!$B$5,14+$F9),CA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CA$4=EDATE(EDATE('核心假设'!$B$5,14+$F9),$D9),SUM('融资租赁与资金缺口'!$D$5:$D$16)*$AA9*'核心假设'!$B$32,0),0),IF(AND(CA$4&gt;EDATE('核心假设'!$B$5,15+$F9),CA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CA$4=EDATE(EDATE('核心假设'!$B$5,15+$F9),$D9),SUM('融资租赁与资金缺口'!$D$5:$D$16)*$AB9*'核心假设'!$B$32,0),0),IF(AND(CA$4&gt;EDATE('核心假设'!$B$5,16+$F9),CA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CA$4=EDATE(EDATE('核心假设'!$B$5,16+$F9),$D9),SUM('融资租赁与资金缺口'!$D$5:$D$16)*$AC9*'核心假设'!$B$32,0),0),IF(AND(CA$4&gt;EDATE('核心假设'!$B$5,17+$F9),CA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CA$4=EDATE(EDATE('核心假设'!$B$5,17+$F9),$D9),SUM('融资租赁与资金缺口'!$D$5:$D$16)*$AD9*'核心假设'!$B$32,0),0))</x:f>
        <x:v>8150177.765556046</x:v>
      </x:c>
      <x:c r="CB31" s="28" t="n">
        <x:f>SUM(IF(AND(CB$4&gt;EDATE('核心假设'!$B$5,0+$F9),CB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CB$4=EDATE(EDATE('核心假设'!$B$5,0+$F9),$D9),SUM('融资租赁与资金缺口'!$D$5:$D$16)*$M9*'核心假设'!$B$32,0),0),IF(AND(CB$4&gt;EDATE('核心假设'!$B$5,1+$F9),CB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CB$4=EDATE(EDATE('核心假设'!$B$5,1+$F9),$D9),SUM('融资租赁与资金缺口'!$D$5:$D$16)*$N9*'核心假设'!$B$32,0),0),IF(AND(CB$4&gt;EDATE('核心假设'!$B$5,2+$F9),CB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CB$4=EDATE(EDATE('核心假设'!$B$5,2+$F9),$D9),SUM('融资租赁与资金缺口'!$D$5:$D$16)*$O9*'核心假设'!$B$32,0),0),IF(AND(CB$4&gt;EDATE('核心假设'!$B$5,3+$F9),CB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CB$4=EDATE(EDATE('核心假设'!$B$5,3+$F9),$D9),SUM('融资租赁与资金缺口'!$D$5:$D$16)*$P9*'核心假设'!$B$32,0),0),IF(AND(CB$4&gt;EDATE('核心假设'!$B$5,4+$F9),CB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CB$4=EDATE(EDATE('核心假设'!$B$5,4+$F9),$D9),SUM('融资租赁与资金缺口'!$D$5:$D$16)*$Q9*'核心假设'!$B$32,0),0),IF(AND(CB$4&gt;EDATE('核心假设'!$B$5,5+$F9),CB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CB$4=EDATE(EDATE('核心假设'!$B$5,5+$F9),$D9),SUM('融资租赁与资金缺口'!$D$5:$D$16)*$R9*'核心假设'!$B$32,0),0),IF(AND(CB$4&gt;EDATE('核心假设'!$B$5,6+$F9),CB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CB$4=EDATE(EDATE('核心假设'!$B$5,6+$F9),$D9),SUM('融资租赁与资金缺口'!$D$5:$D$16)*$S9*'核心假设'!$B$32,0),0),IF(AND(CB$4&gt;EDATE('核心假设'!$B$5,7+$F9),CB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CB$4=EDATE(EDATE('核心假设'!$B$5,7+$F9),$D9),SUM('融资租赁与资金缺口'!$D$5:$D$16)*$T9*'核心假设'!$B$32,0),0),IF(AND(CB$4&gt;EDATE('核心假设'!$B$5,8+$F9),CB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CB$4=EDATE(EDATE('核心假设'!$B$5,8+$F9),$D9),SUM('融资租赁与资金缺口'!$D$5:$D$16)*$U9*'核心假设'!$B$32,0),0),IF(AND(CB$4&gt;EDATE('核心假设'!$B$5,9+$F9),CB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CB$4=EDATE(EDATE('核心假设'!$B$5,9+$F9),$D9),SUM('融资租赁与资金缺口'!$D$5:$D$16)*$V9*'核心假设'!$B$32,0),0),IF(AND(CB$4&gt;EDATE('核心假设'!$B$5,10+$F9),CB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CB$4=EDATE(EDATE('核心假设'!$B$5,10+$F9),$D9),SUM('融资租赁与资金缺口'!$D$5:$D$16)*$W9*'核心假设'!$B$32,0),0),IF(AND(CB$4&gt;EDATE('核心假设'!$B$5,11+$F9),CB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CB$4=EDATE(EDATE('核心假设'!$B$5,11+$F9),$D9),SUM('融资租赁与资金缺口'!$D$5:$D$16)*$X9*'核心假设'!$B$32,0),0),IF(AND(CB$4&gt;EDATE('核心假设'!$B$5,12+$F9),CB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CB$4=EDATE(EDATE('核心假设'!$B$5,12+$F9),$D9),SUM('融资租赁与资金缺口'!$D$5:$D$16)*$Y9*'核心假设'!$B$32,0),0),IF(AND(CB$4&gt;EDATE('核心假设'!$B$5,13+$F9),CB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CB$4=EDATE(EDATE('核心假设'!$B$5,13+$F9),$D9),SUM('融资租赁与资金缺口'!$D$5:$D$16)*$Z9*'核心假设'!$B$32,0),0),IF(AND(CB$4&gt;EDATE('核心假设'!$B$5,14+$F9),CB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CB$4=EDATE(EDATE('核心假设'!$B$5,14+$F9),$D9),SUM('融资租赁与资金缺口'!$D$5:$D$16)*$AA9*'核心假设'!$B$32,0),0),IF(AND(CB$4&gt;EDATE('核心假设'!$B$5,15+$F9),CB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CB$4=EDATE(EDATE('核心假设'!$B$5,15+$F9),$D9),SUM('融资租赁与资金缺口'!$D$5:$D$16)*$AB9*'核心假设'!$B$32,0),0),IF(AND(CB$4&gt;EDATE('核心假设'!$B$5,16+$F9),CB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CB$4=EDATE(EDATE('核心假设'!$B$5,16+$F9),$D9),SUM('融资租赁与资金缺口'!$D$5:$D$16)*$AC9*'核心假设'!$B$32,0),0),IF(AND(CB$4&gt;EDATE('核心假设'!$B$5,17+$F9),CB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CB$4=EDATE(EDATE('核心假设'!$B$5,17+$F9),$D9),SUM('融资租赁与资金缺口'!$D$5:$D$16)*$AD9*'核心假设'!$B$32,0),0))</x:f>
        <x:v>6967806.583840996</x:v>
      </x:c>
      <x:c r="CC31" s="28" t="n">
        <x:f>SUM(IF(AND(CC$4&gt;EDATE('核心假设'!$B$5,0+$F9),CC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CC$4=EDATE(EDATE('核心假设'!$B$5,0+$F9),$D9),SUM('融资租赁与资金缺口'!$D$5:$D$16)*$M9*'核心假设'!$B$32,0),0),IF(AND(CC$4&gt;EDATE('核心假设'!$B$5,1+$F9),CC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CC$4=EDATE(EDATE('核心假设'!$B$5,1+$F9),$D9),SUM('融资租赁与资金缺口'!$D$5:$D$16)*$N9*'核心假设'!$B$32,0),0),IF(AND(CC$4&gt;EDATE('核心假设'!$B$5,2+$F9),CC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CC$4=EDATE(EDATE('核心假设'!$B$5,2+$F9),$D9),SUM('融资租赁与资金缺口'!$D$5:$D$16)*$O9*'核心假设'!$B$32,0),0),IF(AND(CC$4&gt;EDATE('核心假设'!$B$5,3+$F9),CC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CC$4=EDATE(EDATE('核心假设'!$B$5,3+$F9),$D9),SUM('融资租赁与资金缺口'!$D$5:$D$16)*$P9*'核心假设'!$B$32,0),0),IF(AND(CC$4&gt;EDATE('核心假设'!$B$5,4+$F9),CC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CC$4=EDATE(EDATE('核心假设'!$B$5,4+$F9),$D9),SUM('融资租赁与资金缺口'!$D$5:$D$16)*$Q9*'核心假设'!$B$32,0),0),IF(AND(CC$4&gt;EDATE('核心假设'!$B$5,5+$F9),CC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CC$4=EDATE(EDATE('核心假设'!$B$5,5+$F9),$D9),SUM('融资租赁与资金缺口'!$D$5:$D$16)*$R9*'核心假设'!$B$32,0),0),IF(AND(CC$4&gt;EDATE('核心假设'!$B$5,6+$F9),CC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CC$4=EDATE(EDATE('核心假设'!$B$5,6+$F9),$D9),SUM('融资租赁与资金缺口'!$D$5:$D$16)*$S9*'核心假设'!$B$32,0),0),IF(AND(CC$4&gt;EDATE('核心假设'!$B$5,7+$F9),CC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CC$4=EDATE(EDATE('核心假设'!$B$5,7+$F9),$D9),SUM('融资租赁与资金缺口'!$D$5:$D$16)*$T9*'核心假设'!$B$32,0),0),IF(AND(CC$4&gt;EDATE('核心假设'!$B$5,8+$F9),CC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CC$4=EDATE(EDATE('核心假设'!$B$5,8+$F9),$D9),SUM('融资租赁与资金缺口'!$D$5:$D$16)*$U9*'核心假设'!$B$32,0),0),IF(AND(CC$4&gt;EDATE('核心假设'!$B$5,9+$F9),CC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CC$4=EDATE(EDATE('核心假设'!$B$5,9+$F9),$D9),SUM('融资租赁与资金缺口'!$D$5:$D$16)*$V9*'核心假设'!$B$32,0),0),IF(AND(CC$4&gt;EDATE('核心假设'!$B$5,10+$F9),CC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CC$4=EDATE(EDATE('核心假设'!$B$5,10+$F9),$D9),SUM('融资租赁与资金缺口'!$D$5:$D$16)*$W9*'核心假设'!$B$32,0),0),IF(AND(CC$4&gt;EDATE('核心假设'!$B$5,11+$F9),CC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CC$4=EDATE(EDATE('核心假设'!$B$5,11+$F9),$D9),SUM('融资租赁与资金缺口'!$D$5:$D$16)*$X9*'核心假设'!$B$32,0),0),IF(AND(CC$4&gt;EDATE('核心假设'!$B$5,12+$F9),CC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CC$4=EDATE(EDATE('核心假设'!$B$5,12+$F9),$D9),SUM('融资租赁与资金缺口'!$D$5:$D$16)*$Y9*'核心假设'!$B$32,0),0),IF(AND(CC$4&gt;EDATE('核心假设'!$B$5,13+$F9),CC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CC$4=EDATE(EDATE('核心假设'!$B$5,13+$F9),$D9),SUM('融资租赁与资金缺口'!$D$5:$D$16)*$Z9*'核心假设'!$B$32,0),0),IF(AND(CC$4&gt;EDATE('核心假设'!$B$5,14+$F9),CC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CC$4=EDATE(EDATE('核心假设'!$B$5,14+$F9),$D9),SUM('融资租赁与资金缺口'!$D$5:$D$16)*$AA9*'核心假设'!$B$32,0),0),IF(AND(CC$4&gt;EDATE('核心假设'!$B$5,15+$F9),CC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CC$4=EDATE(EDATE('核心假设'!$B$5,15+$F9),$D9),SUM('融资租赁与资金缺口'!$D$5:$D$16)*$AB9*'核心假设'!$B$32,0),0),IF(AND(CC$4&gt;EDATE('核心假设'!$B$5,16+$F9),CC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CC$4=EDATE(EDATE('核心假设'!$B$5,16+$F9),$D9),SUM('融资租赁与资金缺口'!$D$5:$D$16)*$AC9*'核心假设'!$B$32,0),0),IF(AND(CC$4&gt;EDATE('核心假设'!$B$5,17+$F9),CC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CC$4=EDATE(EDATE('核心假设'!$B$5,17+$F9),$D9),SUM('融资租赁与资金缺口'!$D$5:$D$16)*$AD9*'核心假设'!$B$32,0),0))</x:f>
        <x:v>5785435.402125945</x:v>
      </x:c>
      <x:c r="CD31" s="28" t="n">
        <x:f>SUM(IF(AND(CD$4&gt;EDATE('核心假设'!$B$5,0+$F9),CD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CD$4=EDATE(EDATE('核心假设'!$B$5,0+$F9),$D9),SUM('融资租赁与资金缺口'!$D$5:$D$16)*$M9*'核心假设'!$B$32,0),0),IF(AND(CD$4&gt;EDATE('核心假设'!$B$5,1+$F9),CD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CD$4=EDATE(EDATE('核心假设'!$B$5,1+$F9),$D9),SUM('融资租赁与资金缺口'!$D$5:$D$16)*$N9*'核心假设'!$B$32,0),0),IF(AND(CD$4&gt;EDATE('核心假设'!$B$5,2+$F9),CD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CD$4=EDATE(EDATE('核心假设'!$B$5,2+$F9),$D9),SUM('融资租赁与资金缺口'!$D$5:$D$16)*$O9*'核心假设'!$B$32,0),0),IF(AND(CD$4&gt;EDATE('核心假设'!$B$5,3+$F9),CD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CD$4=EDATE(EDATE('核心假设'!$B$5,3+$F9),$D9),SUM('融资租赁与资金缺口'!$D$5:$D$16)*$P9*'核心假设'!$B$32,0),0),IF(AND(CD$4&gt;EDATE('核心假设'!$B$5,4+$F9),CD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CD$4=EDATE(EDATE('核心假设'!$B$5,4+$F9),$D9),SUM('融资租赁与资金缺口'!$D$5:$D$16)*$Q9*'核心假设'!$B$32,0),0),IF(AND(CD$4&gt;EDATE('核心假设'!$B$5,5+$F9),CD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CD$4=EDATE(EDATE('核心假设'!$B$5,5+$F9),$D9),SUM('融资租赁与资金缺口'!$D$5:$D$16)*$R9*'核心假设'!$B$32,0),0),IF(AND(CD$4&gt;EDATE('核心假设'!$B$5,6+$F9),CD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CD$4=EDATE(EDATE('核心假设'!$B$5,6+$F9),$D9),SUM('融资租赁与资金缺口'!$D$5:$D$16)*$S9*'核心假设'!$B$32,0),0),IF(AND(CD$4&gt;EDATE('核心假设'!$B$5,7+$F9),CD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CD$4=EDATE(EDATE('核心假设'!$B$5,7+$F9),$D9),SUM('融资租赁与资金缺口'!$D$5:$D$16)*$T9*'核心假设'!$B$32,0),0),IF(AND(CD$4&gt;EDATE('核心假设'!$B$5,8+$F9),CD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CD$4=EDATE(EDATE('核心假设'!$B$5,8+$F9),$D9),SUM('融资租赁与资金缺口'!$D$5:$D$16)*$U9*'核心假设'!$B$32,0),0),IF(AND(CD$4&gt;EDATE('核心假设'!$B$5,9+$F9),CD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CD$4=EDATE(EDATE('核心假设'!$B$5,9+$F9),$D9),SUM('融资租赁与资金缺口'!$D$5:$D$16)*$V9*'核心假设'!$B$32,0),0),IF(AND(CD$4&gt;EDATE('核心假设'!$B$5,10+$F9),CD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CD$4=EDATE(EDATE('核心假设'!$B$5,10+$F9),$D9),SUM('融资租赁与资金缺口'!$D$5:$D$16)*$W9*'核心假设'!$B$32,0),0),IF(AND(CD$4&gt;EDATE('核心假设'!$B$5,11+$F9),CD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CD$4=EDATE(EDATE('核心假设'!$B$5,11+$F9),$D9),SUM('融资租赁与资金缺口'!$D$5:$D$16)*$X9*'核心假设'!$B$32,0),0),IF(AND(CD$4&gt;EDATE('核心假设'!$B$5,12+$F9),CD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CD$4=EDATE(EDATE('核心假设'!$B$5,12+$F9),$D9),SUM('融资租赁与资金缺口'!$D$5:$D$16)*$Y9*'核心假设'!$B$32,0),0),IF(AND(CD$4&gt;EDATE('核心假设'!$B$5,13+$F9),CD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CD$4=EDATE(EDATE('核心假设'!$B$5,13+$F9),$D9),SUM('融资租赁与资金缺口'!$D$5:$D$16)*$Z9*'核心假设'!$B$32,0),0),IF(AND(CD$4&gt;EDATE('核心假设'!$B$5,14+$F9),CD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CD$4=EDATE(EDATE('核心假设'!$B$5,14+$F9),$D9),SUM('融资租赁与资金缺口'!$D$5:$D$16)*$AA9*'核心假设'!$B$32,0),0),IF(AND(CD$4&gt;EDATE('核心假设'!$B$5,15+$F9),CD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CD$4=EDATE(EDATE('核心假设'!$B$5,15+$F9),$D9),SUM('融资租赁与资金缺口'!$D$5:$D$16)*$AB9*'核心假设'!$B$32,0),0),IF(AND(CD$4&gt;EDATE('核心假设'!$B$5,16+$F9),CD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CD$4=EDATE(EDATE('核心假设'!$B$5,16+$F9),$D9),SUM('融资租赁与资金缺口'!$D$5:$D$16)*$AC9*'核心假设'!$B$32,0),0),IF(AND(CD$4&gt;EDATE('核心假设'!$B$5,17+$F9),CD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CD$4=EDATE(EDATE('核心假设'!$B$5,17+$F9),$D9),SUM('融资租赁与资金缺口'!$D$5:$D$16)*$AD9*'核心假设'!$B$32,0),0))</x:f>
        <x:v>4548734.220410895</x:v>
      </x:c>
      <x:c r="CE31" s="28" t="n">
        <x:f>SUM(IF(AND(CE$4&gt;EDATE('核心假设'!$B$5,0+$F9),CE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CE$4=EDATE(EDATE('核心假设'!$B$5,0+$F9),$D9),SUM('融资租赁与资金缺口'!$D$5:$D$16)*$M9*'核心假设'!$B$32,0),0),IF(AND(CE$4&gt;EDATE('核心假设'!$B$5,1+$F9),CE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CE$4=EDATE(EDATE('核心假设'!$B$5,1+$F9),$D9),SUM('融资租赁与资金缺口'!$D$5:$D$16)*$N9*'核心假设'!$B$32,0),0),IF(AND(CE$4&gt;EDATE('核心假设'!$B$5,2+$F9),CE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CE$4=EDATE(EDATE('核心假设'!$B$5,2+$F9),$D9),SUM('融资租赁与资金缺口'!$D$5:$D$16)*$O9*'核心假设'!$B$32,0),0),IF(AND(CE$4&gt;EDATE('核心假设'!$B$5,3+$F9),CE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CE$4=EDATE(EDATE('核心假设'!$B$5,3+$F9),$D9),SUM('融资租赁与资金缺口'!$D$5:$D$16)*$P9*'核心假设'!$B$32,0),0),IF(AND(CE$4&gt;EDATE('核心假设'!$B$5,4+$F9),CE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CE$4=EDATE(EDATE('核心假设'!$B$5,4+$F9),$D9),SUM('融资租赁与资金缺口'!$D$5:$D$16)*$Q9*'核心假设'!$B$32,0),0),IF(AND(CE$4&gt;EDATE('核心假设'!$B$5,5+$F9),CE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CE$4=EDATE(EDATE('核心假设'!$B$5,5+$F9),$D9),SUM('融资租赁与资金缺口'!$D$5:$D$16)*$R9*'核心假设'!$B$32,0),0),IF(AND(CE$4&gt;EDATE('核心假设'!$B$5,6+$F9),CE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CE$4=EDATE(EDATE('核心假设'!$B$5,6+$F9),$D9),SUM('融资租赁与资金缺口'!$D$5:$D$16)*$S9*'核心假设'!$B$32,0),0),IF(AND(CE$4&gt;EDATE('核心假设'!$B$5,7+$F9),CE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CE$4=EDATE(EDATE('核心假设'!$B$5,7+$F9),$D9),SUM('融资租赁与资金缺口'!$D$5:$D$16)*$T9*'核心假设'!$B$32,0),0),IF(AND(CE$4&gt;EDATE('核心假设'!$B$5,8+$F9),CE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CE$4=EDATE(EDATE('核心假设'!$B$5,8+$F9),$D9),SUM('融资租赁与资金缺口'!$D$5:$D$16)*$U9*'核心假设'!$B$32,0),0),IF(AND(CE$4&gt;EDATE('核心假设'!$B$5,9+$F9),CE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CE$4=EDATE(EDATE('核心假设'!$B$5,9+$F9),$D9),SUM('融资租赁与资金缺口'!$D$5:$D$16)*$V9*'核心假设'!$B$32,0),0),IF(AND(CE$4&gt;EDATE('核心假设'!$B$5,10+$F9),CE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CE$4=EDATE(EDATE('核心假设'!$B$5,10+$F9),$D9),SUM('融资租赁与资金缺口'!$D$5:$D$16)*$W9*'核心假设'!$B$32,0),0),IF(AND(CE$4&gt;EDATE('核心假设'!$B$5,11+$F9),CE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CE$4=EDATE(EDATE('核心假设'!$B$5,11+$F9),$D9),SUM('融资租赁与资金缺口'!$D$5:$D$16)*$X9*'核心假设'!$B$32,0),0),IF(AND(CE$4&gt;EDATE('核心假设'!$B$5,12+$F9),CE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CE$4=EDATE(EDATE('核心假设'!$B$5,12+$F9),$D9),SUM('融资租赁与资金缺口'!$D$5:$D$16)*$Y9*'核心假设'!$B$32,0),0),IF(AND(CE$4&gt;EDATE('核心假设'!$B$5,13+$F9),CE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CE$4=EDATE(EDATE('核心假设'!$B$5,13+$F9),$D9),SUM('融资租赁与资金缺口'!$D$5:$D$16)*$Z9*'核心假设'!$B$32,0),0),IF(AND(CE$4&gt;EDATE('核心假设'!$B$5,14+$F9),CE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CE$4=EDATE(EDATE('核心假设'!$B$5,14+$F9),$D9),SUM('融资租赁与资金缺口'!$D$5:$D$16)*$AA9*'核心假设'!$B$32,0),0),IF(AND(CE$4&gt;EDATE('核心假设'!$B$5,15+$F9),CE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CE$4=EDATE(EDATE('核心假设'!$B$5,15+$F9),$D9),SUM('融资租赁与资金缺口'!$D$5:$D$16)*$AB9*'核心假设'!$B$32,0),0),IF(AND(CE$4&gt;EDATE('核心假设'!$B$5,16+$F9),CE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CE$4=EDATE(EDATE('核心假设'!$B$5,16+$F9),$D9),SUM('融资租赁与资金缺口'!$D$5:$D$16)*$AC9*'核心假设'!$B$32,0),0),IF(AND(CE$4&gt;EDATE('核心假设'!$B$5,17+$F9),CE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CE$4=EDATE(EDATE('核心假设'!$B$5,17+$F9),$D9),SUM('融资租赁与资金缺口'!$D$5:$D$16)*$AD9*'核心假设'!$B$32,0),0))</x:f>
        <x:v>3535273.20751228</x:v>
      </x:c>
      <x:c r="CF31" s="28" t="n">
        <x:f>SUM(IF(AND(CF$4&gt;EDATE('核心假设'!$B$5,0+$F9),CF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CF$4=EDATE(EDATE('核心假设'!$B$5,0+$F9),$D9),SUM('融资租赁与资金缺口'!$D$5:$D$16)*$M9*'核心假设'!$B$32,0),0),IF(AND(CF$4&gt;EDATE('核心假设'!$B$5,1+$F9),CF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CF$4=EDATE(EDATE('核心假设'!$B$5,1+$F9),$D9),SUM('融资租赁与资金缺口'!$D$5:$D$16)*$N9*'核心假设'!$B$32,0),0),IF(AND(CF$4&gt;EDATE('核心假设'!$B$5,2+$F9),CF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CF$4=EDATE(EDATE('核心假设'!$B$5,2+$F9),$D9),SUM('融资租赁与资金缺口'!$D$5:$D$16)*$O9*'核心假设'!$B$32,0),0),IF(AND(CF$4&gt;EDATE('核心假设'!$B$5,3+$F9),CF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CF$4=EDATE(EDATE('核心假设'!$B$5,3+$F9),$D9),SUM('融资租赁与资金缺口'!$D$5:$D$16)*$P9*'核心假设'!$B$32,0),0),IF(AND(CF$4&gt;EDATE('核心假设'!$B$5,4+$F9),CF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CF$4=EDATE(EDATE('核心假设'!$B$5,4+$F9),$D9),SUM('融资租赁与资金缺口'!$D$5:$D$16)*$Q9*'核心假设'!$B$32,0),0),IF(AND(CF$4&gt;EDATE('核心假设'!$B$5,5+$F9),CF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CF$4=EDATE(EDATE('核心假设'!$B$5,5+$F9),$D9),SUM('融资租赁与资金缺口'!$D$5:$D$16)*$R9*'核心假设'!$B$32,0),0),IF(AND(CF$4&gt;EDATE('核心假设'!$B$5,6+$F9),CF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CF$4=EDATE(EDATE('核心假设'!$B$5,6+$F9),$D9),SUM('融资租赁与资金缺口'!$D$5:$D$16)*$S9*'核心假设'!$B$32,0),0),IF(AND(CF$4&gt;EDATE('核心假设'!$B$5,7+$F9),CF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CF$4=EDATE(EDATE('核心假设'!$B$5,7+$F9),$D9),SUM('融资租赁与资金缺口'!$D$5:$D$16)*$T9*'核心假设'!$B$32,0),0),IF(AND(CF$4&gt;EDATE('核心假设'!$B$5,8+$F9),CF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CF$4=EDATE(EDATE('核心假设'!$B$5,8+$F9),$D9),SUM('融资租赁与资金缺口'!$D$5:$D$16)*$U9*'核心假设'!$B$32,0),0),IF(AND(CF$4&gt;EDATE('核心假设'!$B$5,9+$F9),CF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CF$4=EDATE(EDATE('核心假设'!$B$5,9+$F9),$D9),SUM('融资租赁与资金缺口'!$D$5:$D$16)*$V9*'核心假设'!$B$32,0),0),IF(AND(CF$4&gt;EDATE('核心假设'!$B$5,10+$F9),CF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CF$4=EDATE(EDATE('核心假设'!$B$5,10+$F9),$D9),SUM('融资租赁与资金缺口'!$D$5:$D$16)*$W9*'核心假设'!$B$32,0),0),IF(AND(CF$4&gt;EDATE('核心假设'!$B$5,11+$F9),CF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CF$4=EDATE(EDATE('核心假设'!$B$5,11+$F9),$D9),SUM('融资租赁与资金缺口'!$D$5:$D$16)*$X9*'核心假设'!$B$32,0),0),IF(AND(CF$4&gt;EDATE('核心假设'!$B$5,12+$F9),CF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CF$4=EDATE(EDATE('核心假设'!$B$5,12+$F9),$D9),SUM('融资租赁与资金缺口'!$D$5:$D$16)*$Y9*'核心假设'!$B$32,0),0),IF(AND(CF$4&gt;EDATE('核心假设'!$B$5,13+$F9),CF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CF$4=EDATE(EDATE('核心假设'!$B$5,13+$F9),$D9),SUM('融资租赁与资金缺口'!$D$5:$D$16)*$Z9*'核心假设'!$B$32,0),0),IF(AND(CF$4&gt;EDATE('核心假设'!$B$5,14+$F9),CF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CF$4=EDATE(EDATE('核心假设'!$B$5,14+$F9),$D9),SUM('融资租赁与资金缺口'!$D$5:$D$16)*$AA9*'核心假设'!$B$32,0),0),IF(AND(CF$4&gt;EDATE('核心假设'!$B$5,15+$F9),CF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CF$4=EDATE(EDATE('核心假设'!$B$5,15+$F9),$D9),SUM('融资租赁与资金缺口'!$D$5:$D$16)*$AB9*'核心假设'!$B$32,0),0),IF(AND(CF$4&gt;EDATE('核心假设'!$B$5,16+$F9),CF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CF$4=EDATE(EDATE('核心假设'!$B$5,16+$F9),$D9),SUM('融资租赁与资金缺口'!$D$5:$D$16)*$AC9*'核心假设'!$B$32,0),0),IF(AND(CF$4&gt;EDATE('核心假设'!$B$5,17+$F9),CF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CF$4=EDATE(EDATE('核心假设'!$B$5,17+$F9),$D9),SUM('融资租赁与资金缺口'!$D$5:$D$16)*$AD9*'核心假设'!$B$32,0),0))</x:f>
        <x:v>2467482.1946136653</x:v>
      </x:c>
      <x:c r="CG31" s="28" t="n">
        <x:f>SUM(IF(AND(CG$4&gt;EDATE('核心假设'!$B$5,0+$F9),CG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CG$4=EDATE(EDATE('核心假设'!$B$5,0+$F9),$D9),SUM('融资租赁与资金缺口'!$D$5:$D$16)*$M9*'核心假设'!$B$32,0),0),IF(AND(CG$4&gt;EDATE('核心假设'!$B$5,1+$F9),CG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CG$4=EDATE(EDATE('核心假设'!$B$5,1+$F9),$D9),SUM('融资租赁与资金缺口'!$D$5:$D$16)*$N9*'核心假设'!$B$32,0),0),IF(AND(CG$4&gt;EDATE('核心假设'!$B$5,2+$F9),CG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CG$4=EDATE(EDATE('核心假设'!$B$5,2+$F9),$D9),SUM('融资租赁与资金缺口'!$D$5:$D$16)*$O9*'核心假设'!$B$32,0),0),IF(AND(CG$4&gt;EDATE('核心假设'!$B$5,3+$F9),CG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CG$4=EDATE(EDATE('核心假设'!$B$5,3+$F9),$D9),SUM('融资租赁与资金缺口'!$D$5:$D$16)*$P9*'核心假设'!$B$32,0),0),IF(AND(CG$4&gt;EDATE('核心假设'!$B$5,4+$F9),CG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CG$4=EDATE(EDATE('核心假设'!$B$5,4+$F9),$D9),SUM('融资租赁与资金缺口'!$D$5:$D$16)*$Q9*'核心假设'!$B$32,0),0),IF(AND(CG$4&gt;EDATE('核心假设'!$B$5,5+$F9),CG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CG$4=EDATE(EDATE('核心假设'!$B$5,5+$F9),$D9),SUM('融资租赁与资金缺口'!$D$5:$D$16)*$R9*'核心假设'!$B$32,0),0),IF(AND(CG$4&gt;EDATE('核心假设'!$B$5,6+$F9),CG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CG$4=EDATE(EDATE('核心假设'!$B$5,6+$F9),$D9),SUM('融资租赁与资金缺口'!$D$5:$D$16)*$S9*'核心假设'!$B$32,0),0),IF(AND(CG$4&gt;EDATE('核心假设'!$B$5,7+$F9),CG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CG$4=EDATE(EDATE('核心假设'!$B$5,7+$F9),$D9),SUM('融资租赁与资金缺口'!$D$5:$D$16)*$T9*'核心假设'!$B$32,0),0),IF(AND(CG$4&gt;EDATE('核心假设'!$B$5,8+$F9),CG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CG$4=EDATE(EDATE('核心假设'!$B$5,8+$F9),$D9),SUM('融资租赁与资金缺口'!$D$5:$D$16)*$U9*'核心假设'!$B$32,0),0),IF(AND(CG$4&gt;EDATE('核心假设'!$B$5,9+$F9),CG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CG$4=EDATE(EDATE('核心假设'!$B$5,9+$F9),$D9),SUM('融资租赁与资金缺口'!$D$5:$D$16)*$V9*'核心假设'!$B$32,0),0),IF(AND(CG$4&gt;EDATE('核心假设'!$B$5,10+$F9),CG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CG$4=EDATE(EDATE('核心假设'!$B$5,10+$F9),$D9),SUM('融资租赁与资金缺口'!$D$5:$D$16)*$W9*'核心假设'!$B$32,0),0),IF(AND(CG$4&gt;EDATE('核心假设'!$B$5,11+$F9),CG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CG$4=EDATE(EDATE('核心假设'!$B$5,11+$F9),$D9),SUM('融资租赁与资金缺口'!$D$5:$D$16)*$X9*'核心假设'!$B$32,0),0),IF(AND(CG$4&gt;EDATE('核心假设'!$B$5,12+$F9),CG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CG$4=EDATE(EDATE('核心假设'!$B$5,12+$F9),$D9),SUM('融资租赁与资金缺口'!$D$5:$D$16)*$Y9*'核心假设'!$B$32,0),0),IF(AND(CG$4&gt;EDATE('核心假设'!$B$5,13+$F9),CG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CG$4=EDATE(EDATE('核心假设'!$B$5,13+$F9),$D9),SUM('融资租赁与资金缺口'!$D$5:$D$16)*$Z9*'核心假设'!$B$32,0),0),IF(AND(CG$4&gt;EDATE('核心假设'!$B$5,14+$F9),CG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CG$4=EDATE(EDATE('核心假设'!$B$5,14+$F9),$D9),SUM('融资租赁与资金缺口'!$D$5:$D$16)*$AA9*'核心假设'!$B$32,0),0),IF(AND(CG$4&gt;EDATE('核心假设'!$B$5,15+$F9),CG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CG$4=EDATE(EDATE('核心假设'!$B$5,15+$F9),$D9),SUM('融资租赁与资金缺口'!$D$5:$D$16)*$AB9*'核心假设'!$B$32,0),0),IF(AND(CG$4&gt;EDATE('核心假设'!$B$5,16+$F9),CG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CG$4=EDATE(EDATE('核心假设'!$B$5,16+$F9),$D9),SUM('融资租赁与资金缺口'!$D$5:$D$16)*$AC9*'核心假设'!$B$32,0),0),IF(AND(CG$4&gt;EDATE('核心假设'!$B$5,17+$F9),CG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CG$4=EDATE(EDATE('核心假设'!$B$5,17+$F9),$D9),SUM('融资租赁与资金缺口'!$D$5:$D$16)*$AD9*'核心假设'!$B$32,0),0))</x:f>
        <x:v>1568601.3505314863</x:v>
      </x:c>
      <x:c r="CH31" s="28" t="n">
        <x:f>SUM(IF(AND(CH$4&gt;EDATE('核心假设'!$B$5,0+$F9),CH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CH$4=EDATE(EDATE('核心假设'!$B$5,0+$F9),$D9),SUM('融资租赁与资金缺口'!$D$5:$D$16)*$M9*'核心假设'!$B$32,0),0),IF(AND(CH$4&gt;EDATE('核心假设'!$B$5,1+$F9),CH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CH$4=EDATE(EDATE('核心假设'!$B$5,1+$F9),$D9),SUM('融资租赁与资金缺口'!$D$5:$D$16)*$N9*'核心假设'!$B$32,0),0),IF(AND(CH$4&gt;EDATE('核心假设'!$B$5,2+$F9),CH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CH$4=EDATE(EDATE('核心假设'!$B$5,2+$F9),$D9),SUM('融资租赁与资金缺口'!$D$5:$D$16)*$O9*'核心假设'!$B$32,0),0),IF(AND(CH$4&gt;EDATE('核心假设'!$B$5,3+$F9),CH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CH$4=EDATE(EDATE('核心假设'!$B$5,3+$F9),$D9),SUM('融资租赁与资金缺口'!$D$5:$D$16)*$P9*'核心假设'!$B$32,0),0),IF(AND(CH$4&gt;EDATE('核心假设'!$B$5,4+$F9),CH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CH$4=EDATE(EDATE('核心假设'!$B$5,4+$F9),$D9),SUM('融资租赁与资金缺口'!$D$5:$D$16)*$Q9*'核心假设'!$B$32,0),0),IF(AND(CH$4&gt;EDATE('核心假设'!$B$5,5+$F9),CH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CH$4=EDATE(EDATE('核心假设'!$B$5,5+$F9),$D9),SUM('融资租赁与资金缺口'!$D$5:$D$16)*$R9*'核心假设'!$B$32,0),0),IF(AND(CH$4&gt;EDATE('核心假设'!$B$5,6+$F9),CH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CH$4=EDATE(EDATE('核心假设'!$B$5,6+$F9),$D9),SUM('融资租赁与资金缺口'!$D$5:$D$16)*$S9*'核心假设'!$B$32,0),0),IF(AND(CH$4&gt;EDATE('核心假设'!$B$5,7+$F9),CH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CH$4=EDATE(EDATE('核心假设'!$B$5,7+$F9),$D9),SUM('融资租赁与资金缺口'!$D$5:$D$16)*$T9*'核心假设'!$B$32,0),0),IF(AND(CH$4&gt;EDATE('核心假设'!$B$5,8+$F9),CH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CH$4=EDATE(EDATE('核心假设'!$B$5,8+$F9),$D9),SUM('融资租赁与资金缺口'!$D$5:$D$16)*$U9*'核心假设'!$B$32,0),0),IF(AND(CH$4&gt;EDATE('核心假设'!$B$5,9+$F9),CH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CH$4=EDATE(EDATE('核心假设'!$B$5,9+$F9),$D9),SUM('融资租赁与资金缺口'!$D$5:$D$16)*$V9*'核心假设'!$B$32,0),0),IF(AND(CH$4&gt;EDATE('核心假设'!$B$5,10+$F9),CH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CH$4=EDATE(EDATE('核心假设'!$B$5,10+$F9),$D9),SUM('融资租赁与资金缺口'!$D$5:$D$16)*$W9*'核心假设'!$B$32,0),0),IF(AND(CH$4&gt;EDATE('核心假设'!$B$5,11+$F9),CH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CH$4=EDATE(EDATE('核心假设'!$B$5,11+$F9),$D9),SUM('融资租赁与资金缺口'!$D$5:$D$16)*$X9*'核心假设'!$B$32,0),0),IF(AND(CH$4&gt;EDATE('核心假设'!$B$5,12+$F9),CH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CH$4=EDATE(EDATE('核心假设'!$B$5,12+$F9),$D9),SUM('融资租赁与资金缺口'!$D$5:$D$16)*$Y9*'核心假设'!$B$32,0),0),IF(AND(CH$4&gt;EDATE('核心假设'!$B$5,13+$F9),CH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CH$4=EDATE(EDATE('核心假设'!$B$5,13+$F9),$D9),SUM('融资租赁与资金缺口'!$D$5:$D$16)*$Z9*'核心假设'!$B$32,0),0),IF(AND(CH$4&gt;EDATE('核心假设'!$B$5,14+$F9),CH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CH$4=EDATE(EDATE('核心假设'!$B$5,14+$F9),$D9),SUM('融资租赁与资金缺口'!$D$5:$D$16)*$AA9*'核心假设'!$B$32,0),0),IF(AND(CH$4&gt;EDATE('核心假设'!$B$5,15+$F9),CH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CH$4=EDATE(EDATE('核心假设'!$B$5,15+$F9),$D9),SUM('融资租赁与资金缺口'!$D$5:$D$16)*$AB9*'核心假设'!$B$32,0),0),IF(AND(CH$4&gt;EDATE('核心假设'!$B$5,16+$F9),CH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CH$4=EDATE(EDATE('核心假设'!$B$5,16+$F9),$D9),SUM('融资租赁与资金缺口'!$D$5:$D$16)*$AC9*'核心假设'!$B$32,0),0),IF(AND(CH$4&gt;EDATE('核心假设'!$B$5,17+$F9),CH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CH$4=EDATE(EDATE('核心假设'!$B$5,17+$F9),$D9),SUM('融资租赁与资金缺口'!$D$5:$D$16)*$AD9*'核心假设'!$B$32,0),0))</x:f>
        <x:v>892960.6752657432</x:v>
      </x:c>
      <x:c r="CI31" s="28" t="n">
        <x:f>SUM(IF(AND(CI$4&gt;EDATE('核心假设'!$B$5,0+$F9),CI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CI$4=EDATE(EDATE('核心假设'!$B$5,0+$F9),$D9),SUM('融资租赁与资金缺口'!$D$5:$D$16)*$M9*'核心假设'!$B$32,0),0),IF(AND(CI$4&gt;EDATE('核心假设'!$B$5,1+$F9),CI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CI$4=EDATE(EDATE('核心假设'!$B$5,1+$F9),$D9),SUM('融资租赁与资金缺口'!$D$5:$D$16)*$N9*'核心假设'!$B$32,0),0),IF(AND(CI$4&gt;EDATE('核心假设'!$B$5,2+$F9),CI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CI$4=EDATE(EDATE('核心假设'!$B$5,2+$F9),$D9),SUM('融资租赁与资金缺口'!$D$5:$D$16)*$O9*'核心假设'!$B$32,0),0),IF(AND(CI$4&gt;EDATE('核心假设'!$B$5,3+$F9),CI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CI$4=EDATE(EDATE('核心假设'!$B$5,3+$F9),$D9),SUM('融资租赁与资金缺口'!$D$5:$D$16)*$P9*'核心假设'!$B$32,0),0),IF(AND(CI$4&gt;EDATE('核心假设'!$B$5,4+$F9),CI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CI$4=EDATE(EDATE('核心假设'!$B$5,4+$F9),$D9),SUM('融资租赁与资金缺口'!$D$5:$D$16)*$Q9*'核心假设'!$B$32,0),0),IF(AND(CI$4&gt;EDATE('核心假设'!$B$5,5+$F9),CI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CI$4=EDATE(EDATE('核心假设'!$B$5,5+$F9),$D9),SUM('融资租赁与资金缺口'!$D$5:$D$16)*$R9*'核心假设'!$B$32,0),0),IF(AND(CI$4&gt;EDATE('核心假设'!$B$5,6+$F9),CI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CI$4=EDATE(EDATE('核心假设'!$B$5,6+$F9),$D9),SUM('融资租赁与资金缺口'!$D$5:$D$16)*$S9*'核心假设'!$B$32,0),0),IF(AND(CI$4&gt;EDATE('核心假设'!$B$5,7+$F9),CI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CI$4=EDATE(EDATE('核心假设'!$B$5,7+$F9),$D9),SUM('融资租赁与资金缺口'!$D$5:$D$16)*$T9*'核心假设'!$B$32,0),0),IF(AND(CI$4&gt;EDATE('核心假设'!$B$5,8+$F9),CI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CI$4=EDATE(EDATE('核心假设'!$B$5,8+$F9),$D9),SUM('融资租赁与资金缺口'!$D$5:$D$16)*$U9*'核心假设'!$B$32,0),0),IF(AND(CI$4&gt;EDATE('核心假设'!$B$5,9+$F9),CI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CI$4=EDATE(EDATE('核心假设'!$B$5,9+$F9),$D9),SUM('融资租赁与资金缺口'!$D$5:$D$16)*$V9*'核心假设'!$B$32,0),0),IF(AND(CI$4&gt;EDATE('核心假设'!$B$5,10+$F9),CI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CI$4=EDATE(EDATE('核心假设'!$B$5,10+$F9),$D9),SUM('融资租赁与资金缺口'!$D$5:$D$16)*$W9*'核心假设'!$B$32,0),0),IF(AND(CI$4&gt;EDATE('核心假设'!$B$5,11+$F9),CI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CI$4=EDATE(EDATE('核心假设'!$B$5,11+$F9),$D9),SUM('融资租赁与资金缺口'!$D$5:$D$16)*$X9*'核心假设'!$B$32,0),0),IF(AND(CI$4&gt;EDATE('核心假设'!$B$5,12+$F9),CI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CI$4=EDATE(EDATE('核心假设'!$B$5,12+$F9),$D9),SUM('融资租赁与资金缺口'!$D$5:$D$16)*$Y9*'核心假设'!$B$32,0),0),IF(AND(CI$4&gt;EDATE('核心假设'!$B$5,13+$F9),CI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CI$4=EDATE(EDATE('核心假设'!$B$5,13+$F9),$D9),SUM('融资租赁与资金缺口'!$D$5:$D$16)*$Z9*'核心假设'!$B$32,0),0),IF(AND(CI$4&gt;EDATE('核心假设'!$B$5,14+$F9),CI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CI$4=EDATE(EDATE('核心假设'!$B$5,14+$F9),$D9),SUM('融资租赁与资金缺口'!$D$5:$D$16)*$AA9*'核心假设'!$B$32,0),0),IF(AND(CI$4&gt;EDATE('核心假设'!$B$5,15+$F9),CI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CI$4=EDATE(EDATE('核心假设'!$B$5,15+$F9),$D9),SUM('融资租赁与资金缺口'!$D$5:$D$16)*$AB9*'核心假设'!$B$32,0),0),IF(AND(CI$4&gt;EDATE('核心假设'!$B$5,16+$F9),CI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CI$4=EDATE(EDATE('核心假设'!$B$5,16+$F9),$D9),SUM('融资租赁与资金缺口'!$D$5:$D$16)*$AC9*'核心假设'!$B$32,0),0),IF(AND(CI$4&gt;EDATE('核心假设'!$B$5,17+$F9),CI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CI$4=EDATE(EDATE('核心假设'!$B$5,17+$F9),$D9),SUM('融资租赁与资金缺口'!$D$5:$D$16)*$AD9*'核心假设'!$B$32,0),0))</x:f>
        <x:v>0</x:v>
      </x:c>
      <x:c r="CJ31" s="28" t="n">
        <x:f>SUM(IF(AND(CJ$4&gt;EDATE('核心假设'!$B$5,0+$F9),CJ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CJ$4=EDATE(EDATE('核心假设'!$B$5,0+$F9),$D9),SUM('融资租赁与资金缺口'!$D$5:$D$16)*$M9*'核心假设'!$B$32,0),0),IF(AND(CJ$4&gt;EDATE('核心假设'!$B$5,1+$F9),CJ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CJ$4=EDATE(EDATE('核心假设'!$B$5,1+$F9),$D9),SUM('融资租赁与资金缺口'!$D$5:$D$16)*$N9*'核心假设'!$B$32,0),0),IF(AND(CJ$4&gt;EDATE('核心假设'!$B$5,2+$F9),CJ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CJ$4=EDATE(EDATE('核心假设'!$B$5,2+$F9),$D9),SUM('融资租赁与资金缺口'!$D$5:$D$16)*$O9*'核心假设'!$B$32,0),0),IF(AND(CJ$4&gt;EDATE('核心假设'!$B$5,3+$F9),CJ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CJ$4=EDATE(EDATE('核心假设'!$B$5,3+$F9),$D9),SUM('融资租赁与资金缺口'!$D$5:$D$16)*$P9*'核心假设'!$B$32,0),0),IF(AND(CJ$4&gt;EDATE('核心假设'!$B$5,4+$F9),CJ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CJ$4=EDATE(EDATE('核心假设'!$B$5,4+$F9),$D9),SUM('融资租赁与资金缺口'!$D$5:$D$16)*$Q9*'核心假设'!$B$32,0),0),IF(AND(CJ$4&gt;EDATE('核心假设'!$B$5,5+$F9),CJ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CJ$4=EDATE(EDATE('核心假设'!$B$5,5+$F9),$D9),SUM('融资租赁与资金缺口'!$D$5:$D$16)*$R9*'核心假设'!$B$32,0),0),IF(AND(CJ$4&gt;EDATE('核心假设'!$B$5,6+$F9),CJ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CJ$4=EDATE(EDATE('核心假设'!$B$5,6+$F9),$D9),SUM('融资租赁与资金缺口'!$D$5:$D$16)*$S9*'核心假设'!$B$32,0),0),IF(AND(CJ$4&gt;EDATE('核心假设'!$B$5,7+$F9),CJ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CJ$4=EDATE(EDATE('核心假设'!$B$5,7+$F9),$D9),SUM('融资租赁与资金缺口'!$D$5:$D$16)*$T9*'核心假设'!$B$32,0),0),IF(AND(CJ$4&gt;EDATE('核心假设'!$B$5,8+$F9),CJ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CJ$4=EDATE(EDATE('核心假设'!$B$5,8+$F9),$D9),SUM('融资租赁与资金缺口'!$D$5:$D$16)*$U9*'核心假设'!$B$32,0),0),IF(AND(CJ$4&gt;EDATE('核心假设'!$B$5,9+$F9),CJ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CJ$4=EDATE(EDATE('核心假设'!$B$5,9+$F9),$D9),SUM('融资租赁与资金缺口'!$D$5:$D$16)*$V9*'核心假设'!$B$32,0),0),IF(AND(CJ$4&gt;EDATE('核心假设'!$B$5,10+$F9),CJ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CJ$4=EDATE(EDATE('核心假设'!$B$5,10+$F9),$D9),SUM('融资租赁与资金缺口'!$D$5:$D$16)*$W9*'核心假设'!$B$32,0),0),IF(AND(CJ$4&gt;EDATE('核心假设'!$B$5,11+$F9),CJ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CJ$4=EDATE(EDATE('核心假设'!$B$5,11+$F9),$D9),SUM('融资租赁与资金缺口'!$D$5:$D$16)*$X9*'核心假设'!$B$32,0),0),IF(AND(CJ$4&gt;EDATE('核心假设'!$B$5,12+$F9),CJ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CJ$4=EDATE(EDATE('核心假设'!$B$5,12+$F9),$D9),SUM('融资租赁与资金缺口'!$D$5:$D$16)*$Y9*'核心假设'!$B$32,0),0),IF(AND(CJ$4&gt;EDATE('核心假设'!$B$5,13+$F9),CJ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CJ$4=EDATE(EDATE('核心假设'!$B$5,13+$F9),$D9),SUM('融资租赁与资金缺口'!$D$5:$D$16)*$Z9*'核心假设'!$B$32,0),0),IF(AND(CJ$4&gt;EDATE('核心假设'!$B$5,14+$F9),CJ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CJ$4=EDATE(EDATE('核心假设'!$B$5,14+$F9),$D9),SUM('融资租赁与资金缺口'!$D$5:$D$16)*$AA9*'核心假设'!$B$32,0),0),IF(AND(CJ$4&gt;EDATE('核心假设'!$B$5,15+$F9),CJ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CJ$4=EDATE(EDATE('核心假设'!$B$5,15+$F9),$D9),SUM('融资租赁与资金缺口'!$D$5:$D$16)*$AB9*'核心假设'!$B$32,0),0),IF(AND(CJ$4&gt;EDATE('核心假设'!$B$5,16+$F9),CJ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CJ$4=EDATE(EDATE('核心假设'!$B$5,16+$F9),$D9),SUM('融资租赁与资金缺口'!$D$5:$D$16)*$AC9*'核心假设'!$B$32,0),0),IF(AND(CJ$4&gt;EDATE('核心假设'!$B$5,17+$F9),CJ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CJ$4=EDATE(EDATE('核心假设'!$B$5,17+$F9),$D9),SUM('融资租赁与资金缺口'!$D$5:$D$16)*$AD9*'核心假设'!$B$32,0),0))</x:f>
        <x:v>0</x:v>
      </x:c>
      <x:c r="CK31" s="28" t="n">
        <x:f>SUM(IF(AND(CK$4&gt;EDATE('核心假设'!$B$5,0+$F9),CK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CK$4=EDATE(EDATE('核心假设'!$B$5,0+$F9),$D9),SUM('融资租赁与资金缺口'!$D$5:$D$16)*$M9*'核心假设'!$B$32,0),0),IF(AND(CK$4&gt;EDATE('核心假设'!$B$5,1+$F9),CK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CK$4=EDATE(EDATE('核心假设'!$B$5,1+$F9),$D9),SUM('融资租赁与资金缺口'!$D$5:$D$16)*$N9*'核心假设'!$B$32,0),0),IF(AND(CK$4&gt;EDATE('核心假设'!$B$5,2+$F9),CK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CK$4=EDATE(EDATE('核心假设'!$B$5,2+$F9),$D9),SUM('融资租赁与资金缺口'!$D$5:$D$16)*$O9*'核心假设'!$B$32,0),0),IF(AND(CK$4&gt;EDATE('核心假设'!$B$5,3+$F9),CK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CK$4=EDATE(EDATE('核心假设'!$B$5,3+$F9),$D9),SUM('融资租赁与资金缺口'!$D$5:$D$16)*$P9*'核心假设'!$B$32,0),0),IF(AND(CK$4&gt;EDATE('核心假设'!$B$5,4+$F9),CK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CK$4=EDATE(EDATE('核心假设'!$B$5,4+$F9),$D9),SUM('融资租赁与资金缺口'!$D$5:$D$16)*$Q9*'核心假设'!$B$32,0),0),IF(AND(CK$4&gt;EDATE('核心假设'!$B$5,5+$F9),CK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CK$4=EDATE(EDATE('核心假设'!$B$5,5+$F9),$D9),SUM('融资租赁与资金缺口'!$D$5:$D$16)*$R9*'核心假设'!$B$32,0),0),IF(AND(CK$4&gt;EDATE('核心假设'!$B$5,6+$F9),CK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CK$4=EDATE(EDATE('核心假设'!$B$5,6+$F9),$D9),SUM('融资租赁与资金缺口'!$D$5:$D$16)*$S9*'核心假设'!$B$32,0),0),IF(AND(CK$4&gt;EDATE('核心假设'!$B$5,7+$F9),CK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CK$4=EDATE(EDATE('核心假设'!$B$5,7+$F9),$D9),SUM('融资租赁与资金缺口'!$D$5:$D$16)*$T9*'核心假设'!$B$32,0),0),IF(AND(CK$4&gt;EDATE('核心假设'!$B$5,8+$F9),CK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CK$4=EDATE(EDATE('核心假设'!$B$5,8+$F9),$D9),SUM('融资租赁与资金缺口'!$D$5:$D$16)*$U9*'核心假设'!$B$32,0),0),IF(AND(CK$4&gt;EDATE('核心假设'!$B$5,9+$F9),CK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CK$4=EDATE(EDATE('核心假设'!$B$5,9+$F9),$D9),SUM('融资租赁与资金缺口'!$D$5:$D$16)*$V9*'核心假设'!$B$32,0),0),IF(AND(CK$4&gt;EDATE('核心假设'!$B$5,10+$F9),CK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CK$4=EDATE(EDATE('核心假设'!$B$5,10+$F9),$D9),SUM('融资租赁与资金缺口'!$D$5:$D$16)*$W9*'核心假设'!$B$32,0),0),IF(AND(CK$4&gt;EDATE('核心假设'!$B$5,11+$F9),CK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CK$4=EDATE(EDATE('核心假设'!$B$5,11+$F9),$D9),SUM('融资租赁与资金缺口'!$D$5:$D$16)*$X9*'核心假设'!$B$32,0),0),IF(AND(CK$4&gt;EDATE('核心假设'!$B$5,12+$F9),CK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CK$4=EDATE(EDATE('核心假设'!$B$5,12+$F9),$D9),SUM('融资租赁与资金缺口'!$D$5:$D$16)*$Y9*'核心假设'!$B$32,0),0),IF(AND(CK$4&gt;EDATE('核心假设'!$B$5,13+$F9),CK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CK$4=EDATE(EDATE('核心假设'!$B$5,13+$F9),$D9),SUM('融资租赁与资金缺口'!$D$5:$D$16)*$Z9*'核心假设'!$B$32,0),0),IF(AND(CK$4&gt;EDATE('核心假设'!$B$5,14+$F9),CK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CK$4=EDATE(EDATE('核心假设'!$B$5,14+$F9),$D9),SUM('融资租赁与资金缺口'!$D$5:$D$16)*$AA9*'核心假设'!$B$32,0),0),IF(AND(CK$4&gt;EDATE('核心假设'!$B$5,15+$F9),CK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CK$4=EDATE(EDATE('核心假设'!$B$5,15+$F9),$D9),SUM('融资租赁与资金缺口'!$D$5:$D$16)*$AB9*'核心假设'!$B$32,0),0),IF(AND(CK$4&gt;EDATE('核心假设'!$B$5,16+$F9),CK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CK$4=EDATE(EDATE('核心假设'!$B$5,16+$F9),$D9),SUM('融资租赁与资金缺口'!$D$5:$D$16)*$AC9*'核心假设'!$B$32,0),0),IF(AND(CK$4&gt;EDATE('核心假设'!$B$5,17+$F9),CK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CK$4=EDATE(EDATE('核心假设'!$B$5,17+$F9),$D9),SUM('融资租赁与资金缺口'!$D$5:$D$16)*$AD9*'核心假设'!$B$32,0),0))</x:f>
        <x:v>0</x:v>
      </x:c>
      <x:c r="CL31" s="28" t="n">
        <x:f>SUM(IF(AND(CL$4&gt;EDATE('核心假设'!$B$5,0+$F9),CL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CL$4=EDATE(EDATE('核心假设'!$B$5,0+$F9),$D9),SUM('融资租赁与资金缺口'!$D$5:$D$16)*$M9*'核心假设'!$B$32,0),0),IF(AND(CL$4&gt;EDATE('核心假设'!$B$5,1+$F9),CL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CL$4=EDATE(EDATE('核心假设'!$B$5,1+$F9),$D9),SUM('融资租赁与资金缺口'!$D$5:$D$16)*$N9*'核心假设'!$B$32,0),0),IF(AND(CL$4&gt;EDATE('核心假设'!$B$5,2+$F9),CL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CL$4=EDATE(EDATE('核心假设'!$B$5,2+$F9),$D9),SUM('融资租赁与资金缺口'!$D$5:$D$16)*$O9*'核心假设'!$B$32,0),0),IF(AND(CL$4&gt;EDATE('核心假设'!$B$5,3+$F9),CL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CL$4=EDATE(EDATE('核心假设'!$B$5,3+$F9),$D9),SUM('融资租赁与资金缺口'!$D$5:$D$16)*$P9*'核心假设'!$B$32,0),0),IF(AND(CL$4&gt;EDATE('核心假设'!$B$5,4+$F9),CL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CL$4=EDATE(EDATE('核心假设'!$B$5,4+$F9),$D9),SUM('融资租赁与资金缺口'!$D$5:$D$16)*$Q9*'核心假设'!$B$32,0),0),IF(AND(CL$4&gt;EDATE('核心假设'!$B$5,5+$F9),CL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CL$4=EDATE(EDATE('核心假设'!$B$5,5+$F9),$D9),SUM('融资租赁与资金缺口'!$D$5:$D$16)*$R9*'核心假设'!$B$32,0),0),IF(AND(CL$4&gt;EDATE('核心假设'!$B$5,6+$F9),CL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CL$4=EDATE(EDATE('核心假设'!$B$5,6+$F9),$D9),SUM('融资租赁与资金缺口'!$D$5:$D$16)*$S9*'核心假设'!$B$32,0),0),IF(AND(CL$4&gt;EDATE('核心假设'!$B$5,7+$F9),CL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CL$4=EDATE(EDATE('核心假设'!$B$5,7+$F9),$D9),SUM('融资租赁与资金缺口'!$D$5:$D$16)*$T9*'核心假设'!$B$32,0),0),IF(AND(CL$4&gt;EDATE('核心假设'!$B$5,8+$F9),CL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CL$4=EDATE(EDATE('核心假设'!$B$5,8+$F9),$D9),SUM('融资租赁与资金缺口'!$D$5:$D$16)*$U9*'核心假设'!$B$32,0),0),IF(AND(CL$4&gt;EDATE('核心假设'!$B$5,9+$F9),CL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CL$4=EDATE(EDATE('核心假设'!$B$5,9+$F9),$D9),SUM('融资租赁与资金缺口'!$D$5:$D$16)*$V9*'核心假设'!$B$32,0),0),IF(AND(CL$4&gt;EDATE('核心假设'!$B$5,10+$F9),CL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CL$4=EDATE(EDATE('核心假设'!$B$5,10+$F9),$D9),SUM('融资租赁与资金缺口'!$D$5:$D$16)*$W9*'核心假设'!$B$32,0),0),IF(AND(CL$4&gt;EDATE('核心假设'!$B$5,11+$F9),CL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CL$4=EDATE(EDATE('核心假设'!$B$5,11+$F9),$D9),SUM('融资租赁与资金缺口'!$D$5:$D$16)*$X9*'核心假设'!$B$32,0),0),IF(AND(CL$4&gt;EDATE('核心假设'!$B$5,12+$F9),CL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CL$4=EDATE(EDATE('核心假设'!$B$5,12+$F9),$D9),SUM('融资租赁与资金缺口'!$D$5:$D$16)*$Y9*'核心假设'!$B$32,0),0),IF(AND(CL$4&gt;EDATE('核心假设'!$B$5,13+$F9),CL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CL$4=EDATE(EDATE('核心假设'!$B$5,13+$F9),$D9),SUM('融资租赁与资金缺口'!$D$5:$D$16)*$Z9*'核心假设'!$B$32,0),0),IF(AND(CL$4&gt;EDATE('核心假设'!$B$5,14+$F9),CL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CL$4=EDATE(EDATE('核心假设'!$B$5,14+$F9),$D9),SUM('融资租赁与资金缺口'!$D$5:$D$16)*$AA9*'核心假设'!$B$32,0),0),IF(AND(CL$4&gt;EDATE('核心假设'!$B$5,15+$F9),CL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CL$4=EDATE(EDATE('核心假设'!$B$5,15+$F9),$D9),SUM('融资租赁与资金缺口'!$D$5:$D$16)*$AB9*'核心假设'!$B$32,0),0),IF(AND(CL$4&gt;EDATE('核心假设'!$B$5,16+$F9),CL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CL$4=EDATE(EDATE('核心假设'!$B$5,16+$F9),$D9),SUM('融资租赁与资金缺口'!$D$5:$D$16)*$AC9*'核心假设'!$B$32,0),0),IF(AND(CL$4&gt;EDATE('核心假设'!$B$5,17+$F9),CL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CL$4=EDATE(EDATE('核心假设'!$B$5,17+$F9),$D9),SUM('融资租赁与资金缺口'!$D$5:$D$16)*$AD9*'核心假设'!$B$32,0),0))</x:f>
        <x:v>0</x:v>
      </x:c>
      <x:c r="CM31" s="28" t="n">
        <x:f>SUM(IF(AND(CM$4&gt;EDATE('核心假设'!$B$5,0+$F9),CM$4&lt;=EDATE(EDATE('核心假设'!$B$5,0+$F9),$D9)),IF($E9/12=0,(SUM('融资租赁与资金缺口'!$D$5:$D$16)*$M9*$C9-SUM('融资租赁与资金缺口'!$D$5:$D$16)*$M9*'核心假设'!$B$32)/$D9,(SUM('融资租赁与资金缺口'!$D$5:$D$16)*$M9*$C9-SUM('融资租赁与资金缺口'!$D$5:$D$16)*$M9*'核心假设'!$B$32/(1+$E9/12)^$D9)*$E9/12/(1-(1+$E9/12)^-$D9))+IF(CM$4=EDATE(EDATE('核心假设'!$B$5,0+$F9),$D9),SUM('融资租赁与资金缺口'!$D$5:$D$16)*$M9*'核心假设'!$B$32,0),0),IF(AND(CM$4&gt;EDATE('核心假设'!$B$5,1+$F9),CM$4&lt;=EDATE(EDATE('核心假设'!$B$5,1+$F9),$D9)),IF($E9/12=0,(SUM('融资租赁与资金缺口'!$D$5:$D$16)*$N9*$C9-SUM('融资租赁与资金缺口'!$D$5:$D$16)*$N9*'核心假设'!$B$32)/$D9,(SUM('融资租赁与资金缺口'!$D$5:$D$16)*$N9*$C9-SUM('融资租赁与资金缺口'!$D$5:$D$16)*$N9*'核心假设'!$B$32/(1+$E9/12)^$D9)*$E9/12/(1-(1+$E9/12)^-$D9))+IF(CM$4=EDATE(EDATE('核心假设'!$B$5,1+$F9),$D9),SUM('融资租赁与资金缺口'!$D$5:$D$16)*$N9*'核心假设'!$B$32,0),0),IF(AND(CM$4&gt;EDATE('核心假设'!$B$5,2+$F9),CM$4&lt;=EDATE(EDATE('核心假设'!$B$5,2+$F9),$D9)),IF($E9/12=0,(SUM('融资租赁与资金缺口'!$D$5:$D$16)*$O9*$C9-SUM('融资租赁与资金缺口'!$D$5:$D$16)*$O9*'核心假设'!$B$32)/$D9,(SUM('融资租赁与资金缺口'!$D$5:$D$16)*$O9*$C9-SUM('融资租赁与资金缺口'!$D$5:$D$16)*$O9*'核心假设'!$B$32/(1+$E9/12)^$D9)*$E9/12/(1-(1+$E9/12)^-$D9))+IF(CM$4=EDATE(EDATE('核心假设'!$B$5,2+$F9),$D9),SUM('融资租赁与资金缺口'!$D$5:$D$16)*$O9*'核心假设'!$B$32,0),0),IF(AND(CM$4&gt;EDATE('核心假设'!$B$5,3+$F9),CM$4&lt;=EDATE(EDATE('核心假设'!$B$5,3+$F9),$D9)),IF($E9/12=0,(SUM('融资租赁与资金缺口'!$D$5:$D$16)*$P9*$C9-SUM('融资租赁与资金缺口'!$D$5:$D$16)*$P9*'核心假设'!$B$32)/$D9,(SUM('融资租赁与资金缺口'!$D$5:$D$16)*$P9*$C9-SUM('融资租赁与资金缺口'!$D$5:$D$16)*$P9*'核心假设'!$B$32/(1+$E9/12)^$D9)*$E9/12/(1-(1+$E9/12)^-$D9))+IF(CM$4=EDATE(EDATE('核心假设'!$B$5,3+$F9),$D9),SUM('融资租赁与资金缺口'!$D$5:$D$16)*$P9*'核心假设'!$B$32,0),0),IF(AND(CM$4&gt;EDATE('核心假设'!$B$5,4+$F9),CM$4&lt;=EDATE(EDATE('核心假设'!$B$5,4+$F9),$D9)),IF($E9/12=0,(SUM('融资租赁与资金缺口'!$D$5:$D$16)*$Q9*$C9-SUM('融资租赁与资金缺口'!$D$5:$D$16)*$Q9*'核心假设'!$B$32)/$D9,(SUM('融资租赁与资金缺口'!$D$5:$D$16)*$Q9*$C9-SUM('融资租赁与资金缺口'!$D$5:$D$16)*$Q9*'核心假设'!$B$32/(1+$E9/12)^$D9)*$E9/12/(1-(1+$E9/12)^-$D9))+IF(CM$4=EDATE(EDATE('核心假设'!$B$5,4+$F9),$D9),SUM('融资租赁与资金缺口'!$D$5:$D$16)*$Q9*'核心假设'!$B$32,0),0),IF(AND(CM$4&gt;EDATE('核心假设'!$B$5,5+$F9),CM$4&lt;=EDATE(EDATE('核心假设'!$B$5,5+$F9),$D9)),IF($E9/12=0,(SUM('融资租赁与资金缺口'!$D$5:$D$16)*$R9*$C9-SUM('融资租赁与资金缺口'!$D$5:$D$16)*$R9*'核心假设'!$B$32)/$D9,(SUM('融资租赁与资金缺口'!$D$5:$D$16)*$R9*$C9-SUM('融资租赁与资金缺口'!$D$5:$D$16)*$R9*'核心假设'!$B$32/(1+$E9/12)^$D9)*$E9/12/(1-(1+$E9/12)^-$D9))+IF(CM$4=EDATE(EDATE('核心假设'!$B$5,5+$F9),$D9),SUM('融资租赁与资金缺口'!$D$5:$D$16)*$R9*'核心假设'!$B$32,0),0),IF(AND(CM$4&gt;EDATE('核心假设'!$B$5,6+$F9),CM$4&lt;=EDATE(EDATE('核心假设'!$B$5,6+$F9),$D9)),IF($E9/12=0,(SUM('融资租赁与资金缺口'!$D$5:$D$16)*$S9*$C9-SUM('融资租赁与资金缺口'!$D$5:$D$16)*$S9*'核心假设'!$B$32)/$D9,(SUM('融资租赁与资金缺口'!$D$5:$D$16)*$S9*$C9-SUM('融资租赁与资金缺口'!$D$5:$D$16)*$S9*'核心假设'!$B$32/(1+$E9/12)^$D9)*$E9/12/(1-(1+$E9/12)^-$D9))+IF(CM$4=EDATE(EDATE('核心假设'!$B$5,6+$F9),$D9),SUM('融资租赁与资金缺口'!$D$5:$D$16)*$S9*'核心假设'!$B$32,0),0),IF(AND(CM$4&gt;EDATE('核心假设'!$B$5,7+$F9),CM$4&lt;=EDATE(EDATE('核心假设'!$B$5,7+$F9),$D9)),IF($E9/12=0,(SUM('融资租赁与资金缺口'!$D$5:$D$16)*$T9*$C9-SUM('融资租赁与资金缺口'!$D$5:$D$16)*$T9*'核心假设'!$B$32)/$D9,(SUM('融资租赁与资金缺口'!$D$5:$D$16)*$T9*$C9-SUM('融资租赁与资金缺口'!$D$5:$D$16)*$T9*'核心假设'!$B$32/(1+$E9/12)^$D9)*$E9/12/(1-(1+$E9/12)^-$D9))+IF(CM$4=EDATE(EDATE('核心假设'!$B$5,7+$F9),$D9),SUM('融资租赁与资金缺口'!$D$5:$D$16)*$T9*'核心假设'!$B$32,0),0),IF(AND(CM$4&gt;EDATE('核心假设'!$B$5,8+$F9),CM$4&lt;=EDATE(EDATE('核心假设'!$B$5,8+$F9),$D9)),IF($E9/12=0,(SUM('融资租赁与资金缺口'!$D$5:$D$16)*$U9*$C9-SUM('融资租赁与资金缺口'!$D$5:$D$16)*$U9*'核心假设'!$B$32)/$D9,(SUM('融资租赁与资金缺口'!$D$5:$D$16)*$U9*$C9-SUM('融资租赁与资金缺口'!$D$5:$D$16)*$U9*'核心假设'!$B$32/(1+$E9/12)^$D9)*$E9/12/(1-(1+$E9/12)^-$D9))+IF(CM$4=EDATE(EDATE('核心假设'!$B$5,8+$F9),$D9),SUM('融资租赁与资金缺口'!$D$5:$D$16)*$U9*'核心假设'!$B$32,0),0),IF(AND(CM$4&gt;EDATE('核心假设'!$B$5,9+$F9),CM$4&lt;=EDATE(EDATE('核心假设'!$B$5,9+$F9),$D9)),IF($E9/12=0,(SUM('融资租赁与资金缺口'!$D$5:$D$16)*$V9*$C9-SUM('融资租赁与资金缺口'!$D$5:$D$16)*$V9*'核心假设'!$B$32)/$D9,(SUM('融资租赁与资金缺口'!$D$5:$D$16)*$V9*$C9-SUM('融资租赁与资金缺口'!$D$5:$D$16)*$V9*'核心假设'!$B$32/(1+$E9/12)^$D9)*$E9/12/(1-(1+$E9/12)^-$D9))+IF(CM$4=EDATE(EDATE('核心假设'!$B$5,9+$F9),$D9),SUM('融资租赁与资金缺口'!$D$5:$D$16)*$V9*'核心假设'!$B$32,0),0),IF(AND(CM$4&gt;EDATE('核心假设'!$B$5,10+$F9),CM$4&lt;=EDATE(EDATE('核心假设'!$B$5,10+$F9),$D9)),IF($E9/12=0,(SUM('融资租赁与资金缺口'!$D$5:$D$16)*$W9*$C9-SUM('融资租赁与资金缺口'!$D$5:$D$16)*$W9*'核心假设'!$B$32)/$D9,(SUM('融资租赁与资金缺口'!$D$5:$D$16)*$W9*$C9-SUM('融资租赁与资金缺口'!$D$5:$D$16)*$W9*'核心假设'!$B$32/(1+$E9/12)^$D9)*$E9/12/(1-(1+$E9/12)^-$D9))+IF(CM$4=EDATE(EDATE('核心假设'!$B$5,10+$F9),$D9),SUM('融资租赁与资金缺口'!$D$5:$D$16)*$W9*'核心假设'!$B$32,0),0),IF(AND(CM$4&gt;EDATE('核心假设'!$B$5,11+$F9),CM$4&lt;=EDATE(EDATE('核心假设'!$B$5,11+$F9),$D9)),IF($E9/12=0,(SUM('融资租赁与资金缺口'!$D$5:$D$16)*$X9*$C9-SUM('融资租赁与资金缺口'!$D$5:$D$16)*$X9*'核心假设'!$B$32)/$D9,(SUM('融资租赁与资金缺口'!$D$5:$D$16)*$X9*$C9-SUM('融资租赁与资金缺口'!$D$5:$D$16)*$X9*'核心假设'!$B$32/(1+$E9/12)^$D9)*$E9/12/(1-(1+$E9/12)^-$D9))+IF(CM$4=EDATE(EDATE('核心假设'!$B$5,11+$F9),$D9),SUM('融资租赁与资金缺口'!$D$5:$D$16)*$X9*'核心假设'!$B$32,0),0),IF(AND(CM$4&gt;EDATE('核心假设'!$B$5,12+$F9),CM$4&lt;=EDATE(EDATE('核心假设'!$B$5,12+$F9),$D9)),IF($E9/12=0,(SUM('融资租赁与资金缺口'!$D$5:$D$16)*$Y9*$C9-SUM('融资租赁与资金缺口'!$D$5:$D$16)*$Y9*'核心假设'!$B$32)/$D9,(SUM('融资租赁与资金缺口'!$D$5:$D$16)*$Y9*$C9-SUM('融资租赁与资金缺口'!$D$5:$D$16)*$Y9*'核心假设'!$B$32/(1+$E9/12)^$D9)*$E9/12/(1-(1+$E9/12)^-$D9))+IF(CM$4=EDATE(EDATE('核心假设'!$B$5,12+$F9),$D9),SUM('融资租赁与资金缺口'!$D$5:$D$16)*$Y9*'核心假设'!$B$32,0),0),IF(AND(CM$4&gt;EDATE('核心假设'!$B$5,13+$F9),CM$4&lt;=EDATE(EDATE('核心假设'!$B$5,13+$F9),$D9)),IF($E9/12=0,(SUM('融资租赁与资金缺口'!$D$5:$D$16)*$Z9*$C9-SUM('融资租赁与资金缺口'!$D$5:$D$16)*$Z9*'核心假设'!$B$32)/$D9,(SUM('融资租赁与资金缺口'!$D$5:$D$16)*$Z9*$C9-SUM('融资租赁与资金缺口'!$D$5:$D$16)*$Z9*'核心假设'!$B$32/(1+$E9/12)^$D9)*$E9/12/(1-(1+$E9/12)^-$D9))+IF(CM$4=EDATE(EDATE('核心假设'!$B$5,13+$F9),$D9),SUM('融资租赁与资金缺口'!$D$5:$D$16)*$Z9*'核心假设'!$B$32,0),0),IF(AND(CM$4&gt;EDATE('核心假设'!$B$5,14+$F9),CM$4&lt;=EDATE(EDATE('核心假设'!$B$5,14+$F9),$D9)),IF($E9/12=0,(SUM('融资租赁与资金缺口'!$D$5:$D$16)*$AA9*$C9-SUM('融资租赁与资金缺口'!$D$5:$D$16)*$AA9*'核心假设'!$B$32)/$D9,(SUM('融资租赁与资金缺口'!$D$5:$D$16)*$AA9*$C9-SUM('融资租赁与资金缺口'!$D$5:$D$16)*$AA9*'核心假设'!$B$32/(1+$E9/12)^$D9)*$E9/12/(1-(1+$E9/12)^-$D9))+IF(CM$4=EDATE(EDATE('核心假设'!$B$5,14+$F9),$D9),SUM('融资租赁与资金缺口'!$D$5:$D$16)*$AA9*'核心假设'!$B$32,0),0),IF(AND(CM$4&gt;EDATE('核心假设'!$B$5,15+$F9),CM$4&lt;=EDATE(EDATE('核心假设'!$B$5,15+$F9),$D9)),IF($E9/12=0,(SUM('融资租赁与资金缺口'!$D$5:$D$16)*$AB9*$C9-SUM('融资租赁与资金缺口'!$D$5:$D$16)*$AB9*'核心假设'!$B$32)/$D9,(SUM('融资租赁与资金缺口'!$D$5:$D$16)*$AB9*$C9-SUM('融资租赁与资金缺口'!$D$5:$D$16)*$AB9*'核心假设'!$B$32/(1+$E9/12)^$D9)*$E9/12/(1-(1+$E9/12)^-$D9))+IF(CM$4=EDATE(EDATE('核心假设'!$B$5,15+$F9),$D9),SUM('融资租赁与资金缺口'!$D$5:$D$16)*$AB9*'核心假设'!$B$32,0),0),IF(AND(CM$4&gt;EDATE('核心假设'!$B$5,16+$F9),CM$4&lt;=EDATE(EDATE('核心假设'!$B$5,16+$F9),$D9)),IF($E9/12=0,(SUM('融资租赁与资金缺口'!$D$5:$D$16)*$AC9*$C9-SUM('融资租赁与资金缺口'!$D$5:$D$16)*$AC9*'核心假设'!$B$32)/$D9,(SUM('融资租赁与资金缺口'!$D$5:$D$16)*$AC9*$C9-SUM('融资租赁与资金缺口'!$D$5:$D$16)*$AC9*'核心假设'!$B$32/(1+$E9/12)^$D9)*$E9/12/(1-(1+$E9/12)^-$D9))+IF(CM$4=EDATE(EDATE('核心假设'!$B$5,16+$F9),$D9),SUM('融资租赁与资金缺口'!$D$5:$D$16)*$AC9*'核心假设'!$B$32,0),0),IF(AND(CM$4&gt;EDATE('核心假设'!$B$5,17+$F9),CM$4&lt;=EDATE(EDATE('核心假设'!$B$5,17+$F9),$D9)),IF($E9/12=0,(SUM('融资租赁与资金缺口'!$D$5:$D$16)*$AD9*$C9-SUM('融资租赁与资金缺口'!$D$5:$D$16)*$AD9*'核心假设'!$B$32)/$D9,(SUM('融资租赁与资金缺口'!$D$5:$D$16)*$AD9*$C9-SUM('融资租赁与资金缺口'!$D$5:$D$16)*$AD9*'核心假设'!$B$32/(1+$E9/12)^$D9)*$E9/12/(1-(1+$E9/12)^-$D9))+IF(CM$4=EDATE(EDATE('核心假设'!$B$5,17+$F9),$D9),SUM('融资租赁与资金缺口'!$D$5:$D$16)*$AD9*'核心假设'!$B$32,0),0))</x:f>
        <x:v>0</x:v>
      </x:c>
    </x:row>
    <x:row r="32">
      <x:c r="A32" s="60" t="str">
        <x:v>12个月季节指数均值</x:v>
      </x:c>
      <x:c r="B32" s="70" t="n">
        <x:f>AVERAGE('年度季节曲线'!$H$6:$H$17)</x:f>
        <x:v>1</x:v>
      </x:c>
      <x:c r="C32" s="70" t="n">
        <x:f>1</x:f>
        <x:v>1</x:v>
      </x:c>
      <x:c r="D32" s="72" t="n">
        <x:f>B32-C32</x:f>
        <x:v>0</x:v>
      </x:c>
      <x:c r="E32" s="72" t="n">
        <x:v>0.000001</x:v>
      </x:c>
      <x:c r="F32" s="54" t="str">
        <x:f>IF(ABS(D32)&lt;=E32,"PASS","FAIL")</x:f>
        <x:v>PASS</x:v>
      </x:c>
      <x:c r="G32" s="52" t="str">
        <x:v>年度季节曲线!H6:H17</x:v>
      </x:c>
      <x:c r="H32" s="61" t="str">
        <x:v>年度形状归一为1.0000</x:v>
      </x:c>
      <x:c r="AE32" t="str">
        <x:v>DSCR</x:v>
      </x:c>
      <x:c r="AF32" s="28" t="str">
        <x:f>IF(AF31=0,"",AF30/AF31)</x:f>
      </x:c>
      <x:c r="AG32" s="28" t="str">
        <x:f>IF(AG31=0,"",AG30/AG31)</x:f>
      </x:c>
      <x:c r="AH32" s="28" t="n">
        <x:f>IF(AH31=0,"",AH30/AH31)</x:f>
        <x:v>5.953983227001743</x:v>
      </x:c>
      <x:c r="AI32" s="28" t="n">
        <x:f>IF(AI31=0,"",AI30/AI31)</x:f>
        <x:v>4.3174210775269675</x:v>
      </x:c>
      <x:c r="AJ32" s="28" t="n">
        <x:f>IF(AJ31=0,"",AJ30/AJ31)</x:f>
        <x:v>3.451386886570529</x:v>
      </x:c>
      <x:c r="AK32" s="28" t="n">
        <x:f>IF(AK31=0,"",AK30/AK31)</x:f>
        <x:v>2.569304291777563</x:v>
      </x:c>
      <x:c r="AL32" s="28" t="n">
        <x:f>IF(AL31=0,"",AL30/AL31)</x:f>
        <x:v>2.5924599517147593</x:v>
      </x:c>
      <x:c r="AM32" s="28" t="n">
        <x:f>IF(AM31=0,"",AM30/AM31)</x:f>
        <x:v>2.5135361317703753</x:v>
      </x:c>
      <x:c r="AN32" s="28" t="n">
        <x:f>IF(AN31=0,"",AN30/AN31)</x:f>
        <x:v>2.5217687334459082</x:v>
      </x:c>
      <x:c r="AO32" s="28" t="n">
        <x:f>IF(AO31=0,"",AO30/AO31)</x:f>
        <x:v>2.6106224980884174</x:v>
      </x:c>
      <x:c r="AP32" s="28" t="n">
        <x:f>IF(AP31=0,"",AP30/AP31)</x:f>
        <x:v>2.724266177672117</x:v>
      </x:c>
      <x:c r="AQ32" s="28" t="n">
        <x:f>IF(AQ31=0,"",AQ30/AQ31)</x:f>
        <x:v>2.766611167903073</x:v>
      </x:c>
      <x:c r="AR32" s="28" t="n">
        <x:f>IF(AR31=0,"",AR30/AR31)</x:f>
        <x:v>2.546301690906724</x:v>
      </x:c>
      <x:c r="AS32" s="28" t="n">
        <x:f>IF(AS31=0,"",AS30/AS31)</x:f>
        <x:v>2.4301838020798523</x:v>
      </x:c>
      <x:c r="AT32" s="28" t="n">
        <x:f>IF(AT31=0,"",AT30/AT31)</x:f>
        <x:v>2.434917014795983</x:v>
      </x:c>
      <x:c r="AU32" s="28" t="n">
        <x:f>IF(AU31=0,"",AU30/AU31)</x:f>
        <x:v>2.6642419033581732</x:v>
      </x:c>
      <x:c r="AV32" s="28" t="n">
        <x:f>IF(AV31=0,"",AV30/AV31)</x:f>
        <x:v>2.386807575411893</x:v>
      </x:c>
      <x:c r="AW32" s="28" t="n">
        <x:f>IF(AW31=0,"",AW30/AW31)</x:f>
        <x:v>2.004674655824416</x:v>
      </x:c>
      <x:c r="AX32" s="28" t="n">
        <x:f>IF(AX31=0,"",AX30/AX31)</x:f>
        <x:v>1.9933087353318861</x:v>
      </x:c>
      <x:c r="AY32" s="28" t="n">
        <x:f>IF(AY31=0,"",AY30/AY31)</x:f>
        <x:v>1.960271969907494</x:v>
      </x:c>
      <x:c r="AZ32" s="28" t="n">
        <x:f>IF(AZ31=0,"",AZ30/AZ31)</x:f>
        <x:v>2.02473625082157</x:v>
      </x:c>
      <x:c r="BA32" s="28" t="n">
        <x:f>IF(BA31=0,"",BA30/BA31)</x:f>
        <x:v>2.184742145865699</x:v>
      </x:c>
      <x:c r="BB32" s="28" t="n">
        <x:f>IF(BB31=0,"",BB30/BB31)</x:f>
        <x:v>2.342490127160437</x:v>
      </x:c>
      <x:c r="BC32" s="28" t="n">
        <x:f>IF(BC31=0,"",BC30/BC31)</x:f>
        <x:v>2.4240954578414082</x:v>
      </x:c>
      <x:c r="BD32" s="28" t="n">
        <x:f>IF(BD31=0,"",BD30/BD31)</x:f>
        <x:v>2.2632143835831298</x:v>
      </x:c>
      <x:c r="BE32" s="28" t="n">
        <x:f>IF(BE31=0,"",BE30/BE31)</x:f>
        <x:v>2.202485652957883</x:v>
      </x:c>
      <x:c r="BF32" s="28" t="n">
        <x:f>IF(BF31=0,"",BF30/BF31)</x:f>
        <x:v>2.2467861233968835</x:v>
      </x:c>
      <x:c r="BG32" s="28" t="n">
        <x:f>IF(BG31=0,"",BG30/BG31)</x:f>
        <x:v>2.485357528181643</x:v>
      </x:c>
      <x:c r="BH32" s="28" t="n">
        <x:f>IF(BH31=0,"",BH30/BH31)</x:f>
        <x:v>2.2679364248671328</x:v>
      </x:c>
      <x:c r="BI32" s="28" t="n">
        <x:f>IF(BI31=0,"",BI30/BI31)</x:f>
        <x:v>1.8550933514639445</x:v>
      </x:c>
      <x:c r="BJ32" s="28" t="n">
        <x:f>IF(BJ31=0,"",BJ30/BJ31)</x:f>
        <x:v>1.9562220260873144</x:v>
      </x:c>
      <x:c r="BK32" s="28" t="n">
        <x:f>IF(BK31=0,"",BK30/BK31)</x:f>
        <x:v>1.9814737389138724</x:v>
      </x:c>
      <x:c r="BL32" s="28" t="n">
        <x:f>IF(BL31=0,"",BL30/BL31)</x:f>
        <x:v>2.0336844624563786</x:v>
      </x:c>
      <x:c r="BM32" s="28" t="n">
        <x:f>IF(BM31=0,"",BM30/BM31)</x:f>
        <x:v>2.187366986249198</x:v>
      </x:c>
      <x:c r="BN32" s="28" t="n">
        <x:f>IF(BN31=0,"",BN30/BN31)</x:f>
        <x:v>2.342490127160437</x:v>
      </x:c>
      <x:c r="BO32" s="28" t="n">
        <x:f>IF(BO31=0,"",BO30/BO31)</x:f>
        <x:v>2.4240954578414082</x:v>
      </x:c>
      <x:c r="BP32" s="28" t="n">
        <x:f>IF(BP31=0,"",BP30/BP31)</x:f>
        <x:v>2.2632143835831298</x:v>
      </x:c>
      <x:c r="BQ32" s="28" t="n">
        <x:f>IF(BQ31=0,"",BQ30/BQ31)</x:f>
        <x:v>2.181435870401386</x:v>
      </x:c>
      <x:c r="BR32" s="28" t="n">
        <x:f>IF(BR31=0,"",BR30/BR31)</x:f>
        <x:v>2.2859536289478615</x:v>
      </x:c>
      <x:c r="BS32" s="28" t="n">
        <x:f>IF(BS31=0,"",BS30/BS31)</x:f>
        <x:v>2.6359604658463183</x:v>
      </x:c>
      <x:c r="BT32" s="28" t="n">
        <x:f>IF(BT31=0,"",BT30/BT31)</x:f>
        <x:v>2.503013127521911</x:v>
      </x:c>
      <x:c r="BU32" s="28" t="n">
        <x:f>IF(BU31=0,"",BU30/BU31)</x:f>
        <x:v>2.1669562490900467</x:v>
      </x:c>
      <x:c r="BV32" s="28" t="n">
        <x:f>IF(BV31=0,"",BV30/BV31)</x:f>
        <x:v>2.4171807800773646</x:v>
      </x:c>
      <x:c r="BW32" s="28" t="n">
        <x:f>IF(BW31=0,"",BW30/BW31)</x:f>
        <x:v>2.6444365965980317</x:v>
      </x:c>
      <x:c r="BX32" s="28" t="n">
        <x:f>IF(BX31=0,"",BX30/BX31)</x:f>
        <x:v>2.9366626576069903</x:v>
      </x:c>
      <x:c r="BY32" s="28" t="n">
        <x:f>IF(BY31=0,"",BY30/BY31)</x:f>
        <x:v>3.513754953709522</x:v>
      </x:c>
      <x:c r="BZ32" s="28" t="n">
        <x:f>IF(BZ31=0,"",BZ30/BZ31)</x:f>
        <x:v>4.239682053263706</x:v>
      </x:c>
      <x:c r="CA32" s="28" t="n">
        <x:f>IF(CA31=0,"",CA30/CA31)</x:f>
        <x:v>5.023870457667403</x:v>
      </x:c>
      <x:c r="CB32" s="28" t="n">
        <x:f>IF(CB31=0,"",CB30/CB31)</x:f>
        <x:v>5.48637392555292</x:v>
      </x:c>
      <x:c r="CC32" s="28" t="n">
        <x:f>IF(CC31=0,"",CC30/CC31)</x:f>
        <x:v>6.43032369387771</x:v>
      </x:c>
      <x:c r="CD32" s="28" t="n">
        <x:f>IF(CD31=0,"",CD30/CD31)</x:f>
        <x:v>8.343090737077876</x:v>
      </x:c>
      <x:c r="CE32" s="28" t="n">
        <x:f>IF(CE31=0,"",CE30/CE31)</x:f>
        <x:v>11.87467375257737</x:v>
      </x:c>
      <x:c r="CF32" s="28" t="n">
        <x:f>IF(CF31=0,"",CF30/CF31)</x:f>
        <x:v>15.525037028655433</x:v>
      </x:c>
      <x:c r="CG32" s="28" t="n">
        <x:f>IF(CG31=0,"",CG30/CG31)</x:f>
        <x:v>19.97602074356577</x:v>
      </x:c>
      <x:c r="CH32" s="28" t="n">
        <x:f>IF(CH31=0,"",CH30/CH31)</x:f>
        <x:v>37.00339800187778</x:v>
      </x:c>
      <x:c r="CI32" s="28" t="str">
        <x:f>IF(CI31=0,"",CI30/CI31)</x:f>
      </x:c>
      <x:c r="CJ32" s="28" t="str">
        <x:f>IF(CJ31=0,"",CJ30/CJ31)</x:f>
      </x:c>
      <x:c r="CK32" s="28" t="str">
        <x:f>IF(CK31=0,"",CK30/CK31)</x:f>
      </x:c>
      <x:c r="CL32" s="28" t="str">
        <x:f>IF(CL31=0,"",CL30/CL31)</x:f>
      </x:c>
      <x:c r="CM32" s="28" t="str">
        <x:f>IF(CM31=0,"",CM30/CM31)</x:f>
      </x:c>
    </x:row>
    <x:row r="33">
      <x:c r="A33" s="60" t="str">
        <x:v>历史总金额拆分</x:v>
      </x:c>
      <x:c r="B33" s="70" t="n">
        <x:f>SUM('历史原始数据'!$M$2:$M$3050)-SUM('历史原始数据'!$N$2:$N$3050)-SUM('历史原始数据'!$O$2:$O$3050)</x:f>
        <x:v>0</x:v>
      </x:c>
      <x:c r="C33" s="70" t="n">
        <x:f>0</x:f>
        <x:v>0</x:v>
      </x:c>
      <x:c r="D33" s="72" t="n">
        <x:f>B33-C33</x:f>
        <x:v>0</x:v>
      </x:c>
      <x:c r="E33" s="72" t="n">
        <x:v>1</x:v>
      </x:c>
      <x:c r="F33" s="54" t="str">
        <x:f>IF(ABS(D33)&lt;=E33,"PASS","FAIL")</x:f>
        <x:v>PASS</x:v>
      </x:c>
      <x:c r="G33" s="52" t="str">
        <x:v>历史原始数据!M2:O3050</x:v>
      </x:c>
      <x:c r="H33" s="61" t="str">
        <x:v>总金额=电费+服务费，允许源系统1元内尾差</x:v>
      </x:c>
      <x:c r="AE33" t="str">
        <x:v>供应商付款</x:v>
      </x:c>
      <x:c r="AF33" s="28" t="n">
        <x:f>SUM(IF(EDATE('核心假设'!$B$5,0-1+'核心假设'!$B$31)&lt;=AF$4,SUM('融资租赁与资金缺口'!$M$5:$M$16)*$M9,0),IF(EDATE('核心假设'!$B$5,1-1+'核心假设'!$B$31)&lt;=AF$4,SUM('融资租赁与资金缺口'!$M$5:$M$16)*$N9,0),IF(EDATE('核心假设'!$B$5,2-1+'核心假设'!$B$31)&lt;=AF$4,SUM('融资租赁与资金缺口'!$M$5:$M$16)*$O9,0),IF(EDATE('核心假设'!$B$5,3-1+'核心假设'!$B$31)&lt;=AF$4,SUM('融资租赁与资金缺口'!$M$5:$M$16)*$P9,0),IF(EDATE('核心假设'!$B$5,4-1+'核心假设'!$B$31)&lt;=AF$4,SUM('融资租赁与资金缺口'!$M$5:$M$16)*$Q9,0),IF(EDATE('核心假设'!$B$5,5-1+'核心假设'!$B$31)&lt;=AF$4,SUM('融资租赁与资金缺口'!$M$5:$M$16)*$R9,0),IF(EDATE('核心假设'!$B$5,6-1+'核心假设'!$B$31)&lt;=AF$4,SUM('融资租赁与资金缺口'!$M$5:$M$16)*$S9,0),IF(EDATE('核心假设'!$B$5,7-1+'核心假设'!$B$31)&lt;=AF$4,SUM('融资租赁与资金缺口'!$M$5:$M$16)*$T9,0),IF(EDATE('核心假设'!$B$5,8-1+'核心假设'!$B$31)&lt;=AF$4,SUM('融资租赁与资金缺口'!$M$5:$M$16)*$U9,0),IF(EDATE('核心假设'!$B$5,9-1+'核心假设'!$B$31)&lt;=AF$4,SUM('融资租赁与资金缺口'!$M$5:$M$16)*$V9,0),IF(EDATE('核心假设'!$B$5,10-1+'核心假设'!$B$31)&lt;=AF$4,SUM('融资租赁与资金缺口'!$M$5:$M$16)*$W9,0),IF(EDATE('核心假设'!$B$5,11-1+'核心假设'!$B$31)&lt;=AF$4,SUM('融资租赁与资金缺口'!$M$5:$M$16)*$X9,0),IF(EDATE('核心假设'!$B$5,12-1+'核心假设'!$B$31)&lt;=AF$4,SUM('融资租赁与资金缺口'!$M$5:$M$16)*$Y9,0),IF(EDATE('核心假设'!$B$5,13-1+'核心假设'!$B$31)&lt;=AF$4,SUM('融资租赁与资金缺口'!$M$5:$M$16)*$Z9,0),IF(EDATE('核心假设'!$B$5,14-1+'核心假设'!$B$31)&lt;=AF$4,SUM('融资租赁与资金缺口'!$M$5:$M$16)*$AA9,0),IF(EDATE('核心假设'!$B$5,15-1+'核心假设'!$B$31)&lt;=AF$4,SUM('融资租赁与资金缺口'!$M$5:$M$16)*$AB9,0),IF(EDATE('核心假设'!$B$5,16-1+'核心假设'!$B$31)&lt;=AF$4,SUM('融资租赁与资金缺口'!$M$5:$M$16)*$AC9,0),IF(EDATE('核心假设'!$B$5,17-1+'核心假设'!$B$31)&lt;=AF$4,SUM('融资租赁与资金缺口'!$M$5:$M$16)*$AD9,0))</x:f>
        <x:v>0</x:v>
      </x:c>
      <x:c r="AG33" s="28" t="n">
        <x:f>SUM(IF(AG$4=EDATE('核心假设'!$B$5,0-1+'核心假设'!$B$31),SUM('融资租赁与资金缺口'!$M$5:$M$16)*$M9,0),IF(AG$4=EDATE('核心假设'!$B$5,1-1+'核心假设'!$B$31),SUM('融资租赁与资金缺口'!$M$5:$M$16)*$N9,0),IF(AG$4=EDATE('核心假设'!$B$5,2-1+'核心假设'!$B$31),SUM('融资租赁与资金缺口'!$M$5:$M$16)*$O9,0),IF(AG$4=EDATE('核心假设'!$B$5,3-1+'核心假设'!$B$31),SUM('融资租赁与资金缺口'!$M$5:$M$16)*$P9,0),IF(AG$4=EDATE('核心假设'!$B$5,4-1+'核心假设'!$B$31),SUM('融资租赁与资金缺口'!$M$5:$M$16)*$Q9,0),IF(AG$4=EDATE('核心假设'!$B$5,5-1+'核心假设'!$B$31),SUM('融资租赁与资金缺口'!$M$5:$M$16)*$R9,0),IF(AG$4=EDATE('核心假设'!$B$5,6-1+'核心假设'!$B$31),SUM('融资租赁与资金缺口'!$M$5:$M$16)*$S9,0),IF(AG$4=EDATE('核心假设'!$B$5,7-1+'核心假设'!$B$31),SUM('融资租赁与资金缺口'!$M$5:$M$16)*$T9,0),IF(AG$4=EDATE('核心假设'!$B$5,8-1+'核心假设'!$B$31),SUM('融资租赁与资金缺口'!$M$5:$M$16)*$U9,0),IF(AG$4=EDATE('核心假设'!$B$5,9-1+'核心假设'!$B$31),SUM('融资租赁与资金缺口'!$M$5:$M$16)*$V9,0),IF(AG$4=EDATE('核心假设'!$B$5,10-1+'核心假设'!$B$31),SUM('融资租赁与资金缺口'!$M$5:$M$16)*$W9,0),IF(AG$4=EDATE('核心假设'!$B$5,11-1+'核心假设'!$B$31),SUM('融资租赁与资金缺口'!$M$5:$M$16)*$X9,0),IF(AG$4=EDATE('核心假设'!$B$5,12-1+'核心假设'!$B$31),SUM('融资租赁与资金缺口'!$M$5:$M$16)*$Y9,0),IF(AG$4=EDATE('核心假设'!$B$5,13-1+'核心假设'!$B$31),SUM('融资租赁与资金缺口'!$M$5:$M$16)*$Z9,0),IF(AG$4=EDATE('核心假设'!$B$5,14-1+'核心假设'!$B$31),SUM('融资租赁与资金缺口'!$M$5:$M$16)*$AA9,0),IF(AG$4=EDATE('核心假设'!$B$5,15-1+'核心假设'!$B$31),SUM('融资租赁与资金缺口'!$M$5:$M$16)*$AB9,0),IF(AG$4=EDATE('核心假设'!$B$5,16-1+'核心假设'!$B$31),SUM('融资租赁与资金缺口'!$M$5:$M$16)*$AC9,0),IF(AG$4=EDATE('核心假设'!$B$5,17-1+'核心假设'!$B$31),SUM('融资租赁与资金缺口'!$M$5:$M$16)*$AD9,0))</x:f>
        <x:v>19209000</x:v>
      </x:c>
      <x:c r="AH33" s="28" t="n">
        <x:f>SUM(IF(AH$4=EDATE('核心假设'!$B$5,0-1+'核心假设'!$B$31),SUM('融资租赁与资金缺口'!$M$5:$M$16)*$M9,0),IF(AH$4=EDATE('核心假设'!$B$5,1-1+'核心假设'!$B$31),SUM('融资租赁与资金缺口'!$M$5:$M$16)*$N9,0),IF(AH$4=EDATE('核心假设'!$B$5,2-1+'核心假设'!$B$31),SUM('融资租赁与资金缺口'!$M$5:$M$16)*$O9,0),IF(AH$4=EDATE('核心假设'!$B$5,3-1+'核心假设'!$B$31),SUM('融资租赁与资金缺口'!$M$5:$M$16)*$P9,0),IF(AH$4=EDATE('核心假设'!$B$5,4-1+'核心假设'!$B$31),SUM('融资租赁与资金缺口'!$M$5:$M$16)*$Q9,0),IF(AH$4=EDATE('核心假设'!$B$5,5-1+'核心假设'!$B$31),SUM('融资租赁与资金缺口'!$M$5:$M$16)*$R9,0),IF(AH$4=EDATE('核心假设'!$B$5,6-1+'核心假设'!$B$31),SUM('融资租赁与资金缺口'!$M$5:$M$16)*$S9,0),IF(AH$4=EDATE('核心假设'!$B$5,7-1+'核心假设'!$B$31),SUM('融资租赁与资金缺口'!$M$5:$M$16)*$T9,0),IF(AH$4=EDATE('核心假设'!$B$5,8-1+'核心假设'!$B$31),SUM('融资租赁与资金缺口'!$M$5:$M$16)*$U9,0),IF(AH$4=EDATE('核心假设'!$B$5,9-1+'核心假设'!$B$31),SUM('融资租赁与资金缺口'!$M$5:$M$16)*$V9,0),IF(AH$4=EDATE('核心假设'!$B$5,10-1+'核心假设'!$B$31),SUM('融资租赁与资金缺口'!$M$5:$M$16)*$W9,0),IF(AH$4=EDATE('核心假设'!$B$5,11-1+'核心假设'!$B$31),SUM('融资租赁与资金缺口'!$M$5:$M$16)*$X9,0),IF(AH$4=EDATE('核心假设'!$B$5,12-1+'核心假设'!$B$31),SUM('融资租赁与资金缺口'!$M$5:$M$16)*$Y9,0),IF(AH$4=EDATE('核心假设'!$B$5,13-1+'核心假设'!$B$31),SUM('融资租赁与资金缺口'!$M$5:$M$16)*$Z9,0),IF(AH$4=EDATE('核心假设'!$B$5,14-1+'核心假设'!$B$31),SUM('融资租赁与资金缺口'!$M$5:$M$16)*$AA9,0),IF(AH$4=EDATE('核心假设'!$B$5,15-1+'核心假设'!$B$31),SUM('融资租赁与资金缺口'!$M$5:$M$16)*$AB9,0),IF(AH$4=EDATE('核心假设'!$B$5,16-1+'核心假设'!$B$31),SUM('融资租赁与资金缺口'!$M$5:$M$16)*$AC9,0),IF(AH$4=EDATE('核心假设'!$B$5,17-1+'核心假设'!$B$31),SUM('融资租赁与资金缺口'!$M$5:$M$16)*$AD9,0))</x:f>
        <x:v>25612000</x:v>
      </x:c>
      <x:c r="AI33" s="28" t="n">
        <x:f>SUM(IF(AI$4=EDATE('核心假设'!$B$5,0-1+'核心假设'!$B$31),SUM('融资租赁与资金缺口'!$M$5:$M$16)*$M9,0),IF(AI$4=EDATE('核心假设'!$B$5,1-1+'核心假设'!$B$31),SUM('融资租赁与资金缺口'!$M$5:$M$16)*$N9,0),IF(AI$4=EDATE('核心假设'!$B$5,2-1+'核心假设'!$B$31),SUM('融资租赁与资金缺口'!$M$5:$M$16)*$O9,0),IF(AI$4=EDATE('核心假设'!$B$5,3-1+'核心假设'!$B$31),SUM('融资租赁与资金缺口'!$M$5:$M$16)*$P9,0),IF(AI$4=EDATE('核心假设'!$B$5,4-1+'核心假设'!$B$31),SUM('融资租赁与资金缺口'!$M$5:$M$16)*$Q9,0),IF(AI$4=EDATE('核心假设'!$B$5,5-1+'核心假设'!$B$31),SUM('融资租赁与资金缺口'!$M$5:$M$16)*$R9,0),IF(AI$4=EDATE('核心假设'!$B$5,6-1+'核心假设'!$B$31),SUM('融资租赁与资金缺口'!$M$5:$M$16)*$S9,0),IF(AI$4=EDATE('核心假设'!$B$5,7-1+'核心假设'!$B$31),SUM('融资租赁与资金缺口'!$M$5:$M$16)*$T9,0),IF(AI$4=EDATE('核心假设'!$B$5,8-1+'核心假设'!$B$31),SUM('融资租赁与资金缺口'!$M$5:$M$16)*$U9,0),IF(AI$4=EDATE('核心假设'!$B$5,9-1+'核心假设'!$B$31),SUM('融资租赁与资金缺口'!$M$5:$M$16)*$V9,0),IF(AI$4=EDATE('核心假设'!$B$5,10-1+'核心假设'!$B$31),SUM('融资租赁与资金缺口'!$M$5:$M$16)*$W9,0),IF(AI$4=EDATE('核心假设'!$B$5,11-1+'核心假设'!$B$31),SUM('融资租赁与资金缺口'!$M$5:$M$16)*$X9,0),IF(AI$4=EDATE('核心假设'!$B$5,12-1+'核心假设'!$B$31),SUM('融资租赁与资金缺口'!$M$5:$M$16)*$Y9,0),IF(AI$4=EDATE('核心假设'!$B$5,13-1+'核心假设'!$B$31),SUM('融资租赁与资金缺口'!$M$5:$M$16)*$Z9,0),IF(AI$4=EDATE('核心假设'!$B$5,14-1+'核心假设'!$B$31),SUM('融资租赁与资金缺口'!$M$5:$M$16)*$AA9,0),IF(AI$4=EDATE('核心假设'!$B$5,15-1+'核心假设'!$B$31),SUM('融资租赁与资金缺口'!$M$5:$M$16)*$AB9,0),IF(AI$4=EDATE('核心假设'!$B$5,16-1+'核心假设'!$B$31),SUM('融资租赁与资金缺口'!$M$5:$M$16)*$AC9,0),IF(AI$4=EDATE('核心假设'!$B$5,17-1+'核心假设'!$B$31),SUM('融资租赁与资金缺口'!$M$5:$M$16)*$AD9,0))</x:f>
        <x:v>25612000</x:v>
      </x:c>
      <x:c r="AJ33" s="28" t="n">
        <x:f>SUM(IF(AJ$4=EDATE('核心假设'!$B$5,0-1+'核心假设'!$B$31),SUM('融资租赁与资金缺口'!$M$5:$M$16)*$M9,0),IF(AJ$4=EDATE('核心假设'!$B$5,1-1+'核心假设'!$B$31),SUM('融资租赁与资金缺口'!$M$5:$M$16)*$N9,0),IF(AJ$4=EDATE('核心假设'!$B$5,2-1+'核心假设'!$B$31),SUM('融资租赁与资金缺口'!$M$5:$M$16)*$O9,0),IF(AJ$4=EDATE('核心假设'!$B$5,3-1+'核心假设'!$B$31),SUM('融资租赁与资金缺口'!$M$5:$M$16)*$P9,0),IF(AJ$4=EDATE('核心假设'!$B$5,4-1+'核心假设'!$B$31),SUM('融资租赁与资金缺口'!$M$5:$M$16)*$Q9,0),IF(AJ$4=EDATE('核心假设'!$B$5,5-1+'核心假设'!$B$31),SUM('融资租赁与资金缺口'!$M$5:$M$16)*$R9,0),IF(AJ$4=EDATE('核心假设'!$B$5,6-1+'核心假设'!$B$31),SUM('融资租赁与资金缺口'!$M$5:$M$16)*$S9,0),IF(AJ$4=EDATE('核心假设'!$B$5,7-1+'核心假设'!$B$31),SUM('融资租赁与资金缺口'!$M$5:$M$16)*$T9,0),IF(AJ$4=EDATE('核心假设'!$B$5,8-1+'核心假设'!$B$31),SUM('融资租赁与资金缺口'!$M$5:$M$16)*$U9,0),IF(AJ$4=EDATE('核心假设'!$B$5,9-1+'核心假设'!$B$31),SUM('融资租赁与资金缺口'!$M$5:$M$16)*$V9,0),IF(AJ$4=EDATE('核心假设'!$B$5,10-1+'核心假设'!$B$31),SUM('融资租赁与资金缺口'!$M$5:$M$16)*$W9,0),IF(AJ$4=EDATE('核心假设'!$B$5,11-1+'核心假设'!$B$31),SUM('融资租赁与资金缺口'!$M$5:$M$16)*$X9,0),IF(AJ$4=EDATE('核心假设'!$B$5,12-1+'核心假设'!$B$31),SUM('融资租赁与资金缺口'!$M$5:$M$16)*$Y9,0),IF(AJ$4=EDATE('核心假设'!$B$5,13-1+'核心假设'!$B$31),SUM('融资租赁与资金缺口'!$M$5:$M$16)*$Z9,0),IF(AJ$4=EDATE('核心假设'!$B$5,14-1+'核心假设'!$B$31),SUM('融资租赁与资金缺口'!$M$5:$M$16)*$AA9,0),IF(AJ$4=EDATE('核心假设'!$B$5,15-1+'核心假设'!$B$31),SUM('融资租赁与资金缺口'!$M$5:$M$16)*$AB9,0),IF(AJ$4=EDATE('核心假设'!$B$5,16-1+'核心假设'!$B$31),SUM('融资租赁与资金缺口'!$M$5:$M$16)*$AC9,0),IF(AJ$4=EDATE('核心假设'!$B$5,17-1+'核心假设'!$B$31),SUM('融资租赁与资金缺口'!$M$5:$M$16)*$AD9,0))</x:f>
        <x:v>32015000</x:v>
      </x:c>
      <x:c r="AK33" s="28" t="n">
        <x:f>SUM(IF(AK$4=EDATE('核心假设'!$B$5,0-1+'核心假设'!$B$31),SUM('融资租赁与资金缺口'!$M$5:$M$16)*$M9,0),IF(AK$4=EDATE('核心假设'!$B$5,1-1+'核心假设'!$B$31),SUM('融资租赁与资金缺口'!$M$5:$M$16)*$N9,0),IF(AK$4=EDATE('核心假设'!$B$5,2-1+'核心假设'!$B$31),SUM('融资租赁与资金缺口'!$M$5:$M$16)*$O9,0),IF(AK$4=EDATE('核心假设'!$B$5,3-1+'核心假设'!$B$31),SUM('融资租赁与资金缺口'!$M$5:$M$16)*$P9,0),IF(AK$4=EDATE('核心假设'!$B$5,4-1+'核心假设'!$B$31),SUM('融资租赁与资金缺口'!$M$5:$M$16)*$Q9,0),IF(AK$4=EDATE('核心假设'!$B$5,5-1+'核心假设'!$B$31),SUM('融资租赁与资金缺口'!$M$5:$M$16)*$R9,0),IF(AK$4=EDATE('核心假设'!$B$5,6-1+'核心假设'!$B$31),SUM('融资租赁与资金缺口'!$M$5:$M$16)*$S9,0),IF(AK$4=EDATE('核心假设'!$B$5,7-1+'核心假设'!$B$31),SUM('融资租赁与资金缺口'!$M$5:$M$16)*$T9,0),IF(AK$4=EDATE('核心假设'!$B$5,8-1+'核心假设'!$B$31),SUM('融资租赁与资金缺口'!$M$5:$M$16)*$U9,0),IF(AK$4=EDATE('核心假设'!$B$5,9-1+'核心假设'!$B$31),SUM('融资租赁与资金缺口'!$M$5:$M$16)*$V9,0),IF(AK$4=EDATE('核心假设'!$B$5,10-1+'核心假设'!$B$31),SUM('融资租赁与资金缺口'!$M$5:$M$16)*$W9,0),IF(AK$4=EDATE('核心假设'!$B$5,11-1+'核心假设'!$B$31),SUM('融资租赁与资金缺口'!$M$5:$M$16)*$X9,0),IF(AK$4=EDATE('核心假设'!$B$5,12-1+'核心假设'!$B$31),SUM('融资租赁与资金缺口'!$M$5:$M$16)*$Y9,0),IF(AK$4=EDATE('核心假设'!$B$5,13-1+'核心假设'!$B$31),SUM('融资租赁与资金缺口'!$M$5:$M$16)*$Z9,0),IF(AK$4=EDATE('核心假设'!$B$5,14-1+'核心假设'!$B$31),SUM('融资租赁与资金缺口'!$M$5:$M$16)*$AA9,0),IF(AK$4=EDATE('核心假设'!$B$5,15-1+'核心假设'!$B$31),SUM('融资租赁与资金缺口'!$M$5:$M$16)*$AB9,0),IF(AK$4=EDATE('核心假设'!$B$5,16-1+'核心假设'!$B$31),SUM('融资租赁与资金缺口'!$M$5:$M$16)*$AC9,0),IF(AK$4=EDATE('核心假设'!$B$5,17-1+'核心假设'!$B$31),SUM('融资租赁与资金缺口'!$M$5:$M$16)*$AD9,0))</x:f>
        <x:v>32015000</x:v>
      </x:c>
      <x:c r="AL33" s="28" t="n">
        <x:f>SUM(IF(AL$4=EDATE('核心假设'!$B$5,0-1+'核心假设'!$B$31),SUM('融资租赁与资金缺口'!$M$5:$M$16)*$M9,0),IF(AL$4=EDATE('核心假设'!$B$5,1-1+'核心假设'!$B$31),SUM('融资租赁与资金缺口'!$M$5:$M$16)*$N9,0),IF(AL$4=EDATE('核心假设'!$B$5,2-1+'核心假设'!$B$31),SUM('融资租赁与资金缺口'!$M$5:$M$16)*$O9,0),IF(AL$4=EDATE('核心假设'!$B$5,3-1+'核心假设'!$B$31),SUM('融资租赁与资金缺口'!$M$5:$M$16)*$P9,0),IF(AL$4=EDATE('核心假设'!$B$5,4-1+'核心假设'!$B$31),SUM('融资租赁与资金缺口'!$M$5:$M$16)*$Q9,0),IF(AL$4=EDATE('核心假设'!$B$5,5-1+'核心假设'!$B$31),SUM('融资租赁与资金缺口'!$M$5:$M$16)*$R9,0),IF(AL$4=EDATE('核心假设'!$B$5,6-1+'核心假设'!$B$31),SUM('融资租赁与资金缺口'!$M$5:$M$16)*$S9,0),IF(AL$4=EDATE('核心假设'!$B$5,7-1+'核心假设'!$B$31),SUM('融资租赁与资金缺口'!$M$5:$M$16)*$T9,0),IF(AL$4=EDATE('核心假设'!$B$5,8-1+'核心假设'!$B$31),SUM('融资租赁与资金缺口'!$M$5:$M$16)*$U9,0),IF(AL$4=EDATE('核心假设'!$B$5,9-1+'核心假设'!$B$31),SUM('融资租赁与资金缺口'!$M$5:$M$16)*$V9,0),IF(AL$4=EDATE('核心假设'!$B$5,10-1+'核心假设'!$B$31),SUM('融资租赁与资金缺口'!$M$5:$M$16)*$W9,0),IF(AL$4=EDATE('核心假设'!$B$5,11-1+'核心假设'!$B$31),SUM('融资租赁与资金缺口'!$M$5:$M$16)*$X9,0),IF(AL$4=EDATE('核心假设'!$B$5,12-1+'核心假设'!$B$31),SUM('融资租赁与资金缺口'!$M$5:$M$16)*$Y9,0),IF(AL$4=EDATE('核心假设'!$B$5,13-1+'核心假设'!$B$31),SUM('融资租赁与资金缺口'!$M$5:$M$16)*$Z9,0),IF(AL$4=EDATE('核心假设'!$B$5,14-1+'核心假设'!$B$31),SUM('融资租赁与资金缺口'!$M$5:$M$16)*$AA9,0),IF(AL$4=EDATE('核心假设'!$B$5,15-1+'核心假设'!$B$31),SUM('融资租赁与资金缺口'!$M$5:$M$16)*$AB9,0),IF(AL$4=EDATE('核心假设'!$B$5,16-1+'核心假设'!$B$31),SUM('融资租赁与资金缺口'!$M$5:$M$16)*$AC9,0),IF(AL$4=EDATE('核心假设'!$B$5,17-1+'核心假设'!$B$31),SUM('融资租赁与资金缺口'!$M$5:$M$16)*$AD9,0))</x:f>
        <x:v>38418000</x:v>
      </x:c>
      <x:c r="AM33" s="28" t="n">
        <x:f>SUM(IF(AM$4=EDATE('核心假设'!$B$5,0-1+'核心假设'!$B$31),SUM('融资租赁与资金缺口'!$M$5:$M$16)*$M9,0),IF(AM$4=EDATE('核心假设'!$B$5,1-1+'核心假设'!$B$31),SUM('融资租赁与资金缺口'!$M$5:$M$16)*$N9,0),IF(AM$4=EDATE('核心假设'!$B$5,2-1+'核心假设'!$B$31),SUM('融资租赁与资金缺口'!$M$5:$M$16)*$O9,0),IF(AM$4=EDATE('核心假设'!$B$5,3-1+'核心假设'!$B$31),SUM('融资租赁与资金缺口'!$M$5:$M$16)*$P9,0),IF(AM$4=EDATE('核心假设'!$B$5,4-1+'核心假设'!$B$31),SUM('融资租赁与资金缺口'!$M$5:$M$16)*$Q9,0),IF(AM$4=EDATE('核心假设'!$B$5,5-1+'核心假设'!$B$31),SUM('融资租赁与资金缺口'!$M$5:$M$16)*$R9,0),IF(AM$4=EDATE('核心假设'!$B$5,6-1+'核心假设'!$B$31),SUM('融资租赁与资金缺口'!$M$5:$M$16)*$S9,0),IF(AM$4=EDATE('核心假设'!$B$5,7-1+'核心假设'!$B$31),SUM('融资租赁与资金缺口'!$M$5:$M$16)*$T9,0),IF(AM$4=EDATE('核心假设'!$B$5,8-1+'核心假设'!$B$31),SUM('融资租赁与资金缺口'!$M$5:$M$16)*$U9,0),IF(AM$4=EDATE('核心假设'!$B$5,9-1+'核心假设'!$B$31),SUM('融资租赁与资金缺口'!$M$5:$M$16)*$V9,0),IF(AM$4=EDATE('核心假设'!$B$5,10-1+'核心假设'!$B$31),SUM('融资租赁与资金缺口'!$M$5:$M$16)*$W9,0),IF(AM$4=EDATE('核心假设'!$B$5,11-1+'核心假设'!$B$31),SUM('融资租赁与资金缺口'!$M$5:$M$16)*$X9,0),IF(AM$4=EDATE('核心假设'!$B$5,12-1+'核心假设'!$B$31),SUM('融资租赁与资金缺口'!$M$5:$M$16)*$Y9,0),IF(AM$4=EDATE('核心假设'!$B$5,13-1+'核心假设'!$B$31),SUM('融资租赁与资金缺口'!$M$5:$M$16)*$Z9,0),IF(AM$4=EDATE('核心假设'!$B$5,14-1+'核心假设'!$B$31),SUM('融资租赁与资金缺口'!$M$5:$M$16)*$AA9,0),IF(AM$4=EDATE('核心假设'!$B$5,15-1+'核心假设'!$B$31),SUM('融资租赁与资金缺口'!$M$5:$M$16)*$AB9,0),IF(AM$4=EDATE('核心假设'!$B$5,16-1+'核心假设'!$B$31),SUM('融资租赁与资金缺口'!$M$5:$M$16)*$AC9,0),IF(AM$4=EDATE('核心假设'!$B$5,17-1+'核心假设'!$B$31),SUM('融资租赁与资金缺口'!$M$5:$M$16)*$AD9,0))</x:f>
        <x:v>38418000</x:v>
      </x:c>
      <x:c r="AN33" s="28" t="n">
        <x:f>SUM(IF(AN$4=EDATE('核心假设'!$B$5,0-1+'核心假设'!$B$31),SUM('融资租赁与资金缺口'!$M$5:$M$16)*$M9,0),IF(AN$4=EDATE('核心假设'!$B$5,1-1+'核心假设'!$B$31),SUM('融资租赁与资金缺口'!$M$5:$M$16)*$N9,0),IF(AN$4=EDATE('核心假设'!$B$5,2-1+'核心假设'!$B$31),SUM('融资租赁与资金缺口'!$M$5:$M$16)*$O9,0),IF(AN$4=EDATE('核心假设'!$B$5,3-1+'核心假设'!$B$31),SUM('融资租赁与资金缺口'!$M$5:$M$16)*$P9,0),IF(AN$4=EDATE('核心假设'!$B$5,4-1+'核心假设'!$B$31),SUM('融资租赁与资金缺口'!$M$5:$M$16)*$Q9,0),IF(AN$4=EDATE('核心假设'!$B$5,5-1+'核心假设'!$B$31),SUM('融资租赁与资金缺口'!$M$5:$M$16)*$R9,0),IF(AN$4=EDATE('核心假设'!$B$5,6-1+'核心假设'!$B$31),SUM('融资租赁与资金缺口'!$M$5:$M$16)*$S9,0),IF(AN$4=EDATE('核心假设'!$B$5,7-1+'核心假设'!$B$31),SUM('融资租赁与资金缺口'!$M$5:$M$16)*$T9,0),IF(AN$4=EDATE('核心假设'!$B$5,8-1+'核心假设'!$B$31),SUM('融资租赁与资金缺口'!$M$5:$M$16)*$U9,0),IF(AN$4=EDATE('核心假设'!$B$5,9-1+'核心假设'!$B$31),SUM('融资租赁与资金缺口'!$M$5:$M$16)*$V9,0),IF(AN$4=EDATE('核心假设'!$B$5,10-1+'核心假设'!$B$31),SUM('融资租赁与资金缺口'!$M$5:$M$16)*$W9,0),IF(AN$4=EDATE('核心假设'!$B$5,11-1+'核心假设'!$B$31),SUM('融资租赁与资金缺口'!$M$5:$M$16)*$X9,0),IF(AN$4=EDATE('核心假设'!$B$5,12-1+'核心假设'!$B$31),SUM('融资租赁与资金缺口'!$M$5:$M$16)*$Y9,0),IF(AN$4=EDATE('核心假设'!$B$5,13-1+'核心假设'!$B$31),SUM('融资租赁与资金缺口'!$M$5:$M$16)*$Z9,0),IF(AN$4=EDATE('核心假设'!$B$5,14-1+'核心假设'!$B$31),SUM('融资租赁与资金缺口'!$M$5:$M$16)*$AA9,0),IF(AN$4=EDATE('核心假设'!$B$5,15-1+'核心假设'!$B$31),SUM('融资租赁与资金缺口'!$M$5:$M$16)*$AB9,0),IF(AN$4=EDATE('核心假设'!$B$5,16-1+'核心假设'!$B$31),SUM('融资租赁与资金缺口'!$M$5:$M$16)*$AC9,0),IF(AN$4=EDATE('核心假设'!$B$5,17-1+'核心假设'!$B$31),SUM('融资租赁与资金缺口'!$M$5:$M$16)*$AD9,0))</x:f>
        <x:v>44821000.00000001</x:v>
      </x:c>
      <x:c r="AO33" s="28" t="n">
        <x:f>SUM(IF(AO$4=EDATE('核心假设'!$B$5,0-1+'核心假设'!$B$31),SUM('融资租赁与资金缺口'!$M$5:$M$16)*$M9,0),IF(AO$4=EDATE('核心假设'!$B$5,1-1+'核心假设'!$B$31),SUM('融资租赁与资金缺口'!$M$5:$M$16)*$N9,0),IF(AO$4=EDATE('核心假设'!$B$5,2-1+'核心假设'!$B$31),SUM('融资租赁与资金缺口'!$M$5:$M$16)*$O9,0),IF(AO$4=EDATE('核心假设'!$B$5,3-1+'核心假设'!$B$31),SUM('融资租赁与资金缺口'!$M$5:$M$16)*$P9,0),IF(AO$4=EDATE('核心假设'!$B$5,4-1+'核心假设'!$B$31),SUM('融资租赁与资金缺口'!$M$5:$M$16)*$Q9,0),IF(AO$4=EDATE('核心假设'!$B$5,5-1+'核心假设'!$B$31),SUM('融资租赁与资金缺口'!$M$5:$M$16)*$R9,0),IF(AO$4=EDATE('核心假设'!$B$5,6-1+'核心假设'!$B$31),SUM('融资租赁与资金缺口'!$M$5:$M$16)*$S9,0),IF(AO$4=EDATE('核心假设'!$B$5,7-1+'核心假设'!$B$31),SUM('融资租赁与资金缺口'!$M$5:$M$16)*$T9,0),IF(AO$4=EDATE('核心假设'!$B$5,8-1+'核心假设'!$B$31),SUM('融资租赁与资金缺口'!$M$5:$M$16)*$U9,0),IF(AO$4=EDATE('核心假设'!$B$5,9-1+'核心假设'!$B$31),SUM('融资租赁与资金缺口'!$M$5:$M$16)*$V9,0),IF(AO$4=EDATE('核心假设'!$B$5,10-1+'核心假设'!$B$31),SUM('融资租赁与资金缺口'!$M$5:$M$16)*$W9,0),IF(AO$4=EDATE('核心假设'!$B$5,11-1+'核心假设'!$B$31),SUM('融资租赁与资金缺口'!$M$5:$M$16)*$X9,0),IF(AO$4=EDATE('核心假设'!$B$5,12-1+'核心假设'!$B$31),SUM('融资租赁与资金缺口'!$M$5:$M$16)*$Y9,0),IF(AO$4=EDATE('核心假设'!$B$5,13-1+'核心假设'!$B$31),SUM('融资租赁与资金缺口'!$M$5:$M$16)*$Z9,0),IF(AO$4=EDATE('核心假设'!$B$5,14-1+'核心假设'!$B$31),SUM('融资租赁与资金缺口'!$M$5:$M$16)*$AA9,0),IF(AO$4=EDATE('核心假设'!$B$5,15-1+'核心假设'!$B$31),SUM('融资租赁与资金缺口'!$M$5:$M$16)*$AB9,0),IF(AO$4=EDATE('核心假设'!$B$5,16-1+'核心假设'!$B$31),SUM('融资租赁与资金缺口'!$M$5:$M$16)*$AC9,0),IF(AO$4=EDATE('核心假设'!$B$5,17-1+'核心假设'!$B$31),SUM('融资租赁与资金缺口'!$M$5:$M$16)*$AD9,0))</x:f>
        <x:v>44821000.00000001</x:v>
      </x:c>
      <x:c r="AP33" s="28" t="n">
        <x:f>SUM(IF(AP$4=EDATE('核心假设'!$B$5,0-1+'核心假设'!$B$31),SUM('融资租赁与资金缺口'!$M$5:$M$16)*$M9,0),IF(AP$4=EDATE('核心假设'!$B$5,1-1+'核心假设'!$B$31),SUM('融资租赁与资金缺口'!$M$5:$M$16)*$N9,0),IF(AP$4=EDATE('核心假设'!$B$5,2-1+'核心假设'!$B$31),SUM('融资租赁与资金缺口'!$M$5:$M$16)*$O9,0),IF(AP$4=EDATE('核心假设'!$B$5,3-1+'核心假设'!$B$31),SUM('融资租赁与资金缺口'!$M$5:$M$16)*$P9,0),IF(AP$4=EDATE('核心假设'!$B$5,4-1+'核心假设'!$B$31),SUM('融资租赁与资金缺口'!$M$5:$M$16)*$Q9,0),IF(AP$4=EDATE('核心假设'!$B$5,5-1+'核心假设'!$B$31),SUM('融资租赁与资金缺口'!$M$5:$M$16)*$R9,0),IF(AP$4=EDATE('核心假设'!$B$5,6-1+'核心假设'!$B$31),SUM('融资租赁与资金缺口'!$M$5:$M$16)*$S9,0),IF(AP$4=EDATE('核心假设'!$B$5,7-1+'核心假设'!$B$31),SUM('融资租赁与资金缺口'!$M$5:$M$16)*$T9,0),IF(AP$4=EDATE('核心假设'!$B$5,8-1+'核心假设'!$B$31),SUM('融资租赁与资金缺口'!$M$5:$M$16)*$U9,0),IF(AP$4=EDATE('核心假设'!$B$5,9-1+'核心假设'!$B$31),SUM('融资租赁与资金缺口'!$M$5:$M$16)*$V9,0),IF(AP$4=EDATE('核心假设'!$B$5,10-1+'核心假设'!$B$31),SUM('融资租赁与资金缺口'!$M$5:$M$16)*$W9,0),IF(AP$4=EDATE('核心假设'!$B$5,11-1+'核心假设'!$B$31),SUM('融资租赁与资金缺口'!$M$5:$M$16)*$X9,0),IF(AP$4=EDATE('核心假设'!$B$5,12-1+'核心假设'!$B$31),SUM('融资租赁与资金缺口'!$M$5:$M$16)*$Y9,0),IF(AP$4=EDATE('核心假设'!$B$5,13-1+'核心假设'!$B$31),SUM('融资租赁与资金缺口'!$M$5:$M$16)*$Z9,0),IF(AP$4=EDATE('核心假设'!$B$5,14-1+'核心假设'!$B$31),SUM('融资租赁与资金缺口'!$M$5:$M$16)*$AA9,0),IF(AP$4=EDATE('核心假设'!$B$5,15-1+'核心假设'!$B$31),SUM('融资租赁与资金缺口'!$M$5:$M$16)*$AB9,0),IF(AP$4=EDATE('核心假设'!$B$5,16-1+'核心假设'!$B$31),SUM('融资租赁与资金缺口'!$M$5:$M$16)*$AC9,0),IF(AP$4=EDATE('核心假设'!$B$5,17-1+'核心假设'!$B$31),SUM('融资租赁与资金缺口'!$M$5:$M$16)*$AD9,0))</x:f>
        <x:v>44821000.00000001</x:v>
      </x:c>
      <x:c r="AQ33" s="28" t="n">
        <x:f>SUM(IF(AQ$4=EDATE('核心假设'!$B$5,0-1+'核心假设'!$B$31),SUM('融资租赁与资金缺口'!$M$5:$M$16)*$M9,0),IF(AQ$4=EDATE('核心假设'!$B$5,1-1+'核心假设'!$B$31),SUM('融资租赁与资金缺口'!$M$5:$M$16)*$N9,0),IF(AQ$4=EDATE('核心假设'!$B$5,2-1+'核心假设'!$B$31),SUM('融资租赁与资金缺口'!$M$5:$M$16)*$O9,0),IF(AQ$4=EDATE('核心假设'!$B$5,3-1+'核心假设'!$B$31),SUM('融资租赁与资金缺口'!$M$5:$M$16)*$P9,0),IF(AQ$4=EDATE('核心假设'!$B$5,4-1+'核心假设'!$B$31),SUM('融资租赁与资金缺口'!$M$5:$M$16)*$Q9,0),IF(AQ$4=EDATE('核心假设'!$B$5,5-1+'核心假设'!$B$31),SUM('融资租赁与资金缺口'!$M$5:$M$16)*$R9,0),IF(AQ$4=EDATE('核心假设'!$B$5,6-1+'核心假设'!$B$31),SUM('融资租赁与资金缺口'!$M$5:$M$16)*$S9,0),IF(AQ$4=EDATE('核心假设'!$B$5,7-1+'核心假设'!$B$31),SUM('融资租赁与资金缺口'!$M$5:$M$16)*$T9,0),IF(AQ$4=EDATE('核心假设'!$B$5,8-1+'核心假设'!$B$31),SUM('融资租赁与资金缺口'!$M$5:$M$16)*$U9,0),IF(AQ$4=EDATE('核心假设'!$B$5,9-1+'核心假设'!$B$31),SUM('融资租赁与资金缺口'!$M$5:$M$16)*$V9,0),IF(AQ$4=EDATE('核心假设'!$B$5,10-1+'核心假设'!$B$31),SUM('融资租赁与资金缺口'!$M$5:$M$16)*$W9,0),IF(AQ$4=EDATE('核心假设'!$B$5,11-1+'核心假设'!$B$31),SUM('融资租赁与资金缺口'!$M$5:$M$16)*$X9,0),IF(AQ$4=EDATE('核心假设'!$B$5,12-1+'核心假设'!$B$31),SUM('融资租赁与资金缺口'!$M$5:$M$16)*$Y9,0),IF(AQ$4=EDATE('核心假设'!$B$5,13-1+'核心假设'!$B$31),SUM('融资租赁与资金缺口'!$M$5:$M$16)*$Z9,0),IF(AQ$4=EDATE('核心假设'!$B$5,14-1+'核心假设'!$B$31),SUM('融资租赁与资金缺口'!$M$5:$M$16)*$AA9,0),IF(AQ$4=EDATE('核心假设'!$B$5,15-1+'核心假设'!$B$31),SUM('融资租赁与资金缺口'!$M$5:$M$16)*$AB9,0),IF(AQ$4=EDATE('核心假设'!$B$5,16-1+'核心假设'!$B$31),SUM('融资租赁与资金缺口'!$M$5:$M$16)*$AC9,0),IF(AQ$4=EDATE('核心假设'!$B$5,17-1+'核心假设'!$B$31),SUM('融资租赁与资金缺口'!$M$5:$M$16)*$AD9,0))</x:f>
        <x:v>44821000.00000001</x:v>
      </x:c>
      <x:c r="AR33" s="28" t="n">
        <x:f>SUM(IF(AR$4=EDATE('核心假设'!$B$5,0-1+'核心假设'!$B$31),SUM('融资租赁与资金缺口'!$M$5:$M$16)*$M9,0),IF(AR$4=EDATE('核心假设'!$B$5,1-1+'核心假设'!$B$31),SUM('融资租赁与资金缺口'!$M$5:$M$16)*$N9,0),IF(AR$4=EDATE('核心假设'!$B$5,2-1+'核心假设'!$B$31),SUM('融资租赁与资金缺口'!$M$5:$M$16)*$O9,0),IF(AR$4=EDATE('核心假设'!$B$5,3-1+'核心假设'!$B$31),SUM('融资租赁与资金缺口'!$M$5:$M$16)*$P9,0),IF(AR$4=EDATE('核心假设'!$B$5,4-1+'核心假设'!$B$31),SUM('融资租赁与资金缺口'!$M$5:$M$16)*$Q9,0),IF(AR$4=EDATE('核心假设'!$B$5,5-1+'核心假设'!$B$31),SUM('融资租赁与资金缺口'!$M$5:$M$16)*$R9,0),IF(AR$4=EDATE('核心假设'!$B$5,6-1+'核心假设'!$B$31),SUM('融资租赁与资金缺口'!$M$5:$M$16)*$S9,0),IF(AR$4=EDATE('核心假设'!$B$5,7-1+'核心假设'!$B$31),SUM('融资租赁与资金缺口'!$M$5:$M$16)*$T9,0),IF(AR$4=EDATE('核心假设'!$B$5,8-1+'核心假设'!$B$31),SUM('融资租赁与资金缺口'!$M$5:$M$16)*$U9,0),IF(AR$4=EDATE('核心假设'!$B$5,9-1+'核心假设'!$B$31),SUM('融资租赁与资金缺口'!$M$5:$M$16)*$V9,0),IF(AR$4=EDATE('核心假设'!$B$5,10-1+'核心假设'!$B$31),SUM('融资租赁与资金缺口'!$M$5:$M$16)*$W9,0),IF(AR$4=EDATE('核心假设'!$B$5,11-1+'核心假设'!$B$31),SUM('融资租赁与资金缺口'!$M$5:$M$16)*$X9,0),IF(AR$4=EDATE('核心假设'!$B$5,12-1+'核心假设'!$B$31),SUM('融资租赁与资金缺口'!$M$5:$M$16)*$Y9,0),IF(AR$4=EDATE('核心假设'!$B$5,13-1+'核心假设'!$B$31),SUM('融资租赁与资金缺口'!$M$5:$M$16)*$Z9,0),IF(AR$4=EDATE('核心假设'!$B$5,14-1+'核心假设'!$B$31),SUM('融资租赁与资金缺口'!$M$5:$M$16)*$AA9,0),IF(AR$4=EDATE('核心假设'!$B$5,15-1+'核心假设'!$B$31),SUM('融资租赁与资金缺口'!$M$5:$M$16)*$AB9,0),IF(AR$4=EDATE('核心假设'!$B$5,16-1+'核心假设'!$B$31),SUM('融资租赁与资金缺口'!$M$5:$M$16)*$AC9,0),IF(AR$4=EDATE('核心假设'!$B$5,17-1+'核心假设'!$B$31),SUM('融资租赁与资金缺口'!$M$5:$M$16)*$AD9,0))</x:f>
        <x:v>44821000.00000001</x:v>
      </x:c>
      <x:c r="AS33" s="28" t="n">
        <x:f>SUM(IF(AS$4=EDATE('核心假设'!$B$5,0-1+'核心假设'!$B$31),SUM('融资租赁与资金缺口'!$M$5:$M$16)*$M9,0),IF(AS$4=EDATE('核心假设'!$B$5,1-1+'核心假设'!$B$31),SUM('融资租赁与资金缺口'!$M$5:$M$16)*$N9,0),IF(AS$4=EDATE('核心假设'!$B$5,2-1+'核心假设'!$B$31),SUM('融资租赁与资金缺口'!$M$5:$M$16)*$O9,0),IF(AS$4=EDATE('核心假设'!$B$5,3-1+'核心假设'!$B$31),SUM('融资租赁与资金缺口'!$M$5:$M$16)*$P9,0),IF(AS$4=EDATE('核心假设'!$B$5,4-1+'核心假设'!$B$31),SUM('融资租赁与资金缺口'!$M$5:$M$16)*$Q9,0),IF(AS$4=EDATE('核心假设'!$B$5,5-1+'核心假设'!$B$31),SUM('融资租赁与资金缺口'!$M$5:$M$16)*$R9,0),IF(AS$4=EDATE('核心假设'!$B$5,6-1+'核心假设'!$B$31),SUM('融资租赁与资金缺口'!$M$5:$M$16)*$S9,0),IF(AS$4=EDATE('核心假设'!$B$5,7-1+'核心假设'!$B$31),SUM('融资租赁与资金缺口'!$M$5:$M$16)*$T9,0),IF(AS$4=EDATE('核心假设'!$B$5,8-1+'核心假设'!$B$31),SUM('融资租赁与资金缺口'!$M$5:$M$16)*$U9,0),IF(AS$4=EDATE('核心假设'!$B$5,9-1+'核心假设'!$B$31),SUM('融资租赁与资金缺口'!$M$5:$M$16)*$V9,0),IF(AS$4=EDATE('核心假设'!$B$5,10-1+'核心假设'!$B$31),SUM('融资租赁与资金缺口'!$M$5:$M$16)*$W9,0),IF(AS$4=EDATE('核心假设'!$B$5,11-1+'核心假设'!$B$31),SUM('融资租赁与资金缺口'!$M$5:$M$16)*$X9,0),IF(AS$4=EDATE('核心假设'!$B$5,12-1+'核心假设'!$B$31),SUM('融资租赁与资金缺口'!$M$5:$M$16)*$Y9,0),IF(AS$4=EDATE('核心假设'!$B$5,13-1+'核心假设'!$B$31),SUM('融资租赁与资金缺口'!$M$5:$M$16)*$Z9,0),IF(AS$4=EDATE('核心假设'!$B$5,14-1+'核心假设'!$B$31),SUM('融资租赁与资金缺口'!$M$5:$M$16)*$AA9,0),IF(AS$4=EDATE('核心假设'!$B$5,15-1+'核心假设'!$B$31),SUM('融资租赁与资金缺口'!$M$5:$M$16)*$AB9,0),IF(AS$4=EDATE('核心假设'!$B$5,16-1+'核心假设'!$B$31),SUM('融资租赁与资金缺口'!$M$5:$M$16)*$AC9,0),IF(AS$4=EDATE('核心假设'!$B$5,17-1+'核心假设'!$B$31),SUM('融资租赁与资金缺口'!$M$5:$M$16)*$AD9,0))</x:f>
        <x:v>44821000.00000001</x:v>
      </x:c>
      <x:c r="AT33" s="28" t="n">
        <x:f>SUM(IF(AT$4=EDATE('核心假设'!$B$5,0-1+'核心假设'!$B$31),SUM('融资租赁与资金缺口'!$M$5:$M$16)*$M9,0),IF(AT$4=EDATE('核心假设'!$B$5,1-1+'核心假设'!$B$31),SUM('融资租赁与资金缺口'!$M$5:$M$16)*$N9,0),IF(AT$4=EDATE('核心假设'!$B$5,2-1+'核心假设'!$B$31),SUM('融资租赁与资金缺口'!$M$5:$M$16)*$O9,0),IF(AT$4=EDATE('核心假设'!$B$5,3-1+'核心假设'!$B$31),SUM('融资租赁与资金缺口'!$M$5:$M$16)*$P9,0),IF(AT$4=EDATE('核心假设'!$B$5,4-1+'核心假设'!$B$31),SUM('融资租赁与资金缺口'!$M$5:$M$16)*$Q9,0),IF(AT$4=EDATE('核心假设'!$B$5,5-1+'核心假设'!$B$31),SUM('融资租赁与资金缺口'!$M$5:$M$16)*$R9,0),IF(AT$4=EDATE('核心假设'!$B$5,6-1+'核心假设'!$B$31),SUM('融资租赁与资金缺口'!$M$5:$M$16)*$S9,0),IF(AT$4=EDATE('核心假设'!$B$5,7-1+'核心假设'!$B$31),SUM('融资租赁与资金缺口'!$M$5:$M$16)*$T9,0),IF(AT$4=EDATE('核心假设'!$B$5,8-1+'核心假设'!$B$31),SUM('融资租赁与资金缺口'!$M$5:$M$16)*$U9,0),IF(AT$4=EDATE('核心假设'!$B$5,9-1+'核心假设'!$B$31),SUM('融资租赁与资金缺口'!$M$5:$M$16)*$V9,0),IF(AT$4=EDATE('核心假设'!$B$5,10-1+'核心假设'!$B$31),SUM('融资租赁与资金缺口'!$M$5:$M$16)*$W9,0),IF(AT$4=EDATE('核心假设'!$B$5,11-1+'核心假设'!$B$31),SUM('融资租赁与资金缺口'!$M$5:$M$16)*$X9,0),IF(AT$4=EDATE('核心假设'!$B$5,12-1+'核心假设'!$B$31),SUM('融资租赁与资金缺口'!$M$5:$M$16)*$Y9,0),IF(AT$4=EDATE('核心假设'!$B$5,13-1+'核心假设'!$B$31),SUM('融资租赁与资金缺口'!$M$5:$M$16)*$Z9,0),IF(AT$4=EDATE('核心假设'!$B$5,14-1+'核心假设'!$B$31),SUM('融资租赁与资金缺口'!$M$5:$M$16)*$AA9,0),IF(AT$4=EDATE('核心假设'!$B$5,15-1+'核心假设'!$B$31),SUM('融资租赁与资金缺口'!$M$5:$M$16)*$AB9,0),IF(AT$4=EDATE('核心假设'!$B$5,16-1+'核心假设'!$B$31),SUM('融资租赁与资金缺口'!$M$5:$M$16)*$AC9,0),IF(AT$4=EDATE('核心假设'!$B$5,17-1+'核心假设'!$B$31),SUM('融资租赁与资金缺口'!$M$5:$M$16)*$AD9,0))</x:f>
        <x:v>38418000</x:v>
      </x:c>
      <x:c r="AU33" s="28" t="n">
        <x:f>SUM(IF(AU$4=EDATE('核心假设'!$B$5,0-1+'核心假设'!$B$31),SUM('融资租赁与资金缺口'!$M$5:$M$16)*$M9,0),IF(AU$4=EDATE('核心假设'!$B$5,1-1+'核心假设'!$B$31),SUM('融资租赁与资金缺口'!$M$5:$M$16)*$N9,0),IF(AU$4=EDATE('核心假设'!$B$5,2-1+'核心假设'!$B$31),SUM('融资租赁与资金缺口'!$M$5:$M$16)*$O9,0),IF(AU$4=EDATE('核心假设'!$B$5,3-1+'核心假设'!$B$31),SUM('融资租赁与资金缺口'!$M$5:$M$16)*$P9,0),IF(AU$4=EDATE('核心假设'!$B$5,4-1+'核心假设'!$B$31),SUM('融资租赁与资金缺口'!$M$5:$M$16)*$Q9,0),IF(AU$4=EDATE('核心假设'!$B$5,5-1+'核心假设'!$B$31),SUM('融资租赁与资金缺口'!$M$5:$M$16)*$R9,0),IF(AU$4=EDATE('核心假设'!$B$5,6-1+'核心假设'!$B$31),SUM('融资租赁与资金缺口'!$M$5:$M$16)*$S9,0),IF(AU$4=EDATE('核心假设'!$B$5,7-1+'核心假设'!$B$31),SUM('融资租赁与资金缺口'!$M$5:$M$16)*$T9,0),IF(AU$4=EDATE('核心假设'!$B$5,8-1+'核心假设'!$B$31),SUM('融资租赁与资金缺口'!$M$5:$M$16)*$U9,0),IF(AU$4=EDATE('核心假设'!$B$5,9-1+'核心假设'!$B$31),SUM('融资租赁与资金缺口'!$M$5:$M$16)*$V9,0),IF(AU$4=EDATE('核心假设'!$B$5,10-1+'核心假设'!$B$31),SUM('融资租赁与资金缺口'!$M$5:$M$16)*$W9,0),IF(AU$4=EDATE('核心假设'!$B$5,11-1+'核心假设'!$B$31),SUM('融资租赁与资金缺口'!$M$5:$M$16)*$X9,0),IF(AU$4=EDATE('核心假设'!$B$5,12-1+'核心假设'!$B$31),SUM('融资租赁与资金缺口'!$M$5:$M$16)*$Y9,0),IF(AU$4=EDATE('核心假设'!$B$5,13-1+'核心假设'!$B$31),SUM('融资租赁与资金缺口'!$M$5:$M$16)*$Z9,0),IF(AU$4=EDATE('核心假设'!$B$5,14-1+'核心假设'!$B$31),SUM('融资租赁与资金缺口'!$M$5:$M$16)*$AA9,0),IF(AU$4=EDATE('核心假设'!$B$5,15-1+'核心假设'!$B$31),SUM('融资租赁与资金缺口'!$M$5:$M$16)*$AB9,0),IF(AU$4=EDATE('核心假设'!$B$5,16-1+'核心假设'!$B$31),SUM('融资租赁与资金缺口'!$M$5:$M$16)*$AC9,0),IF(AU$4=EDATE('核心假设'!$B$5,17-1+'核心假设'!$B$31),SUM('融资租赁与资金缺口'!$M$5:$M$16)*$AD9,0))</x:f>
        <x:v>38418000</x:v>
      </x:c>
      <x:c r="AV33" s="28" t="n">
        <x:f>SUM(IF(AV$4=EDATE('核心假设'!$B$5,0-1+'核心假设'!$B$31),SUM('融资租赁与资金缺口'!$M$5:$M$16)*$M9,0),IF(AV$4=EDATE('核心假设'!$B$5,1-1+'核心假设'!$B$31),SUM('融资租赁与资金缺口'!$M$5:$M$16)*$N9,0),IF(AV$4=EDATE('核心假设'!$B$5,2-1+'核心假设'!$B$31),SUM('融资租赁与资金缺口'!$M$5:$M$16)*$O9,0),IF(AV$4=EDATE('核心假设'!$B$5,3-1+'核心假设'!$B$31),SUM('融资租赁与资金缺口'!$M$5:$M$16)*$P9,0),IF(AV$4=EDATE('核心假设'!$B$5,4-1+'核心假设'!$B$31),SUM('融资租赁与资金缺口'!$M$5:$M$16)*$Q9,0),IF(AV$4=EDATE('核心假设'!$B$5,5-1+'核心假设'!$B$31),SUM('融资租赁与资金缺口'!$M$5:$M$16)*$R9,0),IF(AV$4=EDATE('核心假设'!$B$5,6-1+'核心假设'!$B$31),SUM('融资租赁与资金缺口'!$M$5:$M$16)*$S9,0),IF(AV$4=EDATE('核心假设'!$B$5,7-1+'核心假设'!$B$31),SUM('融资租赁与资金缺口'!$M$5:$M$16)*$T9,0),IF(AV$4=EDATE('核心假设'!$B$5,8-1+'核心假设'!$B$31),SUM('融资租赁与资金缺口'!$M$5:$M$16)*$U9,0),IF(AV$4=EDATE('核心假设'!$B$5,9-1+'核心假设'!$B$31),SUM('融资租赁与资金缺口'!$M$5:$M$16)*$V9,0),IF(AV$4=EDATE('核心假设'!$B$5,10-1+'核心假设'!$B$31),SUM('融资租赁与资金缺口'!$M$5:$M$16)*$W9,0),IF(AV$4=EDATE('核心假设'!$B$5,11-1+'核心假设'!$B$31),SUM('融资租赁与资金缺口'!$M$5:$M$16)*$X9,0),IF(AV$4=EDATE('核心假设'!$B$5,12-1+'核心假设'!$B$31),SUM('融资租赁与资金缺口'!$M$5:$M$16)*$Y9,0),IF(AV$4=EDATE('核心假设'!$B$5,13-1+'核心假设'!$B$31),SUM('融资租赁与资金缺口'!$M$5:$M$16)*$Z9,0),IF(AV$4=EDATE('核心假设'!$B$5,14-1+'核心假设'!$B$31),SUM('融资租赁与资金缺口'!$M$5:$M$16)*$AA9,0),IF(AV$4=EDATE('核心假设'!$B$5,15-1+'核心假设'!$B$31),SUM('融资租赁与资金缺口'!$M$5:$M$16)*$AB9,0),IF(AV$4=EDATE('核心假设'!$B$5,16-1+'核心假设'!$B$31),SUM('融资租赁与资金缺口'!$M$5:$M$16)*$AC9,0),IF(AV$4=EDATE('核心假设'!$B$5,17-1+'核心假设'!$B$31),SUM('融资租赁与资金缺口'!$M$5:$M$16)*$AD9,0))</x:f>
        <x:v>32015000</x:v>
      </x:c>
      <x:c r="AW33" s="28" t="n">
        <x:f>SUM(IF(AW$4=EDATE('核心假设'!$B$5,0-1+'核心假设'!$B$31),SUM('融资租赁与资金缺口'!$M$5:$M$16)*$M9,0),IF(AW$4=EDATE('核心假设'!$B$5,1-1+'核心假设'!$B$31),SUM('融资租赁与资金缺口'!$M$5:$M$16)*$N9,0),IF(AW$4=EDATE('核心假设'!$B$5,2-1+'核心假设'!$B$31),SUM('融资租赁与资金缺口'!$M$5:$M$16)*$O9,0),IF(AW$4=EDATE('核心假设'!$B$5,3-1+'核心假设'!$B$31),SUM('融资租赁与资金缺口'!$M$5:$M$16)*$P9,0),IF(AW$4=EDATE('核心假设'!$B$5,4-1+'核心假设'!$B$31),SUM('融资租赁与资金缺口'!$M$5:$M$16)*$Q9,0),IF(AW$4=EDATE('核心假设'!$B$5,5-1+'核心假设'!$B$31),SUM('融资租赁与资金缺口'!$M$5:$M$16)*$R9,0),IF(AW$4=EDATE('核心假设'!$B$5,6-1+'核心假设'!$B$31),SUM('融资租赁与资金缺口'!$M$5:$M$16)*$S9,0),IF(AW$4=EDATE('核心假设'!$B$5,7-1+'核心假设'!$B$31),SUM('融资租赁与资金缺口'!$M$5:$M$16)*$T9,0),IF(AW$4=EDATE('核心假设'!$B$5,8-1+'核心假设'!$B$31),SUM('融资租赁与资金缺口'!$M$5:$M$16)*$U9,0),IF(AW$4=EDATE('核心假设'!$B$5,9-1+'核心假设'!$B$31),SUM('融资租赁与资金缺口'!$M$5:$M$16)*$V9,0),IF(AW$4=EDATE('核心假设'!$B$5,10-1+'核心假设'!$B$31),SUM('融资租赁与资金缺口'!$M$5:$M$16)*$W9,0),IF(AW$4=EDATE('核心假设'!$B$5,11-1+'核心假设'!$B$31),SUM('融资租赁与资金缺口'!$M$5:$M$16)*$X9,0),IF(AW$4=EDATE('核心假设'!$B$5,12-1+'核心假设'!$B$31),SUM('融资租赁与资金缺口'!$M$5:$M$16)*$Y9,0),IF(AW$4=EDATE('核心假设'!$B$5,13-1+'核心假设'!$B$31),SUM('融资租赁与资金缺口'!$M$5:$M$16)*$Z9,0),IF(AW$4=EDATE('核心假设'!$B$5,14-1+'核心假设'!$B$31),SUM('融资租赁与资金缺口'!$M$5:$M$16)*$AA9,0),IF(AW$4=EDATE('核心假设'!$B$5,15-1+'核心假设'!$B$31),SUM('融资租赁与资金缺口'!$M$5:$M$16)*$AB9,0),IF(AW$4=EDATE('核心假设'!$B$5,16-1+'核心假设'!$B$31),SUM('融资租赁与资金缺口'!$M$5:$M$16)*$AC9,0),IF(AW$4=EDATE('核心假设'!$B$5,17-1+'核心假设'!$B$31),SUM('融资租赁与资金缺口'!$M$5:$M$16)*$AD9,0))</x:f>
        <x:v>25612000</x:v>
      </x:c>
      <x:c r="AX33" s="28" t="n">
        <x:f>SUM(IF(AX$4=EDATE('核心假设'!$B$5,0-1+'核心假设'!$B$31),SUM('融资租赁与资金缺口'!$M$5:$M$16)*$M9,0),IF(AX$4=EDATE('核心假设'!$B$5,1-1+'核心假设'!$B$31),SUM('融资租赁与资金缺口'!$M$5:$M$16)*$N9,0),IF(AX$4=EDATE('核心假设'!$B$5,2-1+'核心假设'!$B$31),SUM('融资租赁与资金缺口'!$M$5:$M$16)*$O9,0),IF(AX$4=EDATE('核心假设'!$B$5,3-1+'核心假设'!$B$31),SUM('融资租赁与资金缺口'!$M$5:$M$16)*$P9,0),IF(AX$4=EDATE('核心假设'!$B$5,4-1+'核心假设'!$B$31),SUM('融资租赁与资金缺口'!$M$5:$M$16)*$Q9,0),IF(AX$4=EDATE('核心假设'!$B$5,5-1+'核心假设'!$B$31),SUM('融资租赁与资金缺口'!$M$5:$M$16)*$R9,0),IF(AX$4=EDATE('核心假设'!$B$5,6-1+'核心假设'!$B$31),SUM('融资租赁与资金缺口'!$M$5:$M$16)*$S9,0),IF(AX$4=EDATE('核心假设'!$B$5,7-1+'核心假设'!$B$31),SUM('融资租赁与资金缺口'!$M$5:$M$16)*$T9,0),IF(AX$4=EDATE('核心假设'!$B$5,8-1+'核心假设'!$B$31),SUM('融资租赁与资金缺口'!$M$5:$M$16)*$U9,0),IF(AX$4=EDATE('核心假设'!$B$5,9-1+'核心假设'!$B$31),SUM('融资租赁与资金缺口'!$M$5:$M$16)*$V9,0),IF(AX$4=EDATE('核心假设'!$B$5,10-1+'核心假设'!$B$31),SUM('融资租赁与资金缺口'!$M$5:$M$16)*$W9,0),IF(AX$4=EDATE('核心假设'!$B$5,11-1+'核心假设'!$B$31),SUM('融资租赁与资金缺口'!$M$5:$M$16)*$X9,0),IF(AX$4=EDATE('核心假设'!$B$5,12-1+'核心假设'!$B$31),SUM('融资租赁与资金缺口'!$M$5:$M$16)*$Y9,0),IF(AX$4=EDATE('核心假设'!$B$5,13-1+'核心假设'!$B$31),SUM('融资租赁与资金缺口'!$M$5:$M$16)*$Z9,0),IF(AX$4=EDATE('核心假设'!$B$5,14-1+'核心假设'!$B$31),SUM('融资租赁与资金缺口'!$M$5:$M$16)*$AA9,0),IF(AX$4=EDATE('核心假设'!$B$5,15-1+'核心假设'!$B$31),SUM('融资租赁与资金缺口'!$M$5:$M$16)*$AB9,0),IF(AX$4=EDATE('核心假设'!$B$5,16-1+'核心假设'!$B$31),SUM('融资租赁与资金缺口'!$M$5:$M$16)*$AC9,0),IF(AX$4=EDATE('核心假设'!$B$5,17-1+'核心假设'!$B$31),SUM('融资租赁与资金缺口'!$M$5:$M$16)*$AD9,0))</x:f>
        <x:v>25612000</x:v>
      </x:c>
      <x:c r="AY33" s="28" t="n">
        <x:f>SUM(IF(AY$4=EDATE('核心假设'!$B$5,0-1+'核心假设'!$B$31),SUM('融资租赁与资金缺口'!$M$5:$M$16)*$M9,0),IF(AY$4=EDATE('核心假设'!$B$5,1-1+'核心假设'!$B$31),SUM('融资租赁与资金缺口'!$M$5:$M$16)*$N9,0),IF(AY$4=EDATE('核心假设'!$B$5,2-1+'核心假设'!$B$31),SUM('融资租赁与资金缺口'!$M$5:$M$16)*$O9,0),IF(AY$4=EDATE('核心假设'!$B$5,3-1+'核心假设'!$B$31),SUM('融资租赁与资金缺口'!$M$5:$M$16)*$P9,0),IF(AY$4=EDATE('核心假设'!$B$5,4-1+'核心假设'!$B$31),SUM('融资租赁与资金缺口'!$M$5:$M$16)*$Q9,0),IF(AY$4=EDATE('核心假设'!$B$5,5-1+'核心假设'!$B$31),SUM('融资租赁与资金缺口'!$M$5:$M$16)*$R9,0),IF(AY$4=EDATE('核心假设'!$B$5,6-1+'核心假设'!$B$31),SUM('融资租赁与资金缺口'!$M$5:$M$16)*$S9,0),IF(AY$4=EDATE('核心假设'!$B$5,7-1+'核心假设'!$B$31),SUM('融资租赁与资金缺口'!$M$5:$M$16)*$T9,0),IF(AY$4=EDATE('核心假设'!$B$5,8-1+'核心假设'!$B$31),SUM('融资租赁与资金缺口'!$M$5:$M$16)*$U9,0),IF(AY$4=EDATE('核心假设'!$B$5,9-1+'核心假设'!$B$31),SUM('融资租赁与资金缺口'!$M$5:$M$16)*$V9,0),IF(AY$4=EDATE('核心假设'!$B$5,10-1+'核心假设'!$B$31),SUM('融资租赁与资金缺口'!$M$5:$M$16)*$W9,0),IF(AY$4=EDATE('核心假设'!$B$5,11-1+'核心假设'!$B$31),SUM('融资租赁与资金缺口'!$M$5:$M$16)*$X9,0),IF(AY$4=EDATE('核心假设'!$B$5,12-1+'核心假设'!$B$31),SUM('融资租赁与资金缺口'!$M$5:$M$16)*$Y9,0),IF(AY$4=EDATE('核心假设'!$B$5,13-1+'核心假设'!$B$31),SUM('融资租赁与资金缺口'!$M$5:$M$16)*$Z9,0),IF(AY$4=EDATE('核心假设'!$B$5,14-1+'核心假设'!$B$31),SUM('融资租赁与资金缺口'!$M$5:$M$16)*$AA9,0),IF(AY$4=EDATE('核心假设'!$B$5,15-1+'核心假设'!$B$31),SUM('融资租赁与资金缺口'!$M$5:$M$16)*$AB9,0),IF(AY$4=EDATE('核心假设'!$B$5,16-1+'核心假设'!$B$31),SUM('融资租赁与资金缺口'!$M$5:$M$16)*$AC9,0),IF(AY$4=EDATE('核心假设'!$B$5,17-1+'核心假设'!$B$31),SUM('融资租赁与资金缺口'!$M$5:$M$16)*$AD9,0))</x:f>
        <x:v>0</x:v>
      </x:c>
      <x:c r="AZ33" s="28" t="n">
        <x:f>SUM(IF(AZ$4=EDATE('核心假设'!$B$5,0-1+'核心假设'!$B$31),SUM('融资租赁与资金缺口'!$M$5:$M$16)*$M9,0),IF(AZ$4=EDATE('核心假设'!$B$5,1-1+'核心假设'!$B$31),SUM('融资租赁与资金缺口'!$M$5:$M$16)*$N9,0),IF(AZ$4=EDATE('核心假设'!$B$5,2-1+'核心假设'!$B$31),SUM('融资租赁与资金缺口'!$M$5:$M$16)*$O9,0),IF(AZ$4=EDATE('核心假设'!$B$5,3-1+'核心假设'!$B$31),SUM('融资租赁与资金缺口'!$M$5:$M$16)*$P9,0),IF(AZ$4=EDATE('核心假设'!$B$5,4-1+'核心假设'!$B$31),SUM('融资租赁与资金缺口'!$M$5:$M$16)*$Q9,0),IF(AZ$4=EDATE('核心假设'!$B$5,5-1+'核心假设'!$B$31),SUM('融资租赁与资金缺口'!$M$5:$M$16)*$R9,0),IF(AZ$4=EDATE('核心假设'!$B$5,6-1+'核心假设'!$B$31),SUM('融资租赁与资金缺口'!$M$5:$M$16)*$S9,0),IF(AZ$4=EDATE('核心假设'!$B$5,7-1+'核心假设'!$B$31),SUM('融资租赁与资金缺口'!$M$5:$M$16)*$T9,0),IF(AZ$4=EDATE('核心假设'!$B$5,8-1+'核心假设'!$B$31),SUM('融资租赁与资金缺口'!$M$5:$M$16)*$U9,0),IF(AZ$4=EDATE('核心假设'!$B$5,9-1+'核心假设'!$B$31),SUM('融资租赁与资金缺口'!$M$5:$M$16)*$V9,0),IF(AZ$4=EDATE('核心假设'!$B$5,10-1+'核心假设'!$B$31),SUM('融资租赁与资金缺口'!$M$5:$M$16)*$W9,0),IF(AZ$4=EDATE('核心假设'!$B$5,11-1+'核心假设'!$B$31),SUM('融资租赁与资金缺口'!$M$5:$M$16)*$X9,0),IF(AZ$4=EDATE('核心假设'!$B$5,12-1+'核心假设'!$B$31),SUM('融资租赁与资金缺口'!$M$5:$M$16)*$Y9,0),IF(AZ$4=EDATE('核心假设'!$B$5,13-1+'核心假设'!$B$31),SUM('融资租赁与资金缺口'!$M$5:$M$16)*$Z9,0),IF(AZ$4=EDATE('核心假设'!$B$5,14-1+'核心假设'!$B$31),SUM('融资租赁与资金缺口'!$M$5:$M$16)*$AA9,0),IF(AZ$4=EDATE('核心假设'!$B$5,15-1+'核心假设'!$B$31),SUM('融资租赁与资金缺口'!$M$5:$M$16)*$AB9,0),IF(AZ$4=EDATE('核心假设'!$B$5,16-1+'核心假设'!$B$31),SUM('融资租赁与资金缺口'!$M$5:$M$16)*$AC9,0),IF(AZ$4=EDATE('核心假设'!$B$5,17-1+'核心假设'!$B$31),SUM('融资租赁与资金缺口'!$M$5:$M$16)*$AD9,0))</x:f>
        <x:v>0</x:v>
      </x:c>
      <x:c r="BA33" s="28" t="n">
        <x:f>SUM(IF(BA$4=EDATE('核心假设'!$B$5,0-1+'核心假设'!$B$31),SUM('融资租赁与资金缺口'!$M$5:$M$16)*$M9,0),IF(BA$4=EDATE('核心假设'!$B$5,1-1+'核心假设'!$B$31),SUM('融资租赁与资金缺口'!$M$5:$M$16)*$N9,0),IF(BA$4=EDATE('核心假设'!$B$5,2-1+'核心假设'!$B$31),SUM('融资租赁与资金缺口'!$M$5:$M$16)*$O9,0),IF(BA$4=EDATE('核心假设'!$B$5,3-1+'核心假设'!$B$31),SUM('融资租赁与资金缺口'!$M$5:$M$16)*$P9,0),IF(BA$4=EDATE('核心假设'!$B$5,4-1+'核心假设'!$B$31),SUM('融资租赁与资金缺口'!$M$5:$M$16)*$Q9,0),IF(BA$4=EDATE('核心假设'!$B$5,5-1+'核心假设'!$B$31),SUM('融资租赁与资金缺口'!$M$5:$M$16)*$R9,0),IF(BA$4=EDATE('核心假设'!$B$5,6-1+'核心假设'!$B$31),SUM('融资租赁与资金缺口'!$M$5:$M$16)*$S9,0),IF(BA$4=EDATE('核心假设'!$B$5,7-1+'核心假设'!$B$31),SUM('融资租赁与资金缺口'!$M$5:$M$16)*$T9,0),IF(BA$4=EDATE('核心假设'!$B$5,8-1+'核心假设'!$B$31),SUM('融资租赁与资金缺口'!$M$5:$M$16)*$U9,0),IF(BA$4=EDATE('核心假设'!$B$5,9-1+'核心假设'!$B$31),SUM('融资租赁与资金缺口'!$M$5:$M$16)*$V9,0),IF(BA$4=EDATE('核心假设'!$B$5,10-1+'核心假设'!$B$31),SUM('融资租赁与资金缺口'!$M$5:$M$16)*$W9,0),IF(BA$4=EDATE('核心假设'!$B$5,11-1+'核心假设'!$B$31),SUM('融资租赁与资金缺口'!$M$5:$M$16)*$X9,0),IF(BA$4=EDATE('核心假设'!$B$5,12-1+'核心假设'!$B$31),SUM('融资租赁与资金缺口'!$M$5:$M$16)*$Y9,0),IF(BA$4=EDATE('核心假设'!$B$5,13-1+'核心假设'!$B$31),SUM('融资租赁与资金缺口'!$M$5:$M$16)*$Z9,0),IF(BA$4=EDATE('核心假设'!$B$5,14-1+'核心假设'!$B$31),SUM('融资租赁与资金缺口'!$M$5:$M$16)*$AA9,0),IF(BA$4=EDATE('核心假设'!$B$5,15-1+'核心假设'!$B$31),SUM('融资租赁与资金缺口'!$M$5:$M$16)*$AB9,0),IF(BA$4=EDATE('核心假设'!$B$5,16-1+'核心假设'!$B$31),SUM('融资租赁与资金缺口'!$M$5:$M$16)*$AC9,0),IF(BA$4=EDATE('核心假设'!$B$5,17-1+'核心假设'!$B$31),SUM('融资租赁与资金缺口'!$M$5:$M$16)*$AD9,0))</x:f>
        <x:v>0</x:v>
      </x:c>
      <x:c r="BB33" s="28" t="n">
        <x:f>SUM(IF(BB$4=EDATE('核心假设'!$B$5,0-1+'核心假设'!$B$31),SUM('融资租赁与资金缺口'!$M$5:$M$16)*$M9,0),IF(BB$4=EDATE('核心假设'!$B$5,1-1+'核心假设'!$B$31),SUM('融资租赁与资金缺口'!$M$5:$M$16)*$N9,0),IF(BB$4=EDATE('核心假设'!$B$5,2-1+'核心假设'!$B$31),SUM('融资租赁与资金缺口'!$M$5:$M$16)*$O9,0),IF(BB$4=EDATE('核心假设'!$B$5,3-1+'核心假设'!$B$31),SUM('融资租赁与资金缺口'!$M$5:$M$16)*$P9,0),IF(BB$4=EDATE('核心假设'!$B$5,4-1+'核心假设'!$B$31),SUM('融资租赁与资金缺口'!$M$5:$M$16)*$Q9,0),IF(BB$4=EDATE('核心假设'!$B$5,5-1+'核心假设'!$B$31),SUM('融资租赁与资金缺口'!$M$5:$M$16)*$R9,0),IF(BB$4=EDATE('核心假设'!$B$5,6-1+'核心假设'!$B$31),SUM('融资租赁与资金缺口'!$M$5:$M$16)*$S9,0),IF(BB$4=EDATE('核心假设'!$B$5,7-1+'核心假设'!$B$31),SUM('融资租赁与资金缺口'!$M$5:$M$16)*$T9,0),IF(BB$4=EDATE('核心假设'!$B$5,8-1+'核心假设'!$B$31),SUM('融资租赁与资金缺口'!$M$5:$M$16)*$U9,0),IF(BB$4=EDATE('核心假设'!$B$5,9-1+'核心假设'!$B$31),SUM('融资租赁与资金缺口'!$M$5:$M$16)*$V9,0),IF(BB$4=EDATE('核心假设'!$B$5,10-1+'核心假设'!$B$31),SUM('融资租赁与资金缺口'!$M$5:$M$16)*$W9,0),IF(BB$4=EDATE('核心假设'!$B$5,11-1+'核心假设'!$B$31),SUM('融资租赁与资金缺口'!$M$5:$M$16)*$X9,0),IF(BB$4=EDATE('核心假设'!$B$5,12-1+'核心假设'!$B$31),SUM('融资租赁与资金缺口'!$M$5:$M$16)*$Y9,0),IF(BB$4=EDATE('核心假设'!$B$5,13-1+'核心假设'!$B$31),SUM('融资租赁与资金缺口'!$M$5:$M$16)*$Z9,0),IF(BB$4=EDATE('核心假设'!$B$5,14-1+'核心假设'!$B$31),SUM('融资租赁与资金缺口'!$M$5:$M$16)*$AA9,0),IF(BB$4=EDATE('核心假设'!$B$5,15-1+'核心假设'!$B$31),SUM('融资租赁与资金缺口'!$M$5:$M$16)*$AB9,0),IF(BB$4=EDATE('核心假设'!$B$5,16-1+'核心假设'!$B$31),SUM('融资租赁与资金缺口'!$M$5:$M$16)*$AC9,0),IF(BB$4=EDATE('核心假设'!$B$5,17-1+'核心假设'!$B$31),SUM('融资租赁与资金缺口'!$M$5:$M$16)*$AD9,0))</x:f>
        <x:v>0</x:v>
      </x:c>
      <x:c r="BC33" s="28" t="n">
        <x:f>SUM(IF(BC$4=EDATE('核心假设'!$B$5,0-1+'核心假设'!$B$31),SUM('融资租赁与资金缺口'!$M$5:$M$16)*$M9,0),IF(BC$4=EDATE('核心假设'!$B$5,1-1+'核心假设'!$B$31),SUM('融资租赁与资金缺口'!$M$5:$M$16)*$N9,0),IF(BC$4=EDATE('核心假设'!$B$5,2-1+'核心假设'!$B$31),SUM('融资租赁与资金缺口'!$M$5:$M$16)*$O9,0),IF(BC$4=EDATE('核心假设'!$B$5,3-1+'核心假设'!$B$31),SUM('融资租赁与资金缺口'!$M$5:$M$16)*$P9,0),IF(BC$4=EDATE('核心假设'!$B$5,4-1+'核心假设'!$B$31),SUM('融资租赁与资金缺口'!$M$5:$M$16)*$Q9,0),IF(BC$4=EDATE('核心假设'!$B$5,5-1+'核心假设'!$B$31),SUM('融资租赁与资金缺口'!$M$5:$M$16)*$R9,0),IF(BC$4=EDATE('核心假设'!$B$5,6-1+'核心假设'!$B$31),SUM('融资租赁与资金缺口'!$M$5:$M$16)*$S9,0),IF(BC$4=EDATE('核心假设'!$B$5,7-1+'核心假设'!$B$31),SUM('融资租赁与资金缺口'!$M$5:$M$16)*$T9,0),IF(BC$4=EDATE('核心假设'!$B$5,8-1+'核心假设'!$B$31),SUM('融资租赁与资金缺口'!$M$5:$M$16)*$U9,0),IF(BC$4=EDATE('核心假设'!$B$5,9-1+'核心假设'!$B$31),SUM('融资租赁与资金缺口'!$M$5:$M$16)*$V9,0),IF(BC$4=EDATE('核心假设'!$B$5,10-1+'核心假设'!$B$31),SUM('融资租赁与资金缺口'!$M$5:$M$16)*$W9,0),IF(BC$4=EDATE('核心假设'!$B$5,11-1+'核心假设'!$B$31),SUM('融资租赁与资金缺口'!$M$5:$M$16)*$X9,0),IF(BC$4=EDATE('核心假设'!$B$5,12-1+'核心假设'!$B$31),SUM('融资租赁与资金缺口'!$M$5:$M$16)*$Y9,0),IF(BC$4=EDATE('核心假设'!$B$5,13-1+'核心假设'!$B$31),SUM('融资租赁与资金缺口'!$M$5:$M$16)*$Z9,0),IF(BC$4=EDATE('核心假设'!$B$5,14-1+'核心假设'!$B$31),SUM('融资租赁与资金缺口'!$M$5:$M$16)*$AA9,0),IF(BC$4=EDATE('核心假设'!$B$5,15-1+'核心假设'!$B$31),SUM('融资租赁与资金缺口'!$M$5:$M$16)*$AB9,0),IF(BC$4=EDATE('核心假设'!$B$5,16-1+'核心假设'!$B$31),SUM('融资租赁与资金缺口'!$M$5:$M$16)*$AC9,0),IF(BC$4=EDATE('核心假设'!$B$5,17-1+'核心假设'!$B$31),SUM('融资租赁与资金缺口'!$M$5:$M$16)*$AD9,0))</x:f>
        <x:v>0</x:v>
      </x:c>
      <x:c r="BD33" s="28" t="n">
        <x:f>SUM(IF(BD$4=EDATE('核心假设'!$B$5,0-1+'核心假设'!$B$31),SUM('融资租赁与资金缺口'!$M$5:$M$16)*$M9,0),IF(BD$4=EDATE('核心假设'!$B$5,1-1+'核心假设'!$B$31),SUM('融资租赁与资金缺口'!$M$5:$M$16)*$N9,0),IF(BD$4=EDATE('核心假设'!$B$5,2-1+'核心假设'!$B$31),SUM('融资租赁与资金缺口'!$M$5:$M$16)*$O9,0),IF(BD$4=EDATE('核心假设'!$B$5,3-1+'核心假设'!$B$31),SUM('融资租赁与资金缺口'!$M$5:$M$16)*$P9,0),IF(BD$4=EDATE('核心假设'!$B$5,4-1+'核心假设'!$B$31),SUM('融资租赁与资金缺口'!$M$5:$M$16)*$Q9,0),IF(BD$4=EDATE('核心假设'!$B$5,5-1+'核心假设'!$B$31),SUM('融资租赁与资金缺口'!$M$5:$M$16)*$R9,0),IF(BD$4=EDATE('核心假设'!$B$5,6-1+'核心假设'!$B$31),SUM('融资租赁与资金缺口'!$M$5:$M$16)*$S9,0),IF(BD$4=EDATE('核心假设'!$B$5,7-1+'核心假设'!$B$31),SUM('融资租赁与资金缺口'!$M$5:$M$16)*$T9,0),IF(BD$4=EDATE('核心假设'!$B$5,8-1+'核心假设'!$B$31),SUM('融资租赁与资金缺口'!$M$5:$M$16)*$U9,0),IF(BD$4=EDATE('核心假设'!$B$5,9-1+'核心假设'!$B$31),SUM('融资租赁与资金缺口'!$M$5:$M$16)*$V9,0),IF(BD$4=EDATE('核心假设'!$B$5,10-1+'核心假设'!$B$31),SUM('融资租赁与资金缺口'!$M$5:$M$16)*$W9,0),IF(BD$4=EDATE('核心假设'!$B$5,11-1+'核心假设'!$B$31),SUM('融资租赁与资金缺口'!$M$5:$M$16)*$X9,0),IF(BD$4=EDATE('核心假设'!$B$5,12-1+'核心假设'!$B$31),SUM('融资租赁与资金缺口'!$M$5:$M$16)*$Y9,0),IF(BD$4=EDATE('核心假设'!$B$5,13-1+'核心假设'!$B$31),SUM('融资租赁与资金缺口'!$M$5:$M$16)*$Z9,0),IF(BD$4=EDATE('核心假设'!$B$5,14-1+'核心假设'!$B$31),SUM('融资租赁与资金缺口'!$M$5:$M$16)*$AA9,0),IF(BD$4=EDATE('核心假设'!$B$5,15-1+'核心假设'!$B$31),SUM('融资租赁与资金缺口'!$M$5:$M$16)*$AB9,0),IF(BD$4=EDATE('核心假设'!$B$5,16-1+'核心假设'!$B$31),SUM('融资租赁与资金缺口'!$M$5:$M$16)*$AC9,0),IF(BD$4=EDATE('核心假设'!$B$5,17-1+'核心假设'!$B$31),SUM('融资租赁与资金缺口'!$M$5:$M$16)*$AD9,0))</x:f>
        <x:v>0</x:v>
      </x:c>
      <x:c r="BE33" s="28" t="n">
        <x:f>SUM(IF(BE$4=EDATE('核心假设'!$B$5,0-1+'核心假设'!$B$31),SUM('融资租赁与资金缺口'!$M$5:$M$16)*$M9,0),IF(BE$4=EDATE('核心假设'!$B$5,1-1+'核心假设'!$B$31),SUM('融资租赁与资金缺口'!$M$5:$M$16)*$N9,0),IF(BE$4=EDATE('核心假设'!$B$5,2-1+'核心假设'!$B$31),SUM('融资租赁与资金缺口'!$M$5:$M$16)*$O9,0),IF(BE$4=EDATE('核心假设'!$B$5,3-1+'核心假设'!$B$31),SUM('融资租赁与资金缺口'!$M$5:$M$16)*$P9,0),IF(BE$4=EDATE('核心假设'!$B$5,4-1+'核心假设'!$B$31),SUM('融资租赁与资金缺口'!$M$5:$M$16)*$Q9,0),IF(BE$4=EDATE('核心假设'!$B$5,5-1+'核心假设'!$B$31),SUM('融资租赁与资金缺口'!$M$5:$M$16)*$R9,0),IF(BE$4=EDATE('核心假设'!$B$5,6-1+'核心假设'!$B$31),SUM('融资租赁与资金缺口'!$M$5:$M$16)*$S9,0),IF(BE$4=EDATE('核心假设'!$B$5,7-1+'核心假设'!$B$31),SUM('融资租赁与资金缺口'!$M$5:$M$16)*$T9,0),IF(BE$4=EDATE('核心假设'!$B$5,8-1+'核心假设'!$B$31),SUM('融资租赁与资金缺口'!$M$5:$M$16)*$U9,0),IF(BE$4=EDATE('核心假设'!$B$5,9-1+'核心假设'!$B$31),SUM('融资租赁与资金缺口'!$M$5:$M$16)*$V9,0),IF(BE$4=EDATE('核心假设'!$B$5,10-1+'核心假设'!$B$31),SUM('融资租赁与资金缺口'!$M$5:$M$16)*$W9,0),IF(BE$4=EDATE('核心假设'!$B$5,11-1+'核心假设'!$B$31),SUM('融资租赁与资金缺口'!$M$5:$M$16)*$X9,0),IF(BE$4=EDATE('核心假设'!$B$5,12-1+'核心假设'!$B$31),SUM('融资租赁与资金缺口'!$M$5:$M$16)*$Y9,0),IF(BE$4=EDATE('核心假设'!$B$5,13-1+'核心假设'!$B$31),SUM('融资租赁与资金缺口'!$M$5:$M$16)*$Z9,0),IF(BE$4=EDATE('核心假设'!$B$5,14-1+'核心假设'!$B$31),SUM('融资租赁与资金缺口'!$M$5:$M$16)*$AA9,0),IF(BE$4=EDATE('核心假设'!$B$5,15-1+'核心假设'!$B$31),SUM('融资租赁与资金缺口'!$M$5:$M$16)*$AB9,0),IF(BE$4=EDATE('核心假设'!$B$5,16-1+'核心假设'!$B$31),SUM('融资租赁与资金缺口'!$M$5:$M$16)*$AC9,0),IF(BE$4=EDATE('核心假设'!$B$5,17-1+'核心假设'!$B$31),SUM('融资租赁与资金缺口'!$M$5:$M$16)*$AD9,0))</x:f>
        <x:v>0</x:v>
      </x:c>
      <x:c r="BF33" s="28" t="n">
        <x:f>SUM(IF(BF$4=EDATE('核心假设'!$B$5,0-1+'核心假设'!$B$31),SUM('融资租赁与资金缺口'!$M$5:$M$16)*$M9,0),IF(BF$4=EDATE('核心假设'!$B$5,1-1+'核心假设'!$B$31),SUM('融资租赁与资金缺口'!$M$5:$M$16)*$N9,0),IF(BF$4=EDATE('核心假设'!$B$5,2-1+'核心假设'!$B$31),SUM('融资租赁与资金缺口'!$M$5:$M$16)*$O9,0),IF(BF$4=EDATE('核心假设'!$B$5,3-1+'核心假设'!$B$31),SUM('融资租赁与资金缺口'!$M$5:$M$16)*$P9,0),IF(BF$4=EDATE('核心假设'!$B$5,4-1+'核心假设'!$B$31),SUM('融资租赁与资金缺口'!$M$5:$M$16)*$Q9,0),IF(BF$4=EDATE('核心假设'!$B$5,5-1+'核心假设'!$B$31),SUM('融资租赁与资金缺口'!$M$5:$M$16)*$R9,0),IF(BF$4=EDATE('核心假设'!$B$5,6-1+'核心假设'!$B$31),SUM('融资租赁与资金缺口'!$M$5:$M$16)*$S9,0),IF(BF$4=EDATE('核心假设'!$B$5,7-1+'核心假设'!$B$31),SUM('融资租赁与资金缺口'!$M$5:$M$16)*$T9,0),IF(BF$4=EDATE('核心假设'!$B$5,8-1+'核心假设'!$B$31),SUM('融资租赁与资金缺口'!$M$5:$M$16)*$U9,0),IF(BF$4=EDATE('核心假设'!$B$5,9-1+'核心假设'!$B$31),SUM('融资租赁与资金缺口'!$M$5:$M$16)*$V9,0),IF(BF$4=EDATE('核心假设'!$B$5,10-1+'核心假设'!$B$31),SUM('融资租赁与资金缺口'!$M$5:$M$16)*$W9,0),IF(BF$4=EDATE('核心假设'!$B$5,11-1+'核心假设'!$B$31),SUM('融资租赁与资金缺口'!$M$5:$M$16)*$X9,0),IF(BF$4=EDATE('核心假设'!$B$5,12-1+'核心假设'!$B$31),SUM('融资租赁与资金缺口'!$M$5:$M$16)*$Y9,0),IF(BF$4=EDATE('核心假设'!$B$5,13-1+'核心假设'!$B$31),SUM('融资租赁与资金缺口'!$M$5:$M$16)*$Z9,0),IF(BF$4=EDATE('核心假设'!$B$5,14-1+'核心假设'!$B$31),SUM('融资租赁与资金缺口'!$M$5:$M$16)*$AA9,0),IF(BF$4=EDATE('核心假设'!$B$5,15-1+'核心假设'!$B$31),SUM('融资租赁与资金缺口'!$M$5:$M$16)*$AB9,0),IF(BF$4=EDATE('核心假设'!$B$5,16-1+'核心假设'!$B$31),SUM('融资租赁与资金缺口'!$M$5:$M$16)*$AC9,0),IF(BF$4=EDATE('核心假设'!$B$5,17-1+'核心假设'!$B$31),SUM('融资租赁与资金缺口'!$M$5:$M$16)*$AD9,0))</x:f>
        <x:v>0</x:v>
      </x:c>
      <x:c r="BG33" s="28" t="n">
        <x:f>SUM(IF(BG$4=EDATE('核心假设'!$B$5,0-1+'核心假设'!$B$31),SUM('融资租赁与资金缺口'!$M$5:$M$16)*$M9,0),IF(BG$4=EDATE('核心假设'!$B$5,1-1+'核心假设'!$B$31),SUM('融资租赁与资金缺口'!$M$5:$M$16)*$N9,0),IF(BG$4=EDATE('核心假设'!$B$5,2-1+'核心假设'!$B$31),SUM('融资租赁与资金缺口'!$M$5:$M$16)*$O9,0),IF(BG$4=EDATE('核心假设'!$B$5,3-1+'核心假设'!$B$31),SUM('融资租赁与资金缺口'!$M$5:$M$16)*$P9,0),IF(BG$4=EDATE('核心假设'!$B$5,4-1+'核心假设'!$B$31),SUM('融资租赁与资金缺口'!$M$5:$M$16)*$Q9,0),IF(BG$4=EDATE('核心假设'!$B$5,5-1+'核心假设'!$B$31),SUM('融资租赁与资金缺口'!$M$5:$M$16)*$R9,0),IF(BG$4=EDATE('核心假设'!$B$5,6-1+'核心假设'!$B$31),SUM('融资租赁与资金缺口'!$M$5:$M$16)*$S9,0),IF(BG$4=EDATE('核心假设'!$B$5,7-1+'核心假设'!$B$31),SUM('融资租赁与资金缺口'!$M$5:$M$16)*$T9,0),IF(BG$4=EDATE('核心假设'!$B$5,8-1+'核心假设'!$B$31),SUM('融资租赁与资金缺口'!$M$5:$M$16)*$U9,0),IF(BG$4=EDATE('核心假设'!$B$5,9-1+'核心假设'!$B$31),SUM('融资租赁与资金缺口'!$M$5:$M$16)*$V9,0),IF(BG$4=EDATE('核心假设'!$B$5,10-1+'核心假设'!$B$31),SUM('融资租赁与资金缺口'!$M$5:$M$16)*$W9,0),IF(BG$4=EDATE('核心假设'!$B$5,11-1+'核心假设'!$B$31),SUM('融资租赁与资金缺口'!$M$5:$M$16)*$X9,0),IF(BG$4=EDATE('核心假设'!$B$5,12-1+'核心假设'!$B$31),SUM('融资租赁与资金缺口'!$M$5:$M$16)*$Y9,0),IF(BG$4=EDATE('核心假设'!$B$5,13-1+'核心假设'!$B$31),SUM('融资租赁与资金缺口'!$M$5:$M$16)*$Z9,0),IF(BG$4=EDATE('核心假设'!$B$5,14-1+'核心假设'!$B$31),SUM('融资租赁与资金缺口'!$M$5:$M$16)*$AA9,0),IF(BG$4=EDATE('核心假设'!$B$5,15-1+'核心假设'!$B$31),SUM('融资租赁与资金缺口'!$M$5:$M$16)*$AB9,0),IF(BG$4=EDATE('核心假设'!$B$5,16-1+'核心假设'!$B$31),SUM('融资租赁与资金缺口'!$M$5:$M$16)*$AC9,0),IF(BG$4=EDATE('核心假设'!$B$5,17-1+'核心假设'!$B$31),SUM('融资租赁与资金缺口'!$M$5:$M$16)*$AD9,0))</x:f>
        <x:v>0</x:v>
      </x:c>
      <x:c r="BH33" s="28" t="n">
        <x:f>SUM(IF(BH$4=EDATE('核心假设'!$B$5,0-1+'核心假设'!$B$31),SUM('融资租赁与资金缺口'!$M$5:$M$16)*$M9,0),IF(BH$4=EDATE('核心假设'!$B$5,1-1+'核心假设'!$B$31),SUM('融资租赁与资金缺口'!$M$5:$M$16)*$N9,0),IF(BH$4=EDATE('核心假设'!$B$5,2-1+'核心假设'!$B$31),SUM('融资租赁与资金缺口'!$M$5:$M$16)*$O9,0),IF(BH$4=EDATE('核心假设'!$B$5,3-1+'核心假设'!$B$31),SUM('融资租赁与资金缺口'!$M$5:$M$16)*$P9,0),IF(BH$4=EDATE('核心假设'!$B$5,4-1+'核心假设'!$B$31),SUM('融资租赁与资金缺口'!$M$5:$M$16)*$Q9,0),IF(BH$4=EDATE('核心假设'!$B$5,5-1+'核心假设'!$B$31),SUM('融资租赁与资金缺口'!$M$5:$M$16)*$R9,0),IF(BH$4=EDATE('核心假设'!$B$5,6-1+'核心假设'!$B$31),SUM('融资租赁与资金缺口'!$M$5:$M$16)*$S9,0),IF(BH$4=EDATE('核心假设'!$B$5,7-1+'核心假设'!$B$31),SUM('融资租赁与资金缺口'!$M$5:$M$16)*$T9,0),IF(BH$4=EDATE('核心假设'!$B$5,8-1+'核心假设'!$B$31),SUM('融资租赁与资金缺口'!$M$5:$M$16)*$U9,0),IF(BH$4=EDATE('核心假设'!$B$5,9-1+'核心假设'!$B$31),SUM('融资租赁与资金缺口'!$M$5:$M$16)*$V9,0),IF(BH$4=EDATE('核心假设'!$B$5,10-1+'核心假设'!$B$31),SUM('融资租赁与资金缺口'!$M$5:$M$16)*$W9,0),IF(BH$4=EDATE('核心假设'!$B$5,11-1+'核心假设'!$B$31),SUM('融资租赁与资金缺口'!$M$5:$M$16)*$X9,0),IF(BH$4=EDATE('核心假设'!$B$5,12-1+'核心假设'!$B$31),SUM('融资租赁与资金缺口'!$M$5:$M$16)*$Y9,0),IF(BH$4=EDATE('核心假设'!$B$5,13-1+'核心假设'!$B$31),SUM('融资租赁与资金缺口'!$M$5:$M$16)*$Z9,0),IF(BH$4=EDATE('核心假设'!$B$5,14-1+'核心假设'!$B$31),SUM('融资租赁与资金缺口'!$M$5:$M$16)*$AA9,0),IF(BH$4=EDATE('核心假设'!$B$5,15-1+'核心假设'!$B$31),SUM('融资租赁与资金缺口'!$M$5:$M$16)*$AB9,0),IF(BH$4=EDATE('核心假设'!$B$5,16-1+'核心假设'!$B$31),SUM('融资租赁与资金缺口'!$M$5:$M$16)*$AC9,0),IF(BH$4=EDATE('核心假设'!$B$5,17-1+'核心假设'!$B$31),SUM('融资租赁与资金缺口'!$M$5:$M$16)*$AD9,0))</x:f>
        <x:v>0</x:v>
      </x:c>
      <x:c r="BI33" s="28" t="n">
        <x:f>SUM(IF(BI$4=EDATE('核心假设'!$B$5,0-1+'核心假设'!$B$31),SUM('融资租赁与资金缺口'!$M$5:$M$16)*$M9,0),IF(BI$4=EDATE('核心假设'!$B$5,1-1+'核心假设'!$B$31),SUM('融资租赁与资金缺口'!$M$5:$M$16)*$N9,0),IF(BI$4=EDATE('核心假设'!$B$5,2-1+'核心假设'!$B$31),SUM('融资租赁与资金缺口'!$M$5:$M$16)*$O9,0),IF(BI$4=EDATE('核心假设'!$B$5,3-1+'核心假设'!$B$31),SUM('融资租赁与资金缺口'!$M$5:$M$16)*$P9,0),IF(BI$4=EDATE('核心假设'!$B$5,4-1+'核心假设'!$B$31),SUM('融资租赁与资金缺口'!$M$5:$M$16)*$Q9,0),IF(BI$4=EDATE('核心假设'!$B$5,5-1+'核心假设'!$B$31),SUM('融资租赁与资金缺口'!$M$5:$M$16)*$R9,0),IF(BI$4=EDATE('核心假设'!$B$5,6-1+'核心假设'!$B$31),SUM('融资租赁与资金缺口'!$M$5:$M$16)*$S9,0),IF(BI$4=EDATE('核心假设'!$B$5,7-1+'核心假设'!$B$31),SUM('融资租赁与资金缺口'!$M$5:$M$16)*$T9,0),IF(BI$4=EDATE('核心假设'!$B$5,8-1+'核心假设'!$B$31),SUM('融资租赁与资金缺口'!$M$5:$M$16)*$U9,0),IF(BI$4=EDATE('核心假设'!$B$5,9-1+'核心假设'!$B$31),SUM('融资租赁与资金缺口'!$M$5:$M$16)*$V9,0),IF(BI$4=EDATE('核心假设'!$B$5,10-1+'核心假设'!$B$31),SUM('融资租赁与资金缺口'!$M$5:$M$16)*$W9,0),IF(BI$4=EDATE('核心假设'!$B$5,11-1+'核心假设'!$B$31),SUM('融资租赁与资金缺口'!$M$5:$M$16)*$X9,0),IF(BI$4=EDATE('核心假设'!$B$5,12-1+'核心假设'!$B$31),SUM('融资租赁与资金缺口'!$M$5:$M$16)*$Y9,0),IF(BI$4=EDATE('核心假设'!$B$5,13-1+'核心假设'!$B$31),SUM('融资租赁与资金缺口'!$M$5:$M$16)*$Z9,0),IF(BI$4=EDATE('核心假设'!$B$5,14-1+'核心假设'!$B$31),SUM('融资租赁与资金缺口'!$M$5:$M$16)*$AA9,0),IF(BI$4=EDATE('核心假设'!$B$5,15-1+'核心假设'!$B$31),SUM('融资租赁与资金缺口'!$M$5:$M$16)*$AB9,0),IF(BI$4=EDATE('核心假设'!$B$5,16-1+'核心假设'!$B$31),SUM('融资租赁与资金缺口'!$M$5:$M$16)*$AC9,0),IF(BI$4=EDATE('核心假设'!$B$5,17-1+'核心假设'!$B$31),SUM('融资租赁与资金缺口'!$M$5:$M$16)*$AD9,0))</x:f>
        <x:v>0</x:v>
      </x:c>
      <x:c r="BJ33" s="28" t="n">
        <x:f>SUM(IF(BJ$4=EDATE('核心假设'!$B$5,0-1+'核心假设'!$B$31),SUM('融资租赁与资金缺口'!$M$5:$M$16)*$M9,0),IF(BJ$4=EDATE('核心假设'!$B$5,1-1+'核心假设'!$B$31),SUM('融资租赁与资金缺口'!$M$5:$M$16)*$N9,0),IF(BJ$4=EDATE('核心假设'!$B$5,2-1+'核心假设'!$B$31),SUM('融资租赁与资金缺口'!$M$5:$M$16)*$O9,0),IF(BJ$4=EDATE('核心假设'!$B$5,3-1+'核心假设'!$B$31),SUM('融资租赁与资金缺口'!$M$5:$M$16)*$P9,0),IF(BJ$4=EDATE('核心假设'!$B$5,4-1+'核心假设'!$B$31),SUM('融资租赁与资金缺口'!$M$5:$M$16)*$Q9,0),IF(BJ$4=EDATE('核心假设'!$B$5,5-1+'核心假设'!$B$31),SUM('融资租赁与资金缺口'!$M$5:$M$16)*$R9,0),IF(BJ$4=EDATE('核心假设'!$B$5,6-1+'核心假设'!$B$31),SUM('融资租赁与资金缺口'!$M$5:$M$16)*$S9,0),IF(BJ$4=EDATE('核心假设'!$B$5,7-1+'核心假设'!$B$31),SUM('融资租赁与资金缺口'!$M$5:$M$16)*$T9,0),IF(BJ$4=EDATE('核心假设'!$B$5,8-1+'核心假设'!$B$31),SUM('融资租赁与资金缺口'!$M$5:$M$16)*$U9,0),IF(BJ$4=EDATE('核心假设'!$B$5,9-1+'核心假设'!$B$31),SUM('融资租赁与资金缺口'!$M$5:$M$16)*$V9,0),IF(BJ$4=EDATE('核心假设'!$B$5,10-1+'核心假设'!$B$31),SUM('融资租赁与资金缺口'!$M$5:$M$16)*$W9,0),IF(BJ$4=EDATE('核心假设'!$B$5,11-1+'核心假设'!$B$31),SUM('融资租赁与资金缺口'!$M$5:$M$16)*$X9,0),IF(BJ$4=EDATE('核心假设'!$B$5,12-1+'核心假设'!$B$31),SUM('融资租赁与资金缺口'!$M$5:$M$16)*$Y9,0),IF(BJ$4=EDATE('核心假设'!$B$5,13-1+'核心假设'!$B$31),SUM('融资租赁与资金缺口'!$M$5:$M$16)*$Z9,0),IF(BJ$4=EDATE('核心假设'!$B$5,14-1+'核心假设'!$B$31),SUM('融资租赁与资金缺口'!$M$5:$M$16)*$AA9,0),IF(BJ$4=EDATE('核心假设'!$B$5,15-1+'核心假设'!$B$31),SUM('融资租赁与资金缺口'!$M$5:$M$16)*$AB9,0),IF(BJ$4=EDATE('核心假设'!$B$5,16-1+'核心假设'!$B$31),SUM('融资租赁与资金缺口'!$M$5:$M$16)*$AC9,0),IF(BJ$4=EDATE('核心假设'!$B$5,17-1+'核心假设'!$B$31),SUM('融资租赁与资金缺口'!$M$5:$M$16)*$AD9,0))</x:f>
        <x:v>0</x:v>
      </x:c>
      <x:c r="BK33" s="28" t="n">
        <x:f>SUM(IF(BK$4=EDATE('核心假设'!$B$5,0-1+'核心假设'!$B$31),SUM('融资租赁与资金缺口'!$M$5:$M$16)*$M9,0),IF(BK$4=EDATE('核心假设'!$B$5,1-1+'核心假设'!$B$31),SUM('融资租赁与资金缺口'!$M$5:$M$16)*$N9,0),IF(BK$4=EDATE('核心假设'!$B$5,2-1+'核心假设'!$B$31),SUM('融资租赁与资金缺口'!$M$5:$M$16)*$O9,0),IF(BK$4=EDATE('核心假设'!$B$5,3-1+'核心假设'!$B$31),SUM('融资租赁与资金缺口'!$M$5:$M$16)*$P9,0),IF(BK$4=EDATE('核心假设'!$B$5,4-1+'核心假设'!$B$31),SUM('融资租赁与资金缺口'!$M$5:$M$16)*$Q9,0),IF(BK$4=EDATE('核心假设'!$B$5,5-1+'核心假设'!$B$31),SUM('融资租赁与资金缺口'!$M$5:$M$16)*$R9,0),IF(BK$4=EDATE('核心假设'!$B$5,6-1+'核心假设'!$B$31),SUM('融资租赁与资金缺口'!$M$5:$M$16)*$S9,0),IF(BK$4=EDATE('核心假设'!$B$5,7-1+'核心假设'!$B$31),SUM('融资租赁与资金缺口'!$M$5:$M$16)*$T9,0),IF(BK$4=EDATE('核心假设'!$B$5,8-1+'核心假设'!$B$31),SUM('融资租赁与资金缺口'!$M$5:$M$16)*$U9,0),IF(BK$4=EDATE('核心假设'!$B$5,9-1+'核心假设'!$B$31),SUM('融资租赁与资金缺口'!$M$5:$M$16)*$V9,0),IF(BK$4=EDATE('核心假设'!$B$5,10-1+'核心假设'!$B$31),SUM('融资租赁与资金缺口'!$M$5:$M$16)*$W9,0),IF(BK$4=EDATE('核心假设'!$B$5,11-1+'核心假设'!$B$31),SUM('融资租赁与资金缺口'!$M$5:$M$16)*$X9,0),IF(BK$4=EDATE('核心假设'!$B$5,12-1+'核心假设'!$B$31),SUM('融资租赁与资金缺口'!$M$5:$M$16)*$Y9,0),IF(BK$4=EDATE('核心假设'!$B$5,13-1+'核心假设'!$B$31),SUM('融资租赁与资金缺口'!$M$5:$M$16)*$Z9,0),IF(BK$4=EDATE('核心假设'!$B$5,14-1+'核心假设'!$B$31),SUM('融资租赁与资金缺口'!$M$5:$M$16)*$AA9,0),IF(BK$4=EDATE('核心假设'!$B$5,15-1+'核心假设'!$B$31),SUM('融资租赁与资金缺口'!$M$5:$M$16)*$AB9,0),IF(BK$4=EDATE('核心假设'!$B$5,16-1+'核心假设'!$B$31),SUM('融资租赁与资金缺口'!$M$5:$M$16)*$AC9,0),IF(BK$4=EDATE('核心假设'!$B$5,17-1+'核心假设'!$B$31),SUM('融资租赁与资金缺口'!$M$5:$M$16)*$AD9,0))</x:f>
        <x:v>0</x:v>
      </x:c>
      <x:c r="BL33" s="28" t="n">
        <x:f>SUM(IF(BL$4=EDATE('核心假设'!$B$5,0-1+'核心假设'!$B$31),SUM('融资租赁与资金缺口'!$M$5:$M$16)*$M9,0),IF(BL$4=EDATE('核心假设'!$B$5,1-1+'核心假设'!$B$31),SUM('融资租赁与资金缺口'!$M$5:$M$16)*$N9,0),IF(BL$4=EDATE('核心假设'!$B$5,2-1+'核心假设'!$B$31),SUM('融资租赁与资金缺口'!$M$5:$M$16)*$O9,0),IF(BL$4=EDATE('核心假设'!$B$5,3-1+'核心假设'!$B$31),SUM('融资租赁与资金缺口'!$M$5:$M$16)*$P9,0),IF(BL$4=EDATE('核心假设'!$B$5,4-1+'核心假设'!$B$31),SUM('融资租赁与资金缺口'!$M$5:$M$16)*$Q9,0),IF(BL$4=EDATE('核心假设'!$B$5,5-1+'核心假设'!$B$31),SUM('融资租赁与资金缺口'!$M$5:$M$16)*$R9,0),IF(BL$4=EDATE('核心假设'!$B$5,6-1+'核心假设'!$B$31),SUM('融资租赁与资金缺口'!$M$5:$M$16)*$S9,0),IF(BL$4=EDATE('核心假设'!$B$5,7-1+'核心假设'!$B$31),SUM('融资租赁与资金缺口'!$M$5:$M$16)*$T9,0),IF(BL$4=EDATE('核心假设'!$B$5,8-1+'核心假设'!$B$31),SUM('融资租赁与资金缺口'!$M$5:$M$16)*$U9,0),IF(BL$4=EDATE('核心假设'!$B$5,9-1+'核心假设'!$B$31),SUM('融资租赁与资金缺口'!$M$5:$M$16)*$V9,0),IF(BL$4=EDATE('核心假设'!$B$5,10-1+'核心假设'!$B$31),SUM('融资租赁与资金缺口'!$M$5:$M$16)*$W9,0),IF(BL$4=EDATE('核心假设'!$B$5,11-1+'核心假设'!$B$31),SUM('融资租赁与资金缺口'!$M$5:$M$16)*$X9,0),IF(BL$4=EDATE('核心假设'!$B$5,12-1+'核心假设'!$B$31),SUM('融资租赁与资金缺口'!$M$5:$M$16)*$Y9,0),IF(BL$4=EDATE('核心假设'!$B$5,13-1+'核心假设'!$B$31),SUM('融资租赁与资金缺口'!$M$5:$M$16)*$Z9,0),IF(BL$4=EDATE('核心假设'!$B$5,14-1+'核心假设'!$B$31),SUM('融资租赁与资金缺口'!$M$5:$M$16)*$AA9,0),IF(BL$4=EDATE('核心假设'!$B$5,15-1+'核心假设'!$B$31),SUM('融资租赁与资金缺口'!$M$5:$M$16)*$AB9,0),IF(BL$4=EDATE('核心假设'!$B$5,16-1+'核心假设'!$B$31),SUM('融资租赁与资金缺口'!$M$5:$M$16)*$AC9,0),IF(BL$4=EDATE('核心假设'!$B$5,17-1+'核心假设'!$B$31),SUM('融资租赁与资金缺口'!$M$5:$M$16)*$AD9,0))</x:f>
        <x:v>0</x:v>
      </x:c>
      <x:c r="BM33" s="28" t="n">
        <x:f>SUM(IF(BM$4=EDATE('核心假设'!$B$5,0-1+'核心假设'!$B$31),SUM('融资租赁与资金缺口'!$M$5:$M$16)*$M9,0),IF(BM$4=EDATE('核心假设'!$B$5,1-1+'核心假设'!$B$31),SUM('融资租赁与资金缺口'!$M$5:$M$16)*$N9,0),IF(BM$4=EDATE('核心假设'!$B$5,2-1+'核心假设'!$B$31),SUM('融资租赁与资金缺口'!$M$5:$M$16)*$O9,0),IF(BM$4=EDATE('核心假设'!$B$5,3-1+'核心假设'!$B$31),SUM('融资租赁与资金缺口'!$M$5:$M$16)*$P9,0),IF(BM$4=EDATE('核心假设'!$B$5,4-1+'核心假设'!$B$31),SUM('融资租赁与资金缺口'!$M$5:$M$16)*$Q9,0),IF(BM$4=EDATE('核心假设'!$B$5,5-1+'核心假设'!$B$31),SUM('融资租赁与资金缺口'!$M$5:$M$16)*$R9,0),IF(BM$4=EDATE('核心假设'!$B$5,6-1+'核心假设'!$B$31),SUM('融资租赁与资金缺口'!$M$5:$M$16)*$S9,0),IF(BM$4=EDATE('核心假设'!$B$5,7-1+'核心假设'!$B$31),SUM('融资租赁与资金缺口'!$M$5:$M$16)*$T9,0),IF(BM$4=EDATE('核心假设'!$B$5,8-1+'核心假设'!$B$31),SUM('融资租赁与资金缺口'!$M$5:$M$16)*$U9,0),IF(BM$4=EDATE('核心假设'!$B$5,9-1+'核心假设'!$B$31),SUM('融资租赁与资金缺口'!$M$5:$M$16)*$V9,0),IF(BM$4=EDATE('核心假设'!$B$5,10-1+'核心假设'!$B$31),SUM('融资租赁与资金缺口'!$M$5:$M$16)*$W9,0),IF(BM$4=EDATE('核心假设'!$B$5,11-1+'核心假设'!$B$31),SUM('融资租赁与资金缺口'!$M$5:$M$16)*$X9,0),IF(BM$4=EDATE('核心假设'!$B$5,12-1+'核心假设'!$B$31),SUM('融资租赁与资金缺口'!$M$5:$M$16)*$Y9,0),IF(BM$4=EDATE('核心假设'!$B$5,13-1+'核心假设'!$B$31),SUM('融资租赁与资金缺口'!$M$5:$M$16)*$Z9,0),IF(BM$4=EDATE('核心假设'!$B$5,14-1+'核心假设'!$B$31),SUM('融资租赁与资金缺口'!$M$5:$M$16)*$AA9,0),IF(BM$4=EDATE('核心假设'!$B$5,15-1+'核心假设'!$B$31),SUM('融资租赁与资金缺口'!$M$5:$M$16)*$AB9,0),IF(BM$4=EDATE('核心假设'!$B$5,16-1+'核心假设'!$B$31),SUM('融资租赁与资金缺口'!$M$5:$M$16)*$AC9,0),IF(BM$4=EDATE('核心假设'!$B$5,17-1+'核心假设'!$B$31),SUM('融资租赁与资金缺口'!$M$5:$M$16)*$AD9,0))</x:f>
        <x:v>0</x:v>
      </x:c>
      <x:c r="BN33" s="28" t="n">
        <x:f>SUM(IF(BN$4=EDATE('核心假设'!$B$5,0-1+'核心假设'!$B$31),SUM('融资租赁与资金缺口'!$M$5:$M$16)*$M9,0),IF(BN$4=EDATE('核心假设'!$B$5,1-1+'核心假设'!$B$31),SUM('融资租赁与资金缺口'!$M$5:$M$16)*$N9,0),IF(BN$4=EDATE('核心假设'!$B$5,2-1+'核心假设'!$B$31),SUM('融资租赁与资金缺口'!$M$5:$M$16)*$O9,0),IF(BN$4=EDATE('核心假设'!$B$5,3-1+'核心假设'!$B$31),SUM('融资租赁与资金缺口'!$M$5:$M$16)*$P9,0),IF(BN$4=EDATE('核心假设'!$B$5,4-1+'核心假设'!$B$31),SUM('融资租赁与资金缺口'!$M$5:$M$16)*$Q9,0),IF(BN$4=EDATE('核心假设'!$B$5,5-1+'核心假设'!$B$31),SUM('融资租赁与资金缺口'!$M$5:$M$16)*$R9,0),IF(BN$4=EDATE('核心假设'!$B$5,6-1+'核心假设'!$B$31),SUM('融资租赁与资金缺口'!$M$5:$M$16)*$S9,0),IF(BN$4=EDATE('核心假设'!$B$5,7-1+'核心假设'!$B$31),SUM('融资租赁与资金缺口'!$M$5:$M$16)*$T9,0),IF(BN$4=EDATE('核心假设'!$B$5,8-1+'核心假设'!$B$31),SUM('融资租赁与资金缺口'!$M$5:$M$16)*$U9,0),IF(BN$4=EDATE('核心假设'!$B$5,9-1+'核心假设'!$B$31),SUM('融资租赁与资金缺口'!$M$5:$M$16)*$V9,0),IF(BN$4=EDATE('核心假设'!$B$5,10-1+'核心假设'!$B$31),SUM('融资租赁与资金缺口'!$M$5:$M$16)*$W9,0),IF(BN$4=EDATE('核心假设'!$B$5,11-1+'核心假设'!$B$31),SUM('融资租赁与资金缺口'!$M$5:$M$16)*$X9,0),IF(BN$4=EDATE('核心假设'!$B$5,12-1+'核心假设'!$B$31),SUM('融资租赁与资金缺口'!$M$5:$M$16)*$Y9,0),IF(BN$4=EDATE('核心假设'!$B$5,13-1+'核心假设'!$B$31),SUM('融资租赁与资金缺口'!$M$5:$M$16)*$Z9,0),IF(BN$4=EDATE('核心假设'!$B$5,14-1+'核心假设'!$B$31),SUM('融资租赁与资金缺口'!$M$5:$M$16)*$AA9,0),IF(BN$4=EDATE('核心假设'!$B$5,15-1+'核心假设'!$B$31),SUM('融资租赁与资金缺口'!$M$5:$M$16)*$AB9,0),IF(BN$4=EDATE('核心假设'!$B$5,16-1+'核心假设'!$B$31),SUM('融资租赁与资金缺口'!$M$5:$M$16)*$AC9,0),IF(BN$4=EDATE('核心假设'!$B$5,17-1+'核心假设'!$B$31),SUM('融资租赁与资金缺口'!$M$5:$M$16)*$AD9,0))</x:f>
        <x:v>0</x:v>
      </x:c>
      <x:c r="BO33" s="28" t="n">
        <x:f>SUM(IF(BO$4=EDATE('核心假设'!$B$5,0-1+'核心假设'!$B$31),SUM('融资租赁与资金缺口'!$M$5:$M$16)*$M9,0),IF(BO$4=EDATE('核心假设'!$B$5,1-1+'核心假设'!$B$31),SUM('融资租赁与资金缺口'!$M$5:$M$16)*$N9,0),IF(BO$4=EDATE('核心假设'!$B$5,2-1+'核心假设'!$B$31),SUM('融资租赁与资金缺口'!$M$5:$M$16)*$O9,0),IF(BO$4=EDATE('核心假设'!$B$5,3-1+'核心假设'!$B$31),SUM('融资租赁与资金缺口'!$M$5:$M$16)*$P9,0),IF(BO$4=EDATE('核心假设'!$B$5,4-1+'核心假设'!$B$31),SUM('融资租赁与资金缺口'!$M$5:$M$16)*$Q9,0),IF(BO$4=EDATE('核心假设'!$B$5,5-1+'核心假设'!$B$31),SUM('融资租赁与资金缺口'!$M$5:$M$16)*$R9,0),IF(BO$4=EDATE('核心假设'!$B$5,6-1+'核心假设'!$B$31),SUM('融资租赁与资金缺口'!$M$5:$M$16)*$S9,0),IF(BO$4=EDATE('核心假设'!$B$5,7-1+'核心假设'!$B$31),SUM('融资租赁与资金缺口'!$M$5:$M$16)*$T9,0),IF(BO$4=EDATE('核心假设'!$B$5,8-1+'核心假设'!$B$31),SUM('融资租赁与资金缺口'!$M$5:$M$16)*$U9,0),IF(BO$4=EDATE('核心假设'!$B$5,9-1+'核心假设'!$B$31),SUM('融资租赁与资金缺口'!$M$5:$M$16)*$V9,0),IF(BO$4=EDATE('核心假设'!$B$5,10-1+'核心假设'!$B$31),SUM('融资租赁与资金缺口'!$M$5:$M$16)*$W9,0),IF(BO$4=EDATE('核心假设'!$B$5,11-1+'核心假设'!$B$31),SUM('融资租赁与资金缺口'!$M$5:$M$16)*$X9,0),IF(BO$4=EDATE('核心假设'!$B$5,12-1+'核心假设'!$B$31),SUM('融资租赁与资金缺口'!$M$5:$M$16)*$Y9,0),IF(BO$4=EDATE('核心假设'!$B$5,13-1+'核心假设'!$B$31),SUM('融资租赁与资金缺口'!$M$5:$M$16)*$Z9,0),IF(BO$4=EDATE('核心假设'!$B$5,14-1+'核心假设'!$B$31),SUM('融资租赁与资金缺口'!$M$5:$M$16)*$AA9,0),IF(BO$4=EDATE('核心假设'!$B$5,15-1+'核心假设'!$B$31),SUM('融资租赁与资金缺口'!$M$5:$M$16)*$AB9,0),IF(BO$4=EDATE('核心假设'!$B$5,16-1+'核心假设'!$B$31),SUM('融资租赁与资金缺口'!$M$5:$M$16)*$AC9,0),IF(BO$4=EDATE('核心假设'!$B$5,17-1+'核心假设'!$B$31),SUM('融资租赁与资金缺口'!$M$5:$M$16)*$AD9,0))</x:f>
        <x:v>0</x:v>
      </x:c>
      <x:c r="BP33" s="28" t="n">
        <x:f>SUM(IF(BP$4=EDATE('核心假设'!$B$5,0-1+'核心假设'!$B$31),SUM('融资租赁与资金缺口'!$M$5:$M$16)*$M9,0),IF(BP$4=EDATE('核心假设'!$B$5,1-1+'核心假设'!$B$31),SUM('融资租赁与资金缺口'!$M$5:$M$16)*$N9,0),IF(BP$4=EDATE('核心假设'!$B$5,2-1+'核心假设'!$B$31),SUM('融资租赁与资金缺口'!$M$5:$M$16)*$O9,0),IF(BP$4=EDATE('核心假设'!$B$5,3-1+'核心假设'!$B$31),SUM('融资租赁与资金缺口'!$M$5:$M$16)*$P9,0),IF(BP$4=EDATE('核心假设'!$B$5,4-1+'核心假设'!$B$31),SUM('融资租赁与资金缺口'!$M$5:$M$16)*$Q9,0),IF(BP$4=EDATE('核心假设'!$B$5,5-1+'核心假设'!$B$31),SUM('融资租赁与资金缺口'!$M$5:$M$16)*$R9,0),IF(BP$4=EDATE('核心假设'!$B$5,6-1+'核心假设'!$B$31),SUM('融资租赁与资金缺口'!$M$5:$M$16)*$S9,0),IF(BP$4=EDATE('核心假设'!$B$5,7-1+'核心假设'!$B$31),SUM('融资租赁与资金缺口'!$M$5:$M$16)*$T9,0),IF(BP$4=EDATE('核心假设'!$B$5,8-1+'核心假设'!$B$31),SUM('融资租赁与资金缺口'!$M$5:$M$16)*$U9,0),IF(BP$4=EDATE('核心假设'!$B$5,9-1+'核心假设'!$B$31),SUM('融资租赁与资金缺口'!$M$5:$M$16)*$V9,0),IF(BP$4=EDATE('核心假设'!$B$5,10-1+'核心假设'!$B$31),SUM('融资租赁与资金缺口'!$M$5:$M$16)*$W9,0),IF(BP$4=EDATE('核心假设'!$B$5,11-1+'核心假设'!$B$31),SUM('融资租赁与资金缺口'!$M$5:$M$16)*$X9,0),IF(BP$4=EDATE('核心假设'!$B$5,12-1+'核心假设'!$B$31),SUM('融资租赁与资金缺口'!$M$5:$M$16)*$Y9,0),IF(BP$4=EDATE('核心假设'!$B$5,13-1+'核心假设'!$B$31),SUM('融资租赁与资金缺口'!$M$5:$M$16)*$Z9,0),IF(BP$4=EDATE('核心假设'!$B$5,14-1+'核心假设'!$B$31),SUM('融资租赁与资金缺口'!$M$5:$M$16)*$AA9,0),IF(BP$4=EDATE('核心假设'!$B$5,15-1+'核心假设'!$B$31),SUM('融资租赁与资金缺口'!$M$5:$M$16)*$AB9,0),IF(BP$4=EDATE('核心假设'!$B$5,16-1+'核心假设'!$B$31),SUM('融资租赁与资金缺口'!$M$5:$M$16)*$AC9,0),IF(BP$4=EDATE('核心假设'!$B$5,17-1+'核心假设'!$B$31),SUM('融资租赁与资金缺口'!$M$5:$M$16)*$AD9,0))</x:f>
        <x:v>0</x:v>
      </x:c>
      <x:c r="BQ33" s="28" t="n">
        <x:f>SUM(IF(BQ$4=EDATE('核心假设'!$B$5,0-1+'核心假设'!$B$31),SUM('融资租赁与资金缺口'!$M$5:$M$16)*$M9,0),IF(BQ$4=EDATE('核心假设'!$B$5,1-1+'核心假设'!$B$31),SUM('融资租赁与资金缺口'!$M$5:$M$16)*$N9,0),IF(BQ$4=EDATE('核心假设'!$B$5,2-1+'核心假设'!$B$31),SUM('融资租赁与资金缺口'!$M$5:$M$16)*$O9,0),IF(BQ$4=EDATE('核心假设'!$B$5,3-1+'核心假设'!$B$31),SUM('融资租赁与资金缺口'!$M$5:$M$16)*$P9,0),IF(BQ$4=EDATE('核心假设'!$B$5,4-1+'核心假设'!$B$31),SUM('融资租赁与资金缺口'!$M$5:$M$16)*$Q9,0),IF(BQ$4=EDATE('核心假设'!$B$5,5-1+'核心假设'!$B$31),SUM('融资租赁与资金缺口'!$M$5:$M$16)*$R9,0),IF(BQ$4=EDATE('核心假设'!$B$5,6-1+'核心假设'!$B$31),SUM('融资租赁与资金缺口'!$M$5:$M$16)*$S9,0),IF(BQ$4=EDATE('核心假设'!$B$5,7-1+'核心假设'!$B$31),SUM('融资租赁与资金缺口'!$M$5:$M$16)*$T9,0),IF(BQ$4=EDATE('核心假设'!$B$5,8-1+'核心假设'!$B$31),SUM('融资租赁与资金缺口'!$M$5:$M$16)*$U9,0),IF(BQ$4=EDATE('核心假设'!$B$5,9-1+'核心假设'!$B$31),SUM('融资租赁与资金缺口'!$M$5:$M$16)*$V9,0),IF(BQ$4=EDATE('核心假设'!$B$5,10-1+'核心假设'!$B$31),SUM('融资租赁与资金缺口'!$M$5:$M$16)*$W9,0),IF(BQ$4=EDATE('核心假设'!$B$5,11-1+'核心假设'!$B$31),SUM('融资租赁与资金缺口'!$M$5:$M$16)*$X9,0),IF(BQ$4=EDATE('核心假设'!$B$5,12-1+'核心假设'!$B$31),SUM('融资租赁与资金缺口'!$M$5:$M$16)*$Y9,0),IF(BQ$4=EDATE('核心假设'!$B$5,13-1+'核心假设'!$B$31),SUM('融资租赁与资金缺口'!$M$5:$M$16)*$Z9,0),IF(BQ$4=EDATE('核心假设'!$B$5,14-1+'核心假设'!$B$31),SUM('融资租赁与资金缺口'!$M$5:$M$16)*$AA9,0),IF(BQ$4=EDATE('核心假设'!$B$5,15-1+'核心假设'!$B$31),SUM('融资租赁与资金缺口'!$M$5:$M$16)*$AB9,0),IF(BQ$4=EDATE('核心假设'!$B$5,16-1+'核心假设'!$B$31),SUM('融资租赁与资金缺口'!$M$5:$M$16)*$AC9,0),IF(BQ$4=EDATE('核心假设'!$B$5,17-1+'核心假设'!$B$31),SUM('融资租赁与资金缺口'!$M$5:$M$16)*$AD9,0))</x:f>
        <x:v>0</x:v>
      </x:c>
      <x:c r="BR33" s="28" t="n">
        <x:f>SUM(IF(BR$4=EDATE('核心假设'!$B$5,0-1+'核心假设'!$B$31),SUM('融资租赁与资金缺口'!$M$5:$M$16)*$M9,0),IF(BR$4=EDATE('核心假设'!$B$5,1-1+'核心假设'!$B$31),SUM('融资租赁与资金缺口'!$M$5:$M$16)*$N9,0),IF(BR$4=EDATE('核心假设'!$B$5,2-1+'核心假设'!$B$31),SUM('融资租赁与资金缺口'!$M$5:$M$16)*$O9,0),IF(BR$4=EDATE('核心假设'!$B$5,3-1+'核心假设'!$B$31),SUM('融资租赁与资金缺口'!$M$5:$M$16)*$P9,0),IF(BR$4=EDATE('核心假设'!$B$5,4-1+'核心假设'!$B$31),SUM('融资租赁与资金缺口'!$M$5:$M$16)*$Q9,0),IF(BR$4=EDATE('核心假设'!$B$5,5-1+'核心假设'!$B$31),SUM('融资租赁与资金缺口'!$M$5:$M$16)*$R9,0),IF(BR$4=EDATE('核心假设'!$B$5,6-1+'核心假设'!$B$31),SUM('融资租赁与资金缺口'!$M$5:$M$16)*$S9,0),IF(BR$4=EDATE('核心假设'!$B$5,7-1+'核心假设'!$B$31),SUM('融资租赁与资金缺口'!$M$5:$M$16)*$T9,0),IF(BR$4=EDATE('核心假设'!$B$5,8-1+'核心假设'!$B$31),SUM('融资租赁与资金缺口'!$M$5:$M$16)*$U9,0),IF(BR$4=EDATE('核心假设'!$B$5,9-1+'核心假设'!$B$31),SUM('融资租赁与资金缺口'!$M$5:$M$16)*$V9,0),IF(BR$4=EDATE('核心假设'!$B$5,10-1+'核心假设'!$B$31),SUM('融资租赁与资金缺口'!$M$5:$M$16)*$W9,0),IF(BR$4=EDATE('核心假设'!$B$5,11-1+'核心假设'!$B$31),SUM('融资租赁与资金缺口'!$M$5:$M$16)*$X9,0),IF(BR$4=EDATE('核心假设'!$B$5,12-1+'核心假设'!$B$31),SUM('融资租赁与资金缺口'!$M$5:$M$16)*$Y9,0),IF(BR$4=EDATE('核心假设'!$B$5,13-1+'核心假设'!$B$31),SUM('融资租赁与资金缺口'!$M$5:$M$16)*$Z9,0),IF(BR$4=EDATE('核心假设'!$B$5,14-1+'核心假设'!$B$31),SUM('融资租赁与资金缺口'!$M$5:$M$16)*$AA9,0),IF(BR$4=EDATE('核心假设'!$B$5,15-1+'核心假设'!$B$31),SUM('融资租赁与资金缺口'!$M$5:$M$16)*$AB9,0),IF(BR$4=EDATE('核心假设'!$B$5,16-1+'核心假设'!$B$31),SUM('融资租赁与资金缺口'!$M$5:$M$16)*$AC9,0),IF(BR$4=EDATE('核心假设'!$B$5,17-1+'核心假设'!$B$31),SUM('融资租赁与资金缺口'!$M$5:$M$16)*$AD9,0))</x:f>
        <x:v>0</x:v>
      </x:c>
      <x:c r="BS33" s="28" t="n">
        <x:f>SUM(IF(BS$4=EDATE('核心假设'!$B$5,0-1+'核心假设'!$B$31),SUM('融资租赁与资金缺口'!$M$5:$M$16)*$M9,0),IF(BS$4=EDATE('核心假设'!$B$5,1-1+'核心假设'!$B$31),SUM('融资租赁与资金缺口'!$M$5:$M$16)*$N9,0),IF(BS$4=EDATE('核心假设'!$B$5,2-1+'核心假设'!$B$31),SUM('融资租赁与资金缺口'!$M$5:$M$16)*$O9,0),IF(BS$4=EDATE('核心假设'!$B$5,3-1+'核心假设'!$B$31),SUM('融资租赁与资金缺口'!$M$5:$M$16)*$P9,0),IF(BS$4=EDATE('核心假设'!$B$5,4-1+'核心假设'!$B$31),SUM('融资租赁与资金缺口'!$M$5:$M$16)*$Q9,0),IF(BS$4=EDATE('核心假设'!$B$5,5-1+'核心假设'!$B$31),SUM('融资租赁与资金缺口'!$M$5:$M$16)*$R9,0),IF(BS$4=EDATE('核心假设'!$B$5,6-1+'核心假设'!$B$31),SUM('融资租赁与资金缺口'!$M$5:$M$16)*$S9,0),IF(BS$4=EDATE('核心假设'!$B$5,7-1+'核心假设'!$B$31),SUM('融资租赁与资金缺口'!$M$5:$M$16)*$T9,0),IF(BS$4=EDATE('核心假设'!$B$5,8-1+'核心假设'!$B$31),SUM('融资租赁与资金缺口'!$M$5:$M$16)*$U9,0),IF(BS$4=EDATE('核心假设'!$B$5,9-1+'核心假设'!$B$31),SUM('融资租赁与资金缺口'!$M$5:$M$16)*$V9,0),IF(BS$4=EDATE('核心假设'!$B$5,10-1+'核心假设'!$B$31),SUM('融资租赁与资金缺口'!$M$5:$M$16)*$W9,0),IF(BS$4=EDATE('核心假设'!$B$5,11-1+'核心假设'!$B$31),SUM('融资租赁与资金缺口'!$M$5:$M$16)*$X9,0),IF(BS$4=EDATE('核心假设'!$B$5,12-1+'核心假设'!$B$31),SUM('融资租赁与资金缺口'!$M$5:$M$16)*$Y9,0),IF(BS$4=EDATE('核心假设'!$B$5,13-1+'核心假设'!$B$31),SUM('融资租赁与资金缺口'!$M$5:$M$16)*$Z9,0),IF(BS$4=EDATE('核心假设'!$B$5,14-1+'核心假设'!$B$31),SUM('融资租赁与资金缺口'!$M$5:$M$16)*$AA9,0),IF(BS$4=EDATE('核心假设'!$B$5,15-1+'核心假设'!$B$31),SUM('融资租赁与资金缺口'!$M$5:$M$16)*$AB9,0),IF(BS$4=EDATE('核心假设'!$B$5,16-1+'核心假设'!$B$31),SUM('融资租赁与资金缺口'!$M$5:$M$16)*$AC9,0),IF(BS$4=EDATE('核心假设'!$B$5,17-1+'核心假设'!$B$31),SUM('融资租赁与资金缺口'!$M$5:$M$16)*$AD9,0))</x:f>
        <x:v>0</x:v>
      </x:c>
      <x:c r="BT33" s="28" t="n">
        <x:f>SUM(IF(BT$4=EDATE('核心假设'!$B$5,0-1+'核心假设'!$B$31),SUM('融资租赁与资金缺口'!$M$5:$M$16)*$M9,0),IF(BT$4=EDATE('核心假设'!$B$5,1-1+'核心假设'!$B$31),SUM('融资租赁与资金缺口'!$M$5:$M$16)*$N9,0),IF(BT$4=EDATE('核心假设'!$B$5,2-1+'核心假设'!$B$31),SUM('融资租赁与资金缺口'!$M$5:$M$16)*$O9,0),IF(BT$4=EDATE('核心假设'!$B$5,3-1+'核心假设'!$B$31),SUM('融资租赁与资金缺口'!$M$5:$M$16)*$P9,0),IF(BT$4=EDATE('核心假设'!$B$5,4-1+'核心假设'!$B$31),SUM('融资租赁与资金缺口'!$M$5:$M$16)*$Q9,0),IF(BT$4=EDATE('核心假设'!$B$5,5-1+'核心假设'!$B$31),SUM('融资租赁与资金缺口'!$M$5:$M$16)*$R9,0),IF(BT$4=EDATE('核心假设'!$B$5,6-1+'核心假设'!$B$31),SUM('融资租赁与资金缺口'!$M$5:$M$16)*$S9,0),IF(BT$4=EDATE('核心假设'!$B$5,7-1+'核心假设'!$B$31),SUM('融资租赁与资金缺口'!$M$5:$M$16)*$T9,0),IF(BT$4=EDATE('核心假设'!$B$5,8-1+'核心假设'!$B$31),SUM('融资租赁与资金缺口'!$M$5:$M$16)*$U9,0),IF(BT$4=EDATE('核心假设'!$B$5,9-1+'核心假设'!$B$31),SUM('融资租赁与资金缺口'!$M$5:$M$16)*$V9,0),IF(BT$4=EDATE('核心假设'!$B$5,10-1+'核心假设'!$B$31),SUM('融资租赁与资金缺口'!$M$5:$M$16)*$W9,0),IF(BT$4=EDATE('核心假设'!$B$5,11-1+'核心假设'!$B$31),SUM('融资租赁与资金缺口'!$M$5:$M$16)*$X9,0),IF(BT$4=EDATE('核心假设'!$B$5,12-1+'核心假设'!$B$31),SUM('融资租赁与资金缺口'!$M$5:$M$16)*$Y9,0),IF(BT$4=EDATE('核心假设'!$B$5,13-1+'核心假设'!$B$31),SUM('融资租赁与资金缺口'!$M$5:$M$16)*$Z9,0),IF(BT$4=EDATE('核心假设'!$B$5,14-1+'核心假设'!$B$31),SUM('融资租赁与资金缺口'!$M$5:$M$16)*$AA9,0),IF(BT$4=EDATE('核心假设'!$B$5,15-1+'核心假设'!$B$31),SUM('融资租赁与资金缺口'!$M$5:$M$16)*$AB9,0),IF(BT$4=EDATE('核心假设'!$B$5,16-1+'核心假设'!$B$31),SUM('融资租赁与资金缺口'!$M$5:$M$16)*$AC9,0),IF(BT$4=EDATE('核心假设'!$B$5,17-1+'核心假设'!$B$31),SUM('融资租赁与资金缺口'!$M$5:$M$16)*$AD9,0))</x:f>
        <x:v>0</x:v>
      </x:c>
      <x:c r="BU33" s="28" t="n">
        <x:f>SUM(IF(BU$4=EDATE('核心假设'!$B$5,0-1+'核心假设'!$B$31),SUM('融资租赁与资金缺口'!$M$5:$M$16)*$M9,0),IF(BU$4=EDATE('核心假设'!$B$5,1-1+'核心假设'!$B$31),SUM('融资租赁与资金缺口'!$M$5:$M$16)*$N9,0),IF(BU$4=EDATE('核心假设'!$B$5,2-1+'核心假设'!$B$31),SUM('融资租赁与资金缺口'!$M$5:$M$16)*$O9,0),IF(BU$4=EDATE('核心假设'!$B$5,3-1+'核心假设'!$B$31),SUM('融资租赁与资金缺口'!$M$5:$M$16)*$P9,0),IF(BU$4=EDATE('核心假设'!$B$5,4-1+'核心假设'!$B$31),SUM('融资租赁与资金缺口'!$M$5:$M$16)*$Q9,0),IF(BU$4=EDATE('核心假设'!$B$5,5-1+'核心假设'!$B$31),SUM('融资租赁与资金缺口'!$M$5:$M$16)*$R9,0),IF(BU$4=EDATE('核心假设'!$B$5,6-1+'核心假设'!$B$31),SUM('融资租赁与资金缺口'!$M$5:$M$16)*$S9,0),IF(BU$4=EDATE('核心假设'!$B$5,7-1+'核心假设'!$B$31),SUM('融资租赁与资金缺口'!$M$5:$M$16)*$T9,0),IF(BU$4=EDATE('核心假设'!$B$5,8-1+'核心假设'!$B$31),SUM('融资租赁与资金缺口'!$M$5:$M$16)*$U9,0),IF(BU$4=EDATE('核心假设'!$B$5,9-1+'核心假设'!$B$31),SUM('融资租赁与资金缺口'!$M$5:$M$16)*$V9,0),IF(BU$4=EDATE('核心假设'!$B$5,10-1+'核心假设'!$B$31),SUM('融资租赁与资金缺口'!$M$5:$M$16)*$W9,0),IF(BU$4=EDATE('核心假设'!$B$5,11-1+'核心假设'!$B$31),SUM('融资租赁与资金缺口'!$M$5:$M$16)*$X9,0),IF(BU$4=EDATE('核心假设'!$B$5,12-1+'核心假设'!$B$31),SUM('融资租赁与资金缺口'!$M$5:$M$16)*$Y9,0),IF(BU$4=EDATE('核心假设'!$B$5,13-1+'核心假设'!$B$31),SUM('融资租赁与资金缺口'!$M$5:$M$16)*$Z9,0),IF(BU$4=EDATE('核心假设'!$B$5,14-1+'核心假设'!$B$31),SUM('融资租赁与资金缺口'!$M$5:$M$16)*$AA9,0),IF(BU$4=EDATE('核心假设'!$B$5,15-1+'核心假设'!$B$31),SUM('融资租赁与资金缺口'!$M$5:$M$16)*$AB9,0),IF(BU$4=EDATE('核心假设'!$B$5,16-1+'核心假设'!$B$31),SUM('融资租赁与资金缺口'!$M$5:$M$16)*$AC9,0),IF(BU$4=EDATE('核心假设'!$B$5,17-1+'核心假设'!$B$31),SUM('融资租赁与资金缺口'!$M$5:$M$16)*$AD9,0))</x:f>
        <x:v>0</x:v>
      </x:c>
      <x:c r="BV33" s="28" t="n">
        <x:f>SUM(IF(BV$4=EDATE('核心假设'!$B$5,0-1+'核心假设'!$B$31),SUM('融资租赁与资金缺口'!$M$5:$M$16)*$M9,0),IF(BV$4=EDATE('核心假设'!$B$5,1-1+'核心假设'!$B$31),SUM('融资租赁与资金缺口'!$M$5:$M$16)*$N9,0),IF(BV$4=EDATE('核心假设'!$B$5,2-1+'核心假设'!$B$31),SUM('融资租赁与资金缺口'!$M$5:$M$16)*$O9,0),IF(BV$4=EDATE('核心假设'!$B$5,3-1+'核心假设'!$B$31),SUM('融资租赁与资金缺口'!$M$5:$M$16)*$P9,0),IF(BV$4=EDATE('核心假设'!$B$5,4-1+'核心假设'!$B$31),SUM('融资租赁与资金缺口'!$M$5:$M$16)*$Q9,0),IF(BV$4=EDATE('核心假设'!$B$5,5-1+'核心假设'!$B$31),SUM('融资租赁与资金缺口'!$M$5:$M$16)*$R9,0),IF(BV$4=EDATE('核心假设'!$B$5,6-1+'核心假设'!$B$31),SUM('融资租赁与资金缺口'!$M$5:$M$16)*$S9,0),IF(BV$4=EDATE('核心假设'!$B$5,7-1+'核心假设'!$B$31),SUM('融资租赁与资金缺口'!$M$5:$M$16)*$T9,0),IF(BV$4=EDATE('核心假设'!$B$5,8-1+'核心假设'!$B$31),SUM('融资租赁与资金缺口'!$M$5:$M$16)*$U9,0),IF(BV$4=EDATE('核心假设'!$B$5,9-1+'核心假设'!$B$31),SUM('融资租赁与资金缺口'!$M$5:$M$16)*$V9,0),IF(BV$4=EDATE('核心假设'!$B$5,10-1+'核心假设'!$B$31),SUM('融资租赁与资金缺口'!$M$5:$M$16)*$W9,0),IF(BV$4=EDATE('核心假设'!$B$5,11-1+'核心假设'!$B$31),SUM('融资租赁与资金缺口'!$M$5:$M$16)*$X9,0),IF(BV$4=EDATE('核心假设'!$B$5,12-1+'核心假设'!$B$31),SUM('融资租赁与资金缺口'!$M$5:$M$16)*$Y9,0),IF(BV$4=EDATE('核心假设'!$B$5,13-1+'核心假设'!$B$31),SUM('融资租赁与资金缺口'!$M$5:$M$16)*$Z9,0),IF(BV$4=EDATE('核心假设'!$B$5,14-1+'核心假设'!$B$31),SUM('融资租赁与资金缺口'!$M$5:$M$16)*$AA9,0),IF(BV$4=EDATE('核心假设'!$B$5,15-1+'核心假设'!$B$31),SUM('融资租赁与资金缺口'!$M$5:$M$16)*$AB9,0),IF(BV$4=EDATE('核心假设'!$B$5,16-1+'核心假设'!$B$31),SUM('融资租赁与资金缺口'!$M$5:$M$16)*$AC9,0),IF(BV$4=EDATE('核心假设'!$B$5,17-1+'核心假设'!$B$31),SUM('融资租赁与资金缺口'!$M$5:$M$16)*$AD9,0))</x:f>
        <x:v>0</x:v>
      </x:c>
      <x:c r="BW33" s="28" t="n">
        <x:f>SUM(IF(BW$4=EDATE('核心假设'!$B$5,0-1+'核心假设'!$B$31),SUM('融资租赁与资金缺口'!$M$5:$M$16)*$M9,0),IF(BW$4=EDATE('核心假设'!$B$5,1-1+'核心假设'!$B$31),SUM('融资租赁与资金缺口'!$M$5:$M$16)*$N9,0),IF(BW$4=EDATE('核心假设'!$B$5,2-1+'核心假设'!$B$31),SUM('融资租赁与资金缺口'!$M$5:$M$16)*$O9,0),IF(BW$4=EDATE('核心假设'!$B$5,3-1+'核心假设'!$B$31),SUM('融资租赁与资金缺口'!$M$5:$M$16)*$P9,0),IF(BW$4=EDATE('核心假设'!$B$5,4-1+'核心假设'!$B$31),SUM('融资租赁与资金缺口'!$M$5:$M$16)*$Q9,0),IF(BW$4=EDATE('核心假设'!$B$5,5-1+'核心假设'!$B$31),SUM('融资租赁与资金缺口'!$M$5:$M$16)*$R9,0),IF(BW$4=EDATE('核心假设'!$B$5,6-1+'核心假设'!$B$31),SUM('融资租赁与资金缺口'!$M$5:$M$16)*$S9,0),IF(BW$4=EDATE('核心假设'!$B$5,7-1+'核心假设'!$B$31),SUM('融资租赁与资金缺口'!$M$5:$M$16)*$T9,0),IF(BW$4=EDATE('核心假设'!$B$5,8-1+'核心假设'!$B$31),SUM('融资租赁与资金缺口'!$M$5:$M$16)*$U9,0),IF(BW$4=EDATE('核心假设'!$B$5,9-1+'核心假设'!$B$31),SUM('融资租赁与资金缺口'!$M$5:$M$16)*$V9,0),IF(BW$4=EDATE('核心假设'!$B$5,10-1+'核心假设'!$B$31),SUM('融资租赁与资金缺口'!$M$5:$M$16)*$W9,0),IF(BW$4=EDATE('核心假设'!$B$5,11-1+'核心假设'!$B$31),SUM('融资租赁与资金缺口'!$M$5:$M$16)*$X9,0),IF(BW$4=EDATE('核心假设'!$B$5,12-1+'核心假设'!$B$31),SUM('融资租赁与资金缺口'!$M$5:$M$16)*$Y9,0),IF(BW$4=EDATE('核心假设'!$B$5,13-1+'核心假设'!$B$31),SUM('融资租赁与资金缺口'!$M$5:$M$16)*$Z9,0),IF(BW$4=EDATE('核心假设'!$B$5,14-1+'核心假设'!$B$31),SUM('融资租赁与资金缺口'!$M$5:$M$16)*$AA9,0),IF(BW$4=EDATE('核心假设'!$B$5,15-1+'核心假设'!$B$31),SUM('融资租赁与资金缺口'!$M$5:$M$16)*$AB9,0),IF(BW$4=EDATE('核心假设'!$B$5,16-1+'核心假设'!$B$31),SUM('融资租赁与资金缺口'!$M$5:$M$16)*$AC9,0),IF(BW$4=EDATE('核心假设'!$B$5,17-1+'核心假设'!$B$31),SUM('融资租赁与资金缺口'!$M$5:$M$16)*$AD9,0))</x:f>
        <x:v>0</x:v>
      </x:c>
      <x:c r="BX33" s="28" t="n">
        <x:f>SUM(IF(BX$4=EDATE('核心假设'!$B$5,0-1+'核心假设'!$B$31),SUM('融资租赁与资金缺口'!$M$5:$M$16)*$M9,0),IF(BX$4=EDATE('核心假设'!$B$5,1-1+'核心假设'!$B$31),SUM('融资租赁与资金缺口'!$M$5:$M$16)*$N9,0),IF(BX$4=EDATE('核心假设'!$B$5,2-1+'核心假设'!$B$31),SUM('融资租赁与资金缺口'!$M$5:$M$16)*$O9,0),IF(BX$4=EDATE('核心假设'!$B$5,3-1+'核心假设'!$B$31),SUM('融资租赁与资金缺口'!$M$5:$M$16)*$P9,0),IF(BX$4=EDATE('核心假设'!$B$5,4-1+'核心假设'!$B$31),SUM('融资租赁与资金缺口'!$M$5:$M$16)*$Q9,0),IF(BX$4=EDATE('核心假设'!$B$5,5-1+'核心假设'!$B$31),SUM('融资租赁与资金缺口'!$M$5:$M$16)*$R9,0),IF(BX$4=EDATE('核心假设'!$B$5,6-1+'核心假设'!$B$31),SUM('融资租赁与资金缺口'!$M$5:$M$16)*$S9,0),IF(BX$4=EDATE('核心假设'!$B$5,7-1+'核心假设'!$B$31),SUM('融资租赁与资金缺口'!$M$5:$M$16)*$T9,0),IF(BX$4=EDATE('核心假设'!$B$5,8-1+'核心假设'!$B$31),SUM('融资租赁与资金缺口'!$M$5:$M$16)*$U9,0),IF(BX$4=EDATE('核心假设'!$B$5,9-1+'核心假设'!$B$31),SUM('融资租赁与资金缺口'!$M$5:$M$16)*$V9,0),IF(BX$4=EDATE('核心假设'!$B$5,10-1+'核心假设'!$B$31),SUM('融资租赁与资金缺口'!$M$5:$M$16)*$W9,0),IF(BX$4=EDATE('核心假设'!$B$5,11-1+'核心假设'!$B$31),SUM('融资租赁与资金缺口'!$M$5:$M$16)*$X9,0),IF(BX$4=EDATE('核心假设'!$B$5,12-1+'核心假设'!$B$31),SUM('融资租赁与资金缺口'!$M$5:$M$16)*$Y9,0),IF(BX$4=EDATE('核心假设'!$B$5,13-1+'核心假设'!$B$31),SUM('融资租赁与资金缺口'!$M$5:$M$16)*$Z9,0),IF(BX$4=EDATE('核心假设'!$B$5,14-1+'核心假设'!$B$31),SUM('融资租赁与资金缺口'!$M$5:$M$16)*$AA9,0),IF(BX$4=EDATE('核心假设'!$B$5,15-1+'核心假设'!$B$31),SUM('融资租赁与资金缺口'!$M$5:$M$16)*$AB9,0),IF(BX$4=EDATE('核心假设'!$B$5,16-1+'核心假设'!$B$31),SUM('融资租赁与资金缺口'!$M$5:$M$16)*$AC9,0),IF(BX$4=EDATE('核心假设'!$B$5,17-1+'核心假设'!$B$31),SUM('融资租赁与资金缺口'!$M$5:$M$16)*$AD9,0))</x:f>
        <x:v>0</x:v>
      </x:c>
      <x:c r="BY33" s="28" t="n">
        <x:f>SUM(IF(BY$4=EDATE('核心假设'!$B$5,0-1+'核心假设'!$B$31),SUM('融资租赁与资金缺口'!$M$5:$M$16)*$M9,0),IF(BY$4=EDATE('核心假设'!$B$5,1-1+'核心假设'!$B$31),SUM('融资租赁与资金缺口'!$M$5:$M$16)*$N9,0),IF(BY$4=EDATE('核心假设'!$B$5,2-1+'核心假设'!$B$31),SUM('融资租赁与资金缺口'!$M$5:$M$16)*$O9,0),IF(BY$4=EDATE('核心假设'!$B$5,3-1+'核心假设'!$B$31),SUM('融资租赁与资金缺口'!$M$5:$M$16)*$P9,0),IF(BY$4=EDATE('核心假设'!$B$5,4-1+'核心假设'!$B$31),SUM('融资租赁与资金缺口'!$M$5:$M$16)*$Q9,0),IF(BY$4=EDATE('核心假设'!$B$5,5-1+'核心假设'!$B$31),SUM('融资租赁与资金缺口'!$M$5:$M$16)*$R9,0),IF(BY$4=EDATE('核心假设'!$B$5,6-1+'核心假设'!$B$31),SUM('融资租赁与资金缺口'!$M$5:$M$16)*$S9,0),IF(BY$4=EDATE('核心假设'!$B$5,7-1+'核心假设'!$B$31),SUM('融资租赁与资金缺口'!$M$5:$M$16)*$T9,0),IF(BY$4=EDATE('核心假设'!$B$5,8-1+'核心假设'!$B$31),SUM('融资租赁与资金缺口'!$M$5:$M$16)*$U9,0),IF(BY$4=EDATE('核心假设'!$B$5,9-1+'核心假设'!$B$31),SUM('融资租赁与资金缺口'!$M$5:$M$16)*$V9,0),IF(BY$4=EDATE('核心假设'!$B$5,10-1+'核心假设'!$B$31),SUM('融资租赁与资金缺口'!$M$5:$M$16)*$W9,0),IF(BY$4=EDATE('核心假设'!$B$5,11-1+'核心假设'!$B$31),SUM('融资租赁与资金缺口'!$M$5:$M$16)*$X9,0),IF(BY$4=EDATE('核心假设'!$B$5,12-1+'核心假设'!$B$31),SUM('融资租赁与资金缺口'!$M$5:$M$16)*$Y9,0),IF(BY$4=EDATE('核心假设'!$B$5,13-1+'核心假设'!$B$31),SUM('融资租赁与资金缺口'!$M$5:$M$16)*$Z9,0),IF(BY$4=EDATE('核心假设'!$B$5,14-1+'核心假设'!$B$31),SUM('融资租赁与资金缺口'!$M$5:$M$16)*$AA9,0),IF(BY$4=EDATE('核心假设'!$B$5,15-1+'核心假设'!$B$31),SUM('融资租赁与资金缺口'!$M$5:$M$16)*$AB9,0),IF(BY$4=EDATE('核心假设'!$B$5,16-1+'核心假设'!$B$31),SUM('融资租赁与资金缺口'!$M$5:$M$16)*$AC9,0),IF(BY$4=EDATE('核心假设'!$B$5,17-1+'核心假设'!$B$31),SUM('融资租赁与资金缺口'!$M$5:$M$16)*$AD9,0))</x:f>
        <x:v>0</x:v>
      </x:c>
      <x:c r="BZ33" s="28" t="n">
        <x:f>SUM(IF(BZ$4=EDATE('核心假设'!$B$5,0-1+'核心假设'!$B$31),SUM('融资租赁与资金缺口'!$M$5:$M$16)*$M9,0),IF(BZ$4=EDATE('核心假设'!$B$5,1-1+'核心假设'!$B$31),SUM('融资租赁与资金缺口'!$M$5:$M$16)*$N9,0),IF(BZ$4=EDATE('核心假设'!$B$5,2-1+'核心假设'!$B$31),SUM('融资租赁与资金缺口'!$M$5:$M$16)*$O9,0),IF(BZ$4=EDATE('核心假设'!$B$5,3-1+'核心假设'!$B$31),SUM('融资租赁与资金缺口'!$M$5:$M$16)*$P9,0),IF(BZ$4=EDATE('核心假设'!$B$5,4-1+'核心假设'!$B$31),SUM('融资租赁与资金缺口'!$M$5:$M$16)*$Q9,0),IF(BZ$4=EDATE('核心假设'!$B$5,5-1+'核心假设'!$B$31),SUM('融资租赁与资金缺口'!$M$5:$M$16)*$R9,0),IF(BZ$4=EDATE('核心假设'!$B$5,6-1+'核心假设'!$B$31),SUM('融资租赁与资金缺口'!$M$5:$M$16)*$S9,0),IF(BZ$4=EDATE('核心假设'!$B$5,7-1+'核心假设'!$B$31),SUM('融资租赁与资金缺口'!$M$5:$M$16)*$T9,0),IF(BZ$4=EDATE('核心假设'!$B$5,8-1+'核心假设'!$B$31),SUM('融资租赁与资金缺口'!$M$5:$M$16)*$U9,0),IF(BZ$4=EDATE('核心假设'!$B$5,9-1+'核心假设'!$B$31),SUM('融资租赁与资金缺口'!$M$5:$M$16)*$V9,0),IF(BZ$4=EDATE('核心假设'!$B$5,10-1+'核心假设'!$B$31),SUM('融资租赁与资金缺口'!$M$5:$M$16)*$W9,0),IF(BZ$4=EDATE('核心假设'!$B$5,11-1+'核心假设'!$B$31),SUM('融资租赁与资金缺口'!$M$5:$M$16)*$X9,0),IF(BZ$4=EDATE('核心假设'!$B$5,12-1+'核心假设'!$B$31),SUM('融资租赁与资金缺口'!$M$5:$M$16)*$Y9,0),IF(BZ$4=EDATE('核心假设'!$B$5,13-1+'核心假设'!$B$31),SUM('融资租赁与资金缺口'!$M$5:$M$16)*$Z9,0),IF(BZ$4=EDATE('核心假设'!$B$5,14-1+'核心假设'!$B$31),SUM('融资租赁与资金缺口'!$M$5:$M$16)*$AA9,0),IF(BZ$4=EDATE('核心假设'!$B$5,15-1+'核心假设'!$B$31),SUM('融资租赁与资金缺口'!$M$5:$M$16)*$AB9,0),IF(BZ$4=EDATE('核心假设'!$B$5,16-1+'核心假设'!$B$31),SUM('融资租赁与资金缺口'!$M$5:$M$16)*$AC9,0),IF(BZ$4=EDATE('核心假设'!$B$5,17-1+'核心假设'!$B$31),SUM('融资租赁与资金缺口'!$M$5:$M$16)*$AD9,0))</x:f>
        <x:v>0</x:v>
      </x:c>
      <x:c r="CA33" s="28" t="n">
        <x:f>SUM(IF(CA$4=EDATE('核心假设'!$B$5,0-1+'核心假设'!$B$31),SUM('融资租赁与资金缺口'!$M$5:$M$16)*$M9,0),IF(CA$4=EDATE('核心假设'!$B$5,1-1+'核心假设'!$B$31),SUM('融资租赁与资金缺口'!$M$5:$M$16)*$N9,0),IF(CA$4=EDATE('核心假设'!$B$5,2-1+'核心假设'!$B$31),SUM('融资租赁与资金缺口'!$M$5:$M$16)*$O9,0),IF(CA$4=EDATE('核心假设'!$B$5,3-1+'核心假设'!$B$31),SUM('融资租赁与资金缺口'!$M$5:$M$16)*$P9,0),IF(CA$4=EDATE('核心假设'!$B$5,4-1+'核心假设'!$B$31),SUM('融资租赁与资金缺口'!$M$5:$M$16)*$Q9,0),IF(CA$4=EDATE('核心假设'!$B$5,5-1+'核心假设'!$B$31),SUM('融资租赁与资金缺口'!$M$5:$M$16)*$R9,0),IF(CA$4=EDATE('核心假设'!$B$5,6-1+'核心假设'!$B$31),SUM('融资租赁与资金缺口'!$M$5:$M$16)*$S9,0),IF(CA$4=EDATE('核心假设'!$B$5,7-1+'核心假设'!$B$31),SUM('融资租赁与资金缺口'!$M$5:$M$16)*$T9,0),IF(CA$4=EDATE('核心假设'!$B$5,8-1+'核心假设'!$B$31),SUM('融资租赁与资金缺口'!$M$5:$M$16)*$U9,0),IF(CA$4=EDATE('核心假设'!$B$5,9-1+'核心假设'!$B$31),SUM('融资租赁与资金缺口'!$M$5:$M$16)*$V9,0),IF(CA$4=EDATE('核心假设'!$B$5,10-1+'核心假设'!$B$31),SUM('融资租赁与资金缺口'!$M$5:$M$16)*$W9,0),IF(CA$4=EDATE('核心假设'!$B$5,11-1+'核心假设'!$B$31),SUM('融资租赁与资金缺口'!$M$5:$M$16)*$X9,0),IF(CA$4=EDATE('核心假设'!$B$5,12-1+'核心假设'!$B$31),SUM('融资租赁与资金缺口'!$M$5:$M$16)*$Y9,0),IF(CA$4=EDATE('核心假设'!$B$5,13-1+'核心假设'!$B$31),SUM('融资租赁与资金缺口'!$M$5:$M$16)*$Z9,0),IF(CA$4=EDATE('核心假设'!$B$5,14-1+'核心假设'!$B$31),SUM('融资租赁与资金缺口'!$M$5:$M$16)*$AA9,0),IF(CA$4=EDATE('核心假设'!$B$5,15-1+'核心假设'!$B$31),SUM('融资租赁与资金缺口'!$M$5:$M$16)*$AB9,0),IF(CA$4=EDATE('核心假设'!$B$5,16-1+'核心假设'!$B$31),SUM('融资租赁与资金缺口'!$M$5:$M$16)*$AC9,0),IF(CA$4=EDATE('核心假设'!$B$5,17-1+'核心假设'!$B$31),SUM('融资租赁与资金缺口'!$M$5:$M$16)*$AD9,0))</x:f>
        <x:v>0</x:v>
      </x:c>
      <x:c r="CB33" s="28" t="n">
        <x:f>SUM(IF(CB$4=EDATE('核心假设'!$B$5,0-1+'核心假设'!$B$31),SUM('融资租赁与资金缺口'!$M$5:$M$16)*$M9,0),IF(CB$4=EDATE('核心假设'!$B$5,1-1+'核心假设'!$B$31),SUM('融资租赁与资金缺口'!$M$5:$M$16)*$N9,0),IF(CB$4=EDATE('核心假设'!$B$5,2-1+'核心假设'!$B$31),SUM('融资租赁与资金缺口'!$M$5:$M$16)*$O9,0),IF(CB$4=EDATE('核心假设'!$B$5,3-1+'核心假设'!$B$31),SUM('融资租赁与资金缺口'!$M$5:$M$16)*$P9,0),IF(CB$4=EDATE('核心假设'!$B$5,4-1+'核心假设'!$B$31),SUM('融资租赁与资金缺口'!$M$5:$M$16)*$Q9,0),IF(CB$4=EDATE('核心假设'!$B$5,5-1+'核心假设'!$B$31),SUM('融资租赁与资金缺口'!$M$5:$M$16)*$R9,0),IF(CB$4=EDATE('核心假设'!$B$5,6-1+'核心假设'!$B$31),SUM('融资租赁与资金缺口'!$M$5:$M$16)*$S9,0),IF(CB$4=EDATE('核心假设'!$B$5,7-1+'核心假设'!$B$31),SUM('融资租赁与资金缺口'!$M$5:$M$16)*$T9,0),IF(CB$4=EDATE('核心假设'!$B$5,8-1+'核心假设'!$B$31),SUM('融资租赁与资金缺口'!$M$5:$M$16)*$U9,0),IF(CB$4=EDATE('核心假设'!$B$5,9-1+'核心假设'!$B$31),SUM('融资租赁与资金缺口'!$M$5:$M$16)*$V9,0),IF(CB$4=EDATE('核心假设'!$B$5,10-1+'核心假设'!$B$31),SUM('融资租赁与资金缺口'!$M$5:$M$16)*$W9,0),IF(CB$4=EDATE('核心假设'!$B$5,11-1+'核心假设'!$B$31),SUM('融资租赁与资金缺口'!$M$5:$M$16)*$X9,0),IF(CB$4=EDATE('核心假设'!$B$5,12-1+'核心假设'!$B$31),SUM('融资租赁与资金缺口'!$M$5:$M$16)*$Y9,0),IF(CB$4=EDATE('核心假设'!$B$5,13-1+'核心假设'!$B$31),SUM('融资租赁与资金缺口'!$M$5:$M$16)*$Z9,0),IF(CB$4=EDATE('核心假设'!$B$5,14-1+'核心假设'!$B$31),SUM('融资租赁与资金缺口'!$M$5:$M$16)*$AA9,0),IF(CB$4=EDATE('核心假设'!$B$5,15-1+'核心假设'!$B$31),SUM('融资租赁与资金缺口'!$M$5:$M$16)*$AB9,0),IF(CB$4=EDATE('核心假设'!$B$5,16-1+'核心假设'!$B$31),SUM('融资租赁与资金缺口'!$M$5:$M$16)*$AC9,0),IF(CB$4=EDATE('核心假设'!$B$5,17-1+'核心假设'!$B$31),SUM('融资租赁与资金缺口'!$M$5:$M$16)*$AD9,0))</x:f>
        <x:v>0</x:v>
      </x:c>
      <x:c r="CC33" s="28" t="n">
        <x:f>SUM(IF(CC$4=EDATE('核心假设'!$B$5,0-1+'核心假设'!$B$31),SUM('融资租赁与资金缺口'!$M$5:$M$16)*$M9,0),IF(CC$4=EDATE('核心假设'!$B$5,1-1+'核心假设'!$B$31),SUM('融资租赁与资金缺口'!$M$5:$M$16)*$N9,0),IF(CC$4=EDATE('核心假设'!$B$5,2-1+'核心假设'!$B$31),SUM('融资租赁与资金缺口'!$M$5:$M$16)*$O9,0),IF(CC$4=EDATE('核心假设'!$B$5,3-1+'核心假设'!$B$31),SUM('融资租赁与资金缺口'!$M$5:$M$16)*$P9,0),IF(CC$4=EDATE('核心假设'!$B$5,4-1+'核心假设'!$B$31),SUM('融资租赁与资金缺口'!$M$5:$M$16)*$Q9,0),IF(CC$4=EDATE('核心假设'!$B$5,5-1+'核心假设'!$B$31),SUM('融资租赁与资金缺口'!$M$5:$M$16)*$R9,0),IF(CC$4=EDATE('核心假设'!$B$5,6-1+'核心假设'!$B$31),SUM('融资租赁与资金缺口'!$M$5:$M$16)*$S9,0),IF(CC$4=EDATE('核心假设'!$B$5,7-1+'核心假设'!$B$31),SUM('融资租赁与资金缺口'!$M$5:$M$16)*$T9,0),IF(CC$4=EDATE('核心假设'!$B$5,8-1+'核心假设'!$B$31),SUM('融资租赁与资金缺口'!$M$5:$M$16)*$U9,0),IF(CC$4=EDATE('核心假设'!$B$5,9-1+'核心假设'!$B$31),SUM('融资租赁与资金缺口'!$M$5:$M$16)*$V9,0),IF(CC$4=EDATE('核心假设'!$B$5,10-1+'核心假设'!$B$31),SUM('融资租赁与资金缺口'!$M$5:$M$16)*$W9,0),IF(CC$4=EDATE('核心假设'!$B$5,11-1+'核心假设'!$B$31),SUM('融资租赁与资金缺口'!$M$5:$M$16)*$X9,0),IF(CC$4=EDATE('核心假设'!$B$5,12-1+'核心假设'!$B$31),SUM('融资租赁与资金缺口'!$M$5:$M$16)*$Y9,0),IF(CC$4=EDATE('核心假设'!$B$5,13-1+'核心假设'!$B$31),SUM('融资租赁与资金缺口'!$M$5:$M$16)*$Z9,0),IF(CC$4=EDATE('核心假设'!$B$5,14-1+'核心假设'!$B$31),SUM('融资租赁与资金缺口'!$M$5:$M$16)*$AA9,0),IF(CC$4=EDATE('核心假设'!$B$5,15-1+'核心假设'!$B$31),SUM('融资租赁与资金缺口'!$M$5:$M$16)*$AB9,0),IF(CC$4=EDATE('核心假设'!$B$5,16-1+'核心假设'!$B$31),SUM('融资租赁与资金缺口'!$M$5:$M$16)*$AC9,0),IF(CC$4=EDATE('核心假设'!$B$5,17-1+'核心假设'!$B$31),SUM('融资租赁与资金缺口'!$M$5:$M$16)*$AD9,0))</x:f>
        <x:v>0</x:v>
      </x:c>
      <x:c r="CD33" s="28" t="n">
        <x:f>SUM(IF(CD$4=EDATE('核心假设'!$B$5,0-1+'核心假设'!$B$31),SUM('融资租赁与资金缺口'!$M$5:$M$16)*$M9,0),IF(CD$4=EDATE('核心假设'!$B$5,1-1+'核心假设'!$B$31),SUM('融资租赁与资金缺口'!$M$5:$M$16)*$N9,0),IF(CD$4=EDATE('核心假设'!$B$5,2-1+'核心假设'!$B$31),SUM('融资租赁与资金缺口'!$M$5:$M$16)*$O9,0),IF(CD$4=EDATE('核心假设'!$B$5,3-1+'核心假设'!$B$31),SUM('融资租赁与资金缺口'!$M$5:$M$16)*$P9,0),IF(CD$4=EDATE('核心假设'!$B$5,4-1+'核心假设'!$B$31),SUM('融资租赁与资金缺口'!$M$5:$M$16)*$Q9,0),IF(CD$4=EDATE('核心假设'!$B$5,5-1+'核心假设'!$B$31),SUM('融资租赁与资金缺口'!$M$5:$M$16)*$R9,0),IF(CD$4=EDATE('核心假设'!$B$5,6-1+'核心假设'!$B$31),SUM('融资租赁与资金缺口'!$M$5:$M$16)*$S9,0),IF(CD$4=EDATE('核心假设'!$B$5,7-1+'核心假设'!$B$31),SUM('融资租赁与资金缺口'!$M$5:$M$16)*$T9,0),IF(CD$4=EDATE('核心假设'!$B$5,8-1+'核心假设'!$B$31),SUM('融资租赁与资金缺口'!$M$5:$M$16)*$U9,0),IF(CD$4=EDATE('核心假设'!$B$5,9-1+'核心假设'!$B$31),SUM('融资租赁与资金缺口'!$M$5:$M$16)*$V9,0),IF(CD$4=EDATE('核心假设'!$B$5,10-1+'核心假设'!$B$31),SUM('融资租赁与资金缺口'!$M$5:$M$16)*$W9,0),IF(CD$4=EDATE('核心假设'!$B$5,11-1+'核心假设'!$B$31),SUM('融资租赁与资金缺口'!$M$5:$M$16)*$X9,0),IF(CD$4=EDATE('核心假设'!$B$5,12-1+'核心假设'!$B$31),SUM('融资租赁与资金缺口'!$M$5:$M$16)*$Y9,0),IF(CD$4=EDATE('核心假设'!$B$5,13-1+'核心假设'!$B$31),SUM('融资租赁与资金缺口'!$M$5:$M$16)*$Z9,0),IF(CD$4=EDATE('核心假设'!$B$5,14-1+'核心假设'!$B$31),SUM('融资租赁与资金缺口'!$M$5:$M$16)*$AA9,0),IF(CD$4=EDATE('核心假设'!$B$5,15-1+'核心假设'!$B$31),SUM('融资租赁与资金缺口'!$M$5:$M$16)*$AB9,0),IF(CD$4=EDATE('核心假设'!$B$5,16-1+'核心假设'!$B$31),SUM('融资租赁与资金缺口'!$M$5:$M$16)*$AC9,0),IF(CD$4=EDATE('核心假设'!$B$5,17-1+'核心假设'!$B$31),SUM('融资租赁与资金缺口'!$M$5:$M$16)*$AD9,0))</x:f>
        <x:v>0</x:v>
      </x:c>
      <x:c r="CE33" s="28" t="n">
        <x:f>SUM(IF(CE$4=EDATE('核心假设'!$B$5,0-1+'核心假设'!$B$31),SUM('融资租赁与资金缺口'!$M$5:$M$16)*$M9,0),IF(CE$4=EDATE('核心假设'!$B$5,1-1+'核心假设'!$B$31),SUM('融资租赁与资金缺口'!$M$5:$M$16)*$N9,0),IF(CE$4=EDATE('核心假设'!$B$5,2-1+'核心假设'!$B$31),SUM('融资租赁与资金缺口'!$M$5:$M$16)*$O9,0),IF(CE$4=EDATE('核心假设'!$B$5,3-1+'核心假设'!$B$31),SUM('融资租赁与资金缺口'!$M$5:$M$16)*$P9,0),IF(CE$4=EDATE('核心假设'!$B$5,4-1+'核心假设'!$B$31),SUM('融资租赁与资金缺口'!$M$5:$M$16)*$Q9,0),IF(CE$4=EDATE('核心假设'!$B$5,5-1+'核心假设'!$B$31),SUM('融资租赁与资金缺口'!$M$5:$M$16)*$R9,0),IF(CE$4=EDATE('核心假设'!$B$5,6-1+'核心假设'!$B$31),SUM('融资租赁与资金缺口'!$M$5:$M$16)*$S9,0),IF(CE$4=EDATE('核心假设'!$B$5,7-1+'核心假设'!$B$31),SUM('融资租赁与资金缺口'!$M$5:$M$16)*$T9,0),IF(CE$4=EDATE('核心假设'!$B$5,8-1+'核心假设'!$B$31),SUM('融资租赁与资金缺口'!$M$5:$M$16)*$U9,0),IF(CE$4=EDATE('核心假设'!$B$5,9-1+'核心假设'!$B$31),SUM('融资租赁与资金缺口'!$M$5:$M$16)*$V9,0),IF(CE$4=EDATE('核心假设'!$B$5,10-1+'核心假设'!$B$31),SUM('融资租赁与资金缺口'!$M$5:$M$16)*$W9,0),IF(CE$4=EDATE('核心假设'!$B$5,11-1+'核心假设'!$B$31),SUM('融资租赁与资金缺口'!$M$5:$M$16)*$X9,0),IF(CE$4=EDATE('核心假设'!$B$5,12-1+'核心假设'!$B$31),SUM('融资租赁与资金缺口'!$M$5:$M$16)*$Y9,0),IF(CE$4=EDATE('核心假设'!$B$5,13-1+'核心假设'!$B$31),SUM('融资租赁与资金缺口'!$M$5:$M$16)*$Z9,0),IF(CE$4=EDATE('核心假设'!$B$5,14-1+'核心假设'!$B$31),SUM('融资租赁与资金缺口'!$M$5:$M$16)*$AA9,0),IF(CE$4=EDATE('核心假设'!$B$5,15-1+'核心假设'!$B$31),SUM('融资租赁与资金缺口'!$M$5:$M$16)*$AB9,0),IF(CE$4=EDATE('核心假设'!$B$5,16-1+'核心假设'!$B$31),SUM('融资租赁与资金缺口'!$M$5:$M$16)*$AC9,0),IF(CE$4=EDATE('核心假设'!$B$5,17-1+'核心假设'!$B$31),SUM('融资租赁与资金缺口'!$M$5:$M$16)*$AD9,0))</x:f>
        <x:v>0</x:v>
      </x:c>
      <x:c r="CF33" s="28" t="n">
        <x:f>SUM(IF(CF$4=EDATE('核心假设'!$B$5,0-1+'核心假设'!$B$31),SUM('融资租赁与资金缺口'!$M$5:$M$16)*$M9,0),IF(CF$4=EDATE('核心假设'!$B$5,1-1+'核心假设'!$B$31),SUM('融资租赁与资金缺口'!$M$5:$M$16)*$N9,0),IF(CF$4=EDATE('核心假设'!$B$5,2-1+'核心假设'!$B$31),SUM('融资租赁与资金缺口'!$M$5:$M$16)*$O9,0),IF(CF$4=EDATE('核心假设'!$B$5,3-1+'核心假设'!$B$31),SUM('融资租赁与资金缺口'!$M$5:$M$16)*$P9,0),IF(CF$4=EDATE('核心假设'!$B$5,4-1+'核心假设'!$B$31),SUM('融资租赁与资金缺口'!$M$5:$M$16)*$Q9,0),IF(CF$4=EDATE('核心假设'!$B$5,5-1+'核心假设'!$B$31),SUM('融资租赁与资金缺口'!$M$5:$M$16)*$R9,0),IF(CF$4=EDATE('核心假设'!$B$5,6-1+'核心假设'!$B$31),SUM('融资租赁与资金缺口'!$M$5:$M$16)*$S9,0),IF(CF$4=EDATE('核心假设'!$B$5,7-1+'核心假设'!$B$31),SUM('融资租赁与资金缺口'!$M$5:$M$16)*$T9,0),IF(CF$4=EDATE('核心假设'!$B$5,8-1+'核心假设'!$B$31),SUM('融资租赁与资金缺口'!$M$5:$M$16)*$U9,0),IF(CF$4=EDATE('核心假设'!$B$5,9-1+'核心假设'!$B$31),SUM('融资租赁与资金缺口'!$M$5:$M$16)*$V9,0),IF(CF$4=EDATE('核心假设'!$B$5,10-1+'核心假设'!$B$31),SUM('融资租赁与资金缺口'!$M$5:$M$16)*$W9,0),IF(CF$4=EDATE('核心假设'!$B$5,11-1+'核心假设'!$B$31),SUM('融资租赁与资金缺口'!$M$5:$M$16)*$X9,0),IF(CF$4=EDATE('核心假设'!$B$5,12-1+'核心假设'!$B$31),SUM('融资租赁与资金缺口'!$M$5:$M$16)*$Y9,0),IF(CF$4=EDATE('核心假设'!$B$5,13-1+'核心假设'!$B$31),SUM('融资租赁与资金缺口'!$M$5:$M$16)*$Z9,0),IF(CF$4=EDATE('核心假设'!$B$5,14-1+'核心假设'!$B$31),SUM('融资租赁与资金缺口'!$M$5:$M$16)*$AA9,0),IF(CF$4=EDATE('核心假设'!$B$5,15-1+'核心假设'!$B$31),SUM('融资租赁与资金缺口'!$M$5:$M$16)*$AB9,0),IF(CF$4=EDATE('核心假设'!$B$5,16-1+'核心假设'!$B$31),SUM('融资租赁与资金缺口'!$M$5:$M$16)*$AC9,0),IF(CF$4=EDATE('核心假设'!$B$5,17-1+'核心假设'!$B$31),SUM('融资租赁与资金缺口'!$M$5:$M$16)*$AD9,0))</x:f>
        <x:v>0</x:v>
      </x:c>
      <x:c r="CG33" s="28" t="n">
        <x:f>SUM(IF(CG$4=EDATE('核心假设'!$B$5,0-1+'核心假设'!$B$31),SUM('融资租赁与资金缺口'!$M$5:$M$16)*$M9,0),IF(CG$4=EDATE('核心假设'!$B$5,1-1+'核心假设'!$B$31),SUM('融资租赁与资金缺口'!$M$5:$M$16)*$N9,0),IF(CG$4=EDATE('核心假设'!$B$5,2-1+'核心假设'!$B$31),SUM('融资租赁与资金缺口'!$M$5:$M$16)*$O9,0),IF(CG$4=EDATE('核心假设'!$B$5,3-1+'核心假设'!$B$31),SUM('融资租赁与资金缺口'!$M$5:$M$16)*$P9,0),IF(CG$4=EDATE('核心假设'!$B$5,4-1+'核心假设'!$B$31),SUM('融资租赁与资金缺口'!$M$5:$M$16)*$Q9,0),IF(CG$4=EDATE('核心假设'!$B$5,5-1+'核心假设'!$B$31),SUM('融资租赁与资金缺口'!$M$5:$M$16)*$R9,0),IF(CG$4=EDATE('核心假设'!$B$5,6-1+'核心假设'!$B$31),SUM('融资租赁与资金缺口'!$M$5:$M$16)*$S9,0),IF(CG$4=EDATE('核心假设'!$B$5,7-1+'核心假设'!$B$31),SUM('融资租赁与资金缺口'!$M$5:$M$16)*$T9,0),IF(CG$4=EDATE('核心假设'!$B$5,8-1+'核心假设'!$B$31),SUM('融资租赁与资金缺口'!$M$5:$M$16)*$U9,0),IF(CG$4=EDATE('核心假设'!$B$5,9-1+'核心假设'!$B$31),SUM('融资租赁与资金缺口'!$M$5:$M$16)*$V9,0),IF(CG$4=EDATE('核心假设'!$B$5,10-1+'核心假设'!$B$31),SUM('融资租赁与资金缺口'!$M$5:$M$16)*$W9,0),IF(CG$4=EDATE('核心假设'!$B$5,11-1+'核心假设'!$B$31),SUM('融资租赁与资金缺口'!$M$5:$M$16)*$X9,0),IF(CG$4=EDATE('核心假设'!$B$5,12-1+'核心假设'!$B$31),SUM('融资租赁与资金缺口'!$M$5:$M$16)*$Y9,0),IF(CG$4=EDATE('核心假设'!$B$5,13-1+'核心假设'!$B$31),SUM('融资租赁与资金缺口'!$M$5:$M$16)*$Z9,0),IF(CG$4=EDATE('核心假设'!$B$5,14-1+'核心假设'!$B$31),SUM('融资租赁与资金缺口'!$M$5:$M$16)*$AA9,0),IF(CG$4=EDATE('核心假设'!$B$5,15-1+'核心假设'!$B$31),SUM('融资租赁与资金缺口'!$M$5:$M$16)*$AB9,0),IF(CG$4=EDATE('核心假设'!$B$5,16-1+'核心假设'!$B$31),SUM('融资租赁与资金缺口'!$M$5:$M$16)*$AC9,0),IF(CG$4=EDATE('核心假设'!$B$5,17-1+'核心假设'!$B$31),SUM('融资租赁与资金缺口'!$M$5:$M$16)*$AD9,0))</x:f>
        <x:v>0</x:v>
      </x:c>
      <x:c r="CH33" s="28" t="n">
        <x:f>SUM(IF(CH$4=EDATE('核心假设'!$B$5,0-1+'核心假设'!$B$31),SUM('融资租赁与资金缺口'!$M$5:$M$16)*$M9,0),IF(CH$4=EDATE('核心假设'!$B$5,1-1+'核心假设'!$B$31),SUM('融资租赁与资金缺口'!$M$5:$M$16)*$N9,0),IF(CH$4=EDATE('核心假设'!$B$5,2-1+'核心假设'!$B$31),SUM('融资租赁与资金缺口'!$M$5:$M$16)*$O9,0),IF(CH$4=EDATE('核心假设'!$B$5,3-1+'核心假设'!$B$31),SUM('融资租赁与资金缺口'!$M$5:$M$16)*$P9,0),IF(CH$4=EDATE('核心假设'!$B$5,4-1+'核心假设'!$B$31),SUM('融资租赁与资金缺口'!$M$5:$M$16)*$Q9,0),IF(CH$4=EDATE('核心假设'!$B$5,5-1+'核心假设'!$B$31),SUM('融资租赁与资金缺口'!$M$5:$M$16)*$R9,0),IF(CH$4=EDATE('核心假设'!$B$5,6-1+'核心假设'!$B$31),SUM('融资租赁与资金缺口'!$M$5:$M$16)*$S9,0),IF(CH$4=EDATE('核心假设'!$B$5,7-1+'核心假设'!$B$31),SUM('融资租赁与资金缺口'!$M$5:$M$16)*$T9,0),IF(CH$4=EDATE('核心假设'!$B$5,8-1+'核心假设'!$B$31),SUM('融资租赁与资金缺口'!$M$5:$M$16)*$U9,0),IF(CH$4=EDATE('核心假设'!$B$5,9-1+'核心假设'!$B$31),SUM('融资租赁与资金缺口'!$M$5:$M$16)*$V9,0),IF(CH$4=EDATE('核心假设'!$B$5,10-1+'核心假设'!$B$31),SUM('融资租赁与资金缺口'!$M$5:$M$16)*$W9,0),IF(CH$4=EDATE('核心假设'!$B$5,11-1+'核心假设'!$B$31),SUM('融资租赁与资金缺口'!$M$5:$M$16)*$X9,0),IF(CH$4=EDATE('核心假设'!$B$5,12-1+'核心假设'!$B$31),SUM('融资租赁与资金缺口'!$M$5:$M$16)*$Y9,0),IF(CH$4=EDATE('核心假设'!$B$5,13-1+'核心假设'!$B$31),SUM('融资租赁与资金缺口'!$M$5:$M$16)*$Z9,0),IF(CH$4=EDATE('核心假设'!$B$5,14-1+'核心假设'!$B$31),SUM('融资租赁与资金缺口'!$M$5:$M$16)*$AA9,0),IF(CH$4=EDATE('核心假设'!$B$5,15-1+'核心假设'!$B$31),SUM('融资租赁与资金缺口'!$M$5:$M$16)*$AB9,0),IF(CH$4=EDATE('核心假设'!$B$5,16-1+'核心假设'!$B$31),SUM('融资租赁与资金缺口'!$M$5:$M$16)*$AC9,0),IF(CH$4=EDATE('核心假设'!$B$5,17-1+'核心假设'!$B$31),SUM('融资租赁与资金缺口'!$M$5:$M$16)*$AD9,0))</x:f>
        <x:v>0</x:v>
      </x:c>
      <x:c r="CI33" s="28" t="n">
        <x:f>SUM(IF(CI$4=EDATE('核心假设'!$B$5,0-1+'核心假设'!$B$31),SUM('融资租赁与资金缺口'!$M$5:$M$16)*$M9,0),IF(CI$4=EDATE('核心假设'!$B$5,1-1+'核心假设'!$B$31),SUM('融资租赁与资金缺口'!$M$5:$M$16)*$N9,0),IF(CI$4=EDATE('核心假设'!$B$5,2-1+'核心假设'!$B$31),SUM('融资租赁与资金缺口'!$M$5:$M$16)*$O9,0),IF(CI$4=EDATE('核心假设'!$B$5,3-1+'核心假设'!$B$31),SUM('融资租赁与资金缺口'!$M$5:$M$16)*$P9,0),IF(CI$4=EDATE('核心假设'!$B$5,4-1+'核心假设'!$B$31),SUM('融资租赁与资金缺口'!$M$5:$M$16)*$Q9,0),IF(CI$4=EDATE('核心假设'!$B$5,5-1+'核心假设'!$B$31),SUM('融资租赁与资金缺口'!$M$5:$M$16)*$R9,0),IF(CI$4=EDATE('核心假设'!$B$5,6-1+'核心假设'!$B$31),SUM('融资租赁与资金缺口'!$M$5:$M$16)*$S9,0),IF(CI$4=EDATE('核心假设'!$B$5,7-1+'核心假设'!$B$31),SUM('融资租赁与资金缺口'!$M$5:$M$16)*$T9,0),IF(CI$4=EDATE('核心假设'!$B$5,8-1+'核心假设'!$B$31),SUM('融资租赁与资金缺口'!$M$5:$M$16)*$U9,0),IF(CI$4=EDATE('核心假设'!$B$5,9-1+'核心假设'!$B$31),SUM('融资租赁与资金缺口'!$M$5:$M$16)*$V9,0),IF(CI$4=EDATE('核心假设'!$B$5,10-1+'核心假设'!$B$31),SUM('融资租赁与资金缺口'!$M$5:$M$16)*$W9,0),IF(CI$4=EDATE('核心假设'!$B$5,11-1+'核心假设'!$B$31),SUM('融资租赁与资金缺口'!$M$5:$M$16)*$X9,0),IF(CI$4=EDATE('核心假设'!$B$5,12-1+'核心假设'!$B$31),SUM('融资租赁与资金缺口'!$M$5:$M$16)*$Y9,0),IF(CI$4=EDATE('核心假设'!$B$5,13-1+'核心假设'!$B$31),SUM('融资租赁与资金缺口'!$M$5:$M$16)*$Z9,0),IF(CI$4=EDATE('核心假设'!$B$5,14-1+'核心假设'!$B$31),SUM('融资租赁与资金缺口'!$M$5:$M$16)*$AA9,0),IF(CI$4=EDATE('核心假设'!$B$5,15-1+'核心假设'!$B$31),SUM('融资租赁与资金缺口'!$M$5:$M$16)*$AB9,0),IF(CI$4=EDATE('核心假设'!$B$5,16-1+'核心假设'!$B$31),SUM('融资租赁与资金缺口'!$M$5:$M$16)*$AC9,0),IF(CI$4=EDATE('核心假设'!$B$5,17-1+'核心假设'!$B$31),SUM('融资租赁与资金缺口'!$M$5:$M$16)*$AD9,0))</x:f>
        <x:v>0</x:v>
      </x:c>
      <x:c r="CJ33" s="28" t="n">
        <x:f>SUM(IF(CJ$4=EDATE('核心假设'!$B$5,0-1+'核心假设'!$B$31),SUM('融资租赁与资金缺口'!$M$5:$M$16)*$M9,0),IF(CJ$4=EDATE('核心假设'!$B$5,1-1+'核心假设'!$B$31),SUM('融资租赁与资金缺口'!$M$5:$M$16)*$N9,0),IF(CJ$4=EDATE('核心假设'!$B$5,2-1+'核心假设'!$B$31),SUM('融资租赁与资金缺口'!$M$5:$M$16)*$O9,0),IF(CJ$4=EDATE('核心假设'!$B$5,3-1+'核心假设'!$B$31),SUM('融资租赁与资金缺口'!$M$5:$M$16)*$P9,0),IF(CJ$4=EDATE('核心假设'!$B$5,4-1+'核心假设'!$B$31),SUM('融资租赁与资金缺口'!$M$5:$M$16)*$Q9,0),IF(CJ$4=EDATE('核心假设'!$B$5,5-1+'核心假设'!$B$31),SUM('融资租赁与资金缺口'!$M$5:$M$16)*$R9,0),IF(CJ$4=EDATE('核心假设'!$B$5,6-1+'核心假设'!$B$31),SUM('融资租赁与资金缺口'!$M$5:$M$16)*$S9,0),IF(CJ$4=EDATE('核心假设'!$B$5,7-1+'核心假设'!$B$31),SUM('融资租赁与资金缺口'!$M$5:$M$16)*$T9,0),IF(CJ$4=EDATE('核心假设'!$B$5,8-1+'核心假设'!$B$31),SUM('融资租赁与资金缺口'!$M$5:$M$16)*$U9,0),IF(CJ$4=EDATE('核心假设'!$B$5,9-1+'核心假设'!$B$31),SUM('融资租赁与资金缺口'!$M$5:$M$16)*$V9,0),IF(CJ$4=EDATE('核心假设'!$B$5,10-1+'核心假设'!$B$31),SUM('融资租赁与资金缺口'!$M$5:$M$16)*$W9,0),IF(CJ$4=EDATE('核心假设'!$B$5,11-1+'核心假设'!$B$31),SUM('融资租赁与资金缺口'!$M$5:$M$16)*$X9,0),IF(CJ$4=EDATE('核心假设'!$B$5,12-1+'核心假设'!$B$31),SUM('融资租赁与资金缺口'!$M$5:$M$16)*$Y9,0),IF(CJ$4=EDATE('核心假设'!$B$5,13-1+'核心假设'!$B$31),SUM('融资租赁与资金缺口'!$M$5:$M$16)*$Z9,0),IF(CJ$4=EDATE('核心假设'!$B$5,14-1+'核心假设'!$B$31),SUM('融资租赁与资金缺口'!$M$5:$M$16)*$AA9,0),IF(CJ$4=EDATE('核心假设'!$B$5,15-1+'核心假设'!$B$31),SUM('融资租赁与资金缺口'!$M$5:$M$16)*$AB9,0),IF(CJ$4=EDATE('核心假设'!$B$5,16-1+'核心假设'!$B$31),SUM('融资租赁与资金缺口'!$M$5:$M$16)*$AC9,0),IF(CJ$4=EDATE('核心假设'!$B$5,17-1+'核心假设'!$B$31),SUM('融资租赁与资金缺口'!$M$5:$M$16)*$AD9,0))</x:f>
        <x:v>0</x:v>
      </x:c>
      <x:c r="CK33" s="28" t="n">
        <x:f>SUM(IF(CK$4=EDATE('核心假设'!$B$5,0-1+'核心假设'!$B$31),SUM('融资租赁与资金缺口'!$M$5:$M$16)*$M9,0),IF(CK$4=EDATE('核心假设'!$B$5,1-1+'核心假设'!$B$31),SUM('融资租赁与资金缺口'!$M$5:$M$16)*$N9,0),IF(CK$4=EDATE('核心假设'!$B$5,2-1+'核心假设'!$B$31),SUM('融资租赁与资金缺口'!$M$5:$M$16)*$O9,0),IF(CK$4=EDATE('核心假设'!$B$5,3-1+'核心假设'!$B$31),SUM('融资租赁与资金缺口'!$M$5:$M$16)*$P9,0),IF(CK$4=EDATE('核心假设'!$B$5,4-1+'核心假设'!$B$31),SUM('融资租赁与资金缺口'!$M$5:$M$16)*$Q9,0),IF(CK$4=EDATE('核心假设'!$B$5,5-1+'核心假设'!$B$31),SUM('融资租赁与资金缺口'!$M$5:$M$16)*$R9,0),IF(CK$4=EDATE('核心假设'!$B$5,6-1+'核心假设'!$B$31),SUM('融资租赁与资金缺口'!$M$5:$M$16)*$S9,0),IF(CK$4=EDATE('核心假设'!$B$5,7-1+'核心假设'!$B$31),SUM('融资租赁与资金缺口'!$M$5:$M$16)*$T9,0),IF(CK$4=EDATE('核心假设'!$B$5,8-1+'核心假设'!$B$31),SUM('融资租赁与资金缺口'!$M$5:$M$16)*$U9,0),IF(CK$4=EDATE('核心假设'!$B$5,9-1+'核心假设'!$B$31),SUM('融资租赁与资金缺口'!$M$5:$M$16)*$V9,0),IF(CK$4=EDATE('核心假设'!$B$5,10-1+'核心假设'!$B$31),SUM('融资租赁与资金缺口'!$M$5:$M$16)*$W9,0),IF(CK$4=EDATE('核心假设'!$B$5,11-1+'核心假设'!$B$31),SUM('融资租赁与资金缺口'!$M$5:$M$16)*$X9,0),IF(CK$4=EDATE('核心假设'!$B$5,12-1+'核心假设'!$B$31),SUM('融资租赁与资金缺口'!$M$5:$M$16)*$Y9,0),IF(CK$4=EDATE('核心假设'!$B$5,13-1+'核心假设'!$B$31),SUM('融资租赁与资金缺口'!$M$5:$M$16)*$Z9,0),IF(CK$4=EDATE('核心假设'!$B$5,14-1+'核心假设'!$B$31),SUM('融资租赁与资金缺口'!$M$5:$M$16)*$AA9,0),IF(CK$4=EDATE('核心假设'!$B$5,15-1+'核心假设'!$B$31),SUM('融资租赁与资金缺口'!$M$5:$M$16)*$AB9,0),IF(CK$4=EDATE('核心假设'!$B$5,16-1+'核心假设'!$B$31),SUM('融资租赁与资金缺口'!$M$5:$M$16)*$AC9,0),IF(CK$4=EDATE('核心假设'!$B$5,17-1+'核心假设'!$B$31),SUM('融资租赁与资金缺口'!$M$5:$M$16)*$AD9,0))</x:f>
        <x:v>0</x:v>
      </x:c>
      <x:c r="CL33" s="28" t="n">
        <x:f>SUM(IF(CL$4=EDATE('核心假设'!$B$5,0-1+'核心假设'!$B$31),SUM('融资租赁与资金缺口'!$M$5:$M$16)*$M9,0),IF(CL$4=EDATE('核心假设'!$B$5,1-1+'核心假设'!$B$31),SUM('融资租赁与资金缺口'!$M$5:$M$16)*$N9,0),IF(CL$4=EDATE('核心假设'!$B$5,2-1+'核心假设'!$B$31),SUM('融资租赁与资金缺口'!$M$5:$M$16)*$O9,0),IF(CL$4=EDATE('核心假设'!$B$5,3-1+'核心假设'!$B$31),SUM('融资租赁与资金缺口'!$M$5:$M$16)*$P9,0),IF(CL$4=EDATE('核心假设'!$B$5,4-1+'核心假设'!$B$31),SUM('融资租赁与资金缺口'!$M$5:$M$16)*$Q9,0),IF(CL$4=EDATE('核心假设'!$B$5,5-1+'核心假设'!$B$31),SUM('融资租赁与资金缺口'!$M$5:$M$16)*$R9,0),IF(CL$4=EDATE('核心假设'!$B$5,6-1+'核心假设'!$B$31),SUM('融资租赁与资金缺口'!$M$5:$M$16)*$S9,0),IF(CL$4=EDATE('核心假设'!$B$5,7-1+'核心假设'!$B$31),SUM('融资租赁与资金缺口'!$M$5:$M$16)*$T9,0),IF(CL$4=EDATE('核心假设'!$B$5,8-1+'核心假设'!$B$31),SUM('融资租赁与资金缺口'!$M$5:$M$16)*$U9,0),IF(CL$4=EDATE('核心假设'!$B$5,9-1+'核心假设'!$B$31),SUM('融资租赁与资金缺口'!$M$5:$M$16)*$V9,0),IF(CL$4=EDATE('核心假设'!$B$5,10-1+'核心假设'!$B$31),SUM('融资租赁与资金缺口'!$M$5:$M$16)*$W9,0),IF(CL$4=EDATE('核心假设'!$B$5,11-1+'核心假设'!$B$31),SUM('融资租赁与资金缺口'!$M$5:$M$16)*$X9,0),IF(CL$4=EDATE('核心假设'!$B$5,12-1+'核心假设'!$B$31),SUM('融资租赁与资金缺口'!$M$5:$M$16)*$Y9,0),IF(CL$4=EDATE('核心假设'!$B$5,13-1+'核心假设'!$B$31),SUM('融资租赁与资金缺口'!$M$5:$M$16)*$Z9,0),IF(CL$4=EDATE('核心假设'!$B$5,14-1+'核心假设'!$B$31),SUM('融资租赁与资金缺口'!$M$5:$M$16)*$AA9,0),IF(CL$4=EDATE('核心假设'!$B$5,15-1+'核心假设'!$B$31),SUM('融资租赁与资金缺口'!$M$5:$M$16)*$AB9,0),IF(CL$4=EDATE('核心假设'!$B$5,16-1+'核心假设'!$B$31),SUM('融资租赁与资金缺口'!$M$5:$M$16)*$AC9,0),IF(CL$4=EDATE('核心假设'!$B$5,17-1+'核心假设'!$B$31),SUM('融资租赁与资金缺口'!$M$5:$M$16)*$AD9,0))</x:f>
        <x:v>0</x:v>
      </x:c>
      <x:c r="CM33" s="28" t="n">
        <x:f>SUM(IF(CM$4=EDATE('核心假设'!$B$5,0-1+'核心假设'!$B$31),SUM('融资租赁与资金缺口'!$M$5:$M$16)*$M9,0),IF(CM$4=EDATE('核心假设'!$B$5,1-1+'核心假设'!$B$31),SUM('融资租赁与资金缺口'!$M$5:$M$16)*$N9,0),IF(CM$4=EDATE('核心假设'!$B$5,2-1+'核心假设'!$B$31),SUM('融资租赁与资金缺口'!$M$5:$M$16)*$O9,0),IF(CM$4=EDATE('核心假设'!$B$5,3-1+'核心假设'!$B$31),SUM('融资租赁与资金缺口'!$M$5:$M$16)*$P9,0),IF(CM$4=EDATE('核心假设'!$B$5,4-1+'核心假设'!$B$31),SUM('融资租赁与资金缺口'!$M$5:$M$16)*$Q9,0),IF(CM$4=EDATE('核心假设'!$B$5,5-1+'核心假设'!$B$31),SUM('融资租赁与资金缺口'!$M$5:$M$16)*$R9,0),IF(CM$4=EDATE('核心假设'!$B$5,6-1+'核心假设'!$B$31),SUM('融资租赁与资金缺口'!$M$5:$M$16)*$S9,0),IF(CM$4=EDATE('核心假设'!$B$5,7-1+'核心假设'!$B$31),SUM('融资租赁与资金缺口'!$M$5:$M$16)*$T9,0),IF(CM$4=EDATE('核心假设'!$B$5,8-1+'核心假设'!$B$31),SUM('融资租赁与资金缺口'!$M$5:$M$16)*$U9,0),IF(CM$4=EDATE('核心假设'!$B$5,9-1+'核心假设'!$B$31),SUM('融资租赁与资金缺口'!$M$5:$M$16)*$V9,0),IF(CM$4=EDATE('核心假设'!$B$5,10-1+'核心假设'!$B$31),SUM('融资租赁与资金缺口'!$M$5:$M$16)*$W9,0),IF(CM$4=EDATE('核心假设'!$B$5,11-1+'核心假设'!$B$31),SUM('融资租赁与资金缺口'!$M$5:$M$16)*$X9,0),IF(CM$4=EDATE('核心假设'!$B$5,12-1+'核心假设'!$B$31),SUM('融资租赁与资金缺口'!$M$5:$M$16)*$Y9,0),IF(CM$4=EDATE('核心假设'!$B$5,13-1+'核心假设'!$B$31),SUM('融资租赁与资金缺口'!$M$5:$M$16)*$Z9,0),IF(CM$4=EDATE('核心假设'!$B$5,14-1+'核心假设'!$B$31),SUM('融资租赁与资金缺口'!$M$5:$M$16)*$AA9,0),IF(CM$4=EDATE('核心假设'!$B$5,15-1+'核心假设'!$B$31),SUM('融资租赁与资金缺口'!$M$5:$M$16)*$AB9,0),IF(CM$4=EDATE('核心假设'!$B$5,16-1+'核心假设'!$B$31),SUM('融资租赁与资金缺口'!$M$5:$M$16)*$AC9,0),IF(CM$4=EDATE('核心假设'!$B$5,17-1+'核心假设'!$B$31),SUM('融资租赁与资金缺口'!$M$5:$M$16)*$AD9,0))</x:f>
        <x:v>0</x:v>
      </x:c>
    </x:row>
    <x:row r="34">
      <x:c r="A34" s="60" t="str">
        <x:v>月度净现金与累计现金滚动</x:v>
      </x:c>
      <x:c r="B34" s="70" t="n">
        <x:f>SUM('融资租赁与资金缺口'!$B$114:$BI$114)+'核心假设'!$B$39-'融资租赁与资金缺口'!$BI$115</x:f>
        <x:v>0</x:v>
      </x:c>
      <x:c r="C34" s="70" t="n">
        <x:f>0</x:f>
        <x:v>0</x:v>
      </x:c>
      <x:c r="D34" s="72" t="n">
        <x:f>B34-C34</x:f>
        <x:v>0</x:v>
      </x:c>
      <x:c r="E34" s="72" t="n">
        <x:v>0.01</x:v>
      </x:c>
      <x:c r="F34" s="54" t="str">
        <x:f>IF(ABS(D34)&lt;=E34,"PASS","FAIL")</x:f>
        <x:v>PASS</x:v>
      </x:c>
      <x:c r="G34" s="52" t="str">
        <x:v>融资租赁与资金缺口!114:117</x:v>
      </x:c>
      <x:c r="H34" s="61" t="str">
        <x:v>项目与股东投入前两条曲线均按月滚动</x:v>
      </x:c>
      <x:c r="AE34" t="str">
        <x:v>注资前累计现金</x:v>
      </x:c>
      <x:c r="AF34" s="28" t="n">
        <x:f>'核心假设'!$B$39+AF30-AF31+SUM(IF(AF$4=EDATE('核心假设'!$B$5,0+$F9),SUM('融资租赁与资金缺口'!$D$5:$D$16)*$M9*$C9,0),IF(AF$4=EDATE('核心假设'!$B$5,1+$F9),SUM('融资租赁与资金缺口'!$D$5:$D$16)*$N9*$C9,0),IF(AF$4=EDATE('核心假设'!$B$5,2+$F9),SUM('融资租赁与资金缺口'!$D$5:$D$16)*$O9*$C9,0),IF(AF$4=EDATE('核心假设'!$B$5,3+$F9),SUM('融资租赁与资金缺口'!$D$5:$D$16)*$P9*$C9,0),IF(AF$4=EDATE('核心假设'!$B$5,4+$F9),SUM('融资租赁与资金缺口'!$D$5:$D$16)*$Q9*$C9,0),IF(AF$4=EDATE('核心假设'!$B$5,5+$F9),SUM('融资租赁与资金缺口'!$D$5:$D$16)*$R9*$C9,0),IF(AF$4=EDATE('核心假设'!$B$5,6+$F9),SUM('融资租赁与资金缺口'!$D$5:$D$16)*$S9*$C9,0),IF(AF$4=EDATE('核心假设'!$B$5,7+$F9),SUM('融资租赁与资金缺口'!$D$5:$D$16)*$T9*$C9,0),IF(AF$4=EDATE('核心假设'!$B$5,8+$F9),SUM('融资租赁与资金缺口'!$D$5:$D$16)*$U9*$C9,0),IF(AF$4=EDATE('核心假设'!$B$5,9+$F9),SUM('融资租赁与资金缺口'!$D$5:$D$16)*$V9*$C9,0),IF(AF$4=EDATE('核心假设'!$B$5,10+$F9),SUM('融资租赁与资金缺口'!$D$5:$D$16)*$W9*$C9,0),IF(AF$4=EDATE('核心假设'!$B$5,11+$F9),SUM('融资租赁与资金缺口'!$D$5:$D$16)*$X9*$C9,0),IF(AF$4=EDATE('核心假设'!$B$5,12+$F9),SUM('融资租赁与资金缺口'!$D$5:$D$16)*$Y9*$C9,0),IF(AF$4=EDATE('核心假设'!$B$5,13+$F9),SUM('融资租赁与资金缺口'!$D$5:$D$16)*$Z9*$C9,0),IF(AF$4=EDATE('核心假设'!$B$5,14+$F9),SUM('融资租赁与资金缺口'!$D$5:$D$16)*$AA9*$C9,0),IF(AF$4=EDATE('核心假设'!$B$5,15+$F9),SUM('融资租赁与资金缺口'!$D$5:$D$16)*$AB9*$C9,0),IF(AF$4=EDATE('核心假设'!$B$5,16+$F9),SUM('融资租赁与资金缺口'!$D$5:$D$16)*$AC9*$C9,0),IF(AF$4=EDATE('核心假设'!$B$5,17+$F9),SUM('融资租赁与资金缺口'!$D$5:$D$16)*$AD9*$C9,0))-AF33</x:f>
        <x:v>688103.8624778617</x:v>
      </x:c>
      <x:c r="AG34" s="28" t="n">
        <x:f>AF34+AG30-AG31+SUM(IF(AG$4=EDATE('核心假设'!$B$5,0+$F9),SUM('融资租赁与资金缺口'!$D$5:$D$16)*$M9*$C9,0),IF(AG$4=EDATE('核心假设'!$B$5,1+$F9),SUM('融资租赁与资金缺口'!$D$5:$D$16)*$N9*$C9,0),IF(AG$4=EDATE('核心假设'!$B$5,2+$F9),SUM('融资租赁与资金缺口'!$D$5:$D$16)*$O9*$C9,0),IF(AG$4=EDATE('核心假设'!$B$5,3+$F9),SUM('融资租赁与资金缺口'!$D$5:$D$16)*$P9*$C9,0),IF(AG$4=EDATE('核心假设'!$B$5,4+$F9),SUM('融资租赁与资金缺口'!$D$5:$D$16)*$Q9*$C9,0),IF(AG$4=EDATE('核心假设'!$B$5,5+$F9),SUM('融资租赁与资金缺口'!$D$5:$D$16)*$R9*$C9,0),IF(AG$4=EDATE('核心假设'!$B$5,6+$F9),SUM('融资租赁与资金缺口'!$D$5:$D$16)*$S9*$C9,0),IF(AG$4=EDATE('核心假设'!$B$5,7+$F9),SUM('融资租赁与资金缺口'!$D$5:$D$16)*$T9*$C9,0),IF(AG$4=EDATE('核心假设'!$B$5,8+$F9),SUM('融资租赁与资金缺口'!$D$5:$D$16)*$U9*$C9,0),IF(AG$4=EDATE('核心假设'!$B$5,9+$F9),SUM('融资租赁与资金缺口'!$D$5:$D$16)*$V9*$C9,0),IF(AG$4=EDATE('核心假设'!$B$5,10+$F9),SUM('融资租赁与资金缺口'!$D$5:$D$16)*$W9*$C9,0),IF(AG$4=EDATE('核心假设'!$B$5,11+$F9),SUM('融资租赁与资金缺口'!$D$5:$D$16)*$X9*$C9,0),IF(AG$4=EDATE('核心假设'!$B$5,12+$F9),SUM('融资租赁与资金缺口'!$D$5:$D$16)*$Y9*$C9,0),IF(AG$4=EDATE('核心假设'!$B$5,13+$F9),SUM('融资租赁与资金缺口'!$D$5:$D$16)*$Z9*$C9,0),IF(AG$4=EDATE('核心假设'!$B$5,14+$F9),SUM('融资租赁与资金缺口'!$D$5:$D$16)*$AA9*$C9,0),IF(AG$4=EDATE('核心假设'!$B$5,15+$F9),SUM('融资租赁与资金缺口'!$D$5:$D$16)*$AB9*$C9,0),IF(AG$4=EDATE('核心假设'!$B$5,16+$F9),SUM('融资租赁与资金缺口'!$D$5:$D$16)*$AC9*$C9,0),IF(AG$4=EDATE('核心假设'!$B$5,17+$F9),SUM('融资租赁与资金缺口'!$D$5:$D$16)*$AD9*$C9,0))-AG33</x:f>
        <x:v>-491992.79844758287</x:v>
      </x:c>
      <x:c r="AH34" s="28" t="n">
        <x:f>AG34+AH30-AH31+SUM(IF(AH$4=EDATE('核心假设'!$B$5,0+$F9),SUM('融资租赁与资金缺口'!$D$5:$D$16)*$M9*$C9,0),IF(AH$4=EDATE('核心假设'!$B$5,1+$F9),SUM('融资租赁与资金缺口'!$D$5:$D$16)*$N9*$C9,0),IF(AH$4=EDATE('核心假设'!$B$5,2+$F9),SUM('融资租赁与资金缺口'!$D$5:$D$16)*$O9*$C9,0),IF(AH$4=EDATE('核心假设'!$B$5,3+$F9),SUM('融资租赁与资金缺口'!$D$5:$D$16)*$P9*$C9,0),IF(AH$4=EDATE('核心假设'!$B$5,4+$F9),SUM('融资租赁与资金缺口'!$D$5:$D$16)*$Q9*$C9,0),IF(AH$4=EDATE('核心假设'!$B$5,5+$F9),SUM('融资租赁与资金缺口'!$D$5:$D$16)*$R9*$C9,0),IF(AH$4=EDATE('核心假设'!$B$5,6+$F9),SUM('融资租赁与资金缺口'!$D$5:$D$16)*$S9*$C9,0),IF(AH$4=EDATE('核心假设'!$B$5,7+$F9),SUM('融资租赁与资金缺口'!$D$5:$D$16)*$T9*$C9,0),IF(AH$4=EDATE('核心假设'!$B$5,8+$F9),SUM('融资租赁与资金缺口'!$D$5:$D$16)*$U9*$C9,0),IF(AH$4=EDATE('核心假设'!$B$5,9+$F9),SUM('融资租赁与资金缺口'!$D$5:$D$16)*$V9*$C9,0),IF(AH$4=EDATE('核心假设'!$B$5,10+$F9),SUM('融资租赁与资金缺口'!$D$5:$D$16)*$W9*$C9,0),IF(AH$4=EDATE('核心假设'!$B$5,11+$F9),SUM('融资租赁与资金缺口'!$D$5:$D$16)*$X9*$C9,0),IF(AH$4=EDATE('核心假设'!$B$5,12+$F9),SUM('融资租赁与资金缺口'!$D$5:$D$16)*$Y9*$C9,0),IF(AH$4=EDATE('核心假设'!$B$5,13+$F9),SUM('融资租赁与资金缺口'!$D$5:$D$16)*$Z9*$C9,0),IF(AH$4=EDATE('核心假设'!$B$5,14+$F9),SUM('融资租赁与资金缺口'!$D$5:$D$16)*$AA9*$C9,0),IF(AH$4=EDATE('核心假设'!$B$5,15+$F9),SUM('融资租赁与资金缺口'!$D$5:$D$16)*$AB9*$C9,0),IF(AH$4=EDATE('核心假设'!$B$5,16+$F9),SUM('融资租赁与资金缺口'!$D$5:$D$16)*$AC9*$C9,0),IF(AH$4=EDATE('核心假设'!$B$5,17+$F9),SUM('融资租赁与资金缺口'!$D$5:$D$16)*$AD9*$C9,0))-AH33</x:f>
        <x:v>-1861658.3688876145</x:v>
      </x:c>
      <x:c r="AI34" s="28" t="n">
        <x:f>AH34+AI30-AI31+SUM(IF(AI$4=EDATE('核心假设'!$B$5,0+$F9),SUM('融资租赁与资金缺口'!$D$5:$D$16)*$M9*$C9,0),IF(AI$4=EDATE('核心假设'!$B$5,1+$F9),SUM('融资租赁与资金缺口'!$D$5:$D$16)*$N9*$C9,0),IF(AI$4=EDATE('核心假设'!$B$5,2+$F9),SUM('融资租赁与资金缺口'!$D$5:$D$16)*$O9*$C9,0),IF(AI$4=EDATE('核心假设'!$B$5,3+$F9),SUM('融资租赁与资金缺口'!$D$5:$D$16)*$P9*$C9,0),IF(AI$4=EDATE('核心假设'!$B$5,4+$F9),SUM('融资租赁与资金缺口'!$D$5:$D$16)*$Q9*$C9,0),IF(AI$4=EDATE('核心假设'!$B$5,5+$F9),SUM('融资租赁与资金缺口'!$D$5:$D$16)*$R9*$C9,0),IF(AI$4=EDATE('核心假设'!$B$5,6+$F9),SUM('融资租赁与资金缺口'!$D$5:$D$16)*$S9*$C9,0),IF(AI$4=EDATE('核心假设'!$B$5,7+$F9),SUM('融资租赁与资金缺口'!$D$5:$D$16)*$T9*$C9,0),IF(AI$4=EDATE('核心假设'!$B$5,8+$F9),SUM('融资租赁与资金缺口'!$D$5:$D$16)*$U9*$C9,0),IF(AI$4=EDATE('核心假设'!$B$5,9+$F9),SUM('融资租赁与资金缺口'!$D$5:$D$16)*$V9*$C9,0),IF(AI$4=EDATE('核心假设'!$B$5,10+$F9),SUM('融资租赁与资金缺口'!$D$5:$D$16)*$W9*$C9,0),IF(AI$4=EDATE('核心假设'!$B$5,11+$F9),SUM('融资租赁与资金缺口'!$D$5:$D$16)*$X9*$C9,0),IF(AI$4=EDATE('核心假设'!$B$5,12+$F9),SUM('融资租赁与资金缺口'!$D$5:$D$16)*$Y9*$C9,0),IF(AI$4=EDATE('核心假设'!$B$5,13+$F9),SUM('融资租赁与资金缺口'!$D$5:$D$16)*$Z9*$C9,0),IF(AI$4=EDATE('核心假设'!$B$5,14+$F9),SUM('融资租赁与资金缺口'!$D$5:$D$16)*$AA9*$C9,0),IF(AI$4=EDATE('核心假设'!$B$5,15+$F9),SUM('融资租赁与资金缺口'!$D$5:$D$16)*$AB9*$C9,0),IF(AI$4=EDATE('核心假设'!$B$5,16+$F9),SUM('融资租赁与资金缺口'!$D$5:$D$16)*$AC9*$C9,0),IF(AI$4=EDATE('核心假设'!$B$5,17+$F9),SUM('融资租赁与资金缺口'!$D$5:$D$16)*$AD9*$C9,0))-AI33</x:f>
        <x:v>-1819235.2892056368</x:v>
      </x:c>
      <x:c r="AJ34" s="28" t="n">
        <x:f>AI34+AJ30-AJ31+SUM(IF(AJ$4=EDATE('核心假设'!$B$5,0+$F9),SUM('融资租赁与资金缺口'!$D$5:$D$16)*$M9*$C9,0),IF(AJ$4=EDATE('核心假设'!$B$5,1+$F9),SUM('融资租赁与资金缺口'!$D$5:$D$16)*$N9*$C9,0),IF(AJ$4=EDATE('核心假设'!$B$5,2+$F9),SUM('融资租赁与资金缺口'!$D$5:$D$16)*$O9*$C9,0),IF(AJ$4=EDATE('核心假设'!$B$5,3+$F9),SUM('融资租赁与资金缺口'!$D$5:$D$16)*$P9*$C9,0),IF(AJ$4=EDATE('核心假设'!$B$5,4+$F9),SUM('融资租赁与资金缺口'!$D$5:$D$16)*$Q9*$C9,0),IF(AJ$4=EDATE('核心假设'!$B$5,5+$F9),SUM('融资租赁与资金缺口'!$D$5:$D$16)*$R9*$C9,0),IF(AJ$4=EDATE('核心假设'!$B$5,6+$F9),SUM('融资租赁与资金缺口'!$D$5:$D$16)*$S9*$C9,0),IF(AJ$4=EDATE('核心假设'!$B$5,7+$F9),SUM('融资租赁与资金缺口'!$D$5:$D$16)*$T9*$C9,0),IF(AJ$4=EDATE('核心假设'!$B$5,8+$F9),SUM('融资租赁与资金缺口'!$D$5:$D$16)*$U9*$C9,0),IF(AJ$4=EDATE('核心假设'!$B$5,9+$F9),SUM('融资租赁与资金缺口'!$D$5:$D$16)*$V9*$C9,0),IF(AJ$4=EDATE('核心假设'!$B$5,10+$F9),SUM('融资租赁与资金缺口'!$D$5:$D$16)*$W9*$C9,0),IF(AJ$4=EDATE('核心假设'!$B$5,11+$F9),SUM('融资租赁与资金缺口'!$D$5:$D$16)*$X9*$C9,0),IF(AJ$4=EDATE('核心假设'!$B$5,12+$F9),SUM('融资租赁与资金缺口'!$D$5:$D$16)*$Y9*$C9,0),IF(AJ$4=EDATE('核心假设'!$B$5,13+$F9),SUM('融资租赁与资金缺口'!$D$5:$D$16)*$Z9*$C9,0),IF(AJ$4=EDATE('核心假设'!$B$5,14+$F9),SUM('融资租赁与资金缺口'!$D$5:$D$16)*$AA9*$C9,0),IF(AJ$4=EDATE('核心假设'!$B$5,15+$F9),SUM('融资租赁与资金缺口'!$D$5:$D$16)*$AB9*$C9,0),IF(AJ$4=EDATE('核心假设'!$B$5,16+$F9),SUM('融资租赁与资金缺口'!$D$5:$D$16)*$AC9*$C9,0),IF(AJ$4=EDATE('核心假设'!$B$5,17+$F9),SUM('融资租赁与资金缺口'!$D$5:$D$16)*$AD9*$C9,0))-AJ33</x:f>
        <x:v>-2114529.3879103623</x:v>
      </x:c>
      <x:c r="AK34" s="28" t="n">
        <x:f>AJ34+AK30-AK31+SUM(IF(AK$4=EDATE('核心假设'!$B$5,0+$F9),SUM('融资租赁与资金缺口'!$D$5:$D$16)*$M9*$C9,0),IF(AK$4=EDATE('核心假设'!$B$5,1+$F9),SUM('融资租赁与资金缺口'!$D$5:$D$16)*$N9*$C9,0),IF(AK$4=EDATE('核心假设'!$B$5,2+$F9),SUM('融资租赁与资金缺口'!$D$5:$D$16)*$O9*$C9,0),IF(AK$4=EDATE('核心假设'!$B$5,3+$F9),SUM('融资租赁与资金缺口'!$D$5:$D$16)*$P9*$C9,0),IF(AK$4=EDATE('核心假设'!$B$5,4+$F9),SUM('融资租赁与资金缺口'!$D$5:$D$16)*$Q9*$C9,0),IF(AK$4=EDATE('核心假设'!$B$5,5+$F9),SUM('融资租赁与资金缺口'!$D$5:$D$16)*$R9*$C9,0),IF(AK$4=EDATE('核心假设'!$B$5,6+$F9),SUM('融资租赁与资金缺口'!$D$5:$D$16)*$S9*$C9,0),IF(AK$4=EDATE('核心假设'!$B$5,7+$F9),SUM('融资租赁与资金缺口'!$D$5:$D$16)*$T9*$C9,0),IF(AK$4=EDATE('核心假设'!$B$5,8+$F9),SUM('融资租赁与资金缺口'!$D$5:$D$16)*$U9*$C9,0),IF(AK$4=EDATE('核心假设'!$B$5,9+$F9),SUM('融资租赁与资金缺口'!$D$5:$D$16)*$V9*$C9,0),IF(AK$4=EDATE('核心假设'!$B$5,10+$F9),SUM('融资租赁与资金缺口'!$D$5:$D$16)*$W9*$C9,0),IF(AK$4=EDATE('核心假设'!$B$5,11+$F9),SUM('融资租赁与资金缺口'!$D$5:$D$16)*$X9*$C9,0),IF(AK$4=EDATE('核心假设'!$B$5,12+$F9),SUM('融资租赁与资金缺口'!$D$5:$D$16)*$Y9*$C9,0),IF(AK$4=EDATE('核心假设'!$B$5,13+$F9),SUM('融资租赁与资金缺口'!$D$5:$D$16)*$Z9*$C9,0),IF(AK$4=EDATE('核心假设'!$B$5,14+$F9),SUM('融资租赁与资金缺口'!$D$5:$D$16)*$AA9*$C9,0),IF(AK$4=EDATE('核心假设'!$B$5,15+$F9),SUM('融资租赁与资金缺口'!$D$5:$D$16)*$AB9*$C9,0),IF(AK$4=EDATE('核心假设'!$B$5,16+$F9),SUM('融资租赁与资金缺口'!$D$5:$D$16)*$AC9*$C9,0),IF(AK$4=EDATE('核心假设'!$B$5,17+$F9),SUM('融资租赁与资金缺口'!$D$5:$D$16)*$AD9*$C9,0))-AK33</x:f>
        <x:v>-2723386.142334275</x:v>
      </x:c>
      <x:c r="AL34" s="28" t="n">
        <x:f>AK34+AL30-AL31+SUM(IF(AL$4=EDATE('核心假设'!$B$5,0+$F9),SUM('融资租赁与资金缺口'!$D$5:$D$16)*$M9*$C9,0),IF(AL$4=EDATE('核心假设'!$B$5,1+$F9),SUM('融资租赁与资金缺口'!$D$5:$D$16)*$N9*$C9,0),IF(AL$4=EDATE('核心假设'!$B$5,2+$F9),SUM('融资租赁与资金缺口'!$D$5:$D$16)*$O9*$C9,0),IF(AL$4=EDATE('核心假设'!$B$5,3+$F9),SUM('融资租赁与资金缺口'!$D$5:$D$16)*$P9*$C9,0),IF(AL$4=EDATE('核心假设'!$B$5,4+$F9),SUM('融资租赁与资金缺口'!$D$5:$D$16)*$Q9*$C9,0),IF(AL$4=EDATE('核心假设'!$B$5,5+$F9),SUM('融资租赁与资金缺口'!$D$5:$D$16)*$R9*$C9,0),IF(AL$4=EDATE('核心假设'!$B$5,6+$F9),SUM('融资租赁与资金缺口'!$D$5:$D$16)*$S9*$C9,0),IF(AL$4=EDATE('核心假设'!$B$5,7+$F9),SUM('融资租赁与资金缺口'!$D$5:$D$16)*$T9*$C9,0),IF(AL$4=EDATE('核心假设'!$B$5,8+$F9),SUM('融资租赁与资金缺口'!$D$5:$D$16)*$U9*$C9,0),IF(AL$4=EDATE('核心假设'!$B$5,9+$F9),SUM('融资租赁与资金缺口'!$D$5:$D$16)*$V9*$C9,0),IF(AL$4=EDATE('核心假设'!$B$5,10+$F9),SUM('融资租赁与资金缺口'!$D$5:$D$16)*$W9*$C9,0),IF(AL$4=EDATE('核心假设'!$B$5,11+$F9),SUM('融资租赁与资金缺口'!$D$5:$D$16)*$X9*$C9,0),IF(AL$4=EDATE('核心假设'!$B$5,12+$F9),SUM('融资租赁与资金缺口'!$D$5:$D$16)*$Y9*$C9,0),IF(AL$4=EDATE('核心假设'!$B$5,13+$F9),SUM('融资租赁与资金缺口'!$D$5:$D$16)*$Z9*$C9,0),IF(AL$4=EDATE('核心假设'!$B$5,14+$F9),SUM('融资租赁与资金缺口'!$D$5:$D$16)*$AA9*$C9,0),IF(AL$4=EDATE('核心假设'!$B$5,15+$F9),SUM('融资租赁与资金缺口'!$D$5:$D$16)*$AB9*$C9,0),IF(AL$4=EDATE('核心假设'!$B$5,16+$F9),SUM('融资租赁与资金缺口'!$D$5:$D$16)*$AC9*$C9,0),IF(AL$4=EDATE('核心假设'!$B$5,17+$F9),SUM('融资租赁与资金缺口'!$D$5:$D$16)*$AD9*$C9,0))-AL33</x:f>
        <x:v>-2894749.87750566</x:v>
      </x:c>
      <x:c r="AM34" s="28" t="n">
        <x:f>AL34+AM30-AM31+SUM(IF(AM$4=EDATE('核心假设'!$B$5,0+$F9),SUM('融资租赁与资金缺口'!$D$5:$D$16)*$M9*$C9,0),IF(AM$4=EDATE('核心假设'!$B$5,1+$F9),SUM('融资租赁与资金缺口'!$D$5:$D$16)*$N9*$C9,0),IF(AM$4=EDATE('核心假设'!$B$5,2+$F9),SUM('融资租赁与资金缺口'!$D$5:$D$16)*$O9*$C9,0),IF(AM$4=EDATE('核心假设'!$B$5,3+$F9),SUM('融资租赁与资金缺口'!$D$5:$D$16)*$P9*$C9,0),IF(AM$4=EDATE('核心假设'!$B$5,4+$F9),SUM('融资租赁与资金缺口'!$D$5:$D$16)*$Q9*$C9,0),IF(AM$4=EDATE('核心假设'!$B$5,5+$F9),SUM('融资租赁与资金缺口'!$D$5:$D$16)*$R9*$C9,0),IF(AM$4=EDATE('核心假设'!$B$5,6+$F9),SUM('融资租赁与资金缺口'!$D$5:$D$16)*$S9*$C9,0),IF(AM$4=EDATE('核心假设'!$B$5,7+$F9),SUM('融资租赁与资金缺口'!$D$5:$D$16)*$T9*$C9,0),IF(AM$4=EDATE('核心假设'!$B$5,8+$F9),SUM('融资租赁与资金缺口'!$D$5:$D$16)*$U9*$C9,0),IF(AM$4=EDATE('核心假设'!$B$5,9+$F9),SUM('融资租赁与资金缺口'!$D$5:$D$16)*$V9*$C9,0),IF(AM$4=EDATE('核心假设'!$B$5,10+$F9),SUM('融资租赁与资金缺口'!$D$5:$D$16)*$W9*$C9,0),IF(AM$4=EDATE('核心假设'!$B$5,11+$F9),SUM('融资租赁与资金缺口'!$D$5:$D$16)*$X9*$C9,0),IF(AM$4=EDATE('核心假设'!$B$5,12+$F9),SUM('融资租赁与资金缺口'!$D$5:$D$16)*$Y9*$C9,0),IF(AM$4=EDATE('核心假设'!$B$5,13+$F9),SUM('融资租赁与资金缺口'!$D$5:$D$16)*$Z9*$C9,0),IF(AM$4=EDATE('核心假设'!$B$5,14+$F9),SUM('融资租赁与资金缺口'!$D$5:$D$16)*$AA9*$C9,0),IF(AM$4=EDATE('核心假设'!$B$5,15+$F9),SUM('融资租赁与资金缺口'!$D$5:$D$16)*$AB9*$C9,0),IF(AM$4=EDATE('核心假设'!$B$5,16+$F9),SUM('融资租赁与资金缺口'!$D$5:$D$16)*$AC9*$C9,0),IF(AM$4=EDATE('核心假设'!$B$5,17+$F9),SUM('融资租赁与资金缺口'!$D$5:$D$16)*$AD9*$C9,0))-AM33</x:f>
        <x:v>-1812155.5022737086</x:v>
      </x:c>
      <x:c r="AN34" s="28" t="n">
        <x:f>AM34+AN30-AN31+SUM(IF(AN$4=EDATE('核心假设'!$B$5,0+$F9),SUM('融资租赁与资金缺口'!$D$5:$D$16)*$M9*$C9,0),IF(AN$4=EDATE('核心假设'!$B$5,1+$F9),SUM('融资租赁与资金缺口'!$D$5:$D$16)*$N9*$C9,0),IF(AN$4=EDATE('核心假设'!$B$5,2+$F9),SUM('融资租赁与资金缺口'!$D$5:$D$16)*$O9*$C9,0),IF(AN$4=EDATE('核心假设'!$B$5,3+$F9),SUM('融资租赁与资金缺口'!$D$5:$D$16)*$P9*$C9,0),IF(AN$4=EDATE('核心假设'!$B$5,4+$F9),SUM('融资租赁与资金缺口'!$D$5:$D$16)*$Q9*$C9,0),IF(AN$4=EDATE('核心假设'!$B$5,5+$F9),SUM('融资租赁与资金缺口'!$D$5:$D$16)*$R9*$C9,0),IF(AN$4=EDATE('核心假设'!$B$5,6+$F9),SUM('融资租赁与资金缺口'!$D$5:$D$16)*$S9*$C9,0),IF(AN$4=EDATE('核心假设'!$B$5,7+$F9),SUM('融资租赁与资金缺口'!$D$5:$D$16)*$T9*$C9,0),IF(AN$4=EDATE('核心假设'!$B$5,8+$F9),SUM('融资租赁与资金缺口'!$D$5:$D$16)*$U9*$C9,0),IF(AN$4=EDATE('核心假设'!$B$5,9+$F9),SUM('融资租赁与资金缺口'!$D$5:$D$16)*$V9*$C9,0),IF(AN$4=EDATE('核心假设'!$B$5,10+$F9),SUM('融资租赁与资金缺口'!$D$5:$D$16)*$W9*$C9,0),IF(AN$4=EDATE('核心假设'!$B$5,11+$F9),SUM('融资租赁与资金缺口'!$D$5:$D$16)*$X9*$C9,0),IF(AN$4=EDATE('核心假设'!$B$5,12+$F9),SUM('融资租赁与资金缺口'!$D$5:$D$16)*$Y9*$C9,0),IF(AN$4=EDATE('核心假设'!$B$5,13+$F9),SUM('融资租赁与资金缺口'!$D$5:$D$16)*$Z9*$C9,0),IF(AN$4=EDATE('核心假设'!$B$5,14+$F9),SUM('融资租赁与资金缺口'!$D$5:$D$16)*$AA9*$C9,0),IF(AN$4=EDATE('核心假设'!$B$5,15+$F9),SUM('融资租赁与资金缺口'!$D$5:$D$16)*$AB9*$C9,0),IF(AN$4=EDATE('核心假设'!$B$5,16+$F9),SUM('融资租赁与资金缺口'!$D$5:$D$16)*$AC9*$C9,0),IF(AN$4=EDATE('核心假设'!$B$5,17+$F9),SUM('融资租赁与资金缺口'!$D$5:$D$16)*$AD9*$C9,0))-AN33</x:f>
        <x:v>-119762.451298289</x:v>
      </x:c>
      <x:c r="AO34" s="28" t="n">
        <x:f>AN34+AO30-AO31+SUM(IF(AO$4=EDATE('核心假设'!$B$5,0+$F9),SUM('融资租赁与资金缺口'!$D$5:$D$16)*$M9*$C9,0),IF(AO$4=EDATE('核心假设'!$B$5,1+$F9),SUM('融资租赁与资金缺口'!$D$5:$D$16)*$N9*$C9,0),IF(AO$4=EDATE('核心假设'!$B$5,2+$F9),SUM('融资租赁与资金缺口'!$D$5:$D$16)*$O9*$C9,0),IF(AO$4=EDATE('核心假设'!$B$5,3+$F9),SUM('融资租赁与资金缺口'!$D$5:$D$16)*$P9*$C9,0),IF(AO$4=EDATE('核心假设'!$B$5,4+$F9),SUM('融资租赁与资金缺口'!$D$5:$D$16)*$Q9*$C9,0),IF(AO$4=EDATE('核心假设'!$B$5,5+$F9),SUM('融资租赁与资金缺口'!$D$5:$D$16)*$R9*$C9,0),IF(AO$4=EDATE('核心假设'!$B$5,6+$F9),SUM('融资租赁与资金缺口'!$D$5:$D$16)*$S9*$C9,0),IF(AO$4=EDATE('核心假设'!$B$5,7+$F9),SUM('融资租赁与资金缺口'!$D$5:$D$16)*$T9*$C9,0),IF(AO$4=EDATE('核心假设'!$B$5,8+$F9),SUM('融资租赁与资金缺口'!$D$5:$D$16)*$U9*$C9,0),IF(AO$4=EDATE('核心假设'!$B$5,9+$F9),SUM('融资租赁与资金缺口'!$D$5:$D$16)*$V9*$C9,0),IF(AO$4=EDATE('核心假设'!$B$5,10+$F9),SUM('融资租赁与资金缺口'!$D$5:$D$16)*$W9*$C9,0),IF(AO$4=EDATE('核心假设'!$B$5,11+$F9),SUM('融资租赁与资金缺口'!$D$5:$D$16)*$X9*$C9,0),IF(AO$4=EDATE('核心假设'!$B$5,12+$F9),SUM('融资租赁与资金缺口'!$D$5:$D$16)*$Y9*$C9,0),IF(AO$4=EDATE('核心假设'!$B$5,13+$F9),SUM('融资租赁与资金缺口'!$D$5:$D$16)*$Z9*$C9,0),IF(AO$4=EDATE('核心假设'!$B$5,14+$F9),SUM('融资租赁与资金缺口'!$D$5:$D$16)*$AA9*$C9,0),IF(AO$4=EDATE('核心假设'!$B$5,15+$F9),SUM('融资租赁与资金缺口'!$D$5:$D$16)*$AB9*$C9,0),IF(AO$4=EDATE('核心假设'!$B$5,16+$F9),SUM('融资租赁与资金缺口'!$D$5:$D$16)*$AC9*$C9,0),IF(AO$4=EDATE('核心假设'!$B$5,17+$F9),SUM('融资租赁与资金缺口'!$D$5:$D$16)*$AD9*$C9,0))-AO33</x:f>
        <x:v>3972258.27076827</x:v>
      </x:c>
      <x:c r="AP34" s="28" t="n">
        <x:f>AO34+AP30-AP31+SUM(IF(AP$4=EDATE('核心假设'!$B$5,0+$F9),SUM('融资租赁与资金缺口'!$D$5:$D$16)*$M9*$C9,0),IF(AP$4=EDATE('核心假设'!$B$5,1+$F9),SUM('融资租赁与资金缺口'!$D$5:$D$16)*$N9*$C9,0),IF(AP$4=EDATE('核心假设'!$B$5,2+$F9),SUM('融资租赁与资金缺口'!$D$5:$D$16)*$O9*$C9,0),IF(AP$4=EDATE('核心假设'!$B$5,3+$F9),SUM('融资租赁与资金缺口'!$D$5:$D$16)*$P9*$C9,0),IF(AP$4=EDATE('核心假设'!$B$5,4+$F9),SUM('融资租赁与资金缺口'!$D$5:$D$16)*$Q9*$C9,0),IF(AP$4=EDATE('核心假设'!$B$5,5+$F9),SUM('融资租赁与资金缺口'!$D$5:$D$16)*$R9*$C9,0),IF(AP$4=EDATE('核心假设'!$B$5,6+$F9),SUM('融资租赁与资金缺口'!$D$5:$D$16)*$S9*$C9,0),IF(AP$4=EDATE('核心假设'!$B$5,7+$F9),SUM('融资租赁与资金缺口'!$D$5:$D$16)*$T9*$C9,0),IF(AP$4=EDATE('核心假设'!$B$5,8+$F9),SUM('融资租赁与资金缺口'!$D$5:$D$16)*$U9*$C9,0),IF(AP$4=EDATE('核心假设'!$B$5,9+$F9),SUM('融资租赁与资金缺口'!$D$5:$D$16)*$V9*$C9,0),IF(AP$4=EDATE('核心假设'!$B$5,10+$F9),SUM('融资租赁与资金缺口'!$D$5:$D$16)*$W9*$C9,0),IF(AP$4=EDATE('核心假设'!$B$5,11+$F9),SUM('融资租赁与资金缺口'!$D$5:$D$16)*$X9*$C9,0),IF(AP$4=EDATE('核心假设'!$B$5,12+$F9),SUM('融资租赁与资金缺口'!$D$5:$D$16)*$Y9*$C9,0),IF(AP$4=EDATE('核心假设'!$B$5,13+$F9),SUM('融资租赁与资金缺口'!$D$5:$D$16)*$Z9*$C9,0),IF(AP$4=EDATE('核心假设'!$B$5,14+$F9),SUM('融资租赁与资金缺口'!$D$5:$D$16)*$AA9*$C9,0),IF(AP$4=EDATE('核心假设'!$B$5,15+$F9),SUM('融资租赁与资金缺口'!$D$5:$D$16)*$AB9*$C9,0),IF(AP$4=EDATE('核心假设'!$B$5,16+$F9),SUM('融资租赁与资金缺口'!$D$5:$D$16)*$AC9*$C9,0),IF(AP$4=EDATE('核心假设'!$B$5,17+$F9),SUM('融资租赁与资金缺口'!$D$5:$D$16)*$AD9*$C9,0))-AP33</x:f>
        <x:v>10870824.555056445</x:v>
      </x:c>
      <x:c r="AQ34" s="28" t="n">
        <x:f>AP34+AQ30-AQ31+SUM(IF(AQ$4=EDATE('核心假设'!$B$5,0+$F9),SUM('融资租赁与资金缺口'!$D$5:$D$16)*$M9*$C9,0),IF(AQ$4=EDATE('核心假设'!$B$5,1+$F9),SUM('融资租赁与资金缺口'!$D$5:$D$16)*$N9*$C9,0),IF(AQ$4=EDATE('核心假设'!$B$5,2+$F9),SUM('融资租赁与资金缺口'!$D$5:$D$16)*$O9*$C9,0),IF(AQ$4=EDATE('核心假设'!$B$5,3+$F9),SUM('融资租赁与资金缺口'!$D$5:$D$16)*$P9*$C9,0),IF(AQ$4=EDATE('核心假设'!$B$5,4+$F9),SUM('融资租赁与资金缺口'!$D$5:$D$16)*$Q9*$C9,0),IF(AQ$4=EDATE('核心假设'!$B$5,5+$F9),SUM('融资租赁与资金缺口'!$D$5:$D$16)*$R9*$C9,0),IF(AQ$4=EDATE('核心假设'!$B$5,6+$F9),SUM('融资租赁与资金缺口'!$D$5:$D$16)*$S9*$C9,0),IF(AQ$4=EDATE('核心假设'!$B$5,7+$F9),SUM('融资租赁与资金缺口'!$D$5:$D$16)*$T9*$C9,0),IF(AQ$4=EDATE('核心假设'!$B$5,8+$F9),SUM('融资租赁与资金缺口'!$D$5:$D$16)*$U9*$C9,0),IF(AQ$4=EDATE('核心假设'!$B$5,9+$F9),SUM('融资租赁与资金缺口'!$D$5:$D$16)*$V9*$C9,0),IF(AQ$4=EDATE('核心假设'!$B$5,10+$F9),SUM('融资租赁与资金缺口'!$D$5:$D$16)*$W9*$C9,0),IF(AQ$4=EDATE('核心假设'!$B$5,11+$F9),SUM('融资租赁与资金缺口'!$D$5:$D$16)*$X9*$C9,0),IF(AQ$4=EDATE('核心假设'!$B$5,12+$F9),SUM('融资租赁与资金缺口'!$D$5:$D$16)*$Y9*$C9,0),IF(AQ$4=EDATE('核心假设'!$B$5,13+$F9),SUM('融资租赁与资金缺口'!$D$5:$D$16)*$Z9*$C9,0),IF(AQ$4=EDATE('核心假设'!$B$5,14+$F9),SUM('融资租赁与资金缺口'!$D$5:$D$16)*$AA9*$C9,0),IF(AQ$4=EDATE('核心假设'!$B$5,15+$F9),SUM('融资租赁与资金缺口'!$D$5:$D$16)*$AB9*$C9,0),IF(AQ$4=EDATE('核心假设'!$B$5,16+$F9),SUM('融资租赁与资金缺口'!$D$5:$D$16)*$AC9*$C9,0),IF(AQ$4=EDATE('核心假设'!$B$5,17+$F9),SUM('融资租赁与资金缺口'!$D$5:$D$16)*$AD9*$C9,0))-AQ33</x:f>
        <x:v>20194348.447645918</x:v>
      </x:c>
      <x:c r="AR34" s="28" t="n">
        <x:f>AQ34+AR30-AR31+SUM(IF(AR$4=EDATE('核心假设'!$B$5,0+$F9),SUM('融资租赁与资金缺口'!$D$5:$D$16)*$M9*$C9,0),IF(AR$4=EDATE('核心假设'!$B$5,1+$F9),SUM('融资租赁与资金缺口'!$D$5:$D$16)*$N9*$C9,0),IF(AR$4=EDATE('核心假设'!$B$5,2+$F9),SUM('融资租赁与资金缺口'!$D$5:$D$16)*$O9*$C9,0),IF(AR$4=EDATE('核心假设'!$B$5,3+$F9),SUM('融资租赁与资金缺口'!$D$5:$D$16)*$P9*$C9,0),IF(AR$4=EDATE('核心假设'!$B$5,4+$F9),SUM('融资租赁与资金缺口'!$D$5:$D$16)*$Q9*$C9,0),IF(AR$4=EDATE('核心假设'!$B$5,5+$F9),SUM('融资租赁与资金缺口'!$D$5:$D$16)*$R9*$C9,0),IF(AR$4=EDATE('核心假设'!$B$5,6+$F9),SUM('融资租赁与资金缺口'!$D$5:$D$16)*$S9*$C9,0),IF(AR$4=EDATE('核心假设'!$B$5,7+$F9),SUM('融资租赁与资金缺口'!$D$5:$D$16)*$T9*$C9,0),IF(AR$4=EDATE('核心假设'!$B$5,8+$F9),SUM('融资租赁与资金缺口'!$D$5:$D$16)*$U9*$C9,0),IF(AR$4=EDATE('核心假设'!$B$5,9+$F9),SUM('融资租赁与资金缺口'!$D$5:$D$16)*$V9*$C9,0),IF(AR$4=EDATE('核心假设'!$B$5,10+$F9),SUM('融资租赁与资金缺口'!$D$5:$D$16)*$W9*$C9,0),IF(AR$4=EDATE('核心假设'!$B$5,11+$F9),SUM('融资租赁与资金缺口'!$D$5:$D$16)*$X9*$C9,0),IF(AR$4=EDATE('核心假设'!$B$5,12+$F9),SUM('融资租赁与资金缺口'!$D$5:$D$16)*$Y9*$C9,0),IF(AR$4=EDATE('核心假设'!$B$5,13+$F9),SUM('融资租赁与资金缺口'!$D$5:$D$16)*$Z9*$C9,0),IF(AR$4=EDATE('核心假设'!$B$5,14+$F9),SUM('融资租赁与资金缺口'!$D$5:$D$16)*$AA9*$C9,0),IF(AR$4=EDATE('核心假设'!$B$5,15+$F9),SUM('融资租赁与资金缺口'!$D$5:$D$16)*$AB9*$C9,0),IF(AR$4=EDATE('核心假设'!$B$5,16+$F9),SUM('融资租赁与资金缺口'!$D$5:$D$16)*$AC9*$C9,0),IF(AR$4=EDATE('核心假设'!$B$5,17+$F9),SUM('融资租赁与资金缺口'!$D$5:$D$16)*$AD9*$C9,0))-AR33</x:f>
        <x:v>29336699.306429796</x:v>
      </x:c>
      <x:c r="AS34" s="28" t="n">
        <x:f>AR34+AS30-AS31+SUM(IF(AS$4=EDATE('核心假设'!$B$5,0+$F9),SUM('融资租赁与资金缺口'!$D$5:$D$16)*$M9*$C9,0),IF(AS$4=EDATE('核心假设'!$B$5,1+$F9),SUM('融资租赁与资金缺口'!$D$5:$D$16)*$N9*$C9,0),IF(AS$4=EDATE('核心假设'!$B$5,2+$F9),SUM('融资租赁与资金缺口'!$D$5:$D$16)*$O9*$C9,0),IF(AS$4=EDATE('核心假设'!$B$5,3+$F9),SUM('融资租赁与资金缺口'!$D$5:$D$16)*$P9*$C9,0),IF(AS$4=EDATE('核心假设'!$B$5,4+$F9),SUM('融资租赁与资金缺口'!$D$5:$D$16)*$Q9*$C9,0),IF(AS$4=EDATE('核心假设'!$B$5,5+$F9),SUM('融资租赁与资金缺口'!$D$5:$D$16)*$R9*$C9,0),IF(AS$4=EDATE('核心假设'!$B$5,6+$F9),SUM('融资租赁与资金缺口'!$D$5:$D$16)*$S9*$C9,0),IF(AS$4=EDATE('核心假设'!$B$5,7+$F9),SUM('融资租赁与资金缺口'!$D$5:$D$16)*$T9*$C9,0),IF(AS$4=EDATE('核心假设'!$B$5,8+$F9),SUM('融资租赁与资金缺口'!$D$5:$D$16)*$U9*$C9,0),IF(AS$4=EDATE('核心假设'!$B$5,9+$F9),SUM('融资租赁与资金缺口'!$D$5:$D$16)*$V9*$C9,0),IF(AS$4=EDATE('核心假设'!$B$5,10+$F9),SUM('融资租赁与资金缺口'!$D$5:$D$16)*$W9*$C9,0),IF(AS$4=EDATE('核心假设'!$B$5,11+$F9),SUM('融资租赁与资金缺口'!$D$5:$D$16)*$X9*$C9,0),IF(AS$4=EDATE('核心假设'!$B$5,12+$F9),SUM('融资租赁与资金缺口'!$D$5:$D$16)*$Y9*$C9,0),IF(AS$4=EDATE('核心假设'!$B$5,13+$F9),SUM('融资租赁与资金缺口'!$D$5:$D$16)*$Z9*$C9,0),IF(AS$4=EDATE('核心假设'!$B$5,14+$F9),SUM('融资租赁与资金缺口'!$D$5:$D$16)*$AA9*$C9,0),IF(AS$4=EDATE('核心假设'!$B$5,15+$F9),SUM('融资租赁与资金缺口'!$D$5:$D$16)*$AB9*$C9,0),IF(AS$4=EDATE('核心假设'!$B$5,16+$F9),SUM('融资租赁与资金缺口'!$D$5:$D$16)*$AC9*$C9,0),IF(AS$4=EDATE('核心假设'!$B$5,17+$F9),SUM('融资租赁与资金缺口'!$D$5:$D$16)*$AD9*$C9,0))-AS33</x:f>
        <x:v>38973635.252882905</x:v>
      </x:c>
      <x:c r="AT34" s="28" t="n">
        <x:f>AS34+AT30-AT31+SUM(IF(AT$4=EDATE('核心假设'!$B$5,0+$F9),SUM('融资租赁与资金缺口'!$D$5:$D$16)*$M9*$C9,0),IF(AT$4=EDATE('核心假设'!$B$5,1+$F9),SUM('融资租赁与资金缺口'!$D$5:$D$16)*$N9*$C9,0),IF(AT$4=EDATE('核心假设'!$B$5,2+$F9),SUM('融资租赁与资金缺口'!$D$5:$D$16)*$O9*$C9,0),IF(AT$4=EDATE('核心假设'!$B$5,3+$F9),SUM('融资租赁与资金缺口'!$D$5:$D$16)*$P9*$C9,0),IF(AT$4=EDATE('核心假设'!$B$5,4+$F9),SUM('融资租赁与资金缺口'!$D$5:$D$16)*$Q9*$C9,0),IF(AT$4=EDATE('核心假设'!$B$5,5+$F9),SUM('融资租赁与资金缺口'!$D$5:$D$16)*$R9*$C9,0),IF(AT$4=EDATE('核心假设'!$B$5,6+$F9),SUM('融资租赁与资金缺口'!$D$5:$D$16)*$S9*$C9,0),IF(AT$4=EDATE('核心假设'!$B$5,7+$F9),SUM('融资租赁与资金缺口'!$D$5:$D$16)*$T9*$C9,0),IF(AT$4=EDATE('核心假设'!$B$5,8+$F9),SUM('融资租赁与资金缺口'!$D$5:$D$16)*$U9*$C9,0),IF(AT$4=EDATE('核心假设'!$B$5,9+$F9),SUM('融资租赁与资金缺口'!$D$5:$D$16)*$V9*$C9,0),IF(AT$4=EDATE('核心假设'!$B$5,10+$F9),SUM('融资租赁与资金缺口'!$D$5:$D$16)*$W9*$C9,0),IF(AT$4=EDATE('核心假设'!$B$5,11+$F9),SUM('融资租赁与资金缺口'!$D$5:$D$16)*$X9*$C9,0),IF(AT$4=EDATE('核心假设'!$B$5,12+$F9),SUM('融资租赁与资金缺口'!$D$5:$D$16)*$Y9*$C9,0),IF(AT$4=EDATE('核心假设'!$B$5,13+$F9),SUM('融资租赁与资金缺口'!$D$5:$D$16)*$Z9*$C9,0),IF(AT$4=EDATE('核心假设'!$B$5,14+$F9),SUM('融资租赁与资金缺口'!$D$5:$D$16)*$AA9*$C9,0),IF(AT$4=EDATE('核心假设'!$B$5,15+$F9),SUM('融资租赁与资金缺口'!$D$5:$D$16)*$AB9*$C9,0),IF(AT$4=EDATE('核心假设'!$B$5,16+$F9),SUM('融资租赁与资金缺口'!$D$5:$D$16)*$AC9*$C9,0),IF(AT$4=EDATE('核心假设'!$B$5,17+$F9),SUM('融资租赁与资金缺口'!$D$5:$D$16)*$AD9*$C9,0))-AT33</x:f>
        <x:v>51331540.89339033</x:v>
      </x:c>
      <x:c r="AU34" s="28" t="n">
        <x:f>AT34+AU30-AU31+SUM(IF(AU$4=EDATE('核心假设'!$B$5,0+$F9),SUM('融资租赁与资金缺口'!$D$5:$D$16)*$M9*$C9,0),IF(AU$4=EDATE('核心假设'!$B$5,1+$F9),SUM('融资租赁与资金缺口'!$D$5:$D$16)*$N9*$C9,0),IF(AU$4=EDATE('核心假设'!$B$5,2+$F9),SUM('融资租赁与资金缺口'!$D$5:$D$16)*$O9*$C9,0),IF(AU$4=EDATE('核心假设'!$B$5,3+$F9),SUM('融资租赁与资金缺口'!$D$5:$D$16)*$P9*$C9,0),IF(AU$4=EDATE('核心假设'!$B$5,4+$F9),SUM('融资租赁与资金缺口'!$D$5:$D$16)*$Q9*$C9,0),IF(AU$4=EDATE('核心假设'!$B$5,5+$F9),SUM('融资租赁与资金缺口'!$D$5:$D$16)*$R9*$C9,0),IF(AU$4=EDATE('核心假设'!$B$5,6+$F9),SUM('融资租赁与资金缺口'!$D$5:$D$16)*$S9*$C9,0),IF(AU$4=EDATE('核心假设'!$B$5,7+$F9),SUM('融资租赁与资金缺口'!$D$5:$D$16)*$T9*$C9,0),IF(AU$4=EDATE('核心假设'!$B$5,8+$F9),SUM('融资租赁与资金缺口'!$D$5:$D$16)*$U9*$C9,0),IF(AU$4=EDATE('核心假设'!$B$5,9+$F9),SUM('融资租赁与资金缺口'!$D$5:$D$16)*$V9*$C9,0),IF(AU$4=EDATE('核心假设'!$B$5,10+$F9),SUM('融资租赁与资金缺口'!$D$5:$D$16)*$W9*$C9,0),IF(AU$4=EDATE('核心假设'!$B$5,11+$F9),SUM('融资租赁与资金缺口'!$D$5:$D$16)*$X9*$C9,0),IF(AU$4=EDATE('核心假设'!$B$5,12+$F9),SUM('融资租赁与资金缺口'!$D$5:$D$16)*$Y9*$C9,0),IF(AU$4=EDATE('核心假设'!$B$5,13+$F9),SUM('融资租赁与资金缺口'!$D$5:$D$16)*$Z9*$C9,0),IF(AU$4=EDATE('核心假设'!$B$5,14+$F9),SUM('融资租赁与资金缺口'!$D$5:$D$16)*$AA9*$C9,0),IF(AU$4=EDATE('核心假设'!$B$5,15+$F9),SUM('融资租赁与资金缺口'!$D$5:$D$16)*$AB9*$C9,0),IF(AU$4=EDATE('核心假设'!$B$5,16+$F9),SUM('融资租赁与资金缺口'!$D$5:$D$16)*$AC9*$C9,0),IF(AU$4=EDATE('核心假设'!$B$5,17+$F9),SUM('融资租赁与资金缺口'!$D$5:$D$16)*$AD9*$C9,0))-AU33</x:f>
        <x:v>68281238.74204718</x:v>
      </x:c>
      <x:c r="AV34" s="28" t="n">
        <x:f>AU34+AV30-AV31+SUM(IF(AV$4=EDATE('核心假设'!$B$5,0+$F9),SUM('融资租赁与资金缺口'!$D$5:$D$16)*$M9*$C9,0),IF(AV$4=EDATE('核心假设'!$B$5,1+$F9),SUM('融资租赁与资金缺口'!$D$5:$D$16)*$N9*$C9,0),IF(AV$4=EDATE('核心假设'!$B$5,2+$F9),SUM('融资租赁与资金缺口'!$D$5:$D$16)*$O9*$C9,0),IF(AV$4=EDATE('核心假设'!$B$5,3+$F9),SUM('融资租赁与资金缺口'!$D$5:$D$16)*$P9*$C9,0),IF(AV$4=EDATE('核心假设'!$B$5,4+$F9),SUM('融资租赁与资金缺口'!$D$5:$D$16)*$Q9*$C9,0),IF(AV$4=EDATE('核心假设'!$B$5,5+$F9),SUM('融资租赁与资金缺口'!$D$5:$D$16)*$R9*$C9,0),IF(AV$4=EDATE('核心假设'!$B$5,6+$F9),SUM('融资租赁与资金缺口'!$D$5:$D$16)*$S9*$C9,0),IF(AV$4=EDATE('核心假设'!$B$5,7+$F9),SUM('融资租赁与资金缺口'!$D$5:$D$16)*$T9*$C9,0),IF(AV$4=EDATE('核心假设'!$B$5,8+$F9),SUM('融资租赁与资金缺口'!$D$5:$D$16)*$U9*$C9,0),IF(AV$4=EDATE('核心假设'!$B$5,9+$F9),SUM('融资租赁与资金缺口'!$D$5:$D$16)*$V9*$C9,0),IF(AV$4=EDATE('核心假设'!$B$5,10+$F9),SUM('融资租赁与资金缺口'!$D$5:$D$16)*$W9*$C9,0),IF(AV$4=EDATE('核心假设'!$B$5,11+$F9),SUM('融资租赁与资金缺口'!$D$5:$D$16)*$X9*$C9,0),IF(AV$4=EDATE('核心假设'!$B$5,12+$F9),SUM('融资租赁与资金缺口'!$D$5:$D$16)*$Y9*$C9,0),IF(AV$4=EDATE('核心假设'!$B$5,13+$F9),SUM('融资租赁与资金缺口'!$D$5:$D$16)*$Z9*$C9,0),IF(AV$4=EDATE('核心假设'!$B$5,14+$F9),SUM('融资租赁与资金缺口'!$D$5:$D$16)*$AA9*$C9,0),IF(AV$4=EDATE('核心假设'!$B$5,15+$F9),SUM('融资租赁与资金缺口'!$D$5:$D$16)*$AB9*$C9,0),IF(AV$4=EDATE('核心假设'!$B$5,16+$F9),SUM('融资租赁与资金缺口'!$D$5:$D$16)*$AC9*$C9,0),IF(AV$4=EDATE('核心假设'!$B$5,17+$F9),SUM('融资租赁与资金缺口'!$D$5:$D$16)*$AD9*$C9,0))-AV33</x:f>
        <x:v>83810632.1880971</x:v>
      </x:c>
      <x:c r="AW34" s="28" t="n">
        <x:f>AV34+AW30-AW31+SUM(IF(AW$4=EDATE('核心假设'!$B$5,0+$F9),SUM('融资租赁与资金缺口'!$D$5:$D$16)*$M9*$C9,0),IF(AW$4=EDATE('核心假设'!$B$5,1+$F9),SUM('融资租赁与资金缺口'!$D$5:$D$16)*$N9*$C9,0),IF(AW$4=EDATE('核心假设'!$B$5,2+$F9),SUM('融资租赁与资金缺口'!$D$5:$D$16)*$O9*$C9,0),IF(AW$4=EDATE('核心假设'!$B$5,3+$F9),SUM('融资租赁与资金缺口'!$D$5:$D$16)*$P9*$C9,0),IF(AW$4=EDATE('核心假设'!$B$5,4+$F9),SUM('融资租赁与资金缺口'!$D$5:$D$16)*$Q9*$C9,0),IF(AW$4=EDATE('核心假设'!$B$5,5+$F9),SUM('融资租赁与资金缺口'!$D$5:$D$16)*$R9*$C9,0),IF(AW$4=EDATE('核心假设'!$B$5,6+$F9),SUM('融资租赁与资金缺口'!$D$5:$D$16)*$S9*$C9,0),IF(AW$4=EDATE('核心假设'!$B$5,7+$F9),SUM('融资租赁与资金缺口'!$D$5:$D$16)*$T9*$C9,0),IF(AW$4=EDATE('核心假设'!$B$5,8+$F9),SUM('融资租赁与资金缺口'!$D$5:$D$16)*$U9*$C9,0),IF(AW$4=EDATE('核心假设'!$B$5,9+$F9),SUM('融资租赁与资金缺口'!$D$5:$D$16)*$V9*$C9,0),IF(AW$4=EDATE('核心假设'!$B$5,10+$F9),SUM('融资租赁与资金缺口'!$D$5:$D$16)*$W9*$C9,0),IF(AW$4=EDATE('核心假设'!$B$5,11+$F9),SUM('融资租赁与资金缺口'!$D$5:$D$16)*$X9*$C9,0),IF(AW$4=EDATE('核心假设'!$B$5,12+$F9),SUM('融资租赁与资金缺口'!$D$5:$D$16)*$Y9*$C9,0),IF(AW$4=EDATE('核心假设'!$B$5,13+$F9),SUM('融资租赁与资金缺口'!$D$5:$D$16)*$Z9*$C9,0),IF(AW$4=EDATE('核心假设'!$B$5,14+$F9),SUM('融资租赁与资金缺口'!$D$5:$D$16)*$AA9*$C9,0),IF(AW$4=EDATE('核心假设'!$B$5,15+$F9),SUM('融资租赁与资金缺口'!$D$5:$D$16)*$AB9*$C9,0),IF(AW$4=EDATE('核心假设'!$B$5,16+$F9),SUM('融资租赁与资金缺口'!$D$5:$D$16)*$AC9*$C9,0),IF(AW$4=EDATE('核心假设'!$B$5,17+$F9),SUM('融资租赁与资金缺口'!$D$5:$D$16)*$AD9*$C9,0))-AW33</x:f>
        <x:v>95543010.6344196</x:v>
      </x:c>
      <x:c r="AX34" s="28" t="n">
        <x:f>AW34+AX30-AX31+SUM(IF(AX$4=EDATE('核心假设'!$B$5,0+$F9),SUM('融资租赁与资金缺口'!$D$5:$D$16)*$M9*$C9,0),IF(AX$4=EDATE('核心假设'!$B$5,1+$F9),SUM('融资租赁与资金缺口'!$D$5:$D$16)*$N9*$C9,0),IF(AX$4=EDATE('核心假设'!$B$5,2+$F9),SUM('融资租赁与资金缺口'!$D$5:$D$16)*$O9*$C9,0),IF(AX$4=EDATE('核心假设'!$B$5,3+$F9),SUM('融资租赁与资金缺口'!$D$5:$D$16)*$P9*$C9,0),IF(AX$4=EDATE('核心假设'!$B$5,4+$F9),SUM('融资租赁与资金缺口'!$D$5:$D$16)*$Q9*$C9,0),IF(AX$4=EDATE('核心假设'!$B$5,5+$F9),SUM('融资租赁与资金缺口'!$D$5:$D$16)*$R9*$C9,0),IF(AX$4=EDATE('核心假设'!$B$5,6+$F9),SUM('融资租赁与资金缺口'!$D$5:$D$16)*$S9*$C9,0),IF(AX$4=EDATE('核心假设'!$B$5,7+$F9),SUM('融资租赁与资金缺口'!$D$5:$D$16)*$T9*$C9,0),IF(AX$4=EDATE('核心假设'!$B$5,8+$F9),SUM('融资租赁与资金缺口'!$D$5:$D$16)*$U9*$C9,0),IF(AX$4=EDATE('核心假设'!$B$5,9+$F9),SUM('融资租赁与资金缺口'!$D$5:$D$16)*$V9*$C9,0),IF(AX$4=EDATE('核心假设'!$B$5,10+$F9),SUM('融资租赁与资金缺口'!$D$5:$D$16)*$W9*$C9,0),IF(AX$4=EDATE('核心假设'!$B$5,11+$F9),SUM('融资租赁与资金缺口'!$D$5:$D$16)*$X9*$C9,0),IF(AX$4=EDATE('核心假设'!$B$5,12+$F9),SUM('融资租赁与资金缺口'!$D$5:$D$16)*$Y9*$C9,0),IF(AX$4=EDATE('核心假设'!$B$5,13+$F9),SUM('融资租赁与资金缺口'!$D$5:$D$16)*$Z9*$C9,0),IF(AX$4=EDATE('核心假设'!$B$5,14+$F9),SUM('融资租赁与资金缺口'!$D$5:$D$16)*$AA9*$C9,0),IF(AX$4=EDATE('核心假设'!$B$5,15+$F9),SUM('融资租赁与资金缺口'!$D$5:$D$16)*$AB9*$C9,0),IF(AX$4=EDATE('核心假设'!$B$5,16+$F9),SUM('融资租赁与资金缺口'!$D$5:$D$16)*$AC9*$C9,0),IF(AX$4=EDATE('核心假设'!$B$5,17+$F9),SUM('融资租赁与资金缺口'!$D$5:$D$16)*$AD9*$C9,0))-AX33</x:f>
        <x:v>107769885.46690753</x:v>
      </x:c>
      <x:c r="AY34" s="28" t="n">
        <x:f>AX34+AY30-AY31+SUM(IF(AY$4=EDATE('核心假设'!$B$5,0+$F9),SUM('融资租赁与资金缺口'!$D$5:$D$16)*$M9*$C9,0),IF(AY$4=EDATE('核心假设'!$B$5,1+$F9),SUM('融资租赁与资金缺口'!$D$5:$D$16)*$N9*$C9,0),IF(AY$4=EDATE('核心假设'!$B$5,2+$F9),SUM('融资租赁与资金缺口'!$D$5:$D$16)*$O9*$C9,0),IF(AY$4=EDATE('核心假设'!$B$5,3+$F9),SUM('融资租赁与资金缺口'!$D$5:$D$16)*$P9*$C9,0),IF(AY$4=EDATE('核心假设'!$B$5,4+$F9),SUM('融资租赁与资金缺口'!$D$5:$D$16)*$Q9*$C9,0),IF(AY$4=EDATE('核心假设'!$B$5,5+$F9),SUM('融资租赁与资金缺口'!$D$5:$D$16)*$R9*$C9,0),IF(AY$4=EDATE('核心假设'!$B$5,6+$F9),SUM('融资租赁与资金缺口'!$D$5:$D$16)*$S9*$C9,0),IF(AY$4=EDATE('核心假设'!$B$5,7+$F9),SUM('融资租赁与资金缺口'!$D$5:$D$16)*$T9*$C9,0),IF(AY$4=EDATE('核心假设'!$B$5,8+$F9),SUM('融资租赁与资金缺口'!$D$5:$D$16)*$U9*$C9,0),IF(AY$4=EDATE('核心假设'!$B$5,9+$F9),SUM('融资租赁与资金缺口'!$D$5:$D$16)*$V9*$C9,0),IF(AY$4=EDATE('核心假设'!$B$5,10+$F9),SUM('融资租赁与资金缺口'!$D$5:$D$16)*$W9*$C9,0),IF(AY$4=EDATE('核心假设'!$B$5,11+$F9),SUM('融资租赁与资金缺口'!$D$5:$D$16)*$X9*$C9,0),IF(AY$4=EDATE('核心假设'!$B$5,12+$F9),SUM('融资租赁与资金缺口'!$D$5:$D$16)*$Y9*$C9,0),IF(AY$4=EDATE('核心假设'!$B$5,13+$F9),SUM('融资租赁与资金缺口'!$D$5:$D$16)*$Z9*$C9,0),IF(AY$4=EDATE('核心假设'!$B$5,14+$F9),SUM('融资租赁与资金缺口'!$D$5:$D$16)*$AA9*$C9,0),IF(AY$4=EDATE('核心假设'!$B$5,15+$F9),SUM('融资租赁与资金缺口'!$D$5:$D$16)*$AB9*$C9,0),IF(AY$4=EDATE('核心假设'!$B$5,16+$F9),SUM('融资租赁与资金缺口'!$D$5:$D$16)*$AC9*$C9,0),IF(AY$4=EDATE('核心假设'!$B$5,17+$F9),SUM('融资租赁与资金缺口'!$D$5:$D$16)*$AD9*$C9,0))-AY33</x:f>
        <x:v>123989855.52158414</x:v>
      </x:c>
      <x:c r="AZ34" s="28" t="n">
        <x:f>AY34+AZ30-AZ31+SUM(IF(AZ$4=EDATE('核心假设'!$B$5,0+$F9),SUM('融资租赁与资金缺口'!$D$5:$D$16)*$M9*$C9,0),IF(AZ$4=EDATE('核心假设'!$B$5,1+$F9),SUM('融资租赁与资金缺口'!$D$5:$D$16)*$N9*$C9,0),IF(AZ$4=EDATE('核心假设'!$B$5,2+$F9),SUM('融资租赁与资金缺口'!$D$5:$D$16)*$O9*$C9,0),IF(AZ$4=EDATE('核心假设'!$B$5,3+$F9),SUM('融资租赁与资金缺口'!$D$5:$D$16)*$P9*$C9,0),IF(AZ$4=EDATE('核心假设'!$B$5,4+$F9),SUM('融资租赁与资金缺口'!$D$5:$D$16)*$Q9*$C9,0),IF(AZ$4=EDATE('核心假设'!$B$5,5+$F9),SUM('融资租赁与资金缺口'!$D$5:$D$16)*$R9*$C9,0),IF(AZ$4=EDATE('核心假设'!$B$5,6+$F9),SUM('融资租赁与资金缺口'!$D$5:$D$16)*$S9*$C9,0),IF(AZ$4=EDATE('核心假设'!$B$5,7+$F9),SUM('融资租赁与资金缺口'!$D$5:$D$16)*$T9*$C9,0),IF(AZ$4=EDATE('核心假设'!$B$5,8+$F9),SUM('融资租赁与资金缺口'!$D$5:$D$16)*$U9*$C9,0),IF(AZ$4=EDATE('核心假设'!$B$5,9+$F9),SUM('融资租赁与资金缺口'!$D$5:$D$16)*$V9*$C9,0),IF(AZ$4=EDATE('核心假设'!$B$5,10+$F9),SUM('融资租赁与资金缺口'!$D$5:$D$16)*$W9*$C9,0),IF(AZ$4=EDATE('核心假设'!$B$5,11+$F9),SUM('融资租赁与资金缺口'!$D$5:$D$16)*$X9*$C9,0),IF(AZ$4=EDATE('核心假设'!$B$5,12+$F9),SUM('融资租赁与资金缺口'!$D$5:$D$16)*$Y9*$C9,0),IF(AZ$4=EDATE('核心假设'!$B$5,13+$F9),SUM('融资租赁与资金缺口'!$D$5:$D$16)*$Z9*$C9,0),IF(AZ$4=EDATE('核心假设'!$B$5,14+$F9),SUM('融资租赁与资金缺口'!$D$5:$D$16)*$AA9*$C9,0),IF(AZ$4=EDATE('核心假设'!$B$5,15+$F9),SUM('融资租赁与资金缺口'!$D$5:$D$16)*$AB9*$C9,0),IF(AZ$4=EDATE('核心假设'!$B$5,16+$F9),SUM('融资租赁与资金缺口'!$D$5:$D$16)*$AC9*$C9,0),IF(AZ$4=EDATE('核心假设'!$B$5,17+$F9),SUM('融资租赁与资金缺口'!$D$5:$D$16)*$AD9*$C9,0))-AZ33</x:f>
        <x:v>141298692.8334434</x:v>
      </x:c>
      <x:c r="BA34" s="28" t="n">
        <x:f>AZ34+BA30-BA31+SUM(IF(BA$4=EDATE('核心假设'!$B$5,0+$F9),SUM('融资租赁与资金缺口'!$D$5:$D$16)*$M9*$C9,0),IF(BA$4=EDATE('核心假设'!$B$5,1+$F9),SUM('融资租赁与资金缺口'!$D$5:$D$16)*$N9*$C9,0),IF(BA$4=EDATE('核心假设'!$B$5,2+$F9),SUM('融资租赁与资金缺口'!$D$5:$D$16)*$O9*$C9,0),IF(BA$4=EDATE('核心假设'!$B$5,3+$F9),SUM('融资租赁与资金缺口'!$D$5:$D$16)*$P9*$C9,0),IF(BA$4=EDATE('核心假设'!$B$5,4+$F9),SUM('融资租赁与资金缺口'!$D$5:$D$16)*$Q9*$C9,0),IF(BA$4=EDATE('核心假设'!$B$5,5+$F9),SUM('融资租赁与资金缺口'!$D$5:$D$16)*$R9*$C9,0),IF(BA$4=EDATE('核心假设'!$B$5,6+$F9),SUM('融资租赁与资金缺口'!$D$5:$D$16)*$S9*$C9,0),IF(BA$4=EDATE('核心假设'!$B$5,7+$F9),SUM('融资租赁与资金缺口'!$D$5:$D$16)*$T9*$C9,0),IF(BA$4=EDATE('核心假设'!$B$5,8+$F9),SUM('融资租赁与资金缺口'!$D$5:$D$16)*$U9*$C9,0),IF(BA$4=EDATE('核心假设'!$B$5,9+$F9),SUM('融资租赁与资金缺口'!$D$5:$D$16)*$V9*$C9,0),IF(BA$4=EDATE('核心假设'!$B$5,10+$F9),SUM('融资租赁与资金缺口'!$D$5:$D$16)*$W9*$C9,0),IF(BA$4=EDATE('核心假设'!$B$5,11+$F9),SUM('融资租赁与资金缺口'!$D$5:$D$16)*$X9*$C9,0),IF(BA$4=EDATE('核心假设'!$B$5,12+$F9),SUM('融资租赁与资金缺口'!$D$5:$D$16)*$Y9*$C9,0),IF(BA$4=EDATE('核心假设'!$B$5,13+$F9),SUM('融资租赁与资金缺口'!$D$5:$D$16)*$Z9*$C9,0),IF(BA$4=EDATE('核心假设'!$B$5,14+$F9),SUM('融资租赁与资金缺口'!$D$5:$D$16)*$AA9*$C9,0),IF(BA$4=EDATE('核心假设'!$B$5,15+$F9),SUM('融资租赁与资金缺口'!$D$5:$D$16)*$AB9*$C9,0),IF(BA$4=EDATE('核心假设'!$B$5,16+$F9),SUM('融资租赁与资金缺口'!$D$5:$D$16)*$AC9*$C9,0),IF(BA$4=EDATE('核心假设'!$B$5,17+$F9),SUM('融资租赁与资金缺口'!$D$5:$D$16)*$AD9*$C9,0))-BA33</x:f>
        <x:v>161310192.41965556</x:v>
      </x:c>
      <x:c r="BB34" s="28" t="n">
        <x:f>BA34+BB30-BB31+SUM(IF(BB$4=EDATE('核心假设'!$B$5,0+$F9),SUM('融资租赁与资金缺口'!$D$5:$D$16)*$M9*$C9,0),IF(BB$4=EDATE('核心假设'!$B$5,1+$F9),SUM('融资租赁与资金缺口'!$D$5:$D$16)*$N9*$C9,0),IF(BB$4=EDATE('核心假设'!$B$5,2+$F9),SUM('融资租赁与资金缺口'!$D$5:$D$16)*$O9*$C9,0),IF(BB$4=EDATE('核心假设'!$B$5,3+$F9),SUM('融资租赁与资金缺口'!$D$5:$D$16)*$P9*$C9,0),IF(BB$4=EDATE('核心假设'!$B$5,4+$F9),SUM('融资租赁与资金缺口'!$D$5:$D$16)*$Q9*$C9,0),IF(BB$4=EDATE('核心假设'!$B$5,5+$F9),SUM('融资租赁与资金缺口'!$D$5:$D$16)*$R9*$C9,0),IF(BB$4=EDATE('核心假设'!$B$5,6+$F9),SUM('融资租赁与资金缺口'!$D$5:$D$16)*$S9*$C9,0),IF(BB$4=EDATE('核心假设'!$B$5,7+$F9),SUM('融资租赁与资金缺口'!$D$5:$D$16)*$T9*$C9,0),IF(BB$4=EDATE('核心假设'!$B$5,8+$F9),SUM('融资租赁与资金缺口'!$D$5:$D$16)*$U9*$C9,0),IF(BB$4=EDATE('核心假设'!$B$5,9+$F9),SUM('融资租赁与资金缺口'!$D$5:$D$16)*$V9*$C9,0),IF(BB$4=EDATE('核心假设'!$B$5,10+$F9),SUM('融资租赁与资金缺口'!$D$5:$D$16)*$W9*$C9,0),IF(BB$4=EDATE('核心假设'!$B$5,11+$F9),SUM('融资租赁与资金缺口'!$D$5:$D$16)*$X9*$C9,0),IF(BB$4=EDATE('核心假设'!$B$5,12+$F9),SUM('融资租赁与资金缺口'!$D$5:$D$16)*$Y9*$C9,0),IF(BB$4=EDATE('核心假设'!$B$5,13+$F9),SUM('融资租赁与资金缺口'!$D$5:$D$16)*$Z9*$C9,0),IF(BB$4=EDATE('核心假设'!$B$5,14+$F9),SUM('融资租赁与资金缺口'!$D$5:$D$16)*$AA9*$C9,0),IF(BB$4=EDATE('核心假设'!$B$5,15+$F9),SUM('融资租赁与资金缺口'!$D$5:$D$16)*$AB9*$C9,0),IF(BB$4=EDATE('核心假设'!$B$5,16+$F9),SUM('融资租赁与资金缺口'!$D$5:$D$16)*$AC9*$C9,0),IF(BB$4=EDATE('核心假设'!$B$5,17+$F9),SUM('融资租赁与资金缺口'!$D$5:$D$16)*$AD9*$C9,0))-BB33</x:f>
        <x:v>183986215.8209623</x:v>
      </x:c>
      <x:c r="BC34" s="28" t="n">
        <x:f>BB34+BC30-BC31+SUM(IF(BC$4=EDATE('核心假设'!$B$5,0+$F9),SUM('融资租赁与资金缺口'!$D$5:$D$16)*$M9*$C9,0),IF(BC$4=EDATE('核心假设'!$B$5,1+$F9),SUM('融资租赁与资金缺口'!$D$5:$D$16)*$N9*$C9,0),IF(BC$4=EDATE('核心假设'!$B$5,2+$F9),SUM('融资租赁与资金缺口'!$D$5:$D$16)*$O9*$C9,0),IF(BC$4=EDATE('核心假设'!$B$5,3+$F9),SUM('融资租赁与资金缺口'!$D$5:$D$16)*$P9*$C9,0),IF(BC$4=EDATE('核心假设'!$B$5,4+$F9),SUM('融资租赁与资金缺口'!$D$5:$D$16)*$Q9*$C9,0),IF(BC$4=EDATE('核心假设'!$B$5,5+$F9),SUM('融资租赁与资金缺口'!$D$5:$D$16)*$R9*$C9,0),IF(BC$4=EDATE('核心假设'!$B$5,6+$F9),SUM('融资租赁与资金缺口'!$D$5:$D$16)*$S9*$C9,0),IF(BC$4=EDATE('核心假设'!$B$5,7+$F9),SUM('融资租赁与资金缺口'!$D$5:$D$16)*$T9*$C9,0),IF(BC$4=EDATE('核心假设'!$B$5,8+$F9),SUM('融资租赁与资金缺口'!$D$5:$D$16)*$U9*$C9,0),IF(BC$4=EDATE('核心假设'!$B$5,9+$F9),SUM('融资租赁与资金缺口'!$D$5:$D$16)*$V9*$C9,0),IF(BC$4=EDATE('核心假设'!$B$5,10+$F9),SUM('融资租赁与资金缺口'!$D$5:$D$16)*$W9*$C9,0),IF(BC$4=EDATE('核心假设'!$B$5,11+$F9),SUM('融资租赁与资金缺口'!$D$5:$D$16)*$X9*$C9,0),IF(BC$4=EDATE('核心假设'!$B$5,12+$F9),SUM('融资租赁与资金缺口'!$D$5:$D$16)*$Y9*$C9,0),IF(BC$4=EDATE('核心假设'!$B$5,13+$F9),SUM('融资租赁与资金缺口'!$D$5:$D$16)*$Z9*$C9,0),IF(BC$4=EDATE('核心假设'!$B$5,14+$F9),SUM('融资租赁与资金缺口'!$D$5:$D$16)*$AA9*$C9,0),IF(BC$4=EDATE('核心假设'!$B$5,15+$F9),SUM('融资租赁与资金缺口'!$D$5:$D$16)*$AB9*$C9,0),IF(BC$4=EDATE('核心假设'!$B$5,16+$F9),SUM('融资租赁与资金缺口'!$D$5:$D$16)*$AC9*$C9,0),IF(BC$4=EDATE('核心假设'!$B$5,17+$F9),SUM('融资租赁与资金缺口'!$D$5:$D$16)*$AD9*$C9,0))-BC33</x:f>
        <x:v>208040636.24043345</x:v>
      </x:c>
      <x:c r="BD34" s="28" t="n">
        <x:f>BC34+BD30-BD31+SUM(IF(BD$4=EDATE('核心假设'!$B$5,0+$F9),SUM('融资租赁与资金缺口'!$D$5:$D$16)*$M9*$C9,0),IF(BD$4=EDATE('核心假设'!$B$5,1+$F9),SUM('融资租赁与资金缺口'!$D$5:$D$16)*$N9*$C9,0),IF(BD$4=EDATE('核心假设'!$B$5,2+$F9),SUM('融资租赁与资金缺口'!$D$5:$D$16)*$O9*$C9,0),IF(BD$4=EDATE('核心假设'!$B$5,3+$F9),SUM('融资租赁与资金缺口'!$D$5:$D$16)*$P9*$C9,0),IF(BD$4=EDATE('核心假设'!$B$5,4+$F9),SUM('融资租赁与资金缺口'!$D$5:$D$16)*$Q9*$C9,0),IF(BD$4=EDATE('核心假设'!$B$5,5+$F9),SUM('融资租赁与资金缺口'!$D$5:$D$16)*$R9*$C9,0),IF(BD$4=EDATE('核心假设'!$B$5,6+$F9),SUM('融资租赁与资金缺口'!$D$5:$D$16)*$S9*$C9,0),IF(BD$4=EDATE('核心假设'!$B$5,7+$F9),SUM('融资租赁与资金缺口'!$D$5:$D$16)*$T9*$C9,0),IF(BD$4=EDATE('核心假设'!$B$5,8+$F9),SUM('融资租赁与资金缺口'!$D$5:$D$16)*$U9*$C9,0),IF(BD$4=EDATE('核心假设'!$B$5,9+$F9),SUM('融资租赁与资金缺口'!$D$5:$D$16)*$V9*$C9,0),IF(BD$4=EDATE('核心假设'!$B$5,10+$F9),SUM('融资租赁与资金缺口'!$D$5:$D$16)*$W9*$C9,0),IF(BD$4=EDATE('核心假设'!$B$5,11+$F9),SUM('融资租赁与资金缺口'!$D$5:$D$16)*$X9*$C9,0),IF(BD$4=EDATE('核心假设'!$B$5,12+$F9),SUM('融资租赁与资金缺口'!$D$5:$D$16)*$Y9*$C9,0),IF(BD$4=EDATE('核心假设'!$B$5,13+$F9),SUM('融资租赁与资金缺口'!$D$5:$D$16)*$Z9*$C9,0),IF(BD$4=EDATE('核心假设'!$B$5,14+$F9),SUM('融资租赁与资金缺口'!$D$5:$D$16)*$AA9*$C9,0),IF(BD$4=EDATE('核心假设'!$B$5,15+$F9),SUM('融资租赁与资金缺口'!$D$5:$D$16)*$AB9*$C9,0),IF(BD$4=EDATE('核心假设'!$B$5,16+$F9),SUM('融资租赁与资金缺口'!$D$5:$D$16)*$AC9*$C9,0),IF(BD$4=EDATE('核心假设'!$B$5,17+$F9),SUM('融资租赁与资金缺口'!$D$5:$D$16)*$AD9*$C9,0))-BD33</x:f>
        <x:v>229377611.71867108</x:v>
      </x:c>
      <x:c r="BE34" s="28" t="n">
        <x:f>BD34+BE30-BE31+SUM(IF(BE$4=EDATE('核心假设'!$B$5,0+$F9),SUM('融资租赁与资金缺口'!$D$5:$D$16)*$M9*$C9,0),IF(BE$4=EDATE('核心假设'!$B$5,1+$F9),SUM('融资租赁与资金缺口'!$D$5:$D$16)*$N9*$C9,0),IF(BE$4=EDATE('核心假设'!$B$5,2+$F9),SUM('融资租赁与资金缺口'!$D$5:$D$16)*$O9*$C9,0),IF(BE$4=EDATE('核心假设'!$B$5,3+$F9),SUM('融资租赁与资金缺口'!$D$5:$D$16)*$P9*$C9,0),IF(BE$4=EDATE('核心假设'!$B$5,4+$F9),SUM('融资租赁与资金缺口'!$D$5:$D$16)*$Q9*$C9,0),IF(BE$4=EDATE('核心假设'!$B$5,5+$F9),SUM('融资租赁与资金缺口'!$D$5:$D$16)*$R9*$C9,0),IF(BE$4=EDATE('核心假设'!$B$5,6+$F9),SUM('融资租赁与资金缺口'!$D$5:$D$16)*$S9*$C9,0),IF(BE$4=EDATE('核心假设'!$B$5,7+$F9),SUM('融资租赁与资金缺口'!$D$5:$D$16)*$T9*$C9,0),IF(BE$4=EDATE('核心假设'!$B$5,8+$F9),SUM('融资租赁与资金缺口'!$D$5:$D$16)*$U9*$C9,0),IF(BE$4=EDATE('核心假设'!$B$5,9+$F9),SUM('融资租赁与资金缺口'!$D$5:$D$16)*$V9*$C9,0),IF(BE$4=EDATE('核心假设'!$B$5,10+$F9),SUM('融资租赁与资金缺口'!$D$5:$D$16)*$W9*$C9,0),IF(BE$4=EDATE('核心假设'!$B$5,11+$F9),SUM('融资租赁与资金缺口'!$D$5:$D$16)*$X9*$C9,0),IF(BE$4=EDATE('核心假设'!$B$5,12+$F9),SUM('融资租赁与资金缺口'!$D$5:$D$16)*$Y9*$C9,0),IF(BE$4=EDATE('核心假设'!$B$5,13+$F9),SUM('融资租赁与资金缺口'!$D$5:$D$16)*$Z9*$C9,0),IF(BE$4=EDATE('核心假设'!$B$5,14+$F9),SUM('融资租赁与资金缺口'!$D$5:$D$16)*$AA9*$C9,0),IF(BE$4=EDATE('核心假设'!$B$5,15+$F9),SUM('融资租赁与资金缺口'!$D$5:$D$16)*$AB9*$C9,0),IF(BE$4=EDATE('核心假设'!$B$5,16+$F9),SUM('融资租赁与资金缺口'!$D$5:$D$16)*$AC9*$C9,0),IF(BE$4=EDATE('核心假设'!$B$5,17+$F9),SUM('融资租赁与资金缺口'!$D$5:$D$16)*$AD9*$C9,0))-BE33</x:f>
        <x:v>249688817.1827169</x:v>
      </x:c>
      <x:c r="BF34" s="28" t="n">
        <x:f>BE34+BF30-BF31+SUM(IF(BF$4=EDATE('核心假设'!$B$5,0+$F9),SUM('融资租赁与资金缺口'!$D$5:$D$16)*$M9*$C9,0),IF(BF$4=EDATE('核心假设'!$B$5,1+$F9),SUM('融资租赁与资金缺口'!$D$5:$D$16)*$N9*$C9,0),IF(BF$4=EDATE('核心假设'!$B$5,2+$F9),SUM('融资租赁与资金缺口'!$D$5:$D$16)*$O9*$C9,0),IF(BF$4=EDATE('核心假设'!$B$5,3+$F9),SUM('融资租赁与资金缺口'!$D$5:$D$16)*$P9*$C9,0),IF(BF$4=EDATE('核心假设'!$B$5,4+$F9),SUM('融资租赁与资金缺口'!$D$5:$D$16)*$Q9*$C9,0),IF(BF$4=EDATE('核心假设'!$B$5,5+$F9),SUM('融资租赁与资金缺口'!$D$5:$D$16)*$R9*$C9,0),IF(BF$4=EDATE('核心假设'!$B$5,6+$F9),SUM('融资租赁与资金缺口'!$D$5:$D$16)*$S9*$C9,0),IF(BF$4=EDATE('核心假设'!$B$5,7+$F9),SUM('融资租赁与资金缺口'!$D$5:$D$16)*$T9*$C9,0),IF(BF$4=EDATE('核心假设'!$B$5,8+$F9),SUM('融资租赁与资金缺口'!$D$5:$D$16)*$U9*$C9,0),IF(BF$4=EDATE('核心假设'!$B$5,9+$F9),SUM('融资租赁与资金缺口'!$D$5:$D$16)*$V9*$C9,0),IF(BF$4=EDATE('核心假设'!$B$5,10+$F9),SUM('融资租赁与资金缺口'!$D$5:$D$16)*$W9*$C9,0),IF(BF$4=EDATE('核心假设'!$B$5,11+$F9),SUM('融资租赁与资金缺口'!$D$5:$D$16)*$X9*$C9,0),IF(BF$4=EDATE('核心假设'!$B$5,12+$F9),SUM('融资租赁与资金缺口'!$D$5:$D$16)*$Y9*$C9,0),IF(BF$4=EDATE('核心假设'!$B$5,13+$F9),SUM('融资租赁与资金缺口'!$D$5:$D$16)*$Z9*$C9,0),IF(BF$4=EDATE('核心假设'!$B$5,14+$F9),SUM('融资租赁与资金缺口'!$D$5:$D$16)*$AA9*$C9,0),IF(BF$4=EDATE('核心假设'!$B$5,15+$F9),SUM('融资租赁与资金缺口'!$D$5:$D$16)*$AB9*$C9,0),IF(BF$4=EDATE('核心假设'!$B$5,16+$F9),SUM('融资租赁与资金缺口'!$D$5:$D$16)*$AC9*$C9,0),IF(BF$4=EDATE('核心假设'!$B$5,17+$F9),SUM('融资租赁与资金缺口'!$D$5:$D$16)*$AD9*$C9,0))-BF33</x:f>
        <x:v>270748302.6408126</x:v>
      </x:c>
      <x:c r="BG34" s="28" t="n">
        <x:f>BF34+BG30-BG31+SUM(IF(BG$4=EDATE('核心假设'!$B$5,0+$F9),SUM('融资租赁与资金缺口'!$D$5:$D$16)*$M9*$C9,0),IF(BG$4=EDATE('核心假设'!$B$5,1+$F9),SUM('融资租赁与资金缺口'!$D$5:$D$16)*$N9*$C9,0),IF(BG$4=EDATE('核心假设'!$B$5,2+$F9),SUM('融资租赁与资金缺口'!$D$5:$D$16)*$O9*$C9,0),IF(BG$4=EDATE('核心假设'!$B$5,3+$F9),SUM('融资租赁与资金缺口'!$D$5:$D$16)*$P9*$C9,0),IF(BG$4=EDATE('核心假设'!$B$5,4+$F9),SUM('融资租赁与资金缺口'!$D$5:$D$16)*$Q9*$C9,0),IF(BG$4=EDATE('核心假设'!$B$5,5+$F9),SUM('融资租赁与资金缺口'!$D$5:$D$16)*$R9*$C9,0),IF(BG$4=EDATE('核心假设'!$B$5,6+$F9),SUM('融资租赁与资金缺口'!$D$5:$D$16)*$S9*$C9,0),IF(BG$4=EDATE('核心假设'!$B$5,7+$F9),SUM('融资租赁与资金缺口'!$D$5:$D$16)*$T9*$C9,0),IF(BG$4=EDATE('核心假设'!$B$5,8+$F9),SUM('融资租赁与资金缺口'!$D$5:$D$16)*$U9*$C9,0),IF(BG$4=EDATE('核心假设'!$B$5,9+$F9),SUM('融资租赁与资金缺口'!$D$5:$D$16)*$V9*$C9,0),IF(BG$4=EDATE('核心假设'!$B$5,10+$F9),SUM('融资租赁与资金缺口'!$D$5:$D$16)*$W9*$C9,0),IF(BG$4=EDATE('核心假设'!$B$5,11+$F9),SUM('融资租赁与资金缺口'!$D$5:$D$16)*$X9*$C9,0),IF(BG$4=EDATE('核心假设'!$B$5,12+$F9),SUM('融资租赁与资金缺口'!$D$5:$D$16)*$Y9*$C9,0),IF(BG$4=EDATE('核心假设'!$B$5,13+$F9),SUM('融资租赁与资金缺口'!$D$5:$D$16)*$Z9*$C9,0),IF(BG$4=EDATE('核心假设'!$B$5,14+$F9),SUM('融资租赁与资金缺口'!$D$5:$D$16)*$AA9*$C9,0),IF(BG$4=EDATE('核心假设'!$B$5,15+$F9),SUM('融资租赁与资金缺口'!$D$5:$D$16)*$AB9*$C9,0),IF(BG$4=EDATE('核心假设'!$B$5,16+$F9),SUM('融资租赁与资金缺口'!$D$5:$D$16)*$AC9*$C9,0),IF(BG$4=EDATE('核心假设'!$B$5,17+$F9),SUM('融资租赁与资金缺口'!$D$5:$D$16)*$AD9*$C9,0))-BG33</x:f>
        <x:v>295837501.7246051</x:v>
      </x:c>
      <x:c r="BH34" s="28" t="n">
        <x:f>BG34+BH30-BH31+SUM(IF(BH$4=EDATE('核心假设'!$B$5,0+$F9),SUM('融资租赁与资金缺口'!$D$5:$D$16)*$M9*$C9,0),IF(BH$4=EDATE('核心假设'!$B$5,1+$F9),SUM('融资租赁与资金缺口'!$D$5:$D$16)*$N9*$C9,0),IF(BH$4=EDATE('核心假设'!$B$5,2+$F9),SUM('融资租赁与资金缺口'!$D$5:$D$16)*$O9*$C9,0),IF(BH$4=EDATE('核心假设'!$B$5,3+$F9),SUM('融资租赁与资金缺口'!$D$5:$D$16)*$P9*$C9,0),IF(BH$4=EDATE('核心假设'!$B$5,4+$F9),SUM('融资租赁与资金缺口'!$D$5:$D$16)*$Q9*$C9,0),IF(BH$4=EDATE('核心假设'!$B$5,5+$F9),SUM('融资租赁与资金缺口'!$D$5:$D$16)*$R9*$C9,0),IF(BH$4=EDATE('核心假设'!$B$5,6+$F9),SUM('融资租赁与资金缺口'!$D$5:$D$16)*$S9*$C9,0),IF(BH$4=EDATE('核心假设'!$B$5,7+$F9),SUM('融资租赁与资金缺口'!$D$5:$D$16)*$T9*$C9,0),IF(BH$4=EDATE('核心假设'!$B$5,8+$F9),SUM('融资租赁与资金缺口'!$D$5:$D$16)*$U9*$C9,0),IF(BH$4=EDATE('核心假设'!$B$5,9+$F9),SUM('融资租赁与资金缺口'!$D$5:$D$16)*$V9*$C9,0),IF(BH$4=EDATE('核心假设'!$B$5,10+$F9),SUM('融资租赁与资金缺口'!$D$5:$D$16)*$W9*$C9,0),IF(BH$4=EDATE('核心假设'!$B$5,11+$F9),SUM('融资租赁与资金缺口'!$D$5:$D$16)*$X9*$C9,0),IF(BH$4=EDATE('核心假设'!$B$5,12+$F9),SUM('融资租赁与资金缺口'!$D$5:$D$16)*$Y9*$C9,0),IF(BH$4=EDATE('核心假设'!$B$5,13+$F9),SUM('融资租赁与资金缺口'!$D$5:$D$16)*$Z9*$C9,0),IF(BH$4=EDATE('核心假设'!$B$5,14+$F9),SUM('融资租赁与资金缺口'!$D$5:$D$16)*$AA9*$C9,0),IF(BH$4=EDATE('核心假设'!$B$5,15+$F9),SUM('融资租赁与资金缺口'!$D$5:$D$16)*$AB9*$C9,0),IF(BH$4=EDATE('核心假设'!$B$5,16+$F9),SUM('融资租赁与资金缺口'!$D$5:$D$16)*$AC9*$C9,0),IF(BH$4=EDATE('核心假设'!$B$5,17+$F9),SUM('融资租赁与资金缺口'!$D$5:$D$16)*$AD9*$C9,0))-BH33</x:f>
        <x:v>317254237.28188664</x:v>
      </x:c>
      <x:c r="BI34" s="28" t="n">
        <x:f>BH34+BI30-BI31+SUM(IF(BI$4=EDATE('核心假设'!$B$5,0+$F9),SUM('融资租赁与资金缺口'!$D$5:$D$16)*$M9*$C9,0),IF(BI$4=EDATE('核心假设'!$B$5,1+$F9),SUM('融资租赁与资金缺口'!$D$5:$D$16)*$N9*$C9,0),IF(BI$4=EDATE('核心假设'!$B$5,2+$F9),SUM('融资租赁与资金缺口'!$D$5:$D$16)*$O9*$C9,0),IF(BI$4=EDATE('核心假设'!$B$5,3+$F9),SUM('融资租赁与资金缺口'!$D$5:$D$16)*$P9*$C9,0),IF(BI$4=EDATE('核心假设'!$B$5,4+$F9),SUM('融资租赁与资金缺口'!$D$5:$D$16)*$Q9*$C9,0),IF(BI$4=EDATE('核心假设'!$B$5,5+$F9),SUM('融资租赁与资金缺口'!$D$5:$D$16)*$R9*$C9,0),IF(BI$4=EDATE('核心假设'!$B$5,6+$F9),SUM('融资租赁与资金缺口'!$D$5:$D$16)*$S9*$C9,0),IF(BI$4=EDATE('核心假设'!$B$5,7+$F9),SUM('融资租赁与资金缺口'!$D$5:$D$16)*$T9*$C9,0),IF(BI$4=EDATE('核心假设'!$B$5,8+$F9),SUM('融资租赁与资金缺口'!$D$5:$D$16)*$U9*$C9,0),IF(BI$4=EDATE('核心假设'!$B$5,9+$F9),SUM('融资租赁与资金缺口'!$D$5:$D$16)*$V9*$C9,0),IF(BI$4=EDATE('核心假设'!$B$5,10+$F9),SUM('融资租赁与资金缺口'!$D$5:$D$16)*$W9*$C9,0),IF(BI$4=EDATE('核心假设'!$B$5,11+$F9),SUM('融资租赁与资金缺口'!$D$5:$D$16)*$X9*$C9,0),IF(BI$4=EDATE('核心假设'!$B$5,12+$F9),SUM('融资租赁与资金缺口'!$D$5:$D$16)*$Y9*$C9,0),IF(BI$4=EDATE('核心假设'!$B$5,13+$F9),SUM('融资租赁与资金缺口'!$D$5:$D$16)*$Z9*$C9,0),IF(BI$4=EDATE('核心假设'!$B$5,14+$F9),SUM('融资租赁与资金缺口'!$D$5:$D$16)*$AA9*$C9,0),IF(BI$4=EDATE('核心假设'!$B$5,15+$F9),SUM('融资租赁与资金缺口'!$D$5:$D$16)*$AB9*$C9,0),IF(BI$4=EDATE('核心假设'!$B$5,16+$F9),SUM('融资租赁与资金缺口'!$D$5:$D$16)*$AC9*$C9,0),IF(BI$4=EDATE('核心假设'!$B$5,17+$F9),SUM('融资租赁与资金缺口'!$D$5:$D$16)*$AD9*$C9,0))-BI33</x:f>
        <x:v>331697633.5168453</x:v>
      </x:c>
      <x:c r="BJ34" s="28" t="n">
        <x:f>BI34+BJ30-BJ31+SUM(IF(BJ$4=EDATE('核心假设'!$B$5,0+$F9),SUM('融资租赁与资金缺口'!$D$5:$D$16)*$M9*$C9,0),IF(BJ$4=EDATE('核心假设'!$B$5,1+$F9),SUM('融资租赁与资金缺口'!$D$5:$D$16)*$N9*$C9,0),IF(BJ$4=EDATE('核心假设'!$B$5,2+$F9),SUM('融资租赁与资金缺口'!$D$5:$D$16)*$O9*$C9,0),IF(BJ$4=EDATE('核心假设'!$B$5,3+$F9),SUM('融资租赁与资金缺口'!$D$5:$D$16)*$P9*$C9,0),IF(BJ$4=EDATE('核心假设'!$B$5,4+$F9),SUM('融资租赁与资金缺口'!$D$5:$D$16)*$Q9*$C9,0),IF(BJ$4=EDATE('核心假设'!$B$5,5+$F9),SUM('融资租赁与资金缺口'!$D$5:$D$16)*$R9*$C9,0),IF(BJ$4=EDATE('核心假设'!$B$5,6+$F9),SUM('融资租赁与资金缺口'!$D$5:$D$16)*$S9*$C9,0),IF(BJ$4=EDATE('核心假设'!$B$5,7+$F9),SUM('融资租赁与资金缺口'!$D$5:$D$16)*$T9*$C9,0),IF(BJ$4=EDATE('核心假设'!$B$5,8+$F9),SUM('融资租赁与资金缺口'!$D$5:$D$16)*$U9*$C9,0),IF(BJ$4=EDATE('核心假设'!$B$5,9+$F9),SUM('融资租赁与资金缺口'!$D$5:$D$16)*$V9*$C9,0),IF(BJ$4=EDATE('核心假设'!$B$5,10+$F9),SUM('融资租赁与资金缺口'!$D$5:$D$16)*$W9*$C9,0),IF(BJ$4=EDATE('核心假设'!$B$5,11+$F9),SUM('融资租赁与资金缺口'!$D$5:$D$16)*$X9*$C9,0),IF(BJ$4=EDATE('核心假设'!$B$5,12+$F9),SUM('融资租赁与资金缺口'!$D$5:$D$16)*$Y9*$C9,0),IF(BJ$4=EDATE('核心假设'!$B$5,13+$F9),SUM('融资租赁与资金缺口'!$D$5:$D$16)*$Z9*$C9,0),IF(BJ$4=EDATE('核心假设'!$B$5,14+$F9),SUM('融资租赁与资金缺口'!$D$5:$D$16)*$AA9*$C9,0),IF(BJ$4=EDATE('核心假设'!$B$5,15+$F9),SUM('融资租赁与资金缺口'!$D$5:$D$16)*$AB9*$C9,0),IF(BJ$4=EDATE('核心假设'!$B$5,16+$F9),SUM('融资租赁与资金缺口'!$D$5:$D$16)*$AC9*$C9,0),IF(BJ$4=EDATE('核心假设'!$B$5,17+$F9),SUM('融资租赁与资金缺口'!$D$5:$D$16)*$AD9*$C9,0))-BJ33</x:f>
        <x:v>347849195.90208554</x:v>
      </x:c>
      <x:c r="BK34" s="28" t="n">
        <x:f>BJ34+BK30-BK31+SUM(IF(BK$4=EDATE('核心假设'!$B$5,0+$F9),SUM('融资租赁与资金缺口'!$D$5:$D$16)*$M9*$C9,0),IF(BK$4=EDATE('核心假设'!$B$5,1+$F9),SUM('融资租赁与资金缺口'!$D$5:$D$16)*$N9*$C9,0),IF(BK$4=EDATE('核心假设'!$B$5,2+$F9),SUM('融资租赁与资金缺口'!$D$5:$D$16)*$O9*$C9,0),IF(BK$4=EDATE('核心假设'!$B$5,3+$F9),SUM('融资租赁与资金缺口'!$D$5:$D$16)*$P9*$C9,0),IF(BK$4=EDATE('核心假设'!$B$5,4+$F9),SUM('融资租赁与资金缺口'!$D$5:$D$16)*$Q9*$C9,0),IF(BK$4=EDATE('核心假设'!$B$5,5+$F9),SUM('融资租赁与资金缺口'!$D$5:$D$16)*$R9*$C9,0),IF(BK$4=EDATE('核心假设'!$B$5,6+$F9),SUM('融资租赁与资金缺口'!$D$5:$D$16)*$S9*$C9,0),IF(BK$4=EDATE('核心假设'!$B$5,7+$F9),SUM('融资租赁与资金缺口'!$D$5:$D$16)*$T9*$C9,0),IF(BK$4=EDATE('核心假设'!$B$5,8+$F9),SUM('融资租赁与资金缺口'!$D$5:$D$16)*$U9*$C9,0),IF(BK$4=EDATE('核心假设'!$B$5,9+$F9),SUM('融资租赁与资金缺口'!$D$5:$D$16)*$V9*$C9,0),IF(BK$4=EDATE('核心假设'!$B$5,10+$F9),SUM('融资租赁与资金缺口'!$D$5:$D$16)*$W9*$C9,0),IF(BK$4=EDATE('核心假设'!$B$5,11+$F9),SUM('融资租赁与资金缺口'!$D$5:$D$16)*$X9*$C9,0),IF(BK$4=EDATE('核心假设'!$B$5,12+$F9),SUM('融资租赁与资金缺口'!$D$5:$D$16)*$Y9*$C9,0),IF(BK$4=EDATE('核心假设'!$B$5,13+$F9),SUM('融资租赁与资金缺口'!$D$5:$D$16)*$Z9*$C9,0),IF(BK$4=EDATE('核心假设'!$B$5,14+$F9),SUM('融资租赁与资金缺口'!$D$5:$D$16)*$AA9*$C9,0),IF(BK$4=EDATE('核心假设'!$B$5,15+$F9),SUM('融资租赁与资金缺口'!$D$5:$D$16)*$AB9*$C9,0),IF(BK$4=EDATE('核心假设'!$B$5,16+$F9),SUM('融资租赁与资金缺口'!$D$5:$D$16)*$AC9*$C9,0),IF(BK$4=EDATE('核心假设'!$B$5,17+$F9),SUM('融资租赁与资金缺口'!$D$5:$D$16)*$AD9*$C9,0))-BK33</x:f>
        <x:v>364427285.3949696</x:v>
      </x:c>
      <x:c r="BL34" s="28" t="n">
        <x:f>BK34+BL30-BL31+SUM(IF(BL$4=EDATE('核心假设'!$B$5,0+$F9),SUM('融资租赁与资金缺口'!$D$5:$D$16)*$M9*$C9,0),IF(BL$4=EDATE('核心假设'!$B$5,1+$F9),SUM('融资租赁与资金缺口'!$D$5:$D$16)*$N9*$C9,0),IF(BL$4=EDATE('核心假设'!$B$5,2+$F9),SUM('融资租赁与资金缺口'!$D$5:$D$16)*$O9*$C9,0),IF(BL$4=EDATE('核心假设'!$B$5,3+$F9),SUM('融资租赁与资金缺口'!$D$5:$D$16)*$P9*$C9,0),IF(BL$4=EDATE('核心假设'!$B$5,4+$F9),SUM('融资租赁与资金缺口'!$D$5:$D$16)*$Q9*$C9,0),IF(BL$4=EDATE('核心假设'!$B$5,5+$F9),SUM('融资租赁与资金缺口'!$D$5:$D$16)*$R9*$C9,0),IF(BL$4=EDATE('核心假设'!$B$5,6+$F9),SUM('融资租赁与资金缺口'!$D$5:$D$16)*$S9*$C9,0),IF(BL$4=EDATE('核心假设'!$B$5,7+$F9),SUM('融资租赁与资金缺口'!$D$5:$D$16)*$T9*$C9,0),IF(BL$4=EDATE('核心假设'!$B$5,8+$F9),SUM('融资租赁与资金缺口'!$D$5:$D$16)*$U9*$C9,0),IF(BL$4=EDATE('核心假设'!$B$5,9+$F9),SUM('融资租赁与资金缺口'!$D$5:$D$16)*$V9*$C9,0),IF(BL$4=EDATE('核心假设'!$B$5,10+$F9),SUM('融资租赁与资金缺口'!$D$5:$D$16)*$W9*$C9,0),IF(BL$4=EDATE('核心假设'!$B$5,11+$F9),SUM('融资租赁与资金缺口'!$D$5:$D$16)*$X9*$C9,0),IF(BL$4=EDATE('核心假设'!$B$5,12+$F9),SUM('融资租赁与资金缺口'!$D$5:$D$16)*$Y9*$C9,0),IF(BL$4=EDATE('核心假设'!$B$5,13+$F9),SUM('融资租赁与资金缺口'!$D$5:$D$16)*$Z9*$C9,0),IF(BL$4=EDATE('核心假设'!$B$5,14+$F9),SUM('融资租赁与资金缺口'!$D$5:$D$16)*$AA9*$C9,0),IF(BL$4=EDATE('核心假设'!$B$5,15+$F9),SUM('融资租赁与资金缺口'!$D$5:$D$16)*$AB9*$C9,0),IF(BL$4=EDATE('核心假设'!$B$5,16+$F9),SUM('融资租赁与资金缺口'!$D$5:$D$16)*$AC9*$C9,0),IF(BL$4=EDATE('核心假设'!$B$5,17+$F9),SUM('融资租赁与资金缺口'!$D$5:$D$16)*$AD9*$C9,0))-BL33</x:f>
        <x:v>381887267.10061294</x:v>
      </x:c>
      <x:c r="BM34" s="28" t="n">
        <x:f>BL34+BM30-BM31+SUM(IF(BM$4=EDATE('核心假设'!$B$5,0+$F9),SUM('融资租赁与资金缺口'!$D$5:$D$16)*$M9*$C9,0),IF(BM$4=EDATE('核心假设'!$B$5,1+$F9),SUM('融资租赁与资金缺口'!$D$5:$D$16)*$N9*$C9,0),IF(BM$4=EDATE('核心假设'!$B$5,2+$F9),SUM('融资租赁与资金缺口'!$D$5:$D$16)*$O9*$C9,0),IF(BM$4=EDATE('核心假设'!$B$5,3+$F9),SUM('融资租赁与资金缺口'!$D$5:$D$16)*$P9*$C9,0),IF(BM$4=EDATE('核心假设'!$B$5,4+$F9),SUM('融资租赁与资金缺口'!$D$5:$D$16)*$Q9*$C9,0),IF(BM$4=EDATE('核心假设'!$B$5,5+$F9),SUM('融资租赁与资金缺口'!$D$5:$D$16)*$R9*$C9,0),IF(BM$4=EDATE('核心假设'!$B$5,6+$F9),SUM('融资租赁与资金缺口'!$D$5:$D$16)*$S9*$C9,0),IF(BM$4=EDATE('核心假设'!$B$5,7+$F9),SUM('融资租赁与资金缺口'!$D$5:$D$16)*$T9*$C9,0),IF(BM$4=EDATE('核心假设'!$B$5,8+$F9),SUM('融资租赁与资金缺口'!$D$5:$D$16)*$U9*$C9,0),IF(BM$4=EDATE('核心假设'!$B$5,9+$F9),SUM('融资租赁与资金缺口'!$D$5:$D$16)*$V9*$C9,0),IF(BM$4=EDATE('核心假设'!$B$5,10+$F9),SUM('融资租赁与资金缺口'!$D$5:$D$16)*$W9*$C9,0),IF(BM$4=EDATE('核心假设'!$B$5,11+$F9),SUM('融资租赁与资金缺口'!$D$5:$D$16)*$X9*$C9,0),IF(BM$4=EDATE('核心假设'!$B$5,12+$F9),SUM('融资租赁与资金缺口'!$D$5:$D$16)*$Y9*$C9,0),IF(BM$4=EDATE('核心假设'!$B$5,13+$F9),SUM('融资租赁与资金缺口'!$D$5:$D$16)*$Z9*$C9,0),IF(BM$4=EDATE('核心假设'!$B$5,14+$F9),SUM('融资租赁与资金缺口'!$D$5:$D$16)*$AA9*$C9,0),IF(BM$4=EDATE('核心假设'!$B$5,15+$F9),SUM('融资租赁与资金缺口'!$D$5:$D$16)*$AB9*$C9,0),IF(BM$4=EDATE('核心假设'!$B$5,16+$F9),SUM('融资租赁与资金缺口'!$D$5:$D$16)*$AC9*$C9,0),IF(BM$4=EDATE('核心假设'!$B$5,17+$F9),SUM('融资租赁与资金缺口'!$D$5:$D$16)*$AD9*$C9,0))-BM33</x:f>
        <x:v>401943102.9100544</x:v>
      </x:c>
      <x:c r="BN34" s="28" t="n">
        <x:f>BM34+BN30-BN31+SUM(IF(BN$4=EDATE('核心假设'!$B$5,0+$F9),SUM('融资租赁与资金缺口'!$D$5:$D$16)*$M9*$C9,0),IF(BN$4=EDATE('核心假设'!$B$5,1+$F9),SUM('融资租赁与资金缺口'!$D$5:$D$16)*$N9*$C9,0),IF(BN$4=EDATE('核心假设'!$B$5,2+$F9),SUM('融资租赁与资金缺口'!$D$5:$D$16)*$O9*$C9,0),IF(BN$4=EDATE('核心假设'!$B$5,3+$F9),SUM('融资租赁与资金缺口'!$D$5:$D$16)*$P9*$C9,0),IF(BN$4=EDATE('核心假设'!$B$5,4+$F9),SUM('融资租赁与资金缺口'!$D$5:$D$16)*$Q9*$C9,0),IF(BN$4=EDATE('核心假设'!$B$5,5+$F9),SUM('融资租赁与资金缺口'!$D$5:$D$16)*$R9*$C9,0),IF(BN$4=EDATE('核心假设'!$B$5,6+$F9),SUM('融资租赁与资金缺口'!$D$5:$D$16)*$S9*$C9,0),IF(BN$4=EDATE('核心假设'!$B$5,7+$F9),SUM('融资租赁与资金缺口'!$D$5:$D$16)*$T9*$C9,0),IF(BN$4=EDATE('核心假设'!$B$5,8+$F9),SUM('融资租赁与资金缺口'!$D$5:$D$16)*$U9*$C9,0),IF(BN$4=EDATE('核心假设'!$B$5,9+$F9),SUM('融资租赁与资金缺口'!$D$5:$D$16)*$V9*$C9,0),IF(BN$4=EDATE('核心假设'!$B$5,10+$F9),SUM('融资租赁与资金缺口'!$D$5:$D$16)*$W9*$C9,0),IF(BN$4=EDATE('核心假设'!$B$5,11+$F9),SUM('融资租赁与资金缺口'!$D$5:$D$16)*$X9*$C9,0),IF(BN$4=EDATE('核心假设'!$B$5,12+$F9),SUM('融资租赁与资金缺口'!$D$5:$D$16)*$Y9*$C9,0),IF(BN$4=EDATE('核心假设'!$B$5,13+$F9),SUM('融资租赁与资金缺口'!$D$5:$D$16)*$Z9*$C9,0),IF(BN$4=EDATE('核心假设'!$B$5,14+$F9),SUM('融资租赁与资金缺口'!$D$5:$D$16)*$AA9*$C9,0),IF(BN$4=EDATE('核心假设'!$B$5,15+$F9),SUM('融资租赁与资金缺口'!$D$5:$D$16)*$AB9*$C9,0),IF(BN$4=EDATE('核心假设'!$B$5,16+$F9),SUM('融资租赁与资金缺口'!$D$5:$D$16)*$AC9*$C9,0),IF(BN$4=EDATE('核心假设'!$B$5,17+$F9),SUM('融资租赁与资金缺口'!$D$5:$D$16)*$AD9*$C9,0))-BN33</x:f>
        <x:v>424619126.31136113</x:v>
      </x:c>
      <x:c r="BO34" s="28" t="n">
        <x:f>BN34+BO30-BO31+SUM(IF(BO$4=EDATE('核心假设'!$B$5,0+$F9),SUM('融资租赁与资金缺口'!$D$5:$D$16)*$M9*$C9,0),IF(BO$4=EDATE('核心假设'!$B$5,1+$F9),SUM('融资租赁与资金缺口'!$D$5:$D$16)*$N9*$C9,0),IF(BO$4=EDATE('核心假设'!$B$5,2+$F9),SUM('融资租赁与资金缺口'!$D$5:$D$16)*$O9*$C9,0),IF(BO$4=EDATE('核心假设'!$B$5,3+$F9),SUM('融资租赁与资金缺口'!$D$5:$D$16)*$P9*$C9,0),IF(BO$4=EDATE('核心假设'!$B$5,4+$F9),SUM('融资租赁与资金缺口'!$D$5:$D$16)*$Q9*$C9,0),IF(BO$4=EDATE('核心假设'!$B$5,5+$F9),SUM('融资租赁与资金缺口'!$D$5:$D$16)*$R9*$C9,0),IF(BO$4=EDATE('核心假设'!$B$5,6+$F9),SUM('融资租赁与资金缺口'!$D$5:$D$16)*$S9*$C9,0),IF(BO$4=EDATE('核心假设'!$B$5,7+$F9),SUM('融资租赁与资金缺口'!$D$5:$D$16)*$T9*$C9,0),IF(BO$4=EDATE('核心假设'!$B$5,8+$F9),SUM('融资租赁与资金缺口'!$D$5:$D$16)*$U9*$C9,0),IF(BO$4=EDATE('核心假设'!$B$5,9+$F9),SUM('融资租赁与资金缺口'!$D$5:$D$16)*$V9*$C9,0),IF(BO$4=EDATE('核心假设'!$B$5,10+$F9),SUM('融资租赁与资金缺口'!$D$5:$D$16)*$W9*$C9,0),IF(BO$4=EDATE('核心假设'!$B$5,11+$F9),SUM('融资租赁与资金缺口'!$D$5:$D$16)*$X9*$C9,0),IF(BO$4=EDATE('核心假设'!$B$5,12+$F9),SUM('融资租赁与资金缺口'!$D$5:$D$16)*$Y9*$C9,0),IF(BO$4=EDATE('核心假设'!$B$5,13+$F9),SUM('融资租赁与资金缺口'!$D$5:$D$16)*$Z9*$C9,0),IF(BO$4=EDATE('核心假设'!$B$5,14+$F9),SUM('融资租赁与资金缺口'!$D$5:$D$16)*$AA9*$C9,0),IF(BO$4=EDATE('核心假设'!$B$5,15+$F9),SUM('融资租赁与资金缺口'!$D$5:$D$16)*$AB9*$C9,0),IF(BO$4=EDATE('核心假设'!$B$5,16+$F9),SUM('融资租赁与资金缺口'!$D$5:$D$16)*$AC9*$C9,0),IF(BO$4=EDATE('核心假设'!$B$5,17+$F9),SUM('融资租赁与资金缺口'!$D$5:$D$16)*$AD9*$C9,0))-BO33</x:f>
        <x:v>448673546.7308323</x:v>
      </x:c>
      <x:c r="BP34" s="28" t="n">
        <x:f>BO34+BP30-BP31+SUM(IF(BP$4=EDATE('核心假设'!$B$5,0+$F9),SUM('融资租赁与资金缺口'!$D$5:$D$16)*$M9*$C9,0),IF(BP$4=EDATE('核心假设'!$B$5,1+$F9),SUM('融资租赁与资金缺口'!$D$5:$D$16)*$N9*$C9,0),IF(BP$4=EDATE('核心假设'!$B$5,2+$F9),SUM('融资租赁与资金缺口'!$D$5:$D$16)*$O9*$C9,0),IF(BP$4=EDATE('核心假设'!$B$5,3+$F9),SUM('融资租赁与资金缺口'!$D$5:$D$16)*$P9*$C9,0),IF(BP$4=EDATE('核心假设'!$B$5,4+$F9),SUM('融资租赁与资金缺口'!$D$5:$D$16)*$Q9*$C9,0),IF(BP$4=EDATE('核心假设'!$B$5,5+$F9),SUM('融资租赁与资金缺口'!$D$5:$D$16)*$R9*$C9,0),IF(BP$4=EDATE('核心假设'!$B$5,6+$F9),SUM('融资租赁与资金缺口'!$D$5:$D$16)*$S9*$C9,0),IF(BP$4=EDATE('核心假设'!$B$5,7+$F9),SUM('融资租赁与资金缺口'!$D$5:$D$16)*$T9*$C9,0),IF(BP$4=EDATE('核心假设'!$B$5,8+$F9),SUM('融资租赁与资金缺口'!$D$5:$D$16)*$U9*$C9,0),IF(BP$4=EDATE('核心假设'!$B$5,9+$F9),SUM('融资租赁与资金缺口'!$D$5:$D$16)*$V9*$C9,0),IF(BP$4=EDATE('核心假设'!$B$5,10+$F9),SUM('融资租赁与资金缺口'!$D$5:$D$16)*$W9*$C9,0),IF(BP$4=EDATE('核心假设'!$B$5,11+$F9),SUM('融资租赁与资金缺口'!$D$5:$D$16)*$X9*$C9,0),IF(BP$4=EDATE('核心假设'!$B$5,12+$F9),SUM('融资租赁与资金缺口'!$D$5:$D$16)*$Y9*$C9,0),IF(BP$4=EDATE('核心假设'!$B$5,13+$F9),SUM('融资租赁与资金缺口'!$D$5:$D$16)*$Z9*$C9,0),IF(BP$4=EDATE('核心假设'!$B$5,14+$F9),SUM('融资租赁与资金缺口'!$D$5:$D$16)*$AA9*$C9,0),IF(BP$4=EDATE('核心假设'!$B$5,15+$F9),SUM('融资租赁与资金缺口'!$D$5:$D$16)*$AB9*$C9,0),IF(BP$4=EDATE('核心假设'!$B$5,16+$F9),SUM('融资租赁与资金缺口'!$D$5:$D$16)*$AC9*$C9,0),IF(BP$4=EDATE('核心假设'!$B$5,17+$F9),SUM('融资租赁与资金缺口'!$D$5:$D$16)*$AD9*$C9,0))-BP33</x:f>
        <x:v>470010522.2090699</x:v>
      </x:c>
      <x:c r="BQ34" s="28" t="n">
        <x:f>BP34+BQ30-BQ31+SUM(IF(BQ$4=EDATE('核心假设'!$B$5,0+$F9),SUM('融资租赁与资金缺口'!$D$5:$D$16)*$M9*$C9,0),IF(BQ$4=EDATE('核心假设'!$B$5,1+$F9),SUM('融资租赁与资金缺口'!$D$5:$D$16)*$N9*$C9,0),IF(BQ$4=EDATE('核心假设'!$B$5,2+$F9),SUM('融资租赁与资金缺口'!$D$5:$D$16)*$O9*$C9,0),IF(BQ$4=EDATE('核心假设'!$B$5,3+$F9),SUM('融资租赁与资金缺口'!$D$5:$D$16)*$P9*$C9,0),IF(BQ$4=EDATE('核心假设'!$B$5,4+$F9),SUM('融资租赁与资金缺口'!$D$5:$D$16)*$Q9*$C9,0),IF(BQ$4=EDATE('核心假设'!$B$5,5+$F9),SUM('融资租赁与资金缺口'!$D$5:$D$16)*$R9*$C9,0),IF(BQ$4=EDATE('核心假设'!$B$5,6+$F9),SUM('融资租赁与资金缺口'!$D$5:$D$16)*$S9*$C9,0),IF(BQ$4=EDATE('核心假设'!$B$5,7+$F9),SUM('融资租赁与资金缺口'!$D$5:$D$16)*$T9*$C9,0),IF(BQ$4=EDATE('核心假设'!$B$5,8+$F9),SUM('融资租赁与资金缺口'!$D$5:$D$16)*$U9*$C9,0),IF(BQ$4=EDATE('核心假设'!$B$5,9+$F9),SUM('融资租赁与资金缺口'!$D$5:$D$16)*$V9*$C9,0),IF(BQ$4=EDATE('核心假设'!$B$5,10+$F9),SUM('融资租赁与资金缺口'!$D$5:$D$16)*$W9*$C9,0),IF(BQ$4=EDATE('核心假设'!$B$5,11+$F9),SUM('融资租赁与资金缺口'!$D$5:$D$16)*$X9*$C9,0),IF(BQ$4=EDATE('核心假设'!$B$5,12+$F9),SUM('融资租赁与资金缺口'!$D$5:$D$16)*$Y9*$C9,0),IF(BQ$4=EDATE('核心假设'!$B$5,13+$F9),SUM('融资租赁与资金缺口'!$D$5:$D$16)*$Z9*$C9,0),IF(BQ$4=EDATE('核心假设'!$B$5,14+$F9),SUM('融资租赁与资金缺口'!$D$5:$D$16)*$AA9*$C9,0),IF(BQ$4=EDATE('核心假设'!$B$5,15+$F9),SUM('融资租赁与资金缺口'!$D$5:$D$16)*$AB9*$C9,0),IF(BQ$4=EDATE('核心假设'!$B$5,16+$F9),SUM('融资租赁与资金缺口'!$D$5:$D$16)*$AC9*$C9,0),IF(BQ$4=EDATE('核心假设'!$B$5,17+$F9),SUM('融资租赁与资金缺口'!$D$5:$D$16)*$AD9*$C9,0))-BQ33</x:f>
        <x:v>490158737.6731157</x:v>
      </x:c>
      <x:c r="BR34" s="28" t="n">
        <x:f>BQ34+BR30-BR31+SUM(IF(BR$4=EDATE('核心假设'!$B$5,0+$F9),SUM('融资租赁与资金缺口'!$D$5:$D$16)*$M9*$C9,0),IF(BR$4=EDATE('核心假设'!$B$5,1+$F9),SUM('融资租赁与资金缺口'!$D$5:$D$16)*$N9*$C9,0),IF(BR$4=EDATE('核心假设'!$B$5,2+$F9),SUM('融资租赁与资金缺口'!$D$5:$D$16)*$O9*$C9,0),IF(BR$4=EDATE('核心假设'!$B$5,3+$F9),SUM('融资租赁与资金缺口'!$D$5:$D$16)*$P9*$C9,0),IF(BR$4=EDATE('核心假设'!$B$5,4+$F9),SUM('融资租赁与资金缺口'!$D$5:$D$16)*$Q9*$C9,0),IF(BR$4=EDATE('核心假设'!$B$5,5+$F9),SUM('融资租赁与资金缺口'!$D$5:$D$16)*$R9*$C9,0),IF(BR$4=EDATE('核心假设'!$B$5,6+$F9),SUM('融资租赁与资金缺口'!$D$5:$D$16)*$S9*$C9,0),IF(BR$4=EDATE('核心假设'!$B$5,7+$F9),SUM('融资租赁与资金缺口'!$D$5:$D$16)*$T9*$C9,0),IF(BR$4=EDATE('核心假设'!$B$5,8+$F9),SUM('融资租赁与资金缺口'!$D$5:$D$16)*$U9*$C9,0),IF(BR$4=EDATE('核心假设'!$B$5,9+$F9),SUM('融资租赁与资金缺口'!$D$5:$D$16)*$V9*$C9,0),IF(BR$4=EDATE('核心假设'!$B$5,10+$F9),SUM('融资租赁与资金缺口'!$D$5:$D$16)*$W9*$C9,0),IF(BR$4=EDATE('核心假设'!$B$5,11+$F9),SUM('融资租赁与资金缺口'!$D$5:$D$16)*$X9*$C9,0),IF(BR$4=EDATE('核心假设'!$B$5,12+$F9),SUM('融资租赁与资金缺口'!$D$5:$D$16)*$Y9*$C9,0),IF(BR$4=EDATE('核心假设'!$B$5,13+$F9),SUM('融资租赁与资金缺口'!$D$5:$D$16)*$Z9*$C9,0),IF(BR$4=EDATE('核心假设'!$B$5,14+$F9),SUM('融资租赁与资金缺口'!$D$5:$D$16)*$AA9*$C9,0),IF(BR$4=EDATE('核心假设'!$B$5,15+$F9),SUM('融资租赁与资金缺口'!$D$5:$D$16)*$AB9*$C9,0),IF(BR$4=EDATE('核心假设'!$B$5,16+$F9),SUM('融资租赁与资金缺口'!$D$5:$D$16)*$AC9*$C9,0),IF(BR$4=EDATE('核心假设'!$B$5,17+$F9),SUM('融资租赁与资金缺口'!$D$5:$D$16)*$AD9*$C9,0))-BR33</x:f>
        <x:v>511507633.6376607</x:v>
      </x:c>
      <x:c r="BS34" s="28" t="n">
        <x:f>BR34+BS30-BS31+SUM(IF(BS$4=EDATE('核心假设'!$B$5,0+$F9),SUM('融资租赁与资金缺口'!$D$5:$D$16)*$M9*$C9,0),IF(BS$4=EDATE('核心假设'!$B$5,1+$F9),SUM('融资租赁与资金缺口'!$D$5:$D$16)*$N9*$C9,0),IF(BS$4=EDATE('核心假设'!$B$5,2+$F9),SUM('融资租赁与资金缺口'!$D$5:$D$16)*$O9*$C9,0),IF(BS$4=EDATE('核心假设'!$B$5,3+$F9),SUM('融资租赁与资金缺口'!$D$5:$D$16)*$P9*$C9,0),IF(BS$4=EDATE('核心假设'!$B$5,4+$F9),SUM('融资租赁与资金缺口'!$D$5:$D$16)*$Q9*$C9,0),IF(BS$4=EDATE('核心假设'!$B$5,5+$F9),SUM('融资租赁与资金缺口'!$D$5:$D$16)*$R9*$C9,0),IF(BS$4=EDATE('核心假设'!$B$5,6+$F9),SUM('融资租赁与资金缺口'!$D$5:$D$16)*$S9*$C9,0),IF(BS$4=EDATE('核心假设'!$B$5,7+$F9),SUM('融资租赁与资金缺口'!$D$5:$D$16)*$T9*$C9,0),IF(BS$4=EDATE('核心假设'!$B$5,8+$F9),SUM('融资租赁与资金缺口'!$D$5:$D$16)*$U9*$C9,0),IF(BS$4=EDATE('核心假设'!$B$5,9+$F9),SUM('融资租赁与资金缺口'!$D$5:$D$16)*$V9*$C9,0),IF(BS$4=EDATE('核心假设'!$B$5,10+$F9),SUM('融资租赁与资金缺口'!$D$5:$D$16)*$W9*$C9,0),IF(BS$4=EDATE('核心假设'!$B$5,11+$F9),SUM('融资租赁与资金缺口'!$D$5:$D$16)*$X9*$C9,0),IF(BS$4=EDATE('核心假设'!$B$5,12+$F9),SUM('融资租赁与资金缺口'!$D$5:$D$16)*$Y9*$C9,0),IF(BS$4=EDATE('核心假设'!$B$5,13+$F9),SUM('融资租赁与资金缺口'!$D$5:$D$16)*$Z9*$C9,0),IF(BS$4=EDATE('核心假设'!$B$5,14+$F9),SUM('融资租赁与资金缺口'!$D$5:$D$16)*$AA9*$C9,0),IF(BS$4=EDATE('核心假设'!$B$5,15+$F9),SUM('融资租赁与资金缺口'!$D$5:$D$16)*$AB9*$C9,0),IF(BS$4=EDATE('核心假设'!$B$5,16+$F9),SUM('融资租赁与资金缺口'!$D$5:$D$16)*$AC9*$C9,0),IF(BS$4=EDATE('核心假设'!$B$5,17+$F9),SUM('融资租赁与资金缺口'!$D$5:$D$16)*$AD9*$C9,0))-BS33</x:f>
        <x:v>537561883.9031682</x:v>
      </x:c>
      <x:c r="BT34" s="28" t="n">
        <x:f>BS34+BT30-BT31+SUM(IF(BT$4=EDATE('核心假设'!$B$5,0+$F9),SUM('融资租赁与资金缺口'!$D$5:$D$16)*$M9*$C9,0),IF(BT$4=EDATE('核心假设'!$B$5,1+$F9),SUM('融资租赁与资金缺口'!$D$5:$D$16)*$N9*$C9,0),IF(BT$4=EDATE('核心假设'!$B$5,2+$F9),SUM('融资租赁与资金缺口'!$D$5:$D$16)*$O9*$C9,0),IF(BT$4=EDATE('核心假设'!$B$5,3+$F9),SUM('融资租赁与资金缺口'!$D$5:$D$16)*$P9*$C9,0),IF(BT$4=EDATE('核心假设'!$B$5,4+$F9),SUM('融资租赁与资金缺口'!$D$5:$D$16)*$Q9*$C9,0),IF(BT$4=EDATE('核心假设'!$B$5,5+$F9),SUM('融资租赁与资金缺口'!$D$5:$D$16)*$R9*$C9,0),IF(BT$4=EDATE('核心假设'!$B$5,6+$F9),SUM('融资租赁与资金缺口'!$D$5:$D$16)*$S9*$C9,0),IF(BT$4=EDATE('核心假设'!$B$5,7+$F9),SUM('融资租赁与资金缺口'!$D$5:$D$16)*$T9*$C9,0),IF(BT$4=EDATE('核心假设'!$B$5,8+$F9),SUM('融资租赁与资金缺口'!$D$5:$D$16)*$U9*$C9,0),IF(BT$4=EDATE('核心假设'!$B$5,9+$F9),SUM('融资租赁与资金缺口'!$D$5:$D$16)*$V9*$C9,0),IF(BT$4=EDATE('核心假设'!$B$5,10+$F9),SUM('融资租赁与资金缺口'!$D$5:$D$16)*$W9*$C9,0),IF(BT$4=EDATE('核心假设'!$B$5,11+$F9),SUM('融资租赁与资金缺口'!$D$5:$D$16)*$X9*$C9,0),IF(BT$4=EDATE('核心假设'!$B$5,12+$F9),SUM('融资租赁与资金缺口'!$D$5:$D$16)*$Y9*$C9,0),IF(BT$4=EDATE('核心假设'!$B$5,13+$F9),SUM('融资租赁与资金缺口'!$D$5:$D$16)*$Z9*$C9,0),IF(BT$4=EDATE('核心假设'!$B$5,14+$F9),SUM('融资租赁与资金缺口'!$D$5:$D$16)*$AA9*$C9,0),IF(BT$4=EDATE('核心假设'!$B$5,15+$F9),SUM('融资租赁与资金缺口'!$D$5:$D$16)*$AB9*$C9,0),IF(BT$4=EDATE('核心假设'!$B$5,16+$F9),SUM('融资租赁与资金缺口'!$D$5:$D$16)*$AC9*$C9,0),IF(BT$4=EDATE('核心假设'!$B$5,17+$F9),SUM('融资租赁与资金缺口'!$D$5:$D$16)*$AD9*$C9,0))-BT33</x:f>
        <x:v>560564981.3174306</x:v>
      </x:c>
      <x:c r="BU34" s="28" t="n">
        <x:f>BT34+BU30-BU31+SUM(IF(BU$4=EDATE('核心假设'!$B$5,0+$F9),SUM('融资租赁与资金缺口'!$D$5:$D$16)*$M9*$C9,0),IF(BU$4=EDATE('核心假设'!$B$5,1+$F9),SUM('融资租赁与资金缺口'!$D$5:$D$16)*$N9*$C9,0),IF(BU$4=EDATE('核心假设'!$B$5,2+$F9),SUM('融资租赁与资金缺口'!$D$5:$D$16)*$O9*$C9,0),IF(BU$4=EDATE('核心假设'!$B$5,3+$F9),SUM('融资租赁与资金缺口'!$D$5:$D$16)*$P9*$C9,0),IF(BU$4=EDATE('核心假设'!$B$5,4+$F9),SUM('融资租赁与资金缺口'!$D$5:$D$16)*$Q9*$C9,0),IF(BU$4=EDATE('核心假设'!$B$5,5+$F9),SUM('融资租赁与资金缺口'!$D$5:$D$16)*$R9*$C9,0),IF(BU$4=EDATE('核心假设'!$B$5,6+$F9),SUM('融资租赁与资金缺口'!$D$5:$D$16)*$S9*$C9,0),IF(BU$4=EDATE('核心假设'!$B$5,7+$F9),SUM('融资租赁与资金缺口'!$D$5:$D$16)*$T9*$C9,0),IF(BU$4=EDATE('核心假设'!$B$5,8+$F9),SUM('融资租赁与资金缺口'!$D$5:$D$16)*$U9*$C9,0),IF(BU$4=EDATE('核心假设'!$B$5,9+$F9),SUM('融资租赁与资金缺口'!$D$5:$D$16)*$V9*$C9,0),IF(BU$4=EDATE('核心假设'!$B$5,10+$F9),SUM('融资租赁与资金缺口'!$D$5:$D$16)*$W9*$C9,0),IF(BU$4=EDATE('核心假设'!$B$5,11+$F9),SUM('融资租赁与资金缺口'!$D$5:$D$16)*$X9*$C9,0),IF(BU$4=EDATE('核心假设'!$B$5,12+$F9),SUM('融资租赁与资金缺口'!$D$5:$D$16)*$Y9*$C9,0),IF(BU$4=EDATE('核心假设'!$B$5,13+$F9),SUM('融资租赁与资金缺口'!$D$5:$D$16)*$Z9*$C9,0),IF(BU$4=EDATE('核心假设'!$B$5,14+$F9),SUM('融资租赁与资金缺口'!$D$5:$D$16)*$AA9*$C9,0),IF(BU$4=EDATE('核心假设'!$B$5,15+$F9),SUM('融资租赁与资金缺口'!$D$5:$D$16)*$AB9*$C9,0),IF(BU$4=EDATE('核心假设'!$B$5,16+$F9),SUM('融资租赁与资金缺口'!$D$5:$D$16)*$AC9*$C9,0),IF(BU$4=EDATE('核心假设'!$B$5,17+$F9),SUM('融资租赁与资金缺口'!$D$5:$D$16)*$AD9*$C9,0))-BU33</x:f>
        <x:v>577439290.2534523</x:v>
      </x:c>
      <x:c r="BV34" s="28" t="n">
        <x:f>BU34+BV30-BV31+SUM(IF(BV$4=EDATE('核心假设'!$B$5,0+$F9),SUM('融资租赁与资金缺口'!$D$5:$D$16)*$M9*$C9,0),IF(BV$4=EDATE('核心假设'!$B$5,1+$F9),SUM('融资租赁与资金缺口'!$D$5:$D$16)*$N9*$C9,0),IF(BV$4=EDATE('核心假设'!$B$5,2+$F9),SUM('融资租赁与资金缺口'!$D$5:$D$16)*$O9*$C9,0),IF(BV$4=EDATE('核心假设'!$B$5,3+$F9),SUM('融资租赁与资金缺口'!$D$5:$D$16)*$P9*$C9,0),IF(BV$4=EDATE('核心假设'!$B$5,4+$F9),SUM('融资租赁与资金缺口'!$D$5:$D$16)*$Q9*$C9,0),IF(BV$4=EDATE('核心假设'!$B$5,5+$F9),SUM('融资租赁与资金缺口'!$D$5:$D$16)*$R9*$C9,0),IF(BV$4=EDATE('核心假设'!$B$5,6+$F9),SUM('融资租赁与资金缺口'!$D$5:$D$16)*$S9*$C9,0),IF(BV$4=EDATE('核心假设'!$B$5,7+$F9),SUM('融资租赁与资金缺口'!$D$5:$D$16)*$T9*$C9,0),IF(BV$4=EDATE('核心假设'!$B$5,8+$F9),SUM('融资租赁与资金缺口'!$D$5:$D$16)*$U9*$C9,0),IF(BV$4=EDATE('核心假设'!$B$5,9+$F9),SUM('融资租赁与资金缺口'!$D$5:$D$16)*$V9*$C9,0),IF(BV$4=EDATE('核心假设'!$B$5,10+$F9),SUM('融资租赁与资金缺口'!$D$5:$D$16)*$W9*$C9,0),IF(BV$4=EDATE('核心假设'!$B$5,11+$F9),SUM('融资租赁与资金缺口'!$D$5:$D$16)*$X9*$C9,0),IF(BV$4=EDATE('核心假设'!$B$5,12+$F9),SUM('融资租赁与资金缺口'!$D$5:$D$16)*$Y9*$C9,0),IF(BV$4=EDATE('核心假设'!$B$5,13+$F9),SUM('融资租赁与资金缺口'!$D$5:$D$16)*$Z9*$C9,0),IF(BV$4=EDATE('核心假设'!$B$5,14+$F9),SUM('融资租赁与资金缺口'!$D$5:$D$16)*$AA9*$C9,0),IF(BV$4=EDATE('核心假设'!$B$5,15+$F9),SUM('融资租赁与资金缺口'!$D$5:$D$16)*$AB9*$C9,0),IF(BV$4=EDATE('核心假设'!$B$5,16+$F9),SUM('融资租赁与资金缺口'!$D$5:$D$16)*$AC9*$C9,0),IF(BV$4=EDATE('核心假设'!$B$5,17+$F9),SUM('融资租赁与资金缺口'!$D$5:$D$16)*$AD9*$C9,0))-BV33</x:f>
        <x:v>596811986.1838378</x:v>
      </x:c>
      <x:c r="BW34" s="28" t="n">
        <x:f>BV34+BW30-BW31+SUM(IF(BW$4=EDATE('核心假设'!$B$5,0+$F9),SUM('融资租赁与资金缺口'!$D$5:$D$16)*$M9*$C9,0),IF(BW$4=EDATE('核心假设'!$B$5,1+$F9),SUM('融资租赁与资金缺口'!$D$5:$D$16)*$N9*$C9,0),IF(BW$4=EDATE('核心假设'!$B$5,2+$F9),SUM('融资租赁与资金缺口'!$D$5:$D$16)*$O9*$C9,0),IF(BW$4=EDATE('核心假设'!$B$5,3+$F9),SUM('融资租赁与资金缺口'!$D$5:$D$16)*$P9*$C9,0),IF(BW$4=EDATE('核心假设'!$B$5,4+$F9),SUM('融资租赁与资金缺口'!$D$5:$D$16)*$Q9*$C9,0),IF(BW$4=EDATE('核心假设'!$B$5,5+$F9),SUM('融资租赁与资金缺口'!$D$5:$D$16)*$R9*$C9,0),IF(BW$4=EDATE('核心假设'!$B$5,6+$F9),SUM('融资租赁与资金缺口'!$D$5:$D$16)*$S9*$C9,0),IF(BW$4=EDATE('核心假设'!$B$5,7+$F9),SUM('融资租赁与资金缺口'!$D$5:$D$16)*$T9*$C9,0),IF(BW$4=EDATE('核心假设'!$B$5,8+$F9),SUM('融资租赁与资金缺口'!$D$5:$D$16)*$U9*$C9,0),IF(BW$4=EDATE('核心假设'!$B$5,9+$F9),SUM('融资租赁与资金缺口'!$D$5:$D$16)*$V9*$C9,0),IF(BW$4=EDATE('核心假设'!$B$5,10+$F9),SUM('融资租赁与资金缺口'!$D$5:$D$16)*$W9*$C9,0),IF(BW$4=EDATE('核心假设'!$B$5,11+$F9),SUM('融资租赁与资金缺口'!$D$5:$D$16)*$X9*$C9,0),IF(BW$4=EDATE('核心假设'!$B$5,12+$F9),SUM('融资租赁与资金缺口'!$D$5:$D$16)*$Y9*$C9,0),IF(BW$4=EDATE('核心假设'!$B$5,13+$F9),SUM('融资租赁与资金缺口'!$D$5:$D$16)*$Z9*$C9,0),IF(BW$4=EDATE('核心假设'!$B$5,14+$F9),SUM('融资租赁与资金缺口'!$D$5:$D$16)*$AA9*$C9,0),IF(BW$4=EDATE('核心假设'!$B$5,15+$F9),SUM('融资租赁与资金缺口'!$D$5:$D$16)*$AB9*$C9,0),IF(BW$4=EDATE('核心假设'!$B$5,16+$F9),SUM('融资租赁与资金缺口'!$D$5:$D$16)*$AC9*$C9,0),IF(BW$4=EDATE('核心假设'!$B$5,17+$F9),SUM('融资租赁与资金缺口'!$D$5:$D$16)*$AD9*$C9,0))-BW33</x:f>
        <x:v>617624670.2347656</x:v>
      </x:c>
      <x:c r="BX34" s="28" t="n">
        <x:f>BW34+BX30-BX31+SUM(IF(BX$4=EDATE('核心假设'!$B$5,0+$F9),SUM('融资租赁与资金缺口'!$D$5:$D$16)*$M9*$C9,0),IF(BX$4=EDATE('核心假设'!$B$5,1+$F9),SUM('融资租赁与资金缺口'!$D$5:$D$16)*$N9*$C9,0),IF(BX$4=EDATE('核心假设'!$B$5,2+$F9),SUM('融资租赁与资金缺口'!$D$5:$D$16)*$O9*$C9,0),IF(BX$4=EDATE('核心假设'!$B$5,3+$F9),SUM('融资租赁与资金缺口'!$D$5:$D$16)*$P9*$C9,0),IF(BX$4=EDATE('核心假设'!$B$5,4+$F9),SUM('融资租赁与资金缺口'!$D$5:$D$16)*$Q9*$C9,0),IF(BX$4=EDATE('核心假设'!$B$5,5+$F9),SUM('融资租赁与资金缺口'!$D$5:$D$16)*$R9*$C9,0),IF(BX$4=EDATE('核心假设'!$B$5,6+$F9),SUM('融资租赁与资金缺口'!$D$5:$D$16)*$S9*$C9,0),IF(BX$4=EDATE('核心假设'!$B$5,7+$F9),SUM('融资租赁与资金缺口'!$D$5:$D$16)*$T9*$C9,0),IF(BX$4=EDATE('核心假设'!$B$5,8+$F9),SUM('融资租赁与资金缺口'!$D$5:$D$16)*$U9*$C9,0),IF(BX$4=EDATE('核心假设'!$B$5,9+$F9),SUM('融资租赁与资金缺口'!$D$5:$D$16)*$V9*$C9,0),IF(BX$4=EDATE('核心假设'!$B$5,10+$F9),SUM('融资租赁与资金缺口'!$D$5:$D$16)*$W9*$C9,0),IF(BX$4=EDATE('核心假设'!$B$5,11+$F9),SUM('融资租赁与资金缺口'!$D$5:$D$16)*$X9*$C9,0),IF(BX$4=EDATE('核心假设'!$B$5,12+$F9),SUM('融资租赁与资金缺口'!$D$5:$D$16)*$Y9*$C9,0),IF(BX$4=EDATE('核心假设'!$B$5,13+$F9),SUM('融资租赁与资金缺口'!$D$5:$D$16)*$Z9*$C9,0),IF(BX$4=EDATE('核心假设'!$B$5,14+$F9),SUM('融资租赁与资金缺口'!$D$5:$D$16)*$AA9*$C9,0),IF(BX$4=EDATE('核心假设'!$B$5,15+$F9),SUM('融资租赁与资金缺口'!$D$5:$D$16)*$AB9*$C9,0),IF(BX$4=EDATE('核心假设'!$B$5,16+$F9),SUM('融资租赁与资金缺口'!$D$5:$D$16)*$AC9*$C9,0),IF(BX$4=EDATE('核心假设'!$B$5,17+$F9),SUM('融资租赁与资金缺口'!$D$5:$D$16)*$AD9*$C9,0))-BX33</x:f>
        <x:v>640278377.5113513</x:v>
      </x:c>
      <x:c r="BY34" s="28" t="n">
        <x:f>BX34+BY30-BY31+SUM(IF(BY$4=EDATE('核心假设'!$B$5,0+$F9),SUM('融资租赁与资金缺口'!$D$5:$D$16)*$M9*$C9,0),IF(BY$4=EDATE('核心假设'!$B$5,1+$F9),SUM('融资租赁与资金缺口'!$D$5:$D$16)*$N9*$C9,0),IF(BY$4=EDATE('核心假设'!$B$5,2+$F9),SUM('融资租赁与资金缺口'!$D$5:$D$16)*$O9*$C9,0),IF(BY$4=EDATE('核心假设'!$B$5,3+$F9),SUM('融资租赁与资金缺口'!$D$5:$D$16)*$P9*$C9,0),IF(BY$4=EDATE('核心假设'!$B$5,4+$F9),SUM('融资租赁与资金缺口'!$D$5:$D$16)*$Q9*$C9,0),IF(BY$4=EDATE('核心假设'!$B$5,5+$F9),SUM('融资租赁与资金缺口'!$D$5:$D$16)*$R9*$C9,0),IF(BY$4=EDATE('核心假设'!$B$5,6+$F9),SUM('融资租赁与资金缺口'!$D$5:$D$16)*$S9*$C9,0),IF(BY$4=EDATE('核心假设'!$B$5,7+$F9),SUM('融资租赁与资金缺口'!$D$5:$D$16)*$T9*$C9,0),IF(BY$4=EDATE('核心假设'!$B$5,8+$F9),SUM('融资租赁与资金缺口'!$D$5:$D$16)*$U9*$C9,0),IF(BY$4=EDATE('核心假设'!$B$5,9+$F9),SUM('融资租赁与资金缺口'!$D$5:$D$16)*$V9*$C9,0),IF(BY$4=EDATE('核心假设'!$B$5,10+$F9),SUM('融资租赁与资金缺口'!$D$5:$D$16)*$W9*$C9,0),IF(BY$4=EDATE('核心假设'!$B$5,11+$F9),SUM('融资租赁与资金缺口'!$D$5:$D$16)*$X9*$C9,0),IF(BY$4=EDATE('核心假设'!$B$5,12+$F9),SUM('融资租赁与资金缺口'!$D$5:$D$16)*$Y9*$C9,0),IF(BY$4=EDATE('核心假设'!$B$5,13+$F9),SUM('融资租赁与资金缺口'!$D$5:$D$16)*$Z9*$C9,0),IF(BY$4=EDATE('核心假设'!$B$5,14+$F9),SUM('融资租赁与资金缺口'!$D$5:$D$16)*$AA9*$C9,0),IF(BY$4=EDATE('核心假设'!$B$5,15+$F9),SUM('融资租赁与资金缺口'!$D$5:$D$16)*$AB9*$C9,0),IF(BY$4=EDATE('核心假设'!$B$5,16+$F9),SUM('融资租赁与资金缺口'!$D$5:$D$16)*$AC9*$C9,0),IF(BY$4=EDATE('核心假设'!$B$5,17+$F9),SUM('融资租赁与资金缺口'!$D$5:$D$16)*$AD9*$C9,0))-BY33</x:f>
        <x:v>666710310.0734503</x:v>
      </x:c>
      <x:c r="BZ34" s="28" t="n">
        <x:f>BY34+BZ30-BZ31+SUM(IF(BZ$4=EDATE('核心假设'!$B$5,0+$F9),SUM('融资租赁与资金缺口'!$D$5:$D$16)*$M9*$C9,0),IF(BZ$4=EDATE('核心假设'!$B$5,1+$F9),SUM('融资租赁与资金缺口'!$D$5:$D$16)*$N9*$C9,0),IF(BZ$4=EDATE('核心假设'!$B$5,2+$F9),SUM('融资租赁与资金缺口'!$D$5:$D$16)*$O9*$C9,0),IF(BZ$4=EDATE('核心假设'!$B$5,3+$F9),SUM('融资租赁与资金缺口'!$D$5:$D$16)*$P9*$C9,0),IF(BZ$4=EDATE('核心假设'!$B$5,4+$F9),SUM('融资租赁与资金缺口'!$D$5:$D$16)*$Q9*$C9,0),IF(BZ$4=EDATE('核心假设'!$B$5,5+$F9),SUM('融资租赁与资金缺口'!$D$5:$D$16)*$R9*$C9,0),IF(BZ$4=EDATE('核心假设'!$B$5,6+$F9),SUM('融资租赁与资金缺口'!$D$5:$D$16)*$S9*$C9,0),IF(BZ$4=EDATE('核心假设'!$B$5,7+$F9),SUM('融资租赁与资金缺口'!$D$5:$D$16)*$T9*$C9,0),IF(BZ$4=EDATE('核心假设'!$B$5,8+$F9),SUM('融资租赁与资金缺口'!$D$5:$D$16)*$U9*$C9,0),IF(BZ$4=EDATE('核心假设'!$B$5,9+$F9),SUM('融资租赁与资金缺口'!$D$5:$D$16)*$V9*$C9,0),IF(BZ$4=EDATE('核心假设'!$B$5,10+$F9),SUM('融资租赁与资金缺口'!$D$5:$D$16)*$W9*$C9,0),IF(BZ$4=EDATE('核心假设'!$B$5,11+$F9),SUM('融资租赁与资金缺口'!$D$5:$D$16)*$X9*$C9,0),IF(BZ$4=EDATE('核心假设'!$B$5,12+$F9),SUM('融资租赁与资金缺口'!$D$5:$D$16)*$Y9*$C9,0),IF(BZ$4=EDATE('核心假设'!$B$5,13+$F9),SUM('融资租赁与资金缺口'!$D$5:$D$16)*$Z9*$C9,0),IF(BZ$4=EDATE('核心假设'!$B$5,14+$F9),SUM('融资租赁与资金缺口'!$D$5:$D$16)*$AA9*$C9,0),IF(BZ$4=EDATE('核心假设'!$B$5,15+$F9),SUM('融资租赁与资金缺口'!$D$5:$D$16)*$AB9*$C9,0),IF(BZ$4=EDATE('核心假设'!$B$5,16+$F9),SUM('融资租赁与资金缺口'!$D$5:$D$16)*$AC9*$C9,0),IF(BZ$4=EDATE('核心假设'!$B$5,17+$F9),SUM('融资租赁与资金缺口'!$D$5:$D$16)*$AD9*$C9,0))-BZ33</x:f>
        <x:v>696944801.4091296</x:v>
      </x:c>
      <x:c r="CA34" s="28" t="n">
        <x:f>BZ34+CA30-CA31+SUM(IF(CA$4=EDATE('核心假设'!$B$5,0+$F9),SUM('融资租赁与资金缺口'!$D$5:$D$16)*$M9*$C9,0),IF(CA$4=EDATE('核心假设'!$B$5,1+$F9),SUM('融资租赁与资金缺口'!$D$5:$D$16)*$N9*$C9,0),IF(CA$4=EDATE('核心假设'!$B$5,2+$F9),SUM('融资租赁与资金缺口'!$D$5:$D$16)*$O9*$C9,0),IF(CA$4=EDATE('核心假设'!$B$5,3+$F9),SUM('融资租赁与资金缺口'!$D$5:$D$16)*$P9*$C9,0),IF(CA$4=EDATE('核心假设'!$B$5,4+$F9),SUM('融资租赁与资金缺口'!$D$5:$D$16)*$Q9*$C9,0),IF(CA$4=EDATE('核心假设'!$B$5,5+$F9),SUM('融资租赁与资金缺口'!$D$5:$D$16)*$R9*$C9,0),IF(CA$4=EDATE('核心假设'!$B$5,6+$F9),SUM('融资租赁与资金缺口'!$D$5:$D$16)*$S9*$C9,0),IF(CA$4=EDATE('核心假设'!$B$5,7+$F9),SUM('融资租赁与资金缺口'!$D$5:$D$16)*$T9*$C9,0),IF(CA$4=EDATE('核心假设'!$B$5,8+$F9),SUM('融资租赁与资金缺口'!$D$5:$D$16)*$U9*$C9,0),IF(CA$4=EDATE('核心假设'!$B$5,9+$F9),SUM('融资租赁与资金缺口'!$D$5:$D$16)*$V9*$C9,0),IF(CA$4=EDATE('核心假设'!$B$5,10+$F9),SUM('融资租赁与资金缺口'!$D$5:$D$16)*$W9*$C9,0),IF(CA$4=EDATE('核心假设'!$B$5,11+$F9),SUM('融资租赁与资金缺口'!$D$5:$D$16)*$X9*$C9,0),IF(CA$4=EDATE('核心假设'!$B$5,12+$F9),SUM('融资租赁与资金缺口'!$D$5:$D$16)*$Y9*$C9,0),IF(CA$4=EDATE('核心假设'!$B$5,13+$F9),SUM('融资租赁与资金缺口'!$D$5:$D$16)*$Z9*$C9,0),IF(CA$4=EDATE('核心假设'!$B$5,14+$F9),SUM('融资租赁与资金缺口'!$D$5:$D$16)*$AA9*$C9,0),IF(CA$4=EDATE('核心假设'!$B$5,15+$F9),SUM('融资租赁与资金缺口'!$D$5:$D$16)*$AB9*$C9,0),IF(CA$4=EDATE('核心假设'!$B$5,16+$F9),SUM('融资租赁与资金缺口'!$D$5:$D$16)*$AC9*$C9,0),IF(CA$4=EDATE('核心假设'!$B$5,17+$F9),SUM('融资租赁与资金缺口'!$D$5:$D$16)*$AD9*$C9,0))-CA33</x:f>
        <x:v>729740060.9446883</x:v>
      </x:c>
      <x:c r="CB34" s="28" t="n">
        <x:f>CA34+CB30-CB31+SUM(IF(CB$4=EDATE('核心假设'!$B$5,0+$F9),SUM('融资租赁与资金缺口'!$D$5:$D$16)*$M9*$C9,0),IF(CB$4=EDATE('核心假设'!$B$5,1+$F9),SUM('融资租赁与资金缺口'!$D$5:$D$16)*$N9*$C9,0),IF(CB$4=EDATE('核心假设'!$B$5,2+$F9),SUM('融资租赁与资金缺口'!$D$5:$D$16)*$O9*$C9,0),IF(CB$4=EDATE('核心假设'!$B$5,3+$F9),SUM('融资租赁与资金缺口'!$D$5:$D$16)*$P9*$C9,0),IF(CB$4=EDATE('核心假设'!$B$5,4+$F9),SUM('融资租赁与资金缺口'!$D$5:$D$16)*$Q9*$C9,0),IF(CB$4=EDATE('核心假设'!$B$5,5+$F9),SUM('融资租赁与资金缺口'!$D$5:$D$16)*$R9*$C9,0),IF(CB$4=EDATE('核心假设'!$B$5,6+$F9),SUM('融资租赁与资金缺口'!$D$5:$D$16)*$S9*$C9,0),IF(CB$4=EDATE('核心假设'!$B$5,7+$F9),SUM('融资租赁与资金缺口'!$D$5:$D$16)*$T9*$C9,0),IF(CB$4=EDATE('核心假设'!$B$5,8+$F9),SUM('融资租赁与资金缺口'!$D$5:$D$16)*$U9*$C9,0),IF(CB$4=EDATE('核心假设'!$B$5,9+$F9),SUM('融资租赁与资金缺口'!$D$5:$D$16)*$V9*$C9,0),IF(CB$4=EDATE('核心假设'!$B$5,10+$F9),SUM('融资租赁与资金缺口'!$D$5:$D$16)*$W9*$C9,0),IF(CB$4=EDATE('核心假设'!$B$5,11+$F9),SUM('融资租赁与资金缺口'!$D$5:$D$16)*$X9*$C9,0),IF(CB$4=EDATE('核心假设'!$B$5,12+$F9),SUM('融资租赁与资金缺口'!$D$5:$D$16)*$Y9*$C9,0),IF(CB$4=EDATE('核心假设'!$B$5,13+$F9),SUM('融资租赁与资金缺口'!$D$5:$D$16)*$Z9*$C9,0),IF(CB$4=EDATE('核心假设'!$B$5,14+$F9),SUM('融资租赁与资金缺口'!$D$5:$D$16)*$AA9*$C9,0),IF(CB$4=EDATE('核心假设'!$B$5,15+$F9),SUM('融资租赁与资金缺口'!$D$5:$D$16)*$AB9*$C9,0),IF(CB$4=EDATE('核心假设'!$B$5,16+$F9),SUM('融资租赁与资金缺口'!$D$5:$D$16)*$AC9*$C9,0),IF(CB$4=EDATE('核心假设'!$B$5,17+$F9),SUM('融资租赁与资金缺口'!$D$5:$D$16)*$AD9*$C9,0))-CB33</x:f>
        <x:v>761000246.7207285</x:v>
      </x:c>
      <x:c r="CC34" s="28" t="n">
        <x:f>CB34+CC30-CC31+SUM(IF(CC$4=EDATE('核心假设'!$B$5,0+$F9),SUM('融资租赁与资金缺口'!$D$5:$D$16)*$M9*$C9,0),IF(CC$4=EDATE('核心假设'!$B$5,1+$F9),SUM('融资租赁与资金缺口'!$D$5:$D$16)*$N9*$C9,0),IF(CC$4=EDATE('核心假设'!$B$5,2+$F9),SUM('融资租赁与资金缺口'!$D$5:$D$16)*$O9*$C9,0),IF(CC$4=EDATE('核心假设'!$B$5,3+$F9),SUM('融资租赁与资金缺口'!$D$5:$D$16)*$P9*$C9,0),IF(CC$4=EDATE('核心假设'!$B$5,4+$F9),SUM('融资租赁与资金缺口'!$D$5:$D$16)*$Q9*$C9,0),IF(CC$4=EDATE('核心假设'!$B$5,5+$F9),SUM('融资租赁与资金缺口'!$D$5:$D$16)*$R9*$C9,0),IF(CC$4=EDATE('核心假设'!$B$5,6+$F9),SUM('融资租赁与资金缺口'!$D$5:$D$16)*$S9*$C9,0),IF(CC$4=EDATE('核心假设'!$B$5,7+$F9),SUM('融资租赁与资金缺口'!$D$5:$D$16)*$T9*$C9,0),IF(CC$4=EDATE('核心假设'!$B$5,8+$F9),SUM('融资租赁与资金缺口'!$D$5:$D$16)*$U9*$C9,0),IF(CC$4=EDATE('核心假设'!$B$5,9+$F9),SUM('融资租赁与资金缺口'!$D$5:$D$16)*$V9*$C9,0),IF(CC$4=EDATE('核心假设'!$B$5,10+$F9),SUM('融资租赁与资金缺口'!$D$5:$D$16)*$W9*$C9,0),IF(CC$4=EDATE('核心假设'!$B$5,11+$F9),SUM('融资租赁与资金缺口'!$D$5:$D$16)*$X9*$C9,0),IF(CC$4=EDATE('核心假设'!$B$5,12+$F9),SUM('融资租赁与资金缺口'!$D$5:$D$16)*$Y9*$C9,0),IF(CC$4=EDATE('核心假设'!$B$5,13+$F9),SUM('融资租赁与资金缺口'!$D$5:$D$16)*$Z9*$C9,0),IF(CC$4=EDATE('核心假设'!$B$5,14+$F9),SUM('融资租赁与资金缺口'!$D$5:$D$16)*$AA9*$C9,0),IF(CC$4=EDATE('核心假设'!$B$5,15+$F9),SUM('融资租赁与资金缺口'!$D$5:$D$16)*$AB9*$C9,0),IF(CC$4=EDATE('核心假设'!$B$5,16+$F9),SUM('融资租赁与资金缺口'!$D$5:$D$16)*$AC9*$C9,0),IF(CC$4=EDATE('核心假设'!$B$5,17+$F9),SUM('融资租赁与资金缺口'!$D$5:$D$16)*$AD9*$C9,0))-CC33</x:f>
        <x:v>792417033.664292</x:v>
      </x:c>
      <x:c r="CD34" s="28" t="n">
        <x:f>CC34+CD30-CD31+SUM(IF(CD$4=EDATE('核心假设'!$B$5,0+$F9),SUM('融资租赁与资金缺口'!$D$5:$D$16)*$M9*$C9,0),IF(CD$4=EDATE('核心假设'!$B$5,1+$F9),SUM('融资租赁与资金缺口'!$D$5:$D$16)*$N9*$C9,0),IF(CD$4=EDATE('核心假设'!$B$5,2+$F9),SUM('融资租赁与资金缺口'!$D$5:$D$16)*$O9*$C9,0),IF(CD$4=EDATE('核心假设'!$B$5,3+$F9),SUM('融资租赁与资金缺口'!$D$5:$D$16)*$P9*$C9,0),IF(CD$4=EDATE('核心假设'!$B$5,4+$F9),SUM('融资租赁与资金缺口'!$D$5:$D$16)*$Q9*$C9,0),IF(CD$4=EDATE('核心假设'!$B$5,5+$F9),SUM('融资租赁与资金缺口'!$D$5:$D$16)*$R9*$C9,0),IF(CD$4=EDATE('核心假设'!$B$5,6+$F9),SUM('融资租赁与资金缺口'!$D$5:$D$16)*$S9*$C9,0),IF(CD$4=EDATE('核心假设'!$B$5,7+$F9),SUM('融资租赁与资金缺口'!$D$5:$D$16)*$T9*$C9,0),IF(CD$4=EDATE('核心假设'!$B$5,8+$F9),SUM('融资租赁与资金缺口'!$D$5:$D$16)*$U9*$C9,0),IF(CD$4=EDATE('核心假设'!$B$5,9+$F9),SUM('融资租赁与资金缺口'!$D$5:$D$16)*$V9*$C9,0),IF(CD$4=EDATE('核心假设'!$B$5,10+$F9),SUM('融资租赁与资金缺口'!$D$5:$D$16)*$W9*$C9,0),IF(CD$4=EDATE('核心假设'!$B$5,11+$F9),SUM('融资租赁与资金缺口'!$D$5:$D$16)*$X9*$C9,0),IF(CD$4=EDATE('核心假设'!$B$5,12+$F9),SUM('融资租赁与资金缺口'!$D$5:$D$16)*$Y9*$C9,0),IF(CD$4=EDATE('核心假设'!$B$5,13+$F9),SUM('融资租赁与资金缺口'!$D$5:$D$16)*$Z9*$C9,0),IF(CD$4=EDATE('核心假设'!$B$5,14+$F9),SUM('融资租赁与资金缺口'!$D$5:$D$16)*$AA9*$C9,0),IF(CD$4=EDATE('核心假设'!$B$5,15+$F9),SUM('融资租赁与资金缺口'!$D$5:$D$16)*$AB9*$C9,0),IF(CD$4=EDATE('核心假设'!$B$5,16+$F9),SUM('融资租赁与资金缺口'!$D$5:$D$16)*$AC9*$C9,0),IF(CD$4=EDATE('核心假设'!$B$5,17+$F9),SUM('融资租赁与资金缺口'!$D$5:$D$16)*$AD9*$C9,0))-CD33</x:f>
        <x:v>825818801.7836204</x:v>
      </x:c>
      <x:c r="CE34" s="28" t="n">
        <x:f>CD34+CE30-CE31+SUM(IF(CE$4=EDATE('核心假设'!$B$5,0+$F9),SUM('融资租赁与资金缺口'!$D$5:$D$16)*$M9*$C9,0),IF(CE$4=EDATE('核心假设'!$B$5,1+$F9),SUM('融资租赁与资金缺口'!$D$5:$D$16)*$N9*$C9,0),IF(CE$4=EDATE('核心假设'!$B$5,2+$F9),SUM('融资租赁与资金缺口'!$D$5:$D$16)*$O9*$C9,0),IF(CE$4=EDATE('核心假设'!$B$5,3+$F9),SUM('融资租赁与资金缺口'!$D$5:$D$16)*$P9*$C9,0),IF(CE$4=EDATE('核心假设'!$B$5,4+$F9),SUM('融资租赁与资金缺口'!$D$5:$D$16)*$Q9*$C9,0),IF(CE$4=EDATE('核心假设'!$B$5,5+$F9),SUM('融资租赁与资金缺口'!$D$5:$D$16)*$R9*$C9,0),IF(CE$4=EDATE('核心假设'!$B$5,6+$F9),SUM('融资租赁与资金缺口'!$D$5:$D$16)*$S9*$C9,0),IF(CE$4=EDATE('核心假设'!$B$5,7+$F9),SUM('融资租赁与资金缺口'!$D$5:$D$16)*$T9*$C9,0),IF(CE$4=EDATE('核心假设'!$B$5,8+$F9),SUM('融资租赁与资金缺口'!$D$5:$D$16)*$U9*$C9,0),IF(CE$4=EDATE('核心假设'!$B$5,9+$F9),SUM('融资租赁与资金缺口'!$D$5:$D$16)*$V9*$C9,0),IF(CE$4=EDATE('核心假设'!$B$5,10+$F9),SUM('融资租赁与资金缺口'!$D$5:$D$16)*$W9*$C9,0),IF(CE$4=EDATE('核心假设'!$B$5,11+$F9),SUM('融资租赁与资金缺口'!$D$5:$D$16)*$X9*$C9,0),IF(CE$4=EDATE('核心假设'!$B$5,12+$F9),SUM('融资租赁与资金缺口'!$D$5:$D$16)*$Y9*$C9,0),IF(CE$4=EDATE('核心假设'!$B$5,13+$F9),SUM('融资租赁与资金缺口'!$D$5:$D$16)*$Z9*$C9,0),IF(CE$4=EDATE('核心假设'!$B$5,14+$F9),SUM('融资租赁与资金缺口'!$D$5:$D$16)*$AA9*$C9,0),IF(CE$4=EDATE('核心假设'!$B$5,15+$F9),SUM('融资租赁与资金缺口'!$D$5:$D$16)*$AB9*$C9,0),IF(CE$4=EDATE('核心假设'!$B$5,16+$F9),SUM('融资租赁与资金缺口'!$D$5:$D$16)*$AC9*$C9,0),IF(CE$4=EDATE('核心假设'!$B$5,17+$F9),SUM('融资租赁与资金缺口'!$D$5:$D$16)*$AD9*$C9,0))-CE33</x:f>
        <x:v>864263744.5415442</x:v>
      </x:c>
      <x:c r="CF34" s="28" t="n">
        <x:f>CE34+CF30-CF31+SUM(IF(CF$4=EDATE('核心假设'!$B$5,0+$F9),SUM('融资租赁与资金缺口'!$D$5:$D$16)*$M9*$C9,0),IF(CF$4=EDATE('核心假设'!$B$5,1+$F9),SUM('融资租赁与资金缺口'!$D$5:$D$16)*$N9*$C9,0),IF(CF$4=EDATE('核心假设'!$B$5,2+$F9),SUM('融资租赁与资金缺口'!$D$5:$D$16)*$O9*$C9,0),IF(CF$4=EDATE('核心假设'!$B$5,3+$F9),SUM('融资租赁与资金缺口'!$D$5:$D$16)*$P9*$C9,0),IF(CF$4=EDATE('核心假设'!$B$5,4+$F9),SUM('融资租赁与资金缺口'!$D$5:$D$16)*$Q9*$C9,0),IF(CF$4=EDATE('核心假设'!$B$5,5+$F9),SUM('融资租赁与资金缺口'!$D$5:$D$16)*$R9*$C9,0),IF(CF$4=EDATE('核心假设'!$B$5,6+$F9),SUM('融资租赁与资金缺口'!$D$5:$D$16)*$S9*$C9,0),IF(CF$4=EDATE('核心假设'!$B$5,7+$F9),SUM('融资租赁与资金缺口'!$D$5:$D$16)*$T9*$C9,0),IF(CF$4=EDATE('核心假设'!$B$5,8+$F9),SUM('融资租赁与资金缺口'!$D$5:$D$16)*$U9*$C9,0),IF(CF$4=EDATE('核心假设'!$B$5,9+$F9),SUM('融资租赁与资金缺口'!$D$5:$D$16)*$V9*$C9,0),IF(CF$4=EDATE('核心假设'!$B$5,10+$F9),SUM('融资租赁与资金缺口'!$D$5:$D$16)*$W9*$C9,0),IF(CF$4=EDATE('核心假设'!$B$5,11+$F9),SUM('融资租赁与资金缺口'!$D$5:$D$16)*$X9*$C9,0),IF(CF$4=EDATE('核心假设'!$B$5,12+$F9),SUM('融资租赁与资金缺口'!$D$5:$D$16)*$Y9*$C9,0),IF(CF$4=EDATE('核心假设'!$B$5,13+$F9),SUM('融资租赁与资金缺口'!$D$5:$D$16)*$Z9*$C9,0),IF(CF$4=EDATE('核心假设'!$B$5,14+$F9),SUM('融资租赁与资金缺口'!$D$5:$D$16)*$AA9*$C9,0),IF(CF$4=EDATE('核心假设'!$B$5,15+$F9),SUM('融资租赁与资金缺口'!$D$5:$D$16)*$AB9*$C9,0),IF(CF$4=EDATE('核心假设'!$B$5,16+$F9),SUM('融资租赁与资金缺口'!$D$5:$D$16)*$AC9*$C9,0),IF(CF$4=EDATE('核心假设'!$B$5,17+$F9),SUM('融资租赁与资金缺口'!$D$5:$D$16)*$AD9*$C9,0))-CF33</x:f>
        <x:v>900104014.7858557</x:v>
      </x:c>
      <x:c r="CG34" s="28" t="n">
        <x:f>CF34+CG30-CG31+SUM(IF(CG$4=EDATE('核心假设'!$B$5,0+$F9),SUM('融资租赁与资金缺口'!$D$5:$D$16)*$M9*$C9,0),IF(CG$4=EDATE('核心假设'!$B$5,1+$F9),SUM('融资租赁与资金缺口'!$D$5:$D$16)*$N9*$C9,0),IF(CG$4=EDATE('核心假设'!$B$5,2+$F9),SUM('融资租赁与资金缺口'!$D$5:$D$16)*$O9*$C9,0),IF(CG$4=EDATE('核心假设'!$B$5,3+$F9),SUM('融资租赁与资金缺口'!$D$5:$D$16)*$P9*$C9,0),IF(CG$4=EDATE('核心假设'!$B$5,4+$F9),SUM('融资租赁与资金缺口'!$D$5:$D$16)*$Q9*$C9,0),IF(CG$4=EDATE('核心假设'!$B$5,5+$F9),SUM('融资租赁与资金缺口'!$D$5:$D$16)*$R9*$C9,0),IF(CG$4=EDATE('核心假设'!$B$5,6+$F9),SUM('融资租赁与资金缺口'!$D$5:$D$16)*$S9*$C9,0),IF(CG$4=EDATE('核心假设'!$B$5,7+$F9),SUM('融资租赁与资金缺口'!$D$5:$D$16)*$T9*$C9,0),IF(CG$4=EDATE('核心假设'!$B$5,8+$F9),SUM('融资租赁与资金缺口'!$D$5:$D$16)*$U9*$C9,0),IF(CG$4=EDATE('核心假设'!$B$5,9+$F9),SUM('融资租赁与资金缺口'!$D$5:$D$16)*$V9*$C9,0),IF(CG$4=EDATE('核心假设'!$B$5,10+$F9),SUM('融资租赁与资金缺口'!$D$5:$D$16)*$W9*$C9,0),IF(CG$4=EDATE('核心假设'!$B$5,11+$F9),SUM('融资租赁与资金缺口'!$D$5:$D$16)*$X9*$C9,0),IF(CG$4=EDATE('核心假设'!$B$5,12+$F9),SUM('融资租赁与资金缺口'!$D$5:$D$16)*$Y9*$C9,0),IF(CG$4=EDATE('核心假设'!$B$5,13+$F9),SUM('融资租赁与资金缺口'!$D$5:$D$16)*$Z9*$C9,0),IF(CG$4=EDATE('核心假设'!$B$5,14+$F9),SUM('融资租赁与资金缺口'!$D$5:$D$16)*$AA9*$C9,0),IF(CG$4=EDATE('核心假设'!$B$5,15+$F9),SUM('融资租赁与资金缺口'!$D$5:$D$16)*$AB9*$C9,0),IF(CG$4=EDATE('核心假设'!$B$5,16+$F9),SUM('融资租赁与资金缺口'!$D$5:$D$16)*$AC9*$C9,0),IF(CG$4=EDATE('核心假设'!$B$5,17+$F9),SUM('融资租赁与资金缺口'!$D$5:$D$16)*$AD9*$C9,0))-CG33</x:f>
        <x:v>929869826.5519265</x:v>
      </x:c>
      <x:c r="CH34" s="28" t="n">
        <x:f>CG34+CH30-CH31+SUM(IF(CH$4=EDATE('核心假设'!$B$5,0+$F9),SUM('融资租赁与资金缺口'!$D$5:$D$16)*$M9*$C9,0),IF(CH$4=EDATE('核心假设'!$B$5,1+$F9),SUM('融资租赁与资金缺口'!$D$5:$D$16)*$N9*$C9,0),IF(CH$4=EDATE('核心假设'!$B$5,2+$F9),SUM('融资租赁与资金缺口'!$D$5:$D$16)*$O9*$C9,0),IF(CH$4=EDATE('核心假设'!$B$5,3+$F9),SUM('融资租赁与资金缺口'!$D$5:$D$16)*$P9*$C9,0),IF(CH$4=EDATE('核心假设'!$B$5,4+$F9),SUM('融资租赁与资金缺口'!$D$5:$D$16)*$Q9*$C9,0),IF(CH$4=EDATE('核心假设'!$B$5,5+$F9),SUM('融资租赁与资金缺口'!$D$5:$D$16)*$R9*$C9,0),IF(CH$4=EDATE('核心假设'!$B$5,6+$F9),SUM('融资租赁与资金缺口'!$D$5:$D$16)*$S9*$C9,0),IF(CH$4=EDATE('核心假设'!$B$5,7+$F9),SUM('融资租赁与资金缺口'!$D$5:$D$16)*$T9*$C9,0),IF(CH$4=EDATE('核心假设'!$B$5,8+$F9),SUM('融资租赁与资金缺口'!$D$5:$D$16)*$U9*$C9,0),IF(CH$4=EDATE('核心假设'!$B$5,9+$F9),SUM('融资租赁与资金缺口'!$D$5:$D$16)*$V9*$C9,0),IF(CH$4=EDATE('核心假设'!$B$5,10+$F9),SUM('融资租赁与资金缺口'!$D$5:$D$16)*$W9*$C9,0),IF(CH$4=EDATE('核心假设'!$B$5,11+$F9),SUM('融资租赁与资金缺口'!$D$5:$D$16)*$X9*$C9,0),IF(CH$4=EDATE('核心假设'!$B$5,12+$F9),SUM('融资租赁与资金缺口'!$D$5:$D$16)*$Y9*$C9,0),IF(CH$4=EDATE('核心假设'!$B$5,13+$F9),SUM('融资租赁与资金缺口'!$D$5:$D$16)*$Z9*$C9,0),IF(CH$4=EDATE('核心假设'!$B$5,14+$F9),SUM('融资租赁与资金缺口'!$D$5:$D$16)*$AA9*$C9,0),IF(CH$4=EDATE('核心假设'!$B$5,15+$F9),SUM('融资租赁与资金缺口'!$D$5:$D$16)*$AB9*$C9,0),IF(CH$4=EDATE('核心假设'!$B$5,16+$F9),SUM('融资租赁与资金缺口'!$D$5:$D$16)*$AC9*$C9,0),IF(CH$4=EDATE('核心假设'!$B$5,17+$F9),SUM('融资租赁与资金缺口'!$D$5:$D$16)*$AD9*$C9,0))-CH33</x:f>
        <x:v>962019445.1435446</x:v>
      </x:c>
      <x:c r="CI34" s="28" t="n">
        <x:f>CH34+CI30-CI31+SUM(IF(CI$4=EDATE('核心假设'!$B$5,0+$F9),SUM('融资租赁与资金缺口'!$D$5:$D$16)*$M9*$C9,0),IF(CI$4=EDATE('核心假设'!$B$5,1+$F9),SUM('融资租赁与资金缺口'!$D$5:$D$16)*$N9*$C9,0),IF(CI$4=EDATE('核心假设'!$B$5,2+$F9),SUM('融资租赁与资金缺口'!$D$5:$D$16)*$O9*$C9,0),IF(CI$4=EDATE('核心假设'!$B$5,3+$F9),SUM('融资租赁与资金缺口'!$D$5:$D$16)*$P9*$C9,0),IF(CI$4=EDATE('核心假设'!$B$5,4+$F9),SUM('融资租赁与资金缺口'!$D$5:$D$16)*$Q9*$C9,0),IF(CI$4=EDATE('核心假设'!$B$5,5+$F9),SUM('融资租赁与资金缺口'!$D$5:$D$16)*$R9*$C9,0),IF(CI$4=EDATE('核心假设'!$B$5,6+$F9),SUM('融资租赁与资金缺口'!$D$5:$D$16)*$S9*$C9,0),IF(CI$4=EDATE('核心假设'!$B$5,7+$F9),SUM('融资租赁与资金缺口'!$D$5:$D$16)*$T9*$C9,0),IF(CI$4=EDATE('核心假设'!$B$5,8+$F9),SUM('融资租赁与资金缺口'!$D$5:$D$16)*$U9*$C9,0),IF(CI$4=EDATE('核心假设'!$B$5,9+$F9),SUM('融资租赁与资金缺口'!$D$5:$D$16)*$V9*$C9,0),IF(CI$4=EDATE('核心假设'!$B$5,10+$F9),SUM('融资租赁与资金缺口'!$D$5:$D$16)*$W9*$C9,0),IF(CI$4=EDATE('核心假设'!$B$5,11+$F9),SUM('融资租赁与资金缺口'!$D$5:$D$16)*$X9*$C9,0),IF(CI$4=EDATE('核心假设'!$B$5,12+$F9),SUM('融资租赁与资金缺口'!$D$5:$D$16)*$Y9*$C9,0),IF(CI$4=EDATE('核心假设'!$B$5,13+$F9),SUM('融资租赁与资金缺口'!$D$5:$D$16)*$Z9*$C9,0),IF(CI$4=EDATE('核心假设'!$B$5,14+$F9),SUM('融资租赁与资金缺口'!$D$5:$D$16)*$AA9*$C9,0),IF(CI$4=EDATE('核心假设'!$B$5,15+$F9),SUM('融资租赁与资金缺口'!$D$5:$D$16)*$AB9*$C9,0),IF(CI$4=EDATE('核心假设'!$B$5,16+$F9),SUM('融资租赁与资金缺口'!$D$5:$D$16)*$AC9*$C9,0),IF(CI$4=EDATE('核心假设'!$B$5,17+$F9),SUM('融资租赁与资金缺口'!$D$5:$D$16)*$AD9*$C9,0))-CI33</x:f>
        <x:v>995488551.5180722</x:v>
      </x:c>
      <x:c r="CJ34" s="28" t="n">
        <x:f>CI34+CJ30-CJ31+SUM(IF(CJ$4=EDATE('核心假设'!$B$5,0+$F9),SUM('融资租赁与资金缺口'!$D$5:$D$16)*$M9*$C9,0),IF(CJ$4=EDATE('核心假设'!$B$5,1+$F9),SUM('融资租赁与资金缺口'!$D$5:$D$16)*$N9*$C9,0),IF(CJ$4=EDATE('核心假设'!$B$5,2+$F9),SUM('融资租赁与资金缺口'!$D$5:$D$16)*$O9*$C9,0),IF(CJ$4=EDATE('核心假设'!$B$5,3+$F9),SUM('融资租赁与资金缺口'!$D$5:$D$16)*$P9*$C9,0),IF(CJ$4=EDATE('核心假设'!$B$5,4+$F9),SUM('融资租赁与资金缺口'!$D$5:$D$16)*$Q9*$C9,0),IF(CJ$4=EDATE('核心假设'!$B$5,5+$F9),SUM('融资租赁与资金缺口'!$D$5:$D$16)*$R9*$C9,0),IF(CJ$4=EDATE('核心假设'!$B$5,6+$F9),SUM('融资租赁与资金缺口'!$D$5:$D$16)*$S9*$C9,0),IF(CJ$4=EDATE('核心假设'!$B$5,7+$F9),SUM('融资租赁与资金缺口'!$D$5:$D$16)*$T9*$C9,0),IF(CJ$4=EDATE('核心假设'!$B$5,8+$F9),SUM('融资租赁与资金缺口'!$D$5:$D$16)*$U9*$C9,0),IF(CJ$4=EDATE('核心假设'!$B$5,9+$F9),SUM('融资租赁与资金缺口'!$D$5:$D$16)*$V9*$C9,0),IF(CJ$4=EDATE('核心假设'!$B$5,10+$F9),SUM('融资租赁与资金缺口'!$D$5:$D$16)*$W9*$C9,0),IF(CJ$4=EDATE('核心假设'!$B$5,11+$F9),SUM('融资租赁与资金缺口'!$D$5:$D$16)*$X9*$C9,0),IF(CJ$4=EDATE('核心假设'!$B$5,12+$F9),SUM('融资租赁与资金缺口'!$D$5:$D$16)*$Y9*$C9,0),IF(CJ$4=EDATE('核心假设'!$B$5,13+$F9),SUM('融资租赁与资金缺口'!$D$5:$D$16)*$Z9*$C9,0),IF(CJ$4=EDATE('核心假设'!$B$5,14+$F9),SUM('融资租赁与资金缺口'!$D$5:$D$16)*$AA9*$C9,0),IF(CJ$4=EDATE('核心假设'!$B$5,15+$F9),SUM('融资租赁与资金缺口'!$D$5:$D$16)*$AB9*$C9,0),IF(CJ$4=EDATE('核心假设'!$B$5,16+$F9),SUM('融资租赁与资金缺口'!$D$5:$D$16)*$AC9*$C9,0),IF(CJ$4=EDATE('核心假设'!$B$5,17+$F9),SUM('融资租赁与资金缺口'!$D$5:$D$16)*$AD9*$C9,0))-CJ33</x:f>
        <x:v>1029839550.1053592</x:v>
      </x:c>
      <x:c r="CK34" s="28" t="n">
        <x:f>CJ34+CK30-CK31+SUM(IF(CK$4=EDATE('核心假设'!$B$5,0+$F9),SUM('融资租赁与资金缺口'!$D$5:$D$16)*$M9*$C9,0),IF(CK$4=EDATE('核心假设'!$B$5,1+$F9),SUM('融资租赁与资金缺口'!$D$5:$D$16)*$N9*$C9,0),IF(CK$4=EDATE('核心假设'!$B$5,2+$F9),SUM('融资租赁与资金缺口'!$D$5:$D$16)*$O9*$C9,0),IF(CK$4=EDATE('核心假设'!$B$5,3+$F9),SUM('融资租赁与资金缺口'!$D$5:$D$16)*$P9*$C9,0),IF(CK$4=EDATE('核心假设'!$B$5,4+$F9),SUM('融资租赁与资金缺口'!$D$5:$D$16)*$Q9*$C9,0),IF(CK$4=EDATE('核心假设'!$B$5,5+$F9),SUM('融资租赁与资金缺口'!$D$5:$D$16)*$R9*$C9,0),IF(CK$4=EDATE('核心假设'!$B$5,6+$F9),SUM('融资租赁与资金缺口'!$D$5:$D$16)*$S9*$C9,0),IF(CK$4=EDATE('核心假设'!$B$5,7+$F9),SUM('融资租赁与资金缺口'!$D$5:$D$16)*$T9*$C9,0),IF(CK$4=EDATE('核心假设'!$B$5,8+$F9),SUM('融资租赁与资金缺口'!$D$5:$D$16)*$U9*$C9,0),IF(CK$4=EDATE('核心假设'!$B$5,9+$F9),SUM('融资租赁与资金缺口'!$D$5:$D$16)*$V9*$C9,0),IF(CK$4=EDATE('核心假设'!$B$5,10+$F9),SUM('融资租赁与资金缺口'!$D$5:$D$16)*$W9*$C9,0),IF(CK$4=EDATE('核心假设'!$B$5,11+$F9),SUM('融资租赁与资金缺口'!$D$5:$D$16)*$X9*$C9,0),IF(CK$4=EDATE('核心假设'!$B$5,12+$F9),SUM('融资租赁与资金缺口'!$D$5:$D$16)*$Y9*$C9,0),IF(CK$4=EDATE('核心假设'!$B$5,13+$F9),SUM('融资租赁与资金缺口'!$D$5:$D$16)*$Z9*$C9,0),IF(CK$4=EDATE('核心假设'!$B$5,14+$F9),SUM('融资租赁与资金缺口'!$D$5:$D$16)*$AA9*$C9,0),IF(CK$4=EDATE('核心假设'!$B$5,15+$F9),SUM('融资租赁与资金缺口'!$D$5:$D$16)*$AB9*$C9,0),IF(CK$4=EDATE('核心假设'!$B$5,16+$F9),SUM('融资租赁与资金缺口'!$D$5:$D$16)*$AC9*$C9,0),IF(CK$4=EDATE('核心假设'!$B$5,17+$F9),SUM('融资租赁与资金缺口'!$D$5:$D$16)*$AD9*$C9,0))-CK33</x:f>
        <x:v>1066786402.7964442</x:v>
      </x:c>
      <x:c r="CL34" s="28" t="n">
        <x:f>CK34+CL30-CL31+SUM(IF(CL$4=EDATE('核心假设'!$B$5,0+$F9),SUM('融资租赁与资金缺口'!$D$5:$D$16)*$M9*$C9,0),IF(CL$4=EDATE('核心假设'!$B$5,1+$F9),SUM('融资租赁与资金缺口'!$D$5:$D$16)*$N9*$C9,0),IF(CL$4=EDATE('核心假设'!$B$5,2+$F9),SUM('融资租赁与资金缺口'!$D$5:$D$16)*$O9*$C9,0),IF(CL$4=EDATE('核心假设'!$B$5,3+$F9),SUM('融资租赁与资金缺口'!$D$5:$D$16)*$P9*$C9,0),IF(CL$4=EDATE('核心假设'!$B$5,4+$F9),SUM('融资租赁与资金缺口'!$D$5:$D$16)*$Q9*$C9,0),IF(CL$4=EDATE('核心假设'!$B$5,5+$F9),SUM('融资租赁与资金缺口'!$D$5:$D$16)*$R9*$C9,0),IF(CL$4=EDATE('核心假设'!$B$5,6+$F9),SUM('融资租赁与资金缺口'!$D$5:$D$16)*$S9*$C9,0),IF(CL$4=EDATE('核心假设'!$B$5,7+$F9),SUM('融资租赁与资金缺口'!$D$5:$D$16)*$T9*$C9,0),IF(CL$4=EDATE('核心假设'!$B$5,8+$F9),SUM('融资租赁与资金缺口'!$D$5:$D$16)*$U9*$C9,0),IF(CL$4=EDATE('核心假设'!$B$5,9+$F9),SUM('融资租赁与资金缺口'!$D$5:$D$16)*$V9*$C9,0),IF(CL$4=EDATE('核心假设'!$B$5,10+$F9),SUM('融资租赁与资金缺口'!$D$5:$D$16)*$W9*$C9,0),IF(CL$4=EDATE('核心假设'!$B$5,11+$F9),SUM('融资租赁与资金缺口'!$D$5:$D$16)*$X9*$C9,0),IF(CL$4=EDATE('核心假设'!$B$5,12+$F9),SUM('融资租赁与资金缺口'!$D$5:$D$16)*$Y9*$C9,0),IF(CL$4=EDATE('核心假设'!$B$5,13+$F9),SUM('融资租赁与资金缺口'!$D$5:$D$16)*$Z9*$C9,0),IF(CL$4=EDATE('核心假设'!$B$5,14+$F9),SUM('融资租赁与资金缺口'!$D$5:$D$16)*$AA9*$C9,0),IF(CL$4=EDATE('核心假设'!$B$5,15+$F9),SUM('融资租赁与资金缺口'!$D$5:$D$16)*$AB9*$C9,0),IF(CL$4=EDATE('核心假设'!$B$5,16+$F9),SUM('融资租赁与资金缺口'!$D$5:$D$16)*$AC9*$C9,0),IF(CL$4=EDATE('核心假设'!$B$5,17+$F9),SUM('融资租赁与资金缺口'!$D$5:$D$16)*$AD9*$C9,0))-CL33</x:f>
        <x:v>1106353443.0793946</x:v>
      </x:c>
      <x:c r="CM34" s="28" t="n">
        <x:f>CL34+CM30-CM31+SUM(IF(CM$4=EDATE('核心假设'!$B$5,0+$F9),SUM('融资租赁与资金缺口'!$D$5:$D$16)*$M9*$C9,0),IF(CM$4=EDATE('核心假设'!$B$5,1+$F9),SUM('融资租赁与资金缺口'!$D$5:$D$16)*$N9*$C9,0),IF(CM$4=EDATE('核心假设'!$B$5,2+$F9),SUM('融资租赁与资金缺口'!$D$5:$D$16)*$O9*$C9,0),IF(CM$4=EDATE('核心假设'!$B$5,3+$F9),SUM('融资租赁与资金缺口'!$D$5:$D$16)*$P9*$C9,0),IF(CM$4=EDATE('核心假设'!$B$5,4+$F9),SUM('融资租赁与资金缺口'!$D$5:$D$16)*$Q9*$C9,0),IF(CM$4=EDATE('核心假设'!$B$5,5+$F9),SUM('融资租赁与资金缺口'!$D$5:$D$16)*$R9*$C9,0),IF(CM$4=EDATE('核心假设'!$B$5,6+$F9),SUM('融资租赁与资金缺口'!$D$5:$D$16)*$S9*$C9,0),IF(CM$4=EDATE('核心假设'!$B$5,7+$F9),SUM('融资租赁与资金缺口'!$D$5:$D$16)*$T9*$C9,0),IF(CM$4=EDATE('核心假设'!$B$5,8+$F9),SUM('融资租赁与资金缺口'!$D$5:$D$16)*$U9*$C9,0),IF(CM$4=EDATE('核心假设'!$B$5,9+$F9),SUM('融资租赁与资金缺口'!$D$5:$D$16)*$V9*$C9,0),IF(CM$4=EDATE('核心假设'!$B$5,10+$F9),SUM('融资租赁与资金缺口'!$D$5:$D$16)*$W9*$C9,0),IF(CM$4=EDATE('核心假设'!$B$5,11+$F9),SUM('融资租赁与资金缺口'!$D$5:$D$16)*$X9*$C9,0),IF(CM$4=EDATE('核心假设'!$B$5,12+$F9),SUM('融资租赁与资金缺口'!$D$5:$D$16)*$Y9*$C9,0),IF(CM$4=EDATE('核心假设'!$B$5,13+$F9),SUM('融资租赁与资金缺口'!$D$5:$D$16)*$Z9*$C9,0),IF(CM$4=EDATE('核心假设'!$B$5,14+$F9),SUM('融资租赁与资金缺口'!$D$5:$D$16)*$AA9*$C9,0),IF(CM$4=EDATE('核心假设'!$B$5,15+$F9),SUM('融资租赁与资金缺口'!$D$5:$D$16)*$AB9*$C9,0),IF(CM$4=EDATE('核心假设'!$B$5,16+$F9),SUM('融资租赁与资金缺口'!$D$5:$D$16)*$AC9*$C9,0),IF(CM$4=EDATE('核心假设'!$B$5,17+$F9),SUM('融资租赁与资金缺口'!$D$5:$D$16)*$AD9*$C9,0))-CM33</x:f>
        <x:v>1147298880.3805094</x:v>
      </x:c>
    </x:row>
    <x:row r="35">
      <x:c r="A35" s="60" t="str">
        <x:v>最低股东资金注入后不为负</x:v>
      </x:c>
      <x:c r="B35" s="70" t="n">
        <x:f>MIN('融资租赁与资金缺口'!$B$119:$BI$119)</x:f>
        <x:v>0</x:v>
      </x:c>
      <x:c r="C35" s="70" t="n">
        <x:f>0</x:f>
        <x:v>0</x:v>
      </x:c>
      <x:c r="D35" s="72" t="n">
        <x:f>B35-C35</x:f>
        <x:v>0</x:v>
      </x:c>
      <x:c r="E35" s="72" t="n">
        <x:v>0.01</x:v>
      </x:c>
      <x:c r="F35" s="54" t="str">
        <x:f>IF(ABS(D35)&lt;=E35,"PASS","FAIL")</x:f>
        <x:v>PASS</x:v>
      </x:c>
      <x:c r="G35" s="52" t="str">
        <x:v>融资租赁与资金缺口!118:119</x:v>
      </x:c>
      <x:c r="H35" s="61" t="str">
        <x:v>最低股东资金填补峰值缺口</x:v>
      </x:c>
      <x:c r="AE35" t="str">
        <x:v>综合压力服务费</x:v>
      </x:c>
      <x:c r="AF35" s="28" t="n">
        <x:f>('核心假设'!$B$6*$M10*INDEX('核心假设'!$B$60:$G$60,1,1))*$B10*DAY(EOMONTH(AF$4,0))*INDEX('年度季节曲线'!$H$6:$H$17,MONTH(AF$4))</x:f>
        <x:v>412862.4187280276</x:v>
      </x:c>
      <x:c r="AG35" s="28" t="n">
        <x:f>('核心假设'!$B$6*$M10*INDEX('核心假设'!$B$60:$G$60,1,2)+'核心假设'!$B$6*$N10*INDEX('核心假设'!$B$60:$G$60,1,1))*$B10*DAY(EOMONTH(AG$4,0))*INDEX('年度季节曲线'!$H$6:$H$17,MONTH(AG$4))</x:f>
        <x:v>1037942.2579668937</x:v>
      </x:c>
      <x:c r="AH35" s="28" t="n">
        <x:f>('核心假设'!$B$6*$M10*INDEX('核心假设'!$B$60:$G$60,1,3)+'核心假设'!$B$6*$N10*INDEX('核心假设'!$B$60:$G$60,1,2)+'核心假设'!$B$6*$O10*INDEX('核心假设'!$B$60:$G$60,1,1))*$B10*DAY(EOMONTH(AH$4,0))*INDEX('年度季节曲线'!$H$6:$H$17,MONTH(AH$4))</x:f>
        <x:v>1810239.4055089124</x:v>
      </x:c>
      <x:c r="AI35" s="28" t="n">
        <x:f>('核心假设'!$B$6*$M10*INDEX('核心假设'!$B$60:$G$60,1,4)+'核心假设'!$B$6*$N10*INDEX('核心假设'!$B$60:$G$60,1,3)+'核心假设'!$B$6*$O10*INDEX('核心假设'!$B$60:$G$60,1,2)+'核心假设'!$B$6*$P10*INDEX('核心假设'!$B$60:$G$60,1,1))*$B10*DAY(EOMONTH(AI$4,0))*INDEX('年度季节曲线'!$H$6:$H$17,MONTH(AI$4))</x:f>
        <x:v>3062877.3079109676</x:v>
      </x:c>
      <x:c r="AJ35" s="28" t="n">
        <x:f>('核心假设'!$B$6*$M10*INDEX('核心假设'!$B$60:$G$60,1,5)+'核心假设'!$B$6*$N10*INDEX('核心假设'!$B$60:$G$60,1,4)+'核心假设'!$B$6*$O10*INDEX('核心假设'!$B$60:$G$60,1,3)+'核心假设'!$B$6*$P10*INDEX('核心假设'!$B$60:$G$60,1,2)+'核心假设'!$B$6*$Q10*INDEX('核心假设'!$B$60:$G$60,1,1))*$B10*DAY(EOMONTH(AJ$4,0))*INDEX('年度季节曲线'!$H$6:$H$17,MONTH(AJ$4))</x:f>
        <x:v>3847631.5984742953</x:v>
      </x:c>
      <x:c r="AK35" s="28" t="n">
        <x:f>('核心假设'!$B$6*$M10*INDEX('核心假设'!$B$60:$G$60,1,6)+'核心假设'!$B$6*$N10*INDEX('核心假设'!$B$60:$G$60,1,5)+'核心假设'!$B$6*$O10*INDEX('核心假设'!$B$60:$G$60,1,4)+'核心假设'!$B$6*$P10*INDEX('核心假设'!$B$60:$G$60,1,3)+'核心假设'!$B$6*$Q10*INDEX('核心假设'!$B$60:$G$60,1,2)+'核心假设'!$B$6*$R10*INDEX('核心假设'!$B$60:$G$60,1,1))*$B10*DAY(EOMONTH(AK$4,0))*INDEX('年度季节曲线'!$H$6:$H$17,MONTH(AK$4))</x:f>
        <x:v>4166224.589616838</x:v>
      </x:c>
      <x:c r="AL35" s="28" t="n">
        <x:f>('核心假设'!$B$6*$M10*INDEX('核心假设'!$B$60:$G$60,1,6)+'核心假设'!$B$6*$N10*INDEX('核心假设'!$B$60:$G$60,1,6)+'核心假设'!$B$6*$O10*INDEX('核心假设'!$B$60:$G$60,1,5)+'核心假设'!$B$6*$P10*INDEX('核心假设'!$B$60:$G$60,1,4)+'核心假设'!$B$6*$Q10*INDEX('核心假设'!$B$60:$G$60,1,3)+'核心假设'!$B$6*$R10*INDEX('核心假设'!$B$60:$G$60,1,2)+'核心假设'!$B$6*$S10*INDEX('核心假设'!$B$60:$G$60,1,1))*$B10*DAY(EOMONTH(AL$4,0))*INDEX('年度季节曲线'!$H$6:$H$17,MONTH(AL$4))</x:f>
        <x:v>5517451.238962807</x:v>
      </x:c>
      <x:c r="AM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$60,1,5)+'核心假设'!$B$6*$Q10*INDEX('核心假设'!$B$60:$G$60,1,4)+'核心假设'!$B$6*$R10*INDEX('核心假设'!$B$60:$G$60,1,3)+'核心假设'!$B$6*$S10*INDEX('核心假设'!$B$60:$G$60,1,2)+'核心假设'!$B$6*$T10*INDEX('核心假设'!$B$60:$G$60,1,1))*$B10*DAY(EOMONTH(AM$4,0))*INDEX('年度季节曲线'!$H$6:$H$17,MONTH(AM$4))</x:f>
        <x:v>6877903.046551293</x:v>
      </x:c>
      <x:c r="AN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$60,1,5)+'核心假设'!$B$6*$R10*INDEX('核心假设'!$B$60:$G$60,1,4)+'核心假设'!$B$6*$S10*INDEX('核心假设'!$B$60:$G$60,1,3)+'核心假设'!$B$6*$T10*INDEX('核心假设'!$B$60:$G$60,1,2)+'核心假设'!$B$6*$U10*INDEX('核心假设'!$B$60:$G$60,1,1))*$B10*DAY(EOMONTH(AN$4,0))*INDEX('年度季节曲线'!$H$6:$H$17,MONTH(AN$4))</x:f>
        <x:v>8433859.241285069</x:v>
      </x:c>
      <x:c r="AO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$60,1,5)+'核心假设'!$B$6*$S10*INDEX('核心假设'!$B$60:$G$60,1,4)+'核心假设'!$B$6*$T10*INDEX('核心假设'!$B$60:$G$60,1,3)+'核心假设'!$B$6*$U10*INDEX('核心假设'!$B$60:$G$60,1,2)+'核心假设'!$B$6*$V10*INDEX('核心假设'!$B$60:$G$60,1,1))*$B10*DAY(EOMONTH(AO$4,0))*INDEX('年度季节曲线'!$H$6:$H$17,MONTH(AO$4))</x:f>
        <x:v>10583059.079991339</x:v>
      </x:c>
      <x:c r="AP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$60,1,5)+'核心假设'!$B$6*$T10*INDEX('核心假设'!$B$60:$G$60,1,4)+'核心假设'!$B$6*$U10*INDEX('核心假设'!$B$60:$G$60,1,3)+'核心假设'!$B$6*$V10*INDEX('核心假设'!$B$60:$G$60,1,2)+'核心假设'!$B$6*$W10*INDEX('核心假设'!$B$60:$G$60,1,1))*$B10*DAY(EOMONTH(AP$4,0))*INDEX('年度季节曲线'!$H$6:$H$17,MONTH(AP$4))</x:f>
        <x:v>12976409.713246077</x:v>
      </x:c>
      <x:c r="AQ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$60,1,5)+'核心假设'!$B$6*$U10*INDEX('核心假设'!$B$60:$G$60,1,4)+'核心假设'!$B$6*$V10*INDEX('核心假设'!$B$60:$G$60,1,3)+'核心假设'!$B$6*$W10*INDEX('核心假设'!$B$60:$G$60,1,2)+'核心假设'!$B$6*$X10*INDEX('核心假设'!$B$60:$G$60,1,1))*$B10*DAY(EOMONTH(AQ$4,0))*INDEX('年度季节曲线'!$H$6:$H$17,MONTH(AQ$4))</x:f>
        <x:v>15140807.518005261</x:v>
      </x:c>
      <x:c r="AR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$60,1,5)+'核心假设'!$B$6*$V10*INDEX('核心假设'!$B$60:$G$60,1,4)+'核心假设'!$B$6*$W10*INDEX('核心假设'!$B$60:$G$60,1,3)+'核心假设'!$B$6*$X10*INDEX('核心假设'!$B$60:$G$60,1,2)+'核心假设'!$B$6*$Y10*INDEX('核心假设'!$B$60:$G$60,1,1))*$B10*DAY(EOMONTH(AR$4,0))*INDEX('年度季节曲线'!$H$6:$H$17,MONTH(AR$4))</x:f>
        <x:v>15741526.554058077</x:v>
      </x:c>
      <x:c r="AS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$60,1,5)+'核心假设'!$B$6*$W10*INDEX('核心假设'!$B$60:$G$60,1,4)+'核心假设'!$B$6*$X10*INDEX('核心假设'!$B$60:$G$60,1,3)+'核心假设'!$B$6*$Y10*INDEX('核心假设'!$B$60:$G$60,1,2)+'核心假设'!$B$6*$Z10*INDEX('核心假设'!$B$60:$G$60,1,1))*$B10*DAY(EOMONTH(AS$4,0))*INDEX('年度季节曲线'!$H$6:$H$17,MONTH(AS$4))</x:f>
        <x:v>16747700.562420653</x:v>
      </x:c>
      <x:c r="AT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$60,1,5)+'核心假设'!$B$6*$X10*INDEX('核心假设'!$B$60:$G$60,1,4)+'核心假设'!$B$6*$Y10*INDEX('核心假设'!$B$60:$G$60,1,3)+'核心假设'!$B$6*$Z10*INDEX('核心假设'!$B$60:$G$60,1,2)+'核心假设'!$B$6*$AA10*INDEX('核心假设'!$B$60:$G$60,1,1))*$B10*DAY(EOMONTH(AT$4,0))*INDEX('年度季节曲线'!$H$6:$H$17,MONTH(AT$4))</x:f>
        <x:v>18507705.519467223</x:v>
      </x:c>
      <x:c r="AU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$60,1,5)+'核心假设'!$B$6*$Y10*INDEX('核心假设'!$B$60:$G$60,1,4)+'核心假设'!$B$6*$Z10*INDEX('核心假设'!$B$60:$G$60,1,3)+'核心假设'!$B$6*$AA10*INDEX('核心假设'!$B$60:$G$60,1,2)+'核心假设'!$B$6*$AB10*INDEX('核心假设'!$B$60:$G$60,1,1))*$B10*DAY(EOMONTH(AU$4,0))*INDEX('年度季节曲线'!$H$6:$H$17,MONTH(AU$4))</x:f>
        <x:v>21870858.276801758</x:v>
      </x:c>
      <x:c r="AV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$60,1,5)+'核心假设'!$B$6*$Z10*INDEX('核心假设'!$B$60:$G$60,1,4)+'核心假设'!$B$6*$AA10*INDEX('核心假设'!$B$60:$G$60,1,3)+'核心假设'!$B$6*$AB10*INDEX('核心假设'!$B$60:$G$60,1,2)+'核心假设'!$B$6*$AC10*INDEX('核心假设'!$B$60:$G$60,1,1))*$B10*DAY(EOMONTH(AV$4,0))*INDEX('年度季节曲线'!$H$6:$H$17,MONTH(AV$4))</x:f>
        <x:v>21044752.040400624</x:v>
      </x:c>
      <x:c r="AW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$60,1,5)+'核心假设'!$B$6*$AA10*INDEX('核心假设'!$B$60:$G$60,1,4)+'核心假设'!$B$6*$AB10*INDEX('核心假设'!$B$60:$G$60,1,3)+'核心假设'!$B$6*$AC10*INDEX('核心假设'!$B$60:$G$60,1,2)+'核心假设'!$B$6*$AD10*INDEX('核心假设'!$B$60:$G$60,1,1))*$B10*DAY(EOMONTH(AW$4,0))*INDEX('年度季节曲线'!$H$6:$H$17,MONTH(AW$4))</x:f>
        <x:v>18691272.969897963</x:v>
      </x:c>
      <x:c r="AX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$60,1,5)+'核心假设'!$B$6*$AB10*INDEX('核心假设'!$B$60:$G$60,1,4)+'核心假设'!$B$6*$AC10*INDEX('核心假设'!$B$60:$G$60,1,3)+'核心假设'!$B$6*$AD10*INDEX('核心假设'!$B$60:$G$60,1,2))*$B10*DAY(EOMONTH(AX$4,0))*INDEX('年度季节曲线'!$H$6:$H$17,MONTH(AX$4))</x:f>
        <x:v>19393355.378919933</x:v>
      </x:c>
      <x:c r="AY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$60,1,5)+'核心假设'!$B$6*$AC10*INDEX('核心假设'!$B$60:$G$60,1,4)+'核心假设'!$B$6*$AD10*INDEX('核心假设'!$B$60:$G$60,1,3))*$B10*DAY(EOMONTH(AY$4,0))*INDEX('年度季节曲线'!$H$6:$H$17,MONTH(AY$4))</x:f>
        <x:v>19866597.033439986</x:v>
      </x:c>
      <x:c r="AZ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$60,1,5)+'核心假设'!$B$6*$AD10*INDEX('核心假设'!$B$60:$G$60,1,4))*$B10*DAY(EOMONTH(AZ$4,0))*INDEX('年度季节曲线'!$H$6:$H$17,MONTH(AZ$4))</x:f>
        <x:v>20519917.547955558</x:v>
      </x:c>
      <x:c r="BA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$60,1,5))*$B10*DAY(EOMONTH(BA$4,0))*INDEX('年度季节曲线'!$H$6:$H$17,MONTH(BA$4))</x:f>
        <x:v>22141515.3102123</x:v>
      </x:c>
      <x:c r="BB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BB$4,0))*INDEX('年度季节曲线'!$H$6:$H$17,MONTH(BB$4))</x:f>
        <x:v>23740229.99130274</x:v>
      </x:c>
      <x:c r="BC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BC$4,0))*INDEX('年度季节曲线'!$H$6:$H$17,MONTH(BC$4))</x:f>
        <x:v>24567268.405006103</x:v>
      </x:c>
      <x:c r="BD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BD$4,0))*INDEX('年度季节曲线'!$H$6:$H$17,MONTH(BD$4))</x:f>
        <x:v>22936801.04044598</x:v>
      </x:c>
      <x:c r="BE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BE$4,0))*INDEX('年度季节曲线'!$H$6:$H$17,MONTH(BE$4))</x:f>
        <x:v>22321338.88100847</x:v>
      </x:c>
      <x:c r="BF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BF$4,0))*INDEX('年度季节曲线'!$H$6:$H$17,MONTH(BF$4))</x:f>
        <x:v>22770306.98753349</x:v>
      </x:c>
      <x:c r="BG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BG$4,0))*INDEX('年度季节曲线'!$H$6:$H$17,MONTH(BG$4))</x:f>
        <x:v>25188135.75584678</x:v>
      </x:c>
      <x:c r="BH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BH$4,0))*INDEX('年度季节曲线'!$H$6:$H$17,MONTH(BH$4))</x:f>
        <x:v>22984657.0996075</x:v>
      </x:c>
      <x:c r="BI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BI$4,0))*INDEX('年度季节曲线'!$H$6:$H$17,MONTH(BI$4))</x:f>
        <x:v>18800652.48022039</x:v>
      </x:c>
      <x:c r="BJ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BJ$4,0))*INDEX('年度季节曲线'!$H$6:$H$17,MONTH(BJ$4))</x:f>
        <x:v>19825552.42171328</x:v>
      </x:c>
      <x:c r="BK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BK$4,0))*INDEX('年度季节曲线'!$H$6:$H$17,MONTH(BK$4))</x:f>
        <x:v>20081468.74905487</x:v>
      </x:c>
      <x:c r="BL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BL$4,0))*INDEX('年度季节曲线'!$H$6:$H$17,MONTH(BL$4))</x:f>
        <x:v>20610604.206464</x:v>
      </x:c>
      <x:c r="BM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BM$4,0))*INDEX('年度季节曲线'!$H$6:$H$17,MONTH(BM$4))</x:f>
        <x:v>22168117.050673105</x:v>
      </x:c>
      <x:c r="BN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BN$4,0))*INDEX('年度季节曲线'!$H$6:$H$17,MONTH(BN$4))</x:f>
        <x:v>23740229.99130274</x:v>
      </x:c>
      <x:c r="BO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BO$4,0))*INDEX('年度季节曲线'!$H$6:$H$17,MONTH(BO$4))</x:f>
        <x:v>24567268.405006103</x:v>
      </x:c>
      <x:c r="BP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BP$4,0))*INDEX('年度季节曲线'!$H$6:$H$17,MONTH(BP$4))</x:f>
        <x:v>22936801.04044598</x:v>
      </x:c>
      <x:c r="BQ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BQ$4,0))*INDEX('年度季节曲线'!$H$6:$H$17,MONTH(BQ$4))</x:f>
        <x:v>22321338.88100847</x:v>
      </x:c>
      <x:c r="BR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BR$4,0))*INDEX('年度季节曲线'!$H$6:$H$17,MONTH(BR$4))</x:f>
        <x:v>22770306.98753349</x:v>
      </x:c>
      <x:c r="BS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BS$4,0))*INDEX('年度季节曲线'!$H$6:$H$17,MONTH(BS$4))</x:f>
        <x:v>25188135.75584678</x:v>
      </x:c>
      <x:c r="BT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BT$4,0))*INDEX('年度季节曲线'!$H$6:$H$17,MONTH(BT$4))</x:f>
        <x:v>22984657.0996075</x:v>
      </x:c>
      <x:c r="BU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BU$4,0))*INDEX('年度季节曲线'!$H$6:$H$17,MONTH(BU$4))</x:f>
        <x:v>18800652.48022039</x:v>
      </x:c>
      <x:c r="BV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BV$4,0))*INDEX('年度季节曲线'!$H$6:$H$17,MONTH(BV$4))</x:f>
        <x:v>19825552.42171328</x:v>
      </x:c>
      <x:c r="BW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BW$4,0))*INDEX('年度季节曲线'!$H$6:$H$17,MONTH(BW$4))</x:f>
        <x:v>20081468.74905487</x:v>
      </x:c>
      <x:c r="BX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BX$4,0))*INDEX('年度季节曲线'!$H$6:$H$17,MONTH(BX$4))</x:f>
        <x:v>20610604.206464</x:v>
      </x:c>
      <x:c r="BY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BY$4,0))*INDEX('年度季节曲线'!$H$6:$H$17,MONTH(BY$4))</x:f>
        <x:v>22168117.050673105</x:v>
      </x:c>
      <x:c r="BZ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BZ$4,0))*INDEX('年度季节曲线'!$H$6:$H$17,MONTH(BZ$4))</x:f>
        <x:v>23740229.99130274</x:v>
      </x:c>
      <x:c r="CA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CA$4,0))*INDEX('年度季节曲线'!$H$6:$H$17,MONTH(CA$4))</x:f>
        <x:v>24567268.405006103</x:v>
      </x:c>
      <x:c r="CB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CB$4,0))*INDEX('年度季节曲线'!$H$6:$H$17,MONTH(CB$4))</x:f>
        <x:v>22936801.04044598</x:v>
      </x:c>
      <x:c r="CC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CC$4,0))*INDEX('年度季节曲线'!$H$6:$H$17,MONTH(CC$4))</x:f>
        <x:v>22321338.88100847</x:v>
      </x:c>
      <x:c r="CD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CD$4,0))*INDEX('年度季节曲线'!$H$6:$H$17,MONTH(CD$4))</x:f>
        <x:v>22770306.98753349</x:v>
      </x:c>
      <x:c r="CE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CE$4,0))*INDEX('年度季节曲线'!$H$6:$H$17,MONTH(CE$4))</x:f>
        <x:v>25188135.75584678</x:v>
      </x:c>
      <x:c r="CF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CF$4,0))*INDEX('年度季节曲线'!$H$6:$H$17,MONTH(CF$4))</x:f>
        <x:v>22984657.0996075</x:v>
      </x:c>
      <x:c r="CG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CG$4,0))*INDEX('年度季节曲线'!$H$6:$H$17,MONTH(CG$4))</x:f>
        <x:v>18800652.48022039</x:v>
      </x:c>
      <x:c r="CH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CH$4,0))*INDEX('年度季节曲线'!$H$6:$H$17,MONTH(CH$4))</x:f>
        <x:v>19825552.42171328</x:v>
      </x:c>
      <x:c r="CI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CI$4,0))*INDEX('年度季节曲线'!$H$6:$H$17,MONTH(CI$4))</x:f>
        <x:v>20081468.74905487</x:v>
      </x:c>
      <x:c r="CJ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CJ$4,0))*INDEX('年度季节曲线'!$H$6:$H$17,MONTH(CJ$4))</x:f>
        <x:v>20610604.206464</x:v>
      </x:c>
      <x:c r="CK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CK$4,0))*INDEX('年度季节曲线'!$H$6:$H$17,MONTH(CK$4))</x:f>
        <x:v>22168117.050673105</x:v>
      </x:c>
      <x:c r="CL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CL$4,0))*INDEX('年度季节曲线'!$H$6:$H$17,MONTH(CL$4))</x:f>
        <x:v>23740229.99130274</x:v>
      </x:c>
      <x:c r="CM35" s="28" t="n">
        <x:f>('核心假设'!$B$6*$M10*INDEX('核心假设'!$B$60:$G$60,1,6)+'核心假设'!$B$6*$N10*INDEX('核心假设'!$B$60:$G$60,1,6)+'核心假设'!$B$6*$O10*INDEX('核心假设'!$B$60:$G$60,1,6)+'核心假设'!$B$6*$P10*INDEX('核心假设'!$B$60:$G$60,1,6)+'核心假设'!$B$6*$Q10*INDEX('核心假设'!$B$60:$G$60,1,6)+'核心假设'!$B$6*$R10*INDEX('核心假设'!$B$60:$G$60,1,6)+'核心假设'!$B$6*$S10*INDEX('核心假设'!$B$60:$G$60,1,6)+'核心假设'!$B$6*$T10*INDEX('核心假设'!$B$60:$G$60,1,6)+'核心假设'!$B$6*$U10*INDEX('核心假设'!$B$60:$G$60,1,6)+'核心假设'!$B$6*$V10*INDEX('核心假设'!$B$60:$G$60,1,6)+'核心假设'!$B$6*$W10*INDEX('核心假设'!$B$60:$G$60,1,6)+'核心假设'!$B$6*$X10*INDEX('核心假设'!$B$60:$G$60,1,6)+'核心假设'!$B$6*$Y10*INDEX('核心假设'!$B$60:$G$60,1,6)+'核心假设'!$B$6*$Z10*INDEX('核心假设'!$B$60:$G$60,1,6)+'核心假设'!$B$6*$AA10*INDEX('核心假设'!$B$60:$G$60,1,6)+'核心假设'!$B$6*$AB10*INDEX('核心假设'!$B$60:$G$60,1,6)+'核心假设'!$B$6*$AC10*INDEX('核心假设'!$B$60:$G$60,1,6)+'核心假设'!$B$6*$AD10*INDEX('核心假设'!$B$60:$G$60,1,6))*$B10*DAY(EOMONTH(CM$4,0))*INDEX('年度季节曲线'!$H$6:$H$17,MONTH(CM$4))</x:f>
        <x:v>24567268.405006103</x:v>
      </x:c>
    </x:row>
    <x:row r="36">
      <x:c r="A36" s="60" t="str">
        <x:v>36月报告/60月尾期边界</x:v>
      </x:c>
      <x:c r="B36" s="70" t="n">
        <x:f>COUNTIF('36月运营模型'!$B$6:$AK$6,"正式报告")+COUNTIF('36月运营模型'!$AL$6:$BI$6,"债务尾期")</x:f>
        <x:v>60</x:v>
      </x:c>
      <x:c r="C36" s="70" t="n">
        <x:f>'核心假设'!$B$8</x:f>
        <x:v>60</x:v>
      </x:c>
      <x:c r="D36" s="72" t="n">
        <x:f>B36-C36</x:f>
        <x:v>0</x:v>
      </x:c>
      <x:c r="E36" s="72" t="n">
        <x:v>0</x:v>
      </x:c>
      <x:c r="F36" s="54" t="str">
        <x:f>IF(ABS(D36)&lt;=E36,"PASS","FAIL")</x:f>
        <x:v>PASS</x:v>
      </x:c>
      <x:c r="G36" s="52" t="str">
        <x:v>36月运营模型!B5:BI20</x:v>
      </x:c>
      <x:c r="H36" s="61" t="str">
        <x:v>前36月正式报告，后24月债务尾期</x:v>
      </x:c>
      <x:c r="AE36" t="str">
        <x:v>CFADS</x:v>
      </x:c>
      <x:c r="AF36" s="28" t="n">
        <x:f>AF35-IF($G10="固定租金",SUM('月度投放计划'!$J$15:$U$16)*SUM($M10:$M10)*'核心假设'!$B$35,AF35*'核心假设'!$B$34)-AF35*$H10-'核心假设'!$B$37-AF35*'核心假设'!$B$38</x:f>
        <x:v>268360.57217321795</x:v>
      </x:c>
      <x:c r="AG36" s="28" t="n">
        <x:f>AG35-IF($G10="固定租金",SUM('月度投放计划'!$J$15:$U$16)*SUM($M10:$N10)*'核心假设'!$B$35,AG35*'核心假设'!$B$34)-AG35*$H10-'核心假设'!$B$37-AG35*'核心假设'!$B$38</x:f>
        <x:v>674662.4676784809</x:v>
      </x:c>
      <x:c r="AH36" s="28" t="n">
        <x:f>AH35-IF($G10="固定租金",SUM('月度投放计划'!$J$15:$U$16)*SUM($M10:$O10)*'核心假设'!$B$35,AH35*'核心假设'!$B$34)-AH35*$H10-'核心假设'!$B$37-AH35*'核心假设'!$B$38</x:f>
        <x:v>1176655.6135807931</x:v>
      </x:c>
      <x:c r="AI36" s="28" t="n">
        <x:f>AI35-IF($G10="固定租金",SUM('月度投放计划'!$J$15:$U$16)*SUM($M10:$P10)*'核心假设'!$B$35,AI35*'核心假设'!$B$34)-AI35*$H10-'核心假设'!$B$37-AI35*'核心假设'!$B$38</x:f>
        <x:v>1990870.250142129</x:v>
      </x:c>
      <x:c r="AJ36" s="28" t="n">
        <x:f>AJ35-IF($G10="固定租金",SUM('月度投放计划'!$J$15:$U$16)*SUM($M10:$Q10)*'核心假设'!$B$35,AJ35*'核心假设'!$B$34)-AJ35*$H10-'核心假设'!$B$37-AJ35*'核心假设'!$B$38</x:f>
        <x:v>2500960.5390082924</x:v>
      </x:c>
      <x:c r="AK36" s="28" t="n">
        <x:f>AK35-IF($G10="固定租金",SUM('月度投放计划'!$J$15:$U$16)*SUM($M10:$R10)*'核心假设'!$B$35,AK35*'核心假设'!$B$34)-AK35*$H10-'核心假设'!$B$37-AK35*'核心假设'!$B$38</x:f>
        <x:v>2708045.983250945</x:v>
      </x:c>
      <x:c r="AL36" s="28" t="n">
        <x:f>AL35-IF($G10="固定租金",SUM('月度投放计划'!$J$15:$U$16)*SUM($M10:$S10)*'核心假设'!$B$35,AL35*'核心假设'!$B$34)-AL35*$H10-'核心假设'!$B$37-AL35*'核心假设'!$B$38</x:f>
        <x:v>3586343.3053258243</x:v>
      </x:c>
      <x:c r="AM36" s="28" t="n">
        <x:f>AM35-IF($G10="固定租金",SUM('月度投放计划'!$J$15:$U$16)*SUM($M10:$T10)*'核心假设'!$B$35,AM35*'核心假设'!$B$34)-AM35*$H10-'核心假设'!$B$37-AM35*'核心假设'!$B$38</x:f>
        <x:v>4470636.980258341</x:v>
      </x:c>
      <x:c r="AN36" s="28" t="n">
        <x:f>AN35-IF($G10="固定租金",SUM('月度投放计划'!$J$15:$U$16)*SUM($M10:$U10)*'核心假设'!$B$35,AN35*'核心假设'!$B$34)-AN35*$H10-'核心假设'!$B$37-AN35*'核心假设'!$B$38</x:f>
        <x:v>5482008.506835295</x:v>
      </x:c>
      <x:c r="AO36" s="28" t="n">
        <x:f>AO35-IF($G10="固定租金",SUM('月度投放计划'!$J$15:$U$16)*SUM($M10:$V10)*'核心假设'!$B$35,AO35*'核心假设'!$B$34)-AO35*$H10-'核心假设'!$B$37-AO35*'核心假设'!$B$38</x:f>
        <x:v>6878988.401994371</x:v>
      </x:c>
      <x:c r="AP36" s="28" t="n">
        <x:f>AP35-IF($G10="固定租金",SUM('月度投放计划'!$J$15:$U$16)*SUM($M10:$W10)*'核心假设'!$B$35,AP35*'核心假设'!$B$34)-AP35*$H10-'核心假设'!$B$37-AP35*'核心假设'!$B$38</x:f>
        <x:v>8434666.31360995</x:v>
      </x:c>
      <x:c r="AQ36" s="28" t="n">
        <x:f>AQ35-IF($G10="固定租金",SUM('月度投放计划'!$J$15:$U$16)*SUM($M10:$X10)*'核心假设'!$B$35,AQ35*'核心假设'!$B$34)-AQ35*$H10-'核心假设'!$B$37-AQ35*'核心假设'!$B$38</x:f>
        <x:v>9841524.88670342</x:v>
      </x:c>
      <x:c r="AR36" s="28" t="n">
        <x:f>AR35-IF($G10="固定租金",SUM('月度投放计划'!$J$15:$U$16)*SUM($M10:$Y10)*'核心假设'!$B$35,AR35*'核心假设'!$B$34)-AR35*$H10-'核心假设'!$B$37-AR35*'核心假设'!$B$38</x:f>
        <x:v>10231992.260137752</x:v>
      </x:c>
      <x:c r="AS36" s="28" t="n">
        <x:f>AS35-IF($G10="固定租金",SUM('月度投放计划'!$J$15:$U$16)*SUM($M10:$Z10)*'核心假设'!$B$35,AS35*'核心假设'!$B$34)-AS35*$H10-'核心假设'!$B$37-AS35*'核心假设'!$B$38</x:f>
        <x:v>10886005.365573425</x:v>
      </x:c>
      <x:c r="AT36" s="28" t="n">
        <x:f>AT35-IF($G10="固定租金",SUM('月度投放计划'!$J$15:$U$16)*SUM($M10:$AA10)*'核心假设'!$B$35,AT35*'核心假设'!$B$34)-AT35*$H10-'核心假设'!$B$37-AT35*'核心假设'!$B$38</x:f>
        <x:v>12030008.587653697</x:v>
      </x:c>
      <x:c r="AU36" s="28" t="n">
        <x:f>AU35-IF($G10="固定租金",SUM('月度投放计划'!$J$15:$U$16)*SUM($M10:$AB10)*'核心假设'!$B$35,AU35*'核心假设'!$B$34)-AU35*$H10-'核心假设'!$B$37-AU35*'核心假设'!$B$38</x:f>
        <x:v>14216057.879921142</x:v>
      </x:c>
      <x:c r="AV36" s="28" t="n">
        <x:f>AV35-IF($G10="固定租金",SUM('月度投放计划'!$J$15:$U$16)*SUM($M10:$AC10)*'核心假设'!$B$35,AV35*'核心假设'!$B$34)-AV35*$H10-'核心假设'!$B$37-AV35*'核心假设'!$B$38</x:f>
        <x:v>13679088.826260407</x:v>
      </x:c>
      <x:c r="AW36" s="28" t="n">
        <x:f>AW35-IF($G10="固定租金",SUM('月度投放计划'!$J$15:$U$16)*SUM($M10:$AD10)*'核心假设'!$B$35,AW35*'核心假设'!$B$34)-AW35*$H10-'核心假设'!$B$37-AW35*'核心假设'!$B$38</x:f>
        <x:v>12149327.430433676</x:v>
      </x:c>
      <x:c r="AX36" s="28" t="n">
        <x:f>AX35-IF($G10="固定租金",SUM('月度投放计划'!$J$15:$U$16)*SUM($M10:$AD10)*'核心假设'!$B$35,AX35*'核心假设'!$B$34)-AX35*$H10-'核心假设'!$B$37-AX35*'核心假设'!$B$38</x:f>
        <x:v>12605680.996297956</x:v>
      </x:c>
      <x:c r="AY36" s="28" t="n">
        <x:f>AY35-IF($G10="固定租金",SUM('月度投放计划'!$J$15:$U$16)*SUM($M10:$AD10)*'核心假设'!$B$35,AY35*'核心假设'!$B$34)-AY35*$H10-'核心假设'!$B$37-AY35*'核心假设'!$B$38</x:f>
        <x:v>12913288.071735991</x:v>
      </x:c>
      <x:c r="AZ36" s="28" t="n">
        <x:f>AZ35-IF($G10="固定租金",SUM('月度投放计划'!$J$15:$U$16)*SUM($M10:$AD10)*'核心假设'!$B$35,AZ35*'核心假设'!$B$34)-AZ35*$H10-'核心假设'!$B$37-AZ35*'核心假设'!$B$38</x:f>
        <x:v>13337946.406171113</x:v>
      </x:c>
      <x:c r="BA36" s="28" t="n">
        <x:f>BA35-IF($G10="固定租金",SUM('月度投放计划'!$J$15:$U$16)*SUM($M10:$AD10)*'核心假设'!$B$35,BA35*'核心假设'!$B$34)-BA35*$H10-'核心假设'!$B$37-BA35*'核心假设'!$B$38</x:f>
        <x:v>14391984.951637994</x:v>
      </x:c>
      <x:c r="BB36" s="28" t="n">
        <x:f>BB35-IF($G10="固定租金",SUM('月度投放计划'!$J$15:$U$16)*SUM($M10:$AD10)*'核心假设'!$B$35,BB35*'核心假设'!$B$34)-BB35*$H10-'核心假设'!$B$37-BB35*'核心假设'!$B$38</x:f>
        <x:v>15431149.494346783</x:v>
      </x:c>
      <x:c r="BC36" s="28" t="n">
        <x:f>BC35-IF($G10="固定租金",SUM('月度投放计划'!$J$15:$U$16)*SUM($M10:$AD10)*'核心假设'!$B$35,BC35*'核心假设'!$B$34)-BC35*$H10-'核心假设'!$B$37-BC35*'核心假设'!$B$38</x:f>
        <x:v>15968724.463253967</x:v>
      </x:c>
      <x:c r="BD36" s="28" t="n">
        <x:f>BD35-IF($G10="固定租金",SUM('月度投放计划'!$J$15:$U$16)*SUM($M10:$AD10)*'核心假设'!$B$35,BD35*'核心假设'!$B$34)-BD35*$H10-'核心假设'!$B$37-BD35*'核心假设'!$B$38</x:f>
        <x:v>14908920.676289888</x:v>
      </x:c>
      <x:c r="BE36" s="28" t="n">
        <x:f>BE35-IF($G10="固定租金",SUM('月度投放计划'!$J$15:$U$16)*SUM($M10:$AD10)*'核心假设'!$B$35,BE35*'核心假设'!$B$34)-BE35*$H10-'核心假设'!$B$37-BE35*'核心假设'!$B$38</x:f>
        <x:v>14508870.272655504</x:v>
      </x:c>
      <x:c r="BF36" s="28" t="n">
        <x:f>BF35-IF($G10="固定租金",SUM('月度投放计划'!$J$15:$U$16)*SUM($M10:$AD10)*'核心假设'!$B$35,BF35*'核心假设'!$B$34)-BF35*$H10-'核心假设'!$B$37-BF35*'核心假设'!$B$38</x:f>
        <x:v>14800699.541896768</x:v>
      </x:c>
      <x:c r="BG36" s="28" t="n">
        <x:f>BG35-IF($G10="固定租金",SUM('月度投放计划'!$J$15:$U$16)*SUM($M10:$AD10)*'核心假设'!$B$35,BG35*'核心假设'!$B$34)-BG35*$H10-'核心假设'!$B$37-BG35*'核心假设'!$B$38</x:f>
        <x:v>16372288.241300408</x:v>
      </x:c>
      <x:c r="BH36" s="28" t="n">
        <x:f>BH35-IF($G10="固定租金",SUM('月度投放计划'!$J$15:$U$16)*SUM($M10:$AD10)*'核心假设'!$B$35,BH35*'核心假设'!$B$34)-BH35*$H10-'核心假设'!$B$37-BH35*'核心假设'!$B$38</x:f>
        <x:v>14940027.114744877</x:v>
      </x:c>
      <x:c r="BI36" s="28" t="n">
        <x:f>BI35-IF($G10="固定租金",SUM('月度投放计划'!$J$15:$U$16)*SUM($M10:$AD10)*'核心假设'!$B$35,BI35*'核心假设'!$B$34)-BI35*$H10-'核心假设'!$B$37-BI35*'核心假设'!$B$38</x:f>
        <x:v>12220424.112143254</x:v>
      </x:c>
      <x:c r="BJ36" s="28" t="n">
        <x:f>BJ35-IF($G10="固定租金",SUM('月度投放计划'!$J$15:$U$16)*SUM($M10:$AD10)*'核心假设'!$B$35,BJ35*'核心假设'!$B$34)-BJ35*$H10-'核心假设'!$B$37-BJ35*'核心假设'!$B$38</x:f>
        <x:v>12886609.074113632</x:v>
      </x:c>
      <x:c r="BK36" s="28" t="n">
        <x:f>BK35-IF($G10="固定租金",SUM('月度投放计划'!$J$15:$U$16)*SUM($M10:$AD10)*'核心假设'!$B$35,BK35*'核心假设'!$B$34)-BK35*$H10-'核心假设'!$B$37-BK35*'核心假设'!$B$38</x:f>
        <x:v>13052954.686885666</x:v>
      </x:c>
      <x:c r="BL36" s="28" t="n">
        <x:f>BL35-IF($G10="固定租金",SUM('月度投放计划'!$J$15:$U$16)*SUM($M10:$AD10)*'核心假设'!$B$35,BL35*'核心假设'!$B$34)-BL35*$H10-'核心假设'!$B$37-BL35*'核心假设'!$B$38</x:f>
        <x:v>13396892.734201599</x:v>
      </x:c>
      <x:c r="BM36" s="28" t="n">
        <x:f>BM35-IF($G10="固定租金",SUM('月度投放计划'!$J$15:$U$16)*SUM($M10:$AD10)*'核心假设'!$B$35,BM35*'核心假设'!$B$34)-BM35*$H10-'核心假设'!$B$37-BM35*'核心假设'!$B$38</x:f>
        <x:v>14409276.082937518</x:v>
      </x:c>
      <x:c r="BN36" s="28" t="n">
        <x:f>BN35-IF($G10="固定租金",SUM('月度投放计划'!$J$15:$U$16)*SUM($M10:$AD10)*'核心假设'!$B$35,BN35*'核心假设'!$B$34)-BN35*$H10-'核心假设'!$B$37-BN35*'核心假设'!$B$38</x:f>
        <x:v>15431149.494346783</x:v>
      </x:c>
      <x:c r="BO36" s="28" t="n">
        <x:f>BO35-IF($G10="固定租金",SUM('月度投放计划'!$J$15:$U$16)*SUM($M10:$AD10)*'核心假设'!$B$35,BO35*'核心假设'!$B$34)-BO35*$H10-'核心假设'!$B$37-BO35*'核心假设'!$B$38</x:f>
        <x:v>15968724.463253967</x:v>
      </x:c>
      <x:c r="BP36" s="28" t="n">
        <x:f>BP35-IF($G10="固定租金",SUM('月度投放计划'!$J$15:$U$16)*SUM($M10:$AD10)*'核心假设'!$B$35,BP35*'核心假设'!$B$34)-BP35*$H10-'核心假设'!$B$37-BP35*'核心假设'!$B$38</x:f>
        <x:v>14908920.676289888</x:v>
      </x:c>
      <x:c r="BQ36" s="28" t="n">
        <x:f>BQ35-IF($G10="固定租金",SUM('月度投放计划'!$J$15:$U$16)*SUM($M10:$AD10)*'核心假设'!$B$35,BQ35*'核心假设'!$B$34)-BQ35*$H10-'核心假设'!$B$37-BQ35*'核心假设'!$B$38</x:f>
        <x:v>14508870.272655504</x:v>
      </x:c>
      <x:c r="BR36" s="28" t="n">
        <x:f>BR35-IF($G10="固定租金",SUM('月度投放计划'!$J$15:$U$16)*SUM($M10:$AD10)*'核心假设'!$B$35,BR35*'核心假设'!$B$34)-BR35*$H10-'核心假设'!$B$37-BR35*'核心假设'!$B$38</x:f>
        <x:v>14800699.541896768</x:v>
      </x:c>
      <x:c r="BS36" s="28" t="n">
        <x:f>BS35-IF($G10="固定租金",SUM('月度投放计划'!$J$15:$U$16)*SUM($M10:$AD10)*'核心假设'!$B$35,BS35*'核心假设'!$B$34)-BS35*$H10-'核心假设'!$B$37-BS35*'核心假设'!$B$38</x:f>
        <x:v>16372288.241300408</x:v>
      </x:c>
      <x:c r="BT36" s="28" t="n">
        <x:f>BT35-IF($G10="固定租金",SUM('月度投放计划'!$J$15:$U$16)*SUM($M10:$AD10)*'核心假设'!$B$35,BT35*'核心假设'!$B$34)-BT35*$H10-'核心假设'!$B$37-BT35*'核心假设'!$B$38</x:f>
        <x:v>14940027.114744877</x:v>
      </x:c>
      <x:c r="BU36" s="28" t="n">
        <x:f>BU35-IF($G10="固定租金",SUM('月度投放计划'!$J$15:$U$16)*SUM($M10:$AD10)*'核心假设'!$B$35,BU35*'核心假设'!$B$34)-BU35*$H10-'核心假设'!$B$37-BU35*'核心假设'!$B$38</x:f>
        <x:v>12220424.112143254</x:v>
      </x:c>
      <x:c r="BV36" s="28" t="n">
        <x:f>BV35-IF($G10="固定租金",SUM('月度投放计划'!$J$15:$U$16)*SUM($M10:$AD10)*'核心假设'!$B$35,BV35*'核心假设'!$B$34)-BV35*$H10-'核心假设'!$B$37-BV35*'核心假设'!$B$38</x:f>
        <x:v>12886609.074113632</x:v>
      </x:c>
      <x:c r="BW36" s="28" t="n">
        <x:f>BW35-IF($G10="固定租金",SUM('月度投放计划'!$J$15:$U$16)*SUM($M10:$AD10)*'核心假设'!$B$35,BW35*'核心假设'!$B$34)-BW35*$H10-'核心假设'!$B$37-BW35*'核心假设'!$B$38</x:f>
        <x:v>13052954.686885666</x:v>
      </x:c>
      <x:c r="BX36" s="28" t="n">
        <x:f>BX35-IF($G10="固定租金",SUM('月度投放计划'!$J$15:$U$16)*SUM($M10:$AD10)*'核心假设'!$B$35,BX35*'核心假设'!$B$34)-BX35*$H10-'核心假设'!$B$37-BX35*'核心假设'!$B$38</x:f>
        <x:v>13396892.734201599</x:v>
      </x:c>
      <x:c r="BY36" s="28" t="n">
        <x:f>BY35-IF($G10="固定租金",SUM('月度投放计划'!$J$15:$U$16)*SUM($M10:$AD10)*'核心假设'!$B$35,BY35*'核心假设'!$B$34)-BY35*$H10-'核心假设'!$B$37-BY35*'核心假设'!$B$38</x:f>
        <x:v>14409276.082937518</x:v>
      </x:c>
      <x:c r="BZ36" s="28" t="n">
        <x:f>BZ35-IF($G10="固定租金",SUM('月度投放计划'!$J$15:$U$16)*SUM($M10:$AD10)*'核心假设'!$B$35,BZ35*'核心假设'!$B$34)-BZ35*$H10-'核心假设'!$B$37-BZ35*'核心假设'!$B$38</x:f>
        <x:v>15431149.494346783</x:v>
      </x:c>
      <x:c r="CA36" s="28" t="n">
        <x:f>CA35-IF($G10="固定租金",SUM('月度投放计划'!$J$15:$U$16)*SUM($M10:$AD10)*'核心假设'!$B$35,CA35*'核心假设'!$B$34)-CA35*$H10-'核心假设'!$B$37-CA35*'核心假设'!$B$38</x:f>
        <x:v>15968724.463253967</x:v>
      </x:c>
      <x:c r="CB36" s="28" t="n">
        <x:f>CB35-IF($G10="固定租金",SUM('月度投放计划'!$J$15:$U$16)*SUM($M10:$AD10)*'核心假设'!$B$35,CB35*'核心假设'!$B$34)-CB35*$H10-'核心假设'!$B$37-CB35*'核心假设'!$B$38</x:f>
        <x:v>14908920.676289888</x:v>
      </x:c>
      <x:c r="CC36" s="28" t="n">
        <x:f>CC35-IF($G10="固定租金",SUM('月度投放计划'!$J$15:$U$16)*SUM($M10:$AD10)*'核心假设'!$B$35,CC35*'核心假设'!$B$34)-CC35*$H10-'核心假设'!$B$37-CC35*'核心假设'!$B$38</x:f>
        <x:v>14508870.272655504</x:v>
      </x:c>
      <x:c r="CD36" s="28" t="n">
        <x:f>CD35-IF($G10="固定租金",SUM('月度投放计划'!$J$15:$U$16)*SUM($M10:$AD10)*'核心假设'!$B$35,CD35*'核心假设'!$B$34)-CD35*$H10-'核心假设'!$B$37-CD35*'核心假设'!$B$38</x:f>
        <x:v>14800699.541896768</x:v>
      </x:c>
      <x:c r="CE36" s="28" t="n">
        <x:f>CE35-IF($G10="固定租金",SUM('月度投放计划'!$J$15:$U$16)*SUM($M10:$AD10)*'核心假设'!$B$35,CE35*'核心假设'!$B$34)-CE35*$H10-'核心假设'!$B$37-CE35*'核心假设'!$B$38</x:f>
        <x:v>16372288.241300408</x:v>
      </x:c>
      <x:c r="CF36" s="28" t="n">
        <x:f>CF35-IF($G10="固定租金",SUM('月度投放计划'!$J$15:$U$16)*SUM($M10:$AD10)*'核心假设'!$B$35,CF35*'核心假设'!$B$34)-CF35*$H10-'核心假设'!$B$37-CF35*'核心假设'!$B$38</x:f>
        <x:v>14940027.114744877</x:v>
      </x:c>
      <x:c r="CG36" s="28" t="n">
        <x:f>CG35-IF($G10="固定租金",SUM('月度投放计划'!$J$15:$U$16)*SUM($M10:$AD10)*'核心假设'!$B$35,CG35*'核心假设'!$B$34)-CG35*$H10-'核心假设'!$B$37-CG35*'核心假设'!$B$38</x:f>
        <x:v>12220424.112143254</x:v>
      </x:c>
      <x:c r="CH36" s="28" t="n">
        <x:f>CH35-IF($G10="固定租金",SUM('月度投放计划'!$J$15:$U$16)*SUM($M10:$AD10)*'核心假设'!$B$35,CH35*'核心假设'!$B$34)-CH35*$H10-'核心假设'!$B$37-CH35*'核心假设'!$B$38</x:f>
        <x:v>12886609.074113632</x:v>
      </x:c>
      <x:c r="CI36" s="28" t="n">
        <x:f>CI35-IF($G10="固定租金",SUM('月度投放计划'!$J$15:$U$16)*SUM($M10:$AD10)*'核心假设'!$B$35,CI35*'核心假设'!$B$34)-CI35*$H10-'核心假设'!$B$37-CI35*'核心假设'!$B$38</x:f>
        <x:v>13052954.686885666</x:v>
      </x:c>
      <x:c r="CJ36" s="28" t="n">
        <x:f>CJ35-IF($G10="固定租金",SUM('月度投放计划'!$J$15:$U$16)*SUM($M10:$AD10)*'核心假设'!$B$35,CJ35*'核心假设'!$B$34)-CJ35*$H10-'核心假设'!$B$37-CJ35*'核心假设'!$B$38</x:f>
        <x:v>13396892.734201599</x:v>
      </x:c>
      <x:c r="CK36" s="28" t="n">
        <x:f>CK35-IF($G10="固定租金",SUM('月度投放计划'!$J$15:$U$16)*SUM($M10:$AD10)*'核心假设'!$B$35,CK35*'核心假设'!$B$34)-CK35*$H10-'核心假设'!$B$37-CK35*'核心假设'!$B$38</x:f>
        <x:v>14409276.082937518</x:v>
      </x:c>
      <x:c r="CL36" s="28" t="n">
        <x:f>CL35-IF($G10="固定租金",SUM('月度投放计划'!$J$15:$U$16)*SUM($M10:$AD10)*'核心假设'!$B$35,CL35*'核心假设'!$B$34)-CL35*$H10-'核心假设'!$B$37-CL35*'核心假设'!$B$38</x:f>
        <x:v>15431149.494346783</x:v>
      </x:c>
      <x:c r="CM36" s="28" t="n">
        <x:f>CM35-IF($G10="固定租金",SUM('月度投放计划'!$J$15:$U$16)*SUM($M10:$AD10)*'核心假设'!$B$35,CM35*'核心假设'!$B$34)-CM35*$H10-'核心假设'!$B$37-CM35*'核心假设'!$B$38</x:f>
        <x:v>15968724.463253967</x:v>
      </x:c>
    </x:row>
    <x:row r="37">
      <x:c r="A37" s="60" t="str">
        <x:v>强制来源与代理说明完整</x:v>
      </x:c>
      <x:c r="B37" s="70" t="n">
        <x:f>COUNTIF($A$43:$A$500,"SRC-*")-COUNTIFS($A$43:$A$500,"SRC-*",$G$43:$G$500,"&lt;&gt;")</x:f>
        <x:v>0</x:v>
      </x:c>
      <x:c r="C37" s="70" t="n">
        <x:f>0</x:f>
        <x:v>0</x:v>
      </x:c>
      <x:c r="D37" s="72" t="n">
        <x:f>B37-C37</x:f>
        <x:v>0</x:v>
      </x:c>
      <x:c r="E37" s="72" t="n">
        <x:v>0</x:v>
      </x:c>
      <x:c r="F37" s="54" t="str">
        <x:f>IF(ABS(D37)&lt;=E37,"PASS","FAIL")</x:f>
        <x:v>PASS</x:v>
      </x:c>
      <x:c r="G37" s="52" t="str">
        <x:v>情景分析、检查与来源!A43:I500</x:v>
      </x:c>
      <x:c r="H37" s="61" t="str">
        <x:v>每个来源ID均保留Ref；代理和缺失在Notes披露</x:v>
      </x:c>
      <x:c r="AE37" t="str">
        <x:v>债务支付</x:v>
      </x:c>
      <x:c r="AF37" s="28" t="n">
        <x:f>SUM(IF(AND(AF$4&gt;EDATE('核心假设'!$B$5,0+$F10),AF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AF$4=EDATE(EDATE('核心假设'!$B$5,0+$F10),$D10),SUM('融资租赁与资金缺口'!$D$5:$D$16)*$M10*'核心假设'!$B$32,0),0),IF(AND(AF$4&gt;EDATE('核心假设'!$B$5,1+$F10),AF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AF$4=EDATE(EDATE('核心假设'!$B$5,1+$F10),$D10),SUM('融资租赁与资金缺口'!$D$5:$D$16)*$N10*'核心假设'!$B$32,0),0),IF(AND(AF$4&gt;EDATE('核心假设'!$B$5,2+$F10),AF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AF$4=EDATE(EDATE('核心假设'!$B$5,2+$F10),$D10),SUM('融资租赁与资金缺口'!$D$5:$D$16)*$O10*'核心假设'!$B$32,0),0),IF(AND(AF$4&gt;EDATE('核心假设'!$B$5,3+$F10),AF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AF$4=EDATE(EDATE('核心假设'!$B$5,3+$F10),$D10),SUM('融资租赁与资金缺口'!$D$5:$D$16)*$P10*'核心假设'!$B$32,0),0),IF(AND(AF$4&gt;EDATE('核心假设'!$B$5,4+$F10),AF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AF$4=EDATE(EDATE('核心假设'!$B$5,4+$F10),$D10),SUM('融资租赁与资金缺口'!$D$5:$D$16)*$Q10*'核心假设'!$B$32,0),0),IF(AND(AF$4&gt;EDATE('核心假设'!$B$5,5+$F10),AF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AF$4=EDATE(EDATE('核心假设'!$B$5,5+$F10),$D10),SUM('融资租赁与资金缺口'!$D$5:$D$16)*$R10*'核心假设'!$B$32,0),0),IF(AND(AF$4&gt;EDATE('核心假设'!$B$5,6+$F10),AF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AF$4=EDATE(EDATE('核心假设'!$B$5,6+$F10),$D10),SUM('融资租赁与资金缺口'!$D$5:$D$16)*$S10*'核心假设'!$B$32,0),0),IF(AND(AF$4&gt;EDATE('核心假设'!$B$5,7+$F10),AF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AF$4=EDATE(EDATE('核心假设'!$B$5,7+$F10),$D10),SUM('融资租赁与资金缺口'!$D$5:$D$16)*$T10*'核心假设'!$B$32,0),0),IF(AND(AF$4&gt;EDATE('核心假设'!$B$5,8+$F10),AF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AF$4=EDATE(EDATE('核心假设'!$B$5,8+$F10),$D10),SUM('融资租赁与资金缺口'!$D$5:$D$16)*$U10*'核心假设'!$B$32,0),0),IF(AND(AF$4&gt;EDATE('核心假设'!$B$5,9+$F10),AF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AF$4=EDATE(EDATE('核心假设'!$B$5,9+$F10),$D10),SUM('融资租赁与资金缺口'!$D$5:$D$16)*$V10*'核心假设'!$B$32,0),0),IF(AND(AF$4&gt;EDATE('核心假设'!$B$5,10+$F10),AF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AF$4=EDATE(EDATE('核心假设'!$B$5,10+$F10),$D10),SUM('融资租赁与资金缺口'!$D$5:$D$16)*$W10*'核心假设'!$B$32,0),0),IF(AND(AF$4&gt;EDATE('核心假设'!$B$5,11+$F10),AF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AF$4=EDATE(EDATE('核心假设'!$B$5,11+$F10),$D10),SUM('融资租赁与资金缺口'!$D$5:$D$16)*$X10*'核心假设'!$B$32,0),0),IF(AND(AF$4&gt;EDATE('核心假设'!$B$5,12+$F10),AF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AF$4=EDATE(EDATE('核心假设'!$B$5,12+$F10),$D10),SUM('融资租赁与资金缺口'!$D$5:$D$16)*$Y10*'核心假设'!$B$32,0),0),IF(AND(AF$4&gt;EDATE('核心假设'!$B$5,13+$F10),AF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AF$4=EDATE(EDATE('核心假设'!$B$5,13+$F10),$D10),SUM('融资租赁与资金缺口'!$D$5:$D$16)*$Z10*'核心假设'!$B$32,0),0),IF(AND(AF$4&gt;EDATE('核心假设'!$B$5,14+$F10),AF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AF$4=EDATE(EDATE('核心假设'!$B$5,14+$F10),$D10),SUM('融资租赁与资金缺口'!$D$5:$D$16)*$AA10*'核心假设'!$B$32,0),0),IF(AND(AF$4&gt;EDATE('核心假设'!$B$5,15+$F10),AF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AF$4=EDATE(EDATE('核心假设'!$B$5,15+$F10),$D10),SUM('融资租赁与资金缺口'!$D$5:$D$16)*$AB10*'核心假设'!$B$32,0),0),IF(AND(AF$4&gt;EDATE('核心假设'!$B$5,16+$F10),AF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AF$4=EDATE(EDATE('核心假设'!$B$5,16+$F10),$D10),SUM('融资租赁与资金缺口'!$D$5:$D$16)*$AC10*'核心假设'!$B$32,0),0),IF(AND(AF$4&gt;EDATE('核心假设'!$B$5,17+$F10),AF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AF$4=EDATE(EDATE('核心假设'!$B$5,17+$F10),$D10),SUM('融资租赁与资金缺口'!$D$5:$D$16)*$AD10*'核心假设'!$B$32,0),0))</x:f>
        <x:v>0</x:v>
      </x:c>
      <x:c r="AG37" s="28" t="n">
        <x:f>SUM(IF(AND(AG$4&gt;EDATE('核心假设'!$B$5,0+$F10),AG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AG$4=EDATE(EDATE('核心假设'!$B$5,0+$F10),$D10),SUM('融资租赁与资金缺口'!$D$5:$D$16)*$M10*'核心假设'!$B$32,0),0),IF(AND(AG$4&gt;EDATE('核心假设'!$B$5,1+$F10),AG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AG$4=EDATE(EDATE('核心假设'!$B$5,1+$F10),$D10),SUM('融资租赁与资金缺口'!$D$5:$D$16)*$N10*'核心假设'!$B$32,0),0),IF(AND(AG$4&gt;EDATE('核心假设'!$B$5,2+$F10),AG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AG$4=EDATE(EDATE('核心假设'!$B$5,2+$F10),$D10),SUM('融资租赁与资金缺口'!$D$5:$D$16)*$O10*'核心假设'!$B$32,0),0),IF(AND(AG$4&gt;EDATE('核心假设'!$B$5,3+$F10),AG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AG$4=EDATE(EDATE('核心假设'!$B$5,3+$F10),$D10),SUM('融资租赁与资金缺口'!$D$5:$D$16)*$P10*'核心假设'!$B$32,0),0),IF(AND(AG$4&gt;EDATE('核心假设'!$B$5,4+$F10),AG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AG$4=EDATE(EDATE('核心假设'!$B$5,4+$F10),$D10),SUM('融资租赁与资金缺口'!$D$5:$D$16)*$Q10*'核心假设'!$B$32,0),0),IF(AND(AG$4&gt;EDATE('核心假设'!$B$5,5+$F10),AG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AG$4=EDATE(EDATE('核心假设'!$B$5,5+$F10),$D10),SUM('融资租赁与资金缺口'!$D$5:$D$16)*$R10*'核心假设'!$B$32,0),0),IF(AND(AG$4&gt;EDATE('核心假设'!$B$5,6+$F10),AG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AG$4=EDATE(EDATE('核心假设'!$B$5,6+$F10),$D10),SUM('融资租赁与资金缺口'!$D$5:$D$16)*$S10*'核心假设'!$B$32,0),0),IF(AND(AG$4&gt;EDATE('核心假设'!$B$5,7+$F10),AG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AG$4=EDATE(EDATE('核心假设'!$B$5,7+$F10),$D10),SUM('融资租赁与资金缺口'!$D$5:$D$16)*$T10*'核心假设'!$B$32,0),0),IF(AND(AG$4&gt;EDATE('核心假设'!$B$5,8+$F10),AG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AG$4=EDATE(EDATE('核心假设'!$B$5,8+$F10),$D10),SUM('融资租赁与资金缺口'!$D$5:$D$16)*$U10*'核心假设'!$B$32,0),0),IF(AND(AG$4&gt;EDATE('核心假设'!$B$5,9+$F10),AG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AG$4=EDATE(EDATE('核心假设'!$B$5,9+$F10),$D10),SUM('融资租赁与资金缺口'!$D$5:$D$16)*$V10*'核心假设'!$B$32,0),0),IF(AND(AG$4&gt;EDATE('核心假设'!$B$5,10+$F10),AG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AG$4=EDATE(EDATE('核心假设'!$B$5,10+$F10),$D10),SUM('融资租赁与资金缺口'!$D$5:$D$16)*$W10*'核心假设'!$B$32,0),0),IF(AND(AG$4&gt;EDATE('核心假设'!$B$5,11+$F10),AG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AG$4=EDATE(EDATE('核心假设'!$B$5,11+$F10),$D10),SUM('融资租赁与资金缺口'!$D$5:$D$16)*$X10*'核心假设'!$B$32,0),0),IF(AND(AG$4&gt;EDATE('核心假设'!$B$5,12+$F10),AG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AG$4=EDATE(EDATE('核心假设'!$B$5,12+$F10),$D10),SUM('融资租赁与资金缺口'!$D$5:$D$16)*$Y10*'核心假设'!$B$32,0),0),IF(AND(AG$4&gt;EDATE('核心假设'!$B$5,13+$F10),AG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AG$4=EDATE(EDATE('核心假设'!$B$5,13+$F10),$D10),SUM('融资租赁与资金缺口'!$D$5:$D$16)*$Z10*'核心假设'!$B$32,0),0),IF(AND(AG$4&gt;EDATE('核心假设'!$B$5,14+$F10),AG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AG$4=EDATE(EDATE('核心假设'!$B$5,14+$F10),$D10),SUM('融资租赁与资金缺口'!$D$5:$D$16)*$AA10*'核心假设'!$B$32,0),0),IF(AND(AG$4&gt;EDATE('核心假设'!$B$5,15+$F10),AG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AG$4=EDATE(EDATE('核心假设'!$B$5,15+$F10),$D10),SUM('融资租赁与资金缺口'!$D$5:$D$16)*$AB10*'核心假设'!$B$32,0),0),IF(AND(AG$4&gt;EDATE('核心假设'!$B$5,16+$F10),AG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AG$4=EDATE(EDATE('核心假设'!$B$5,16+$F10),$D10),SUM('融资租赁与资金缺口'!$D$5:$D$16)*$AC10*'核心假设'!$B$32,0),0),IF(AND(AG$4&gt;EDATE('核心假设'!$B$5,17+$F10),AG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AG$4=EDATE(EDATE('核心假设'!$B$5,17+$F10),$D10),SUM('融资租赁与资金缺口'!$D$5:$D$16)*$AD10*'核心假设'!$B$32,0),0))</x:f>
        <x:v>0</x:v>
      </x:c>
      <x:c r="AH37" s="28" t="n">
        <x:f>SUM(IF(AND(AH$4&gt;EDATE('核心假设'!$B$5,0+$F10),AH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AH$4=EDATE(EDATE('核心假设'!$B$5,0+$F10),$D10),SUM('融资租赁与资金缺口'!$D$5:$D$16)*$M10*'核心假设'!$B$32,0),0),IF(AND(AH$4&gt;EDATE('核心假设'!$B$5,1+$F10),AH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AH$4=EDATE(EDATE('核心假设'!$B$5,1+$F10),$D10),SUM('融资租赁与资金缺口'!$D$5:$D$16)*$N10*'核心假设'!$B$32,0),0),IF(AND(AH$4&gt;EDATE('核心假设'!$B$5,2+$F10),AH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AH$4=EDATE(EDATE('核心假设'!$B$5,2+$F10),$D10),SUM('融资租赁与资金缺口'!$D$5:$D$16)*$O10*'核心假设'!$B$32,0),0),IF(AND(AH$4&gt;EDATE('核心假设'!$B$5,3+$F10),AH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AH$4=EDATE(EDATE('核心假设'!$B$5,3+$F10),$D10),SUM('融资租赁与资金缺口'!$D$5:$D$16)*$P10*'核心假设'!$B$32,0),0),IF(AND(AH$4&gt;EDATE('核心假设'!$B$5,4+$F10),AH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AH$4=EDATE(EDATE('核心假设'!$B$5,4+$F10),$D10),SUM('融资租赁与资金缺口'!$D$5:$D$16)*$Q10*'核心假设'!$B$32,0),0),IF(AND(AH$4&gt;EDATE('核心假设'!$B$5,5+$F10),AH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AH$4=EDATE(EDATE('核心假设'!$B$5,5+$F10),$D10),SUM('融资租赁与资金缺口'!$D$5:$D$16)*$R10*'核心假设'!$B$32,0),0),IF(AND(AH$4&gt;EDATE('核心假设'!$B$5,6+$F10),AH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AH$4=EDATE(EDATE('核心假设'!$B$5,6+$F10),$D10),SUM('融资租赁与资金缺口'!$D$5:$D$16)*$S10*'核心假设'!$B$32,0),0),IF(AND(AH$4&gt;EDATE('核心假设'!$B$5,7+$F10),AH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AH$4=EDATE(EDATE('核心假设'!$B$5,7+$F10),$D10),SUM('融资租赁与资金缺口'!$D$5:$D$16)*$T10*'核心假设'!$B$32,0),0),IF(AND(AH$4&gt;EDATE('核心假设'!$B$5,8+$F10),AH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AH$4=EDATE(EDATE('核心假设'!$B$5,8+$F10),$D10),SUM('融资租赁与资金缺口'!$D$5:$D$16)*$U10*'核心假设'!$B$32,0),0),IF(AND(AH$4&gt;EDATE('核心假设'!$B$5,9+$F10),AH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AH$4=EDATE(EDATE('核心假设'!$B$5,9+$F10),$D10),SUM('融资租赁与资金缺口'!$D$5:$D$16)*$V10*'核心假设'!$B$32,0),0),IF(AND(AH$4&gt;EDATE('核心假设'!$B$5,10+$F10),AH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AH$4=EDATE(EDATE('核心假设'!$B$5,10+$F10),$D10),SUM('融资租赁与资金缺口'!$D$5:$D$16)*$W10*'核心假设'!$B$32,0),0),IF(AND(AH$4&gt;EDATE('核心假设'!$B$5,11+$F10),AH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AH$4=EDATE(EDATE('核心假设'!$B$5,11+$F10),$D10),SUM('融资租赁与资金缺口'!$D$5:$D$16)*$X10*'核心假设'!$B$32,0),0),IF(AND(AH$4&gt;EDATE('核心假设'!$B$5,12+$F10),AH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AH$4=EDATE(EDATE('核心假设'!$B$5,12+$F10),$D10),SUM('融资租赁与资金缺口'!$D$5:$D$16)*$Y10*'核心假设'!$B$32,0),0),IF(AND(AH$4&gt;EDATE('核心假设'!$B$5,13+$F10),AH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AH$4=EDATE(EDATE('核心假设'!$B$5,13+$F10),$D10),SUM('融资租赁与资金缺口'!$D$5:$D$16)*$Z10*'核心假设'!$B$32,0),0),IF(AND(AH$4&gt;EDATE('核心假设'!$B$5,14+$F10),AH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AH$4=EDATE(EDATE('核心假设'!$B$5,14+$F10),$D10),SUM('融资租赁与资金缺口'!$D$5:$D$16)*$AA10*'核心假设'!$B$32,0),0),IF(AND(AH$4&gt;EDATE('核心假设'!$B$5,15+$F10),AH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AH$4=EDATE(EDATE('核心假设'!$B$5,15+$F10),$D10),SUM('融资租赁与资金缺口'!$D$5:$D$16)*$AB10*'核心假设'!$B$32,0),0),IF(AND(AH$4&gt;EDATE('核心假设'!$B$5,16+$F10),AH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AH$4=EDATE(EDATE('核心假设'!$B$5,16+$F10),$D10),SUM('融资租赁与资金缺口'!$D$5:$D$16)*$AC10*'核心假设'!$B$32,0),0),IF(AND(AH$4&gt;EDATE('核心假设'!$B$5,17+$F10),AH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AH$4=EDATE(EDATE('核心假设'!$B$5,17+$F10),$D10),SUM('融资租赁与资金缺口'!$D$5:$D$16)*$AD10*'核心假设'!$B$32,0),0))</x:f>
        <x:v>0</x:v>
      </x:c>
      <x:c r="AI37" s="28" t="n">
        <x:f>SUM(IF(AND(AI$4&gt;EDATE('核心假设'!$B$5,0+$F10),AI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AI$4=EDATE(EDATE('核心假设'!$B$5,0+$F10),$D10),SUM('融资租赁与资金缺口'!$D$5:$D$16)*$M10*'核心假设'!$B$32,0),0),IF(AND(AI$4&gt;EDATE('核心假设'!$B$5,1+$F10),AI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AI$4=EDATE(EDATE('核心假设'!$B$5,1+$F10),$D10),SUM('融资租赁与资金缺口'!$D$5:$D$16)*$N10*'核心假设'!$B$32,0),0),IF(AND(AI$4&gt;EDATE('核心假设'!$B$5,2+$F10),AI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AI$4=EDATE(EDATE('核心假设'!$B$5,2+$F10),$D10),SUM('融资租赁与资金缺口'!$D$5:$D$16)*$O10*'核心假设'!$B$32,0),0),IF(AND(AI$4&gt;EDATE('核心假设'!$B$5,3+$F10),AI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AI$4=EDATE(EDATE('核心假设'!$B$5,3+$F10),$D10),SUM('融资租赁与资金缺口'!$D$5:$D$16)*$P10*'核心假设'!$B$32,0),0),IF(AND(AI$4&gt;EDATE('核心假设'!$B$5,4+$F10),AI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AI$4=EDATE(EDATE('核心假设'!$B$5,4+$F10),$D10),SUM('融资租赁与资金缺口'!$D$5:$D$16)*$Q10*'核心假设'!$B$32,0),0),IF(AND(AI$4&gt;EDATE('核心假设'!$B$5,5+$F10),AI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AI$4=EDATE(EDATE('核心假设'!$B$5,5+$F10),$D10),SUM('融资租赁与资金缺口'!$D$5:$D$16)*$R10*'核心假设'!$B$32,0),0),IF(AND(AI$4&gt;EDATE('核心假设'!$B$5,6+$F10),AI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AI$4=EDATE(EDATE('核心假设'!$B$5,6+$F10),$D10),SUM('融资租赁与资金缺口'!$D$5:$D$16)*$S10*'核心假设'!$B$32,0),0),IF(AND(AI$4&gt;EDATE('核心假设'!$B$5,7+$F10),AI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AI$4=EDATE(EDATE('核心假设'!$B$5,7+$F10),$D10),SUM('融资租赁与资金缺口'!$D$5:$D$16)*$T10*'核心假设'!$B$32,0),0),IF(AND(AI$4&gt;EDATE('核心假设'!$B$5,8+$F10),AI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AI$4=EDATE(EDATE('核心假设'!$B$5,8+$F10),$D10),SUM('融资租赁与资金缺口'!$D$5:$D$16)*$U10*'核心假设'!$B$32,0),0),IF(AND(AI$4&gt;EDATE('核心假设'!$B$5,9+$F10),AI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AI$4=EDATE(EDATE('核心假设'!$B$5,9+$F10),$D10),SUM('融资租赁与资金缺口'!$D$5:$D$16)*$V10*'核心假设'!$B$32,0),0),IF(AND(AI$4&gt;EDATE('核心假设'!$B$5,10+$F10),AI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AI$4=EDATE(EDATE('核心假设'!$B$5,10+$F10),$D10),SUM('融资租赁与资金缺口'!$D$5:$D$16)*$W10*'核心假设'!$B$32,0),0),IF(AND(AI$4&gt;EDATE('核心假设'!$B$5,11+$F10),AI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AI$4=EDATE(EDATE('核心假设'!$B$5,11+$F10),$D10),SUM('融资租赁与资金缺口'!$D$5:$D$16)*$X10*'核心假设'!$B$32,0),0),IF(AND(AI$4&gt;EDATE('核心假设'!$B$5,12+$F10),AI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AI$4=EDATE(EDATE('核心假设'!$B$5,12+$F10),$D10),SUM('融资租赁与资金缺口'!$D$5:$D$16)*$Y10*'核心假设'!$B$32,0),0),IF(AND(AI$4&gt;EDATE('核心假设'!$B$5,13+$F10),AI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AI$4=EDATE(EDATE('核心假设'!$B$5,13+$F10),$D10),SUM('融资租赁与资金缺口'!$D$5:$D$16)*$Z10*'核心假设'!$B$32,0),0),IF(AND(AI$4&gt;EDATE('核心假设'!$B$5,14+$F10),AI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AI$4=EDATE(EDATE('核心假设'!$B$5,14+$F10),$D10),SUM('融资租赁与资金缺口'!$D$5:$D$16)*$AA10*'核心假设'!$B$32,0),0),IF(AND(AI$4&gt;EDATE('核心假设'!$B$5,15+$F10),AI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AI$4=EDATE(EDATE('核心假设'!$B$5,15+$F10),$D10),SUM('融资租赁与资金缺口'!$D$5:$D$16)*$AB10*'核心假设'!$B$32,0),0),IF(AND(AI$4&gt;EDATE('核心假设'!$B$5,16+$F10),AI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AI$4=EDATE(EDATE('核心假设'!$B$5,16+$F10),$D10),SUM('融资租赁与资金缺口'!$D$5:$D$16)*$AC10*'核心假设'!$B$32,0),0),IF(AND(AI$4&gt;EDATE('核心假设'!$B$5,17+$F10),AI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AI$4=EDATE(EDATE('核心假设'!$B$5,17+$F10),$D10),SUM('融资租赁与资金缺口'!$D$5:$D$16)*$AD10*'核心假设'!$B$32,0),0))</x:f>
        <x:v>416837.3284171635</x:v>
      </x:c>
      <x:c r="AJ37" s="28" t="n">
        <x:f>SUM(IF(AND(AJ$4&gt;EDATE('核心假设'!$B$5,0+$F10),AJ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AJ$4=EDATE(EDATE('核心假设'!$B$5,0+$F10),$D10),SUM('融资租赁与资金缺口'!$D$5:$D$16)*$M10*'核心假设'!$B$32,0),0),IF(AND(AJ$4&gt;EDATE('核心假设'!$B$5,1+$F10),AJ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AJ$4=EDATE(EDATE('核心假设'!$B$5,1+$F10),$D10),SUM('融资租赁与资金缺口'!$D$5:$D$16)*$N10*'核心假设'!$B$32,0),0),IF(AND(AJ$4&gt;EDATE('核心假设'!$B$5,2+$F10),AJ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AJ$4=EDATE(EDATE('核心假设'!$B$5,2+$F10),$D10),SUM('融资租赁与资金缺口'!$D$5:$D$16)*$O10*'核心假设'!$B$32,0),0),IF(AND(AJ$4&gt;EDATE('核心假设'!$B$5,3+$F10),AJ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AJ$4=EDATE(EDATE('核心假设'!$B$5,3+$F10),$D10),SUM('融资租赁与资金缺口'!$D$5:$D$16)*$P10*'核心假设'!$B$32,0),0),IF(AND(AJ$4&gt;EDATE('核心假设'!$B$5,4+$F10),AJ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AJ$4=EDATE(EDATE('核心假设'!$B$5,4+$F10),$D10),SUM('融资租赁与资金缺口'!$D$5:$D$16)*$Q10*'核心假设'!$B$32,0),0),IF(AND(AJ$4&gt;EDATE('核心假设'!$B$5,5+$F10),AJ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AJ$4=EDATE(EDATE('核心假设'!$B$5,5+$F10),$D10),SUM('融资租赁与资金缺口'!$D$5:$D$16)*$R10*'核心假设'!$B$32,0),0),IF(AND(AJ$4&gt;EDATE('核心假设'!$B$5,6+$F10),AJ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AJ$4=EDATE(EDATE('核心假设'!$B$5,6+$F10),$D10),SUM('融资租赁与资金缺口'!$D$5:$D$16)*$S10*'核心假设'!$B$32,0),0),IF(AND(AJ$4&gt;EDATE('核心假设'!$B$5,7+$F10),AJ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AJ$4=EDATE(EDATE('核心假设'!$B$5,7+$F10),$D10),SUM('融资租赁与资金缺口'!$D$5:$D$16)*$T10*'核心假设'!$B$32,0),0),IF(AND(AJ$4&gt;EDATE('核心假设'!$B$5,8+$F10),AJ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AJ$4=EDATE(EDATE('核心假设'!$B$5,8+$F10),$D10),SUM('融资租赁与资金缺口'!$D$5:$D$16)*$U10*'核心假设'!$B$32,0),0),IF(AND(AJ$4&gt;EDATE('核心假设'!$B$5,9+$F10),AJ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AJ$4=EDATE(EDATE('核心假设'!$B$5,9+$F10),$D10),SUM('融资租赁与资金缺口'!$D$5:$D$16)*$V10*'核心假设'!$B$32,0),0),IF(AND(AJ$4&gt;EDATE('核心假设'!$B$5,10+$F10),AJ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AJ$4=EDATE(EDATE('核心假设'!$B$5,10+$F10),$D10),SUM('融资租赁与资金缺口'!$D$5:$D$16)*$W10*'核心假设'!$B$32,0),0),IF(AND(AJ$4&gt;EDATE('核心假设'!$B$5,11+$F10),AJ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AJ$4=EDATE(EDATE('核心假设'!$B$5,11+$F10),$D10),SUM('融资租赁与资金缺口'!$D$5:$D$16)*$X10*'核心假设'!$B$32,0),0),IF(AND(AJ$4&gt;EDATE('核心假设'!$B$5,12+$F10),AJ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AJ$4=EDATE(EDATE('核心假设'!$B$5,12+$F10),$D10),SUM('融资租赁与资金缺口'!$D$5:$D$16)*$Y10*'核心假设'!$B$32,0),0),IF(AND(AJ$4&gt;EDATE('核心假设'!$B$5,13+$F10),AJ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AJ$4=EDATE(EDATE('核心假设'!$B$5,13+$F10),$D10),SUM('融资租赁与资金缺口'!$D$5:$D$16)*$Z10*'核心假设'!$B$32,0),0),IF(AND(AJ$4&gt;EDATE('核心假设'!$B$5,14+$F10),AJ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AJ$4=EDATE(EDATE('核心假设'!$B$5,14+$F10),$D10),SUM('融资租赁与资金缺口'!$D$5:$D$16)*$AA10*'核心假设'!$B$32,0),0),IF(AND(AJ$4&gt;EDATE('核心假设'!$B$5,15+$F10),AJ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AJ$4=EDATE(EDATE('核心假设'!$B$5,15+$F10),$D10),SUM('融资租赁与资金缺口'!$D$5:$D$16)*$AB10*'核心假设'!$B$32,0),0),IF(AND(AJ$4&gt;EDATE('核心假设'!$B$5,16+$F10),AJ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AJ$4=EDATE(EDATE('核心假设'!$B$5,16+$F10),$D10),SUM('融资租赁与资金缺口'!$D$5:$D$16)*$AC10*'核心假设'!$B$32,0),0),IF(AND(AJ$4&gt;EDATE('核心假设'!$B$5,17+$F10),AJ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AJ$4=EDATE(EDATE('核心假设'!$B$5,17+$F10),$D10),SUM('融资租赁与资金缺口'!$D$5:$D$16)*$AD10*'核心假设'!$B$32,0),0))</x:f>
        <x:v>972620.4329733814</x:v>
      </x:c>
      <x:c r="AK37" s="28" t="n">
        <x:f>SUM(IF(AND(AK$4&gt;EDATE('核心假设'!$B$5,0+$F10),AK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AK$4=EDATE(EDATE('核心假设'!$B$5,0+$F10),$D10),SUM('融资租赁与资金缺口'!$D$5:$D$16)*$M10*'核心假设'!$B$32,0),0),IF(AND(AK$4&gt;EDATE('核心假设'!$B$5,1+$F10),AK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AK$4=EDATE(EDATE('核心假设'!$B$5,1+$F10),$D10),SUM('融资租赁与资金缺口'!$D$5:$D$16)*$N10*'核心假设'!$B$32,0),0),IF(AND(AK$4&gt;EDATE('核心假设'!$B$5,2+$F10),AK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AK$4=EDATE(EDATE('核心假设'!$B$5,2+$F10),$D10),SUM('融资租赁与资金缺口'!$D$5:$D$16)*$O10*'核心假设'!$B$32,0),0),IF(AND(AK$4&gt;EDATE('核心假设'!$B$5,3+$F10),AK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AK$4=EDATE(EDATE('核心假设'!$B$5,3+$F10),$D10),SUM('融资租赁与资金缺口'!$D$5:$D$16)*$P10*'核心假设'!$B$32,0),0),IF(AND(AK$4&gt;EDATE('核心假设'!$B$5,4+$F10),AK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AK$4=EDATE(EDATE('核心假设'!$B$5,4+$F10),$D10),SUM('融资租赁与资金缺口'!$D$5:$D$16)*$Q10*'核心假设'!$B$32,0),0),IF(AND(AK$4&gt;EDATE('核心假设'!$B$5,5+$F10),AK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AK$4=EDATE(EDATE('核心假设'!$B$5,5+$F10),$D10),SUM('融资租赁与资金缺口'!$D$5:$D$16)*$R10*'核心假设'!$B$32,0),0),IF(AND(AK$4&gt;EDATE('核心假设'!$B$5,6+$F10),AK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AK$4=EDATE(EDATE('核心假设'!$B$5,6+$F10),$D10),SUM('融资租赁与资金缺口'!$D$5:$D$16)*$S10*'核心假设'!$B$32,0),0),IF(AND(AK$4&gt;EDATE('核心假设'!$B$5,7+$F10),AK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AK$4=EDATE(EDATE('核心假设'!$B$5,7+$F10),$D10),SUM('融资租赁与资金缺口'!$D$5:$D$16)*$T10*'核心假设'!$B$32,0),0),IF(AND(AK$4&gt;EDATE('核心假设'!$B$5,8+$F10),AK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AK$4=EDATE(EDATE('核心假设'!$B$5,8+$F10),$D10),SUM('融资租赁与资金缺口'!$D$5:$D$16)*$U10*'核心假设'!$B$32,0),0),IF(AND(AK$4&gt;EDATE('核心假设'!$B$5,9+$F10),AK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AK$4=EDATE(EDATE('核心假设'!$B$5,9+$F10),$D10),SUM('融资租赁与资金缺口'!$D$5:$D$16)*$V10*'核心假设'!$B$32,0),0),IF(AND(AK$4&gt;EDATE('核心假设'!$B$5,10+$F10),AK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AK$4=EDATE(EDATE('核心假设'!$B$5,10+$F10),$D10),SUM('融资租赁与资金缺口'!$D$5:$D$16)*$W10*'核心假设'!$B$32,0),0),IF(AND(AK$4&gt;EDATE('核心假设'!$B$5,11+$F10),AK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AK$4=EDATE(EDATE('核心假设'!$B$5,11+$F10),$D10),SUM('融资租赁与资金缺口'!$D$5:$D$16)*$X10*'核心假设'!$B$32,0),0),IF(AND(AK$4&gt;EDATE('核心假设'!$B$5,12+$F10),AK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AK$4=EDATE(EDATE('核心假设'!$B$5,12+$F10),$D10),SUM('融资租赁与资金缺口'!$D$5:$D$16)*$Y10*'核心假设'!$B$32,0),0),IF(AND(AK$4&gt;EDATE('核心假设'!$B$5,13+$F10),AK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AK$4=EDATE(EDATE('核心假设'!$B$5,13+$F10),$D10),SUM('融资租赁与资金缺口'!$D$5:$D$16)*$Z10*'核心假设'!$B$32,0),0),IF(AND(AK$4&gt;EDATE('核心假设'!$B$5,14+$F10),AK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AK$4=EDATE(EDATE('核心假设'!$B$5,14+$F10),$D10),SUM('融资租赁与资金缺口'!$D$5:$D$16)*$AA10*'核心假设'!$B$32,0),0),IF(AND(AK$4&gt;EDATE('核心假设'!$B$5,15+$F10),AK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AK$4=EDATE(EDATE('核心假设'!$B$5,15+$F10),$D10),SUM('融资租赁与资金缺口'!$D$5:$D$16)*$AB10*'核心假设'!$B$32,0),0),IF(AND(AK$4&gt;EDATE('核心假设'!$B$5,16+$F10),AK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AK$4=EDATE(EDATE('核心假设'!$B$5,16+$F10),$D10),SUM('融资租赁与资金缺口'!$D$5:$D$16)*$AC10*'核心假设'!$B$32,0),0),IF(AND(AK$4&gt;EDATE('核心假设'!$B$5,17+$F10),AK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AK$4=EDATE(EDATE('核心假设'!$B$5,17+$F10),$D10),SUM('融资租赁与资金缺口'!$D$5:$D$16)*$AD10*'核心假设'!$B$32,0),0))</x:f>
        <x:v>1528403.5375295994</x:v>
      </x:c>
      <x:c r="AL37" s="28" t="n">
        <x:f>SUM(IF(AND(AL$4&gt;EDATE('核心假设'!$B$5,0+$F10),AL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AL$4=EDATE(EDATE('核心假设'!$B$5,0+$F10),$D10),SUM('融资租赁与资金缺口'!$D$5:$D$16)*$M10*'核心假设'!$B$32,0),0),IF(AND(AL$4&gt;EDATE('核心假设'!$B$5,1+$F10),AL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AL$4=EDATE(EDATE('核心假设'!$B$5,1+$F10),$D10),SUM('融资租赁与资金缺口'!$D$5:$D$16)*$N10*'核心假设'!$B$32,0),0),IF(AND(AL$4&gt;EDATE('核心假设'!$B$5,2+$F10),AL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AL$4=EDATE(EDATE('核心假设'!$B$5,2+$F10),$D10),SUM('融资租赁与资金缺口'!$D$5:$D$16)*$O10*'核心假设'!$B$32,0),0),IF(AND(AL$4&gt;EDATE('核心假设'!$B$5,3+$F10),AL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AL$4=EDATE(EDATE('核心假设'!$B$5,3+$F10),$D10),SUM('融资租赁与资金缺口'!$D$5:$D$16)*$P10*'核心假设'!$B$32,0),0),IF(AND(AL$4&gt;EDATE('核心假设'!$B$5,4+$F10),AL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AL$4=EDATE(EDATE('核心假设'!$B$5,4+$F10),$D10),SUM('融资租赁与资金缺口'!$D$5:$D$16)*$Q10*'核心假设'!$B$32,0),0),IF(AND(AL$4&gt;EDATE('核心假设'!$B$5,5+$F10),AL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AL$4=EDATE(EDATE('核心假设'!$B$5,5+$F10),$D10),SUM('融资租赁与资金缺口'!$D$5:$D$16)*$R10*'核心假设'!$B$32,0),0),IF(AND(AL$4&gt;EDATE('核心假设'!$B$5,6+$F10),AL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AL$4=EDATE(EDATE('核心假设'!$B$5,6+$F10),$D10),SUM('融资租赁与资金缺口'!$D$5:$D$16)*$S10*'核心假设'!$B$32,0),0),IF(AND(AL$4&gt;EDATE('核心假设'!$B$5,7+$F10),AL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AL$4=EDATE(EDATE('核心假设'!$B$5,7+$F10),$D10),SUM('融资租赁与资金缺口'!$D$5:$D$16)*$T10*'核心假设'!$B$32,0),0),IF(AND(AL$4&gt;EDATE('核心假设'!$B$5,8+$F10),AL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AL$4=EDATE(EDATE('核心假设'!$B$5,8+$F10),$D10),SUM('融资租赁与资金缺口'!$D$5:$D$16)*$U10*'核心假设'!$B$32,0),0),IF(AND(AL$4&gt;EDATE('核心假设'!$B$5,9+$F10),AL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AL$4=EDATE(EDATE('核心假设'!$B$5,9+$F10),$D10),SUM('融资租赁与资金缺口'!$D$5:$D$16)*$V10*'核心假设'!$B$32,0),0),IF(AND(AL$4&gt;EDATE('核心假设'!$B$5,10+$F10),AL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AL$4=EDATE(EDATE('核心假设'!$B$5,10+$F10),$D10),SUM('融资租赁与资金缺口'!$D$5:$D$16)*$W10*'核心假设'!$B$32,0),0),IF(AND(AL$4&gt;EDATE('核心假设'!$B$5,11+$F10),AL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AL$4=EDATE(EDATE('核心假设'!$B$5,11+$F10),$D10),SUM('融资租赁与资金缺口'!$D$5:$D$16)*$X10*'核心假设'!$B$32,0),0),IF(AND(AL$4&gt;EDATE('核心假设'!$B$5,12+$F10),AL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AL$4=EDATE(EDATE('核心假设'!$B$5,12+$F10),$D10),SUM('融资租赁与资金缺口'!$D$5:$D$16)*$Y10*'核心假设'!$B$32,0),0),IF(AND(AL$4&gt;EDATE('核心假设'!$B$5,13+$F10),AL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AL$4=EDATE(EDATE('核心假设'!$B$5,13+$F10),$D10),SUM('融资租赁与资金缺口'!$D$5:$D$16)*$Z10*'核心假设'!$B$32,0),0),IF(AND(AL$4&gt;EDATE('核心假设'!$B$5,14+$F10),AL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AL$4=EDATE(EDATE('核心假设'!$B$5,14+$F10),$D10),SUM('融资租赁与资金缺口'!$D$5:$D$16)*$AA10*'核心假设'!$B$32,0),0),IF(AND(AL$4&gt;EDATE('核心假设'!$B$5,15+$F10),AL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AL$4=EDATE(EDATE('核心假设'!$B$5,15+$F10),$D10),SUM('融资租赁与资金缺口'!$D$5:$D$16)*$AB10*'核心假设'!$B$32,0),0),IF(AND(AL$4&gt;EDATE('核心假设'!$B$5,16+$F10),AL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AL$4=EDATE(EDATE('核心假设'!$B$5,16+$F10),$D10),SUM('融资租赁与资金缺口'!$D$5:$D$16)*$AC10*'核心假设'!$B$32,0),0),IF(AND(AL$4&gt;EDATE('核心假设'!$B$5,17+$F10),AL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AL$4=EDATE(EDATE('核心假设'!$B$5,17+$F10),$D10),SUM('融资租赁与资金缺口'!$D$5:$D$16)*$AD10*'核心假设'!$B$32,0),0))</x:f>
        <x:v>2223132.418224872</x:v>
      </x:c>
      <x:c r="AM37" s="28" t="n">
        <x:f>SUM(IF(AND(AM$4&gt;EDATE('核心假设'!$B$5,0+$F10),AM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AM$4=EDATE(EDATE('核心假设'!$B$5,0+$F10),$D10),SUM('融资租赁与资金缺口'!$D$5:$D$16)*$M10*'核心假设'!$B$32,0),0),IF(AND(AM$4&gt;EDATE('核心假设'!$B$5,1+$F10),AM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AM$4=EDATE(EDATE('核心假设'!$B$5,1+$F10),$D10),SUM('融资租赁与资金缺口'!$D$5:$D$16)*$N10*'核心假设'!$B$32,0),0),IF(AND(AM$4&gt;EDATE('核心假设'!$B$5,2+$F10),AM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AM$4=EDATE(EDATE('核心假设'!$B$5,2+$F10),$D10),SUM('融资租赁与资金缺口'!$D$5:$D$16)*$O10*'核心假设'!$B$32,0),0),IF(AND(AM$4&gt;EDATE('核心假设'!$B$5,3+$F10),AM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AM$4=EDATE(EDATE('核心假设'!$B$5,3+$F10),$D10),SUM('融资租赁与资金缺口'!$D$5:$D$16)*$P10*'核心假设'!$B$32,0),0),IF(AND(AM$4&gt;EDATE('核心假设'!$B$5,4+$F10),AM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AM$4=EDATE(EDATE('核心假设'!$B$5,4+$F10),$D10),SUM('融资租赁与资金缺口'!$D$5:$D$16)*$Q10*'核心假设'!$B$32,0),0),IF(AND(AM$4&gt;EDATE('核心假设'!$B$5,5+$F10),AM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AM$4=EDATE(EDATE('核心假设'!$B$5,5+$F10),$D10),SUM('融资租赁与资金缺口'!$D$5:$D$16)*$R10*'核心假设'!$B$32,0),0),IF(AND(AM$4&gt;EDATE('核心假设'!$B$5,6+$F10),AM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AM$4=EDATE(EDATE('核心假设'!$B$5,6+$F10),$D10),SUM('融资租赁与资金缺口'!$D$5:$D$16)*$S10*'核心假设'!$B$32,0),0),IF(AND(AM$4&gt;EDATE('核心假设'!$B$5,7+$F10),AM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AM$4=EDATE(EDATE('核心假设'!$B$5,7+$F10),$D10),SUM('融资租赁与资金缺口'!$D$5:$D$16)*$T10*'核心假设'!$B$32,0),0),IF(AND(AM$4&gt;EDATE('核心假设'!$B$5,8+$F10),AM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AM$4=EDATE(EDATE('核心假设'!$B$5,8+$F10),$D10),SUM('融资租赁与资金缺口'!$D$5:$D$16)*$U10*'核心假设'!$B$32,0),0),IF(AND(AM$4&gt;EDATE('核心假设'!$B$5,9+$F10),AM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AM$4=EDATE(EDATE('核心假设'!$B$5,9+$F10),$D10),SUM('融资租赁与资金缺口'!$D$5:$D$16)*$V10*'核心假设'!$B$32,0),0),IF(AND(AM$4&gt;EDATE('核心假设'!$B$5,10+$F10),AM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AM$4=EDATE(EDATE('核心假设'!$B$5,10+$F10),$D10),SUM('融资租赁与资金缺口'!$D$5:$D$16)*$W10*'核心假设'!$B$32,0),0),IF(AND(AM$4&gt;EDATE('核心假设'!$B$5,11+$F10),AM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AM$4=EDATE(EDATE('核心假设'!$B$5,11+$F10),$D10),SUM('融资租赁与资金缺口'!$D$5:$D$16)*$X10*'核心假设'!$B$32,0),0),IF(AND(AM$4&gt;EDATE('核心假设'!$B$5,12+$F10),AM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AM$4=EDATE(EDATE('核心假设'!$B$5,12+$F10),$D10),SUM('融资租赁与资金缺口'!$D$5:$D$16)*$Y10*'核心假设'!$B$32,0),0),IF(AND(AM$4&gt;EDATE('核心假设'!$B$5,13+$F10),AM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AM$4=EDATE(EDATE('核心假设'!$B$5,13+$F10),$D10),SUM('融资租赁与资金缺口'!$D$5:$D$16)*$Z10*'核心假设'!$B$32,0),0),IF(AND(AM$4&gt;EDATE('核心假设'!$B$5,14+$F10),AM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AM$4=EDATE(EDATE('核心假设'!$B$5,14+$F10),$D10),SUM('融资租赁与资金缺口'!$D$5:$D$16)*$AA10*'核心假设'!$B$32,0),0),IF(AND(AM$4&gt;EDATE('核心假设'!$B$5,15+$F10),AM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AM$4=EDATE(EDATE('核心假设'!$B$5,15+$F10),$D10),SUM('融资租赁与资金缺口'!$D$5:$D$16)*$AB10*'核心假设'!$B$32,0),0),IF(AND(AM$4&gt;EDATE('核心假设'!$B$5,16+$F10),AM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AM$4=EDATE(EDATE('核心假设'!$B$5,16+$F10),$D10),SUM('融资租赁与资金缺口'!$D$5:$D$16)*$AC10*'核心假设'!$B$32,0),0),IF(AND(AM$4&gt;EDATE('核心假设'!$B$5,17+$F10),AM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AM$4=EDATE(EDATE('核心假设'!$B$5,17+$F10),$D10),SUM('融资租赁与资金缺口'!$D$5:$D$16)*$AD10*'核心假设'!$B$32,0),0))</x:f>
        <x:v>2917861.298920145</x:v>
      </x:c>
      <x:c r="AN37" s="28" t="n">
        <x:f>SUM(IF(AND(AN$4&gt;EDATE('核心假设'!$B$5,0+$F10),AN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AN$4=EDATE(EDATE('核心假设'!$B$5,0+$F10),$D10),SUM('融资租赁与资金缺口'!$D$5:$D$16)*$M10*'核心假设'!$B$32,0),0),IF(AND(AN$4&gt;EDATE('核心假设'!$B$5,1+$F10),AN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AN$4=EDATE(EDATE('核心假设'!$B$5,1+$F10),$D10),SUM('融资租赁与资金缺口'!$D$5:$D$16)*$N10*'核心假设'!$B$32,0),0),IF(AND(AN$4&gt;EDATE('核心假设'!$B$5,2+$F10),AN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AN$4=EDATE(EDATE('核心假设'!$B$5,2+$F10),$D10),SUM('融资租赁与资金缺口'!$D$5:$D$16)*$O10*'核心假设'!$B$32,0),0),IF(AND(AN$4&gt;EDATE('核心假设'!$B$5,3+$F10),AN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AN$4=EDATE(EDATE('核心假设'!$B$5,3+$F10),$D10),SUM('融资租赁与资金缺口'!$D$5:$D$16)*$P10*'核心假设'!$B$32,0),0),IF(AND(AN$4&gt;EDATE('核心假设'!$B$5,4+$F10),AN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AN$4=EDATE(EDATE('核心假设'!$B$5,4+$F10),$D10),SUM('融资租赁与资金缺口'!$D$5:$D$16)*$Q10*'核心假设'!$B$32,0),0),IF(AND(AN$4&gt;EDATE('核心假设'!$B$5,5+$F10),AN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AN$4=EDATE(EDATE('核心假设'!$B$5,5+$F10),$D10),SUM('融资租赁与资金缺口'!$D$5:$D$16)*$R10*'核心假设'!$B$32,0),0),IF(AND(AN$4&gt;EDATE('核心假设'!$B$5,6+$F10),AN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AN$4=EDATE(EDATE('核心假设'!$B$5,6+$F10),$D10),SUM('融资租赁与资金缺口'!$D$5:$D$16)*$S10*'核心假设'!$B$32,0),0),IF(AND(AN$4&gt;EDATE('核心假设'!$B$5,7+$F10),AN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AN$4=EDATE(EDATE('核心假设'!$B$5,7+$F10),$D10),SUM('融资租赁与资金缺口'!$D$5:$D$16)*$T10*'核心假设'!$B$32,0),0),IF(AND(AN$4&gt;EDATE('核心假设'!$B$5,8+$F10),AN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AN$4=EDATE(EDATE('核心假设'!$B$5,8+$F10),$D10),SUM('融资租赁与资金缺口'!$D$5:$D$16)*$U10*'核心假设'!$B$32,0),0),IF(AND(AN$4&gt;EDATE('核心假设'!$B$5,9+$F10),AN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AN$4=EDATE(EDATE('核心假设'!$B$5,9+$F10),$D10),SUM('融资租赁与资金缺口'!$D$5:$D$16)*$V10*'核心假设'!$B$32,0),0),IF(AND(AN$4&gt;EDATE('核心假设'!$B$5,10+$F10),AN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AN$4=EDATE(EDATE('核心假设'!$B$5,10+$F10),$D10),SUM('融资租赁与资金缺口'!$D$5:$D$16)*$W10*'核心假设'!$B$32,0),0),IF(AND(AN$4&gt;EDATE('核心假设'!$B$5,11+$F10),AN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AN$4=EDATE(EDATE('核心假设'!$B$5,11+$F10),$D10),SUM('融资租赁与资金缺口'!$D$5:$D$16)*$X10*'核心假设'!$B$32,0),0),IF(AND(AN$4&gt;EDATE('核心假设'!$B$5,12+$F10),AN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AN$4=EDATE(EDATE('核心假设'!$B$5,12+$F10),$D10),SUM('融资租赁与资金缺口'!$D$5:$D$16)*$Y10*'核心假设'!$B$32,0),0),IF(AND(AN$4&gt;EDATE('核心假设'!$B$5,13+$F10),AN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AN$4=EDATE(EDATE('核心假设'!$B$5,13+$F10),$D10),SUM('融资租赁与资金缺口'!$D$5:$D$16)*$Z10*'核心假设'!$B$32,0),0),IF(AND(AN$4&gt;EDATE('核心假设'!$B$5,14+$F10),AN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AN$4=EDATE(EDATE('核心假设'!$B$5,14+$F10),$D10),SUM('融资租赁与资金缺口'!$D$5:$D$16)*$AA10*'核心假设'!$B$32,0),0),IF(AND(AN$4&gt;EDATE('核心假设'!$B$5,15+$F10),AN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AN$4=EDATE(EDATE('核心假设'!$B$5,15+$F10),$D10),SUM('融资租赁与资金缺口'!$D$5:$D$16)*$AB10*'核心假设'!$B$32,0),0),IF(AND(AN$4&gt;EDATE('核心假设'!$B$5,16+$F10),AN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AN$4=EDATE(EDATE('核心假设'!$B$5,16+$F10),$D10),SUM('融资租赁与资金缺口'!$D$5:$D$16)*$AC10*'核心假设'!$B$32,0),0),IF(AND(AN$4&gt;EDATE('核心假设'!$B$5,17+$F10),AN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AN$4=EDATE(EDATE('核心假设'!$B$5,17+$F10),$D10),SUM('融资租赁与资金缺口'!$D$5:$D$16)*$AD10*'核心假设'!$B$32,0),0))</x:f>
        <x:v>3751535.955754472</x:v>
      </x:c>
      <x:c r="AO37" s="28" t="n">
        <x:f>SUM(IF(AND(AO$4&gt;EDATE('核心假设'!$B$5,0+$F10),AO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AO$4=EDATE(EDATE('核心假设'!$B$5,0+$F10),$D10),SUM('融资租赁与资金缺口'!$D$5:$D$16)*$M10*'核心假设'!$B$32,0),0),IF(AND(AO$4&gt;EDATE('核心假设'!$B$5,1+$F10),AO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AO$4=EDATE(EDATE('核心假设'!$B$5,1+$F10),$D10),SUM('融资租赁与资金缺口'!$D$5:$D$16)*$N10*'核心假设'!$B$32,0),0),IF(AND(AO$4&gt;EDATE('核心假设'!$B$5,2+$F10),AO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AO$4=EDATE(EDATE('核心假设'!$B$5,2+$F10),$D10),SUM('融资租赁与资金缺口'!$D$5:$D$16)*$O10*'核心假设'!$B$32,0),0),IF(AND(AO$4&gt;EDATE('核心假设'!$B$5,3+$F10),AO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AO$4=EDATE(EDATE('核心假设'!$B$5,3+$F10),$D10),SUM('融资租赁与资金缺口'!$D$5:$D$16)*$P10*'核心假设'!$B$32,0),0),IF(AND(AO$4&gt;EDATE('核心假设'!$B$5,4+$F10),AO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AO$4=EDATE(EDATE('核心假设'!$B$5,4+$F10),$D10),SUM('融资租赁与资金缺口'!$D$5:$D$16)*$Q10*'核心假设'!$B$32,0),0),IF(AND(AO$4&gt;EDATE('核心假设'!$B$5,5+$F10),AO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AO$4=EDATE(EDATE('核心假设'!$B$5,5+$F10),$D10),SUM('融资租赁与资金缺口'!$D$5:$D$16)*$R10*'核心假设'!$B$32,0),0),IF(AND(AO$4&gt;EDATE('核心假设'!$B$5,6+$F10),AO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AO$4=EDATE(EDATE('核心假设'!$B$5,6+$F10),$D10),SUM('融资租赁与资金缺口'!$D$5:$D$16)*$S10*'核心假设'!$B$32,0),0),IF(AND(AO$4&gt;EDATE('核心假设'!$B$5,7+$F10),AO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AO$4=EDATE(EDATE('核心假设'!$B$5,7+$F10),$D10),SUM('融资租赁与资金缺口'!$D$5:$D$16)*$T10*'核心假设'!$B$32,0),0),IF(AND(AO$4&gt;EDATE('核心假设'!$B$5,8+$F10),AO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AO$4=EDATE(EDATE('核心假设'!$B$5,8+$F10),$D10),SUM('融资租赁与资金缺口'!$D$5:$D$16)*$U10*'核心假设'!$B$32,0),0),IF(AND(AO$4&gt;EDATE('核心假设'!$B$5,9+$F10),AO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AO$4=EDATE(EDATE('核心假设'!$B$5,9+$F10),$D10),SUM('融资租赁与资金缺口'!$D$5:$D$16)*$V10*'核心假设'!$B$32,0),0),IF(AND(AO$4&gt;EDATE('核心假设'!$B$5,10+$F10),AO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AO$4=EDATE(EDATE('核心假设'!$B$5,10+$F10),$D10),SUM('融资租赁与资金缺口'!$D$5:$D$16)*$W10*'核心假设'!$B$32,0),0),IF(AND(AO$4&gt;EDATE('核心假设'!$B$5,11+$F10),AO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AO$4=EDATE(EDATE('核心假设'!$B$5,11+$F10),$D10),SUM('融资租赁与资金缺口'!$D$5:$D$16)*$X10*'核心假设'!$B$32,0),0),IF(AND(AO$4&gt;EDATE('核心假设'!$B$5,12+$F10),AO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AO$4=EDATE(EDATE('核心假设'!$B$5,12+$F10),$D10),SUM('融资租赁与资金缺口'!$D$5:$D$16)*$Y10*'核心假设'!$B$32,0),0),IF(AND(AO$4&gt;EDATE('核心假设'!$B$5,13+$F10),AO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AO$4=EDATE(EDATE('核心假设'!$B$5,13+$F10),$D10),SUM('融资租赁与资金缺口'!$D$5:$D$16)*$Z10*'核心假设'!$B$32,0),0),IF(AND(AO$4&gt;EDATE('核心假设'!$B$5,14+$F10),AO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AO$4=EDATE(EDATE('核心假设'!$B$5,14+$F10),$D10),SUM('融资租赁与资金缺口'!$D$5:$D$16)*$AA10*'核心假设'!$B$32,0),0),IF(AND(AO$4&gt;EDATE('核心假设'!$B$5,15+$F10),AO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AO$4=EDATE(EDATE('核心假设'!$B$5,15+$F10),$D10),SUM('融资租赁与资金缺口'!$D$5:$D$16)*$AB10*'核心假设'!$B$32,0),0),IF(AND(AO$4&gt;EDATE('核心假设'!$B$5,16+$F10),AO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AO$4=EDATE(EDATE('核心假设'!$B$5,16+$F10),$D10),SUM('融资租赁与资金缺口'!$D$5:$D$16)*$AC10*'核心假设'!$B$32,0),0),IF(AND(AO$4&gt;EDATE('核心假设'!$B$5,17+$F10),AO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AO$4=EDATE(EDATE('核心假设'!$B$5,17+$F10),$D10),SUM('融资租赁与资金缺口'!$D$5:$D$16)*$AD10*'核心假设'!$B$32,0),0))</x:f>
        <x:v>4585210.612588799</x:v>
      </x:c>
      <x:c r="AP37" s="28" t="n">
        <x:f>SUM(IF(AND(AP$4&gt;EDATE('核心假设'!$B$5,0+$F10),AP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AP$4=EDATE(EDATE('核心假设'!$B$5,0+$F10),$D10),SUM('融资租赁与资金缺口'!$D$5:$D$16)*$M10*'核心假设'!$B$32,0),0),IF(AND(AP$4&gt;EDATE('核心假设'!$B$5,1+$F10),AP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AP$4=EDATE(EDATE('核心假设'!$B$5,1+$F10),$D10),SUM('融资租赁与资金缺口'!$D$5:$D$16)*$N10*'核心假设'!$B$32,0),0),IF(AND(AP$4&gt;EDATE('核心假设'!$B$5,2+$F10),AP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AP$4=EDATE(EDATE('核心假设'!$B$5,2+$F10),$D10),SUM('融资租赁与资金缺口'!$D$5:$D$16)*$O10*'核心假设'!$B$32,0),0),IF(AND(AP$4&gt;EDATE('核心假设'!$B$5,3+$F10),AP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AP$4=EDATE(EDATE('核心假设'!$B$5,3+$F10),$D10),SUM('融资租赁与资金缺口'!$D$5:$D$16)*$P10*'核心假设'!$B$32,0),0),IF(AND(AP$4&gt;EDATE('核心假设'!$B$5,4+$F10),AP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AP$4=EDATE(EDATE('核心假设'!$B$5,4+$F10),$D10),SUM('融资租赁与资金缺口'!$D$5:$D$16)*$Q10*'核心假设'!$B$32,0),0),IF(AND(AP$4&gt;EDATE('核心假设'!$B$5,5+$F10),AP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AP$4=EDATE(EDATE('核心假设'!$B$5,5+$F10),$D10),SUM('融资租赁与资金缺口'!$D$5:$D$16)*$R10*'核心假设'!$B$32,0),0),IF(AND(AP$4&gt;EDATE('核心假设'!$B$5,6+$F10),AP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AP$4=EDATE(EDATE('核心假设'!$B$5,6+$F10),$D10),SUM('融资租赁与资金缺口'!$D$5:$D$16)*$S10*'核心假设'!$B$32,0),0),IF(AND(AP$4&gt;EDATE('核心假设'!$B$5,7+$F10),AP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AP$4=EDATE(EDATE('核心假设'!$B$5,7+$F10),$D10),SUM('融资租赁与资金缺口'!$D$5:$D$16)*$T10*'核心假设'!$B$32,0),0),IF(AND(AP$4&gt;EDATE('核心假设'!$B$5,8+$F10),AP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AP$4=EDATE(EDATE('核心假设'!$B$5,8+$F10),$D10),SUM('融资租赁与资金缺口'!$D$5:$D$16)*$U10*'核心假设'!$B$32,0),0),IF(AND(AP$4&gt;EDATE('核心假设'!$B$5,9+$F10),AP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AP$4=EDATE(EDATE('核心假设'!$B$5,9+$F10),$D10),SUM('融资租赁与资金缺口'!$D$5:$D$16)*$V10*'核心假设'!$B$32,0),0),IF(AND(AP$4&gt;EDATE('核心假设'!$B$5,10+$F10),AP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AP$4=EDATE(EDATE('核心假设'!$B$5,10+$F10),$D10),SUM('融资租赁与资金缺口'!$D$5:$D$16)*$W10*'核心假设'!$B$32,0),0),IF(AND(AP$4&gt;EDATE('核心假设'!$B$5,11+$F10),AP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AP$4=EDATE(EDATE('核心假设'!$B$5,11+$F10),$D10),SUM('融资租赁与资金缺口'!$D$5:$D$16)*$X10*'核心假设'!$B$32,0),0),IF(AND(AP$4&gt;EDATE('核心假设'!$B$5,12+$F10),AP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AP$4=EDATE(EDATE('核心假设'!$B$5,12+$F10),$D10),SUM('融资租赁与资金缺口'!$D$5:$D$16)*$Y10*'核心假设'!$B$32,0),0),IF(AND(AP$4&gt;EDATE('核心假设'!$B$5,13+$F10),AP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AP$4=EDATE(EDATE('核心假设'!$B$5,13+$F10),$D10),SUM('融资租赁与资金缺口'!$D$5:$D$16)*$Z10*'核心假设'!$B$32,0),0),IF(AND(AP$4&gt;EDATE('核心假设'!$B$5,14+$F10),AP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AP$4=EDATE(EDATE('核心假设'!$B$5,14+$F10),$D10),SUM('融资租赁与资金缺口'!$D$5:$D$16)*$AA10*'核心假设'!$B$32,0),0),IF(AND(AP$4&gt;EDATE('核心假设'!$B$5,15+$F10),AP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AP$4=EDATE(EDATE('核心假设'!$B$5,15+$F10),$D10),SUM('融资租赁与资金缺口'!$D$5:$D$16)*$AB10*'核心假设'!$B$32,0),0),IF(AND(AP$4&gt;EDATE('核心假设'!$B$5,16+$F10),AP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AP$4=EDATE(EDATE('核心假设'!$B$5,16+$F10),$D10),SUM('融资租赁与资金缺口'!$D$5:$D$16)*$AC10*'核心假设'!$B$32,0),0),IF(AND(AP$4&gt;EDATE('核心假设'!$B$5,17+$F10),AP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AP$4=EDATE(EDATE('核心假设'!$B$5,17+$F10),$D10),SUM('融资租赁与资金缺口'!$D$5:$D$16)*$AD10*'核心假设'!$B$32,0),0))</x:f>
        <x:v>5557831.045562181</x:v>
      </x:c>
      <x:c r="AQ37" s="28" t="n">
        <x:f>SUM(IF(AND(AQ$4&gt;EDATE('核心假设'!$B$5,0+$F10),AQ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AQ$4=EDATE(EDATE('核心假设'!$B$5,0+$F10),$D10),SUM('融资租赁与资金缺口'!$D$5:$D$16)*$M10*'核心假设'!$B$32,0),0),IF(AND(AQ$4&gt;EDATE('核心假设'!$B$5,1+$F10),AQ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AQ$4=EDATE(EDATE('核心假设'!$B$5,1+$F10),$D10),SUM('融资租赁与资金缺口'!$D$5:$D$16)*$N10*'核心假设'!$B$32,0),0),IF(AND(AQ$4&gt;EDATE('核心假设'!$B$5,2+$F10),AQ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AQ$4=EDATE(EDATE('核心假设'!$B$5,2+$F10),$D10),SUM('融资租赁与资金缺口'!$D$5:$D$16)*$O10*'核心假设'!$B$32,0),0),IF(AND(AQ$4&gt;EDATE('核心假设'!$B$5,3+$F10),AQ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AQ$4=EDATE(EDATE('核心假设'!$B$5,3+$F10),$D10),SUM('融资租赁与资金缺口'!$D$5:$D$16)*$P10*'核心假设'!$B$32,0),0),IF(AND(AQ$4&gt;EDATE('核心假设'!$B$5,4+$F10),AQ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AQ$4=EDATE(EDATE('核心假设'!$B$5,4+$F10),$D10),SUM('融资租赁与资金缺口'!$D$5:$D$16)*$Q10*'核心假设'!$B$32,0),0),IF(AND(AQ$4&gt;EDATE('核心假设'!$B$5,5+$F10),AQ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AQ$4=EDATE(EDATE('核心假设'!$B$5,5+$F10),$D10),SUM('融资租赁与资金缺口'!$D$5:$D$16)*$R10*'核心假设'!$B$32,0),0),IF(AND(AQ$4&gt;EDATE('核心假设'!$B$5,6+$F10),AQ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AQ$4=EDATE(EDATE('核心假设'!$B$5,6+$F10),$D10),SUM('融资租赁与资金缺口'!$D$5:$D$16)*$S10*'核心假设'!$B$32,0),0),IF(AND(AQ$4&gt;EDATE('核心假设'!$B$5,7+$F10),AQ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AQ$4=EDATE(EDATE('核心假设'!$B$5,7+$F10),$D10),SUM('融资租赁与资金缺口'!$D$5:$D$16)*$T10*'核心假设'!$B$32,0),0),IF(AND(AQ$4&gt;EDATE('核心假设'!$B$5,8+$F10),AQ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AQ$4=EDATE(EDATE('核心假设'!$B$5,8+$F10),$D10),SUM('融资租赁与资金缺口'!$D$5:$D$16)*$U10*'核心假设'!$B$32,0),0),IF(AND(AQ$4&gt;EDATE('核心假设'!$B$5,9+$F10),AQ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AQ$4=EDATE(EDATE('核心假设'!$B$5,9+$F10),$D10),SUM('融资租赁与资金缺口'!$D$5:$D$16)*$V10*'核心假设'!$B$32,0),0),IF(AND(AQ$4&gt;EDATE('核心假设'!$B$5,10+$F10),AQ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AQ$4=EDATE(EDATE('核心假设'!$B$5,10+$F10),$D10),SUM('融资租赁与资金缺口'!$D$5:$D$16)*$W10*'核心假设'!$B$32,0),0),IF(AND(AQ$4&gt;EDATE('核心假设'!$B$5,11+$F10),AQ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AQ$4=EDATE(EDATE('核心假设'!$B$5,11+$F10),$D10),SUM('融资租赁与资金缺口'!$D$5:$D$16)*$X10*'核心假设'!$B$32,0),0),IF(AND(AQ$4&gt;EDATE('核心假设'!$B$5,12+$F10),AQ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AQ$4=EDATE(EDATE('核心假设'!$B$5,12+$F10),$D10),SUM('融资租赁与资金缺口'!$D$5:$D$16)*$Y10*'核心假设'!$B$32,0),0),IF(AND(AQ$4&gt;EDATE('核心假设'!$B$5,13+$F10),AQ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AQ$4=EDATE(EDATE('核心假设'!$B$5,13+$F10),$D10),SUM('融资租赁与资金缺口'!$D$5:$D$16)*$Z10*'核心假设'!$B$32,0),0),IF(AND(AQ$4&gt;EDATE('核心假设'!$B$5,14+$F10),AQ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AQ$4=EDATE(EDATE('核心假设'!$B$5,14+$F10),$D10),SUM('融资租赁与资金缺口'!$D$5:$D$16)*$AA10*'核心假设'!$B$32,0),0),IF(AND(AQ$4&gt;EDATE('核心假设'!$B$5,15+$F10),AQ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AQ$4=EDATE(EDATE('核心假设'!$B$5,15+$F10),$D10),SUM('融资租赁与资金缺口'!$D$5:$D$16)*$AB10*'核心假设'!$B$32,0),0),IF(AND(AQ$4&gt;EDATE('核心假设'!$B$5,16+$F10),AQ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AQ$4=EDATE(EDATE('核心假设'!$B$5,16+$F10),$D10),SUM('融资租赁与资金缺口'!$D$5:$D$16)*$AC10*'核心假设'!$B$32,0),0),IF(AND(AQ$4&gt;EDATE('核心假设'!$B$5,17+$F10),AQ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AQ$4=EDATE(EDATE('核心假设'!$B$5,17+$F10),$D10),SUM('融资租赁与资金缺口'!$D$5:$D$16)*$AD10*'核心假设'!$B$32,0),0))</x:f>
        <x:v>6530451.478535563</x:v>
      </x:c>
      <x:c r="AR37" s="28" t="n">
        <x:f>SUM(IF(AND(AR$4&gt;EDATE('核心假设'!$B$5,0+$F10),AR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AR$4=EDATE(EDATE('核心假设'!$B$5,0+$F10),$D10),SUM('融资租赁与资金缺口'!$D$5:$D$16)*$M10*'核心假设'!$B$32,0),0),IF(AND(AR$4&gt;EDATE('核心假设'!$B$5,1+$F10),AR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AR$4=EDATE(EDATE('核心假设'!$B$5,1+$F10),$D10),SUM('融资租赁与资金缺口'!$D$5:$D$16)*$N10*'核心假设'!$B$32,0),0),IF(AND(AR$4&gt;EDATE('核心假设'!$B$5,2+$F10),AR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AR$4=EDATE(EDATE('核心假设'!$B$5,2+$F10),$D10),SUM('融资租赁与资金缺口'!$D$5:$D$16)*$O10*'核心假设'!$B$32,0),0),IF(AND(AR$4&gt;EDATE('核心假设'!$B$5,3+$F10),AR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AR$4=EDATE(EDATE('核心假设'!$B$5,3+$F10),$D10),SUM('融资租赁与资金缺口'!$D$5:$D$16)*$P10*'核心假设'!$B$32,0),0),IF(AND(AR$4&gt;EDATE('核心假设'!$B$5,4+$F10),AR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AR$4=EDATE(EDATE('核心假设'!$B$5,4+$F10),$D10),SUM('融资租赁与资金缺口'!$D$5:$D$16)*$Q10*'核心假设'!$B$32,0),0),IF(AND(AR$4&gt;EDATE('核心假设'!$B$5,5+$F10),AR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AR$4=EDATE(EDATE('核心假设'!$B$5,5+$F10),$D10),SUM('融资租赁与资金缺口'!$D$5:$D$16)*$R10*'核心假设'!$B$32,0),0),IF(AND(AR$4&gt;EDATE('核心假设'!$B$5,6+$F10),AR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AR$4=EDATE(EDATE('核心假设'!$B$5,6+$F10),$D10),SUM('融资租赁与资金缺口'!$D$5:$D$16)*$S10*'核心假设'!$B$32,0),0),IF(AND(AR$4&gt;EDATE('核心假设'!$B$5,7+$F10),AR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AR$4=EDATE(EDATE('核心假设'!$B$5,7+$F10),$D10),SUM('融资租赁与资金缺口'!$D$5:$D$16)*$T10*'核心假设'!$B$32,0),0),IF(AND(AR$4&gt;EDATE('核心假设'!$B$5,8+$F10),AR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AR$4=EDATE(EDATE('核心假设'!$B$5,8+$F10),$D10),SUM('融资租赁与资金缺口'!$D$5:$D$16)*$U10*'核心假设'!$B$32,0),0),IF(AND(AR$4&gt;EDATE('核心假设'!$B$5,9+$F10),AR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AR$4=EDATE(EDATE('核心假设'!$B$5,9+$F10),$D10),SUM('融资租赁与资金缺口'!$D$5:$D$16)*$V10*'核心假设'!$B$32,0),0),IF(AND(AR$4&gt;EDATE('核心假设'!$B$5,10+$F10),AR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AR$4=EDATE(EDATE('核心假设'!$B$5,10+$F10),$D10),SUM('融资租赁与资金缺口'!$D$5:$D$16)*$W10*'核心假设'!$B$32,0),0),IF(AND(AR$4&gt;EDATE('核心假设'!$B$5,11+$F10),AR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AR$4=EDATE(EDATE('核心假设'!$B$5,11+$F10),$D10),SUM('融资租赁与资金缺口'!$D$5:$D$16)*$X10*'核心假设'!$B$32,0),0),IF(AND(AR$4&gt;EDATE('核心假设'!$B$5,12+$F10),AR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AR$4=EDATE(EDATE('核心假设'!$B$5,12+$F10),$D10),SUM('融资租赁与资金缺口'!$D$5:$D$16)*$Y10*'核心假设'!$B$32,0),0),IF(AND(AR$4&gt;EDATE('核心假设'!$B$5,13+$F10),AR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AR$4=EDATE(EDATE('核心假设'!$B$5,13+$F10),$D10),SUM('融资租赁与资金缺口'!$D$5:$D$16)*$Z10*'核心假设'!$B$32,0),0),IF(AND(AR$4&gt;EDATE('核心假设'!$B$5,14+$F10),AR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AR$4=EDATE(EDATE('核心假设'!$B$5,14+$F10),$D10),SUM('融资租赁与资金缺口'!$D$5:$D$16)*$AA10*'核心假设'!$B$32,0),0),IF(AND(AR$4&gt;EDATE('核心假设'!$B$5,15+$F10),AR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AR$4=EDATE(EDATE('核心假设'!$B$5,15+$F10),$D10),SUM('融资租赁与资金缺口'!$D$5:$D$16)*$AB10*'核心假设'!$B$32,0),0),IF(AND(AR$4&gt;EDATE('核心假设'!$B$5,16+$F10),AR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AR$4=EDATE(EDATE('核心假设'!$B$5,16+$F10),$D10),SUM('融资租赁与资金缺口'!$D$5:$D$16)*$AC10*'核心假设'!$B$32,0),0),IF(AND(AR$4&gt;EDATE('核心假设'!$B$5,17+$F10),AR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AR$4=EDATE(EDATE('核心假设'!$B$5,17+$F10),$D10),SUM('融资租赁与资金缺口'!$D$5:$D$16)*$AD10*'核心假设'!$B$32,0),0))</x:f>
        <x:v>7503071.911508945</x:v>
      </x:c>
      <x:c r="AS37" s="28" t="n">
        <x:f>SUM(IF(AND(AS$4&gt;EDATE('核心假设'!$B$5,0+$F10),AS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AS$4=EDATE(EDATE('核心假设'!$B$5,0+$F10),$D10),SUM('融资租赁与资金缺口'!$D$5:$D$16)*$M10*'核心假设'!$B$32,0),0),IF(AND(AS$4&gt;EDATE('核心假设'!$B$5,1+$F10),AS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AS$4=EDATE(EDATE('核心假设'!$B$5,1+$F10),$D10),SUM('融资租赁与资金缺口'!$D$5:$D$16)*$N10*'核心假设'!$B$32,0),0),IF(AND(AS$4&gt;EDATE('核心假设'!$B$5,2+$F10),AS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AS$4=EDATE(EDATE('核心假设'!$B$5,2+$F10),$D10),SUM('融资租赁与资金缺口'!$D$5:$D$16)*$O10*'核心假设'!$B$32,0),0),IF(AND(AS$4&gt;EDATE('核心假设'!$B$5,3+$F10),AS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AS$4=EDATE(EDATE('核心假设'!$B$5,3+$F10),$D10),SUM('融资租赁与资金缺口'!$D$5:$D$16)*$P10*'核心假设'!$B$32,0),0),IF(AND(AS$4&gt;EDATE('核心假设'!$B$5,4+$F10),AS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AS$4=EDATE(EDATE('核心假设'!$B$5,4+$F10),$D10),SUM('融资租赁与资金缺口'!$D$5:$D$16)*$Q10*'核心假设'!$B$32,0),0),IF(AND(AS$4&gt;EDATE('核心假设'!$B$5,5+$F10),AS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AS$4=EDATE(EDATE('核心假设'!$B$5,5+$F10),$D10),SUM('融资租赁与资金缺口'!$D$5:$D$16)*$R10*'核心假设'!$B$32,0),0),IF(AND(AS$4&gt;EDATE('核心假设'!$B$5,6+$F10),AS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AS$4=EDATE(EDATE('核心假设'!$B$5,6+$F10),$D10),SUM('融资租赁与资金缺口'!$D$5:$D$16)*$S10*'核心假设'!$B$32,0),0),IF(AND(AS$4&gt;EDATE('核心假设'!$B$5,7+$F10),AS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AS$4=EDATE(EDATE('核心假设'!$B$5,7+$F10),$D10),SUM('融资租赁与资金缺口'!$D$5:$D$16)*$T10*'核心假设'!$B$32,0),0),IF(AND(AS$4&gt;EDATE('核心假设'!$B$5,8+$F10),AS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AS$4=EDATE(EDATE('核心假设'!$B$5,8+$F10),$D10),SUM('融资租赁与资金缺口'!$D$5:$D$16)*$U10*'核心假设'!$B$32,0),0),IF(AND(AS$4&gt;EDATE('核心假设'!$B$5,9+$F10),AS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AS$4=EDATE(EDATE('核心假设'!$B$5,9+$F10),$D10),SUM('融资租赁与资金缺口'!$D$5:$D$16)*$V10*'核心假设'!$B$32,0),0),IF(AND(AS$4&gt;EDATE('核心假设'!$B$5,10+$F10),AS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AS$4=EDATE(EDATE('核心假设'!$B$5,10+$F10),$D10),SUM('融资租赁与资金缺口'!$D$5:$D$16)*$W10*'核心假设'!$B$32,0),0),IF(AND(AS$4&gt;EDATE('核心假设'!$B$5,11+$F10),AS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AS$4=EDATE(EDATE('核心假设'!$B$5,11+$F10),$D10),SUM('融资租赁与资金缺口'!$D$5:$D$16)*$X10*'核心假设'!$B$32,0),0),IF(AND(AS$4&gt;EDATE('核心假设'!$B$5,12+$F10),AS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AS$4=EDATE(EDATE('核心假设'!$B$5,12+$F10),$D10),SUM('融资租赁与资金缺口'!$D$5:$D$16)*$Y10*'核心假设'!$B$32,0),0),IF(AND(AS$4&gt;EDATE('核心假设'!$B$5,13+$F10),AS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AS$4=EDATE(EDATE('核心假设'!$B$5,13+$F10),$D10),SUM('融资租赁与资金缺口'!$D$5:$D$16)*$Z10*'核心假设'!$B$32,0),0),IF(AND(AS$4&gt;EDATE('核心假设'!$B$5,14+$F10),AS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AS$4=EDATE(EDATE('核心假设'!$B$5,14+$F10),$D10),SUM('融资租赁与资金缺口'!$D$5:$D$16)*$AA10*'核心假设'!$B$32,0),0),IF(AND(AS$4&gt;EDATE('核心假设'!$B$5,15+$F10),AS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AS$4=EDATE(EDATE('核心假设'!$B$5,15+$F10),$D10),SUM('融资租赁与资金缺口'!$D$5:$D$16)*$AB10*'核心假设'!$B$32,0),0),IF(AND(AS$4&gt;EDATE('核心假设'!$B$5,16+$F10),AS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AS$4=EDATE(EDATE('核心假设'!$B$5,16+$F10),$D10),SUM('融资租赁与资金缺口'!$D$5:$D$16)*$AC10*'核心假设'!$B$32,0),0),IF(AND(AS$4&gt;EDATE('核心假设'!$B$5,17+$F10),AS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AS$4=EDATE(EDATE('核心假设'!$B$5,17+$F10),$D10),SUM('融资租赁与资金缺口'!$D$5:$D$16)*$AD10*'核心假设'!$B$32,0),0))</x:f>
        <x:v>8475692.344482327</x:v>
      </x:c>
      <x:c r="AT37" s="28" t="n">
        <x:f>SUM(IF(AND(AT$4&gt;EDATE('核心假设'!$B$5,0+$F10),AT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AT$4=EDATE(EDATE('核心假设'!$B$5,0+$F10),$D10),SUM('融资租赁与资金缺口'!$D$5:$D$16)*$M10*'核心假设'!$B$32,0),0),IF(AND(AT$4&gt;EDATE('核心假设'!$B$5,1+$F10),AT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AT$4=EDATE(EDATE('核心假设'!$B$5,1+$F10),$D10),SUM('融资租赁与资金缺口'!$D$5:$D$16)*$N10*'核心假设'!$B$32,0),0),IF(AND(AT$4&gt;EDATE('核心假设'!$B$5,2+$F10),AT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AT$4=EDATE(EDATE('核心假设'!$B$5,2+$F10),$D10),SUM('融资租赁与资金缺口'!$D$5:$D$16)*$O10*'核心假设'!$B$32,0),0),IF(AND(AT$4&gt;EDATE('核心假设'!$B$5,3+$F10),AT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AT$4=EDATE(EDATE('核心假设'!$B$5,3+$F10),$D10),SUM('融资租赁与资金缺口'!$D$5:$D$16)*$P10*'核心假设'!$B$32,0),0),IF(AND(AT$4&gt;EDATE('核心假设'!$B$5,4+$F10),AT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AT$4=EDATE(EDATE('核心假设'!$B$5,4+$F10),$D10),SUM('融资租赁与资金缺口'!$D$5:$D$16)*$Q10*'核心假设'!$B$32,0),0),IF(AND(AT$4&gt;EDATE('核心假设'!$B$5,5+$F10),AT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AT$4=EDATE(EDATE('核心假设'!$B$5,5+$F10),$D10),SUM('融资租赁与资金缺口'!$D$5:$D$16)*$R10*'核心假设'!$B$32,0),0),IF(AND(AT$4&gt;EDATE('核心假设'!$B$5,6+$F10),AT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AT$4=EDATE(EDATE('核心假设'!$B$5,6+$F10),$D10),SUM('融资租赁与资金缺口'!$D$5:$D$16)*$S10*'核心假设'!$B$32,0),0),IF(AND(AT$4&gt;EDATE('核心假设'!$B$5,7+$F10),AT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AT$4=EDATE(EDATE('核心假设'!$B$5,7+$F10),$D10),SUM('融资租赁与资金缺口'!$D$5:$D$16)*$T10*'核心假设'!$B$32,0),0),IF(AND(AT$4&gt;EDATE('核心假设'!$B$5,8+$F10),AT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AT$4=EDATE(EDATE('核心假设'!$B$5,8+$F10),$D10),SUM('融资租赁与资金缺口'!$D$5:$D$16)*$U10*'核心假设'!$B$32,0),0),IF(AND(AT$4&gt;EDATE('核心假设'!$B$5,9+$F10),AT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AT$4=EDATE(EDATE('核心假设'!$B$5,9+$F10),$D10),SUM('融资租赁与资金缺口'!$D$5:$D$16)*$V10*'核心假设'!$B$32,0),0),IF(AND(AT$4&gt;EDATE('核心假设'!$B$5,10+$F10),AT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AT$4=EDATE(EDATE('核心假设'!$B$5,10+$F10),$D10),SUM('融资租赁与资金缺口'!$D$5:$D$16)*$W10*'核心假设'!$B$32,0),0),IF(AND(AT$4&gt;EDATE('核心假设'!$B$5,11+$F10),AT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AT$4=EDATE(EDATE('核心假设'!$B$5,11+$F10),$D10),SUM('融资租赁与资金缺口'!$D$5:$D$16)*$X10*'核心假设'!$B$32,0),0),IF(AND(AT$4&gt;EDATE('核心假设'!$B$5,12+$F10),AT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AT$4=EDATE(EDATE('核心假设'!$B$5,12+$F10),$D10),SUM('融资租赁与资金缺口'!$D$5:$D$16)*$Y10*'核心假设'!$B$32,0),0),IF(AND(AT$4&gt;EDATE('核心假设'!$B$5,13+$F10),AT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AT$4=EDATE(EDATE('核心假设'!$B$5,13+$F10),$D10),SUM('融资租赁与资金缺口'!$D$5:$D$16)*$Z10*'核心假设'!$B$32,0),0),IF(AND(AT$4&gt;EDATE('核心假设'!$B$5,14+$F10),AT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AT$4=EDATE(EDATE('核心假设'!$B$5,14+$F10),$D10),SUM('融资租赁与资金缺口'!$D$5:$D$16)*$AA10*'核心假设'!$B$32,0),0),IF(AND(AT$4&gt;EDATE('核心假设'!$B$5,15+$F10),AT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AT$4=EDATE(EDATE('核心假设'!$B$5,15+$F10),$D10),SUM('融资租赁与资金缺口'!$D$5:$D$16)*$AB10*'核心假设'!$B$32,0),0),IF(AND(AT$4&gt;EDATE('核心假设'!$B$5,16+$F10),AT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AT$4=EDATE(EDATE('核心假设'!$B$5,16+$F10),$D10),SUM('融资租赁与资金缺口'!$D$5:$D$16)*$AC10*'核心假设'!$B$32,0),0),IF(AND(AT$4&gt;EDATE('核心假设'!$B$5,17+$F10),AT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AT$4=EDATE(EDATE('核心假设'!$B$5,17+$F10),$D10),SUM('融资租赁与资金缺口'!$D$5:$D$16)*$AD10*'核心假设'!$B$32,0),0))</x:f>
        <x:v>9448312.777455708</x:v>
      </x:c>
      <x:c r="AU37" s="28" t="n">
        <x:f>SUM(IF(AND(AU$4&gt;EDATE('核心假设'!$B$5,0+$F10),AU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AU$4=EDATE(EDATE('核心假设'!$B$5,0+$F10),$D10),SUM('融资租赁与资金缺口'!$D$5:$D$16)*$M10*'核心假设'!$B$32,0),0),IF(AND(AU$4&gt;EDATE('核心假设'!$B$5,1+$F10),AU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AU$4=EDATE(EDATE('核心假设'!$B$5,1+$F10),$D10),SUM('融资租赁与资金缺口'!$D$5:$D$16)*$N10*'核心假设'!$B$32,0),0),IF(AND(AU$4&gt;EDATE('核心假设'!$B$5,2+$F10),AU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AU$4=EDATE(EDATE('核心假设'!$B$5,2+$F10),$D10),SUM('融资租赁与资金缺口'!$D$5:$D$16)*$O10*'核心假设'!$B$32,0),0),IF(AND(AU$4&gt;EDATE('核心假设'!$B$5,3+$F10),AU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AU$4=EDATE(EDATE('核心假设'!$B$5,3+$F10),$D10),SUM('融资租赁与资金缺口'!$D$5:$D$16)*$P10*'核心假设'!$B$32,0),0),IF(AND(AU$4&gt;EDATE('核心假设'!$B$5,4+$F10),AU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AU$4=EDATE(EDATE('核心假设'!$B$5,4+$F10),$D10),SUM('融资租赁与资金缺口'!$D$5:$D$16)*$Q10*'核心假设'!$B$32,0),0),IF(AND(AU$4&gt;EDATE('核心假设'!$B$5,5+$F10),AU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AU$4=EDATE(EDATE('核心假设'!$B$5,5+$F10),$D10),SUM('融资租赁与资金缺口'!$D$5:$D$16)*$R10*'核心假设'!$B$32,0),0),IF(AND(AU$4&gt;EDATE('核心假设'!$B$5,6+$F10),AU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AU$4=EDATE(EDATE('核心假设'!$B$5,6+$F10),$D10),SUM('融资租赁与资金缺口'!$D$5:$D$16)*$S10*'核心假设'!$B$32,0),0),IF(AND(AU$4&gt;EDATE('核心假设'!$B$5,7+$F10),AU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AU$4=EDATE(EDATE('核心假设'!$B$5,7+$F10),$D10),SUM('融资租赁与资金缺口'!$D$5:$D$16)*$T10*'核心假设'!$B$32,0),0),IF(AND(AU$4&gt;EDATE('核心假设'!$B$5,8+$F10),AU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AU$4=EDATE(EDATE('核心假设'!$B$5,8+$F10),$D10),SUM('融资租赁与资金缺口'!$D$5:$D$16)*$U10*'核心假设'!$B$32,0),0),IF(AND(AU$4&gt;EDATE('核心假设'!$B$5,9+$F10),AU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AU$4=EDATE(EDATE('核心假设'!$B$5,9+$F10),$D10),SUM('融资租赁与资金缺口'!$D$5:$D$16)*$V10*'核心假设'!$B$32,0),0),IF(AND(AU$4&gt;EDATE('核心假设'!$B$5,10+$F10),AU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AU$4=EDATE(EDATE('核心假设'!$B$5,10+$F10),$D10),SUM('融资租赁与资金缺口'!$D$5:$D$16)*$W10*'核心假设'!$B$32,0),0),IF(AND(AU$4&gt;EDATE('核心假设'!$B$5,11+$F10),AU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AU$4=EDATE(EDATE('核心假设'!$B$5,11+$F10),$D10),SUM('融资租赁与资金缺口'!$D$5:$D$16)*$X10*'核心假设'!$B$32,0),0),IF(AND(AU$4&gt;EDATE('核心假设'!$B$5,12+$F10),AU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AU$4=EDATE(EDATE('核心假设'!$B$5,12+$F10),$D10),SUM('融资租赁与资金缺口'!$D$5:$D$16)*$Y10*'核心假设'!$B$32,0),0),IF(AND(AU$4&gt;EDATE('核心假设'!$B$5,13+$F10),AU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AU$4=EDATE(EDATE('核心假设'!$B$5,13+$F10),$D10),SUM('融资租赁与资金缺口'!$D$5:$D$16)*$Z10*'核心假设'!$B$32,0),0),IF(AND(AU$4&gt;EDATE('核心假设'!$B$5,14+$F10),AU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AU$4=EDATE(EDATE('核心假设'!$B$5,14+$F10),$D10),SUM('融资租赁与资金缺口'!$D$5:$D$16)*$AA10*'核心假设'!$B$32,0),0),IF(AND(AU$4&gt;EDATE('核心假设'!$B$5,15+$F10),AU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AU$4=EDATE(EDATE('核心假设'!$B$5,15+$F10),$D10),SUM('融资租赁与资金缺口'!$D$5:$D$16)*$AB10*'核心假设'!$B$32,0),0),IF(AND(AU$4&gt;EDATE('核心假设'!$B$5,16+$F10),AU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AU$4=EDATE(EDATE('核心假设'!$B$5,16+$F10),$D10),SUM('融资租赁与资金缺口'!$D$5:$D$16)*$AC10*'核心假设'!$B$32,0),0),IF(AND(AU$4&gt;EDATE('核心假设'!$B$5,17+$F10),AU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AU$4=EDATE(EDATE('核心假设'!$B$5,17+$F10),$D10),SUM('融资租赁与资金缺口'!$D$5:$D$16)*$AD10*'核心假设'!$B$32,0),0))</x:f>
        <x:v>10420933.21042909</x:v>
      </x:c>
      <x:c r="AV37" s="28" t="n">
        <x:f>SUM(IF(AND(AV$4&gt;EDATE('核心假设'!$B$5,0+$F10),AV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AV$4=EDATE(EDATE('核心假设'!$B$5,0+$F10),$D10),SUM('融资租赁与资金缺口'!$D$5:$D$16)*$M10*'核心假设'!$B$32,0),0),IF(AND(AV$4&gt;EDATE('核心假设'!$B$5,1+$F10),AV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AV$4=EDATE(EDATE('核心假设'!$B$5,1+$F10),$D10),SUM('融资租赁与资金缺口'!$D$5:$D$16)*$N10*'核心假设'!$B$32,0),0),IF(AND(AV$4&gt;EDATE('核心假设'!$B$5,2+$F10),AV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AV$4=EDATE(EDATE('核心假设'!$B$5,2+$F10),$D10),SUM('融资租赁与资金缺口'!$D$5:$D$16)*$O10*'核心假设'!$B$32,0),0),IF(AND(AV$4&gt;EDATE('核心假设'!$B$5,3+$F10),AV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AV$4=EDATE(EDATE('核心假设'!$B$5,3+$F10),$D10),SUM('融资租赁与资金缺口'!$D$5:$D$16)*$P10*'核心假设'!$B$32,0),0),IF(AND(AV$4&gt;EDATE('核心假设'!$B$5,4+$F10),AV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AV$4=EDATE(EDATE('核心假设'!$B$5,4+$F10),$D10),SUM('融资租赁与资金缺口'!$D$5:$D$16)*$Q10*'核心假设'!$B$32,0),0),IF(AND(AV$4&gt;EDATE('核心假设'!$B$5,5+$F10),AV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AV$4=EDATE(EDATE('核心假设'!$B$5,5+$F10),$D10),SUM('融资租赁与资金缺口'!$D$5:$D$16)*$R10*'核心假设'!$B$32,0),0),IF(AND(AV$4&gt;EDATE('核心假设'!$B$5,6+$F10),AV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AV$4=EDATE(EDATE('核心假设'!$B$5,6+$F10),$D10),SUM('融资租赁与资金缺口'!$D$5:$D$16)*$S10*'核心假设'!$B$32,0),0),IF(AND(AV$4&gt;EDATE('核心假设'!$B$5,7+$F10),AV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AV$4=EDATE(EDATE('核心假设'!$B$5,7+$F10),$D10),SUM('融资租赁与资金缺口'!$D$5:$D$16)*$T10*'核心假设'!$B$32,0),0),IF(AND(AV$4&gt;EDATE('核心假设'!$B$5,8+$F10),AV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AV$4=EDATE(EDATE('核心假设'!$B$5,8+$F10),$D10),SUM('融资租赁与资金缺口'!$D$5:$D$16)*$U10*'核心假设'!$B$32,0),0),IF(AND(AV$4&gt;EDATE('核心假设'!$B$5,9+$F10),AV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AV$4=EDATE(EDATE('核心假设'!$B$5,9+$F10),$D10),SUM('融资租赁与资金缺口'!$D$5:$D$16)*$V10*'核心假设'!$B$32,0),0),IF(AND(AV$4&gt;EDATE('核心假设'!$B$5,10+$F10),AV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AV$4=EDATE(EDATE('核心假设'!$B$5,10+$F10),$D10),SUM('融资租赁与资金缺口'!$D$5:$D$16)*$W10*'核心假设'!$B$32,0),0),IF(AND(AV$4&gt;EDATE('核心假设'!$B$5,11+$F10),AV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AV$4=EDATE(EDATE('核心假设'!$B$5,11+$F10),$D10),SUM('融资租赁与资金缺口'!$D$5:$D$16)*$X10*'核心假设'!$B$32,0),0),IF(AND(AV$4&gt;EDATE('核心假设'!$B$5,12+$F10),AV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AV$4=EDATE(EDATE('核心假设'!$B$5,12+$F10),$D10),SUM('融资租赁与资金缺口'!$D$5:$D$16)*$Y10*'核心假设'!$B$32,0),0),IF(AND(AV$4&gt;EDATE('核心假设'!$B$5,13+$F10),AV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AV$4=EDATE(EDATE('核心假设'!$B$5,13+$F10),$D10),SUM('融资租赁与资金缺口'!$D$5:$D$16)*$Z10*'核心假设'!$B$32,0),0),IF(AND(AV$4&gt;EDATE('核心假设'!$B$5,14+$F10),AV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AV$4=EDATE(EDATE('核心假设'!$B$5,14+$F10),$D10),SUM('融资租赁与资金缺口'!$D$5:$D$16)*$AA10*'核心假设'!$B$32,0),0),IF(AND(AV$4&gt;EDATE('核心假设'!$B$5,15+$F10),AV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AV$4=EDATE(EDATE('核心假设'!$B$5,15+$F10),$D10),SUM('融资租赁与资金缺口'!$D$5:$D$16)*$AB10*'核心假设'!$B$32,0),0),IF(AND(AV$4&gt;EDATE('核心假设'!$B$5,16+$F10),AV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AV$4=EDATE(EDATE('核心假设'!$B$5,16+$F10),$D10),SUM('融资租赁与资金缺口'!$D$5:$D$16)*$AC10*'核心假设'!$B$32,0),0),IF(AND(AV$4&gt;EDATE('核心假设'!$B$5,17+$F10),AV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AV$4=EDATE(EDATE('核心假设'!$B$5,17+$F10),$D10),SUM('融资租赁与资金缺口'!$D$5:$D$16)*$AD10*'核心假设'!$B$32,0),0))</x:f>
        <x:v>11254607.867263416</x:v>
      </x:c>
      <x:c r="AW37" s="28" t="n">
        <x:f>SUM(IF(AND(AW$4&gt;EDATE('核心假设'!$B$5,0+$F10),AW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AW$4=EDATE(EDATE('核心假设'!$B$5,0+$F10),$D10),SUM('融资租赁与资金缺口'!$D$5:$D$16)*$M10*'核心假设'!$B$32,0),0),IF(AND(AW$4&gt;EDATE('核心假设'!$B$5,1+$F10),AW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AW$4=EDATE(EDATE('核心假设'!$B$5,1+$F10),$D10),SUM('融资租赁与资金缺口'!$D$5:$D$16)*$N10*'核心假设'!$B$32,0),0),IF(AND(AW$4&gt;EDATE('核心假设'!$B$5,2+$F10),AW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AW$4=EDATE(EDATE('核心假设'!$B$5,2+$F10),$D10),SUM('融资租赁与资金缺口'!$D$5:$D$16)*$O10*'核心假设'!$B$32,0),0),IF(AND(AW$4&gt;EDATE('核心假设'!$B$5,3+$F10),AW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AW$4=EDATE(EDATE('核心假设'!$B$5,3+$F10),$D10),SUM('融资租赁与资金缺口'!$D$5:$D$16)*$P10*'核心假设'!$B$32,0),0),IF(AND(AW$4&gt;EDATE('核心假设'!$B$5,4+$F10),AW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AW$4=EDATE(EDATE('核心假设'!$B$5,4+$F10),$D10),SUM('融资租赁与资金缺口'!$D$5:$D$16)*$Q10*'核心假设'!$B$32,0),0),IF(AND(AW$4&gt;EDATE('核心假设'!$B$5,5+$F10),AW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AW$4=EDATE(EDATE('核心假设'!$B$5,5+$F10),$D10),SUM('融资租赁与资金缺口'!$D$5:$D$16)*$R10*'核心假设'!$B$32,0),0),IF(AND(AW$4&gt;EDATE('核心假设'!$B$5,6+$F10),AW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AW$4=EDATE(EDATE('核心假设'!$B$5,6+$F10),$D10),SUM('融资租赁与资金缺口'!$D$5:$D$16)*$S10*'核心假设'!$B$32,0),0),IF(AND(AW$4&gt;EDATE('核心假设'!$B$5,7+$F10),AW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AW$4=EDATE(EDATE('核心假设'!$B$5,7+$F10),$D10),SUM('融资租赁与资金缺口'!$D$5:$D$16)*$T10*'核心假设'!$B$32,0),0),IF(AND(AW$4&gt;EDATE('核心假设'!$B$5,8+$F10),AW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AW$4=EDATE(EDATE('核心假设'!$B$5,8+$F10),$D10),SUM('融资租赁与资金缺口'!$D$5:$D$16)*$U10*'核心假设'!$B$32,0),0),IF(AND(AW$4&gt;EDATE('核心假设'!$B$5,9+$F10),AW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AW$4=EDATE(EDATE('核心假设'!$B$5,9+$F10),$D10),SUM('融资租赁与资金缺口'!$D$5:$D$16)*$V10*'核心假设'!$B$32,0),0),IF(AND(AW$4&gt;EDATE('核心假设'!$B$5,10+$F10),AW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AW$4=EDATE(EDATE('核心假设'!$B$5,10+$F10),$D10),SUM('融资租赁与资金缺口'!$D$5:$D$16)*$W10*'核心假设'!$B$32,0),0),IF(AND(AW$4&gt;EDATE('核心假设'!$B$5,11+$F10),AW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AW$4=EDATE(EDATE('核心假设'!$B$5,11+$F10),$D10),SUM('融资租赁与资金缺口'!$D$5:$D$16)*$X10*'核心假设'!$B$32,0),0),IF(AND(AW$4&gt;EDATE('核心假设'!$B$5,12+$F10),AW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AW$4=EDATE(EDATE('核心假设'!$B$5,12+$F10),$D10),SUM('融资租赁与资金缺口'!$D$5:$D$16)*$Y10*'核心假设'!$B$32,0),0),IF(AND(AW$4&gt;EDATE('核心假设'!$B$5,13+$F10),AW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AW$4=EDATE(EDATE('核心假设'!$B$5,13+$F10),$D10),SUM('融资租赁与资金缺口'!$D$5:$D$16)*$Z10*'核心假设'!$B$32,0),0),IF(AND(AW$4&gt;EDATE('核心假设'!$B$5,14+$F10),AW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AW$4=EDATE(EDATE('核心假设'!$B$5,14+$F10),$D10),SUM('融资租赁与资金缺口'!$D$5:$D$16)*$AA10*'核心假设'!$B$32,0),0),IF(AND(AW$4&gt;EDATE('核心假设'!$B$5,15+$F10),AW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AW$4=EDATE(EDATE('核心假设'!$B$5,15+$F10),$D10),SUM('融资租赁与资金缺口'!$D$5:$D$16)*$AB10*'核心假设'!$B$32,0),0),IF(AND(AW$4&gt;EDATE('核心假设'!$B$5,16+$F10),AW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AW$4=EDATE(EDATE('核心假设'!$B$5,16+$F10),$D10),SUM('融资租赁与资金缺口'!$D$5:$D$16)*$AC10*'核心假设'!$B$32,0),0),IF(AND(AW$4&gt;EDATE('核心假设'!$B$5,17+$F10),AW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AW$4=EDATE(EDATE('核心假设'!$B$5,17+$F10),$D10),SUM('融资租赁与资金缺口'!$D$5:$D$16)*$AD10*'核心假设'!$B$32,0),0))</x:f>
        <x:v>12088282.524097743</x:v>
      </x:c>
      <x:c r="AX37" s="28" t="n">
        <x:f>SUM(IF(AND(AX$4&gt;EDATE('核心假设'!$B$5,0+$F10),AX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AX$4=EDATE(EDATE('核心假设'!$B$5,0+$F10),$D10),SUM('融资租赁与资金缺口'!$D$5:$D$16)*$M10*'核心假设'!$B$32,0),0),IF(AND(AX$4&gt;EDATE('核心假设'!$B$5,1+$F10),AX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AX$4=EDATE(EDATE('核心假设'!$B$5,1+$F10),$D10),SUM('融资租赁与资金缺口'!$D$5:$D$16)*$N10*'核心假设'!$B$32,0),0),IF(AND(AX$4&gt;EDATE('核心假设'!$B$5,2+$F10),AX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AX$4=EDATE(EDATE('核心假设'!$B$5,2+$F10),$D10),SUM('融资租赁与资金缺口'!$D$5:$D$16)*$O10*'核心假设'!$B$32,0),0),IF(AND(AX$4&gt;EDATE('核心假设'!$B$5,3+$F10),AX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AX$4=EDATE(EDATE('核心假设'!$B$5,3+$F10),$D10),SUM('融资租赁与资金缺口'!$D$5:$D$16)*$P10*'核心假设'!$B$32,0),0),IF(AND(AX$4&gt;EDATE('核心假设'!$B$5,4+$F10),AX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AX$4=EDATE(EDATE('核心假设'!$B$5,4+$F10),$D10),SUM('融资租赁与资金缺口'!$D$5:$D$16)*$Q10*'核心假设'!$B$32,0),0),IF(AND(AX$4&gt;EDATE('核心假设'!$B$5,5+$F10),AX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AX$4=EDATE(EDATE('核心假设'!$B$5,5+$F10),$D10),SUM('融资租赁与资金缺口'!$D$5:$D$16)*$R10*'核心假设'!$B$32,0),0),IF(AND(AX$4&gt;EDATE('核心假设'!$B$5,6+$F10),AX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AX$4=EDATE(EDATE('核心假设'!$B$5,6+$F10),$D10),SUM('融资租赁与资金缺口'!$D$5:$D$16)*$S10*'核心假设'!$B$32,0),0),IF(AND(AX$4&gt;EDATE('核心假设'!$B$5,7+$F10),AX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AX$4=EDATE(EDATE('核心假设'!$B$5,7+$F10),$D10),SUM('融资租赁与资金缺口'!$D$5:$D$16)*$T10*'核心假设'!$B$32,0),0),IF(AND(AX$4&gt;EDATE('核心假设'!$B$5,8+$F10),AX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AX$4=EDATE(EDATE('核心假设'!$B$5,8+$F10),$D10),SUM('融资租赁与资金缺口'!$D$5:$D$16)*$U10*'核心假设'!$B$32,0),0),IF(AND(AX$4&gt;EDATE('核心假设'!$B$5,9+$F10),AX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AX$4=EDATE(EDATE('核心假设'!$B$5,9+$F10),$D10),SUM('融资租赁与资金缺口'!$D$5:$D$16)*$V10*'核心假设'!$B$32,0),0),IF(AND(AX$4&gt;EDATE('核心假设'!$B$5,10+$F10),AX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AX$4=EDATE(EDATE('核心假设'!$B$5,10+$F10),$D10),SUM('融资租赁与资金缺口'!$D$5:$D$16)*$W10*'核心假设'!$B$32,0),0),IF(AND(AX$4&gt;EDATE('核心假设'!$B$5,11+$F10),AX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AX$4=EDATE(EDATE('核心假设'!$B$5,11+$F10),$D10),SUM('融资租赁与资金缺口'!$D$5:$D$16)*$X10*'核心假设'!$B$32,0),0),IF(AND(AX$4&gt;EDATE('核心假设'!$B$5,12+$F10),AX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AX$4=EDATE(EDATE('核心假设'!$B$5,12+$F10),$D10),SUM('融资租赁与资金缺口'!$D$5:$D$16)*$Y10*'核心假设'!$B$32,0),0),IF(AND(AX$4&gt;EDATE('核心假设'!$B$5,13+$F10),AX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AX$4=EDATE(EDATE('核心假设'!$B$5,13+$F10),$D10),SUM('融资租赁与资金缺口'!$D$5:$D$16)*$Z10*'核心假设'!$B$32,0),0),IF(AND(AX$4&gt;EDATE('核心假设'!$B$5,14+$F10),AX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AX$4=EDATE(EDATE('核心假设'!$B$5,14+$F10),$D10),SUM('融资租赁与资金缺口'!$D$5:$D$16)*$AA10*'核心假设'!$B$32,0),0),IF(AND(AX$4&gt;EDATE('核心假设'!$B$5,15+$F10),AX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AX$4=EDATE(EDATE('核心假设'!$B$5,15+$F10),$D10),SUM('融资租赁与资金缺口'!$D$5:$D$16)*$AB10*'核心假设'!$B$32,0),0),IF(AND(AX$4&gt;EDATE('核心假设'!$B$5,16+$F10),AX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AX$4=EDATE(EDATE('核心假设'!$B$5,16+$F10),$D10),SUM('融资租赁与资金缺口'!$D$5:$D$16)*$AC10*'核心假设'!$B$32,0),0),IF(AND(AX$4&gt;EDATE('核心假设'!$B$5,17+$F10),AX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AX$4=EDATE(EDATE('核心假设'!$B$5,17+$F10),$D10),SUM('融资租赁与资金缺口'!$D$5:$D$16)*$AD10*'核心假设'!$B$32,0),0))</x:f>
        <x:v>12783011.404793015</x:v>
      </x:c>
      <x:c r="AY37" s="28" t="n">
        <x:f>SUM(IF(AND(AY$4&gt;EDATE('核心假设'!$B$5,0+$F10),AY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AY$4=EDATE(EDATE('核心假设'!$B$5,0+$F10),$D10),SUM('融资租赁与资金缺口'!$D$5:$D$16)*$M10*'核心假设'!$B$32,0),0),IF(AND(AY$4&gt;EDATE('核心假设'!$B$5,1+$F10),AY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AY$4=EDATE(EDATE('核心假设'!$B$5,1+$F10),$D10),SUM('融资租赁与资金缺口'!$D$5:$D$16)*$N10*'核心假设'!$B$32,0),0),IF(AND(AY$4&gt;EDATE('核心假设'!$B$5,2+$F10),AY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AY$4=EDATE(EDATE('核心假设'!$B$5,2+$F10),$D10),SUM('融资租赁与资金缺口'!$D$5:$D$16)*$O10*'核心假设'!$B$32,0),0),IF(AND(AY$4&gt;EDATE('核心假设'!$B$5,3+$F10),AY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AY$4=EDATE(EDATE('核心假设'!$B$5,3+$F10),$D10),SUM('融资租赁与资金缺口'!$D$5:$D$16)*$P10*'核心假设'!$B$32,0),0),IF(AND(AY$4&gt;EDATE('核心假设'!$B$5,4+$F10),AY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AY$4=EDATE(EDATE('核心假设'!$B$5,4+$F10),$D10),SUM('融资租赁与资金缺口'!$D$5:$D$16)*$Q10*'核心假设'!$B$32,0),0),IF(AND(AY$4&gt;EDATE('核心假设'!$B$5,5+$F10),AY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AY$4=EDATE(EDATE('核心假设'!$B$5,5+$F10),$D10),SUM('融资租赁与资金缺口'!$D$5:$D$16)*$R10*'核心假设'!$B$32,0),0),IF(AND(AY$4&gt;EDATE('核心假设'!$B$5,6+$F10),AY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AY$4=EDATE(EDATE('核心假设'!$B$5,6+$F10),$D10),SUM('融资租赁与资金缺口'!$D$5:$D$16)*$S10*'核心假设'!$B$32,0),0),IF(AND(AY$4&gt;EDATE('核心假设'!$B$5,7+$F10),AY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AY$4=EDATE(EDATE('核心假设'!$B$5,7+$F10),$D10),SUM('融资租赁与资金缺口'!$D$5:$D$16)*$T10*'核心假设'!$B$32,0),0),IF(AND(AY$4&gt;EDATE('核心假设'!$B$5,8+$F10),AY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AY$4=EDATE(EDATE('核心假设'!$B$5,8+$F10),$D10),SUM('融资租赁与资金缺口'!$D$5:$D$16)*$U10*'核心假设'!$B$32,0),0),IF(AND(AY$4&gt;EDATE('核心假设'!$B$5,9+$F10),AY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AY$4=EDATE(EDATE('核心假设'!$B$5,9+$F10),$D10),SUM('融资租赁与资金缺口'!$D$5:$D$16)*$V10*'核心假设'!$B$32,0),0),IF(AND(AY$4&gt;EDATE('核心假设'!$B$5,10+$F10),AY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AY$4=EDATE(EDATE('核心假设'!$B$5,10+$F10),$D10),SUM('融资租赁与资金缺口'!$D$5:$D$16)*$W10*'核心假设'!$B$32,0),0),IF(AND(AY$4&gt;EDATE('核心假设'!$B$5,11+$F10),AY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AY$4=EDATE(EDATE('核心假设'!$B$5,11+$F10),$D10),SUM('融资租赁与资金缺口'!$D$5:$D$16)*$X10*'核心假设'!$B$32,0),0),IF(AND(AY$4&gt;EDATE('核心假设'!$B$5,12+$F10),AY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AY$4=EDATE(EDATE('核心假设'!$B$5,12+$F10),$D10),SUM('融资租赁与资金缺口'!$D$5:$D$16)*$Y10*'核心假设'!$B$32,0),0),IF(AND(AY$4&gt;EDATE('核心假设'!$B$5,13+$F10),AY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AY$4=EDATE(EDATE('核心假设'!$B$5,13+$F10),$D10),SUM('融资租赁与资金缺口'!$D$5:$D$16)*$Z10*'核心假设'!$B$32,0),0),IF(AND(AY$4&gt;EDATE('核心假设'!$B$5,14+$F10),AY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AY$4=EDATE(EDATE('核心假设'!$B$5,14+$F10),$D10),SUM('融资租赁与资金缺口'!$D$5:$D$16)*$AA10*'核心假设'!$B$32,0),0),IF(AND(AY$4&gt;EDATE('核心假设'!$B$5,15+$F10),AY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AY$4=EDATE(EDATE('核心假设'!$B$5,15+$F10),$D10),SUM('融资租赁与资金缺口'!$D$5:$D$16)*$AB10*'核心假设'!$B$32,0),0),IF(AND(AY$4&gt;EDATE('核心假设'!$B$5,16+$F10),AY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AY$4=EDATE(EDATE('核心假设'!$B$5,16+$F10),$D10),SUM('融资租赁与资金缺口'!$D$5:$D$16)*$AC10*'核心假设'!$B$32,0),0),IF(AND(AY$4&gt;EDATE('核心假设'!$B$5,17+$F10),AY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AY$4=EDATE(EDATE('核心假设'!$B$5,17+$F10),$D10),SUM('融资租赁与资金缺口'!$D$5:$D$16)*$AD10*'核心假设'!$B$32,0),0))</x:f>
        <x:v>13338794.509349233</x:v>
      </x:c>
      <x:c r="AZ37" s="28" t="n">
        <x:f>SUM(IF(AND(AZ$4&gt;EDATE('核心假设'!$B$5,0+$F10),AZ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AZ$4=EDATE(EDATE('核心假设'!$B$5,0+$F10),$D10),SUM('融资租赁与资金缺口'!$D$5:$D$16)*$M10*'核心假设'!$B$32,0),0),IF(AND(AZ$4&gt;EDATE('核心假设'!$B$5,1+$F10),AZ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AZ$4=EDATE(EDATE('核心假设'!$B$5,1+$F10),$D10),SUM('融资租赁与资金缺口'!$D$5:$D$16)*$N10*'核心假设'!$B$32,0),0),IF(AND(AZ$4&gt;EDATE('核心假设'!$B$5,2+$F10),AZ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AZ$4=EDATE(EDATE('核心假设'!$B$5,2+$F10),$D10),SUM('融资租赁与资金缺口'!$D$5:$D$16)*$O10*'核心假设'!$B$32,0),0),IF(AND(AZ$4&gt;EDATE('核心假设'!$B$5,3+$F10),AZ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AZ$4=EDATE(EDATE('核心假设'!$B$5,3+$F10),$D10),SUM('融资租赁与资金缺口'!$D$5:$D$16)*$P10*'核心假设'!$B$32,0),0),IF(AND(AZ$4&gt;EDATE('核心假设'!$B$5,4+$F10),AZ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AZ$4=EDATE(EDATE('核心假设'!$B$5,4+$F10),$D10),SUM('融资租赁与资金缺口'!$D$5:$D$16)*$Q10*'核心假设'!$B$32,0),0),IF(AND(AZ$4&gt;EDATE('核心假设'!$B$5,5+$F10),AZ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AZ$4=EDATE(EDATE('核心假设'!$B$5,5+$F10),$D10),SUM('融资租赁与资金缺口'!$D$5:$D$16)*$R10*'核心假设'!$B$32,0),0),IF(AND(AZ$4&gt;EDATE('核心假设'!$B$5,6+$F10),AZ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AZ$4=EDATE(EDATE('核心假设'!$B$5,6+$F10),$D10),SUM('融资租赁与资金缺口'!$D$5:$D$16)*$S10*'核心假设'!$B$32,0),0),IF(AND(AZ$4&gt;EDATE('核心假设'!$B$5,7+$F10),AZ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AZ$4=EDATE(EDATE('核心假设'!$B$5,7+$F10),$D10),SUM('融资租赁与资金缺口'!$D$5:$D$16)*$T10*'核心假设'!$B$32,0),0),IF(AND(AZ$4&gt;EDATE('核心假设'!$B$5,8+$F10),AZ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AZ$4=EDATE(EDATE('核心假设'!$B$5,8+$F10),$D10),SUM('融资租赁与资金缺口'!$D$5:$D$16)*$U10*'核心假设'!$B$32,0),0),IF(AND(AZ$4&gt;EDATE('核心假设'!$B$5,9+$F10),AZ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AZ$4=EDATE(EDATE('核心假设'!$B$5,9+$F10),$D10),SUM('融资租赁与资金缺口'!$D$5:$D$16)*$V10*'核心假设'!$B$32,0),0),IF(AND(AZ$4&gt;EDATE('核心假设'!$B$5,10+$F10),AZ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AZ$4=EDATE(EDATE('核心假设'!$B$5,10+$F10),$D10),SUM('融资租赁与资金缺口'!$D$5:$D$16)*$W10*'核心假设'!$B$32,0),0),IF(AND(AZ$4&gt;EDATE('核心假设'!$B$5,11+$F10),AZ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AZ$4=EDATE(EDATE('核心假设'!$B$5,11+$F10),$D10),SUM('融资租赁与资金缺口'!$D$5:$D$16)*$X10*'核心假设'!$B$32,0),0),IF(AND(AZ$4&gt;EDATE('核心假设'!$B$5,12+$F10),AZ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AZ$4=EDATE(EDATE('核心假设'!$B$5,12+$F10),$D10),SUM('融资租赁与资金缺口'!$D$5:$D$16)*$Y10*'核心假设'!$B$32,0),0),IF(AND(AZ$4&gt;EDATE('核心假设'!$B$5,13+$F10),AZ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AZ$4=EDATE(EDATE('核心假设'!$B$5,13+$F10),$D10),SUM('融资租赁与资金缺口'!$D$5:$D$16)*$Z10*'核心假设'!$B$32,0),0),IF(AND(AZ$4&gt;EDATE('核心假设'!$B$5,14+$F10),AZ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AZ$4=EDATE(EDATE('核心假设'!$B$5,14+$F10),$D10),SUM('融资租赁与资金缺口'!$D$5:$D$16)*$AA10*'核心假设'!$B$32,0),0),IF(AND(AZ$4&gt;EDATE('核心假设'!$B$5,15+$F10),AZ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AZ$4=EDATE(EDATE('核心假设'!$B$5,15+$F10),$D10),SUM('融资租赁与资金缺口'!$D$5:$D$16)*$AB10*'核心假设'!$B$32,0),0),IF(AND(AZ$4&gt;EDATE('核心假设'!$B$5,16+$F10),AZ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AZ$4=EDATE(EDATE('核心假设'!$B$5,16+$F10),$D10),SUM('融资租赁与资金缺口'!$D$5:$D$16)*$AC10*'核心假设'!$B$32,0),0),IF(AND(AZ$4&gt;EDATE('核心假设'!$B$5,17+$F10),AZ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AZ$4=EDATE(EDATE('核心假设'!$B$5,17+$F10),$D10),SUM('融资租赁与资金缺口'!$D$5:$D$16)*$AD10*'核心假设'!$B$32,0),0))</x:f>
        <x:v>13894577.61390545</x:v>
      </x:c>
      <x:c r="BA37" s="28" t="n">
        <x:f>SUM(IF(AND(BA$4&gt;EDATE('核心假设'!$B$5,0+$F10),BA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A$4=EDATE(EDATE('核心假设'!$B$5,0+$F10),$D10),SUM('融资租赁与资金缺口'!$D$5:$D$16)*$M10*'核心假设'!$B$32,0),0),IF(AND(BA$4&gt;EDATE('核心假设'!$B$5,1+$F10),BA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A$4=EDATE(EDATE('核心假设'!$B$5,1+$F10),$D10),SUM('融资租赁与资金缺口'!$D$5:$D$16)*$N10*'核心假设'!$B$32,0),0),IF(AND(BA$4&gt;EDATE('核心假设'!$B$5,2+$F10),BA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A$4=EDATE(EDATE('核心假设'!$B$5,2+$F10),$D10),SUM('融资租赁与资金缺口'!$D$5:$D$16)*$O10*'核心假设'!$B$32,0),0),IF(AND(BA$4&gt;EDATE('核心假设'!$B$5,3+$F10),BA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A$4=EDATE(EDATE('核心假设'!$B$5,3+$F10),$D10),SUM('融资租赁与资金缺口'!$D$5:$D$16)*$P10*'核心假设'!$B$32,0),0),IF(AND(BA$4&gt;EDATE('核心假设'!$B$5,4+$F10),BA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A$4=EDATE(EDATE('核心假设'!$B$5,4+$F10),$D10),SUM('融资租赁与资金缺口'!$D$5:$D$16)*$Q10*'核心假设'!$B$32,0),0),IF(AND(BA$4&gt;EDATE('核心假设'!$B$5,5+$F10),BA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A$4=EDATE(EDATE('核心假设'!$B$5,5+$F10),$D10),SUM('融资租赁与资金缺口'!$D$5:$D$16)*$R10*'核心假设'!$B$32,0),0),IF(AND(BA$4&gt;EDATE('核心假设'!$B$5,6+$F10),BA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A$4=EDATE(EDATE('核心假设'!$B$5,6+$F10),$D10),SUM('融资租赁与资金缺口'!$D$5:$D$16)*$S10*'核心假设'!$B$32,0),0),IF(AND(BA$4&gt;EDATE('核心假设'!$B$5,7+$F10),BA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A$4=EDATE(EDATE('核心假设'!$B$5,7+$F10),$D10),SUM('融资租赁与资金缺口'!$D$5:$D$16)*$T10*'核心假设'!$B$32,0),0),IF(AND(BA$4&gt;EDATE('核心假设'!$B$5,8+$F10),BA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A$4=EDATE(EDATE('核心假设'!$B$5,8+$F10),$D10),SUM('融资租赁与资金缺口'!$D$5:$D$16)*$U10*'核心假设'!$B$32,0),0),IF(AND(BA$4&gt;EDATE('核心假设'!$B$5,9+$F10),BA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A$4=EDATE(EDATE('核心假设'!$B$5,9+$F10),$D10),SUM('融资租赁与资金缺口'!$D$5:$D$16)*$V10*'核心假设'!$B$32,0),0),IF(AND(BA$4&gt;EDATE('核心假设'!$B$5,10+$F10),BA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A$4=EDATE(EDATE('核心假设'!$B$5,10+$F10),$D10),SUM('融资租赁与资金缺口'!$D$5:$D$16)*$W10*'核心假设'!$B$32,0),0),IF(AND(BA$4&gt;EDATE('核心假设'!$B$5,11+$F10),BA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A$4=EDATE(EDATE('核心假设'!$B$5,11+$F10),$D10),SUM('融资租赁与资金缺口'!$D$5:$D$16)*$X10*'核心假设'!$B$32,0),0),IF(AND(BA$4&gt;EDATE('核心假设'!$B$5,12+$F10),BA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A$4=EDATE(EDATE('核心假设'!$B$5,12+$F10),$D10),SUM('融资租赁与资金缺口'!$D$5:$D$16)*$Y10*'核心假设'!$B$32,0),0),IF(AND(BA$4&gt;EDATE('核心假设'!$B$5,13+$F10),BA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A$4=EDATE(EDATE('核心假设'!$B$5,13+$F10),$D10),SUM('融资租赁与资金缺口'!$D$5:$D$16)*$Z10*'核心假设'!$B$32,0),0),IF(AND(BA$4&gt;EDATE('核心假设'!$B$5,14+$F10),BA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A$4=EDATE(EDATE('核心假设'!$B$5,14+$F10),$D10),SUM('融资租赁与资金缺口'!$D$5:$D$16)*$AA10*'核心假设'!$B$32,0),0),IF(AND(BA$4&gt;EDATE('核心假设'!$B$5,15+$F10),BA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A$4=EDATE(EDATE('核心假设'!$B$5,15+$F10),$D10),SUM('融资租赁与资金缺口'!$D$5:$D$16)*$AB10*'核心假设'!$B$32,0),0),IF(AND(BA$4&gt;EDATE('核心假设'!$B$5,16+$F10),BA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A$4=EDATE(EDATE('核心假设'!$B$5,16+$F10),$D10),SUM('融资租赁与资金缺口'!$D$5:$D$16)*$AC10*'核心假设'!$B$32,0),0),IF(AND(BA$4&gt;EDATE('核心假设'!$B$5,17+$F10),BA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A$4=EDATE(EDATE('核心假设'!$B$5,17+$F10),$D10),SUM('融资租赁与资金缺口'!$D$5:$D$16)*$AD10*'核心假设'!$B$32,0),0))</x:f>
        <x:v>13894577.61390545</x:v>
      </x:c>
      <x:c r="BB37" s="28" t="n">
        <x:f>SUM(IF(AND(BB$4&gt;EDATE('核心假设'!$B$5,0+$F10),BB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B$4=EDATE(EDATE('核心假设'!$B$5,0+$F10),$D10),SUM('融资租赁与资金缺口'!$D$5:$D$16)*$M10*'核心假设'!$B$32,0),0),IF(AND(BB$4&gt;EDATE('核心假设'!$B$5,1+$F10),BB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B$4=EDATE(EDATE('核心假设'!$B$5,1+$F10),$D10),SUM('融资租赁与资金缺口'!$D$5:$D$16)*$N10*'核心假设'!$B$32,0),0),IF(AND(BB$4&gt;EDATE('核心假设'!$B$5,2+$F10),BB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B$4=EDATE(EDATE('核心假设'!$B$5,2+$F10),$D10),SUM('融资租赁与资金缺口'!$D$5:$D$16)*$O10*'核心假设'!$B$32,0),0),IF(AND(BB$4&gt;EDATE('核心假设'!$B$5,3+$F10),BB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B$4=EDATE(EDATE('核心假设'!$B$5,3+$F10),$D10),SUM('融资租赁与资金缺口'!$D$5:$D$16)*$P10*'核心假设'!$B$32,0),0),IF(AND(BB$4&gt;EDATE('核心假设'!$B$5,4+$F10),BB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B$4=EDATE(EDATE('核心假设'!$B$5,4+$F10),$D10),SUM('融资租赁与资金缺口'!$D$5:$D$16)*$Q10*'核心假设'!$B$32,0),0),IF(AND(BB$4&gt;EDATE('核心假设'!$B$5,5+$F10),BB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B$4=EDATE(EDATE('核心假设'!$B$5,5+$F10),$D10),SUM('融资租赁与资金缺口'!$D$5:$D$16)*$R10*'核心假设'!$B$32,0),0),IF(AND(BB$4&gt;EDATE('核心假设'!$B$5,6+$F10),BB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B$4=EDATE(EDATE('核心假设'!$B$5,6+$F10),$D10),SUM('融资租赁与资金缺口'!$D$5:$D$16)*$S10*'核心假设'!$B$32,0),0),IF(AND(BB$4&gt;EDATE('核心假设'!$B$5,7+$F10),BB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B$4=EDATE(EDATE('核心假设'!$B$5,7+$F10),$D10),SUM('融资租赁与资金缺口'!$D$5:$D$16)*$T10*'核心假设'!$B$32,0),0),IF(AND(BB$4&gt;EDATE('核心假设'!$B$5,8+$F10),BB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B$4=EDATE(EDATE('核心假设'!$B$5,8+$F10),$D10),SUM('融资租赁与资金缺口'!$D$5:$D$16)*$U10*'核心假设'!$B$32,0),0),IF(AND(BB$4&gt;EDATE('核心假设'!$B$5,9+$F10),BB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B$4=EDATE(EDATE('核心假设'!$B$5,9+$F10),$D10),SUM('融资租赁与资金缺口'!$D$5:$D$16)*$V10*'核心假设'!$B$32,0),0),IF(AND(BB$4&gt;EDATE('核心假设'!$B$5,10+$F10),BB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B$4=EDATE(EDATE('核心假设'!$B$5,10+$F10),$D10),SUM('融资租赁与资金缺口'!$D$5:$D$16)*$W10*'核心假设'!$B$32,0),0),IF(AND(BB$4&gt;EDATE('核心假设'!$B$5,11+$F10),BB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B$4=EDATE(EDATE('核心假设'!$B$5,11+$F10),$D10),SUM('融资租赁与资金缺口'!$D$5:$D$16)*$X10*'核心假设'!$B$32,0),0),IF(AND(BB$4&gt;EDATE('核心假设'!$B$5,12+$F10),BB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B$4=EDATE(EDATE('核心假设'!$B$5,12+$F10),$D10),SUM('融资租赁与资金缺口'!$D$5:$D$16)*$Y10*'核心假设'!$B$32,0),0),IF(AND(BB$4&gt;EDATE('核心假设'!$B$5,13+$F10),BB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B$4=EDATE(EDATE('核心假设'!$B$5,13+$F10),$D10),SUM('融资租赁与资金缺口'!$D$5:$D$16)*$Z10*'核心假设'!$B$32,0),0),IF(AND(BB$4&gt;EDATE('核心假设'!$B$5,14+$F10),BB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B$4=EDATE(EDATE('核心假设'!$B$5,14+$F10),$D10),SUM('融资租赁与资金缺口'!$D$5:$D$16)*$AA10*'核心假设'!$B$32,0),0),IF(AND(BB$4&gt;EDATE('核心假设'!$B$5,15+$F10),BB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B$4=EDATE(EDATE('核心假设'!$B$5,15+$F10),$D10),SUM('融资租赁与资金缺口'!$D$5:$D$16)*$AB10*'核心假设'!$B$32,0),0),IF(AND(BB$4&gt;EDATE('核心假设'!$B$5,16+$F10),BB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B$4=EDATE(EDATE('核心假设'!$B$5,16+$F10),$D10),SUM('融资租赁与资金缺口'!$D$5:$D$16)*$AC10*'核心假设'!$B$32,0),0),IF(AND(BB$4&gt;EDATE('核心假设'!$B$5,17+$F10),BB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B$4=EDATE(EDATE('核心假设'!$B$5,17+$F10),$D10),SUM('融资租赁与资金缺口'!$D$5:$D$16)*$AD10*'核心假设'!$B$32,0),0))</x:f>
        <x:v>13894577.61390545</x:v>
      </x:c>
      <x:c r="BC37" s="28" t="n">
        <x:f>SUM(IF(AND(BC$4&gt;EDATE('核心假设'!$B$5,0+$F10),BC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C$4=EDATE(EDATE('核心假设'!$B$5,0+$F10),$D10),SUM('融资租赁与资金缺口'!$D$5:$D$16)*$M10*'核心假设'!$B$32,0),0),IF(AND(BC$4&gt;EDATE('核心假设'!$B$5,1+$F10),BC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C$4=EDATE(EDATE('核心假设'!$B$5,1+$F10),$D10),SUM('融资租赁与资金缺口'!$D$5:$D$16)*$N10*'核心假设'!$B$32,0),0),IF(AND(BC$4&gt;EDATE('核心假设'!$B$5,2+$F10),BC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C$4=EDATE(EDATE('核心假设'!$B$5,2+$F10),$D10),SUM('融资租赁与资金缺口'!$D$5:$D$16)*$O10*'核心假设'!$B$32,0),0),IF(AND(BC$4&gt;EDATE('核心假设'!$B$5,3+$F10),BC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C$4=EDATE(EDATE('核心假设'!$B$5,3+$F10),$D10),SUM('融资租赁与资金缺口'!$D$5:$D$16)*$P10*'核心假设'!$B$32,0),0),IF(AND(BC$4&gt;EDATE('核心假设'!$B$5,4+$F10),BC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C$4=EDATE(EDATE('核心假设'!$B$5,4+$F10),$D10),SUM('融资租赁与资金缺口'!$D$5:$D$16)*$Q10*'核心假设'!$B$32,0),0),IF(AND(BC$4&gt;EDATE('核心假设'!$B$5,5+$F10),BC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C$4=EDATE(EDATE('核心假设'!$B$5,5+$F10),$D10),SUM('融资租赁与资金缺口'!$D$5:$D$16)*$R10*'核心假设'!$B$32,0),0),IF(AND(BC$4&gt;EDATE('核心假设'!$B$5,6+$F10),BC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C$4=EDATE(EDATE('核心假设'!$B$5,6+$F10),$D10),SUM('融资租赁与资金缺口'!$D$5:$D$16)*$S10*'核心假设'!$B$32,0),0),IF(AND(BC$4&gt;EDATE('核心假设'!$B$5,7+$F10),BC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C$4=EDATE(EDATE('核心假设'!$B$5,7+$F10),$D10),SUM('融资租赁与资金缺口'!$D$5:$D$16)*$T10*'核心假设'!$B$32,0),0),IF(AND(BC$4&gt;EDATE('核心假设'!$B$5,8+$F10),BC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C$4=EDATE(EDATE('核心假设'!$B$5,8+$F10),$D10),SUM('融资租赁与资金缺口'!$D$5:$D$16)*$U10*'核心假设'!$B$32,0),0),IF(AND(BC$4&gt;EDATE('核心假设'!$B$5,9+$F10),BC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C$4=EDATE(EDATE('核心假设'!$B$5,9+$F10),$D10),SUM('融资租赁与资金缺口'!$D$5:$D$16)*$V10*'核心假设'!$B$32,0),0),IF(AND(BC$4&gt;EDATE('核心假设'!$B$5,10+$F10),BC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C$4=EDATE(EDATE('核心假设'!$B$5,10+$F10),$D10),SUM('融资租赁与资金缺口'!$D$5:$D$16)*$W10*'核心假设'!$B$32,0),0),IF(AND(BC$4&gt;EDATE('核心假设'!$B$5,11+$F10),BC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C$4=EDATE(EDATE('核心假设'!$B$5,11+$F10),$D10),SUM('融资租赁与资金缺口'!$D$5:$D$16)*$X10*'核心假设'!$B$32,0),0),IF(AND(BC$4&gt;EDATE('核心假设'!$B$5,12+$F10),BC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C$4=EDATE(EDATE('核心假设'!$B$5,12+$F10),$D10),SUM('融资租赁与资金缺口'!$D$5:$D$16)*$Y10*'核心假设'!$B$32,0),0),IF(AND(BC$4&gt;EDATE('核心假设'!$B$5,13+$F10),BC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C$4=EDATE(EDATE('核心假设'!$B$5,13+$F10),$D10),SUM('融资租赁与资金缺口'!$D$5:$D$16)*$Z10*'核心假设'!$B$32,0),0),IF(AND(BC$4&gt;EDATE('核心假设'!$B$5,14+$F10),BC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C$4=EDATE(EDATE('核心假设'!$B$5,14+$F10),$D10),SUM('融资租赁与资金缺口'!$D$5:$D$16)*$AA10*'核心假设'!$B$32,0),0),IF(AND(BC$4&gt;EDATE('核心假设'!$B$5,15+$F10),BC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C$4=EDATE(EDATE('核心假设'!$B$5,15+$F10),$D10),SUM('融资租赁与资金缺口'!$D$5:$D$16)*$AB10*'核心假设'!$B$32,0),0),IF(AND(BC$4&gt;EDATE('核心假设'!$B$5,16+$F10),BC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C$4=EDATE(EDATE('核心假设'!$B$5,16+$F10),$D10),SUM('融资租赁与资金缺口'!$D$5:$D$16)*$AC10*'核心假设'!$B$32,0),0),IF(AND(BC$4&gt;EDATE('核心假设'!$B$5,17+$F10),BC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C$4=EDATE(EDATE('核心假设'!$B$5,17+$F10),$D10),SUM('融资租赁与资金缺口'!$D$5:$D$16)*$AD10*'核心假设'!$B$32,0),0))</x:f>
        <x:v>13894577.61390545</x:v>
      </x:c>
      <x:c r="BD37" s="28" t="n">
        <x:f>SUM(IF(AND(BD$4&gt;EDATE('核心假设'!$B$5,0+$F10),BD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D$4=EDATE(EDATE('核心假设'!$B$5,0+$F10),$D10),SUM('融资租赁与资金缺口'!$D$5:$D$16)*$M10*'核心假设'!$B$32,0),0),IF(AND(BD$4&gt;EDATE('核心假设'!$B$5,1+$F10),BD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D$4=EDATE(EDATE('核心假设'!$B$5,1+$F10),$D10),SUM('融资租赁与资金缺口'!$D$5:$D$16)*$N10*'核心假设'!$B$32,0),0),IF(AND(BD$4&gt;EDATE('核心假设'!$B$5,2+$F10),BD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D$4=EDATE(EDATE('核心假设'!$B$5,2+$F10),$D10),SUM('融资租赁与资金缺口'!$D$5:$D$16)*$O10*'核心假设'!$B$32,0),0),IF(AND(BD$4&gt;EDATE('核心假设'!$B$5,3+$F10),BD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D$4=EDATE(EDATE('核心假设'!$B$5,3+$F10),$D10),SUM('融资租赁与资金缺口'!$D$5:$D$16)*$P10*'核心假设'!$B$32,0),0),IF(AND(BD$4&gt;EDATE('核心假设'!$B$5,4+$F10),BD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D$4=EDATE(EDATE('核心假设'!$B$5,4+$F10),$D10),SUM('融资租赁与资金缺口'!$D$5:$D$16)*$Q10*'核心假设'!$B$32,0),0),IF(AND(BD$4&gt;EDATE('核心假设'!$B$5,5+$F10),BD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D$4=EDATE(EDATE('核心假设'!$B$5,5+$F10),$D10),SUM('融资租赁与资金缺口'!$D$5:$D$16)*$R10*'核心假设'!$B$32,0),0),IF(AND(BD$4&gt;EDATE('核心假设'!$B$5,6+$F10),BD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D$4=EDATE(EDATE('核心假设'!$B$5,6+$F10),$D10),SUM('融资租赁与资金缺口'!$D$5:$D$16)*$S10*'核心假设'!$B$32,0),0),IF(AND(BD$4&gt;EDATE('核心假设'!$B$5,7+$F10),BD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D$4=EDATE(EDATE('核心假设'!$B$5,7+$F10),$D10),SUM('融资租赁与资金缺口'!$D$5:$D$16)*$T10*'核心假设'!$B$32,0),0),IF(AND(BD$4&gt;EDATE('核心假设'!$B$5,8+$F10),BD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D$4=EDATE(EDATE('核心假设'!$B$5,8+$F10),$D10),SUM('融资租赁与资金缺口'!$D$5:$D$16)*$U10*'核心假设'!$B$32,0),0),IF(AND(BD$4&gt;EDATE('核心假设'!$B$5,9+$F10),BD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D$4=EDATE(EDATE('核心假设'!$B$5,9+$F10),$D10),SUM('融资租赁与资金缺口'!$D$5:$D$16)*$V10*'核心假设'!$B$32,0),0),IF(AND(BD$4&gt;EDATE('核心假设'!$B$5,10+$F10),BD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D$4=EDATE(EDATE('核心假设'!$B$5,10+$F10),$D10),SUM('融资租赁与资金缺口'!$D$5:$D$16)*$W10*'核心假设'!$B$32,0),0),IF(AND(BD$4&gt;EDATE('核心假设'!$B$5,11+$F10),BD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D$4=EDATE(EDATE('核心假设'!$B$5,11+$F10),$D10),SUM('融资租赁与资金缺口'!$D$5:$D$16)*$X10*'核心假设'!$B$32,0),0),IF(AND(BD$4&gt;EDATE('核心假设'!$B$5,12+$F10),BD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D$4=EDATE(EDATE('核心假设'!$B$5,12+$F10),$D10),SUM('融资租赁与资金缺口'!$D$5:$D$16)*$Y10*'核心假设'!$B$32,0),0),IF(AND(BD$4&gt;EDATE('核心假设'!$B$5,13+$F10),BD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D$4=EDATE(EDATE('核心假设'!$B$5,13+$F10),$D10),SUM('融资租赁与资金缺口'!$D$5:$D$16)*$Z10*'核心假设'!$B$32,0),0),IF(AND(BD$4&gt;EDATE('核心假设'!$B$5,14+$F10),BD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D$4=EDATE(EDATE('核心假设'!$B$5,14+$F10),$D10),SUM('融资租赁与资金缺口'!$D$5:$D$16)*$AA10*'核心假设'!$B$32,0),0),IF(AND(BD$4&gt;EDATE('核心假设'!$B$5,15+$F10),BD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D$4=EDATE(EDATE('核心假设'!$B$5,15+$F10),$D10),SUM('融资租赁与资金缺口'!$D$5:$D$16)*$AB10*'核心假设'!$B$32,0),0),IF(AND(BD$4&gt;EDATE('核心假设'!$B$5,16+$F10),BD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D$4=EDATE(EDATE('核心假设'!$B$5,16+$F10),$D10),SUM('融资租赁与资金缺口'!$D$5:$D$16)*$AC10*'核心假设'!$B$32,0),0),IF(AND(BD$4&gt;EDATE('核心假设'!$B$5,17+$F10),BD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D$4=EDATE(EDATE('核心假设'!$B$5,17+$F10),$D10),SUM('融资租赁与资金缺口'!$D$5:$D$16)*$AD10*'核心假设'!$B$32,0),0))</x:f>
        <x:v>13894577.61390545</x:v>
      </x:c>
      <x:c r="BE37" s="28" t="n">
        <x:f>SUM(IF(AND(BE$4&gt;EDATE('核心假设'!$B$5,0+$F10),BE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E$4=EDATE(EDATE('核心假设'!$B$5,0+$F10),$D10),SUM('融资租赁与资金缺口'!$D$5:$D$16)*$M10*'核心假设'!$B$32,0),0),IF(AND(BE$4&gt;EDATE('核心假设'!$B$5,1+$F10),BE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E$4=EDATE(EDATE('核心假设'!$B$5,1+$F10),$D10),SUM('融资租赁与资金缺口'!$D$5:$D$16)*$N10*'核心假设'!$B$32,0),0),IF(AND(BE$4&gt;EDATE('核心假设'!$B$5,2+$F10),BE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E$4=EDATE(EDATE('核心假设'!$B$5,2+$F10),$D10),SUM('融资租赁与资金缺口'!$D$5:$D$16)*$O10*'核心假设'!$B$32,0),0),IF(AND(BE$4&gt;EDATE('核心假设'!$B$5,3+$F10),BE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E$4=EDATE(EDATE('核心假设'!$B$5,3+$F10),$D10),SUM('融资租赁与资金缺口'!$D$5:$D$16)*$P10*'核心假设'!$B$32,0),0),IF(AND(BE$4&gt;EDATE('核心假设'!$B$5,4+$F10),BE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E$4=EDATE(EDATE('核心假设'!$B$5,4+$F10),$D10),SUM('融资租赁与资金缺口'!$D$5:$D$16)*$Q10*'核心假设'!$B$32,0),0),IF(AND(BE$4&gt;EDATE('核心假设'!$B$5,5+$F10),BE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E$4=EDATE(EDATE('核心假设'!$B$5,5+$F10),$D10),SUM('融资租赁与资金缺口'!$D$5:$D$16)*$R10*'核心假设'!$B$32,0),0),IF(AND(BE$4&gt;EDATE('核心假设'!$B$5,6+$F10),BE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E$4=EDATE(EDATE('核心假设'!$B$5,6+$F10),$D10),SUM('融资租赁与资金缺口'!$D$5:$D$16)*$S10*'核心假设'!$B$32,0),0),IF(AND(BE$4&gt;EDATE('核心假设'!$B$5,7+$F10),BE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E$4=EDATE(EDATE('核心假设'!$B$5,7+$F10),$D10),SUM('融资租赁与资金缺口'!$D$5:$D$16)*$T10*'核心假设'!$B$32,0),0),IF(AND(BE$4&gt;EDATE('核心假设'!$B$5,8+$F10),BE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E$4=EDATE(EDATE('核心假设'!$B$5,8+$F10),$D10),SUM('融资租赁与资金缺口'!$D$5:$D$16)*$U10*'核心假设'!$B$32,0),0),IF(AND(BE$4&gt;EDATE('核心假设'!$B$5,9+$F10),BE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E$4=EDATE(EDATE('核心假设'!$B$5,9+$F10),$D10),SUM('融资租赁与资金缺口'!$D$5:$D$16)*$V10*'核心假设'!$B$32,0),0),IF(AND(BE$4&gt;EDATE('核心假设'!$B$5,10+$F10),BE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E$4=EDATE(EDATE('核心假设'!$B$5,10+$F10),$D10),SUM('融资租赁与资金缺口'!$D$5:$D$16)*$W10*'核心假设'!$B$32,0),0),IF(AND(BE$4&gt;EDATE('核心假设'!$B$5,11+$F10),BE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E$4=EDATE(EDATE('核心假设'!$B$5,11+$F10),$D10),SUM('融资租赁与资金缺口'!$D$5:$D$16)*$X10*'核心假设'!$B$32,0),0),IF(AND(BE$4&gt;EDATE('核心假设'!$B$5,12+$F10),BE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E$4=EDATE(EDATE('核心假设'!$B$5,12+$F10),$D10),SUM('融资租赁与资金缺口'!$D$5:$D$16)*$Y10*'核心假设'!$B$32,0),0),IF(AND(BE$4&gt;EDATE('核心假设'!$B$5,13+$F10),BE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E$4=EDATE(EDATE('核心假设'!$B$5,13+$F10),$D10),SUM('融资租赁与资金缺口'!$D$5:$D$16)*$Z10*'核心假设'!$B$32,0),0),IF(AND(BE$4&gt;EDATE('核心假设'!$B$5,14+$F10),BE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E$4=EDATE(EDATE('核心假设'!$B$5,14+$F10),$D10),SUM('融资租赁与资金缺口'!$D$5:$D$16)*$AA10*'核心假设'!$B$32,0),0),IF(AND(BE$4&gt;EDATE('核心假设'!$B$5,15+$F10),BE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E$4=EDATE(EDATE('核心假设'!$B$5,15+$F10),$D10),SUM('融资租赁与资金缺口'!$D$5:$D$16)*$AB10*'核心假设'!$B$32,0),0),IF(AND(BE$4&gt;EDATE('核心假设'!$B$5,16+$F10),BE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E$4=EDATE(EDATE('核心假设'!$B$5,16+$F10),$D10),SUM('融资租赁与资金缺口'!$D$5:$D$16)*$AC10*'核心假设'!$B$32,0),0),IF(AND(BE$4&gt;EDATE('核心假设'!$B$5,17+$F10),BE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E$4=EDATE(EDATE('核心假设'!$B$5,17+$F10),$D10),SUM('融资租赁与资金缺口'!$D$5:$D$16)*$AD10*'核心假设'!$B$32,0),0))</x:f>
        <x:v>13894577.61390545</x:v>
      </x:c>
      <x:c r="BF37" s="28" t="n">
        <x:f>SUM(IF(AND(BF$4&gt;EDATE('核心假设'!$B$5,0+$F10),BF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F$4=EDATE(EDATE('核心假设'!$B$5,0+$F10),$D10),SUM('融资租赁与资金缺口'!$D$5:$D$16)*$M10*'核心假设'!$B$32,0),0),IF(AND(BF$4&gt;EDATE('核心假设'!$B$5,1+$F10),BF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F$4=EDATE(EDATE('核心假设'!$B$5,1+$F10),$D10),SUM('融资租赁与资金缺口'!$D$5:$D$16)*$N10*'核心假设'!$B$32,0),0),IF(AND(BF$4&gt;EDATE('核心假设'!$B$5,2+$F10),BF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F$4=EDATE(EDATE('核心假设'!$B$5,2+$F10),$D10),SUM('融资租赁与资金缺口'!$D$5:$D$16)*$O10*'核心假设'!$B$32,0),0),IF(AND(BF$4&gt;EDATE('核心假设'!$B$5,3+$F10),BF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F$4=EDATE(EDATE('核心假设'!$B$5,3+$F10),$D10),SUM('融资租赁与资金缺口'!$D$5:$D$16)*$P10*'核心假设'!$B$32,0),0),IF(AND(BF$4&gt;EDATE('核心假设'!$B$5,4+$F10),BF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F$4=EDATE(EDATE('核心假设'!$B$5,4+$F10),$D10),SUM('融资租赁与资金缺口'!$D$5:$D$16)*$Q10*'核心假设'!$B$32,0),0),IF(AND(BF$4&gt;EDATE('核心假设'!$B$5,5+$F10),BF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F$4=EDATE(EDATE('核心假设'!$B$5,5+$F10),$D10),SUM('融资租赁与资金缺口'!$D$5:$D$16)*$R10*'核心假设'!$B$32,0),0),IF(AND(BF$4&gt;EDATE('核心假设'!$B$5,6+$F10),BF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F$4=EDATE(EDATE('核心假设'!$B$5,6+$F10),$D10),SUM('融资租赁与资金缺口'!$D$5:$D$16)*$S10*'核心假设'!$B$32,0),0),IF(AND(BF$4&gt;EDATE('核心假设'!$B$5,7+$F10),BF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F$4=EDATE(EDATE('核心假设'!$B$5,7+$F10),$D10),SUM('融资租赁与资金缺口'!$D$5:$D$16)*$T10*'核心假设'!$B$32,0),0),IF(AND(BF$4&gt;EDATE('核心假设'!$B$5,8+$F10),BF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F$4=EDATE(EDATE('核心假设'!$B$5,8+$F10),$D10),SUM('融资租赁与资金缺口'!$D$5:$D$16)*$U10*'核心假设'!$B$32,0),0),IF(AND(BF$4&gt;EDATE('核心假设'!$B$5,9+$F10),BF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F$4=EDATE(EDATE('核心假设'!$B$5,9+$F10),$D10),SUM('融资租赁与资金缺口'!$D$5:$D$16)*$V10*'核心假设'!$B$32,0),0),IF(AND(BF$4&gt;EDATE('核心假设'!$B$5,10+$F10),BF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F$4=EDATE(EDATE('核心假设'!$B$5,10+$F10),$D10),SUM('融资租赁与资金缺口'!$D$5:$D$16)*$W10*'核心假设'!$B$32,0),0),IF(AND(BF$4&gt;EDATE('核心假设'!$B$5,11+$F10),BF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F$4=EDATE(EDATE('核心假设'!$B$5,11+$F10),$D10),SUM('融资租赁与资金缺口'!$D$5:$D$16)*$X10*'核心假设'!$B$32,0),0),IF(AND(BF$4&gt;EDATE('核心假设'!$B$5,12+$F10),BF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F$4=EDATE(EDATE('核心假设'!$B$5,12+$F10),$D10),SUM('融资租赁与资金缺口'!$D$5:$D$16)*$Y10*'核心假设'!$B$32,0),0),IF(AND(BF$4&gt;EDATE('核心假设'!$B$5,13+$F10),BF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F$4=EDATE(EDATE('核心假设'!$B$5,13+$F10),$D10),SUM('融资租赁与资金缺口'!$D$5:$D$16)*$Z10*'核心假设'!$B$32,0),0),IF(AND(BF$4&gt;EDATE('核心假设'!$B$5,14+$F10),BF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F$4=EDATE(EDATE('核心假设'!$B$5,14+$F10),$D10),SUM('融资租赁与资金缺口'!$D$5:$D$16)*$AA10*'核心假设'!$B$32,0),0),IF(AND(BF$4&gt;EDATE('核心假设'!$B$5,15+$F10),BF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F$4=EDATE(EDATE('核心假设'!$B$5,15+$F10),$D10),SUM('融资租赁与资金缺口'!$D$5:$D$16)*$AB10*'核心假设'!$B$32,0),0),IF(AND(BF$4&gt;EDATE('核心假设'!$B$5,16+$F10),BF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F$4=EDATE(EDATE('核心假设'!$B$5,16+$F10),$D10),SUM('融资租赁与资金缺口'!$D$5:$D$16)*$AC10*'核心假设'!$B$32,0),0),IF(AND(BF$4&gt;EDATE('核心假设'!$B$5,17+$F10),BF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F$4=EDATE(EDATE('核心假设'!$B$5,17+$F10),$D10),SUM('融资租赁与资金缺口'!$D$5:$D$16)*$AD10*'核心假设'!$B$32,0),0))</x:f>
        <x:v>13894577.61390545</x:v>
      </x:c>
      <x:c r="BG37" s="28" t="n">
        <x:f>SUM(IF(AND(BG$4&gt;EDATE('核心假设'!$B$5,0+$F10),BG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G$4=EDATE(EDATE('核心假设'!$B$5,0+$F10),$D10),SUM('融资租赁与资金缺口'!$D$5:$D$16)*$M10*'核心假设'!$B$32,0),0),IF(AND(BG$4&gt;EDATE('核心假设'!$B$5,1+$F10),BG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G$4=EDATE(EDATE('核心假设'!$B$5,1+$F10),$D10),SUM('融资租赁与资金缺口'!$D$5:$D$16)*$N10*'核心假设'!$B$32,0),0),IF(AND(BG$4&gt;EDATE('核心假设'!$B$5,2+$F10),BG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G$4=EDATE(EDATE('核心假设'!$B$5,2+$F10),$D10),SUM('融资租赁与资金缺口'!$D$5:$D$16)*$O10*'核心假设'!$B$32,0),0),IF(AND(BG$4&gt;EDATE('核心假设'!$B$5,3+$F10),BG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G$4=EDATE(EDATE('核心假设'!$B$5,3+$F10),$D10),SUM('融资租赁与资金缺口'!$D$5:$D$16)*$P10*'核心假设'!$B$32,0),0),IF(AND(BG$4&gt;EDATE('核心假设'!$B$5,4+$F10),BG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G$4=EDATE(EDATE('核心假设'!$B$5,4+$F10),$D10),SUM('融资租赁与资金缺口'!$D$5:$D$16)*$Q10*'核心假设'!$B$32,0),0),IF(AND(BG$4&gt;EDATE('核心假设'!$B$5,5+$F10),BG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G$4=EDATE(EDATE('核心假设'!$B$5,5+$F10),$D10),SUM('融资租赁与资金缺口'!$D$5:$D$16)*$R10*'核心假设'!$B$32,0),0),IF(AND(BG$4&gt;EDATE('核心假设'!$B$5,6+$F10),BG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G$4=EDATE(EDATE('核心假设'!$B$5,6+$F10),$D10),SUM('融资租赁与资金缺口'!$D$5:$D$16)*$S10*'核心假设'!$B$32,0),0),IF(AND(BG$4&gt;EDATE('核心假设'!$B$5,7+$F10),BG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G$4=EDATE(EDATE('核心假设'!$B$5,7+$F10),$D10),SUM('融资租赁与资金缺口'!$D$5:$D$16)*$T10*'核心假设'!$B$32,0),0),IF(AND(BG$4&gt;EDATE('核心假设'!$B$5,8+$F10),BG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G$4=EDATE(EDATE('核心假设'!$B$5,8+$F10),$D10),SUM('融资租赁与资金缺口'!$D$5:$D$16)*$U10*'核心假设'!$B$32,0),0),IF(AND(BG$4&gt;EDATE('核心假设'!$B$5,9+$F10),BG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G$4=EDATE(EDATE('核心假设'!$B$5,9+$F10),$D10),SUM('融资租赁与资金缺口'!$D$5:$D$16)*$V10*'核心假设'!$B$32,0),0),IF(AND(BG$4&gt;EDATE('核心假设'!$B$5,10+$F10),BG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G$4=EDATE(EDATE('核心假设'!$B$5,10+$F10),$D10),SUM('融资租赁与资金缺口'!$D$5:$D$16)*$W10*'核心假设'!$B$32,0),0),IF(AND(BG$4&gt;EDATE('核心假设'!$B$5,11+$F10),BG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G$4=EDATE(EDATE('核心假设'!$B$5,11+$F10),$D10),SUM('融资租赁与资金缺口'!$D$5:$D$16)*$X10*'核心假设'!$B$32,0),0),IF(AND(BG$4&gt;EDATE('核心假设'!$B$5,12+$F10),BG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G$4=EDATE(EDATE('核心假设'!$B$5,12+$F10),$D10),SUM('融资租赁与资金缺口'!$D$5:$D$16)*$Y10*'核心假设'!$B$32,0),0),IF(AND(BG$4&gt;EDATE('核心假设'!$B$5,13+$F10),BG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G$4=EDATE(EDATE('核心假设'!$B$5,13+$F10),$D10),SUM('融资租赁与资金缺口'!$D$5:$D$16)*$Z10*'核心假设'!$B$32,0),0),IF(AND(BG$4&gt;EDATE('核心假设'!$B$5,14+$F10),BG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G$4=EDATE(EDATE('核心假设'!$B$5,14+$F10),$D10),SUM('融资租赁与资金缺口'!$D$5:$D$16)*$AA10*'核心假设'!$B$32,0),0),IF(AND(BG$4&gt;EDATE('核心假设'!$B$5,15+$F10),BG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G$4=EDATE(EDATE('核心假设'!$B$5,15+$F10),$D10),SUM('融资租赁与资金缺口'!$D$5:$D$16)*$AB10*'核心假设'!$B$32,0),0),IF(AND(BG$4&gt;EDATE('核心假设'!$B$5,16+$F10),BG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G$4=EDATE(EDATE('核心假设'!$B$5,16+$F10),$D10),SUM('融资租赁与资金缺口'!$D$5:$D$16)*$AC10*'核心假设'!$B$32,0),0),IF(AND(BG$4&gt;EDATE('核心假设'!$B$5,17+$F10),BG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G$4=EDATE(EDATE('核心假设'!$B$5,17+$F10),$D10),SUM('融资租赁与资金缺口'!$D$5:$D$16)*$AD10*'核心假设'!$B$32,0),0))</x:f>
        <x:v>13894577.61390545</x:v>
      </x:c>
      <x:c r="BH37" s="28" t="n">
        <x:f>SUM(IF(AND(BH$4&gt;EDATE('核心假设'!$B$5,0+$F10),BH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H$4=EDATE(EDATE('核心假设'!$B$5,0+$F10),$D10),SUM('融资租赁与资金缺口'!$D$5:$D$16)*$M10*'核心假设'!$B$32,0),0),IF(AND(BH$4&gt;EDATE('核心假设'!$B$5,1+$F10),BH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H$4=EDATE(EDATE('核心假设'!$B$5,1+$F10),$D10),SUM('融资租赁与资金缺口'!$D$5:$D$16)*$N10*'核心假设'!$B$32,0),0),IF(AND(BH$4&gt;EDATE('核心假设'!$B$5,2+$F10),BH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H$4=EDATE(EDATE('核心假设'!$B$5,2+$F10),$D10),SUM('融资租赁与资金缺口'!$D$5:$D$16)*$O10*'核心假设'!$B$32,0),0),IF(AND(BH$4&gt;EDATE('核心假设'!$B$5,3+$F10),BH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H$4=EDATE(EDATE('核心假设'!$B$5,3+$F10),$D10),SUM('融资租赁与资金缺口'!$D$5:$D$16)*$P10*'核心假设'!$B$32,0),0),IF(AND(BH$4&gt;EDATE('核心假设'!$B$5,4+$F10),BH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H$4=EDATE(EDATE('核心假设'!$B$5,4+$F10),$D10),SUM('融资租赁与资金缺口'!$D$5:$D$16)*$Q10*'核心假设'!$B$32,0),0),IF(AND(BH$4&gt;EDATE('核心假设'!$B$5,5+$F10),BH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H$4=EDATE(EDATE('核心假设'!$B$5,5+$F10),$D10),SUM('融资租赁与资金缺口'!$D$5:$D$16)*$R10*'核心假设'!$B$32,0),0),IF(AND(BH$4&gt;EDATE('核心假设'!$B$5,6+$F10),BH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H$4=EDATE(EDATE('核心假设'!$B$5,6+$F10),$D10),SUM('融资租赁与资金缺口'!$D$5:$D$16)*$S10*'核心假设'!$B$32,0),0),IF(AND(BH$4&gt;EDATE('核心假设'!$B$5,7+$F10),BH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H$4=EDATE(EDATE('核心假设'!$B$5,7+$F10),$D10),SUM('融资租赁与资金缺口'!$D$5:$D$16)*$T10*'核心假设'!$B$32,0),0),IF(AND(BH$4&gt;EDATE('核心假设'!$B$5,8+$F10),BH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H$4=EDATE(EDATE('核心假设'!$B$5,8+$F10),$D10),SUM('融资租赁与资金缺口'!$D$5:$D$16)*$U10*'核心假设'!$B$32,0),0),IF(AND(BH$4&gt;EDATE('核心假设'!$B$5,9+$F10),BH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H$4=EDATE(EDATE('核心假设'!$B$5,9+$F10),$D10),SUM('融资租赁与资金缺口'!$D$5:$D$16)*$V10*'核心假设'!$B$32,0),0),IF(AND(BH$4&gt;EDATE('核心假设'!$B$5,10+$F10),BH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H$4=EDATE(EDATE('核心假设'!$B$5,10+$F10),$D10),SUM('融资租赁与资金缺口'!$D$5:$D$16)*$W10*'核心假设'!$B$32,0),0),IF(AND(BH$4&gt;EDATE('核心假设'!$B$5,11+$F10),BH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H$4=EDATE(EDATE('核心假设'!$B$5,11+$F10),$D10),SUM('融资租赁与资金缺口'!$D$5:$D$16)*$X10*'核心假设'!$B$32,0),0),IF(AND(BH$4&gt;EDATE('核心假设'!$B$5,12+$F10),BH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H$4=EDATE(EDATE('核心假设'!$B$5,12+$F10),$D10),SUM('融资租赁与资金缺口'!$D$5:$D$16)*$Y10*'核心假设'!$B$32,0),0),IF(AND(BH$4&gt;EDATE('核心假设'!$B$5,13+$F10),BH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H$4=EDATE(EDATE('核心假设'!$B$5,13+$F10),$D10),SUM('融资租赁与资金缺口'!$D$5:$D$16)*$Z10*'核心假设'!$B$32,0),0),IF(AND(BH$4&gt;EDATE('核心假设'!$B$5,14+$F10),BH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H$4=EDATE(EDATE('核心假设'!$B$5,14+$F10),$D10),SUM('融资租赁与资金缺口'!$D$5:$D$16)*$AA10*'核心假设'!$B$32,0),0),IF(AND(BH$4&gt;EDATE('核心假设'!$B$5,15+$F10),BH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H$4=EDATE(EDATE('核心假设'!$B$5,15+$F10),$D10),SUM('融资租赁与资金缺口'!$D$5:$D$16)*$AB10*'核心假设'!$B$32,0),0),IF(AND(BH$4&gt;EDATE('核心假设'!$B$5,16+$F10),BH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H$4=EDATE(EDATE('核心假设'!$B$5,16+$F10),$D10),SUM('融资租赁与资金缺口'!$D$5:$D$16)*$AC10*'核心假设'!$B$32,0),0),IF(AND(BH$4&gt;EDATE('核心假设'!$B$5,17+$F10),BH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H$4=EDATE(EDATE('核心假设'!$B$5,17+$F10),$D10),SUM('融资租赁与资金缺口'!$D$5:$D$16)*$AD10*'核心假设'!$B$32,0),0))</x:f>
        <x:v>13894577.61390545</x:v>
      </x:c>
      <x:c r="BI37" s="28" t="n">
        <x:f>SUM(IF(AND(BI$4&gt;EDATE('核心假设'!$B$5,0+$F10),BI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I$4=EDATE(EDATE('核心假设'!$B$5,0+$F10),$D10),SUM('融资租赁与资金缺口'!$D$5:$D$16)*$M10*'核心假设'!$B$32,0),0),IF(AND(BI$4&gt;EDATE('核心假设'!$B$5,1+$F10),BI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I$4=EDATE(EDATE('核心假设'!$B$5,1+$F10),$D10),SUM('融资租赁与资金缺口'!$D$5:$D$16)*$N10*'核心假设'!$B$32,0),0),IF(AND(BI$4&gt;EDATE('核心假设'!$B$5,2+$F10),BI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I$4=EDATE(EDATE('核心假设'!$B$5,2+$F10),$D10),SUM('融资租赁与资金缺口'!$D$5:$D$16)*$O10*'核心假设'!$B$32,0),0),IF(AND(BI$4&gt;EDATE('核心假设'!$B$5,3+$F10),BI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I$4=EDATE(EDATE('核心假设'!$B$5,3+$F10),$D10),SUM('融资租赁与资金缺口'!$D$5:$D$16)*$P10*'核心假设'!$B$32,0),0),IF(AND(BI$4&gt;EDATE('核心假设'!$B$5,4+$F10),BI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I$4=EDATE(EDATE('核心假设'!$B$5,4+$F10),$D10),SUM('融资租赁与资金缺口'!$D$5:$D$16)*$Q10*'核心假设'!$B$32,0),0),IF(AND(BI$4&gt;EDATE('核心假设'!$B$5,5+$F10),BI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I$4=EDATE(EDATE('核心假设'!$B$5,5+$F10),$D10),SUM('融资租赁与资金缺口'!$D$5:$D$16)*$R10*'核心假设'!$B$32,0),0),IF(AND(BI$4&gt;EDATE('核心假设'!$B$5,6+$F10),BI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I$4=EDATE(EDATE('核心假设'!$B$5,6+$F10),$D10),SUM('融资租赁与资金缺口'!$D$5:$D$16)*$S10*'核心假设'!$B$32,0),0),IF(AND(BI$4&gt;EDATE('核心假设'!$B$5,7+$F10),BI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I$4=EDATE(EDATE('核心假设'!$B$5,7+$F10),$D10),SUM('融资租赁与资金缺口'!$D$5:$D$16)*$T10*'核心假设'!$B$32,0),0),IF(AND(BI$4&gt;EDATE('核心假设'!$B$5,8+$F10),BI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I$4=EDATE(EDATE('核心假设'!$B$5,8+$F10),$D10),SUM('融资租赁与资金缺口'!$D$5:$D$16)*$U10*'核心假设'!$B$32,0),0),IF(AND(BI$4&gt;EDATE('核心假设'!$B$5,9+$F10),BI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I$4=EDATE(EDATE('核心假设'!$B$5,9+$F10),$D10),SUM('融资租赁与资金缺口'!$D$5:$D$16)*$V10*'核心假设'!$B$32,0),0),IF(AND(BI$4&gt;EDATE('核心假设'!$B$5,10+$F10),BI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I$4=EDATE(EDATE('核心假设'!$B$5,10+$F10),$D10),SUM('融资租赁与资金缺口'!$D$5:$D$16)*$W10*'核心假设'!$B$32,0),0),IF(AND(BI$4&gt;EDATE('核心假设'!$B$5,11+$F10),BI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I$4=EDATE(EDATE('核心假设'!$B$5,11+$F10),$D10),SUM('融资租赁与资金缺口'!$D$5:$D$16)*$X10*'核心假设'!$B$32,0),0),IF(AND(BI$4&gt;EDATE('核心假设'!$B$5,12+$F10),BI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I$4=EDATE(EDATE('核心假设'!$B$5,12+$F10),$D10),SUM('融资租赁与资金缺口'!$D$5:$D$16)*$Y10*'核心假设'!$B$32,0),0),IF(AND(BI$4&gt;EDATE('核心假设'!$B$5,13+$F10),BI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I$4=EDATE(EDATE('核心假设'!$B$5,13+$F10),$D10),SUM('融资租赁与资金缺口'!$D$5:$D$16)*$Z10*'核心假设'!$B$32,0),0),IF(AND(BI$4&gt;EDATE('核心假设'!$B$5,14+$F10),BI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I$4=EDATE(EDATE('核心假设'!$B$5,14+$F10),$D10),SUM('融资租赁与资金缺口'!$D$5:$D$16)*$AA10*'核心假设'!$B$32,0),0),IF(AND(BI$4&gt;EDATE('核心假设'!$B$5,15+$F10),BI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I$4=EDATE(EDATE('核心假设'!$B$5,15+$F10),$D10),SUM('融资租赁与资金缺口'!$D$5:$D$16)*$AB10*'核心假设'!$B$32,0),0),IF(AND(BI$4&gt;EDATE('核心假设'!$B$5,16+$F10),BI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I$4=EDATE(EDATE('核心假设'!$B$5,16+$F10),$D10),SUM('融资租赁与资金缺口'!$D$5:$D$16)*$AC10*'核心假设'!$B$32,0),0),IF(AND(BI$4&gt;EDATE('核心假设'!$B$5,17+$F10),BI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I$4=EDATE(EDATE('核心假设'!$B$5,17+$F10),$D10),SUM('融资租赁与资金缺口'!$D$5:$D$16)*$AD10*'核心假设'!$B$32,0),0))</x:f>
        <x:v>13894577.61390545</x:v>
      </x:c>
      <x:c r="BJ37" s="28" t="n">
        <x:f>SUM(IF(AND(BJ$4&gt;EDATE('核心假设'!$B$5,0+$F10),BJ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J$4=EDATE(EDATE('核心假设'!$B$5,0+$F10),$D10),SUM('融资租赁与资金缺口'!$D$5:$D$16)*$M10*'核心假设'!$B$32,0),0),IF(AND(BJ$4&gt;EDATE('核心假设'!$B$5,1+$F10),BJ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J$4=EDATE(EDATE('核心假设'!$B$5,1+$F10),$D10),SUM('融资租赁与资金缺口'!$D$5:$D$16)*$N10*'核心假设'!$B$32,0),0),IF(AND(BJ$4&gt;EDATE('核心假设'!$B$5,2+$F10),BJ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J$4=EDATE(EDATE('核心假设'!$B$5,2+$F10),$D10),SUM('融资租赁与资金缺口'!$D$5:$D$16)*$O10*'核心假设'!$B$32,0),0),IF(AND(BJ$4&gt;EDATE('核心假设'!$B$5,3+$F10),BJ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J$4=EDATE(EDATE('核心假设'!$B$5,3+$F10),$D10),SUM('融资租赁与资金缺口'!$D$5:$D$16)*$P10*'核心假设'!$B$32,0),0),IF(AND(BJ$4&gt;EDATE('核心假设'!$B$5,4+$F10),BJ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J$4=EDATE(EDATE('核心假设'!$B$5,4+$F10),$D10),SUM('融资租赁与资金缺口'!$D$5:$D$16)*$Q10*'核心假设'!$B$32,0),0),IF(AND(BJ$4&gt;EDATE('核心假设'!$B$5,5+$F10),BJ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J$4=EDATE(EDATE('核心假设'!$B$5,5+$F10),$D10),SUM('融资租赁与资金缺口'!$D$5:$D$16)*$R10*'核心假设'!$B$32,0),0),IF(AND(BJ$4&gt;EDATE('核心假设'!$B$5,6+$F10),BJ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J$4=EDATE(EDATE('核心假设'!$B$5,6+$F10),$D10),SUM('融资租赁与资金缺口'!$D$5:$D$16)*$S10*'核心假设'!$B$32,0),0),IF(AND(BJ$4&gt;EDATE('核心假设'!$B$5,7+$F10),BJ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J$4=EDATE(EDATE('核心假设'!$B$5,7+$F10),$D10),SUM('融资租赁与资金缺口'!$D$5:$D$16)*$T10*'核心假设'!$B$32,0),0),IF(AND(BJ$4&gt;EDATE('核心假设'!$B$5,8+$F10),BJ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J$4=EDATE(EDATE('核心假设'!$B$5,8+$F10),$D10),SUM('融资租赁与资金缺口'!$D$5:$D$16)*$U10*'核心假设'!$B$32,0),0),IF(AND(BJ$4&gt;EDATE('核心假设'!$B$5,9+$F10),BJ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J$4=EDATE(EDATE('核心假设'!$B$5,9+$F10),$D10),SUM('融资租赁与资金缺口'!$D$5:$D$16)*$V10*'核心假设'!$B$32,0),0),IF(AND(BJ$4&gt;EDATE('核心假设'!$B$5,10+$F10),BJ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J$4=EDATE(EDATE('核心假设'!$B$5,10+$F10),$D10),SUM('融资租赁与资金缺口'!$D$5:$D$16)*$W10*'核心假设'!$B$32,0),0),IF(AND(BJ$4&gt;EDATE('核心假设'!$B$5,11+$F10),BJ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J$4=EDATE(EDATE('核心假设'!$B$5,11+$F10),$D10),SUM('融资租赁与资金缺口'!$D$5:$D$16)*$X10*'核心假设'!$B$32,0),0),IF(AND(BJ$4&gt;EDATE('核心假设'!$B$5,12+$F10),BJ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J$4=EDATE(EDATE('核心假设'!$B$5,12+$F10),$D10),SUM('融资租赁与资金缺口'!$D$5:$D$16)*$Y10*'核心假设'!$B$32,0),0),IF(AND(BJ$4&gt;EDATE('核心假设'!$B$5,13+$F10),BJ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J$4=EDATE(EDATE('核心假设'!$B$5,13+$F10),$D10),SUM('融资租赁与资金缺口'!$D$5:$D$16)*$Z10*'核心假设'!$B$32,0),0),IF(AND(BJ$4&gt;EDATE('核心假设'!$B$5,14+$F10),BJ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J$4=EDATE(EDATE('核心假设'!$B$5,14+$F10),$D10),SUM('融资租赁与资金缺口'!$D$5:$D$16)*$AA10*'核心假设'!$B$32,0),0),IF(AND(BJ$4&gt;EDATE('核心假设'!$B$5,15+$F10),BJ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J$4=EDATE(EDATE('核心假设'!$B$5,15+$F10),$D10),SUM('融资租赁与资金缺口'!$D$5:$D$16)*$AB10*'核心假设'!$B$32,0),0),IF(AND(BJ$4&gt;EDATE('核心假设'!$B$5,16+$F10),BJ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J$4=EDATE(EDATE('核心假设'!$B$5,16+$F10),$D10),SUM('融资租赁与资金缺口'!$D$5:$D$16)*$AC10*'核心假设'!$B$32,0),0),IF(AND(BJ$4&gt;EDATE('核心假设'!$B$5,17+$F10),BJ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J$4=EDATE(EDATE('核心假设'!$B$5,17+$F10),$D10),SUM('融资租赁与资金缺口'!$D$5:$D$16)*$AD10*'核心假设'!$B$32,0),0))</x:f>
        <x:v>13894577.61390545</x:v>
      </x:c>
      <x:c r="BK37" s="28" t="n">
        <x:f>SUM(IF(AND(BK$4&gt;EDATE('核心假设'!$B$5,0+$F10),BK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K$4=EDATE(EDATE('核心假设'!$B$5,0+$F10),$D10),SUM('融资租赁与资金缺口'!$D$5:$D$16)*$M10*'核心假设'!$B$32,0),0),IF(AND(BK$4&gt;EDATE('核心假设'!$B$5,1+$F10),BK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K$4=EDATE(EDATE('核心假设'!$B$5,1+$F10),$D10),SUM('融资租赁与资金缺口'!$D$5:$D$16)*$N10*'核心假设'!$B$32,0),0),IF(AND(BK$4&gt;EDATE('核心假设'!$B$5,2+$F10),BK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K$4=EDATE(EDATE('核心假设'!$B$5,2+$F10),$D10),SUM('融资租赁与资金缺口'!$D$5:$D$16)*$O10*'核心假设'!$B$32,0),0),IF(AND(BK$4&gt;EDATE('核心假设'!$B$5,3+$F10),BK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K$4=EDATE(EDATE('核心假设'!$B$5,3+$F10),$D10),SUM('融资租赁与资金缺口'!$D$5:$D$16)*$P10*'核心假设'!$B$32,0),0),IF(AND(BK$4&gt;EDATE('核心假设'!$B$5,4+$F10),BK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K$4=EDATE(EDATE('核心假设'!$B$5,4+$F10),$D10),SUM('融资租赁与资金缺口'!$D$5:$D$16)*$Q10*'核心假设'!$B$32,0),0),IF(AND(BK$4&gt;EDATE('核心假设'!$B$5,5+$F10),BK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K$4=EDATE(EDATE('核心假设'!$B$5,5+$F10),$D10),SUM('融资租赁与资金缺口'!$D$5:$D$16)*$R10*'核心假设'!$B$32,0),0),IF(AND(BK$4&gt;EDATE('核心假设'!$B$5,6+$F10),BK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K$4=EDATE(EDATE('核心假设'!$B$5,6+$F10),$D10),SUM('融资租赁与资金缺口'!$D$5:$D$16)*$S10*'核心假设'!$B$32,0),0),IF(AND(BK$4&gt;EDATE('核心假设'!$B$5,7+$F10),BK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K$4=EDATE(EDATE('核心假设'!$B$5,7+$F10),$D10),SUM('融资租赁与资金缺口'!$D$5:$D$16)*$T10*'核心假设'!$B$32,0),0),IF(AND(BK$4&gt;EDATE('核心假设'!$B$5,8+$F10),BK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K$4=EDATE(EDATE('核心假设'!$B$5,8+$F10),$D10),SUM('融资租赁与资金缺口'!$D$5:$D$16)*$U10*'核心假设'!$B$32,0),0),IF(AND(BK$4&gt;EDATE('核心假设'!$B$5,9+$F10),BK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K$4=EDATE(EDATE('核心假设'!$B$5,9+$F10),$D10),SUM('融资租赁与资金缺口'!$D$5:$D$16)*$V10*'核心假设'!$B$32,0),0),IF(AND(BK$4&gt;EDATE('核心假设'!$B$5,10+$F10),BK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K$4=EDATE(EDATE('核心假设'!$B$5,10+$F10),$D10),SUM('融资租赁与资金缺口'!$D$5:$D$16)*$W10*'核心假设'!$B$32,0),0),IF(AND(BK$4&gt;EDATE('核心假设'!$B$5,11+$F10),BK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K$4=EDATE(EDATE('核心假设'!$B$5,11+$F10),$D10),SUM('融资租赁与资金缺口'!$D$5:$D$16)*$X10*'核心假设'!$B$32,0),0),IF(AND(BK$4&gt;EDATE('核心假设'!$B$5,12+$F10),BK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K$4=EDATE(EDATE('核心假设'!$B$5,12+$F10),$D10),SUM('融资租赁与资金缺口'!$D$5:$D$16)*$Y10*'核心假设'!$B$32,0),0),IF(AND(BK$4&gt;EDATE('核心假设'!$B$5,13+$F10),BK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K$4=EDATE(EDATE('核心假设'!$B$5,13+$F10),$D10),SUM('融资租赁与资金缺口'!$D$5:$D$16)*$Z10*'核心假设'!$B$32,0),0),IF(AND(BK$4&gt;EDATE('核心假设'!$B$5,14+$F10),BK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K$4=EDATE(EDATE('核心假设'!$B$5,14+$F10),$D10),SUM('融资租赁与资金缺口'!$D$5:$D$16)*$AA10*'核心假设'!$B$32,0),0),IF(AND(BK$4&gt;EDATE('核心假设'!$B$5,15+$F10),BK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K$4=EDATE(EDATE('核心假设'!$B$5,15+$F10),$D10),SUM('融资租赁与资金缺口'!$D$5:$D$16)*$AB10*'核心假设'!$B$32,0),0),IF(AND(BK$4&gt;EDATE('核心假设'!$B$5,16+$F10),BK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K$4=EDATE(EDATE('核心假设'!$B$5,16+$F10),$D10),SUM('融资租赁与资金缺口'!$D$5:$D$16)*$AC10*'核心假设'!$B$32,0),0),IF(AND(BK$4&gt;EDATE('核心假设'!$B$5,17+$F10),BK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K$4=EDATE(EDATE('核心假设'!$B$5,17+$F10),$D10),SUM('融资租赁与资金缺口'!$D$5:$D$16)*$AD10*'核心假设'!$B$32,0),0))</x:f>
        <x:v>13894577.61390545</x:v>
      </x:c>
      <x:c r="BL37" s="28" t="n">
        <x:f>SUM(IF(AND(BL$4&gt;EDATE('核心假设'!$B$5,0+$F10),BL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L$4=EDATE(EDATE('核心假设'!$B$5,0+$F10),$D10),SUM('融资租赁与资金缺口'!$D$5:$D$16)*$M10*'核心假设'!$B$32,0),0),IF(AND(BL$4&gt;EDATE('核心假设'!$B$5,1+$F10),BL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L$4=EDATE(EDATE('核心假设'!$B$5,1+$F10),$D10),SUM('融资租赁与资金缺口'!$D$5:$D$16)*$N10*'核心假设'!$B$32,0),0),IF(AND(BL$4&gt;EDATE('核心假设'!$B$5,2+$F10),BL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L$4=EDATE(EDATE('核心假设'!$B$5,2+$F10),$D10),SUM('融资租赁与资金缺口'!$D$5:$D$16)*$O10*'核心假设'!$B$32,0),0),IF(AND(BL$4&gt;EDATE('核心假设'!$B$5,3+$F10),BL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L$4=EDATE(EDATE('核心假设'!$B$5,3+$F10),$D10),SUM('融资租赁与资金缺口'!$D$5:$D$16)*$P10*'核心假设'!$B$32,0),0),IF(AND(BL$4&gt;EDATE('核心假设'!$B$5,4+$F10),BL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L$4=EDATE(EDATE('核心假设'!$B$5,4+$F10),$D10),SUM('融资租赁与资金缺口'!$D$5:$D$16)*$Q10*'核心假设'!$B$32,0),0),IF(AND(BL$4&gt;EDATE('核心假设'!$B$5,5+$F10),BL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L$4=EDATE(EDATE('核心假设'!$B$5,5+$F10),$D10),SUM('融资租赁与资金缺口'!$D$5:$D$16)*$R10*'核心假设'!$B$32,0),0),IF(AND(BL$4&gt;EDATE('核心假设'!$B$5,6+$F10),BL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L$4=EDATE(EDATE('核心假设'!$B$5,6+$F10),$D10),SUM('融资租赁与资金缺口'!$D$5:$D$16)*$S10*'核心假设'!$B$32,0),0),IF(AND(BL$4&gt;EDATE('核心假设'!$B$5,7+$F10),BL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L$4=EDATE(EDATE('核心假设'!$B$5,7+$F10),$D10),SUM('融资租赁与资金缺口'!$D$5:$D$16)*$T10*'核心假设'!$B$32,0),0),IF(AND(BL$4&gt;EDATE('核心假设'!$B$5,8+$F10),BL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L$4=EDATE(EDATE('核心假设'!$B$5,8+$F10),$D10),SUM('融资租赁与资金缺口'!$D$5:$D$16)*$U10*'核心假设'!$B$32,0),0),IF(AND(BL$4&gt;EDATE('核心假设'!$B$5,9+$F10),BL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L$4=EDATE(EDATE('核心假设'!$B$5,9+$F10),$D10),SUM('融资租赁与资金缺口'!$D$5:$D$16)*$V10*'核心假设'!$B$32,0),0),IF(AND(BL$4&gt;EDATE('核心假设'!$B$5,10+$F10),BL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L$4=EDATE(EDATE('核心假设'!$B$5,10+$F10),$D10),SUM('融资租赁与资金缺口'!$D$5:$D$16)*$W10*'核心假设'!$B$32,0),0),IF(AND(BL$4&gt;EDATE('核心假设'!$B$5,11+$F10),BL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L$4=EDATE(EDATE('核心假设'!$B$5,11+$F10),$D10),SUM('融资租赁与资金缺口'!$D$5:$D$16)*$X10*'核心假设'!$B$32,0),0),IF(AND(BL$4&gt;EDATE('核心假设'!$B$5,12+$F10),BL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L$4=EDATE(EDATE('核心假设'!$B$5,12+$F10),$D10),SUM('融资租赁与资金缺口'!$D$5:$D$16)*$Y10*'核心假设'!$B$32,0),0),IF(AND(BL$4&gt;EDATE('核心假设'!$B$5,13+$F10),BL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L$4=EDATE(EDATE('核心假设'!$B$5,13+$F10),$D10),SUM('融资租赁与资金缺口'!$D$5:$D$16)*$Z10*'核心假设'!$B$32,0),0),IF(AND(BL$4&gt;EDATE('核心假设'!$B$5,14+$F10),BL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L$4=EDATE(EDATE('核心假设'!$B$5,14+$F10),$D10),SUM('融资租赁与资金缺口'!$D$5:$D$16)*$AA10*'核心假设'!$B$32,0),0),IF(AND(BL$4&gt;EDATE('核心假设'!$B$5,15+$F10),BL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L$4=EDATE(EDATE('核心假设'!$B$5,15+$F10),$D10),SUM('融资租赁与资金缺口'!$D$5:$D$16)*$AB10*'核心假设'!$B$32,0),0),IF(AND(BL$4&gt;EDATE('核心假设'!$B$5,16+$F10),BL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L$4=EDATE(EDATE('核心假设'!$B$5,16+$F10),$D10),SUM('融资租赁与资金缺口'!$D$5:$D$16)*$AC10*'核心假设'!$B$32,0),0),IF(AND(BL$4&gt;EDATE('核心假设'!$B$5,17+$F10),BL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L$4=EDATE(EDATE('核心假设'!$B$5,17+$F10),$D10),SUM('融资租赁与资金缺口'!$D$5:$D$16)*$AD10*'核心假设'!$B$32,0),0))</x:f>
        <x:v>13894577.61390545</x:v>
      </x:c>
      <x:c r="BM37" s="28" t="n">
        <x:f>SUM(IF(AND(BM$4&gt;EDATE('核心假设'!$B$5,0+$F10),BM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M$4=EDATE(EDATE('核心假设'!$B$5,0+$F10),$D10),SUM('融资租赁与资金缺口'!$D$5:$D$16)*$M10*'核心假设'!$B$32,0),0),IF(AND(BM$4&gt;EDATE('核心假设'!$B$5,1+$F10),BM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M$4=EDATE(EDATE('核心假设'!$B$5,1+$F10),$D10),SUM('融资租赁与资金缺口'!$D$5:$D$16)*$N10*'核心假设'!$B$32,0),0),IF(AND(BM$4&gt;EDATE('核心假设'!$B$5,2+$F10),BM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M$4=EDATE(EDATE('核心假设'!$B$5,2+$F10),$D10),SUM('融资租赁与资金缺口'!$D$5:$D$16)*$O10*'核心假设'!$B$32,0),0),IF(AND(BM$4&gt;EDATE('核心假设'!$B$5,3+$F10),BM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M$4=EDATE(EDATE('核心假设'!$B$5,3+$F10),$D10),SUM('融资租赁与资金缺口'!$D$5:$D$16)*$P10*'核心假设'!$B$32,0),0),IF(AND(BM$4&gt;EDATE('核心假设'!$B$5,4+$F10),BM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M$4=EDATE(EDATE('核心假设'!$B$5,4+$F10),$D10),SUM('融资租赁与资金缺口'!$D$5:$D$16)*$Q10*'核心假设'!$B$32,0),0),IF(AND(BM$4&gt;EDATE('核心假设'!$B$5,5+$F10),BM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M$4=EDATE(EDATE('核心假设'!$B$5,5+$F10),$D10),SUM('融资租赁与资金缺口'!$D$5:$D$16)*$R10*'核心假设'!$B$32,0),0),IF(AND(BM$4&gt;EDATE('核心假设'!$B$5,6+$F10),BM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M$4=EDATE(EDATE('核心假设'!$B$5,6+$F10),$D10),SUM('融资租赁与资金缺口'!$D$5:$D$16)*$S10*'核心假设'!$B$32,0),0),IF(AND(BM$4&gt;EDATE('核心假设'!$B$5,7+$F10),BM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M$4=EDATE(EDATE('核心假设'!$B$5,7+$F10),$D10),SUM('融资租赁与资金缺口'!$D$5:$D$16)*$T10*'核心假设'!$B$32,0),0),IF(AND(BM$4&gt;EDATE('核心假设'!$B$5,8+$F10),BM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M$4=EDATE(EDATE('核心假设'!$B$5,8+$F10),$D10),SUM('融资租赁与资金缺口'!$D$5:$D$16)*$U10*'核心假设'!$B$32,0),0),IF(AND(BM$4&gt;EDATE('核心假设'!$B$5,9+$F10),BM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M$4=EDATE(EDATE('核心假设'!$B$5,9+$F10),$D10),SUM('融资租赁与资金缺口'!$D$5:$D$16)*$V10*'核心假设'!$B$32,0),0),IF(AND(BM$4&gt;EDATE('核心假设'!$B$5,10+$F10),BM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M$4=EDATE(EDATE('核心假设'!$B$5,10+$F10),$D10),SUM('融资租赁与资金缺口'!$D$5:$D$16)*$W10*'核心假设'!$B$32,0),0),IF(AND(BM$4&gt;EDATE('核心假设'!$B$5,11+$F10),BM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M$4=EDATE(EDATE('核心假设'!$B$5,11+$F10),$D10),SUM('融资租赁与资金缺口'!$D$5:$D$16)*$X10*'核心假设'!$B$32,0),0),IF(AND(BM$4&gt;EDATE('核心假设'!$B$5,12+$F10),BM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M$4=EDATE(EDATE('核心假设'!$B$5,12+$F10),$D10),SUM('融资租赁与资金缺口'!$D$5:$D$16)*$Y10*'核心假设'!$B$32,0),0),IF(AND(BM$4&gt;EDATE('核心假设'!$B$5,13+$F10),BM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M$4=EDATE(EDATE('核心假设'!$B$5,13+$F10),$D10),SUM('融资租赁与资金缺口'!$D$5:$D$16)*$Z10*'核心假设'!$B$32,0),0),IF(AND(BM$4&gt;EDATE('核心假设'!$B$5,14+$F10),BM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M$4=EDATE(EDATE('核心假设'!$B$5,14+$F10),$D10),SUM('融资租赁与资金缺口'!$D$5:$D$16)*$AA10*'核心假设'!$B$32,0),0),IF(AND(BM$4&gt;EDATE('核心假设'!$B$5,15+$F10),BM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M$4=EDATE(EDATE('核心假设'!$B$5,15+$F10),$D10),SUM('融资租赁与资金缺口'!$D$5:$D$16)*$AB10*'核心假设'!$B$32,0),0),IF(AND(BM$4&gt;EDATE('核心假设'!$B$5,16+$F10),BM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M$4=EDATE(EDATE('核心假设'!$B$5,16+$F10),$D10),SUM('融资租赁与资金缺口'!$D$5:$D$16)*$AC10*'核心假设'!$B$32,0),0),IF(AND(BM$4&gt;EDATE('核心假设'!$B$5,17+$F10),BM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M$4=EDATE(EDATE('核心假设'!$B$5,17+$F10),$D10),SUM('融资租赁与资金缺口'!$D$5:$D$16)*$AD10*'核心假设'!$B$32,0),0))</x:f>
        <x:v>13894577.61390545</x:v>
      </x:c>
      <x:c r="BN37" s="28" t="n">
        <x:f>SUM(IF(AND(BN$4&gt;EDATE('核心假设'!$B$5,0+$F10),BN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N$4=EDATE(EDATE('核心假设'!$B$5,0+$F10),$D10),SUM('融资租赁与资金缺口'!$D$5:$D$16)*$M10*'核心假设'!$B$32,0),0),IF(AND(BN$4&gt;EDATE('核心假设'!$B$5,1+$F10),BN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N$4=EDATE(EDATE('核心假设'!$B$5,1+$F10),$D10),SUM('融资租赁与资金缺口'!$D$5:$D$16)*$N10*'核心假设'!$B$32,0),0),IF(AND(BN$4&gt;EDATE('核心假设'!$B$5,2+$F10),BN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N$4=EDATE(EDATE('核心假设'!$B$5,2+$F10),$D10),SUM('融资租赁与资金缺口'!$D$5:$D$16)*$O10*'核心假设'!$B$32,0),0),IF(AND(BN$4&gt;EDATE('核心假设'!$B$5,3+$F10),BN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N$4=EDATE(EDATE('核心假设'!$B$5,3+$F10),$D10),SUM('融资租赁与资金缺口'!$D$5:$D$16)*$P10*'核心假设'!$B$32,0),0),IF(AND(BN$4&gt;EDATE('核心假设'!$B$5,4+$F10),BN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N$4=EDATE(EDATE('核心假设'!$B$5,4+$F10),$D10),SUM('融资租赁与资金缺口'!$D$5:$D$16)*$Q10*'核心假设'!$B$32,0),0),IF(AND(BN$4&gt;EDATE('核心假设'!$B$5,5+$F10),BN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N$4=EDATE(EDATE('核心假设'!$B$5,5+$F10),$D10),SUM('融资租赁与资金缺口'!$D$5:$D$16)*$R10*'核心假设'!$B$32,0),0),IF(AND(BN$4&gt;EDATE('核心假设'!$B$5,6+$F10),BN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N$4=EDATE(EDATE('核心假设'!$B$5,6+$F10),$D10),SUM('融资租赁与资金缺口'!$D$5:$D$16)*$S10*'核心假设'!$B$32,0),0),IF(AND(BN$4&gt;EDATE('核心假设'!$B$5,7+$F10),BN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N$4=EDATE(EDATE('核心假设'!$B$5,7+$F10),$D10),SUM('融资租赁与资金缺口'!$D$5:$D$16)*$T10*'核心假设'!$B$32,0),0),IF(AND(BN$4&gt;EDATE('核心假设'!$B$5,8+$F10),BN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N$4=EDATE(EDATE('核心假设'!$B$5,8+$F10),$D10),SUM('融资租赁与资金缺口'!$D$5:$D$16)*$U10*'核心假设'!$B$32,0),0),IF(AND(BN$4&gt;EDATE('核心假设'!$B$5,9+$F10),BN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N$4=EDATE(EDATE('核心假设'!$B$5,9+$F10),$D10),SUM('融资租赁与资金缺口'!$D$5:$D$16)*$V10*'核心假设'!$B$32,0),0),IF(AND(BN$4&gt;EDATE('核心假设'!$B$5,10+$F10),BN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N$4=EDATE(EDATE('核心假设'!$B$5,10+$F10),$D10),SUM('融资租赁与资金缺口'!$D$5:$D$16)*$W10*'核心假设'!$B$32,0),0),IF(AND(BN$4&gt;EDATE('核心假设'!$B$5,11+$F10),BN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N$4=EDATE(EDATE('核心假设'!$B$5,11+$F10),$D10),SUM('融资租赁与资金缺口'!$D$5:$D$16)*$X10*'核心假设'!$B$32,0),0),IF(AND(BN$4&gt;EDATE('核心假设'!$B$5,12+$F10),BN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N$4=EDATE(EDATE('核心假设'!$B$5,12+$F10),$D10),SUM('融资租赁与资金缺口'!$D$5:$D$16)*$Y10*'核心假设'!$B$32,0),0),IF(AND(BN$4&gt;EDATE('核心假设'!$B$5,13+$F10),BN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N$4=EDATE(EDATE('核心假设'!$B$5,13+$F10),$D10),SUM('融资租赁与资金缺口'!$D$5:$D$16)*$Z10*'核心假设'!$B$32,0),0),IF(AND(BN$4&gt;EDATE('核心假设'!$B$5,14+$F10),BN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N$4=EDATE(EDATE('核心假设'!$B$5,14+$F10),$D10),SUM('融资租赁与资金缺口'!$D$5:$D$16)*$AA10*'核心假设'!$B$32,0),0),IF(AND(BN$4&gt;EDATE('核心假设'!$B$5,15+$F10),BN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N$4=EDATE(EDATE('核心假设'!$B$5,15+$F10),$D10),SUM('融资租赁与资金缺口'!$D$5:$D$16)*$AB10*'核心假设'!$B$32,0),0),IF(AND(BN$4&gt;EDATE('核心假设'!$B$5,16+$F10),BN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N$4=EDATE(EDATE('核心假设'!$B$5,16+$F10),$D10),SUM('融资租赁与资金缺口'!$D$5:$D$16)*$AC10*'核心假设'!$B$32,0),0),IF(AND(BN$4&gt;EDATE('核心假设'!$B$5,17+$F10),BN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N$4=EDATE(EDATE('核心假设'!$B$5,17+$F10),$D10),SUM('融资租赁与资金缺口'!$D$5:$D$16)*$AD10*'核心假设'!$B$32,0),0))</x:f>
        <x:v>13894577.61390545</x:v>
      </x:c>
      <x:c r="BO37" s="28" t="n">
        <x:f>SUM(IF(AND(BO$4&gt;EDATE('核心假设'!$B$5,0+$F10),BO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O$4=EDATE(EDATE('核心假设'!$B$5,0+$F10),$D10),SUM('融资租赁与资金缺口'!$D$5:$D$16)*$M10*'核心假设'!$B$32,0),0),IF(AND(BO$4&gt;EDATE('核心假设'!$B$5,1+$F10),BO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O$4=EDATE(EDATE('核心假设'!$B$5,1+$F10),$D10),SUM('融资租赁与资金缺口'!$D$5:$D$16)*$N10*'核心假设'!$B$32,0),0),IF(AND(BO$4&gt;EDATE('核心假设'!$B$5,2+$F10),BO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O$4=EDATE(EDATE('核心假设'!$B$5,2+$F10),$D10),SUM('融资租赁与资金缺口'!$D$5:$D$16)*$O10*'核心假设'!$B$32,0),0),IF(AND(BO$4&gt;EDATE('核心假设'!$B$5,3+$F10),BO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O$4=EDATE(EDATE('核心假设'!$B$5,3+$F10),$D10),SUM('融资租赁与资金缺口'!$D$5:$D$16)*$P10*'核心假设'!$B$32,0),0),IF(AND(BO$4&gt;EDATE('核心假设'!$B$5,4+$F10),BO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O$4=EDATE(EDATE('核心假设'!$B$5,4+$F10),$D10),SUM('融资租赁与资金缺口'!$D$5:$D$16)*$Q10*'核心假设'!$B$32,0),0),IF(AND(BO$4&gt;EDATE('核心假设'!$B$5,5+$F10),BO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O$4=EDATE(EDATE('核心假设'!$B$5,5+$F10),$D10),SUM('融资租赁与资金缺口'!$D$5:$D$16)*$R10*'核心假设'!$B$32,0),0),IF(AND(BO$4&gt;EDATE('核心假设'!$B$5,6+$F10),BO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O$4=EDATE(EDATE('核心假设'!$B$5,6+$F10),$D10),SUM('融资租赁与资金缺口'!$D$5:$D$16)*$S10*'核心假设'!$B$32,0),0),IF(AND(BO$4&gt;EDATE('核心假设'!$B$5,7+$F10),BO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O$4=EDATE(EDATE('核心假设'!$B$5,7+$F10),$D10),SUM('融资租赁与资金缺口'!$D$5:$D$16)*$T10*'核心假设'!$B$32,0),0),IF(AND(BO$4&gt;EDATE('核心假设'!$B$5,8+$F10),BO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O$4=EDATE(EDATE('核心假设'!$B$5,8+$F10),$D10),SUM('融资租赁与资金缺口'!$D$5:$D$16)*$U10*'核心假设'!$B$32,0),0),IF(AND(BO$4&gt;EDATE('核心假设'!$B$5,9+$F10),BO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O$4=EDATE(EDATE('核心假设'!$B$5,9+$F10),$D10),SUM('融资租赁与资金缺口'!$D$5:$D$16)*$V10*'核心假设'!$B$32,0),0),IF(AND(BO$4&gt;EDATE('核心假设'!$B$5,10+$F10),BO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O$4=EDATE(EDATE('核心假设'!$B$5,10+$F10),$D10),SUM('融资租赁与资金缺口'!$D$5:$D$16)*$W10*'核心假设'!$B$32,0),0),IF(AND(BO$4&gt;EDATE('核心假设'!$B$5,11+$F10),BO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O$4=EDATE(EDATE('核心假设'!$B$5,11+$F10),$D10),SUM('融资租赁与资金缺口'!$D$5:$D$16)*$X10*'核心假设'!$B$32,0),0),IF(AND(BO$4&gt;EDATE('核心假设'!$B$5,12+$F10),BO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O$4=EDATE(EDATE('核心假设'!$B$5,12+$F10),$D10),SUM('融资租赁与资金缺口'!$D$5:$D$16)*$Y10*'核心假设'!$B$32,0),0),IF(AND(BO$4&gt;EDATE('核心假设'!$B$5,13+$F10),BO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O$4=EDATE(EDATE('核心假设'!$B$5,13+$F10),$D10),SUM('融资租赁与资金缺口'!$D$5:$D$16)*$Z10*'核心假设'!$B$32,0),0),IF(AND(BO$4&gt;EDATE('核心假设'!$B$5,14+$F10),BO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O$4=EDATE(EDATE('核心假设'!$B$5,14+$F10),$D10),SUM('融资租赁与资金缺口'!$D$5:$D$16)*$AA10*'核心假设'!$B$32,0),0),IF(AND(BO$4&gt;EDATE('核心假设'!$B$5,15+$F10),BO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O$4=EDATE(EDATE('核心假设'!$B$5,15+$F10),$D10),SUM('融资租赁与资金缺口'!$D$5:$D$16)*$AB10*'核心假设'!$B$32,0),0),IF(AND(BO$4&gt;EDATE('核心假设'!$B$5,16+$F10),BO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O$4=EDATE(EDATE('核心假设'!$B$5,16+$F10),$D10),SUM('融资租赁与资金缺口'!$D$5:$D$16)*$AC10*'核心假设'!$B$32,0),0),IF(AND(BO$4&gt;EDATE('核心假设'!$B$5,17+$F10),BO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O$4=EDATE(EDATE('核心假设'!$B$5,17+$F10),$D10),SUM('融资租赁与资金缺口'!$D$5:$D$16)*$AD10*'核心假设'!$B$32,0),0))</x:f>
        <x:v>13894577.61390545</x:v>
      </x:c>
      <x:c r="BP37" s="28" t="n">
        <x:f>SUM(IF(AND(BP$4&gt;EDATE('核心假设'!$B$5,0+$F10),BP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P$4=EDATE(EDATE('核心假设'!$B$5,0+$F10),$D10),SUM('融资租赁与资金缺口'!$D$5:$D$16)*$M10*'核心假设'!$B$32,0),0),IF(AND(BP$4&gt;EDATE('核心假设'!$B$5,1+$F10),BP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P$4=EDATE(EDATE('核心假设'!$B$5,1+$F10),$D10),SUM('融资租赁与资金缺口'!$D$5:$D$16)*$N10*'核心假设'!$B$32,0),0),IF(AND(BP$4&gt;EDATE('核心假设'!$B$5,2+$F10),BP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P$4=EDATE(EDATE('核心假设'!$B$5,2+$F10),$D10),SUM('融资租赁与资金缺口'!$D$5:$D$16)*$O10*'核心假设'!$B$32,0),0),IF(AND(BP$4&gt;EDATE('核心假设'!$B$5,3+$F10),BP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P$4=EDATE(EDATE('核心假设'!$B$5,3+$F10),$D10),SUM('融资租赁与资金缺口'!$D$5:$D$16)*$P10*'核心假设'!$B$32,0),0),IF(AND(BP$4&gt;EDATE('核心假设'!$B$5,4+$F10),BP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P$4=EDATE(EDATE('核心假设'!$B$5,4+$F10),$D10),SUM('融资租赁与资金缺口'!$D$5:$D$16)*$Q10*'核心假设'!$B$32,0),0),IF(AND(BP$4&gt;EDATE('核心假设'!$B$5,5+$F10),BP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P$4=EDATE(EDATE('核心假设'!$B$5,5+$F10),$D10),SUM('融资租赁与资金缺口'!$D$5:$D$16)*$R10*'核心假设'!$B$32,0),0),IF(AND(BP$4&gt;EDATE('核心假设'!$B$5,6+$F10),BP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P$4=EDATE(EDATE('核心假设'!$B$5,6+$F10),$D10),SUM('融资租赁与资金缺口'!$D$5:$D$16)*$S10*'核心假设'!$B$32,0),0),IF(AND(BP$4&gt;EDATE('核心假设'!$B$5,7+$F10),BP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P$4=EDATE(EDATE('核心假设'!$B$5,7+$F10),$D10),SUM('融资租赁与资金缺口'!$D$5:$D$16)*$T10*'核心假设'!$B$32,0),0),IF(AND(BP$4&gt;EDATE('核心假设'!$B$5,8+$F10),BP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P$4=EDATE(EDATE('核心假设'!$B$5,8+$F10),$D10),SUM('融资租赁与资金缺口'!$D$5:$D$16)*$U10*'核心假设'!$B$32,0),0),IF(AND(BP$4&gt;EDATE('核心假设'!$B$5,9+$F10),BP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P$4=EDATE(EDATE('核心假设'!$B$5,9+$F10),$D10),SUM('融资租赁与资金缺口'!$D$5:$D$16)*$V10*'核心假设'!$B$32,0),0),IF(AND(BP$4&gt;EDATE('核心假设'!$B$5,10+$F10),BP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P$4=EDATE(EDATE('核心假设'!$B$5,10+$F10),$D10),SUM('融资租赁与资金缺口'!$D$5:$D$16)*$W10*'核心假设'!$B$32,0),0),IF(AND(BP$4&gt;EDATE('核心假设'!$B$5,11+$F10),BP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P$4=EDATE(EDATE('核心假设'!$B$5,11+$F10),$D10),SUM('融资租赁与资金缺口'!$D$5:$D$16)*$X10*'核心假设'!$B$32,0),0),IF(AND(BP$4&gt;EDATE('核心假设'!$B$5,12+$F10),BP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P$4=EDATE(EDATE('核心假设'!$B$5,12+$F10),$D10),SUM('融资租赁与资金缺口'!$D$5:$D$16)*$Y10*'核心假设'!$B$32,0),0),IF(AND(BP$4&gt;EDATE('核心假设'!$B$5,13+$F10),BP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P$4=EDATE(EDATE('核心假设'!$B$5,13+$F10),$D10),SUM('融资租赁与资金缺口'!$D$5:$D$16)*$Z10*'核心假设'!$B$32,0),0),IF(AND(BP$4&gt;EDATE('核心假设'!$B$5,14+$F10),BP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P$4=EDATE(EDATE('核心假设'!$B$5,14+$F10),$D10),SUM('融资租赁与资金缺口'!$D$5:$D$16)*$AA10*'核心假设'!$B$32,0),0),IF(AND(BP$4&gt;EDATE('核心假设'!$B$5,15+$F10),BP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P$4=EDATE(EDATE('核心假设'!$B$5,15+$F10),$D10),SUM('融资租赁与资金缺口'!$D$5:$D$16)*$AB10*'核心假设'!$B$32,0),0),IF(AND(BP$4&gt;EDATE('核心假设'!$B$5,16+$F10),BP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P$4=EDATE(EDATE('核心假设'!$B$5,16+$F10),$D10),SUM('融资租赁与资金缺口'!$D$5:$D$16)*$AC10*'核心假设'!$B$32,0),0),IF(AND(BP$4&gt;EDATE('核心假设'!$B$5,17+$F10),BP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P$4=EDATE(EDATE('核心假设'!$B$5,17+$F10),$D10),SUM('融资租赁与资金缺口'!$D$5:$D$16)*$AD10*'核心假设'!$B$32,0),0))</x:f>
        <x:v>13894577.61390545</x:v>
      </x:c>
      <x:c r="BQ37" s="28" t="n">
        <x:f>SUM(IF(AND(BQ$4&gt;EDATE('核心假设'!$B$5,0+$F10),BQ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Q$4=EDATE(EDATE('核心假设'!$B$5,0+$F10),$D10),SUM('融资租赁与资金缺口'!$D$5:$D$16)*$M10*'核心假设'!$B$32,0),0),IF(AND(BQ$4&gt;EDATE('核心假设'!$B$5,1+$F10),BQ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Q$4=EDATE(EDATE('核心假设'!$B$5,1+$F10),$D10),SUM('融资租赁与资金缺口'!$D$5:$D$16)*$N10*'核心假设'!$B$32,0),0),IF(AND(BQ$4&gt;EDATE('核心假设'!$B$5,2+$F10),BQ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Q$4=EDATE(EDATE('核心假设'!$B$5,2+$F10),$D10),SUM('融资租赁与资金缺口'!$D$5:$D$16)*$O10*'核心假设'!$B$32,0),0),IF(AND(BQ$4&gt;EDATE('核心假设'!$B$5,3+$F10),BQ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Q$4=EDATE(EDATE('核心假设'!$B$5,3+$F10),$D10),SUM('融资租赁与资金缺口'!$D$5:$D$16)*$P10*'核心假设'!$B$32,0),0),IF(AND(BQ$4&gt;EDATE('核心假设'!$B$5,4+$F10),BQ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Q$4=EDATE(EDATE('核心假设'!$B$5,4+$F10),$D10),SUM('融资租赁与资金缺口'!$D$5:$D$16)*$Q10*'核心假设'!$B$32,0),0),IF(AND(BQ$4&gt;EDATE('核心假设'!$B$5,5+$F10),BQ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Q$4=EDATE(EDATE('核心假设'!$B$5,5+$F10),$D10),SUM('融资租赁与资金缺口'!$D$5:$D$16)*$R10*'核心假设'!$B$32,0),0),IF(AND(BQ$4&gt;EDATE('核心假设'!$B$5,6+$F10),BQ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Q$4=EDATE(EDATE('核心假设'!$B$5,6+$F10),$D10),SUM('融资租赁与资金缺口'!$D$5:$D$16)*$S10*'核心假设'!$B$32,0),0),IF(AND(BQ$4&gt;EDATE('核心假设'!$B$5,7+$F10),BQ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Q$4=EDATE(EDATE('核心假设'!$B$5,7+$F10),$D10),SUM('融资租赁与资金缺口'!$D$5:$D$16)*$T10*'核心假设'!$B$32,0),0),IF(AND(BQ$4&gt;EDATE('核心假设'!$B$5,8+$F10),BQ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Q$4=EDATE(EDATE('核心假设'!$B$5,8+$F10),$D10),SUM('融资租赁与资金缺口'!$D$5:$D$16)*$U10*'核心假设'!$B$32,0),0),IF(AND(BQ$4&gt;EDATE('核心假设'!$B$5,9+$F10),BQ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Q$4=EDATE(EDATE('核心假设'!$B$5,9+$F10),$D10),SUM('融资租赁与资金缺口'!$D$5:$D$16)*$V10*'核心假设'!$B$32,0),0),IF(AND(BQ$4&gt;EDATE('核心假设'!$B$5,10+$F10),BQ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Q$4=EDATE(EDATE('核心假设'!$B$5,10+$F10),$D10),SUM('融资租赁与资金缺口'!$D$5:$D$16)*$W10*'核心假设'!$B$32,0),0),IF(AND(BQ$4&gt;EDATE('核心假设'!$B$5,11+$F10),BQ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Q$4=EDATE(EDATE('核心假设'!$B$5,11+$F10),$D10),SUM('融资租赁与资金缺口'!$D$5:$D$16)*$X10*'核心假设'!$B$32,0),0),IF(AND(BQ$4&gt;EDATE('核心假设'!$B$5,12+$F10),BQ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Q$4=EDATE(EDATE('核心假设'!$B$5,12+$F10),$D10),SUM('融资租赁与资金缺口'!$D$5:$D$16)*$Y10*'核心假设'!$B$32,0),0),IF(AND(BQ$4&gt;EDATE('核心假设'!$B$5,13+$F10),BQ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Q$4=EDATE(EDATE('核心假设'!$B$5,13+$F10),$D10),SUM('融资租赁与资金缺口'!$D$5:$D$16)*$Z10*'核心假设'!$B$32,0),0),IF(AND(BQ$4&gt;EDATE('核心假设'!$B$5,14+$F10),BQ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Q$4=EDATE(EDATE('核心假设'!$B$5,14+$F10),$D10),SUM('融资租赁与资金缺口'!$D$5:$D$16)*$AA10*'核心假设'!$B$32,0),0),IF(AND(BQ$4&gt;EDATE('核心假设'!$B$5,15+$F10),BQ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Q$4=EDATE(EDATE('核心假设'!$B$5,15+$F10),$D10),SUM('融资租赁与资金缺口'!$D$5:$D$16)*$AB10*'核心假设'!$B$32,0),0),IF(AND(BQ$4&gt;EDATE('核心假设'!$B$5,16+$F10),BQ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Q$4=EDATE(EDATE('核心假设'!$B$5,16+$F10),$D10),SUM('融资租赁与资金缺口'!$D$5:$D$16)*$AC10*'核心假设'!$B$32,0),0),IF(AND(BQ$4&gt;EDATE('核心假设'!$B$5,17+$F10),BQ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Q$4=EDATE(EDATE('核心假设'!$B$5,17+$F10),$D10),SUM('融资租赁与资金缺口'!$D$5:$D$16)*$AD10*'核心假设'!$B$32,0),0))</x:f>
        <x:v>13894577.61390545</x:v>
      </x:c>
      <x:c r="BR37" s="28" t="n">
        <x:f>SUM(IF(AND(BR$4&gt;EDATE('核心假设'!$B$5,0+$F10),BR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R$4=EDATE(EDATE('核心假设'!$B$5,0+$F10),$D10),SUM('融资租赁与资金缺口'!$D$5:$D$16)*$M10*'核心假设'!$B$32,0),0),IF(AND(BR$4&gt;EDATE('核心假设'!$B$5,1+$F10),BR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R$4=EDATE(EDATE('核心假设'!$B$5,1+$F10),$D10),SUM('融资租赁与资金缺口'!$D$5:$D$16)*$N10*'核心假设'!$B$32,0),0),IF(AND(BR$4&gt;EDATE('核心假设'!$B$5,2+$F10),BR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R$4=EDATE(EDATE('核心假设'!$B$5,2+$F10),$D10),SUM('融资租赁与资金缺口'!$D$5:$D$16)*$O10*'核心假设'!$B$32,0),0),IF(AND(BR$4&gt;EDATE('核心假设'!$B$5,3+$F10),BR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R$4=EDATE(EDATE('核心假设'!$B$5,3+$F10),$D10),SUM('融资租赁与资金缺口'!$D$5:$D$16)*$P10*'核心假设'!$B$32,0),0),IF(AND(BR$4&gt;EDATE('核心假设'!$B$5,4+$F10),BR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R$4=EDATE(EDATE('核心假设'!$B$5,4+$F10),$D10),SUM('融资租赁与资金缺口'!$D$5:$D$16)*$Q10*'核心假设'!$B$32,0),0),IF(AND(BR$4&gt;EDATE('核心假设'!$B$5,5+$F10),BR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R$4=EDATE(EDATE('核心假设'!$B$5,5+$F10),$D10),SUM('融资租赁与资金缺口'!$D$5:$D$16)*$R10*'核心假设'!$B$32,0),0),IF(AND(BR$4&gt;EDATE('核心假设'!$B$5,6+$F10),BR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R$4=EDATE(EDATE('核心假设'!$B$5,6+$F10),$D10),SUM('融资租赁与资金缺口'!$D$5:$D$16)*$S10*'核心假设'!$B$32,0),0),IF(AND(BR$4&gt;EDATE('核心假设'!$B$5,7+$F10),BR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R$4=EDATE(EDATE('核心假设'!$B$5,7+$F10),$D10),SUM('融资租赁与资金缺口'!$D$5:$D$16)*$T10*'核心假设'!$B$32,0),0),IF(AND(BR$4&gt;EDATE('核心假设'!$B$5,8+$F10),BR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R$4=EDATE(EDATE('核心假设'!$B$5,8+$F10),$D10),SUM('融资租赁与资金缺口'!$D$5:$D$16)*$U10*'核心假设'!$B$32,0),0),IF(AND(BR$4&gt;EDATE('核心假设'!$B$5,9+$F10),BR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R$4=EDATE(EDATE('核心假设'!$B$5,9+$F10),$D10),SUM('融资租赁与资金缺口'!$D$5:$D$16)*$V10*'核心假设'!$B$32,0),0),IF(AND(BR$4&gt;EDATE('核心假设'!$B$5,10+$F10),BR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R$4=EDATE(EDATE('核心假设'!$B$5,10+$F10),$D10),SUM('融资租赁与资金缺口'!$D$5:$D$16)*$W10*'核心假设'!$B$32,0),0),IF(AND(BR$4&gt;EDATE('核心假设'!$B$5,11+$F10),BR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R$4=EDATE(EDATE('核心假设'!$B$5,11+$F10),$D10),SUM('融资租赁与资金缺口'!$D$5:$D$16)*$X10*'核心假设'!$B$32,0),0),IF(AND(BR$4&gt;EDATE('核心假设'!$B$5,12+$F10),BR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R$4=EDATE(EDATE('核心假设'!$B$5,12+$F10),$D10),SUM('融资租赁与资金缺口'!$D$5:$D$16)*$Y10*'核心假设'!$B$32,0),0),IF(AND(BR$4&gt;EDATE('核心假设'!$B$5,13+$F10),BR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R$4=EDATE(EDATE('核心假设'!$B$5,13+$F10),$D10),SUM('融资租赁与资金缺口'!$D$5:$D$16)*$Z10*'核心假设'!$B$32,0),0),IF(AND(BR$4&gt;EDATE('核心假设'!$B$5,14+$F10),BR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R$4=EDATE(EDATE('核心假设'!$B$5,14+$F10),$D10),SUM('融资租赁与资金缺口'!$D$5:$D$16)*$AA10*'核心假设'!$B$32,0),0),IF(AND(BR$4&gt;EDATE('核心假设'!$B$5,15+$F10),BR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R$4=EDATE(EDATE('核心假设'!$B$5,15+$F10),$D10),SUM('融资租赁与资金缺口'!$D$5:$D$16)*$AB10*'核心假设'!$B$32,0),0),IF(AND(BR$4&gt;EDATE('核心假设'!$B$5,16+$F10),BR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R$4=EDATE(EDATE('核心假设'!$B$5,16+$F10),$D10),SUM('融资租赁与资金缺口'!$D$5:$D$16)*$AC10*'核心假设'!$B$32,0),0),IF(AND(BR$4&gt;EDATE('核心假设'!$B$5,17+$F10),BR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R$4=EDATE(EDATE('核心假设'!$B$5,17+$F10),$D10),SUM('融资租赁与资金缺口'!$D$5:$D$16)*$AD10*'核心假设'!$B$32,0),0))</x:f>
        <x:v>14057567.61390545</x:v>
      </x:c>
      <x:c r="BS37" s="28" t="n">
        <x:f>SUM(IF(AND(BS$4&gt;EDATE('核心假设'!$B$5,0+$F10),BS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S$4=EDATE(EDATE('核心假设'!$B$5,0+$F10),$D10),SUM('融资租赁与资金缺口'!$D$5:$D$16)*$M10*'核心假设'!$B$32,0),0),IF(AND(BS$4&gt;EDATE('核心假设'!$B$5,1+$F10),BS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S$4=EDATE(EDATE('核心假设'!$B$5,1+$F10),$D10),SUM('融资租赁与资金缺口'!$D$5:$D$16)*$N10*'核心假设'!$B$32,0),0),IF(AND(BS$4&gt;EDATE('核心假设'!$B$5,2+$F10),BS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S$4=EDATE(EDATE('核心假设'!$B$5,2+$F10),$D10),SUM('融资租赁与资金缺口'!$D$5:$D$16)*$O10*'核心假设'!$B$32,0),0),IF(AND(BS$4&gt;EDATE('核心假设'!$B$5,3+$F10),BS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S$4=EDATE(EDATE('核心假设'!$B$5,3+$F10),$D10),SUM('融资租赁与资金缺口'!$D$5:$D$16)*$P10*'核心假设'!$B$32,0),0),IF(AND(BS$4&gt;EDATE('核心假设'!$B$5,4+$F10),BS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S$4=EDATE(EDATE('核心假设'!$B$5,4+$F10),$D10),SUM('融资租赁与资金缺口'!$D$5:$D$16)*$Q10*'核心假设'!$B$32,0),0),IF(AND(BS$4&gt;EDATE('核心假设'!$B$5,5+$F10),BS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S$4=EDATE(EDATE('核心假设'!$B$5,5+$F10),$D10),SUM('融资租赁与资金缺口'!$D$5:$D$16)*$R10*'核心假设'!$B$32,0),0),IF(AND(BS$4&gt;EDATE('核心假设'!$B$5,6+$F10),BS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S$4=EDATE(EDATE('核心假设'!$B$5,6+$F10),$D10),SUM('融资租赁与资金缺口'!$D$5:$D$16)*$S10*'核心假设'!$B$32,0),0),IF(AND(BS$4&gt;EDATE('核心假设'!$B$5,7+$F10),BS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S$4=EDATE(EDATE('核心假设'!$B$5,7+$F10),$D10),SUM('融资租赁与资金缺口'!$D$5:$D$16)*$T10*'核心假设'!$B$32,0),0),IF(AND(BS$4&gt;EDATE('核心假设'!$B$5,8+$F10),BS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S$4=EDATE(EDATE('核心假设'!$B$5,8+$F10),$D10),SUM('融资租赁与资金缺口'!$D$5:$D$16)*$U10*'核心假设'!$B$32,0),0),IF(AND(BS$4&gt;EDATE('核心假设'!$B$5,9+$F10),BS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S$4=EDATE(EDATE('核心假设'!$B$5,9+$F10),$D10),SUM('融资租赁与资金缺口'!$D$5:$D$16)*$V10*'核心假设'!$B$32,0),0),IF(AND(BS$4&gt;EDATE('核心假设'!$B$5,10+$F10),BS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S$4=EDATE(EDATE('核心假设'!$B$5,10+$F10),$D10),SUM('融资租赁与资金缺口'!$D$5:$D$16)*$W10*'核心假设'!$B$32,0),0),IF(AND(BS$4&gt;EDATE('核心假设'!$B$5,11+$F10),BS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S$4=EDATE(EDATE('核心假设'!$B$5,11+$F10),$D10),SUM('融资租赁与资金缺口'!$D$5:$D$16)*$X10*'核心假设'!$B$32,0),0),IF(AND(BS$4&gt;EDATE('核心假设'!$B$5,12+$F10),BS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S$4=EDATE(EDATE('核心假设'!$B$5,12+$F10),$D10),SUM('融资租赁与资金缺口'!$D$5:$D$16)*$Y10*'核心假设'!$B$32,0),0),IF(AND(BS$4&gt;EDATE('核心假设'!$B$5,13+$F10),BS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S$4=EDATE(EDATE('核心假设'!$B$5,13+$F10),$D10),SUM('融资租赁与资金缺口'!$D$5:$D$16)*$Z10*'核心假设'!$B$32,0),0),IF(AND(BS$4&gt;EDATE('核心假设'!$B$5,14+$F10),BS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S$4=EDATE(EDATE('核心假设'!$B$5,14+$F10),$D10),SUM('融资租赁与资金缺口'!$D$5:$D$16)*$AA10*'核心假设'!$B$32,0),0),IF(AND(BS$4&gt;EDATE('核心假设'!$B$5,15+$F10),BS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S$4=EDATE(EDATE('核心假设'!$B$5,15+$F10),$D10),SUM('融资租赁与资金缺口'!$D$5:$D$16)*$AB10*'核心假设'!$B$32,0),0),IF(AND(BS$4&gt;EDATE('核心假设'!$B$5,16+$F10),BS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S$4=EDATE(EDATE('核心假设'!$B$5,16+$F10),$D10),SUM('融资租赁与资金缺口'!$D$5:$D$16)*$AC10*'核心假设'!$B$32,0),0),IF(AND(BS$4&gt;EDATE('核心假设'!$B$5,17+$F10),BS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S$4=EDATE(EDATE('核心假设'!$B$5,17+$F10),$D10),SUM('融资租赁与资金缺口'!$D$5:$D$16)*$AD10*'核心假设'!$B$32,0),0))</x:f>
        <x:v>13695060.285488287</x:v>
      </x:c>
      <x:c r="BT37" s="28" t="n">
        <x:f>SUM(IF(AND(BT$4&gt;EDATE('核心假设'!$B$5,0+$F10),BT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T$4=EDATE(EDATE('核心假设'!$B$5,0+$F10),$D10),SUM('融资租赁与资金缺口'!$D$5:$D$16)*$M10*'核心假设'!$B$32,0),0),IF(AND(BT$4&gt;EDATE('核心假设'!$B$5,1+$F10),BT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T$4=EDATE(EDATE('核心假设'!$B$5,1+$F10),$D10),SUM('融资租赁与资金缺口'!$D$5:$D$16)*$N10*'核心假设'!$B$32,0),0),IF(AND(BT$4&gt;EDATE('核心假设'!$B$5,2+$F10),BT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T$4=EDATE(EDATE('核心假设'!$B$5,2+$F10),$D10),SUM('融资租赁与资金缺口'!$D$5:$D$16)*$O10*'核心假设'!$B$32,0),0),IF(AND(BT$4&gt;EDATE('核心假设'!$B$5,3+$F10),BT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T$4=EDATE(EDATE('核心假设'!$B$5,3+$F10),$D10),SUM('融资租赁与资金缺口'!$D$5:$D$16)*$P10*'核心假设'!$B$32,0),0),IF(AND(BT$4&gt;EDATE('核心假设'!$B$5,4+$F10),BT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T$4=EDATE(EDATE('核心假设'!$B$5,4+$F10),$D10),SUM('融资租赁与资金缺口'!$D$5:$D$16)*$Q10*'核心假设'!$B$32,0),0),IF(AND(BT$4&gt;EDATE('核心假设'!$B$5,5+$F10),BT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T$4=EDATE(EDATE('核心假设'!$B$5,5+$F10),$D10),SUM('融资租赁与资金缺口'!$D$5:$D$16)*$R10*'核心假设'!$B$32,0),0),IF(AND(BT$4&gt;EDATE('核心假设'!$B$5,6+$F10),BT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T$4=EDATE(EDATE('核心假设'!$B$5,6+$F10),$D10),SUM('融资租赁与资金缺口'!$D$5:$D$16)*$S10*'核心假设'!$B$32,0),0),IF(AND(BT$4&gt;EDATE('核心假设'!$B$5,7+$F10),BT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T$4=EDATE(EDATE('核心假设'!$B$5,7+$F10),$D10),SUM('融资租赁与资金缺口'!$D$5:$D$16)*$T10*'核心假设'!$B$32,0),0),IF(AND(BT$4&gt;EDATE('核心假设'!$B$5,8+$F10),BT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T$4=EDATE(EDATE('核心假设'!$B$5,8+$F10),$D10),SUM('融资租赁与资金缺口'!$D$5:$D$16)*$U10*'核心假设'!$B$32,0),0),IF(AND(BT$4&gt;EDATE('核心假设'!$B$5,9+$F10),BT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T$4=EDATE(EDATE('核心假设'!$B$5,9+$F10),$D10),SUM('融资租赁与资金缺口'!$D$5:$D$16)*$V10*'核心假设'!$B$32,0),0),IF(AND(BT$4&gt;EDATE('核心假设'!$B$5,10+$F10),BT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T$4=EDATE(EDATE('核心假设'!$B$5,10+$F10),$D10),SUM('融资租赁与资金缺口'!$D$5:$D$16)*$W10*'核心假设'!$B$32,0),0),IF(AND(BT$4&gt;EDATE('核心假设'!$B$5,11+$F10),BT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T$4=EDATE(EDATE('核心假设'!$B$5,11+$F10),$D10),SUM('融资租赁与资金缺口'!$D$5:$D$16)*$X10*'核心假设'!$B$32,0),0),IF(AND(BT$4&gt;EDATE('核心假设'!$B$5,12+$F10),BT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T$4=EDATE(EDATE('核心假设'!$B$5,12+$F10),$D10),SUM('融资租赁与资金缺口'!$D$5:$D$16)*$Y10*'核心假设'!$B$32,0),0),IF(AND(BT$4&gt;EDATE('核心假设'!$B$5,13+$F10),BT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T$4=EDATE(EDATE('核心假设'!$B$5,13+$F10),$D10),SUM('融资租赁与资金缺口'!$D$5:$D$16)*$Z10*'核心假设'!$B$32,0),0),IF(AND(BT$4&gt;EDATE('核心假设'!$B$5,14+$F10),BT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T$4=EDATE(EDATE('核心假设'!$B$5,14+$F10),$D10),SUM('融资租赁与资金缺口'!$D$5:$D$16)*$AA10*'核心假设'!$B$32,0),0),IF(AND(BT$4&gt;EDATE('核心假设'!$B$5,15+$F10),BT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T$4=EDATE(EDATE('核心假设'!$B$5,15+$F10),$D10),SUM('融资租赁与资金缺口'!$D$5:$D$16)*$AB10*'核心假设'!$B$32,0),0),IF(AND(BT$4&gt;EDATE('核心假设'!$B$5,16+$F10),BT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T$4=EDATE(EDATE('核心假设'!$B$5,16+$F10),$D10),SUM('融资租赁与资金缺口'!$D$5:$D$16)*$AC10*'核心假设'!$B$32,0),0),IF(AND(BT$4&gt;EDATE('核心假设'!$B$5,17+$F10),BT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T$4=EDATE(EDATE('核心假设'!$B$5,17+$F10),$D10),SUM('融资租赁与资金缺口'!$D$5:$D$16)*$AD10*'核心假设'!$B$32,0),0))</x:f>
        <x:v>13139277.18093207</x:v>
      </x:c>
      <x:c r="BU37" s="28" t="n">
        <x:f>SUM(IF(AND(BU$4&gt;EDATE('核心假设'!$B$5,0+$F10),BU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U$4=EDATE(EDATE('核心假设'!$B$5,0+$F10),$D10),SUM('融资租赁与资金缺口'!$D$5:$D$16)*$M10*'核心假设'!$B$32,0),0),IF(AND(BU$4&gt;EDATE('核心假设'!$B$5,1+$F10),BU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U$4=EDATE(EDATE('核心假设'!$B$5,1+$F10),$D10),SUM('融资租赁与资金缺口'!$D$5:$D$16)*$N10*'核心假设'!$B$32,0),0),IF(AND(BU$4&gt;EDATE('核心假设'!$B$5,2+$F10),BU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U$4=EDATE(EDATE('核心假设'!$B$5,2+$F10),$D10),SUM('融资租赁与资金缺口'!$D$5:$D$16)*$O10*'核心假设'!$B$32,0),0),IF(AND(BU$4&gt;EDATE('核心假设'!$B$5,3+$F10),BU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U$4=EDATE(EDATE('核心假设'!$B$5,3+$F10),$D10),SUM('融资租赁与资金缺口'!$D$5:$D$16)*$P10*'核心假设'!$B$32,0),0),IF(AND(BU$4&gt;EDATE('核心假设'!$B$5,4+$F10),BU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U$4=EDATE(EDATE('核心假设'!$B$5,4+$F10),$D10),SUM('融资租赁与资金缺口'!$D$5:$D$16)*$Q10*'核心假设'!$B$32,0),0),IF(AND(BU$4&gt;EDATE('核心假设'!$B$5,5+$F10),BU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U$4=EDATE(EDATE('核心假设'!$B$5,5+$F10),$D10),SUM('融资租赁与资金缺口'!$D$5:$D$16)*$R10*'核心假设'!$B$32,0),0),IF(AND(BU$4&gt;EDATE('核心假设'!$B$5,6+$F10),BU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U$4=EDATE(EDATE('核心假设'!$B$5,6+$F10),$D10),SUM('融资租赁与资金缺口'!$D$5:$D$16)*$S10*'核心假设'!$B$32,0),0),IF(AND(BU$4&gt;EDATE('核心假设'!$B$5,7+$F10),BU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U$4=EDATE(EDATE('核心假设'!$B$5,7+$F10),$D10),SUM('融资租赁与资金缺口'!$D$5:$D$16)*$T10*'核心假设'!$B$32,0),0),IF(AND(BU$4&gt;EDATE('核心假设'!$B$5,8+$F10),BU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U$4=EDATE(EDATE('核心假设'!$B$5,8+$F10),$D10),SUM('融资租赁与资金缺口'!$D$5:$D$16)*$U10*'核心假设'!$B$32,0),0),IF(AND(BU$4&gt;EDATE('核心假设'!$B$5,9+$F10),BU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U$4=EDATE(EDATE('核心假设'!$B$5,9+$F10),$D10),SUM('融资租赁与资金缺口'!$D$5:$D$16)*$V10*'核心假设'!$B$32,0),0),IF(AND(BU$4&gt;EDATE('核心假设'!$B$5,10+$F10),BU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U$4=EDATE(EDATE('核心假设'!$B$5,10+$F10),$D10),SUM('融资租赁与资金缺口'!$D$5:$D$16)*$W10*'核心假设'!$B$32,0),0),IF(AND(BU$4&gt;EDATE('核心假设'!$B$5,11+$F10),BU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U$4=EDATE(EDATE('核心假设'!$B$5,11+$F10),$D10),SUM('融资租赁与资金缺口'!$D$5:$D$16)*$X10*'核心假设'!$B$32,0),0),IF(AND(BU$4&gt;EDATE('核心假设'!$B$5,12+$F10),BU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U$4=EDATE(EDATE('核心假设'!$B$5,12+$F10),$D10),SUM('融资租赁与资金缺口'!$D$5:$D$16)*$Y10*'核心假设'!$B$32,0),0),IF(AND(BU$4&gt;EDATE('核心假设'!$B$5,13+$F10),BU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U$4=EDATE(EDATE('核心假设'!$B$5,13+$F10),$D10),SUM('融资租赁与资金缺口'!$D$5:$D$16)*$Z10*'核心假设'!$B$32,0),0),IF(AND(BU$4&gt;EDATE('核心假设'!$B$5,14+$F10),BU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U$4=EDATE(EDATE('核心假设'!$B$5,14+$F10),$D10),SUM('融资租赁与资金缺口'!$D$5:$D$16)*$AA10*'核心假设'!$B$32,0),0),IF(AND(BU$4&gt;EDATE('核心假设'!$B$5,15+$F10),BU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U$4=EDATE(EDATE('核心假设'!$B$5,15+$F10),$D10),SUM('融资租赁与资金缺口'!$D$5:$D$16)*$AB10*'核心假设'!$B$32,0),0),IF(AND(BU$4&gt;EDATE('核心假设'!$B$5,16+$F10),BU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U$4=EDATE(EDATE('核心假设'!$B$5,16+$F10),$D10),SUM('融资租赁与资金缺口'!$D$5:$D$16)*$AC10*'核心假设'!$B$32,0),0),IF(AND(BU$4&gt;EDATE('核心假设'!$B$5,17+$F10),BU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U$4=EDATE(EDATE('核心假设'!$B$5,17+$F10),$D10),SUM('融资租赁与资金缺口'!$D$5:$D$16)*$AD10*'核心假设'!$B$32,0),0))</x:f>
        <x:v>12637824.076375851</x:v>
      </x:c>
      <x:c r="BV37" s="28" t="n">
        <x:f>SUM(IF(AND(BV$4&gt;EDATE('核心假设'!$B$5,0+$F10),BV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V$4=EDATE(EDATE('核心假设'!$B$5,0+$F10),$D10),SUM('融资租赁与资金缺口'!$D$5:$D$16)*$M10*'核心假设'!$B$32,0),0),IF(AND(BV$4&gt;EDATE('核心假设'!$B$5,1+$F10),BV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V$4=EDATE(EDATE('核心假设'!$B$5,1+$F10),$D10),SUM('融资租赁与资金缺口'!$D$5:$D$16)*$N10*'核心假设'!$B$32,0),0),IF(AND(BV$4&gt;EDATE('核心假设'!$B$5,2+$F10),BV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V$4=EDATE(EDATE('核心假设'!$B$5,2+$F10),$D10),SUM('融资租赁与资金缺口'!$D$5:$D$16)*$O10*'核心假设'!$B$32,0),0),IF(AND(BV$4&gt;EDATE('核心假设'!$B$5,3+$F10),BV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V$4=EDATE(EDATE('核心假设'!$B$5,3+$F10),$D10),SUM('融资租赁与资金缺口'!$D$5:$D$16)*$P10*'核心假设'!$B$32,0),0),IF(AND(BV$4&gt;EDATE('核心假设'!$B$5,4+$F10),BV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V$4=EDATE(EDATE('核心假设'!$B$5,4+$F10),$D10),SUM('融资租赁与资金缺口'!$D$5:$D$16)*$Q10*'核心假设'!$B$32,0),0),IF(AND(BV$4&gt;EDATE('核心假设'!$B$5,5+$F10),BV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V$4=EDATE(EDATE('核心假设'!$B$5,5+$F10),$D10),SUM('融资租赁与资金缺口'!$D$5:$D$16)*$R10*'核心假设'!$B$32,0),0),IF(AND(BV$4&gt;EDATE('核心假设'!$B$5,6+$F10),BV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V$4=EDATE(EDATE('核心假设'!$B$5,6+$F10),$D10),SUM('融资租赁与资金缺口'!$D$5:$D$16)*$S10*'核心假设'!$B$32,0),0),IF(AND(BV$4&gt;EDATE('核心假设'!$B$5,7+$F10),BV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V$4=EDATE(EDATE('核心假设'!$B$5,7+$F10),$D10),SUM('融资租赁与资金缺口'!$D$5:$D$16)*$T10*'核心假设'!$B$32,0),0),IF(AND(BV$4&gt;EDATE('核心假设'!$B$5,8+$F10),BV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V$4=EDATE(EDATE('核心假设'!$B$5,8+$F10),$D10),SUM('融资租赁与资金缺口'!$D$5:$D$16)*$U10*'核心假设'!$B$32,0),0),IF(AND(BV$4&gt;EDATE('核心假设'!$B$5,9+$F10),BV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V$4=EDATE(EDATE('核心假设'!$B$5,9+$F10),$D10),SUM('融资租赁与资金缺口'!$D$5:$D$16)*$V10*'核心假设'!$B$32,0),0),IF(AND(BV$4&gt;EDATE('核心假设'!$B$5,10+$F10),BV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V$4=EDATE(EDATE('核心假设'!$B$5,10+$F10),$D10),SUM('融资租赁与资金缺口'!$D$5:$D$16)*$W10*'核心假设'!$B$32,0),0),IF(AND(BV$4&gt;EDATE('核心假设'!$B$5,11+$F10),BV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V$4=EDATE(EDATE('核心假设'!$B$5,11+$F10),$D10),SUM('融资租赁与资金缺口'!$D$5:$D$16)*$X10*'核心假设'!$B$32,0),0),IF(AND(BV$4&gt;EDATE('核心假设'!$B$5,12+$F10),BV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V$4=EDATE(EDATE('核心假设'!$B$5,12+$F10),$D10),SUM('融资租赁与资金缺口'!$D$5:$D$16)*$Y10*'核心假设'!$B$32,0),0),IF(AND(BV$4&gt;EDATE('核心假设'!$B$5,13+$F10),BV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V$4=EDATE(EDATE('核心假设'!$B$5,13+$F10),$D10),SUM('融资租赁与资金缺口'!$D$5:$D$16)*$Z10*'核心假设'!$B$32,0),0),IF(AND(BV$4&gt;EDATE('核心假设'!$B$5,14+$F10),BV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V$4=EDATE(EDATE('核心假设'!$B$5,14+$F10),$D10),SUM('融资租赁与资金缺口'!$D$5:$D$16)*$AA10*'核心假设'!$B$32,0),0),IF(AND(BV$4&gt;EDATE('核心假设'!$B$5,15+$F10),BV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V$4=EDATE(EDATE('核心假设'!$B$5,15+$F10),$D10),SUM('融资租赁与资金缺口'!$D$5:$D$16)*$AB10*'核心假设'!$B$32,0),0),IF(AND(BV$4&gt;EDATE('核心假设'!$B$5,16+$F10),BV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V$4=EDATE(EDATE('核心假设'!$B$5,16+$F10),$D10),SUM('融资租赁与资金缺口'!$D$5:$D$16)*$AC10*'核心假设'!$B$32,0),0),IF(AND(BV$4&gt;EDATE('核心假设'!$B$5,17+$F10),BV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V$4=EDATE(EDATE('核心假设'!$B$5,17+$F10),$D10),SUM('融资租赁与资金缺口'!$D$5:$D$16)*$AD10*'核心假设'!$B$32,0),0))</x:f>
        <x:v>11943095.19568058</x:v>
      </x:c>
      <x:c r="BW37" s="28" t="n">
        <x:f>SUM(IF(AND(BW$4&gt;EDATE('核心假设'!$B$5,0+$F10),BW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W$4=EDATE(EDATE('核心假设'!$B$5,0+$F10),$D10),SUM('融资租赁与资金缺口'!$D$5:$D$16)*$M10*'核心假设'!$B$32,0),0),IF(AND(BW$4&gt;EDATE('核心假设'!$B$5,1+$F10),BW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W$4=EDATE(EDATE('核心假设'!$B$5,1+$F10),$D10),SUM('融资租赁与资金缺口'!$D$5:$D$16)*$N10*'核心假设'!$B$32,0),0),IF(AND(BW$4&gt;EDATE('核心假设'!$B$5,2+$F10),BW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W$4=EDATE(EDATE('核心假设'!$B$5,2+$F10),$D10),SUM('融资租赁与资金缺口'!$D$5:$D$16)*$O10*'核心假设'!$B$32,0),0),IF(AND(BW$4&gt;EDATE('核心假设'!$B$5,3+$F10),BW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W$4=EDATE(EDATE('核心假设'!$B$5,3+$F10),$D10),SUM('融资租赁与资金缺口'!$D$5:$D$16)*$P10*'核心假设'!$B$32,0),0),IF(AND(BW$4&gt;EDATE('核心假设'!$B$5,4+$F10),BW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W$4=EDATE(EDATE('核心假设'!$B$5,4+$F10),$D10),SUM('融资租赁与资金缺口'!$D$5:$D$16)*$Q10*'核心假设'!$B$32,0),0),IF(AND(BW$4&gt;EDATE('核心假设'!$B$5,5+$F10),BW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W$4=EDATE(EDATE('核心假设'!$B$5,5+$F10),$D10),SUM('融资租赁与资金缺口'!$D$5:$D$16)*$R10*'核心假设'!$B$32,0),0),IF(AND(BW$4&gt;EDATE('核心假设'!$B$5,6+$F10),BW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W$4=EDATE(EDATE('核心假设'!$B$5,6+$F10),$D10),SUM('融资租赁与资金缺口'!$D$5:$D$16)*$S10*'核心假设'!$B$32,0),0),IF(AND(BW$4&gt;EDATE('核心假设'!$B$5,7+$F10),BW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W$4=EDATE(EDATE('核心假设'!$B$5,7+$F10),$D10),SUM('融资租赁与资金缺口'!$D$5:$D$16)*$T10*'核心假设'!$B$32,0),0),IF(AND(BW$4&gt;EDATE('核心假设'!$B$5,8+$F10),BW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W$4=EDATE(EDATE('核心假设'!$B$5,8+$F10),$D10),SUM('融资租赁与资金缺口'!$D$5:$D$16)*$U10*'核心假设'!$B$32,0),0),IF(AND(BW$4&gt;EDATE('核心假设'!$B$5,9+$F10),BW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W$4=EDATE(EDATE('核心假设'!$B$5,9+$F10),$D10),SUM('融资租赁与资金缺口'!$D$5:$D$16)*$V10*'核心假设'!$B$32,0),0),IF(AND(BW$4&gt;EDATE('核心假设'!$B$5,10+$F10),BW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W$4=EDATE(EDATE('核心假设'!$B$5,10+$F10),$D10),SUM('融资租赁与资金缺口'!$D$5:$D$16)*$W10*'核心假设'!$B$32,0),0),IF(AND(BW$4&gt;EDATE('核心假设'!$B$5,11+$F10),BW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W$4=EDATE(EDATE('核心假设'!$B$5,11+$F10),$D10),SUM('融资租赁与资金缺口'!$D$5:$D$16)*$X10*'核心假设'!$B$32,0),0),IF(AND(BW$4&gt;EDATE('核心假设'!$B$5,12+$F10),BW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W$4=EDATE(EDATE('核心假设'!$B$5,12+$F10),$D10),SUM('融资租赁与资金缺口'!$D$5:$D$16)*$Y10*'核心假设'!$B$32,0),0),IF(AND(BW$4&gt;EDATE('核心假设'!$B$5,13+$F10),BW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W$4=EDATE(EDATE('核心假设'!$B$5,13+$F10),$D10),SUM('融资租赁与资金缺口'!$D$5:$D$16)*$Z10*'核心假设'!$B$32,0),0),IF(AND(BW$4&gt;EDATE('核心假设'!$B$5,14+$F10),BW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W$4=EDATE(EDATE('核心假设'!$B$5,14+$F10),$D10),SUM('融资租赁与资金缺口'!$D$5:$D$16)*$AA10*'核心假设'!$B$32,0),0),IF(AND(BW$4&gt;EDATE('核心假设'!$B$5,15+$F10),BW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W$4=EDATE(EDATE('核心假设'!$B$5,15+$F10),$D10),SUM('融资租赁与资金缺口'!$D$5:$D$16)*$AB10*'核心假设'!$B$32,0),0),IF(AND(BW$4&gt;EDATE('核心假设'!$B$5,16+$F10),BW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W$4=EDATE(EDATE('核心假设'!$B$5,16+$F10),$D10),SUM('融资租赁与资金缺口'!$D$5:$D$16)*$AC10*'核心假设'!$B$32,0),0),IF(AND(BW$4&gt;EDATE('核心假设'!$B$5,17+$F10),BW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W$4=EDATE(EDATE('核心假设'!$B$5,17+$F10),$D10),SUM('融资租赁与资金缺口'!$D$5:$D$16)*$AD10*'核心假设'!$B$32,0),0))</x:f>
        <x:v>11302696.314985307</x:v>
      </x:c>
      <x:c r="BX37" s="28" t="n">
        <x:f>SUM(IF(AND(BX$4&gt;EDATE('核心假设'!$B$5,0+$F10),BX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X$4=EDATE(EDATE('核心假设'!$B$5,0+$F10),$D10),SUM('融资租赁与资金缺口'!$D$5:$D$16)*$M10*'核心假设'!$B$32,0),0),IF(AND(BX$4&gt;EDATE('核心假设'!$B$5,1+$F10),BX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X$4=EDATE(EDATE('核心假设'!$B$5,1+$F10),$D10),SUM('融资租赁与资金缺口'!$D$5:$D$16)*$N10*'核心假设'!$B$32,0),0),IF(AND(BX$4&gt;EDATE('核心假设'!$B$5,2+$F10),BX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X$4=EDATE(EDATE('核心假设'!$B$5,2+$F10),$D10),SUM('融资租赁与资金缺口'!$D$5:$D$16)*$O10*'核心假设'!$B$32,0),0),IF(AND(BX$4&gt;EDATE('核心假设'!$B$5,3+$F10),BX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X$4=EDATE(EDATE('核心假设'!$B$5,3+$F10),$D10),SUM('融资租赁与资金缺口'!$D$5:$D$16)*$P10*'核心假设'!$B$32,0),0),IF(AND(BX$4&gt;EDATE('核心假设'!$B$5,4+$F10),BX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X$4=EDATE(EDATE('核心假设'!$B$5,4+$F10),$D10),SUM('融资租赁与资金缺口'!$D$5:$D$16)*$Q10*'核心假设'!$B$32,0),0),IF(AND(BX$4&gt;EDATE('核心假设'!$B$5,5+$F10),BX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X$4=EDATE(EDATE('核心假设'!$B$5,5+$F10),$D10),SUM('融资租赁与资金缺口'!$D$5:$D$16)*$R10*'核心假设'!$B$32,0),0),IF(AND(BX$4&gt;EDATE('核心假设'!$B$5,6+$F10),BX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X$4=EDATE(EDATE('核心假设'!$B$5,6+$F10),$D10),SUM('融资租赁与资金缺口'!$D$5:$D$16)*$S10*'核心假设'!$B$32,0),0),IF(AND(BX$4&gt;EDATE('核心假设'!$B$5,7+$F10),BX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X$4=EDATE(EDATE('核心假设'!$B$5,7+$F10),$D10),SUM('融资租赁与资金缺口'!$D$5:$D$16)*$T10*'核心假设'!$B$32,0),0),IF(AND(BX$4&gt;EDATE('核心假设'!$B$5,8+$F10),BX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X$4=EDATE(EDATE('核心假设'!$B$5,8+$F10),$D10),SUM('融资租赁与资金缺口'!$D$5:$D$16)*$U10*'核心假设'!$B$32,0),0),IF(AND(BX$4&gt;EDATE('核心假设'!$B$5,9+$F10),BX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X$4=EDATE(EDATE('核心假设'!$B$5,9+$F10),$D10),SUM('融资租赁与资金缺口'!$D$5:$D$16)*$V10*'核心假设'!$B$32,0),0),IF(AND(BX$4&gt;EDATE('核心假设'!$B$5,10+$F10),BX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X$4=EDATE(EDATE('核心假设'!$B$5,10+$F10),$D10),SUM('融资租赁与资金缺口'!$D$5:$D$16)*$W10*'核心假设'!$B$32,0),0),IF(AND(BX$4&gt;EDATE('核心假设'!$B$5,11+$F10),BX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X$4=EDATE(EDATE('核心假设'!$B$5,11+$F10),$D10),SUM('融资租赁与资金缺口'!$D$5:$D$16)*$X10*'核心假设'!$B$32,0),0),IF(AND(BX$4&gt;EDATE('核心假设'!$B$5,12+$F10),BX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X$4=EDATE(EDATE('核心假设'!$B$5,12+$F10),$D10),SUM('融资租赁与资金缺口'!$D$5:$D$16)*$Y10*'核心假设'!$B$32,0),0),IF(AND(BX$4&gt;EDATE('核心假设'!$B$5,13+$F10),BX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X$4=EDATE(EDATE('核心假设'!$B$5,13+$F10),$D10),SUM('融资租赁与资金缺口'!$D$5:$D$16)*$Z10*'核心假设'!$B$32,0),0),IF(AND(BX$4&gt;EDATE('核心假设'!$B$5,14+$F10),BX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X$4=EDATE(EDATE('核心假设'!$B$5,14+$F10),$D10),SUM('融资租赁与资金缺口'!$D$5:$D$16)*$AA10*'核心假设'!$B$32,0),0),IF(AND(BX$4&gt;EDATE('核心假设'!$B$5,15+$F10),BX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X$4=EDATE(EDATE('核心假设'!$B$5,15+$F10),$D10),SUM('融资租赁与资金缺口'!$D$5:$D$16)*$AB10*'核心假设'!$B$32,0),0),IF(AND(BX$4&gt;EDATE('核心假设'!$B$5,16+$F10),BX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X$4=EDATE(EDATE('核心假设'!$B$5,16+$F10),$D10),SUM('融资租赁与资金缺口'!$D$5:$D$16)*$AC10*'核心假设'!$B$32,0),0),IF(AND(BX$4&gt;EDATE('核心假设'!$B$5,17+$F10),BX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X$4=EDATE(EDATE('核心假设'!$B$5,17+$F10),$D10),SUM('融资租赁与资金缺口'!$D$5:$D$16)*$AD10*'核心假设'!$B$32,0),0))</x:f>
        <x:v>10469021.65815098</x:v>
      </x:c>
      <x:c r="BY37" s="28" t="n">
        <x:f>SUM(IF(AND(BY$4&gt;EDATE('核心假设'!$B$5,0+$F10),BY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Y$4=EDATE(EDATE('核心假设'!$B$5,0+$F10),$D10),SUM('融资租赁与资金缺口'!$D$5:$D$16)*$M10*'核心假设'!$B$32,0),0),IF(AND(BY$4&gt;EDATE('核心假设'!$B$5,1+$F10),BY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Y$4=EDATE(EDATE('核心假设'!$B$5,1+$F10),$D10),SUM('融资租赁与资金缺口'!$D$5:$D$16)*$N10*'核心假设'!$B$32,0),0),IF(AND(BY$4&gt;EDATE('核心假设'!$B$5,2+$F10),BY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Y$4=EDATE(EDATE('核心假设'!$B$5,2+$F10),$D10),SUM('融资租赁与资金缺口'!$D$5:$D$16)*$O10*'核心假设'!$B$32,0),0),IF(AND(BY$4&gt;EDATE('核心假设'!$B$5,3+$F10),BY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Y$4=EDATE(EDATE('核心假设'!$B$5,3+$F10),$D10),SUM('融资租赁与资金缺口'!$D$5:$D$16)*$P10*'核心假设'!$B$32,0),0),IF(AND(BY$4&gt;EDATE('核心假设'!$B$5,4+$F10),BY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Y$4=EDATE(EDATE('核心假设'!$B$5,4+$F10),$D10),SUM('融资租赁与资金缺口'!$D$5:$D$16)*$Q10*'核心假设'!$B$32,0),0),IF(AND(BY$4&gt;EDATE('核心假设'!$B$5,5+$F10),BY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Y$4=EDATE(EDATE('核心假设'!$B$5,5+$F10),$D10),SUM('融资租赁与资金缺口'!$D$5:$D$16)*$R10*'核心假设'!$B$32,0),0),IF(AND(BY$4&gt;EDATE('核心假设'!$B$5,6+$F10),BY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Y$4=EDATE(EDATE('核心假设'!$B$5,6+$F10),$D10),SUM('融资租赁与资金缺口'!$D$5:$D$16)*$S10*'核心假设'!$B$32,0),0),IF(AND(BY$4&gt;EDATE('核心假设'!$B$5,7+$F10),BY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Y$4=EDATE(EDATE('核心假设'!$B$5,7+$F10),$D10),SUM('融资租赁与资金缺口'!$D$5:$D$16)*$T10*'核心假设'!$B$32,0),0),IF(AND(BY$4&gt;EDATE('核心假设'!$B$5,8+$F10),BY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Y$4=EDATE(EDATE('核心假设'!$B$5,8+$F10),$D10),SUM('融资租赁与资金缺口'!$D$5:$D$16)*$U10*'核心假设'!$B$32,0),0),IF(AND(BY$4&gt;EDATE('核心假设'!$B$5,9+$F10),BY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Y$4=EDATE(EDATE('核心假设'!$B$5,9+$F10),$D10),SUM('融资租赁与资金缺口'!$D$5:$D$16)*$V10*'核心假设'!$B$32,0),0),IF(AND(BY$4&gt;EDATE('核心假设'!$B$5,10+$F10),BY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Y$4=EDATE(EDATE('核心假设'!$B$5,10+$F10),$D10),SUM('融资租赁与资金缺口'!$D$5:$D$16)*$W10*'核心假设'!$B$32,0),0),IF(AND(BY$4&gt;EDATE('核心假设'!$B$5,11+$F10),BY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Y$4=EDATE(EDATE('核心假设'!$B$5,11+$F10),$D10),SUM('融资租赁与资金缺口'!$D$5:$D$16)*$X10*'核心假设'!$B$32,0),0),IF(AND(BY$4&gt;EDATE('核心假设'!$B$5,12+$F10),BY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Y$4=EDATE(EDATE('核心假设'!$B$5,12+$F10),$D10),SUM('融资租赁与资金缺口'!$D$5:$D$16)*$Y10*'核心假设'!$B$32,0),0),IF(AND(BY$4&gt;EDATE('核心假设'!$B$5,13+$F10),BY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Y$4=EDATE(EDATE('核心假设'!$B$5,13+$F10),$D10),SUM('融资租赁与资金缺口'!$D$5:$D$16)*$Z10*'核心假设'!$B$32,0),0),IF(AND(BY$4&gt;EDATE('核心假设'!$B$5,14+$F10),BY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Y$4=EDATE(EDATE('核心假设'!$B$5,14+$F10),$D10),SUM('融资租赁与资金缺口'!$D$5:$D$16)*$AA10*'核心假设'!$B$32,0),0),IF(AND(BY$4&gt;EDATE('核心假设'!$B$5,15+$F10),BY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Y$4=EDATE(EDATE('核心假设'!$B$5,15+$F10),$D10),SUM('融资租赁与资金缺口'!$D$5:$D$16)*$AB10*'核心假设'!$B$32,0),0),IF(AND(BY$4&gt;EDATE('核心假设'!$B$5,16+$F10),BY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Y$4=EDATE(EDATE('核心假设'!$B$5,16+$F10),$D10),SUM('融资租赁与资金缺口'!$D$5:$D$16)*$AC10*'核心假设'!$B$32,0),0),IF(AND(BY$4&gt;EDATE('核心假设'!$B$5,17+$F10),BY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Y$4=EDATE(EDATE('核心假设'!$B$5,17+$F10),$D10),SUM('融资租赁与资金缺口'!$D$5:$D$16)*$AD10*'核心假设'!$B$32,0),0))</x:f>
        <x:v>9689677.001316652</x:v>
      </x:c>
      <x:c r="BZ37" s="28" t="n">
        <x:f>SUM(IF(AND(BZ$4&gt;EDATE('核心假设'!$B$5,0+$F10),BZ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BZ$4=EDATE(EDATE('核心假设'!$B$5,0+$F10),$D10),SUM('融资租赁与资金缺口'!$D$5:$D$16)*$M10*'核心假设'!$B$32,0),0),IF(AND(BZ$4&gt;EDATE('核心假设'!$B$5,1+$F10),BZ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BZ$4=EDATE(EDATE('核心假设'!$B$5,1+$F10),$D10),SUM('融资租赁与资金缺口'!$D$5:$D$16)*$N10*'核心假设'!$B$32,0),0),IF(AND(BZ$4&gt;EDATE('核心假设'!$B$5,2+$F10),BZ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BZ$4=EDATE(EDATE('核心假设'!$B$5,2+$F10),$D10),SUM('融资租赁与资金缺口'!$D$5:$D$16)*$O10*'核心假设'!$B$32,0),0),IF(AND(BZ$4&gt;EDATE('核心假设'!$B$5,3+$F10),BZ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BZ$4=EDATE(EDATE('核心假设'!$B$5,3+$F10),$D10),SUM('融资租赁与资金缺口'!$D$5:$D$16)*$P10*'核心假设'!$B$32,0),0),IF(AND(BZ$4&gt;EDATE('核心假设'!$B$5,4+$F10),BZ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BZ$4=EDATE(EDATE('核心假设'!$B$5,4+$F10),$D10),SUM('融资租赁与资金缺口'!$D$5:$D$16)*$Q10*'核心假设'!$B$32,0),0),IF(AND(BZ$4&gt;EDATE('核心假设'!$B$5,5+$F10),BZ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BZ$4=EDATE(EDATE('核心假设'!$B$5,5+$F10),$D10),SUM('融资租赁与资金缺口'!$D$5:$D$16)*$R10*'核心假设'!$B$32,0),0),IF(AND(BZ$4&gt;EDATE('核心假设'!$B$5,6+$F10),BZ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BZ$4=EDATE(EDATE('核心假设'!$B$5,6+$F10),$D10),SUM('融资租赁与资金缺口'!$D$5:$D$16)*$S10*'核心假设'!$B$32,0),0),IF(AND(BZ$4&gt;EDATE('核心假设'!$B$5,7+$F10),BZ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BZ$4=EDATE(EDATE('核心假设'!$B$5,7+$F10),$D10),SUM('融资租赁与资金缺口'!$D$5:$D$16)*$T10*'核心假设'!$B$32,0),0),IF(AND(BZ$4&gt;EDATE('核心假设'!$B$5,8+$F10),BZ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BZ$4=EDATE(EDATE('核心假设'!$B$5,8+$F10),$D10),SUM('融资租赁与资金缺口'!$D$5:$D$16)*$U10*'核心假设'!$B$32,0),0),IF(AND(BZ$4&gt;EDATE('核心假设'!$B$5,9+$F10),BZ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BZ$4=EDATE(EDATE('核心假设'!$B$5,9+$F10),$D10),SUM('融资租赁与资金缺口'!$D$5:$D$16)*$V10*'核心假设'!$B$32,0),0),IF(AND(BZ$4&gt;EDATE('核心假设'!$B$5,10+$F10),BZ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BZ$4=EDATE(EDATE('核心假设'!$B$5,10+$F10),$D10),SUM('融资租赁与资金缺口'!$D$5:$D$16)*$W10*'核心假设'!$B$32,0),0),IF(AND(BZ$4&gt;EDATE('核心假设'!$B$5,11+$F10),BZ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BZ$4=EDATE(EDATE('核心假设'!$B$5,11+$F10),$D10),SUM('融资租赁与资金缺口'!$D$5:$D$16)*$X10*'核心假设'!$B$32,0),0),IF(AND(BZ$4&gt;EDATE('核心假设'!$B$5,12+$F10),BZ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BZ$4=EDATE(EDATE('核心假设'!$B$5,12+$F10),$D10),SUM('融资租赁与资金缺口'!$D$5:$D$16)*$Y10*'核心假设'!$B$32,0),0),IF(AND(BZ$4&gt;EDATE('核心假设'!$B$5,13+$F10),BZ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BZ$4=EDATE(EDATE('核心假设'!$B$5,13+$F10),$D10),SUM('融资租赁与资金缺口'!$D$5:$D$16)*$Z10*'核心假设'!$B$32,0),0),IF(AND(BZ$4&gt;EDATE('核心假设'!$B$5,14+$F10),BZ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BZ$4=EDATE(EDATE('核心假设'!$B$5,14+$F10),$D10),SUM('融资租赁与资金缺口'!$D$5:$D$16)*$AA10*'核心假设'!$B$32,0),0),IF(AND(BZ$4&gt;EDATE('核心假设'!$B$5,15+$F10),BZ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BZ$4=EDATE(EDATE('核心假设'!$B$5,15+$F10),$D10),SUM('融资租赁与资金缺口'!$D$5:$D$16)*$AB10*'核心假设'!$B$32,0),0),IF(AND(BZ$4&gt;EDATE('核心假设'!$B$5,16+$F10),BZ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BZ$4=EDATE(EDATE('核心假设'!$B$5,16+$F10),$D10),SUM('融资租赁与资金缺口'!$D$5:$D$16)*$AC10*'核心假设'!$B$32,0),0),IF(AND(BZ$4&gt;EDATE('核心假设'!$B$5,17+$F10),BZ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BZ$4=EDATE(EDATE('核心假设'!$B$5,17+$F10),$D10),SUM('融资租赁与资金缺口'!$D$5:$D$16)*$AD10*'核心假设'!$B$32,0),0))</x:f>
        <x:v>8717056.56834327</x:v>
      </x:c>
      <x:c r="CA37" s="28" t="n">
        <x:f>SUM(IF(AND(CA$4&gt;EDATE('核心假设'!$B$5,0+$F10),CA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CA$4=EDATE(EDATE('核心假设'!$B$5,0+$F10),$D10),SUM('融资租赁与资金缺口'!$D$5:$D$16)*$M10*'核心假设'!$B$32,0),0),IF(AND(CA$4&gt;EDATE('核心假设'!$B$5,1+$F10),CA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CA$4=EDATE(EDATE('核心假设'!$B$5,1+$F10),$D10),SUM('融资租赁与资金缺口'!$D$5:$D$16)*$N10*'核心假设'!$B$32,0),0),IF(AND(CA$4&gt;EDATE('核心假设'!$B$5,2+$F10),CA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CA$4=EDATE(EDATE('核心假设'!$B$5,2+$F10),$D10),SUM('融资租赁与资金缺口'!$D$5:$D$16)*$O10*'核心假设'!$B$32,0),0),IF(AND(CA$4&gt;EDATE('核心假设'!$B$5,3+$F10),CA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CA$4=EDATE(EDATE('核心假设'!$B$5,3+$F10),$D10),SUM('融资租赁与资金缺口'!$D$5:$D$16)*$P10*'核心假设'!$B$32,0),0),IF(AND(CA$4&gt;EDATE('核心假设'!$B$5,4+$F10),CA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CA$4=EDATE(EDATE('核心假设'!$B$5,4+$F10),$D10),SUM('融资租赁与资金缺口'!$D$5:$D$16)*$Q10*'核心假设'!$B$32,0),0),IF(AND(CA$4&gt;EDATE('核心假设'!$B$5,5+$F10),CA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CA$4=EDATE(EDATE('核心假设'!$B$5,5+$F10),$D10),SUM('融资租赁与资金缺口'!$D$5:$D$16)*$R10*'核心假设'!$B$32,0),0),IF(AND(CA$4&gt;EDATE('核心假设'!$B$5,6+$F10),CA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CA$4=EDATE(EDATE('核心假设'!$B$5,6+$F10),$D10),SUM('融资租赁与资金缺口'!$D$5:$D$16)*$S10*'核心假设'!$B$32,0),0),IF(AND(CA$4&gt;EDATE('核心假设'!$B$5,7+$F10),CA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CA$4=EDATE(EDATE('核心假设'!$B$5,7+$F10),$D10),SUM('融资租赁与资金缺口'!$D$5:$D$16)*$T10*'核心假设'!$B$32,0),0),IF(AND(CA$4&gt;EDATE('核心假设'!$B$5,8+$F10),CA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CA$4=EDATE(EDATE('核心假设'!$B$5,8+$F10),$D10),SUM('融资租赁与资金缺口'!$D$5:$D$16)*$U10*'核心假设'!$B$32,0),0),IF(AND(CA$4&gt;EDATE('核心假设'!$B$5,9+$F10),CA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CA$4=EDATE(EDATE('核心假设'!$B$5,9+$F10),$D10),SUM('融资租赁与资金缺口'!$D$5:$D$16)*$V10*'核心假设'!$B$32,0),0),IF(AND(CA$4&gt;EDATE('核心假设'!$B$5,10+$F10),CA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CA$4=EDATE(EDATE('核心假设'!$B$5,10+$F10),$D10),SUM('融资租赁与资金缺口'!$D$5:$D$16)*$W10*'核心假设'!$B$32,0),0),IF(AND(CA$4&gt;EDATE('核心假设'!$B$5,11+$F10),CA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CA$4=EDATE(EDATE('核心假设'!$B$5,11+$F10),$D10),SUM('融资租赁与资金缺口'!$D$5:$D$16)*$X10*'核心假设'!$B$32,0),0),IF(AND(CA$4&gt;EDATE('核心假设'!$B$5,12+$F10),CA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CA$4=EDATE(EDATE('核心假设'!$B$5,12+$F10),$D10),SUM('融资租赁与资金缺口'!$D$5:$D$16)*$Y10*'核心假设'!$B$32,0),0),IF(AND(CA$4&gt;EDATE('核心假设'!$B$5,13+$F10),CA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CA$4=EDATE(EDATE('核心假设'!$B$5,13+$F10),$D10),SUM('融资租赁与资金缺口'!$D$5:$D$16)*$Z10*'核心假设'!$B$32,0),0),IF(AND(CA$4&gt;EDATE('核心假设'!$B$5,14+$F10),CA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CA$4=EDATE(EDATE('核心假设'!$B$5,14+$F10),$D10),SUM('融资租赁与资金缺口'!$D$5:$D$16)*$AA10*'核心假设'!$B$32,0),0),IF(AND(CA$4&gt;EDATE('核心假设'!$B$5,15+$F10),CA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CA$4=EDATE(EDATE('核心假设'!$B$5,15+$F10),$D10),SUM('融资租赁与资金缺口'!$D$5:$D$16)*$AB10*'核心假设'!$B$32,0),0),IF(AND(CA$4&gt;EDATE('核心假设'!$B$5,16+$F10),CA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CA$4=EDATE(EDATE('核心假设'!$B$5,16+$F10),$D10),SUM('融资租赁与资金缺口'!$D$5:$D$16)*$AC10*'核心假设'!$B$32,0),0),IF(AND(CA$4&gt;EDATE('核心假设'!$B$5,17+$F10),CA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CA$4=EDATE(EDATE('核心假设'!$B$5,17+$F10),$D10),SUM('融资租赁与资金缺口'!$D$5:$D$16)*$AD10*'核心假设'!$B$32,0),0))</x:f>
        <x:v>7744436.135369888</x:v>
      </x:c>
      <x:c r="CB37" s="28" t="n">
        <x:f>SUM(IF(AND(CB$4&gt;EDATE('核心假设'!$B$5,0+$F10),CB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CB$4=EDATE(EDATE('核心假设'!$B$5,0+$F10),$D10),SUM('融资租赁与资金缺口'!$D$5:$D$16)*$M10*'核心假设'!$B$32,0),0),IF(AND(CB$4&gt;EDATE('核心假设'!$B$5,1+$F10),CB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CB$4=EDATE(EDATE('核心假设'!$B$5,1+$F10),$D10),SUM('融资租赁与资金缺口'!$D$5:$D$16)*$N10*'核心假设'!$B$32,0),0),IF(AND(CB$4&gt;EDATE('核心假设'!$B$5,2+$F10),CB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CB$4=EDATE(EDATE('核心假设'!$B$5,2+$F10),$D10),SUM('融资租赁与资金缺口'!$D$5:$D$16)*$O10*'核心假设'!$B$32,0),0),IF(AND(CB$4&gt;EDATE('核心假设'!$B$5,3+$F10),CB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CB$4=EDATE(EDATE('核心假设'!$B$5,3+$F10),$D10),SUM('融资租赁与资金缺口'!$D$5:$D$16)*$P10*'核心假设'!$B$32,0),0),IF(AND(CB$4&gt;EDATE('核心假设'!$B$5,4+$F10),CB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CB$4=EDATE(EDATE('核心假设'!$B$5,4+$F10),$D10),SUM('融资租赁与资金缺口'!$D$5:$D$16)*$Q10*'核心假设'!$B$32,0),0),IF(AND(CB$4&gt;EDATE('核心假设'!$B$5,5+$F10),CB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CB$4=EDATE(EDATE('核心假设'!$B$5,5+$F10),$D10),SUM('融资租赁与资金缺口'!$D$5:$D$16)*$R10*'核心假设'!$B$32,0),0),IF(AND(CB$4&gt;EDATE('核心假设'!$B$5,6+$F10),CB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CB$4=EDATE(EDATE('核心假设'!$B$5,6+$F10),$D10),SUM('融资租赁与资金缺口'!$D$5:$D$16)*$S10*'核心假设'!$B$32,0),0),IF(AND(CB$4&gt;EDATE('核心假设'!$B$5,7+$F10),CB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CB$4=EDATE(EDATE('核心假设'!$B$5,7+$F10),$D10),SUM('融资租赁与资金缺口'!$D$5:$D$16)*$T10*'核心假设'!$B$32,0),0),IF(AND(CB$4&gt;EDATE('核心假设'!$B$5,8+$F10),CB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CB$4=EDATE(EDATE('核心假设'!$B$5,8+$F10),$D10),SUM('融资租赁与资金缺口'!$D$5:$D$16)*$U10*'核心假设'!$B$32,0),0),IF(AND(CB$4&gt;EDATE('核心假设'!$B$5,9+$F10),CB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CB$4=EDATE(EDATE('核心假设'!$B$5,9+$F10),$D10),SUM('融资租赁与资金缺口'!$D$5:$D$16)*$V10*'核心假设'!$B$32,0),0),IF(AND(CB$4&gt;EDATE('核心假设'!$B$5,10+$F10),CB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CB$4=EDATE(EDATE('核心假设'!$B$5,10+$F10),$D10),SUM('融资租赁与资金缺口'!$D$5:$D$16)*$W10*'核心假设'!$B$32,0),0),IF(AND(CB$4&gt;EDATE('核心假设'!$B$5,11+$F10),CB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CB$4=EDATE(EDATE('核心假设'!$B$5,11+$F10),$D10),SUM('融资租赁与资金缺口'!$D$5:$D$16)*$X10*'核心假设'!$B$32,0),0),IF(AND(CB$4&gt;EDATE('核心假设'!$B$5,12+$F10),CB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CB$4=EDATE(EDATE('核心假设'!$B$5,12+$F10),$D10),SUM('融资租赁与资金缺口'!$D$5:$D$16)*$Y10*'核心假设'!$B$32,0),0),IF(AND(CB$4&gt;EDATE('核心假设'!$B$5,13+$F10),CB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CB$4=EDATE(EDATE('核心假设'!$B$5,13+$F10),$D10),SUM('融资租赁与资金缺口'!$D$5:$D$16)*$Z10*'核心假设'!$B$32,0),0),IF(AND(CB$4&gt;EDATE('核心假设'!$B$5,14+$F10),CB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CB$4=EDATE(EDATE('核心假设'!$B$5,14+$F10),$D10),SUM('融资租赁与资金缺口'!$D$5:$D$16)*$AA10*'核心假设'!$B$32,0),0),IF(AND(CB$4&gt;EDATE('核心假设'!$B$5,15+$F10),CB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CB$4=EDATE(EDATE('核心假设'!$B$5,15+$F10),$D10),SUM('融资租赁与资金缺口'!$D$5:$D$16)*$AB10*'核心假设'!$B$32,0),0),IF(AND(CB$4&gt;EDATE('核心假设'!$B$5,16+$F10),CB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CB$4=EDATE(EDATE('核心假设'!$B$5,16+$F10),$D10),SUM('融资租赁与资金缺口'!$D$5:$D$16)*$AC10*'核心假设'!$B$32,0),0),IF(AND(CB$4&gt;EDATE('核心假设'!$B$5,17+$F10),CB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CB$4=EDATE(EDATE('核心假设'!$B$5,17+$F10),$D10),SUM('融资租赁与资金缺口'!$D$5:$D$16)*$AD10*'核心假设'!$B$32,0),0))</x:f>
        <x:v>6771815.702396506</x:v>
      </x:c>
      <x:c r="CC37" s="28" t="n">
        <x:f>SUM(IF(AND(CC$4&gt;EDATE('核心假设'!$B$5,0+$F10),CC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CC$4=EDATE(EDATE('核心假设'!$B$5,0+$F10),$D10),SUM('融资租赁与资金缺口'!$D$5:$D$16)*$M10*'核心假设'!$B$32,0),0),IF(AND(CC$4&gt;EDATE('核心假设'!$B$5,1+$F10),CC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CC$4=EDATE(EDATE('核心假设'!$B$5,1+$F10),$D10),SUM('融资租赁与资金缺口'!$D$5:$D$16)*$N10*'核心假设'!$B$32,0),0),IF(AND(CC$4&gt;EDATE('核心假设'!$B$5,2+$F10),CC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CC$4=EDATE(EDATE('核心假设'!$B$5,2+$F10),$D10),SUM('融资租赁与资金缺口'!$D$5:$D$16)*$O10*'核心假设'!$B$32,0),0),IF(AND(CC$4&gt;EDATE('核心假设'!$B$5,3+$F10),CC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CC$4=EDATE(EDATE('核心假设'!$B$5,3+$F10),$D10),SUM('融资租赁与资金缺口'!$D$5:$D$16)*$P10*'核心假设'!$B$32,0),0),IF(AND(CC$4&gt;EDATE('核心假设'!$B$5,4+$F10),CC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CC$4=EDATE(EDATE('核心假设'!$B$5,4+$F10),$D10),SUM('融资租赁与资金缺口'!$D$5:$D$16)*$Q10*'核心假设'!$B$32,0),0),IF(AND(CC$4&gt;EDATE('核心假设'!$B$5,5+$F10),CC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CC$4=EDATE(EDATE('核心假设'!$B$5,5+$F10),$D10),SUM('融资租赁与资金缺口'!$D$5:$D$16)*$R10*'核心假设'!$B$32,0),0),IF(AND(CC$4&gt;EDATE('核心假设'!$B$5,6+$F10),CC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CC$4=EDATE(EDATE('核心假设'!$B$5,6+$F10),$D10),SUM('融资租赁与资金缺口'!$D$5:$D$16)*$S10*'核心假设'!$B$32,0),0),IF(AND(CC$4&gt;EDATE('核心假设'!$B$5,7+$F10),CC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CC$4=EDATE(EDATE('核心假设'!$B$5,7+$F10),$D10),SUM('融资租赁与资金缺口'!$D$5:$D$16)*$T10*'核心假设'!$B$32,0),0),IF(AND(CC$4&gt;EDATE('核心假设'!$B$5,8+$F10),CC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CC$4=EDATE(EDATE('核心假设'!$B$5,8+$F10),$D10),SUM('融资租赁与资金缺口'!$D$5:$D$16)*$U10*'核心假设'!$B$32,0),0),IF(AND(CC$4&gt;EDATE('核心假设'!$B$5,9+$F10),CC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CC$4=EDATE(EDATE('核心假设'!$B$5,9+$F10),$D10),SUM('融资租赁与资金缺口'!$D$5:$D$16)*$V10*'核心假设'!$B$32,0),0),IF(AND(CC$4&gt;EDATE('核心假设'!$B$5,10+$F10),CC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CC$4=EDATE(EDATE('核心假设'!$B$5,10+$F10),$D10),SUM('融资租赁与资金缺口'!$D$5:$D$16)*$W10*'核心假设'!$B$32,0),0),IF(AND(CC$4&gt;EDATE('核心假设'!$B$5,11+$F10),CC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CC$4=EDATE(EDATE('核心假设'!$B$5,11+$F10),$D10),SUM('融资租赁与资金缺口'!$D$5:$D$16)*$X10*'核心假设'!$B$32,0),0),IF(AND(CC$4&gt;EDATE('核心假设'!$B$5,12+$F10),CC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CC$4=EDATE(EDATE('核心假设'!$B$5,12+$F10),$D10),SUM('融资租赁与资金缺口'!$D$5:$D$16)*$Y10*'核心假设'!$B$32,0),0),IF(AND(CC$4&gt;EDATE('核心假设'!$B$5,13+$F10),CC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CC$4=EDATE(EDATE('核心假设'!$B$5,13+$F10),$D10),SUM('融资租赁与资金缺口'!$D$5:$D$16)*$Z10*'核心假设'!$B$32,0),0),IF(AND(CC$4&gt;EDATE('核心假设'!$B$5,14+$F10),CC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CC$4=EDATE(EDATE('核心假设'!$B$5,14+$F10),$D10),SUM('融资租赁与资金缺口'!$D$5:$D$16)*$AA10*'核心假设'!$B$32,0),0),IF(AND(CC$4&gt;EDATE('核心假设'!$B$5,15+$F10),CC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CC$4=EDATE(EDATE('核心假设'!$B$5,15+$F10),$D10),SUM('融资租赁与资金缺口'!$D$5:$D$16)*$AB10*'核心假设'!$B$32,0),0),IF(AND(CC$4&gt;EDATE('核心假设'!$B$5,16+$F10),CC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CC$4=EDATE(EDATE('核心假设'!$B$5,16+$F10),$D10),SUM('融资租赁与资金缺口'!$D$5:$D$16)*$AC10*'核心假设'!$B$32,0),0),IF(AND(CC$4&gt;EDATE('核心假设'!$B$5,17+$F10),CC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CC$4=EDATE(EDATE('核心假设'!$B$5,17+$F10),$D10),SUM('融资租赁与资金缺口'!$D$5:$D$16)*$AD10*'核心假设'!$B$32,0),0))</x:f>
        <x:v>5799195.269423125</x:v>
      </x:c>
      <x:c r="CD37" s="28" t="n">
        <x:f>SUM(IF(AND(CD$4&gt;EDATE('核心假设'!$B$5,0+$F10),CD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CD$4=EDATE(EDATE('核心假设'!$B$5,0+$F10),$D10),SUM('融资租赁与资金缺口'!$D$5:$D$16)*$M10*'核心假设'!$B$32,0),0),IF(AND(CD$4&gt;EDATE('核心假设'!$B$5,1+$F10),CD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CD$4=EDATE(EDATE('核心假设'!$B$5,1+$F10),$D10),SUM('融资租赁与资金缺口'!$D$5:$D$16)*$N10*'核心假设'!$B$32,0),0),IF(AND(CD$4&gt;EDATE('核心假设'!$B$5,2+$F10),CD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CD$4=EDATE(EDATE('核心假设'!$B$5,2+$F10),$D10),SUM('融资租赁与资金缺口'!$D$5:$D$16)*$O10*'核心假设'!$B$32,0),0),IF(AND(CD$4&gt;EDATE('核心假设'!$B$5,3+$F10),CD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CD$4=EDATE(EDATE('核心假设'!$B$5,3+$F10),$D10),SUM('融资租赁与资金缺口'!$D$5:$D$16)*$P10*'核心假设'!$B$32,0),0),IF(AND(CD$4&gt;EDATE('核心假设'!$B$5,4+$F10),CD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CD$4=EDATE(EDATE('核心假设'!$B$5,4+$F10),$D10),SUM('融资租赁与资金缺口'!$D$5:$D$16)*$Q10*'核心假设'!$B$32,0),0),IF(AND(CD$4&gt;EDATE('核心假设'!$B$5,5+$F10),CD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CD$4=EDATE(EDATE('核心假设'!$B$5,5+$F10),$D10),SUM('融资租赁与资金缺口'!$D$5:$D$16)*$R10*'核心假设'!$B$32,0),0),IF(AND(CD$4&gt;EDATE('核心假设'!$B$5,6+$F10),CD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CD$4=EDATE(EDATE('核心假设'!$B$5,6+$F10),$D10),SUM('融资租赁与资金缺口'!$D$5:$D$16)*$S10*'核心假设'!$B$32,0),0),IF(AND(CD$4&gt;EDATE('核心假设'!$B$5,7+$F10),CD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CD$4=EDATE(EDATE('核心假设'!$B$5,7+$F10),$D10),SUM('融资租赁与资金缺口'!$D$5:$D$16)*$T10*'核心假设'!$B$32,0),0),IF(AND(CD$4&gt;EDATE('核心假设'!$B$5,8+$F10),CD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CD$4=EDATE(EDATE('核心假设'!$B$5,8+$F10),$D10),SUM('融资租赁与资金缺口'!$D$5:$D$16)*$U10*'核心假设'!$B$32,0),0),IF(AND(CD$4&gt;EDATE('核心假设'!$B$5,9+$F10),CD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CD$4=EDATE(EDATE('核心假设'!$B$5,9+$F10),$D10),SUM('融资租赁与资金缺口'!$D$5:$D$16)*$V10*'核心假设'!$B$32,0),0),IF(AND(CD$4&gt;EDATE('核心假设'!$B$5,10+$F10),CD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CD$4=EDATE(EDATE('核心假设'!$B$5,10+$F10),$D10),SUM('融资租赁与资金缺口'!$D$5:$D$16)*$W10*'核心假设'!$B$32,0),0),IF(AND(CD$4&gt;EDATE('核心假设'!$B$5,11+$F10),CD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CD$4=EDATE(EDATE('核心假设'!$B$5,11+$F10),$D10),SUM('融资租赁与资金缺口'!$D$5:$D$16)*$X10*'核心假设'!$B$32,0),0),IF(AND(CD$4&gt;EDATE('核心假设'!$B$5,12+$F10),CD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CD$4=EDATE(EDATE('核心假设'!$B$5,12+$F10),$D10),SUM('融资租赁与资金缺口'!$D$5:$D$16)*$Y10*'核心假设'!$B$32,0),0),IF(AND(CD$4&gt;EDATE('核心假设'!$B$5,13+$F10),CD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CD$4=EDATE(EDATE('核心假设'!$B$5,13+$F10),$D10),SUM('融资租赁与资金缺口'!$D$5:$D$16)*$Z10*'核心假设'!$B$32,0),0),IF(AND(CD$4&gt;EDATE('核心假设'!$B$5,14+$F10),CD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CD$4=EDATE(EDATE('核心假设'!$B$5,14+$F10),$D10),SUM('融资租赁与资金缺口'!$D$5:$D$16)*$AA10*'核心假设'!$B$32,0),0),IF(AND(CD$4&gt;EDATE('核心假设'!$B$5,15+$F10),CD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CD$4=EDATE(EDATE('核心假设'!$B$5,15+$F10),$D10),SUM('融资租赁与资金缺口'!$D$5:$D$16)*$AB10*'核心假设'!$B$32,0),0),IF(AND(CD$4&gt;EDATE('核心假设'!$B$5,16+$F10),CD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CD$4=EDATE(EDATE('核心假设'!$B$5,16+$F10),$D10),SUM('融资租赁与资金缺口'!$D$5:$D$16)*$AC10*'核心假设'!$B$32,0),0),IF(AND(CD$4&gt;EDATE('核心假设'!$B$5,17+$F10),CD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CD$4=EDATE(EDATE('核心假设'!$B$5,17+$F10),$D10),SUM('融资租赁与资金缺口'!$D$5:$D$16)*$AD10*'核心假设'!$B$32,0),0))</x:f>
        <x:v>4826574.836449744</x:v>
      </x:c>
      <x:c r="CE37" s="28" t="n">
        <x:f>SUM(IF(AND(CE$4&gt;EDATE('核心假设'!$B$5,0+$F10),CE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CE$4=EDATE(EDATE('核心假设'!$B$5,0+$F10),$D10),SUM('融资租赁与资金缺口'!$D$5:$D$16)*$M10*'核心假设'!$B$32,0),0),IF(AND(CE$4&gt;EDATE('核心假设'!$B$5,1+$F10),CE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CE$4=EDATE(EDATE('核心假设'!$B$5,1+$F10),$D10),SUM('融资租赁与资金缺口'!$D$5:$D$16)*$N10*'核心假设'!$B$32,0),0),IF(AND(CE$4&gt;EDATE('核心假设'!$B$5,2+$F10),CE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CE$4=EDATE(EDATE('核心假设'!$B$5,2+$F10),$D10),SUM('融资租赁与资金缺口'!$D$5:$D$16)*$O10*'核心假设'!$B$32,0),0),IF(AND(CE$4&gt;EDATE('核心假设'!$B$5,3+$F10),CE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CE$4=EDATE(EDATE('核心假设'!$B$5,3+$F10),$D10),SUM('融资租赁与资金缺口'!$D$5:$D$16)*$P10*'核心假设'!$B$32,0),0),IF(AND(CE$4&gt;EDATE('核心假设'!$B$5,4+$F10),CE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CE$4=EDATE(EDATE('核心假设'!$B$5,4+$F10),$D10),SUM('融资租赁与资金缺口'!$D$5:$D$16)*$Q10*'核心假设'!$B$32,0),0),IF(AND(CE$4&gt;EDATE('核心假设'!$B$5,5+$F10),CE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CE$4=EDATE(EDATE('核心假设'!$B$5,5+$F10),$D10),SUM('融资租赁与资金缺口'!$D$5:$D$16)*$R10*'核心假设'!$B$32,0),0),IF(AND(CE$4&gt;EDATE('核心假设'!$B$5,6+$F10),CE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CE$4=EDATE(EDATE('核心假设'!$B$5,6+$F10),$D10),SUM('融资租赁与资金缺口'!$D$5:$D$16)*$S10*'核心假设'!$B$32,0),0),IF(AND(CE$4&gt;EDATE('核心假设'!$B$5,7+$F10),CE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CE$4=EDATE(EDATE('核心假设'!$B$5,7+$F10),$D10),SUM('融资租赁与资金缺口'!$D$5:$D$16)*$T10*'核心假设'!$B$32,0),0),IF(AND(CE$4&gt;EDATE('核心假设'!$B$5,8+$F10),CE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CE$4=EDATE(EDATE('核心假设'!$B$5,8+$F10),$D10),SUM('融资租赁与资金缺口'!$D$5:$D$16)*$U10*'核心假设'!$B$32,0),0),IF(AND(CE$4&gt;EDATE('核心假设'!$B$5,9+$F10),CE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CE$4=EDATE(EDATE('核心假设'!$B$5,9+$F10),$D10),SUM('融资租赁与资金缺口'!$D$5:$D$16)*$V10*'核心假设'!$B$32,0),0),IF(AND(CE$4&gt;EDATE('核心假设'!$B$5,10+$F10),CE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CE$4=EDATE(EDATE('核心假设'!$B$5,10+$F10),$D10),SUM('融资租赁与资金缺口'!$D$5:$D$16)*$W10*'核心假设'!$B$32,0),0),IF(AND(CE$4&gt;EDATE('核心假设'!$B$5,11+$F10),CE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CE$4=EDATE(EDATE('核心假设'!$B$5,11+$F10),$D10),SUM('融资租赁与资金缺口'!$D$5:$D$16)*$X10*'核心假设'!$B$32,0),0),IF(AND(CE$4&gt;EDATE('核心假设'!$B$5,12+$F10),CE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CE$4=EDATE(EDATE('核心假设'!$B$5,12+$F10),$D10),SUM('融资租赁与资金缺口'!$D$5:$D$16)*$Y10*'核心假设'!$B$32,0),0),IF(AND(CE$4&gt;EDATE('核心假设'!$B$5,13+$F10),CE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CE$4=EDATE(EDATE('核心假设'!$B$5,13+$F10),$D10),SUM('融资租赁与资金缺口'!$D$5:$D$16)*$Z10*'核心假设'!$B$32,0),0),IF(AND(CE$4&gt;EDATE('核心假设'!$B$5,14+$F10),CE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CE$4=EDATE(EDATE('核心假设'!$B$5,14+$F10),$D10),SUM('融资租赁与资金缺口'!$D$5:$D$16)*$AA10*'核心假设'!$B$32,0),0),IF(AND(CE$4&gt;EDATE('核心假设'!$B$5,15+$F10),CE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CE$4=EDATE(EDATE('核心假设'!$B$5,15+$F10),$D10),SUM('融资租赁与资金缺口'!$D$5:$D$16)*$AB10*'核心假设'!$B$32,0),0),IF(AND(CE$4&gt;EDATE('核心假设'!$B$5,16+$F10),CE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CE$4=EDATE(EDATE('核心假设'!$B$5,16+$F10),$D10),SUM('融资租赁与资金缺口'!$D$5:$D$16)*$AC10*'核心假设'!$B$32,0),0),IF(AND(CE$4&gt;EDATE('核心假设'!$B$5,17+$F10),CE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CE$4=EDATE(EDATE('核心假设'!$B$5,17+$F10),$D10),SUM('融资租赁与资金缺口'!$D$5:$D$16)*$AD10*'核心假设'!$B$32,0),0))</x:f>
        <x:v>3799624.4034763626</x:v>
      </x:c>
      <x:c r="CF37" s="28" t="n">
        <x:f>SUM(IF(AND(CF$4&gt;EDATE('核心假设'!$B$5,0+$F10),CF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CF$4=EDATE(EDATE('核心假设'!$B$5,0+$F10),$D10),SUM('融资租赁与资金缺口'!$D$5:$D$16)*$M10*'核心假设'!$B$32,0),0),IF(AND(CF$4&gt;EDATE('核心假设'!$B$5,1+$F10),CF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CF$4=EDATE(EDATE('核心假设'!$B$5,1+$F10),$D10),SUM('融资租赁与资金缺口'!$D$5:$D$16)*$N10*'核心假设'!$B$32,0),0),IF(AND(CF$4&gt;EDATE('核心假设'!$B$5,2+$F10),CF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CF$4=EDATE(EDATE('核心假设'!$B$5,2+$F10),$D10),SUM('融资租赁与资金缺口'!$D$5:$D$16)*$O10*'核心假设'!$B$32,0),0),IF(AND(CF$4&gt;EDATE('核心假设'!$B$5,3+$F10),CF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CF$4=EDATE(EDATE('核心假设'!$B$5,3+$F10),$D10),SUM('融资租赁与资金缺口'!$D$5:$D$16)*$P10*'核心假设'!$B$32,0),0),IF(AND(CF$4&gt;EDATE('核心假设'!$B$5,4+$F10),CF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CF$4=EDATE(EDATE('核心假设'!$B$5,4+$F10),$D10),SUM('融资租赁与资金缺口'!$D$5:$D$16)*$Q10*'核心假设'!$B$32,0),0),IF(AND(CF$4&gt;EDATE('核心假设'!$B$5,5+$F10),CF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CF$4=EDATE(EDATE('核心假设'!$B$5,5+$F10),$D10),SUM('融资租赁与资金缺口'!$D$5:$D$16)*$R10*'核心假设'!$B$32,0),0),IF(AND(CF$4&gt;EDATE('核心假设'!$B$5,6+$F10),CF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CF$4=EDATE(EDATE('核心假设'!$B$5,6+$F10),$D10),SUM('融资租赁与资金缺口'!$D$5:$D$16)*$S10*'核心假设'!$B$32,0),0),IF(AND(CF$4&gt;EDATE('核心假设'!$B$5,7+$F10),CF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CF$4=EDATE(EDATE('核心假设'!$B$5,7+$F10),$D10),SUM('融资租赁与资金缺口'!$D$5:$D$16)*$T10*'核心假设'!$B$32,0),0),IF(AND(CF$4&gt;EDATE('核心假设'!$B$5,8+$F10),CF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CF$4=EDATE(EDATE('核心假设'!$B$5,8+$F10),$D10),SUM('融资租赁与资金缺口'!$D$5:$D$16)*$U10*'核心假设'!$B$32,0),0),IF(AND(CF$4&gt;EDATE('核心假设'!$B$5,9+$F10),CF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CF$4=EDATE(EDATE('核心假设'!$B$5,9+$F10),$D10),SUM('融资租赁与资金缺口'!$D$5:$D$16)*$V10*'核心假设'!$B$32,0),0),IF(AND(CF$4&gt;EDATE('核心假设'!$B$5,10+$F10),CF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CF$4=EDATE(EDATE('核心假设'!$B$5,10+$F10),$D10),SUM('融资租赁与资金缺口'!$D$5:$D$16)*$W10*'核心假设'!$B$32,0),0),IF(AND(CF$4&gt;EDATE('核心假设'!$B$5,11+$F10),CF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CF$4=EDATE(EDATE('核心假设'!$B$5,11+$F10),$D10),SUM('融资租赁与资金缺口'!$D$5:$D$16)*$X10*'核心假设'!$B$32,0),0),IF(AND(CF$4&gt;EDATE('核心假设'!$B$5,12+$F10),CF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CF$4=EDATE(EDATE('核心假设'!$B$5,12+$F10),$D10),SUM('融资租赁与资金缺口'!$D$5:$D$16)*$Y10*'核心假设'!$B$32,0),0),IF(AND(CF$4&gt;EDATE('核心假设'!$B$5,13+$F10),CF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CF$4=EDATE(EDATE('核心假设'!$B$5,13+$F10),$D10),SUM('融资租赁与资金缺口'!$D$5:$D$16)*$Z10*'核心假设'!$B$32,0),0),IF(AND(CF$4&gt;EDATE('核心假设'!$B$5,14+$F10),CF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CF$4=EDATE(EDATE('核心假设'!$B$5,14+$F10),$D10),SUM('融资租赁与资金缺口'!$D$5:$D$16)*$AA10*'核心假设'!$B$32,0),0),IF(AND(CF$4&gt;EDATE('核心假设'!$B$5,15+$F10),CF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CF$4=EDATE(EDATE('核心假设'!$B$5,15+$F10),$D10),SUM('融资租赁与资金缺口'!$D$5:$D$16)*$AB10*'核心假设'!$B$32,0),0),IF(AND(CF$4&gt;EDATE('核心假设'!$B$5,16+$F10),CF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CF$4=EDATE(EDATE('核心假设'!$B$5,16+$F10),$D10),SUM('融资租赁与资金缺口'!$D$5:$D$16)*$AC10*'核心假设'!$B$32,0),0),IF(AND(CF$4&gt;EDATE('核心假设'!$B$5,17+$F10),CF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CF$4=EDATE(EDATE('核心假设'!$B$5,17+$F10),$D10),SUM('融资租赁与资金缺口'!$D$5:$D$16)*$AD10*'核心假设'!$B$32,0),0))</x:f>
        <x:v>2965949.7466420354</x:v>
      </x:c>
      <x:c r="CG37" s="28" t="n">
        <x:f>SUM(IF(AND(CG$4&gt;EDATE('核心假设'!$B$5,0+$F10),CG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CG$4=EDATE(EDATE('核心假设'!$B$5,0+$F10),$D10),SUM('融资租赁与资金缺口'!$D$5:$D$16)*$M10*'核心假设'!$B$32,0),0),IF(AND(CG$4&gt;EDATE('核心假设'!$B$5,1+$F10),CG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CG$4=EDATE(EDATE('核心假设'!$B$5,1+$F10),$D10),SUM('融资租赁与资金缺口'!$D$5:$D$16)*$N10*'核心假设'!$B$32,0),0),IF(AND(CG$4&gt;EDATE('核心假设'!$B$5,2+$F10),CG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CG$4=EDATE(EDATE('核心假设'!$B$5,2+$F10),$D10),SUM('融资租赁与资金缺口'!$D$5:$D$16)*$O10*'核心假设'!$B$32,0),0),IF(AND(CG$4&gt;EDATE('核心假设'!$B$5,3+$F10),CG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CG$4=EDATE(EDATE('核心假设'!$B$5,3+$F10),$D10),SUM('融资租赁与资金缺口'!$D$5:$D$16)*$P10*'核心假设'!$B$32,0),0),IF(AND(CG$4&gt;EDATE('核心假设'!$B$5,4+$F10),CG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CG$4=EDATE(EDATE('核心假设'!$B$5,4+$F10),$D10),SUM('融资租赁与资金缺口'!$D$5:$D$16)*$Q10*'核心假设'!$B$32,0),0),IF(AND(CG$4&gt;EDATE('核心假设'!$B$5,5+$F10),CG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CG$4=EDATE(EDATE('核心假设'!$B$5,5+$F10),$D10),SUM('融资租赁与资金缺口'!$D$5:$D$16)*$R10*'核心假设'!$B$32,0),0),IF(AND(CG$4&gt;EDATE('核心假设'!$B$5,6+$F10),CG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CG$4=EDATE(EDATE('核心假设'!$B$5,6+$F10),$D10),SUM('融资租赁与资金缺口'!$D$5:$D$16)*$S10*'核心假设'!$B$32,0),0),IF(AND(CG$4&gt;EDATE('核心假设'!$B$5,7+$F10),CG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CG$4=EDATE(EDATE('核心假设'!$B$5,7+$F10),$D10),SUM('融资租赁与资金缺口'!$D$5:$D$16)*$T10*'核心假设'!$B$32,0),0),IF(AND(CG$4&gt;EDATE('核心假设'!$B$5,8+$F10),CG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CG$4=EDATE(EDATE('核心假设'!$B$5,8+$F10),$D10),SUM('融资租赁与资金缺口'!$D$5:$D$16)*$U10*'核心假设'!$B$32,0),0),IF(AND(CG$4&gt;EDATE('核心假设'!$B$5,9+$F10),CG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CG$4=EDATE(EDATE('核心假设'!$B$5,9+$F10),$D10),SUM('融资租赁与资金缺口'!$D$5:$D$16)*$V10*'核心假设'!$B$32,0),0),IF(AND(CG$4&gt;EDATE('核心假设'!$B$5,10+$F10),CG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CG$4=EDATE(EDATE('核心假设'!$B$5,10+$F10),$D10),SUM('融资租赁与资金缺口'!$D$5:$D$16)*$W10*'核心假设'!$B$32,0),0),IF(AND(CG$4&gt;EDATE('核心假设'!$B$5,11+$F10),CG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CG$4=EDATE(EDATE('核心假设'!$B$5,11+$F10),$D10),SUM('融资租赁与资金缺口'!$D$5:$D$16)*$X10*'核心假设'!$B$32,0),0),IF(AND(CG$4&gt;EDATE('核心假设'!$B$5,12+$F10),CG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CG$4=EDATE(EDATE('核心假设'!$B$5,12+$F10),$D10),SUM('融资租赁与资金缺口'!$D$5:$D$16)*$Y10*'核心假设'!$B$32,0),0),IF(AND(CG$4&gt;EDATE('核心假设'!$B$5,13+$F10),CG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CG$4=EDATE(EDATE('核心假设'!$B$5,13+$F10),$D10),SUM('融资租赁与资金缺口'!$D$5:$D$16)*$Z10*'核心假设'!$B$32,0),0),IF(AND(CG$4&gt;EDATE('核心假设'!$B$5,14+$F10),CG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CG$4=EDATE(EDATE('核心假设'!$B$5,14+$F10),$D10),SUM('融资租赁与资金缺口'!$D$5:$D$16)*$AA10*'核心假设'!$B$32,0),0),IF(AND(CG$4&gt;EDATE('核心假设'!$B$5,15+$F10),CG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CG$4=EDATE(EDATE('核心假设'!$B$5,15+$F10),$D10),SUM('融资租赁与资金缺口'!$D$5:$D$16)*$AB10*'核心假设'!$B$32,0),0),IF(AND(CG$4&gt;EDATE('核心假设'!$B$5,16+$F10),CG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CG$4=EDATE(EDATE('核心假设'!$B$5,16+$F10),$D10),SUM('融资租赁与资金缺口'!$D$5:$D$16)*$AC10*'核心假设'!$B$32,0),0),IF(AND(CG$4&gt;EDATE('核心假设'!$B$5,17+$F10),CG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CG$4=EDATE(EDATE('核心假设'!$B$5,17+$F10),$D10),SUM('融资租赁与资金缺口'!$D$5:$D$16)*$AD10*'核心假设'!$B$32,0),0))</x:f>
        <x:v>2077945.0898077083</x:v>
      </x:c>
      <x:c r="CH37" s="28" t="n">
        <x:f>SUM(IF(AND(CH$4&gt;EDATE('核心假设'!$B$5,0+$F10),CH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CH$4=EDATE(EDATE('核心假设'!$B$5,0+$F10),$D10),SUM('融资租赁与资金缺口'!$D$5:$D$16)*$M10*'核心假设'!$B$32,0),0),IF(AND(CH$4&gt;EDATE('核心假设'!$B$5,1+$F10),CH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CH$4=EDATE(EDATE('核心假设'!$B$5,1+$F10),$D10),SUM('融资租赁与资金缺口'!$D$5:$D$16)*$N10*'核心假设'!$B$32,0),0),IF(AND(CH$4&gt;EDATE('核心假设'!$B$5,2+$F10),CH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CH$4=EDATE(EDATE('核心假设'!$B$5,2+$F10),$D10),SUM('融资租赁与资金缺口'!$D$5:$D$16)*$O10*'核心假设'!$B$32,0),0),IF(AND(CH$4&gt;EDATE('核心假设'!$B$5,3+$F10),CH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CH$4=EDATE(EDATE('核心假设'!$B$5,3+$F10),$D10),SUM('融资租赁与资金缺口'!$D$5:$D$16)*$P10*'核心假设'!$B$32,0),0),IF(AND(CH$4&gt;EDATE('核心假设'!$B$5,4+$F10),CH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CH$4=EDATE(EDATE('核心假设'!$B$5,4+$F10),$D10),SUM('融资租赁与资金缺口'!$D$5:$D$16)*$Q10*'核心假设'!$B$32,0),0),IF(AND(CH$4&gt;EDATE('核心假设'!$B$5,5+$F10),CH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CH$4=EDATE(EDATE('核心假设'!$B$5,5+$F10),$D10),SUM('融资租赁与资金缺口'!$D$5:$D$16)*$R10*'核心假设'!$B$32,0),0),IF(AND(CH$4&gt;EDATE('核心假设'!$B$5,6+$F10),CH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CH$4=EDATE(EDATE('核心假设'!$B$5,6+$F10),$D10),SUM('融资租赁与资金缺口'!$D$5:$D$16)*$S10*'核心假设'!$B$32,0),0),IF(AND(CH$4&gt;EDATE('核心假设'!$B$5,7+$F10),CH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CH$4=EDATE(EDATE('核心假设'!$B$5,7+$F10),$D10),SUM('融资租赁与资金缺口'!$D$5:$D$16)*$T10*'核心假设'!$B$32,0),0),IF(AND(CH$4&gt;EDATE('核心假设'!$B$5,8+$F10),CH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CH$4=EDATE(EDATE('核心假设'!$B$5,8+$F10),$D10),SUM('融资租赁与资金缺口'!$D$5:$D$16)*$U10*'核心假设'!$B$32,0),0),IF(AND(CH$4&gt;EDATE('核心假设'!$B$5,9+$F10),CH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CH$4=EDATE(EDATE('核心假设'!$B$5,9+$F10),$D10),SUM('融资租赁与资金缺口'!$D$5:$D$16)*$V10*'核心假设'!$B$32,0),0),IF(AND(CH$4&gt;EDATE('核心假设'!$B$5,10+$F10),CH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CH$4=EDATE(EDATE('核心假设'!$B$5,10+$F10),$D10),SUM('融资租赁与资金缺口'!$D$5:$D$16)*$W10*'核心假设'!$B$32,0),0),IF(AND(CH$4&gt;EDATE('核心假设'!$B$5,11+$F10),CH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CH$4=EDATE(EDATE('核心假设'!$B$5,11+$F10),$D10),SUM('融资租赁与资金缺口'!$D$5:$D$16)*$X10*'核心假设'!$B$32,0),0),IF(AND(CH$4&gt;EDATE('核心假设'!$B$5,12+$F10),CH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CH$4=EDATE(EDATE('核心假设'!$B$5,12+$F10),$D10),SUM('融资租赁与资金缺口'!$D$5:$D$16)*$Y10*'核心假设'!$B$32,0),0),IF(AND(CH$4&gt;EDATE('核心假设'!$B$5,13+$F10),CH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CH$4=EDATE(EDATE('核心假设'!$B$5,13+$F10),$D10),SUM('融资租赁与资金缺口'!$D$5:$D$16)*$Z10*'核心假设'!$B$32,0),0),IF(AND(CH$4&gt;EDATE('核心假设'!$B$5,14+$F10),CH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CH$4=EDATE(EDATE('核心假设'!$B$5,14+$F10),$D10),SUM('融资租赁与资金缺口'!$D$5:$D$16)*$AA10*'核心假设'!$B$32,0),0),IF(AND(CH$4&gt;EDATE('核心假设'!$B$5,15+$F10),CH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CH$4=EDATE(EDATE('核心假设'!$B$5,15+$F10),$D10),SUM('融资租赁与资金缺口'!$D$5:$D$16)*$AB10*'核心假设'!$B$32,0),0),IF(AND(CH$4&gt;EDATE('核心假设'!$B$5,16+$F10),CH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CH$4=EDATE(EDATE('核心假设'!$B$5,16+$F10),$D10),SUM('融资租赁与资金缺口'!$D$5:$D$16)*$AC10*'核心假设'!$B$32,0),0),IF(AND(CH$4&gt;EDATE('核心假设'!$B$5,17+$F10),CH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CH$4=EDATE(EDATE('核心假设'!$B$5,17+$F10),$D10),SUM('融资租赁与资金缺口'!$D$5:$D$16)*$AD10*'核心假设'!$B$32,0),0))</x:f>
        <x:v>1328886.2091124358</x:v>
      </x:c>
      <x:c r="CI37" s="28" t="n">
        <x:f>SUM(IF(AND(CI$4&gt;EDATE('核心假设'!$B$5,0+$F10),CI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CI$4=EDATE(EDATE('核心假设'!$B$5,0+$F10),$D10),SUM('融资租赁与资金缺口'!$D$5:$D$16)*$M10*'核心假设'!$B$32,0),0),IF(AND(CI$4&gt;EDATE('核心假设'!$B$5,1+$F10),CI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CI$4=EDATE(EDATE('核心假设'!$B$5,1+$F10),$D10),SUM('融资租赁与资金缺口'!$D$5:$D$16)*$N10*'核心假设'!$B$32,0),0),IF(AND(CI$4&gt;EDATE('核心假设'!$B$5,2+$F10),CI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CI$4=EDATE(EDATE('核心假设'!$B$5,2+$F10),$D10),SUM('融资租赁与资金缺口'!$D$5:$D$16)*$O10*'核心假设'!$B$32,0),0),IF(AND(CI$4&gt;EDATE('核心假设'!$B$5,3+$F10),CI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CI$4=EDATE(EDATE('核心假设'!$B$5,3+$F10),$D10),SUM('融资租赁与资金缺口'!$D$5:$D$16)*$P10*'核心假设'!$B$32,0),0),IF(AND(CI$4&gt;EDATE('核心假设'!$B$5,4+$F10),CI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CI$4=EDATE(EDATE('核心假设'!$B$5,4+$F10),$D10),SUM('融资租赁与资金缺口'!$D$5:$D$16)*$Q10*'核心假设'!$B$32,0),0),IF(AND(CI$4&gt;EDATE('核心假设'!$B$5,5+$F10),CI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CI$4=EDATE(EDATE('核心假设'!$B$5,5+$F10),$D10),SUM('融资租赁与资金缺口'!$D$5:$D$16)*$R10*'核心假设'!$B$32,0),0),IF(AND(CI$4&gt;EDATE('核心假设'!$B$5,6+$F10),CI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CI$4=EDATE(EDATE('核心假设'!$B$5,6+$F10),$D10),SUM('融资租赁与资金缺口'!$D$5:$D$16)*$S10*'核心假设'!$B$32,0),0),IF(AND(CI$4&gt;EDATE('核心假设'!$B$5,7+$F10),CI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CI$4=EDATE(EDATE('核心假设'!$B$5,7+$F10),$D10),SUM('融资租赁与资金缺口'!$D$5:$D$16)*$T10*'核心假设'!$B$32,0),0),IF(AND(CI$4&gt;EDATE('核心假设'!$B$5,8+$F10),CI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CI$4=EDATE(EDATE('核心假设'!$B$5,8+$F10),$D10),SUM('融资租赁与资金缺口'!$D$5:$D$16)*$U10*'核心假设'!$B$32,0),0),IF(AND(CI$4&gt;EDATE('核心假设'!$B$5,9+$F10),CI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CI$4=EDATE(EDATE('核心假设'!$B$5,9+$F10),$D10),SUM('融资租赁与资金缺口'!$D$5:$D$16)*$V10*'核心假设'!$B$32,0),0),IF(AND(CI$4&gt;EDATE('核心假设'!$B$5,10+$F10),CI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CI$4=EDATE(EDATE('核心假设'!$B$5,10+$F10),$D10),SUM('融资租赁与资金缺口'!$D$5:$D$16)*$W10*'核心假设'!$B$32,0),0),IF(AND(CI$4&gt;EDATE('核心假设'!$B$5,11+$F10),CI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CI$4=EDATE(EDATE('核心假设'!$B$5,11+$F10),$D10),SUM('融资租赁与资金缺口'!$D$5:$D$16)*$X10*'核心假设'!$B$32,0),0),IF(AND(CI$4&gt;EDATE('核心假设'!$B$5,12+$F10),CI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CI$4=EDATE(EDATE('核心假设'!$B$5,12+$F10),$D10),SUM('融资租赁与资金缺口'!$D$5:$D$16)*$Y10*'核心假设'!$B$32,0),0),IF(AND(CI$4&gt;EDATE('核心假设'!$B$5,13+$F10),CI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CI$4=EDATE(EDATE('核心假设'!$B$5,13+$F10),$D10),SUM('融资租赁与资金缺口'!$D$5:$D$16)*$Z10*'核心假设'!$B$32,0),0),IF(AND(CI$4&gt;EDATE('核心假设'!$B$5,14+$F10),CI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CI$4=EDATE(EDATE('核心假设'!$B$5,14+$F10),$D10),SUM('融资租赁与资金缺口'!$D$5:$D$16)*$AA10*'核心假设'!$B$32,0),0),IF(AND(CI$4&gt;EDATE('核心假设'!$B$5,15+$F10),CI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CI$4=EDATE(EDATE('核心假设'!$B$5,15+$F10),$D10),SUM('融资租赁与资金缺口'!$D$5:$D$16)*$AB10*'核心假设'!$B$32,0),0),IF(AND(CI$4&gt;EDATE('核心假设'!$B$5,16+$F10),CI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CI$4=EDATE(EDATE('核心假设'!$B$5,16+$F10),$D10),SUM('融资租赁与资金缺口'!$D$5:$D$16)*$AC10*'核心假设'!$B$32,0),0),IF(AND(CI$4&gt;EDATE('核心假设'!$B$5,17+$F10),CI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CI$4=EDATE(EDATE('核心假设'!$B$5,17+$F10),$D10),SUM('融资租赁与资金缺口'!$D$5:$D$16)*$AD10*'核心假设'!$B$32,0),0))</x:f>
        <x:v>773103.1045562179</x:v>
      </x:c>
      <x:c r="CJ37" s="28" t="n">
        <x:f>SUM(IF(AND(CJ$4&gt;EDATE('核心假设'!$B$5,0+$F10),CJ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CJ$4=EDATE(EDATE('核心假设'!$B$5,0+$F10),$D10),SUM('融资租赁与资金缺口'!$D$5:$D$16)*$M10*'核心假设'!$B$32,0),0),IF(AND(CJ$4&gt;EDATE('核心假设'!$B$5,1+$F10),CJ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CJ$4=EDATE(EDATE('核心假设'!$B$5,1+$F10),$D10),SUM('融资租赁与资金缺口'!$D$5:$D$16)*$N10*'核心假设'!$B$32,0),0),IF(AND(CJ$4&gt;EDATE('核心假设'!$B$5,2+$F10),CJ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CJ$4=EDATE(EDATE('核心假设'!$B$5,2+$F10),$D10),SUM('融资租赁与资金缺口'!$D$5:$D$16)*$O10*'核心假设'!$B$32,0),0),IF(AND(CJ$4&gt;EDATE('核心假设'!$B$5,3+$F10),CJ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CJ$4=EDATE(EDATE('核心假设'!$B$5,3+$F10),$D10),SUM('融资租赁与资金缺口'!$D$5:$D$16)*$P10*'核心假设'!$B$32,0),0),IF(AND(CJ$4&gt;EDATE('核心假设'!$B$5,4+$F10),CJ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CJ$4=EDATE(EDATE('核心假设'!$B$5,4+$F10),$D10),SUM('融资租赁与资金缺口'!$D$5:$D$16)*$Q10*'核心假设'!$B$32,0),0),IF(AND(CJ$4&gt;EDATE('核心假设'!$B$5,5+$F10),CJ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CJ$4=EDATE(EDATE('核心假设'!$B$5,5+$F10),$D10),SUM('融资租赁与资金缺口'!$D$5:$D$16)*$R10*'核心假设'!$B$32,0),0),IF(AND(CJ$4&gt;EDATE('核心假设'!$B$5,6+$F10),CJ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CJ$4=EDATE(EDATE('核心假设'!$B$5,6+$F10),$D10),SUM('融资租赁与资金缺口'!$D$5:$D$16)*$S10*'核心假设'!$B$32,0),0),IF(AND(CJ$4&gt;EDATE('核心假设'!$B$5,7+$F10),CJ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CJ$4=EDATE(EDATE('核心假设'!$B$5,7+$F10),$D10),SUM('融资租赁与资金缺口'!$D$5:$D$16)*$T10*'核心假设'!$B$32,0),0),IF(AND(CJ$4&gt;EDATE('核心假设'!$B$5,8+$F10),CJ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CJ$4=EDATE(EDATE('核心假设'!$B$5,8+$F10),$D10),SUM('融资租赁与资金缺口'!$D$5:$D$16)*$U10*'核心假设'!$B$32,0),0),IF(AND(CJ$4&gt;EDATE('核心假设'!$B$5,9+$F10),CJ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CJ$4=EDATE(EDATE('核心假设'!$B$5,9+$F10),$D10),SUM('融资租赁与资金缺口'!$D$5:$D$16)*$V10*'核心假设'!$B$32,0),0),IF(AND(CJ$4&gt;EDATE('核心假设'!$B$5,10+$F10),CJ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CJ$4=EDATE(EDATE('核心假设'!$B$5,10+$F10),$D10),SUM('融资租赁与资金缺口'!$D$5:$D$16)*$W10*'核心假设'!$B$32,0),0),IF(AND(CJ$4&gt;EDATE('核心假设'!$B$5,11+$F10),CJ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CJ$4=EDATE(EDATE('核心假设'!$B$5,11+$F10),$D10),SUM('融资租赁与资金缺口'!$D$5:$D$16)*$X10*'核心假设'!$B$32,0),0),IF(AND(CJ$4&gt;EDATE('核心假设'!$B$5,12+$F10),CJ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CJ$4=EDATE(EDATE('核心假设'!$B$5,12+$F10),$D10),SUM('融资租赁与资金缺口'!$D$5:$D$16)*$Y10*'核心假设'!$B$32,0),0),IF(AND(CJ$4&gt;EDATE('核心假设'!$B$5,13+$F10),CJ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CJ$4=EDATE(EDATE('核心假设'!$B$5,13+$F10),$D10),SUM('融资租赁与资金缺口'!$D$5:$D$16)*$Z10*'核心假设'!$B$32,0),0),IF(AND(CJ$4&gt;EDATE('核心假设'!$B$5,14+$F10),CJ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CJ$4=EDATE(EDATE('核心假设'!$B$5,14+$F10),$D10),SUM('融资租赁与资金缺口'!$D$5:$D$16)*$AA10*'核心假设'!$B$32,0),0),IF(AND(CJ$4&gt;EDATE('核心假设'!$B$5,15+$F10),CJ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CJ$4=EDATE(EDATE('核心假设'!$B$5,15+$F10),$D10),SUM('融资租赁与资金缺口'!$D$5:$D$16)*$AB10*'核心假设'!$B$32,0),0),IF(AND(CJ$4&gt;EDATE('核心假设'!$B$5,16+$F10),CJ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CJ$4=EDATE(EDATE('核心假设'!$B$5,16+$F10),$D10),SUM('融资租赁与资金缺口'!$D$5:$D$16)*$AC10*'核心假设'!$B$32,0),0),IF(AND(CJ$4&gt;EDATE('核心假设'!$B$5,17+$F10),CJ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CJ$4=EDATE(EDATE('核心假设'!$B$5,17+$F10),$D10),SUM('融资租赁与资金缺口'!$D$5:$D$16)*$AD10*'核心假设'!$B$32,0),0))</x:f>
        <x:v>0</x:v>
      </x:c>
      <x:c r="CK37" s="28" t="n">
        <x:f>SUM(IF(AND(CK$4&gt;EDATE('核心假设'!$B$5,0+$F10),CK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CK$4=EDATE(EDATE('核心假设'!$B$5,0+$F10),$D10),SUM('融资租赁与资金缺口'!$D$5:$D$16)*$M10*'核心假设'!$B$32,0),0),IF(AND(CK$4&gt;EDATE('核心假设'!$B$5,1+$F10),CK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CK$4=EDATE(EDATE('核心假设'!$B$5,1+$F10),$D10),SUM('融资租赁与资金缺口'!$D$5:$D$16)*$N10*'核心假设'!$B$32,0),0),IF(AND(CK$4&gt;EDATE('核心假设'!$B$5,2+$F10),CK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CK$4=EDATE(EDATE('核心假设'!$B$5,2+$F10),$D10),SUM('融资租赁与资金缺口'!$D$5:$D$16)*$O10*'核心假设'!$B$32,0),0),IF(AND(CK$4&gt;EDATE('核心假设'!$B$5,3+$F10),CK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CK$4=EDATE(EDATE('核心假设'!$B$5,3+$F10),$D10),SUM('融资租赁与资金缺口'!$D$5:$D$16)*$P10*'核心假设'!$B$32,0),0),IF(AND(CK$4&gt;EDATE('核心假设'!$B$5,4+$F10),CK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CK$4=EDATE(EDATE('核心假设'!$B$5,4+$F10),$D10),SUM('融资租赁与资金缺口'!$D$5:$D$16)*$Q10*'核心假设'!$B$32,0),0),IF(AND(CK$4&gt;EDATE('核心假设'!$B$5,5+$F10),CK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CK$4=EDATE(EDATE('核心假设'!$B$5,5+$F10),$D10),SUM('融资租赁与资金缺口'!$D$5:$D$16)*$R10*'核心假设'!$B$32,0),0),IF(AND(CK$4&gt;EDATE('核心假设'!$B$5,6+$F10),CK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CK$4=EDATE(EDATE('核心假设'!$B$5,6+$F10),$D10),SUM('融资租赁与资金缺口'!$D$5:$D$16)*$S10*'核心假设'!$B$32,0),0),IF(AND(CK$4&gt;EDATE('核心假设'!$B$5,7+$F10),CK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CK$4=EDATE(EDATE('核心假设'!$B$5,7+$F10),$D10),SUM('融资租赁与资金缺口'!$D$5:$D$16)*$T10*'核心假设'!$B$32,0),0),IF(AND(CK$4&gt;EDATE('核心假设'!$B$5,8+$F10),CK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CK$4=EDATE(EDATE('核心假设'!$B$5,8+$F10),$D10),SUM('融资租赁与资金缺口'!$D$5:$D$16)*$U10*'核心假设'!$B$32,0),0),IF(AND(CK$4&gt;EDATE('核心假设'!$B$5,9+$F10),CK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CK$4=EDATE(EDATE('核心假设'!$B$5,9+$F10),$D10),SUM('融资租赁与资金缺口'!$D$5:$D$16)*$V10*'核心假设'!$B$32,0),0),IF(AND(CK$4&gt;EDATE('核心假设'!$B$5,10+$F10),CK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CK$4=EDATE(EDATE('核心假设'!$B$5,10+$F10),$D10),SUM('融资租赁与资金缺口'!$D$5:$D$16)*$W10*'核心假设'!$B$32,0),0),IF(AND(CK$4&gt;EDATE('核心假设'!$B$5,11+$F10),CK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CK$4=EDATE(EDATE('核心假设'!$B$5,11+$F10),$D10),SUM('融资租赁与资金缺口'!$D$5:$D$16)*$X10*'核心假设'!$B$32,0),0),IF(AND(CK$4&gt;EDATE('核心假设'!$B$5,12+$F10),CK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CK$4=EDATE(EDATE('核心假设'!$B$5,12+$F10),$D10),SUM('融资租赁与资金缺口'!$D$5:$D$16)*$Y10*'核心假设'!$B$32,0),0),IF(AND(CK$4&gt;EDATE('核心假设'!$B$5,13+$F10),CK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CK$4=EDATE(EDATE('核心假设'!$B$5,13+$F10),$D10),SUM('融资租赁与资金缺口'!$D$5:$D$16)*$Z10*'核心假设'!$B$32,0),0),IF(AND(CK$4&gt;EDATE('核心假设'!$B$5,14+$F10),CK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CK$4=EDATE(EDATE('核心假设'!$B$5,14+$F10),$D10),SUM('融资租赁与资金缺口'!$D$5:$D$16)*$AA10*'核心假设'!$B$32,0),0),IF(AND(CK$4&gt;EDATE('核心假设'!$B$5,15+$F10),CK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CK$4=EDATE(EDATE('核心假设'!$B$5,15+$F10),$D10),SUM('融资租赁与资金缺口'!$D$5:$D$16)*$AB10*'核心假设'!$B$32,0),0),IF(AND(CK$4&gt;EDATE('核心假设'!$B$5,16+$F10),CK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CK$4=EDATE(EDATE('核心假设'!$B$5,16+$F10),$D10),SUM('融资租赁与资金缺口'!$D$5:$D$16)*$AC10*'核心假设'!$B$32,0),0),IF(AND(CK$4&gt;EDATE('核心假设'!$B$5,17+$F10),CK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CK$4=EDATE(EDATE('核心假设'!$B$5,17+$F10),$D10),SUM('融资租赁与资金缺口'!$D$5:$D$16)*$AD10*'核心假设'!$B$32,0),0))</x:f>
        <x:v>0</x:v>
      </x:c>
      <x:c r="CL37" s="28" t="n">
        <x:f>SUM(IF(AND(CL$4&gt;EDATE('核心假设'!$B$5,0+$F10),CL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CL$4=EDATE(EDATE('核心假设'!$B$5,0+$F10),$D10),SUM('融资租赁与资金缺口'!$D$5:$D$16)*$M10*'核心假设'!$B$32,0),0),IF(AND(CL$4&gt;EDATE('核心假设'!$B$5,1+$F10),CL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CL$4=EDATE(EDATE('核心假设'!$B$5,1+$F10),$D10),SUM('融资租赁与资金缺口'!$D$5:$D$16)*$N10*'核心假设'!$B$32,0),0),IF(AND(CL$4&gt;EDATE('核心假设'!$B$5,2+$F10),CL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CL$4=EDATE(EDATE('核心假设'!$B$5,2+$F10),$D10),SUM('融资租赁与资金缺口'!$D$5:$D$16)*$O10*'核心假设'!$B$32,0),0),IF(AND(CL$4&gt;EDATE('核心假设'!$B$5,3+$F10),CL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CL$4=EDATE(EDATE('核心假设'!$B$5,3+$F10),$D10),SUM('融资租赁与资金缺口'!$D$5:$D$16)*$P10*'核心假设'!$B$32,0),0),IF(AND(CL$4&gt;EDATE('核心假设'!$B$5,4+$F10),CL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CL$4=EDATE(EDATE('核心假设'!$B$5,4+$F10),$D10),SUM('融资租赁与资金缺口'!$D$5:$D$16)*$Q10*'核心假设'!$B$32,0),0),IF(AND(CL$4&gt;EDATE('核心假设'!$B$5,5+$F10),CL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CL$4=EDATE(EDATE('核心假设'!$B$5,5+$F10),$D10),SUM('融资租赁与资金缺口'!$D$5:$D$16)*$R10*'核心假设'!$B$32,0),0),IF(AND(CL$4&gt;EDATE('核心假设'!$B$5,6+$F10),CL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CL$4=EDATE(EDATE('核心假设'!$B$5,6+$F10),$D10),SUM('融资租赁与资金缺口'!$D$5:$D$16)*$S10*'核心假设'!$B$32,0),0),IF(AND(CL$4&gt;EDATE('核心假设'!$B$5,7+$F10),CL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CL$4=EDATE(EDATE('核心假设'!$B$5,7+$F10),$D10),SUM('融资租赁与资金缺口'!$D$5:$D$16)*$T10*'核心假设'!$B$32,0),0),IF(AND(CL$4&gt;EDATE('核心假设'!$B$5,8+$F10),CL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CL$4=EDATE(EDATE('核心假设'!$B$5,8+$F10),$D10),SUM('融资租赁与资金缺口'!$D$5:$D$16)*$U10*'核心假设'!$B$32,0),0),IF(AND(CL$4&gt;EDATE('核心假设'!$B$5,9+$F10),CL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CL$4=EDATE(EDATE('核心假设'!$B$5,9+$F10),$D10),SUM('融资租赁与资金缺口'!$D$5:$D$16)*$V10*'核心假设'!$B$32,0),0),IF(AND(CL$4&gt;EDATE('核心假设'!$B$5,10+$F10),CL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CL$4=EDATE(EDATE('核心假设'!$B$5,10+$F10),$D10),SUM('融资租赁与资金缺口'!$D$5:$D$16)*$W10*'核心假设'!$B$32,0),0),IF(AND(CL$4&gt;EDATE('核心假设'!$B$5,11+$F10),CL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CL$4=EDATE(EDATE('核心假设'!$B$5,11+$F10),$D10),SUM('融资租赁与资金缺口'!$D$5:$D$16)*$X10*'核心假设'!$B$32,0),0),IF(AND(CL$4&gt;EDATE('核心假设'!$B$5,12+$F10),CL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CL$4=EDATE(EDATE('核心假设'!$B$5,12+$F10),$D10),SUM('融资租赁与资金缺口'!$D$5:$D$16)*$Y10*'核心假设'!$B$32,0),0),IF(AND(CL$4&gt;EDATE('核心假设'!$B$5,13+$F10),CL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CL$4=EDATE(EDATE('核心假设'!$B$5,13+$F10),$D10),SUM('融资租赁与资金缺口'!$D$5:$D$16)*$Z10*'核心假设'!$B$32,0),0),IF(AND(CL$4&gt;EDATE('核心假设'!$B$5,14+$F10),CL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CL$4=EDATE(EDATE('核心假设'!$B$5,14+$F10),$D10),SUM('融资租赁与资金缺口'!$D$5:$D$16)*$AA10*'核心假设'!$B$32,0),0),IF(AND(CL$4&gt;EDATE('核心假设'!$B$5,15+$F10),CL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CL$4=EDATE(EDATE('核心假设'!$B$5,15+$F10),$D10),SUM('融资租赁与资金缺口'!$D$5:$D$16)*$AB10*'核心假设'!$B$32,0),0),IF(AND(CL$4&gt;EDATE('核心假设'!$B$5,16+$F10),CL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CL$4=EDATE(EDATE('核心假设'!$B$5,16+$F10),$D10),SUM('融资租赁与资金缺口'!$D$5:$D$16)*$AC10*'核心假设'!$B$32,0),0),IF(AND(CL$4&gt;EDATE('核心假设'!$B$5,17+$F10),CL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CL$4=EDATE(EDATE('核心假设'!$B$5,17+$F10),$D10),SUM('融资租赁与资金缺口'!$D$5:$D$16)*$AD10*'核心假设'!$B$32,0),0))</x:f>
        <x:v>0</x:v>
      </x:c>
      <x:c r="CM37" s="28" t="n">
        <x:f>SUM(IF(AND(CM$4&gt;EDATE('核心假设'!$B$5,0+$F10),CM$4&lt;=EDATE(EDATE('核心假设'!$B$5,0+$F10),$D10)),IF($E10/12=0,(SUM('融资租赁与资金缺口'!$D$5:$D$16)*$M10*$C10-SUM('融资租赁与资金缺口'!$D$5:$D$16)*$M10*'核心假设'!$B$32)/$D10,(SUM('融资租赁与资金缺口'!$D$5:$D$16)*$M10*$C10-SUM('融资租赁与资金缺口'!$D$5:$D$16)*$M10*'核心假设'!$B$32/(1+$E10/12)^$D10)*$E10/12/(1-(1+$E10/12)^-$D10))+IF(CM$4=EDATE(EDATE('核心假设'!$B$5,0+$F10),$D10),SUM('融资租赁与资金缺口'!$D$5:$D$16)*$M10*'核心假设'!$B$32,0),0),IF(AND(CM$4&gt;EDATE('核心假设'!$B$5,1+$F10),CM$4&lt;=EDATE(EDATE('核心假设'!$B$5,1+$F10),$D10)),IF($E10/12=0,(SUM('融资租赁与资金缺口'!$D$5:$D$16)*$N10*$C10-SUM('融资租赁与资金缺口'!$D$5:$D$16)*$N10*'核心假设'!$B$32)/$D10,(SUM('融资租赁与资金缺口'!$D$5:$D$16)*$N10*$C10-SUM('融资租赁与资金缺口'!$D$5:$D$16)*$N10*'核心假设'!$B$32/(1+$E10/12)^$D10)*$E10/12/(1-(1+$E10/12)^-$D10))+IF(CM$4=EDATE(EDATE('核心假设'!$B$5,1+$F10),$D10),SUM('融资租赁与资金缺口'!$D$5:$D$16)*$N10*'核心假设'!$B$32,0),0),IF(AND(CM$4&gt;EDATE('核心假设'!$B$5,2+$F10),CM$4&lt;=EDATE(EDATE('核心假设'!$B$5,2+$F10),$D10)),IF($E10/12=0,(SUM('融资租赁与资金缺口'!$D$5:$D$16)*$O10*$C10-SUM('融资租赁与资金缺口'!$D$5:$D$16)*$O10*'核心假设'!$B$32)/$D10,(SUM('融资租赁与资金缺口'!$D$5:$D$16)*$O10*$C10-SUM('融资租赁与资金缺口'!$D$5:$D$16)*$O10*'核心假设'!$B$32/(1+$E10/12)^$D10)*$E10/12/(1-(1+$E10/12)^-$D10))+IF(CM$4=EDATE(EDATE('核心假设'!$B$5,2+$F10),$D10),SUM('融资租赁与资金缺口'!$D$5:$D$16)*$O10*'核心假设'!$B$32,0),0),IF(AND(CM$4&gt;EDATE('核心假设'!$B$5,3+$F10),CM$4&lt;=EDATE(EDATE('核心假设'!$B$5,3+$F10),$D10)),IF($E10/12=0,(SUM('融资租赁与资金缺口'!$D$5:$D$16)*$P10*$C10-SUM('融资租赁与资金缺口'!$D$5:$D$16)*$P10*'核心假设'!$B$32)/$D10,(SUM('融资租赁与资金缺口'!$D$5:$D$16)*$P10*$C10-SUM('融资租赁与资金缺口'!$D$5:$D$16)*$P10*'核心假设'!$B$32/(1+$E10/12)^$D10)*$E10/12/(1-(1+$E10/12)^-$D10))+IF(CM$4=EDATE(EDATE('核心假设'!$B$5,3+$F10),$D10),SUM('融资租赁与资金缺口'!$D$5:$D$16)*$P10*'核心假设'!$B$32,0),0),IF(AND(CM$4&gt;EDATE('核心假设'!$B$5,4+$F10),CM$4&lt;=EDATE(EDATE('核心假设'!$B$5,4+$F10),$D10)),IF($E10/12=0,(SUM('融资租赁与资金缺口'!$D$5:$D$16)*$Q10*$C10-SUM('融资租赁与资金缺口'!$D$5:$D$16)*$Q10*'核心假设'!$B$32)/$D10,(SUM('融资租赁与资金缺口'!$D$5:$D$16)*$Q10*$C10-SUM('融资租赁与资金缺口'!$D$5:$D$16)*$Q10*'核心假设'!$B$32/(1+$E10/12)^$D10)*$E10/12/(1-(1+$E10/12)^-$D10))+IF(CM$4=EDATE(EDATE('核心假设'!$B$5,4+$F10),$D10),SUM('融资租赁与资金缺口'!$D$5:$D$16)*$Q10*'核心假设'!$B$32,0),0),IF(AND(CM$4&gt;EDATE('核心假设'!$B$5,5+$F10),CM$4&lt;=EDATE(EDATE('核心假设'!$B$5,5+$F10),$D10)),IF($E10/12=0,(SUM('融资租赁与资金缺口'!$D$5:$D$16)*$R10*$C10-SUM('融资租赁与资金缺口'!$D$5:$D$16)*$R10*'核心假设'!$B$32)/$D10,(SUM('融资租赁与资金缺口'!$D$5:$D$16)*$R10*$C10-SUM('融资租赁与资金缺口'!$D$5:$D$16)*$R10*'核心假设'!$B$32/(1+$E10/12)^$D10)*$E10/12/(1-(1+$E10/12)^-$D10))+IF(CM$4=EDATE(EDATE('核心假设'!$B$5,5+$F10),$D10),SUM('融资租赁与资金缺口'!$D$5:$D$16)*$R10*'核心假设'!$B$32,0),0),IF(AND(CM$4&gt;EDATE('核心假设'!$B$5,6+$F10),CM$4&lt;=EDATE(EDATE('核心假设'!$B$5,6+$F10),$D10)),IF($E10/12=0,(SUM('融资租赁与资金缺口'!$D$5:$D$16)*$S10*$C10-SUM('融资租赁与资金缺口'!$D$5:$D$16)*$S10*'核心假设'!$B$32)/$D10,(SUM('融资租赁与资金缺口'!$D$5:$D$16)*$S10*$C10-SUM('融资租赁与资金缺口'!$D$5:$D$16)*$S10*'核心假设'!$B$32/(1+$E10/12)^$D10)*$E10/12/(1-(1+$E10/12)^-$D10))+IF(CM$4=EDATE(EDATE('核心假设'!$B$5,6+$F10),$D10),SUM('融资租赁与资金缺口'!$D$5:$D$16)*$S10*'核心假设'!$B$32,0),0),IF(AND(CM$4&gt;EDATE('核心假设'!$B$5,7+$F10),CM$4&lt;=EDATE(EDATE('核心假设'!$B$5,7+$F10),$D10)),IF($E10/12=0,(SUM('融资租赁与资金缺口'!$D$5:$D$16)*$T10*$C10-SUM('融资租赁与资金缺口'!$D$5:$D$16)*$T10*'核心假设'!$B$32)/$D10,(SUM('融资租赁与资金缺口'!$D$5:$D$16)*$T10*$C10-SUM('融资租赁与资金缺口'!$D$5:$D$16)*$T10*'核心假设'!$B$32/(1+$E10/12)^$D10)*$E10/12/(1-(1+$E10/12)^-$D10))+IF(CM$4=EDATE(EDATE('核心假设'!$B$5,7+$F10),$D10),SUM('融资租赁与资金缺口'!$D$5:$D$16)*$T10*'核心假设'!$B$32,0),0),IF(AND(CM$4&gt;EDATE('核心假设'!$B$5,8+$F10),CM$4&lt;=EDATE(EDATE('核心假设'!$B$5,8+$F10),$D10)),IF($E10/12=0,(SUM('融资租赁与资金缺口'!$D$5:$D$16)*$U10*$C10-SUM('融资租赁与资金缺口'!$D$5:$D$16)*$U10*'核心假设'!$B$32)/$D10,(SUM('融资租赁与资金缺口'!$D$5:$D$16)*$U10*$C10-SUM('融资租赁与资金缺口'!$D$5:$D$16)*$U10*'核心假设'!$B$32/(1+$E10/12)^$D10)*$E10/12/(1-(1+$E10/12)^-$D10))+IF(CM$4=EDATE(EDATE('核心假设'!$B$5,8+$F10),$D10),SUM('融资租赁与资金缺口'!$D$5:$D$16)*$U10*'核心假设'!$B$32,0),0),IF(AND(CM$4&gt;EDATE('核心假设'!$B$5,9+$F10),CM$4&lt;=EDATE(EDATE('核心假设'!$B$5,9+$F10),$D10)),IF($E10/12=0,(SUM('融资租赁与资金缺口'!$D$5:$D$16)*$V10*$C10-SUM('融资租赁与资金缺口'!$D$5:$D$16)*$V10*'核心假设'!$B$32)/$D10,(SUM('融资租赁与资金缺口'!$D$5:$D$16)*$V10*$C10-SUM('融资租赁与资金缺口'!$D$5:$D$16)*$V10*'核心假设'!$B$32/(1+$E10/12)^$D10)*$E10/12/(1-(1+$E10/12)^-$D10))+IF(CM$4=EDATE(EDATE('核心假设'!$B$5,9+$F10),$D10),SUM('融资租赁与资金缺口'!$D$5:$D$16)*$V10*'核心假设'!$B$32,0),0),IF(AND(CM$4&gt;EDATE('核心假设'!$B$5,10+$F10),CM$4&lt;=EDATE(EDATE('核心假设'!$B$5,10+$F10),$D10)),IF($E10/12=0,(SUM('融资租赁与资金缺口'!$D$5:$D$16)*$W10*$C10-SUM('融资租赁与资金缺口'!$D$5:$D$16)*$W10*'核心假设'!$B$32)/$D10,(SUM('融资租赁与资金缺口'!$D$5:$D$16)*$W10*$C10-SUM('融资租赁与资金缺口'!$D$5:$D$16)*$W10*'核心假设'!$B$32/(1+$E10/12)^$D10)*$E10/12/(1-(1+$E10/12)^-$D10))+IF(CM$4=EDATE(EDATE('核心假设'!$B$5,10+$F10),$D10),SUM('融资租赁与资金缺口'!$D$5:$D$16)*$W10*'核心假设'!$B$32,0),0),IF(AND(CM$4&gt;EDATE('核心假设'!$B$5,11+$F10),CM$4&lt;=EDATE(EDATE('核心假设'!$B$5,11+$F10),$D10)),IF($E10/12=0,(SUM('融资租赁与资金缺口'!$D$5:$D$16)*$X10*$C10-SUM('融资租赁与资金缺口'!$D$5:$D$16)*$X10*'核心假设'!$B$32)/$D10,(SUM('融资租赁与资金缺口'!$D$5:$D$16)*$X10*$C10-SUM('融资租赁与资金缺口'!$D$5:$D$16)*$X10*'核心假设'!$B$32/(1+$E10/12)^$D10)*$E10/12/(1-(1+$E10/12)^-$D10))+IF(CM$4=EDATE(EDATE('核心假设'!$B$5,11+$F10),$D10),SUM('融资租赁与资金缺口'!$D$5:$D$16)*$X10*'核心假设'!$B$32,0),0),IF(AND(CM$4&gt;EDATE('核心假设'!$B$5,12+$F10),CM$4&lt;=EDATE(EDATE('核心假设'!$B$5,12+$F10),$D10)),IF($E10/12=0,(SUM('融资租赁与资金缺口'!$D$5:$D$16)*$Y10*$C10-SUM('融资租赁与资金缺口'!$D$5:$D$16)*$Y10*'核心假设'!$B$32)/$D10,(SUM('融资租赁与资金缺口'!$D$5:$D$16)*$Y10*$C10-SUM('融资租赁与资金缺口'!$D$5:$D$16)*$Y10*'核心假设'!$B$32/(1+$E10/12)^$D10)*$E10/12/(1-(1+$E10/12)^-$D10))+IF(CM$4=EDATE(EDATE('核心假设'!$B$5,12+$F10),$D10),SUM('融资租赁与资金缺口'!$D$5:$D$16)*$Y10*'核心假设'!$B$32,0),0),IF(AND(CM$4&gt;EDATE('核心假设'!$B$5,13+$F10),CM$4&lt;=EDATE(EDATE('核心假设'!$B$5,13+$F10),$D10)),IF($E10/12=0,(SUM('融资租赁与资金缺口'!$D$5:$D$16)*$Z10*$C10-SUM('融资租赁与资金缺口'!$D$5:$D$16)*$Z10*'核心假设'!$B$32)/$D10,(SUM('融资租赁与资金缺口'!$D$5:$D$16)*$Z10*$C10-SUM('融资租赁与资金缺口'!$D$5:$D$16)*$Z10*'核心假设'!$B$32/(1+$E10/12)^$D10)*$E10/12/(1-(1+$E10/12)^-$D10))+IF(CM$4=EDATE(EDATE('核心假设'!$B$5,13+$F10),$D10),SUM('融资租赁与资金缺口'!$D$5:$D$16)*$Z10*'核心假设'!$B$32,0),0),IF(AND(CM$4&gt;EDATE('核心假设'!$B$5,14+$F10),CM$4&lt;=EDATE(EDATE('核心假设'!$B$5,14+$F10),$D10)),IF($E10/12=0,(SUM('融资租赁与资金缺口'!$D$5:$D$16)*$AA10*$C10-SUM('融资租赁与资金缺口'!$D$5:$D$16)*$AA10*'核心假设'!$B$32)/$D10,(SUM('融资租赁与资金缺口'!$D$5:$D$16)*$AA10*$C10-SUM('融资租赁与资金缺口'!$D$5:$D$16)*$AA10*'核心假设'!$B$32/(1+$E10/12)^$D10)*$E10/12/(1-(1+$E10/12)^-$D10))+IF(CM$4=EDATE(EDATE('核心假设'!$B$5,14+$F10),$D10),SUM('融资租赁与资金缺口'!$D$5:$D$16)*$AA10*'核心假设'!$B$32,0),0),IF(AND(CM$4&gt;EDATE('核心假设'!$B$5,15+$F10),CM$4&lt;=EDATE(EDATE('核心假设'!$B$5,15+$F10),$D10)),IF($E10/12=0,(SUM('融资租赁与资金缺口'!$D$5:$D$16)*$AB10*$C10-SUM('融资租赁与资金缺口'!$D$5:$D$16)*$AB10*'核心假设'!$B$32)/$D10,(SUM('融资租赁与资金缺口'!$D$5:$D$16)*$AB10*$C10-SUM('融资租赁与资金缺口'!$D$5:$D$16)*$AB10*'核心假设'!$B$32/(1+$E10/12)^$D10)*$E10/12/(1-(1+$E10/12)^-$D10))+IF(CM$4=EDATE(EDATE('核心假设'!$B$5,15+$F10),$D10),SUM('融资租赁与资金缺口'!$D$5:$D$16)*$AB10*'核心假设'!$B$32,0),0),IF(AND(CM$4&gt;EDATE('核心假设'!$B$5,16+$F10),CM$4&lt;=EDATE(EDATE('核心假设'!$B$5,16+$F10),$D10)),IF($E10/12=0,(SUM('融资租赁与资金缺口'!$D$5:$D$16)*$AC10*$C10-SUM('融资租赁与资金缺口'!$D$5:$D$16)*$AC10*'核心假设'!$B$32)/$D10,(SUM('融资租赁与资金缺口'!$D$5:$D$16)*$AC10*$C10-SUM('融资租赁与资金缺口'!$D$5:$D$16)*$AC10*'核心假设'!$B$32/(1+$E10/12)^$D10)*$E10/12/(1-(1+$E10/12)^-$D10))+IF(CM$4=EDATE(EDATE('核心假设'!$B$5,16+$F10),$D10),SUM('融资租赁与资金缺口'!$D$5:$D$16)*$AC10*'核心假设'!$B$32,0),0),IF(AND(CM$4&gt;EDATE('核心假设'!$B$5,17+$F10),CM$4&lt;=EDATE(EDATE('核心假设'!$B$5,17+$F10),$D10)),IF($E10/12=0,(SUM('融资租赁与资金缺口'!$D$5:$D$16)*$AD10*$C10-SUM('融资租赁与资金缺口'!$D$5:$D$16)*$AD10*'核心假设'!$B$32)/$D10,(SUM('融资租赁与资金缺口'!$D$5:$D$16)*$AD10*$C10-SUM('融资租赁与资金缺口'!$D$5:$D$16)*$AD10*'核心假设'!$B$32/(1+$E10/12)^$D10)*$E10/12/(1-(1+$E10/12)^-$D10))+IF(CM$4=EDATE(EDATE('核心假设'!$B$5,17+$F10),$D10),SUM('融资租赁与资金缺口'!$D$5:$D$16)*$AD10*'核心假设'!$B$32,0),0))</x:f>
        <x:v>0</x:v>
      </x:c>
    </x:row>
    <x:row r="38">
      <x:c r="A38" s="62" t="str">
        <x:v>六情景峰值资金缺口勾稽</x:v>
      </x:c>
      <x:c r="B38" s="73" t="n">
        <x:f>MAX(ABS($K$5-MAX(0,-MIN($AF$10:$CM$10))),ABS($K$6-MAX(0,-MIN($AF$16:$CM$16))),ABS($K$7-MAX(0,-MIN($AF$22:$CM$22))),ABS($K$8-MAX(0,-MIN($AF$28:$CM$28))),ABS($K$9-MAX(0,-MIN($AF$34:$CM$34))),ABS($K$10-MAX(0,-MIN($AF$40:$CM$40))))</x:f>
        <x:v>0</x:v>
      </x:c>
      <x:c r="C38" s="73" t="n">
        <x:f>0</x:f>
        <x:v>0</x:v>
      </x:c>
      <x:c r="D38" s="75" t="n">
        <x:f>B38-C38</x:f>
        <x:v>0</x:v>
      </x:c>
      <x:c r="E38" s="75" t="n">
        <x:v>0.01</x:v>
      </x:c>
      <x:c r="F38" s="65" t="str">
        <x:f>IF(ABS(D38)&lt;=E38,"PASS","FAIL")</x:f>
        <x:v>PASS</x:v>
      </x:c>
      <x:c r="G38" s="64" t="str">
        <x:v>情景分析、检查与来源!K5:K10,AF10:CM40</x:v>
      </x:c>
      <x:c r="H38" s="66" t="str">
        <x:v>逐情景从月度累计现金独立重算峰值缺口并与结果列勾稽</x:v>
      </x:c>
      <x:c r="AE38" t="str">
        <x:v>DSCR</x:v>
      </x:c>
      <x:c r="AF38" s="28" t="str">
        <x:f>IF(AF37=0,"",AF36/AF37)</x:f>
      </x:c>
      <x:c r="AG38" s="28" t="str">
        <x:f>IF(AG37=0,"",AG36/AG37)</x:f>
      </x:c>
      <x:c r="AH38" s="28" t="str">
        <x:f>IF(AH37=0,"",AH36/AH37)</x:f>
      </x:c>
      <x:c r="AI38" s="28" t="n">
        <x:f>IF(AI37=0,"",AI36/AI37)</x:f>
        <x:v>4.776132352882035</x:v>
      </x:c>
      <x:c r="AJ38" s="28" t="n">
        <x:f>IF(AJ37=0,"",AJ36/AJ37)</x:f>
        <x:v>2.5713633543176226</x:v>
      </x:c>
      <x:c r="AK38" s="28" t="n">
        <x:f>IF(AK37=0,"",AK36/AK37)</x:f>
        <x:v>1.77181347514285</x:v>
      </x:c>
      <x:c r="AL38" s="28" t="n">
        <x:f>IF(AL37=0,"",AL36/AL37)</x:f>
        <x:v>1.6131937422735483</x:v>
      </x:c>
      <x:c r="AM38" s="28" t="n">
        <x:f>IF(AM37=0,"",AM36/AM37)</x:f>
        <x:v>1.5321622662163052</x:v>
      </x:c>
      <x:c r="AN38" s="28" t="n">
        <x:f>IF(AN37=0,"",AN36/AN37)</x:f>
        <x:v>1.461270416034919</x:v>
      </x:c>
      <x:c r="AO38" s="28" t="n">
        <x:f>IF(AO37=0,"",AO36/AO37)</x:f>
        <x:v>1.500255709761282</x:v>
      </x:c>
      <x:c r="AP38" s="28" t="n">
        <x:f>IF(AP37=0,"",AP36/AP37)</x:f>
        <x:v>1.5176183378846801</x:v>
      </x:c>
      <x:c r="AQ38" s="28" t="n">
        <x:f>IF(AQ37=0,"",AQ36/AQ37)</x:f>
        <x:v>1.5070205971288155</x:v>
      </x:c>
      <x:c r="AR38" s="28" t="n">
        <x:f>IF(AR37=0,"",AR36/AR37)</x:f>
        <x:v>1.363707076356675</x:v>
      </x:c>
      <x:c r="AS38" s="28" t="n">
        <x:f>IF(AS37=0,"",AS36/AS37)</x:f>
        <x:v>1.2843794846635994</x:v>
      </x:c>
      <x:c r="AT38" s="28" t="n">
        <x:f>IF(AT37=0,"",AT36/AT37)</x:f>
        <x:v>1.2732441093988849</x:v>
      </x:c>
      <x:c r="AU38" s="28" t="n">
        <x:f>IF(AU37=0,"",AU36/AU37)</x:f>
        <x:v>1.3641828032919314</x:v>
      </x:c>
      <x:c r="AV38" s="28" t="n">
        <x:f>IF(AV37=0,"",AV36/AV37)</x:f>
        <x:v>1.2154211846020104</x:v>
      </x:c>
      <x:c r="AW38" s="28" t="n">
        <x:f>IF(AW37=0,"",AW36/AW37)</x:f>
        <x:v>1.0050499238592614</x:v>
      </x:c>
      <x:c r="AX38" s="28" t="n">
        <x:f>IF(AX37=0,"",AX36/AX37)</x:f>
        <x:v>0.9861276499817118</x:v>
      </x:c>
      <x:c r="AY38" s="28" t="n">
        <x:f>IF(AY37=0,"",AY36/AY37)</x:f>
        <x:v>0.9681000830086256</x:v>
      </x:c>
      <x:c r="AZ38" s="28" t="n">
        <x:f>IF(AZ37=0,"",AZ36/AZ37)</x:f>
        <x:v>0.9599389615717955</x:v>
      </x:c>
      <x:c r="BA38" s="28" t="n">
        <x:f>IF(BA37=0,"",BA36/BA37)</x:f>
        <x:v>1.0357986656056926</x:v>
      </x:c>
      <x:c r="BB38" s="28" t="n">
        <x:f>IF(BB37=0,"",BB36/BB37)</x:f>
        <x:v>1.1105878799009736</x:v>
      </x:c>
      <x:c r="BC38" s="28" t="n">
        <x:f>IF(BC37=0,"",BC36/BC37)</x:f>
        <x:v>1.149277430878701</x:v>
      </x:c>
      <x:c r="BD38" s="28" t="n">
        <x:f>IF(BD37=0,"",BD36/BD37)</x:f>
        <x:v>1.0730027994063887</x:v>
      </x:c>
      <x:c r="BE38" s="28" t="n">
        <x:f>IF(BE37=0,"",BE36/BE37)</x:f>
        <x:v>1.0442109631411378</x:v>
      </x:c>
      <x:c r="BF38" s="28" t="n">
        <x:f>IF(BF37=0,"",BF36/BF37)</x:f>
        <x:v>1.06521406790261</x:v>
      </x:c>
      <x:c r="BG38" s="28" t="n">
        <x:f>IF(BG37=0,"",BG36/BG37)</x:f>
        <x:v>1.1783221265333974</x:v>
      </x:c>
      <x:c r="BH38" s="28" t="n">
        <x:f>IF(BH37=0,"",BH36/BH37)</x:f>
        <x:v>1.0752415460109532</x:v>
      </x:c>
      <x:c r="BI38" s="28" t="n">
        <x:f>IF(BI37=0,"",BI36/BI37)</x:f>
        <x:v>0.8795102990330032</x:v>
      </x:c>
      <x:c r="BJ38" s="28" t="n">
        <x:f>IF(BJ37=0,"",BJ36/BJ37)</x:f>
        <x:v>0.9274559783103402</x:v>
      </x:c>
      <x:c r="BK38" s="28" t="n">
        <x:f>IF(BK37=0,"",BK36/BK37)</x:f>
        <x:v>0.9394279588479536</x:v>
      </x:c>
      <x:c r="BL38" s="28" t="n">
        <x:f>IF(BL37=0,"",BL36/BL37)</x:f>
        <x:v>0.9641813595538322</x:v>
      </x:c>
      <x:c r="BM38" s="28" t="n">
        <x:f>IF(BM37=0,"",BM36/BM37)</x:f>
        <x:v>1.0370431173465084</x:v>
      </x:c>
      <x:c r="BN38" s="28" t="n">
        <x:f>IF(BN37=0,"",BN36/BN37)</x:f>
        <x:v>1.1105878799009736</x:v>
      </x:c>
      <x:c r="BO38" s="28" t="n">
        <x:f>IF(BO37=0,"",BO36/BO37)</x:f>
        <x:v>1.149277430878701</x:v>
      </x:c>
      <x:c r="BP38" s="28" t="n">
        <x:f>IF(BP37=0,"",BP36/BP37)</x:f>
        <x:v>1.0730027994063887</x:v>
      </x:c>
      <x:c r="BQ38" s="28" t="n">
        <x:f>IF(BQ37=0,"",BQ36/BQ37)</x:f>
        <x:v>1.0442109631411378</x:v>
      </x:c>
      <x:c r="BR38" s="28" t="n">
        <x:f>IF(BR37=0,"",BR36/BR37)</x:f>
        <x:v>1.0528634788323001</x:v>
      </x:c>
      <x:c r="BS38" s="28" t="n">
        <x:f>IF(BS37=0,"",BS36/BS37)</x:f>
        <x:v>1.1954885849351824</x:v>
      </x:c>
      <x:c r="BT38" s="28" t="n">
        <x:f>IF(BT37=0,"",BT36/BT37)</x:f>
        <x:v>1.1370509130004567</x:v>
      </x:c>
      <x:c r="BU38" s="28" t="n">
        <x:f>IF(BU37=0,"",BU36/BU37)</x:f>
        <x:v>0.9669721653260823</x:v>
      </x:c>
      <x:c r="BV38" s="28" t="n">
        <x:f>IF(BV37=0,"",BV36/BV37)</x:f>
        <x:v>1.079000783546822</x:v>
      </x:c>
      <x:c r="BW38" s="28" t="n">
        <x:f>IF(BW37=0,"",BW36/BW37)</x:f>
        <x:v>1.1548531715905554</x:v>
      </x:c>
      <x:c r="BX38" s="28" t="n">
        <x:f>IF(BX37=0,"",BX36/BX37)</x:f>
        <x:v>1.2796699798372309</x:v>
      </x:c>
      <x:c r="BY38" s="28" t="n">
        <x:f>IF(BY37=0,"",BY36/BY37)</x:f>
        <x:v>1.4870749645194117</x:v>
      </x:c>
      <x:c r="BZ38" s="28" t="n">
        <x:f>IF(BZ37=0,"",BZ36/BZ37)</x:f>
        <x:v>1.7702247740810022</x:v>
      </x:c>
      <x:c r="CA38" s="28" t="n">
        <x:f>IF(CA37=0,"",CA36/CA37)</x:f>
        <x:v>2.061960894780014</x:v>
      </x:c>
      <x:c r="CB38" s="28" t="n">
        <x:f>IF(CB37=0,"",CB36/CB37)</x:f>
        <x:v>2.201613471408223</x:v>
      </x:c>
      <x:c r="CC38" s="28" t="n">
        <x:f>IF(CC37=0,"",CC36/CC37)</x:f>
        <x:v>2.5018764843382786</x:v>
      </x:c>
      <x:c r="CD38" s="28" t="n">
        <x:f>IF(CD37=0,"",CD36/CD37)</x:f>
        <x:v>3.06650161728014</x:v>
      </x:c>
      <x:c r="CE38" s="28" t="n">
        <x:f>IF(CE37=0,"",CE36/CE37)</x:f>
        <x:v>4.308922804664858</x:v>
      </x:c>
      <x:c r="CF38" s="28" t="n">
        <x:f>IF(CF37=0,"",CF36/CF37)</x:f>
        <x:v>5.03718147337444</x:v>
      </x:c>
      <x:c r="CG38" s="28" t="n">
        <x:f>IF(CG37=0,"",CG36/CG37)</x:f>
        <x:v>5.881013974856344</x:v>
      </x:c>
      <x:c r="CH38" s="28" t="n">
        <x:f>IF(CH37=0,"",CH36/CH37)</x:f>
        <x:v>9.697300630970208</x:v>
      </x:c>
      <x:c r="CI38" s="28" t="n">
        <x:f>IF(CI37=0,"",CI36/CI37)</x:f>
        <x:v>16.883847199628587</x:v>
      </x:c>
      <x:c r="CJ38" s="28" t="str">
        <x:f>IF(CJ37=0,"",CJ36/CJ37)</x:f>
      </x:c>
      <x:c r="CK38" s="28" t="str">
        <x:f>IF(CK37=0,"",CK36/CK37)</x:f>
      </x:c>
      <x:c r="CL38" s="28" t="str">
        <x:f>IF(CL37=0,"",CL36/CL37)</x:f>
      </x:c>
      <x:c r="CM38" s="28" t="str">
        <x:f>IF(CM37=0,"",CM36/CM37)</x:f>
      </x:c>
    </x:row>
    <x:row r="39">
      <x:c r="A39" s="121" t="str">
        <x:v>外部构建门禁（不计入模型总状态）</x:v>
      </x:c>
      <x:c r="B39" s="121" t="str">
        <x:v>Node workbook.inspect</x:v>
      </x:c>
      <x:c r="C39" s="121" t="str"/>
      <x:c r="D39" s="121" t="str"/>
      <x:c r="E39" s="121" t="str"/>
      <x:c r="F39" s="121" t="str">
        <x:v>由测试单独判定</x:v>
      </x:c>
      <x:c r="G39" s="121" t="str">
        <x:v>tests/workbook_formulas.test.mjs</x:v>
      </x:c>
      <x:c r="H39" s="121" t="str">
        <x:v>五类Excel公式错误扫描</x:v>
      </x:c>
      <x:c r="AE39" t="str">
        <x:v>供应商付款</x:v>
      </x:c>
      <x:c r="AF39" s="28" t="n">
        <x:f>SUM(IF(EDATE('核心假设'!$B$5,0-1+'核心假设'!$B$31)&lt;=AF$4,SUM('融资租赁与资金缺口'!$M$5:$M$16)*$M10,0),IF(EDATE('核心假设'!$B$5,1-1+'核心假设'!$B$31)&lt;=AF$4,SUM('融资租赁与资金缺口'!$M$5:$M$16)*$N10,0),IF(EDATE('核心假设'!$B$5,2-1+'核心假设'!$B$31)&lt;=AF$4,SUM('融资租赁与资金缺口'!$M$5:$M$16)*$O10,0),IF(EDATE('核心假设'!$B$5,3-1+'核心假设'!$B$31)&lt;=AF$4,SUM('融资租赁与资金缺口'!$M$5:$M$16)*$P10,0),IF(EDATE('核心假设'!$B$5,4-1+'核心假设'!$B$31)&lt;=AF$4,SUM('融资租赁与资金缺口'!$M$5:$M$16)*$Q10,0),IF(EDATE('核心假设'!$B$5,5-1+'核心假设'!$B$31)&lt;=AF$4,SUM('融资租赁与资金缺口'!$M$5:$M$16)*$R10,0),IF(EDATE('核心假设'!$B$5,6-1+'核心假设'!$B$31)&lt;=AF$4,SUM('融资租赁与资金缺口'!$M$5:$M$16)*$S10,0),IF(EDATE('核心假设'!$B$5,7-1+'核心假设'!$B$31)&lt;=AF$4,SUM('融资租赁与资金缺口'!$M$5:$M$16)*$T10,0),IF(EDATE('核心假设'!$B$5,8-1+'核心假设'!$B$31)&lt;=AF$4,SUM('融资租赁与资金缺口'!$M$5:$M$16)*$U10,0),IF(EDATE('核心假设'!$B$5,9-1+'核心假设'!$B$31)&lt;=AF$4,SUM('融资租赁与资金缺口'!$M$5:$M$16)*$V10,0),IF(EDATE('核心假设'!$B$5,10-1+'核心假设'!$B$31)&lt;=AF$4,SUM('融资租赁与资金缺口'!$M$5:$M$16)*$W10,0),IF(EDATE('核心假设'!$B$5,11-1+'核心假设'!$B$31)&lt;=AF$4,SUM('融资租赁与资金缺口'!$M$5:$M$16)*$X10,0),IF(EDATE('核心假设'!$B$5,12-1+'核心假设'!$B$31)&lt;=AF$4,SUM('融资租赁与资金缺口'!$M$5:$M$16)*$Y10,0),IF(EDATE('核心假设'!$B$5,13-1+'核心假设'!$B$31)&lt;=AF$4,SUM('融资租赁与资金缺口'!$M$5:$M$16)*$Z10,0),IF(EDATE('核心假设'!$B$5,14-1+'核心假设'!$B$31)&lt;=AF$4,SUM('融资租赁与资金缺口'!$M$5:$M$16)*$AA10,0),IF(EDATE('核心假设'!$B$5,15-1+'核心假设'!$B$31)&lt;=AF$4,SUM('融资租赁与资金缺口'!$M$5:$M$16)*$AB10,0),IF(EDATE('核心假设'!$B$5,16-1+'核心假设'!$B$31)&lt;=AF$4,SUM('融资租赁与资金缺口'!$M$5:$M$16)*$AC10,0),IF(EDATE('核心假设'!$B$5,17-1+'核心假设'!$B$31)&lt;=AF$4,SUM('融资租赁与资金缺口'!$M$5:$M$16)*$AD10,0))</x:f>
        <x:v>0</x:v>
      </x:c>
      <x:c r="AG39" s="28" t="n">
        <x:f>SUM(IF(AG$4=EDATE('核心假设'!$B$5,0-1+'核心假设'!$B$31),SUM('融资租赁与资金缺口'!$M$5:$M$16)*$M10,0),IF(AG$4=EDATE('核心假设'!$B$5,1-1+'核心假设'!$B$31),SUM('融资租赁与资金缺口'!$M$5:$M$16)*$N10,0),IF(AG$4=EDATE('核心假设'!$B$5,2-1+'核心假设'!$B$31),SUM('融资租赁与资金缺口'!$M$5:$M$16)*$O10,0),IF(AG$4=EDATE('核心假设'!$B$5,3-1+'核心假设'!$B$31),SUM('融资租赁与资金缺口'!$M$5:$M$16)*$P10,0),IF(AG$4=EDATE('核心假设'!$B$5,4-1+'核心假设'!$B$31),SUM('融资租赁与资金缺口'!$M$5:$M$16)*$Q10,0),IF(AG$4=EDATE('核心假设'!$B$5,5-1+'核心假设'!$B$31),SUM('融资租赁与资金缺口'!$M$5:$M$16)*$R10,0),IF(AG$4=EDATE('核心假设'!$B$5,6-1+'核心假设'!$B$31),SUM('融资租赁与资金缺口'!$M$5:$M$16)*$S10,0),IF(AG$4=EDATE('核心假设'!$B$5,7-1+'核心假设'!$B$31),SUM('融资租赁与资金缺口'!$M$5:$M$16)*$T10,0),IF(AG$4=EDATE('核心假设'!$B$5,8-1+'核心假设'!$B$31),SUM('融资租赁与资金缺口'!$M$5:$M$16)*$U10,0),IF(AG$4=EDATE('核心假设'!$B$5,9-1+'核心假设'!$B$31),SUM('融资租赁与资金缺口'!$M$5:$M$16)*$V10,0),IF(AG$4=EDATE('核心假设'!$B$5,10-1+'核心假设'!$B$31),SUM('融资租赁与资金缺口'!$M$5:$M$16)*$W10,0),IF(AG$4=EDATE('核心假设'!$B$5,11-1+'核心假设'!$B$31),SUM('融资租赁与资金缺口'!$M$5:$M$16)*$X10,0),IF(AG$4=EDATE('核心假设'!$B$5,12-1+'核心假设'!$B$31),SUM('融资租赁与资金缺口'!$M$5:$M$16)*$Y10,0),IF(AG$4=EDATE('核心假设'!$B$5,13-1+'核心假设'!$B$31),SUM('融资租赁与资金缺口'!$M$5:$M$16)*$Z10,0),IF(AG$4=EDATE('核心假设'!$B$5,14-1+'核心假设'!$B$31),SUM('融资租赁与资金缺口'!$M$5:$M$16)*$AA10,0),IF(AG$4=EDATE('核心假设'!$B$5,15-1+'核心假设'!$B$31),SUM('融资租赁与资金缺口'!$M$5:$M$16)*$AB10,0),IF(AG$4=EDATE('核心假设'!$B$5,16-1+'核心假设'!$B$31),SUM('融资租赁与资金缺口'!$M$5:$M$16)*$AC10,0),IF(AG$4=EDATE('核心假设'!$B$5,17-1+'核心假设'!$B$31),SUM('融资租赁与资金缺口'!$M$5:$M$16)*$AD10,0))</x:f>
        <x:v>19209000</x:v>
      </x:c>
      <x:c r="AH39" s="28" t="n">
        <x:f>SUM(IF(AH$4=EDATE('核心假设'!$B$5,0-1+'核心假设'!$B$31),SUM('融资租赁与资金缺口'!$M$5:$M$16)*$M10,0),IF(AH$4=EDATE('核心假设'!$B$5,1-1+'核心假设'!$B$31),SUM('融资租赁与资金缺口'!$M$5:$M$16)*$N10,0),IF(AH$4=EDATE('核心假设'!$B$5,2-1+'核心假设'!$B$31),SUM('融资租赁与资金缺口'!$M$5:$M$16)*$O10,0),IF(AH$4=EDATE('核心假设'!$B$5,3-1+'核心假设'!$B$31),SUM('融资租赁与资金缺口'!$M$5:$M$16)*$P10,0),IF(AH$4=EDATE('核心假设'!$B$5,4-1+'核心假设'!$B$31),SUM('融资租赁与资金缺口'!$M$5:$M$16)*$Q10,0),IF(AH$4=EDATE('核心假设'!$B$5,5-1+'核心假设'!$B$31),SUM('融资租赁与资金缺口'!$M$5:$M$16)*$R10,0),IF(AH$4=EDATE('核心假设'!$B$5,6-1+'核心假设'!$B$31),SUM('融资租赁与资金缺口'!$M$5:$M$16)*$S10,0),IF(AH$4=EDATE('核心假设'!$B$5,7-1+'核心假设'!$B$31),SUM('融资租赁与资金缺口'!$M$5:$M$16)*$T10,0),IF(AH$4=EDATE('核心假设'!$B$5,8-1+'核心假设'!$B$31),SUM('融资租赁与资金缺口'!$M$5:$M$16)*$U10,0),IF(AH$4=EDATE('核心假设'!$B$5,9-1+'核心假设'!$B$31),SUM('融资租赁与资金缺口'!$M$5:$M$16)*$V10,0),IF(AH$4=EDATE('核心假设'!$B$5,10-1+'核心假设'!$B$31),SUM('融资租赁与资金缺口'!$M$5:$M$16)*$W10,0),IF(AH$4=EDATE('核心假设'!$B$5,11-1+'核心假设'!$B$31),SUM('融资租赁与资金缺口'!$M$5:$M$16)*$X10,0),IF(AH$4=EDATE('核心假设'!$B$5,12-1+'核心假设'!$B$31),SUM('融资租赁与资金缺口'!$M$5:$M$16)*$Y10,0),IF(AH$4=EDATE('核心假设'!$B$5,13-1+'核心假设'!$B$31),SUM('融资租赁与资金缺口'!$M$5:$M$16)*$Z10,0),IF(AH$4=EDATE('核心假设'!$B$5,14-1+'核心假设'!$B$31),SUM('融资租赁与资金缺口'!$M$5:$M$16)*$AA10,0),IF(AH$4=EDATE('核心假设'!$B$5,15-1+'核心假设'!$B$31),SUM('融资租赁与资金缺口'!$M$5:$M$16)*$AB10,0),IF(AH$4=EDATE('核心假设'!$B$5,16-1+'核心假设'!$B$31),SUM('融资租赁与资金缺口'!$M$5:$M$16)*$AC10,0),IF(AH$4=EDATE('核心假设'!$B$5,17-1+'核心假设'!$B$31),SUM('融资租赁与资金缺口'!$M$5:$M$16)*$AD10,0))</x:f>
        <x:v>25612000</x:v>
      </x:c>
      <x:c r="AI39" s="28" t="n">
        <x:f>SUM(IF(AI$4=EDATE('核心假设'!$B$5,0-1+'核心假设'!$B$31),SUM('融资租赁与资金缺口'!$M$5:$M$16)*$M10,0),IF(AI$4=EDATE('核心假设'!$B$5,1-1+'核心假设'!$B$31),SUM('融资租赁与资金缺口'!$M$5:$M$16)*$N10,0),IF(AI$4=EDATE('核心假设'!$B$5,2-1+'核心假设'!$B$31),SUM('融资租赁与资金缺口'!$M$5:$M$16)*$O10,0),IF(AI$4=EDATE('核心假设'!$B$5,3-1+'核心假设'!$B$31),SUM('融资租赁与资金缺口'!$M$5:$M$16)*$P10,0),IF(AI$4=EDATE('核心假设'!$B$5,4-1+'核心假设'!$B$31),SUM('融资租赁与资金缺口'!$M$5:$M$16)*$Q10,0),IF(AI$4=EDATE('核心假设'!$B$5,5-1+'核心假设'!$B$31),SUM('融资租赁与资金缺口'!$M$5:$M$16)*$R10,0),IF(AI$4=EDATE('核心假设'!$B$5,6-1+'核心假设'!$B$31),SUM('融资租赁与资金缺口'!$M$5:$M$16)*$S10,0),IF(AI$4=EDATE('核心假设'!$B$5,7-1+'核心假设'!$B$31),SUM('融资租赁与资金缺口'!$M$5:$M$16)*$T10,0),IF(AI$4=EDATE('核心假设'!$B$5,8-1+'核心假设'!$B$31),SUM('融资租赁与资金缺口'!$M$5:$M$16)*$U10,0),IF(AI$4=EDATE('核心假设'!$B$5,9-1+'核心假设'!$B$31),SUM('融资租赁与资金缺口'!$M$5:$M$16)*$V10,0),IF(AI$4=EDATE('核心假设'!$B$5,10-1+'核心假设'!$B$31),SUM('融资租赁与资金缺口'!$M$5:$M$16)*$W10,0),IF(AI$4=EDATE('核心假设'!$B$5,11-1+'核心假设'!$B$31),SUM('融资租赁与资金缺口'!$M$5:$M$16)*$X10,0),IF(AI$4=EDATE('核心假设'!$B$5,12-1+'核心假设'!$B$31),SUM('融资租赁与资金缺口'!$M$5:$M$16)*$Y10,0),IF(AI$4=EDATE('核心假设'!$B$5,13-1+'核心假设'!$B$31),SUM('融资租赁与资金缺口'!$M$5:$M$16)*$Z10,0),IF(AI$4=EDATE('核心假设'!$B$5,14-1+'核心假设'!$B$31),SUM('融资租赁与资金缺口'!$M$5:$M$16)*$AA10,0),IF(AI$4=EDATE('核心假设'!$B$5,15-1+'核心假设'!$B$31),SUM('融资租赁与资金缺口'!$M$5:$M$16)*$AB10,0),IF(AI$4=EDATE('核心假设'!$B$5,16-1+'核心假设'!$B$31),SUM('融资租赁与资金缺口'!$M$5:$M$16)*$AC10,0),IF(AI$4=EDATE('核心假设'!$B$5,17-1+'核心假设'!$B$31),SUM('融资租赁与资金缺口'!$M$5:$M$16)*$AD10,0))</x:f>
        <x:v>25612000</x:v>
      </x:c>
      <x:c r="AJ39" s="28" t="n">
        <x:f>SUM(IF(AJ$4=EDATE('核心假设'!$B$5,0-1+'核心假设'!$B$31),SUM('融资租赁与资金缺口'!$M$5:$M$16)*$M10,0),IF(AJ$4=EDATE('核心假设'!$B$5,1-1+'核心假设'!$B$31),SUM('融资租赁与资金缺口'!$M$5:$M$16)*$N10,0),IF(AJ$4=EDATE('核心假设'!$B$5,2-1+'核心假设'!$B$31),SUM('融资租赁与资金缺口'!$M$5:$M$16)*$O10,0),IF(AJ$4=EDATE('核心假设'!$B$5,3-1+'核心假设'!$B$31),SUM('融资租赁与资金缺口'!$M$5:$M$16)*$P10,0),IF(AJ$4=EDATE('核心假设'!$B$5,4-1+'核心假设'!$B$31),SUM('融资租赁与资金缺口'!$M$5:$M$16)*$Q10,0),IF(AJ$4=EDATE('核心假设'!$B$5,5-1+'核心假设'!$B$31),SUM('融资租赁与资金缺口'!$M$5:$M$16)*$R10,0),IF(AJ$4=EDATE('核心假设'!$B$5,6-1+'核心假设'!$B$31),SUM('融资租赁与资金缺口'!$M$5:$M$16)*$S10,0),IF(AJ$4=EDATE('核心假设'!$B$5,7-1+'核心假设'!$B$31),SUM('融资租赁与资金缺口'!$M$5:$M$16)*$T10,0),IF(AJ$4=EDATE('核心假设'!$B$5,8-1+'核心假设'!$B$31),SUM('融资租赁与资金缺口'!$M$5:$M$16)*$U10,0),IF(AJ$4=EDATE('核心假设'!$B$5,9-1+'核心假设'!$B$31),SUM('融资租赁与资金缺口'!$M$5:$M$16)*$V10,0),IF(AJ$4=EDATE('核心假设'!$B$5,10-1+'核心假设'!$B$31),SUM('融资租赁与资金缺口'!$M$5:$M$16)*$W10,0),IF(AJ$4=EDATE('核心假设'!$B$5,11-1+'核心假设'!$B$31),SUM('融资租赁与资金缺口'!$M$5:$M$16)*$X10,0),IF(AJ$4=EDATE('核心假设'!$B$5,12-1+'核心假设'!$B$31),SUM('融资租赁与资金缺口'!$M$5:$M$16)*$Y10,0),IF(AJ$4=EDATE('核心假设'!$B$5,13-1+'核心假设'!$B$31),SUM('融资租赁与资金缺口'!$M$5:$M$16)*$Z10,0),IF(AJ$4=EDATE('核心假设'!$B$5,14-1+'核心假设'!$B$31),SUM('融资租赁与资金缺口'!$M$5:$M$16)*$AA10,0),IF(AJ$4=EDATE('核心假设'!$B$5,15-1+'核心假设'!$B$31),SUM('融资租赁与资金缺口'!$M$5:$M$16)*$AB10,0),IF(AJ$4=EDATE('核心假设'!$B$5,16-1+'核心假设'!$B$31),SUM('融资租赁与资金缺口'!$M$5:$M$16)*$AC10,0),IF(AJ$4=EDATE('核心假设'!$B$5,17-1+'核心假设'!$B$31),SUM('融资租赁与资金缺口'!$M$5:$M$16)*$AD10,0))</x:f>
        <x:v>32015000</x:v>
      </x:c>
      <x:c r="AK39" s="28" t="n">
        <x:f>SUM(IF(AK$4=EDATE('核心假设'!$B$5,0-1+'核心假设'!$B$31),SUM('融资租赁与资金缺口'!$M$5:$M$16)*$M10,0),IF(AK$4=EDATE('核心假设'!$B$5,1-1+'核心假设'!$B$31),SUM('融资租赁与资金缺口'!$M$5:$M$16)*$N10,0),IF(AK$4=EDATE('核心假设'!$B$5,2-1+'核心假设'!$B$31),SUM('融资租赁与资金缺口'!$M$5:$M$16)*$O10,0),IF(AK$4=EDATE('核心假设'!$B$5,3-1+'核心假设'!$B$31),SUM('融资租赁与资金缺口'!$M$5:$M$16)*$P10,0),IF(AK$4=EDATE('核心假设'!$B$5,4-1+'核心假设'!$B$31),SUM('融资租赁与资金缺口'!$M$5:$M$16)*$Q10,0),IF(AK$4=EDATE('核心假设'!$B$5,5-1+'核心假设'!$B$31),SUM('融资租赁与资金缺口'!$M$5:$M$16)*$R10,0),IF(AK$4=EDATE('核心假设'!$B$5,6-1+'核心假设'!$B$31),SUM('融资租赁与资金缺口'!$M$5:$M$16)*$S10,0),IF(AK$4=EDATE('核心假设'!$B$5,7-1+'核心假设'!$B$31),SUM('融资租赁与资金缺口'!$M$5:$M$16)*$T10,0),IF(AK$4=EDATE('核心假设'!$B$5,8-1+'核心假设'!$B$31),SUM('融资租赁与资金缺口'!$M$5:$M$16)*$U10,0),IF(AK$4=EDATE('核心假设'!$B$5,9-1+'核心假设'!$B$31),SUM('融资租赁与资金缺口'!$M$5:$M$16)*$V10,0),IF(AK$4=EDATE('核心假设'!$B$5,10-1+'核心假设'!$B$31),SUM('融资租赁与资金缺口'!$M$5:$M$16)*$W10,0),IF(AK$4=EDATE('核心假设'!$B$5,11-1+'核心假设'!$B$31),SUM('融资租赁与资金缺口'!$M$5:$M$16)*$X10,0),IF(AK$4=EDATE('核心假设'!$B$5,12-1+'核心假设'!$B$31),SUM('融资租赁与资金缺口'!$M$5:$M$16)*$Y10,0),IF(AK$4=EDATE('核心假设'!$B$5,13-1+'核心假设'!$B$31),SUM('融资租赁与资金缺口'!$M$5:$M$16)*$Z10,0),IF(AK$4=EDATE('核心假设'!$B$5,14-1+'核心假设'!$B$31),SUM('融资租赁与资金缺口'!$M$5:$M$16)*$AA10,0),IF(AK$4=EDATE('核心假设'!$B$5,15-1+'核心假设'!$B$31),SUM('融资租赁与资金缺口'!$M$5:$M$16)*$AB10,0),IF(AK$4=EDATE('核心假设'!$B$5,16-1+'核心假设'!$B$31),SUM('融资租赁与资金缺口'!$M$5:$M$16)*$AC10,0),IF(AK$4=EDATE('核心假设'!$B$5,17-1+'核心假设'!$B$31),SUM('融资租赁与资金缺口'!$M$5:$M$16)*$AD10,0))</x:f>
        <x:v>32015000</x:v>
      </x:c>
      <x:c r="AL39" s="28" t="n">
        <x:f>SUM(IF(AL$4=EDATE('核心假设'!$B$5,0-1+'核心假设'!$B$31),SUM('融资租赁与资金缺口'!$M$5:$M$16)*$M10,0),IF(AL$4=EDATE('核心假设'!$B$5,1-1+'核心假设'!$B$31),SUM('融资租赁与资金缺口'!$M$5:$M$16)*$N10,0),IF(AL$4=EDATE('核心假设'!$B$5,2-1+'核心假设'!$B$31),SUM('融资租赁与资金缺口'!$M$5:$M$16)*$O10,0),IF(AL$4=EDATE('核心假设'!$B$5,3-1+'核心假设'!$B$31),SUM('融资租赁与资金缺口'!$M$5:$M$16)*$P10,0),IF(AL$4=EDATE('核心假设'!$B$5,4-1+'核心假设'!$B$31),SUM('融资租赁与资金缺口'!$M$5:$M$16)*$Q10,0),IF(AL$4=EDATE('核心假设'!$B$5,5-1+'核心假设'!$B$31),SUM('融资租赁与资金缺口'!$M$5:$M$16)*$R10,0),IF(AL$4=EDATE('核心假设'!$B$5,6-1+'核心假设'!$B$31),SUM('融资租赁与资金缺口'!$M$5:$M$16)*$S10,0),IF(AL$4=EDATE('核心假设'!$B$5,7-1+'核心假设'!$B$31),SUM('融资租赁与资金缺口'!$M$5:$M$16)*$T10,0),IF(AL$4=EDATE('核心假设'!$B$5,8-1+'核心假设'!$B$31),SUM('融资租赁与资金缺口'!$M$5:$M$16)*$U10,0),IF(AL$4=EDATE('核心假设'!$B$5,9-1+'核心假设'!$B$31),SUM('融资租赁与资金缺口'!$M$5:$M$16)*$V10,0),IF(AL$4=EDATE('核心假设'!$B$5,10-1+'核心假设'!$B$31),SUM('融资租赁与资金缺口'!$M$5:$M$16)*$W10,0),IF(AL$4=EDATE('核心假设'!$B$5,11-1+'核心假设'!$B$31),SUM('融资租赁与资金缺口'!$M$5:$M$16)*$X10,0),IF(AL$4=EDATE('核心假设'!$B$5,12-1+'核心假设'!$B$31),SUM('融资租赁与资金缺口'!$M$5:$M$16)*$Y10,0),IF(AL$4=EDATE('核心假设'!$B$5,13-1+'核心假设'!$B$31),SUM('融资租赁与资金缺口'!$M$5:$M$16)*$Z10,0),IF(AL$4=EDATE('核心假设'!$B$5,14-1+'核心假设'!$B$31),SUM('融资租赁与资金缺口'!$M$5:$M$16)*$AA10,0),IF(AL$4=EDATE('核心假设'!$B$5,15-1+'核心假设'!$B$31),SUM('融资租赁与资金缺口'!$M$5:$M$16)*$AB10,0),IF(AL$4=EDATE('核心假设'!$B$5,16-1+'核心假设'!$B$31),SUM('融资租赁与资金缺口'!$M$5:$M$16)*$AC10,0),IF(AL$4=EDATE('核心假设'!$B$5,17-1+'核心假设'!$B$31),SUM('融资租赁与资金缺口'!$M$5:$M$16)*$AD10,0))</x:f>
        <x:v>38418000</x:v>
      </x:c>
      <x:c r="AM39" s="28" t="n">
        <x:f>SUM(IF(AM$4=EDATE('核心假设'!$B$5,0-1+'核心假设'!$B$31),SUM('融资租赁与资金缺口'!$M$5:$M$16)*$M10,0),IF(AM$4=EDATE('核心假设'!$B$5,1-1+'核心假设'!$B$31),SUM('融资租赁与资金缺口'!$M$5:$M$16)*$N10,0),IF(AM$4=EDATE('核心假设'!$B$5,2-1+'核心假设'!$B$31),SUM('融资租赁与资金缺口'!$M$5:$M$16)*$O10,0),IF(AM$4=EDATE('核心假设'!$B$5,3-1+'核心假设'!$B$31),SUM('融资租赁与资金缺口'!$M$5:$M$16)*$P10,0),IF(AM$4=EDATE('核心假设'!$B$5,4-1+'核心假设'!$B$31),SUM('融资租赁与资金缺口'!$M$5:$M$16)*$Q10,0),IF(AM$4=EDATE('核心假设'!$B$5,5-1+'核心假设'!$B$31),SUM('融资租赁与资金缺口'!$M$5:$M$16)*$R10,0),IF(AM$4=EDATE('核心假设'!$B$5,6-1+'核心假设'!$B$31),SUM('融资租赁与资金缺口'!$M$5:$M$16)*$S10,0),IF(AM$4=EDATE('核心假设'!$B$5,7-1+'核心假设'!$B$31),SUM('融资租赁与资金缺口'!$M$5:$M$16)*$T10,0),IF(AM$4=EDATE('核心假设'!$B$5,8-1+'核心假设'!$B$31),SUM('融资租赁与资金缺口'!$M$5:$M$16)*$U10,0),IF(AM$4=EDATE('核心假设'!$B$5,9-1+'核心假设'!$B$31),SUM('融资租赁与资金缺口'!$M$5:$M$16)*$V10,0),IF(AM$4=EDATE('核心假设'!$B$5,10-1+'核心假设'!$B$31),SUM('融资租赁与资金缺口'!$M$5:$M$16)*$W10,0),IF(AM$4=EDATE('核心假设'!$B$5,11-1+'核心假设'!$B$31),SUM('融资租赁与资金缺口'!$M$5:$M$16)*$X10,0),IF(AM$4=EDATE('核心假设'!$B$5,12-1+'核心假设'!$B$31),SUM('融资租赁与资金缺口'!$M$5:$M$16)*$Y10,0),IF(AM$4=EDATE('核心假设'!$B$5,13-1+'核心假设'!$B$31),SUM('融资租赁与资金缺口'!$M$5:$M$16)*$Z10,0),IF(AM$4=EDATE('核心假设'!$B$5,14-1+'核心假设'!$B$31),SUM('融资租赁与资金缺口'!$M$5:$M$16)*$AA10,0),IF(AM$4=EDATE('核心假设'!$B$5,15-1+'核心假设'!$B$31),SUM('融资租赁与资金缺口'!$M$5:$M$16)*$AB10,0),IF(AM$4=EDATE('核心假设'!$B$5,16-1+'核心假设'!$B$31),SUM('融资租赁与资金缺口'!$M$5:$M$16)*$AC10,0),IF(AM$4=EDATE('核心假设'!$B$5,17-1+'核心假设'!$B$31),SUM('融资租赁与资金缺口'!$M$5:$M$16)*$AD10,0))</x:f>
        <x:v>38418000</x:v>
      </x:c>
      <x:c r="AN39" s="28" t="n">
        <x:f>SUM(IF(AN$4=EDATE('核心假设'!$B$5,0-1+'核心假设'!$B$31),SUM('融资租赁与资金缺口'!$M$5:$M$16)*$M10,0),IF(AN$4=EDATE('核心假设'!$B$5,1-1+'核心假设'!$B$31),SUM('融资租赁与资金缺口'!$M$5:$M$16)*$N10,0),IF(AN$4=EDATE('核心假设'!$B$5,2-1+'核心假设'!$B$31),SUM('融资租赁与资金缺口'!$M$5:$M$16)*$O10,0),IF(AN$4=EDATE('核心假设'!$B$5,3-1+'核心假设'!$B$31),SUM('融资租赁与资金缺口'!$M$5:$M$16)*$P10,0),IF(AN$4=EDATE('核心假设'!$B$5,4-1+'核心假设'!$B$31),SUM('融资租赁与资金缺口'!$M$5:$M$16)*$Q10,0),IF(AN$4=EDATE('核心假设'!$B$5,5-1+'核心假设'!$B$31),SUM('融资租赁与资金缺口'!$M$5:$M$16)*$R10,0),IF(AN$4=EDATE('核心假设'!$B$5,6-1+'核心假设'!$B$31),SUM('融资租赁与资金缺口'!$M$5:$M$16)*$S10,0),IF(AN$4=EDATE('核心假设'!$B$5,7-1+'核心假设'!$B$31),SUM('融资租赁与资金缺口'!$M$5:$M$16)*$T10,0),IF(AN$4=EDATE('核心假设'!$B$5,8-1+'核心假设'!$B$31),SUM('融资租赁与资金缺口'!$M$5:$M$16)*$U10,0),IF(AN$4=EDATE('核心假设'!$B$5,9-1+'核心假设'!$B$31),SUM('融资租赁与资金缺口'!$M$5:$M$16)*$V10,0),IF(AN$4=EDATE('核心假设'!$B$5,10-1+'核心假设'!$B$31),SUM('融资租赁与资金缺口'!$M$5:$M$16)*$W10,0),IF(AN$4=EDATE('核心假设'!$B$5,11-1+'核心假设'!$B$31),SUM('融资租赁与资金缺口'!$M$5:$M$16)*$X10,0),IF(AN$4=EDATE('核心假设'!$B$5,12-1+'核心假设'!$B$31),SUM('融资租赁与资金缺口'!$M$5:$M$16)*$Y10,0),IF(AN$4=EDATE('核心假设'!$B$5,13-1+'核心假设'!$B$31),SUM('融资租赁与资金缺口'!$M$5:$M$16)*$Z10,0),IF(AN$4=EDATE('核心假设'!$B$5,14-1+'核心假设'!$B$31),SUM('融资租赁与资金缺口'!$M$5:$M$16)*$AA10,0),IF(AN$4=EDATE('核心假设'!$B$5,15-1+'核心假设'!$B$31),SUM('融资租赁与资金缺口'!$M$5:$M$16)*$AB10,0),IF(AN$4=EDATE('核心假设'!$B$5,16-1+'核心假设'!$B$31),SUM('融资租赁与资金缺口'!$M$5:$M$16)*$AC10,0),IF(AN$4=EDATE('核心假设'!$B$5,17-1+'核心假设'!$B$31),SUM('融资租赁与资金缺口'!$M$5:$M$16)*$AD10,0))</x:f>
        <x:v>44821000.00000001</x:v>
      </x:c>
      <x:c r="AO39" s="28" t="n">
        <x:f>SUM(IF(AO$4=EDATE('核心假设'!$B$5,0-1+'核心假设'!$B$31),SUM('融资租赁与资金缺口'!$M$5:$M$16)*$M10,0),IF(AO$4=EDATE('核心假设'!$B$5,1-1+'核心假设'!$B$31),SUM('融资租赁与资金缺口'!$M$5:$M$16)*$N10,0),IF(AO$4=EDATE('核心假设'!$B$5,2-1+'核心假设'!$B$31),SUM('融资租赁与资金缺口'!$M$5:$M$16)*$O10,0),IF(AO$4=EDATE('核心假设'!$B$5,3-1+'核心假设'!$B$31),SUM('融资租赁与资金缺口'!$M$5:$M$16)*$P10,0),IF(AO$4=EDATE('核心假设'!$B$5,4-1+'核心假设'!$B$31),SUM('融资租赁与资金缺口'!$M$5:$M$16)*$Q10,0),IF(AO$4=EDATE('核心假设'!$B$5,5-1+'核心假设'!$B$31),SUM('融资租赁与资金缺口'!$M$5:$M$16)*$R10,0),IF(AO$4=EDATE('核心假设'!$B$5,6-1+'核心假设'!$B$31),SUM('融资租赁与资金缺口'!$M$5:$M$16)*$S10,0),IF(AO$4=EDATE('核心假设'!$B$5,7-1+'核心假设'!$B$31),SUM('融资租赁与资金缺口'!$M$5:$M$16)*$T10,0),IF(AO$4=EDATE('核心假设'!$B$5,8-1+'核心假设'!$B$31),SUM('融资租赁与资金缺口'!$M$5:$M$16)*$U10,0),IF(AO$4=EDATE('核心假设'!$B$5,9-1+'核心假设'!$B$31),SUM('融资租赁与资金缺口'!$M$5:$M$16)*$V10,0),IF(AO$4=EDATE('核心假设'!$B$5,10-1+'核心假设'!$B$31),SUM('融资租赁与资金缺口'!$M$5:$M$16)*$W10,0),IF(AO$4=EDATE('核心假设'!$B$5,11-1+'核心假设'!$B$31),SUM('融资租赁与资金缺口'!$M$5:$M$16)*$X10,0),IF(AO$4=EDATE('核心假设'!$B$5,12-1+'核心假设'!$B$31),SUM('融资租赁与资金缺口'!$M$5:$M$16)*$Y10,0),IF(AO$4=EDATE('核心假设'!$B$5,13-1+'核心假设'!$B$31),SUM('融资租赁与资金缺口'!$M$5:$M$16)*$Z10,0),IF(AO$4=EDATE('核心假设'!$B$5,14-1+'核心假设'!$B$31),SUM('融资租赁与资金缺口'!$M$5:$M$16)*$AA10,0),IF(AO$4=EDATE('核心假设'!$B$5,15-1+'核心假设'!$B$31),SUM('融资租赁与资金缺口'!$M$5:$M$16)*$AB10,0),IF(AO$4=EDATE('核心假设'!$B$5,16-1+'核心假设'!$B$31),SUM('融资租赁与资金缺口'!$M$5:$M$16)*$AC10,0),IF(AO$4=EDATE('核心假设'!$B$5,17-1+'核心假设'!$B$31),SUM('融资租赁与资金缺口'!$M$5:$M$16)*$AD10,0))</x:f>
        <x:v>44821000.00000001</x:v>
      </x:c>
      <x:c r="AP39" s="28" t="n">
        <x:f>SUM(IF(AP$4=EDATE('核心假设'!$B$5,0-1+'核心假设'!$B$31),SUM('融资租赁与资金缺口'!$M$5:$M$16)*$M10,0),IF(AP$4=EDATE('核心假设'!$B$5,1-1+'核心假设'!$B$31),SUM('融资租赁与资金缺口'!$M$5:$M$16)*$N10,0),IF(AP$4=EDATE('核心假设'!$B$5,2-1+'核心假设'!$B$31),SUM('融资租赁与资金缺口'!$M$5:$M$16)*$O10,0),IF(AP$4=EDATE('核心假设'!$B$5,3-1+'核心假设'!$B$31),SUM('融资租赁与资金缺口'!$M$5:$M$16)*$P10,0),IF(AP$4=EDATE('核心假设'!$B$5,4-1+'核心假设'!$B$31),SUM('融资租赁与资金缺口'!$M$5:$M$16)*$Q10,0),IF(AP$4=EDATE('核心假设'!$B$5,5-1+'核心假设'!$B$31),SUM('融资租赁与资金缺口'!$M$5:$M$16)*$R10,0),IF(AP$4=EDATE('核心假设'!$B$5,6-1+'核心假设'!$B$31),SUM('融资租赁与资金缺口'!$M$5:$M$16)*$S10,0),IF(AP$4=EDATE('核心假设'!$B$5,7-1+'核心假设'!$B$31),SUM('融资租赁与资金缺口'!$M$5:$M$16)*$T10,0),IF(AP$4=EDATE('核心假设'!$B$5,8-1+'核心假设'!$B$31),SUM('融资租赁与资金缺口'!$M$5:$M$16)*$U10,0),IF(AP$4=EDATE('核心假设'!$B$5,9-1+'核心假设'!$B$31),SUM('融资租赁与资金缺口'!$M$5:$M$16)*$V10,0),IF(AP$4=EDATE('核心假设'!$B$5,10-1+'核心假设'!$B$31),SUM('融资租赁与资金缺口'!$M$5:$M$16)*$W10,0),IF(AP$4=EDATE('核心假设'!$B$5,11-1+'核心假设'!$B$31),SUM('融资租赁与资金缺口'!$M$5:$M$16)*$X10,0),IF(AP$4=EDATE('核心假设'!$B$5,12-1+'核心假设'!$B$31),SUM('融资租赁与资金缺口'!$M$5:$M$16)*$Y10,0),IF(AP$4=EDATE('核心假设'!$B$5,13-1+'核心假设'!$B$31),SUM('融资租赁与资金缺口'!$M$5:$M$16)*$Z10,0),IF(AP$4=EDATE('核心假设'!$B$5,14-1+'核心假设'!$B$31),SUM('融资租赁与资金缺口'!$M$5:$M$16)*$AA10,0),IF(AP$4=EDATE('核心假设'!$B$5,15-1+'核心假设'!$B$31),SUM('融资租赁与资金缺口'!$M$5:$M$16)*$AB10,0),IF(AP$4=EDATE('核心假设'!$B$5,16-1+'核心假设'!$B$31),SUM('融资租赁与资金缺口'!$M$5:$M$16)*$AC10,0),IF(AP$4=EDATE('核心假设'!$B$5,17-1+'核心假设'!$B$31),SUM('融资租赁与资金缺口'!$M$5:$M$16)*$AD10,0))</x:f>
        <x:v>44821000.00000001</x:v>
      </x:c>
      <x:c r="AQ39" s="28" t="n">
        <x:f>SUM(IF(AQ$4=EDATE('核心假设'!$B$5,0-1+'核心假设'!$B$31),SUM('融资租赁与资金缺口'!$M$5:$M$16)*$M10,0),IF(AQ$4=EDATE('核心假设'!$B$5,1-1+'核心假设'!$B$31),SUM('融资租赁与资金缺口'!$M$5:$M$16)*$N10,0),IF(AQ$4=EDATE('核心假设'!$B$5,2-1+'核心假设'!$B$31),SUM('融资租赁与资金缺口'!$M$5:$M$16)*$O10,0),IF(AQ$4=EDATE('核心假设'!$B$5,3-1+'核心假设'!$B$31),SUM('融资租赁与资金缺口'!$M$5:$M$16)*$P10,0),IF(AQ$4=EDATE('核心假设'!$B$5,4-1+'核心假设'!$B$31),SUM('融资租赁与资金缺口'!$M$5:$M$16)*$Q10,0),IF(AQ$4=EDATE('核心假设'!$B$5,5-1+'核心假设'!$B$31),SUM('融资租赁与资金缺口'!$M$5:$M$16)*$R10,0),IF(AQ$4=EDATE('核心假设'!$B$5,6-1+'核心假设'!$B$31),SUM('融资租赁与资金缺口'!$M$5:$M$16)*$S10,0),IF(AQ$4=EDATE('核心假设'!$B$5,7-1+'核心假设'!$B$31),SUM('融资租赁与资金缺口'!$M$5:$M$16)*$T10,0),IF(AQ$4=EDATE('核心假设'!$B$5,8-1+'核心假设'!$B$31),SUM('融资租赁与资金缺口'!$M$5:$M$16)*$U10,0),IF(AQ$4=EDATE('核心假设'!$B$5,9-1+'核心假设'!$B$31),SUM('融资租赁与资金缺口'!$M$5:$M$16)*$V10,0),IF(AQ$4=EDATE('核心假设'!$B$5,10-1+'核心假设'!$B$31),SUM('融资租赁与资金缺口'!$M$5:$M$16)*$W10,0),IF(AQ$4=EDATE('核心假设'!$B$5,11-1+'核心假设'!$B$31),SUM('融资租赁与资金缺口'!$M$5:$M$16)*$X10,0),IF(AQ$4=EDATE('核心假设'!$B$5,12-1+'核心假设'!$B$31),SUM('融资租赁与资金缺口'!$M$5:$M$16)*$Y10,0),IF(AQ$4=EDATE('核心假设'!$B$5,13-1+'核心假设'!$B$31),SUM('融资租赁与资金缺口'!$M$5:$M$16)*$Z10,0),IF(AQ$4=EDATE('核心假设'!$B$5,14-1+'核心假设'!$B$31),SUM('融资租赁与资金缺口'!$M$5:$M$16)*$AA10,0),IF(AQ$4=EDATE('核心假设'!$B$5,15-1+'核心假设'!$B$31),SUM('融资租赁与资金缺口'!$M$5:$M$16)*$AB10,0),IF(AQ$4=EDATE('核心假设'!$B$5,16-1+'核心假设'!$B$31),SUM('融资租赁与资金缺口'!$M$5:$M$16)*$AC10,0),IF(AQ$4=EDATE('核心假设'!$B$5,17-1+'核心假设'!$B$31),SUM('融资租赁与资金缺口'!$M$5:$M$16)*$AD10,0))</x:f>
        <x:v>44821000.00000001</x:v>
      </x:c>
      <x:c r="AR39" s="28" t="n">
        <x:f>SUM(IF(AR$4=EDATE('核心假设'!$B$5,0-1+'核心假设'!$B$31),SUM('融资租赁与资金缺口'!$M$5:$M$16)*$M10,0),IF(AR$4=EDATE('核心假设'!$B$5,1-1+'核心假设'!$B$31),SUM('融资租赁与资金缺口'!$M$5:$M$16)*$N10,0),IF(AR$4=EDATE('核心假设'!$B$5,2-1+'核心假设'!$B$31),SUM('融资租赁与资金缺口'!$M$5:$M$16)*$O10,0),IF(AR$4=EDATE('核心假设'!$B$5,3-1+'核心假设'!$B$31),SUM('融资租赁与资金缺口'!$M$5:$M$16)*$P10,0),IF(AR$4=EDATE('核心假设'!$B$5,4-1+'核心假设'!$B$31),SUM('融资租赁与资金缺口'!$M$5:$M$16)*$Q10,0),IF(AR$4=EDATE('核心假设'!$B$5,5-1+'核心假设'!$B$31),SUM('融资租赁与资金缺口'!$M$5:$M$16)*$R10,0),IF(AR$4=EDATE('核心假设'!$B$5,6-1+'核心假设'!$B$31),SUM('融资租赁与资金缺口'!$M$5:$M$16)*$S10,0),IF(AR$4=EDATE('核心假设'!$B$5,7-1+'核心假设'!$B$31),SUM('融资租赁与资金缺口'!$M$5:$M$16)*$T10,0),IF(AR$4=EDATE('核心假设'!$B$5,8-1+'核心假设'!$B$31),SUM('融资租赁与资金缺口'!$M$5:$M$16)*$U10,0),IF(AR$4=EDATE('核心假设'!$B$5,9-1+'核心假设'!$B$31),SUM('融资租赁与资金缺口'!$M$5:$M$16)*$V10,0),IF(AR$4=EDATE('核心假设'!$B$5,10-1+'核心假设'!$B$31),SUM('融资租赁与资金缺口'!$M$5:$M$16)*$W10,0),IF(AR$4=EDATE('核心假设'!$B$5,11-1+'核心假设'!$B$31),SUM('融资租赁与资金缺口'!$M$5:$M$16)*$X10,0),IF(AR$4=EDATE('核心假设'!$B$5,12-1+'核心假设'!$B$31),SUM('融资租赁与资金缺口'!$M$5:$M$16)*$Y10,0),IF(AR$4=EDATE('核心假设'!$B$5,13-1+'核心假设'!$B$31),SUM('融资租赁与资金缺口'!$M$5:$M$16)*$Z10,0),IF(AR$4=EDATE('核心假设'!$B$5,14-1+'核心假设'!$B$31),SUM('融资租赁与资金缺口'!$M$5:$M$16)*$AA10,0),IF(AR$4=EDATE('核心假设'!$B$5,15-1+'核心假设'!$B$31),SUM('融资租赁与资金缺口'!$M$5:$M$16)*$AB10,0),IF(AR$4=EDATE('核心假设'!$B$5,16-1+'核心假设'!$B$31),SUM('融资租赁与资金缺口'!$M$5:$M$16)*$AC10,0),IF(AR$4=EDATE('核心假设'!$B$5,17-1+'核心假设'!$B$31),SUM('融资租赁与资金缺口'!$M$5:$M$16)*$AD10,0))</x:f>
        <x:v>44821000.00000001</x:v>
      </x:c>
      <x:c r="AS39" s="28" t="n">
        <x:f>SUM(IF(AS$4=EDATE('核心假设'!$B$5,0-1+'核心假设'!$B$31),SUM('融资租赁与资金缺口'!$M$5:$M$16)*$M10,0),IF(AS$4=EDATE('核心假设'!$B$5,1-1+'核心假设'!$B$31),SUM('融资租赁与资金缺口'!$M$5:$M$16)*$N10,0),IF(AS$4=EDATE('核心假设'!$B$5,2-1+'核心假设'!$B$31),SUM('融资租赁与资金缺口'!$M$5:$M$16)*$O10,0),IF(AS$4=EDATE('核心假设'!$B$5,3-1+'核心假设'!$B$31),SUM('融资租赁与资金缺口'!$M$5:$M$16)*$P10,0),IF(AS$4=EDATE('核心假设'!$B$5,4-1+'核心假设'!$B$31),SUM('融资租赁与资金缺口'!$M$5:$M$16)*$Q10,0),IF(AS$4=EDATE('核心假设'!$B$5,5-1+'核心假设'!$B$31),SUM('融资租赁与资金缺口'!$M$5:$M$16)*$R10,0),IF(AS$4=EDATE('核心假设'!$B$5,6-1+'核心假设'!$B$31),SUM('融资租赁与资金缺口'!$M$5:$M$16)*$S10,0),IF(AS$4=EDATE('核心假设'!$B$5,7-1+'核心假设'!$B$31),SUM('融资租赁与资金缺口'!$M$5:$M$16)*$T10,0),IF(AS$4=EDATE('核心假设'!$B$5,8-1+'核心假设'!$B$31),SUM('融资租赁与资金缺口'!$M$5:$M$16)*$U10,0),IF(AS$4=EDATE('核心假设'!$B$5,9-1+'核心假设'!$B$31),SUM('融资租赁与资金缺口'!$M$5:$M$16)*$V10,0),IF(AS$4=EDATE('核心假设'!$B$5,10-1+'核心假设'!$B$31),SUM('融资租赁与资金缺口'!$M$5:$M$16)*$W10,0),IF(AS$4=EDATE('核心假设'!$B$5,11-1+'核心假设'!$B$31),SUM('融资租赁与资金缺口'!$M$5:$M$16)*$X10,0),IF(AS$4=EDATE('核心假设'!$B$5,12-1+'核心假设'!$B$31),SUM('融资租赁与资金缺口'!$M$5:$M$16)*$Y10,0),IF(AS$4=EDATE('核心假设'!$B$5,13-1+'核心假设'!$B$31),SUM('融资租赁与资金缺口'!$M$5:$M$16)*$Z10,0),IF(AS$4=EDATE('核心假设'!$B$5,14-1+'核心假设'!$B$31),SUM('融资租赁与资金缺口'!$M$5:$M$16)*$AA10,0),IF(AS$4=EDATE('核心假设'!$B$5,15-1+'核心假设'!$B$31),SUM('融资租赁与资金缺口'!$M$5:$M$16)*$AB10,0),IF(AS$4=EDATE('核心假设'!$B$5,16-1+'核心假设'!$B$31),SUM('融资租赁与资金缺口'!$M$5:$M$16)*$AC10,0),IF(AS$4=EDATE('核心假设'!$B$5,17-1+'核心假设'!$B$31),SUM('融资租赁与资金缺口'!$M$5:$M$16)*$AD10,0))</x:f>
        <x:v>44821000.00000001</x:v>
      </x:c>
      <x:c r="AT39" s="28" t="n">
        <x:f>SUM(IF(AT$4=EDATE('核心假设'!$B$5,0-1+'核心假设'!$B$31),SUM('融资租赁与资金缺口'!$M$5:$M$16)*$M10,0),IF(AT$4=EDATE('核心假设'!$B$5,1-1+'核心假设'!$B$31),SUM('融资租赁与资金缺口'!$M$5:$M$16)*$N10,0),IF(AT$4=EDATE('核心假设'!$B$5,2-1+'核心假设'!$B$31),SUM('融资租赁与资金缺口'!$M$5:$M$16)*$O10,0),IF(AT$4=EDATE('核心假设'!$B$5,3-1+'核心假设'!$B$31),SUM('融资租赁与资金缺口'!$M$5:$M$16)*$P10,0),IF(AT$4=EDATE('核心假设'!$B$5,4-1+'核心假设'!$B$31),SUM('融资租赁与资金缺口'!$M$5:$M$16)*$Q10,0),IF(AT$4=EDATE('核心假设'!$B$5,5-1+'核心假设'!$B$31),SUM('融资租赁与资金缺口'!$M$5:$M$16)*$R10,0),IF(AT$4=EDATE('核心假设'!$B$5,6-1+'核心假设'!$B$31),SUM('融资租赁与资金缺口'!$M$5:$M$16)*$S10,0),IF(AT$4=EDATE('核心假设'!$B$5,7-1+'核心假设'!$B$31),SUM('融资租赁与资金缺口'!$M$5:$M$16)*$T10,0),IF(AT$4=EDATE('核心假设'!$B$5,8-1+'核心假设'!$B$31),SUM('融资租赁与资金缺口'!$M$5:$M$16)*$U10,0),IF(AT$4=EDATE('核心假设'!$B$5,9-1+'核心假设'!$B$31),SUM('融资租赁与资金缺口'!$M$5:$M$16)*$V10,0),IF(AT$4=EDATE('核心假设'!$B$5,10-1+'核心假设'!$B$31),SUM('融资租赁与资金缺口'!$M$5:$M$16)*$W10,0),IF(AT$4=EDATE('核心假设'!$B$5,11-1+'核心假设'!$B$31),SUM('融资租赁与资金缺口'!$M$5:$M$16)*$X10,0),IF(AT$4=EDATE('核心假设'!$B$5,12-1+'核心假设'!$B$31),SUM('融资租赁与资金缺口'!$M$5:$M$16)*$Y10,0),IF(AT$4=EDATE('核心假设'!$B$5,13-1+'核心假设'!$B$31),SUM('融资租赁与资金缺口'!$M$5:$M$16)*$Z10,0),IF(AT$4=EDATE('核心假设'!$B$5,14-1+'核心假设'!$B$31),SUM('融资租赁与资金缺口'!$M$5:$M$16)*$AA10,0),IF(AT$4=EDATE('核心假设'!$B$5,15-1+'核心假设'!$B$31),SUM('融资租赁与资金缺口'!$M$5:$M$16)*$AB10,0),IF(AT$4=EDATE('核心假设'!$B$5,16-1+'核心假设'!$B$31),SUM('融资租赁与资金缺口'!$M$5:$M$16)*$AC10,0),IF(AT$4=EDATE('核心假设'!$B$5,17-1+'核心假设'!$B$31),SUM('融资租赁与资金缺口'!$M$5:$M$16)*$AD10,0))</x:f>
        <x:v>38418000</x:v>
      </x:c>
      <x:c r="AU39" s="28" t="n">
        <x:f>SUM(IF(AU$4=EDATE('核心假设'!$B$5,0-1+'核心假设'!$B$31),SUM('融资租赁与资金缺口'!$M$5:$M$16)*$M10,0),IF(AU$4=EDATE('核心假设'!$B$5,1-1+'核心假设'!$B$31),SUM('融资租赁与资金缺口'!$M$5:$M$16)*$N10,0),IF(AU$4=EDATE('核心假设'!$B$5,2-1+'核心假设'!$B$31),SUM('融资租赁与资金缺口'!$M$5:$M$16)*$O10,0),IF(AU$4=EDATE('核心假设'!$B$5,3-1+'核心假设'!$B$31),SUM('融资租赁与资金缺口'!$M$5:$M$16)*$P10,0),IF(AU$4=EDATE('核心假设'!$B$5,4-1+'核心假设'!$B$31),SUM('融资租赁与资金缺口'!$M$5:$M$16)*$Q10,0),IF(AU$4=EDATE('核心假设'!$B$5,5-1+'核心假设'!$B$31),SUM('融资租赁与资金缺口'!$M$5:$M$16)*$R10,0),IF(AU$4=EDATE('核心假设'!$B$5,6-1+'核心假设'!$B$31),SUM('融资租赁与资金缺口'!$M$5:$M$16)*$S10,0),IF(AU$4=EDATE('核心假设'!$B$5,7-1+'核心假设'!$B$31),SUM('融资租赁与资金缺口'!$M$5:$M$16)*$T10,0),IF(AU$4=EDATE('核心假设'!$B$5,8-1+'核心假设'!$B$31),SUM('融资租赁与资金缺口'!$M$5:$M$16)*$U10,0),IF(AU$4=EDATE('核心假设'!$B$5,9-1+'核心假设'!$B$31),SUM('融资租赁与资金缺口'!$M$5:$M$16)*$V10,0),IF(AU$4=EDATE('核心假设'!$B$5,10-1+'核心假设'!$B$31),SUM('融资租赁与资金缺口'!$M$5:$M$16)*$W10,0),IF(AU$4=EDATE('核心假设'!$B$5,11-1+'核心假设'!$B$31),SUM('融资租赁与资金缺口'!$M$5:$M$16)*$X10,0),IF(AU$4=EDATE('核心假设'!$B$5,12-1+'核心假设'!$B$31),SUM('融资租赁与资金缺口'!$M$5:$M$16)*$Y10,0),IF(AU$4=EDATE('核心假设'!$B$5,13-1+'核心假设'!$B$31),SUM('融资租赁与资金缺口'!$M$5:$M$16)*$Z10,0),IF(AU$4=EDATE('核心假设'!$B$5,14-1+'核心假设'!$B$31),SUM('融资租赁与资金缺口'!$M$5:$M$16)*$AA10,0),IF(AU$4=EDATE('核心假设'!$B$5,15-1+'核心假设'!$B$31),SUM('融资租赁与资金缺口'!$M$5:$M$16)*$AB10,0),IF(AU$4=EDATE('核心假设'!$B$5,16-1+'核心假设'!$B$31),SUM('融资租赁与资金缺口'!$M$5:$M$16)*$AC10,0),IF(AU$4=EDATE('核心假设'!$B$5,17-1+'核心假设'!$B$31),SUM('融资租赁与资金缺口'!$M$5:$M$16)*$AD10,0))</x:f>
        <x:v>38418000</x:v>
      </x:c>
      <x:c r="AV39" s="28" t="n">
        <x:f>SUM(IF(AV$4=EDATE('核心假设'!$B$5,0-1+'核心假设'!$B$31),SUM('融资租赁与资金缺口'!$M$5:$M$16)*$M10,0),IF(AV$4=EDATE('核心假设'!$B$5,1-1+'核心假设'!$B$31),SUM('融资租赁与资金缺口'!$M$5:$M$16)*$N10,0),IF(AV$4=EDATE('核心假设'!$B$5,2-1+'核心假设'!$B$31),SUM('融资租赁与资金缺口'!$M$5:$M$16)*$O10,0),IF(AV$4=EDATE('核心假设'!$B$5,3-1+'核心假设'!$B$31),SUM('融资租赁与资金缺口'!$M$5:$M$16)*$P10,0),IF(AV$4=EDATE('核心假设'!$B$5,4-1+'核心假设'!$B$31),SUM('融资租赁与资金缺口'!$M$5:$M$16)*$Q10,0),IF(AV$4=EDATE('核心假设'!$B$5,5-1+'核心假设'!$B$31),SUM('融资租赁与资金缺口'!$M$5:$M$16)*$R10,0),IF(AV$4=EDATE('核心假设'!$B$5,6-1+'核心假设'!$B$31),SUM('融资租赁与资金缺口'!$M$5:$M$16)*$S10,0),IF(AV$4=EDATE('核心假设'!$B$5,7-1+'核心假设'!$B$31),SUM('融资租赁与资金缺口'!$M$5:$M$16)*$T10,0),IF(AV$4=EDATE('核心假设'!$B$5,8-1+'核心假设'!$B$31),SUM('融资租赁与资金缺口'!$M$5:$M$16)*$U10,0),IF(AV$4=EDATE('核心假设'!$B$5,9-1+'核心假设'!$B$31),SUM('融资租赁与资金缺口'!$M$5:$M$16)*$V10,0),IF(AV$4=EDATE('核心假设'!$B$5,10-1+'核心假设'!$B$31),SUM('融资租赁与资金缺口'!$M$5:$M$16)*$W10,0),IF(AV$4=EDATE('核心假设'!$B$5,11-1+'核心假设'!$B$31),SUM('融资租赁与资金缺口'!$M$5:$M$16)*$X10,0),IF(AV$4=EDATE('核心假设'!$B$5,12-1+'核心假设'!$B$31),SUM('融资租赁与资金缺口'!$M$5:$M$16)*$Y10,0),IF(AV$4=EDATE('核心假设'!$B$5,13-1+'核心假设'!$B$31),SUM('融资租赁与资金缺口'!$M$5:$M$16)*$Z10,0),IF(AV$4=EDATE('核心假设'!$B$5,14-1+'核心假设'!$B$31),SUM('融资租赁与资金缺口'!$M$5:$M$16)*$AA10,0),IF(AV$4=EDATE('核心假设'!$B$5,15-1+'核心假设'!$B$31),SUM('融资租赁与资金缺口'!$M$5:$M$16)*$AB10,0),IF(AV$4=EDATE('核心假设'!$B$5,16-1+'核心假设'!$B$31),SUM('融资租赁与资金缺口'!$M$5:$M$16)*$AC10,0),IF(AV$4=EDATE('核心假设'!$B$5,17-1+'核心假设'!$B$31),SUM('融资租赁与资金缺口'!$M$5:$M$16)*$AD10,0))</x:f>
        <x:v>32015000</x:v>
      </x:c>
      <x:c r="AW39" s="28" t="n">
        <x:f>SUM(IF(AW$4=EDATE('核心假设'!$B$5,0-1+'核心假设'!$B$31),SUM('融资租赁与资金缺口'!$M$5:$M$16)*$M10,0),IF(AW$4=EDATE('核心假设'!$B$5,1-1+'核心假设'!$B$31),SUM('融资租赁与资金缺口'!$M$5:$M$16)*$N10,0),IF(AW$4=EDATE('核心假设'!$B$5,2-1+'核心假设'!$B$31),SUM('融资租赁与资金缺口'!$M$5:$M$16)*$O10,0),IF(AW$4=EDATE('核心假设'!$B$5,3-1+'核心假设'!$B$31),SUM('融资租赁与资金缺口'!$M$5:$M$16)*$P10,0),IF(AW$4=EDATE('核心假设'!$B$5,4-1+'核心假设'!$B$31),SUM('融资租赁与资金缺口'!$M$5:$M$16)*$Q10,0),IF(AW$4=EDATE('核心假设'!$B$5,5-1+'核心假设'!$B$31),SUM('融资租赁与资金缺口'!$M$5:$M$16)*$R10,0),IF(AW$4=EDATE('核心假设'!$B$5,6-1+'核心假设'!$B$31),SUM('融资租赁与资金缺口'!$M$5:$M$16)*$S10,0),IF(AW$4=EDATE('核心假设'!$B$5,7-1+'核心假设'!$B$31),SUM('融资租赁与资金缺口'!$M$5:$M$16)*$T10,0),IF(AW$4=EDATE('核心假设'!$B$5,8-1+'核心假设'!$B$31),SUM('融资租赁与资金缺口'!$M$5:$M$16)*$U10,0),IF(AW$4=EDATE('核心假设'!$B$5,9-1+'核心假设'!$B$31),SUM('融资租赁与资金缺口'!$M$5:$M$16)*$V10,0),IF(AW$4=EDATE('核心假设'!$B$5,10-1+'核心假设'!$B$31),SUM('融资租赁与资金缺口'!$M$5:$M$16)*$W10,0),IF(AW$4=EDATE('核心假设'!$B$5,11-1+'核心假设'!$B$31),SUM('融资租赁与资金缺口'!$M$5:$M$16)*$X10,0),IF(AW$4=EDATE('核心假设'!$B$5,12-1+'核心假设'!$B$31),SUM('融资租赁与资金缺口'!$M$5:$M$16)*$Y10,0),IF(AW$4=EDATE('核心假设'!$B$5,13-1+'核心假设'!$B$31),SUM('融资租赁与资金缺口'!$M$5:$M$16)*$Z10,0),IF(AW$4=EDATE('核心假设'!$B$5,14-1+'核心假设'!$B$31),SUM('融资租赁与资金缺口'!$M$5:$M$16)*$AA10,0),IF(AW$4=EDATE('核心假设'!$B$5,15-1+'核心假设'!$B$31),SUM('融资租赁与资金缺口'!$M$5:$M$16)*$AB10,0),IF(AW$4=EDATE('核心假设'!$B$5,16-1+'核心假设'!$B$31),SUM('融资租赁与资金缺口'!$M$5:$M$16)*$AC10,0),IF(AW$4=EDATE('核心假设'!$B$5,17-1+'核心假设'!$B$31),SUM('融资租赁与资金缺口'!$M$5:$M$16)*$AD10,0))</x:f>
        <x:v>25612000</x:v>
      </x:c>
      <x:c r="AX39" s="28" t="n">
        <x:f>SUM(IF(AX$4=EDATE('核心假设'!$B$5,0-1+'核心假设'!$B$31),SUM('融资租赁与资金缺口'!$M$5:$M$16)*$M10,0),IF(AX$4=EDATE('核心假设'!$B$5,1-1+'核心假设'!$B$31),SUM('融资租赁与资金缺口'!$M$5:$M$16)*$N10,0),IF(AX$4=EDATE('核心假设'!$B$5,2-1+'核心假设'!$B$31),SUM('融资租赁与资金缺口'!$M$5:$M$16)*$O10,0),IF(AX$4=EDATE('核心假设'!$B$5,3-1+'核心假设'!$B$31),SUM('融资租赁与资金缺口'!$M$5:$M$16)*$P10,0),IF(AX$4=EDATE('核心假设'!$B$5,4-1+'核心假设'!$B$31),SUM('融资租赁与资金缺口'!$M$5:$M$16)*$Q10,0),IF(AX$4=EDATE('核心假设'!$B$5,5-1+'核心假设'!$B$31),SUM('融资租赁与资金缺口'!$M$5:$M$16)*$R10,0),IF(AX$4=EDATE('核心假设'!$B$5,6-1+'核心假设'!$B$31),SUM('融资租赁与资金缺口'!$M$5:$M$16)*$S10,0),IF(AX$4=EDATE('核心假设'!$B$5,7-1+'核心假设'!$B$31),SUM('融资租赁与资金缺口'!$M$5:$M$16)*$T10,0),IF(AX$4=EDATE('核心假设'!$B$5,8-1+'核心假设'!$B$31),SUM('融资租赁与资金缺口'!$M$5:$M$16)*$U10,0),IF(AX$4=EDATE('核心假设'!$B$5,9-1+'核心假设'!$B$31),SUM('融资租赁与资金缺口'!$M$5:$M$16)*$V10,0),IF(AX$4=EDATE('核心假设'!$B$5,10-1+'核心假设'!$B$31),SUM('融资租赁与资金缺口'!$M$5:$M$16)*$W10,0),IF(AX$4=EDATE('核心假设'!$B$5,11-1+'核心假设'!$B$31),SUM('融资租赁与资金缺口'!$M$5:$M$16)*$X10,0),IF(AX$4=EDATE('核心假设'!$B$5,12-1+'核心假设'!$B$31),SUM('融资租赁与资金缺口'!$M$5:$M$16)*$Y10,0),IF(AX$4=EDATE('核心假设'!$B$5,13-1+'核心假设'!$B$31),SUM('融资租赁与资金缺口'!$M$5:$M$16)*$Z10,0),IF(AX$4=EDATE('核心假设'!$B$5,14-1+'核心假设'!$B$31),SUM('融资租赁与资金缺口'!$M$5:$M$16)*$AA10,0),IF(AX$4=EDATE('核心假设'!$B$5,15-1+'核心假设'!$B$31),SUM('融资租赁与资金缺口'!$M$5:$M$16)*$AB10,0),IF(AX$4=EDATE('核心假设'!$B$5,16-1+'核心假设'!$B$31),SUM('融资租赁与资金缺口'!$M$5:$M$16)*$AC10,0),IF(AX$4=EDATE('核心假设'!$B$5,17-1+'核心假设'!$B$31),SUM('融资租赁与资金缺口'!$M$5:$M$16)*$AD10,0))</x:f>
        <x:v>25612000</x:v>
      </x:c>
      <x:c r="AY39" s="28" t="n">
        <x:f>SUM(IF(AY$4=EDATE('核心假设'!$B$5,0-1+'核心假设'!$B$31),SUM('融资租赁与资金缺口'!$M$5:$M$16)*$M10,0),IF(AY$4=EDATE('核心假设'!$B$5,1-1+'核心假设'!$B$31),SUM('融资租赁与资金缺口'!$M$5:$M$16)*$N10,0),IF(AY$4=EDATE('核心假设'!$B$5,2-1+'核心假设'!$B$31),SUM('融资租赁与资金缺口'!$M$5:$M$16)*$O10,0),IF(AY$4=EDATE('核心假设'!$B$5,3-1+'核心假设'!$B$31),SUM('融资租赁与资金缺口'!$M$5:$M$16)*$P10,0),IF(AY$4=EDATE('核心假设'!$B$5,4-1+'核心假设'!$B$31),SUM('融资租赁与资金缺口'!$M$5:$M$16)*$Q10,0),IF(AY$4=EDATE('核心假设'!$B$5,5-1+'核心假设'!$B$31),SUM('融资租赁与资金缺口'!$M$5:$M$16)*$R10,0),IF(AY$4=EDATE('核心假设'!$B$5,6-1+'核心假设'!$B$31),SUM('融资租赁与资金缺口'!$M$5:$M$16)*$S10,0),IF(AY$4=EDATE('核心假设'!$B$5,7-1+'核心假设'!$B$31),SUM('融资租赁与资金缺口'!$M$5:$M$16)*$T10,0),IF(AY$4=EDATE('核心假设'!$B$5,8-1+'核心假设'!$B$31),SUM('融资租赁与资金缺口'!$M$5:$M$16)*$U10,0),IF(AY$4=EDATE('核心假设'!$B$5,9-1+'核心假设'!$B$31),SUM('融资租赁与资金缺口'!$M$5:$M$16)*$V10,0),IF(AY$4=EDATE('核心假设'!$B$5,10-1+'核心假设'!$B$31),SUM('融资租赁与资金缺口'!$M$5:$M$16)*$W10,0),IF(AY$4=EDATE('核心假设'!$B$5,11-1+'核心假设'!$B$31),SUM('融资租赁与资金缺口'!$M$5:$M$16)*$X10,0),IF(AY$4=EDATE('核心假设'!$B$5,12-1+'核心假设'!$B$31),SUM('融资租赁与资金缺口'!$M$5:$M$16)*$Y10,0),IF(AY$4=EDATE('核心假设'!$B$5,13-1+'核心假设'!$B$31),SUM('融资租赁与资金缺口'!$M$5:$M$16)*$Z10,0),IF(AY$4=EDATE('核心假设'!$B$5,14-1+'核心假设'!$B$31),SUM('融资租赁与资金缺口'!$M$5:$M$16)*$AA10,0),IF(AY$4=EDATE('核心假设'!$B$5,15-1+'核心假设'!$B$31),SUM('融资租赁与资金缺口'!$M$5:$M$16)*$AB10,0),IF(AY$4=EDATE('核心假设'!$B$5,16-1+'核心假设'!$B$31),SUM('融资租赁与资金缺口'!$M$5:$M$16)*$AC10,0),IF(AY$4=EDATE('核心假设'!$B$5,17-1+'核心假设'!$B$31),SUM('融资租赁与资金缺口'!$M$5:$M$16)*$AD10,0))</x:f>
        <x:v>0</x:v>
      </x:c>
      <x:c r="AZ39" s="28" t="n">
        <x:f>SUM(IF(AZ$4=EDATE('核心假设'!$B$5,0-1+'核心假设'!$B$31),SUM('融资租赁与资金缺口'!$M$5:$M$16)*$M10,0),IF(AZ$4=EDATE('核心假设'!$B$5,1-1+'核心假设'!$B$31),SUM('融资租赁与资金缺口'!$M$5:$M$16)*$N10,0),IF(AZ$4=EDATE('核心假设'!$B$5,2-1+'核心假设'!$B$31),SUM('融资租赁与资金缺口'!$M$5:$M$16)*$O10,0),IF(AZ$4=EDATE('核心假设'!$B$5,3-1+'核心假设'!$B$31),SUM('融资租赁与资金缺口'!$M$5:$M$16)*$P10,0),IF(AZ$4=EDATE('核心假设'!$B$5,4-1+'核心假设'!$B$31),SUM('融资租赁与资金缺口'!$M$5:$M$16)*$Q10,0),IF(AZ$4=EDATE('核心假设'!$B$5,5-1+'核心假设'!$B$31),SUM('融资租赁与资金缺口'!$M$5:$M$16)*$R10,0),IF(AZ$4=EDATE('核心假设'!$B$5,6-1+'核心假设'!$B$31),SUM('融资租赁与资金缺口'!$M$5:$M$16)*$S10,0),IF(AZ$4=EDATE('核心假设'!$B$5,7-1+'核心假设'!$B$31),SUM('融资租赁与资金缺口'!$M$5:$M$16)*$T10,0),IF(AZ$4=EDATE('核心假设'!$B$5,8-1+'核心假设'!$B$31),SUM('融资租赁与资金缺口'!$M$5:$M$16)*$U10,0),IF(AZ$4=EDATE('核心假设'!$B$5,9-1+'核心假设'!$B$31),SUM('融资租赁与资金缺口'!$M$5:$M$16)*$V10,0),IF(AZ$4=EDATE('核心假设'!$B$5,10-1+'核心假设'!$B$31),SUM('融资租赁与资金缺口'!$M$5:$M$16)*$W10,0),IF(AZ$4=EDATE('核心假设'!$B$5,11-1+'核心假设'!$B$31),SUM('融资租赁与资金缺口'!$M$5:$M$16)*$X10,0),IF(AZ$4=EDATE('核心假设'!$B$5,12-1+'核心假设'!$B$31),SUM('融资租赁与资金缺口'!$M$5:$M$16)*$Y10,0),IF(AZ$4=EDATE('核心假设'!$B$5,13-1+'核心假设'!$B$31),SUM('融资租赁与资金缺口'!$M$5:$M$16)*$Z10,0),IF(AZ$4=EDATE('核心假设'!$B$5,14-1+'核心假设'!$B$31),SUM('融资租赁与资金缺口'!$M$5:$M$16)*$AA10,0),IF(AZ$4=EDATE('核心假设'!$B$5,15-1+'核心假设'!$B$31),SUM('融资租赁与资金缺口'!$M$5:$M$16)*$AB10,0),IF(AZ$4=EDATE('核心假设'!$B$5,16-1+'核心假设'!$B$31),SUM('融资租赁与资金缺口'!$M$5:$M$16)*$AC10,0),IF(AZ$4=EDATE('核心假设'!$B$5,17-1+'核心假设'!$B$31),SUM('融资租赁与资金缺口'!$M$5:$M$16)*$AD10,0))</x:f>
        <x:v>0</x:v>
      </x:c>
      <x:c r="BA39" s="28" t="n">
        <x:f>SUM(IF(BA$4=EDATE('核心假设'!$B$5,0-1+'核心假设'!$B$31),SUM('融资租赁与资金缺口'!$M$5:$M$16)*$M10,0),IF(BA$4=EDATE('核心假设'!$B$5,1-1+'核心假设'!$B$31),SUM('融资租赁与资金缺口'!$M$5:$M$16)*$N10,0),IF(BA$4=EDATE('核心假设'!$B$5,2-1+'核心假设'!$B$31),SUM('融资租赁与资金缺口'!$M$5:$M$16)*$O10,0),IF(BA$4=EDATE('核心假设'!$B$5,3-1+'核心假设'!$B$31),SUM('融资租赁与资金缺口'!$M$5:$M$16)*$P10,0),IF(BA$4=EDATE('核心假设'!$B$5,4-1+'核心假设'!$B$31),SUM('融资租赁与资金缺口'!$M$5:$M$16)*$Q10,0),IF(BA$4=EDATE('核心假设'!$B$5,5-1+'核心假设'!$B$31),SUM('融资租赁与资金缺口'!$M$5:$M$16)*$R10,0),IF(BA$4=EDATE('核心假设'!$B$5,6-1+'核心假设'!$B$31),SUM('融资租赁与资金缺口'!$M$5:$M$16)*$S10,0),IF(BA$4=EDATE('核心假设'!$B$5,7-1+'核心假设'!$B$31),SUM('融资租赁与资金缺口'!$M$5:$M$16)*$T10,0),IF(BA$4=EDATE('核心假设'!$B$5,8-1+'核心假设'!$B$31),SUM('融资租赁与资金缺口'!$M$5:$M$16)*$U10,0),IF(BA$4=EDATE('核心假设'!$B$5,9-1+'核心假设'!$B$31),SUM('融资租赁与资金缺口'!$M$5:$M$16)*$V10,0),IF(BA$4=EDATE('核心假设'!$B$5,10-1+'核心假设'!$B$31),SUM('融资租赁与资金缺口'!$M$5:$M$16)*$W10,0),IF(BA$4=EDATE('核心假设'!$B$5,11-1+'核心假设'!$B$31),SUM('融资租赁与资金缺口'!$M$5:$M$16)*$X10,0),IF(BA$4=EDATE('核心假设'!$B$5,12-1+'核心假设'!$B$31),SUM('融资租赁与资金缺口'!$M$5:$M$16)*$Y10,0),IF(BA$4=EDATE('核心假设'!$B$5,13-1+'核心假设'!$B$31),SUM('融资租赁与资金缺口'!$M$5:$M$16)*$Z10,0),IF(BA$4=EDATE('核心假设'!$B$5,14-1+'核心假设'!$B$31),SUM('融资租赁与资金缺口'!$M$5:$M$16)*$AA10,0),IF(BA$4=EDATE('核心假设'!$B$5,15-1+'核心假设'!$B$31),SUM('融资租赁与资金缺口'!$M$5:$M$16)*$AB10,0),IF(BA$4=EDATE('核心假设'!$B$5,16-1+'核心假设'!$B$31),SUM('融资租赁与资金缺口'!$M$5:$M$16)*$AC10,0),IF(BA$4=EDATE('核心假设'!$B$5,17-1+'核心假设'!$B$31),SUM('融资租赁与资金缺口'!$M$5:$M$16)*$AD10,0))</x:f>
        <x:v>0</x:v>
      </x:c>
      <x:c r="BB39" s="28" t="n">
        <x:f>SUM(IF(BB$4=EDATE('核心假设'!$B$5,0-1+'核心假设'!$B$31),SUM('融资租赁与资金缺口'!$M$5:$M$16)*$M10,0),IF(BB$4=EDATE('核心假设'!$B$5,1-1+'核心假设'!$B$31),SUM('融资租赁与资金缺口'!$M$5:$M$16)*$N10,0),IF(BB$4=EDATE('核心假设'!$B$5,2-1+'核心假设'!$B$31),SUM('融资租赁与资金缺口'!$M$5:$M$16)*$O10,0),IF(BB$4=EDATE('核心假设'!$B$5,3-1+'核心假设'!$B$31),SUM('融资租赁与资金缺口'!$M$5:$M$16)*$P10,0),IF(BB$4=EDATE('核心假设'!$B$5,4-1+'核心假设'!$B$31),SUM('融资租赁与资金缺口'!$M$5:$M$16)*$Q10,0),IF(BB$4=EDATE('核心假设'!$B$5,5-1+'核心假设'!$B$31),SUM('融资租赁与资金缺口'!$M$5:$M$16)*$R10,0),IF(BB$4=EDATE('核心假设'!$B$5,6-1+'核心假设'!$B$31),SUM('融资租赁与资金缺口'!$M$5:$M$16)*$S10,0),IF(BB$4=EDATE('核心假设'!$B$5,7-1+'核心假设'!$B$31),SUM('融资租赁与资金缺口'!$M$5:$M$16)*$T10,0),IF(BB$4=EDATE('核心假设'!$B$5,8-1+'核心假设'!$B$31),SUM('融资租赁与资金缺口'!$M$5:$M$16)*$U10,0),IF(BB$4=EDATE('核心假设'!$B$5,9-1+'核心假设'!$B$31),SUM('融资租赁与资金缺口'!$M$5:$M$16)*$V10,0),IF(BB$4=EDATE('核心假设'!$B$5,10-1+'核心假设'!$B$31),SUM('融资租赁与资金缺口'!$M$5:$M$16)*$W10,0),IF(BB$4=EDATE('核心假设'!$B$5,11-1+'核心假设'!$B$31),SUM('融资租赁与资金缺口'!$M$5:$M$16)*$X10,0),IF(BB$4=EDATE('核心假设'!$B$5,12-1+'核心假设'!$B$31),SUM('融资租赁与资金缺口'!$M$5:$M$16)*$Y10,0),IF(BB$4=EDATE('核心假设'!$B$5,13-1+'核心假设'!$B$31),SUM('融资租赁与资金缺口'!$M$5:$M$16)*$Z10,0),IF(BB$4=EDATE('核心假设'!$B$5,14-1+'核心假设'!$B$31),SUM('融资租赁与资金缺口'!$M$5:$M$16)*$AA10,0),IF(BB$4=EDATE('核心假设'!$B$5,15-1+'核心假设'!$B$31),SUM('融资租赁与资金缺口'!$M$5:$M$16)*$AB10,0),IF(BB$4=EDATE('核心假设'!$B$5,16-1+'核心假设'!$B$31),SUM('融资租赁与资金缺口'!$M$5:$M$16)*$AC10,0),IF(BB$4=EDATE('核心假设'!$B$5,17-1+'核心假设'!$B$31),SUM('融资租赁与资金缺口'!$M$5:$M$16)*$AD10,0))</x:f>
        <x:v>0</x:v>
      </x:c>
      <x:c r="BC39" s="28" t="n">
        <x:f>SUM(IF(BC$4=EDATE('核心假设'!$B$5,0-1+'核心假设'!$B$31),SUM('融资租赁与资金缺口'!$M$5:$M$16)*$M10,0),IF(BC$4=EDATE('核心假设'!$B$5,1-1+'核心假设'!$B$31),SUM('融资租赁与资金缺口'!$M$5:$M$16)*$N10,0),IF(BC$4=EDATE('核心假设'!$B$5,2-1+'核心假设'!$B$31),SUM('融资租赁与资金缺口'!$M$5:$M$16)*$O10,0),IF(BC$4=EDATE('核心假设'!$B$5,3-1+'核心假设'!$B$31),SUM('融资租赁与资金缺口'!$M$5:$M$16)*$P10,0),IF(BC$4=EDATE('核心假设'!$B$5,4-1+'核心假设'!$B$31),SUM('融资租赁与资金缺口'!$M$5:$M$16)*$Q10,0),IF(BC$4=EDATE('核心假设'!$B$5,5-1+'核心假设'!$B$31),SUM('融资租赁与资金缺口'!$M$5:$M$16)*$R10,0),IF(BC$4=EDATE('核心假设'!$B$5,6-1+'核心假设'!$B$31),SUM('融资租赁与资金缺口'!$M$5:$M$16)*$S10,0),IF(BC$4=EDATE('核心假设'!$B$5,7-1+'核心假设'!$B$31),SUM('融资租赁与资金缺口'!$M$5:$M$16)*$T10,0),IF(BC$4=EDATE('核心假设'!$B$5,8-1+'核心假设'!$B$31),SUM('融资租赁与资金缺口'!$M$5:$M$16)*$U10,0),IF(BC$4=EDATE('核心假设'!$B$5,9-1+'核心假设'!$B$31),SUM('融资租赁与资金缺口'!$M$5:$M$16)*$V10,0),IF(BC$4=EDATE('核心假设'!$B$5,10-1+'核心假设'!$B$31),SUM('融资租赁与资金缺口'!$M$5:$M$16)*$W10,0),IF(BC$4=EDATE('核心假设'!$B$5,11-1+'核心假设'!$B$31),SUM('融资租赁与资金缺口'!$M$5:$M$16)*$X10,0),IF(BC$4=EDATE('核心假设'!$B$5,12-1+'核心假设'!$B$31),SUM('融资租赁与资金缺口'!$M$5:$M$16)*$Y10,0),IF(BC$4=EDATE('核心假设'!$B$5,13-1+'核心假设'!$B$31),SUM('融资租赁与资金缺口'!$M$5:$M$16)*$Z10,0),IF(BC$4=EDATE('核心假设'!$B$5,14-1+'核心假设'!$B$31),SUM('融资租赁与资金缺口'!$M$5:$M$16)*$AA10,0),IF(BC$4=EDATE('核心假设'!$B$5,15-1+'核心假设'!$B$31),SUM('融资租赁与资金缺口'!$M$5:$M$16)*$AB10,0),IF(BC$4=EDATE('核心假设'!$B$5,16-1+'核心假设'!$B$31),SUM('融资租赁与资金缺口'!$M$5:$M$16)*$AC10,0),IF(BC$4=EDATE('核心假设'!$B$5,17-1+'核心假设'!$B$31),SUM('融资租赁与资金缺口'!$M$5:$M$16)*$AD10,0))</x:f>
        <x:v>0</x:v>
      </x:c>
      <x:c r="BD39" s="28" t="n">
        <x:f>SUM(IF(BD$4=EDATE('核心假设'!$B$5,0-1+'核心假设'!$B$31),SUM('融资租赁与资金缺口'!$M$5:$M$16)*$M10,0),IF(BD$4=EDATE('核心假设'!$B$5,1-1+'核心假设'!$B$31),SUM('融资租赁与资金缺口'!$M$5:$M$16)*$N10,0),IF(BD$4=EDATE('核心假设'!$B$5,2-1+'核心假设'!$B$31),SUM('融资租赁与资金缺口'!$M$5:$M$16)*$O10,0),IF(BD$4=EDATE('核心假设'!$B$5,3-1+'核心假设'!$B$31),SUM('融资租赁与资金缺口'!$M$5:$M$16)*$P10,0),IF(BD$4=EDATE('核心假设'!$B$5,4-1+'核心假设'!$B$31),SUM('融资租赁与资金缺口'!$M$5:$M$16)*$Q10,0),IF(BD$4=EDATE('核心假设'!$B$5,5-1+'核心假设'!$B$31),SUM('融资租赁与资金缺口'!$M$5:$M$16)*$R10,0),IF(BD$4=EDATE('核心假设'!$B$5,6-1+'核心假设'!$B$31),SUM('融资租赁与资金缺口'!$M$5:$M$16)*$S10,0),IF(BD$4=EDATE('核心假设'!$B$5,7-1+'核心假设'!$B$31),SUM('融资租赁与资金缺口'!$M$5:$M$16)*$T10,0),IF(BD$4=EDATE('核心假设'!$B$5,8-1+'核心假设'!$B$31),SUM('融资租赁与资金缺口'!$M$5:$M$16)*$U10,0),IF(BD$4=EDATE('核心假设'!$B$5,9-1+'核心假设'!$B$31),SUM('融资租赁与资金缺口'!$M$5:$M$16)*$V10,0),IF(BD$4=EDATE('核心假设'!$B$5,10-1+'核心假设'!$B$31),SUM('融资租赁与资金缺口'!$M$5:$M$16)*$W10,0),IF(BD$4=EDATE('核心假设'!$B$5,11-1+'核心假设'!$B$31),SUM('融资租赁与资金缺口'!$M$5:$M$16)*$X10,0),IF(BD$4=EDATE('核心假设'!$B$5,12-1+'核心假设'!$B$31),SUM('融资租赁与资金缺口'!$M$5:$M$16)*$Y10,0),IF(BD$4=EDATE('核心假设'!$B$5,13-1+'核心假设'!$B$31),SUM('融资租赁与资金缺口'!$M$5:$M$16)*$Z10,0),IF(BD$4=EDATE('核心假设'!$B$5,14-1+'核心假设'!$B$31),SUM('融资租赁与资金缺口'!$M$5:$M$16)*$AA10,0),IF(BD$4=EDATE('核心假设'!$B$5,15-1+'核心假设'!$B$31),SUM('融资租赁与资金缺口'!$M$5:$M$16)*$AB10,0),IF(BD$4=EDATE('核心假设'!$B$5,16-1+'核心假设'!$B$31),SUM('融资租赁与资金缺口'!$M$5:$M$16)*$AC10,0),IF(BD$4=EDATE('核心假设'!$B$5,17-1+'核心假设'!$B$31),SUM('融资租赁与资金缺口'!$M$5:$M$16)*$AD10,0))</x:f>
        <x:v>0</x:v>
      </x:c>
      <x:c r="BE39" s="28" t="n">
        <x:f>SUM(IF(BE$4=EDATE('核心假设'!$B$5,0-1+'核心假设'!$B$31),SUM('融资租赁与资金缺口'!$M$5:$M$16)*$M10,0),IF(BE$4=EDATE('核心假设'!$B$5,1-1+'核心假设'!$B$31),SUM('融资租赁与资金缺口'!$M$5:$M$16)*$N10,0),IF(BE$4=EDATE('核心假设'!$B$5,2-1+'核心假设'!$B$31),SUM('融资租赁与资金缺口'!$M$5:$M$16)*$O10,0),IF(BE$4=EDATE('核心假设'!$B$5,3-1+'核心假设'!$B$31),SUM('融资租赁与资金缺口'!$M$5:$M$16)*$P10,0),IF(BE$4=EDATE('核心假设'!$B$5,4-1+'核心假设'!$B$31),SUM('融资租赁与资金缺口'!$M$5:$M$16)*$Q10,0),IF(BE$4=EDATE('核心假设'!$B$5,5-1+'核心假设'!$B$31),SUM('融资租赁与资金缺口'!$M$5:$M$16)*$R10,0),IF(BE$4=EDATE('核心假设'!$B$5,6-1+'核心假设'!$B$31),SUM('融资租赁与资金缺口'!$M$5:$M$16)*$S10,0),IF(BE$4=EDATE('核心假设'!$B$5,7-1+'核心假设'!$B$31),SUM('融资租赁与资金缺口'!$M$5:$M$16)*$T10,0),IF(BE$4=EDATE('核心假设'!$B$5,8-1+'核心假设'!$B$31),SUM('融资租赁与资金缺口'!$M$5:$M$16)*$U10,0),IF(BE$4=EDATE('核心假设'!$B$5,9-1+'核心假设'!$B$31),SUM('融资租赁与资金缺口'!$M$5:$M$16)*$V10,0),IF(BE$4=EDATE('核心假设'!$B$5,10-1+'核心假设'!$B$31),SUM('融资租赁与资金缺口'!$M$5:$M$16)*$W10,0),IF(BE$4=EDATE('核心假设'!$B$5,11-1+'核心假设'!$B$31),SUM('融资租赁与资金缺口'!$M$5:$M$16)*$X10,0),IF(BE$4=EDATE('核心假设'!$B$5,12-1+'核心假设'!$B$31),SUM('融资租赁与资金缺口'!$M$5:$M$16)*$Y10,0),IF(BE$4=EDATE('核心假设'!$B$5,13-1+'核心假设'!$B$31),SUM('融资租赁与资金缺口'!$M$5:$M$16)*$Z10,0),IF(BE$4=EDATE('核心假设'!$B$5,14-1+'核心假设'!$B$31),SUM('融资租赁与资金缺口'!$M$5:$M$16)*$AA10,0),IF(BE$4=EDATE('核心假设'!$B$5,15-1+'核心假设'!$B$31),SUM('融资租赁与资金缺口'!$M$5:$M$16)*$AB10,0),IF(BE$4=EDATE('核心假设'!$B$5,16-1+'核心假设'!$B$31),SUM('融资租赁与资金缺口'!$M$5:$M$16)*$AC10,0),IF(BE$4=EDATE('核心假设'!$B$5,17-1+'核心假设'!$B$31),SUM('融资租赁与资金缺口'!$M$5:$M$16)*$AD10,0))</x:f>
        <x:v>0</x:v>
      </x:c>
      <x:c r="BF39" s="28" t="n">
        <x:f>SUM(IF(BF$4=EDATE('核心假设'!$B$5,0-1+'核心假设'!$B$31),SUM('融资租赁与资金缺口'!$M$5:$M$16)*$M10,0),IF(BF$4=EDATE('核心假设'!$B$5,1-1+'核心假设'!$B$31),SUM('融资租赁与资金缺口'!$M$5:$M$16)*$N10,0),IF(BF$4=EDATE('核心假设'!$B$5,2-1+'核心假设'!$B$31),SUM('融资租赁与资金缺口'!$M$5:$M$16)*$O10,0),IF(BF$4=EDATE('核心假设'!$B$5,3-1+'核心假设'!$B$31),SUM('融资租赁与资金缺口'!$M$5:$M$16)*$P10,0),IF(BF$4=EDATE('核心假设'!$B$5,4-1+'核心假设'!$B$31),SUM('融资租赁与资金缺口'!$M$5:$M$16)*$Q10,0),IF(BF$4=EDATE('核心假设'!$B$5,5-1+'核心假设'!$B$31),SUM('融资租赁与资金缺口'!$M$5:$M$16)*$R10,0),IF(BF$4=EDATE('核心假设'!$B$5,6-1+'核心假设'!$B$31),SUM('融资租赁与资金缺口'!$M$5:$M$16)*$S10,0),IF(BF$4=EDATE('核心假设'!$B$5,7-1+'核心假设'!$B$31),SUM('融资租赁与资金缺口'!$M$5:$M$16)*$T10,0),IF(BF$4=EDATE('核心假设'!$B$5,8-1+'核心假设'!$B$31),SUM('融资租赁与资金缺口'!$M$5:$M$16)*$U10,0),IF(BF$4=EDATE('核心假设'!$B$5,9-1+'核心假设'!$B$31),SUM('融资租赁与资金缺口'!$M$5:$M$16)*$V10,0),IF(BF$4=EDATE('核心假设'!$B$5,10-1+'核心假设'!$B$31),SUM('融资租赁与资金缺口'!$M$5:$M$16)*$W10,0),IF(BF$4=EDATE('核心假设'!$B$5,11-1+'核心假设'!$B$31),SUM('融资租赁与资金缺口'!$M$5:$M$16)*$X10,0),IF(BF$4=EDATE('核心假设'!$B$5,12-1+'核心假设'!$B$31),SUM('融资租赁与资金缺口'!$M$5:$M$16)*$Y10,0),IF(BF$4=EDATE('核心假设'!$B$5,13-1+'核心假设'!$B$31),SUM('融资租赁与资金缺口'!$M$5:$M$16)*$Z10,0),IF(BF$4=EDATE('核心假设'!$B$5,14-1+'核心假设'!$B$31),SUM('融资租赁与资金缺口'!$M$5:$M$16)*$AA10,0),IF(BF$4=EDATE('核心假设'!$B$5,15-1+'核心假设'!$B$31),SUM('融资租赁与资金缺口'!$M$5:$M$16)*$AB10,0),IF(BF$4=EDATE('核心假设'!$B$5,16-1+'核心假设'!$B$31),SUM('融资租赁与资金缺口'!$M$5:$M$16)*$AC10,0),IF(BF$4=EDATE('核心假设'!$B$5,17-1+'核心假设'!$B$31),SUM('融资租赁与资金缺口'!$M$5:$M$16)*$AD10,0))</x:f>
        <x:v>0</x:v>
      </x:c>
      <x:c r="BG39" s="28" t="n">
        <x:f>SUM(IF(BG$4=EDATE('核心假设'!$B$5,0-1+'核心假设'!$B$31),SUM('融资租赁与资金缺口'!$M$5:$M$16)*$M10,0),IF(BG$4=EDATE('核心假设'!$B$5,1-1+'核心假设'!$B$31),SUM('融资租赁与资金缺口'!$M$5:$M$16)*$N10,0),IF(BG$4=EDATE('核心假设'!$B$5,2-1+'核心假设'!$B$31),SUM('融资租赁与资金缺口'!$M$5:$M$16)*$O10,0),IF(BG$4=EDATE('核心假设'!$B$5,3-1+'核心假设'!$B$31),SUM('融资租赁与资金缺口'!$M$5:$M$16)*$P10,0),IF(BG$4=EDATE('核心假设'!$B$5,4-1+'核心假设'!$B$31),SUM('融资租赁与资金缺口'!$M$5:$M$16)*$Q10,0),IF(BG$4=EDATE('核心假设'!$B$5,5-1+'核心假设'!$B$31),SUM('融资租赁与资金缺口'!$M$5:$M$16)*$R10,0),IF(BG$4=EDATE('核心假设'!$B$5,6-1+'核心假设'!$B$31),SUM('融资租赁与资金缺口'!$M$5:$M$16)*$S10,0),IF(BG$4=EDATE('核心假设'!$B$5,7-1+'核心假设'!$B$31),SUM('融资租赁与资金缺口'!$M$5:$M$16)*$T10,0),IF(BG$4=EDATE('核心假设'!$B$5,8-1+'核心假设'!$B$31),SUM('融资租赁与资金缺口'!$M$5:$M$16)*$U10,0),IF(BG$4=EDATE('核心假设'!$B$5,9-1+'核心假设'!$B$31),SUM('融资租赁与资金缺口'!$M$5:$M$16)*$V10,0),IF(BG$4=EDATE('核心假设'!$B$5,10-1+'核心假设'!$B$31),SUM('融资租赁与资金缺口'!$M$5:$M$16)*$W10,0),IF(BG$4=EDATE('核心假设'!$B$5,11-1+'核心假设'!$B$31),SUM('融资租赁与资金缺口'!$M$5:$M$16)*$X10,0),IF(BG$4=EDATE('核心假设'!$B$5,12-1+'核心假设'!$B$31),SUM('融资租赁与资金缺口'!$M$5:$M$16)*$Y10,0),IF(BG$4=EDATE('核心假设'!$B$5,13-1+'核心假设'!$B$31),SUM('融资租赁与资金缺口'!$M$5:$M$16)*$Z10,0),IF(BG$4=EDATE('核心假设'!$B$5,14-1+'核心假设'!$B$31),SUM('融资租赁与资金缺口'!$M$5:$M$16)*$AA10,0),IF(BG$4=EDATE('核心假设'!$B$5,15-1+'核心假设'!$B$31),SUM('融资租赁与资金缺口'!$M$5:$M$16)*$AB10,0),IF(BG$4=EDATE('核心假设'!$B$5,16-1+'核心假设'!$B$31),SUM('融资租赁与资金缺口'!$M$5:$M$16)*$AC10,0),IF(BG$4=EDATE('核心假设'!$B$5,17-1+'核心假设'!$B$31),SUM('融资租赁与资金缺口'!$M$5:$M$16)*$AD10,0))</x:f>
        <x:v>0</x:v>
      </x:c>
      <x:c r="BH39" s="28" t="n">
        <x:f>SUM(IF(BH$4=EDATE('核心假设'!$B$5,0-1+'核心假设'!$B$31),SUM('融资租赁与资金缺口'!$M$5:$M$16)*$M10,0),IF(BH$4=EDATE('核心假设'!$B$5,1-1+'核心假设'!$B$31),SUM('融资租赁与资金缺口'!$M$5:$M$16)*$N10,0),IF(BH$4=EDATE('核心假设'!$B$5,2-1+'核心假设'!$B$31),SUM('融资租赁与资金缺口'!$M$5:$M$16)*$O10,0),IF(BH$4=EDATE('核心假设'!$B$5,3-1+'核心假设'!$B$31),SUM('融资租赁与资金缺口'!$M$5:$M$16)*$P10,0),IF(BH$4=EDATE('核心假设'!$B$5,4-1+'核心假设'!$B$31),SUM('融资租赁与资金缺口'!$M$5:$M$16)*$Q10,0),IF(BH$4=EDATE('核心假设'!$B$5,5-1+'核心假设'!$B$31),SUM('融资租赁与资金缺口'!$M$5:$M$16)*$R10,0),IF(BH$4=EDATE('核心假设'!$B$5,6-1+'核心假设'!$B$31),SUM('融资租赁与资金缺口'!$M$5:$M$16)*$S10,0),IF(BH$4=EDATE('核心假设'!$B$5,7-1+'核心假设'!$B$31),SUM('融资租赁与资金缺口'!$M$5:$M$16)*$T10,0),IF(BH$4=EDATE('核心假设'!$B$5,8-1+'核心假设'!$B$31),SUM('融资租赁与资金缺口'!$M$5:$M$16)*$U10,0),IF(BH$4=EDATE('核心假设'!$B$5,9-1+'核心假设'!$B$31),SUM('融资租赁与资金缺口'!$M$5:$M$16)*$V10,0),IF(BH$4=EDATE('核心假设'!$B$5,10-1+'核心假设'!$B$31),SUM('融资租赁与资金缺口'!$M$5:$M$16)*$W10,0),IF(BH$4=EDATE('核心假设'!$B$5,11-1+'核心假设'!$B$31),SUM('融资租赁与资金缺口'!$M$5:$M$16)*$X10,0),IF(BH$4=EDATE('核心假设'!$B$5,12-1+'核心假设'!$B$31),SUM('融资租赁与资金缺口'!$M$5:$M$16)*$Y10,0),IF(BH$4=EDATE('核心假设'!$B$5,13-1+'核心假设'!$B$31),SUM('融资租赁与资金缺口'!$M$5:$M$16)*$Z10,0),IF(BH$4=EDATE('核心假设'!$B$5,14-1+'核心假设'!$B$31),SUM('融资租赁与资金缺口'!$M$5:$M$16)*$AA10,0),IF(BH$4=EDATE('核心假设'!$B$5,15-1+'核心假设'!$B$31),SUM('融资租赁与资金缺口'!$M$5:$M$16)*$AB10,0),IF(BH$4=EDATE('核心假设'!$B$5,16-1+'核心假设'!$B$31),SUM('融资租赁与资金缺口'!$M$5:$M$16)*$AC10,0),IF(BH$4=EDATE('核心假设'!$B$5,17-1+'核心假设'!$B$31),SUM('融资租赁与资金缺口'!$M$5:$M$16)*$AD10,0))</x:f>
        <x:v>0</x:v>
      </x:c>
      <x:c r="BI39" s="28" t="n">
        <x:f>SUM(IF(BI$4=EDATE('核心假设'!$B$5,0-1+'核心假设'!$B$31),SUM('融资租赁与资金缺口'!$M$5:$M$16)*$M10,0),IF(BI$4=EDATE('核心假设'!$B$5,1-1+'核心假设'!$B$31),SUM('融资租赁与资金缺口'!$M$5:$M$16)*$N10,0),IF(BI$4=EDATE('核心假设'!$B$5,2-1+'核心假设'!$B$31),SUM('融资租赁与资金缺口'!$M$5:$M$16)*$O10,0),IF(BI$4=EDATE('核心假设'!$B$5,3-1+'核心假设'!$B$31),SUM('融资租赁与资金缺口'!$M$5:$M$16)*$P10,0),IF(BI$4=EDATE('核心假设'!$B$5,4-1+'核心假设'!$B$31),SUM('融资租赁与资金缺口'!$M$5:$M$16)*$Q10,0),IF(BI$4=EDATE('核心假设'!$B$5,5-1+'核心假设'!$B$31),SUM('融资租赁与资金缺口'!$M$5:$M$16)*$R10,0),IF(BI$4=EDATE('核心假设'!$B$5,6-1+'核心假设'!$B$31),SUM('融资租赁与资金缺口'!$M$5:$M$16)*$S10,0),IF(BI$4=EDATE('核心假设'!$B$5,7-1+'核心假设'!$B$31),SUM('融资租赁与资金缺口'!$M$5:$M$16)*$T10,0),IF(BI$4=EDATE('核心假设'!$B$5,8-1+'核心假设'!$B$31),SUM('融资租赁与资金缺口'!$M$5:$M$16)*$U10,0),IF(BI$4=EDATE('核心假设'!$B$5,9-1+'核心假设'!$B$31),SUM('融资租赁与资金缺口'!$M$5:$M$16)*$V10,0),IF(BI$4=EDATE('核心假设'!$B$5,10-1+'核心假设'!$B$31),SUM('融资租赁与资金缺口'!$M$5:$M$16)*$W10,0),IF(BI$4=EDATE('核心假设'!$B$5,11-1+'核心假设'!$B$31),SUM('融资租赁与资金缺口'!$M$5:$M$16)*$X10,0),IF(BI$4=EDATE('核心假设'!$B$5,12-1+'核心假设'!$B$31),SUM('融资租赁与资金缺口'!$M$5:$M$16)*$Y10,0),IF(BI$4=EDATE('核心假设'!$B$5,13-1+'核心假设'!$B$31),SUM('融资租赁与资金缺口'!$M$5:$M$16)*$Z10,0),IF(BI$4=EDATE('核心假设'!$B$5,14-1+'核心假设'!$B$31),SUM('融资租赁与资金缺口'!$M$5:$M$16)*$AA10,0),IF(BI$4=EDATE('核心假设'!$B$5,15-1+'核心假设'!$B$31),SUM('融资租赁与资金缺口'!$M$5:$M$16)*$AB10,0),IF(BI$4=EDATE('核心假设'!$B$5,16-1+'核心假设'!$B$31),SUM('融资租赁与资金缺口'!$M$5:$M$16)*$AC10,0),IF(BI$4=EDATE('核心假设'!$B$5,17-1+'核心假设'!$B$31),SUM('融资租赁与资金缺口'!$M$5:$M$16)*$AD10,0))</x:f>
        <x:v>0</x:v>
      </x:c>
      <x:c r="BJ39" s="28" t="n">
        <x:f>SUM(IF(BJ$4=EDATE('核心假设'!$B$5,0-1+'核心假设'!$B$31),SUM('融资租赁与资金缺口'!$M$5:$M$16)*$M10,0),IF(BJ$4=EDATE('核心假设'!$B$5,1-1+'核心假设'!$B$31),SUM('融资租赁与资金缺口'!$M$5:$M$16)*$N10,0),IF(BJ$4=EDATE('核心假设'!$B$5,2-1+'核心假设'!$B$31),SUM('融资租赁与资金缺口'!$M$5:$M$16)*$O10,0),IF(BJ$4=EDATE('核心假设'!$B$5,3-1+'核心假设'!$B$31),SUM('融资租赁与资金缺口'!$M$5:$M$16)*$P10,0),IF(BJ$4=EDATE('核心假设'!$B$5,4-1+'核心假设'!$B$31),SUM('融资租赁与资金缺口'!$M$5:$M$16)*$Q10,0),IF(BJ$4=EDATE('核心假设'!$B$5,5-1+'核心假设'!$B$31),SUM('融资租赁与资金缺口'!$M$5:$M$16)*$R10,0),IF(BJ$4=EDATE('核心假设'!$B$5,6-1+'核心假设'!$B$31),SUM('融资租赁与资金缺口'!$M$5:$M$16)*$S10,0),IF(BJ$4=EDATE('核心假设'!$B$5,7-1+'核心假设'!$B$31),SUM('融资租赁与资金缺口'!$M$5:$M$16)*$T10,0),IF(BJ$4=EDATE('核心假设'!$B$5,8-1+'核心假设'!$B$31),SUM('融资租赁与资金缺口'!$M$5:$M$16)*$U10,0),IF(BJ$4=EDATE('核心假设'!$B$5,9-1+'核心假设'!$B$31),SUM('融资租赁与资金缺口'!$M$5:$M$16)*$V10,0),IF(BJ$4=EDATE('核心假设'!$B$5,10-1+'核心假设'!$B$31),SUM('融资租赁与资金缺口'!$M$5:$M$16)*$W10,0),IF(BJ$4=EDATE('核心假设'!$B$5,11-1+'核心假设'!$B$31),SUM('融资租赁与资金缺口'!$M$5:$M$16)*$X10,0),IF(BJ$4=EDATE('核心假设'!$B$5,12-1+'核心假设'!$B$31),SUM('融资租赁与资金缺口'!$M$5:$M$16)*$Y10,0),IF(BJ$4=EDATE('核心假设'!$B$5,13-1+'核心假设'!$B$31),SUM('融资租赁与资金缺口'!$M$5:$M$16)*$Z10,0),IF(BJ$4=EDATE('核心假设'!$B$5,14-1+'核心假设'!$B$31),SUM('融资租赁与资金缺口'!$M$5:$M$16)*$AA10,0),IF(BJ$4=EDATE('核心假设'!$B$5,15-1+'核心假设'!$B$31),SUM('融资租赁与资金缺口'!$M$5:$M$16)*$AB10,0),IF(BJ$4=EDATE('核心假设'!$B$5,16-1+'核心假设'!$B$31),SUM('融资租赁与资金缺口'!$M$5:$M$16)*$AC10,0),IF(BJ$4=EDATE('核心假设'!$B$5,17-1+'核心假设'!$B$31),SUM('融资租赁与资金缺口'!$M$5:$M$16)*$AD10,0))</x:f>
        <x:v>0</x:v>
      </x:c>
      <x:c r="BK39" s="28" t="n">
        <x:f>SUM(IF(BK$4=EDATE('核心假设'!$B$5,0-1+'核心假设'!$B$31),SUM('融资租赁与资金缺口'!$M$5:$M$16)*$M10,0),IF(BK$4=EDATE('核心假设'!$B$5,1-1+'核心假设'!$B$31),SUM('融资租赁与资金缺口'!$M$5:$M$16)*$N10,0),IF(BK$4=EDATE('核心假设'!$B$5,2-1+'核心假设'!$B$31),SUM('融资租赁与资金缺口'!$M$5:$M$16)*$O10,0),IF(BK$4=EDATE('核心假设'!$B$5,3-1+'核心假设'!$B$31),SUM('融资租赁与资金缺口'!$M$5:$M$16)*$P10,0),IF(BK$4=EDATE('核心假设'!$B$5,4-1+'核心假设'!$B$31),SUM('融资租赁与资金缺口'!$M$5:$M$16)*$Q10,0),IF(BK$4=EDATE('核心假设'!$B$5,5-1+'核心假设'!$B$31),SUM('融资租赁与资金缺口'!$M$5:$M$16)*$R10,0),IF(BK$4=EDATE('核心假设'!$B$5,6-1+'核心假设'!$B$31),SUM('融资租赁与资金缺口'!$M$5:$M$16)*$S10,0),IF(BK$4=EDATE('核心假设'!$B$5,7-1+'核心假设'!$B$31),SUM('融资租赁与资金缺口'!$M$5:$M$16)*$T10,0),IF(BK$4=EDATE('核心假设'!$B$5,8-1+'核心假设'!$B$31),SUM('融资租赁与资金缺口'!$M$5:$M$16)*$U10,0),IF(BK$4=EDATE('核心假设'!$B$5,9-1+'核心假设'!$B$31),SUM('融资租赁与资金缺口'!$M$5:$M$16)*$V10,0),IF(BK$4=EDATE('核心假设'!$B$5,10-1+'核心假设'!$B$31),SUM('融资租赁与资金缺口'!$M$5:$M$16)*$W10,0),IF(BK$4=EDATE('核心假设'!$B$5,11-1+'核心假设'!$B$31),SUM('融资租赁与资金缺口'!$M$5:$M$16)*$X10,0),IF(BK$4=EDATE('核心假设'!$B$5,12-1+'核心假设'!$B$31),SUM('融资租赁与资金缺口'!$M$5:$M$16)*$Y10,0),IF(BK$4=EDATE('核心假设'!$B$5,13-1+'核心假设'!$B$31),SUM('融资租赁与资金缺口'!$M$5:$M$16)*$Z10,0),IF(BK$4=EDATE('核心假设'!$B$5,14-1+'核心假设'!$B$31),SUM('融资租赁与资金缺口'!$M$5:$M$16)*$AA10,0),IF(BK$4=EDATE('核心假设'!$B$5,15-1+'核心假设'!$B$31),SUM('融资租赁与资金缺口'!$M$5:$M$16)*$AB10,0),IF(BK$4=EDATE('核心假设'!$B$5,16-1+'核心假设'!$B$31),SUM('融资租赁与资金缺口'!$M$5:$M$16)*$AC10,0),IF(BK$4=EDATE('核心假设'!$B$5,17-1+'核心假设'!$B$31),SUM('融资租赁与资金缺口'!$M$5:$M$16)*$AD10,0))</x:f>
        <x:v>0</x:v>
      </x:c>
      <x:c r="BL39" s="28" t="n">
        <x:f>SUM(IF(BL$4=EDATE('核心假设'!$B$5,0-1+'核心假设'!$B$31),SUM('融资租赁与资金缺口'!$M$5:$M$16)*$M10,0),IF(BL$4=EDATE('核心假设'!$B$5,1-1+'核心假设'!$B$31),SUM('融资租赁与资金缺口'!$M$5:$M$16)*$N10,0),IF(BL$4=EDATE('核心假设'!$B$5,2-1+'核心假设'!$B$31),SUM('融资租赁与资金缺口'!$M$5:$M$16)*$O10,0),IF(BL$4=EDATE('核心假设'!$B$5,3-1+'核心假设'!$B$31),SUM('融资租赁与资金缺口'!$M$5:$M$16)*$P10,0),IF(BL$4=EDATE('核心假设'!$B$5,4-1+'核心假设'!$B$31),SUM('融资租赁与资金缺口'!$M$5:$M$16)*$Q10,0),IF(BL$4=EDATE('核心假设'!$B$5,5-1+'核心假设'!$B$31),SUM('融资租赁与资金缺口'!$M$5:$M$16)*$R10,0),IF(BL$4=EDATE('核心假设'!$B$5,6-1+'核心假设'!$B$31),SUM('融资租赁与资金缺口'!$M$5:$M$16)*$S10,0),IF(BL$4=EDATE('核心假设'!$B$5,7-1+'核心假设'!$B$31),SUM('融资租赁与资金缺口'!$M$5:$M$16)*$T10,0),IF(BL$4=EDATE('核心假设'!$B$5,8-1+'核心假设'!$B$31),SUM('融资租赁与资金缺口'!$M$5:$M$16)*$U10,0),IF(BL$4=EDATE('核心假设'!$B$5,9-1+'核心假设'!$B$31),SUM('融资租赁与资金缺口'!$M$5:$M$16)*$V10,0),IF(BL$4=EDATE('核心假设'!$B$5,10-1+'核心假设'!$B$31),SUM('融资租赁与资金缺口'!$M$5:$M$16)*$W10,0),IF(BL$4=EDATE('核心假设'!$B$5,11-1+'核心假设'!$B$31),SUM('融资租赁与资金缺口'!$M$5:$M$16)*$X10,0),IF(BL$4=EDATE('核心假设'!$B$5,12-1+'核心假设'!$B$31),SUM('融资租赁与资金缺口'!$M$5:$M$16)*$Y10,0),IF(BL$4=EDATE('核心假设'!$B$5,13-1+'核心假设'!$B$31),SUM('融资租赁与资金缺口'!$M$5:$M$16)*$Z10,0),IF(BL$4=EDATE('核心假设'!$B$5,14-1+'核心假设'!$B$31),SUM('融资租赁与资金缺口'!$M$5:$M$16)*$AA10,0),IF(BL$4=EDATE('核心假设'!$B$5,15-1+'核心假设'!$B$31),SUM('融资租赁与资金缺口'!$M$5:$M$16)*$AB10,0),IF(BL$4=EDATE('核心假设'!$B$5,16-1+'核心假设'!$B$31),SUM('融资租赁与资金缺口'!$M$5:$M$16)*$AC10,0),IF(BL$4=EDATE('核心假设'!$B$5,17-1+'核心假设'!$B$31),SUM('融资租赁与资金缺口'!$M$5:$M$16)*$AD10,0))</x:f>
        <x:v>0</x:v>
      </x:c>
      <x:c r="BM39" s="28" t="n">
        <x:f>SUM(IF(BM$4=EDATE('核心假设'!$B$5,0-1+'核心假设'!$B$31),SUM('融资租赁与资金缺口'!$M$5:$M$16)*$M10,0),IF(BM$4=EDATE('核心假设'!$B$5,1-1+'核心假设'!$B$31),SUM('融资租赁与资金缺口'!$M$5:$M$16)*$N10,0),IF(BM$4=EDATE('核心假设'!$B$5,2-1+'核心假设'!$B$31),SUM('融资租赁与资金缺口'!$M$5:$M$16)*$O10,0),IF(BM$4=EDATE('核心假设'!$B$5,3-1+'核心假设'!$B$31),SUM('融资租赁与资金缺口'!$M$5:$M$16)*$P10,0),IF(BM$4=EDATE('核心假设'!$B$5,4-1+'核心假设'!$B$31),SUM('融资租赁与资金缺口'!$M$5:$M$16)*$Q10,0),IF(BM$4=EDATE('核心假设'!$B$5,5-1+'核心假设'!$B$31),SUM('融资租赁与资金缺口'!$M$5:$M$16)*$R10,0),IF(BM$4=EDATE('核心假设'!$B$5,6-1+'核心假设'!$B$31),SUM('融资租赁与资金缺口'!$M$5:$M$16)*$S10,0),IF(BM$4=EDATE('核心假设'!$B$5,7-1+'核心假设'!$B$31),SUM('融资租赁与资金缺口'!$M$5:$M$16)*$T10,0),IF(BM$4=EDATE('核心假设'!$B$5,8-1+'核心假设'!$B$31),SUM('融资租赁与资金缺口'!$M$5:$M$16)*$U10,0),IF(BM$4=EDATE('核心假设'!$B$5,9-1+'核心假设'!$B$31),SUM('融资租赁与资金缺口'!$M$5:$M$16)*$V10,0),IF(BM$4=EDATE('核心假设'!$B$5,10-1+'核心假设'!$B$31),SUM('融资租赁与资金缺口'!$M$5:$M$16)*$W10,0),IF(BM$4=EDATE('核心假设'!$B$5,11-1+'核心假设'!$B$31),SUM('融资租赁与资金缺口'!$M$5:$M$16)*$X10,0),IF(BM$4=EDATE('核心假设'!$B$5,12-1+'核心假设'!$B$31),SUM('融资租赁与资金缺口'!$M$5:$M$16)*$Y10,0),IF(BM$4=EDATE('核心假设'!$B$5,13-1+'核心假设'!$B$31),SUM('融资租赁与资金缺口'!$M$5:$M$16)*$Z10,0),IF(BM$4=EDATE('核心假设'!$B$5,14-1+'核心假设'!$B$31),SUM('融资租赁与资金缺口'!$M$5:$M$16)*$AA10,0),IF(BM$4=EDATE('核心假设'!$B$5,15-1+'核心假设'!$B$31),SUM('融资租赁与资金缺口'!$M$5:$M$16)*$AB10,0),IF(BM$4=EDATE('核心假设'!$B$5,16-1+'核心假设'!$B$31),SUM('融资租赁与资金缺口'!$M$5:$M$16)*$AC10,0),IF(BM$4=EDATE('核心假设'!$B$5,17-1+'核心假设'!$B$31),SUM('融资租赁与资金缺口'!$M$5:$M$16)*$AD10,0))</x:f>
        <x:v>0</x:v>
      </x:c>
      <x:c r="BN39" s="28" t="n">
        <x:f>SUM(IF(BN$4=EDATE('核心假设'!$B$5,0-1+'核心假设'!$B$31),SUM('融资租赁与资金缺口'!$M$5:$M$16)*$M10,0),IF(BN$4=EDATE('核心假设'!$B$5,1-1+'核心假设'!$B$31),SUM('融资租赁与资金缺口'!$M$5:$M$16)*$N10,0),IF(BN$4=EDATE('核心假设'!$B$5,2-1+'核心假设'!$B$31),SUM('融资租赁与资金缺口'!$M$5:$M$16)*$O10,0),IF(BN$4=EDATE('核心假设'!$B$5,3-1+'核心假设'!$B$31),SUM('融资租赁与资金缺口'!$M$5:$M$16)*$P10,0),IF(BN$4=EDATE('核心假设'!$B$5,4-1+'核心假设'!$B$31),SUM('融资租赁与资金缺口'!$M$5:$M$16)*$Q10,0),IF(BN$4=EDATE('核心假设'!$B$5,5-1+'核心假设'!$B$31),SUM('融资租赁与资金缺口'!$M$5:$M$16)*$R10,0),IF(BN$4=EDATE('核心假设'!$B$5,6-1+'核心假设'!$B$31),SUM('融资租赁与资金缺口'!$M$5:$M$16)*$S10,0),IF(BN$4=EDATE('核心假设'!$B$5,7-1+'核心假设'!$B$31),SUM('融资租赁与资金缺口'!$M$5:$M$16)*$T10,0),IF(BN$4=EDATE('核心假设'!$B$5,8-1+'核心假设'!$B$31),SUM('融资租赁与资金缺口'!$M$5:$M$16)*$U10,0),IF(BN$4=EDATE('核心假设'!$B$5,9-1+'核心假设'!$B$31),SUM('融资租赁与资金缺口'!$M$5:$M$16)*$V10,0),IF(BN$4=EDATE('核心假设'!$B$5,10-1+'核心假设'!$B$31),SUM('融资租赁与资金缺口'!$M$5:$M$16)*$W10,0),IF(BN$4=EDATE('核心假设'!$B$5,11-1+'核心假设'!$B$31),SUM('融资租赁与资金缺口'!$M$5:$M$16)*$X10,0),IF(BN$4=EDATE('核心假设'!$B$5,12-1+'核心假设'!$B$31),SUM('融资租赁与资金缺口'!$M$5:$M$16)*$Y10,0),IF(BN$4=EDATE('核心假设'!$B$5,13-1+'核心假设'!$B$31),SUM('融资租赁与资金缺口'!$M$5:$M$16)*$Z10,0),IF(BN$4=EDATE('核心假设'!$B$5,14-1+'核心假设'!$B$31),SUM('融资租赁与资金缺口'!$M$5:$M$16)*$AA10,0),IF(BN$4=EDATE('核心假设'!$B$5,15-1+'核心假设'!$B$31),SUM('融资租赁与资金缺口'!$M$5:$M$16)*$AB10,0),IF(BN$4=EDATE('核心假设'!$B$5,16-1+'核心假设'!$B$31),SUM('融资租赁与资金缺口'!$M$5:$M$16)*$AC10,0),IF(BN$4=EDATE('核心假设'!$B$5,17-1+'核心假设'!$B$31),SUM('融资租赁与资金缺口'!$M$5:$M$16)*$AD10,0))</x:f>
        <x:v>0</x:v>
      </x:c>
      <x:c r="BO39" s="28" t="n">
        <x:f>SUM(IF(BO$4=EDATE('核心假设'!$B$5,0-1+'核心假设'!$B$31),SUM('融资租赁与资金缺口'!$M$5:$M$16)*$M10,0),IF(BO$4=EDATE('核心假设'!$B$5,1-1+'核心假设'!$B$31),SUM('融资租赁与资金缺口'!$M$5:$M$16)*$N10,0),IF(BO$4=EDATE('核心假设'!$B$5,2-1+'核心假设'!$B$31),SUM('融资租赁与资金缺口'!$M$5:$M$16)*$O10,0),IF(BO$4=EDATE('核心假设'!$B$5,3-1+'核心假设'!$B$31),SUM('融资租赁与资金缺口'!$M$5:$M$16)*$P10,0),IF(BO$4=EDATE('核心假设'!$B$5,4-1+'核心假设'!$B$31),SUM('融资租赁与资金缺口'!$M$5:$M$16)*$Q10,0),IF(BO$4=EDATE('核心假设'!$B$5,5-1+'核心假设'!$B$31),SUM('融资租赁与资金缺口'!$M$5:$M$16)*$R10,0),IF(BO$4=EDATE('核心假设'!$B$5,6-1+'核心假设'!$B$31),SUM('融资租赁与资金缺口'!$M$5:$M$16)*$S10,0),IF(BO$4=EDATE('核心假设'!$B$5,7-1+'核心假设'!$B$31),SUM('融资租赁与资金缺口'!$M$5:$M$16)*$T10,0),IF(BO$4=EDATE('核心假设'!$B$5,8-1+'核心假设'!$B$31),SUM('融资租赁与资金缺口'!$M$5:$M$16)*$U10,0),IF(BO$4=EDATE('核心假设'!$B$5,9-1+'核心假设'!$B$31),SUM('融资租赁与资金缺口'!$M$5:$M$16)*$V10,0),IF(BO$4=EDATE('核心假设'!$B$5,10-1+'核心假设'!$B$31),SUM('融资租赁与资金缺口'!$M$5:$M$16)*$W10,0),IF(BO$4=EDATE('核心假设'!$B$5,11-1+'核心假设'!$B$31),SUM('融资租赁与资金缺口'!$M$5:$M$16)*$X10,0),IF(BO$4=EDATE('核心假设'!$B$5,12-1+'核心假设'!$B$31),SUM('融资租赁与资金缺口'!$M$5:$M$16)*$Y10,0),IF(BO$4=EDATE('核心假设'!$B$5,13-1+'核心假设'!$B$31),SUM('融资租赁与资金缺口'!$M$5:$M$16)*$Z10,0),IF(BO$4=EDATE('核心假设'!$B$5,14-1+'核心假设'!$B$31),SUM('融资租赁与资金缺口'!$M$5:$M$16)*$AA10,0),IF(BO$4=EDATE('核心假设'!$B$5,15-1+'核心假设'!$B$31),SUM('融资租赁与资金缺口'!$M$5:$M$16)*$AB10,0),IF(BO$4=EDATE('核心假设'!$B$5,16-1+'核心假设'!$B$31),SUM('融资租赁与资金缺口'!$M$5:$M$16)*$AC10,0),IF(BO$4=EDATE('核心假设'!$B$5,17-1+'核心假设'!$B$31),SUM('融资租赁与资金缺口'!$M$5:$M$16)*$AD10,0))</x:f>
        <x:v>0</x:v>
      </x:c>
      <x:c r="BP39" s="28" t="n">
        <x:f>SUM(IF(BP$4=EDATE('核心假设'!$B$5,0-1+'核心假设'!$B$31),SUM('融资租赁与资金缺口'!$M$5:$M$16)*$M10,0),IF(BP$4=EDATE('核心假设'!$B$5,1-1+'核心假设'!$B$31),SUM('融资租赁与资金缺口'!$M$5:$M$16)*$N10,0),IF(BP$4=EDATE('核心假设'!$B$5,2-1+'核心假设'!$B$31),SUM('融资租赁与资金缺口'!$M$5:$M$16)*$O10,0),IF(BP$4=EDATE('核心假设'!$B$5,3-1+'核心假设'!$B$31),SUM('融资租赁与资金缺口'!$M$5:$M$16)*$P10,0),IF(BP$4=EDATE('核心假设'!$B$5,4-1+'核心假设'!$B$31),SUM('融资租赁与资金缺口'!$M$5:$M$16)*$Q10,0),IF(BP$4=EDATE('核心假设'!$B$5,5-1+'核心假设'!$B$31),SUM('融资租赁与资金缺口'!$M$5:$M$16)*$R10,0),IF(BP$4=EDATE('核心假设'!$B$5,6-1+'核心假设'!$B$31),SUM('融资租赁与资金缺口'!$M$5:$M$16)*$S10,0),IF(BP$4=EDATE('核心假设'!$B$5,7-1+'核心假设'!$B$31),SUM('融资租赁与资金缺口'!$M$5:$M$16)*$T10,0),IF(BP$4=EDATE('核心假设'!$B$5,8-1+'核心假设'!$B$31),SUM('融资租赁与资金缺口'!$M$5:$M$16)*$U10,0),IF(BP$4=EDATE('核心假设'!$B$5,9-1+'核心假设'!$B$31),SUM('融资租赁与资金缺口'!$M$5:$M$16)*$V10,0),IF(BP$4=EDATE('核心假设'!$B$5,10-1+'核心假设'!$B$31),SUM('融资租赁与资金缺口'!$M$5:$M$16)*$W10,0),IF(BP$4=EDATE('核心假设'!$B$5,11-1+'核心假设'!$B$31),SUM('融资租赁与资金缺口'!$M$5:$M$16)*$X10,0),IF(BP$4=EDATE('核心假设'!$B$5,12-1+'核心假设'!$B$31),SUM('融资租赁与资金缺口'!$M$5:$M$16)*$Y10,0),IF(BP$4=EDATE('核心假设'!$B$5,13-1+'核心假设'!$B$31),SUM('融资租赁与资金缺口'!$M$5:$M$16)*$Z10,0),IF(BP$4=EDATE('核心假设'!$B$5,14-1+'核心假设'!$B$31),SUM('融资租赁与资金缺口'!$M$5:$M$16)*$AA10,0),IF(BP$4=EDATE('核心假设'!$B$5,15-1+'核心假设'!$B$31),SUM('融资租赁与资金缺口'!$M$5:$M$16)*$AB10,0),IF(BP$4=EDATE('核心假设'!$B$5,16-1+'核心假设'!$B$31),SUM('融资租赁与资金缺口'!$M$5:$M$16)*$AC10,0),IF(BP$4=EDATE('核心假设'!$B$5,17-1+'核心假设'!$B$31),SUM('融资租赁与资金缺口'!$M$5:$M$16)*$AD10,0))</x:f>
        <x:v>0</x:v>
      </x:c>
      <x:c r="BQ39" s="28" t="n">
        <x:f>SUM(IF(BQ$4=EDATE('核心假设'!$B$5,0-1+'核心假设'!$B$31),SUM('融资租赁与资金缺口'!$M$5:$M$16)*$M10,0),IF(BQ$4=EDATE('核心假设'!$B$5,1-1+'核心假设'!$B$31),SUM('融资租赁与资金缺口'!$M$5:$M$16)*$N10,0),IF(BQ$4=EDATE('核心假设'!$B$5,2-1+'核心假设'!$B$31),SUM('融资租赁与资金缺口'!$M$5:$M$16)*$O10,0),IF(BQ$4=EDATE('核心假设'!$B$5,3-1+'核心假设'!$B$31),SUM('融资租赁与资金缺口'!$M$5:$M$16)*$P10,0),IF(BQ$4=EDATE('核心假设'!$B$5,4-1+'核心假设'!$B$31),SUM('融资租赁与资金缺口'!$M$5:$M$16)*$Q10,0),IF(BQ$4=EDATE('核心假设'!$B$5,5-1+'核心假设'!$B$31),SUM('融资租赁与资金缺口'!$M$5:$M$16)*$R10,0),IF(BQ$4=EDATE('核心假设'!$B$5,6-1+'核心假设'!$B$31),SUM('融资租赁与资金缺口'!$M$5:$M$16)*$S10,0),IF(BQ$4=EDATE('核心假设'!$B$5,7-1+'核心假设'!$B$31),SUM('融资租赁与资金缺口'!$M$5:$M$16)*$T10,0),IF(BQ$4=EDATE('核心假设'!$B$5,8-1+'核心假设'!$B$31),SUM('融资租赁与资金缺口'!$M$5:$M$16)*$U10,0),IF(BQ$4=EDATE('核心假设'!$B$5,9-1+'核心假设'!$B$31),SUM('融资租赁与资金缺口'!$M$5:$M$16)*$V10,0),IF(BQ$4=EDATE('核心假设'!$B$5,10-1+'核心假设'!$B$31),SUM('融资租赁与资金缺口'!$M$5:$M$16)*$W10,0),IF(BQ$4=EDATE('核心假设'!$B$5,11-1+'核心假设'!$B$31),SUM('融资租赁与资金缺口'!$M$5:$M$16)*$X10,0),IF(BQ$4=EDATE('核心假设'!$B$5,12-1+'核心假设'!$B$31),SUM('融资租赁与资金缺口'!$M$5:$M$16)*$Y10,0),IF(BQ$4=EDATE('核心假设'!$B$5,13-1+'核心假设'!$B$31),SUM('融资租赁与资金缺口'!$M$5:$M$16)*$Z10,0),IF(BQ$4=EDATE('核心假设'!$B$5,14-1+'核心假设'!$B$31),SUM('融资租赁与资金缺口'!$M$5:$M$16)*$AA10,0),IF(BQ$4=EDATE('核心假设'!$B$5,15-1+'核心假设'!$B$31),SUM('融资租赁与资金缺口'!$M$5:$M$16)*$AB10,0),IF(BQ$4=EDATE('核心假设'!$B$5,16-1+'核心假设'!$B$31),SUM('融资租赁与资金缺口'!$M$5:$M$16)*$AC10,0),IF(BQ$4=EDATE('核心假设'!$B$5,17-1+'核心假设'!$B$31),SUM('融资租赁与资金缺口'!$M$5:$M$16)*$AD10,0))</x:f>
        <x:v>0</x:v>
      </x:c>
      <x:c r="BR39" s="28" t="n">
        <x:f>SUM(IF(BR$4=EDATE('核心假设'!$B$5,0-1+'核心假设'!$B$31),SUM('融资租赁与资金缺口'!$M$5:$M$16)*$M10,0),IF(BR$4=EDATE('核心假设'!$B$5,1-1+'核心假设'!$B$31),SUM('融资租赁与资金缺口'!$M$5:$M$16)*$N10,0),IF(BR$4=EDATE('核心假设'!$B$5,2-1+'核心假设'!$B$31),SUM('融资租赁与资金缺口'!$M$5:$M$16)*$O10,0),IF(BR$4=EDATE('核心假设'!$B$5,3-1+'核心假设'!$B$31),SUM('融资租赁与资金缺口'!$M$5:$M$16)*$P10,0),IF(BR$4=EDATE('核心假设'!$B$5,4-1+'核心假设'!$B$31),SUM('融资租赁与资金缺口'!$M$5:$M$16)*$Q10,0),IF(BR$4=EDATE('核心假设'!$B$5,5-1+'核心假设'!$B$31),SUM('融资租赁与资金缺口'!$M$5:$M$16)*$R10,0),IF(BR$4=EDATE('核心假设'!$B$5,6-1+'核心假设'!$B$31),SUM('融资租赁与资金缺口'!$M$5:$M$16)*$S10,0),IF(BR$4=EDATE('核心假设'!$B$5,7-1+'核心假设'!$B$31),SUM('融资租赁与资金缺口'!$M$5:$M$16)*$T10,0),IF(BR$4=EDATE('核心假设'!$B$5,8-1+'核心假设'!$B$31),SUM('融资租赁与资金缺口'!$M$5:$M$16)*$U10,0),IF(BR$4=EDATE('核心假设'!$B$5,9-1+'核心假设'!$B$31),SUM('融资租赁与资金缺口'!$M$5:$M$16)*$V10,0),IF(BR$4=EDATE('核心假设'!$B$5,10-1+'核心假设'!$B$31),SUM('融资租赁与资金缺口'!$M$5:$M$16)*$W10,0),IF(BR$4=EDATE('核心假设'!$B$5,11-1+'核心假设'!$B$31),SUM('融资租赁与资金缺口'!$M$5:$M$16)*$X10,0),IF(BR$4=EDATE('核心假设'!$B$5,12-1+'核心假设'!$B$31),SUM('融资租赁与资金缺口'!$M$5:$M$16)*$Y10,0),IF(BR$4=EDATE('核心假设'!$B$5,13-1+'核心假设'!$B$31),SUM('融资租赁与资金缺口'!$M$5:$M$16)*$Z10,0),IF(BR$4=EDATE('核心假设'!$B$5,14-1+'核心假设'!$B$31),SUM('融资租赁与资金缺口'!$M$5:$M$16)*$AA10,0),IF(BR$4=EDATE('核心假设'!$B$5,15-1+'核心假设'!$B$31),SUM('融资租赁与资金缺口'!$M$5:$M$16)*$AB10,0),IF(BR$4=EDATE('核心假设'!$B$5,16-1+'核心假设'!$B$31),SUM('融资租赁与资金缺口'!$M$5:$M$16)*$AC10,0),IF(BR$4=EDATE('核心假设'!$B$5,17-1+'核心假设'!$B$31),SUM('融资租赁与资金缺口'!$M$5:$M$16)*$AD10,0))</x:f>
        <x:v>0</x:v>
      </x:c>
      <x:c r="BS39" s="28" t="n">
        <x:f>SUM(IF(BS$4=EDATE('核心假设'!$B$5,0-1+'核心假设'!$B$31),SUM('融资租赁与资金缺口'!$M$5:$M$16)*$M10,0),IF(BS$4=EDATE('核心假设'!$B$5,1-1+'核心假设'!$B$31),SUM('融资租赁与资金缺口'!$M$5:$M$16)*$N10,0),IF(BS$4=EDATE('核心假设'!$B$5,2-1+'核心假设'!$B$31),SUM('融资租赁与资金缺口'!$M$5:$M$16)*$O10,0),IF(BS$4=EDATE('核心假设'!$B$5,3-1+'核心假设'!$B$31),SUM('融资租赁与资金缺口'!$M$5:$M$16)*$P10,0),IF(BS$4=EDATE('核心假设'!$B$5,4-1+'核心假设'!$B$31),SUM('融资租赁与资金缺口'!$M$5:$M$16)*$Q10,0),IF(BS$4=EDATE('核心假设'!$B$5,5-1+'核心假设'!$B$31),SUM('融资租赁与资金缺口'!$M$5:$M$16)*$R10,0),IF(BS$4=EDATE('核心假设'!$B$5,6-1+'核心假设'!$B$31),SUM('融资租赁与资金缺口'!$M$5:$M$16)*$S10,0),IF(BS$4=EDATE('核心假设'!$B$5,7-1+'核心假设'!$B$31),SUM('融资租赁与资金缺口'!$M$5:$M$16)*$T10,0),IF(BS$4=EDATE('核心假设'!$B$5,8-1+'核心假设'!$B$31),SUM('融资租赁与资金缺口'!$M$5:$M$16)*$U10,0),IF(BS$4=EDATE('核心假设'!$B$5,9-1+'核心假设'!$B$31),SUM('融资租赁与资金缺口'!$M$5:$M$16)*$V10,0),IF(BS$4=EDATE('核心假设'!$B$5,10-1+'核心假设'!$B$31),SUM('融资租赁与资金缺口'!$M$5:$M$16)*$W10,0),IF(BS$4=EDATE('核心假设'!$B$5,11-1+'核心假设'!$B$31),SUM('融资租赁与资金缺口'!$M$5:$M$16)*$X10,0),IF(BS$4=EDATE('核心假设'!$B$5,12-1+'核心假设'!$B$31),SUM('融资租赁与资金缺口'!$M$5:$M$16)*$Y10,0),IF(BS$4=EDATE('核心假设'!$B$5,13-1+'核心假设'!$B$31),SUM('融资租赁与资金缺口'!$M$5:$M$16)*$Z10,0),IF(BS$4=EDATE('核心假设'!$B$5,14-1+'核心假设'!$B$31),SUM('融资租赁与资金缺口'!$M$5:$M$16)*$AA10,0),IF(BS$4=EDATE('核心假设'!$B$5,15-1+'核心假设'!$B$31),SUM('融资租赁与资金缺口'!$M$5:$M$16)*$AB10,0),IF(BS$4=EDATE('核心假设'!$B$5,16-1+'核心假设'!$B$31),SUM('融资租赁与资金缺口'!$M$5:$M$16)*$AC10,0),IF(BS$4=EDATE('核心假设'!$B$5,17-1+'核心假设'!$B$31),SUM('融资租赁与资金缺口'!$M$5:$M$16)*$AD10,0))</x:f>
        <x:v>0</x:v>
      </x:c>
      <x:c r="BT39" s="28" t="n">
        <x:f>SUM(IF(BT$4=EDATE('核心假设'!$B$5,0-1+'核心假设'!$B$31),SUM('融资租赁与资金缺口'!$M$5:$M$16)*$M10,0),IF(BT$4=EDATE('核心假设'!$B$5,1-1+'核心假设'!$B$31),SUM('融资租赁与资金缺口'!$M$5:$M$16)*$N10,0),IF(BT$4=EDATE('核心假设'!$B$5,2-1+'核心假设'!$B$31),SUM('融资租赁与资金缺口'!$M$5:$M$16)*$O10,0),IF(BT$4=EDATE('核心假设'!$B$5,3-1+'核心假设'!$B$31),SUM('融资租赁与资金缺口'!$M$5:$M$16)*$P10,0),IF(BT$4=EDATE('核心假设'!$B$5,4-1+'核心假设'!$B$31),SUM('融资租赁与资金缺口'!$M$5:$M$16)*$Q10,0),IF(BT$4=EDATE('核心假设'!$B$5,5-1+'核心假设'!$B$31),SUM('融资租赁与资金缺口'!$M$5:$M$16)*$R10,0),IF(BT$4=EDATE('核心假设'!$B$5,6-1+'核心假设'!$B$31),SUM('融资租赁与资金缺口'!$M$5:$M$16)*$S10,0),IF(BT$4=EDATE('核心假设'!$B$5,7-1+'核心假设'!$B$31),SUM('融资租赁与资金缺口'!$M$5:$M$16)*$T10,0),IF(BT$4=EDATE('核心假设'!$B$5,8-1+'核心假设'!$B$31),SUM('融资租赁与资金缺口'!$M$5:$M$16)*$U10,0),IF(BT$4=EDATE('核心假设'!$B$5,9-1+'核心假设'!$B$31),SUM('融资租赁与资金缺口'!$M$5:$M$16)*$V10,0),IF(BT$4=EDATE('核心假设'!$B$5,10-1+'核心假设'!$B$31),SUM('融资租赁与资金缺口'!$M$5:$M$16)*$W10,0),IF(BT$4=EDATE('核心假设'!$B$5,11-1+'核心假设'!$B$31),SUM('融资租赁与资金缺口'!$M$5:$M$16)*$X10,0),IF(BT$4=EDATE('核心假设'!$B$5,12-1+'核心假设'!$B$31),SUM('融资租赁与资金缺口'!$M$5:$M$16)*$Y10,0),IF(BT$4=EDATE('核心假设'!$B$5,13-1+'核心假设'!$B$31),SUM('融资租赁与资金缺口'!$M$5:$M$16)*$Z10,0),IF(BT$4=EDATE('核心假设'!$B$5,14-1+'核心假设'!$B$31),SUM('融资租赁与资金缺口'!$M$5:$M$16)*$AA10,0),IF(BT$4=EDATE('核心假设'!$B$5,15-1+'核心假设'!$B$31),SUM('融资租赁与资金缺口'!$M$5:$M$16)*$AB10,0),IF(BT$4=EDATE('核心假设'!$B$5,16-1+'核心假设'!$B$31),SUM('融资租赁与资金缺口'!$M$5:$M$16)*$AC10,0),IF(BT$4=EDATE('核心假设'!$B$5,17-1+'核心假设'!$B$31),SUM('融资租赁与资金缺口'!$M$5:$M$16)*$AD10,0))</x:f>
        <x:v>0</x:v>
      </x:c>
      <x:c r="BU39" s="28" t="n">
        <x:f>SUM(IF(BU$4=EDATE('核心假设'!$B$5,0-1+'核心假设'!$B$31),SUM('融资租赁与资金缺口'!$M$5:$M$16)*$M10,0),IF(BU$4=EDATE('核心假设'!$B$5,1-1+'核心假设'!$B$31),SUM('融资租赁与资金缺口'!$M$5:$M$16)*$N10,0),IF(BU$4=EDATE('核心假设'!$B$5,2-1+'核心假设'!$B$31),SUM('融资租赁与资金缺口'!$M$5:$M$16)*$O10,0),IF(BU$4=EDATE('核心假设'!$B$5,3-1+'核心假设'!$B$31),SUM('融资租赁与资金缺口'!$M$5:$M$16)*$P10,0),IF(BU$4=EDATE('核心假设'!$B$5,4-1+'核心假设'!$B$31),SUM('融资租赁与资金缺口'!$M$5:$M$16)*$Q10,0),IF(BU$4=EDATE('核心假设'!$B$5,5-1+'核心假设'!$B$31),SUM('融资租赁与资金缺口'!$M$5:$M$16)*$R10,0),IF(BU$4=EDATE('核心假设'!$B$5,6-1+'核心假设'!$B$31),SUM('融资租赁与资金缺口'!$M$5:$M$16)*$S10,0),IF(BU$4=EDATE('核心假设'!$B$5,7-1+'核心假设'!$B$31),SUM('融资租赁与资金缺口'!$M$5:$M$16)*$T10,0),IF(BU$4=EDATE('核心假设'!$B$5,8-1+'核心假设'!$B$31),SUM('融资租赁与资金缺口'!$M$5:$M$16)*$U10,0),IF(BU$4=EDATE('核心假设'!$B$5,9-1+'核心假设'!$B$31),SUM('融资租赁与资金缺口'!$M$5:$M$16)*$V10,0),IF(BU$4=EDATE('核心假设'!$B$5,10-1+'核心假设'!$B$31),SUM('融资租赁与资金缺口'!$M$5:$M$16)*$W10,0),IF(BU$4=EDATE('核心假设'!$B$5,11-1+'核心假设'!$B$31),SUM('融资租赁与资金缺口'!$M$5:$M$16)*$X10,0),IF(BU$4=EDATE('核心假设'!$B$5,12-1+'核心假设'!$B$31),SUM('融资租赁与资金缺口'!$M$5:$M$16)*$Y10,0),IF(BU$4=EDATE('核心假设'!$B$5,13-1+'核心假设'!$B$31),SUM('融资租赁与资金缺口'!$M$5:$M$16)*$Z10,0),IF(BU$4=EDATE('核心假设'!$B$5,14-1+'核心假设'!$B$31),SUM('融资租赁与资金缺口'!$M$5:$M$16)*$AA10,0),IF(BU$4=EDATE('核心假设'!$B$5,15-1+'核心假设'!$B$31),SUM('融资租赁与资金缺口'!$M$5:$M$16)*$AB10,0),IF(BU$4=EDATE('核心假设'!$B$5,16-1+'核心假设'!$B$31),SUM('融资租赁与资金缺口'!$M$5:$M$16)*$AC10,0),IF(BU$4=EDATE('核心假设'!$B$5,17-1+'核心假设'!$B$31),SUM('融资租赁与资金缺口'!$M$5:$M$16)*$AD10,0))</x:f>
        <x:v>0</x:v>
      </x:c>
      <x:c r="BV39" s="28" t="n">
        <x:f>SUM(IF(BV$4=EDATE('核心假设'!$B$5,0-1+'核心假设'!$B$31),SUM('融资租赁与资金缺口'!$M$5:$M$16)*$M10,0),IF(BV$4=EDATE('核心假设'!$B$5,1-1+'核心假设'!$B$31),SUM('融资租赁与资金缺口'!$M$5:$M$16)*$N10,0),IF(BV$4=EDATE('核心假设'!$B$5,2-1+'核心假设'!$B$31),SUM('融资租赁与资金缺口'!$M$5:$M$16)*$O10,0),IF(BV$4=EDATE('核心假设'!$B$5,3-1+'核心假设'!$B$31),SUM('融资租赁与资金缺口'!$M$5:$M$16)*$P10,0),IF(BV$4=EDATE('核心假设'!$B$5,4-1+'核心假设'!$B$31),SUM('融资租赁与资金缺口'!$M$5:$M$16)*$Q10,0),IF(BV$4=EDATE('核心假设'!$B$5,5-1+'核心假设'!$B$31),SUM('融资租赁与资金缺口'!$M$5:$M$16)*$R10,0),IF(BV$4=EDATE('核心假设'!$B$5,6-1+'核心假设'!$B$31),SUM('融资租赁与资金缺口'!$M$5:$M$16)*$S10,0),IF(BV$4=EDATE('核心假设'!$B$5,7-1+'核心假设'!$B$31),SUM('融资租赁与资金缺口'!$M$5:$M$16)*$T10,0),IF(BV$4=EDATE('核心假设'!$B$5,8-1+'核心假设'!$B$31),SUM('融资租赁与资金缺口'!$M$5:$M$16)*$U10,0),IF(BV$4=EDATE('核心假设'!$B$5,9-1+'核心假设'!$B$31),SUM('融资租赁与资金缺口'!$M$5:$M$16)*$V10,0),IF(BV$4=EDATE('核心假设'!$B$5,10-1+'核心假设'!$B$31),SUM('融资租赁与资金缺口'!$M$5:$M$16)*$W10,0),IF(BV$4=EDATE('核心假设'!$B$5,11-1+'核心假设'!$B$31),SUM('融资租赁与资金缺口'!$M$5:$M$16)*$X10,0),IF(BV$4=EDATE('核心假设'!$B$5,12-1+'核心假设'!$B$31),SUM('融资租赁与资金缺口'!$M$5:$M$16)*$Y10,0),IF(BV$4=EDATE('核心假设'!$B$5,13-1+'核心假设'!$B$31),SUM('融资租赁与资金缺口'!$M$5:$M$16)*$Z10,0),IF(BV$4=EDATE('核心假设'!$B$5,14-1+'核心假设'!$B$31),SUM('融资租赁与资金缺口'!$M$5:$M$16)*$AA10,0),IF(BV$4=EDATE('核心假设'!$B$5,15-1+'核心假设'!$B$31),SUM('融资租赁与资金缺口'!$M$5:$M$16)*$AB10,0),IF(BV$4=EDATE('核心假设'!$B$5,16-1+'核心假设'!$B$31),SUM('融资租赁与资金缺口'!$M$5:$M$16)*$AC10,0),IF(BV$4=EDATE('核心假设'!$B$5,17-1+'核心假设'!$B$31),SUM('融资租赁与资金缺口'!$M$5:$M$16)*$AD10,0))</x:f>
        <x:v>0</x:v>
      </x:c>
      <x:c r="BW39" s="28" t="n">
        <x:f>SUM(IF(BW$4=EDATE('核心假设'!$B$5,0-1+'核心假设'!$B$31),SUM('融资租赁与资金缺口'!$M$5:$M$16)*$M10,0),IF(BW$4=EDATE('核心假设'!$B$5,1-1+'核心假设'!$B$31),SUM('融资租赁与资金缺口'!$M$5:$M$16)*$N10,0),IF(BW$4=EDATE('核心假设'!$B$5,2-1+'核心假设'!$B$31),SUM('融资租赁与资金缺口'!$M$5:$M$16)*$O10,0),IF(BW$4=EDATE('核心假设'!$B$5,3-1+'核心假设'!$B$31),SUM('融资租赁与资金缺口'!$M$5:$M$16)*$P10,0),IF(BW$4=EDATE('核心假设'!$B$5,4-1+'核心假设'!$B$31),SUM('融资租赁与资金缺口'!$M$5:$M$16)*$Q10,0),IF(BW$4=EDATE('核心假设'!$B$5,5-1+'核心假设'!$B$31),SUM('融资租赁与资金缺口'!$M$5:$M$16)*$R10,0),IF(BW$4=EDATE('核心假设'!$B$5,6-1+'核心假设'!$B$31),SUM('融资租赁与资金缺口'!$M$5:$M$16)*$S10,0),IF(BW$4=EDATE('核心假设'!$B$5,7-1+'核心假设'!$B$31),SUM('融资租赁与资金缺口'!$M$5:$M$16)*$T10,0),IF(BW$4=EDATE('核心假设'!$B$5,8-1+'核心假设'!$B$31),SUM('融资租赁与资金缺口'!$M$5:$M$16)*$U10,0),IF(BW$4=EDATE('核心假设'!$B$5,9-1+'核心假设'!$B$31),SUM('融资租赁与资金缺口'!$M$5:$M$16)*$V10,0),IF(BW$4=EDATE('核心假设'!$B$5,10-1+'核心假设'!$B$31),SUM('融资租赁与资金缺口'!$M$5:$M$16)*$W10,0),IF(BW$4=EDATE('核心假设'!$B$5,11-1+'核心假设'!$B$31),SUM('融资租赁与资金缺口'!$M$5:$M$16)*$X10,0),IF(BW$4=EDATE('核心假设'!$B$5,12-1+'核心假设'!$B$31),SUM('融资租赁与资金缺口'!$M$5:$M$16)*$Y10,0),IF(BW$4=EDATE('核心假设'!$B$5,13-1+'核心假设'!$B$31),SUM('融资租赁与资金缺口'!$M$5:$M$16)*$Z10,0),IF(BW$4=EDATE('核心假设'!$B$5,14-1+'核心假设'!$B$31),SUM('融资租赁与资金缺口'!$M$5:$M$16)*$AA10,0),IF(BW$4=EDATE('核心假设'!$B$5,15-1+'核心假设'!$B$31),SUM('融资租赁与资金缺口'!$M$5:$M$16)*$AB10,0),IF(BW$4=EDATE('核心假设'!$B$5,16-1+'核心假设'!$B$31),SUM('融资租赁与资金缺口'!$M$5:$M$16)*$AC10,0),IF(BW$4=EDATE('核心假设'!$B$5,17-1+'核心假设'!$B$31),SUM('融资租赁与资金缺口'!$M$5:$M$16)*$AD10,0))</x:f>
        <x:v>0</x:v>
      </x:c>
      <x:c r="BX39" s="28" t="n">
        <x:f>SUM(IF(BX$4=EDATE('核心假设'!$B$5,0-1+'核心假设'!$B$31),SUM('融资租赁与资金缺口'!$M$5:$M$16)*$M10,0),IF(BX$4=EDATE('核心假设'!$B$5,1-1+'核心假设'!$B$31),SUM('融资租赁与资金缺口'!$M$5:$M$16)*$N10,0),IF(BX$4=EDATE('核心假设'!$B$5,2-1+'核心假设'!$B$31),SUM('融资租赁与资金缺口'!$M$5:$M$16)*$O10,0),IF(BX$4=EDATE('核心假设'!$B$5,3-1+'核心假设'!$B$31),SUM('融资租赁与资金缺口'!$M$5:$M$16)*$P10,0),IF(BX$4=EDATE('核心假设'!$B$5,4-1+'核心假设'!$B$31),SUM('融资租赁与资金缺口'!$M$5:$M$16)*$Q10,0),IF(BX$4=EDATE('核心假设'!$B$5,5-1+'核心假设'!$B$31),SUM('融资租赁与资金缺口'!$M$5:$M$16)*$R10,0),IF(BX$4=EDATE('核心假设'!$B$5,6-1+'核心假设'!$B$31),SUM('融资租赁与资金缺口'!$M$5:$M$16)*$S10,0),IF(BX$4=EDATE('核心假设'!$B$5,7-1+'核心假设'!$B$31),SUM('融资租赁与资金缺口'!$M$5:$M$16)*$T10,0),IF(BX$4=EDATE('核心假设'!$B$5,8-1+'核心假设'!$B$31),SUM('融资租赁与资金缺口'!$M$5:$M$16)*$U10,0),IF(BX$4=EDATE('核心假设'!$B$5,9-1+'核心假设'!$B$31),SUM('融资租赁与资金缺口'!$M$5:$M$16)*$V10,0),IF(BX$4=EDATE('核心假设'!$B$5,10-1+'核心假设'!$B$31),SUM('融资租赁与资金缺口'!$M$5:$M$16)*$W10,0),IF(BX$4=EDATE('核心假设'!$B$5,11-1+'核心假设'!$B$31),SUM('融资租赁与资金缺口'!$M$5:$M$16)*$X10,0),IF(BX$4=EDATE('核心假设'!$B$5,12-1+'核心假设'!$B$31),SUM('融资租赁与资金缺口'!$M$5:$M$16)*$Y10,0),IF(BX$4=EDATE('核心假设'!$B$5,13-1+'核心假设'!$B$31),SUM('融资租赁与资金缺口'!$M$5:$M$16)*$Z10,0),IF(BX$4=EDATE('核心假设'!$B$5,14-1+'核心假设'!$B$31),SUM('融资租赁与资金缺口'!$M$5:$M$16)*$AA10,0),IF(BX$4=EDATE('核心假设'!$B$5,15-1+'核心假设'!$B$31),SUM('融资租赁与资金缺口'!$M$5:$M$16)*$AB10,0),IF(BX$4=EDATE('核心假设'!$B$5,16-1+'核心假设'!$B$31),SUM('融资租赁与资金缺口'!$M$5:$M$16)*$AC10,0),IF(BX$4=EDATE('核心假设'!$B$5,17-1+'核心假设'!$B$31),SUM('融资租赁与资金缺口'!$M$5:$M$16)*$AD10,0))</x:f>
        <x:v>0</x:v>
      </x:c>
      <x:c r="BY39" s="28" t="n">
        <x:f>SUM(IF(BY$4=EDATE('核心假设'!$B$5,0-1+'核心假设'!$B$31),SUM('融资租赁与资金缺口'!$M$5:$M$16)*$M10,0),IF(BY$4=EDATE('核心假设'!$B$5,1-1+'核心假设'!$B$31),SUM('融资租赁与资金缺口'!$M$5:$M$16)*$N10,0),IF(BY$4=EDATE('核心假设'!$B$5,2-1+'核心假设'!$B$31),SUM('融资租赁与资金缺口'!$M$5:$M$16)*$O10,0),IF(BY$4=EDATE('核心假设'!$B$5,3-1+'核心假设'!$B$31),SUM('融资租赁与资金缺口'!$M$5:$M$16)*$P10,0),IF(BY$4=EDATE('核心假设'!$B$5,4-1+'核心假设'!$B$31),SUM('融资租赁与资金缺口'!$M$5:$M$16)*$Q10,0),IF(BY$4=EDATE('核心假设'!$B$5,5-1+'核心假设'!$B$31),SUM('融资租赁与资金缺口'!$M$5:$M$16)*$R10,0),IF(BY$4=EDATE('核心假设'!$B$5,6-1+'核心假设'!$B$31),SUM('融资租赁与资金缺口'!$M$5:$M$16)*$S10,0),IF(BY$4=EDATE('核心假设'!$B$5,7-1+'核心假设'!$B$31),SUM('融资租赁与资金缺口'!$M$5:$M$16)*$T10,0),IF(BY$4=EDATE('核心假设'!$B$5,8-1+'核心假设'!$B$31),SUM('融资租赁与资金缺口'!$M$5:$M$16)*$U10,0),IF(BY$4=EDATE('核心假设'!$B$5,9-1+'核心假设'!$B$31),SUM('融资租赁与资金缺口'!$M$5:$M$16)*$V10,0),IF(BY$4=EDATE('核心假设'!$B$5,10-1+'核心假设'!$B$31),SUM('融资租赁与资金缺口'!$M$5:$M$16)*$W10,0),IF(BY$4=EDATE('核心假设'!$B$5,11-1+'核心假设'!$B$31),SUM('融资租赁与资金缺口'!$M$5:$M$16)*$X10,0),IF(BY$4=EDATE('核心假设'!$B$5,12-1+'核心假设'!$B$31),SUM('融资租赁与资金缺口'!$M$5:$M$16)*$Y10,0),IF(BY$4=EDATE('核心假设'!$B$5,13-1+'核心假设'!$B$31),SUM('融资租赁与资金缺口'!$M$5:$M$16)*$Z10,0),IF(BY$4=EDATE('核心假设'!$B$5,14-1+'核心假设'!$B$31),SUM('融资租赁与资金缺口'!$M$5:$M$16)*$AA10,0),IF(BY$4=EDATE('核心假设'!$B$5,15-1+'核心假设'!$B$31),SUM('融资租赁与资金缺口'!$M$5:$M$16)*$AB10,0),IF(BY$4=EDATE('核心假设'!$B$5,16-1+'核心假设'!$B$31),SUM('融资租赁与资金缺口'!$M$5:$M$16)*$AC10,0),IF(BY$4=EDATE('核心假设'!$B$5,17-1+'核心假设'!$B$31),SUM('融资租赁与资金缺口'!$M$5:$M$16)*$AD10,0))</x:f>
        <x:v>0</x:v>
      </x:c>
      <x:c r="BZ39" s="28" t="n">
        <x:f>SUM(IF(BZ$4=EDATE('核心假设'!$B$5,0-1+'核心假设'!$B$31),SUM('融资租赁与资金缺口'!$M$5:$M$16)*$M10,0),IF(BZ$4=EDATE('核心假设'!$B$5,1-1+'核心假设'!$B$31),SUM('融资租赁与资金缺口'!$M$5:$M$16)*$N10,0),IF(BZ$4=EDATE('核心假设'!$B$5,2-1+'核心假设'!$B$31),SUM('融资租赁与资金缺口'!$M$5:$M$16)*$O10,0),IF(BZ$4=EDATE('核心假设'!$B$5,3-1+'核心假设'!$B$31),SUM('融资租赁与资金缺口'!$M$5:$M$16)*$P10,0),IF(BZ$4=EDATE('核心假设'!$B$5,4-1+'核心假设'!$B$31),SUM('融资租赁与资金缺口'!$M$5:$M$16)*$Q10,0),IF(BZ$4=EDATE('核心假设'!$B$5,5-1+'核心假设'!$B$31),SUM('融资租赁与资金缺口'!$M$5:$M$16)*$R10,0),IF(BZ$4=EDATE('核心假设'!$B$5,6-1+'核心假设'!$B$31),SUM('融资租赁与资金缺口'!$M$5:$M$16)*$S10,0),IF(BZ$4=EDATE('核心假设'!$B$5,7-1+'核心假设'!$B$31),SUM('融资租赁与资金缺口'!$M$5:$M$16)*$T10,0),IF(BZ$4=EDATE('核心假设'!$B$5,8-1+'核心假设'!$B$31),SUM('融资租赁与资金缺口'!$M$5:$M$16)*$U10,0),IF(BZ$4=EDATE('核心假设'!$B$5,9-1+'核心假设'!$B$31),SUM('融资租赁与资金缺口'!$M$5:$M$16)*$V10,0),IF(BZ$4=EDATE('核心假设'!$B$5,10-1+'核心假设'!$B$31),SUM('融资租赁与资金缺口'!$M$5:$M$16)*$W10,0),IF(BZ$4=EDATE('核心假设'!$B$5,11-1+'核心假设'!$B$31),SUM('融资租赁与资金缺口'!$M$5:$M$16)*$X10,0),IF(BZ$4=EDATE('核心假设'!$B$5,12-1+'核心假设'!$B$31),SUM('融资租赁与资金缺口'!$M$5:$M$16)*$Y10,0),IF(BZ$4=EDATE('核心假设'!$B$5,13-1+'核心假设'!$B$31),SUM('融资租赁与资金缺口'!$M$5:$M$16)*$Z10,0),IF(BZ$4=EDATE('核心假设'!$B$5,14-1+'核心假设'!$B$31),SUM('融资租赁与资金缺口'!$M$5:$M$16)*$AA10,0),IF(BZ$4=EDATE('核心假设'!$B$5,15-1+'核心假设'!$B$31),SUM('融资租赁与资金缺口'!$M$5:$M$16)*$AB10,0),IF(BZ$4=EDATE('核心假设'!$B$5,16-1+'核心假设'!$B$31),SUM('融资租赁与资金缺口'!$M$5:$M$16)*$AC10,0),IF(BZ$4=EDATE('核心假设'!$B$5,17-1+'核心假设'!$B$31),SUM('融资租赁与资金缺口'!$M$5:$M$16)*$AD10,0))</x:f>
        <x:v>0</x:v>
      </x:c>
      <x:c r="CA39" s="28" t="n">
        <x:f>SUM(IF(CA$4=EDATE('核心假设'!$B$5,0-1+'核心假设'!$B$31),SUM('融资租赁与资金缺口'!$M$5:$M$16)*$M10,0),IF(CA$4=EDATE('核心假设'!$B$5,1-1+'核心假设'!$B$31),SUM('融资租赁与资金缺口'!$M$5:$M$16)*$N10,0),IF(CA$4=EDATE('核心假设'!$B$5,2-1+'核心假设'!$B$31),SUM('融资租赁与资金缺口'!$M$5:$M$16)*$O10,0),IF(CA$4=EDATE('核心假设'!$B$5,3-1+'核心假设'!$B$31),SUM('融资租赁与资金缺口'!$M$5:$M$16)*$P10,0),IF(CA$4=EDATE('核心假设'!$B$5,4-1+'核心假设'!$B$31),SUM('融资租赁与资金缺口'!$M$5:$M$16)*$Q10,0),IF(CA$4=EDATE('核心假设'!$B$5,5-1+'核心假设'!$B$31),SUM('融资租赁与资金缺口'!$M$5:$M$16)*$R10,0),IF(CA$4=EDATE('核心假设'!$B$5,6-1+'核心假设'!$B$31),SUM('融资租赁与资金缺口'!$M$5:$M$16)*$S10,0),IF(CA$4=EDATE('核心假设'!$B$5,7-1+'核心假设'!$B$31),SUM('融资租赁与资金缺口'!$M$5:$M$16)*$T10,0),IF(CA$4=EDATE('核心假设'!$B$5,8-1+'核心假设'!$B$31),SUM('融资租赁与资金缺口'!$M$5:$M$16)*$U10,0),IF(CA$4=EDATE('核心假设'!$B$5,9-1+'核心假设'!$B$31),SUM('融资租赁与资金缺口'!$M$5:$M$16)*$V10,0),IF(CA$4=EDATE('核心假设'!$B$5,10-1+'核心假设'!$B$31),SUM('融资租赁与资金缺口'!$M$5:$M$16)*$W10,0),IF(CA$4=EDATE('核心假设'!$B$5,11-1+'核心假设'!$B$31),SUM('融资租赁与资金缺口'!$M$5:$M$16)*$X10,0),IF(CA$4=EDATE('核心假设'!$B$5,12-1+'核心假设'!$B$31),SUM('融资租赁与资金缺口'!$M$5:$M$16)*$Y10,0),IF(CA$4=EDATE('核心假设'!$B$5,13-1+'核心假设'!$B$31),SUM('融资租赁与资金缺口'!$M$5:$M$16)*$Z10,0),IF(CA$4=EDATE('核心假设'!$B$5,14-1+'核心假设'!$B$31),SUM('融资租赁与资金缺口'!$M$5:$M$16)*$AA10,0),IF(CA$4=EDATE('核心假设'!$B$5,15-1+'核心假设'!$B$31),SUM('融资租赁与资金缺口'!$M$5:$M$16)*$AB10,0),IF(CA$4=EDATE('核心假设'!$B$5,16-1+'核心假设'!$B$31),SUM('融资租赁与资金缺口'!$M$5:$M$16)*$AC10,0),IF(CA$4=EDATE('核心假设'!$B$5,17-1+'核心假设'!$B$31),SUM('融资租赁与资金缺口'!$M$5:$M$16)*$AD10,0))</x:f>
        <x:v>0</x:v>
      </x:c>
      <x:c r="CB39" s="28" t="n">
        <x:f>SUM(IF(CB$4=EDATE('核心假设'!$B$5,0-1+'核心假设'!$B$31),SUM('融资租赁与资金缺口'!$M$5:$M$16)*$M10,0),IF(CB$4=EDATE('核心假设'!$B$5,1-1+'核心假设'!$B$31),SUM('融资租赁与资金缺口'!$M$5:$M$16)*$N10,0),IF(CB$4=EDATE('核心假设'!$B$5,2-1+'核心假设'!$B$31),SUM('融资租赁与资金缺口'!$M$5:$M$16)*$O10,0),IF(CB$4=EDATE('核心假设'!$B$5,3-1+'核心假设'!$B$31),SUM('融资租赁与资金缺口'!$M$5:$M$16)*$P10,0),IF(CB$4=EDATE('核心假设'!$B$5,4-1+'核心假设'!$B$31),SUM('融资租赁与资金缺口'!$M$5:$M$16)*$Q10,0),IF(CB$4=EDATE('核心假设'!$B$5,5-1+'核心假设'!$B$31),SUM('融资租赁与资金缺口'!$M$5:$M$16)*$R10,0),IF(CB$4=EDATE('核心假设'!$B$5,6-1+'核心假设'!$B$31),SUM('融资租赁与资金缺口'!$M$5:$M$16)*$S10,0),IF(CB$4=EDATE('核心假设'!$B$5,7-1+'核心假设'!$B$31),SUM('融资租赁与资金缺口'!$M$5:$M$16)*$T10,0),IF(CB$4=EDATE('核心假设'!$B$5,8-1+'核心假设'!$B$31),SUM('融资租赁与资金缺口'!$M$5:$M$16)*$U10,0),IF(CB$4=EDATE('核心假设'!$B$5,9-1+'核心假设'!$B$31),SUM('融资租赁与资金缺口'!$M$5:$M$16)*$V10,0),IF(CB$4=EDATE('核心假设'!$B$5,10-1+'核心假设'!$B$31),SUM('融资租赁与资金缺口'!$M$5:$M$16)*$W10,0),IF(CB$4=EDATE('核心假设'!$B$5,11-1+'核心假设'!$B$31),SUM('融资租赁与资金缺口'!$M$5:$M$16)*$X10,0),IF(CB$4=EDATE('核心假设'!$B$5,12-1+'核心假设'!$B$31),SUM('融资租赁与资金缺口'!$M$5:$M$16)*$Y10,0),IF(CB$4=EDATE('核心假设'!$B$5,13-1+'核心假设'!$B$31),SUM('融资租赁与资金缺口'!$M$5:$M$16)*$Z10,0),IF(CB$4=EDATE('核心假设'!$B$5,14-1+'核心假设'!$B$31),SUM('融资租赁与资金缺口'!$M$5:$M$16)*$AA10,0),IF(CB$4=EDATE('核心假设'!$B$5,15-1+'核心假设'!$B$31),SUM('融资租赁与资金缺口'!$M$5:$M$16)*$AB10,0),IF(CB$4=EDATE('核心假设'!$B$5,16-1+'核心假设'!$B$31),SUM('融资租赁与资金缺口'!$M$5:$M$16)*$AC10,0),IF(CB$4=EDATE('核心假设'!$B$5,17-1+'核心假设'!$B$31),SUM('融资租赁与资金缺口'!$M$5:$M$16)*$AD10,0))</x:f>
        <x:v>0</x:v>
      </x:c>
      <x:c r="CC39" s="28" t="n">
        <x:f>SUM(IF(CC$4=EDATE('核心假设'!$B$5,0-1+'核心假设'!$B$31),SUM('融资租赁与资金缺口'!$M$5:$M$16)*$M10,0),IF(CC$4=EDATE('核心假设'!$B$5,1-1+'核心假设'!$B$31),SUM('融资租赁与资金缺口'!$M$5:$M$16)*$N10,0),IF(CC$4=EDATE('核心假设'!$B$5,2-1+'核心假设'!$B$31),SUM('融资租赁与资金缺口'!$M$5:$M$16)*$O10,0),IF(CC$4=EDATE('核心假设'!$B$5,3-1+'核心假设'!$B$31),SUM('融资租赁与资金缺口'!$M$5:$M$16)*$P10,0),IF(CC$4=EDATE('核心假设'!$B$5,4-1+'核心假设'!$B$31),SUM('融资租赁与资金缺口'!$M$5:$M$16)*$Q10,0),IF(CC$4=EDATE('核心假设'!$B$5,5-1+'核心假设'!$B$31),SUM('融资租赁与资金缺口'!$M$5:$M$16)*$R10,0),IF(CC$4=EDATE('核心假设'!$B$5,6-1+'核心假设'!$B$31),SUM('融资租赁与资金缺口'!$M$5:$M$16)*$S10,0),IF(CC$4=EDATE('核心假设'!$B$5,7-1+'核心假设'!$B$31),SUM('融资租赁与资金缺口'!$M$5:$M$16)*$T10,0),IF(CC$4=EDATE('核心假设'!$B$5,8-1+'核心假设'!$B$31),SUM('融资租赁与资金缺口'!$M$5:$M$16)*$U10,0),IF(CC$4=EDATE('核心假设'!$B$5,9-1+'核心假设'!$B$31),SUM('融资租赁与资金缺口'!$M$5:$M$16)*$V10,0),IF(CC$4=EDATE('核心假设'!$B$5,10-1+'核心假设'!$B$31),SUM('融资租赁与资金缺口'!$M$5:$M$16)*$W10,0),IF(CC$4=EDATE('核心假设'!$B$5,11-1+'核心假设'!$B$31),SUM('融资租赁与资金缺口'!$M$5:$M$16)*$X10,0),IF(CC$4=EDATE('核心假设'!$B$5,12-1+'核心假设'!$B$31),SUM('融资租赁与资金缺口'!$M$5:$M$16)*$Y10,0),IF(CC$4=EDATE('核心假设'!$B$5,13-1+'核心假设'!$B$31),SUM('融资租赁与资金缺口'!$M$5:$M$16)*$Z10,0),IF(CC$4=EDATE('核心假设'!$B$5,14-1+'核心假设'!$B$31),SUM('融资租赁与资金缺口'!$M$5:$M$16)*$AA10,0),IF(CC$4=EDATE('核心假设'!$B$5,15-1+'核心假设'!$B$31),SUM('融资租赁与资金缺口'!$M$5:$M$16)*$AB10,0),IF(CC$4=EDATE('核心假设'!$B$5,16-1+'核心假设'!$B$31),SUM('融资租赁与资金缺口'!$M$5:$M$16)*$AC10,0),IF(CC$4=EDATE('核心假设'!$B$5,17-1+'核心假设'!$B$31),SUM('融资租赁与资金缺口'!$M$5:$M$16)*$AD10,0))</x:f>
        <x:v>0</x:v>
      </x:c>
      <x:c r="CD39" s="28" t="n">
        <x:f>SUM(IF(CD$4=EDATE('核心假设'!$B$5,0-1+'核心假设'!$B$31),SUM('融资租赁与资金缺口'!$M$5:$M$16)*$M10,0),IF(CD$4=EDATE('核心假设'!$B$5,1-1+'核心假设'!$B$31),SUM('融资租赁与资金缺口'!$M$5:$M$16)*$N10,0),IF(CD$4=EDATE('核心假设'!$B$5,2-1+'核心假设'!$B$31),SUM('融资租赁与资金缺口'!$M$5:$M$16)*$O10,0),IF(CD$4=EDATE('核心假设'!$B$5,3-1+'核心假设'!$B$31),SUM('融资租赁与资金缺口'!$M$5:$M$16)*$P10,0),IF(CD$4=EDATE('核心假设'!$B$5,4-1+'核心假设'!$B$31),SUM('融资租赁与资金缺口'!$M$5:$M$16)*$Q10,0),IF(CD$4=EDATE('核心假设'!$B$5,5-1+'核心假设'!$B$31),SUM('融资租赁与资金缺口'!$M$5:$M$16)*$R10,0),IF(CD$4=EDATE('核心假设'!$B$5,6-1+'核心假设'!$B$31),SUM('融资租赁与资金缺口'!$M$5:$M$16)*$S10,0),IF(CD$4=EDATE('核心假设'!$B$5,7-1+'核心假设'!$B$31),SUM('融资租赁与资金缺口'!$M$5:$M$16)*$T10,0),IF(CD$4=EDATE('核心假设'!$B$5,8-1+'核心假设'!$B$31),SUM('融资租赁与资金缺口'!$M$5:$M$16)*$U10,0),IF(CD$4=EDATE('核心假设'!$B$5,9-1+'核心假设'!$B$31),SUM('融资租赁与资金缺口'!$M$5:$M$16)*$V10,0),IF(CD$4=EDATE('核心假设'!$B$5,10-1+'核心假设'!$B$31),SUM('融资租赁与资金缺口'!$M$5:$M$16)*$W10,0),IF(CD$4=EDATE('核心假设'!$B$5,11-1+'核心假设'!$B$31),SUM('融资租赁与资金缺口'!$M$5:$M$16)*$X10,0),IF(CD$4=EDATE('核心假设'!$B$5,12-1+'核心假设'!$B$31),SUM('融资租赁与资金缺口'!$M$5:$M$16)*$Y10,0),IF(CD$4=EDATE('核心假设'!$B$5,13-1+'核心假设'!$B$31),SUM('融资租赁与资金缺口'!$M$5:$M$16)*$Z10,0),IF(CD$4=EDATE('核心假设'!$B$5,14-1+'核心假设'!$B$31),SUM('融资租赁与资金缺口'!$M$5:$M$16)*$AA10,0),IF(CD$4=EDATE('核心假设'!$B$5,15-1+'核心假设'!$B$31),SUM('融资租赁与资金缺口'!$M$5:$M$16)*$AB10,0),IF(CD$4=EDATE('核心假设'!$B$5,16-1+'核心假设'!$B$31),SUM('融资租赁与资金缺口'!$M$5:$M$16)*$AC10,0),IF(CD$4=EDATE('核心假设'!$B$5,17-1+'核心假设'!$B$31),SUM('融资租赁与资金缺口'!$M$5:$M$16)*$AD10,0))</x:f>
        <x:v>0</x:v>
      </x:c>
      <x:c r="CE39" s="28" t="n">
        <x:f>SUM(IF(CE$4=EDATE('核心假设'!$B$5,0-1+'核心假设'!$B$31),SUM('融资租赁与资金缺口'!$M$5:$M$16)*$M10,0),IF(CE$4=EDATE('核心假设'!$B$5,1-1+'核心假设'!$B$31),SUM('融资租赁与资金缺口'!$M$5:$M$16)*$N10,0),IF(CE$4=EDATE('核心假设'!$B$5,2-1+'核心假设'!$B$31),SUM('融资租赁与资金缺口'!$M$5:$M$16)*$O10,0),IF(CE$4=EDATE('核心假设'!$B$5,3-1+'核心假设'!$B$31),SUM('融资租赁与资金缺口'!$M$5:$M$16)*$P10,0),IF(CE$4=EDATE('核心假设'!$B$5,4-1+'核心假设'!$B$31),SUM('融资租赁与资金缺口'!$M$5:$M$16)*$Q10,0),IF(CE$4=EDATE('核心假设'!$B$5,5-1+'核心假设'!$B$31),SUM('融资租赁与资金缺口'!$M$5:$M$16)*$R10,0),IF(CE$4=EDATE('核心假设'!$B$5,6-1+'核心假设'!$B$31),SUM('融资租赁与资金缺口'!$M$5:$M$16)*$S10,0),IF(CE$4=EDATE('核心假设'!$B$5,7-1+'核心假设'!$B$31),SUM('融资租赁与资金缺口'!$M$5:$M$16)*$T10,0),IF(CE$4=EDATE('核心假设'!$B$5,8-1+'核心假设'!$B$31),SUM('融资租赁与资金缺口'!$M$5:$M$16)*$U10,0),IF(CE$4=EDATE('核心假设'!$B$5,9-1+'核心假设'!$B$31),SUM('融资租赁与资金缺口'!$M$5:$M$16)*$V10,0),IF(CE$4=EDATE('核心假设'!$B$5,10-1+'核心假设'!$B$31),SUM('融资租赁与资金缺口'!$M$5:$M$16)*$W10,0),IF(CE$4=EDATE('核心假设'!$B$5,11-1+'核心假设'!$B$31),SUM('融资租赁与资金缺口'!$M$5:$M$16)*$X10,0),IF(CE$4=EDATE('核心假设'!$B$5,12-1+'核心假设'!$B$31),SUM('融资租赁与资金缺口'!$M$5:$M$16)*$Y10,0),IF(CE$4=EDATE('核心假设'!$B$5,13-1+'核心假设'!$B$31),SUM('融资租赁与资金缺口'!$M$5:$M$16)*$Z10,0),IF(CE$4=EDATE('核心假设'!$B$5,14-1+'核心假设'!$B$31),SUM('融资租赁与资金缺口'!$M$5:$M$16)*$AA10,0),IF(CE$4=EDATE('核心假设'!$B$5,15-1+'核心假设'!$B$31),SUM('融资租赁与资金缺口'!$M$5:$M$16)*$AB10,0),IF(CE$4=EDATE('核心假设'!$B$5,16-1+'核心假设'!$B$31),SUM('融资租赁与资金缺口'!$M$5:$M$16)*$AC10,0),IF(CE$4=EDATE('核心假设'!$B$5,17-1+'核心假设'!$B$31),SUM('融资租赁与资金缺口'!$M$5:$M$16)*$AD10,0))</x:f>
        <x:v>0</x:v>
      </x:c>
      <x:c r="CF39" s="28" t="n">
        <x:f>SUM(IF(CF$4=EDATE('核心假设'!$B$5,0-1+'核心假设'!$B$31),SUM('融资租赁与资金缺口'!$M$5:$M$16)*$M10,0),IF(CF$4=EDATE('核心假设'!$B$5,1-1+'核心假设'!$B$31),SUM('融资租赁与资金缺口'!$M$5:$M$16)*$N10,0),IF(CF$4=EDATE('核心假设'!$B$5,2-1+'核心假设'!$B$31),SUM('融资租赁与资金缺口'!$M$5:$M$16)*$O10,0),IF(CF$4=EDATE('核心假设'!$B$5,3-1+'核心假设'!$B$31),SUM('融资租赁与资金缺口'!$M$5:$M$16)*$P10,0),IF(CF$4=EDATE('核心假设'!$B$5,4-1+'核心假设'!$B$31),SUM('融资租赁与资金缺口'!$M$5:$M$16)*$Q10,0),IF(CF$4=EDATE('核心假设'!$B$5,5-1+'核心假设'!$B$31),SUM('融资租赁与资金缺口'!$M$5:$M$16)*$R10,0),IF(CF$4=EDATE('核心假设'!$B$5,6-1+'核心假设'!$B$31),SUM('融资租赁与资金缺口'!$M$5:$M$16)*$S10,0),IF(CF$4=EDATE('核心假设'!$B$5,7-1+'核心假设'!$B$31),SUM('融资租赁与资金缺口'!$M$5:$M$16)*$T10,0),IF(CF$4=EDATE('核心假设'!$B$5,8-1+'核心假设'!$B$31),SUM('融资租赁与资金缺口'!$M$5:$M$16)*$U10,0),IF(CF$4=EDATE('核心假设'!$B$5,9-1+'核心假设'!$B$31),SUM('融资租赁与资金缺口'!$M$5:$M$16)*$V10,0),IF(CF$4=EDATE('核心假设'!$B$5,10-1+'核心假设'!$B$31),SUM('融资租赁与资金缺口'!$M$5:$M$16)*$W10,0),IF(CF$4=EDATE('核心假设'!$B$5,11-1+'核心假设'!$B$31),SUM('融资租赁与资金缺口'!$M$5:$M$16)*$X10,0),IF(CF$4=EDATE('核心假设'!$B$5,12-1+'核心假设'!$B$31),SUM('融资租赁与资金缺口'!$M$5:$M$16)*$Y10,0),IF(CF$4=EDATE('核心假设'!$B$5,13-1+'核心假设'!$B$31),SUM('融资租赁与资金缺口'!$M$5:$M$16)*$Z10,0),IF(CF$4=EDATE('核心假设'!$B$5,14-1+'核心假设'!$B$31),SUM('融资租赁与资金缺口'!$M$5:$M$16)*$AA10,0),IF(CF$4=EDATE('核心假设'!$B$5,15-1+'核心假设'!$B$31),SUM('融资租赁与资金缺口'!$M$5:$M$16)*$AB10,0),IF(CF$4=EDATE('核心假设'!$B$5,16-1+'核心假设'!$B$31),SUM('融资租赁与资金缺口'!$M$5:$M$16)*$AC10,0),IF(CF$4=EDATE('核心假设'!$B$5,17-1+'核心假设'!$B$31),SUM('融资租赁与资金缺口'!$M$5:$M$16)*$AD10,0))</x:f>
        <x:v>0</x:v>
      </x:c>
      <x:c r="CG39" s="28" t="n">
        <x:f>SUM(IF(CG$4=EDATE('核心假设'!$B$5,0-1+'核心假设'!$B$31),SUM('融资租赁与资金缺口'!$M$5:$M$16)*$M10,0),IF(CG$4=EDATE('核心假设'!$B$5,1-1+'核心假设'!$B$31),SUM('融资租赁与资金缺口'!$M$5:$M$16)*$N10,0),IF(CG$4=EDATE('核心假设'!$B$5,2-1+'核心假设'!$B$31),SUM('融资租赁与资金缺口'!$M$5:$M$16)*$O10,0),IF(CG$4=EDATE('核心假设'!$B$5,3-1+'核心假设'!$B$31),SUM('融资租赁与资金缺口'!$M$5:$M$16)*$P10,0),IF(CG$4=EDATE('核心假设'!$B$5,4-1+'核心假设'!$B$31),SUM('融资租赁与资金缺口'!$M$5:$M$16)*$Q10,0),IF(CG$4=EDATE('核心假设'!$B$5,5-1+'核心假设'!$B$31),SUM('融资租赁与资金缺口'!$M$5:$M$16)*$R10,0),IF(CG$4=EDATE('核心假设'!$B$5,6-1+'核心假设'!$B$31),SUM('融资租赁与资金缺口'!$M$5:$M$16)*$S10,0),IF(CG$4=EDATE('核心假设'!$B$5,7-1+'核心假设'!$B$31),SUM('融资租赁与资金缺口'!$M$5:$M$16)*$T10,0),IF(CG$4=EDATE('核心假设'!$B$5,8-1+'核心假设'!$B$31),SUM('融资租赁与资金缺口'!$M$5:$M$16)*$U10,0),IF(CG$4=EDATE('核心假设'!$B$5,9-1+'核心假设'!$B$31),SUM('融资租赁与资金缺口'!$M$5:$M$16)*$V10,0),IF(CG$4=EDATE('核心假设'!$B$5,10-1+'核心假设'!$B$31),SUM('融资租赁与资金缺口'!$M$5:$M$16)*$W10,0),IF(CG$4=EDATE('核心假设'!$B$5,11-1+'核心假设'!$B$31),SUM('融资租赁与资金缺口'!$M$5:$M$16)*$X10,0),IF(CG$4=EDATE('核心假设'!$B$5,12-1+'核心假设'!$B$31),SUM('融资租赁与资金缺口'!$M$5:$M$16)*$Y10,0),IF(CG$4=EDATE('核心假设'!$B$5,13-1+'核心假设'!$B$31),SUM('融资租赁与资金缺口'!$M$5:$M$16)*$Z10,0),IF(CG$4=EDATE('核心假设'!$B$5,14-1+'核心假设'!$B$31),SUM('融资租赁与资金缺口'!$M$5:$M$16)*$AA10,0),IF(CG$4=EDATE('核心假设'!$B$5,15-1+'核心假设'!$B$31),SUM('融资租赁与资金缺口'!$M$5:$M$16)*$AB10,0),IF(CG$4=EDATE('核心假设'!$B$5,16-1+'核心假设'!$B$31),SUM('融资租赁与资金缺口'!$M$5:$M$16)*$AC10,0),IF(CG$4=EDATE('核心假设'!$B$5,17-1+'核心假设'!$B$31),SUM('融资租赁与资金缺口'!$M$5:$M$16)*$AD10,0))</x:f>
        <x:v>0</x:v>
      </x:c>
      <x:c r="CH39" s="28" t="n">
        <x:f>SUM(IF(CH$4=EDATE('核心假设'!$B$5,0-1+'核心假设'!$B$31),SUM('融资租赁与资金缺口'!$M$5:$M$16)*$M10,0),IF(CH$4=EDATE('核心假设'!$B$5,1-1+'核心假设'!$B$31),SUM('融资租赁与资金缺口'!$M$5:$M$16)*$N10,0),IF(CH$4=EDATE('核心假设'!$B$5,2-1+'核心假设'!$B$31),SUM('融资租赁与资金缺口'!$M$5:$M$16)*$O10,0),IF(CH$4=EDATE('核心假设'!$B$5,3-1+'核心假设'!$B$31),SUM('融资租赁与资金缺口'!$M$5:$M$16)*$P10,0),IF(CH$4=EDATE('核心假设'!$B$5,4-1+'核心假设'!$B$31),SUM('融资租赁与资金缺口'!$M$5:$M$16)*$Q10,0),IF(CH$4=EDATE('核心假设'!$B$5,5-1+'核心假设'!$B$31),SUM('融资租赁与资金缺口'!$M$5:$M$16)*$R10,0),IF(CH$4=EDATE('核心假设'!$B$5,6-1+'核心假设'!$B$31),SUM('融资租赁与资金缺口'!$M$5:$M$16)*$S10,0),IF(CH$4=EDATE('核心假设'!$B$5,7-1+'核心假设'!$B$31),SUM('融资租赁与资金缺口'!$M$5:$M$16)*$T10,0),IF(CH$4=EDATE('核心假设'!$B$5,8-1+'核心假设'!$B$31),SUM('融资租赁与资金缺口'!$M$5:$M$16)*$U10,0),IF(CH$4=EDATE('核心假设'!$B$5,9-1+'核心假设'!$B$31),SUM('融资租赁与资金缺口'!$M$5:$M$16)*$V10,0),IF(CH$4=EDATE('核心假设'!$B$5,10-1+'核心假设'!$B$31),SUM('融资租赁与资金缺口'!$M$5:$M$16)*$W10,0),IF(CH$4=EDATE('核心假设'!$B$5,11-1+'核心假设'!$B$31),SUM('融资租赁与资金缺口'!$M$5:$M$16)*$X10,0),IF(CH$4=EDATE('核心假设'!$B$5,12-1+'核心假设'!$B$31),SUM('融资租赁与资金缺口'!$M$5:$M$16)*$Y10,0),IF(CH$4=EDATE('核心假设'!$B$5,13-1+'核心假设'!$B$31),SUM('融资租赁与资金缺口'!$M$5:$M$16)*$Z10,0),IF(CH$4=EDATE('核心假设'!$B$5,14-1+'核心假设'!$B$31),SUM('融资租赁与资金缺口'!$M$5:$M$16)*$AA10,0),IF(CH$4=EDATE('核心假设'!$B$5,15-1+'核心假设'!$B$31),SUM('融资租赁与资金缺口'!$M$5:$M$16)*$AB10,0),IF(CH$4=EDATE('核心假设'!$B$5,16-1+'核心假设'!$B$31),SUM('融资租赁与资金缺口'!$M$5:$M$16)*$AC10,0),IF(CH$4=EDATE('核心假设'!$B$5,17-1+'核心假设'!$B$31),SUM('融资租赁与资金缺口'!$M$5:$M$16)*$AD10,0))</x:f>
        <x:v>0</x:v>
      </x:c>
      <x:c r="CI39" s="28" t="n">
        <x:f>SUM(IF(CI$4=EDATE('核心假设'!$B$5,0-1+'核心假设'!$B$31),SUM('融资租赁与资金缺口'!$M$5:$M$16)*$M10,0),IF(CI$4=EDATE('核心假设'!$B$5,1-1+'核心假设'!$B$31),SUM('融资租赁与资金缺口'!$M$5:$M$16)*$N10,0),IF(CI$4=EDATE('核心假设'!$B$5,2-1+'核心假设'!$B$31),SUM('融资租赁与资金缺口'!$M$5:$M$16)*$O10,0),IF(CI$4=EDATE('核心假设'!$B$5,3-1+'核心假设'!$B$31),SUM('融资租赁与资金缺口'!$M$5:$M$16)*$P10,0),IF(CI$4=EDATE('核心假设'!$B$5,4-1+'核心假设'!$B$31),SUM('融资租赁与资金缺口'!$M$5:$M$16)*$Q10,0),IF(CI$4=EDATE('核心假设'!$B$5,5-1+'核心假设'!$B$31),SUM('融资租赁与资金缺口'!$M$5:$M$16)*$R10,0),IF(CI$4=EDATE('核心假设'!$B$5,6-1+'核心假设'!$B$31),SUM('融资租赁与资金缺口'!$M$5:$M$16)*$S10,0),IF(CI$4=EDATE('核心假设'!$B$5,7-1+'核心假设'!$B$31),SUM('融资租赁与资金缺口'!$M$5:$M$16)*$T10,0),IF(CI$4=EDATE('核心假设'!$B$5,8-1+'核心假设'!$B$31),SUM('融资租赁与资金缺口'!$M$5:$M$16)*$U10,0),IF(CI$4=EDATE('核心假设'!$B$5,9-1+'核心假设'!$B$31),SUM('融资租赁与资金缺口'!$M$5:$M$16)*$V10,0),IF(CI$4=EDATE('核心假设'!$B$5,10-1+'核心假设'!$B$31),SUM('融资租赁与资金缺口'!$M$5:$M$16)*$W10,0),IF(CI$4=EDATE('核心假设'!$B$5,11-1+'核心假设'!$B$31),SUM('融资租赁与资金缺口'!$M$5:$M$16)*$X10,0),IF(CI$4=EDATE('核心假设'!$B$5,12-1+'核心假设'!$B$31),SUM('融资租赁与资金缺口'!$M$5:$M$16)*$Y10,0),IF(CI$4=EDATE('核心假设'!$B$5,13-1+'核心假设'!$B$31),SUM('融资租赁与资金缺口'!$M$5:$M$16)*$Z10,0),IF(CI$4=EDATE('核心假设'!$B$5,14-1+'核心假设'!$B$31),SUM('融资租赁与资金缺口'!$M$5:$M$16)*$AA10,0),IF(CI$4=EDATE('核心假设'!$B$5,15-1+'核心假设'!$B$31),SUM('融资租赁与资金缺口'!$M$5:$M$16)*$AB10,0),IF(CI$4=EDATE('核心假设'!$B$5,16-1+'核心假设'!$B$31),SUM('融资租赁与资金缺口'!$M$5:$M$16)*$AC10,0),IF(CI$4=EDATE('核心假设'!$B$5,17-1+'核心假设'!$B$31),SUM('融资租赁与资金缺口'!$M$5:$M$16)*$AD10,0))</x:f>
        <x:v>0</x:v>
      </x:c>
      <x:c r="CJ39" s="28" t="n">
        <x:f>SUM(IF(CJ$4=EDATE('核心假设'!$B$5,0-1+'核心假设'!$B$31),SUM('融资租赁与资金缺口'!$M$5:$M$16)*$M10,0),IF(CJ$4=EDATE('核心假设'!$B$5,1-1+'核心假设'!$B$31),SUM('融资租赁与资金缺口'!$M$5:$M$16)*$N10,0),IF(CJ$4=EDATE('核心假设'!$B$5,2-1+'核心假设'!$B$31),SUM('融资租赁与资金缺口'!$M$5:$M$16)*$O10,0),IF(CJ$4=EDATE('核心假设'!$B$5,3-1+'核心假设'!$B$31),SUM('融资租赁与资金缺口'!$M$5:$M$16)*$P10,0),IF(CJ$4=EDATE('核心假设'!$B$5,4-1+'核心假设'!$B$31),SUM('融资租赁与资金缺口'!$M$5:$M$16)*$Q10,0),IF(CJ$4=EDATE('核心假设'!$B$5,5-1+'核心假设'!$B$31),SUM('融资租赁与资金缺口'!$M$5:$M$16)*$R10,0),IF(CJ$4=EDATE('核心假设'!$B$5,6-1+'核心假设'!$B$31),SUM('融资租赁与资金缺口'!$M$5:$M$16)*$S10,0),IF(CJ$4=EDATE('核心假设'!$B$5,7-1+'核心假设'!$B$31),SUM('融资租赁与资金缺口'!$M$5:$M$16)*$T10,0),IF(CJ$4=EDATE('核心假设'!$B$5,8-1+'核心假设'!$B$31),SUM('融资租赁与资金缺口'!$M$5:$M$16)*$U10,0),IF(CJ$4=EDATE('核心假设'!$B$5,9-1+'核心假设'!$B$31),SUM('融资租赁与资金缺口'!$M$5:$M$16)*$V10,0),IF(CJ$4=EDATE('核心假设'!$B$5,10-1+'核心假设'!$B$31),SUM('融资租赁与资金缺口'!$M$5:$M$16)*$W10,0),IF(CJ$4=EDATE('核心假设'!$B$5,11-1+'核心假设'!$B$31),SUM('融资租赁与资金缺口'!$M$5:$M$16)*$X10,0),IF(CJ$4=EDATE('核心假设'!$B$5,12-1+'核心假设'!$B$31),SUM('融资租赁与资金缺口'!$M$5:$M$16)*$Y10,0),IF(CJ$4=EDATE('核心假设'!$B$5,13-1+'核心假设'!$B$31),SUM('融资租赁与资金缺口'!$M$5:$M$16)*$Z10,0),IF(CJ$4=EDATE('核心假设'!$B$5,14-1+'核心假设'!$B$31),SUM('融资租赁与资金缺口'!$M$5:$M$16)*$AA10,0),IF(CJ$4=EDATE('核心假设'!$B$5,15-1+'核心假设'!$B$31),SUM('融资租赁与资金缺口'!$M$5:$M$16)*$AB10,0),IF(CJ$4=EDATE('核心假设'!$B$5,16-1+'核心假设'!$B$31),SUM('融资租赁与资金缺口'!$M$5:$M$16)*$AC10,0),IF(CJ$4=EDATE('核心假设'!$B$5,17-1+'核心假设'!$B$31),SUM('融资租赁与资金缺口'!$M$5:$M$16)*$AD10,0))</x:f>
        <x:v>0</x:v>
      </x:c>
      <x:c r="CK39" s="28" t="n">
        <x:f>SUM(IF(CK$4=EDATE('核心假设'!$B$5,0-1+'核心假设'!$B$31),SUM('融资租赁与资金缺口'!$M$5:$M$16)*$M10,0),IF(CK$4=EDATE('核心假设'!$B$5,1-1+'核心假设'!$B$31),SUM('融资租赁与资金缺口'!$M$5:$M$16)*$N10,0),IF(CK$4=EDATE('核心假设'!$B$5,2-1+'核心假设'!$B$31),SUM('融资租赁与资金缺口'!$M$5:$M$16)*$O10,0),IF(CK$4=EDATE('核心假设'!$B$5,3-1+'核心假设'!$B$31),SUM('融资租赁与资金缺口'!$M$5:$M$16)*$P10,0),IF(CK$4=EDATE('核心假设'!$B$5,4-1+'核心假设'!$B$31),SUM('融资租赁与资金缺口'!$M$5:$M$16)*$Q10,0),IF(CK$4=EDATE('核心假设'!$B$5,5-1+'核心假设'!$B$31),SUM('融资租赁与资金缺口'!$M$5:$M$16)*$R10,0),IF(CK$4=EDATE('核心假设'!$B$5,6-1+'核心假设'!$B$31),SUM('融资租赁与资金缺口'!$M$5:$M$16)*$S10,0),IF(CK$4=EDATE('核心假设'!$B$5,7-1+'核心假设'!$B$31),SUM('融资租赁与资金缺口'!$M$5:$M$16)*$T10,0),IF(CK$4=EDATE('核心假设'!$B$5,8-1+'核心假设'!$B$31),SUM('融资租赁与资金缺口'!$M$5:$M$16)*$U10,0),IF(CK$4=EDATE('核心假设'!$B$5,9-1+'核心假设'!$B$31),SUM('融资租赁与资金缺口'!$M$5:$M$16)*$V10,0),IF(CK$4=EDATE('核心假设'!$B$5,10-1+'核心假设'!$B$31),SUM('融资租赁与资金缺口'!$M$5:$M$16)*$W10,0),IF(CK$4=EDATE('核心假设'!$B$5,11-1+'核心假设'!$B$31),SUM('融资租赁与资金缺口'!$M$5:$M$16)*$X10,0),IF(CK$4=EDATE('核心假设'!$B$5,12-1+'核心假设'!$B$31),SUM('融资租赁与资金缺口'!$M$5:$M$16)*$Y10,0),IF(CK$4=EDATE('核心假设'!$B$5,13-1+'核心假设'!$B$31),SUM('融资租赁与资金缺口'!$M$5:$M$16)*$Z10,0),IF(CK$4=EDATE('核心假设'!$B$5,14-1+'核心假设'!$B$31),SUM('融资租赁与资金缺口'!$M$5:$M$16)*$AA10,0),IF(CK$4=EDATE('核心假设'!$B$5,15-1+'核心假设'!$B$31),SUM('融资租赁与资金缺口'!$M$5:$M$16)*$AB10,0),IF(CK$4=EDATE('核心假设'!$B$5,16-1+'核心假设'!$B$31),SUM('融资租赁与资金缺口'!$M$5:$M$16)*$AC10,0),IF(CK$4=EDATE('核心假设'!$B$5,17-1+'核心假设'!$B$31),SUM('融资租赁与资金缺口'!$M$5:$M$16)*$AD10,0))</x:f>
        <x:v>0</x:v>
      </x:c>
      <x:c r="CL39" s="28" t="n">
        <x:f>SUM(IF(CL$4=EDATE('核心假设'!$B$5,0-1+'核心假设'!$B$31),SUM('融资租赁与资金缺口'!$M$5:$M$16)*$M10,0),IF(CL$4=EDATE('核心假设'!$B$5,1-1+'核心假设'!$B$31),SUM('融资租赁与资金缺口'!$M$5:$M$16)*$N10,0),IF(CL$4=EDATE('核心假设'!$B$5,2-1+'核心假设'!$B$31),SUM('融资租赁与资金缺口'!$M$5:$M$16)*$O10,0),IF(CL$4=EDATE('核心假设'!$B$5,3-1+'核心假设'!$B$31),SUM('融资租赁与资金缺口'!$M$5:$M$16)*$P10,0),IF(CL$4=EDATE('核心假设'!$B$5,4-1+'核心假设'!$B$31),SUM('融资租赁与资金缺口'!$M$5:$M$16)*$Q10,0),IF(CL$4=EDATE('核心假设'!$B$5,5-1+'核心假设'!$B$31),SUM('融资租赁与资金缺口'!$M$5:$M$16)*$R10,0),IF(CL$4=EDATE('核心假设'!$B$5,6-1+'核心假设'!$B$31),SUM('融资租赁与资金缺口'!$M$5:$M$16)*$S10,0),IF(CL$4=EDATE('核心假设'!$B$5,7-1+'核心假设'!$B$31),SUM('融资租赁与资金缺口'!$M$5:$M$16)*$T10,0),IF(CL$4=EDATE('核心假设'!$B$5,8-1+'核心假设'!$B$31),SUM('融资租赁与资金缺口'!$M$5:$M$16)*$U10,0),IF(CL$4=EDATE('核心假设'!$B$5,9-1+'核心假设'!$B$31),SUM('融资租赁与资金缺口'!$M$5:$M$16)*$V10,0),IF(CL$4=EDATE('核心假设'!$B$5,10-1+'核心假设'!$B$31),SUM('融资租赁与资金缺口'!$M$5:$M$16)*$W10,0),IF(CL$4=EDATE('核心假设'!$B$5,11-1+'核心假设'!$B$31),SUM('融资租赁与资金缺口'!$M$5:$M$16)*$X10,0),IF(CL$4=EDATE('核心假设'!$B$5,12-1+'核心假设'!$B$31),SUM('融资租赁与资金缺口'!$M$5:$M$16)*$Y10,0),IF(CL$4=EDATE('核心假设'!$B$5,13-1+'核心假设'!$B$31),SUM('融资租赁与资金缺口'!$M$5:$M$16)*$Z10,0),IF(CL$4=EDATE('核心假设'!$B$5,14-1+'核心假设'!$B$31),SUM('融资租赁与资金缺口'!$M$5:$M$16)*$AA10,0),IF(CL$4=EDATE('核心假设'!$B$5,15-1+'核心假设'!$B$31),SUM('融资租赁与资金缺口'!$M$5:$M$16)*$AB10,0),IF(CL$4=EDATE('核心假设'!$B$5,16-1+'核心假设'!$B$31),SUM('融资租赁与资金缺口'!$M$5:$M$16)*$AC10,0),IF(CL$4=EDATE('核心假设'!$B$5,17-1+'核心假设'!$B$31),SUM('融资租赁与资金缺口'!$M$5:$M$16)*$AD10,0))</x:f>
        <x:v>0</x:v>
      </x:c>
      <x:c r="CM39" s="28" t="n">
        <x:f>SUM(IF(CM$4=EDATE('核心假设'!$B$5,0-1+'核心假设'!$B$31),SUM('融资租赁与资金缺口'!$M$5:$M$16)*$M10,0),IF(CM$4=EDATE('核心假设'!$B$5,1-1+'核心假设'!$B$31),SUM('融资租赁与资金缺口'!$M$5:$M$16)*$N10,0),IF(CM$4=EDATE('核心假设'!$B$5,2-1+'核心假设'!$B$31),SUM('融资租赁与资金缺口'!$M$5:$M$16)*$O10,0),IF(CM$4=EDATE('核心假设'!$B$5,3-1+'核心假设'!$B$31),SUM('融资租赁与资金缺口'!$M$5:$M$16)*$P10,0),IF(CM$4=EDATE('核心假设'!$B$5,4-1+'核心假设'!$B$31),SUM('融资租赁与资金缺口'!$M$5:$M$16)*$Q10,0),IF(CM$4=EDATE('核心假设'!$B$5,5-1+'核心假设'!$B$31),SUM('融资租赁与资金缺口'!$M$5:$M$16)*$R10,0),IF(CM$4=EDATE('核心假设'!$B$5,6-1+'核心假设'!$B$31),SUM('融资租赁与资金缺口'!$M$5:$M$16)*$S10,0),IF(CM$4=EDATE('核心假设'!$B$5,7-1+'核心假设'!$B$31),SUM('融资租赁与资金缺口'!$M$5:$M$16)*$T10,0),IF(CM$4=EDATE('核心假设'!$B$5,8-1+'核心假设'!$B$31),SUM('融资租赁与资金缺口'!$M$5:$M$16)*$U10,0),IF(CM$4=EDATE('核心假设'!$B$5,9-1+'核心假设'!$B$31),SUM('融资租赁与资金缺口'!$M$5:$M$16)*$V10,0),IF(CM$4=EDATE('核心假设'!$B$5,10-1+'核心假设'!$B$31),SUM('融资租赁与资金缺口'!$M$5:$M$16)*$W10,0),IF(CM$4=EDATE('核心假设'!$B$5,11-1+'核心假设'!$B$31),SUM('融资租赁与资金缺口'!$M$5:$M$16)*$X10,0),IF(CM$4=EDATE('核心假设'!$B$5,12-1+'核心假设'!$B$31),SUM('融资租赁与资金缺口'!$M$5:$M$16)*$Y10,0),IF(CM$4=EDATE('核心假设'!$B$5,13-1+'核心假设'!$B$31),SUM('融资租赁与资金缺口'!$M$5:$M$16)*$Z10,0),IF(CM$4=EDATE('核心假设'!$B$5,14-1+'核心假设'!$B$31),SUM('融资租赁与资金缺口'!$M$5:$M$16)*$AA10,0),IF(CM$4=EDATE('核心假设'!$B$5,15-1+'核心假设'!$B$31),SUM('融资租赁与资金缺口'!$M$5:$M$16)*$AB10,0),IF(CM$4=EDATE('核心假设'!$B$5,16-1+'核心假设'!$B$31),SUM('融资租赁与资金缺口'!$M$5:$M$16)*$AC10,0),IF(CM$4=EDATE('核心假设'!$B$5,17-1+'核心假设'!$B$31),SUM('融资租赁与资金缺口'!$M$5:$M$16)*$AD10,0))</x:f>
        <x:v>0</x:v>
      </x:c>
    </x:row>
    <x:row r="40">
      <x:c r="A40" s="13" t="str">
        <x:v>来源目录与范围口径</x:v>
      </x:c>
      <x:c r="B40" s="14" t="str">
        <x:v>来源目录与范围口径</x:v>
      </x:c>
      <x:c r="C40" s="14" t="str">
        <x:v>来源目录与范围口径</x:v>
      </x:c>
      <x:c r="D40" s="14" t="str">
        <x:v>来源目录与范围口径</x:v>
      </x:c>
      <x:c r="E40" s="14" t="str">
        <x:v>来源目录与范围口径</x:v>
      </x:c>
      <x:c r="F40" s="14" t="str">
        <x:v>来源目录与范围口径</x:v>
      </x:c>
      <x:c r="G40" s="14" t="str">
        <x:v>来源目录与范围口径</x:v>
      </x:c>
      <x:c r="H40" s="14" t="str">
        <x:v>来源目录与范围口径</x:v>
      </x:c>
      <x:c r="I40" s="15" t="str">
        <x:v>来源目录与范围口径</x:v>
      </x:c>
      <x:c r="AE40" t="str">
        <x:v>注资前累计现金</x:v>
      </x:c>
      <x:c r="AF40" s="28" t="n">
        <x:f>'核心假设'!$B$39+AF36-AF37+SUM(IF(AF$4=EDATE('核心假设'!$B$5,0+$F10),SUM('融资租赁与资金缺口'!$D$5:$D$16)*$M10*$C10,0),IF(AF$4=EDATE('核心假设'!$B$5,1+$F10),SUM('融资租赁与资金缺口'!$D$5:$D$16)*$N10*$C10,0),IF(AF$4=EDATE('核心假设'!$B$5,2+$F10),SUM('融资租赁与资金缺口'!$D$5:$D$16)*$O10*$C10,0),IF(AF$4=EDATE('核心假设'!$B$5,3+$F10),SUM('融资租赁与资金缺口'!$D$5:$D$16)*$P10*$C10,0),IF(AF$4=EDATE('核心假设'!$B$5,4+$F10),SUM('融资租赁与资金缺口'!$D$5:$D$16)*$Q10*$C10,0),IF(AF$4=EDATE('核心假设'!$B$5,5+$F10),SUM('融资租赁与资金缺口'!$D$5:$D$16)*$R10*$C10,0),IF(AF$4=EDATE('核心假设'!$B$5,6+$F10),SUM('融资租赁与资金缺口'!$D$5:$D$16)*$S10*$C10,0),IF(AF$4=EDATE('核心假设'!$B$5,7+$F10),SUM('融资租赁与资金缺口'!$D$5:$D$16)*$T10*$C10,0),IF(AF$4=EDATE('核心假设'!$B$5,8+$F10),SUM('融资租赁与资金缺口'!$D$5:$D$16)*$U10*$C10,0),IF(AF$4=EDATE('核心假设'!$B$5,9+$F10),SUM('融资租赁与资金缺口'!$D$5:$D$16)*$V10*$C10,0),IF(AF$4=EDATE('核心假设'!$B$5,10+$F10),SUM('融资租赁与资金缺口'!$D$5:$D$16)*$W10*$C10,0),IF(AF$4=EDATE('核心假设'!$B$5,11+$F10),SUM('融资租赁与资金缺口'!$D$5:$D$16)*$X10*$C10,0),IF(AF$4=EDATE('核心假设'!$B$5,12+$F10),SUM('融资租赁与资金缺口'!$D$5:$D$16)*$Y10*$C10,0),IF(AF$4=EDATE('核心假设'!$B$5,13+$F10),SUM('融资租赁与资金缺口'!$D$5:$D$16)*$Z10*$C10,0),IF(AF$4=EDATE('核心假设'!$B$5,14+$F10),SUM('融资租赁与资金缺口'!$D$5:$D$16)*$AA10*$C10,0),IF(AF$4=EDATE('核心假设'!$B$5,15+$F10),SUM('融资租赁与资金缺口'!$D$5:$D$16)*$AB10*$C10,0),IF(AF$4=EDATE('核心假设'!$B$5,16+$F10),SUM('融资租赁与资金缺口'!$D$5:$D$16)*$AC10*$C10,0),IF(AF$4=EDATE('核心假设'!$B$5,17+$F10),SUM('融资租赁与资金缺口'!$D$5:$D$16)*$AD10*$C10,0))-AF39</x:f>
        <x:v>268360.57217321795</x:v>
      </x:c>
      <x:c r="AG40" s="28" t="n">
        <x:f>AF40+AG36-AG37+SUM(IF(AG$4=EDATE('核心假设'!$B$5,0+$F10),SUM('融资租赁与资金缺口'!$D$5:$D$16)*$M10*$C10,0),IF(AG$4=EDATE('核心假设'!$B$5,1+$F10),SUM('融资租赁与资金缺口'!$D$5:$D$16)*$N10*$C10,0),IF(AG$4=EDATE('核心假设'!$B$5,2+$F10),SUM('融资租赁与资金缺口'!$D$5:$D$16)*$O10*$C10,0),IF(AG$4=EDATE('核心假设'!$B$5,3+$F10),SUM('融资租赁与资金缺口'!$D$5:$D$16)*$P10*$C10,0),IF(AG$4=EDATE('核心假设'!$B$5,4+$F10),SUM('融资租赁与资金缺口'!$D$5:$D$16)*$Q10*$C10,0),IF(AG$4=EDATE('核心假设'!$B$5,5+$F10),SUM('融资租赁与资金缺口'!$D$5:$D$16)*$R10*$C10,0),IF(AG$4=EDATE('核心假设'!$B$5,6+$F10),SUM('融资租赁与资金缺口'!$D$5:$D$16)*$S10*$C10,0),IF(AG$4=EDATE('核心假设'!$B$5,7+$F10),SUM('融资租赁与资金缺口'!$D$5:$D$16)*$T10*$C10,0),IF(AG$4=EDATE('核心假设'!$B$5,8+$F10),SUM('融资租赁与资金缺口'!$D$5:$D$16)*$U10*$C10,0),IF(AG$4=EDATE('核心假设'!$B$5,9+$F10),SUM('融资租赁与资金缺口'!$D$5:$D$16)*$V10*$C10,0),IF(AG$4=EDATE('核心假设'!$B$5,10+$F10),SUM('融资租赁与资金缺口'!$D$5:$D$16)*$W10*$C10,0),IF(AG$4=EDATE('核心假设'!$B$5,11+$F10),SUM('融资租赁与资金缺口'!$D$5:$D$16)*$X10*$C10,0),IF(AG$4=EDATE('核心假设'!$B$5,12+$F10),SUM('融资租赁与资金缺口'!$D$5:$D$16)*$Y10*$C10,0),IF(AG$4=EDATE('核心假设'!$B$5,13+$F10),SUM('融资租赁与资金缺口'!$D$5:$D$16)*$Z10*$C10,0),IF(AG$4=EDATE('核心假设'!$B$5,14+$F10),SUM('融资租赁与资金缺口'!$D$5:$D$16)*$AA10*$C10,0),IF(AG$4=EDATE('核心假设'!$B$5,15+$F10),SUM('融资租赁与资金缺口'!$D$5:$D$16)*$AB10*$C10,0),IF(AG$4=EDATE('核心假设'!$B$5,16+$F10),SUM('融资租赁与资金缺口'!$D$5:$D$16)*$AC10*$C10,0),IF(AG$4=EDATE('核心假设'!$B$5,17+$F10),SUM('融资租赁与资金缺口'!$D$5:$D$16)*$AD10*$C10,0))-AG39</x:f>
        <x:v>-18265976.9601483</x:v>
      </x:c>
      <x:c r="AH40" s="28" t="n">
        <x:f>AG40+AH36-AH37+SUM(IF(AH$4=EDATE('核心假设'!$B$5,0+$F10),SUM('融资租赁与资金缺口'!$D$5:$D$16)*$M10*$C10,0),IF(AH$4=EDATE('核心假设'!$B$5,1+$F10),SUM('融资租赁与资金缺口'!$D$5:$D$16)*$N10*$C10,0),IF(AH$4=EDATE('核心假设'!$B$5,2+$F10),SUM('融资租赁与资金缺口'!$D$5:$D$16)*$O10*$C10,0),IF(AH$4=EDATE('核心假设'!$B$5,3+$F10),SUM('融资租赁与资金缺口'!$D$5:$D$16)*$P10*$C10,0),IF(AH$4=EDATE('核心假设'!$B$5,4+$F10),SUM('融资租赁与资金缺口'!$D$5:$D$16)*$Q10*$C10,0),IF(AH$4=EDATE('核心假设'!$B$5,5+$F10),SUM('融资租赁与资金缺口'!$D$5:$D$16)*$R10*$C10,0),IF(AH$4=EDATE('核心假设'!$B$5,6+$F10),SUM('融资租赁与资金缺口'!$D$5:$D$16)*$S10*$C10,0),IF(AH$4=EDATE('核心假设'!$B$5,7+$F10),SUM('融资租赁与资金缺口'!$D$5:$D$16)*$T10*$C10,0),IF(AH$4=EDATE('核心假设'!$B$5,8+$F10),SUM('融资租赁与资金缺口'!$D$5:$D$16)*$U10*$C10,0),IF(AH$4=EDATE('核心假设'!$B$5,9+$F10),SUM('融资租赁与资金缺口'!$D$5:$D$16)*$V10*$C10,0),IF(AH$4=EDATE('核心假设'!$B$5,10+$F10),SUM('融资租赁与资金缺口'!$D$5:$D$16)*$W10*$C10,0),IF(AH$4=EDATE('核心假设'!$B$5,11+$F10),SUM('融资租赁与资金缺口'!$D$5:$D$16)*$X10*$C10,0),IF(AH$4=EDATE('核心假设'!$B$5,12+$F10),SUM('融资租赁与资金缺口'!$D$5:$D$16)*$Y10*$C10,0),IF(AH$4=EDATE('核心假设'!$B$5,13+$F10),SUM('融资租赁与资金缺口'!$D$5:$D$16)*$Z10*$C10,0),IF(AH$4=EDATE('核心假设'!$B$5,14+$F10),SUM('融资租赁与资金缺口'!$D$5:$D$16)*$AA10*$C10,0),IF(AH$4=EDATE('核心假设'!$B$5,15+$F10),SUM('融资租赁与资金缺口'!$D$5:$D$16)*$AB10*$C10,0),IF(AH$4=EDATE('核心假设'!$B$5,16+$F10),SUM('融资租赁与资金缺口'!$D$5:$D$16)*$AC10*$C10,0),IF(AH$4=EDATE('核心假设'!$B$5,17+$F10),SUM('融资租赁与资金缺口'!$D$5:$D$16)*$AD10*$C10,0))-AH39</x:f>
        <x:v>-29662121.346567508</x:v>
      </x:c>
      <x:c r="AI40" s="28" t="n">
        <x:f>AH40+AI36-AI37+SUM(IF(AI$4=EDATE('核心假设'!$B$5,0+$F10),SUM('融资租赁与资金缺口'!$D$5:$D$16)*$M10*$C10,0),IF(AI$4=EDATE('核心假设'!$B$5,1+$F10),SUM('融资租赁与资金缺口'!$D$5:$D$16)*$N10*$C10,0),IF(AI$4=EDATE('核心假设'!$B$5,2+$F10),SUM('融资租赁与资金缺口'!$D$5:$D$16)*$O10*$C10,0),IF(AI$4=EDATE('核心假设'!$B$5,3+$F10),SUM('融资租赁与资金缺口'!$D$5:$D$16)*$P10*$C10,0),IF(AI$4=EDATE('核心假设'!$B$5,4+$F10),SUM('融资租赁与资金缺口'!$D$5:$D$16)*$Q10*$C10,0),IF(AI$4=EDATE('核心假设'!$B$5,5+$F10),SUM('融资租赁与资金缺口'!$D$5:$D$16)*$R10*$C10,0),IF(AI$4=EDATE('核心假设'!$B$5,6+$F10),SUM('融资租赁与资金缺口'!$D$5:$D$16)*$S10*$C10,0),IF(AI$4=EDATE('核心假设'!$B$5,7+$F10),SUM('融资租赁与资金缺口'!$D$5:$D$16)*$T10*$C10,0),IF(AI$4=EDATE('核心假设'!$B$5,8+$F10),SUM('融资租赁与资金缺口'!$D$5:$D$16)*$U10*$C10,0),IF(AI$4=EDATE('核心假设'!$B$5,9+$F10),SUM('融资租赁与资金缺口'!$D$5:$D$16)*$V10*$C10,0),IF(AI$4=EDATE('核心假设'!$B$5,10+$F10),SUM('融资租赁与资金缺口'!$D$5:$D$16)*$W10*$C10,0),IF(AI$4=EDATE('核心假设'!$B$5,11+$F10),SUM('融资租赁与资金缺口'!$D$5:$D$16)*$X10*$C10,0),IF(AI$4=EDATE('核心假设'!$B$5,12+$F10),SUM('融资租赁与资金缺口'!$D$5:$D$16)*$Y10*$C10,0),IF(AI$4=EDATE('核心假设'!$B$5,13+$F10),SUM('融资租赁与资金缺口'!$D$5:$D$16)*$Z10*$C10,0),IF(AI$4=EDATE('核心假设'!$B$5,14+$F10),SUM('融资租赁与资金缺口'!$D$5:$D$16)*$AA10*$C10,0),IF(AI$4=EDATE('核心假设'!$B$5,15+$F10),SUM('融资租赁与资金缺口'!$D$5:$D$16)*$AB10*$C10,0),IF(AI$4=EDATE('核心假设'!$B$5,16+$F10),SUM('融资租赁与资金缺口'!$D$5:$D$16)*$AC10*$C10,0),IF(AI$4=EDATE('核心假设'!$B$5,17+$F10),SUM('融资租赁与资金缺口'!$D$5:$D$16)*$AD10*$C10,0))-AI39</x:f>
        <x:v>-36314488.424842544</x:v>
      </x:c>
      <x:c r="AJ40" s="28" t="n">
        <x:f>AI40+AJ36-AJ37+SUM(IF(AJ$4=EDATE('核心假设'!$B$5,0+$F10),SUM('融资租赁与资金缺口'!$D$5:$D$16)*$M10*$C10,0),IF(AJ$4=EDATE('核心假设'!$B$5,1+$F10),SUM('融资租赁与资金缺口'!$D$5:$D$16)*$N10*$C10,0),IF(AJ$4=EDATE('核心假设'!$B$5,2+$F10),SUM('融资租赁与资金缺口'!$D$5:$D$16)*$O10*$C10,0),IF(AJ$4=EDATE('核心假设'!$B$5,3+$F10),SUM('融资租赁与资金缺口'!$D$5:$D$16)*$P10*$C10,0),IF(AJ$4=EDATE('核心假设'!$B$5,4+$F10),SUM('融资租赁与资金缺口'!$D$5:$D$16)*$Q10*$C10,0),IF(AJ$4=EDATE('核心假设'!$B$5,5+$F10),SUM('融资租赁与资金缺口'!$D$5:$D$16)*$R10*$C10,0),IF(AJ$4=EDATE('核心假设'!$B$5,6+$F10),SUM('融资租赁与资金缺口'!$D$5:$D$16)*$S10*$C10,0),IF(AJ$4=EDATE('核心假设'!$B$5,7+$F10),SUM('融资租赁与资金缺口'!$D$5:$D$16)*$T10*$C10,0),IF(AJ$4=EDATE('核心假设'!$B$5,8+$F10),SUM('融资租赁与资金缺口'!$D$5:$D$16)*$U10*$C10,0),IF(AJ$4=EDATE('核心假设'!$B$5,9+$F10),SUM('融资租赁与资金缺口'!$D$5:$D$16)*$V10*$C10,0),IF(AJ$4=EDATE('核心假设'!$B$5,10+$F10),SUM('融资租赁与资金缺口'!$D$5:$D$16)*$W10*$C10,0),IF(AJ$4=EDATE('核心假设'!$B$5,11+$F10),SUM('融资租赁与资金缺口'!$D$5:$D$16)*$X10*$C10,0),IF(AJ$4=EDATE('核心假设'!$B$5,12+$F10),SUM('融资租赁与资金缺口'!$D$5:$D$16)*$Y10*$C10,0),IF(AJ$4=EDATE('核心假设'!$B$5,13+$F10),SUM('融资租赁与资金缺口'!$D$5:$D$16)*$Z10*$C10,0),IF(AJ$4=EDATE('核心假设'!$B$5,14+$F10),SUM('融资租赁与资金缺口'!$D$5:$D$16)*$AA10*$C10,0),IF(AJ$4=EDATE('核心假设'!$B$5,15+$F10),SUM('融资租赁与资金缺口'!$D$5:$D$16)*$AB10*$C10,0),IF(AJ$4=EDATE('核心假设'!$B$5,16+$F10),SUM('融资租赁与资金缺口'!$D$5:$D$16)*$AC10*$C10,0),IF(AJ$4=EDATE('核心假设'!$B$5,17+$F10),SUM('融资租赁与资金缺口'!$D$5:$D$16)*$AD10*$C10,0))-AJ39</x:f>
        <x:v>-49415548.31880764</x:v>
      </x:c>
      <x:c r="AK40" s="28" t="n">
        <x:f>AJ40+AK36-AK37+SUM(IF(AK$4=EDATE('核心假设'!$B$5,0+$F10),SUM('融资租赁与资金缺口'!$D$5:$D$16)*$M10*$C10,0),IF(AK$4=EDATE('核心假设'!$B$5,1+$F10),SUM('融资租赁与资金缺口'!$D$5:$D$16)*$N10*$C10,0),IF(AK$4=EDATE('核心假设'!$B$5,2+$F10),SUM('融资租赁与资金缺口'!$D$5:$D$16)*$O10*$C10,0),IF(AK$4=EDATE('核心假设'!$B$5,3+$F10),SUM('融资租赁与资金缺口'!$D$5:$D$16)*$P10*$C10,0),IF(AK$4=EDATE('核心假设'!$B$5,4+$F10),SUM('融资租赁与资金缺口'!$D$5:$D$16)*$Q10*$C10,0),IF(AK$4=EDATE('核心假设'!$B$5,5+$F10),SUM('融资租赁与资金缺口'!$D$5:$D$16)*$R10*$C10,0),IF(AK$4=EDATE('核心假设'!$B$5,6+$F10),SUM('融资租赁与资金缺口'!$D$5:$D$16)*$S10*$C10,0),IF(AK$4=EDATE('核心假设'!$B$5,7+$F10),SUM('融资租赁与资金缺口'!$D$5:$D$16)*$T10*$C10,0),IF(AK$4=EDATE('核心假设'!$B$5,8+$F10),SUM('融资租赁与资金缺口'!$D$5:$D$16)*$U10*$C10,0),IF(AK$4=EDATE('核心假设'!$B$5,9+$F10),SUM('融资租赁与资金缺口'!$D$5:$D$16)*$V10*$C10,0),IF(AK$4=EDATE('核心假设'!$B$5,10+$F10),SUM('融资租赁与资金缺口'!$D$5:$D$16)*$W10*$C10,0),IF(AK$4=EDATE('核心假设'!$B$5,11+$F10),SUM('融资租赁与资金缺口'!$D$5:$D$16)*$X10*$C10,0),IF(AK$4=EDATE('核心假设'!$B$5,12+$F10),SUM('融资租赁与资金缺口'!$D$5:$D$16)*$Y10*$C10,0),IF(AK$4=EDATE('核心假设'!$B$5,13+$F10),SUM('融资租赁与资金缺口'!$D$5:$D$16)*$Z10*$C10,0),IF(AK$4=EDATE('核心假设'!$B$5,14+$F10),SUM('融资租赁与资金缺口'!$D$5:$D$16)*$AA10*$C10,0),IF(AK$4=EDATE('核心假设'!$B$5,15+$F10),SUM('融资租赁与资金缺口'!$D$5:$D$16)*$AB10*$C10,0),IF(AK$4=EDATE('核心假设'!$B$5,16+$F10),SUM('融资租赁与资金缺口'!$D$5:$D$16)*$AC10*$C10,0),IF(AK$4=EDATE('核心假设'!$B$5,17+$F10),SUM('融资租赁与资金缺口'!$D$5:$D$16)*$AD10*$C10,0))-AK39</x:f>
        <x:v>-58518905.873086296</x:v>
      </x:c>
      <x:c r="AL40" s="28" t="n">
        <x:f>AK40+AL36-AL37+SUM(IF(AL$4=EDATE('核心假设'!$B$5,0+$F10),SUM('融资租赁与资金缺口'!$D$5:$D$16)*$M10*$C10,0),IF(AL$4=EDATE('核心假设'!$B$5,1+$F10),SUM('融资租赁与资金缺口'!$D$5:$D$16)*$N10*$C10,0),IF(AL$4=EDATE('核心假设'!$B$5,2+$F10),SUM('融资租赁与资金缺口'!$D$5:$D$16)*$O10*$C10,0),IF(AL$4=EDATE('核心假设'!$B$5,3+$F10),SUM('融资租赁与资金缺口'!$D$5:$D$16)*$P10*$C10,0),IF(AL$4=EDATE('核心假设'!$B$5,4+$F10),SUM('融资租赁与资金缺口'!$D$5:$D$16)*$Q10*$C10,0),IF(AL$4=EDATE('核心假设'!$B$5,5+$F10),SUM('融资租赁与资金缺口'!$D$5:$D$16)*$R10*$C10,0),IF(AL$4=EDATE('核心假设'!$B$5,6+$F10),SUM('融资租赁与资金缺口'!$D$5:$D$16)*$S10*$C10,0),IF(AL$4=EDATE('核心假设'!$B$5,7+$F10),SUM('融资租赁与资金缺口'!$D$5:$D$16)*$T10*$C10,0),IF(AL$4=EDATE('核心假设'!$B$5,8+$F10),SUM('融资租赁与资金缺口'!$D$5:$D$16)*$U10*$C10,0),IF(AL$4=EDATE('核心假设'!$B$5,9+$F10),SUM('融资租赁与资金缺口'!$D$5:$D$16)*$V10*$C10,0),IF(AL$4=EDATE('核心假设'!$B$5,10+$F10),SUM('融资租赁与资金缺口'!$D$5:$D$16)*$W10*$C10,0),IF(AL$4=EDATE('核心假设'!$B$5,11+$F10),SUM('融资租赁与资金缺口'!$D$5:$D$16)*$X10*$C10,0),IF(AL$4=EDATE('核心假设'!$B$5,12+$F10),SUM('融资租赁与资金缺口'!$D$5:$D$16)*$Y10*$C10,0),IF(AL$4=EDATE('核心假设'!$B$5,13+$F10),SUM('融资租赁与资金缺口'!$D$5:$D$16)*$Z10*$C10,0),IF(AL$4=EDATE('核心假设'!$B$5,14+$F10),SUM('融资租赁与资金缺口'!$D$5:$D$16)*$AA10*$C10,0),IF(AL$4=EDATE('核心假设'!$B$5,15+$F10),SUM('融资租赁与资金缺口'!$D$5:$D$16)*$AB10*$C10,0),IF(AL$4=EDATE('核心假设'!$B$5,16+$F10),SUM('融资租赁与资金缺口'!$D$5:$D$16)*$AC10*$C10,0),IF(AL$4=EDATE('核心假设'!$B$5,17+$F10),SUM('融资租赁与资金缺口'!$D$5:$D$16)*$AD10*$C10,0))-AL39</x:f>
        <x:v>-73841694.98598534</x:v>
      </x:c>
      <x:c r="AM40" s="28" t="n">
        <x:f>AL40+AM36-AM37+SUM(IF(AM$4=EDATE('核心假设'!$B$5,0+$F10),SUM('融资租赁与资金缺口'!$D$5:$D$16)*$M10*$C10,0),IF(AM$4=EDATE('核心假设'!$B$5,1+$F10),SUM('融资租赁与资金缺口'!$D$5:$D$16)*$N10*$C10,0),IF(AM$4=EDATE('核心假设'!$B$5,2+$F10),SUM('融资租赁与资金缺口'!$D$5:$D$16)*$O10*$C10,0),IF(AM$4=EDATE('核心假设'!$B$5,3+$F10),SUM('融资租赁与资金缺口'!$D$5:$D$16)*$P10*$C10,0),IF(AM$4=EDATE('核心假设'!$B$5,4+$F10),SUM('融资租赁与资金缺口'!$D$5:$D$16)*$Q10*$C10,0),IF(AM$4=EDATE('核心假设'!$B$5,5+$F10),SUM('融资租赁与资金缺口'!$D$5:$D$16)*$R10*$C10,0),IF(AM$4=EDATE('核心假设'!$B$5,6+$F10),SUM('融资租赁与资金缺口'!$D$5:$D$16)*$S10*$C10,0),IF(AM$4=EDATE('核心假设'!$B$5,7+$F10),SUM('融资租赁与资金缺口'!$D$5:$D$16)*$T10*$C10,0),IF(AM$4=EDATE('核心假设'!$B$5,8+$F10),SUM('融资租赁与资金缺口'!$D$5:$D$16)*$U10*$C10,0),IF(AM$4=EDATE('核心假设'!$B$5,9+$F10),SUM('融资租赁与资金缺口'!$D$5:$D$16)*$V10*$C10,0),IF(AM$4=EDATE('核心假设'!$B$5,10+$F10),SUM('融资租赁与资金缺口'!$D$5:$D$16)*$W10*$C10,0),IF(AM$4=EDATE('核心假设'!$B$5,11+$F10),SUM('融资租赁与资金缺口'!$D$5:$D$16)*$X10*$C10,0),IF(AM$4=EDATE('核心假设'!$B$5,12+$F10),SUM('融资租赁与资金缺口'!$D$5:$D$16)*$Y10*$C10,0),IF(AM$4=EDATE('核心假设'!$B$5,13+$F10),SUM('融资租赁与资金缺口'!$D$5:$D$16)*$Z10*$C10,0),IF(AM$4=EDATE('核心假设'!$B$5,14+$F10),SUM('融资租赁与资金缺口'!$D$5:$D$16)*$AA10*$C10,0),IF(AM$4=EDATE('核心假设'!$B$5,15+$F10),SUM('融资租赁与资金缺口'!$D$5:$D$16)*$AB10*$C10,0),IF(AM$4=EDATE('核心假设'!$B$5,16+$F10),SUM('融资租赁与资金缺口'!$D$5:$D$16)*$AC10*$C10,0),IF(AM$4=EDATE('核心假设'!$B$5,17+$F10),SUM('融资租赁与资金缺口'!$D$5:$D$16)*$AD10*$C10,0))-AM39</x:f>
        <x:v>-84628519.30464713</x:v>
      </x:c>
      <x:c r="AN40" s="28" t="n">
        <x:f>AM40+AN36-AN37+SUM(IF(AN$4=EDATE('核心假设'!$B$5,0+$F10),SUM('融资租赁与资金缺口'!$D$5:$D$16)*$M10*$C10,0),IF(AN$4=EDATE('核心假设'!$B$5,1+$F10),SUM('融资租赁与资金缺口'!$D$5:$D$16)*$N10*$C10,0),IF(AN$4=EDATE('核心假设'!$B$5,2+$F10),SUM('融资租赁与资金缺口'!$D$5:$D$16)*$O10*$C10,0),IF(AN$4=EDATE('核心假设'!$B$5,3+$F10),SUM('融资租赁与资金缺口'!$D$5:$D$16)*$P10*$C10,0),IF(AN$4=EDATE('核心假设'!$B$5,4+$F10),SUM('融资租赁与资金缺口'!$D$5:$D$16)*$Q10*$C10,0),IF(AN$4=EDATE('核心假设'!$B$5,5+$F10),SUM('融资租赁与资金缺口'!$D$5:$D$16)*$R10*$C10,0),IF(AN$4=EDATE('核心假设'!$B$5,6+$F10),SUM('融资租赁与资金缺口'!$D$5:$D$16)*$S10*$C10,0),IF(AN$4=EDATE('核心假设'!$B$5,7+$F10),SUM('融资租赁与资金缺口'!$D$5:$D$16)*$T10*$C10,0),IF(AN$4=EDATE('核心假设'!$B$5,8+$F10),SUM('融资租赁与资金缺口'!$D$5:$D$16)*$U10*$C10,0),IF(AN$4=EDATE('核心假设'!$B$5,9+$F10),SUM('融资租赁与资金缺口'!$D$5:$D$16)*$V10*$C10,0),IF(AN$4=EDATE('核心假设'!$B$5,10+$F10),SUM('融资租赁与资金缺口'!$D$5:$D$16)*$W10*$C10,0),IF(AN$4=EDATE('核心假设'!$B$5,11+$F10),SUM('融资租赁与资金缺口'!$D$5:$D$16)*$X10*$C10,0),IF(AN$4=EDATE('核心假设'!$B$5,12+$F10),SUM('融资租赁与资金缺口'!$D$5:$D$16)*$Y10*$C10,0),IF(AN$4=EDATE('核心假设'!$B$5,13+$F10),SUM('融资租赁与资金缺口'!$D$5:$D$16)*$Z10*$C10,0),IF(AN$4=EDATE('核心假设'!$B$5,14+$F10),SUM('融资租赁与资金缺口'!$D$5:$D$16)*$AA10*$C10,0),IF(AN$4=EDATE('核心假设'!$B$5,15+$F10),SUM('融资租赁与资金缺口'!$D$5:$D$16)*$AB10*$C10,0),IF(AN$4=EDATE('核心假设'!$B$5,16+$F10),SUM('融资租赁与资金缺口'!$D$5:$D$16)*$AC10*$C10,0),IF(AN$4=EDATE('核心假设'!$B$5,17+$F10),SUM('融资租赁与资金缺口'!$D$5:$D$16)*$AD10*$C10,0))-AN39</x:f>
        <x:v>-101640646.75356632</x:v>
      </x:c>
      <x:c r="AO40" s="28" t="n">
        <x:f>AN40+AO36-AO37+SUM(IF(AO$4=EDATE('核心假设'!$B$5,0+$F10),SUM('融资租赁与资金缺口'!$D$5:$D$16)*$M10*$C10,0),IF(AO$4=EDATE('核心假设'!$B$5,1+$F10),SUM('融资租赁与资金缺口'!$D$5:$D$16)*$N10*$C10,0),IF(AO$4=EDATE('核心假设'!$B$5,2+$F10),SUM('融资租赁与资金缺口'!$D$5:$D$16)*$O10*$C10,0),IF(AO$4=EDATE('核心假设'!$B$5,3+$F10),SUM('融资租赁与资金缺口'!$D$5:$D$16)*$P10*$C10,0),IF(AO$4=EDATE('核心假设'!$B$5,4+$F10),SUM('融资租赁与资金缺口'!$D$5:$D$16)*$Q10*$C10,0),IF(AO$4=EDATE('核心假设'!$B$5,5+$F10),SUM('融资租赁与资金缺口'!$D$5:$D$16)*$R10*$C10,0),IF(AO$4=EDATE('核心假设'!$B$5,6+$F10),SUM('融资租赁与资金缺口'!$D$5:$D$16)*$S10*$C10,0),IF(AO$4=EDATE('核心假设'!$B$5,7+$F10),SUM('融资租赁与资金缺口'!$D$5:$D$16)*$T10*$C10,0),IF(AO$4=EDATE('核心假设'!$B$5,8+$F10),SUM('融资租赁与资金缺口'!$D$5:$D$16)*$U10*$C10,0),IF(AO$4=EDATE('核心假设'!$B$5,9+$F10),SUM('融资租赁与资金缺口'!$D$5:$D$16)*$V10*$C10,0),IF(AO$4=EDATE('核心假设'!$B$5,10+$F10),SUM('融资租赁与资金缺口'!$D$5:$D$16)*$W10*$C10,0),IF(AO$4=EDATE('核心假设'!$B$5,11+$F10),SUM('融资租赁与资金缺口'!$D$5:$D$16)*$X10*$C10,0),IF(AO$4=EDATE('核心假设'!$B$5,12+$F10),SUM('融资租赁与资金缺口'!$D$5:$D$16)*$Y10*$C10,0),IF(AO$4=EDATE('核心假设'!$B$5,13+$F10),SUM('融资租赁与资金缺口'!$D$5:$D$16)*$Z10*$C10,0),IF(AO$4=EDATE('核心假设'!$B$5,14+$F10),SUM('融资租赁与资金缺口'!$D$5:$D$16)*$AA10*$C10,0),IF(AO$4=EDATE('核心假设'!$B$5,15+$F10),SUM('融资租赁与资金缺口'!$D$5:$D$16)*$AB10*$C10,0),IF(AO$4=EDATE('核心假设'!$B$5,16+$F10),SUM('融资租赁与资金缺口'!$D$5:$D$16)*$AC10*$C10,0),IF(AO$4=EDATE('核心假设'!$B$5,17+$F10),SUM('融资租赁与资金缺口'!$D$5:$D$16)*$AD10*$C10,0))-AO39</x:f>
        <x:v>-113743068.96416074</x:v>
      </x:c>
      <x:c r="AP40" s="28" t="n">
        <x:f>AO40+AP36-AP37+SUM(IF(AP$4=EDATE('核心假设'!$B$5,0+$F10),SUM('融资租赁与资金缺口'!$D$5:$D$16)*$M10*$C10,0),IF(AP$4=EDATE('核心假设'!$B$5,1+$F10),SUM('融资租赁与资金缺口'!$D$5:$D$16)*$N10*$C10,0),IF(AP$4=EDATE('核心假设'!$B$5,2+$F10),SUM('融资租赁与资金缺口'!$D$5:$D$16)*$O10*$C10,0),IF(AP$4=EDATE('核心假设'!$B$5,3+$F10),SUM('融资租赁与资金缺口'!$D$5:$D$16)*$P10*$C10,0),IF(AP$4=EDATE('核心假设'!$B$5,4+$F10),SUM('融资租赁与资金缺口'!$D$5:$D$16)*$Q10*$C10,0),IF(AP$4=EDATE('核心假设'!$B$5,5+$F10),SUM('融资租赁与资金缺口'!$D$5:$D$16)*$R10*$C10,0),IF(AP$4=EDATE('核心假设'!$B$5,6+$F10),SUM('融资租赁与资金缺口'!$D$5:$D$16)*$S10*$C10,0),IF(AP$4=EDATE('核心假设'!$B$5,7+$F10),SUM('融资租赁与资金缺口'!$D$5:$D$16)*$T10*$C10,0),IF(AP$4=EDATE('核心假设'!$B$5,8+$F10),SUM('融资租赁与资金缺口'!$D$5:$D$16)*$U10*$C10,0),IF(AP$4=EDATE('核心假设'!$B$5,9+$F10),SUM('融资租赁与资金缺口'!$D$5:$D$16)*$V10*$C10,0),IF(AP$4=EDATE('核心假设'!$B$5,10+$F10),SUM('融资租赁与资金缺口'!$D$5:$D$16)*$W10*$C10,0),IF(AP$4=EDATE('核心假设'!$B$5,11+$F10),SUM('融资租赁与资金缺口'!$D$5:$D$16)*$X10*$C10,0),IF(AP$4=EDATE('核心假设'!$B$5,12+$F10),SUM('融资租赁与资金缺口'!$D$5:$D$16)*$Y10*$C10,0),IF(AP$4=EDATE('核心假设'!$B$5,13+$F10),SUM('融资租赁与资金缺口'!$D$5:$D$16)*$Z10*$C10,0),IF(AP$4=EDATE('核心假设'!$B$5,14+$F10),SUM('融资租赁与资金缺口'!$D$5:$D$16)*$AA10*$C10,0),IF(AP$4=EDATE('核心假设'!$B$5,15+$F10),SUM('融资租赁与资金缺口'!$D$5:$D$16)*$AB10*$C10,0),IF(AP$4=EDATE('核心假设'!$B$5,16+$F10),SUM('融资租赁与资金缺口'!$D$5:$D$16)*$AC10*$C10,0),IF(AP$4=EDATE('核心假设'!$B$5,17+$F10),SUM('融资租赁与资金缺口'!$D$5:$D$16)*$AD10*$C10,0))-AP39</x:f>
        <x:v>-125262433.69611296</x:v>
      </x:c>
      <x:c r="AQ40" s="28" t="n">
        <x:f>AP40+AQ36-AQ37+SUM(IF(AQ$4=EDATE('核心假设'!$B$5,0+$F10),SUM('融资租赁与资金缺口'!$D$5:$D$16)*$M10*$C10,0),IF(AQ$4=EDATE('核心假设'!$B$5,1+$F10),SUM('融资租赁与资金缺口'!$D$5:$D$16)*$N10*$C10,0),IF(AQ$4=EDATE('核心假设'!$B$5,2+$F10),SUM('融资租赁与资金缺口'!$D$5:$D$16)*$O10*$C10,0),IF(AQ$4=EDATE('核心假设'!$B$5,3+$F10),SUM('融资租赁与资金缺口'!$D$5:$D$16)*$P10*$C10,0),IF(AQ$4=EDATE('核心假设'!$B$5,4+$F10),SUM('融资租赁与资金缺口'!$D$5:$D$16)*$Q10*$C10,0),IF(AQ$4=EDATE('核心假设'!$B$5,5+$F10),SUM('融资租赁与资金缺口'!$D$5:$D$16)*$R10*$C10,0),IF(AQ$4=EDATE('核心假设'!$B$5,6+$F10),SUM('融资租赁与资金缺口'!$D$5:$D$16)*$S10*$C10,0),IF(AQ$4=EDATE('核心假设'!$B$5,7+$F10),SUM('融资租赁与资金缺口'!$D$5:$D$16)*$T10*$C10,0),IF(AQ$4=EDATE('核心假设'!$B$5,8+$F10),SUM('融资租赁与资金缺口'!$D$5:$D$16)*$U10*$C10,0),IF(AQ$4=EDATE('核心假设'!$B$5,9+$F10),SUM('融资租赁与资金缺口'!$D$5:$D$16)*$V10*$C10,0),IF(AQ$4=EDATE('核心假设'!$B$5,10+$F10),SUM('融资租赁与资金缺口'!$D$5:$D$16)*$W10*$C10,0),IF(AQ$4=EDATE('核心假设'!$B$5,11+$F10),SUM('融资租赁与资金缺口'!$D$5:$D$16)*$X10*$C10,0),IF(AQ$4=EDATE('核心假设'!$B$5,12+$F10),SUM('融资租赁与资金缺口'!$D$5:$D$16)*$Y10*$C10,0),IF(AQ$4=EDATE('核心假设'!$B$5,13+$F10),SUM('融资租赁与资金缺口'!$D$5:$D$16)*$Z10*$C10,0),IF(AQ$4=EDATE('核心假设'!$B$5,14+$F10),SUM('融资租赁与资金缺口'!$D$5:$D$16)*$AA10*$C10,0),IF(AQ$4=EDATE('核心假设'!$B$5,15+$F10),SUM('融资租赁与资金缺口'!$D$5:$D$16)*$AB10*$C10,0),IF(AQ$4=EDATE('核心假设'!$B$5,16+$F10),SUM('融资租赁与资金缺口'!$D$5:$D$16)*$AC10*$C10,0),IF(AQ$4=EDATE('核心假设'!$B$5,17+$F10),SUM('融资租赁与资金缺口'!$D$5:$D$16)*$AD10*$C10,0))-AQ39</x:f>
        <x:v>-136347560.28794512</x:v>
      </x:c>
      <x:c r="AR40" s="28" t="n">
        <x:f>AQ40+AR36-AR37+SUM(IF(AR$4=EDATE('核心假设'!$B$5,0+$F10),SUM('融资租赁与资金缺口'!$D$5:$D$16)*$M10*$C10,0),IF(AR$4=EDATE('核心假设'!$B$5,1+$F10),SUM('融资租赁与资金缺口'!$D$5:$D$16)*$N10*$C10,0),IF(AR$4=EDATE('核心假设'!$B$5,2+$F10),SUM('融资租赁与资金缺口'!$D$5:$D$16)*$O10*$C10,0),IF(AR$4=EDATE('核心假设'!$B$5,3+$F10),SUM('融资租赁与资金缺口'!$D$5:$D$16)*$P10*$C10,0),IF(AR$4=EDATE('核心假设'!$B$5,4+$F10),SUM('融资租赁与资金缺口'!$D$5:$D$16)*$Q10*$C10,0),IF(AR$4=EDATE('核心假设'!$B$5,5+$F10),SUM('融资租赁与资金缺口'!$D$5:$D$16)*$R10*$C10,0),IF(AR$4=EDATE('核心假设'!$B$5,6+$F10),SUM('融资租赁与资金缺口'!$D$5:$D$16)*$S10*$C10,0),IF(AR$4=EDATE('核心假设'!$B$5,7+$F10),SUM('融资租赁与资金缺口'!$D$5:$D$16)*$T10*$C10,0),IF(AR$4=EDATE('核心假设'!$B$5,8+$F10),SUM('融资租赁与资金缺口'!$D$5:$D$16)*$U10*$C10,0),IF(AR$4=EDATE('核心假设'!$B$5,9+$F10),SUM('融资租赁与资金缺口'!$D$5:$D$16)*$V10*$C10,0),IF(AR$4=EDATE('核心假设'!$B$5,10+$F10),SUM('融资租赁与资金缺口'!$D$5:$D$16)*$W10*$C10,0),IF(AR$4=EDATE('核心假设'!$B$5,11+$F10),SUM('融资租赁与资金缺口'!$D$5:$D$16)*$X10*$C10,0),IF(AR$4=EDATE('核心假设'!$B$5,12+$F10),SUM('融资租赁与资金缺口'!$D$5:$D$16)*$Y10*$C10,0),IF(AR$4=EDATE('核心假设'!$B$5,13+$F10),SUM('融资租赁与资金缺口'!$D$5:$D$16)*$Z10*$C10,0),IF(AR$4=EDATE('核心假设'!$B$5,14+$F10),SUM('融资租赁与资金缺口'!$D$5:$D$16)*$AA10*$C10,0),IF(AR$4=EDATE('核心假设'!$B$5,15+$F10),SUM('融资租赁与资金缺口'!$D$5:$D$16)*$AB10*$C10,0),IF(AR$4=EDATE('核心假设'!$B$5,16+$F10),SUM('融资租赁与资金缺口'!$D$5:$D$16)*$AC10*$C10,0),IF(AR$4=EDATE('核心假设'!$B$5,17+$F10),SUM('融资租赁与资金缺口'!$D$5:$D$16)*$AD10*$C10,0))-AR39</x:f>
        <x:v>-148014839.93931633</x:v>
      </x:c>
      <x:c r="AS40" s="28" t="n">
        <x:f>AR40+AS36-AS37+SUM(IF(AS$4=EDATE('核心假设'!$B$5,0+$F10),SUM('融资租赁与资金缺口'!$D$5:$D$16)*$M10*$C10,0),IF(AS$4=EDATE('核心假设'!$B$5,1+$F10),SUM('融资租赁与资金缺口'!$D$5:$D$16)*$N10*$C10,0),IF(AS$4=EDATE('核心假设'!$B$5,2+$F10),SUM('融资租赁与资金缺口'!$D$5:$D$16)*$O10*$C10,0),IF(AS$4=EDATE('核心假设'!$B$5,3+$F10),SUM('融资租赁与资金缺口'!$D$5:$D$16)*$P10*$C10,0),IF(AS$4=EDATE('核心假设'!$B$5,4+$F10),SUM('融资租赁与资金缺口'!$D$5:$D$16)*$Q10*$C10,0),IF(AS$4=EDATE('核心假设'!$B$5,5+$F10),SUM('融资租赁与资金缺口'!$D$5:$D$16)*$R10*$C10,0),IF(AS$4=EDATE('核心假设'!$B$5,6+$F10),SUM('融资租赁与资金缺口'!$D$5:$D$16)*$S10*$C10,0),IF(AS$4=EDATE('核心假设'!$B$5,7+$F10),SUM('融资租赁与资金缺口'!$D$5:$D$16)*$T10*$C10,0),IF(AS$4=EDATE('核心假设'!$B$5,8+$F10),SUM('融资租赁与资金缺口'!$D$5:$D$16)*$U10*$C10,0),IF(AS$4=EDATE('核心假设'!$B$5,9+$F10),SUM('融资租赁与资金缺口'!$D$5:$D$16)*$V10*$C10,0),IF(AS$4=EDATE('核心假设'!$B$5,10+$F10),SUM('融资租赁与资金缺口'!$D$5:$D$16)*$W10*$C10,0),IF(AS$4=EDATE('核心假设'!$B$5,11+$F10),SUM('融资租赁与资金缺口'!$D$5:$D$16)*$X10*$C10,0),IF(AS$4=EDATE('核心假设'!$B$5,12+$F10),SUM('融资租赁与资金缺口'!$D$5:$D$16)*$Y10*$C10,0),IF(AS$4=EDATE('核心假设'!$B$5,13+$F10),SUM('融资租赁与资金缺口'!$D$5:$D$16)*$Z10*$C10,0),IF(AS$4=EDATE('核心假设'!$B$5,14+$F10),SUM('融资租赁与资金缺口'!$D$5:$D$16)*$AA10*$C10,0),IF(AS$4=EDATE('核心假设'!$B$5,15+$F10),SUM('融资租赁与资金缺口'!$D$5:$D$16)*$AB10*$C10,0),IF(AS$4=EDATE('核心假设'!$B$5,16+$F10),SUM('融资租赁与资金缺口'!$D$5:$D$16)*$AC10*$C10,0),IF(AS$4=EDATE('核心假设'!$B$5,17+$F10),SUM('融资租赁与资金缺口'!$D$5:$D$16)*$AD10*$C10,0))-AS39</x:f>
        <x:v>-160000726.91822523</x:v>
      </x:c>
      <x:c r="AT40" s="28" t="n">
        <x:f>AS40+AT36-AT37+SUM(IF(AT$4=EDATE('核心假设'!$B$5,0+$F10),SUM('融资租赁与资金缺口'!$D$5:$D$16)*$M10*$C10,0),IF(AT$4=EDATE('核心假设'!$B$5,1+$F10),SUM('融资租赁与资金缺口'!$D$5:$D$16)*$N10*$C10,0),IF(AT$4=EDATE('核心假设'!$B$5,2+$F10),SUM('融资租赁与资金缺口'!$D$5:$D$16)*$O10*$C10,0),IF(AT$4=EDATE('核心假设'!$B$5,3+$F10),SUM('融资租赁与资金缺口'!$D$5:$D$16)*$P10*$C10,0),IF(AT$4=EDATE('核心假设'!$B$5,4+$F10),SUM('融资租赁与资金缺口'!$D$5:$D$16)*$Q10*$C10,0),IF(AT$4=EDATE('核心假设'!$B$5,5+$F10),SUM('融资租赁与资金缺口'!$D$5:$D$16)*$R10*$C10,0),IF(AT$4=EDATE('核心假设'!$B$5,6+$F10),SUM('融资租赁与资金缺口'!$D$5:$D$16)*$S10*$C10,0),IF(AT$4=EDATE('核心假设'!$B$5,7+$F10),SUM('融资租赁与资金缺口'!$D$5:$D$16)*$T10*$C10,0),IF(AT$4=EDATE('核心假设'!$B$5,8+$F10),SUM('融资租赁与资金缺口'!$D$5:$D$16)*$U10*$C10,0),IF(AT$4=EDATE('核心假设'!$B$5,9+$F10),SUM('融资租赁与资金缺口'!$D$5:$D$16)*$V10*$C10,0),IF(AT$4=EDATE('核心假设'!$B$5,10+$F10),SUM('融资租赁与资金缺口'!$D$5:$D$16)*$W10*$C10,0),IF(AT$4=EDATE('核心假设'!$B$5,11+$F10),SUM('融资租赁与资金缺口'!$D$5:$D$16)*$X10*$C10,0),IF(AT$4=EDATE('核心假设'!$B$5,12+$F10),SUM('融资租赁与资金缺口'!$D$5:$D$16)*$Y10*$C10,0),IF(AT$4=EDATE('核心假设'!$B$5,13+$F10),SUM('融资租赁与资金缺口'!$D$5:$D$16)*$Z10*$C10,0),IF(AT$4=EDATE('核心假设'!$B$5,14+$F10),SUM('融资租赁与资金缺口'!$D$5:$D$16)*$AA10*$C10,0),IF(AT$4=EDATE('核心假设'!$B$5,15+$F10),SUM('融资租赁与资金缺口'!$D$5:$D$16)*$AB10*$C10,0),IF(AT$4=EDATE('核心假设'!$B$5,16+$F10),SUM('融资租赁与资金缺口'!$D$5:$D$16)*$AC10*$C10,0),IF(AT$4=EDATE('核心假设'!$B$5,17+$F10),SUM('融资租赁与资金缺口'!$D$5:$D$16)*$AD10*$C10,0))-AT39</x:f>
        <x:v>-165412231.10802725</x:v>
      </x:c>
      <x:c r="AU40" s="28" t="n">
        <x:f>AT40+AU36-AU37+SUM(IF(AU$4=EDATE('核心假设'!$B$5,0+$F10),SUM('融资租赁与资金缺口'!$D$5:$D$16)*$M10*$C10,0),IF(AU$4=EDATE('核心假设'!$B$5,1+$F10),SUM('融资租赁与资金缺口'!$D$5:$D$16)*$N10*$C10,0),IF(AU$4=EDATE('核心假设'!$B$5,2+$F10),SUM('融资租赁与资金缺口'!$D$5:$D$16)*$O10*$C10,0),IF(AU$4=EDATE('核心假设'!$B$5,3+$F10),SUM('融资租赁与资金缺口'!$D$5:$D$16)*$P10*$C10,0),IF(AU$4=EDATE('核心假设'!$B$5,4+$F10),SUM('融资租赁与资金缺口'!$D$5:$D$16)*$Q10*$C10,0),IF(AU$4=EDATE('核心假设'!$B$5,5+$F10),SUM('融资租赁与资金缺口'!$D$5:$D$16)*$R10*$C10,0),IF(AU$4=EDATE('核心假设'!$B$5,6+$F10),SUM('融资租赁与资金缺口'!$D$5:$D$16)*$S10*$C10,0),IF(AU$4=EDATE('核心假设'!$B$5,7+$F10),SUM('融资租赁与资金缺口'!$D$5:$D$16)*$T10*$C10,0),IF(AU$4=EDATE('核心假设'!$B$5,8+$F10),SUM('融资租赁与资金缺口'!$D$5:$D$16)*$U10*$C10,0),IF(AU$4=EDATE('核心假设'!$B$5,9+$F10),SUM('融资租赁与资金缺口'!$D$5:$D$16)*$V10*$C10,0),IF(AU$4=EDATE('核心假设'!$B$5,10+$F10),SUM('融资租赁与资金缺口'!$D$5:$D$16)*$W10*$C10,0),IF(AU$4=EDATE('核心假设'!$B$5,11+$F10),SUM('融资租赁与资金缺口'!$D$5:$D$16)*$X10*$C10,0),IF(AU$4=EDATE('核心假设'!$B$5,12+$F10),SUM('融资租赁与资金缺口'!$D$5:$D$16)*$Y10*$C10,0),IF(AU$4=EDATE('核心假设'!$B$5,13+$F10),SUM('融资租赁与资金缺口'!$D$5:$D$16)*$Z10*$C10,0),IF(AU$4=EDATE('核心假设'!$B$5,14+$F10),SUM('融资租赁与资金缺口'!$D$5:$D$16)*$AA10*$C10,0),IF(AU$4=EDATE('核心假设'!$B$5,15+$F10),SUM('融资租赁与资金缺口'!$D$5:$D$16)*$AB10*$C10,0),IF(AU$4=EDATE('核心假设'!$B$5,16+$F10),SUM('融资租赁与资金缺口'!$D$5:$D$16)*$AC10*$C10,0),IF(AU$4=EDATE('核心假设'!$B$5,17+$F10),SUM('融资租赁与资金缺口'!$D$5:$D$16)*$AD10*$C10,0))-AU39</x:f>
        <x:v>-173956706.4385352</x:v>
      </x:c>
      <x:c r="AV40" s="28" t="n">
        <x:f>AU40+AV36-AV37+SUM(IF(AV$4=EDATE('核心假设'!$B$5,0+$F10),SUM('融资租赁与资金缺口'!$D$5:$D$16)*$M10*$C10,0),IF(AV$4=EDATE('核心假设'!$B$5,1+$F10),SUM('融资租赁与资金缺口'!$D$5:$D$16)*$N10*$C10,0),IF(AV$4=EDATE('核心假设'!$B$5,2+$F10),SUM('融资租赁与资金缺口'!$D$5:$D$16)*$O10*$C10,0),IF(AV$4=EDATE('核心假设'!$B$5,3+$F10),SUM('融资租赁与资金缺口'!$D$5:$D$16)*$P10*$C10,0),IF(AV$4=EDATE('核心假设'!$B$5,4+$F10),SUM('融资租赁与资金缺口'!$D$5:$D$16)*$Q10*$C10,0),IF(AV$4=EDATE('核心假设'!$B$5,5+$F10),SUM('融资租赁与资金缺口'!$D$5:$D$16)*$R10*$C10,0),IF(AV$4=EDATE('核心假设'!$B$5,6+$F10),SUM('融资租赁与资金缺口'!$D$5:$D$16)*$S10*$C10,0),IF(AV$4=EDATE('核心假设'!$B$5,7+$F10),SUM('融资租赁与资金缺口'!$D$5:$D$16)*$T10*$C10,0),IF(AV$4=EDATE('核心假设'!$B$5,8+$F10),SUM('融资租赁与资金缺口'!$D$5:$D$16)*$U10*$C10,0),IF(AV$4=EDATE('核心假设'!$B$5,9+$F10),SUM('融资租赁与资金缺口'!$D$5:$D$16)*$V10*$C10,0),IF(AV$4=EDATE('核心假设'!$B$5,10+$F10),SUM('融资租赁与资金缺口'!$D$5:$D$16)*$W10*$C10,0),IF(AV$4=EDATE('核心假设'!$B$5,11+$F10),SUM('融资租赁与资金缺口'!$D$5:$D$16)*$X10*$C10,0),IF(AV$4=EDATE('核心假设'!$B$5,12+$F10),SUM('融资租赁与资金缺口'!$D$5:$D$16)*$Y10*$C10,0),IF(AV$4=EDATE('核心假设'!$B$5,13+$F10),SUM('融资租赁与资金缺口'!$D$5:$D$16)*$Z10*$C10,0),IF(AV$4=EDATE('核心假设'!$B$5,14+$F10),SUM('融资租赁与资金缺口'!$D$5:$D$16)*$AA10*$C10,0),IF(AV$4=EDATE('核心假设'!$B$5,15+$F10),SUM('融资租赁与资金缺口'!$D$5:$D$16)*$AB10*$C10,0),IF(AV$4=EDATE('核心假设'!$B$5,16+$F10),SUM('融资租赁与资金缺口'!$D$5:$D$16)*$AC10*$C10,0),IF(AV$4=EDATE('核心假设'!$B$5,17+$F10),SUM('融资租赁与资金缺口'!$D$5:$D$16)*$AD10*$C10,0))-AV39</x:f>
        <x:v>-177468825.4795382</x:v>
      </x:c>
      <x:c r="AW40" s="28" t="n">
        <x:f>AV40+AW36-AW37+SUM(IF(AW$4=EDATE('核心假设'!$B$5,0+$F10),SUM('融资租赁与资金缺口'!$D$5:$D$16)*$M10*$C10,0),IF(AW$4=EDATE('核心假设'!$B$5,1+$F10),SUM('融资租赁与资金缺口'!$D$5:$D$16)*$N10*$C10,0),IF(AW$4=EDATE('核心假设'!$B$5,2+$F10),SUM('融资租赁与资金缺口'!$D$5:$D$16)*$O10*$C10,0),IF(AW$4=EDATE('核心假设'!$B$5,3+$F10),SUM('融资租赁与资金缺口'!$D$5:$D$16)*$P10*$C10,0),IF(AW$4=EDATE('核心假设'!$B$5,4+$F10),SUM('融资租赁与资金缺口'!$D$5:$D$16)*$Q10*$C10,0),IF(AW$4=EDATE('核心假设'!$B$5,5+$F10),SUM('融资租赁与资金缺口'!$D$5:$D$16)*$R10*$C10,0),IF(AW$4=EDATE('核心假设'!$B$5,6+$F10),SUM('融资租赁与资金缺口'!$D$5:$D$16)*$S10*$C10,0),IF(AW$4=EDATE('核心假设'!$B$5,7+$F10),SUM('融资租赁与资金缺口'!$D$5:$D$16)*$T10*$C10,0),IF(AW$4=EDATE('核心假设'!$B$5,8+$F10),SUM('融资租赁与资金缺口'!$D$5:$D$16)*$U10*$C10,0),IF(AW$4=EDATE('核心假设'!$B$5,9+$F10),SUM('融资租赁与资金缺口'!$D$5:$D$16)*$V10*$C10,0),IF(AW$4=EDATE('核心假设'!$B$5,10+$F10),SUM('融资租赁与资金缺口'!$D$5:$D$16)*$W10*$C10,0),IF(AW$4=EDATE('核心假设'!$B$5,11+$F10),SUM('融资租赁与资金缺口'!$D$5:$D$16)*$X10*$C10,0),IF(AW$4=EDATE('核心假设'!$B$5,12+$F10),SUM('融资租赁与资金缺口'!$D$5:$D$16)*$Y10*$C10,0),IF(AW$4=EDATE('核心假设'!$B$5,13+$F10),SUM('融资租赁与资金缺口'!$D$5:$D$16)*$Z10*$C10,0),IF(AW$4=EDATE('核心假设'!$B$5,14+$F10),SUM('融资租赁与资金缺口'!$D$5:$D$16)*$AA10*$C10,0),IF(AW$4=EDATE('核心假设'!$B$5,15+$F10),SUM('融资租赁与资金缺口'!$D$5:$D$16)*$AB10*$C10,0),IF(AW$4=EDATE('核心假设'!$B$5,16+$F10),SUM('融资租赁与资金缺口'!$D$5:$D$16)*$AC10*$C10,0),IF(AW$4=EDATE('核心假设'!$B$5,17+$F10),SUM('融资租赁与资金缺口'!$D$5:$D$16)*$AD10*$C10,0))-AW39</x:f>
        <x:v>-181287780.57320225</x:v>
      </x:c>
      <x:c r="AX40" s="28" t="n">
        <x:f>AW40+AX36-AX37+SUM(IF(AX$4=EDATE('核心假设'!$B$5,0+$F10),SUM('融资租赁与资金缺口'!$D$5:$D$16)*$M10*$C10,0),IF(AX$4=EDATE('核心假设'!$B$5,1+$F10),SUM('融资租赁与资金缺口'!$D$5:$D$16)*$N10*$C10,0),IF(AX$4=EDATE('核心假设'!$B$5,2+$F10),SUM('融资租赁与资金缺口'!$D$5:$D$16)*$O10*$C10,0),IF(AX$4=EDATE('核心假设'!$B$5,3+$F10),SUM('融资租赁与资金缺口'!$D$5:$D$16)*$P10*$C10,0),IF(AX$4=EDATE('核心假设'!$B$5,4+$F10),SUM('融资租赁与资金缺口'!$D$5:$D$16)*$Q10*$C10,0),IF(AX$4=EDATE('核心假设'!$B$5,5+$F10),SUM('融资租赁与资金缺口'!$D$5:$D$16)*$R10*$C10,0),IF(AX$4=EDATE('核心假设'!$B$5,6+$F10),SUM('融资租赁与资金缺口'!$D$5:$D$16)*$S10*$C10,0),IF(AX$4=EDATE('核心假设'!$B$5,7+$F10),SUM('融资租赁与资金缺口'!$D$5:$D$16)*$T10*$C10,0),IF(AX$4=EDATE('核心假设'!$B$5,8+$F10),SUM('融资租赁与资金缺口'!$D$5:$D$16)*$U10*$C10,0),IF(AX$4=EDATE('核心假设'!$B$5,9+$F10),SUM('融资租赁与资金缺口'!$D$5:$D$16)*$V10*$C10,0),IF(AX$4=EDATE('核心假设'!$B$5,10+$F10),SUM('融资租赁与资金缺口'!$D$5:$D$16)*$W10*$C10,0),IF(AX$4=EDATE('核心假设'!$B$5,11+$F10),SUM('融资租赁与资金缺口'!$D$5:$D$16)*$X10*$C10,0),IF(AX$4=EDATE('核心假设'!$B$5,12+$F10),SUM('融资租赁与资金缺口'!$D$5:$D$16)*$Y10*$C10,0),IF(AX$4=EDATE('核心假设'!$B$5,13+$F10),SUM('融资租赁与资金缺口'!$D$5:$D$16)*$Z10*$C10,0),IF(AX$4=EDATE('核心假设'!$B$5,14+$F10),SUM('融资租赁与资金缺口'!$D$5:$D$16)*$AA10*$C10,0),IF(AX$4=EDATE('核心假设'!$B$5,15+$F10),SUM('融资租赁与资金缺口'!$D$5:$D$16)*$AB10*$C10,0),IF(AX$4=EDATE('核心假设'!$B$5,16+$F10),SUM('融资租赁与资金缺口'!$D$5:$D$16)*$AC10*$C10,0),IF(AX$4=EDATE('核心假设'!$B$5,17+$F10),SUM('融资租赁与资金缺口'!$D$5:$D$16)*$AD10*$C10,0))-AX39</x:f>
        <x:v>-189691510.98169732</x:v>
      </x:c>
      <x:c r="AY40" s="28" t="n">
        <x:f>AX40+AY36-AY37+SUM(IF(AY$4=EDATE('核心假设'!$B$5,0+$F10),SUM('融资租赁与资金缺口'!$D$5:$D$16)*$M10*$C10,0),IF(AY$4=EDATE('核心假设'!$B$5,1+$F10),SUM('融资租赁与资金缺口'!$D$5:$D$16)*$N10*$C10,0),IF(AY$4=EDATE('核心假设'!$B$5,2+$F10),SUM('融资租赁与资金缺口'!$D$5:$D$16)*$O10*$C10,0),IF(AY$4=EDATE('核心假设'!$B$5,3+$F10),SUM('融资租赁与资金缺口'!$D$5:$D$16)*$P10*$C10,0),IF(AY$4=EDATE('核心假设'!$B$5,4+$F10),SUM('融资租赁与资金缺口'!$D$5:$D$16)*$Q10*$C10,0),IF(AY$4=EDATE('核心假设'!$B$5,5+$F10),SUM('融资租赁与资金缺口'!$D$5:$D$16)*$R10*$C10,0),IF(AY$4=EDATE('核心假设'!$B$5,6+$F10),SUM('融资租赁与资金缺口'!$D$5:$D$16)*$S10*$C10,0),IF(AY$4=EDATE('核心假设'!$B$5,7+$F10),SUM('融资租赁与资金缺口'!$D$5:$D$16)*$T10*$C10,0),IF(AY$4=EDATE('核心假设'!$B$5,8+$F10),SUM('融资租赁与资金缺口'!$D$5:$D$16)*$U10*$C10,0),IF(AY$4=EDATE('核心假设'!$B$5,9+$F10),SUM('融资租赁与资金缺口'!$D$5:$D$16)*$V10*$C10,0),IF(AY$4=EDATE('核心假设'!$B$5,10+$F10),SUM('融资租赁与资金缺口'!$D$5:$D$16)*$W10*$C10,0),IF(AY$4=EDATE('核心假设'!$B$5,11+$F10),SUM('融资租赁与资金缺口'!$D$5:$D$16)*$X10*$C10,0),IF(AY$4=EDATE('核心假设'!$B$5,12+$F10),SUM('融资租赁与资金缺口'!$D$5:$D$16)*$Y10*$C10,0),IF(AY$4=EDATE('核心假设'!$B$5,13+$F10),SUM('融资租赁与资金缺口'!$D$5:$D$16)*$Z10*$C10,0),IF(AY$4=EDATE('核心假设'!$B$5,14+$F10),SUM('融资租赁与资金缺口'!$D$5:$D$16)*$AA10*$C10,0),IF(AY$4=EDATE('核心假设'!$B$5,15+$F10),SUM('融资租赁与资金缺口'!$D$5:$D$16)*$AB10*$C10,0),IF(AY$4=EDATE('核心假设'!$B$5,16+$F10),SUM('融资租赁与资金缺口'!$D$5:$D$16)*$AC10*$C10,0),IF(AY$4=EDATE('核心假设'!$B$5,17+$F10),SUM('融资租赁与资金缺口'!$D$5:$D$16)*$AD10*$C10,0))-AY39</x:f>
        <x:v>-172731417.41931057</x:v>
      </x:c>
      <x:c r="AZ40" s="28" t="n">
        <x:f>AY40+AZ36-AZ37+SUM(IF(AZ$4=EDATE('核心假设'!$B$5,0+$F10),SUM('融资租赁与资金缺口'!$D$5:$D$16)*$M10*$C10,0),IF(AZ$4=EDATE('核心假设'!$B$5,1+$F10),SUM('融资租赁与资金缺口'!$D$5:$D$16)*$N10*$C10,0),IF(AZ$4=EDATE('核心假设'!$B$5,2+$F10),SUM('融资租赁与资金缺口'!$D$5:$D$16)*$O10*$C10,0),IF(AZ$4=EDATE('核心假设'!$B$5,3+$F10),SUM('融资租赁与资金缺口'!$D$5:$D$16)*$P10*$C10,0),IF(AZ$4=EDATE('核心假设'!$B$5,4+$F10),SUM('融资租赁与资金缺口'!$D$5:$D$16)*$Q10*$C10,0),IF(AZ$4=EDATE('核心假设'!$B$5,5+$F10),SUM('融资租赁与资金缺口'!$D$5:$D$16)*$R10*$C10,0),IF(AZ$4=EDATE('核心假设'!$B$5,6+$F10),SUM('融资租赁与资金缺口'!$D$5:$D$16)*$S10*$C10,0),IF(AZ$4=EDATE('核心假设'!$B$5,7+$F10),SUM('融资租赁与资金缺口'!$D$5:$D$16)*$T10*$C10,0),IF(AZ$4=EDATE('核心假设'!$B$5,8+$F10),SUM('融资租赁与资金缺口'!$D$5:$D$16)*$U10*$C10,0),IF(AZ$4=EDATE('核心假设'!$B$5,9+$F10),SUM('融资租赁与资金缺口'!$D$5:$D$16)*$V10*$C10,0),IF(AZ$4=EDATE('核心假设'!$B$5,10+$F10),SUM('融资租赁与资金缺口'!$D$5:$D$16)*$W10*$C10,0),IF(AZ$4=EDATE('核心假设'!$B$5,11+$F10),SUM('融资租赁与资金缺口'!$D$5:$D$16)*$X10*$C10,0),IF(AZ$4=EDATE('核心假设'!$B$5,12+$F10),SUM('融资租赁与资金缺口'!$D$5:$D$16)*$Y10*$C10,0),IF(AZ$4=EDATE('核心假设'!$B$5,13+$F10),SUM('融资租赁与资金缺口'!$D$5:$D$16)*$Z10*$C10,0),IF(AZ$4=EDATE('核心假设'!$B$5,14+$F10),SUM('融资租赁与资金缺口'!$D$5:$D$16)*$AA10*$C10,0),IF(AZ$4=EDATE('核心假设'!$B$5,15+$F10),SUM('融资租赁与资金缺口'!$D$5:$D$16)*$AB10*$C10,0),IF(AZ$4=EDATE('核心假设'!$B$5,16+$F10),SUM('融资租赁与资金缺口'!$D$5:$D$16)*$AC10*$C10,0),IF(AZ$4=EDATE('核心假设'!$B$5,17+$F10),SUM('融资租赁与资金缺口'!$D$5:$D$16)*$AD10*$C10,0))-AZ39</x:f>
        <x:v>-173288048.62704492</x:v>
      </x:c>
      <x:c r="BA40" s="28" t="n">
        <x:f>AZ40+BA36-BA37+SUM(IF(BA$4=EDATE('核心假设'!$B$5,0+$F10),SUM('融资租赁与资金缺口'!$D$5:$D$16)*$M10*$C10,0),IF(BA$4=EDATE('核心假设'!$B$5,1+$F10),SUM('融资租赁与资金缺口'!$D$5:$D$16)*$N10*$C10,0),IF(BA$4=EDATE('核心假设'!$B$5,2+$F10),SUM('融资租赁与资金缺口'!$D$5:$D$16)*$O10*$C10,0),IF(BA$4=EDATE('核心假设'!$B$5,3+$F10),SUM('融资租赁与资金缺口'!$D$5:$D$16)*$P10*$C10,0),IF(BA$4=EDATE('核心假设'!$B$5,4+$F10),SUM('融资租赁与资金缺口'!$D$5:$D$16)*$Q10*$C10,0),IF(BA$4=EDATE('核心假设'!$B$5,5+$F10),SUM('融资租赁与资金缺口'!$D$5:$D$16)*$R10*$C10,0),IF(BA$4=EDATE('核心假设'!$B$5,6+$F10),SUM('融资租赁与资金缺口'!$D$5:$D$16)*$S10*$C10,0),IF(BA$4=EDATE('核心假设'!$B$5,7+$F10),SUM('融资租赁与资金缺口'!$D$5:$D$16)*$T10*$C10,0),IF(BA$4=EDATE('核心假设'!$B$5,8+$F10),SUM('融资租赁与资金缺口'!$D$5:$D$16)*$U10*$C10,0),IF(BA$4=EDATE('核心假设'!$B$5,9+$F10),SUM('融资租赁与资金缺口'!$D$5:$D$16)*$V10*$C10,0),IF(BA$4=EDATE('核心假设'!$B$5,10+$F10),SUM('融资租赁与资金缺口'!$D$5:$D$16)*$W10*$C10,0),IF(BA$4=EDATE('核心假设'!$B$5,11+$F10),SUM('融资租赁与资金缺口'!$D$5:$D$16)*$X10*$C10,0),IF(BA$4=EDATE('核心假设'!$B$5,12+$F10),SUM('融资租赁与资金缺口'!$D$5:$D$16)*$Y10*$C10,0),IF(BA$4=EDATE('核心假设'!$B$5,13+$F10),SUM('融资租赁与资金缺口'!$D$5:$D$16)*$Z10*$C10,0),IF(BA$4=EDATE('核心假设'!$B$5,14+$F10),SUM('融资租赁与资金缺口'!$D$5:$D$16)*$AA10*$C10,0),IF(BA$4=EDATE('核心假设'!$B$5,15+$F10),SUM('融资租赁与资金缺口'!$D$5:$D$16)*$AB10*$C10,0),IF(BA$4=EDATE('核心假设'!$B$5,16+$F10),SUM('融资租赁与资金缺口'!$D$5:$D$16)*$AC10*$C10,0),IF(BA$4=EDATE('核心假设'!$B$5,17+$F10),SUM('融资租赁与资金缺口'!$D$5:$D$16)*$AD10*$C10,0))-BA39</x:f>
        <x:v>-172790641.2893124</x:v>
      </x:c>
      <x:c r="BB40" s="28" t="n">
        <x:f>BA40+BB36-BB37+SUM(IF(BB$4=EDATE('核心假设'!$B$5,0+$F10),SUM('融资租赁与资金缺口'!$D$5:$D$16)*$M10*$C10,0),IF(BB$4=EDATE('核心假设'!$B$5,1+$F10),SUM('融资租赁与资金缺口'!$D$5:$D$16)*$N10*$C10,0),IF(BB$4=EDATE('核心假设'!$B$5,2+$F10),SUM('融资租赁与资金缺口'!$D$5:$D$16)*$O10*$C10,0),IF(BB$4=EDATE('核心假设'!$B$5,3+$F10),SUM('融资租赁与资金缺口'!$D$5:$D$16)*$P10*$C10,0),IF(BB$4=EDATE('核心假设'!$B$5,4+$F10),SUM('融资租赁与资金缺口'!$D$5:$D$16)*$Q10*$C10,0),IF(BB$4=EDATE('核心假设'!$B$5,5+$F10),SUM('融资租赁与资金缺口'!$D$5:$D$16)*$R10*$C10,0),IF(BB$4=EDATE('核心假设'!$B$5,6+$F10),SUM('融资租赁与资金缺口'!$D$5:$D$16)*$S10*$C10,0),IF(BB$4=EDATE('核心假设'!$B$5,7+$F10),SUM('融资租赁与资金缺口'!$D$5:$D$16)*$T10*$C10,0),IF(BB$4=EDATE('核心假设'!$B$5,8+$F10),SUM('融资租赁与资金缺口'!$D$5:$D$16)*$U10*$C10,0),IF(BB$4=EDATE('核心假设'!$B$5,9+$F10),SUM('融资租赁与资金缺口'!$D$5:$D$16)*$V10*$C10,0),IF(BB$4=EDATE('核心假设'!$B$5,10+$F10),SUM('融资租赁与资金缺口'!$D$5:$D$16)*$W10*$C10,0),IF(BB$4=EDATE('核心假设'!$B$5,11+$F10),SUM('融资租赁与资金缺口'!$D$5:$D$16)*$X10*$C10,0),IF(BB$4=EDATE('核心假设'!$B$5,12+$F10),SUM('融资租赁与资金缺口'!$D$5:$D$16)*$Y10*$C10,0),IF(BB$4=EDATE('核心假设'!$B$5,13+$F10),SUM('融资租赁与资金缺口'!$D$5:$D$16)*$Z10*$C10,0),IF(BB$4=EDATE('核心假设'!$B$5,14+$F10),SUM('融资租赁与资金缺口'!$D$5:$D$16)*$AA10*$C10,0),IF(BB$4=EDATE('核心假设'!$B$5,15+$F10),SUM('融资租赁与资金缺口'!$D$5:$D$16)*$AB10*$C10,0),IF(BB$4=EDATE('核心假设'!$B$5,16+$F10),SUM('融资租赁与资金缺口'!$D$5:$D$16)*$AC10*$C10,0),IF(BB$4=EDATE('核心假设'!$B$5,17+$F10),SUM('融资租赁与资金缺口'!$D$5:$D$16)*$AD10*$C10,0))-BB39</x:f>
        <x:v>-171254069.40887108</x:v>
      </x:c>
      <x:c r="BC40" s="28" t="n">
        <x:f>BB40+BC36-BC37+SUM(IF(BC$4=EDATE('核心假设'!$B$5,0+$F10),SUM('融资租赁与资金缺口'!$D$5:$D$16)*$M10*$C10,0),IF(BC$4=EDATE('核心假设'!$B$5,1+$F10),SUM('融资租赁与资金缺口'!$D$5:$D$16)*$N10*$C10,0),IF(BC$4=EDATE('核心假设'!$B$5,2+$F10),SUM('融资租赁与资金缺口'!$D$5:$D$16)*$O10*$C10,0),IF(BC$4=EDATE('核心假设'!$B$5,3+$F10),SUM('融资租赁与资金缺口'!$D$5:$D$16)*$P10*$C10,0),IF(BC$4=EDATE('核心假设'!$B$5,4+$F10),SUM('融资租赁与资金缺口'!$D$5:$D$16)*$Q10*$C10,0),IF(BC$4=EDATE('核心假设'!$B$5,5+$F10),SUM('融资租赁与资金缺口'!$D$5:$D$16)*$R10*$C10,0),IF(BC$4=EDATE('核心假设'!$B$5,6+$F10),SUM('融资租赁与资金缺口'!$D$5:$D$16)*$S10*$C10,0),IF(BC$4=EDATE('核心假设'!$B$5,7+$F10),SUM('融资租赁与资金缺口'!$D$5:$D$16)*$T10*$C10,0),IF(BC$4=EDATE('核心假设'!$B$5,8+$F10),SUM('融资租赁与资金缺口'!$D$5:$D$16)*$U10*$C10,0),IF(BC$4=EDATE('核心假设'!$B$5,9+$F10),SUM('融资租赁与资金缺口'!$D$5:$D$16)*$V10*$C10,0),IF(BC$4=EDATE('核心假设'!$B$5,10+$F10),SUM('融资租赁与资金缺口'!$D$5:$D$16)*$W10*$C10,0),IF(BC$4=EDATE('核心假设'!$B$5,11+$F10),SUM('融资租赁与资金缺口'!$D$5:$D$16)*$X10*$C10,0),IF(BC$4=EDATE('核心假设'!$B$5,12+$F10),SUM('融资租赁与资金缺口'!$D$5:$D$16)*$Y10*$C10,0),IF(BC$4=EDATE('核心假设'!$B$5,13+$F10),SUM('融资租赁与资金缺口'!$D$5:$D$16)*$Z10*$C10,0),IF(BC$4=EDATE('核心假设'!$B$5,14+$F10),SUM('融资租赁与资金缺口'!$D$5:$D$16)*$AA10*$C10,0),IF(BC$4=EDATE('核心假设'!$B$5,15+$F10),SUM('融资租赁与资金缺口'!$D$5:$D$16)*$AB10*$C10,0),IF(BC$4=EDATE('核心假设'!$B$5,16+$F10),SUM('融资租赁与资金缺口'!$D$5:$D$16)*$AC10*$C10,0),IF(BC$4=EDATE('核心假设'!$B$5,17+$F10),SUM('融资租赁与资金缺口'!$D$5:$D$16)*$AD10*$C10,0))-BC39</x:f>
        <x:v>-169179922.55952257</x:v>
      </x:c>
      <x:c r="BD40" s="28" t="n">
        <x:f>BC40+BD36-BD37+SUM(IF(BD$4=EDATE('核心假设'!$B$5,0+$F10),SUM('融资租赁与资金缺口'!$D$5:$D$16)*$M10*$C10,0),IF(BD$4=EDATE('核心假设'!$B$5,1+$F10),SUM('融资租赁与资金缺口'!$D$5:$D$16)*$N10*$C10,0),IF(BD$4=EDATE('核心假设'!$B$5,2+$F10),SUM('融资租赁与资金缺口'!$D$5:$D$16)*$O10*$C10,0),IF(BD$4=EDATE('核心假设'!$B$5,3+$F10),SUM('融资租赁与资金缺口'!$D$5:$D$16)*$P10*$C10,0),IF(BD$4=EDATE('核心假设'!$B$5,4+$F10),SUM('融资租赁与资金缺口'!$D$5:$D$16)*$Q10*$C10,0),IF(BD$4=EDATE('核心假设'!$B$5,5+$F10),SUM('融资租赁与资金缺口'!$D$5:$D$16)*$R10*$C10,0),IF(BD$4=EDATE('核心假设'!$B$5,6+$F10),SUM('融资租赁与资金缺口'!$D$5:$D$16)*$S10*$C10,0),IF(BD$4=EDATE('核心假设'!$B$5,7+$F10),SUM('融资租赁与资金缺口'!$D$5:$D$16)*$T10*$C10,0),IF(BD$4=EDATE('核心假设'!$B$5,8+$F10),SUM('融资租赁与资金缺口'!$D$5:$D$16)*$U10*$C10,0),IF(BD$4=EDATE('核心假设'!$B$5,9+$F10),SUM('融资租赁与资金缺口'!$D$5:$D$16)*$V10*$C10,0),IF(BD$4=EDATE('核心假设'!$B$5,10+$F10),SUM('融资租赁与资金缺口'!$D$5:$D$16)*$W10*$C10,0),IF(BD$4=EDATE('核心假设'!$B$5,11+$F10),SUM('融资租赁与资金缺口'!$D$5:$D$16)*$X10*$C10,0),IF(BD$4=EDATE('核心假设'!$B$5,12+$F10),SUM('融资租赁与资金缺口'!$D$5:$D$16)*$Y10*$C10,0),IF(BD$4=EDATE('核心假设'!$B$5,13+$F10),SUM('融资租赁与资金缺口'!$D$5:$D$16)*$Z10*$C10,0),IF(BD$4=EDATE('核心假设'!$B$5,14+$F10),SUM('融资租赁与资金缺口'!$D$5:$D$16)*$AA10*$C10,0),IF(BD$4=EDATE('核心假设'!$B$5,15+$F10),SUM('融资租赁与资金缺口'!$D$5:$D$16)*$AB10*$C10,0),IF(BD$4=EDATE('核心假设'!$B$5,16+$F10),SUM('融资租赁与资金缺口'!$D$5:$D$16)*$AC10*$C10,0),IF(BD$4=EDATE('核心假设'!$B$5,17+$F10),SUM('融资租赁与资金缺口'!$D$5:$D$16)*$AD10*$C10,0))-BD39</x:f>
        <x:v>-168165579.49713814</x:v>
      </x:c>
      <x:c r="BE40" s="28" t="n">
        <x:f>BD40+BE36-BE37+SUM(IF(BE$4=EDATE('核心假设'!$B$5,0+$F10),SUM('融资租赁与资金缺口'!$D$5:$D$16)*$M10*$C10,0),IF(BE$4=EDATE('核心假设'!$B$5,1+$F10),SUM('融资租赁与资金缺口'!$D$5:$D$16)*$N10*$C10,0),IF(BE$4=EDATE('核心假设'!$B$5,2+$F10),SUM('融资租赁与资金缺口'!$D$5:$D$16)*$O10*$C10,0),IF(BE$4=EDATE('核心假设'!$B$5,3+$F10),SUM('融资租赁与资金缺口'!$D$5:$D$16)*$P10*$C10,0),IF(BE$4=EDATE('核心假设'!$B$5,4+$F10),SUM('融资租赁与资金缺口'!$D$5:$D$16)*$Q10*$C10,0),IF(BE$4=EDATE('核心假设'!$B$5,5+$F10),SUM('融资租赁与资金缺口'!$D$5:$D$16)*$R10*$C10,0),IF(BE$4=EDATE('核心假设'!$B$5,6+$F10),SUM('融资租赁与资金缺口'!$D$5:$D$16)*$S10*$C10,0),IF(BE$4=EDATE('核心假设'!$B$5,7+$F10),SUM('融资租赁与资金缺口'!$D$5:$D$16)*$T10*$C10,0),IF(BE$4=EDATE('核心假设'!$B$5,8+$F10),SUM('融资租赁与资金缺口'!$D$5:$D$16)*$U10*$C10,0),IF(BE$4=EDATE('核心假设'!$B$5,9+$F10),SUM('融资租赁与资金缺口'!$D$5:$D$16)*$V10*$C10,0),IF(BE$4=EDATE('核心假设'!$B$5,10+$F10),SUM('融资租赁与资金缺口'!$D$5:$D$16)*$W10*$C10,0),IF(BE$4=EDATE('核心假设'!$B$5,11+$F10),SUM('融资租赁与资金缺口'!$D$5:$D$16)*$X10*$C10,0),IF(BE$4=EDATE('核心假设'!$B$5,12+$F10),SUM('融资租赁与资金缺口'!$D$5:$D$16)*$Y10*$C10,0),IF(BE$4=EDATE('核心假设'!$B$5,13+$F10),SUM('融资租赁与资金缺口'!$D$5:$D$16)*$Z10*$C10,0),IF(BE$4=EDATE('核心假设'!$B$5,14+$F10),SUM('融资租赁与资金缺口'!$D$5:$D$16)*$AA10*$C10,0),IF(BE$4=EDATE('核心假设'!$B$5,15+$F10),SUM('融资租赁与资金缺口'!$D$5:$D$16)*$AB10*$C10,0),IF(BE$4=EDATE('核心假设'!$B$5,16+$F10),SUM('融资租赁与资金缺口'!$D$5:$D$16)*$AC10*$C10,0),IF(BE$4=EDATE('核心假设'!$B$5,17+$F10),SUM('融资租赁与资金缺口'!$D$5:$D$16)*$AD10*$C10,0))-BE39</x:f>
        <x:v>-167551286.8383881</x:v>
      </x:c>
      <x:c r="BF40" s="28" t="n">
        <x:f>BE40+BF36-BF37+SUM(IF(BF$4=EDATE('核心假设'!$B$5,0+$F10),SUM('融资租赁与资金缺口'!$D$5:$D$16)*$M10*$C10,0),IF(BF$4=EDATE('核心假设'!$B$5,1+$F10),SUM('融资租赁与资金缺口'!$D$5:$D$16)*$N10*$C10,0),IF(BF$4=EDATE('核心假设'!$B$5,2+$F10),SUM('融资租赁与资金缺口'!$D$5:$D$16)*$O10*$C10,0),IF(BF$4=EDATE('核心假设'!$B$5,3+$F10),SUM('融资租赁与资金缺口'!$D$5:$D$16)*$P10*$C10,0),IF(BF$4=EDATE('核心假设'!$B$5,4+$F10),SUM('融资租赁与资金缺口'!$D$5:$D$16)*$Q10*$C10,0),IF(BF$4=EDATE('核心假设'!$B$5,5+$F10),SUM('融资租赁与资金缺口'!$D$5:$D$16)*$R10*$C10,0),IF(BF$4=EDATE('核心假设'!$B$5,6+$F10),SUM('融资租赁与资金缺口'!$D$5:$D$16)*$S10*$C10,0),IF(BF$4=EDATE('核心假设'!$B$5,7+$F10),SUM('融资租赁与资金缺口'!$D$5:$D$16)*$T10*$C10,0),IF(BF$4=EDATE('核心假设'!$B$5,8+$F10),SUM('融资租赁与资金缺口'!$D$5:$D$16)*$U10*$C10,0),IF(BF$4=EDATE('核心假设'!$B$5,9+$F10),SUM('融资租赁与资金缺口'!$D$5:$D$16)*$V10*$C10,0),IF(BF$4=EDATE('核心假设'!$B$5,10+$F10),SUM('融资租赁与资金缺口'!$D$5:$D$16)*$W10*$C10,0),IF(BF$4=EDATE('核心假设'!$B$5,11+$F10),SUM('融资租赁与资金缺口'!$D$5:$D$16)*$X10*$C10,0),IF(BF$4=EDATE('核心假设'!$B$5,12+$F10),SUM('融资租赁与资金缺口'!$D$5:$D$16)*$Y10*$C10,0),IF(BF$4=EDATE('核心假设'!$B$5,13+$F10),SUM('融资租赁与资金缺口'!$D$5:$D$16)*$Z10*$C10,0),IF(BF$4=EDATE('核心假设'!$B$5,14+$F10),SUM('融资租赁与资金缺口'!$D$5:$D$16)*$AA10*$C10,0),IF(BF$4=EDATE('核心假设'!$B$5,15+$F10),SUM('融资租赁与资金缺口'!$D$5:$D$16)*$AB10*$C10,0),IF(BF$4=EDATE('核心假设'!$B$5,16+$F10),SUM('融资租赁与资金缺口'!$D$5:$D$16)*$AC10*$C10,0),IF(BF$4=EDATE('核心假设'!$B$5,17+$F10),SUM('融资租赁与资金缺口'!$D$5:$D$16)*$AD10*$C10,0))-BF39</x:f>
        <x:v>-166645164.91039678</x:v>
      </x:c>
      <x:c r="BG40" s="28" t="n">
        <x:f>BF40+BG36-BG37+SUM(IF(BG$4=EDATE('核心假设'!$B$5,0+$F10),SUM('融资租赁与资金缺口'!$D$5:$D$16)*$M10*$C10,0),IF(BG$4=EDATE('核心假设'!$B$5,1+$F10),SUM('融资租赁与资金缺口'!$D$5:$D$16)*$N10*$C10,0),IF(BG$4=EDATE('核心假设'!$B$5,2+$F10),SUM('融资租赁与资金缺口'!$D$5:$D$16)*$O10*$C10,0),IF(BG$4=EDATE('核心假设'!$B$5,3+$F10),SUM('融资租赁与资金缺口'!$D$5:$D$16)*$P10*$C10,0),IF(BG$4=EDATE('核心假设'!$B$5,4+$F10),SUM('融资租赁与资金缺口'!$D$5:$D$16)*$Q10*$C10,0),IF(BG$4=EDATE('核心假设'!$B$5,5+$F10),SUM('融资租赁与资金缺口'!$D$5:$D$16)*$R10*$C10,0),IF(BG$4=EDATE('核心假设'!$B$5,6+$F10),SUM('融资租赁与资金缺口'!$D$5:$D$16)*$S10*$C10,0),IF(BG$4=EDATE('核心假设'!$B$5,7+$F10),SUM('融资租赁与资金缺口'!$D$5:$D$16)*$T10*$C10,0),IF(BG$4=EDATE('核心假设'!$B$5,8+$F10),SUM('融资租赁与资金缺口'!$D$5:$D$16)*$U10*$C10,0),IF(BG$4=EDATE('核心假设'!$B$5,9+$F10),SUM('融资租赁与资金缺口'!$D$5:$D$16)*$V10*$C10,0),IF(BG$4=EDATE('核心假设'!$B$5,10+$F10),SUM('融资租赁与资金缺口'!$D$5:$D$16)*$W10*$C10,0),IF(BG$4=EDATE('核心假设'!$B$5,11+$F10),SUM('融资租赁与资金缺口'!$D$5:$D$16)*$X10*$C10,0),IF(BG$4=EDATE('核心假设'!$B$5,12+$F10),SUM('融资租赁与资金缺口'!$D$5:$D$16)*$Y10*$C10,0),IF(BG$4=EDATE('核心假设'!$B$5,13+$F10),SUM('融资租赁与资金缺口'!$D$5:$D$16)*$Z10*$C10,0),IF(BG$4=EDATE('核心假设'!$B$5,14+$F10),SUM('融资租赁与资金缺口'!$D$5:$D$16)*$AA10*$C10,0),IF(BG$4=EDATE('核心假设'!$B$5,15+$F10),SUM('融资租赁与资金缺口'!$D$5:$D$16)*$AB10*$C10,0),IF(BG$4=EDATE('核心假设'!$B$5,16+$F10),SUM('融资租赁与资金缺口'!$D$5:$D$16)*$AC10*$C10,0),IF(BG$4=EDATE('核心假设'!$B$5,17+$F10),SUM('融资租赁与资金缺口'!$D$5:$D$16)*$AD10*$C10,0))-BG39</x:f>
        <x:v>-164167454.28300184</x:v>
      </x:c>
      <x:c r="BH40" s="28" t="n">
        <x:f>BG40+BH36-BH37+SUM(IF(BH$4=EDATE('核心假设'!$B$5,0+$F10),SUM('融资租赁与资金缺口'!$D$5:$D$16)*$M10*$C10,0),IF(BH$4=EDATE('核心假设'!$B$5,1+$F10),SUM('融资租赁与资金缺口'!$D$5:$D$16)*$N10*$C10,0),IF(BH$4=EDATE('核心假设'!$B$5,2+$F10),SUM('融资租赁与资金缺口'!$D$5:$D$16)*$O10*$C10,0),IF(BH$4=EDATE('核心假设'!$B$5,3+$F10),SUM('融资租赁与资金缺口'!$D$5:$D$16)*$P10*$C10,0),IF(BH$4=EDATE('核心假设'!$B$5,4+$F10),SUM('融资租赁与资金缺口'!$D$5:$D$16)*$Q10*$C10,0),IF(BH$4=EDATE('核心假设'!$B$5,5+$F10),SUM('融资租赁与资金缺口'!$D$5:$D$16)*$R10*$C10,0),IF(BH$4=EDATE('核心假设'!$B$5,6+$F10),SUM('融资租赁与资金缺口'!$D$5:$D$16)*$S10*$C10,0),IF(BH$4=EDATE('核心假设'!$B$5,7+$F10),SUM('融资租赁与资金缺口'!$D$5:$D$16)*$T10*$C10,0),IF(BH$4=EDATE('核心假设'!$B$5,8+$F10),SUM('融资租赁与资金缺口'!$D$5:$D$16)*$U10*$C10,0),IF(BH$4=EDATE('核心假设'!$B$5,9+$F10),SUM('融资租赁与资金缺口'!$D$5:$D$16)*$V10*$C10,0),IF(BH$4=EDATE('核心假设'!$B$5,10+$F10),SUM('融资租赁与资金缺口'!$D$5:$D$16)*$W10*$C10,0),IF(BH$4=EDATE('核心假设'!$B$5,11+$F10),SUM('融资租赁与资金缺口'!$D$5:$D$16)*$X10*$C10,0),IF(BH$4=EDATE('核心假设'!$B$5,12+$F10),SUM('融资租赁与资金缺口'!$D$5:$D$16)*$Y10*$C10,0),IF(BH$4=EDATE('核心假设'!$B$5,13+$F10),SUM('融资租赁与资金缺口'!$D$5:$D$16)*$Z10*$C10,0),IF(BH$4=EDATE('核心假设'!$B$5,14+$F10),SUM('融资租赁与资金缺口'!$D$5:$D$16)*$AA10*$C10,0),IF(BH$4=EDATE('核心假设'!$B$5,15+$F10),SUM('融资租赁与资金缺口'!$D$5:$D$16)*$AB10*$C10,0),IF(BH$4=EDATE('核心假设'!$B$5,16+$F10),SUM('融资租赁与资金缺口'!$D$5:$D$16)*$AC10*$C10,0),IF(BH$4=EDATE('核心假设'!$B$5,17+$F10),SUM('融资租赁与资金缺口'!$D$5:$D$16)*$AD10*$C10,0))-BH39</x:f>
        <x:v>-163122004.78216243</x:v>
      </x:c>
      <x:c r="BI40" s="28" t="n">
        <x:f>BH40+BI36-BI37+SUM(IF(BI$4=EDATE('核心假设'!$B$5,0+$F10),SUM('融资租赁与资金缺口'!$D$5:$D$16)*$M10*$C10,0),IF(BI$4=EDATE('核心假设'!$B$5,1+$F10),SUM('融资租赁与资金缺口'!$D$5:$D$16)*$N10*$C10,0),IF(BI$4=EDATE('核心假设'!$B$5,2+$F10),SUM('融资租赁与资金缺口'!$D$5:$D$16)*$O10*$C10,0),IF(BI$4=EDATE('核心假设'!$B$5,3+$F10),SUM('融资租赁与资金缺口'!$D$5:$D$16)*$P10*$C10,0),IF(BI$4=EDATE('核心假设'!$B$5,4+$F10),SUM('融资租赁与资金缺口'!$D$5:$D$16)*$Q10*$C10,0),IF(BI$4=EDATE('核心假设'!$B$5,5+$F10),SUM('融资租赁与资金缺口'!$D$5:$D$16)*$R10*$C10,0),IF(BI$4=EDATE('核心假设'!$B$5,6+$F10),SUM('融资租赁与资金缺口'!$D$5:$D$16)*$S10*$C10,0),IF(BI$4=EDATE('核心假设'!$B$5,7+$F10),SUM('融资租赁与资金缺口'!$D$5:$D$16)*$T10*$C10,0),IF(BI$4=EDATE('核心假设'!$B$5,8+$F10),SUM('融资租赁与资金缺口'!$D$5:$D$16)*$U10*$C10,0),IF(BI$4=EDATE('核心假设'!$B$5,9+$F10),SUM('融资租赁与资金缺口'!$D$5:$D$16)*$V10*$C10,0),IF(BI$4=EDATE('核心假设'!$B$5,10+$F10),SUM('融资租赁与资金缺口'!$D$5:$D$16)*$W10*$C10,0),IF(BI$4=EDATE('核心假设'!$B$5,11+$F10),SUM('融资租赁与资金缺口'!$D$5:$D$16)*$X10*$C10,0),IF(BI$4=EDATE('核心假设'!$B$5,12+$F10),SUM('融资租赁与资金缺口'!$D$5:$D$16)*$Y10*$C10,0),IF(BI$4=EDATE('核心假设'!$B$5,13+$F10),SUM('融资租赁与资金缺口'!$D$5:$D$16)*$Z10*$C10,0),IF(BI$4=EDATE('核心假设'!$B$5,14+$F10),SUM('融资租赁与资金缺口'!$D$5:$D$16)*$AA10*$C10,0),IF(BI$4=EDATE('核心假设'!$B$5,15+$F10),SUM('融资租赁与资金缺口'!$D$5:$D$16)*$AB10*$C10,0),IF(BI$4=EDATE('核心假设'!$B$5,16+$F10),SUM('融资租赁与资金缺口'!$D$5:$D$16)*$AC10*$C10,0),IF(BI$4=EDATE('核心假设'!$B$5,17+$F10),SUM('融资租赁与资金缺口'!$D$5:$D$16)*$AD10*$C10,0))-BI39</x:f>
        <x:v>-164796158.28392464</x:v>
      </x:c>
      <x:c r="BJ40" s="28" t="n">
        <x:f>BI40+BJ36-BJ37+SUM(IF(BJ$4=EDATE('核心假设'!$B$5,0+$F10),SUM('融资租赁与资金缺口'!$D$5:$D$16)*$M10*$C10,0),IF(BJ$4=EDATE('核心假设'!$B$5,1+$F10),SUM('融资租赁与资金缺口'!$D$5:$D$16)*$N10*$C10,0),IF(BJ$4=EDATE('核心假设'!$B$5,2+$F10),SUM('融资租赁与资金缺口'!$D$5:$D$16)*$O10*$C10,0),IF(BJ$4=EDATE('核心假设'!$B$5,3+$F10),SUM('融资租赁与资金缺口'!$D$5:$D$16)*$P10*$C10,0),IF(BJ$4=EDATE('核心假设'!$B$5,4+$F10),SUM('融资租赁与资金缺口'!$D$5:$D$16)*$Q10*$C10,0),IF(BJ$4=EDATE('核心假设'!$B$5,5+$F10),SUM('融资租赁与资金缺口'!$D$5:$D$16)*$R10*$C10,0),IF(BJ$4=EDATE('核心假设'!$B$5,6+$F10),SUM('融资租赁与资金缺口'!$D$5:$D$16)*$S10*$C10,0),IF(BJ$4=EDATE('核心假设'!$B$5,7+$F10),SUM('融资租赁与资金缺口'!$D$5:$D$16)*$T10*$C10,0),IF(BJ$4=EDATE('核心假设'!$B$5,8+$F10),SUM('融资租赁与资金缺口'!$D$5:$D$16)*$U10*$C10,0),IF(BJ$4=EDATE('核心假设'!$B$5,9+$F10),SUM('融资租赁与资金缺口'!$D$5:$D$16)*$V10*$C10,0),IF(BJ$4=EDATE('核心假设'!$B$5,10+$F10),SUM('融资租赁与资金缺口'!$D$5:$D$16)*$W10*$C10,0),IF(BJ$4=EDATE('核心假设'!$B$5,11+$F10),SUM('融资租赁与资金缺口'!$D$5:$D$16)*$X10*$C10,0),IF(BJ$4=EDATE('核心假设'!$B$5,12+$F10),SUM('融资租赁与资金缺口'!$D$5:$D$16)*$Y10*$C10,0),IF(BJ$4=EDATE('核心假设'!$B$5,13+$F10),SUM('融资租赁与资金缺口'!$D$5:$D$16)*$Z10*$C10,0),IF(BJ$4=EDATE('核心假设'!$B$5,14+$F10),SUM('融资租赁与资金缺口'!$D$5:$D$16)*$AA10*$C10,0),IF(BJ$4=EDATE('核心假设'!$B$5,15+$F10),SUM('融资租赁与资金缺口'!$D$5:$D$16)*$AB10*$C10,0),IF(BJ$4=EDATE('核心假设'!$B$5,16+$F10),SUM('融资租赁与资金缺口'!$D$5:$D$16)*$AC10*$C10,0),IF(BJ$4=EDATE('核心假设'!$B$5,17+$F10),SUM('融资租赁与资金缺口'!$D$5:$D$16)*$AD10*$C10,0))-BJ39</x:f>
        <x:v>-165804126.82371646</x:v>
      </x:c>
      <x:c r="BK40" s="28" t="n">
        <x:f>BJ40+BK36-BK37+SUM(IF(BK$4=EDATE('核心假设'!$B$5,0+$F10),SUM('融资租赁与资金缺口'!$D$5:$D$16)*$M10*$C10,0),IF(BK$4=EDATE('核心假设'!$B$5,1+$F10),SUM('融资租赁与资金缺口'!$D$5:$D$16)*$N10*$C10,0),IF(BK$4=EDATE('核心假设'!$B$5,2+$F10),SUM('融资租赁与资金缺口'!$D$5:$D$16)*$O10*$C10,0),IF(BK$4=EDATE('核心假设'!$B$5,3+$F10),SUM('融资租赁与资金缺口'!$D$5:$D$16)*$P10*$C10,0),IF(BK$4=EDATE('核心假设'!$B$5,4+$F10),SUM('融资租赁与资金缺口'!$D$5:$D$16)*$Q10*$C10,0),IF(BK$4=EDATE('核心假设'!$B$5,5+$F10),SUM('融资租赁与资金缺口'!$D$5:$D$16)*$R10*$C10,0),IF(BK$4=EDATE('核心假设'!$B$5,6+$F10),SUM('融资租赁与资金缺口'!$D$5:$D$16)*$S10*$C10,0),IF(BK$4=EDATE('核心假设'!$B$5,7+$F10),SUM('融资租赁与资金缺口'!$D$5:$D$16)*$T10*$C10,0),IF(BK$4=EDATE('核心假设'!$B$5,8+$F10),SUM('融资租赁与资金缺口'!$D$5:$D$16)*$U10*$C10,0),IF(BK$4=EDATE('核心假设'!$B$5,9+$F10),SUM('融资租赁与资金缺口'!$D$5:$D$16)*$V10*$C10,0),IF(BK$4=EDATE('核心假设'!$B$5,10+$F10),SUM('融资租赁与资金缺口'!$D$5:$D$16)*$W10*$C10,0),IF(BK$4=EDATE('核心假设'!$B$5,11+$F10),SUM('融资租赁与资金缺口'!$D$5:$D$16)*$X10*$C10,0),IF(BK$4=EDATE('核心假设'!$B$5,12+$F10),SUM('融资租赁与资金缺口'!$D$5:$D$16)*$Y10*$C10,0),IF(BK$4=EDATE('核心假设'!$B$5,13+$F10),SUM('融资租赁与资金缺口'!$D$5:$D$16)*$Z10*$C10,0),IF(BK$4=EDATE('核心假设'!$B$5,14+$F10),SUM('融资租赁与资金缺口'!$D$5:$D$16)*$AA10*$C10,0),IF(BK$4=EDATE('核心假设'!$B$5,15+$F10),SUM('融资租赁与资金缺口'!$D$5:$D$16)*$AB10*$C10,0),IF(BK$4=EDATE('核心假设'!$B$5,16+$F10),SUM('融资租赁与资金缺口'!$D$5:$D$16)*$AC10*$C10,0),IF(BK$4=EDATE('核心假设'!$B$5,17+$F10),SUM('融资租赁与资金缺口'!$D$5:$D$16)*$AD10*$C10,0))-BK39</x:f>
        <x:v>-166645749.75073627</x:v>
      </x:c>
      <x:c r="BL40" s="28" t="n">
        <x:f>BK40+BL36-BL37+SUM(IF(BL$4=EDATE('核心假设'!$B$5,0+$F10),SUM('融资租赁与资金缺口'!$D$5:$D$16)*$M10*$C10,0),IF(BL$4=EDATE('核心假设'!$B$5,1+$F10),SUM('融资租赁与资金缺口'!$D$5:$D$16)*$N10*$C10,0),IF(BL$4=EDATE('核心假设'!$B$5,2+$F10),SUM('融资租赁与资金缺口'!$D$5:$D$16)*$O10*$C10,0),IF(BL$4=EDATE('核心假设'!$B$5,3+$F10),SUM('融资租赁与资金缺口'!$D$5:$D$16)*$P10*$C10,0),IF(BL$4=EDATE('核心假设'!$B$5,4+$F10),SUM('融资租赁与资金缺口'!$D$5:$D$16)*$Q10*$C10,0),IF(BL$4=EDATE('核心假设'!$B$5,5+$F10),SUM('融资租赁与资金缺口'!$D$5:$D$16)*$R10*$C10,0),IF(BL$4=EDATE('核心假设'!$B$5,6+$F10),SUM('融资租赁与资金缺口'!$D$5:$D$16)*$S10*$C10,0),IF(BL$4=EDATE('核心假设'!$B$5,7+$F10),SUM('融资租赁与资金缺口'!$D$5:$D$16)*$T10*$C10,0),IF(BL$4=EDATE('核心假设'!$B$5,8+$F10),SUM('融资租赁与资金缺口'!$D$5:$D$16)*$U10*$C10,0),IF(BL$4=EDATE('核心假设'!$B$5,9+$F10),SUM('融资租赁与资金缺口'!$D$5:$D$16)*$V10*$C10,0),IF(BL$4=EDATE('核心假设'!$B$5,10+$F10),SUM('融资租赁与资金缺口'!$D$5:$D$16)*$W10*$C10,0),IF(BL$4=EDATE('核心假设'!$B$5,11+$F10),SUM('融资租赁与资金缺口'!$D$5:$D$16)*$X10*$C10,0),IF(BL$4=EDATE('核心假设'!$B$5,12+$F10),SUM('融资租赁与资金缺口'!$D$5:$D$16)*$Y10*$C10,0),IF(BL$4=EDATE('核心假设'!$B$5,13+$F10),SUM('融资租赁与资金缺口'!$D$5:$D$16)*$Z10*$C10,0),IF(BL$4=EDATE('核心假设'!$B$5,14+$F10),SUM('融资租赁与资金缺口'!$D$5:$D$16)*$AA10*$C10,0),IF(BL$4=EDATE('核心假设'!$B$5,15+$F10),SUM('融资租赁与资金缺口'!$D$5:$D$16)*$AB10*$C10,0),IF(BL$4=EDATE('核心假设'!$B$5,16+$F10),SUM('融资租赁与资金缺口'!$D$5:$D$16)*$AC10*$C10,0),IF(BL$4=EDATE('核心假设'!$B$5,17+$F10),SUM('融资租赁与资金缺口'!$D$5:$D$16)*$AD10*$C10,0))-BL39</x:f>
        <x:v>-167143434.63044012</x:v>
      </x:c>
      <x:c r="BM40" s="28" t="n">
        <x:f>BL40+BM36-BM37+SUM(IF(BM$4=EDATE('核心假设'!$B$5,0+$F10),SUM('融资租赁与资金缺口'!$D$5:$D$16)*$M10*$C10,0),IF(BM$4=EDATE('核心假设'!$B$5,1+$F10),SUM('融资租赁与资金缺口'!$D$5:$D$16)*$N10*$C10,0),IF(BM$4=EDATE('核心假设'!$B$5,2+$F10),SUM('融资租赁与资金缺口'!$D$5:$D$16)*$O10*$C10,0),IF(BM$4=EDATE('核心假设'!$B$5,3+$F10),SUM('融资租赁与资金缺口'!$D$5:$D$16)*$P10*$C10,0),IF(BM$4=EDATE('核心假设'!$B$5,4+$F10),SUM('融资租赁与资金缺口'!$D$5:$D$16)*$Q10*$C10,0),IF(BM$4=EDATE('核心假设'!$B$5,5+$F10),SUM('融资租赁与资金缺口'!$D$5:$D$16)*$R10*$C10,0),IF(BM$4=EDATE('核心假设'!$B$5,6+$F10),SUM('融资租赁与资金缺口'!$D$5:$D$16)*$S10*$C10,0),IF(BM$4=EDATE('核心假设'!$B$5,7+$F10),SUM('融资租赁与资金缺口'!$D$5:$D$16)*$T10*$C10,0),IF(BM$4=EDATE('核心假设'!$B$5,8+$F10),SUM('融资租赁与资金缺口'!$D$5:$D$16)*$U10*$C10,0),IF(BM$4=EDATE('核心假设'!$B$5,9+$F10),SUM('融资租赁与资金缺口'!$D$5:$D$16)*$V10*$C10,0),IF(BM$4=EDATE('核心假设'!$B$5,10+$F10),SUM('融资租赁与资金缺口'!$D$5:$D$16)*$W10*$C10,0),IF(BM$4=EDATE('核心假设'!$B$5,11+$F10),SUM('融资租赁与资金缺口'!$D$5:$D$16)*$X10*$C10,0),IF(BM$4=EDATE('核心假设'!$B$5,12+$F10),SUM('融资租赁与资金缺口'!$D$5:$D$16)*$Y10*$C10,0),IF(BM$4=EDATE('核心假设'!$B$5,13+$F10),SUM('融资租赁与资金缺口'!$D$5:$D$16)*$Z10*$C10,0),IF(BM$4=EDATE('核心假设'!$B$5,14+$F10),SUM('融资租赁与资金缺口'!$D$5:$D$16)*$AA10*$C10,0),IF(BM$4=EDATE('核心假设'!$B$5,15+$F10),SUM('融资租赁与资金缺口'!$D$5:$D$16)*$AB10*$C10,0),IF(BM$4=EDATE('核心假设'!$B$5,16+$F10),SUM('融资租赁与资金缺口'!$D$5:$D$16)*$AC10*$C10,0),IF(BM$4=EDATE('核心假设'!$B$5,17+$F10),SUM('融资租赁与资金缺口'!$D$5:$D$16)*$AD10*$C10,0))-BM39</x:f>
        <x:v>-166628736.16140807</x:v>
      </x:c>
      <x:c r="BN40" s="28" t="n">
        <x:f>BM40+BN36-BN37+SUM(IF(BN$4=EDATE('核心假设'!$B$5,0+$F10),SUM('融资租赁与资金缺口'!$D$5:$D$16)*$M10*$C10,0),IF(BN$4=EDATE('核心假设'!$B$5,1+$F10),SUM('融资租赁与资金缺口'!$D$5:$D$16)*$N10*$C10,0),IF(BN$4=EDATE('核心假设'!$B$5,2+$F10),SUM('融资租赁与资金缺口'!$D$5:$D$16)*$O10*$C10,0),IF(BN$4=EDATE('核心假设'!$B$5,3+$F10),SUM('融资租赁与资金缺口'!$D$5:$D$16)*$P10*$C10,0),IF(BN$4=EDATE('核心假设'!$B$5,4+$F10),SUM('融资租赁与资金缺口'!$D$5:$D$16)*$Q10*$C10,0),IF(BN$4=EDATE('核心假设'!$B$5,5+$F10),SUM('融资租赁与资金缺口'!$D$5:$D$16)*$R10*$C10,0),IF(BN$4=EDATE('核心假设'!$B$5,6+$F10),SUM('融资租赁与资金缺口'!$D$5:$D$16)*$S10*$C10,0),IF(BN$4=EDATE('核心假设'!$B$5,7+$F10),SUM('融资租赁与资金缺口'!$D$5:$D$16)*$T10*$C10,0),IF(BN$4=EDATE('核心假设'!$B$5,8+$F10),SUM('融资租赁与资金缺口'!$D$5:$D$16)*$U10*$C10,0),IF(BN$4=EDATE('核心假设'!$B$5,9+$F10),SUM('融资租赁与资金缺口'!$D$5:$D$16)*$V10*$C10,0),IF(BN$4=EDATE('核心假设'!$B$5,10+$F10),SUM('融资租赁与资金缺口'!$D$5:$D$16)*$W10*$C10,0),IF(BN$4=EDATE('核心假设'!$B$5,11+$F10),SUM('融资租赁与资金缺口'!$D$5:$D$16)*$X10*$C10,0),IF(BN$4=EDATE('核心假设'!$B$5,12+$F10),SUM('融资租赁与资金缺口'!$D$5:$D$16)*$Y10*$C10,0),IF(BN$4=EDATE('核心假设'!$B$5,13+$F10),SUM('融资租赁与资金缺口'!$D$5:$D$16)*$Z10*$C10,0),IF(BN$4=EDATE('核心假设'!$B$5,14+$F10),SUM('融资租赁与资金缺口'!$D$5:$D$16)*$AA10*$C10,0),IF(BN$4=EDATE('核心假设'!$B$5,15+$F10),SUM('融资租赁与资金缺口'!$D$5:$D$16)*$AB10*$C10,0),IF(BN$4=EDATE('核心假设'!$B$5,16+$F10),SUM('融资租赁与资金缺口'!$D$5:$D$16)*$AC10*$C10,0),IF(BN$4=EDATE('核心假设'!$B$5,17+$F10),SUM('融资租赁与资金缺口'!$D$5:$D$16)*$AD10*$C10,0))-BN39</x:f>
        <x:v>-165092164.28096673</x:v>
      </x:c>
      <x:c r="BO40" s="28" t="n">
        <x:f>BN40+BO36-BO37+SUM(IF(BO$4=EDATE('核心假设'!$B$5,0+$F10),SUM('融资租赁与资金缺口'!$D$5:$D$16)*$M10*$C10,0),IF(BO$4=EDATE('核心假设'!$B$5,1+$F10),SUM('融资租赁与资金缺口'!$D$5:$D$16)*$N10*$C10,0),IF(BO$4=EDATE('核心假设'!$B$5,2+$F10),SUM('融资租赁与资金缺口'!$D$5:$D$16)*$O10*$C10,0),IF(BO$4=EDATE('核心假设'!$B$5,3+$F10),SUM('融资租赁与资金缺口'!$D$5:$D$16)*$P10*$C10,0),IF(BO$4=EDATE('核心假设'!$B$5,4+$F10),SUM('融资租赁与资金缺口'!$D$5:$D$16)*$Q10*$C10,0),IF(BO$4=EDATE('核心假设'!$B$5,5+$F10),SUM('融资租赁与资金缺口'!$D$5:$D$16)*$R10*$C10,0),IF(BO$4=EDATE('核心假设'!$B$5,6+$F10),SUM('融资租赁与资金缺口'!$D$5:$D$16)*$S10*$C10,0),IF(BO$4=EDATE('核心假设'!$B$5,7+$F10),SUM('融资租赁与资金缺口'!$D$5:$D$16)*$T10*$C10,0),IF(BO$4=EDATE('核心假设'!$B$5,8+$F10),SUM('融资租赁与资金缺口'!$D$5:$D$16)*$U10*$C10,0),IF(BO$4=EDATE('核心假设'!$B$5,9+$F10),SUM('融资租赁与资金缺口'!$D$5:$D$16)*$V10*$C10,0),IF(BO$4=EDATE('核心假设'!$B$5,10+$F10),SUM('融资租赁与资金缺口'!$D$5:$D$16)*$W10*$C10,0),IF(BO$4=EDATE('核心假设'!$B$5,11+$F10),SUM('融资租赁与资金缺口'!$D$5:$D$16)*$X10*$C10,0),IF(BO$4=EDATE('核心假设'!$B$5,12+$F10),SUM('融资租赁与资金缺口'!$D$5:$D$16)*$Y10*$C10,0),IF(BO$4=EDATE('核心假设'!$B$5,13+$F10),SUM('融资租赁与资金缺口'!$D$5:$D$16)*$Z10*$C10,0),IF(BO$4=EDATE('核心假设'!$B$5,14+$F10),SUM('融资租赁与资金缺口'!$D$5:$D$16)*$AA10*$C10,0),IF(BO$4=EDATE('核心假设'!$B$5,15+$F10),SUM('融资租赁与资金缺口'!$D$5:$D$16)*$AB10*$C10,0),IF(BO$4=EDATE('核心假设'!$B$5,16+$F10),SUM('融资租赁与资金缺口'!$D$5:$D$16)*$AC10*$C10,0),IF(BO$4=EDATE('核心假设'!$B$5,17+$F10),SUM('融资租赁与资金缺口'!$D$5:$D$16)*$AD10*$C10,0))-BO39</x:f>
        <x:v>-163018017.4316182</x:v>
      </x:c>
      <x:c r="BP40" s="28" t="n">
        <x:f>BO40+BP36-BP37+SUM(IF(BP$4=EDATE('核心假设'!$B$5,0+$F10),SUM('融资租赁与资金缺口'!$D$5:$D$16)*$M10*$C10,0),IF(BP$4=EDATE('核心假设'!$B$5,1+$F10),SUM('融资租赁与资金缺口'!$D$5:$D$16)*$N10*$C10,0),IF(BP$4=EDATE('核心假设'!$B$5,2+$F10),SUM('融资租赁与资金缺口'!$D$5:$D$16)*$O10*$C10,0),IF(BP$4=EDATE('核心假设'!$B$5,3+$F10),SUM('融资租赁与资金缺口'!$D$5:$D$16)*$P10*$C10,0),IF(BP$4=EDATE('核心假设'!$B$5,4+$F10),SUM('融资租赁与资金缺口'!$D$5:$D$16)*$Q10*$C10,0),IF(BP$4=EDATE('核心假设'!$B$5,5+$F10),SUM('融资租赁与资金缺口'!$D$5:$D$16)*$R10*$C10,0),IF(BP$4=EDATE('核心假设'!$B$5,6+$F10),SUM('融资租赁与资金缺口'!$D$5:$D$16)*$S10*$C10,0),IF(BP$4=EDATE('核心假设'!$B$5,7+$F10),SUM('融资租赁与资金缺口'!$D$5:$D$16)*$T10*$C10,0),IF(BP$4=EDATE('核心假设'!$B$5,8+$F10),SUM('融资租赁与资金缺口'!$D$5:$D$16)*$U10*$C10,0),IF(BP$4=EDATE('核心假设'!$B$5,9+$F10),SUM('融资租赁与资金缺口'!$D$5:$D$16)*$V10*$C10,0),IF(BP$4=EDATE('核心假设'!$B$5,10+$F10),SUM('融资租赁与资金缺口'!$D$5:$D$16)*$W10*$C10,0),IF(BP$4=EDATE('核心假设'!$B$5,11+$F10),SUM('融资租赁与资金缺口'!$D$5:$D$16)*$X10*$C10,0),IF(BP$4=EDATE('核心假设'!$B$5,12+$F10),SUM('融资租赁与资金缺口'!$D$5:$D$16)*$Y10*$C10,0),IF(BP$4=EDATE('核心假设'!$B$5,13+$F10),SUM('融资租赁与资金缺口'!$D$5:$D$16)*$Z10*$C10,0),IF(BP$4=EDATE('核心假设'!$B$5,14+$F10),SUM('融资租赁与资金缺口'!$D$5:$D$16)*$AA10*$C10,0),IF(BP$4=EDATE('核心假设'!$B$5,15+$F10),SUM('融资租赁与资金缺口'!$D$5:$D$16)*$AB10*$C10,0),IF(BP$4=EDATE('核心假设'!$B$5,16+$F10),SUM('融资租赁与资金缺口'!$D$5:$D$16)*$AC10*$C10,0),IF(BP$4=EDATE('核心假设'!$B$5,17+$F10),SUM('融资租赁与资金缺口'!$D$5:$D$16)*$AD10*$C10,0))-BP39</x:f>
        <x:v>-162003674.3692338</x:v>
      </x:c>
      <x:c r="BQ40" s="28" t="n">
        <x:f>BP40+BQ36-BQ37+SUM(IF(BQ$4=EDATE('核心假设'!$B$5,0+$F10),SUM('融资租赁与资金缺口'!$D$5:$D$16)*$M10*$C10,0),IF(BQ$4=EDATE('核心假设'!$B$5,1+$F10),SUM('融资租赁与资金缺口'!$D$5:$D$16)*$N10*$C10,0),IF(BQ$4=EDATE('核心假设'!$B$5,2+$F10),SUM('融资租赁与资金缺口'!$D$5:$D$16)*$O10*$C10,0),IF(BQ$4=EDATE('核心假设'!$B$5,3+$F10),SUM('融资租赁与资金缺口'!$D$5:$D$16)*$P10*$C10,0),IF(BQ$4=EDATE('核心假设'!$B$5,4+$F10),SUM('融资租赁与资金缺口'!$D$5:$D$16)*$Q10*$C10,0),IF(BQ$4=EDATE('核心假设'!$B$5,5+$F10),SUM('融资租赁与资金缺口'!$D$5:$D$16)*$R10*$C10,0),IF(BQ$4=EDATE('核心假设'!$B$5,6+$F10),SUM('融资租赁与资金缺口'!$D$5:$D$16)*$S10*$C10,0),IF(BQ$4=EDATE('核心假设'!$B$5,7+$F10),SUM('融资租赁与资金缺口'!$D$5:$D$16)*$T10*$C10,0),IF(BQ$4=EDATE('核心假设'!$B$5,8+$F10),SUM('融资租赁与资金缺口'!$D$5:$D$16)*$U10*$C10,0),IF(BQ$4=EDATE('核心假设'!$B$5,9+$F10),SUM('融资租赁与资金缺口'!$D$5:$D$16)*$V10*$C10,0),IF(BQ$4=EDATE('核心假设'!$B$5,10+$F10),SUM('融资租赁与资金缺口'!$D$5:$D$16)*$W10*$C10,0),IF(BQ$4=EDATE('核心假设'!$B$5,11+$F10),SUM('融资租赁与资金缺口'!$D$5:$D$16)*$X10*$C10,0),IF(BQ$4=EDATE('核心假设'!$B$5,12+$F10),SUM('融资租赁与资金缺口'!$D$5:$D$16)*$Y10*$C10,0),IF(BQ$4=EDATE('核心假设'!$B$5,13+$F10),SUM('融资租赁与资金缺口'!$D$5:$D$16)*$Z10*$C10,0),IF(BQ$4=EDATE('核心假设'!$B$5,14+$F10),SUM('融资租赁与资金缺口'!$D$5:$D$16)*$AA10*$C10,0),IF(BQ$4=EDATE('核心假设'!$B$5,15+$F10),SUM('融资租赁与资金缺口'!$D$5:$D$16)*$AB10*$C10,0),IF(BQ$4=EDATE('核心假设'!$B$5,16+$F10),SUM('融资租赁与资金缺口'!$D$5:$D$16)*$AC10*$C10,0),IF(BQ$4=EDATE('核心假设'!$B$5,17+$F10),SUM('融资租赁与资金缺口'!$D$5:$D$16)*$AD10*$C10,0))-BQ39</x:f>
        <x:v>-161389381.71048373</x:v>
      </x:c>
      <x:c r="BR40" s="28" t="n">
        <x:f>BQ40+BR36-BR37+SUM(IF(BR$4=EDATE('核心假设'!$B$5,0+$F10),SUM('融资租赁与资金缺口'!$D$5:$D$16)*$M10*$C10,0),IF(BR$4=EDATE('核心假设'!$B$5,1+$F10),SUM('融资租赁与资金缺口'!$D$5:$D$16)*$N10*$C10,0),IF(BR$4=EDATE('核心假设'!$B$5,2+$F10),SUM('融资租赁与资金缺口'!$D$5:$D$16)*$O10*$C10,0),IF(BR$4=EDATE('核心假设'!$B$5,3+$F10),SUM('融资租赁与资金缺口'!$D$5:$D$16)*$P10*$C10,0),IF(BR$4=EDATE('核心假设'!$B$5,4+$F10),SUM('融资租赁与资金缺口'!$D$5:$D$16)*$Q10*$C10,0),IF(BR$4=EDATE('核心假设'!$B$5,5+$F10),SUM('融资租赁与资金缺口'!$D$5:$D$16)*$R10*$C10,0),IF(BR$4=EDATE('核心假设'!$B$5,6+$F10),SUM('融资租赁与资金缺口'!$D$5:$D$16)*$S10*$C10,0),IF(BR$4=EDATE('核心假设'!$B$5,7+$F10),SUM('融资租赁与资金缺口'!$D$5:$D$16)*$T10*$C10,0),IF(BR$4=EDATE('核心假设'!$B$5,8+$F10),SUM('融资租赁与资金缺口'!$D$5:$D$16)*$U10*$C10,0),IF(BR$4=EDATE('核心假设'!$B$5,9+$F10),SUM('融资租赁与资金缺口'!$D$5:$D$16)*$V10*$C10,0),IF(BR$4=EDATE('核心假设'!$B$5,10+$F10),SUM('融资租赁与资金缺口'!$D$5:$D$16)*$W10*$C10,0),IF(BR$4=EDATE('核心假设'!$B$5,11+$F10),SUM('融资租赁与资金缺口'!$D$5:$D$16)*$X10*$C10,0),IF(BR$4=EDATE('核心假设'!$B$5,12+$F10),SUM('融资租赁与资金缺口'!$D$5:$D$16)*$Y10*$C10,0),IF(BR$4=EDATE('核心假设'!$B$5,13+$F10),SUM('融资租赁与资金缺口'!$D$5:$D$16)*$Z10*$C10,0),IF(BR$4=EDATE('核心假设'!$B$5,14+$F10),SUM('融资租赁与资金缺口'!$D$5:$D$16)*$AA10*$C10,0),IF(BR$4=EDATE('核心假设'!$B$5,15+$F10),SUM('融资租赁与资金缺口'!$D$5:$D$16)*$AB10*$C10,0),IF(BR$4=EDATE('核心假设'!$B$5,16+$F10),SUM('融资租赁与资金缺口'!$D$5:$D$16)*$AC10*$C10,0),IF(BR$4=EDATE('核心假设'!$B$5,17+$F10),SUM('融资租赁与资金缺口'!$D$5:$D$16)*$AD10*$C10,0))-BR39</x:f>
        <x:v>-160646249.78249243</x:v>
      </x:c>
      <x:c r="BS40" s="28" t="n">
        <x:f>BR40+BS36-BS37+SUM(IF(BS$4=EDATE('核心假设'!$B$5,0+$F10),SUM('融资租赁与资金缺口'!$D$5:$D$16)*$M10*$C10,0),IF(BS$4=EDATE('核心假设'!$B$5,1+$F10),SUM('融资租赁与资金缺口'!$D$5:$D$16)*$N10*$C10,0),IF(BS$4=EDATE('核心假设'!$B$5,2+$F10),SUM('融资租赁与资金缺口'!$D$5:$D$16)*$O10*$C10,0),IF(BS$4=EDATE('核心假设'!$B$5,3+$F10),SUM('融资租赁与资金缺口'!$D$5:$D$16)*$P10*$C10,0),IF(BS$4=EDATE('核心假设'!$B$5,4+$F10),SUM('融资租赁与资金缺口'!$D$5:$D$16)*$Q10*$C10,0),IF(BS$4=EDATE('核心假设'!$B$5,5+$F10),SUM('融资租赁与资金缺口'!$D$5:$D$16)*$R10*$C10,0),IF(BS$4=EDATE('核心假设'!$B$5,6+$F10),SUM('融资租赁与资金缺口'!$D$5:$D$16)*$S10*$C10,0),IF(BS$4=EDATE('核心假设'!$B$5,7+$F10),SUM('融资租赁与资金缺口'!$D$5:$D$16)*$T10*$C10,0),IF(BS$4=EDATE('核心假设'!$B$5,8+$F10),SUM('融资租赁与资金缺口'!$D$5:$D$16)*$U10*$C10,0),IF(BS$4=EDATE('核心假设'!$B$5,9+$F10),SUM('融资租赁与资金缺口'!$D$5:$D$16)*$V10*$C10,0),IF(BS$4=EDATE('核心假设'!$B$5,10+$F10),SUM('融资租赁与资金缺口'!$D$5:$D$16)*$W10*$C10,0),IF(BS$4=EDATE('核心假设'!$B$5,11+$F10),SUM('融资租赁与资金缺口'!$D$5:$D$16)*$X10*$C10,0),IF(BS$4=EDATE('核心假设'!$B$5,12+$F10),SUM('融资租赁与资金缺口'!$D$5:$D$16)*$Y10*$C10,0),IF(BS$4=EDATE('核心假设'!$B$5,13+$F10),SUM('融资租赁与资金缺口'!$D$5:$D$16)*$Z10*$C10,0),IF(BS$4=EDATE('核心假设'!$B$5,14+$F10),SUM('融资租赁与资金缺口'!$D$5:$D$16)*$AA10*$C10,0),IF(BS$4=EDATE('核心假设'!$B$5,15+$F10),SUM('融资租赁与资金缺口'!$D$5:$D$16)*$AB10*$C10,0),IF(BS$4=EDATE('核心假设'!$B$5,16+$F10),SUM('融资租赁与资金缺口'!$D$5:$D$16)*$AC10*$C10,0),IF(BS$4=EDATE('核心假设'!$B$5,17+$F10),SUM('融资租赁与资金缺口'!$D$5:$D$16)*$AD10*$C10,0))-BS39</x:f>
        <x:v>-157969021.8266803</x:v>
      </x:c>
      <x:c r="BT40" s="28" t="n">
        <x:f>BS40+BT36-BT37+SUM(IF(BT$4=EDATE('核心假设'!$B$5,0+$F10),SUM('融资租赁与资金缺口'!$D$5:$D$16)*$M10*$C10,0),IF(BT$4=EDATE('核心假设'!$B$5,1+$F10),SUM('融资租赁与资金缺口'!$D$5:$D$16)*$N10*$C10,0),IF(BT$4=EDATE('核心假设'!$B$5,2+$F10),SUM('融资租赁与资金缺口'!$D$5:$D$16)*$O10*$C10,0),IF(BT$4=EDATE('核心假设'!$B$5,3+$F10),SUM('融资租赁与资金缺口'!$D$5:$D$16)*$P10*$C10,0),IF(BT$4=EDATE('核心假设'!$B$5,4+$F10),SUM('融资租赁与资金缺口'!$D$5:$D$16)*$Q10*$C10,0),IF(BT$4=EDATE('核心假设'!$B$5,5+$F10),SUM('融资租赁与资金缺口'!$D$5:$D$16)*$R10*$C10,0),IF(BT$4=EDATE('核心假设'!$B$5,6+$F10),SUM('融资租赁与资金缺口'!$D$5:$D$16)*$S10*$C10,0),IF(BT$4=EDATE('核心假设'!$B$5,7+$F10),SUM('融资租赁与资金缺口'!$D$5:$D$16)*$T10*$C10,0),IF(BT$4=EDATE('核心假设'!$B$5,8+$F10),SUM('融资租赁与资金缺口'!$D$5:$D$16)*$U10*$C10,0),IF(BT$4=EDATE('核心假设'!$B$5,9+$F10),SUM('融资租赁与资金缺口'!$D$5:$D$16)*$V10*$C10,0),IF(BT$4=EDATE('核心假设'!$B$5,10+$F10),SUM('融资租赁与资金缺口'!$D$5:$D$16)*$W10*$C10,0),IF(BT$4=EDATE('核心假设'!$B$5,11+$F10),SUM('融资租赁与资金缺口'!$D$5:$D$16)*$X10*$C10,0),IF(BT$4=EDATE('核心假设'!$B$5,12+$F10),SUM('融资租赁与资金缺口'!$D$5:$D$16)*$Y10*$C10,0),IF(BT$4=EDATE('核心假设'!$B$5,13+$F10),SUM('融资租赁与资金缺口'!$D$5:$D$16)*$Z10*$C10,0),IF(BT$4=EDATE('核心假设'!$B$5,14+$F10),SUM('融资租赁与资金缺口'!$D$5:$D$16)*$AA10*$C10,0),IF(BT$4=EDATE('核心假设'!$B$5,15+$F10),SUM('融资租赁与资金缺口'!$D$5:$D$16)*$AB10*$C10,0),IF(BT$4=EDATE('核心假设'!$B$5,16+$F10),SUM('融资租赁与资金缺口'!$D$5:$D$16)*$AC10*$C10,0),IF(BT$4=EDATE('核心假设'!$B$5,17+$F10),SUM('融资租赁与资金缺口'!$D$5:$D$16)*$AD10*$C10,0))-BT39</x:f>
        <x:v>-156168271.8928675</x:v>
      </x:c>
      <x:c r="BU40" s="28" t="n">
        <x:f>BT40+BU36-BU37+SUM(IF(BU$4=EDATE('核心假设'!$B$5,0+$F10),SUM('融资租赁与资金缺口'!$D$5:$D$16)*$M10*$C10,0),IF(BU$4=EDATE('核心假设'!$B$5,1+$F10),SUM('融资租赁与资金缺口'!$D$5:$D$16)*$N10*$C10,0),IF(BU$4=EDATE('核心假设'!$B$5,2+$F10),SUM('融资租赁与资金缺口'!$D$5:$D$16)*$O10*$C10,0),IF(BU$4=EDATE('核心假设'!$B$5,3+$F10),SUM('融资租赁与资金缺口'!$D$5:$D$16)*$P10*$C10,0),IF(BU$4=EDATE('核心假设'!$B$5,4+$F10),SUM('融资租赁与资金缺口'!$D$5:$D$16)*$Q10*$C10,0),IF(BU$4=EDATE('核心假设'!$B$5,5+$F10),SUM('融资租赁与资金缺口'!$D$5:$D$16)*$R10*$C10,0),IF(BU$4=EDATE('核心假设'!$B$5,6+$F10),SUM('融资租赁与资金缺口'!$D$5:$D$16)*$S10*$C10,0),IF(BU$4=EDATE('核心假设'!$B$5,7+$F10),SUM('融资租赁与资金缺口'!$D$5:$D$16)*$T10*$C10,0),IF(BU$4=EDATE('核心假设'!$B$5,8+$F10),SUM('融资租赁与资金缺口'!$D$5:$D$16)*$U10*$C10,0),IF(BU$4=EDATE('核心假设'!$B$5,9+$F10),SUM('融资租赁与资金缺口'!$D$5:$D$16)*$V10*$C10,0),IF(BU$4=EDATE('核心假设'!$B$5,10+$F10),SUM('融资租赁与资金缺口'!$D$5:$D$16)*$W10*$C10,0),IF(BU$4=EDATE('核心假设'!$B$5,11+$F10),SUM('融资租赁与资金缺口'!$D$5:$D$16)*$X10*$C10,0),IF(BU$4=EDATE('核心假设'!$B$5,12+$F10),SUM('融资租赁与资金缺口'!$D$5:$D$16)*$Y10*$C10,0),IF(BU$4=EDATE('核心假设'!$B$5,13+$F10),SUM('融资租赁与资金缺口'!$D$5:$D$16)*$Z10*$C10,0),IF(BU$4=EDATE('核心假设'!$B$5,14+$F10),SUM('融资租赁与资金缺口'!$D$5:$D$16)*$AA10*$C10,0),IF(BU$4=EDATE('核心假设'!$B$5,15+$F10),SUM('融资租赁与资金缺口'!$D$5:$D$16)*$AB10*$C10,0),IF(BU$4=EDATE('核心假设'!$B$5,16+$F10),SUM('融资租赁与资金缺口'!$D$5:$D$16)*$AC10*$C10,0),IF(BU$4=EDATE('核心假设'!$B$5,17+$F10),SUM('融资租赁与资金缺口'!$D$5:$D$16)*$AD10*$C10,0))-BU39</x:f>
        <x:v>-156585671.8571001</x:v>
      </x:c>
      <x:c r="BV40" s="28" t="n">
        <x:f>BU40+BV36-BV37+SUM(IF(BV$4=EDATE('核心假设'!$B$5,0+$F10),SUM('融资租赁与资金缺口'!$D$5:$D$16)*$M10*$C10,0),IF(BV$4=EDATE('核心假设'!$B$5,1+$F10),SUM('融资租赁与资金缺口'!$D$5:$D$16)*$N10*$C10,0),IF(BV$4=EDATE('核心假设'!$B$5,2+$F10),SUM('融资租赁与资金缺口'!$D$5:$D$16)*$O10*$C10,0),IF(BV$4=EDATE('核心假设'!$B$5,3+$F10),SUM('融资租赁与资金缺口'!$D$5:$D$16)*$P10*$C10,0),IF(BV$4=EDATE('核心假设'!$B$5,4+$F10),SUM('融资租赁与资金缺口'!$D$5:$D$16)*$Q10*$C10,0),IF(BV$4=EDATE('核心假设'!$B$5,5+$F10),SUM('融资租赁与资金缺口'!$D$5:$D$16)*$R10*$C10,0),IF(BV$4=EDATE('核心假设'!$B$5,6+$F10),SUM('融资租赁与资金缺口'!$D$5:$D$16)*$S10*$C10,0),IF(BV$4=EDATE('核心假设'!$B$5,7+$F10),SUM('融资租赁与资金缺口'!$D$5:$D$16)*$T10*$C10,0),IF(BV$4=EDATE('核心假设'!$B$5,8+$F10),SUM('融资租赁与资金缺口'!$D$5:$D$16)*$U10*$C10,0),IF(BV$4=EDATE('核心假设'!$B$5,9+$F10),SUM('融资租赁与资金缺口'!$D$5:$D$16)*$V10*$C10,0),IF(BV$4=EDATE('核心假设'!$B$5,10+$F10),SUM('融资租赁与资金缺口'!$D$5:$D$16)*$W10*$C10,0),IF(BV$4=EDATE('核心假设'!$B$5,11+$F10),SUM('融资租赁与资金缺口'!$D$5:$D$16)*$X10*$C10,0),IF(BV$4=EDATE('核心假设'!$B$5,12+$F10),SUM('融资租赁与资金缺口'!$D$5:$D$16)*$Y10*$C10,0),IF(BV$4=EDATE('核心假设'!$B$5,13+$F10),SUM('融资租赁与资金缺口'!$D$5:$D$16)*$Z10*$C10,0),IF(BV$4=EDATE('核心假设'!$B$5,14+$F10),SUM('融资租赁与资金缺口'!$D$5:$D$16)*$AA10*$C10,0),IF(BV$4=EDATE('核心假设'!$B$5,15+$F10),SUM('融资租赁与资金缺口'!$D$5:$D$16)*$AB10*$C10,0),IF(BV$4=EDATE('核心假设'!$B$5,16+$F10),SUM('融资租赁与资金缺口'!$D$5:$D$16)*$AC10*$C10,0),IF(BV$4=EDATE('核心假设'!$B$5,17+$F10),SUM('融资租赁与资金缺口'!$D$5:$D$16)*$AD10*$C10,0))-BV39</x:f>
        <x:v>-155642157.97866705</x:v>
      </x:c>
      <x:c r="BW40" s="28" t="n">
        <x:f>BV40+BW36-BW37+SUM(IF(BW$4=EDATE('核心假设'!$B$5,0+$F10),SUM('融资租赁与资金缺口'!$D$5:$D$16)*$M10*$C10,0),IF(BW$4=EDATE('核心假设'!$B$5,1+$F10),SUM('融资租赁与资金缺口'!$D$5:$D$16)*$N10*$C10,0),IF(BW$4=EDATE('核心假设'!$B$5,2+$F10),SUM('融资租赁与资金缺口'!$D$5:$D$16)*$O10*$C10,0),IF(BW$4=EDATE('核心假设'!$B$5,3+$F10),SUM('融资租赁与资金缺口'!$D$5:$D$16)*$P10*$C10,0),IF(BW$4=EDATE('核心假设'!$B$5,4+$F10),SUM('融资租赁与资金缺口'!$D$5:$D$16)*$Q10*$C10,0),IF(BW$4=EDATE('核心假设'!$B$5,5+$F10),SUM('融资租赁与资金缺口'!$D$5:$D$16)*$R10*$C10,0),IF(BW$4=EDATE('核心假设'!$B$5,6+$F10),SUM('融资租赁与资金缺口'!$D$5:$D$16)*$S10*$C10,0),IF(BW$4=EDATE('核心假设'!$B$5,7+$F10),SUM('融资租赁与资金缺口'!$D$5:$D$16)*$T10*$C10,0),IF(BW$4=EDATE('核心假设'!$B$5,8+$F10),SUM('融资租赁与资金缺口'!$D$5:$D$16)*$U10*$C10,0),IF(BW$4=EDATE('核心假设'!$B$5,9+$F10),SUM('融资租赁与资金缺口'!$D$5:$D$16)*$V10*$C10,0),IF(BW$4=EDATE('核心假设'!$B$5,10+$F10),SUM('融资租赁与资金缺口'!$D$5:$D$16)*$W10*$C10,0),IF(BW$4=EDATE('核心假设'!$B$5,11+$F10),SUM('融资租赁与资金缺口'!$D$5:$D$16)*$X10*$C10,0),IF(BW$4=EDATE('核心假设'!$B$5,12+$F10),SUM('融资租赁与资金缺口'!$D$5:$D$16)*$Y10*$C10,0),IF(BW$4=EDATE('核心假设'!$B$5,13+$F10),SUM('融资租赁与资金缺口'!$D$5:$D$16)*$Z10*$C10,0),IF(BW$4=EDATE('核心假设'!$B$5,14+$F10),SUM('融资租赁与资金缺口'!$D$5:$D$16)*$AA10*$C10,0),IF(BW$4=EDATE('核心假设'!$B$5,15+$F10),SUM('融资租赁与资金缺口'!$D$5:$D$16)*$AB10*$C10,0),IF(BW$4=EDATE('核心假设'!$B$5,16+$F10),SUM('融资租赁与资金缺口'!$D$5:$D$16)*$AC10*$C10,0),IF(BW$4=EDATE('核心假设'!$B$5,17+$F10),SUM('融资租赁与资金缺口'!$D$5:$D$16)*$AD10*$C10,0))-BW39</x:f>
        <x:v>-153891899.6067667</x:v>
      </x:c>
      <x:c r="BX40" s="28" t="n">
        <x:f>BW40+BX36-BX37+SUM(IF(BX$4=EDATE('核心假设'!$B$5,0+$F10),SUM('融资租赁与资金缺口'!$D$5:$D$16)*$M10*$C10,0),IF(BX$4=EDATE('核心假设'!$B$5,1+$F10),SUM('融资租赁与资金缺口'!$D$5:$D$16)*$N10*$C10,0),IF(BX$4=EDATE('核心假设'!$B$5,2+$F10),SUM('融资租赁与资金缺口'!$D$5:$D$16)*$O10*$C10,0),IF(BX$4=EDATE('核心假设'!$B$5,3+$F10),SUM('融资租赁与资金缺口'!$D$5:$D$16)*$P10*$C10,0),IF(BX$4=EDATE('核心假设'!$B$5,4+$F10),SUM('融资租赁与资金缺口'!$D$5:$D$16)*$Q10*$C10,0),IF(BX$4=EDATE('核心假设'!$B$5,5+$F10),SUM('融资租赁与资金缺口'!$D$5:$D$16)*$R10*$C10,0),IF(BX$4=EDATE('核心假设'!$B$5,6+$F10),SUM('融资租赁与资金缺口'!$D$5:$D$16)*$S10*$C10,0),IF(BX$4=EDATE('核心假设'!$B$5,7+$F10),SUM('融资租赁与资金缺口'!$D$5:$D$16)*$T10*$C10,0),IF(BX$4=EDATE('核心假设'!$B$5,8+$F10),SUM('融资租赁与资金缺口'!$D$5:$D$16)*$U10*$C10,0),IF(BX$4=EDATE('核心假设'!$B$5,9+$F10),SUM('融资租赁与资金缺口'!$D$5:$D$16)*$V10*$C10,0),IF(BX$4=EDATE('核心假设'!$B$5,10+$F10),SUM('融资租赁与资金缺口'!$D$5:$D$16)*$W10*$C10,0),IF(BX$4=EDATE('核心假设'!$B$5,11+$F10),SUM('融资租赁与资金缺口'!$D$5:$D$16)*$X10*$C10,0),IF(BX$4=EDATE('核心假设'!$B$5,12+$F10),SUM('融资租赁与资金缺口'!$D$5:$D$16)*$Y10*$C10,0),IF(BX$4=EDATE('核心假设'!$B$5,13+$F10),SUM('融资租赁与资金缺口'!$D$5:$D$16)*$Z10*$C10,0),IF(BX$4=EDATE('核心假设'!$B$5,14+$F10),SUM('融资租赁与资金缺口'!$D$5:$D$16)*$AA10*$C10,0),IF(BX$4=EDATE('核心假设'!$B$5,15+$F10),SUM('融资租赁与资金缺口'!$D$5:$D$16)*$AB10*$C10,0),IF(BX$4=EDATE('核心假设'!$B$5,16+$F10),SUM('融资租赁与资金缺口'!$D$5:$D$16)*$AC10*$C10,0),IF(BX$4=EDATE('核心假设'!$B$5,17+$F10),SUM('融资租赁与资金缺口'!$D$5:$D$16)*$AD10*$C10,0))-BX39</x:f>
        <x:v>-150964028.53071606</x:v>
      </x:c>
      <x:c r="BY40" s="28" t="n">
        <x:f>BX40+BY36-BY37+SUM(IF(BY$4=EDATE('核心假设'!$B$5,0+$F10),SUM('融资租赁与资金缺口'!$D$5:$D$16)*$M10*$C10,0),IF(BY$4=EDATE('核心假设'!$B$5,1+$F10),SUM('融资租赁与资金缺口'!$D$5:$D$16)*$N10*$C10,0),IF(BY$4=EDATE('核心假设'!$B$5,2+$F10),SUM('融资租赁与资金缺口'!$D$5:$D$16)*$O10*$C10,0),IF(BY$4=EDATE('核心假设'!$B$5,3+$F10),SUM('融资租赁与资金缺口'!$D$5:$D$16)*$P10*$C10,0),IF(BY$4=EDATE('核心假设'!$B$5,4+$F10),SUM('融资租赁与资金缺口'!$D$5:$D$16)*$Q10*$C10,0),IF(BY$4=EDATE('核心假设'!$B$5,5+$F10),SUM('融资租赁与资金缺口'!$D$5:$D$16)*$R10*$C10,0),IF(BY$4=EDATE('核心假设'!$B$5,6+$F10),SUM('融资租赁与资金缺口'!$D$5:$D$16)*$S10*$C10,0),IF(BY$4=EDATE('核心假设'!$B$5,7+$F10),SUM('融资租赁与资金缺口'!$D$5:$D$16)*$T10*$C10,0),IF(BY$4=EDATE('核心假设'!$B$5,8+$F10),SUM('融资租赁与资金缺口'!$D$5:$D$16)*$U10*$C10,0),IF(BY$4=EDATE('核心假设'!$B$5,9+$F10),SUM('融资租赁与资金缺口'!$D$5:$D$16)*$V10*$C10,0),IF(BY$4=EDATE('核心假设'!$B$5,10+$F10),SUM('融资租赁与资金缺口'!$D$5:$D$16)*$W10*$C10,0),IF(BY$4=EDATE('核心假设'!$B$5,11+$F10),SUM('融资租赁与资金缺口'!$D$5:$D$16)*$X10*$C10,0),IF(BY$4=EDATE('核心假设'!$B$5,12+$F10),SUM('融资租赁与资金缺口'!$D$5:$D$16)*$Y10*$C10,0),IF(BY$4=EDATE('核心假设'!$B$5,13+$F10),SUM('融资租赁与资金缺口'!$D$5:$D$16)*$Z10*$C10,0),IF(BY$4=EDATE('核心假设'!$B$5,14+$F10),SUM('融资租赁与资金缺口'!$D$5:$D$16)*$AA10*$C10,0),IF(BY$4=EDATE('核心假设'!$B$5,15+$F10),SUM('融资租赁与资金缺口'!$D$5:$D$16)*$AB10*$C10,0),IF(BY$4=EDATE('核心假设'!$B$5,16+$F10),SUM('融资租赁与资金缺口'!$D$5:$D$16)*$AC10*$C10,0),IF(BY$4=EDATE('核心假设'!$B$5,17+$F10),SUM('融资租赁与资金缺口'!$D$5:$D$16)*$AD10*$C10,0))-BY39</x:f>
        <x:v>-146244429.4490952</x:v>
      </x:c>
      <x:c r="BZ40" s="28" t="n">
        <x:f>BY40+BZ36-BZ37+SUM(IF(BZ$4=EDATE('核心假设'!$B$5,0+$F10),SUM('融资租赁与资金缺口'!$D$5:$D$16)*$M10*$C10,0),IF(BZ$4=EDATE('核心假设'!$B$5,1+$F10),SUM('融资租赁与资金缺口'!$D$5:$D$16)*$N10*$C10,0),IF(BZ$4=EDATE('核心假设'!$B$5,2+$F10),SUM('融资租赁与资金缺口'!$D$5:$D$16)*$O10*$C10,0),IF(BZ$4=EDATE('核心假设'!$B$5,3+$F10),SUM('融资租赁与资金缺口'!$D$5:$D$16)*$P10*$C10,0),IF(BZ$4=EDATE('核心假设'!$B$5,4+$F10),SUM('融资租赁与资金缺口'!$D$5:$D$16)*$Q10*$C10,0),IF(BZ$4=EDATE('核心假设'!$B$5,5+$F10),SUM('融资租赁与资金缺口'!$D$5:$D$16)*$R10*$C10,0),IF(BZ$4=EDATE('核心假设'!$B$5,6+$F10),SUM('融资租赁与资金缺口'!$D$5:$D$16)*$S10*$C10,0),IF(BZ$4=EDATE('核心假设'!$B$5,7+$F10),SUM('融资租赁与资金缺口'!$D$5:$D$16)*$T10*$C10,0),IF(BZ$4=EDATE('核心假设'!$B$5,8+$F10),SUM('融资租赁与资金缺口'!$D$5:$D$16)*$U10*$C10,0),IF(BZ$4=EDATE('核心假设'!$B$5,9+$F10),SUM('融资租赁与资金缺口'!$D$5:$D$16)*$V10*$C10,0),IF(BZ$4=EDATE('核心假设'!$B$5,10+$F10),SUM('融资租赁与资金缺口'!$D$5:$D$16)*$W10*$C10,0),IF(BZ$4=EDATE('核心假设'!$B$5,11+$F10),SUM('融资租赁与资金缺口'!$D$5:$D$16)*$X10*$C10,0),IF(BZ$4=EDATE('核心假设'!$B$5,12+$F10),SUM('融资租赁与资金缺口'!$D$5:$D$16)*$Y10*$C10,0),IF(BZ$4=EDATE('核心假设'!$B$5,13+$F10),SUM('融资租赁与资金缺口'!$D$5:$D$16)*$Z10*$C10,0),IF(BZ$4=EDATE('核心假设'!$B$5,14+$F10),SUM('融资租赁与资金缺口'!$D$5:$D$16)*$AA10*$C10,0),IF(BZ$4=EDATE('核心假设'!$B$5,15+$F10),SUM('融资租赁与资金缺口'!$D$5:$D$16)*$AB10*$C10,0),IF(BZ$4=EDATE('核心假设'!$B$5,16+$F10),SUM('融资租赁与资金缺口'!$D$5:$D$16)*$AC10*$C10,0),IF(BZ$4=EDATE('核心假设'!$B$5,17+$F10),SUM('融资租赁与资金缺口'!$D$5:$D$16)*$AD10*$C10,0))-BZ39</x:f>
        <x:v>-139530336.52309167</x:v>
      </x:c>
      <x:c r="CA40" s="28" t="n">
        <x:f>BZ40+CA36-CA37+SUM(IF(CA$4=EDATE('核心假设'!$B$5,0+$F10),SUM('融资租赁与资金缺口'!$D$5:$D$16)*$M10*$C10,0),IF(CA$4=EDATE('核心假设'!$B$5,1+$F10),SUM('融资租赁与资金缺口'!$D$5:$D$16)*$N10*$C10,0),IF(CA$4=EDATE('核心假设'!$B$5,2+$F10),SUM('融资租赁与资金缺口'!$D$5:$D$16)*$O10*$C10,0),IF(CA$4=EDATE('核心假设'!$B$5,3+$F10),SUM('融资租赁与资金缺口'!$D$5:$D$16)*$P10*$C10,0),IF(CA$4=EDATE('核心假设'!$B$5,4+$F10),SUM('融资租赁与资金缺口'!$D$5:$D$16)*$Q10*$C10,0),IF(CA$4=EDATE('核心假设'!$B$5,5+$F10),SUM('融资租赁与资金缺口'!$D$5:$D$16)*$R10*$C10,0),IF(CA$4=EDATE('核心假设'!$B$5,6+$F10),SUM('融资租赁与资金缺口'!$D$5:$D$16)*$S10*$C10,0),IF(CA$4=EDATE('核心假设'!$B$5,7+$F10),SUM('融资租赁与资金缺口'!$D$5:$D$16)*$T10*$C10,0),IF(CA$4=EDATE('核心假设'!$B$5,8+$F10),SUM('融资租赁与资金缺口'!$D$5:$D$16)*$U10*$C10,0),IF(CA$4=EDATE('核心假设'!$B$5,9+$F10),SUM('融资租赁与资金缺口'!$D$5:$D$16)*$V10*$C10,0),IF(CA$4=EDATE('核心假设'!$B$5,10+$F10),SUM('融资租赁与资金缺口'!$D$5:$D$16)*$W10*$C10,0),IF(CA$4=EDATE('核心假设'!$B$5,11+$F10),SUM('融资租赁与资金缺口'!$D$5:$D$16)*$X10*$C10,0),IF(CA$4=EDATE('核心假设'!$B$5,12+$F10),SUM('融资租赁与资金缺口'!$D$5:$D$16)*$Y10*$C10,0),IF(CA$4=EDATE('核心假设'!$B$5,13+$F10),SUM('融资租赁与资金缺口'!$D$5:$D$16)*$Z10*$C10,0),IF(CA$4=EDATE('核心假设'!$B$5,14+$F10),SUM('融资租赁与资金缺口'!$D$5:$D$16)*$AA10*$C10,0),IF(CA$4=EDATE('核心假设'!$B$5,15+$F10),SUM('融资租赁与资金缺口'!$D$5:$D$16)*$AB10*$C10,0),IF(CA$4=EDATE('核心假设'!$B$5,16+$F10),SUM('融资租赁与资金缺口'!$D$5:$D$16)*$AC10*$C10,0),IF(CA$4=EDATE('核心假设'!$B$5,17+$F10),SUM('融资租赁与资金缺口'!$D$5:$D$16)*$AD10*$C10,0))-CA39</x:f>
        <x:v>-131306048.19520758</x:v>
      </x:c>
      <x:c r="CB40" s="28" t="n">
        <x:f>CA40+CB36-CB37+SUM(IF(CB$4=EDATE('核心假设'!$B$5,0+$F10),SUM('融资租赁与资金缺口'!$D$5:$D$16)*$M10*$C10,0),IF(CB$4=EDATE('核心假设'!$B$5,1+$F10),SUM('融资租赁与资金缺口'!$D$5:$D$16)*$N10*$C10,0),IF(CB$4=EDATE('核心假设'!$B$5,2+$F10),SUM('融资租赁与资金缺口'!$D$5:$D$16)*$O10*$C10,0),IF(CB$4=EDATE('核心假设'!$B$5,3+$F10),SUM('融资租赁与资金缺口'!$D$5:$D$16)*$P10*$C10,0),IF(CB$4=EDATE('核心假设'!$B$5,4+$F10),SUM('融资租赁与资金缺口'!$D$5:$D$16)*$Q10*$C10,0),IF(CB$4=EDATE('核心假设'!$B$5,5+$F10),SUM('融资租赁与资金缺口'!$D$5:$D$16)*$R10*$C10,0),IF(CB$4=EDATE('核心假设'!$B$5,6+$F10),SUM('融资租赁与资金缺口'!$D$5:$D$16)*$S10*$C10,0),IF(CB$4=EDATE('核心假设'!$B$5,7+$F10),SUM('融资租赁与资金缺口'!$D$5:$D$16)*$T10*$C10,0),IF(CB$4=EDATE('核心假设'!$B$5,8+$F10),SUM('融资租赁与资金缺口'!$D$5:$D$16)*$U10*$C10,0),IF(CB$4=EDATE('核心假设'!$B$5,9+$F10),SUM('融资租赁与资金缺口'!$D$5:$D$16)*$V10*$C10,0),IF(CB$4=EDATE('核心假设'!$B$5,10+$F10),SUM('融资租赁与资金缺口'!$D$5:$D$16)*$W10*$C10,0),IF(CB$4=EDATE('核心假设'!$B$5,11+$F10),SUM('融资租赁与资金缺口'!$D$5:$D$16)*$X10*$C10,0),IF(CB$4=EDATE('核心假设'!$B$5,12+$F10),SUM('融资租赁与资金缺口'!$D$5:$D$16)*$Y10*$C10,0),IF(CB$4=EDATE('核心假设'!$B$5,13+$F10),SUM('融资租赁与资金缺口'!$D$5:$D$16)*$Z10*$C10,0),IF(CB$4=EDATE('核心假设'!$B$5,14+$F10),SUM('融资租赁与资金缺口'!$D$5:$D$16)*$AA10*$C10,0),IF(CB$4=EDATE('核心假设'!$B$5,15+$F10),SUM('融资租赁与资金缺口'!$D$5:$D$16)*$AB10*$C10,0),IF(CB$4=EDATE('核心假设'!$B$5,16+$F10),SUM('融资租赁与资金缺口'!$D$5:$D$16)*$AC10*$C10,0),IF(CB$4=EDATE('核心假设'!$B$5,17+$F10),SUM('融资租赁与资金缺口'!$D$5:$D$16)*$AD10*$C10,0))-CB39</x:f>
        <x:v>-123168943.2213142</x:v>
      </x:c>
      <x:c r="CC40" s="28" t="n">
        <x:f>CB40+CC36-CC37+SUM(IF(CC$4=EDATE('核心假设'!$B$5,0+$F10),SUM('融资租赁与资金缺口'!$D$5:$D$16)*$M10*$C10,0),IF(CC$4=EDATE('核心假设'!$B$5,1+$F10),SUM('融资租赁与资金缺口'!$D$5:$D$16)*$N10*$C10,0),IF(CC$4=EDATE('核心假设'!$B$5,2+$F10),SUM('融资租赁与资金缺口'!$D$5:$D$16)*$O10*$C10,0),IF(CC$4=EDATE('核心假设'!$B$5,3+$F10),SUM('融资租赁与资金缺口'!$D$5:$D$16)*$P10*$C10,0),IF(CC$4=EDATE('核心假设'!$B$5,4+$F10),SUM('融资租赁与资金缺口'!$D$5:$D$16)*$Q10*$C10,0),IF(CC$4=EDATE('核心假设'!$B$5,5+$F10),SUM('融资租赁与资金缺口'!$D$5:$D$16)*$R10*$C10,0),IF(CC$4=EDATE('核心假设'!$B$5,6+$F10),SUM('融资租赁与资金缺口'!$D$5:$D$16)*$S10*$C10,0),IF(CC$4=EDATE('核心假设'!$B$5,7+$F10),SUM('融资租赁与资金缺口'!$D$5:$D$16)*$T10*$C10,0),IF(CC$4=EDATE('核心假设'!$B$5,8+$F10),SUM('融资租赁与资金缺口'!$D$5:$D$16)*$U10*$C10,0),IF(CC$4=EDATE('核心假设'!$B$5,9+$F10),SUM('融资租赁与资金缺口'!$D$5:$D$16)*$V10*$C10,0),IF(CC$4=EDATE('核心假设'!$B$5,10+$F10),SUM('融资租赁与资金缺口'!$D$5:$D$16)*$W10*$C10,0),IF(CC$4=EDATE('核心假设'!$B$5,11+$F10),SUM('融资租赁与资金缺口'!$D$5:$D$16)*$X10*$C10,0),IF(CC$4=EDATE('核心假设'!$B$5,12+$F10),SUM('融资租赁与资金缺口'!$D$5:$D$16)*$Y10*$C10,0),IF(CC$4=EDATE('核心假设'!$B$5,13+$F10),SUM('融资租赁与资金缺口'!$D$5:$D$16)*$Z10*$C10,0),IF(CC$4=EDATE('核心假设'!$B$5,14+$F10),SUM('融资租赁与资金缺口'!$D$5:$D$16)*$AA10*$C10,0),IF(CC$4=EDATE('核心假设'!$B$5,15+$F10),SUM('融资租赁与资金缺口'!$D$5:$D$16)*$AB10*$C10,0),IF(CC$4=EDATE('核心假设'!$B$5,16+$F10),SUM('融资租赁与资金缺口'!$D$5:$D$16)*$AC10*$C10,0),IF(CC$4=EDATE('核心假设'!$B$5,17+$F10),SUM('融资租赁与资金缺口'!$D$5:$D$16)*$AD10*$C10,0))-CC39</x:f>
        <x:v>-114459268.21808183</x:v>
      </x:c>
      <x:c r="CD40" s="28" t="n">
        <x:f>CC40+CD36-CD37+SUM(IF(CD$4=EDATE('核心假设'!$B$5,0+$F10),SUM('融资租赁与资金缺口'!$D$5:$D$16)*$M10*$C10,0),IF(CD$4=EDATE('核心假设'!$B$5,1+$F10),SUM('融资租赁与资金缺口'!$D$5:$D$16)*$N10*$C10,0),IF(CD$4=EDATE('核心假设'!$B$5,2+$F10),SUM('融资租赁与资金缺口'!$D$5:$D$16)*$O10*$C10,0),IF(CD$4=EDATE('核心假设'!$B$5,3+$F10),SUM('融资租赁与资金缺口'!$D$5:$D$16)*$P10*$C10,0),IF(CD$4=EDATE('核心假设'!$B$5,4+$F10),SUM('融资租赁与资金缺口'!$D$5:$D$16)*$Q10*$C10,0),IF(CD$4=EDATE('核心假设'!$B$5,5+$F10),SUM('融资租赁与资金缺口'!$D$5:$D$16)*$R10*$C10,0),IF(CD$4=EDATE('核心假设'!$B$5,6+$F10),SUM('融资租赁与资金缺口'!$D$5:$D$16)*$S10*$C10,0),IF(CD$4=EDATE('核心假设'!$B$5,7+$F10),SUM('融资租赁与资金缺口'!$D$5:$D$16)*$T10*$C10,0),IF(CD$4=EDATE('核心假设'!$B$5,8+$F10),SUM('融资租赁与资金缺口'!$D$5:$D$16)*$U10*$C10,0),IF(CD$4=EDATE('核心假设'!$B$5,9+$F10),SUM('融资租赁与资金缺口'!$D$5:$D$16)*$V10*$C10,0),IF(CD$4=EDATE('核心假设'!$B$5,10+$F10),SUM('融资租赁与资金缺口'!$D$5:$D$16)*$W10*$C10,0),IF(CD$4=EDATE('核心假设'!$B$5,11+$F10),SUM('融资租赁与资金缺口'!$D$5:$D$16)*$X10*$C10,0),IF(CD$4=EDATE('核心假设'!$B$5,12+$F10),SUM('融资租赁与资金缺口'!$D$5:$D$16)*$Y10*$C10,0),IF(CD$4=EDATE('核心假设'!$B$5,13+$F10),SUM('融资租赁与资金缺口'!$D$5:$D$16)*$Z10*$C10,0),IF(CD$4=EDATE('核心假设'!$B$5,14+$F10),SUM('融资租赁与资金缺口'!$D$5:$D$16)*$AA10*$C10,0),IF(CD$4=EDATE('核心假设'!$B$5,15+$F10),SUM('融资租赁与资金缺口'!$D$5:$D$16)*$AB10*$C10,0),IF(CD$4=EDATE('核心假设'!$B$5,16+$F10),SUM('融资租赁与资金缺口'!$D$5:$D$16)*$AC10*$C10,0),IF(CD$4=EDATE('核心假设'!$B$5,17+$F10),SUM('融资租赁与资金缺口'!$D$5:$D$16)*$AD10*$C10,0))-CD39</x:f>
        <x:v>-104485143.51263481</x:v>
      </x:c>
      <x:c r="CE40" s="28" t="n">
        <x:f>CD40+CE36-CE37+SUM(IF(CE$4=EDATE('核心假设'!$B$5,0+$F10),SUM('融资租赁与资金缺口'!$D$5:$D$16)*$M10*$C10,0),IF(CE$4=EDATE('核心假设'!$B$5,1+$F10),SUM('融资租赁与资金缺口'!$D$5:$D$16)*$N10*$C10,0),IF(CE$4=EDATE('核心假设'!$B$5,2+$F10),SUM('融资租赁与资金缺口'!$D$5:$D$16)*$O10*$C10,0),IF(CE$4=EDATE('核心假设'!$B$5,3+$F10),SUM('融资租赁与资金缺口'!$D$5:$D$16)*$P10*$C10,0),IF(CE$4=EDATE('核心假设'!$B$5,4+$F10),SUM('融资租赁与资金缺口'!$D$5:$D$16)*$Q10*$C10,0),IF(CE$4=EDATE('核心假设'!$B$5,5+$F10),SUM('融资租赁与资金缺口'!$D$5:$D$16)*$R10*$C10,0),IF(CE$4=EDATE('核心假设'!$B$5,6+$F10),SUM('融资租赁与资金缺口'!$D$5:$D$16)*$S10*$C10,0),IF(CE$4=EDATE('核心假设'!$B$5,7+$F10),SUM('融资租赁与资金缺口'!$D$5:$D$16)*$T10*$C10,0),IF(CE$4=EDATE('核心假设'!$B$5,8+$F10),SUM('融资租赁与资金缺口'!$D$5:$D$16)*$U10*$C10,0),IF(CE$4=EDATE('核心假设'!$B$5,9+$F10),SUM('融资租赁与资金缺口'!$D$5:$D$16)*$V10*$C10,0),IF(CE$4=EDATE('核心假设'!$B$5,10+$F10),SUM('融资租赁与资金缺口'!$D$5:$D$16)*$W10*$C10,0),IF(CE$4=EDATE('核心假设'!$B$5,11+$F10),SUM('融资租赁与资金缺口'!$D$5:$D$16)*$X10*$C10,0),IF(CE$4=EDATE('核心假设'!$B$5,12+$F10),SUM('融资租赁与资金缺口'!$D$5:$D$16)*$Y10*$C10,0),IF(CE$4=EDATE('核心假设'!$B$5,13+$F10),SUM('融资租赁与资金缺口'!$D$5:$D$16)*$Z10*$C10,0),IF(CE$4=EDATE('核心假设'!$B$5,14+$F10),SUM('融资租赁与资金缺口'!$D$5:$D$16)*$AA10*$C10,0),IF(CE$4=EDATE('核心假设'!$B$5,15+$F10),SUM('融资租赁与资金缺口'!$D$5:$D$16)*$AB10*$C10,0),IF(CE$4=EDATE('核心假设'!$B$5,16+$F10),SUM('融资租赁与资金缺口'!$D$5:$D$16)*$AC10*$C10,0),IF(CE$4=EDATE('核心假设'!$B$5,17+$F10),SUM('融资租赁与资金缺口'!$D$5:$D$16)*$AD10*$C10,0))-CE39</x:f>
        <x:v>-91912479.67481077</x:v>
      </x:c>
      <x:c r="CF40" s="28" t="n">
        <x:f>CE40+CF36-CF37+SUM(IF(CF$4=EDATE('核心假设'!$B$5,0+$F10),SUM('融资租赁与资金缺口'!$D$5:$D$16)*$M10*$C10,0),IF(CF$4=EDATE('核心假设'!$B$5,1+$F10),SUM('融资租赁与资金缺口'!$D$5:$D$16)*$N10*$C10,0),IF(CF$4=EDATE('核心假设'!$B$5,2+$F10),SUM('融资租赁与资金缺口'!$D$5:$D$16)*$O10*$C10,0),IF(CF$4=EDATE('核心假设'!$B$5,3+$F10),SUM('融资租赁与资金缺口'!$D$5:$D$16)*$P10*$C10,0),IF(CF$4=EDATE('核心假设'!$B$5,4+$F10),SUM('融资租赁与资金缺口'!$D$5:$D$16)*$Q10*$C10,0),IF(CF$4=EDATE('核心假设'!$B$5,5+$F10),SUM('融资租赁与资金缺口'!$D$5:$D$16)*$R10*$C10,0),IF(CF$4=EDATE('核心假设'!$B$5,6+$F10),SUM('融资租赁与资金缺口'!$D$5:$D$16)*$S10*$C10,0),IF(CF$4=EDATE('核心假设'!$B$5,7+$F10),SUM('融资租赁与资金缺口'!$D$5:$D$16)*$T10*$C10,0),IF(CF$4=EDATE('核心假设'!$B$5,8+$F10),SUM('融资租赁与资金缺口'!$D$5:$D$16)*$U10*$C10,0),IF(CF$4=EDATE('核心假设'!$B$5,9+$F10),SUM('融资租赁与资金缺口'!$D$5:$D$16)*$V10*$C10,0),IF(CF$4=EDATE('核心假设'!$B$5,10+$F10),SUM('融资租赁与资金缺口'!$D$5:$D$16)*$W10*$C10,0),IF(CF$4=EDATE('核心假设'!$B$5,11+$F10),SUM('融资租赁与资金缺口'!$D$5:$D$16)*$X10*$C10,0),IF(CF$4=EDATE('核心假设'!$B$5,12+$F10),SUM('融资租赁与资金缺口'!$D$5:$D$16)*$Y10*$C10,0),IF(CF$4=EDATE('核心假设'!$B$5,13+$F10),SUM('融资租赁与资金缺口'!$D$5:$D$16)*$Z10*$C10,0),IF(CF$4=EDATE('核心假设'!$B$5,14+$F10),SUM('融资租赁与资金缺口'!$D$5:$D$16)*$AA10*$C10,0),IF(CF$4=EDATE('核心假设'!$B$5,15+$F10),SUM('融资租赁与资金缺口'!$D$5:$D$16)*$AB10*$C10,0),IF(CF$4=EDATE('核心假设'!$B$5,16+$F10),SUM('融资租赁与资金缺口'!$D$5:$D$16)*$AC10*$C10,0),IF(CF$4=EDATE('核心假设'!$B$5,17+$F10),SUM('融资租赁与资金缺口'!$D$5:$D$16)*$AD10*$C10,0))-CF39</x:f>
        <x:v>-79938402.30670793</x:v>
      </x:c>
      <x:c r="CG40" s="28" t="n">
        <x:f>CF40+CG36-CG37+SUM(IF(CG$4=EDATE('核心假设'!$B$5,0+$F10),SUM('融资租赁与资金缺口'!$D$5:$D$16)*$M10*$C10,0),IF(CG$4=EDATE('核心假设'!$B$5,1+$F10),SUM('融资租赁与资金缺口'!$D$5:$D$16)*$N10*$C10,0),IF(CG$4=EDATE('核心假设'!$B$5,2+$F10),SUM('融资租赁与资金缺口'!$D$5:$D$16)*$O10*$C10,0),IF(CG$4=EDATE('核心假设'!$B$5,3+$F10),SUM('融资租赁与资金缺口'!$D$5:$D$16)*$P10*$C10,0),IF(CG$4=EDATE('核心假设'!$B$5,4+$F10),SUM('融资租赁与资金缺口'!$D$5:$D$16)*$Q10*$C10,0),IF(CG$4=EDATE('核心假设'!$B$5,5+$F10),SUM('融资租赁与资金缺口'!$D$5:$D$16)*$R10*$C10,0),IF(CG$4=EDATE('核心假设'!$B$5,6+$F10),SUM('融资租赁与资金缺口'!$D$5:$D$16)*$S10*$C10,0),IF(CG$4=EDATE('核心假设'!$B$5,7+$F10),SUM('融资租赁与资金缺口'!$D$5:$D$16)*$T10*$C10,0),IF(CG$4=EDATE('核心假设'!$B$5,8+$F10),SUM('融资租赁与资金缺口'!$D$5:$D$16)*$U10*$C10,0),IF(CG$4=EDATE('核心假设'!$B$5,9+$F10),SUM('融资租赁与资金缺口'!$D$5:$D$16)*$V10*$C10,0),IF(CG$4=EDATE('核心假设'!$B$5,10+$F10),SUM('融资租赁与资金缺口'!$D$5:$D$16)*$W10*$C10,0),IF(CG$4=EDATE('核心假设'!$B$5,11+$F10),SUM('融资租赁与资金缺口'!$D$5:$D$16)*$X10*$C10,0),IF(CG$4=EDATE('核心假设'!$B$5,12+$F10),SUM('融资租赁与资金缺口'!$D$5:$D$16)*$Y10*$C10,0),IF(CG$4=EDATE('核心假设'!$B$5,13+$F10),SUM('融资租赁与资金缺口'!$D$5:$D$16)*$Z10*$C10,0),IF(CG$4=EDATE('核心假设'!$B$5,14+$F10),SUM('融资租赁与资金缺口'!$D$5:$D$16)*$AA10*$C10,0),IF(CG$4=EDATE('核心假设'!$B$5,15+$F10),SUM('融资租赁与资金缺口'!$D$5:$D$16)*$AB10*$C10,0),IF(CG$4=EDATE('核心假设'!$B$5,16+$F10),SUM('融资租赁与资金缺口'!$D$5:$D$16)*$AC10*$C10,0),IF(CG$4=EDATE('核心假设'!$B$5,17+$F10),SUM('融资租赁与资金缺口'!$D$5:$D$16)*$AD10*$C10,0))-CG39</x:f>
        <x:v>-69795923.28437239</x:v>
      </x:c>
      <x:c r="CH40" s="28" t="n">
        <x:f>CG40+CH36-CH37+SUM(IF(CH$4=EDATE('核心假设'!$B$5,0+$F10),SUM('融资租赁与资金缺口'!$D$5:$D$16)*$M10*$C10,0),IF(CH$4=EDATE('核心假设'!$B$5,1+$F10),SUM('融资租赁与资金缺口'!$D$5:$D$16)*$N10*$C10,0),IF(CH$4=EDATE('核心假设'!$B$5,2+$F10),SUM('融资租赁与资金缺口'!$D$5:$D$16)*$O10*$C10,0),IF(CH$4=EDATE('核心假设'!$B$5,3+$F10),SUM('融资租赁与资金缺口'!$D$5:$D$16)*$P10*$C10,0),IF(CH$4=EDATE('核心假设'!$B$5,4+$F10),SUM('融资租赁与资金缺口'!$D$5:$D$16)*$Q10*$C10,0),IF(CH$4=EDATE('核心假设'!$B$5,5+$F10),SUM('融资租赁与资金缺口'!$D$5:$D$16)*$R10*$C10,0),IF(CH$4=EDATE('核心假设'!$B$5,6+$F10),SUM('融资租赁与资金缺口'!$D$5:$D$16)*$S10*$C10,0),IF(CH$4=EDATE('核心假设'!$B$5,7+$F10),SUM('融资租赁与资金缺口'!$D$5:$D$16)*$T10*$C10,0),IF(CH$4=EDATE('核心假设'!$B$5,8+$F10),SUM('融资租赁与资金缺口'!$D$5:$D$16)*$U10*$C10,0),IF(CH$4=EDATE('核心假设'!$B$5,9+$F10),SUM('融资租赁与资金缺口'!$D$5:$D$16)*$V10*$C10,0),IF(CH$4=EDATE('核心假设'!$B$5,10+$F10),SUM('融资租赁与资金缺口'!$D$5:$D$16)*$W10*$C10,0),IF(CH$4=EDATE('核心假设'!$B$5,11+$F10),SUM('融资租赁与资金缺口'!$D$5:$D$16)*$X10*$C10,0),IF(CH$4=EDATE('核心假设'!$B$5,12+$F10),SUM('融资租赁与资金缺口'!$D$5:$D$16)*$Y10*$C10,0),IF(CH$4=EDATE('核心假设'!$B$5,13+$F10),SUM('融资租赁与资金缺口'!$D$5:$D$16)*$Z10*$C10,0),IF(CH$4=EDATE('核心假设'!$B$5,14+$F10),SUM('融资租赁与资金缺口'!$D$5:$D$16)*$AA10*$C10,0),IF(CH$4=EDATE('核心假设'!$B$5,15+$F10),SUM('融资租赁与资金缺口'!$D$5:$D$16)*$AB10*$C10,0),IF(CH$4=EDATE('核心假设'!$B$5,16+$F10),SUM('融资租赁与资金缺口'!$D$5:$D$16)*$AC10*$C10,0),IF(CH$4=EDATE('核心假设'!$B$5,17+$F10),SUM('融资租赁与资金缺口'!$D$5:$D$16)*$AD10*$C10,0))-CH39</x:f>
        <x:v>-58238200.419371195</x:v>
      </x:c>
      <x:c r="CI40" s="28" t="n">
        <x:f>CH40+CI36-CI37+SUM(IF(CI$4=EDATE('核心假设'!$B$5,0+$F10),SUM('融资租赁与资金缺口'!$D$5:$D$16)*$M10*$C10,0),IF(CI$4=EDATE('核心假设'!$B$5,1+$F10),SUM('融资租赁与资金缺口'!$D$5:$D$16)*$N10*$C10,0),IF(CI$4=EDATE('核心假设'!$B$5,2+$F10),SUM('融资租赁与资金缺口'!$D$5:$D$16)*$O10*$C10,0),IF(CI$4=EDATE('核心假设'!$B$5,3+$F10),SUM('融资租赁与资金缺口'!$D$5:$D$16)*$P10*$C10,0),IF(CI$4=EDATE('核心假设'!$B$5,4+$F10),SUM('融资租赁与资金缺口'!$D$5:$D$16)*$Q10*$C10,0),IF(CI$4=EDATE('核心假设'!$B$5,5+$F10),SUM('融资租赁与资金缺口'!$D$5:$D$16)*$R10*$C10,0),IF(CI$4=EDATE('核心假设'!$B$5,6+$F10),SUM('融资租赁与资金缺口'!$D$5:$D$16)*$S10*$C10,0),IF(CI$4=EDATE('核心假设'!$B$5,7+$F10),SUM('融资租赁与资金缺口'!$D$5:$D$16)*$T10*$C10,0),IF(CI$4=EDATE('核心假设'!$B$5,8+$F10),SUM('融资租赁与资金缺口'!$D$5:$D$16)*$U10*$C10,0),IF(CI$4=EDATE('核心假设'!$B$5,9+$F10),SUM('融资租赁与资金缺口'!$D$5:$D$16)*$V10*$C10,0),IF(CI$4=EDATE('核心假设'!$B$5,10+$F10),SUM('融资租赁与资金缺口'!$D$5:$D$16)*$W10*$C10,0),IF(CI$4=EDATE('核心假设'!$B$5,11+$F10),SUM('融资租赁与资金缺口'!$D$5:$D$16)*$X10*$C10,0),IF(CI$4=EDATE('核心假设'!$B$5,12+$F10),SUM('融资租赁与资金缺口'!$D$5:$D$16)*$Y10*$C10,0),IF(CI$4=EDATE('核心假设'!$B$5,13+$F10),SUM('融资租赁与资金缺口'!$D$5:$D$16)*$Z10*$C10,0),IF(CI$4=EDATE('核心假设'!$B$5,14+$F10),SUM('融资租赁与资金缺口'!$D$5:$D$16)*$AA10*$C10,0),IF(CI$4=EDATE('核心假设'!$B$5,15+$F10),SUM('融资租赁与资金缺口'!$D$5:$D$16)*$AB10*$C10,0),IF(CI$4=EDATE('核心假设'!$B$5,16+$F10),SUM('融资租赁与资金缺口'!$D$5:$D$16)*$AC10*$C10,0),IF(CI$4=EDATE('核心假设'!$B$5,17+$F10),SUM('融资租赁与资金缺口'!$D$5:$D$16)*$AD10*$C10,0))-CI39</x:f>
        <x:v>-45958348.83704175</x:v>
      </x:c>
      <x:c r="CJ40" s="28" t="n">
        <x:f>CI40+CJ36-CJ37+SUM(IF(CJ$4=EDATE('核心假设'!$B$5,0+$F10),SUM('融资租赁与资金缺口'!$D$5:$D$16)*$M10*$C10,0),IF(CJ$4=EDATE('核心假设'!$B$5,1+$F10),SUM('融资租赁与资金缺口'!$D$5:$D$16)*$N10*$C10,0),IF(CJ$4=EDATE('核心假设'!$B$5,2+$F10),SUM('融资租赁与资金缺口'!$D$5:$D$16)*$O10*$C10,0),IF(CJ$4=EDATE('核心假设'!$B$5,3+$F10),SUM('融资租赁与资金缺口'!$D$5:$D$16)*$P10*$C10,0),IF(CJ$4=EDATE('核心假设'!$B$5,4+$F10),SUM('融资租赁与资金缺口'!$D$5:$D$16)*$Q10*$C10,0),IF(CJ$4=EDATE('核心假设'!$B$5,5+$F10),SUM('融资租赁与资金缺口'!$D$5:$D$16)*$R10*$C10,0),IF(CJ$4=EDATE('核心假设'!$B$5,6+$F10),SUM('融资租赁与资金缺口'!$D$5:$D$16)*$S10*$C10,0),IF(CJ$4=EDATE('核心假设'!$B$5,7+$F10),SUM('融资租赁与资金缺口'!$D$5:$D$16)*$T10*$C10,0),IF(CJ$4=EDATE('核心假设'!$B$5,8+$F10),SUM('融资租赁与资金缺口'!$D$5:$D$16)*$U10*$C10,0),IF(CJ$4=EDATE('核心假设'!$B$5,9+$F10),SUM('融资租赁与资金缺口'!$D$5:$D$16)*$V10*$C10,0),IF(CJ$4=EDATE('核心假设'!$B$5,10+$F10),SUM('融资租赁与资金缺口'!$D$5:$D$16)*$W10*$C10,0),IF(CJ$4=EDATE('核心假设'!$B$5,11+$F10),SUM('融资租赁与资金缺口'!$D$5:$D$16)*$X10*$C10,0),IF(CJ$4=EDATE('核心假设'!$B$5,12+$F10),SUM('融资租赁与资金缺口'!$D$5:$D$16)*$Y10*$C10,0),IF(CJ$4=EDATE('核心假设'!$B$5,13+$F10),SUM('融资租赁与资金缺口'!$D$5:$D$16)*$Z10*$C10,0),IF(CJ$4=EDATE('核心假设'!$B$5,14+$F10),SUM('融资租赁与资金缺口'!$D$5:$D$16)*$AA10*$C10,0),IF(CJ$4=EDATE('核心假设'!$B$5,15+$F10),SUM('融资租赁与资金缺口'!$D$5:$D$16)*$AB10*$C10,0),IF(CJ$4=EDATE('核心假设'!$B$5,16+$F10),SUM('融资租赁与资金缺口'!$D$5:$D$16)*$AC10*$C10,0),IF(CJ$4=EDATE('核心假设'!$B$5,17+$F10),SUM('融资租赁与资金缺口'!$D$5:$D$16)*$AD10*$C10,0))-CJ39</x:f>
        <x:v>-32561456.10284015</x:v>
      </x:c>
      <x:c r="CK40" s="28" t="n">
        <x:f>CJ40+CK36-CK37+SUM(IF(CK$4=EDATE('核心假设'!$B$5,0+$F10),SUM('融资租赁与资金缺口'!$D$5:$D$16)*$M10*$C10,0),IF(CK$4=EDATE('核心假设'!$B$5,1+$F10),SUM('融资租赁与资金缺口'!$D$5:$D$16)*$N10*$C10,0),IF(CK$4=EDATE('核心假设'!$B$5,2+$F10),SUM('融资租赁与资金缺口'!$D$5:$D$16)*$O10*$C10,0),IF(CK$4=EDATE('核心假设'!$B$5,3+$F10),SUM('融资租赁与资金缺口'!$D$5:$D$16)*$P10*$C10,0),IF(CK$4=EDATE('核心假设'!$B$5,4+$F10),SUM('融资租赁与资金缺口'!$D$5:$D$16)*$Q10*$C10,0),IF(CK$4=EDATE('核心假设'!$B$5,5+$F10),SUM('融资租赁与资金缺口'!$D$5:$D$16)*$R10*$C10,0),IF(CK$4=EDATE('核心假设'!$B$5,6+$F10),SUM('融资租赁与资金缺口'!$D$5:$D$16)*$S10*$C10,0),IF(CK$4=EDATE('核心假设'!$B$5,7+$F10),SUM('融资租赁与资金缺口'!$D$5:$D$16)*$T10*$C10,0),IF(CK$4=EDATE('核心假设'!$B$5,8+$F10),SUM('融资租赁与资金缺口'!$D$5:$D$16)*$U10*$C10,0),IF(CK$4=EDATE('核心假设'!$B$5,9+$F10),SUM('融资租赁与资金缺口'!$D$5:$D$16)*$V10*$C10,0),IF(CK$4=EDATE('核心假设'!$B$5,10+$F10),SUM('融资租赁与资金缺口'!$D$5:$D$16)*$W10*$C10,0),IF(CK$4=EDATE('核心假设'!$B$5,11+$F10),SUM('融资租赁与资金缺口'!$D$5:$D$16)*$X10*$C10,0),IF(CK$4=EDATE('核心假设'!$B$5,12+$F10),SUM('融资租赁与资金缺口'!$D$5:$D$16)*$Y10*$C10,0),IF(CK$4=EDATE('核心假设'!$B$5,13+$F10),SUM('融资租赁与资金缺口'!$D$5:$D$16)*$Z10*$C10,0),IF(CK$4=EDATE('核心假设'!$B$5,14+$F10),SUM('融资租赁与资金缺口'!$D$5:$D$16)*$AA10*$C10,0),IF(CK$4=EDATE('核心假设'!$B$5,15+$F10),SUM('融资租赁与资金缺口'!$D$5:$D$16)*$AB10*$C10,0),IF(CK$4=EDATE('核心假设'!$B$5,16+$F10),SUM('融资租赁与资金缺口'!$D$5:$D$16)*$AC10*$C10,0),IF(CK$4=EDATE('核心假设'!$B$5,17+$F10),SUM('融资租赁与资金缺口'!$D$5:$D$16)*$AD10*$C10,0))-CK39</x:f>
        <x:v>-18152180.01990263</x:v>
      </x:c>
      <x:c r="CL40" s="28" t="n">
        <x:f>CK40+CL36-CL37+SUM(IF(CL$4=EDATE('核心假设'!$B$5,0+$F10),SUM('融资租赁与资金缺口'!$D$5:$D$16)*$M10*$C10,0),IF(CL$4=EDATE('核心假设'!$B$5,1+$F10),SUM('融资租赁与资金缺口'!$D$5:$D$16)*$N10*$C10,0),IF(CL$4=EDATE('核心假设'!$B$5,2+$F10),SUM('融资租赁与资金缺口'!$D$5:$D$16)*$O10*$C10,0),IF(CL$4=EDATE('核心假设'!$B$5,3+$F10),SUM('融资租赁与资金缺口'!$D$5:$D$16)*$P10*$C10,0),IF(CL$4=EDATE('核心假设'!$B$5,4+$F10),SUM('融资租赁与资金缺口'!$D$5:$D$16)*$Q10*$C10,0),IF(CL$4=EDATE('核心假设'!$B$5,5+$F10),SUM('融资租赁与资金缺口'!$D$5:$D$16)*$R10*$C10,0),IF(CL$4=EDATE('核心假设'!$B$5,6+$F10),SUM('融资租赁与资金缺口'!$D$5:$D$16)*$S10*$C10,0),IF(CL$4=EDATE('核心假设'!$B$5,7+$F10),SUM('融资租赁与资金缺口'!$D$5:$D$16)*$T10*$C10,0),IF(CL$4=EDATE('核心假设'!$B$5,8+$F10),SUM('融资租赁与资金缺口'!$D$5:$D$16)*$U10*$C10,0),IF(CL$4=EDATE('核心假设'!$B$5,9+$F10),SUM('融资租赁与资金缺口'!$D$5:$D$16)*$V10*$C10,0),IF(CL$4=EDATE('核心假设'!$B$5,10+$F10),SUM('融资租赁与资金缺口'!$D$5:$D$16)*$W10*$C10,0),IF(CL$4=EDATE('核心假设'!$B$5,11+$F10),SUM('融资租赁与资金缺口'!$D$5:$D$16)*$X10*$C10,0),IF(CL$4=EDATE('核心假设'!$B$5,12+$F10),SUM('融资租赁与资金缺口'!$D$5:$D$16)*$Y10*$C10,0),IF(CL$4=EDATE('核心假设'!$B$5,13+$F10),SUM('融资租赁与资金缺口'!$D$5:$D$16)*$Z10*$C10,0),IF(CL$4=EDATE('核心假设'!$B$5,14+$F10),SUM('融资租赁与资金缺口'!$D$5:$D$16)*$AA10*$C10,0),IF(CL$4=EDATE('核心假设'!$B$5,15+$F10),SUM('融资租赁与资金缺口'!$D$5:$D$16)*$AB10*$C10,0),IF(CL$4=EDATE('核心假设'!$B$5,16+$F10),SUM('融资租赁与资金缺口'!$D$5:$D$16)*$AC10*$C10,0),IF(CL$4=EDATE('核心假设'!$B$5,17+$F10),SUM('融资租赁与资金缺口'!$D$5:$D$16)*$AD10*$C10,0))-CL39</x:f>
        <x:v>-2721030.525555849</x:v>
      </x:c>
      <x:c r="CM40" s="28" t="n">
        <x:f>CL40+CM36-CM37+SUM(IF(CM$4=EDATE('核心假设'!$B$5,0+$F10),SUM('融资租赁与资金缺口'!$D$5:$D$16)*$M10*$C10,0),IF(CM$4=EDATE('核心假设'!$B$5,1+$F10),SUM('融资租赁与资金缺口'!$D$5:$D$16)*$N10*$C10,0),IF(CM$4=EDATE('核心假设'!$B$5,2+$F10),SUM('融资租赁与资金缺口'!$D$5:$D$16)*$O10*$C10,0),IF(CM$4=EDATE('核心假设'!$B$5,3+$F10),SUM('融资租赁与资金缺口'!$D$5:$D$16)*$P10*$C10,0),IF(CM$4=EDATE('核心假设'!$B$5,4+$F10),SUM('融资租赁与资金缺口'!$D$5:$D$16)*$Q10*$C10,0),IF(CM$4=EDATE('核心假设'!$B$5,5+$F10),SUM('融资租赁与资金缺口'!$D$5:$D$16)*$R10*$C10,0),IF(CM$4=EDATE('核心假设'!$B$5,6+$F10),SUM('融资租赁与资金缺口'!$D$5:$D$16)*$S10*$C10,0),IF(CM$4=EDATE('核心假设'!$B$5,7+$F10),SUM('融资租赁与资金缺口'!$D$5:$D$16)*$T10*$C10,0),IF(CM$4=EDATE('核心假设'!$B$5,8+$F10),SUM('融资租赁与资金缺口'!$D$5:$D$16)*$U10*$C10,0),IF(CM$4=EDATE('核心假设'!$B$5,9+$F10),SUM('融资租赁与资金缺口'!$D$5:$D$16)*$V10*$C10,0),IF(CM$4=EDATE('核心假设'!$B$5,10+$F10),SUM('融资租赁与资金缺口'!$D$5:$D$16)*$W10*$C10,0),IF(CM$4=EDATE('核心假设'!$B$5,11+$F10),SUM('融资租赁与资金缺口'!$D$5:$D$16)*$X10*$C10,0),IF(CM$4=EDATE('核心假设'!$B$5,12+$F10),SUM('融资租赁与资金缺口'!$D$5:$D$16)*$Y10*$C10,0),IF(CM$4=EDATE('核心假设'!$B$5,13+$F10),SUM('融资租赁与资金缺口'!$D$5:$D$16)*$Z10*$C10,0),IF(CM$4=EDATE('核心假设'!$B$5,14+$F10),SUM('融资租赁与资金缺口'!$D$5:$D$16)*$AA10*$C10,0),IF(CM$4=EDATE('核心假设'!$B$5,15+$F10),SUM('融资租赁与资金缺口'!$D$5:$D$16)*$AB10*$C10,0),IF(CM$4=EDATE('核心假设'!$B$5,16+$F10),SUM('融资租赁与资金缺口'!$D$5:$D$16)*$AC10*$C10,0),IF(CM$4=EDATE('核心假设'!$B$5,17+$F10),SUM('融资租赁与资金缺口'!$D$5:$D$16)*$AD10*$C10,0))-CM39</x:f>
        <x:v>13247693.937698118</x:v>
      </x:c>
    </x:row>
    <x:row r="41">
      <x:c r="A41"/>
      <x:c r="B41"/>
      <x:c r="C41"/>
      <x:c r="D41"/>
      <x:c r="E41"/>
      <x:c r="F41"/>
      <x:c r="G41"/>
      <x:c r="H41"/>
      <x:c r="AF41" s="28"/>
      <x:c r="AG41" s="28"/>
      <x:c r="AH41" s="28"/>
      <x:c r="AI41" s="28"/>
      <x:c r="AJ41" s="28"/>
      <x:c r="AK41" s="28"/>
      <x:c r="AL41" s="28"/>
      <x:c r="AM41" s="28"/>
      <x:c r="AN41" s="28"/>
      <x:c r="AO41" s="28"/>
      <x:c r="AP41" s="28"/>
      <x:c r="AQ41" s="28"/>
      <x:c r="AR41" s="28"/>
      <x:c r="AS41" s="28"/>
      <x:c r="AT41" s="28"/>
      <x:c r="AU41" s="28"/>
      <x:c r="AV41" s="28"/>
      <x:c r="AW41" s="28"/>
      <x:c r="AX41" s="28"/>
      <x:c r="AY41" s="28"/>
      <x:c r="AZ41" s="28"/>
      <x:c r="BA41" s="28"/>
      <x:c r="BB41" s="28"/>
      <x:c r="BC41" s="28"/>
      <x:c r="BD41" s="28"/>
      <x:c r="BE41" s="28"/>
      <x:c r="BF41" s="28"/>
      <x:c r="BG41" s="28"/>
      <x:c r="BH41" s="28"/>
      <x:c r="BI41" s="28"/>
      <x:c r="BJ41" s="28"/>
      <x:c r="BK41" s="28"/>
      <x:c r="BL41" s="28"/>
      <x:c r="BM41" s="28"/>
      <x:c r="BN41" s="28"/>
      <x:c r="BO41" s="28"/>
      <x:c r="BP41" s="28"/>
      <x:c r="BQ41" s="28"/>
      <x:c r="BR41" s="28"/>
      <x:c r="BS41" s="28"/>
      <x:c r="BT41" s="28"/>
      <x:c r="BU41" s="28"/>
      <x:c r="BV41" s="28"/>
      <x:c r="BW41" s="28"/>
      <x:c r="BX41" s="28"/>
      <x:c r="BY41" s="28"/>
      <x:c r="BZ41" s="28"/>
      <x:c r="CA41" s="28"/>
      <x:c r="CB41" s="28"/>
      <x:c r="CC41" s="28"/>
      <x:c r="CD41" s="28"/>
      <x:c r="CE41" s="28"/>
      <x:c r="CF41" s="28"/>
      <x:c r="CG41" s="28"/>
      <x:c r="CH41" s="28"/>
      <x:c r="CI41" s="28"/>
      <x:c r="CJ41" s="28"/>
      <x:c r="CK41" s="28"/>
      <x:c r="CL41" s="28"/>
      <x:c r="CM41" s="28"/>
    </x:row>
    <x:row r="42">
      <x:c r="A42" s="13" t="str">
        <x:v>Item</x:v>
      </x:c>
      <x:c r="B42" s="14" t="str">
        <x:v>Value</x:v>
      </x:c>
      <x:c r="C42" s="14" t="str">
        <x:v>Units</x:v>
      </x:c>
      <x:c r="D42" s="14" t="str">
        <x:v>Period/As-of</x:v>
      </x:c>
      <x:c r="E42" s="14" t="str">
        <x:v>Source Type</x:v>
      </x:c>
      <x:c r="F42" s="14" t="str">
        <x:v>Source Name</x:v>
      </x:c>
      <x:c r="G42" s="14" t="str">
        <x:v>Ref</x:v>
      </x:c>
      <x:c r="H42" s="14" t="str">
        <x:v>Notes</x:v>
      </x:c>
      <x:c r="I42" s="15" t="str">
        <x:v>Accessed</x:v>
      </x:c>
      <x:c r="AF42" s="28"/>
      <x:c r="AG42" s="28"/>
      <x:c r="AH42" s="28"/>
      <x:c r="AI42" s="28"/>
      <x:c r="AJ42" s="28"/>
      <x:c r="AK42" s="28"/>
      <x:c r="AL42" s="28"/>
      <x:c r="AM42" s="28"/>
      <x:c r="AN42" s="28"/>
      <x:c r="AO42" s="28"/>
      <x:c r="AP42" s="28"/>
      <x:c r="AQ42" s="28"/>
      <x:c r="AR42" s="28"/>
      <x:c r="AS42" s="28"/>
      <x:c r="AT42" s="28"/>
      <x:c r="AU42" s="28"/>
      <x:c r="AV42" s="28"/>
      <x:c r="AW42" s="28"/>
      <x:c r="AX42" s="28"/>
      <x:c r="AY42" s="28"/>
      <x:c r="AZ42" s="28"/>
      <x:c r="BA42" s="28"/>
      <x:c r="BB42" s="28"/>
      <x:c r="BC42" s="28"/>
      <x:c r="BD42" s="28"/>
      <x:c r="BE42" s="28"/>
      <x:c r="BF42" s="28"/>
      <x:c r="BG42" s="28"/>
      <x:c r="BH42" s="28"/>
      <x:c r="BI42" s="28"/>
      <x:c r="BJ42" s="28"/>
      <x:c r="BK42" s="28"/>
      <x:c r="BL42" s="28"/>
      <x:c r="BM42" s="28"/>
      <x:c r="BN42" s="28"/>
      <x:c r="BO42" s="28"/>
      <x:c r="BP42" s="28"/>
      <x:c r="BQ42" s="28"/>
      <x:c r="BR42" s="28"/>
      <x:c r="BS42" s="28"/>
      <x:c r="BT42" s="28"/>
      <x:c r="BU42" s="28"/>
      <x:c r="BV42" s="28"/>
      <x:c r="BW42" s="28"/>
      <x:c r="BX42" s="28"/>
      <x:c r="BY42" s="28"/>
      <x:c r="BZ42" s="28"/>
      <x:c r="CA42" s="28"/>
      <x:c r="CB42" s="28"/>
      <x:c r="CC42" s="28"/>
      <x:c r="CD42" s="28"/>
      <x:c r="CE42" s="28"/>
      <x:c r="CF42" s="28"/>
      <x:c r="CG42" s="28"/>
      <x:c r="CH42" s="28"/>
      <x:c r="CI42" s="28"/>
      <x:c r="CJ42" s="28"/>
      <x:c r="CK42" s="28"/>
      <x:c r="CL42" s="28"/>
      <x:c r="CM42" s="28"/>
    </x:row>
    <x:row r="43">
      <x:c r="A43" t="str">
        <x:v>Scope-Property</x:v>
      </x:c>
      <x:c r="B43" t="str">
        <x:v>2005年12月31日前住宅物业</x:v>
      </x:c>
      <x:c r="C43" t="str">
        <x:v>范围</x:v>
      </x:c>
      <x:c r="D43" t="str">
        <x:v>项目设计口径</x:v>
      </x:c>
      <x:c r="E43" t="str">
        <x:v>设计规格</x:v>
      </x:c>
      <x:c r="F43" s="30" t="str">
        <x:v>项目设计规格</x:v>
      </x:c>
      <x:c r="G43" s="77" t="str">
        <x:v>docs/superpowers/specs/2026-08-16-charge-station-financing-model-design.md</x:v>
      </x:c>
      <x:c r="H43" s="30" t="str">
        <x:v>若公开数据缺少精确房龄，老旧小区改造等代理必须显式标记</x:v>
      </x:c>
      <x:c r="I43" s="30" t="str">
        <x:v>2026-08-16</x:v>
      </x:c>
      <x:c r="AF43" s="28"/>
      <x:c r="AG43" s="28"/>
      <x:c r="AH43" s="28"/>
      <x:c r="AI43" s="28"/>
      <x:c r="AJ43" s="28"/>
      <x:c r="AK43" s="28"/>
      <x:c r="AL43" s="28"/>
      <x:c r="AM43" s="28"/>
      <x:c r="AN43" s="28"/>
      <x:c r="AO43" s="28"/>
      <x:c r="AP43" s="28"/>
      <x:c r="AQ43" s="28"/>
      <x:c r="AR43" s="28"/>
      <x:c r="AS43" s="28"/>
      <x:c r="AT43" s="28"/>
      <x:c r="AU43" s="28"/>
      <x:c r="AV43" s="28"/>
      <x:c r="AW43" s="28"/>
      <x:c r="AX43" s="28"/>
      <x:c r="AY43" s="28"/>
      <x:c r="AZ43" s="28"/>
      <x:c r="BA43" s="28"/>
      <x:c r="BB43" s="28"/>
      <x:c r="BC43" s="28"/>
      <x:c r="BD43" s="28"/>
      <x:c r="BE43" s="28"/>
      <x:c r="BF43" s="28"/>
      <x:c r="BG43" s="28"/>
      <x:c r="BH43" s="28"/>
      <x:c r="BI43" s="28"/>
      <x:c r="BJ43" s="28"/>
      <x:c r="BK43" s="28"/>
      <x:c r="BL43" s="28"/>
      <x:c r="BM43" s="28"/>
      <x:c r="BN43" s="28"/>
      <x:c r="BO43" s="28"/>
      <x:c r="BP43" s="28"/>
      <x:c r="BQ43" s="28"/>
      <x:c r="BR43" s="28"/>
      <x:c r="BS43" s="28"/>
      <x:c r="BT43" s="28"/>
      <x:c r="BU43" s="28"/>
      <x:c r="BV43" s="28"/>
      <x:c r="BW43" s="28"/>
      <x:c r="BX43" s="28"/>
      <x:c r="BY43" s="28"/>
      <x:c r="BZ43" s="28"/>
      <x:c r="CA43" s="28"/>
      <x:c r="CB43" s="28"/>
      <x:c r="CC43" s="28"/>
      <x:c r="CD43" s="28"/>
      <x:c r="CE43" s="28"/>
      <x:c r="CF43" s="28"/>
      <x:c r="CG43" s="28"/>
      <x:c r="CH43" s="28"/>
      <x:c r="CI43" s="28"/>
      <x:c r="CJ43" s="28"/>
      <x:c r="CK43" s="28"/>
      <x:c r="CL43" s="28"/>
      <x:c r="CM43" s="28"/>
    </x:row>
    <x:row r="44">
      <x:c r="A44" t="str">
        <x:v>Scope-Hainan-1</x:v>
      </x:c>
      <x:c r="B44" t="str">
        <x:v>海口</x:v>
      </x:c>
      <x:c r="C44" t="str">
        <x:v>城市</x:v>
      </x:c>
      <x:c r="D44" t="str">
        <x:v>首批城市</x:v>
      </x:c>
      <x:c r="E44" t="str">
        <x:v>用户范围</x:v>
      </x:c>
      <x:c r="F44" s="30" t="str">
        <x:v>首批城市拆分</x:v>
      </x:c>
      <x:c r="G44" s="77" t="str">
        <x:v>核心假设/城市分配</x:v>
      </x:c>
      <x:c r="H44" s="30" t="str">
        <x:v>海南口径拆分为海口和三亚，不以海南省作为单一城市</x:v>
      </x:c>
      <x:c r="I44" s="30" t="str">
        <x:v>2026-08-16</x:v>
      </x:c>
      <x:c r="AF44" s="28"/>
      <x:c r="AG44" s="28"/>
      <x:c r="AH44" s="28"/>
      <x:c r="AI44" s="28"/>
      <x:c r="AJ44" s="28"/>
      <x:c r="AK44" s="28"/>
      <x:c r="AL44" s="28"/>
      <x:c r="AM44" s="28"/>
      <x:c r="AN44" s="28"/>
      <x:c r="AO44" s="28"/>
      <x:c r="AP44" s="28"/>
      <x:c r="AQ44" s="28"/>
      <x:c r="AR44" s="28"/>
      <x:c r="AS44" s="28"/>
      <x:c r="AT44" s="28"/>
      <x:c r="AU44" s="28"/>
      <x:c r="AV44" s="28"/>
      <x:c r="AW44" s="28"/>
      <x:c r="AX44" s="28"/>
      <x:c r="AY44" s="28"/>
      <x:c r="AZ44" s="28"/>
      <x:c r="BA44" s="28"/>
      <x:c r="BB44" s="28"/>
      <x:c r="BC44" s="28"/>
      <x:c r="BD44" s="28"/>
      <x:c r="BE44" s="28"/>
      <x:c r="BF44" s="28"/>
      <x:c r="BG44" s="28"/>
      <x:c r="BH44" s="28"/>
      <x:c r="BI44" s="28"/>
      <x:c r="BJ44" s="28"/>
      <x:c r="BK44" s="28"/>
      <x:c r="BL44" s="28"/>
      <x:c r="BM44" s="28"/>
      <x:c r="BN44" s="28"/>
      <x:c r="BO44" s="28"/>
      <x:c r="BP44" s="28"/>
      <x:c r="BQ44" s="28"/>
      <x:c r="BR44" s="28"/>
      <x:c r="BS44" s="28"/>
      <x:c r="BT44" s="28"/>
      <x:c r="BU44" s="28"/>
      <x:c r="BV44" s="28"/>
      <x:c r="BW44" s="28"/>
      <x:c r="BX44" s="28"/>
      <x:c r="BY44" s="28"/>
      <x:c r="BZ44" s="28"/>
      <x:c r="CA44" s="28"/>
      <x:c r="CB44" s="28"/>
      <x:c r="CC44" s="28"/>
      <x:c r="CD44" s="28"/>
      <x:c r="CE44" s="28"/>
      <x:c r="CF44" s="28"/>
      <x:c r="CG44" s="28"/>
      <x:c r="CH44" s="28"/>
      <x:c r="CI44" s="28"/>
      <x:c r="CJ44" s="28"/>
      <x:c r="CK44" s="28"/>
      <x:c r="CL44" s="28"/>
      <x:c r="CM44" s="28"/>
    </x:row>
    <x:row r="45">
      <x:c r="A45" t="str">
        <x:v>Scope-Hainan-2</x:v>
      </x:c>
      <x:c r="B45" t="str">
        <x:v>三亚</x:v>
      </x:c>
      <x:c r="C45" t="str">
        <x:v>城市</x:v>
      </x:c>
      <x:c r="D45" t="str">
        <x:v>首批城市</x:v>
      </x:c>
      <x:c r="E45" t="str">
        <x:v>用户范围</x:v>
      </x:c>
      <x:c r="F45" s="30" t="str">
        <x:v>首批城市拆分</x:v>
      </x:c>
      <x:c r="G45" s="77" t="str">
        <x:v>核心假设/城市分配</x:v>
      </x:c>
      <x:c r="H45" s="30" t="str">
        <x:v>海南口径拆分为海口和三亚，不以海南省作为单一城市</x:v>
      </x:c>
      <x:c r="I45" s="30" t="str">
        <x:v>2026-08-16</x:v>
      </x:c>
      <x:c r="AF45" s="28"/>
      <x:c r="AG45" s="28"/>
      <x:c r="AH45" s="28"/>
      <x:c r="AI45" s="28"/>
      <x:c r="AJ45" s="28"/>
      <x:c r="AK45" s="28"/>
      <x:c r="AL45" s="28"/>
      <x:c r="AM45" s="28"/>
      <x:c r="AN45" s="28"/>
      <x:c r="AO45" s="28"/>
      <x:c r="AP45" s="28"/>
      <x:c r="AQ45" s="28"/>
      <x:c r="AR45" s="28"/>
      <x:c r="AS45" s="28"/>
      <x:c r="AT45" s="28"/>
      <x:c r="AU45" s="28"/>
      <x:c r="AV45" s="28"/>
      <x:c r="AW45" s="28"/>
      <x:c r="AX45" s="28"/>
      <x:c r="AY45" s="28"/>
      <x:c r="AZ45" s="28"/>
      <x:c r="BA45" s="28"/>
      <x:c r="BB45" s="28"/>
      <x:c r="BC45" s="28"/>
      <x:c r="BD45" s="28"/>
      <x:c r="BE45" s="28"/>
      <x:c r="BF45" s="28"/>
      <x:c r="BG45" s="28"/>
      <x:c r="BH45" s="28"/>
      <x:c r="BI45" s="28"/>
      <x:c r="BJ45" s="28"/>
      <x:c r="BK45" s="28"/>
      <x:c r="BL45" s="28"/>
      <x:c r="BM45" s="28"/>
      <x:c r="BN45" s="28"/>
      <x:c r="BO45" s="28"/>
      <x:c r="BP45" s="28"/>
      <x:c r="BQ45" s="28"/>
      <x:c r="BR45" s="28"/>
      <x:c r="BS45" s="28"/>
      <x:c r="BT45" s="28"/>
      <x:c r="BU45" s="28"/>
      <x:c r="BV45" s="28"/>
      <x:c r="BW45" s="28"/>
      <x:c r="BX45" s="28"/>
      <x:c r="BY45" s="28"/>
      <x:c r="BZ45" s="28"/>
      <x:c r="CA45" s="28"/>
      <x:c r="CB45" s="28"/>
      <x:c r="CC45" s="28"/>
      <x:c r="CD45" s="28"/>
      <x:c r="CE45" s="28"/>
      <x:c r="CF45" s="28"/>
      <x:c r="CG45" s="28"/>
      <x:c r="CH45" s="28"/>
      <x:c r="CI45" s="28"/>
      <x:c r="CJ45" s="28"/>
      <x:c r="CK45" s="28"/>
      <x:c r="CL45" s="28"/>
      <x:c r="CM45" s="28"/>
    </x:row>
    <x:row r="46">
      <x:c r="A46" t="str">
        <x:v>SRC-001</x:v>
      </x:c>
      <x:c r="B46" t="str">
        <x:v>站点报表源工作簿</x:v>
      </x:c>
      <x:c r="C46" t="str"/>
      <x:c r="D46" t="str">
        <x:v>2026-06-16至2026-08-15</x:v>
      </x:c>
      <x:c r="E46" t="str">
        <x:v>历史经营数据</x:v>
      </x:c>
      <x:c r="F46" s="30" t="str">
        <x:v>站点报表源工作簿</x:v>
      </x:c>
      <x:c r="G46" s="77" t="str">
        <x:v>D:/工作资料/蚂蚁站/站点报表-导出项 (2).xlsx</x:v>
      </x:c>
      <x:c r="H46" s="30" t="str">
        <x:v>Data List!A1:P3050逐值导入 | 使用位置: 核心假设/城市数据库/年度季节曲线/历史原始数据</x:v>
      </x:c>
      <x:c r="I46" s="30" t="str">
        <x:v>2026-08-16</x:v>
      </x:c>
      <x:c r="AF46" s="28" t="n">
        <x:f>'36月运营模型'!B$5</x:f>
        <x:v>46266</x:v>
      </x:c>
      <x:c r="AG46" s="28" t="n">
        <x:f>'36月运营模型'!C$5</x:f>
        <x:v>46296</x:v>
      </x:c>
      <x:c r="AH46" s="28" t="n">
        <x:f>'36月运营模型'!D$5</x:f>
        <x:v>46327</x:v>
      </x:c>
      <x:c r="AI46" s="28" t="n">
        <x:f>'36月运营模型'!E$5</x:f>
        <x:v>46357</x:v>
      </x:c>
      <x:c r="AJ46" s="28" t="n">
        <x:f>'36月运营模型'!F$5</x:f>
        <x:v>46388</x:v>
      </x:c>
      <x:c r="AK46" s="28" t="n">
        <x:f>'36月运营模型'!G$5</x:f>
        <x:v>46419</x:v>
      </x:c>
      <x:c r="AL46" s="28" t="n">
        <x:f>'36月运营模型'!H$5</x:f>
        <x:v>46447</x:v>
      </x:c>
      <x:c r="AM46" s="28" t="n">
        <x:f>'36月运营模型'!I$5</x:f>
        <x:v>46478</x:v>
      </x:c>
      <x:c r="AN46" s="28" t="n">
        <x:f>'36月运营模型'!J$5</x:f>
        <x:v>46508</x:v>
      </x:c>
      <x:c r="AO46" s="28" t="n">
        <x:f>'36月运营模型'!K$5</x:f>
        <x:v>46539</x:v>
      </x:c>
      <x:c r="AP46" s="28" t="n">
        <x:f>'36月运营模型'!L$5</x:f>
        <x:v>46569</x:v>
      </x:c>
      <x:c r="AQ46" s="28" t="n">
        <x:f>'36月运营模型'!M$5</x:f>
        <x:v>46600</x:v>
      </x:c>
      <x:c r="AR46" s="28" t="n">
        <x:f>'36月运营模型'!N$5</x:f>
        <x:v>46631</x:v>
      </x:c>
      <x:c r="AS46" s="28" t="n">
        <x:f>'36月运营模型'!O$5</x:f>
        <x:v>46661</x:v>
      </x:c>
      <x:c r="AT46" s="28" t="n">
        <x:f>'36月运营模型'!P$5</x:f>
        <x:v>46692</x:v>
      </x:c>
      <x:c r="AU46" s="28" t="n">
        <x:f>'36月运营模型'!Q$5</x:f>
        <x:v>46722</x:v>
      </x:c>
      <x:c r="AV46" s="28" t="n">
        <x:f>'36月运营模型'!R$5</x:f>
        <x:v>46753</x:v>
      </x:c>
      <x:c r="AW46" s="28" t="n">
        <x:f>'36月运营模型'!S$5</x:f>
        <x:v>46784</x:v>
      </x:c>
      <x:c r="AX46" s="28" t="n">
        <x:f>'36月运营模型'!T$5</x:f>
        <x:v>46813</x:v>
      </x:c>
      <x:c r="AY46" s="28" t="n">
        <x:f>'36月运营模型'!U$5</x:f>
        <x:v>46844</x:v>
      </x:c>
      <x:c r="AZ46" s="28" t="n">
        <x:f>'36月运营模型'!V$5</x:f>
        <x:v>46874</x:v>
      </x:c>
      <x:c r="BA46" s="28" t="n">
        <x:f>'36月运营模型'!W$5</x:f>
        <x:v>46905</x:v>
      </x:c>
      <x:c r="BB46" s="28" t="n">
        <x:f>'36月运营模型'!X$5</x:f>
        <x:v>46935</x:v>
      </x:c>
      <x:c r="BC46" s="28" t="n">
        <x:f>'36月运营模型'!Y$5</x:f>
        <x:v>46966</x:v>
      </x:c>
      <x:c r="BD46" s="28" t="n">
        <x:f>'36月运营模型'!Z$5</x:f>
        <x:v>46997</x:v>
      </x:c>
      <x:c r="BE46" s="28" t="n">
        <x:f>'36月运营模型'!AA$5</x:f>
        <x:v>47027</x:v>
      </x:c>
      <x:c r="BF46" s="28" t="n">
        <x:f>'36月运营模型'!AB$5</x:f>
        <x:v>47058</x:v>
      </x:c>
      <x:c r="BG46" s="28" t="n">
        <x:f>'36月运营模型'!AC$5</x:f>
        <x:v>47088</x:v>
      </x:c>
      <x:c r="BH46" s="28" t="n">
        <x:f>'36月运营模型'!AD$5</x:f>
        <x:v>47119</x:v>
      </x:c>
      <x:c r="BI46" s="28" t="n">
        <x:f>'36月运营模型'!AE$5</x:f>
        <x:v>47150</x:v>
      </x:c>
      <x:c r="BJ46" s="28" t="n">
        <x:f>'36月运营模型'!AF$5</x:f>
        <x:v>47178</x:v>
      </x:c>
      <x:c r="BK46" s="28" t="n">
        <x:f>'36月运营模型'!AG$5</x:f>
        <x:v>47209</x:v>
      </x:c>
      <x:c r="BL46" s="28" t="n">
        <x:f>'36月运营模型'!AH$5</x:f>
        <x:v>47239</x:v>
      </x:c>
      <x:c r="BM46" s="28" t="n">
        <x:f>'36月运营模型'!AI$5</x:f>
        <x:v>47270</x:v>
      </x:c>
      <x:c r="BN46" s="28" t="n">
        <x:f>'36月运营模型'!AJ$5</x:f>
        <x:v>47300</x:v>
      </x:c>
      <x:c r="BO46" s="28" t="n">
        <x:f>'36月运营模型'!AK$5</x:f>
        <x:v>47331</x:v>
      </x:c>
      <x:c r="BP46" s="28" t="n">
        <x:f>'36月运营模型'!AL$5</x:f>
        <x:v>47362</x:v>
      </x:c>
      <x:c r="BQ46" s="28" t="n">
        <x:f>'36月运营模型'!AM$5</x:f>
        <x:v>47392</x:v>
      </x:c>
      <x:c r="BR46" s="28" t="n">
        <x:f>'36月运营模型'!AN$5</x:f>
        <x:v>47423</x:v>
      </x:c>
      <x:c r="BS46" s="28" t="n">
        <x:f>'36月运营模型'!AO$5</x:f>
        <x:v>47453</x:v>
      </x:c>
      <x:c r="BT46" s="28" t="n">
        <x:f>'36月运营模型'!AP$5</x:f>
        <x:v>47484</x:v>
      </x:c>
      <x:c r="BU46" s="28" t="n">
        <x:f>'36月运营模型'!AQ$5</x:f>
        <x:v>47515</x:v>
      </x:c>
      <x:c r="BV46" s="28" t="n">
        <x:f>'36月运营模型'!AR$5</x:f>
        <x:v>47543</x:v>
      </x:c>
      <x:c r="BW46" s="28" t="n">
        <x:f>'36月运营模型'!AS$5</x:f>
        <x:v>47574</x:v>
      </x:c>
      <x:c r="BX46" s="28" t="n">
        <x:f>'36月运营模型'!AT$5</x:f>
        <x:v>47604</x:v>
      </x:c>
      <x:c r="BY46" s="28" t="n">
        <x:f>'36月运营模型'!AU$5</x:f>
        <x:v>47635</x:v>
      </x:c>
      <x:c r="BZ46" s="28" t="n">
        <x:f>'36月运营模型'!AV$5</x:f>
        <x:v>47665</x:v>
      </x:c>
      <x:c r="CA46" s="28" t="n">
        <x:f>'36月运营模型'!AW$5</x:f>
        <x:v>47696</x:v>
      </x:c>
      <x:c r="CB46" s="28" t="n">
        <x:f>'36月运营模型'!AX$5</x:f>
        <x:v>47727</x:v>
      </x:c>
      <x:c r="CC46" s="28" t="n">
        <x:f>'36月运营模型'!AY$5</x:f>
        <x:v>47757</x:v>
      </x:c>
      <x:c r="CD46" s="28" t="n">
        <x:f>'36月运营模型'!AZ$5</x:f>
        <x:v>47788</x:v>
      </x:c>
      <x:c r="CE46" s="28" t="n">
        <x:f>'36月运营模型'!BA$5</x:f>
        <x:v>47818</x:v>
      </x:c>
      <x:c r="CF46" s="28" t="n">
        <x:f>'36月运营模型'!BB$5</x:f>
        <x:v>47849</x:v>
      </x:c>
      <x:c r="CG46" s="28" t="n">
        <x:f>'36月运营模型'!BC$5</x:f>
        <x:v>47880</x:v>
      </x:c>
      <x:c r="CH46" s="28" t="n">
        <x:f>'36月运营模型'!BD$5</x:f>
        <x:v>47908</x:v>
      </x:c>
      <x:c r="CI46" s="28" t="n">
        <x:f>'36月运营模型'!BE$5</x:f>
        <x:v>47939</x:v>
      </x:c>
      <x:c r="CJ46" s="28" t="n">
        <x:f>'36月运营模型'!BF$5</x:f>
        <x:v>47969</x:v>
      </x:c>
      <x:c r="CK46" s="28" t="n">
        <x:f>'36月运营模型'!BG$5</x:f>
        <x:v>48000</x:v>
      </x:c>
      <x:c r="CL46" s="28" t="n">
        <x:f>'36月运营模型'!BH$5</x:f>
        <x:v>48030</x:v>
      </x:c>
      <x:c r="CM46" s="28" t="n">
        <x:f>'36月运营模型'!BI$5</x:f>
        <x:v>48061</x:v>
      </x:c>
    </x:row>
    <x:row r="47">
      <x:c r="A47" t="str">
        <x:v>SRC-002</x:v>
      </x:c>
      <x:c r="B47" t="str">
        <x:v>项目设计规格</x:v>
      </x:c>
      <x:c r="C47" t="str"/>
      <x:c r="D47" t="str">
        <x:v>2026-08-16</x:v>
      </x:c>
      <x:c r="E47" t="str">
        <x:v>模型假设</x:v>
      </x:c>
      <x:c r="F47" s="30" t="str">
        <x:v>项目设计规格</x:v>
      </x:c>
      <x:c r="G47" s="77" t="str">
        <x:v>https://github.com/keqi119/Ant_charge_station/blob/main/docs/superpowers/specs/2026-08-16-charge-station-financing-model-design.md</x:v>
      </x:c>
      <x:c r="H47" s="30" t="str">
        <x:v>融资、成本、投放及口径基准 | 使用位置: 核心假设/城市数据库/年度季节曲线/历史原始数据</x:v>
      </x:c>
      <x:c r="I47" s="30" t="str">
        <x:v>2026-08-16</x:v>
      </x:c>
      <x:c r="AE47" t="str">
        <x:v>18期债务支付</x:v>
      </x:c>
      <x:c r="AF47" s="28" t="n">
        <x:f>SUM(IF(AND(AF$46&gt;'融资租赁与资金缺口'!$F$5,AF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AF$46=EDATE('融资租赁与资金缺口'!$F$5,$A15),'融资租赁与资金缺口'!$J$5,0),0),IF(AND(AF$46&gt;'融资租赁与资金缺口'!$F$6,AF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AF$46=EDATE('融资租赁与资金缺口'!$F$6,$A15),'融资租赁与资金缺口'!$J$6,0),0),IF(AND(AF$46&gt;'融资租赁与资金缺口'!$F$7,AF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AF$46=EDATE('融资租赁与资金缺口'!$F$7,$A15),'融资租赁与资金缺口'!$J$7,0),0),IF(AND(AF$46&gt;'融资租赁与资金缺口'!$F$8,AF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AF$46=EDATE('融资租赁与资金缺口'!$F$8,$A15),'融资租赁与资金缺口'!$J$8,0),0),IF(AND(AF$46&gt;'融资租赁与资金缺口'!$F$9,AF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AF$46=EDATE('融资租赁与资金缺口'!$F$9,$A15),'融资租赁与资金缺口'!$J$9,0),0),IF(AND(AF$46&gt;'融资租赁与资金缺口'!$F$10,AF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AF$46=EDATE('融资租赁与资金缺口'!$F$10,$A15),'融资租赁与资金缺口'!$J$10,0),0),IF(AND(AF$46&gt;'融资租赁与资金缺口'!$F$11,AF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AF$46=EDATE('融资租赁与资金缺口'!$F$11,$A15),'融资租赁与资金缺口'!$J$11,0),0),IF(AND(AF$46&gt;'融资租赁与资金缺口'!$F$12,AF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AF$46=EDATE('融资租赁与资金缺口'!$F$12,$A15),'融资租赁与资金缺口'!$J$12,0),0),IF(AND(AF$46&gt;'融资租赁与资金缺口'!$F$13,AF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AF$46=EDATE('融资租赁与资金缺口'!$F$13,$A15),'融资租赁与资金缺口'!$J$13,0),0),IF(AND(AF$46&gt;'融资租赁与资金缺口'!$F$14,AF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AF$46=EDATE('融资租赁与资金缺口'!$F$14,$A15),'融资租赁与资金缺口'!$J$14,0),0),IF(AND(AF$46&gt;'融资租赁与资金缺口'!$F$15,AF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AF$46=EDATE('融资租赁与资金缺口'!$F$15,$A15),'融资租赁与资金缺口'!$J$15,0),0),IF(AND(AF$46&gt;'融资租赁与资金缺口'!$F$16,AF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AF$46=EDATE('融资租赁与资金缺口'!$F$16,$A15),'融资租赁与资金缺口'!$J$16,0),0))</x:f>
        <x:v>0</x:v>
      </x:c>
      <x:c r="AG47" s="28" t="n">
        <x:f>SUM(IF(AND(AG$46&gt;'融资租赁与资金缺口'!$F$5,AG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AG$46=EDATE('融资租赁与资金缺口'!$F$5,$A15),'融资租赁与资金缺口'!$J$5,0),0),IF(AND(AG$46&gt;'融资租赁与资金缺口'!$F$6,AG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AG$46=EDATE('融资租赁与资金缺口'!$F$6,$A15),'融资租赁与资金缺口'!$J$6,0),0),IF(AND(AG$46&gt;'融资租赁与资金缺口'!$F$7,AG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AG$46=EDATE('融资租赁与资金缺口'!$F$7,$A15),'融资租赁与资金缺口'!$J$7,0),0),IF(AND(AG$46&gt;'融资租赁与资金缺口'!$F$8,AG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AG$46=EDATE('融资租赁与资金缺口'!$F$8,$A15),'融资租赁与资金缺口'!$J$8,0),0),IF(AND(AG$46&gt;'融资租赁与资金缺口'!$F$9,AG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AG$46=EDATE('融资租赁与资金缺口'!$F$9,$A15),'融资租赁与资金缺口'!$J$9,0),0),IF(AND(AG$46&gt;'融资租赁与资金缺口'!$F$10,AG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AG$46=EDATE('融资租赁与资金缺口'!$F$10,$A15),'融资租赁与资金缺口'!$J$10,0),0),IF(AND(AG$46&gt;'融资租赁与资金缺口'!$F$11,AG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AG$46=EDATE('融资租赁与资金缺口'!$F$11,$A15),'融资租赁与资金缺口'!$J$11,0),0),IF(AND(AG$46&gt;'融资租赁与资金缺口'!$F$12,AG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AG$46=EDATE('融资租赁与资金缺口'!$F$12,$A15),'融资租赁与资金缺口'!$J$12,0),0),IF(AND(AG$46&gt;'融资租赁与资金缺口'!$F$13,AG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AG$46=EDATE('融资租赁与资金缺口'!$F$13,$A15),'融资租赁与资金缺口'!$J$13,0),0),IF(AND(AG$46&gt;'融资租赁与资金缺口'!$F$14,AG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AG$46=EDATE('融资租赁与资金缺口'!$F$14,$A15),'融资租赁与资金缺口'!$J$14,0),0),IF(AND(AG$46&gt;'融资租赁与资金缺口'!$F$15,AG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AG$46=EDATE('融资租赁与资金缺口'!$F$15,$A15),'融资租赁与资金缺口'!$J$15,0),0),IF(AND(AG$46&gt;'融资租赁与资金缺口'!$F$16,AG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AG$46=EDATE('融资租赁与资金缺口'!$F$16,$A15),'融资租赁与资金缺口'!$J$16,0),0))</x:f>
        <x:v>0</x:v>
      </x:c>
      <x:c r="AH47" s="28" t="n">
        <x:f>SUM(IF(AND(AH$46&gt;'融资租赁与资金缺口'!$F$5,AH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AH$46=EDATE('融资租赁与资金缺口'!$F$5,$A15),'融资租赁与资金缺口'!$J$5,0),0),IF(AND(AH$46&gt;'融资租赁与资金缺口'!$F$6,AH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AH$46=EDATE('融资租赁与资金缺口'!$F$6,$A15),'融资租赁与资金缺口'!$J$6,0),0),IF(AND(AH$46&gt;'融资租赁与资金缺口'!$F$7,AH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AH$46=EDATE('融资租赁与资金缺口'!$F$7,$A15),'融资租赁与资金缺口'!$J$7,0),0),IF(AND(AH$46&gt;'融资租赁与资金缺口'!$F$8,AH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AH$46=EDATE('融资租赁与资金缺口'!$F$8,$A15),'融资租赁与资金缺口'!$J$8,0),0),IF(AND(AH$46&gt;'融资租赁与资金缺口'!$F$9,AH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AH$46=EDATE('融资租赁与资金缺口'!$F$9,$A15),'融资租赁与资金缺口'!$J$9,0),0),IF(AND(AH$46&gt;'融资租赁与资金缺口'!$F$10,AH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AH$46=EDATE('融资租赁与资金缺口'!$F$10,$A15),'融资租赁与资金缺口'!$J$10,0),0),IF(AND(AH$46&gt;'融资租赁与资金缺口'!$F$11,AH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AH$46=EDATE('融资租赁与资金缺口'!$F$11,$A15),'融资租赁与资金缺口'!$J$11,0),0),IF(AND(AH$46&gt;'融资租赁与资金缺口'!$F$12,AH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AH$46=EDATE('融资租赁与资金缺口'!$F$12,$A15),'融资租赁与资金缺口'!$J$12,0),0),IF(AND(AH$46&gt;'融资租赁与资金缺口'!$F$13,AH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AH$46=EDATE('融资租赁与资金缺口'!$F$13,$A15),'融资租赁与资金缺口'!$J$13,0),0),IF(AND(AH$46&gt;'融资租赁与资金缺口'!$F$14,AH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AH$46=EDATE('融资租赁与资金缺口'!$F$14,$A15),'融资租赁与资金缺口'!$J$14,0),0),IF(AND(AH$46&gt;'融资租赁与资金缺口'!$F$15,AH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AH$46=EDATE('融资租赁与资金缺口'!$F$15,$A15),'融资租赁与资金缺口'!$J$15,0),0),IF(AND(AH$46&gt;'融资租赁与资金缺口'!$F$16,AH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AH$46=EDATE('融资租赁与资金缺口'!$F$16,$A15),'融资租赁与资金缺口'!$J$16,0),0))</x:f>
        <x:v>1347689.007663252</x:v>
      </x:c>
      <x:c r="AI47" s="28" t="n">
        <x:f>SUM(IF(AND(AI$46&gt;'融资租赁与资金缺口'!$F$5,AI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AI$46=EDATE('融资租赁与资金缺口'!$F$5,$A15),'融资租赁与资金缺口'!$J$5,0),0),IF(AND(AI$46&gt;'融资租赁与资金缺口'!$F$6,AI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AI$46=EDATE('融资租赁与资金缺口'!$F$6,$A15),'融资租赁与资金缺口'!$J$6,0),0),IF(AND(AI$46&gt;'融资租赁与资金缺口'!$F$7,AI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AI$46=EDATE('融资租赁与资金缺口'!$F$7,$A15),'融资租赁与资金缺口'!$J$7,0),0),IF(AND(AI$46&gt;'融资租赁与资金缺口'!$F$8,AI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AI$46=EDATE('融资租赁与资金缺口'!$F$8,$A15),'融资租赁与资金缺口'!$J$8,0),0),IF(AND(AI$46&gt;'融资租赁与资金缺口'!$F$9,AI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AI$46=EDATE('融资租赁与资金缺口'!$F$9,$A15),'融资租赁与资金缺口'!$J$9,0),0),IF(AND(AI$46&gt;'融资租赁与资金缺口'!$F$10,AI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AI$46=EDATE('融资租赁与资金缺口'!$F$10,$A15),'融资租赁与资金缺口'!$J$10,0),0),IF(AND(AI$46&gt;'融资租赁与资金缺口'!$F$11,AI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AI$46=EDATE('融资租赁与资金缺口'!$F$11,$A15),'融资租赁与资金缺口'!$J$11,0),0),IF(AND(AI$46&gt;'融资租赁与资金缺口'!$F$12,AI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AI$46=EDATE('融资租赁与资金缺口'!$F$12,$A15),'融资租赁与资金缺口'!$J$12,0),0),IF(AND(AI$46&gt;'融资租赁与资金缺口'!$F$13,AI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AI$46=EDATE('融资租赁与资金缺口'!$F$13,$A15),'融资租赁与资金缺口'!$J$13,0),0),IF(AND(AI$46&gt;'融资租赁与资金缺口'!$F$14,AI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AI$46=EDATE('融资租赁与资金缺口'!$F$14,$A15),'融资租赁与资金缺口'!$J$14,0),0),IF(AND(AI$46&gt;'融资租赁与资金缺口'!$F$15,AI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AI$46=EDATE('融资租赁与资金缺口'!$F$15,$A15),'融资租赁与资金缺口'!$J$15,0),0),IF(AND(AI$46&gt;'融资租赁与资金缺口'!$F$16,AI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AI$46=EDATE('融资租赁与资金缺口'!$F$16,$A15),'融资租赁与资金缺口'!$J$16,0),0))</x:f>
        <x:v>2963544.212702086</x:v>
      </x:c>
      <x:c r="AJ47" s="28" t="n">
        <x:f>SUM(IF(AND(AJ$46&gt;'融资租赁与资金缺口'!$F$5,AJ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AJ$46=EDATE('融资租赁与资金缺口'!$F$5,$A15),'融资租赁与资金缺口'!$J$5,0),0),IF(AND(AJ$46&gt;'融资租赁与资金缺口'!$F$6,AJ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AJ$46=EDATE('融资租赁与资金缺口'!$F$6,$A15),'融资租赁与资金缺口'!$J$6,0),0),IF(AND(AJ$46&gt;'融资租赁与资金缺口'!$F$7,AJ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AJ$46=EDATE('融资租赁与资金缺口'!$F$7,$A15),'融资租赁与资金缺口'!$J$7,0),0),IF(AND(AJ$46&gt;'融资租赁与资金缺口'!$F$8,AJ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AJ$46=EDATE('融资租赁与资金缺口'!$F$8,$A15),'融资租赁与资金缺口'!$J$8,0),0),IF(AND(AJ$46&gt;'融资租赁与资金缺口'!$F$9,AJ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AJ$46=EDATE('融资租赁与资金缺口'!$F$9,$A15),'融资租赁与资金缺口'!$J$9,0),0),IF(AND(AJ$46&gt;'融资租赁与资金缺口'!$F$10,AJ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AJ$46=EDATE('融资租赁与资金缺口'!$F$10,$A15),'融资租赁与资金缺口'!$J$10,0),0),IF(AND(AJ$46&gt;'融资租赁与资金缺口'!$F$11,AJ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AJ$46=EDATE('融资租赁与资金缺口'!$F$11,$A15),'融资租赁与资金缺口'!$J$11,0),0),IF(AND(AJ$46&gt;'融资租赁与资金缺口'!$F$12,AJ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AJ$46=EDATE('融资租赁与资金缺口'!$F$12,$A15),'融资租赁与资金缺口'!$J$12,0),0),IF(AND(AJ$46&gt;'融资租赁与资金缺口'!$F$13,AJ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AJ$46=EDATE('融资租赁与资金缺口'!$F$13,$A15),'融资租赁与资金缺口'!$J$13,0),0),IF(AND(AJ$46&gt;'融资租赁与资金缺口'!$F$14,AJ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AJ$46=EDATE('融资租赁与资金缺口'!$F$14,$A15),'融资租赁与资金缺口'!$J$14,0),0),IF(AND(AJ$46&gt;'融资租赁与资金缺口'!$F$15,AJ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AJ$46=EDATE('融资租赁与资金缺口'!$F$15,$A15),'融资租赁与资金缺口'!$J$15,0),0),IF(AND(AJ$46&gt;'融资租赁与资金缺口'!$F$16,AJ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AJ$46=EDATE('融资租赁与资金缺口'!$F$16,$A15),'融资租赁与资金缺口'!$J$16,0),0))</x:f>
        <x:v>4845279.6081880545</x:v>
      </x:c>
      <x:c r="AK47" s="28" t="n">
        <x:f>SUM(IF(AND(AK$46&gt;'融资租赁与资金缺口'!$F$5,AK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AK$46=EDATE('融资租赁与资金缺口'!$F$5,$A15),'融资租赁与资金缺口'!$J$5,0),0),IF(AND(AK$46&gt;'融资租赁与资金缺口'!$F$6,AK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AK$46=EDATE('融资租赁与资金缺口'!$F$6,$A15),'融资租赁与资金缺口'!$J$6,0),0),IF(AND(AK$46&gt;'融资租赁与资金缺口'!$F$7,AK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AK$46=EDATE('融资租赁与资金缺口'!$F$7,$A15),'融资租赁与资金缺口'!$J$7,0),0),IF(AND(AK$46&gt;'融资租赁与资金缺口'!$F$8,AK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AK$46=EDATE('融资租赁与资金缺口'!$F$8,$A15),'融资租赁与资金缺口'!$J$8,0),0),IF(AND(AK$46&gt;'融资租赁与资金缺口'!$F$9,AK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AK$46=EDATE('融资租赁与资金缺口'!$F$9,$A15),'融资租赁与资金缺口'!$J$9,0),0),IF(AND(AK$46&gt;'融资租赁与资金缺口'!$F$10,AK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AK$46=EDATE('融资租赁与资金缺口'!$F$10,$A15),'融资租赁与资金缺口'!$J$10,0),0),IF(AND(AK$46&gt;'融资租赁与资金缺口'!$F$11,AK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AK$46=EDATE('融资租赁与资金缺口'!$F$11,$A15),'融资租赁与资金缺口'!$J$11,0),0),IF(AND(AK$46&gt;'融资租赁与资金缺口'!$F$12,AK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AK$46=EDATE('融资租赁与资金缺口'!$F$12,$A15),'融资租赁与资金缺口'!$J$12,0),0),IF(AND(AK$46&gt;'融资租赁与资金缺口'!$F$13,AK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AK$46=EDATE('融资租赁与资金缺口'!$F$13,$A15),'融资租赁与资金缺口'!$J$13,0),0),IF(AND(AK$46&gt;'融资租赁与资金缺口'!$F$14,AK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AK$46=EDATE('融资租赁与资金缺口'!$F$14,$A15),'融资租赁与资金缺口'!$J$14,0),0),IF(AND(AK$46&gt;'融资租赁与资金缺口'!$F$15,AK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AK$46=EDATE('融资租赁与资金缺口'!$F$15,$A15),'融资租赁与资金缺口'!$J$15,0),0),IF(AND(AK$46&gt;'融资租赁与资金缺口'!$F$16,AK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AK$46=EDATE('融资租赁与资金缺口'!$F$16,$A15),'融资租赁与资金缺口'!$J$16,0),0))</x:f>
        <x:v>6995181.201049604</x:v>
      </x:c>
      <x:c r="AL47" s="28" t="n">
        <x:f>SUM(IF(AND(AL$46&gt;'融资租赁与资金缺口'!$F$5,AL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AL$46=EDATE('融资租赁与资金缺口'!$F$5,$A15),'融资租赁与资金缺口'!$J$5,0),0),IF(AND(AL$46&gt;'融资租赁与资金缺口'!$F$6,AL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AL$46=EDATE('融资租赁与资金缺口'!$F$6,$A15),'融资租赁与资金缺口'!$J$6,0),0),IF(AND(AL$46&gt;'融资租赁与资金缺口'!$F$7,AL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AL$46=EDATE('融资租赁与资金缺口'!$F$7,$A15),'融资租赁与资金缺口'!$J$7,0),0),IF(AND(AL$46&gt;'融资租赁与资金缺口'!$F$8,AL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AL$46=EDATE('融资租赁与资金缺口'!$F$8,$A15),'融资租赁与资金缺口'!$J$8,0),0),IF(AND(AL$46&gt;'融资租赁与资金缺口'!$F$9,AL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AL$46=EDATE('融资租赁与资金缺口'!$F$9,$A15),'融资租赁与资金缺口'!$J$9,0),0),IF(AND(AL$46&gt;'融资租赁与资金缺口'!$F$10,AL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AL$46=EDATE('融资租赁与资金缺口'!$F$10,$A15),'融资租赁与资金缺口'!$J$10,0),0),IF(AND(AL$46&gt;'融资租赁与资金缺口'!$F$11,AL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AL$46=EDATE('融资租赁与资金缺口'!$F$11,$A15),'融资租赁与资金缺口'!$J$11,0),0),IF(AND(AL$46&gt;'融资租赁与资金缺口'!$F$12,AL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AL$46=EDATE('融资租赁与资金缺口'!$F$12,$A15),'融资租赁与资金缺口'!$J$12,0),0),IF(AND(AL$46&gt;'融资租赁与资金缺口'!$F$13,AL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AL$46=EDATE('融资租赁与资金缺口'!$F$13,$A15),'融资租赁与资金缺口'!$J$13,0),0),IF(AND(AL$46&gt;'融资租赁与资金缺口'!$F$14,AL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AL$46=EDATE('融资租赁与资金缺口'!$F$14,$A15),'融资租赁与资金缺口'!$J$14,0),0),IF(AND(AL$46&gt;'融资租赁与资金缺口'!$F$15,AL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AL$46=EDATE('融资租赁与资金缺口'!$F$15,$A15),'融资租赁与资金缺口'!$J$15,0),0),IF(AND(AL$46&gt;'融资租赁与资金缺口'!$F$16,AL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AL$46=EDATE('融资租赁与资金缺口'!$F$16,$A15),'融资租赁与资金缺口'!$J$16,0),0))</x:f>
        <x:v>9413248.991286736</x:v>
      </x:c>
      <x:c r="AM47" s="28" t="n">
        <x:f>SUM(IF(AND(AM$46&gt;'融资租赁与资金缺口'!$F$5,AM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AM$46=EDATE('融资租赁与资金缺口'!$F$5,$A15),'融资租赁与资金缺口'!$J$5,0),0),IF(AND(AM$46&gt;'融资租赁与资金缺口'!$F$6,AM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AM$46=EDATE('融资租赁与资金缺口'!$F$6,$A15),'融资租赁与资金缺口'!$J$6,0),0),IF(AND(AM$46&gt;'融资租赁与资金缺口'!$F$7,AM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AM$46=EDATE('融资租赁与资金缺口'!$F$7,$A15),'融资租赁与资金缺口'!$J$7,0),0),IF(AND(AM$46&gt;'融资租赁与资金缺口'!$F$8,AM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AM$46=EDATE('融资租赁与资金缺口'!$F$8,$A15),'融资租赁与资金缺口'!$J$8,0),0),IF(AND(AM$46&gt;'融资租赁与资金缺口'!$F$9,AM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AM$46=EDATE('融资租赁与资金缺口'!$F$9,$A15),'融资租赁与资金缺口'!$J$9,0),0),IF(AND(AM$46&gt;'融资租赁与资金缺口'!$F$10,AM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AM$46=EDATE('融资租赁与资金缺口'!$F$10,$A15),'融资租赁与资金缺口'!$J$10,0),0),IF(AND(AM$46&gt;'融资租赁与资金缺口'!$F$11,AM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AM$46=EDATE('融资租赁与资金缺口'!$F$11,$A15),'融资租赁与资金缺口'!$J$11,0),0),IF(AND(AM$46&gt;'融资租赁与资金缺口'!$F$12,AM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AM$46=EDATE('融资租赁与资金缺口'!$F$12,$A15),'融资租赁与资金缺口'!$J$12,0),0),IF(AND(AM$46&gt;'融资租赁与资金缺口'!$F$13,AM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AM$46=EDATE('融资租赁与资金缺口'!$F$13,$A15),'融资租赁与资金缺口'!$J$13,0),0),IF(AND(AM$46&gt;'融资租赁与资金缺口'!$F$14,AM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AM$46=EDATE('融资租赁与资金缺口'!$F$14,$A15),'融资租赁与资金缺口'!$J$14,0),0),IF(AND(AM$46&gt;'融资租赁与资金缺口'!$F$15,AM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AM$46=EDATE('融资租赁与资金缺口'!$F$15,$A15),'融资租赁与资金缺口'!$J$15,0),0),IF(AND(AM$46&gt;'融资租赁与资金缺口'!$F$16,AM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AM$46=EDATE('融资租赁与资金缺口'!$F$16,$A15),'融资租赁与资金缺口'!$J$16,0),0))</x:f>
        <x:v>12099482.97889945</x:v>
      </x:c>
      <x:c r="AN47" s="28" t="n">
        <x:f>SUM(IF(AND(AN$46&gt;'融资租赁与资金缺口'!$F$5,AN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AN$46=EDATE('融资租赁与资金缺口'!$F$5,$A15),'融资租赁与资金缺口'!$J$5,0),0),IF(AND(AN$46&gt;'融资租赁与资金缺口'!$F$6,AN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AN$46=EDATE('融资租赁与资金缺口'!$F$6,$A15),'融资租赁与资金缺口'!$J$6,0),0),IF(AND(AN$46&gt;'融资租赁与资金缺口'!$F$7,AN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AN$46=EDATE('融资租赁与资金缺口'!$F$7,$A15),'融资租赁与资金缺口'!$J$7,0),0),IF(AND(AN$46&gt;'融资租赁与资金缺口'!$F$8,AN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AN$46=EDATE('融资租赁与资金缺口'!$F$8,$A15),'融资租赁与资金缺口'!$J$8,0),0),IF(AND(AN$46&gt;'融资租赁与资金缺口'!$F$9,AN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AN$46=EDATE('融资租赁与资金缺口'!$F$9,$A15),'融资租赁与资金缺口'!$J$9,0),0),IF(AND(AN$46&gt;'融资租赁与资金缺口'!$F$10,AN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AN$46=EDATE('融资租赁与资金缺口'!$F$10,$A15),'融资租赁与资金缺口'!$J$10,0),0),IF(AND(AN$46&gt;'融资租赁与资金缺口'!$F$11,AN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AN$46=EDATE('融资租赁与资金缺口'!$F$11,$A15),'融资租赁与资金缺口'!$J$11,0),0),IF(AND(AN$46&gt;'融资租赁与资金缺口'!$F$12,AN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AN$46=EDATE('融资租赁与资金缺口'!$F$12,$A15),'融资租赁与资金缺口'!$J$12,0),0),IF(AND(AN$46&gt;'融资租赁与资金缺口'!$F$13,AN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AN$46=EDATE('融资租赁与资金缺口'!$F$13,$A15),'融资租赁与资金缺口'!$J$13,0),0),IF(AND(AN$46&gt;'融资租赁与资金缺口'!$F$14,AN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AN$46=EDATE('融资租赁与资金缺口'!$F$14,$A15),'融资租赁与资金缺口'!$J$14,0),0),IF(AND(AN$46&gt;'融资租赁与资金缺口'!$F$15,AN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AN$46=EDATE('融资租赁与资金缺口'!$F$15,$A15),'融资租赁与资金缺口'!$J$15,0),0),IF(AND(AN$46&gt;'融资租赁与资金缺口'!$F$16,AN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AN$46=EDATE('融资租赁与资金缺口'!$F$16,$A15),'融资租赁与资金缺口'!$J$16,0),0))</x:f>
        <x:v>15049311.15003085</x:v>
      </x:c>
      <x:c r="AO47" s="28" t="n">
        <x:f>SUM(IF(AND(AO$46&gt;'融资租赁与资金缺口'!$F$5,AO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AO$46=EDATE('融资租赁与资金缺口'!$F$5,$A15),'融资租赁与资金缺口'!$J$5,0),0),IF(AND(AO$46&gt;'融资租赁与资金缺口'!$F$6,AO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AO$46=EDATE('融资租赁与资金缺口'!$F$6,$A15),'融资租赁与资金缺口'!$J$6,0),0),IF(AND(AO$46&gt;'融资租赁与资金缺口'!$F$7,AO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AO$46=EDATE('融资租赁与资金缺口'!$F$7,$A15),'融资租赁与资金缺口'!$J$7,0),0),IF(AND(AO$46&gt;'融资租赁与资金缺口'!$F$8,AO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AO$46=EDATE('融资租赁与资金缺口'!$F$8,$A15),'融资租赁与资金缺口'!$J$8,0),0),IF(AND(AO$46&gt;'融资租赁与资金缺口'!$F$9,AO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AO$46=EDATE('融资租赁与资金缺口'!$F$9,$A15),'融资租赁与资金缺口'!$J$9,0),0),IF(AND(AO$46&gt;'融资租赁与资金缺口'!$F$10,AO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AO$46=EDATE('融资租赁与资金缺口'!$F$10,$A15),'融资租赁与资金缺口'!$J$10,0),0),IF(AND(AO$46&gt;'融资租赁与资金缺口'!$F$11,AO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AO$46=EDATE('融资租赁与资金缺口'!$F$11,$A15),'融资租赁与资金缺口'!$J$11,0),0),IF(AND(AO$46&gt;'融资租赁与资金缺口'!$F$12,AO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AO$46=EDATE('融资租赁与资金缺口'!$F$12,$A15),'融资租赁与资金缺口'!$J$12,0),0),IF(AND(AO$46&gt;'融资租赁与资金缺口'!$F$13,AO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AO$46=EDATE('融资租赁与资金缺口'!$F$13,$A15),'融资租赁与资金缺口'!$J$13,0),0),IF(AND(AO$46&gt;'融资租赁与资金缺口'!$F$14,AO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AO$46=EDATE('融资租赁与资金缺口'!$F$14,$A15),'融资租赁与资金缺口'!$J$14,0),0),IF(AND(AO$46&gt;'融资租赁与资金缺口'!$F$15,AO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AO$46=EDATE('融资租赁与资金缺口'!$F$15,$A15),'融资租赁与资金缺口'!$J$15,0),0),IF(AND(AO$46&gt;'融资租赁与资金缺口'!$F$16,AO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AO$46=EDATE('融资租赁与资金缺口'!$F$16,$A15),'融资租赁与资金缺口'!$J$16,0),0))</x:f>
        <x:v>17999139.32116225</x:v>
      </x:c>
      <x:c r="AP47" s="28" t="n">
        <x:f>SUM(IF(AND(AP$46&gt;'融资租赁与资金缺口'!$F$5,AP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AP$46=EDATE('融资租赁与资金缺口'!$F$5,$A15),'融资租赁与资金缺口'!$J$5,0),0),IF(AND(AP$46&gt;'融资租赁与资金缺口'!$F$6,AP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AP$46=EDATE('融资租赁与资金缺口'!$F$6,$A15),'融资租赁与资金缺口'!$J$6,0),0),IF(AND(AP$46&gt;'融资租赁与资金缺口'!$F$7,AP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AP$46=EDATE('融资租赁与资金缺口'!$F$7,$A15),'融资租赁与资金缺口'!$J$7,0),0),IF(AND(AP$46&gt;'融资租赁与资金缺口'!$F$8,AP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AP$46=EDATE('融资租赁与资金缺口'!$F$8,$A15),'融资租赁与资金缺口'!$J$8,0),0),IF(AND(AP$46&gt;'融资租赁与资金缺口'!$F$9,AP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AP$46=EDATE('融资租赁与资金缺口'!$F$9,$A15),'融资租赁与资金缺口'!$J$9,0),0),IF(AND(AP$46&gt;'融资租赁与资金缺口'!$F$10,AP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AP$46=EDATE('融资租赁与资金缺口'!$F$10,$A15),'融资租赁与资金缺口'!$J$10,0),0),IF(AND(AP$46&gt;'融资租赁与资金缺口'!$F$11,AP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AP$46=EDATE('融资租赁与资金缺口'!$F$11,$A15),'融资租赁与资金缺口'!$J$11,0),0),IF(AND(AP$46&gt;'融资租赁与资金缺口'!$F$12,AP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AP$46=EDATE('融资租赁与资金缺口'!$F$12,$A15),'融资租赁与资金缺口'!$J$12,0),0),IF(AND(AP$46&gt;'融资租赁与资金缺口'!$F$13,AP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AP$46=EDATE('融资租赁与资金缺口'!$F$13,$A15),'融资租赁与资金缺口'!$J$13,0),0),IF(AND(AP$46&gt;'融资租赁与资金缺口'!$F$14,AP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AP$46=EDATE('融资租赁与资金缺口'!$F$14,$A15),'融资租赁与资金缺口'!$J$14,0),0),IF(AND(AP$46&gt;'融资租赁与资金缺口'!$F$15,AP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AP$46=EDATE('融资租赁与资金缺口'!$F$15,$A15),'融资租赁与资金缺口'!$J$15,0),0),IF(AND(AP$46&gt;'融资租赁与资金缺口'!$F$16,AP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AP$46=EDATE('融资租赁与资金缺口'!$F$16,$A15),'融资租赁与资金缺口'!$J$16,0),0))</x:f>
        <x:v>21734650.488932405</x:v>
      </x:c>
      <x:c r="AQ47" s="28" t="n">
        <x:f>SUM(IF(AND(AQ$46&gt;'融资租赁与资金缺口'!$F$5,AQ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AQ$46=EDATE('融资租赁与资金缺口'!$F$5,$A15),'融资租赁与资金缺口'!$J$5,0),0),IF(AND(AQ$46&gt;'融资租赁与资金缺口'!$F$6,AQ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AQ$46=EDATE('融资租赁与资金缺口'!$F$6,$A15),'融资租赁与资金缺口'!$J$6,0),0),IF(AND(AQ$46&gt;'融资租赁与资金缺口'!$F$7,AQ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AQ$46=EDATE('融资租赁与资金缺口'!$F$7,$A15),'融资租赁与资金缺口'!$J$7,0),0),IF(AND(AQ$46&gt;'融资租赁与资金缺口'!$F$8,AQ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AQ$46=EDATE('融资租赁与资金缺口'!$F$8,$A15),'融资租赁与资金缺口'!$J$8,0),0),IF(AND(AQ$46&gt;'融资租赁与资金缺口'!$F$9,AQ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AQ$46=EDATE('融资租赁与资金缺口'!$F$9,$A15),'融资租赁与资金缺口'!$J$9,0),0),IF(AND(AQ$46&gt;'融资租赁与资金缺口'!$F$10,AQ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AQ$46=EDATE('融资租赁与资金缺口'!$F$10,$A15),'融资租赁与资金缺口'!$J$10,0),0),IF(AND(AQ$46&gt;'融资租赁与资金缺口'!$F$11,AQ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AQ$46=EDATE('融资租赁与资金缺口'!$F$11,$A15),'融资租赁与资金缺口'!$J$11,0),0),IF(AND(AQ$46&gt;'融资租赁与资金缺口'!$F$12,AQ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AQ$46=EDATE('融资租赁与资金缺口'!$F$12,$A15),'融资租赁与资金缺口'!$J$12,0),0),IF(AND(AQ$46&gt;'融资租赁与资金缺口'!$F$13,AQ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AQ$46=EDATE('融资租赁与资金缺口'!$F$13,$A15),'融资租赁与资金缺口'!$J$13,0),0),IF(AND(AQ$46&gt;'融资租赁与资金缺口'!$F$14,AQ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AQ$46=EDATE('融资租赁与资金缺口'!$F$14,$A15),'融资租赁与资金缺口'!$J$14,0),0),IF(AND(AQ$46&gt;'融资租赁与资金缺口'!$F$15,AQ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AQ$46=EDATE('融资租赁与资金缺口'!$F$15,$A15),'融资租赁与资金缺口'!$J$15,0),0),IF(AND(AQ$46&gt;'融资租赁与资金缺口'!$F$16,AQ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AQ$46=EDATE('融资租赁与资金缺口'!$F$16,$A15),'融资租赁与资金缺口'!$J$16,0),0))</x:f>
        <x:v>25691200.94201476</x:v>
      </x:c>
      <x:c r="AR47" s="28" t="n">
        <x:f>SUM(IF(AND(AR$46&gt;'融资租赁与资金缺口'!$F$5,AR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AR$46=EDATE('融资租赁与资金缺口'!$F$5,$A15),'融资租赁与资金缺口'!$J$5,0),0),IF(AND(AR$46&gt;'融资租赁与资金缺口'!$F$6,AR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AR$46=EDATE('融资租赁与资金缺口'!$F$6,$A15),'融资租赁与资金缺口'!$J$6,0),0),IF(AND(AR$46&gt;'融资租赁与资金缺口'!$F$7,AR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AR$46=EDATE('融资租赁与资金缺口'!$F$7,$A15),'融资租赁与资金缺口'!$J$7,0),0),IF(AND(AR$46&gt;'融资租赁与资金缺口'!$F$8,AR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AR$46=EDATE('融资租赁与资金缺口'!$F$8,$A15),'融资租赁与资金缺口'!$J$8,0),0),IF(AND(AR$46&gt;'融资租赁与资金缺口'!$F$9,AR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AR$46=EDATE('融资租赁与资金缺口'!$F$9,$A15),'融资租赁与资金缺口'!$J$9,0),0),IF(AND(AR$46&gt;'融资租赁与资金缺口'!$F$10,AR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AR$46=EDATE('融资租赁与资金缺口'!$F$10,$A15),'融资租赁与资金缺口'!$J$10,0),0),IF(AND(AR$46&gt;'融资租赁与资金缺口'!$F$11,AR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AR$46=EDATE('融资租赁与资金缺口'!$F$11,$A15),'融资租赁与资金缺口'!$J$11,0),0),IF(AND(AR$46&gt;'融资租赁与资金缺口'!$F$12,AR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AR$46=EDATE('融资租赁与资金缺口'!$F$12,$A15),'融资租赁与资金缺口'!$J$12,0),0),IF(AND(AR$46&gt;'融资租赁与资金缺口'!$F$13,AR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AR$46=EDATE('融资租赁与资金缺口'!$F$13,$A15),'融资租赁与资金缺口'!$J$13,0),0),IF(AND(AR$46&gt;'融资租赁与资金缺口'!$F$14,AR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AR$46=EDATE('融资租赁与资金缺口'!$F$14,$A15),'融资租赁与资金缺口'!$J$14,0),0),IF(AND(AR$46&gt;'融资租赁与资金缺口'!$F$15,AR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AR$46=EDATE('融资租赁与资金缺口'!$F$15,$A15),'融资租赁与资金缺口'!$J$15,0),0),IF(AND(AR$46&gt;'融资租赁与资金缺口'!$F$16,AR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AR$46=EDATE('融资租赁与资金缺口'!$F$16,$A15),'融资租赁与资金缺口'!$J$16,0),0))</x:f>
        <x:v>29208134.678087965</x:v>
      </x:c>
      <x:c r="AS47" s="28" t="n">
        <x:f>SUM(IF(AND(AS$46&gt;'融资租赁与资金缺口'!$F$5,AS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AS$46=EDATE('融资租赁与资金缺口'!$F$5,$A15),'融资租赁与资金缺口'!$J$5,0),0),IF(AND(AS$46&gt;'融资租赁与资金缺口'!$F$6,AS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AS$46=EDATE('融资租赁与资金缺口'!$F$6,$A15),'融资租赁与资金缺口'!$J$6,0),0),IF(AND(AS$46&gt;'融资租赁与资金缺口'!$F$7,AS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AS$46=EDATE('融资租赁与资金缺口'!$F$7,$A15),'融资租赁与资金缺口'!$J$7,0),0),IF(AND(AS$46&gt;'融资租赁与资金缺口'!$F$8,AS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AS$46=EDATE('融资租赁与资金缺口'!$F$8,$A15),'融资租赁与资金缺口'!$J$8,0),0),IF(AND(AS$46&gt;'融资租赁与资金缺口'!$F$9,AS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AS$46=EDATE('融资租赁与资金缺口'!$F$9,$A15),'融资租赁与资金缺口'!$J$9,0),0),IF(AND(AS$46&gt;'融资租赁与资金缺口'!$F$10,AS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AS$46=EDATE('融资租赁与资金缺口'!$F$10,$A15),'融资租赁与资金缺口'!$J$10,0),0),IF(AND(AS$46&gt;'融资租赁与资金缺口'!$F$11,AS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AS$46=EDATE('融资租赁与资金缺口'!$F$11,$A15),'融资租赁与资金缺口'!$J$11,0),0),IF(AND(AS$46&gt;'融资租赁与资金缺口'!$F$12,AS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AS$46=EDATE('融资租赁与资金缺口'!$F$12,$A15),'融资租赁与资金缺口'!$J$12,0),0),IF(AND(AS$46&gt;'融资租赁与资金缺口'!$F$13,AS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AS$46=EDATE('融资租赁与资金缺口'!$F$13,$A15),'融资租赁与资金缺口'!$J$13,0),0),IF(AND(AS$46&gt;'融资租赁与资金缺口'!$F$14,AS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AS$46=EDATE('融资租赁与资金缺口'!$F$14,$A15),'融资租赁与资金缺口'!$J$14,0),0),IF(AND(AS$46&gt;'融资租赁与资金缺口'!$F$15,AS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AS$46=EDATE('融资租赁与资金缺口'!$F$15,$A15),'融资租赁与资金缺口'!$J$15,0),0),IF(AND(AS$46&gt;'融资租赁与资金缺口'!$F$16,AS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AS$46=EDATE('融资租赁与资金缺口'!$F$16,$A15),'融资租赁与资金缺口'!$J$16,0),0))</x:f>
        <x:v>31845834.98014287</x:v>
      </x:c>
      <x:c r="AT47" s="28" t="n">
        <x:f>SUM(IF(AND(AT$46&gt;'融资租赁与资金缺口'!$F$5,AT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AT$46=EDATE('融资租赁与资金缺口'!$F$5,$A15),'融资租赁与资金缺口'!$J$5,0),0),IF(AND(AT$46&gt;'融资租赁与资金缺口'!$F$6,AT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AT$46=EDATE('融资租赁与资金缺口'!$F$6,$A15),'融资租赁与资金缺口'!$J$6,0),0),IF(AND(AT$46&gt;'融资租赁与资金缺口'!$F$7,AT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AT$46=EDATE('融资租赁与资金缺口'!$F$7,$A15),'融资租赁与资金缺口'!$J$7,0),0),IF(AND(AT$46&gt;'融资租赁与资金缺口'!$F$8,AT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AT$46=EDATE('融资租赁与资金缺口'!$F$8,$A15),'融资租赁与资金缺口'!$J$8,0),0),IF(AND(AT$46&gt;'融资租赁与资金缺口'!$F$9,AT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AT$46=EDATE('融资租赁与资金缺口'!$F$9,$A15),'融资租赁与资金缺口'!$J$9,0),0),IF(AND(AT$46&gt;'融资租赁与资金缺口'!$F$10,AT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AT$46=EDATE('融资租赁与资金缺口'!$F$10,$A15),'融资租赁与资金缺口'!$J$10,0),0),IF(AND(AT$46&gt;'融资租赁与资金缺口'!$F$11,AT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AT$46=EDATE('融资租赁与资金缺口'!$F$11,$A15),'融资租赁与资金缺口'!$J$11,0),0),IF(AND(AT$46&gt;'融资租赁与资金缺口'!$F$12,AT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AT$46=EDATE('融资租赁与资金缺口'!$F$12,$A15),'融资租赁与资金缺口'!$J$12,0),0),IF(AND(AT$46&gt;'融资租赁与资金缺口'!$F$13,AT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AT$46=EDATE('融资租赁与资金缺口'!$F$13,$A15),'融资租赁与资金缺口'!$J$13,0),0),IF(AND(AT$46&gt;'融资租赁与资金缺口'!$F$14,AT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AT$46=EDATE('融资租赁与资金缺口'!$F$14,$A15),'融资租赁与资金缺口'!$J$14,0),0),IF(AND(AT$46&gt;'融资租赁与资金缺口'!$F$15,AT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AT$46=EDATE('融资租赁与资金缺口'!$F$15,$A15),'融资租赁与资金缺口'!$J$15,0),0),IF(AND(AT$46&gt;'融资租赁与资金缺口'!$F$16,AT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AT$46=EDATE('融资租赁与资金缺口'!$F$16,$A15),'融资租赁与资金缺口'!$J$16,0),0))</x:f>
        <x:v>31845834.98014287</x:v>
      </x:c>
      <x:c r="AU47" s="28" t="n">
        <x:f>SUM(IF(AND(AU$46&gt;'融资租赁与资金缺口'!$F$5,AU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AU$46=EDATE('融资租赁与资金缺口'!$F$5,$A15),'融资租赁与资金缺口'!$J$5,0),0),IF(AND(AU$46&gt;'融资租赁与资金缺口'!$F$6,AU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AU$46=EDATE('融资租赁与资金缺口'!$F$6,$A15),'融资租赁与资金缺口'!$J$6,0),0),IF(AND(AU$46&gt;'融资租赁与资金缺口'!$F$7,AU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AU$46=EDATE('融资租赁与资金缺口'!$F$7,$A15),'融资租赁与资金缺口'!$J$7,0),0),IF(AND(AU$46&gt;'融资租赁与资金缺口'!$F$8,AU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AU$46=EDATE('融资租赁与资金缺口'!$F$8,$A15),'融资租赁与资金缺口'!$J$8,0),0),IF(AND(AU$46&gt;'融资租赁与资金缺口'!$F$9,AU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AU$46=EDATE('融资租赁与资金缺口'!$F$9,$A15),'融资租赁与资金缺口'!$J$9,0),0),IF(AND(AU$46&gt;'融资租赁与资金缺口'!$F$10,AU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AU$46=EDATE('融资租赁与资金缺口'!$F$10,$A15),'融资租赁与资金缺口'!$J$10,0),0),IF(AND(AU$46&gt;'融资租赁与资金缺口'!$F$11,AU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AU$46=EDATE('融资租赁与资金缺口'!$F$11,$A15),'融资租赁与资金缺口'!$J$11,0),0),IF(AND(AU$46&gt;'融资租赁与资金缺口'!$F$12,AU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AU$46=EDATE('融资租赁与资金缺口'!$F$12,$A15),'融资租赁与资金缺口'!$J$12,0),0),IF(AND(AU$46&gt;'融资租赁与资金缺口'!$F$13,AU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AU$46=EDATE('融资租赁与资金缺口'!$F$13,$A15),'融资租赁与资金缺口'!$J$13,0),0),IF(AND(AU$46&gt;'融资租赁与资金缺口'!$F$14,AU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AU$46=EDATE('融资租赁与资金缺口'!$F$14,$A15),'融资租赁与资金缺口'!$J$14,0),0),IF(AND(AU$46&gt;'融资租赁与资金缺口'!$F$15,AU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AU$46=EDATE('融资租赁与资金缺口'!$F$15,$A15),'融资租赁与资金缺口'!$J$15,0),0),IF(AND(AU$46&gt;'融资租赁与资金缺口'!$F$16,AU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AU$46=EDATE('融资租赁与资金缺口'!$F$16,$A15),'融资租赁与资金缺口'!$J$16,0),0))</x:f>
        <x:v>31845834.98014287</x:v>
      </x:c>
      <x:c r="AV47" s="28" t="n">
        <x:f>SUM(IF(AND(AV$46&gt;'融资租赁与资金缺口'!$F$5,AV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AV$46=EDATE('融资租赁与资金缺口'!$F$5,$A15),'融资租赁与资金缺口'!$J$5,0),0),IF(AND(AV$46&gt;'融资租赁与资金缺口'!$F$6,AV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AV$46=EDATE('融资租赁与资金缺口'!$F$6,$A15),'融资租赁与资金缺口'!$J$6,0),0),IF(AND(AV$46&gt;'融资租赁与资金缺口'!$F$7,AV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AV$46=EDATE('融资租赁与资金缺口'!$F$7,$A15),'融资租赁与资金缺口'!$J$7,0),0),IF(AND(AV$46&gt;'融资租赁与资金缺口'!$F$8,AV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AV$46=EDATE('融资租赁与资金缺口'!$F$8,$A15),'融资租赁与资金缺口'!$J$8,0),0),IF(AND(AV$46&gt;'融资租赁与资金缺口'!$F$9,AV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AV$46=EDATE('融资租赁与资金缺口'!$F$9,$A15),'融资租赁与资金缺口'!$J$9,0),0),IF(AND(AV$46&gt;'融资租赁与资金缺口'!$F$10,AV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AV$46=EDATE('融资租赁与资金缺口'!$F$10,$A15),'融资租赁与资金缺口'!$J$10,0),0),IF(AND(AV$46&gt;'融资租赁与资金缺口'!$F$11,AV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AV$46=EDATE('融资租赁与资金缺口'!$F$11,$A15),'融资租赁与资金缺口'!$J$11,0),0),IF(AND(AV$46&gt;'融资租赁与资金缺口'!$F$12,AV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AV$46=EDATE('融资租赁与资金缺口'!$F$12,$A15),'融资租赁与资金缺口'!$J$12,0),0),IF(AND(AV$46&gt;'融资租赁与资金缺口'!$F$13,AV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AV$46=EDATE('融资租赁与资金缺口'!$F$13,$A15),'融资租赁与资金缺口'!$J$13,0),0),IF(AND(AV$46&gt;'融资租赁与资金缺口'!$F$14,AV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AV$46=EDATE('融资租赁与资金缺口'!$F$14,$A15),'融资租赁与资金缺口'!$J$14,0),0),IF(AND(AV$46&gt;'融资租赁与资金缺口'!$F$15,AV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AV$46=EDATE('融资租赁与资金缺口'!$F$15,$A15),'融资租赁与资金缺口'!$J$15,0),0),IF(AND(AV$46&gt;'融资租赁与资金缺口'!$F$16,AV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AV$46=EDATE('融资租赁与资金缺口'!$F$16,$A15),'融资租赁与资金缺口'!$J$16,0),0))</x:f>
        <x:v>31845834.98014287</x:v>
      </x:c>
      <x:c r="AW47" s="28" t="n">
        <x:f>SUM(IF(AND(AW$46&gt;'融资租赁与资金缺口'!$F$5,AW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AW$46=EDATE('融资租赁与资金缺口'!$F$5,$A15),'融资租赁与资金缺口'!$J$5,0),0),IF(AND(AW$46&gt;'融资租赁与资金缺口'!$F$6,AW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AW$46=EDATE('融资租赁与资金缺口'!$F$6,$A15),'融资租赁与资金缺口'!$J$6,0),0),IF(AND(AW$46&gt;'融资租赁与资金缺口'!$F$7,AW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AW$46=EDATE('融资租赁与资金缺口'!$F$7,$A15),'融资租赁与资金缺口'!$J$7,0),0),IF(AND(AW$46&gt;'融资租赁与资金缺口'!$F$8,AW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AW$46=EDATE('融资租赁与资金缺口'!$F$8,$A15),'融资租赁与资金缺口'!$J$8,0),0),IF(AND(AW$46&gt;'融资租赁与资金缺口'!$F$9,AW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AW$46=EDATE('融资租赁与资金缺口'!$F$9,$A15),'融资租赁与资金缺口'!$J$9,0),0),IF(AND(AW$46&gt;'融资租赁与资金缺口'!$F$10,AW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AW$46=EDATE('融资租赁与资金缺口'!$F$10,$A15),'融资租赁与资金缺口'!$J$10,0),0),IF(AND(AW$46&gt;'融资租赁与资金缺口'!$F$11,AW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AW$46=EDATE('融资租赁与资金缺口'!$F$11,$A15),'融资租赁与资金缺口'!$J$11,0),0),IF(AND(AW$46&gt;'融资租赁与资金缺口'!$F$12,AW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AW$46=EDATE('融资租赁与资金缺口'!$F$12,$A15),'融资租赁与资金缺口'!$J$12,0),0),IF(AND(AW$46&gt;'融资租赁与资金缺口'!$F$13,AW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AW$46=EDATE('融资租赁与资金缺口'!$F$13,$A15),'融资租赁与资金缺口'!$J$13,0),0),IF(AND(AW$46&gt;'融资租赁与资金缺口'!$F$14,AW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AW$46=EDATE('融资租赁与资金缺口'!$F$14,$A15),'融资租赁与资金缺口'!$J$14,0),0),IF(AND(AW$46&gt;'融资租赁与资金缺口'!$F$15,AW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AW$46=EDATE('融资租赁与资金缺口'!$F$15,$A15),'融资租赁与资金缺口'!$J$15,0),0),IF(AND(AW$46&gt;'融资租赁与资金缺口'!$F$16,AW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AW$46=EDATE('融资租赁与资金缺口'!$F$16,$A15),'融资租赁与资金缺口'!$J$16,0),0))</x:f>
        <x:v>31845834.98014287</x:v>
      </x:c>
      <x:c r="AX47" s="28" t="n">
        <x:f>SUM(IF(AND(AX$46&gt;'融资租赁与资金缺口'!$F$5,AX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AX$46=EDATE('融资租赁与资金缺口'!$F$5,$A15),'融资租赁与资金缺口'!$J$5,0),0),IF(AND(AX$46&gt;'融资租赁与资金缺口'!$F$6,AX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AX$46=EDATE('融资租赁与资金缺口'!$F$6,$A15),'融资租赁与资金缺口'!$J$6,0),0),IF(AND(AX$46&gt;'融资租赁与资金缺口'!$F$7,AX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AX$46=EDATE('融资租赁与资金缺口'!$F$7,$A15),'融资租赁与资金缺口'!$J$7,0),0),IF(AND(AX$46&gt;'融资租赁与资金缺口'!$F$8,AX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AX$46=EDATE('融资租赁与资金缺口'!$F$8,$A15),'融资租赁与资金缺口'!$J$8,0),0),IF(AND(AX$46&gt;'融资租赁与资金缺口'!$F$9,AX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AX$46=EDATE('融资租赁与资金缺口'!$F$9,$A15),'融资租赁与资金缺口'!$J$9,0),0),IF(AND(AX$46&gt;'融资租赁与资金缺口'!$F$10,AX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AX$46=EDATE('融资租赁与资金缺口'!$F$10,$A15),'融资租赁与资金缺口'!$J$10,0),0),IF(AND(AX$46&gt;'融资租赁与资金缺口'!$F$11,AX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AX$46=EDATE('融资租赁与资金缺口'!$F$11,$A15),'融资租赁与资金缺口'!$J$11,0),0),IF(AND(AX$46&gt;'融资租赁与资金缺口'!$F$12,AX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AX$46=EDATE('融资租赁与资金缺口'!$F$12,$A15),'融资租赁与资金缺口'!$J$12,0),0),IF(AND(AX$46&gt;'融资租赁与资金缺口'!$F$13,AX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AX$46=EDATE('融资租赁与资金缺口'!$F$13,$A15),'融资租赁与资金缺口'!$J$13,0),0),IF(AND(AX$46&gt;'融资租赁与资金缺口'!$F$14,AX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AX$46=EDATE('融资租赁与资金缺口'!$F$14,$A15),'融资租赁与资金缺口'!$J$14,0),0),IF(AND(AX$46&gt;'融资租赁与资金缺口'!$F$15,AX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AX$46=EDATE('融资租赁与资金缺口'!$F$15,$A15),'融资租赁与资金缺口'!$J$15,0),0),IF(AND(AX$46&gt;'融资租赁与资金缺口'!$F$16,AX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AX$46=EDATE('融资租赁与资金缺口'!$F$16,$A15),'融资租赁与资金缺口'!$J$16,0),0))</x:f>
        <x:v>31845834.98014287</x:v>
      </x:c>
      <x:c r="AY47" s="28" t="n">
        <x:f>SUM(IF(AND(AY$46&gt;'融资租赁与资金缺口'!$F$5,AY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AY$46=EDATE('融资租赁与资金缺口'!$F$5,$A15),'融资租赁与资金缺口'!$J$5,0),0),IF(AND(AY$46&gt;'融资租赁与资金缺口'!$F$6,AY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AY$46=EDATE('融资租赁与资金缺口'!$F$6,$A15),'融资租赁与资金缺口'!$J$6,0),0),IF(AND(AY$46&gt;'融资租赁与资金缺口'!$F$7,AY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AY$46=EDATE('融资租赁与资金缺口'!$F$7,$A15),'融资租赁与资金缺口'!$J$7,0),0),IF(AND(AY$46&gt;'融资租赁与资金缺口'!$F$8,AY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AY$46=EDATE('融资租赁与资金缺口'!$F$8,$A15),'融资租赁与资金缺口'!$J$8,0),0),IF(AND(AY$46&gt;'融资租赁与资金缺口'!$F$9,AY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AY$46=EDATE('融资租赁与资金缺口'!$F$9,$A15),'融资租赁与资金缺口'!$J$9,0),0),IF(AND(AY$46&gt;'融资租赁与资金缺口'!$F$10,AY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AY$46=EDATE('融资租赁与资金缺口'!$F$10,$A15),'融资租赁与资金缺口'!$J$10,0),0),IF(AND(AY$46&gt;'融资租赁与资金缺口'!$F$11,AY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AY$46=EDATE('融资租赁与资金缺口'!$F$11,$A15),'融资租赁与资金缺口'!$J$11,0),0),IF(AND(AY$46&gt;'融资租赁与资金缺口'!$F$12,AY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AY$46=EDATE('融资租赁与资金缺口'!$F$12,$A15),'融资租赁与资金缺口'!$J$12,0),0),IF(AND(AY$46&gt;'融资租赁与资金缺口'!$F$13,AY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AY$46=EDATE('融资租赁与资金缺口'!$F$13,$A15),'融资租赁与资金缺口'!$J$13,0),0),IF(AND(AY$46&gt;'融资租赁与资金缺口'!$F$14,AY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AY$46=EDATE('融资租赁与资金缺口'!$F$14,$A15),'融资租赁与资金缺口'!$J$14,0),0),IF(AND(AY$46&gt;'融资租赁与资金缺口'!$F$15,AY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AY$46=EDATE('融资租赁与资金缺口'!$F$15,$A15),'融资租赁与资金缺口'!$J$15,0),0),IF(AND(AY$46&gt;'融资租赁与资金缺口'!$F$16,AY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AY$46=EDATE('融资租赁与资金缺口'!$F$16,$A15),'融资租赁与资金缺口'!$J$16,0),0))</x:f>
        <x:v>32075754.98014287</x:v>
      </x:c>
      <x:c r="AZ47" s="28" t="n">
        <x:f>SUM(IF(AND(AZ$46&gt;'融资租赁与资金缺口'!$F$5,AZ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AZ$46=EDATE('融资租赁与资金缺口'!$F$5,$A15),'融资租赁与资金缺口'!$J$5,0),0),IF(AND(AZ$46&gt;'融资租赁与资金缺口'!$F$6,AZ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AZ$46=EDATE('融资租赁与资金缺口'!$F$6,$A15),'融资租赁与资金缺口'!$J$6,0),0),IF(AND(AZ$46&gt;'融资租赁与资金缺口'!$F$7,AZ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AZ$46=EDATE('融资租赁与资金缺口'!$F$7,$A15),'融资租赁与资金缺口'!$J$7,0),0),IF(AND(AZ$46&gt;'融资租赁与资金缺口'!$F$8,AZ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AZ$46=EDATE('融资租赁与资金缺口'!$F$8,$A15),'融资租赁与资金缺口'!$J$8,0),0),IF(AND(AZ$46&gt;'融资租赁与资金缺口'!$F$9,AZ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AZ$46=EDATE('融资租赁与资金缺口'!$F$9,$A15),'融资租赁与资金缺口'!$J$9,0),0),IF(AND(AZ$46&gt;'融资租赁与资金缺口'!$F$10,AZ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AZ$46=EDATE('融资租赁与资金缺口'!$F$10,$A15),'融资租赁与资金缺口'!$J$10,0),0),IF(AND(AZ$46&gt;'融资租赁与资金缺口'!$F$11,AZ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AZ$46=EDATE('融资租赁与资金缺口'!$F$11,$A15),'融资租赁与资金缺口'!$J$11,0),0),IF(AND(AZ$46&gt;'融资租赁与资金缺口'!$F$12,AZ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AZ$46=EDATE('融资租赁与资金缺口'!$F$12,$A15),'融资租赁与资金缺口'!$J$12,0),0),IF(AND(AZ$46&gt;'融资租赁与资金缺口'!$F$13,AZ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AZ$46=EDATE('融资租赁与资金缺口'!$F$13,$A15),'融资租赁与资金缺口'!$J$13,0),0),IF(AND(AZ$46&gt;'融资租赁与资金缺口'!$F$14,AZ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AZ$46=EDATE('融资租赁与资金缺口'!$F$14,$A15),'融资租赁与资金缺口'!$J$14,0),0),IF(AND(AZ$46&gt;'融资租赁与资金缺口'!$F$15,AZ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AZ$46=EDATE('融资租赁与资金缺口'!$F$15,$A15),'融资租赁与资金缺口'!$J$15,0),0),IF(AND(AZ$46&gt;'融资租赁与资金缺口'!$F$16,AZ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AZ$46=EDATE('融资租赁与资金缺口'!$F$16,$A15),'融资租赁与资金缺口'!$J$16,0),0))</x:f>
        <x:v>30773815.972479615</x:v>
      </x:c>
      <x:c r="BA47" s="28" t="n">
        <x:f>SUM(IF(AND(BA$46&gt;'融资租赁与资金缺口'!$F$5,BA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A$46=EDATE('融资租赁与资金缺口'!$F$5,$A15),'融资租赁与资金缺口'!$J$5,0),0),IF(AND(BA$46&gt;'融资租赁与资金缺口'!$F$6,BA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A$46=EDATE('融资租赁与资金缺口'!$F$6,$A15),'融资租赁与资金缺口'!$J$6,0),0),IF(AND(BA$46&gt;'融资租赁与资金缺口'!$F$7,BA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A$46=EDATE('融资租赁与资金缺口'!$F$7,$A15),'融资租赁与资金缺口'!$J$7,0),0),IF(AND(BA$46&gt;'融资租赁与资金缺口'!$F$8,BA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A$46=EDATE('融资租赁与资金缺口'!$F$8,$A15),'融资租赁与资金缺口'!$J$8,0),0),IF(AND(BA$46&gt;'融资租赁与资金缺口'!$F$9,BA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A$46=EDATE('融资租赁与资金缺口'!$F$9,$A15),'融资租赁与资金缺口'!$J$9,0),0),IF(AND(BA$46&gt;'融资租赁与资金缺口'!$F$10,BA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A$46=EDATE('融资租赁与资金缺口'!$F$10,$A15),'融资租赁与资金缺口'!$J$10,0),0),IF(AND(BA$46&gt;'融资租赁与资金缺口'!$F$11,BA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A$46=EDATE('融资租赁与资金缺口'!$F$11,$A15),'融资租赁与资金缺口'!$J$11,0),0),IF(AND(BA$46&gt;'融资租赁与资金缺口'!$F$12,BA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A$46=EDATE('融资租赁与资金缺口'!$F$12,$A15),'融资租赁与资金缺口'!$J$12,0),0),IF(AND(BA$46&gt;'融资租赁与资金缺口'!$F$13,BA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A$46=EDATE('融资租赁与资金缺口'!$F$13,$A15),'融资租赁与资金缺口'!$J$13,0),0),IF(AND(BA$46&gt;'融资租赁与资金缺口'!$F$14,BA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A$46=EDATE('融资租赁与资金缺口'!$F$14,$A15),'融资租赁与资金缺口'!$J$14,0),0),IF(AND(BA$46&gt;'融资租赁与资金缺口'!$F$15,BA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A$46=EDATE('融资租赁与资金缺口'!$F$15,$A15),'融资租赁与资金缺口'!$J$15,0),0),IF(AND(BA$46&gt;'融资租赁与资金缺口'!$F$16,BA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A$46=EDATE('融资租赁与资金缺口'!$F$16,$A15),'融资租赁与资金缺口'!$J$16,0),0))</x:f>
        <x:v>29203320.767440785</x:v>
      </x:c>
      <x:c r="BB47" s="28" t="n">
        <x:f>SUM(IF(AND(BB$46&gt;'融资租赁与资金缺口'!$F$5,BB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B$46=EDATE('融资租赁与资金缺口'!$F$5,$A15),'融资租赁与资金缺口'!$J$5,0),0),IF(AND(BB$46&gt;'融资租赁与资金缺口'!$F$6,BB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B$46=EDATE('融资租赁与资金缺口'!$F$6,$A15),'融资租赁与资金缺口'!$J$6,0),0),IF(AND(BB$46&gt;'融资租赁与资金缺口'!$F$7,BB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B$46=EDATE('融资租赁与资金缺口'!$F$7,$A15),'融资租赁与资金缺口'!$J$7,0),0),IF(AND(BB$46&gt;'融资租赁与资金缺口'!$F$8,BB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B$46=EDATE('融资租赁与资金缺口'!$F$8,$A15),'融资租赁与资金缺口'!$J$8,0),0),IF(AND(BB$46&gt;'融资租赁与资金缺口'!$F$9,BB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B$46=EDATE('融资租赁与资金缺口'!$F$9,$A15),'融资租赁与资金缺口'!$J$9,0),0),IF(AND(BB$46&gt;'融资租赁与资金缺口'!$F$10,BB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B$46=EDATE('融资租赁与资金缺口'!$F$10,$A15),'融资租赁与资金缺口'!$J$10,0),0),IF(AND(BB$46&gt;'融资租赁与资金缺口'!$F$11,BB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B$46=EDATE('融资租赁与资金缺口'!$F$11,$A15),'融资租赁与资金缺口'!$J$11,0),0),IF(AND(BB$46&gt;'融资租赁与资金缺口'!$F$12,BB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B$46=EDATE('融资租赁与资金缺口'!$F$12,$A15),'融资租赁与资金缺口'!$J$12,0),0),IF(AND(BB$46&gt;'融资租赁与资金缺口'!$F$13,BB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B$46=EDATE('融资租赁与资金缺口'!$F$13,$A15),'融资租赁与资金缺口'!$J$13,0),0),IF(AND(BB$46&gt;'融资租赁与资金缺口'!$F$14,BB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B$46=EDATE('融资租赁与资金缺口'!$F$14,$A15),'融资租赁与资金缺口'!$J$14,0),0),IF(AND(BB$46&gt;'融资租赁与资金缺口'!$F$15,BB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B$46=EDATE('融资租赁与资金缺口'!$F$15,$A15),'融资租赁与资金缺口'!$J$15,0),0),IF(AND(BB$46&gt;'融资租赁与资金缺口'!$F$16,BB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B$46=EDATE('融资租赁与资金缺口'!$F$16,$A15),'融资租赁与资金缺口'!$J$16,0),0))</x:f>
        <x:v>27367335.371954817</x:v>
      </x:c>
      <x:c r="BC47" s="28" t="n">
        <x:f>SUM(IF(AND(BC$46&gt;'融资租赁与资金缺口'!$F$5,BC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C$46=EDATE('融资租赁与资金缺口'!$F$5,$A15),'融资租赁与资金缺口'!$J$5,0),0),IF(AND(BC$46&gt;'融资租赁与资金缺口'!$F$6,BC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C$46=EDATE('融资租赁与资金缺口'!$F$6,$A15),'融资租赁与资金缺口'!$J$6,0),0),IF(AND(BC$46&gt;'融资租赁与资金缺口'!$F$7,BC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C$46=EDATE('融资租赁与资金缺口'!$F$7,$A15),'融资租赁与资金缺口'!$J$7,0),0),IF(AND(BC$46&gt;'融资租赁与资金缺口'!$F$8,BC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C$46=EDATE('融资租赁与资金缺口'!$F$8,$A15),'融资租赁与资金缺口'!$J$8,0),0),IF(AND(BC$46&gt;'融资租赁与资金缺口'!$F$9,BC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C$46=EDATE('融资租赁与资金缺口'!$F$9,$A15),'融资租赁与资金缺口'!$J$9,0),0),IF(AND(BC$46&gt;'融资租赁与资金缺口'!$F$10,BC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C$46=EDATE('融资租赁与资金缺口'!$F$10,$A15),'融资租赁与资金缺口'!$J$10,0),0),IF(AND(BC$46&gt;'融资租赁与资金缺口'!$F$11,BC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C$46=EDATE('融资租赁与资金缺口'!$F$11,$A15),'融资租赁与资金缺口'!$J$11,0),0),IF(AND(BC$46&gt;'融资租赁与资金缺口'!$F$12,BC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C$46=EDATE('融资租赁与资金缺口'!$F$12,$A15),'融资租赁与资金缺口'!$J$12,0),0),IF(AND(BC$46&gt;'融资租赁与资金缺口'!$F$13,BC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C$46=EDATE('融资租赁与资金缺口'!$F$13,$A15),'融资租赁与资金缺口'!$J$13,0),0),IF(AND(BC$46&gt;'融资租赁与资金缺口'!$F$14,BC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C$46=EDATE('融资租赁与资金缺口'!$F$14,$A15),'融资租赁与资金缺口'!$J$14,0),0),IF(AND(BC$46&gt;'融资租赁与资金缺口'!$F$15,BC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C$46=EDATE('融资租赁与资金缺口'!$F$15,$A15),'融资租赁与资金缺口'!$J$15,0),0),IF(AND(BC$46&gt;'融资租赁与资金缺口'!$F$16,BC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C$46=EDATE('融资租赁与资金缺口'!$F$16,$A15),'融资租赁与资金缺口'!$J$16,0),0))</x:f>
        <x:v>25263183.779093266</x:v>
      </x:c>
      <x:c r="BD47" s="28" t="n">
        <x:f>SUM(IF(AND(BD$46&gt;'融资租赁与资金缺口'!$F$5,BD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D$46=EDATE('融资租赁与资金缺口'!$F$5,$A15),'融资租赁与资金缺口'!$J$5,0),0),IF(AND(BD$46&gt;'融资租赁与资金缺口'!$F$6,BD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D$46=EDATE('融资租赁与资金缺口'!$F$6,$A15),'融资租赁与资金缺口'!$J$6,0),0),IF(AND(BD$46&gt;'融资租赁与资金缺口'!$F$7,BD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D$46=EDATE('融资租赁与资金缺口'!$F$7,$A15),'融资租赁与资金缺口'!$J$7,0),0),IF(AND(BD$46&gt;'融资租赁与资金缺口'!$F$8,BD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D$46=EDATE('融资租赁与资金缺口'!$F$8,$A15),'融资租赁与资金缺口'!$J$8,0),0),IF(AND(BD$46&gt;'融资租赁与资金缺口'!$F$9,BD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D$46=EDATE('融资租赁与资金缺口'!$F$9,$A15),'融资租赁与资金缺口'!$J$9,0),0),IF(AND(BD$46&gt;'融资租赁与资金缺口'!$F$10,BD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D$46=EDATE('融资租赁与资金缺口'!$F$10,$A15),'融资租赁与资金缺口'!$J$10,0),0),IF(AND(BD$46&gt;'融资租赁与资金缺口'!$F$11,BD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D$46=EDATE('融资租赁与资金缺口'!$F$11,$A15),'融资租赁与资金缺口'!$J$11,0),0),IF(AND(BD$46&gt;'融资租赁与资金缺口'!$F$12,BD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D$46=EDATE('融资租赁与资金缺口'!$F$12,$A15),'融资租赁与资金缺口'!$J$12,0),0),IF(AND(BD$46&gt;'融资租赁与资金缺口'!$F$13,BD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D$46=EDATE('融资租赁与资金缺口'!$F$13,$A15),'融资租赁与资金缺口'!$J$13,0),0),IF(AND(BD$46&gt;'融资租赁与资金缺口'!$F$14,BD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D$46=EDATE('融资租赁与资金缺口'!$F$14,$A15),'融资租赁与资金缺口'!$J$14,0),0),IF(AND(BD$46&gt;'融资租赁与资金缺口'!$F$15,BD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D$46=EDATE('融资租赁与资金缺口'!$F$15,$A15),'融资租赁与资金缺口'!$J$15,0),0),IF(AND(BD$46&gt;'融资租赁与资金缺口'!$F$16,BD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D$46=EDATE('融资租赁与资金缺口'!$F$16,$A15),'融资租赁与资金缺口'!$J$16,0),0))</x:f>
        <x:v>22890865.988856133</x:v>
      </x:c>
      <x:c r="BE47" s="28" t="n">
        <x:f>SUM(IF(AND(BE$46&gt;'融资租赁与资金缺口'!$F$5,BE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E$46=EDATE('融资租赁与资金缺口'!$F$5,$A15),'融资租赁与资金缺口'!$J$5,0),0),IF(AND(BE$46&gt;'融资租赁与资金缺口'!$F$6,BE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E$46=EDATE('融资租赁与资金缺口'!$F$6,$A15),'融资租赁与资金缺口'!$J$6,0),0),IF(AND(BE$46&gt;'融资租赁与资金缺口'!$F$7,BE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E$46=EDATE('融资租赁与资金缺口'!$F$7,$A15),'融资租赁与资金缺口'!$J$7,0),0),IF(AND(BE$46&gt;'融资租赁与资金缺口'!$F$8,BE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E$46=EDATE('融资租赁与资金缺口'!$F$8,$A15),'融资租赁与资金缺口'!$J$8,0),0),IF(AND(BE$46&gt;'融资租赁与资金缺口'!$F$9,BE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E$46=EDATE('融资租赁与资金缺口'!$F$9,$A15),'融资租赁与资金缺口'!$J$9,0),0),IF(AND(BE$46&gt;'融资租赁与资金缺口'!$F$10,BE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E$46=EDATE('融资租赁与资金缺口'!$F$10,$A15),'融资租赁与资金缺口'!$J$10,0),0),IF(AND(BE$46&gt;'融资租赁与资金缺口'!$F$11,BE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E$46=EDATE('融资租赁与资金缺口'!$F$11,$A15),'融资租赁与资金缺口'!$J$11,0),0),IF(AND(BE$46&gt;'融资租赁与资金缺口'!$F$12,BE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E$46=EDATE('融资租赁与资金缺口'!$F$12,$A15),'融资租赁与资金缺口'!$J$12,0),0),IF(AND(BE$46&gt;'融资租赁与资金缺口'!$F$13,BE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E$46=EDATE('融资租赁与资金缺口'!$F$13,$A15),'融资租赁与资金缺口'!$J$13,0),0),IF(AND(BE$46&gt;'融资租赁与资金缺口'!$F$14,BE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E$46=EDATE('融资租赁与资金缺口'!$F$14,$A15),'融资租赁与资金缺口'!$J$14,0),0),IF(AND(BE$46&gt;'融资租赁与资金缺口'!$F$15,BE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E$46=EDATE('融资租赁与资金缺口'!$F$15,$A15),'融资租赁与资金缺口'!$J$15,0),0),IF(AND(BE$46&gt;'融资租赁与资金缺口'!$F$16,BE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E$46=EDATE('融资租赁与资金缺口'!$F$16,$A15),'融资租赁与资金缺口'!$J$16,0),0))</x:f>
        <x:v>20249602.00124342</x:v>
      </x:c>
      <x:c r="BF47" s="28" t="n">
        <x:f>SUM(IF(AND(BF$46&gt;'融资租赁与资金缺口'!$F$5,BF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F$46=EDATE('融资租赁与资金缺口'!$F$5,$A15),'融资租赁与资金缺口'!$J$5,0),0),IF(AND(BF$46&gt;'融资租赁与资金缺口'!$F$6,BF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F$46=EDATE('融资租赁与资金缺口'!$F$6,$A15),'融资租赁与资金缺口'!$J$6,0),0),IF(AND(BF$46&gt;'融资租赁与资金缺口'!$F$7,BF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F$46=EDATE('融资租赁与资金缺口'!$F$7,$A15),'融资租赁与资金缺口'!$J$7,0),0),IF(AND(BF$46&gt;'融资租赁与资金缺口'!$F$8,BF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F$46=EDATE('融资租赁与资金缺口'!$F$8,$A15),'融资租赁与资金缺口'!$J$8,0),0),IF(AND(BF$46&gt;'融资租赁与资金缺口'!$F$9,BF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F$46=EDATE('融资租赁与资金缺口'!$F$9,$A15),'融资租赁与资金缺口'!$J$9,0),0),IF(AND(BF$46&gt;'融资租赁与资金缺口'!$F$10,BF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F$46=EDATE('融资租赁与资金缺口'!$F$10,$A15),'融资租赁与资金缺口'!$J$10,0),0),IF(AND(BF$46&gt;'融资租赁与资金缺口'!$F$11,BF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F$46=EDATE('融资租赁与资金缺口'!$F$11,$A15),'融资租赁与资金缺口'!$J$11,0),0),IF(AND(BF$46&gt;'融资租赁与资金缺口'!$F$12,BF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F$46=EDATE('融资租赁与资金缺口'!$F$12,$A15),'融资租赁与资金缺口'!$J$12,0),0),IF(AND(BF$46&gt;'融资租赁与资金缺口'!$F$13,BF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F$46=EDATE('融资租赁与资金缺口'!$F$13,$A15),'融资租赁与资金缺口'!$J$13,0),0),IF(AND(BF$46&gt;'融资租赁与资金缺口'!$F$14,BF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F$46=EDATE('融资租赁与资金缺口'!$F$14,$A15),'融资租赁与资金缺口'!$J$14,0),0),IF(AND(BF$46&gt;'融资租赁与资金缺口'!$F$15,BF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F$46=EDATE('融资租赁与资金缺口'!$F$15,$A15),'融资租赁与资金缺口'!$J$15,0),0),IF(AND(BF$46&gt;'融资租赁与资金缺口'!$F$16,BF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F$46=EDATE('融资租赁与资金缺口'!$F$16,$A15),'融资租赁与资金缺口'!$J$16,0),0))</x:f>
        <x:v>17299773.830112018</x:v>
      </x:c>
      <x:c r="BG47" s="28" t="n">
        <x:f>SUM(IF(AND(BG$46&gt;'融资租赁与资金缺口'!$F$5,BG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G$46=EDATE('融资租赁与资金缺口'!$F$5,$A15),'融资租赁与资金缺口'!$J$5,0),0),IF(AND(BG$46&gt;'融资租赁与资金缺口'!$F$6,BG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G$46=EDATE('融资租赁与资金缺口'!$F$6,$A15),'融资租赁与资金缺口'!$J$6,0),0),IF(AND(BG$46&gt;'融资租赁与资金缺口'!$F$7,BG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G$46=EDATE('融资租赁与资金缺口'!$F$7,$A15),'融资租赁与资金缺口'!$J$7,0),0),IF(AND(BG$46&gt;'融资租赁与资金缺口'!$F$8,BG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G$46=EDATE('融资租赁与资金缺口'!$F$8,$A15),'融资租赁与资金缺口'!$J$8,0),0),IF(AND(BG$46&gt;'融资租赁与资金缺口'!$F$9,BG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G$46=EDATE('融资租赁与资金缺口'!$F$9,$A15),'融资租赁与资金缺口'!$J$9,0),0),IF(AND(BG$46&gt;'融资租赁与资金缺口'!$F$10,BG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G$46=EDATE('融资租赁与资金缺口'!$F$10,$A15),'融资租赁与资金缺口'!$J$10,0),0),IF(AND(BG$46&gt;'融资租赁与资金缺口'!$F$11,BG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G$46=EDATE('融资租赁与资金缺口'!$F$11,$A15),'融资租赁与资金缺口'!$J$11,0),0),IF(AND(BG$46&gt;'融资租赁与资金缺口'!$F$12,BG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G$46=EDATE('融资租赁与资金缺口'!$F$12,$A15),'融资租赁与资金缺口'!$J$12,0),0),IF(AND(BG$46&gt;'融资租赁与资金缺口'!$F$13,BG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G$46=EDATE('融资租赁与资金缺口'!$F$13,$A15),'融资租赁与资金缺口'!$J$13,0),0),IF(AND(BG$46&gt;'融资租赁与资金缺口'!$F$14,BG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G$46=EDATE('融资租赁与资金缺口'!$F$14,$A15),'融资租赁与资金缺口'!$J$14,0),0),IF(AND(BG$46&gt;'融资租赁与资金缺口'!$F$15,BG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G$46=EDATE('融资租赁与资金缺口'!$F$15,$A15),'融资租赁与资金缺口'!$J$15,0),0),IF(AND(BG$46&gt;'融资租赁与资金缺口'!$F$16,BG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G$46=EDATE('融资租赁与资金缺口'!$F$16,$A15),'融资租赁与资金缺口'!$J$16,0),0))</x:f>
        <x:v>14483985.65898062</x:v>
      </x:c>
      <x:c r="BH47" s="28" t="n">
        <x:f>SUM(IF(AND(BH$46&gt;'融资租赁与资金缺口'!$F$5,BH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H$46=EDATE('融资租赁与资金缺口'!$F$5,$A15),'融资租赁与资金缺口'!$J$5,0),0),IF(AND(BH$46&gt;'融资租赁与资金缺口'!$F$6,BH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H$46=EDATE('融资租赁与资金缺口'!$F$6,$A15),'融资租赁与资金缺口'!$J$6,0),0),IF(AND(BH$46&gt;'融资租赁与资金缺口'!$F$7,BH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H$46=EDATE('融资租赁与资金缺口'!$F$7,$A15),'融资租赁与资金缺口'!$J$7,0),0),IF(AND(BH$46&gt;'融资租赁与资金缺口'!$F$8,BH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H$46=EDATE('融资租赁与资金缺口'!$F$8,$A15),'融资租赁与资金缺口'!$J$8,0),0),IF(AND(BH$46&gt;'融资租赁与资金缺口'!$F$9,BH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H$46=EDATE('融资租赁与资金缺口'!$F$9,$A15),'融资租赁与资金缺口'!$J$9,0),0),IF(AND(BH$46&gt;'融资租赁与资金缺口'!$F$10,BH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H$46=EDATE('融资租赁与资金缺口'!$F$10,$A15),'融资租赁与资金缺口'!$J$10,0),0),IF(AND(BH$46&gt;'融资租赁与资金缺口'!$F$11,BH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H$46=EDATE('融资租赁与资金缺口'!$F$11,$A15),'融资租赁与资金缺口'!$J$11,0),0),IF(AND(BH$46&gt;'融资租赁与资金缺口'!$F$12,BH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H$46=EDATE('融资租赁与资金缺口'!$F$12,$A15),'融资租赁与资金缺口'!$J$12,0),0),IF(AND(BH$46&gt;'融资租赁与资金缺口'!$F$13,BH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H$46=EDATE('融资租赁与资金缺口'!$F$13,$A15),'融资租赁与资金缺口'!$J$13,0),0),IF(AND(BH$46&gt;'融资租赁与资金缺口'!$F$14,BH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H$46=EDATE('融资租赁与资金缺口'!$F$14,$A15),'融资租赁与资金缺口'!$J$14,0),0),IF(AND(BH$46&gt;'融资租赁与资金缺口'!$F$15,BH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H$46=EDATE('融资租赁与资金缺口'!$F$15,$A15),'融资租赁与资金缺口'!$J$15,0),0),IF(AND(BH$46&gt;'融资租赁与资金缺口'!$F$16,BH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H$46=EDATE('融资租赁与资金缺口'!$F$16,$A15),'融资租赁与资金缺口'!$J$16,0),0))</x:f>
        <x:v>10786184.491210464</x:v>
      </x:c>
      <x:c r="BI47" s="28" t="n">
        <x:f>SUM(IF(AND(BI$46&gt;'融资租赁与资金缺口'!$F$5,BI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I$46=EDATE('融资租赁与资金缺口'!$F$5,$A15),'融资租赁与资金缺口'!$J$5,0),0),IF(AND(BI$46&gt;'融资租赁与资金缺口'!$F$6,BI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I$46=EDATE('融资租赁与资金缺口'!$F$6,$A15),'融资租赁与资金缺口'!$J$6,0),0),IF(AND(BI$46&gt;'融资租赁与资金缺口'!$F$7,BI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I$46=EDATE('融资租赁与资金缺口'!$F$7,$A15),'融资租赁与资金缺口'!$J$7,0),0),IF(AND(BI$46&gt;'融资租赁与资金缺口'!$F$8,BI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I$46=EDATE('融资租赁与资金缺口'!$F$8,$A15),'融资租赁与资金缺口'!$J$8,0),0),IF(AND(BI$46&gt;'融资租赁与资金缺口'!$F$9,BI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I$46=EDATE('融资租赁与资金缺口'!$F$9,$A15),'融资租赁与资金缺口'!$J$9,0),0),IF(AND(BI$46&gt;'融资租赁与资金缺口'!$F$10,BI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I$46=EDATE('融资租赁与资金缺口'!$F$10,$A15),'融资租赁与资金缺口'!$J$10,0),0),IF(AND(BI$46&gt;'融资租赁与资金缺口'!$F$11,BI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I$46=EDATE('融资租赁与资金缺口'!$F$11,$A15),'融资租赁与资金缺口'!$J$11,0),0),IF(AND(BI$46&gt;'融资租赁与资金缺口'!$F$12,BI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I$46=EDATE('融资租赁与资金缺口'!$F$12,$A15),'融资租赁与资金缺口'!$J$12,0),0),IF(AND(BI$46&gt;'融资租赁与资金缺口'!$F$13,BI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I$46=EDATE('融资租赁与资金缺口'!$F$13,$A15),'融资租赁与资金缺口'!$J$13,0),0),IF(AND(BI$46&gt;'融资租赁与资金缺口'!$F$14,BI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I$46=EDATE('融资租赁与资金缺口'!$F$14,$A15),'融资租赁与资金缺口'!$J$14,0),0),IF(AND(BI$46&gt;'融资租赁与资金缺口'!$F$15,BI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I$46=EDATE('融资租赁与资金缺口'!$F$15,$A15),'融资租赁与资金缺口'!$J$15,0),0),IF(AND(BI$46&gt;'融资租赁与资金缺口'!$F$16,BI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I$46=EDATE('融资租赁与资金缺口'!$F$16,$A15),'融资租赁与资金缺口'!$J$16,0),0))</x:f>
        <x:v>6754634.038128108</x:v>
      </x:c>
      <x:c r="BJ47" s="28" t="n">
        <x:f>SUM(IF(AND(BJ$46&gt;'融资租赁与资金缺口'!$F$5,BJ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J$46=EDATE('融资租赁与资金缺口'!$F$5,$A15),'融资租赁与资金缺口'!$J$5,0),0),IF(AND(BJ$46&gt;'融资租赁与资金缺口'!$F$6,BJ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J$46=EDATE('融资租赁与资金缺口'!$F$6,$A15),'融资租赁与资金缺口'!$J$6,0),0),IF(AND(BJ$46&gt;'融资租赁与资金缺口'!$F$7,BJ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J$46=EDATE('融资租赁与资金缺口'!$F$7,$A15),'融资租赁与资金缺口'!$J$7,0),0),IF(AND(BJ$46&gt;'融资租赁与资金缺口'!$F$8,BJ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J$46=EDATE('融资租赁与资金缺口'!$F$8,$A15),'融资租赁与资金缺口'!$J$8,0),0),IF(AND(BJ$46&gt;'融资租赁与资金缺口'!$F$9,BJ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J$46=EDATE('融资租赁与资金缺口'!$F$9,$A15),'融资租赁与资金缺口'!$J$9,0),0),IF(AND(BJ$46&gt;'融资租赁与资金缺口'!$F$10,BJ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J$46=EDATE('融资租赁与资金缺口'!$F$10,$A15),'融资租赁与资金缺口'!$J$10,0),0),IF(AND(BJ$46&gt;'融资租赁与资金缺口'!$F$11,BJ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J$46=EDATE('融资租赁与资金缺口'!$F$11,$A15),'融资租赁与资金缺口'!$J$11,0),0),IF(AND(BJ$46&gt;'融资租赁与资金缺口'!$F$12,BJ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J$46=EDATE('融资租赁与资金缺口'!$F$12,$A15),'融资租赁与资金缺口'!$J$12,0),0),IF(AND(BJ$46&gt;'融资租赁与资金缺口'!$F$13,BJ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J$46=EDATE('融资租赁与资金缺口'!$F$13,$A15),'融资租赁与资金缺口'!$J$13,0),0),IF(AND(BJ$46&gt;'融资租赁与资金缺口'!$F$14,BJ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J$46=EDATE('融资租赁与资金缺口'!$F$14,$A15),'融资租赁与资金缺口'!$J$14,0),0),IF(AND(BJ$46&gt;'融资租赁与资金缺口'!$F$15,BJ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J$46=EDATE('融资租赁与资金缺口'!$F$15,$A15),'融资租赁与资金缺口'!$J$15,0),0),IF(AND(BJ$46&gt;'融资租赁与资金缺口'!$F$16,BJ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J$46=EDATE('融资租赁与资金缺口'!$F$16,$A15),'融资租赁与资金缺口'!$J$16,0),0))</x:f>
        <x:v>3087700.3020549035</x:v>
      </x:c>
      <x:c r="BK47" s="28" t="n">
        <x:f>SUM(IF(AND(BK$46&gt;'融资租赁与资金缺口'!$F$5,BK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K$46=EDATE('融资租赁与资金缺口'!$F$5,$A15),'融资租赁与资金缺口'!$J$5,0),0),IF(AND(BK$46&gt;'融资租赁与资金缺口'!$F$6,BK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K$46=EDATE('融资租赁与资金缺口'!$F$6,$A15),'融资租赁与资金缺口'!$J$6,0),0),IF(AND(BK$46&gt;'融资租赁与资金缺口'!$F$7,BK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K$46=EDATE('融资租赁与资金缺口'!$F$7,$A15),'融资租赁与资金缺口'!$J$7,0),0),IF(AND(BK$46&gt;'融资租赁与资金缺口'!$F$8,BK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K$46=EDATE('融资租赁与资金缺口'!$F$8,$A15),'融资租赁与资金缺口'!$J$8,0),0),IF(AND(BK$46&gt;'融资租赁与资金缺口'!$F$9,BK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K$46=EDATE('融资租赁与资金缺口'!$F$9,$A15),'融资租赁与资金缺口'!$J$9,0),0),IF(AND(BK$46&gt;'融资租赁与资金缺口'!$F$10,BK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K$46=EDATE('融资租赁与资金缺口'!$F$10,$A15),'融资租赁与资金缺口'!$J$10,0),0),IF(AND(BK$46&gt;'融资租赁与资金缺口'!$F$11,BK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K$46=EDATE('融资租赁与资金缺口'!$F$11,$A15),'融资租赁与资金缺口'!$J$11,0),0),IF(AND(BK$46&gt;'融资租赁与资金缺口'!$F$12,BK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K$46=EDATE('融资租赁与资金缺口'!$F$12,$A15),'融资租赁与资金缺口'!$J$12,0),0),IF(AND(BK$46&gt;'融资租赁与资金缺口'!$F$13,BK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K$46=EDATE('融资租赁与资金缺口'!$F$13,$A15),'融资租赁与资金缺口'!$J$13,0),0),IF(AND(BK$46&gt;'融资租赁与资金缺口'!$F$14,BK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K$46=EDATE('融资租赁与资金缺口'!$F$14,$A15),'融资租赁与资金缺口'!$J$14,0),0),IF(AND(BK$46&gt;'融资租赁与资金缺口'!$F$15,BK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K$46=EDATE('融资租赁与资金缺口'!$F$15,$A15),'融资租赁与资金缺口'!$J$15,0),0),IF(AND(BK$46&gt;'融资租赁与资金缺口'!$F$16,BK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K$46=EDATE('融资租赁与资金缺口'!$F$16,$A15),'融资租赁与资金缺口'!$J$16,0),0))</x:f>
        <x:v>0</x:v>
      </x:c>
      <x:c r="BL47" s="28" t="n">
        <x:f>SUM(IF(AND(BL$46&gt;'融资租赁与资金缺口'!$F$5,BL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L$46=EDATE('融资租赁与资金缺口'!$F$5,$A15),'融资租赁与资金缺口'!$J$5,0),0),IF(AND(BL$46&gt;'融资租赁与资金缺口'!$F$6,BL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L$46=EDATE('融资租赁与资金缺口'!$F$6,$A15),'融资租赁与资金缺口'!$J$6,0),0),IF(AND(BL$46&gt;'融资租赁与资金缺口'!$F$7,BL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L$46=EDATE('融资租赁与资金缺口'!$F$7,$A15),'融资租赁与资金缺口'!$J$7,0),0),IF(AND(BL$46&gt;'融资租赁与资金缺口'!$F$8,BL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L$46=EDATE('融资租赁与资金缺口'!$F$8,$A15),'融资租赁与资金缺口'!$J$8,0),0),IF(AND(BL$46&gt;'融资租赁与资金缺口'!$F$9,BL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L$46=EDATE('融资租赁与资金缺口'!$F$9,$A15),'融资租赁与资金缺口'!$J$9,0),0),IF(AND(BL$46&gt;'融资租赁与资金缺口'!$F$10,BL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L$46=EDATE('融资租赁与资金缺口'!$F$10,$A15),'融资租赁与资金缺口'!$J$10,0),0),IF(AND(BL$46&gt;'融资租赁与资金缺口'!$F$11,BL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L$46=EDATE('融资租赁与资金缺口'!$F$11,$A15),'融资租赁与资金缺口'!$J$11,0),0),IF(AND(BL$46&gt;'融资租赁与资金缺口'!$F$12,BL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L$46=EDATE('融资租赁与资金缺口'!$F$12,$A15),'融资租赁与资金缺口'!$J$12,0),0),IF(AND(BL$46&gt;'融资租赁与资金缺口'!$F$13,BL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L$46=EDATE('融资租赁与资金缺口'!$F$13,$A15),'融资租赁与资金缺口'!$J$13,0),0),IF(AND(BL$46&gt;'融资租赁与资金缺口'!$F$14,BL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L$46=EDATE('融资租赁与资金缺口'!$F$14,$A15),'融资租赁与资金缺口'!$J$14,0),0),IF(AND(BL$46&gt;'融资租赁与资金缺口'!$F$15,BL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L$46=EDATE('融资租赁与资金缺口'!$F$15,$A15),'融资租赁与资金缺口'!$J$15,0),0),IF(AND(BL$46&gt;'融资租赁与资金缺口'!$F$16,BL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L$46=EDATE('融资租赁与资金缺口'!$F$16,$A15),'融资租赁与资金缺口'!$J$16,0),0))</x:f>
        <x:v>0</x:v>
      </x:c>
      <x:c r="BM47" s="28" t="n">
        <x:f>SUM(IF(AND(BM$46&gt;'融资租赁与资金缺口'!$F$5,BM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M$46=EDATE('融资租赁与资金缺口'!$F$5,$A15),'融资租赁与资金缺口'!$J$5,0),0),IF(AND(BM$46&gt;'融资租赁与资金缺口'!$F$6,BM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M$46=EDATE('融资租赁与资金缺口'!$F$6,$A15),'融资租赁与资金缺口'!$J$6,0),0),IF(AND(BM$46&gt;'融资租赁与资金缺口'!$F$7,BM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M$46=EDATE('融资租赁与资金缺口'!$F$7,$A15),'融资租赁与资金缺口'!$J$7,0),0),IF(AND(BM$46&gt;'融资租赁与资金缺口'!$F$8,BM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M$46=EDATE('融资租赁与资金缺口'!$F$8,$A15),'融资租赁与资金缺口'!$J$8,0),0),IF(AND(BM$46&gt;'融资租赁与资金缺口'!$F$9,BM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M$46=EDATE('融资租赁与资金缺口'!$F$9,$A15),'融资租赁与资金缺口'!$J$9,0),0),IF(AND(BM$46&gt;'融资租赁与资金缺口'!$F$10,BM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M$46=EDATE('融资租赁与资金缺口'!$F$10,$A15),'融资租赁与资金缺口'!$J$10,0),0),IF(AND(BM$46&gt;'融资租赁与资金缺口'!$F$11,BM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M$46=EDATE('融资租赁与资金缺口'!$F$11,$A15),'融资租赁与资金缺口'!$J$11,0),0),IF(AND(BM$46&gt;'融资租赁与资金缺口'!$F$12,BM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M$46=EDATE('融资租赁与资金缺口'!$F$12,$A15),'融资租赁与资金缺口'!$J$12,0),0),IF(AND(BM$46&gt;'融资租赁与资金缺口'!$F$13,BM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M$46=EDATE('融资租赁与资金缺口'!$F$13,$A15),'融资租赁与资金缺口'!$J$13,0),0),IF(AND(BM$46&gt;'融资租赁与资金缺口'!$F$14,BM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M$46=EDATE('融资租赁与资金缺口'!$F$14,$A15),'融资租赁与资金缺口'!$J$14,0),0),IF(AND(BM$46&gt;'融资租赁与资金缺口'!$F$15,BM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M$46=EDATE('融资租赁与资金缺口'!$F$15,$A15),'融资租赁与资金缺口'!$J$15,0),0),IF(AND(BM$46&gt;'融资租赁与资金缺口'!$F$16,BM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M$46=EDATE('融资租赁与资金缺口'!$F$16,$A15),'融资租赁与资金缺口'!$J$16,0),0))</x:f>
        <x:v>0</x:v>
      </x:c>
      <x:c r="BN47" s="28" t="n">
        <x:f>SUM(IF(AND(BN$46&gt;'融资租赁与资金缺口'!$F$5,BN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N$46=EDATE('融资租赁与资金缺口'!$F$5,$A15),'融资租赁与资金缺口'!$J$5,0),0),IF(AND(BN$46&gt;'融资租赁与资金缺口'!$F$6,BN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N$46=EDATE('融资租赁与资金缺口'!$F$6,$A15),'融资租赁与资金缺口'!$J$6,0),0),IF(AND(BN$46&gt;'融资租赁与资金缺口'!$F$7,BN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N$46=EDATE('融资租赁与资金缺口'!$F$7,$A15),'融资租赁与资金缺口'!$J$7,0),0),IF(AND(BN$46&gt;'融资租赁与资金缺口'!$F$8,BN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N$46=EDATE('融资租赁与资金缺口'!$F$8,$A15),'融资租赁与资金缺口'!$J$8,0),0),IF(AND(BN$46&gt;'融资租赁与资金缺口'!$F$9,BN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N$46=EDATE('融资租赁与资金缺口'!$F$9,$A15),'融资租赁与资金缺口'!$J$9,0),0),IF(AND(BN$46&gt;'融资租赁与资金缺口'!$F$10,BN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N$46=EDATE('融资租赁与资金缺口'!$F$10,$A15),'融资租赁与资金缺口'!$J$10,0),0),IF(AND(BN$46&gt;'融资租赁与资金缺口'!$F$11,BN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N$46=EDATE('融资租赁与资金缺口'!$F$11,$A15),'融资租赁与资金缺口'!$J$11,0),0),IF(AND(BN$46&gt;'融资租赁与资金缺口'!$F$12,BN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N$46=EDATE('融资租赁与资金缺口'!$F$12,$A15),'融资租赁与资金缺口'!$J$12,0),0),IF(AND(BN$46&gt;'融资租赁与资金缺口'!$F$13,BN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N$46=EDATE('融资租赁与资金缺口'!$F$13,$A15),'融资租赁与资金缺口'!$J$13,0),0),IF(AND(BN$46&gt;'融资租赁与资金缺口'!$F$14,BN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N$46=EDATE('融资租赁与资金缺口'!$F$14,$A15),'融资租赁与资金缺口'!$J$14,0),0),IF(AND(BN$46&gt;'融资租赁与资金缺口'!$F$15,BN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N$46=EDATE('融资租赁与资金缺口'!$F$15,$A15),'融资租赁与资金缺口'!$J$15,0),0),IF(AND(BN$46&gt;'融资租赁与资金缺口'!$F$16,BN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N$46=EDATE('融资租赁与资金缺口'!$F$16,$A15),'融资租赁与资金缺口'!$J$16,0),0))</x:f>
        <x:v>0</x:v>
      </x:c>
      <x:c r="BO47" s="28" t="n">
        <x:f>SUM(IF(AND(BO$46&gt;'融资租赁与资金缺口'!$F$5,BO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O$46=EDATE('融资租赁与资金缺口'!$F$5,$A15),'融资租赁与资金缺口'!$J$5,0),0),IF(AND(BO$46&gt;'融资租赁与资金缺口'!$F$6,BO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O$46=EDATE('融资租赁与资金缺口'!$F$6,$A15),'融资租赁与资金缺口'!$J$6,0),0),IF(AND(BO$46&gt;'融资租赁与资金缺口'!$F$7,BO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O$46=EDATE('融资租赁与资金缺口'!$F$7,$A15),'融资租赁与资金缺口'!$J$7,0),0),IF(AND(BO$46&gt;'融资租赁与资金缺口'!$F$8,BO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O$46=EDATE('融资租赁与资金缺口'!$F$8,$A15),'融资租赁与资金缺口'!$J$8,0),0),IF(AND(BO$46&gt;'融资租赁与资金缺口'!$F$9,BO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O$46=EDATE('融资租赁与资金缺口'!$F$9,$A15),'融资租赁与资金缺口'!$J$9,0),0),IF(AND(BO$46&gt;'融资租赁与资金缺口'!$F$10,BO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O$46=EDATE('融资租赁与资金缺口'!$F$10,$A15),'融资租赁与资金缺口'!$J$10,0),0),IF(AND(BO$46&gt;'融资租赁与资金缺口'!$F$11,BO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O$46=EDATE('融资租赁与资金缺口'!$F$11,$A15),'融资租赁与资金缺口'!$J$11,0),0),IF(AND(BO$46&gt;'融资租赁与资金缺口'!$F$12,BO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O$46=EDATE('融资租赁与资金缺口'!$F$12,$A15),'融资租赁与资金缺口'!$J$12,0),0),IF(AND(BO$46&gt;'融资租赁与资金缺口'!$F$13,BO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O$46=EDATE('融资租赁与资金缺口'!$F$13,$A15),'融资租赁与资金缺口'!$J$13,0),0),IF(AND(BO$46&gt;'融资租赁与资金缺口'!$F$14,BO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O$46=EDATE('融资租赁与资金缺口'!$F$14,$A15),'融资租赁与资金缺口'!$J$14,0),0),IF(AND(BO$46&gt;'融资租赁与资金缺口'!$F$15,BO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O$46=EDATE('融资租赁与资金缺口'!$F$15,$A15),'融资租赁与资金缺口'!$J$15,0),0),IF(AND(BO$46&gt;'融资租赁与资金缺口'!$F$16,BO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O$46=EDATE('融资租赁与资金缺口'!$F$16,$A15),'融资租赁与资金缺口'!$J$16,0),0))</x:f>
        <x:v>0</x:v>
      </x:c>
      <x:c r="BP47" s="28" t="n">
        <x:f>SUM(IF(AND(BP$46&gt;'融资租赁与资金缺口'!$F$5,BP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P$46=EDATE('融资租赁与资金缺口'!$F$5,$A15),'融资租赁与资金缺口'!$J$5,0),0),IF(AND(BP$46&gt;'融资租赁与资金缺口'!$F$6,BP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P$46=EDATE('融资租赁与资金缺口'!$F$6,$A15),'融资租赁与资金缺口'!$J$6,0),0),IF(AND(BP$46&gt;'融资租赁与资金缺口'!$F$7,BP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P$46=EDATE('融资租赁与资金缺口'!$F$7,$A15),'融资租赁与资金缺口'!$J$7,0),0),IF(AND(BP$46&gt;'融资租赁与资金缺口'!$F$8,BP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P$46=EDATE('融资租赁与资金缺口'!$F$8,$A15),'融资租赁与资金缺口'!$J$8,0),0),IF(AND(BP$46&gt;'融资租赁与资金缺口'!$F$9,BP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P$46=EDATE('融资租赁与资金缺口'!$F$9,$A15),'融资租赁与资金缺口'!$J$9,0),0),IF(AND(BP$46&gt;'融资租赁与资金缺口'!$F$10,BP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P$46=EDATE('融资租赁与资金缺口'!$F$10,$A15),'融资租赁与资金缺口'!$J$10,0),0),IF(AND(BP$46&gt;'融资租赁与资金缺口'!$F$11,BP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P$46=EDATE('融资租赁与资金缺口'!$F$11,$A15),'融资租赁与资金缺口'!$J$11,0),0),IF(AND(BP$46&gt;'融资租赁与资金缺口'!$F$12,BP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P$46=EDATE('融资租赁与资金缺口'!$F$12,$A15),'融资租赁与资金缺口'!$J$12,0),0),IF(AND(BP$46&gt;'融资租赁与资金缺口'!$F$13,BP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P$46=EDATE('融资租赁与资金缺口'!$F$13,$A15),'融资租赁与资金缺口'!$J$13,0),0),IF(AND(BP$46&gt;'融资租赁与资金缺口'!$F$14,BP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P$46=EDATE('融资租赁与资金缺口'!$F$14,$A15),'融资租赁与资金缺口'!$J$14,0),0),IF(AND(BP$46&gt;'融资租赁与资金缺口'!$F$15,BP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P$46=EDATE('融资租赁与资金缺口'!$F$15,$A15),'融资租赁与资金缺口'!$J$15,0),0),IF(AND(BP$46&gt;'融资租赁与资金缺口'!$F$16,BP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P$46=EDATE('融资租赁与资金缺口'!$F$16,$A15),'融资租赁与资金缺口'!$J$16,0),0))</x:f>
        <x:v>0</x:v>
      </x:c>
      <x:c r="BQ47" s="28" t="n">
        <x:f>SUM(IF(AND(BQ$46&gt;'融资租赁与资金缺口'!$F$5,BQ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Q$46=EDATE('融资租赁与资金缺口'!$F$5,$A15),'融资租赁与资金缺口'!$J$5,0),0),IF(AND(BQ$46&gt;'融资租赁与资金缺口'!$F$6,BQ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Q$46=EDATE('融资租赁与资金缺口'!$F$6,$A15),'融资租赁与资金缺口'!$J$6,0),0),IF(AND(BQ$46&gt;'融资租赁与资金缺口'!$F$7,BQ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Q$46=EDATE('融资租赁与资金缺口'!$F$7,$A15),'融资租赁与资金缺口'!$J$7,0),0),IF(AND(BQ$46&gt;'融资租赁与资金缺口'!$F$8,BQ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Q$46=EDATE('融资租赁与资金缺口'!$F$8,$A15),'融资租赁与资金缺口'!$J$8,0),0),IF(AND(BQ$46&gt;'融资租赁与资金缺口'!$F$9,BQ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Q$46=EDATE('融资租赁与资金缺口'!$F$9,$A15),'融资租赁与资金缺口'!$J$9,0),0),IF(AND(BQ$46&gt;'融资租赁与资金缺口'!$F$10,BQ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Q$46=EDATE('融资租赁与资金缺口'!$F$10,$A15),'融资租赁与资金缺口'!$J$10,0),0),IF(AND(BQ$46&gt;'融资租赁与资金缺口'!$F$11,BQ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Q$46=EDATE('融资租赁与资金缺口'!$F$11,$A15),'融资租赁与资金缺口'!$J$11,0),0),IF(AND(BQ$46&gt;'融资租赁与资金缺口'!$F$12,BQ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Q$46=EDATE('融资租赁与资金缺口'!$F$12,$A15),'融资租赁与资金缺口'!$J$12,0),0),IF(AND(BQ$46&gt;'融资租赁与资金缺口'!$F$13,BQ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Q$46=EDATE('融资租赁与资金缺口'!$F$13,$A15),'融资租赁与资金缺口'!$J$13,0),0),IF(AND(BQ$46&gt;'融资租赁与资金缺口'!$F$14,BQ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Q$46=EDATE('融资租赁与资金缺口'!$F$14,$A15),'融资租赁与资金缺口'!$J$14,0),0),IF(AND(BQ$46&gt;'融资租赁与资金缺口'!$F$15,BQ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Q$46=EDATE('融资租赁与资金缺口'!$F$15,$A15),'融资租赁与资金缺口'!$J$15,0),0),IF(AND(BQ$46&gt;'融资租赁与资金缺口'!$F$16,BQ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Q$46=EDATE('融资租赁与资金缺口'!$F$16,$A15),'融资租赁与资金缺口'!$J$16,0),0))</x:f>
        <x:v>0</x:v>
      </x:c>
      <x:c r="BR47" s="28" t="n">
        <x:f>SUM(IF(AND(BR$46&gt;'融资租赁与资金缺口'!$F$5,BR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R$46=EDATE('融资租赁与资金缺口'!$F$5,$A15),'融资租赁与资金缺口'!$J$5,0),0),IF(AND(BR$46&gt;'融资租赁与资金缺口'!$F$6,BR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R$46=EDATE('融资租赁与资金缺口'!$F$6,$A15),'融资租赁与资金缺口'!$J$6,0),0),IF(AND(BR$46&gt;'融资租赁与资金缺口'!$F$7,BR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R$46=EDATE('融资租赁与资金缺口'!$F$7,$A15),'融资租赁与资金缺口'!$J$7,0),0),IF(AND(BR$46&gt;'融资租赁与资金缺口'!$F$8,BR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R$46=EDATE('融资租赁与资金缺口'!$F$8,$A15),'融资租赁与资金缺口'!$J$8,0),0),IF(AND(BR$46&gt;'融资租赁与资金缺口'!$F$9,BR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R$46=EDATE('融资租赁与资金缺口'!$F$9,$A15),'融资租赁与资金缺口'!$J$9,0),0),IF(AND(BR$46&gt;'融资租赁与资金缺口'!$F$10,BR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R$46=EDATE('融资租赁与资金缺口'!$F$10,$A15),'融资租赁与资金缺口'!$J$10,0),0),IF(AND(BR$46&gt;'融资租赁与资金缺口'!$F$11,BR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R$46=EDATE('融资租赁与资金缺口'!$F$11,$A15),'融资租赁与资金缺口'!$J$11,0),0),IF(AND(BR$46&gt;'融资租赁与资金缺口'!$F$12,BR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R$46=EDATE('融资租赁与资金缺口'!$F$12,$A15),'融资租赁与资金缺口'!$J$12,0),0),IF(AND(BR$46&gt;'融资租赁与资金缺口'!$F$13,BR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R$46=EDATE('融资租赁与资金缺口'!$F$13,$A15),'融资租赁与资金缺口'!$J$13,0),0),IF(AND(BR$46&gt;'融资租赁与资金缺口'!$F$14,BR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R$46=EDATE('融资租赁与资金缺口'!$F$14,$A15),'融资租赁与资金缺口'!$J$14,0),0),IF(AND(BR$46&gt;'融资租赁与资金缺口'!$F$15,BR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R$46=EDATE('融资租赁与资金缺口'!$F$15,$A15),'融资租赁与资金缺口'!$J$15,0),0),IF(AND(BR$46&gt;'融资租赁与资金缺口'!$F$16,BR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R$46=EDATE('融资租赁与资金缺口'!$F$16,$A15),'融资租赁与资金缺口'!$J$16,0),0))</x:f>
        <x:v>0</x:v>
      </x:c>
      <x:c r="BS47" s="28" t="n">
        <x:f>SUM(IF(AND(BS$46&gt;'融资租赁与资金缺口'!$F$5,BS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S$46=EDATE('融资租赁与资金缺口'!$F$5,$A15),'融资租赁与资金缺口'!$J$5,0),0),IF(AND(BS$46&gt;'融资租赁与资金缺口'!$F$6,BS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S$46=EDATE('融资租赁与资金缺口'!$F$6,$A15),'融资租赁与资金缺口'!$J$6,0),0),IF(AND(BS$46&gt;'融资租赁与资金缺口'!$F$7,BS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S$46=EDATE('融资租赁与资金缺口'!$F$7,$A15),'融资租赁与资金缺口'!$J$7,0),0),IF(AND(BS$46&gt;'融资租赁与资金缺口'!$F$8,BS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S$46=EDATE('融资租赁与资金缺口'!$F$8,$A15),'融资租赁与资金缺口'!$J$8,0),0),IF(AND(BS$46&gt;'融资租赁与资金缺口'!$F$9,BS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S$46=EDATE('融资租赁与资金缺口'!$F$9,$A15),'融资租赁与资金缺口'!$J$9,0),0),IF(AND(BS$46&gt;'融资租赁与资金缺口'!$F$10,BS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S$46=EDATE('融资租赁与资金缺口'!$F$10,$A15),'融资租赁与资金缺口'!$J$10,0),0),IF(AND(BS$46&gt;'融资租赁与资金缺口'!$F$11,BS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S$46=EDATE('融资租赁与资金缺口'!$F$11,$A15),'融资租赁与资金缺口'!$J$11,0),0),IF(AND(BS$46&gt;'融资租赁与资金缺口'!$F$12,BS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S$46=EDATE('融资租赁与资金缺口'!$F$12,$A15),'融资租赁与资金缺口'!$J$12,0),0),IF(AND(BS$46&gt;'融资租赁与资金缺口'!$F$13,BS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S$46=EDATE('融资租赁与资金缺口'!$F$13,$A15),'融资租赁与资金缺口'!$J$13,0),0),IF(AND(BS$46&gt;'融资租赁与资金缺口'!$F$14,BS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S$46=EDATE('融资租赁与资金缺口'!$F$14,$A15),'融资租赁与资金缺口'!$J$14,0),0),IF(AND(BS$46&gt;'融资租赁与资金缺口'!$F$15,BS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S$46=EDATE('融资租赁与资金缺口'!$F$15,$A15),'融资租赁与资金缺口'!$J$15,0),0),IF(AND(BS$46&gt;'融资租赁与资金缺口'!$F$16,BS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S$46=EDATE('融资租赁与资金缺口'!$F$16,$A15),'融资租赁与资金缺口'!$J$16,0),0))</x:f>
        <x:v>0</x:v>
      </x:c>
      <x:c r="BT47" s="28" t="n">
        <x:f>SUM(IF(AND(BT$46&gt;'融资租赁与资金缺口'!$F$5,BT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T$46=EDATE('融资租赁与资金缺口'!$F$5,$A15),'融资租赁与资金缺口'!$J$5,0),0),IF(AND(BT$46&gt;'融资租赁与资金缺口'!$F$6,BT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T$46=EDATE('融资租赁与资金缺口'!$F$6,$A15),'融资租赁与资金缺口'!$J$6,0),0),IF(AND(BT$46&gt;'融资租赁与资金缺口'!$F$7,BT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T$46=EDATE('融资租赁与资金缺口'!$F$7,$A15),'融资租赁与资金缺口'!$J$7,0),0),IF(AND(BT$46&gt;'融资租赁与资金缺口'!$F$8,BT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T$46=EDATE('融资租赁与资金缺口'!$F$8,$A15),'融资租赁与资金缺口'!$J$8,0),0),IF(AND(BT$46&gt;'融资租赁与资金缺口'!$F$9,BT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T$46=EDATE('融资租赁与资金缺口'!$F$9,$A15),'融资租赁与资金缺口'!$J$9,0),0),IF(AND(BT$46&gt;'融资租赁与资金缺口'!$F$10,BT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T$46=EDATE('融资租赁与资金缺口'!$F$10,$A15),'融资租赁与资金缺口'!$J$10,0),0),IF(AND(BT$46&gt;'融资租赁与资金缺口'!$F$11,BT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T$46=EDATE('融资租赁与资金缺口'!$F$11,$A15),'融资租赁与资金缺口'!$J$11,0),0),IF(AND(BT$46&gt;'融资租赁与资金缺口'!$F$12,BT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T$46=EDATE('融资租赁与资金缺口'!$F$12,$A15),'融资租赁与资金缺口'!$J$12,0),0),IF(AND(BT$46&gt;'融资租赁与资金缺口'!$F$13,BT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T$46=EDATE('融资租赁与资金缺口'!$F$13,$A15),'融资租赁与资金缺口'!$J$13,0),0),IF(AND(BT$46&gt;'融资租赁与资金缺口'!$F$14,BT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T$46=EDATE('融资租赁与资金缺口'!$F$14,$A15),'融资租赁与资金缺口'!$J$14,0),0),IF(AND(BT$46&gt;'融资租赁与资金缺口'!$F$15,BT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T$46=EDATE('融资租赁与资金缺口'!$F$15,$A15),'融资租赁与资金缺口'!$J$15,0),0),IF(AND(BT$46&gt;'融资租赁与资金缺口'!$F$16,BT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T$46=EDATE('融资租赁与资金缺口'!$F$16,$A15),'融资租赁与资金缺口'!$J$16,0),0))</x:f>
        <x:v>0</x:v>
      </x:c>
      <x:c r="BU47" s="28" t="n">
        <x:f>SUM(IF(AND(BU$46&gt;'融资租赁与资金缺口'!$F$5,BU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U$46=EDATE('融资租赁与资金缺口'!$F$5,$A15),'融资租赁与资金缺口'!$J$5,0),0),IF(AND(BU$46&gt;'融资租赁与资金缺口'!$F$6,BU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U$46=EDATE('融资租赁与资金缺口'!$F$6,$A15),'融资租赁与资金缺口'!$J$6,0),0),IF(AND(BU$46&gt;'融资租赁与资金缺口'!$F$7,BU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U$46=EDATE('融资租赁与资金缺口'!$F$7,$A15),'融资租赁与资金缺口'!$J$7,0),0),IF(AND(BU$46&gt;'融资租赁与资金缺口'!$F$8,BU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U$46=EDATE('融资租赁与资金缺口'!$F$8,$A15),'融资租赁与资金缺口'!$J$8,0),0),IF(AND(BU$46&gt;'融资租赁与资金缺口'!$F$9,BU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U$46=EDATE('融资租赁与资金缺口'!$F$9,$A15),'融资租赁与资金缺口'!$J$9,0),0),IF(AND(BU$46&gt;'融资租赁与资金缺口'!$F$10,BU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U$46=EDATE('融资租赁与资金缺口'!$F$10,$A15),'融资租赁与资金缺口'!$J$10,0),0),IF(AND(BU$46&gt;'融资租赁与资金缺口'!$F$11,BU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U$46=EDATE('融资租赁与资金缺口'!$F$11,$A15),'融资租赁与资金缺口'!$J$11,0),0),IF(AND(BU$46&gt;'融资租赁与资金缺口'!$F$12,BU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U$46=EDATE('融资租赁与资金缺口'!$F$12,$A15),'融资租赁与资金缺口'!$J$12,0),0),IF(AND(BU$46&gt;'融资租赁与资金缺口'!$F$13,BU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U$46=EDATE('融资租赁与资金缺口'!$F$13,$A15),'融资租赁与资金缺口'!$J$13,0),0),IF(AND(BU$46&gt;'融资租赁与资金缺口'!$F$14,BU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U$46=EDATE('融资租赁与资金缺口'!$F$14,$A15),'融资租赁与资金缺口'!$J$14,0),0),IF(AND(BU$46&gt;'融资租赁与资金缺口'!$F$15,BU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U$46=EDATE('融资租赁与资金缺口'!$F$15,$A15),'融资租赁与资金缺口'!$J$15,0),0),IF(AND(BU$46&gt;'融资租赁与资金缺口'!$F$16,BU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U$46=EDATE('融资租赁与资金缺口'!$F$16,$A15),'融资租赁与资金缺口'!$J$16,0),0))</x:f>
        <x:v>0</x:v>
      </x:c>
      <x:c r="BV47" s="28" t="n">
        <x:f>SUM(IF(AND(BV$46&gt;'融资租赁与资金缺口'!$F$5,BV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V$46=EDATE('融资租赁与资金缺口'!$F$5,$A15),'融资租赁与资金缺口'!$J$5,0),0),IF(AND(BV$46&gt;'融资租赁与资金缺口'!$F$6,BV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V$46=EDATE('融资租赁与资金缺口'!$F$6,$A15),'融资租赁与资金缺口'!$J$6,0),0),IF(AND(BV$46&gt;'融资租赁与资金缺口'!$F$7,BV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V$46=EDATE('融资租赁与资金缺口'!$F$7,$A15),'融资租赁与资金缺口'!$J$7,0),0),IF(AND(BV$46&gt;'融资租赁与资金缺口'!$F$8,BV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V$46=EDATE('融资租赁与资金缺口'!$F$8,$A15),'融资租赁与资金缺口'!$J$8,0),0),IF(AND(BV$46&gt;'融资租赁与资金缺口'!$F$9,BV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V$46=EDATE('融资租赁与资金缺口'!$F$9,$A15),'融资租赁与资金缺口'!$J$9,0),0),IF(AND(BV$46&gt;'融资租赁与资金缺口'!$F$10,BV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V$46=EDATE('融资租赁与资金缺口'!$F$10,$A15),'融资租赁与资金缺口'!$J$10,0),0),IF(AND(BV$46&gt;'融资租赁与资金缺口'!$F$11,BV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V$46=EDATE('融资租赁与资金缺口'!$F$11,$A15),'融资租赁与资金缺口'!$J$11,0),0),IF(AND(BV$46&gt;'融资租赁与资金缺口'!$F$12,BV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V$46=EDATE('融资租赁与资金缺口'!$F$12,$A15),'融资租赁与资金缺口'!$J$12,0),0),IF(AND(BV$46&gt;'融资租赁与资金缺口'!$F$13,BV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V$46=EDATE('融资租赁与资金缺口'!$F$13,$A15),'融资租赁与资金缺口'!$J$13,0),0),IF(AND(BV$46&gt;'融资租赁与资金缺口'!$F$14,BV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V$46=EDATE('融资租赁与资金缺口'!$F$14,$A15),'融资租赁与资金缺口'!$J$14,0),0),IF(AND(BV$46&gt;'融资租赁与资金缺口'!$F$15,BV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V$46=EDATE('融资租赁与资金缺口'!$F$15,$A15),'融资租赁与资金缺口'!$J$15,0),0),IF(AND(BV$46&gt;'融资租赁与资金缺口'!$F$16,BV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V$46=EDATE('融资租赁与资金缺口'!$F$16,$A15),'融资租赁与资金缺口'!$J$16,0),0))</x:f>
        <x:v>0</x:v>
      </x:c>
      <x:c r="BW47" s="28" t="n">
        <x:f>SUM(IF(AND(BW$46&gt;'融资租赁与资金缺口'!$F$5,BW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W$46=EDATE('融资租赁与资金缺口'!$F$5,$A15),'融资租赁与资金缺口'!$J$5,0),0),IF(AND(BW$46&gt;'融资租赁与资金缺口'!$F$6,BW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W$46=EDATE('融资租赁与资金缺口'!$F$6,$A15),'融资租赁与资金缺口'!$J$6,0),0),IF(AND(BW$46&gt;'融资租赁与资金缺口'!$F$7,BW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W$46=EDATE('融资租赁与资金缺口'!$F$7,$A15),'融资租赁与资金缺口'!$J$7,0),0),IF(AND(BW$46&gt;'融资租赁与资金缺口'!$F$8,BW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W$46=EDATE('融资租赁与资金缺口'!$F$8,$A15),'融资租赁与资金缺口'!$J$8,0),0),IF(AND(BW$46&gt;'融资租赁与资金缺口'!$F$9,BW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W$46=EDATE('融资租赁与资金缺口'!$F$9,$A15),'融资租赁与资金缺口'!$J$9,0),0),IF(AND(BW$46&gt;'融资租赁与资金缺口'!$F$10,BW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W$46=EDATE('融资租赁与资金缺口'!$F$10,$A15),'融资租赁与资金缺口'!$J$10,0),0),IF(AND(BW$46&gt;'融资租赁与资金缺口'!$F$11,BW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W$46=EDATE('融资租赁与资金缺口'!$F$11,$A15),'融资租赁与资金缺口'!$J$11,0),0),IF(AND(BW$46&gt;'融资租赁与资金缺口'!$F$12,BW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W$46=EDATE('融资租赁与资金缺口'!$F$12,$A15),'融资租赁与资金缺口'!$J$12,0),0),IF(AND(BW$46&gt;'融资租赁与资金缺口'!$F$13,BW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W$46=EDATE('融资租赁与资金缺口'!$F$13,$A15),'融资租赁与资金缺口'!$J$13,0),0),IF(AND(BW$46&gt;'融资租赁与资金缺口'!$F$14,BW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W$46=EDATE('融资租赁与资金缺口'!$F$14,$A15),'融资租赁与资金缺口'!$J$14,0),0),IF(AND(BW$46&gt;'融资租赁与资金缺口'!$F$15,BW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W$46=EDATE('融资租赁与资金缺口'!$F$15,$A15),'融资租赁与资金缺口'!$J$15,0),0),IF(AND(BW$46&gt;'融资租赁与资金缺口'!$F$16,BW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W$46=EDATE('融资租赁与资金缺口'!$F$16,$A15),'融资租赁与资金缺口'!$J$16,0),0))</x:f>
        <x:v>0</x:v>
      </x:c>
      <x:c r="BX47" s="28" t="n">
        <x:f>SUM(IF(AND(BX$46&gt;'融资租赁与资金缺口'!$F$5,BX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X$46=EDATE('融资租赁与资金缺口'!$F$5,$A15),'融资租赁与资金缺口'!$J$5,0),0),IF(AND(BX$46&gt;'融资租赁与资金缺口'!$F$6,BX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X$46=EDATE('融资租赁与资金缺口'!$F$6,$A15),'融资租赁与资金缺口'!$J$6,0),0),IF(AND(BX$46&gt;'融资租赁与资金缺口'!$F$7,BX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X$46=EDATE('融资租赁与资金缺口'!$F$7,$A15),'融资租赁与资金缺口'!$J$7,0),0),IF(AND(BX$46&gt;'融资租赁与资金缺口'!$F$8,BX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X$46=EDATE('融资租赁与资金缺口'!$F$8,$A15),'融资租赁与资金缺口'!$J$8,0),0),IF(AND(BX$46&gt;'融资租赁与资金缺口'!$F$9,BX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X$46=EDATE('融资租赁与资金缺口'!$F$9,$A15),'融资租赁与资金缺口'!$J$9,0),0),IF(AND(BX$46&gt;'融资租赁与资金缺口'!$F$10,BX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X$46=EDATE('融资租赁与资金缺口'!$F$10,$A15),'融资租赁与资金缺口'!$J$10,0),0),IF(AND(BX$46&gt;'融资租赁与资金缺口'!$F$11,BX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X$46=EDATE('融资租赁与资金缺口'!$F$11,$A15),'融资租赁与资金缺口'!$J$11,0),0),IF(AND(BX$46&gt;'融资租赁与资金缺口'!$F$12,BX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X$46=EDATE('融资租赁与资金缺口'!$F$12,$A15),'融资租赁与资金缺口'!$J$12,0),0),IF(AND(BX$46&gt;'融资租赁与资金缺口'!$F$13,BX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X$46=EDATE('融资租赁与资金缺口'!$F$13,$A15),'融资租赁与资金缺口'!$J$13,0),0),IF(AND(BX$46&gt;'融资租赁与资金缺口'!$F$14,BX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X$46=EDATE('融资租赁与资金缺口'!$F$14,$A15),'融资租赁与资金缺口'!$J$14,0),0),IF(AND(BX$46&gt;'融资租赁与资金缺口'!$F$15,BX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X$46=EDATE('融资租赁与资金缺口'!$F$15,$A15),'融资租赁与资金缺口'!$J$15,0),0),IF(AND(BX$46&gt;'融资租赁与资金缺口'!$F$16,BX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X$46=EDATE('融资租赁与资金缺口'!$F$16,$A15),'融资租赁与资金缺口'!$J$16,0),0))</x:f>
        <x:v>0</x:v>
      </x:c>
      <x:c r="BY47" s="28" t="n">
        <x:f>SUM(IF(AND(BY$46&gt;'融资租赁与资金缺口'!$F$5,BY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Y$46=EDATE('融资租赁与资金缺口'!$F$5,$A15),'融资租赁与资金缺口'!$J$5,0),0),IF(AND(BY$46&gt;'融资租赁与资金缺口'!$F$6,BY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Y$46=EDATE('融资租赁与资金缺口'!$F$6,$A15),'融资租赁与资金缺口'!$J$6,0),0),IF(AND(BY$46&gt;'融资租赁与资金缺口'!$F$7,BY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Y$46=EDATE('融资租赁与资金缺口'!$F$7,$A15),'融资租赁与资金缺口'!$J$7,0),0),IF(AND(BY$46&gt;'融资租赁与资金缺口'!$F$8,BY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Y$46=EDATE('融资租赁与资金缺口'!$F$8,$A15),'融资租赁与资金缺口'!$J$8,0),0),IF(AND(BY$46&gt;'融资租赁与资金缺口'!$F$9,BY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Y$46=EDATE('融资租赁与资金缺口'!$F$9,$A15),'融资租赁与资金缺口'!$J$9,0),0),IF(AND(BY$46&gt;'融资租赁与资金缺口'!$F$10,BY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Y$46=EDATE('融资租赁与资金缺口'!$F$10,$A15),'融资租赁与资金缺口'!$J$10,0),0),IF(AND(BY$46&gt;'融资租赁与资金缺口'!$F$11,BY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Y$46=EDATE('融资租赁与资金缺口'!$F$11,$A15),'融资租赁与资金缺口'!$J$11,0),0),IF(AND(BY$46&gt;'融资租赁与资金缺口'!$F$12,BY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Y$46=EDATE('融资租赁与资金缺口'!$F$12,$A15),'融资租赁与资金缺口'!$J$12,0),0),IF(AND(BY$46&gt;'融资租赁与资金缺口'!$F$13,BY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Y$46=EDATE('融资租赁与资金缺口'!$F$13,$A15),'融资租赁与资金缺口'!$J$13,0),0),IF(AND(BY$46&gt;'融资租赁与资金缺口'!$F$14,BY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Y$46=EDATE('融资租赁与资金缺口'!$F$14,$A15),'融资租赁与资金缺口'!$J$14,0),0),IF(AND(BY$46&gt;'融资租赁与资金缺口'!$F$15,BY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Y$46=EDATE('融资租赁与资金缺口'!$F$15,$A15),'融资租赁与资金缺口'!$J$15,0),0),IF(AND(BY$46&gt;'融资租赁与资金缺口'!$F$16,BY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Y$46=EDATE('融资租赁与资金缺口'!$F$16,$A15),'融资租赁与资金缺口'!$J$16,0),0))</x:f>
        <x:v>0</x:v>
      </x:c>
      <x:c r="BZ47" s="28" t="n">
        <x:f>SUM(IF(AND(BZ$46&gt;'融资租赁与资金缺口'!$F$5,BZ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BZ$46=EDATE('融资租赁与资金缺口'!$F$5,$A15),'融资租赁与资金缺口'!$J$5,0),0),IF(AND(BZ$46&gt;'融资租赁与资金缺口'!$F$6,BZ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BZ$46=EDATE('融资租赁与资金缺口'!$F$6,$A15),'融资租赁与资金缺口'!$J$6,0),0),IF(AND(BZ$46&gt;'融资租赁与资金缺口'!$F$7,BZ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BZ$46=EDATE('融资租赁与资金缺口'!$F$7,$A15),'融资租赁与资金缺口'!$J$7,0),0),IF(AND(BZ$46&gt;'融资租赁与资金缺口'!$F$8,BZ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BZ$46=EDATE('融资租赁与资金缺口'!$F$8,$A15),'融资租赁与资金缺口'!$J$8,0),0),IF(AND(BZ$46&gt;'融资租赁与资金缺口'!$F$9,BZ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BZ$46=EDATE('融资租赁与资金缺口'!$F$9,$A15),'融资租赁与资金缺口'!$J$9,0),0),IF(AND(BZ$46&gt;'融资租赁与资金缺口'!$F$10,BZ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BZ$46=EDATE('融资租赁与资金缺口'!$F$10,$A15),'融资租赁与资金缺口'!$J$10,0),0),IF(AND(BZ$46&gt;'融资租赁与资金缺口'!$F$11,BZ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BZ$46=EDATE('融资租赁与资金缺口'!$F$11,$A15),'融资租赁与资金缺口'!$J$11,0),0),IF(AND(BZ$46&gt;'融资租赁与资金缺口'!$F$12,BZ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BZ$46=EDATE('融资租赁与资金缺口'!$F$12,$A15),'融资租赁与资金缺口'!$J$12,0),0),IF(AND(BZ$46&gt;'融资租赁与资金缺口'!$F$13,BZ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BZ$46=EDATE('融资租赁与资金缺口'!$F$13,$A15),'融资租赁与资金缺口'!$J$13,0),0),IF(AND(BZ$46&gt;'融资租赁与资金缺口'!$F$14,BZ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BZ$46=EDATE('融资租赁与资金缺口'!$F$14,$A15),'融资租赁与资金缺口'!$J$14,0),0),IF(AND(BZ$46&gt;'融资租赁与资金缺口'!$F$15,BZ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BZ$46=EDATE('融资租赁与资金缺口'!$F$15,$A15),'融资租赁与资金缺口'!$J$15,0),0),IF(AND(BZ$46&gt;'融资租赁与资金缺口'!$F$16,BZ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BZ$46=EDATE('融资租赁与资金缺口'!$F$16,$A15),'融资租赁与资金缺口'!$J$16,0),0))</x:f>
        <x:v>0</x:v>
      </x:c>
      <x:c r="CA47" s="28" t="n">
        <x:f>SUM(IF(AND(CA$46&gt;'融资租赁与资金缺口'!$F$5,CA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CA$46=EDATE('融资租赁与资金缺口'!$F$5,$A15),'融资租赁与资金缺口'!$J$5,0),0),IF(AND(CA$46&gt;'融资租赁与资金缺口'!$F$6,CA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CA$46=EDATE('融资租赁与资金缺口'!$F$6,$A15),'融资租赁与资金缺口'!$J$6,0),0),IF(AND(CA$46&gt;'融资租赁与资金缺口'!$F$7,CA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CA$46=EDATE('融资租赁与资金缺口'!$F$7,$A15),'融资租赁与资金缺口'!$J$7,0),0),IF(AND(CA$46&gt;'融资租赁与资金缺口'!$F$8,CA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CA$46=EDATE('融资租赁与资金缺口'!$F$8,$A15),'融资租赁与资金缺口'!$J$8,0),0),IF(AND(CA$46&gt;'融资租赁与资金缺口'!$F$9,CA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CA$46=EDATE('融资租赁与资金缺口'!$F$9,$A15),'融资租赁与资金缺口'!$J$9,0),0),IF(AND(CA$46&gt;'融资租赁与资金缺口'!$F$10,CA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CA$46=EDATE('融资租赁与资金缺口'!$F$10,$A15),'融资租赁与资金缺口'!$J$10,0),0),IF(AND(CA$46&gt;'融资租赁与资金缺口'!$F$11,CA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CA$46=EDATE('融资租赁与资金缺口'!$F$11,$A15),'融资租赁与资金缺口'!$J$11,0),0),IF(AND(CA$46&gt;'融资租赁与资金缺口'!$F$12,CA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CA$46=EDATE('融资租赁与资金缺口'!$F$12,$A15),'融资租赁与资金缺口'!$J$12,0),0),IF(AND(CA$46&gt;'融资租赁与资金缺口'!$F$13,CA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CA$46=EDATE('融资租赁与资金缺口'!$F$13,$A15),'融资租赁与资金缺口'!$J$13,0),0),IF(AND(CA$46&gt;'融资租赁与资金缺口'!$F$14,CA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CA$46=EDATE('融资租赁与资金缺口'!$F$14,$A15),'融资租赁与资金缺口'!$J$14,0),0),IF(AND(CA$46&gt;'融资租赁与资金缺口'!$F$15,CA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CA$46=EDATE('融资租赁与资金缺口'!$F$15,$A15),'融资租赁与资金缺口'!$J$15,0),0),IF(AND(CA$46&gt;'融资租赁与资金缺口'!$F$16,CA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CA$46=EDATE('融资租赁与资金缺口'!$F$16,$A15),'融资租赁与资金缺口'!$J$16,0),0))</x:f>
        <x:v>0</x:v>
      </x:c>
      <x:c r="CB47" s="28" t="n">
        <x:f>SUM(IF(AND(CB$46&gt;'融资租赁与资金缺口'!$F$5,CB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CB$46=EDATE('融资租赁与资金缺口'!$F$5,$A15),'融资租赁与资金缺口'!$J$5,0),0),IF(AND(CB$46&gt;'融资租赁与资金缺口'!$F$6,CB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CB$46=EDATE('融资租赁与资金缺口'!$F$6,$A15),'融资租赁与资金缺口'!$J$6,0),0),IF(AND(CB$46&gt;'融资租赁与资金缺口'!$F$7,CB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CB$46=EDATE('融资租赁与资金缺口'!$F$7,$A15),'融资租赁与资金缺口'!$J$7,0),0),IF(AND(CB$46&gt;'融资租赁与资金缺口'!$F$8,CB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CB$46=EDATE('融资租赁与资金缺口'!$F$8,$A15),'融资租赁与资金缺口'!$J$8,0),0),IF(AND(CB$46&gt;'融资租赁与资金缺口'!$F$9,CB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CB$46=EDATE('融资租赁与资金缺口'!$F$9,$A15),'融资租赁与资金缺口'!$J$9,0),0),IF(AND(CB$46&gt;'融资租赁与资金缺口'!$F$10,CB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CB$46=EDATE('融资租赁与资金缺口'!$F$10,$A15),'融资租赁与资金缺口'!$J$10,0),0),IF(AND(CB$46&gt;'融资租赁与资金缺口'!$F$11,CB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CB$46=EDATE('融资租赁与资金缺口'!$F$11,$A15),'融资租赁与资金缺口'!$J$11,0),0),IF(AND(CB$46&gt;'融资租赁与资金缺口'!$F$12,CB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CB$46=EDATE('融资租赁与资金缺口'!$F$12,$A15),'融资租赁与资金缺口'!$J$12,0),0),IF(AND(CB$46&gt;'融资租赁与资金缺口'!$F$13,CB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CB$46=EDATE('融资租赁与资金缺口'!$F$13,$A15),'融资租赁与资金缺口'!$J$13,0),0),IF(AND(CB$46&gt;'融资租赁与资金缺口'!$F$14,CB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CB$46=EDATE('融资租赁与资金缺口'!$F$14,$A15),'融资租赁与资金缺口'!$J$14,0),0),IF(AND(CB$46&gt;'融资租赁与资金缺口'!$F$15,CB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CB$46=EDATE('融资租赁与资金缺口'!$F$15,$A15),'融资租赁与资金缺口'!$J$15,0),0),IF(AND(CB$46&gt;'融资租赁与资金缺口'!$F$16,CB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CB$46=EDATE('融资租赁与资金缺口'!$F$16,$A15),'融资租赁与资金缺口'!$J$16,0),0))</x:f>
        <x:v>0</x:v>
      </x:c>
      <x:c r="CC47" s="28" t="n">
        <x:f>SUM(IF(AND(CC$46&gt;'融资租赁与资金缺口'!$F$5,CC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CC$46=EDATE('融资租赁与资金缺口'!$F$5,$A15),'融资租赁与资金缺口'!$J$5,0),0),IF(AND(CC$46&gt;'融资租赁与资金缺口'!$F$6,CC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CC$46=EDATE('融资租赁与资金缺口'!$F$6,$A15),'融资租赁与资金缺口'!$J$6,0),0),IF(AND(CC$46&gt;'融资租赁与资金缺口'!$F$7,CC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CC$46=EDATE('融资租赁与资金缺口'!$F$7,$A15),'融资租赁与资金缺口'!$J$7,0),0),IF(AND(CC$46&gt;'融资租赁与资金缺口'!$F$8,CC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CC$46=EDATE('融资租赁与资金缺口'!$F$8,$A15),'融资租赁与资金缺口'!$J$8,0),0),IF(AND(CC$46&gt;'融资租赁与资金缺口'!$F$9,CC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CC$46=EDATE('融资租赁与资金缺口'!$F$9,$A15),'融资租赁与资金缺口'!$J$9,0),0),IF(AND(CC$46&gt;'融资租赁与资金缺口'!$F$10,CC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CC$46=EDATE('融资租赁与资金缺口'!$F$10,$A15),'融资租赁与资金缺口'!$J$10,0),0),IF(AND(CC$46&gt;'融资租赁与资金缺口'!$F$11,CC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CC$46=EDATE('融资租赁与资金缺口'!$F$11,$A15),'融资租赁与资金缺口'!$J$11,0),0),IF(AND(CC$46&gt;'融资租赁与资金缺口'!$F$12,CC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CC$46=EDATE('融资租赁与资金缺口'!$F$12,$A15),'融资租赁与资金缺口'!$J$12,0),0),IF(AND(CC$46&gt;'融资租赁与资金缺口'!$F$13,CC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CC$46=EDATE('融资租赁与资金缺口'!$F$13,$A15),'融资租赁与资金缺口'!$J$13,0),0),IF(AND(CC$46&gt;'融资租赁与资金缺口'!$F$14,CC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CC$46=EDATE('融资租赁与资金缺口'!$F$14,$A15),'融资租赁与资金缺口'!$J$14,0),0),IF(AND(CC$46&gt;'融资租赁与资金缺口'!$F$15,CC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CC$46=EDATE('融资租赁与资金缺口'!$F$15,$A15),'融资租赁与资金缺口'!$J$15,0),0),IF(AND(CC$46&gt;'融资租赁与资金缺口'!$F$16,CC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CC$46=EDATE('融资租赁与资金缺口'!$F$16,$A15),'融资租赁与资金缺口'!$J$16,0),0))</x:f>
        <x:v>0</x:v>
      </x:c>
      <x:c r="CD47" s="28" t="n">
        <x:f>SUM(IF(AND(CD$46&gt;'融资租赁与资金缺口'!$F$5,CD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CD$46=EDATE('融资租赁与资金缺口'!$F$5,$A15),'融资租赁与资金缺口'!$J$5,0),0),IF(AND(CD$46&gt;'融资租赁与资金缺口'!$F$6,CD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CD$46=EDATE('融资租赁与资金缺口'!$F$6,$A15),'融资租赁与资金缺口'!$J$6,0),0),IF(AND(CD$46&gt;'融资租赁与资金缺口'!$F$7,CD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CD$46=EDATE('融资租赁与资金缺口'!$F$7,$A15),'融资租赁与资金缺口'!$J$7,0),0),IF(AND(CD$46&gt;'融资租赁与资金缺口'!$F$8,CD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CD$46=EDATE('融资租赁与资金缺口'!$F$8,$A15),'融资租赁与资金缺口'!$J$8,0),0),IF(AND(CD$46&gt;'融资租赁与资金缺口'!$F$9,CD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CD$46=EDATE('融资租赁与资金缺口'!$F$9,$A15),'融资租赁与资金缺口'!$J$9,0),0),IF(AND(CD$46&gt;'融资租赁与资金缺口'!$F$10,CD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CD$46=EDATE('融资租赁与资金缺口'!$F$10,$A15),'融资租赁与资金缺口'!$J$10,0),0),IF(AND(CD$46&gt;'融资租赁与资金缺口'!$F$11,CD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CD$46=EDATE('融资租赁与资金缺口'!$F$11,$A15),'融资租赁与资金缺口'!$J$11,0),0),IF(AND(CD$46&gt;'融资租赁与资金缺口'!$F$12,CD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CD$46=EDATE('融资租赁与资金缺口'!$F$12,$A15),'融资租赁与资金缺口'!$J$12,0),0),IF(AND(CD$46&gt;'融资租赁与资金缺口'!$F$13,CD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CD$46=EDATE('融资租赁与资金缺口'!$F$13,$A15),'融资租赁与资金缺口'!$J$13,0),0),IF(AND(CD$46&gt;'融资租赁与资金缺口'!$F$14,CD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CD$46=EDATE('融资租赁与资金缺口'!$F$14,$A15),'融资租赁与资金缺口'!$J$14,0),0),IF(AND(CD$46&gt;'融资租赁与资金缺口'!$F$15,CD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CD$46=EDATE('融资租赁与资金缺口'!$F$15,$A15),'融资租赁与资金缺口'!$J$15,0),0),IF(AND(CD$46&gt;'融资租赁与资金缺口'!$F$16,CD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CD$46=EDATE('融资租赁与资金缺口'!$F$16,$A15),'融资租赁与资金缺口'!$J$16,0),0))</x:f>
        <x:v>0</x:v>
      </x:c>
      <x:c r="CE47" s="28" t="n">
        <x:f>SUM(IF(AND(CE$46&gt;'融资租赁与资金缺口'!$F$5,CE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CE$46=EDATE('融资租赁与资金缺口'!$F$5,$A15),'融资租赁与资金缺口'!$J$5,0),0),IF(AND(CE$46&gt;'融资租赁与资金缺口'!$F$6,CE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CE$46=EDATE('融资租赁与资金缺口'!$F$6,$A15),'融资租赁与资金缺口'!$J$6,0),0),IF(AND(CE$46&gt;'融资租赁与资金缺口'!$F$7,CE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CE$46=EDATE('融资租赁与资金缺口'!$F$7,$A15),'融资租赁与资金缺口'!$J$7,0),0),IF(AND(CE$46&gt;'融资租赁与资金缺口'!$F$8,CE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CE$46=EDATE('融资租赁与资金缺口'!$F$8,$A15),'融资租赁与资金缺口'!$J$8,0),0),IF(AND(CE$46&gt;'融资租赁与资金缺口'!$F$9,CE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CE$46=EDATE('融资租赁与资金缺口'!$F$9,$A15),'融资租赁与资金缺口'!$J$9,0),0),IF(AND(CE$46&gt;'融资租赁与资金缺口'!$F$10,CE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CE$46=EDATE('融资租赁与资金缺口'!$F$10,$A15),'融资租赁与资金缺口'!$J$10,0),0),IF(AND(CE$46&gt;'融资租赁与资金缺口'!$F$11,CE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CE$46=EDATE('融资租赁与资金缺口'!$F$11,$A15),'融资租赁与资金缺口'!$J$11,0),0),IF(AND(CE$46&gt;'融资租赁与资金缺口'!$F$12,CE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CE$46=EDATE('融资租赁与资金缺口'!$F$12,$A15),'融资租赁与资金缺口'!$J$12,0),0),IF(AND(CE$46&gt;'融资租赁与资金缺口'!$F$13,CE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CE$46=EDATE('融资租赁与资金缺口'!$F$13,$A15),'融资租赁与资金缺口'!$J$13,0),0),IF(AND(CE$46&gt;'融资租赁与资金缺口'!$F$14,CE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CE$46=EDATE('融资租赁与资金缺口'!$F$14,$A15),'融资租赁与资金缺口'!$J$14,0),0),IF(AND(CE$46&gt;'融资租赁与资金缺口'!$F$15,CE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CE$46=EDATE('融资租赁与资金缺口'!$F$15,$A15),'融资租赁与资金缺口'!$J$15,0),0),IF(AND(CE$46&gt;'融资租赁与资金缺口'!$F$16,CE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CE$46=EDATE('融资租赁与资金缺口'!$F$16,$A15),'融资租赁与资金缺口'!$J$16,0),0))</x:f>
        <x:v>0</x:v>
      </x:c>
      <x:c r="CF47" s="28" t="n">
        <x:f>SUM(IF(AND(CF$46&gt;'融资租赁与资金缺口'!$F$5,CF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CF$46=EDATE('融资租赁与资金缺口'!$F$5,$A15),'融资租赁与资金缺口'!$J$5,0),0),IF(AND(CF$46&gt;'融资租赁与资金缺口'!$F$6,CF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CF$46=EDATE('融资租赁与资金缺口'!$F$6,$A15),'融资租赁与资金缺口'!$J$6,0),0),IF(AND(CF$46&gt;'融资租赁与资金缺口'!$F$7,CF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CF$46=EDATE('融资租赁与资金缺口'!$F$7,$A15),'融资租赁与资金缺口'!$J$7,0),0),IF(AND(CF$46&gt;'融资租赁与资金缺口'!$F$8,CF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CF$46=EDATE('融资租赁与资金缺口'!$F$8,$A15),'融资租赁与资金缺口'!$J$8,0),0),IF(AND(CF$46&gt;'融资租赁与资金缺口'!$F$9,CF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CF$46=EDATE('融资租赁与资金缺口'!$F$9,$A15),'融资租赁与资金缺口'!$J$9,0),0),IF(AND(CF$46&gt;'融资租赁与资金缺口'!$F$10,CF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CF$46=EDATE('融资租赁与资金缺口'!$F$10,$A15),'融资租赁与资金缺口'!$J$10,0),0),IF(AND(CF$46&gt;'融资租赁与资金缺口'!$F$11,CF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CF$46=EDATE('融资租赁与资金缺口'!$F$11,$A15),'融资租赁与资金缺口'!$J$11,0),0),IF(AND(CF$46&gt;'融资租赁与资金缺口'!$F$12,CF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CF$46=EDATE('融资租赁与资金缺口'!$F$12,$A15),'融资租赁与资金缺口'!$J$12,0),0),IF(AND(CF$46&gt;'融资租赁与资金缺口'!$F$13,CF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CF$46=EDATE('融资租赁与资金缺口'!$F$13,$A15),'融资租赁与资金缺口'!$J$13,0),0),IF(AND(CF$46&gt;'融资租赁与资金缺口'!$F$14,CF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CF$46=EDATE('融资租赁与资金缺口'!$F$14,$A15),'融资租赁与资金缺口'!$J$14,0),0),IF(AND(CF$46&gt;'融资租赁与资金缺口'!$F$15,CF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CF$46=EDATE('融资租赁与资金缺口'!$F$15,$A15),'融资租赁与资金缺口'!$J$15,0),0),IF(AND(CF$46&gt;'融资租赁与资金缺口'!$F$16,CF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CF$46=EDATE('融资租赁与资金缺口'!$F$16,$A15),'融资租赁与资金缺口'!$J$16,0),0))</x:f>
        <x:v>0</x:v>
      </x:c>
      <x:c r="CG47" s="28" t="n">
        <x:f>SUM(IF(AND(CG$46&gt;'融资租赁与资金缺口'!$F$5,CG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CG$46=EDATE('融资租赁与资金缺口'!$F$5,$A15),'融资租赁与资金缺口'!$J$5,0),0),IF(AND(CG$46&gt;'融资租赁与资金缺口'!$F$6,CG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CG$46=EDATE('融资租赁与资金缺口'!$F$6,$A15),'融资租赁与资金缺口'!$J$6,0),0),IF(AND(CG$46&gt;'融资租赁与资金缺口'!$F$7,CG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CG$46=EDATE('融资租赁与资金缺口'!$F$7,$A15),'融资租赁与资金缺口'!$J$7,0),0),IF(AND(CG$46&gt;'融资租赁与资金缺口'!$F$8,CG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CG$46=EDATE('融资租赁与资金缺口'!$F$8,$A15),'融资租赁与资金缺口'!$J$8,0),0),IF(AND(CG$46&gt;'融资租赁与资金缺口'!$F$9,CG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CG$46=EDATE('融资租赁与资金缺口'!$F$9,$A15),'融资租赁与资金缺口'!$J$9,0),0),IF(AND(CG$46&gt;'融资租赁与资金缺口'!$F$10,CG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CG$46=EDATE('融资租赁与资金缺口'!$F$10,$A15),'融资租赁与资金缺口'!$J$10,0),0),IF(AND(CG$46&gt;'融资租赁与资金缺口'!$F$11,CG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CG$46=EDATE('融资租赁与资金缺口'!$F$11,$A15),'融资租赁与资金缺口'!$J$11,0),0),IF(AND(CG$46&gt;'融资租赁与资金缺口'!$F$12,CG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CG$46=EDATE('融资租赁与资金缺口'!$F$12,$A15),'融资租赁与资金缺口'!$J$12,0),0),IF(AND(CG$46&gt;'融资租赁与资金缺口'!$F$13,CG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CG$46=EDATE('融资租赁与资金缺口'!$F$13,$A15),'融资租赁与资金缺口'!$J$13,0),0),IF(AND(CG$46&gt;'融资租赁与资金缺口'!$F$14,CG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CG$46=EDATE('融资租赁与资金缺口'!$F$14,$A15),'融资租赁与资金缺口'!$J$14,0),0),IF(AND(CG$46&gt;'融资租赁与资金缺口'!$F$15,CG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CG$46=EDATE('融资租赁与资金缺口'!$F$15,$A15),'融资租赁与资金缺口'!$J$15,0),0),IF(AND(CG$46&gt;'融资租赁与资金缺口'!$F$16,CG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CG$46=EDATE('融资租赁与资金缺口'!$F$16,$A15),'融资租赁与资金缺口'!$J$16,0),0))</x:f>
        <x:v>0</x:v>
      </x:c>
      <x:c r="CH47" s="28" t="n">
        <x:f>SUM(IF(AND(CH$46&gt;'融资租赁与资金缺口'!$F$5,CH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CH$46=EDATE('融资租赁与资金缺口'!$F$5,$A15),'融资租赁与资金缺口'!$J$5,0),0),IF(AND(CH$46&gt;'融资租赁与资金缺口'!$F$6,CH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CH$46=EDATE('融资租赁与资金缺口'!$F$6,$A15),'融资租赁与资金缺口'!$J$6,0),0),IF(AND(CH$46&gt;'融资租赁与资金缺口'!$F$7,CH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CH$46=EDATE('融资租赁与资金缺口'!$F$7,$A15),'融资租赁与资金缺口'!$J$7,0),0),IF(AND(CH$46&gt;'融资租赁与资金缺口'!$F$8,CH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CH$46=EDATE('融资租赁与资金缺口'!$F$8,$A15),'融资租赁与资金缺口'!$J$8,0),0),IF(AND(CH$46&gt;'融资租赁与资金缺口'!$F$9,CH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CH$46=EDATE('融资租赁与资金缺口'!$F$9,$A15),'融资租赁与资金缺口'!$J$9,0),0),IF(AND(CH$46&gt;'融资租赁与资金缺口'!$F$10,CH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CH$46=EDATE('融资租赁与资金缺口'!$F$10,$A15),'融资租赁与资金缺口'!$J$10,0),0),IF(AND(CH$46&gt;'融资租赁与资金缺口'!$F$11,CH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CH$46=EDATE('融资租赁与资金缺口'!$F$11,$A15),'融资租赁与资金缺口'!$J$11,0),0),IF(AND(CH$46&gt;'融资租赁与资金缺口'!$F$12,CH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CH$46=EDATE('融资租赁与资金缺口'!$F$12,$A15),'融资租赁与资金缺口'!$J$12,0),0),IF(AND(CH$46&gt;'融资租赁与资金缺口'!$F$13,CH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CH$46=EDATE('融资租赁与资金缺口'!$F$13,$A15),'融资租赁与资金缺口'!$J$13,0),0),IF(AND(CH$46&gt;'融资租赁与资金缺口'!$F$14,CH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CH$46=EDATE('融资租赁与资金缺口'!$F$14,$A15),'融资租赁与资金缺口'!$J$14,0),0),IF(AND(CH$46&gt;'融资租赁与资金缺口'!$F$15,CH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CH$46=EDATE('融资租赁与资金缺口'!$F$15,$A15),'融资租赁与资金缺口'!$J$15,0),0),IF(AND(CH$46&gt;'融资租赁与资金缺口'!$F$16,CH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CH$46=EDATE('融资租赁与资金缺口'!$F$16,$A15),'融资租赁与资金缺口'!$J$16,0),0))</x:f>
        <x:v>0</x:v>
      </x:c>
      <x:c r="CI47" s="28" t="n">
        <x:f>SUM(IF(AND(CI$46&gt;'融资租赁与资金缺口'!$F$5,CI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CI$46=EDATE('融资租赁与资金缺口'!$F$5,$A15),'融资租赁与资金缺口'!$J$5,0),0),IF(AND(CI$46&gt;'融资租赁与资金缺口'!$F$6,CI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CI$46=EDATE('融资租赁与资金缺口'!$F$6,$A15),'融资租赁与资金缺口'!$J$6,0),0),IF(AND(CI$46&gt;'融资租赁与资金缺口'!$F$7,CI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CI$46=EDATE('融资租赁与资金缺口'!$F$7,$A15),'融资租赁与资金缺口'!$J$7,0),0),IF(AND(CI$46&gt;'融资租赁与资金缺口'!$F$8,CI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CI$46=EDATE('融资租赁与资金缺口'!$F$8,$A15),'融资租赁与资金缺口'!$J$8,0),0),IF(AND(CI$46&gt;'融资租赁与资金缺口'!$F$9,CI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CI$46=EDATE('融资租赁与资金缺口'!$F$9,$A15),'融资租赁与资金缺口'!$J$9,0),0),IF(AND(CI$46&gt;'融资租赁与资金缺口'!$F$10,CI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CI$46=EDATE('融资租赁与资金缺口'!$F$10,$A15),'融资租赁与资金缺口'!$J$10,0),0),IF(AND(CI$46&gt;'融资租赁与资金缺口'!$F$11,CI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CI$46=EDATE('融资租赁与资金缺口'!$F$11,$A15),'融资租赁与资金缺口'!$J$11,0),0),IF(AND(CI$46&gt;'融资租赁与资金缺口'!$F$12,CI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CI$46=EDATE('融资租赁与资金缺口'!$F$12,$A15),'融资租赁与资金缺口'!$J$12,0),0),IF(AND(CI$46&gt;'融资租赁与资金缺口'!$F$13,CI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CI$46=EDATE('融资租赁与资金缺口'!$F$13,$A15),'融资租赁与资金缺口'!$J$13,0),0),IF(AND(CI$46&gt;'融资租赁与资金缺口'!$F$14,CI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CI$46=EDATE('融资租赁与资金缺口'!$F$14,$A15),'融资租赁与资金缺口'!$J$14,0),0),IF(AND(CI$46&gt;'融资租赁与资金缺口'!$F$15,CI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CI$46=EDATE('融资租赁与资金缺口'!$F$15,$A15),'融资租赁与资金缺口'!$J$15,0),0),IF(AND(CI$46&gt;'融资租赁与资金缺口'!$F$16,CI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CI$46=EDATE('融资租赁与资金缺口'!$F$16,$A15),'融资租赁与资金缺口'!$J$16,0),0))</x:f>
        <x:v>0</x:v>
      </x:c>
      <x:c r="CJ47" s="28" t="n">
        <x:f>SUM(IF(AND(CJ$46&gt;'融资租赁与资金缺口'!$F$5,CJ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CJ$46=EDATE('融资租赁与资金缺口'!$F$5,$A15),'融资租赁与资金缺口'!$J$5,0),0),IF(AND(CJ$46&gt;'融资租赁与资金缺口'!$F$6,CJ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CJ$46=EDATE('融资租赁与资金缺口'!$F$6,$A15),'融资租赁与资金缺口'!$J$6,0),0),IF(AND(CJ$46&gt;'融资租赁与资金缺口'!$F$7,CJ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CJ$46=EDATE('融资租赁与资金缺口'!$F$7,$A15),'融资租赁与资金缺口'!$J$7,0),0),IF(AND(CJ$46&gt;'融资租赁与资金缺口'!$F$8,CJ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CJ$46=EDATE('融资租赁与资金缺口'!$F$8,$A15),'融资租赁与资金缺口'!$J$8,0),0),IF(AND(CJ$46&gt;'融资租赁与资金缺口'!$F$9,CJ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CJ$46=EDATE('融资租赁与资金缺口'!$F$9,$A15),'融资租赁与资金缺口'!$J$9,0),0),IF(AND(CJ$46&gt;'融资租赁与资金缺口'!$F$10,CJ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CJ$46=EDATE('融资租赁与资金缺口'!$F$10,$A15),'融资租赁与资金缺口'!$J$10,0),0),IF(AND(CJ$46&gt;'融资租赁与资金缺口'!$F$11,CJ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CJ$46=EDATE('融资租赁与资金缺口'!$F$11,$A15),'融资租赁与资金缺口'!$J$11,0),0),IF(AND(CJ$46&gt;'融资租赁与资金缺口'!$F$12,CJ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CJ$46=EDATE('融资租赁与资金缺口'!$F$12,$A15),'融资租赁与资金缺口'!$J$12,0),0),IF(AND(CJ$46&gt;'融资租赁与资金缺口'!$F$13,CJ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CJ$46=EDATE('融资租赁与资金缺口'!$F$13,$A15),'融资租赁与资金缺口'!$J$13,0),0),IF(AND(CJ$46&gt;'融资租赁与资金缺口'!$F$14,CJ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CJ$46=EDATE('融资租赁与资金缺口'!$F$14,$A15),'融资租赁与资金缺口'!$J$14,0),0),IF(AND(CJ$46&gt;'融资租赁与资金缺口'!$F$15,CJ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CJ$46=EDATE('融资租赁与资金缺口'!$F$15,$A15),'融资租赁与资金缺口'!$J$15,0),0),IF(AND(CJ$46&gt;'融资租赁与资金缺口'!$F$16,CJ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CJ$46=EDATE('融资租赁与资金缺口'!$F$16,$A15),'融资租赁与资金缺口'!$J$16,0),0))</x:f>
        <x:v>0</x:v>
      </x:c>
      <x:c r="CK47" s="28" t="n">
        <x:f>SUM(IF(AND(CK$46&gt;'融资租赁与资金缺口'!$F$5,CK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CK$46=EDATE('融资租赁与资金缺口'!$F$5,$A15),'融资租赁与资金缺口'!$J$5,0),0),IF(AND(CK$46&gt;'融资租赁与资金缺口'!$F$6,CK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CK$46=EDATE('融资租赁与资金缺口'!$F$6,$A15),'融资租赁与资金缺口'!$J$6,0),0),IF(AND(CK$46&gt;'融资租赁与资金缺口'!$F$7,CK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CK$46=EDATE('融资租赁与资金缺口'!$F$7,$A15),'融资租赁与资金缺口'!$J$7,0),0),IF(AND(CK$46&gt;'融资租赁与资金缺口'!$F$8,CK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CK$46=EDATE('融资租赁与资金缺口'!$F$8,$A15),'融资租赁与资金缺口'!$J$8,0),0),IF(AND(CK$46&gt;'融资租赁与资金缺口'!$F$9,CK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CK$46=EDATE('融资租赁与资金缺口'!$F$9,$A15),'融资租赁与资金缺口'!$J$9,0),0),IF(AND(CK$46&gt;'融资租赁与资金缺口'!$F$10,CK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CK$46=EDATE('融资租赁与资金缺口'!$F$10,$A15),'融资租赁与资金缺口'!$J$10,0),0),IF(AND(CK$46&gt;'融资租赁与资金缺口'!$F$11,CK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CK$46=EDATE('融资租赁与资金缺口'!$F$11,$A15),'融资租赁与资金缺口'!$J$11,0),0),IF(AND(CK$46&gt;'融资租赁与资金缺口'!$F$12,CK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CK$46=EDATE('融资租赁与资金缺口'!$F$12,$A15),'融资租赁与资金缺口'!$J$12,0),0),IF(AND(CK$46&gt;'融资租赁与资金缺口'!$F$13,CK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CK$46=EDATE('融资租赁与资金缺口'!$F$13,$A15),'融资租赁与资金缺口'!$J$13,0),0),IF(AND(CK$46&gt;'融资租赁与资金缺口'!$F$14,CK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CK$46=EDATE('融资租赁与资金缺口'!$F$14,$A15),'融资租赁与资金缺口'!$J$14,0),0),IF(AND(CK$46&gt;'融资租赁与资金缺口'!$F$15,CK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CK$46=EDATE('融资租赁与资金缺口'!$F$15,$A15),'融资租赁与资金缺口'!$J$15,0),0),IF(AND(CK$46&gt;'融资租赁与资金缺口'!$F$16,CK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CK$46=EDATE('融资租赁与资金缺口'!$F$16,$A15),'融资租赁与资金缺口'!$J$16,0),0))</x:f>
        <x:v>0</x:v>
      </x:c>
      <x:c r="CL47" s="28" t="n">
        <x:f>SUM(IF(AND(CL$46&gt;'融资租赁与资金缺口'!$F$5,CL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CL$46=EDATE('融资租赁与资金缺口'!$F$5,$A15),'融资租赁与资金缺口'!$J$5,0),0),IF(AND(CL$46&gt;'融资租赁与资金缺口'!$F$6,CL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CL$46=EDATE('融资租赁与资金缺口'!$F$6,$A15),'融资租赁与资金缺口'!$J$6,0),0),IF(AND(CL$46&gt;'融资租赁与资金缺口'!$F$7,CL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CL$46=EDATE('融资租赁与资金缺口'!$F$7,$A15),'融资租赁与资金缺口'!$J$7,0),0),IF(AND(CL$46&gt;'融资租赁与资金缺口'!$F$8,CL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CL$46=EDATE('融资租赁与资金缺口'!$F$8,$A15),'融资租赁与资金缺口'!$J$8,0),0),IF(AND(CL$46&gt;'融资租赁与资金缺口'!$F$9,CL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CL$46=EDATE('融资租赁与资金缺口'!$F$9,$A15),'融资租赁与资金缺口'!$J$9,0),0),IF(AND(CL$46&gt;'融资租赁与资金缺口'!$F$10,CL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CL$46=EDATE('融资租赁与资金缺口'!$F$10,$A15),'融资租赁与资金缺口'!$J$10,0),0),IF(AND(CL$46&gt;'融资租赁与资金缺口'!$F$11,CL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CL$46=EDATE('融资租赁与资金缺口'!$F$11,$A15),'融资租赁与资金缺口'!$J$11,0),0),IF(AND(CL$46&gt;'融资租赁与资金缺口'!$F$12,CL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CL$46=EDATE('融资租赁与资金缺口'!$F$12,$A15),'融资租赁与资金缺口'!$J$12,0),0),IF(AND(CL$46&gt;'融资租赁与资金缺口'!$F$13,CL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CL$46=EDATE('融资租赁与资金缺口'!$F$13,$A15),'融资租赁与资金缺口'!$J$13,0),0),IF(AND(CL$46&gt;'融资租赁与资金缺口'!$F$14,CL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CL$46=EDATE('融资租赁与资金缺口'!$F$14,$A15),'融资租赁与资金缺口'!$J$14,0),0),IF(AND(CL$46&gt;'融资租赁与资金缺口'!$F$15,CL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CL$46=EDATE('融资租赁与资金缺口'!$F$15,$A15),'融资租赁与资金缺口'!$J$15,0),0),IF(AND(CL$46&gt;'融资租赁与资金缺口'!$F$16,CL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CL$46=EDATE('融资租赁与资金缺口'!$F$16,$A15),'融资租赁与资金缺口'!$J$16,0),0))</x:f>
        <x:v>0</x:v>
      </x:c>
      <x:c r="CM47" s="28" t="n">
        <x:f>SUM(IF(AND(CM$46&gt;'融资租赁与资金缺口'!$F$5,CM$46&lt;=EDATE('融资租赁与资金缺口'!$F$5,$A15)),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+IF(CM$46=EDATE('融资租赁与资金缺口'!$F$5,$A15),'融资租赁与资金缺口'!$J$5,0),0),IF(AND(CM$46&gt;'融资租赁与资金缺口'!$F$6,CM$46&lt;=EDATE('融资租赁与资金缺口'!$F$6,$A15)),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+IF(CM$46=EDATE('融资租赁与资金缺口'!$F$6,$A15),'融资租赁与资金缺口'!$J$6,0),0),IF(AND(CM$46&gt;'融资租赁与资金缺口'!$F$7,CM$46&lt;=EDATE('融资租赁与资金缺口'!$F$7,$A15)),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+IF(CM$46=EDATE('融资租赁与资金缺口'!$F$7,$A15),'融资租赁与资金缺口'!$J$7,0),0),IF(AND(CM$46&gt;'融资租赁与资金缺口'!$F$8,CM$46&lt;=EDATE('融资租赁与资金缺口'!$F$8,$A15)),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+IF(CM$46=EDATE('融资租赁与资金缺口'!$F$8,$A15),'融资租赁与资金缺口'!$J$8,0),0),IF(AND(CM$46&gt;'融资租赁与资金缺口'!$F$9,CM$46&lt;=EDATE('融资租赁与资金缺口'!$F$9,$A15)),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+IF(CM$46=EDATE('融资租赁与资金缺口'!$F$9,$A15),'融资租赁与资金缺口'!$J$9,0),0),IF(AND(CM$46&gt;'融资租赁与资金缺口'!$F$10,CM$46&lt;=EDATE('融资租赁与资金缺口'!$F$10,$A15)),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+IF(CM$46=EDATE('融资租赁与资金缺口'!$F$10,$A15),'融资租赁与资金缺口'!$J$10,0),0),IF(AND(CM$46&gt;'融资租赁与资金缺口'!$F$11,CM$46&lt;=EDATE('融资租赁与资金缺口'!$F$11,$A15)),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+IF(CM$46=EDATE('融资租赁与资金缺口'!$F$11,$A15),'融资租赁与资金缺口'!$J$11,0),0),IF(AND(CM$46&gt;'融资租赁与资金缺口'!$F$12,CM$46&lt;=EDATE('融资租赁与资金缺口'!$F$12,$A15)),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+IF(CM$46=EDATE('融资租赁与资金缺口'!$F$12,$A15),'融资租赁与资金缺口'!$J$12,0),0),IF(AND(CM$46&gt;'融资租赁与资金缺口'!$F$13,CM$46&lt;=EDATE('融资租赁与资金缺口'!$F$13,$A15)),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+IF(CM$46=EDATE('融资租赁与资金缺口'!$F$13,$A15),'融资租赁与资金缺口'!$J$13,0),0),IF(AND(CM$46&gt;'融资租赁与资金缺口'!$F$14,CM$46&lt;=EDATE('融资租赁与资金缺口'!$F$14,$A15)),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+IF(CM$46=EDATE('融资租赁与资金缺口'!$F$14,$A15),'融资租赁与资金缺口'!$J$14,0),0),IF(AND(CM$46&gt;'融资租赁与资金缺口'!$F$15,CM$46&lt;=EDATE('融资租赁与资金缺口'!$F$15,$A15)),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+IF(CM$46=EDATE('融资租赁与资金缺口'!$F$15,$A15),'融资租赁与资金缺口'!$J$15,0),0),IF(AND(CM$46&gt;'融资租赁与资金缺口'!$F$16,CM$46&lt;=EDATE('融资租赁与资金缺口'!$F$16,$A15)),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+IF(CM$46=EDATE('融资租赁与资金缺口'!$F$16,$A15),'融资租赁与资金缺口'!$J$16,0),0))</x:f>
        <x:v>0</x:v>
      </x:c>
    </x:row>
    <x:row r="48">
      <x:c r="A48" t="str">
        <x:v>SRC-003</x:v>
      </x:c>
      <x:c r="B48" t="str">
        <x:v>Yicai New First-Tier Cities Institute: 2025 Ranking of Cities' Business Attractiveness</x:v>
      </x:c>
      <x:c r="C48" t="str"/>
      <x:c r="D48" t="str">
        <x:v>2025</x:v>
      </x:c>
      <x:c r="E48" t="str">
        <x:v>城市等级</x:v>
      </x:c>
      <x:c r="F48" s="30" t="str">
        <x:v>Yicai New First-Tier Cities Institute: 2025 Ranking of Cities' Business Attractiveness</x:v>
      </x:c>
      <x:c r="G48" s="77" t="str">
        <x:v>https://www.smg.cn/review/mobile/news/202505/0166469.html</x:v>
      </x:c>
      <x:c r="H48" s="30" t="str">
        <x:v>第一财经城市商业魅力等级与排名 | 使用位置: 核心假设/城市数据库/年度季节曲线/历史原始数据</x:v>
      </x:c>
      <x:c r="I48" s="30" t="str">
        <x:v>2026-08-16</x:v>
      </x:c>
      <x:c r="AE48" t="str">
        <x:v>期末余额</x:v>
      </x:c>
      <x:c r="AF48" s="28" t="n">
        <x:f>SUM(IF(AF$46&lt;'融资租赁与资金缺口'!$F$5,0,IF(AF$46='融资租赁与资金缺口'!$F$5,'融资租赁与资金缺口'!$E$5,IF(((YEAR(AF$46)-YEAR('融资租赁与资金缺口'!$F$5))*12+MONTH(AF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AF$46)-YEAR('融资租赁与资金缺口'!$F$5))*12+MONTH(AF$46)-MONTH('融资租赁与资金缺口'!$F$5)),'融资租赁与资金缺口'!$E$5*(1+'融资租赁与资金缺口'!$I$5)^((YEAR(AF$46)-YEAR('融资租赁与资金缺口'!$F$5))*12+MONTH(AF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AF$46)-YEAR('融资租赁与资金缺口'!$F$5))*12+MONTH(AF$46)-MONTH('融资租赁与资金缺口'!$F$5))-1)/'融资租赁与资金缺口'!$I$5))))),IF(AF$46&lt;'融资租赁与资金缺口'!$F$6,0,IF(AF$46='融资租赁与资金缺口'!$F$6,'融资租赁与资金缺口'!$E$6,IF(((YEAR(AF$46)-YEAR('融资租赁与资金缺口'!$F$6))*12+MONTH(AF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AF$46)-YEAR('融资租赁与资金缺口'!$F$6))*12+MONTH(AF$46)-MONTH('融资租赁与资金缺口'!$F$6)),'融资租赁与资金缺口'!$E$6*(1+'融资租赁与资金缺口'!$I$6)^((YEAR(AF$46)-YEAR('融资租赁与资金缺口'!$F$6))*12+MONTH(AF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AF$46)-YEAR('融资租赁与资金缺口'!$F$6))*12+MONTH(AF$46)-MONTH('融资租赁与资金缺口'!$F$6))-1)/'融资租赁与资金缺口'!$I$6))))),IF(AF$46&lt;'融资租赁与资金缺口'!$F$7,0,IF(AF$46='融资租赁与资金缺口'!$F$7,'融资租赁与资金缺口'!$E$7,IF(((YEAR(AF$46)-YEAR('融资租赁与资金缺口'!$F$7))*12+MONTH(AF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AF$46)-YEAR('融资租赁与资金缺口'!$F$7))*12+MONTH(AF$46)-MONTH('融资租赁与资金缺口'!$F$7)),'融资租赁与资金缺口'!$E$7*(1+'融资租赁与资金缺口'!$I$7)^((YEAR(AF$46)-YEAR('融资租赁与资金缺口'!$F$7))*12+MONTH(AF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AF$46)-YEAR('融资租赁与资金缺口'!$F$7))*12+MONTH(AF$46)-MONTH('融资租赁与资金缺口'!$F$7))-1)/'融资租赁与资金缺口'!$I$7))))),IF(AF$46&lt;'融资租赁与资金缺口'!$F$8,0,IF(AF$46='融资租赁与资金缺口'!$F$8,'融资租赁与资金缺口'!$E$8,IF(((YEAR(AF$46)-YEAR('融资租赁与资金缺口'!$F$8))*12+MONTH(AF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AF$46)-YEAR('融资租赁与资金缺口'!$F$8))*12+MONTH(AF$46)-MONTH('融资租赁与资金缺口'!$F$8)),'融资租赁与资金缺口'!$E$8*(1+'融资租赁与资金缺口'!$I$8)^((YEAR(AF$46)-YEAR('融资租赁与资金缺口'!$F$8))*12+MONTH(AF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AF$46)-YEAR('融资租赁与资金缺口'!$F$8))*12+MONTH(AF$46)-MONTH('融资租赁与资金缺口'!$F$8))-1)/'融资租赁与资金缺口'!$I$8))))),IF(AF$46&lt;'融资租赁与资金缺口'!$F$9,0,IF(AF$46='融资租赁与资金缺口'!$F$9,'融资租赁与资金缺口'!$E$9,IF(((YEAR(AF$46)-YEAR('融资租赁与资金缺口'!$F$9))*12+MONTH(AF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AF$46)-YEAR('融资租赁与资金缺口'!$F$9))*12+MONTH(AF$46)-MONTH('融资租赁与资金缺口'!$F$9)),'融资租赁与资金缺口'!$E$9*(1+'融资租赁与资金缺口'!$I$9)^((YEAR(AF$46)-YEAR('融资租赁与资金缺口'!$F$9))*12+MONTH(AF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AF$46)-YEAR('融资租赁与资金缺口'!$F$9))*12+MONTH(AF$46)-MONTH('融资租赁与资金缺口'!$F$9))-1)/'融资租赁与资金缺口'!$I$9))))),IF(AF$46&lt;'融资租赁与资金缺口'!$F$10,0,IF(AF$46='融资租赁与资金缺口'!$F$10,'融资租赁与资金缺口'!$E$10,IF(((YEAR(AF$46)-YEAR('融资租赁与资金缺口'!$F$10))*12+MONTH(AF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AF$46)-YEAR('融资租赁与资金缺口'!$F$10))*12+MONTH(AF$46)-MONTH('融资租赁与资金缺口'!$F$10)),'融资租赁与资金缺口'!$E$10*(1+'融资租赁与资金缺口'!$I$10)^((YEAR(AF$46)-YEAR('融资租赁与资金缺口'!$F$10))*12+MONTH(AF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AF$46)-YEAR('融资租赁与资金缺口'!$F$10))*12+MONTH(AF$46)-MONTH('融资租赁与资金缺口'!$F$10))-1)/'融资租赁与资金缺口'!$I$10))))),IF(AF$46&lt;'融资租赁与资金缺口'!$F$11,0,IF(AF$46='融资租赁与资金缺口'!$F$11,'融资租赁与资金缺口'!$E$11,IF(((YEAR(AF$46)-YEAR('融资租赁与资金缺口'!$F$11))*12+MONTH(AF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AF$46)-YEAR('融资租赁与资金缺口'!$F$11))*12+MONTH(AF$46)-MONTH('融资租赁与资金缺口'!$F$11)),'融资租赁与资金缺口'!$E$11*(1+'融资租赁与资金缺口'!$I$11)^((YEAR(AF$46)-YEAR('融资租赁与资金缺口'!$F$11))*12+MONTH(AF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AF$46)-YEAR('融资租赁与资金缺口'!$F$11))*12+MONTH(AF$46)-MONTH('融资租赁与资金缺口'!$F$11))-1)/'融资租赁与资金缺口'!$I$11))))),IF(AF$46&lt;'融资租赁与资金缺口'!$F$12,0,IF(AF$46='融资租赁与资金缺口'!$F$12,'融资租赁与资金缺口'!$E$12,IF(((YEAR(AF$46)-YEAR('融资租赁与资金缺口'!$F$12))*12+MONTH(AF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AF$46)-YEAR('融资租赁与资金缺口'!$F$12))*12+MONTH(AF$46)-MONTH('融资租赁与资金缺口'!$F$12)),'融资租赁与资金缺口'!$E$12*(1+'融资租赁与资金缺口'!$I$12)^((YEAR(AF$46)-YEAR('融资租赁与资金缺口'!$F$12))*12+MONTH(AF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AF$46)-YEAR('融资租赁与资金缺口'!$F$12))*12+MONTH(AF$46)-MONTH('融资租赁与资金缺口'!$F$12))-1)/'融资租赁与资金缺口'!$I$12))))),IF(AF$46&lt;'融资租赁与资金缺口'!$F$13,0,IF(AF$46='融资租赁与资金缺口'!$F$13,'融资租赁与资金缺口'!$E$13,IF(((YEAR(AF$46)-YEAR('融资租赁与资金缺口'!$F$13))*12+MONTH(AF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AF$46)-YEAR('融资租赁与资金缺口'!$F$13))*12+MONTH(AF$46)-MONTH('融资租赁与资金缺口'!$F$13)),'融资租赁与资金缺口'!$E$13*(1+'融资租赁与资金缺口'!$I$13)^((YEAR(AF$46)-YEAR('融资租赁与资金缺口'!$F$13))*12+MONTH(AF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AF$46)-YEAR('融资租赁与资金缺口'!$F$13))*12+MONTH(AF$46)-MONTH('融资租赁与资金缺口'!$F$13))-1)/'融资租赁与资金缺口'!$I$13))))),IF(AF$46&lt;'融资租赁与资金缺口'!$F$14,0,IF(AF$46='融资租赁与资金缺口'!$F$14,'融资租赁与资金缺口'!$E$14,IF(((YEAR(AF$46)-YEAR('融资租赁与资金缺口'!$F$14))*12+MONTH(AF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AF$46)-YEAR('融资租赁与资金缺口'!$F$14))*12+MONTH(AF$46)-MONTH('融资租赁与资金缺口'!$F$14)),'融资租赁与资金缺口'!$E$14*(1+'融资租赁与资金缺口'!$I$14)^((YEAR(AF$46)-YEAR('融资租赁与资金缺口'!$F$14))*12+MONTH(AF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AF$46)-YEAR('融资租赁与资金缺口'!$F$14))*12+MONTH(AF$46)-MONTH('融资租赁与资金缺口'!$F$14))-1)/'融资租赁与资金缺口'!$I$14))))),IF(AF$46&lt;'融资租赁与资金缺口'!$F$15,0,IF(AF$46='融资租赁与资金缺口'!$F$15,'融资租赁与资金缺口'!$E$15,IF(((YEAR(AF$46)-YEAR('融资租赁与资金缺口'!$F$15))*12+MONTH(AF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AF$46)-YEAR('融资租赁与资金缺口'!$F$15))*12+MONTH(AF$46)-MONTH('融资租赁与资金缺口'!$F$15)),'融资租赁与资金缺口'!$E$15*(1+'融资租赁与资金缺口'!$I$15)^((YEAR(AF$46)-YEAR('融资租赁与资金缺口'!$F$15))*12+MONTH(AF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AF$46)-YEAR('融资租赁与资金缺口'!$F$15))*12+MONTH(AF$46)-MONTH('融资租赁与资金缺口'!$F$15))-1)/'融资租赁与资金缺口'!$I$15))))),IF(AF$46&lt;'融资租赁与资金缺口'!$F$16,0,IF(AF$46='融资租赁与资金缺口'!$F$16,'融资租赁与资金缺口'!$E$16,IF(((YEAR(AF$46)-YEAR('融资租赁与资金缺口'!$F$16))*12+MONTH(AF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AF$46)-YEAR('融资租赁与资金缺口'!$F$16))*12+MONTH(AF$46)-MONTH('融资租赁与资金缺口'!$F$16)),'融资租赁与资金缺口'!$E$16*(1+'融资租赁与资金缺口'!$I$16)^((YEAR(AF$46)-YEAR('融资租赁与资金缺口'!$F$16))*12+MONTH(AF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AF$46)-YEAR('融资租赁与资金缺口'!$F$16))*12+MONTH(AF$46)-MONTH('融资租赁与资金缺口'!$F$16))-1)/'融资租赁与资金缺口'!$I$16))))))</x:f>
        <x:v>0</x:v>
      </x:c>
      <x:c r="AG48" s="28" t="n">
        <x:f>SUM(IF(AG$46&lt;'融资租赁与资金缺口'!$F$5,0,IF(AG$46='融资租赁与资金缺口'!$F$5,'融资租赁与资金缺口'!$E$5,IF(((YEAR(AG$46)-YEAR('融资租赁与资金缺口'!$F$5))*12+MONTH(AG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AG$46)-YEAR('融资租赁与资金缺口'!$F$5))*12+MONTH(AG$46)-MONTH('融资租赁与资金缺口'!$F$5)),'融资租赁与资金缺口'!$E$5*(1+'融资租赁与资金缺口'!$I$5)^((YEAR(AG$46)-YEAR('融资租赁与资金缺口'!$F$5))*12+MONTH(AG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AG$46)-YEAR('融资租赁与资金缺口'!$F$5))*12+MONTH(AG$46)-MONTH('融资租赁与资金缺口'!$F$5))-1)/'融资租赁与资金缺口'!$I$5))))),IF(AG$46&lt;'融资租赁与资金缺口'!$F$6,0,IF(AG$46='融资租赁与资金缺口'!$F$6,'融资租赁与资金缺口'!$E$6,IF(((YEAR(AG$46)-YEAR('融资租赁与资金缺口'!$F$6))*12+MONTH(AG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AG$46)-YEAR('融资租赁与资金缺口'!$F$6))*12+MONTH(AG$46)-MONTH('融资租赁与资金缺口'!$F$6)),'融资租赁与资金缺口'!$E$6*(1+'融资租赁与资金缺口'!$I$6)^((YEAR(AG$46)-YEAR('融资租赁与资金缺口'!$F$6))*12+MONTH(AG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AG$46)-YEAR('融资租赁与资金缺口'!$F$6))*12+MONTH(AG$46)-MONTH('融资租赁与资金缺口'!$F$6))-1)/'融资租赁与资金缺口'!$I$6))))),IF(AG$46&lt;'融资租赁与资金缺口'!$F$7,0,IF(AG$46='融资租赁与资金缺口'!$F$7,'融资租赁与资金缺口'!$E$7,IF(((YEAR(AG$46)-YEAR('融资租赁与资金缺口'!$F$7))*12+MONTH(AG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AG$46)-YEAR('融资租赁与资金缺口'!$F$7))*12+MONTH(AG$46)-MONTH('融资租赁与资金缺口'!$F$7)),'融资租赁与资金缺口'!$E$7*(1+'融资租赁与资金缺口'!$I$7)^((YEAR(AG$46)-YEAR('融资租赁与资金缺口'!$F$7))*12+MONTH(AG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AG$46)-YEAR('融资租赁与资金缺口'!$F$7))*12+MONTH(AG$46)-MONTH('融资租赁与资金缺口'!$F$7))-1)/'融资租赁与资金缺口'!$I$7))))),IF(AG$46&lt;'融资租赁与资金缺口'!$F$8,0,IF(AG$46='融资租赁与资金缺口'!$F$8,'融资租赁与资金缺口'!$E$8,IF(((YEAR(AG$46)-YEAR('融资租赁与资金缺口'!$F$8))*12+MONTH(AG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AG$46)-YEAR('融资租赁与资金缺口'!$F$8))*12+MONTH(AG$46)-MONTH('融资租赁与资金缺口'!$F$8)),'融资租赁与资金缺口'!$E$8*(1+'融资租赁与资金缺口'!$I$8)^((YEAR(AG$46)-YEAR('融资租赁与资金缺口'!$F$8))*12+MONTH(AG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AG$46)-YEAR('融资租赁与资金缺口'!$F$8))*12+MONTH(AG$46)-MONTH('融资租赁与资金缺口'!$F$8))-1)/'融资租赁与资金缺口'!$I$8))))),IF(AG$46&lt;'融资租赁与资金缺口'!$F$9,0,IF(AG$46='融资租赁与资金缺口'!$F$9,'融资租赁与资金缺口'!$E$9,IF(((YEAR(AG$46)-YEAR('融资租赁与资金缺口'!$F$9))*12+MONTH(AG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AG$46)-YEAR('融资租赁与资金缺口'!$F$9))*12+MONTH(AG$46)-MONTH('融资租赁与资金缺口'!$F$9)),'融资租赁与资金缺口'!$E$9*(1+'融资租赁与资金缺口'!$I$9)^((YEAR(AG$46)-YEAR('融资租赁与资金缺口'!$F$9))*12+MONTH(AG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AG$46)-YEAR('融资租赁与资金缺口'!$F$9))*12+MONTH(AG$46)-MONTH('融资租赁与资金缺口'!$F$9))-1)/'融资租赁与资金缺口'!$I$9))))),IF(AG$46&lt;'融资租赁与资金缺口'!$F$10,0,IF(AG$46='融资租赁与资金缺口'!$F$10,'融资租赁与资金缺口'!$E$10,IF(((YEAR(AG$46)-YEAR('融资租赁与资金缺口'!$F$10))*12+MONTH(AG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AG$46)-YEAR('融资租赁与资金缺口'!$F$10))*12+MONTH(AG$46)-MONTH('融资租赁与资金缺口'!$F$10)),'融资租赁与资金缺口'!$E$10*(1+'融资租赁与资金缺口'!$I$10)^((YEAR(AG$46)-YEAR('融资租赁与资金缺口'!$F$10))*12+MONTH(AG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AG$46)-YEAR('融资租赁与资金缺口'!$F$10))*12+MONTH(AG$46)-MONTH('融资租赁与资金缺口'!$F$10))-1)/'融资租赁与资金缺口'!$I$10))))),IF(AG$46&lt;'融资租赁与资金缺口'!$F$11,0,IF(AG$46='融资租赁与资金缺口'!$F$11,'融资租赁与资金缺口'!$E$11,IF(((YEAR(AG$46)-YEAR('融资租赁与资金缺口'!$F$11))*12+MONTH(AG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AG$46)-YEAR('融资租赁与资金缺口'!$F$11))*12+MONTH(AG$46)-MONTH('融资租赁与资金缺口'!$F$11)),'融资租赁与资金缺口'!$E$11*(1+'融资租赁与资金缺口'!$I$11)^((YEAR(AG$46)-YEAR('融资租赁与资金缺口'!$F$11))*12+MONTH(AG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AG$46)-YEAR('融资租赁与资金缺口'!$F$11))*12+MONTH(AG$46)-MONTH('融资租赁与资金缺口'!$F$11))-1)/'融资租赁与资金缺口'!$I$11))))),IF(AG$46&lt;'融资租赁与资金缺口'!$F$12,0,IF(AG$46='融资租赁与资金缺口'!$F$12,'融资租赁与资金缺口'!$E$12,IF(((YEAR(AG$46)-YEAR('融资租赁与资金缺口'!$F$12))*12+MONTH(AG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AG$46)-YEAR('融资租赁与资金缺口'!$F$12))*12+MONTH(AG$46)-MONTH('融资租赁与资金缺口'!$F$12)),'融资租赁与资金缺口'!$E$12*(1+'融资租赁与资金缺口'!$I$12)^((YEAR(AG$46)-YEAR('融资租赁与资金缺口'!$F$12))*12+MONTH(AG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AG$46)-YEAR('融资租赁与资金缺口'!$F$12))*12+MONTH(AG$46)-MONTH('融资租赁与资金缺口'!$F$12))-1)/'融资租赁与资金缺口'!$I$12))))),IF(AG$46&lt;'融资租赁与资金缺口'!$F$13,0,IF(AG$46='融资租赁与资金缺口'!$F$13,'融资租赁与资金缺口'!$E$13,IF(((YEAR(AG$46)-YEAR('融资租赁与资金缺口'!$F$13))*12+MONTH(AG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AG$46)-YEAR('融资租赁与资金缺口'!$F$13))*12+MONTH(AG$46)-MONTH('融资租赁与资金缺口'!$F$13)),'融资租赁与资金缺口'!$E$13*(1+'融资租赁与资金缺口'!$I$13)^((YEAR(AG$46)-YEAR('融资租赁与资金缺口'!$F$13))*12+MONTH(AG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AG$46)-YEAR('融资租赁与资金缺口'!$F$13))*12+MONTH(AG$46)-MONTH('融资租赁与资金缺口'!$F$13))-1)/'融资租赁与资金缺口'!$I$13))))),IF(AG$46&lt;'融资租赁与资金缺口'!$F$14,0,IF(AG$46='融资租赁与资金缺口'!$F$14,'融资租赁与资金缺口'!$E$14,IF(((YEAR(AG$46)-YEAR('融资租赁与资金缺口'!$F$14))*12+MONTH(AG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AG$46)-YEAR('融资租赁与资金缺口'!$F$14))*12+MONTH(AG$46)-MONTH('融资租赁与资金缺口'!$F$14)),'融资租赁与资金缺口'!$E$14*(1+'融资租赁与资金缺口'!$I$14)^((YEAR(AG$46)-YEAR('融资租赁与资金缺口'!$F$14))*12+MONTH(AG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AG$46)-YEAR('融资租赁与资金缺口'!$F$14))*12+MONTH(AG$46)-MONTH('融资租赁与资金缺口'!$F$14))-1)/'融资租赁与资金缺口'!$I$14))))),IF(AG$46&lt;'融资租赁与资金缺口'!$F$15,0,IF(AG$46='融资租赁与资金缺口'!$F$15,'融资租赁与资金缺口'!$E$15,IF(((YEAR(AG$46)-YEAR('融资租赁与资金缺口'!$F$15))*12+MONTH(AG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AG$46)-YEAR('融资租赁与资金缺口'!$F$15))*12+MONTH(AG$46)-MONTH('融资租赁与资金缺口'!$F$15)),'融资租赁与资金缺口'!$E$15*(1+'融资租赁与资金缺口'!$I$15)^((YEAR(AG$46)-YEAR('融资租赁与资金缺口'!$F$15))*12+MONTH(AG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AG$46)-YEAR('融资租赁与资金缺口'!$F$15))*12+MONTH(AG$46)-MONTH('融资租赁与资金缺口'!$F$15))-1)/'融资租赁与资金缺口'!$I$15))))),IF(AG$46&lt;'融资租赁与资金缺口'!$F$16,0,IF(AG$46='融资租赁与资金缺口'!$F$16,'融资租赁与资金缺口'!$E$16,IF(((YEAR(AG$46)-YEAR('融资租赁与资金缺口'!$F$16))*12+MONTH(AG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AG$46)-YEAR('融资租赁与资金缺口'!$F$16))*12+MONTH(AG$46)-MONTH('融资租赁与资金缺口'!$F$16)),'融资租赁与资金缺口'!$E$16*(1+'融资租赁与资金缺口'!$I$16)^((YEAR(AG$46)-YEAR('融资租赁与资金缺口'!$F$16))*12+MONTH(AG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AG$46)-YEAR('融资租赁与资金缺口'!$F$16))*12+MONTH(AG$46)-MONTH('融资租赁与资金缺口'!$F$16))-1)/'融资租赁与资金缺口'!$I$16))))))</x:f>
        <x:v>22992000</x:v>
      </x:c>
      <x:c r="AH48" s="28" t="n">
        <x:f>SUM(IF(AH$46&lt;'融资租赁与资金缺口'!$F$5,0,IF(AH$46='融资租赁与资金缺口'!$F$5,'融资租赁与资金缺口'!$E$5,IF(((YEAR(AH$46)-YEAR('融资租赁与资金缺口'!$F$5))*12+MONTH(AH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AH$46)-YEAR('融资租赁与资金缺口'!$F$5))*12+MONTH(AH$46)-MONTH('融资租赁与资金缺口'!$F$5)),'融资租赁与资金缺口'!$E$5*(1+'融资租赁与资金缺口'!$I$5)^((YEAR(AH$46)-YEAR('融资租赁与资金缺口'!$F$5))*12+MONTH(AH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AH$46)-YEAR('融资租赁与资金缺口'!$F$5))*12+MONTH(AH$46)-MONTH('融资租赁与资金缺口'!$F$5))-1)/'融资租赁与资金缺口'!$I$5))))),IF(AH$46&lt;'融资租赁与资金缺口'!$F$6,0,IF(AH$46='融资租赁与资金缺口'!$F$6,'融资租赁与资金缺口'!$E$6,IF(((YEAR(AH$46)-YEAR('融资租赁与资金缺口'!$F$6))*12+MONTH(AH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AH$46)-YEAR('融资租赁与资金缺口'!$F$6))*12+MONTH(AH$46)-MONTH('融资租赁与资金缺口'!$F$6)),'融资租赁与资金缺口'!$E$6*(1+'融资租赁与资金缺口'!$I$6)^((YEAR(AH$46)-YEAR('融资租赁与资金缺口'!$F$6))*12+MONTH(AH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AH$46)-YEAR('融资租赁与资金缺口'!$F$6))*12+MONTH(AH$46)-MONTH('融资租赁与资金缺口'!$F$6))-1)/'融资租赁与资金缺口'!$I$6))))),IF(AH$46&lt;'融资租赁与资金缺口'!$F$7,0,IF(AH$46='融资租赁与资金缺口'!$F$7,'融资租赁与资金缺口'!$E$7,IF(((YEAR(AH$46)-YEAR('融资租赁与资金缺口'!$F$7))*12+MONTH(AH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AH$46)-YEAR('融资租赁与资金缺口'!$F$7))*12+MONTH(AH$46)-MONTH('融资租赁与资金缺口'!$F$7)),'融资租赁与资金缺口'!$E$7*(1+'融资租赁与资金缺口'!$I$7)^((YEAR(AH$46)-YEAR('融资租赁与资金缺口'!$F$7))*12+MONTH(AH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AH$46)-YEAR('融资租赁与资金缺口'!$F$7))*12+MONTH(AH$46)-MONTH('融资租赁与资金缺口'!$F$7))-1)/'融资租赁与资金缺口'!$I$7))))),IF(AH$46&lt;'融资租赁与资金缺口'!$F$8,0,IF(AH$46='融资租赁与资金缺口'!$F$8,'融资租赁与资金缺口'!$E$8,IF(((YEAR(AH$46)-YEAR('融资租赁与资金缺口'!$F$8))*12+MONTH(AH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AH$46)-YEAR('融资租赁与资金缺口'!$F$8))*12+MONTH(AH$46)-MONTH('融资租赁与资金缺口'!$F$8)),'融资租赁与资金缺口'!$E$8*(1+'融资租赁与资金缺口'!$I$8)^((YEAR(AH$46)-YEAR('融资租赁与资金缺口'!$F$8))*12+MONTH(AH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AH$46)-YEAR('融资租赁与资金缺口'!$F$8))*12+MONTH(AH$46)-MONTH('融资租赁与资金缺口'!$F$8))-1)/'融资租赁与资金缺口'!$I$8))))),IF(AH$46&lt;'融资租赁与资金缺口'!$F$9,0,IF(AH$46='融资租赁与资金缺口'!$F$9,'融资租赁与资金缺口'!$E$9,IF(((YEAR(AH$46)-YEAR('融资租赁与资金缺口'!$F$9))*12+MONTH(AH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AH$46)-YEAR('融资租赁与资金缺口'!$F$9))*12+MONTH(AH$46)-MONTH('融资租赁与资金缺口'!$F$9)),'融资租赁与资金缺口'!$E$9*(1+'融资租赁与资金缺口'!$I$9)^((YEAR(AH$46)-YEAR('融资租赁与资金缺口'!$F$9))*12+MONTH(AH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AH$46)-YEAR('融资租赁与资金缺口'!$F$9))*12+MONTH(AH$46)-MONTH('融资租赁与资金缺口'!$F$9))-1)/'融资租赁与资金缺口'!$I$9))))),IF(AH$46&lt;'融资租赁与资金缺口'!$F$10,0,IF(AH$46='融资租赁与资金缺口'!$F$10,'融资租赁与资金缺口'!$E$10,IF(((YEAR(AH$46)-YEAR('融资租赁与资金缺口'!$F$10))*12+MONTH(AH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AH$46)-YEAR('融资租赁与资金缺口'!$F$10))*12+MONTH(AH$46)-MONTH('融资租赁与资金缺口'!$F$10)),'融资租赁与资金缺口'!$E$10*(1+'融资租赁与资金缺口'!$I$10)^((YEAR(AH$46)-YEAR('融资租赁与资金缺口'!$F$10))*12+MONTH(AH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AH$46)-YEAR('融资租赁与资金缺口'!$F$10))*12+MONTH(AH$46)-MONTH('融资租赁与资金缺口'!$F$10))-1)/'融资租赁与资金缺口'!$I$10))))),IF(AH$46&lt;'融资租赁与资金缺口'!$F$11,0,IF(AH$46='融资租赁与资金缺口'!$F$11,'融资租赁与资金缺口'!$E$11,IF(((YEAR(AH$46)-YEAR('融资租赁与资金缺口'!$F$11))*12+MONTH(AH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AH$46)-YEAR('融资租赁与资金缺口'!$F$11))*12+MONTH(AH$46)-MONTH('融资租赁与资金缺口'!$F$11)),'融资租赁与资金缺口'!$E$11*(1+'融资租赁与资金缺口'!$I$11)^((YEAR(AH$46)-YEAR('融资租赁与资金缺口'!$F$11))*12+MONTH(AH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AH$46)-YEAR('融资租赁与资金缺口'!$F$11))*12+MONTH(AH$46)-MONTH('融资租赁与资金缺口'!$F$11))-1)/'融资租赁与资金缺口'!$I$11))))),IF(AH$46&lt;'融资租赁与资金缺口'!$F$12,0,IF(AH$46='融资租赁与资金缺口'!$F$12,'融资租赁与资金缺口'!$E$12,IF(((YEAR(AH$46)-YEAR('融资租赁与资金缺口'!$F$12))*12+MONTH(AH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AH$46)-YEAR('融资租赁与资金缺口'!$F$12))*12+MONTH(AH$46)-MONTH('融资租赁与资金缺口'!$F$12)),'融资租赁与资金缺口'!$E$12*(1+'融资租赁与资金缺口'!$I$12)^((YEAR(AH$46)-YEAR('融资租赁与资金缺口'!$F$12))*12+MONTH(AH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AH$46)-YEAR('融资租赁与资金缺口'!$F$12))*12+MONTH(AH$46)-MONTH('融资租赁与资金缺口'!$F$12))-1)/'融资租赁与资金缺口'!$I$12))))),IF(AH$46&lt;'融资租赁与资金缺口'!$F$13,0,IF(AH$46='融资租赁与资金缺口'!$F$13,'融资租赁与资金缺口'!$E$13,IF(((YEAR(AH$46)-YEAR('融资租赁与资金缺口'!$F$13))*12+MONTH(AH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AH$46)-YEAR('融资租赁与资金缺口'!$F$13))*12+MONTH(AH$46)-MONTH('融资租赁与资金缺口'!$F$13)),'融资租赁与资金缺口'!$E$13*(1+'融资租赁与资金缺口'!$I$13)^((YEAR(AH$46)-YEAR('融资租赁与资金缺口'!$F$13))*12+MONTH(AH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AH$46)-YEAR('融资租赁与资金缺口'!$F$13))*12+MONTH(AH$46)-MONTH('融资租赁与资金缺口'!$F$13))-1)/'融资租赁与资金缺口'!$I$13))))),IF(AH$46&lt;'融资租赁与资金缺口'!$F$14,0,IF(AH$46='融资租赁与资金缺口'!$F$14,'融资租赁与资金缺口'!$E$14,IF(((YEAR(AH$46)-YEAR('融资租赁与资金缺口'!$F$14))*12+MONTH(AH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AH$46)-YEAR('融资租赁与资金缺口'!$F$14))*12+MONTH(AH$46)-MONTH('融资租赁与资金缺口'!$F$14)),'融资租赁与资金缺口'!$E$14*(1+'融资租赁与资金缺口'!$I$14)^((YEAR(AH$46)-YEAR('融资租赁与资金缺口'!$F$14))*12+MONTH(AH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AH$46)-YEAR('融资租赁与资金缺口'!$F$14))*12+MONTH(AH$46)-MONTH('融资租赁与资金缺口'!$F$14))-1)/'融资租赁与资金缺口'!$I$14))))),IF(AH$46&lt;'融资租赁与资金缺口'!$F$15,0,IF(AH$46='融资租赁与资金缺口'!$F$15,'融资租赁与资金缺口'!$E$15,IF(((YEAR(AH$46)-YEAR('融资租赁与资金缺口'!$F$15))*12+MONTH(AH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AH$46)-YEAR('融资租赁与资金缺口'!$F$15))*12+MONTH(AH$46)-MONTH('融资租赁与资金缺口'!$F$15)),'融资租赁与资金缺口'!$E$15*(1+'融资租赁与资金缺口'!$I$15)^((YEAR(AH$46)-YEAR('融资租赁与资金缺口'!$F$15))*12+MONTH(AH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AH$46)-YEAR('融资租赁与资金缺口'!$F$15))*12+MONTH(AH$46)-MONTH('融资租赁与资金缺口'!$F$15))-1)/'融资租赁与资金缺口'!$I$15))))),IF(AH$46&lt;'融资租赁与资金缺口'!$F$16,0,IF(AH$46='融资租赁与资金缺口'!$F$16,'融资租赁与资金缺口'!$E$16,IF(((YEAR(AH$46)-YEAR('融资租赁与资金缺口'!$F$16))*12+MONTH(AH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AH$46)-YEAR('融资租赁与资金缺口'!$F$16))*12+MONTH(AH$46)-MONTH('融资租赁与资金缺口'!$F$16)),'融资租赁与资金缺口'!$E$16*(1+'融资租赁与资金缺口'!$I$16)^((YEAR(AH$46)-YEAR('融资租赁与资金缺口'!$F$16))*12+MONTH(AH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AH$46)-YEAR('融资租赁与资金缺口'!$F$16))*12+MONTH(AH$46)-MONTH('融资租赁与资金缺口'!$F$16))-1)/'融资租赁与资金缺口'!$I$16))))))</x:f>
        <x:v>49364590.992336765</x:v>
      </x:c>
      <x:c r="AI48" s="28" t="n">
        <x:f>SUM(IF(AI$46&lt;'融资租赁与资金缺口'!$F$5,0,IF(AI$46='融资租赁与资金缺口'!$F$5,'融资租赁与资金缺口'!$E$5,IF(((YEAR(AI$46)-YEAR('融资租赁与资金缺口'!$F$5))*12+MONTH(AI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AI$46)-YEAR('融资租赁与资金缺口'!$F$5))*12+MONTH(AI$46)-MONTH('融资租赁与资金缺口'!$F$5)),'融资租赁与资金缺口'!$E$5*(1+'融资租赁与资金缺口'!$I$5)^((YEAR(AI$46)-YEAR('融资租赁与资金缺口'!$F$5))*12+MONTH(AI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AI$46)-YEAR('融资租赁与资金缺口'!$F$5))*12+MONTH(AI$46)-MONTH('融资租赁与资金缺口'!$F$5))-1)/'融资租赁与资金缺口'!$I$5))))),IF(AI$46&lt;'融资租赁与资金缺口'!$F$6,0,IF(AI$46='融资租赁与资金缺口'!$F$6,'融资租赁与资金缺口'!$E$6,IF(((YEAR(AI$46)-YEAR('融资租赁与资金缺口'!$F$6))*12+MONTH(AI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AI$46)-YEAR('融资租赁与资金缺口'!$F$6))*12+MONTH(AI$46)-MONTH('融资租赁与资金缺口'!$F$6)),'融资租赁与资金缺口'!$E$6*(1+'融资租赁与资金缺口'!$I$6)^((YEAR(AI$46)-YEAR('融资租赁与资金缺口'!$F$6))*12+MONTH(AI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AI$46)-YEAR('融资租赁与资金缺口'!$F$6))*12+MONTH(AI$46)-MONTH('融资租赁与资金缺口'!$F$6))-1)/'融资租赁与资金缺口'!$I$6))))),IF(AI$46&lt;'融资租赁与资金缺口'!$F$7,0,IF(AI$46='融资租赁与资金缺口'!$F$7,'融资租赁与资金缺口'!$E$7,IF(((YEAR(AI$46)-YEAR('融资租赁与资金缺口'!$F$7))*12+MONTH(AI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AI$46)-YEAR('融资租赁与资金缺口'!$F$7))*12+MONTH(AI$46)-MONTH('融资租赁与资金缺口'!$F$7)),'融资租赁与资金缺口'!$E$7*(1+'融资租赁与资金缺口'!$I$7)^((YEAR(AI$46)-YEAR('融资租赁与资金缺口'!$F$7))*12+MONTH(AI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AI$46)-YEAR('融资租赁与资金缺口'!$F$7))*12+MONTH(AI$46)-MONTH('融资租赁与资金缺口'!$F$7))-1)/'融资租赁与资金缺口'!$I$7))))),IF(AI$46&lt;'融资租赁与资金缺口'!$F$8,0,IF(AI$46='融资租赁与资金缺口'!$F$8,'融资租赁与资金缺口'!$E$8,IF(((YEAR(AI$46)-YEAR('融资租赁与资金缺口'!$F$8))*12+MONTH(AI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AI$46)-YEAR('融资租赁与资金缺口'!$F$8))*12+MONTH(AI$46)-MONTH('融资租赁与资金缺口'!$F$8)),'融资租赁与资金缺口'!$E$8*(1+'融资租赁与资金缺口'!$I$8)^((YEAR(AI$46)-YEAR('融资租赁与资金缺口'!$F$8))*12+MONTH(AI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AI$46)-YEAR('融资租赁与资金缺口'!$F$8))*12+MONTH(AI$46)-MONTH('融资租赁与资金缺口'!$F$8))-1)/'融资租赁与资金缺口'!$I$8))))),IF(AI$46&lt;'融资租赁与资金缺口'!$F$9,0,IF(AI$46='融资租赁与资金缺口'!$F$9,'融资租赁与资金缺口'!$E$9,IF(((YEAR(AI$46)-YEAR('融资租赁与资金缺口'!$F$9))*12+MONTH(AI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AI$46)-YEAR('融资租赁与资金缺口'!$F$9))*12+MONTH(AI$46)-MONTH('融资租赁与资金缺口'!$F$9)),'融资租赁与资金缺口'!$E$9*(1+'融资租赁与资金缺口'!$I$9)^((YEAR(AI$46)-YEAR('融资租赁与资金缺口'!$F$9))*12+MONTH(AI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AI$46)-YEAR('融资租赁与资金缺口'!$F$9))*12+MONTH(AI$46)-MONTH('融资租赁与资金缺口'!$F$9))-1)/'融资租赁与资金缺口'!$I$9))))),IF(AI$46&lt;'融资租赁与资金缺口'!$F$10,0,IF(AI$46='融资租赁与资金缺口'!$F$10,'融资租赁与资金缺口'!$E$10,IF(((YEAR(AI$46)-YEAR('融资租赁与资金缺口'!$F$10))*12+MONTH(AI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AI$46)-YEAR('融资租赁与资金缺口'!$F$10))*12+MONTH(AI$46)-MONTH('融资租赁与资金缺口'!$F$10)),'融资租赁与资金缺口'!$E$10*(1+'融资租赁与资金缺口'!$I$10)^((YEAR(AI$46)-YEAR('融资租赁与资金缺口'!$F$10))*12+MONTH(AI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AI$46)-YEAR('融资租赁与资金缺口'!$F$10))*12+MONTH(AI$46)-MONTH('融资租赁与资金缺口'!$F$10))-1)/'融资租赁与资金缺口'!$I$10))))),IF(AI$46&lt;'融资租赁与资金缺口'!$F$11,0,IF(AI$46='融资租赁与资金缺口'!$F$11,'融资租赁与资金缺口'!$E$11,IF(((YEAR(AI$46)-YEAR('融资租赁与资金缺口'!$F$11))*12+MONTH(AI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AI$46)-YEAR('融资租赁与资金缺口'!$F$11))*12+MONTH(AI$46)-MONTH('融资租赁与资金缺口'!$F$11)),'融资租赁与资金缺口'!$E$11*(1+'融资租赁与资金缺口'!$I$11)^((YEAR(AI$46)-YEAR('融资租赁与资金缺口'!$F$11))*12+MONTH(AI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AI$46)-YEAR('融资租赁与资金缺口'!$F$11))*12+MONTH(AI$46)-MONTH('融资租赁与资金缺口'!$F$11))-1)/'融资租赁与资金缺口'!$I$11))))),IF(AI$46&lt;'融资租赁与资金缺口'!$F$12,0,IF(AI$46='融资租赁与资金缺口'!$F$12,'融资租赁与资金缺口'!$E$12,IF(((YEAR(AI$46)-YEAR('融资租赁与资金缺口'!$F$12))*12+MONTH(AI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AI$46)-YEAR('融资租赁与资金缺口'!$F$12))*12+MONTH(AI$46)-MONTH('融资租赁与资金缺口'!$F$12)),'融资租赁与资金缺口'!$E$12*(1+'融资租赁与资金缺口'!$I$12)^((YEAR(AI$46)-YEAR('融资租赁与资金缺口'!$F$12))*12+MONTH(AI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AI$46)-YEAR('融资租赁与资金缺口'!$F$12))*12+MONTH(AI$46)-MONTH('融资租赁与资金缺口'!$F$12))-1)/'融资租赁与资金缺口'!$I$12))))),IF(AI$46&lt;'融资租赁与资金缺口'!$F$13,0,IF(AI$46='融资租赁与资金缺口'!$F$13,'融资租赁与资金缺口'!$E$13,IF(((YEAR(AI$46)-YEAR('融资租赁与资金缺口'!$F$13))*12+MONTH(AI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AI$46)-YEAR('融资租赁与资金缺口'!$F$13))*12+MONTH(AI$46)-MONTH('融资租赁与资金缺口'!$F$13)),'融资租赁与资金缺口'!$E$13*(1+'融资租赁与资金缺口'!$I$13)^((YEAR(AI$46)-YEAR('融资租赁与资金缺口'!$F$13))*12+MONTH(AI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AI$46)-YEAR('融资租赁与资金缺口'!$F$13))*12+MONTH(AI$46)-MONTH('融资租赁与资金缺口'!$F$13))-1)/'融资租赁与资金缺口'!$I$13))))),IF(AI$46&lt;'融资租赁与资金缺口'!$F$14,0,IF(AI$46='融资租赁与资金缺口'!$F$14,'融资租赁与资金缺口'!$E$14,IF(((YEAR(AI$46)-YEAR('融资租赁与资金缺口'!$F$14))*12+MONTH(AI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AI$46)-YEAR('融资租赁与资金缺口'!$F$14))*12+MONTH(AI$46)-MONTH('融资租赁与资金缺口'!$F$14)),'融资租赁与资金缺口'!$E$14*(1+'融资租赁与资金缺口'!$I$14)^((YEAR(AI$46)-YEAR('融资租赁与资金缺口'!$F$14))*12+MONTH(AI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AI$46)-YEAR('融资租赁与资金缺口'!$F$14))*12+MONTH(AI$46)-MONTH('融资租赁与资金缺口'!$F$14))-1)/'融资租赁与资金缺口'!$I$14))))),IF(AI$46&lt;'融资租赁与资金缺口'!$F$15,0,IF(AI$46='融资租赁与资金缺口'!$F$15,'融资租赁与资金缺口'!$E$15,IF(((YEAR(AI$46)-YEAR('融资租赁与资金缺口'!$F$15))*12+MONTH(AI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AI$46)-YEAR('融资租赁与资金缺口'!$F$15))*12+MONTH(AI$46)-MONTH('融资租赁与资金缺口'!$F$15)),'融资租赁与资金缺口'!$E$15*(1+'融资租赁与资金缺口'!$I$15)^((YEAR(AI$46)-YEAR('融资租赁与资金缺口'!$F$15))*12+MONTH(AI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AI$46)-YEAR('融资租赁与资金缺口'!$F$15))*12+MONTH(AI$46)-MONTH('融资租赁与资金缺口'!$F$15))-1)/'融资租赁与资金缺口'!$I$15))))),IF(AI$46&lt;'融资租赁与资金缺口'!$F$16,0,IF(AI$46='融资租赁与资金缺口'!$F$16,'融资租赁与资金缺口'!$E$16,IF(((YEAR(AI$46)-YEAR('融资租赁与资金缺口'!$F$16))*12+MONTH(AI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AI$46)-YEAR('融资租赁与资金缺口'!$F$16))*12+MONTH(AI$46)-MONTH('融资租赁与资金缺口'!$F$16)),'融资租赁与资金缺口'!$E$16*(1+'融资租赁与资金缺口'!$I$16)^((YEAR(AI$46)-YEAR('融资租赁与资金缺口'!$F$16))*12+MONTH(AI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AI$46)-YEAR('融资租赁与资金缺口'!$F$16))*12+MONTH(AI$46)-MONTH('融资租赁与资金缺口'!$F$16))-1)/'融资租赁与资金缺口'!$I$16))))))</x:f>
        <x:v>78833144.05291693</x:v>
      </x:c>
      <x:c r="AJ48" s="28" t="n">
        <x:f>SUM(IF(AJ$46&lt;'融资租赁与资金缺口'!$F$5,0,IF(AJ$46='融资租赁与资金缺口'!$F$5,'融资租赁与资金缺口'!$E$5,IF(((YEAR(AJ$46)-YEAR('融资租赁与资金缺口'!$F$5))*12+MONTH(AJ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AJ$46)-YEAR('融资租赁与资金缺口'!$F$5))*12+MONTH(AJ$46)-MONTH('融资租赁与资金缺口'!$F$5)),'融资租赁与资金缺口'!$E$5*(1+'融资租赁与资金缺口'!$I$5)^((YEAR(AJ$46)-YEAR('融资租赁与资金缺口'!$F$5))*12+MONTH(AJ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AJ$46)-YEAR('融资租赁与资金缺口'!$F$5))*12+MONTH(AJ$46)-MONTH('融资租赁与资金缺口'!$F$5))-1)/'融资租赁与资金缺口'!$I$5))))),IF(AJ$46&lt;'融资租赁与资金缺口'!$F$6,0,IF(AJ$46='融资租赁与资金缺口'!$F$6,'融资租赁与资金缺口'!$E$6,IF(((YEAR(AJ$46)-YEAR('融资租赁与资金缺口'!$F$6))*12+MONTH(AJ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AJ$46)-YEAR('融资租赁与资金缺口'!$F$6))*12+MONTH(AJ$46)-MONTH('融资租赁与资金缺口'!$F$6)),'融资租赁与资金缺口'!$E$6*(1+'融资租赁与资金缺口'!$I$6)^((YEAR(AJ$46)-YEAR('融资租赁与资金缺口'!$F$6))*12+MONTH(AJ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AJ$46)-YEAR('融资租赁与资金缺口'!$F$6))*12+MONTH(AJ$46)-MONTH('融资租赁与资金缺口'!$F$6))-1)/'融资租赁与资金缺口'!$I$6))))),IF(AJ$46&lt;'融资租赁与资金缺口'!$F$7,0,IF(AJ$46='融资租赁与资金缺口'!$F$7,'融资租赁与资金缺口'!$E$7,IF(((YEAR(AJ$46)-YEAR('融资租赁与资金缺口'!$F$7))*12+MONTH(AJ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AJ$46)-YEAR('融资租赁与资金缺口'!$F$7))*12+MONTH(AJ$46)-MONTH('融资租赁与资金缺口'!$F$7)),'融资租赁与资金缺口'!$E$7*(1+'融资租赁与资金缺口'!$I$7)^((YEAR(AJ$46)-YEAR('融资租赁与资金缺口'!$F$7))*12+MONTH(AJ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AJ$46)-YEAR('融资租赁与资金缺口'!$F$7))*12+MONTH(AJ$46)-MONTH('融资租赁与资金缺口'!$F$7))-1)/'融资租赁与资金缺口'!$I$7))))),IF(AJ$46&lt;'融资租赁与资金缺口'!$F$8,0,IF(AJ$46='融资租赁与资金缺口'!$F$8,'融资租赁与资金缺口'!$E$8,IF(((YEAR(AJ$46)-YEAR('融资租赁与资金缺口'!$F$8))*12+MONTH(AJ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AJ$46)-YEAR('融资租赁与资金缺口'!$F$8))*12+MONTH(AJ$46)-MONTH('融资租赁与资金缺口'!$F$8)),'融资租赁与资金缺口'!$E$8*(1+'融资租赁与资金缺口'!$I$8)^((YEAR(AJ$46)-YEAR('融资租赁与资金缺口'!$F$8))*12+MONTH(AJ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AJ$46)-YEAR('融资租赁与资金缺口'!$F$8))*12+MONTH(AJ$46)-MONTH('融资租赁与资金缺口'!$F$8))-1)/'融资租赁与资金缺口'!$I$8))))),IF(AJ$46&lt;'融资租赁与资金缺口'!$F$9,0,IF(AJ$46='融资租赁与资金缺口'!$F$9,'融资租赁与资金缺口'!$E$9,IF(((YEAR(AJ$46)-YEAR('融资租赁与资金缺口'!$F$9))*12+MONTH(AJ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AJ$46)-YEAR('融资租赁与资金缺口'!$F$9))*12+MONTH(AJ$46)-MONTH('融资租赁与资金缺口'!$F$9)),'融资租赁与资金缺口'!$E$9*(1+'融资租赁与资金缺口'!$I$9)^((YEAR(AJ$46)-YEAR('融资租赁与资金缺口'!$F$9))*12+MONTH(AJ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AJ$46)-YEAR('融资租赁与资金缺口'!$F$9))*12+MONTH(AJ$46)-MONTH('融资租赁与资金缺口'!$F$9))-1)/'融资租赁与资金缺口'!$I$9))))),IF(AJ$46&lt;'融资租赁与资金缺口'!$F$10,0,IF(AJ$46='融资租赁与资金缺口'!$F$10,'融资租赁与资金缺口'!$E$10,IF(((YEAR(AJ$46)-YEAR('融资租赁与资金缺口'!$F$10))*12+MONTH(AJ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AJ$46)-YEAR('融资租赁与资金缺口'!$F$10))*12+MONTH(AJ$46)-MONTH('融资租赁与资金缺口'!$F$10)),'融资租赁与资金缺口'!$E$10*(1+'融资租赁与资金缺口'!$I$10)^((YEAR(AJ$46)-YEAR('融资租赁与资金缺口'!$F$10))*12+MONTH(AJ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AJ$46)-YEAR('融资租赁与资金缺口'!$F$10))*12+MONTH(AJ$46)-MONTH('融资租赁与资金缺口'!$F$10))-1)/'融资租赁与资金缺口'!$I$10))))),IF(AJ$46&lt;'融资租赁与资金缺口'!$F$11,0,IF(AJ$46='融资租赁与资金缺口'!$F$11,'融资租赁与资金缺口'!$E$11,IF(((YEAR(AJ$46)-YEAR('融资租赁与资金缺口'!$F$11))*12+MONTH(AJ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AJ$46)-YEAR('融资租赁与资金缺口'!$F$11))*12+MONTH(AJ$46)-MONTH('融资租赁与资金缺口'!$F$11)),'融资租赁与资金缺口'!$E$11*(1+'融资租赁与资金缺口'!$I$11)^((YEAR(AJ$46)-YEAR('融资租赁与资金缺口'!$F$11))*12+MONTH(AJ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AJ$46)-YEAR('融资租赁与资金缺口'!$F$11))*12+MONTH(AJ$46)-MONTH('融资租赁与资金缺口'!$F$11))-1)/'融资租赁与资金缺口'!$I$11))))),IF(AJ$46&lt;'融资租赁与资金缺口'!$F$12,0,IF(AJ$46='融资租赁与资金缺口'!$F$12,'融资租赁与资金缺口'!$E$12,IF(((YEAR(AJ$46)-YEAR('融资租赁与资金缺口'!$F$12))*12+MONTH(AJ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AJ$46)-YEAR('融资租赁与资金缺口'!$F$12))*12+MONTH(AJ$46)-MONTH('融资租赁与资金缺口'!$F$12)),'融资租赁与资金缺口'!$E$12*(1+'融资租赁与资金缺口'!$I$12)^((YEAR(AJ$46)-YEAR('融资租赁与资金缺口'!$F$12))*12+MONTH(AJ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AJ$46)-YEAR('融资租赁与资金缺口'!$F$12))*12+MONTH(AJ$46)-MONTH('融资租赁与资金缺口'!$F$12))-1)/'融资租赁与资金缺口'!$I$12))))),IF(AJ$46&lt;'融资租赁与资金缺口'!$F$13,0,IF(AJ$46='融资租赁与资金缺口'!$F$13,'融资租赁与资金缺口'!$E$13,IF(((YEAR(AJ$46)-YEAR('融资租赁与资金缺口'!$F$13))*12+MONTH(AJ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AJ$46)-YEAR('融资租赁与资金缺口'!$F$13))*12+MONTH(AJ$46)-MONTH('融资租赁与资金缺口'!$F$13)),'融资租赁与资金缺口'!$E$13*(1+'融资租赁与资金缺口'!$I$13)^((YEAR(AJ$46)-YEAR('融资租赁与资金缺口'!$F$13))*12+MONTH(AJ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AJ$46)-YEAR('融资租赁与资金缺口'!$F$13))*12+MONTH(AJ$46)-MONTH('融资租赁与资金缺口'!$F$13))-1)/'融资租赁与资金缺口'!$I$13))))),IF(AJ$46&lt;'融资租赁与资金缺口'!$F$14,0,IF(AJ$46='融资租赁与资金缺口'!$F$14,'融资租赁与资金缺口'!$E$14,IF(((YEAR(AJ$46)-YEAR('融资租赁与资金缺口'!$F$14))*12+MONTH(AJ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AJ$46)-YEAR('融资租赁与资金缺口'!$F$14))*12+MONTH(AJ$46)-MONTH('融资租赁与资金缺口'!$F$14)),'融资租赁与资金缺口'!$E$14*(1+'融资租赁与资金缺口'!$I$14)^((YEAR(AJ$46)-YEAR('融资租赁与资金缺口'!$F$14))*12+MONTH(AJ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AJ$46)-YEAR('融资租赁与资金缺口'!$F$14))*12+MONTH(AJ$46)-MONTH('融资租赁与资金缺口'!$F$14))-1)/'融资租赁与资金缺口'!$I$14))))),IF(AJ$46&lt;'融资租赁与资金缺口'!$F$15,0,IF(AJ$46='融资租赁与资金缺口'!$F$15,'融资租赁与资金缺口'!$E$15,IF(((YEAR(AJ$46)-YEAR('融资租赁与资金缺口'!$F$15))*12+MONTH(AJ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AJ$46)-YEAR('融资租赁与资金缺口'!$F$15))*12+MONTH(AJ$46)-MONTH('融资租赁与资金缺口'!$F$15)),'融资租赁与资金缺口'!$E$15*(1+'融资租赁与资金缺口'!$I$15)^((YEAR(AJ$46)-YEAR('融资租赁与资金缺口'!$F$15))*12+MONTH(AJ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AJ$46)-YEAR('融资租赁与资金缺口'!$F$15))*12+MONTH(AJ$46)-MONTH('融资租赁与资金缺口'!$F$15))-1)/'融资租赁与资金缺口'!$I$15))))),IF(AJ$46&lt;'融资租赁与资金缺口'!$F$16,0,IF(AJ$46='融资租赁与资金缺口'!$F$16,'融资租赁与资金缺口'!$E$16,IF(((YEAR(AJ$46)-YEAR('融资租赁与资金缺口'!$F$16))*12+MONTH(AJ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AJ$46)-YEAR('融资租赁与资金缺口'!$F$16))*12+MONTH(AJ$46)-MONTH('融资租赁与资金缺口'!$F$16)),'融资租赁与资金缺口'!$E$16*(1+'融资租赁与资金缺口'!$I$16)^((YEAR(AJ$46)-YEAR('融资租赁与资金缺口'!$F$16))*12+MONTH(AJ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AJ$46)-YEAR('融资租赁与资金缺口'!$F$16))*12+MONTH(AJ$46)-MONTH('融资租赁与资金缺口'!$F$16))-1)/'融资租赁与资金缺口'!$I$16))))))</x:f>
        <x:v>111191418.73841502</x:v>
      </x:c>
      <x:c r="AK48" s="28" t="n">
        <x:f>SUM(IF(AK$46&lt;'融资租赁与资金缺口'!$F$5,0,IF(AK$46='融资租赁与资金缺口'!$F$5,'融资租赁与资金缺口'!$E$5,IF(((YEAR(AK$46)-YEAR('融资租赁与资金缺口'!$F$5))*12+MONTH(AK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AK$46)-YEAR('融资租赁与资金缺口'!$F$5))*12+MONTH(AK$46)-MONTH('融资租赁与资金缺口'!$F$5)),'融资租赁与资金缺口'!$E$5*(1+'融资租赁与资金缺口'!$I$5)^((YEAR(AK$46)-YEAR('融资租赁与资金缺口'!$F$5))*12+MONTH(AK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AK$46)-YEAR('融资租赁与资金缺口'!$F$5))*12+MONTH(AK$46)-MONTH('融资租赁与资金缺口'!$F$5))-1)/'融资租赁与资金缺口'!$I$5))))),IF(AK$46&lt;'融资租赁与资金缺口'!$F$6,0,IF(AK$46='融资租赁与资金缺口'!$F$6,'融资租赁与资金缺口'!$E$6,IF(((YEAR(AK$46)-YEAR('融资租赁与资金缺口'!$F$6))*12+MONTH(AK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AK$46)-YEAR('融资租赁与资金缺口'!$F$6))*12+MONTH(AK$46)-MONTH('融资租赁与资金缺口'!$F$6)),'融资租赁与资金缺口'!$E$6*(1+'融资租赁与资金缺口'!$I$6)^((YEAR(AK$46)-YEAR('融资租赁与资金缺口'!$F$6))*12+MONTH(AK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AK$46)-YEAR('融资租赁与资金缺口'!$F$6))*12+MONTH(AK$46)-MONTH('融资租赁与资金缺口'!$F$6))-1)/'融资租赁与资金缺口'!$I$6))))),IF(AK$46&lt;'融资租赁与资金缺口'!$F$7,0,IF(AK$46='融资租赁与资金缺口'!$F$7,'融资租赁与资金缺口'!$E$7,IF(((YEAR(AK$46)-YEAR('融资租赁与资金缺口'!$F$7))*12+MONTH(AK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AK$46)-YEAR('融资租赁与资金缺口'!$F$7))*12+MONTH(AK$46)-MONTH('融资租赁与资金缺口'!$F$7)),'融资租赁与资金缺口'!$E$7*(1+'融资租赁与资金缺口'!$I$7)^((YEAR(AK$46)-YEAR('融资租赁与资金缺口'!$F$7))*12+MONTH(AK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AK$46)-YEAR('融资租赁与资金缺口'!$F$7))*12+MONTH(AK$46)-MONTH('融资租赁与资金缺口'!$F$7))-1)/'融资租赁与资金缺口'!$I$7))))),IF(AK$46&lt;'融资租赁与资金缺口'!$F$8,0,IF(AK$46='融资租赁与资金缺口'!$F$8,'融资租赁与资金缺口'!$E$8,IF(((YEAR(AK$46)-YEAR('融资租赁与资金缺口'!$F$8))*12+MONTH(AK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AK$46)-YEAR('融资租赁与资金缺口'!$F$8))*12+MONTH(AK$46)-MONTH('融资租赁与资金缺口'!$F$8)),'融资租赁与资金缺口'!$E$8*(1+'融资租赁与资金缺口'!$I$8)^((YEAR(AK$46)-YEAR('融资租赁与资金缺口'!$F$8))*12+MONTH(AK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AK$46)-YEAR('融资租赁与资金缺口'!$F$8))*12+MONTH(AK$46)-MONTH('融资租赁与资金缺口'!$F$8))-1)/'融资租赁与资金缺口'!$I$8))))),IF(AK$46&lt;'融资租赁与资金缺口'!$F$9,0,IF(AK$46='融资租赁与资金缺口'!$F$9,'融资租赁与资金缺口'!$E$9,IF(((YEAR(AK$46)-YEAR('融资租赁与资金缺口'!$F$9))*12+MONTH(AK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AK$46)-YEAR('融资租赁与资金缺口'!$F$9))*12+MONTH(AK$46)-MONTH('融资租赁与资金缺口'!$F$9)),'融资租赁与资金缺口'!$E$9*(1+'融资租赁与资金缺口'!$I$9)^((YEAR(AK$46)-YEAR('融资租赁与资金缺口'!$F$9))*12+MONTH(AK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AK$46)-YEAR('融资租赁与资金缺口'!$F$9))*12+MONTH(AK$46)-MONTH('融资租赁与资金缺口'!$F$9))-1)/'融资租赁与资金缺口'!$I$9))))),IF(AK$46&lt;'融资租赁与资金缺口'!$F$10,0,IF(AK$46='融资租赁与资金缺口'!$F$10,'融资租赁与资金缺口'!$E$10,IF(((YEAR(AK$46)-YEAR('融资租赁与资金缺口'!$F$10))*12+MONTH(AK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AK$46)-YEAR('融资租赁与资金缺口'!$F$10))*12+MONTH(AK$46)-MONTH('融资租赁与资金缺口'!$F$10)),'融资租赁与资金缺口'!$E$10*(1+'融资租赁与资金缺口'!$I$10)^((YEAR(AK$46)-YEAR('融资租赁与资金缺口'!$F$10))*12+MONTH(AK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AK$46)-YEAR('融资租赁与资金缺口'!$F$10))*12+MONTH(AK$46)-MONTH('融资租赁与资金缺口'!$F$10))-1)/'融资租赁与资金缺口'!$I$10))))),IF(AK$46&lt;'融资租赁与资金缺口'!$F$11,0,IF(AK$46='融资租赁与资金缺口'!$F$11,'融资租赁与资金缺口'!$E$11,IF(((YEAR(AK$46)-YEAR('融资租赁与资金缺口'!$F$11))*12+MONTH(AK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AK$46)-YEAR('融资租赁与资金缺口'!$F$11))*12+MONTH(AK$46)-MONTH('融资租赁与资金缺口'!$F$11)),'融资租赁与资金缺口'!$E$11*(1+'融资租赁与资金缺口'!$I$11)^((YEAR(AK$46)-YEAR('融资租赁与资金缺口'!$F$11))*12+MONTH(AK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AK$46)-YEAR('融资租赁与资金缺口'!$F$11))*12+MONTH(AK$46)-MONTH('融资租赁与资金缺口'!$F$11))-1)/'融资租赁与资金缺口'!$I$11))))),IF(AK$46&lt;'融资租赁与资金缺口'!$F$12,0,IF(AK$46='融资租赁与资金缺口'!$F$12,'融资租赁与资金缺口'!$E$12,IF(((YEAR(AK$46)-YEAR('融资租赁与资金缺口'!$F$12))*12+MONTH(AK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AK$46)-YEAR('融资租赁与资金缺口'!$F$12))*12+MONTH(AK$46)-MONTH('融资租赁与资金缺口'!$F$12)),'融资租赁与资金缺口'!$E$12*(1+'融资租赁与资金缺口'!$I$12)^((YEAR(AK$46)-YEAR('融资租赁与资金缺口'!$F$12))*12+MONTH(AK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AK$46)-YEAR('融资租赁与资金缺口'!$F$12))*12+MONTH(AK$46)-MONTH('融资租赁与资金缺口'!$F$12))-1)/'融资租赁与资金缺口'!$I$12))))),IF(AK$46&lt;'融资租赁与资金缺口'!$F$13,0,IF(AK$46='融资租赁与资金缺口'!$F$13,'融资租赁与资金缺口'!$E$13,IF(((YEAR(AK$46)-YEAR('融资租赁与资金缺口'!$F$13))*12+MONTH(AK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AK$46)-YEAR('融资租赁与资金缺口'!$F$13))*12+MONTH(AK$46)-MONTH('融资租赁与资金缺口'!$F$13)),'融资租赁与资金缺口'!$E$13*(1+'融资租赁与资金缺口'!$I$13)^((YEAR(AK$46)-YEAR('融资租赁与资金缺口'!$F$13))*12+MONTH(AK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AK$46)-YEAR('融资租赁与资金缺口'!$F$13))*12+MONTH(AK$46)-MONTH('融资租赁与资金缺口'!$F$13))-1)/'融资租赁与资金缺口'!$I$13))))),IF(AK$46&lt;'融资租赁与资金缺口'!$F$14,0,IF(AK$46='融资租赁与资金缺口'!$F$14,'融资租赁与资金缺口'!$E$14,IF(((YEAR(AK$46)-YEAR('融资租赁与资金缺口'!$F$14))*12+MONTH(AK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AK$46)-YEAR('融资租赁与资金缺口'!$F$14))*12+MONTH(AK$46)-MONTH('融资租赁与资金缺口'!$F$14)),'融资租赁与资金缺口'!$E$14*(1+'融资租赁与资金缺口'!$I$14)^((YEAR(AK$46)-YEAR('融资租赁与资金缺口'!$F$14))*12+MONTH(AK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AK$46)-YEAR('融资租赁与资金缺口'!$F$14))*12+MONTH(AK$46)-MONTH('融资租赁与资金缺口'!$F$14))-1)/'融资租赁与资金缺口'!$I$14))))),IF(AK$46&lt;'融资租赁与资金缺口'!$F$15,0,IF(AK$46='融资租赁与资金缺口'!$F$15,'融资租赁与资金缺口'!$E$15,IF(((YEAR(AK$46)-YEAR('融资租赁与资金缺口'!$F$15))*12+MONTH(AK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AK$46)-YEAR('融资租赁与资金缺口'!$F$15))*12+MONTH(AK$46)-MONTH('融资租赁与资金缺口'!$F$15)),'融资租赁与资金缺口'!$E$15*(1+'融资租赁与资金缺口'!$I$15)^((YEAR(AK$46)-YEAR('融资租赁与资金缺口'!$F$15))*12+MONTH(AK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AK$46)-YEAR('融资租赁与资金缺口'!$F$15))*12+MONTH(AK$46)-MONTH('融资租赁与资金缺口'!$F$15))-1)/'融资租赁与资金缺口'!$I$15))))),IF(AK$46&lt;'融资租赁与资金缺口'!$F$16,0,IF(AK$46='融资租赁与资金缺口'!$F$16,'融资租赁与资金缺口'!$E$16,IF(((YEAR(AK$46)-YEAR('融资租赁与资金缺口'!$F$16))*12+MONTH(AK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AK$46)-YEAR('融资租赁与资金缺口'!$F$16))*12+MONTH(AK$46)-MONTH('融资租赁与资金缺口'!$F$16)),'融资租赁与资金缺口'!$E$16*(1+'融资租赁与资金缺口'!$I$16)^((YEAR(AK$46)-YEAR('融资租赁与资金缺口'!$F$16))*12+MONTH(AK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AK$46)-YEAR('融资租赁与资金缺口'!$F$16))*12+MONTH(AK$46)-MONTH('融资租赁与资金缺口'!$F$16))-1)/'融资租赁与资金缺口'!$I$16))))))</x:f>
        <x:v>146190513.66228825</x:v>
      </x:c>
      <x:c r="AL48" s="28" t="n">
        <x:f>SUM(IF(AL$46&lt;'融资租赁与资金缺口'!$F$5,0,IF(AL$46='融资租赁与资金缺口'!$F$5,'融资租赁与资金缺口'!$E$5,IF(((YEAR(AL$46)-YEAR('融资租赁与资金缺口'!$F$5))*12+MONTH(AL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AL$46)-YEAR('融资租赁与资金缺口'!$F$5))*12+MONTH(AL$46)-MONTH('融资租赁与资金缺口'!$F$5)),'融资租赁与资金缺口'!$E$5*(1+'融资租赁与资金缺口'!$I$5)^((YEAR(AL$46)-YEAR('融资租赁与资金缺口'!$F$5))*12+MONTH(AL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AL$46)-YEAR('融资租赁与资金缺口'!$F$5))*12+MONTH(AL$46)-MONTH('融资租赁与资金缺口'!$F$5))-1)/'融资租赁与资金缺口'!$I$5))))),IF(AL$46&lt;'融资租赁与资金缺口'!$F$6,0,IF(AL$46='融资租赁与资金缺口'!$F$6,'融资租赁与资金缺口'!$E$6,IF(((YEAR(AL$46)-YEAR('融资租赁与资金缺口'!$F$6))*12+MONTH(AL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AL$46)-YEAR('融资租赁与资金缺口'!$F$6))*12+MONTH(AL$46)-MONTH('融资租赁与资金缺口'!$F$6)),'融资租赁与资金缺口'!$E$6*(1+'融资租赁与资金缺口'!$I$6)^((YEAR(AL$46)-YEAR('融资租赁与资金缺口'!$F$6))*12+MONTH(AL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AL$46)-YEAR('融资租赁与资金缺口'!$F$6))*12+MONTH(AL$46)-MONTH('融资租赁与资金缺口'!$F$6))-1)/'融资租赁与资金缺口'!$I$6))))),IF(AL$46&lt;'融资租赁与资金缺口'!$F$7,0,IF(AL$46='融资租赁与资金缺口'!$F$7,'融资租赁与资金缺口'!$E$7,IF(((YEAR(AL$46)-YEAR('融资租赁与资金缺口'!$F$7))*12+MONTH(AL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AL$46)-YEAR('融资租赁与资金缺口'!$F$7))*12+MONTH(AL$46)-MONTH('融资租赁与资金缺口'!$F$7)),'融资租赁与资金缺口'!$E$7*(1+'融资租赁与资金缺口'!$I$7)^((YEAR(AL$46)-YEAR('融资租赁与资金缺口'!$F$7))*12+MONTH(AL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AL$46)-YEAR('融资租赁与资金缺口'!$F$7))*12+MONTH(AL$46)-MONTH('融资租赁与资金缺口'!$F$7))-1)/'融资租赁与资金缺口'!$I$7))))),IF(AL$46&lt;'融资租赁与资金缺口'!$F$8,0,IF(AL$46='融资租赁与资金缺口'!$F$8,'融资租赁与资金缺口'!$E$8,IF(((YEAR(AL$46)-YEAR('融资租赁与资金缺口'!$F$8))*12+MONTH(AL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AL$46)-YEAR('融资租赁与资金缺口'!$F$8))*12+MONTH(AL$46)-MONTH('融资租赁与资金缺口'!$F$8)),'融资租赁与资金缺口'!$E$8*(1+'融资租赁与资金缺口'!$I$8)^((YEAR(AL$46)-YEAR('融资租赁与资金缺口'!$F$8))*12+MONTH(AL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AL$46)-YEAR('融资租赁与资金缺口'!$F$8))*12+MONTH(AL$46)-MONTH('融资租赁与资金缺口'!$F$8))-1)/'融资租赁与资金缺口'!$I$8))))),IF(AL$46&lt;'融资租赁与资金缺口'!$F$9,0,IF(AL$46='融资租赁与资金缺口'!$F$9,'融资租赁与资金缺口'!$E$9,IF(((YEAR(AL$46)-YEAR('融资租赁与资金缺口'!$F$9))*12+MONTH(AL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AL$46)-YEAR('融资租赁与资金缺口'!$F$9))*12+MONTH(AL$46)-MONTH('融资租赁与资金缺口'!$F$9)),'融资租赁与资金缺口'!$E$9*(1+'融资租赁与资金缺口'!$I$9)^((YEAR(AL$46)-YEAR('融资租赁与资金缺口'!$F$9))*12+MONTH(AL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AL$46)-YEAR('融资租赁与资金缺口'!$F$9))*12+MONTH(AL$46)-MONTH('融资租赁与资金缺口'!$F$9))-1)/'融资租赁与资金缺口'!$I$9))))),IF(AL$46&lt;'融资租赁与资金缺口'!$F$10,0,IF(AL$46='融资租赁与资金缺口'!$F$10,'融资租赁与资金缺口'!$E$10,IF(((YEAR(AL$46)-YEAR('融资租赁与资金缺口'!$F$10))*12+MONTH(AL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AL$46)-YEAR('融资租赁与资金缺口'!$F$10))*12+MONTH(AL$46)-MONTH('融资租赁与资金缺口'!$F$10)),'融资租赁与资金缺口'!$E$10*(1+'融资租赁与资金缺口'!$I$10)^((YEAR(AL$46)-YEAR('融资租赁与资金缺口'!$F$10))*12+MONTH(AL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AL$46)-YEAR('融资租赁与资金缺口'!$F$10))*12+MONTH(AL$46)-MONTH('融资租赁与资金缺口'!$F$10))-1)/'融资租赁与资金缺口'!$I$10))))),IF(AL$46&lt;'融资租赁与资金缺口'!$F$11,0,IF(AL$46='融资租赁与资金缺口'!$F$11,'融资租赁与资金缺口'!$E$11,IF(((YEAR(AL$46)-YEAR('融资租赁与资金缺口'!$F$11))*12+MONTH(AL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AL$46)-YEAR('融资租赁与资金缺口'!$F$11))*12+MONTH(AL$46)-MONTH('融资租赁与资金缺口'!$F$11)),'融资租赁与资金缺口'!$E$11*(1+'融资租赁与资金缺口'!$I$11)^((YEAR(AL$46)-YEAR('融资租赁与资金缺口'!$F$11))*12+MONTH(AL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AL$46)-YEAR('融资租赁与资金缺口'!$F$11))*12+MONTH(AL$46)-MONTH('融资租赁与资金缺口'!$F$11))-1)/'融资租赁与资金缺口'!$I$11))))),IF(AL$46&lt;'融资租赁与资金缺口'!$F$12,0,IF(AL$46='融资租赁与资金缺口'!$F$12,'融资租赁与资金缺口'!$E$12,IF(((YEAR(AL$46)-YEAR('融资租赁与资金缺口'!$F$12))*12+MONTH(AL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AL$46)-YEAR('融资租赁与资金缺口'!$F$12))*12+MONTH(AL$46)-MONTH('融资租赁与资金缺口'!$F$12)),'融资租赁与资金缺口'!$E$12*(1+'融资租赁与资金缺口'!$I$12)^((YEAR(AL$46)-YEAR('融资租赁与资金缺口'!$F$12))*12+MONTH(AL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AL$46)-YEAR('融资租赁与资金缺口'!$F$12))*12+MONTH(AL$46)-MONTH('融资租赁与资金缺口'!$F$12))-1)/'融资租赁与资金缺口'!$I$12))))),IF(AL$46&lt;'融资租赁与资金缺口'!$F$13,0,IF(AL$46='融资租赁与资金缺口'!$F$13,'融资租赁与资金缺口'!$E$13,IF(((YEAR(AL$46)-YEAR('融资租赁与资金缺口'!$F$13))*12+MONTH(AL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AL$46)-YEAR('融资租赁与资金缺口'!$F$13))*12+MONTH(AL$46)-MONTH('融资租赁与资金缺口'!$F$13)),'融资租赁与资金缺口'!$E$13*(1+'融资租赁与资金缺口'!$I$13)^((YEAR(AL$46)-YEAR('融资租赁与资金缺口'!$F$13))*12+MONTH(AL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AL$46)-YEAR('融资租赁与资金缺口'!$F$13))*12+MONTH(AL$46)-MONTH('融资租赁与资金缺口'!$F$13))-1)/'融资租赁与资金缺口'!$I$13))))),IF(AL$46&lt;'融资租赁与资金缺口'!$F$14,0,IF(AL$46='融资租赁与资金缺口'!$F$14,'融资租赁与资金缺口'!$E$14,IF(((YEAR(AL$46)-YEAR('融资租赁与资金缺口'!$F$14))*12+MONTH(AL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AL$46)-YEAR('融资租赁与资金缺口'!$F$14))*12+MONTH(AL$46)-MONTH('融资租赁与资金缺口'!$F$14)),'融资租赁与资金缺口'!$E$14*(1+'融资租赁与资金缺口'!$I$14)^((YEAR(AL$46)-YEAR('融资租赁与资金缺口'!$F$14))*12+MONTH(AL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AL$46)-YEAR('融资租赁与资金缺口'!$F$14))*12+MONTH(AL$46)-MONTH('融资租赁与资金缺口'!$F$14))-1)/'融资租赁与资金缺口'!$I$14))))),IF(AL$46&lt;'融资租赁与资金缺口'!$F$15,0,IF(AL$46='融资租赁与资金缺口'!$F$15,'融资租赁与资金缺口'!$E$15,IF(((YEAR(AL$46)-YEAR('融资租赁与资金缺口'!$F$15))*12+MONTH(AL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AL$46)-YEAR('融资租赁与资金缺口'!$F$15))*12+MONTH(AL$46)-MONTH('融资租赁与资金缺口'!$F$15)),'融资租赁与资金缺口'!$E$15*(1+'融资租赁与资金缺口'!$I$15)^((YEAR(AL$46)-YEAR('融资租赁与资金缺口'!$F$15))*12+MONTH(AL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AL$46)-YEAR('融资租赁与资金缺口'!$F$15))*12+MONTH(AL$46)-MONTH('融资租赁与资金缺口'!$F$15))-1)/'融资租赁与资金缺口'!$I$15))))),IF(AL$46&lt;'融资租赁与资金缺口'!$F$16,0,IF(AL$46='融资租赁与资金缺口'!$F$16,'融资租赁与资金缺口'!$E$16,IF(((YEAR(AL$46)-YEAR('融资租赁与资金缺口'!$F$16))*12+MONTH(AL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AL$46)-YEAR('融资租赁与资金缺口'!$F$16))*12+MONTH(AL$46)-MONTH('融资租赁与资金缺口'!$F$16)),'融资租赁与资金缺口'!$E$16*(1+'融资租赁与资金缺口'!$I$16)^((YEAR(AL$46)-YEAR('融资租赁与资金缺口'!$F$16))*12+MONTH(AL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AL$46)-YEAR('融资租赁与资金缺口'!$F$16))*12+MONTH(AL$46)-MONTH('融资租赁与资金缺口'!$F$16))-1)/'融资租赁与资金缺口'!$I$16))))))</x:f>
        <x:v>183579868.0954168</x:v>
      </x:c>
      <x:c r="AM48" s="28" t="n">
        <x:f>SUM(IF(AM$46&lt;'融资租赁与资金缺口'!$F$5,0,IF(AM$46='融资租赁与资金缺口'!$F$5,'融资租赁与资金缺口'!$E$5,IF(((YEAR(AM$46)-YEAR('融资租赁与资金缺口'!$F$5))*12+MONTH(AM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AM$46)-YEAR('融资租赁与资金缺口'!$F$5))*12+MONTH(AM$46)-MONTH('融资租赁与资金缺口'!$F$5)),'融资租赁与资金缺口'!$E$5*(1+'融资租赁与资金缺口'!$I$5)^((YEAR(AM$46)-YEAR('融资租赁与资金缺口'!$F$5))*12+MONTH(AM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AM$46)-YEAR('融资租赁与资金缺口'!$F$5))*12+MONTH(AM$46)-MONTH('融资租赁与资金缺口'!$F$5))-1)/'融资租赁与资金缺口'!$I$5))))),IF(AM$46&lt;'融资租赁与资金缺口'!$F$6,0,IF(AM$46='融资租赁与资金缺口'!$F$6,'融资租赁与资金缺口'!$E$6,IF(((YEAR(AM$46)-YEAR('融资租赁与资金缺口'!$F$6))*12+MONTH(AM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AM$46)-YEAR('融资租赁与资金缺口'!$F$6))*12+MONTH(AM$46)-MONTH('融资租赁与资金缺口'!$F$6)),'融资租赁与资金缺口'!$E$6*(1+'融资租赁与资金缺口'!$I$6)^((YEAR(AM$46)-YEAR('融资租赁与资金缺口'!$F$6))*12+MONTH(AM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AM$46)-YEAR('融资租赁与资金缺口'!$F$6))*12+MONTH(AM$46)-MONTH('融资租赁与资金缺口'!$F$6))-1)/'融资租赁与资金缺口'!$I$6))))),IF(AM$46&lt;'融资租赁与资金缺口'!$F$7,0,IF(AM$46='融资租赁与资金缺口'!$F$7,'融资租赁与资金缺口'!$E$7,IF(((YEAR(AM$46)-YEAR('融资租赁与资金缺口'!$F$7))*12+MONTH(AM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AM$46)-YEAR('融资租赁与资金缺口'!$F$7))*12+MONTH(AM$46)-MONTH('融资租赁与资金缺口'!$F$7)),'融资租赁与资金缺口'!$E$7*(1+'融资租赁与资金缺口'!$I$7)^((YEAR(AM$46)-YEAR('融资租赁与资金缺口'!$F$7))*12+MONTH(AM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AM$46)-YEAR('融资租赁与资金缺口'!$F$7))*12+MONTH(AM$46)-MONTH('融资租赁与资金缺口'!$F$7))-1)/'融资租赁与资金缺口'!$I$7))))),IF(AM$46&lt;'融资租赁与资金缺口'!$F$8,0,IF(AM$46='融资租赁与资金缺口'!$F$8,'融资租赁与资金缺口'!$E$8,IF(((YEAR(AM$46)-YEAR('融资租赁与资金缺口'!$F$8))*12+MONTH(AM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AM$46)-YEAR('融资租赁与资金缺口'!$F$8))*12+MONTH(AM$46)-MONTH('融资租赁与资金缺口'!$F$8)),'融资租赁与资金缺口'!$E$8*(1+'融资租赁与资金缺口'!$I$8)^((YEAR(AM$46)-YEAR('融资租赁与资金缺口'!$F$8))*12+MONTH(AM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AM$46)-YEAR('融资租赁与资金缺口'!$F$8))*12+MONTH(AM$46)-MONTH('融资租赁与资金缺口'!$F$8))-1)/'融资租赁与资金缺口'!$I$8))))),IF(AM$46&lt;'融资租赁与资金缺口'!$F$9,0,IF(AM$46='融资租赁与资金缺口'!$F$9,'融资租赁与资金缺口'!$E$9,IF(((YEAR(AM$46)-YEAR('融资租赁与资金缺口'!$F$9))*12+MONTH(AM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AM$46)-YEAR('融资租赁与资金缺口'!$F$9))*12+MONTH(AM$46)-MONTH('融资租赁与资金缺口'!$F$9)),'融资租赁与资金缺口'!$E$9*(1+'融资租赁与资金缺口'!$I$9)^((YEAR(AM$46)-YEAR('融资租赁与资金缺口'!$F$9))*12+MONTH(AM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AM$46)-YEAR('融资租赁与资金缺口'!$F$9))*12+MONTH(AM$46)-MONTH('融资租赁与资金缺口'!$F$9))-1)/'融资租赁与资金缺口'!$I$9))))),IF(AM$46&lt;'融资租赁与资金缺口'!$F$10,0,IF(AM$46='融资租赁与资金缺口'!$F$10,'融资租赁与资金缺口'!$E$10,IF(((YEAR(AM$46)-YEAR('融资租赁与资金缺口'!$F$10))*12+MONTH(AM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AM$46)-YEAR('融资租赁与资金缺口'!$F$10))*12+MONTH(AM$46)-MONTH('融资租赁与资金缺口'!$F$10)),'融资租赁与资金缺口'!$E$10*(1+'融资租赁与资金缺口'!$I$10)^((YEAR(AM$46)-YEAR('融资租赁与资金缺口'!$F$10))*12+MONTH(AM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AM$46)-YEAR('融资租赁与资金缺口'!$F$10))*12+MONTH(AM$46)-MONTH('融资租赁与资金缺口'!$F$10))-1)/'融资租赁与资金缺口'!$I$10))))),IF(AM$46&lt;'融资租赁与资金缺口'!$F$11,0,IF(AM$46='融资租赁与资金缺口'!$F$11,'融资租赁与资金缺口'!$E$11,IF(((YEAR(AM$46)-YEAR('融资租赁与资金缺口'!$F$11))*12+MONTH(AM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AM$46)-YEAR('融资租赁与资金缺口'!$F$11))*12+MONTH(AM$46)-MONTH('融资租赁与资金缺口'!$F$11)),'融资租赁与资金缺口'!$E$11*(1+'融资租赁与资金缺口'!$I$11)^((YEAR(AM$46)-YEAR('融资租赁与资金缺口'!$F$11))*12+MONTH(AM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AM$46)-YEAR('融资租赁与资金缺口'!$F$11))*12+MONTH(AM$46)-MONTH('融资租赁与资金缺口'!$F$11))-1)/'融资租赁与资金缺口'!$I$11))))),IF(AM$46&lt;'融资租赁与资金缺口'!$F$12,0,IF(AM$46='融资租赁与资金缺口'!$F$12,'融资租赁与资金缺口'!$E$12,IF(((YEAR(AM$46)-YEAR('融资租赁与资金缺口'!$F$12))*12+MONTH(AM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AM$46)-YEAR('融资租赁与资金缺口'!$F$12))*12+MONTH(AM$46)-MONTH('融资租赁与资金缺口'!$F$12)),'融资租赁与资金缺口'!$E$12*(1+'融资租赁与资金缺口'!$I$12)^((YEAR(AM$46)-YEAR('融资租赁与资金缺口'!$F$12))*12+MONTH(AM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AM$46)-YEAR('融资租赁与资金缺口'!$F$12))*12+MONTH(AM$46)-MONTH('融资租赁与资金缺口'!$F$12))-1)/'融资租赁与资金缺口'!$I$12))))),IF(AM$46&lt;'融资租赁与资金缺口'!$F$13,0,IF(AM$46='融资租赁与资金缺口'!$F$13,'融资租赁与资金缺口'!$E$13,IF(((YEAR(AM$46)-YEAR('融资租赁与资金缺口'!$F$13))*12+MONTH(AM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AM$46)-YEAR('融资租赁与资金缺口'!$F$13))*12+MONTH(AM$46)-MONTH('融资租赁与资金缺口'!$F$13)),'融资租赁与资金缺口'!$E$13*(1+'融资租赁与资金缺口'!$I$13)^((YEAR(AM$46)-YEAR('融资租赁与资金缺口'!$F$13))*12+MONTH(AM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AM$46)-YEAR('融资租赁与资金缺口'!$F$13))*12+MONTH(AM$46)-MONTH('融资租赁与资金缺口'!$F$13))-1)/'融资租赁与资金缺口'!$I$13))))),IF(AM$46&lt;'融资租赁与资金缺口'!$F$14,0,IF(AM$46='融资租赁与资金缺口'!$F$14,'融资租赁与资金缺口'!$E$14,IF(((YEAR(AM$46)-YEAR('融资租赁与资金缺口'!$F$14))*12+MONTH(AM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AM$46)-YEAR('融资租赁与资金缺口'!$F$14))*12+MONTH(AM$46)-MONTH('融资租赁与资金缺口'!$F$14)),'融资租赁与资金缺口'!$E$14*(1+'融资租赁与资金缺口'!$I$14)^((YEAR(AM$46)-YEAR('融资租赁与资金缺口'!$F$14))*12+MONTH(AM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AM$46)-YEAR('融资租赁与资金缺口'!$F$14))*12+MONTH(AM$46)-MONTH('融资租赁与资金缺口'!$F$14))-1)/'融资租赁与资金缺口'!$I$14))))),IF(AM$46&lt;'融资租赁与资金缺口'!$F$15,0,IF(AM$46='融资租赁与资金缺口'!$F$15,'融资租赁与资金缺口'!$E$15,IF(((YEAR(AM$46)-YEAR('融资租赁与资金缺口'!$F$15))*12+MONTH(AM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AM$46)-YEAR('融资租赁与资金缺口'!$F$15))*12+MONTH(AM$46)-MONTH('融资租赁与资金缺口'!$F$15)),'融资租赁与资金缺口'!$E$15*(1+'融资租赁与资金缺口'!$I$15)^((YEAR(AM$46)-YEAR('融资租赁与资金缺口'!$F$15))*12+MONTH(AM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AM$46)-YEAR('融资租赁与资金缺口'!$F$15))*12+MONTH(AM$46)-MONTH('融资租赁与资金缺口'!$F$15))-1)/'融资租赁与资金缺口'!$I$15))))),IF(AM$46&lt;'融资租赁与资金缺口'!$F$16,0,IF(AM$46='融资租赁与资金缺口'!$F$16,'融资租赁与资金缺口'!$E$16,IF(((YEAR(AM$46)-YEAR('融资租赁与资金缺口'!$F$16))*12+MONTH(AM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AM$46)-YEAR('融资租赁与资金缺口'!$F$16))*12+MONTH(AM$46)-MONTH('融资租赁与资金缺口'!$F$16)),'融资租赁与资金缺口'!$E$16*(1+'融资租赁与资金缺口'!$I$16)^((YEAR(AM$46)-YEAR('融资租赁与资金缺口'!$F$16))*12+MONTH(AM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AM$46)-YEAR('融资租赁与资金缺口'!$F$16))*12+MONTH(AM$46)-MONTH('融资租赁与资金缺口'!$F$16))-1)/'融资租赁与资金缺口'!$I$16))))))</x:f>
        <x:v>223029250.90382028</x:v>
      </x:c>
      <x:c r="AN48" s="28" t="n">
        <x:f>SUM(IF(AN$46&lt;'融资租赁与资金缺口'!$F$5,0,IF(AN$46='融资租赁与资金缺口'!$F$5,'融资租赁与资金缺口'!$E$5,IF(((YEAR(AN$46)-YEAR('融资租赁与资金缺口'!$F$5))*12+MONTH(AN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AN$46)-YEAR('融资租赁与资金缺口'!$F$5))*12+MONTH(AN$46)-MONTH('融资租赁与资金缺口'!$F$5)),'融资租赁与资金缺口'!$E$5*(1+'融资租赁与资金缺口'!$I$5)^((YEAR(AN$46)-YEAR('融资租赁与资金缺口'!$F$5))*12+MONTH(AN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AN$46)-YEAR('融资租赁与资金缺口'!$F$5))*12+MONTH(AN$46)-MONTH('融资租赁与资金缺口'!$F$5))-1)/'融资租赁与资金缺口'!$I$5))))),IF(AN$46&lt;'融资租赁与资金缺口'!$F$6,0,IF(AN$46='融资租赁与资金缺口'!$F$6,'融资租赁与资金缺口'!$E$6,IF(((YEAR(AN$46)-YEAR('融资租赁与资金缺口'!$F$6))*12+MONTH(AN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AN$46)-YEAR('融资租赁与资金缺口'!$F$6))*12+MONTH(AN$46)-MONTH('融资租赁与资金缺口'!$F$6)),'融资租赁与资金缺口'!$E$6*(1+'融资租赁与资金缺口'!$I$6)^((YEAR(AN$46)-YEAR('融资租赁与资金缺口'!$F$6))*12+MONTH(AN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AN$46)-YEAR('融资租赁与资金缺口'!$F$6))*12+MONTH(AN$46)-MONTH('融资租赁与资金缺口'!$F$6))-1)/'融资租赁与资金缺口'!$I$6))))),IF(AN$46&lt;'融资租赁与资金缺口'!$F$7,0,IF(AN$46='融资租赁与资金缺口'!$F$7,'融资租赁与资金缺口'!$E$7,IF(((YEAR(AN$46)-YEAR('融资租赁与资金缺口'!$F$7))*12+MONTH(AN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AN$46)-YEAR('融资租赁与资金缺口'!$F$7))*12+MONTH(AN$46)-MONTH('融资租赁与资金缺口'!$F$7)),'融资租赁与资金缺口'!$E$7*(1+'融资租赁与资金缺口'!$I$7)^((YEAR(AN$46)-YEAR('融资租赁与资金缺口'!$F$7))*12+MONTH(AN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AN$46)-YEAR('融资租赁与资金缺口'!$F$7))*12+MONTH(AN$46)-MONTH('融资租赁与资金缺口'!$F$7))-1)/'融资租赁与资金缺口'!$I$7))))),IF(AN$46&lt;'融资租赁与资金缺口'!$F$8,0,IF(AN$46='融资租赁与资金缺口'!$F$8,'融资租赁与资金缺口'!$E$8,IF(((YEAR(AN$46)-YEAR('融资租赁与资金缺口'!$F$8))*12+MONTH(AN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AN$46)-YEAR('融资租赁与资金缺口'!$F$8))*12+MONTH(AN$46)-MONTH('融资租赁与资金缺口'!$F$8)),'融资租赁与资金缺口'!$E$8*(1+'融资租赁与资金缺口'!$I$8)^((YEAR(AN$46)-YEAR('融资租赁与资金缺口'!$F$8))*12+MONTH(AN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AN$46)-YEAR('融资租赁与资金缺口'!$F$8))*12+MONTH(AN$46)-MONTH('融资租赁与资金缺口'!$F$8))-1)/'融资租赁与资金缺口'!$I$8))))),IF(AN$46&lt;'融资租赁与资金缺口'!$F$9,0,IF(AN$46='融资租赁与资金缺口'!$F$9,'融资租赁与资金缺口'!$E$9,IF(((YEAR(AN$46)-YEAR('融资租赁与资金缺口'!$F$9))*12+MONTH(AN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AN$46)-YEAR('融资租赁与资金缺口'!$F$9))*12+MONTH(AN$46)-MONTH('融资租赁与资金缺口'!$F$9)),'融资租赁与资金缺口'!$E$9*(1+'融资租赁与资金缺口'!$I$9)^((YEAR(AN$46)-YEAR('融资租赁与资金缺口'!$F$9))*12+MONTH(AN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AN$46)-YEAR('融资租赁与资金缺口'!$F$9))*12+MONTH(AN$46)-MONTH('融资租赁与资金缺口'!$F$9))-1)/'融资租赁与资金缺口'!$I$9))))),IF(AN$46&lt;'融资租赁与资金缺口'!$F$10,0,IF(AN$46='融资租赁与资金缺口'!$F$10,'融资租赁与资金缺口'!$E$10,IF(((YEAR(AN$46)-YEAR('融资租赁与资金缺口'!$F$10))*12+MONTH(AN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AN$46)-YEAR('融资租赁与资金缺口'!$F$10))*12+MONTH(AN$46)-MONTH('融资租赁与资金缺口'!$F$10)),'融资租赁与资金缺口'!$E$10*(1+'融资租赁与资金缺口'!$I$10)^((YEAR(AN$46)-YEAR('融资租赁与资金缺口'!$F$10))*12+MONTH(AN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AN$46)-YEAR('融资租赁与资金缺口'!$F$10))*12+MONTH(AN$46)-MONTH('融资租赁与资金缺口'!$F$10))-1)/'融资租赁与资金缺口'!$I$10))))),IF(AN$46&lt;'融资租赁与资金缺口'!$F$11,0,IF(AN$46='融资租赁与资金缺口'!$F$11,'融资租赁与资金缺口'!$E$11,IF(((YEAR(AN$46)-YEAR('融资租赁与资金缺口'!$F$11))*12+MONTH(AN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AN$46)-YEAR('融资租赁与资金缺口'!$F$11))*12+MONTH(AN$46)-MONTH('融资租赁与资金缺口'!$F$11)),'融资租赁与资金缺口'!$E$11*(1+'融资租赁与资金缺口'!$I$11)^((YEAR(AN$46)-YEAR('融资租赁与资金缺口'!$F$11))*12+MONTH(AN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AN$46)-YEAR('融资租赁与资金缺口'!$F$11))*12+MONTH(AN$46)-MONTH('融资租赁与资金缺口'!$F$11))-1)/'融资租赁与资金缺口'!$I$11))))),IF(AN$46&lt;'融资租赁与资金缺口'!$F$12,0,IF(AN$46='融资租赁与资金缺口'!$F$12,'融资租赁与资金缺口'!$E$12,IF(((YEAR(AN$46)-YEAR('融资租赁与资金缺口'!$F$12))*12+MONTH(AN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AN$46)-YEAR('融资租赁与资金缺口'!$F$12))*12+MONTH(AN$46)-MONTH('融资租赁与资金缺口'!$F$12)),'融资租赁与资金缺口'!$E$12*(1+'融资租赁与资金缺口'!$I$12)^((YEAR(AN$46)-YEAR('融资租赁与资金缺口'!$F$12))*12+MONTH(AN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AN$46)-YEAR('融资租赁与资金缺口'!$F$12))*12+MONTH(AN$46)-MONTH('融资租赁与资金缺口'!$F$12))-1)/'融资租赁与资金缺口'!$I$12))))),IF(AN$46&lt;'融资租赁与资金缺口'!$F$13,0,IF(AN$46='融资租赁与资金缺口'!$F$13,'融资租赁与资金缺口'!$E$13,IF(((YEAR(AN$46)-YEAR('融资租赁与资金缺口'!$F$13))*12+MONTH(AN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AN$46)-YEAR('融资租赁与资金缺口'!$F$13))*12+MONTH(AN$46)-MONTH('融资租赁与资金缺口'!$F$13)),'融资租赁与资金缺口'!$E$13*(1+'融资租赁与资金缺口'!$I$13)^((YEAR(AN$46)-YEAR('融资租赁与资金缺口'!$F$13))*12+MONTH(AN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AN$46)-YEAR('融资租赁与资金缺口'!$F$13))*12+MONTH(AN$46)-MONTH('融资租赁与资金缺口'!$F$13))-1)/'融资租赁与资金缺口'!$I$13))))),IF(AN$46&lt;'融资租赁与资金缺口'!$F$14,0,IF(AN$46='融资租赁与资金缺口'!$F$14,'融资租赁与资金缺口'!$E$14,IF(((YEAR(AN$46)-YEAR('融资租赁与资金缺口'!$F$14))*12+MONTH(AN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AN$46)-YEAR('融资租赁与资金缺口'!$F$14))*12+MONTH(AN$46)-MONTH('融资租赁与资金缺口'!$F$14)),'融资租赁与资金缺口'!$E$14*(1+'融资租赁与资金缺口'!$I$14)^((YEAR(AN$46)-YEAR('融资租赁与资金缺口'!$F$14))*12+MONTH(AN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AN$46)-YEAR('融资租赁与资金缺口'!$F$14))*12+MONTH(AN$46)-MONTH('融资租赁与资金缺口'!$F$14))-1)/'融资租赁与资金缺口'!$I$14))))),IF(AN$46&lt;'融资租赁与资金缺口'!$F$15,0,IF(AN$46='融资租赁与资金缺口'!$F$15,'融资租赁与资金缺口'!$E$15,IF(((YEAR(AN$46)-YEAR('融资租赁与资金缺口'!$F$15))*12+MONTH(AN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AN$46)-YEAR('融资租赁与资金缺口'!$F$15))*12+MONTH(AN$46)-MONTH('融资租赁与资金缺口'!$F$15)),'融资租赁与资金缺口'!$E$15*(1+'融资租赁与资金缺口'!$I$15)^((YEAR(AN$46)-YEAR('融资租赁与资金缺口'!$F$15))*12+MONTH(AN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AN$46)-YEAR('融资租赁与资金缺口'!$F$15))*12+MONTH(AN$46)-MONTH('融资租赁与资金缺口'!$F$15))-1)/'融资租赁与资金缺口'!$I$15))))),IF(AN$46&lt;'融资租赁与资金缺口'!$F$16,0,IF(AN$46='融资租赁与资金缺口'!$F$16,'融资租赁与资金缺口'!$E$16,IF(((YEAR(AN$46)-YEAR('融资租赁与资金缺口'!$F$16))*12+MONTH(AN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AN$46)-YEAR('融资租赁与资金缺口'!$F$16))*12+MONTH(AN$46)-MONTH('融资租赁与资金缺口'!$F$16)),'融资租赁与资金缺口'!$E$16*(1+'融资租赁与资金缺口'!$I$16)^((YEAR(AN$46)-YEAR('融资租赁与资金缺口'!$F$16))*12+MONTH(AN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AN$46)-YEAR('融资租赁与资金缺口'!$F$16))*12+MONTH(AN$46)-MONTH('融资租赁与资金缺口'!$F$16))-1)/'融资租赁与资金缺口'!$I$16))))))</x:f>
        <x:v>259791801.42648172</x:v>
      </x:c>
      <x:c r="AO48" s="28" t="n">
        <x:f>SUM(IF(AO$46&lt;'融资租赁与资金缺口'!$F$5,0,IF(AO$46='融资租赁与资金缺口'!$F$5,'融资租赁与资金缺口'!$E$5,IF(((YEAR(AO$46)-YEAR('融资租赁与资金缺口'!$F$5))*12+MONTH(AO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AO$46)-YEAR('融资租赁与资金缺口'!$F$5))*12+MONTH(AO$46)-MONTH('融资租赁与资金缺口'!$F$5)),'融资租赁与资金缺口'!$E$5*(1+'融资租赁与资金缺口'!$I$5)^((YEAR(AO$46)-YEAR('融资租赁与资金缺口'!$F$5))*12+MONTH(AO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AO$46)-YEAR('融资租赁与资金缺口'!$F$5))*12+MONTH(AO$46)-MONTH('融资租赁与资金缺口'!$F$5))-1)/'融资租赁与资金缺口'!$I$5))))),IF(AO$46&lt;'融资租赁与资金缺口'!$F$6,0,IF(AO$46='融资租赁与资金缺口'!$F$6,'融资租赁与资金缺口'!$E$6,IF(((YEAR(AO$46)-YEAR('融资租赁与资金缺口'!$F$6))*12+MONTH(AO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AO$46)-YEAR('融资租赁与资金缺口'!$F$6))*12+MONTH(AO$46)-MONTH('融资租赁与资金缺口'!$F$6)),'融资租赁与资金缺口'!$E$6*(1+'融资租赁与资金缺口'!$I$6)^((YEAR(AO$46)-YEAR('融资租赁与资金缺口'!$F$6))*12+MONTH(AO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AO$46)-YEAR('融资租赁与资金缺口'!$F$6))*12+MONTH(AO$46)-MONTH('融资租赁与资金缺口'!$F$6))-1)/'融资租赁与资金缺口'!$I$6))))),IF(AO$46&lt;'融资租赁与资金缺口'!$F$7,0,IF(AO$46='融资租赁与资金缺口'!$F$7,'融资租赁与资金缺口'!$E$7,IF(((YEAR(AO$46)-YEAR('融资租赁与资金缺口'!$F$7))*12+MONTH(AO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AO$46)-YEAR('融资租赁与资金缺口'!$F$7))*12+MONTH(AO$46)-MONTH('融资租赁与资金缺口'!$F$7)),'融资租赁与资金缺口'!$E$7*(1+'融资租赁与资金缺口'!$I$7)^((YEAR(AO$46)-YEAR('融资租赁与资金缺口'!$F$7))*12+MONTH(AO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AO$46)-YEAR('融资租赁与资金缺口'!$F$7))*12+MONTH(AO$46)-MONTH('融资租赁与资金缺口'!$F$7))-1)/'融资租赁与资金缺口'!$I$7))))),IF(AO$46&lt;'融资租赁与资金缺口'!$F$8,0,IF(AO$46='融资租赁与资金缺口'!$F$8,'融资租赁与资金缺口'!$E$8,IF(((YEAR(AO$46)-YEAR('融资租赁与资金缺口'!$F$8))*12+MONTH(AO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AO$46)-YEAR('融资租赁与资金缺口'!$F$8))*12+MONTH(AO$46)-MONTH('融资租赁与资金缺口'!$F$8)),'融资租赁与资金缺口'!$E$8*(1+'融资租赁与资金缺口'!$I$8)^((YEAR(AO$46)-YEAR('融资租赁与资金缺口'!$F$8))*12+MONTH(AO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AO$46)-YEAR('融资租赁与资金缺口'!$F$8))*12+MONTH(AO$46)-MONTH('融资租赁与资金缺口'!$F$8))-1)/'融资租赁与资金缺口'!$I$8))))),IF(AO$46&lt;'融资租赁与资金缺口'!$F$9,0,IF(AO$46='融资租赁与资金缺口'!$F$9,'融资租赁与资金缺口'!$E$9,IF(((YEAR(AO$46)-YEAR('融资租赁与资金缺口'!$F$9))*12+MONTH(AO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AO$46)-YEAR('融资租赁与资金缺口'!$F$9))*12+MONTH(AO$46)-MONTH('融资租赁与资金缺口'!$F$9)),'融资租赁与资金缺口'!$E$9*(1+'融资租赁与资金缺口'!$I$9)^((YEAR(AO$46)-YEAR('融资租赁与资金缺口'!$F$9))*12+MONTH(AO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AO$46)-YEAR('融资租赁与资金缺口'!$F$9))*12+MONTH(AO$46)-MONTH('融资租赁与资金缺口'!$F$9))-1)/'融资租赁与资金缺口'!$I$9))))),IF(AO$46&lt;'融资租赁与资金缺口'!$F$10,0,IF(AO$46='融资租赁与资金缺口'!$F$10,'融资租赁与资金缺口'!$E$10,IF(((YEAR(AO$46)-YEAR('融资租赁与资金缺口'!$F$10))*12+MONTH(AO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AO$46)-YEAR('融资租赁与资金缺口'!$F$10))*12+MONTH(AO$46)-MONTH('融资租赁与资金缺口'!$F$10)),'融资租赁与资金缺口'!$E$10*(1+'融资租赁与资金缺口'!$I$10)^((YEAR(AO$46)-YEAR('融资租赁与资金缺口'!$F$10))*12+MONTH(AO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AO$46)-YEAR('融资租赁与资金缺口'!$F$10))*12+MONTH(AO$46)-MONTH('融资租赁与资金缺口'!$F$10))-1)/'融资租赁与资金缺口'!$I$10))))),IF(AO$46&lt;'融资租赁与资金缺口'!$F$11,0,IF(AO$46='融资租赁与资金缺口'!$F$11,'融资租赁与资金缺口'!$E$11,IF(((YEAR(AO$46)-YEAR('融资租赁与资金缺口'!$F$11))*12+MONTH(AO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AO$46)-YEAR('融资租赁与资金缺口'!$F$11))*12+MONTH(AO$46)-MONTH('融资租赁与资金缺口'!$F$11)),'融资租赁与资金缺口'!$E$11*(1+'融资租赁与资金缺口'!$I$11)^((YEAR(AO$46)-YEAR('融资租赁与资金缺口'!$F$11))*12+MONTH(AO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AO$46)-YEAR('融资租赁与资金缺口'!$F$11))*12+MONTH(AO$46)-MONTH('融资租赁与资金缺口'!$F$11))-1)/'融资租赁与资金缺口'!$I$11))))),IF(AO$46&lt;'融资租赁与资金缺口'!$F$12,0,IF(AO$46='融资租赁与资金缺口'!$F$12,'融资租赁与资金缺口'!$E$12,IF(((YEAR(AO$46)-YEAR('融资租赁与资金缺口'!$F$12))*12+MONTH(AO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AO$46)-YEAR('融资租赁与资金缺口'!$F$12))*12+MONTH(AO$46)-MONTH('融资租赁与资金缺口'!$F$12)),'融资租赁与资金缺口'!$E$12*(1+'融资租赁与资金缺口'!$I$12)^((YEAR(AO$46)-YEAR('融资租赁与资金缺口'!$F$12))*12+MONTH(AO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AO$46)-YEAR('融资租赁与资金缺口'!$F$12))*12+MONTH(AO$46)-MONTH('融资租赁与资金缺口'!$F$12))-1)/'融资租赁与资金缺口'!$I$12))))),IF(AO$46&lt;'融资租赁与资金缺口'!$F$13,0,IF(AO$46='融资租赁与资金缺口'!$F$13,'融资租赁与资金缺口'!$E$13,IF(((YEAR(AO$46)-YEAR('融资租赁与资金缺口'!$F$13))*12+MONTH(AO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AO$46)-YEAR('融资租赁与资金缺口'!$F$13))*12+MONTH(AO$46)-MONTH('融资租赁与资金缺口'!$F$13)),'融资租赁与资金缺口'!$E$13*(1+'融资租赁与资金缺口'!$I$13)^((YEAR(AO$46)-YEAR('融资租赁与资金缺口'!$F$13))*12+MONTH(AO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AO$46)-YEAR('融资租赁与资金缺口'!$F$13))*12+MONTH(AO$46)-MONTH('融资租赁与资金缺口'!$F$13))-1)/'融资租赁与资金缺口'!$I$13))))),IF(AO$46&lt;'融资租赁与资金缺口'!$F$14,0,IF(AO$46='融资租赁与资金缺口'!$F$14,'融资租赁与资金缺口'!$E$14,IF(((YEAR(AO$46)-YEAR('融资租赁与资金缺口'!$F$14))*12+MONTH(AO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AO$46)-YEAR('融资租赁与资金缺口'!$F$14))*12+MONTH(AO$46)-MONTH('融资租赁与资金缺口'!$F$14)),'融资租赁与资金缺口'!$E$14*(1+'融资租赁与资金缺口'!$I$14)^((YEAR(AO$46)-YEAR('融资租赁与资金缺口'!$F$14))*12+MONTH(AO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AO$46)-YEAR('融资租赁与资金缺口'!$F$14))*12+MONTH(AO$46)-MONTH('融资租赁与资金缺口'!$F$14))-1)/'融资租赁与资金缺口'!$I$14))))),IF(AO$46&lt;'融资租赁与资金缺口'!$F$15,0,IF(AO$46='融资租赁与资金缺口'!$F$15,'融资租赁与资金缺口'!$E$15,IF(((YEAR(AO$46)-YEAR('融资租赁与资金缺口'!$F$15))*12+MONTH(AO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AO$46)-YEAR('融资租赁与资金缺口'!$F$15))*12+MONTH(AO$46)-MONTH('融资租赁与资金缺口'!$F$15)),'融资租赁与资金缺口'!$E$15*(1+'融资租赁与资金缺口'!$I$15)^((YEAR(AO$46)-YEAR('融资租赁与资金缺口'!$F$15))*12+MONTH(AO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AO$46)-YEAR('融资租赁与资金缺口'!$F$15))*12+MONTH(AO$46)-MONTH('融资租赁与资金缺口'!$F$15))-1)/'融资租赁与资金缺口'!$I$15))))),IF(AO$46&lt;'融资租赁与资金缺口'!$F$16,0,IF(AO$46='融资租赁与资金缺口'!$F$16,'融资租赁与资金缺口'!$E$16,IF(((YEAR(AO$46)-YEAR('融资租赁与资金缺口'!$F$16))*12+MONTH(AO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AO$46)-YEAR('融资租赁与资金缺口'!$F$16))*12+MONTH(AO$46)-MONTH('融资租赁与资金缺口'!$F$16)),'融资租赁与资金缺口'!$E$16*(1+'融资租赁与资金缺口'!$I$16)^((YEAR(AO$46)-YEAR('融资租赁与资金缺口'!$F$16))*12+MONTH(AO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AO$46)-YEAR('融资租赁与资金缺口'!$F$16))*12+MONTH(AO$46)-MONTH('融资租赁与资金缺口'!$F$16))-1)/'融资租赁与资金缺口'!$I$16))))))</x:f>
        <x:v>307253607.44816285</x:v>
      </x:c>
      <x:c r="AP48" s="28" t="n">
        <x:f>SUM(IF(AP$46&lt;'融资租赁与资金缺口'!$F$5,0,IF(AP$46='融资租赁与资金缺口'!$F$5,'融资租赁与资金缺口'!$E$5,IF(((YEAR(AP$46)-YEAR('融资租赁与资金缺口'!$F$5))*12+MONTH(AP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AP$46)-YEAR('融资租赁与资金缺口'!$F$5))*12+MONTH(AP$46)-MONTH('融资租赁与资金缺口'!$F$5)),'融资租赁与资金缺口'!$E$5*(1+'融资租赁与资金缺口'!$I$5)^((YEAR(AP$46)-YEAR('融资租赁与资金缺口'!$F$5))*12+MONTH(AP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AP$46)-YEAR('融资租赁与资金缺口'!$F$5))*12+MONTH(AP$46)-MONTH('融资租赁与资金缺口'!$F$5))-1)/'融资租赁与资金缺口'!$I$5))))),IF(AP$46&lt;'融资租赁与资金缺口'!$F$6,0,IF(AP$46='融资租赁与资金缺口'!$F$6,'融资租赁与资金缺口'!$E$6,IF(((YEAR(AP$46)-YEAR('融资租赁与资金缺口'!$F$6))*12+MONTH(AP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AP$46)-YEAR('融资租赁与资金缺口'!$F$6))*12+MONTH(AP$46)-MONTH('融资租赁与资金缺口'!$F$6)),'融资租赁与资金缺口'!$E$6*(1+'融资租赁与资金缺口'!$I$6)^((YEAR(AP$46)-YEAR('融资租赁与资金缺口'!$F$6))*12+MONTH(AP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AP$46)-YEAR('融资租赁与资金缺口'!$F$6))*12+MONTH(AP$46)-MONTH('融资租赁与资金缺口'!$F$6))-1)/'融资租赁与资金缺口'!$I$6))))),IF(AP$46&lt;'融资租赁与资金缺口'!$F$7,0,IF(AP$46='融资租赁与资金缺口'!$F$7,'融资租赁与资金缺口'!$E$7,IF(((YEAR(AP$46)-YEAR('融资租赁与资金缺口'!$F$7))*12+MONTH(AP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AP$46)-YEAR('融资租赁与资金缺口'!$F$7))*12+MONTH(AP$46)-MONTH('融资租赁与资金缺口'!$F$7)),'融资租赁与资金缺口'!$E$7*(1+'融资租赁与资金缺口'!$I$7)^((YEAR(AP$46)-YEAR('融资租赁与资金缺口'!$F$7))*12+MONTH(AP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AP$46)-YEAR('融资租赁与资金缺口'!$F$7))*12+MONTH(AP$46)-MONTH('融资租赁与资金缺口'!$F$7))-1)/'融资租赁与资金缺口'!$I$7))))),IF(AP$46&lt;'融资租赁与资金缺口'!$F$8,0,IF(AP$46='融资租赁与资金缺口'!$F$8,'融资租赁与资金缺口'!$E$8,IF(((YEAR(AP$46)-YEAR('融资租赁与资金缺口'!$F$8))*12+MONTH(AP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AP$46)-YEAR('融资租赁与资金缺口'!$F$8))*12+MONTH(AP$46)-MONTH('融资租赁与资金缺口'!$F$8)),'融资租赁与资金缺口'!$E$8*(1+'融资租赁与资金缺口'!$I$8)^((YEAR(AP$46)-YEAR('融资租赁与资金缺口'!$F$8))*12+MONTH(AP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AP$46)-YEAR('融资租赁与资金缺口'!$F$8))*12+MONTH(AP$46)-MONTH('融资租赁与资金缺口'!$F$8))-1)/'融资租赁与资金缺口'!$I$8))))),IF(AP$46&lt;'融资租赁与资金缺口'!$F$9,0,IF(AP$46='融资租赁与资金缺口'!$F$9,'融资租赁与资金缺口'!$E$9,IF(((YEAR(AP$46)-YEAR('融资租赁与资金缺口'!$F$9))*12+MONTH(AP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AP$46)-YEAR('融资租赁与资金缺口'!$F$9))*12+MONTH(AP$46)-MONTH('融资租赁与资金缺口'!$F$9)),'融资租赁与资金缺口'!$E$9*(1+'融资租赁与资金缺口'!$I$9)^((YEAR(AP$46)-YEAR('融资租赁与资金缺口'!$F$9))*12+MONTH(AP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AP$46)-YEAR('融资租赁与资金缺口'!$F$9))*12+MONTH(AP$46)-MONTH('融资租赁与资金缺口'!$F$9))-1)/'融资租赁与资金缺口'!$I$9))))),IF(AP$46&lt;'融资租赁与资金缺口'!$F$10,0,IF(AP$46='融资租赁与资金缺口'!$F$10,'融资租赁与资金缺口'!$E$10,IF(((YEAR(AP$46)-YEAR('融资租赁与资金缺口'!$F$10))*12+MONTH(AP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AP$46)-YEAR('融资租赁与资金缺口'!$F$10))*12+MONTH(AP$46)-MONTH('融资租赁与资金缺口'!$F$10)),'融资租赁与资金缺口'!$E$10*(1+'融资租赁与资金缺口'!$I$10)^((YEAR(AP$46)-YEAR('融资租赁与资金缺口'!$F$10))*12+MONTH(AP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AP$46)-YEAR('融资租赁与资金缺口'!$F$10))*12+MONTH(AP$46)-MONTH('融资租赁与资金缺口'!$F$10))-1)/'融资租赁与资金缺口'!$I$10))))),IF(AP$46&lt;'融资租赁与资金缺口'!$F$11,0,IF(AP$46='融资租赁与资金缺口'!$F$11,'融资租赁与资金缺口'!$E$11,IF(((YEAR(AP$46)-YEAR('融资租赁与资金缺口'!$F$11))*12+MONTH(AP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AP$46)-YEAR('融资租赁与资金缺口'!$F$11))*12+MONTH(AP$46)-MONTH('融资租赁与资金缺口'!$F$11)),'融资租赁与资金缺口'!$E$11*(1+'融资租赁与资金缺口'!$I$11)^((YEAR(AP$46)-YEAR('融资租赁与资金缺口'!$F$11))*12+MONTH(AP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AP$46)-YEAR('融资租赁与资金缺口'!$F$11))*12+MONTH(AP$46)-MONTH('融资租赁与资金缺口'!$F$11))-1)/'融资租赁与资金缺口'!$I$11))))),IF(AP$46&lt;'融资租赁与资金缺口'!$F$12,0,IF(AP$46='融资租赁与资金缺口'!$F$12,'融资租赁与资金缺口'!$E$12,IF(((YEAR(AP$46)-YEAR('融资租赁与资金缺口'!$F$12))*12+MONTH(AP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AP$46)-YEAR('融资租赁与资金缺口'!$F$12))*12+MONTH(AP$46)-MONTH('融资租赁与资金缺口'!$F$12)),'融资租赁与资金缺口'!$E$12*(1+'融资租赁与资金缺口'!$I$12)^((YEAR(AP$46)-YEAR('融资租赁与资金缺口'!$F$12))*12+MONTH(AP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AP$46)-YEAR('融资租赁与资金缺口'!$F$12))*12+MONTH(AP$46)-MONTH('融资租赁与资金缺口'!$F$12))-1)/'融资租赁与资金缺口'!$I$12))))),IF(AP$46&lt;'融资租赁与资金缺口'!$F$13,0,IF(AP$46='融资租赁与资金缺口'!$F$13,'融资租赁与资金缺口'!$E$13,IF(((YEAR(AP$46)-YEAR('融资租赁与资金缺口'!$F$13))*12+MONTH(AP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AP$46)-YEAR('融资租赁与资金缺口'!$F$13))*12+MONTH(AP$46)-MONTH('融资租赁与资金缺口'!$F$13)),'融资租赁与资金缺口'!$E$13*(1+'融资租赁与资金缺口'!$I$13)^((YEAR(AP$46)-YEAR('融资租赁与资金缺口'!$F$13))*12+MONTH(AP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AP$46)-YEAR('融资租赁与资金缺口'!$F$13))*12+MONTH(AP$46)-MONTH('融资租赁与资金缺口'!$F$13))-1)/'融资租赁与资金缺口'!$I$13))))),IF(AP$46&lt;'融资租赁与资金缺口'!$F$14,0,IF(AP$46='融资租赁与资金缺口'!$F$14,'融资租赁与资金缺口'!$E$14,IF(((YEAR(AP$46)-YEAR('融资租赁与资金缺口'!$F$14))*12+MONTH(AP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AP$46)-YEAR('融资租赁与资金缺口'!$F$14))*12+MONTH(AP$46)-MONTH('融资租赁与资金缺口'!$F$14)),'融资租赁与资金缺口'!$E$14*(1+'融资租赁与资金缺口'!$I$14)^((YEAR(AP$46)-YEAR('融资租赁与资金缺口'!$F$14))*12+MONTH(AP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AP$46)-YEAR('融资租赁与资金缺口'!$F$14))*12+MONTH(AP$46)-MONTH('融资租赁与资金缺口'!$F$14))-1)/'融资租赁与资金缺口'!$I$14))))),IF(AP$46&lt;'融资租赁与资金缺口'!$F$15,0,IF(AP$46='融资租赁与资金缺口'!$F$15,'融资租赁与资金缺口'!$E$15,IF(((YEAR(AP$46)-YEAR('融资租赁与资金缺口'!$F$15))*12+MONTH(AP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AP$46)-YEAR('融资租赁与资金缺口'!$F$15))*12+MONTH(AP$46)-MONTH('融资租赁与资金缺口'!$F$15)),'融资租赁与资金缺口'!$E$15*(1+'融资租赁与资金缺口'!$I$15)^((YEAR(AP$46)-YEAR('融资租赁与资金缺口'!$F$15))*12+MONTH(AP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AP$46)-YEAR('融资租赁与资金缺口'!$F$15))*12+MONTH(AP$46)-MONTH('融资租赁与资金缺口'!$F$15))-1)/'融资租赁与资金缺口'!$I$15))))),IF(AP$46&lt;'融资租赁与资金缺口'!$F$16,0,IF(AP$46='融资租赁与资金缺口'!$F$16,'融资租赁与资金缺口'!$E$16,IF(((YEAR(AP$46)-YEAR('融资租赁与资金缺口'!$F$16))*12+MONTH(AP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AP$46)-YEAR('融资租赁与资金缺口'!$F$16))*12+MONTH(AP$46)-MONTH('融资租赁与资金缺口'!$F$16)),'融资租赁与资金缺口'!$E$16*(1+'融资租赁与资金缺口'!$I$16)^((YEAR(AP$46)-YEAR('融资租赁与资金缺口'!$F$16))*12+MONTH(AP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AP$46)-YEAR('融资租赁与资金缺口'!$F$16))*12+MONTH(AP$46)-MONTH('融资租赁与资金缺口'!$F$16))-1)/'融资租赁与资金缺口'!$I$16))))))</x:f>
        <x:v>355067314.34221834</x:v>
      </x:c>
      <x:c r="AQ48" s="28" t="n">
        <x:f>SUM(IF(AQ$46&lt;'融资租赁与资金缺口'!$F$5,0,IF(AQ$46='融资租赁与资金缺口'!$F$5,'融资租赁与资金缺口'!$E$5,IF(((YEAR(AQ$46)-YEAR('融资租赁与资金缺口'!$F$5))*12+MONTH(AQ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AQ$46)-YEAR('融资租赁与资金缺口'!$F$5))*12+MONTH(AQ$46)-MONTH('融资租赁与资金缺口'!$F$5)),'融资租赁与资金缺口'!$E$5*(1+'融资租赁与资金缺口'!$I$5)^((YEAR(AQ$46)-YEAR('融资租赁与资金缺口'!$F$5))*12+MONTH(AQ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AQ$46)-YEAR('融资租赁与资金缺口'!$F$5))*12+MONTH(AQ$46)-MONTH('融资租赁与资金缺口'!$F$5))-1)/'融资租赁与资金缺口'!$I$5))))),IF(AQ$46&lt;'融资租赁与资金缺口'!$F$6,0,IF(AQ$46='融资租赁与资金缺口'!$F$6,'融资租赁与资金缺口'!$E$6,IF(((YEAR(AQ$46)-YEAR('融资租赁与资金缺口'!$F$6))*12+MONTH(AQ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AQ$46)-YEAR('融资租赁与资金缺口'!$F$6))*12+MONTH(AQ$46)-MONTH('融资租赁与资金缺口'!$F$6)),'融资租赁与资金缺口'!$E$6*(1+'融资租赁与资金缺口'!$I$6)^((YEAR(AQ$46)-YEAR('融资租赁与资金缺口'!$F$6))*12+MONTH(AQ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AQ$46)-YEAR('融资租赁与资金缺口'!$F$6))*12+MONTH(AQ$46)-MONTH('融资租赁与资金缺口'!$F$6))-1)/'融资租赁与资金缺口'!$I$6))))),IF(AQ$46&lt;'融资租赁与资金缺口'!$F$7,0,IF(AQ$46='融资租赁与资金缺口'!$F$7,'融资租赁与资金缺口'!$E$7,IF(((YEAR(AQ$46)-YEAR('融资租赁与资金缺口'!$F$7))*12+MONTH(AQ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AQ$46)-YEAR('融资租赁与资金缺口'!$F$7))*12+MONTH(AQ$46)-MONTH('融资租赁与资金缺口'!$F$7)),'融资租赁与资金缺口'!$E$7*(1+'融资租赁与资金缺口'!$I$7)^((YEAR(AQ$46)-YEAR('融资租赁与资金缺口'!$F$7))*12+MONTH(AQ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AQ$46)-YEAR('融资租赁与资金缺口'!$F$7))*12+MONTH(AQ$46)-MONTH('融资租赁与资金缺口'!$F$7))-1)/'融资租赁与资金缺口'!$I$7))))),IF(AQ$46&lt;'融资租赁与资金缺口'!$F$8,0,IF(AQ$46='融资租赁与资金缺口'!$F$8,'融资租赁与资金缺口'!$E$8,IF(((YEAR(AQ$46)-YEAR('融资租赁与资金缺口'!$F$8))*12+MONTH(AQ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AQ$46)-YEAR('融资租赁与资金缺口'!$F$8))*12+MONTH(AQ$46)-MONTH('融资租赁与资金缺口'!$F$8)),'融资租赁与资金缺口'!$E$8*(1+'融资租赁与资金缺口'!$I$8)^((YEAR(AQ$46)-YEAR('融资租赁与资金缺口'!$F$8))*12+MONTH(AQ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AQ$46)-YEAR('融资租赁与资金缺口'!$F$8))*12+MONTH(AQ$46)-MONTH('融资租赁与资金缺口'!$F$8))-1)/'融资租赁与资金缺口'!$I$8))))),IF(AQ$46&lt;'融资租赁与资金缺口'!$F$9,0,IF(AQ$46='融资租赁与资金缺口'!$F$9,'融资租赁与资金缺口'!$E$9,IF(((YEAR(AQ$46)-YEAR('融资租赁与资金缺口'!$F$9))*12+MONTH(AQ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AQ$46)-YEAR('融资租赁与资金缺口'!$F$9))*12+MONTH(AQ$46)-MONTH('融资租赁与资金缺口'!$F$9)),'融资租赁与资金缺口'!$E$9*(1+'融资租赁与资金缺口'!$I$9)^((YEAR(AQ$46)-YEAR('融资租赁与资金缺口'!$F$9))*12+MONTH(AQ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AQ$46)-YEAR('融资租赁与资金缺口'!$F$9))*12+MONTH(AQ$46)-MONTH('融资租赁与资金缺口'!$F$9))-1)/'融资租赁与资金缺口'!$I$9))))),IF(AQ$46&lt;'融资租赁与资金缺口'!$F$10,0,IF(AQ$46='融资租赁与资金缺口'!$F$10,'融资租赁与资金缺口'!$E$10,IF(((YEAR(AQ$46)-YEAR('融资租赁与资金缺口'!$F$10))*12+MONTH(AQ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AQ$46)-YEAR('融资租赁与资金缺口'!$F$10))*12+MONTH(AQ$46)-MONTH('融资租赁与资金缺口'!$F$10)),'融资租赁与资金缺口'!$E$10*(1+'融资租赁与资金缺口'!$I$10)^((YEAR(AQ$46)-YEAR('融资租赁与资金缺口'!$F$10))*12+MONTH(AQ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AQ$46)-YEAR('融资租赁与资金缺口'!$F$10))*12+MONTH(AQ$46)-MONTH('融资租赁与资金缺口'!$F$10))-1)/'融资租赁与资金缺口'!$I$10))))),IF(AQ$46&lt;'融资租赁与资金缺口'!$F$11,0,IF(AQ$46='融资租赁与资金缺口'!$F$11,'融资租赁与资金缺口'!$E$11,IF(((YEAR(AQ$46)-YEAR('融资租赁与资金缺口'!$F$11))*12+MONTH(AQ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AQ$46)-YEAR('融资租赁与资金缺口'!$F$11))*12+MONTH(AQ$46)-MONTH('融资租赁与资金缺口'!$F$11)),'融资租赁与资金缺口'!$E$11*(1+'融资租赁与资金缺口'!$I$11)^((YEAR(AQ$46)-YEAR('融资租赁与资金缺口'!$F$11))*12+MONTH(AQ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AQ$46)-YEAR('融资租赁与资金缺口'!$F$11))*12+MONTH(AQ$46)-MONTH('融资租赁与资金缺口'!$F$11))-1)/'融资租赁与资金缺口'!$I$11))))),IF(AQ$46&lt;'融资租赁与资金缺口'!$F$12,0,IF(AQ$46='融资租赁与资金缺口'!$F$12,'融资租赁与资金缺口'!$E$12,IF(((YEAR(AQ$46)-YEAR('融资租赁与资金缺口'!$F$12))*12+MONTH(AQ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AQ$46)-YEAR('融资租赁与资金缺口'!$F$12))*12+MONTH(AQ$46)-MONTH('融资租赁与资金缺口'!$F$12)),'融资租赁与资金缺口'!$E$12*(1+'融资租赁与资金缺口'!$I$12)^((YEAR(AQ$46)-YEAR('融资租赁与资金缺口'!$F$12))*12+MONTH(AQ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AQ$46)-YEAR('融资租赁与资金缺口'!$F$12))*12+MONTH(AQ$46)-MONTH('融资租赁与资金缺口'!$F$12))-1)/'融资租赁与资金缺口'!$I$12))))),IF(AQ$46&lt;'融资租赁与资金缺口'!$F$13,0,IF(AQ$46='融资租赁与资金缺口'!$F$13,'融资租赁与资金缺口'!$E$13,IF(((YEAR(AQ$46)-YEAR('融资租赁与资金缺口'!$F$13))*12+MONTH(AQ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AQ$46)-YEAR('融资租赁与资金缺口'!$F$13))*12+MONTH(AQ$46)-MONTH('融资租赁与资金缺口'!$F$13)),'融资租赁与资金缺口'!$E$13*(1+'融资租赁与资金缺口'!$I$13)^((YEAR(AQ$46)-YEAR('融资租赁与资金缺口'!$F$13))*12+MONTH(AQ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AQ$46)-YEAR('融资租赁与资金缺口'!$F$13))*12+MONTH(AQ$46)-MONTH('融资租赁与资金缺口'!$F$13))-1)/'融资租赁与资金缺口'!$I$13))))),IF(AQ$46&lt;'融资租赁与资金缺口'!$F$14,0,IF(AQ$46='融资租赁与资金缺口'!$F$14,'融资租赁与资金缺口'!$E$14,IF(((YEAR(AQ$46)-YEAR('融资租赁与资金缺口'!$F$14))*12+MONTH(AQ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AQ$46)-YEAR('融资租赁与资金缺口'!$F$14))*12+MONTH(AQ$46)-MONTH('融资租赁与资金缺口'!$F$14)),'融资租赁与资金缺口'!$E$14*(1+'融资租赁与资金缺口'!$I$14)^((YEAR(AQ$46)-YEAR('融资租赁与资金缺口'!$F$14))*12+MONTH(AQ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AQ$46)-YEAR('融资租赁与资金缺口'!$F$14))*12+MONTH(AQ$46)-MONTH('融资租赁与资金缺口'!$F$14))-1)/'融资租赁与资金缺口'!$I$14))))),IF(AQ$46&lt;'融资租赁与资金缺口'!$F$15,0,IF(AQ$46='融资租赁与资金缺口'!$F$15,'融资租赁与资金缺口'!$E$15,IF(((YEAR(AQ$46)-YEAR('融资租赁与资金缺口'!$F$15))*12+MONTH(AQ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AQ$46)-YEAR('融资租赁与资金缺口'!$F$15))*12+MONTH(AQ$46)-MONTH('融资租赁与资金缺口'!$F$15)),'融资租赁与资金缺口'!$E$15*(1+'融资租赁与资金缺口'!$I$15)^((YEAR(AQ$46)-YEAR('融资租赁与资金缺口'!$F$15))*12+MONTH(AQ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AQ$46)-YEAR('融资租赁与资金缺口'!$F$15))*12+MONTH(AQ$46)-MONTH('融资租赁与资金缺口'!$F$15))-1)/'融资租赁与资金缺口'!$I$15))))),IF(AQ$46&lt;'融资租赁与资金缺口'!$F$16,0,IF(AQ$46='融资租赁与资金缺口'!$F$16,'融资租赁与资金缺口'!$E$16,IF(((YEAR(AQ$46)-YEAR('融资租赁与资金缺口'!$F$16))*12+MONTH(AQ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AQ$46)-YEAR('融资租赁与资金缺口'!$F$16))*12+MONTH(AQ$46)-MONTH('融资租赁与资金缺口'!$F$16)),'融资租赁与资金缺口'!$E$16*(1+'融资租赁与资金缺口'!$I$16)^((YEAR(AQ$46)-YEAR('融资租赁与资金缺口'!$F$16))*12+MONTH(AQ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AQ$46)-YEAR('融资租赁与资金缺口'!$F$16))*12+MONTH(AQ$46)-MONTH('融资租赁与资金缺口'!$F$16))-1)/'融资租赁与资金缺口'!$I$16))))))</x:f>
        <x:v>391743228.82915205</x:v>
      </x:c>
      <x:c r="AR48" s="28" t="n">
        <x:f>SUM(IF(AR$46&lt;'融资租赁与资金缺口'!$F$5,0,IF(AR$46='融资租赁与资金缺口'!$F$5,'融资租赁与资金缺口'!$E$5,IF(((YEAR(AR$46)-YEAR('融资租赁与资金缺口'!$F$5))*12+MONTH(AR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AR$46)-YEAR('融资租赁与资金缺口'!$F$5))*12+MONTH(AR$46)-MONTH('融资租赁与资金缺口'!$F$5)),'融资租赁与资金缺口'!$E$5*(1+'融资租赁与资金缺口'!$I$5)^((YEAR(AR$46)-YEAR('融资租赁与资金缺口'!$F$5))*12+MONTH(AR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AR$46)-YEAR('融资租赁与资金缺口'!$F$5))*12+MONTH(AR$46)-MONTH('融资租赁与资金缺口'!$F$5))-1)/'融资租赁与资金缺口'!$I$5))))),IF(AR$46&lt;'融资租赁与资金缺口'!$F$6,0,IF(AR$46='融资租赁与资金缺口'!$F$6,'融资租赁与资金缺口'!$E$6,IF(((YEAR(AR$46)-YEAR('融资租赁与资金缺口'!$F$6))*12+MONTH(AR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AR$46)-YEAR('融资租赁与资金缺口'!$F$6))*12+MONTH(AR$46)-MONTH('融资租赁与资金缺口'!$F$6)),'融资租赁与资金缺口'!$E$6*(1+'融资租赁与资金缺口'!$I$6)^((YEAR(AR$46)-YEAR('融资租赁与资金缺口'!$F$6))*12+MONTH(AR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AR$46)-YEAR('融资租赁与资金缺口'!$F$6))*12+MONTH(AR$46)-MONTH('融资租赁与资金缺口'!$F$6))-1)/'融资租赁与资金缺口'!$I$6))))),IF(AR$46&lt;'融资租赁与资金缺口'!$F$7,0,IF(AR$46='融资租赁与资金缺口'!$F$7,'融资租赁与资金缺口'!$E$7,IF(((YEAR(AR$46)-YEAR('融资租赁与资金缺口'!$F$7))*12+MONTH(AR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AR$46)-YEAR('融资租赁与资金缺口'!$F$7))*12+MONTH(AR$46)-MONTH('融资租赁与资金缺口'!$F$7)),'融资租赁与资金缺口'!$E$7*(1+'融资租赁与资金缺口'!$I$7)^((YEAR(AR$46)-YEAR('融资租赁与资金缺口'!$F$7))*12+MONTH(AR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AR$46)-YEAR('融资租赁与资金缺口'!$F$7))*12+MONTH(AR$46)-MONTH('融资租赁与资金缺口'!$F$7))-1)/'融资租赁与资金缺口'!$I$7))))),IF(AR$46&lt;'融资租赁与资金缺口'!$F$8,0,IF(AR$46='融资租赁与资金缺口'!$F$8,'融资租赁与资金缺口'!$E$8,IF(((YEAR(AR$46)-YEAR('融资租赁与资金缺口'!$F$8))*12+MONTH(AR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AR$46)-YEAR('融资租赁与资金缺口'!$F$8))*12+MONTH(AR$46)-MONTH('融资租赁与资金缺口'!$F$8)),'融资租赁与资金缺口'!$E$8*(1+'融资租赁与资金缺口'!$I$8)^((YEAR(AR$46)-YEAR('融资租赁与资金缺口'!$F$8))*12+MONTH(AR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AR$46)-YEAR('融资租赁与资金缺口'!$F$8))*12+MONTH(AR$46)-MONTH('融资租赁与资金缺口'!$F$8))-1)/'融资租赁与资金缺口'!$I$8))))),IF(AR$46&lt;'融资租赁与资金缺口'!$F$9,0,IF(AR$46='融资租赁与资金缺口'!$F$9,'融资租赁与资金缺口'!$E$9,IF(((YEAR(AR$46)-YEAR('融资租赁与资金缺口'!$F$9))*12+MONTH(AR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AR$46)-YEAR('融资租赁与资金缺口'!$F$9))*12+MONTH(AR$46)-MONTH('融资租赁与资金缺口'!$F$9)),'融资租赁与资金缺口'!$E$9*(1+'融资租赁与资金缺口'!$I$9)^((YEAR(AR$46)-YEAR('融资租赁与资金缺口'!$F$9))*12+MONTH(AR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AR$46)-YEAR('融资租赁与资金缺口'!$F$9))*12+MONTH(AR$46)-MONTH('融资租赁与资金缺口'!$F$9))-1)/'融资租赁与资金缺口'!$I$9))))),IF(AR$46&lt;'融资租赁与资金缺口'!$F$10,0,IF(AR$46='融资租赁与资金缺口'!$F$10,'融资租赁与资金缺口'!$E$10,IF(((YEAR(AR$46)-YEAR('融资租赁与资金缺口'!$F$10))*12+MONTH(AR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AR$46)-YEAR('融资租赁与资金缺口'!$F$10))*12+MONTH(AR$46)-MONTH('融资租赁与资金缺口'!$F$10)),'融资租赁与资金缺口'!$E$10*(1+'融资租赁与资金缺口'!$I$10)^((YEAR(AR$46)-YEAR('融资租赁与资金缺口'!$F$10))*12+MONTH(AR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AR$46)-YEAR('融资租赁与资金缺口'!$F$10))*12+MONTH(AR$46)-MONTH('融资租赁与资金缺口'!$F$10))-1)/'融资租赁与资金缺口'!$I$10))))),IF(AR$46&lt;'融资租赁与资金缺口'!$F$11,0,IF(AR$46='融资租赁与资金缺口'!$F$11,'融资租赁与资金缺口'!$E$11,IF(((YEAR(AR$46)-YEAR('融资租赁与资金缺口'!$F$11))*12+MONTH(AR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AR$46)-YEAR('融资租赁与资金缺口'!$F$11))*12+MONTH(AR$46)-MONTH('融资租赁与资金缺口'!$F$11)),'融资租赁与资金缺口'!$E$11*(1+'融资租赁与资金缺口'!$I$11)^((YEAR(AR$46)-YEAR('融资租赁与资金缺口'!$F$11))*12+MONTH(AR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AR$46)-YEAR('融资租赁与资金缺口'!$F$11))*12+MONTH(AR$46)-MONTH('融资租赁与资金缺口'!$F$11))-1)/'融资租赁与资金缺口'!$I$11))))),IF(AR$46&lt;'融资租赁与资金缺口'!$F$12,0,IF(AR$46='融资租赁与资金缺口'!$F$12,'融资租赁与资金缺口'!$E$12,IF(((YEAR(AR$46)-YEAR('融资租赁与资金缺口'!$F$12))*12+MONTH(AR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AR$46)-YEAR('融资租赁与资金缺口'!$F$12))*12+MONTH(AR$46)-MONTH('融资租赁与资金缺口'!$F$12)),'融资租赁与资金缺口'!$E$12*(1+'融资租赁与资金缺口'!$I$12)^((YEAR(AR$46)-YEAR('融资租赁与资金缺口'!$F$12))*12+MONTH(AR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AR$46)-YEAR('融资租赁与资金缺口'!$F$12))*12+MONTH(AR$46)-MONTH('融资租赁与资金缺口'!$F$12))-1)/'融资租赁与资金缺口'!$I$12))))),IF(AR$46&lt;'融资租赁与资金缺口'!$F$13,0,IF(AR$46='融资租赁与资金缺口'!$F$13,'融资租赁与资金缺口'!$E$13,IF(((YEAR(AR$46)-YEAR('融资租赁与资金缺口'!$F$13))*12+MONTH(AR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AR$46)-YEAR('融资租赁与资金缺口'!$F$13))*12+MONTH(AR$46)-MONTH('融资租赁与资金缺口'!$F$13)),'融资租赁与资金缺口'!$E$13*(1+'融资租赁与资金缺口'!$I$13)^((YEAR(AR$46)-YEAR('融资租赁与资金缺口'!$F$13))*12+MONTH(AR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AR$46)-YEAR('融资租赁与资金缺口'!$F$13))*12+MONTH(AR$46)-MONTH('融资租赁与资金缺口'!$F$13))-1)/'融资租赁与资金缺口'!$I$13))))),IF(AR$46&lt;'融资租赁与资金缺口'!$F$14,0,IF(AR$46='融资租赁与资金缺口'!$F$14,'融资租赁与资金缺口'!$E$14,IF(((YEAR(AR$46)-YEAR('融资租赁与资金缺口'!$F$14))*12+MONTH(AR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AR$46)-YEAR('融资租赁与资金缺口'!$F$14))*12+MONTH(AR$46)-MONTH('融资租赁与资金缺口'!$F$14)),'融资租赁与资金缺口'!$E$14*(1+'融资租赁与资金缺口'!$I$14)^((YEAR(AR$46)-YEAR('融资租赁与资金缺口'!$F$14))*12+MONTH(AR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AR$46)-YEAR('融资租赁与资金缺口'!$F$14))*12+MONTH(AR$46)-MONTH('融资租赁与资金缺口'!$F$14))-1)/'融资租赁与资金缺口'!$I$14))))),IF(AR$46&lt;'融资租赁与资金缺口'!$F$15,0,IF(AR$46='融资租赁与资金缺口'!$F$15,'融资租赁与资金缺口'!$E$15,IF(((YEAR(AR$46)-YEAR('融资租赁与资金缺口'!$F$15))*12+MONTH(AR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AR$46)-YEAR('融资租赁与资金缺口'!$F$15))*12+MONTH(AR$46)-MONTH('融资租赁与资金缺口'!$F$15)),'融资租赁与资金缺口'!$E$15*(1+'融资租赁与资金缺口'!$I$15)^((YEAR(AR$46)-YEAR('融资租赁与资金缺口'!$F$15))*12+MONTH(AR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AR$46)-YEAR('融资租赁与资金缺口'!$F$15))*12+MONTH(AR$46)-MONTH('融资租赁与资金缺口'!$F$15))-1)/'融资租赁与资金缺口'!$I$15))))),IF(AR$46&lt;'融资租赁与资金缺口'!$F$16,0,IF(AR$46='融资租赁与资金缺口'!$F$16,'融资租赁与资金缺口'!$E$16,IF(((YEAR(AR$46)-YEAR('融资租赁与资金缺口'!$F$16))*12+MONTH(AR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AR$46)-YEAR('融资租赁与资金缺口'!$F$16))*12+MONTH(AR$46)-MONTH('融资租赁与资金缺口'!$F$16)),'融资租赁与资金缺口'!$E$16*(1+'融资租赁与资金缺口'!$I$16)^((YEAR(AR$46)-YEAR('融资租赁与资金缺口'!$F$16))*12+MONTH(AR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AR$46)-YEAR('融资租赁与资金缺口'!$F$16))*12+MONTH(AR$46)-MONTH('融资租赁与资金缺口'!$F$16))-1)/'融资租赁与资金缺口'!$I$16))))))</x:f>
        <x:v>410146715.67659193</x:v>
      </x:c>
      <x:c r="AS48" s="28" t="n">
        <x:f>SUM(IF(AS$46&lt;'融资租赁与资金缺口'!$F$5,0,IF(AS$46='融资租赁与资金缺口'!$F$5,'融资租赁与资金缺口'!$E$5,IF(((YEAR(AS$46)-YEAR('融资租赁与资金缺口'!$F$5))*12+MONTH(AS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AS$46)-YEAR('融资租赁与资金缺口'!$F$5))*12+MONTH(AS$46)-MONTH('融资租赁与资金缺口'!$F$5)),'融资租赁与资金缺口'!$E$5*(1+'融资租赁与资金缺口'!$I$5)^((YEAR(AS$46)-YEAR('融资租赁与资金缺口'!$F$5))*12+MONTH(AS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AS$46)-YEAR('融资租赁与资金缺口'!$F$5))*12+MONTH(AS$46)-MONTH('融资租赁与资金缺口'!$F$5))-1)/'融资租赁与资金缺口'!$I$5))))),IF(AS$46&lt;'融资租赁与资金缺口'!$F$6,0,IF(AS$46='融资租赁与资金缺口'!$F$6,'融资租赁与资金缺口'!$E$6,IF(((YEAR(AS$46)-YEAR('融资租赁与资金缺口'!$F$6))*12+MONTH(AS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AS$46)-YEAR('融资租赁与资金缺口'!$F$6))*12+MONTH(AS$46)-MONTH('融资租赁与资金缺口'!$F$6)),'融资租赁与资金缺口'!$E$6*(1+'融资租赁与资金缺口'!$I$6)^((YEAR(AS$46)-YEAR('融资租赁与资金缺口'!$F$6))*12+MONTH(AS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AS$46)-YEAR('融资租赁与资金缺口'!$F$6))*12+MONTH(AS$46)-MONTH('融资租赁与资金缺口'!$F$6))-1)/'融资租赁与资金缺口'!$I$6))))),IF(AS$46&lt;'融资租赁与资金缺口'!$F$7,0,IF(AS$46='融资租赁与资金缺口'!$F$7,'融资租赁与资金缺口'!$E$7,IF(((YEAR(AS$46)-YEAR('融资租赁与资金缺口'!$F$7))*12+MONTH(AS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AS$46)-YEAR('融资租赁与资金缺口'!$F$7))*12+MONTH(AS$46)-MONTH('融资租赁与资金缺口'!$F$7)),'融资租赁与资金缺口'!$E$7*(1+'融资租赁与资金缺口'!$I$7)^((YEAR(AS$46)-YEAR('融资租赁与资金缺口'!$F$7))*12+MONTH(AS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AS$46)-YEAR('融资租赁与资金缺口'!$F$7))*12+MONTH(AS$46)-MONTH('融资租赁与资金缺口'!$F$7))-1)/'融资租赁与资金缺口'!$I$7))))),IF(AS$46&lt;'融资租赁与资金缺口'!$F$8,0,IF(AS$46='融资租赁与资金缺口'!$F$8,'融资租赁与资金缺口'!$E$8,IF(((YEAR(AS$46)-YEAR('融资租赁与资金缺口'!$F$8))*12+MONTH(AS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AS$46)-YEAR('融资租赁与资金缺口'!$F$8))*12+MONTH(AS$46)-MONTH('融资租赁与资金缺口'!$F$8)),'融资租赁与资金缺口'!$E$8*(1+'融资租赁与资金缺口'!$I$8)^((YEAR(AS$46)-YEAR('融资租赁与资金缺口'!$F$8))*12+MONTH(AS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AS$46)-YEAR('融资租赁与资金缺口'!$F$8))*12+MONTH(AS$46)-MONTH('融资租赁与资金缺口'!$F$8))-1)/'融资租赁与资金缺口'!$I$8))))),IF(AS$46&lt;'融资租赁与资金缺口'!$F$9,0,IF(AS$46='融资租赁与资金缺口'!$F$9,'融资租赁与资金缺口'!$E$9,IF(((YEAR(AS$46)-YEAR('融资租赁与资金缺口'!$F$9))*12+MONTH(AS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AS$46)-YEAR('融资租赁与资金缺口'!$F$9))*12+MONTH(AS$46)-MONTH('融资租赁与资金缺口'!$F$9)),'融资租赁与资金缺口'!$E$9*(1+'融资租赁与资金缺口'!$I$9)^((YEAR(AS$46)-YEAR('融资租赁与资金缺口'!$F$9))*12+MONTH(AS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AS$46)-YEAR('融资租赁与资金缺口'!$F$9))*12+MONTH(AS$46)-MONTH('融资租赁与资金缺口'!$F$9))-1)/'融资租赁与资金缺口'!$I$9))))),IF(AS$46&lt;'融资租赁与资金缺口'!$F$10,0,IF(AS$46='融资租赁与资金缺口'!$F$10,'融资租赁与资金缺口'!$E$10,IF(((YEAR(AS$46)-YEAR('融资租赁与资金缺口'!$F$10))*12+MONTH(AS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AS$46)-YEAR('融资租赁与资金缺口'!$F$10))*12+MONTH(AS$46)-MONTH('融资租赁与资金缺口'!$F$10)),'融资租赁与资金缺口'!$E$10*(1+'融资租赁与资金缺口'!$I$10)^((YEAR(AS$46)-YEAR('融资租赁与资金缺口'!$F$10))*12+MONTH(AS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AS$46)-YEAR('融资租赁与资金缺口'!$F$10))*12+MONTH(AS$46)-MONTH('融资租赁与资金缺口'!$F$10))-1)/'融资租赁与资金缺口'!$I$10))))),IF(AS$46&lt;'融资租赁与资金缺口'!$F$11,0,IF(AS$46='融资租赁与资金缺口'!$F$11,'融资租赁与资金缺口'!$E$11,IF(((YEAR(AS$46)-YEAR('融资租赁与资金缺口'!$F$11))*12+MONTH(AS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AS$46)-YEAR('融资租赁与资金缺口'!$F$11))*12+MONTH(AS$46)-MONTH('融资租赁与资金缺口'!$F$11)),'融资租赁与资金缺口'!$E$11*(1+'融资租赁与资金缺口'!$I$11)^((YEAR(AS$46)-YEAR('融资租赁与资金缺口'!$F$11))*12+MONTH(AS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AS$46)-YEAR('融资租赁与资金缺口'!$F$11))*12+MONTH(AS$46)-MONTH('融资租赁与资金缺口'!$F$11))-1)/'融资租赁与资金缺口'!$I$11))))),IF(AS$46&lt;'融资租赁与资金缺口'!$F$12,0,IF(AS$46='融资租赁与资金缺口'!$F$12,'融资租赁与资金缺口'!$E$12,IF(((YEAR(AS$46)-YEAR('融资租赁与资金缺口'!$F$12))*12+MONTH(AS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AS$46)-YEAR('融资租赁与资金缺口'!$F$12))*12+MONTH(AS$46)-MONTH('融资租赁与资金缺口'!$F$12)),'融资租赁与资金缺口'!$E$12*(1+'融资租赁与资金缺口'!$I$12)^((YEAR(AS$46)-YEAR('融资租赁与资金缺口'!$F$12))*12+MONTH(AS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AS$46)-YEAR('融资租赁与资金缺口'!$F$12))*12+MONTH(AS$46)-MONTH('融资租赁与资金缺口'!$F$12))-1)/'融资租赁与资金缺口'!$I$12))))),IF(AS$46&lt;'融资租赁与资金缺口'!$F$13,0,IF(AS$46='融资租赁与资金缺口'!$F$13,'融资租赁与资金缺口'!$E$13,IF(((YEAR(AS$46)-YEAR('融资租赁与资金缺口'!$F$13))*12+MONTH(AS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AS$46)-YEAR('融资租赁与资金缺口'!$F$13))*12+MONTH(AS$46)-MONTH('融资租赁与资金缺口'!$F$13)),'融资租赁与资金缺口'!$E$13*(1+'融资租赁与资金缺口'!$I$13)^((YEAR(AS$46)-YEAR('融资租赁与资金缺口'!$F$13))*12+MONTH(AS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AS$46)-YEAR('融资租赁与资金缺口'!$F$13))*12+MONTH(AS$46)-MONTH('融资租赁与资金缺口'!$F$13))-1)/'融资租赁与资金缺口'!$I$13))))),IF(AS$46&lt;'融资租赁与资金缺口'!$F$14,0,IF(AS$46='融资租赁与资金缺口'!$F$14,'融资租赁与资金缺口'!$E$14,IF(((YEAR(AS$46)-YEAR('融资租赁与资金缺口'!$F$14))*12+MONTH(AS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AS$46)-YEAR('融资租赁与资金缺口'!$F$14))*12+MONTH(AS$46)-MONTH('融资租赁与资金缺口'!$F$14)),'融资租赁与资金缺口'!$E$14*(1+'融资租赁与资金缺口'!$I$14)^((YEAR(AS$46)-YEAR('融资租赁与资金缺口'!$F$14))*12+MONTH(AS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AS$46)-YEAR('融资租赁与资金缺口'!$F$14))*12+MONTH(AS$46)-MONTH('融资租赁与资金缺口'!$F$14))-1)/'融资租赁与资金缺口'!$I$14))))),IF(AS$46&lt;'融资租赁与资金缺口'!$F$15,0,IF(AS$46='融资租赁与资金缺口'!$F$15,'融资租赁与资金缺口'!$E$15,IF(((YEAR(AS$46)-YEAR('融资租赁与资金缺口'!$F$15))*12+MONTH(AS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AS$46)-YEAR('融资租赁与资金缺口'!$F$15))*12+MONTH(AS$46)-MONTH('融资租赁与资金缺口'!$F$15)),'融资租赁与资金缺口'!$E$15*(1+'融资租赁与资金缺口'!$I$15)^((YEAR(AS$46)-YEAR('融资租赁与资金缺口'!$F$15))*12+MONTH(AS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AS$46)-YEAR('融资租赁与资金缺口'!$F$15))*12+MONTH(AS$46)-MONTH('融资租赁与资金缺口'!$F$15))-1)/'融资租赁与资金缺口'!$I$15))))),IF(AS$46&lt;'融资租赁与资金缺口'!$F$16,0,IF(AS$46='融资租赁与资金缺口'!$F$16,'融资租赁与资金缺口'!$E$16,IF(((YEAR(AS$46)-YEAR('融资租赁与资金缺口'!$F$16))*12+MONTH(AS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AS$46)-YEAR('融资租赁与资金缺口'!$F$16))*12+MONTH(AS$46)-MONTH('融资租赁与资金缺口'!$F$16)),'融资租赁与资金缺口'!$E$16*(1+'融资租赁与资金缺口'!$I$16)^((YEAR(AS$46)-YEAR('融资租赁与资金缺口'!$F$16))*12+MONTH(AS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AS$46)-YEAR('融资租赁与资金缺口'!$F$16))*12+MONTH(AS$46)-MONTH('融资租赁与资金缺口'!$F$16))-1)/'融资租赁与资金缺口'!$I$16))))))</x:f>
        <x:v>381035192.13429344</x:v>
      </x:c>
      <x:c r="AT48" s="28" t="n">
        <x:f>SUM(IF(AT$46&lt;'融资租赁与资金缺口'!$F$5,0,IF(AT$46='融资租赁与资金缺口'!$F$5,'融资租赁与资金缺口'!$E$5,IF(((YEAR(AT$46)-YEAR('融资租赁与资金缺口'!$F$5))*12+MONTH(AT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AT$46)-YEAR('融资租赁与资金缺口'!$F$5))*12+MONTH(AT$46)-MONTH('融资租赁与资金缺口'!$F$5)),'融资租赁与资金缺口'!$E$5*(1+'融资租赁与资金缺口'!$I$5)^((YEAR(AT$46)-YEAR('融资租赁与资金缺口'!$F$5))*12+MONTH(AT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AT$46)-YEAR('融资租赁与资金缺口'!$F$5))*12+MONTH(AT$46)-MONTH('融资租赁与资金缺口'!$F$5))-1)/'融资租赁与资金缺口'!$I$5))))),IF(AT$46&lt;'融资租赁与资金缺口'!$F$6,0,IF(AT$46='融资租赁与资金缺口'!$F$6,'融资租赁与资金缺口'!$E$6,IF(((YEAR(AT$46)-YEAR('融资租赁与资金缺口'!$F$6))*12+MONTH(AT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AT$46)-YEAR('融资租赁与资金缺口'!$F$6))*12+MONTH(AT$46)-MONTH('融资租赁与资金缺口'!$F$6)),'融资租赁与资金缺口'!$E$6*(1+'融资租赁与资金缺口'!$I$6)^((YEAR(AT$46)-YEAR('融资租赁与资金缺口'!$F$6))*12+MONTH(AT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AT$46)-YEAR('融资租赁与资金缺口'!$F$6))*12+MONTH(AT$46)-MONTH('融资租赁与资金缺口'!$F$6))-1)/'融资租赁与资金缺口'!$I$6))))),IF(AT$46&lt;'融资租赁与资金缺口'!$F$7,0,IF(AT$46='融资租赁与资金缺口'!$F$7,'融资租赁与资金缺口'!$E$7,IF(((YEAR(AT$46)-YEAR('融资租赁与资金缺口'!$F$7))*12+MONTH(AT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AT$46)-YEAR('融资租赁与资金缺口'!$F$7))*12+MONTH(AT$46)-MONTH('融资租赁与资金缺口'!$F$7)),'融资租赁与资金缺口'!$E$7*(1+'融资租赁与资金缺口'!$I$7)^((YEAR(AT$46)-YEAR('融资租赁与资金缺口'!$F$7))*12+MONTH(AT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AT$46)-YEAR('融资租赁与资金缺口'!$F$7))*12+MONTH(AT$46)-MONTH('融资租赁与资金缺口'!$F$7))-1)/'融资租赁与资金缺口'!$I$7))))),IF(AT$46&lt;'融资租赁与资金缺口'!$F$8,0,IF(AT$46='融资租赁与资金缺口'!$F$8,'融资租赁与资金缺口'!$E$8,IF(((YEAR(AT$46)-YEAR('融资租赁与资金缺口'!$F$8))*12+MONTH(AT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AT$46)-YEAR('融资租赁与资金缺口'!$F$8))*12+MONTH(AT$46)-MONTH('融资租赁与资金缺口'!$F$8)),'融资租赁与资金缺口'!$E$8*(1+'融资租赁与资金缺口'!$I$8)^((YEAR(AT$46)-YEAR('融资租赁与资金缺口'!$F$8))*12+MONTH(AT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AT$46)-YEAR('融资租赁与资金缺口'!$F$8))*12+MONTH(AT$46)-MONTH('融资租赁与资金缺口'!$F$8))-1)/'融资租赁与资金缺口'!$I$8))))),IF(AT$46&lt;'融资租赁与资金缺口'!$F$9,0,IF(AT$46='融资租赁与资金缺口'!$F$9,'融资租赁与资金缺口'!$E$9,IF(((YEAR(AT$46)-YEAR('融资租赁与资金缺口'!$F$9))*12+MONTH(AT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AT$46)-YEAR('融资租赁与资金缺口'!$F$9))*12+MONTH(AT$46)-MONTH('融资租赁与资金缺口'!$F$9)),'融资租赁与资金缺口'!$E$9*(1+'融资租赁与资金缺口'!$I$9)^((YEAR(AT$46)-YEAR('融资租赁与资金缺口'!$F$9))*12+MONTH(AT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AT$46)-YEAR('融资租赁与资金缺口'!$F$9))*12+MONTH(AT$46)-MONTH('融资租赁与资金缺口'!$F$9))-1)/'融资租赁与资金缺口'!$I$9))))),IF(AT$46&lt;'融资租赁与资金缺口'!$F$10,0,IF(AT$46='融资租赁与资金缺口'!$F$10,'融资租赁与资金缺口'!$E$10,IF(((YEAR(AT$46)-YEAR('融资租赁与资金缺口'!$F$10))*12+MONTH(AT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AT$46)-YEAR('融资租赁与资金缺口'!$F$10))*12+MONTH(AT$46)-MONTH('融资租赁与资金缺口'!$F$10)),'融资租赁与资金缺口'!$E$10*(1+'融资租赁与资金缺口'!$I$10)^((YEAR(AT$46)-YEAR('融资租赁与资金缺口'!$F$10))*12+MONTH(AT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AT$46)-YEAR('融资租赁与资金缺口'!$F$10))*12+MONTH(AT$46)-MONTH('融资租赁与资金缺口'!$F$10))-1)/'融资租赁与资金缺口'!$I$10))))),IF(AT$46&lt;'融资租赁与资金缺口'!$F$11,0,IF(AT$46='融资租赁与资金缺口'!$F$11,'融资租赁与资金缺口'!$E$11,IF(((YEAR(AT$46)-YEAR('融资租赁与资金缺口'!$F$11))*12+MONTH(AT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AT$46)-YEAR('融资租赁与资金缺口'!$F$11))*12+MONTH(AT$46)-MONTH('融资租赁与资金缺口'!$F$11)),'融资租赁与资金缺口'!$E$11*(1+'融资租赁与资金缺口'!$I$11)^((YEAR(AT$46)-YEAR('融资租赁与资金缺口'!$F$11))*12+MONTH(AT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AT$46)-YEAR('融资租赁与资金缺口'!$F$11))*12+MONTH(AT$46)-MONTH('融资租赁与资金缺口'!$F$11))-1)/'融资租赁与资金缺口'!$I$11))))),IF(AT$46&lt;'融资租赁与资金缺口'!$F$12,0,IF(AT$46='融资租赁与资金缺口'!$F$12,'融资租赁与资金缺口'!$E$12,IF(((YEAR(AT$46)-YEAR('融资租赁与资金缺口'!$F$12))*12+MONTH(AT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AT$46)-YEAR('融资租赁与资金缺口'!$F$12))*12+MONTH(AT$46)-MONTH('融资租赁与资金缺口'!$F$12)),'融资租赁与资金缺口'!$E$12*(1+'融资租赁与资金缺口'!$I$12)^((YEAR(AT$46)-YEAR('融资租赁与资金缺口'!$F$12))*12+MONTH(AT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AT$46)-YEAR('融资租赁与资金缺口'!$F$12))*12+MONTH(AT$46)-MONTH('融资租赁与资金缺口'!$F$12))-1)/'融资租赁与资金缺口'!$I$12))))),IF(AT$46&lt;'融资租赁与资金缺口'!$F$13,0,IF(AT$46='融资租赁与资金缺口'!$F$13,'融资租赁与资金缺口'!$E$13,IF(((YEAR(AT$46)-YEAR('融资租赁与资金缺口'!$F$13))*12+MONTH(AT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AT$46)-YEAR('融资租赁与资金缺口'!$F$13))*12+MONTH(AT$46)-MONTH('融资租赁与资金缺口'!$F$13)),'融资租赁与资金缺口'!$E$13*(1+'融资租赁与资金缺口'!$I$13)^((YEAR(AT$46)-YEAR('融资租赁与资金缺口'!$F$13))*12+MONTH(AT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AT$46)-YEAR('融资租赁与资金缺口'!$F$13))*12+MONTH(AT$46)-MONTH('融资租赁与资金缺口'!$F$13))-1)/'融资租赁与资金缺口'!$I$13))))),IF(AT$46&lt;'融资租赁与资金缺口'!$F$14,0,IF(AT$46='融资租赁与资金缺口'!$F$14,'融资租赁与资金缺口'!$E$14,IF(((YEAR(AT$46)-YEAR('融资租赁与资金缺口'!$F$14))*12+MONTH(AT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AT$46)-YEAR('融资租赁与资金缺口'!$F$14))*12+MONTH(AT$46)-MONTH('融资租赁与资金缺口'!$F$14)),'融资租赁与资金缺口'!$E$14*(1+'融资租赁与资金缺口'!$I$14)^((YEAR(AT$46)-YEAR('融资租赁与资金缺口'!$F$14))*12+MONTH(AT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AT$46)-YEAR('融资租赁与资金缺口'!$F$14))*12+MONTH(AT$46)-MONTH('融资租赁与资金缺口'!$F$14))-1)/'融资租赁与资金缺口'!$I$14))))),IF(AT$46&lt;'融资租赁与资金缺口'!$F$15,0,IF(AT$46='融资租赁与资金缺口'!$F$15,'融资租赁与资金缺口'!$E$15,IF(((YEAR(AT$46)-YEAR('融资租赁与资金缺口'!$F$15))*12+MONTH(AT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AT$46)-YEAR('融资租赁与资金缺口'!$F$15))*12+MONTH(AT$46)-MONTH('融资租赁与资金缺口'!$F$15)),'融资租赁与资金缺口'!$E$15*(1+'融资租赁与资金缺口'!$I$15)^((YEAR(AT$46)-YEAR('融资租赁与资金缺口'!$F$15))*12+MONTH(AT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AT$46)-YEAR('融资租赁与资金缺口'!$F$15))*12+MONTH(AT$46)-MONTH('融资租赁与资金缺口'!$F$15))-1)/'融资租赁与资金缺口'!$I$15))))),IF(AT$46&lt;'融资租赁与资金缺口'!$F$16,0,IF(AT$46='融资租赁与资金缺口'!$F$16,'融资租赁与资金缺口'!$E$16,IF(((YEAR(AT$46)-YEAR('融资租赁与资金缺口'!$F$16))*12+MONTH(AT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AT$46)-YEAR('融资租赁与资金缺口'!$F$16))*12+MONTH(AT$46)-MONTH('融资租赁与资金缺口'!$F$16)),'融资租赁与资金缺口'!$E$16*(1+'融资租赁与资金缺口'!$I$16)^((YEAR(AT$46)-YEAR('融资租赁与资金缺口'!$F$16))*12+MONTH(AT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AT$46)-YEAR('融资租赁与资金缺口'!$F$16))*12+MONTH(AT$46)-MONTH('融资租赁与资金缺口'!$F$16))-1)/'融资租赁与资金缺口'!$I$16))))))</x:f>
        <x:v>351729591.7683795</x:v>
      </x:c>
      <x:c r="AU48" s="28" t="n">
        <x:f>SUM(IF(AU$46&lt;'融资租赁与资金缺口'!$F$5,0,IF(AU$46='融资租赁与资金缺口'!$F$5,'融资租赁与资金缺口'!$E$5,IF(((YEAR(AU$46)-YEAR('融资租赁与资金缺口'!$F$5))*12+MONTH(AU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AU$46)-YEAR('融资租赁与资金缺口'!$F$5))*12+MONTH(AU$46)-MONTH('融资租赁与资金缺口'!$F$5)),'融资租赁与资金缺口'!$E$5*(1+'融资租赁与资金缺口'!$I$5)^((YEAR(AU$46)-YEAR('融资租赁与资金缺口'!$F$5))*12+MONTH(AU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AU$46)-YEAR('融资租赁与资金缺口'!$F$5))*12+MONTH(AU$46)-MONTH('融资租赁与资金缺口'!$F$5))-1)/'融资租赁与资金缺口'!$I$5))))),IF(AU$46&lt;'融资租赁与资金缺口'!$F$6,0,IF(AU$46='融资租赁与资金缺口'!$F$6,'融资租赁与资金缺口'!$E$6,IF(((YEAR(AU$46)-YEAR('融资租赁与资金缺口'!$F$6))*12+MONTH(AU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AU$46)-YEAR('融资租赁与资金缺口'!$F$6))*12+MONTH(AU$46)-MONTH('融资租赁与资金缺口'!$F$6)),'融资租赁与资金缺口'!$E$6*(1+'融资租赁与资金缺口'!$I$6)^((YEAR(AU$46)-YEAR('融资租赁与资金缺口'!$F$6))*12+MONTH(AU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AU$46)-YEAR('融资租赁与资金缺口'!$F$6))*12+MONTH(AU$46)-MONTH('融资租赁与资金缺口'!$F$6))-1)/'融资租赁与资金缺口'!$I$6))))),IF(AU$46&lt;'融资租赁与资金缺口'!$F$7,0,IF(AU$46='融资租赁与资金缺口'!$F$7,'融资租赁与资金缺口'!$E$7,IF(((YEAR(AU$46)-YEAR('融资租赁与资金缺口'!$F$7))*12+MONTH(AU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AU$46)-YEAR('融资租赁与资金缺口'!$F$7))*12+MONTH(AU$46)-MONTH('融资租赁与资金缺口'!$F$7)),'融资租赁与资金缺口'!$E$7*(1+'融资租赁与资金缺口'!$I$7)^((YEAR(AU$46)-YEAR('融资租赁与资金缺口'!$F$7))*12+MONTH(AU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AU$46)-YEAR('融资租赁与资金缺口'!$F$7))*12+MONTH(AU$46)-MONTH('融资租赁与资金缺口'!$F$7))-1)/'融资租赁与资金缺口'!$I$7))))),IF(AU$46&lt;'融资租赁与资金缺口'!$F$8,0,IF(AU$46='融资租赁与资金缺口'!$F$8,'融资租赁与资金缺口'!$E$8,IF(((YEAR(AU$46)-YEAR('融资租赁与资金缺口'!$F$8))*12+MONTH(AU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AU$46)-YEAR('融资租赁与资金缺口'!$F$8))*12+MONTH(AU$46)-MONTH('融资租赁与资金缺口'!$F$8)),'融资租赁与资金缺口'!$E$8*(1+'融资租赁与资金缺口'!$I$8)^((YEAR(AU$46)-YEAR('融资租赁与资金缺口'!$F$8))*12+MONTH(AU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AU$46)-YEAR('融资租赁与资金缺口'!$F$8))*12+MONTH(AU$46)-MONTH('融资租赁与资金缺口'!$F$8))-1)/'融资租赁与资金缺口'!$I$8))))),IF(AU$46&lt;'融资租赁与资金缺口'!$F$9,0,IF(AU$46='融资租赁与资金缺口'!$F$9,'融资租赁与资金缺口'!$E$9,IF(((YEAR(AU$46)-YEAR('融资租赁与资金缺口'!$F$9))*12+MONTH(AU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AU$46)-YEAR('融资租赁与资金缺口'!$F$9))*12+MONTH(AU$46)-MONTH('融资租赁与资金缺口'!$F$9)),'融资租赁与资金缺口'!$E$9*(1+'融资租赁与资金缺口'!$I$9)^((YEAR(AU$46)-YEAR('融资租赁与资金缺口'!$F$9))*12+MONTH(AU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AU$46)-YEAR('融资租赁与资金缺口'!$F$9))*12+MONTH(AU$46)-MONTH('融资租赁与资金缺口'!$F$9))-1)/'融资租赁与资金缺口'!$I$9))))),IF(AU$46&lt;'融资租赁与资金缺口'!$F$10,0,IF(AU$46='融资租赁与资金缺口'!$F$10,'融资租赁与资金缺口'!$E$10,IF(((YEAR(AU$46)-YEAR('融资租赁与资金缺口'!$F$10))*12+MONTH(AU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AU$46)-YEAR('融资租赁与资金缺口'!$F$10))*12+MONTH(AU$46)-MONTH('融资租赁与资金缺口'!$F$10)),'融资租赁与资金缺口'!$E$10*(1+'融资租赁与资金缺口'!$I$10)^((YEAR(AU$46)-YEAR('融资租赁与资金缺口'!$F$10))*12+MONTH(AU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AU$46)-YEAR('融资租赁与资金缺口'!$F$10))*12+MONTH(AU$46)-MONTH('融资租赁与资金缺口'!$F$10))-1)/'融资租赁与资金缺口'!$I$10))))),IF(AU$46&lt;'融资租赁与资金缺口'!$F$11,0,IF(AU$46='融资租赁与资金缺口'!$F$11,'融资租赁与资金缺口'!$E$11,IF(((YEAR(AU$46)-YEAR('融资租赁与资金缺口'!$F$11))*12+MONTH(AU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AU$46)-YEAR('融资租赁与资金缺口'!$F$11))*12+MONTH(AU$46)-MONTH('融资租赁与资金缺口'!$F$11)),'融资租赁与资金缺口'!$E$11*(1+'融资租赁与资金缺口'!$I$11)^((YEAR(AU$46)-YEAR('融资租赁与资金缺口'!$F$11))*12+MONTH(AU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AU$46)-YEAR('融资租赁与资金缺口'!$F$11))*12+MONTH(AU$46)-MONTH('融资租赁与资金缺口'!$F$11))-1)/'融资租赁与资金缺口'!$I$11))))),IF(AU$46&lt;'融资租赁与资金缺口'!$F$12,0,IF(AU$46='融资租赁与资金缺口'!$F$12,'融资租赁与资金缺口'!$E$12,IF(((YEAR(AU$46)-YEAR('融资租赁与资金缺口'!$F$12))*12+MONTH(AU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AU$46)-YEAR('融资租赁与资金缺口'!$F$12))*12+MONTH(AU$46)-MONTH('融资租赁与资金缺口'!$F$12)),'融资租赁与资金缺口'!$E$12*(1+'融资租赁与资金缺口'!$I$12)^((YEAR(AU$46)-YEAR('融资租赁与资金缺口'!$F$12))*12+MONTH(AU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AU$46)-YEAR('融资租赁与资金缺口'!$F$12))*12+MONTH(AU$46)-MONTH('融资租赁与资金缺口'!$F$12))-1)/'融资租赁与资金缺口'!$I$12))))),IF(AU$46&lt;'融资租赁与资金缺口'!$F$13,0,IF(AU$46='融资租赁与资金缺口'!$F$13,'融资租赁与资金缺口'!$E$13,IF(((YEAR(AU$46)-YEAR('融资租赁与资金缺口'!$F$13))*12+MONTH(AU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AU$46)-YEAR('融资租赁与资金缺口'!$F$13))*12+MONTH(AU$46)-MONTH('融资租赁与资金缺口'!$F$13)),'融资租赁与资金缺口'!$E$13*(1+'融资租赁与资金缺口'!$I$13)^((YEAR(AU$46)-YEAR('融资租赁与资金缺口'!$F$13))*12+MONTH(AU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AU$46)-YEAR('融资租赁与资金缺口'!$F$13))*12+MONTH(AU$46)-MONTH('融资租赁与资金缺口'!$F$13))-1)/'融资租赁与资金缺口'!$I$13))))),IF(AU$46&lt;'融资租赁与资金缺口'!$F$14,0,IF(AU$46='融资租赁与资金缺口'!$F$14,'融资租赁与资金缺口'!$E$14,IF(((YEAR(AU$46)-YEAR('融资租赁与资金缺口'!$F$14))*12+MONTH(AU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AU$46)-YEAR('融资租赁与资金缺口'!$F$14))*12+MONTH(AU$46)-MONTH('融资租赁与资金缺口'!$F$14)),'融资租赁与资金缺口'!$E$14*(1+'融资租赁与资金缺口'!$I$14)^((YEAR(AU$46)-YEAR('融资租赁与资金缺口'!$F$14))*12+MONTH(AU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AU$46)-YEAR('融资租赁与资金缺口'!$F$14))*12+MONTH(AU$46)-MONTH('融资租赁与资金缺口'!$F$14))-1)/'融资租赁与资金缺口'!$I$14))))),IF(AU$46&lt;'融资租赁与资金缺口'!$F$15,0,IF(AU$46='融资租赁与资金缺口'!$F$15,'融资租赁与资金缺口'!$E$15,IF(((YEAR(AU$46)-YEAR('融资租赁与资金缺口'!$F$15))*12+MONTH(AU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AU$46)-YEAR('融资租赁与资金缺口'!$F$15))*12+MONTH(AU$46)-MONTH('融资租赁与资金缺口'!$F$15)),'融资租赁与资金缺口'!$E$15*(1+'融资租赁与资金缺口'!$I$15)^((YEAR(AU$46)-YEAR('融资租赁与资金缺口'!$F$15))*12+MONTH(AU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AU$46)-YEAR('融资租赁与资金缺口'!$F$15))*12+MONTH(AU$46)-MONTH('融资租赁与资金缺口'!$F$15))-1)/'融资租赁与资金缺口'!$I$15))))),IF(AU$46&lt;'融资租赁与资金缺口'!$F$16,0,IF(AU$46='融资租赁与资金缺口'!$F$16,'融资租赁与资金缺口'!$E$16,IF(((YEAR(AU$46)-YEAR('融资租赁与资金缺口'!$F$16))*12+MONTH(AU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AU$46)-YEAR('融资租赁与资金缺口'!$F$16))*12+MONTH(AU$46)-MONTH('融资租赁与资金缺口'!$F$16)),'融资租赁与资金缺口'!$E$16*(1+'融资租赁与资金缺口'!$I$16)^((YEAR(AU$46)-YEAR('融资租赁与资金缺口'!$F$16))*12+MONTH(AU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AU$46)-YEAR('融资租赁与资金缺口'!$F$16))*12+MONTH(AU$46)-MONTH('融资租赁与资金缺口'!$F$16))-1)/'融资租赁与资金缺口'!$I$16))))))</x:f>
        <x:v>322228620.7333595</x:v>
      </x:c>
      <x:c r="AV48" s="28" t="n">
        <x:f>SUM(IF(AV$46&lt;'融资租赁与资金缺口'!$F$5,0,IF(AV$46='融资租赁与资金缺口'!$F$5,'融资租赁与资金缺口'!$E$5,IF(((YEAR(AV$46)-YEAR('融资租赁与资金缺口'!$F$5))*12+MONTH(AV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AV$46)-YEAR('融资租赁与资金缺口'!$F$5))*12+MONTH(AV$46)-MONTH('融资租赁与资金缺口'!$F$5)),'融资租赁与资金缺口'!$E$5*(1+'融资租赁与资金缺口'!$I$5)^((YEAR(AV$46)-YEAR('融资租赁与资金缺口'!$F$5))*12+MONTH(AV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AV$46)-YEAR('融资租赁与资金缺口'!$F$5))*12+MONTH(AV$46)-MONTH('融资租赁与资金缺口'!$F$5))-1)/'融资租赁与资金缺口'!$I$5))))),IF(AV$46&lt;'融资租赁与资金缺口'!$F$6,0,IF(AV$46='融资租赁与资金缺口'!$F$6,'融资租赁与资金缺口'!$E$6,IF(((YEAR(AV$46)-YEAR('融资租赁与资金缺口'!$F$6))*12+MONTH(AV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AV$46)-YEAR('融资租赁与资金缺口'!$F$6))*12+MONTH(AV$46)-MONTH('融资租赁与资金缺口'!$F$6)),'融资租赁与资金缺口'!$E$6*(1+'融资租赁与资金缺口'!$I$6)^((YEAR(AV$46)-YEAR('融资租赁与资金缺口'!$F$6))*12+MONTH(AV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AV$46)-YEAR('融资租赁与资金缺口'!$F$6))*12+MONTH(AV$46)-MONTH('融资租赁与资金缺口'!$F$6))-1)/'融资租赁与资金缺口'!$I$6))))),IF(AV$46&lt;'融资租赁与资金缺口'!$F$7,0,IF(AV$46='融资租赁与资金缺口'!$F$7,'融资租赁与资金缺口'!$E$7,IF(((YEAR(AV$46)-YEAR('融资租赁与资金缺口'!$F$7))*12+MONTH(AV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AV$46)-YEAR('融资租赁与资金缺口'!$F$7))*12+MONTH(AV$46)-MONTH('融资租赁与资金缺口'!$F$7)),'融资租赁与资金缺口'!$E$7*(1+'融资租赁与资金缺口'!$I$7)^((YEAR(AV$46)-YEAR('融资租赁与资金缺口'!$F$7))*12+MONTH(AV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AV$46)-YEAR('融资租赁与资金缺口'!$F$7))*12+MONTH(AV$46)-MONTH('融资租赁与资金缺口'!$F$7))-1)/'融资租赁与资金缺口'!$I$7))))),IF(AV$46&lt;'融资租赁与资金缺口'!$F$8,0,IF(AV$46='融资租赁与资金缺口'!$F$8,'融资租赁与资金缺口'!$E$8,IF(((YEAR(AV$46)-YEAR('融资租赁与资金缺口'!$F$8))*12+MONTH(AV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AV$46)-YEAR('融资租赁与资金缺口'!$F$8))*12+MONTH(AV$46)-MONTH('融资租赁与资金缺口'!$F$8)),'融资租赁与资金缺口'!$E$8*(1+'融资租赁与资金缺口'!$I$8)^((YEAR(AV$46)-YEAR('融资租赁与资金缺口'!$F$8))*12+MONTH(AV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AV$46)-YEAR('融资租赁与资金缺口'!$F$8))*12+MONTH(AV$46)-MONTH('融资租赁与资金缺口'!$F$8))-1)/'融资租赁与资金缺口'!$I$8))))),IF(AV$46&lt;'融资租赁与资金缺口'!$F$9,0,IF(AV$46='融资租赁与资金缺口'!$F$9,'融资租赁与资金缺口'!$E$9,IF(((YEAR(AV$46)-YEAR('融资租赁与资金缺口'!$F$9))*12+MONTH(AV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AV$46)-YEAR('融资租赁与资金缺口'!$F$9))*12+MONTH(AV$46)-MONTH('融资租赁与资金缺口'!$F$9)),'融资租赁与资金缺口'!$E$9*(1+'融资租赁与资金缺口'!$I$9)^((YEAR(AV$46)-YEAR('融资租赁与资金缺口'!$F$9))*12+MONTH(AV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AV$46)-YEAR('融资租赁与资金缺口'!$F$9))*12+MONTH(AV$46)-MONTH('融资租赁与资金缺口'!$F$9))-1)/'融资租赁与资金缺口'!$I$9))))),IF(AV$46&lt;'融资租赁与资金缺口'!$F$10,0,IF(AV$46='融资租赁与资金缺口'!$F$10,'融资租赁与资金缺口'!$E$10,IF(((YEAR(AV$46)-YEAR('融资租赁与资金缺口'!$F$10))*12+MONTH(AV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AV$46)-YEAR('融资租赁与资金缺口'!$F$10))*12+MONTH(AV$46)-MONTH('融资租赁与资金缺口'!$F$10)),'融资租赁与资金缺口'!$E$10*(1+'融资租赁与资金缺口'!$I$10)^((YEAR(AV$46)-YEAR('融资租赁与资金缺口'!$F$10))*12+MONTH(AV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AV$46)-YEAR('融资租赁与资金缺口'!$F$10))*12+MONTH(AV$46)-MONTH('融资租赁与资金缺口'!$F$10))-1)/'融资租赁与资金缺口'!$I$10))))),IF(AV$46&lt;'融资租赁与资金缺口'!$F$11,0,IF(AV$46='融资租赁与资金缺口'!$F$11,'融资租赁与资金缺口'!$E$11,IF(((YEAR(AV$46)-YEAR('融资租赁与资金缺口'!$F$11))*12+MONTH(AV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AV$46)-YEAR('融资租赁与资金缺口'!$F$11))*12+MONTH(AV$46)-MONTH('融资租赁与资金缺口'!$F$11)),'融资租赁与资金缺口'!$E$11*(1+'融资租赁与资金缺口'!$I$11)^((YEAR(AV$46)-YEAR('融资租赁与资金缺口'!$F$11))*12+MONTH(AV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AV$46)-YEAR('融资租赁与资金缺口'!$F$11))*12+MONTH(AV$46)-MONTH('融资租赁与资金缺口'!$F$11))-1)/'融资租赁与资金缺口'!$I$11))))),IF(AV$46&lt;'融资租赁与资金缺口'!$F$12,0,IF(AV$46='融资租赁与资金缺口'!$F$12,'融资租赁与资金缺口'!$E$12,IF(((YEAR(AV$46)-YEAR('融资租赁与资金缺口'!$F$12))*12+MONTH(AV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AV$46)-YEAR('融资租赁与资金缺口'!$F$12))*12+MONTH(AV$46)-MONTH('融资租赁与资金缺口'!$F$12)),'融资租赁与资金缺口'!$E$12*(1+'融资租赁与资金缺口'!$I$12)^((YEAR(AV$46)-YEAR('融资租赁与资金缺口'!$F$12))*12+MONTH(AV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AV$46)-YEAR('融资租赁与资金缺口'!$F$12))*12+MONTH(AV$46)-MONTH('融资租赁与资金缺口'!$F$12))-1)/'融资租赁与资金缺口'!$I$12))))),IF(AV$46&lt;'融资租赁与资金缺口'!$F$13,0,IF(AV$46='融资租赁与资金缺口'!$F$13,'融资租赁与资金缺口'!$E$13,IF(((YEAR(AV$46)-YEAR('融资租赁与资金缺口'!$F$13))*12+MONTH(AV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AV$46)-YEAR('融资租赁与资金缺口'!$F$13))*12+MONTH(AV$46)-MONTH('融资租赁与资金缺口'!$F$13)),'融资租赁与资金缺口'!$E$13*(1+'融资租赁与资金缺口'!$I$13)^((YEAR(AV$46)-YEAR('融资租赁与资金缺口'!$F$13))*12+MONTH(AV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AV$46)-YEAR('融资租赁与资金缺口'!$F$13))*12+MONTH(AV$46)-MONTH('融资租赁与资金缺口'!$F$13))-1)/'融资租赁与资金缺口'!$I$13))))),IF(AV$46&lt;'融资租赁与资金缺口'!$F$14,0,IF(AV$46='融资租赁与资金缺口'!$F$14,'融资租赁与资金缺口'!$E$14,IF(((YEAR(AV$46)-YEAR('融资租赁与资金缺口'!$F$14))*12+MONTH(AV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AV$46)-YEAR('融资租赁与资金缺口'!$F$14))*12+MONTH(AV$46)-MONTH('融资租赁与资金缺口'!$F$14)),'融资租赁与资金缺口'!$E$14*(1+'融资租赁与资金缺口'!$I$14)^((YEAR(AV$46)-YEAR('融资租赁与资金缺口'!$F$14))*12+MONTH(AV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AV$46)-YEAR('融资租赁与资金缺口'!$F$14))*12+MONTH(AV$46)-MONTH('融资租赁与资金缺口'!$F$14))-1)/'融资租赁与资金缺口'!$I$14))))),IF(AV$46&lt;'融资租赁与资金缺口'!$F$15,0,IF(AV$46='融资租赁与资金缺口'!$F$15,'融资租赁与资金缺口'!$E$15,IF(((YEAR(AV$46)-YEAR('融资租赁与资金缺口'!$F$15))*12+MONTH(AV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AV$46)-YEAR('融资租赁与资金缺口'!$F$15))*12+MONTH(AV$46)-MONTH('融资租赁与资金缺口'!$F$15)),'融资租赁与资金缺口'!$E$15*(1+'融资租赁与资金缺口'!$I$15)^((YEAR(AV$46)-YEAR('融资租赁与资金缺口'!$F$15))*12+MONTH(AV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AV$46)-YEAR('融资租赁与资金缺口'!$F$15))*12+MONTH(AV$46)-MONTH('融资租赁与资金缺口'!$F$15))-1)/'融资租赁与资金缺口'!$I$15))))),IF(AV$46&lt;'融资租赁与资金缺口'!$F$16,0,IF(AV$46='融资租赁与资金缺口'!$F$16,'融资租赁与资金缺口'!$E$16,IF(((YEAR(AV$46)-YEAR('融资租赁与资金缺口'!$F$16))*12+MONTH(AV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AV$46)-YEAR('融资租赁与资金缺口'!$F$16))*12+MONTH(AV$46)-MONTH('融资租赁与资金缺口'!$F$16)),'融资租赁与资金缺口'!$E$16*(1+'融资租赁与资金缺口'!$I$16)^((YEAR(AV$46)-YEAR('融资租赁与资金缺口'!$F$16))*12+MONTH(AV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AV$46)-YEAR('融资租赁与资金缺口'!$F$16))*12+MONTH(AV$46)-MONTH('融资租赁与资金缺口'!$F$16))-1)/'融资租赁与资金缺口'!$I$16))))))</x:f>
        <x:v>292530976.55810606</x:v>
      </x:c>
      <x:c r="AW48" s="28" t="n">
        <x:f>SUM(IF(AW$46&lt;'融资租赁与资金缺口'!$F$5,0,IF(AW$46='融资租赁与资金缺口'!$F$5,'融资租赁与资金缺口'!$E$5,IF(((YEAR(AW$46)-YEAR('融资租赁与资金缺口'!$F$5))*12+MONTH(AW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AW$46)-YEAR('融资租赁与资金缺口'!$F$5))*12+MONTH(AW$46)-MONTH('融资租赁与资金缺口'!$F$5)),'融资租赁与资金缺口'!$E$5*(1+'融资租赁与资金缺口'!$I$5)^((YEAR(AW$46)-YEAR('融资租赁与资金缺口'!$F$5))*12+MONTH(AW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AW$46)-YEAR('融资租赁与资金缺口'!$F$5))*12+MONTH(AW$46)-MONTH('融资租赁与资金缺口'!$F$5))-1)/'融资租赁与资金缺口'!$I$5))))),IF(AW$46&lt;'融资租赁与资金缺口'!$F$6,0,IF(AW$46='融资租赁与资金缺口'!$F$6,'融资租赁与资金缺口'!$E$6,IF(((YEAR(AW$46)-YEAR('融资租赁与资金缺口'!$F$6))*12+MONTH(AW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AW$46)-YEAR('融资租赁与资金缺口'!$F$6))*12+MONTH(AW$46)-MONTH('融资租赁与资金缺口'!$F$6)),'融资租赁与资金缺口'!$E$6*(1+'融资租赁与资金缺口'!$I$6)^((YEAR(AW$46)-YEAR('融资租赁与资金缺口'!$F$6))*12+MONTH(AW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AW$46)-YEAR('融资租赁与资金缺口'!$F$6))*12+MONTH(AW$46)-MONTH('融资租赁与资金缺口'!$F$6))-1)/'融资租赁与资金缺口'!$I$6))))),IF(AW$46&lt;'融资租赁与资金缺口'!$F$7,0,IF(AW$46='融资租赁与资金缺口'!$F$7,'融资租赁与资金缺口'!$E$7,IF(((YEAR(AW$46)-YEAR('融资租赁与资金缺口'!$F$7))*12+MONTH(AW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AW$46)-YEAR('融资租赁与资金缺口'!$F$7))*12+MONTH(AW$46)-MONTH('融资租赁与资金缺口'!$F$7)),'融资租赁与资金缺口'!$E$7*(1+'融资租赁与资金缺口'!$I$7)^((YEAR(AW$46)-YEAR('融资租赁与资金缺口'!$F$7))*12+MONTH(AW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AW$46)-YEAR('融资租赁与资金缺口'!$F$7))*12+MONTH(AW$46)-MONTH('融资租赁与资金缺口'!$F$7))-1)/'融资租赁与资金缺口'!$I$7))))),IF(AW$46&lt;'融资租赁与资金缺口'!$F$8,0,IF(AW$46='融资租赁与资金缺口'!$F$8,'融资租赁与资金缺口'!$E$8,IF(((YEAR(AW$46)-YEAR('融资租赁与资金缺口'!$F$8))*12+MONTH(AW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AW$46)-YEAR('融资租赁与资金缺口'!$F$8))*12+MONTH(AW$46)-MONTH('融资租赁与资金缺口'!$F$8)),'融资租赁与资金缺口'!$E$8*(1+'融资租赁与资金缺口'!$I$8)^((YEAR(AW$46)-YEAR('融资租赁与资金缺口'!$F$8))*12+MONTH(AW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AW$46)-YEAR('融资租赁与资金缺口'!$F$8))*12+MONTH(AW$46)-MONTH('融资租赁与资金缺口'!$F$8))-1)/'融资租赁与资金缺口'!$I$8))))),IF(AW$46&lt;'融资租赁与资金缺口'!$F$9,0,IF(AW$46='融资租赁与资金缺口'!$F$9,'融资租赁与资金缺口'!$E$9,IF(((YEAR(AW$46)-YEAR('融资租赁与资金缺口'!$F$9))*12+MONTH(AW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AW$46)-YEAR('融资租赁与资金缺口'!$F$9))*12+MONTH(AW$46)-MONTH('融资租赁与资金缺口'!$F$9)),'融资租赁与资金缺口'!$E$9*(1+'融资租赁与资金缺口'!$I$9)^((YEAR(AW$46)-YEAR('融资租赁与资金缺口'!$F$9))*12+MONTH(AW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AW$46)-YEAR('融资租赁与资金缺口'!$F$9))*12+MONTH(AW$46)-MONTH('融资租赁与资金缺口'!$F$9))-1)/'融资租赁与资金缺口'!$I$9))))),IF(AW$46&lt;'融资租赁与资金缺口'!$F$10,0,IF(AW$46='融资租赁与资金缺口'!$F$10,'融资租赁与资金缺口'!$E$10,IF(((YEAR(AW$46)-YEAR('融资租赁与资金缺口'!$F$10))*12+MONTH(AW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AW$46)-YEAR('融资租赁与资金缺口'!$F$10))*12+MONTH(AW$46)-MONTH('融资租赁与资金缺口'!$F$10)),'融资租赁与资金缺口'!$E$10*(1+'融资租赁与资金缺口'!$I$10)^((YEAR(AW$46)-YEAR('融资租赁与资金缺口'!$F$10))*12+MONTH(AW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AW$46)-YEAR('融资租赁与资金缺口'!$F$10))*12+MONTH(AW$46)-MONTH('融资租赁与资金缺口'!$F$10))-1)/'融资租赁与资金缺口'!$I$10))))),IF(AW$46&lt;'融资租赁与资金缺口'!$F$11,0,IF(AW$46='融资租赁与资金缺口'!$F$11,'融资租赁与资金缺口'!$E$11,IF(((YEAR(AW$46)-YEAR('融资租赁与资金缺口'!$F$11))*12+MONTH(AW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AW$46)-YEAR('融资租赁与资金缺口'!$F$11))*12+MONTH(AW$46)-MONTH('融资租赁与资金缺口'!$F$11)),'融资租赁与资金缺口'!$E$11*(1+'融资租赁与资金缺口'!$I$11)^((YEAR(AW$46)-YEAR('融资租赁与资金缺口'!$F$11))*12+MONTH(AW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AW$46)-YEAR('融资租赁与资金缺口'!$F$11))*12+MONTH(AW$46)-MONTH('融资租赁与资金缺口'!$F$11))-1)/'融资租赁与资金缺口'!$I$11))))),IF(AW$46&lt;'融资租赁与资金缺口'!$F$12,0,IF(AW$46='融资租赁与资金缺口'!$F$12,'融资租赁与资金缺口'!$E$12,IF(((YEAR(AW$46)-YEAR('融资租赁与资金缺口'!$F$12))*12+MONTH(AW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AW$46)-YEAR('融资租赁与资金缺口'!$F$12))*12+MONTH(AW$46)-MONTH('融资租赁与资金缺口'!$F$12)),'融资租赁与资金缺口'!$E$12*(1+'融资租赁与资金缺口'!$I$12)^((YEAR(AW$46)-YEAR('融资租赁与资金缺口'!$F$12))*12+MONTH(AW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AW$46)-YEAR('融资租赁与资金缺口'!$F$12))*12+MONTH(AW$46)-MONTH('融资租赁与资金缺口'!$F$12))-1)/'融资租赁与资金缺口'!$I$12))))),IF(AW$46&lt;'融资租赁与资金缺口'!$F$13,0,IF(AW$46='融资租赁与资金缺口'!$F$13,'融资租赁与资金缺口'!$E$13,IF(((YEAR(AW$46)-YEAR('融资租赁与资金缺口'!$F$13))*12+MONTH(AW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AW$46)-YEAR('融资租赁与资金缺口'!$F$13))*12+MONTH(AW$46)-MONTH('融资租赁与资金缺口'!$F$13)),'融资租赁与资金缺口'!$E$13*(1+'融资租赁与资金缺口'!$I$13)^((YEAR(AW$46)-YEAR('融资租赁与资金缺口'!$F$13))*12+MONTH(AW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AW$46)-YEAR('融资租赁与资金缺口'!$F$13))*12+MONTH(AW$46)-MONTH('融资租赁与资金缺口'!$F$13))-1)/'融资租赁与资金缺口'!$I$13))))),IF(AW$46&lt;'融资租赁与资金缺口'!$F$14,0,IF(AW$46='融资租赁与资金缺口'!$F$14,'融资租赁与资金缺口'!$E$14,IF(((YEAR(AW$46)-YEAR('融资租赁与资金缺口'!$F$14))*12+MONTH(AW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AW$46)-YEAR('融资租赁与资金缺口'!$F$14))*12+MONTH(AW$46)-MONTH('融资租赁与资金缺口'!$F$14)),'融资租赁与资金缺口'!$E$14*(1+'融资租赁与资金缺口'!$I$14)^((YEAR(AW$46)-YEAR('融资租赁与资金缺口'!$F$14))*12+MONTH(AW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AW$46)-YEAR('融资租赁与资金缺口'!$F$14))*12+MONTH(AW$46)-MONTH('融资租赁与资金缺口'!$F$14))-1)/'融资租赁与资金缺口'!$I$14))))),IF(AW$46&lt;'融资租赁与资金缺口'!$F$15,0,IF(AW$46='融资租赁与资金缺口'!$F$15,'融资租赁与资金缺口'!$E$15,IF(((YEAR(AW$46)-YEAR('融资租赁与资金缺口'!$F$15))*12+MONTH(AW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AW$46)-YEAR('融资租赁与资金缺口'!$F$15))*12+MONTH(AW$46)-MONTH('融资租赁与资金缺口'!$F$15)),'融资租赁与资金缺口'!$E$15*(1+'融资租赁与资金缺口'!$I$15)^((YEAR(AW$46)-YEAR('融资租赁与资金缺口'!$F$15))*12+MONTH(AW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AW$46)-YEAR('融资租赁与资金缺口'!$F$15))*12+MONTH(AW$46)-MONTH('融资租赁与资金缺口'!$F$15))-1)/'融资租赁与资金缺口'!$I$15))))),IF(AW$46&lt;'融资租赁与资金缺口'!$F$16,0,IF(AW$46='融资租赁与资金缺口'!$F$16,'融资租赁与资金缺口'!$E$16,IF(((YEAR(AW$46)-YEAR('融资租赁与资金缺口'!$F$16))*12+MONTH(AW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AW$46)-YEAR('融资租赁与资金缺口'!$F$16))*12+MONTH(AW$46)-MONTH('融资租赁与资金缺口'!$F$16)),'融资租赁与资金缺口'!$E$16*(1+'融资租赁与资金缺口'!$I$16)^((YEAR(AW$46)-YEAR('融资租赁与资金缺口'!$F$16))*12+MONTH(AW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AW$46)-YEAR('融资租赁与资金缺口'!$F$16))*12+MONTH(AW$46)-MONTH('融资租赁与资金缺口'!$F$16))-1)/'融资租赁与资金缺口'!$I$16))))))</x:f>
        <x:v>262635348.08835092</x:v>
      </x:c>
      <x:c r="AX48" s="28" t="n">
        <x:f>SUM(IF(AX$46&lt;'融资租赁与资金缺口'!$F$5,0,IF(AX$46='融资租赁与资金缺口'!$F$5,'融资租赁与资金缺口'!$E$5,IF(((YEAR(AX$46)-YEAR('融资租赁与资金缺口'!$F$5))*12+MONTH(AX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AX$46)-YEAR('融资租赁与资金缺口'!$F$5))*12+MONTH(AX$46)-MONTH('融资租赁与资金缺口'!$F$5)),'融资租赁与资金缺口'!$E$5*(1+'融资租赁与资金缺口'!$I$5)^((YEAR(AX$46)-YEAR('融资租赁与资金缺口'!$F$5))*12+MONTH(AX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AX$46)-YEAR('融资租赁与资金缺口'!$F$5))*12+MONTH(AX$46)-MONTH('融资租赁与资金缺口'!$F$5))-1)/'融资租赁与资金缺口'!$I$5))))),IF(AX$46&lt;'融资租赁与资金缺口'!$F$6,0,IF(AX$46='融资租赁与资金缺口'!$F$6,'融资租赁与资金缺口'!$E$6,IF(((YEAR(AX$46)-YEAR('融资租赁与资金缺口'!$F$6))*12+MONTH(AX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AX$46)-YEAR('融资租赁与资金缺口'!$F$6))*12+MONTH(AX$46)-MONTH('融资租赁与资金缺口'!$F$6)),'融资租赁与资金缺口'!$E$6*(1+'融资租赁与资金缺口'!$I$6)^((YEAR(AX$46)-YEAR('融资租赁与资金缺口'!$F$6))*12+MONTH(AX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AX$46)-YEAR('融资租赁与资金缺口'!$F$6))*12+MONTH(AX$46)-MONTH('融资租赁与资金缺口'!$F$6))-1)/'融资租赁与资金缺口'!$I$6))))),IF(AX$46&lt;'融资租赁与资金缺口'!$F$7,0,IF(AX$46='融资租赁与资金缺口'!$F$7,'融资租赁与资金缺口'!$E$7,IF(((YEAR(AX$46)-YEAR('融资租赁与资金缺口'!$F$7))*12+MONTH(AX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AX$46)-YEAR('融资租赁与资金缺口'!$F$7))*12+MONTH(AX$46)-MONTH('融资租赁与资金缺口'!$F$7)),'融资租赁与资金缺口'!$E$7*(1+'融资租赁与资金缺口'!$I$7)^((YEAR(AX$46)-YEAR('融资租赁与资金缺口'!$F$7))*12+MONTH(AX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AX$46)-YEAR('融资租赁与资金缺口'!$F$7))*12+MONTH(AX$46)-MONTH('融资租赁与资金缺口'!$F$7))-1)/'融资租赁与资金缺口'!$I$7))))),IF(AX$46&lt;'融资租赁与资金缺口'!$F$8,0,IF(AX$46='融资租赁与资金缺口'!$F$8,'融资租赁与资金缺口'!$E$8,IF(((YEAR(AX$46)-YEAR('融资租赁与资金缺口'!$F$8))*12+MONTH(AX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AX$46)-YEAR('融资租赁与资金缺口'!$F$8))*12+MONTH(AX$46)-MONTH('融资租赁与资金缺口'!$F$8)),'融资租赁与资金缺口'!$E$8*(1+'融资租赁与资金缺口'!$I$8)^((YEAR(AX$46)-YEAR('融资租赁与资金缺口'!$F$8))*12+MONTH(AX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AX$46)-YEAR('融资租赁与资金缺口'!$F$8))*12+MONTH(AX$46)-MONTH('融资租赁与资金缺口'!$F$8))-1)/'融资租赁与资金缺口'!$I$8))))),IF(AX$46&lt;'融资租赁与资金缺口'!$F$9,0,IF(AX$46='融资租赁与资金缺口'!$F$9,'融资租赁与资金缺口'!$E$9,IF(((YEAR(AX$46)-YEAR('融资租赁与资金缺口'!$F$9))*12+MONTH(AX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AX$46)-YEAR('融资租赁与资金缺口'!$F$9))*12+MONTH(AX$46)-MONTH('融资租赁与资金缺口'!$F$9)),'融资租赁与资金缺口'!$E$9*(1+'融资租赁与资金缺口'!$I$9)^((YEAR(AX$46)-YEAR('融资租赁与资金缺口'!$F$9))*12+MONTH(AX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AX$46)-YEAR('融资租赁与资金缺口'!$F$9))*12+MONTH(AX$46)-MONTH('融资租赁与资金缺口'!$F$9))-1)/'融资租赁与资金缺口'!$I$9))))),IF(AX$46&lt;'融资租赁与资金缺口'!$F$10,0,IF(AX$46='融资租赁与资金缺口'!$F$10,'融资租赁与资金缺口'!$E$10,IF(((YEAR(AX$46)-YEAR('融资租赁与资金缺口'!$F$10))*12+MONTH(AX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AX$46)-YEAR('融资租赁与资金缺口'!$F$10))*12+MONTH(AX$46)-MONTH('融资租赁与资金缺口'!$F$10)),'融资租赁与资金缺口'!$E$10*(1+'融资租赁与资金缺口'!$I$10)^((YEAR(AX$46)-YEAR('融资租赁与资金缺口'!$F$10))*12+MONTH(AX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AX$46)-YEAR('融资租赁与资金缺口'!$F$10))*12+MONTH(AX$46)-MONTH('融资租赁与资金缺口'!$F$10))-1)/'融资租赁与资金缺口'!$I$10))))),IF(AX$46&lt;'融资租赁与资金缺口'!$F$11,0,IF(AX$46='融资租赁与资金缺口'!$F$11,'融资租赁与资金缺口'!$E$11,IF(((YEAR(AX$46)-YEAR('融资租赁与资金缺口'!$F$11))*12+MONTH(AX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AX$46)-YEAR('融资租赁与资金缺口'!$F$11))*12+MONTH(AX$46)-MONTH('融资租赁与资金缺口'!$F$11)),'融资租赁与资金缺口'!$E$11*(1+'融资租赁与资金缺口'!$I$11)^((YEAR(AX$46)-YEAR('融资租赁与资金缺口'!$F$11))*12+MONTH(AX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AX$46)-YEAR('融资租赁与资金缺口'!$F$11))*12+MONTH(AX$46)-MONTH('融资租赁与资金缺口'!$F$11))-1)/'融资租赁与资金缺口'!$I$11))))),IF(AX$46&lt;'融资租赁与资金缺口'!$F$12,0,IF(AX$46='融资租赁与资金缺口'!$F$12,'融资租赁与资金缺口'!$E$12,IF(((YEAR(AX$46)-YEAR('融资租赁与资金缺口'!$F$12))*12+MONTH(AX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AX$46)-YEAR('融资租赁与资金缺口'!$F$12))*12+MONTH(AX$46)-MONTH('融资租赁与资金缺口'!$F$12)),'融资租赁与资金缺口'!$E$12*(1+'融资租赁与资金缺口'!$I$12)^((YEAR(AX$46)-YEAR('融资租赁与资金缺口'!$F$12))*12+MONTH(AX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AX$46)-YEAR('融资租赁与资金缺口'!$F$12))*12+MONTH(AX$46)-MONTH('融资租赁与资金缺口'!$F$12))-1)/'融资租赁与资金缺口'!$I$12))))),IF(AX$46&lt;'融资租赁与资金缺口'!$F$13,0,IF(AX$46='融资租赁与资金缺口'!$F$13,'融资租赁与资金缺口'!$E$13,IF(((YEAR(AX$46)-YEAR('融资租赁与资金缺口'!$F$13))*12+MONTH(AX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AX$46)-YEAR('融资租赁与资金缺口'!$F$13))*12+MONTH(AX$46)-MONTH('融资租赁与资金缺口'!$F$13)),'融资租赁与资金缺口'!$E$13*(1+'融资租赁与资金缺口'!$I$13)^((YEAR(AX$46)-YEAR('融资租赁与资金缺口'!$F$13))*12+MONTH(AX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AX$46)-YEAR('融资租赁与资金缺口'!$F$13))*12+MONTH(AX$46)-MONTH('融资租赁与资金缺口'!$F$13))-1)/'融资租赁与资金缺口'!$I$13))))),IF(AX$46&lt;'融资租赁与资金缺口'!$F$14,0,IF(AX$46='融资租赁与资金缺口'!$F$14,'融资租赁与资金缺口'!$E$14,IF(((YEAR(AX$46)-YEAR('融资租赁与资金缺口'!$F$14))*12+MONTH(AX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AX$46)-YEAR('融资租赁与资金缺口'!$F$14))*12+MONTH(AX$46)-MONTH('融资租赁与资金缺口'!$F$14)),'融资租赁与资金缺口'!$E$14*(1+'融资租赁与资金缺口'!$I$14)^((YEAR(AX$46)-YEAR('融资租赁与资金缺口'!$F$14))*12+MONTH(AX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AX$46)-YEAR('融资租赁与资金缺口'!$F$14))*12+MONTH(AX$46)-MONTH('融资租赁与资金缺口'!$F$14))-1)/'融资租赁与资金缺口'!$I$14))))),IF(AX$46&lt;'融资租赁与资金缺口'!$F$15,0,IF(AX$46='融资租赁与资金缺口'!$F$15,'融资租赁与资金缺口'!$E$15,IF(((YEAR(AX$46)-YEAR('融资租赁与资金缺口'!$F$15))*12+MONTH(AX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AX$46)-YEAR('融资租赁与资金缺口'!$F$15))*12+MONTH(AX$46)-MONTH('融资租赁与资金缺口'!$F$15)),'融资租赁与资金缺口'!$E$15*(1+'融资租赁与资金缺口'!$I$15)^((YEAR(AX$46)-YEAR('融资租赁与资金缺口'!$F$15))*12+MONTH(AX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AX$46)-YEAR('融资租赁与资金缺口'!$F$15))*12+MONTH(AX$46)-MONTH('融资租赁与资金缺口'!$F$15))-1)/'融资租赁与资金缺口'!$I$15))))),IF(AX$46&lt;'融资租赁与资金缺口'!$F$16,0,IF(AX$46='融资租赁与资金缺口'!$F$16,'融资租赁与资金缺口'!$E$16,IF(((YEAR(AX$46)-YEAR('融资租赁与资金缺口'!$F$16))*12+MONTH(AX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AX$46)-YEAR('融资租赁与资金缺口'!$F$16))*12+MONTH(AX$46)-MONTH('融资租赁与资金缺口'!$F$16)),'融资租赁与资金缺口'!$E$16*(1+'融资租赁与资金缺口'!$I$16)^((YEAR(AX$46)-YEAR('融资租赁与资金缺口'!$F$16))*12+MONTH(AX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AX$46)-YEAR('融资租赁与资金缺口'!$F$16))*12+MONTH(AX$46)-MONTH('融资租赁与资金缺口'!$F$16))-1)/'融资租赁与资金缺口'!$I$16))))))</x:f>
        <x:v>232540415.42879742</x:v>
      </x:c>
      <x:c r="AY48" s="28" t="n">
        <x:f>SUM(IF(AY$46&lt;'融资租赁与资金缺口'!$F$5,0,IF(AY$46='融资租赁与资金缺口'!$F$5,'融资租赁与资金缺口'!$E$5,IF(((YEAR(AY$46)-YEAR('融资租赁与资金缺口'!$F$5))*12+MONTH(AY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AY$46)-YEAR('融资租赁与资金缺口'!$F$5))*12+MONTH(AY$46)-MONTH('融资租赁与资金缺口'!$F$5)),'融资租赁与资金缺口'!$E$5*(1+'融资租赁与资金缺口'!$I$5)^((YEAR(AY$46)-YEAR('融资租赁与资金缺口'!$F$5))*12+MONTH(AY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AY$46)-YEAR('融资租赁与资金缺口'!$F$5))*12+MONTH(AY$46)-MONTH('融资租赁与资金缺口'!$F$5))-1)/'融资租赁与资金缺口'!$I$5))))),IF(AY$46&lt;'融资租赁与资金缺口'!$F$6,0,IF(AY$46='融资租赁与资金缺口'!$F$6,'融资租赁与资金缺口'!$E$6,IF(((YEAR(AY$46)-YEAR('融资租赁与资金缺口'!$F$6))*12+MONTH(AY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AY$46)-YEAR('融资租赁与资金缺口'!$F$6))*12+MONTH(AY$46)-MONTH('融资租赁与资金缺口'!$F$6)),'融资租赁与资金缺口'!$E$6*(1+'融资租赁与资金缺口'!$I$6)^((YEAR(AY$46)-YEAR('融资租赁与资金缺口'!$F$6))*12+MONTH(AY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AY$46)-YEAR('融资租赁与资金缺口'!$F$6))*12+MONTH(AY$46)-MONTH('融资租赁与资金缺口'!$F$6))-1)/'融资租赁与资金缺口'!$I$6))))),IF(AY$46&lt;'融资租赁与资金缺口'!$F$7,0,IF(AY$46='融资租赁与资金缺口'!$F$7,'融资租赁与资金缺口'!$E$7,IF(((YEAR(AY$46)-YEAR('融资租赁与资金缺口'!$F$7))*12+MONTH(AY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AY$46)-YEAR('融资租赁与资金缺口'!$F$7))*12+MONTH(AY$46)-MONTH('融资租赁与资金缺口'!$F$7)),'融资租赁与资金缺口'!$E$7*(1+'融资租赁与资金缺口'!$I$7)^((YEAR(AY$46)-YEAR('融资租赁与资金缺口'!$F$7))*12+MONTH(AY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AY$46)-YEAR('融资租赁与资金缺口'!$F$7))*12+MONTH(AY$46)-MONTH('融资租赁与资金缺口'!$F$7))-1)/'融资租赁与资金缺口'!$I$7))))),IF(AY$46&lt;'融资租赁与资金缺口'!$F$8,0,IF(AY$46='融资租赁与资金缺口'!$F$8,'融资租赁与资金缺口'!$E$8,IF(((YEAR(AY$46)-YEAR('融资租赁与资金缺口'!$F$8))*12+MONTH(AY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AY$46)-YEAR('融资租赁与资金缺口'!$F$8))*12+MONTH(AY$46)-MONTH('融资租赁与资金缺口'!$F$8)),'融资租赁与资金缺口'!$E$8*(1+'融资租赁与资金缺口'!$I$8)^((YEAR(AY$46)-YEAR('融资租赁与资金缺口'!$F$8))*12+MONTH(AY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AY$46)-YEAR('融资租赁与资金缺口'!$F$8))*12+MONTH(AY$46)-MONTH('融资租赁与资金缺口'!$F$8))-1)/'融资租赁与资金缺口'!$I$8))))),IF(AY$46&lt;'融资租赁与资金缺口'!$F$9,0,IF(AY$46='融资租赁与资金缺口'!$F$9,'融资租赁与资金缺口'!$E$9,IF(((YEAR(AY$46)-YEAR('融资租赁与资金缺口'!$F$9))*12+MONTH(AY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AY$46)-YEAR('融资租赁与资金缺口'!$F$9))*12+MONTH(AY$46)-MONTH('融资租赁与资金缺口'!$F$9)),'融资租赁与资金缺口'!$E$9*(1+'融资租赁与资金缺口'!$I$9)^((YEAR(AY$46)-YEAR('融资租赁与资金缺口'!$F$9))*12+MONTH(AY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AY$46)-YEAR('融资租赁与资金缺口'!$F$9))*12+MONTH(AY$46)-MONTH('融资租赁与资金缺口'!$F$9))-1)/'融资租赁与资金缺口'!$I$9))))),IF(AY$46&lt;'融资租赁与资金缺口'!$F$10,0,IF(AY$46='融资租赁与资金缺口'!$F$10,'融资租赁与资金缺口'!$E$10,IF(((YEAR(AY$46)-YEAR('融资租赁与资金缺口'!$F$10))*12+MONTH(AY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AY$46)-YEAR('融资租赁与资金缺口'!$F$10))*12+MONTH(AY$46)-MONTH('融资租赁与资金缺口'!$F$10)),'融资租赁与资金缺口'!$E$10*(1+'融资租赁与资金缺口'!$I$10)^((YEAR(AY$46)-YEAR('融资租赁与资金缺口'!$F$10))*12+MONTH(AY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AY$46)-YEAR('融资租赁与资金缺口'!$F$10))*12+MONTH(AY$46)-MONTH('融资租赁与资金缺口'!$F$10))-1)/'融资租赁与资金缺口'!$I$10))))),IF(AY$46&lt;'融资租赁与资金缺口'!$F$11,0,IF(AY$46='融资租赁与资金缺口'!$F$11,'融资租赁与资金缺口'!$E$11,IF(((YEAR(AY$46)-YEAR('融资租赁与资金缺口'!$F$11))*12+MONTH(AY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AY$46)-YEAR('融资租赁与资金缺口'!$F$11))*12+MONTH(AY$46)-MONTH('融资租赁与资金缺口'!$F$11)),'融资租赁与资金缺口'!$E$11*(1+'融资租赁与资金缺口'!$I$11)^((YEAR(AY$46)-YEAR('融资租赁与资金缺口'!$F$11))*12+MONTH(AY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AY$46)-YEAR('融资租赁与资金缺口'!$F$11))*12+MONTH(AY$46)-MONTH('融资租赁与资金缺口'!$F$11))-1)/'融资租赁与资金缺口'!$I$11))))),IF(AY$46&lt;'融资租赁与资金缺口'!$F$12,0,IF(AY$46='融资租赁与资金缺口'!$F$12,'融资租赁与资金缺口'!$E$12,IF(((YEAR(AY$46)-YEAR('融资租赁与资金缺口'!$F$12))*12+MONTH(AY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AY$46)-YEAR('融资租赁与资金缺口'!$F$12))*12+MONTH(AY$46)-MONTH('融资租赁与资金缺口'!$F$12)),'融资租赁与资金缺口'!$E$12*(1+'融资租赁与资金缺口'!$I$12)^((YEAR(AY$46)-YEAR('融资租赁与资金缺口'!$F$12))*12+MONTH(AY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AY$46)-YEAR('融资租赁与资金缺口'!$F$12))*12+MONTH(AY$46)-MONTH('融资租赁与资金缺口'!$F$12))-1)/'融资租赁与资金缺口'!$I$12))))),IF(AY$46&lt;'融资租赁与资金缺口'!$F$13,0,IF(AY$46='融资租赁与资金缺口'!$F$13,'融资租赁与资金缺口'!$E$13,IF(((YEAR(AY$46)-YEAR('融资租赁与资金缺口'!$F$13))*12+MONTH(AY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AY$46)-YEAR('融资租赁与资金缺口'!$F$13))*12+MONTH(AY$46)-MONTH('融资租赁与资金缺口'!$F$13)),'融资租赁与资金缺口'!$E$13*(1+'融资租赁与资金缺口'!$I$13)^((YEAR(AY$46)-YEAR('融资租赁与资金缺口'!$F$13))*12+MONTH(AY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AY$46)-YEAR('融资租赁与资金缺口'!$F$13))*12+MONTH(AY$46)-MONTH('融资租赁与资金缺口'!$F$13))-1)/'融资租赁与资金缺口'!$I$13))))),IF(AY$46&lt;'融资租赁与资金缺口'!$F$14,0,IF(AY$46='融资租赁与资金缺口'!$F$14,'融资租赁与资金缺口'!$E$14,IF(((YEAR(AY$46)-YEAR('融资租赁与资金缺口'!$F$14))*12+MONTH(AY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AY$46)-YEAR('融资租赁与资金缺口'!$F$14))*12+MONTH(AY$46)-MONTH('融资租赁与资金缺口'!$F$14)),'融资租赁与资金缺口'!$E$14*(1+'融资租赁与资金缺口'!$I$14)^((YEAR(AY$46)-YEAR('融资租赁与资金缺口'!$F$14))*12+MONTH(AY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AY$46)-YEAR('融资租赁与资金缺口'!$F$14))*12+MONTH(AY$46)-MONTH('融资租赁与资金缺口'!$F$14))-1)/'融资租赁与资金缺口'!$I$14))))),IF(AY$46&lt;'融资租赁与资金缺口'!$F$15,0,IF(AY$46='融资租赁与资金缺口'!$F$15,'融资租赁与资金缺口'!$E$15,IF(((YEAR(AY$46)-YEAR('融资租赁与资金缺口'!$F$15))*12+MONTH(AY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AY$46)-YEAR('融资租赁与资金缺口'!$F$15))*12+MONTH(AY$46)-MONTH('融资租赁与资金缺口'!$F$15)),'融资租赁与资金缺口'!$E$15*(1+'融资租赁与资金缺口'!$I$15)^((YEAR(AY$46)-YEAR('融资租赁与资金缺口'!$F$15))*12+MONTH(AY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AY$46)-YEAR('融资租赁与资金缺口'!$F$15))*12+MONTH(AY$46)-MONTH('融资租赁与资金缺口'!$F$15))-1)/'融资租赁与资金缺口'!$I$15))))),IF(AY$46&lt;'融资租赁与资金缺口'!$F$16,0,IF(AY$46='融资租赁与资金缺口'!$F$16,'融资租赁与资金缺口'!$E$16,IF(((YEAR(AY$46)-YEAR('融资租赁与资金缺口'!$F$16))*12+MONTH(AY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AY$46)-YEAR('融资租赁与资金缺口'!$F$16))*12+MONTH(AY$46)-MONTH('融资租赁与资金缺口'!$F$16)),'融资租赁与资金缺口'!$E$16*(1+'融资租赁与资金缺口'!$I$16)^((YEAR(AY$46)-YEAR('融资租赁与资金缺口'!$F$16))*12+MONTH(AY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AY$46)-YEAR('融资租赁与资金缺口'!$F$16))*12+MONTH(AY$46)-MONTH('融资租赁与资金缺口'!$F$16))-1)/'融资租赁与资金缺口'!$I$16))))))</x:f>
        <x:v>202014929.88484675</x:v>
      </x:c>
      <x:c r="AZ48" s="28" t="n">
        <x:f>SUM(IF(AZ$46&lt;'融资租赁与资金缺口'!$F$5,0,IF(AZ$46='融资租赁与资金缺口'!$F$5,'融资租赁与资金缺口'!$E$5,IF(((YEAR(AZ$46)-YEAR('融资租赁与资金缺口'!$F$5))*12+MONTH(AZ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AZ$46)-YEAR('融资租赁与资金缺口'!$F$5))*12+MONTH(AZ$46)-MONTH('融资租赁与资金缺口'!$F$5)),'融资租赁与资金缺口'!$E$5*(1+'融资租赁与资金缺口'!$I$5)^((YEAR(AZ$46)-YEAR('融资租赁与资金缺口'!$F$5))*12+MONTH(AZ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AZ$46)-YEAR('融资租赁与资金缺口'!$F$5))*12+MONTH(AZ$46)-MONTH('融资租赁与资金缺口'!$F$5))-1)/'融资租赁与资金缺口'!$I$5))))),IF(AZ$46&lt;'融资租赁与资金缺口'!$F$6,0,IF(AZ$46='融资租赁与资金缺口'!$F$6,'融资租赁与资金缺口'!$E$6,IF(((YEAR(AZ$46)-YEAR('融资租赁与资金缺口'!$F$6))*12+MONTH(AZ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AZ$46)-YEAR('融资租赁与资金缺口'!$F$6))*12+MONTH(AZ$46)-MONTH('融资租赁与资金缺口'!$F$6)),'融资租赁与资金缺口'!$E$6*(1+'融资租赁与资金缺口'!$I$6)^((YEAR(AZ$46)-YEAR('融资租赁与资金缺口'!$F$6))*12+MONTH(AZ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AZ$46)-YEAR('融资租赁与资金缺口'!$F$6))*12+MONTH(AZ$46)-MONTH('融资租赁与资金缺口'!$F$6))-1)/'融资租赁与资金缺口'!$I$6))))),IF(AZ$46&lt;'融资租赁与资金缺口'!$F$7,0,IF(AZ$46='融资租赁与资金缺口'!$F$7,'融资租赁与资金缺口'!$E$7,IF(((YEAR(AZ$46)-YEAR('融资租赁与资金缺口'!$F$7))*12+MONTH(AZ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AZ$46)-YEAR('融资租赁与资金缺口'!$F$7))*12+MONTH(AZ$46)-MONTH('融资租赁与资金缺口'!$F$7)),'融资租赁与资金缺口'!$E$7*(1+'融资租赁与资金缺口'!$I$7)^((YEAR(AZ$46)-YEAR('融资租赁与资金缺口'!$F$7))*12+MONTH(AZ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AZ$46)-YEAR('融资租赁与资金缺口'!$F$7))*12+MONTH(AZ$46)-MONTH('融资租赁与资金缺口'!$F$7))-1)/'融资租赁与资金缺口'!$I$7))))),IF(AZ$46&lt;'融资租赁与资金缺口'!$F$8,0,IF(AZ$46='融资租赁与资金缺口'!$F$8,'融资租赁与资金缺口'!$E$8,IF(((YEAR(AZ$46)-YEAR('融资租赁与资金缺口'!$F$8))*12+MONTH(AZ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AZ$46)-YEAR('融资租赁与资金缺口'!$F$8))*12+MONTH(AZ$46)-MONTH('融资租赁与资金缺口'!$F$8)),'融资租赁与资金缺口'!$E$8*(1+'融资租赁与资金缺口'!$I$8)^((YEAR(AZ$46)-YEAR('融资租赁与资金缺口'!$F$8))*12+MONTH(AZ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AZ$46)-YEAR('融资租赁与资金缺口'!$F$8))*12+MONTH(AZ$46)-MONTH('融资租赁与资金缺口'!$F$8))-1)/'融资租赁与资金缺口'!$I$8))))),IF(AZ$46&lt;'融资租赁与资金缺口'!$F$9,0,IF(AZ$46='融资租赁与资金缺口'!$F$9,'融资租赁与资金缺口'!$E$9,IF(((YEAR(AZ$46)-YEAR('融资租赁与资金缺口'!$F$9))*12+MONTH(AZ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AZ$46)-YEAR('融资租赁与资金缺口'!$F$9))*12+MONTH(AZ$46)-MONTH('融资租赁与资金缺口'!$F$9)),'融资租赁与资金缺口'!$E$9*(1+'融资租赁与资金缺口'!$I$9)^((YEAR(AZ$46)-YEAR('融资租赁与资金缺口'!$F$9))*12+MONTH(AZ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AZ$46)-YEAR('融资租赁与资金缺口'!$F$9))*12+MONTH(AZ$46)-MONTH('融资租赁与资金缺口'!$F$9))-1)/'融资租赁与资金缺口'!$I$9))))),IF(AZ$46&lt;'融资租赁与资金缺口'!$F$10,0,IF(AZ$46='融资租赁与资金缺口'!$F$10,'融资租赁与资金缺口'!$E$10,IF(((YEAR(AZ$46)-YEAR('融资租赁与资金缺口'!$F$10))*12+MONTH(AZ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AZ$46)-YEAR('融资租赁与资金缺口'!$F$10))*12+MONTH(AZ$46)-MONTH('融资租赁与资金缺口'!$F$10)),'融资租赁与资金缺口'!$E$10*(1+'融资租赁与资金缺口'!$I$10)^((YEAR(AZ$46)-YEAR('融资租赁与资金缺口'!$F$10))*12+MONTH(AZ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AZ$46)-YEAR('融资租赁与资金缺口'!$F$10))*12+MONTH(AZ$46)-MONTH('融资租赁与资金缺口'!$F$10))-1)/'融资租赁与资金缺口'!$I$10))))),IF(AZ$46&lt;'融资租赁与资金缺口'!$F$11,0,IF(AZ$46='融资租赁与资金缺口'!$F$11,'融资租赁与资金缺口'!$E$11,IF(((YEAR(AZ$46)-YEAR('融资租赁与资金缺口'!$F$11))*12+MONTH(AZ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AZ$46)-YEAR('融资租赁与资金缺口'!$F$11))*12+MONTH(AZ$46)-MONTH('融资租赁与资金缺口'!$F$11)),'融资租赁与资金缺口'!$E$11*(1+'融资租赁与资金缺口'!$I$11)^((YEAR(AZ$46)-YEAR('融资租赁与资金缺口'!$F$11))*12+MONTH(AZ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AZ$46)-YEAR('融资租赁与资金缺口'!$F$11))*12+MONTH(AZ$46)-MONTH('融资租赁与资金缺口'!$F$11))-1)/'融资租赁与资金缺口'!$I$11))))),IF(AZ$46&lt;'融资租赁与资金缺口'!$F$12,0,IF(AZ$46='融资租赁与资金缺口'!$F$12,'融资租赁与资金缺口'!$E$12,IF(((YEAR(AZ$46)-YEAR('融资租赁与资金缺口'!$F$12))*12+MONTH(AZ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AZ$46)-YEAR('融资租赁与资金缺口'!$F$12))*12+MONTH(AZ$46)-MONTH('融资租赁与资金缺口'!$F$12)),'融资租赁与资金缺口'!$E$12*(1+'融资租赁与资金缺口'!$I$12)^((YEAR(AZ$46)-YEAR('融资租赁与资金缺口'!$F$12))*12+MONTH(AZ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AZ$46)-YEAR('融资租赁与资金缺口'!$F$12))*12+MONTH(AZ$46)-MONTH('融资租赁与资金缺口'!$F$12))-1)/'融资租赁与资金缺口'!$I$12))))),IF(AZ$46&lt;'融资租赁与资金缺口'!$F$13,0,IF(AZ$46='融资租赁与资金缺口'!$F$13,'融资租赁与资金缺口'!$E$13,IF(((YEAR(AZ$46)-YEAR('融资租赁与资金缺口'!$F$13))*12+MONTH(AZ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AZ$46)-YEAR('融资租赁与资金缺口'!$F$13))*12+MONTH(AZ$46)-MONTH('融资租赁与资金缺口'!$F$13)),'融资租赁与资金缺口'!$E$13*(1+'融资租赁与资金缺口'!$I$13)^((YEAR(AZ$46)-YEAR('融资租赁与资金缺口'!$F$13))*12+MONTH(AZ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AZ$46)-YEAR('融资租赁与资金缺口'!$F$13))*12+MONTH(AZ$46)-MONTH('融资租赁与资金缺口'!$F$13))-1)/'融资租赁与资金缺口'!$I$13))))),IF(AZ$46&lt;'融资租赁与资金缺口'!$F$14,0,IF(AZ$46='融资租赁与资金缺口'!$F$14,'融资租赁与资金缺口'!$E$14,IF(((YEAR(AZ$46)-YEAR('融资租赁与资金缺口'!$F$14))*12+MONTH(AZ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AZ$46)-YEAR('融资租赁与资金缺口'!$F$14))*12+MONTH(AZ$46)-MONTH('融资租赁与资金缺口'!$F$14)),'融资租赁与资金缺口'!$E$14*(1+'融资租赁与资金缺口'!$I$14)^((YEAR(AZ$46)-YEAR('融资租赁与资金缺口'!$F$14))*12+MONTH(AZ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AZ$46)-YEAR('融资租赁与资金缺口'!$F$14))*12+MONTH(AZ$46)-MONTH('融资租赁与资金缺口'!$F$14))-1)/'融资租赁与资金缺口'!$I$14))))),IF(AZ$46&lt;'融资租赁与资金缺口'!$F$15,0,IF(AZ$46='融资租赁与资金缺口'!$F$15,'融资租赁与资金缺口'!$E$15,IF(((YEAR(AZ$46)-YEAR('融资租赁与资金缺口'!$F$15))*12+MONTH(AZ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AZ$46)-YEAR('融资租赁与资金缺口'!$F$15))*12+MONTH(AZ$46)-MONTH('融资租赁与资金缺口'!$F$15)),'融资租赁与资金缺口'!$E$15*(1+'融资租赁与资金缺口'!$I$15)^((YEAR(AZ$46)-YEAR('融资租赁与资金缺口'!$F$15))*12+MONTH(AZ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AZ$46)-YEAR('融资租赁与资金缺口'!$F$15))*12+MONTH(AZ$46)-MONTH('融资租赁与资金缺口'!$F$15))-1)/'融资租赁与资金缺口'!$I$15))))),IF(AZ$46&lt;'融资租赁与资金缺口'!$F$16,0,IF(AZ$46='融资租赁与资金缺口'!$F$16,'融资租赁与资金缺口'!$E$16,IF(((YEAR(AZ$46)-YEAR('融资租赁与资金缺口'!$F$16))*12+MONTH(AZ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AZ$46)-YEAR('融资租赁与资金缺口'!$F$16))*12+MONTH(AZ$46)-MONTH('融资租赁与资金缺口'!$F$16)),'融资租赁与资金缺口'!$E$16*(1+'融资租赁与资金缺口'!$I$16)^((YEAR(AZ$46)-YEAR('融资租赁与资金缺口'!$F$16))*12+MONTH(AZ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AZ$46)-YEAR('融资租赁与资金缺口'!$F$16))*12+MONTH(AZ$46)-MONTH('融资租赁与资金缺口'!$F$16))-1)/'融资租赁与资金缺口'!$I$16))))))</x:f>
        <x:v>172587880.11159974</x:v>
      </x:c>
      <x:c r="BA48" s="28" t="n">
        <x:f>SUM(IF(BA$46&lt;'融资租赁与资金缺口'!$F$5,0,IF(BA$46='融资租赁与资金缺口'!$F$5,'融资租赁与资金缺口'!$E$5,IF(((YEAR(BA$46)-YEAR('融资租赁与资金缺口'!$F$5))*12+MONTH(BA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A$46)-YEAR('融资租赁与资金缺口'!$F$5))*12+MONTH(BA$46)-MONTH('融资租赁与资金缺口'!$F$5)),'融资租赁与资金缺口'!$E$5*(1+'融资租赁与资金缺口'!$I$5)^((YEAR(BA$46)-YEAR('融资租赁与资金缺口'!$F$5))*12+MONTH(BA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A$46)-YEAR('融资租赁与资金缺口'!$F$5))*12+MONTH(BA$46)-MONTH('融资租赁与资金缺口'!$F$5))-1)/'融资租赁与资金缺口'!$I$5))))),IF(BA$46&lt;'融资租赁与资金缺口'!$F$6,0,IF(BA$46='融资租赁与资金缺口'!$F$6,'融资租赁与资金缺口'!$E$6,IF(((YEAR(BA$46)-YEAR('融资租赁与资金缺口'!$F$6))*12+MONTH(BA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A$46)-YEAR('融资租赁与资金缺口'!$F$6))*12+MONTH(BA$46)-MONTH('融资租赁与资金缺口'!$F$6)),'融资租赁与资金缺口'!$E$6*(1+'融资租赁与资金缺口'!$I$6)^((YEAR(BA$46)-YEAR('融资租赁与资金缺口'!$F$6))*12+MONTH(BA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A$46)-YEAR('融资租赁与资金缺口'!$F$6))*12+MONTH(BA$46)-MONTH('融资租赁与资金缺口'!$F$6))-1)/'融资租赁与资金缺口'!$I$6))))),IF(BA$46&lt;'融资租赁与资金缺口'!$F$7,0,IF(BA$46='融资租赁与资金缺口'!$F$7,'融资租赁与资金缺口'!$E$7,IF(((YEAR(BA$46)-YEAR('融资租赁与资金缺口'!$F$7))*12+MONTH(BA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A$46)-YEAR('融资租赁与资金缺口'!$F$7))*12+MONTH(BA$46)-MONTH('融资租赁与资金缺口'!$F$7)),'融资租赁与资金缺口'!$E$7*(1+'融资租赁与资金缺口'!$I$7)^((YEAR(BA$46)-YEAR('融资租赁与资金缺口'!$F$7))*12+MONTH(BA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A$46)-YEAR('融资租赁与资金缺口'!$F$7))*12+MONTH(BA$46)-MONTH('融资租赁与资金缺口'!$F$7))-1)/'融资租赁与资金缺口'!$I$7))))),IF(BA$46&lt;'融资租赁与资金缺口'!$F$8,0,IF(BA$46='融资租赁与资金缺口'!$F$8,'融资租赁与资金缺口'!$E$8,IF(((YEAR(BA$46)-YEAR('融资租赁与资金缺口'!$F$8))*12+MONTH(BA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A$46)-YEAR('融资租赁与资金缺口'!$F$8))*12+MONTH(BA$46)-MONTH('融资租赁与资金缺口'!$F$8)),'融资租赁与资金缺口'!$E$8*(1+'融资租赁与资金缺口'!$I$8)^((YEAR(BA$46)-YEAR('融资租赁与资金缺口'!$F$8))*12+MONTH(BA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A$46)-YEAR('融资租赁与资金缺口'!$F$8))*12+MONTH(BA$46)-MONTH('融资租赁与资金缺口'!$F$8))-1)/'融资租赁与资金缺口'!$I$8))))),IF(BA$46&lt;'融资租赁与资金缺口'!$F$9,0,IF(BA$46='融资租赁与资金缺口'!$F$9,'融资租赁与资金缺口'!$E$9,IF(((YEAR(BA$46)-YEAR('融资租赁与资金缺口'!$F$9))*12+MONTH(BA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A$46)-YEAR('融资租赁与资金缺口'!$F$9))*12+MONTH(BA$46)-MONTH('融资租赁与资金缺口'!$F$9)),'融资租赁与资金缺口'!$E$9*(1+'融资租赁与资金缺口'!$I$9)^((YEAR(BA$46)-YEAR('融资租赁与资金缺口'!$F$9))*12+MONTH(BA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A$46)-YEAR('融资租赁与资金缺口'!$F$9))*12+MONTH(BA$46)-MONTH('融资租赁与资金缺口'!$F$9))-1)/'融资租赁与资金缺口'!$I$9))))),IF(BA$46&lt;'融资租赁与资金缺口'!$F$10,0,IF(BA$46='融资租赁与资金缺口'!$F$10,'融资租赁与资金缺口'!$E$10,IF(((YEAR(BA$46)-YEAR('融资租赁与资金缺口'!$F$10))*12+MONTH(BA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A$46)-YEAR('融资租赁与资金缺口'!$F$10))*12+MONTH(BA$46)-MONTH('融资租赁与资金缺口'!$F$10)),'融资租赁与资金缺口'!$E$10*(1+'融资租赁与资金缺口'!$I$10)^((YEAR(BA$46)-YEAR('融资租赁与资金缺口'!$F$10))*12+MONTH(BA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A$46)-YEAR('融资租赁与资金缺口'!$F$10))*12+MONTH(BA$46)-MONTH('融资租赁与资金缺口'!$F$10))-1)/'融资租赁与资金缺口'!$I$10))))),IF(BA$46&lt;'融资租赁与资金缺口'!$F$11,0,IF(BA$46='融资租赁与资金缺口'!$F$11,'融资租赁与资金缺口'!$E$11,IF(((YEAR(BA$46)-YEAR('融资租赁与资金缺口'!$F$11))*12+MONTH(BA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A$46)-YEAR('融资租赁与资金缺口'!$F$11))*12+MONTH(BA$46)-MONTH('融资租赁与资金缺口'!$F$11)),'融资租赁与资金缺口'!$E$11*(1+'融资租赁与资金缺口'!$I$11)^((YEAR(BA$46)-YEAR('融资租赁与资金缺口'!$F$11))*12+MONTH(BA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A$46)-YEAR('融资租赁与资金缺口'!$F$11))*12+MONTH(BA$46)-MONTH('融资租赁与资金缺口'!$F$11))-1)/'融资租赁与资金缺口'!$I$11))))),IF(BA$46&lt;'融资租赁与资金缺口'!$F$12,0,IF(BA$46='融资租赁与资金缺口'!$F$12,'融资租赁与资金缺口'!$E$12,IF(((YEAR(BA$46)-YEAR('融资租赁与资金缺口'!$F$12))*12+MONTH(BA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A$46)-YEAR('融资租赁与资金缺口'!$F$12))*12+MONTH(BA$46)-MONTH('融资租赁与资金缺口'!$F$12)),'融资租赁与资金缺口'!$E$12*(1+'融资租赁与资金缺口'!$I$12)^((YEAR(BA$46)-YEAR('融资租赁与资金缺口'!$F$12))*12+MONTH(BA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A$46)-YEAR('融资租赁与资金缺口'!$F$12))*12+MONTH(BA$46)-MONTH('融资租赁与资金缺口'!$F$12))-1)/'融资租赁与资金缺口'!$I$12))))),IF(BA$46&lt;'融资租赁与资金缺口'!$F$13,0,IF(BA$46='融资租赁与资金缺口'!$F$13,'融资租赁与资金缺口'!$E$13,IF(((YEAR(BA$46)-YEAR('融资租赁与资金缺口'!$F$13))*12+MONTH(BA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A$46)-YEAR('融资租赁与资金缺口'!$F$13))*12+MONTH(BA$46)-MONTH('融资租赁与资金缺口'!$F$13)),'融资租赁与资金缺口'!$E$13*(1+'融资租赁与资金缺口'!$I$13)^((YEAR(BA$46)-YEAR('融资租赁与资金缺口'!$F$13))*12+MONTH(BA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A$46)-YEAR('融资租赁与资金缺口'!$F$13))*12+MONTH(BA$46)-MONTH('融资租赁与资金缺口'!$F$13))-1)/'融资租赁与资金缺口'!$I$13))))),IF(BA$46&lt;'融资租赁与资金缺口'!$F$14,0,IF(BA$46='融资租赁与资金缺口'!$F$14,'融资租赁与资金缺口'!$E$14,IF(((YEAR(BA$46)-YEAR('融资租赁与资金缺口'!$F$14))*12+MONTH(BA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A$46)-YEAR('融资租赁与资金缺口'!$F$14))*12+MONTH(BA$46)-MONTH('融资租赁与资金缺口'!$F$14)),'融资租赁与资金缺口'!$E$14*(1+'融资租赁与资金缺口'!$I$14)^((YEAR(BA$46)-YEAR('融资租赁与资金缺口'!$F$14))*12+MONTH(BA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A$46)-YEAR('融资租赁与资金缺口'!$F$14))*12+MONTH(BA$46)-MONTH('融资租赁与资金缺口'!$F$14))-1)/'融资租赁与资金缺口'!$I$14))))),IF(BA$46&lt;'融资租赁与资金缺口'!$F$15,0,IF(BA$46='融资租赁与资金缺口'!$F$15,'融资租赁与资金缺口'!$E$15,IF(((YEAR(BA$46)-YEAR('融资租赁与资金缺口'!$F$15))*12+MONTH(BA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A$46)-YEAR('融资租赁与资金缺口'!$F$15))*12+MONTH(BA$46)-MONTH('融资租赁与资金缺口'!$F$15)),'融资租赁与资金缺口'!$E$15*(1+'融资租赁与资金缺口'!$I$15)^((YEAR(BA$46)-YEAR('融资租赁与资金缺口'!$F$15))*12+MONTH(BA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A$46)-YEAR('融资租赁与资金缺口'!$F$15))*12+MONTH(BA$46)-MONTH('融资租赁与资金缺口'!$F$15))-1)/'融资租赁与资金缺口'!$I$15))))),IF(BA$46&lt;'融资租赁与资金缺口'!$F$16,0,IF(BA$46='融资租赁与资金缺口'!$F$16,'融资租赁与资金缺口'!$E$16,IF(((YEAR(BA$46)-YEAR('融资租赁与资金缺口'!$F$16))*12+MONTH(BA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A$46)-YEAR('融资租赁与资金缺口'!$F$16))*12+MONTH(BA$46)-MONTH('融资租赁与资金缺口'!$F$16)),'融资租赁与资金缺口'!$E$16*(1+'融资租赁与资金缺口'!$I$16)^((YEAR(BA$46)-YEAR('融资租赁与资金缺口'!$F$16))*12+MONTH(BA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A$46)-YEAR('融资租赁与资金缺口'!$F$16))*12+MONTH(BA$46)-MONTH('融资租赁与资金缺口'!$F$16))-1)/'融资租赁与资金缺口'!$I$16))))))</x:f>
        <x:v>144535145.21156985</x:v>
      </x:c>
      <x:c r="BB48" s="28" t="n">
        <x:f>SUM(IF(BB$46&lt;'融资租赁与资金缺口'!$F$5,0,IF(BB$46='融资租赁与资金缺口'!$F$5,'融资租赁与资金缺口'!$E$5,IF(((YEAR(BB$46)-YEAR('融资租赁与资金缺口'!$F$5))*12+MONTH(BB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B$46)-YEAR('融资租赁与资金缺口'!$F$5))*12+MONTH(BB$46)-MONTH('融资租赁与资金缺口'!$F$5)),'融资租赁与资金缺口'!$E$5*(1+'融资租赁与资金缺口'!$I$5)^((YEAR(BB$46)-YEAR('融资租赁与资金缺口'!$F$5))*12+MONTH(BB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B$46)-YEAR('融资租赁与资金缺口'!$F$5))*12+MONTH(BB$46)-MONTH('融资租赁与资金缺口'!$F$5))-1)/'融资租赁与资金缺口'!$I$5))))),IF(BB$46&lt;'融资租赁与资金缺口'!$F$6,0,IF(BB$46='融资租赁与资金缺口'!$F$6,'融资租赁与资金缺口'!$E$6,IF(((YEAR(BB$46)-YEAR('融资租赁与资金缺口'!$F$6))*12+MONTH(BB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B$46)-YEAR('融资租赁与资金缺口'!$F$6))*12+MONTH(BB$46)-MONTH('融资租赁与资金缺口'!$F$6)),'融资租赁与资金缺口'!$E$6*(1+'融资租赁与资金缺口'!$I$6)^((YEAR(BB$46)-YEAR('融资租赁与资金缺口'!$F$6))*12+MONTH(BB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B$46)-YEAR('融资租赁与资金缺口'!$F$6))*12+MONTH(BB$46)-MONTH('融资租赁与资金缺口'!$F$6))-1)/'融资租赁与资金缺口'!$I$6))))),IF(BB$46&lt;'融资租赁与资金缺口'!$F$7,0,IF(BB$46='融资租赁与资金缺口'!$F$7,'融资租赁与资金缺口'!$E$7,IF(((YEAR(BB$46)-YEAR('融资租赁与资金缺口'!$F$7))*12+MONTH(BB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B$46)-YEAR('融资租赁与资金缺口'!$F$7))*12+MONTH(BB$46)-MONTH('融资租赁与资金缺口'!$F$7)),'融资租赁与资金缺口'!$E$7*(1+'融资租赁与资金缺口'!$I$7)^((YEAR(BB$46)-YEAR('融资租赁与资金缺口'!$F$7))*12+MONTH(BB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B$46)-YEAR('融资租赁与资金缺口'!$F$7))*12+MONTH(BB$46)-MONTH('融资租赁与资金缺口'!$F$7))-1)/'融资租赁与资金缺口'!$I$7))))),IF(BB$46&lt;'融资租赁与资金缺口'!$F$8,0,IF(BB$46='融资租赁与资金缺口'!$F$8,'融资租赁与资金缺口'!$E$8,IF(((YEAR(BB$46)-YEAR('融资租赁与资金缺口'!$F$8))*12+MONTH(BB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B$46)-YEAR('融资租赁与资金缺口'!$F$8))*12+MONTH(BB$46)-MONTH('融资租赁与资金缺口'!$F$8)),'融资租赁与资金缺口'!$E$8*(1+'融资租赁与资金缺口'!$I$8)^((YEAR(BB$46)-YEAR('融资租赁与资金缺口'!$F$8))*12+MONTH(BB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B$46)-YEAR('融资租赁与资金缺口'!$F$8))*12+MONTH(BB$46)-MONTH('融资租赁与资金缺口'!$F$8))-1)/'融资租赁与资金缺口'!$I$8))))),IF(BB$46&lt;'融资租赁与资金缺口'!$F$9,0,IF(BB$46='融资租赁与资金缺口'!$F$9,'融资租赁与资金缺口'!$E$9,IF(((YEAR(BB$46)-YEAR('融资租赁与资金缺口'!$F$9))*12+MONTH(BB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B$46)-YEAR('融资租赁与资金缺口'!$F$9))*12+MONTH(BB$46)-MONTH('融资租赁与资金缺口'!$F$9)),'融资租赁与资金缺口'!$E$9*(1+'融资租赁与资金缺口'!$I$9)^((YEAR(BB$46)-YEAR('融资租赁与资金缺口'!$F$9))*12+MONTH(BB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B$46)-YEAR('融资租赁与资金缺口'!$F$9))*12+MONTH(BB$46)-MONTH('融资租赁与资金缺口'!$F$9))-1)/'融资租赁与资金缺口'!$I$9))))),IF(BB$46&lt;'融资租赁与资金缺口'!$F$10,0,IF(BB$46='融资租赁与资金缺口'!$F$10,'融资租赁与资金缺口'!$E$10,IF(((YEAR(BB$46)-YEAR('融资租赁与资金缺口'!$F$10))*12+MONTH(BB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B$46)-YEAR('融资租赁与资金缺口'!$F$10))*12+MONTH(BB$46)-MONTH('融资租赁与资金缺口'!$F$10)),'融资租赁与资金缺口'!$E$10*(1+'融资租赁与资金缺口'!$I$10)^((YEAR(BB$46)-YEAR('融资租赁与资金缺口'!$F$10))*12+MONTH(BB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B$46)-YEAR('融资租赁与资金缺口'!$F$10))*12+MONTH(BB$46)-MONTH('融资租赁与资金缺口'!$F$10))-1)/'融资租赁与资金缺口'!$I$10))))),IF(BB$46&lt;'融资租赁与资金缺口'!$F$11,0,IF(BB$46='融资租赁与资金缺口'!$F$11,'融资租赁与资金缺口'!$E$11,IF(((YEAR(BB$46)-YEAR('融资租赁与资金缺口'!$F$11))*12+MONTH(BB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B$46)-YEAR('融资租赁与资金缺口'!$F$11))*12+MONTH(BB$46)-MONTH('融资租赁与资金缺口'!$F$11)),'融资租赁与资金缺口'!$E$11*(1+'融资租赁与资金缺口'!$I$11)^((YEAR(BB$46)-YEAR('融资租赁与资金缺口'!$F$11))*12+MONTH(BB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B$46)-YEAR('融资租赁与资金缺口'!$F$11))*12+MONTH(BB$46)-MONTH('融资租赁与资金缺口'!$F$11))-1)/'融资租赁与资金缺口'!$I$11))))),IF(BB$46&lt;'融资租赁与资金缺口'!$F$12,0,IF(BB$46='融资租赁与资金缺口'!$F$12,'融资租赁与资金缺口'!$E$12,IF(((YEAR(BB$46)-YEAR('融资租赁与资金缺口'!$F$12))*12+MONTH(BB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B$46)-YEAR('融资租赁与资金缺口'!$F$12))*12+MONTH(BB$46)-MONTH('融资租赁与资金缺口'!$F$12)),'融资租赁与资金缺口'!$E$12*(1+'融资租赁与资金缺口'!$I$12)^((YEAR(BB$46)-YEAR('融资租赁与资金缺口'!$F$12))*12+MONTH(BB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B$46)-YEAR('融资租赁与资金缺口'!$F$12))*12+MONTH(BB$46)-MONTH('融资租赁与资金缺口'!$F$12))-1)/'融资租赁与资金缺口'!$I$12))))),IF(BB$46&lt;'融资租赁与资金缺口'!$F$13,0,IF(BB$46='融资租赁与资金缺口'!$F$13,'融资租赁与资金缺口'!$E$13,IF(((YEAR(BB$46)-YEAR('融资租赁与资金缺口'!$F$13))*12+MONTH(BB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B$46)-YEAR('融资租赁与资金缺口'!$F$13))*12+MONTH(BB$46)-MONTH('融资租赁与资金缺口'!$F$13)),'融资租赁与资金缺口'!$E$13*(1+'融资租赁与资金缺口'!$I$13)^((YEAR(BB$46)-YEAR('融资租赁与资金缺口'!$F$13))*12+MONTH(BB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B$46)-YEAR('融资租赁与资金缺口'!$F$13))*12+MONTH(BB$46)-MONTH('融资租赁与资金缺口'!$F$13))-1)/'融资租赁与资金缺口'!$I$13))))),IF(BB$46&lt;'融资租赁与资金缺口'!$F$14,0,IF(BB$46='融资租赁与资金缺口'!$F$14,'融资租赁与资金缺口'!$E$14,IF(((YEAR(BB$46)-YEAR('融资租赁与资金缺口'!$F$14))*12+MONTH(BB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B$46)-YEAR('融资租赁与资金缺口'!$F$14))*12+MONTH(BB$46)-MONTH('融资租赁与资金缺口'!$F$14)),'融资租赁与资金缺口'!$E$14*(1+'融资租赁与资金缺口'!$I$14)^((YEAR(BB$46)-YEAR('融资租赁与资金缺口'!$F$14))*12+MONTH(BB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B$46)-YEAR('融资租赁与资金缺口'!$F$14))*12+MONTH(BB$46)-MONTH('融资租赁与资金缺口'!$F$14))-1)/'融资租赁与资金缺口'!$I$14))))),IF(BB$46&lt;'融资租赁与资金缺口'!$F$15,0,IF(BB$46='融资租赁与资金缺口'!$F$15,'融资租赁与资金缺口'!$E$15,IF(((YEAR(BB$46)-YEAR('融资租赁与资金缺口'!$F$15))*12+MONTH(BB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B$46)-YEAR('融资租赁与资金缺口'!$F$15))*12+MONTH(BB$46)-MONTH('融资租赁与资金缺口'!$F$15)),'融资租赁与资金缺口'!$E$15*(1+'融资租赁与资金缺口'!$I$15)^((YEAR(BB$46)-YEAR('融资租赁与资金缺口'!$F$15))*12+MONTH(BB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B$46)-YEAR('融资租赁与资金缺口'!$F$15))*12+MONTH(BB$46)-MONTH('融资租赁与资金缺口'!$F$15))-1)/'融资租赁与资金缺口'!$I$15))))),IF(BB$46&lt;'融资租赁与资金缺口'!$F$16,0,IF(BB$46='融资租赁与资金缺口'!$F$16,'融资租赁与资金缺口'!$E$16,IF(((YEAR(BB$46)-YEAR('融资租赁与资金缺口'!$F$16))*12+MONTH(BB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B$46)-YEAR('融资租赁与资金缺口'!$F$16))*12+MONTH(BB$46)-MONTH('融资租赁与资金缺口'!$F$16)),'融资租赁与资金缺口'!$E$16*(1+'融资租赁与资金缺口'!$I$16)^((YEAR(BB$46)-YEAR('融资租赁与资金缺口'!$F$16))*12+MONTH(BB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B$46)-YEAR('融资租赁与资金缺口'!$F$16))*12+MONTH(BB$46)-MONTH('融资租赁与资金缺口'!$F$16))-1)/'融资租赁与资金缺口'!$I$16))))))</x:f>
        <x:v>118131377.4743591</x:v>
      </x:c>
      <x:c r="BC48" s="28" t="n">
        <x:f>SUM(IF(BC$46&lt;'融资租赁与资金缺口'!$F$5,0,IF(BC$46='融资租赁与资金缺口'!$F$5,'融资租赁与资金缺口'!$E$5,IF(((YEAR(BC$46)-YEAR('融资租赁与资金缺口'!$F$5))*12+MONTH(BC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C$46)-YEAR('融资租赁与资金缺口'!$F$5))*12+MONTH(BC$46)-MONTH('融资租赁与资金缺口'!$F$5)),'融资租赁与资金缺口'!$E$5*(1+'融资租赁与资金缺口'!$I$5)^((YEAR(BC$46)-YEAR('融资租赁与资金缺口'!$F$5))*12+MONTH(BC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C$46)-YEAR('融资租赁与资金缺口'!$F$5))*12+MONTH(BC$46)-MONTH('融资租赁与资金缺口'!$F$5))-1)/'融资租赁与资金缺口'!$I$5))))),IF(BC$46&lt;'融资租赁与资金缺口'!$F$6,0,IF(BC$46='融资租赁与资金缺口'!$F$6,'融资租赁与资金缺口'!$E$6,IF(((YEAR(BC$46)-YEAR('融资租赁与资金缺口'!$F$6))*12+MONTH(BC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C$46)-YEAR('融资租赁与资金缺口'!$F$6))*12+MONTH(BC$46)-MONTH('融资租赁与资金缺口'!$F$6)),'融资租赁与资金缺口'!$E$6*(1+'融资租赁与资金缺口'!$I$6)^((YEAR(BC$46)-YEAR('融资租赁与资金缺口'!$F$6))*12+MONTH(BC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C$46)-YEAR('融资租赁与资金缺口'!$F$6))*12+MONTH(BC$46)-MONTH('融资租赁与资金缺口'!$F$6))-1)/'融资租赁与资金缺口'!$I$6))))),IF(BC$46&lt;'融资租赁与资金缺口'!$F$7,0,IF(BC$46='融资租赁与资金缺口'!$F$7,'融资租赁与资金缺口'!$E$7,IF(((YEAR(BC$46)-YEAR('融资租赁与资金缺口'!$F$7))*12+MONTH(BC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C$46)-YEAR('融资租赁与资金缺口'!$F$7))*12+MONTH(BC$46)-MONTH('融资租赁与资金缺口'!$F$7)),'融资租赁与资金缺口'!$E$7*(1+'融资租赁与资金缺口'!$I$7)^((YEAR(BC$46)-YEAR('融资租赁与资金缺口'!$F$7))*12+MONTH(BC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C$46)-YEAR('融资租赁与资金缺口'!$F$7))*12+MONTH(BC$46)-MONTH('融资租赁与资金缺口'!$F$7))-1)/'融资租赁与资金缺口'!$I$7))))),IF(BC$46&lt;'融资租赁与资金缺口'!$F$8,0,IF(BC$46='融资租赁与资金缺口'!$F$8,'融资租赁与资金缺口'!$E$8,IF(((YEAR(BC$46)-YEAR('融资租赁与资金缺口'!$F$8))*12+MONTH(BC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C$46)-YEAR('融资租赁与资金缺口'!$F$8))*12+MONTH(BC$46)-MONTH('融资租赁与资金缺口'!$F$8)),'融资租赁与资金缺口'!$E$8*(1+'融资租赁与资金缺口'!$I$8)^((YEAR(BC$46)-YEAR('融资租赁与资金缺口'!$F$8))*12+MONTH(BC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C$46)-YEAR('融资租赁与资金缺口'!$F$8))*12+MONTH(BC$46)-MONTH('融资租赁与资金缺口'!$F$8))-1)/'融资租赁与资金缺口'!$I$8))))),IF(BC$46&lt;'融资租赁与资金缺口'!$F$9,0,IF(BC$46='融资租赁与资金缺口'!$F$9,'融资租赁与资金缺口'!$E$9,IF(((YEAR(BC$46)-YEAR('融资租赁与资金缺口'!$F$9))*12+MONTH(BC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C$46)-YEAR('融资租赁与资金缺口'!$F$9))*12+MONTH(BC$46)-MONTH('融资租赁与资金缺口'!$F$9)),'融资租赁与资金缺口'!$E$9*(1+'融资租赁与资金缺口'!$I$9)^((YEAR(BC$46)-YEAR('融资租赁与资金缺口'!$F$9))*12+MONTH(BC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C$46)-YEAR('融资租赁与资金缺口'!$F$9))*12+MONTH(BC$46)-MONTH('融资租赁与资金缺口'!$F$9))-1)/'融资租赁与资金缺口'!$I$9))))),IF(BC$46&lt;'融资租赁与资金缺口'!$F$10,0,IF(BC$46='融资租赁与资金缺口'!$F$10,'融资租赁与资金缺口'!$E$10,IF(((YEAR(BC$46)-YEAR('融资租赁与资金缺口'!$F$10))*12+MONTH(BC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C$46)-YEAR('融资租赁与资金缺口'!$F$10))*12+MONTH(BC$46)-MONTH('融资租赁与资金缺口'!$F$10)),'融资租赁与资金缺口'!$E$10*(1+'融资租赁与资金缺口'!$I$10)^((YEAR(BC$46)-YEAR('融资租赁与资金缺口'!$F$10))*12+MONTH(BC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C$46)-YEAR('融资租赁与资金缺口'!$F$10))*12+MONTH(BC$46)-MONTH('融资租赁与资金缺口'!$F$10))-1)/'融资租赁与资金缺口'!$I$10))))),IF(BC$46&lt;'融资租赁与资金缺口'!$F$11,0,IF(BC$46='融资租赁与资金缺口'!$F$11,'融资租赁与资金缺口'!$E$11,IF(((YEAR(BC$46)-YEAR('融资租赁与资金缺口'!$F$11))*12+MONTH(BC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C$46)-YEAR('融资租赁与资金缺口'!$F$11))*12+MONTH(BC$46)-MONTH('融资租赁与资金缺口'!$F$11)),'融资租赁与资金缺口'!$E$11*(1+'融资租赁与资金缺口'!$I$11)^((YEAR(BC$46)-YEAR('融资租赁与资金缺口'!$F$11))*12+MONTH(BC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C$46)-YEAR('融资租赁与资金缺口'!$F$11))*12+MONTH(BC$46)-MONTH('融资租赁与资金缺口'!$F$11))-1)/'融资租赁与资金缺口'!$I$11))))),IF(BC$46&lt;'融资租赁与资金缺口'!$F$12,0,IF(BC$46='融资租赁与资金缺口'!$F$12,'融资租赁与资金缺口'!$E$12,IF(((YEAR(BC$46)-YEAR('融资租赁与资金缺口'!$F$12))*12+MONTH(BC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C$46)-YEAR('融资租赁与资金缺口'!$F$12))*12+MONTH(BC$46)-MONTH('融资租赁与资金缺口'!$F$12)),'融资租赁与资金缺口'!$E$12*(1+'融资租赁与资金缺口'!$I$12)^((YEAR(BC$46)-YEAR('融资租赁与资金缺口'!$F$12))*12+MONTH(BC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C$46)-YEAR('融资租赁与资金缺口'!$F$12))*12+MONTH(BC$46)-MONTH('融资租赁与资金缺口'!$F$12))-1)/'融资租赁与资金缺口'!$I$12))))),IF(BC$46&lt;'融资租赁与资金缺口'!$F$13,0,IF(BC$46='融资租赁与资金缺口'!$F$13,'融资租赁与资金缺口'!$E$13,IF(((YEAR(BC$46)-YEAR('融资租赁与资金缺口'!$F$13))*12+MONTH(BC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C$46)-YEAR('融资租赁与资金缺口'!$F$13))*12+MONTH(BC$46)-MONTH('融资租赁与资金缺口'!$F$13)),'融资租赁与资金缺口'!$E$13*(1+'融资租赁与资金缺口'!$I$13)^((YEAR(BC$46)-YEAR('融资租赁与资金缺口'!$F$13))*12+MONTH(BC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C$46)-YEAR('融资租赁与资金缺口'!$F$13))*12+MONTH(BC$46)-MONTH('融资租赁与资金缺口'!$F$13))-1)/'融资租赁与资金缺口'!$I$13))))),IF(BC$46&lt;'融资租赁与资金缺口'!$F$14,0,IF(BC$46='融资租赁与资金缺口'!$F$14,'融资租赁与资金缺口'!$E$14,IF(((YEAR(BC$46)-YEAR('融资租赁与资金缺口'!$F$14))*12+MONTH(BC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C$46)-YEAR('融资租赁与资金缺口'!$F$14))*12+MONTH(BC$46)-MONTH('融资租赁与资金缺口'!$F$14)),'融资租赁与资金缺口'!$E$14*(1+'融资租赁与资金缺口'!$I$14)^((YEAR(BC$46)-YEAR('融资租赁与资金缺口'!$F$14))*12+MONTH(BC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C$46)-YEAR('融资租赁与资金缺口'!$F$14))*12+MONTH(BC$46)-MONTH('融资租赁与资金缺口'!$F$14))-1)/'融资租赁与资金缺口'!$I$14))))),IF(BC$46&lt;'融资租赁与资金缺口'!$F$15,0,IF(BC$46='融资租赁与资金缺口'!$F$15,'融资租赁与资金缺口'!$E$15,IF(((YEAR(BC$46)-YEAR('融资租赁与资金缺口'!$F$15))*12+MONTH(BC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C$46)-YEAR('融资租赁与资金缺口'!$F$15))*12+MONTH(BC$46)-MONTH('融资租赁与资金缺口'!$F$15)),'融资租赁与资金缺口'!$E$15*(1+'融资租赁与资金缺口'!$I$15)^((YEAR(BC$46)-YEAR('融资租赁与资金缺口'!$F$15))*12+MONTH(BC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C$46)-YEAR('融资租赁与资金缺口'!$F$15))*12+MONTH(BC$46)-MONTH('融资租赁与资金缺口'!$F$15))-1)/'融资租赁与资金缺口'!$I$15))))),IF(BC$46&lt;'融资租赁与资金缺口'!$F$16,0,IF(BC$46='融资租赁与资金缺口'!$F$16,'融资租赁与资金缺口'!$E$16,IF(((YEAR(BC$46)-YEAR('融资租赁与资金缺口'!$F$16))*12+MONTH(BC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C$46)-YEAR('融资租赁与资金缺口'!$F$16))*12+MONTH(BC$46)-MONTH('融资租赁与资金缺口'!$F$16)),'融资租赁与资金缺口'!$E$16*(1+'融资租赁与资金缺口'!$I$16)^((YEAR(BC$46)-YEAR('融资租赁与资金缺口'!$F$16))*12+MONTH(BC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C$46)-YEAR('融资租赁与资金缺口'!$F$16))*12+MONTH(BC$46)-MONTH('融资租赁与资金缺口'!$F$16))-1)/'融资租赁与资金缺口'!$I$16))))))</x:f>
        <x:v>93655736.21176177</x:v>
      </x:c>
      <x:c r="BD48" s="28" t="n">
        <x:f>SUM(IF(BD$46&lt;'融资租赁与资金缺口'!$F$5,0,IF(BD$46='融资租赁与资金缺口'!$F$5,'融资租赁与资金缺口'!$E$5,IF(((YEAR(BD$46)-YEAR('融资租赁与资金缺口'!$F$5))*12+MONTH(BD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D$46)-YEAR('融资租赁与资金缺口'!$F$5))*12+MONTH(BD$46)-MONTH('融资租赁与资金缺口'!$F$5)),'融资租赁与资金缺口'!$E$5*(1+'融资租赁与资金缺口'!$I$5)^((YEAR(BD$46)-YEAR('融资租赁与资金缺口'!$F$5))*12+MONTH(BD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D$46)-YEAR('融资租赁与资金缺口'!$F$5))*12+MONTH(BD$46)-MONTH('融资租赁与资金缺口'!$F$5))-1)/'融资租赁与资金缺口'!$I$5))))),IF(BD$46&lt;'融资租赁与资金缺口'!$F$6,0,IF(BD$46='融资租赁与资金缺口'!$F$6,'融资租赁与资金缺口'!$E$6,IF(((YEAR(BD$46)-YEAR('融资租赁与资金缺口'!$F$6))*12+MONTH(BD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D$46)-YEAR('融资租赁与资金缺口'!$F$6))*12+MONTH(BD$46)-MONTH('融资租赁与资金缺口'!$F$6)),'融资租赁与资金缺口'!$E$6*(1+'融资租赁与资金缺口'!$I$6)^((YEAR(BD$46)-YEAR('融资租赁与资金缺口'!$F$6))*12+MONTH(BD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D$46)-YEAR('融资租赁与资金缺口'!$F$6))*12+MONTH(BD$46)-MONTH('融资租赁与资金缺口'!$F$6))-1)/'融资租赁与资金缺口'!$I$6))))),IF(BD$46&lt;'融资租赁与资金缺口'!$F$7,0,IF(BD$46='融资租赁与资金缺口'!$F$7,'融资租赁与资金缺口'!$E$7,IF(((YEAR(BD$46)-YEAR('融资租赁与资金缺口'!$F$7))*12+MONTH(BD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D$46)-YEAR('融资租赁与资金缺口'!$F$7))*12+MONTH(BD$46)-MONTH('融资租赁与资金缺口'!$F$7)),'融资租赁与资金缺口'!$E$7*(1+'融资租赁与资金缺口'!$I$7)^((YEAR(BD$46)-YEAR('融资租赁与资金缺口'!$F$7))*12+MONTH(BD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D$46)-YEAR('融资租赁与资金缺口'!$F$7))*12+MONTH(BD$46)-MONTH('融资租赁与资金缺口'!$F$7))-1)/'融资租赁与资金缺口'!$I$7))))),IF(BD$46&lt;'融资租赁与资金缺口'!$F$8,0,IF(BD$46='融资租赁与资金缺口'!$F$8,'融资租赁与资金缺口'!$E$8,IF(((YEAR(BD$46)-YEAR('融资租赁与资金缺口'!$F$8))*12+MONTH(BD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D$46)-YEAR('融资租赁与资金缺口'!$F$8))*12+MONTH(BD$46)-MONTH('融资租赁与资金缺口'!$F$8)),'融资租赁与资金缺口'!$E$8*(1+'融资租赁与资金缺口'!$I$8)^((YEAR(BD$46)-YEAR('融资租赁与资金缺口'!$F$8))*12+MONTH(BD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D$46)-YEAR('融资租赁与资金缺口'!$F$8))*12+MONTH(BD$46)-MONTH('融资租赁与资金缺口'!$F$8))-1)/'融资租赁与资金缺口'!$I$8))))),IF(BD$46&lt;'融资租赁与资金缺口'!$F$9,0,IF(BD$46='融资租赁与资金缺口'!$F$9,'融资租赁与资金缺口'!$E$9,IF(((YEAR(BD$46)-YEAR('融资租赁与资金缺口'!$F$9))*12+MONTH(BD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D$46)-YEAR('融资租赁与资金缺口'!$F$9))*12+MONTH(BD$46)-MONTH('融资租赁与资金缺口'!$F$9)),'融资租赁与资金缺口'!$E$9*(1+'融资租赁与资金缺口'!$I$9)^((YEAR(BD$46)-YEAR('融资租赁与资金缺口'!$F$9))*12+MONTH(BD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D$46)-YEAR('融资租赁与资金缺口'!$F$9))*12+MONTH(BD$46)-MONTH('融资租赁与资金缺口'!$F$9))-1)/'融资租赁与资金缺口'!$I$9))))),IF(BD$46&lt;'融资租赁与资金缺口'!$F$10,0,IF(BD$46='融资租赁与资金缺口'!$F$10,'融资租赁与资金缺口'!$E$10,IF(((YEAR(BD$46)-YEAR('融资租赁与资金缺口'!$F$10))*12+MONTH(BD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D$46)-YEAR('融资租赁与资金缺口'!$F$10))*12+MONTH(BD$46)-MONTH('融资租赁与资金缺口'!$F$10)),'融资租赁与资金缺口'!$E$10*(1+'融资租赁与资金缺口'!$I$10)^((YEAR(BD$46)-YEAR('融资租赁与资金缺口'!$F$10))*12+MONTH(BD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D$46)-YEAR('融资租赁与资金缺口'!$F$10))*12+MONTH(BD$46)-MONTH('融资租赁与资金缺口'!$F$10))-1)/'融资租赁与资金缺口'!$I$10))))),IF(BD$46&lt;'融资租赁与资金缺口'!$F$11,0,IF(BD$46='融资租赁与资金缺口'!$F$11,'融资租赁与资金缺口'!$E$11,IF(((YEAR(BD$46)-YEAR('融资租赁与资金缺口'!$F$11))*12+MONTH(BD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D$46)-YEAR('融资租赁与资金缺口'!$F$11))*12+MONTH(BD$46)-MONTH('融资租赁与资金缺口'!$F$11)),'融资租赁与资金缺口'!$E$11*(1+'融资租赁与资金缺口'!$I$11)^((YEAR(BD$46)-YEAR('融资租赁与资金缺口'!$F$11))*12+MONTH(BD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D$46)-YEAR('融资租赁与资金缺口'!$F$11))*12+MONTH(BD$46)-MONTH('融资租赁与资金缺口'!$F$11))-1)/'融资租赁与资金缺口'!$I$11))))),IF(BD$46&lt;'融资租赁与资金缺口'!$F$12,0,IF(BD$46='融资租赁与资金缺口'!$F$12,'融资租赁与资金缺口'!$E$12,IF(((YEAR(BD$46)-YEAR('融资租赁与资金缺口'!$F$12))*12+MONTH(BD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D$46)-YEAR('融资租赁与资金缺口'!$F$12))*12+MONTH(BD$46)-MONTH('融资租赁与资金缺口'!$F$12)),'融资租赁与资金缺口'!$E$12*(1+'融资租赁与资金缺口'!$I$12)^((YEAR(BD$46)-YEAR('融资租赁与资金缺口'!$F$12))*12+MONTH(BD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D$46)-YEAR('融资租赁与资金缺口'!$F$12))*12+MONTH(BD$46)-MONTH('融资租赁与资金缺口'!$F$12))-1)/'融资租赁与资金缺口'!$I$12))))),IF(BD$46&lt;'融资租赁与资金缺口'!$F$13,0,IF(BD$46='融资租赁与资金缺口'!$F$13,'融资租赁与资金缺口'!$E$13,IF(((YEAR(BD$46)-YEAR('融资租赁与资金缺口'!$F$13))*12+MONTH(BD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D$46)-YEAR('融资租赁与资金缺口'!$F$13))*12+MONTH(BD$46)-MONTH('融资租赁与资金缺口'!$F$13)),'融资租赁与资金缺口'!$E$13*(1+'融资租赁与资金缺口'!$I$13)^((YEAR(BD$46)-YEAR('融资租赁与资金缺口'!$F$13))*12+MONTH(BD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D$46)-YEAR('融资租赁与资金缺口'!$F$13))*12+MONTH(BD$46)-MONTH('融资租赁与资金缺口'!$F$13))-1)/'融资租赁与资金缺口'!$I$13))))),IF(BD$46&lt;'融资租赁与资金缺口'!$F$14,0,IF(BD$46='融资租赁与资金缺口'!$F$14,'融资租赁与资金缺口'!$E$14,IF(((YEAR(BD$46)-YEAR('融资租赁与资金缺口'!$F$14))*12+MONTH(BD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D$46)-YEAR('融资租赁与资金缺口'!$F$14))*12+MONTH(BD$46)-MONTH('融资租赁与资金缺口'!$F$14)),'融资租赁与资金缺口'!$E$14*(1+'融资租赁与资金缺口'!$I$14)^((YEAR(BD$46)-YEAR('融资租赁与资金缺口'!$F$14))*12+MONTH(BD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D$46)-YEAR('融资租赁与资金缺口'!$F$14))*12+MONTH(BD$46)-MONTH('融资租赁与资金缺口'!$F$14))-1)/'融资租赁与资金缺口'!$I$14))))),IF(BD$46&lt;'融资租赁与资金缺口'!$F$15,0,IF(BD$46='融资租赁与资金缺口'!$F$15,'融资租赁与资金缺口'!$E$15,IF(((YEAR(BD$46)-YEAR('融资租赁与资金缺口'!$F$15))*12+MONTH(BD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D$46)-YEAR('融资租赁与资金缺口'!$F$15))*12+MONTH(BD$46)-MONTH('融资租赁与资金缺口'!$F$15)),'融资租赁与资金缺口'!$E$15*(1+'融资租赁与资金缺口'!$I$15)^((YEAR(BD$46)-YEAR('融资租赁与资金缺口'!$F$15))*12+MONTH(BD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D$46)-YEAR('融资租赁与资金缺口'!$F$15))*12+MONTH(BD$46)-MONTH('融资租赁与资金缺口'!$F$15))-1)/'融资租赁与资金缺口'!$I$15))))),IF(BD$46&lt;'融资租赁与资金缺口'!$F$16,0,IF(BD$46='融资租赁与资金缺口'!$F$16,'融资租赁与资金缺口'!$E$16,IF(((YEAR(BD$46)-YEAR('融资租赁与资金缺口'!$F$16))*12+MONTH(BD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D$46)-YEAR('融资租赁与资金缺口'!$F$16))*12+MONTH(BD$46)-MONTH('融资租赁与资金缺口'!$F$16)),'融资租赁与资金缺口'!$E$16*(1+'融资租赁与资金缺口'!$I$16)^((YEAR(BD$46)-YEAR('融资租赁与资金缺口'!$F$16))*12+MONTH(BD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D$46)-YEAR('融资租赁与资金缺口'!$F$16))*12+MONTH(BD$46)-MONTH('融资租赁与资金缺口'!$F$16))-1)/'融资租赁与资金缺口'!$I$16))))))</x:f>
        <x:v>71389241.7976509</x:v>
      </x:c>
      <x:c r="BE48" s="28" t="n">
        <x:f>SUM(IF(BE$46&lt;'融资租赁与资金缺口'!$F$5,0,IF(BE$46='融资租赁与资金缺口'!$F$5,'融资租赁与资金缺口'!$E$5,IF(((YEAR(BE$46)-YEAR('融资租赁与资金缺口'!$F$5))*12+MONTH(BE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E$46)-YEAR('融资租赁与资金缺口'!$F$5))*12+MONTH(BE$46)-MONTH('融资租赁与资金缺口'!$F$5)),'融资租赁与资金缺口'!$E$5*(1+'融资租赁与资金缺口'!$I$5)^((YEAR(BE$46)-YEAR('融资租赁与资金缺口'!$F$5))*12+MONTH(BE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E$46)-YEAR('融资租赁与资金缺口'!$F$5))*12+MONTH(BE$46)-MONTH('融资租赁与资金缺口'!$F$5))-1)/'融资租赁与资金缺口'!$I$5))))),IF(BE$46&lt;'融资租赁与资金缺口'!$F$6,0,IF(BE$46='融资租赁与资金缺口'!$F$6,'融资租赁与资金缺口'!$E$6,IF(((YEAR(BE$46)-YEAR('融资租赁与资金缺口'!$F$6))*12+MONTH(BE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E$46)-YEAR('融资租赁与资金缺口'!$F$6))*12+MONTH(BE$46)-MONTH('融资租赁与资金缺口'!$F$6)),'融资租赁与资金缺口'!$E$6*(1+'融资租赁与资金缺口'!$I$6)^((YEAR(BE$46)-YEAR('融资租赁与资金缺口'!$F$6))*12+MONTH(BE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E$46)-YEAR('融资租赁与资金缺口'!$F$6))*12+MONTH(BE$46)-MONTH('融资租赁与资金缺口'!$F$6))-1)/'融资租赁与资金缺口'!$I$6))))),IF(BE$46&lt;'融资租赁与资金缺口'!$F$7,0,IF(BE$46='融资租赁与资金缺口'!$F$7,'融资租赁与资金缺口'!$E$7,IF(((YEAR(BE$46)-YEAR('融资租赁与资金缺口'!$F$7))*12+MONTH(BE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E$46)-YEAR('融资租赁与资金缺口'!$F$7))*12+MONTH(BE$46)-MONTH('融资租赁与资金缺口'!$F$7)),'融资租赁与资金缺口'!$E$7*(1+'融资租赁与资金缺口'!$I$7)^((YEAR(BE$46)-YEAR('融资租赁与资金缺口'!$F$7))*12+MONTH(BE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E$46)-YEAR('融资租赁与资金缺口'!$F$7))*12+MONTH(BE$46)-MONTH('融资租赁与资金缺口'!$F$7))-1)/'融资租赁与资金缺口'!$I$7))))),IF(BE$46&lt;'融资租赁与资金缺口'!$F$8,0,IF(BE$46='融资租赁与资金缺口'!$F$8,'融资租赁与资金缺口'!$E$8,IF(((YEAR(BE$46)-YEAR('融资租赁与资金缺口'!$F$8))*12+MONTH(BE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E$46)-YEAR('融资租赁与资金缺口'!$F$8))*12+MONTH(BE$46)-MONTH('融资租赁与资金缺口'!$F$8)),'融资租赁与资金缺口'!$E$8*(1+'融资租赁与资金缺口'!$I$8)^((YEAR(BE$46)-YEAR('融资租赁与资金缺口'!$F$8))*12+MONTH(BE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E$46)-YEAR('融资租赁与资金缺口'!$F$8))*12+MONTH(BE$46)-MONTH('融资租赁与资金缺口'!$F$8))-1)/'融资租赁与资金缺口'!$I$8))))),IF(BE$46&lt;'融资租赁与资金缺口'!$F$9,0,IF(BE$46='融资租赁与资金缺口'!$F$9,'融资租赁与资金缺口'!$E$9,IF(((YEAR(BE$46)-YEAR('融资租赁与资金缺口'!$F$9))*12+MONTH(BE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E$46)-YEAR('融资租赁与资金缺口'!$F$9))*12+MONTH(BE$46)-MONTH('融资租赁与资金缺口'!$F$9)),'融资租赁与资金缺口'!$E$9*(1+'融资租赁与资金缺口'!$I$9)^((YEAR(BE$46)-YEAR('融资租赁与资金缺口'!$F$9))*12+MONTH(BE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E$46)-YEAR('融资租赁与资金缺口'!$F$9))*12+MONTH(BE$46)-MONTH('融资租赁与资金缺口'!$F$9))-1)/'融资租赁与资金缺口'!$I$9))))),IF(BE$46&lt;'融资租赁与资金缺口'!$F$10,0,IF(BE$46='融资租赁与资金缺口'!$F$10,'融资租赁与资金缺口'!$E$10,IF(((YEAR(BE$46)-YEAR('融资租赁与资金缺口'!$F$10))*12+MONTH(BE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E$46)-YEAR('融资租赁与资金缺口'!$F$10))*12+MONTH(BE$46)-MONTH('融资租赁与资金缺口'!$F$10)),'融资租赁与资金缺口'!$E$10*(1+'融资租赁与资金缺口'!$I$10)^((YEAR(BE$46)-YEAR('融资租赁与资金缺口'!$F$10))*12+MONTH(BE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E$46)-YEAR('融资租赁与资金缺口'!$F$10))*12+MONTH(BE$46)-MONTH('融资租赁与资金缺口'!$F$10))-1)/'融资租赁与资金缺口'!$I$10))))),IF(BE$46&lt;'融资租赁与资金缺口'!$F$11,0,IF(BE$46='融资租赁与资金缺口'!$F$11,'融资租赁与资金缺口'!$E$11,IF(((YEAR(BE$46)-YEAR('融资租赁与资金缺口'!$F$11))*12+MONTH(BE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E$46)-YEAR('融资租赁与资金缺口'!$F$11))*12+MONTH(BE$46)-MONTH('融资租赁与资金缺口'!$F$11)),'融资租赁与资金缺口'!$E$11*(1+'融资租赁与资金缺口'!$I$11)^((YEAR(BE$46)-YEAR('融资租赁与资金缺口'!$F$11))*12+MONTH(BE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E$46)-YEAR('融资租赁与资金缺口'!$F$11))*12+MONTH(BE$46)-MONTH('融资租赁与资金缺口'!$F$11))-1)/'融资租赁与资金缺口'!$I$11))))),IF(BE$46&lt;'融资租赁与资金缺口'!$F$12,0,IF(BE$46='融资租赁与资金缺口'!$F$12,'融资租赁与资金缺口'!$E$12,IF(((YEAR(BE$46)-YEAR('融资租赁与资金缺口'!$F$12))*12+MONTH(BE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E$46)-YEAR('融资租赁与资金缺口'!$F$12))*12+MONTH(BE$46)-MONTH('融资租赁与资金缺口'!$F$12)),'融资租赁与资金缺口'!$E$12*(1+'融资租赁与资金缺口'!$I$12)^((YEAR(BE$46)-YEAR('融资租赁与资金缺口'!$F$12))*12+MONTH(BE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E$46)-YEAR('融资租赁与资金缺口'!$F$12))*12+MONTH(BE$46)-MONTH('融资租赁与资金缺口'!$F$12))-1)/'融资租赁与资金缺口'!$I$12))))),IF(BE$46&lt;'融资租赁与资金缺口'!$F$13,0,IF(BE$46='融资租赁与资金缺口'!$F$13,'融资租赁与资金缺口'!$E$13,IF(((YEAR(BE$46)-YEAR('融资租赁与资金缺口'!$F$13))*12+MONTH(BE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E$46)-YEAR('融资租赁与资金缺口'!$F$13))*12+MONTH(BE$46)-MONTH('融资租赁与资金缺口'!$F$13)),'融资租赁与资金缺口'!$E$13*(1+'融资租赁与资金缺口'!$I$13)^((YEAR(BE$46)-YEAR('融资租赁与资金缺口'!$F$13))*12+MONTH(BE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E$46)-YEAR('融资租赁与资金缺口'!$F$13))*12+MONTH(BE$46)-MONTH('融资租赁与资金缺口'!$F$13))-1)/'融资租赁与资金缺口'!$I$13))))),IF(BE$46&lt;'融资租赁与资金缺口'!$F$14,0,IF(BE$46='融资租赁与资金缺口'!$F$14,'融资租赁与资金缺口'!$E$14,IF(((YEAR(BE$46)-YEAR('融资租赁与资金缺口'!$F$14))*12+MONTH(BE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E$46)-YEAR('融资租赁与资金缺口'!$F$14))*12+MONTH(BE$46)-MONTH('融资租赁与资金缺口'!$F$14)),'融资租赁与资金缺口'!$E$14*(1+'融资租赁与资金缺口'!$I$14)^((YEAR(BE$46)-YEAR('融资租赁与资金缺口'!$F$14))*12+MONTH(BE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E$46)-YEAR('融资租赁与资金缺口'!$F$14))*12+MONTH(BE$46)-MONTH('融资租赁与资金缺口'!$F$14))-1)/'融资租赁与资金缺口'!$I$14))))),IF(BE$46&lt;'融资租赁与资金缺口'!$F$15,0,IF(BE$46='融资租赁与资金缺口'!$F$15,'融资租赁与资金缺口'!$E$15,IF(((YEAR(BE$46)-YEAR('融资租赁与资金缺口'!$F$15))*12+MONTH(BE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E$46)-YEAR('融资租赁与资金缺口'!$F$15))*12+MONTH(BE$46)-MONTH('融资租赁与资金缺口'!$F$15)),'融资租赁与资金缺口'!$E$15*(1+'融资租赁与资金缺口'!$I$15)^((YEAR(BE$46)-YEAR('融资租赁与资金缺口'!$F$15))*12+MONTH(BE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E$46)-YEAR('融资租赁与资金缺口'!$F$15))*12+MONTH(BE$46)-MONTH('融资租赁与资金缺口'!$F$15))-1)/'融资租赁与资金缺口'!$I$15))))),IF(BE$46&lt;'融资租赁与资金缺口'!$F$16,0,IF(BE$46='融资租赁与资金缺口'!$F$16,'融资租赁与资金缺口'!$E$16,IF(((YEAR(BE$46)-YEAR('融资租赁与资金缺口'!$F$16))*12+MONTH(BE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E$46)-YEAR('融资租赁与资金缺口'!$F$16))*12+MONTH(BE$46)-MONTH('融资租赁与资金缺口'!$F$16)),'融资租赁与资金缺口'!$E$16*(1+'融资租赁与资金缺口'!$I$16)^((YEAR(BE$46)-YEAR('融资租赁与资金缺口'!$F$16))*12+MONTH(BE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E$46)-YEAR('融资租赁与资金缺口'!$F$16))*12+MONTH(BE$46)-MONTH('融资租赁与资金缺口'!$F$16))-1)/'融资租赁与资金缺口'!$I$16))))))</x:f>
        <x:v>51615568.07505863</x:v>
      </x:c>
      <x:c r="BF48" s="28" t="n">
        <x:f>SUM(IF(BF$46&lt;'融资租赁与资金缺口'!$F$5,0,IF(BF$46='融资租赁与资金缺口'!$F$5,'融资租赁与资金缺口'!$E$5,IF(((YEAR(BF$46)-YEAR('融资租赁与资金缺口'!$F$5))*12+MONTH(BF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F$46)-YEAR('融资租赁与资金缺口'!$F$5))*12+MONTH(BF$46)-MONTH('融资租赁与资金缺口'!$F$5)),'融资租赁与资金缺口'!$E$5*(1+'融资租赁与资金缺口'!$I$5)^((YEAR(BF$46)-YEAR('融资租赁与资金缺口'!$F$5))*12+MONTH(BF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F$46)-YEAR('融资租赁与资金缺口'!$F$5))*12+MONTH(BF$46)-MONTH('融资租赁与资金缺口'!$F$5))-1)/'融资租赁与资金缺口'!$I$5))))),IF(BF$46&lt;'融资租赁与资金缺口'!$F$6,0,IF(BF$46='融资租赁与资金缺口'!$F$6,'融资租赁与资金缺口'!$E$6,IF(((YEAR(BF$46)-YEAR('融资租赁与资金缺口'!$F$6))*12+MONTH(BF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F$46)-YEAR('融资租赁与资金缺口'!$F$6))*12+MONTH(BF$46)-MONTH('融资租赁与资金缺口'!$F$6)),'融资租赁与资金缺口'!$E$6*(1+'融资租赁与资金缺口'!$I$6)^((YEAR(BF$46)-YEAR('融资租赁与资金缺口'!$F$6))*12+MONTH(BF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F$46)-YEAR('融资租赁与资金缺口'!$F$6))*12+MONTH(BF$46)-MONTH('融资租赁与资金缺口'!$F$6))-1)/'融资租赁与资金缺口'!$I$6))))),IF(BF$46&lt;'融资租赁与资金缺口'!$F$7,0,IF(BF$46='融资租赁与资金缺口'!$F$7,'融资租赁与资金缺口'!$E$7,IF(((YEAR(BF$46)-YEAR('融资租赁与资金缺口'!$F$7))*12+MONTH(BF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F$46)-YEAR('融资租赁与资金缺口'!$F$7))*12+MONTH(BF$46)-MONTH('融资租赁与资金缺口'!$F$7)),'融资租赁与资金缺口'!$E$7*(1+'融资租赁与资金缺口'!$I$7)^((YEAR(BF$46)-YEAR('融资租赁与资金缺口'!$F$7))*12+MONTH(BF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F$46)-YEAR('融资租赁与资金缺口'!$F$7))*12+MONTH(BF$46)-MONTH('融资租赁与资金缺口'!$F$7))-1)/'融资租赁与资金缺口'!$I$7))))),IF(BF$46&lt;'融资租赁与资金缺口'!$F$8,0,IF(BF$46='融资租赁与资金缺口'!$F$8,'融资租赁与资金缺口'!$E$8,IF(((YEAR(BF$46)-YEAR('融资租赁与资金缺口'!$F$8))*12+MONTH(BF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F$46)-YEAR('融资租赁与资金缺口'!$F$8))*12+MONTH(BF$46)-MONTH('融资租赁与资金缺口'!$F$8)),'融资租赁与资金缺口'!$E$8*(1+'融资租赁与资金缺口'!$I$8)^((YEAR(BF$46)-YEAR('融资租赁与资金缺口'!$F$8))*12+MONTH(BF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F$46)-YEAR('融资租赁与资金缺口'!$F$8))*12+MONTH(BF$46)-MONTH('融资租赁与资金缺口'!$F$8))-1)/'融资租赁与资金缺口'!$I$8))))),IF(BF$46&lt;'融资租赁与资金缺口'!$F$9,0,IF(BF$46='融资租赁与资金缺口'!$F$9,'融资租赁与资金缺口'!$E$9,IF(((YEAR(BF$46)-YEAR('融资租赁与资金缺口'!$F$9))*12+MONTH(BF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F$46)-YEAR('融资租赁与资金缺口'!$F$9))*12+MONTH(BF$46)-MONTH('融资租赁与资金缺口'!$F$9)),'融资租赁与资金缺口'!$E$9*(1+'融资租赁与资金缺口'!$I$9)^((YEAR(BF$46)-YEAR('融资租赁与资金缺口'!$F$9))*12+MONTH(BF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F$46)-YEAR('融资租赁与资金缺口'!$F$9))*12+MONTH(BF$46)-MONTH('融资租赁与资金缺口'!$F$9))-1)/'融资租赁与资金缺口'!$I$9))))),IF(BF$46&lt;'融资租赁与资金缺口'!$F$10,0,IF(BF$46='融资租赁与资金缺口'!$F$10,'融资租赁与资金缺口'!$E$10,IF(((YEAR(BF$46)-YEAR('融资租赁与资金缺口'!$F$10))*12+MONTH(BF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F$46)-YEAR('融资租赁与资金缺口'!$F$10))*12+MONTH(BF$46)-MONTH('融资租赁与资金缺口'!$F$10)),'融资租赁与资金缺口'!$E$10*(1+'融资租赁与资金缺口'!$I$10)^((YEAR(BF$46)-YEAR('融资租赁与资金缺口'!$F$10))*12+MONTH(BF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F$46)-YEAR('融资租赁与资金缺口'!$F$10))*12+MONTH(BF$46)-MONTH('融资租赁与资金缺口'!$F$10))-1)/'融资租赁与资金缺口'!$I$10))))),IF(BF$46&lt;'融资租赁与资金缺口'!$F$11,0,IF(BF$46='融资租赁与资金缺口'!$F$11,'融资租赁与资金缺口'!$E$11,IF(((YEAR(BF$46)-YEAR('融资租赁与资金缺口'!$F$11))*12+MONTH(BF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F$46)-YEAR('融资租赁与资金缺口'!$F$11))*12+MONTH(BF$46)-MONTH('融资租赁与资金缺口'!$F$11)),'融资租赁与资金缺口'!$E$11*(1+'融资租赁与资金缺口'!$I$11)^((YEAR(BF$46)-YEAR('融资租赁与资金缺口'!$F$11))*12+MONTH(BF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F$46)-YEAR('融资租赁与资金缺口'!$F$11))*12+MONTH(BF$46)-MONTH('融资租赁与资金缺口'!$F$11))-1)/'融资租赁与资金缺口'!$I$11))))),IF(BF$46&lt;'融资租赁与资金缺口'!$F$12,0,IF(BF$46='融资租赁与资金缺口'!$F$12,'融资租赁与资金缺口'!$E$12,IF(((YEAR(BF$46)-YEAR('融资租赁与资金缺口'!$F$12))*12+MONTH(BF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F$46)-YEAR('融资租赁与资金缺口'!$F$12))*12+MONTH(BF$46)-MONTH('融资租赁与资金缺口'!$F$12)),'融资租赁与资金缺口'!$E$12*(1+'融资租赁与资金缺口'!$I$12)^((YEAR(BF$46)-YEAR('融资租赁与资金缺口'!$F$12))*12+MONTH(BF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F$46)-YEAR('融资租赁与资金缺口'!$F$12))*12+MONTH(BF$46)-MONTH('融资租赁与资金缺口'!$F$12))-1)/'融资租赁与资金缺口'!$I$12))))),IF(BF$46&lt;'融资租赁与资金缺口'!$F$13,0,IF(BF$46='融资租赁与资金缺口'!$F$13,'融资租赁与资金缺口'!$E$13,IF(((YEAR(BF$46)-YEAR('融资租赁与资金缺口'!$F$13))*12+MONTH(BF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F$46)-YEAR('融资租赁与资金缺口'!$F$13))*12+MONTH(BF$46)-MONTH('融资租赁与资金缺口'!$F$13)),'融资租赁与资金缺口'!$E$13*(1+'融资租赁与资金缺口'!$I$13)^((YEAR(BF$46)-YEAR('融资租赁与资金缺口'!$F$13))*12+MONTH(BF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F$46)-YEAR('融资租赁与资金缺口'!$F$13))*12+MONTH(BF$46)-MONTH('融资租赁与资金缺口'!$F$13))-1)/'融资租赁与资金缺口'!$I$13))))),IF(BF$46&lt;'融资租赁与资金缺口'!$F$14,0,IF(BF$46='融资租赁与资金缺口'!$F$14,'融资租赁与资金缺口'!$E$14,IF(((YEAR(BF$46)-YEAR('融资租赁与资金缺口'!$F$14))*12+MONTH(BF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F$46)-YEAR('融资租赁与资金缺口'!$F$14))*12+MONTH(BF$46)-MONTH('融资租赁与资金缺口'!$F$14)),'融资租赁与资金缺口'!$E$14*(1+'融资租赁与资金缺口'!$I$14)^((YEAR(BF$46)-YEAR('融资租赁与资金缺口'!$F$14))*12+MONTH(BF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F$46)-YEAR('融资租赁与资金缺口'!$F$14))*12+MONTH(BF$46)-MONTH('融资租赁与资金缺口'!$F$14))-1)/'融资租赁与资金缺口'!$I$14))))),IF(BF$46&lt;'融资租赁与资金缺口'!$F$15,0,IF(BF$46='融资租赁与资金缺口'!$F$15,'融资租赁与资金缺口'!$E$15,IF(((YEAR(BF$46)-YEAR('融资租赁与资金缺口'!$F$15))*12+MONTH(BF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F$46)-YEAR('融资租赁与资金缺口'!$F$15))*12+MONTH(BF$46)-MONTH('融资租赁与资金缺口'!$F$15)),'融资租赁与资金缺口'!$E$15*(1+'融资租赁与资金缺口'!$I$15)^((YEAR(BF$46)-YEAR('融资租赁与资金缺口'!$F$15))*12+MONTH(BF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F$46)-YEAR('融资租赁与资金缺口'!$F$15))*12+MONTH(BF$46)-MONTH('融资租赁与资金缺口'!$F$15))-1)/'融资租赁与资金缺口'!$I$15))))),IF(BF$46&lt;'融资租赁与资金缺口'!$F$16,0,IF(BF$46='融资租赁与资金缺口'!$F$16,'融资租赁与资金缺口'!$E$16,IF(((YEAR(BF$46)-YEAR('融资租赁与资金缺口'!$F$16))*12+MONTH(BF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F$46)-YEAR('融资租赁与资金缺口'!$F$16))*12+MONTH(BF$46)-MONTH('融资租赁与资金缺口'!$F$16)),'融资租赁与资金缺口'!$E$16*(1+'融资租赁与资金缺口'!$I$16)^((YEAR(BF$46)-YEAR('融资租赁与资金缺口'!$F$16))*12+MONTH(BF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F$46)-YEAR('融资租赁与资金缺口'!$F$16))*12+MONTH(BF$46)-MONTH('融资租赁与资金缺口'!$F$16))-1)/'融资租赁与资金缺口'!$I$16))))))</x:f>
        <x:v>34659898.03211382</x:v>
      </x:c>
      <x:c r="BG48" s="28" t="n">
        <x:f>SUM(IF(BG$46&lt;'融资租赁与资金缺口'!$F$5,0,IF(BG$46='融资租赁与资金缺口'!$F$5,'融资租赁与资金缺口'!$E$5,IF(((YEAR(BG$46)-YEAR('融资租赁与资金缺口'!$F$5))*12+MONTH(BG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G$46)-YEAR('融资租赁与资金缺口'!$F$5))*12+MONTH(BG$46)-MONTH('融资租赁与资金缺口'!$F$5)),'融资租赁与资金缺口'!$E$5*(1+'融资租赁与资金缺口'!$I$5)^((YEAR(BG$46)-YEAR('融资租赁与资金缺口'!$F$5))*12+MONTH(BG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G$46)-YEAR('融资租赁与资金缺口'!$F$5))*12+MONTH(BG$46)-MONTH('融资租赁与资金缺口'!$F$5))-1)/'融资租赁与资金缺口'!$I$5))))),IF(BG$46&lt;'融资租赁与资金缺口'!$F$6,0,IF(BG$46='融资租赁与资金缺口'!$F$6,'融资租赁与资金缺口'!$E$6,IF(((YEAR(BG$46)-YEAR('融资租赁与资金缺口'!$F$6))*12+MONTH(BG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G$46)-YEAR('融资租赁与资金缺口'!$F$6))*12+MONTH(BG$46)-MONTH('融资租赁与资金缺口'!$F$6)),'融资租赁与资金缺口'!$E$6*(1+'融资租赁与资金缺口'!$I$6)^((YEAR(BG$46)-YEAR('融资租赁与资金缺口'!$F$6))*12+MONTH(BG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G$46)-YEAR('融资租赁与资金缺口'!$F$6))*12+MONTH(BG$46)-MONTH('融资租赁与资金缺口'!$F$6))-1)/'融资租赁与资金缺口'!$I$6))))),IF(BG$46&lt;'融资租赁与资金缺口'!$F$7,0,IF(BG$46='融资租赁与资金缺口'!$F$7,'融资租赁与资金缺口'!$E$7,IF(((YEAR(BG$46)-YEAR('融资租赁与资金缺口'!$F$7))*12+MONTH(BG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G$46)-YEAR('融资租赁与资金缺口'!$F$7))*12+MONTH(BG$46)-MONTH('融资租赁与资金缺口'!$F$7)),'融资租赁与资金缺口'!$E$7*(1+'融资租赁与资金缺口'!$I$7)^((YEAR(BG$46)-YEAR('融资租赁与资金缺口'!$F$7))*12+MONTH(BG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G$46)-YEAR('融资租赁与资金缺口'!$F$7))*12+MONTH(BG$46)-MONTH('融资租赁与资金缺口'!$F$7))-1)/'融资租赁与资金缺口'!$I$7))))),IF(BG$46&lt;'融资租赁与资金缺口'!$F$8,0,IF(BG$46='融资租赁与资金缺口'!$F$8,'融资租赁与资金缺口'!$E$8,IF(((YEAR(BG$46)-YEAR('融资租赁与资金缺口'!$F$8))*12+MONTH(BG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G$46)-YEAR('融资租赁与资金缺口'!$F$8))*12+MONTH(BG$46)-MONTH('融资租赁与资金缺口'!$F$8)),'融资租赁与资金缺口'!$E$8*(1+'融资租赁与资金缺口'!$I$8)^((YEAR(BG$46)-YEAR('融资租赁与资金缺口'!$F$8))*12+MONTH(BG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G$46)-YEAR('融资租赁与资金缺口'!$F$8))*12+MONTH(BG$46)-MONTH('融资租赁与资金缺口'!$F$8))-1)/'融资租赁与资金缺口'!$I$8))))),IF(BG$46&lt;'融资租赁与资金缺口'!$F$9,0,IF(BG$46='融资租赁与资金缺口'!$F$9,'融资租赁与资金缺口'!$E$9,IF(((YEAR(BG$46)-YEAR('融资租赁与资金缺口'!$F$9))*12+MONTH(BG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G$46)-YEAR('融资租赁与资金缺口'!$F$9))*12+MONTH(BG$46)-MONTH('融资租赁与资金缺口'!$F$9)),'融资租赁与资金缺口'!$E$9*(1+'融资租赁与资金缺口'!$I$9)^((YEAR(BG$46)-YEAR('融资租赁与资金缺口'!$F$9))*12+MONTH(BG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G$46)-YEAR('融资租赁与资金缺口'!$F$9))*12+MONTH(BG$46)-MONTH('融资租赁与资金缺口'!$F$9))-1)/'融资租赁与资金缺口'!$I$9))))),IF(BG$46&lt;'融资租赁与资金缺口'!$F$10,0,IF(BG$46='融资租赁与资金缺口'!$F$10,'融资租赁与资金缺口'!$E$10,IF(((YEAR(BG$46)-YEAR('融资租赁与资金缺口'!$F$10))*12+MONTH(BG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G$46)-YEAR('融资租赁与资金缺口'!$F$10))*12+MONTH(BG$46)-MONTH('融资租赁与资金缺口'!$F$10)),'融资租赁与资金缺口'!$E$10*(1+'融资租赁与资金缺口'!$I$10)^((YEAR(BG$46)-YEAR('融资租赁与资金缺口'!$F$10))*12+MONTH(BG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G$46)-YEAR('融资租赁与资金缺口'!$F$10))*12+MONTH(BG$46)-MONTH('融资租赁与资金缺口'!$F$10))-1)/'融资租赁与资金缺口'!$I$10))))),IF(BG$46&lt;'融资租赁与资金缺口'!$F$11,0,IF(BG$46='融资租赁与资金缺口'!$F$11,'融资租赁与资金缺口'!$E$11,IF(((YEAR(BG$46)-YEAR('融资租赁与资金缺口'!$F$11))*12+MONTH(BG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G$46)-YEAR('融资租赁与资金缺口'!$F$11))*12+MONTH(BG$46)-MONTH('融资租赁与资金缺口'!$F$11)),'融资租赁与资金缺口'!$E$11*(1+'融资租赁与资金缺口'!$I$11)^((YEAR(BG$46)-YEAR('融资租赁与资金缺口'!$F$11))*12+MONTH(BG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G$46)-YEAR('融资租赁与资金缺口'!$F$11))*12+MONTH(BG$46)-MONTH('融资租赁与资金缺口'!$F$11))-1)/'融资租赁与资金缺口'!$I$11))))),IF(BG$46&lt;'融资租赁与资金缺口'!$F$12,0,IF(BG$46='融资租赁与资金缺口'!$F$12,'融资租赁与资金缺口'!$E$12,IF(((YEAR(BG$46)-YEAR('融资租赁与资金缺口'!$F$12))*12+MONTH(BG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G$46)-YEAR('融资租赁与资金缺口'!$F$12))*12+MONTH(BG$46)-MONTH('融资租赁与资金缺口'!$F$12)),'融资租赁与资金缺口'!$E$12*(1+'融资租赁与资金缺口'!$I$12)^((YEAR(BG$46)-YEAR('融资租赁与资金缺口'!$F$12))*12+MONTH(BG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G$46)-YEAR('融资租赁与资金缺口'!$F$12))*12+MONTH(BG$46)-MONTH('融资租赁与资金缺口'!$F$12))-1)/'融资租赁与资金缺口'!$I$12))))),IF(BG$46&lt;'融资租赁与资金缺口'!$F$13,0,IF(BG$46='融资租赁与资金缺口'!$F$13,'融资租赁与资金缺口'!$E$13,IF(((YEAR(BG$46)-YEAR('融资租赁与资金缺口'!$F$13))*12+MONTH(BG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G$46)-YEAR('融资租赁与资金缺口'!$F$13))*12+MONTH(BG$46)-MONTH('融资租赁与资金缺口'!$F$13)),'融资租赁与资金缺口'!$E$13*(1+'融资租赁与资金缺口'!$I$13)^((YEAR(BG$46)-YEAR('融资租赁与资金缺口'!$F$13))*12+MONTH(BG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G$46)-YEAR('融资租赁与资金缺口'!$F$13))*12+MONTH(BG$46)-MONTH('融资租赁与资金缺口'!$F$13))-1)/'融资租赁与资金缺口'!$I$13))))),IF(BG$46&lt;'融资租赁与资金缺口'!$F$14,0,IF(BG$46='融资租赁与资金缺口'!$F$14,'融资租赁与资金缺口'!$E$14,IF(((YEAR(BG$46)-YEAR('融资租赁与资金缺口'!$F$14))*12+MONTH(BG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G$46)-YEAR('融资租赁与资金缺口'!$F$14))*12+MONTH(BG$46)-MONTH('融资租赁与资金缺口'!$F$14)),'融资租赁与资金缺口'!$E$14*(1+'融资租赁与资金缺口'!$I$14)^((YEAR(BG$46)-YEAR('融资租赁与资金缺口'!$F$14))*12+MONTH(BG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G$46)-YEAR('融资租赁与资金缺口'!$F$14))*12+MONTH(BG$46)-MONTH('融资租赁与资金缺口'!$F$14))-1)/'融资租赁与资金缺口'!$I$14))))),IF(BG$46&lt;'融资租赁与资金缺口'!$F$15,0,IF(BG$46='融资租赁与资金缺口'!$F$15,'融资租赁与资金缺口'!$E$15,IF(((YEAR(BG$46)-YEAR('融资租赁与资金缺口'!$F$15))*12+MONTH(BG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G$46)-YEAR('融资租赁与资金缺口'!$F$15))*12+MONTH(BG$46)-MONTH('融资租赁与资金缺口'!$F$15)),'融资租赁与资金缺口'!$E$15*(1+'融资租赁与资金缺口'!$I$15)^((YEAR(BG$46)-YEAR('融资租赁与资金缺口'!$F$15))*12+MONTH(BG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G$46)-YEAR('融资租赁与资金缺口'!$F$15))*12+MONTH(BG$46)-MONTH('融资租赁与资金缺口'!$F$15))-1)/'融资租赁与资金缺口'!$I$15))))),IF(BG$46&lt;'融资租赁与资金缺口'!$F$16,0,IF(BG$46='融资租赁与资金缺口'!$F$16,'融资租赁与资金缺口'!$E$16,IF(((YEAR(BG$46)-YEAR('融资租赁与资金缺口'!$F$16))*12+MONTH(BG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G$46)-YEAR('融资租赁与资金缺口'!$F$16))*12+MONTH(BG$46)-MONTH('融资租赁与资金缺口'!$F$16)),'融资租赁与资金缺口'!$E$16*(1+'融资租赁与资金缺口'!$I$16)^((YEAR(BG$46)-YEAR('融资租赁与资金缺口'!$F$16))*12+MONTH(BG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G$46)-YEAR('融资租赁与资金缺口'!$F$16))*12+MONTH(BG$46)-MONTH('融资租赁与资金缺口'!$F$16))-1)/'融资租赁与资金缺口'!$I$16))))))</x:f>
        <x:v>20406978.360014066</x:v>
      </x:c>
      <x:c r="BH48" s="28" t="n">
        <x:f>SUM(IF(BH$46&lt;'融资租赁与资金缺口'!$F$5,0,IF(BH$46='融资租赁与资金缺口'!$F$5,'融资租赁与资金缺口'!$E$5,IF(((YEAR(BH$46)-YEAR('融资租赁与资金缺口'!$F$5))*12+MONTH(BH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H$46)-YEAR('融资租赁与资金缺口'!$F$5))*12+MONTH(BH$46)-MONTH('融资租赁与资金缺口'!$F$5)),'融资租赁与资金缺口'!$E$5*(1+'融资租赁与资金缺口'!$I$5)^((YEAR(BH$46)-YEAR('融资租赁与资金缺口'!$F$5))*12+MONTH(BH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H$46)-YEAR('融资租赁与资金缺口'!$F$5))*12+MONTH(BH$46)-MONTH('融资租赁与资金缺口'!$F$5))-1)/'融资租赁与资金缺口'!$I$5))))),IF(BH$46&lt;'融资租赁与资金缺口'!$F$6,0,IF(BH$46='融资租赁与资金缺口'!$F$6,'融资租赁与资金缺口'!$E$6,IF(((YEAR(BH$46)-YEAR('融资租赁与资金缺口'!$F$6))*12+MONTH(BH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H$46)-YEAR('融资租赁与资金缺口'!$F$6))*12+MONTH(BH$46)-MONTH('融资租赁与资金缺口'!$F$6)),'融资租赁与资金缺口'!$E$6*(1+'融资租赁与资金缺口'!$I$6)^((YEAR(BH$46)-YEAR('融资租赁与资金缺口'!$F$6))*12+MONTH(BH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H$46)-YEAR('融资租赁与资金缺口'!$F$6))*12+MONTH(BH$46)-MONTH('融资租赁与资金缺口'!$F$6))-1)/'融资租赁与资金缺口'!$I$6))))),IF(BH$46&lt;'融资租赁与资金缺口'!$F$7,0,IF(BH$46='融资租赁与资金缺口'!$F$7,'融资租赁与资金缺口'!$E$7,IF(((YEAR(BH$46)-YEAR('融资租赁与资金缺口'!$F$7))*12+MONTH(BH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H$46)-YEAR('融资租赁与资金缺口'!$F$7))*12+MONTH(BH$46)-MONTH('融资租赁与资金缺口'!$F$7)),'融资租赁与资金缺口'!$E$7*(1+'融资租赁与资金缺口'!$I$7)^((YEAR(BH$46)-YEAR('融资租赁与资金缺口'!$F$7))*12+MONTH(BH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H$46)-YEAR('融资租赁与资金缺口'!$F$7))*12+MONTH(BH$46)-MONTH('融资租赁与资金缺口'!$F$7))-1)/'融资租赁与资金缺口'!$I$7))))),IF(BH$46&lt;'融资租赁与资金缺口'!$F$8,0,IF(BH$46='融资租赁与资金缺口'!$F$8,'融资租赁与资金缺口'!$E$8,IF(((YEAR(BH$46)-YEAR('融资租赁与资金缺口'!$F$8))*12+MONTH(BH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H$46)-YEAR('融资租赁与资金缺口'!$F$8))*12+MONTH(BH$46)-MONTH('融资租赁与资金缺口'!$F$8)),'融资租赁与资金缺口'!$E$8*(1+'融资租赁与资金缺口'!$I$8)^((YEAR(BH$46)-YEAR('融资租赁与资金缺口'!$F$8))*12+MONTH(BH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H$46)-YEAR('融资租赁与资金缺口'!$F$8))*12+MONTH(BH$46)-MONTH('融资租赁与资金缺口'!$F$8))-1)/'融资租赁与资金缺口'!$I$8))))),IF(BH$46&lt;'融资租赁与资金缺口'!$F$9,0,IF(BH$46='融资租赁与资金缺口'!$F$9,'融资租赁与资金缺口'!$E$9,IF(((YEAR(BH$46)-YEAR('融资租赁与资金缺口'!$F$9))*12+MONTH(BH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H$46)-YEAR('融资租赁与资金缺口'!$F$9))*12+MONTH(BH$46)-MONTH('融资租赁与资金缺口'!$F$9)),'融资租赁与资金缺口'!$E$9*(1+'融资租赁与资金缺口'!$I$9)^((YEAR(BH$46)-YEAR('融资租赁与资金缺口'!$F$9))*12+MONTH(BH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H$46)-YEAR('融资租赁与资金缺口'!$F$9))*12+MONTH(BH$46)-MONTH('融资租赁与资金缺口'!$F$9))-1)/'融资租赁与资金缺口'!$I$9))))),IF(BH$46&lt;'融资租赁与资金缺口'!$F$10,0,IF(BH$46='融资租赁与资金缺口'!$F$10,'融资租赁与资金缺口'!$E$10,IF(((YEAR(BH$46)-YEAR('融资租赁与资金缺口'!$F$10))*12+MONTH(BH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H$46)-YEAR('融资租赁与资金缺口'!$F$10))*12+MONTH(BH$46)-MONTH('融资租赁与资金缺口'!$F$10)),'融资租赁与资金缺口'!$E$10*(1+'融资租赁与资金缺口'!$I$10)^((YEAR(BH$46)-YEAR('融资租赁与资金缺口'!$F$10))*12+MONTH(BH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H$46)-YEAR('融资租赁与资金缺口'!$F$10))*12+MONTH(BH$46)-MONTH('融资租赁与资金缺口'!$F$10))-1)/'融资租赁与资金缺口'!$I$10))))),IF(BH$46&lt;'融资租赁与资金缺口'!$F$11,0,IF(BH$46='融资租赁与资金缺口'!$F$11,'融资租赁与资金缺口'!$E$11,IF(((YEAR(BH$46)-YEAR('融资租赁与资金缺口'!$F$11))*12+MONTH(BH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H$46)-YEAR('融资租赁与资金缺口'!$F$11))*12+MONTH(BH$46)-MONTH('融资租赁与资金缺口'!$F$11)),'融资租赁与资金缺口'!$E$11*(1+'融资租赁与资金缺口'!$I$11)^((YEAR(BH$46)-YEAR('融资租赁与资金缺口'!$F$11))*12+MONTH(BH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H$46)-YEAR('融资租赁与资金缺口'!$F$11))*12+MONTH(BH$46)-MONTH('融资租赁与资金缺口'!$F$11))-1)/'融资租赁与资金缺口'!$I$11))))),IF(BH$46&lt;'融资租赁与资金缺口'!$F$12,0,IF(BH$46='融资租赁与资金缺口'!$F$12,'融资租赁与资金缺口'!$E$12,IF(((YEAR(BH$46)-YEAR('融资租赁与资金缺口'!$F$12))*12+MONTH(BH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H$46)-YEAR('融资租赁与资金缺口'!$F$12))*12+MONTH(BH$46)-MONTH('融资租赁与资金缺口'!$F$12)),'融资租赁与资金缺口'!$E$12*(1+'融资租赁与资金缺口'!$I$12)^((YEAR(BH$46)-YEAR('融资租赁与资金缺口'!$F$12))*12+MONTH(BH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H$46)-YEAR('融资租赁与资金缺口'!$F$12))*12+MONTH(BH$46)-MONTH('融资租赁与资金缺口'!$F$12))-1)/'融资租赁与资金缺口'!$I$12))))),IF(BH$46&lt;'融资租赁与资金缺口'!$F$13,0,IF(BH$46='融资租赁与资金缺口'!$F$13,'融资租赁与资金缺口'!$E$13,IF(((YEAR(BH$46)-YEAR('融资租赁与资金缺口'!$F$13))*12+MONTH(BH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H$46)-YEAR('融资租赁与资金缺口'!$F$13))*12+MONTH(BH$46)-MONTH('融资租赁与资金缺口'!$F$13)),'融资租赁与资金缺口'!$E$13*(1+'融资租赁与资金缺口'!$I$13)^((YEAR(BH$46)-YEAR('融资租赁与资金缺口'!$F$13))*12+MONTH(BH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H$46)-YEAR('融资租赁与资金缺口'!$F$13))*12+MONTH(BH$46)-MONTH('融资租赁与资金缺口'!$F$13))-1)/'融资租赁与资金缺口'!$I$13))))),IF(BH$46&lt;'融资租赁与资金缺口'!$F$14,0,IF(BH$46='融资租赁与资金缺口'!$F$14,'融资租赁与资金缺口'!$E$14,IF(((YEAR(BH$46)-YEAR('融资租赁与资金缺口'!$F$14))*12+MONTH(BH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H$46)-YEAR('融资租赁与资金缺口'!$F$14))*12+MONTH(BH$46)-MONTH('融资租赁与资金缺口'!$F$14)),'融资租赁与资金缺口'!$E$14*(1+'融资租赁与资金缺口'!$I$14)^((YEAR(BH$46)-YEAR('融资租赁与资金缺口'!$F$14))*12+MONTH(BH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H$46)-YEAR('融资租赁与资金缺口'!$F$14))*12+MONTH(BH$46)-MONTH('融资租赁与资金缺口'!$F$14))-1)/'融资租赁与资金缺口'!$I$14))))),IF(BH$46&lt;'融资租赁与资金缺口'!$F$15,0,IF(BH$46='融资租赁与资金缺口'!$F$15,'融资租赁与资金缺口'!$E$15,IF(((YEAR(BH$46)-YEAR('融资租赁与资金缺口'!$F$15))*12+MONTH(BH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H$46)-YEAR('融资租赁与资金缺口'!$F$15))*12+MONTH(BH$46)-MONTH('融资租赁与资金缺口'!$F$15)),'融资租赁与资金缺口'!$E$15*(1+'融资租赁与资金缺口'!$I$15)^((YEAR(BH$46)-YEAR('融资租赁与资金缺口'!$F$15))*12+MONTH(BH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H$46)-YEAR('融资租赁与资金缺口'!$F$15))*12+MONTH(BH$46)-MONTH('融资租赁与资金缺口'!$F$15))-1)/'融资租赁与资金缺口'!$I$15))))),IF(BH$46&lt;'融资租赁与资金缺口'!$F$16,0,IF(BH$46='融资租赁与资金缺口'!$F$16,'融资租赁与资金缺口'!$E$16,IF(((YEAR(BH$46)-YEAR('融资租赁与资金缺口'!$F$16))*12+MONTH(BH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H$46)-YEAR('融资租赁与资金缺口'!$F$16))*12+MONTH(BH$46)-MONTH('融资租赁与资金缺口'!$F$16)),'融资租赁与资金缺口'!$E$16*(1+'融资租赁与资金缺口'!$I$16)^((YEAR(BH$46)-YEAR('融资租赁与资金缺口'!$F$16))*12+MONTH(BH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H$46)-YEAR('融资租赁与资金缺口'!$F$16))*12+MONTH(BH$46)-MONTH('融资租赁与资金缺口'!$F$16))-1)/'融资租赁与资金缺口'!$I$16))))))</x:f>
        <x:v>9756840.391203731</x:v>
      </x:c>
      <x:c r="BI48" s="28" t="n">
        <x:f>SUM(IF(BI$46&lt;'融资租赁与资金缺口'!$F$5,0,IF(BI$46='融资租赁与资金缺口'!$F$5,'融资租赁与资金缺口'!$E$5,IF(((YEAR(BI$46)-YEAR('融资租赁与资金缺口'!$F$5))*12+MONTH(BI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I$46)-YEAR('融资租赁与资金缺口'!$F$5))*12+MONTH(BI$46)-MONTH('融资租赁与资金缺口'!$F$5)),'融资租赁与资金缺口'!$E$5*(1+'融资租赁与资金缺口'!$I$5)^((YEAR(BI$46)-YEAR('融资租赁与资金缺口'!$F$5))*12+MONTH(BI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I$46)-YEAR('融资租赁与资金缺口'!$F$5))*12+MONTH(BI$46)-MONTH('融资租赁与资金缺口'!$F$5))-1)/'融资租赁与资金缺口'!$I$5))))),IF(BI$46&lt;'融资租赁与资金缺口'!$F$6,0,IF(BI$46='融资租赁与资金缺口'!$F$6,'融资租赁与资金缺口'!$E$6,IF(((YEAR(BI$46)-YEAR('融资租赁与资金缺口'!$F$6))*12+MONTH(BI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I$46)-YEAR('融资租赁与资金缺口'!$F$6))*12+MONTH(BI$46)-MONTH('融资租赁与资金缺口'!$F$6)),'融资租赁与资金缺口'!$E$6*(1+'融资租赁与资金缺口'!$I$6)^((YEAR(BI$46)-YEAR('融资租赁与资金缺口'!$F$6))*12+MONTH(BI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I$46)-YEAR('融资租赁与资金缺口'!$F$6))*12+MONTH(BI$46)-MONTH('融资租赁与资金缺口'!$F$6))-1)/'融资租赁与资金缺口'!$I$6))))),IF(BI$46&lt;'融资租赁与资金缺口'!$F$7,0,IF(BI$46='融资租赁与资金缺口'!$F$7,'融资租赁与资金缺口'!$E$7,IF(((YEAR(BI$46)-YEAR('融资租赁与资金缺口'!$F$7))*12+MONTH(BI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I$46)-YEAR('融资租赁与资金缺口'!$F$7))*12+MONTH(BI$46)-MONTH('融资租赁与资金缺口'!$F$7)),'融资租赁与资金缺口'!$E$7*(1+'融资租赁与资金缺口'!$I$7)^((YEAR(BI$46)-YEAR('融资租赁与资金缺口'!$F$7))*12+MONTH(BI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I$46)-YEAR('融资租赁与资金缺口'!$F$7))*12+MONTH(BI$46)-MONTH('融资租赁与资金缺口'!$F$7))-1)/'融资租赁与资金缺口'!$I$7))))),IF(BI$46&lt;'融资租赁与资金缺口'!$F$8,0,IF(BI$46='融资租赁与资金缺口'!$F$8,'融资租赁与资金缺口'!$E$8,IF(((YEAR(BI$46)-YEAR('融资租赁与资金缺口'!$F$8))*12+MONTH(BI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I$46)-YEAR('融资租赁与资金缺口'!$F$8))*12+MONTH(BI$46)-MONTH('融资租赁与资金缺口'!$F$8)),'融资租赁与资金缺口'!$E$8*(1+'融资租赁与资金缺口'!$I$8)^((YEAR(BI$46)-YEAR('融资租赁与资金缺口'!$F$8))*12+MONTH(BI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I$46)-YEAR('融资租赁与资金缺口'!$F$8))*12+MONTH(BI$46)-MONTH('融资租赁与资金缺口'!$F$8))-1)/'融资租赁与资金缺口'!$I$8))))),IF(BI$46&lt;'融资租赁与资金缺口'!$F$9,0,IF(BI$46='融资租赁与资金缺口'!$F$9,'融资租赁与资金缺口'!$E$9,IF(((YEAR(BI$46)-YEAR('融资租赁与资金缺口'!$F$9))*12+MONTH(BI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I$46)-YEAR('融资租赁与资金缺口'!$F$9))*12+MONTH(BI$46)-MONTH('融资租赁与资金缺口'!$F$9)),'融资租赁与资金缺口'!$E$9*(1+'融资租赁与资金缺口'!$I$9)^((YEAR(BI$46)-YEAR('融资租赁与资金缺口'!$F$9))*12+MONTH(BI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I$46)-YEAR('融资租赁与资金缺口'!$F$9))*12+MONTH(BI$46)-MONTH('融资租赁与资金缺口'!$F$9))-1)/'融资租赁与资金缺口'!$I$9))))),IF(BI$46&lt;'融资租赁与资金缺口'!$F$10,0,IF(BI$46='融资租赁与资金缺口'!$F$10,'融资租赁与资金缺口'!$E$10,IF(((YEAR(BI$46)-YEAR('融资租赁与资金缺口'!$F$10))*12+MONTH(BI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I$46)-YEAR('融资租赁与资金缺口'!$F$10))*12+MONTH(BI$46)-MONTH('融资租赁与资金缺口'!$F$10)),'融资租赁与资金缺口'!$E$10*(1+'融资租赁与资金缺口'!$I$10)^((YEAR(BI$46)-YEAR('融资租赁与资金缺口'!$F$10))*12+MONTH(BI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I$46)-YEAR('融资租赁与资金缺口'!$F$10))*12+MONTH(BI$46)-MONTH('融资租赁与资金缺口'!$F$10))-1)/'融资租赁与资金缺口'!$I$10))))),IF(BI$46&lt;'融资租赁与资金缺口'!$F$11,0,IF(BI$46='融资租赁与资金缺口'!$F$11,'融资租赁与资金缺口'!$E$11,IF(((YEAR(BI$46)-YEAR('融资租赁与资金缺口'!$F$11))*12+MONTH(BI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I$46)-YEAR('融资租赁与资金缺口'!$F$11))*12+MONTH(BI$46)-MONTH('融资租赁与资金缺口'!$F$11)),'融资租赁与资金缺口'!$E$11*(1+'融资租赁与资金缺口'!$I$11)^((YEAR(BI$46)-YEAR('融资租赁与资金缺口'!$F$11))*12+MONTH(BI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I$46)-YEAR('融资租赁与资金缺口'!$F$11))*12+MONTH(BI$46)-MONTH('融资租赁与资金缺口'!$F$11))-1)/'融资租赁与资金缺口'!$I$11))))),IF(BI$46&lt;'融资租赁与资金缺口'!$F$12,0,IF(BI$46='融资租赁与资金缺口'!$F$12,'融资租赁与资金缺口'!$E$12,IF(((YEAR(BI$46)-YEAR('融资租赁与资金缺口'!$F$12))*12+MONTH(BI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I$46)-YEAR('融资租赁与资金缺口'!$F$12))*12+MONTH(BI$46)-MONTH('融资租赁与资金缺口'!$F$12)),'融资租赁与资金缺口'!$E$12*(1+'融资租赁与资金缺口'!$I$12)^((YEAR(BI$46)-YEAR('融资租赁与资金缺口'!$F$12))*12+MONTH(BI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I$46)-YEAR('融资租赁与资金缺口'!$F$12))*12+MONTH(BI$46)-MONTH('融资租赁与资金缺口'!$F$12))-1)/'融资租赁与资金缺口'!$I$12))))),IF(BI$46&lt;'融资租赁与资金缺口'!$F$13,0,IF(BI$46='融资租赁与资金缺口'!$F$13,'融资租赁与资金缺口'!$E$13,IF(((YEAR(BI$46)-YEAR('融资租赁与资金缺口'!$F$13))*12+MONTH(BI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I$46)-YEAR('融资租赁与资金缺口'!$F$13))*12+MONTH(BI$46)-MONTH('融资租赁与资金缺口'!$F$13)),'融资租赁与资金缺口'!$E$13*(1+'融资租赁与资金缺口'!$I$13)^((YEAR(BI$46)-YEAR('融资租赁与资金缺口'!$F$13))*12+MONTH(BI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I$46)-YEAR('融资租赁与资金缺口'!$F$13))*12+MONTH(BI$46)-MONTH('融资租赁与资金缺口'!$F$13))-1)/'融资租赁与资金缺口'!$I$13))))),IF(BI$46&lt;'融资租赁与资金缺口'!$F$14,0,IF(BI$46='融资租赁与资金缺口'!$F$14,'融资租赁与资金缺口'!$E$14,IF(((YEAR(BI$46)-YEAR('融资租赁与资金缺口'!$F$14))*12+MONTH(BI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I$46)-YEAR('融资租赁与资金缺口'!$F$14))*12+MONTH(BI$46)-MONTH('融资租赁与资金缺口'!$F$14)),'融资租赁与资金缺口'!$E$14*(1+'融资租赁与资金缺口'!$I$14)^((YEAR(BI$46)-YEAR('融资租赁与资金缺口'!$F$14))*12+MONTH(BI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I$46)-YEAR('融资租赁与资金缺口'!$F$14))*12+MONTH(BI$46)-MONTH('融资租赁与资金缺口'!$F$14))-1)/'融资租赁与资金缺口'!$I$14))))),IF(BI$46&lt;'融资租赁与资金缺口'!$F$15,0,IF(BI$46='融资租赁与资金缺口'!$F$15,'融资租赁与资金缺口'!$E$15,IF(((YEAR(BI$46)-YEAR('融资租赁与资金缺口'!$F$15))*12+MONTH(BI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I$46)-YEAR('融资租赁与资金缺口'!$F$15))*12+MONTH(BI$46)-MONTH('融资租赁与资金缺口'!$F$15)),'融资租赁与资金缺口'!$E$15*(1+'融资租赁与资金缺口'!$I$15)^((YEAR(BI$46)-YEAR('融资租赁与资金缺口'!$F$15))*12+MONTH(BI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I$46)-YEAR('融资租赁与资金缺口'!$F$15))*12+MONTH(BI$46)-MONTH('融资租赁与资金缺口'!$F$15))-1)/'融资租赁与资金缺口'!$I$15))))),IF(BI$46&lt;'融资租赁与资金缺口'!$F$16,0,IF(BI$46='融资租赁与资金缺口'!$F$16,'融资租赁与资金缺口'!$E$16,IF(((YEAR(BI$46)-YEAR('融资租赁与资金缺口'!$F$16))*12+MONTH(BI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I$46)-YEAR('融资租赁与资金缺口'!$F$16))*12+MONTH(BI$46)-MONTH('融资租赁与资金缺口'!$F$16)),'融资租赁与资金缺口'!$E$16*(1+'融资租赁与资金缺口'!$I$16)^((YEAR(BI$46)-YEAR('融资租赁与资金缺口'!$F$16))*12+MONTH(BI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I$46)-YEAR('融资租赁与资金缺口'!$F$16))*12+MONTH(BI$46)-MONTH('融资租赁与资金缺口'!$F$16))-1)/'融资租赁与资金缺口'!$I$16))))))</x:f>
        <x:v>3067251.9556836933</x:v>
      </x:c>
      <x:c r="BJ48" s="28" t="n">
        <x:f>SUM(IF(BJ$46&lt;'融资租赁与资金缺口'!$F$5,0,IF(BJ$46='融资租赁与资金缺口'!$F$5,'融资租赁与资金缺口'!$E$5,IF(((YEAR(BJ$46)-YEAR('融资租赁与资金缺口'!$F$5))*12+MONTH(BJ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J$46)-YEAR('融资租赁与资金缺口'!$F$5))*12+MONTH(BJ$46)-MONTH('融资租赁与资金缺口'!$F$5)),'融资租赁与资金缺口'!$E$5*(1+'融资租赁与资金缺口'!$I$5)^((YEAR(BJ$46)-YEAR('融资租赁与资金缺口'!$F$5))*12+MONTH(BJ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J$46)-YEAR('融资租赁与资金缺口'!$F$5))*12+MONTH(BJ$46)-MONTH('融资租赁与资金缺口'!$F$5))-1)/'融资租赁与资金缺口'!$I$5))))),IF(BJ$46&lt;'融资租赁与资金缺口'!$F$6,0,IF(BJ$46='融资租赁与资金缺口'!$F$6,'融资租赁与资金缺口'!$E$6,IF(((YEAR(BJ$46)-YEAR('融资租赁与资金缺口'!$F$6))*12+MONTH(BJ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J$46)-YEAR('融资租赁与资金缺口'!$F$6))*12+MONTH(BJ$46)-MONTH('融资租赁与资金缺口'!$F$6)),'融资租赁与资金缺口'!$E$6*(1+'融资租赁与资金缺口'!$I$6)^((YEAR(BJ$46)-YEAR('融资租赁与资金缺口'!$F$6))*12+MONTH(BJ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J$46)-YEAR('融资租赁与资金缺口'!$F$6))*12+MONTH(BJ$46)-MONTH('融资租赁与资金缺口'!$F$6))-1)/'融资租赁与资金缺口'!$I$6))))),IF(BJ$46&lt;'融资租赁与资金缺口'!$F$7,0,IF(BJ$46='融资租赁与资金缺口'!$F$7,'融资租赁与资金缺口'!$E$7,IF(((YEAR(BJ$46)-YEAR('融资租赁与资金缺口'!$F$7))*12+MONTH(BJ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J$46)-YEAR('融资租赁与资金缺口'!$F$7))*12+MONTH(BJ$46)-MONTH('融资租赁与资金缺口'!$F$7)),'融资租赁与资金缺口'!$E$7*(1+'融资租赁与资金缺口'!$I$7)^((YEAR(BJ$46)-YEAR('融资租赁与资金缺口'!$F$7))*12+MONTH(BJ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J$46)-YEAR('融资租赁与资金缺口'!$F$7))*12+MONTH(BJ$46)-MONTH('融资租赁与资金缺口'!$F$7))-1)/'融资租赁与资金缺口'!$I$7))))),IF(BJ$46&lt;'融资租赁与资金缺口'!$F$8,0,IF(BJ$46='融资租赁与资金缺口'!$F$8,'融资租赁与资金缺口'!$E$8,IF(((YEAR(BJ$46)-YEAR('融资租赁与资金缺口'!$F$8))*12+MONTH(BJ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J$46)-YEAR('融资租赁与资金缺口'!$F$8))*12+MONTH(BJ$46)-MONTH('融资租赁与资金缺口'!$F$8)),'融资租赁与资金缺口'!$E$8*(1+'融资租赁与资金缺口'!$I$8)^((YEAR(BJ$46)-YEAR('融资租赁与资金缺口'!$F$8))*12+MONTH(BJ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J$46)-YEAR('融资租赁与资金缺口'!$F$8))*12+MONTH(BJ$46)-MONTH('融资租赁与资金缺口'!$F$8))-1)/'融资租赁与资金缺口'!$I$8))))),IF(BJ$46&lt;'融资租赁与资金缺口'!$F$9,0,IF(BJ$46='融资租赁与资金缺口'!$F$9,'融资租赁与资金缺口'!$E$9,IF(((YEAR(BJ$46)-YEAR('融资租赁与资金缺口'!$F$9))*12+MONTH(BJ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J$46)-YEAR('融资租赁与资金缺口'!$F$9))*12+MONTH(BJ$46)-MONTH('融资租赁与资金缺口'!$F$9)),'融资租赁与资金缺口'!$E$9*(1+'融资租赁与资金缺口'!$I$9)^((YEAR(BJ$46)-YEAR('融资租赁与资金缺口'!$F$9))*12+MONTH(BJ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J$46)-YEAR('融资租赁与资金缺口'!$F$9))*12+MONTH(BJ$46)-MONTH('融资租赁与资金缺口'!$F$9))-1)/'融资租赁与资金缺口'!$I$9))))),IF(BJ$46&lt;'融资租赁与资金缺口'!$F$10,0,IF(BJ$46='融资租赁与资金缺口'!$F$10,'融资租赁与资金缺口'!$E$10,IF(((YEAR(BJ$46)-YEAR('融资租赁与资金缺口'!$F$10))*12+MONTH(BJ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J$46)-YEAR('融资租赁与资金缺口'!$F$10))*12+MONTH(BJ$46)-MONTH('融资租赁与资金缺口'!$F$10)),'融资租赁与资金缺口'!$E$10*(1+'融资租赁与资金缺口'!$I$10)^((YEAR(BJ$46)-YEAR('融资租赁与资金缺口'!$F$10))*12+MONTH(BJ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J$46)-YEAR('融资租赁与资金缺口'!$F$10))*12+MONTH(BJ$46)-MONTH('融资租赁与资金缺口'!$F$10))-1)/'融资租赁与资金缺口'!$I$10))))),IF(BJ$46&lt;'融资租赁与资金缺口'!$F$11,0,IF(BJ$46='融资租赁与资金缺口'!$F$11,'融资租赁与资金缺口'!$E$11,IF(((YEAR(BJ$46)-YEAR('融资租赁与资金缺口'!$F$11))*12+MONTH(BJ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J$46)-YEAR('融资租赁与资金缺口'!$F$11))*12+MONTH(BJ$46)-MONTH('融资租赁与资金缺口'!$F$11)),'融资租赁与资金缺口'!$E$11*(1+'融资租赁与资金缺口'!$I$11)^((YEAR(BJ$46)-YEAR('融资租赁与资金缺口'!$F$11))*12+MONTH(BJ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J$46)-YEAR('融资租赁与资金缺口'!$F$11))*12+MONTH(BJ$46)-MONTH('融资租赁与资金缺口'!$F$11))-1)/'融资租赁与资金缺口'!$I$11))))),IF(BJ$46&lt;'融资租赁与资金缺口'!$F$12,0,IF(BJ$46='融资租赁与资金缺口'!$F$12,'融资租赁与资金缺口'!$E$12,IF(((YEAR(BJ$46)-YEAR('融资租赁与资金缺口'!$F$12))*12+MONTH(BJ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J$46)-YEAR('融资租赁与资金缺口'!$F$12))*12+MONTH(BJ$46)-MONTH('融资租赁与资金缺口'!$F$12)),'融资租赁与资金缺口'!$E$12*(1+'融资租赁与资金缺口'!$I$12)^((YEAR(BJ$46)-YEAR('融资租赁与资金缺口'!$F$12))*12+MONTH(BJ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J$46)-YEAR('融资租赁与资金缺口'!$F$12))*12+MONTH(BJ$46)-MONTH('融资租赁与资金缺口'!$F$12))-1)/'融资租赁与资金缺口'!$I$12))))),IF(BJ$46&lt;'融资租赁与资金缺口'!$F$13,0,IF(BJ$46='融资租赁与资金缺口'!$F$13,'融资租赁与资金缺口'!$E$13,IF(((YEAR(BJ$46)-YEAR('融资租赁与资金缺口'!$F$13))*12+MONTH(BJ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J$46)-YEAR('融资租赁与资金缺口'!$F$13))*12+MONTH(BJ$46)-MONTH('融资租赁与资金缺口'!$F$13)),'融资租赁与资金缺口'!$E$13*(1+'融资租赁与资金缺口'!$I$13)^((YEAR(BJ$46)-YEAR('融资租赁与资金缺口'!$F$13))*12+MONTH(BJ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J$46)-YEAR('融资租赁与资金缺口'!$F$13))*12+MONTH(BJ$46)-MONTH('融资租赁与资金缺口'!$F$13))-1)/'融资租赁与资金缺口'!$I$13))))),IF(BJ$46&lt;'融资租赁与资金缺口'!$F$14,0,IF(BJ$46='融资租赁与资金缺口'!$F$14,'融资租赁与资金缺口'!$E$14,IF(((YEAR(BJ$46)-YEAR('融资租赁与资金缺口'!$F$14))*12+MONTH(BJ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J$46)-YEAR('融资租赁与资金缺口'!$F$14))*12+MONTH(BJ$46)-MONTH('融资租赁与资金缺口'!$F$14)),'融资租赁与资金缺口'!$E$14*(1+'融资租赁与资金缺口'!$I$14)^((YEAR(BJ$46)-YEAR('融资租赁与资金缺口'!$F$14))*12+MONTH(BJ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J$46)-YEAR('融资租赁与资金缺口'!$F$14))*12+MONTH(BJ$46)-MONTH('融资租赁与资金缺口'!$F$14))-1)/'融资租赁与资金缺口'!$I$14))))),IF(BJ$46&lt;'融资租赁与资金缺口'!$F$15,0,IF(BJ$46='融资租赁与资金缺口'!$F$15,'融资租赁与资金缺口'!$E$15,IF(((YEAR(BJ$46)-YEAR('融资租赁与资金缺口'!$F$15))*12+MONTH(BJ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J$46)-YEAR('融资租赁与资金缺口'!$F$15))*12+MONTH(BJ$46)-MONTH('融资租赁与资金缺口'!$F$15)),'融资租赁与资金缺口'!$E$15*(1+'融资租赁与资金缺口'!$I$15)^((YEAR(BJ$46)-YEAR('融资租赁与资金缺口'!$F$15))*12+MONTH(BJ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J$46)-YEAR('融资租赁与资金缺口'!$F$15))*12+MONTH(BJ$46)-MONTH('融资租赁与资金缺口'!$F$15))-1)/'融资租赁与资金缺口'!$I$15))))),IF(BJ$46&lt;'融资租赁与资金缺口'!$F$16,0,IF(BJ$46='融资租赁与资金缺口'!$F$16,'融资租赁与资金缺口'!$E$16,IF(((YEAR(BJ$46)-YEAR('融资租赁与资金缺口'!$F$16))*12+MONTH(BJ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J$46)-YEAR('融资租赁与资金缺口'!$F$16))*12+MONTH(BJ$46)-MONTH('融资租赁与资金缺口'!$F$16)),'融资租赁与资金缺口'!$E$16*(1+'融资租赁与资金缺口'!$I$16)^((YEAR(BJ$46)-YEAR('融资租赁与资金缺口'!$F$16))*12+MONTH(BJ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J$46)-YEAR('融资租赁与资金缺口'!$F$16))*12+MONTH(BJ$46)-MONTH('融资租赁与资金缺口'!$F$16))-1)/'融资租赁与资金缺口'!$I$16))))))</x:f>
        <x:v>0</x:v>
      </x:c>
      <x:c r="BK48" s="28" t="n">
        <x:f>SUM(IF(BK$46&lt;'融资租赁与资金缺口'!$F$5,0,IF(BK$46='融资租赁与资金缺口'!$F$5,'融资租赁与资金缺口'!$E$5,IF(((YEAR(BK$46)-YEAR('融资租赁与资金缺口'!$F$5))*12+MONTH(BK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K$46)-YEAR('融资租赁与资金缺口'!$F$5))*12+MONTH(BK$46)-MONTH('融资租赁与资金缺口'!$F$5)),'融资租赁与资金缺口'!$E$5*(1+'融资租赁与资金缺口'!$I$5)^((YEAR(BK$46)-YEAR('融资租赁与资金缺口'!$F$5))*12+MONTH(BK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K$46)-YEAR('融资租赁与资金缺口'!$F$5))*12+MONTH(BK$46)-MONTH('融资租赁与资金缺口'!$F$5))-1)/'融资租赁与资金缺口'!$I$5))))),IF(BK$46&lt;'融资租赁与资金缺口'!$F$6,0,IF(BK$46='融资租赁与资金缺口'!$F$6,'融资租赁与资金缺口'!$E$6,IF(((YEAR(BK$46)-YEAR('融资租赁与资金缺口'!$F$6))*12+MONTH(BK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K$46)-YEAR('融资租赁与资金缺口'!$F$6))*12+MONTH(BK$46)-MONTH('融资租赁与资金缺口'!$F$6)),'融资租赁与资金缺口'!$E$6*(1+'融资租赁与资金缺口'!$I$6)^((YEAR(BK$46)-YEAR('融资租赁与资金缺口'!$F$6))*12+MONTH(BK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K$46)-YEAR('融资租赁与资金缺口'!$F$6))*12+MONTH(BK$46)-MONTH('融资租赁与资金缺口'!$F$6))-1)/'融资租赁与资金缺口'!$I$6))))),IF(BK$46&lt;'融资租赁与资金缺口'!$F$7,0,IF(BK$46='融资租赁与资金缺口'!$F$7,'融资租赁与资金缺口'!$E$7,IF(((YEAR(BK$46)-YEAR('融资租赁与资金缺口'!$F$7))*12+MONTH(BK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K$46)-YEAR('融资租赁与资金缺口'!$F$7))*12+MONTH(BK$46)-MONTH('融资租赁与资金缺口'!$F$7)),'融资租赁与资金缺口'!$E$7*(1+'融资租赁与资金缺口'!$I$7)^((YEAR(BK$46)-YEAR('融资租赁与资金缺口'!$F$7))*12+MONTH(BK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K$46)-YEAR('融资租赁与资金缺口'!$F$7))*12+MONTH(BK$46)-MONTH('融资租赁与资金缺口'!$F$7))-1)/'融资租赁与资金缺口'!$I$7))))),IF(BK$46&lt;'融资租赁与资金缺口'!$F$8,0,IF(BK$46='融资租赁与资金缺口'!$F$8,'融资租赁与资金缺口'!$E$8,IF(((YEAR(BK$46)-YEAR('融资租赁与资金缺口'!$F$8))*12+MONTH(BK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K$46)-YEAR('融资租赁与资金缺口'!$F$8))*12+MONTH(BK$46)-MONTH('融资租赁与资金缺口'!$F$8)),'融资租赁与资金缺口'!$E$8*(1+'融资租赁与资金缺口'!$I$8)^((YEAR(BK$46)-YEAR('融资租赁与资金缺口'!$F$8))*12+MONTH(BK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K$46)-YEAR('融资租赁与资金缺口'!$F$8))*12+MONTH(BK$46)-MONTH('融资租赁与资金缺口'!$F$8))-1)/'融资租赁与资金缺口'!$I$8))))),IF(BK$46&lt;'融资租赁与资金缺口'!$F$9,0,IF(BK$46='融资租赁与资金缺口'!$F$9,'融资租赁与资金缺口'!$E$9,IF(((YEAR(BK$46)-YEAR('融资租赁与资金缺口'!$F$9))*12+MONTH(BK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K$46)-YEAR('融资租赁与资金缺口'!$F$9))*12+MONTH(BK$46)-MONTH('融资租赁与资金缺口'!$F$9)),'融资租赁与资金缺口'!$E$9*(1+'融资租赁与资金缺口'!$I$9)^((YEAR(BK$46)-YEAR('融资租赁与资金缺口'!$F$9))*12+MONTH(BK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K$46)-YEAR('融资租赁与资金缺口'!$F$9))*12+MONTH(BK$46)-MONTH('融资租赁与资金缺口'!$F$9))-1)/'融资租赁与资金缺口'!$I$9))))),IF(BK$46&lt;'融资租赁与资金缺口'!$F$10,0,IF(BK$46='融资租赁与资金缺口'!$F$10,'融资租赁与资金缺口'!$E$10,IF(((YEAR(BK$46)-YEAR('融资租赁与资金缺口'!$F$10))*12+MONTH(BK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K$46)-YEAR('融资租赁与资金缺口'!$F$10))*12+MONTH(BK$46)-MONTH('融资租赁与资金缺口'!$F$10)),'融资租赁与资金缺口'!$E$10*(1+'融资租赁与资金缺口'!$I$10)^((YEAR(BK$46)-YEAR('融资租赁与资金缺口'!$F$10))*12+MONTH(BK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K$46)-YEAR('融资租赁与资金缺口'!$F$10))*12+MONTH(BK$46)-MONTH('融资租赁与资金缺口'!$F$10))-1)/'融资租赁与资金缺口'!$I$10))))),IF(BK$46&lt;'融资租赁与资金缺口'!$F$11,0,IF(BK$46='融资租赁与资金缺口'!$F$11,'融资租赁与资金缺口'!$E$11,IF(((YEAR(BK$46)-YEAR('融资租赁与资金缺口'!$F$11))*12+MONTH(BK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K$46)-YEAR('融资租赁与资金缺口'!$F$11))*12+MONTH(BK$46)-MONTH('融资租赁与资金缺口'!$F$11)),'融资租赁与资金缺口'!$E$11*(1+'融资租赁与资金缺口'!$I$11)^((YEAR(BK$46)-YEAR('融资租赁与资金缺口'!$F$11))*12+MONTH(BK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K$46)-YEAR('融资租赁与资金缺口'!$F$11))*12+MONTH(BK$46)-MONTH('融资租赁与资金缺口'!$F$11))-1)/'融资租赁与资金缺口'!$I$11))))),IF(BK$46&lt;'融资租赁与资金缺口'!$F$12,0,IF(BK$46='融资租赁与资金缺口'!$F$12,'融资租赁与资金缺口'!$E$12,IF(((YEAR(BK$46)-YEAR('融资租赁与资金缺口'!$F$12))*12+MONTH(BK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K$46)-YEAR('融资租赁与资金缺口'!$F$12))*12+MONTH(BK$46)-MONTH('融资租赁与资金缺口'!$F$12)),'融资租赁与资金缺口'!$E$12*(1+'融资租赁与资金缺口'!$I$12)^((YEAR(BK$46)-YEAR('融资租赁与资金缺口'!$F$12))*12+MONTH(BK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K$46)-YEAR('融资租赁与资金缺口'!$F$12))*12+MONTH(BK$46)-MONTH('融资租赁与资金缺口'!$F$12))-1)/'融资租赁与资金缺口'!$I$12))))),IF(BK$46&lt;'融资租赁与资金缺口'!$F$13,0,IF(BK$46='融资租赁与资金缺口'!$F$13,'融资租赁与资金缺口'!$E$13,IF(((YEAR(BK$46)-YEAR('融资租赁与资金缺口'!$F$13))*12+MONTH(BK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K$46)-YEAR('融资租赁与资金缺口'!$F$13))*12+MONTH(BK$46)-MONTH('融资租赁与资金缺口'!$F$13)),'融资租赁与资金缺口'!$E$13*(1+'融资租赁与资金缺口'!$I$13)^((YEAR(BK$46)-YEAR('融资租赁与资金缺口'!$F$13))*12+MONTH(BK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K$46)-YEAR('融资租赁与资金缺口'!$F$13))*12+MONTH(BK$46)-MONTH('融资租赁与资金缺口'!$F$13))-1)/'融资租赁与资金缺口'!$I$13))))),IF(BK$46&lt;'融资租赁与资金缺口'!$F$14,0,IF(BK$46='融资租赁与资金缺口'!$F$14,'融资租赁与资金缺口'!$E$14,IF(((YEAR(BK$46)-YEAR('融资租赁与资金缺口'!$F$14))*12+MONTH(BK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K$46)-YEAR('融资租赁与资金缺口'!$F$14))*12+MONTH(BK$46)-MONTH('融资租赁与资金缺口'!$F$14)),'融资租赁与资金缺口'!$E$14*(1+'融资租赁与资金缺口'!$I$14)^((YEAR(BK$46)-YEAR('融资租赁与资金缺口'!$F$14))*12+MONTH(BK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K$46)-YEAR('融资租赁与资金缺口'!$F$14))*12+MONTH(BK$46)-MONTH('融资租赁与资金缺口'!$F$14))-1)/'融资租赁与资金缺口'!$I$14))))),IF(BK$46&lt;'融资租赁与资金缺口'!$F$15,0,IF(BK$46='融资租赁与资金缺口'!$F$15,'融资租赁与资金缺口'!$E$15,IF(((YEAR(BK$46)-YEAR('融资租赁与资金缺口'!$F$15))*12+MONTH(BK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K$46)-YEAR('融资租赁与资金缺口'!$F$15))*12+MONTH(BK$46)-MONTH('融资租赁与资金缺口'!$F$15)),'融资租赁与资金缺口'!$E$15*(1+'融资租赁与资金缺口'!$I$15)^((YEAR(BK$46)-YEAR('融资租赁与资金缺口'!$F$15))*12+MONTH(BK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K$46)-YEAR('融资租赁与资金缺口'!$F$15))*12+MONTH(BK$46)-MONTH('融资租赁与资金缺口'!$F$15))-1)/'融资租赁与资金缺口'!$I$15))))),IF(BK$46&lt;'融资租赁与资金缺口'!$F$16,0,IF(BK$46='融资租赁与资金缺口'!$F$16,'融资租赁与资金缺口'!$E$16,IF(((YEAR(BK$46)-YEAR('融资租赁与资金缺口'!$F$16))*12+MONTH(BK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K$46)-YEAR('融资租赁与资金缺口'!$F$16))*12+MONTH(BK$46)-MONTH('融资租赁与资金缺口'!$F$16)),'融资租赁与资金缺口'!$E$16*(1+'融资租赁与资金缺口'!$I$16)^((YEAR(BK$46)-YEAR('融资租赁与资金缺口'!$F$16))*12+MONTH(BK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K$46)-YEAR('融资租赁与资金缺口'!$F$16))*12+MONTH(BK$46)-MONTH('融资租赁与资金缺口'!$F$16))-1)/'融资租赁与资金缺口'!$I$16))))))</x:f>
        <x:v>0</x:v>
      </x:c>
      <x:c r="BL48" s="28" t="n">
        <x:f>SUM(IF(BL$46&lt;'融资租赁与资金缺口'!$F$5,0,IF(BL$46='融资租赁与资金缺口'!$F$5,'融资租赁与资金缺口'!$E$5,IF(((YEAR(BL$46)-YEAR('融资租赁与资金缺口'!$F$5))*12+MONTH(BL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L$46)-YEAR('融资租赁与资金缺口'!$F$5))*12+MONTH(BL$46)-MONTH('融资租赁与资金缺口'!$F$5)),'融资租赁与资金缺口'!$E$5*(1+'融资租赁与资金缺口'!$I$5)^((YEAR(BL$46)-YEAR('融资租赁与资金缺口'!$F$5))*12+MONTH(BL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L$46)-YEAR('融资租赁与资金缺口'!$F$5))*12+MONTH(BL$46)-MONTH('融资租赁与资金缺口'!$F$5))-1)/'融资租赁与资金缺口'!$I$5))))),IF(BL$46&lt;'融资租赁与资金缺口'!$F$6,0,IF(BL$46='融资租赁与资金缺口'!$F$6,'融资租赁与资金缺口'!$E$6,IF(((YEAR(BL$46)-YEAR('融资租赁与资金缺口'!$F$6))*12+MONTH(BL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L$46)-YEAR('融资租赁与资金缺口'!$F$6))*12+MONTH(BL$46)-MONTH('融资租赁与资金缺口'!$F$6)),'融资租赁与资金缺口'!$E$6*(1+'融资租赁与资金缺口'!$I$6)^((YEAR(BL$46)-YEAR('融资租赁与资金缺口'!$F$6))*12+MONTH(BL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L$46)-YEAR('融资租赁与资金缺口'!$F$6))*12+MONTH(BL$46)-MONTH('融资租赁与资金缺口'!$F$6))-1)/'融资租赁与资金缺口'!$I$6))))),IF(BL$46&lt;'融资租赁与资金缺口'!$F$7,0,IF(BL$46='融资租赁与资金缺口'!$F$7,'融资租赁与资金缺口'!$E$7,IF(((YEAR(BL$46)-YEAR('融资租赁与资金缺口'!$F$7))*12+MONTH(BL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L$46)-YEAR('融资租赁与资金缺口'!$F$7))*12+MONTH(BL$46)-MONTH('融资租赁与资金缺口'!$F$7)),'融资租赁与资金缺口'!$E$7*(1+'融资租赁与资金缺口'!$I$7)^((YEAR(BL$46)-YEAR('融资租赁与资金缺口'!$F$7))*12+MONTH(BL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L$46)-YEAR('融资租赁与资金缺口'!$F$7))*12+MONTH(BL$46)-MONTH('融资租赁与资金缺口'!$F$7))-1)/'融资租赁与资金缺口'!$I$7))))),IF(BL$46&lt;'融资租赁与资金缺口'!$F$8,0,IF(BL$46='融资租赁与资金缺口'!$F$8,'融资租赁与资金缺口'!$E$8,IF(((YEAR(BL$46)-YEAR('融资租赁与资金缺口'!$F$8))*12+MONTH(BL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L$46)-YEAR('融资租赁与资金缺口'!$F$8))*12+MONTH(BL$46)-MONTH('融资租赁与资金缺口'!$F$8)),'融资租赁与资金缺口'!$E$8*(1+'融资租赁与资金缺口'!$I$8)^((YEAR(BL$46)-YEAR('融资租赁与资金缺口'!$F$8))*12+MONTH(BL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L$46)-YEAR('融资租赁与资金缺口'!$F$8))*12+MONTH(BL$46)-MONTH('融资租赁与资金缺口'!$F$8))-1)/'融资租赁与资金缺口'!$I$8))))),IF(BL$46&lt;'融资租赁与资金缺口'!$F$9,0,IF(BL$46='融资租赁与资金缺口'!$F$9,'融资租赁与资金缺口'!$E$9,IF(((YEAR(BL$46)-YEAR('融资租赁与资金缺口'!$F$9))*12+MONTH(BL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L$46)-YEAR('融资租赁与资金缺口'!$F$9))*12+MONTH(BL$46)-MONTH('融资租赁与资金缺口'!$F$9)),'融资租赁与资金缺口'!$E$9*(1+'融资租赁与资金缺口'!$I$9)^((YEAR(BL$46)-YEAR('融资租赁与资金缺口'!$F$9))*12+MONTH(BL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L$46)-YEAR('融资租赁与资金缺口'!$F$9))*12+MONTH(BL$46)-MONTH('融资租赁与资金缺口'!$F$9))-1)/'融资租赁与资金缺口'!$I$9))))),IF(BL$46&lt;'融资租赁与资金缺口'!$F$10,0,IF(BL$46='融资租赁与资金缺口'!$F$10,'融资租赁与资金缺口'!$E$10,IF(((YEAR(BL$46)-YEAR('融资租赁与资金缺口'!$F$10))*12+MONTH(BL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L$46)-YEAR('融资租赁与资金缺口'!$F$10))*12+MONTH(BL$46)-MONTH('融资租赁与资金缺口'!$F$10)),'融资租赁与资金缺口'!$E$10*(1+'融资租赁与资金缺口'!$I$10)^((YEAR(BL$46)-YEAR('融资租赁与资金缺口'!$F$10))*12+MONTH(BL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L$46)-YEAR('融资租赁与资金缺口'!$F$10))*12+MONTH(BL$46)-MONTH('融资租赁与资金缺口'!$F$10))-1)/'融资租赁与资金缺口'!$I$10))))),IF(BL$46&lt;'融资租赁与资金缺口'!$F$11,0,IF(BL$46='融资租赁与资金缺口'!$F$11,'融资租赁与资金缺口'!$E$11,IF(((YEAR(BL$46)-YEAR('融资租赁与资金缺口'!$F$11))*12+MONTH(BL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L$46)-YEAR('融资租赁与资金缺口'!$F$11))*12+MONTH(BL$46)-MONTH('融资租赁与资金缺口'!$F$11)),'融资租赁与资金缺口'!$E$11*(1+'融资租赁与资金缺口'!$I$11)^((YEAR(BL$46)-YEAR('融资租赁与资金缺口'!$F$11))*12+MONTH(BL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L$46)-YEAR('融资租赁与资金缺口'!$F$11))*12+MONTH(BL$46)-MONTH('融资租赁与资金缺口'!$F$11))-1)/'融资租赁与资金缺口'!$I$11))))),IF(BL$46&lt;'融资租赁与资金缺口'!$F$12,0,IF(BL$46='融资租赁与资金缺口'!$F$12,'融资租赁与资金缺口'!$E$12,IF(((YEAR(BL$46)-YEAR('融资租赁与资金缺口'!$F$12))*12+MONTH(BL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L$46)-YEAR('融资租赁与资金缺口'!$F$12))*12+MONTH(BL$46)-MONTH('融资租赁与资金缺口'!$F$12)),'融资租赁与资金缺口'!$E$12*(1+'融资租赁与资金缺口'!$I$12)^((YEAR(BL$46)-YEAR('融资租赁与资金缺口'!$F$12))*12+MONTH(BL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L$46)-YEAR('融资租赁与资金缺口'!$F$12))*12+MONTH(BL$46)-MONTH('融资租赁与资金缺口'!$F$12))-1)/'融资租赁与资金缺口'!$I$12))))),IF(BL$46&lt;'融资租赁与资金缺口'!$F$13,0,IF(BL$46='融资租赁与资金缺口'!$F$13,'融资租赁与资金缺口'!$E$13,IF(((YEAR(BL$46)-YEAR('融资租赁与资金缺口'!$F$13))*12+MONTH(BL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L$46)-YEAR('融资租赁与资金缺口'!$F$13))*12+MONTH(BL$46)-MONTH('融资租赁与资金缺口'!$F$13)),'融资租赁与资金缺口'!$E$13*(1+'融资租赁与资金缺口'!$I$13)^((YEAR(BL$46)-YEAR('融资租赁与资金缺口'!$F$13))*12+MONTH(BL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L$46)-YEAR('融资租赁与资金缺口'!$F$13))*12+MONTH(BL$46)-MONTH('融资租赁与资金缺口'!$F$13))-1)/'融资租赁与资金缺口'!$I$13))))),IF(BL$46&lt;'融资租赁与资金缺口'!$F$14,0,IF(BL$46='融资租赁与资金缺口'!$F$14,'融资租赁与资金缺口'!$E$14,IF(((YEAR(BL$46)-YEAR('融资租赁与资金缺口'!$F$14))*12+MONTH(BL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L$46)-YEAR('融资租赁与资金缺口'!$F$14))*12+MONTH(BL$46)-MONTH('融资租赁与资金缺口'!$F$14)),'融资租赁与资金缺口'!$E$14*(1+'融资租赁与资金缺口'!$I$14)^((YEAR(BL$46)-YEAR('融资租赁与资金缺口'!$F$14))*12+MONTH(BL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L$46)-YEAR('融资租赁与资金缺口'!$F$14))*12+MONTH(BL$46)-MONTH('融资租赁与资金缺口'!$F$14))-1)/'融资租赁与资金缺口'!$I$14))))),IF(BL$46&lt;'融资租赁与资金缺口'!$F$15,0,IF(BL$46='融资租赁与资金缺口'!$F$15,'融资租赁与资金缺口'!$E$15,IF(((YEAR(BL$46)-YEAR('融资租赁与资金缺口'!$F$15))*12+MONTH(BL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L$46)-YEAR('融资租赁与资金缺口'!$F$15))*12+MONTH(BL$46)-MONTH('融资租赁与资金缺口'!$F$15)),'融资租赁与资金缺口'!$E$15*(1+'融资租赁与资金缺口'!$I$15)^((YEAR(BL$46)-YEAR('融资租赁与资金缺口'!$F$15))*12+MONTH(BL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L$46)-YEAR('融资租赁与资金缺口'!$F$15))*12+MONTH(BL$46)-MONTH('融资租赁与资金缺口'!$F$15))-1)/'融资租赁与资金缺口'!$I$15))))),IF(BL$46&lt;'融资租赁与资金缺口'!$F$16,0,IF(BL$46='融资租赁与资金缺口'!$F$16,'融资租赁与资金缺口'!$E$16,IF(((YEAR(BL$46)-YEAR('融资租赁与资金缺口'!$F$16))*12+MONTH(BL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L$46)-YEAR('融资租赁与资金缺口'!$F$16))*12+MONTH(BL$46)-MONTH('融资租赁与资金缺口'!$F$16)),'融资租赁与资金缺口'!$E$16*(1+'融资租赁与资金缺口'!$I$16)^((YEAR(BL$46)-YEAR('融资租赁与资金缺口'!$F$16))*12+MONTH(BL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L$46)-YEAR('融资租赁与资金缺口'!$F$16))*12+MONTH(BL$46)-MONTH('融资租赁与资金缺口'!$F$16))-1)/'融资租赁与资金缺口'!$I$16))))))</x:f>
        <x:v>0</x:v>
      </x:c>
      <x:c r="BM48" s="28" t="n">
        <x:f>SUM(IF(BM$46&lt;'融资租赁与资金缺口'!$F$5,0,IF(BM$46='融资租赁与资金缺口'!$F$5,'融资租赁与资金缺口'!$E$5,IF(((YEAR(BM$46)-YEAR('融资租赁与资金缺口'!$F$5))*12+MONTH(BM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M$46)-YEAR('融资租赁与资金缺口'!$F$5))*12+MONTH(BM$46)-MONTH('融资租赁与资金缺口'!$F$5)),'融资租赁与资金缺口'!$E$5*(1+'融资租赁与资金缺口'!$I$5)^((YEAR(BM$46)-YEAR('融资租赁与资金缺口'!$F$5))*12+MONTH(BM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M$46)-YEAR('融资租赁与资金缺口'!$F$5))*12+MONTH(BM$46)-MONTH('融资租赁与资金缺口'!$F$5))-1)/'融资租赁与资金缺口'!$I$5))))),IF(BM$46&lt;'融资租赁与资金缺口'!$F$6,0,IF(BM$46='融资租赁与资金缺口'!$F$6,'融资租赁与资金缺口'!$E$6,IF(((YEAR(BM$46)-YEAR('融资租赁与资金缺口'!$F$6))*12+MONTH(BM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M$46)-YEAR('融资租赁与资金缺口'!$F$6))*12+MONTH(BM$46)-MONTH('融资租赁与资金缺口'!$F$6)),'融资租赁与资金缺口'!$E$6*(1+'融资租赁与资金缺口'!$I$6)^((YEAR(BM$46)-YEAR('融资租赁与资金缺口'!$F$6))*12+MONTH(BM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M$46)-YEAR('融资租赁与资金缺口'!$F$6))*12+MONTH(BM$46)-MONTH('融资租赁与资金缺口'!$F$6))-1)/'融资租赁与资金缺口'!$I$6))))),IF(BM$46&lt;'融资租赁与资金缺口'!$F$7,0,IF(BM$46='融资租赁与资金缺口'!$F$7,'融资租赁与资金缺口'!$E$7,IF(((YEAR(BM$46)-YEAR('融资租赁与资金缺口'!$F$7))*12+MONTH(BM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M$46)-YEAR('融资租赁与资金缺口'!$F$7))*12+MONTH(BM$46)-MONTH('融资租赁与资金缺口'!$F$7)),'融资租赁与资金缺口'!$E$7*(1+'融资租赁与资金缺口'!$I$7)^((YEAR(BM$46)-YEAR('融资租赁与资金缺口'!$F$7))*12+MONTH(BM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M$46)-YEAR('融资租赁与资金缺口'!$F$7))*12+MONTH(BM$46)-MONTH('融资租赁与资金缺口'!$F$7))-1)/'融资租赁与资金缺口'!$I$7))))),IF(BM$46&lt;'融资租赁与资金缺口'!$F$8,0,IF(BM$46='融资租赁与资金缺口'!$F$8,'融资租赁与资金缺口'!$E$8,IF(((YEAR(BM$46)-YEAR('融资租赁与资金缺口'!$F$8))*12+MONTH(BM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M$46)-YEAR('融资租赁与资金缺口'!$F$8))*12+MONTH(BM$46)-MONTH('融资租赁与资金缺口'!$F$8)),'融资租赁与资金缺口'!$E$8*(1+'融资租赁与资金缺口'!$I$8)^((YEAR(BM$46)-YEAR('融资租赁与资金缺口'!$F$8))*12+MONTH(BM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M$46)-YEAR('融资租赁与资金缺口'!$F$8))*12+MONTH(BM$46)-MONTH('融资租赁与资金缺口'!$F$8))-1)/'融资租赁与资金缺口'!$I$8))))),IF(BM$46&lt;'融资租赁与资金缺口'!$F$9,0,IF(BM$46='融资租赁与资金缺口'!$F$9,'融资租赁与资金缺口'!$E$9,IF(((YEAR(BM$46)-YEAR('融资租赁与资金缺口'!$F$9))*12+MONTH(BM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M$46)-YEAR('融资租赁与资金缺口'!$F$9))*12+MONTH(BM$46)-MONTH('融资租赁与资金缺口'!$F$9)),'融资租赁与资金缺口'!$E$9*(1+'融资租赁与资金缺口'!$I$9)^((YEAR(BM$46)-YEAR('融资租赁与资金缺口'!$F$9))*12+MONTH(BM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M$46)-YEAR('融资租赁与资金缺口'!$F$9))*12+MONTH(BM$46)-MONTH('融资租赁与资金缺口'!$F$9))-1)/'融资租赁与资金缺口'!$I$9))))),IF(BM$46&lt;'融资租赁与资金缺口'!$F$10,0,IF(BM$46='融资租赁与资金缺口'!$F$10,'融资租赁与资金缺口'!$E$10,IF(((YEAR(BM$46)-YEAR('融资租赁与资金缺口'!$F$10))*12+MONTH(BM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M$46)-YEAR('融资租赁与资金缺口'!$F$10))*12+MONTH(BM$46)-MONTH('融资租赁与资金缺口'!$F$10)),'融资租赁与资金缺口'!$E$10*(1+'融资租赁与资金缺口'!$I$10)^((YEAR(BM$46)-YEAR('融资租赁与资金缺口'!$F$10))*12+MONTH(BM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M$46)-YEAR('融资租赁与资金缺口'!$F$10))*12+MONTH(BM$46)-MONTH('融资租赁与资金缺口'!$F$10))-1)/'融资租赁与资金缺口'!$I$10))))),IF(BM$46&lt;'融资租赁与资金缺口'!$F$11,0,IF(BM$46='融资租赁与资金缺口'!$F$11,'融资租赁与资金缺口'!$E$11,IF(((YEAR(BM$46)-YEAR('融资租赁与资金缺口'!$F$11))*12+MONTH(BM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M$46)-YEAR('融资租赁与资金缺口'!$F$11))*12+MONTH(BM$46)-MONTH('融资租赁与资金缺口'!$F$11)),'融资租赁与资金缺口'!$E$11*(1+'融资租赁与资金缺口'!$I$11)^((YEAR(BM$46)-YEAR('融资租赁与资金缺口'!$F$11))*12+MONTH(BM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M$46)-YEAR('融资租赁与资金缺口'!$F$11))*12+MONTH(BM$46)-MONTH('融资租赁与资金缺口'!$F$11))-1)/'融资租赁与资金缺口'!$I$11))))),IF(BM$46&lt;'融资租赁与资金缺口'!$F$12,0,IF(BM$46='融资租赁与资金缺口'!$F$12,'融资租赁与资金缺口'!$E$12,IF(((YEAR(BM$46)-YEAR('融资租赁与资金缺口'!$F$12))*12+MONTH(BM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M$46)-YEAR('融资租赁与资金缺口'!$F$12))*12+MONTH(BM$46)-MONTH('融资租赁与资金缺口'!$F$12)),'融资租赁与资金缺口'!$E$12*(1+'融资租赁与资金缺口'!$I$12)^((YEAR(BM$46)-YEAR('融资租赁与资金缺口'!$F$12))*12+MONTH(BM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M$46)-YEAR('融资租赁与资金缺口'!$F$12))*12+MONTH(BM$46)-MONTH('融资租赁与资金缺口'!$F$12))-1)/'融资租赁与资金缺口'!$I$12))))),IF(BM$46&lt;'融资租赁与资金缺口'!$F$13,0,IF(BM$46='融资租赁与资金缺口'!$F$13,'融资租赁与资金缺口'!$E$13,IF(((YEAR(BM$46)-YEAR('融资租赁与资金缺口'!$F$13))*12+MONTH(BM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M$46)-YEAR('融资租赁与资金缺口'!$F$13))*12+MONTH(BM$46)-MONTH('融资租赁与资金缺口'!$F$13)),'融资租赁与资金缺口'!$E$13*(1+'融资租赁与资金缺口'!$I$13)^((YEAR(BM$46)-YEAR('融资租赁与资金缺口'!$F$13))*12+MONTH(BM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M$46)-YEAR('融资租赁与资金缺口'!$F$13))*12+MONTH(BM$46)-MONTH('融资租赁与资金缺口'!$F$13))-1)/'融资租赁与资金缺口'!$I$13))))),IF(BM$46&lt;'融资租赁与资金缺口'!$F$14,0,IF(BM$46='融资租赁与资金缺口'!$F$14,'融资租赁与资金缺口'!$E$14,IF(((YEAR(BM$46)-YEAR('融资租赁与资金缺口'!$F$14))*12+MONTH(BM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M$46)-YEAR('融资租赁与资金缺口'!$F$14))*12+MONTH(BM$46)-MONTH('融资租赁与资金缺口'!$F$14)),'融资租赁与资金缺口'!$E$14*(1+'融资租赁与资金缺口'!$I$14)^((YEAR(BM$46)-YEAR('融资租赁与资金缺口'!$F$14))*12+MONTH(BM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M$46)-YEAR('融资租赁与资金缺口'!$F$14))*12+MONTH(BM$46)-MONTH('融资租赁与资金缺口'!$F$14))-1)/'融资租赁与资金缺口'!$I$14))))),IF(BM$46&lt;'融资租赁与资金缺口'!$F$15,0,IF(BM$46='融资租赁与资金缺口'!$F$15,'融资租赁与资金缺口'!$E$15,IF(((YEAR(BM$46)-YEAR('融资租赁与资金缺口'!$F$15))*12+MONTH(BM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M$46)-YEAR('融资租赁与资金缺口'!$F$15))*12+MONTH(BM$46)-MONTH('融资租赁与资金缺口'!$F$15)),'融资租赁与资金缺口'!$E$15*(1+'融资租赁与资金缺口'!$I$15)^((YEAR(BM$46)-YEAR('融资租赁与资金缺口'!$F$15))*12+MONTH(BM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M$46)-YEAR('融资租赁与资金缺口'!$F$15))*12+MONTH(BM$46)-MONTH('融资租赁与资金缺口'!$F$15))-1)/'融资租赁与资金缺口'!$I$15))))),IF(BM$46&lt;'融资租赁与资金缺口'!$F$16,0,IF(BM$46='融资租赁与资金缺口'!$F$16,'融资租赁与资金缺口'!$E$16,IF(((YEAR(BM$46)-YEAR('融资租赁与资金缺口'!$F$16))*12+MONTH(BM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M$46)-YEAR('融资租赁与资金缺口'!$F$16))*12+MONTH(BM$46)-MONTH('融资租赁与资金缺口'!$F$16)),'融资租赁与资金缺口'!$E$16*(1+'融资租赁与资金缺口'!$I$16)^((YEAR(BM$46)-YEAR('融资租赁与资金缺口'!$F$16))*12+MONTH(BM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M$46)-YEAR('融资租赁与资金缺口'!$F$16))*12+MONTH(BM$46)-MONTH('融资租赁与资金缺口'!$F$16))-1)/'融资租赁与资金缺口'!$I$16))))))</x:f>
        <x:v>0</x:v>
      </x:c>
      <x:c r="BN48" s="28" t="n">
        <x:f>SUM(IF(BN$46&lt;'融资租赁与资金缺口'!$F$5,0,IF(BN$46='融资租赁与资金缺口'!$F$5,'融资租赁与资金缺口'!$E$5,IF(((YEAR(BN$46)-YEAR('融资租赁与资金缺口'!$F$5))*12+MONTH(BN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N$46)-YEAR('融资租赁与资金缺口'!$F$5))*12+MONTH(BN$46)-MONTH('融资租赁与资金缺口'!$F$5)),'融资租赁与资金缺口'!$E$5*(1+'融资租赁与资金缺口'!$I$5)^((YEAR(BN$46)-YEAR('融资租赁与资金缺口'!$F$5))*12+MONTH(BN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N$46)-YEAR('融资租赁与资金缺口'!$F$5))*12+MONTH(BN$46)-MONTH('融资租赁与资金缺口'!$F$5))-1)/'融资租赁与资金缺口'!$I$5))))),IF(BN$46&lt;'融资租赁与资金缺口'!$F$6,0,IF(BN$46='融资租赁与资金缺口'!$F$6,'融资租赁与资金缺口'!$E$6,IF(((YEAR(BN$46)-YEAR('融资租赁与资金缺口'!$F$6))*12+MONTH(BN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N$46)-YEAR('融资租赁与资金缺口'!$F$6))*12+MONTH(BN$46)-MONTH('融资租赁与资金缺口'!$F$6)),'融资租赁与资金缺口'!$E$6*(1+'融资租赁与资金缺口'!$I$6)^((YEAR(BN$46)-YEAR('融资租赁与资金缺口'!$F$6))*12+MONTH(BN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N$46)-YEAR('融资租赁与资金缺口'!$F$6))*12+MONTH(BN$46)-MONTH('融资租赁与资金缺口'!$F$6))-1)/'融资租赁与资金缺口'!$I$6))))),IF(BN$46&lt;'融资租赁与资金缺口'!$F$7,0,IF(BN$46='融资租赁与资金缺口'!$F$7,'融资租赁与资金缺口'!$E$7,IF(((YEAR(BN$46)-YEAR('融资租赁与资金缺口'!$F$7))*12+MONTH(BN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N$46)-YEAR('融资租赁与资金缺口'!$F$7))*12+MONTH(BN$46)-MONTH('融资租赁与资金缺口'!$F$7)),'融资租赁与资金缺口'!$E$7*(1+'融资租赁与资金缺口'!$I$7)^((YEAR(BN$46)-YEAR('融资租赁与资金缺口'!$F$7))*12+MONTH(BN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N$46)-YEAR('融资租赁与资金缺口'!$F$7))*12+MONTH(BN$46)-MONTH('融资租赁与资金缺口'!$F$7))-1)/'融资租赁与资金缺口'!$I$7))))),IF(BN$46&lt;'融资租赁与资金缺口'!$F$8,0,IF(BN$46='融资租赁与资金缺口'!$F$8,'融资租赁与资金缺口'!$E$8,IF(((YEAR(BN$46)-YEAR('融资租赁与资金缺口'!$F$8))*12+MONTH(BN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N$46)-YEAR('融资租赁与资金缺口'!$F$8))*12+MONTH(BN$46)-MONTH('融资租赁与资金缺口'!$F$8)),'融资租赁与资金缺口'!$E$8*(1+'融资租赁与资金缺口'!$I$8)^((YEAR(BN$46)-YEAR('融资租赁与资金缺口'!$F$8))*12+MONTH(BN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N$46)-YEAR('融资租赁与资金缺口'!$F$8))*12+MONTH(BN$46)-MONTH('融资租赁与资金缺口'!$F$8))-1)/'融资租赁与资金缺口'!$I$8))))),IF(BN$46&lt;'融资租赁与资金缺口'!$F$9,0,IF(BN$46='融资租赁与资金缺口'!$F$9,'融资租赁与资金缺口'!$E$9,IF(((YEAR(BN$46)-YEAR('融资租赁与资金缺口'!$F$9))*12+MONTH(BN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N$46)-YEAR('融资租赁与资金缺口'!$F$9))*12+MONTH(BN$46)-MONTH('融资租赁与资金缺口'!$F$9)),'融资租赁与资金缺口'!$E$9*(1+'融资租赁与资金缺口'!$I$9)^((YEAR(BN$46)-YEAR('融资租赁与资金缺口'!$F$9))*12+MONTH(BN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N$46)-YEAR('融资租赁与资金缺口'!$F$9))*12+MONTH(BN$46)-MONTH('融资租赁与资金缺口'!$F$9))-1)/'融资租赁与资金缺口'!$I$9))))),IF(BN$46&lt;'融资租赁与资金缺口'!$F$10,0,IF(BN$46='融资租赁与资金缺口'!$F$10,'融资租赁与资金缺口'!$E$10,IF(((YEAR(BN$46)-YEAR('融资租赁与资金缺口'!$F$10))*12+MONTH(BN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N$46)-YEAR('融资租赁与资金缺口'!$F$10))*12+MONTH(BN$46)-MONTH('融资租赁与资金缺口'!$F$10)),'融资租赁与资金缺口'!$E$10*(1+'融资租赁与资金缺口'!$I$10)^((YEAR(BN$46)-YEAR('融资租赁与资金缺口'!$F$10))*12+MONTH(BN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N$46)-YEAR('融资租赁与资金缺口'!$F$10))*12+MONTH(BN$46)-MONTH('融资租赁与资金缺口'!$F$10))-1)/'融资租赁与资金缺口'!$I$10))))),IF(BN$46&lt;'融资租赁与资金缺口'!$F$11,0,IF(BN$46='融资租赁与资金缺口'!$F$11,'融资租赁与资金缺口'!$E$11,IF(((YEAR(BN$46)-YEAR('融资租赁与资金缺口'!$F$11))*12+MONTH(BN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N$46)-YEAR('融资租赁与资金缺口'!$F$11))*12+MONTH(BN$46)-MONTH('融资租赁与资金缺口'!$F$11)),'融资租赁与资金缺口'!$E$11*(1+'融资租赁与资金缺口'!$I$11)^((YEAR(BN$46)-YEAR('融资租赁与资金缺口'!$F$11))*12+MONTH(BN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N$46)-YEAR('融资租赁与资金缺口'!$F$11))*12+MONTH(BN$46)-MONTH('融资租赁与资金缺口'!$F$11))-1)/'融资租赁与资金缺口'!$I$11))))),IF(BN$46&lt;'融资租赁与资金缺口'!$F$12,0,IF(BN$46='融资租赁与资金缺口'!$F$12,'融资租赁与资金缺口'!$E$12,IF(((YEAR(BN$46)-YEAR('融资租赁与资金缺口'!$F$12))*12+MONTH(BN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N$46)-YEAR('融资租赁与资金缺口'!$F$12))*12+MONTH(BN$46)-MONTH('融资租赁与资金缺口'!$F$12)),'融资租赁与资金缺口'!$E$12*(1+'融资租赁与资金缺口'!$I$12)^((YEAR(BN$46)-YEAR('融资租赁与资金缺口'!$F$12))*12+MONTH(BN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N$46)-YEAR('融资租赁与资金缺口'!$F$12))*12+MONTH(BN$46)-MONTH('融资租赁与资金缺口'!$F$12))-1)/'融资租赁与资金缺口'!$I$12))))),IF(BN$46&lt;'融资租赁与资金缺口'!$F$13,0,IF(BN$46='融资租赁与资金缺口'!$F$13,'融资租赁与资金缺口'!$E$13,IF(((YEAR(BN$46)-YEAR('融资租赁与资金缺口'!$F$13))*12+MONTH(BN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N$46)-YEAR('融资租赁与资金缺口'!$F$13))*12+MONTH(BN$46)-MONTH('融资租赁与资金缺口'!$F$13)),'融资租赁与资金缺口'!$E$13*(1+'融资租赁与资金缺口'!$I$13)^((YEAR(BN$46)-YEAR('融资租赁与资金缺口'!$F$13))*12+MONTH(BN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N$46)-YEAR('融资租赁与资金缺口'!$F$13))*12+MONTH(BN$46)-MONTH('融资租赁与资金缺口'!$F$13))-1)/'融资租赁与资金缺口'!$I$13))))),IF(BN$46&lt;'融资租赁与资金缺口'!$F$14,0,IF(BN$46='融资租赁与资金缺口'!$F$14,'融资租赁与资金缺口'!$E$14,IF(((YEAR(BN$46)-YEAR('融资租赁与资金缺口'!$F$14))*12+MONTH(BN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N$46)-YEAR('融资租赁与资金缺口'!$F$14))*12+MONTH(BN$46)-MONTH('融资租赁与资金缺口'!$F$14)),'融资租赁与资金缺口'!$E$14*(1+'融资租赁与资金缺口'!$I$14)^((YEAR(BN$46)-YEAR('融资租赁与资金缺口'!$F$14))*12+MONTH(BN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N$46)-YEAR('融资租赁与资金缺口'!$F$14))*12+MONTH(BN$46)-MONTH('融资租赁与资金缺口'!$F$14))-1)/'融资租赁与资金缺口'!$I$14))))),IF(BN$46&lt;'融资租赁与资金缺口'!$F$15,0,IF(BN$46='融资租赁与资金缺口'!$F$15,'融资租赁与资金缺口'!$E$15,IF(((YEAR(BN$46)-YEAR('融资租赁与资金缺口'!$F$15))*12+MONTH(BN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N$46)-YEAR('融资租赁与资金缺口'!$F$15))*12+MONTH(BN$46)-MONTH('融资租赁与资金缺口'!$F$15)),'融资租赁与资金缺口'!$E$15*(1+'融资租赁与资金缺口'!$I$15)^((YEAR(BN$46)-YEAR('融资租赁与资金缺口'!$F$15))*12+MONTH(BN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N$46)-YEAR('融资租赁与资金缺口'!$F$15))*12+MONTH(BN$46)-MONTH('融资租赁与资金缺口'!$F$15))-1)/'融资租赁与资金缺口'!$I$15))))),IF(BN$46&lt;'融资租赁与资金缺口'!$F$16,0,IF(BN$46='融资租赁与资金缺口'!$F$16,'融资租赁与资金缺口'!$E$16,IF(((YEAR(BN$46)-YEAR('融资租赁与资金缺口'!$F$16))*12+MONTH(BN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N$46)-YEAR('融资租赁与资金缺口'!$F$16))*12+MONTH(BN$46)-MONTH('融资租赁与资金缺口'!$F$16)),'融资租赁与资金缺口'!$E$16*(1+'融资租赁与资金缺口'!$I$16)^((YEAR(BN$46)-YEAR('融资租赁与资金缺口'!$F$16))*12+MONTH(BN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N$46)-YEAR('融资租赁与资金缺口'!$F$16))*12+MONTH(BN$46)-MONTH('融资租赁与资金缺口'!$F$16))-1)/'融资租赁与资金缺口'!$I$16))))))</x:f>
        <x:v>0</x:v>
      </x:c>
      <x:c r="BO48" s="28" t="n">
        <x:f>SUM(IF(BO$46&lt;'融资租赁与资金缺口'!$F$5,0,IF(BO$46='融资租赁与资金缺口'!$F$5,'融资租赁与资金缺口'!$E$5,IF(((YEAR(BO$46)-YEAR('融资租赁与资金缺口'!$F$5))*12+MONTH(BO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O$46)-YEAR('融资租赁与资金缺口'!$F$5))*12+MONTH(BO$46)-MONTH('融资租赁与资金缺口'!$F$5)),'融资租赁与资金缺口'!$E$5*(1+'融资租赁与资金缺口'!$I$5)^((YEAR(BO$46)-YEAR('融资租赁与资金缺口'!$F$5))*12+MONTH(BO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O$46)-YEAR('融资租赁与资金缺口'!$F$5))*12+MONTH(BO$46)-MONTH('融资租赁与资金缺口'!$F$5))-1)/'融资租赁与资金缺口'!$I$5))))),IF(BO$46&lt;'融资租赁与资金缺口'!$F$6,0,IF(BO$46='融资租赁与资金缺口'!$F$6,'融资租赁与资金缺口'!$E$6,IF(((YEAR(BO$46)-YEAR('融资租赁与资金缺口'!$F$6))*12+MONTH(BO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O$46)-YEAR('融资租赁与资金缺口'!$F$6))*12+MONTH(BO$46)-MONTH('融资租赁与资金缺口'!$F$6)),'融资租赁与资金缺口'!$E$6*(1+'融资租赁与资金缺口'!$I$6)^((YEAR(BO$46)-YEAR('融资租赁与资金缺口'!$F$6))*12+MONTH(BO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O$46)-YEAR('融资租赁与资金缺口'!$F$6))*12+MONTH(BO$46)-MONTH('融资租赁与资金缺口'!$F$6))-1)/'融资租赁与资金缺口'!$I$6))))),IF(BO$46&lt;'融资租赁与资金缺口'!$F$7,0,IF(BO$46='融资租赁与资金缺口'!$F$7,'融资租赁与资金缺口'!$E$7,IF(((YEAR(BO$46)-YEAR('融资租赁与资金缺口'!$F$7))*12+MONTH(BO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O$46)-YEAR('融资租赁与资金缺口'!$F$7))*12+MONTH(BO$46)-MONTH('融资租赁与资金缺口'!$F$7)),'融资租赁与资金缺口'!$E$7*(1+'融资租赁与资金缺口'!$I$7)^((YEAR(BO$46)-YEAR('融资租赁与资金缺口'!$F$7))*12+MONTH(BO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O$46)-YEAR('融资租赁与资金缺口'!$F$7))*12+MONTH(BO$46)-MONTH('融资租赁与资金缺口'!$F$7))-1)/'融资租赁与资金缺口'!$I$7))))),IF(BO$46&lt;'融资租赁与资金缺口'!$F$8,0,IF(BO$46='融资租赁与资金缺口'!$F$8,'融资租赁与资金缺口'!$E$8,IF(((YEAR(BO$46)-YEAR('融资租赁与资金缺口'!$F$8))*12+MONTH(BO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O$46)-YEAR('融资租赁与资金缺口'!$F$8))*12+MONTH(BO$46)-MONTH('融资租赁与资金缺口'!$F$8)),'融资租赁与资金缺口'!$E$8*(1+'融资租赁与资金缺口'!$I$8)^((YEAR(BO$46)-YEAR('融资租赁与资金缺口'!$F$8))*12+MONTH(BO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O$46)-YEAR('融资租赁与资金缺口'!$F$8))*12+MONTH(BO$46)-MONTH('融资租赁与资金缺口'!$F$8))-1)/'融资租赁与资金缺口'!$I$8))))),IF(BO$46&lt;'融资租赁与资金缺口'!$F$9,0,IF(BO$46='融资租赁与资金缺口'!$F$9,'融资租赁与资金缺口'!$E$9,IF(((YEAR(BO$46)-YEAR('融资租赁与资金缺口'!$F$9))*12+MONTH(BO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O$46)-YEAR('融资租赁与资金缺口'!$F$9))*12+MONTH(BO$46)-MONTH('融资租赁与资金缺口'!$F$9)),'融资租赁与资金缺口'!$E$9*(1+'融资租赁与资金缺口'!$I$9)^((YEAR(BO$46)-YEAR('融资租赁与资金缺口'!$F$9))*12+MONTH(BO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O$46)-YEAR('融资租赁与资金缺口'!$F$9))*12+MONTH(BO$46)-MONTH('融资租赁与资金缺口'!$F$9))-1)/'融资租赁与资金缺口'!$I$9))))),IF(BO$46&lt;'融资租赁与资金缺口'!$F$10,0,IF(BO$46='融资租赁与资金缺口'!$F$10,'融资租赁与资金缺口'!$E$10,IF(((YEAR(BO$46)-YEAR('融资租赁与资金缺口'!$F$10))*12+MONTH(BO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O$46)-YEAR('融资租赁与资金缺口'!$F$10))*12+MONTH(BO$46)-MONTH('融资租赁与资金缺口'!$F$10)),'融资租赁与资金缺口'!$E$10*(1+'融资租赁与资金缺口'!$I$10)^((YEAR(BO$46)-YEAR('融资租赁与资金缺口'!$F$10))*12+MONTH(BO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O$46)-YEAR('融资租赁与资金缺口'!$F$10))*12+MONTH(BO$46)-MONTH('融资租赁与资金缺口'!$F$10))-1)/'融资租赁与资金缺口'!$I$10))))),IF(BO$46&lt;'融资租赁与资金缺口'!$F$11,0,IF(BO$46='融资租赁与资金缺口'!$F$11,'融资租赁与资金缺口'!$E$11,IF(((YEAR(BO$46)-YEAR('融资租赁与资金缺口'!$F$11))*12+MONTH(BO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O$46)-YEAR('融资租赁与资金缺口'!$F$11))*12+MONTH(BO$46)-MONTH('融资租赁与资金缺口'!$F$11)),'融资租赁与资金缺口'!$E$11*(1+'融资租赁与资金缺口'!$I$11)^((YEAR(BO$46)-YEAR('融资租赁与资金缺口'!$F$11))*12+MONTH(BO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O$46)-YEAR('融资租赁与资金缺口'!$F$11))*12+MONTH(BO$46)-MONTH('融资租赁与资金缺口'!$F$11))-1)/'融资租赁与资金缺口'!$I$11))))),IF(BO$46&lt;'融资租赁与资金缺口'!$F$12,0,IF(BO$46='融资租赁与资金缺口'!$F$12,'融资租赁与资金缺口'!$E$12,IF(((YEAR(BO$46)-YEAR('融资租赁与资金缺口'!$F$12))*12+MONTH(BO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O$46)-YEAR('融资租赁与资金缺口'!$F$12))*12+MONTH(BO$46)-MONTH('融资租赁与资金缺口'!$F$12)),'融资租赁与资金缺口'!$E$12*(1+'融资租赁与资金缺口'!$I$12)^((YEAR(BO$46)-YEAR('融资租赁与资金缺口'!$F$12))*12+MONTH(BO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O$46)-YEAR('融资租赁与资金缺口'!$F$12))*12+MONTH(BO$46)-MONTH('融资租赁与资金缺口'!$F$12))-1)/'融资租赁与资金缺口'!$I$12))))),IF(BO$46&lt;'融资租赁与资金缺口'!$F$13,0,IF(BO$46='融资租赁与资金缺口'!$F$13,'融资租赁与资金缺口'!$E$13,IF(((YEAR(BO$46)-YEAR('融资租赁与资金缺口'!$F$13))*12+MONTH(BO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O$46)-YEAR('融资租赁与资金缺口'!$F$13))*12+MONTH(BO$46)-MONTH('融资租赁与资金缺口'!$F$13)),'融资租赁与资金缺口'!$E$13*(1+'融资租赁与资金缺口'!$I$13)^((YEAR(BO$46)-YEAR('融资租赁与资金缺口'!$F$13))*12+MONTH(BO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O$46)-YEAR('融资租赁与资金缺口'!$F$13))*12+MONTH(BO$46)-MONTH('融资租赁与资金缺口'!$F$13))-1)/'融资租赁与资金缺口'!$I$13))))),IF(BO$46&lt;'融资租赁与资金缺口'!$F$14,0,IF(BO$46='融资租赁与资金缺口'!$F$14,'融资租赁与资金缺口'!$E$14,IF(((YEAR(BO$46)-YEAR('融资租赁与资金缺口'!$F$14))*12+MONTH(BO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O$46)-YEAR('融资租赁与资金缺口'!$F$14))*12+MONTH(BO$46)-MONTH('融资租赁与资金缺口'!$F$14)),'融资租赁与资金缺口'!$E$14*(1+'融资租赁与资金缺口'!$I$14)^((YEAR(BO$46)-YEAR('融资租赁与资金缺口'!$F$14))*12+MONTH(BO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O$46)-YEAR('融资租赁与资金缺口'!$F$14))*12+MONTH(BO$46)-MONTH('融资租赁与资金缺口'!$F$14))-1)/'融资租赁与资金缺口'!$I$14))))),IF(BO$46&lt;'融资租赁与资金缺口'!$F$15,0,IF(BO$46='融资租赁与资金缺口'!$F$15,'融资租赁与资金缺口'!$E$15,IF(((YEAR(BO$46)-YEAR('融资租赁与资金缺口'!$F$15))*12+MONTH(BO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O$46)-YEAR('融资租赁与资金缺口'!$F$15))*12+MONTH(BO$46)-MONTH('融资租赁与资金缺口'!$F$15)),'融资租赁与资金缺口'!$E$15*(1+'融资租赁与资金缺口'!$I$15)^((YEAR(BO$46)-YEAR('融资租赁与资金缺口'!$F$15))*12+MONTH(BO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O$46)-YEAR('融资租赁与资金缺口'!$F$15))*12+MONTH(BO$46)-MONTH('融资租赁与资金缺口'!$F$15))-1)/'融资租赁与资金缺口'!$I$15))))),IF(BO$46&lt;'融资租赁与资金缺口'!$F$16,0,IF(BO$46='融资租赁与资金缺口'!$F$16,'融资租赁与资金缺口'!$E$16,IF(((YEAR(BO$46)-YEAR('融资租赁与资金缺口'!$F$16))*12+MONTH(BO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O$46)-YEAR('融资租赁与资金缺口'!$F$16))*12+MONTH(BO$46)-MONTH('融资租赁与资金缺口'!$F$16)),'融资租赁与资金缺口'!$E$16*(1+'融资租赁与资金缺口'!$I$16)^((YEAR(BO$46)-YEAR('融资租赁与资金缺口'!$F$16))*12+MONTH(BO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O$46)-YEAR('融资租赁与资金缺口'!$F$16))*12+MONTH(BO$46)-MONTH('融资租赁与资金缺口'!$F$16))-1)/'融资租赁与资金缺口'!$I$16))))))</x:f>
        <x:v>0</x:v>
      </x:c>
      <x:c r="BP48" s="28" t="n">
        <x:f>SUM(IF(BP$46&lt;'融资租赁与资金缺口'!$F$5,0,IF(BP$46='融资租赁与资金缺口'!$F$5,'融资租赁与资金缺口'!$E$5,IF(((YEAR(BP$46)-YEAR('融资租赁与资金缺口'!$F$5))*12+MONTH(BP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P$46)-YEAR('融资租赁与资金缺口'!$F$5))*12+MONTH(BP$46)-MONTH('融资租赁与资金缺口'!$F$5)),'融资租赁与资金缺口'!$E$5*(1+'融资租赁与资金缺口'!$I$5)^((YEAR(BP$46)-YEAR('融资租赁与资金缺口'!$F$5))*12+MONTH(BP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P$46)-YEAR('融资租赁与资金缺口'!$F$5))*12+MONTH(BP$46)-MONTH('融资租赁与资金缺口'!$F$5))-1)/'融资租赁与资金缺口'!$I$5))))),IF(BP$46&lt;'融资租赁与资金缺口'!$F$6,0,IF(BP$46='融资租赁与资金缺口'!$F$6,'融资租赁与资金缺口'!$E$6,IF(((YEAR(BP$46)-YEAR('融资租赁与资金缺口'!$F$6))*12+MONTH(BP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P$46)-YEAR('融资租赁与资金缺口'!$F$6))*12+MONTH(BP$46)-MONTH('融资租赁与资金缺口'!$F$6)),'融资租赁与资金缺口'!$E$6*(1+'融资租赁与资金缺口'!$I$6)^((YEAR(BP$46)-YEAR('融资租赁与资金缺口'!$F$6))*12+MONTH(BP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P$46)-YEAR('融资租赁与资金缺口'!$F$6))*12+MONTH(BP$46)-MONTH('融资租赁与资金缺口'!$F$6))-1)/'融资租赁与资金缺口'!$I$6))))),IF(BP$46&lt;'融资租赁与资金缺口'!$F$7,0,IF(BP$46='融资租赁与资金缺口'!$F$7,'融资租赁与资金缺口'!$E$7,IF(((YEAR(BP$46)-YEAR('融资租赁与资金缺口'!$F$7))*12+MONTH(BP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P$46)-YEAR('融资租赁与资金缺口'!$F$7))*12+MONTH(BP$46)-MONTH('融资租赁与资金缺口'!$F$7)),'融资租赁与资金缺口'!$E$7*(1+'融资租赁与资金缺口'!$I$7)^((YEAR(BP$46)-YEAR('融资租赁与资金缺口'!$F$7))*12+MONTH(BP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P$46)-YEAR('融资租赁与资金缺口'!$F$7))*12+MONTH(BP$46)-MONTH('融资租赁与资金缺口'!$F$7))-1)/'融资租赁与资金缺口'!$I$7))))),IF(BP$46&lt;'融资租赁与资金缺口'!$F$8,0,IF(BP$46='融资租赁与资金缺口'!$F$8,'融资租赁与资金缺口'!$E$8,IF(((YEAR(BP$46)-YEAR('融资租赁与资金缺口'!$F$8))*12+MONTH(BP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P$46)-YEAR('融资租赁与资金缺口'!$F$8))*12+MONTH(BP$46)-MONTH('融资租赁与资金缺口'!$F$8)),'融资租赁与资金缺口'!$E$8*(1+'融资租赁与资金缺口'!$I$8)^((YEAR(BP$46)-YEAR('融资租赁与资金缺口'!$F$8))*12+MONTH(BP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P$46)-YEAR('融资租赁与资金缺口'!$F$8))*12+MONTH(BP$46)-MONTH('融资租赁与资金缺口'!$F$8))-1)/'融资租赁与资金缺口'!$I$8))))),IF(BP$46&lt;'融资租赁与资金缺口'!$F$9,0,IF(BP$46='融资租赁与资金缺口'!$F$9,'融资租赁与资金缺口'!$E$9,IF(((YEAR(BP$46)-YEAR('融资租赁与资金缺口'!$F$9))*12+MONTH(BP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P$46)-YEAR('融资租赁与资金缺口'!$F$9))*12+MONTH(BP$46)-MONTH('融资租赁与资金缺口'!$F$9)),'融资租赁与资金缺口'!$E$9*(1+'融资租赁与资金缺口'!$I$9)^((YEAR(BP$46)-YEAR('融资租赁与资金缺口'!$F$9))*12+MONTH(BP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P$46)-YEAR('融资租赁与资金缺口'!$F$9))*12+MONTH(BP$46)-MONTH('融资租赁与资金缺口'!$F$9))-1)/'融资租赁与资金缺口'!$I$9))))),IF(BP$46&lt;'融资租赁与资金缺口'!$F$10,0,IF(BP$46='融资租赁与资金缺口'!$F$10,'融资租赁与资金缺口'!$E$10,IF(((YEAR(BP$46)-YEAR('融资租赁与资金缺口'!$F$10))*12+MONTH(BP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P$46)-YEAR('融资租赁与资金缺口'!$F$10))*12+MONTH(BP$46)-MONTH('融资租赁与资金缺口'!$F$10)),'融资租赁与资金缺口'!$E$10*(1+'融资租赁与资金缺口'!$I$10)^((YEAR(BP$46)-YEAR('融资租赁与资金缺口'!$F$10))*12+MONTH(BP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P$46)-YEAR('融资租赁与资金缺口'!$F$10))*12+MONTH(BP$46)-MONTH('融资租赁与资金缺口'!$F$10))-1)/'融资租赁与资金缺口'!$I$10))))),IF(BP$46&lt;'融资租赁与资金缺口'!$F$11,0,IF(BP$46='融资租赁与资金缺口'!$F$11,'融资租赁与资金缺口'!$E$11,IF(((YEAR(BP$46)-YEAR('融资租赁与资金缺口'!$F$11))*12+MONTH(BP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P$46)-YEAR('融资租赁与资金缺口'!$F$11))*12+MONTH(BP$46)-MONTH('融资租赁与资金缺口'!$F$11)),'融资租赁与资金缺口'!$E$11*(1+'融资租赁与资金缺口'!$I$11)^((YEAR(BP$46)-YEAR('融资租赁与资金缺口'!$F$11))*12+MONTH(BP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P$46)-YEAR('融资租赁与资金缺口'!$F$11))*12+MONTH(BP$46)-MONTH('融资租赁与资金缺口'!$F$11))-1)/'融资租赁与资金缺口'!$I$11))))),IF(BP$46&lt;'融资租赁与资金缺口'!$F$12,0,IF(BP$46='融资租赁与资金缺口'!$F$12,'融资租赁与资金缺口'!$E$12,IF(((YEAR(BP$46)-YEAR('融资租赁与资金缺口'!$F$12))*12+MONTH(BP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P$46)-YEAR('融资租赁与资金缺口'!$F$12))*12+MONTH(BP$46)-MONTH('融资租赁与资金缺口'!$F$12)),'融资租赁与资金缺口'!$E$12*(1+'融资租赁与资金缺口'!$I$12)^((YEAR(BP$46)-YEAR('融资租赁与资金缺口'!$F$12))*12+MONTH(BP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P$46)-YEAR('融资租赁与资金缺口'!$F$12))*12+MONTH(BP$46)-MONTH('融资租赁与资金缺口'!$F$12))-1)/'融资租赁与资金缺口'!$I$12))))),IF(BP$46&lt;'融资租赁与资金缺口'!$F$13,0,IF(BP$46='融资租赁与资金缺口'!$F$13,'融资租赁与资金缺口'!$E$13,IF(((YEAR(BP$46)-YEAR('融资租赁与资金缺口'!$F$13))*12+MONTH(BP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P$46)-YEAR('融资租赁与资金缺口'!$F$13))*12+MONTH(BP$46)-MONTH('融资租赁与资金缺口'!$F$13)),'融资租赁与资金缺口'!$E$13*(1+'融资租赁与资金缺口'!$I$13)^((YEAR(BP$46)-YEAR('融资租赁与资金缺口'!$F$13))*12+MONTH(BP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P$46)-YEAR('融资租赁与资金缺口'!$F$13))*12+MONTH(BP$46)-MONTH('融资租赁与资金缺口'!$F$13))-1)/'融资租赁与资金缺口'!$I$13))))),IF(BP$46&lt;'融资租赁与资金缺口'!$F$14,0,IF(BP$46='融资租赁与资金缺口'!$F$14,'融资租赁与资金缺口'!$E$14,IF(((YEAR(BP$46)-YEAR('融资租赁与资金缺口'!$F$14))*12+MONTH(BP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P$46)-YEAR('融资租赁与资金缺口'!$F$14))*12+MONTH(BP$46)-MONTH('融资租赁与资金缺口'!$F$14)),'融资租赁与资金缺口'!$E$14*(1+'融资租赁与资金缺口'!$I$14)^((YEAR(BP$46)-YEAR('融资租赁与资金缺口'!$F$14))*12+MONTH(BP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P$46)-YEAR('融资租赁与资金缺口'!$F$14))*12+MONTH(BP$46)-MONTH('融资租赁与资金缺口'!$F$14))-1)/'融资租赁与资金缺口'!$I$14))))),IF(BP$46&lt;'融资租赁与资金缺口'!$F$15,0,IF(BP$46='融资租赁与资金缺口'!$F$15,'融资租赁与资金缺口'!$E$15,IF(((YEAR(BP$46)-YEAR('融资租赁与资金缺口'!$F$15))*12+MONTH(BP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P$46)-YEAR('融资租赁与资金缺口'!$F$15))*12+MONTH(BP$46)-MONTH('融资租赁与资金缺口'!$F$15)),'融资租赁与资金缺口'!$E$15*(1+'融资租赁与资金缺口'!$I$15)^((YEAR(BP$46)-YEAR('融资租赁与资金缺口'!$F$15))*12+MONTH(BP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P$46)-YEAR('融资租赁与资金缺口'!$F$15))*12+MONTH(BP$46)-MONTH('融资租赁与资金缺口'!$F$15))-1)/'融资租赁与资金缺口'!$I$15))))),IF(BP$46&lt;'融资租赁与资金缺口'!$F$16,0,IF(BP$46='融资租赁与资金缺口'!$F$16,'融资租赁与资金缺口'!$E$16,IF(((YEAR(BP$46)-YEAR('融资租赁与资金缺口'!$F$16))*12+MONTH(BP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P$46)-YEAR('融资租赁与资金缺口'!$F$16))*12+MONTH(BP$46)-MONTH('融资租赁与资金缺口'!$F$16)),'融资租赁与资金缺口'!$E$16*(1+'融资租赁与资金缺口'!$I$16)^((YEAR(BP$46)-YEAR('融资租赁与资金缺口'!$F$16))*12+MONTH(BP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P$46)-YEAR('融资租赁与资金缺口'!$F$16))*12+MONTH(BP$46)-MONTH('融资租赁与资金缺口'!$F$16))-1)/'融资租赁与资金缺口'!$I$16))))))</x:f>
        <x:v>0</x:v>
      </x:c>
      <x:c r="BQ48" s="28" t="n">
        <x:f>SUM(IF(BQ$46&lt;'融资租赁与资金缺口'!$F$5,0,IF(BQ$46='融资租赁与资金缺口'!$F$5,'融资租赁与资金缺口'!$E$5,IF(((YEAR(BQ$46)-YEAR('融资租赁与资金缺口'!$F$5))*12+MONTH(BQ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Q$46)-YEAR('融资租赁与资金缺口'!$F$5))*12+MONTH(BQ$46)-MONTH('融资租赁与资金缺口'!$F$5)),'融资租赁与资金缺口'!$E$5*(1+'融资租赁与资金缺口'!$I$5)^((YEAR(BQ$46)-YEAR('融资租赁与资金缺口'!$F$5))*12+MONTH(BQ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Q$46)-YEAR('融资租赁与资金缺口'!$F$5))*12+MONTH(BQ$46)-MONTH('融资租赁与资金缺口'!$F$5))-1)/'融资租赁与资金缺口'!$I$5))))),IF(BQ$46&lt;'融资租赁与资金缺口'!$F$6,0,IF(BQ$46='融资租赁与资金缺口'!$F$6,'融资租赁与资金缺口'!$E$6,IF(((YEAR(BQ$46)-YEAR('融资租赁与资金缺口'!$F$6))*12+MONTH(BQ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Q$46)-YEAR('融资租赁与资金缺口'!$F$6))*12+MONTH(BQ$46)-MONTH('融资租赁与资金缺口'!$F$6)),'融资租赁与资金缺口'!$E$6*(1+'融资租赁与资金缺口'!$I$6)^((YEAR(BQ$46)-YEAR('融资租赁与资金缺口'!$F$6))*12+MONTH(BQ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Q$46)-YEAR('融资租赁与资金缺口'!$F$6))*12+MONTH(BQ$46)-MONTH('融资租赁与资金缺口'!$F$6))-1)/'融资租赁与资金缺口'!$I$6))))),IF(BQ$46&lt;'融资租赁与资金缺口'!$F$7,0,IF(BQ$46='融资租赁与资金缺口'!$F$7,'融资租赁与资金缺口'!$E$7,IF(((YEAR(BQ$46)-YEAR('融资租赁与资金缺口'!$F$7))*12+MONTH(BQ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Q$46)-YEAR('融资租赁与资金缺口'!$F$7))*12+MONTH(BQ$46)-MONTH('融资租赁与资金缺口'!$F$7)),'融资租赁与资金缺口'!$E$7*(1+'融资租赁与资金缺口'!$I$7)^((YEAR(BQ$46)-YEAR('融资租赁与资金缺口'!$F$7))*12+MONTH(BQ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Q$46)-YEAR('融资租赁与资金缺口'!$F$7))*12+MONTH(BQ$46)-MONTH('融资租赁与资金缺口'!$F$7))-1)/'融资租赁与资金缺口'!$I$7))))),IF(BQ$46&lt;'融资租赁与资金缺口'!$F$8,0,IF(BQ$46='融资租赁与资金缺口'!$F$8,'融资租赁与资金缺口'!$E$8,IF(((YEAR(BQ$46)-YEAR('融资租赁与资金缺口'!$F$8))*12+MONTH(BQ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Q$46)-YEAR('融资租赁与资金缺口'!$F$8))*12+MONTH(BQ$46)-MONTH('融资租赁与资金缺口'!$F$8)),'融资租赁与资金缺口'!$E$8*(1+'融资租赁与资金缺口'!$I$8)^((YEAR(BQ$46)-YEAR('融资租赁与资金缺口'!$F$8))*12+MONTH(BQ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Q$46)-YEAR('融资租赁与资金缺口'!$F$8))*12+MONTH(BQ$46)-MONTH('融资租赁与资金缺口'!$F$8))-1)/'融资租赁与资金缺口'!$I$8))))),IF(BQ$46&lt;'融资租赁与资金缺口'!$F$9,0,IF(BQ$46='融资租赁与资金缺口'!$F$9,'融资租赁与资金缺口'!$E$9,IF(((YEAR(BQ$46)-YEAR('融资租赁与资金缺口'!$F$9))*12+MONTH(BQ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Q$46)-YEAR('融资租赁与资金缺口'!$F$9))*12+MONTH(BQ$46)-MONTH('融资租赁与资金缺口'!$F$9)),'融资租赁与资金缺口'!$E$9*(1+'融资租赁与资金缺口'!$I$9)^((YEAR(BQ$46)-YEAR('融资租赁与资金缺口'!$F$9))*12+MONTH(BQ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Q$46)-YEAR('融资租赁与资金缺口'!$F$9))*12+MONTH(BQ$46)-MONTH('融资租赁与资金缺口'!$F$9))-1)/'融资租赁与资金缺口'!$I$9))))),IF(BQ$46&lt;'融资租赁与资金缺口'!$F$10,0,IF(BQ$46='融资租赁与资金缺口'!$F$10,'融资租赁与资金缺口'!$E$10,IF(((YEAR(BQ$46)-YEAR('融资租赁与资金缺口'!$F$10))*12+MONTH(BQ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Q$46)-YEAR('融资租赁与资金缺口'!$F$10))*12+MONTH(BQ$46)-MONTH('融资租赁与资金缺口'!$F$10)),'融资租赁与资金缺口'!$E$10*(1+'融资租赁与资金缺口'!$I$10)^((YEAR(BQ$46)-YEAR('融资租赁与资金缺口'!$F$10))*12+MONTH(BQ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Q$46)-YEAR('融资租赁与资金缺口'!$F$10))*12+MONTH(BQ$46)-MONTH('融资租赁与资金缺口'!$F$10))-1)/'融资租赁与资金缺口'!$I$10))))),IF(BQ$46&lt;'融资租赁与资金缺口'!$F$11,0,IF(BQ$46='融资租赁与资金缺口'!$F$11,'融资租赁与资金缺口'!$E$11,IF(((YEAR(BQ$46)-YEAR('融资租赁与资金缺口'!$F$11))*12+MONTH(BQ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Q$46)-YEAR('融资租赁与资金缺口'!$F$11))*12+MONTH(BQ$46)-MONTH('融资租赁与资金缺口'!$F$11)),'融资租赁与资金缺口'!$E$11*(1+'融资租赁与资金缺口'!$I$11)^((YEAR(BQ$46)-YEAR('融资租赁与资金缺口'!$F$11))*12+MONTH(BQ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Q$46)-YEAR('融资租赁与资金缺口'!$F$11))*12+MONTH(BQ$46)-MONTH('融资租赁与资金缺口'!$F$11))-1)/'融资租赁与资金缺口'!$I$11))))),IF(BQ$46&lt;'融资租赁与资金缺口'!$F$12,0,IF(BQ$46='融资租赁与资金缺口'!$F$12,'融资租赁与资金缺口'!$E$12,IF(((YEAR(BQ$46)-YEAR('融资租赁与资金缺口'!$F$12))*12+MONTH(BQ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Q$46)-YEAR('融资租赁与资金缺口'!$F$12))*12+MONTH(BQ$46)-MONTH('融资租赁与资金缺口'!$F$12)),'融资租赁与资金缺口'!$E$12*(1+'融资租赁与资金缺口'!$I$12)^((YEAR(BQ$46)-YEAR('融资租赁与资金缺口'!$F$12))*12+MONTH(BQ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Q$46)-YEAR('融资租赁与资金缺口'!$F$12))*12+MONTH(BQ$46)-MONTH('融资租赁与资金缺口'!$F$12))-1)/'融资租赁与资金缺口'!$I$12))))),IF(BQ$46&lt;'融资租赁与资金缺口'!$F$13,0,IF(BQ$46='融资租赁与资金缺口'!$F$13,'融资租赁与资金缺口'!$E$13,IF(((YEAR(BQ$46)-YEAR('融资租赁与资金缺口'!$F$13))*12+MONTH(BQ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Q$46)-YEAR('融资租赁与资金缺口'!$F$13))*12+MONTH(BQ$46)-MONTH('融资租赁与资金缺口'!$F$13)),'融资租赁与资金缺口'!$E$13*(1+'融资租赁与资金缺口'!$I$13)^((YEAR(BQ$46)-YEAR('融资租赁与资金缺口'!$F$13))*12+MONTH(BQ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Q$46)-YEAR('融资租赁与资金缺口'!$F$13))*12+MONTH(BQ$46)-MONTH('融资租赁与资金缺口'!$F$13))-1)/'融资租赁与资金缺口'!$I$13))))),IF(BQ$46&lt;'融资租赁与资金缺口'!$F$14,0,IF(BQ$46='融资租赁与资金缺口'!$F$14,'融资租赁与资金缺口'!$E$14,IF(((YEAR(BQ$46)-YEAR('融资租赁与资金缺口'!$F$14))*12+MONTH(BQ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Q$46)-YEAR('融资租赁与资金缺口'!$F$14))*12+MONTH(BQ$46)-MONTH('融资租赁与资金缺口'!$F$14)),'融资租赁与资金缺口'!$E$14*(1+'融资租赁与资金缺口'!$I$14)^((YEAR(BQ$46)-YEAR('融资租赁与资金缺口'!$F$14))*12+MONTH(BQ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Q$46)-YEAR('融资租赁与资金缺口'!$F$14))*12+MONTH(BQ$46)-MONTH('融资租赁与资金缺口'!$F$14))-1)/'融资租赁与资金缺口'!$I$14))))),IF(BQ$46&lt;'融资租赁与资金缺口'!$F$15,0,IF(BQ$46='融资租赁与资金缺口'!$F$15,'融资租赁与资金缺口'!$E$15,IF(((YEAR(BQ$46)-YEAR('融资租赁与资金缺口'!$F$15))*12+MONTH(BQ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Q$46)-YEAR('融资租赁与资金缺口'!$F$15))*12+MONTH(BQ$46)-MONTH('融资租赁与资金缺口'!$F$15)),'融资租赁与资金缺口'!$E$15*(1+'融资租赁与资金缺口'!$I$15)^((YEAR(BQ$46)-YEAR('融资租赁与资金缺口'!$F$15))*12+MONTH(BQ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Q$46)-YEAR('融资租赁与资金缺口'!$F$15))*12+MONTH(BQ$46)-MONTH('融资租赁与资金缺口'!$F$15))-1)/'融资租赁与资金缺口'!$I$15))))),IF(BQ$46&lt;'融资租赁与资金缺口'!$F$16,0,IF(BQ$46='融资租赁与资金缺口'!$F$16,'融资租赁与资金缺口'!$E$16,IF(((YEAR(BQ$46)-YEAR('融资租赁与资金缺口'!$F$16))*12+MONTH(BQ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Q$46)-YEAR('融资租赁与资金缺口'!$F$16))*12+MONTH(BQ$46)-MONTH('融资租赁与资金缺口'!$F$16)),'融资租赁与资金缺口'!$E$16*(1+'融资租赁与资金缺口'!$I$16)^((YEAR(BQ$46)-YEAR('融资租赁与资金缺口'!$F$16))*12+MONTH(BQ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Q$46)-YEAR('融资租赁与资金缺口'!$F$16))*12+MONTH(BQ$46)-MONTH('融资租赁与资金缺口'!$F$16))-1)/'融资租赁与资金缺口'!$I$16))))))</x:f>
        <x:v>0</x:v>
      </x:c>
      <x:c r="BR48" s="28" t="n">
        <x:f>SUM(IF(BR$46&lt;'融资租赁与资金缺口'!$F$5,0,IF(BR$46='融资租赁与资金缺口'!$F$5,'融资租赁与资金缺口'!$E$5,IF(((YEAR(BR$46)-YEAR('融资租赁与资金缺口'!$F$5))*12+MONTH(BR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R$46)-YEAR('融资租赁与资金缺口'!$F$5))*12+MONTH(BR$46)-MONTH('融资租赁与资金缺口'!$F$5)),'融资租赁与资金缺口'!$E$5*(1+'融资租赁与资金缺口'!$I$5)^((YEAR(BR$46)-YEAR('融资租赁与资金缺口'!$F$5))*12+MONTH(BR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R$46)-YEAR('融资租赁与资金缺口'!$F$5))*12+MONTH(BR$46)-MONTH('融资租赁与资金缺口'!$F$5))-1)/'融资租赁与资金缺口'!$I$5))))),IF(BR$46&lt;'融资租赁与资金缺口'!$F$6,0,IF(BR$46='融资租赁与资金缺口'!$F$6,'融资租赁与资金缺口'!$E$6,IF(((YEAR(BR$46)-YEAR('融资租赁与资金缺口'!$F$6))*12+MONTH(BR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R$46)-YEAR('融资租赁与资金缺口'!$F$6))*12+MONTH(BR$46)-MONTH('融资租赁与资金缺口'!$F$6)),'融资租赁与资金缺口'!$E$6*(1+'融资租赁与资金缺口'!$I$6)^((YEAR(BR$46)-YEAR('融资租赁与资金缺口'!$F$6))*12+MONTH(BR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R$46)-YEAR('融资租赁与资金缺口'!$F$6))*12+MONTH(BR$46)-MONTH('融资租赁与资金缺口'!$F$6))-1)/'融资租赁与资金缺口'!$I$6))))),IF(BR$46&lt;'融资租赁与资金缺口'!$F$7,0,IF(BR$46='融资租赁与资金缺口'!$F$7,'融资租赁与资金缺口'!$E$7,IF(((YEAR(BR$46)-YEAR('融资租赁与资金缺口'!$F$7))*12+MONTH(BR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R$46)-YEAR('融资租赁与资金缺口'!$F$7))*12+MONTH(BR$46)-MONTH('融资租赁与资金缺口'!$F$7)),'融资租赁与资金缺口'!$E$7*(1+'融资租赁与资金缺口'!$I$7)^((YEAR(BR$46)-YEAR('融资租赁与资金缺口'!$F$7))*12+MONTH(BR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R$46)-YEAR('融资租赁与资金缺口'!$F$7))*12+MONTH(BR$46)-MONTH('融资租赁与资金缺口'!$F$7))-1)/'融资租赁与资金缺口'!$I$7))))),IF(BR$46&lt;'融资租赁与资金缺口'!$F$8,0,IF(BR$46='融资租赁与资金缺口'!$F$8,'融资租赁与资金缺口'!$E$8,IF(((YEAR(BR$46)-YEAR('融资租赁与资金缺口'!$F$8))*12+MONTH(BR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R$46)-YEAR('融资租赁与资金缺口'!$F$8))*12+MONTH(BR$46)-MONTH('融资租赁与资金缺口'!$F$8)),'融资租赁与资金缺口'!$E$8*(1+'融资租赁与资金缺口'!$I$8)^((YEAR(BR$46)-YEAR('融资租赁与资金缺口'!$F$8))*12+MONTH(BR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R$46)-YEAR('融资租赁与资金缺口'!$F$8))*12+MONTH(BR$46)-MONTH('融资租赁与资金缺口'!$F$8))-1)/'融资租赁与资金缺口'!$I$8))))),IF(BR$46&lt;'融资租赁与资金缺口'!$F$9,0,IF(BR$46='融资租赁与资金缺口'!$F$9,'融资租赁与资金缺口'!$E$9,IF(((YEAR(BR$46)-YEAR('融资租赁与资金缺口'!$F$9))*12+MONTH(BR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R$46)-YEAR('融资租赁与资金缺口'!$F$9))*12+MONTH(BR$46)-MONTH('融资租赁与资金缺口'!$F$9)),'融资租赁与资金缺口'!$E$9*(1+'融资租赁与资金缺口'!$I$9)^((YEAR(BR$46)-YEAR('融资租赁与资金缺口'!$F$9))*12+MONTH(BR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R$46)-YEAR('融资租赁与资金缺口'!$F$9))*12+MONTH(BR$46)-MONTH('融资租赁与资金缺口'!$F$9))-1)/'融资租赁与资金缺口'!$I$9))))),IF(BR$46&lt;'融资租赁与资金缺口'!$F$10,0,IF(BR$46='融资租赁与资金缺口'!$F$10,'融资租赁与资金缺口'!$E$10,IF(((YEAR(BR$46)-YEAR('融资租赁与资金缺口'!$F$10))*12+MONTH(BR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R$46)-YEAR('融资租赁与资金缺口'!$F$10))*12+MONTH(BR$46)-MONTH('融资租赁与资金缺口'!$F$10)),'融资租赁与资金缺口'!$E$10*(1+'融资租赁与资金缺口'!$I$10)^((YEAR(BR$46)-YEAR('融资租赁与资金缺口'!$F$10))*12+MONTH(BR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R$46)-YEAR('融资租赁与资金缺口'!$F$10))*12+MONTH(BR$46)-MONTH('融资租赁与资金缺口'!$F$10))-1)/'融资租赁与资金缺口'!$I$10))))),IF(BR$46&lt;'融资租赁与资金缺口'!$F$11,0,IF(BR$46='融资租赁与资金缺口'!$F$11,'融资租赁与资金缺口'!$E$11,IF(((YEAR(BR$46)-YEAR('融资租赁与资金缺口'!$F$11))*12+MONTH(BR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R$46)-YEAR('融资租赁与资金缺口'!$F$11))*12+MONTH(BR$46)-MONTH('融资租赁与资金缺口'!$F$11)),'融资租赁与资金缺口'!$E$11*(1+'融资租赁与资金缺口'!$I$11)^((YEAR(BR$46)-YEAR('融资租赁与资金缺口'!$F$11))*12+MONTH(BR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R$46)-YEAR('融资租赁与资金缺口'!$F$11))*12+MONTH(BR$46)-MONTH('融资租赁与资金缺口'!$F$11))-1)/'融资租赁与资金缺口'!$I$11))))),IF(BR$46&lt;'融资租赁与资金缺口'!$F$12,0,IF(BR$46='融资租赁与资金缺口'!$F$12,'融资租赁与资金缺口'!$E$12,IF(((YEAR(BR$46)-YEAR('融资租赁与资金缺口'!$F$12))*12+MONTH(BR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R$46)-YEAR('融资租赁与资金缺口'!$F$12))*12+MONTH(BR$46)-MONTH('融资租赁与资金缺口'!$F$12)),'融资租赁与资金缺口'!$E$12*(1+'融资租赁与资金缺口'!$I$12)^((YEAR(BR$46)-YEAR('融资租赁与资金缺口'!$F$12))*12+MONTH(BR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R$46)-YEAR('融资租赁与资金缺口'!$F$12))*12+MONTH(BR$46)-MONTH('融资租赁与资金缺口'!$F$12))-1)/'融资租赁与资金缺口'!$I$12))))),IF(BR$46&lt;'融资租赁与资金缺口'!$F$13,0,IF(BR$46='融资租赁与资金缺口'!$F$13,'融资租赁与资金缺口'!$E$13,IF(((YEAR(BR$46)-YEAR('融资租赁与资金缺口'!$F$13))*12+MONTH(BR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R$46)-YEAR('融资租赁与资金缺口'!$F$13))*12+MONTH(BR$46)-MONTH('融资租赁与资金缺口'!$F$13)),'融资租赁与资金缺口'!$E$13*(1+'融资租赁与资金缺口'!$I$13)^((YEAR(BR$46)-YEAR('融资租赁与资金缺口'!$F$13))*12+MONTH(BR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R$46)-YEAR('融资租赁与资金缺口'!$F$13))*12+MONTH(BR$46)-MONTH('融资租赁与资金缺口'!$F$13))-1)/'融资租赁与资金缺口'!$I$13))))),IF(BR$46&lt;'融资租赁与资金缺口'!$F$14,0,IF(BR$46='融资租赁与资金缺口'!$F$14,'融资租赁与资金缺口'!$E$14,IF(((YEAR(BR$46)-YEAR('融资租赁与资金缺口'!$F$14))*12+MONTH(BR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R$46)-YEAR('融资租赁与资金缺口'!$F$14))*12+MONTH(BR$46)-MONTH('融资租赁与资金缺口'!$F$14)),'融资租赁与资金缺口'!$E$14*(1+'融资租赁与资金缺口'!$I$14)^((YEAR(BR$46)-YEAR('融资租赁与资金缺口'!$F$14))*12+MONTH(BR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R$46)-YEAR('融资租赁与资金缺口'!$F$14))*12+MONTH(BR$46)-MONTH('融资租赁与资金缺口'!$F$14))-1)/'融资租赁与资金缺口'!$I$14))))),IF(BR$46&lt;'融资租赁与资金缺口'!$F$15,0,IF(BR$46='融资租赁与资金缺口'!$F$15,'融资租赁与资金缺口'!$E$15,IF(((YEAR(BR$46)-YEAR('融资租赁与资金缺口'!$F$15))*12+MONTH(BR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R$46)-YEAR('融资租赁与资金缺口'!$F$15))*12+MONTH(BR$46)-MONTH('融资租赁与资金缺口'!$F$15)),'融资租赁与资金缺口'!$E$15*(1+'融资租赁与资金缺口'!$I$15)^((YEAR(BR$46)-YEAR('融资租赁与资金缺口'!$F$15))*12+MONTH(BR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R$46)-YEAR('融资租赁与资金缺口'!$F$15))*12+MONTH(BR$46)-MONTH('融资租赁与资金缺口'!$F$15))-1)/'融资租赁与资金缺口'!$I$15))))),IF(BR$46&lt;'融资租赁与资金缺口'!$F$16,0,IF(BR$46='融资租赁与资金缺口'!$F$16,'融资租赁与资金缺口'!$E$16,IF(((YEAR(BR$46)-YEAR('融资租赁与资金缺口'!$F$16))*12+MONTH(BR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R$46)-YEAR('融资租赁与资金缺口'!$F$16))*12+MONTH(BR$46)-MONTH('融资租赁与资金缺口'!$F$16)),'融资租赁与资金缺口'!$E$16*(1+'融资租赁与资金缺口'!$I$16)^((YEAR(BR$46)-YEAR('融资租赁与资金缺口'!$F$16))*12+MONTH(BR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R$46)-YEAR('融资租赁与资金缺口'!$F$16))*12+MONTH(BR$46)-MONTH('融资租赁与资金缺口'!$F$16))-1)/'融资租赁与资金缺口'!$I$16))))))</x:f>
        <x:v>0</x:v>
      </x:c>
      <x:c r="BS48" s="28" t="n">
        <x:f>SUM(IF(BS$46&lt;'融资租赁与资金缺口'!$F$5,0,IF(BS$46='融资租赁与资金缺口'!$F$5,'融资租赁与资金缺口'!$E$5,IF(((YEAR(BS$46)-YEAR('融资租赁与资金缺口'!$F$5))*12+MONTH(BS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S$46)-YEAR('融资租赁与资金缺口'!$F$5))*12+MONTH(BS$46)-MONTH('融资租赁与资金缺口'!$F$5)),'融资租赁与资金缺口'!$E$5*(1+'融资租赁与资金缺口'!$I$5)^((YEAR(BS$46)-YEAR('融资租赁与资金缺口'!$F$5))*12+MONTH(BS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S$46)-YEAR('融资租赁与资金缺口'!$F$5))*12+MONTH(BS$46)-MONTH('融资租赁与资金缺口'!$F$5))-1)/'融资租赁与资金缺口'!$I$5))))),IF(BS$46&lt;'融资租赁与资金缺口'!$F$6,0,IF(BS$46='融资租赁与资金缺口'!$F$6,'融资租赁与资金缺口'!$E$6,IF(((YEAR(BS$46)-YEAR('融资租赁与资金缺口'!$F$6))*12+MONTH(BS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S$46)-YEAR('融资租赁与资金缺口'!$F$6))*12+MONTH(BS$46)-MONTH('融资租赁与资金缺口'!$F$6)),'融资租赁与资金缺口'!$E$6*(1+'融资租赁与资金缺口'!$I$6)^((YEAR(BS$46)-YEAR('融资租赁与资金缺口'!$F$6))*12+MONTH(BS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S$46)-YEAR('融资租赁与资金缺口'!$F$6))*12+MONTH(BS$46)-MONTH('融资租赁与资金缺口'!$F$6))-1)/'融资租赁与资金缺口'!$I$6))))),IF(BS$46&lt;'融资租赁与资金缺口'!$F$7,0,IF(BS$46='融资租赁与资金缺口'!$F$7,'融资租赁与资金缺口'!$E$7,IF(((YEAR(BS$46)-YEAR('融资租赁与资金缺口'!$F$7))*12+MONTH(BS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S$46)-YEAR('融资租赁与资金缺口'!$F$7))*12+MONTH(BS$46)-MONTH('融资租赁与资金缺口'!$F$7)),'融资租赁与资金缺口'!$E$7*(1+'融资租赁与资金缺口'!$I$7)^((YEAR(BS$46)-YEAR('融资租赁与资金缺口'!$F$7))*12+MONTH(BS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S$46)-YEAR('融资租赁与资金缺口'!$F$7))*12+MONTH(BS$46)-MONTH('融资租赁与资金缺口'!$F$7))-1)/'融资租赁与资金缺口'!$I$7))))),IF(BS$46&lt;'融资租赁与资金缺口'!$F$8,0,IF(BS$46='融资租赁与资金缺口'!$F$8,'融资租赁与资金缺口'!$E$8,IF(((YEAR(BS$46)-YEAR('融资租赁与资金缺口'!$F$8))*12+MONTH(BS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S$46)-YEAR('融资租赁与资金缺口'!$F$8))*12+MONTH(BS$46)-MONTH('融资租赁与资金缺口'!$F$8)),'融资租赁与资金缺口'!$E$8*(1+'融资租赁与资金缺口'!$I$8)^((YEAR(BS$46)-YEAR('融资租赁与资金缺口'!$F$8))*12+MONTH(BS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S$46)-YEAR('融资租赁与资金缺口'!$F$8))*12+MONTH(BS$46)-MONTH('融资租赁与资金缺口'!$F$8))-1)/'融资租赁与资金缺口'!$I$8))))),IF(BS$46&lt;'融资租赁与资金缺口'!$F$9,0,IF(BS$46='融资租赁与资金缺口'!$F$9,'融资租赁与资金缺口'!$E$9,IF(((YEAR(BS$46)-YEAR('融资租赁与资金缺口'!$F$9))*12+MONTH(BS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S$46)-YEAR('融资租赁与资金缺口'!$F$9))*12+MONTH(BS$46)-MONTH('融资租赁与资金缺口'!$F$9)),'融资租赁与资金缺口'!$E$9*(1+'融资租赁与资金缺口'!$I$9)^((YEAR(BS$46)-YEAR('融资租赁与资金缺口'!$F$9))*12+MONTH(BS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S$46)-YEAR('融资租赁与资金缺口'!$F$9))*12+MONTH(BS$46)-MONTH('融资租赁与资金缺口'!$F$9))-1)/'融资租赁与资金缺口'!$I$9))))),IF(BS$46&lt;'融资租赁与资金缺口'!$F$10,0,IF(BS$46='融资租赁与资金缺口'!$F$10,'融资租赁与资金缺口'!$E$10,IF(((YEAR(BS$46)-YEAR('融资租赁与资金缺口'!$F$10))*12+MONTH(BS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S$46)-YEAR('融资租赁与资金缺口'!$F$10))*12+MONTH(BS$46)-MONTH('融资租赁与资金缺口'!$F$10)),'融资租赁与资金缺口'!$E$10*(1+'融资租赁与资金缺口'!$I$10)^((YEAR(BS$46)-YEAR('融资租赁与资金缺口'!$F$10))*12+MONTH(BS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S$46)-YEAR('融资租赁与资金缺口'!$F$10))*12+MONTH(BS$46)-MONTH('融资租赁与资金缺口'!$F$10))-1)/'融资租赁与资金缺口'!$I$10))))),IF(BS$46&lt;'融资租赁与资金缺口'!$F$11,0,IF(BS$46='融资租赁与资金缺口'!$F$11,'融资租赁与资金缺口'!$E$11,IF(((YEAR(BS$46)-YEAR('融资租赁与资金缺口'!$F$11))*12+MONTH(BS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S$46)-YEAR('融资租赁与资金缺口'!$F$11))*12+MONTH(BS$46)-MONTH('融资租赁与资金缺口'!$F$11)),'融资租赁与资金缺口'!$E$11*(1+'融资租赁与资金缺口'!$I$11)^((YEAR(BS$46)-YEAR('融资租赁与资金缺口'!$F$11))*12+MONTH(BS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S$46)-YEAR('融资租赁与资金缺口'!$F$11))*12+MONTH(BS$46)-MONTH('融资租赁与资金缺口'!$F$11))-1)/'融资租赁与资金缺口'!$I$11))))),IF(BS$46&lt;'融资租赁与资金缺口'!$F$12,0,IF(BS$46='融资租赁与资金缺口'!$F$12,'融资租赁与资金缺口'!$E$12,IF(((YEAR(BS$46)-YEAR('融资租赁与资金缺口'!$F$12))*12+MONTH(BS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S$46)-YEAR('融资租赁与资金缺口'!$F$12))*12+MONTH(BS$46)-MONTH('融资租赁与资金缺口'!$F$12)),'融资租赁与资金缺口'!$E$12*(1+'融资租赁与资金缺口'!$I$12)^((YEAR(BS$46)-YEAR('融资租赁与资金缺口'!$F$12))*12+MONTH(BS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S$46)-YEAR('融资租赁与资金缺口'!$F$12))*12+MONTH(BS$46)-MONTH('融资租赁与资金缺口'!$F$12))-1)/'融资租赁与资金缺口'!$I$12))))),IF(BS$46&lt;'融资租赁与资金缺口'!$F$13,0,IF(BS$46='融资租赁与资金缺口'!$F$13,'融资租赁与资金缺口'!$E$13,IF(((YEAR(BS$46)-YEAR('融资租赁与资金缺口'!$F$13))*12+MONTH(BS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S$46)-YEAR('融资租赁与资金缺口'!$F$13))*12+MONTH(BS$46)-MONTH('融资租赁与资金缺口'!$F$13)),'融资租赁与资金缺口'!$E$13*(1+'融资租赁与资金缺口'!$I$13)^((YEAR(BS$46)-YEAR('融资租赁与资金缺口'!$F$13))*12+MONTH(BS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S$46)-YEAR('融资租赁与资金缺口'!$F$13))*12+MONTH(BS$46)-MONTH('融资租赁与资金缺口'!$F$13))-1)/'融资租赁与资金缺口'!$I$13))))),IF(BS$46&lt;'融资租赁与资金缺口'!$F$14,0,IF(BS$46='融资租赁与资金缺口'!$F$14,'融资租赁与资金缺口'!$E$14,IF(((YEAR(BS$46)-YEAR('融资租赁与资金缺口'!$F$14))*12+MONTH(BS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S$46)-YEAR('融资租赁与资金缺口'!$F$14))*12+MONTH(BS$46)-MONTH('融资租赁与资金缺口'!$F$14)),'融资租赁与资金缺口'!$E$14*(1+'融资租赁与资金缺口'!$I$14)^((YEAR(BS$46)-YEAR('融资租赁与资金缺口'!$F$14))*12+MONTH(BS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S$46)-YEAR('融资租赁与资金缺口'!$F$14))*12+MONTH(BS$46)-MONTH('融资租赁与资金缺口'!$F$14))-1)/'融资租赁与资金缺口'!$I$14))))),IF(BS$46&lt;'融资租赁与资金缺口'!$F$15,0,IF(BS$46='融资租赁与资金缺口'!$F$15,'融资租赁与资金缺口'!$E$15,IF(((YEAR(BS$46)-YEAR('融资租赁与资金缺口'!$F$15))*12+MONTH(BS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S$46)-YEAR('融资租赁与资金缺口'!$F$15))*12+MONTH(BS$46)-MONTH('融资租赁与资金缺口'!$F$15)),'融资租赁与资金缺口'!$E$15*(1+'融资租赁与资金缺口'!$I$15)^((YEAR(BS$46)-YEAR('融资租赁与资金缺口'!$F$15))*12+MONTH(BS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S$46)-YEAR('融资租赁与资金缺口'!$F$15))*12+MONTH(BS$46)-MONTH('融资租赁与资金缺口'!$F$15))-1)/'融资租赁与资金缺口'!$I$15))))),IF(BS$46&lt;'融资租赁与资金缺口'!$F$16,0,IF(BS$46='融资租赁与资金缺口'!$F$16,'融资租赁与资金缺口'!$E$16,IF(((YEAR(BS$46)-YEAR('融资租赁与资金缺口'!$F$16))*12+MONTH(BS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S$46)-YEAR('融资租赁与资金缺口'!$F$16))*12+MONTH(BS$46)-MONTH('融资租赁与资金缺口'!$F$16)),'融资租赁与资金缺口'!$E$16*(1+'融资租赁与资金缺口'!$I$16)^((YEAR(BS$46)-YEAR('融资租赁与资金缺口'!$F$16))*12+MONTH(BS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S$46)-YEAR('融资租赁与资金缺口'!$F$16))*12+MONTH(BS$46)-MONTH('融资租赁与资金缺口'!$F$16))-1)/'融资租赁与资金缺口'!$I$16))))))</x:f>
        <x:v>0</x:v>
      </x:c>
      <x:c r="BT48" s="28" t="n">
        <x:f>SUM(IF(BT$46&lt;'融资租赁与资金缺口'!$F$5,0,IF(BT$46='融资租赁与资金缺口'!$F$5,'融资租赁与资金缺口'!$E$5,IF(((YEAR(BT$46)-YEAR('融资租赁与资金缺口'!$F$5))*12+MONTH(BT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T$46)-YEAR('融资租赁与资金缺口'!$F$5))*12+MONTH(BT$46)-MONTH('融资租赁与资金缺口'!$F$5)),'融资租赁与资金缺口'!$E$5*(1+'融资租赁与资金缺口'!$I$5)^((YEAR(BT$46)-YEAR('融资租赁与资金缺口'!$F$5))*12+MONTH(BT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T$46)-YEAR('融资租赁与资金缺口'!$F$5))*12+MONTH(BT$46)-MONTH('融资租赁与资金缺口'!$F$5))-1)/'融资租赁与资金缺口'!$I$5))))),IF(BT$46&lt;'融资租赁与资金缺口'!$F$6,0,IF(BT$46='融资租赁与资金缺口'!$F$6,'融资租赁与资金缺口'!$E$6,IF(((YEAR(BT$46)-YEAR('融资租赁与资金缺口'!$F$6))*12+MONTH(BT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T$46)-YEAR('融资租赁与资金缺口'!$F$6))*12+MONTH(BT$46)-MONTH('融资租赁与资金缺口'!$F$6)),'融资租赁与资金缺口'!$E$6*(1+'融资租赁与资金缺口'!$I$6)^((YEAR(BT$46)-YEAR('融资租赁与资金缺口'!$F$6))*12+MONTH(BT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T$46)-YEAR('融资租赁与资金缺口'!$F$6))*12+MONTH(BT$46)-MONTH('融资租赁与资金缺口'!$F$6))-1)/'融资租赁与资金缺口'!$I$6))))),IF(BT$46&lt;'融资租赁与资金缺口'!$F$7,0,IF(BT$46='融资租赁与资金缺口'!$F$7,'融资租赁与资金缺口'!$E$7,IF(((YEAR(BT$46)-YEAR('融资租赁与资金缺口'!$F$7))*12+MONTH(BT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T$46)-YEAR('融资租赁与资金缺口'!$F$7))*12+MONTH(BT$46)-MONTH('融资租赁与资金缺口'!$F$7)),'融资租赁与资金缺口'!$E$7*(1+'融资租赁与资金缺口'!$I$7)^((YEAR(BT$46)-YEAR('融资租赁与资金缺口'!$F$7))*12+MONTH(BT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T$46)-YEAR('融资租赁与资金缺口'!$F$7))*12+MONTH(BT$46)-MONTH('融资租赁与资金缺口'!$F$7))-1)/'融资租赁与资金缺口'!$I$7))))),IF(BT$46&lt;'融资租赁与资金缺口'!$F$8,0,IF(BT$46='融资租赁与资金缺口'!$F$8,'融资租赁与资金缺口'!$E$8,IF(((YEAR(BT$46)-YEAR('融资租赁与资金缺口'!$F$8))*12+MONTH(BT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T$46)-YEAR('融资租赁与资金缺口'!$F$8))*12+MONTH(BT$46)-MONTH('融资租赁与资金缺口'!$F$8)),'融资租赁与资金缺口'!$E$8*(1+'融资租赁与资金缺口'!$I$8)^((YEAR(BT$46)-YEAR('融资租赁与资金缺口'!$F$8))*12+MONTH(BT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T$46)-YEAR('融资租赁与资金缺口'!$F$8))*12+MONTH(BT$46)-MONTH('融资租赁与资金缺口'!$F$8))-1)/'融资租赁与资金缺口'!$I$8))))),IF(BT$46&lt;'融资租赁与资金缺口'!$F$9,0,IF(BT$46='融资租赁与资金缺口'!$F$9,'融资租赁与资金缺口'!$E$9,IF(((YEAR(BT$46)-YEAR('融资租赁与资金缺口'!$F$9))*12+MONTH(BT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T$46)-YEAR('融资租赁与资金缺口'!$F$9))*12+MONTH(BT$46)-MONTH('融资租赁与资金缺口'!$F$9)),'融资租赁与资金缺口'!$E$9*(1+'融资租赁与资金缺口'!$I$9)^((YEAR(BT$46)-YEAR('融资租赁与资金缺口'!$F$9))*12+MONTH(BT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T$46)-YEAR('融资租赁与资金缺口'!$F$9))*12+MONTH(BT$46)-MONTH('融资租赁与资金缺口'!$F$9))-1)/'融资租赁与资金缺口'!$I$9))))),IF(BT$46&lt;'融资租赁与资金缺口'!$F$10,0,IF(BT$46='融资租赁与资金缺口'!$F$10,'融资租赁与资金缺口'!$E$10,IF(((YEAR(BT$46)-YEAR('融资租赁与资金缺口'!$F$10))*12+MONTH(BT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T$46)-YEAR('融资租赁与资金缺口'!$F$10))*12+MONTH(BT$46)-MONTH('融资租赁与资金缺口'!$F$10)),'融资租赁与资金缺口'!$E$10*(1+'融资租赁与资金缺口'!$I$10)^((YEAR(BT$46)-YEAR('融资租赁与资金缺口'!$F$10))*12+MONTH(BT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T$46)-YEAR('融资租赁与资金缺口'!$F$10))*12+MONTH(BT$46)-MONTH('融资租赁与资金缺口'!$F$10))-1)/'融资租赁与资金缺口'!$I$10))))),IF(BT$46&lt;'融资租赁与资金缺口'!$F$11,0,IF(BT$46='融资租赁与资金缺口'!$F$11,'融资租赁与资金缺口'!$E$11,IF(((YEAR(BT$46)-YEAR('融资租赁与资金缺口'!$F$11))*12+MONTH(BT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T$46)-YEAR('融资租赁与资金缺口'!$F$11))*12+MONTH(BT$46)-MONTH('融资租赁与资金缺口'!$F$11)),'融资租赁与资金缺口'!$E$11*(1+'融资租赁与资金缺口'!$I$11)^((YEAR(BT$46)-YEAR('融资租赁与资金缺口'!$F$11))*12+MONTH(BT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T$46)-YEAR('融资租赁与资金缺口'!$F$11))*12+MONTH(BT$46)-MONTH('融资租赁与资金缺口'!$F$11))-1)/'融资租赁与资金缺口'!$I$11))))),IF(BT$46&lt;'融资租赁与资金缺口'!$F$12,0,IF(BT$46='融资租赁与资金缺口'!$F$12,'融资租赁与资金缺口'!$E$12,IF(((YEAR(BT$46)-YEAR('融资租赁与资金缺口'!$F$12))*12+MONTH(BT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T$46)-YEAR('融资租赁与资金缺口'!$F$12))*12+MONTH(BT$46)-MONTH('融资租赁与资金缺口'!$F$12)),'融资租赁与资金缺口'!$E$12*(1+'融资租赁与资金缺口'!$I$12)^((YEAR(BT$46)-YEAR('融资租赁与资金缺口'!$F$12))*12+MONTH(BT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T$46)-YEAR('融资租赁与资金缺口'!$F$12))*12+MONTH(BT$46)-MONTH('融资租赁与资金缺口'!$F$12))-1)/'融资租赁与资金缺口'!$I$12))))),IF(BT$46&lt;'融资租赁与资金缺口'!$F$13,0,IF(BT$46='融资租赁与资金缺口'!$F$13,'融资租赁与资金缺口'!$E$13,IF(((YEAR(BT$46)-YEAR('融资租赁与资金缺口'!$F$13))*12+MONTH(BT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T$46)-YEAR('融资租赁与资金缺口'!$F$13))*12+MONTH(BT$46)-MONTH('融资租赁与资金缺口'!$F$13)),'融资租赁与资金缺口'!$E$13*(1+'融资租赁与资金缺口'!$I$13)^((YEAR(BT$46)-YEAR('融资租赁与资金缺口'!$F$13))*12+MONTH(BT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T$46)-YEAR('融资租赁与资金缺口'!$F$13))*12+MONTH(BT$46)-MONTH('融资租赁与资金缺口'!$F$13))-1)/'融资租赁与资金缺口'!$I$13))))),IF(BT$46&lt;'融资租赁与资金缺口'!$F$14,0,IF(BT$46='融资租赁与资金缺口'!$F$14,'融资租赁与资金缺口'!$E$14,IF(((YEAR(BT$46)-YEAR('融资租赁与资金缺口'!$F$14))*12+MONTH(BT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T$46)-YEAR('融资租赁与资金缺口'!$F$14))*12+MONTH(BT$46)-MONTH('融资租赁与资金缺口'!$F$14)),'融资租赁与资金缺口'!$E$14*(1+'融资租赁与资金缺口'!$I$14)^((YEAR(BT$46)-YEAR('融资租赁与资金缺口'!$F$14))*12+MONTH(BT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T$46)-YEAR('融资租赁与资金缺口'!$F$14))*12+MONTH(BT$46)-MONTH('融资租赁与资金缺口'!$F$14))-1)/'融资租赁与资金缺口'!$I$14))))),IF(BT$46&lt;'融资租赁与资金缺口'!$F$15,0,IF(BT$46='融资租赁与资金缺口'!$F$15,'融资租赁与资金缺口'!$E$15,IF(((YEAR(BT$46)-YEAR('融资租赁与资金缺口'!$F$15))*12+MONTH(BT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T$46)-YEAR('融资租赁与资金缺口'!$F$15))*12+MONTH(BT$46)-MONTH('融资租赁与资金缺口'!$F$15)),'融资租赁与资金缺口'!$E$15*(1+'融资租赁与资金缺口'!$I$15)^((YEAR(BT$46)-YEAR('融资租赁与资金缺口'!$F$15))*12+MONTH(BT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T$46)-YEAR('融资租赁与资金缺口'!$F$15))*12+MONTH(BT$46)-MONTH('融资租赁与资金缺口'!$F$15))-1)/'融资租赁与资金缺口'!$I$15))))),IF(BT$46&lt;'融资租赁与资金缺口'!$F$16,0,IF(BT$46='融资租赁与资金缺口'!$F$16,'融资租赁与资金缺口'!$E$16,IF(((YEAR(BT$46)-YEAR('融资租赁与资金缺口'!$F$16))*12+MONTH(BT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T$46)-YEAR('融资租赁与资金缺口'!$F$16))*12+MONTH(BT$46)-MONTH('融资租赁与资金缺口'!$F$16)),'融资租赁与资金缺口'!$E$16*(1+'融资租赁与资金缺口'!$I$16)^((YEAR(BT$46)-YEAR('融资租赁与资金缺口'!$F$16))*12+MONTH(BT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T$46)-YEAR('融资租赁与资金缺口'!$F$16))*12+MONTH(BT$46)-MONTH('融资租赁与资金缺口'!$F$16))-1)/'融资租赁与资金缺口'!$I$16))))))</x:f>
        <x:v>0</x:v>
      </x:c>
      <x:c r="BU48" s="28" t="n">
        <x:f>SUM(IF(BU$46&lt;'融资租赁与资金缺口'!$F$5,0,IF(BU$46='融资租赁与资金缺口'!$F$5,'融资租赁与资金缺口'!$E$5,IF(((YEAR(BU$46)-YEAR('融资租赁与资金缺口'!$F$5))*12+MONTH(BU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U$46)-YEAR('融资租赁与资金缺口'!$F$5))*12+MONTH(BU$46)-MONTH('融资租赁与资金缺口'!$F$5)),'融资租赁与资金缺口'!$E$5*(1+'融资租赁与资金缺口'!$I$5)^((YEAR(BU$46)-YEAR('融资租赁与资金缺口'!$F$5))*12+MONTH(BU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U$46)-YEAR('融资租赁与资金缺口'!$F$5))*12+MONTH(BU$46)-MONTH('融资租赁与资金缺口'!$F$5))-1)/'融资租赁与资金缺口'!$I$5))))),IF(BU$46&lt;'融资租赁与资金缺口'!$F$6,0,IF(BU$46='融资租赁与资金缺口'!$F$6,'融资租赁与资金缺口'!$E$6,IF(((YEAR(BU$46)-YEAR('融资租赁与资金缺口'!$F$6))*12+MONTH(BU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U$46)-YEAR('融资租赁与资金缺口'!$F$6))*12+MONTH(BU$46)-MONTH('融资租赁与资金缺口'!$F$6)),'融资租赁与资金缺口'!$E$6*(1+'融资租赁与资金缺口'!$I$6)^((YEAR(BU$46)-YEAR('融资租赁与资金缺口'!$F$6))*12+MONTH(BU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U$46)-YEAR('融资租赁与资金缺口'!$F$6))*12+MONTH(BU$46)-MONTH('融资租赁与资金缺口'!$F$6))-1)/'融资租赁与资金缺口'!$I$6))))),IF(BU$46&lt;'融资租赁与资金缺口'!$F$7,0,IF(BU$46='融资租赁与资金缺口'!$F$7,'融资租赁与资金缺口'!$E$7,IF(((YEAR(BU$46)-YEAR('融资租赁与资金缺口'!$F$7))*12+MONTH(BU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U$46)-YEAR('融资租赁与资金缺口'!$F$7))*12+MONTH(BU$46)-MONTH('融资租赁与资金缺口'!$F$7)),'融资租赁与资金缺口'!$E$7*(1+'融资租赁与资金缺口'!$I$7)^((YEAR(BU$46)-YEAR('融资租赁与资金缺口'!$F$7))*12+MONTH(BU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U$46)-YEAR('融资租赁与资金缺口'!$F$7))*12+MONTH(BU$46)-MONTH('融资租赁与资金缺口'!$F$7))-1)/'融资租赁与资金缺口'!$I$7))))),IF(BU$46&lt;'融资租赁与资金缺口'!$F$8,0,IF(BU$46='融资租赁与资金缺口'!$F$8,'融资租赁与资金缺口'!$E$8,IF(((YEAR(BU$46)-YEAR('融资租赁与资金缺口'!$F$8))*12+MONTH(BU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U$46)-YEAR('融资租赁与资金缺口'!$F$8))*12+MONTH(BU$46)-MONTH('融资租赁与资金缺口'!$F$8)),'融资租赁与资金缺口'!$E$8*(1+'融资租赁与资金缺口'!$I$8)^((YEAR(BU$46)-YEAR('融资租赁与资金缺口'!$F$8))*12+MONTH(BU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U$46)-YEAR('融资租赁与资金缺口'!$F$8))*12+MONTH(BU$46)-MONTH('融资租赁与资金缺口'!$F$8))-1)/'融资租赁与资金缺口'!$I$8))))),IF(BU$46&lt;'融资租赁与资金缺口'!$F$9,0,IF(BU$46='融资租赁与资金缺口'!$F$9,'融资租赁与资金缺口'!$E$9,IF(((YEAR(BU$46)-YEAR('融资租赁与资金缺口'!$F$9))*12+MONTH(BU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U$46)-YEAR('融资租赁与资金缺口'!$F$9))*12+MONTH(BU$46)-MONTH('融资租赁与资金缺口'!$F$9)),'融资租赁与资金缺口'!$E$9*(1+'融资租赁与资金缺口'!$I$9)^((YEAR(BU$46)-YEAR('融资租赁与资金缺口'!$F$9))*12+MONTH(BU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U$46)-YEAR('融资租赁与资金缺口'!$F$9))*12+MONTH(BU$46)-MONTH('融资租赁与资金缺口'!$F$9))-1)/'融资租赁与资金缺口'!$I$9))))),IF(BU$46&lt;'融资租赁与资金缺口'!$F$10,0,IF(BU$46='融资租赁与资金缺口'!$F$10,'融资租赁与资金缺口'!$E$10,IF(((YEAR(BU$46)-YEAR('融资租赁与资金缺口'!$F$10))*12+MONTH(BU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U$46)-YEAR('融资租赁与资金缺口'!$F$10))*12+MONTH(BU$46)-MONTH('融资租赁与资金缺口'!$F$10)),'融资租赁与资金缺口'!$E$10*(1+'融资租赁与资金缺口'!$I$10)^((YEAR(BU$46)-YEAR('融资租赁与资金缺口'!$F$10))*12+MONTH(BU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U$46)-YEAR('融资租赁与资金缺口'!$F$10))*12+MONTH(BU$46)-MONTH('融资租赁与资金缺口'!$F$10))-1)/'融资租赁与资金缺口'!$I$10))))),IF(BU$46&lt;'融资租赁与资金缺口'!$F$11,0,IF(BU$46='融资租赁与资金缺口'!$F$11,'融资租赁与资金缺口'!$E$11,IF(((YEAR(BU$46)-YEAR('融资租赁与资金缺口'!$F$11))*12+MONTH(BU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U$46)-YEAR('融资租赁与资金缺口'!$F$11))*12+MONTH(BU$46)-MONTH('融资租赁与资金缺口'!$F$11)),'融资租赁与资金缺口'!$E$11*(1+'融资租赁与资金缺口'!$I$11)^((YEAR(BU$46)-YEAR('融资租赁与资金缺口'!$F$11))*12+MONTH(BU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U$46)-YEAR('融资租赁与资金缺口'!$F$11))*12+MONTH(BU$46)-MONTH('融资租赁与资金缺口'!$F$11))-1)/'融资租赁与资金缺口'!$I$11))))),IF(BU$46&lt;'融资租赁与资金缺口'!$F$12,0,IF(BU$46='融资租赁与资金缺口'!$F$12,'融资租赁与资金缺口'!$E$12,IF(((YEAR(BU$46)-YEAR('融资租赁与资金缺口'!$F$12))*12+MONTH(BU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U$46)-YEAR('融资租赁与资金缺口'!$F$12))*12+MONTH(BU$46)-MONTH('融资租赁与资金缺口'!$F$12)),'融资租赁与资金缺口'!$E$12*(1+'融资租赁与资金缺口'!$I$12)^((YEAR(BU$46)-YEAR('融资租赁与资金缺口'!$F$12))*12+MONTH(BU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U$46)-YEAR('融资租赁与资金缺口'!$F$12))*12+MONTH(BU$46)-MONTH('融资租赁与资金缺口'!$F$12))-1)/'融资租赁与资金缺口'!$I$12))))),IF(BU$46&lt;'融资租赁与资金缺口'!$F$13,0,IF(BU$46='融资租赁与资金缺口'!$F$13,'融资租赁与资金缺口'!$E$13,IF(((YEAR(BU$46)-YEAR('融资租赁与资金缺口'!$F$13))*12+MONTH(BU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U$46)-YEAR('融资租赁与资金缺口'!$F$13))*12+MONTH(BU$46)-MONTH('融资租赁与资金缺口'!$F$13)),'融资租赁与资金缺口'!$E$13*(1+'融资租赁与资金缺口'!$I$13)^((YEAR(BU$46)-YEAR('融资租赁与资金缺口'!$F$13))*12+MONTH(BU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U$46)-YEAR('融资租赁与资金缺口'!$F$13))*12+MONTH(BU$46)-MONTH('融资租赁与资金缺口'!$F$13))-1)/'融资租赁与资金缺口'!$I$13))))),IF(BU$46&lt;'融资租赁与资金缺口'!$F$14,0,IF(BU$46='融资租赁与资金缺口'!$F$14,'融资租赁与资金缺口'!$E$14,IF(((YEAR(BU$46)-YEAR('融资租赁与资金缺口'!$F$14))*12+MONTH(BU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U$46)-YEAR('融资租赁与资金缺口'!$F$14))*12+MONTH(BU$46)-MONTH('融资租赁与资金缺口'!$F$14)),'融资租赁与资金缺口'!$E$14*(1+'融资租赁与资金缺口'!$I$14)^((YEAR(BU$46)-YEAR('融资租赁与资金缺口'!$F$14))*12+MONTH(BU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U$46)-YEAR('融资租赁与资金缺口'!$F$14))*12+MONTH(BU$46)-MONTH('融资租赁与资金缺口'!$F$14))-1)/'融资租赁与资金缺口'!$I$14))))),IF(BU$46&lt;'融资租赁与资金缺口'!$F$15,0,IF(BU$46='融资租赁与资金缺口'!$F$15,'融资租赁与资金缺口'!$E$15,IF(((YEAR(BU$46)-YEAR('融资租赁与资金缺口'!$F$15))*12+MONTH(BU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U$46)-YEAR('融资租赁与资金缺口'!$F$15))*12+MONTH(BU$46)-MONTH('融资租赁与资金缺口'!$F$15)),'融资租赁与资金缺口'!$E$15*(1+'融资租赁与资金缺口'!$I$15)^((YEAR(BU$46)-YEAR('融资租赁与资金缺口'!$F$15))*12+MONTH(BU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U$46)-YEAR('融资租赁与资金缺口'!$F$15))*12+MONTH(BU$46)-MONTH('融资租赁与资金缺口'!$F$15))-1)/'融资租赁与资金缺口'!$I$15))))),IF(BU$46&lt;'融资租赁与资金缺口'!$F$16,0,IF(BU$46='融资租赁与资金缺口'!$F$16,'融资租赁与资金缺口'!$E$16,IF(((YEAR(BU$46)-YEAR('融资租赁与资金缺口'!$F$16))*12+MONTH(BU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U$46)-YEAR('融资租赁与资金缺口'!$F$16))*12+MONTH(BU$46)-MONTH('融资租赁与资金缺口'!$F$16)),'融资租赁与资金缺口'!$E$16*(1+'融资租赁与资金缺口'!$I$16)^((YEAR(BU$46)-YEAR('融资租赁与资金缺口'!$F$16))*12+MONTH(BU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U$46)-YEAR('融资租赁与资金缺口'!$F$16))*12+MONTH(BU$46)-MONTH('融资租赁与资金缺口'!$F$16))-1)/'融资租赁与资金缺口'!$I$16))))))</x:f>
        <x:v>0</x:v>
      </x:c>
      <x:c r="BV48" s="28" t="n">
        <x:f>SUM(IF(BV$46&lt;'融资租赁与资金缺口'!$F$5,0,IF(BV$46='融资租赁与资金缺口'!$F$5,'融资租赁与资金缺口'!$E$5,IF(((YEAR(BV$46)-YEAR('融资租赁与资金缺口'!$F$5))*12+MONTH(BV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V$46)-YEAR('融资租赁与资金缺口'!$F$5))*12+MONTH(BV$46)-MONTH('融资租赁与资金缺口'!$F$5)),'融资租赁与资金缺口'!$E$5*(1+'融资租赁与资金缺口'!$I$5)^((YEAR(BV$46)-YEAR('融资租赁与资金缺口'!$F$5))*12+MONTH(BV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V$46)-YEAR('融资租赁与资金缺口'!$F$5))*12+MONTH(BV$46)-MONTH('融资租赁与资金缺口'!$F$5))-1)/'融资租赁与资金缺口'!$I$5))))),IF(BV$46&lt;'融资租赁与资金缺口'!$F$6,0,IF(BV$46='融资租赁与资金缺口'!$F$6,'融资租赁与资金缺口'!$E$6,IF(((YEAR(BV$46)-YEAR('融资租赁与资金缺口'!$F$6))*12+MONTH(BV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V$46)-YEAR('融资租赁与资金缺口'!$F$6))*12+MONTH(BV$46)-MONTH('融资租赁与资金缺口'!$F$6)),'融资租赁与资金缺口'!$E$6*(1+'融资租赁与资金缺口'!$I$6)^((YEAR(BV$46)-YEAR('融资租赁与资金缺口'!$F$6))*12+MONTH(BV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V$46)-YEAR('融资租赁与资金缺口'!$F$6))*12+MONTH(BV$46)-MONTH('融资租赁与资金缺口'!$F$6))-1)/'融资租赁与资金缺口'!$I$6))))),IF(BV$46&lt;'融资租赁与资金缺口'!$F$7,0,IF(BV$46='融资租赁与资金缺口'!$F$7,'融资租赁与资金缺口'!$E$7,IF(((YEAR(BV$46)-YEAR('融资租赁与资金缺口'!$F$7))*12+MONTH(BV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V$46)-YEAR('融资租赁与资金缺口'!$F$7))*12+MONTH(BV$46)-MONTH('融资租赁与资金缺口'!$F$7)),'融资租赁与资金缺口'!$E$7*(1+'融资租赁与资金缺口'!$I$7)^((YEAR(BV$46)-YEAR('融资租赁与资金缺口'!$F$7))*12+MONTH(BV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V$46)-YEAR('融资租赁与资金缺口'!$F$7))*12+MONTH(BV$46)-MONTH('融资租赁与资金缺口'!$F$7))-1)/'融资租赁与资金缺口'!$I$7))))),IF(BV$46&lt;'融资租赁与资金缺口'!$F$8,0,IF(BV$46='融资租赁与资金缺口'!$F$8,'融资租赁与资金缺口'!$E$8,IF(((YEAR(BV$46)-YEAR('融资租赁与资金缺口'!$F$8))*12+MONTH(BV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V$46)-YEAR('融资租赁与资金缺口'!$F$8))*12+MONTH(BV$46)-MONTH('融资租赁与资金缺口'!$F$8)),'融资租赁与资金缺口'!$E$8*(1+'融资租赁与资金缺口'!$I$8)^((YEAR(BV$46)-YEAR('融资租赁与资金缺口'!$F$8))*12+MONTH(BV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V$46)-YEAR('融资租赁与资金缺口'!$F$8))*12+MONTH(BV$46)-MONTH('融资租赁与资金缺口'!$F$8))-1)/'融资租赁与资金缺口'!$I$8))))),IF(BV$46&lt;'融资租赁与资金缺口'!$F$9,0,IF(BV$46='融资租赁与资金缺口'!$F$9,'融资租赁与资金缺口'!$E$9,IF(((YEAR(BV$46)-YEAR('融资租赁与资金缺口'!$F$9))*12+MONTH(BV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V$46)-YEAR('融资租赁与资金缺口'!$F$9))*12+MONTH(BV$46)-MONTH('融资租赁与资金缺口'!$F$9)),'融资租赁与资金缺口'!$E$9*(1+'融资租赁与资金缺口'!$I$9)^((YEAR(BV$46)-YEAR('融资租赁与资金缺口'!$F$9))*12+MONTH(BV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V$46)-YEAR('融资租赁与资金缺口'!$F$9))*12+MONTH(BV$46)-MONTH('融资租赁与资金缺口'!$F$9))-1)/'融资租赁与资金缺口'!$I$9))))),IF(BV$46&lt;'融资租赁与资金缺口'!$F$10,0,IF(BV$46='融资租赁与资金缺口'!$F$10,'融资租赁与资金缺口'!$E$10,IF(((YEAR(BV$46)-YEAR('融资租赁与资金缺口'!$F$10))*12+MONTH(BV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V$46)-YEAR('融资租赁与资金缺口'!$F$10))*12+MONTH(BV$46)-MONTH('融资租赁与资金缺口'!$F$10)),'融资租赁与资金缺口'!$E$10*(1+'融资租赁与资金缺口'!$I$10)^((YEAR(BV$46)-YEAR('融资租赁与资金缺口'!$F$10))*12+MONTH(BV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V$46)-YEAR('融资租赁与资金缺口'!$F$10))*12+MONTH(BV$46)-MONTH('融资租赁与资金缺口'!$F$10))-1)/'融资租赁与资金缺口'!$I$10))))),IF(BV$46&lt;'融资租赁与资金缺口'!$F$11,0,IF(BV$46='融资租赁与资金缺口'!$F$11,'融资租赁与资金缺口'!$E$11,IF(((YEAR(BV$46)-YEAR('融资租赁与资金缺口'!$F$11))*12+MONTH(BV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V$46)-YEAR('融资租赁与资金缺口'!$F$11))*12+MONTH(BV$46)-MONTH('融资租赁与资金缺口'!$F$11)),'融资租赁与资金缺口'!$E$11*(1+'融资租赁与资金缺口'!$I$11)^((YEAR(BV$46)-YEAR('融资租赁与资金缺口'!$F$11))*12+MONTH(BV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V$46)-YEAR('融资租赁与资金缺口'!$F$11))*12+MONTH(BV$46)-MONTH('融资租赁与资金缺口'!$F$11))-1)/'融资租赁与资金缺口'!$I$11))))),IF(BV$46&lt;'融资租赁与资金缺口'!$F$12,0,IF(BV$46='融资租赁与资金缺口'!$F$12,'融资租赁与资金缺口'!$E$12,IF(((YEAR(BV$46)-YEAR('融资租赁与资金缺口'!$F$12))*12+MONTH(BV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V$46)-YEAR('融资租赁与资金缺口'!$F$12))*12+MONTH(BV$46)-MONTH('融资租赁与资金缺口'!$F$12)),'融资租赁与资金缺口'!$E$12*(1+'融资租赁与资金缺口'!$I$12)^((YEAR(BV$46)-YEAR('融资租赁与资金缺口'!$F$12))*12+MONTH(BV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V$46)-YEAR('融资租赁与资金缺口'!$F$12))*12+MONTH(BV$46)-MONTH('融资租赁与资金缺口'!$F$12))-1)/'融资租赁与资金缺口'!$I$12))))),IF(BV$46&lt;'融资租赁与资金缺口'!$F$13,0,IF(BV$46='融资租赁与资金缺口'!$F$13,'融资租赁与资金缺口'!$E$13,IF(((YEAR(BV$46)-YEAR('融资租赁与资金缺口'!$F$13))*12+MONTH(BV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V$46)-YEAR('融资租赁与资金缺口'!$F$13))*12+MONTH(BV$46)-MONTH('融资租赁与资金缺口'!$F$13)),'融资租赁与资金缺口'!$E$13*(1+'融资租赁与资金缺口'!$I$13)^((YEAR(BV$46)-YEAR('融资租赁与资金缺口'!$F$13))*12+MONTH(BV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V$46)-YEAR('融资租赁与资金缺口'!$F$13))*12+MONTH(BV$46)-MONTH('融资租赁与资金缺口'!$F$13))-1)/'融资租赁与资金缺口'!$I$13))))),IF(BV$46&lt;'融资租赁与资金缺口'!$F$14,0,IF(BV$46='融资租赁与资金缺口'!$F$14,'融资租赁与资金缺口'!$E$14,IF(((YEAR(BV$46)-YEAR('融资租赁与资金缺口'!$F$14))*12+MONTH(BV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V$46)-YEAR('融资租赁与资金缺口'!$F$14))*12+MONTH(BV$46)-MONTH('融资租赁与资金缺口'!$F$14)),'融资租赁与资金缺口'!$E$14*(1+'融资租赁与资金缺口'!$I$14)^((YEAR(BV$46)-YEAR('融资租赁与资金缺口'!$F$14))*12+MONTH(BV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V$46)-YEAR('融资租赁与资金缺口'!$F$14))*12+MONTH(BV$46)-MONTH('融资租赁与资金缺口'!$F$14))-1)/'融资租赁与资金缺口'!$I$14))))),IF(BV$46&lt;'融资租赁与资金缺口'!$F$15,0,IF(BV$46='融资租赁与资金缺口'!$F$15,'融资租赁与资金缺口'!$E$15,IF(((YEAR(BV$46)-YEAR('融资租赁与资金缺口'!$F$15))*12+MONTH(BV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V$46)-YEAR('融资租赁与资金缺口'!$F$15))*12+MONTH(BV$46)-MONTH('融资租赁与资金缺口'!$F$15)),'融资租赁与资金缺口'!$E$15*(1+'融资租赁与资金缺口'!$I$15)^((YEAR(BV$46)-YEAR('融资租赁与资金缺口'!$F$15))*12+MONTH(BV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V$46)-YEAR('融资租赁与资金缺口'!$F$15))*12+MONTH(BV$46)-MONTH('融资租赁与资金缺口'!$F$15))-1)/'融资租赁与资金缺口'!$I$15))))),IF(BV$46&lt;'融资租赁与资金缺口'!$F$16,0,IF(BV$46='融资租赁与资金缺口'!$F$16,'融资租赁与资金缺口'!$E$16,IF(((YEAR(BV$46)-YEAR('融资租赁与资金缺口'!$F$16))*12+MONTH(BV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V$46)-YEAR('融资租赁与资金缺口'!$F$16))*12+MONTH(BV$46)-MONTH('融资租赁与资金缺口'!$F$16)),'融资租赁与资金缺口'!$E$16*(1+'融资租赁与资金缺口'!$I$16)^((YEAR(BV$46)-YEAR('融资租赁与资金缺口'!$F$16))*12+MONTH(BV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V$46)-YEAR('融资租赁与资金缺口'!$F$16))*12+MONTH(BV$46)-MONTH('融资租赁与资金缺口'!$F$16))-1)/'融资租赁与资金缺口'!$I$16))))))</x:f>
        <x:v>0</x:v>
      </x:c>
      <x:c r="BW48" s="28" t="n">
        <x:f>SUM(IF(BW$46&lt;'融资租赁与资金缺口'!$F$5,0,IF(BW$46='融资租赁与资金缺口'!$F$5,'融资租赁与资金缺口'!$E$5,IF(((YEAR(BW$46)-YEAR('融资租赁与资金缺口'!$F$5))*12+MONTH(BW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W$46)-YEAR('融资租赁与资金缺口'!$F$5))*12+MONTH(BW$46)-MONTH('融资租赁与资金缺口'!$F$5)),'融资租赁与资金缺口'!$E$5*(1+'融资租赁与资金缺口'!$I$5)^((YEAR(BW$46)-YEAR('融资租赁与资金缺口'!$F$5))*12+MONTH(BW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W$46)-YEAR('融资租赁与资金缺口'!$F$5))*12+MONTH(BW$46)-MONTH('融资租赁与资金缺口'!$F$5))-1)/'融资租赁与资金缺口'!$I$5))))),IF(BW$46&lt;'融资租赁与资金缺口'!$F$6,0,IF(BW$46='融资租赁与资金缺口'!$F$6,'融资租赁与资金缺口'!$E$6,IF(((YEAR(BW$46)-YEAR('融资租赁与资金缺口'!$F$6))*12+MONTH(BW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W$46)-YEAR('融资租赁与资金缺口'!$F$6))*12+MONTH(BW$46)-MONTH('融资租赁与资金缺口'!$F$6)),'融资租赁与资金缺口'!$E$6*(1+'融资租赁与资金缺口'!$I$6)^((YEAR(BW$46)-YEAR('融资租赁与资金缺口'!$F$6))*12+MONTH(BW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W$46)-YEAR('融资租赁与资金缺口'!$F$6))*12+MONTH(BW$46)-MONTH('融资租赁与资金缺口'!$F$6))-1)/'融资租赁与资金缺口'!$I$6))))),IF(BW$46&lt;'融资租赁与资金缺口'!$F$7,0,IF(BW$46='融资租赁与资金缺口'!$F$7,'融资租赁与资金缺口'!$E$7,IF(((YEAR(BW$46)-YEAR('融资租赁与资金缺口'!$F$7))*12+MONTH(BW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W$46)-YEAR('融资租赁与资金缺口'!$F$7))*12+MONTH(BW$46)-MONTH('融资租赁与资金缺口'!$F$7)),'融资租赁与资金缺口'!$E$7*(1+'融资租赁与资金缺口'!$I$7)^((YEAR(BW$46)-YEAR('融资租赁与资金缺口'!$F$7))*12+MONTH(BW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W$46)-YEAR('融资租赁与资金缺口'!$F$7))*12+MONTH(BW$46)-MONTH('融资租赁与资金缺口'!$F$7))-1)/'融资租赁与资金缺口'!$I$7))))),IF(BW$46&lt;'融资租赁与资金缺口'!$F$8,0,IF(BW$46='融资租赁与资金缺口'!$F$8,'融资租赁与资金缺口'!$E$8,IF(((YEAR(BW$46)-YEAR('融资租赁与资金缺口'!$F$8))*12+MONTH(BW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W$46)-YEAR('融资租赁与资金缺口'!$F$8))*12+MONTH(BW$46)-MONTH('融资租赁与资金缺口'!$F$8)),'融资租赁与资金缺口'!$E$8*(1+'融资租赁与资金缺口'!$I$8)^((YEAR(BW$46)-YEAR('融资租赁与资金缺口'!$F$8))*12+MONTH(BW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W$46)-YEAR('融资租赁与资金缺口'!$F$8))*12+MONTH(BW$46)-MONTH('融资租赁与资金缺口'!$F$8))-1)/'融资租赁与资金缺口'!$I$8))))),IF(BW$46&lt;'融资租赁与资金缺口'!$F$9,0,IF(BW$46='融资租赁与资金缺口'!$F$9,'融资租赁与资金缺口'!$E$9,IF(((YEAR(BW$46)-YEAR('融资租赁与资金缺口'!$F$9))*12+MONTH(BW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W$46)-YEAR('融资租赁与资金缺口'!$F$9))*12+MONTH(BW$46)-MONTH('融资租赁与资金缺口'!$F$9)),'融资租赁与资金缺口'!$E$9*(1+'融资租赁与资金缺口'!$I$9)^((YEAR(BW$46)-YEAR('融资租赁与资金缺口'!$F$9))*12+MONTH(BW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W$46)-YEAR('融资租赁与资金缺口'!$F$9))*12+MONTH(BW$46)-MONTH('融资租赁与资金缺口'!$F$9))-1)/'融资租赁与资金缺口'!$I$9))))),IF(BW$46&lt;'融资租赁与资金缺口'!$F$10,0,IF(BW$46='融资租赁与资金缺口'!$F$10,'融资租赁与资金缺口'!$E$10,IF(((YEAR(BW$46)-YEAR('融资租赁与资金缺口'!$F$10))*12+MONTH(BW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W$46)-YEAR('融资租赁与资金缺口'!$F$10))*12+MONTH(BW$46)-MONTH('融资租赁与资金缺口'!$F$10)),'融资租赁与资金缺口'!$E$10*(1+'融资租赁与资金缺口'!$I$10)^((YEAR(BW$46)-YEAR('融资租赁与资金缺口'!$F$10))*12+MONTH(BW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W$46)-YEAR('融资租赁与资金缺口'!$F$10))*12+MONTH(BW$46)-MONTH('融资租赁与资金缺口'!$F$10))-1)/'融资租赁与资金缺口'!$I$10))))),IF(BW$46&lt;'融资租赁与资金缺口'!$F$11,0,IF(BW$46='融资租赁与资金缺口'!$F$11,'融资租赁与资金缺口'!$E$11,IF(((YEAR(BW$46)-YEAR('融资租赁与资金缺口'!$F$11))*12+MONTH(BW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W$46)-YEAR('融资租赁与资金缺口'!$F$11))*12+MONTH(BW$46)-MONTH('融资租赁与资金缺口'!$F$11)),'融资租赁与资金缺口'!$E$11*(1+'融资租赁与资金缺口'!$I$11)^((YEAR(BW$46)-YEAR('融资租赁与资金缺口'!$F$11))*12+MONTH(BW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W$46)-YEAR('融资租赁与资金缺口'!$F$11))*12+MONTH(BW$46)-MONTH('融资租赁与资金缺口'!$F$11))-1)/'融资租赁与资金缺口'!$I$11))))),IF(BW$46&lt;'融资租赁与资金缺口'!$F$12,0,IF(BW$46='融资租赁与资金缺口'!$F$12,'融资租赁与资金缺口'!$E$12,IF(((YEAR(BW$46)-YEAR('融资租赁与资金缺口'!$F$12))*12+MONTH(BW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W$46)-YEAR('融资租赁与资金缺口'!$F$12))*12+MONTH(BW$46)-MONTH('融资租赁与资金缺口'!$F$12)),'融资租赁与资金缺口'!$E$12*(1+'融资租赁与资金缺口'!$I$12)^((YEAR(BW$46)-YEAR('融资租赁与资金缺口'!$F$12))*12+MONTH(BW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W$46)-YEAR('融资租赁与资金缺口'!$F$12))*12+MONTH(BW$46)-MONTH('融资租赁与资金缺口'!$F$12))-1)/'融资租赁与资金缺口'!$I$12))))),IF(BW$46&lt;'融资租赁与资金缺口'!$F$13,0,IF(BW$46='融资租赁与资金缺口'!$F$13,'融资租赁与资金缺口'!$E$13,IF(((YEAR(BW$46)-YEAR('融资租赁与资金缺口'!$F$13))*12+MONTH(BW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W$46)-YEAR('融资租赁与资金缺口'!$F$13))*12+MONTH(BW$46)-MONTH('融资租赁与资金缺口'!$F$13)),'融资租赁与资金缺口'!$E$13*(1+'融资租赁与资金缺口'!$I$13)^((YEAR(BW$46)-YEAR('融资租赁与资金缺口'!$F$13))*12+MONTH(BW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W$46)-YEAR('融资租赁与资金缺口'!$F$13))*12+MONTH(BW$46)-MONTH('融资租赁与资金缺口'!$F$13))-1)/'融资租赁与资金缺口'!$I$13))))),IF(BW$46&lt;'融资租赁与资金缺口'!$F$14,0,IF(BW$46='融资租赁与资金缺口'!$F$14,'融资租赁与资金缺口'!$E$14,IF(((YEAR(BW$46)-YEAR('融资租赁与资金缺口'!$F$14))*12+MONTH(BW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W$46)-YEAR('融资租赁与资金缺口'!$F$14))*12+MONTH(BW$46)-MONTH('融资租赁与资金缺口'!$F$14)),'融资租赁与资金缺口'!$E$14*(1+'融资租赁与资金缺口'!$I$14)^((YEAR(BW$46)-YEAR('融资租赁与资金缺口'!$F$14))*12+MONTH(BW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W$46)-YEAR('融资租赁与资金缺口'!$F$14))*12+MONTH(BW$46)-MONTH('融资租赁与资金缺口'!$F$14))-1)/'融资租赁与资金缺口'!$I$14))))),IF(BW$46&lt;'融资租赁与资金缺口'!$F$15,0,IF(BW$46='融资租赁与资金缺口'!$F$15,'融资租赁与资金缺口'!$E$15,IF(((YEAR(BW$46)-YEAR('融资租赁与资金缺口'!$F$15))*12+MONTH(BW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W$46)-YEAR('融资租赁与资金缺口'!$F$15))*12+MONTH(BW$46)-MONTH('融资租赁与资金缺口'!$F$15)),'融资租赁与资金缺口'!$E$15*(1+'融资租赁与资金缺口'!$I$15)^((YEAR(BW$46)-YEAR('融资租赁与资金缺口'!$F$15))*12+MONTH(BW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W$46)-YEAR('融资租赁与资金缺口'!$F$15))*12+MONTH(BW$46)-MONTH('融资租赁与资金缺口'!$F$15))-1)/'融资租赁与资金缺口'!$I$15))))),IF(BW$46&lt;'融资租赁与资金缺口'!$F$16,0,IF(BW$46='融资租赁与资金缺口'!$F$16,'融资租赁与资金缺口'!$E$16,IF(((YEAR(BW$46)-YEAR('融资租赁与资金缺口'!$F$16))*12+MONTH(BW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W$46)-YEAR('融资租赁与资金缺口'!$F$16))*12+MONTH(BW$46)-MONTH('融资租赁与资金缺口'!$F$16)),'融资租赁与资金缺口'!$E$16*(1+'融资租赁与资金缺口'!$I$16)^((YEAR(BW$46)-YEAR('融资租赁与资金缺口'!$F$16))*12+MONTH(BW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W$46)-YEAR('融资租赁与资金缺口'!$F$16))*12+MONTH(BW$46)-MONTH('融资租赁与资金缺口'!$F$16))-1)/'融资租赁与资金缺口'!$I$16))))))</x:f>
        <x:v>0</x:v>
      </x:c>
      <x:c r="BX48" s="28" t="n">
        <x:f>SUM(IF(BX$46&lt;'融资租赁与资金缺口'!$F$5,0,IF(BX$46='融资租赁与资金缺口'!$F$5,'融资租赁与资金缺口'!$E$5,IF(((YEAR(BX$46)-YEAR('融资租赁与资金缺口'!$F$5))*12+MONTH(BX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X$46)-YEAR('融资租赁与资金缺口'!$F$5))*12+MONTH(BX$46)-MONTH('融资租赁与资金缺口'!$F$5)),'融资租赁与资金缺口'!$E$5*(1+'融资租赁与资金缺口'!$I$5)^((YEAR(BX$46)-YEAR('融资租赁与资金缺口'!$F$5))*12+MONTH(BX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X$46)-YEAR('融资租赁与资金缺口'!$F$5))*12+MONTH(BX$46)-MONTH('融资租赁与资金缺口'!$F$5))-1)/'融资租赁与资金缺口'!$I$5))))),IF(BX$46&lt;'融资租赁与资金缺口'!$F$6,0,IF(BX$46='融资租赁与资金缺口'!$F$6,'融资租赁与资金缺口'!$E$6,IF(((YEAR(BX$46)-YEAR('融资租赁与资金缺口'!$F$6))*12+MONTH(BX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X$46)-YEAR('融资租赁与资金缺口'!$F$6))*12+MONTH(BX$46)-MONTH('融资租赁与资金缺口'!$F$6)),'融资租赁与资金缺口'!$E$6*(1+'融资租赁与资金缺口'!$I$6)^((YEAR(BX$46)-YEAR('融资租赁与资金缺口'!$F$6))*12+MONTH(BX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X$46)-YEAR('融资租赁与资金缺口'!$F$6))*12+MONTH(BX$46)-MONTH('融资租赁与资金缺口'!$F$6))-1)/'融资租赁与资金缺口'!$I$6))))),IF(BX$46&lt;'融资租赁与资金缺口'!$F$7,0,IF(BX$46='融资租赁与资金缺口'!$F$7,'融资租赁与资金缺口'!$E$7,IF(((YEAR(BX$46)-YEAR('融资租赁与资金缺口'!$F$7))*12+MONTH(BX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X$46)-YEAR('融资租赁与资金缺口'!$F$7))*12+MONTH(BX$46)-MONTH('融资租赁与资金缺口'!$F$7)),'融资租赁与资金缺口'!$E$7*(1+'融资租赁与资金缺口'!$I$7)^((YEAR(BX$46)-YEAR('融资租赁与资金缺口'!$F$7))*12+MONTH(BX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X$46)-YEAR('融资租赁与资金缺口'!$F$7))*12+MONTH(BX$46)-MONTH('融资租赁与资金缺口'!$F$7))-1)/'融资租赁与资金缺口'!$I$7))))),IF(BX$46&lt;'融资租赁与资金缺口'!$F$8,0,IF(BX$46='融资租赁与资金缺口'!$F$8,'融资租赁与资金缺口'!$E$8,IF(((YEAR(BX$46)-YEAR('融资租赁与资金缺口'!$F$8))*12+MONTH(BX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X$46)-YEAR('融资租赁与资金缺口'!$F$8))*12+MONTH(BX$46)-MONTH('融资租赁与资金缺口'!$F$8)),'融资租赁与资金缺口'!$E$8*(1+'融资租赁与资金缺口'!$I$8)^((YEAR(BX$46)-YEAR('融资租赁与资金缺口'!$F$8))*12+MONTH(BX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X$46)-YEAR('融资租赁与资金缺口'!$F$8))*12+MONTH(BX$46)-MONTH('融资租赁与资金缺口'!$F$8))-1)/'融资租赁与资金缺口'!$I$8))))),IF(BX$46&lt;'融资租赁与资金缺口'!$F$9,0,IF(BX$46='融资租赁与资金缺口'!$F$9,'融资租赁与资金缺口'!$E$9,IF(((YEAR(BX$46)-YEAR('融资租赁与资金缺口'!$F$9))*12+MONTH(BX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X$46)-YEAR('融资租赁与资金缺口'!$F$9))*12+MONTH(BX$46)-MONTH('融资租赁与资金缺口'!$F$9)),'融资租赁与资金缺口'!$E$9*(1+'融资租赁与资金缺口'!$I$9)^((YEAR(BX$46)-YEAR('融资租赁与资金缺口'!$F$9))*12+MONTH(BX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X$46)-YEAR('融资租赁与资金缺口'!$F$9))*12+MONTH(BX$46)-MONTH('融资租赁与资金缺口'!$F$9))-1)/'融资租赁与资金缺口'!$I$9))))),IF(BX$46&lt;'融资租赁与资金缺口'!$F$10,0,IF(BX$46='融资租赁与资金缺口'!$F$10,'融资租赁与资金缺口'!$E$10,IF(((YEAR(BX$46)-YEAR('融资租赁与资金缺口'!$F$10))*12+MONTH(BX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X$46)-YEAR('融资租赁与资金缺口'!$F$10))*12+MONTH(BX$46)-MONTH('融资租赁与资金缺口'!$F$10)),'融资租赁与资金缺口'!$E$10*(1+'融资租赁与资金缺口'!$I$10)^((YEAR(BX$46)-YEAR('融资租赁与资金缺口'!$F$10))*12+MONTH(BX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X$46)-YEAR('融资租赁与资金缺口'!$F$10))*12+MONTH(BX$46)-MONTH('融资租赁与资金缺口'!$F$10))-1)/'融资租赁与资金缺口'!$I$10))))),IF(BX$46&lt;'融资租赁与资金缺口'!$F$11,0,IF(BX$46='融资租赁与资金缺口'!$F$11,'融资租赁与资金缺口'!$E$11,IF(((YEAR(BX$46)-YEAR('融资租赁与资金缺口'!$F$11))*12+MONTH(BX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X$46)-YEAR('融资租赁与资金缺口'!$F$11))*12+MONTH(BX$46)-MONTH('融资租赁与资金缺口'!$F$11)),'融资租赁与资金缺口'!$E$11*(1+'融资租赁与资金缺口'!$I$11)^((YEAR(BX$46)-YEAR('融资租赁与资金缺口'!$F$11))*12+MONTH(BX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X$46)-YEAR('融资租赁与资金缺口'!$F$11))*12+MONTH(BX$46)-MONTH('融资租赁与资金缺口'!$F$11))-1)/'融资租赁与资金缺口'!$I$11))))),IF(BX$46&lt;'融资租赁与资金缺口'!$F$12,0,IF(BX$46='融资租赁与资金缺口'!$F$12,'融资租赁与资金缺口'!$E$12,IF(((YEAR(BX$46)-YEAR('融资租赁与资金缺口'!$F$12))*12+MONTH(BX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X$46)-YEAR('融资租赁与资金缺口'!$F$12))*12+MONTH(BX$46)-MONTH('融资租赁与资金缺口'!$F$12)),'融资租赁与资金缺口'!$E$12*(1+'融资租赁与资金缺口'!$I$12)^((YEAR(BX$46)-YEAR('融资租赁与资金缺口'!$F$12))*12+MONTH(BX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X$46)-YEAR('融资租赁与资金缺口'!$F$12))*12+MONTH(BX$46)-MONTH('融资租赁与资金缺口'!$F$12))-1)/'融资租赁与资金缺口'!$I$12))))),IF(BX$46&lt;'融资租赁与资金缺口'!$F$13,0,IF(BX$46='融资租赁与资金缺口'!$F$13,'融资租赁与资金缺口'!$E$13,IF(((YEAR(BX$46)-YEAR('融资租赁与资金缺口'!$F$13))*12+MONTH(BX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X$46)-YEAR('融资租赁与资金缺口'!$F$13))*12+MONTH(BX$46)-MONTH('融资租赁与资金缺口'!$F$13)),'融资租赁与资金缺口'!$E$13*(1+'融资租赁与资金缺口'!$I$13)^((YEAR(BX$46)-YEAR('融资租赁与资金缺口'!$F$13))*12+MONTH(BX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X$46)-YEAR('融资租赁与资金缺口'!$F$13))*12+MONTH(BX$46)-MONTH('融资租赁与资金缺口'!$F$13))-1)/'融资租赁与资金缺口'!$I$13))))),IF(BX$46&lt;'融资租赁与资金缺口'!$F$14,0,IF(BX$46='融资租赁与资金缺口'!$F$14,'融资租赁与资金缺口'!$E$14,IF(((YEAR(BX$46)-YEAR('融资租赁与资金缺口'!$F$14))*12+MONTH(BX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X$46)-YEAR('融资租赁与资金缺口'!$F$14))*12+MONTH(BX$46)-MONTH('融资租赁与资金缺口'!$F$14)),'融资租赁与资金缺口'!$E$14*(1+'融资租赁与资金缺口'!$I$14)^((YEAR(BX$46)-YEAR('融资租赁与资金缺口'!$F$14))*12+MONTH(BX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X$46)-YEAR('融资租赁与资金缺口'!$F$14))*12+MONTH(BX$46)-MONTH('融资租赁与资金缺口'!$F$14))-1)/'融资租赁与资金缺口'!$I$14))))),IF(BX$46&lt;'融资租赁与资金缺口'!$F$15,0,IF(BX$46='融资租赁与资金缺口'!$F$15,'融资租赁与资金缺口'!$E$15,IF(((YEAR(BX$46)-YEAR('融资租赁与资金缺口'!$F$15))*12+MONTH(BX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X$46)-YEAR('融资租赁与资金缺口'!$F$15))*12+MONTH(BX$46)-MONTH('融资租赁与资金缺口'!$F$15)),'融资租赁与资金缺口'!$E$15*(1+'融资租赁与资金缺口'!$I$15)^((YEAR(BX$46)-YEAR('融资租赁与资金缺口'!$F$15))*12+MONTH(BX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X$46)-YEAR('融资租赁与资金缺口'!$F$15))*12+MONTH(BX$46)-MONTH('融资租赁与资金缺口'!$F$15))-1)/'融资租赁与资金缺口'!$I$15))))),IF(BX$46&lt;'融资租赁与资金缺口'!$F$16,0,IF(BX$46='融资租赁与资金缺口'!$F$16,'融资租赁与资金缺口'!$E$16,IF(((YEAR(BX$46)-YEAR('融资租赁与资金缺口'!$F$16))*12+MONTH(BX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X$46)-YEAR('融资租赁与资金缺口'!$F$16))*12+MONTH(BX$46)-MONTH('融资租赁与资金缺口'!$F$16)),'融资租赁与资金缺口'!$E$16*(1+'融资租赁与资金缺口'!$I$16)^((YEAR(BX$46)-YEAR('融资租赁与资金缺口'!$F$16))*12+MONTH(BX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X$46)-YEAR('融资租赁与资金缺口'!$F$16))*12+MONTH(BX$46)-MONTH('融资租赁与资金缺口'!$F$16))-1)/'融资租赁与资金缺口'!$I$16))))))</x:f>
        <x:v>0</x:v>
      </x:c>
      <x:c r="BY48" s="28" t="n">
        <x:f>SUM(IF(BY$46&lt;'融资租赁与资金缺口'!$F$5,0,IF(BY$46='融资租赁与资金缺口'!$F$5,'融资租赁与资金缺口'!$E$5,IF(((YEAR(BY$46)-YEAR('融资租赁与资金缺口'!$F$5))*12+MONTH(BY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Y$46)-YEAR('融资租赁与资金缺口'!$F$5))*12+MONTH(BY$46)-MONTH('融资租赁与资金缺口'!$F$5)),'融资租赁与资金缺口'!$E$5*(1+'融资租赁与资金缺口'!$I$5)^((YEAR(BY$46)-YEAR('融资租赁与资金缺口'!$F$5))*12+MONTH(BY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Y$46)-YEAR('融资租赁与资金缺口'!$F$5))*12+MONTH(BY$46)-MONTH('融资租赁与资金缺口'!$F$5))-1)/'融资租赁与资金缺口'!$I$5))))),IF(BY$46&lt;'融资租赁与资金缺口'!$F$6,0,IF(BY$46='融资租赁与资金缺口'!$F$6,'融资租赁与资金缺口'!$E$6,IF(((YEAR(BY$46)-YEAR('融资租赁与资金缺口'!$F$6))*12+MONTH(BY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Y$46)-YEAR('融资租赁与资金缺口'!$F$6))*12+MONTH(BY$46)-MONTH('融资租赁与资金缺口'!$F$6)),'融资租赁与资金缺口'!$E$6*(1+'融资租赁与资金缺口'!$I$6)^((YEAR(BY$46)-YEAR('融资租赁与资金缺口'!$F$6))*12+MONTH(BY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Y$46)-YEAR('融资租赁与资金缺口'!$F$6))*12+MONTH(BY$46)-MONTH('融资租赁与资金缺口'!$F$6))-1)/'融资租赁与资金缺口'!$I$6))))),IF(BY$46&lt;'融资租赁与资金缺口'!$F$7,0,IF(BY$46='融资租赁与资金缺口'!$F$7,'融资租赁与资金缺口'!$E$7,IF(((YEAR(BY$46)-YEAR('融资租赁与资金缺口'!$F$7))*12+MONTH(BY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Y$46)-YEAR('融资租赁与资金缺口'!$F$7))*12+MONTH(BY$46)-MONTH('融资租赁与资金缺口'!$F$7)),'融资租赁与资金缺口'!$E$7*(1+'融资租赁与资金缺口'!$I$7)^((YEAR(BY$46)-YEAR('融资租赁与资金缺口'!$F$7))*12+MONTH(BY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Y$46)-YEAR('融资租赁与资金缺口'!$F$7))*12+MONTH(BY$46)-MONTH('融资租赁与资金缺口'!$F$7))-1)/'融资租赁与资金缺口'!$I$7))))),IF(BY$46&lt;'融资租赁与资金缺口'!$F$8,0,IF(BY$46='融资租赁与资金缺口'!$F$8,'融资租赁与资金缺口'!$E$8,IF(((YEAR(BY$46)-YEAR('融资租赁与资金缺口'!$F$8))*12+MONTH(BY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Y$46)-YEAR('融资租赁与资金缺口'!$F$8))*12+MONTH(BY$46)-MONTH('融资租赁与资金缺口'!$F$8)),'融资租赁与资金缺口'!$E$8*(1+'融资租赁与资金缺口'!$I$8)^((YEAR(BY$46)-YEAR('融资租赁与资金缺口'!$F$8))*12+MONTH(BY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Y$46)-YEAR('融资租赁与资金缺口'!$F$8))*12+MONTH(BY$46)-MONTH('融资租赁与资金缺口'!$F$8))-1)/'融资租赁与资金缺口'!$I$8))))),IF(BY$46&lt;'融资租赁与资金缺口'!$F$9,0,IF(BY$46='融资租赁与资金缺口'!$F$9,'融资租赁与资金缺口'!$E$9,IF(((YEAR(BY$46)-YEAR('融资租赁与资金缺口'!$F$9))*12+MONTH(BY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Y$46)-YEAR('融资租赁与资金缺口'!$F$9))*12+MONTH(BY$46)-MONTH('融资租赁与资金缺口'!$F$9)),'融资租赁与资金缺口'!$E$9*(1+'融资租赁与资金缺口'!$I$9)^((YEAR(BY$46)-YEAR('融资租赁与资金缺口'!$F$9))*12+MONTH(BY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Y$46)-YEAR('融资租赁与资金缺口'!$F$9))*12+MONTH(BY$46)-MONTH('融资租赁与资金缺口'!$F$9))-1)/'融资租赁与资金缺口'!$I$9))))),IF(BY$46&lt;'融资租赁与资金缺口'!$F$10,0,IF(BY$46='融资租赁与资金缺口'!$F$10,'融资租赁与资金缺口'!$E$10,IF(((YEAR(BY$46)-YEAR('融资租赁与资金缺口'!$F$10))*12+MONTH(BY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Y$46)-YEAR('融资租赁与资金缺口'!$F$10))*12+MONTH(BY$46)-MONTH('融资租赁与资金缺口'!$F$10)),'融资租赁与资金缺口'!$E$10*(1+'融资租赁与资金缺口'!$I$10)^((YEAR(BY$46)-YEAR('融资租赁与资金缺口'!$F$10))*12+MONTH(BY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Y$46)-YEAR('融资租赁与资金缺口'!$F$10))*12+MONTH(BY$46)-MONTH('融资租赁与资金缺口'!$F$10))-1)/'融资租赁与资金缺口'!$I$10))))),IF(BY$46&lt;'融资租赁与资金缺口'!$F$11,0,IF(BY$46='融资租赁与资金缺口'!$F$11,'融资租赁与资金缺口'!$E$11,IF(((YEAR(BY$46)-YEAR('融资租赁与资金缺口'!$F$11))*12+MONTH(BY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Y$46)-YEAR('融资租赁与资金缺口'!$F$11))*12+MONTH(BY$46)-MONTH('融资租赁与资金缺口'!$F$11)),'融资租赁与资金缺口'!$E$11*(1+'融资租赁与资金缺口'!$I$11)^((YEAR(BY$46)-YEAR('融资租赁与资金缺口'!$F$11))*12+MONTH(BY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Y$46)-YEAR('融资租赁与资金缺口'!$F$11))*12+MONTH(BY$46)-MONTH('融资租赁与资金缺口'!$F$11))-1)/'融资租赁与资金缺口'!$I$11))))),IF(BY$46&lt;'融资租赁与资金缺口'!$F$12,0,IF(BY$46='融资租赁与资金缺口'!$F$12,'融资租赁与资金缺口'!$E$12,IF(((YEAR(BY$46)-YEAR('融资租赁与资金缺口'!$F$12))*12+MONTH(BY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Y$46)-YEAR('融资租赁与资金缺口'!$F$12))*12+MONTH(BY$46)-MONTH('融资租赁与资金缺口'!$F$12)),'融资租赁与资金缺口'!$E$12*(1+'融资租赁与资金缺口'!$I$12)^((YEAR(BY$46)-YEAR('融资租赁与资金缺口'!$F$12))*12+MONTH(BY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Y$46)-YEAR('融资租赁与资金缺口'!$F$12))*12+MONTH(BY$46)-MONTH('融资租赁与资金缺口'!$F$12))-1)/'融资租赁与资金缺口'!$I$12))))),IF(BY$46&lt;'融资租赁与资金缺口'!$F$13,0,IF(BY$46='融资租赁与资金缺口'!$F$13,'融资租赁与资金缺口'!$E$13,IF(((YEAR(BY$46)-YEAR('融资租赁与资金缺口'!$F$13))*12+MONTH(BY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Y$46)-YEAR('融资租赁与资金缺口'!$F$13))*12+MONTH(BY$46)-MONTH('融资租赁与资金缺口'!$F$13)),'融资租赁与资金缺口'!$E$13*(1+'融资租赁与资金缺口'!$I$13)^((YEAR(BY$46)-YEAR('融资租赁与资金缺口'!$F$13))*12+MONTH(BY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Y$46)-YEAR('融资租赁与资金缺口'!$F$13))*12+MONTH(BY$46)-MONTH('融资租赁与资金缺口'!$F$13))-1)/'融资租赁与资金缺口'!$I$13))))),IF(BY$46&lt;'融资租赁与资金缺口'!$F$14,0,IF(BY$46='融资租赁与资金缺口'!$F$14,'融资租赁与资金缺口'!$E$14,IF(((YEAR(BY$46)-YEAR('融资租赁与资金缺口'!$F$14))*12+MONTH(BY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Y$46)-YEAR('融资租赁与资金缺口'!$F$14))*12+MONTH(BY$46)-MONTH('融资租赁与资金缺口'!$F$14)),'融资租赁与资金缺口'!$E$14*(1+'融资租赁与资金缺口'!$I$14)^((YEAR(BY$46)-YEAR('融资租赁与资金缺口'!$F$14))*12+MONTH(BY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Y$46)-YEAR('融资租赁与资金缺口'!$F$14))*12+MONTH(BY$46)-MONTH('融资租赁与资金缺口'!$F$14))-1)/'融资租赁与资金缺口'!$I$14))))),IF(BY$46&lt;'融资租赁与资金缺口'!$F$15,0,IF(BY$46='融资租赁与资金缺口'!$F$15,'融资租赁与资金缺口'!$E$15,IF(((YEAR(BY$46)-YEAR('融资租赁与资金缺口'!$F$15))*12+MONTH(BY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Y$46)-YEAR('融资租赁与资金缺口'!$F$15))*12+MONTH(BY$46)-MONTH('融资租赁与资金缺口'!$F$15)),'融资租赁与资金缺口'!$E$15*(1+'融资租赁与资金缺口'!$I$15)^((YEAR(BY$46)-YEAR('融资租赁与资金缺口'!$F$15))*12+MONTH(BY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Y$46)-YEAR('融资租赁与资金缺口'!$F$15))*12+MONTH(BY$46)-MONTH('融资租赁与资金缺口'!$F$15))-1)/'融资租赁与资金缺口'!$I$15))))),IF(BY$46&lt;'融资租赁与资金缺口'!$F$16,0,IF(BY$46='融资租赁与资金缺口'!$F$16,'融资租赁与资金缺口'!$E$16,IF(((YEAR(BY$46)-YEAR('融资租赁与资金缺口'!$F$16))*12+MONTH(BY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Y$46)-YEAR('融资租赁与资金缺口'!$F$16))*12+MONTH(BY$46)-MONTH('融资租赁与资金缺口'!$F$16)),'融资租赁与资金缺口'!$E$16*(1+'融资租赁与资金缺口'!$I$16)^((YEAR(BY$46)-YEAR('融资租赁与资金缺口'!$F$16))*12+MONTH(BY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Y$46)-YEAR('融资租赁与资金缺口'!$F$16))*12+MONTH(BY$46)-MONTH('融资租赁与资金缺口'!$F$16))-1)/'融资租赁与资金缺口'!$I$16))))))</x:f>
        <x:v>0</x:v>
      </x:c>
      <x:c r="BZ48" s="28" t="n">
        <x:f>SUM(IF(BZ$46&lt;'融资租赁与资金缺口'!$F$5,0,IF(BZ$46='融资租赁与资金缺口'!$F$5,'融资租赁与资金缺口'!$E$5,IF(((YEAR(BZ$46)-YEAR('融资租赁与资金缺口'!$F$5))*12+MONTH(BZ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BZ$46)-YEAR('融资租赁与资金缺口'!$F$5))*12+MONTH(BZ$46)-MONTH('融资租赁与资金缺口'!$F$5)),'融资租赁与资金缺口'!$E$5*(1+'融资租赁与资金缺口'!$I$5)^((YEAR(BZ$46)-YEAR('融资租赁与资金缺口'!$F$5))*12+MONTH(BZ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BZ$46)-YEAR('融资租赁与资金缺口'!$F$5))*12+MONTH(BZ$46)-MONTH('融资租赁与资金缺口'!$F$5))-1)/'融资租赁与资金缺口'!$I$5))))),IF(BZ$46&lt;'融资租赁与资金缺口'!$F$6,0,IF(BZ$46='融资租赁与资金缺口'!$F$6,'融资租赁与资金缺口'!$E$6,IF(((YEAR(BZ$46)-YEAR('融资租赁与资金缺口'!$F$6))*12+MONTH(BZ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BZ$46)-YEAR('融资租赁与资金缺口'!$F$6))*12+MONTH(BZ$46)-MONTH('融资租赁与资金缺口'!$F$6)),'融资租赁与资金缺口'!$E$6*(1+'融资租赁与资金缺口'!$I$6)^((YEAR(BZ$46)-YEAR('融资租赁与资金缺口'!$F$6))*12+MONTH(BZ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BZ$46)-YEAR('融资租赁与资金缺口'!$F$6))*12+MONTH(BZ$46)-MONTH('融资租赁与资金缺口'!$F$6))-1)/'融资租赁与资金缺口'!$I$6))))),IF(BZ$46&lt;'融资租赁与资金缺口'!$F$7,0,IF(BZ$46='融资租赁与资金缺口'!$F$7,'融资租赁与资金缺口'!$E$7,IF(((YEAR(BZ$46)-YEAR('融资租赁与资金缺口'!$F$7))*12+MONTH(BZ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BZ$46)-YEAR('融资租赁与资金缺口'!$F$7))*12+MONTH(BZ$46)-MONTH('融资租赁与资金缺口'!$F$7)),'融资租赁与资金缺口'!$E$7*(1+'融资租赁与资金缺口'!$I$7)^((YEAR(BZ$46)-YEAR('融资租赁与资金缺口'!$F$7))*12+MONTH(BZ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BZ$46)-YEAR('融资租赁与资金缺口'!$F$7))*12+MONTH(BZ$46)-MONTH('融资租赁与资金缺口'!$F$7))-1)/'融资租赁与资金缺口'!$I$7))))),IF(BZ$46&lt;'融资租赁与资金缺口'!$F$8,0,IF(BZ$46='融资租赁与资金缺口'!$F$8,'融资租赁与资金缺口'!$E$8,IF(((YEAR(BZ$46)-YEAR('融资租赁与资金缺口'!$F$8))*12+MONTH(BZ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BZ$46)-YEAR('融资租赁与资金缺口'!$F$8))*12+MONTH(BZ$46)-MONTH('融资租赁与资金缺口'!$F$8)),'融资租赁与资金缺口'!$E$8*(1+'融资租赁与资金缺口'!$I$8)^((YEAR(BZ$46)-YEAR('融资租赁与资金缺口'!$F$8))*12+MONTH(BZ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BZ$46)-YEAR('融资租赁与资金缺口'!$F$8))*12+MONTH(BZ$46)-MONTH('融资租赁与资金缺口'!$F$8))-1)/'融资租赁与资金缺口'!$I$8))))),IF(BZ$46&lt;'融资租赁与资金缺口'!$F$9,0,IF(BZ$46='融资租赁与资金缺口'!$F$9,'融资租赁与资金缺口'!$E$9,IF(((YEAR(BZ$46)-YEAR('融资租赁与资金缺口'!$F$9))*12+MONTH(BZ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BZ$46)-YEAR('融资租赁与资金缺口'!$F$9))*12+MONTH(BZ$46)-MONTH('融资租赁与资金缺口'!$F$9)),'融资租赁与资金缺口'!$E$9*(1+'融资租赁与资金缺口'!$I$9)^((YEAR(BZ$46)-YEAR('融资租赁与资金缺口'!$F$9))*12+MONTH(BZ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BZ$46)-YEAR('融资租赁与资金缺口'!$F$9))*12+MONTH(BZ$46)-MONTH('融资租赁与资金缺口'!$F$9))-1)/'融资租赁与资金缺口'!$I$9))))),IF(BZ$46&lt;'融资租赁与资金缺口'!$F$10,0,IF(BZ$46='融资租赁与资金缺口'!$F$10,'融资租赁与资金缺口'!$E$10,IF(((YEAR(BZ$46)-YEAR('融资租赁与资金缺口'!$F$10))*12+MONTH(BZ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BZ$46)-YEAR('融资租赁与资金缺口'!$F$10))*12+MONTH(BZ$46)-MONTH('融资租赁与资金缺口'!$F$10)),'融资租赁与资金缺口'!$E$10*(1+'融资租赁与资金缺口'!$I$10)^((YEAR(BZ$46)-YEAR('融资租赁与资金缺口'!$F$10))*12+MONTH(BZ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BZ$46)-YEAR('融资租赁与资金缺口'!$F$10))*12+MONTH(BZ$46)-MONTH('融资租赁与资金缺口'!$F$10))-1)/'融资租赁与资金缺口'!$I$10))))),IF(BZ$46&lt;'融资租赁与资金缺口'!$F$11,0,IF(BZ$46='融资租赁与资金缺口'!$F$11,'融资租赁与资金缺口'!$E$11,IF(((YEAR(BZ$46)-YEAR('融资租赁与资金缺口'!$F$11))*12+MONTH(BZ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BZ$46)-YEAR('融资租赁与资金缺口'!$F$11))*12+MONTH(BZ$46)-MONTH('融资租赁与资金缺口'!$F$11)),'融资租赁与资金缺口'!$E$11*(1+'融资租赁与资金缺口'!$I$11)^((YEAR(BZ$46)-YEAR('融资租赁与资金缺口'!$F$11))*12+MONTH(BZ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BZ$46)-YEAR('融资租赁与资金缺口'!$F$11))*12+MONTH(BZ$46)-MONTH('融资租赁与资金缺口'!$F$11))-1)/'融资租赁与资金缺口'!$I$11))))),IF(BZ$46&lt;'融资租赁与资金缺口'!$F$12,0,IF(BZ$46='融资租赁与资金缺口'!$F$12,'融资租赁与资金缺口'!$E$12,IF(((YEAR(BZ$46)-YEAR('融资租赁与资金缺口'!$F$12))*12+MONTH(BZ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BZ$46)-YEAR('融资租赁与资金缺口'!$F$12))*12+MONTH(BZ$46)-MONTH('融资租赁与资金缺口'!$F$12)),'融资租赁与资金缺口'!$E$12*(1+'融资租赁与资金缺口'!$I$12)^((YEAR(BZ$46)-YEAR('融资租赁与资金缺口'!$F$12))*12+MONTH(BZ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BZ$46)-YEAR('融资租赁与资金缺口'!$F$12))*12+MONTH(BZ$46)-MONTH('融资租赁与资金缺口'!$F$12))-1)/'融资租赁与资金缺口'!$I$12))))),IF(BZ$46&lt;'融资租赁与资金缺口'!$F$13,0,IF(BZ$46='融资租赁与资金缺口'!$F$13,'融资租赁与资金缺口'!$E$13,IF(((YEAR(BZ$46)-YEAR('融资租赁与资金缺口'!$F$13))*12+MONTH(BZ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BZ$46)-YEAR('融资租赁与资金缺口'!$F$13))*12+MONTH(BZ$46)-MONTH('融资租赁与资金缺口'!$F$13)),'融资租赁与资金缺口'!$E$13*(1+'融资租赁与资金缺口'!$I$13)^((YEAR(BZ$46)-YEAR('融资租赁与资金缺口'!$F$13))*12+MONTH(BZ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BZ$46)-YEAR('融资租赁与资金缺口'!$F$13))*12+MONTH(BZ$46)-MONTH('融资租赁与资金缺口'!$F$13))-1)/'融资租赁与资金缺口'!$I$13))))),IF(BZ$46&lt;'融资租赁与资金缺口'!$F$14,0,IF(BZ$46='融资租赁与资金缺口'!$F$14,'融资租赁与资金缺口'!$E$14,IF(((YEAR(BZ$46)-YEAR('融资租赁与资金缺口'!$F$14))*12+MONTH(BZ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BZ$46)-YEAR('融资租赁与资金缺口'!$F$14))*12+MONTH(BZ$46)-MONTH('融资租赁与资金缺口'!$F$14)),'融资租赁与资金缺口'!$E$14*(1+'融资租赁与资金缺口'!$I$14)^((YEAR(BZ$46)-YEAR('融资租赁与资金缺口'!$F$14))*12+MONTH(BZ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BZ$46)-YEAR('融资租赁与资金缺口'!$F$14))*12+MONTH(BZ$46)-MONTH('融资租赁与资金缺口'!$F$14))-1)/'融资租赁与资金缺口'!$I$14))))),IF(BZ$46&lt;'融资租赁与资金缺口'!$F$15,0,IF(BZ$46='融资租赁与资金缺口'!$F$15,'融资租赁与资金缺口'!$E$15,IF(((YEAR(BZ$46)-YEAR('融资租赁与资金缺口'!$F$15))*12+MONTH(BZ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BZ$46)-YEAR('融资租赁与资金缺口'!$F$15))*12+MONTH(BZ$46)-MONTH('融资租赁与资金缺口'!$F$15)),'融资租赁与资金缺口'!$E$15*(1+'融资租赁与资金缺口'!$I$15)^((YEAR(BZ$46)-YEAR('融资租赁与资金缺口'!$F$15))*12+MONTH(BZ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BZ$46)-YEAR('融资租赁与资金缺口'!$F$15))*12+MONTH(BZ$46)-MONTH('融资租赁与资金缺口'!$F$15))-1)/'融资租赁与资金缺口'!$I$15))))),IF(BZ$46&lt;'融资租赁与资金缺口'!$F$16,0,IF(BZ$46='融资租赁与资金缺口'!$F$16,'融资租赁与资金缺口'!$E$16,IF(((YEAR(BZ$46)-YEAR('融资租赁与资金缺口'!$F$16))*12+MONTH(BZ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BZ$46)-YEAR('融资租赁与资金缺口'!$F$16))*12+MONTH(BZ$46)-MONTH('融资租赁与资金缺口'!$F$16)),'融资租赁与资金缺口'!$E$16*(1+'融资租赁与资金缺口'!$I$16)^((YEAR(BZ$46)-YEAR('融资租赁与资金缺口'!$F$16))*12+MONTH(BZ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BZ$46)-YEAR('融资租赁与资金缺口'!$F$16))*12+MONTH(BZ$46)-MONTH('融资租赁与资金缺口'!$F$16))-1)/'融资租赁与资金缺口'!$I$16))))))</x:f>
        <x:v>0</x:v>
      </x:c>
      <x:c r="CA48" s="28" t="n">
        <x:f>SUM(IF(CA$46&lt;'融资租赁与资金缺口'!$F$5,0,IF(CA$46='融资租赁与资金缺口'!$F$5,'融资租赁与资金缺口'!$E$5,IF(((YEAR(CA$46)-YEAR('融资租赁与资金缺口'!$F$5))*12+MONTH(CA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CA$46)-YEAR('融资租赁与资金缺口'!$F$5))*12+MONTH(CA$46)-MONTH('融资租赁与资金缺口'!$F$5)),'融资租赁与资金缺口'!$E$5*(1+'融资租赁与资金缺口'!$I$5)^((YEAR(CA$46)-YEAR('融资租赁与资金缺口'!$F$5))*12+MONTH(CA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CA$46)-YEAR('融资租赁与资金缺口'!$F$5))*12+MONTH(CA$46)-MONTH('融资租赁与资金缺口'!$F$5))-1)/'融资租赁与资金缺口'!$I$5))))),IF(CA$46&lt;'融资租赁与资金缺口'!$F$6,0,IF(CA$46='融资租赁与资金缺口'!$F$6,'融资租赁与资金缺口'!$E$6,IF(((YEAR(CA$46)-YEAR('融资租赁与资金缺口'!$F$6))*12+MONTH(CA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CA$46)-YEAR('融资租赁与资金缺口'!$F$6))*12+MONTH(CA$46)-MONTH('融资租赁与资金缺口'!$F$6)),'融资租赁与资金缺口'!$E$6*(1+'融资租赁与资金缺口'!$I$6)^((YEAR(CA$46)-YEAR('融资租赁与资金缺口'!$F$6))*12+MONTH(CA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CA$46)-YEAR('融资租赁与资金缺口'!$F$6))*12+MONTH(CA$46)-MONTH('融资租赁与资金缺口'!$F$6))-1)/'融资租赁与资金缺口'!$I$6))))),IF(CA$46&lt;'融资租赁与资金缺口'!$F$7,0,IF(CA$46='融资租赁与资金缺口'!$F$7,'融资租赁与资金缺口'!$E$7,IF(((YEAR(CA$46)-YEAR('融资租赁与资金缺口'!$F$7))*12+MONTH(CA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CA$46)-YEAR('融资租赁与资金缺口'!$F$7))*12+MONTH(CA$46)-MONTH('融资租赁与资金缺口'!$F$7)),'融资租赁与资金缺口'!$E$7*(1+'融资租赁与资金缺口'!$I$7)^((YEAR(CA$46)-YEAR('融资租赁与资金缺口'!$F$7))*12+MONTH(CA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CA$46)-YEAR('融资租赁与资金缺口'!$F$7))*12+MONTH(CA$46)-MONTH('融资租赁与资金缺口'!$F$7))-1)/'融资租赁与资金缺口'!$I$7))))),IF(CA$46&lt;'融资租赁与资金缺口'!$F$8,0,IF(CA$46='融资租赁与资金缺口'!$F$8,'融资租赁与资金缺口'!$E$8,IF(((YEAR(CA$46)-YEAR('融资租赁与资金缺口'!$F$8))*12+MONTH(CA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CA$46)-YEAR('融资租赁与资金缺口'!$F$8))*12+MONTH(CA$46)-MONTH('融资租赁与资金缺口'!$F$8)),'融资租赁与资金缺口'!$E$8*(1+'融资租赁与资金缺口'!$I$8)^((YEAR(CA$46)-YEAR('融资租赁与资金缺口'!$F$8))*12+MONTH(CA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CA$46)-YEAR('融资租赁与资金缺口'!$F$8))*12+MONTH(CA$46)-MONTH('融资租赁与资金缺口'!$F$8))-1)/'融资租赁与资金缺口'!$I$8))))),IF(CA$46&lt;'融资租赁与资金缺口'!$F$9,0,IF(CA$46='融资租赁与资金缺口'!$F$9,'融资租赁与资金缺口'!$E$9,IF(((YEAR(CA$46)-YEAR('融资租赁与资金缺口'!$F$9))*12+MONTH(CA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CA$46)-YEAR('融资租赁与资金缺口'!$F$9))*12+MONTH(CA$46)-MONTH('融资租赁与资金缺口'!$F$9)),'融资租赁与资金缺口'!$E$9*(1+'融资租赁与资金缺口'!$I$9)^((YEAR(CA$46)-YEAR('融资租赁与资金缺口'!$F$9))*12+MONTH(CA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CA$46)-YEAR('融资租赁与资金缺口'!$F$9))*12+MONTH(CA$46)-MONTH('融资租赁与资金缺口'!$F$9))-1)/'融资租赁与资金缺口'!$I$9))))),IF(CA$46&lt;'融资租赁与资金缺口'!$F$10,0,IF(CA$46='融资租赁与资金缺口'!$F$10,'融资租赁与资金缺口'!$E$10,IF(((YEAR(CA$46)-YEAR('融资租赁与资金缺口'!$F$10))*12+MONTH(CA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CA$46)-YEAR('融资租赁与资金缺口'!$F$10))*12+MONTH(CA$46)-MONTH('融资租赁与资金缺口'!$F$10)),'融资租赁与资金缺口'!$E$10*(1+'融资租赁与资金缺口'!$I$10)^((YEAR(CA$46)-YEAR('融资租赁与资金缺口'!$F$10))*12+MONTH(CA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CA$46)-YEAR('融资租赁与资金缺口'!$F$10))*12+MONTH(CA$46)-MONTH('融资租赁与资金缺口'!$F$10))-1)/'融资租赁与资金缺口'!$I$10))))),IF(CA$46&lt;'融资租赁与资金缺口'!$F$11,0,IF(CA$46='融资租赁与资金缺口'!$F$11,'融资租赁与资金缺口'!$E$11,IF(((YEAR(CA$46)-YEAR('融资租赁与资金缺口'!$F$11))*12+MONTH(CA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CA$46)-YEAR('融资租赁与资金缺口'!$F$11))*12+MONTH(CA$46)-MONTH('融资租赁与资金缺口'!$F$11)),'融资租赁与资金缺口'!$E$11*(1+'融资租赁与资金缺口'!$I$11)^((YEAR(CA$46)-YEAR('融资租赁与资金缺口'!$F$11))*12+MONTH(CA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CA$46)-YEAR('融资租赁与资金缺口'!$F$11))*12+MONTH(CA$46)-MONTH('融资租赁与资金缺口'!$F$11))-1)/'融资租赁与资金缺口'!$I$11))))),IF(CA$46&lt;'融资租赁与资金缺口'!$F$12,0,IF(CA$46='融资租赁与资金缺口'!$F$12,'融资租赁与资金缺口'!$E$12,IF(((YEAR(CA$46)-YEAR('融资租赁与资金缺口'!$F$12))*12+MONTH(CA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CA$46)-YEAR('融资租赁与资金缺口'!$F$12))*12+MONTH(CA$46)-MONTH('融资租赁与资金缺口'!$F$12)),'融资租赁与资金缺口'!$E$12*(1+'融资租赁与资金缺口'!$I$12)^((YEAR(CA$46)-YEAR('融资租赁与资金缺口'!$F$12))*12+MONTH(CA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CA$46)-YEAR('融资租赁与资金缺口'!$F$12))*12+MONTH(CA$46)-MONTH('融资租赁与资金缺口'!$F$12))-1)/'融资租赁与资金缺口'!$I$12))))),IF(CA$46&lt;'融资租赁与资金缺口'!$F$13,0,IF(CA$46='融资租赁与资金缺口'!$F$13,'融资租赁与资金缺口'!$E$13,IF(((YEAR(CA$46)-YEAR('融资租赁与资金缺口'!$F$13))*12+MONTH(CA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CA$46)-YEAR('融资租赁与资金缺口'!$F$13))*12+MONTH(CA$46)-MONTH('融资租赁与资金缺口'!$F$13)),'融资租赁与资金缺口'!$E$13*(1+'融资租赁与资金缺口'!$I$13)^((YEAR(CA$46)-YEAR('融资租赁与资金缺口'!$F$13))*12+MONTH(CA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CA$46)-YEAR('融资租赁与资金缺口'!$F$13))*12+MONTH(CA$46)-MONTH('融资租赁与资金缺口'!$F$13))-1)/'融资租赁与资金缺口'!$I$13))))),IF(CA$46&lt;'融资租赁与资金缺口'!$F$14,0,IF(CA$46='融资租赁与资金缺口'!$F$14,'融资租赁与资金缺口'!$E$14,IF(((YEAR(CA$46)-YEAR('融资租赁与资金缺口'!$F$14))*12+MONTH(CA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CA$46)-YEAR('融资租赁与资金缺口'!$F$14))*12+MONTH(CA$46)-MONTH('融资租赁与资金缺口'!$F$14)),'融资租赁与资金缺口'!$E$14*(1+'融资租赁与资金缺口'!$I$14)^((YEAR(CA$46)-YEAR('融资租赁与资金缺口'!$F$14))*12+MONTH(CA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CA$46)-YEAR('融资租赁与资金缺口'!$F$14))*12+MONTH(CA$46)-MONTH('融资租赁与资金缺口'!$F$14))-1)/'融资租赁与资金缺口'!$I$14))))),IF(CA$46&lt;'融资租赁与资金缺口'!$F$15,0,IF(CA$46='融资租赁与资金缺口'!$F$15,'融资租赁与资金缺口'!$E$15,IF(((YEAR(CA$46)-YEAR('融资租赁与资金缺口'!$F$15))*12+MONTH(CA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CA$46)-YEAR('融资租赁与资金缺口'!$F$15))*12+MONTH(CA$46)-MONTH('融资租赁与资金缺口'!$F$15)),'融资租赁与资金缺口'!$E$15*(1+'融资租赁与资金缺口'!$I$15)^((YEAR(CA$46)-YEAR('融资租赁与资金缺口'!$F$15))*12+MONTH(CA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CA$46)-YEAR('融资租赁与资金缺口'!$F$15))*12+MONTH(CA$46)-MONTH('融资租赁与资金缺口'!$F$15))-1)/'融资租赁与资金缺口'!$I$15))))),IF(CA$46&lt;'融资租赁与资金缺口'!$F$16,0,IF(CA$46='融资租赁与资金缺口'!$F$16,'融资租赁与资金缺口'!$E$16,IF(((YEAR(CA$46)-YEAR('融资租赁与资金缺口'!$F$16))*12+MONTH(CA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CA$46)-YEAR('融资租赁与资金缺口'!$F$16))*12+MONTH(CA$46)-MONTH('融资租赁与资金缺口'!$F$16)),'融资租赁与资金缺口'!$E$16*(1+'融资租赁与资金缺口'!$I$16)^((YEAR(CA$46)-YEAR('融资租赁与资金缺口'!$F$16))*12+MONTH(CA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CA$46)-YEAR('融资租赁与资金缺口'!$F$16))*12+MONTH(CA$46)-MONTH('融资租赁与资金缺口'!$F$16))-1)/'融资租赁与资金缺口'!$I$16))))))</x:f>
        <x:v>0</x:v>
      </x:c>
      <x:c r="CB48" s="28" t="n">
        <x:f>SUM(IF(CB$46&lt;'融资租赁与资金缺口'!$F$5,0,IF(CB$46='融资租赁与资金缺口'!$F$5,'融资租赁与资金缺口'!$E$5,IF(((YEAR(CB$46)-YEAR('融资租赁与资金缺口'!$F$5))*12+MONTH(CB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CB$46)-YEAR('融资租赁与资金缺口'!$F$5))*12+MONTH(CB$46)-MONTH('融资租赁与资金缺口'!$F$5)),'融资租赁与资金缺口'!$E$5*(1+'融资租赁与资金缺口'!$I$5)^((YEAR(CB$46)-YEAR('融资租赁与资金缺口'!$F$5))*12+MONTH(CB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CB$46)-YEAR('融资租赁与资金缺口'!$F$5))*12+MONTH(CB$46)-MONTH('融资租赁与资金缺口'!$F$5))-1)/'融资租赁与资金缺口'!$I$5))))),IF(CB$46&lt;'融资租赁与资金缺口'!$F$6,0,IF(CB$46='融资租赁与资金缺口'!$F$6,'融资租赁与资金缺口'!$E$6,IF(((YEAR(CB$46)-YEAR('融资租赁与资金缺口'!$F$6))*12+MONTH(CB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CB$46)-YEAR('融资租赁与资金缺口'!$F$6))*12+MONTH(CB$46)-MONTH('融资租赁与资金缺口'!$F$6)),'融资租赁与资金缺口'!$E$6*(1+'融资租赁与资金缺口'!$I$6)^((YEAR(CB$46)-YEAR('融资租赁与资金缺口'!$F$6))*12+MONTH(CB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CB$46)-YEAR('融资租赁与资金缺口'!$F$6))*12+MONTH(CB$46)-MONTH('融资租赁与资金缺口'!$F$6))-1)/'融资租赁与资金缺口'!$I$6))))),IF(CB$46&lt;'融资租赁与资金缺口'!$F$7,0,IF(CB$46='融资租赁与资金缺口'!$F$7,'融资租赁与资金缺口'!$E$7,IF(((YEAR(CB$46)-YEAR('融资租赁与资金缺口'!$F$7))*12+MONTH(CB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CB$46)-YEAR('融资租赁与资金缺口'!$F$7))*12+MONTH(CB$46)-MONTH('融资租赁与资金缺口'!$F$7)),'融资租赁与资金缺口'!$E$7*(1+'融资租赁与资金缺口'!$I$7)^((YEAR(CB$46)-YEAR('融资租赁与资金缺口'!$F$7))*12+MONTH(CB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CB$46)-YEAR('融资租赁与资金缺口'!$F$7))*12+MONTH(CB$46)-MONTH('融资租赁与资金缺口'!$F$7))-1)/'融资租赁与资金缺口'!$I$7))))),IF(CB$46&lt;'融资租赁与资金缺口'!$F$8,0,IF(CB$46='融资租赁与资金缺口'!$F$8,'融资租赁与资金缺口'!$E$8,IF(((YEAR(CB$46)-YEAR('融资租赁与资金缺口'!$F$8))*12+MONTH(CB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CB$46)-YEAR('融资租赁与资金缺口'!$F$8))*12+MONTH(CB$46)-MONTH('融资租赁与资金缺口'!$F$8)),'融资租赁与资金缺口'!$E$8*(1+'融资租赁与资金缺口'!$I$8)^((YEAR(CB$46)-YEAR('融资租赁与资金缺口'!$F$8))*12+MONTH(CB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CB$46)-YEAR('融资租赁与资金缺口'!$F$8))*12+MONTH(CB$46)-MONTH('融资租赁与资金缺口'!$F$8))-1)/'融资租赁与资金缺口'!$I$8))))),IF(CB$46&lt;'融资租赁与资金缺口'!$F$9,0,IF(CB$46='融资租赁与资金缺口'!$F$9,'融资租赁与资金缺口'!$E$9,IF(((YEAR(CB$46)-YEAR('融资租赁与资金缺口'!$F$9))*12+MONTH(CB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CB$46)-YEAR('融资租赁与资金缺口'!$F$9))*12+MONTH(CB$46)-MONTH('融资租赁与资金缺口'!$F$9)),'融资租赁与资金缺口'!$E$9*(1+'融资租赁与资金缺口'!$I$9)^((YEAR(CB$46)-YEAR('融资租赁与资金缺口'!$F$9))*12+MONTH(CB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CB$46)-YEAR('融资租赁与资金缺口'!$F$9))*12+MONTH(CB$46)-MONTH('融资租赁与资金缺口'!$F$9))-1)/'融资租赁与资金缺口'!$I$9))))),IF(CB$46&lt;'融资租赁与资金缺口'!$F$10,0,IF(CB$46='融资租赁与资金缺口'!$F$10,'融资租赁与资金缺口'!$E$10,IF(((YEAR(CB$46)-YEAR('融资租赁与资金缺口'!$F$10))*12+MONTH(CB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CB$46)-YEAR('融资租赁与资金缺口'!$F$10))*12+MONTH(CB$46)-MONTH('融资租赁与资金缺口'!$F$10)),'融资租赁与资金缺口'!$E$10*(1+'融资租赁与资金缺口'!$I$10)^((YEAR(CB$46)-YEAR('融资租赁与资金缺口'!$F$10))*12+MONTH(CB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CB$46)-YEAR('融资租赁与资金缺口'!$F$10))*12+MONTH(CB$46)-MONTH('融资租赁与资金缺口'!$F$10))-1)/'融资租赁与资金缺口'!$I$10))))),IF(CB$46&lt;'融资租赁与资金缺口'!$F$11,0,IF(CB$46='融资租赁与资金缺口'!$F$11,'融资租赁与资金缺口'!$E$11,IF(((YEAR(CB$46)-YEAR('融资租赁与资金缺口'!$F$11))*12+MONTH(CB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CB$46)-YEAR('融资租赁与资金缺口'!$F$11))*12+MONTH(CB$46)-MONTH('融资租赁与资金缺口'!$F$11)),'融资租赁与资金缺口'!$E$11*(1+'融资租赁与资金缺口'!$I$11)^((YEAR(CB$46)-YEAR('融资租赁与资金缺口'!$F$11))*12+MONTH(CB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CB$46)-YEAR('融资租赁与资金缺口'!$F$11))*12+MONTH(CB$46)-MONTH('融资租赁与资金缺口'!$F$11))-1)/'融资租赁与资金缺口'!$I$11))))),IF(CB$46&lt;'融资租赁与资金缺口'!$F$12,0,IF(CB$46='融资租赁与资金缺口'!$F$12,'融资租赁与资金缺口'!$E$12,IF(((YEAR(CB$46)-YEAR('融资租赁与资金缺口'!$F$12))*12+MONTH(CB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CB$46)-YEAR('融资租赁与资金缺口'!$F$12))*12+MONTH(CB$46)-MONTH('融资租赁与资金缺口'!$F$12)),'融资租赁与资金缺口'!$E$12*(1+'融资租赁与资金缺口'!$I$12)^((YEAR(CB$46)-YEAR('融资租赁与资金缺口'!$F$12))*12+MONTH(CB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CB$46)-YEAR('融资租赁与资金缺口'!$F$12))*12+MONTH(CB$46)-MONTH('融资租赁与资金缺口'!$F$12))-1)/'融资租赁与资金缺口'!$I$12))))),IF(CB$46&lt;'融资租赁与资金缺口'!$F$13,0,IF(CB$46='融资租赁与资金缺口'!$F$13,'融资租赁与资金缺口'!$E$13,IF(((YEAR(CB$46)-YEAR('融资租赁与资金缺口'!$F$13))*12+MONTH(CB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CB$46)-YEAR('融资租赁与资金缺口'!$F$13))*12+MONTH(CB$46)-MONTH('融资租赁与资金缺口'!$F$13)),'融资租赁与资金缺口'!$E$13*(1+'融资租赁与资金缺口'!$I$13)^((YEAR(CB$46)-YEAR('融资租赁与资金缺口'!$F$13))*12+MONTH(CB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CB$46)-YEAR('融资租赁与资金缺口'!$F$13))*12+MONTH(CB$46)-MONTH('融资租赁与资金缺口'!$F$13))-1)/'融资租赁与资金缺口'!$I$13))))),IF(CB$46&lt;'融资租赁与资金缺口'!$F$14,0,IF(CB$46='融资租赁与资金缺口'!$F$14,'融资租赁与资金缺口'!$E$14,IF(((YEAR(CB$46)-YEAR('融资租赁与资金缺口'!$F$14))*12+MONTH(CB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CB$46)-YEAR('融资租赁与资金缺口'!$F$14))*12+MONTH(CB$46)-MONTH('融资租赁与资金缺口'!$F$14)),'融资租赁与资金缺口'!$E$14*(1+'融资租赁与资金缺口'!$I$14)^((YEAR(CB$46)-YEAR('融资租赁与资金缺口'!$F$14))*12+MONTH(CB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CB$46)-YEAR('融资租赁与资金缺口'!$F$14))*12+MONTH(CB$46)-MONTH('融资租赁与资金缺口'!$F$14))-1)/'融资租赁与资金缺口'!$I$14))))),IF(CB$46&lt;'融资租赁与资金缺口'!$F$15,0,IF(CB$46='融资租赁与资金缺口'!$F$15,'融资租赁与资金缺口'!$E$15,IF(((YEAR(CB$46)-YEAR('融资租赁与资金缺口'!$F$15))*12+MONTH(CB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CB$46)-YEAR('融资租赁与资金缺口'!$F$15))*12+MONTH(CB$46)-MONTH('融资租赁与资金缺口'!$F$15)),'融资租赁与资金缺口'!$E$15*(1+'融资租赁与资金缺口'!$I$15)^((YEAR(CB$46)-YEAR('融资租赁与资金缺口'!$F$15))*12+MONTH(CB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CB$46)-YEAR('融资租赁与资金缺口'!$F$15))*12+MONTH(CB$46)-MONTH('融资租赁与资金缺口'!$F$15))-1)/'融资租赁与资金缺口'!$I$15))))),IF(CB$46&lt;'融资租赁与资金缺口'!$F$16,0,IF(CB$46='融资租赁与资金缺口'!$F$16,'融资租赁与资金缺口'!$E$16,IF(((YEAR(CB$46)-YEAR('融资租赁与资金缺口'!$F$16))*12+MONTH(CB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CB$46)-YEAR('融资租赁与资金缺口'!$F$16))*12+MONTH(CB$46)-MONTH('融资租赁与资金缺口'!$F$16)),'融资租赁与资金缺口'!$E$16*(1+'融资租赁与资金缺口'!$I$16)^((YEAR(CB$46)-YEAR('融资租赁与资金缺口'!$F$16))*12+MONTH(CB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CB$46)-YEAR('融资租赁与资金缺口'!$F$16))*12+MONTH(CB$46)-MONTH('融资租赁与资金缺口'!$F$16))-1)/'融资租赁与资金缺口'!$I$16))))))</x:f>
        <x:v>0</x:v>
      </x:c>
      <x:c r="CC48" s="28" t="n">
        <x:f>SUM(IF(CC$46&lt;'融资租赁与资金缺口'!$F$5,0,IF(CC$46='融资租赁与资金缺口'!$F$5,'融资租赁与资金缺口'!$E$5,IF(((YEAR(CC$46)-YEAR('融资租赁与资金缺口'!$F$5))*12+MONTH(CC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CC$46)-YEAR('融资租赁与资金缺口'!$F$5))*12+MONTH(CC$46)-MONTH('融资租赁与资金缺口'!$F$5)),'融资租赁与资金缺口'!$E$5*(1+'融资租赁与资金缺口'!$I$5)^((YEAR(CC$46)-YEAR('融资租赁与资金缺口'!$F$5))*12+MONTH(CC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CC$46)-YEAR('融资租赁与资金缺口'!$F$5))*12+MONTH(CC$46)-MONTH('融资租赁与资金缺口'!$F$5))-1)/'融资租赁与资金缺口'!$I$5))))),IF(CC$46&lt;'融资租赁与资金缺口'!$F$6,0,IF(CC$46='融资租赁与资金缺口'!$F$6,'融资租赁与资金缺口'!$E$6,IF(((YEAR(CC$46)-YEAR('融资租赁与资金缺口'!$F$6))*12+MONTH(CC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CC$46)-YEAR('融资租赁与资金缺口'!$F$6))*12+MONTH(CC$46)-MONTH('融资租赁与资金缺口'!$F$6)),'融资租赁与资金缺口'!$E$6*(1+'融资租赁与资金缺口'!$I$6)^((YEAR(CC$46)-YEAR('融资租赁与资金缺口'!$F$6))*12+MONTH(CC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CC$46)-YEAR('融资租赁与资金缺口'!$F$6))*12+MONTH(CC$46)-MONTH('融资租赁与资金缺口'!$F$6))-1)/'融资租赁与资金缺口'!$I$6))))),IF(CC$46&lt;'融资租赁与资金缺口'!$F$7,0,IF(CC$46='融资租赁与资金缺口'!$F$7,'融资租赁与资金缺口'!$E$7,IF(((YEAR(CC$46)-YEAR('融资租赁与资金缺口'!$F$7))*12+MONTH(CC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CC$46)-YEAR('融资租赁与资金缺口'!$F$7))*12+MONTH(CC$46)-MONTH('融资租赁与资金缺口'!$F$7)),'融资租赁与资金缺口'!$E$7*(1+'融资租赁与资金缺口'!$I$7)^((YEAR(CC$46)-YEAR('融资租赁与资金缺口'!$F$7))*12+MONTH(CC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CC$46)-YEAR('融资租赁与资金缺口'!$F$7))*12+MONTH(CC$46)-MONTH('融资租赁与资金缺口'!$F$7))-1)/'融资租赁与资金缺口'!$I$7))))),IF(CC$46&lt;'融资租赁与资金缺口'!$F$8,0,IF(CC$46='融资租赁与资金缺口'!$F$8,'融资租赁与资金缺口'!$E$8,IF(((YEAR(CC$46)-YEAR('融资租赁与资金缺口'!$F$8))*12+MONTH(CC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CC$46)-YEAR('融资租赁与资金缺口'!$F$8))*12+MONTH(CC$46)-MONTH('融资租赁与资金缺口'!$F$8)),'融资租赁与资金缺口'!$E$8*(1+'融资租赁与资金缺口'!$I$8)^((YEAR(CC$46)-YEAR('融资租赁与资金缺口'!$F$8))*12+MONTH(CC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CC$46)-YEAR('融资租赁与资金缺口'!$F$8))*12+MONTH(CC$46)-MONTH('融资租赁与资金缺口'!$F$8))-1)/'融资租赁与资金缺口'!$I$8))))),IF(CC$46&lt;'融资租赁与资金缺口'!$F$9,0,IF(CC$46='融资租赁与资金缺口'!$F$9,'融资租赁与资金缺口'!$E$9,IF(((YEAR(CC$46)-YEAR('融资租赁与资金缺口'!$F$9))*12+MONTH(CC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CC$46)-YEAR('融资租赁与资金缺口'!$F$9))*12+MONTH(CC$46)-MONTH('融资租赁与资金缺口'!$F$9)),'融资租赁与资金缺口'!$E$9*(1+'融资租赁与资金缺口'!$I$9)^((YEAR(CC$46)-YEAR('融资租赁与资金缺口'!$F$9))*12+MONTH(CC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CC$46)-YEAR('融资租赁与资金缺口'!$F$9))*12+MONTH(CC$46)-MONTH('融资租赁与资金缺口'!$F$9))-1)/'融资租赁与资金缺口'!$I$9))))),IF(CC$46&lt;'融资租赁与资金缺口'!$F$10,0,IF(CC$46='融资租赁与资金缺口'!$F$10,'融资租赁与资金缺口'!$E$10,IF(((YEAR(CC$46)-YEAR('融资租赁与资金缺口'!$F$10))*12+MONTH(CC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CC$46)-YEAR('融资租赁与资金缺口'!$F$10))*12+MONTH(CC$46)-MONTH('融资租赁与资金缺口'!$F$10)),'融资租赁与资金缺口'!$E$10*(1+'融资租赁与资金缺口'!$I$10)^((YEAR(CC$46)-YEAR('融资租赁与资金缺口'!$F$10))*12+MONTH(CC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CC$46)-YEAR('融资租赁与资金缺口'!$F$10))*12+MONTH(CC$46)-MONTH('融资租赁与资金缺口'!$F$10))-1)/'融资租赁与资金缺口'!$I$10))))),IF(CC$46&lt;'融资租赁与资金缺口'!$F$11,0,IF(CC$46='融资租赁与资金缺口'!$F$11,'融资租赁与资金缺口'!$E$11,IF(((YEAR(CC$46)-YEAR('融资租赁与资金缺口'!$F$11))*12+MONTH(CC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CC$46)-YEAR('融资租赁与资金缺口'!$F$11))*12+MONTH(CC$46)-MONTH('融资租赁与资金缺口'!$F$11)),'融资租赁与资金缺口'!$E$11*(1+'融资租赁与资金缺口'!$I$11)^((YEAR(CC$46)-YEAR('融资租赁与资金缺口'!$F$11))*12+MONTH(CC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CC$46)-YEAR('融资租赁与资金缺口'!$F$11))*12+MONTH(CC$46)-MONTH('融资租赁与资金缺口'!$F$11))-1)/'融资租赁与资金缺口'!$I$11))))),IF(CC$46&lt;'融资租赁与资金缺口'!$F$12,0,IF(CC$46='融资租赁与资金缺口'!$F$12,'融资租赁与资金缺口'!$E$12,IF(((YEAR(CC$46)-YEAR('融资租赁与资金缺口'!$F$12))*12+MONTH(CC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CC$46)-YEAR('融资租赁与资金缺口'!$F$12))*12+MONTH(CC$46)-MONTH('融资租赁与资金缺口'!$F$12)),'融资租赁与资金缺口'!$E$12*(1+'融资租赁与资金缺口'!$I$12)^((YEAR(CC$46)-YEAR('融资租赁与资金缺口'!$F$12))*12+MONTH(CC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CC$46)-YEAR('融资租赁与资金缺口'!$F$12))*12+MONTH(CC$46)-MONTH('融资租赁与资金缺口'!$F$12))-1)/'融资租赁与资金缺口'!$I$12))))),IF(CC$46&lt;'融资租赁与资金缺口'!$F$13,0,IF(CC$46='融资租赁与资金缺口'!$F$13,'融资租赁与资金缺口'!$E$13,IF(((YEAR(CC$46)-YEAR('融资租赁与资金缺口'!$F$13))*12+MONTH(CC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CC$46)-YEAR('融资租赁与资金缺口'!$F$13))*12+MONTH(CC$46)-MONTH('融资租赁与资金缺口'!$F$13)),'融资租赁与资金缺口'!$E$13*(1+'融资租赁与资金缺口'!$I$13)^((YEAR(CC$46)-YEAR('融资租赁与资金缺口'!$F$13))*12+MONTH(CC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CC$46)-YEAR('融资租赁与资金缺口'!$F$13))*12+MONTH(CC$46)-MONTH('融资租赁与资金缺口'!$F$13))-1)/'融资租赁与资金缺口'!$I$13))))),IF(CC$46&lt;'融资租赁与资金缺口'!$F$14,0,IF(CC$46='融资租赁与资金缺口'!$F$14,'融资租赁与资金缺口'!$E$14,IF(((YEAR(CC$46)-YEAR('融资租赁与资金缺口'!$F$14))*12+MONTH(CC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CC$46)-YEAR('融资租赁与资金缺口'!$F$14))*12+MONTH(CC$46)-MONTH('融资租赁与资金缺口'!$F$14)),'融资租赁与资金缺口'!$E$14*(1+'融资租赁与资金缺口'!$I$14)^((YEAR(CC$46)-YEAR('融资租赁与资金缺口'!$F$14))*12+MONTH(CC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CC$46)-YEAR('融资租赁与资金缺口'!$F$14))*12+MONTH(CC$46)-MONTH('融资租赁与资金缺口'!$F$14))-1)/'融资租赁与资金缺口'!$I$14))))),IF(CC$46&lt;'融资租赁与资金缺口'!$F$15,0,IF(CC$46='融资租赁与资金缺口'!$F$15,'融资租赁与资金缺口'!$E$15,IF(((YEAR(CC$46)-YEAR('融资租赁与资金缺口'!$F$15))*12+MONTH(CC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CC$46)-YEAR('融资租赁与资金缺口'!$F$15))*12+MONTH(CC$46)-MONTH('融资租赁与资金缺口'!$F$15)),'融资租赁与资金缺口'!$E$15*(1+'融资租赁与资金缺口'!$I$15)^((YEAR(CC$46)-YEAR('融资租赁与资金缺口'!$F$15))*12+MONTH(CC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CC$46)-YEAR('融资租赁与资金缺口'!$F$15))*12+MONTH(CC$46)-MONTH('融资租赁与资金缺口'!$F$15))-1)/'融资租赁与资金缺口'!$I$15))))),IF(CC$46&lt;'融资租赁与资金缺口'!$F$16,0,IF(CC$46='融资租赁与资金缺口'!$F$16,'融资租赁与资金缺口'!$E$16,IF(((YEAR(CC$46)-YEAR('融资租赁与资金缺口'!$F$16))*12+MONTH(CC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CC$46)-YEAR('融资租赁与资金缺口'!$F$16))*12+MONTH(CC$46)-MONTH('融资租赁与资金缺口'!$F$16)),'融资租赁与资金缺口'!$E$16*(1+'融资租赁与资金缺口'!$I$16)^((YEAR(CC$46)-YEAR('融资租赁与资金缺口'!$F$16))*12+MONTH(CC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CC$46)-YEAR('融资租赁与资金缺口'!$F$16))*12+MONTH(CC$46)-MONTH('融资租赁与资金缺口'!$F$16))-1)/'融资租赁与资金缺口'!$I$16))))))</x:f>
        <x:v>0</x:v>
      </x:c>
      <x:c r="CD48" s="28" t="n">
        <x:f>SUM(IF(CD$46&lt;'融资租赁与资金缺口'!$F$5,0,IF(CD$46='融资租赁与资金缺口'!$F$5,'融资租赁与资金缺口'!$E$5,IF(((YEAR(CD$46)-YEAR('融资租赁与资金缺口'!$F$5))*12+MONTH(CD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CD$46)-YEAR('融资租赁与资金缺口'!$F$5))*12+MONTH(CD$46)-MONTH('融资租赁与资金缺口'!$F$5)),'融资租赁与资金缺口'!$E$5*(1+'融资租赁与资金缺口'!$I$5)^((YEAR(CD$46)-YEAR('融资租赁与资金缺口'!$F$5))*12+MONTH(CD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CD$46)-YEAR('融资租赁与资金缺口'!$F$5))*12+MONTH(CD$46)-MONTH('融资租赁与资金缺口'!$F$5))-1)/'融资租赁与资金缺口'!$I$5))))),IF(CD$46&lt;'融资租赁与资金缺口'!$F$6,0,IF(CD$46='融资租赁与资金缺口'!$F$6,'融资租赁与资金缺口'!$E$6,IF(((YEAR(CD$46)-YEAR('融资租赁与资金缺口'!$F$6))*12+MONTH(CD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CD$46)-YEAR('融资租赁与资金缺口'!$F$6))*12+MONTH(CD$46)-MONTH('融资租赁与资金缺口'!$F$6)),'融资租赁与资金缺口'!$E$6*(1+'融资租赁与资金缺口'!$I$6)^((YEAR(CD$46)-YEAR('融资租赁与资金缺口'!$F$6))*12+MONTH(CD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CD$46)-YEAR('融资租赁与资金缺口'!$F$6))*12+MONTH(CD$46)-MONTH('融资租赁与资金缺口'!$F$6))-1)/'融资租赁与资金缺口'!$I$6))))),IF(CD$46&lt;'融资租赁与资金缺口'!$F$7,0,IF(CD$46='融资租赁与资金缺口'!$F$7,'融资租赁与资金缺口'!$E$7,IF(((YEAR(CD$46)-YEAR('融资租赁与资金缺口'!$F$7))*12+MONTH(CD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CD$46)-YEAR('融资租赁与资金缺口'!$F$7))*12+MONTH(CD$46)-MONTH('融资租赁与资金缺口'!$F$7)),'融资租赁与资金缺口'!$E$7*(1+'融资租赁与资金缺口'!$I$7)^((YEAR(CD$46)-YEAR('融资租赁与资金缺口'!$F$7))*12+MONTH(CD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CD$46)-YEAR('融资租赁与资金缺口'!$F$7))*12+MONTH(CD$46)-MONTH('融资租赁与资金缺口'!$F$7))-1)/'融资租赁与资金缺口'!$I$7))))),IF(CD$46&lt;'融资租赁与资金缺口'!$F$8,0,IF(CD$46='融资租赁与资金缺口'!$F$8,'融资租赁与资金缺口'!$E$8,IF(((YEAR(CD$46)-YEAR('融资租赁与资金缺口'!$F$8))*12+MONTH(CD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CD$46)-YEAR('融资租赁与资金缺口'!$F$8))*12+MONTH(CD$46)-MONTH('融资租赁与资金缺口'!$F$8)),'融资租赁与资金缺口'!$E$8*(1+'融资租赁与资金缺口'!$I$8)^((YEAR(CD$46)-YEAR('融资租赁与资金缺口'!$F$8))*12+MONTH(CD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CD$46)-YEAR('融资租赁与资金缺口'!$F$8))*12+MONTH(CD$46)-MONTH('融资租赁与资金缺口'!$F$8))-1)/'融资租赁与资金缺口'!$I$8))))),IF(CD$46&lt;'融资租赁与资金缺口'!$F$9,0,IF(CD$46='融资租赁与资金缺口'!$F$9,'融资租赁与资金缺口'!$E$9,IF(((YEAR(CD$46)-YEAR('融资租赁与资金缺口'!$F$9))*12+MONTH(CD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CD$46)-YEAR('融资租赁与资金缺口'!$F$9))*12+MONTH(CD$46)-MONTH('融资租赁与资金缺口'!$F$9)),'融资租赁与资金缺口'!$E$9*(1+'融资租赁与资金缺口'!$I$9)^((YEAR(CD$46)-YEAR('融资租赁与资金缺口'!$F$9))*12+MONTH(CD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CD$46)-YEAR('融资租赁与资金缺口'!$F$9))*12+MONTH(CD$46)-MONTH('融资租赁与资金缺口'!$F$9))-1)/'融资租赁与资金缺口'!$I$9))))),IF(CD$46&lt;'融资租赁与资金缺口'!$F$10,0,IF(CD$46='融资租赁与资金缺口'!$F$10,'融资租赁与资金缺口'!$E$10,IF(((YEAR(CD$46)-YEAR('融资租赁与资金缺口'!$F$10))*12+MONTH(CD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CD$46)-YEAR('融资租赁与资金缺口'!$F$10))*12+MONTH(CD$46)-MONTH('融资租赁与资金缺口'!$F$10)),'融资租赁与资金缺口'!$E$10*(1+'融资租赁与资金缺口'!$I$10)^((YEAR(CD$46)-YEAR('融资租赁与资金缺口'!$F$10))*12+MONTH(CD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CD$46)-YEAR('融资租赁与资金缺口'!$F$10))*12+MONTH(CD$46)-MONTH('融资租赁与资金缺口'!$F$10))-1)/'融资租赁与资金缺口'!$I$10))))),IF(CD$46&lt;'融资租赁与资金缺口'!$F$11,0,IF(CD$46='融资租赁与资金缺口'!$F$11,'融资租赁与资金缺口'!$E$11,IF(((YEAR(CD$46)-YEAR('融资租赁与资金缺口'!$F$11))*12+MONTH(CD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CD$46)-YEAR('融资租赁与资金缺口'!$F$11))*12+MONTH(CD$46)-MONTH('融资租赁与资金缺口'!$F$11)),'融资租赁与资金缺口'!$E$11*(1+'融资租赁与资金缺口'!$I$11)^((YEAR(CD$46)-YEAR('融资租赁与资金缺口'!$F$11))*12+MONTH(CD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CD$46)-YEAR('融资租赁与资金缺口'!$F$11))*12+MONTH(CD$46)-MONTH('融资租赁与资金缺口'!$F$11))-1)/'融资租赁与资金缺口'!$I$11))))),IF(CD$46&lt;'融资租赁与资金缺口'!$F$12,0,IF(CD$46='融资租赁与资金缺口'!$F$12,'融资租赁与资金缺口'!$E$12,IF(((YEAR(CD$46)-YEAR('融资租赁与资金缺口'!$F$12))*12+MONTH(CD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CD$46)-YEAR('融资租赁与资金缺口'!$F$12))*12+MONTH(CD$46)-MONTH('融资租赁与资金缺口'!$F$12)),'融资租赁与资金缺口'!$E$12*(1+'融资租赁与资金缺口'!$I$12)^((YEAR(CD$46)-YEAR('融资租赁与资金缺口'!$F$12))*12+MONTH(CD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CD$46)-YEAR('融资租赁与资金缺口'!$F$12))*12+MONTH(CD$46)-MONTH('融资租赁与资金缺口'!$F$12))-1)/'融资租赁与资金缺口'!$I$12))))),IF(CD$46&lt;'融资租赁与资金缺口'!$F$13,0,IF(CD$46='融资租赁与资金缺口'!$F$13,'融资租赁与资金缺口'!$E$13,IF(((YEAR(CD$46)-YEAR('融资租赁与资金缺口'!$F$13))*12+MONTH(CD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CD$46)-YEAR('融资租赁与资金缺口'!$F$13))*12+MONTH(CD$46)-MONTH('融资租赁与资金缺口'!$F$13)),'融资租赁与资金缺口'!$E$13*(1+'融资租赁与资金缺口'!$I$13)^((YEAR(CD$46)-YEAR('融资租赁与资金缺口'!$F$13))*12+MONTH(CD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CD$46)-YEAR('融资租赁与资金缺口'!$F$13))*12+MONTH(CD$46)-MONTH('融资租赁与资金缺口'!$F$13))-1)/'融资租赁与资金缺口'!$I$13))))),IF(CD$46&lt;'融资租赁与资金缺口'!$F$14,0,IF(CD$46='融资租赁与资金缺口'!$F$14,'融资租赁与资金缺口'!$E$14,IF(((YEAR(CD$46)-YEAR('融资租赁与资金缺口'!$F$14))*12+MONTH(CD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CD$46)-YEAR('融资租赁与资金缺口'!$F$14))*12+MONTH(CD$46)-MONTH('融资租赁与资金缺口'!$F$14)),'融资租赁与资金缺口'!$E$14*(1+'融资租赁与资金缺口'!$I$14)^((YEAR(CD$46)-YEAR('融资租赁与资金缺口'!$F$14))*12+MONTH(CD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CD$46)-YEAR('融资租赁与资金缺口'!$F$14))*12+MONTH(CD$46)-MONTH('融资租赁与资金缺口'!$F$14))-1)/'融资租赁与资金缺口'!$I$14))))),IF(CD$46&lt;'融资租赁与资金缺口'!$F$15,0,IF(CD$46='融资租赁与资金缺口'!$F$15,'融资租赁与资金缺口'!$E$15,IF(((YEAR(CD$46)-YEAR('融资租赁与资金缺口'!$F$15))*12+MONTH(CD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CD$46)-YEAR('融资租赁与资金缺口'!$F$15))*12+MONTH(CD$46)-MONTH('融资租赁与资金缺口'!$F$15)),'融资租赁与资金缺口'!$E$15*(1+'融资租赁与资金缺口'!$I$15)^((YEAR(CD$46)-YEAR('融资租赁与资金缺口'!$F$15))*12+MONTH(CD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CD$46)-YEAR('融资租赁与资金缺口'!$F$15))*12+MONTH(CD$46)-MONTH('融资租赁与资金缺口'!$F$15))-1)/'融资租赁与资金缺口'!$I$15))))),IF(CD$46&lt;'融资租赁与资金缺口'!$F$16,0,IF(CD$46='融资租赁与资金缺口'!$F$16,'融资租赁与资金缺口'!$E$16,IF(((YEAR(CD$46)-YEAR('融资租赁与资金缺口'!$F$16))*12+MONTH(CD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CD$46)-YEAR('融资租赁与资金缺口'!$F$16))*12+MONTH(CD$46)-MONTH('融资租赁与资金缺口'!$F$16)),'融资租赁与资金缺口'!$E$16*(1+'融资租赁与资金缺口'!$I$16)^((YEAR(CD$46)-YEAR('融资租赁与资金缺口'!$F$16))*12+MONTH(CD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CD$46)-YEAR('融资租赁与资金缺口'!$F$16))*12+MONTH(CD$46)-MONTH('融资租赁与资金缺口'!$F$16))-1)/'融资租赁与资金缺口'!$I$16))))))</x:f>
        <x:v>0</x:v>
      </x:c>
      <x:c r="CE48" s="28" t="n">
        <x:f>SUM(IF(CE$46&lt;'融资租赁与资金缺口'!$F$5,0,IF(CE$46='融资租赁与资金缺口'!$F$5,'融资租赁与资金缺口'!$E$5,IF(((YEAR(CE$46)-YEAR('融资租赁与资金缺口'!$F$5))*12+MONTH(CE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CE$46)-YEAR('融资租赁与资金缺口'!$F$5))*12+MONTH(CE$46)-MONTH('融资租赁与资金缺口'!$F$5)),'融资租赁与资金缺口'!$E$5*(1+'融资租赁与资金缺口'!$I$5)^((YEAR(CE$46)-YEAR('融资租赁与资金缺口'!$F$5))*12+MONTH(CE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CE$46)-YEAR('融资租赁与资金缺口'!$F$5))*12+MONTH(CE$46)-MONTH('融资租赁与资金缺口'!$F$5))-1)/'融资租赁与资金缺口'!$I$5))))),IF(CE$46&lt;'融资租赁与资金缺口'!$F$6,0,IF(CE$46='融资租赁与资金缺口'!$F$6,'融资租赁与资金缺口'!$E$6,IF(((YEAR(CE$46)-YEAR('融资租赁与资金缺口'!$F$6))*12+MONTH(CE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CE$46)-YEAR('融资租赁与资金缺口'!$F$6))*12+MONTH(CE$46)-MONTH('融资租赁与资金缺口'!$F$6)),'融资租赁与资金缺口'!$E$6*(1+'融资租赁与资金缺口'!$I$6)^((YEAR(CE$46)-YEAR('融资租赁与资金缺口'!$F$6))*12+MONTH(CE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CE$46)-YEAR('融资租赁与资金缺口'!$F$6))*12+MONTH(CE$46)-MONTH('融资租赁与资金缺口'!$F$6))-1)/'融资租赁与资金缺口'!$I$6))))),IF(CE$46&lt;'融资租赁与资金缺口'!$F$7,0,IF(CE$46='融资租赁与资金缺口'!$F$7,'融资租赁与资金缺口'!$E$7,IF(((YEAR(CE$46)-YEAR('融资租赁与资金缺口'!$F$7))*12+MONTH(CE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CE$46)-YEAR('融资租赁与资金缺口'!$F$7))*12+MONTH(CE$46)-MONTH('融资租赁与资金缺口'!$F$7)),'融资租赁与资金缺口'!$E$7*(1+'融资租赁与资金缺口'!$I$7)^((YEAR(CE$46)-YEAR('融资租赁与资金缺口'!$F$7))*12+MONTH(CE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CE$46)-YEAR('融资租赁与资金缺口'!$F$7))*12+MONTH(CE$46)-MONTH('融资租赁与资金缺口'!$F$7))-1)/'融资租赁与资金缺口'!$I$7))))),IF(CE$46&lt;'融资租赁与资金缺口'!$F$8,0,IF(CE$46='融资租赁与资金缺口'!$F$8,'融资租赁与资金缺口'!$E$8,IF(((YEAR(CE$46)-YEAR('融资租赁与资金缺口'!$F$8))*12+MONTH(CE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CE$46)-YEAR('融资租赁与资金缺口'!$F$8))*12+MONTH(CE$46)-MONTH('融资租赁与资金缺口'!$F$8)),'融资租赁与资金缺口'!$E$8*(1+'融资租赁与资金缺口'!$I$8)^((YEAR(CE$46)-YEAR('融资租赁与资金缺口'!$F$8))*12+MONTH(CE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CE$46)-YEAR('融资租赁与资金缺口'!$F$8))*12+MONTH(CE$46)-MONTH('融资租赁与资金缺口'!$F$8))-1)/'融资租赁与资金缺口'!$I$8))))),IF(CE$46&lt;'融资租赁与资金缺口'!$F$9,0,IF(CE$46='融资租赁与资金缺口'!$F$9,'融资租赁与资金缺口'!$E$9,IF(((YEAR(CE$46)-YEAR('融资租赁与资金缺口'!$F$9))*12+MONTH(CE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CE$46)-YEAR('融资租赁与资金缺口'!$F$9))*12+MONTH(CE$46)-MONTH('融资租赁与资金缺口'!$F$9)),'融资租赁与资金缺口'!$E$9*(1+'融资租赁与资金缺口'!$I$9)^((YEAR(CE$46)-YEAR('融资租赁与资金缺口'!$F$9))*12+MONTH(CE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CE$46)-YEAR('融资租赁与资金缺口'!$F$9))*12+MONTH(CE$46)-MONTH('融资租赁与资金缺口'!$F$9))-1)/'融资租赁与资金缺口'!$I$9))))),IF(CE$46&lt;'融资租赁与资金缺口'!$F$10,0,IF(CE$46='融资租赁与资金缺口'!$F$10,'融资租赁与资金缺口'!$E$10,IF(((YEAR(CE$46)-YEAR('融资租赁与资金缺口'!$F$10))*12+MONTH(CE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CE$46)-YEAR('融资租赁与资金缺口'!$F$10))*12+MONTH(CE$46)-MONTH('融资租赁与资金缺口'!$F$10)),'融资租赁与资金缺口'!$E$10*(1+'融资租赁与资金缺口'!$I$10)^((YEAR(CE$46)-YEAR('融资租赁与资金缺口'!$F$10))*12+MONTH(CE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CE$46)-YEAR('融资租赁与资金缺口'!$F$10))*12+MONTH(CE$46)-MONTH('融资租赁与资金缺口'!$F$10))-1)/'融资租赁与资金缺口'!$I$10))))),IF(CE$46&lt;'融资租赁与资金缺口'!$F$11,0,IF(CE$46='融资租赁与资金缺口'!$F$11,'融资租赁与资金缺口'!$E$11,IF(((YEAR(CE$46)-YEAR('融资租赁与资金缺口'!$F$11))*12+MONTH(CE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CE$46)-YEAR('融资租赁与资金缺口'!$F$11))*12+MONTH(CE$46)-MONTH('融资租赁与资金缺口'!$F$11)),'融资租赁与资金缺口'!$E$11*(1+'融资租赁与资金缺口'!$I$11)^((YEAR(CE$46)-YEAR('融资租赁与资金缺口'!$F$11))*12+MONTH(CE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CE$46)-YEAR('融资租赁与资金缺口'!$F$11))*12+MONTH(CE$46)-MONTH('融资租赁与资金缺口'!$F$11))-1)/'融资租赁与资金缺口'!$I$11))))),IF(CE$46&lt;'融资租赁与资金缺口'!$F$12,0,IF(CE$46='融资租赁与资金缺口'!$F$12,'融资租赁与资金缺口'!$E$12,IF(((YEAR(CE$46)-YEAR('融资租赁与资金缺口'!$F$12))*12+MONTH(CE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CE$46)-YEAR('融资租赁与资金缺口'!$F$12))*12+MONTH(CE$46)-MONTH('融资租赁与资金缺口'!$F$12)),'融资租赁与资金缺口'!$E$12*(1+'融资租赁与资金缺口'!$I$12)^((YEAR(CE$46)-YEAR('融资租赁与资金缺口'!$F$12))*12+MONTH(CE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CE$46)-YEAR('融资租赁与资金缺口'!$F$12))*12+MONTH(CE$46)-MONTH('融资租赁与资金缺口'!$F$12))-1)/'融资租赁与资金缺口'!$I$12))))),IF(CE$46&lt;'融资租赁与资金缺口'!$F$13,0,IF(CE$46='融资租赁与资金缺口'!$F$13,'融资租赁与资金缺口'!$E$13,IF(((YEAR(CE$46)-YEAR('融资租赁与资金缺口'!$F$13))*12+MONTH(CE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CE$46)-YEAR('融资租赁与资金缺口'!$F$13))*12+MONTH(CE$46)-MONTH('融资租赁与资金缺口'!$F$13)),'融资租赁与资金缺口'!$E$13*(1+'融资租赁与资金缺口'!$I$13)^((YEAR(CE$46)-YEAR('融资租赁与资金缺口'!$F$13))*12+MONTH(CE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CE$46)-YEAR('融资租赁与资金缺口'!$F$13))*12+MONTH(CE$46)-MONTH('融资租赁与资金缺口'!$F$13))-1)/'融资租赁与资金缺口'!$I$13))))),IF(CE$46&lt;'融资租赁与资金缺口'!$F$14,0,IF(CE$46='融资租赁与资金缺口'!$F$14,'融资租赁与资金缺口'!$E$14,IF(((YEAR(CE$46)-YEAR('融资租赁与资金缺口'!$F$14))*12+MONTH(CE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CE$46)-YEAR('融资租赁与资金缺口'!$F$14))*12+MONTH(CE$46)-MONTH('融资租赁与资金缺口'!$F$14)),'融资租赁与资金缺口'!$E$14*(1+'融资租赁与资金缺口'!$I$14)^((YEAR(CE$46)-YEAR('融资租赁与资金缺口'!$F$14))*12+MONTH(CE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CE$46)-YEAR('融资租赁与资金缺口'!$F$14))*12+MONTH(CE$46)-MONTH('融资租赁与资金缺口'!$F$14))-1)/'融资租赁与资金缺口'!$I$14))))),IF(CE$46&lt;'融资租赁与资金缺口'!$F$15,0,IF(CE$46='融资租赁与资金缺口'!$F$15,'融资租赁与资金缺口'!$E$15,IF(((YEAR(CE$46)-YEAR('融资租赁与资金缺口'!$F$15))*12+MONTH(CE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CE$46)-YEAR('融资租赁与资金缺口'!$F$15))*12+MONTH(CE$46)-MONTH('融资租赁与资金缺口'!$F$15)),'融资租赁与资金缺口'!$E$15*(1+'融资租赁与资金缺口'!$I$15)^((YEAR(CE$46)-YEAR('融资租赁与资金缺口'!$F$15))*12+MONTH(CE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CE$46)-YEAR('融资租赁与资金缺口'!$F$15))*12+MONTH(CE$46)-MONTH('融资租赁与资金缺口'!$F$15))-1)/'融资租赁与资金缺口'!$I$15))))),IF(CE$46&lt;'融资租赁与资金缺口'!$F$16,0,IF(CE$46='融资租赁与资金缺口'!$F$16,'融资租赁与资金缺口'!$E$16,IF(((YEAR(CE$46)-YEAR('融资租赁与资金缺口'!$F$16))*12+MONTH(CE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CE$46)-YEAR('融资租赁与资金缺口'!$F$16))*12+MONTH(CE$46)-MONTH('融资租赁与资金缺口'!$F$16)),'融资租赁与资金缺口'!$E$16*(1+'融资租赁与资金缺口'!$I$16)^((YEAR(CE$46)-YEAR('融资租赁与资金缺口'!$F$16))*12+MONTH(CE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CE$46)-YEAR('融资租赁与资金缺口'!$F$16))*12+MONTH(CE$46)-MONTH('融资租赁与资金缺口'!$F$16))-1)/'融资租赁与资金缺口'!$I$16))))))</x:f>
        <x:v>0</x:v>
      </x:c>
      <x:c r="CF48" s="28" t="n">
        <x:f>SUM(IF(CF$46&lt;'融资租赁与资金缺口'!$F$5,0,IF(CF$46='融资租赁与资金缺口'!$F$5,'融资租赁与资金缺口'!$E$5,IF(((YEAR(CF$46)-YEAR('融资租赁与资金缺口'!$F$5))*12+MONTH(CF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CF$46)-YEAR('融资租赁与资金缺口'!$F$5))*12+MONTH(CF$46)-MONTH('融资租赁与资金缺口'!$F$5)),'融资租赁与资金缺口'!$E$5*(1+'融资租赁与资金缺口'!$I$5)^((YEAR(CF$46)-YEAR('融资租赁与资金缺口'!$F$5))*12+MONTH(CF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CF$46)-YEAR('融资租赁与资金缺口'!$F$5))*12+MONTH(CF$46)-MONTH('融资租赁与资金缺口'!$F$5))-1)/'融资租赁与资金缺口'!$I$5))))),IF(CF$46&lt;'融资租赁与资金缺口'!$F$6,0,IF(CF$46='融资租赁与资金缺口'!$F$6,'融资租赁与资金缺口'!$E$6,IF(((YEAR(CF$46)-YEAR('融资租赁与资金缺口'!$F$6))*12+MONTH(CF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CF$46)-YEAR('融资租赁与资金缺口'!$F$6))*12+MONTH(CF$46)-MONTH('融资租赁与资金缺口'!$F$6)),'融资租赁与资金缺口'!$E$6*(1+'融资租赁与资金缺口'!$I$6)^((YEAR(CF$46)-YEAR('融资租赁与资金缺口'!$F$6))*12+MONTH(CF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CF$46)-YEAR('融资租赁与资金缺口'!$F$6))*12+MONTH(CF$46)-MONTH('融资租赁与资金缺口'!$F$6))-1)/'融资租赁与资金缺口'!$I$6))))),IF(CF$46&lt;'融资租赁与资金缺口'!$F$7,0,IF(CF$46='融资租赁与资金缺口'!$F$7,'融资租赁与资金缺口'!$E$7,IF(((YEAR(CF$46)-YEAR('融资租赁与资金缺口'!$F$7))*12+MONTH(CF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CF$46)-YEAR('融资租赁与资金缺口'!$F$7))*12+MONTH(CF$46)-MONTH('融资租赁与资金缺口'!$F$7)),'融资租赁与资金缺口'!$E$7*(1+'融资租赁与资金缺口'!$I$7)^((YEAR(CF$46)-YEAR('融资租赁与资金缺口'!$F$7))*12+MONTH(CF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CF$46)-YEAR('融资租赁与资金缺口'!$F$7))*12+MONTH(CF$46)-MONTH('融资租赁与资金缺口'!$F$7))-1)/'融资租赁与资金缺口'!$I$7))))),IF(CF$46&lt;'融资租赁与资金缺口'!$F$8,0,IF(CF$46='融资租赁与资金缺口'!$F$8,'融资租赁与资金缺口'!$E$8,IF(((YEAR(CF$46)-YEAR('融资租赁与资金缺口'!$F$8))*12+MONTH(CF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CF$46)-YEAR('融资租赁与资金缺口'!$F$8))*12+MONTH(CF$46)-MONTH('融资租赁与资金缺口'!$F$8)),'融资租赁与资金缺口'!$E$8*(1+'融资租赁与资金缺口'!$I$8)^((YEAR(CF$46)-YEAR('融资租赁与资金缺口'!$F$8))*12+MONTH(CF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CF$46)-YEAR('融资租赁与资金缺口'!$F$8))*12+MONTH(CF$46)-MONTH('融资租赁与资金缺口'!$F$8))-1)/'融资租赁与资金缺口'!$I$8))))),IF(CF$46&lt;'融资租赁与资金缺口'!$F$9,0,IF(CF$46='融资租赁与资金缺口'!$F$9,'融资租赁与资金缺口'!$E$9,IF(((YEAR(CF$46)-YEAR('融资租赁与资金缺口'!$F$9))*12+MONTH(CF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CF$46)-YEAR('融资租赁与资金缺口'!$F$9))*12+MONTH(CF$46)-MONTH('融资租赁与资金缺口'!$F$9)),'融资租赁与资金缺口'!$E$9*(1+'融资租赁与资金缺口'!$I$9)^((YEAR(CF$46)-YEAR('融资租赁与资金缺口'!$F$9))*12+MONTH(CF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CF$46)-YEAR('融资租赁与资金缺口'!$F$9))*12+MONTH(CF$46)-MONTH('融资租赁与资金缺口'!$F$9))-1)/'融资租赁与资金缺口'!$I$9))))),IF(CF$46&lt;'融资租赁与资金缺口'!$F$10,0,IF(CF$46='融资租赁与资金缺口'!$F$10,'融资租赁与资金缺口'!$E$10,IF(((YEAR(CF$46)-YEAR('融资租赁与资金缺口'!$F$10))*12+MONTH(CF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CF$46)-YEAR('融资租赁与资金缺口'!$F$10))*12+MONTH(CF$46)-MONTH('融资租赁与资金缺口'!$F$10)),'融资租赁与资金缺口'!$E$10*(1+'融资租赁与资金缺口'!$I$10)^((YEAR(CF$46)-YEAR('融资租赁与资金缺口'!$F$10))*12+MONTH(CF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CF$46)-YEAR('融资租赁与资金缺口'!$F$10))*12+MONTH(CF$46)-MONTH('融资租赁与资金缺口'!$F$10))-1)/'融资租赁与资金缺口'!$I$10))))),IF(CF$46&lt;'融资租赁与资金缺口'!$F$11,0,IF(CF$46='融资租赁与资金缺口'!$F$11,'融资租赁与资金缺口'!$E$11,IF(((YEAR(CF$46)-YEAR('融资租赁与资金缺口'!$F$11))*12+MONTH(CF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CF$46)-YEAR('融资租赁与资金缺口'!$F$11))*12+MONTH(CF$46)-MONTH('融资租赁与资金缺口'!$F$11)),'融资租赁与资金缺口'!$E$11*(1+'融资租赁与资金缺口'!$I$11)^((YEAR(CF$46)-YEAR('融资租赁与资金缺口'!$F$11))*12+MONTH(CF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CF$46)-YEAR('融资租赁与资金缺口'!$F$11))*12+MONTH(CF$46)-MONTH('融资租赁与资金缺口'!$F$11))-1)/'融资租赁与资金缺口'!$I$11))))),IF(CF$46&lt;'融资租赁与资金缺口'!$F$12,0,IF(CF$46='融资租赁与资金缺口'!$F$12,'融资租赁与资金缺口'!$E$12,IF(((YEAR(CF$46)-YEAR('融资租赁与资金缺口'!$F$12))*12+MONTH(CF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CF$46)-YEAR('融资租赁与资金缺口'!$F$12))*12+MONTH(CF$46)-MONTH('融资租赁与资金缺口'!$F$12)),'融资租赁与资金缺口'!$E$12*(1+'融资租赁与资金缺口'!$I$12)^((YEAR(CF$46)-YEAR('融资租赁与资金缺口'!$F$12))*12+MONTH(CF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CF$46)-YEAR('融资租赁与资金缺口'!$F$12))*12+MONTH(CF$46)-MONTH('融资租赁与资金缺口'!$F$12))-1)/'融资租赁与资金缺口'!$I$12))))),IF(CF$46&lt;'融资租赁与资金缺口'!$F$13,0,IF(CF$46='融资租赁与资金缺口'!$F$13,'融资租赁与资金缺口'!$E$13,IF(((YEAR(CF$46)-YEAR('融资租赁与资金缺口'!$F$13))*12+MONTH(CF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CF$46)-YEAR('融资租赁与资金缺口'!$F$13))*12+MONTH(CF$46)-MONTH('融资租赁与资金缺口'!$F$13)),'融资租赁与资金缺口'!$E$13*(1+'融资租赁与资金缺口'!$I$13)^((YEAR(CF$46)-YEAR('融资租赁与资金缺口'!$F$13))*12+MONTH(CF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CF$46)-YEAR('融资租赁与资金缺口'!$F$13))*12+MONTH(CF$46)-MONTH('融资租赁与资金缺口'!$F$13))-1)/'融资租赁与资金缺口'!$I$13))))),IF(CF$46&lt;'融资租赁与资金缺口'!$F$14,0,IF(CF$46='融资租赁与资金缺口'!$F$14,'融资租赁与资金缺口'!$E$14,IF(((YEAR(CF$46)-YEAR('融资租赁与资金缺口'!$F$14))*12+MONTH(CF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CF$46)-YEAR('融资租赁与资金缺口'!$F$14))*12+MONTH(CF$46)-MONTH('融资租赁与资金缺口'!$F$14)),'融资租赁与资金缺口'!$E$14*(1+'融资租赁与资金缺口'!$I$14)^((YEAR(CF$46)-YEAR('融资租赁与资金缺口'!$F$14))*12+MONTH(CF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CF$46)-YEAR('融资租赁与资金缺口'!$F$14))*12+MONTH(CF$46)-MONTH('融资租赁与资金缺口'!$F$14))-1)/'融资租赁与资金缺口'!$I$14))))),IF(CF$46&lt;'融资租赁与资金缺口'!$F$15,0,IF(CF$46='融资租赁与资金缺口'!$F$15,'融资租赁与资金缺口'!$E$15,IF(((YEAR(CF$46)-YEAR('融资租赁与资金缺口'!$F$15))*12+MONTH(CF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CF$46)-YEAR('融资租赁与资金缺口'!$F$15))*12+MONTH(CF$46)-MONTH('融资租赁与资金缺口'!$F$15)),'融资租赁与资金缺口'!$E$15*(1+'融资租赁与资金缺口'!$I$15)^((YEAR(CF$46)-YEAR('融资租赁与资金缺口'!$F$15))*12+MONTH(CF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CF$46)-YEAR('融资租赁与资金缺口'!$F$15))*12+MONTH(CF$46)-MONTH('融资租赁与资金缺口'!$F$15))-1)/'融资租赁与资金缺口'!$I$15))))),IF(CF$46&lt;'融资租赁与资金缺口'!$F$16,0,IF(CF$46='融资租赁与资金缺口'!$F$16,'融资租赁与资金缺口'!$E$16,IF(((YEAR(CF$46)-YEAR('融资租赁与资金缺口'!$F$16))*12+MONTH(CF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CF$46)-YEAR('融资租赁与资金缺口'!$F$16))*12+MONTH(CF$46)-MONTH('融资租赁与资金缺口'!$F$16)),'融资租赁与资金缺口'!$E$16*(1+'融资租赁与资金缺口'!$I$16)^((YEAR(CF$46)-YEAR('融资租赁与资金缺口'!$F$16))*12+MONTH(CF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CF$46)-YEAR('融资租赁与资金缺口'!$F$16))*12+MONTH(CF$46)-MONTH('融资租赁与资金缺口'!$F$16))-1)/'融资租赁与资金缺口'!$I$16))))))</x:f>
        <x:v>0</x:v>
      </x:c>
      <x:c r="CG48" s="28" t="n">
        <x:f>SUM(IF(CG$46&lt;'融资租赁与资金缺口'!$F$5,0,IF(CG$46='融资租赁与资金缺口'!$F$5,'融资租赁与资金缺口'!$E$5,IF(((YEAR(CG$46)-YEAR('融资租赁与资金缺口'!$F$5))*12+MONTH(CG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CG$46)-YEAR('融资租赁与资金缺口'!$F$5))*12+MONTH(CG$46)-MONTH('融资租赁与资金缺口'!$F$5)),'融资租赁与资金缺口'!$E$5*(1+'融资租赁与资金缺口'!$I$5)^((YEAR(CG$46)-YEAR('融资租赁与资金缺口'!$F$5))*12+MONTH(CG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CG$46)-YEAR('融资租赁与资金缺口'!$F$5))*12+MONTH(CG$46)-MONTH('融资租赁与资金缺口'!$F$5))-1)/'融资租赁与资金缺口'!$I$5))))),IF(CG$46&lt;'融资租赁与资金缺口'!$F$6,0,IF(CG$46='融资租赁与资金缺口'!$F$6,'融资租赁与资金缺口'!$E$6,IF(((YEAR(CG$46)-YEAR('融资租赁与资金缺口'!$F$6))*12+MONTH(CG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CG$46)-YEAR('融资租赁与资金缺口'!$F$6))*12+MONTH(CG$46)-MONTH('融资租赁与资金缺口'!$F$6)),'融资租赁与资金缺口'!$E$6*(1+'融资租赁与资金缺口'!$I$6)^((YEAR(CG$46)-YEAR('融资租赁与资金缺口'!$F$6))*12+MONTH(CG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CG$46)-YEAR('融资租赁与资金缺口'!$F$6))*12+MONTH(CG$46)-MONTH('融资租赁与资金缺口'!$F$6))-1)/'融资租赁与资金缺口'!$I$6))))),IF(CG$46&lt;'融资租赁与资金缺口'!$F$7,0,IF(CG$46='融资租赁与资金缺口'!$F$7,'融资租赁与资金缺口'!$E$7,IF(((YEAR(CG$46)-YEAR('融资租赁与资金缺口'!$F$7))*12+MONTH(CG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CG$46)-YEAR('融资租赁与资金缺口'!$F$7))*12+MONTH(CG$46)-MONTH('融资租赁与资金缺口'!$F$7)),'融资租赁与资金缺口'!$E$7*(1+'融资租赁与资金缺口'!$I$7)^((YEAR(CG$46)-YEAR('融资租赁与资金缺口'!$F$7))*12+MONTH(CG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CG$46)-YEAR('融资租赁与资金缺口'!$F$7))*12+MONTH(CG$46)-MONTH('融资租赁与资金缺口'!$F$7))-1)/'融资租赁与资金缺口'!$I$7))))),IF(CG$46&lt;'融资租赁与资金缺口'!$F$8,0,IF(CG$46='融资租赁与资金缺口'!$F$8,'融资租赁与资金缺口'!$E$8,IF(((YEAR(CG$46)-YEAR('融资租赁与资金缺口'!$F$8))*12+MONTH(CG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CG$46)-YEAR('融资租赁与资金缺口'!$F$8))*12+MONTH(CG$46)-MONTH('融资租赁与资金缺口'!$F$8)),'融资租赁与资金缺口'!$E$8*(1+'融资租赁与资金缺口'!$I$8)^((YEAR(CG$46)-YEAR('融资租赁与资金缺口'!$F$8))*12+MONTH(CG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CG$46)-YEAR('融资租赁与资金缺口'!$F$8))*12+MONTH(CG$46)-MONTH('融资租赁与资金缺口'!$F$8))-1)/'融资租赁与资金缺口'!$I$8))))),IF(CG$46&lt;'融资租赁与资金缺口'!$F$9,0,IF(CG$46='融资租赁与资金缺口'!$F$9,'融资租赁与资金缺口'!$E$9,IF(((YEAR(CG$46)-YEAR('融资租赁与资金缺口'!$F$9))*12+MONTH(CG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CG$46)-YEAR('融资租赁与资金缺口'!$F$9))*12+MONTH(CG$46)-MONTH('融资租赁与资金缺口'!$F$9)),'融资租赁与资金缺口'!$E$9*(1+'融资租赁与资金缺口'!$I$9)^((YEAR(CG$46)-YEAR('融资租赁与资金缺口'!$F$9))*12+MONTH(CG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CG$46)-YEAR('融资租赁与资金缺口'!$F$9))*12+MONTH(CG$46)-MONTH('融资租赁与资金缺口'!$F$9))-1)/'融资租赁与资金缺口'!$I$9))))),IF(CG$46&lt;'融资租赁与资金缺口'!$F$10,0,IF(CG$46='融资租赁与资金缺口'!$F$10,'融资租赁与资金缺口'!$E$10,IF(((YEAR(CG$46)-YEAR('融资租赁与资金缺口'!$F$10))*12+MONTH(CG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CG$46)-YEAR('融资租赁与资金缺口'!$F$10))*12+MONTH(CG$46)-MONTH('融资租赁与资金缺口'!$F$10)),'融资租赁与资金缺口'!$E$10*(1+'融资租赁与资金缺口'!$I$10)^((YEAR(CG$46)-YEAR('融资租赁与资金缺口'!$F$10))*12+MONTH(CG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CG$46)-YEAR('融资租赁与资金缺口'!$F$10))*12+MONTH(CG$46)-MONTH('融资租赁与资金缺口'!$F$10))-1)/'融资租赁与资金缺口'!$I$10))))),IF(CG$46&lt;'融资租赁与资金缺口'!$F$11,0,IF(CG$46='融资租赁与资金缺口'!$F$11,'融资租赁与资金缺口'!$E$11,IF(((YEAR(CG$46)-YEAR('融资租赁与资金缺口'!$F$11))*12+MONTH(CG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CG$46)-YEAR('融资租赁与资金缺口'!$F$11))*12+MONTH(CG$46)-MONTH('融资租赁与资金缺口'!$F$11)),'融资租赁与资金缺口'!$E$11*(1+'融资租赁与资金缺口'!$I$11)^((YEAR(CG$46)-YEAR('融资租赁与资金缺口'!$F$11))*12+MONTH(CG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CG$46)-YEAR('融资租赁与资金缺口'!$F$11))*12+MONTH(CG$46)-MONTH('融资租赁与资金缺口'!$F$11))-1)/'融资租赁与资金缺口'!$I$11))))),IF(CG$46&lt;'融资租赁与资金缺口'!$F$12,0,IF(CG$46='融资租赁与资金缺口'!$F$12,'融资租赁与资金缺口'!$E$12,IF(((YEAR(CG$46)-YEAR('融资租赁与资金缺口'!$F$12))*12+MONTH(CG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CG$46)-YEAR('融资租赁与资金缺口'!$F$12))*12+MONTH(CG$46)-MONTH('融资租赁与资金缺口'!$F$12)),'融资租赁与资金缺口'!$E$12*(1+'融资租赁与资金缺口'!$I$12)^((YEAR(CG$46)-YEAR('融资租赁与资金缺口'!$F$12))*12+MONTH(CG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CG$46)-YEAR('融资租赁与资金缺口'!$F$12))*12+MONTH(CG$46)-MONTH('融资租赁与资金缺口'!$F$12))-1)/'融资租赁与资金缺口'!$I$12))))),IF(CG$46&lt;'融资租赁与资金缺口'!$F$13,0,IF(CG$46='融资租赁与资金缺口'!$F$13,'融资租赁与资金缺口'!$E$13,IF(((YEAR(CG$46)-YEAR('融资租赁与资金缺口'!$F$13))*12+MONTH(CG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CG$46)-YEAR('融资租赁与资金缺口'!$F$13))*12+MONTH(CG$46)-MONTH('融资租赁与资金缺口'!$F$13)),'融资租赁与资金缺口'!$E$13*(1+'融资租赁与资金缺口'!$I$13)^((YEAR(CG$46)-YEAR('融资租赁与资金缺口'!$F$13))*12+MONTH(CG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CG$46)-YEAR('融资租赁与资金缺口'!$F$13))*12+MONTH(CG$46)-MONTH('融资租赁与资金缺口'!$F$13))-1)/'融资租赁与资金缺口'!$I$13))))),IF(CG$46&lt;'融资租赁与资金缺口'!$F$14,0,IF(CG$46='融资租赁与资金缺口'!$F$14,'融资租赁与资金缺口'!$E$14,IF(((YEAR(CG$46)-YEAR('融资租赁与资金缺口'!$F$14))*12+MONTH(CG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CG$46)-YEAR('融资租赁与资金缺口'!$F$14))*12+MONTH(CG$46)-MONTH('融资租赁与资金缺口'!$F$14)),'融资租赁与资金缺口'!$E$14*(1+'融资租赁与资金缺口'!$I$14)^((YEAR(CG$46)-YEAR('融资租赁与资金缺口'!$F$14))*12+MONTH(CG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CG$46)-YEAR('融资租赁与资金缺口'!$F$14))*12+MONTH(CG$46)-MONTH('融资租赁与资金缺口'!$F$14))-1)/'融资租赁与资金缺口'!$I$14))))),IF(CG$46&lt;'融资租赁与资金缺口'!$F$15,0,IF(CG$46='融资租赁与资金缺口'!$F$15,'融资租赁与资金缺口'!$E$15,IF(((YEAR(CG$46)-YEAR('融资租赁与资金缺口'!$F$15))*12+MONTH(CG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CG$46)-YEAR('融资租赁与资金缺口'!$F$15))*12+MONTH(CG$46)-MONTH('融资租赁与资金缺口'!$F$15)),'融资租赁与资金缺口'!$E$15*(1+'融资租赁与资金缺口'!$I$15)^((YEAR(CG$46)-YEAR('融资租赁与资金缺口'!$F$15))*12+MONTH(CG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CG$46)-YEAR('融资租赁与资金缺口'!$F$15))*12+MONTH(CG$46)-MONTH('融资租赁与资金缺口'!$F$15))-1)/'融资租赁与资金缺口'!$I$15))))),IF(CG$46&lt;'融资租赁与资金缺口'!$F$16,0,IF(CG$46='融资租赁与资金缺口'!$F$16,'融资租赁与资金缺口'!$E$16,IF(((YEAR(CG$46)-YEAR('融资租赁与资金缺口'!$F$16))*12+MONTH(CG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CG$46)-YEAR('融资租赁与资金缺口'!$F$16))*12+MONTH(CG$46)-MONTH('融资租赁与资金缺口'!$F$16)),'融资租赁与资金缺口'!$E$16*(1+'融资租赁与资金缺口'!$I$16)^((YEAR(CG$46)-YEAR('融资租赁与资金缺口'!$F$16))*12+MONTH(CG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CG$46)-YEAR('融资租赁与资金缺口'!$F$16))*12+MONTH(CG$46)-MONTH('融资租赁与资金缺口'!$F$16))-1)/'融资租赁与资金缺口'!$I$16))))))</x:f>
        <x:v>0</x:v>
      </x:c>
      <x:c r="CH48" s="28" t="n">
        <x:f>SUM(IF(CH$46&lt;'融资租赁与资金缺口'!$F$5,0,IF(CH$46='融资租赁与资金缺口'!$F$5,'融资租赁与资金缺口'!$E$5,IF(((YEAR(CH$46)-YEAR('融资租赁与资金缺口'!$F$5))*12+MONTH(CH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CH$46)-YEAR('融资租赁与资金缺口'!$F$5))*12+MONTH(CH$46)-MONTH('融资租赁与资金缺口'!$F$5)),'融资租赁与资金缺口'!$E$5*(1+'融资租赁与资金缺口'!$I$5)^((YEAR(CH$46)-YEAR('融资租赁与资金缺口'!$F$5))*12+MONTH(CH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CH$46)-YEAR('融资租赁与资金缺口'!$F$5))*12+MONTH(CH$46)-MONTH('融资租赁与资金缺口'!$F$5))-1)/'融资租赁与资金缺口'!$I$5))))),IF(CH$46&lt;'融资租赁与资金缺口'!$F$6,0,IF(CH$46='融资租赁与资金缺口'!$F$6,'融资租赁与资金缺口'!$E$6,IF(((YEAR(CH$46)-YEAR('融资租赁与资金缺口'!$F$6))*12+MONTH(CH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CH$46)-YEAR('融资租赁与资金缺口'!$F$6))*12+MONTH(CH$46)-MONTH('融资租赁与资金缺口'!$F$6)),'融资租赁与资金缺口'!$E$6*(1+'融资租赁与资金缺口'!$I$6)^((YEAR(CH$46)-YEAR('融资租赁与资金缺口'!$F$6))*12+MONTH(CH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CH$46)-YEAR('融资租赁与资金缺口'!$F$6))*12+MONTH(CH$46)-MONTH('融资租赁与资金缺口'!$F$6))-1)/'融资租赁与资金缺口'!$I$6))))),IF(CH$46&lt;'融资租赁与资金缺口'!$F$7,0,IF(CH$46='融资租赁与资金缺口'!$F$7,'融资租赁与资金缺口'!$E$7,IF(((YEAR(CH$46)-YEAR('融资租赁与资金缺口'!$F$7))*12+MONTH(CH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CH$46)-YEAR('融资租赁与资金缺口'!$F$7))*12+MONTH(CH$46)-MONTH('融资租赁与资金缺口'!$F$7)),'融资租赁与资金缺口'!$E$7*(1+'融资租赁与资金缺口'!$I$7)^((YEAR(CH$46)-YEAR('融资租赁与资金缺口'!$F$7))*12+MONTH(CH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CH$46)-YEAR('融资租赁与资金缺口'!$F$7))*12+MONTH(CH$46)-MONTH('融资租赁与资金缺口'!$F$7))-1)/'融资租赁与资金缺口'!$I$7))))),IF(CH$46&lt;'融资租赁与资金缺口'!$F$8,0,IF(CH$46='融资租赁与资金缺口'!$F$8,'融资租赁与资金缺口'!$E$8,IF(((YEAR(CH$46)-YEAR('融资租赁与资金缺口'!$F$8))*12+MONTH(CH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CH$46)-YEAR('融资租赁与资金缺口'!$F$8))*12+MONTH(CH$46)-MONTH('融资租赁与资金缺口'!$F$8)),'融资租赁与资金缺口'!$E$8*(1+'融资租赁与资金缺口'!$I$8)^((YEAR(CH$46)-YEAR('融资租赁与资金缺口'!$F$8))*12+MONTH(CH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CH$46)-YEAR('融资租赁与资金缺口'!$F$8))*12+MONTH(CH$46)-MONTH('融资租赁与资金缺口'!$F$8))-1)/'融资租赁与资金缺口'!$I$8))))),IF(CH$46&lt;'融资租赁与资金缺口'!$F$9,0,IF(CH$46='融资租赁与资金缺口'!$F$9,'融资租赁与资金缺口'!$E$9,IF(((YEAR(CH$46)-YEAR('融资租赁与资金缺口'!$F$9))*12+MONTH(CH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CH$46)-YEAR('融资租赁与资金缺口'!$F$9))*12+MONTH(CH$46)-MONTH('融资租赁与资金缺口'!$F$9)),'融资租赁与资金缺口'!$E$9*(1+'融资租赁与资金缺口'!$I$9)^((YEAR(CH$46)-YEAR('融资租赁与资金缺口'!$F$9))*12+MONTH(CH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CH$46)-YEAR('融资租赁与资金缺口'!$F$9))*12+MONTH(CH$46)-MONTH('融资租赁与资金缺口'!$F$9))-1)/'融资租赁与资金缺口'!$I$9))))),IF(CH$46&lt;'融资租赁与资金缺口'!$F$10,0,IF(CH$46='融资租赁与资金缺口'!$F$10,'融资租赁与资金缺口'!$E$10,IF(((YEAR(CH$46)-YEAR('融资租赁与资金缺口'!$F$10))*12+MONTH(CH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CH$46)-YEAR('融资租赁与资金缺口'!$F$10))*12+MONTH(CH$46)-MONTH('融资租赁与资金缺口'!$F$10)),'融资租赁与资金缺口'!$E$10*(1+'融资租赁与资金缺口'!$I$10)^((YEAR(CH$46)-YEAR('融资租赁与资金缺口'!$F$10))*12+MONTH(CH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CH$46)-YEAR('融资租赁与资金缺口'!$F$10))*12+MONTH(CH$46)-MONTH('融资租赁与资金缺口'!$F$10))-1)/'融资租赁与资金缺口'!$I$10))))),IF(CH$46&lt;'融资租赁与资金缺口'!$F$11,0,IF(CH$46='融资租赁与资金缺口'!$F$11,'融资租赁与资金缺口'!$E$11,IF(((YEAR(CH$46)-YEAR('融资租赁与资金缺口'!$F$11))*12+MONTH(CH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CH$46)-YEAR('融资租赁与资金缺口'!$F$11))*12+MONTH(CH$46)-MONTH('融资租赁与资金缺口'!$F$11)),'融资租赁与资金缺口'!$E$11*(1+'融资租赁与资金缺口'!$I$11)^((YEAR(CH$46)-YEAR('融资租赁与资金缺口'!$F$11))*12+MONTH(CH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CH$46)-YEAR('融资租赁与资金缺口'!$F$11))*12+MONTH(CH$46)-MONTH('融资租赁与资金缺口'!$F$11))-1)/'融资租赁与资金缺口'!$I$11))))),IF(CH$46&lt;'融资租赁与资金缺口'!$F$12,0,IF(CH$46='融资租赁与资金缺口'!$F$12,'融资租赁与资金缺口'!$E$12,IF(((YEAR(CH$46)-YEAR('融资租赁与资金缺口'!$F$12))*12+MONTH(CH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CH$46)-YEAR('融资租赁与资金缺口'!$F$12))*12+MONTH(CH$46)-MONTH('融资租赁与资金缺口'!$F$12)),'融资租赁与资金缺口'!$E$12*(1+'融资租赁与资金缺口'!$I$12)^((YEAR(CH$46)-YEAR('融资租赁与资金缺口'!$F$12))*12+MONTH(CH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CH$46)-YEAR('融资租赁与资金缺口'!$F$12))*12+MONTH(CH$46)-MONTH('融资租赁与资金缺口'!$F$12))-1)/'融资租赁与资金缺口'!$I$12))))),IF(CH$46&lt;'融资租赁与资金缺口'!$F$13,0,IF(CH$46='融资租赁与资金缺口'!$F$13,'融资租赁与资金缺口'!$E$13,IF(((YEAR(CH$46)-YEAR('融资租赁与资金缺口'!$F$13))*12+MONTH(CH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CH$46)-YEAR('融资租赁与资金缺口'!$F$13))*12+MONTH(CH$46)-MONTH('融资租赁与资金缺口'!$F$13)),'融资租赁与资金缺口'!$E$13*(1+'融资租赁与资金缺口'!$I$13)^((YEAR(CH$46)-YEAR('融资租赁与资金缺口'!$F$13))*12+MONTH(CH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CH$46)-YEAR('融资租赁与资金缺口'!$F$13))*12+MONTH(CH$46)-MONTH('融资租赁与资金缺口'!$F$13))-1)/'融资租赁与资金缺口'!$I$13))))),IF(CH$46&lt;'融资租赁与资金缺口'!$F$14,0,IF(CH$46='融资租赁与资金缺口'!$F$14,'融资租赁与资金缺口'!$E$14,IF(((YEAR(CH$46)-YEAR('融资租赁与资金缺口'!$F$14))*12+MONTH(CH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CH$46)-YEAR('融资租赁与资金缺口'!$F$14))*12+MONTH(CH$46)-MONTH('融资租赁与资金缺口'!$F$14)),'融资租赁与资金缺口'!$E$14*(1+'融资租赁与资金缺口'!$I$14)^((YEAR(CH$46)-YEAR('融资租赁与资金缺口'!$F$14))*12+MONTH(CH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CH$46)-YEAR('融资租赁与资金缺口'!$F$14))*12+MONTH(CH$46)-MONTH('融资租赁与资金缺口'!$F$14))-1)/'融资租赁与资金缺口'!$I$14))))),IF(CH$46&lt;'融资租赁与资金缺口'!$F$15,0,IF(CH$46='融资租赁与资金缺口'!$F$15,'融资租赁与资金缺口'!$E$15,IF(((YEAR(CH$46)-YEAR('融资租赁与资金缺口'!$F$15))*12+MONTH(CH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CH$46)-YEAR('融资租赁与资金缺口'!$F$15))*12+MONTH(CH$46)-MONTH('融资租赁与资金缺口'!$F$15)),'融资租赁与资金缺口'!$E$15*(1+'融资租赁与资金缺口'!$I$15)^((YEAR(CH$46)-YEAR('融资租赁与资金缺口'!$F$15))*12+MONTH(CH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CH$46)-YEAR('融资租赁与资金缺口'!$F$15))*12+MONTH(CH$46)-MONTH('融资租赁与资金缺口'!$F$15))-1)/'融资租赁与资金缺口'!$I$15))))),IF(CH$46&lt;'融资租赁与资金缺口'!$F$16,0,IF(CH$46='融资租赁与资金缺口'!$F$16,'融资租赁与资金缺口'!$E$16,IF(((YEAR(CH$46)-YEAR('融资租赁与资金缺口'!$F$16))*12+MONTH(CH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CH$46)-YEAR('融资租赁与资金缺口'!$F$16))*12+MONTH(CH$46)-MONTH('融资租赁与资金缺口'!$F$16)),'融资租赁与资金缺口'!$E$16*(1+'融资租赁与资金缺口'!$I$16)^((YEAR(CH$46)-YEAR('融资租赁与资金缺口'!$F$16))*12+MONTH(CH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CH$46)-YEAR('融资租赁与资金缺口'!$F$16))*12+MONTH(CH$46)-MONTH('融资租赁与资金缺口'!$F$16))-1)/'融资租赁与资金缺口'!$I$16))))))</x:f>
        <x:v>0</x:v>
      </x:c>
      <x:c r="CI48" s="28" t="n">
        <x:f>SUM(IF(CI$46&lt;'融资租赁与资金缺口'!$F$5,0,IF(CI$46='融资租赁与资金缺口'!$F$5,'融资租赁与资金缺口'!$E$5,IF(((YEAR(CI$46)-YEAR('融资租赁与资金缺口'!$F$5))*12+MONTH(CI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CI$46)-YEAR('融资租赁与资金缺口'!$F$5))*12+MONTH(CI$46)-MONTH('融资租赁与资金缺口'!$F$5)),'融资租赁与资金缺口'!$E$5*(1+'融资租赁与资金缺口'!$I$5)^((YEAR(CI$46)-YEAR('融资租赁与资金缺口'!$F$5))*12+MONTH(CI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CI$46)-YEAR('融资租赁与资金缺口'!$F$5))*12+MONTH(CI$46)-MONTH('融资租赁与资金缺口'!$F$5))-1)/'融资租赁与资金缺口'!$I$5))))),IF(CI$46&lt;'融资租赁与资金缺口'!$F$6,0,IF(CI$46='融资租赁与资金缺口'!$F$6,'融资租赁与资金缺口'!$E$6,IF(((YEAR(CI$46)-YEAR('融资租赁与资金缺口'!$F$6))*12+MONTH(CI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CI$46)-YEAR('融资租赁与资金缺口'!$F$6))*12+MONTH(CI$46)-MONTH('融资租赁与资金缺口'!$F$6)),'融资租赁与资金缺口'!$E$6*(1+'融资租赁与资金缺口'!$I$6)^((YEAR(CI$46)-YEAR('融资租赁与资金缺口'!$F$6))*12+MONTH(CI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CI$46)-YEAR('融资租赁与资金缺口'!$F$6))*12+MONTH(CI$46)-MONTH('融资租赁与资金缺口'!$F$6))-1)/'融资租赁与资金缺口'!$I$6))))),IF(CI$46&lt;'融资租赁与资金缺口'!$F$7,0,IF(CI$46='融资租赁与资金缺口'!$F$7,'融资租赁与资金缺口'!$E$7,IF(((YEAR(CI$46)-YEAR('融资租赁与资金缺口'!$F$7))*12+MONTH(CI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CI$46)-YEAR('融资租赁与资金缺口'!$F$7))*12+MONTH(CI$46)-MONTH('融资租赁与资金缺口'!$F$7)),'融资租赁与资金缺口'!$E$7*(1+'融资租赁与资金缺口'!$I$7)^((YEAR(CI$46)-YEAR('融资租赁与资金缺口'!$F$7))*12+MONTH(CI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CI$46)-YEAR('融资租赁与资金缺口'!$F$7))*12+MONTH(CI$46)-MONTH('融资租赁与资金缺口'!$F$7))-1)/'融资租赁与资金缺口'!$I$7))))),IF(CI$46&lt;'融资租赁与资金缺口'!$F$8,0,IF(CI$46='融资租赁与资金缺口'!$F$8,'融资租赁与资金缺口'!$E$8,IF(((YEAR(CI$46)-YEAR('融资租赁与资金缺口'!$F$8))*12+MONTH(CI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CI$46)-YEAR('融资租赁与资金缺口'!$F$8))*12+MONTH(CI$46)-MONTH('融资租赁与资金缺口'!$F$8)),'融资租赁与资金缺口'!$E$8*(1+'融资租赁与资金缺口'!$I$8)^((YEAR(CI$46)-YEAR('融资租赁与资金缺口'!$F$8))*12+MONTH(CI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CI$46)-YEAR('融资租赁与资金缺口'!$F$8))*12+MONTH(CI$46)-MONTH('融资租赁与资金缺口'!$F$8))-1)/'融资租赁与资金缺口'!$I$8))))),IF(CI$46&lt;'融资租赁与资金缺口'!$F$9,0,IF(CI$46='融资租赁与资金缺口'!$F$9,'融资租赁与资金缺口'!$E$9,IF(((YEAR(CI$46)-YEAR('融资租赁与资金缺口'!$F$9))*12+MONTH(CI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CI$46)-YEAR('融资租赁与资金缺口'!$F$9))*12+MONTH(CI$46)-MONTH('融资租赁与资金缺口'!$F$9)),'融资租赁与资金缺口'!$E$9*(1+'融资租赁与资金缺口'!$I$9)^((YEAR(CI$46)-YEAR('融资租赁与资金缺口'!$F$9))*12+MONTH(CI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CI$46)-YEAR('融资租赁与资金缺口'!$F$9))*12+MONTH(CI$46)-MONTH('融资租赁与资金缺口'!$F$9))-1)/'融资租赁与资金缺口'!$I$9))))),IF(CI$46&lt;'融资租赁与资金缺口'!$F$10,0,IF(CI$46='融资租赁与资金缺口'!$F$10,'融资租赁与资金缺口'!$E$10,IF(((YEAR(CI$46)-YEAR('融资租赁与资金缺口'!$F$10))*12+MONTH(CI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CI$46)-YEAR('融资租赁与资金缺口'!$F$10))*12+MONTH(CI$46)-MONTH('融资租赁与资金缺口'!$F$10)),'融资租赁与资金缺口'!$E$10*(1+'融资租赁与资金缺口'!$I$10)^((YEAR(CI$46)-YEAR('融资租赁与资金缺口'!$F$10))*12+MONTH(CI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CI$46)-YEAR('融资租赁与资金缺口'!$F$10))*12+MONTH(CI$46)-MONTH('融资租赁与资金缺口'!$F$10))-1)/'融资租赁与资金缺口'!$I$10))))),IF(CI$46&lt;'融资租赁与资金缺口'!$F$11,0,IF(CI$46='融资租赁与资金缺口'!$F$11,'融资租赁与资金缺口'!$E$11,IF(((YEAR(CI$46)-YEAR('融资租赁与资金缺口'!$F$11))*12+MONTH(CI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CI$46)-YEAR('融资租赁与资金缺口'!$F$11))*12+MONTH(CI$46)-MONTH('融资租赁与资金缺口'!$F$11)),'融资租赁与资金缺口'!$E$11*(1+'融资租赁与资金缺口'!$I$11)^((YEAR(CI$46)-YEAR('融资租赁与资金缺口'!$F$11))*12+MONTH(CI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CI$46)-YEAR('融资租赁与资金缺口'!$F$11))*12+MONTH(CI$46)-MONTH('融资租赁与资金缺口'!$F$11))-1)/'融资租赁与资金缺口'!$I$11))))),IF(CI$46&lt;'融资租赁与资金缺口'!$F$12,0,IF(CI$46='融资租赁与资金缺口'!$F$12,'融资租赁与资金缺口'!$E$12,IF(((YEAR(CI$46)-YEAR('融资租赁与资金缺口'!$F$12))*12+MONTH(CI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CI$46)-YEAR('融资租赁与资金缺口'!$F$12))*12+MONTH(CI$46)-MONTH('融资租赁与资金缺口'!$F$12)),'融资租赁与资金缺口'!$E$12*(1+'融资租赁与资金缺口'!$I$12)^((YEAR(CI$46)-YEAR('融资租赁与资金缺口'!$F$12))*12+MONTH(CI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CI$46)-YEAR('融资租赁与资金缺口'!$F$12))*12+MONTH(CI$46)-MONTH('融资租赁与资金缺口'!$F$12))-1)/'融资租赁与资金缺口'!$I$12))))),IF(CI$46&lt;'融资租赁与资金缺口'!$F$13,0,IF(CI$46='融资租赁与资金缺口'!$F$13,'融资租赁与资金缺口'!$E$13,IF(((YEAR(CI$46)-YEAR('融资租赁与资金缺口'!$F$13))*12+MONTH(CI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CI$46)-YEAR('融资租赁与资金缺口'!$F$13))*12+MONTH(CI$46)-MONTH('融资租赁与资金缺口'!$F$13)),'融资租赁与资金缺口'!$E$13*(1+'融资租赁与资金缺口'!$I$13)^((YEAR(CI$46)-YEAR('融资租赁与资金缺口'!$F$13))*12+MONTH(CI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CI$46)-YEAR('融资租赁与资金缺口'!$F$13))*12+MONTH(CI$46)-MONTH('融资租赁与资金缺口'!$F$13))-1)/'融资租赁与资金缺口'!$I$13))))),IF(CI$46&lt;'融资租赁与资金缺口'!$F$14,0,IF(CI$46='融资租赁与资金缺口'!$F$14,'融资租赁与资金缺口'!$E$14,IF(((YEAR(CI$46)-YEAR('融资租赁与资金缺口'!$F$14))*12+MONTH(CI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CI$46)-YEAR('融资租赁与资金缺口'!$F$14))*12+MONTH(CI$46)-MONTH('融资租赁与资金缺口'!$F$14)),'融资租赁与资金缺口'!$E$14*(1+'融资租赁与资金缺口'!$I$14)^((YEAR(CI$46)-YEAR('融资租赁与资金缺口'!$F$14))*12+MONTH(CI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CI$46)-YEAR('融资租赁与资金缺口'!$F$14))*12+MONTH(CI$46)-MONTH('融资租赁与资金缺口'!$F$14))-1)/'融资租赁与资金缺口'!$I$14))))),IF(CI$46&lt;'融资租赁与资金缺口'!$F$15,0,IF(CI$46='融资租赁与资金缺口'!$F$15,'融资租赁与资金缺口'!$E$15,IF(((YEAR(CI$46)-YEAR('融资租赁与资金缺口'!$F$15))*12+MONTH(CI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CI$46)-YEAR('融资租赁与资金缺口'!$F$15))*12+MONTH(CI$46)-MONTH('融资租赁与资金缺口'!$F$15)),'融资租赁与资金缺口'!$E$15*(1+'融资租赁与资金缺口'!$I$15)^((YEAR(CI$46)-YEAR('融资租赁与资金缺口'!$F$15))*12+MONTH(CI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CI$46)-YEAR('融资租赁与资金缺口'!$F$15))*12+MONTH(CI$46)-MONTH('融资租赁与资金缺口'!$F$15))-1)/'融资租赁与资金缺口'!$I$15))))),IF(CI$46&lt;'融资租赁与资金缺口'!$F$16,0,IF(CI$46='融资租赁与资金缺口'!$F$16,'融资租赁与资金缺口'!$E$16,IF(((YEAR(CI$46)-YEAR('融资租赁与资金缺口'!$F$16))*12+MONTH(CI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CI$46)-YEAR('融资租赁与资金缺口'!$F$16))*12+MONTH(CI$46)-MONTH('融资租赁与资金缺口'!$F$16)),'融资租赁与资金缺口'!$E$16*(1+'融资租赁与资金缺口'!$I$16)^((YEAR(CI$46)-YEAR('融资租赁与资金缺口'!$F$16))*12+MONTH(CI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CI$46)-YEAR('融资租赁与资金缺口'!$F$16))*12+MONTH(CI$46)-MONTH('融资租赁与资金缺口'!$F$16))-1)/'融资租赁与资金缺口'!$I$16))))))</x:f>
        <x:v>0</x:v>
      </x:c>
      <x:c r="CJ48" s="28" t="n">
        <x:f>SUM(IF(CJ$46&lt;'融资租赁与资金缺口'!$F$5,0,IF(CJ$46='融资租赁与资金缺口'!$F$5,'融资租赁与资金缺口'!$E$5,IF(((YEAR(CJ$46)-YEAR('融资租赁与资金缺口'!$F$5))*12+MONTH(CJ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CJ$46)-YEAR('融资租赁与资金缺口'!$F$5))*12+MONTH(CJ$46)-MONTH('融资租赁与资金缺口'!$F$5)),'融资租赁与资金缺口'!$E$5*(1+'融资租赁与资金缺口'!$I$5)^((YEAR(CJ$46)-YEAR('融资租赁与资金缺口'!$F$5))*12+MONTH(CJ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CJ$46)-YEAR('融资租赁与资金缺口'!$F$5))*12+MONTH(CJ$46)-MONTH('融资租赁与资金缺口'!$F$5))-1)/'融资租赁与资金缺口'!$I$5))))),IF(CJ$46&lt;'融资租赁与资金缺口'!$F$6,0,IF(CJ$46='融资租赁与资金缺口'!$F$6,'融资租赁与资金缺口'!$E$6,IF(((YEAR(CJ$46)-YEAR('融资租赁与资金缺口'!$F$6))*12+MONTH(CJ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CJ$46)-YEAR('融资租赁与资金缺口'!$F$6))*12+MONTH(CJ$46)-MONTH('融资租赁与资金缺口'!$F$6)),'融资租赁与资金缺口'!$E$6*(1+'融资租赁与资金缺口'!$I$6)^((YEAR(CJ$46)-YEAR('融资租赁与资金缺口'!$F$6))*12+MONTH(CJ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CJ$46)-YEAR('融资租赁与资金缺口'!$F$6))*12+MONTH(CJ$46)-MONTH('融资租赁与资金缺口'!$F$6))-1)/'融资租赁与资金缺口'!$I$6))))),IF(CJ$46&lt;'融资租赁与资金缺口'!$F$7,0,IF(CJ$46='融资租赁与资金缺口'!$F$7,'融资租赁与资金缺口'!$E$7,IF(((YEAR(CJ$46)-YEAR('融资租赁与资金缺口'!$F$7))*12+MONTH(CJ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CJ$46)-YEAR('融资租赁与资金缺口'!$F$7))*12+MONTH(CJ$46)-MONTH('融资租赁与资金缺口'!$F$7)),'融资租赁与资金缺口'!$E$7*(1+'融资租赁与资金缺口'!$I$7)^((YEAR(CJ$46)-YEAR('融资租赁与资金缺口'!$F$7))*12+MONTH(CJ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CJ$46)-YEAR('融资租赁与资金缺口'!$F$7))*12+MONTH(CJ$46)-MONTH('融资租赁与资金缺口'!$F$7))-1)/'融资租赁与资金缺口'!$I$7))))),IF(CJ$46&lt;'融资租赁与资金缺口'!$F$8,0,IF(CJ$46='融资租赁与资金缺口'!$F$8,'融资租赁与资金缺口'!$E$8,IF(((YEAR(CJ$46)-YEAR('融资租赁与资金缺口'!$F$8))*12+MONTH(CJ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CJ$46)-YEAR('融资租赁与资金缺口'!$F$8))*12+MONTH(CJ$46)-MONTH('融资租赁与资金缺口'!$F$8)),'融资租赁与资金缺口'!$E$8*(1+'融资租赁与资金缺口'!$I$8)^((YEAR(CJ$46)-YEAR('融资租赁与资金缺口'!$F$8))*12+MONTH(CJ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CJ$46)-YEAR('融资租赁与资金缺口'!$F$8))*12+MONTH(CJ$46)-MONTH('融资租赁与资金缺口'!$F$8))-1)/'融资租赁与资金缺口'!$I$8))))),IF(CJ$46&lt;'融资租赁与资金缺口'!$F$9,0,IF(CJ$46='融资租赁与资金缺口'!$F$9,'融资租赁与资金缺口'!$E$9,IF(((YEAR(CJ$46)-YEAR('融资租赁与资金缺口'!$F$9))*12+MONTH(CJ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CJ$46)-YEAR('融资租赁与资金缺口'!$F$9))*12+MONTH(CJ$46)-MONTH('融资租赁与资金缺口'!$F$9)),'融资租赁与资金缺口'!$E$9*(1+'融资租赁与资金缺口'!$I$9)^((YEAR(CJ$46)-YEAR('融资租赁与资金缺口'!$F$9))*12+MONTH(CJ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CJ$46)-YEAR('融资租赁与资金缺口'!$F$9))*12+MONTH(CJ$46)-MONTH('融资租赁与资金缺口'!$F$9))-1)/'融资租赁与资金缺口'!$I$9))))),IF(CJ$46&lt;'融资租赁与资金缺口'!$F$10,0,IF(CJ$46='融资租赁与资金缺口'!$F$10,'融资租赁与资金缺口'!$E$10,IF(((YEAR(CJ$46)-YEAR('融资租赁与资金缺口'!$F$10))*12+MONTH(CJ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CJ$46)-YEAR('融资租赁与资金缺口'!$F$10))*12+MONTH(CJ$46)-MONTH('融资租赁与资金缺口'!$F$10)),'融资租赁与资金缺口'!$E$10*(1+'融资租赁与资金缺口'!$I$10)^((YEAR(CJ$46)-YEAR('融资租赁与资金缺口'!$F$10))*12+MONTH(CJ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CJ$46)-YEAR('融资租赁与资金缺口'!$F$10))*12+MONTH(CJ$46)-MONTH('融资租赁与资金缺口'!$F$10))-1)/'融资租赁与资金缺口'!$I$10))))),IF(CJ$46&lt;'融资租赁与资金缺口'!$F$11,0,IF(CJ$46='融资租赁与资金缺口'!$F$11,'融资租赁与资金缺口'!$E$11,IF(((YEAR(CJ$46)-YEAR('融资租赁与资金缺口'!$F$11))*12+MONTH(CJ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CJ$46)-YEAR('融资租赁与资金缺口'!$F$11))*12+MONTH(CJ$46)-MONTH('融资租赁与资金缺口'!$F$11)),'融资租赁与资金缺口'!$E$11*(1+'融资租赁与资金缺口'!$I$11)^((YEAR(CJ$46)-YEAR('融资租赁与资金缺口'!$F$11))*12+MONTH(CJ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CJ$46)-YEAR('融资租赁与资金缺口'!$F$11))*12+MONTH(CJ$46)-MONTH('融资租赁与资金缺口'!$F$11))-1)/'融资租赁与资金缺口'!$I$11))))),IF(CJ$46&lt;'融资租赁与资金缺口'!$F$12,0,IF(CJ$46='融资租赁与资金缺口'!$F$12,'融资租赁与资金缺口'!$E$12,IF(((YEAR(CJ$46)-YEAR('融资租赁与资金缺口'!$F$12))*12+MONTH(CJ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CJ$46)-YEAR('融资租赁与资金缺口'!$F$12))*12+MONTH(CJ$46)-MONTH('融资租赁与资金缺口'!$F$12)),'融资租赁与资金缺口'!$E$12*(1+'融资租赁与资金缺口'!$I$12)^((YEAR(CJ$46)-YEAR('融资租赁与资金缺口'!$F$12))*12+MONTH(CJ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CJ$46)-YEAR('融资租赁与资金缺口'!$F$12))*12+MONTH(CJ$46)-MONTH('融资租赁与资金缺口'!$F$12))-1)/'融资租赁与资金缺口'!$I$12))))),IF(CJ$46&lt;'融资租赁与资金缺口'!$F$13,0,IF(CJ$46='融资租赁与资金缺口'!$F$13,'融资租赁与资金缺口'!$E$13,IF(((YEAR(CJ$46)-YEAR('融资租赁与资金缺口'!$F$13))*12+MONTH(CJ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CJ$46)-YEAR('融资租赁与资金缺口'!$F$13))*12+MONTH(CJ$46)-MONTH('融资租赁与资金缺口'!$F$13)),'融资租赁与资金缺口'!$E$13*(1+'融资租赁与资金缺口'!$I$13)^((YEAR(CJ$46)-YEAR('融资租赁与资金缺口'!$F$13))*12+MONTH(CJ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CJ$46)-YEAR('融资租赁与资金缺口'!$F$13))*12+MONTH(CJ$46)-MONTH('融资租赁与资金缺口'!$F$13))-1)/'融资租赁与资金缺口'!$I$13))))),IF(CJ$46&lt;'融资租赁与资金缺口'!$F$14,0,IF(CJ$46='融资租赁与资金缺口'!$F$14,'融资租赁与资金缺口'!$E$14,IF(((YEAR(CJ$46)-YEAR('融资租赁与资金缺口'!$F$14))*12+MONTH(CJ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CJ$46)-YEAR('融资租赁与资金缺口'!$F$14))*12+MONTH(CJ$46)-MONTH('融资租赁与资金缺口'!$F$14)),'融资租赁与资金缺口'!$E$14*(1+'融资租赁与资金缺口'!$I$14)^((YEAR(CJ$46)-YEAR('融资租赁与资金缺口'!$F$14))*12+MONTH(CJ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CJ$46)-YEAR('融资租赁与资金缺口'!$F$14))*12+MONTH(CJ$46)-MONTH('融资租赁与资金缺口'!$F$14))-1)/'融资租赁与资金缺口'!$I$14))))),IF(CJ$46&lt;'融资租赁与资金缺口'!$F$15,0,IF(CJ$46='融资租赁与资金缺口'!$F$15,'融资租赁与资金缺口'!$E$15,IF(((YEAR(CJ$46)-YEAR('融资租赁与资金缺口'!$F$15))*12+MONTH(CJ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CJ$46)-YEAR('融资租赁与资金缺口'!$F$15))*12+MONTH(CJ$46)-MONTH('融资租赁与资金缺口'!$F$15)),'融资租赁与资金缺口'!$E$15*(1+'融资租赁与资金缺口'!$I$15)^((YEAR(CJ$46)-YEAR('融资租赁与资金缺口'!$F$15))*12+MONTH(CJ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CJ$46)-YEAR('融资租赁与资金缺口'!$F$15))*12+MONTH(CJ$46)-MONTH('融资租赁与资金缺口'!$F$15))-1)/'融资租赁与资金缺口'!$I$15))))),IF(CJ$46&lt;'融资租赁与资金缺口'!$F$16,0,IF(CJ$46='融资租赁与资金缺口'!$F$16,'融资租赁与资金缺口'!$E$16,IF(((YEAR(CJ$46)-YEAR('融资租赁与资金缺口'!$F$16))*12+MONTH(CJ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CJ$46)-YEAR('融资租赁与资金缺口'!$F$16))*12+MONTH(CJ$46)-MONTH('融资租赁与资金缺口'!$F$16)),'融资租赁与资金缺口'!$E$16*(1+'融资租赁与资金缺口'!$I$16)^((YEAR(CJ$46)-YEAR('融资租赁与资金缺口'!$F$16))*12+MONTH(CJ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CJ$46)-YEAR('融资租赁与资金缺口'!$F$16))*12+MONTH(CJ$46)-MONTH('融资租赁与资金缺口'!$F$16))-1)/'融资租赁与资金缺口'!$I$16))))))</x:f>
        <x:v>0</x:v>
      </x:c>
      <x:c r="CK48" s="28" t="n">
        <x:f>SUM(IF(CK$46&lt;'融资租赁与资金缺口'!$F$5,0,IF(CK$46='融资租赁与资金缺口'!$F$5,'融资租赁与资金缺口'!$E$5,IF(((YEAR(CK$46)-YEAR('融资租赁与资金缺口'!$F$5))*12+MONTH(CK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CK$46)-YEAR('融资租赁与资金缺口'!$F$5))*12+MONTH(CK$46)-MONTH('融资租赁与资金缺口'!$F$5)),'融资租赁与资金缺口'!$E$5*(1+'融资租赁与资金缺口'!$I$5)^((YEAR(CK$46)-YEAR('融资租赁与资金缺口'!$F$5))*12+MONTH(CK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CK$46)-YEAR('融资租赁与资金缺口'!$F$5))*12+MONTH(CK$46)-MONTH('融资租赁与资金缺口'!$F$5))-1)/'融资租赁与资金缺口'!$I$5))))),IF(CK$46&lt;'融资租赁与资金缺口'!$F$6,0,IF(CK$46='融资租赁与资金缺口'!$F$6,'融资租赁与资金缺口'!$E$6,IF(((YEAR(CK$46)-YEAR('融资租赁与资金缺口'!$F$6))*12+MONTH(CK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CK$46)-YEAR('融资租赁与资金缺口'!$F$6))*12+MONTH(CK$46)-MONTH('融资租赁与资金缺口'!$F$6)),'融资租赁与资金缺口'!$E$6*(1+'融资租赁与资金缺口'!$I$6)^((YEAR(CK$46)-YEAR('融资租赁与资金缺口'!$F$6))*12+MONTH(CK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CK$46)-YEAR('融资租赁与资金缺口'!$F$6))*12+MONTH(CK$46)-MONTH('融资租赁与资金缺口'!$F$6))-1)/'融资租赁与资金缺口'!$I$6))))),IF(CK$46&lt;'融资租赁与资金缺口'!$F$7,0,IF(CK$46='融资租赁与资金缺口'!$F$7,'融资租赁与资金缺口'!$E$7,IF(((YEAR(CK$46)-YEAR('融资租赁与资金缺口'!$F$7))*12+MONTH(CK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CK$46)-YEAR('融资租赁与资金缺口'!$F$7))*12+MONTH(CK$46)-MONTH('融资租赁与资金缺口'!$F$7)),'融资租赁与资金缺口'!$E$7*(1+'融资租赁与资金缺口'!$I$7)^((YEAR(CK$46)-YEAR('融资租赁与资金缺口'!$F$7))*12+MONTH(CK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CK$46)-YEAR('融资租赁与资金缺口'!$F$7))*12+MONTH(CK$46)-MONTH('融资租赁与资金缺口'!$F$7))-1)/'融资租赁与资金缺口'!$I$7))))),IF(CK$46&lt;'融资租赁与资金缺口'!$F$8,0,IF(CK$46='融资租赁与资金缺口'!$F$8,'融资租赁与资金缺口'!$E$8,IF(((YEAR(CK$46)-YEAR('融资租赁与资金缺口'!$F$8))*12+MONTH(CK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CK$46)-YEAR('融资租赁与资金缺口'!$F$8))*12+MONTH(CK$46)-MONTH('融资租赁与资金缺口'!$F$8)),'融资租赁与资金缺口'!$E$8*(1+'融资租赁与资金缺口'!$I$8)^((YEAR(CK$46)-YEAR('融资租赁与资金缺口'!$F$8))*12+MONTH(CK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CK$46)-YEAR('融资租赁与资金缺口'!$F$8))*12+MONTH(CK$46)-MONTH('融资租赁与资金缺口'!$F$8))-1)/'融资租赁与资金缺口'!$I$8))))),IF(CK$46&lt;'融资租赁与资金缺口'!$F$9,0,IF(CK$46='融资租赁与资金缺口'!$F$9,'融资租赁与资金缺口'!$E$9,IF(((YEAR(CK$46)-YEAR('融资租赁与资金缺口'!$F$9))*12+MONTH(CK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CK$46)-YEAR('融资租赁与资金缺口'!$F$9))*12+MONTH(CK$46)-MONTH('融资租赁与资金缺口'!$F$9)),'融资租赁与资金缺口'!$E$9*(1+'融资租赁与资金缺口'!$I$9)^((YEAR(CK$46)-YEAR('融资租赁与资金缺口'!$F$9))*12+MONTH(CK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CK$46)-YEAR('融资租赁与资金缺口'!$F$9))*12+MONTH(CK$46)-MONTH('融资租赁与资金缺口'!$F$9))-1)/'融资租赁与资金缺口'!$I$9))))),IF(CK$46&lt;'融资租赁与资金缺口'!$F$10,0,IF(CK$46='融资租赁与资金缺口'!$F$10,'融资租赁与资金缺口'!$E$10,IF(((YEAR(CK$46)-YEAR('融资租赁与资金缺口'!$F$10))*12+MONTH(CK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CK$46)-YEAR('融资租赁与资金缺口'!$F$10))*12+MONTH(CK$46)-MONTH('融资租赁与资金缺口'!$F$10)),'融资租赁与资金缺口'!$E$10*(1+'融资租赁与资金缺口'!$I$10)^((YEAR(CK$46)-YEAR('融资租赁与资金缺口'!$F$10))*12+MONTH(CK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CK$46)-YEAR('融资租赁与资金缺口'!$F$10))*12+MONTH(CK$46)-MONTH('融资租赁与资金缺口'!$F$10))-1)/'融资租赁与资金缺口'!$I$10))))),IF(CK$46&lt;'融资租赁与资金缺口'!$F$11,0,IF(CK$46='融资租赁与资金缺口'!$F$11,'融资租赁与资金缺口'!$E$11,IF(((YEAR(CK$46)-YEAR('融资租赁与资金缺口'!$F$11))*12+MONTH(CK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CK$46)-YEAR('融资租赁与资金缺口'!$F$11))*12+MONTH(CK$46)-MONTH('融资租赁与资金缺口'!$F$11)),'融资租赁与资金缺口'!$E$11*(1+'融资租赁与资金缺口'!$I$11)^((YEAR(CK$46)-YEAR('融资租赁与资金缺口'!$F$11))*12+MONTH(CK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CK$46)-YEAR('融资租赁与资金缺口'!$F$11))*12+MONTH(CK$46)-MONTH('融资租赁与资金缺口'!$F$11))-1)/'融资租赁与资金缺口'!$I$11))))),IF(CK$46&lt;'融资租赁与资金缺口'!$F$12,0,IF(CK$46='融资租赁与资金缺口'!$F$12,'融资租赁与资金缺口'!$E$12,IF(((YEAR(CK$46)-YEAR('融资租赁与资金缺口'!$F$12))*12+MONTH(CK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CK$46)-YEAR('融资租赁与资金缺口'!$F$12))*12+MONTH(CK$46)-MONTH('融资租赁与资金缺口'!$F$12)),'融资租赁与资金缺口'!$E$12*(1+'融资租赁与资金缺口'!$I$12)^((YEAR(CK$46)-YEAR('融资租赁与资金缺口'!$F$12))*12+MONTH(CK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CK$46)-YEAR('融资租赁与资金缺口'!$F$12))*12+MONTH(CK$46)-MONTH('融资租赁与资金缺口'!$F$12))-1)/'融资租赁与资金缺口'!$I$12))))),IF(CK$46&lt;'融资租赁与资金缺口'!$F$13,0,IF(CK$46='融资租赁与资金缺口'!$F$13,'融资租赁与资金缺口'!$E$13,IF(((YEAR(CK$46)-YEAR('融资租赁与资金缺口'!$F$13))*12+MONTH(CK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CK$46)-YEAR('融资租赁与资金缺口'!$F$13))*12+MONTH(CK$46)-MONTH('融资租赁与资金缺口'!$F$13)),'融资租赁与资金缺口'!$E$13*(1+'融资租赁与资金缺口'!$I$13)^((YEAR(CK$46)-YEAR('融资租赁与资金缺口'!$F$13))*12+MONTH(CK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CK$46)-YEAR('融资租赁与资金缺口'!$F$13))*12+MONTH(CK$46)-MONTH('融资租赁与资金缺口'!$F$13))-1)/'融资租赁与资金缺口'!$I$13))))),IF(CK$46&lt;'融资租赁与资金缺口'!$F$14,0,IF(CK$46='融资租赁与资金缺口'!$F$14,'融资租赁与资金缺口'!$E$14,IF(((YEAR(CK$46)-YEAR('融资租赁与资金缺口'!$F$14))*12+MONTH(CK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CK$46)-YEAR('融资租赁与资金缺口'!$F$14))*12+MONTH(CK$46)-MONTH('融资租赁与资金缺口'!$F$14)),'融资租赁与资金缺口'!$E$14*(1+'融资租赁与资金缺口'!$I$14)^((YEAR(CK$46)-YEAR('融资租赁与资金缺口'!$F$14))*12+MONTH(CK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CK$46)-YEAR('融资租赁与资金缺口'!$F$14))*12+MONTH(CK$46)-MONTH('融资租赁与资金缺口'!$F$14))-1)/'融资租赁与资金缺口'!$I$14))))),IF(CK$46&lt;'融资租赁与资金缺口'!$F$15,0,IF(CK$46='融资租赁与资金缺口'!$F$15,'融资租赁与资金缺口'!$E$15,IF(((YEAR(CK$46)-YEAR('融资租赁与资金缺口'!$F$15))*12+MONTH(CK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CK$46)-YEAR('融资租赁与资金缺口'!$F$15))*12+MONTH(CK$46)-MONTH('融资租赁与资金缺口'!$F$15)),'融资租赁与资金缺口'!$E$15*(1+'融资租赁与资金缺口'!$I$15)^((YEAR(CK$46)-YEAR('融资租赁与资金缺口'!$F$15))*12+MONTH(CK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CK$46)-YEAR('融资租赁与资金缺口'!$F$15))*12+MONTH(CK$46)-MONTH('融资租赁与资金缺口'!$F$15))-1)/'融资租赁与资金缺口'!$I$15))))),IF(CK$46&lt;'融资租赁与资金缺口'!$F$16,0,IF(CK$46='融资租赁与资金缺口'!$F$16,'融资租赁与资金缺口'!$E$16,IF(((YEAR(CK$46)-YEAR('融资租赁与资金缺口'!$F$16))*12+MONTH(CK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CK$46)-YEAR('融资租赁与资金缺口'!$F$16))*12+MONTH(CK$46)-MONTH('融资租赁与资金缺口'!$F$16)),'融资租赁与资金缺口'!$E$16*(1+'融资租赁与资金缺口'!$I$16)^((YEAR(CK$46)-YEAR('融资租赁与资金缺口'!$F$16))*12+MONTH(CK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CK$46)-YEAR('融资租赁与资金缺口'!$F$16))*12+MONTH(CK$46)-MONTH('融资租赁与资金缺口'!$F$16))-1)/'融资租赁与资金缺口'!$I$16))))))</x:f>
        <x:v>0</x:v>
      </x:c>
      <x:c r="CL48" s="28" t="n">
        <x:f>SUM(IF(CL$46&lt;'融资租赁与资金缺口'!$F$5,0,IF(CL$46='融资租赁与资金缺口'!$F$5,'融资租赁与资金缺口'!$E$5,IF(((YEAR(CL$46)-YEAR('融资租赁与资金缺口'!$F$5))*12+MONTH(CL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CL$46)-YEAR('融资租赁与资金缺口'!$F$5))*12+MONTH(CL$46)-MONTH('融资租赁与资金缺口'!$F$5)),'融资租赁与资金缺口'!$E$5*(1+'融资租赁与资金缺口'!$I$5)^((YEAR(CL$46)-YEAR('融资租赁与资金缺口'!$F$5))*12+MONTH(CL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CL$46)-YEAR('融资租赁与资金缺口'!$F$5))*12+MONTH(CL$46)-MONTH('融资租赁与资金缺口'!$F$5))-1)/'融资租赁与资金缺口'!$I$5))))),IF(CL$46&lt;'融资租赁与资金缺口'!$F$6,0,IF(CL$46='融资租赁与资金缺口'!$F$6,'融资租赁与资金缺口'!$E$6,IF(((YEAR(CL$46)-YEAR('融资租赁与资金缺口'!$F$6))*12+MONTH(CL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CL$46)-YEAR('融资租赁与资金缺口'!$F$6))*12+MONTH(CL$46)-MONTH('融资租赁与资金缺口'!$F$6)),'融资租赁与资金缺口'!$E$6*(1+'融资租赁与资金缺口'!$I$6)^((YEAR(CL$46)-YEAR('融资租赁与资金缺口'!$F$6))*12+MONTH(CL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CL$46)-YEAR('融资租赁与资金缺口'!$F$6))*12+MONTH(CL$46)-MONTH('融资租赁与资金缺口'!$F$6))-1)/'融资租赁与资金缺口'!$I$6))))),IF(CL$46&lt;'融资租赁与资金缺口'!$F$7,0,IF(CL$46='融资租赁与资金缺口'!$F$7,'融资租赁与资金缺口'!$E$7,IF(((YEAR(CL$46)-YEAR('融资租赁与资金缺口'!$F$7))*12+MONTH(CL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CL$46)-YEAR('融资租赁与资金缺口'!$F$7))*12+MONTH(CL$46)-MONTH('融资租赁与资金缺口'!$F$7)),'融资租赁与资金缺口'!$E$7*(1+'融资租赁与资金缺口'!$I$7)^((YEAR(CL$46)-YEAR('融资租赁与资金缺口'!$F$7))*12+MONTH(CL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CL$46)-YEAR('融资租赁与资金缺口'!$F$7))*12+MONTH(CL$46)-MONTH('融资租赁与资金缺口'!$F$7))-1)/'融资租赁与资金缺口'!$I$7))))),IF(CL$46&lt;'融资租赁与资金缺口'!$F$8,0,IF(CL$46='融资租赁与资金缺口'!$F$8,'融资租赁与资金缺口'!$E$8,IF(((YEAR(CL$46)-YEAR('融资租赁与资金缺口'!$F$8))*12+MONTH(CL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CL$46)-YEAR('融资租赁与资金缺口'!$F$8))*12+MONTH(CL$46)-MONTH('融资租赁与资金缺口'!$F$8)),'融资租赁与资金缺口'!$E$8*(1+'融资租赁与资金缺口'!$I$8)^((YEAR(CL$46)-YEAR('融资租赁与资金缺口'!$F$8))*12+MONTH(CL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CL$46)-YEAR('融资租赁与资金缺口'!$F$8))*12+MONTH(CL$46)-MONTH('融资租赁与资金缺口'!$F$8))-1)/'融资租赁与资金缺口'!$I$8))))),IF(CL$46&lt;'融资租赁与资金缺口'!$F$9,0,IF(CL$46='融资租赁与资金缺口'!$F$9,'融资租赁与资金缺口'!$E$9,IF(((YEAR(CL$46)-YEAR('融资租赁与资金缺口'!$F$9))*12+MONTH(CL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CL$46)-YEAR('融资租赁与资金缺口'!$F$9))*12+MONTH(CL$46)-MONTH('融资租赁与资金缺口'!$F$9)),'融资租赁与资金缺口'!$E$9*(1+'融资租赁与资金缺口'!$I$9)^((YEAR(CL$46)-YEAR('融资租赁与资金缺口'!$F$9))*12+MONTH(CL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CL$46)-YEAR('融资租赁与资金缺口'!$F$9))*12+MONTH(CL$46)-MONTH('融资租赁与资金缺口'!$F$9))-1)/'融资租赁与资金缺口'!$I$9))))),IF(CL$46&lt;'融资租赁与资金缺口'!$F$10,0,IF(CL$46='融资租赁与资金缺口'!$F$10,'融资租赁与资金缺口'!$E$10,IF(((YEAR(CL$46)-YEAR('融资租赁与资金缺口'!$F$10))*12+MONTH(CL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CL$46)-YEAR('融资租赁与资金缺口'!$F$10))*12+MONTH(CL$46)-MONTH('融资租赁与资金缺口'!$F$10)),'融资租赁与资金缺口'!$E$10*(1+'融资租赁与资金缺口'!$I$10)^((YEAR(CL$46)-YEAR('融资租赁与资金缺口'!$F$10))*12+MONTH(CL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CL$46)-YEAR('融资租赁与资金缺口'!$F$10))*12+MONTH(CL$46)-MONTH('融资租赁与资金缺口'!$F$10))-1)/'融资租赁与资金缺口'!$I$10))))),IF(CL$46&lt;'融资租赁与资金缺口'!$F$11,0,IF(CL$46='融资租赁与资金缺口'!$F$11,'融资租赁与资金缺口'!$E$11,IF(((YEAR(CL$46)-YEAR('融资租赁与资金缺口'!$F$11))*12+MONTH(CL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CL$46)-YEAR('融资租赁与资金缺口'!$F$11))*12+MONTH(CL$46)-MONTH('融资租赁与资金缺口'!$F$11)),'融资租赁与资金缺口'!$E$11*(1+'融资租赁与资金缺口'!$I$11)^((YEAR(CL$46)-YEAR('融资租赁与资金缺口'!$F$11))*12+MONTH(CL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CL$46)-YEAR('融资租赁与资金缺口'!$F$11))*12+MONTH(CL$46)-MONTH('融资租赁与资金缺口'!$F$11))-1)/'融资租赁与资金缺口'!$I$11))))),IF(CL$46&lt;'融资租赁与资金缺口'!$F$12,0,IF(CL$46='融资租赁与资金缺口'!$F$12,'融资租赁与资金缺口'!$E$12,IF(((YEAR(CL$46)-YEAR('融资租赁与资金缺口'!$F$12))*12+MONTH(CL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CL$46)-YEAR('融资租赁与资金缺口'!$F$12))*12+MONTH(CL$46)-MONTH('融资租赁与资金缺口'!$F$12)),'融资租赁与资金缺口'!$E$12*(1+'融资租赁与资金缺口'!$I$12)^((YEAR(CL$46)-YEAR('融资租赁与资金缺口'!$F$12))*12+MONTH(CL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CL$46)-YEAR('融资租赁与资金缺口'!$F$12))*12+MONTH(CL$46)-MONTH('融资租赁与资金缺口'!$F$12))-1)/'融资租赁与资金缺口'!$I$12))))),IF(CL$46&lt;'融资租赁与资金缺口'!$F$13,0,IF(CL$46='融资租赁与资金缺口'!$F$13,'融资租赁与资金缺口'!$E$13,IF(((YEAR(CL$46)-YEAR('融资租赁与资金缺口'!$F$13))*12+MONTH(CL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CL$46)-YEAR('融资租赁与资金缺口'!$F$13))*12+MONTH(CL$46)-MONTH('融资租赁与资金缺口'!$F$13)),'融资租赁与资金缺口'!$E$13*(1+'融资租赁与资金缺口'!$I$13)^((YEAR(CL$46)-YEAR('融资租赁与资金缺口'!$F$13))*12+MONTH(CL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CL$46)-YEAR('融资租赁与资金缺口'!$F$13))*12+MONTH(CL$46)-MONTH('融资租赁与资金缺口'!$F$13))-1)/'融资租赁与资金缺口'!$I$13))))),IF(CL$46&lt;'融资租赁与资金缺口'!$F$14,0,IF(CL$46='融资租赁与资金缺口'!$F$14,'融资租赁与资金缺口'!$E$14,IF(((YEAR(CL$46)-YEAR('融资租赁与资金缺口'!$F$14))*12+MONTH(CL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CL$46)-YEAR('融资租赁与资金缺口'!$F$14))*12+MONTH(CL$46)-MONTH('融资租赁与资金缺口'!$F$14)),'融资租赁与资金缺口'!$E$14*(1+'融资租赁与资金缺口'!$I$14)^((YEAR(CL$46)-YEAR('融资租赁与资金缺口'!$F$14))*12+MONTH(CL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CL$46)-YEAR('融资租赁与资金缺口'!$F$14))*12+MONTH(CL$46)-MONTH('融资租赁与资金缺口'!$F$14))-1)/'融资租赁与资金缺口'!$I$14))))),IF(CL$46&lt;'融资租赁与资金缺口'!$F$15,0,IF(CL$46='融资租赁与资金缺口'!$F$15,'融资租赁与资金缺口'!$E$15,IF(((YEAR(CL$46)-YEAR('融资租赁与资金缺口'!$F$15))*12+MONTH(CL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CL$46)-YEAR('融资租赁与资金缺口'!$F$15))*12+MONTH(CL$46)-MONTH('融资租赁与资金缺口'!$F$15)),'融资租赁与资金缺口'!$E$15*(1+'融资租赁与资金缺口'!$I$15)^((YEAR(CL$46)-YEAR('融资租赁与资金缺口'!$F$15))*12+MONTH(CL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CL$46)-YEAR('融资租赁与资金缺口'!$F$15))*12+MONTH(CL$46)-MONTH('融资租赁与资金缺口'!$F$15))-1)/'融资租赁与资金缺口'!$I$15))))),IF(CL$46&lt;'融资租赁与资金缺口'!$F$16,0,IF(CL$46='融资租赁与资金缺口'!$F$16,'融资租赁与资金缺口'!$E$16,IF(((YEAR(CL$46)-YEAR('融资租赁与资金缺口'!$F$16))*12+MONTH(CL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CL$46)-YEAR('融资租赁与资金缺口'!$F$16))*12+MONTH(CL$46)-MONTH('融资租赁与资金缺口'!$F$16)),'融资租赁与资金缺口'!$E$16*(1+'融资租赁与资金缺口'!$I$16)^((YEAR(CL$46)-YEAR('融资租赁与资金缺口'!$F$16))*12+MONTH(CL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CL$46)-YEAR('融资租赁与资金缺口'!$F$16))*12+MONTH(CL$46)-MONTH('融资租赁与资金缺口'!$F$16))-1)/'融资租赁与资金缺口'!$I$16))))))</x:f>
        <x:v>0</x:v>
      </x:c>
      <x:c r="CM48" s="28" t="n">
        <x:f>SUM(IF(CM$46&lt;'融资租赁与资金缺口'!$F$5,0,IF(CM$46='融资租赁与资金缺口'!$F$5,'融资租赁与资金缺口'!$E$5,IF(((YEAR(CM$46)-YEAR('融资租赁与资金缺口'!$F$5))*12+MONTH(CM$46)-MONTH('融资租赁与资金缺口'!$F$5))&gt;=$A15,0,MAX(0,IF('融资租赁与资金缺口'!$I$5=0,'融资租赁与资金缺口'!$E$5-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YEAR(CM$46)-YEAR('融资租赁与资金缺口'!$F$5))*12+MONTH(CM$46)-MONTH('融资租赁与资金缺口'!$F$5)),'融资租赁与资金缺口'!$E$5*(1+'融资租赁与资金缺口'!$I$5)^((YEAR(CM$46)-YEAR('融资租赁与资金缺口'!$F$5))*12+MONTH(CM$46)-MONTH('融资租赁与资金缺口'!$F$5))-IF('融资租赁与资金缺口'!$I$5=0,('融资租赁与资金缺口'!$E$5-'融资租赁与资金缺口'!$J$5)/$A15,('融资租赁与资金缺口'!$E$5-'融资租赁与资金缺口'!$J$5/(1+'融资租赁与资金缺口'!$I$5)^$A15)*'融资租赁与资金缺口'!$I$5/(1-(1+'融资租赁与资金缺口'!$I$5)^-$A15))*((1+'融资租赁与资金缺口'!$I$5)^((YEAR(CM$46)-YEAR('融资租赁与资金缺口'!$F$5))*12+MONTH(CM$46)-MONTH('融资租赁与资金缺口'!$F$5))-1)/'融资租赁与资金缺口'!$I$5))))),IF(CM$46&lt;'融资租赁与资金缺口'!$F$6,0,IF(CM$46='融资租赁与资金缺口'!$F$6,'融资租赁与资金缺口'!$E$6,IF(((YEAR(CM$46)-YEAR('融资租赁与资金缺口'!$F$6))*12+MONTH(CM$46)-MONTH('融资租赁与资金缺口'!$F$6))&gt;=$A15,0,MAX(0,IF('融资租赁与资金缺口'!$I$6=0,'融资租赁与资金缺口'!$E$6-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YEAR(CM$46)-YEAR('融资租赁与资金缺口'!$F$6))*12+MONTH(CM$46)-MONTH('融资租赁与资金缺口'!$F$6)),'融资租赁与资金缺口'!$E$6*(1+'融资租赁与资金缺口'!$I$6)^((YEAR(CM$46)-YEAR('融资租赁与资金缺口'!$F$6))*12+MONTH(CM$46)-MONTH('融资租赁与资金缺口'!$F$6))-IF('融资租赁与资金缺口'!$I$6=0,('融资租赁与资金缺口'!$E$6-'融资租赁与资金缺口'!$J$6)/$A15,('融资租赁与资金缺口'!$E$6-'融资租赁与资金缺口'!$J$6/(1+'融资租赁与资金缺口'!$I$6)^$A15)*'融资租赁与资金缺口'!$I$6/(1-(1+'融资租赁与资金缺口'!$I$6)^-$A15))*((1+'融资租赁与资金缺口'!$I$6)^((YEAR(CM$46)-YEAR('融资租赁与资金缺口'!$F$6))*12+MONTH(CM$46)-MONTH('融资租赁与资金缺口'!$F$6))-1)/'融资租赁与资金缺口'!$I$6))))),IF(CM$46&lt;'融资租赁与资金缺口'!$F$7,0,IF(CM$46='融资租赁与资金缺口'!$F$7,'融资租赁与资金缺口'!$E$7,IF(((YEAR(CM$46)-YEAR('融资租赁与资金缺口'!$F$7))*12+MONTH(CM$46)-MONTH('融资租赁与资金缺口'!$F$7))&gt;=$A15,0,MAX(0,IF('融资租赁与资金缺口'!$I$7=0,'融资租赁与资金缺口'!$E$7-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YEAR(CM$46)-YEAR('融资租赁与资金缺口'!$F$7))*12+MONTH(CM$46)-MONTH('融资租赁与资金缺口'!$F$7)),'融资租赁与资金缺口'!$E$7*(1+'融资租赁与资金缺口'!$I$7)^((YEAR(CM$46)-YEAR('融资租赁与资金缺口'!$F$7))*12+MONTH(CM$46)-MONTH('融资租赁与资金缺口'!$F$7))-IF('融资租赁与资金缺口'!$I$7=0,('融资租赁与资金缺口'!$E$7-'融资租赁与资金缺口'!$J$7)/$A15,('融资租赁与资金缺口'!$E$7-'融资租赁与资金缺口'!$J$7/(1+'融资租赁与资金缺口'!$I$7)^$A15)*'融资租赁与资金缺口'!$I$7/(1-(1+'融资租赁与资金缺口'!$I$7)^-$A15))*((1+'融资租赁与资金缺口'!$I$7)^((YEAR(CM$46)-YEAR('融资租赁与资金缺口'!$F$7))*12+MONTH(CM$46)-MONTH('融资租赁与资金缺口'!$F$7))-1)/'融资租赁与资金缺口'!$I$7))))),IF(CM$46&lt;'融资租赁与资金缺口'!$F$8,0,IF(CM$46='融资租赁与资金缺口'!$F$8,'融资租赁与资金缺口'!$E$8,IF(((YEAR(CM$46)-YEAR('融资租赁与资金缺口'!$F$8))*12+MONTH(CM$46)-MONTH('融资租赁与资金缺口'!$F$8))&gt;=$A15,0,MAX(0,IF('融资租赁与资金缺口'!$I$8=0,'融资租赁与资金缺口'!$E$8-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YEAR(CM$46)-YEAR('融资租赁与资金缺口'!$F$8))*12+MONTH(CM$46)-MONTH('融资租赁与资金缺口'!$F$8)),'融资租赁与资金缺口'!$E$8*(1+'融资租赁与资金缺口'!$I$8)^((YEAR(CM$46)-YEAR('融资租赁与资金缺口'!$F$8))*12+MONTH(CM$46)-MONTH('融资租赁与资金缺口'!$F$8))-IF('融资租赁与资金缺口'!$I$8=0,('融资租赁与资金缺口'!$E$8-'融资租赁与资金缺口'!$J$8)/$A15,('融资租赁与资金缺口'!$E$8-'融资租赁与资金缺口'!$J$8/(1+'融资租赁与资金缺口'!$I$8)^$A15)*'融资租赁与资金缺口'!$I$8/(1-(1+'融资租赁与资金缺口'!$I$8)^-$A15))*((1+'融资租赁与资金缺口'!$I$8)^((YEAR(CM$46)-YEAR('融资租赁与资金缺口'!$F$8))*12+MONTH(CM$46)-MONTH('融资租赁与资金缺口'!$F$8))-1)/'融资租赁与资金缺口'!$I$8))))),IF(CM$46&lt;'融资租赁与资金缺口'!$F$9,0,IF(CM$46='融资租赁与资金缺口'!$F$9,'融资租赁与资金缺口'!$E$9,IF(((YEAR(CM$46)-YEAR('融资租赁与资金缺口'!$F$9))*12+MONTH(CM$46)-MONTH('融资租赁与资金缺口'!$F$9))&gt;=$A15,0,MAX(0,IF('融资租赁与资金缺口'!$I$9=0,'融资租赁与资金缺口'!$E$9-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YEAR(CM$46)-YEAR('融资租赁与资金缺口'!$F$9))*12+MONTH(CM$46)-MONTH('融资租赁与资金缺口'!$F$9)),'融资租赁与资金缺口'!$E$9*(1+'融资租赁与资金缺口'!$I$9)^((YEAR(CM$46)-YEAR('融资租赁与资金缺口'!$F$9))*12+MONTH(CM$46)-MONTH('融资租赁与资金缺口'!$F$9))-IF('融资租赁与资金缺口'!$I$9=0,('融资租赁与资金缺口'!$E$9-'融资租赁与资金缺口'!$J$9)/$A15,('融资租赁与资金缺口'!$E$9-'融资租赁与资金缺口'!$J$9/(1+'融资租赁与资金缺口'!$I$9)^$A15)*'融资租赁与资金缺口'!$I$9/(1-(1+'融资租赁与资金缺口'!$I$9)^-$A15))*((1+'融资租赁与资金缺口'!$I$9)^((YEAR(CM$46)-YEAR('融资租赁与资金缺口'!$F$9))*12+MONTH(CM$46)-MONTH('融资租赁与资金缺口'!$F$9))-1)/'融资租赁与资金缺口'!$I$9))))),IF(CM$46&lt;'融资租赁与资金缺口'!$F$10,0,IF(CM$46='融资租赁与资金缺口'!$F$10,'融资租赁与资金缺口'!$E$10,IF(((YEAR(CM$46)-YEAR('融资租赁与资金缺口'!$F$10))*12+MONTH(CM$46)-MONTH('融资租赁与资金缺口'!$F$10))&gt;=$A15,0,MAX(0,IF('融资租赁与资金缺口'!$I$10=0,'融资租赁与资金缺口'!$E$10-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YEAR(CM$46)-YEAR('融资租赁与资金缺口'!$F$10))*12+MONTH(CM$46)-MONTH('融资租赁与资金缺口'!$F$10)),'融资租赁与资金缺口'!$E$10*(1+'融资租赁与资金缺口'!$I$10)^((YEAR(CM$46)-YEAR('融资租赁与资金缺口'!$F$10))*12+MONTH(CM$46)-MONTH('融资租赁与资金缺口'!$F$10))-IF('融资租赁与资金缺口'!$I$10=0,('融资租赁与资金缺口'!$E$10-'融资租赁与资金缺口'!$J$10)/$A15,('融资租赁与资金缺口'!$E$10-'融资租赁与资金缺口'!$J$10/(1+'融资租赁与资金缺口'!$I$10)^$A15)*'融资租赁与资金缺口'!$I$10/(1-(1+'融资租赁与资金缺口'!$I$10)^-$A15))*((1+'融资租赁与资金缺口'!$I$10)^((YEAR(CM$46)-YEAR('融资租赁与资金缺口'!$F$10))*12+MONTH(CM$46)-MONTH('融资租赁与资金缺口'!$F$10))-1)/'融资租赁与资金缺口'!$I$10))))),IF(CM$46&lt;'融资租赁与资金缺口'!$F$11,0,IF(CM$46='融资租赁与资金缺口'!$F$11,'融资租赁与资金缺口'!$E$11,IF(((YEAR(CM$46)-YEAR('融资租赁与资金缺口'!$F$11))*12+MONTH(CM$46)-MONTH('融资租赁与资金缺口'!$F$11))&gt;=$A15,0,MAX(0,IF('融资租赁与资金缺口'!$I$11=0,'融资租赁与资金缺口'!$E$11-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YEAR(CM$46)-YEAR('融资租赁与资金缺口'!$F$11))*12+MONTH(CM$46)-MONTH('融资租赁与资金缺口'!$F$11)),'融资租赁与资金缺口'!$E$11*(1+'融资租赁与资金缺口'!$I$11)^((YEAR(CM$46)-YEAR('融资租赁与资金缺口'!$F$11))*12+MONTH(CM$46)-MONTH('融资租赁与资金缺口'!$F$11))-IF('融资租赁与资金缺口'!$I$11=0,('融资租赁与资金缺口'!$E$11-'融资租赁与资金缺口'!$J$11)/$A15,('融资租赁与资金缺口'!$E$11-'融资租赁与资金缺口'!$J$11/(1+'融资租赁与资金缺口'!$I$11)^$A15)*'融资租赁与资金缺口'!$I$11/(1-(1+'融资租赁与资金缺口'!$I$11)^-$A15))*((1+'融资租赁与资金缺口'!$I$11)^((YEAR(CM$46)-YEAR('融资租赁与资金缺口'!$F$11))*12+MONTH(CM$46)-MONTH('融资租赁与资金缺口'!$F$11))-1)/'融资租赁与资金缺口'!$I$11))))),IF(CM$46&lt;'融资租赁与资金缺口'!$F$12,0,IF(CM$46='融资租赁与资金缺口'!$F$12,'融资租赁与资金缺口'!$E$12,IF(((YEAR(CM$46)-YEAR('融资租赁与资金缺口'!$F$12))*12+MONTH(CM$46)-MONTH('融资租赁与资金缺口'!$F$12))&gt;=$A15,0,MAX(0,IF('融资租赁与资金缺口'!$I$12=0,'融资租赁与资金缺口'!$E$12-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YEAR(CM$46)-YEAR('融资租赁与资金缺口'!$F$12))*12+MONTH(CM$46)-MONTH('融资租赁与资金缺口'!$F$12)),'融资租赁与资金缺口'!$E$12*(1+'融资租赁与资金缺口'!$I$12)^((YEAR(CM$46)-YEAR('融资租赁与资金缺口'!$F$12))*12+MONTH(CM$46)-MONTH('融资租赁与资金缺口'!$F$12))-IF('融资租赁与资金缺口'!$I$12=0,('融资租赁与资金缺口'!$E$12-'融资租赁与资金缺口'!$J$12)/$A15,('融资租赁与资金缺口'!$E$12-'融资租赁与资金缺口'!$J$12/(1+'融资租赁与资金缺口'!$I$12)^$A15)*'融资租赁与资金缺口'!$I$12/(1-(1+'融资租赁与资金缺口'!$I$12)^-$A15))*((1+'融资租赁与资金缺口'!$I$12)^((YEAR(CM$46)-YEAR('融资租赁与资金缺口'!$F$12))*12+MONTH(CM$46)-MONTH('融资租赁与资金缺口'!$F$12))-1)/'融资租赁与资金缺口'!$I$12))))),IF(CM$46&lt;'融资租赁与资金缺口'!$F$13,0,IF(CM$46='融资租赁与资金缺口'!$F$13,'融资租赁与资金缺口'!$E$13,IF(((YEAR(CM$46)-YEAR('融资租赁与资金缺口'!$F$13))*12+MONTH(CM$46)-MONTH('融资租赁与资金缺口'!$F$13))&gt;=$A15,0,MAX(0,IF('融资租赁与资金缺口'!$I$13=0,'融资租赁与资金缺口'!$E$13-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YEAR(CM$46)-YEAR('融资租赁与资金缺口'!$F$13))*12+MONTH(CM$46)-MONTH('融资租赁与资金缺口'!$F$13)),'融资租赁与资金缺口'!$E$13*(1+'融资租赁与资金缺口'!$I$13)^((YEAR(CM$46)-YEAR('融资租赁与资金缺口'!$F$13))*12+MONTH(CM$46)-MONTH('融资租赁与资金缺口'!$F$13))-IF('融资租赁与资金缺口'!$I$13=0,('融资租赁与资金缺口'!$E$13-'融资租赁与资金缺口'!$J$13)/$A15,('融资租赁与资金缺口'!$E$13-'融资租赁与资金缺口'!$J$13/(1+'融资租赁与资金缺口'!$I$13)^$A15)*'融资租赁与资金缺口'!$I$13/(1-(1+'融资租赁与资金缺口'!$I$13)^-$A15))*((1+'融资租赁与资金缺口'!$I$13)^((YEAR(CM$46)-YEAR('融资租赁与资金缺口'!$F$13))*12+MONTH(CM$46)-MONTH('融资租赁与资金缺口'!$F$13))-1)/'融资租赁与资金缺口'!$I$13))))),IF(CM$46&lt;'融资租赁与资金缺口'!$F$14,0,IF(CM$46='融资租赁与资金缺口'!$F$14,'融资租赁与资金缺口'!$E$14,IF(((YEAR(CM$46)-YEAR('融资租赁与资金缺口'!$F$14))*12+MONTH(CM$46)-MONTH('融资租赁与资金缺口'!$F$14))&gt;=$A15,0,MAX(0,IF('融资租赁与资金缺口'!$I$14=0,'融资租赁与资金缺口'!$E$14-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YEAR(CM$46)-YEAR('融资租赁与资金缺口'!$F$14))*12+MONTH(CM$46)-MONTH('融资租赁与资金缺口'!$F$14)),'融资租赁与资金缺口'!$E$14*(1+'融资租赁与资金缺口'!$I$14)^((YEAR(CM$46)-YEAR('融资租赁与资金缺口'!$F$14))*12+MONTH(CM$46)-MONTH('融资租赁与资金缺口'!$F$14))-IF('融资租赁与资金缺口'!$I$14=0,('融资租赁与资金缺口'!$E$14-'融资租赁与资金缺口'!$J$14)/$A15,('融资租赁与资金缺口'!$E$14-'融资租赁与资金缺口'!$J$14/(1+'融资租赁与资金缺口'!$I$14)^$A15)*'融资租赁与资金缺口'!$I$14/(1-(1+'融资租赁与资金缺口'!$I$14)^-$A15))*((1+'融资租赁与资金缺口'!$I$14)^((YEAR(CM$46)-YEAR('融资租赁与资金缺口'!$F$14))*12+MONTH(CM$46)-MONTH('融资租赁与资金缺口'!$F$14))-1)/'融资租赁与资金缺口'!$I$14))))),IF(CM$46&lt;'融资租赁与资金缺口'!$F$15,0,IF(CM$46='融资租赁与资金缺口'!$F$15,'融资租赁与资金缺口'!$E$15,IF(((YEAR(CM$46)-YEAR('融资租赁与资金缺口'!$F$15))*12+MONTH(CM$46)-MONTH('融资租赁与资金缺口'!$F$15))&gt;=$A15,0,MAX(0,IF('融资租赁与资金缺口'!$I$15=0,'融资租赁与资金缺口'!$E$15-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YEAR(CM$46)-YEAR('融资租赁与资金缺口'!$F$15))*12+MONTH(CM$46)-MONTH('融资租赁与资金缺口'!$F$15)),'融资租赁与资金缺口'!$E$15*(1+'融资租赁与资金缺口'!$I$15)^((YEAR(CM$46)-YEAR('融资租赁与资金缺口'!$F$15))*12+MONTH(CM$46)-MONTH('融资租赁与资金缺口'!$F$15))-IF('融资租赁与资金缺口'!$I$15=0,('融资租赁与资金缺口'!$E$15-'融资租赁与资金缺口'!$J$15)/$A15,('融资租赁与资金缺口'!$E$15-'融资租赁与资金缺口'!$J$15/(1+'融资租赁与资金缺口'!$I$15)^$A15)*'融资租赁与资金缺口'!$I$15/(1-(1+'融资租赁与资金缺口'!$I$15)^-$A15))*((1+'融资租赁与资金缺口'!$I$15)^((YEAR(CM$46)-YEAR('融资租赁与资金缺口'!$F$15))*12+MONTH(CM$46)-MONTH('融资租赁与资金缺口'!$F$15))-1)/'融资租赁与资金缺口'!$I$15))))),IF(CM$46&lt;'融资租赁与资金缺口'!$F$16,0,IF(CM$46='融资租赁与资金缺口'!$F$16,'融资租赁与资金缺口'!$E$16,IF(((YEAR(CM$46)-YEAR('融资租赁与资金缺口'!$F$16))*12+MONTH(CM$46)-MONTH('融资租赁与资金缺口'!$F$16))&gt;=$A15,0,MAX(0,IF('融资租赁与资金缺口'!$I$16=0,'融资租赁与资金缺口'!$E$16-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YEAR(CM$46)-YEAR('融资租赁与资金缺口'!$F$16))*12+MONTH(CM$46)-MONTH('融资租赁与资金缺口'!$F$16)),'融资租赁与资金缺口'!$E$16*(1+'融资租赁与资金缺口'!$I$16)^((YEAR(CM$46)-YEAR('融资租赁与资金缺口'!$F$16))*12+MONTH(CM$46)-MONTH('融资租赁与资金缺口'!$F$16))-IF('融资租赁与资金缺口'!$I$16=0,('融资租赁与资金缺口'!$E$16-'融资租赁与资金缺口'!$J$16)/$A15,('融资租赁与资金缺口'!$E$16-'融资租赁与资金缺口'!$J$16/(1+'融资租赁与资金缺口'!$I$16)^$A15)*'融资租赁与资金缺口'!$I$16/(1-(1+'融资租赁与资金缺口'!$I$16)^-$A15))*((1+'融资租赁与资金缺口'!$I$16)^((YEAR(CM$46)-YEAR('融资租赁与资金缺口'!$F$16))*12+MONTH(CM$46)-MONTH('融资租赁与资金缺口'!$F$16))-1)/'融资租赁与资金缺口'!$I$16))))))</x:f>
        <x:v>0</x:v>
      </x:c>
    </x:row>
    <x:row r="49">
      <x:c r="A49" t="str">
        <x:v>SRC-004</x:v>
      </x:c>
      <x:c r="B49" t="str">
        <x:v>上海人口来源</x:v>
      </x:c>
      <x:c r="C49" t="str"/>
      <x:c r="D49" t="n">
        <x:v>2020</x:v>
      </x:c>
      <x:c r="E49" t="str">
        <x:v>城市人口</x:v>
      </x:c>
      <x:c r="F49" s="30" t="str">
        <x:v>上海人口来源</x:v>
      </x:c>
      <x:c r="G49" s="77" t="str">
        <x:v>https://tjj.sh.gov.cn/tjgb/20210517/cc22f48611f24627bc5ee2ae96ca56d4.html</x:v>
      </x:c>
      <x:c r="H49" s="30" t="str">
        <x:v>等级及排名据2025第一财经榜单；2020年七普常住人口；住建部2022年城市建设统计年鉴表2-2第184行列示同一城市口径的城区人口（含表列城区暂住人口）2475.89万人、建成区面积1242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49" s="30" t="str">
        <x:v>2026-08-16</x:v>
      </x:c>
      <x:c r="AE49" t="str">
        <x:v>DSCR</x:v>
      </x:c>
      <x:c r="AF49" s="28" t="str">
        <x:f>IF(AF47=0,"",'36月运营模型'!B$20/AF47)</x:f>
      </x:c>
      <x:c r="AG49" s="28" t="str">
        <x:f>IF(AG47=0,"",'36月运营模型'!C$20/AG47)</x:f>
      </x:c>
      <x:c r="AH49" s="28" t="n">
        <x:f>IF(AH47=0,"",'36月运营模型'!D$20/AH47)</x:f>
        <x:v>3.6466796308724145</x:v>
      </x:c>
      <x:c r="AI49" s="28" t="n">
        <x:f>IF(AI47=0,"",'36月运营模型'!E$20/AI47)</x:f>
        <x:v>2.797694941630047</x:v>
      </x:c>
      <x:c r="AJ49" s="28" t="n">
        <x:f>IF(AJ47=0,"",'36月运营模型'!F$20/AJ47)</x:f>
        <x:v>2.191598800227156</x:v>
      </x:c>
      <x:c r="AK49" s="28" t="n">
        <x:f>IF(AK47=0,"",'36月运营模型'!G$20/AK47)</x:f>
        <x:v>1.6488775825407667</x:v>
      </x:c>
      <x:c r="AL49" s="28" t="n">
        <x:f>IF(AL47=0,"",'36月运营模型'!H$20/AL47)</x:f>
        <x:v>1.6462933988586836</x:v>
      </x:c>
      <x:c r="AM49" s="28" t="n">
        <x:f>IF(AM47=0,"",'36月运营模型'!I$20/AM47)</x:f>
        <x:v>1.5874992495000428</x:v>
      </x:c>
      <x:c r="AN49" s="28" t="n">
        <x:f>IF(AN47=0,"",'36月运营模型'!J$20/AN47)</x:f>
        <x:v>1.5414146943162452</x:v>
      </x:c>
      <x:c r="AO49" s="28" t="n">
        <x:f>IF(AO47=0,"",'36月运营模型'!K$20/AO47)</x:f>
        <x:v>1.5820167209628855</x:v>
      </x:c>
      <x:c r="AP49" s="28" t="n">
        <x:f>IF(AP47=0,"",'36月运营模型'!L$20/AP47)</x:f>
        <x:v>1.5626820130454697</x:v>
      </x:c>
      <x:c r="AQ49" s="28" t="n">
        <x:f>IF(AQ47=0,"",'36月运营模型'!M$20/AQ47)</x:f>
        <x:v>1.484103109887861</x:v>
      </x:c>
      <x:c r="AR49" s="28" t="n">
        <x:f>IF(AR47=0,"",'36月运营模型'!N$20/AR47)</x:f>
        <x:v>1.2601253537667894</x:v>
      </x:c>
      <x:c r="AS49" s="28" t="n">
        <x:f>IF(AS47=0,"",'36月运营模型'!O$20/AS47)</x:f>
        <x:v>1.1470530492923043</x:v>
      </x:c>
      <x:c r="AT49" s="28" t="n">
        <x:f>IF(AT47=0,"",'36月运营模型'!P$20/AT47)</x:f>
        <x:v>1.1831141732156318</x:v>
      </x:c>
      <x:c r="AU49" s="28" t="n">
        <x:f>IF(AU47=0,"",'36月运营模型'!Q$20/AU47)</x:f>
        <x:v>1.3158597224041229</x:v>
      </x:c>
      <x:c r="AV49" s="28" t="n">
        <x:f>IF(AV47=0,"",'36月运营模型'!R$20/AV47)</x:f>
        <x:v>1.2029124833062632</x:v>
      </x:c>
      <x:c r="AW49" s="28" t="n">
        <x:f>IF(AW47=0,"",'36月运营模型'!S$20/AW47)</x:f>
        <x:v>1.0190814377947408</x:v>
      </x:c>
      <x:c r="AX49" s="28" t="n">
        <x:f>IF(AX47=0,"",'36月运营模型'!T$20/AX47)</x:f>
        <x:v>1.037579303148659</x:v>
      </x:c>
      <x:c r="AY49" s="28" t="n">
        <x:f>IF(AY47=0,"",'36月运营模型'!U$20/AY47)</x:f>
        <x:v>1.0434393951209364</x:v>
      </x:c>
      <x:c r="AZ49" s="28" t="n">
        <x:f>IF(AZ47=0,"",'36月运营模型'!V$20/AZ47)</x:f>
        <x:v>1.1162411128345708</x:v>
      </x:c>
      <x:c r="BA49" s="28" t="n">
        <x:f>IF(BA47=0,"",'36月运营模型'!W$20/BA47)</x:f>
        <x:v>1.2651592942223762</x:v>
      </x:c>
      <x:c r="BB49" s="28" t="n">
        <x:f>IF(BB47=0,"",'36月运营模型'!X$20/BB47)</x:f>
        <x:v>1.445776132209693</x:v>
      </x:c>
      <x:c r="BC49" s="28" t="n">
        <x:f>IF(BC47=0,"",'36月运营模型'!Y$20/BC47)</x:f>
        <x:v>1.6207552325609667</x:v>
      </x:c>
      <x:c r="BD49" s="28" t="n">
        <x:f>IF(BD47=0,"",'36月运营模型'!Z$20/BD47)</x:f>
        <x:v>1.6700107535683266</x:v>
      </x:c>
      <x:c r="BE49" s="28" t="n">
        <x:f>IF(BE47=0,"",'36月运营模型'!AA$20/BE47)</x:f>
        <x:v>1.8371828909726224</x:v>
      </x:c>
      <x:c r="BF49" s="28" t="n">
        <x:f>IF(BF47=0,"",'36月运营模型'!AB$20/BF47)</x:f>
        <x:v>2.1936993345937608</x:v>
      </x:c>
      <x:c r="BG49" s="28" t="n">
        <x:f>IF(BG47=0,"",'36月运营模型'!AC$20/BG47)</x:f>
        <x:v>2.898388396249672</x:v>
      </x:c>
      <x:c r="BH49" s="28" t="n">
        <x:f>IF(BH47=0,"",'36月运营模型'!AD$20/BH47)</x:f>
        <x:v>3.5515573157627394</x:v>
      </x:c>
      <x:c r="BI49" s="28" t="n">
        <x:f>IF(BI47=0,"",'36月运营模型'!AE$20/BI47)</x:f>
        <x:v>4.638950524888224</x:v>
      </x:c>
      <x:c r="BJ49" s="28" t="n">
        <x:f>IF(BJ47=0,"",'36月运营模型'!AF$20/BJ47)</x:f>
        <x:v>10.701355712824064</x:v>
      </x:c>
      <x:c r="BK49" s="28" t="str">
        <x:f>IF(BK47=0,"",'36月运营模型'!AG$20/BK47)</x:f>
      </x:c>
      <x:c r="BL49" s="28" t="str">
        <x:f>IF(BL47=0,"",'36月运营模型'!AH$20/BL47)</x:f>
      </x:c>
      <x:c r="BM49" s="28" t="str">
        <x:f>IF(BM47=0,"",'36月运营模型'!AI$20/BM47)</x:f>
      </x:c>
      <x:c r="BN49" s="28" t="str">
        <x:f>IF(BN47=0,"",'36月运营模型'!AJ$20/BN47)</x:f>
      </x:c>
      <x:c r="BO49" s="28" t="str">
        <x:f>IF(BO47=0,"",'36月运营模型'!AK$20/BO47)</x:f>
      </x:c>
      <x:c r="BP49" s="28" t="str">
        <x:f>IF(BP47=0,"",'36月运营模型'!AL$20/BP47)</x:f>
      </x:c>
      <x:c r="BQ49" s="28" t="str">
        <x:f>IF(BQ47=0,"",'36月运营模型'!AM$20/BQ47)</x:f>
      </x:c>
      <x:c r="BR49" s="28" t="str">
        <x:f>IF(BR47=0,"",'36月运营模型'!AN$20/BR47)</x:f>
      </x:c>
      <x:c r="BS49" s="28" t="str">
        <x:f>IF(BS47=0,"",'36月运营模型'!AO$20/BS47)</x:f>
      </x:c>
      <x:c r="BT49" s="28" t="str">
        <x:f>IF(BT47=0,"",'36月运营模型'!AP$20/BT47)</x:f>
      </x:c>
      <x:c r="BU49" s="28" t="str">
        <x:f>IF(BU47=0,"",'36月运营模型'!AQ$20/BU47)</x:f>
      </x:c>
      <x:c r="BV49" s="28" t="str">
        <x:f>IF(BV47=0,"",'36月运营模型'!AR$20/BV47)</x:f>
      </x:c>
      <x:c r="BW49" s="28" t="str">
        <x:f>IF(BW47=0,"",'36月运营模型'!AS$20/BW47)</x:f>
      </x:c>
      <x:c r="BX49" s="28" t="str">
        <x:f>IF(BX47=0,"",'36月运营模型'!AT$20/BX47)</x:f>
      </x:c>
      <x:c r="BY49" s="28" t="str">
        <x:f>IF(BY47=0,"",'36月运营模型'!AU$20/BY47)</x:f>
      </x:c>
      <x:c r="BZ49" s="28" t="str">
        <x:f>IF(BZ47=0,"",'36月运营模型'!AV$20/BZ47)</x:f>
      </x:c>
      <x:c r="CA49" s="28" t="str">
        <x:f>IF(CA47=0,"",'36月运营模型'!AW$20/CA47)</x:f>
      </x:c>
      <x:c r="CB49" s="28" t="str">
        <x:f>IF(CB47=0,"",'36月运营模型'!AX$20/CB47)</x:f>
      </x:c>
      <x:c r="CC49" s="28" t="str">
        <x:f>IF(CC47=0,"",'36月运营模型'!AY$20/CC47)</x:f>
      </x:c>
      <x:c r="CD49" s="28" t="str">
        <x:f>IF(CD47=0,"",'36月运营模型'!AZ$20/CD47)</x:f>
      </x:c>
      <x:c r="CE49" s="28" t="str">
        <x:f>IF(CE47=0,"",'36月运营模型'!BA$20/CE47)</x:f>
      </x:c>
      <x:c r="CF49" s="28" t="str">
        <x:f>IF(CF47=0,"",'36月运营模型'!BB$20/CF47)</x:f>
      </x:c>
      <x:c r="CG49" s="28" t="str">
        <x:f>IF(CG47=0,"",'36月运营模型'!BC$20/CG47)</x:f>
      </x:c>
      <x:c r="CH49" s="28" t="str">
        <x:f>IF(CH47=0,"",'36月运营模型'!BD$20/CH47)</x:f>
      </x:c>
      <x:c r="CI49" s="28" t="str">
        <x:f>IF(CI47=0,"",'36月运营模型'!BE$20/CI47)</x:f>
      </x:c>
      <x:c r="CJ49" s="28" t="str">
        <x:f>IF(CJ47=0,"",'36月运营模型'!BF$20/CJ47)</x:f>
      </x:c>
      <x:c r="CK49" s="28" t="str">
        <x:f>IF(CK47=0,"",'36月运营模型'!BG$20/CK47)</x:f>
      </x:c>
      <x:c r="CL49" s="28" t="str">
        <x:f>IF(CL47=0,"",'36月运营模型'!BH$20/CL47)</x:f>
      </x:c>
      <x:c r="CM49" s="28" t="str">
        <x:f>IF(CM47=0,"",'36月运营模型'!BI$20/CM47)</x:f>
      </x:c>
    </x:row>
    <x:row r="50">
      <x:c r="A50" t="str">
        <x:v>SRC-005</x:v>
      </x:c>
      <x:c r="B50" t="str">
        <x:v>上海建成区来源</x:v>
      </x:c>
      <x:c r="C50" t="str"/>
      <x:c r="D50" t="n">
        <x:v>2022</x:v>
      </x:c>
      <x:c r="E50" t="str">
        <x:v>城市密度</x:v>
      </x:c>
      <x:c r="F50" s="30" t="str">
        <x:v>上海建成区来源</x:v>
      </x:c>
      <x:c r="G50" s="77" t="str">
        <x:v>https://www.mohurd.gov.cn/cms_files/filemanager/mohurdold/file/2023/20231011/4de09801-07f4-4273-97cb-1e1fc78704fd.xls</x:v>
      </x:c>
      <x:c r="H50" s="30" t="str">
        <x:v>等级及排名据2025第一财经榜单；2020年七普常住人口；住建部2022年城市建设统计年鉴表2-2第184行列示同一城市口径的城区人口（含表列城区暂住人口）2475.89万人、建成区面积1242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50" s="30" t="str">
        <x:v>2026-08-16</x:v>
      </x:c>
      <x:c r="AE50" t="str">
        <x:v>注资前累计现金</x:v>
      </x:c>
      <x:c r="AF50" s="28" t="n">
        <x:f>'核心假设'!$B$39+'36月运营模型'!B$20-'融资租赁与资金缺口'!B$103-AF47+'融资租赁与资金缺口'!B$105</x:f>
        <x:v>1146839.7707964361</x:v>
      </x:c>
      <x:c r="AG50" s="28" t="n">
        <x:f>AF50+'36月运营模型'!C$20-'融资租赁与资金缺口'!C$103-AG47+'融资租赁与资金缺口'!C$105</x:f>
        <x:v>101203.11320460588</x:v>
      </x:c>
      <x:c r="AH50" s="28" t="n">
        <x:f>AG50+'36月运营模型'!D$20-'融资租赁与资金缺口'!D$103-AH47+'融资租赁与资金缺口'!D$105</x:f>
        <x:v>-861895.8414624073</x:v>
      </x:c>
      <x:c r="AI50" s="28" t="n">
        <x:f>AH50+'36月运营模型'!E$20-'融资租赁与资金缺口'!E$103-AI47+'融资租赁与资金缺口'!E$105</x:f>
        <x:v>-804347.4009908661</x:v>
      </x:c>
      <x:c r="AJ50" s="28" t="n">
        <x:f>AI50+'36月运营模型'!F$20-'融资租赁与资金缺口'!F$103-AJ47+'融资租赁与资金缺口'!F$105</x:f>
        <x:v>-1050718.0331088752</x:v>
      </x:c>
      <x:c r="AK50" s="28" t="n">
        <x:f>AJ50+'36月运营模型'!G$20-'融资租赁与资金缺口'!G$103-AK47+'融资租赁与资金缺口'!G$105</x:f>
        <x:v>-3281701.765937187</x:v>
      </x:c>
      <x:c r="AL50" s="28" t="n">
        <x:f>AK50+'36月运营模型'!H$20-'融资租赁与资金缺口'!H$103-AL47+'融资租赁与资金缺口'!H$105</x:f>
        <x:v>-4717981.081055403</x:v>
      </x:c>
      <x:c r="AM50" s="28" t="n">
        <x:f>AL50+'36月运营模型'!I$20-'融资租赁与资金缺口'!I$103-AM47+'融资租赁与资金缺口'!I$105</x:f>
        <x:v>-5859543.911613435</x:v>
      </x:c>
      <x:c r="AN50" s="28" t="n">
        <x:f>AM50+'36月运营模型'!J$20-'融资租赁与资金缺口'!J$103-AN47+'融资租赁与资金缺口'!J$105</x:f>
        <x:v>-5961625.715649426</x:v>
      </x:c>
      <x:c r="AO50" s="28" t="n">
        <x:f>AN50+'36月运营模型'!K$20-'融资租赁与资金缺口'!K$103-AO47+'融资租赁与资金缺口'!K$105</x:f>
        <x:v>-7595825.667792439</x:v>
      </x:c>
      <x:c r="AP50" s="28" t="n">
        <x:f>AO50+'36月运营模型'!L$20-'融资租赁与资金缺口'!L$103-AP47+'融资租赁与资金缺口'!L$105</x:f>
        <x:v>-8866128.777840257</x:v>
      </x:c>
      <x:c r="AQ50" s="28" t="n">
        <x:f>AP50+'36月运营模型'!M$20-'融资租赁与资金缺口'!M$103-AQ47+'融资租赁与资金缺口'!M$105</x:f>
        <x:v>-8428938.505056977</x:v>
      </x:c>
      <x:c r="AR50" s="28" t="n">
        <x:f>AQ50+'36月运营模型'!N$20-'融资租赁与资金缺口'!N$103-AR47+'融资租赁与资金缺口'!N$105</x:f>
        <x:v>-9831162.139051318</x:v>
      </x:c>
      <x:c r="AS50" s="28" t="n">
        <x:f>AR50+'36月运营模型'!O$20-'融资租赁与资金缺口'!O$103-AS47+'融资租赁与资金缺口'!O$105</x:f>
        <x:v>-5148134.997961782</x:v>
      </x:c>
      <x:c r="AT50" s="28" t="n">
        <x:f>AS50+'36月运营模型'!P$20-'融资租赁与资金缺口'!P$103-AT47+'融资租赁与资金缺口'!P$105</x:f>
        <x:v>683288.7447885275</x:v>
      </x:c>
      <x:c r="AU50" s="28" t="n">
        <x:f>AT50+'36月运营模型'!Q$20-'融资租赁与资金缺口'!Q$103-AU47+'融资租赁与资金缺口'!Q$105</x:f>
        <x:v>10742105.341343962</x:v>
      </x:c>
      <x:c r="AV50" s="28" t="n">
        <x:f>AU50+'36月运营模型'!R$20-'融资租赁与资金缺口'!R$103-AV47+'融资租赁与资金缺口'!R$105</x:f>
        <x:v>17204022.800126217</x:v>
      </x:c>
      <x:c r="AW50" s="28" t="n">
        <x:f>AV50+'36月运营模型'!S$20-'融资租赁与资金缺口'!S$103-AW47+'融资租赁与资金缺口'!S$105</x:f>
        <x:v>17811687.1193214</x:v>
      </x:c>
      <x:c r="AX50" s="28" t="n">
        <x:f>AW50+'36月运营模型'!T$20-'融资租赁与资金缺口'!T$103-AX47+'融资租赁与资金缺口'!T$105</x:f>
        <x:v>19008431.406062357</x:v>
      </x:c>
      <x:c r="AY50" s="28" t="n">
        <x:f>AX50+'36月运营模型'!U$20-'融资租赁与资金缺口'!U$103-AY47+'融资租赁与资金缺口'!U$105</x:f>
        <x:v>20401782.80044713</x:v>
      </x:c>
      <x:c r="AZ50" s="28" t="n">
        <x:f>AY50+'36月运营模型'!V$20-'融资租赁与资金缺口'!V$103-AZ47+'融资租赁与资金缺口'!V$105</x:f>
        <x:v>23978965.415254448</x:v>
      </x:c>
      <x:c r="BA50" s="28" t="n">
        <x:f>AZ50+'36月运营模型'!W$20-'融资租赁与资金缺口'!W$103-BA47+'融资租赁与资金缺口'!W$105</x:f>
        <x:v>31722497.3388987</x:v>
      </x:c>
      <x:c r="BB50" s="28" t="n">
        <x:f>BA50+'36月运营模型'!X$20-'融资租赁与资金缺口'!X$103-BB47+'融资租赁与资金缺口'!X$105</x:f>
        <x:v>43922202.24989425</x:v>
      </x:c>
      <x:c r="BC50" s="28" t="n">
        <x:f>BB50+'36月运营模型'!Y$20-'融资租赁与资金缺口'!Y$103-BC47+'融资租赁与资金缺口'!Y$105</x:f>
        <x:v>59604455.771915734</x:v>
      </x:c>
      <x:c r="BD50" s="28" t="n">
        <x:f>BC50+'36月运营模型'!Z$20-'融资租赁与资金缺口'!Z$103-BD47+'融资租赁与资金缺口'!Z$105</x:f>
        <x:v>74941582.1429408</x:v>
      </x:c>
      <x:c r="BE50" s="28" t="n">
        <x:f>BD50+'36月运营模型'!AA$20-'融资租赁与资金缺口'!AA$103-BE47+'融资租赁与资金缺口'!AA$105</x:f>
        <x:v>91894202.48738676</x:v>
      </x:c>
      <x:c r="BF50" s="28" t="n">
        <x:f>BE50+'36月运营模型'!AB$20-'融资租赁与资金缺口'!AB$103-BF47+'融资租赁与资金缺口'!AB$105</x:f>
        <x:v>112544930.99701405</x:v>
      </x:c>
      <x:c r="BG50" s="28" t="n">
        <x:f>BF50+'36月运营模型'!AC$20-'融资租赁与资金缺口'!AC$103-BG47+'融资租赁与资金缺口'!AC$105</x:f>
        <x:v>140041161.30346954</x:v>
      </x:c>
      <x:c r="BH50" s="28" t="n">
        <x:f>BG50+'36月运营模型'!AD$20-'融资租赁与资金缺口'!AD$103-BH47+'融资租赁与资金缺口'!AD$105</x:f>
        <x:v>167562729.2511842</x:v>
      </x:c>
      <x:c r="BI50" s="28" t="n">
        <x:f>BH50+'36月运营模型'!AE$20-'融资租赁与资金缺口'!AE$103-BI47+'融资租赁与资金缺口'!AE$105</x:f>
        <x:v>192142508.32965833</x:v>
      </x:c>
      <x:c r="BJ50" s="28" t="n">
        <x:f>BI50+'36月运营模型'!AF$20-'融资租赁与资金缺口'!AF$103-BJ47+'融资租赁与资金缺口'!AF$105</x:f>
        <x:v>222097387.29448724</x:v>
      </x:c>
      <x:c r="BK50" s="28" t="n">
        <x:f>BJ50+'36月运营模型'!AG$20-'融资租赁与资金缺口'!AG$103-BK47+'融资租赁与资金缺口'!AG$105</x:f>
        <x:v>255566493.66901487</x:v>
      </x:c>
      <x:c r="BL50" s="28" t="n">
        <x:f>BK50+'36月运营模型'!AH$20-'融资租赁与资金缺口'!AH$103-BL47+'融资租赁与资金缺口'!AH$105</x:f>
        <x:v>289917492.2563018</x:v>
      </x:c>
      <x:c r="BM50" s="28" t="n">
        <x:f>BL50+'36月运营模型'!AI$20-'融资租赁与资金缺口'!AI$103-BM47+'融资租赁与资金缺口'!AI$105</x:f>
        <x:v>326864344.94738686</x:v>
      </x:c>
      <x:c r="BN50" s="28" t="n">
        <x:f>BM50+'36月运营模型'!AJ$20-'融资租赁与资金缺口'!AJ$103-BN47+'融资租赁与资金缺口'!AJ$105</x:f>
        <x:v>366431385.2303372</x:v>
      </x:c>
      <x:c r="BO50" s="28" t="n">
        <x:f>BN50+'36月运营模型'!AK$20-'融资租赁与资金缺口'!AK$103-BO47+'融资租赁与资金缺口'!AK$105</x:f>
        <x:v>407376822.53145194</x:v>
      </x:c>
      <x:c r="BP50" s="28" t="n">
        <x:f>BO50+'36月运营模型'!AL$20-'融资租赁与资金缺口'!AL$103-BP47+'融资租赁与资金缺口'!AL$105</x:f>
        <x:v>445604814.89133316</x:v>
      </x:c>
      <x:c r="BQ50" s="28" t="n">
        <x:f>BP50+'36月运营模型'!AM$20-'融资租赁与资金缺口'!AM$103-BQ47+'融资租赁与资金缺口'!AM$105</x:f>
        <x:v>482807037.2370225</x:v>
      </x:c>
      <x:c r="BR50" s="28" t="n">
        <x:f>BQ50+'36月运营模型'!AN$20-'融资租赁与资金缺口'!AN$103-BR47+'融资租赁与资金缺口'!AN$105</x:f>
        <x:v>520757539.57676184</x:v>
      </x:c>
      <x:c r="BS50" s="28" t="n">
        <x:f>BR50+'36月运营模型'!AO$20-'融资租赁与资金缺口'!AO$103-BS47+'融资租赁与资金缺口'!AO$105</x:f>
        <x:v>562737755.542198</x:v>
      </x:c>
      <x:c r="BT50" s="28" t="n">
        <x:f>BS50+'36月运营模型'!AP$20-'融资租赁与资金缺口'!AP$103-BT47+'融资租赁与资金缺口'!AP$105</x:f>
        <x:v>601045507.9811231</x:v>
      </x:c>
      <x:c r="BU50" s="28" t="n">
        <x:f>BT50+'36月运营模型'!AQ$20-'融资租赁与资金缺口'!AQ$103-BU47+'融资租赁与资金缺口'!AQ$105</x:f>
        <x:v>632379921.0977254</x:v>
      </x:c>
      <x:c r="BV50" s="28" t="n">
        <x:f>BU50+'36月运营模型'!AR$20-'融资租赁与资金缺口'!AR$103-BV47+'融资租赁与资金缺口'!AR$105</x:f>
        <x:v>665422500.3646092</x:v>
      </x:c>
      <x:c r="BW50" s="28" t="n">
        <x:f>BV50+'36月运营模型'!AS$20-'融资租赁与资金缺口'!AS$103-BW47+'融资租赁与资金缺口'!AS$105</x:f>
        <x:v>698891606.7391369</x:v>
      </x:c>
      <x:c r="BX50" s="28" t="n">
        <x:f>BW50+'36月运营模型'!AT$20-'融资租赁与资金缺口'!AT$103-BX47+'融资租赁与资金缺口'!AT$105</x:f>
        <x:v>733242605.3264239</x:v>
      </x:c>
      <x:c r="BY50" s="28" t="n">
        <x:f>BX50+'36月运营模型'!AU$20-'融资租赁与资金缺口'!AU$103-BY47+'融资租赁与资金缺口'!AU$105</x:f>
        <x:v>770189458.017509</x:v>
      </x:c>
      <x:c r="BZ50" s="28" t="n">
        <x:f>BY50+'36月运营模型'!AV$20-'融资租赁与资金缺口'!AV$103-BZ47+'融资租赁与资金缺口'!AV$105</x:f>
        <x:v>809756498.3004594</x:v>
      </x:c>
      <x:c r="CA50" s="28" t="n">
        <x:f>BZ50+'36月运营模型'!AW$20-'融资租赁与资金缺口'!AW$103-CA47+'融资租赁与资金缺口'!AW$105</x:f>
        <x:v>850701935.6015742</x:v>
      </x:c>
      <x:c r="CB50" s="28" t="n">
        <x:f>CA50+'36月运营模型'!AX$20-'融资租赁与资金缺口'!AX$103-CB47+'融资租赁与资金缺口'!AX$105</x:f>
        <x:v>888929927.9614553</x:v>
      </x:c>
      <x:c r="CC50" s="28" t="n">
        <x:f>CB50+'36月运营模型'!AY$20-'融资租赁与资金缺口'!AY$103-CC47+'融资租赁与资金缺口'!AY$105</x:f>
        <x:v>926132150.3071448</x:v>
      </x:c>
      <x:c r="CD50" s="28" t="n">
        <x:f>CC50+'36月运营模型'!AZ$20-'融资租赁与资金缺口'!AZ$103-CD47+'融资租赁与资金缺口'!AZ$105</x:f>
        <x:v>964082652.6468841</x:v>
      </x:c>
      <x:c r="CE50" s="28" t="n">
        <x:f>CD50+'36月运营模型'!BA$20-'融资租赁与资金缺口'!BA$103-CE47+'融资租赁与资金缺口'!BA$105</x:f>
        <x:v>1006062868.6123202</x:v>
      </x:c>
      <x:c r="CF50" s="28" t="n">
        <x:f>CE50+'36月运营模型'!BB$20-'融资租赁与资金缺口'!BB$103-CF47+'融资租赁与资金缺口'!BB$105</x:f>
        <x:v>1044370621.0512453</x:v>
      </x:c>
      <x:c r="CG50" s="28" t="n">
        <x:f>CF50+'36月运营模型'!BC$20-'融资租赁与资金缺口'!BC$103-CG47+'融资租赁与资金缺口'!BC$105</x:f>
        <x:v>1075705034.1678476</x:v>
      </x:c>
      <x:c r="CH50" s="28" t="n">
        <x:f>CG50+'36月运营模型'!BD$20-'融资租赁与资金缺口'!BD$103-CH47+'融资租赁与资金缺口'!BD$105</x:f>
        <x:v>1108747613.4347315</x:v>
      </x:c>
      <x:c r="CI50" s="28" t="n">
        <x:f>CH50+'36月运营模型'!BE$20-'融资租赁与资金缺口'!BE$103-CI47+'融资租赁与资金缺口'!BE$105</x:f>
        <x:v>1142216719.8092592</x:v>
      </x:c>
      <x:c r="CJ50" s="28" t="n">
        <x:f>CI50+'36月运营模型'!BF$20-'融资租赁与资金缺口'!BF$103-CJ47+'融资租赁与资金缺口'!BF$105</x:f>
        <x:v>1176567718.3965461</x:v>
      </x:c>
      <x:c r="CK50" s="28" t="n">
        <x:f>CJ50+'36月运营模型'!BG$20-'融资租赁与资金缺口'!BG$103-CK47+'融资租赁与资金缺口'!BG$105</x:f>
        <x:v>1213514571.0876312</x:v>
      </x:c>
      <x:c r="CL50" s="28" t="n">
        <x:f>CK50+'36月运营模型'!BH$20-'融资租赁与资金缺口'!BH$103-CL47+'融资租赁与资金缺口'!BH$105</x:f>
        <x:v>1253081611.3705816</x:v>
      </x:c>
      <x:c r="CM50" s="28" t="n">
        <x:f>CL50+'36月运营模型'!BI$20-'融资租赁与资金缺口'!BI$103-CM47+'融资租赁与资金缺口'!BI$105</x:f>
        <x:v>1294027048.6716964</x:v>
      </x:c>
    </x:row>
    <x:row r="51">
      <x:c r="A51" t="str">
        <x:v>SRC-006</x:v>
      </x:c>
      <x:c r="B51" t="str">
        <x:v>北京人口来源</x:v>
      </x:c>
      <x:c r="C51" t="str"/>
      <x:c r="D51" t="n">
        <x:v>2020</x:v>
      </x:c>
      <x:c r="E51" t="str">
        <x:v>城市人口</x:v>
      </x:c>
      <x:c r="F51" s="30" t="str">
        <x:v>北京人口来源</x:v>
      </x:c>
      <x:c r="G51" s="77" t="str">
        <x:v>https://www.beijing.gov.cn/gongkai/shuju/sjjd/202105/t20210519_2392881.html</x:v>
      </x:c>
      <x:c r="H51" s="30" t="str">
        <x:v>等级及排名据2025第一财经榜单；2020年七普常住人口；住建部2022年城市建设统计年鉴表2-2第9行虽列示城区人口1912.8万人，但建成区面积为空；为避免不成对或范围错配，密度两字段均保留空值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51" s="30" t="str">
        <x:v>2026-08-16</x:v>
      </x:c>
      <x:c r="AF51" s="28"/>
      <x:c r="AG51" s="28"/>
      <x:c r="AH51" s="28"/>
      <x:c r="AI51" s="28"/>
      <x:c r="AJ51" s="28"/>
      <x:c r="AK51" s="28"/>
      <x:c r="AL51" s="28"/>
      <x:c r="AM51" s="28"/>
      <x:c r="AN51" s="28"/>
      <x:c r="AO51" s="28"/>
      <x:c r="AP51" s="28"/>
      <x:c r="AQ51" s="28"/>
      <x:c r="AR51" s="28"/>
      <x:c r="AS51" s="28"/>
      <x:c r="AT51" s="28"/>
      <x:c r="AU51" s="28"/>
      <x:c r="AV51" s="28"/>
      <x:c r="AW51" s="28"/>
      <x:c r="AX51" s="28"/>
      <x:c r="AY51" s="28"/>
      <x:c r="AZ51" s="28"/>
      <x:c r="BA51" s="28"/>
      <x:c r="BB51" s="28"/>
      <x:c r="BC51" s="28"/>
      <x:c r="BD51" s="28"/>
      <x:c r="BE51" s="28"/>
      <x:c r="BF51" s="28"/>
      <x:c r="BG51" s="28"/>
      <x:c r="BH51" s="28"/>
      <x:c r="BI51" s="28"/>
      <x:c r="BJ51" s="28"/>
      <x:c r="BK51" s="28"/>
      <x:c r="BL51" s="28"/>
      <x:c r="BM51" s="28"/>
      <x:c r="BN51" s="28"/>
      <x:c r="BO51" s="28"/>
      <x:c r="BP51" s="28"/>
      <x:c r="BQ51" s="28"/>
      <x:c r="BR51" s="28"/>
      <x:c r="BS51" s="28"/>
      <x:c r="BT51" s="28"/>
      <x:c r="BU51" s="28"/>
      <x:c r="BV51" s="28"/>
      <x:c r="BW51" s="28"/>
      <x:c r="BX51" s="28"/>
      <x:c r="BY51" s="28"/>
      <x:c r="BZ51" s="28"/>
      <x:c r="CA51" s="28"/>
      <x:c r="CB51" s="28"/>
      <x:c r="CC51" s="28"/>
      <x:c r="CD51" s="28"/>
      <x:c r="CE51" s="28"/>
      <x:c r="CF51" s="28"/>
      <x:c r="CG51" s="28"/>
      <x:c r="CH51" s="28"/>
      <x:c r="CI51" s="28"/>
      <x:c r="CJ51" s="28"/>
      <x:c r="CK51" s="28"/>
      <x:c r="CL51" s="28"/>
      <x:c r="CM51" s="28"/>
    </x:row>
    <x:row r="52">
      <x:c r="A52" t="str">
        <x:v>SRC-007</x:v>
      </x:c>
      <x:c r="B52" t="str">
        <x:v>深圳人口来源</x:v>
      </x:c>
      <x:c r="C52" t="str"/>
      <x:c r="D52" t="n">
        <x:v>2020</x:v>
      </x:c>
      <x:c r="E52" t="str">
        <x:v>城市人口</x:v>
      </x:c>
      <x:c r="F52" s="30" t="str">
        <x:v>深圳人口来源</x:v>
      </x:c>
      <x:c r="G52" s="77" t="str">
        <x:v>https://stats.gd.gov.cn/attachment/0/421/421309/3283428.pdf</x:v>
      </x:c>
      <x:c r="H52" s="30" t="str">
        <x:v>等级及排名据2025第一财经榜单；2020年七普常住人口；住建部2022年城市建设统计年鉴表2-2第483行列示同一城市口径的城区人口（含表列城区暂住人口）1766.18万人、建成区面积962.17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52" s="30" t="str">
        <x:v>2026-08-16</x:v>
      </x:c>
      <x:c r="AE52" t="str">
        <x:v>24期债务支付</x:v>
      </x:c>
      <x:c r="AF52" s="28" t="n">
        <x:f>SUM(IF(AND(AF$46&gt;'融资租赁与资金缺口'!$F$5,AF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AF$46=EDATE('融资租赁与资金缺口'!$F$5,$A16),'融资租赁与资金缺口'!$J$5,0),0),IF(AND(AF$46&gt;'融资租赁与资金缺口'!$F$6,AF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AF$46=EDATE('融资租赁与资金缺口'!$F$6,$A16),'融资租赁与资金缺口'!$J$6,0),0),IF(AND(AF$46&gt;'融资租赁与资金缺口'!$F$7,AF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AF$46=EDATE('融资租赁与资金缺口'!$F$7,$A16),'融资租赁与资金缺口'!$J$7,0),0),IF(AND(AF$46&gt;'融资租赁与资金缺口'!$F$8,AF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AF$46=EDATE('融资租赁与资金缺口'!$F$8,$A16),'融资租赁与资金缺口'!$J$8,0),0),IF(AND(AF$46&gt;'融资租赁与资金缺口'!$F$9,AF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AF$46=EDATE('融资租赁与资金缺口'!$F$9,$A16),'融资租赁与资金缺口'!$J$9,0),0),IF(AND(AF$46&gt;'融资租赁与资金缺口'!$F$10,AF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AF$46=EDATE('融资租赁与资金缺口'!$F$10,$A16),'融资租赁与资金缺口'!$J$10,0),0),IF(AND(AF$46&gt;'融资租赁与资金缺口'!$F$11,AF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AF$46=EDATE('融资租赁与资金缺口'!$F$11,$A16),'融资租赁与资金缺口'!$J$11,0),0),IF(AND(AF$46&gt;'融资租赁与资金缺口'!$F$12,AF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AF$46=EDATE('融资租赁与资金缺口'!$F$12,$A16),'融资租赁与资金缺口'!$J$12,0),0),IF(AND(AF$46&gt;'融资租赁与资金缺口'!$F$13,AF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AF$46=EDATE('融资租赁与资金缺口'!$F$13,$A16),'融资租赁与资金缺口'!$J$13,0),0),IF(AND(AF$46&gt;'融资租赁与资金缺口'!$F$14,AF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AF$46=EDATE('融资租赁与资金缺口'!$F$14,$A16),'融资租赁与资金缺口'!$J$14,0),0),IF(AND(AF$46&gt;'融资租赁与资金缺口'!$F$15,AF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AF$46=EDATE('融资租赁与资金缺口'!$F$15,$A16),'融资租赁与资金缺口'!$J$15,0),0),IF(AND(AF$46&gt;'融资租赁与资金缺口'!$F$16,AF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AF$46=EDATE('融资租赁与资金缺口'!$F$16,$A16),'融资租赁与资金缺口'!$J$16,0),0))</x:f>
        <x:v>0</x:v>
      </x:c>
      <x:c r="AG52" s="28" t="n">
        <x:f>SUM(IF(AND(AG$46&gt;'融资租赁与资金缺口'!$F$5,AG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AG$46=EDATE('融资租赁与资金缺口'!$F$5,$A16),'融资租赁与资金缺口'!$J$5,0),0),IF(AND(AG$46&gt;'融资租赁与资金缺口'!$F$6,AG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AG$46=EDATE('融资租赁与资金缺口'!$F$6,$A16),'融资租赁与资金缺口'!$J$6,0),0),IF(AND(AG$46&gt;'融资租赁与资金缺口'!$F$7,AG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AG$46=EDATE('融资租赁与资金缺口'!$F$7,$A16),'融资租赁与资金缺口'!$J$7,0),0),IF(AND(AG$46&gt;'融资租赁与资金缺口'!$F$8,AG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AG$46=EDATE('融资租赁与资金缺口'!$F$8,$A16),'融资租赁与资金缺口'!$J$8,0),0),IF(AND(AG$46&gt;'融资租赁与资金缺口'!$F$9,AG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AG$46=EDATE('融资租赁与资金缺口'!$F$9,$A16),'融资租赁与资金缺口'!$J$9,0),0),IF(AND(AG$46&gt;'融资租赁与资金缺口'!$F$10,AG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AG$46=EDATE('融资租赁与资金缺口'!$F$10,$A16),'融资租赁与资金缺口'!$J$10,0),0),IF(AND(AG$46&gt;'融资租赁与资金缺口'!$F$11,AG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AG$46=EDATE('融资租赁与资金缺口'!$F$11,$A16),'融资租赁与资金缺口'!$J$11,0),0),IF(AND(AG$46&gt;'融资租赁与资金缺口'!$F$12,AG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AG$46=EDATE('融资租赁与资金缺口'!$F$12,$A16),'融资租赁与资金缺口'!$J$12,0),0),IF(AND(AG$46&gt;'融资租赁与资金缺口'!$F$13,AG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AG$46=EDATE('融资租赁与资金缺口'!$F$13,$A16),'融资租赁与资金缺口'!$J$13,0),0),IF(AND(AG$46&gt;'融资租赁与资金缺口'!$F$14,AG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AG$46=EDATE('融资租赁与资金缺口'!$F$14,$A16),'融资租赁与资金缺口'!$J$14,0),0),IF(AND(AG$46&gt;'融资租赁与资金缺口'!$F$15,AG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AG$46=EDATE('融资租赁与资金缺口'!$F$15,$A16),'融资租赁与资金缺口'!$J$15,0),0),IF(AND(AG$46&gt;'融资租赁与资金缺口'!$F$16,AG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AG$46=EDATE('融资租赁与资金缺口'!$F$16,$A16),'融资租赁与资金缺口'!$J$16,0),0))</x:f>
        <x:v>0</x:v>
      </x:c>
      <x:c r="AH52" s="28" t="n">
        <x:f>SUM(IF(AND(AH$46&gt;'融资租赁与资金缺口'!$F$5,AH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AH$46=EDATE('融资租赁与资金缺口'!$F$5,$A16),'融资租赁与资金缺口'!$J$5,0),0),IF(AND(AH$46&gt;'融资租赁与资金缺口'!$F$6,AH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AH$46=EDATE('融资租赁与资金缺口'!$F$6,$A16),'融资租赁与资金缺口'!$J$6,0),0),IF(AND(AH$46&gt;'融资租赁与资金缺口'!$F$7,AH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AH$46=EDATE('融资租赁与资金缺口'!$F$7,$A16),'融资租赁与资金缺口'!$J$7,0),0),IF(AND(AH$46&gt;'融资租赁与资金缺口'!$F$8,AH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AH$46=EDATE('融资租赁与资金缺口'!$F$8,$A16),'融资租赁与资金缺口'!$J$8,0),0),IF(AND(AH$46&gt;'融资租赁与资金缺口'!$F$9,AH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AH$46=EDATE('融资租赁与资金缺口'!$F$9,$A16),'融资租赁与资金缺口'!$J$9,0),0),IF(AND(AH$46&gt;'融资租赁与资金缺口'!$F$10,AH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AH$46=EDATE('融资租赁与资金缺口'!$F$10,$A16),'融资租赁与资金缺口'!$J$10,0),0),IF(AND(AH$46&gt;'融资租赁与资金缺口'!$F$11,AH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AH$46=EDATE('融资租赁与资金缺口'!$F$11,$A16),'融资租赁与资金缺口'!$J$11,0),0),IF(AND(AH$46&gt;'融资租赁与资金缺口'!$F$12,AH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AH$46=EDATE('融资租赁与资金缺口'!$F$12,$A16),'融资租赁与资金缺口'!$J$12,0),0),IF(AND(AH$46&gt;'融资租赁与资金缺口'!$F$13,AH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AH$46=EDATE('融资租赁与资金缺口'!$F$13,$A16),'融资租赁与资金缺口'!$J$13,0),0),IF(AND(AH$46&gt;'融资租赁与资金缺口'!$F$14,AH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AH$46=EDATE('融资租赁与资金缺口'!$F$14,$A16),'融资租赁与资金缺口'!$J$14,0),0),IF(AND(AH$46&gt;'融资租赁与资金缺口'!$F$15,AH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AH$46=EDATE('融资租赁与资金缺口'!$F$15,$A16),'融资租赁与资金缺口'!$J$15,0),0),IF(AND(AH$46&gt;'融资租赁与资金缺口'!$F$16,AH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AH$46=EDATE('融资租赁与资金缺口'!$F$16,$A16),'融资租赁与资金缺口'!$J$16,0),0))</x:f>
        <x:v>1031000.0263089896</x:v>
      </x:c>
      <x:c r="AI52" s="28" t="n">
        <x:f>SUM(IF(AND(AI$46&gt;'融资租赁与资金缺口'!$F$5,AI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AI$46=EDATE('融资租赁与资金缺口'!$F$5,$A16),'融资租赁与资金缺口'!$J$5,0),0),IF(AND(AI$46&gt;'融资租赁与资金缺口'!$F$6,AI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AI$46=EDATE('融资租赁与资金缺口'!$F$6,$A16),'融资租赁与资金缺口'!$J$6,0),0),IF(AND(AI$46&gt;'融资租赁与资金缺口'!$F$7,AI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AI$46=EDATE('融资租赁与资金缺口'!$F$7,$A16),'融资租赁与资金缺口'!$J$7,0),0),IF(AND(AI$46&gt;'融资租赁与资金缺口'!$F$8,AI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AI$46=EDATE('融资租赁与资金缺口'!$F$8,$A16),'融资租赁与资金缺口'!$J$8,0),0),IF(AND(AI$46&gt;'融资租赁与资金缺口'!$F$9,AI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AI$46=EDATE('融资租赁与资金缺口'!$F$9,$A16),'融资租赁与资金缺口'!$J$9,0),0),IF(AND(AI$46&gt;'融资租赁与资金缺口'!$F$10,AI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AI$46=EDATE('融资租赁与资金缺口'!$F$10,$A16),'融资租赁与资金缺口'!$J$10,0),0),IF(AND(AI$46&gt;'融资租赁与资金缺口'!$F$11,AI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AI$46=EDATE('融资租赁与资金缺口'!$F$11,$A16),'融资租赁与资金缺口'!$J$11,0),0),IF(AND(AI$46&gt;'融资租赁与资金缺口'!$F$12,AI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AI$46=EDATE('融资租赁与资金缺口'!$F$12,$A16),'融资租赁与资金缺口'!$J$12,0),0),IF(AND(AI$46&gt;'融资租赁与资金缺口'!$F$13,AI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AI$46=EDATE('融资租赁与资金缺口'!$F$13,$A16),'融资租赁与资金缺口'!$J$13,0),0),IF(AND(AI$46&gt;'融资租赁与资金缺口'!$F$14,AI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AI$46=EDATE('融资租赁与资金缺口'!$F$14,$A16),'融资租赁与资金缺口'!$J$14,0),0),IF(AND(AI$46&gt;'融资租赁与资金缺口'!$F$15,AI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AI$46=EDATE('融资租赁与资金缺口'!$F$15,$A16),'融资租赁与资金缺口'!$J$15,0),0),IF(AND(AI$46&gt;'融资租赁与资金缺口'!$F$16,AI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AI$46=EDATE('融资租赁与资金缺口'!$F$16,$A16),'融资租赁与资金缺口'!$J$16,0),0))</x:f>
        <x:v>2267150.7624459034</x:v>
      </x:c>
      <x:c r="AJ52" s="28" t="n">
        <x:f>SUM(IF(AND(AJ$46&gt;'融资租赁与资金缺口'!$F$5,AJ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AJ$46=EDATE('融资租赁与资金缺口'!$F$5,$A16),'融资租赁与资金缺口'!$J$5,0),0),IF(AND(AJ$46&gt;'融资租赁与资金缺口'!$F$6,AJ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AJ$46=EDATE('融资租赁与资金缺口'!$F$6,$A16),'融资租赁与资金缺口'!$J$6,0),0),IF(AND(AJ$46&gt;'融资租赁与资金缺口'!$F$7,AJ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AJ$46=EDATE('融资租赁与资金缺口'!$F$7,$A16),'融资租赁与资金缺口'!$J$7,0),0),IF(AND(AJ$46&gt;'融资租赁与资金缺口'!$F$8,AJ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AJ$46=EDATE('融资租赁与资金缺口'!$F$8,$A16),'融资租赁与资金缺口'!$J$8,0),0),IF(AND(AJ$46&gt;'融资租赁与资金缺口'!$F$9,AJ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AJ$46=EDATE('融资租赁与资金缺口'!$F$9,$A16),'融资租赁与资金缺口'!$J$9,0),0),IF(AND(AJ$46&gt;'融资租赁与资金缺口'!$F$10,AJ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AJ$46=EDATE('融资租赁与资金缺口'!$F$10,$A16),'融资租赁与资金缺口'!$J$10,0),0),IF(AND(AJ$46&gt;'融资租赁与资金缺口'!$F$11,AJ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AJ$46=EDATE('融资租赁与资金缺口'!$F$11,$A16),'融资租赁与资金缺口'!$J$11,0),0),IF(AND(AJ$46&gt;'融资租赁与资金缺口'!$F$12,AJ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AJ$46=EDATE('融资租赁与资金缺口'!$F$12,$A16),'融资租赁与资金缺口'!$J$12,0),0),IF(AND(AJ$46&gt;'融资租赁与资金缺口'!$F$13,AJ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AJ$46=EDATE('融资租赁与资金缺口'!$F$13,$A16),'融资租赁与资金缺口'!$J$13,0),0),IF(AND(AJ$46&gt;'融资租赁与资金缺口'!$F$14,AJ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AJ$46=EDATE('融资租赁与资金缺口'!$F$14,$A16),'融资租赁与资金缺口'!$J$14,0),0),IF(AND(AJ$46&gt;'融资租赁与资金缺口'!$F$15,AJ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AJ$46=EDATE('融资租赁与资金缺口'!$F$15,$A16),'融资租赁与资金缺口'!$J$15,0),0),IF(AND(AJ$46&gt;'融资租赁与资金缺口'!$F$16,AJ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AJ$46=EDATE('融资租赁与资金缺口'!$F$16,$A16),'融资租赁与资金缺口'!$J$16,0),0))</x:f>
        <x:v>3706703.3826876176</x:v>
      </x:c>
      <x:c r="AK52" s="28" t="n">
        <x:f>SUM(IF(AND(AK$46&gt;'融资租赁与资金缺口'!$F$5,AK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AK$46=EDATE('融资租赁与资金缺口'!$F$5,$A16),'融资租赁与资金缺口'!$J$5,0),0),IF(AND(AK$46&gt;'融资租赁与资金缺口'!$F$6,AK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AK$46=EDATE('融资租赁与资金缺口'!$F$6,$A16),'融资租赁与资金缺口'!$J$6,0),0),IF(AND(AK$46&gt;'融资租赁与资金缺口'!$F$7,AK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AK$46=EDATE('融资租赁与资金缺口'!$F$7,$A16),'融资租赁与资金缺口'!$J$7,0),0),IF(AND(AK$46&gt;'融资租赁与资金缺口'!$F$8,AK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AK$46=EDATE('融资租赁与资金缺口'!$F$8,$A16),'融资租赁与资金缺口'!$J$8,0),0),IF(AND(AK$46&gt;'融资租赁与资金缺口'!$F$9,AK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AK$46=EDATE('融资租赁与资金缺口'!$F$9,$A16),'融资租赁与资金缺口'!$J$9,0),0),IF(AND(AK$46&gt;'融资租赁与资金缺口'!$F$10,AK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AK$46=EDATE('融资租赁与资金缺口'!$F$10,$A16),'融资租赁与资金缺口'!$J$10,0),0),IF(AND(AK$46&gt;'融资租赁与资金缺口'!$F$11,AK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AK$46=EDATE('融资租赁与资金缺口'!$F$11,$A16),'融资租赁与资金缺口'!$J$11,0),0),IF(AND(AK$46&gt;'融资租赁与资金缺口'!$F$12,AK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AK$46=EDATE('融资租赁与资金缺口'!$F$12,$A16),'融资租赁与资金缺口'!$J$12,0),0),IF(AND(AK$46&gt;'融资租赁与资金缺口'!$F$13,AK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AK$46=EDATE('融资租赁与资金缺口'!$F$13,$A16),'融资租赁与资金缺口'!$J$13,0),0),IF(AND(AK$46&gt;'融资租赁与资金缺口'!$F$14,AK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AK$46=EDATE('融资租赁与资金缺口'!$F$14,$A16),'融资租赁与资金缺口'!$J$14,0),0),IF(AND(AK$46&gt;'融资租赁与资金缺口'!$F$15,AK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AK$46=EDATE('融资租赁与资金缺口'!$F$15,$A16),'融资租赁与资金缺口'!$J$15,0),0),IF(AND(AK$46&gt;'融资租赁与资金缺口'!$F$16,AK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AK$46=EDATE('融资租赁与资金缺口'!$F$16,$A16),'融资租赁与资金缺口'!$J$16,0),0))</x:f>
        <x:v>5351406.712757256</x:v>
      </x:c>
      <x:c r="AL52" s="28" t="n">
        <x:f>SUM(IF(AND(AL$46&gt;'融资租赁与资金缺口'!$F$5,AL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AL$46=EDATE('融资租赁与资金缺口'!$F$5,$A16),'融资租赁与资金缺口'!$J$5,0),0),IF(AND(AL$46&gt;'融资租赁与资金缺口'!$F$6,AL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AL$46=EDATE('融资租赁与资金缺口'!$F$6,$A16),'融资租赁与资金缺口'!$J$6,0),0),IF(AND(AL$46&gt;'融资租赁与资金缺口'!$F$7,AL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AL$46=EDATE('融资租赁与资金缺口'!$F$7,$A16),'融资租赁与资金缺口'!$J$7,0),0),IF(AND(AL$46&gt;'融资租赁与资金缺口'!$F$8,AL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AL$46=EDATE('融资租赁与资金缺口'!$F$8,$A16),'融资租赁与资金缺口'!$J$8,0),0),IF(AND(AL$46&gt;'融资租赁与资金缺口'!$F$9,AL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AL$46=EDATE('融资租赁与资金缺口'!$F$9,$A16),'融资租赁与资金缺口'!$J$9,0),0),IF(AND(AL$46&gt;'融资租赁与资金缺口'!$F$10,AL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AL$46=EDATE('融资租赁与资金缺口'!$F$10,$A16),'融资租赁与资金缺口'!$J$10,0),0),IF(AND(AL$46&gt;'融资租赁与资金缺口'!$F$11,AL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AL$46=EDATE('融资租赁与资金缺口'!$F$11,$A16),'融资租赁与资金缺口'!$J$11,0),0),IF(AND(AL$46&gt;'融资租赁与资金缺口'!$F$12,AL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AL$46=EDATE('融资租赁与资金缺口'!$F$12,$A16),'融资租赁与资金缺口'!$J$12,0),0),IF(AND(AL$46&gt;'融资租赁与资金缺口'!$F$13,AL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AL$46=EDATE('融资租赁与资金缺口'!$F$13,$A16),'融资租赁与资金缺口'!$J$13,0),0),IF(AND(AL$46&gt;'融资租赁与资金缺口'!$F$14,AL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AL$46=EDATE('融资租赁与资金缺口'!$F$14,$A16),'融资租赁与资金缺口'!$J$14,0),0),IF(AND(AL$46&gt;'融资租赁与资金缺口'!$F$15,AL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AL$46=EDATE('融资租赁与资金缺口'!$F$15,$A16),'融资租赁与资金缺口'!$J$15,0),0),IF(AND(AL$46&gt;'融资租赁与资金缺口'!$F$16,AL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AL$46=EDATE('融资租赁与资金缺口'!$F$16,$A16),'融资租赁与资金缺口'!$J$16,0),0))</x:f>
        <x:v>7201260.752654818</x:v>
      </x:c>
      <x:c r="AM52" s="28" t="n">
        <x:f>SUM(IF(AND(AM$46&gt;'融资租赁与资金缺口'!$F$5,AM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AM$46=EDATE('融资租赁与资金缺口'!$F$5,$A16),'融资租赁与资金缺口'!$J$5,0),0),IF(AND(AM$46&gt;'融资租赁与资金缺口'!$F$6,AM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AM$46=EDATE('融资租赁与资金缺口'!$F$6,$A16),'融资租赁与资金缺口'!$J$6,0),0),IF(AND(AM$46&gt;'融资租赁与资金缺口'!$F$7,AM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AM$46=EDATE('融资租赁与资金缺口'!$F$7,$A16),'融资租赁与资金缺口'!$J$7,0),0),IF(AND(AM$46&gt;'融资租赁与资金缺口'!$F$8,AM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AM$46=EDATE('融资租赁与资金缺口'!$F$8,$A16),'融资租赁与资金缺口'!$J$8,0),0),IF(AND(AM$46&gt;'融资租赁与资金缺口'!$F$9,AM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AM$46=EDATE('融资租赁与资金缺口'!$F$9,$A16),'融资租赁与资金缺口'!$J$9,0),0),IF(AND(AM$46&gt;'融资租赁与资金缺口'!$F$10,AM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AM$46=EDATE('融资租赁与资金缺口'!$F$10,$A16),'融资租赁与资金缺口'!$J$10,0),0),IF(AND(AM$46&gt;'融资租赁与资金缺口'!$F$11,AM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AM$46=EDATE('融资租赁与资金缺口'!$F$11,$A16),'融资租赁与资金缺口'!$J$11,0),0),IF(AND(AM$46&gt;'融资租赁与资金缺口'!$F$12,AM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AM$46=EDATE('融资租赁与资金缺口'!$F$12,$A16),'融资租赁与资金缺口'!$J$12,0),0),IF(AND(AM$46&gt;'融资租赁与资金缺口'!$F$13,AM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AM$46=EDATE('融资租赁与资金缺口'!$F$13,$A16),'融资租赁与资金缺口'!$J$13,0),0),IF(AND(AM$46&gt;'融资租赁与资金缺口'!$F$14,AM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AM$46=EDATE('融资租赁与资金缺口'!$F$14,$A16),'融资租赁与资金缺口'!$J$14,0),0),IF(AND(AM$46&gt;'融资租赁与资金缺口'!$F$15,AM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AM$46=EDATE('融资租赁与资金缺口'!$F$15,$A16),'融资租赁与资金缺口'!$J$15,0),0),IF(AND(AM$46&gt;'融资租赁与资金缺口'!$F$16,AM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AM$46=EDATE('融资租赁与资金缺口'!$F$16,$A16),'融资租赁与资金缺口'!$J$16,0),0))</x:f>
        <x:v>9256265.502380304</x:v>
      </x:c>
      <x:c r="AN52" s="28" t="n">
        <x:f>SUM(IF(AND(AN$46&gt;'融资租赁与资金缺口'!$F$5,AN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AN$46=EDATE('融资租赁与资金缺口'!$F$5,$A16),'融资租赁与资金缺口'!$J$5,0),0),IF(AND(AN$46&gt;'融资租赁与资金缺口'!$F$6,AN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AN$46=EDATE('融资租赁与资金缺口'!$F$6,$A16),'融资租赁与资金缺口'!$J$6,0),0),IF(AND(AN$46&gt;'融资租赁与资金缺口'!$F$7,AN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AN$46=EDATE('融资租赁与资金缺口'!$F$7,$A16),'融资租赁与资金缺口'!$J$7,0),0),IF(AND(AN$46&gt;'融资租赁与资金缺口'!$F$8,AN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AN$46=EDATE('融资租赁与资金缺口'!$F$8,$A16),'融资租赁与资金缺口'!$J$8,0),0),IF(AND(AN$46&gt;'融资租赁与资金缺口'!$F$9,AN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AN$46=EDATE('融资租赁与资金缺口'!$F$9,$A16),'融资租赁与资金缺口'!$J$9,0),0),IF(AND(AN$46&gt;'融资租赁与资金缺口'!$F$10,AN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AN$46=EDATE('融资租赁与资金缺口'!$F$10,$A16),'融资租赁与资金缺口'!$J$10,0),0),IF(AND(AN$46&gt;'融资租赁与资金缺口'!$F$11,AN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AN$46=EDATE('融资租赁与资金缺口'!$F$11,$A16),'融资租赁与资金缺口'!$J$11,0),0),IF(AND(AN$46&gt;'融资租赁与资金缺口'!$F$12,AN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AN$46=EDATE('融资租赁与资金缺口'!$F$12,$A16),'融资租赁与资金缺口'!$J$12,0),0),IF(AND(AN$46&gt;'融资租赁与资金缺口'!$F$13,AN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AN$46=EDATE('融资租赁与资金缺口'!$F$13,$A16),'融资租赁与资金缺口'!$J$13,0),0),IF(AND(AN$46&gt;'融资租赁与资金缺口'!$F$14,AN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AN$46=EDATE('融资租赁与资金缺口'!$F$14,$A16),'融资租赁与资金缺口'!$J$14,0),0),IF(AND(AN$46&gt;'融资租赁与资金缺口'!$F$15,AN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AN$46=EDATE('融资租赁与资金缺口'!$F$15,$A16),'融资租赁与资金缺口'!$J$15,0),0),IF(AND(AN$46&gt;'融资租赁与资金缺口'!$F$16,AN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AN$46=EDATE('融资租赁与资金缺口'!$F$16,$A16),'融资租赁与资金缺口'!$J$16,0),0))</x:f>
        <x:v>11512923.310487468</x:v>
      </x:c>
      <x:c r="AO52" s="28" t="n">
        <x:f>SUM(IF(AND(AO$46&gt;'融资租赁与资金缺口'!$F$5,AO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AO$46=EDATE('融资租赁与资金缺口'!$F$5,$A16),'融资租赁与资金缺口'!$J$5,0),0),IF(AND(AO$46&gt;'融资租赁与资金缺口'!$F$6,AO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AO$46=EDATE('融资租赁与资金缺口'!$F$6,$A16),'融资租赁与资金缺口'!$J$6,0),0),IF(AND(AO$46&gt;'融资租赁与资金缺口'!$F$7,AO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AO$46=EDATE('融资租赁与资金缺口'!$F$7,$A16),'融资租赁与资金缺口'!$J$7,0),0),IF(AND(AO$46&gt;'融资租赁与资金缺口'!$F$8,AO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AO$46=EDATE('融资租赁与资金缺口'!$F$8,$A16),'融资租赁与资金缺口'!$J$8,0),0),IF(AND(AO$46&gt;'融资租赁与资金缺口'!$F$9,AO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AO$46=EDATE('融资租赁与资金缺口'!$F$9,$A16),'融资租赁与资金缺口'!$J$9,0),0),IF(AND(AO$46&gt;'融资租赁与资金缺口'!$F$10,AO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AO$46=EDATE('融资租赁与资金缺口'!$F$10,$A16),'融资租赁与资金缺口'!$J$10,0),0),IF(AND(AO$46&gt;'融资租赁与资金缺口'!$F$11,AO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AO$46=EDATE('融资租赁与资金缺口'!$F$11,$A16),'融资租赁与资金缺口'!$J$11,0),0),IF(AND(AO$46&gt;'融资租赁与资金缺口'!$F$12,AO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AO$46=EDATE('融资租赁与资金缺口'!$F$12,$A16),'融资租赁与资金缺口'!$J$12,0),0),IF(AND(AO$46&gt;'融资租赁与资金缺口'!$F$13,AO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AO$46=EDATE('融资租赁与资金缺口'!$F$13,$A16),'融资租赁与资金缺口'!$J$13,0),0),IF(AND(AO$46&gt;'融资租赁与资金缺口'!$F$14,AO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AO$46=EDATE('融资租赁与资金缺口'!$F$14,$A16),'融资租赁与资金缺口'!$J$14,0),0),IF(AND(AO$46&gt;'融资租赁与资金缺口'!$F$15,AO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AO$46=EDATE('融资租赁与资金缺口'!$F$15,$A16),'融资租赁与资金缺口'!$J$15,0),0),IF(AND(AO$46&gt;'融资租赁与资金缺口'!$F$16,AO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AO$46=EDATE('融资租赁与资金缺口'!$F$16,$A16),'融资租赁与资金缺口'!$J$16,0),0))</x:f>
        <x:v>13769581.118594632</x:v>
      </x:c>
      <x:c r="AP52" s="28" t="n">
        <x:f>SUM(IF(AND(AP$46&gt;'融资租赁与资金缺口'!$F$5,AP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AP$46=EDATE('融资租赁与资金缺口'!$F$5,$A16),'融资租赁与资金缺口'!$J$5,0),0),IF(AND(AP$46&gt;'融资租赁与资金缺口'!$F$6,AP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AP$46=EDATE('融资租赁与资金缺口'!$F$6,$A16),'融资租赁与资金缺口'!$J$6,0),0),IF(AND(AP$46&gt;'融资租赁与资金缺口'!$F$7,AP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AP$46=EDATE('融资租赁与资金缺口'!$F$7,$A16),'融资租赁与资金缺口'!$J$7,0),0),IF(AND(AP$46&gt;'融资租赁与资金缺口'!$F$8,AP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AP$46=EDATE('融资租赁与资金缺口'!$F$8,$A16),'融资租赁与资金缺口'!$J$8,0),0),IF(AND(AP$46&gt;'融资租赁与资金缺口'!$F$9,AP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AP$46=EDATE('融资租赁与资金缺口'!$F$9,$A16),'融资租赁与资金缺口'!$J$9,0),0),IF(AND(AP$46&gt;'融资租赁与资金缺口'!$F$10,AP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AP$46=EDATE('融资租赁与资金缺口'!$F$10,$A16),'融资租赁与资金缺口'!$J$10,0),0),IF(AND(AP$46&gt;'融资租赁与资金缺口'!$F$11,AP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AP$46=EDATE('融资租赁与资金缺口'!$F$11,$A16),'融资租赁与资金缺口'!$J$11,0),0),IF(AND(AP$46&gt;'融资租赁与资金缺口'!$F$12,AP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AP$46=EDATE('融资租赁与资金缺口'!$F$12,$A16),'融资租赁与资金缺口'!$J$12,0),0),IF(AND(AP$46&gt;'融资租赁与资金缺口'!$F$13,AP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AP$46=EDATE('融资租赁与资金缺口'!$F$13,$A16),'融资租赁与资金缺口'!$J$13,0),0),IF(AND(AP$46&gt;'融资租赁与资金缺口'!$F$14,AP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AP$46=EDATE('融资租赁与资金缺口'!$F$14,$A16),'融资租赁与资金缺口'!$J$14,0),0),IF(AND(AP$46&gt;'融资租赁与资金缺口'!$F$15,AP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AP$46=EDATE('融资租赁与资金缺口'!$F$15,$A16),'融资租赁与资金缺口'!$J$15,0),0),IF(AND(AP$46&gt;'融资租赁与资金缺口'!$F$16,AP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AP$46=EDATE('融资租赁与资金缺口'!$F$16,$A16),'融资租赁与资金缺口'!$J$16,0),0))</x:f>
        <x:v>16627296.875233706</x:v>
      </x:c>
      <x:c r="AQ52" s="28" t="n">
        <x:f>SUM(IF(AND(AQ$46&gt;'融资租赁与资金缺口'!$F$5,AQ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AQ$46=EDATE('融资租赁与资金缺口'!$F$5,$A16),'融资租赁与资金缺口'!$J$5,0),0),IF(AND(AQ$46&gt;'融资租赁与资金缺口'!$F$6,AQ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AQ$46=EDATE('融资租赁与资金缺口'!$F$6,$A16),'融资租赁与资金缺口'!$J$6,0),0),IF(AND(AQ$46&gt;'融资租赁与资金缺口'!$F$7,AQ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AQ$46=EDATE('融资租赁与资金缺口'!$F$7,$A16),'融资租赁与资金缺口'!$J$7,0),0),IF(AND(AQ$46&gt;'融资租赁与资金缺口'!$F$8,AQ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AQ$46=EDATE('融资租赁与资金缺口'!$F$8,$A16),'融资租赁与资金缺口'!$J$8,0),0),IF(AND(AQ$46&gt;'融资租赁与资金缺口'!$F$9,AQ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AQ$46=EDATE('融资租赁与资金缺口'!$F$9,$A16),'融资租赁与资金缺口'!$J$9,0),0),IF(AND(AQ$46&gt;'融资租赁与资金缺口'!$F$10,AQ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AQ$46=EDATE('融资租赁与资金缺口'!$F$10,$A16),'融资租赁与资金缺口'!$J$10,0),0),IF(AND(AQ$46&gt;'融资租赁与资金缺口'!$F$11,AQ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AQ$46=EDATE('融资租赁与资金缺口'!$F$11,$A16),'融资租赁与资金缺口'!$J$11,0),0),IF(AND(AQ$46&gt;'融资租赁与资金缺口'!$F$12,AQ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AQ$46=EDATE('融资租赁与资金缺口'!$F$12,$A16),'融资租赁与资金缺口'!$J$12,0),0),IF(AND(AQ$46&gt;'融资租赁与资金缺口'!$F$13,AQ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AQ$46=EDATE('融资租赁与资金缺口'!$F$13,$A16),'融资租赁与资金缺口'!$J$13,0),0),IF(AND(AQ$46&gt;'融资租赁与资金缺口'!$F$14,AQ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AQ$46=EDATE('融资租赁与资金缺口'!$F$14,$A16),'融资租赁与资金缺口'!$J$14,0),0),IF(AND(AQ$46&gt;'融资租赁与资金缺口'!$F$15,AQ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AQ$46=EDATE('融资租赁与资金缺口'!$F$15,$A16),'融资租赁与资金缺口'!$J$15,0),0),IF(AND(AQ$46&gt;'融资租赁与资金缺口'!$F$16,AQ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AQ$46=EDATE('融资租赁与资金缺口'!$F$16,$A16),'融资租赁与资金缺口'!$J$16,0),0))</x:f>
        <x:v>19654110.62679324</x:v>
      </x:c>
      <x:c r="AR52" s="28" t="n">
        <x:f>SUM(IF(AND(AR$46&gt;'融资租赁与资金缺口'!$F$5,AR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AR$46=EDATE('融资租赁与资金缺口'!$F$5,$A16),'融资租赁与资金缺口'!$J$5,0),0),IF(AND(AR$46&gt;'融资租赁与资金缺口'!$F$6,AR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AR$46=EDATE('融资租赁与资金缺口'!$F$6,$A16),'融资租赁与资金缺口'!$J$6,0),0),IF(AND(AR$46&gt;'融资租赁与资金缺口'!$F$7,AR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AR$46=EDATE('融资租赁与资金缺口'!$F$7,$A16),'融资租赁与资金缺口'!$J$7,0),0),IF(AND(AR$46&gt;'融资租赁与资金缺口'!$F$8,AR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AR$46=EDATE('融资租赁与资金缺口'!$F$8,$A16),'融资租赁与资金缺口'!$J$8,0),0),IF(AND(AR$46&gt;'融资租赁与资金缺口'!$F$9,AR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AR$46=EDATE('融资租赁与资金缺口'!$F$9,$A16),'融资租赁与资金缺口'!$J$9,0),0),IF(AND(AR$46&gt;'融资租赁与资金缺口'!$F$10,AR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AR$46=EDATE('融资租赁与资金缺口'!$F$10,$A16),'融资租赁与资金缺口'!$J$10,0),0),IF(AND(AR$46&gt;'融资租赁与资金缺口'!$F$11,AR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AR$46=EDATE('融资租赁与资金缺口'!$F$11,$A16),'融资租赁与资金缺口'!$J$11,0),0),IF(AND(AR$46&gt;'融资租赁与资金缺口'!$F$12,AR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AR$46=EDATE('融资租赁与资金缺口'!$F$12,$A16),'融资租赁与资金缺口'!$J$12,0),0),IF(AND(AR$46&gt;'融资租赁与资金缺口'!$F$13,AR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AR$46=EDATE('融资租赁与资金缺口'!$F$13,$A16),'融资租赁与资金缺口'!$J$13,0),0),IF(AND(AR$46&gt;'融资租赁与资金缺口'!$F$14,AR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AR$46=EDATE('融资租赁与资金缺口'!$F$14,$A16),'融资租赁与资金缺口'!$J$14,0),0),IF(AND(AR$46&gt;'融资租赁与资金缺口'!$F$15,AR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AR$46=EDATE('融资租赁与资金缺口'!$F$15,$A16),'融资租赁与资金缺口'!$J$15,0),0),IF(AND(AR$46&gt;'融资租赁与资金缺口'!$F$16,AR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AR$46=EDATE('融资租赁与资金缺口'!$F$16,$A16),'融资租赁与资金缺口'!$J$16,0),0))</x:f>
        <x:v>22344611.739290603</x:v>
      </x:c>
      <x:c r="AS52" s="28" t="n">
        <x:f>SUM(IF(AND(AS$46&gt;'融资租赁与资金缺口'!$F$5,AS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AS$46=EDATE('融资租赁与资金缺口'!$F$5,$A16),'融资租赁与资金缺口'!$J$5,0),0),IF(AND(AS$46&gt;'融资租赁与资金缺口'!$F$6,AS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AS$46=EDATE('融资租赁与资金缺口'!$F$6,$A16),'融资租赁与资金缺口'!$J$6,0),0),IF(AND(AS$46&gt;'融资租赁与资金缺口'!$F$7,AS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AS$46=EDATE('融资租赁与资金缺口'!$F$7,$A16),'融资租赁与资金缺口'!$J$7,0),0),IF(AND(AS$46&gt;'融资租赁与资金缺口'!$F$8,AS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AS$46=EDATE('融资租赁与资金缺口'!$F$8,$A16),'融资租赁与资金缺口'!$J$8,0),0),IF(AND(AS$46&gt;'融资租赁与资金缺口'!$F$9,AS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AS$46=EDATE('融资租赁与资金缺口'!$F$9,$A16),'融资租赁与资金缺口'!$J$9,0),0),IF(AND(AS$46&gt;'融资租赁与资金缺口'!$F$10,AS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AS$46=EDATE('融资租赁与资金缺口'!$F$10,$A16),'融资租赁与资金缺口'!$J$10,0),0),IF(AND(AS$46&gt;'融资租赁与资金缺口'!$F$11,AS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AS$46=EDATE('融资租赁与资金缺口'!$F$11,$A16),'融资租赁与资金缺口'!$J$11,0),0),IF(AND(AS$46&gt;'融资租赁与资金缺口'!$F$12,AS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AS$46=EDATE('融资租赁与资金缺口'!$F$12,$A16),'融资租赁与资金缺口'!$J$12,0),0),IF(AND(AS$46&gt;'融资租赁与资金缺口'!$F$13,AS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AS$46=EDATE('融资租赁与资金缺口'!$F$13,$A16),'融资租赁与资金缺口'!$J$13,0),0),IF(AND(AS$46&gt;'融资租赁与资金缺口'!$F$14,AS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AS$46=EDATE('融资租赁与资金缺口'!$F$14,$A16),'融资租赁与资金缺口'!$J$14,0),0),IF(AND(AS$46&gt;'融资租赁与资金缺口'!$F$15,AS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AS$46=EDATE('融资租赁与资金缺口'!$F$15,$A16),'融资租赁与资金缺口'!$J$15,0),0),IF(AND(AS$46&gt;'融资租赁与资金缺口'!$F$16,AS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AS$46=EDATE('融资租赁与资金缺口'!$F$16,$A16),'融资租赁与资金缺口'!$J$16,0),0))</x:f>
        <x:v>24362487.573663626</x:v>
      </x:c>
      <x:c r="AT52" s="28" t="n">
        <x:f>SUM(IF(AND(AT$46&gt;'融资租赁与资金缺口'!$F$5,AT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AT$46=EDATE('融资租赁与资金缺口'!$F$5,$A16),'融资租赁与资金缺口'!$J$5,0),0),IF(AND(AT$46&gt;'融资租赁与资金缺口'!$F$6,AT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AT$46=EDATE('融资租赁与资金缺口'!$F$6,$A16),'融资租赁与资金缺口'!$J$6,0),0),IF(AND(AT$46&gt;'融资租赁与资金缺口'!$F$7,AT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AT$46=EDATE('融资租赁与资金缺口'!$F$7,$A16),'融资租赁与资金缺口'!$J$7,0),0),IF(AND(AT$46&gt;'融资租赁与资金缺口'!$F$8,AT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AT$46=EDATE('融资租赁与资金缺口'!$F$8,$A16),'融资租赁与资金缺口'!$J$8,0),0),IF(AND(AT$46&gt;'融资租赁与资金缺口'!$F$9,AT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AT$46=EDATE('融资租赁与资金缺口'!$F$9,$A16),'融资租赁与资金缺口'!$J$9,0),0),IF(AND(AT$46&gt;'融资租赁与资金缺口'!$F$10,AT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AT$46=EDATE('融资租赁与资金缺口'!$F$10,$A16),'融资租赁与资金缺口'!$J$10,0),0),IF(AND(AT$46&gt;'融资租赁与资金缺口'!$F$11,AT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AT$46=EDATE('融资租赁与资金缺口'!$F$11,$A16),'融资租赁与资金缺口'!$J$11,0),0),IF(AND(AT$46&gt;'融资租赁与资金缺口'!$F$12,AT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AT$46=EDATE('融资租赁与资金缺口'!$F$12,$A16),'融资租赁与资金缺口'!$J$12,0),0),IF(AND(AT$46&gt;'融资租赁与资金缺口'!$F$13,AT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AT$46=EDATE('融资租赁与资金缺口'!$F$13,$A16),'融资租赁与资金缺口'!$J$13,0),0),IF(AND(AT$46&gt;'融资租赁与资金缺口'!$F$14,AT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AT$46=EDATE('融资租赁与资金缺口'!$F$14,$A16),'融资租赁与资金缺口'!$J$14,0),0),IF(AND(AT$46&gt;'融资租赁与资金缺口'!$F$15,AT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AT$46=EDATE('融资租赁与资金缺口'!$F$15,$A16),'融资租赁与资金缺口'!$J$15,0),0),IF(AND(AT$46&gt;'融资租赁与资金缺口'!$F$16,AT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AT$46=EDATE('融资租赁与资金缺口'!$F$16,$A16),'融资租赁与资金缺口'!$J$16,0),0))</x:f>
        <x:v>24362487.573663626</x:v>
      </x:c>
      <x:c r="AU52" s="28" t="n">
        <x:f>SUM(IF(AND(AU$46&gt;'融资租赁与资金缺口'!$F$5,AU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AU$46=EDATE('融资租赁与资金缺口'!$F$5,$A16),'融资租赁与资金缺口'!$J$5,0),0),IF(AND(AU$46&gt;'融资租赁与资金缺口'!$F$6,AU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AU$46=EDATE('融资租赁与资金缺口'!$F$6,$A16),'融资租赁与资金缺口'!$J$6,0),0),IF(AND(AU$46&gt;'融资租赁与资金缺口'!$F$7,AU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AU$46=EDATE('融资租赁与资金缺口'!$F$7,$A16),'融资租赁与资金缺口'!$J$7,0),0),IF(AND(AU$46&gt;'融资租赁与资金缺口'!$F$8,AU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AU$46=EDATE('融资租赁与资金缺口'!$F$8,$A16),'融资租赁与资金缺口'!$J$8,0),0),IF(AND(AU$46&gt;'融资租赁与资金缺口'!$F$9,AU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AU$46=EDATE('融资租赁与资金缺口'!$F$9,$A16),'融资租赁与资金缺口'!$J$9,0),0),IF(AND(AU$46&gt;'融资租赁与资金缺口'!$F$10,AU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AU$46=EDATE('融资租赁与资金缺口'!$F$10,$A16),'融资租赁与资金缺口'!$J$10,0),0),IF(AND(AU$46&gt;'融资租赁与资金缺口'!$F$11,AU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AU$46=EDATE('融资租赁与资金缺口'!$F$11,$A16),'融资租赁与资金缺口'!$J$11,0),0),IF(AND(AU$46&gt;'融资租赁与资金缺口'!$F$12,AU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AU$46=EDATE('融资租赁与资金缺口'!$F$12,$A16),'融资租赁与资金缺口'!$J$12,0),0),IF(AND(AU$46&gt;'融资租赁与资金缺口'!$F$13,AU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AU$46=EDATE('融资租赁与资金缺口'!$F$13,$A16),'融资租赁与资金缺口'!$J$13,0),0),IF(AND(AU$46&gt;'融资租赁与资金缺口'!$F$14,AU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AU$46=EDATE('融资租赁与资金缺口'!$F$14,$A16),'融资租赁与资金缺口'!$J$14,0),0),IF(AND(AU$46&gt;'融资租赁与资金缺口'!$F$15,AU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AU$46=EDATE('融资租赁与资金缺口'!$F$15,$A16),'融资租赁与资金缺口'!$J$15,0),0),IF(AND(AU$46&gt;'融资租赁与资金缺口'!$F$16,AU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AU$46=EDATE('融资租赁与资金缺口'!$F$16,$A16),'融资租赁与资金缺口'!$J$16,0),0))</x:f>
        <x:v>24362487.573663626</x:v>
      </x:c>
      <x:c r="AV52" s="28" t="n">
        <x:f>SUM(IF(AND(AV$46&gt;'融资租赁与资金缺口'!$F$5,AV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AV$46=EDATE('融资租赁与资金缺口'!$F$5,$A16),'融资租赁与资金缺口'!$J$5,0),0),IF(AND(AV$46&gt;'融资租赁与资金缺口'!$F$6,AV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AV$46=EDATE('融资租赁与资金缺口'!$F$6,$A16),'融资租赁与资金缺口'!$J$6,0),0),IF(AND(AV$46&gt;'融资租赁与资金缺口'!$F$7,AV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AV$46=EDATE('融资租赁与资金缺口'!$F$7,$A16),'融资租赁与资金缺口'!$J$7,0),0),IF(AND(AV$46&gt;'融资租赁与资金缺口'!$F$8,AV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AV$46=EDATE('融资租赁与资金缺口'!$F$8,$A16),'融资租赁与资金缺口'!$J$8,0),0),IF(AND(AV$46&gt;'融资租赁与资金缺口'!$F$9,AV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AV$46=EDATE('融资租赁与资金缺口'!$F$9,$A16),'融资租赁与资金缺口'!$J$9,0),0),IF(AND(AV$46&gt;'融资租赁与资金缺口'!$F$10,AV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AV$46=EDATE('融资租赁与资金缺口'!$F$10,$A16),'融资租赁与资金缺口'!$J$10,0),0),IF(AND(AV$46&gt;'融资租赁与资金缺口'!$F$11,AV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AV$46=EDATE('融资租赁与资金缺口'!$F$11,$A16),'融资租赁与资金缺口'!$J$11,0),0),IF(AND(AV$46&gt;'融资租赁与资金缺口'!$F$12,AV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AV$46=EDATE('融资租赁与资金缺口'!$F$12,$A16),'融资租赁与资金缺口'!$J$12,0),0),IF(AND(AV$46&gt;'融资租赁与资金缺口'!$F$13,AV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AV$46=EDATE('融资租赁与资金缺口'!$F$13,$A16),'融资租赁与资金缺口'!$J$13,0),0),IF(AND(AV$46&gt;'融资租赁与资金缺口'!$F$14,AV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AV$46=EDATE('融资租赁与资金缺口'!$F$14,$A16),'融资租赁与资金缺口'!$J$14,0),0),IF(AND(AV$46&gt;'融资租赁与资金缺口'!$F$15,AV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AV$46=EDATE('融资租赁与资金缺口'!$F$15,$A16),'融资租赁与资金缺口'!$J$15,0),0),IF(AND(AV$46&gt;'融资租赁与资金缺口'!$F$16,AV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AV$46=EDATE('融资租赁与资金缺口'!$F$16,$A16),'融资租赁与资金缺口'!$J$16,0),0))</x:f>
        <x:v>24362487.573663626</x:v>
      </x:c>
      <x:c r="AW52" s="28" t="n">
        <x:f>SUM(IF(AND(AW$46&gt;'融资租赁与资金缺口'!$F$5,AW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AW$46=EDATE('融资租赁与资金缺口'!$F$5,$A16),'融资租赁与资金缺口'!$J$5,0),0),IF(AND(AW$46&gt;'融资租赁与资金缺口'!$F$6,AW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AW$46=EDATE('融资租赁与资金缺口'!$F$6,$A16),'融资租赁与资金缺口'!$J$6,0),0),IF(AND(AW$46&gt;'融资租赁与资金缺口'!$F$7,AW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AW$46=EDATE('融资租赁与资金缺口'!$F$7,$A16),'融资租赁与资金缺口'!$J$7,0),0),IF(AND(AW$46&gt;'融资租赁与资金缺口'!$F$8,AW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AW$46=EDATE('融资租赁与资金缺口'!$F$8,$A16),'融资租赁与资金缺口'!$J$8,0),0),IF(AND(AW$46&gt;'融资租赁与资金缺口'!$F$9,AW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AW$46=EDATE('融资租赁与资金缺口'!$F$9,$A16),'融资租赁与资金缺口'!$J$9,0),0),IF(AND(AW$46&gt;'融资租赁与资金缺口'!$F$10,AW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AW$46=EDATE('融资租赁与资金缺口'!$F$10,$A16),'融资租赁与资金缺口'!$J$10,0),0),IF(AND(AW$46&gt;'融资租赁与资金缺口'!$F$11,AW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AW$46=EDATE('融资租赁与资金缺口'!$F$11,$A16),'融资租赁与资金缺口'!$J$11,0),0),IF(AND(AW$46&gt;'融资租赁与资金缺口'!$F$12,AW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AW$46=EDATE('融资租赁与资金缺口'!$F$12,$A16),'融资租赁与资金缺口'!$J$12,0),0),IF(AND(AW$46&gt;'融资租赁与资金缺口'!$F$13,AW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AW$46=EDATE('融资租赁与资金缺口'!$F$13,$A16),'融资租赁与资金缺口'!$J$13,0),0),IF(AND(AW$46&gt;'融资租赁与资金缺口'!$F$14,AW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AW$46=EDATE('融资租赁与资金缺口'!$F$14,$A16),'融资租赁与资金缺口'!$J$14,0),0),IF(AND(AW$46&gt;'融资租赁与资金缺口'!$F$15,AW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AW$46=EDATE('融资租赁与资金缺口'!$F$15,$A16),'融资租赁与资金缺口'!$J$15,0),0),IF(AND(AW$46&gt;'融资租赁与资金缺口'!$F$16,AW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AW$46=EDATE('融资租赁与资金缺口'!$F$16,$A16),'融资租赁与资金缺口'!$J$16,0),0))</x:f>
        <x:v>24362487.573663626</x:v>
      </x:c>
      <x:c r="AX52" s="28" t="n">
        <x:f>SUM(IF(AND(AX$46&gt;'融资租赁与资金缺口'!$F$5,AX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AX$46=EDATE('融资租赁与资金缺口'!$F$5,$A16),'融资租赁与资金缺口'!$J$5,0),0),IF(AND(AX$46&gt;'融资租赁与资金缺口'!$F$6,AX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AX$46=EDATE('融资租赁与资金缺口'!$F$6,$A16),'融资租赁与资金缺口'!$J$6,0),0),IF(AND(AX$46&gt;'融资租赁与资金缺口'!$F$7,AX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AX$46=EDATE('融资租赁与资金缺口'!$F$7,$A16),'融资租赁与资金缺口'!$J$7,0),0),IF(AND(AX$46&gt;'融资租赁与资金缺口'!$F$8,AX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AX$46=EDATE('融资租赁与资金缺口'!$F$8,$A16),'融资租赁与资金缺口'!$J$8,0),0),IF(AND(AX$46&gt;'融资租赁与资金缺口'!$F$9,AX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AX$46=EDATE('融资租赁与资金缺口'!$F$9,$A16),'融资租赁与资金缺口'!$J$9,0),0),IF(AND(AX$46&gt;'融资租赁与资金缺口'!$F$10,AX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AX$46=EDATE('融资租赁与资金缺口'!$F$10,$A16),'融资租赁与资金缺口'!$J$10,0),0),IF(AND(AX$46&gt;'融资租赁与资金缺口'!$F$11,AX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AX$46=EDATE('融资租赁与资金缺口'!$F$11,$A16),'融资租赁与资金缺口'!$J$11,0),0),IF(AND(AX$46&gt;'融资租赁与资金缺口'!$F$12,AX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AX$46=EDATE('融资租赁与资金缺口'!$F$12,$A16),'融资租赁与资金缺口'!$J$12,0),0),IF(AND(AX$46&gt;'融资租赁与资金缺口'!$F$13,AX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AX$46=EDATE('融资租赁与资金缺口'!$F$13,$A16),'融资租赁与资金缺口'!$J$13,0),0),IF(AND(AX$46&gt;'融资租赁与资金缺口'!$F$14,AX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AX$46=EDATE('融资租赁与资金缺口'!$F$14,$A16),'融资租赁与资金缺口'!$J$14,0),0),IF(AND(AX$46&gt;'融资租赁与资金缺口'!$F$15,AX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AX$46=EDATE('融资租赁与资金缺口'!$F$15,$A16),'融资租赁与资金缺口'!$J$15,0),0),IF(AND(AX$46&gt;'融资租赁与资金缺口'!$F$16,AX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AX$46=EDATE('融资租赁与资金缺口'!$F$16,$A16),'融资租赁与资金缺口'!$J$16,0),0))</x:f>
        <x:v>24362487.573663626</x:v>
      </x:c>
      <x:c r="AY52" s="28" t="n">
        <x:f>SUM(IF(AND(AY$46&gt;'融资租赁与资金缺口'!$F$5,AY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AY$46=EDATE('融资租赁与资金缺口'!$F$5,$A16),'融资租赁与资金缺口'!$J$5,0),0),IF(AND(AY$46&gt;'融资租赁与资金缺口'!$F$6,AY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AY$46=EDATE('融资租赁与资金缺口'!$F$6,$A16),'融资租赁与资金缺口'!$J$6,0),0),IF(AND(AY$46&gt;'融资租赁与资金缺口'!$F$7,AY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AY$46=EDATE('融资租赁与资金缺口'!$F$7,$A16),'融资租赁与资金缺口'!$J$7,0),0),IF(AND(AY$46&gt;'融资租赁与资金缺口'!$F$8,AY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AY$46=EDATE('融资租赁与资金缺口'!$F$8,$A16),'融资租赁与资金缺口'!$J$8,0),0),IF(AND(AY$46&gt;'融资租赁与资金缺口'!$F$9,AY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AY$46=EDATE('融资租赁与资金缺口'!$F$9,$A16),'融资租赁与资金缺口'!$J$9,0),0),IF(AND(AY$46&gt;'融资租赁与资金缺口'!$F$10,AY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AY$46=EDATE('融资租赁与资金缺口'!$F$10,$A16),'融资租赁与资金缺口'!$J$10,0),0),IF(AND(AY$46&gt;'融资租赁与资金缺口'!$F$11,AY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AY$46=EDATE('融资租赁与资金缺口'!$F$11,$A16),'融资租赁与资金缺口'!$J$11,0),0),IF(AND(AY$46&gt;'融资租赁与资金缺口'!$F$12,AY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AY$46=EDATE('融资租赁与资金缺口'!$F$12,$A16),'融资租赁与资金缺口'!$J$12,0),0),IF(AND(AY$46&gt;'融资租赁与资金缺口'!$F$13,AY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AY$46=EDATE('融资租赁与资金缺口'!$F$13,$A16),'融资租赁与资金缺口'!$J$13,0),0),IF(AND(AY$46&gt;'融资租赁与资金缺口'!$F$14,AY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AY$46=EDATE('融资租赁与资金缺口'!$F$14,$A16),'融资租赁与资金缺口'!$J$14,0),0),IF(AND(AY$46&gt;'融资租赁与资金缺口'!$F$15,AY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AY$46=EDATE('融资租赁与资金缺口'!$F$15,$A16),'融资租赁与资金缺口'!$J$15,0),0),IF(AND(AY$46&gt;'融资租赁与资金缺口'!$F$16,AY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AY$46=EDATE('融资租赁与资金缺口'!$F$16,$A16),'融资租赁与资金缺口'!$J$16,0),0))</x:f>
        <x:v>24362487.573663626</x:v>
      </x:c>
      <x:c r="AZ52" s="28" t="n">
        <x:f>SUM(IF(AND(AZ$46&gt;'融资租赁与资金缺口'!$F$5,AZ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AZ$46=EDATE('融资租赁与资金缺口'!$F$5,$A16),'融资租赁与资金缺口'!$J$5,0),0),IF(AND(AZ$46&gt;'融资租赁与资金缺口'!$F$6,AZ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AZ$46=EDATE('融资租赁与资金缺口'!$F$6,$A16),'融资租赁与资金缺口'!$J$6,0),0),IF(AND(AZ$46&gt;'融资租赁与资金缺口'!$F$7,AZ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AZ$46=EDATE('融资租赁与资金缺口'!$F$7,$A16),'融资租赁与资金缺口'!$J$7,0),0),IF(AND(AZ$46&gt;'融资租赁与资金缺口'!$F$8,AZ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AZ$46=EDATE('融资租赁与资金缺口'!$F$8,$A16),'融资租赁与资金缺口'!$J$8,0),0),IF(AND(AZ$46&gt;'融资租赁与资金缺口'!$F$9,AZ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AZ$46=EDATE('融资租赁与资金缺口'!$F$9,$A16),'融资租赁与资金缺口'!$J$9,0),0),IF(AND(AZ$46&gt;'融资租赁与资金缺口'!$F$10,AZ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AZ$46=EDATE('融资租赁与资金缺口'!$F$10,$A16),'融资租赁与资金缺口'!$J$10,0),0),IF(AND(AZ$46&gt;'融资租赁与资金缺口'!$F$11,AZ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AZ$46=EDATE('融资租赁与资金缺口'!$F$11,$A16),'融资租赁与资金缺口'!$J$11,0),0),IF(AND(AZ$46&gt;'融资租赁与资金缺口'!$F$12,AZ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AZ$46=EDATE('融资租赁与资金缺口'!$F$12,$A16),'融资租赁与资金缺口'!$J$12,0),0),IF(AND(AZ$46&gt;'融资租赁与资金缺口'!$F$13,AZ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AZ$46=EDATE('融资租赁与资金缺口'!$F$13,$A16),'融资租赁与资金缺口'!$J$13,0),0),IF(AND(AZ$46&gt;'融资租赁与资金缺口'!$F$14,AZ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AZ$46=EDATE('融资租赁与资金缺口'!$F$14,$A16),'融资租赁与资金缺口'!$J$14,0),0),IF(AND(AZ$46&gt;'融资租赁与资金缺口'!$F$15,AZ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AZ$46=EDATE('融资租赁与资金缺口'!$F$15,$A16),'融资租赁与资金缺口'!$J$15,0),0),IF(AND(AZ$46&gt;'融资租赁与资金缺口'!$F$16,AZ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AZ$46=EDATE('融资租赁与资金缺口'!$F$16,$A16),'融资租赁与资金缺口'!$J$16,0),0))</x:f>
        <x:v>24362487.573663626</x:v>
      </x:c>
      <x:c r="BA52" s="28" t="n">
        <x:f>SUM(IF(AND(BA$46&gt;'融资租赁与资金缺口'!$F$5,BA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A$46=EDATE('融资租赁与资金缺口'!$F$5,$A16),'融资租赁与资金缺口'!$J$5,0),0),IF(AND(BA$46&gt;'融资租赁与资金缺口'!$F$6,BA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A$46=EDATE('融资租赁与资金缺口'!$F$6,$A16),'融资租赁与资金缺口'!$J$6,0),0),IF(AND(BA$46&gt;'融资租赁与资金缺口'!$F$7,BA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A$46=EDATE('融资租赁与资金缺口'!$F$7,$A16),'融资租赁与资金缺口'!$J$7,0),0),IF(AND(BA$46&gt;'融资租赁与资金缺口'!$F$8,BA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A$46=EDATE('融资租赁与资金缺口'!$F$8,$A16),'融资租赁与资金缺口'!$J$8,0),0),IF(AND(BA$46&gt;'融资租赁与资金缺口'!$F$9,BA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A$46=EDATE('融资租赁与资金缺口'!$F$9,$A16),'融资租赁与资金缺口'!$J$9,0),0),IF(AND(BA$46&gt;'融资租赁与资金缺口'!$F$10,BA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A$46=EDATE('融资租赁与资金缺口'!$F$10,$A16),'融资租赁与资金缺口'!$J$10,0),0),IF(AND(BA$46&gt;'融资租赁与资金缺口'!$F$11,BA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A$46=EDATE('融资租赁与资金缺口'!$F$11,$A16),'融资租赁与资金缺口'!$J$11,0),0),IF(AND(BA$46&gt;'融资租赁与资金缺口'!$F$12,BA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A$46=EDATE('融资租赁与资金缺口'!$F$12,$A16),'融资租赁与资金缺口'!$J$12,0),0),IF(AND(BA$46&gt;'融资租赁与资金缺口'!$F$13,BA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A$46=EDATE('融资租赁与资金缺口'!$F$13,$A16),'融资租赁与资金缺口'!$J$13,0),0),IF(AND(BA$46&gt;'融资租赁与资金缺口'!$F$14,BA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A$46=EDATE('融资租赁与资金缺口'!$F$14,$A16),'融资租赁与资金缺口'!$J$14,0),0),IF(AND(BA$46&gt;'融资租赁与资金缺口'!$F$15,BA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A$46=EDATE('融资租赁与资金缺口'!$F$15,$A16),'融资租赁与资金缺口'!$J$15,0),0),IF(AND(BA$46&gt;'融资租赁与资金缺口'!$F$16,BA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A$46=EDATE('融资租赁与资金缺口'!$F$16,$A16),'融资租赁与资金缺口'!$J$16,0),0))</x:f>
        <x:v>24362487.573663626</x:v>
      </x:c>
      <x:c r="BB52" s="28" t="n">
        <x:f>SUM(IF(AND(BB$46&gt;'融资租赁与资金缺口'!$F$5,BB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B$46=EDATE('融资租赁与资金缺口'!$F$5,$A16),'融资租赁与资金缺口'!$J$5,0),0),IF(AND(BB$46&gt;'融资租赁与资金缺口'!$F$6,BB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B$46=EDATE('融资租赁与资金缺口'!$F$6,$A16),'融资租赁与资金缺口'!$J$6,0),0),IF(AND(BB$46&gt;'融资租赁与资金缺口'!$F$7,BB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B$46=EDATE('融资租赁与资金缺口'!$F$7,$A16),'融资租赁与资金缺口'!$J$7,0),0),IF(AND(BB$46&gt;'融资租赁与资金缺口'!$F$8,BB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B$46=EDATE('融资租赁与资金缺口'!$F$8,$A16),'融资租赁与资金缺口'!$J$8,0),0),IF(AND(BB$46&gt;'融资租赁与资金缺口'!$F$9,BB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B$46=EDATE('融资租赁与资金缺口'!$F$9,$A16),'融资租赁与资金缺口'!$J$9,0),0),IF(AND(BB$46&gt;'融资租赁与资金缺口'!$F$10,BB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B$46=EDATE('融资租赁与资金缺口'!$F$10,$A16),'融资租赁与资金缺口'!$J$10,0),0),IF(AND(BB$46&gt;'融资租赁与资金缺口'!$F$11,BB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B$46=EDATE('融资租赁与资金缺口'!$F$11,$A16),'融资租赁与资金缺口'!$J$11,0),0),IF(AND(BB$46&gt;'融资租赁与资金缺口'!$F$12,BB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B$46=EDATE('融资租赁与资金缺口'!$F$12,$A16),'融资租赁与资金缺口'!$J$12,0),0),IF(AND(BB$46&gt;'融资租赁与资金缺口'!$F$13,BB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B$46=EDATE('融资租赁与资金缺口'!$F$13,$A16),'融资租赁与资金缺口'!$J$13,0),0),IF(AND(BB$46&gt;'融资租赁与资金缺口'!$F$14,BB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B$46=EDATE('融资租赁与资金缺口'!$F$14,$A16),'融资租赁与资金缺口'!$J$14,0),0),IF(AND(BB$46&gt;'融资租赁与资金缺口'!$F$15,BB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B$46=EDATE('融资租赁与资金缺口'!$F$15,$A16),'融资租赁与资金缺口'!$J$15,0),0),IF(AND(BB$46&gt;'融资租赁与资金缺口'!$F$16,BB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B$46=EDATE('融资租赁与资金缺口'!$F$16,$A16),'融资租赁与资金缺口'!$J$16,0),0))</x:f>
        <x:v>24362487.573663626</x:v>
      </x:c>
      <x:c r="BC52" s="28" t="n">
        <x:f>SUM(IF(AND(BC$46&gt;'融资租赁与资金缺口'!$F$5,BC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C$46=EDATE('融资租赁与资金缺口'!$F$5,$A16),'融资租赁与资金缺口'!$J$5,0),0),IF(AND(BC$46&gt;'融资租赁与资金缺口'!$F$6,BC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C$46=EDATE('融资租赁与资金缺口'!$F$6,$A16),'融资租赁与资金缺口'!$J$6,0),0),IF(AND(BC$46&gt;'融资租赁与资金缺口'!$F$7,BC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C$46=EDATE('融资租赁与资金缺口'!$F$7,$A16),'融资租赁与资金缺口'!$J$7,0),0),IF(AND(BC$46&gt;'融资租赁与资金缺口'!$F$8,BC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C$46=EDATE('融资租赁与资金缺口'!$F$8,$A16),'融资租赁与资金缺口'!$J$8,0),0),IF(AND(BC$46&gt;'融资租赁与资金缺口'!$F$9,BC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C$46=EDATE('融资租赁与资金缺口'!$F$9,$A16),'融资租赁与资金缺口'!$J$9,0),0),IF(AND(BC$46&gt;'融资租赁与资金缺口'!$F$10,BC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C$46=EDATE('融资租赁与资金缺口'!$F$10,$A16),'融资租赁与资金缺口'!$J$10,0),0),IF(AND(BC$46&gt;'融资租赁与资金缺口'!$F$11,BC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C$46=EDATE('融资租赁与资金缺口'!$F$11,$A16),'融资租赁与资金缺口'!$J$11,0),0),IF(AND(BC$46&gt;'融资租赁与资金缺口'!$F$12,BC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C$46=EDATE('融资租赁与资金缺口'!$F$12,$A16),'融资租赁与资金缺口'!$J$12,0),0),IF(AND(BC$46&gt;'融资租赁与资金缺口'!$F$13,BC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C$46=EDATE('融资租赁与资金缺口'!$F$13,$A16),'融资租赁与资金缺口'!$J$13,0),0),IF(AND(BC$46&gt;'融资租赁与资金缺口'!$F$14,BC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C$46=EDATE('融资租赁与资金缺口'!$F$14,$A16),'融资租赁与资金缺口'!$J$14,0),0),IF(AND(BC$46&gt;'融资租赁与资金缺口'!$F$15,BC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C$46=EDATE('融资租赁与资金缺口'!$F$15,$A16),'融资租赁与资金缺口'!$J$15,0),0),IF(AND(BC$46&gt;'融资租赁与资金缺口'!$F$16,BC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C$46=EDATE('融资租赁与资金缺口'!$F$16,$A16),'融资租赁与资金缺口'!$J$16,0),0))</x:f>
        <x:v>24362487.573663626</x:v>
      </x:c>
      <x:c r="BD52" s="28" t="n">
        <x:f>SUM(IF(AND(BD$46&gt;'融资租赁与资金缺口'!$F$5,BD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D$46=EDATE('融资租赁与资金缺口'!$F$5,$A16),'融资租赁与资金缺口'!$J$5,0),0),IF(AND(BD$46&gt;'融资租赁与资金缺口'!$F$6,BD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D$46=EDATE('融资租赁与资金缺口'!$F$6,$A16),'融资租赁与资金缺口'!$J$6,0),0),IF(AND(BD$46&gt;'融资租赁与资金缺口'!$F$7,BD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D$46=EDATE('融资租赁与资金缺口'!$F$7,$A16),'融资租赁与资金缺口'!$J$7,0),0),IF(AND(BD$46&gt;'融资租赁与资金缺口'!$F$8,BD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D$46=EDATE('融资租赁与资金缺口'!$F$8,$A16),'融资租赁与资金缺口'!$J$8,0),0),IF(AND(BD$46&gt;'融资租赁与资金缺口'!$F$9,BD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D$46=EDATE('融资租赁与资金缺口'!$F$9,$A16),'融资租赁与资金缺口'!$J$9,0),0),IF(AND(BD$46&gt;'融资租赁与资金缺口'!$F$10,BD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D$46=EDATE('融资租赁与资金缺口'!$F$10,$A16),'融资租赁与资金缺口'!$J$10,0),0),IF(AND(BD$46&gt;'融资租赁与资金缺口'!$F$11,BD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D$46=EDATE('融资租赁与资金缺口'!$F$11,$A16),'融资租赁与资金缺口'!$J$11,0),0),IF(AND(BD$46&gt;'融资租赁与资金缺口'!$F$12,BD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D$46=EDATE('融资租赁与资金缺口'!$F$12,$A16),'融资租赁与资金缺口'!$J$12,0),0),IF(AND(BD$46&gt;'融资租赁与资金缺口'!$F$13,BD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D$46=EDATE('融资租赁与资金缺口'!$F$13,$A16),'融资租赁与资金缺口'!$J$13,0),0),IF(AND(BD$46&gt;'融资租赁与资金缺口'!$F$14,BD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D$46=EDATE('融资租赁与资金缺口'!$F$14,$A16),'融资租赁与资金缺口'!$J$14,0),0),IF(AND(BD$46&gt;'融资租赁与资金缺口'!$F$15,BD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D$46=EDATE('融资租赁与资金缺口'!$F$15,$A16),'融资租赁与资金缺口'!$J$15,0),0),IF(AND(BD$46&gt;'融资租赁与资金缺口'!$F$16,BD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D$46=EDATE('融资租赁与资金缺口'!$F$16,$A16),'融资租赁与资金缺口'!$J$16,0),0))</x:f>
        <x:v>24362487.573663626</x:v>
      </x:c>
      <x:c r="BE52" s="28" t="n">
        <x:f>SUM(IF(AND(BE$46&gt;'融资租赁与资金缺口'!$F$5,BE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E$46=EDATE('融资租赁与资金缺口'!$F$5,$A16),'融资租赁与资金缺口'!$J$5,0),0),IF(AND(BE$46&gt;'融资租赁与资金缺口'!$F$6,BE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E$46=EDATE('融资租赁与资金缺口'!$F$6,$A16),'融资租赁与资金缺口'!$J$6,0),0),IF(AND(BE$46&gt;'融资租赁与资金缺口'!$F$7,BE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E$46=EDATE('融资租赁与资金缺口'!$F$7,$A16),'融资租赁与资金缺口'!$J$7,0),0),IF(AND(BE$46&gt;'融资租赁与资金缺口'!$F$8,BE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E$46=EDATE('融资租赁与资金缺口'!$F$8,$A16),'融资租赁与资金缺口'!$J$8,0),0),IF(AND(BE$46&gt;'融资租赁与资金缺口'!$F$9,BE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E$46=EDATE('融资租赁与资金缺口'!$F$9,$A16),'融资租赁与资金缺口'!$J$9,0),0),IF(AND(BE$46&gt;'融资租赁与资金缺口'!$F$10,BE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E$46=EDATE('融资租赁与资金缺口'!$F$10,$A16),'融资租赁与资金缺口'!$J$10,0),0),IF(AND(BE$46&gt;'融资租赁与资金缺口'!$F$11,BE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E$46=EDATE('融资租赁与资金缺口'!$F$11,$A16),'融资租赁与资金缺口'!$J$11,0),0),IF(AND(BE$46&gt;'融资租赁与资金缺口'!$F$12,BE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E$46=EDATE('融资租赁与资金缺口'!$F$12,$A16),'融资租赁与资金缺口'!$J$12,0),0),IF(AND(BE$46&gt;'融资租赁与资金缺口'!$F$13,BE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E$46=EDATE('融资租赁与资金缺口'!$F$13,$A16),'融资租赁与资金缺口'!$J$13,0),0),IF(AND(BE$46&gt;'融资租赁与资金缺口'!$F$14,BE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E$46=EDATE('融资租赁与资金缺口'!$F$14,$A16),'融资租赁与资金缺口'!$J$14,0),0),IF(AND(BE$46&gt;'融资租赁与资金缺口'!$F$15,BE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E$46=EDATE('融资租赁与资金缺口'!$F$15,$A16),'融资租赁与资金缺口'!$J$15,0),0),IF(AND(BE$46&gt;'融资租赁与资金缺口'!$F$16,BE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E$46=EDATE('融资租赁与资金缺口'!$F$16,$A16),'融资租赁与资金缺口'!$J$16,0),0))</x:f>
        <x:v>24592407.573663626</x:v>
      </x:c>
      <x:c r="BF52" s="28" t="n">
        <x:f>SUM(IF(AND(BF$46&gt;'融资租赁与资金缺口'!$F$5,BF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F$46=EDATE('融资租赁与资金缺口'!$F$5,$A16),'融资租赁与资金缺口'!$J$5,0),0),IF(AND(BF$46&gt;'融资租赁与资金缺口'!$F$6,BF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F$46=EDATE('融资租赁与资金缺口'!$F$6,$A16),'融资租赁与资金缺口'!$J$6,0),0),IF(AND(BF$46&gt;'融资租赁与资金缺口'!$F$7,BF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F$46=EDATE('融资租赁与资金缺口'!$F$7,$A16),'融资租赁与资金缺口'!$J$7,0),0),IF(AND(BF$46&gt;'融资租赁与资金缺口'!$F$8,BF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F$46=EDATE('融资租赁与资金缺口'!$F$8,$A16),'融资租赁与资金缺口'!$J$8,0),0),IF(AND(BF$46&gt;'融资租赁与资金缺口'!$F$9,BF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F$46=EDATE('融资租赁与资金缺口'!$F$9,$A16),'融资租赁与资金缺口'!$J$9,0),0),IF(AND(BF$46&gt;'融资租赁与资金缺口'!$F$10,BF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F$46=EDATE('融资租赁与资金缺口'!$F$10,$A16),'融资租赁与资金缺口'!$J$10,0),0),IF(AND(BF$46&gt;'融资租赁与资金缺口'!$F$11,BF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F$46=EDATE('融资租赁与资金缺口'!$F$11,$A16),'融资租赁与资金缺口'!$J$11,0),0),IF(AND(BF$46&gt;'融资租赁与资金缺口'!$F$12,BF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F$46=EDATE('融资租赁与资金缺口'!$F$12,$A16),'融资租赁与资金缺口'!$J$12,0),0),IF(AND(BF$46&gt;'融资租赁与资金缺口'!$F$13,BF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F$46=EDATE('融资租赁与资金缺口'!$F$13,$A16),'融资租赁与资金缺口'!$J$13,0),0),IF(AND(BF$46&gt;'融资租赁与资金缺口'!$F$14,BF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F$46=EDATE('融资租赁与资金缺口'!$F$14,$A16),'融资租赁与资金缺口'!$J$14,0),0),IF(AND(BF$46&gt;'融资租赁与资金缺口'!$F$15,BF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F$46=EDATE('融资租赁与资金缺口'!$F$15,$A16),'融资租赁与资金缺口'!$J$15,0),0),IF(AND(BF$46&gt;'融资租赁与资金缺口'!$F$16,BF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F$46=EDATE('融资租赁与资金缺口'!$F$16,$A16),'融资租赁与资金缺口'!$J$16,0),0))</x:f>
        <x:v>23607157.54735464</x:v>
      </x:c>
      <x:c r="BG52" s="28" t="n">
        <x:f>SUM(IF(AND(BG$46&gt;'融资租赁与资金缺口'!$F$5,BG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G$46=EDATE('融资租赁与资金缺口'!$F$5,$A16),'融资租赁与资金缺口'!$J$5,0),0),IF(AND(BG$46&gt;'融资租赁与资金缺口'!$F$6,BG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G$46=EDATE('融资租赁与资金缺口'!$F$6,$A16),'融资租赁与资金缺口'!$J$6,0),0),IF(AND(BG$46&gt;'融资租赁与资金缺口'!$F$7,BG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G$46=EDATE('融资租赁与资金缺口'!$F$7,$A16),'融资租赁与资金缺口'!$J$7,0),0),IF(AND(BG$46&gt;'融资租赁与资金缺口'!$F$8,BG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G$46=EDATE('融资租赁与资金缺口'!$F$8,$A16),'融资租赁与资金缺口'!$J$8,0),0),IF(AND(BG$46&gt;'融资租赁与资金缺口'!$F$9,BG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G$46=EDATE('融资租赁与资金缺口'!$F$9,$A16),'融资租赁与资金缺口'!$J$9,0),0),IF(AND(BG$46&gt;'融资租赁与资金缺口'!$F$10,BG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G$46=EDATE('融资租赁与资金缺口'!$F$10,$A16),'融资租赁与资金缺口'!$J$10,0),0),IF(AND(BG$46&gt;'融资租赁与资金缺口'!$F$11,BG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G$46=EDATE('融资租赁与资金缺口'!$F$11,$A16),'融资租赁与资金缺口'!$J$11,0),0),IF(AND(BG$46&gt;'融资租赁与资金缺口'!$F$12,BG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G$46=EDATE('融资租赁与资金缺口'!$F$12,$A16),'融资租赁与资金缺口'!$J$12,0),0),IF(AND(BG$46&gt;'融资租赁与资金缺口'!$F$13,BG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G$46=EDATE('融资租赁与资金缺口'!$F$13,$A16),'融资租赁与资金缺口'!$J$13,0),0),IF(AND(BG$46&gt;'融资租赁与资金缺口'!$F$14,BG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G$46=EDATE('融资租赁与资金缺口'!$F$14,$A16),'融资租赁与资金缺口'!$J$14,0),0),IF(AND(BG$46&gt;'融资租赁与资金缺口'!$F$15,BG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G$46=EDATE('融资租赁与资金缺口'!$F$15,$A16),'融资租赁与资金缺口'!$J$15,0),0),IF(AND(BG$46&gt;'融资租赁与资金缺口'!$F$16,BG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G$46=EDATE('融资租赁与资金缺口'!$F$16,$A16),'融资租赁与资金缺口'!$J$16,0),0))</x:f>
        <x:v>22416366.811217725</x:v>
      </x:c>
      <x:c r="BH52" s="28" t="n">
        <x:f>SUM(IF(AND(BH$46&gt;'融资租赁与资金缺口'!$F$5,BH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H$46=EDATE('融资租赁与资金缺口'!$F$5,$A16),'融资租赁与资金缺口'!$J$5,0),0),IF(AND(BH$46&gt;'融资租赁与资金缺口'!$F$6,BH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H$46=EDATE('融资租赁与资金缺口'!$F$6,$A16),'融资租赁与资金缺口'!$J$6,0),0),IF(AND(BH$46&gt;'融资租赁与资金缺口'!$F$7,BH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H$46=EDATE('融资租赁与资金缺口'!$F$7,$A16),'融资租赁与资金缺口'!$J$7,0),0),IF(AND(BH$46&gt;'融资租赁与资金缺口'!$F$8,BH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H$46=EDATE('融资租赁与资金缺口'!$F$8,$A16),'融资租赁与资金缺口'!$J$8,0),0),IF(AND(BH$46&gt;'融资租赁与资金缺口'!$F$9,BH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H$46=EDATE('融资租赁与资金缺口'!$F$9,$A16),'融资租赁与资金缺口'!$J$9,0),0),IF(AND(BH$46&gt;'融资租赁与资金缺口'!$F$10,BH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H$46=EDATE('融资租赁与资金缺口'!$F$10,$A16),'融资租赁与资金缺口'!$J$10,0),0),IF(AND(BH$46&gt;'融资租赁与资金缺口'!$F$11,BH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H$46=EDATE('融资租赁与资金缺口'!$F$11,$A16),'融资租赁与资金缺口'!$J$11,0),0),IF(AND(BH$46&gt;'融资租赁与资金缺口'!$F$12,BH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H$46=EDATE('融资租赁与资金缺口'!$F$12,$A16),'融资租赁与资金缺口'!$J$12,0),0),IF(AND(BH$46&gt;'融资租赁与资金缺口'!$F$13,BH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H$46=EDATE('融资租赁与资金缺口'!$F$13,$A16),'融资租赁与资金缺口'!$J$13,0),0),IF(AND(BH$46&gt;'融资租赁与资金缺口'!$F$14,BH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H$46=EDATE('融资租赁与资金缺口'!$F$14,$A16),'融资租赁与资金缺口'!$J$14,0),0),IF(AND(BH$46&gt;'融资租赁与资金缺口'!$F$15,BH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H$46=EDATE('融资租赁与资金缺口'!$F$15,$A16),'融资租赁与资金缺口'!$J$15,0),0),IF(AND(BH$46&gt;'融资租赁与资金缺口'!$F$16,BH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H$46=EDATE('融资租赁与资金缺口'!$F$16,$A16),'融资租赁与资金缺口'!$J$16,0),0))</x:f>
        <x:v>21022564.19097601</x:v>
      </x:c>
      <x:c r="BI52" s="28" t="n">
        <x:f>SUM(IF(AND(BI$46&gt;'融资租赁与资金缺口'!$F$5,BI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I$46=EDATE('融资租赁与资金缺口'!$F$5,$A16),'融资租赁与资金缺口'!$J$5,0),0),IF(AND(BI$46&gt;'融资租赁与资金缺口'!$F$6,BI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I$46=EDATE('融资租赁与资金缺口'!$F$6,$A16),'融资租赁与资金缺口'!$J$6,0),0),IF(AND(BI$46&gt;'融资租赁与资金缺口'!$F$7,BI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I$46=EDATE('融资租赁与资金缺口'!$F$7,$A16),'融资租赁与资金缺口'!$J$7,0),0),IF(AND(BI$46&gt;'融资租赁与资金缺口'!$F$8,BI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I$46=EDATE('融资租赁与资金缺口'!$F$8,$A16),'融资租赁与资金缺口'!$J$8,0),0),IF(AND(BI$46&gt;'融资租赁与资金缺口'!$F$9,BI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I$46=EDATE('融资租赁与资金缺口'!$F$9,$A16),'融资租赁与资金缺口'!$J$9,0),0),IF(AND(BI$46&gt;'融资租赁与资金缺口'!$F$10,BI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I$46=EDATE('融资租赁与资金缺口'!$F$10,$A16),'融资租赁与资金缺口'!$J$10,0),0),IF(AND(BI$46&gt;'融资租赁与资金缺口'!$F$11,BI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I$46=EDATE('融资租赁与资金缺口'!$F$11,$A16),'融资租赁与资金缺口'!$J$11,0),0),IF(AND(BI$46&gt;'融资租赁与资金缺口'!$F$12,BI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I$46=EDATE('融资租赁与资金缺口'!$F$12,$A16),'融资租赁与资金缺口'!$J$12,0),0),IF(AND(BI$46&gt;'融资租赁与资金缺口'!$F$13,BI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I$46=EDATE('融资租赁与资金缺口'!$F$13,$A16),'融资租赁与资金缺口'!$J$13,0),0),IF(AND(BI$46&gt;'融资租赁与资金缺口'!$F$14,BI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I$46=EDATE('融资租赁与资金缺口'!$F$14,$A16),'融资租赁与资金缺口'!$J$14,0),0),IF(AND(BI$46&gt;'融资租赁与资金缺口'!$F$15,BI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I$46=EDATE('融资租赁与资金缺口'!$F$15,$A16),'融资租赁与资金缺口'!$J$15,0),0),IF(AND(BI$46&gt;'融资租赁与资金缺口'!$F$16,BI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I$46=EDATE('融资租赁与资金缺口'!$F$16,$A16),'融资租赁与资金缺口'!$J$16,0),0))</x:f>
        <x:v>19423610.86090637</x:v>
      </x:c>
      <x:c r="BJ52" s="28" t="n">
        <x:f>SUM(IF(AND(BJ$46&gt;'融资租赁与资金缺口'!$F$5,BJ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J$46=EDATE('融资租赁与资金缺口'!$F$5,$A16),'融资租赁与资金缺口'!$J$5,0),0),IF(AND(BJ$46&gt;'融资租赁与资金缺口'!$F$6,BJ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J$46=EDATE('融资租赁与资金缺口'!$F$6,$A16),'融资租赁与资金缺口'!$J$6,0),0),IF(AND(BJ$46&gt;'融资租赁与资金缺口'!$F$7,BJ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J$46=EDATE('融资租赁与资金缺口'!$F$7,$A16),'融资租赁与资金缺口'!$J$7,0),0),IF(AND(BJ$46&gt;'融资租赁与资金缺口'!$F$8,BJ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J$46=EDATE('融资租赁与资金缺口'!$F$8,$A16),'融资租赁与资金缺口'!$J$8,0),0),IF(AND(BJ$46&gt;'融资租赁与资金缺口'!$F$9,BJ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J$46=EDATE('融资租赁与资金缺口'!$F$9,$A16),'融资租赁与资金缺口'!$J$9,0),0),IF(AND(BJ$46&gt;'融资租赁与资金缺口'!$F$10,BJ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J$46=EDATE('融资租赁与资金缺口'!$F$10,$A16),'融资租赁与资金缺口'!$J$10,0),0),IF(AND(BJ$46&gt;'融资租赁与资金缺口'!$F$11,BJ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J$46=EDATE('融资租赁与资金缺口'!$F$11,$A16),'融资租赁与资金缺口'!$J$11,0),0),IF(AND(BJ$46&gt;'融资租赁与资金缺口'!$F$12,BJ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J$46=EDATE('融资租赁与资金缺口'!$F$12,$A16),'融资租赁与资金缺口'!$J$12,0),0),IF(AND(BJ$46&gt;'融资租赁与资金缺口'!$F$13,BJ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J$46=EDATE('融资租赁与资金缺口'!$F$13,$A16),'融资租赁与资金缺口'!$J$13,0),0),IF(AND(BJ$46&gt;'融资租赁与资金缺口'!$F$14,BJ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J$46=EDATE('融资租赁与资金缺口'!$F$14,$A16),'融资租赁与资金缺口'!$J$14,0),0),IF(AND(BJ$46&gt;'融资租赁与资金缺口'!$F$15,BJ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J$46=EDATE('融资租赁与资金缺口'!$F$15,$A16),'融资租赁与资金缺口'!$J$15,0),0),IF(AND(BJ$46&gt;'融资租赁与资金缺口'!$F$16,BJ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J$46=EDATE('融资租赁与资金缺口'!$F$16,$A16),'融资租赁与资金缺口'!$J$16,0),0))</x:f>
        <x:v>17619506.82100881</x:v>
      </x:c>
      <x:c r="BK52" s="28" t="n">
        <x:f>SUM(IF(AND(BK$46&gt;'融资租赁与资金缺口'!$F$5,BK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K$46=EDATE('融资租赁与资金缺口'!$F$5,$A16),'融资租赁与资金缺口'!$J$5,0),0),IF(AND(BK$46&gt;'融资租赁与资金缺口'!$F$6,BK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K$46=EDATE('融资租赁与资金缺口'!$F$6,$A16),'融资租赁与资金缺口'!$J$6,0),0),IF(AND(BK$46&gt;'融资租赁与资金缺口'!$F$7,BK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K$46=EDATE('融资租赁与资金缺口'!$F$7,$A16),'融资租赁与资金缺口'!$J$7,0),0),IF(AND(BK$46&gt;'融资租赁与资金缺口'!$F$8,BK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K$46=EDATE('融资租赁与资金缺口'!$F$8,$A16),'融资租赁与资金缺口'!$J$8,0),0),IF(AND(BK$46&gt;'融资租赁与资金缺口'!$F$9,BK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K$46=EDATE('融资租赁与资金缺口'!$F$9,$A16),'融资租赁与资金缺口'!$J$9,0),0),IF(AND(BK$46&gt;'融资租赁与资金缺口'!$F$10,BK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K$46=EDATE('融资租赁与资金缺口'!$F$10,$A16),'融资租赁与资金缺口'!$J$10,0),0),IF(AND(BK$46&gt;'融资租赁与资金缺口'!$F$11,BK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K$46=EDATE('融资租赁与资金缺口'!$F$11,$A16),'融资租赁与资金缺口'!$J$11,0),0),IF(AND(BK$46&gt;'融资租赁与资金缺口'!$F$12,BK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K$46=EDATE('融资租赁与资金缺口'!$F$12,$A16),'融资租赁与资金缺口'!$J$12,0),0),IF(AND(BK$46&gt;'融资租赁与资金缺口'!$F$13,BK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K$46=EDATE('融资租赁与资金缺口'!$F$13,$A16),'融资租赁与资金缺口'!$J$13,0),0),IF(AND(BK$46&gt;'融资租赁与资金缺口'!$F$14,BK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K$46=EDATE('融资租赁与资金缺口'!$F$14,$A16),'融资租赁与资金缺口'!$J$14,0),0),IF(AND(BK$46&gt;'融资租赁与资金缺口'!$F$15,BK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K$46=EDATE('融资租赁与资金缺口'!$F$15,$A16),'融资租赁与资金缺口'!$J$15,0),0),IF(AND(BK$46&gt;'融资租赁与资金缺口'!$F$16,BK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K$46=EDATE('融资租赁与资金缺口'!$F$16,$A16),'融资租赁与资金缺口'!$J$16,0),0))</x:f>
        <x:v>15609472.071283322</x:v>
      </x:c>
      <x:c r="BL52" s="28" t="n">
        <x:f>SUM(IF(AND(BL$46&gt;'融资租赁与资金缺口'!$F$5,BL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L$46=EDATE('融资租赁与资金缺口'!$F$5,$A16),'融资租赁与资金缺口'!$J$5,0),0),IF(AND(BL$46&gt;'融资租赁与资金缺口'!$F$6,BL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L$46=EDATE('融资租赁与资金缺口'!$F$6,$A16),'融资租赁与资金缺口'!$J$6,0),0),IF(AND(BL$46&gt;'融资租赁与资金缺口'!$F$7,BL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L$46=EDATE('融资租赁与资金缺口'!$F$7,$A16),'融资租赁与资金缺口'!$J$7,0),0),IF(AND(BL$46&gt;'融资租赁与资金缺口'!$F$8,BL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L$46=EDATE('融资租赁与资金缺口'!$F$8,$A16),'融资租赁与资金缺口'!$J$8,0),0),IF(AND(BL$46&gt;'融资租赁与资金缺口'!$F$9,BL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L$46=EDATE('融资租赁与资金缺口'!$F$9,$A16),'融资租赁与资金缺口'!$J$9,0),0),IF(AND(BL$46&gt;'融资租赁与资金缺口'!$F$10,BL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L$46=EDATE('融资租赁与资金缺口'!$F$10,$A16),'融资租赁与资金缺口'!$J$10,0),0),IF(AND(BL$46&gt;'融资租赁与资金缺口'!$F$11,BL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L$46=EDATE('融资租赁与资金缺口'!$F$11,$A16),'融资租赁与资金缺口'!$J$11,0),0),IF(AND(BL$46&gt;'融资租赁与资金缺口'!$F$12,BL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L$46=EDATE('融资租赁与资金缺口'!$F$12,$A16),'融资租赁与资金缺口'!$J$12,0),0),IF(AND(BL$46&gt;'融资租赁与资金缺口'!$F$13,BL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L$46=EDATE('融资租赁与资金缺口'!$F$13,$A16),'融资租赁与资金缺口'!$J$13,0),0),IF(AND(BL$46&gt;'融资租赁与资金缺口'!$F$14,BL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L$46=EDATE('融资租赁与资金缺口'!$F$14,$A16),'融资租赁与资金缺口'!$J$14,0),0),IF(AND(BL$46&gt;'融资租赁与资金缺口'!$F$15,BL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L$46=EDATE('融资租赁与资金缺口'!$F$15,$A16),'融资租赁与资金缺口'!$J$15,0),0),IF(AND(BL$46&gt;'融资租赁与资金缺口'!$F$16,BL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L$46=EDATE('融资租赁与资金缺口'!$F$16,$A16),'融资租赁与资金缺口'!$J$16,0),0))</x:f>
        <x:v>13352814.263176158</x:v>
      </x:c>
      <x:c r="BM52" s="28" t="n">
        <x:f>SUM(IF(AND(BM$46&gt;'融资租赁与资金缺口'!$F$5,BM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M$46=EDATE('融资租赁与资金缺口'!$F$5,$A16),'融资租赁与资金缺口'!$J$5,0),0),IF(AND(BM$46&gt;'融资租赁与资金缺口'!$F$6,BM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M$46=EDATE('融资租赁与资金缺口'!$F$6,$A16),'融资租赁与资金缺口'!$J$6,0),0),IF(AND(BM$46&gt;'融资租赁与资金缺口'!$F$7,BM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M$46=EDATE('融资租赁与资金缺口'!$F$7,$A16),'融资租赁与资金缺口'!$J$7,0),0),IF(AND(BM$46&gt;'融资租赁与资金缺口'!$F$8,BM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M$46=EDATE('融资租赁与资金缺口'!$F$8,$A16),'融资租赁与资金缺口'!$J$8,0),0),IF(AND(BM$46&gt;'融资租赁与资金缺口'!$F$9,BM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M$46=EDATE('融资租赁与资金缺口'!$F$9,$A16),'融资租赁与资金缺口'!$J$9,0),0),IF(AND(BM$46&gt;'融资租赁与资金缺口'!$F$10,BM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M$46=EDATE('融资租赁与资金缺口'!$F$10,$A16),'融资租赁与资金缺口'!$J$10,0),0),IF(AND(BM$46&gt;'融资租赁与资金缺口'!$F$11,BM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M$46=EDATE('融资租赁与资金缺口'!$F$11,$A16),'融资租赁与资金缺口'!$J$11,0),0),IF(AND(BM$46&gt;'融资租赁与资金缺口'!$F$12,BM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M$46=EDATE('融资租赁与资金缺口'!$F$12,$A16),'融资租赁与资金缺口'!$J$12,0),0),IF(AND(BM$46&gt;'融资租赁与资金缺口'!$F$13,BM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M$46=EDATE('融资租赁与资金缺口'!$F$13,$A16),'融资租赁与资金缺口'!$J$13,0),0),IF(AND(BM$46&gt;'融资租赁与资金缺口'!$F$14,BM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M$46=EDATE('融资租赁与资金缺口'!$F$14,$A16),'融资租赁与资金缺口'!$J$14,0),0),IF(AND(BM$46&gt;'融资租赁与资金缺口'!$F$15,BM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M$46=EDATE('融资租赁与资金缺口'!$F$15,$A16),'融资租赁与资金缺口'!$J$15,0),0),IF(AND(BM$46&gt;'融资租赁与资金缺口'!$F$16,BM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M$46=EDATE('融资租赁与资金缺口'!$F$16,$A16),'融资租赁与资金缺口'!$J$16,0),0))</x:f>
        <x:v>11230196.455068994</x:v>
      </x:c>
      <x:c r="BN52" s="28" t="n">
        <x:f>SUM(IF(AND(BN$46&gt;'融资租赁与资金缺口'!$F$5,BN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N$46=EDATE('融资租赁与资金缺口'!$F$5,$A16),'融资租赁与资金缺口'!$J$5,0),0),IF(AND(BN$46&gt;'融资租赁与资金缺口'!$F$6,BN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N$46=EDATE('融资租赁与资金缺口'!$F$6,$A16),'融资租赁与资金缺口'!$J$6,0),0),IF(AND(BN$46&gt;'融资租赁与资金缺口'!$F$7,BN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N$46=EDATE('融资租赁与资金缺口'!$F$7,$A16),'融资租赁与资金缺口'!$J$7,0),0),IF(AND(BN$46&gt;'融资租赁与资金缺口'!$F$8,BN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N$46=EDATE('融资租赁与资金缺口'!$F$8,$A16),'融资租赁与资金缺口'!$J$8,0),0),IF(AND(BN$46&gt;'融资租赁与资金缺口'!$F$9,BN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N$46=EDATE('融资租赁与资金缺口'!$F$9,$A16),'融资租赁与资金缺口'!$J$9,0),0),IF(AND(BN$46&gt;'融资租赁与资金缺口'!$F$10,BN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N$46=EDATE('融资租赁与资金缺口'!$F$10,$A16),'融资租赁与资金缺口'!$J$10,0),0),IF(AND(BN$46&gt;'融资租赁与资金缺口'!$F$11,BN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N$46=EDATE('融资租赁与资金缺口'!$F$11,$A16),'融资租赁与资金缺口'!$J$11,0),0),IF(AND(BN$46&gt;'融资租赁与资金缺口'!$F$12,BN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N$46=EDATE('融资租赁与资金缺口'!$F$12,$A16),'融资租赁与资金缺口'!$J$12,0),0),IF(AND(BN$46&gt;'融资租赁与资金缺口'!$F$13,BN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N$46=EDATE('融资租赁与资金缺口'!$F$13,$A16),'融资租赁与资金缺口'!$J$13,0),0),IF(AND(BN$46&gt;'融资租赁与资金缺口'!$F$14,BN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N$46=EDATE('融资租赁与资金缺口'!$F$14,$A16),'融资租赁与资金缺口'!$J$14,0),0),IF(AND(BN$46&gt;'融资租赁与资金缺口'!$F$15,BN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N$46=EDATE('融资租赁与资金缺口'!$F$15,$A16),'融资租赁与资金缺口'!$J$15,0),0),IF(AND(BN$46&gt;'融资租赁与资金缺口'!$F$16,BN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N$46=EDATE('融资租赁与资金缺口'!$F$16,$A16),'融资租赁与资金缺口'!$J$16,0),0))</x:f>
        <x:v>8410190.69842992</x:v>
      </x:c>
      <x:c r="BO52" s="28" t="n">
        <x:f>SUM(IF(AND(BO$46&gt;'融资租赁与资金缺口'!$F$5,BO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O$46=EDATE('融资租赁与资金缺口'!$F$5,$A16),'融资租赁与资金缺口'!$J$5,0),0),IF(AND(BO$46&gt;'融资租赁与资金缺口'!$F$6,BO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O$46=EDATE('融资租赁与资金缺口'!$F$6,$A16),'融资租赁与资金缺口'!$J$6,0),0),IF(AND(BO$46&gt;'融资租赁与资金缺口'!$F$7,BO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O$46=EDATE('融资租赁与资金缺口'!$F$7,$A16),'融资租赁与资金缺口'!$J$7,0),0),IF(AND(BO$46&gt;'融资租赁与资金缺口'!$F$8,BO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O$46=EDATE('融资租赁与资金缺口'!$F$8,$A16),'融资租赁与资金缺口'!$J$8,0),0),IF(AND(BO$46&gt;'融资租赁与资金缺口'!$F$9,BO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O$46=EDATE('融资租赁与资金缺口'!$F$9,$A16),'融资租赁与资金缺口'!$J$9,0),0),IF(AND(BO$46&gt;'融资租赁与资金缺口'!$F$10,BO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O$46=EDATE('融资租赁与资金缺口'!$F$10,$A16),'融资租赁与资金缺口'!$J$10,0),0),IF(AND(BO$46&gt;'融资租赁与资金缺口'!$F$11,BO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O$46=EDATE('融资租赁与资金缺口'!$F$11,$A16),'融资租赁与资金缺口'!$J$11,0),0),IF(AND(BO$46&gt;'融资租赁与资金缺口'!$F$12,BO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O$46=EDATE('融资租赁与资金缺口'!$F$12,$A16),'融资租赁与资金缺口'!$J$12,0),0),IF(AND(BO$46&gt;'融资租赁与资金缺口'!$F$13,BO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O$46=EDATE('融资租赁与资金缺口'!$F$13,$A16),'融资租赁与资金缺口'!$J$13,0),0),IF(AND(BO$46&gt;'融资租赁与资金缺口'!$F$14,BO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O$46=EDATE('融资租赁与资金缺口'!$F$14,$A16),'融资租赁与资金缺口'!$J$14,0),0),IF(AND(BO$46&gt;'融资租赁与资金缺口'!$F$15,BO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O$46=EDATE('融资租赁与资金缺口'!$F$15,$A16),'融资租赁与资金缺口'!$J$15,0),0),IF(AND(BO$46&gt;'融资租赁与资金缺口'!$F$16,BO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O$46=EDATE('融资租赁与资金缺口'!$F$16,$A16),'融资租赁与资金缺口'!$J$16,0),0))</x:f>
        <x:v>5308376.946870387</x:v>
      </x:c>
      <x:c r="BP52" s="28" t="n">
        <x:f>SUM(IF(AND(BP$46&gt;'融资租赁与资金缺口'!$F$5,BP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P$46=EDATE('融资租赁与资金缺口'!$F$5,$A16),'融资租赁与资金缺口'!$J$5,0),0),IF(AND(BP$46&gt;'融资租赁与资金缺口'!$F$6,BP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P$46=EDATE('融资租赁与资金缺口'!$F$6,$A16),'融资租赁与资金缺口'!$J$6,0),0),IF(AND(BP$46&gt;'融资租赁与资金缺口'!$F$7,BP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P$46=EDATE('融资租赁与资金缺口'!$F$7,$A16),'融资租赁与资金缺口'!$J$7,0),0),IF(AND(BP$46&gt;'融资租赁与资金缺口'!$F$8,BP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P$46=EDATE('融资租赁与资金缺口'!$F$8,$A16),'融资租赁与资金缺口'!$J$8,0),0),IF(AND(BP$46&gt;'融资租赁与资金缺口'!$F$9,BP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P$46=EDATE('融资租赁与资金缺口'!$F$9,$A16),'融资租赁与资金缺口'!$J$9,0),0),IF(AND(BP$46&gt;'融资租赁与资金缺口'!$F$10,BP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P$46=EDATE('融资租赁与资金缺口'!$F$10,$A16),'融资租赁与资金缺口'!$J$10,0),0),IF(AND(BP$46&gt;'融资租赁与资金缺口'!$F$11,BP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P$46=EDATE('融资租赁与资金缺口'!$F$11,$A16),'融资租赁与资金缺口'!$J$11,0),0),IF(AND(BP$46&gt;'融资租赁与资金缺口'!$F$12,BP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P$46=EDATE('融资租赁与资金缺口'!$F$12,$A16),'融资租赁与资金缺口'!$J$12,0),0),IF(AND(BP$46&gt;'融资租赁与资金缺口'!$F$13,BP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P$46=EDATE('融资租赁与资金缺口'!$F$13,$A16),'融资租赁与资金缺口'!$J$13,0),0),IF(AND(BP$46&gt;'融资租赁与资金缺口'!$F$14,BP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P$46=EDATE('融资租赁与资金缺口'!$F$14,$A16),'融资租赁与资金缺口'!$J$14,0),0),IF(AND(BP$46&gt;'融资租赁与资金缺口'!$F$15,BP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P$46=EDATE('融资租赁与资金缺口'!$F$15,$A16),'融资租赁与资金缺口'!$J$15,0),0),IF(AND(BP$46&gt;'融资租赁与资金缺口'!$F$16,BP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P$46=EDATE('融资租赁与资金缺口'!$F$16,$A16),'融资租赁与资金缺口'!$J$16,0),0))</x:f>
        <x:v>2467875.8343730224</x:v>
      </x:c>
      <x:c r="BQ52" s="28" t="n">
        <x:f>SUM(IF(AND(BQ$46&gt;'融资租赁与资金缺口'!$F$5,BQ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Q$46=EDATE('融资租赁与资金缺口'!$F$5,$A16),'融资租赁与资金缺口'!$J$5,0),0),IF(AND(BQ$46&gt;'融资租赁与资金缺口'!$F$6,BQ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Q$46=EDATE('融资租赁与资金缺口'!$F$6,$A16),'融资租赁与资金缺口'!$J$6,0),0),IF(AND(BQ$46&gt;'融资租赁与资金缺口'!$F$7,BQ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Q$46=EDATE('融资租赁与资金缺口'!$F$7,$A16),'融资租赁与资金缺口'!$J$7,0),0),IF(AND(BQ$46&gt;'融资租赁与资金缺口'!$F$8,BQ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Q$46=EDATE('融资租赁与资金缺口'!$F$8,$A16),'融资租赁与资金缺口'!$J$8,0),0),IF(AND(BQ$46&gt;'融资租赁与资金缺口'!$F$9,BQ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Q$46=EDATE('融资租赁与资金缺口'!$F$9,$A16),'融资租赁与资金缺口'!$J$9,0),0),IF(AND(BQ$46&gt;'融资租赁与资金缺口'!$F$10,BQ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Q$46=EDATE('融资租赁与资金缺口'!$F$10,$A16),'融资租赁与资金缺口'!$J$10,0),0),IF(AND(BQ$46&gt;'融资租赁与资金缺口'!$F$11,BQ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Q$46=EDATE('融资租赁与资金缺口'!$F$11,$A16),'融资租赁与资金缺口'!$J$11,0),0),IF(AND(BQ$46&gt;'融资租赁与资金缺口'!$F$12,BQ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Q$46=EDATE('融资租赁与资金缺口'!$F$12,$A16),'融资租赁与资金缺口'!$J$12,0),0),IF(AND(BQ$46&gt;'融资租赁与资金缺口'!$F$13,BQ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Q$46=EDATE('融资租赁与资金缺口'!$F$13,$A16),'融资租赁与资金缺口'!$J$13,0),0),IF(AND(BQ$46&gt;'融资租赁与资金缺口'!$F$14,BQ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Q$46=EDATE('融资租赁与资金缺口'!$F$14,$A16),'融资租赁与资金缺口'!$J$14,0),0),IF(AND(BQ$46&gt;'融资租赁与资金缺口'!$F$15,BQ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Q$46=EDATE('融资租赁与资金缺口'!$F$15,$A16),'融资租赁与资金缺口'!$J$15,0),0),IF(AND(BQ$46&gt;'融资租赁与资金缺口'!$F$16,BQ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Q$46=EDATE('融资租赁与资金缺口'!$F$16,$A16),'融资租赁与资金缺口'!$J$16,0),0))</x:f>
        <x:v>0</x:v>
      </x:c>
      <x:c r="BR52" s="28" t="n">
        <x:f>SUM(IF(AND(BR$46&gt;'融资租赁与资金缺口'!$F$5,BR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R$46=EDATE('融资租赁与资金缺口'!$F$5,$A16),'融资租赁与资金缺口'!$J$5,0),0),IF(AND(BR$46&gt;'融资租赁与资金缺口'!$F$6,BR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R$46=EDATE('融资租赁与资金缺口'!$F$6,$A16),'融资租赁与资金缺口'!$J$6,0),0),IF(AND(BR$46&gt;'融资租赁与资金缺口'!$F$7,BR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R$46=EDATE('融资租赁与资金缺口'!$F$7,$A16),'融资租赁与资金缺口'!$J$7,0),0),IF(AND(BR$46&gt;'融资租赁与资金缺口'!$F$8,BR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R$46=EDATE('融资租赁与资金缺口'!$F$8,$A16),'融资租赁与资金缺口'!$J$8,0),0),IF(AND(BR$46&gt;'融资租赁与资金缺口'!$F$9,BR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R$46=EDATE('融资租赁与资金缺口'!$F$9,$A16),'融资租赁与资金缺口'!$J$9,0),0),IF(AND(BR$46&gt;'融资租赁与资金缺口'!$F$10,BR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R$46=EDATE('融资租赁与资金缺口'!$F$10,$A16),'融资租赁与资金缺口'!$J$10,0),0),IF(AND(BR$46&gt;'融资租赁与资金缺口'!$F$11,BR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R$46=EDATE('融资租赁与资金缺口'!$F$11,$A16),'融资租赁与资金缺口'!$J$11,0),0),IF(AND(BR$46&gt;'融资租赁与资金缺口'!$F$12,BR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R$46=EDATE('融资租赁与资金缺口'!$F$12,$A16),'融资租赁与资金缺口'!$J$12,0),0),IF(AND(BR$46&gt;'融资租赁与资金缺口'!$F$13,BR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R$46=EDATE('融资租赁与资金缺口'!$F$13,$A16),'融资租赁与资金缺口'!$J$13,0),0),IF(AND(BR$46&gt;'融资租赁与资金缺口'!$F$14,BR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R$46=EDATE('融资租赁与资金缺口'!$F$14,$A16),'融资租赁与资金缺口'!$J$14,0),0),IF(AND(BR$46&gt;'融资租赁与资金缺口'!$F$15,BR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R$46=EDATE('融资租赁与资金缺口'!$F$15,$A16),'融资租赁与资金缺口'!$J$15,0),0),IF(AND(BR$46&gt;'融资租赁与资金缺口'!$F$16,BR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R$46=EDATE('融资租赁与资金缺口'!$F$16,$A16),'融资租赁与资金缺口'!$J$16,0),0))</x:f>
        <x:v>0</x:v>
      </x:c>
      <x:c r="BS52" s="28" t="n">
        <x:f>SUM(IF(AND(BS$46&gt;'融资租赁与资金缺口'!$F$5,BS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S$46=EDATE('融资租赁与资金缺口'!$F$5,$A16),'融资租赁与资金缺口'!$J$5,0),0),IF(AND(BS$46&gt;'融资租赁与资金缺口'!$F$6,BS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S$46=EDATE('融资租赁与资金缺口'!$F$6,$A16),'融资租赁与资金缺口'!$J$6,0),0),IF(AND(BS$46&gt;'融资租赁与资金缺口'!$F$7,BS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S$46=EDATE('融资租赁与资金缺口'!$F$7,$A16),'融资租赁与资金缺口'!$J$7,0),0),IF(AND(BS$46&gt;'融资租赁与资金缺口'!$F$8,BS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S$46=EDATE('融资租赁与资金缺口'!$F$8,$A16),'融资租赁与资金缺口'!$J$8,0),0),IF(AND(BS$46&gt;'融资租赁与资金缺口'!$F$9,BS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S$46=EDATE('融资租赁与资金缺口'!$F$9,$A16),'融资租赁与资金缺口'!$J$9,0),0),IF(AND(BS$46&gt;'融资租赁与资金缺口'!$F$10,BS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S$46=EDATE('融资租赁与资金缺口'!$F$10,$A16),'融资租赁与资金缺口'!$J$10,0),0),IF(AND(BS$46&gt;'融资租赁与资金缺口'!$F$11,BS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S$46=EDATE('融资租赁与资金缺口'!$F$11,$A16),'融资租赁与资金缺口'!$J$11,0),0),IF(AND(BS$46&gt;'融资租赁与资金缺口'!$F$12,BS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S$46=EDATE('融资租赁与资金缺口'!$F$12,$A16),'融资租赁与资金缺口'!$J$12,0),0),IF(AND(BS$46&gt;'融资租赁与资金缺口'!$F$13,BS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S$46=EDATE('融资租赁与资金缺口'!$F$13,$A16),'融资租赁与资金缺口'!$J$13,0),0),IF(AND(BS$46&gt;'融资租赁与资金缺口'!$F$14,BS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S$46=EDATE('融资租赁与资金缺口'!$F$14,$A16),'融资租赁与资金缺口'!$J$14,0),0),IF(AND(BS$46&gt;'融资租赁与资金缺口'!$F$15,BS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S$46=EDATE('融资租赁与资金缺口'!$F$15,$A16),'融资租赁与资金缺口'!$J$15,0),0),IF(AND(BS$46&gt;'融资租赁与资金缺口'!$F$16,BS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S$46=EDATE('融资租赁与资金缺口'!$F$16,$A16),'融资租赁与资金缺口'!$J$16,0),0))</x:f>
        <x:v>0</x:v>
      </x:c>
      <x:c r="BT52" s="28" t="n">
        <x:f>SUM(IF(AND(BT$46&gt;'融资租赁与资金缺口'!$F$5,BT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T$46=EDATE('融资租赁与资金缺口'!$F$5,$A16),'融资租赁与资金缺口'!$J$5,0),0),IF(AND(BT$46&gt;'融资租赁与资金缺口'!$F$6,BT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T$46=EDATE('融资租赁与资金缺口'!$F$6,$A16),'融资租赁与资金缺口'!$J$6,0),0),IF(AND(BT$46&gt;'融资租赁与资金缺口'!$F$7,BT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T$46=EDATE('融资租赁与资金缺口'!$F$7,$A16),'融资租赁与资金缺口'!$J$7,0),0),IF(AND(BT$46&gt;'融资租赁与资金缺口'!$F$8,BT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T$46=EDATE('融资租赁与资金缺口'!$F$8,$A16),'融资租赁与资金缺口'!$J$8,0),0),IF(AND(BT$46&gt;'融资租赁与资金缺口'!$F$9,BT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T$46=EDATE('融资租赁与资金缺口'!$F$9,$A16),'融资租赁与资金缺口'!$J$9,0),0),IF(AND(BT$46&gt;'融资租赁与资金缺口'!$F$10,BT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T$46=EDATE('融资租赁与资金缺口'!$F$10,$A16),'融资租赁与资金缺口'!$J$10,0),0),IF(AND(BT$46&gt;'融资租赁与资金缺口'!$F$11,BT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T$46=EDATE('融资租赁与资金缺口'!$F$11,$A16),'融资租赁与资金缺口'!$J$11,0),0),IF(AND(BT$46&gt;'融资租赁与资金缺口'!$F$12,BT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T$46=EDATE('融资租赁与资金缺口'!$F$12,$A16),'融资租赁与资金缺口'!$J$12,0),0),IF(AND(BT$46&gt;'融资租赁与资金缺口'!$F$13,BT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T$46=EDATE('融资租赁与资金缺口'!$F$13,$A16),'融资租赁与资金缺口'!$J$13,0),0),IF(AND(BT$46&gt;'融资租赁与资金缺口'!$F$14,BT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T$46=EDATE('融资租赁与资金缺口'!$F$14,$A16),'融资租赁与资金缺口'!$J$14,0),0),IF(AND(BT$46&gt;'融资租赁与资金缺口'!$F$15,BT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T$46=EDATE('融资租赁与资金缺口'!$F$15,$A16),'融资租赁与资金缺口'!$J$15,0),0),IF(AND(BT$46&gt;'融资租赁与资金缺口'!$F$16,BT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T$46=EDATE('融资租赁与资金缺口'!$F$16,$A16),'融资租赁与资金缺口'!$J$16,0),0))</x:f>
        <x:v>0</x:v>
      </x:c>
      <x:c r="BU52" s="28" t="n">
        <x:f>SUM(IF(AND(BU$46&gt;'融资租赁与资金缺口'!$F$5,BU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U$46=EDATE('融资租赁与资金缺口'!$F$5,$A16),'融资租赁与资金缺口'!$J$5,0),0),IF(AND(BU$46&gt;'融资租赁与资金缺口'!$F$6,BU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U$46=EDATE('融资租赁与资金缺口'!$F$6,$A16),'融资租赁与资金缺口'!$J$6,0),0),IF(AND(BU$46&gt;'融资租赁与资金缺口'!$F$7,BU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U$46=EDATE('融资租赁与资金缺口'!$F$7,$A16),'融资租赁与资金缺口'!$J$7,0),0),IF(AND(BU$46&gt;'融资租赁与资金缺口'!$F$8,BU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U$46=EDATE('融资租赁与资金缺口'!$F$8,$A16),'融资租赁与资金缺口'!$J$8,0),0),IF(AND(BU$46&gt;'融资租赁与资金缺口'!$F$9,BU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U$46=EDATE('融资租赁与资金缺口'!$F$9,$A16),'融资租赁与资金缺口'!$J$9,0),0),IF(AND(BU$46&gt;'融资租赁与资金缺口'!$F$10,BU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U$46=EDATE('融资租赁与资金缺口'!$F$10,$A16),'融资租赁与资金缺口'!$J$10,0),0),IF(AND(BU$46&gt;'融资租赁与资金缺口'!$F$11,BU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U$46=EDATE('融资租赁与资金缺口'!$F$11,$A16),'融资租赁与资金缺口'!$J$11,0),0),IF(AND(BU$46&gt;'融资租赁与资金缺口'!$F$12,BU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U$46=EDATE('融资租赁与资金缺口'!$F$12,$A16),'融资租赁与资金缺口'!$J$12,0),0),IF(AND(BU$46&gt;'融资租赁与资金缺口'!$F$13,BU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U$46=EDATE('融资租赁与资金缺口'!$F$13,$A16),'融资租赁与资金缺口'!$J$13,0),0),IF(AND(BU$46&gt;'融资租赁与资金缺口'!$F$14,BU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U$46=EDATE('融资租赁与资金缺口'!$F$14,$A16),'融资租赁与资金缺口'!$J$14,0),0),IF(AND(BU$46&gt;'融资租赁与资金缺口'!$F$15,BU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U$46=EDATE('融资租赁与资金缺口'!$F$15,$A16),'融资租赁与资金缺口'!$J$15,0),0),IF(AND(BU$46&gt;'融资租赁与资金缺口'!$F$16,BU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U$46=EDATE('融资租赁与资金缺口'!$F$16,$A16),'融资租赁与资金缺口'!$J$16,0),0))</x:f>
        <x:v>0</x:v>
      </x:c>
      <x:c r="BV52" s="28" t="n">
        <x:f>SUM(IF(AND(BV$46&gt;'融资租赁与资金缺口'!$F$5,BV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V$46=EDATE('融资租赁与资金缺口'!$F$5,$A16),'融资租赁与资金缺口'!$J$5,0),0),IF(AND(BV$46&gt;'融资租赁与资金缺口'!$F$6,BV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V$46=EDATE('融资租赁与资金缺口'!$F$6,$A16),'融资租赁与资金缺口'!$J$6,0),0),IF(AND(BV$46&gt;'融资租赁与资金缺口'!$F$7,BV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V$46=EDATE('融资租赁与资金缺口'!$F$7,$A16),'融资租赁与资金缺口'!$J$7,0),0),IF(AND(BV$46&gt;'融资租赁与资金缺口'!$F$8,BV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V$46=EDATE('融资租赁与资金缺口'!$F$8,$A16),'融资租赁与资金缺口'!$J$8,0),0),IF(AND(BV$46&gt;'融资租赁与资金缺口'!$F$9,BV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V$46=EDATE('融资租赁与资金缺口'!$F$9,$A16),'融资租赁与资金缺口'!$J$9,0),0),IF(AND(BV$46&gt;'融资租赁与资金缺口'!$F$10,BV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V$46=EDATE('融资租赁与资金缺口'!$F$10,$A16),'融资租赁与资金缺口'!$J$10,0),0),IF(AND(BV$46&gt;'融资租赁与资金缺口'!$F$11,BV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V$46=EDATE('融资租赁与资金缺口'!$F$11,$A16),'融资租赁与资金缺口'!$J$11,0),0),IF(AND(BV$46&gt;'融资租赁与资金缺口'!$F$12,BV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V$46=EDATE('融资租赁与资金缺口'!$F$12,$A16),'融资租赁与资金缺口'!$J$12,0),0),IF(AND(BV$46&gt;'融资租赁与资金缺口'!$F$13,BV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V$46=EDATE('融资租赁与资金缺口'!$F$13,$A16),'融资租赁与资金缺口'!$J$13,0),0),IF(AND(BV$46&gt;'融资租赁与资金缺口'!$F$14,BV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V$46=EDATE('融资租赁与资金缺口'!$F$14,$A16),'融资租赁与资金缺口'!$J$14,0),0),IF(AND(BV$46&gt;'融资租赁与资金缺口'!$F$15,BV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V$46=EDATE('融资租赁与资金缺口'!$F$15,$A16),'融资租赁与资金缺口'!$J$15,0),0),IF(AND(BV$46&gt;'融资租赁与资金缺口'!$F$16,BV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V$46=EDATE('融资租赁与资金缺口'!$F$16,$A16),'融资租赁与资金缺口'!$J$16,0),0))</x:f>
        <x:v>0</x:v>
      </x:c>
      <x:c r="BW52" s="28" t="n">
        <x:f>SUM(IF(AND(BW$46&gt;'融资租赁与资金缺口'!$F$5,BW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W$46=EDATE('融资租赁与资金缺口'!$F$5,$A16),'融资租赁与资金缺口'!$J$5,0),0),IF(AND(BW$46&gt;'融资租赁与资金缺口'!$F$6,BW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W$46=EDATE('融资租赁与资金缺口'!$F$6,$A16),'融资租赁与资金缺口'!$J$6,0),0),IF(AND(BW$46&gt;'融资租赁与资金缺口'!$F$7,BW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W$46=EDATE('融资租赁与资金缺口'!$F$7,$A16),'融资租赁与资金缺口'!$J$7,0),0),IF(AND(BW$46&gt;'融资租赁与资金缺口'!$F$8,BW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W$46=EDATE('融资租赁与资金缺口'!$F$8,$A16),'融资租赁与资金缺口'!$J$8,0),0),IF(AND(BW$46&gt;'融资租赁与资金缺口'!$F$9,BW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W$46=EDATE('融资租赁与资金缺口'!$F$9,$A16),'融资租赁与资金缺口'!$J$9,0),0),IF(AND(BW$46&gt;'融资租赁与资金缺口'!$F$10,BW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W$46=EDATE('融资租赁与资金缺口'!$F$10,$A16),'融资租赁与资金缺口'!$J$10,0),0),IF(AND(BW$46&gt;'融资租赁与资金缺口'!$F$11,BW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W$46=EDATE('融资租赁与资金缺口'!$F$11,$A16),'融资租赁与资金缺口'!$J$11,0),0),IF(AND(BW$46&gt;'融资租赁与资金缺口'!$F$12,BW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W$46=EDATE('融资租赁与资金缺口'!$F$12,$A16),'融资租赁与资金缺口'!$J$12,0),0),IF(AND(BW$46&gt;'融资租赁与资金缺口'!$F$13,BW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W$46=EDATE('融资租赁与资金缺口'!$F$13,$A16),'融资租赁与资金缺口'!$J$13,0),0),IF(AND(BW$46&gt;'融资租赁与资金缺口'!$F$14,BW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W$46=EDATE('融资租赁与资金缺口'!$F$14,$A16),'融资租赁与资金缺口'!$J$14,0),0),IF(AND(BW$46&gt;'融资租赁与资金缺口'!$F$15,BW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W$46=EDATE('融资租赁与资金缺口'!$F$15,$A16),'融资租赁与资金缺口'!$J$15,0),0),IF(AND(BW$46&gt;'融资租赁与资金缺口'!$F$16,BW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W$46=EDATE('融资租赁与资金缺口'!$F$16,$A16),'融资租赁与资金缺口'!$J$16,0),0))</x:f>
        <x:v>0</x:v>
      </x:c>
      <x:c r="BX52" s="28" t="n">
        <x:f>SUM(IF(AND(BX$46&gt;'融资租赁与资金缺口'!$F$5,BX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X$46=EDATE('融资租赁与资金缺口'!$F$5,$A16),'融资租赁与资金缺口'!$J$5,0),0),IF(AND(BX$46&gt;'融资租赁与资金缺口'!$F$6,BX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X$46=EDATE('融资租赁与资金缺口'!$F$6,$A16),'融资租赁与资金缺口'!$J$6,0),0),IF(AND(BX$46&gt;'融资租赁与资金缺口'!$F$7,BX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X$46=EDATE('融资租赁与资金缺口'!$F$7,$A16),'融资租赁与资金缺口'!$J$7,0),0),IF(AND(BX$46&gt;'融资租赁与资金缺口'!$F$8,BX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X$46=EDATE('融资租赁与资金缺口'!$F$8,$A16),'融资租赁与资金缺口'!$J$8,0),0),IF(AND(BX$46&gt;'融资租赁与资金缺口'!$F$9,BX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X$46=EDATE('融资租赁与资金缺口'!$F$9,$A16),'融资租赁与资金缺口'!$J$9,0),0),IF(AND(BX$46&gt;'融资租赁与资金缺口'!$F$10,BX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X$46=EDATE('融资租赁与资金缺口'!$F$10,$A16),'融资租赁与资金缺口'!$J$10,0),0),IF(AND(BX$46&gt;'融资租赁与资金缺口'!$F$11,BX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X$46=EDATE('融资租赁与资金缺口'!$F$11,$A16),'融资租赁与资金缺口'!$J$11,0),0),IF(AND(BX$46&gt;'融资租赁与资金缺口'!$F$12,BX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X$46=EDATE('融资租赁与资金缺口'!$F$12,$A16),'融资租赁与资金缺口'!$J$12,0),0),IF(AND(BX$46&gt;'融资租赁与资金缺口'!$F$13,BX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X$46=EDATE('融资租赁与资金缺口'!$F$13,$A16),'融资租赁与资金缺口'!$J$13,0),0),IF(AND(BX$46&gt;'融资租赁与资金缺口'!$F$14,BX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X$46=EDATE('融资租赁与资金缺口'!$F$14,$A16),'融资租赁与资金缺口'!$J$14,0),0),IF(AND(BX$46&gt;'融资租赁与资金缺口'!$F$15,BX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X$46=EDATE('融资租赁与资金缺口'!$F$15,$A16),'融资租赁与资金缺口'!$J$15,0),0),IF(AND(BX$46&gt;'融资租赁与资金缺口'!$F$16,BX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X$46=EDATE('融资租赁与资金缺口'!$F$16,$A16),'融资租赁与资金缺口'!$J$16,0),0))</x:f>
        <x:v>0</x:v>
      </x:c>
      <x:c r="BY52" s="28" t="n">
        <x:f>SUM(IF(AND(BY$46&gt;'融资租赁与资金缺口'!$F$5,BY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Y$46=EDATE('融资租赁与资金缺口'!$F$5,$A16),'融资租赁与资金缺口'!$J$5,0),0),IF(AND(BY$46&gt;'融资租赁与资金缺口'!$F$6,BY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Y$46=EDATE('融资租赁与资金缺口'!$F$6,$A16),'融资租赁与资金缺口'!$J$6,0),0),IF(AND(BY$46&gt;'融资租赁与资金缺口'!$F$7,BY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Y$46=EDATE('融资租赁与资金缺口'!$F$7,$A16),'融资租赁与资金缺口'!$J$7,0),0),IF(AND(BY$46&gt;'融资租赁与资金缺口'!$F$8,BY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Y$46=EDATE('融资租赁与资金缺口'!$F$8,$A16),'融资租赁与资金缺口'!$J$8,0),0),IF(AND(BY$46&gt;'融资租赁与资金缺口'!$F$9,BY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Y$46=EDATE('融资租赁与资金缺口'!$F$9,$A16),'融资租赁与资金缺口'!$J$9,0),0),IF(AND(BY$46&gt;'融资租赁与资金缺口'!$F$10,BY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Y$46=EDATE('融资租赁与资金缺口'!$F$10,$A16),'融资租赁与资金缺口'!$J$10,0),0),IF(AND(BY$46&gt;'融资租赁与资金缺口'!$F$11,BY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Y$46=EDATE('融资租赁与资金缺口'!$F$11,$A16),'融资租赁与资金缺口'!$J$11,0),0),IF(AND(BY$46&gt;'融资租赁与资金缺口'!$F$12,BY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Y$46=EDATE('融资租赁与资金缺口'!$F$12,$A16),'融资租赁与资金缺口'!$J$12,0),0),IF(AND(BY$46&gt;'融资租赁与资金缺口'!$F$13,BY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Y$46=EDATE('融资租赁与资金缺口'!$F$13,$A16),'融资租赁与资金缺口'!$J$13,0),0),IF(AND(BY$46&gt;'融资租赁与资金缺口'!$F$14,BY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Y$46=EDATE('融资租赁与资金缺口'!$F$14,$A16),'融资租赁与资金缺口'!$J$14,0),0),IF(AND(BY$46&gt;'融资租赁与资金缺口'!$F$15,BY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Y$46=EDATE('融资租赁与资金缺口'!$F$15,$A16),'融资租赁与资金缺口'!$J$15,0),0),IF(AND(BY$46&gt;'融资租赁与资金缺口'!$F$16,BY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Y$46=EDATE('融资租赁与资金缺口'!$F$16,$A16),'融资租赁与资金缺口'!$J$16,0),0))</x:f>
        <x:v>0</x:v>
      </x:c>
      <x:c r="BZ52" s="28" t="n">
        <x:f>SUM(IF(AND(BZ$46&gt;'融资租赁与资金缺口'!$F$5,BZ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BZ$46=EDATE('融资租赁与资金缺口'!$F$5,$A16),'融资租赁与资金缺口'!$J$5,0),0),IF(AND(BZ$46&gt;'融资租赁与资金缺口'!$F$6,BZ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BZ$46=EDATE('融资租赁与资金缺口'!$F$6,$A16),'融资租赁与资金缺口'!$J$6,0),0),IF(AND(BZ$46&gt;'融资租赁与资金缺口'!$F$7,BZ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BZ$46=EDATE('融资租赁与资金缺口'!$F$7,$A16),'融资租赁与资金缺口'!$J$7,0),0),IF(AND(BZ$46&gt;'融资租赁与资金缺口'!$F$8,BZ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BZ$46=EDATE('融资租赁与资金缺口'!$F$8,$A16),'融资租赁与资金缺口'!$J$8,0),0),IF(AND(BZ$46&gt;'融资租赁与资金缺口'!$F$9,BZ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BZ$46=EDATE('融资租赁与资金缺口'!$F$9,$A16),'融资租赁与资金缺口'!$J$9,0),0),IF(AND(BZ$46&gt;'融资租赁与资金缺口'!$F$10,BZ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BZ$46=EDATE('融资租赁与资金缺口'!$F$10,$A16),'融资租赁与资金缺口'!$J$10,0),0),IF(AND(BZ$46&gt;'融资租赁与资金缺口'!$F$11,BZ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BZ$46=EDATE('融资租赁与资金缺口'!$F$11,$A16),'融资租赁与资金缺口'!$J$11,0),0),IF(AND(BZ$46&gt;'融资租赁与资金缺口'!$F$12,BZ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BZ$46=EDATE('融资租赁与资金缺口'!$F$12,$A16),'融资租赁与资金缺口'!$J$12,0),0),IF(AND(BZ$46&gt;'融资租赁与资金缺口'!$F$13,BZ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BZ$46=EDATE('融资租赁与资金缺口'!$F$13,$A16),'融资租赁与资金缺口'!$J$13,0),0),IF(AND(BZ$46&gt;'融资租赁与资金缺口'!$F$14,BZ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BZ$46=EDATE('融资租赁与资金缺口'!$F$14,$A16),'融资租赁与资金缺口'!$J$14,0),0),IF(AND(BZ$46&gt;'融资租赁与资金缺口'!$F$15,BZ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BZ$46=EDATE('融资租赁与资金缺口'!$F$15,$A16),'融资租赁与资金缺口'!$J$15,0),0),IF(AND(BZ$46&gt;'融资租赁与资金缺口'!$F$16,BZ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BZ$46=EDATE('融资租赁与资金缺口'!$F$16,$A16),'融资租赁与资金缺口'!$J$16,0),0))</x:f>
        <x:v>0</x:v>
      </x:c>
      <x:c r="CA52" s="28" t="n">
        <x:f>SUM(IF(AND(CA$46&gt;'融资租赁与资金缺口'!$F$5,CA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CA$46=EDATE('融资租赁与资金缺口'!$F$5,$A16),'融资租赁与资金缺口'!$J$5,0),0),IF(AND(CA$46&gt;'融资租赁与资金缺口'!$F$6,CA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CA$46=EDATE('融资租赁与资金缺口'!$F$6,$A16),'融资租赁与资金缺口'!$J$6,0),0),IF(AND(CA$46&gt;'融资租赁与资金缺口'!$F$7,CA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CA$46=EDATE('融资租赁与资金缺口'!$F$7,$A16),'融资租赁与资金缺口'!$J$7,0),0),IF(AND(CA$46&gt;'融资租赁与资金缺口'!$F$8,CA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CA$46=EDATE('融资租赁与资金缺口'!$F$8,$A16),'融资租赁与资金缺口'!$J$8,0),0),IF(AND(CA$46&gt;'融资租赁与资金缺口'!$F$9,CA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CA$46=EDATE('融资租赁与资金缺口'!$F$9,$A16),'融资租赁与资金缺口'!$J$9,0),0),IF(AND(CA$46&gt;'融资租赁与资金缺口'!$F$10,CA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CA$46=EDATE('融资租赁与资金缺口'!$F$10,$A16),'融资租赁与资金缺口'!$J$10,0),0),IF(AND(CA$46&gt;'融资租赁与资金缺口'!$F$11,CA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CA$46=EDATE('融资租赁与资金缺口'!$F$11,$A16),'融资租赁与资金缺口'!$J$11,0),0),IF(AND(CA$46&gt;'融资租赁与资金缺口'!$F$12,CA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CA$46=EDATE('融资租赁与资金缺口'!$F$12,$A16),'融资租赁与资金缺口'!$J$12,0),0),IF(AND(CA$46&gt;'融资租赁与资金缺口'!$F$13,CA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CA$46=EDATE('融资租赁与资金缺口'!$F$13,$A16),'融资租赁与资金缺口'!$J$13,0),0),IF(AND(CA$46&gt;'融资租赁与资金缺口'!$F$14,CA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CA$46=EDATE('融资租赁与资金缺口'!$F$14,$A16),'融资租赁与资金缺口'!$J$14,0),0),IF(AND(CA$46&gt;'融资租赁与资金缺口'!$F$15,CA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CA$46=EDATE('融资租赁与资金缺口'!$F$15,$A16),'融资租赁与资金缺口'!$J$15,0),0),IF(AND(CA$46&gt;'融资租赁与资金缺口'!$F$16,CA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CA$46=EDATE('融资租赁与资金缺口'!$F$16,$A16),'融资租赁与资金缺口'!$J$16,0),0))</x:f>
        <x:v>0</x:v>
      </x:c>
      <x:c r="CB52" s="28" t="n">
        <x:f>SUM(IF(AND(CB$46&gt;'融资租赁与资金缺口'!$F$5,CB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CB$46=EDATE('融资租赁与资金缺口'!$F$5,$A16),'融资租赁与资金缺口'!$J$5,0),0),IF(AND(CB$46&gt;'融资租赁与资金缺口'!$F$6,CB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CB$46=EDATE('融资租赁与资金缺口'!$F$6,$A16),'融资租赁与资金缺口'!$J$6,0),0),IF(AND(CB$46&gt;'融资租赁与资金缺口'!$F$7,CB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CB$46=EDATE('融资租赁与资金缺口'!$F$7,$A16),'融资租赁与资金缺口'!$J$7,0),0),IF(AND(CB$46&gt;'融资租赁与资金缺口'!$F$8,CB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CB$46=EDATE('融资租赁与资金缺口'!$F$8,$A16),'融资租赁与资金缺口'!$J$8,0),0),IF(AND(CB$46&gt;'融资租赁与资金缺口'!$F$9,CB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CB$46=EDATE('融资租赁与资金缺口'!$F$9,$A16),'融资租赁与资金缺口'!$J$9,0),0),IF(AND(CB$46&gt;'融资租赁与资金缺口'!$F$10,CB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CB$46=EDATE('融资租赁与资金缺口'!$F$10,$A16),'融资租赁与资金缺口'!$J$10,0),0),IF(AND(CB$46&gt;'融资租赁与资金缺口'!$F$11,CB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CB$46=EDATE('融资租赁与资金缺口'!$F$11,$A16),'融资租赁与资金缺口'!$J$11,0),0),IF(AND(CB$46&gt;'融资租赁与资金缺口'!$F$12,CB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CB$46=EDATE('融资租赁与资金缺口'!$F$12,$A16),'融资租赁与资金缺口'!$J$12,0),0),IF(AND(CB$46&gt;'融资租赁与资金缺口'!$F$13,CB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CB$46=EDATE('融资租赁与资金缺口'!$F$13,$A16),'融资租赁与资金缺口'!$J$13,0),0),IF(AND(CB$46&gt;'融资租赁与资金缺口'!$F$14,CB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CB$46=EDATE('融资租赁与资金缺口'!$F$14,$A16),'融资租赁与资金缺口'!$J$14,0),0),IF(AND(CB$46&gt;'融资租赁与资金缺口'!$F$15,CB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CB$46=EDATE('融资租赁与资金缺口'!$F$15,$A16),'融资租赁与资金缺口'!$J$15,0),0),IF(AND(CB$46&gt;'融资租赁与资金缺口'!$F$16,CB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CB$46=EDATE('融资租赁与资金缺口'!$F$16,$A16),'融资租赁与资金缺口'!$J$16,0),0))</x:f>
        <x:v>0</x:v>
      </x:c>
      <x:c r="CC52" s="28" t="n">
        <x:f>SUM(IF(AND(CC$46&gt;'融资租赁与资金缺口'!$F$5,CC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CC$46=EDATE('融资租赁与资金缺口'!$F$5,$A16),'融资租赁与资金缺口'!$J$5,0),0),IF(AND(CC$46&gt;'融资租赁与资金缺口'!$F$6,CC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CC$46=EDATE('融资租赁与资金缺口'!$F$6,$A16),'融资租赁与资金缺口'!$J$6,0),0),IF(AND(CC$46&gt;'融资租赁与资金缺口'!$F$7,CC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CC$46=EDATE('融资租赁与资金缺口'!$F$7,$A16),'融资租赁与资金缺口'!$J$7,0),0),IF(AND(CC$46&gt;'融资租赁与资金缺口'!$F$8,CC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CC$46=EDATE('融资租赁与资金缺口'!$F$8,$A16),'融资租赁与资金缺口'!$J$8,0),0),IF(AND(CC$46&gt;'融资租赁与资金缺口'!$F$9,CC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CC$46=EDATE('融资租赁与资金缺口'!$F$9,$A16),'融资租赁与资金缺口'!$J$9,0),0),IF(AND(CC$46&gt;'融资租赁与资金缺口'!$F$10,CC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CC$46=EDATE('融资租赁与资金缺口'!$F$10,$A16),'融资租赁与资金缺口'!$J$10,0),0),IF(AND(CC$46&gt;'融资租赁与资金缺口'!$F$11,CC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CC$46=EDATE('融资租赁与资金缺口'!$F$11,$A16),'融资租赁与资金缺口'!$J$11,0),0),IF(AND(CC$46&gt;'融资租赁与资金缺口'!$F$12,CC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CC$46=EDATE('融资租赁与资金缺口'!$F$12,$A16),'融资租赁与资金缺口'!$J$12,0),0),IF(AND(CC$46&gt;'融资租赁与资金缺口'!$F$13,CC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CC$46=EDATE('融资租赁与资金缺口'!$F$13,$A16),'融资租赁与资金缺口'!$J$13,0),0),IF(AND(CC$46&gt;'融资租赁与资金缺口'!$F$14,CC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CC$46=EDATE('融资租赁与资金缺口'!$F$14,$A16),'融资租赁与资金缺口'!$J$14,0),0),IF(AND(CC$46&gt;'融资租赁与资金缺口'!$F$15,CC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CC$46=EDATE('融资租赁与资金缺口'!$F$15,$A16),'融资租赁与资金缺口'!$J$15,0),0),IF(AND(CC$46&gt;'融资租赁与资金缺口'!$F$16,CC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CC$46=EDATE('融资租赁与资金缺口'!$F$16,$A16),'融资租赁与资金缺口'!$J$16,0),0))</x:f>
        <x:v>0</x:v>
      </x:c>
      <x:c r="CD52" s="28" t="n">
        <x:f>SUM(IF(AND(CD$46&gt;'融资租赁与资金缺口'!$F$5,CD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CD$46=EDATE('融资租赁与资金缺口'!$F$5,$A16),'融资租赁与资金缺口'!$J$5,0),0),IF(AND(CD$46&gt;'融资租赁与资金缺口'!$F$6,CD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CD$46=EDATE('融资租赁与资金缺口'!$F$6,$A16),'融资租赁与资金缺口'!$J$6,0),0),IF(AND(CD$46&gt;'融资租赁与资金缺口'!$F$7,CD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CD$46=EDATE('融资租赁与资金缺口'!$F$7,$A16),'融资租赁与资金缺口'!$J$7,0),0),IF(AND(CD$46&gt;'融资租赁与资金缺口'!$F$8,CD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CD$46=EDATE('融资租赁与资金缺口'!$F$8,$A16),'融资租赁与资金缺口'!$J$8,0),0),IF(AND(CD$46&gt;'融资租赁与资金缺口'!$F$9,CD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CD$46=EDATE('融资租赁与资金缺口'!$F$9,$A16),'融资租赁与资金缺口'!$J$9,0),0),IF(AND(CD$46&gt;'融资租赁与资金缺口'!$F$10,CD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CD$46=EDATE('融资租赁与资金缺口'!$F$10,$A16),'融资租赁与资金缺口'!$J$10,0),0),IF(AND(CD$46&gt;'融资租赁与资金缺口'!$F$11,CD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CD$46=EDATE('融资租赁与资金缺口'!$F$11,$A16),'融资租赁与资金缺口'!$J$11,0),0),IF(AND(CD$46&gt;'融资租赁与资金缺口'!$F$12,CD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CD$46=EDATE('融资租赁与资金缺口'!$F$12,$A16),'融资租赁与资金缺口'!$J$12,0),0),IF(AND(CD$46&gt;'融资租赁与资金缺口'!$F$13,CD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CD$46=EDATE('融资租赁与资金缺口'!$F$13,$A16),'融资租赁与资金缺口'!$J$13,0),0),IF(AND(CD$46&gt;'融资租赁与资金缺口'!$F$14,CD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CD$46=EDATE('融资租赁与资金缺口'!$F$14,$A16),'融资租赁与资金缺口'!$J$14,0),0),IF(AND(CD$46&gt;'融资租赁与资金缺口'!$F$15,CD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CD$46=EDATE('融资租赁与资金缺口'!$F$15,$A16),'融资租赁与资金缺口'!$J$15,0),0),IF(AND(CD$46&gt;'融资租赁与资金缺口'!$F$16,CD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CD$46=EDATE('融资租赁与资金缺口'!$F$16,$A16),'融资租赁与资金缺口'!$J$16,0),0))</x:f>
        <x:v>0</x:v>
      </x:c>
      <x:c r="CE52" s="28" t="n">
        <x:f>SUM(IF(AND(CE$46&gt;'融资租赁与资金缺口'!$F$5,CE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CE$46=EDATE('融资租赁与资金缺口'!$F$5,$A16),'融资租赁与资金缺口'!$J$5,0),0),IF(AND(CE$46&gt;'融资租赁与资金缺口'!$F$6,CE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CE$46=EDATE('融资租赁与资金缺口'!$F$6,$A16),'融资租赁与资金缺口'!$J$6,0),0),IF(AND(CE$46&gt;'融资租赁与资金缺口'!$F$7,CE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CE$46=EDATE('融资租赁与资金缺口'!$F$7,$A16),'融资租赁与资金缺口'!$J$7,0),0),IF(AND(CE$46&gt;'融资租赁与资金缺口'!$F$8,CE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CE$46=EDATE('融资租赁与资金缺口'!$F$8,$A16),'融资租赁与资金缺口'!$J$8,0),0),IF(AND(CE$46&gt;'融资租赁与资金缺口'!$F$9,CE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CE$46=EDATE('融资租赁与资金缺口'!$F$9,$A16),'融资租赁与资金缺口'!$J$9,0),0),IF(AND(CE$46&gt;'融资租赁与资金缺口'!$F$10,CE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CE$46=EDATE('融资租赁与资金缺口'!$F$10,$A16),'融资租赁与资金缺口'!$J$10,0),0),IF(AND(CE$46&gt;'融资租赁与资金缺口'!$F$11,CE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CE$46=EDATE('融资租赁与资金缺口'!$F$11,$A16),'融资租赁与资金缺口'!$J$11,0),0),IF(AND(CE$46&gt;'融资租赁与资金缺口'!$F$12,CE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CE$46=EDATE('融资租赁与资金缺口'!$F$12,$A16),'融资租赁与资金缺口'!$J$12,0),0),IF(AND(CE$46&gt;'融资租赁与资金缺口'!$F$13,CE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CE$46=EDATE('融资租赁与资金缺口'!$F$13,$A16),'融资租赁与资金缺口'!$J$13,0),0),IF(AND(CE$46&gt;'融资租赁与资金缺口'!$F$14,CE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CE$46=EDATE('融资租赁与资金缺口'!$F$14,$A16),'融资租赁与资金缺口'!$J$14,0),0),IF(AND(CE$46&gt;'融资租赁与资金缺口'!$F$15,CE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CE$46=EDATE('融资租赁与资金缺口'!$F$15,$A16),'融资租赁与资金缺口'!$J$15,0),0),IF(AND(CE$46&gt;'融资租赁与资金缺口'!$F$16,CE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CE$46=EDATE('融资租赁与资金缺口'!$F$16,$A16),'融资租赁与资金缺口'!$J$16,0),0))</x:f>
        <x:v>0</x:v>
      </x:c>
      <x:c r="CF52" s="28" t="n">
        <x:f>SUM(IF(AND(CF$46&gt;'融资租赁与资金缺口'!$F$5,CF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CF$46=EDATE('融资租赁与资金缺口'!$F$5,$A16),'融资租赁与资金缺口'!$J$5,0),0),IF(AND(CF$46&gt;'融资租赁与资金缺口'!$F$6,CF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CF$46=EDATE('融资租赁与资金缺口'!$F$6,$A16),'融资租赁与资金缺口'!$J$6,0),0),IF(AND(CF$46&gt;'融资租赁与资金缺口'!$F$7,CF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CF$46=EDATE('融资租赁与资金缺口'!$F$7,$A16),'融资租赁与资金缺口'!$J$7,0),0),IF(AND(CF$46&gt;'融资租赁与资金缺口'!$F$8,CF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CF$46=EDATE('融资租赁与资金缺口'!$F$8,$A16),'融资租赁与资金缺口'!$J$8,0),0),IF(AND(CF$46&gt;'融资租赁与资金缺口'!$F$9,CF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CF$46=EDATE('融资租赁与资金缺口'!$F$9,$A16),'融资租赁与资金缺口'!$J$9,0),0),IF(AND(CF$46&gt;'融资租赁与资金缺口'!$F$10,CF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CF$46=EDATE('融资租赁与资金缺口'!$F$10,$A16),'融资租赁与资金缺口'!$J$10,0),0),IF(AND(CF$46&gt;'融资租赁与资金缺口'!$F$11,CF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CF$46=EDATE('融资租赁与资金缺口'!$F$11,$A16),'融资租赁与资金缺口'!$J$11,0),0),IF(AND(CF$46&gt;'融资租赁与资金缺口'!$F$12,CF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CF$46=EDATE('融资租赁与资金缺口'!$F$12,$A16),'融资租赁与资金缺口'!$J$12,0),0),IF(AND(CF$46&gt;'融资租赁与资金缺口'!$F$13,CF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CF$46=EDATE('融资租赁与资金缺口'!$F$13,$A16),'融资租赁与资金缺口'!$J$13,0),0),IF(AND(CF$46&gt;'融资租赁与资金缺口'!$F$14,CF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CF$46=EDATE('融资租赁与资金缺口'!$F$14,$A16),'融资租赁与资金缺口'!$J$14,0),0),IF(AND(CF$46&gt;'融资租赁与资金缺口'!$F$15,CF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CF$46=EDATE('融资租赁与资金缺口'!$F$15,$A16),'融资租赁与资金缺口'!$J$15,0),0),IF(AND(CF$46&gt;'融资租赁与资金缺口'!$F$16,CF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CF$46=EDATE('融资租赁与资金缺口'!$F$16,$A16),'融资租赁与资金缺口'!$J$16,0),0))</x:f>
        <x:v>0</x:v>
      </x:c>
      <x:c r="CG52" s="28" t="n">
        <x:f>SUM(IF(AND(CG$46&gt;'融资租赁与资金缺口'!$F$5,CG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CG$46=EDATE('融资租赁与资金缺口'!$F$5,$A16),'融资租赁与资金缺口'!$J$5,0),0),IF(AND(CG$46&gt;'融资租赁与资金缺口'!$F$6,CG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CG$46=EDATE('融资租赁与资金缺口'!$F$6,$A16),'融资租赁与资金缺口'!$J$6,0),0),IF(AND(CG$46&gt;'融资租赁与资金缺口'!$F$7,CG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CG$46=EDATE('融资租赁与资金缺口'!$F$7,$A16),'融资租赁与资金缺口'!$J$7,0),0),IF(AND(CG$46&gt;'融资租赁与资金缺口'!$F$8,CG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CG$46=EDATE('融资租赁与资金缺口'!$F$8,$A16),'融资租赁与资金缺口'!$J$8,0),0),IF(AND(CG$46&gt;'融资租赁与资金缺口'!$F$9,CG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CG$46=EDATE('融资租赁与资金缺口'!$F$9,$A16),'融资租赁与资金缺口'!$J$9,0),0),IF(AND(CG$46&gt;'融资租赁与资金缺口'!$F$10,CG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CG$46=EDATE('融资租赁与资金缺口'!$F$10,$A16),'融资租赁与资金缺口'!$J$10,0),0),IF(AND(CG$46&gt;'融资租赁与资金缺口'!$F$11,CG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CG$46=EDATE('融资租赁与资金缺口'!$F$11,$A16),'融资租赁与资金缺口'!$J$11,0),0),IF(AND(CG$46&gt;'融资租赁与资金缺口'!$F$12,CG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CG$46=EDATE('融资租赁与资金缺口'!$F$12,$A16),'融资租赁与资金缺口'!$J$12,0),0),IF(AND(CG$46&gt;'融资租赁与资金缺口'!$F$13,CG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CG$46=EDATE('融资租赁与资金缺口'!$F$13,$A16),'融资租赁与资金缺口'!$J$13,0),0),IF(AND(CG$46&gt;'融资租赁与资金缺口'!$F$14,CG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CG$46=EDATE('融资租赁与资金缺口'!$F$14,$A16),'融资租赁与资金缺口'!$J$14,0),0),IF(AND(CG$46&gt;'融资租赁与资金缺口'!$F$15,CG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CG$46=EDATE('融资租赁与资金缺口'!$F$15,$A16),'融资租赁与资金缺口'!$J$15,0),0),IF(AND(CG$46&gt;'融资租赁与资金缺口'!$F$16,CG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CG$46=EDATE('融资租赁与资金缺口'!$F$16,$A16),'融资租赁与资金缺口'!$J$16,0),0))</x:f>
        <x:v>0</x:v>
      </x:c>
      <x:c r="CH52" s="28" t="n">
        <x:f>SUM(IF(AND(CH$46&gt;'融资租赁与资金缺口'!$F$5,CH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CH$46=EDATE('融资租赁与资金缺口'!$F$5,$A16),'融资租赁与资金缺口'!$J$5,0),0),IF(AND(CH$46&gt;'融资租赁与资金缺口'!$F$6,CH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CH$46=EDATE('融资租赁与资金缺口'!$F$6,$A16),'融资租赁与资金缺口'!$J$6,0),0),IF(AND(CH$46&gt;'融资租赁与资金缺口'!$F$7,CH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CH$46=EDATE('融资租赁与资金缺口'!$F$7,$A16),'融资租赁与资金缺口'!$J$7,0),0),IF(AND(CH$46&gt;'融资租赁与资金缺口'!$F$8,CH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CH$46=EDATE('融资租赁与资金缺口'!$F$8,$A16),'融资租赁与资金缺口'!$J$8,0),0),IF(AND(CH$46&gt;'融资租赁与资金缺口'!$F$9,CH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CH$46=EDATE('融资租赁与资金缺口'!$F$9,$A16),'融资租赁与资金缺口'!$J$9,0),0),IF(AND(CH$46&gt;'融资租赁与资金缺口'!$F$10,CH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CH$46=EDATE('融资租赁与资金缺口'!$F$10,$A16),'融资租赁与资金缺口'!$J$10,0),0),IF(AND(CH$46&gt;'融资租赁与资金缺口'!$F$11,CH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CH$46=EDATE('融资租赁与资金缺口'!$F$11,$A16),'融资租赁与资金缺口'!$J$11,0),0),IF(AND(CH$46&gt;'融资租赁与资金缺口'!$F$12,CH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CH$46=EDATE('融资租赁与资金缺口'!$F$12,$A16),'融资租赁与资金缺口'!$J$12,0),0),IF(AND(CH$46&gt;'融资租赁与资金缺口'!$F$13,CH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CH$46=EDATE('融资租赁与资金缺口'!$F$13,$A16),'融资租赁与资金缺口'!$J$13,0),0),IF(AND(CH$46&gt;'融资租赁与资金缺口'!$F$14,CH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CH$46=EDATE('融资租赁与资金缺口'!$F$14,$A16),'融资租赁与资金缺口'!$J$14,0),0),IF(AND(CH$46&gt;'融资租赁与资金缺口'!$F$15,CH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CH$46=EDATE('融资租赁与资金缺口'!$F$15,$A16),'融资租赁与资金缺口'!$J$15,0),0),IF(AND(CH$46&gt;'融资租赁与资金缺口'!$F$16,CH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CH$46=EDATE('融资租赁与资金缺口'!$F$16,$A16),'融资租赁与资金缺口'!$J$16,0),0))</x:f>
        <x:v>0</x:v>
      </x:c>
      <x:c r="CI52" s="28" t="n">
        <x:f>SUM(IF(AND(CI$46&gt;'融资租赁与资金缺口'!$F$5,CI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CI$46=EDATE('融资租赁与资金缺口'!$F$5,$A16),'融资租赁与资金缺口'!$J$5,0),0),IF(AND(CI$46&gt;'融资租赁与资金缺口'!$F$6,CI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CI$46=EDATE('融资租赁与资金缺口'!$F$6,$A16),'融资租赁与资金缺口'!$J$6,0),0),IF(AND(CI$46&gt;'融资租赁与资金缺口'!$F$7,CI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CI$46=EDATE('融资租赁与资金缺口'!$F$7,$A16),'融资租赁与资金缺口'!$J$7,0),0),IF(AND(CI$46&gt;'融资租赁与资金缺口'!$F$8,CI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CI$46=EDATE('融资租赁与资金缺口'!$F$8,$A16),'融资租赁与资金缺口'!$J$8,0),0),IF(AND(CI$46&gt;'融资租赁与资金缺口'!$F$9,CI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CI$46=EDATE('融资租赁与资金缺口'!$F$9,$A16),'融资租赁与资金缺口'!$J$9,0),0),IF(AND(CI$46&gt;'融资租赁与资金缺口'!$F$10,CI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CI$46=EDATE('融资租赁与资金缺口'!$F$10,$A16),'融资租赁与资金缺口'!$J$10,0),0),IF(AND(CI$46&gt;'融资租赁与资金缺口'!$F$11,CI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CI$46=EDATE('融资租赁与资金缺口'!$F$11,$A16),'融资租赁与资金缺口'!$J$11,0),0),IF(AND(CI$46&gt;'融资租赁与资金缺口'!$F$12,CI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CI$46=EDATE('融资租赁与资金缺口'!$F$12,$A16),'融资租赁与资金缺口'!$J$12,0),0),IF(AND(CI$46&gt;'融资租赁与资金缺口'!$F$13,CI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CI$46=EDATE('融资租赁与资金缺口'!$F$13,$A16),'融资租赁与资金缺口'!$J$13,0),0),IF(AND(CI$46&gt;'融资租赁与资金缺口'!$F$14,CI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CI$46=EDATE('融资租赁与资金缺口'!$F$14,$A16),'融资租赁与资金缺口'!$J$14,0),0),IF(AND(CI$46&gt;'融资租赁与资金缺口'!$F$15,CI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CI$46=EDATE('融资租赁与资金缺口'!$F$15,$A16),'融资租赁与资金缺口'!$J$15,0),0),IF(AND(CI$46&gt;'融资租赁与资金缺口'!$F$16,CI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CI$46=EDATE('融资租赁与资金缺口'!$F$16,$A16),'融资租赁与资金缺口'!$J$16,0),0))</x:f>
        <x:v>0</x:v>
      </x:c>
      <x:c r="CJ52" s="28" t="n">
        <x:f>SUM(IF(AND(CJ$46&gt;'融资租赁与资金缺口'!$F$5,CJ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CJ$46=EDATE('融资租赁与资金缺口'!$F$5,$A16),'融资租赁与资金缺口'!$J$5,0),0),IF(AND(CJ$46&gt;'融资租赁与资金缺口'!$F$6,CJ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CJ$46=EDATE('融资租赁与资金缺口'!$F$6,$A16),'融资租赁与资金缺口'!$J$6,0),0),IF(AND(CJ$46&gt;'融资租赁与资金缺口'!$F$7,CJ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CJ$46=EDATE('融资租赁与资金缺口'!$F$7,$A16),'融资租赁与资金缺口'!$J$7,0),0),IF(AND(CJ$46&gt;'融资租赁与资金缺口'!$F$8,CJ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CJ$46=EDATE('融资租赁与资金缺口'!$F$8,$A16),'融资租赁与资金缺口'!$J$8,0),0),IF(AND(CJ$46&gt;'融资租赁与资金缺口'!$F$9,CJ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CJ$46=EDATE('融资租赁与资金缺口'!$F$9,$A16),'融资租赁与资金缺口'!$J$9,0),0),IF(AND(CJ$46&gt;'融资租赁与资金缺口'!$F$10,CJ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CJ$46=EDATE('融资租赁与资金缺口'!$F$10,$A16),'融资租赁与资金缺口'!$J$10,0),0),IF(AND(CJ$46&gt;'融资租赁与资金缺口'!$F$11,CJ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CJ$46=EDATE('融资租赁与资金缺口'!$F$11,$A16),'融资租赁与资金缺口'!$J$11,0),0),IF(AND(CJ$46&gt;'融资租赁与资金缺口'!$F$12,CJ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CJ$46=EDATE('融资租赁与资金缺口'!$F$12,$A16),'融资租赁与资金缺口'!$J$12,0),0),IF(AND(CJ$46&gt;'融资租赁与资金缺口'!$F$13,CJ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CJ$46=EDATE('融资租赁与资金缺口'!$F$13,$A16),'融资租赁与资金缺口'!$J$13,0),0),IF(AND(CJ$46&gt;'融资租赁与资金缺口'!$F$14,CJ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CJ$46=EDATE('融资租赁与资金缺口'!$F$14,$A16),'融资租赁与资金缺口'!$J$14,0),0),IF(AND(CJ$46&gt;'融资租赁与资金缺口'!$F$15,CJ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CJ$46=EDATE('融资租赁与资金缺口'!$F$15,$A16),'融资租赁与资金缺口'!$J$15,0),0),IF(AND(CJ$46&gt;'融资租赁与资金缺口'!$F$16,CJ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CJ$46=EDATE('融资租赁与资金缺口'!$F$16,$A16),'融资租赁与资金缺口'!$J$16,0),0))</x:f>
        <x:v>0</x:v>
      </x:c>
      <x:c r="CK52" s="28" t="n">
        <x:f>SUM(IF(AND(CK$46&gt;'融资租赁与资金缺口'!$F$5,CK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CK$46=EDATE('融资租赁与资金缺口'!$F$5,$A16),'融资租赁与资金缺口'!$J$5,0),0),IF(AND(CK$46&gt;'融资租赁与资金缺口'!$F$6,CK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CK$46=EDATE('融资租赁与资金缺口'!$F$6,$A16),'融资租赁与资金缺口'!$J$6,0),0),IF(AND(CK$46&gt;'融资租赁与资金缺口'!$F$7,CK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CK$46=EDATE('融资租赁与资金缺口'!$F$7,$A16),'融资租赁与资金缺口'!$J$7,0),0),IF(AND(CK$46&gt;'融资租赁与资金缺口'!$F$8,CK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CK$46=EDATE('融资租赁与资金缺口'!$F$8,$A16),'融资租赁与资金缺口'!$J$8,0),0),IF(AND(CK$46&gt;'融资租赁与资金缺口'!$F$9,CK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CK$46=EDATE('融资租赁与资金缺口'!$F$9,$A16),'融资租赁与资金缺口'!$J$9,0),0),IF(AND(CK$46&gt;'融资租赁与资金缺口'!$F$10,CK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CK$46=EDATE('融资租赁与资金缺口'!$F$10,$A16),'融资租赁与资金缺口'!$J$10,0),0),IF(AND(CK$46&gt;'融资租赁与资金缺口'!$F$11,CK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CK$46=EDATE('融资租赁与资金缺口'!$F$11,$A16),'融资租赁与资金缺口'!$J$11,0),0),IF(AND(CK$46&gt;'融资租赁与资金缺口'!$F$12,CK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CK$46=EDATE('融资租赁与资金缺口'!$F$12,$A16),'融资租赁与资金缺口'!$J$12,0),0),IF(AND(CK$46&gt;'融资租赁与资金缺口'!$F$13,CK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CK$46=EDATE('融资租赁与资金缺口'!$F$13,$A16),'融资租赁与资金缺口'!$J$13,0),0),IF(AND(CK$46&gt;'融资租赁与资金缺口'!$F$14,CK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CK$46=EDATE('融资租赁与资金缺口'!$F$14,$A16),'融资租赁与资金缺口'!$J$14,0),0),IF(AND(CK$46&gt;'融资租赁与资金缺口'!$F$15,CK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CK$46=EDATE('融资租赁与资金缺口'!$F$15,$A16),'融资租赁与资金缺口'!$J$15,0),0),IF(AND(CK$46&gt;'融资租赁与资金缺口'!$F$16,CK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CK$46=EDATE('融资租赁与资金缺口'!$F$16,$A16),'融资租赁与资金缺口'!$J$16,0),0))</x:f>
        <x:v>0</x:v>
      </x:c>
      <x:c r="CL52" s="28" t="n">
        <x:f>SUM(IF(AND(CL$46&gt;'融资租赁与资金缺口'!$F$5,CL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CL$46=EDATE('融资租赁与资金缺口'!$F$5,$A16),'融资租赁与资金缺口'!$J$5,0),0),IF(AND(CL$46&gt;'融资租赁与资金缺口'!$F$6,CL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CL$46=EDATE('融资租赁与资金缺口'!$F$6,$A16),'融资租赁与资金缺口'!$J$6,0),0),IF(AND(CL$46&gt;'融资租赁与资金缺口'!$F$7,CL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CL$46=EDATE('融资租赁与资金缺口'!$F$7,$A16),'融资租赁与资金缺口'!$J$7,0),0),IF(AND(CL$46&gt;'融资租赁与资金缺口'!$F$8,CL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CL$46=EDATE('融资租赁与资金缺口'!$F$8,$A16),'融资租赁与资金缺口'!$J$8,0),0),IF(AND(CL$46&gt;'融资租赁与资金缺口'!$F$9,CL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CL$46=EDATE('融资租赁与资金缺口'!$F$9,$A16),'融资租赁与资金缺口'!$J$9,0),0),IF(AND(CL$46&gt;'融资租赁与资金缺口'!$F$10,CL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CL$46=EDATE('融资租赁与资金缺口'!$F$10,$A16),'融资租赁与资金缺口'!$J$10,0),0),IF(AND(CL$46&gt;'融资租赁与资金缺口'!$F$11,CL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CL$46=EDATE('融资租赁与资金缺口'!$F$11,$A16),'融资租赁与资金缺口'!$J$11,0),0),IF(AND(CL$46&gt;'融资租赁与资金缺口'!$F$12,CL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CL$46=EDATE('融资租赁与资金缺口'!$F$12,$A16),'融资租赁与资金缺口'!$J$12,0),0),IF(AND(CL$46&gt;'融资租赁与资金缺口'!$F$13,CL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CL$46=EDATE('融资租赁与资金缺口'!$F$13,$A16),'融资租赁与资金缺口'!$J$13,0),0),IF(AND(CL$46&gt;'融资租赁与资金缺口'!$F$14,CL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CL$46=EDATE('融资租赁与资金缺口'!$F$14,$A16),'融资租赁与资金缺口'!$J$14,0),0),IF(AND(CL$46&gt;'融资租赁与资金缺口'!$F$15,CL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CL$46=EDATE('融资租赁与资金缺口'!$F$15,$A16),'融资租赁与资金缺口'!$J$15,0),0),IF(AND(CL$46&gt;'融资租赁与资金缺口'!$F$16,CL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CL$46=EDATE('融资租赁与资金缺口'!$F$16,$A16),'融资租赁与资金缺口'!$J$16,0),0))</x:f>
        <x:v>0</x:v>
      </x:c>
      <x:c r="CM52" s="28" t="n">
        <x:f>SUM(IF(AND(CM$46&gt;'融资租赁与资金缺口'!$F$5,CM$46&lt;=EDATE('融资租赁与资金缺口'!$F$5,$A16)),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+IF(CM$46=EDATE('融资租赁与资金缺口'!$F$5,$A16),'融资租赁与资金缺口'!$J$5,0),0),IF(AND(CM$46&gt;'融资租赁与资金缺口'!$F$6,CM$46&lt;=EDATE('融资租赁与资金缺口'!$F$6,$A16)),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+IF(CM$46=EDATE('融资租赁与资金缺口'!$F$6,$A16),'融资租赁与资金缺口'!$J$6,0),0),IF(AND(CM$46&gt;'融资租赁与资金缺口'!$F$7,CM$46&lt;=EDATE('融资租赁与资金缺口'!$F$7,$A16)),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+IF(CM$46=EDATE('融资租赁与资金缺口'!$F$7,$A16),'融资租赁与资金缺口'!$J$7,0),0),IF(AND(CM$46&gt;'融资租赁与资金缺口'!$F$8,CM$46&lt;=EDATE('融资租赁与资金缺口'!$F$8,$A16)),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+IF(CM$46=EDATE('融资租赁与资金缺口'!$F$8,$A16),'融资租赁与资金缺口'!$J$8,0),0),IF(AND(CM$46&gt;'融资租赁与资金缺口'!$F$9,CM$46&lt;=EDATE('融资租赁与资金缺口'!$F$9,$A16)),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+IF(CM$46=EDATE('融资租赁与资金缺口'!$F$9,$A16),'融资租赁与资金缺口'!$J$9,0),0),IF(AND(CM$46&gt;'融资租赁与资金缺口'!$F$10,CM$46&lt;=EDATE('融资租赁与资金缺口'!$F$10,$A16)),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+IF(CM$46=EDATE('融资租赁与资金缺口'!$F$10,$A16),'融资租赁与资金缺口'!$J$10,0),0),IF(AND(CM$46&gt;'融资租赁与资金缺口'!$F$11,CM$46&lt;=EDATE('融资租赁与资金缺口'!$F$11,$A16)),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+IF(CM$46=EDATE('融资租赁与资金缺口'!$F$11,$A16),'融资租赁与资金缺口'!$J$11,0),0),IF(AND(CM$46&gt;'融资租赁与资金缺口'!$F$12,CM$46&lt;=EDATE('融资租赁与资金缺口'!$F$12,$A16)),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+IF(CM$46=EDATE('融资租赁与资金缺口'!$F$12,$A16),'融资租赁与资金缺口'!$J$12,0),0),IF(AND(CM$46&gt;'融资租赁与资金缺口'!$F$13,CM$46&lt;=EDATE('融资租赁与资金缺口'!$F$13,$A16)),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+IF(CM$46=EDATE('融资租赁与资金缺口'!$F$13,$A16),'融资租赁与资金缺口'!$J$13,0),0),IF(AND(CM$46&gt;'融资租赁与资金缺口'!$F$14,CM$46&lt;=EDATE('融资租赁与资金缺口'!$F$14,$A16)),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+IF(CM$46=EDATE('融资租赁与资金缺口'!$F$14,$A16),'融资租赁与资金缺口'!$J$14,0),0),IF(AND(CM$46&gt;'融资租赁与资金缺口'!$F$15,CM$46&lt;=EDATE('融资租赁与资金缺口'!$F$15,$A16)),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+IF(CM$46=EDATE('融资租赁与资金缺口'!$F$15,$A16),'融资租赁与资金缺口'!$J$15,0),0),IF(AND(CM$46&gt;'融资租赁与资金缺口'!$F$16,CM$46&lt;=EDATE('融资租赁与资金缺口'!$F$16,$A16)),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+IF(CM$46=EDATE('融资租赁与资金缺口'!$F$16,$A16),'融资租赁与资金缺口'!$J$16,0),0))</x:f>
        <x:v>0</x:v>
      </x:c>
    </x:row>
    <x:row r="53">
      <x:c r="A53" t="str">
        <x:v>SRC-008</x:v>
      </x:c>
      <x:c r="B53" t="str">
        <x:v>成都人口来源</x:v>
      </x:c>
      <x:c r="C53" t="str"/>
      <x:c r="D53" t="n">
        <x:v>2020</x:v>
      </x:c>
      <x:c r="E53" t="str">
        <x:v>城市人口</x:v>
      </x:c>
      <x:c r="F53" s="30" t="str">
        <x:v>成都人口来源</x:v>
      </x:c>
      <x:c r="G53" s="77" t="str">
        <x:v>https://tjj.sc.gov.cn/scstjj/c111702/2021/5/26/68cf8ce902a44c389e72591bd5a31ca2.shtml</x:v>
      </x:c>
      <x:c r="H53" s="30" t="str">
        <x:v>等级及排名据2025第一财经榜单；2020年七普常住人口；住建部2022年城市建设统计年鉴表2-2第557行列示同一城市口径的城区人口（含表列城区暂住人口）1257.24万人、建成区面积1063.68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53" s="30" t="str">
        <x:v>2026-08-16</x:v>
      </x:c>
      <x:c r="AE53" t="str">
        <x:v>期末余额</x:v>
      </x:c>
      <x:c r="AF53" s="28" t="n">
        <x:f>SUM(IF(AF$46&lt;'融资租赁与资金缺口'!$F$5,0,IF(AF$46='融资租赁与资金缺口'!$F$5,'融资租赁与资金缺口'!$E$5,IF(((YEAR(AF$46)-YEAR('融资租赁与资金缺口'!$F$5))*12+MONTH(AF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AF$46)-YEAR('融资租赁与资金缺口'!$F$5))*12+MONTH(AF$46)-MONTH('融资租赁与资金缺口'!$F$5)),'融资租赁与资金缺口'!$E$5*(1+'融资租赁与资金缺口'!$I$5)^((YEAR(AF$46)-YEAR('融资租赁与资金缺口'!$F$5))*12+MONTH(AF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AF$46)-YEAR('融资租赁与资金缺口'!$F$5))*12+MONTH(AF$46)-MONTH('融资租赁与资金缺口'!$F$5))-1)/'融资租赁与资金缺口'!$I$5))))),IF(AF$46&lt;'融资租赁与资金缺口'!$F$6,0,IF(AF$46='融资租赁与资金缺口'!$F$6,'融资租赁与资金缺口'!$E$6,IF(((YEAR(AF$46)-YEAR('融资租赁与资金缺口'!$F$6))*12+MONTH(AF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AF$46)-YEAR('融资租赁与资金缺口'!$F$6))*12+MONTH(AF$46)-MONTH('融资租赁与资金缺口'!$F$6)),'融资租赁与资金缺口'!$E$6*(1+'融资租赁与资金缺口'!$I$6)^((YEAR(AF$46)-YEAR('融资租赁与资金缺口'!$F$6))*12+MONTH(AF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AF$46)-YEAR('融资租赁与资金缺口'!$F$6))*12+MONTH(AF$46)-MONTH('融资租赁与资金缺口'!$F$6))-1)/'融资租赁与资金缺口'!$I$6))))),IF(AF$46&lt;'融资租赁与资金缺口'!$F$7,0,IF(AF$46='融资租赁与资金缺口'!$F$7,'融资租赁与资金缺口'!$E$7,IF(((YEAR(AF$46)-YEAR('融资租赁与资金缺口'!$F$7))*12+MONTH(AF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AF$46)-YEAR('融资租赁与资金缺口'!$F$7))*12+MONTH(AF$46)-MONTH('融资租赁与资金缺口'!$F$7)),'融资租赁与资金缺口'!$E$7*(1+'融资租赁与资金缺口'!$I$7)^((YEAR(AF$46)-YEAR('融资租赁与资金缺口'!$F$7))*12+MONTH(AF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AF$46)-YEAR('融资租赁与资金缺口'!$F$7))*12+MONTH(AF$46)-MONTH('融资租赁与资金缺口'!$F$7))-1)/'融资租赁与资金缺口'!$I$7))))),IF(AF$46&lt;'融资租赁与资金缺口'!$F$8,0,IF(AF$46='融资租赁与资金缺口'!$F$8,'融资租赁与资金缺口'!$E$8,IF(((YEAR(AF$46)-YEAR('融资租赁与资金缺口'!$F$8))*12+MONTH(AF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AF$46)-YEAR('融资租赁与资金缺口'!$F$8))*12+MONTH(AF$46)-MONTH('融资租赁与资金缺口'!$F$8)),'融资租赁与资金缺口'!$E$8*(1+'融资租赁与资金缺口'!$I$8)^((YEAR(AF$46)-YEAR('融资租赁与资金缺口'!$F$8))*12+MONTH(AF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AF$46)-YEAR('融资租赁与资金缺口'!$F$8))*12+MONTH(AF$46)-MONTH('融资租赁与资金缺口'!$F$8))-1)/'融资租赁与资金缺口'!$I$8))))),IF(AF$46&lt;'融资租赁与资金缺口'!$F$9,0,IF(AF$46='融资租赁与资金缺口'!$F$9,'融资租赁与资金缺口'!$E$9,IF(((YEAR(AF$46)-YEAR('融资租赁与资金缺口'!$F$9))*12+MONTH(AF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AF$46)-YEAR('融资租赁与资金缺口'!$F$9))*12+MONTH(AF$46)-MONTH('融资租赁与资金缺口'!$F$9)),'融资租赁与资金缺口'!$E$9*(1+'融资租赁与资金缺口'!$I$9)^((YEAR(AF$46)-YEAR('融资租赁与资金缺口'!$F$9))*12+MONTH(AF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AF$46)-YEAR('融资租赁与资金缺口'!$F$9))*12+MONTH(AF$46)-MONTH('融资租赁与资金缺口'!$F$9))-1)/'融资租赁与资金缺口'!$I$9))))),IF(AF$46&lt;'融资租赁与资金缺口'!$F$10,0,IF(AF$46='融资租赁与资金缺口'!$F$10,'融资租赁与资金缺口'!$E$10,IF(((YEAR(AF$46)-YEAR('融资租赁与资金缺口'!$F$10))*12+MONTH(AF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AF$46)-YEAR('融资租赁与资金缺口'!$F$10))*12+MONTH(AF$46)-MONTH('融资租赁与资金缺口'!$F$10)),'融资租赁与资金缺口'!$E$10*(1+'融资租赁与资金缺口'!$I$10)^((YEAR(AF$46)-YEAR('融资租赁与资金缺口'!$F$10))*12+MONTH(AF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AF$46)-YEAR('融资租赁与资金缺口'!$F$10))*12+MONTH(AF$46)-MONTH('融资租赁与资金缺口'!$F$10))-1)/'融资租赁与资金缺口'!$I$10))))),IF(AF$46&lt;'融资租赁与资金缺口'!$F$11,0,IF(AF$46='融资租赁与资金缺口'!$F$11,'融资租赁与资金缺口'!$E$11,IF(((YEAR(AF$46)-YEAR('融资租赁与资金缺口'!$F$11))*12+MONTH(AF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AF$46)-YEAR('融资租赁与资金缺口'!$F$11))*12+MONTH(AF$46)-MONTH('融资租赁与资金缺口'!$F$11)),'融资租赁与资金缺口'!$E$11*(1+'融资租赁与资金缺口'!$I$11)^((YEAR(AF$46)-YEAR('融资租赁与资金缺口'!$F$11))*12+MONTH(AF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AF$46)-YEAR('融资租赁与资金缺口'!$F$11))*12+MONTH(AF$46)-MONTH('融资租赁与资金缺口'!$F$11))-1)/'融资租赁与资金缺口'!$I$11))))),IF(AF$46&lt;'融资租赁与资金缺口'!$F$12,0,IF(AF$46='融资租赁与资金缺口'!$F$12,'融资租赁与资金缺口'!$E$12,IF(((YEAR(AF$46)-YEAR('融资租赁与资金缺口'!$F$12))*12+MONTH(AF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AF$46)-YEAR('融资租赁与资金缺口'!$F$12))*12+MONTH(AF$46)-MONTH('融资租赁与资金缺口'!$F$12)),'融资租赁与资金缺口'!$E$12*(1+'融资租赁与资金缺口'!$I$12)^((YEAR(AF$46)-YEAR('融资租赁与资金缺口'!$F$12))*12+MONTH(AF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AF$46)-YEAR('融资租赁与资金缺口'!$F$12))*12+MONTH(AF$46)-MONTH('融资租赁与资金缺口'!$F$12))-1)/'融资租赁与资金缺口'!$I$12))))),IF(AF$46&lt;'融资租赁与资金缺口'!$F$13,0,IF(AF$46='融资租赁与资金缺口'!$F$13,'融资租赁与资金缺口'!$E$13,IF(((YEAR(AF$46)-YEAR('融资租赁与资金缺口'!$F$13))*12+MONTH(AF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AF$46)-YEAR('融资租赁与资金缺口'!$F$13))*12+MONTH(AF$46)-MONTH('融资租赁与资金缺口'!$F$13)),'融资租赁与资金缺口'!$E$13*(1+'融资租赁与资金缺口'!$I$13)^((YEAR(AF$46)-YEAR('融资租赁与资金缺口'!$F$13))*12+MONTH(AF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AF$46)-YEAR('融资租赁与资金缺口'!$F$13))*12+MONTH(AF$46)-MONTH('融资租赁与资金缺口'!$F$13))-1)/'融资租赁与资金缺口'!$I$13))))),IF(AF$46&lt;'融资租赁与资金缺口'!$F$14,0,IF(AF$46='融资租赁与资金缺口'!$F$14,'融资租赁与资金缺口'!$E$14,IF(((YEAR(AF$46)-YEAR('融资租赁与资金缺口'!$F$14))*12+MONTH(AF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AF$46)-YEAR('融资租赁与资金缺口'!$F$14))*12+MONTH(AF$46)-MONTH('融资租赁与资金缺口'!$F$14)),'融资租赁与资金缺口'!$E$14*(1+'融资租赁与资金缺口'!$I$14)^((YEAR(AF$46)-YEAR('融资租赁与资金缺口'!$F$14))*12+MONTH(AF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AF$46)-YEAR('融资租赁与资金缺口'!$F$14))*12+MONTH(AF$46)-MONTH('融资租赁与资金缺口'!$F$14))-1)/'融资租赁与资金缺口'!$I$14))))),IF(AF$46&lt;'融资租赁与资金缺口'!$F$15,0,IF(AF$46='融资租赁与资金缺口'!$F$15,'融资租赁与资金缺口'!$E$15,IF(((YEAR(AF$46)-YEAR('融资租赁与资金缺口'!$F$15))*12+MONTH(AF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AF$46)-YEAR('融资租赁与资金缺口'!$F$15))*12+MONTH(AF$46)-MONTH('融资租赁与资金缺口'!$F$15)),'融资租赁与资金缺口'!$E$15*(1+'融资租赁与资金缺口'!$I$15)^((YEAR(AF$46)-YEAR('融资租赁与资金缺口'!$F$15))*12+MONTH(AF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AF$46)-YEAR('融资租赁与资金缺口'!$F$15))*12+MONTH(AF$46)-MONTH('融资租赁与资金缺口'!$F$15))-1)/'融资租赁与资金缺口'!$I$15))))),IF(AF$46&lt;'融资租赁与资金缺口'!$F$16,0,IF(AF$46='融资租赁与资金缺口'!$F$16,'融资租赁与资金缺口'!$E$16,IF(((YEAR(AF$46)-YEAR('融资租赁与资金缺口'!$F$16))*12+MONTH(AF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AF$46)-YEAR('融资租赁与资金缺口'!$F$16))*12+MONTH(AF$46)-MONTH('融资租赁与资金缺口'!$F$16)),'融资租赁与资金缺口'!$E$16*(1+'融资租赁与资金缺口'!$I$16)^((YEAR(AF$46)-YEAR('融资租赁与资金缺口'!$F$16))*12+MONTH(AF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AF$46)-YEAR('融资租赁与资金缺口'!$F$16))*12+MONTH(AF$46)-MONTH('融资租赁与资金缺口'!$F$16))-1)/'融资租赁与资金缺口'!$I$16))))))</x:f>
        <x:v>0</x:v>
      </x:c>
      <x:c r="AG53" s="28" t="n">
        <x:f>SUM(IF(AG$46&lt;'融资租赁与资金缺口'!$F$5,0,IF(AG$46='融资租赁与资金缺口'!$F$5,'融资租赁与资金缺口'!$E$5,IF(((YEAR(AG$46)-YEAR('融资租赁与资金缺口'!$F$5))*12+MONTH(AG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AG$46)-YEAR('融资租赁与资金缺口'!$F$5))*12+MONTH(AG$46)-MONTH('融资租赁与资金缺口'!$F$5)),'融资租赁与资金缺口'!$E$5*(1+'融资租赁与资金缺口'!$I$5)^((YEAR(AG$46)-YEAR('融资租赁与资金缺口'!$F$5))*12+MONTH(AG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AG$46)-YEAR('融资租赁与资金缺口'!$F$5))*12+MONTH(AG$46)-MONTH('融资租赁与资金缺口'!$F$5))-1)/'融资租赁与资金缺口'!$I$5))))),IF(AG$46&lt;'融资租赁与资金缺口'!$F$6,0,IF(AG$46='融资租赁与资金缺口'!$F$6,'融资租赁与资金缺口'!$E$6,IF(((YEAR(AG$46)-YEAR('融资租赁与资金缺口'!$F$6))*12+MONTH(AG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AG$46)-YEAR('融资租赁与资金缺口'!$F$6))*12+MONTH(AG$46)-MONTH('融资租赁与资金缺口'!$F$6)),'融资租赁与资金缺口'!$E$6*(1+'融资租赁与资金缺口'!$I$6)^((YEAR(AG$46)-YEAR('融资租赁与资金缺口'!$F$6))*12+MONTH(AG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AG$46)-YEAR('融资租赁与资金缺口'!$F$6))*12+MONTH(AG$46)-MONTH('融资租赁与资金缺口'!$F$6))-1)/'融资租赁与资金缺口'!$I$6))))),IF(AG$46&lt;'融资租赁与资金缺口'!$F$7,0,IF(AG$46='融资租赁与资金缺口'!$F$7,'融资租赁与资金缺口'!$E$7,IF(((YEAR(AG$46)-YEAR('融资租赁与资金缺口'!$F$7))*12+MONTH(AG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AG$46)-YEAR('融资租赁与资金缺口'!$F$7))*12+MONTH(AG$46)-MONTH('融资租赁与资金缺口'!$F$7)),'融资租赁与资金缺口'!$E$7*(1+'融资租赁与资金缺口'!$I$7)^((YEAR(AG$46)-YEAR('融资租赁与资金缺口'!$F$7))*12+MONTH(AG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AG$46)-YEAR('融资租赁与资金缺口'!$F$7))*12+MONTH(AG$46)-MONTH('融资租赁与资金缺口'!$F$7))-1)/'融资租赁与资金缺口'!$I$7))))),IF(AG$46&lt;'融资租赁与资金缺口'!$F$8,0,IF(AG$46='融资租赁与资金缺口'!$F$8,'融资租赁与资金缺口'!$E$8,IF(((YEAR(AG$46)-YEAR('融资租赁与资金缺口'!$F$8))*12+MONTH(AG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AG$46)-YEAR('融资租赁与资金缺口'!$F$8))*12+MONTH(AG$46)-MONTH('融资租赁与资金缺口'!$F$8)),'融资租赁与资金缺口'!$E$8*(1+'融资租赁与资金缺口'!$I$8)^((YEAR(AG$46)-YEAR('融资租赁与资金缺口'!$F$8))*12+MONTH(AG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AG$46)-YEAR('融资租赁与资金缺口'!$F$8))*12+MONTH(AG$46)-MONTH('融资租赁与资金缺口'!$F$8))-1)/'融资租赁与资金缺口'!$I$8))))),IF(AG$46&lt;'融资租赁与资金缺口'!$F$9,0,IF(AG$46='融资租赁与资金缺口'!$F$9,'融资租赁与资金缺口'!$E$9,IF(((YEAR(AG$46)-YEAR('融资租赁与资金缺口'!$F$9))*12+MONTH(AG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AG$46)-YEAR('融资租赁与资金缺口'!$F$9))*12+MONTH(AG$46)-MONTH('融资租赁与资金缺口'!$F$9)),'融资租赁与资金缺口'!$E$9*(1+'融资租赁与资金缺口'!$I$9)^((YEAR(AG$46)-YEAR('融资租赁与资金缺口'!$F$9))*12+MONTH(AG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AG$46)-YEAR('融资租赁与资金缺口'!$F$9))*12+MONTH(AG$46)-MONTH('融资租赁与资金缺口'!$F$9))-1)/'融资租赁与资金缺口'!$I$9))))),IF(AG$46&lt;'融资租赁与资金缺口'!$F$10,0,IF(AG$46='融资租赁与资金缺口'!$F$10,'融资租赁与资金缺口'!$E$10,IF(((YEAR(AG$46)-YEAR('融资租赁与资金缺口'!$F$10))*12+MONTH(AG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AG$46)-YEAR('融资租赁与资金缺口'!$F$10))*12+MONTH(AG$46)-MONTH('融资租赁与资金缺口'!$F$10)),'融资租赁与资金缺口'!$E$10*(1+'融资租赁与资金缺口'!$I$10)^((YEAR(AG$46)-YEAR('融资租赁与资金缺口'!$F$10))*12+MONTH(AG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AG$46)-YEAR('融资租赁与资金缺口'!$F$10))*12+MONTH(AG$46)-MONTH('融资租赁与资金缺口'!$F$10))-1)/'融资租赁与资金缺口'!$I$10))))),IF(AG$46&lt;'融资租赁与资金缺口'!$F$11,0,IF(AG$46='融资租赁与资金缺口'!$F$11,'融资租赁与资金缺口'!$E$11,IF(((YEAR(AG$46)-YEAR('融资租赁与资金缺口'!$F$11))*12+MONTH(AG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AG$46)-YEAR('融资租赁与资金缺口'!$F$11))*12+MONTH(AG$46)-MONTH('融资租赁与资金缺口'!$F$11)),'融资租赁与资金缺口'!$E$11*(1+'融资租赁与资金缺口'!$I$11)^((YEAR(AG$46)-YEAR('融资租赁与资金缺口'!$F$11))*12+MONTH(AG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AG$46)-YEAR('融资租赁与资金缺口'!$F$11))*12+MONTH(AG$46)-MONTH('融资租赁与资金缺口'!$F$11))-1)/'融资租赁与资金缺口'!$I$11))))),IF(AG$46&lt;'融资租赁与资金缺口'!$F$12,0,IF(AG$46='融资租赁与资金缺口'!$F$12,'融资租赁与资金缺口'!$E$12,IF(((YEAR(AG$46)-YEAR('融资租赁与资金缺口'!$F$12))*12+MONTH(AG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AG$46)-YEAR('融资租赁与资金缺口'!$F$12))*12+MONTH(AG$46)-MONTH('融资租赁与资金缺口'!$F$12)),'融资租赁与资金缺口'!$E$12*(1+'融资租赁与资金缺口'!$I$12)^((YEAR(AG$46)-YEAR('融资租赁与资金缺口'!$F$12))*12+MONTH(AG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AG$46)-YEAR('融资租赁与资金缺口'!$F$12))*12+MONTH(AG$46)-MONTH('融资租赁与资金缺口'!$F$12))-1)/'融资租赁与资金缺口'!$I$12))))),IF(AG$46&lt;'融资租赁与资金缺口'!$F$13,0,IF(AG$46='融资租赁与资金缺口'!$F$13,'融资租赁与资金缺口'!$E$13,IF(((YEAR(AG$46)-YEAR('融资租赁与资金缺口'!$F$13))*12+MONTH(AG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AG$46)-YEAR('融资租赁与资金缺口'!$F$13))*12+MONTH(AG$46)-MONTH('融资租赁与资金缺口'!$F$13)),'融资租赁与资金缺口'!$E$13*(1+'融资租赁与资金缺口'!$I$13)^((YEAR(AG$46)-YEAR('融资租赁与资金缺口'!$F$13))*12+MONTH(AG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AG$46)-YEAR('融资租赁与资金缺口'!$F$13))*12+MONTH(AG$46)-MONTH('融资租赁与资金缺口'!$F$13))-1)/'融资租赁与资金缺口'!$I$13))))),IF(AG$46&lt;'融资租赁与资金缺口'!$F$14,0,IF(AG$46='融资租赁与资金缺口'!$F$14,'融资租赁与资金缺口'!$E$14,IF(((YEAR(AG$46)-YEAR('融资租赁与资金缺口'!$F$14))*12+MONTH(AG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AG$46)-YEAR('融资租赁与资金缺口'!$F$14))*12+MONTH(AG$46)-MONTH('融资租赁与资金缺口'!$F$14)),'融资租赁与资金缺口'!$E$14*(1+'融资租赁与资金缺口'!$I$14)^((YEAR(AG$46)-YEAR('融资租赁与资金缺口'!$F$14))*12+MONTH(AG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AG$46)-YEAR('融资租赁与资金缺口'!$F$14))*12+MONTH(AG$46)-MONTH('融资租赁与资金缺口'!$F$14))-1)/'融资租赁与资金缺口'!$I$14))))),IF(AG$46&lt;'融资租赁与资金缺口'!$F$15,0,IF(AG$46='融资租赁与资金缺口'!$F$15,'融资租赁与资金缺口'!$E$15,IF(((YEAR(AG$46)-YEAR('融资租赁与资金缺口'!$F$15))*12+MONTH(AG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AG$46)-YEAR('融资租赁与资金缺口'!$F$15))*12+MONTH(AG$46)-MONTH('融资租赁与资金缺口'!$F$15)),'融资租赁与资金缺口'!$E$15*(1+'融资租赁与资金缺口'!$I$15)^((YEAR(AG$46)-YEAR('融资租赁与资金缺口'!$F$15))*12+MONTH(AG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AG$46)-YEAR('融资租赁与资金缺口'!$F$15))*12+MONTH(AG$46)-MONTH('融资租赁与资金缺口'!$F$15))-1)/'融资租赁与资金缺口'!$I$15))))),IF(AG$46&lt;'融资租赁与资金缺口'!$F$16,0,IF(AG$46='融资租赁与资金缺口'!$F$16,'融资租赁与资金缺口'!$E$16,IF(((YEAR(AG$46)-YEAR('融资租赁与资金缺口'!$F$16))*12+MONTH(AG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AG$46)-YEAR('融资租赁与资金缺口'!$F$16))*12+MONTH(AG$46)-MONTH('融资租赁与资金缺口'!$F$16)),'融资租赁与资金缺口'!$E$16*(1+'融资租赁与资金缺口'!$I$16)^((YEAR(AG$46)-YEAR('融资租赁与资金缺口'!$F$16))*12+MONTH(AG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AG$46)-YEAR('融资租赁与资金缺口'!$F$16))*12+MONTH(AG$46)-MONTH('融资租赁与资金缺口'!$F$16))-1)/'融资租赁与资金缺口'!$I$16))))))</x:f>
        <x:v>22992000</x:v>
      </x:c>
      <x:c r="AH53" s="28" t="n">
        <x:f>SUM(IF(AH$46&lt;'融资租赁与资金缺口'!$F$5,0,IF(AH$46='融资租赁与资金缺口'!$F$5,'融资租赁与资金缺口'!$E$5,IF(((YEAR(AH$46)-YEAR('融资租赁与资金缺口'!$F$5))*12+MONTH(AH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AH$46)-YEAR('融资租赁与资金缺口'!$F$5))*12+MONTH(AH$46)-MONTH('融资租赁与资金缺口'!$F$5)),'融资租赁与资金缺口'!$E$5*(1+'融资租赁与资金缺口'!$I$5)^((YEAR(AH$46)-YEAR('融资租赁与资金缺口'!$F$5))*12+MONTH(AH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AH$46)-YEAR('融资租赁与资金缺口'!$F$5))*12+MONTH(AH$46)-MONTH('融资租赁与资金缺口'!$F$5))-1)/'融资租赁与资金缺口'!$I$5))))),IF(AH$46&lt;'融资租赁与资金缺口'!$F$6,0,IF(AH$46='融资租赁与资金缺口'!$F$6,'融资租赁与资金缺口'!$E$6,IF(((YEAR(AH$46)-YEAR('融资租赁与资金缺口'!$F$6))*12+MONTH(AH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AH$46)-YEAR('融资租赁与资金缺口'!$F$6))*12+MONTH(AH$46)-MONTH('融资租赁与资金缺口'!$F$6)),'融资租赁与资金缺口'!$E$6*(1+'融资租赁与资金缺口'!$I$6)^((YEAR(AH$46)-YEAR('融资租赁与资金缺口'!$F$6))*12+MONTH(AH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AH$46)-YEAR('融资租赁与资金缺口'!$F$6))*12+MONTH(AH$46)-MONTH('融资租赁与资金缺口'!$F$6))-1)/'融资租赁与资金缺口'!$I$6))))),IF(AH$46&lt;'融资租赁与资金缺口'!$F$7,0,IF(AH$46='融资租赁与资金缺口'!$F$7,'融资租赁与资金缺口'!$E$7,IF(((YEAR(AH$46)-YEAR('融资租赁与资金缺口'!$F$7))*12+MONTH(AH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AH$46)-YEAR('融资租赁与资金缺口'!$F$7))*12+MONTH(AH$46)-MONTH('融资租赁与资金缺口'!$F$7)),'融资租赁与资金缺口'!$E$7*(1+'融资租赁与资金缺口'!$I$7)^((YEAR(AH$46)-YEAR('融资租赁与资金缺口'!$F$7))*12+MONTH(AH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AH$46)-YEAR('融资租赁与资金缺口'!$F$7))*12+MONTH(AH$46)-MONTH('融资租赁与资金缺口'!$F$7))-1)/'融资租赁与资金缺口'!$I$7))))),IF(AH$46&lt;'融资租赁与资金缺口'!$F$8,0,IF(AH$46='融资租赁与资金缺口'!$F$8,'融资租赁与资金缺口'!$E$8,IF(((YEAR(AH$46)-YEAR('融资租赁与资金缺口'!$F$8))*12+MONTH(AH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AH$46)-YEAR('融资租赁与资金缺口'!$F$8))*12+MONTH(AH$46)-MONTH('融资租赁与资金缺口'!$F$8)),'融资租赁与资金缺口'!$E$8*(1+'融资租赁与资金缺口'!$I$8)^((YEAR(AH$46)-YEAR('融资租赁与资金缺口'!$F$8))*12+MONTH(AH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AH$46)-YEAR('融资租赁与资金缺口'!$F$8))*12+MONTH(AH$46)-MONTH('融资租赁与资金缺口'!$F$8))-1)/'融资租赁与资金缺口'!$I$8))))),IF(AH$46&lt;'融资租赁与资金缺口'!$F$9,0,IF(AH$46='融资租赁与资金缺口'!$F$9,'融资租赁与资金缺口'!$E$9,IF(((YEAR(AH$46)-YEAR('融资租赁与资金缺口'!$F$9))*12+MONTH(AH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AH$46)-YEAR('融资租赁与资金缺口'!$F$9))*12+MONTH(AH$46)-MONTH('融资租赁与资金缺口'!$F$9)),'融资租赁与资金缺口'!$E$9*(1+'融资租赁与资金缺口'!$I$9)^((YEAR(AH$46)-YEAR('融资租赁与资金缺口'!$F$9))*12+MONTH(AH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AH$46)-YEAR('融资租赁与资金缺口'!$F$9))*12+MONTH(AH$46)-MONTH('融资租赁与资金缺口'!$F$9))-1)/'融资租赁与资金缺口'!$I$9))))),IF(AH$46&lt;'融资租赁与资金缺口'!$F$10,0,IF(AH$46='融资租赁与资金缺口'!$F$10,'融资租赁与资金缺口'!$E$10,IF(((YEAR(AH$46)-YEAR('融资租赁与资金缺口'!$F$10))*12+MONTH(AH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AH$46)-YEAR('融资租赁与资金缺口'!$F$10))*12+MONTH(AH$46)-MONTH('融资租赁与资金缺口'!$F$10)),'融资租赁与资金缺口'!$E$10*(1+'融资租赁与资金缺口'!$I$10)^((YEAR(AH$46)-YEAR('融资租赁与资金缺口'!$F$10))*12+MONTH(AH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AH$46)-YEAR('融资租赁与资金缺口'!$F$10))*12+MONTH(AH$46)-MONTH('融资租赁与资金缺口'!$F$10))-1)/'融资租赁与资金缺口'!$I$10))))),IF(AH$46&lt;'融资租赁与资金缺口'!$F$11,0,IF(AH$46='融资租赁与资金缺口'!$F$11,'融资租赁与资金缺口'!$E$11,IF(((YEAR(AH$46)-YEAR('融资租赁与资金缺口'!$F$11))*12+MONTH(AH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AH$46)-YEAR('融资租赁与资金缺口'!$F$11))*12+MONTH(AH$46)-MONTH('融资租赁与资金缺口'!$F$11)),'融资租赁与资金缺口'!$E$11*(1+'融资租赁与资金缺口'!$I$11)^((YEAR(AH$46)-YEAR('融资租赁与资金缺口'!$F$11))*12+MONTH(AH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AH$46)-YEAR('融资租赁与资金缺口'!$F$11))*12+MONTH(AH$46)-MONTH('融资租赁与资金缺口'!$F$11))-1)/'融资租赁与资金缺口'!$I$11))))),IF(AH$46&lt;'融资租赁与资金缺口'!$F$12,0,IF(AH$46='融资租赁与资金缺口'!$F$12,'融资租赁与资金缺口'!$E$12,IF(((YEAR(AH$46)-YEAR('融资租赁与资金缺口'!$F$12))*12+MONTH(AH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AH$46)-YEAR('融资租赁与资金缺口'!$F$12))*12+MONTH(AH$46)-MONTH('融资租赁与资金缺口'!$F$12)),'融资租赁与资金缺口'!$E$12*(1+'融资租赁与资金缺口'!$I$12)^((YEAR(AH$46)-YEAR('融资租赁与资金缺口'!$F$12))*12+MONTH(AH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AH$46)-YEAR('融资租赁与资金缺口'!$F$12))*12+MONTH(AH$46)-MONTH('融资租赁与资金缺口'!$F$12))-1)/'融资租赁与资金缺口'!$I$12))))),IF(AH$46&lt;'融资租赁与资金缺口'!$F$13,0,IF(AH$46='融资租赁与资金缺口'!$F$13,'融资租赁与资金缺口'!$E$13,IF(((YEAR(AH$46)-YEAR('融资租赁与资金缺口'!$F$13))*12+MONTH(AH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AH$46)-YEAR('融资租赁与资金缺口'!$F$13))*12+MONTH(AH$46)-MONTH('融资租赁与资金缺口'!$F$13)),'融资租赁与资金缺口'!$E$13*(1+'融资租赁与资金缺口'!$I$13)^((YEAR(AH$46)-YEAR('融资租赁与资金缺口'!$F$13))*12+MONTH(AH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AH$46)-YEAR('融资租赁与资金缺口'!$F$13))*12+MONTH(AH$46)-MONTH('融资租赁与资金缺口'!$F$13))-1)/'融资租赁与资金缺口'!$I$13))))),IF(AH$46&lt;'融资租赁与资金缺口'!$F$14,0,IF(AH$46='融资租赁与资金缺口'!$F$14,'融资租赁与资金缺口'!$E$14,IF(((YEAR(AH$46)-YEAR('融资租赁与资金缺口'!$F$14))*12+MONTH(AH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AH$46)-YEAR('融资租赁与资金缺口'!$F$14))*12+MONTH(AH$46)-MONTH('融资租赁与资金缺口'!$F$14)),'融资租赁与资金缺口'!$E$14*(1+'融资租赁与资金缺口'!$I$14)^((YEAR(AH$46)-YEAR('融资租赁与资金缺口'!$F$14))*12+MONTH(AH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AH$46)-YEAR('融资租赁与资金缺口'!$F$14))*12+MONTH(AH$46)-MONTH('融资租赁与资金缺口'!$F$14))-1)/'融资租赁与资金缺口'!$I$14))))),IF(AH$46&lt;'融资租赁与资金缺口'!$F$15,0,IF(AH$46='融资租赁与资金缺口'!$F$15,'融资租赁与资金缺口'!$E$15,IF(((YEAR(AH$46)-YEAR('融资租赁与资金缺口'!$F$15))*12+MONTH(AH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AH$46)-YEAR('融资租赁与资金缺口'!$F$15))*12+MONTH(AH$46)-MONTH('融资租赁与资金缺口'!$F$15)),'融资租赁与资金缺口'!$E$15*(1+'融资租赁与资金缺口'!$I$15)^((YEAR(AH$46)-YEAR('融资租赁与资金缺口'!$F$15))*12+MONTH(AH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AH$46)-YEAR('融资租赁与资金缺口'!$F$15))*12+MONTH(AH$46)-MONTH('融资租赁与资金缺口'!$F$15))-1)/'融资租赁与资金缺口'!$I$15))))),IF(AH$46&lt;'融资租赁与资金缺口'!$F$16,0,IF(AH$46='融资租赁与资金缺口'!$F$16,'融资租赁与资金缺口'!$E$16,IF(((YEAR(AH$46)-YEAR('融资租赁与资金缺口'!$F$16))*12+MONTH(AH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AH$46)-YEAR('融资租赁与资金缺口'!$F$16))*12+MONTH(AH$46)-MONTH('融资租赁与资金缺口'!$F$16)),'融资租赁与资金缺口'!$E$16*(1+'融资租赁与资金缺口'!$I$16)^((YEAR(AH$46)-YEAR('融资租赁与资金缺口'!$F$16))*12+MONTH(AH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AH$46)-YEAR('融资租赁与资金缺口'!$F$16))*12+MONTH(AH$46)-MONTH('融资租赁与资金缺口'!$F$16))-1)/'融资租赁与资金缺口'!$I$16))))))</x:f>
        <x:v>49681279.97369102</x:v>
      </x:c>
      <x:c r="AI53" s="28" t="n">
        <x:f>SUM(IF(AI$46&lt;'融资租赁与资金缺口'!$F$5,0,IF(AI$46='融资租赁与资金缺口'!$F$5,'融资租赁与资金缺口'!$E$5,IF(((YEAR(AI$46)-YEAR('融资租赁与资金缺口'!$F$5))*12+MONTH(AI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AI$46)-YEAR('融资租赁与资金缺口'!$F$5))*12+MONTH(AI$46)-MONTH('融资租赁与资金缺口'!$F$5)),'融资租赁与资金缺口'!$E$5*(1+'融资租赁与资金缺口'!$I$5)^((YEAR(AI$46)-YEAR('融资租赁与资金缺口'!$F$5))*12+MONTH(AI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AI$46)-YEAR('融资租赁与资金缺口'!$F$5))*12+MONTH(AI$46)-MONTH('融资租赁与资金缺口'!$F$5))-1)/'融资租赁与资金缺口'!$I$5))))),IF(AI$46&lt;'融资租赁与资金缺口'!$F$6,0,IF(AI$46='融资租赁与资金缺口'!$F$6,'融资租赁与资金缺口'!$E$6,IF(((YEAR(AI$46)-YEAR('融资租赁与资金缺口'!$F$6))*12+MONTH(AI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AI$46)-YEAR('融资租赁与资金缺口'!$F$6))*12+MONTH(AI$46)-MONTH('融资租赁与资金缺口'!$F$6)),'融资租赁与资金缺口'!$E$6*(1+'融资租赁与资金缺口'!$I$6)^((YEAR(AI$46)-YEAR('融资租赁与资金缺口'!$F$6))*12+MONTH(AI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AI$46)-YEAR('融资租赁与资金缺口'!$F$6))*12+MONTH(AI$46)-MONTH('融资租赁与资金缺口'!$F$6))-1)/'融资租赁与资金缺口'!$I$6))))),IF(AI$46&lt;'融资租赁与资金缺口'!$F$7,0,IF(AI$46='融资租赁与资金缺口'!$F$7,'融资租赁与资金缺口'!$E$7,IF(((YEAR(AI$46)-YEAR('融资租赁与资金缺口'!$F$7))*12+MONTH(AI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AI$46)-YEAR('融资租赁与资金缺口'!$F$7))*12+MONTH(AI$46)-MONTH('融资租赁与资金缺口'!$F$7)),'融资租赁与资金缺口'!$E$7*(1+'融资租赁与资金缺口'!$I$7)^((YEAR(AI$46)-YEAR('融资租赁与资金缺口'!$F$7))*12+MONTH(AI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AI$46)-YEAR('融资租赁与资金缺口'!$F$7))*12+MONTH(AI$46)-MONTH('融资租赁与资金缺口'!$F$7))-1)/'融资租赁与资金缺口'!$I$7))))),IF(AI$46&lt;'融资租赁与资金缺口'!$F$8,0,IF(AI$46='融资租赁与资金缺口'!$F$8,'融资租赁与资金缺口'!$E$8,IF(((YEAR(AI$46)-YEAR('融资租赁与资金缺口'!$F$8))*12+MONTH(AI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AI$46)-YEAR('融资租赁与资金缺口'!$F$8))*12+MONTH(AI$46)-MONTH('融资租赁与资金缺口'!$F$8)),'融资租赁与资金缺口'!$E$8*(1+'融资租赁与资金缺口'!$I$8)^((YEAR(AI$46)-YEAR('融资租赁与资金缺口'!$F$8))*12+MONTH(AI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AI$46)-YEAR('融资租赁与资金缺口'!$F$8))*12+MONTH(AI$46)-MONTH('融资租赁与资金缺口'!$F$8))-1)/'融资租赁与资金缺口'!$I$8))))),IF(AI$46&lt;'融资租赁与资金缺口'!$F$9,0,IF(AI$46='融资租赁与资金缺口'!$F$9,'融资租赁与资金缺口'!$E$9,IF(((YEAR(AI$46)-YEAR('融资租赁与资金缺口'!$F$9))*12+MONTH(AI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AI$46)-YEAR('融资租赁与资金缺口'!$F$9))*12+MONTH(AI$46)-MONTH('融资租赁与资金缺口'!$F$9)),'融资租赁与资金缺口'!$E$9*(1+'融资租赁与资金缺口'!$I$9)^((YEAR(AI$46)-YEAR('融资租赁与资金缺口'!$F$9))*12+MONTH(AI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AI$46)-YEAR('融资租赁与资金缺口'!$F$9))*12+MONTH(AI$46)-MONTH('融资租赁与资金缺口'!$F$9))-1)/'融资租赁与资金缺口'!$I$9))))),IF(AI$46&lt;'融资租赁与资金缺口'!$F$10,0,IF(AI$46='融资租赁与资金缺口'!$F$10,'融资租赁与资金缺口'!$E$10,IF(((YEAR(AI$46)-YEAR('融资租赁与资金缺口'!$F$10))*12+MONTH(AI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AI$46)-YEAR('融资租赁与资金缺口'!$F$10))*12+MONTH(AI$46)-MONTH('融资租赁与资金缺口'!$F$10)),'融资租赁与资金缺口'!$E$10*(1+'融资租赁与资金缺口'!$I$10)^((YEAR(AI$46)-YEAR('融资租赁与资金缺口'!$F$10))*12+MONTH(AI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AI$46)-YEAR('融资租赁与资金缺口'!$F$10))*12+MONTH(AI$46)-MONTH('融资租赁与资金缺口'!$F$10))-1)/'融资租赁与资金缺口'!$I$10))))),IF(AI$46&lt;'融资租赁与资金缺口'!$F$11,0,IF(AI$46='融资租赁与资金缺口'!$F$11,'融资租赁与资金缺口'!$E$11,IF(((YEAR(AI$46)-YEAR('融资租赁与资金缺口'!$F$11))*12+MONTH(AI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AI$46)-YEAR('融资租赁与资金缺口'!$F$11))*12+MONTH(AI$46)-MONTH('融资租赁与资金缺口'!$F$11)),'融资租赁与资金缺口'!$E$11*(1+'融资租赁与资金缺口'!$I$11)^((YEAR(AI$46)-YEAR('融资租赁与资金缺口'!$F$11))*12+MONTH(AI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AI$46)-YEAR('融资租赁与资金缺口'!$F$11))*12+MONTH(AI$46)-MONTH('融资租赁与资金缺口'!$F$11))-1)/'融资租赁与资金缺口'!$I$11))))),IF(AI$46&lt;'融资租赁与资金缺口'!$F$12,0,IF(AI$46='融资租赁与资金缺口'!$F$12,'融资租赁与资金缺口'!$E$12,IF(((YEAR(AI$46)-YEAR('融资租赁与资金缺口'!$F$12))*12+MONTH(AI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AI$46)-YEAR('融资租赁与资金缺口'!$F$12))*12+MONTH(AI$46)-MONTH('融资租赁与资金缺口'!$F$12)),'融资租赁与资金缺口'!$E$12*(1+'融资租赁与资金缺口'!$I$12)^((YEAR(AI$46)-YEAR('融资租赁与资金缺口'!$F$12))*12+MONTH(AI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AI$46)-YEAR('融资租赁与资金缺口'!$F$12))*12+MONTH(AI$46)-MONTH('融资租赁与资金缺口'!$F$12))-1)/'融资租赁与资金缺口'!$I$12))))),IF(AI$46&lt;'融资租赁与资金缺口'!$F$13,0,IF(AI$46='融资租赁与资金缺口'!$F$13,'融资租赁与资金缺口'!$E$13,IF(((YEAR(AI$46)-YEAR('融资租赁与资金缺口'!$F$13))*12+MONTH(AI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AI$46)-YEAR('融资租赁与资金缺口'!$F$13))*12+MONTH(AI$46)-MONTH('融资租赁与资金缺口'!$F$13)),'融资租赁与资金缺口'!$E$13*(1+'融资租赁与资金缺口'!$I$13)^((YEAR(AI$46)-YEAR('融资租赁与资金缺口'!$F$13))*12+MONTH(AI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AI$46)-YEAR('融资租赁与资金缺口'!$F$13))*12+MONTH(AI$46)-MONTH('融资租赁与资金缺口'!$F$13))-1)/'融资租赁与资金缺口'!$I$13))))),IF(AI$46&lt;'融资租赁与资金缺口'!$F$14,0,IF(AI$46='融资租赁与资金缺口'!$F$14,'融资租赁与资金缺口'!$E$14,IF(((YEAR(AI$46)-YEAR('融资租赁与资金缺口'!$F$14))*12+MONTH(AI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AI$46)-YEAR('融资租赁与资金缺口'!$F$14))*12+MONTH(AI$46)-MONTH('融资租赁与资金缺口'!$F$14)),'融资租赁与资金缺口'!$E$14*(1+'融资租赁与资金缺口'!$I$14)^((YEAR(AI$46)-YEAR('融资租赁与资金缺口'!$F$14))*12+MONTH(AI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AI$46)-YEAR('融资租赁与资金缺口'!$F$14))*12+MONTH(AI$46)-MONTH('融资租赁与资金缺口'!$F$14))-1)/'融资租赁与资金缺口'!$I$14))))),IF(AI$46&lt;'融资租赁与资金缺口'!$F$15,0,IF(AI$46='融资租赁与资金缺口'!$F$15,'融资租赁与资金缺口'!$E$15,IF(((YEAR(AI$46)-YEAR('融资租赁与资金缺口'!$F$15))*12+MONTH(AI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AI$46)-YEAR('融资租赁与资金缺口'!$F$15))*12+MONTH(AI$46)-MONTH('融资租赁与资金缺口'!$F$15)),'融资租赁与资金缺口'!$E$15*(1+'融资租赁与资金缺口'!$I$15)^((YEAR(AI$46)-YEAR('融资租赁与资金缺口'!$F$15))*12+MONTH(AI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AI$46)-YEAR('融资租赁与资金缺口'!$F$15))*12+MONTH(AI$46)-MONTH('融资租赁与资金缺口'!$F$15))-1)/'融资租赁与资金缺口'!$I$15))))),IF(AI$46&lt;'融资租赁与资金缺口'!$F$16,0,IF(AI$46='融资租赁与资金缺口'!$F$16,'融资租赁与资金缺口'!$E$16,IF(((YEAR(AI$46)-YEAR('融资租赁与资金缺口'!$F$16))*12+MONTH(AI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AI$46)-YEAR('融资租赁与资金缺口'!$F$16))*12+MONTH(AI$46)-MONTH('融资租赁与资金缺口'!$F$16)),'融资租赁与资金缺口'!$E$16*(1+'融资租赁与资金缺口'!$I$16)^((YEAR(AI$46)-YEAR('融资租赁与资金缺口'!$F$16))*12+MONTH(AI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AI$46)-YEAR('融资租赁与资金缺口'!$F$16))*12+MONTH(AI$46)-MONTH('融资租赁与资金缺口'!$F$16))-1)/'融资租赁与资金缺口'!$I$16))))))</x:f>
        <x:v>79848337.74440306</x:v>
      </x:c>
      <x:c r="AJ53" s="28" t="n">
        <x:f>SUM(IF(AJ$46&lt;'融资租赁与资金缺口'!$F$5,0,IF(AJ$46='融资租赁与资金缺口'!$F$5,'融资租赁与资金缺口'!$E$5,IF(((YEAR(AJ$46)-YEAR('融资租赁与资金缺口'!$F$5))*12+MONTH(AJ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AJ$46)-YEAR('融资租赁与资金缺口'!$F$5))*12+MONTH(AJ$46)-MONTH('融资租赁与资金缺口'!$F$5)),'融资租赁与资金缺口'!$E$5*(1+'融资租赁与资金缺口'!$I$5)^((YEAR(AJ$46)-YEAR('融资租赁与资金缺口'!$F$5))*12+MONTH(AJ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AJ$46)-YEAR('融资租赁与资金缺口'!$F$5))*12+MONTH(AJ$46)-MONTH('融资租赁与资金缺口'!$F$5))-1)/'融资租赁与资金缺口'!$I$5))))),IF(AJ$46&lt;'融资租赁与资金缺口'!$F$6,0,IF(AJ$46='融资租赁与资金缺口'!$F$6,'融资租赁与资金缺口'!$E$6,IF(((YEAR(AJ$46)-YEAR('融资租赁与资金缺口'!$F$6))*12+MONTH(AJ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AJ$46)-YEAR('融资租赁与资金缺口'!$F$6))*12+MONTH(AJ$46)-MONTH('融资租赁与资金缺口'!$F$6)),'融资租赁与资金缺口'!$E$6*(1+'融资租赁与资金缺口'!$I$6)^((YEAR(AJ$46)-YEAR('融资租赁与资金缺口'!$F$6))*12+MONTH(AJ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AJ$46)-YEAR('融资租赁与资金缺口'!$F$6))*12+MONTH(AJ$46)-MONTH('融资租赁与资金缺口'!$F$6))-1)/'融资租赁与资金缺口'!$I$6))))),IF(AJ$46&lt;'融资租赁与资金缺口'!$F$7,0,IF(AJ$46='融资租赁与资金缺口'!$F$7,'融资租赁与资金缺口'!$E$7,IF(((YEAR(AJ$46)-YEAR('融资租赁与资金缺口'!$F$7))*12+MONTH(AJ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AJ$46)-YEAR('融资租赁与资金缺口'!$F$7))*12+MONTH(AJ$46)-MONTH('融资租赁与资金缺口'!$F$7)),'融资租赁与资金缺口'!$E$7*(1+'融资租赁与资金缺口'!$I$7)^((YEAR(AJ$46)-YEAR('融资租赁与资金缺口'!$F$7))*12+MONTH(AJ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AJ$46)-YEAR('融资租赁与资金缺口'!$F$7))*12+MONTH(AJ$46)-MONTH('融资租赁与资金缺口'!$F$7))-1)/'融资租赁与资金缺口'!$I$7))))),IF(AJ$46&lt;'融资租赁与资金缺口'!$F$8,0,IF(AJ$46='融资租赁与资金缺口'!$F$8,'融资租赁与资金缺口'!$E$8,IF(((YEAR(AJ$46)-YEAR('融资租赁与资金缺口'!$F$8))*12+MONTH(AJ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AJ$46)-YEAR('融资租赁与资金缺口'!$F$8))*12+MONTH(AJ$46)-MONTH('融资租赁与资金缺口'!$F$8)),'融资租赁与资金缺口'!$E$8*(1+'融资租赁与资金缺口'!$I$8)^((YEAR(AJ$46)-YEAR('融资租赁与资金缺口'!$F$8))*12+MONTH(AJ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AJ$46)-YEAR('融资租赁与资金缺口'!$F$8))*12+MONTH(AJ$46)-MONTH('融资租赁与资金缺口'!$F$8))-1)/'融资租赁与资金缺口'!$I$8))))),IF(AJ$46&lt;'融资租赁与资金缺口'!$F$9,0,IF(AJ$46='融资租赁与资金缺口'!$F$9,'融资租赁与资金缺口'!$E$9,IF(((YEAR(AJ$46)-YEAR('融资租赁与资金缺口'!$F$9))*12+MONTH(AJ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AJ$46)-YEAR('融资租赁与资金缺口'!$F$9))*12+MONTH(AJ$46)-MONTH('融资租赁与资金缺口'!$F$9)),'融资租赁与资金缺口'!$E$9*(1+'融资租赁与资金缺口'!$I$9)^((YEAR(AJ$46)-YEAR('融资租赁与资金缺口'!$F$9))*12+MONTH(AJ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AJ$46)-YEAR('融资租赁与资金缺口'!$F$9))*12+MONTH(AJ$46)-MONTH('融资租赁与资金缺口'!$F$9))-1)/'融资租赁与资金缺口'!$I$9))))),IF(AJ$46&lt;'融资租赁与资金缺口'!$F$10,0,IF(AJ$46='融资租赁与资金缺口'!$F$10,'融资租赁与资金缺口'!$E$10,IF(((YEAR(AJ$46)-YEAR('融资租赁与资金缺口'!$F$10))*12+MONTH(AJ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AJ$46)-YEAR('融资租赁与资金缺口'!$F$10))*12+MONTH(AJ$46)-MONTH('融资租赁与资金缺口'!$F$10)),'融资租赁与资金缺口'!$E$10*(1+'融资租赁与资金缺口'!$I$10)^((YEAR(AJ$46)-YEAR('融资租赁与资金缺口'!$F$10))*12+MONTH(AJ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AJ$46)-YEAR('融资租赁与资金缺口'!$F$10))*12+MONTH(AJ$46)-MONTH('融资租赁与资金缺口'!$F$10))-1)/'融资租赁与资金缺口'!$I$10))))),IF(AJ$46&lt;'融资租赁与资金缺口'!$F$11,0,IF(AJ$46='融资租赁与资金缺口'!$F$11,'融资租赁与资金缺口'!$E$11,IF(((YEAR(AJ$46)-YEAR('融资租赁与资金缺口'!$F$11))*12+MONTH(AJ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AJ$46)-YEAR('融资租赁与资金缺口'!$F$11))*12+MONTH(AJ$46)-MONTH('融资租赁与资金缺口'!$F$11)),'融资租赁与资金缺口'!$E$11*(1+'融资租赁与资金缺口'!$I$11)^((YEAR(AJ$46)-YEAR('融资租赁与资金缺口'!$F$11))*12+MONTH(AJ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AJ$46)-YEAR('融资租赁与资金缺口'!$F$11))*12+MONTH(AJ$46)-MONTH('融资租赁与资金缺口'!$F$11))-1)/'融资租赁与资金缺口'!$I$11))))),IF(AJ$46&lt;'融资租赁与资金缺口'!$F$12,0,IF(AJ$46='融资租赁与资金缺口'!$F$12,'融资租赁与资金缺口'!$E$12,IF(((YEAR(AJ$46)-YEAR('融资租赁与资金缺口'!$F$12))*12+MONTH(AJ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AJ$46)-YEAR('融资租赁与资金缺口'!$F$12))*12+MONTH(AJ$46)-MONTH('融资租赁与资金缺口'!$F$12)),'融资租赁与资金缺口'!$E$12*(1+'融资租赁与资金缺口'!$I$12)^((YEAR(AJ$46)-YEAR('融资租赁与资金缺口'!$F$12))*12+MONTH(AJ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AJ$46)-YEAR('融资租赁与资金缺口'!$F$12))*12+MONTH(AJ$46)-MONTH('融资租赁与资金缺口'!$F$12))-1)/'融资租赁与资金缺口'!$I$12))))),IF(AJ$46&lt;'融资租赁与资金缺口'!$F$13,0,IF(AJ$46='融资租赁与资金缺口'!$F$13,'融资租赁与资金缺口'!$E$13,IF(((YEAR(AJ$46)-YEAR('融资租赁与资金缺口'!$F$13))*12+MONTH(AJ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AJ$46)-YEAR('融资租赁与资金缺口'!$F$13))*12+MONTH(AJ$46)-MONTH('融资租赁与资金缺口'!$F$13)),'融资租赁与资金缺口'!$E$13*(1+'融资租赁与资金缺口'!$I$13)^((YEAR(AJ$46)-YEAR('融资租赁与资金缺口'!$F$13))*12+MONTH(AJ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AJ$46)-YEAR('融资租赁与资金缺口'!$F$13))*12+MONTH(AJ$46)-MONTH('融资租赁与资金缺口'!$F$13))-1)/'融资租赁与资金缺口'!$I$13))))),IF(AJ$46&lt;'融资租赁与资金缺口'!$F$14,0,IF(AJ$46='融资租赁与资金缺口'!$F$14,'融资租赁与资金缺口'!$E$14,IF(((YEAR(AJ$46)-YEAR('融资租赁与资金缺口'!$F$14))*12+MONTH(AJ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AJ$46)-YEAR('融资租赁与资金缺口'!$F$14))*12+MONTH(AJ$46)-MONTH('融资租赁与资金缺口'!$F$14)),'融资租赁与资金缺口'!$E$14*(1+'融资租赁与资金缺口'!$I$14)^((YEAR(AJ$46)-YEAR('融资租赁与资金缺口'!$F$14))*12+MONTH(AJ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AJ$46)-YEAR('融资租赁与资金缺口'!$F$14))*12+MONTH(AJ$46)-MONTH('融资租赁与资金缺口'!$F$14))-1)/'融资租赁与资金缺口'!$I$14))))),IF(AJ$46&lt;'融资租赁与资金缺口'!$F$15,0,IF(AJ$46='融资租赁与资金缺口'!$F$15,'融资租赁与资金缺口'!$E$15,IF(((YEAR(AJ$46)-YEAR('融资租赁与资金缺口'!$F$15))*12+MONTH(AJ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AJ$46)-YEAR('融资租赁与资金缺口'!$F$15))*12+MONTH(AJ$46)-MONTH('融资租赁与资金缺口'!$F$15)),'融资租赁与资金缺口'!$E$15*(1+'融资租赁与资金缺口'!$I$15)^((YEAR(AJ$46)-YEAR('融资租赁与资金缺口'!$F$15))*12+MONTH(AJ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AJ$46)-YEAR('融资租赁与资金缺口'!$F$15))*12+MONTH(AJ$46)-MONTH('融资租赁与资金缺口'!$F$15))-1)/'融资租赁与资金缺口'!$I$15))))),IF(AJ$46&lt;'融资租赁与资金缺口'!$F$16,0,IF(AJ$46='融资租赁与资金缺口'!$F$16,'融资租赁与资金缺口'!$E$16,IF(((YEAR(AJ$46)-YEAR('融资租赁与资金缺口'!$F$16))*12+MONTH(AJ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AJ$46)-YEAR('融资租赁与资金缺口'!$F$16))*12+MONTH(AJ$46)-MONTH('融资租赁与资金缺口'!$F$16)),'融资租赁与资金缺口'!$E$16*(1+'融资租赁与资金缺口'!$I$16)^((YEAR(AJ$46)-YEAR('融资租赁与资金缺口'!$F$16))*12+MONTH(AJ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AJ$46)-YEAR('融资租赁与资金缺口'!$F$16))*12+MONTH(AJ$46)-MONTH('融资租赁与资金缺口'!$F$16))-1)/'融资租赁与资金缺口'!$I$16))))))</x:f>
        <x:v>113351956.61334482</x:v>
      </x:c>
      <x:c r="AK53" s="28" t="n">
        <x:f>SUM(IF(AK$46&lt;'融资租赁与资金缺口'!$F$5,0,IF(AK$46='融资租赁与资金缺口'!$F$5,'融资租赁与资金缺口'!$E$5,IF(((YEAR(AK$46)-YEAR('融资租赁与资金缺口'!$F$5))*12+MONTH(AK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AK$46)-YEAR('融资租赁与资金缺口'!$F$5))*12+MONTH(AK$46)-MONTH('融资租赁与资金缺口'!$F$5)),'融资租赁与资金缺口'!$E$5*(1+'融资租赁与资金缺口'!$I$5)^((YEAR(AK$46)-YEAR('融资租赁与资金缺口'!$F$5))*12+MONTH(AK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AK$46)-YEAR('融资租赁与资金缺口'!$F$5))*12+MONTH(AK$46)-MONTH('融资租赁与资金缺口'!$F$5))-1)/'融资租赁与资金缺口'!$I$5))))),IF(AK$46&lt;'融资租赁与资金缺口'!$F$6,0,IF(AK$46='融资租赁与资金缺口'!$F$6,'融资租赁与资金缺口'!$E$6,IF(((YEAR(AK$46)-YEAR('融资租赁与资金缺口'!$F$6))*12+MONTH(AK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AK$46)-YEAR('融资租赁与资金缺口'!$F$6))*12+MONTH(AK$46)-MONTH('融资租赁与资金缺口'!$F$6)),'融资租赁与资金缺口'!$E$6*(1+'融资租赁与资金缺口'!$I$6)^((YEAR(AK$46)-YEAR('融资租赁与资金缺口'!$F$6))*12+MONTH(AK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AK$46)-YEAR('融资租赁与资金缺口'!$F$6))*12+MONTH(AK$46)-MONTH('融资租赁与资金缺口'!$F$6))-1)/'融资租赁与资金缺口'!$I$6))))),IF(AK$46&lt;'融资租赁与资金缺口'!$F$7,0,IF(AK$46='融资租赁与资金缺口'!$F$7,'融资租赁与资金缺口'!$E$7,IF(((YEAR(AK$46)-YEAR('融资租赁与资金缺口'!$F$7))*12+MONTH(AK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AK$46)-YEAR('融资租赁与资金缺口'!$F$7))*12+MONTH(AK$46)-MONTH('融资租赁与资金缺口'!$F$7)),'融资租赁与资金缺口'!$E$7*(1+'融资租赁与资金缺口'!$I$7)^((YEAR(AK$46)-YEAR('融资租赁与资金缺口'!$F$7))*12+MONTH(AK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AK$46)-YEAR('融资租赁与资金缺口'!$F$7))*12+MONTH(AK$46)-MONTH('融资租赁与资金缺口'!$F$7))-1)/'融资租赁与资金缺口'!$I$7))))),IF(AK$46&lt;'融资租赁与资金缺口'!$F$8,0,IF(AK$46='融资租赁与资金缺口'!$F$8,'融资租赁与资金缺口'!$E$8,IF(((YEAR(AK$46)-YEAR('融资租赁与资金缺口'!$F$8))*12+MONTH(AK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AK$46)-YEAR('融资租赁与资金缺口'!$F$8))*12+MONTH(AK$46)-MONTH('融资租赁与资金缺口'!$F$8)),'融资租赁与资金缺口'!$E$8*(1+'融资租赁与资金缺口'!$I$8)^((YEAR(AK$46)-YEAR('融资租赁与资金缺口'!$F$8))*12+MONTH(AK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AK$46)-YEAR('融资租赁与资金缺口'!$F$8))*12+MONTH(AK$46)-MONTH('融资租赁与资金缺口'!$F$8))-1)/'融资租赁与资金缺口'!$I$8))))),IF(AK$46&lt;'融资租赁与资金缺口'!$F$9,0,IF(AK$46='融资租赁与资金缺口'!$F$9,'融资租赁与资金缺口'!$E$9,IF(((YEAR(AK$46)-YEAR('融资租赁与资金缺口'!$F$9))*12+MONTH(AK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AK$46)-YEAR('融资租赁与资金缺口'!$F$9))*12+MONTH(AK$46)-MONTH('融资租赁与资金缺口'!$F$9)),'融资租赁与资金缺口'!$E$9*(1+'融资租赁与资金缺口'!$I$9)^((YEAR(AK$46)-YEAR('融资租赁与资金缺口'!$F$9))*12+MONTH(AK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AK$46)-YEAR('融资租赁与资金缺口'!$F$9))*12+MONTH(AK$46)-MONTH('融资租赁与资金缺口'!$F$9))-1)/'融资租赁与资金缺口'!$I$9))))),IF(AK$46&lt;'融资租赁与资金缺口'!$F$10,0,IF(AK$46='融资租赁与资金缺口'!$F$10,'融资租赁与资金缺口'!$E$10,IF(((YEAR(AK$46)-YEAR('融资租赁与资金缺口'!$F$10))*12+MONTH(AK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AK$46)-YEAR('融资租赁与资金缺口'!$F$10))*12+MONTH(AK$46)-MONTH('融资租赁与资金缺口'!$F$10)),'融资租赁与资金缺口'!$E$10*(1+'融资租赁与资金缺口'!$I$10)^((YEAR(AK$46)-YEAR('融资租赁与资金缺口'!$F$10))*12+MONTH(AK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AK$46)-YEAR('融资租赁与资金缺口'!$F$10))*12+MONTH(AK$46)-MONTH('融资租赁与资金缺口'!$F$10))-1)/'融资租赁与资金缺口'!$I$10))))),IF(AK$46&lt;'融资租赁与资金缺口'!$F$11,0,IF(AK$46='融资租赁与资金缺口'!$F$11,'融资租赁与资金缺口'!$E$11,IF(((YEAR(AK$46)-YEAR('融资租赁与资金缺口'!$F$11))*12+MONTH(AK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AK$46)-YEAR('融资租赁与资金缺口'!$F$11))*12+MONTH(AK$46)-MONTH('融资租赁与资金缺口'!$F$11)),'融资租赁与资金缺口'!$E$11*(1+'融资租赁与资金缺口'!$I$11)^((YEAR(AK$46)-YEAR('融资租赁与资金缺口'!$F$11))*12+MONTH(AK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AK$46)-YEAR('融资租赁与资金缺口'!$F$11))*12+MONTH(AK$46)-MONTH('融资租赁与资金缺口'!$F$11))-1)/'融资租赁与资金缺口'!$I$11))))),IF(AK$46&lt;'融资租赁与资金缺口'!$F$12,0,IF(AK$46='融资租赁与资金缺口'!$F$12,'融资租赁与资金缺口'!$E$12,IF(((YEAR(AK$46)-YEAR('融资租赁与资金缺口'!$F$12))*12+MONTH(AK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AK$46)-YEAR('融资租赁与资金缺口'!$F$12))*12+MONTH(AK$46)-MONTH('融资租赁与资金缺口'!$F$12)),'融资租赁与资金缺口'!$E$12*(1+'融资租赁与资金缺口'!$I$12)^((YEAR(AK$46)-YEAR('融资租赁与资金缺口'!$F$12))*12+MONTH(AK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AK$46)-YEAR('融资租赁与资金缺口'!$F$12))*12+MONTH(AK$46)-MONTH('融资租赁与资金缺口'!$F$12))-1)/'融资租赁与资金缺口'!$I$12))))),IF(AK$46&lt;'融资租赁与资金缺口'!$F$13,0,IF(AK$46='融资租赁与资金缺口'!$F$13,'融资租赁与资金缺口'!$E$13,IF(((YEAR(AK$46)-YEAR('融资租赁与资金缺口'!$F$13))*12+MONTH(AK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AK$46)-YEAR('融资租赁与资金缺口'!$F$13))*12+MONTH(AK$46)-MONTH('融资租赁与资金缺口'!$F$13)),'融资租赁与资金缺口'!$E$13*(1+'融资租赁与资金缺口'!$I$13)^((YEAR(AK$46)-YEAR('融资租赁与资金缺口'!$F$13))*12+MONTH(AK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AK$46)-YEAR('融资租赁与资金缺口'!$F$13))*12+MONTH(AK$46)-MONTH('融资租赁与资金缺口'!$F$13))-1)/'融资租赁与资金缺口'!$I$13))))),IF(AK$46&lt;'融资租赁与资金缺口'!$F$14,0,IF(AK$46='融资租赁与资金缺口'!$F$14,'融资租赁与资金缺口'!$E$14,IF(((YEAR(AK$46)-YEAR('融资租赁与资金缺口'!$F$14))*12+MONTH(AK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AK$46)-YEAR('融资租赁与资金缺口'!$F$14))*12+MONTH(AK$46)-MONTH('融资租赁与资金缺口'!$F$14)),'融资租赁与资金缺口'!$E$14*(1+'融资租赁与资金缺口'!$I$14)^((YEAR(AK$46)-YEAR('融资租赁与资金缺口'!$F$14))*12+MONTH(AK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AK$46)-YEAR('融资租赁与资金缺口'!$F$14))*12+MONTH(AK$46)-MONTH('融资租赁与资金缺口'!$F$14))-1)/'融资租赁与资金缺口'!$I$14))))),IF(AK$46&lt;'融资租赁与资金缺口'!$F$15,0,IF(AK$46='融资租赁与资金缺口'!$F$15,'融资租赁与资金缺口'!$E$15,IF(((YEAR(AK$46)-YEAR('融资租赁与资金缺口'!$F$15))*12+MONTH(AK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AK$46)-YEAR('融资租赁与资金缺口'!$F$15))*12+MONTH(AK$46)-MONTH('融资租赁与资金缺口'!$F$15)),'融资租赁与资金缺口'!$E$15*(1+'融资租赁与资金缺口'!$I$15)^((YEAR(AK$46)-YEAR('融资租赁与资金缺口'!$F$15))*12+MONTH(AK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AK$46)-YEAR('融资租赁与资金缺口'!$F$15))*12+MONTH(AK$46)-MONTH('融资租赁与资金缺口'!$F$15))-1)/'融资租赁与资金缺口'!$I$15))))),IF(AK$46&lt;'融资租赁与资金缺口'!$F$16,0,IF(AK$46='融资租赁与资金缺口'!$F$16,'融资租赁与资金缺口'!$E$16,IF(((YEAR(AK$46)-YEAR('融资租赁与资金缺口'!$F$16))*12+MONTH(AK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AK$46)-YEAR('融资租赁与资金缺口'!$F$16))*12+MONTH(AK$46)-MONTH('融资租赁与资金缺口'!$F$16)),'融资租赁与资金缺口'!$E$16*(1+'融资租赁与资金缺口'!$I$16)^((YEAR(AK$46)-YEAR('融资租赁与资金缺口'!$F$16))*12+MONTH(AK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AK$46)-YEAR('融资租赁与资金缺口'!$F$16))*12+MONTH(AK$46)-MONTH('融资租赁与资金缺口'!$F$16))-1)/'融资租赁与资金缺口'!$I$16))))))</x:f>
        <x:v>150009229.61134323</x:v>
      </x:c>
      <x:c r="AL53" s="28" t="n">
        <x:f>SUM(IF(AL$46&lt;'融资租赁与资金缺口'!$F$5,0,IF(AL$46='融资租赁与资金缺口'!$F$5,'融资租赁与资金缺口'!$E$5,IF(((YEAR(AL$46)-YEAR('融资租赁与资金缺口'!$F$5))*12+MONTH(AL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AL$46)-YEAR('融资租赁与资金缺口'!$F$5))*12+MONTH(AL$46)-MONTH('融资租赁与资金缺口'!$F$5)),'融资租赁与资金缺口'!$E$5*(1+'融资租赁与资金缺口'!$I$5)^((YEAR(AL$46)-YEAR('融资租赁与资金缺口'!$F$5))*12+MONTH(AL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AL$46)-YEAR('融资租赁与资金缺口'!$F$5))*12+MONTH(AL$46)-MONTH('融资租赁与资金缺口'!$F$5))-1)/'融资租赁与资金缺口'!$I$5))))),IF(AL$46&lt;'融资租赁与资金缺口'!$F$6,0,IF(AL$46='融资租赁与资金缺口'!$F$6,'融资租赁与资金缺口'!$E$6,IF(((YEAR(AL$46)-YEAR('融资租赁与资金缺口'!$F$6))*12+MONTH(AL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AL$46)-YEAR('融资租赁与资金缺口'!$F$6))*12+MONTH(AL$46)-MONTH('融资租赁与资金缺口'!$F$6)),'融资租赁与资金缺口'!$E$6*(1+'融资租赁与资金缺口'!$I$6)^((YEAR(AL$46)-YEAR('融资租赁与资金缺口'!$F$6))*12+MONTH(AL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AL$46)-YEAR('融资租赁与资金缺口'!$F$6))*12+MONTH(AL$46)-MONTH('融资租赁与资金缺口'!$F$6))-1)/'融资租赁与资金缺口'!$I$6))))),IF(AL$46&lt;'融资租赁与资金缺口'!$F$7,0,IF(AL$46='融资租赁与资金缺口'!$F$7,'融资租赁与资金缺口'!$E$7,IF(((YEAR(AL$46)-YEAR('融资租赁与资金缺口'!$F$7))*12+MONTH(AL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AL$46)-YEAR('融资租赁与资金缺口'!$F$7))*12+MONTH(AL$46)-MONTH('融资租赁与资金缺口'!$F$7)),'融资租赁与资金缺口'!$E$7*(1+'融资租赁与资金缺口'!$I$7)^((YEAR(AL$46)-YEAR('融资租赁与资金缺口'!$F$7))*12+MONTH(AL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AL$46)-YEAR('融资租赁与资金缺口'!$F$7))*12+MONTH(AL$46)-MONTH('融资租赁与资金缺口'!$F$7))-1)/'融资租赁与资金缺口'!$I$7))))),IF(AL$46&lt;'融资租赁与资金缺口'!$F$8,0,IF(AL$46='融资租赁与资金缺口'!$F$8,'融资租赁与资金缺口'!$E$8,IF(((YEAR(AL$46)-YEAR('融资租赁与资金缺口'!$F$8))*12+MONTH(AL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AL$46)-YEAR('融资租赁与资金缺口'!$F$8))*12+MONTH(AL$46)-MONTH('融资租赁与资金缺口'!$F$8)),'融资租赁与资金缺口'!$E$8*(1+'融资租赁与资金缺口'!$I$8)^((YEAR(AL$46)-YEAR('融资租赁与资金缺口'!$F$8))*12+MONTH(AL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AL$46)-YEAR('融资租赁与资金缺口'!$F$8))*12+MONTH(AL$46)-MONTH('融资租赁与资金缺口'!$F$8))-1)/'融资租赁与资金缺口'!$I$8))))),IF(AL$46&lt;'融资租赁与资金缺口'!$F$9,0,IF(AL$46='融资租赁与资金缺口'!$F$9,'融资租赁与资金缺口'!$E$9,IF(((YEAR(AL$46)-YEAR('融资租赁与资金缺口'!$F$9))*12+MONTH(AL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AL$46)-YEAR('融资租赁与资金缺口'!$F$9))*12+MONTH(AL$46)-MONTH('融资租赁与资金缺口'!$F$9)),'融资租赁与资金缺口'!$E$9*(1+'融资租赁与资金缺口'!$I$9)^((YEAR(AL$46)-YEAR('融资租赁与资金缺口'!$F$9))*12+MONTH(AL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AL$46)-YEAR('融资租赁与资金缺口'!$F$9))*12+MONTH(AL$46)-MONTH('融资租赁与资金缺口'!$F$9))-1)/'融资租赁与资金缺口'!$I$9))))),IF(AL$46&lt;'融资租赁与资金缺口'!$F$10,0,IF(AL$46='融资租赁与资金缺口'!$F$10,'融资租赁与资金缺口'!$E$10,IF(((YEAR(AL$46)-YEAR('融资租赁与资金缺口'!$F$10))*12+MONTH(AL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AL$46)-YEAR('融资租赁与资金缺口'!$F$10))*12+MONTH(AL$46)-MONTH('融资租赁与资金缺口'!$F$10)),'融资租赁与资金缺口'!$E$10*(1+'融资租赁与资金缺口'!$I$10)^((YEAR(AL$46)-YEAR('融资租赁与资金缺口'!$F$10))*12+MONTH(AL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AL$46)-YEAR('融资租赁与资金缺口'!$F$10))*12+MONTH(AL$46)-MONTH('融资租赁与资金缺口'!$F$10))-1)/'融资租赁与资金缺口'!$I$10))))),IF(AL$46&lt;'融资租赁与资金缺口'!$F$11,0,IF(AL$46='融资租赁与资金缺口'!$F$11,'融资租赁与资金缺口'!$E$11,IF(((YEAR(AL$46)-YEAR('融资租赁与资金缺口'!$F$11))*12+MONTH(AL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AL$46)-YEAR('融资租赁与资金缺口'!$F$11))*12+MONTH(AL$46)-MONTH('融资租赁与资金缺口'!$F$11)),'融资租赁与资金缺口'!$E$11*(1+'融资租赁与资金缺口'!$I$11)^((YEAR(AL$46)-YEAR('融资租赁与资金缺口'!$F$11))*12+MONTH(AL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AL$46)-YEAR('融资租赁与资金缺口'!$F$11))*12+MONTH(AL$46)-MONTH('融资租赁与资金缺口'!$F$11))-1)/'融资租赁与资金缺口'!$I$11))))),IF(AL$46&lt;'融资租赁与资金缺口'!$F$12,0,IF(AL$46='融资租赁与资金缺口'!$F$12,'融资租赁与资金缺口'!$E$12,IF(((YEAR(AL$46)-YEAR('融资租赁与资金缺口'!$F$12))*12+MONTH(AL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AL$46)-YEAR('融资租赁与资金缺口'!$F$12))*12+MONTH(AL$46)-MONTH('融资租赁与资金缺口'!$F$12)),'融资租赁与资金缺口'!$E$12*(1+'融资租赁与资金缺口'!$I$12)^((YEAR(AL$46)-YEAR('融资租赁与资金缺口'!$F$12))*12+MONTH(AL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AL$46)-YEAR('融资租赁与资金缺口'!$F$12))*12+MONTH(AL$46)-MONTH('融资租赁与资金缺口'!$F$12))-1)/'融资租赁与资金缺口'!$I$12))))),IF(AL$46&lt;'融资租赁与资金缺口'!$F$13,0,IF(AL$46='融资租赁与资金缺口'!$F$13,'融资租赁与资金缺口'!$E$13,IF(((YEAR(AL$46)-YEAR('融资租赁与资金缺口'!$F$13))*12+MONTH(AL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AL$46)-YEAR('融资租赁与资金缺口'!$F$13))*12+MONTH(AL$46)-MONTH('融资租赁与资金缺口'!$F$13)),'融资租赁与资金缺口'!$E$13*(1+'融资租赁与资金缺口'!$I$13)^((YEAR(AL$46)-YEAR('融资租赁与资金缺口'!$F$13))*12+MONTH(AL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AL$46)-YEAR('融资租赁与资金缺口'!$F$13))*12+MONTH(AL$46)-MONTH('融资租赁与资金缺口'!$F$13))-1)/'融资租赁与资金缺口'!$I$13))))),IF(AL$46&lt;'融资租赁与资金缺口'!$F$14,0,IF(AL$46='融资租赁与资金缺口'!$F$14,'融资租赁与资金缺口'!$E$14,IF(((YEAR(AL$46)-YEAR('融资租赁与资金缺口'!$F$14))*12+MONTH(AL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AL$46)-YEAR('融资租赁与资金缺口'!$F$14))*12+MONTH(AL$46)-MONTH('融资租赁与资金缺口'!$F$14)),'融资租赁与资金缺口'!$E$14*(1+'融资租赁与资金缺口'!$I$14)^((YEAR(AL$46)-YEAR('融资租赁与资金缺口'!$F$14))*12+MONTH(AL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AL$46)-YEAR('融资租赁与资金缺口'!$F$14))*12+MONTH(AL$46)-MONTH('融资租赁与资金缺口'!$F$14))-1)/'融资租赁与资金缺口'!$I$14))))),IF(AL$46&lt;'融资租赁与资金缺口'!$F$15,0,IF(AL$46='融资租赁与资金缺口'!$F$15,'融资租赁与资金缺口'!$E$15,IF(((YEAR(AL$46)-YEAR('融资租赁与资金缺口'!$F$15))*12+MONTH(AL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AL$46)-YEAR('融资租赁与资金缺口'!$F$15))*12+MONTH(AL$46)-MONTH('融资租赁与资金缺口'!$F$15)),'融资租赁与资金缺口'!$E$15*(1+'融资租赁与资金缺口'!$I$15)^((YEAR(AL$46)-YEAR('融资租赁与资金缺口'!$F$15))*12+MONTH(AL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AL$46)-YEAR('融资租赁与资金缺口'!$F$15))*12+MONTH(AL$46)-MONTH('融资租赁与资金缺口'!$F$15))-1)/'融资租赁与资金缺口'!$I$15))))),IF(AL$46&lt;'融资租赁与资金缺口'!$F$16,0,IF(AL$46='融资租赁与资金缺口'!$F$16,'融资租赁与资金缺口'!$E$16,IF(((YEAR(AL$46)-YEAR('融资租赁与资金缺口'!$F$16))*12+MONTH(AL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AL$46)-YEAR('融资租赁与资金缺口'!$F$16))*12+MONTH(AL$46)-MONTH('融资租赁与资金缺口'!$F$16)),'融资租赁与资金缺口'!$E$16*(1+'融资租赁与资金缺口'!$I$16)^((YEAR(AL$46)-YEAR('融资租赁与资金缺口'!$F$16))*12+MONTH(AL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AL$46)-YEAR('融资租赁与资金缺口'!$F$16))*12+MONTH(AL$46)-MONTH('融资租赁与资金缺口'!$F$16))-1)/'融资租赁与资金缺口'!$I$16))))))</x:f>
        <x:v>189636030.38943076</x:v>
      </x:c>
      <x:c r="AM53" s="28" t="n">
        <x:f>SUM(IF(AM$46&lt;'融资租赁与资金缺口'!$F$5,0,IF(AM$46='融资租赁与资金缺口'!$F$5,'融资租赁与资金缺口'!$E$5,IF(((YEAR(AM$46)-YEAR('融资租赁与资金缺口'!$F$5))*12+MONTH(AM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AM$46)-YEAR('融资租赁与资金缺口'!$F$5))*12+MONTH(AM$46)-MONTH('融资租赁与资金缺口'!$F$5)),'融资租赁与资金缺口'!$E$5*(1+'融资租赁与资金缺口'!$I$5)^((YEAR(AM$46)-YEAR('融资租赁与资金缺口'!$F$5))*12+MONTH(AM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AM$46)-YEAR('融资租赁与资金缺口'!$F$5))*12+MONTH(AM$46)-MONTH('融资租赁与资金缺口'!$F$5))-1)/'融资租赁与资金缺口'!$I$5))))),IF(AM$46&lt;'融资租赁与资金缺口'!$F$6,0,IF(AM$46='融资租赁与资金缺口'!$F$6,'融资租赁与资金缺口'!$E$6,IF(((YEAR(AM$46)-YEAR('融资租赁与资金缺口'!$F$6))*12+MONTH(AM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AM$46)-YEAR('融资租赁与资金缺口'!$F$6))*12+MONTH(AM$46)-MONTH('融资租赁与资金缺口'!$F$6)),'融资租赁与资金缺口'!$E$6*(1+'融资租赁与资金缺口'!$I$6)^((YEAR(AM$46)-YEAR('融资租赁与资金缺口'!$F$6))*12+MONTH(AM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AM$46)-YEAR('融资租赁与资金缺口'!$F$6))*12+MONTH(AM$46)-MONTH('融资租赁与资金缺口'!$F$6))-1)/'融资租赁与资金缺口'!$I$6))))),IF(AM$46&lt;'融资租赁与资金缺口'!$F$7,0,IF(AM$46='融资租赁与资金缺口'!$F$7,'融资租赁与资金缺口'!$E$7,IF(((YEAR(AM$46)-YEAR('融资租赁与资金缺口'!$F$7))*12+MONTH(AM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AM$46)-YEAR('融资租赁与资金缺口'!$F$7))*12+MONTH(AM$46)-MONTH('融资租赁与资金缺口'!$F$7)),'融资租赁与资金缺口'!$E$7*(1+'融资租赁与资金缺口'!$I$7)^((YEAR(AM$46)-YEAR('融资租赁与资金缺口'!$F$7))*12+MONTH(AM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AM$46)-YEAR('融资租赁与资金缺口'!$F$7))*12+MONTH(AM$46)-MONTH('融资租赁与资金缺口'!$F$7))-1)/'融资租赁与资金缺口'!$I$7))))),IF(AM$46&lt;'融资租赁与资金缺口'!$F$8,0,IF(AM$46='融资租赁与资金缺口'!$F$8,'融资租赁与资金缺口'!$E$8,IF(((YEAR(AM$46)-YEAR('融资租赁与资金缺口'!$F$8))*12+MONTH(AM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AM$46)-YEAR('融资租赁与资金缺口'!$F$8))*12+MONTH(AM$46)-MONTH('融资租赁与资金缺口'!$F$8)),'融资租赁与资金缺口'!$E$8*(1+'融资租赁与资金缺口'!$I$8)^((YEAR(AM$46)-YEAR('融资租赁与资金缺口'!$F$8))*12+MONTH(AM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AM$46)-YEAR('融资租赁与资金缺口'!$F$8))*12+MONTH(AM$46)-MONTH('融资租赁与资金缺口'!$F$8))-1)/'融资租赁与资金缺口'!$I$8))))),IF(AM$46&lt;'融资租赁与资金缺口'!$F$9,0,IF(AM$46='融资租赁与资金缺口'!$F$9,'融资租赁与资金缺口'!$E$9,IF(((YEAR(AM$46)-YEAR('融资租赁与资金缺口'!$F$9))*12+MONTH(AM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AM$46)-YEAR('融资租赁与资金缺口'!$F$9))*12+MONTH(AM$46)-MONTH('融资租赁与资金缺口'!$F$9)),'融资租赁与资金缺口'!$E$9*(1+'融资租赁与资金缺口'!$I$9)^((YEAR(AM$46)-YEAR('融资租赁与资金缺口'!$F$9))*12+MONTH(AM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AM$46)-YEAR('融资租赁与资金缺口'!$F$9))*12+MONTH(AM$46)-MONTH('融资租赁与资金缺口'!$F$9))-1)/'融资租赁与资金缺口'!$I$9))))),IF(AM$46&lt;'融资租赁与资金缺口'!$F$10,0,IF(AM$46='融资租赁与资金缺口'!$F$10,'融资租赁与资金缺口'!$E$10,IF(((YEAR(AM$46)-YEAR('融资租赁与资金缺口'!$F$10))*12+MONTH(AM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AM$46)-YEAR('融资租赁与资金缺口'!$F$10))*12+MONTH(AM$46)-MONTH('融资租赁与资金缺口'!$F$10)),'融资租赁与资金缺口'!$E$10*(1+'融资租赁与资金缺口'!$I$10)^((YEAR(AM$46)-YEAR('融资租赁与资金缺口'!$F$10))*12+MONTH(AM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AM$46)-YEAR('融资租赁与资金缺口'!$F$10))*12+MONTH(AM$46)-MONTH('融资租赁与资金缺口'!$F$10))-1)/'融资租赁与资金缺口'!$I$10))))),IF(AM$46&lt;'融资租赁与资金缺口'!$F$11,0,IF(AM$46='融资租赁与资金缺口'!$F$11,'融资租赁与资金缺口'!$E$11,IF(((YEAR(AM$46)-YEAR('融资租赁与资金缺口'!$F$11))*12+MONTH(AM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AM$46)-YEAR('融资租赁与资金缺口'!$F$11))*12+MONTH(AM$46)-MONTH('融资租赁与资金缺口'!$F$11)),'融资租赁与资金缺口'!$E$11*(1+'融资租赁与资金缺口'!$I$11)^((YEAR(AM$46)-YEAR('融资租赁与资金缺口'!$F$11))*12+MONTH(AM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AM$46)-YEAR('融资租赁与资金缺口'!$F$11))*12+MONTH(AM$46)-MONTH('融资租赁与资金缺口'!$F$11))-1)/'融资租赁与资金缺口'!$I$11))))),IF(AM$46&lt;'融资租赁与资金缺口'!$F$12,0,IF(AM$46='融资租赁与资金缺口'!$F$12,'融资租赁与资金缺口'!$E$12,IF(((YEAR(AM$46)-YEAR('融资租赁与资金缺口'!$F$12))*12+MONTH(AM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AM$46)-YEAR('融资租赁与资金缺口'!$F$12))*12+MONTH(AM$46)-MONTH('融资租赁与资金缺口'!$F$12)),'融资租赁与资金缺口'!$E$12*(1+'融资租赁与资金缺口'!$I$12)^((YEAR(AM$46)-YEAR('融资租赁与资金缺口'!$F$12))*12+MONTH(AM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AM$46)-YEAR('融资租赁与资金缺口'!$F$12))*12+MONTH(AM$46)-MONTH('融资租赁与资金缺口'!$F$12))-1)/'融资租赁与资金缺口'!$I$12))))),IF(AM$46&lt;'融资租赁与资金缺口'!$F$13,0,IF(AM$46='融资租赁与资金缺口'!$F$13,'融资租赁与资金缺口'!$E$13,IF(((YEAR(AM$46)-YEAR('融资租赁与资金缺口'!$F$13))*12+MONTH(AM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AM$46)-YEAR('融资租赁与资金缺口'!$F$13))*12+MONTH(AM$46)-MONTH('融资租赁与资金缺口'!$F$13)),'融资租赁与资金缺口'!$E$13*(1+'融资租赁与资金缺口'!$I$13)^((YEAR(AM$46)-YEAR('融资租赁与资金缺口'!$F$13))*12+MONTH(AM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AM$46)-YEAR('融资租赁与资金缺口'!$F$13))*12+MONTH(AM$46)-MONTH('融资租赁与资金缺口'!$F$13))-1)/'融资租赁与资金缺口'!$I$13))))),IF(AM$46&lt;'融资租赁与资金缺口'!$F$14,0,IF(AM$46='融资租赁与资金缺口'!$F$14,'融资租赁与资金缺口'!$E$14,IF(((YEAR(AM$46)-YEAR('融资租赁与资金缺口'!$F$14))*12+MONTH(AM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AM$46)-YEAR('融资租赁与资金缺口'!$F$14))*12+MONTH(AM$46)-MONTH('融资租赁与资金缺口'!$F$14)),'融资租赁与资金缺口'!$E$14*(1+'融资租赁与资金缺口'!$I$14)^((YEAR(AM$46)-YEAR('融资租赁与资金缺口'!$F$14))*12+MONTH(AM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AM$46)-YEAR('融资租赁与资金缺口'!$F$14))*12+MONTH(AM$46)-MONTH('融资租赁与资金缺口'!$F$14))-1)/'融资租赁与资金缺口'!$I$14))))),IF(AM$46&lt;'融资租赁与资金缺口'!$F$15,0,IF(AM$46='融资租赁与资金缺口'!$F$15,'融资租赁与资金缺口'!$E$15,IF(((YEAR(AM$46)-YEAR('融资租赁与资金缺口'!$F$15))*12+MONTH(AM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AM$46)-YEAR('融资租赁与资金缺口'!$F$15))*12+MONTH(AM$46)-MONTH('融资租赁与资金缺口'!$F$15)),'融资租赁与资金缺口'!$E$15*(1+'融资租赁与资金缺口'!$I$15)^((YEAR(AM$46)-YEAR('融资租赁与资金缺口'!$F$15))*12+MONTH(AM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AM$46)-YEAR('融资租赁与资金缺口'!$F$15))*12+MONTH(AM$46)-MONTH('融资租赁与资金缺口'!$F$15))-1)/'融资租赁与资金缺口'!$I$15))))),IF(AM$46&lt;'融资租赁与资金缺口'!$F$16,0,IF(AM$46='融资租赁与资金缺口'!$F$16,'融资租赁与资金缺口'!$E$16,IF(((YEAR(AM$46)-YEAR('融资租赁与资金缺口'!$F$16))*12+MONTH(AM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AM$46)-YEAR('融资租赁与资金缺口'!$F$16))*12+MONTH(AM$46)-MONTH('融资租赁与资金缺口'!$F$16)),'融资租赁与资金缺口'!$E$16*(1+'融资租赁与资金缺口'!$I$16)^((YEAR(AM$46)-YEAR('融资租赁与资金缺口'!$F$16))*12+MONTH(AM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AM$46)-YEAR('融资租赁与资金缺口'!$F$16))*12+MONTH(AM$46)-MONTH('融资租赁与资金缺口'!$F$16))-1)/'融资租赁与资金缺口'!$I$16))))))</x:f>
        <x:v>231969005.08964676</x:v>
      </x:c>
      <x:c r="AN53" s="28" t="n">
        <x:f>SUM(IF(AN$46&lt;'融资租赁与资金缺口'!$F$5,0,IF(AN$46='融资租赁与资金缺口'!$F$5,'融资租赁与资金缺口'!$E$5,IF(((YEAR(AN$46)-YEAR('融资租赁与资金缺口'!$F$5))*12+MONTH(AN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AN$46)-YEAR('融资租赁与资金缺口'!$F$5))*12+MONTH(AN$46)-MONTH('融资租赁与资金缺口'!$F$5)),'融资租赁与资金缺口'!$E$5*(1+'融资租赁与资金缺口'!$I$5)^((YEAR(AN$46)-YEAR('融资租赁与资金缺口'!$F$5))*12+MONTH(AN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AN$46)-YEAR('融资租赁与资金缺口'!$F$5))*12+MONTH(AN$46)-MONTH('融资租赁与资金缺口'!$F$5))-1)/'融资租赁与资金缺口'!$I$5))))),IF(AN$46&lt;'融资租赁与资金缺口'!$F$6,0,IF(AN$46='融资租赁与资金缺口'!$F$6,'融资租赁与资金缺口'!$E$6,IF(((YEAR(AN$46)-YEAR('融资租赁与资金缺口'!$F$6))*12+MONTH(AN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AN$46)-YEAR('融资租赁与资金缺口'!$F$6))*12+MONTH(AN$46)-MONTH('融资租赁与资金缺口'!$F$6)),'融资租赁与资金缺口'!$E$6*(1+'融资租赁与资金缺口'!$I$6)^((YEAR(AN$46)-YEAR('融资租赁与资金缺口'!$F$6))*12+MONTH(AN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AN$46)-YEAR('融资租赁与资金缺口'!$F$6))*12+MONTH(AN$46)-MONTH('融资租赁与资金缺口'!$F$6))-1)/'融资租赁与资金缺口'!$I$6))))),IF(AN$46&lt;'融资租赁与资金缺口'!$F$7,0,IF(AN$46='融资租赁与资金缺口'!$F$7,'融资租赁与资金缺口'!$E$7,IF(((YEAR(AN$46)-YEAR('融资租赁与资金缺口'!$F$7))*12+MONTH(AN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AN$46)-YEAR('融资租赁与资金缺口'!$F$7))*12+MONTH(AN$46)-MONTH('融资租赁与资金缺口'!$F$7)),'融资租赁与资金缺口'!$E$7*(1+'融资租赁与资金缺口'!$I$7)^((YEAR(AN$46)-YEAR('融资租赁与资金缺口'!$F$7))*12+MONTH(AN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AN$46)-YEAR('融资租赁与资金缺口'!$F$7))*12+MONTH(AN$46)-MONTH('融资租赁与资金缺口'!$F$7))-1)/'融资租赁与资金缺口'!$I$7))))),IF(AN$46&lt;'融资租赁与资金缺口'!$F$8,0,IF(AN$46='融资租赁与资金缺口'!$F$8,'融资租赁与资金缺口'!$E$8,IF(((YEAR(AN$46)-YEAR('融资租赁与资金缺口'!$F$8))*12+MONTH(AN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AN$46)-YEAR('融资租赁与资金缺口'!$F$8))*12+MONTH(AN$46)-MONTH('融资租赁与资金缺口'!$F$8)),'融资租赁与资金缺口'!$E$8*(1+'融资租赁与资金缺口'!$I$8)^((YEAR(AN$46)-YEAR('融资租赁与资金缺口'!$F$8))*12+MONTH(AN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AN$46)-YEAR('融资租赁与资金缺口'!$F$8))*12+MONTH(AN$46)-MONTH('融资租赁与资金缺口'!$F$8))-1)/'融资租赁与资金缺口'!$I$8))))),IF(AN$46&lt;'融资租赁与资金缺口'!$F$9,0,IF(AN$46='融资租赁与资金缺口'!$F$9,'融资租赁与资金缺口'!$E$9,IF(((YEAR(AN$46)-YEAR('融资租赁与资金缺口'!$F$9))*12+MONTH(AN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AN$46)-YEAR('融资租赁与资金缺口'!$F$9))*12+MONTH(AN$46)-MONTH('融资租赁与资金缺口'!$F$9)),'融资租赁与资金缺口'!$E$9*(1+'融资租赁与资金缺口'!$I$9)^((YEAR(AN$46)-YEAR('融资租赁与资金缺口'!$F$9))*12+MONTH(AN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AN$46)-YEAR('融资租赁与资金缺口'!$F$9))*12+MONTH(AN$46)-MONTH('融资租赁与资金缺口'!$F$9))-1)/'融资租赁与资金缺口'!$I$9))))),IF(AN$46&lt;'融资租赁与资金缺口'!$F$10,0,IF(AN$46='融资租赁与资金缺口'!$F$10,'融资租赁与资金缺口'!$E$10,IF(((YEAR(AN$46)-YEAR('融资租赁与资金缺口'!$F$10))*12+MONTH(AN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AN$46)-YEAR('融资租赁与资金缺口'!$F$10))*12+MONTH(AN$46)-MONTH('融资租赁与资金缺口'!$F$10)),'融资租赁与资金缺口'!$E$10*(1+'融资租赁与资金缺口'!$I$10)^((YEAR(AN$46)-YEAR('融资租赁与资金缺口'!$F$10))*12+MONTH(AN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AN$46)-YEAR('融资租赁与资金缺口'!$F$10))*12+MONTH(AN$46)-MONTH('融资租赁与资金缺口'!$F$10))-1)/'融资租赁与资金缺口'!$I$10))))),IF(AN$46&lt;'融资租赁与资金缺口'!$F$11,0,IF(AN$46='融资租赁与资金缺口'!$F$11,'融资租赁与资金缺口'!$E$11,IF(((YEAR(AN$46)-YEAR('融资租赁与资金缺口'!$F$11))*12+MONTH(AN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AN$46)-YEAR('融资租赁与资金缺口'!$F$11))*12+MONTH(AN$46)-MONTH('融资租赁与资金缺口'!$F$11)),'融资租赁与资金缺口'!$E$11*(1+'融资租赁与资金缺口'!$I$11)^((YEAR(AN$46)-YEAR('融资租赁与资金缺口'!$F$11))*12+MONTH(AN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AN$46)-YEAR('融资租赁与资金缺口'!$F$11))*12+MONTH(AN$46)-MONTH('融资租赁与资金缺口'!$F$11))-1)/'融资租赁与资金缺口'!$I$11))))),IF(AN$46&lt;'融资租赁与资金缺口'!$F$12,0,IF(AN$46='融资租赁与资金缺口'!$F$12,'融资租赁与资金缺口'!$E$12,IF(((YEAR(AN$46)-YEAR('融资租赁与资金缺口'!$F$12))*12+MONTH(AN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AN$46)-YEAR('融资租赁与资金缺口'!$F$12))*12+MONTH(AN$46)-MONTH('融资租赁与资金缺口'!$F$12)),'融资租赁与资金缺口'!$E$12*(1+'融资租赁与资金缺口'!$I$12)^((YEAR(AN$46)-YEAR('融资租赁与资金缺口'!$F$12))*12+MONTH(AN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AN$46)-YEAR('融资租赁与资金缺口'!$F$12))*12+MONTH(AN$46)-MONTH('融资租赁与资金缺口'!$F$12))-1)/'融资租赁与资金缺口'!$I$12))))),IF(AN$46&lt;'融资租赁与资金缺口'!$F$13,0,IF(AN$46='融资租赁与资金缺口'!$F$13,'融资租赁与资金缺口'!$E$13,IF(((YEAR(AN$46)-YEAR('融资租赁与资金缺口'!$F$13))*12+MONTH(AN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AN$46)-YEAR('融资租赁与资金缺口'!$F$13))*12+MONTH(AN$46)-MONTH('融资租赁与资金缺口'!$F$13)),'融资租赁与资金缺口'!$E$13*(1+'融资租赁与资金缺口'!$I$13)^((YEAR(AN$46)-YEAR('融资租赁与资金缺口'!$F$13))*12+MONTH(AN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AN$46)-YEAR('融资租赁与资金缺口'!$F$13))*12+MONTH(AN$46)-MONTH('融资租赁与资金缺口'!$F$13))-1)/'融资租赁与资金缺口'!$I$13))))),IF(AN$46&lt;'融资租赁与资金缺口'!$F$14,0,IF(AN$46='融资租赁与资金缺口'!$F$14,'融资租赁与资金缺口'!$E$14,IF(((YEAR(AN$46)-YEAR('融资租赁与资金缺口'!$F$14))*12+MONTH(AN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AN$46)-YEAR('融资租赁与资金缺口'!$F$14))*12+MONTH(AN$46)-MONTH('融资租赁与资金缺口'!$F$14)),'融资租赁与资金缺口'!$E$14*(1+'融资租赁与资金缺口'!$I$14)^((YEAR(AN$46)-YEAR('融资租赁与资金缺口'!$F$14))*12+MONTH(AN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AN$46)-YEAR('融资租赁与资金缺口'!$F$14))*12+MONTH(AN$46)-MONTH('融资租赁与资金缺口'!$F$14))-1)/'融资租赁与资金缺口'!$I$14))))),IF(AN$46&lt;'融资租赁与资金缺口'!$F$15,0,IF(AN$46='融资租赁与资金缺口'!$F$15,'融资租赁与资金缺口'!$E$15,IF(((YEAR(AN$46)-YEAR('融资租赁与资金缺口'!$F$15))*12+MONTH(AN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AN$46)-YEAR('融资租赁与资金缺口'!$F$15))*12+MONTH(AN$46)-MONTH('融资租赁与资金缺口'!$F$15)),'融资租赁与资金缺口'!$E$15*(1+'融资租赁与资金缺口'!$I$15)^((YEAR(AN$46)-YEAR('融资租赁与资金缺口'!$F$15))*12+MONTH(AN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AN$46)-YEAR('融资租赁与资金缺口'!$F$15))*12+MONTH(AN$46)-MONTH('融资租赁与资金缺口'!$F$15))-1)/'融资租赁与资金缺口'!$I$15))))),IF(AN$46&lt;'融资租赁与资金缺口'!$F$16,0,IF(AN$46='融资租赁与资金缺口'!$F$16,'融资租赁与资金缺口'!$E$16,IF(((YEAR(AN$46)-YEAR('融资租赁与资金缺口'!$F$16))*12+MONTH(AN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AN$46)-YEAR('融资租赁与资金缺口'!$F$16))*12+MONTH(AN$46)-MONTH('融资租赁与资金缺口'!$F$16)),'融资租赁与资金缺口'!$E$16*(1+'融资租赁与资金缺口'!$I$16)^((YEAR(AN$46)-YEAR('融资租赁与资金缺口'!$F$16))*12+MONTH(AN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AN$46)-YEAR('融资租赁与资金缺口'!$F$16))*12+MONTH(AN$46)-MONTH('融资租赁与资金缺口'!$F$16))-1)/'融资租赁与资金缺口'!$I$16))))))</x:f>
        <x:v>272327541.8130904</x:v>
      </x:c>
      <x:c r="AO53" s="28" t="n">
        <x:f>SUM(IF(AO$46&lt;'融资租赁与资金缺口'!$F$5,0,IF(AO$46='融资租赁与资金缺口'!$F$5,'融资租赁与资金缺口'!$E$5,IF(((YEAR(AO$46)-YEAR('融资租赁与资金缺口'!$F$5))*12+MONTH(AO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AO$46)-YEAR('融资租赁与资金缺口'!$F$5))*12+MONTH(AO$46)-MONTH('融资租赁与资金缺口'!$F$5)),'融资租赁与资金缺口'!$E$5*(1+'融资租赁与资金缺口'!$I$5)^((YEAR(AO$46)-YEAR('融资租赁与资金缺口'!$F$5))*12+MONTH(AO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AO$46)-YEAR('融资租赁与资金缺口'!$F$5))*12+MONTH(AO$46)-MONTH('融资租赁与资金缺口'!$F$5))-1)/'融资租赁与资金缺口'!$I$5))))),IF(AO$46&lt;'融资租赁与资金缺口'!$F$6,0,IF(AO$46='融资租赁与资金缺口'!$F$6,'融资租赁与资金缺口'!$E$6,IF(((YEAR(AO$46)-YEAR('融资租赁与资金缺口'!$F$6))*12+MONTH(AO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AO$46)-YEAR('融资租赁与资金缺口'!$F$6))*12+MONTH(AO$46)-MONTH('融资租赁与资金缺口'!$F$6)),'融资租赁与资金缺口'!$E$6*(1+'融资租赁与资金缺口'!$I$6)^((YEAR(AO$46)-YEAR('融资租赁与资金缺口'!$F$6))*12+MONTH(AO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AO$46)-YEAR('融资租赁与资金缺口'!$F$6))*12+MONTH(AO$46)-MONTH('融资租赁与资金缺口'!$F$6))-1)/'融资租赁与资金缺口'!$I$6))))),IF(AO$46&lt;'融资租赁与资金缺口'!$F$7,0,IF(AO$46='融资租赁与资金缺口'!$F$7,'融资租赁与资金缺口'!$E$7,IF(((YEAR(AO$46)-YEAR('融资租赁与资金缺口'!$F$7))*12+MONTH(AO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AO$46)-YEAR('融资租赁与资金缺口'!$F$7))*12+MONTH(AO$46)-MONTH('融资租赁与资金缺口'!$F$7)),'融资租赁与资金缺口'!$E$7*(1+'融资租赁与资金缺口'!$I$7)^((YEAR(AO$46)-YEAR('融资租赁与资金缺口'!$F$7))*12+MONTH(AO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AO$46)-YEAR('融资租赁与资金缺口'!$F$7))*12+MONTH(AO$46)-MONTH('融资租赁与资金缺口'!$F$7))-1)/'融资租赁与资金缺口'!$I$7))))),IF(AO$46&lt;'融资租赁与资金缺口'!$F$8,0,IF(AO$46='融资租赁与资金缺口'!$F$8,'融资租赁与资金缺口'!$E$8,IF(((YEAR(AO$46)-YEAR('融资租赁与资金缺口'!$F$8))*12+MONTH(AO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AO$46)-YEAR('融资租赁与资金缺口'!$F$8))*12+MONTH(AO$46)-MONTH('融资租赁与资金缺口'!$F$8)),'融资租赁与资金缺口'!$E$8*(1+'融资租赁与资金缺口'!$I$8)^((YEAR(AO$46)-YEAR('融资租赁与资金缺口'!$F$8))*12+MONTH(AO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AO$46)-YEAR('融资租赁与资金缺口'!$F$8))*12+MONTH(AO$46)-MONTH('融资租赁与资金缺口'!$F$8))-1)/'融资租赁与资金缺口'!$I$8))))),IF(AO$46&lt;'融资租赁与资金缺口'!$F$9,0,IF(AO$46='融资租赁与资金缺口'!$F$9,'融资租赁与资金缺口'!$E$9,IF(((YEAR(AO$46)-YEAR('融资租赁与资金缺口'!$F$9))*12+MONTH(AO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AO$46)-YEAR('融资租赁与资金缺口'!$F$9))*12+MONTH(AO$46)-MONTH('融资租赁与资金缺口'!$F$9)),'融资租赁与资金缺口'!$E$9*(1+'融资租赁与资金缺口'!$I$9)^((YEAR(AO$46)-YEAR('融资租赁与资金缺口'!$F$9))*12+MONTH(AO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AO$46)-YEAR('融资租赁与资金缺口'!$F$9))*12+MONTH(AO$46)-MONTH('融资租赁与资金缺口'!$F$9))-1)/'融资租赁与资金缺口'!$I$9))))),IF(AO$46&lt;'融资租赁与资金缺口'!$F$10,0,IF(AO$46='融资租赁与资金缺口'!$F$10,'融资租赁与资金缺口'!$E$10,IF(((YEAR(AO$46)-YEAR('融资租赁与资金缺口'!$F$10))*12+MONTH(AO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AO$46)-YEAR('融资租赁与资金缺口'!$F$10))*12+MONTH(AO$46)-MONTH('融资租赁与资金缺口'!$F$10)),'融资租赁与资金缺口'!$E$10*(1+'融资租赁与资金缺口'!$I$10)^((YEAR(AO$46)-YEAR('融资租赁与资金缺口'!$F$10))*12+MONTH(AO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AO$46)-YEAR('融资租赁与资金缺口'!$F$10))*12+MONTH(AO$46)-MONTH('融资租赁与资金缺口'!$F$10))-1)/'融资租赁与资金缺口'!$I$10))))),IF(AO$46&lt;'融资租赁与资金缺口'!$F$11,0,IF(AO$46='融资租赁与资金缺口'!$F$11,'融资租赁与资金缺口'!$E$11,IF(((YEAR(AO$46)-YEAR('融资租赁与资金缺口'!$F$11))*12+MONTH(AO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AO$46)-YEAR('融资租赁与资金缺口'!$F$11))*12+MONTH(AO$46)-MONTH('融资租赁与资金缺口'!$F$11)),'融资租赁与资金缺口'!$E$11*(1+'融资租赁与资金缺口'!$I$11)^((YEAR(AO$46)-YEAR('融资租赁与资金缺口'!$F$11))*12+MONTH(AO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AO$46)-YEAR('融资租赁与资金缺口'!$F$11))*12+MONTH(AO$46)-MONTH('融资租赁与资金缺口'!$F$11))-1)/'融资租赁与资金缺口'!$I$11))))),IF(AO$46&lt;'融资租赁与资金缺口'!$F$12,0,IF(AO$46='融资租赁与资金缺口'!$F$12,'融资租赁与资金缺口'!$E$12,IF(((YEAR(AO$46)-YEAR('融资租赁与资金缺口'!$F$12))*12+MONTH(AO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AO$46)-YEAR('融资租赁与资金缺口'!$F$12))*12+MONTH(AO$46)-MONTH('融资租赁与资金缺口'!$F$12)),'融资租赁与资金缺口'!$E$12*(1+'融资租赁与资金缺口'!$I$12)^((YEAR(AO$46)-YEAR('融资租赁与资金缺口'!$F$12))*12+MONTH(AO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AO$46)-YEAR('融资租赁与资金缺口'!$F$12))*12+MONTH(AO$46)-MONTH('融资租赁与资金缺口'!$F$12))-1)/'融资租赁与资金缺口'!$I$12))))),IF(AO$46&lt;'融资租赁与资金缺口'!$F$13,0,IF(AO$46='融资租赁与资金缺口'!$F$13,'融资租赁与资金缺口'!$E$13,IF(((YEAR(AO$46)-YEAR('融资租赁与资金缺口'!$F$13))*12+MONTH(AO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AO$46)-YEAR('融资租赁与资金缺口'!$F$13))*12+MONTH(AO$46)-MONTH('融资租赁与资金缺口'!$F$13)),'融资租赁与资金缺口'!$E$13*(1+'融资租赁与资金缺口'!$I$13)^((YEAR(AO$46)-YEAR('融资租赁与资金缺口'!$F$13))*12+MONTH(AO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AO$46)-YEAR('融资租赁与资金缺口'!$F$13))*12+MONTH(AO$46)-MONTH('融资租赁与资金缺口'!$F$13))-1)/'融资租赁与资金缺口'!$I$13))))),IF(AO$46&lt;'融资租赁与资金缺口'!$F$14,0,IF(AO$46='融资租赁与资金缺口'!$F$14,'融资租赁与资金缺口'!$E$14,IF(((YEAR(AO$46)-YEAR('融资租赁与资金缺口'!$F$14))*12+MONTH(AO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AO$46)-YEAR('融资租赁与资金缺口'!$F$14))*12+MONTH(AO$46)-MONTH('融资租赁与资金缺口'!$F$14)),'融资租赁与资金缺口'!$E$14*(1+'融资租赁与资金缺口'!$I$14)^((YEAR(AO$46)-YEAR('融资租赁与资金缺口'!$F$14))*12+MONTH(AO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AO$46)-YEAR('融资租赁与资金缺口'!$F$14))*12+MONTH(AO$46)-MONTH('融资租赁与资金缺口'!$F$14))-1)/'融资租赁与资金缺口'!$I$14))))),IF(AO$46&lt;'融资租赁与资金缺口'!$F$15,0,IF(AO$46='融资租赁与资金缺口'!$F$15,'融资租赁与资金缺口'!$E$15,IF(((YEAR(AO$46)-YEAR('融资租赁与资金缺口'!$F$15))*12+MONTH(AO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AO$46)-YEAR('融资租赁与资金缺口'!$F$15))*12+MONTH(AO$46)-MONTH('融资租赁与资金缺口'!$F$15)),'融资租赁与资金缺口'!$E$15*(1+'融资租赁与资金缺口'!$I$15)^((YEAR(AO$46)-YEAR('融资租赁与资金缺口'!$F$15))*12+MONTH(AO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AO$46)-YEAR('融资租赁与资金缺口'!$F$15))*12+MONTH(AO$46)-MONTH('融资租赁与资金缺口'!$F$15))-1)/'融资租赁与资金缺口'!$I$15))))),IF(AO$46&lt;'融资租赁与资金缺口'!$F$16,0,IF(AO$46='融资租赁与资金缺口'!$F$16,'融资租赁与资金缺口'!$E$16,IF(((YEAR(AO$46)-YEAR('融资租赁与资金缺口'!$F$16))*12+MONTH(AO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AO$46)-YEAR('融资租赁与资金缺口'!$F$16))*12+MONTH(AO$46)-MONTH('融资租赁与资金缺口'!$F$16)),'融资租赁与资金缺口'!$E$16*(1+'融资租赁与资金缺口'!$I$16)^((YEAR(AO$46)-YEAR('融资租赁与资金缺口'!$F$16))*12+MONTH(AO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AO$46)-YEAR('融资租赁与资金缺口'!$F$16))*12+MONTH(AO$46)-MONTH('融资租赁与资金缺口'!$F$16))-1)/'融资租赁与资金缺口'!$I$16))))))</x:f>
        <x:v>324102477.6399165</x:v>
      </x:c>
      <x:c r="AP53" s="28" t="n">
        <x:f>SUM(IF(AP$46&lt;'融资租赁与资金缺口'!$F$5,0,IF(AP$46='融资租赁与资金缺口'!$F$5,'融资租赁与资金缺口'!$E$5,IF(((YEAR(AP$46)-YEAR('融资租赁与资金缺口'!$F$5))*12+MONTH(AP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AP$46)-YEAR('融资租赁与资金缺口'!$F$5))*12+MONTH(AP$46)-MONTH('融资租赁与资金缺口'!$F$5)),'融资租赁与资金缺口'!$E$5*(1+'融资租赁与资金缺口'!$I$5)^((YEAR(AP$46)-YEAR('融资租赁与资金缺口'!$F$5))*12+MONTH(AP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AP$46)-YEAR('融资租赁与资金缺口'!$F$5))*12+MONTH(AP$46)-MONTH('融资租赁与资金缺口'!$F$5))-1)/'融资租赁与资金缺口'!$I$5))))),IF(AP$46&lt;'融资租赁与资金缺口'!$F$6,0,IF(AP$46='融资租赁与资金缺口'!$F$6,'融资租赁与资金缺口'!$E$6,IF(((YEAR(AP$46)-YEAR('融资租赁与资金缺口'!$F$6))*12+MONTH(AP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AP$46)-YEAR('融资租赁与资金缺口'!$F$6))*12+MONTH(AP$46)-MONTH('融资租赁与资金缺口'!$F$6)),'融资租赁与资金缺口'!$E$6*(1+'融资租赁与资金缺口'!$I$6)^((YEAR(AP$46)-YEAR('融资租赁与资金缺口'!$F$6))*12+MONTH(AP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AP$46)-YEAR('融资租赁与资金缺口'!$F$6))*12+MONTH(AP$46)-MONTH('融资租赁与资金缺口'!$F$6))-1)/'融资租赁与资金缺口'!$I$6))))),IF(AP$46&lt;'融资租赁与资金缺口'!$F$7,0,IF(AP$46='融资租赁与资金缺口'!$F$7,'融资租赁与资金缺口'!$E$7,IF(((YEAR(AP$46)-YEAR('融资租赁与资金缺口'!$F$7))*12+MONTH(AP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AP$46)-YEAR('融资租赁与资金缺口'!$F$7))*12+MONTH(AP$46)-MONTH('融资租赁与资金缺口'!$F$7)),'融资租赁与资金缺口'!$E$7*(1+'融资租赁与资金缺口'!$I$7)^((YEAR(AP$46)-YEAR('融资租赁与资金缺口'!$F$7))*12+MONTH(AP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AP$46)-YEAR('融资租赁与资金缺口'!$F$7))*12+MONTH(AP$46)-MONTH('融资租赁与资金缺口'!$F$7))-1)/'融资租赁与资金缺口'!$I$7))))),IF(AP$46&lt;'融资租赁与资金缺口'!$F$8,0,IF(AP$46='融资租赁与资金缺口'!$F$8,'融资租赁与资金缺口'!$E$8,IF(((YEAR(AP$46)-YEAR('融资租赁与资金缺口'!$F$8))*12+MONTH(AP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AP$46)-YEAR('融资租赁与资金缺口'!$F$8))*12+MONTH(AP$46)-MONTH('融资租赁与资金缺口'!$F$8)),'融资租赁与资金缺口'!$E$8*(1+'融资租赁与资金缺口'!$I$8)^((YEAR(AP$46)-YEAR('融资租赁与资金缺口'!$F$8))*12+MONTH(AP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AP$46)-YEAR('融资租赁与资金缺口'!$F$8))*12+MONTH(AP$46)-MONTH('融资租赁与资金缺口'!$F$8))-1)/'融资租赁与资金缺口'!$I$8))))),IF(AP$46&lt;'融资租赁与资金缺口'!$F$9,0,IF(AP$46='融资租赁与资金缺口'!$F$9,'融资租赁与资金缺口'!$E$9,IF(((YEAR(AP$46)-YEAR('融资租赁与资金缺口'!$F$9))*12+MONTH(AP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AP$46)-YEAR('融资租赁与资金缺口'!$F$9))*12+MONTH(AP$46)-MONTH('融资租赁与资金缺口'!$F$9)),'融资租赁与资金缺口'!$E$9*(1+'融资租赁与资金缺口'!$I$9)^((YEAR(AP$46)-YEAR('融资租赁与资金缺口'!$F$9))*12+MONTH(AP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AP$46)-YEAR('融资租赁与资金缺口'!$F$9))*12+MONTH(AP$46)-MONTH('融资租赁与资金缺口'!$F$9))-1)/'融资租赁与资金缺口'!$I$9))))),IF(AP$46&lt;'融资租赁与资金缺口'!$F$10,0,IF(AP$46='融资租赁与资金缺口'!$F$10,'融资租赁与资金缺口'!$E$10,IF(((YEAR(AP$46)-YEAR('融资租赁与资金缺口'!$F$10))*12+MONTH(AP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AP$46)-YEAR('融资租赁与资金缺口'!$F$10))*12+MONTH(AP$46)-MONTH('融资租赁与资金缺口'!$F$10)),'融资租赁与资金缺口'!$E$10*(1+'融资租赁与资金缺口'!$I$10)^((YEAR(AP$46)-YEAR('融资租赁与资金缺口'!$F$10))*12+MONTH(AP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AP$46)-YEAR('融资租赁与资金缺口'!$F$10))*12+MONTH(AP$46)-MONTH('融资租赁与资金缺口'!$F$10))-1)/'融资租赁与资金缺口'!$I$10))))),IF(AP$46&lt;'融资租赁与资金缺口'!$F$11,0,IF(AP$46='融资租赁与资金缺口'!$F$11,'融资租赁与资金缺口'!$E$11,IF(((YEAR(AP$46)-YEAR('融资租赁与资金缺口'!$F$11))*12+MONTH(AP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AP$46)-YEAR('融资租赁与资金缺口'!$F$11))*12+MONTH(AP$46)-MONTH('融资租赁与资金缺口'!$F$11)),'融资租赁与资金缺口'!$E$11*(1+'融资租赁与资金缺口'!$I$11)^((YEAR(AP$46)-YEAR('融资租赁与资金缺口'!$F$11))*12+MONTH(AP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AP$46)-YEAR('融资租赁与资金缺口'!$F$11))*12+MONTH(AP$46)-MONTH('融资租赁与资金缺口'!$F$11))-1)/'融资租赁与资金缺口'!$I$11))))),IF(AP$46&lt;'融资租赁与资金缺口'!$F$12,0,IF(AP$46='融资租赁与资金缺口'!$F$12,'融资租赁与资金缺口'!$E$12,IF(((YEAR(AP$46)-YEAR('融资租赁与资金缺口'!$F$12))*12+MONTH(AP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AP$46)-YEAR('融资租赁与资金缺口'!$F$12))*12+MONTH(AP$46)-MONTH('融资租赁与资金缺口'!$F$12)),'融资租赁与资金缺口'!$E$12*(1+'融资租赁与资金缺口'!$I$12)^((YEAR(AP$46)-YEAR('融资租赁与资金缺口'!$F$12))*12+MONTH(AP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AP$46)-YEAR('融资租赁与资金缺口'!$F$12))*12+MONTH(AP$46)-MONTH('融资租赁与资金缺口'!$F$12))-1)/'融资租赁与资金缺口'!$I$12))))),IF(AP$46&lt;'融资租赁与资金缺口'!$F$13,0,IF(AP$46='融资租赁与资金缺口'!$F$13,'融资租赁与资金缺口'!$E$13,IF(((YEAR(AP$46)-YEAR('融资租赁与资金缺口'!$F$13))*12+MONTH(AP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AP$46)-YEAR('融资租赁与资金缺口'!$F$13))*12+MONTH(AP$46)-MONTH('融资租赁与资金缺口'!$F$13)),'融资租赁与资金缺口'!$E$13*(1+'融资租赁与资金缺口'!$I$13)^((YEAR(AP$46)-YEAR('融资租赁与资金缺口'!$F$13))*12+MONTH(AP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AP$46)-YEAR('融资租赁与资金缺口'!$F$13))*12+MONTH(AP$46)-MONTH('融资租赁与资金缺口'!$F$13))-1)/'融资租赁与资金缺口'!$I$13))))),IF(AP$46&lt;'融资租赁与资金缺口'!$F$14,0,IF(AP$46='融资租赁与资金缺口'!$F$14,'融资租赁与资金缺口'!$E$14,IF(((YEAR(AP$46)-YEAR('融资租赁与资金缺口'!$F$14))*12+MONTH(AP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AP$46)-YEAR('融资租赁与资金缺口'!$F$14))*12+MONTH(AP$46)-MONTH('融资租赁与资金缺口'!$F$14)),'融资租赁与资金缺口'!$E$14*(1+'融资租赁与资金缺口'!$I$14)^((YEAR(AP$46)-YEAR('融资租赁与资金缺口'!$F$14))*12+MONTH(AP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AP$46)-YEAR('融资租赁与资金缺口'!$F$14))*12+MONTH(AP$46)-MONTH('融资租赁与资金缺口'!$F$14))-1)/'融资租赁与资金缺口'!$I$14))))),IF(AP$46&lt;'融资租赁与资金缺口'!$F$15,0,IF(AP$46='融资租赁与资金缺口'!$F$15,'融资租赁与资金缺口'!$E$15,IF(((YEAR(AP$46)-YEAR('融资租赁与资金缺口'!$F$15))*12+MONTH(AP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AP$46)-YEAR('融资租赁与资金缺口'!$F$15))*12+MONTH(AP$46)-MONTH('融资租赁与资金缺口'!$F$15)),'融资租赁与资金缺口'!$E$15*(1+'融资租赁与资金缺口'!$I$15)^((YEAR(AP$46)-YEAR('融资租赁与资金缺口'!$F$15))*12+MONTH(AP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AP$46)-YEAR('融资租赁与资金缺口'!$F$15))*12+MONTH(AP$46)-MONTH('融资租赁与资金缺口'!$F$15))-1)/'融资租赁与资金缺口'!$I$15))))),IF(AP$46&lt;'融资租赁与资金缺口'!$F$16,0,IF(AP$46='融资租赁与资金缺口'!$F$16,'融资租赁与资金缺口'!$E$16,IF(((YEAR(AP$46)-YEAR('融资租赁与资金缺口'!$F$16))*12+MONTH(AP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AP$46)-YEAR('融资租赁与资金缺口'!$F$16))*12+MONTH(AP$46)-MONTH('融资租赁与资金缺口'!$F$16)),'融资租赁与资金缺口'!$E$16*(1+'融资租赁与资金缺口'!$I$16)^((YEAR(AP$46)-YEAR('融资租赁与资金缺口'!$F$16))*12+MONTH(AP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AP$46)-YEAR('融资租赁与资金缺口'!$F$16))*12+MONTH(AP$46)-MONTH('融资租赁与资金缺口'!$F$16))-1)/'融资租赁与资金缺口'!$I$16))))))</x:f>
        <x:v>377135863.948949</x:v>
      </x:c>
      <x:c r="AQ53" s="28" t="n">
        <x:f>SUM(IF(AQ$46&lt;'融资租赁与资金缺口'!$F$5,0,IF(AQ$46='融资租赁与资金缺口'!$F$5,'融资租赁与资金缺口'!$E$5,IF(((YEAR(AQ$46)-YEAR('融资租赁与资金缺口'!$F$5))*12+MONTH(AQ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AQ$46)-YEAR('融资租赁与资金缺口'!$F$5))*12+MONTH(AQ$46)-MONTH('融资租赁与资金缺口'!$F$5)),'融资租赁与资金缺口'!$E$5*(1+'融资租赁与资金缺口'!$I$5)^((YEAR(AQ$46)-YEAR('融资租赁与资金缺口'!$F$5))*12+MONTH(AQ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AQ$46)-YEAR('融资租赁与资金缺口'!$F$5))*12+MONTH(AQ$46)-MONTH('融资租赁与资金缺口'!$F$5))-1)/'融资租赁与资金缺口'!$I$5))))),IF(AQ$46&lt;'融资租赁与资金缺口'!$F$6,0,IF(AQ$46='融资租赁与资金缺口'!$F$6,'融资租赁与资金缺口'!$E$6,IF(((YEAR(AQ$46)-YEAR('融资租赁与资金缺口'!$F$6))*12+MONTH(AQ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AQ$46)-YEAR('融资租赁与资金缺口'!$F$6))*12+MONTH(AQ$46)-MONTH('融资租赁与资金缺口'!$F$6)),'融资租赁与资金缺口'!$E$6*(1+'融资租赁与资金缺口'!$I$6)^((YEAR(AQ$46)-YEAR('融资租赁与资金缺口'!$F$6))*12+MONTH(AQ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AQ$46)-YEAR('融资租赁与资金缺口'!$F$6))*12+MONTH(AQ$46)-MONTH('融资租赁与资金缺口'!$F$6))-1)/'融资租赁与资金缺口'!$I$6))))),IF(AQ$46&lt;'融资租赁与资金缺口'!$F$7,0,IF(AQ$46='融资租赁与资金缺口'!$F$7,'融资租赁与资金缺口'!$E$7,IF(((YEAR(AQ$46)-YEAR('融资租赁与资金缺口'!$F$7))*12+MONTH(AQ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AQ$46)-YEAR('融资租赁与资金缺口'!$F$7))*12+MONTH(AQ$46)-MONTH('融资租赁与资金缺口'!$F$7)),'融资租赁与资金缺口'!$E$7*(1+'融资租赁与资金缺口'!$I$7)^((YEAR(AQ$46)-YEAR('融资租赁与资金缺口'!$F$7))*12+MONTH(AQ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AQ$46)-YEAR('融资租赁与资金缺口'!$F$7))*12+MONTH(AQ$46)-MONTH('融资租赁与资金缺口'!$F$7))-1)/'融资租赁与资金缺口'!$I$7))))),IF(AQ$46&lt;'融资租赁与资金缺口'!$F$8,0,IF(AQ$46='融资租赁与资金缺口'!$F$8,'融资租赁与资金缺口'!$E$8,IF(((YEAR(AQ$46)-YEAR('融资租赁与资金缺口'!$F$8))*12+MONTH(AQ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AQ$46)-YEAR('融资租赁与资金缺口'!$F$8))*12+MONTH(AQ$46)-MONTH('融资租赁与资金缺口'!$F$8)),'融资租赁与资金缺口'!$E$8*(1+'融资租赁与资金缺口'!$I$8)^((YEAR(AQ$46)-YEAR('融资租赁与资金缺口'!$F$8))*12+MONTH(AQ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AQ$46)-YEAR('融资租赁与资金缺口'!$F$8))*12+MONTH(AQ$46)-MONTH('融资租赁与资金缺口'!$F$8))-1)/'融资租赁与资金缺口'!$I$8))))),IF(AQ$46&lt;'融资租赁与资金缺口'!$F$9,0,IF(AQ$46='融资租赁与资金缺口'!$F$9,'融资租赁与资金缺口'!$E$9,IF(((YEAR(AQ$46)-YEAR('融资租赁与资金缺口'!$F$9))*12+MONTH(AQ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AQ$46)-YEAR('融资租赁与资金缺口'!$F$9))*12+MONTH(AQ$46)-MONTH('融资租赁与资金缺口'!$F$9)),'融资租赁与资金缺口'!$E$9*(1+'融资租赁与资金缺口'!$I$9)^((YEAR(AQ$46)-YEAR('融资租赁与资金缺口'!$F$9))*12+MONTH(AQ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AQ$46)-YEAR('融资租赁与资金缺口'!$F$9))*12+MONTH(AQ$46)-MONTH('融资租赁与资金缺口'!$F$9))-1)/'融资租赁与资金缺口'!$I$9))))),IF(AQ$46&lt;'融资租赁与资金缺口'!$F$10,0,IF(AQ$46='融资租赁与资金缺口'!$F$10,'融资租赁与资金缺口'!$E$10,IF(((YEAR(AQ$46)-YEAR('融资租赁与资金缺口'!$F$10))*12+MONTH(AQ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AQ$46)-YEAR('融资租赁与资金缺口'!$F$10))*12+MONTH(AQ$46)-MONTH('融资租赁与资金缺口'!$F$10)),'融资租赁与资金缺口'!$E$10*(1+'融资租赁与资金缺口'!$I$10)^((YEAR(AQ$46)-YEAR('融资租赁与资金缺口'!$F$10))*12+MONTH(AQ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AQ$46)-YEAR('融资租赁与资金缺口'!$F$10))*12+MONTH(AQ$46)-MONTH('融资租赁与资金缺口'!$F$10))-1)/'融资租赁与资金缺口'!$I$10))))),IF(AQ$46&lt;'融资租赁与资金缺口'!$F$11,0,IF(AQ$46='融资租赁与资金缺口'!$F$11,'融资租赁与资金缺口'!$E$11,IF(((YEAR(AQ$46)-YEAR('融资租赁与资金缺口'!$F$11))*12+MONTH(AQ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AQ$46)-YEAR('融资租赁与资金缺口'!$F$11))*12+MONTH(AQ$46)-MONTH('融资租赁与资金缺口'!$F$11)),'融资租赁与资金缺口'!$E$11*(1+'融资租赁与资金缺口'!$I$11)^((YEAR(AQ$46)-YEAR('融资租赁与资金缺口'!$F$11))*12+MONTH(AQ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AQ$46)-YEAR('融资租赁与资金缺口'!$F$11))*12+MONTH(AQ$46)-MONTH('融资租赁与资金缺口'!$F$11))-1)/'融资租赁与资金缺口'!$I$11))))),IF(AQ$46&lt;'融资租赁与资金缺口'!$F$12,0,IF(AQ$46='融资租赁与资金缺口'!$F$12,'融资租赁与资金缺口'!$E$12,IF(((YEAR(AQ$46)-YEAR('融资租赁与资金缺口'!$F$12))*12+MONTH(AQ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AQ$46)-YEAR('融资租赁与资金缺口'!$F$12))*12+MONTH(AQ$46)-MONTH('融资租赁与资金缺口'!$F$12)),'融资租赁与资金缺口'!$E$12*(1+'融资租赁与资金缺口'!$I$12)^((YEAR(AQ$46)-YEAR('融资租赁与资金缺口'!$F$12))*12+MONTH(AQ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AQ$46)-YEAR('融资租赁与资金缺口'!$F$12))*12+MONTH(AQ$46)-MONTH('融资租赁与资金缺口'!$F$12))-1)/'融资租赁与资金缺口'!$I$12))))),IF(AQ$46&lt;'融资租赁与资金缺口'!$F$13,0,IF(AQ$46='融资租赁与资金缺口'!$F$13,'融资租赁与资金缺口'!$E$13,IF(((YEAR(AQ$46)-YEAR('融资租赁与资金缺口'!$F$13))*12+MONTH(AQ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AQ$46)-YEAR('融资租赁与资金缺口'!$F$13))*12+MONTH(AQ$46)-MONTH('融资租赁与资金缺口'!$F$13)),'融资租赁与资金缺口'!$E$13*(1+'融资租赁与资金缺口'!$I$13)^((YEAR(AQ$46)-YEAR('融资租赁与资金缺口'!$F$13))*12+MONTH(AQ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AQ$46)-YEAR('融资租赁与资金缺口'!$F$13))*12+MONTH(AQ$46)-MONTH('融资租赁与资金缺口'!$F$13))-1)/'融资租赁与资金缺口'!$I$13))))),IF(AQ$46&lt;'融资租赁与资金缺口'!$F$14,0,IF(AQ$46='融资租赁与资金缺口'!$F$14,'融资租赁与资金缺口'!$E$14,IF(((YEAR(AQ$46)-YEAR('融资租赁与资金缺口'!$F$14))*12+MONTH(AQ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AQ$46)-YEAR('融资租赁与资金缺口'!$F$14))*12+MONTH(AQ$46)-MONTH('融资租赁与资金缺口'!$F$14)),'融资租赁与资金缺口'!$E$14*(1+'融资租赁与资金缺口'!$I$14)^((YEAR(AQ$46)-YEAR('融资租赁与资金缺口'!$F$14))*12+MONTH(AQ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AQ$46)-YEAR('融资租赁与资金缺口'!$F$14))*12+MONTH(AQ$46)-MONTH('融资租赁与资金缺口'!$F$14))-1)/'融资租赁与资金缺口'!$I$14))))),IF(AQ$46&lt;'融资租赁与资金缺口'!$F$15,0,IF(AQ$46='融资租赁与资金缺口'!$F$15,'融资租赁与资金缺口'!$E$15,IF(((YEAR(AQ$46)-YEAR('融资租赁与资金缺口'!$F$15))*12+MONTH(AQ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AQ$46)-YEAR('融资租赁与资金缺口'!$F$15))*12+MONTH(AQ$46)-MONTH('融资租赁与资金缺口'!$F$15)),'融资租赁与资金缺口'!$E$15*(1+'融资租赁与资金缺口'!$I$15)^((YEAR(AQ$46)-YEAR('融资租赁与资金缺口'!$F$15))*12+MONTH(AQ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AQ$46)-YEAR('融资租赁与资金缺口'!$F$15))*12+MONTH(AQ$46)-MONTH('融资租赁与资金缺口'!$F$15))-1)/'融资租赁与资金缺口'!$I$15))))),IF(AQ$46&lt;'融资租赁与资金缺口'!$F$16,0,IF(AQ$46='融资租赁与资金缺口'!$F$16,'融资租赁与资金缺口'!$E$16,IF(((YEAR(AQ$46)-YEAR('融资租赁与资金缺口'!$F$16))*12+MONTH(AQ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AQ$46)-YEAR('融资租赁与资金缺口'!$F$16))*12+MONTH(AQ$46)-MONTH('融资租赁与资金缺口'!$F$16)),'融资租赁与资金缺口'!$E$16*(1+'融资租赁与资金缺口'!$I$16)^((YEAR(AQ$46)-YEAR('融资租赁与资金缺口'!$F$16))*12+MONTH(AQ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AQ$46)-YEAR('融资租赁与资金缺口'!$F$16))*12+MONTH(AQ$46)-MONTH('融资租赁与资金缺口'!$F$16))-1)/'融资租赁与资金缺口'!$I$16))))))</x:f>
        <x:v>419995992.415149</x:v>
      </x:c>
      <x:c r="AR53" s="28" t="n">
        <x:f>SUM(IF(AR$46&lt;'融资租赁与资金缺口'!$F$5,0,IF(AR$46='融资租赁与资金缺口'!$F$5,'融资租赁与资金缺口'!$E$5,IF(((YEAR(AR$46)-YEAR('融资租赁与资金缺口'!$F$5))*12+MONTH(AR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AR$46)-YEAR('融资租赁与资金缺口'!$F$5))*12+MONTH(AR$46)-MONTH('融资租赁与资金缺口'!$F$5)),'融资租赁与资金缺口'!$E$5*(1+'融资租赁与资金缺口'!$I$5)^((YEAR(AR$46)-YEAR('融资租赁与资金缺口'!$F$5))*12+MONTH(AR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AR$46)-YEAR('融资租赁与资金缺口'!$F$5))*12+MONTH(AR$46)-MONTH('融资租赁与资金缺口'!$F$5))-1)/'融资租赁与资金缺口'!$I$5))))),IF(AR$46&lt;'融资租赁与资金缺口'!$F$6,0,IF(AR$46='融资租赁与资金缺口'!$F$6,'融资租赁与资金缺口'!$E$6,IF(((YEAR(AR$46)-YEAR('融资租赁与资金缺口'!$F$6))*12+MONTH(AR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AR$46)-YEAR('融资租赁与资金缺口'!$F$6))*12+MONTH(AR$46)-MONTH('融资租赁与资金缺口'!$F$6)),'融资租赁与资金缺口'!$E$6*(1+'融资租赁与资金缺口'!$I$6)^((YEAR(AR$46)-YEAR('融资租赁与资金缺口'!$F$6))*12+MONTH(AR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AR$46)-YEAR('融资租赁与资金缺口'!$F$6))*12+MONTH(AR$46)-MONTH('融资租赁与资金缺口'!$F$6))-1)/'融资租赁与资金缺口'!$I$6))))),IF(AR$46&lt;'融资租赁与资金缺口'!$F$7,0,IF(AR$46='融资租赁与资金缺口'!$F$7,'融资租赁与资金缺口'!$E$7,IF(((YEAR(AR$46)-YEAR('融资租赁与资金缺口'!$F$7))*12+MONTH(AR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AR$46)-YEAR('融资租赁与资金缺口'!$F$7))*12+MONTH(AR$46)-MONTH('融资租赁与资金缺口'!$F$7)),'融资租赁与资金缺口'!$E$7*(1+'融资租赁与资金缺口'!$I$7)^((YEAR(AR$46)-YEAR('融资租赁与资金缺口'!$F$7))*12+MONTH(AR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AR$46)-YEAR('融资租赁与资金缺口'!$F$7))*12+MONTH(AR$46)-MONTH('融资租赁与资金缺口'!$F$7))-1)/'融资租赁与资金缺口'!$I$7))))),IF(AR$46&lt;'融资租赁与资金缺口'!$F$8,0,IF(AR$46='融资租赁与资金缺口'!$F$8,'融资租赁与资金缺口'!$E$8,IF(((YEAR(AR$46)-YEAR('融资租赁与资金缺口'!$F$8))*12+MONTH(AR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AR$46)-YEAR('融资租赁与资金缺口'!$F$8))*12+MONTH(AR$46)-MONTH('融资租赁与资金缺口'!$F$8)),'融资租赁与资金缺口'!$E$8*(1+'融资租赁与资金缺口'!$I$8)^((YEAR(AR$46)-YEAR('融资租赁与资金缺口'!$F$8))*12+MONTH(AR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AR$46)-YEAR('融资租赁与资金缺口'!$F$8))*12+MONTH(AR$46)-MONTH('融资租赁与资金缺口'!$F$8))-1)/'融资租赁与资金缺口'!$I$8))))),IF(AR$46&lt;'融资租赁与资金缺口'!$F$9,0,IF(AR$46='融资租赁与资金缺口'!$F$9,'融资租赁与资金缺口'!$E$9,IF(((YEAR(AR$46)-YEAR('融资租赁与资金缺口'!$F$9))*12+MONTH(AR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AR$46)-YEAR('融资租赁与资金缺口'!$F$9))*12+MONTH(AR$46)-MONTH('融资租赁与资金缺口'!$F$9)),'融资租赁与资金缺口'!$E$9*(1+'融资租赁与资金缺口'!$I$9)^((YEAR(AR$46)-YEAR('融资租赁与资金缺口'!$F$9))*12+MONTH(AR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AR$46)-YEAR('融资租赁与资金缺口'!$F$9))*12+MONTH(AR$46)-MONTH('融资租赁与资金缺口'!$F$9))-1)/'融资租赁与资金缺口'!$I$9))))),IF(AR$46&lt;'融资租赁与资金缺口'!$F$10,0,IF(AR$46='融资租赁与资金缺口'!$F$10,'融资租赁与资金缺口'!$E$10,IF(((YEAR(AR$46)-YEAR('融资租赁与资金缺口'!$F$10))*12+MONTH(AR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AR$46)-YEAR('融资租赁与资金缺口'!$F$10))*12+MONTH(AR$46)-MONTH('融资租赁与资金缺口'!$F$10)),'融资租赁与资金缺口'!$E$10*(1+'融资租赁与资金缺口'!$I$10)^((YEAR(AR$46)-YEAR('融资租赁与资金缺口'!$F$10))*12+MONTH(AR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AR$46)-YEAR('融资租赁与资金缺口'!$F$10))*12+MONTH(AR$46)-MONTH('融资租赁与资金缺口'!$F$10))-1)/'融资租赁与资金缺口'!$I$10))))),IF(AR$46&lt;'融资租赁与资金缺口'!$F$11,0,IF(AR$46='融资租赁与资金缺口'!$F$11,'融资租赁与资金缺口'!$E$11,IF(((YEAR(AR$46)-YEAR('融资租赁与资金缺口'!$F$11))*12+MONTH(AR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AR$46)-YEAR('融资租赁与资金缺口'!$F$11))*12+MONTH(AR$46)-MONTH('融资租赁与资金缺口'!$F$11)),'融资租赁与资金缺口'!$E$11*(1+'融资租赁与资金缺口'!$I$11)^((YEAR(AR$46)-YEAR('融资租赁与资金缺口'!$F$11))*12+MONTH(AR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AR$46)-YEAR('融资租赁与资金缺口'!$F$11))*12+MONTH(AR$46)-MONTH('融资租赁与资金缺口'!$F$11))-1)/'融资租赁与资金缺口'!$I$11))))),IF(AR$46&lt;'融资租赁与资金缺口'!$F$12,0,IF(AR$46='融资租赁与资金缺口'!$F$12,'融资租赁与资金缺口'!$E$12,IF(((YEAR(AR$46)-YEAR('融资租赁与资金缺口'!$F$12))*12+MONTH(AR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AR$46)-YEAR('融资租赁与资金缺口'!$F$12))*12+MONTH(AR$46)-MONTH('融资租赁与资金缺口'!$F$12)),'融资租赁与资金缺口'!$E$12*(1+'融资租赁与资金缺口'!$I$12)^((YEAR(AR$46)-YEAR('融资租赁与资金缺口'!$F$12))*12+MONTH(AR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AR$46)-YEAR('融资租赁与资金缺口'!$F$12))*12+MONTH(AR$46)-MONTH('融资租赁与资金缺口'!$F$12))-1)/'融资租赁与资金缺口'!$I$12))))),IF(AR$46&lt;'融资租赁与资金缺口'!$F$13,0,IF(AR$46='融资租赁与资金缺口'!$F$13,'融资租赁与资金缺口'!$E$13,IF(((YEAR(AR$46)-YEAR('融资租赁与资金缺口'!$F$13))*12+MONTH(AR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AR$46)-YEAR('融资租赁与资金缺口'!$F$13))*12+MONTH(AR$46)-MONTH('融资租赁与资金缺口'!$F$13)),'融资租赁与资金缺口'!$E$13*(1+'融资租赁与资金缺口'!$I$13)^((YEAR(AR$46)-YEAR('融资租赁与资金缺口'!$F$13))*12+MONTH(AR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AR$46)-YEAR('融资租赁与资金缺口'!$F$13))*12+MONTH(AR$46)-MONTH('融资租赁与资金缺口'!$F$13))-1)/'融资租赁与资金缺口'!$I$13))))),IF(AR$46&lt;'融资租赁与资金缺口'!$F$14,0,IF(AR$46='融资租赁与资金缺口'!$F$14,'融资租赁与资金缺口'!$E$14,IF(((YEAR(AR$46)-YEAR('融资租赁与资金缺口'!$F$14))*12+MONTH(AR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AR$46)-YEAR('融资租赁与资金缺口'!$F$14))*12+MONTH(AR$46)-MONTH('融资租赁与资金缺口'!$F$14)),'融资租赁与资金缺口'!$E$14*(1+'融资租赁与资金缺口'!$I$14)^((YEAR(AR$46)-YEAR('融资租赁与资金缺口'!$F$14))*12+MONTH(AR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AR$46)-YEAR('融资租赁与资金缺口'!$F$14))*12+MONTH(AR$46)-MONTH('融资租赁与资金缺口'!$F$14))-1)/'融资租赁与资金缺口'!$I$14))))),IF(AR$46&lt;'融资租赁与资金缺口'!$F$15,0,IF(AR$46='融资租赁与资金缺口'!$F$15,'融资租赁与资金缺口'!$E$15,IF(((YEAR(AR$46)-YEAR('融资租赁与资金缺口'!$F$15))*12+MONTH(AR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AR$46)-YEAR('融资租赁与资金缺口'!$F$15))*12+MONTH(AR$46)-MONTH('融资租赁与资金缺口'!$F$15)),'融资租赁与资金缺口'!$E$15*(1+'融资租赁与资金缺口'!$I$15)^((YEAR(AR$46)-YEAR('融资租赁与资金缺口'!$F$15))*12+MONTH(AR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AR$46)-YEAR('融资租赁与资金缺口'!$F$15))*12+MONTH(AR$46)-MONTH('融资租赁与资金缺口'!$F$15))-1)/'融资租赁与资金缺口'!$I$15))))),IF(AR$46&lt;'融资租赁与资金缺口'!$F$16,0,IF(AR$46='融资租赁与资金缺口'!$F$16,'融资租赁与资金缺口'!$E$16,IF(((YEAR(AR$46)-YEAR('融资租赁与资金缺口'!$F$16))*12+MONTH(AR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AR$46)-YEAR('融资租赁与资金缺口'!$F$16))*12+MONTH(AR$46)-MONTH('融资租赁与资金缺口'!$F$16)),'融资租赁与资金缺口'!$E$16*(1+'融资租赁与资金缺口'!$I$16)^((YEAR(AR$46)-YEAR('融资租赁与资金缺口'!$F$16))*12+MONTH(AR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AR$46)-YEAR('融资租赁与资金缺口'!$F$16))*12+MONTH(AR$46)-MONTH('融资租赁与资金缺口'!$F$16))-1)/'融资租赁与资金缺口'!$I$16))))))</x:f>
        <x:v>445451353.9586263</x:v>
      </x:c>
      <x:c r="AS53" s="28" t="n">
        <x:f>SUM(IF(AS$46&lt;'融资租赁与资金缺口'!$F$5,0,IF(AS$46='融资租赁与资金缺口'!$F$5,'融资租赁与资金缺口'!$E$5,IF(((YEAR(AS$46)-YEAR('融资租赁与资金缺口'!$F$5))*12+MONTH(AS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AS$46)-YEAR('融资租赁与资金缺口'!$F$5))*12+MONTH(AS$46)-MONTH('融资租赁与资金缺口'!$F$5)),'融资租赁与资金缺口'!$E$5*(1+'融资租赁与资金缺口'!$I$5)^((YEAR(AS$46)-YEAR('融资租赁与资金缺口'!$F$5))*12+MONTH(AS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AS$46)-YEAR('融资租赁与资金缺口'!$F$5))*12+MONTH(AS$46)-MONTH('融资租赁与资金缺口'!$F$5))-1)/'融资租赁与资金缺口'!$I$5))))),IF(AS$46&lt;'融资租赁与资金缺口'!$F$6,0,IF(AS$46='融资租赁与资金缺口'!$F$6,'融资租赁与资金缺口'!$E$6,IF(((YEAR(AS$46)-YEAR('融资租赁与资金缺口'!$F$6))*12+MONTH(AS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AS$46)-YEAR('融资租赁与资金缺口'!$F$6))*12+MONTH(AS$46)-MONTH('融资租赁与资金缺口'!$F$6)),'融资租赁与资金缺口'!$E$6*(1+'融资租赁与资金缺口'!$I$6)^((YEAR(AS$46)-YEAR('融资租赁与资金缺口'!$F$6))*12+MONTH(AS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AS$46)-YEAR('融资租赁与资金缺口'!$F$6))*12+MONTH(AS$46)-MONTH('融资租赁与资金缺口'!$F$6))-1)/'融资租赁与资金缺口'!$I$6))))),IF(AS$46&lt;'融资租赁与资金缺口'!$F$7,0,IF(AS$46='融资租赁与资金缺口'!$F$7,'融资租赁与资金缺口'!$E$7,IF(((YEAR(AS$46)-YEAR('融资租赁与资金缺口'!$F$7))*12+MONTH(AS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AS$46)-YEAR('融资租赁与资金缺口'!$F$7))*12+MONTH(AS$46)-MONTH('融资租赁与资金缺口'!$F$7)),'融资租赁与资金缺口'!$E$7*(1+'融资租赁与资金缺口'!$I$7)^((YEAR(AS$46)-YEAR('融资租赁与资金缺口'!$F$7))*12+MONTH(AS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AS$46)-YEAR('融资租赁与资金缺口'!$F$7))*12+MONTH(AS$46)-MONTH('融资租赁与资金缺口'!$F$7))-1)/'融资租赁与资金缺口'!$I$7))))),IF(AS$46&lt;'融资租赁与资金缺口'!$F$8,0,IF(AS$46='融资租赁与资金缺口'!$F$8,'融资租赁与资金缺口'!$E$8,IF(((YEAR(AS$46)-YEAR('融资租赁与资金缺口'!$F$8))*12+MONTH(AS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AS$46)-YEAR('融资租赁与资金缺口'!$F$8))*12+MONTH(AS$46)-MONTH('融资租赁与资金缺口'!$F$8)),'融资租赁与资金缺口'!$E$8*(1+'融资租赁与资金缺口'!$I$8)^((YEAR(AS$46)-YEAR('融资租赁与资金缺口'!$F$8))*12+MONTH(AS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AS$46)-YEAR('融资租赁与资金缺口'!$F$8))*12+MONTH(AS$46)-MONTH('融资租赁与资金缺口'!$F$8))-1)/'融资租赁与资金缺口'!$I$8))))),IF(AS$46&lt;'融资租赁与资金缺口'!$F$9,0,IF(AS$46='融资租赁与资金缺口'!$F$9,'融资租赁与资金缺口'!$E$9,IF(((YEAR(AS$46)-YEAR('融资租赁与资金缺口'!$F$9))*12+MONTH(AS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AS$46)-YEAR('融资租赁与资金缺口'!$F$9))*12+MONTH(AS$46)-MONTH('融资租赁与资金缺口'!$F$9)),'融资租赁与资金缺口'!$E$9*(1+'融资租赁与资金缺口'!$I$9)^((YEAR(AS$46)-YEAR('融资租赁与资金缺口'!$F$9))*12+MONTH(AS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AS$46)-YEAR('融资租赁与资金缺口'!$F$9))*12+MONTH(AS$46)-MONTH('融资租赁与资金缺口'!$F$9))-1)/'融资租赁与资金缺口'!$I$9))))),IF(AS$46&lt;'融资租赁与资金缺口'!$F$10,0,IF(AS$46='融资租赁与资金缺口'!$F$10,'融资租赁与资金缺口'!$E$10,IF(((YEAR(AS$46)-YEAR('融资租赁与资金缺口'!$F$10))*12+MONTH(AS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AS$46)-YEAR('融资租赁与资金缺口'!$F$10))*12+MONTH(AS$46)-MONTH('融资租赁与资金缺口'!$F$10)),'融资租赁与资金缺口'!$E$10*(1+'融资租赁与资金缺口'!$I$10)^((YEAR(AS$46)-YEAR('融资租赁与资金缺口'!$F$10))*12+MONTH(AS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AS$46)-YEAR('融资租赁与资金缺口'!$F$10))*12+MONTH(AS$46)-MONTH('融资租赁与资金缺口'!$F$10))-1)/'融资租赁与资金缺口'!$I$10))))),IF(AS$46&lt;'融资租赁与资金缺口'!$F$11,0,IF(AS$46='融资租赁与资金缺口'!$F$11,'融资租赁与资金缺口'!$E$11,IF(((YEAR(AS$46)-YEAR('融资租赁与资金缺口'!$F$11))*12+MONTH(AS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AS$46)-YEAR('融资租赁与资金缺口'!$F$11))*12+MONTH(AS$46)-MONTH('融资租赁与资金缺口'!$F$11)),'融资租赁与资金缺口'!$E$11*(1+'融资租赁与资金缺口'!$I$11)^((YEAR(AS$46)-YEAR('融资租赁与资金缺口'!$F$11))*12+MONTH(AS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AS$46)-YEAR('融资租赁与资金缺口'!$F$11))*12+MONTH(AS$46)-MONTH('融资租赁与资金缺口'!$F$11))-1)/'融资租赁与资金缺口'!$I$11))))),IF(AS$46&lt;'融资租赁与资金缺口'!$F$12,0,IF(AS$46='融资租赁与资金缺口'!$F$12,'融资租赁与资金缺口'!$E$12,IF(((YEAR(AS$46)-YEAR('融资租赁与资金缺口'!$F$12))*12+MONTH(AS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AS$46)-YEAR('融资租赁与资金缺口'!$F$12))*12+MONTH(AS$46)-MONTH('融资租赁与资金缺口'!$F$12)),'融资租赁与资金缺口'!$E$12*(1+'融资租赁与资金缺口'!$I$12)^((YEAR(AS$46)-YEAR('融资租赁与资金缺口'!$F$12))*12+MONTH(AS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AS$46)-YEAR('融资租赁与资金缺口'!$F$12))*12+MONTH(AS$46)-MONTH('融资租赁与资金缺口'!$F$12))-1)/'融资租赁与资金缺口'!$I$12))))),IF(AS$46&lt;'融资租赁与资金缺口'!$F$13,0,IF(AS$46='融资租赁与资金缺口'!$F$13,'融资租赁与资金缺口'!$E$13,IF(((YEAR(AS$46)-YEAR('融资租赁与资金缺口'!$F$13))*12+MONTH(AS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AS$46)-YEAR('融资租赁与资金缺口'!$F$13))*12+MONTH(AS$46)-MONTH('融资租赁与资金缺口'!$F$13)),'融资租赁与资金缺口'!$E$13*(1+'融资租赁与资金缺口'!$I$13)^((YEAR(AS$46)-YEAR('融资租赁与资金缺口'!$F$13))*12+MONTH(AS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AS$46)-YEAR('融资租赁与资金缺口'!$F$13))*12+MONTH(AS$46)-MONTH('融资租赁与资金缺口'!$F$13))-1)/'融资租赁与资金缺口'!$I$13))))),IF(AS$46&lt;'融资租赁与资金缺口'!$F$14,0,IF(AS$46='融资租赁与资金缺口'!$F$14,'融资租赁与资金缺口'!$E$14,IF(((YEAR(AS$46)-YEAR('融资租赁与资金缺口'!$F$14))*12+MONTH(AS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AS$46)-YEAR('融资租赁与资金缺口'!$F$14))*12+MONTH(AS$46)-MONTH('融资租赁与资金缺口'!$F$14)),'融资租赁与资金缺口'!$E$14*(1+'融资租赁与资金缺口'!$I$14)^((YEAR(AS$46)-YEAR('融资租赁与资金缺口'!$F$14))*12+MONTH(AS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AS$46)-YEAR('融资租赁与资金缺口'!$F$14))*12+MONTH(AS$46)-MONTH('融资租赁与资金缺口'!$F$14))-1)/'融资租赁与资金缺口'!$I$14))))),IF(AS$46&lt;'融资租赁与资金缺口'!$F$15,0,IF(AS$46='融资租赁与资金缺口'!$F$15,'融资租赁与资金缺口'!$E$15,IF(((YEAR(AS$46)-YEAR('融资租赁与资金缺口'!$F$15))*12+MONTH(AS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AS$46)-YEAR('融资租赁与资金缺口'!$F$15))*12+MONTH(AS$46)-MONTH('融资租赁与资金缺口'!$F$15)),'融资租赁与资金缺口'!$E$15*(1+'融资租赁与资金缺口'!$I$15)^((YEAR(AS$46)-YEAR('融资租赁与资金缺口'!$F$15))*12+MONTH(AS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AS$46)-YEAR('融资租赁与资金缺口'!$F$15))*12+MONTH(AS$46)-MONTH('融资租赁与资金缺口'!$F$15))-1)/'融资租赁与资金缺口'!$I$15))))),IF(AS$46&lt;'融资租赁与资金缺口'!$F$16,0,IF(AS$46='融资租赁与资金缺口'!$F$16,'融资租赁与资金缺口'!$E$16,IF(((YEAR(AS$46)-YEAR('融资租赁与资金缺口'!$F$16))*12+MONTH(AS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AS$46)-YEAR('融资租赁与资金缺口'!$F$16))*12+MONTH(AS$46)-MONTH('融资租赁与资金缺口'!$F$16)),'融资租赁与资金缺口'!$E$16*(1+'融资租赁与资金缺口'!$I$16)^((YEAR(AS$46)-YEAR('融资租赁与资金缺口'!$F$16))*12+MONTH(AS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AS$46)-YEAR('融资租赁与资金缺口'!$F$16))*12+MONTH(AS$46)-MONTH('融资租赁与资金缺口'!$F$16))-1)/'融资租赁与资金缺口'!$I$16))))))</x:f>
        <x:v>424058542.07802033</x:v>
      </x:c>
      <x:c r="AT53" s="28" t="n">
        <x:f>SUM(IF(AT$46&lt;'融资租赁与资金缺口'!$F$5,0,IF(AT$46='融资租赁与资金缺口'!$F$5,'融资租赁与资金缺口'!$E$5,IF(((YEAR(AT$46)-YEAR('融资租赁与资金缺口'!$F$5))*12+MONTH(AT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AT$46)-YEAR('融资租赁与资金缺口'!$F$5))*12+MONTH(AT$46)-MONTH('融资租赁与资金缺口'!$F$5)),'融资租赁与资金缺口'!$E$5*(1+'融资租赁与资金缺口'!$I$5)^((YEAR(AT$46)-YEAR('融资租赁与资金缺口'!$F$5))*12+MONTH(AT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AT$46)-YEAR('融资租赁与资金缺口'!$F$5))*12+MONTH(AT$46)-MONTH('融资租赁与资金缺口'!$F$5))-1)/'融资租赁与资金缺口'!$I$5))))),IF(AT$46&lt;'融资租赁与资金缺口'!$F$6,0,IF(AT$46='融资租赁与资金缺口'!$F$6,'融资租赁与资金缺口'!$E$6,IF(((YEAR(AT$46)-YEAR('融资租赁与资金缺口'!$F$6))*12+MONTH(AT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AT$46)-YEAR('融资租赁与资金缺口'!$F$6))*12+MONTH(AT$46)-MONTH('融资租赁与资金缺口'!$F$6)),'融资租赁与资金缺口'!$E$6*(1+'融资租赁与资金缺口'!$I$6)^((YEAR(AT$46)-YEAR('融资租赁与资金缺口'!$F$6))*12+MONTH(AT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AT$46)-YEAR('融资租赁与资金缺口'!$F$6))*12+MONTH(AT$46)-MONTH('融资租赁与资金缺口'!$F$6))-1)/'融资租赁与资金缺口'!$I$6))))),IF(AT$46&lt;'融资租赁与资金缺口'!$F$7,0,IF(AT$46='融资租赁与资金缺口'!$F$7,'融资租赁与资金缺口'!$E$7,IF(((YEAR(AT$46)-YEAR('融资租赁与资金缺口'!$F$7))*12+MONTH(AT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AT$46)-YEAR('融资租赁与资金缺口'!$F$7))*12+MONTH(AT$46)-MONTH('融资租赁与资金缺口'!$F$7)),'融资租赁与资金缺口'!$E$7*(1+'融资租赁与资金缺口'!$I$7)^((YEAR(AT$46)-YEAR('融资租赁与资金缺口'!$F$7))*12+MONTH(AT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AT$46)-YEAR('融资租赁与资金缺口'!$F$7))*12+MONTH(AT$46)-MONTH('融资租赁与资金缺口'!$F$7))-1)/'融资租赁与资金缺口'!$I$7))))),IF(AT$46&lt;'融资租赁与资金缺口'!$F$8,0,IF(AT$46='融资租赁与资金缺口'!$F$8,'融资租赁与资金缺口'!$E$8,IF(((YEAR(AT$46)-YEAR('融资租赁与资金缺口'!$F$8))*12+MONTH(AT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AT$46)-YEAR('融资租赁与资金缺口'!$F$8))*12+MONTH(AT$46)-MONTH('融资租赁与资金缺口'!$F$8)),'融资租赁与资金缺口'!$E$8*(1+'融资租赁与资金缺口'!$I$8)^((YEAR(AT$46)-YEAR('融资租赁与资金缺口'!$F$8))*12+MONTH(AT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AT$46)-YEAR('融资租赁与资金缺口'!$F$8))*12+MONTH(AT$46)-MONTH('融资租赁与资金缺口'!$F$8))-1)/'融资租赁与资金缺口'!$I$8))))),IF(AT$46&lt;'融资租赁与资金缺口'!$F$9,0,IF(AT$46='融资租赁与资金缺口'!$F$9,'融资租赁与资金缺口'!$E$9,IF(((YEAR(AT$46)-YEAR('融资租赁与资金缺口'!$F$9))*12+MONTH(AT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AT$46)-YEAR('融资租赁与资金缺口'!$F$9))*12+MONTH(AT$46)-MONTH('融资租赁与资金缺口'!$F$9)),'融资租赁与资金缺口'!$E$9*(1+'融资租赁与资金缺口'!$I$9)^((YEAR(AT$46)-YEAR('融资租赁与资金缺口'!$F$9))*12+MONTH(AT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AT$46)-YEAR('融资租赁与资金缺口'!$F$9))*12+MONTH(AT$46)-MONTH('融资租赁与资金缺口'!$F$9))-1)/'融资租赁与资金缺口'!$I$9))))),IF(AT$46&lt;'融资租赁与资金缺口'!$F$10,0,IF(AT$46='融资租赁与资金缺口'!$F$10,'融资租赁与资金缺口'!$E$10,IF(((YEAR(AT$46)-YEAR('融资租赁与资金缺口'!$F$10))*12+MONTH(AT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AT$46)-YEAR('融资租赁与资金缺口'!$F$10))*12+MONTH(AT$46)-MONTH('融资租赁与资金缺口'!$F$10)),'融资租赁与资金缺口'!$E$10*(1+'融资租赁与资金缺口'!$I$10)^((YEAR(AT$46)-YEAR('融资租赁与资金缺口'!$F$10))*12+MONTH(AT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AT$46)-YEAR('融资租赁与资金缺口'!$F$10))*12+MONTH(AT$46)-MONTH('融资租赁与资金缺口'!$F$10))-1)/'融资租赁与资金缺口'!$I$10))))),IF(AT$46&lt;'融资租赁与资金缺口'!$F$11,0,IF(AT$46='融资租赁与资金缺口'!$F$11,'融资租赁与资金缺口'!$E$11,IF(((YEAR(AT$46)-YEAR('融资租赁与资金缺口'!$F$11))*12+MONTH(AT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AT$46)-YEAR('融资租赁与资金缺口'!$F$11))*12+MONTH(AT$46)-MONTH('融资租赁与资金缺口'!$F$11)),'融资租赁与资金缺口'!$E$11*(1+'融资租赁与资金缺口'!$I$11)^((YEAR(AT$46)-YEAR('融资租赁与资金缺口'!$F$11))*12+MONTH(AT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AT$46)-YEAR('融资租赁与资金缺口'!$F$11))*12+MONTH(AT$46)-MONTH('融资租赁与资金缺口'!$F$11))-1)/'融资租赁与资金缺口'!$I$11))))),IF(AT$46&lt;'融资租赁与资金缺口'!$F$12,0,IF(AT$46='融资租赁与资金缺口'!$F$12,'融资租赁与资金缺口'!$E$12,IF(((YEAR(AT$46)-YEAR('融资租赁与资金缺口'!$F$12))*12+MONTH(AT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AT$46)-YEAR('融资租赁与资金缺口'!$F$12))*12+MONTH(AT$46)-MONTH('融资租赁与资金缺口'!$F$12)),'融资租赁与资金缺口'!$E$12*(1+'融资租赁与资金缺口'!$I$12)^((YEAR(AT$46)-YEAR('融资租赁与资金缺口'!$F$12))*12+MONTH(AT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AT$46)-YEAR('融资租赁与资金缺口'!$F$12))*12+MONTH(AT$46)-MONTH('融资租赁与资金缺口'!$F$12))-1)/'融资租赁与资金缺口'!$I$12))))),IF(AT$46&lt;'融资租赁与资金缺口'!$F$13,0,IF(AT$46='融资租赁与资金缺口'!$F$13,'融资租赁与资金缺口'!$E$13,IF(((YEAR(AT$46)-YEAR('融资租赁与资金缺口'!$F$13))*12+MONTH(AT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AT$46)-YEAR('融资租赁与资金缺口'!$F$13))*12+MONTH(AT$46)-MONTH('融资租赁与资金缺口'!$F$13)),'融资租赁与资金缺口'!$E$13*(1+'融资租赁与资金缺口'!$I$13)^((YEAR(AT$46)-YEAR('融资租赁与资金缺口'!$F$13))*12+MONTH(AT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AT$46)-YEAR('融资租赁与资金缺口'!$F$13))*12+MONTH(AT$46)-MONTH('融资租赁与资金缺口'!$F$13))-1)/'融资租赁与资金缺口'!$I$13))))),IF(AT$46&lt;'融资租赁与资金缺口'!$F$14,0,IF(AT$46='融资租赁与资金缺口'!$F$14,'融资租赁与资金缺口'!$E$14,IF(((YEAR(AT$46)-YEAR('融资租赁与资金缺口'!$F$14))*12+MONTH(AT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AT$46)-YEAR('融资租赁与资金缺口'!$F$14))*12+MONTH(AT$46)-MONTH('融资租赁与资金缺口'!$F$14)),'融资租赁与资金缺口'!$E$14*(1+'融资租赁与资金缺口'!$I$14)^((YEAR(AT$46)-YEAR('融资租赁与资金缺口'!$F$14))*12+MONTH(AT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AT$46)-YEAR('融资租赁与资金缺口'!$F$14))*12+MONTH(AT$46)-MONTH('融资租赁与资金缺口'!$F$14))-1)/'融资租赁与资金缺口'!$I$14))))),IF(AT$46&lt;'融资租赁与资金缺口'!$F$15,0,IF(AT$46='融资租赁与资金缺口'!$F$15,'融资租赁与资金缺口'!$E$15,IF(((YEAR(AT$46)-YEAR('融资租赁与资金缺口'!$F$15))*12+MONTH(AT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AT$46)-YEAR('融资租赁与资金缺口'!$F$15))*12+MONTH(AT$46)-MONTH('融资租赁与资金缺口'!$F$15)),'融资租赁与资金缺口'!$E$15*(1+'融资租赁与资金缺口'!$I$15)^((YEAR(AT$46)-YEAR('融资租赁与资金缺口'!$F$15))*12+MONTH(AT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AT$46)-YEAR('融资租赁与资金缺口'!$F$15))*12+MONTH(AT$46)-MONTH('融资租赁与资金缺口'!$F$15))-1)/'融资租赁与资金缺口'!$I$15))))),IF(AT$46&lt;'融资租赁与资金缺口'!$F$16,0,IF(AT$46='融资租赁与资金缺口'!$F$16,'融资租赁与资金缺口'!$E$16,IF(((YEAR(AT$46)-YEAR('融资租赁与资金缺口'!$F$16))*12+MONTH(AT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AT$46)-YEAR('融资租赁与资金缺口'!$F$16))*12+MONTH(AT$46)-MONTH('融资租赁与资金缺口'!$F$16)),'融资租赁与资金缺口'!$E$16*(1+'融资租赁与资金缺口'!$I$16)^((YEAR(AT$46)-YEAR('融资租赁与资金缺口'!$F$16))*12+MONTH(AT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AT$46)-YEAR('融资租赁与资金缺口'!$F$16))*12+MONTH(AT$46)-MONTH('融资租赁与资金缺口'!$F$16))-1)/'融资租赁与资金缺口'!$I$16))))))</x:f>
        <x:v>402523111.4515437</x:v>
      </x:c>
      <x:c r="AU53" s="28" t="n">
        <x:f>SUM(IF(AU$46&lt;'融资租赁与资金缺口'!$F$5,0,IF(AU$46='融资租赁与资金缺口'!$F$5,'融资租赁与资金缺口'!$E$5,IF(((YEAR(AU$46)-YEAR('融资租赁与资金缺口'!$F$5))*12+MONTH(AU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AU$46)-YEAR('融资租赁与资金缺口'!$F$5))*12+MONTH(AU$46)-MONTH('融资租赁与资金缺口'!$F$5)),'融资租赁与资金缺口'!$E$5*(1+'融资租赁与资金缺口'!$I$5)^((YEAR(AU$46)-YEAR('融资租赁与资金缺口'!$F$5))*12+MONTH(AU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AU$46)-YEAR('融资租赁与资金缺口'!$F$5))*12+MONTH(AU$46)-MONTH('融资租赁与资金缺口'!$F$5))-1)/'融资租赁与资金缺口'!$I$5))))),IF(AU$46&lt;'融资租赁与资金缺口'!$F$6,0,IF(AU$46='融资租赁与资金缺口'!$F$6,'融资租赁与资金缺口'!$E$6,IF(((YEAR(AU$46)-YEAR('融资租赁与资金缺口'!$F$6))*12+MONTH(AU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AU$46)-YEAR('融资租赁与资金缺口'!$F$6))*12+MONTH(AU$46)-MONTH('融资租赁与资金缺口'!$F$6)),'融资租赁与资金缺口'!$E$6*(1+'融资租赁与资金缺口'!$I$6)^((YEAR(AU$46)-YEAR('融资租赁与资金缺口'!$F$6))*12+MONTH(AU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AU$46)-YEAR('融资租赁与资金缺口'!$F$6))*12+MONTH(AU$46)-MONTH('融资租赁与资金缺口'!$F$6))-1)/'融资租赁与资金缺口'!$I$6))))),IF(AU$46&lt;'融资租赁与资金缺口'!$F$7,0,IF(AU$46='融资租赁与资金缺口'!$F$7,'融资租赁与资金缺口'!$E$7,IF(((YEAR(AU$46)-YEAR('融资租赁与资金缺口'!$F$7))*12+MONTH(AU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AU$46)-YEAR('融资租赁与资金缺口'!$F$7))*12+MONTH(AU$46)-MONTH('融资租赁与资金缺口'!$F$7)),'融资租赁与资金缺口'!$E$7*(1+'融资租赁与资金缺口'!$I$7)^((YEAR(AU$46)-YEAR('融资租赁与资金缺口'!$F$7))*12+MONTH(AU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AU$46)-YEAR('融资租赁与资金缺口'!$F$7))*12+MONTH(AU$46)-MONTH('融资租赁与资金缺口'!$F$7))-1)/'融资租赁与资金缺口'!$I$7))))),IF(AU$46&lt;'融资租赁与资金缺口'!$F$8,0,IF(AU$46='融资租赁与资金缺口'!$F$8,'融资租赁与资金缺口'!$E$8,IF(((YEAR(AU$46)-YEAR('融资租赁与资金缺口'!$F$8))*12+MONTH(AU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AU$46)-YEAR('融资租赁与资金缺口'!$F$8))*12+MONTH(AU$46)-MONTH('融资租赁与资金缺口'!$F$8)),'融资租赁与资金缺口'!$E$8*(1+'融资租赁与资金缺口'!$I$8)^((YEAR(AU$46)-YEAR('融资租赁与资金缺口'!$F$8))*12+MONTH(AU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AU$46)-YEAR('融资租赁与资金缺口'!$F$8))*12+MONTH(AU$46)-MONTH('融资租赁与资金缺口'!$F$8))-1)/'融资租赁与资金缺口'!$I$8))))),IF(AU$46&lt;'融资租赁与资金缺口'!$F$9,0,IF(AU$46='融资租赁与资金缺口'!$F$9,'融资租赁与资金缺口'!$E$9,IF(((YEAR(AU$46)-YEAR('融资租赁与资金缺口'!$F$9))*12+MONTH(AU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AU$46)-YEAR('融资租赁与资金缺口'!$F$9))*12+MONTH(AU$46)-MONTH('融资租赁与资金缺口'!$F$9)),'融资租赁与资金缺口'!$E$9*(1+'融资租赁与资金缺口'!$I$9)^((YEAR(AU$46)-YEAR('融资租赁与资金缺口'!$F$9))*12+MONTH(AU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AU$46)-YEAR('融资租赁与资金缺口'!$F$9))*12+MONTH(AU$46)-MONTH('融资租赁与资金缺口'!$F$9))-1)/'融资租赁与资金缺口'!$I$9))))),IF(AU$46&lt;'融资租赁与资金缺口'!$F$10,0,IF(AU$46='融资租赁与资金缺口'!$F$10,'融资租赁与资金缺口'!$E$10,IF(((YEAR(AU$46)-YEAR('融资租赁与资金缺口'!$F$10))*12+MONTH(AU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AU$46)-YEAR('融资租赁与资金缺口'!$F$10))*12+MONTH(AU$46)-MONTH('融资租赁与资金缺口'!$F$10)),'融资租赁与资金缺口'!$E$10*(1+'融资租赁与资金缺口'!$I$10)^((YEAR(AU$46)-YEAR('融资租赁与资金缺口'!$F$10))*12+MONTH(AU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AU$46)-YEAR('融资租赁与资金缺口'!$F$10))*12+MONTH(AU$46)-MONTH('融资租赁与资金缺口'!$F$10))-1)/'融资租赁与资金缺口'!$I$10))))),IF(AU$46&lt;'融资租赁与资金缺口'!$F$11,0,IF(AU$46='融资租赁与资金缺口'!$F$11,'融资租赁与资金缺口'!$E$11,IF(((YEAR(AU$46)-YEAR('融资租赁与资金缺口'!$F$11))*12+MONTH(AU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AU$46)-YEAR('融资租赁与资金缺口'!$F$11))*12+MONTH(AU$46)-MONTH('融资租赁与资金缺口'!$F$11)),'融资租赁与资金缺口'!$E$11*(1+'融资租赁与资金缺口'!$I$11)^((YEAR(AU$46)-YEAR('融资租赁与资金缺口'!$F$11))*12+MONTH(AU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AU$46)-YEAR('融资租赁与资金缺口'!$F$11))*12+MONTH(AU$46)-MONTH('融资租赁与资金缺口'!$F$11))-1)/'融资租赁与资金缺口'!$I$11))))),IF(AU$46&lt;'融资租赁与资金缺口'!$F$12,0,IF(AU$46='融资租赁与资金缺口'!$F$12,'融资租赁与资金缺口'!$E$12,IF(((YEAR(AU$46)-YEAR('融资租赁与资金缺口'!$F$12))*12+MONTH(AU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AU$46)-YEAR('融资租赁与资金缺口'!$F$12))*12+MONTH(AU$46)-MONTH('融资租赁与资金缺口'!$F$12)),'融资租赁与资金缺口'!$E$12*(1+'融资租赁与资金缺口'!$I$12)^((YEAR(AU$46)-YEAR('融资租赁与资金缺口'!$F$12))*12+MONTH(AU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AU$46)-YEAR('融资租赁与资金缺口'!$F$12))*12+MONTH(AU$46)-MONTH('融资租赁与资金缺口'!$F$12))-1)/'融资租赁与资金缺口'!$I$12))))),IF(AU$46&lt;'融资租赁与资金缺口'!$F$13,0,IF(AU$46='融资租赁与资金缺口'!$F$13,'融资租赁与资金缺口'!$E$13,IF(((YEAR(AU$46)-YEAR('融资租赁与资金缺口'!$F$13))*12+MONTH(AU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AU$46)-YEAR('融资租赁与资金缺口'!$F$13))*12+MONTH(AU$46)-MONTH('融资租赁与资金缺口'!$F$13)),'融资租赁与资金缺口'!$E$13*(1+'融资租赁与资金缺口'!$I$13)^((YEAR(AU$46)-YEAR('融资租赁与资金缺口'!$F$13))*12+MONTH(AU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AU$46)-YEAR('融资租赁与资金缺口'!$F$13))*12+MONTH(AU$46)-MONTH('融资租赁与资金缺口'!$F$13))-1)/'融资租赁与资金缺口'!$I$13))))),IF(AU$46&lt;'融资租赁与资金缺口'!$F$14,0,IF(AU$46='融资租赁与资金缺口'!$F$14,'融资租赁与资金缺口'!$E$14,IF(((YEAR(AU$46)-YEAR('融资租赁与资金缺口'!$F$14))*12+MONTH(AU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AU$46)-YEAR('融资租赁与资金缺口'!$F$14))*12+MONTH(AU$46)-MONTH('融资租赁与资金缺口'!$F$14)),'融资租赁与资金缺口'!$E$14*(1+'融资租赁与资金缺口'!$I$14)^((YEAR(AU$46)-YEAR('融资租赁与资金缺口'!$F$14))*12+MONTH(AU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AU$46)-YEAR('融资租赁与资金缺口'!$F$14))*12+MONTH(AU$46)-MONTH('融资租赁与资金缺口'!$F$14))-1)/'融资租赁与资金缺口'!$I$14))))),IF(AU$46&lt;'融资租赁与资金缺口'!$F$15,0,IF(AU$46='融资租赁与资金缺口'!$F$15,'融资租赁与资金缺口'!$E$15,IF(((YEAR(AU$46)-YEAR('融资租赁与资金缺口'!$F$15))*12+MONTH(AU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AU$46)-YEAR('融资租赁与资金缺口'!$F$15))*12+MONTH(AU$46)-MONTH('融资租赁与资金缺口'!$F$15)),'融资租赁与资金缺口'!$E$15*(1+'融资租赁与资金缺口'!$I$15)^((YEAR(AU$46)-YEAR('融资租赁与资金缺口'!$F$15))*12+MONTH(AU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AU$46)-YEAR('融资租赁与资金缺口'!$F$15))*12+MONTH(AU$46)-MONTH('融资租赁与资金缺口'!$F$15))-1)/'融资租赁与资金缺口'!$I$15))))),IF(AU$46&lt;'融资租赁与资金缺口'!$F$16,0,IF(AU$46='融资租赁与资金缺口'!$F$16,'融资租赁与资金缺口'!$E$16,IF(((YEAR(AU$46)-YEAR('融资租赁与资金缺口'!$F$16))*12+MONTH(AU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AU$46)-YEAR('融资租赁与资金缺口'!$F$16))*12+MONTH(AU$46)-MONTH('融资租赁与资金缺口'!$F$16)),'融资租赁与资金缺口'!$E$16*(1+'融资租赁与资金缺口'!$I$16)^((YEAR(AU$46)-YEAR('融资租赁与资金缺口'!$F$16))*12+MONTH(AU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AU$46)-YEAR('融资租赁与资金缺口'!$F$16))*12+MONTH(AU$46)-MONTH('融资租赁与资金缺口'!$F$16))-1)/'融资租赁与资金缺口'!$I$16))))))</x:f>
        <x:v>380844111.28755736</x:v>
      </x:c>
      <x:c r="AV53" s="28" t="n">
        <x:f>SUM(IF(AV$46&lt;'融资租赁与资金缺口'!$F$5,0,IF(AV$46='融资租赁与资金缺口'!$F$5,'融资租赁与资金缺口'!$E$5,IF(((YEAR(AV$46)-YEAR('融资租赁与资金缺口'!$F$5))*12+MONTH(AV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AV$46)-YEAR('融资租赁与资金缺口'!$F$5))*12+MONTH(AV$46)-MONTH('融资租赁与资金缺口'!$F$5)),'融资租赁与资金缺口'!$E$5*(1+'融资租赁与资金缺口'!$I$5)^((YEAR(AV$46)-YEAR('融资租赁与资金缺口'!$F$5))*12+MONTH(AV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AV$46)-YEAR('融资租赁与资金缺口'!$F$5))*12+MONTH(AV$46)-MONTH('融资租赁与资金缺口'!$F$5))-1)/'融资租赁与资金缺口'!$I$5))))),IF(AV$46&lt;'融资租赁与资金缺口'!$F$6,0,IF(AV$46='融资租赁与资金缺口'!$F$6,'融资租赁与资金缺口'!$E$6,IF(((YEAR(AV$46)-YEAR('融资租赁与资金缺口'!$F$6))*12+MONTH(AV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AV$46)-YEAR('融资租赁与资金缺口'!$F$6))*12+MONTH(AV$46)-MONTH('融资租赁与资金缺口'!$F$6)),'融资租赁与资金缺口'!$E$6*(1+'融资租赁与资金缺口'!$I$6)^((YEAR(AV$46)-YEAR('融资租赁与资金缺口'!$F$6))*12+MONTH(AV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AV$46)-YEAR('融资租赁与资金缺口'!$F$6))*12+MONTH(AV$46)-MONTH('融资租赁与资金缺口'!$F$6))-1)/'融资租赁与资金缺口'!$I$6))))),IF(AV$46&lt;'融资租赁与资金缺口'!$F$7,0,IF(AV$46='融资租赁与资金缺口'!$F$7,'融资租赁与资金缺口'!$E$7,IF(((YEAR(AV$46)-YEAR('融资租赁与资金缺口'!$F$7))*12+MONTH(AV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AV$46)-YEAR('融资租赁与资金缺口'!$F$7))*12+MONTH(AV$46)-MONTH('融资租赁与资金缺口'!$F$7)),'融资租赁与资金缺口'!$E$7*(1+'融资租赁与资金缺口'!$I$7)^((YEAR(AV$46)-YEAR('融资租赁与资金缺口'!$F$7))*12+MONTH(AV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AV$46)-YEAR('融资租赁与资金缺口'!$F$7))*12+MONTH(AV$46)-MONTH('融资租赁与资金缺口'!$F$7))-1)/'融资租赁与资金缺口'!$I$7))))),IF(AV$46&lt;'融资租赁与资金缺口'!$F$8,0,IF(AV$46='融资租赁与资金缺口'!$F$8,'融资租赁与资金缺口'!$E$8,IF(((YEAR(AV$46)-YEAR('融资租赁与资金缺口'!$F$8))*12+MONTH(AV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AV$46)-YEAR('融资租赁与资金缺口'!$F$8))*12+MONTH(AV$46)-MONTH('融资租赁与资金缺口'!$F$8)),'融资租赁与资金缺口'!$E$8*(1+'融资租赁与资金缺口'!$I$8)^((YEAR(AV$46)-YEAR('融资租赁与资金缺口'!$F$8))*12+MONTH(AV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AV$46)-YEAR('融资租赁与资金缺口'!$F$8))*12+MONTH(AV$46)-MONTH('融资租赁与资金缺口'!$F$8))-1)/'融资租赁与资金缺口'!$I$8))))),IF(AV$46&lt;'融资租赁与资金缺口'!$F$9,0,IF(AV$46='融资租赁与资金缺口'!$F$9,'融资租赁与资金缺口'!$E$9,IF(((YEAR(AV$46)-YEAR('融资租赁与资金缺口'!$F$9))*12+MONTH(AV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AV$46)-YEAR('融资租赁与资金缺口'!$F$9))*12+MONTH(AV$46)-MONTH('融资租赁与资金缺口'!$F$9)),'融资租赁与资金缺口'!$E$9*(1+'融资租赁与资金缺口'!$I$9)^((YEAR(AV$46)-YEAR('融资租赁与资金缺口'!$F$9))*12+MONTH(AV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AV$46)-YEAR('融资租赁与资金缺口'!$F$9))*12+MONTH(AV$46)-MONTH('融资租赁与资金缺口'!$F$9))-1)/'融资租赁与资金缺口'!$I$9))))),IF(AV$46&lt;'融资租赁与资金缺口'!$F$10,0,IF(AV$46='融资租赁与资金缺口'!$F$10,'融资租赁与资金缺口'!$E$10,IF(((YEAR(AV$46)-YEAR('融资租赁与资金缺口'!$F$10))*12+MONTH(AV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AV$46)-YEAR('融资租赁与资金缺口'!$F$10))*12+MONTH(AV$46)-MONTH('融资租赁与资金缺口'!$F$10)),'融资租赁与资金缺口'!$E$10*(1+'融资租赁与资金缺口'!$I$10)^((YEAR(AV$46)-YEAR('融资租赁与资金缺口'!$F$10))*12+MONTH(AV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AV$46)-YEAR('融资租赁与资金缺口'!$F$10))*12+MONTH(AV$46)-MONTH('融资租赁与资金缺口'!$F$10))-1)/'融资租赁与资金缺口'!$I$10))))),IF(AV$46&lt;'融资租赁与资金缺口'!$F$11,0,IF(AV$46='融资租赁与资金缺口'!$F$11,'融资租赁与资金缺口'!$E$11,IF(((YEAR(AV$46)-YEAR('融资租赁与资金缺口'!$F$11))*12+MONTH(AV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AV$46)-YEAR('融资租赁与资金缺口'!$F$11))*12+MONTH(AV$46)-MONTH('融资租赁与资金缺口'!$F$11)),'融资租赁与资金缺口'!$E$11*(1+'融资租赁与资金缺口'!$I$11)^((YEAR(AV$46)-YEAR('融资租赁与资金缺口'!$F$11))*12+MONTH(AV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AV$46)-YEAR('融资租赁与资金缺口'!$F$11))*12+MONTH(AV$46)-MONTH('融资租赁与资金缺口'!$F$11))-1)/'融资租赁与资金缺口'!$I$11))))),IF(AV$46&lt;'融资租赁与资金缺口'!$F$12,0,IF(AV$46='融资租赁与资金缺口'!$F$12,'融资租赁与资金缺口'!$E$12,IF(((YEAR(AV$46)-YEAR('融资租赁与资金缺口'!$F$12))*12+MONTH(AV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AV$46)-YEAR('融资租赁与资金缺口'!$F$12))*12+MONTH(AV$46)-MONTH('融资租赁与资金缺口'!$F$12)),'融资租赁与资金缺口'!$E$12*(1+'融资租赁与资金缺口'!$I$12)^((YEAR(AV$46)-YEAR('融资租赁与资金缺口'!$F$12))*12+MONTH(AV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AV$46)-YEAR('融资租赁与资金缺口'!$F$12))*12+MONTH(AV$46)-MONTH('融资租赁与资金缺口'!$F$12))-1)/'融资租赁与资金缺口'!$I$12))))),IF(AV$46&lt;'融资租赁与资金缺口'!$F$13,0,IF(AV$46='融资租赁与资金缺口'!$F$13,'融资租赁与资金缺口'!$E$13,IF(((YEAR(AV$46)-YEAR('融资租赁与资金缺口'!$F$13))*12+MONTH(AV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AV$46)-YEAR('融资租赁与资金缺口'!$F$13))*12+MONTH(AV$46)-MONTH('融资租赁与资金缺口'!$F$13)),'融资租赁与资金缺口'!$E$13*(1+'融资租赁与资金缺口'!$I$13)^((YEAR(AV$46)-YEAR('融资租赁与资金缺口'!$F$13))*12+MONTH(AV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AV$46)-YEAR('融资租赁与资金缺口'!$F$13))*12+MONTH(AV$46)-MONTH('融资租赁与资金缺口'!$F$13))-1)/'融资租赁与资金缺口'!$I$13))))),IF(AV$46&lt;'融资租赁与资金缺口'!$F$14,0,IF(AV$46='融资租赁与资金缺口'!$F$14,'融资租赁与资金缺口'!$E$14,IF(((YEAR(AV$46)-YEAR('融资租赁与资金缺口'!$F$14))*12+MONTH(AV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AV$46)-YEAR('融资租赁与资金缺口'!$F$14))*12+MONTH(AV$46)-MONTH('融资租赁与资金缺口'!$F$14)),'融资租赁与资金缺口'!$E$14*(1+'融资租赁与资金缺口'!$I$14)^((YEAR(AV$46)-YEAR('融资租赁与资金缺口'!$F$14))*12+MONTH(AV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AV$46)-YEAR('融资租赁与资金缺口'!$F$14))*12+MONTH(AV$46)-MONTH('融资租赁与资金缺口'!$F$14))-1)/'融资租赁与资金缺口'!$I$14))))),IF(AV$46&lt;'融资租赁与资金缺口'!$F$15,0,IF(AV$46='融资租赁与资金缺口'!$F$15,'融资租赁与资金缺口'!$E$15,IF(((YEAR(AV$46)-YEAR('融资租赁与资金缺口'!$F$15))*12+MONTH(AV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AV$46)-YEAR('融资租赁与资金缺口'!$F$15))*12+MONTH(AV$46)-MONTH('融资租赁与资金缺口'!$F$15)),'融资租赁与资金缺口'!$E$15*(1+'融资租赁与资金缺口'!$I$15)^((YEAR(AV$46)-YEAR('融资租赁与资金缺口'!$F$15))*12+MONTH(AV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AV$46)-YEAR('融资租赁与资金缺口'!$F$15))*12+MONTH(AV$46)-MONTH('融资租赁与资金缺口'!$F$15))-1)/'融资租赁与资金缺口'!$I$15))))),IF(AV$46&lt;'融资租赁与资金缺口'!$F$16,0,IF(AV$46='融资租赁与资金缺口'!$F$16,'融资租赁与资金缺口'!$E$16,IF(((YEAR(AV$46)-YEAR('融资租赁与资金缺口'!$F$16))*12+MONTH(AV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AV$46)-YEAR('融资租赁与资金缺口'!$F$16))*12+MONTH(AV$46)-MONTH('融资租赁与资金缺口'!$F$16)),'融资租赁与资金缺口'!$E$16*(1+'融资租赁与资金缺口'!$I$16)^((YEAR(AV$46)-YEAR('融资租赁与资金缺口'!$F$16))*12+MONTH(AV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AV$46)-YEAR('融资租赁与资金缺口'!$F$16))*12+MONTH(AV$46)-MONTH('融资租赁与资金缺口'!$F$16))-1)/'融资租赁与资金缺口'!$I$16))))))</x:f>
        <x:v>359020584.4558111</x:v>
      </x:c>
      <x:c r="AW53" s="28" t="n">
        <x:f>SUM(IF(AW$46&lt;'融资租赁与资金缺口'!$F$5,0,IF(AW$46='融资租赁与资金缺口'!$F$5,'融资租赁与资金缺口'!$E$5,IF(((YEAR(AW$46)-YEAR('融资租赁与资金缺口'!$F$5))*12+MONTH(AW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AW$46)-YEAR('融资租赁与资金缺口'!$F$5))*12+MONTH(AW$46)-MONTH('融资租赁与资金缺口'!$F$5)),'融资租赁与资金缺口'!$E$5*(1+'融资租赁与资金缺口'!$I$5)^((YEAR(AW$46)-YEAR('融资租赁与资金缺口'!$F$5))*12+MONTH(AW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AW$46)-YEAR('融资租赁与资金缺口'!$F$5))*12+MONTH(AW$46)-MONTH('融资租赁与资金缺口'!$F$5))-1)/'融资租赁与资金缺口'!$I$5))))),IF(AW$46&lt;'融资租赁与资金缺口'!$F$6,0,IF(AW$46='融资租赁与资金缺口'!$F$6,'融资租赁与资金缺口'!$E$6,IF(((YEAR(AW$46)-YEAR('融资租赁与资金缺口'!$F$6))*12+MONTH(AW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AW$46)-YEAR('融资租赁与资金缺口'!$F$6))*12+MONTH(AW$46)-MONTH('融资租赁与资金缺口'!$F$6)),'融资租赁与资金缺口'!$E$6*(1+'融资租赁与资金缺口'!$I$6)^((YEAR(AW$46)-YEAR('融资租赁与资金缺口'!$F$6))*12+MONTH(AW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AW$46)-YEAR('融资租赁与资金缺口'!$F$6))*12+MONTH(AW$46)-MONTH('融资租赁与资金缺口'!$F$6))-1)/'融资租赁与资金缺口'!$I$6))))),IF(AW$46&lt;'融资租赁与资金缺口'!$F$7,0,IF(AW$46='融资租赁与资金缺口'!$F$7,'融资租赁与资金缺口'!$E$7,IF(((YEAR(AW$46)-YEAR('融资租赁与资金缺口'!$F$7))*12+MONTH(AW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AW$46)-YEAR('融资租赁与资金缺口'!$F$7))*12+MONTH(AW$46)-MONTH('融资租赁与资金缺口'!$F$7)),'融资租赁与资金缺口'!$E$7*(1+'融资租赁与资金缺口'!$I$7)^((YEAR(AW$46)-YEAR('融资租赁与资金缺口'!$F$7))*12+MONTH(AW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AW$46)-YEAR('融资租赁与资金缺口'!$F$7))*12+MONTH(AW$46)-MONTH('融资租赁与资金缺口'!$F$7))-1)/'融资租赁与资金缺口'!$I$7))))),IF(AW$46&lt;'融资租赁与资金缺口'!$F$8,0,IF(AW$46='融资租赁与资金缺口'!$F$8,'融资租赁与资金缺口'!$E$8,IF(((YEAR(AW$46)-YEAR('融资租赁与资金缺口'!$F$8))*12+MONTH(AW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AW$46)-YEAR('融资租赁与资金缺口'!$F$8))*12+MONTH(AW$46)-MONTH('融资租赁与资金缺口'!$F$8)),'融资租赁与资金缺口'!$E$8*(1+'融资租赁与资金缺口'!$I$8)^((YEAR(AW$46)-YEAR('融资租赁与资金缺口'!$F$8))*12+MONTH(AW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AW$46)-YEAR('融资租赁与资金缺口'!$F$8))*12+MONTH(AW$46)-MONTH('融资租赁与资金缺口'!$F$8))-1)/'融资租赁与资金缺口'!$I$8))))),IF(AW$46&lt;'融资租赁与资金缺口'!$F$9,0,IF(AW$46='融资租赁与资金缺口'!$F$9,'融资租赁与资金缺口'!$E$9,IF(((YEAR(AW$46)-YEAR('融资租赁与资金缺口'!$F$9))*12+MONTH(AW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AW$46)-YEAR('融资租赁与资金缺口'!$F$9))*12+MONTH(AW$46)-MONTH('融资租赁与资金缺口'!$F$9)),'融资租赁与资金缺口'!$E$9*(1+'融资租赁与资金缺口'!$I$9)^((YEAR(AW$46)-YEAR('融资租赁与资金缺口'!$F$9))*12+MONTH(AW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AW$46)-YEAR('融资租赁与资金缺口'!$F$9))*12+MONTH(AW$46)-MONTH('融资租赁与资金缺口'!$F$9))-1)/'融资租赁与资金缺口'!$I$9))))),IF(AW$46&lt;'融资租赁与资金缺口'!$F$10,0,IF(AW$46='融资租赁与资金缺口'!$F$10,'融资租赁与资金缺口'!$E$10,IF(((YEAR(AW$46)-YEAR('融资租赁与资金缺口'!$F$10))*12+MONTH(AW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AW$46)-YEAR('融资租赁与资金缺口'!$F$10))*12+MONTH(AW$46)-MONTH('融资租赁与资金缺口'!$F$10)),'融资租赁与资金缺口'!$E$10*(1+'融资租赁与资金缺口'!$I$10)^((YEAR(AW$46)-YEAR('融资租赁与资金缺口'!$F$10))*12+MONTH(AW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AW$46)-YEAR('融资租赁与资金缺口'!$F$10))*12+MONTH(AW$46)-MONTH('融资租赁与资金缺口'!$F$10))-1)/'融资租赁与资金缺口'!$I$10))))),IF(AW$46&lt;'融资租赁与资金缺口'!$F$11,0,IF(AW$46='融资租赁与资金缺口'!$F$11,'融资租赁与资金缺口'!$E$11,IF(((YEAR(AW$46)-YEAR('融资租赁与资金缺口'!$F$11))*12+MONTH(AW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AW$46)-YEAR('融资租赁与资金缺口'!$F$11))*12+MONTH(AW$46)-MONTH('融资租赁与资金缺口'!$F$11)),'融资租赁与资金缺口'!$E$11*(1+'融资租赁与资金缺口'!$I$11)^((YEAR(AW$46)-YEAR('融资租赁与资金缺口'!$F$11))*12+MONTH(AW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AW$46)-YEAR('融资租赁与资金缺口'!$F$11))*12+MONTH(AW$46)-MONTH('融资租赁与资金缺口'!$F$11))-1)/'融资租赁与资金缺口'!$I$11))))),IF(AW$46&lt;'融资租赁与资金缺口'!$F$12,0,IF(AW$46='融资租赁与资金缺口'!$F$12,'融资租赁与资金缺口'!$E$12,IF(((YEAR(AW$46)-YEAR('融资租赁与资金缺口'!$F$12))*12+MONTH(AW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AW$46)-YEAR('融资租赁与资金缺口'!$F$12))*12+MONTH(AW$46)-MONTH('融资租赁与资金缺口'!$F$12)),'融资租赁与资金缺口'!$E$12*(1+'融资租赁与资金缺口'!$I$12)^((YEAR(AW$46)-YEAR('融资租赁与资金缺口'!$F$12))*12+MONTH(AW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AW$46)-YEAR('融资租赁与资金缺口'!$F$12))*12+MONTH(AW$46)-MONTH('融资租赁与资金缺口'!$F$12))-1)/'融资租赁与资金缺口'!$I$12))))),IF(AW$46&lt;'融资租赁与资金缺口'!$F$13,0,IF(AW$46='融资租赁与资金缺口'!$F$13,'融资租赁与资金缺口'!$E$13,IF(((YEAR(AW$46)-YEAR('融资租赁与资金缺口'!$F$13))*12+MONTH(AW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AW$46)-YEAR('融资租赁与资金缺口'!$F$13))*12+MONTH(AW$46)-MONTH('融资租赁与资金缺口'!$F$13)),'融资租赁与资金缺口'!$E$13*(1+'融资租赁与资金缺口'!$I$13)^((YEAR(AW$46)-YEAR('融资租赁与资金缺口'!$F$13))*12+MONTH(AW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AW$46)-YEAR('融资租赁与资金缺口'!$F$13))*12+MONTH(AW$46)-MONTH('融资租赁与资金缺口'!$F$13))-1)/'融资租赁与资金缺口'!$I$13))))),IF(AW$46&lt;'融资租赁与资金缺口'!$F$14,0,IF(AW$46='融资租赁与资金缺口'!$F$14,'融资租赁与资金缺口'!$E$14,IF(((YEAR(AW$46)-YEAR('融资租赁与资金缺口'!$F$14))*12+MONTH(AW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AW$46)-YEAR('融资租赁与资金缺口'!$F$14))*12+MONTH(AW$46)-MONTH('融资租赁与资金缺口'!$F$14)),'融资租赁与资金缺口'!$E$14*(1+'融资租赁与资金缺口'!$I$14)^((YEAR(AW$46)-YEAR('融资租赁与资金缺口'!$F$14))*12+MONTH(AW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AW$46)-YEAR('融资租赁与资金缺口'!$F$14))*12+MONTH(AW$46)-MONTH('融资租赁与资金缺口'!$F$14))-1)/'融资租赁与资金缺口'!$I$14))))),IF(AW$46&lt;'融资租赁与资金缺口'!$F$15,0,IF(AW$46='融资租赁与资金缺口'!$F$15,'融资租赁与资金缺口'!$E$15,IF(((YEAR(AW$46)-YEAR('融资租赁与资金缺口'!$F$15))*12+MONTH(AW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AW$46)-YEAR('融资租赁与资金缺口'!$F$15))*12+MONTH(AW$46)-MONTH('融资租赁与资金缺口'!$F$15)),'融资租赁与资金缺口'!$E$15*(1+'融资租赁与资金缺口'!$I$15)^((YEAR(AW$46)-YEAR('融资租赁与资金缺口'!$F$15))*12+MONTH(AW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AW$46)-YEAR('融资租赁与资金缺口'!$F$15))*12+MONTH(AW$46)-MONTH('融资租赁与资金缺口'!$F$15))-1)/'融资租赁与资金缺口'!$I$15))))),IF(AW$46&lt;'融资租赁与资金缺口'!$F$16,0,IF(AW$46='融资租赁与资金缺口'!$F$16,'融资租赁与资金缺口'!$E$16,IF(((YEAR(AW$46)-YEAR('融资租赁与资金缺口'!$F$16))*12+MONTH(AW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AW$46)-YEAR('融资租赁与资金缺口'!$F$16))*12+MONTH(AW$46)-MONTH('融资租赁与资金缺口'!$F$16)),'融资租赁与资金缺口'!$E$16*(1+'融资租赁与资金缺口'!$I$16)^((YEAR(AW$46)-YEAR('融资租赁与资金缺口'!$F$16))*12+MONTH(AW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AW$46)-YEAR('融资租赁与资金缺口'!$F$16))*12+MONTH(AW$46)-MONTH('融资租赁与资金缺口'!$F$16))-1)/'融资租赁与资金缺口'!$I$16))))))</x:f>
        <x:v>337051567.44518644</x:v>
      </x:c>
      <x:c r="AX53" s="28" t="n">
        <x:f>SUM(IF(AX$46&lt;'融资租赁与资金缺口'!$F$5,0,IF(AX$46='融资租赁与资金缺口'!$F$5,'融资租赁与资金缺口'!$E$5,IF(((YEAR(AX$46)-YEAR('融资租赁与资金缺口'!$F$5))*12+MONTH(AX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AX$46)-YEAR('融资租赁与资金缺口'!$F$5))*12+MONTH(AX$46)-MONTH('融资租赁与资金缺口'!$F$5)),'融资租赁与资金缺口'!$E$5*(1+'融资租赁与资金缺口'!$I$5)^((YEAR(AX$46)-YEAR('融资租赁与资金缺口'!$F$5))*12+MONTH(AX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AX$46)-YEAR('融资租赁与资金缺口'!$F$5))*12+MONTH(AX$46)-MONTH('融资租赁与资金缺口'!$F$5))-1)/'融资租赁与资金缺口'!$I$5))))),IF(AX$46&lt;'融资租赁与资金缺口'!$F$6,0,IF(AX$46='融资租赁与资金缺口'!$F$6,'融资租赁与资金缺口'!$E$6,IF(((YEAR(AX$46)-YEAR('融资租赁与资金缺口'!$F$6))*12+MONTH(AX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AX$46)-YEAR('融资租赁与资金缺口'!$F$6))*12+MONTH(AX$46)-MONTH('融资租赁与资金缺口'!$F$6)),'融资租赁与资金缺口'!$E$6*(1+'融资租赁与资金缺口'!$I$6)^((YEAR(AX$46)-YEAR('融资租赁与资金缺口'!$F$6))*12+MONTH(AX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AX$46)-YEAR('融资租赁与资金缺口'!$F$6))*12+MONTH(AX$46)-MONTH('融资租赁与资金缺口'!$F$6))-1)/'融资租赁与资金缺口'!$I$6))))),IF(AX$46&lt;'融资租赁与资金缺口'!$F$7,0,IF(AX$46='融资租赁与资金缺口'!$F$7,'融资租赁与资金缺口'!$E$7,IF(((YEAR(AX$46)-YEAR('融资租赁与资金缺口'!$F$7))*12+MONTH(AX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AX$46)-YEAR('融资租赁与资金缺口'!$F$7))*12+MONTH(AX$46)-MONTH('融资租赁与资金缺口'!$F$7)),'融资租赁与资金缺口'!$E$7*(1+'融资租赁与资金缺口'!$I$7)^((YEAR(AX$46)-YEAR('融资租赁与资金缺口'!$F$7))*12+MONTH(AX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AX$46)-YEAR('融资租赁与资金缺口'!$F$7))*12+MONTH(AX$46)-MONTH('融资租赁与资金缺口'!$F$7))-1)/'融资租赁与资金缺口'!$I$7))))),IF(AX$46&lt;'融资租赁与资金缺口'!$F$8,0,IF(AX$46='融资租赁与资金缺口'!$F$8,'融资租赁与资金缺口'!$E$8,IF(((YEAR(AX$46)-YEAR('融资租赁与资金缺口'!$F$8))*12+MONTH(AX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AX$46)-YEAR('融资租赁与资金缺口'!$F$8))*12+MONTH(AX$46)-MONTH('融资租赁与资金缺口'!$F$8)),'融资租赁与资金缺口'!$E$8*(1+'融资租赁与资金缺口'!$I$8)^((YEAR(AX$46)-YEAR('融资租赁与资金缺口'!$F$8))*12+MONTH(AX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AX$46)-YEAR('融资租赁与资金缺口'!$F$8))*12+MONTH(AX$46)-MONTH('融资租赁与资金缺口'!$F$8))-1)/'融资租赁与资金缺口'!$I$8))))),IF(AX$46&lt;'融资租赁与资金缺口'!$F$9,0,IF(AX$46='融资租赁与资金缺口'!$F$9,'融资租赁与资金缺口'!$E$9,IF(((YEAR(AX$46)-YEAR('融资租赁与资金缺口'!$F$9))*12+MONTH(AX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AX$46)-YEAR('融资租赁与资金缺口'!$F$9))*12+MONTH(AX$46)-MONTH('融资租赁与资金缺口'!$F$9)),'融资租赁与资金缺口'!$E$9*(1+'融资租赁与资金缺口'!$I$9)^((YEAR(AX$46)-YEAR('融资租赁与资金缺口'!$F$9))*12+MONTH(AX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AX$46)-YEAR('融资租赁与资金缺口'!$F$9))*12+MONTH(AX$46)-MONTH('融资租赁与资金缺口'!$F$9))-1)/'融资租赁与资金缺口'!$I$9))))),IF(AX$46&lt;'融资租赁与资金缺口'!$F$10,0,IF(AX$46='融资租赁与资金缺口'!$F$10,'融资租赁与资金缺口'!$E$10,IF(((YEAR(AX$46)-YEAR('融资租赁与资金缺口'!$F$10))*12+MONTH(AX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AX$46)-YEAR('融资租赁与资金缺口'!$F$10))*12+MONTH(AX$46)-MONTH('融资租赁与资金缺口'!$F$10)),'融资租赁与资金缺口'!$E$10*(1+'融资租赁与资金缺口'!$I$10)^((YEAR(AX$46)-YEAR('融资租赁与资金缺口'!$F$10))*12+MONTH(AX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AX$46)-YEAR('融资租赁与资金缺口'!$F$10))*12+MONTH(AX$46)-MONTH('融资租赁与资金缺口'!$F$10))-1)/'融资租赁与资金缺口'!$I$10))))),IF(AX$46&lt;'融资租赁与资金缺口'!$F$11,0,IF(AX$46='融资租赁与资金缺口'!$F$11,'融资租赁与资金缺口'!$E$11,IF(((YEAR(AX$46)-YEAR('融资租赁与资金缺口'!$F$11))*12+MONTH(AX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AX$46)-YEAR('融资租赁与资金缺口'!$F$11))*12+MONTH(AX$46)-MONTH('融资租赁与资金缺口'!$F$11)),'融资租赁与资金缺口'!$E$11*(1+'融资租赁与资金缺口'!$I$11)^((YEAR(AX$46)-YEAR('融资租赁与资金缺口'!$F$11))*12+MONTH(AX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AX$46)-YEAR('融资租赁与资金缺口'!$F$11))*12+MONTH(AX$46)-MONTH('融资租赁与资金缺口'!$F$11))-1)/'融资租赁与资金缺口'!$I$11))))),IF(AX$46&lt;'融资租赁与资金缺口'!$F$12,0,IF(AX$46='融资租赁与资金缺口'!$F$12,'融资租赁与资金缺口'!$E$12,IF(((YEAR(AX$46)-YEAR('融资租赁与资金缺口'!$F$12))*12+MONTH(AX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AX$46)-YEAR('融资租赁与资金缺口'!$F$12))*12+MONTH(AX$46)-MONTH('融资租赁与资金缺口'!$F$12)),'融资租赁与资金缺口'!$E$12*(1+'融资租赁与资金缺口'!$I$12)^((YEAR(AX$46)-YEAR('融资租赁与资金缺口'!$F$12))*12+MONTH(AX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AX$46)-YEAR('融资租赁与资金缺口'!$F$12))*12+MONTH(AX$46)-MONTH('融资租赁与资金缺口'!$F$12))-1)/'融资租赁与资金缺口'!$I$12))))),IF(AX$46&lt;'融资租赁与资金缺口'!$F$13,0,IF(AX$46='融资租赁与资金缺口'!$F$13,'融资租赁与资金缺口'!$E$13,IF(((YEAR(AX$46)-YEAR('融资租赁与资金缺口'!$F$13))*12+MONTH(AX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AX$46)-YEAR('融资租赁与资金缺口'!$F$13))*12+MONTH(AX$46)-MONTH('融资租赁与资金缺口'!$F$13)),'融资租赁与资金缺口'!$E$13*(1+'融资租赁与资金缺口'!$I$13)^((YEAR(AX$46)-YEAR('融资租赁与资金缺口'!$F$13))*12+MONTH(AX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AX$46)-YEAR('融资租赁与资金缺口'!$F$13))*12+MONTH(AX$46)-MONTH('融资租赁与资金缺口'!$F$13))-1)/'融资租赁与资金缺口'!$I$13))))),IF(AX$46&lt;'融资租赁与资金缺口'!$F$14,0,IF(AX$46='融资租赁与资金缺口'!$F$14,'融资租赁与资金缺口'!$E$14,IF(((YEAR(AX$46)-YEAR('融资租赁与资金缺口'!$F$14))*12+MONTH(AX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AX$46)-YEAR('融资租赁与资金缺口'!$F$14))*12+MONTH(AX$46)-MONTH('融资租赁与资金缺口'!$F$14)),'融资租赁与资金缺口'!$E$14*(1+'融资租赁与资金缺口'!$I$14)^((YEAR(AX$46)-YEAR('融资租赁与资金缺口'!$F$14))*12+MONTH(AX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AX$46)-YEAR('融资租赁与资金缺口'!$F$14))*12+MONTH(AX$46)-MONTH('融资租赁与资金缺口'!$F$14))-1)/'融资租赁与资金缺口'!$I$14))))),IF(AX$46&lt;'融资租赁与资金缺口'!$F$15,0,IF(AX$46='融资租赁与资金缺口'!$F$15,'融资租赁与资金缺口'!$E$15,IF(((YEAR(AX$46)-YEAR('融资租赁与资金缺口'!$F$15))*12+MONTH(AX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AX$46)-YEAR('融资租赁与资金缺口'!$F$15))*12+MONTH(AX$46)-MONTH('融资租赁与资金缺口'!$F$15)),'融资租赁与资金缺口'!$E$15*(1+'融资租赁与资金缺口'!$I$15)^((YEAR(AX$46)-YEAR('融资租赁与资金缺口'!$F$15))*12+MONTH(AX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AX$46)-YEAR('融资租赁与资金缺口'!$F$15))*12+MONTH(AX$46)-MONTH('融资租赁与资金缺口'!$F$15))-1)/'融资租赁与资金缺口'!$I$15))))),IF(AX$46&lt;'融资租赁与资金缺口'!$F$16,0,IF(AX$46='融资租赁与资金缺口'!$F$16,'融资租赁与资金缺口'!$E$16,IF(((YEAR(AX$46)-YEAR('融资租赁与资金缺口'!$F$16))*12+MONTH(AX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AX$46)-YEAR('融资租赁与资金缺口'!$F$16))*12+MONTH(AX$46)-MONTH('融资租赁与资金缺口'!$F$16)),'融资租赁与资金缺口'!$E$16*(1+'融资租赁与资金缺口'!$I$16)^((YEAR(AX$46)-YEAR('融资租赁与资金缺口'!$F$16))*12+MONTH(AX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AX$46)-YEAR('融资租赁与资金缺口'!$F$16))*12+MONTH(AX$46)-MONTH('融资租赁与资金缺口'!$F$16))-1)/'融资租赁与资金缺口'!$I$16))))))</x:f>
        <x:v>314936090.32115763</x:v>
      </x:c>
      <x:c r="AY53" s="28" t="n">
        <x:f>SUM(IF(AY$46&lt;'融资租赁与资金缺口'!$F$5,0,IF(AY$46='融资租赁与资金缺口'!$F$5,'融资租赁与资金缺口'!$E$5,IF(((YEAR(AY$46)-YEAR('融资租赁与资金缺口'!$F$5))*12+MONTH(AY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AY$46)-YEAR('融资租赁与资金缺口'!$F$5))*12+MONTH(AY$46)-MONTH('融资租赁与资金缺口'!$F$5)),'融资租赁与资金缺口'!$E$5*(1+'融资租赁与资金缺口'!$I$5)^((YEAR(AY$46)-YEAR('融资租赁与资金缺口'!$F$5))*12+MONTH(AY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AY$46)-YEAR('融资租赁与资金缺口'!$F$5))*12+MONTH(AY$46)-MONTH('融资租赁与资金缺口'!$F$5))-1)/'融资租赁与资金缺口'!$I$5))))),IF(AY$46&lt;'融资租赁与资金缺口'!$F$6,0,IF(AY$46='融资租赁与资金缺口'!$F$6,'融资租赁与资金缺口'!$E$6,IF(((YEAR(AY$46)-YEAR('融资租赁与资金缺口'!$F$6))*12+MONTH(AY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AY$46)-YEAR('融资租赁与资金缺口'!$F$6))*12+MONTH(AY$46)-MONTH('融资租赁与资金缺口'!$F$6)),'融资租赁与资金缺口'!$E$6*(1+'融资租赁与资金缺口'!$I$6)^((YEAR(AY$46)-YEAR('融资租赁与资金缺口'!$F$6))*12+MONTH(AY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AY$46)-YEAR('融资租赁与资金缺口'!$F$6))*12+MONTH(AY$46)-MONTH('融资租赁与资金缺口'!$F$6))-1)/'融资租赁与资金缺口'!$I$6))))),IF(AY$46&lt;'融资租赁与资金缺口'!$F$7,0,IF(AY$46='融资租赁与资金缺口'!$F$7,'融资租赁与资金缺口'!$E$7,IF(((YEAR(AY$46)-YEAR('融资租赁与资金缺口'!$F$7))*12+MONTH(AY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AY$46)-YEAR('融资租赁与资金缺口'!$F$7))*12+MONTH(AY$46)-MONTH('融资租赁与资金缺口'!$F$7)),'融资租赁与资金缺口'!$E$7*(1+'融资租赁与资金缺口'!$I$7)^((YEAR(AY$46)-YEAR('融资租赁与资金缺口'!$F$7))*12+MONTH(AY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AY$46)-YEAR('融资租赁与资金缺口'!$F$7))*12+MONTH(AY$46)-MONTH('融资租赁与资金缺口'!$F$7))-1)/'融资租赁与资金缺口'!$I$7))))),IF(AY$46&lt;'融资租赁与资金缺口'!$F$8,0,IF(AY$46='融资租赁与资金缺口'!$F$8,'融资租赁与资金缺口'!$E$8,IF(((YEAR(AY$46)-YEAR('融资租赁与资金缺口'!$F$8))*12+MONTH(AY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AY$46)-YEAR('融资租赁与资金缺口'!$F$8))*12+MONTH(AY$46)-MONTH('融资租赁与资金缺口'!$F$8)),'融资租赁与资金缺口'!$E$8*(1+'融资租赁与资金缺口'!$I$8)^((YEAR(AY$46)-YEAR('融资租赁与资金缺口'!$F$8))*12+MONTH(AY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AY$46)-YEAR('融资租赁与资金缺口'!$F$8))*12+MONTH(AY$46)-MONTH('融资租赁与资金缺口'!$F$8))-1)/'融资租赁与资金缺口'!$I$8))))),IF(AY$46&lt;'融资租赁与资金缺口'!$F$9,0,IF(AY$46='融资租赁与资金缺口'!$F$9,'融资租赁与资金缺口'!$E$9,IF(((YEAR(AY$46)-YEAR('融资租赁与资金缺口'!$F$9))*12+MONTH(AY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AY$46)-YEAR('融资租赁与资金缺口'!$F$9))*12+MONTH(AY$46)-MONTH('融资租赁与资金缺口'!$F$9)),'融资租赁与资金缺口'!$E$9*(1+'融资租赁与资金缺口'!$I$9)^((YEAR(AY$46)-YEAR('融资租赁与资金缺口'!$F$9))*12+MONTH(AY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AY$46)-YEAR('融资租赁与资金缺口'!$F$9))*12+MONTH(AY$46)-MONTH('融资租赁与资金缺口'!$F$9))-1)/'融资租赁与资金缺口'!$I$9))))),IF(AY$46&lt;'融资租赁与资金缺口'!$F$10,0,IF(AY$46='融资租赁与资金缺口'!$F$10,'融资租赁与资金缺口'!$E$10,IF(((YEAR(AY$46)-YEAR('融资租赁与资金缺口'!$F$10))*12+MONTH(AY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AY$46)-YEAR('融资租赁与资金缺口'!$F$10))*12+MONTH(AY$46)-MONTH('融资租赁与资金缺口'!$F$10)),'融资租赁与资金缺口'!$E$10*(1+'融资租赁与资金缺口'!$I$10)^((YEAR(AY$46)-YEAR('融资租赁与资金缺口'!$F$10))*12+MONTH(AY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AY$46)-YEAR('融资租赁与资金缺口'!$F$10))*12+MONTH(AY$46)-MONTH('融资租赁与资金缺口'!$F$10))-1)/'融资租赁与资金缺口'!$I$10))))),IF(AY$46&lt;'融资租赁与资金缺口'!$F$11,0,IF(AY$46='融资租赁与资金缺口'!$F$11,'融资租赁与资金缺口'!$E$11,IF(((YEAR(AY$46)-YEAR('融资租赁与资金缺口'!$F$11))*12+MONTH(AY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AY$46)-YEAR('融资租赁与资金缺口'!$F$11))*12+MONTH(AY$46)-MONTH('融资租赁与资金缺口'!$F$11)),'融资租赁与资金缺口'!$E$11*(1+'融资租赁与资金缺口'!$I$11)^((YEAR(AY$46)-YEAR('融资租赁与资金缺口'!$F$11))*12+MONTH(AY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AY$46)-YEAR('融资租赁与资金缺口'!$F$11))*12+MONTH(AY$46)-MONTH('融资租赁与资金缺口'!$F$11))-1)/'融资租赁与资金缺口'!$I$11))))),IF(AY$46&lt;'融资租赁与资金缺口'!$F$12,0,IF(AY$46='融资租赁与资金缺口'!$F$12,'融资租赁与资金缺口'!$E$12,IF(((YEAR(AY$46)-YEAR('融资租赁与资金缺口'!$F$12))*12+MONTH(AY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AY$46)-YEAR('融资租赁与资金缺口'!$F$12))*12+MONTH(AY$46)-MONTH('融资租赁与资金缺口'!$F$12)),'融资租赁与资金缺口'!$E$12*(1+'融资租赁与资金缺口'!$I$12)^((YEAR(AY$46)-YEAR('融资租赁与资金缺口'!$F$12))*12+MONTH(AY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AY$46)-YEAR('融资租赁与资金缺口'!$F$12))*12+MONTH(AY$46)-MONTH('融资租赁与资金缺口'!$F$12))-1)/'融资租赁与资金缺口'!$I$12))))),IF(AY$46&lt;'融资租赁与资金缺口'!$F$13,0,IF(AY$46='融资租赁与资金缺口'!$F$13,'融资租赁与资金缺口'!$E$13,IF(((YEAR(AY$46)-YEAR('融资租赁与资金缺口'!$F$13))*12+MONTH(AY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AY$46)-YEAR('融资租赁与资金缺口'!$F$13))*12+MONTH(AY$46)-MONTH('融资租赁与资金缺口'!$F$13)),'融资租赁与资金缺口'!$E$13*(1+'融资租赁与资金缺口'!$I$13)^((YEAR(AY$46)-YEAR('融资租赁与资金缺口'!$F$13))*12+MONTH(AY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AY$46)-YEAR('融资租赁与资金缺口'!$F$13))*12+MONTH(AY$46)-MONTH('融资租赁与资金缺口'!$F$13))-1)/'融资租赁与资金缺口'!$I$13))))),IF(AY$46&lt;'融资租赁与资金缺口'!$F$14,0,IF(AY$46='融资租赁与资金缺口'!$F$14,'融资租赁与资金缺口'!$E$14,IF(((YEAR(AY$46)-YEAR('融资租赁与资金缺口'!$F$14))*12+MONTH(AY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AY$46)-YEAR('融资租赁与资金缺口'!$F$14))*12+MONTH(AY$46)-MONTH('融资租赁与资金缺口'!$F$14)),'融资租赁与资金缺口'!$E$14*(1+'融资租赁与资金缺口'!$I$14)^((YEAR(AY$46)-YEAR('融资租赁与资金缺口'!$F$14))*12+MONTH(AY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AY$46)-YEAR('融资租赁与资金缺口'!$F$14))*12+MONTH(AY$46)-MONTH('融资租赁与资金缺口'!$F$14))-1)/'融资租赁与资金缺口'!$I$14))))),IF(AY$46&lt;'融资租赁与资金缺口'!$F$15,0,IF(AY$46='融资租赁与资金缺口'!$F$15,'融资租赁与资金缺口'!$E$15,IF(((YEAR(AY$46)-YEAR('融资租赁与资金缺口'!$F$15))*12+MONTH(AY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AY$46)-YEAR('融资租赁与资金缺口'!$F$15))*12+MONTH(AY$46)-MONTH('融资租赁与资金缺口'!$F$15)),'融资租赁与资金缺口'!$E$15*(1+'融资租赁与资金缺口'!$I$15)^((YEAR(AY$46)-YEAR('融资租赁与资金缺口'!$F$15))*12+MONTH(AY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AY$46)-YEAR('融资租赁与资金缺口'!$F$15))*12+MONTH(AY$46)-MONTH('融资租赁与资金缺口'!$F$15))-1)/'融资租赁与资金缺口'!$I$15))))),IF(AY$46&lt;'融资租赁与资金缺口'!$F$16,0,IF(AY$46='融资租赁与资金缺口'!$F$16,'融资租赁与资金缺口'!$E$16,IF(((YEAR(AY$46)-YEAR('融资租赁与资金缺口'!$F$16))*12+MONTH(AY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AY$46)-YEAR('融资租赁与资金缺口'!$F$16))*12+MONTH(AY$46)-MONTH('融资租赁与资金缺口'!$F$16)),'融资租赁与资金缺口'!$E$16*(1+'融资租赁与资金缺口'!$I$16)^((YEAR(AY$46)-YEAR('融资租赁与资金缺口'!$F$16))*12+MONTH(AY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AY$46)-YEAR('融资租赁与资金缺口'!$F$16))*12+MONTH(AY$46)-MONTH('融资租赁与资金缺口'!$F$16))-1)/'融资租赁与资金缺口'!$I$16))))))</x:f>
        <x:v>292673176.6829686</x:v>
      </x:c>
      <x:c r="AZ53" s="28" t="n">
        <x:f>SUM(IF(AZ$46&lt;'融资租赁与资金缺口'!$F$5,0,IF(AZ$46='融资租赁与资金缺口'!$F$5,'融资租赁与资金缺口'!$E$5,IF(((YEAR(AZ$46)-YEAR('融资租赁与资金缺口'!$F$5))*12+MONTH(AZ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AZ$46)-YEAR('融资租赁与资金缺口'!$F$5))*12+MONTH(AZ$46)-MONTH('融资租赁与资金缺口'!$F$5)),'融资租赁与资金缺口'!$E$5*(1+'融资租赁与资金缺口'!$I$5)^((YEAR(AZ$46)-YEAR('融资租赁与资金缺口'!$F$5))*12+MONTH(AZ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AZ$46)-YEAR('融资租赁与资金缺口'!$F$5))*12+MONTH(AZ$46)-MONTH('融资租赁与资金缺口'!$F$5))-1)/'融资租赁与资金缺口'!$I$5))))),IF(AZ$46&lt;'融资租赁与资金缺口'!$F$6,0,IF(AZ$46='融资租赁与资金缺口'!$F$6,'融资租赁与资金缺口'!$E$6,IF(((YEAR(AZ$46)-YEAR('融资租赁与资金缺口'!$F$6))*12+MONTH(AZ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AZ$46)-YEAR('融资租赁与资金缺口'!$F$6))*12+MONTH(AZ$46)-MONTH('融资租赁与资金缺口'!$F$6)),'融资租赁与资金缺口'!$E$6*(1+'融资租赁与资金缺口'!$I$6)^((YEAR(AZ$46)-YEAR('融资租赁与资金缺口'!$F$6))*12+MONTH(AZ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AZ$46)-YEAR('融资租赁与资金缺口'!$F$6))*12+MONTH(AZ$46)-MONTH('融资租赁与资金缺口'!$F$6))-1)/'融资租赁与资金缺口'!$I$6))))),IF(AZ$46&lt;'融资租赁与资金缺口'!$F$7,0,IF(AZ$46='融资租赁与资金缺口'!$F$7,'融资租赁与资金缺口'!$E$7,IF(((YEAR(AZ$46)-YEAR('融资租赁与资金缺口'!$F$7))*12+MONTH(AZ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AZ$46)-YEAR('融资租赁与资金缺口'!$F$7))*12+MONTH(AZ$46)-MONTH('融资租赁与资金缺口'!$F$7)),'融资租赁与资金缺口'!$E$7*(1+'融资租赁与资金缺口'!$I$7)^((YEAR(AZ$46)-YEAR('融资租赁与资金缺口'!$F$7))*12+MONTH(AZ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AZ$46)-YEAR('融资租赁与资金缺口'!$F$7))*12+MONTH(AZ$46)-MONTH('融资租赁与资金缺口'!$F$7))-1)/'融资租赁与资金缺口'!$I$7))))),IF(AZ$46&lt;'融资租赁与资金缺口'!$F$8,0,IF(AZ$46='融资租赁与资金缺口'!$F$8,'融资租赁与资金缺口'!$E$8,IF(((YEAR(AZ$46)-YEAR('融资租赁与资金缺口'!$F$8))*12+MONTH(AZ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AZ$46)-YEAR('融资租赁与资金缺口'!$F$8))*12+MONTH(AZ$46)-MONTH('融资租赁与资金缺口'!$F$8)),'融资租赁与资金缺口'!$E$8*(1+'融资租赁与资金缺口'!$I$8)^((YEAR(AZ$46)-YEAR('融资租赁与资金缺口'!$F$8))*12+MONTH(AZ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AZ$46)-YEAR('融资租赁与资金缺口'!$F$8))*12+MONTH(AZ$46)-MONTH('融资租赁与资金缺口'!$F$8))-1)/'融资租赁与资金缺口'!$I$8))))),IF(AZ$46&lt;'融资租赁与资金缺口'!$F$9,0,IF(AZ$46='融资租赁与资金缺口'!$F$9,'融资租赁与资金缺口'!$E$9,IF(((YEAR(AZ$46)-YEAR('融资租赁与资金缺口'!$F$9))*12+MONTH(AZ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AZ$46)-YEAR('融资租赁与资金缺口'!$F$9))*12+MONTH(AZ$46)-MONTH('融资租赁与资金缺口'!$F$9)),'融资租赁与资金缺口'!$E$9*(1+'融资租赁与资金缺口'!$I$9)^((YEAR(AZ$46)-YEAR('融资租赁与资金缺口'!$F$9))*12+MONTH(AZ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AZ$46)-YEAR('融资租赁与资金缺口'!$F$9))*12+MONTH(AZ$46)-MONTH('融资租赁与资金缺口'!$F$9))-1)/'融资租赁与资金缺口'!$I$9))))),IF(AZ$46&lt;'融资租赁与资金缺口'!$F$10,0,IF(AZ$46='融资租赁与资金缺口'!$F$10,'融资租赁与资金缺口'!$E$10,IF(((YEAR(AZ$46)-YEAR('融资租赁与资金缺口'!$F$10))*12+MONTH(AZ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AZ$46)-YEAR('融资租赁与资金缺口'!$F$10))*12+MONTH(AZ$46)-MONTH('融资租赁与资金缺口'!$F$10)),'融资租赁与资金缺口'!$E$10*(1+'融资租赁与资金缺口'!$I$10)^((YEAR(AZ$46)-YEAR('融资租赁与资金缺口'!$F$10))*12+MONTH(AZ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AZ$46)-YEAR('融资租赁与资金缺口'!$F$10))*12+MONTH(AZ$46)-MONTH('融资租赁与资金缺口'!$F$10))-1)/'融资租赁与资金缺口'!$I$10))))),IF(AZ$46&lt;'融资租赁与资金缺口'!$F$11,0,IF(AZ$46='融资租赁与资金缺口'!$F$11,'融资租赁与资金缺口'!$E$11,IF(((YEAR(AZ$46)-YEAR('融资租赁与资金缺口'!$F$11))*12+MONTH(AZ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AZ$46)-YEAR('融资租赁与资金缺口'!$F$11))*12+MONTH(AZ$46)-MONTH('融资租赁与资金缺口'!$F$11)),'融资租赁与资金缺口'!$E$11*(1+'融资租赁与资金缺口'!$I$11)^((YEAR(AZ$46)-YEAR('融资租赁与资金缺口'!$F$11))*12+MONTH(AZ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AZ$46)-YEAR('融资租赁与资金缺口'!$F$11))*12+MONTH(AZ$46)-MONTH('融资租赁与资金缺口'!$F$11))-1)/'融资租赁与资金缺口'!$I$11))))),IF(AZ$46&lt;'融资租赁与资金缺口'!$F$12,0,IF(AZ$46='融资租赁与资金缺口'!$F$12,'融资租赁与资金缺口'!$E$12,IF(((YEAR(AZ$46)-YEAR('融资租赁与资金缺口'!$F$12))*12+MONTH(AZ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AZ$46)-YEAR('融资租赁与资金缺口'!$F$12))*12+MONTH(AZ$46)-MONTH('融资租赁与资金缺口'!$F$12)),'融资租赁与资金缺口'!$E$12*(1+'融资租赁与资金缺口'!$I$12)^((YEAR(AZ$46)-YEAR('融资租赁与资金缺口'!$F$12))*12+MONTH(AZ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AZ$46)-YEAR('融资租赁与资金缺口'!$F$12))*12+MONTH(AZ$46)-MONTH('融资租赁与资金缺口'!$F$12))-1)/'融资租赁与资金缺口'!$I$12))))),IF(AZ$46&lt;'融资租赁与资金缺口'!$F$13,0,IF(AZ$46='融资租赁与资金缺口'!$F$13,'融资租赁与资金缺口'!$E$13,IF(((YEAR(AZ$46)-YEAR('融资租赁与资金缺口'!$F$13))*12+MONTH(AZ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AZ$46)-YEAR('融资租赁与资金缺口'!$F$13))*12+MONTH(AZ$46)-MONTH('融资租赁与资金缺口'!$F$13)),'融资租赁与资金缺口'!$E$13*(1+'融资租赁与资金缺口'!$I$13)^((YEAR(AZ$46)-YEAR('融资租赁与资金缺口'!$F$13))*12+MONTH(AZ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AZ$46)-YEAR('融资租赁与资金缺口'!$F$13))*12+MONTH(AZ$46)-MONTH('融资租赁与资金缺口'!$F$13))-1)/'融资租赁与资金缺口'!$I$13))))),IF(AZ$46&lt;'融资租赁与资金缺口'!$F$14,0,IF(AZ$46='融资租赁与资金缺口'!$F$14,'融资租赁与资金缺口'!$E$14,IF(((YEAR(AZ$46)-YEAR('融资租赁与资金缺口'!$F$14))*12+MONTH(AZ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AZ$46)-YEAR('融资租赁与资金缺口'!$F$14))*12+MONTH(AZ$46)-MONTH('融资租赁与资金缺口'!$F$14)),'融资租赁与资金缺口'!$E$14*(1+'融资租赁与资金缺口'!$I$14)^((YEAR(AZ$46)-YEAR('融资租赁与资金缺口'!$F$14))*12+MONTH(AZ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AZ$46)-YEAR('融资租赁与资金缺口'!$F$14))*12+MONTH(AZ$46)-MONTH('融资租赁与资金缺口'!$F$14))-1)/'融资租赁与资金缺口'!$I$14))))),IF(AZ$46&lt;'融资租赁与资金缺口'!$F$15,0,IF(AZ$46='融资租赁与资金缺口'!$F$15,'融资租赁与资金缺口'!$E$15,IF(((YEAR(AZ$46)-YEAR('融资租赁与资金缺口'!$F$15))*12+MONTH(AZ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AZ$46)-YEAR('融资租赁与资金缺口'!$F$15))*12+MONTH(AZ$46)-MONTH('融资租赁与资金缺口'!$F$15)),'融资租赁与资金缺口'!$E$15*(1+'融资租赁与资金缺口'!$I$15)^((YEAR(AZ$46)-YEAR('融资租赁与资金缺口'!$F$15))*12+MONTH(AZ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AZ$46)-YEAR('融资租赁与资金缺口'!$F$15))*12+MONTH(AZ$46)-MONTH('融资租赁与资金缺口'!$F$15))-1)/'融资租赁与资金缺口'!$I$15))))),IF(AZ$46&lt;'融资租赁与资金缺口'!$F$16,0,IF(AZ$46='融资租赁与资金缺口'!$F$16,'融资租赁与资金缺口'!$E$16,IF(((YEAR(AZ$46)-YEAR('融资租赁与资金缺口'!$F$16))*12+MONTH(AZ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AZ$46)-YEAR('融资租赁与资金缺口'!$F$16))*12+MONTH(AZ$46)-MONTH('融资租赁与资金缺口'!$F$16)),'融资租赁与资金缺口'!$E$16*(1+'融资租赁与资金缺口'!$I$16)^((YEAR(AZ$46)-YEAR('融资租赁与资金缺口'!$F$16))*12+MONTH(AZ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AZ$46)-YEAR('融资租赁与资金缺口'!$F$16))*12+MONTH(AZ$46)-MONTH('融资租赁与资金缺口'!$F$16))-1)/'融资租赁与资金缺口'!$I$16))))))</x:f>
        <x:v>270261843.62052494</x:v>
      </x:c>
      <x:c r="BA53" s="28" t="n">
        <x:f>SUM(IF(BA$46&lt;'融资租赁与资金缺口'!$F$5,0,IF(BA$46='融资租赁与资金缺口'!$F$5,'融资租赁与资金缺口'!$E$5,IF(((YEAR(BA$46)-YEAR('融资租赁与资金缺口'!$F$5))*12+MONTH(BA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A$46)-YEAR('融资租赁与资金缺口'!$F$5))*12+MONTH(BA$46)-MONTH('融资租赁与资金缺口'!$F$5)),'融资租赁与资金缺口'!$E$5*(1+'融资租赁与资金缺口'!$I$5)^((YEAR(BA$46)-YEAR('融资租赁与资金缺口'!$F$5))*12+MONTH(BA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A$46)-YEAR('融资租赁与资金缺口'!$F$5))*12+MONTH(BA$46)-MONTH('融资租赁与资金缺口'!$F$5))-1)/'融资租赁与资金缺口'!$I$5))))),IF(BA$46&lt;'融资租赁与资金缺口'!$F$6,0,IF(BA$46='融资租赁与资金缺口'!$F$6,'融资租赁与资金缺口'!$E$6,IF(((YEAR(BA$46)-YEAR('融资租赁与资金缺口'!$F$6))*12+MONTH(BA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A$46)-YEAR('融资租赁与资金缺口'!$F$6))*12+MONTH(BA$46)-MONTH('融资租赁与资金缺口'!$F$6)),'融资租赁与资金缺口'!$E$6*(1+'融资租赁与资金缺口'!$I$6)^((YEAR(BA$46)-YEAR('融资租赁与资金缺口'!$F$6))*12+MONTH(BA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A$46)-YEAR('融资租赁与资金缺口'!$F$6))*12+MONTH(BA$46)-MONTH('融资租赁与资金缺口'!$F$6))-1)/'融资租赁与资金缺口'!$I$6))))),IF(BA$46&lt;'融资租赁与资金缺口'!$F$7,0,IF(BA$46='融资租赁与资金缺口'!$F$7,'融资租赁与资金缺口'!$E$7,IF(((YEAR(BA$46)-YEAR('融资租赁与资金缺口'!$F$7))*12+MONTH(BA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A$46)-YEAR('融资租赁与资金缺口'!$F$7))*12+MONTH(BA$46)-MONTH('融资租赁与资金缺口'!$F$7)),'融资租赁与资金缺口'!$E$7*(1+'融资租赁与资金缺口'!$I$7)^((YEAR(BA$46)-YEAR('融资租赁与资金缺口'!$F$7))*12+MONTH(BA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A$46)-YEAR('融资租赁与资金缺口'!$F$7))*12+MONTH(BA$46)-MONTH('融资租赁与资金缺口'!$F$7))-1)/'融资租赁与资金缺口'!$I$7))))),IF(BA$46&lt;'融资租赁与资金缺口'!$F$8,0,IF(BA$46='融资租赁与资金缺口'!$F$8,'融资租赁与资金缺口'!$E$8,IF(((YEAR(BA$46)-YEAR('融资租赁与资金缺口'!$F$8))*12+MONTH(BA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A$46)-YEAR('融资租赁与资金缺口'!$F$8))*12+MONTH(BA$46)-MONTH('融资租赁与资金缺口'!$F$8)),'融资租赁与资金缺口'!$E$8*(1+'融资租赁与资金缺口'!$I$8)^((YEAR(BA$46)-YEAR('融资租赁与资金缺口'!$F$8))*12+MONTH(BA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A$46)-YEAR('融资租赁与资金缺口'!$F$8))*12+MONTH(BA$46)-MONTH('融资租赁与资金缺口'!$F$8))-1)/'融资租赁与资金缺口'!$I$8))))),IF(BA$46&lt;'融资租赁与资金缺口'!$F$9,0,IF(BA$46='融资租赁与资金缺口'!$F$9,'融资租赁与资金缺口'!$E$9,IF(((YEAR(BA$46)-YEAR('融资租赁与资金缺口'!$F$9))*12+MONTH(BA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A$46)-YEAR('融资租赁与资金缺口'!$F$9))*12+MONTH(BA$46)-MONTH('融资租赁与资金缺口'!$F$9)),'融资租赁与资金缺口'!$E$9*(1+'融资租赁与资金缺口'!$I$9)^((YEAR(BA$46)-YEAR('融资租赁与资金缺口'!$F$9))*12+MONTH(BA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A$46)-YEAR('融资租赁与资金缺口'!$F$9))*12+MONTH(BA$46)-MONTH('融资租赁与资金缺口'!$F$9))-1)/'融资租赁与资金缺口'!$I$9))))),IF(BA$46&lt;'融资租赁与资金缺口'!$F$10,0,IF(BA$46='融资租赁与资金缺口'!$F$10,'融资租赁与资金缺口'!$E$10,IF(((YEAR(BA$46)-YEAR('融资租赁与资金缺口'!$F$10))*12+MONTH(BA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A$46)-YEAR('融资租赁与资金缺口'!$F$10))*12+MONTH(BA$46)-MONTH('融资租赁与资金缺口'!$F$10)),'融资租赁与资金缺口'!$E$10*(1+'融资租赁与资金缺口'!$I$10)^((YEAR(BA$46)-YEAR('融资租赁与资金缺口'!$F$10))*12+MONTH(BA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A$46)-YEAR('融资租赁与资金缺口'!$F$10))*12+MONTH(BA$46)-MONTH('融资租赁与资金缺口'!$F$10))-1)/'融资租赁与资金缺口'!$I$10))))),IF(BA$46&lt;'融资租赁与资金缺口'!$F$11,0,IF(BA$46='融资租赁与资金缺口'!$F$11,'融资租赁与资金缺口'!$E$11,IF(((YEAR(BA$46)-YEAR('融资租赁与资金缺口'!$F$11))*12+MONTH(BA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A$46)-YEAR('融资租赁与资金缺口'!$F$11))*12+MONTH(BA$46)-MONTH('融资租赁与资金缺口'!$F$11)),'融资租赁与资金缺口'!$E$11*(1+'融资租赁与资金缺口'!$I$11)^((YEAR(BA$46)-YEAR('融资租赁与资金缺口'!$F$11))*12+MONTH(BA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A$46)-YEAR('融资租赁与资金缺口'!$F$11))*12+MONTH(BA$46)-MONTH('融资租赁与资金缺口'!$F$11))-1)/'融资租赁与资金缺口'!$I$11))))),IF(BA$46&lt;'融资租赁与资金缺口'!$F$12,0,IF(BA$46='融资租赁与资金缺口'!$F$12,'融资租赁与资金缺口'!$E$12,IF(((YEAR(BA$46)-YEAR('融资租赁与资金缺口'!$F$12))*12+MONTH(BA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A$46)-YEAR('融资租赁与资金缺口'!$F$12))*12+MONTH(BA$46)-MONTH('融资租赁与资金缺口'!$F$12)),'融资租赁与资金缺口'!$E$12*(1+'融资租赁与资金缺口'!$I$12)^((YEAR(BA$46)-YEAR('融资租赁与资金缺口'!$F$12))*12+MONTH(BA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A$46)-YEAR('融资租赁与资金缺口'!$F$12))*12+MONTH(BA$46)-MONTH('融资租赁与资金缺口'!$F$12))-1)/'融资租赁与资金缺口'!$I$12))))),IF(BA$46&lt;'融资租赁与资金缺口'!$F$13,0,IF(BA$46='融资租赁与资金缺口'!$F$13,'融资租赁与资金缺口'!$E$13,IF(((YEAR(BA$46)-YEAR('融资租赁与资金缺口'!$F$13))*12+MONTH(BA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A$46)-YEAR('融资租赁与资金缺口'!$F$13))*12+MONTH(BA$46)-MONTH('融资租赁与资金缺口'!$F$13)),'融资租赁与资金缺口'!$E$13*(1+'融资租赁与资金缺口'!$I$13)^((YEAR(BA$46)-YEAR('融资租赁与资金缺口'!$F$13))*12+MONTH(BA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A$46)-YEAR('融资租赁与资金缺口'!$F$13))*12+MONTH(BA$46)-MONTH('融资租赁与资金缺口'!$F$13))-1)/'融资租赁与资金缺口'!$I$13))))),IF(BA$46&lt;'融资租赁与资金缺口'!$F$14,0,IF(BA$46='融资租赁与资金缺口'!$F$14,'融资租赁与资金缺口'!$E$14,IF(((YEAR(BA$46)-YEAR('融资租赁与资金缺口'!$F$14))*12+MONTH(BA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A$46)-YEAR('融资租赁与资金缺口'!$F$14))*12+MONTH(BA$46)-MONTH('融资租赁与资金缺口'!$F$14)),'融资租赁与资金缺口'!$E$14*(1+'融资租赁与资金缺口'!$I$14)^((YEAR(BA$46)-YEAR('融资租赁与资金缺口'!$F$14))*12+MONTH(BA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A$46)-YEAR('融资租赁与资金缺口'!$F$14))*12+MONTH(BA$46)-MONTH('融资租赁与资金缺口'!$F$14))-1)/'融资租赁与资金缺口'!$I$14))))),IF(BA$46&lt;'融资租赁与资金缺口'!$F$15,0,IF(BA$46='融资租赁与资金缺口'!$F$15,'融资租赁与资金缺口'!$E$15,IF(((YEAR(BA$46)-YEAR('融资租赁与资金缺口'!$F$15))*12+MONTH(BA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A$46)-YEAR('融资租赁与资金缺口'!$F$15))*12+MONTH(BA$46)-MONTH('融资租赁与资金缺口'!$F$15)),'融资租赁与资金缺口'!$E$15*(1+'融资租赁与资金缺口'!$I$15)^((YEAR(BA$46)-YEAR('融资租赁与资金缺口'!$F$15))*12+MONTH(BA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A$46)-YEAR('融资租赁与资金缺口'!$F$15))*12+MONTH(BA$46)-MONTH('融资租赁与资金缺口'!$F$15))-1)/'融资租赁与资金缺口'!$I$15))))),IF(BA$46&lt;'融资租赁与资金缺口'!$F$16,0,IF(BA$46='融资租赁与资金缺口'!$F$16,'融资租赁与资金缺口'!$E$16,IF(((YEAR(BA$46)-YEAR('融资租赁与资金缺口'!$F$16))*12+MONTH(BA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A$46)-YEAR('融资租赁与资金缺口'!$F$16))*12+MONTH(BA$46)-MONTH('融资租赁与资金缺口'!$F$16)),'融资租赁与资金缺口'!$E$16*(1+'融资租赁与资金缺口'!$I$16)^((YEAR(BA$46)-YEAR('融资租赁与资金缺口'!$F$16))*12+MONTH(BA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A$46)-YEAR('融资租赁与资金缺口'!$F$16))*12+MONTH(BA$46)-MONTH('融资租赁与资金缺口'!$F$16))-1)/'融资租赁与资金缺口'!$I$16))))))</x:f>
        <x:v>247701101.6709984</x:v>
      </x:c>
      <x:c r="BB53" s="28" t="n">
        <x:f>SUM(IF(BB$46&lt;'融资租赁与资金缺口'!$F$5,0,IF(BB$46='融资租赁与资金缺口'!$F$5,'融资租赁与资金缺口'!$E$5,IF(((YEAR(BB$46)-YEAR('融资租赁与资金缺口'!$F$5))*12+MONTH(BB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B$46)-YEAR('融资租赁与资金缺口'!$F$5))*12+MONTH(BB$46)-MONTH('融资租赁与资金缺口'!$F$5)),'融资租赁与资金缺口'!$E$5*(1+'融资租赁与资金缺口'!$I$5)^((YEAR(BB$46)-YEAR('融资租赁与资金缺口'!$F$5))*12+MONTH(BB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B$46)-YEAR('融资租赁与资金缺口'!$F$5))*12+MONTH(BB$46)-MONTH('融资租赁与资金缺口'!$F$5))-1)/'融资租赁与资金缺口'!$I$5))))),IF(BB$46&lt;'融资租赁与资金缺口'!$F$6,0,IF(BB$46='融资租赁与资金缺口'!$F$6,'融资租赁与资金缺口'!$E$6,IF(((YEAR(BB$46)-YEAR('融资租赁与资金缺口'!$F$6))*12+MONTH(BB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B$46)-YEAR('融资租赁与资金缺口'!$F$6))*12+MONTH(BB$46)-MONTH('融资租赁与资金缺口'!$F$6)),'融资租赁与资金缺口'!$E$6*(1+'融资租赁与资金缺口'!$I$6)^((YEAR(BB$46)-YEAR('融资租赁与资金缺口'!$F$6))*12+MONTH(BB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B$46)-YEAR('融资租赁与资金缺口'!$F$6))*12+MONTH(BB$46)-MONTH('融资租赁与资金缺口'!$F$6))-1)/'融资租赁与资金缺口'!$I$6))))),IF(BB$46&lt;'融资租赁与资金缺口'!$F$7,0,IF(BB$46='融资租赁与资金缺口'!$F$7,'融资租赁与资金缺口'!$E$7,IF(((YEAR(BB$46)-YEAR('融资租赁与资金缺口'!$F$7))*12+MONTH(BB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B$46)-YEAR('融资租赁与资金缺口'!$F$7))*12+MONTH(BB$46)-MONTH('融资租赁与资金缺口'!$F$7)),'融资租赁与资金缺口'!$E$7*(1+'融资租赁与资金缺口'!$I$7)^((YEAR(BB$46)-YEAR('融资租赁与资金缺口'!$F$7))*12+MONTH(BB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B$46)-YEAR('融资租赁与资金缺口'!$F$7))*12+MONTH(BB$46)-MONTH('融资租赁与资金缺口'!$F$7))-1)/'融资租赁与资金缺口'!$I$7))))),IF(BB$46&lt;'融资租赁与资金缺口'!$F$8,0,IF(BB$46='融资租赁与资金缺口'!$F$8,'融资租赁与资金缺口'!$E$8,IF(((YEAR(BB$46)-YEAR('融资租赁与资金缺口'!$F$8))*12+MONTH(BB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B$46)-YEAR('融资租赁与资金缺口'!$F$8))*12+MONTH(BB$46)-MONTH('融资租赁与资金缺口'!$F$8)),'融资租赁与资金缺口'!$E$8*(1+'融资租赁与资金缺口'!$I$8)^((YEAR(BB$46)-YEAR('融资租赁与资金缺口'!$F$8))*12+MONTH(BB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B$46)-YEAR('融资租赁与资金缺口'!$F$8))*12+MONTH(BB$46)-MONTH('融资租赁与资金缺口'!$F$8))-1)/'融资租赁与资金缺口'!$I$8))))),IF(BB$46&lt;'融资租赁与资金缺口'!$F$9,0,IF(BB$46='融资租赁与资金缺口'!$F$9,'融资租赁与资金缺口'!$E$9,IF(((YEAR(BB$46)-YEAR('融资租赁与资金缺口'!$F$9))*12+MONTH(BB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B$46)-YEAR('融资租赁与资金缺口'!$F$9))*12+MONTH(BB$46)-MONTH('融资租赁与资金缺口'!$F$9)),'融资租赁与资金缺口'!$E$9*(1+'融资租赁与资金缺口'!$I$9)^((YEAR(BB$46)-YEAR('融资租赁与资金缺口'!$F$9))*12+MONTH(BB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B$46)-YEAR('融资租赁与资金缺口'!$F$9))*12+MONTH(BB$46)-MONTH('融资租赁与资金缺口'!$F$9))-1)/'融资租赁与资金缺口'!$I$9))))),IF(BB$46&lt;'融资租赁与资金缺口'!$F$10,0,IF(BB$46='融资租赁与资金缺口'!$F$10,'融资租赁与资金缺口'!$E$10,IF(((YEAR(BB$46)-YEAR('融资租赁与资金缺口'!$F$10))*12+MONTH(BB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B$46)-YEAR('融资租赁与资金缺口'!$F$10))*12+MONTH(BB$46)-MONTH('融资租赁与资金缺口'!$F$10)),'融资租赁与资金缺口'!$E$10*(1+'融资租赁与资金缺口'!$I$10)^((YEAR(BB$46)-YEAR('融资租赁与资金缺口'!$F$10))*12+MONTH(BB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B$46)-YEAR('融资租赁与资金缺口'!$F$10))*12+MONTH(BB$46)-MONTH('融资租赁与资金缺口'!$F$10))-1)/'融资租赁与资金缺口'!$I$10))))),IF(BB$46&lt;'融资租赁与资金缺口'!$F$11,0,IF(BB$46='融资租赁与资金缺口'!$F$11,'融资租赁与资金缺口'!$E$11,IF(((YEAR(BB$46)-YEAR('融资租赁与资金缺口'!$F$11))*12+MONTH(BB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B$46)-YEAR('融资租赁与资金缺口'!$F$11))*12+MONTH(BB$46)-MONTH('融资租赁与资金缺口'!$F$11)),'融资租赁与资金缺口'!$E$11*(1+'融资租赁与资金缺口'!$I$11)^((YEAR(BB$46)-YEAR('融资租赁与资金缺口'!$F$11))*12+MONTH(BB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B$46)-YEAR('融资租赁与资金缺口'!$F$11))*12+MONTH(BB$46)-MONTH('融资租赁与资金缺口'!$F$11))-1)/'融资租赁与资金缺口'!$I$11))))),IF(BB$46&lt;'融资租赁与资金缺口'!$F$12,0,IF(BB$46='融资租赁与资金缺口'!$F$12,'融资租赁与资金缺口'!$E$12,IF(((YEAR(BB$46)-YEAR('融资租赁与资金缺口'!$F$12))*12+MONTH(BB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B$46)-YEAR('融资租赁与资金缺口'!$F$12))*12+MONTH(BB$46)-MONTH('融资租赁与资金缺口'!$F$12)),'融资租赁与资金缺口'!$E$12*(1+'融资租赁与资金缺口'!$I$12)^((YEAR(BB$46)-YEAR('融资租赁与资金缺口'!$F$12))*12+MONTH(BB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B$46)-YEAR('融资租赁与资金缺口'!$F$12))*12+MONTH(BB$46)-MONTH('融资租赁与资金缺口'!$F$12))-1)/'融资租赁与资金缺口'!$I$12))))),IF(BB$46&lt;'融资租赁与资金缺口'!$F$13,0,IF(BB$46='融资租赁与资金缺口'!$F$13,'融资租赁与资金缺口'!$E$13,IF(((YEAR(BB$46)-YEAR('融资租赁与资金缺口'!$F$13))*12+MONTH(BB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B$46)-YEAR('融资租赁与资金缺口'!$F$13))*12+MONTH(BB$46)-MONTH('融资租赁与资金缺口'!$F$13)),'融资租赁与资金缺口'!$E$13*(1+'融资租赁与资金缺口'!$I$13)^((YEAR(BB$46)-YEAR('融资租赁与资金缺口'!$F$13))*12+MONTH(BB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B$46)-YEAR('融资租赁与资金缺口'!$F$13))*12+MONTH(BB$46)-MONTH('融资租赁与资金缺口'!$F$13))-1)/'融资租赁与资金缺口'!$I$13))))),IF(BB$46&lt;'融资租赁与资金缺口'!$F$14,0,IF(BB$46='融资租赁与资金缺口'!$F$14,'融资租赁与资金缺口'!$E$14,IF(((YEAR(BB$46)-YEAR('融资租赁与资金缺口'!$F$14))*12+MONTH(BB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B$46)-YEAR('融资租赁与资金缺口'!$F$14))*12+MONTH(BB$46)-MONTH('融资租赁与资金缺口'!$F$14)),'融资租赁与资金缺口'!$E$14*(1+'融资租赁与资金缺口'!$I$14)^((YEAR(BB$46)-YEAR('融资租赁与资金缺口'!$F$14))*12+MONTH(BB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B$46)-YEAR('融资租赁与资金缺口'!$F$14))*12+MONTH(BB$46)-MONTH('融资租赁与资金缺口'!$F$14))-1)/'融资租赁与资金缺口'!$I$14))))),IF(BB$46&lt;'融资租赁与资金缺口'!$F$15,0,IF(BB$46='融资租赁与资金缺口'!$F$15,'融资租赁与资金缺口'!$E$15,IF(((YEAR(BB$46)-YEAR('融资租赁与资金缺口'!$F$15))*12+MONTH(BB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B$46)-YEAR('融资租赁与资金缺口'!$F$15))*12+MONTH(BB$46)-MONTH('融资租赁与资金缺口'!$F$15)),'融资租赁与资金缺口'!$E$15*(1+'融资租赁与资金缺口'!$I$15)^((YEAR(BB$46)-YEAR('融资租赁与资金缺口'!$F$15))*12+MONTH(BB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B$46)-YEAR('融资租赁与资金缺口'!$F$15))*12+MONTH(BB$46)-MONTH('融资租赁与资金缺口'!$F$15))-1)/'融资租赁与资金缺口'!$I$15))))),IF(BB$46&lt;'融资租赁与资金缺口'!$F$16,0,IF(BB$46='融资租赁与资金缺口'!$F$16,'融资租赁与资金缺口'!$E$16,IF(((YEAR(BB$46)-YEAR('融资租赁与资金缺口'!$F$16))*12+MONTH(BB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B$46)-YEAR('融资租赁与资金缺口'!$F$16))*12+MONTH(BB$46)-MONTH('融资租赁与资金缺口'!$F$16)),'融资租赁与资金缺口'!$E$16*(1+'融资租赁与资金缺口'!$I$16)^((YEAR(BB$46)-YEAR('融资租赁与资金缺口'!$F$16))*12+MONTH(BB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B$46)-YEAR('融资租赁与资金缺口'!$F$16))*12+MONTH(BB$46)-MONTH('融资租赁与资金缺口'!$F$16))-1)/'融资租赁与资金缺口'!$I$16))))))</x:f>
        <x:v>224989954.77514166</x:v>
      </x:c>
      <x:c r="BC53" s="28" t="n">
        <x:f>SUM(IF(BC$46&lt;'融资租赁与资金缺口'!$F$5,0,IF(BC$46='融资租赁与资金缺口'!$F$5,'融资租赁与资金缺口'!$E$5,IF(((YEAR(BC$46)-YEAR('融资租赁与资金缺口'!$F$5))*12+MONTH(BC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C$46)-YEAR('融资租赁与资金缺口'!$F$5))*12+MONTH(BC$46)-MONTH('融资租赁与资金缺口'!$F$5)),'融资租赁与资金缺口'!$E$5*(1+'融资租赁与资金缺口'!$I$5)^((YEAR(BC$46)-YEAR('融资租赁与资金缺口'!$F$5))*12+MONTH(BC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C$46)-YEAR('融资租赁与资金缺口'!$F$5))*12+MONTH(BC$46)-MONTH('融资租赁与资金缺口'!$F$5))-1)/'融资租赁与资金缺口'!$I$5))))),IF(BC$46&lt;'融资租赁与资金缺口'!$F$6,0,IF(BC$46='融资租赁与资金缺口'!$F$6,'融资租赁与资金缺口'!$E$6,IF(((YEAR(BC$46)-YEAR('融资租赁与资金缺口'!$F$6))*12+MONTH(BC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C$46)-YEAR('融资租赁与资金缺口'!$F$6))*12+MONTH(BC$46)-MONTH('融资租赁与资金缺口'!$F$6)),'融资租赁与资金缺口'!$E$6*(1+'融资租赁与资金缺口'!$I$6)^((YEAR(BC$46)-YEAR('融资租赁与资金缺口'!$F$6))*12+MONTH(BC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C$46)-YEAR('融资租赁与资金缺口'!$F$6))*12+MONTH(BC$46)-MONTH('融资租赁与资金缺口'!$F$6))-1)/'融资租赁与资金缺口'!$I$6))))),IF(BC$46&lt;'融资租赁与资金缺口'!$F$7,0,IF(BC$46='融资租赁与资金缺口'!$F$7,'融资租赁与资金缺口'!$E$7,IF(((YEAR(BC$46)-YEAR('融资租赁与资金缺口'!$F$7))*12+MONTH(BC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C$46)-YEAR('融资租赁与资金缺口'!$F$7))*12+MONTH(BC$46)-MONTH('融资租赁与资金缺口'!$F$7)),'融资租赁与资金缺口'!$E$7*(1+'融资租赁与资金缺口'!$I$7)^((YEAR(BC$46)-YEAR('融资租赁与资金缺口'!$F$7))*12+MONTH(BC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C$46)-YEAR('融资租赁与资金缺口'!$F$7))*12+MONTH(BC$46)-MONTH('融资租赁与资金缺口'!$F$7))-1)/'融资租赁与资金缺口'!$I$7))))),IF(BC$46&lt;'融资租赁与资金缺口'!$F$8,0,IF(BC$46='融资租赁与资金缺口'!$F$8,'融资租赁与资金缺口'!$E$8,IF(((YEAR(BC$46)-YEAR('融资租赁与资金缺口'!$F$8))*12+MONTH(BC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C$46)-YEAR('融资租赁与资金缺口'!$F$8))*12+MONTH(BC$46)-MONTH('融资租赁与资金缺口'!$F$8)),'融资租赁与资金缺口'!$E$8*(1+'融资租赁与资金缺口'!$I$8)^((YEAR(BC$46)-YEAR('融资租赁与资金缺口'!$F$8))*12+MONTH(BC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C$46)-YEAR('融资租赁与资金缺口'!$F$8))*12+MONTH(BC$46)-MONTH('融资租赁与资金缺口'!$F$8))-1)/'融资租赁与资金缺口'!$I$8))))),IF(BC$46&lt;'融资租赁与资金缺口'!$F$9,0,IF(BC$46='融资租赁与资金缺口'!$F$9,'融资租赁与资金缺口'!$E$9,IF(((YEAR(BC$46)-YEAR('融资租赁与资金缺口'!$F$9))*12+MONTH(BC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C$46)-YEAR('融资租赁与资金缺口'!$F$9))*12+MONTH(BC$46)-MONTH('融资租赁与资金缺口'!$F$9)),'融资租赁与资金缺口'!$E$9*(1+'融资租赁与资金缺口'!$I$9)^((YEAR(BC$46)-YEAR('融资租赁与资金缺口'!$F$9))*12+MONTH(BC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C$46)-YEAR('融资租赁与资金缺口'!$F$9))*12+MONTH(BC$46)-MONTH('融资租赁与资金缺口'!$F$9))-1)/'融资租赁与资金缺口'!$I$9))))),IF(BC$46&lt;'融资租赁与资金缺口'!$F$10,0,IF(BC$46='融资租赁与资金缺口'!$F$10,'融资租赁与资金缺口'!$E$10,IF(((YEAR(BC$46)-YEAR('融资租赁与资金缺口'!$F$10))*12+MONTH(BC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C$46)-YEAR('融资租赁与资金缺口'!$F$10))*12+MONTH(BC$46)-MONTH('融资租赁与资金缺口'!$F$10)),'融资租赁与资金缺口'!$E$10*(1+'融资租赁与资金缺口'!$I$10)^((YEAR(BC$46)-YEAR('融资租赁与资金缺口'!$F$10))*12+MONTH(BC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C$46)-YEAR('融资租赁与资金缺口'!$F$10))*12+MONTH(BC$46)-MONTH('融资租赁与资金缺口'!$F$10))-1)/'融资租赁与资金缺口'!$I$10))))),IF(BC$46&lt;'融资租赁与资金缺口'!$F$11,0,IF(BC$46='融资租赁与资金缺口'!$F$11,'融资租赁与资金缺口'!$E$11,IF(((YEAR(BC$46)-YEAR('融资租赁与资金缺口'!$F$11))*12+MONTH(BC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C$46)-YEAR('融资租赁与资金缺口'!$F$11))*12+MONTH(BC$46)-MONTH('融资租赁与资金缺口'!$F$11)),'融资租赁与资金缺口'!$E$11*(1+'融资租赁与资金缺口'!$I$11)^((YEAR(BC$46)-YEAR('融资租赁与资金缺口'!$F$11))*12+MONTH(BC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C$46)-YEAR('融资租赁与资金缺口'!$F$11))*12+MONTH(BC$46)-MONTH('融资租赁与资金缺口'!$F$11))-1)/'融资租赁与资金缺口'!$I$11))))),IF(BC$46&lt;'融资租赁与资金缺口'!$F$12,0,IF(BC$46='融资租赁与资金缺口'!$F$12,'融资租赁与资金缺口'!$E$12,IF(((YEAR(BC$46)-YEAR('融资租赁与资金缺口'!$F$12))*12+MONTH(BC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C$46)-YEAR('融资租赁与资金缺口'!$F$12))*12+MONTH(BC$46)-MONTH('融资租赁与资金缺口'!$F$12)),'融资租赁与资金缺口'!$E$12*(1+'融资租赁与资金缺口'!$I$12)^((YEAR(BC$46)-YEAR('融资租赁与资金缺口'!$F$12))*12+MONTH(BC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C$46)-YEAR('融资租赁与资金缺口'!$F$12))*12+MONTH(BC$46)-MONTH('融资租赁与资金缺口'!$F$12))-1)/'融资租赁与资金缺口'!$I$12))))),IF(BC$46&lt;'融资租赁与资金缺口'!$F$13,0,IF(BC$46='融资租赁与资金缺口'!$F$13,'融资租赁与资金缺口'!$E$13,IF(((YEAR(BC$46)-YEAR('融资租赁与资金缺口'!$F$13))*12+MONTH(BC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C$46)-YEAR('融资租赁与资金缺口'!$F$13))*12+MONTH(BC$46)-MONTH('融资租赁与资金缺口'!$F$13)),'融资租赁与资金缺口'!$E$13*(1+'融资租赁与资金缺口'!$I$13)^((YEAR(BC$46)-YEAR('融资租赁与资金缺口'!$F$13))*12+MONTH(BC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C$46)-YEAR('融资租赁与资金缺口'!$F$13))*12+MONTH(BC$46)-MONTH('融资租赁与资金缺口'!$F$13))-1)/'融资租赁与资金缺口'!$I$13))))),IF(BC$46&lt;'融资租赁与资金缺口'!$F$14,0,IF(BC$46='融资租赁与资金缺口'!$F$14,'融资租赁与资金缺口'!$E$14,IF(((YEAR(BC$46)-YEAR('融资租赁与资金缺口'!$F$14))*12+MONTH(BC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C$46)-YEAR('融资租赁与资金缺口'!$F$14))*12+MONTH(BC$46)-MONTH('融资租赁与资金缺口'!$F$14)),'融资租赁与资金缺口'!$E$14*(1+'融资租赁与资金缺口'!$I$14)^((YEAR(BC$46)-YEAR('融资租赁与资金缺口'!$F$14))*12+MONTH(BC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C$46)-YEAR('融资租赁与资金缺口'!$F$14))*12+MONTH(BC$46)-MONTH('融资租赁与资金缺口'!$F$14))-1)/'融资租赁与资金缺口'!$I$14))))),IF(BC$46&lt;'融资租赁与资金缺口'!$F$15,0,IF(BC$46='融资租赁与资金缺口'!$F$15,'融资租赁与资金缺口'!$E$15,IF(((YEAR(BC$46)-YEAR('融资租赁与资金缺口'!$F$15))*12+MONTH(BC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C$46)-YEAR('融资租赁与资金缺口'!$F$15))*12+MONTH(BC$46)-MONTH('融资租赁与资金缺口'!$F$15)),'融资租赁与资金缺口'!$E$15*(1+'融资租赁与资金缺口'!$I$15)^((YEAR(BC$46)-YEAR('融资租赁与资金缺口'!$F$15))*12+MONTH(BC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C$46)-YEAR('融资租赁与资金缺口'!$F$15))*12+MONTH(BC$46)-MONTH('融资租赁与资金缺口'!$F$15))-1)/'融资租赁与资金缺口'!$I$15))))),IF(BC$46&lt;'融资租赁与资金缺口'!$F$16,0,IF(BC$46='融资租赁与资金缺口'!$F$16,'融资租赁与资金缺口'!$E$16,IF(((YEAR(BC$46)-YEAR('融资租赁与资金缺口'!$F$16))*12+MONTH(BC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C$46)-YEAR('融资租赁与资金缺口'!$F$16))*12+MONTH(BC$46)-MONTH('融资租赁与资金缺口'!$F$16)),'融资租赁与资金缺口'!$E$16*(1+'融资租赁与资金缺口'!$I$16)^((YEAR(BC$46)-YEAR('融资租赁与资金缺口'!$F$16))*12+MONTH(BC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C$46)-YEAR('融资租赁与资金缺口'!$F$16))*12+MONTH(BC$46)-MONTH('融资租赁与资金缺口'!$F$16))-1)/'融资租赁与资金缺口'!$I$16))))))</x:f>
        <x:v>202127400.23331255</x:v>
      </x:c>
      <x:c r="BD53" s="28" t="n">
        <x:f>SUM(IF(BD$46&lt;'融资租赁与资金缺口'!$F$5,0,IF(BD$46='融资租赁与资金缺口'!$F$5,'融资租赁与资金缺口'!$E$5,IF(((YEAR(BD$46)-YEAR('融资租赁与资金缺口'!$F$5))*12+MONTH(BD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D$46)-YEAR('融资租赁与资金缺口'!$F$5))*12+MONTH(BD$46)-MONTH('融资租赁与资金缺口'!$F$5)),'融资租赁与资金缺口'!$E$5*(1+'融资租赁与资金缺口'!$I$5)^((YEAR(BD$46)-YEAR('融资租赁与资金缺口'!$F$5))*12+MONTH(BD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D$46)-YEAR('融资租赁与资金缺口'!$F$5))*12+MONTH(BD$46)-MONTH('融资租赁与资金缺口'!$F$5))-1)/'融资租赁与资金缺口'!$I$5))))),IF(BD$46&lt;'融资租赁与资金缺口'!$F$6,0,IF(BD$46='融资租赁与资金缺口'!$F$6,'融资租赁与资金缺口'!$E$6,IF(((YEAR(BD$46)-YEAR('融资租赁与资金缺口'!$F$6))*12+MONTH(BD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D$46)-YEAR('融资租赁与资金缺口'!$F$6))*12+MONTH(BD$46)-MONTH('融资租赁与资金缺口'!$F$6)),'融资租赁与资金缺口'!$E$6*(1+'融资租赁与资金缺口'!$I$6)^((YEAR(BD$46)-YEAR('融资租赁与资金缺口'!$F$6))*12+MONTH(BD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D$46)-YEAR('融资租赁与资金缺口'!$F$6))*12+MONTH(BD$46)-MONTH('融资租赁与资金缺口'!$F$6))-1)/'融资租赁与资金缺口'!$I$6))))),IF(BD$46&lt;'融资租赁与资金缺口'!$F$7,0,IF(BD$46='融资租赁与资金缺口'!$F$7,'融资租赁与资金缺口'!$E$7,IF(((YEAR(BD$46)-YEAR('融资租赁与资金缺口'!$F$7))*12+MONTH(BD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D$46)-YEAR('融资租赁与资金缺口'!$F$7))*12+MONTH(BD$46)-MONTH('融资租赁与资金缺口'!$F$7)),'融资租赁与资金缺口'!$E$7*(1+'融资租赁与资金缺口'!$I$7)^((YEAR(BD$46)-YEAR('融资租赁与资金缺口'!$F$7))*12+MONTH(BD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D$46)-YEAR('融资租赁与资金缺口'!$F$7))*12+MONTH(BD$46)-MONTH('融资租赁与资金缺口'!$F$7))-1)/'融资租赁与资金缺口'!$I$7))))),IF(BD$46&lt;'融资租赁与资金缺口'!$F$8,0,IF(BD$46='融资租赁与资金缺口'!$F$8,'融资租赁与资金缺口'!$E$8,IF(((YEAR(BD$46)-YEAR('融资租赁与资金缺口'!$F$8))*12+MONTH(BD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D$46)-YEAR('融资租赁与资金缺口'!$F$8))*12+MONTH(BD$46)-MONTH('融资租赁与资金缺口'!$F$8)),'融资租赁与资金缺口'!$E$8*(1+'融资租赁与资金缺口'!$I$8)^((YEAR(BD$46)-YEAR('融资租赁与资金缺口'!$F$8))*12+MONTH(BD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D$46)-YEAR('融资租赁与资金缺口'!$F$8))*12+MONTH(BD$46)-MONTH('融资租赁与资金缺口'!$F$8))-1)/'融资租赁与资金缺口'!$I$8))))),IF(BD$46&lt;'融资租赁与资金缺口'!$F$9,0,IF(BD$46='融资租赁与资金缺口'!$F$9,'融资租赁与资金缺口'!$E$9,IF(((YEAR(BD$46)-YEAR('融资租赁与资金缺口'!$F$9))*12+MONTH(BD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D$46)-YEAR('融资租赁与资金缺口'!$F$9))*12+MONTH(BD$46)-MONTH('融资租赁与资金缺口'!$F$9)),'融资租赁与资金缺口'!$E$9*(1+'融资租赁与资金缺口'!$I$9)^((YEAR(BD$46)-YEAR('融资租赁与资金缺口'!$F$9))*12+MONTH(BD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D$46)-YEAR('融资租赁与资金缺口'!$F$9))*12+MONTH(BD$46)-MONTH('融资租赁与资金缺口'!$F$9))-1)/'融资租赁与资金缺口'!$I$9))))),IF(BD$46&lt;'融资租赁与资金缺口'!$F$10,0,IF(BD$46='融资租赁与资金缺口'!$F$10,'融资租赁与资金缺口'!$E$10,IF(((YEAR(BD$46)-YEAR('融资租赁与资金缺口'!$F$10))*12+MONTH(BD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D$46)-YEAR('融资租赁与资金缺口'!$F$10))*12+MONTH(BD$46)-MONTH('融资租赁与资金缺口'!$F$10)),'融资租赁与资金缺口'!$E$10*(1+'融资租赁与资金缺口'!$I$10)^((YEAR(BD$46)-YEAR('融资租赁与资金缺口'!$F$10))*12+MONTH(BD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D$46)-YEAR('融资租赁与资金缺口'!$F$10))*12+MONTH(BD$46)-MONTH('融资租赁与资金缺口'!$F$10))-1)/'融资租赁与资金缺口'!$I$10))))),IF(BD$46&lt;'融资租赁与资金缺口'!$F$11,0,IF(BD$46='融资租赁与资金缺口'!$F$11,'融资租赁与资金缺口'!$E$11,IF(((YEAR(BD$46)-YEAR('融资租赁与资金缺口'!$F$11))*12+MONTH(BD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D$46)-YEAR('融资租赁与资金缺口'!$F$11))*12+MONTH(BD$46)-MONTH('融资租赁与资金缺口'!$F$11)),'融资租赁与资金缺口'!$E$11*(1+'融资租赁与资金缺口'!$I$11)^((YEAR(BD$46)-YEAR('融资租赁与资金缺口'!$F$11))*12+MONTH(BD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D$46)-YEAR('融资租赁与资金缺口'!$F$11))*12+MONTH(BD$46)-MONTH('融资租赁与资金缺口'!$F$11))-1)/'融资租赁与资金缺口'!$I$11))))),IF(BD$46&lt;'融资租赁与资金缺口'!$F$12,0,IF(BD$46='融资租赁与资金缺口'!$F$12,'融资租赁与资金缺口'!$E$12,IF(((YEAR(BD$46)-YEAR('融资租赁与资金缺口'!$F$12))*12+MONTH(BD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D$46)-YEAR('融资租赁与资金缺口'!$F$12))*12+MONTH(BD$46)-MONTH('融资租赁与资金缺口'!$F$12)),'融资租赁与资金缺口'!$E$12*(1+'融资租赁与资金缺口'!$I$12)^((YEAR(BD$46)-YEAR('融资租赁与资金缺口'!$F$12))*12+MONTH(BD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D$46)-YEAR('融资租赁与资金缺口'!$F$12))*12+MONTH(BD$46)-MONTH('融资租赁与资金缺口'!$F$12))-1)/'融资租赁与资金缺口'!$I$12))))),IF(BD$46&lt;'融资租赁与资金缺口'!$F$13,0,IF(BD$46='融资租赁与资金缺口'!$F$13,'融资租赁与资金缺口'!$E$13,IF(((YEAR(BD$46)-YEAR('融资租赁与资金缺口'!$F$13))*12+MONTH(BD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D$46)-YEAR('融资租赁与资金缺口'!$F$13))*12+MONTH(BD$46)-MONTH('融资租赁与资金缺口'!$F$13)),'融资租赁与资金缺口'!$E$13*(1+'融资租赁与资金缺口'!$I$13)^((YEAR(BD$46)-YEAR('融资租赁与资金缺口'!$F$13))*12+MONTH(BD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D$46)-YEAR('融资租赁与资金缺口'!$F$13))*12+MONTH(BD$46)-MONTH('融资租赁与资金缺口'!$F$13))-1)/'融资租赁与资金缺口'!$I$13))))),IF(BD$46&lt;'融资租赁与资金缺口'!$F$14,0,IF(BD$46='融资租赁与资金缺口'!$F$14,'融资租赁与资金缺口'!$E$14,IF(((YEAR(BD$46)-YEAR('融资租赁与资金缺口'!$F$14))*12+MONTH(BD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D$46)-YEAR('融资租赁与资金缺口'!$F$14))*12+MONTH(BD$46)-MONTH('融资租赁与资金缺口'!$F$14)),'融资租赁与资金缺口'!$E$14*(1+'融资租赁与资金缺口'!$I$14)^((YEAR(BD$46)-YEAR('融资租赁与资金缺口'!$F$14))*12+MONTH(BD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D$46)-YEAR('融资租赁与资金缺口'!$F$14))*12+MONTH(BD$46)-MONTH('融资租赁与资金缺口'!$F$14))-1)/'融资租赁与资金缺口'!$I$14))))),IF(BD$46&lt;'融资租赁与资金缺口'!$F$15,0,IF(BD$46='融资租赁与资金缺口'!$F$15,'融资租赁与资金缺口'!$E$15,IF(((YEAR(BD$46)-YEAR('融资租赁与资金缺口'!$F$15))*12+MONTH(BD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D$46)-YEAR('融资租赁与资金缺口'!$F$15))*12+MONTH(BD$46)-MONTH('融资租赁与资金缺口'!$F$15)),'融资租赁与资金缺口'!$E$15*(1+'融资租赁与资金缺口'!$I$15)^((YEAR(BD$46)-YEAR('融资租赁与资金缺口'!$F$15))*12+MONTH(BD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D$46)-YEAR('融资租赁与资金缺口'!$F$15))*12+MONTH(BD$46)-MONTH('融资租赁与资金缺口'!$F$15))-1)/'融资租赁与资金缺口'!$I$15))))),IF(BD$46&lt;'融资租赁与资金缺口'!$F$16,0,IF(BD$46='融资租赁与资金缺口'!$F$16,'融资租赁与资金缺口'!$E$16,IF(((YEAR(BD$46)-YEAR('融资租赁与资金缺口'!$F$16))*12+MONTH(BD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D$46)-YEAR('融资租赁与资金缺口'!$F$16))*12+MONTH(BD$46)-MONTH('融资租赁与资金缺口'!$F$16)),'融资租赁与资金缺口'!$E$16*(1+'融资租赁与资金缺口'!$I$16)^((YEAR(BD$46)-YEAR('融资租赁与资金缺口'!$F$16))*12+MONTH(BD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D$46)-YEAR('融资租赁与资金缺口'!$F$16))*12+MONTH(BD$46)-MONTH('融资租赁与资金缺口'!$F$16))-1)/'融资租赁与资金缺口'!$I$16))))))</x:f>
        <x:v>179112428.66120458</x:v>
      </x:c>
      <x:c r="BE53" s="28" t="n">
        <x:f>SUM(IF(BE$46&lt;'融资租赁与资金缺口'!$F$5,0,IF(BE$46='融资租赁与资金缺口'!$F$5,'融资租赁与资金缺口'!$E$5,IF(((YEAR(BE$46)-YEAR('融资租赁与资金缺口'!$F$5))*12+MONTH(BE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E$46)-YEAR('融资租赁与资金缺口'!$F$5))*12+MONTH(BE$46)-MONTH('融资租赁与资金缺口'!$F$5)),'融资租赁与资金缺口'!$E$5*(1+'融资租赁与资金缺口'!$I$5)^((YEAR(BE$46)-YEAR('融资租赁与资金缺口'!$F$5))*12+MONTH(BE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E$46)-YEAR('融资租赁与资金缺口'!$F$5))*12+MONTH(BE$46)-MONTH('融资租赁与资金缺口'!$F$5))-1)/'融资租赁与资金缺口'!$I$5))))),IF(BE$46&lt;'融资租赁与资金缺口'!$F$6,0,IF(BE$46='融资租赁与资金缺口'!$F$6,'融资租赁与资金缺口'!$E$6,IF(((YEAR(BE$46)-YEAR('融资租赁与资金缺口'!$F$6))*12+MONTH(BE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E$46)-YEAR('融资租赁与资金缺口'!$F$6))*12+MONTH(BE$46)-MONTH('融资租赁与资金缺口'!$F$6)),'融资租赁与资金缺口'!$E$6*(1+'融资租赁与资金缺口'!$I$6)^((YEAR(BE$46)-YEAR('融资租赁与资金缺口'!$F$6))*12+MONTH(BE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E$46)-YEAR('融资租赁与资金缺口'!$F$6))*12+MONTH(BE$46)-MONTH('融资租赁与资金缺口'!$F$6))-1)/'融资租赁与资金缺口'!$I$6))))),IF(BE$46&lt;'融资租赁与资金缺口'!$F$7,0,IF(BE$46='融资租赁与资金缺口'!$F$7,'融资租赁与资金缺口'!$E$7,IF(((YEAR(BE$46)-YEAR('融资租赁与资金缺口'!$F$7))*12+MONTH(BE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E$46)-YEAR('融资租赁与资金缺口'!$F$7))*12+MONTH(BE$46)-MONTH('融资租赁与资金缺口'!$F$7)),'融资租赁与资金缺口'!$E$7*(1+'融资租赁与资金缺口'!$I$7)^((YEAR(BE$46)-YEAR('融资租赁与资金缺口'!$F$7))*12+MONTH(BE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E$46)-YEAR('融资租赁与资金缺口'!$F$7))*12+MONTH(BE$46)-MONTH('融资租赁与资金缺口'!$F$7))-1)/'融资租赁与资金缺口'!$I$7))))),IF(BE$46&lt;'融资租赁与资金缺口'!$F$8,0,IF(BE$46='融资租赁与资金缺口'!$F$8,'融资租赁与资金缺口'!$E$8,IF(((YEAR(BE$46)-YEAR('融资租赁与资金缺口'!$F$8))*12+MONTH(BE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E$46)-YEAR('融资租赁与资金缺口'!$F$8))*12+MONTH(BE$46)-MONTH('融资租赁与资金缺口'!$F$8)),'融资租赁与资金缺口'!$E$8*(1+'融资租赁与资金缺口'!$I$8)^((YEAR(BE$46)-YEAR('融资租赁与资金缺口'!$F$8))*12+MONTH(BE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E$46)-YEAR('融资租赁与资金缺口'!$F$8))*12+MONTH(BE$46)-MONTH('融资租赁与资金缺口'!$F$8))-1)/'融资租赁与资金缺口'!$I$8))))),IF(BE$46&lt;'融资租赁与资金缺口'!$F$9,0,IF(BE$46='融资租赁与资金缺口'!$F$9,'融资租赁与资金缺口'!$E$9,IF(((YEAR(BE$46)-YEAR('融资租赁与资金缺口'!$F$9))*12+MONTH(BE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E$46)-YEAR('融资租赁与资金缺口'!$F$9))*12+MONTH(BE$46)-MONTH('融资租赁与资金缺口'!$F$9)),'融资租赁与资金缺口'!$E$9*(1+'融资租赁与资金缺口'!$I$9)^((YEAR(BE$46)-YEAR('融资租赁与资金缺口'!$F$9))*12+MONTH(BE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E$46)-YEAR('融资租赁与资金缺口'!$F$9))*12+MONTH(BE$46)-MONTH('融资租赁与资金缺口'!$F$9))-1)/'融资租赁与资金缺口'!$I$9))))),IF(BE$46&lt;'融资租赁与资金缺口'!$F$10,0,IF(BE$46='融资租赁与资金缺口'!$F$10,'融资租赁与资金缺口'!$E$10,IF(((YEAR(BE$46)-YEAR('融资租赁与资金缺口'!$F$10))*12+MONTH(BE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E$46)-YEAR('融资租赁与资金缺口'!$F$10))*12+MONTH(BE$46)-MONTH('融资租赁与资金缺口'!$F$10)),'融资租赁与资金缺口'!$E$10*(1+'融资租赁与资金缺口'!$I$10)^((YEAR(BE$46)-YEAR('融资租赁与资金缺口'!$F$10))*12+MONTH(BE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E$46)-YEAR('融资租赁与资金缺口'!$F$10))*12+MONTH(BE$46)-MONTH('融资租赁与资金缺口'!$F$10))-1)/'融资租赁与资金缺口'!$I$10))))),IF(BE$46&lt;'融资租赁与资金缺口'!$F$11,0,IF(BE$46='融资租赁与资金缺口'!$F$11,'融资租赁与资金缺口'!$E$11,IF(((YEAR(BE$46)-YEAR('融资租赁与资金缺口'!$F$11))*12+MONTH(BE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E$46)-YEAR('融资租赁与资金缺口'!$F$11))*12+MONTH(BE$46)-MONTH('融资租赁与资金缺口'!$F$11)),'融资租赁与资金缺口'!$E$11*(1+'融资租赁与资金缺口'!$I$11)^((YEAR(BE$46)-YEAR('融资租赁与资金缺口'!$F$11))*12+MONTH(BE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E$46)-YEAR('融资租赁与资金缺口'!$F$11))*12+MONTH(BE$46)-MONTH('融资租赁与资金缺口'!$F$11))-1)/'融资租赁与资金缺口'!$I$11))))),IF(BE$46&lt;'融资租赁与资金缺口'!$F$12,0,IF(BE$46='融资租赁与资金缺口'!$F$12,'融资租赁与资金缺口'!$E$12,IF(((YEAR(BE$46)-YEAR('融资租赁与资金缺口'!$F$12))*12+MONTH(BE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E$46)-YEAR('融资租赁与资金缺口'!$F$12))*12+MONTH(BE$46)-MONTH('融资租赁与资金缺口'!$F$12)),'融资租赁与资金缺口'!$E$12*(1+'融资租赁与资金缺口'!$I$12)^((YEAR(BE$46)-YEAR('融资租赁与资金缺口'!$F$12))*12+MONTH(BE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E$46)-YEAR('融资租赁与资金缺口'!$F$12))*12+MONTH(BE$46)-MONTH('融资租赁与资金缺口'!$F$12))-1)/'融资租赁与资金缺口'!$I$12))))),IF(BE$46&lt;'融资租赁与资金缺口'!$F$13,0,IF(BE$46='融资租赁与资金缺口'!$F$13,'融资租赁与资金缺口'!$E$13,IF(((YEAR(BE$46)-YEAR('融资租赁与资金缺口'!$F$13))*12+MONTH(BE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E$46)-YEAR('融资租赁与资金缺口'!$F$13))*12+MONTH(BE$46)-MONTH('融资租赁与资金缺口'!$F$13)),'融资租赁与资金缺口'!$E$13*(1+'融资租赁与资金缺口'!$I$13)^((YEAR(BE$46)-YEAR('融资租赁与资金缺口'!$F$13))*12+MONTH(BE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E$46)-YEAR('融资租赁与资金缺口'!$F$13))*12+MONTH(BE$46)-MONTH('融资租赁与资金缺口'!$F$13))-1)/'融资租赁与资金缺口'!$I$13))))),IF(BE$46&lt;'融资租赁与资金缺口'!$F$14,0,IF(BE$46='融资租赁与资金缺口'!$F$14,'融资租赁与资金缺口'!$E$14,IF(((YEAR(BE$46)-YEAR('融资租赁与资金缺口'!$F$14))*12+MONTH(BE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E$46)-YEAR('融资租赁与资金缺口'!$F$14))*12+MONTH(BE$46)-MONTH('融资租赁与资金缺口'!$F$14)),'融资租赁与资金缺口'!$E$14*(1+'融资租赁与资金缺口'!$I$14)^((YEAR(BE$46)-YEAR('融资租赁与资金缺口'!$F$14))*12+MONTH(BE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E$46)-YEAR('融资租赁与资金缺口'!$F$14))*12+MONTH(BE$46)-MONTH('融资租赁与资金缺口'!$F$14))-1)/'融资租赁与资金缺口'!$I$14))))),IF(BE$46&lt;'融资租赁与资金缺口'!$F$15,0,IF(BE$46='融资租赁与资金缺口'!$F$15,'融资租赁与资金缺口'!$E$15,IF(((YEAR(BE$46)-YEAR('融资租赁与资金缺口'!$F$15))*12+MONTH(BE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E$46)-YEAR('融资租赁与资金缺口'!$F$15))*12+MONTH(BE$46)-MONTH('融资租赁与资金缺口'!$F$15)),'融资租赁与资金缺口'!$E$15*(1+'融资租赁与资金缺口'!$I$15)^((YEAR(BE$46)-YEAR('融资租赁与资金缺口'!$F$15))*12+MONTH(BE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E$46)-YEAR('融资租赁与资金缺口'!$F$15))*12+MONTH(BE$46)-MONTH('融资租赁与资金缺口'!$F$15))-1)/'融资租赁与资金缺口'!$I$15))))),IF(BE$46&lt;'融资租赁与资金缺口'!$F$16,0,IF(BE$46='融资租赁与资金缺口'!$F$16,'融资租赁与资金缺口'!$E$16,IF(((YEAR(BE$46)-YEAR('融资租赁与资金缺口'!$F$16))*12+MONTH(BE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E$46)-YEAR('融资租赁与资金缺口'!$F$16))*12+MONTH(BE$46)-MONTH('融资租赁与资金缺口'!$F$16)),'融资租赁与资金缺口'!$E$16*(1+'融资租赁与资金缺口'!$I$16)^((YEAR(BE$46)-YEAR('融资租赁与资金缺口'!$F$16))*12+MONTH(BE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E$46)-YEAR('融资租赁与资金缺口'!$F$16))*12+MONTH(BE$46)-MONTH('融资租赁与资金缺口'!$F$16))-1)/'融资租赁与资金缺口'!$I$16))))))</x:f>
        <x:v>155714103.94528252</x:v>
      </x:c>
      <x:c r="BF53" s="28" t="n">
        <x:f>SUM(IF(BF$46&lt;'融资租赁与资金缺口'!$F$5,0,IF(BF$46='融资租赁与资金缺口'!$F$5,'融资租赁与资金缺口'!$E$5,IF(((YEAR(BF$46)-YEAR('融资租赁与资金缺口'!$F$5))*12+MONTH(BF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F$46)-YEAR('融资租赁与资金缺口'!$F$5))*12+MONTH(BF$46)-MONTH('融资租赁与资金缺口'!$F$5)),'融资租赁与资金缺口'!$E$5*(1+'融资租赁与资金缺口'!$I$5)^((YEAR(BF$46)-YEAR('融资租赁与资金缺口'!$F$5))*12+MONTH(BF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F$46)-YEAR('融资租赁与资金缺口'!$F$5))*12+MONTH(BF$46)-MONTH('融资租赁与资金缺口'!$F$5))-1)/'融资租赁与资金缺口'!$I$5))))),IF(BF$46&lt;'融资租赁与资金缺口'!$F$6,0,IF(BF$46='融资租赁与资金缺口'!$F$6,'融资租赁与资金缺口'!$E$6,IF(((YEAR(BF$46)-YEAR('融资租赁与资金缺口'!$F$6))*12+MONTH(BF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F$46)-YEAR('融资租赁与资金缺口'!$F$6))*12+MONTH(BF$46)-MONTH('融资租赁与资金缺口'!$F$6)),'融资租赁与资金缺口'!$E$6*(1+'融资租赁与资金缺口'!$I$6)^((YEAR(BF$46)-YEAR('融资租赁与资金缺口'!$F$6))*12+MONTH(BF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F$46)-YEAR('融资租赁与资金缺口'!$F$6))*12+MONTH(BF$46)-MONTH('融资租赁与资金缺口'!$F$6))-1)/'融资租赁与资金缺口'!$I$6))))),IF(BF$46&lt;'融资租赁与资金缺口'!$F$7,0,IF(BF$46='融资租赁与资金缺口'!$F$7,'融资租赁与资金缺口'!$E$7,IF(((YEAR(BF$46)-YEAR('融资租赁与资金缺口'!$F$7))*12+MONTH(BF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F$46)-YEAR('融资租赁与资金缺口'!$F$7))*12+MONTH(BF$46)-MONTH('融资租赁与资金缺口'!$F$7)),'融资租赁与资金缺口'!$E$7*(1+'融资租赁与资金缺口'!$I$7)^((YEAR(BF$46)-YEAR('融资租赁与资金缺口'!$F$7))*12+MONTH(BF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F$46)-YEAR('融资租赁与资金缺口'!$F$7))*12+MONTH(BF$46)-MONTH('融资租赁与资金缺口'!$F$7))-1)/'融资租赁与资金缺口'!$I$7))))),IF(BF$46&lt;'融资租赁与资金缺口'!$F$8,0,IF(BF$46='融资租赁与资金缺口'!$F$8,'融资租赁与资金缺口'!$E$8,IF(((YEAR(BF$46)-YEAR('融资租赁与资金缺口'!$F$8))*12+MONTH(BF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F$46)-YEAR('融资租赁与资金缺口'!$F$8))*12+MONTH(BF$46)-MONTH('融资租赁与资金缺口'!$F$8)),'融资租赁与资金缺口'!$E$8*(1+'融资租赁与资金缺口'!$I$8)^((YEAR(BF$46)-YEAR('融资租赁与资金缺口'!$F$8))*12+MONTH(BF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F$46)-YEAR('融资租赁与资金缺口'!$F$8))*12+MONTH(BF$46)-MONTH('融资租赁与资金缺口'!$F$8))-1)/'融资租赁与资金缺口'!$I$8))))),IF(BF$46&lt;'融资租赁与资金缺口'!$F$9,0,IF(BF$46='融资租赁与资金缺口'!$F$9,'融资租赁与资金缺口'!$E$9,IF(((YEAR(BF$46)-YEAR('融资租赁与资金缺口'!$F$9))*12+MONTH(BF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F$46)-YEAR('融资租赁与资金缺口'!$F$9))*12+MONTH(BF$46)-MONTH('融资租赁与资金缺口'!$F$9)),'融资租赁与资金缺口'!$E$9*(1+'融资租赁与资金缺口'!$I$9)^((YEAR(BF$46)-YEAR('融资租赁与资金缺口'!$F$9))*12+MONTH(BF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F$46)-YEAR('融资租赁与资金缺口'!$F$9))*12+MONTH(BF$46)-MONTH('融资租赁与资金缺口'!$F$9))-1)/'融资租赁与资金缺口'!$I$9))))),IF(BF$46&lt;'融资租赁与资金缺口'!$F$10,0,IF(BF$46='融资租赁与资金缺口'!$F$10,'融资租赁与资金缺口'!$E$10,IF(((YEAR(BF$46)-YEAR('融资租赁与资金缺口'!$F$10))*12+MONTH(BF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F$46)-YEAR('融资租赁与资金缺口'!$F$10))*12+MONTH(BF$46)-MONTH('融资租赁与资金缺口'!$F$10)),'融资租赁与资金缺口'!$E$10*(1+'融资租赁与资金缺口'!$I$10)^((YEAR(BF$46)-YEAR('融资租赁与资金缺口'!$F$10))*12+MONTH(BF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F$46)-YEAR('融资租赁与资金缺口'!$F$10))*12+MONTH(BF$46)-MONTH('融资租赁与资金缺口'!$F$10))-1)/'融资租赁与资金缺口'!$I$10))))),IF(BF$46&lt;'融资租赁与资金缺口'!$F$11,0,IF(BF$46='融资租赁与资金缺口'!$F$11,'融资租赁与资金缺口'!$E$11,IF(((YEAR(BF$46)-YEAR('融资租赁与资金缺口'!$F$11))*12+MONTH(BF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F$46)-YEAR('融资租赁与资金缺口'!$F$11))*12+MONTH(BF$46)-MONTH('融资租赁与资金缺口'!$F$11)),'融资租赁与资金缺口'!$E$11*(1+'融资租赁与资金缺口'!$I$11)^((YEAR(BF$46)-YEAR('融资租赁与资金缺口'!$F$11))*12+MONTH(BF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F$46)-YEAR('融资租赁与资金缺口'!$F$11))*12+MONTH(BF$46)-MONTH('融资租赁与资金缺口'!$F$11))-1)/'融资租赁与资金缺口'!$I$11))))),IF(BF$46&lt;'融资租赁与资金缺口'!$F$12,0,IF(BF$46='融资租赁与资金缺口'!$F$12,'融资租赁与资金缺口'!$E$12,IF(((YEAR(BF$46)-YEAR('融资租赁与资金缺口'!$F$12))*12+MONTH(BF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F$46)-YEAR('融资租赁与资金缺口'!$F$12))*12+MONTH(BF$46)-MONTH('融资租赁与资金缺口'!$F$12)),'融资租赁与资金缺口'!$E$12*(1+'融资租赁与资金缺口'!$I$12)^((YEAR(BF$46)-YEAR('融资租赁与资金缺口'!$F$12))*12+MONTH(BF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F$46)-YEAR('融资租赁与资金缺口'!$F$12))*12+MONTH(BF$46)-MONTH('融资租赁与资金缺口'!$F$12))-1)/'融资租赁与资金缺口'!$I$12))))),IF(BF$46&lt;'融资租赁与资金缺口'!$F$13,0,IF(BF$46='融资租赁与资金缺口'!$F$13,'融资租赁与资金缺口'!$E$13,IF(((YEAR(BF$46)-YEAR('融资租赁与资金缺口'!$F$13))*12+MONTH(BF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F$46)-YEAR('融资租赁与资金缺口'!$F$13))*12+MONTH(BF$46)-MONTH('融资租赁与资金缺口'!$F$13)),'融资租赁与资金缺口'!$E$13*(1+'融资租赁与资金缺口'!$I$13)^((YEAR(BF$46)-YEAR('融资租赁与资金缺口'!$F$13))*12+MONTH(BF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F$46)-YEAR('融资租赁与资金缺口'!$F$13))*12+MONTH(BF$46)-MONTH('融资租赁与资金缺口'!$F$13))-1)/'融资租赁与资金缺口'!$I$13))))),IF(BF$46&lt;'融资租赁与资金缺口'!$F$14,0,IF(BF$46='融资租赁与资金缺口'!$F$14,'融资租赁与资金缺口'!$E$14,IF(((YEAR(BF$46)-YEAR('融资租赁与资金缺口'!$F$14))*12+MONTH(BF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F$46)-YEAR('融资租赁与资金缺口'!$F$14))*12+MONTH(BF$46)-MONTH('融资租赁与资金缺口'!$F$14)),'融资租赁与资金缺口'!$E$14*(1+'融资租赁与资金缺口'!$I$14)^((YEAR(BF$46)-YEAR('融资租赁与资金缺口'!$F$14))*12+MONTH(BF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F$46)-YEAR('融资租赁与资金缺口'!$F$14))*12+MONTH(BF$46)-MONTH('融资租赁与资金缺口'!$F$14))-1)/'融资租赁与资金缺口'!$I$14))))),IF(BF$46&lt;'融资租赁与资金缺口'!$F$15,0,IF(BF$46='融资租赁与资金缺口'!$F$15,'融资租赁与资金缺口'!$E$15,IF(((YEAR(BF$46)-YEAR('融资租赁与资金缺口'!$F$15))*12+MONTH(BF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F$46)-YEAR('融资租赁与资金缺口'!$F$15))*12+MONTH(BF$46)-MONTH('融资租赁与资金缺口'!$F$15)),'融资租赁与资金缺口'!$E$15*(1+'融资租赁与资金缺口'!$I$15)^((YEAR(BF$46)-YEAR('融资租赁与资金缺口'!$F$15))*12+MONTH(BF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F$46)-YEAR('融资租赁与资金缺口'!$F$15))*12+MONTH(BF$46)-MONTH('融资租赁与资金缺口'!$F$15))-1)/'融资租赁与资金缺口'!$I$15))))),IF(BF$46&lt;'融资租赁与资金缺口'!$F$16,0,IF(BF$46='融资租赁与资金缺口'!$F$16,'融资租赁与资金缺口'!$E$16,IF(((YEAR(BF$46)-YEAR('融资租赁与资金缺口'!$F$16))*12+MONTH(BF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F$46)-YEAR('融资租赁与资金缺口'!$F$16))*12+MONTH(BF$46)-MONTH('融资租赁与资金缺口'!$F$16)),'融资租赁与资金缺口'!$E$16*(1+'融资租赁与资金缺口'!$I$16)^((YEAR(BF$46)-YEAR('融资租赁与资金缺口'!$F$16))*12+MONTH(BF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F$46)-YEAR('融资租赁与资金缺口'!$F$16))*12+MONTH(BF$46)-MONTH('融资租赁与资金缺口'!$F$16))-1)/'融资租赁与资金缺口'!$I$16))))))</x:f>
        <x:v>133145040.42422996</x:v>
      </x:c>
      <x:c r="BG53" s="28" t="n">
        <x:f>SUM(IF(BG$46&lt;'融资租赁与资金缺口'!$F$5,0,IF(BG$46='融资租赁与资金缺口'!$F$5,'融资租赁与资金缺口'!$E$5,IF(((YEAR(BG$46)-YEAR('融资租赁与资金缺口'!$F$5))*12+MONTH(BG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G$46)-YEAR('融资租赁与资金缺口'!$F$5))*12+MONTH(BG$46)-MONTH('融资租赁与资金缺口'!$F$5)),'融资租赁与资金缺口'!$E$5*(1+'融资租赁与资金缺口'!$I$5)^((YEAR(BG$46)-YEAR('融资租赁与资金缺口'!$F$5))*12+MONTH(BG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G$46)-YEAR('融资租赁与资金缺口'!$F$5))*12+MONTH(BG$46)-MONTH('融资租赁与资金缺口'!$F$5))-1)/'融资租赁与资金缺口'!$I$5))))),IF(BG$46&lt;'融资租赁与资金缺口'!$F$6,0,IF(BG$46='融资租赁与资金缺口'!$F$6,'融资租赁与资金缺口'!$E$6,IF(((YEAR(BG$46)-YEAR('融资租赁与资金缺口'!$F$6))*12+MONTH(BG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G$46)-YEAR('融资租赁与资金缺口'!$F$6))*12+MONTH(BG$46)-MONTH('融资租赁与资金缺口'!$F$6)),'融资租赁与资金缺口'!$E$6*(1+'融资租赁与资金缺口'!$I$6)^((YEAR(BG$46)-YEAR('融资租赁与资金缺口'!$F$6))*12+MONTH(BG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G$46)-YEAR('融资租赁与资金缺口'!$F$6))*12+MONTH(BG$46)-MONTH('融资租赁与资金缺口'!$F$6))-1)/'融资租赁与资金缺口'!$I$6))))),IF(BG$46&lt;'融资租赁与资金缺口'!$F$7,0,IF(BG$46='融资租赁与资金缺口'!$F$7,'融资租赁与资金缺口'!$E$7,IF(((YEAR(BG$46)-YEAR('融资租赁与资金缺口'!$F$7))*12+MONTH(BG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G$46)-YEAR('融资租赁与资金缺口'!$F$7))*12+MONTH(BG$46)-MONTH('融资租赁与资金缺口'!$F$7)),'融资租赁与资金缺口'!$E$7*(1+'融资租赁与资金缺口'!$I$7)^((YEAR(BG$46)-YEAR('融资租赁与资金缺口'!$F$7))*12+MONTH(BG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G$46)-YEAR('融资租赁与资金缺口'!$F$7))*12+MONTH(BG$46)-MONTH('融资租赁与资金缺口'!$F$7))-1)/'融资租赁与资金缺口'!$I$7))))),IF(BG$46&lt;'融资租赁与资金缺口'!$F$8,0,IF(BG$46='融资租赁与资金缺口'!$F$8,'融资租赁与资金缺口'!$E$8,IF(((YEAR(BG$46)-YEAR('融资租赁与资金缺口'!$F$8))*12+MONTH(BG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G$46)-YEAR('融资租赁与资金缺口'!$F$8))*12+MONTH(BG$46)-MONTH('融资租赁与资金缺口'!$F$8)),'融资租赁与资金缺口'!$E$8*(1+'融资租赁与资金缺口'!$I$8)^((YEAR(BG$46)-YEAR('融资租赁与资金缺口'!$F$8))*12+MONTH(BG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G$46)-YEAR('融资租赁与资金缺口'!$F$8))*12+MONTH(BG$46)-MONTH('融资租赁与资金缺口'!$F$8))-1)/'融资租赁与资金缺口'!$I$8))))),IF(BG$46&lt;'融资租赁与资金缺口'!$F$9,0,IF(BG$46='融资租赁与资金缺口'!$F$9,'融资租赁与资金缺口'!$E$9,IF(((YEAR(BG$46)-YEAR('融资租赁与资金缺口'!$F$9))*12+MONTH(BG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G$46)-YEAR('融资租赁与资金缺口'!$F$9))*12+MONTH(BG$46)-MONTH('融资租赁与资金缺口'!$F$9)),'融资租赁与资金缺口'!$E$9*(1+'融资租赁与资金缺口'!$I$9)^((YEAR(BG$46)-YEAR('融资租赁与资金缺口'!$F$9))*12+MONTH(BG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G$46)-YEAR('融资租赁与资金缺口'!$F$9))*12+MONTH(BG$46)-MONTH('融资租赁与资金缺口'!$F$9))-1)/'融资租赁与资金缺口'!$I$9))))),IF(BG$46&lt;'融资租赁与资金缺口'!$F$10,0,IF(BG$46='融资租赁与资金缺口'!$F$10,'融资租赁与资金缺口'!$E$10,IF(((YEAR(BG$46)-YEAR('融资租赁与资金缺口'!$F$10))*12+MONTH(BG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G$46)-YEAR('融资租赁与资金缺口'!$F$10))*12+MONTH(BG$46)-MONTH('融资租赁与资金缺口'!$F$10)),'融资租赁与资金缺口'!$E$10*(1+'融资租赁与资金缺口'!$I$10)^((YEAR(BG$46)-YEAR('融资租赁与资金缺口'!$F$10))*12+MONTH(BG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G$46)-YEAR('融资租赁与资金缺口'!$F$10))*12+MONTH(BG$46)-MONTH('融资租赁与资金缺口'!$F$10))-1)/'融资租赁与资金缺口'!$I$10))))),IF(BG$46&lt;'融资租赁与资金缺口'!$F$11,0,IF(BG$46='融资租赁与资金缺口'!$F$11,'融资租赁与资金缺口'!$E$11,IF(((YEAR(BG$46)-YEAR('融资租赁与资金缺口'!$F$11))*12+MONTH(BG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G$46)-YEAR('融资租赁与资金缺口'!$F$11))*12+MONTH(BG$46)-MONTH('融资租赁与资金缺口'!$F$11)),'融资租赁与资金缺口'!$E$11*(1+'融资租赁与资金缺口'!$I$11)^((YEAR(BG$46)-YEAR('融资租赁与资金缺口'!$F$11))*12+MONTH(BG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G$46)-YEAR('融资租赁与资金缺口'!$F$11))*12+MONTH(BG$46)-MONTH('融资租赁与资金缺口'!$F$11))-1)/'融资租赁与资金缺口'!$I$11))))),IF(BG$46&lt;'融资租赁与资金缺口'!$F$12,0,IF(BG$46='融资租赁与资金缺口'!$F$12,'融资租赁与资金缺口'!$E$12,IF(((YEAR(BG$46)-YEAR('融资租赁与资金缺口'!$F$12))*12+MONTH(BG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G$46)-YEAR('融资租赁与资金缺口'!$F$12))*12+MONTH(BG$46)-MONTH('融资租赁与资金缺口'!$F$12)),'融资租赁与资金缺口'!$E$12*(1+'融资租赁与资金缺口'!$I$12)^((YEAR(BG$46)-YEAR('融资租赁与资金缺口'!$F$12))*12+MONTH(BG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G$46)-YEAR('融资租赁与资金缺口'!$F$12))*12+MONTH(BG$46)-MONTH('融资租赁与资金缺口'!$F$12))-1)/'融资租赁与资金缺口'!$I$12))))),IF(BG$46&lt;'融资租赁与资金缺口'!$F$13,0,IF(BG$46='融资租赁与资金缺口'!$F$13,'融资租赁与资金缺口'!$E$13,IF(((YEAR(BG$46)-YEAR('融资租赁与资金缺口'!$F$13))*12+MONTH(BG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G$46)-YEAR('融资租赁与资金缺口'!$F$13))*12+MONTH(BG$46)-MONTH('融资租赁与资金缺口'!$F$13)),'融资租赁与资金缺口'!$E$13*(1+'融资租赁与资金缺口'!$I$13)^((YEAR(BG$46)-YEAR('融资租赁与资金缺口'!$F$13))*12+MONTH(BG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G$46)-YEAR('融资租赁与资金缺口'!$F$13))*12+MONTH(BG$46)-MONTH('融资租赁与资金缺口'!$F$13))-1)/'融资租赁与资金缺口'!$I$13))))),IF(BG$46&lt;'融资租赁与资金缺口'!$F$14,0,IF(BG$46='融资租赁与资金缺口'!$F$14,'融资租赁与资金缺口'!$E$14,IF(((YEAR(BG$46)-YEAR('融资租赁与资金缺口'!$F$14))*12+MONTH(BG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G$46)-YEAR('融资租赁与资金缺口'!$F$14))*12+MONTH(BG$46)-MONTH('融资租赁与资金缺口'!$F$14)),'融资租赁与资金缺口'!$E$14*(1+'融资租赁与资金缺口'!$I$14)^((YEAR(BG$46)-YEAR('融资租赁与资金缺口'!$F$14))*12+MONTH(BG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G$46)-YEAR('融资租赁与资金缺口'!$F$14))*12+MONTH(BG$46)-MONTH('融资租赁与资金缺口'!$F$14))-1)/'融资租赁与资金缺口'!$I$14))))),IF(BG$46&lt;'融资租赁与资金缺口'!$F$15,0,IF(BG$46='融资租赁与资金缺口'!$F$15,'融资租赁与资金缺口'!$E$15,IF(((YEAR(BG$46)-YEAR('融资租赁与资金缺口'!$F$15))*12+MONTH(BG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G$46)-YEAR('融资租赁与资金缺口'!$F$15))*12+MONTH(BG$46)-MONTH('融资租赁与资金缺口'!$F$15)),'融资租赁与资金缺口'!$E$15*(1+'融资租赁与资金缺口'!$I$15)^((YEAR(BG$46)-YEAR('融资租赁与资金缺口'!$F$15))*12+MONTH(BG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G$46)-YEAR('融资租赁与资金缺口'!$F$15))*12+MONTH(BG$46)-MONTH('融资租赁与资金缺口'!$F$15))-1)/'融资租赁与资金缺口'!$I$15))))),IF(BG$46&lt;'融资租赁与资金缺口'!$F$16,0,IF(BG$46='融资租赁与资金缺口'!$F$16,'融资租赁与资金缺口'!$E$16,IF(((YEAR(BG$46)-YEAR('融资租赁与资金缺口'!$F$16))*12+MONTH(BG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G$46)-YEAR('融资租赁与资金缺口'!$F$16))*12+MONTH(BG$46)-MONTH('融资租赁与资金缺口'!$F$16)),'融资租赁与资金缺口'!$E$16*(1+'融资租赁与资金缺口'!$I$16)^((YEAR(BG$46)-YEAR('融资租赁与资金缺口'!$F$16))*12+MONTH(BG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G$46)-YEAR('融资租赁与资金缺口'!$F$16))*12+MONTH(BG$46)-MONTH('融资租赁与资金缺口'!$F$16))-1)/'融资租赁与资金缺口'!$I$16))))))</x:f>
        <x:v>111616307.21584065</x:v>
      </x:c>
      <x:c r="BH53" s="28" t="n">
        <x:f>SUM(IF(BH$46&lt;'融资租赁与资金缺口'!$F$5,0,IF(BH$46='融资租赁与资金缺口'!$F$5,'融资租赁与资金缺口'!$E$5,IF(((YEAR(BH$46)-YEAR('融资租赁与资金缺口'!$F$5))*12+MONTH(BH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H$46)-YEAR('融资租赁与资金缺口'!$F$5))*12+MONTH(BH$46)-MONTH('融资租赁与资金缺口'!$F$5)),'融资租赁与资金缺口'!$E$5*(1+'融资租赁与资金缺口'!$I$5)^((YEAR(BH$46)-YEAR('融资租赁与资金缺口'!$F$5))*12+MONTH(BH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H$46)-YEAR('融资租赁与资金缺口'!$F$5))*12+MONTH(BH$46)-MONTH('融资租赁与资金缺口'!$F$5))-1)/'融资租赁与资金缺口'!$I$5))))),IF(BH$46&lt;'融资租赁与资金缺口'!$F$6,0,IF(BH$46='融资租赁与资金缺口'!$F$6,'融资租赁与资金缺口'!$E$6,IF(((YEAR(BH$46)-YEAR('融资租赁与资金缺口'!$F$6))*12+MONTH(BH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H$46)-YEAR('融资租赁与资金缺口'!$F$6))*12+MONTH(BH$46)-MONTH('融资租赁与资金缺口'!$F$6)),'融资租赁与资金缺口'!$E$6*(1+'融资租赁与资金缺口'!$I$6)^((YEAR(BH$46)-YEAR('融资租赁与资金缺口'!$F$6))*12+MONTH(BH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H$46)-YEAR('融资租赁与资金缺口'!$F$6))*12+MONTH(BH$46)-MONTH('融资租赁与资金缺口'!$F$6))-1)/'融资租赁与资金缺口'!$I$6))))),IF(BH$46&lt;'融资租赁与资金缺口'!$F$7,0,IF(BH$46='融资租赁与资金缺口'!$F$7,'融资租赁与资金缺口'!$E$7,IF(((YEAR(BH$46)-YEAR('融资租赁与资金缺口'!$F$7))*12+MONTH(BH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H$46)-YEAR('融资租赁与资金缺口'!$F$7))*12+MONTH(BH$46)-MONTH('融资租赁与资金缺口'!$F$7)),'融资租赁与资金缺口'!$E$7*(1+'融资租赁与资金缺口'!$I$7)^((YEAR(BH$46)-YEAR('融资租赁与资金缺口'!$F$7))*12+MONTH(BH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H$46)-YEAR('融资租赁与资金缺口'!$F$7))*12+MONTH(BH$46)-MONTH('融资租赁与资金缺口'!$F$7))-1)/'融资租赁与资金缺口'!$I$7))))),IF(BH$46&lt;'融资租赁与资金缺口'!$F$8,0,IF(BH$46='融资租赁与资金缺口'!$F$8,'融资租赁与资金缺口'!$E$8,IF(((YEAR(BH$46)-YEAR('融资租赁与资金缺口'!$F$8))*12+MONTH(BH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H$46)-YEAR('融资租赁与资金缺口'!$F$8))*12+MONTH(BH$46)-MONTH('融资租赁与资金缺口'!$F$8)),'融资租赁与资金缺口'!$E$8*(1+'融资租赁与资金缺口'!$I$8)^((YEAR(BH$46)-YEAR('融资租赁与资金缺口'!$F$8))*12+MONTH(BH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H$46)-YEAR('融资租赁与资金缺口'!$F$8))*12+MONTH(BH$46)-MONTH('融资租赁与资金缺口'!$F$8))-1)/'融资租赁与资金缺口'!$I$8))))),IF(BH$46&lt;'融资租赁与资金缺口'!$F$9,0,IF(BH$46='融资租赁与资金缺口'!$F$9,'融资租赁与资金缺口'!$E$9,IF(((YEAR(BH$46)-YEAR('融资租赁与资金缺口'!$F$9))*12+MONTH(BH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H$46)-YEAR('融资租赁与资金缺口'!$F$9))*12+MONTH(BH$46)-MONTH('融资租赁与资金缺口'!$F$9)),'融资租赁与资金缺口'!$E$9*(1+'融资租赁与资金缺口'!$I$9)^((YEAR(BH$46)-YEAR('融资租赁与资金缺口'!$F$9))*12+MONTH(BH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H$46)-YEAR('融资租赁与资金缺口'!$F$9))*12+MONTH(BH$46)-MONTH('融资租赁与资金缺口'!$F$9))-1)/'融资租赁与资金缺口'!$I$9))))),IF(BH$46&lt;'融资租赁与资金缺口'!$F$10,0,IF(BH$46='融资租赁与资金缺口'!$F$10,'融资租赁与资金缺口'!$E$10,IF(((YEAR(BH$46)-YEAR('融资租赁与资金缺口'!$F$10))*12+MONTH(BH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H$46)-YEAR('融资租赁与资金缺口'!$F$10))*12+MONTH(BH$46)-MONTH('融资租赁与资金缺口'!$F$10)),'融资租赁与资金缺口'!$E$10*(1+'融资租赁与资金缺口'!$I$10)^((YEAR(BH$46)-YEAR('融资租赁与资金缺口'!$F$10))*12+MONTH(BH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H$46)-YEAR('融资租赁与资金缺口'!$F$10))*12+MONTH(BH$46)-MONTH('融资租赁与资金缺口'!$F$10))-1)/'融资租赁与资金缺口'!$I$10))))),IF(BH$46&lt;'融资租赁与资金缺口'!$F$11,0,IF(BH$46='融资租赁与资金缺口'!$F$11,'融资租赁与资金缺口'!$E$11,IF(((YEAR(BH$46)-YEAR('融资租赁与资金缺口'!$F$11))*12+MONTH(BH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H$46)-YEAR('融资租赁与资金缺口'!$F$11))*12+MONTH(BH$46)-MONTH('融资租赁与资金缺口'!$F$11)),'融资租赁与资金缺口'!$E$11*(1+'融资租赁与资金缺口'!$I$11)^((YEAR(BH$46)-YEAR('融资租赁与资金缺口'!$F$11))*12+MONTH(BH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H$46)-YEAR('融资租赁与资金缺口'!$F$11))*12+MONTH(BH$46)-MONTH('融资租赁与资金缺口'!$F$11))-1)/'融资租赁与资金缺口'!$I$11))))),IF(BH$46&lt;'融资租赁与资金缺口'!$F$12,0,IF(BH$46='融资租赁与资金缺口'!$F$12,'融资租赁与资金缺口'!$E$12,IF(((YEAR(BH$46)-YEAR('融资租赁与资金缺口'!$F$12))*12+MONTH(BH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H$46)-YEAR('融资租赁与资金缺口'!$F$12))*12+MONTH(BH$46)-MONTH('融资租赁与资金缺口'!$F$12)),'融资租赁与资金缺口'!$E$12*(1+'融资租赁与资金缺口'!$I$12)^((YEAR(BH$46)-YEAR('融资租赁与资金缺口'!$F$12))*12+MONTH(BH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H$46)-YEAR('融资租赁与资金缺口'!$F$12))*12+MONTH(BH$46)-MONTH('融资租赁与资金缺口'!$F$12))-1)/'融资租赁与资金缺口'!$I$12))))),IF(BH$46&lt;'融资租赁与资金缺口'!$F$13,0,IF(BH$46='融资租赁与资金缺口'!$F$13,'融资租赁与资金缺口'!$E$13,IF(((YEAR(BH$46)-YEAR('融资租赁与资金缺口'!$F$13))*12+MONTH(BH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H$46)-YEAR('融资租赁与资金缺口'!$F$13))*12+MONTH(BH$46)-MONTH('融资租赁与资金缺口'!$F$13)),'融资租赁与资金缺口'!$E$13*(1+'融资租赁与资金缺口'!$I$13)^((YEAR(BH$46)-YEAR('融资租赁与资金缺口'!$F$13))*12+MONTH(BH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H$46)-YEAR('融资租赁与资金缺口'!$F$13))*12+MONTH(BH$46)-MONTH('融资租赁与资金缺口'!$F$13))-1)/'融资租赁与资金缺口'!$I$13))))),IF(BH$46&lt;'融资租赁与资金缺口'!$F$14,0,IF(BH$46='融资租赁与资金缺口'!$F$14,'融资租赁与资金缺口'!$E$14,IF(((YEAR(BH$46)-YEAR('融资租赁与资金缺口'!$F$14))*12+MONTH(BH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H$46)-YEAR('融资租赁与资金缺口'!$F$14))*12+MONTH(BH$46)-MONTH('融资租赁与资金缺口'!$F$14)),'融资租赁与资金缺口'!$E$14*(1+'融资租赁与资金缺口'!$I$14)^((YEAR(BH$46)-YEAR('融资租赁与资金缺口'!$F$14))*12+MONTH(BH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H$46)-YEAR('融资租赁与资金缺口'!$F$14))*12+MONTH(BH$46)-MONTH('融资租赁与资金缺口'!$F$14))-1)/'融资租赁与资金缺口'!$I$14))))),IF(BH$46&lt;'融资租赁与资金缺口'!$F$15,0,IF(BH$46='融资租赁与资金缺口'!$F$15,'融资租赁与资金缺口'!$E$15,IF(((YEAR(BH$46)-YEAR('融资租赁与资金缺口'!$F$15))*12+MONTH(BH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H$46)-YEAR('融资租赁与资金缺口'!$F$15))*12+MONTH(BH$46)-MONTH('融资租赁与资金缺口'!$F$15)),'融资租赁与资金缺口'!$E$15*(1+'融资租赁与资金缺口'!$I$15)^((YEAR(BH$46)-YEAR('融资租赁与资金缺口'!$F$15))*12+MONTH(BH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H$46)-YEAR('融资租赁与资金缺口'!$F$15))*12+MONTH(BH$46)-MONTH('融资租赁与资金缺口'!$F$15))-1)/'融资租赁与资金缺口'!$I$15))))),IF(BH$46&lt;'融资租赁与资金缺口'!$F$16,0,IF(BH$46='融资租赁与资金缺口'!$F$16,'融资租赁与资金缺口'!$E$16,IF(((YEAR(BH$46)-YEAR('融资租赁与资金缺口'!$F$16))*12+MONTH(BH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H$46)-YEAR('融资租赁与资金缺口'!$F$16))*12+MONTH(BH$46)-MONTH('融资租赁与资金缺口'!$F$16)),'融资租赁与资金缺口'!$E$16*(1+'融资租赁与资金缺口'!$I$16)^((YEAR(BH$46)-YEAR('融资租赁与资金缺口'!$F$16))*12+MONTH(BH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H$46)-YEAR('融资租赁与资金缺口'!$F$16))*12+MONTH(BH$46)-MONTH('融资租赁与资金缺口'!$F$16))-1)/'融资租赁与资金缺口'!$I$16))))))</x:f>
        <x:v>91337851.73963708</x:v>
      </x:c>
      <x:c r="BI53" s="28" t="n">
        <x:f>SUM(IF(BI$46&lt;'融资租赁与资金缺口'!$F$5,0,IF(BI$46='融资租赁与资金缺口'!$F$5,'融资租赁与资金缺口'!$E$5,IF(((YEAR(BI$46)-YEAR('融资租赁与资金缺口'!$F$5))*12+MONTH(BI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I$46)-YEAR('融资租赁与资金缺口'!$F$5))*12+MONTH(BI$46)-MONTH('融资租赁与资金缺口'!$F$5)),'融资租赁与资金缺口'!$E$5*(1+'融资租赁与资金缺口'!$I$5)^((YEAR(BI$46)-YEAR('融资租赁与资金缺口'!$F$5))*12+MONTH(BI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I$46)-YEAR('融资租赁与资金缺口'!$F$5))*12+MONTH(BI$46)-MONTH('融资租赁与资金缺口'!$F$5))-1)/'融资租赁与资金缺口'!$I$5))))),IF(BI$46&lt;'融资租赁与资金缺口'!$F$6,0,IF(BI$46='融资租赁与资金缺口'!$F$6,'融资租赁与资金缺口'!$E$6,IF(((YEAR(BI$46)-YEAR('融资租赁与资金缺口'!$F$6))*12+MONTH(BI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I$46)-YEAR('融资租赁与资金缺口'!$F$6))*12+MONTH(BI$46)-MONTH('融资租赁与资金缺口'!$F$6)),'融资租赁与资金缺口'!$E$6*(1+'融资租赁与资金缺口'!$I$6)^((YEAR(BI$46)-YEAR('融资租赁与资金缺口'!$F$6))*12+MONTH(BI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I$46)-YEAR('融资租赁与资金缺口'!$F$6))*12+MONTH(BI$46)-MONTH('融资租赁与资金缺口'!$F$6))-1)/'融资租赁与资金缺口'!$I$6))))),IF(BI$46&lt;'融资租赁与资金缺口'!$F$7,0,IF(BI$46='融资租赁与资金缺口'!$F$7,'融资租赁与资金缺口'!$E$7,IF(((YEAR(BI$46)-YEAR('融资租赁与资金缺口'!$F$7))*12+MONTH(BI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I$46)-YEAR('融资租赁与资金缺口'!$F$7))*12+MONTH(BI$46)-MONTH('融资租赁与资金缺口'!$F$7)),'融资租赁与资金缺口'!$E$7*(1+'融资租赁与资金缺口'!$I$7)^((YEAR(BI$46)-YEAR('融资租赁与资金缺口'!$F$7))*12+MONTH(BI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I$46)-YEAR('融资租赁与资金缺口'!$F$7))*12+MONTH(BI$46)-MONTH('融资租赁与资金缺口'!$F$7))-1)/'融资租赁与资金缺口'!$I$7))))),IF(BI$46&lt;'融资租赁与资金缺口'!$F$8,0,IF(BI$46='融资租赁与资金缺口'!$F$8,'融资租赁与资金缺口'!$E$8,IF(((YEAR(BI$46)-YEAR('融资租赁与资金缺口'!$F$8))*12+MONTH(BI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I$46)-YEAR('融资租赁与资金缺口'!$F$8))*12+MONTH(BI$46)-MONTH('融资租赁与资金缺口'!$F$8)),'融资租赁与资金缺口'!$E$8*(1+'融资租赁与资金缺口'!$I$8)^((YEAR(BI$46)-YEAR('融资租赁与资金缺口'!$F$8))*12+MONTH(BI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I$46)-YEAR('融资租赁与资金缺口'!$F$8))*12+MONTH(BI$46)-MONTH('融资租赁与资金缺口'!$F$8))-1)/'融资租赁与资金缺口'!$I$8))))),IF(BI$46&lt;'融资租赁与资金缺口'!$F$9,0,IF(BI$46='融资租赁与资金缺口'!$F$9,'融资租赁与资金缺口'!$E$9,IF(((YEAR(BI$46)-YEAR('融资租赁与资金缺口'!$F$9))*12+MONTH(BI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I$46)-YEAR('融资租赁与资金缺口'!$F$9))*12+MONTH(BI$46)-MONTH('融资租赁与资金缺口'!$F$9)),'融资租赁与资金缺口'!$E$9*(1+'融资租赁与资金缺口'!$I$9)^((YEAR(BI$46)-YEAR('融资租赁与资金缺口'!$F$9))*12+MONTH(BI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I$46)-YEAR('融资租赁与资金缺口'!$F$9))*12+MONTH(BI$46)-MONTH('融资租赁与资金缺口'!$F$9))-1)/'融资租赁与资金缺口'!$I$9))))),IF(BI$46&lt;'融资租赁与资金缺口'!$F$10,0,IF(BI$46='融资租赁与资金缺口'!$F$10,'融资租赁与资金缺口'!$E$10,IF(((YEAR(BI$46)-YEAR('融资租赁与资金缺口'!$F$10))*12+MONTH(BI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I$46)-YEAR('融资租赁与资金缺口'!$F$10))*12+MONTH(BI$46)-MONTH('融资租赁与资金缺口'!$F$10)),'融资租赁与资金缺口'!$E$10*(1+'融资租赁与资金缺口'!$I$10)^((YEAR(BI$46)-YEAR('融资租赁与资金缺口'!$F$10))*12+MONTH(BI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I$46)-YEAR('融资租赁与资金缺口'!$F$10))*12+MONTH(BI$46)-MONTH('融资租赁与资金缺口'!$F$10))-1)/'融资租赁与资金缺口'!$I$10))))),IF(BI$46&lt;'融资租赁与资金缺口'!$F$11,0,IF(BI$46='融资租赁与资金缺口'!$F$11,'融资租赁与资金缺口'!$E$11,IF(((YEAR(BI$46)-YEAR('融资租赁与资金缺口'!$F$11))*12+MONTH(BI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I$46)-YEAR('融资租赁与资金缺口'!$F$11))*12+MONTH(BI$46)-MONTH('融资租赁与资金缺口'!$F$11)),'融资租赁与资金缺口'!$E$11*(1+'融资租赁与资金缺口'!$I$11)^((YEAR(BI$46)-YEAR('融资租赁与资金缺口'!$F$11))*12+MONTH(BI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I$46)-YEAR('融资租赁与资金缺口'!$F$11))*12+MONTH(BI$46)-MONTH('融资租赁与资金缺口'!$F$11))-1)/'融资租赁与资金缺口'!$I$11))))),IF(BI$46&lt;'融资租赁与资金缺口'!$F$12,0,IF(BI$46='融资租赁与资金缺口'!$F$12,'融资租赁与资金缺口'!$E$12,IF(((YEAR(BI$46)-YEAR('融资租赁与资金缺口'!$F$12))*12+MONTH(BI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I$46)-YEAR('融资租赁与资金缺口'!$F$12))*12+MONTH(BI$46)-MONTH('融资租赁与资金缺口'!$F$12)),'融资租赁与资金缺口'!$E$12*(1+'融资租赁与资金缺口'!$I$12)^((YEAR(BI$46)-YEAR('融资租赁与资金缺口'!$F$12))*12+MONTH(BI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I$46)-YEAR('融资租赁与资金缺口'!$F$12))*12+MONTH(BI$46)-MONTH('融资租赁与资金缺口'!$F$12))-1)/'融资租赁与资金缺口'!$I$12))))),IF(BI$46&lt;'融资租赁与资金缺口'!$F$13,0,IF(BI$46='融资租赁与资金缺口'!$F$13,'融资租赁与资金缺口'!$E$13,IF(((YEAR(BI$46)-YEAR('融资租赁与资金缺口'!$F$13))*12+MONTH(BI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I$46)-YEAR('融资租赁与资金缺口'!$F$13))*12+MONTH(BI$46)-MONTH('融资租赁与资金缺口'!$F$13)),'融资租赁与资金缺口'!$E$13*(1+'融资租赁与资金缺口'!$I$13)^((YEAR(BI$46)-YEAR('融资租赁与资金缺口'!$F$13))*12+MONTH(BI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I$46)-YEAR('融资租赁与资金缺口'!$F$13))*12+MONTH(BI$46)-MONTH('融资租赁与资金缺口'!$F$13))-1)/'融资租赁与资金缺口'!$I$13))))),IF(BI$46&lt;'融资租赁与资金缺口'!$F$14,0,IF(BI$46='融资租赁与资金缺口'!$F$14,'融资租赁与资金缺口'!$E$14,IF(((YEAR(BI$46)-YEAR('融资租赁与资金缺口'!$F$14))*12+MONTH(BI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I$46)-YEAR('融资租赁与资金缺口'!$F$14))*12+MONTH(BI$46)-MONTH('融资租赁与资金缺口'!$F$14)),'融资租赁与资金缺口'!$E$14*(1+'融资租赁与资金缺口'!$I$14)^((YEAR(BI$46)-YEAR('融资租赁与资金缺口'!$F$14))*12+MONTH(BI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I$46)-YEAR('融资租赁与资金缺口'!$F$14))*12+MONTH(BI$46)-MONTH('融资租赁与资金缺口'!$F$14))-1)/'融资租赁与资金缺口'!$I$14))))),IF(BI$46&lt;'融资租赁与资金缺口'!$F$15,0,IF(BI$46='融资租赁与资金缺口'!$F$15,'融资租赁与资金缺口'!$E$15,IF(((YEAR(BI$46)-YEAR('融资租赁与资金缺口'!$F$15))*12+MONTH(BI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I$46)-YEAR('融资租赁与资金缺口'!$F$15))*12+MONTH(BI$46)-MONTH('融资租赁与资金缺口'!$F$15)),'融资租赁与资金缺口'!$E$15*(1+'融资租赁与资金缺口'!$I$15)^((YEAR(BI$46)-YEAR('融资租赁与资金缺口'!$F$15))*12+MONTH(BI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I$46)-YEAR('融资租赁与资金缺口'!$F$15))*12+MONTH(BI$46)-MONTH('融资租赁与资金缺口'!$F$15))-1)/'融资租赁与资金缺口'!$I$15))))),IF(BI$46&lt;'融资租赁与资金缺口'!$F$16,0,IF(BI$46='融资租赁与资金缺口'!$F$16,'融资租赁与资金缺口'!$E$16,IF(((YEAR(BI$46)-YEAR('融资租赁与资金缺口'!$F$16))*12+MONTH(BI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I$46)-YEAR('融资租赁与资金缺口'!$F$16))*12+MONTH(BI$46)-MONTH('融资租赁与资金缺口'!$F$16)),'融资租赁与资金缺口'!$E$16*(1+'融资租赁与资金缺口'!$I$16)^((YEAR(BI$46)-YEAR('融资租赁与资金缺口'!$F$16))*12+MONTH(BI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I$46)-YEAR('融资租赁与资金缺口'!$F$16))*12+MONTH(BI$46)-MONTH('融资租赁与资金缺口'!$F$16))-1)/'融资租赁与资金缺口'!$I$16))))))</x:f>
        <x:v>72523159.89032848</x:v>
      </x:c>
      <x:c r="BJ53" s="28" t="n">
        <x:f>SUM(IF(BJ$46&lt;'融资租赁与资金缺口'!$F$5,0,IF(BJ$46='融资租赁与资金缺口'!$F$5,'融资租赁与资金缺口'!$E$5,IF(((YEAR(BJ$46)-YEAR('融资租赁与资金缺口'!$F$5))*12+MONTH(BJ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J$46)-YEAR('融资租赁与资金缺口'!$F$5))*12+MONTH(BJ$46)-MONTH('融资租赁与资金缺口'!$F$5)),'融资租赁与资金缺口'!$E$5*(1+'融资租赁与资金缺口'!$I$5)^((YEAR(BJ$46)-YEAR('融资租赁与资金缺口'!$F$5))*12+MONTH(BJ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J$46)-YEAR('融资租赁与资金缺口'!$F$5))*12+MONTH(BJ$46)-MONTH('融资租赁与资金缺口'!$F$5))-1)/'融资租赁与资金缺口'!$I$5))))),IF(BJ$46&lt;'融资租赁与资金缺口'!$F$6,0,IF(BJ$46='融资租赁与资金缺口'!$F$6,'融资租赁与资金缺口'!$E$6,IF(((YEAR(BJ$46)-YEAR('融资租赁与资金缺口'!$F$6))*12+MONTH(BJ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J$46)-YEAR('融资租赁与资金缺口'!$F$6))*12+MONTH(BJ$46)-MONTH('融资租赁与资金缺口'!$F$6)),'融资租赁与资金缺口'!$E$6*(1+'融资租赁与资金缺口'!$I$6)^((YEAR(BJ$46)-YEAR('融资租赁与资金缺口'!$F$6))*12+MONTH(BJ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J$46)-YEAR('融资租赁与资金缺口'!$F$6))*12+MONTH(BJ$46)-MONTH('融资租赁与资金缺口'!$F$6))-1)/'融资租赁与资金缺口'!$I$6))))),IF(BJ$46&lt;'融资租赁与资金缺口'!$F$7,0,IF(BJ$46='融资租赁与资金缺口'!$F$7,'融资租赁与资金缺口'!$E$7,IF(((YEAR(BJ$46)-YEAR('融资租赁与资金缺口'!$F$7))*12+MONTH(BJ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J$46)-YEAR('融资租赁与资金缺口'!$F$7))*12+MONTH(BJ$46)-MONTH('融资租赁与资金缺口'!$F$7)),'融资租赁与资金缺口'!$E$7*(1+'融资租赁与资金缺口'!$I$7)^((YEAR(BJ$46)-YEAR('融资租赁与资金缺口'!$F$7))*12+MONTH(BJ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J$46)-YEAR('融资租赁与资金缺口'!$F$7))*12+MONTH(BJ$46)-MONTH('融资租赁与资金缺口'!$F$7))-1)/'融资租赁与资金缺口'!$I$7))))),IF(BJ$46&lt;'融资租赁与资金缺口'!$F$8,0,IF(BJ$46='融资租赁与资金缺口'!$F$8,'融资租赁与资金缺口'!$E$8,IF(((YEAR(BJ$46)-YEAR('融资租赁与资金缺口'!$F$8))*12+MONTH(BJ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J$46)-YEAR('融资租赁与资金缺口'!$F$8))*12+MONTH(BJ$46)-MONTH('融资租赁与资金缺口'!$F$8)),'融资租赁与资金缺口'!$E$8*(1+'融资租赁与资金缺口'!$I$8)^((YEAR(BJ$46)-YEAR('融资租赁与资金缺口'!$F$8))*12+MONTH(BJ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J$46)-YEAR('融资租赁与资金缺口'!$F$8))*12+MONTH(BJ$46)-MONTH('融资租赁与资金缺口'!$F$8))-1)/'融资租赁与资金缺口'!$I$8))))),IF(BJ$46&lt;'融资租赁与资金缺口'!$F$9,0,IF(BJ$46='融资租赁与资金缺口'!$F$9,'融资租赁与资金缺口'!$E$9,IF(((YEAR(BJ$46)-YEAR('融资租赁与资金缺口'!$F$9))*12+MONTH(BJ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J$46)-YEAR('融资租赁与资金缺口'!$F$9))*12+MONTH(BJ$46)-MONTH('融资租赁与资金缺口'!$F$9)),'融资租赁与资金缺口'!$E$9*(1+'融资租赁与资金缺口'!$I$9)^((YEAR(BJ$46)-YEAR('融资租赁与资金缺口'!$F$9))*12+MONTH(BJ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J$46)-YEAR('融资租赁与资金缺口'!$F$9))*12+MONTH(BJ$46)-MONTH('融资租赁与资金缺口'!$F$9))-1)/'融资租赁与资金缺口'!$I$9))))),IF(BJ$46&lt;'融资租赁与资金缺口'!$F$10,0,IF(BJ$46='融资租赁与资金缺口'!$F$10,'融资租赁与资金缺口'!$E$10,IF(((YEAR(BJ$46)-YEAR('融资租赁与资金缺口'!$F$10))*12+MONTH(BJ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J$46)-YEAR('融资租赁与资金缺口'!$F$10))*12+MONTH(BJ$46)-MONTH('融资租赁与资金缺口'!$F$10)),'融资租赁与资金缺口'!$E$10*(1+'融资租赁与资金缺口'!$I$10)^((YEAR(BJ$46)-YEAR('融资租赁与资金缺口'!$F$10))*12+MONTH(BJ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J$46)-YEAR('融资租赁与资金缺口'!$F$10))*12+MONTH(BJ$46)-MONTH('融资租赁与资金缺口'!$F$10))-1)/'融资租赁与资金缺口'!$I$10))))),IF(BJ$46&lt;'融资租赁与资金缺口'!$F$11,0,IF(BJ$46='融资租赁与资金缺口'!$F$11,'融资租赁与资金缺口'!$E$11,IF(((YEAR(BJ$46)-YEAR('融资租赁与资金缺口'!$F$11))*12+MONTH(BJ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J$46)-YEAR('融资租赁与资金缺口'!$F$11))*12+MONTH(BJ$46)-MONTH('融资租赁与资金缺口'!$F$11)),'融资租赁与资金缺口'!$E$11*(1+'融资租赁与资金缺口'!$I$11)^((YEAR(BJ$46)-YEAR('融资租赁与资金缺口'!$F$11))*12+MONTH(BJ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J$46)-YEAR('融资租赁与资金缺口'!$F$11))*12+MONTH(BJ$46)-MONTH('融资租赁与资金缺口'!$F$11))-1)/'融资租赁与资金缺口'!$I$11))))),IF(BJ$46&lt;'融资租赁与资金缺口'!$F$12,0,IF(BJ$46='融资租赁与资金缺口'!$F$12,'融资租赁与资金缺口'!$E$12,IF(((YEAR(BJ$46)-YEAR('融资租赁与资金缺口'!$F$12))*12+MONTH(BJ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J$46)-YEAR('融资租赁与资金缺口'!$F$12))*12+MONTH(BJ$46)-MONTH('融资租赁与资金缺口'!$F$12)),'融资租赁与资金缺口'!$E$12*(1+'融资租赁与资金缺口'!$I$12)^((YEAR(BJ$46)-YEAR('融资租赁与资金缺口'!$F$12))*12+MONTH(BJ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J$46)-YEAR('融资租赁与资金缺口'!$F$12))*12+MONTH(BJ$46)-MONTH('融资租赁与资金缺口'!$F$12))-1)/'融资租赁与资金缺口'!$I$12))))),IF(BJ$46&lt;'融资租赁与资金缺口'!$F$13,0,IF(BJ$46='融资租赁与资金缺口'!$F$13,'融资租赁与资金缺口'!$E$13,IF(((YEAR(BJ$46)-YEAR('融资租赁与资金缺口'!$F$13))*12+MONTH(BJ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J$46)-YEAR('融资租赁与资金缺口'!$F$13))*12+MONTH(BJ$46)-MONTH('融资租赁与资金缺口'!$F$13)),'融资租赁与资金缺口'!$E$13*(1+'融资租赁与资金缺口'!$I$13)^((YEAR(BJ$46)-YEAR('融资租赁与资金缺口'!$F$13))*12+MONTH(BJ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J$46)-YEAR('融资租赁与资金缺口'!$F$13))*12+MONTH(BJ$46)-MONTH('融资租赁与资金缺口'!$F$13))-1)/'融资租赁与资金缺口'!$I$13))))),IF(BJ$46&lt;'融资租赁与资金缺口'!$F$14,0,IF(BJ$46='融资租赁与资金缺口'!$F$14,'融资租赁与资金缺口'!$E$14,IF(((YEAR(BJ$46)-YEAR('融资租赁与资金缺口'!$F$14))*12+MONTH(BJ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J$46)-YEAR('融资租赁与资金缺口'!$F$14))*12+MONTH(BJ$46)-MONTH('融资租赁与资金缺口'!$F$14)),'融资租赁与资金缺口'!$E$14*(1+'融资租赁与资金缺口'!$I$14)^((YEAR(BJ$46)-YEAR('融资租赁与资金缺口'!$F$14))*12+MONTH(BJ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J$46)-YEAR('融资租赁与资金缺口'!$F$14))*12+MONTH(BJ$46)-MONTH('融资租赁与资金缺口'!$F$14))-1)/'融资租赁与资金缺口'!$I$14))))),IF(BJ$46&lt;'融资租赁与资金缺口'!$F$15,0,IF(BJ$46='融资租赁与资金缺口'!$F$15,'融资租赁与资金缺口'!$E$15,IF(((YEAR(BJ$46)-YEAR('融资租赁与资金缺口'!$F$15))*12+MONTH(BJ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J$46)-YEAR('融资租赁与资金缺口'!$F$15))*12+MONTH(BJ$46)-MONTH('融资租赁与资金缺口'!$F$15)),'融资租赁与资金缺口'!$E$15*(1+'融资租赁与资金缺口'!$I$15)^((YEAR(BJ$46)-YEAR('融资租赁与资金缺口'!$F$15))*12+MONTH(BJ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J$46)-YEAR('融资租赁与资金缺口'!$F$15))*12+MONTH(BJ$46)-MONTH('融资租赁与资金缺口'!$F$15))-1)/'融资租赁与资金缺口'!$I$15))))),IF(BJ$46&lt;'融资租赁与资金缺口'!$F$16,0,IF(BJ$46='融资租赁与资金缺口'!$F$16,'融资租赁与资金缺口'!$E$16,IF(((YEAR(BJ$46)-YEAR('融资租赁与资金缺口'!$F$16))*12+MONTH(BJ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J$46)-YEAR('融资租赁与资金缺口'!$F$16))*12+MONTH(BJ$46)-MONTH('融资租赁与资金缺口'!$F$16)),'融资租赁与资金缺口'!$E$16*(1+'融资租赁与资金缺口'!$I$16)^((YEAR(BJ$46)-YEAR('融资租赁与资金缺口'!$F$16))*12+MONTH(BJ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J$46)-YEAR('融资租赁与资金缺口'!$F$16))*12+MONTH(BJ$46)-MONTH('融资租赁与资金缺口'!$F$16))-1)/'融资租赁与资金缺口'!$I$16))))))</x:f>
        <x:v>55387140.80192204</x:v>
      </x:c>
      <x:c r="BK53" s="28" t="n">
        <x:f>SUM(IF(BK$46&lt;'融资租赁与资金缺口'!$F$5,0,IF(BK$46='融资租赁与资金缺口'!$F$5,'融资租赁与资金缺口'!$E$5,IF(((YEAR(BK$46)-YEAR('融资租赁与资金缺口'!$F$5))*12+MONTH(BK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K$46)-YEAR('融资租赁与资金缺口'!$F$5))*12+MONTH(BK$46)-MONTH('融资租赁与资金缺口'!$F$5)),'融资租赁与资金缺口'!$E$5*(1+'融资租赁与资金缺口'!$I$5)^((YEAR(BK$46)-YEAR('融资租赁与资金缺口'!$F$5))*12+MONTH(BK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K$46)-YEAR('融资租赁与资金缺口'!$F$5))*12+MONTH(BK$46)-MONTH('融资租赁与资金缺口'!$F$5))-1)/'融资租赁与资金缺口'!$I$5))))),IF(BK$46&lt;'融资租赁与资金缺口'!$F$6,0,IF(BK$46='融资租赁与资金缺口'!$F$6,'融资租赁与资金缺口'!$E$6,IF(((YEAR(BK$46)-YEAR('融资租赁与资金缺口'!$F$6))*12+MONTH(BK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K$46)-YEAR('融资租赁与资金缺口'!$F$6))*12+MONTH(BK$46)-MONTH('融资租赁与资金缺口'!$F$6)),'融资租赁与资金缺口'!$E$6*(1+'融资租赁与资金缺口'!$I$6)^((YEAR(BK$46)-YEAR('融资租赁与资金缺口'!$F$6))*12+MONTH(BK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K$46)-YEAR('融资租赁与资金缺口'!$F$6))*12+MONTH(BK$46)-MONTH('融资租赁与资金缺口'!$F$6))-1)/'融资租赁与资金缺口'!$I$6))))),IF(BK$46&lt;'融资租赁与资金缺口'!$F$7,0,IF(BK$46='融资租赁与资金缺口'!$F$7,'融资租赁与资金缺口'!$E$7,IF(((YEAR(BK$46)-YEAR('融资租赁与资金缺口'!$F$7))*12+MONTH(BK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K$46)-YEAR('融资租赁与资金缺口'!$F$7))*12+MONTH(BK$46)-MONTH('融资租赁与资金缺口'!$F$7)),'融资租赁与资金缺口'!$E$7*(1+'融资租赁与资金缺口'!$I$7)^((YEAR(BK$46)-YEAR('融资租赁与资金缺口'!$F$7))*12+MONTH(BK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K$46)-YEAR('融资租赁与资金缺口'!$F$7))*12+MONTH(BK$46)-MONTH('融资租赁与资金缺口'!$F$7))-1)/'融资租赁与资金缺口'!$I$7))))),IF(BK$46&lt;'融资租赁与资金缺口'!$F$8,0,IF(BK$46='融资租赁与资金缺口'!$F$8,'融资租赁与资金缺口'!$E$8,IF(((YEAR(BK$46)-YEAR('融资租赁与资金缺口'!$F$8))*12+MONTH(BK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K$46)-YEAR('融资租赁与资金缺口'!$F$8))*12+MONTH(BK$46)-MONTH('融资租赁与资金缺口'!$F$8)),'融资租赁与资金缺口'!$E$8*(1+'融资租赁与资金缺口'!$I$8)^((YEAR(BK$46)-YEAR('融资租赁与资金缺口'!$F$8))*12+MONTH(BK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K$46)-YEAR('融资租赁与资金缺口'!$F$8))*12+MONTH(BK$46)-MONTH('融资租赁与资金缺口'!$F$8))-1)/'融资租赁与资金缺口'!$I$8))))),IF(BK$46&lt;'融资租赁与资金缺口'!$F$9,0,IF(BK$46='融资租赁与资金缺口'!$F$9,'融资租赁与资金缺口'!$E$9,IF(((YEAR(BK$46)-YEAR('融资租赁与资金缺口'!$F$9))*12+MONTH(BK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K$46)-YEAR('融资租赁与资金缺口'!$F$9))*12+MONTH(BK$46)-MONTH('融资租赁与资金缺口'!$F$9)),'融资租赁与资金缺口'!$E$9*(1+'融资租赁与资金缺口'!$I$9)^((YEAR(BK$46)-YEAR('融资租赁与资金缺口'!$F$9))*12+MONTH(BK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K$46)-YEAR('融资租赁与资金缺口'!$F$9))*12+MONTH(BK$46)-MONTH('融资租赁与资金缺口'!$F$9))-1)/'融资租赁与资金缺口'!$I$9))))),IF(BK$46&lt;'融资租赁与资金缺口'!$F$10,0,IF(BK$46='融资租赁与资金缺口'!$F$10,'融资租赁与资金缺口'!$E$10,IF(((YEAR(BK$46)-YEAR('融资租赁与资金缺口'!$F$10))*12+MONTH(BK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K$46)-YEAR('融资租赁与资金缺口'!$F$10))*12+MONTH(BK$46)-MONTH('融资租赁与资金缺口'!$F$10)),'融资租赁与资金缺口'!$E$10*(1+'融资租赁与资金缺口'!$I$10)^((YEAR(BK$46)-YEAR('融资租赁与资金缺口'!$F$10))*12+MONTH(BK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K$46)-YEAR('融资租赁与资金缺口'!$F$10))*12+MONTH(BK$46)-MONTH('融资租赁与资金缺口'!$F$10))-1)/'融资租赁与资金缺口'!$I$10))))),IF(BK$46&lt;'融资租赁与资金缺口'!$F$11,0,IF(BK$46='融资租赁与资金缺口'!$F$11,'融资租赁与资金缺口'!$E$11,IF(((YEAR(BK$46)-YEAR('融资租赁与资金缺口'!$F$11))*12+MONTH(BK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K$46)-YEAR('融资租赁与资金缺口'!$F$11))*12+MONTH(BK$46)-MONTH('融资租赁与资金缺口'!$F$11)),'融资租赁与资金缺口'!$E$11*(1+'融资租赁与资金缺口'!$I$11)^((YEAR(BK$46)-YEAR('融资租赁与资金缺口'!$F$11))*12+MONTH(BK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K$46)-YEAR('融资租赁与资金缺口'!$F$11))*12+MONTH(BK$46)-MONTH('融资租赁与资金缺口'!$F$11))-1)/'融资租赁与资金缺口'!$I$11))))),IF(BK$46&lt;'融资租赁与资金缺口'!$F$12,0,IF(BK$46='融资租赁与资金缺口'!$F$12,'融资租赁与资金缺口'!$E$12,IF(((YEAR(BK$46)-YEAR('融资租赁与资金缺口'!$F$12))*12+MONTH(BK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K$46)-YEAR('融资租赁与资金缺口'!$F$12))*12+MONTH(BK$46)-MONTH('融资租赁与资金缺口'!$F$12)),'融资租赁与资金缺口'!$E$12*(1+'融资租赁与资金缺口'!$I$12)^((YEAR(BK$46)-YEAR('融资租赁与资金缺口'!$F$12))*12+MONTH(BK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K$46)-YEAR('融资租赁与资金缺口'!$F$12))*12+MONTH(BK$46)-MONTH('融资租赁与资金缺口'!$F$12))-1)/'融资租赁与资金缺口'!$I$12))))),IF(BK$46&lt;'融资租赁与资金缺口'!$F$13,0,IF(BK$46='融资租赁与资金缺口'!$F$13,'融资租赁与资金缺口'!$E$13,IF(((YEAR(BK$46)-YEAR('融资租赁与资金缺口'!$F$13))*12+MONTH(BK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K$46)-YEAR('融资租赁与资金缺口'!$F$13))*12+MONTH(BK$46)-MONTH('融资租赁与资金缺口'!$F$13)),'融资租赁与资金缺口'!$E$13*(1+'融资租赁与资金缺口'!$I$13)^((YEAR(BK$46)-YEAR('融资租赁与资金缺口'!$F$13))*12+MONTH(BK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K$46)-YEAR('融资租赁与资金缺口'!$F$13))*12+MONTH(BK$46)-MONTH('融资租赁与资金缺口'!$F$13))-1)/'融资租赁与资金缺口'!$I$13))))),IF(BK$46&lt;'融资租赁与资金缺口'!$F$14,0,IF(BK$46='融资租赁与资金缺口'!$F$14,'融资租赁与资金缺口'!$E$14,IF(((YEAR(BK$46)-YEAR('融资租赁与资金缺口'!$F$14))*12+MONTH(BK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K$46)-YEAR('融资租赁与资金缺口'!$F$14))*12+MONTH(BK$46)-MONTH('融资租赁与资金缺口'!$F$14)),'融资租赁与资金缺口'!$E$14*(1+'融资租赁与资金缺口'!$I$14)^((YEAR(BK$46)-YEAR('融资租赁与资金缺口'!$F$14))*12+MONTH(BK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K$46)-YEAR('融资租赁与资金缺口'!$F$14))*12+MONTH(BK$46)-MONTH('融资租赁与资金缺口'!$F$14))-1)/'融资租赁与资金缺口'!$I$14))))),IF(BK$46&lt;'融资租赁与资金缺口'!$F$15,0,IF(BK$46='融资租赁与资金缺口'!$F$15,'融资租赁与资金缺口'!$E$15,IF(((YEAR(BK$46)-YEAR('融资租赁与资金缺口'!$F$15))*12+MONTH(BK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K$46)-YEAR('融资租赁与资金缺口'!$F$15))*12+MONTH(BK$46)-MONTH('融资租赁与资金缺口'!$F$15)),'融资租赁与资金缺口'!$E$15*(1+'融资租赁与资金缺口'!$I$15)^((YEAR(BK$46)-YEAR('融资租赁与资金缺口'!$F$15))*12+MONTH(BK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K$46)-YEAR('融资租赁与资金缺口'!$F$15))*12+MONTH(BK$46)-MONTH('融资租赁与资金缺口'!$F$15))-1)/'融资租赁与资金缺口'!$I$15))))),IF(BK$46&lt;'融资租赁与资金缺口'!$F$16,0,IF(BK$46='融资租赁与资金缺口'!$F$16,'融资租赁与资金缺口'!$E$16,IF(((YEAR(BK$46)-YEAR('融资租赁与资金缺口'!$F$16))*12+MONTH(BK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K$46)-YEAR('融资租赁与资金缺口'!$F$16))*12+MONTH(BK$46)-MONTH('融资租赁与资金缺口'!$F$16)),'融资租赁与资金缺口'!$E$16*(1+'融资租赁与资金缺口'!$I$16)^((YEAR(BK$46)-YEAR('融资租赁与资金缺口'!$F$16))*12+MONTH(BK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K$46)-YEAR('融资租赁与资金缺口'!$F$16))*12+MONTH(BK$46)-MONTH('融资租赁与资金缺口'!$F$16))-1)/'融资租赁与资金缺口'!$I$16))))))</x:f>
        <x:v>40146916.33598494</x:v>
      </x:c>
      <x:c r="BL53" s="28" t="n">
        <x:f>SUM(IF(BL$46&lt;'融资租赁与资金缺口'!$F$5,0,IF(BL$46='融资租赁与资金缺口'!$F$5,'融资租赁与资金缺口'!$E$5,IF(((YEAR(BL$46)-YEAR('融资租赁与资金缺口'!$F$5))*12+MONTH(BL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L$46)-YEAR('融资租赁与资金缺口'!$F$5))*12+MONTH(BL$46)-MONTH('融资租赁与资金缺口'!$F$5)),'融资租赁与资金缺口'!$E$5*(1+'融资租赁与资金缺口'!$I$5)^((YEAR(BL$46)-YEAR('融资租赁与资金缺口'!$F$5))*12+MONTH(BL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L$46)-YEAR('融资租赁与资金缺口'!$F$5))*12+MONTH(BL$46)-MONTH('融资租赁与资金缺口'!$F$5))-1)/'融资租赁与资金缺口'!$I$5))))),IF(BL$46&lt;'融资租赁与资金缺口'!$F$6,0,IF(BL$46='融资租赁与资金缺口'!$F$6,'融资租赁与资金缺口'!$E$6,IF(((YEAR(BL$46)-YEAR('融资租赁与资金缺口'!$F$6))*12+MONTH(BL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L$46)-YEAR('融资租赁与资金缺口'!$F$6))*12+MONTH(BL$46)-MONTH('融资租赁与资金缺口'!$F$6)),'融资租赁与资金缺口'!$E$6*(1+'融资租赁与资金缺口'!$I$6)^((YEAR(BL$46)-YEAR('融资租赁与资金缺口'!$F$6))*12+MONTH(BL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L$46)-YEAR('融资租赁与资金缺口'!$F$6))*12+MONTH(BL$46)-MONTH('融资租赁与资金缺口'!$F$6))-1)/'融资租赁与资金缺口'!$I$6))))),IF(BL$46&lt;'融资租赁与资金缺口'!$F$7,0,IF(BL$46='融资租赁与资金缺口'!$F$7,'融资租赁与资金缺口'!$E$7,IF(((YEAR(BL$46)-YEAR('融资租赁与资金缺口'!$F$7))*12+MONTH(BL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L$46)-YEAR('融资租赁与资金缺口'!$F$7))*12+MONTH(BL$46)-MONTH('融资租赁与资金缺口'!$F$7)),'融资租赁与资金缺口'!$E$7*(1+'融资租赁与资金缺口'!$I$7)^((YEAR(BL$46)-YEAR('融资租赁与资金缺口'!$F$7))*12+MONTH(BL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L$46)-YEAR('融资租赁与资金缺口'!$F$7))*12+MONTH(BL$46)-MONTH('融资租赁与资金缺口'!$F$7))-1)/'融资租赁与资金缺口'!$I$7))))),IF(BL$46&lt;'融资租赁与资金缺口'!$F$8,0,IF(BL$46='融资租赁与资金缺口'!$F$8,'融资租赁与资金缺口'!$E$8,IF(((YEAR(BL$46)-YEAR('融资租赁与资金缺口'!$F$8))*12+MONTH(BL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L$46)-YEAR('融资租赁与资金缺口'!$F$8))*12+MONTH(BL$46)-MONTH('融资租赁与资金缺口'!$F$8)),'融资租赁与资金缺口'!$E$8*(1+'融资租赁与资金缺口'!$I$8)^((YEAR(BL$46)-YEAR('融资租赁与资金缺口'!$F$8))*12+MONTH(BL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L$46)-YEAR('融资租赁与资金缺口'!$F$8))*12+MONTH(BL$46)-MONTH('融资租赁与资金缺口'!$F$8))-1)/'融资租赁与资金缺口'!$I$8))))),IF(BL$46&lt;'融资租赁与资金缺口'!$F$9,0,IF(BL$46='融资租赁与资金缺口'!$F$9,'融资租赁与资金缺口'!$E$9,IF(((YEAR(BL$46)-YEAR('融资租赁与资金缺口'!$F$9))*12+MONTH(BL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L$46)-YEAR('融资租赁与资金缺口'!$F$9))*12+MONTH(BL$46)-MONTH('融资租赁与资金缺口'!$F$9)),'融资租赁与资金缺口'!$E$9*(1+'融资租赁与资金缺口'!$I$9)^((YEAR(BL$46)-YEAR('融资租赁与资金缺口'!$F$9))*12+MONTH(BL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L$46)-YEAR('融资租赁与资金缺口'!$F$9))*12+MONTH(BL$46)-MONTH('融资租赁与资金缺口'!$F$9))-1)/'融资租赁与资金缺口'!$I$9))))),IF(BL$46&lt;'融资租赁与资金缺口'!$F$10,0,IF(BL$46='融资租赁与资金缺口'!$F$10,'融资租赁与资金缺口'!$E$10,IF(((YEAR(BL$46)-YEAR('融资租赁与资金缺口'!$F$10))*12+MONTH(BL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L$46)-YEAR('融资租赁与资金缺口'!$F$10))*12+MONTH(BL$46)-MONTH('融资租赁与资金缺口'!$F$10)),'融资租赁与资金缺口'!$E$10*(1+'融资租赁与资金缺口'!$I$10)^((YEAR(BL$46)-YEAR('融资租赁与资金缺口'!$F$10))*12+MONTH(BL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L$46)-YEAR('融资租赁与资金缺口'!$F$10))*12+MONTH(BL$46)-MONTH('融资租赁与资金缺口'!$F$10))-1)/'融资租赁与资金缺口'!$I$10))))),IF(BL$46&lt;'融资租赁与资金缺口'!$F$11,0,IF(BL$46='融资租赁与资金缺口'!$F$11,'融资租赁与资金缺口'!$E$11,IF(((YEAR(BL$46)-YEAR('融资租赁与资金缺口'!$F$11))*12+MONTH(BL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L$46)-YEAR('融资租赁与资金缺口'!$F$11))*12+MONTH(BL$46)-MONTH('融资租赁与资金缺口'!$F$11)),'融资租赁与资金缺口'!$E$11*(1+'融资租赁与资金缺口'!$I$11)^((YEAR(BL$46)-YEAR('融资租赁与资金缺口'!$F$11))*12+MONTH(BL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L$46)-YEAR('融资租赁与资金缺口'!$F$11))*12+MONTH(BL$46)-MONTH('融资租赁与资金缺口'!$F$11))-1)/'融资租赁与资金缺口'!$I$11))))),IF(BL$46&lt;'融资租赁与资金缺口'!$F$12,0,IF(BL$46='融资租赁与资金缺口'!$F$12,'融资租赁与资金缺口'!$E$12,IF(((YEAR(BL$46)-YEAR('融资租赁与资金缺口'!$F$12))*12+MONTH(BL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L$46)-YEAR('融资租赁与资金缺口'!$F$12))*12+MONTH(BL$46)-MONTH('融资租赁与资金缺口'!$F$12)),'融资租赁与资金缺口'!$E$12*(1+'融资租赁与资金缺口'!$I$12)^((YEAR(BL$46)-YEAR('融资租赁与资金缺口'!$F$12))*12+MONTH(BL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L$46)-YEAR('融资租赁与资金缺口'!$F$12))*12+MONTH(BL$46)-MONTH('融资租赁与资金缺口'!$F$12))-1)/'融资租赁与资金缺口'!$I$12))))),IF(BL$46&lt;'融资租赁与资金缺口'!$F$13,0,IF(BL$46='融资租赁与资金缺口'!$F$13,'融资租赁与资金缺口'!$E$13,IF(((YEAR(BL$46)-YEAR('融资租赁与资金缺口'!$F$13))*12+MONTH(BL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L$46)-YEAR('融资租赁与资金缺口'!$F$13))*12+MONTH(BL$46)-MONTH('融资租赁与资金缺口'!$F$13)),'融资租赁与资金缺口'!$E$13*(1+'融资租赁与资金缺口'!$I$13)^((YEAR(BL$46)-YEAR('融资租赁与资金缺口'!$F$13))*12+MONTH(BL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L$46)-YEAR('融资租赁与资金缺口'!$F$13))*12+MONTH(BL$46)-MONTH('融资租赁与资金缺口'!$F$13))-1)/'融资租赁与资金缺口'!$I$13))))),IF(BL$46&lt;'融资租赁与资金缺口'!$F$14,0,IF(BL$46='融资租赁与资金缺口'!$F$14,'融资租赁与资金缺口'!$E$14,IF(((YEAR(BL$46)-YEAR('融资租赁与资金缺口'!$F$14))*12+MONTH(BL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L$46)-YEAR('融资租赁与资金缺口'!$F$14))*12+MONTH(BL$46)-MONTH('融资租赁与资金缺口'!$F$14)),'融资租赁与资金缺口'!$E$14*(1+'融资租赁与资金缺口'!$I$14)^((YEAR(BL$46)-YEAR('融资租赁与资金缺口'!$F$14))*12+MONTH(BL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L$46)-YEAR('融资租赁与资金缺口'!$F$14))*12+MONTH(BL$46)-MONTH('融资租赁与资金缺口'!$F$14))-1)/'融资租赁与资金缺口'!$I$14))))),IF(BL$46&lt;'融资租赁与资金缺口'!$F$15,0,IF(BL$46='融资租赁与资金缺口'!$F$15,'融资租赁与资金缺口'!$E$15,IF(((YEAR(BL$46)-YEAR('融资租赁与资金缺口'!$F$15))*12+MONTH(BL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L$46)-YEAR('融资租赁与资金缺口'!$F$15))*12+MONTH(BL$46)-MONTH('融资租赁与资金缺口'!$F$15)),'融资租赁与资金缺口'!$E$15*(1+'融资租赁与资金缺口'!$I$15)^((YEAR(BL$46)-YEAR('融资租赁与资金缺口'!$F$15))*12+MONTH(BL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L$46)-YEAR('融资租赁与资金缺口'!$F$15))*12+MONTH(BL$46)-MONTH('融资租赁与资金缺口'!$F$15))-1)/'融资租赁与资金缺口'!$I$15))))),IF(BL$46&lt;'融资租赁与资金缺口'!$F$16,0,IF(BL$46='融资租赁与资金缺口'!$F$16,'融资租赁与资金缺口'!$E$16,IF(((YEAR(BL$46)-YEAR('融资租赁与资金缺口'!$F$16))*12+MONTH(BL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L$46)-YEAR('融资租赁与资金缺口'!$F$16))*12+MONTH(BL$46)-MONTH('融资租赁与资金缺口'!$F$16)),'融资租赁与资金缺口'!$E$16*(1+'融资租赁与资金缺口'!$I$16)^((YEAR(BL$46)-YEAR('融资租赁与资金缺口'!$F$16))*12+MONTH(BL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L$46)-YEAR('融资租赁与资金缺口'!$F$16))*12+MONTH(BL$46)-MONTH('融资租赁与资金缺口'!$F$16))-1)/'融资租赁与资金缺口'!$I$16))))))</x:f>
        <x:v>27061748.181715466</x:v>
      </x:c>
      <x:c r="BM53" s="28" t="n">
        <x:f>SUM(IF(BM$46&lt;'融资租赁与资金缺口'!$F$5,0,IF(BM$46='融资租赁与资金缺口'!$F$5,'融资租赁与资金缺口'!$E$5,IF(((YEAR(BM$46)-YEAR('融资租赁与资金缺口'!$F$5))*12+MONTH(BM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M$46)-YEAR('融资租赁与资金缺口'!$F$5))*12+MONTH(BM$46)-MONTH('融资租赁与资金缺口'!$F$5)),'融资租赁与资金缺口'!$E$5*(1+'融资租赁与资金缺口'!$I$5)^((YEAR(BM$46)-YEAR('融资租赁与资金缺口'!$F$5))*12+MONTH(BM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M$46)-YEAR('融资租赁与资金缺口'!$F$5))*12+MONTH(BM$46)-MONTH('融资租赁与资金缺口'!$F$5))-1)/'融资租赁与资金缺口'!$I$5))))),IF(BM$46&lt;'融资租赁与资金缺口'!$F$6,0,IF(BM$46='融资租赁与资金缺口'!$F$6,'融资租赁与资金缺口'!$E$6,IF(((YEAR(BM$46)-YEAR('融资租赁与资金缺口'!$F$6))*12+MONTH(BM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M$46)-YEAR('融资租赁与资金缺口'!$F$6))*12+MONTH(BM$46)-MONTH('融资租赁与资金缺口'!$F$6)),'融资租赁与资金缺口'!$E$6*(1+'融资租赁与资金缺口'!$I$6)^((YEAR(BM$46)-YEAR('融资租赁与资金缺口'!$F$6))*12+MONTH(BM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M$46)-YEAR('融资租赁与资金缺口'!$F$6))*12+MONTH(BM$46)-MONTH('融资租赁与资金缺口'!$F$6))-1)/'融资租赁与资金缺口'!$I$6))))),IF(BM$46&lt;'融资租赁与资金缺口'!$F$7,0,IF(BM$46='融资租赁与资金缺口'!$F$7,'融资租赁与资金缺口'!$E$7,IF(((YEAR(BM$46)-YEAR('融资租赁与资金缺口'!$F$7))*12+MONTH(BM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M$46)-YEAR('融资租赁与资金缺口'!$F$7))*12+MONTH(BM$46)-MONTH('融资租赁与资金缺口'!$F$7)),'融资租赁与资金缺口'!$E$7*(1+'融资租赁与资金缺口'!$I$7)^((YEAR(BM$46)-YEAR('融资租赁与资金缺口'!$F$7))*12+MONTH(BM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M$46)-YEAR('融资租赁与资金缺口'!$F$7))*12+MONTH(BM$46)-MONTH('融资租赁与资金缺口'!$F$7))-1)/'融资租赁与资金缺口'!$I$7))))),IF(BM$46&lt;'融资租赁与资金缺口'!$F$8,0,IF(BM$46='融资租赁与资金缺口'!$F$8,'融资租赁与资金缺口'!$E$8,IF(((YEAR(BM$46)-YEAR('融资租赁与资金缺口'!$F$8))*12+MONTH(BM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M$46)-YEAR('融资租赁与资金缺口'!$F$8))*12+MONTH(BM$46)-MONTH('融资租赁与资金缺口'!$F$8)),'融资租赁与资金缺口'!$E$8*(1+'融资租赁与资金缺口'!$I$8)^((YEAR(BM$46)-YEAR('融资租赁与资金缺口'!$F$8))*12+MONTH(BM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M$46)-YEAR('融资租赁与资金缺口'!$F$8))*12+MONTH(BM$46)-MONTH('融资租赁与资金缺口'!$F$8))-1)/'融资租赁与资金缺口'!$I$8))))),IF(BM$46&lt;'融资租赁与资金缺口'!$F$9,0,IF(BM$46='融资租赁与资金缺口'!$F$9,'融资租赁与资金缺口'!$E$9,IF(((YEAR(BM$46)-YEAR('融资租赁与资金缺口'!$F$9))*12+MONTH(BM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M$46)-YEAR('融资租赁与资金缺口'!$F$9))*12+MONTH(BM$46)-MONTH('融资租赁与资金缺口'!$F$9)),'融资租赁与资金缺口'!$E$9*(1+'融资租赁与资金缺口'!$I$9)^((YEAR(BM$46)-YEAR('融资租赁与资金缺口'!$F$9))*12+MONTH(BM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M$46)-YEAR('融资租赁与资金缺口'!$F$9))*12+MONTH(BM$46)-MONTH('融资租赁与资金缺口'!$F$9))-1)/'融资租赁与资金缺口'!$I$9))))),IF(BM$46&lt;'融资租赁与资金缺口'!$F$10,0,IF(BM$46='融资租赁与资金缺口'!$F$10,'融资租赁与资金缺口'!$E$10,IF(((YEAR(BM$46)-YEAR('融资租赁与资金缺口'!$F$10))*12+MONTH(BM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M$46)-YEAR('融资租赁与资金缺口'!$F$10))*12+MONTH(BM$46)-MONTH('融资租赁与资金缺口'!$F$10)),'融资租赁与资金缺口'!$E$10*(1+'融资租赁与资金缺口'!$I$10)^((YEAR(BM$46)-YEAR('融资租赁与资金缺口'!$F$10))*12+MONTH(BM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M$46)-YEAR('融资租赁与资金缺口'!$F$10))*12+MONTH(BM$46)-MONTH('融资租赁与资金缺口'!$F$10))-1)/'融资租赁与资金缺口'!$I$10))))),IF(BM$46&lt;'融资租赁与资金缺口'!$F$11,0,IF(BM$46='融资租赁与资金缺口'!$F$11,'融资租赁与资金缺口'!$E$11,IF(((YEAR(BM$46)-YEAR('融资租赁与资金缺口'!$F$11))*12+MONTH(BM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M$46)-YEAR('融资租赁与资金缺口'!$F$11))*12+MONTH(BM$46)-MONTH('融资租赁与资金缺口'!$F$11)),'融资租赁与资金缺口'!$E$11*(1+'融资租赁与资金缺口'!$I$11)^((YEAR(BM$46)-YEAR('融资租赁与资金缺口'!$F$11))*12+MONTH(BM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M$46)-YEAR('融资租赁与资金缺口'!$F$11))*12+MONTH(BM$46)-MONTH('融资租赁与资金缺口'!$F$11))-1)/'融资租赁与资金缺口'!$I$11))))),IF(BM$46&lt;'融资租赁与资金缺口'!$F$12,0,IF(BM$46='融资租赁与资金缺口'!$F$12,'融资租赁与资金缺口'!$E$12,IF(((YEAR(BM$46)-YEAR('融资租赁与资金缺口'!$F$12))*12+MONTH(BM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M$46)-YEAR('融资租赁与资金缺口'!$F$12))*12+MONTH(BM$46)-MONTH('融资租赁与资金缺口'!$F$12)),'融资租赁与资金缺口'!$E$12*(1+'融资租赁与资金缺口'!$I$12)^((YEAR(BM$46)-YEAR('融资租赁与资金缺口'!$F$12))*12+MONTH(BM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M$46)-YEAR('融资租赁与资金缺口'!$F$12))*12+MONTH(BM$46)-MONTH('融资租赁与资金缺口'!$F$12))-1)/'融资租赁与资金缺口'!$I$12))))),IF(BM$46&lt;'融资租赁与资金缺口'!$F$13,0,IF(BM$46='融资租赁与资金缺口'!$F$13,'融资租赁与资金缺口'!$E$13,IF(((YEAR(BM$46)-YEAR('融资租赁与资金缺口'!$F$13))*12+MONTH(BM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M$46)-YEAR('融资租赁与资金缺口'!$F$13))*12+MONTH(BM$46)-MONTH('融资租赁与资金缺口'!$F$13)),'融资租赁与资金缺口'!$E$13*(1+'融资租赁与资金缺口'!$I$13)^((YEAR(BM$46)-YEAR('融资租赁与资金缺口'!$F$13))*12+MONTH(BM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M$46)-YEAR('融资租赁与资金缺口'!$F$13))*12+MONTH(BM$46)-MONTH('融资租赁与资金缺口'!$F$13))-1)/'融资租赁与资金缺口'!$I$13))))),IF(BM$46&lt;'融资租赁与资金缺口'!$F$14,0,IF(BM$46='融资租赁与资金缺口'!$F$14,'融资租赁与资金缺口'!$E$14,IF(((YEAR(BM$46)-YEAR('融资租赁与资金缺口'!$F$14))*12+MONTH(BM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M$46)-YEAR('融资租赁与资金缺口'!$F$14))*12+MONTH(BM$46)-MONTH('融资租赁与资金缺口'!$F$14)),'融资租赁与资金缺口'!$E$14*(1+'融资租赁与资金缺口'!$I$14)^((YEAR(BM$46)-YEAR('融资租赁与资金缺口'!$F$14))*12+MONTH(BM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M$46)-YEAR('融资租赁与资金缺口'!$F$14))*12+MONTH(BM$46)-MONTH('融资租赁与资金缺口'!$F$14))-1)/'融资租赁与资金缺口'!$I$14))))),IF(BM$46&lt;'融资租赁与资金缺口'!$F$15,0,IF(BM$46='融资租赁与资金缺口'!$F$15,'融资租赁与资金缺口'!$E$15,IF(((YEAR(BM$46)-YEAR('融资租赁与资金缺口'!$F$15))*12+MONTH(BM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M$46)-YEAR('融资租赁与资金缺口'!$F$15))*12+MONTH(BM$46)-MONTH('融资租赁与资金缺口'!$F$15)),'融资租赁与资金缺口'!$E$15*(1+'融资租赁与资金缺口'!$I$15)^((YEAR(BM$46)-YEAR('融资租赁与资金缺口'!$F$15))*12+MONTH(BM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M$46)-YEAR('融资租赁与资金缺口'!$F$15))*12+MONTH(BM$46)-MONTH('融资租赁与资金缺口'!$F$15))-1)/'融资租赁与资金缺口'!$I$15))))),IF(BM$46&lt;'融资租赁与资金缺口'!$F$16,0,IF(BM$46='融资租赁与资金缺口'!$F$16,'融资租赁与资金缺口'!$E$16,IF(((YEAR(BM$46)-YEAR('融资租赁与资金缺口'!$F$16))*12+MONTH(BM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M$46)-YEAR('融资租赁与资金缺口'!$F$16))*12+MONTH(BM$46)-MONTH('融资租赁与资金缺口'!$F$16)),'融资租赁与资金缺口'!$E$16*(1+'融资租赁与资金缺口'!$I$16)^((YEAR(BM$46)-YEAR('融资租赁与资金缺口'!$F$16))*12+MONTH(BM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M$46)-YEAR('融资租赁与资金缺口'!$F$16))*12+MONTH(BM$46)-MONTH('融资租赁与资金缺口'!$F$16))-1)/'融资租赁与资金缺口'!$I$16))))))</x:f>
        <x:v>16011963.381191336</x:v>
      </x:c>
      <x:c r="BN53" s="28" t="n">
        <x:f>SUM(IF(BN$46&lt;'融资租赁与资金缺口'!$F$5,0,IF(BN$46='融资租赁与资金缺口'!$F$5,'融资租赁与资金缺口'!$E$5,IF(((YEAR(BN$46)-YEAR('融资租赁与资金缺口'!$F$5))*12+MONTH(BN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N$46)-YEAR('融资租赁与资金缺口'!$F$5))*12+MONTH(BN$46)-MONTH('融资租赁与资金缺口'!$F$5)),'融资租赁与资金缺口'!$E$5*(1+'融资租赁与资金缺口'!$I$5)^((YEAR(BN$46)-YEAR('融资租赁与资金缺口'!$F$5))*12+MONTH(BN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N$46)-YEAR('融资租赁与资金缺口'!$F$5))*12+MONTH(BN$46)-MONTH('融资租赁与资金缺口'!$F$5))-1)/'融资租赁与资金缺口'!$I$5))))),IF(BN$46&lt;'融资租赁与资金缺口'!$F$6,0,IF(BN$46='融资租赁与资金缺口'!$F$6,'融资租赁与资金缺口'!$E$6,IF(((YEAR(BN$46)-YEAR('融资租赁与资金缺口'!$F$6))*12+MONTH(BN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N$46)-YEAR('融资租赁与资金缺口'!$F$6))*12+MONTH(BN$46)-MONTH('融资租赁与资金缺口'!$F$6)),'融资租赁与资金缺口'!$E$6*(1+'融资租赁与资金缺口'!$I$6)^((YEAR(BN$46)-YEAR('融资租赁与资金缺口'!$F$6))*12+MONTH(BN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N$46)-YEAR('融资租赁与资金缺口'!$F$6))*12+MONTH(BN$46)-MONTH('融资租赁与资金缺口'!$F$6))-1)/'融资租赁与资金缺口'!$I$6))))),IF(BN$46&lt;'融资租赁与资金缺口'!$F$7,0,IF(BN$46='融资租赁与资金缺口'!$F$7,'融资租赁与资金缺口'!$E$7,IF(((YEAR(BN$46)-YEAR('融资租赁与资金缺口'!$F$7))*12+MONTH(BN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N$46)-YEAR('融资租赁与资金缺口'!$F$7))*12+MONTH(BN$46)-MONTH('融资租赁与资金缺口'!$F$7)),'融资租赁与资金缺口'!$E$7*(1+'融资租赁与资金缺口'!$I$7)^((YEAR(BN$46)-YEAR('融资租赁与资金缺口'!$F$7))*12+MONTH(BN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N$46)-YEAR('融资租赁与资金缺口'!$F$7))*12+MONTH(BN$46)-MONTH('融资租赁与资金缺口'!$F$7))-1)/'融资租赁与资金缺口'!$I$7))))),IF(BN$46&lt;'融资租赁与资金缺口'!$F$8,0,IF(BN$46='融资租赁与资金缺口'!$F$8,'融资租赁与资金缺口'!$E$8,IF(((YEAR(BN$46)-YEAR('融资租赁与资金缺口'!$F$8))*12+MONTH(BN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N$46)-YEAR('融资租赁与资金缺口'!$F$8))*12+MONTH(BN$46)-MONTH('融资租赁与资金缺口'!$F$8)),'融资租赁与资金缺口'!$E$8*(1+'融资租赁与资金缺口'!$I$8)^((YEAR(BN$46)-YEAR('融资租赁与资金缺口'!$F$8))*12+MONTH(BN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N$46)-YEAR('融资租赁与资金缺口'!$F$8))*12+MONTH(BN$46)-MONTH('融资租赁与资金缺口'!$F$8))-1)/'融资租赁与资金缺口'!$I$8))))),IF(BN$46&lt;'融资租赁与资金缺口'!$F$9,0,IF(BN$46='融资租赁与资金缺口'!$F$9,'融资租赁与资金缺口'!$E$9,IF(((YEAR(BN$46)-YEAR('融资租赁与资金缺口'!$F$9))*12+MONTH(BN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N$46)-YEAR('融资租赁与资金缺口'!$F$9))*12+MONTH(BN$46)-MONTH('融资租赁与资金缺口'!$F$9)),'融资租赁与资金缺口'!$E$9*(1+'融资租赁与资金缺口'!$I$9)^((YEAR(BN$46)-YEAR('融资租赁与资金缺口'!$F$9))*12+MONTH(BN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N$46)-YEAR('融资租赁与资金缺口'!$F$9))*12+MONTH(BN$46)-MONTH('融资租赁与资金缺口'!$F$9))-1)/'融资租赁与资金缺口'!$I$9))))),IF(BN$46&lt;'融资租赁与资金缺口'!$F$10,0,IF(BN$46='融资租赁与资金缺口'!$F$10,'融资租赁与资金缺口'!$E$10,IF(((YEAR(BN$46)-YEAR('融资租赁与资金缺口'!$F$10))*12+MONTH(BN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N$46)-YEAR('融资租赁与资金缺口'!$F$10))*12+MONTH(BN$46)-MONTH('融资租赁与资金缺口'!$F$10)),'融资租赁与资金缺口'!$E$10*(1+'融资租赁与资金缺口'!$I$10)^((YEAR(BN$46)-YEAR('融资租赁与资金缺口'!$F$10))*12+MONTH(BN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N$46)-YEAR('融资租赁与资金缺口'!$F$10))*12+MONTH(BN$46)-MONTH('融资租赁与资金缺口'!$F$10))-1)/'融资租赁与资金缺口'!$I$10))))),IF(BN$46&lt;'融资租赁与资金缺口'!$F$11,0,IF(BN$46='融资租赁与资金缺口'!$F$11,'融资租赁与资金缺口'!$E$11,IF(((YEAR(BN$46)-YEAR('融资租赁与资金缺口'!$F$11))*12+MONTH(BN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N$46)-YEAR('融资租赁与资金缺口'!$F$11))*12+MONTH(BN$46)-MONTH('融资租赁与资金缺口'!$F$11)),'融资租赁与资金缺口'!$E$11*(1+'融资租赁与资金缺口'!$I$11)^((YEAR(BN$46)-YEAR('融资租赁与资金缺口'!$F$11))*12+MONTH(BN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N$46)-YEAR('融资租赁与资金缺口'!$F$11))*12+MONTH(BN$46)-MONTH('融资租赁与资金缺口'!$F$11))-1)/'融资租赁与资金缺口'!$I$11))))),IF(BN$46&lt;'融资租赁与资金缺口'!$F$12,0,IF(BN$46='融资租赁与资金缺口'!$F$12,'融资租赁与资金缺口'!$E$12,IF(((YEAR(BN$46)-YEAR('融资租赁与资金缺口'!$F$12))*12+MONTH(BN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N$46)-YEAR('融资租赁与资金缺口'!$F$12))*12+MONTH(BN$46)-MONTH('融资租赁与资金缺口'!$F$12)),'融资租赁与资金缺口'!$E$12*(1+'融资租赁与资金缺口'!$I$12)^((YEAR(BN$46)-YEAR('融资租赁与资金缺口'!$F$12))*12+MONTH(BN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N$46)-YEAR('融资租赁与资金缺口'!$F$12))*12+MONTH(BN$46)-MONTH('融资租赁与资金缺口'!$F$12))-1)/'融资租赁与资金缺口'!$I$12))))),IF(BN$46&lt;'融资租赁与资金缺口'!$F$13,0,IF(BN$46='融资租赁与资金缺口'!$F$13,'融资租赁与资金缺口'!$E$13,IF(((YEAR(BN$46)-YEAR('融资租赁与资金缺口'!$F$13))*12+MONTH(BN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N$46)-YEAR('融资租赁与资金缺口'!$F$13))*12+MONTH(BN$46)-MONTH('融资租赁与资金缺口'!$F$13)),'融资租赁与资金缺口'!$E$13*(1+'融资租赁与资金缺口'!$I$13)^((YEAR(BN$46)-YEAR('融资租赁与资金缺口'!$F$13))*12+MONTH(BN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N$46)-YEAR('融资租赁与资金缺口'!$F$13))*12+MONTH(BN$46)-MONTH('融资租赁与资金缺口'!$F$13))-1)/'融资租赁与资金缺口'!$I$13))))),IF(BN$46&lt;'融资租赁与资金缺口'!$F$14,0,IF(BN$46='融资租赁与资金缺口'!$F$14,'融资租赁与资金缺口'!$E$14,IF(((YEAR(BN$46)-YEAR('融资租赁与资金缺口'!$F$14))*12+MONTH(BN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N$46)-YEAR('融资租赁与资金缺口'!$F$14))*12+MONTH(BN$46)-MONTH('融资租赁与资金缺口'!$F$14)),'融资租赁与资金缺口'!$E$14*(1+'融资租赁与资金缺口'!$I$14)^((YEAR(BN$46)-YEAR('融资租赁与资金缺口'!$F$14))*12+MONTH(BN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N$46)-YEAR('融资租赁与资金缺口'!$F$14))*12+MONTH(BN$46)-MONTH('融资租赁与资金缺口'!$F$14))-1)/'融资租赁与资金缺口'!$I$14))))),IF(BN$46&lt;'融资租赁与资金缺口'!$F$15,0,IF(BN$46='融资租赁与资金缺口'!$F$15,'融资租赁与资金缺口'!$E$15,IF(((YEAR(BN$46)-YEAR('融资租赁与资金缺口'!$F$15))*12+MONTH(BN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N$46)-YEAR('融资租赁与资金缺口'!$F$15))*12+MONTH(BN$46)-MONTH('融资租赁与资金缺口'!$F$15)),'融资租赁与资金缺口'!$E$15*(1+'融资租赁与资金缺口'!$I$15)^((YEAR(BN$46)-YEAR('融资租赁与资金缺口'!$F$15))*12+MONTH(BN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N$46)-YEAR('融资租赁与资金缺口'!$F$15))*12+MONTH(BN$46)-MONTH('融资租赁与资金缺口'!$F$15))-1)/'融资租赁与资金缺口'!$I$15))))),IF(BN$46&lt;'融资租赁与资金缺口'!$F$16,0,IF(BN$46='融资租赁与资金缺口'!$F$16,'融资租赁与资金缺口'!$E$16,IF(((YEAR(BN$46)-YEAR('融资租赁与资金缺口'!$F$16))*12+MONTH(BN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N$46)-YEAR('融资租赁与资金缺口'!$F$16))*12+MONTH(BN$46)-MONTH('融资租赁与资金缺口'!$F$16)),'融资租赁与资金缺口'!$E$16*(1+'融资租赁与资金缺口'!$I$16)^((YEAR(BN$46)-YEAR('融资租赁与资金缺口'!$F$16))*12+MONTH(BN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N$46)-YEAR('融资租赁与资金缺口'!$F$16))*12+MONTH(BN$46)-MONTH('融资租赁与资金缺口'!$F$16))-1)/'融资租赁与资金缺口'!$I$16))))))</x:f>
        <x:v>7708519.105302721</x:v>
      </x:c>
      <x:c r="BO53" s="28" t="n">
        <x:f>SUM(IF(BO$46&lt;'融资租赁与资金缺口'!$F$5,0,IF(BO$46='融资租赁与资金缺口'!$F$5,'融资租赁与资金缺口'!$E$5,IF(((YEAR(BO$46)-YEAR('融资租赁与资金缺口'!$F$5))*12+MONTH(BO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O$46)-YEAR('融资租赁与资金缺口'!$F$5))*12+MONTH(BO$46)-MONTH('融资租赁与资金缺口'!$F$5)),'融资租赁与资金缺口'!$E$5*(1+'融资租赁与资金缺口'!$I$5)^((YEAR(BO$46)-YEAR('融资租赁与资金缺口'!$F$5))*12+MONTH(BO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O$46)-YEAR('融资租赁与资金缺口'!$F$5))*12+MONTH(BO$46)-MONTH('融资租赁与资金缺口'!$F$5))-1)/'融资租赁与资金缺口'!$I$5))))),IF(BO$46&lt;'融资租赁与资金缺口'!$F$6,0,IF(BO$46='融资租赁与资金缺口'!$F$6,'融资租赁与资金缺口'!$E$6,IF(((YEAR(BO$46)-YEAR('融资租赁与资金缺口'!$F$6))*12+MONTH(BO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O$46)-YEAR('融资租赁与资金缺口'!$F$6))*12+MONTH(BO$46)-MONTH('融资租赁与资金缺口'!$F$6)),'融资租赁与资金缺口'!$E$6*(1+'融资租赁与资金缺口'!$I$6)^((YEAR(BO$46)-YEAR('融资租赁与资金缺口'!$F$6))*12+MONTH(BO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O$46)-YEAR('融资租赁与资金缺口'!$F$6))*12+MONTH(BO$46)-MONTH('融资租赁与资金缺口'!$F$6))-1)/'融资租赁与资金缺口'!$I$6))))),IF(BO$46&lt;'融资租赁与资金缺口'!$F$7,0,IF(BO$46='融资租赁与资金缺口'!$F$7,'融资租赁与资金缺口'!$E$7,IF(((YEAR(BO$46)-YEAR('融资租赁与资金缺口'!$F$7))*12+MONTH(BO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O$46)-YEAR('融资租赁与资金缺口'!$F$7))*12+MONTH(BO$46)-MONTH('融资租赁与资金缺口'!$F$7)),'融资租赁与资金缺口'!$E$7*(1+'融资租赁与资金缺口'!$I$7)^((YEAR(BO$46)-YEAR('融资租赁与资金缺口'!$F$7))*12+MONTH(BO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O$46)-YEAR('融资租赁与资金缺口'!$F$7))*12+MONTH(BO$46)-MONTH('融资租赁与资金缺口'!$F$7))-1)/'融资租赁与资金缺口'!$I$7))))),IF(BO$46&lt;'融资租赁与资金缺口'!$F$8,0,IF(BO$46='融资租赁与资金缺口'!$F$8,'融资租赁与资金缺口'!$E$8,IF(((YEAR(BO$46)-YEAR('融资租赁与资金缺口'!$F$8))*12+MONTH(BO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O$46)-YEAR('融资租赁与资金缺口'!$F$8))*12+MONTH(BO$46)-MONTH('融资租赁与资金缺口'!$F$8)),'融资租赁与资金缺口'!$E$8*(1+'融资租赁与资金缺口'!$I$8)^((YEAR(BO$46)-YEAR('融资租赁与资金缺口'!$F$8))*12+MONTH(BO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O$46)-YEAR('融资租赁与资金缺口'!$F$8))*12+MONTH(BO$46)-MONTH('融资租赁与资金缺口'!$F$8))-1)/'融资租赁与资金缺口'!$I$8))))),IF(BO$46&lt;'融资租赁与资金缺口'!$F$9,0,IF(BO$46='融资租赁与资金缺口'!$F$9,'融资租赁与资金缺口'!$E$9,IF(((YEAR(BO$46)-YEAR('融资租赁与资金缺口'!$F$9))*12+MONTH(BO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O$46)-YEAR('融资租赁与资金缺口'!$F$9))*12+MONTH(BO$46)-MONTH('融资租赁与资金缺口'!$F$9)),'融资租赁与资金缺口'!$E$9*(1+'融资租赁与资金缺口'!$I$9)^((YEAR(BO$46)-YEAR('融资租赁与资金缺口'!$F$9))*12+MONTH(BO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O$46)-YEAR('融资租赁与资金缺口'!$F$9))*12+MONTH(BO$46)-MONTH('融资租赁与资金缺口'!$F$9))-1)/'融资租赁与资金缺口'!$I$9))))),IF(BO$46&lt;'融资租赁与资金缺口'!$F$10,0,IF(BO$46='融资租赁与资金缺口'!$F$10,'融资租赁与资金缺口'!$E$10,IF(((YEAR(BO$46)-YEAR('融资租赁与资金缺口'!$F$10))*12+MONTH(BO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O$46)-YEAR('融资租赁与资金缺口'!$F$10))*12+MONTH(BO$46)-MONTH('融资租赁与资金缺口'!$F$10)),'融资租赁与资金缺口'!$E$10*(1+'融资租赁与资金缺口'!$I$10)^((YEAR(BO$46)-YEAR('融资租赁与资金缺口'!$F$10))*12+MONTH(BO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O$46)-YEAR('融资租赁与资金缺口'!$F$10))*12+MONTH(BO$46)-MONTH('融资租赁与资金缺口'!$F$10))-1)/'融资租赁与资金缺口'!$I$10))))),IF(BO$46&lt;'融资租赁与资金缺口'!$F$11,0,IF(BO$46='融资租赁与资金缺口'!$F$11,'融资租赁与资金缺口'!$E$11,IF(((YEAR(BO$46)-YEAR('融资租赁与资金缺口'!$F$11))*12+MONTH(BO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O$46)-YEAR('融资租赁与资金缺口'!$F$11))*12+MONTH(BO$46)-MONTH('融资租赁与资金缺口'!$F$11)),'融资租赁与资金缺口'!$E$11*(1+'融资租赁与资金缺口'!$I$11)^((YEAR(BO$46)-YEAR('融资租赁与资金缺口'!$F$11))*12+MONTH(BO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O$46)-YEAR('融资租赁与资金缺口'!$F$11))*12+MONTH(BO$46)-MONTH('融资租赁与资金缺口'!$F$11))-1)/'融资租赁与资金缺口'!$I$11))))),IF(BO$46&lt;'融资租赁与资金缺口'!$F$12,0,IF(BO$46='融资租赁与资金缺口'!$F$12,'融资租赁与资金缺口'!$E$12,IF(((YEAR(BO$46)-YEAR('融资租赁与资金缺口'!$F$12))*12+MONTH(BO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O$46)-YEAR('融资租赁与资金缺口'!$F$12))*12+MONTH(BO$46)-MONTH('融资租赁与资金缺口'!$F$12)),'融资租赁与资金缺口'!$E$12*(1+'融资租赁与资金缺口'!$I$12)^((YEAR(BO$46)-YEAR('融资租赁与资金缺口'!$F$12))*12+MONTH(BO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O$46)-YEAR('融资租赁与资金缺口'!$F$12))*12+MONTH(BO$46)-MONTH('融资租赁与资金缺口'!$F$12))-1)/'融资租赁与资金缺口'!$I$12))))),IF(BO$46&lt;'融资租赁与资金缺口'!$F$13,0,IF(BO$46='融资租赁与资金缺口'!$F$13,'融资租赁与资金缺口'!$E$13,IF(((YEAR(BO$46)-YEAR('融资租赁与资金缺口'!$F$13))*12+MONTH(BO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O$46)-YEAR('融资租赁与资金缺口'!$F$13))*12+MONTH(BO$46)-MONTH('融资租赁与资金缺口'!$F$13)),'融资租赁与资金缺口'!$E$13*(1+'融资租赁与资金缺口'!$I$13)^((YEAR(BO$46)-YEAR('融资租赁与资金缺口'!$F$13))*12+MONTH(BO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O$46)-YEAR('融资租赁与资金缺口'!$F$13))*12+MONTH(BO$46)-MONTH('融资租赁与资金缺口'!$F$13))-1)/'融资租赁与资金缺口'!$I$13))))),IF(BO$46&lt;'融资租赁与资金缺口'!$F$14,0,IF(BO$46='融资租赁与资金缺口'!$F$14,'融资租赁与资金缺口'!$E$14,IF(((YEAR(BO$46)-YEAR('融资租赁与资金缺口'!$F$14))*12+MONTH(BO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O$46)-YEAR('融资租赁与资金缺口'!$F$14))*12+MONTH(BO$46)-MONTH('融资租赁与资金缺口'!$F$14)),'融资租赁与资金缺口'!$E$14*(1+'融资租赁与资金缺口'!$I$14)^((YEAR(BO$46)-YEAR('融资租赁与资金缺口'!$F$14))*12+MONTH(BO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O$46)-YEAR('融资租赁与资金缺口'!$F$14))*12+MONTH(BO$46)-MONTH('融资租赁与资金缺口'!$F$14))-1)/'融资租赁与资金缺口'!$I$14))))),IF(BO$46&lt;'融资租赁与资金缺口'!$F$15,0,IF(BO$46='融资租赁与资金缺口'!$F$15,'融资租赁与资金缺口'!$E$15,IF(((YEAR(BO$46)-YEAR('融资租赁与资金缺口'!$F$15))*12+MONTH(BO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O$46)-YEAR('融资租赁与资金缺口'!$F$15))*12+MONTH(BO$46)-MONTH('融资租赁与资金缺口'!$F$15)),'融资租赁与资金缺口'!$E$15*(1+'融资租赁与资金缺口'!$I$15)^((YEAR(BO$46)-YEAR('融资租赁与资金缺口'!$F$15))*12+MONTH(BO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O$46)-YEAR('融资租赁与资金缺口'!$F$15))*12+MONTH(BO$46)-MONTH('融资租赁与资金缺口'!$F$15))-1)/'融资租赁与资金缺口'!$I$15))))),IF(BO$46&lt;'融资租赁与资金缺口'!$F$16,0,IF(BO$46='融资租赁与资金缺口'!$F$16,'融资租赁与资金缺口'!$E$16,IF(((YEAR(BO$46)-YEAR('融资租赁与资金缺口'!$F$16))*12+MONTH(BO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O$46)-YEAR('融资租赁与资金缺口'!$F$16))*12+MONTH(BO$46)-MONTH('融资租赁与资金缺口'!$F$16)),'融资租赁与资金缺口'!$E$16*(1+'融资租赁与资金缺口'!$I$16)^((YEAR(BO$46)-YEAR('融资租赁与资金缺口'!$F$16))*12+MONTH(BO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O$46)-YEAR('融资租赁与资金缺口'!$F$16))*12+MONTH(BO$46)-MONTH('融资租赁与资金缺口'!$F$16))-1)/'融资租赁与资金缺口'!$I$16))))))</x:f>
        <x:v>2451532.2858010232</x:v>
      </x:c>
      <x:c r="BP53" s="28" t="n">
        <x:f>SUM(IF(BP$46&lt;'融资租赁与资金缺口'!$F$5,0,IF(BP$46='融资租赁与资金缺口'!$F$5,'融资租赁与资金缺口'!$E$5,IF(((YEAR(BP$46)-YEAR('融资租赁与资金缺口'!$F$5))*12+MONTH(BP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P$46)-YEAR('融资租赁与资金缺口'!$F$5))*12+MONTH(BP$46)-MONTH('融资租赁与资金缺口'!$F$5)),'融资租赁与资金缺口'!$E$5*(1+'融资租赁与资金缺口'!$I$5)^((YEAR(BP$46)-YEAR('融资租赁与资金缺口'!$F$5))*12+MONTH(BP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P$46)-YEAR('融资租赁与资金缺口'!$F$5))*12+MONTH(BP$46)-MONTH('融资租赁与资金缺口'!$F$5))-1)/'融资租赁与资金缺口'!$I$5))))),IF(BP$46&lt;'融资租赁与资金缺口'!$F$6,0,IF(BP$46='融资租赁与资金缺口'!$F$6,'融资租赁与资金缺口'!$E$6,IF(((YEAR(BP$46)-YEAR('融资租赁与资金缺口'!$F$6))*12+MONTH(BP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P$46)-YEAR('融资租赁与资金缺口'!$F$6))*12+MONTH(BP$46)-MONTH('融资租赁与资金缺口'!$F$6)),'融资租赁与资金缺口'!$E$6*(1+'融资租赁与资金缺口'!$I$6)^((YEAR(BP$46)-YEAR('融资租赁与资金缺口'!$F$6))*12+MONTH(BP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P$46)-YEAR('融资租赁与资金缺口'!$F$6))*12+MONTH(BP$46)-MONTH('融资租赁与资金缺口'!$F$6))-1)/'融资租赁与资金缺口'!$I$6))))),IF(BP$46&lt;'融资租赁与资金缺口'!$F$7,0,IF(BP$46='融资租赁与资金缺口'!$F$7,'融资租赁与资金缺口'!$E$7,IF(((YEAR(BP$46)-YEAR('融资租赁与资金缺口'!$F$7))*12+MONTH(BP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P$46)-YEAR('融资租赁与资金缺口'!$F$7))*12+MONTH(BP$46)-MONTH('融资租赁与资金缺口'!$F$7)),'融资租赁与资金缺口'!$E$7*(1+'融资租赁与资金缺口'!$I$7)^((YEAR(BP$46)-YEAR('融资租赁与资金缺口'!$F$7))*12+MONTH(BP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P$46)-YEAR('融资租赁与资金缺口'!$F$7))*12+MONTH(BP$46)-MONTH('融资租赁与资金缺口'!$F$7))-1)/'融资租赁与资金缺口'!$I$7))))),IF(BP$46&lt;'融资租赁与资金缺口'!$F$8,0,IF(BP$46='融资租赁与资金缺口'!$F$8,'融资租赁与资金缺口'!$E$8,IF(((YEAR(BP$46)-YEAR('融资租赁与资金缺口'!$F$8))*12+MONTH(BP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P$46)-YEAR('融资租赁与资金缺口'!$F$8))*12+MONTH(BP$46)-MONTH('融资租赁与资金缺口'!$F$8)),'融资租赁与资金缺口'!$E$8*(1+'融资租赁与资金缺口'!$I$8)^((YEAR(BP$46)-YEAR('融资租赁与资金缺口'!$F$8))*12+MONTH(BP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P$46)-YEAR('融资租赁与资金缺口'!$F$8))*12+MONTH(BP$46)-MONTH('融资租赁与资金缺口'!$F$8))-1)/'融资租赁与资金缺口'!$I$8))))),IF(BP$46&lt;'融资租赁与资金缺口'!$F$9,0,IF(BP$46='融资租赁与资金缺口'!$F$9,'融资租赁与资金缺口'!$E$9,IF(((YEAR(BP$46)-YEAR('融资租赁与资金缺口'!$F$9))*12+MONTH(BP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P$46)-YEAR('融资租赁与资金缺口'!$F$9))*12+MONTH(BP$46)-MONTH('融资租赁与资金缺口'!$F$9)),'融资租赁与资金缺口'!$E$9*(1+'融资租赁与资金缺口'!$I$9)^((YEAR(BP$46)-YEAR('融资租赁与资金缺口'!$F$9))*12+MONTH(BP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P$46)-YEAR('融资租赁与资金缺口'!$F$9))*12+MONTH(BP$46)-MONTH('融资租赁与资金缺口'!$F$9))-1)/'融资租赁与资金缺口'!$I$9))))),IF(BP$46&lt;'融资租赁与资金缺口'!$F$10,0,IF(BP$46='融资租赁与资金缺口'!$F$10,'融资租赁与资金缺口'!$E$10,IF(((YEAR(BP$46)-YEAR('融资租赁与资金缺口'!$F$10))*12+MONTH(BP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P$46)-YEAR('融资租赁与资金缺口'!$F$10))*12+MONTH(BP$46)-MONTH('融资租赁与资金缺口'!$F$10)),'融资租赁与资金缺口'!$E$10*(1+'融资租赁与资金缺口'!$I$10)^((YEAR(BP$46)-YEAR('融资租赁与资金缺口'!$F$10))*12+MONTH(BP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P$46)-YEAR('融资租赁与资金缺口'!$F$10))*12+MONTH(BP$46)-MONTH('融资租赁与资金缺口'!$F$10))-1)/'融资租赁与资金缺口'!$I$10))))),IF(BP$46&lt;'融资租赁与资金缺口'!$F$11,0,IF(BP$46='融资租赁与资金缺口'!$F$11,'融资租赁与资金缺口'!$E$11,IF(((YEAR(BP$46)-YEAR('融资租赁与资金缺口'!$F$11))*12+MONTH(BP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P$46)-YEAR('融资租赁与资金缺口'!$F$11))*12+MONTH(BP$46)-MONTH('融资租赁与资金缺口'!$F$11)),'融资租赁与资金缺口'!$E$11*(1+'融资租赁与资金缺口'!$I$11)^((YEAR(BP$46)-YEAR('融资租赁与资金缺口'!$F$11))*12+MONTH(BP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P$46)-YEAR('融资租赁与资金缺口'!$F$11))*12+MONTH(BP$46)-MONTH('融资租赁与资金缺口'!$F$11))-1)/'融资租赁与资金缺口'!$I$11))))),IF(BP$46&lt;'融资租赁与资金缺口'!$F$12,0,IF(BP$46='融资租赁与资金缺口'!$F$12,'融资租赁与资金缺口'!$E$12,IF(((YEAR(BP$46)-YEAR('融资租赁与资金缺口'!$F$12))*12+MONTH(BP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P$46)-YEAR('融资租赁与资金缺口'!$F$12))*12+MONTH(BP$46)-MONTH('融资租赁与资金缺口'!$F$12)),'融资租赁与资金缺口'!$E$12*(1+'融资租赁与资金缺口'!$I$12)^((YEAR(BP$46)-YEAR('融资租赁与资金缺口'!$F$12))*12+MONTH(BP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P$46)-YEAR('融资租赁与资金缺口'!$F$12))*12+MONTH(BP$46)-MONTH('融资租赁与资金缺口'!$F$12))-1)/'融资租赁与资金缺口'!$I$12))))),IF(BP$46&lt;'融资租赁与资金缺口'!$F$13,0,IF(BP$46='融资租赁与资金缺口'!$F$13,'融资租赁与资金缺口'!$E$13,IF(((YEAR(BP$46)-YEAR('融资租赁与资金缺口'!$F$13))*12+MONTH(BP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P$46)-YEAR('融资租赁与资金缺口'!$F$13))*12+MONTH(BP$46)-MONTH('融资租赁与资金缺口'!$F$13)),'融资租赁与资金缺口'!$E$13*(1+'融资租赁与资金缺口'!$I$13)^((YEAR(BP$46)-YEAR('融资租赁与资金缺口'!$F$13))*12+MONTH(BP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P$46)-YEAR('融资租赁与资金缺口'!$F$13))*12+MONTH(BP$46)-MONTH('融资租赁与资金缺口'!$F$13))-1)/'融资租赁与资金缺口'!$I$13))))),IF(BP$46&lt;'融资租赁与资金缺口'!$F$14,0,IF(BP$46='融资租赁与资金缺口'!$F$14,'融资租赁与资金缺口'!$E$14,IF(((YEAR(BP$46)-YEAR('融资租赁与资金缺口'!$F$14))*12+MONTH(BP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P$46)-YEAR('融资租赁与资金缺口'!$F$14))*12+MONTH(BP$46)-MONTH('融资租赁与资金缺口'!$F$14)),'融资租赁与资金缺口'!$E$14*(1+'融资租赁与资金缺口'!$I$14)^((YEAR(BP$46)-YEAR('融资租赁与资金缺口'!$F$14))*12+MONTH(BP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P$46)-YEAR('融资租赁与资金缺口'!$F$14))*12+MONTH(BP$46)-MONTH('融资租赁与资金缺口'!$F$14))-1)/'融资租赁与资金缺口'!$I$14))))),IF(BP$46&lt;'融资租赁与资金缺口'!$F$15,0,IF(BP$46='融资租赁与资金缺口'!$F$15,'融资租赁与资金缺口'!$E$15,IF(((YEAR(BP$46)-YEAR('融资租赁与资金缺口'!$F$15))*12+MONTH(BP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P$46)-YEAR('融资租赁与资金缺口'!$F$15))*12+MONTH(BP$46)-MONTH('融资租赁与资金缺口'!$F$15)),'融资租赁与资金缺口'!$E$15*(1+'融资租赁与资金缺口'!$I$15)^((YEAR(BP$46)-YEAR('融资租赁与资金缺口'!$F$15))*12+MONTH(BP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P$46)-YEAR('融资租赁与资金缺口'!$F$15))*12+MONTH(BP$46)-MONTH('融资租赁与资金缺口'!$F$15))-1)/'融资租赁与资金缺口'!$I$15))))),IF(BP$46&lt;'融资租赁与资金缺口'!$F$16,0,IF(BP$46='融资租赁与资金缺口'!$F$16,'融资租赁与资金缺口'!$E$16,IF(((YEAR(BP$46)-YEAR('融资租赁与资金缺口'!$F$16))*12+MONTH(BP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P$46)-YEAR('融资租赁与资金缺口'!$F$16))*12+MONTH(BP$46)-MONTH('融资租赁与资金缺口'!$F$16)),'融资租赁与资金缺口'!$E$16*(1+'融资租赁与资金缺口'!$I$16)^((YEAR(BP$46)-YEAR('融资租赁与资金缺口'!$F$16))*12+MONTH(BP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P$46)-YEAR('融资租赁与资金缺口'!$F$16))*12+MONTH(BP$46)-MONTH('融资租赁与资金缺口'!$F$16))-1)/'融资租赁与资金缺口'!$I$16))))))</x:f>
        <x:v>0</x:v>
      </x:c>
      <x:c r="BQ53" s="28" t="n">
        <x:f>SUM(IF(BQ$46&lt;'融资租赁与资金缺口'!$F$5,0,IF(BQ$46='融资租赁与资金缺口'!$F$5,'融资租赁与资金缺口'!$E$5,IF(((YEAR(BQ$46)-YEAR('融资租赁与资金缺口'!$F$5))*12+MONTH(BQ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Q$46)-YEAR('融资租赁与资金缺口'!$F$5))*12+MONTH(BQ$46)-MONTH('融资租赁与资金缺口'!$F$5)),'融资租赁与资金缺口'!$E$5*(1+'融资租赁与资金缺口'!$I$5)^((YEAR(BQ$46)-YEAR('融资租赁与资金缺口'!$F$5))*12+MONTH(BQ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Q$46)-YEAR('融资租赁与资金缺口'!$F$5))*12+MONTH(BQ$46)-MONTH('融资租赁与资金缺口'!$F$5))-1)/'融资租赁与资金缺口'!$I$5))))),IF(BQ$46&lt;'融资租赁与资金缺口'!$F$6,0,IF(BQ$46='融资租赁与资金缺口'!$F$6,'融资租赁与资金缺口'!$E$6,IF(((YEAR(BQ$46)-YEAR('融资租赁与资金缺口'!$F$6))*12+MONTH(BQ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Q$46)-YEAR('融资租赁与资金缺口'!$F$6))*12+MONTH(BQ$46)-MONTH('融资租赁与资金缺口'!$F$6)),'融资租赁与资金缺口'!$E$6*(1+'融资租赁与资金缺口'!$I$6)^((YEAR(BQ$46)-YEAR('融资租赁与资金缺口'!$F$6))*12+MONTH(BQ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Q$46)-YEAR('融资租赁与资金缺口'!$F$6))*12+MONTH(BQ$46)-MONTH('融资租赁与资金缺口'!$F$6))-1)/'融资租赁与资金缺口'!$I$6))))),IF(BQ$46&lt;'融资租赁与资金缺口'!$F$7,0,IF(BQ$46='融资租赁与资金缺口'!$F$7,'融资租赁与资金缺口'!$E$7,IF(((YEAR(BQ$46)-YEAR('融资租赁与资金缺口'!$F$7))*12+MONTH(BQ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Q$46)-YEAR('融资租赁与资金缺口'!$F$7))*12+MONTH(BQ$46)-MONTH('融资租赁与资金缺口'!$F$7)),'融资租赁与资金缺口'!$E$7*(1+'融资租赁与资金缺口'!$I$7)^((YEAR(BQ$46)-YEAR('融资租赁与资金缺口'!$F$7))*12+MONTH(BQ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Q$46)-YEAR('融资租赁与资金缺口'!$F$7))*12+MONTH(BQ$46)-MONTH('融资租赁与资金缺口'!$F$7))-1)/'融资租赁与资金缺口'!$I$7))))),IF(BQ$46&lt;'融资租赁与资金缺口'!$F$8,0,IF(BQ$46='融资租赁与资金缺口'!$F$8,'融资租赁与资金缺口'!$E$8,IF(((YEAR(BQ$46)-YEAR('融资租赁与资金缺口'!$F$8))*12+MONTH(BQ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Q$46)-YEAR('融资租赁与资金缺口'!$F$8))*12+MONTH(BQ$46)-MONTH('融资租赁与资金缺口'!$F$8)),'融资租赁与资金缺口'!$E$8*(1+'融资租赁与资金缺口'!$I$8)^((YEAR(BQ$46)-YEAR('融资租赁与资金缺口'!$F$8))*12+MONTH(BQ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Q$46)-YEAR('融资租赁与资金缺口'!$F$8))*12+MONTH(BQ$46)-MONTH('融资租赁与资金缺口'!$F$8))-1)/'融资租赁与资金缺口'!$I$8))))),IF(BQ$46&lt;'融资租赁与资金缺口'!$F$9,0,IF(BQ$46='融资租赁与资金缺口'!$F$9,'融资租赁与资金缺口'!$E$9,IF(((YEAR(BQ$46)-YEAR('融资租赁与资金缺口'!$F$9))*12+MONTH(BQ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Q$46)-YEAR('融资租赁与资金缺口'!$F$9))*12+MONTH(BQ$46)-MONTH('融资租赁与资金缺口'!$F$9)),'融资租赁与资金缺口'!$E$9*(1+'融资租赁与资金缺口'!$I$9)^((YEAR(BQ$46)-YEAR('融资租赁与资金缺口'!$F$9))*12+MONTH(BQ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Q$46)-YEAR('融资租赁与资金缺口'!$F$9))*12+MONTH(BQ$46)-MONTH('融资租赁与资金缺口'!$F$9))-1)/'融资租赁与资金缺口'!$I$9))))),IF(BQ$46&lt;'融资租赁与资金缺口'!$F$10,0,IF(BQ$46='融资租赁与资金缺口'!$F$10,'融资租赁与资金缺口'!$E$10,IF(((YEAR(BQ$46)-YEAR('融资租赁与资金缺口'!$F$10))*12+MONTH(BQ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Q$46)-YEAR('融资租赁与资金缺口'!$F$10))*12+MONTH(BQ$46)-MONTH('融资租赁与资金缺口'!$F$10)),'融资租赁与资金缺口'!$E$10*(1+'融资租赁与资金缺口'!$I$10)^((YEAR(BQ$46)-YEAR('融资租赁与资金缺口'!$F$10))*12+MONTH(BQ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Q$46)-YEAR('融资租赁与资金缺口'!$F$10))*12+MONTH(BQ$46)-MONTH('融资租赁与资金缺口'!$F$10))-1)/'融资租赁与资金缺口'!$I$10))))),IF(BQ$46&lt;'融资租赁与资金缺口'!$F$11,0,IF(BQ$46='融资租赁与资金缺口'!$F$11,'融资租赁与资金缺口'!$E$11,IF(((YEAR(BQ$46)-YEAR('融资租赁与资金缺口'!$F$11))*12+MONTH(BQ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Q$46)-YEAR('融资租赁与资金缺口'!$F$11))*12+MONTH(BQ$46)-MONTH('融资租赁与资金缺口'!$F$11)),'融资租赁与资金缺口'!$E$11*(1+'融资租赁与资金缺口'!$I$11)^((YEAR(BQ$46)-YEAR('融资租赁与资金缺口'!$F$11))*12+MONTH(BQ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Q$46)-YEAR('融资租赁与资金缺口'!$F$11))*12+MONTH(BQ$46)-MONTH('融资租赁与资金缺口'!$F$11))-1)/'融资租赁与资金缺口'!$I$11))))),IF(BQ$46&lt;'融资租赁与资金缺口'!$F$12,0,IF(BQ$46='融资租赁与资金缺口'!$F$12,'融资租赁与资金缺口'!$E$12,IF(((YEAR(BQ$46)-YEAR('融资租赁与资金缺口'!$F$12))*12+MONTH(BQ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Q$46)-YEAR('融资租赁与资金缺口'!$F$12))*12+MONTH(BQ$46)-MONTH('融资租赁与资金缺口'!$F$12)),'融资租赁与资金缺口'!$E$12*(1+'融资租赁与资金缺口'!$I$12)^((YEAR(BQ$46)-YEAR('融资租赁与资金缺口'!$F$12))*12+MONTH(BQ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Q$46)-YEAR('融资租赁与资金缺口'!$F$12))*12+MONTH(BQ$46)-MONTH('融资租赁与资金缺口'!$F$12))-1)/'融资租赁与资金缺口'!$I$12))))),IF(BQ$46&lt;'融资租赁与资金缺口'!$F$13,0,IF(BQ$46='融资租赁与资金缺口'!$F$13,'融资租赁与资金缺口'!$E$13,IF(((YEAR(BQ$46)-YEAR('融资租赁与资金缺口'!$F$13))*12+MONTH(BQ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Q$46)-YEAR('融资租赁与资金缺口'!$F$13))*12+MONTH(BQ$46)-MONTH('融资租赁与资金缺口'!$F$13)),'融资租赁与资金缺口'!$E$13*(1+'融资租赁与资金缺口'!$I$13)^((YEAR(BQ$46)-YEAR('融资租赁与资金缺口'!$F$13))*12+MONTH(BQ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Q$46)-YEAR('融资租赁与资金缺口'!$F$13))*12+MONTH(BQ$46)-MONTH('融资租赁与资金缺口'!$F$13))-1)/'融资租赁与资金缺口'!$I$13))))),IF(BQ$46&lt;'融资租赁与资金缺口'!$F$14,0,IF(BQ$46='融资租赁与资金缺口'!$F$14,'融资租赁与资金缺口'!$E$14,IF(((YEAR(BQ$46)-YEAR('融资租赁与资金缺口'!$F$14))*12+MONTH(BQ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Q$46)-YEAR('融资租赁与资金缺口'!$F$14))*12+MONTH(BQ$46)-MONTH('融资租赁与资金缺口'!$F$14)),'融资租赁与资金缺口'!$E$14*(1+'融资租赁与资金缺口'!$I$14)^((YEAR(BQ$46)-YEAR('融资租赁与资金缺口'!$F$14))*12+MONTH(BQ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Q$46)-YEAR('融资租赁与资金缺口'!$F$14))*12+MONTH(BQ$46)-MONTH('融资租赁与资金缺口'!$F$14))-1)/'融资租赁与资金缺口'!$I$14))))),IF(BQ$46&lt;'融资租赁与资金缺口'!$F$15,0,IF(BQ$46='融资租赁与资金缺口'!$F$15,'融资租赁与资金缺口'!$E$15,IF(((YEAR(BQ$46)-YEAR('融资租赁与资金缺口'!$F$15))*12+MONTH(BQ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Q$46)-YEAR('融资租赁与资金缺口'!$F$15))*12+MONTH(BQ$46)-MONTH('融资租赁与资金缺口'!$F$15)),'融资租赁与资金缺口'!$E$15*(1+'融资租赁与资金缺口'!$I$15)^((YEAR(BQ$46)-YEAR('融资租赁与资金缺口'!$F$15))*12+MONTH(BQ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Q$46)-YEAR('融资租赁与资金缺口'!$F$15))*12+MONTH(BQ$46)-MONTH('融资租赁与资金缺口'!$F$15))-1)/'融资租赁与资金缺口'!$I$15))))),IF(BQ$46&lt;'融资租赁与资金缺口'!$F$16,0,IF(BQ$46='融资租赁与资金缺口'!$F$16,'融资租赁与资金缺口'!$E$16,IF(((YEAR(BQ$46)-YEAR('融资租赁与资金缺口'!$F$16))*12+MONTH(BQ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Q$46)-YEAR('融资租赁与资金缺口'!$F$16))*12+MONTH(BQ$46)-MONTH('融资租赁与资金缺口'!$F$16)),'融资租赁与资金缺口'!$E$16*(1+'融资租赁与资金缺口'!$I$16)^((YEAR(BQ$46)-YEAR('融资租赁与资金缺口'!$F$16))*12+MONTH(BQ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Q$46)-YEAR('融资租赁与资金缺口'!$F$16))*12+MONTH(BQ$46)-MONTH('融资租赁与资金缺口'!$F$16))-1)/'融资租赁与资金缺口'!$I$16))))))</x:f>
        <x:v>0</x:v>
      </x:c>
      <x:c r="BR53" s="28" t="n">
        <x:f>SUM(IF(BR$46&lt;'融资租赁与资金缺口'!$F$5,0,IF(BR$46='融资租赁与资金缺口'!$F$5,'融资租赁与资金缺口'!$E$5,IF(((YEAR(BR$46)-YEAR('融资租赁与资金缺口'!$F$5))*12+MONTH(BR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R$46)-YEAR('融资租赁与资金缺口'!$F$5))*12+MONTH(BR$46)-MONTH('融资租赁与资金缺口'!$F$5)),'融资租赁与资金缺口'!$E$5*(1+'融资租赁与资金缺口'!$I$5)^((YEAR(BR$46)-YEAR('融资租赁与资金缺口'!$F$5))*12+MONTH(BR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R$46)-YEAR('融资租赁与资金缺口'!$F$5))*12+MONTH(BR$46)-MONTH('融资租赁与资金缺口'!$F$5))-1)/'融资租赁与资金缺口'!$I$5))))),IF(BR$46&lt;'融资租赁与资金缺口'!$F$6,0,IF(BR$46='融资租赁与资金缺口'!$F$6,'融资租赁与资金缺口'!$E$6,IF(((YEAR(BR$46)-YEAR('融资租赁与资金缺口'!$F$6))*12+MONTH(BR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R$46)-YEAR('融资租赁与资金缺口'!$F$6))*12+MONTH(BR$46)-MONTH('融资租赁与资金缺口'!$F$6)),'融资租赁与资金缺口'!$E$6*(1+'融资租赁与资金缺口'!$I$6)^((YEAR(BR$46)-YEAR('融资租赁与资金缺口'!$F$6))*12+MONTH(BR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R$46)-YEAR('融资租赁与资金缺口'!$F$6))*12+MONTH(BR$46)-MONTH('融资租赁与资金缺口'!$F$6))-1)/'融资租赁与资金缺口'!$I$6))))),IF(BR$46&lt;'融资租赁与资金缺口'!$F$7,0,IF(BR$46='融资租赁与资金缺口'!$F$7,'融资租赁与资金缺口'!$E$7,IF(((YEAR(BR$46)-YEAR('融资租赁与资金缺口'!$F$7))*12+MONTH(BR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R$46)-YEAR('融资租赁与资金缺口'!$F$7))*12+MONTH(BR$46)-MONTH('融资租赁与资金缺口'!$F$7)),'融资租赁与资金缺口'!$E$7*(1+'融资租赁与资金缺口'!$I$7)^((YEAR(BR$46)-YEAR('融资租赁与资金缺口'!$F$7))*12+MONTH(BR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R$46)-YEAR('融资租赁与资金缺口'!$F$7))*12+MONTH(BR$46)-MONTH('融资租赁与资金缺口'!$F$7))-1)/'融资租赁与资金缺口'!$I$7))))),IF(BR$46&lt;'融资租赁与资金缺口'!$F$8,0,IF(BR$46='融资租赁与资金缺口'!$F$8,'融资租赁与资金缺口'!$E$8,IF(((YEAR(BR$46)-YEAR('融资租赁与资金缺口'!$F$8))*12+MONTH(BR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R$46)-YEAR('融资租赁与资金缺口'!$F$8))*12+MONTH(BR$46)-MONTH('融资租赁与资金缺口'!$F$8)),'融资租赁与资金缺口'!$E$8*(1+'融资租赁与资金缺口'!$I$8)^((YEAR(BR$46)-YEAR('融资租赁与资金缺口'!$F$8))*12+MONTH(BR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R$46)-YEAR('融资租赁与资金缺口'!$F$8))*12+MONTH(BR$46)-MONTH('融资租赁与资金缺口'!$F$8))-1)/'融资租赁与资金缺口'!$I$8))))),IF(BR$46&lt;'融资租赁与资金缺口'!$F$9,0,IF(BR$46='融资租赁与资金缺口'!$F$9,'融资租赁与资金缺口'!$E$9,IF(((YEAR(BR$46)-YEAR('融资租赁与资金缺口'!$F$9))*12+MONTH(BR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R$46)-YEAR('融资租赁与资金缺口'!$F$9))*12+MONTH(BR$46)-MONTH('融资租赁与资金缺口'!$F$9)),'融资租赁与资金缺口'!$E$9*(1+'融资租赁与资金缺口'!$I$9)^((YEAR(BR$46)-YEAR('融资租赁与资金缺口'!$F$9))*12+MONTH(BR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R$46)-YEAR('融资租赁与资金缺口'!$F$9))*12+MONTH(BR$46)-MONTH('融资租赁与资金缺口'!$F$9))-1)/'融资租赁与资金缺口'!$I$9))))),IF(BR$46&lt;'融资租赁与资金缺口'!$F$10,0,IF(BR$46='融资租赁与资金缺口'!$F$10,'融资租赁与资金缺口'!$E$10,IF(((YEAR(BR$46)-YEAR('融资租赁与资金缺口'!$F$10))*12+MONTH(BR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R$46)-YEAR('融资租赁与资金缺口'!$F$10))*12+MONTH(BR$46)-MONTH('融资租赁与资金缺口'!$F$10)),'融资租赁与资金缺口'!$E$10*(1+'融资租赁与资金缺口'!$I$10)^((YEAR(BR$46)-YEAR('融资租赁与资金缺口'!$F$10))*12+MONTH(BR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R$46)-YEAR('融资租赁与资金缺口'!$F$10))*12+MONTH(BR$46)-MONTH('融资租赁与资金缺口'!$F$10))-1)/'融资租赁与资金缺口'!$I$10))))),IF(BR$46&lt;'融资租赁与资金缺口'!$F$11,0,IF(BR$46='融资租赁与资金缺口'!$F$11,'融资租赁与资金缺口'!$E$11,IF(((YEAR(BR$46)-YEAR('融资租赁与资金缺口'!$F$11))*12+MONTH(BR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R$46)-YEAR('融资租赁与资金缺口'!$F$11))*12+MONTH(BR$46)-MONTH('融资租赁与资金缺口'!$F$11)),'融资租赁与资金缺口'!$E$11*(1+'融资租赁与资金缺口'!$I$11)^((YEAR(BR$46)-YEAR('融资租赁与资金缺口'!$F$11))*12+MONTH(BR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R$46)-YEAR('融资租赁与资金缺口'!$F$11))*12+MONTH(BR$46)-MONTH('融资租赁与资金缺口'!$F$11))-1)/'融资租赁与资金缺口'!$I$11))))),IF(BR$46&lt;'融资租赁与资金缺口'!$F$12,0,IF(BR$46='融资租赁与资金缺口'!$F$12,'融资租赁与资金缺口'!$E$12,IF(((YEAR(BR$46)-YEAR('融资租赁与资金缺口'!$F$12))*12+MONTH(BR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R$46)-YEAR('融资租赁与资金缺口'!$F$12))*12+MONTH(BR$46)-MONTH('融资租赁与资金缺口'!$F$12)),'融资租赁与资金缺口'!$E$12*(1+'融资租赁与资金缺口'!$I$12)^((YEAR(BR$46)-YEAR('融资租赁与资金缺口'!$F$12))*12+MONTH(BR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R$46)-YEAR('融资租赁与资金缺口'!$F$12))*12+MONTH(BR$46)-MONTH('融资租赁与资金缺口'!$F$12))-1)/'融资租赁与资金缺口'!$I$12))))),IF(BR$46&lt;'融资租赁与资金缺口'!$F$13,0,IF(BR$46='融资租赁与资金缺口'!$F$13,'融资租赁与资金缺口'!$E$13,IF(((YEAR(BR$46)-YEAR('融资租赁与资金缺口'!$F$13))*12+MONTH(BR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R$46)-YEAR('融资租赁与资金缺口'!$F$13))*12+MONTH(BR$46)-MONTH('融资租赁与资金缺口'!$F$13)),'融资租赁与资金缺口'!$E$13*(1+'融资租赁与资金缺口'!$I$13)^((YEAR(BR$46)-YEAR('融资租赁与资金缺口'!$F$13))*12+MONTH(BR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R$46)-YEAR('融资租赁与资金缺口'!$F$13))*12+MONTH(BR$46)-MONTH('融资租赁与资金缺口'!$F$13))-1)/'融资租赁与资金缺口'!$I$13))))),IF(BR$46&lt;'融资租赁与资金缺口'!$F$14,0,IF(BR$46='融资租赁与资金缺口'!$F$14,'融资租赁与资金缺口'!$E$14,IF(((YEAR(BR$46)-YEAR('融资租赁与资金缺口'!$F$14))*12+MONTH(BR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R$46)-YEAR('融资租赁与资金缺口'!$F$14))*12+MONTH(BR$46)-MONTH('融资租赁与资金缺口'!$F$14)),'融资租赁与资金缺口'!$E$14*(1+'融资租赁与资金缺口'!$I$14)^((YEAR(BR$46)-YEAR('融资租赁与资金缺口'!$F$14))*12+MONTH(BR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R$46)-YEAR('融资租赁与资金缺口'!$F$14))*12+MONTH(BR$46)-MONTH('融资租赁与资金缺口'!$F$14))-1)/'融资租赁与资金缺口'!$I$14))))),IF(BR$46&lt;'融资租赁与资金缺口'!$F$15,0,IF(BR$46='融资租赁与资金缺口'!$F$15,'融资租赁与资金缺口'!$E$15,IF(((YEAR(BR$46)-YEAR('融资租赁与资金缺口'!$F$15))*12+MONTH(BR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R$46)-YEAR('融资租赁与资金缺口'!$F$15))*12+MONTH(BR$46)-MONTH('融资租赁与资金缺口'!$F$15)),'融资租赁与资金缺口'!$E$15*(1+'融资租赁与资金缺口'!$I$15)^((YEAR(BR$46)-YEAR('融资租赁与资金缺口'!$F$15))*12+MONTH(BR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R$46)-YEAR('融资租赁与资金缺口'!$F$15))*12+MONTH(BR$46)-MONTH('融资租赁与资金缺口'!$F$15))-1)/'融资租赁与资金缺口'!$I$15))))),IF(BR$46&lt;'融资租赁与资金缺口'!$F$16,0,IF(BR$46='融资租赁与资金缺口'!$F$16,'融资租赁与资金缺口'!$E$16,IF(((YEAR(BR$46)-YEAR('融资租赁与资金缺口'!$F$16))*12+MONTH(BR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R$46)-YEAR('融资租赁与资金缺口'!$F$16))*12+MONTH(BR$46)-MONTH('融资租赁与资金缺口'!$F$16)),'融资租赁与资金缺口'!$E$16*(1+'融资租赁与资金缺口'!$I$16)^((YEAR(BR$46)-YEAR('融资租赁与资金缺口'!$F$16))*12+MONTH(BR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R$46)-YEAR('融资租赁与资金缺口'!$F$16))*12+MONTH(BR$46)-MONTH('融资租赁与资金缺口'!$F$16))-1)/'融资租赁与资金缺口'!$I$16))))))</x:f>
        <x:v>0</x:v>
      </x:c>
      <x:c r="BS53" s="28" t="n">
        <x:f>SUM(IF(BS$46&lt;'融资租赁与资金缺口'!$F$5,0,IF(BS$46='融资租赁与资金缺口'!$F$5,'融资租赁与资金缺口'!$E$5,IF(((YEAR(BS$46)-YEAR('融资租赁与资金缺口'!$F$5))*12+MONTH(BS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S$46)-YEAR('融资租赁与资金缺口'!$F$5))*12+MONTH(BS$46)-MONTH('融资租赁与资金缺口'!$F$5)),'融资租赁与资金缺口'!$E$5*(1+'融资租赁与资金缺口'!$I$5)^((YEAR(BS$46)-YEAR('融资租赁与资金缺口'!$F$5))*12+MONTH(BS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S$46)-YEAR('融资租赁与资金缺口'!$F$5))*12+MONTH(BS$46)-MONTH('融资租赁与资金缺口'!$F$5))-1)/'融资租赁与资金缺口'!$I$5))))),IF(BS$46&lt;'融资租赁与资金缺口'!$F$6,0,IF(BS$46='融资租赁与资金缺口'!$F$6,'融资租赁与资金缺口'!$E$6,IF(((YEAR(BS$46)-YEAR('融资租赁与资金缺口'!$F$6))*12+MONTH(BS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S$46)-YEAR('融资租赁与资金缺口'!$F$6))*12+MONTH(BS$46)-MONTH('融资租赁与资金缺口'!$F$6)),'融资租赁与资金缺口'!$E$6*(1+'融资租赁与资金缺口'!$I$6)^((YEAR(BS$46)-YEAR('融资租赁与资金缺口'!$F$6))*12+MONTH(BS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S$46)-YEAR('融资租赁与资金缺口'!$F$6))*12+MONTH(BS$46)-MONTH('融资租赁与资金缺口'!$F$6))-1)/'融资租赁与资金缺口'!$I$6))))),IF(BS$46&lt;'融资租赁与资金缺口'!$F$7,0,IF(BS$46='融资租赁与资金缺口'!$F$7,'融资租赁与资金缺口'!$E$7,IF(((YEAR(BS$46)-YEAR('融资租赁与资金缺口'!$F$7))*12+MONTH(BS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S$46)-YEAR('融资租赁与资金缺口'!$F$7))*12+MONTH(BS$46)-MONTH('融资租赁与资金缺口'!$F$7)),'融资租赁与资金缺口'!$E$7*(1+'融资租赁与资金缺口'!$I$7)^((YEAR(BS$46)-YEAR('融资租赁与资金缺口'!$F$7))*12+MONTH(BS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S$46)-YEAR('融资租赁与资金缺口'!$F$7))*12+MONTH(BS$46)-MONTH('融资租赁与资金缺口'!$F$7))-1)/'融资租赁与资金缺口'!$I$7))))),IF(BS$46&lt;'融资租赁与资金缺口'!$F$8,0,IF(BS$46='融资租赁与资金缺口'!$F$8,'融资租赁与资金缺口'!$E$8,IF(((YEAR(BS$46)-YEAR('融资租赁与资金缺口'!$F$8))*12+MONTH(BS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S$46)-YEAR('融资租赁与资金缺口'!$F$8))*12+MONTH(BS$46)-MONTH('融资租赁与资金缺口'!$F$8)),'融资租赁与资金缺口'!$E$8*(1+'融资租赁与资金缺口'!$I$8)^((YEAR(BS$46)-YEAR('融资租赁与资金缺口'!$F$8))*12+MONTH(BS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S$46)-YEAR('融资租赁与资金缺口'!$F$8))*12+MONTH(BS$46)-MONTH('融资租赁与资金缺口'!$F$8))-1)/'融资租赁与资金缺口'!$I$8))))),IF(BS$46&lt;'融资租赁与资金缺口'!$F$9,0,IF(BS$46='融资租赁与资金缺口'!$F$9,'融资租赁与资金缺口'!$E$9,IF(((YEAR(BS$46)-YEAR('融资租赁与资金缺口'!$F$9))*12+MONTH(BS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S$46)-YEAR('融资租赁与资金缺口'!$F$9))*12+MONTH(BS$46)-MONTH('融资租赁与资金缺口'!$F$9)),'融资租赁与资金缺口'!$E$9*(1+'融资租赁与资金缺口'!$I$9)^((YEAR(BS$46)-YEAR('融资租赁与资金缺口'!$F$9))*12+MONTH(BS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S$46)-YEAR('融资租赁与资金缺口'!$F$9))*12+MONTH(BS$46)-MONTH('融资租赁与资金缺口'!$F$9))-1)/'融资租赁与资金缺口'!$I$9))))),IF(BS$46&lt;'融资租赁与资金缺口'!$F$10,0,IF(BS$46='融资租赁与资金缺口'!$F$10,'融资租赁与资金缺口'!$E$10,IF(((YEAR(BS$46)-YEAR('融资租赁与资金缺口'!$F$10))*12+MONTH(BS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S$46)-YEAR('融资租赁与资金缺口'!$F$10))*12+MONTH(BS$46)-MONTH('融资租赁与资金缺口'!$F$10)),'融资租赁与资金缺口'!$E$10*(1+'融资租赁与资金缺口'!$I$10)^((YEAR(BS$46)-YEAR('融资租赁与资金缺口'!$F$10))*12+MONTH(BS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S$46)-YEAR('融资租赁与资金缺口'!$F$10))*12+MONTH(BS$46)-MONTH('融资租赁与资金缺口'!$F$10))-1)/'融资租赁与资金缺口'!$I$10))))),IF(BS$46&lt;'融资租赁与资金缺口'!$F$11,0,IF(BS$46='融资租赁与资金缺口'!$F$11,'融资租赁与资金缺口'!$E$11,IF(((YEAR(BS$46)-YEAR('融资租赁与资金缺口'!$F$11))*12+MONTH(BS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S$46)-YEAR('融资租赁与资金缺口'!$F$11))*12+MONTH(BS$46)-MONTH('融资租赁与资金缺口'!$F$11)),'融资租赁与资金缺口'!$E$11*(1+'融资租赁与资金缺口'!$I$11)^((YEAR(BS$46)-YEAR('融资租赁与资金缺口'!$F$11))*12+MONTH(BS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S$46)-YEAR('融资租赁与资金缺口'!$F$11))*12+MONTH(BS$46)-MONTH('融资租赁与资金缺口'!$F$11))-1)/'融资租赁与资金缺口'!$I$11))))),IF(BS$46&lt;'融资租赁与资金缺口'!$F$12,0,IF(BS$46='融资租赁与资金缺口'!$F$12,'融资租赁与资金缺口'!$E$12,IF(((YEAR(BS$46)-YEAR('融资租赁与资金缺口'!$F$12))*12+MONTH(BS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S$46)-YEAR('融资租赁与资金缺口'!$F$12))*12+MONTH(BS$46)-MONTH('融资租赁与资金缺口'!$F$12)),'融资租赁与资金缺口'!$E$12*(1+'融资租赁与资金缺口'!$I$12)^((YEAR(BS$46)-YEAR('融资租赁与资金缺口'!$F$12))*12+MONTH(BS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S$46)-YEAR('融资租赁与资金缺口'!$F$12))*12+MONTH(BS$46)-MONTH('融资租赁与资金缺口'!$F$12))-1)/'融资租赁与资金缺口'!$I$12))))),IF(BS$46&lt;'融资租赁与资金缺口'!$F$13,0,IF(BS$46='融资租赁与资金缺口'!$F$13,'融资租赁与资金缺口'!$E$13,IF(((YEAR(BS$46)-YEAR('融资租赁与资金缺口'!$F$13))*12+MONTH(BS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S$46)-YEAR('融资租赁与资金缺口'!$F$13))*12+MONTH(BS$46)-MONTH('融资租赁与资金缺口'!$F$13)),'融资租赁与资金缺口'!$E$13*(1+'融资租赁与资金缺口'!$I$13)^((YEAR(BS$46)-YEAR('融资租赁与资金缺口'!$F$13))*12+MONTH(BS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S$46)-YEAR('融资租赁与资金缺口'!$F$13))*12+MONTH(BS$46)-MONTH('融资租赁与资金缺口'!$F$13))-1)/'融资租赁与资金缺口'!$I$13))))),IF(BS$46&lt;'融资租赁与资金缺口'!$F$14,0,IF(BS$46='融资租赁与资金缺口'!$F$14,'融资租赁与资金缺口'!$E$14,IF(((YEAR(BS$46)-YEAR('融资租赁与资金缺口'!$F$14))*12+MONTH(BS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S$46)-YEAR('融资租赁与资金缺口'!$F$14))*12+MONTH(BS$46)-MONTH('融资租赁与资金缺口'!$F$14)),'融资租赁与资金缺口'!$E$14*(1+'融资租赁与资金缺口'!$I$14)^((YEAR(BS$46)-YEAR('融资租赁与资金缺口'!$F$14))*12+MONTH(BS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S$46)-YEAR('融资租赁与资金缺口'!$F$14))*12+MONTH(BS$46)-MONTH('融资租赁与资金缺口'!$F$14))-1)/'融资租赁与资金缺口'!$I$14))))),IF(BS$46&lt;'融资租赁与资金缺口'!$F$15,0,IF(BS$46='融资租赁与资金缺口'!$F$15,'融资租赁与资金缺口'!$E$15,IF(((YEAR(BS$46)-YEAR('融资租赁与资金缺口'!$F$15))*12+MONTH(BS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S$46)-YEAR('融资租赁与资金缺口'!$F$15))*12+MONTH(BS$46)-MONTH('融资租赁与资金缺口'!$F$15)),'融资租赁与资金缺口'!$E$15*(1+'融资租赁与资金缺口'!$I$15)^((YEAR(BS$46)-YEAR('融资租赁与资金缺口'!$F$15))*12+MONTH(BS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S$46)-YEAR('融资租赁与资金缺口'!$F$15))*12+MONTH(BS$46)-MONTH('融资租赁与资金缺口'!$F$15))-1)/'融资租赁与资金缺口'!$I$15))))),IF(BS$46&lt;'融资租赁与资金缺口'!$F$16,0,IF(BS$46='融资租赁与资金缺口'!$F$16,'融资租赁与资金缺口'!$E$16,IF(((YEAR(BS$46)-YEAR('融资租赁与资金缺口'!$F$16))*12+MONTH(BS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S$46)-YEAR('融资租赁与资金缺口'!$F$16))*12+MONTH(BS$46)-MONTH('融资租赁与资金缺口'!$F$16)),'融资租赁与资金缺口'!$E$16*(1+'融资租赁与资金缺口'!$I$16)^((YEAR(BS$46)-YEAR('融资租赁与资金缺口'!$F$16))*12+MONTH(BS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S$46)-YEAR('融资租赁与资金缺口'!$F$16))*12+MONTH(BS$46)-MONTH('融资租赁与资金缺口'!$F$16))-1)/'融资租赁与资金缺口'!$I$16))))))</x:f>
        <x:v>0</x:v>
      </x:c>
      <x:c r="BT53" s="28" t="n">
        <x:f>SUM(IF(BT$46&lt;'融资租赁与资金缺口'!$F$5,0,IF(BT$46='融资租赁与资金缺口'!$F$5,'融资租赁与资金缺口'!$E$5,IF(((YEAR(BT$46)-YEAR('融资租赁与资金缺口'!$F$5))*12+MONTH(BT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T$46)-YEAR('融资租赁与资金缺口'!$F$5))*12+MONTH(BT$46)-MONTH('融资租赁与资金缺口'!$F$5)),'融资租赁与资金缺口'!$E$5*(1+'融资租赁与资金缺口'!$I$5)^((YEAR(BT$46)-YEAR('融资租赁与资金缺口'!$F$5))*12+MONTH(BT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T$46)-YEAR('融资租赁与资金缺口'!$F$5))*12+MONTH(BT$46)-MONTH('融资租赁与资金缺口'!$F$5))-1)/'融资租赁与资金缺口'!$I$5))))),IF(BT$46&lt;'融资租赁与资金缺口'!$F$6,0,IF(BT$46='融资租赁与资金缺口'!$F$6,'融资租赁与资金缺口'!$E$6,IF(((YEAR(BT$46)-YEAR('融资租赁与资金缺口'!$F$6))*12+MONTH(BT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T$46)-YEAR('融资租赁与资金缺口'!$F$6))*12+MONTH(BT$46)-MONTH('融资租赁与资金缺口'!$F$6)),'融资租赁与资金缺口'!$E$6*(1+'融资租赁与资金缺口'!$I$6)^((YEAR(BT$46)-YEAR('融资租赁与资金缺口'!$F$6))*12+MONTH(BT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T$46)-YEAR('融资租赁与资金缺口'!$F$6))*12+MONTH(BT$46)-MONTH('融资租赁与资金缺口'!$F$6))-1)/'融资租赁与资金缺口'!$I$6))))),IF(BT$46&lt;'融资租赁与资金缺口'!$F$7,0,IF(BT$46='融资租赁与资金缺口'!$F$7,'融资租赁与资金缺口'!$E$7,IF(((YEAR(BT$46)-YEAR('融资租赁与资金缺口'!$F$7))*12+MONTH(BT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T$46)-YEAR('融资租赁与资金缺口'!$F$7))*12+MONTH(BT$46)-MONTH('融资租赁与资金缺口'!$F$7)),'融资租赁与资金缺口'!$E$7*(1+'融资租赁与资金缺口'!$I$7)^((YEAR(BT$46)-YEAR('融资租赁与资金缺口'!$F$7))*12+MONTH(BT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T$46)-YEAR('融资租赁与资金缺口'!$F$7))*12+MONTH(BT$46)-MONTH('融资租赁与资金缺口'!$F$7))-1)/'融资租赁与资金缺口'!$I$7))))),IF(BT$46&lt;'融资租赁与资金缺口'!$F$8,0,IF(BT$46='融资租赁与资金缺口'!$F$8,'融资租赁与资金缺口'!$E$8,IF(((YEAR(BT$46)-YEAR('融资租赁与资金缺口'!$F$8))*12+MONTH(BT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T$46)-YEAR('融资租赁与资金缺口'!$F$8))*12+MONTH(BT$46)-MONTH('融资租赁与资金缺口'!$F$8)),'融资租赁与资金缺口'!$E$8*(1+'融资租赁与资金缺口'!$I$8)^((YEAR(BT$46)-YEAR('融资租赁与资金缺口'!$F$8))*12+MONTH(BT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T$46)-YEAR('融资租赁与资金缺口'!$F$8))*12+MONTH(BT$46)-MONTH('融资租赁与资金缺口'!$F$8))-1)/'融资租赁与资金缺口'!$I$8))))),IF(BT$46&lt;'融资租赁与资金缺口'!$F$9,0,IF(BT$46='融资租赁与资金缺口'!$F$9,'融资租赁与资金缺口'!$E$9,IF(((YEAR(BT$46)-YEAR('融资租赁与资金缺口'!$F$9))*12+MONTH(BT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T$46)-YEAR('融资租赁与资金缺口'!$F$9))*12+MONTH(BT$46)-MONTH('融资租赁与资金缺口'!$F$9)),'融资租赁与资金缺口'!$E$9*(1+'融资租赁与资金缺口'!$I$9)^((YEAR(BT$46)-YEAR('融资租赁与资金缺口'!$F$9))*12+MONTH(BT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T$46)-YEAR('融资租赁与资金缺口'!$F$9))*12+MONTH(BT$46)-MONTH('融资租赁与资金缺口'!$F$9))-1)/'融资租赁与资金缺口'!$I$9))))),IF(BT$46&lt;'融资租赁与资金缺口'!$F$10,0,IF(BT$46='融资租赁与资金缺口'!$F$10,'融资租赁与资金缺口'!$E$10,IF(((YEAR(BT$46)-YEAR('融资租赁与资金缺口'!$F$10))*12+MONTH(BT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T$46)-YEAR('融资租赁与资金缺口'!$F$10))*12+MONTH(BT$46)-MONTH('融资租赁与资金缺口'!$F$10)),'融资租赁与资金缺口'!$E$10*(1+'融资租赁与资金缺口'!$I$10)^((YEAR(BT$46)-YEAR('融资租赁与资金缺口'!$F$10))*12+MONTH(BT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T$46)-YEAR('融资租赁与资金缺口'!$F$10))*12+MONTH(BT$46)-MONTH('融资租赁与资金缺口'!$F$10))-1)/'融资租赁与资金缺口'!$I$10))))),IF(BT$46&lt;'融资租赁与资金缺口'!$F$11,0,IF(BT$46='融资租赁与资金缺口'!$F$11,'融资租赁与资金缺口'!$E$11,IF(((YEAR(BT$46)-YEAR('融资租赁与资金缺口'!$F$11))*12+MONTH(BT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T$46)-YEAR('融资租赁与资金缺口'!$F$11))*12+MONTH(BT$46)-MONTH('融资租赁与资金缺口'!$F$11)),'融资租赁与资金缺口'!$E$11*(1+'融资租赁与资金缺口'!$I$11)^((YEAR(BT$46)-YEAR('融资租赁与资金缺口'!$F$11))*12+MONTH(BT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T$46)-YEAR('融资租赁与资金缺口'!$F$11))*12+MONTH(BT$46)-MONTH('融资租赁与资金缺口'!$F$11))-1)/'融资租赁与资金缺口'!$I$11))))),IF(BT$46&lt;'融资租赁与资金缺口'!$F$12,0,IF(BT$46='融资租赁与资金缺口'!$F$12,'融资租赁与资金缺口'!$E$12,IF(((YEAR(BT$46)-YEAR('融资租赁与资金缺口'!$F$12))*12+MONTH(BT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T$46)-YEAR('融资租赁与资金缺口'!$F$12))*12+MONTH(BT$46)-MONTH('融资租赁与资金缺口'!$F$12)),'融资租赁与资金缺口'!$E$12*(1+'融资租赁与资金缺口'!$I$12)^((YEAR(BT$46)-YEAR('融资租赁与资金缺口'!$F$12))*12+MONTH(BT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T$46)-YEAR('融资租赁与资金缺口'!$F$12))*12+MONTH(BT$46)-MONTH('融资租赁与资金缺口'!$F$12))-1)/'融资租赁与资金缺口'!$I$12))))),IF(BT$46&lt;'融资租赁与资金缺口'!$F$13,0,IF(BT$46='融资租赁与资金缺口'!$F$13,'融资租赁与资金缺口'!$E$13,IF(((YEAR(BT$46)-YEAR('融资租赁与资金缺口'!$F$13))*12+MONTH(BT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T$46)-YEAR('融资租赁与资金缺口'!$F$13))*12+MONTH(BT$46)-MONTH('融资租赁与资金缺口'!$F$13)),'融资租赁与资金缺口'!$E$13*(1+'融资租赁与资金缺口'!$I$13)^((YEAR(BT$46)-YEAR('融资租赁与资金缺口'!$F$13))*12+MONTH(BT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T$46)-YEAR('融资租赁与资金缺口'!$F$13))*12+MONTH(BT$46)-MONTH('融资租赁与资金缺口'!$F$13))-1)/'融资租赁与资金缺口'!$I$13))))),IF(BT$46&lt;'融资租赁与资金缺口'!$F$14,0,IF(BT$46='融资租赁与资金缺口'!$F$14,'融资租赁与资金缺口'!$E$14,IF(((YEAR(BT$46)-YEAR('融资租赁与资金缺口'!$F$14))*12+MONTH(BT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T$46)-YEAR('融资租赁与资金缺口'!$F$14))*12+MONTH(BT$46)-MONTH('融资租赁与资金缺口'!$F$14)),'融资租赁与资金缺口'!$E$14*(1+'融资租赁与资金缺口'!$I$14)^((YEAR(BT$46)-YEAR('融资租赁与资金缺口'!$F$14))*12+MONTH(BT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T$46)-YEAR('融资租赁与资金缺口'!$F$14))*12+MONTH(BT$46)-MONTH('融资租赁与资金缺口'!$F$14))-1)/'融资租赁与资金缺口'!$I$14))))),IF(BT$46&lt;'融资租赁与资金缺口'!$F$15,0,IF(BT$46='融资租赁与资金缺口'!$F$15,'融资租赁与资金缺口'!$E$15,IF(((YEAR(BT$46)-YEAR('融资租赁与资金缺口'!$F$15))*12+MONTH(BT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T$46)-YEAR('融资租赁与资金缺口'!$F$15))*12+MONTH(BT$46)-MONTH('融资租赁与资金缺口'!$F$15)),'融资租赁与资金缺口'!$E$15*(1+'融资租赁与资金缺口'!$I$15)^((YEAR(BT$46)-YEAR('融资租赁与资金缺口'!$F$15))*12+MONTH(BT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T$46)-YEAR('融资租赁与资金缺口'!$F$15))*12+MONTH(BT$46)-MONTH('融资租赁与资金缺口'!$F$15))-1)/'融资租赁与资金缺口'!$I$15))))),IF(BT$46&lt;'融资租赁与资金缺口'!$F$16,0,IF(BT$46='融资租赁与资金缺口'!$F$16,'融资租赁与资金缺口'!$E$16,IF(((YEAR(BT$46)-YEAR('融资租赁与资金缺口'!$F$16))*12+MONTH(BT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T$46)-YEAR('融资租赁与资金缺口'!$F$16))*12+MONTH(BT$46)-MONTH('融资租赁与资金缺口'!$F$16)),'融资租赁与资金缺口'!$E$16*(1+'融资租赁与资金缺口'!$I$16)^((YEAR(BT$46)-YEAR('融资租赁与资金缺口'!$F$16))*12+MONTH(BT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T$46)-YEAR('融资租赁与资金缺口'!$F$16))*12+MONTH(BT$46)-MONTH('融资租赁与资金缺口'!$F$16))-1)/'融资租赁与资金缺口'!$I$16))))))</x:f>
        <x:v>0</x:v>
      </x:c>
      <x:c r="BU53" s="28" t="n">
        <x:f>SUM(IF(BU$46&lt;'融资租赁与资金缺口'!$F$5,0,IF(BU$46='融资租赁与资金缺口'!$F$5,'融资租赁与资金缺口'!$E$5,IF(((YEAR(BU$46)-YEAR('融资租赁与资金缺口'!$F$5))*12+MONTH(BU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U$46)-YEAR('融资租赁与资金缺口'!$F$5))*12+MONTH(BU$46)-MONTH('融资租赁与资金缺口'!$F$5)),'融资租赁与资金缺口'!$E$5*(1+'融资租赁与资金缺口'!$I$5)^((YEAR(BU$46)-YEAR('融资租赁与资金缺口'!$F$5))*12+MONTH(BU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U$46)-YEAR('融资租赁与资金缺口'!$F$5))*12+MONTH(BU$46)-MONTH('融资租赁与资金缺口'!$F$5))-1)/'融资租赁与资金缺口'!$I$5))))),IF(BU$46&lt;'融资租赁与资金缺口'!$F$6,0,IF(BU$46='融资租赁与资金缺口'!$F$6,'融资租赁与资金缺口'!$E$6,IF(((YEAR(BU$46)-YEAR('融资租赁与资金缺口'!$F$6))*12+MONTH(BU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U$46)-YEAR('融资租赁与资金缺口'!$F$6))*12+MONTH(BU$46)-MONTH('融资租赁与资金缺口'!$F$6)),'融资租赁与资金缺口'!$E$6*(1+'融资租赁与资金缺口'!$I$6)^((YEAR(BU$46)-YEAR('融资租赁与资金缺口'!$F$6))*12+MONTH(BU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U$46)-YEAR('融资租赁与资金缺口'!$F$6))*12+MONTH(BU$46)-MONTH('融资租赁与资金缺口'!$F$6))-1)/'融资租赁与资金缺口'!$I$6))))),IF(BU$46&lt;'融资租赁与资金缺口'!$F$7,0,IF(BU$46='融资租赁与资金缺口'!$F$7,'融资租赁与资金缺口'!$E$7,IF(((YEAR(BU$46)-YEAR('融资租赁与资金缺口'!$F$7))*12+MONTH(BU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U$46)-YEAR('融资租赁与资金缺口'!$F$7))*12+MONTH(BU$46)-MONTH('融资租赁与资金缺口'!$F$7)),'融资租赁与资金缺口'!$E$7*(1+'融资租赁与资金缺口'!$I$7)^((YEAR(BU$46)-YEAR('融资租赁与资金缺口'!$F$7))*12+MONTH(BU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U$46)-YEAR('融资租赁与资金缺口'!$F$7))*12+MONTH(BU$46)-MONTH('融资租赁与资金缺口'!$F$7))-1)/'融资租赁与资金缺口'!$I$7))))),IF(BU$46&lt;'融资租赁与资金缺口'!$F$8,0,IF(BU$46='融资租赁与资金缺口'!$F$8,'融资租赁与资金缺口'!$E$8,IF(((YEAR(BU$46)-YEAR('融资租赁与资金缺口'!$F$8))*12+MONTH(BU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U$46)-YEAR('融资租赁与资金缺口'!$F$8))*12+MONTH(BU$46)-MONTH('融资租赁与资金缺口'!$F$8)),'融资租赁与资金缺口'!$E$8*(1+'融资租赁与资金缺口'!$I$8)^((YEAR(BU$46)-YEAR('融资租赁与资金缺口'!$F$8))*12+MONTH(BU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U$46)-YEAR('融资租赁与资金缺口'!$F$8))*12+MONTH(BU$46)-MONTH('融资租赁与资金缺口'!$F$8))-1)/'融资租赁与资金缺口'!$I$8))))),IF(BU$46&lt;'融资租赁与资金缺口'!$F$9,0,IF(BU$46='融资租赁与资金缺口'!$F$9,'融资租赁与资金缺口'!$E$9,IF(((YEAR(BU$46)-YEAR('融资租赁与资金缺口'!$F$9))*12+MONTH(BU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U$46)-YEAR('融资租赁与资金缺口'!$F$9))*12+MONTH(BU$46)-MONTH('融资租赁与资金缺口'!$F$9)),'融资租赁与资金缺口'!$E$9*(1+'融资租赁与资金缺口'!$I$9)^((YEAR(BU$46)-YEAR('融资租赁与资金缺口'!$F$9))*12+MONTH(BU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U$46)-YEAR('融资租赁与资金缺口'!$F$9))*12+MONTH(BU$46)-MONTH('融资租赁与资金缺口'!$F$9))-1)/'融资租赁与资金缺口'!$I$9))))),IF(BU$46&lt;'融资租赁与资金缺口'!$F$10,0,IF(BU$46='融资租赁与资金缺口'!$F$10,'融资租赁与资金缺口'!$E$10,IF(((YEAR(BU$46)-YEAR('融资租赁与资金缺口'!$F$10))*12+MONTH(BU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U$46)-YEAR('融资租赁与资金缺口'!$F$10))*12+MONTH(BU$46)-MONTH('融资租赁与资金缺口'!$F$10)),'融资租赁与资金缺口'!$E$10*(1+'融资租赁与资金缺口'!$I$10)^((YEAR(BU$46)-YEAR('融资租赁与资金缺口'!$F$10))*12+MONTH(BU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U$46)-YEAR('融资租赁与资金缺口'!$F$10))*12+MONTH(BU$46)-MONTH('融资租赁与资金缺口'!$F$10))-1)/'融资租赁与资金缺口'!$I$10))))),IF(BU$46&lt;'融资租赁与资金缺口'!$F$11,0,IF(BU$46='融资租赁与资金缺口'!$F$11,'融资租赁与资金缺口'!$E$11,IF(((YEAR(BU$46)-YEAR('融资租赁与资金缺口'!$F$11))*12+MONTH(BU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U$46)-YEAR('融资租赁与资金缺口'!$F$11))*12+MONTH(BU$46)-MONTH('融资租赁与资金缺口'!$F$11)),'融资租赁与资金缺口'!$E$11*(1+'融资租赁与资金缺口'!$I$11)^((YEAR(BU$46)-YEAR('融资租赁与资金缺口'!$F$11))*12+MONTH(BU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U$46)-YEAR('融资租赁与资金缺口'!$F$11))*12+MONTH(BU$46)-MONTH('融资租赁与资金缺口'!$F$11))-1)/'融资租赁与资金缺口'!$I$11))))),IF(BU$46&lt;'融资租赁与资金缺口'!$F$12,0,IF(BU$46='融资租赁与资金缺口'!$F$12,'融资租赁与资金缺口'!$E$12,IF(((YEAR(BU$46)-YEAR('融资租赁与资金缺口'!$F$12))*12+MONTH(BU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U$46)-YEAR('融资租赁与资金缺口'!$F$12))*12+MONTH(BU$46)-MONTH('融资租赁与资金缺口'!$F$12)),'融资租赁与资金缺口'!$E$12*(1+'融资租赁与资金缺口'!$I$12)^((YEAR(BU$46)-YEAR('融资租赁与资金缺口'!$F$12))*12+MONTH(BU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U$46)-YEAR('融资租赁与资金缺口'!$F$12))*12+MONTH(BU$46)-MONTH('融资租赁与资金缺口'!$F$12))-1)/'融资租赁与资金缺口'!$I$12))))),IF(BU$46&lt;'融资租赁与资金缺口'!$F$13,0,IF(BU$46='融资租赁与资金缺口'!$F$13,'融资租赁与资金缺口'!$E$13,IF(((YEAR(BU$46)-YEAR('融资租赁与资金缺口'!$F$13))*12+MONTH(BU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U$46)-YEAR('融资租赁与资金缺口'!$F$13))*12+MONTH(BU$46)-MONTH('融资租赁与资金缺口'!$F$13)),'融资租赁与资金缺口'!$E$13*(1+'融资租赁与资金缺口'!$I$13)^((YEAR(BU$46)-YEAR('融资租赁与资金缺口'!$F$13))*12+MONTH(BU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U$46)-YEAR('融资租赁与资金缺口'!$F$13))*12+MONTH(BU$46)-MONTH('融资租赁与资金缺口'!$F$13))-1)/'融资租赁与资金缺口'!$I$13))))),IF(BU$46&lt;'融资租赁与资金缺口'!$F$14,0,IF(BU$46='融资租赁与资金缺口'!$F$14,'融资租赁与资金缺口'!$E$14,IF(((YEAR(BU$46)-YEAR('融资租赁与资金缺口'!$F$14))*12+MONTH(BU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U$46)-YEAR('融资租赁与资金缺口'!$F$14))*12+MONTH(BU$46)-MONTH('融资租赁与资金缺口'!$F$14)),'融资租赁与资金缺口'!$E$14*(1+'融资租赁与资金缺口'!$I$14)^((YEAR(BU$46)-YEAR('融资租赁与资金缺口'!$F$14))*12+MONTH(BU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U$46)-YEAR('融资租赁与资金缺口'!$F$14))*12+MONTH(BU$46)-MONTH('融资租赁与资金缺口'!$F$14))-1)/'融资租赁与资金缺口'!$I$14))))),IF(BU$46&lt;'融资租赁与资金缺口'!$F$15,0,IF(BU$46='融资租赁与资金缺口'!$F$15,'融资租赁与资金缺口'!$E$15,IF(((YEAR(BU$46)-YEAR('融资租赁与资金缺口'!$F$15))*12+MONTH(BU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U$46)-YEAR('融资租赁与资金缺口'!$F$15))*12+MONTH(BU$46)-MONTH('融资租赁与资金缺口'!$F$15)),'融资租赁与资金缺口'!$E$15*(1+'融资租赁与资金缺口'!$I$15)^((YEAR(BU$46)-YEAR('融资租赁与资金缺口'!$F$15))*12+MONTH(BU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U$46)-YEAR('融资租赁与资金缺口'!$F$15))*12+MONTH(BU$46)-MONTH('融资租赁与资金缺口'!$F$15))-1)/'融资租赁与资金缺口'!$I$15))))),IF(BU$46&lt;'融资租赁与资金缺口'!$F$16,0,IF(BU$46='融资租赁与资金缺口'!$F$16,'融资租赁与资金缺口'!$E$16,IF(((YEAR(BU$46)-YEAR('融资租赁与资金缺口'!$F$16))*12+MONTH(BU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U$46)-YEAR('融资租赁与资金缺口'!$F$16))*12+MONTH(BU$46)-MONTH('融资租赁与资金缺口'!$F$16)),'融资租赁与资金缺口'!$E$16*(1+'融资租赁与资金缺口'!$I$16)^((YEAR(BU$46)-YEAR('融资租赁与资金缺口'!$F$16))*12+MONTH(BU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U$46)-YEAR('融资租赁与资金缺口'!$F$16))*12+MONTH(BU$46)-MONTH('融资租赁与资金缺口'!$F$16))-1)/'融资租赁与资金缺口'!$I$16))))))</x:f>
        <x:v>0</x:v>
      </x:c>
      <x:c r="BV53" s="28" t="n">
        <x:f>SUM(IF(BV$46&lt;'融资租赁与资金缺口'!$F$5,0,IF(BV$46='融资租赁与资金缺口'!$F$5,'融资租赁与资金缺口'!$E$5,IF(((YEAR(BV$46)-YEAR('融资租赁与资金缺口'!$F$5))*12+MONTH(BV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V$46)-YEAR('融资租赁与资金缺口'!$F$5))*12+MONTH(BV$46)-MONTH('融资租赁与资金缺口'!$F$5)),'融资租赁与资金缺口'!$E$5*(1+'融资租赁与资金缺口'!$I$5)^((YEAR(BV$46)-YEAR('融资租赁与资金缺口'!$F$5))*12+MONTH(BV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V$46)-YEAR('融资租赁与资金缺口'!$F$5))*12+MONTH(BV$46)-MONTH('融资租赁与资金缺口'!$F$5))-1)/'融资租赁与资金缺口'!$I$5))))),IF(BV$46&lt;'融资租赁与资金缺口'!$F$6,0,IF(BV$46='融资租赁与资金缺口'!$F$6,'融资租赁与资金缺口'!$E$6,IF(((YEAR(BV$46)-YEAR('融资租赁与资金缺口'!$F$6))*12+MONTH(BV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V$46)-YEAR('融资租赁与资金缺口'!$F$6))*12+MONTH(BV$46)-MONTH('融资租赁与资金缺口'!$F$6)),'融资租赁与资金缺口'!$E$6*(1+'融资租赁与资金缺口'!$I$6)^((YEAR(BV$46)-YEAR('融资租赁与资金缺口'!$F$6))*12+MONTH(BV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V$46)-YEAR('融资租赁与资金缺口'!$F$6))*12+MONTH(BV$46)-MONTH('融资租赁与资金缺口'!$F$6))-1)/'融资租赁与资金缺口'!$I$6))))),IF(BV$46&lt;'融资租赁与资金缺口'!$F$7,0,IF(BV$46='融资租赁与资金缺口'!$F$7,'融资租赁与资金缺口'!$E$7,IF(((YEAR(BV$46)-YEAR('融资租赁与资金缺口'!$F$7))*12+MONTH(BV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V$46)-YEAR('融资租赁与资金缺口'!$F$7))*12+MONTH(BV$46)-MONTH('融资租赁与资金缺口'!$F$7)),'融资租赁与资金缺口'!$E$7*(1+'融资租赁与资金缺口'!$I$7)^((YEAR(BV$46)-YEAR('融资租赁与资金缺口'!$F$7))*12+MONTH(BV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V$46)-YEAR('融资租赁与资金缺口'!$F$7))*12+MONTH(BV$46)-MONTH('融资租赁与资金缺口'!$F$7))-1)/'融资租赁与资金缺口'!$I$7))))),IF(BV$46&lt;'融资租赁与资金缺口'!$F$8,0,IF(BV$46='融资租赁与资金缺口'!$F$8,'融资租赁与资金缺口'!$E$8,IF(((YEAR(BV$46)-YEAR('融资租赁与资金缺口'!$F$8))*12+MONTH(BV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V$46)-YEAR('融资租赁与资金缺口'!$F$8))*12+MONTH(BV$46)-MONTH('融资租赁与资金缺口'!$F$8)),'融资租赁与资金缺口'!$E$8*(1+'融资租赁与资金缺口'!$I$8)^((YEAR(BV$46)-YEAR('融资租赁与资金缺口'!$F$8))*12+MONTH(BV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V$46)-YEAR('融资租赁与资金缺口'!$F$8))*12+MONTH(BV$46)-MONTH('融资租赁与资金缺口'!$F$8))-1)/'融资租赁与资金缺口'!$I$8))))),IF(BV$46&lt;'融资租赁与资金缺口'!$F$9,0,IF(BV$46='融资租赁与资金缺口'!$F$9,'融资租赁与资金缺口'!$E$9,IF(((YEAR(BV$46)-YEAR('融资租赁与资金缺口'!$F$9))*12+MONTH(BV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V$46)-YEAR('融资租赁与资金缺口'!$F$9))*12+MONTH(BV$46)-MONTH('融资租赁与资金缺口'!$F$9)),'融资租赁与资金缺口'!$E$9*(1+'融资租赁与资金缺口'!$I$9)^((YEAR(BV$46)-YEAR('融资租赁与资金缺口'!$F$9))*12+MONTH(BV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V$46)-YEAR('融资租赁与资金缺口'!$F$9))*12+MONTH(BV$46)-MONTH('融资租赁与资金缺口'!$F$9))-1)/'融资租赁与资金缺口'!$I$9))))),IF(BV$46&lt;'融资租赁与资金缺口'!$F$10,0,IF(BV$46='融资租赁与资金缺口'!$F$10,'融资租赁与资金缺口'!$E$10,IF(((YEAR(BV$46)-YEAR('融资租赁与资金缺口'!$F$10))*12+MONTH(BV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V$46)-YEAR('融资租赁与资金缺口'!$F$10))*12+MONTH(BV$46)-MONTH('融资租赁与资金缺口'!$F$10)),'融资租赁与资金缺口'!$E$10*(1+'融资租赁与资金缺口'!$I$10)^((YEAR(BV$46)-YEAR('融资租赁与资金缺口'!$F$10))*12+MONTH(BV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V$46)-YEAR('融资租赁与资金缺口'!$F$10))*12+MONTH(BV$46)-MONTH('融资租赁与资金缺口'!$F$10))-1)/'融资租赁与资金缺口'!$I$10))))),IF(BV$46&lt;'融资租赁与资金缺口'!$F$11,0,IF(BV$46='融资租赁与资金缺口'!$F$11,'融资租赁与资金缺口'!$E$11,IF(((YEAR(BV$46)-YEAR('融资租赁与资金缺口'!$F$11))*12+MONTH(BV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V$46)-YEAR('融资租赁与资金缺口'!$F$11))*12+MONTH(BV$46)-MONTH('融资租赁与资金缺口'!$F$11)),'融资租赁与资金缺口'!$E$11*(1+'融资租赁与资金缺口'!$I$11)^((YEAR(BV$46)-YEAR('融资租赁与资金缺口'!$F$11))*12+MONTH(BV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V$46)-YEAR('融资租赁与资金缺口'!$F$11))*12+MONTH(BV$46)-MONTH('融资租赁与资金缺口'!$F$11))-1)/'融资租赁与资金缺口'!$I$11))))),IF(BV$46&lt;'融资租赁与资金缺口'!$F$12,0,IF(BV$46='融资租赁与资金缺口'!$F$12,'融资租赁与资金缺口'!$E$12,IF(((YEAR(BV$46)-YEAR('融资租赁与资金缺口'!$F$12))*12+MONTH(BV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V$46)-YEAR('融资租赁与资金缺口'!$F$12))*12+MONTH(BV$46)-MONTH('融资租赁与资金缺口'!$F$12)),'融资租赁与资金缺口'!$E$12*(1+'融资租赁与资金缺口'!$I$12)^((YEAR(BV$46)-YEAR('融资租赁与资金缺口'!$F$12))*12+MONTH(BV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V$46)-YEAR('融资租赁与资金缺口'!$F$12))*12+MONTH(BV$46)-MONTH('融资租赁与资金缺口'!$F$12))-1)/'融资租赁与资金缺口'!$I$12))))),IF(BV$46&lt;'融资租赁与资金缺口'!$F$13,0,IF(BV$46='融资租赁与资金缺口'!$F$13,'融资租赁与资金缺口'!$E$13,IF(((YEAR(BV$46)-YEAR('融资租赁与资金缺口'!$F$13))*12+MONTH(BV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V$46)-YEAR('融资租赁与资金缺口'!$F$13))*12+MONTH(BV$46)-MONTH('融资租赁与资金缺口'!$F$13)),'融资租赁与资金缺口'!$E$13*(1+'融资租赁与资金缺口'!$I$13)^((YEAR(BV$46)-YEAR('融资租赁与资金缺口'!$F$13))*12+MONTH(BV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V$46)-YEAR('融资租赁与资金缺口'!$F$13))*12+MONTH(BV$46)-MONTH('融资租赁与资金缺口'!$F$13))-1)/'融资租赁与资金缺口'!$I$13))))),IF(BV$46&lt;'融资租赁与资金缺口'!$F$14,0,IF(BV$46='融资租赁与资金缺口'!$F$14,'融资租赁与资金缺口'!$E$14,IF(((YEAR(BV$46)-YEAR('融资租赁与资金缺口'!$F$14))*12+MONTH(BV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V$46)-YEAR('融资租赁与资金缺口'!$F$14))*12+MONTH(BV$46)-MONTH('融资租赁与资金缺口'!$F$14)),'融资租赁与资金缺口'!$E$14*(1+'融资租赁与资金缺口'!$I$14)^((YEAR(BV$46)-YEAR('融资租赁与资金缺口'!$F$14))*12+MONTH(BV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V$46)-YEAR('融资租赁与资金缺口'!$F$14))*12+MONTH(BV$46)-MONTH('融资租赁与资金缺口'!$F$14))-1)/'融资租赁与资金缺口'!$I$14))))),IF(BV$46&lt;'融资租赁与资金缺口'!$F$15,0,IF(BV$46='融资租赁与资金缺口'!$F$15,'融资租赁与资金缺口'!$E$15,IF(((YEAR(BV$46)-YEAR('融资租赁与资金缺口'!$F$15))*12+MONTH(BV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V$46)-YEAR('融资租赁与资金缺口'!$F$15))*12+MONTH(BV$46)-MONTH('融资租赁与资金缺口'!$F$15)),'融资租赁与资金缺口'!$E$15*(1+'融资租赁与资金缺口'!$I$15)^((YEAR(BV$46)-YEAR('融资租赁与资金缺口'!$F$15))*12+MONTH(BV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V$46)-YEAR('融资租赁与资金缺口'!$F$15))*12+MONTH(BV$46)-MONTH('融资租赁与资金缺口'!$F$15))-1)/'融资租赁与资金缺口'!$I$15))))),IF(BV$46&lt;'融资租赁与资金缺口'!$F$16,0,IF(BV$46='融资租赁与资金缺口'!$F$16,'融资租赁与资金缺口'!$E$16,IF(((YEAR(BV$46)-YEAR('融资租赁与资金缺口'!$F$16))*12+MONTH(BV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V$46)-YEAR('融资租赁与资金缺口'!$F$16))*12+MONTH(BV$46)-MONTH('融资租赁与资金缺口'!$F$16)),'融资租赁与资金缺口'!$E$16*(1+'融资租赁与资金缺口'!$I$16)^((YEAR(BV$46)-YEAR('融资租赁与资金缺口'!$F$16))*12+MONTH(BV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V$46)-YEAR('融资租赁与资金缺口'!$F$16))*12+MONTH(BV$46)-MONTH('融资租赁与资金缺口'!$F$16))-1)/'融资租赁与资金缺口'!$I$16))))))</x:f>
        <x:v>0</x:v>
      </x:c>
      <x:c r="BW53" s="28" t="n">
        <x:f>SUM(IF(BW$46&lt;'融资租赁与资金缺口'!$F$5,0,IF(BW$46='融资租赁与资金缺口'!$F$5,'融资租赁与资金缺口'!$E$5,IF(((YEAR(BW$46)-YEAR('融资租赁与资金缺口'!$F$5))*12+MONTH(BW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W$46)-YEAR('融资租赁与资金缺口'!$F$5))*12+MONTH(BW$46)-MONTH('融资租赁与资金缺口'!$F$5)),'融资租赁与资金缺口'!$E$5*(1+'融资租赁与资金缺口'!$I$5)^((YEAR(BW$46)-YEAR('融资租赁与资金缺口'!$F$5))*12+MONTH(BW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W$46)-YEAR('融资租赁与资金缺口'!$F$5))*12+MONTH(BW$46)-MONTH('融资租赁与资金缺口'!$F$5))-1)/'融资租赁与资金缺口'!$I$5))))),IF(BW$46&lt;'融资租赁与资金缺口'!$F$6,0,IF(BW$46='融资租赁与资金缺口'!$F$6,'融资租赁与资金缺口'!$E$6,IF(((YEAR(BW$46)-YEAR('融资租赁与资金缺口'!$F$6))*12+MONTH(BW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W$46)-YEAR('融资租赁与资金缺口'!$F$6))*12+MONTH(BW$46)-MONTH('融资租赁与资金缺口'!$F$6)),'融资租赁与资金缺口'!$E$6*(1+'融资租赁与资金缺口'!$I$6)^((YEAR(BW$46)-YEAR('融资租赁与资金缺口'!$F$6))*12+MONTH(BW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W$46)-YEAR('融资租赁与资金缺口'!$F$6))*12+MONTH(BW$46)-MONTH('融资租赁与资金缺口'!$F$6))-1)/'融资租赁与资金缺口'!$I$6))))),IF(BW$46&lt;'融资租赁与资金缺口'!$F$7,0,IF(BW$46='融资租赁与资金缺口'!$F$7,'融资租赁与资金缺口'!$E$7,IF(((YEAR(BW$46)-YEAR('融资租赁与资金缺口'!$F$7))*12+MONTH(BW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W$46)-YEAR('融资租赁与资金缺口'!$F$7))*12+MONTH(BW$46)-MONTH('融资租赁与资金缺口'!$F$7)),'融资租赁与资金缺口'!$E$7*(1+'融资租赁与资金缺口'!$I$7)^((YEAR(BW$46)-YEAR('融资租赁与资金缺口'!$F$7))*12+MONTH(BW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W$46)-YEAR('融资租赁与资金缺口'!$F$7))*12+MONTH(BW$46)-MONTH('融资租赁与资金缺口'!$F$7))-1)/'融资租赁与资金缺口'!$I$7))))),IF(BW$46&lt;'融资租赁与资金缺口'!$F$8,0,IF(BW$46='融资租赁与资金缺口'!$F$8,'融资租赁与资金缺口'!$E$8,IF(((YEAR(BW$46)-YEAR('融资租赁与资金缺口'!$F$8))*12+MONTH(BW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W$46)-YEAR('融资租赁与资金缺口'!$F$8))*12+MONTH(BW$46)-MONTH('融资租赁与资金缺口'!$F$8)),'融资租赁与资金缺口'!$E$8*(1+'融资租赁与资金缺口'!$I$8)^((YEAR(BW$46)-YEAR('融资租赁与资金缺口'!$F$8))*12+MONTH(BW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W$46)-YEAR('融资租赁与资金缺口'!$F$8))*12+MONTH(BW$46)-MONTH('融资租赁与资金缺口'!$F$8))-1)/'融资租赁与资金缺口'!$I$8))))),IF(BW$46&lt;'融资租赁与资金缺口'!$F$9,0,IF(BW$46='融资租赁与资金缺口'!$F$9,'融资租赁与资金缺口'!$E$9,IF(((YEAR(BW$46)-YEAR('融资租赁与资金缺口'!$F$9))*12+MONTH(BW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W$46)-YEAR('融资租赁与资金缺口'!$F$9))*12+MONTH(BW$46)-MONTH('融资租赁与资金缺口'!$F$9)),'融资租赁与资金缺口'!$E$9*(1+'融资租赁与资金缺口'!$I$9)^((YEAR(BW$46)-YEAR('融资租赁与资金缺口'!$F$9))*12+MONTH(BW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W$46)-YEAR('融资租赁与资金缺口'!$F$9))*12+MONTH(BW$46)-MONTH('融资租赁与资金缺口'!$F$9))-1)/'融资租赁与资金缺口'!$I$9))))),IF(BW$46&lt;'融资租赁与资金缺口'!$F$10,0,IF(BW$46='融资租赁与资金缺口'!$F$10,'融资租赁与资金缺口'!$E$10,IF(((YEAR(BW$46)-YEAR('融资租赁与资金缺口'!$F$10))*12+MONTH(BW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W$46)-YEAR('融资租赁与资金缺口'!$F$10))*12+MONTH(BW$46)-MONTH('融资租赁与资金缺口'!$F$10)),'融资租赁与资金缺口'!$E$10*(1+'融资租赁与资金缺口'!$I$10)^((YEAR(BW$46)-YEAR('融资租赁与资金缺口'!$F$10))*12+MONTH(BW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W$46)-YEAR('融资租赁与资金缺口'!$F$10))*12+MONTH(BW$46)-MONTH('融资租赁与资金缺口'!$F$10))-1)/'融资租赁与资金缺口'!$I$10))))),IF(BW$46&lt;'融资租赁与资金缺口'!$F$11,0,IF(BW$46='融资租赁与资金缺口'!$F$11,'融资租赁与资金缺口'!$E$11,IF(((YEAR(BW$46)-YEAR('融资租赁与资金缺口'!$F$11))*12+MONTH(BW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W$46)-YEAR('融资租赁与资金缺口'!$F$11))*12+MONTH(BW$46)-MONTH('融资租赁与资金缺口'!$F$11)),'融资租赁与资金缺口'!$E$11*(1+'融资租赁与资金缺口'!$I$11)^((YEAR(BW$46)-YEAR('融资租赁与资金缺口'!$F$11))*12+MONTH(BW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W$46)-YEAR('融资租赁与资金缺口'!$F$11))*12+MONTH(BW$46)-MONTH('融资租赁与资金缺口'!$F$11))-1)/'融资租赁与资金缺口'!$I$11))))),IF(BW$46&lt;'融资租赁与资金缺口'!$F$12,0,IF(BW$46='融资租赁与资金缺口'!$F$12,'融资租赁与资金缺口'!$E$12,IF(((YEAR(BW$46)-YEAR('融资租赁与资金缺口'!$F$12))*12+MONTH(BW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W$46)-YEAR('融资租赁与资金缺口'!$F$12))*12+MONTH(BW$46)-MONTH('融资租赁与资金缺口'!$F$12)),'融资租赁与资金缺口'!$E$12*(1+'融资租赁与资金缺口'!$I$12)^((YEAR(BW$46)-YEAR('融资租赁与资金缺口'!$F$12))*12+MONTH(BW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W$46)-YEAR('融资租赁与资金缺口'!$F$12))*12+MONTH(BW$46)-MONTH('融资租赁与资金缺口'!$F$12))-1)/'融资租赁与资金缺口'!$I$12))))),IF(BW$46&lt;'融资租赁与资金缺口'!$F$13,0,IF(BW$46='融资租赁与资金缺口'!$F$13,'融资租赁与资金缺口'!$E$13,IF(((YEAR(BW$46)-YEAR('融资租赁与资金缺口'!$F$13))*12+MONTH(BW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W$46)-YEAR('融资租赁与资金缺口'!$F$13))*12+MONTH(BW$46)-MONTH('融资租赁与资金缺口'!$F$13)),'融资租赁与资金缺口'!$E$13*(1+'融资租赁与资金缺口'!$I$13)^((YEAR(BW$46)-YEAR('融资租赁与资金缺口'!$F$13))*12+MONTH(BW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W$46)-YEAR('融资租赁与资金缺口'!$F$13))*12+MONTH(BW$46)-MONTH('融资租赁与资金缺口'!$F$13))-1)/'融资租赁与资金缺口'!$I$13))))),IF(BW$46&lt;'融资租赁与资金缺口'!$F$14,0,IF(BW$46='融资租赁与资金缺口'!$F$14,'融资租赁与资金缺口'!$E$14,IF(((YEAR(BW$46)-YEAR('融资租赁与资金缺口'!$F$14))*12+MONTH(BW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W$46)-YEAR('融资租赁与资金缺口'!$F$14))*12+MONTH(BW$46)-MONTH('融资租赁与资金缺口'!$F$14)),'融资租赁与资金缺口'!$E$14*(1+'融资租赁与资金缺口'!$I$14)^((YEAR(BW$46)-YEAR('融资租赁与资金缺口'!$F$14))*12+MONTH(BW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W$46)-YEAR('融资租赁与资金缺口'!$F$14))*12+MONTH(BW$46)-MONTH('融资租赁与资金缺口'!$F$14))-1)/'融资租赁与资金缺口'!$I$14))))),IF(BW$46&lt;'融资租赁与资金缺口'!$F$15,0,IF(BW$46='融资租赁与资金缺口'!$F$15,'融资租赁与资金缺口'!$E$15,IF(((YEAR(BW$46)-YEAR('融资租赁与资金缺口'!$F$15))*12+MONTH(BW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W$46)-YEAR('融资租赁与资金缺口'!$F$15))*12+MONTH(BW$46)-MONTH('融资租赁与资金缺口'!$F$15)),'融资租赁与资金缺口'!$E$15*(1+'融资租赁与资金缺口'!$I$15)^((YEAR(BW$46)-YEAR('融资租赁与资金缺口'!$F$15))*12+MONTH(BW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W$46)-YEAR('融资租赁与资金缺口'!$F$15))*12+MONTH(BW$46)-MONTH('融资租赁与资金缺口'!$F$15))-1)/'融资租赁与资金缺口'!$I$15))))),IF(BW$46&lt;'融资租赁与资金缺口'!$F$16,0,IF(BW$46='融资租赁与资金缺口'!$F$16,'融资租赁与资金缺口'!$E$16,IF(((YEAR(BW$46)-YEAR('融资租赁与资金缺口'!$F$16))*12+MONTH(BW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W$46)-YEAR('融资租赁与资金缺口'!$F$16))*12+MONTH(BW$46)-MONTH('融资租赁与资金缺口'!$F$16)),'融资租赁与资金缺口'!$E$16*(1+'融资租赁与资金缺口'!$I$16)^((YEAR(BW$46)-YEAR('融资租赁与资金缺口'!$F$16))*12+MONTH(BW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W$46)-YEAR('融资租赁与资金缺口'!$F$16))*12+MONTH(BW$46)-MONTH('融资租赁与资金缺口'!$F$16))-1)/'融资租赁与资金缺口'!$I$16))))))</x:f>
        <x:v>0</x:v>
      </x:c>
      <x:c r="BX53" s="28" t="n">
        <x:f>SUM(IF(BX$46&lt;'融资租赁与资金缺口'!$F$5,0,IF(BX$46='融资租赁与资金缺口'!$F$5,'融资租赁与资金缺口'!$E$5,IF(((YEAR(BX$46)-YEAR('融资租赁与资金缺口'!$F$5))*12+MONTH(BX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X$46)-YEAR('融资租赁与资金缺口'!$F$5))*12+MONTH(BX$46)-MONTH('融资租赁与资金缺口'!$F$5)),'融资租赁与资金缺口'!$E$5*(1+'融资租赁与资金缺口'!$I$5)^((YEAR(BX$46)-YEAR('融资租赁与资金缺口'!$F$5))*12+MONTH(BX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X$46)-YEAR('融资租赁与资金缺口'!$F$5))*12+MONTH(BX$46)-MONTH('融资租赁与资金缺口'!$F$5))-1)/'融资租赁与资金缺口'!$I$5))))),IF(BX$46&lt;'融资租赁与资金缺口'!$F$6,0,IF(BX$46='融资租赁与资金缺口'!$F$6,'融资租赁与资金缺口'!$E$6,IF(((YEAR(BX$46)-YEAR('融资租赁与资金缺口'!$F$6))*12+MONTH(BX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X$46)-YEAR('融资租赁与资金缺口'!$F$6))*12+MONTH(BX$46)-MONTH('融资租赁与资金缺口'!$F$6)),'融资租赁与资金缺口'!$E$6*(1+'融资租赁与资金缺口'!$I$6)^((YEAR(BX$46)-YEAR('融资租赁与资金缺口'!$F$6))*12+MONTH(BX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X$46)-YEAR('融资租赁与资金缺口'!$F$6))*12+MONTH(BX$46)-MONTH('融资租赁与资金缺口'!$F$6))-1)/'融资租赁与资金缺口'!$I$6))))),IF(BX$46&lt;'融资租赁与资金缺口'!$F$7,0,IF(BX$46='融资租赁与资金缺口'!$F$7,'融资租赁与资金缺口'!$E$7,IF(((YEAR(BX$46)-YEAR('融资租赁与资金缺口'!$F$7))*12+MONTH(BX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X$46)-YEAR('融资租赁与资金缺口'!$F$7))*12+MONTH(BX$46)-MONTH('融资租赁与资金缺口'!$F$7)),'融资租赁与资金缺口'!$E$7*(1+'融资租赁与资金缺口'!$I$7)^((YEAR(BX$46)-YEAR('融资租赁与资金缺口'!$F$7))*12+MONTH(BX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X$46)-YEAR('融资租赁与资金缺口'!$F$7))*12+MONTH(BX$46)-MONTH('融资租赁与资金缺口'!$F$7))-1)/'融资租赁与资金缺口'!$I$7))))),IF(BX$46&lt;'融资租赁与资金缺口'!$F$8,0,IF(BX$46='融资租赁与资金缺口'!$F$8,'融资租赁与资金缺口'!$E$8,IF(((YEAR(BX$46)-YEAR('融资租赁与资金缺口'!$F$8))*12+MONTH(BX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X$46)-YEAR('融资租赁与资金缺口'!$F$8))*12+MONTH(BX$46)-MONTH('融资租赁与资金缺口'!$F$8)),'融资租赁与资金缺口'!$E$8*(1+'融资租赁与资金缺口'!$I$8)^((YEAR(BX$46)-YEAR('融资租赁与资金缺口'!$F$8))*12+MONTH(BX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X$46)-YEAR('融资租赁与资金缺口'!$F$8))*12+MONTH(BX$46)-MONTH('融资租赁与资金缺口'!$F$8))-1)/'融资租赁与资金缺口'!$I$8))))),IF(BX$46&lt;'融资租赁与资金缺口'!$F$9,0,IF(BX$46='融资租赁与资金缺口'!$F$9,'融资租赁与资金缺口'!$E$9,IF(((YEAR(BX$46)-YEAR('融资租赁与资金缺口'!$F$9))*12+MONTH(BX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X$46)-YEAR('融资租赁与资金缺口'!$F$9))*12+MONTH(BX$46)-MONTH('融资租赁与资金缺口'!$F$9)),'融资租赁与资金缺口'!$E$9*(1+'融资租赁与资金缺口'!$I$9)^((YEAR(BX$46)-YEAR('融资租赁与资金缺口'!$F$9))*12+MONTH(BX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X$46)-YEAR('融资租赁与资金缺口'!$F$9))*12+MONTH(BX$46)-MONTH('融资租赁与资金缺口'!$F$9))-1)/'融资租赁与资金缺口'!$I$9))))),IF(BX$46&lt;'融资租赁与资金缺口'!$F$10,0,IF(BX$46='融资租赁与资金缺口'!$F$10,'融资租赁与资金缺口'!$E$10,IF(((YEAR(BX$46)-YEAR('融资租赁与资金缺口'!$F$10))*12+MONTH(BX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X$46)-YEAR('融资租赁与资金缺口'!$F$10))*12+MONTH(BX$46)-MONTH('融资租赁与资金缺口'!$F$10)),'融资租赁与资金缺口'!$E$10*(1+'融资租赁与资金缺口'!$I$10)^((YEAR(BX$46)-YEAR('融资租赁与资金缺口'!$F$10))*12+MONTH(BX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X$46)-YEAR('融资租赁与资金缺口'!$F$10))*12+MONTH(BX$46)-MONTH('融资租赁与资金缺口'!$F$10))-1)/'融资租赁与资金缺口'!$I$10))))),IF(BX$46&lt;'融资租赁与资金缺口'!$F$11,0,IF(BX$46='融资租赁与资金缺口'!$F$11,'融资租赁与资金缺口'!$E$11,IF(((YEAR(BX$46)-YEAR('融资租赁与资金缺口'!$F$11))*12+MONTH(BX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X$46)-YEAR('融资租赁与资金缺口'!$F$11))*12+MONTH(BX$46)-MONTH('融资租赁与资金缺口'!$F$11)),'融资租赁与资金缺口'!$E$11*(1+'融资租赁与资金缺口'!$I$11)^((YEAR(BX$46)-YEAR('融资租赁与资金缺口'!$F$11))*12+MONTH(BX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X$46)-YEAR('融资租赁与资金缺口'!$F$11))*12+MONTH(BX$46)-MONTH('融资租赁与资金缺口'!$F$11))-1)/'融资租赁与资金缺口'!$I$11))))),IF(BX$46&lt;'融资租赁与资金缺口'!$F$12,0,IF(BX$46='融资租赁与资金缺口'!$F$12,'融资租赁与资金缺口'!$E$12,IF(((YEAR(BX$46)-YEAR('融资租赁与资金缺口'!$F$12))*12+MONTH(BX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X$46)-YEAR('融资租赁与资金缺口'!$F$12))*12+MONTH(BX$46)-MONTH('融资租赁与资金缺口'!$F$12)),'融资租赁与资金缺口'!$E$12*(1+'融资租赁与资金缺口'!$I$12)^((YEAR(BX$46)-YEAR('融资租赁与资金缺口'!$F$12))*12+MONTH(BX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X$46)-YEAR('融资租赁与资金缺口'!$F$12))*12+MONTH(BX$46)-MONTH('融资租赁与资金缺口'!$F$12))-1)/'融资租赁与资金缺口'!$I$12))))),IF(BX$46&lt;'融资租赁与资金缺口'!$F$13,0,IF(BX$46='融资租赁与资金缺口'!$F$13,'融资租赁与资金缺口'!$E$13,IF(((YEAR(BX$46)-YEAR('融资租赁与资金缺口'!$F$13))*12+MONTH(BX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X$46)-YEAR('融资租赁与资金缺口'!$F$13))*12+MONTH(BX$46)-MONTH('融资租赁与资金缺口'!$F$13)),'融资租赁与资金缺口'!$E$13*(1+'融资租赁与资金缺口'!$I$13)^((YEAR(BX$46)-YEAR('融资租赁与资金缺口'!$F$13))*12+MONTH(BX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X$46)-YEAR('融资租赁与资金缺口'!$F$13))*12+MONTH(BX$46)-MONTH('融资租赁与资金缺口'!$F$13))-1)/'融资租赁与资金缺口'!$I$13))))),IF(BX$46&lt;'融资租赁与资金缺口'!$F$14,0,IF(BX$46='融资租赁与资金缺口'!$F$14,'融资租赁与资金缺口'!$E$14,IF(((YEAR(BX$46)-YEAR('融资租赁与资金缺口'!$F$14))*12+MONTH(BX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X$46)-YEAR('融资租赁与资金缺口'!$F$14))*12+MONTH(BX$46)-MONTH('融资租赁与资金缺口'!$F$14)),'融资租赁与资金缺口'!$E$14*(1+'融资租赁与资金缺口'!$I$14)^((YEAR(BX$46)-YEAR('融资租赁与资金缺口'!$F$14))*12+MONTH(BX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X$46)-YEAR('融资租赁与资金缺口'!$F$14))*12+MONTH(BX$46)-MONTH('融资租赁与资金缺口'!$F$14))-1)/'融资租赁与资金缺口'!$I$14))))),IF(BX$46&lt;'融资租赁与资金缺口'!$F$15,0,IF(BX$46='融资租赁与资金缺口'!$F$15,'融资租赁与资金缺口'!$E$15,IF(((YEAR(BX$46)-YEAR('融资租赁与资金缺口'!$F$15))*12+MONTH(BX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X$46)-YEAR('融资租赁与资金缺口'!$F$15))*12+MONTH(BX$46)-MONTH('融资租赁与资金缺口'!$F$15)),'融资租赁与资金缺口'!$E$15*(1+'融资租赁与资金缺口'!$I$15)^((YEAR(BX$46)-YEAR('融资租赁与资金缺口'!$F$15))*12+MONTH(BX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X$46)-YEAR('融资租赁与资金缺口'!$F$15))*12+MONTH(BX$46)-MONTH('融资租赁与资金缺口'!$F$15))-1)/'融资租赁与资金缺口'!$I$15))))),IF(BX$46&lt;'融资租赁与资金缺口'!$F$16,0,IF(BX$46='融资租赁与资金缺口'!$F$16,'融资租赁与资金缺口'!$E$16,IF(((YEAR(BX$46)-YEAR('融资租赁与资金缺口'!$F$16))*12+MONTH(BX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X$46)-YEAR('融资租赁与资金缺口'!$F$16))*12+MONTH(BX$46)-MONTH('融资租赁与资金缺口'!$F$16)),'融资租赁与资金缺口'!$E$16*(1+'融资租赁与资金缺口'!$I$16)^((YEAR(BX$46)-YEAR('融资租赁与资金缺口'!$F$16))*12+MONTH(BX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X$46)-YEAR('融资租赁与资金缺口'!$F$16))*12+MONTH(BX$46)-MONTH('融资租赁与资金缺口'!$F$16))-1)/'融资租赁与资金缺口'!$I$16))))))</x:f>
        <x:v>0</x:v>
      </x:c>
      <x:c r="BY53" s="28" t="n">
        <x:f>SUM(IF(BY$46&lt;'融资租赁与资金缺口'!$F$5,0,IF(BY$46='融资租赁与资金缺口'!$F$5,'融资租赁与资金缺口'!$E$5,IF(((YEAR(BY$46)-YEAR('融资租赁与资金缺口'!$F$5))*12+MONTH(BY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Y$46)-YEAR('融资租赁与资金缺口'!$F$5))*12+MONTH(BY$46)-MONTH('融资租赁与资金缺口'!$F$5)),'融资租赁与资金缺口'!$E$5*(1+'融资租赁与资金缺口'!$I$5)^((YEAR(BY$46)-YEAR('融资租赁与资金缺口'!$F$5))*12+MONTH(BY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Y$46)-YEAR('融资租赁与资金缺口'!$F$5))*12+MONTH(BY$46)-MONTH('融资租赁与资金缺口'!$F$5))-1)/'融资租赁与资金缺口'!$I$5))))),IF(BY$46&lt;'融资租赁与资金缺口'!$F$6,0,IF(BY$46='融资租赁与资金缺口'!$F$6,'融资租赁与资金缺口'!$E$6,IF(((YEAR(BY$46)-YEAR('融资租赁与资金缺口'!$F$6))*12+MONTH(BY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Y$46)-YEAR('融资租赁与资金缺口'!$F$6))*12+MONTH(BY$46)-MONTH('融资租赁与资金缺口'!$F$6)),'融资租赁与资金缺口'!$E$6*(1+'融资租赁与资金缺口'!$I$6)^((YEAR(BY$46)-YEAR('融资租赁与资金缺口'!$F$6))*12+MONTH(BY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Y$46)-YEAR('融资租赁与资金缺口'!$F$6))*12+MONTH(BY$46)-MONTH('融资租赁与资金缺口'!$F$6))-1)/'融资租赁与资金缺口'!$I$6))))),IF(BY$46&lt;'融资租赁与资金缺口'!$F$7,0,IF(BY$46='融资租赁与资金缺口'!$F$7,'融资租赁与资金缺口'!$E$7,IF(((YEAR(BY$46)-YEAR('融资租赁与资金缺口'!$F$7))*12+MONTH(BY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Y$46)-YEAR('融资租赁与资金缺口'!$F$7))*12+MONTH(BY$46)-MONTH('融资租赁与资金缺口'!$F$7)),'融资租赁与资金缺口'!$E$7*(1+'融资租赁与资金缺口'!$I$7)^((YEAR(BY$46)-YEAR('融资租赁与资金缺口'!$F$7))*12+MONTH(BY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Y$46)-YEAR('融资租赁与资金缺口'!$F$7))*12+MONTH(BY$46)-MONTH('融资租赁与资金缺口'!$F$7))-1)/'融资租赁与资金缺口'!$I$7))))),IF(BY$46&lt;'融资租赁与资金缺口'!$F$8,0,IF(BY$46='融资租赁与资金缺口'!$F$8,'融资租赁与资金缺口'!$E$8,IF(((YEAR(BY$46)-YEAR('融资租赁与资金缺口'!$F$8))*12+MONTH(BY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Y$46)-YEAR('融资租赁与资金缺口'!$F$8))*12+MONTH(BY$46)-MONTH('融资租赁与资金缺口'!$F$8)),'融资租赁与资金缺口'!$E$8*(1+'融资租赁与资金缺口'!$I$8)^((YEAR(BY$46)-YEAR('融资租赁与资金缺口'!$F$8))*12+MONTH(BY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Y$46)-YEAR('融资租赁与资金缺口'!$F$8))*12+MONTH(BY$46)-MONTH('融资租赁与资金缺口'!$F$8))-1)/'融资租赁与资金缺口'!$I$8))))),IF(BY$46&lt;'融资租赁与资金缺口'!$F$9,0,IF(BY$46='融资租赁与资金缺口'!$F$9,'融资租赁与资金缺口'!$E$9,IF(((YEAR(BY$46)-YEAR('融资租赁与资金缺口'!$F$9))*12+MONTH(BY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Y$46)-YEAR('融资租赁与资金缺口'!$F$9))*12+MONTH(BY$46)-MONTH('融资租赁与资金缺口'!$F$9)),'融资租赁与资金缺口'!$E$9*(1+'融资租赁与资金缺口'!$I$9)^((YEAR(BY$46)-YEAR('融资租赁与资金缺口'!$F$9))*12+MONTH(BY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Y$46)-YEAR('融资租赁与资金缺口'!$F$9))*12+MONTH(BY$46)-MONTH('融资租赁与资金缺口'!$F$9))-1)/'融资租赁与资金缺口'!$I$9))))),IF(BY$46&lt;'融资租赁与资金缺口'!$F$10,0,IF(BY$46='融资租赁与资金缺口'!$F$10,'融资租赁与资金缺口'!$E$10,IF(((YEAR(BY$46)-YEAR('融资租赁与资金缺口'!$F$10))*12+MONTH(BY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Y$46)-YEAR('融资租赁与资金缺口'!$F$10))*12+MONTH(BY$46)-MONTH('融资租赁与资金缺口'!$F$10)),'融资租赁与资金缺口'!$E$10*(1+'融资租赁与资金缺口'!$I$10)^((YEAR(BY$46)-YEAR('融资租赁与资金缺口'!$F$10))*12+MONTH(BY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Y$46)-YEAR('融资租赁与资金缺口'!$F$10))*12+MONTH(BY$46)-MONTH('融资租赁与资金缺口'!$F$10))-1)/'融资租赁与资金缺口'!$I$10))))),IF(BY$46&lt;'融资租赁与资金缺口'!$F$11,0,IF(BY$46='融资租赁与资金缺口'!$F$11,'融资租赁与资金缺口'!$E$11,IF(((YEAR(BY$46)-YEAR('融资租赁与资金缺口'!$F$11))*12+MONTH(BY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Y$46)-YEAR('融资租赁与资金缺口'!$F$11))*12+MONTH(BY$46)-MONTH('融资租赁与资金缺口'!$F$11)),'融资租赁与资金缺口'!$E$11*(1+'融资租赁与资金缺口'!$I$11)^((YEAR(BY$46)-YEAR('融资租赁与资金缺口'!$F$11))*12+MONTH(BY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Y$46)-YEAR('融资租赁与资金缺口'!$F$11))*12+MONTH(BY$46)-MONTH('融资租赁与资金缺口'!$F$11))-1)/'融资租赁与资金缺口'!$I$11))))),IF(BY$46&lt;'融资租赁与资金缺口'!$F$12,0,IF(BY$46='融资租赁与资金缺口'!$F$12,'融资租赁与资金缺口'!$E$12,IF(((YEAR(BY$46)-YEAR('融资租赁与资金缺口'!$F$12))*12+MONTH(BY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Y$46)-YEAR('融资租赁与资金缺口'!$F$12))*12+MONTH(BY$46)-MONTH('融资租赁与资金缺口'!$F$12)),'融资租赁与资金缺口'!$E$12*(1+'融资租赁与资金缺口'!$I$12)^((YEAR(BY$46)-YEAR('融资租赁与资金缺口'!$F$12))*12+MONTH(BY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Y$46)-YEAR('融资租赁与资金缺口'!$F$12))*12+MONTH(BY$46)-MONTH('融资租赁与资金缺口'!$F$12))-1)/'融资租赁与资金缺口'!$I$12))))),IF(BY$46&lt;'融资租赁与资金缺口'!$F$13,0,IF(BY$46='融资租赁与资金缺口'!$F$13,'融资租赁与资金缺口'!$E$13,IF(((YEAR(BY$46)-YEAR('融资租赁与资金缺口'!$F$13))*12+MONTH(BY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Y$46)-YEAR('融资租赁与资金缺口'!$F$13))*12+MONTH(BY$46)-MONTH('融资租赁与资金缺口'!$F$13)),'融资租赁与资金缺口'!$E$13*(1+'融资租赁与资金缺口'!$I$13)^((YEAR(BY$46)-YEAR('融资租赁与资金缺口'!$F$13))*12+MONTH(BY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Y$46)-YEAR('融资租赁与资金缺口'!$F$13))*12+MONTH(BY$46)-MONTH('融资租赁与资金缺口'!$F$13))-1)/'融资租赁与资金缺口'!$I$13))))),IF(BY$46&lt;'融资租赁与资金缺口'!$F$14,0,IF(BY$46='融资租赁与资金缺口'!$F$14,'融资租赁与资金缺口'!$E$14,IF(((YEAR(BY$46)-YEAR('融资租赁与资金缺口'!$F$14))*12+MONTH(BY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Y$46)-YEAR('融资租赁与资金缺口'!$F$14))*12+MONTH(BY$46)-MONTH('融资租赁与资金缺口'!$F$14)),'融资租赁与资金缺口'!$E$14*(1+'融资租赁与资金缺口'!$I$14)^((YEAR(BY$46)-YEAR('融资租赁与资金缺口'!$F$14))*12+MONTH(BY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Y$46)-YEAR('融资租赁与资金缺口'!$F$14))*12+MONTH(BY$46)-MONTH('融资租赁与资金缺口'!$F$14))-1)/'融资租赁与资金缺口'!$I$14))))),IF(BY$46&lt;'融资租赁与资金缺口'!$F$15,0,IF(BY$46='融资租赁与资金缺口'!$F$15,'融资租赁与资金缺口'!$E$15,IF(((YEAR(BY$46)-YEAR('融资租赁与资金缺口'!$F$15))*12+MONTH(BY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Y$46)-YEAR('融资租赁与资金缺口'!$F$15))*12+MONTH(BY$46)-MONTH('融资租赁与资金缺口'!$F$15)),'融资租赁与资金缺口'!$E$15*(1+'融资租赁与资金缺口'!$I$15)^((YEAR(BY$46)-YEAR('融资租赁与资金缺口'!$F$15))*12+MONTH(BY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Y$46)-YEAR('融资租赁与资金缺口'!$F$15))*12+MONTH(BY$46)-MONTH('融资租赁与资金缺口'!$F$15))-1)/'融资租赁与资金缺口'!$I$15))))),IF(BY$46&lt;'融资租赁与资金缺口'!$F$16,0,IF(BY$46='融资租赁与资金缺口'!$F$16,'融资租赁与资金缺口'!$E$16,IF(((YEAR(BY$46)-YEAR('融资租赁与资金缺口'!$F$16))*12+MONTH(BY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Y$46)-YEAR('融资租赁与资金缺口'!$F$16))*12+MONTH(BY$46)-MONTH('融资租赁与资金缺口'!$F$16)),'融资租赁与资金缺口'!$E$16*(1+'融资租赁与资金缺口'!$I$16)^((YEAR(BY$46)-YEAR('融资租赁与资金缺口'!$F$16))*12+MONTH(BY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Y$46)-YEAR('融资租赁与资金缺口'!$F$16))*12+MONTH(BY$46)-MONTH('融资租赁与资金缺口'!$F$16))-1)/'融资租赁与资金缺口'!$I$16))))))</x:f>
        <x:v>0</x:v>
      </x:c>
      <x:c r="BZ53" s="28" t="n">
        <x:f>SUM(IF(BZ$46&lt;'融资租赁与资金缺口'!$F$5,0,IF(BZ$46='融资租赁与资金缺口'!$F$5,'融资租赁与资金缺口'!$E$5,IF(((YEAR(BZ$46)-YEAR('融资租赁与资金缺口'!$F$5))*12+MONTH(BZ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BZ$46)-YEAR('融资租赁与资金缺口'!$F$5))*12+MONTH(BZ$46)-MONTH('融资租赁与资金缺口'!$F$5)),'融资租赁与资金缺口'!$E$5*(1+'融资租赁与资金缺口'!$I$5)^((YEAR(BZ$46)-YEAR('融资租赁与资金缺口'!$F$5))*12+MONTH(BZ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BZ$46)-YEAR('融资租赁与资金缺口'!$F$5))*12+MONTH(BZ$46)-MONTH('融资租赁与资金缺口'!$F$5))-1)/'融资租赁与资金缺口'!$I$5))))),IF(BZ$46&lt;'融资租赁与资金缺口'!$F$6,0,IF(BZ$46='融资租赁与资金缺口'!$F$6,'融资租赁与资金缺口'!$E$6,IF(((YEAR(BZ$46)-YEAR('融资租赁与资金缺口'!$F$6))*12+MONTH(BZ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BZ$46)-YEAR('融资租赁与资金缺口'!$F$6))*12+MONTH(BZ$46)-MONTH('融资租赁与资金缺口'!$F$6)),'融资租赁与资金缺口'!$E$6*(1+'融资租赁与资金缺口'!$I$6)^((YEAR(BZ$46)-YEAR('融资租赁与资金缺口'!$F$6))*12+MONTH(BZ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BZ$46)-YEAR('融资租赁与资金缺口'!$F$6))*12+MONTH(BZ$46)-MONTH('融资租赁与资金缺口'!$F$6))-1)/'融资租赁与资金缺口'!$I$6))))),IF(BZ$46&lt;'融资租赁与资金缺口'!$F$7,0,IF(BZ$46='融资租赁与资金缺口'!$F$7,'融资租赁与资金缺口'!$E$7,IF(((YEAR(BZ$46)-YEAR('融资租赁与资金缺口'!$F$7))*12+MONTH(BZ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BZ$46)-YEAR('融资租赁与资金缺口'!$F$7))*12+MONTH(BZ$46)-MONTH('融资租赁与资金缺口'!$F$7)),'融资租赁与资金缺口'!$E$7*(1+'融资租赁与资金缺口'!$I$7)^((YEAR(BZ$46)-YEAR('融资租赁与资金缺口'!$F$7))*12+MONTH(BZ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BZ$46)-YEAR('融资租赁与资金缺口'!$F$7))*12+MONTH(BZ$46)-MONTH('融资租赁与资金缺口'!$F$7))-1)/'融资租赁与资金缺口'!$I$7))))),IF(BZ$46&lt;'融资租赁与资金缺口'!$F$8,0,IF(BZ$46='融资租赁与资金缺口'!$F$8,'融资租赁与资金缺口'!$E$8,IF(((YEAR(BZ$46)-YEAR('融资租赁与资金缺口'!$F$8))*12+MONTH(BZ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BZ$46)-YEAR('融资租赁与资金缺口'!$F$8))*12+MONTH(BZ$46)-MONTH('融资租赁与资金缺口'!$F$8)),'融资租赁与资金缺口'!$E$8*(1+'融资租赁与资金缺口'!$I$8)^((YEAR(BZ$46)-YEAR('融资租赁与资金缺口'!$F$8))*12+MONTH(BZ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BZ$46)-YEAR('融资租赁与资金缺口'!$F$8))*12+MONTH(BZ$46)-MONTH('融资租赁与资金缺口'!$F$8))-1)/'融资租赁与资金缺口'!$I$8))))),IF(BZ$46&lt;'融资租赁与资金缺口'!$F$9,0,IF(BZ$46='融资租赁与资金缺口'!$F$9,'融资租赁与资金缺口'!$E$9,IF(((YEAR(BZ$46)-YEAR('融资租赁与资金缺口'!$F$9))*12+MONTH(BZ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BZ$46)-YEAR('融资租赁与资金缺口'!$F$9))*12+MONTH(BZ$46)-MONTH('融资租赁与资金缺口'!$F$9)),'融资租赁与资金缺口'!$E$9*(1+'融资租赁与资金缺口'!$I$9)^((YEAR(BZ$46)-YEAR('融资租赁与资金缺口'!$F$9))*12+MONTH(BZ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BZ$46)-YEAR('融资租赁与资金缺口'!$F$9))*12+MONTH(BZ$46)-MONTH('融资租赁与资金缺口'!$F$9))-1)/'融资租赁与资金缺口'!$I$9))))),IF(BZ$46&lt;'融资租赁与资金缺口'!$F$10,0,IF(BZ$46='融资租赁与资金缺口'!$F$10,'融资租赁与资金缺口'!$E$10,IF(((YEAR(BZ$46)-YEAR('融资租赁与资金缺口'!$F$10))*12+MONTH(BZ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BZ$46)-YEAR('融资租赁与资金缺口'!$F$10))*12+MONTH(BZ$46)-MONTH('融资租赁与资金缺口'!$F$10)),'融资租赁与资金缺口'!$E$10*(1+'融资租赁与资金缺口'!$I$10)^((YEAR(BZ$46)-YEAR('融资租赁与资金缺口'!$F$10))*12+MONTH(BZ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BZ$46)-YEAR('融资租赁与资金缺口'!$F$10))*12+MONTH(BZ$46)-MONTH('融资租赁与资金缺口'!$F$10))-1)/'融资租赁与资金缺口'!$I$10))))),IF(BZ$46&lt;'融资租赁与资金缺口'!$F$11,0,IF(BZ$46='融资租赁与资金缺口'!$F$11,'融资租赁与资金缺口'!$E$11,IF(((YEAR(BZ$46)-YEAR('融资租赁与资金缺口'!$F$11))*12+MONTH(BZ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BZ$46)-YEAR('融资租赁与资金缺口'!$F$11))*12+MONTH(BZ$46)-MONTH('融资租赁与资金缺口'!$F$11)),'融资租赁与资金缺口'!$E$11*(1+'融资租赁与资金缺口'!$I$11)^((YEAR(BZ$46)-YEAR('融资租赁与资金缺口'!$F$11))*12+MONTH(BZ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BZ$46)-YEAR('融资租赁与资金缺口'!$F$11))*12+MONTH(BZ$46)-MONTH('融资租赁与资金缺口'!$F$11))-1)/'融资租赁与资金缺口'!$I$11))))),IF(BZ$46&lt;'融资租赁与资金缺口'!$F$12,0,IF(BZ$46='融资租赁与资金缺口'!$F$12,'融资租赁与资金缺口'!$E$12,IF(((YEAR(BZ$46)-YEAR('融资租赁与资金缺口'!$F$12))*12+MONTH(BZ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BZ$46)-YEAR('融资租赁与资金缺口'!$F$12))*12+MONTH(BZ$46)-MONTH('融资租赁与资金缺口'!$F$12)),'融资租赁与资金缺口'!$E$12*(1+'融资租赁与资金缺口'!$I$12)^((YEAR(BZ$46)-YEAR('融资租赁与资金缺口'!$F$12))*12+MONTH(BZ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BZ$46)-YEAR('融资租赁与资金缺口'!$F$12))*12+MONTH(BZ$46)-MONTH('融资租赁与资金缺口'!$F$12))-1)/'融资租赁与资金缺口'!$I$12))))),IF(BZ$46&lt;'融资租赁与资金缺口'!$F$13,0,IF(BZ$46='融资租赁与资金缺口'!$F$13,'融资租赁与资金缺口'!$E$13,IF(((YEAR(BZ$46)-YEAR('融资租赁与资金缺口'!$F$13))*12+MONTH(BZ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BZ$46)-YEAR('融资租赁与资金缺口'!$F$13))*12+MONTH(BZ$46)-MONTH('融资租赁与资金缺口'!$F$13)),'融资租赁与资金缺口'!$E$13*(1+'融资租赁与资金缺口'!$I$13)^((YEAR(BZ$46)-YEAR('融资租赁与资金缺口'!$F$13))*12+MONTH(BZ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BZ$46)-YEAR('融资租赁与资金缺口'!$F$13))*12+MONTH(BZ$46)-MONTH('融资租赁与资金缺口'!$F$13))-1)/'融资租赁与资金缺口'!$I$13))))),IF(BZ$46&lt;'融资租赁与资金缺口'!$F$14,0,IF(BZ$46='融资租赁与资金缺口'!$F$14,'融资租赁与资金缺口'!$E$14,IF(((YEAR(BZ$46)-YEAR('融资租赁与资金缺口'!$F$14))*12+MONTH(BZ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BZ$46)-YEAR('融资租赁与资金缺口'!$F$14))*12+MONTH(BZ$46)-MONTH('融资租赁与资金缺口'!$F$14)),'融资租赁与资金缺口'!$E$14*(1+'融资租赁与资金缺口'!$I$14)^((YEAR(BZ$46)-YEAR('融资租赁与资金缺口'!$F$14))*12+MONTH(BZ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BZ$46)-YEAR('融资租赁与资金缺口'!$F$14))*12+MONTH(BZ$46)-MONTH('融资租赁与资金缺口'!$F$14))-1)/'融资租赁与资金缺口'!$I$14))))),IF(BZ$46&lt;'融资租赁与资金缺口'!$F$15,0,IF(BZ$46='融资租赁与资金缺口'!$F$15,'融资租赁与资金缺口'!$E$15,IF(((YEAR(BZ$46)-YEAR('融资租赁与资金缺口'!$F$15))*12+MONTH(BZ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BZ$46)-YEAR('融资租赁与资金缺口'!$F$15))*12+MONTH(BZ$46)-MONTH('融资租赁与资金缺口'!$F$15)),'融资租赁与资金缺口'!$E$15*(1+'融资租赁与资金缺口'!$I$15)^((YEAR(BZ$46)-YEAR('融资租赁与资金缺口'!$F$15))*12+MONTH(BZ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BZ$46)-YEAR('融资租赁与资金缺口'!$F$15))*12+MONTH(BZ$46)-MONTH('融资租赁与资金缺口'!$F$15))-1)/'融资租赁与资金缺口'!$I$15))))),IF(BZ$46&lt;'融资租赁与资金缺口'!$F$16,0,IF(BZ$46='融资租赁与资金缺口'!$F$16,'融资租赁与资金缺口'!$E$16,IF(((YEAR(BZ$46)-YEAR('融资租赁与资金缺口'!$F$16))*12+MONTH(BZ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BZ$46)-YEAR('融资租赁与资金缺口'!$F$16))*12+MONTH(BZ$46)-MONTH('融资租赁与资金缺口'!$F$16)),'融资租赁与资金缺口'!$E$16*(1+'融资租赁与资金缺口'!$I$16)^((YEAR(BZ$46)-YEAR('融资租赁与资金缺口'!$F$16))*12+MONTH(BZ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BZ$46)-YEAR('融资租赁与资金缺口'!$F$16))*12+MONTH(BZ$46)-MONTH('融资租赁与资金缺口'!$F$16))-1)/'融资租赁与资金缺口'!$I$16))))))</x:f>
        <x:v>0</x:v>
      </x:c>
      <x:c r="CA53" s="28" t="n">
        <x:f>SUM(IF(CA$46&lt;'融资租赁与资金缺口'!$F$5,0,IF(CA$46='融资租赁与资金缺口'!$F$5,'融资租赁与资金缺口'!$E$5,IF(((YEAR(CA$46)-YEAR('融资租赁与资金缺口'!$F$5))*12+MONTH(CA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CA$46)-YEAR('融资租赁与资金缺口'!$F$5))*12+MONTH(CA$46)-MONTH('融资租赁与资金缺口'!$F$5)),'融资租赁与资金缺口'!$E$5*(1+'融资租赁与资金缺口'!$I$5)^((YEAR(CA$46)-YEAR('融资租赁与资金缺口'!$F$5))*12+MONTH(CA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CA$46)-YEAR('融资租赁与资金缺口'!$F$5))*12+MONTH(CA$46)-MONTH('融资租赁与资金缺口'!$F$5))-1)/'融资租赁与资金缺口'!$I$5))))),IF(CA$46&lt;'融资租赁与资金缺口'!$F$6,0,IF(CA$46='融资租赁与资金缺口'!$F$6,'融资租赁与资金缺口'!$E$6,IF(((YEAR(CA$46)-YEAR('融资租赁与资金缺口'!$F$6))*12+MONTH(CA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CA$46)-YEAR('融资租赁与资金缺口'!$F$6))*12+MONTH(CA$46)-MONTH('融资租赁与资金缺口'!$F$6)),'融资租赁与资金缺口'!$E$6*(1+'融资租赁与资金缺口'!$I$6)^((YEAR(CA$46)-YEAR('融资租赁与资金缺口'!$F$6))*12+MONTH(CA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CA$46)-YEAR('融资租赁与资金缺口'!$F$6))*12+MONTH(CA$46)-MONTH('融资租赁与资金缺口'!$F$6))-1)/'融资租赁与资金缺口'!$I$6))))),IF(CA$46&lt;'融资租赁与资金缺口'!$F$7,0,IF(CA$46='融资租赁与资金缺口'!$F$7,'融资租赁与资金缺口'!$E$7,IF(((YEAR(CA$46)-YEAR('融资租赁与资金缺口'!$F$7))*12+MONTH(CA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CA$46)-YEAR('融资租赁与资金缺口'!$F$7))*12+MONTH(CA$46)-MONTH('融资租赁与资金缺口'!$F$7)),'融资租赁与资金缺口'!$E$7*(1+'融资租赁与资金缺口'!$I$7)^((YEAR(CA$46)-YEAR('融资租赁与资金缺口'!$F$7))*12+MONTH(CA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CA$46)-YEAR('融资租赁与资金缺口'!$F$7))*12+MONTH(CA$46)-MONTH('融资租赁与资金缺口'!$F$7))-1)/'融资租赁与资金缺口'!$I$7))))),IF(CA$46&lt;'融资租赁与资金缺口'!$F$8,0,IF(CA$46='融资租赁与资金缺口'!$F$8,'融资租赁与资金缺口'!$E$8,IF(((YEAR(CA$46)-YEAR('融资租赁与资金缺口'!$F$8))*12+MONTH(CA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CA$46)-YEAR('融资租赁与资金缺口'!$F$8))*12+MONTH(CA$46)-MONTH('融资租赁与资金缺口'!$F$8)),'融资租赁与资金缺口'!$E$8*(1+'融资租赁与资金缺口'!$I$8)^((YEAR(CA$46)-YEAR('融资租赁与资金缺口'!$F$8))*12+MONTH(CA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CA$46)-YEAR('融资租赁与资金缺口'!$F$8))*12+MONTH(CA$46)-MONTH('融资租赁与资金缺口'!$F$8))-1)/'融资租赁与资金缺口'!$I$8))))),IF(CA$46&lt;'融资租赁与资金缺口'!$F$9,0,IF(CA$46='融资租赁与资金缺口'!$F$9,'融资租赁与资金缺口'!$E$9,IF(((YEAR(CA$46)-YEAR('融资租赁与资金缺口'!$F$9))*12+MONTH(CA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CA$46)-YEAR('融资租赁与资金缺口'!$F$9))*12+MONTH(CA$46)-MONTH('融资租赁与资金缺口'!$F$9)),'融资租赁与资金缺口'!$E$9*(1+'融资租赁与资金缺口'!$I$9)^((YEAR(CA$46)-YEAR('融资租赁与资金缺口'!$F$9))*12+MONTH(CA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CA$46)-YEAR('融资租赁与资金缺口'!$F$9))*12+MONTH(CA$46)-MONTH('融资租赁与资金缺口'!$F$9))-1)/'融资租赁与资金缺口'!$I$9))))),IF(CA$46&lt;'融资租赁与资金缺口'!$F$10,0,IF(CA$46='融资租赁与资金缺口'!$F$10,'融资租赁与资金缺口'!$E$10,IF(((YEAR(CA$46)-YEAR('融资租赁与资金缺口'!$F$10))*12+MONTH(CA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CA$46)-YEAR('融资租赁与资金缺口'!$F$10))*12+MONTH(CA$46)-MONTH('融资租赁与资金缺口'!$F$10)),'融资租赁与资金缺口'!$E$10*(1+'融资租赁与资金缺口'!$I$10)^((YEAR(CA$46)-YEAR('融资租赁与资金缺口'!$F$10))*12+MONTH(CA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CA$46)-YEAR('融资租赁与资金缺口'!$F$10))*12+MONTH(CA$46)-MONTH('融资租赁与资金缺口'!$F$10))-1)/'融资租赁与资金缺口'!$I$10))))),IF(CA$46&lt;'融资租赁与资金缺口'!$F$11,0,IF(CA$46='融资租赁与资金缺口'!$F$11,'融资租赁与资金缺口'!$E$11,IF(((YEAR(CA$46)-YEAR('融资租赁与资金缺口'!$F$11))*12+MONTH(CA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CA$46)-YEAR('融资租赁与资金缺口'!$F$11))*12+MONTH(CA$46)-MONTH('融资租赁与资金缺口'!$F$11)),'融资租赁与资金缺口'!$E$11*(1+'融资租赁与资金缺口'!$I$11)^((YEAR(CA$46)-YEAR('融资租赁与资金缺口'!$F$11))*12+MONTH(CA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CA$46)-YEAR('融资租赁与资金缺口'!$F$11))*12+MONTH(CA$46)-MONTH('融资租赁与资金缺口'!$F$11))-1)/'融资租赁与资金缺口'!$I$11))))),IF(CA$46&lt;'融资租赁与资金缺口'!$F$12,0,IF(CA$46='融资租赁与资金缺口'!$F$12,'融资租赁与资金缺口'!$E$12,IF(((YEAR(CA$46)-YEAR('融资租赁与资金缺口'!$F$12))*12+MONTH(CA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CA$46)-YEAR('融资租赁与资金缺口'!$F$12))*12+MONTH(CA$46)-MONTH('融资租赁与资金缺口'!$F$12)),'融资租赁与资金缺口'!$E$12*(1+'融资租赁与资金缺口'!$I$12)^((YEAR(CA$46)-YEAR('融资租赁与资金缺口'!$F$12))*12+MONTH(CA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CA$46)-YEAR('融资租赁与资金缺口'!$F$12))*12+MONTH(CA$46)-MONTH('融资租赁与资金缺口'!$F$12))-1)/'融资租赁与资金缺口'!$I$12))))),IF(CA$46&lt;'融资租赁与资金缺口'!$F$13,0,IF(CA$46='融资租赁与资金缺口'!$F$13,'融资租赁与资金缺口'!$E$13,IF(((YEAR(CA$46)-YEAR('融资租赁与资金缺口'!$F$13))*12+MONTH(CA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CA$46)-YEAR('融资租赁与资金缺口'!$F$13))*12+MONTH(CA$46)-MONTH('融资租赁与资金缺口'!$F$13)),'融资租赁与资金缺口'!$E$13*(1+'融资租赁与资金缺口'!$I$13)^((YEAR(CA$46)-YEAR('融资租赁与资金缺口'!$F$13))*12+MONTH(CA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CA$46)-YEAR('融资租赁与资金缺口'!$F$13))*12+MONTH(CA$46)-MONTH('融资租赁与资金缺口'!$F$13))-1)/'融资租赁与资金缺口'!$I$13))))),IF(CA$46&lt;'融资租赁与资金缺口'!$F$14,0,IF(CA$46='融资租赁与资金缺口'!$F$14,'融资租赁与资金缺口'!$E$14,IF(((YEAR(CA$46)-YEAR('融资租赁与资金缺口'!$F$14))*12+MONTH(CA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CA$46)-YEAR('融资租赁与资金缺口'!$F$14))*12+MONTH(CA$46)-MONTH('融资租赁与资金缺口'!$F$14)),'融资租赁与资金缺口'!$E$14*(1+'融资租赁与资金缺口'!$I$14)^((YEAR(CA$46)-YEAR('融资租赁与资金缺口'!$F$14))*12+MONTH(CA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CA$46)-YEAR('融资租赁与资金缺口'!$F$14))*12+MONTH(CA$46)-MONTH('融资租赁与资金缺口'!$F$14))-1)/'融资租赁与资金缺口'!$I$14))))),IF(CA$46&lt;'融资租赁与资金缺口'!$F$15,0,IF(CA$46='融资租赁与资金缺口'!$F$15,'融资租赁与资金缺口'!$E$15,IF(((YEAR(CA$46)-YEAR('融资租赁与资金缺口'!$F$15))*12+MONTH(CA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CA$46)-YEAR('融资租赁与资金缺口'!$F$15))*12+MONTH(CA$46)-MONTH('融资租赁与资金缺口'!$F$15)),'融资租赁与资金缺口'!$E$15*(1+'融资租赁与资金缺口'!$I$15)^((YEAR(CA$46)-YEAR('融资租赁与资金缺口'!$F$15))*12+MONTH(CA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CA$46)-YEAR('融资租赁与资金缺口'!$F$15))*12+MONTH(CA$46)-MONTH('融资租赁与资金缺口'!$F$15))-1)/'融资租赁与资金缺口'!$I$15))))),IF(CA$46&lt;'融资租赁与资金缺口'!$F$16,0,IF(CA$46='融资租赁与资金缺口'!$F$16,'融资租赁与资金缺口'!$E$16,IF(((YEAR(CA$46)-YEAR('融资租赁与资金缺口'!$F$16))*12+MONTH(CA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CA$46)-YEAR('融资租赁与资金缺口'!$F$16))*12+MONTH(CA$46)-MONTH('融资租赁与资金缺口'!$F$16)),'融资租赁与资金缺口'!$E$16*(1+'融资租赁与资金缺口'!$I$16)^((YEAR(CA$46)-YEAR('融资租赁与资金缺口'!$F$16))*12+MONTH(CA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CA$46)-YEAR('融资租赁与资金缺口'!$F$16))*12+MONTH(CA$46)-MONTH('融资租赁与资金缺口'!$F$16))-1)/'融资租赁与资金缺口'!$I$16))))))</x:f>
        <x:v>0</x:v>
      </x:c>
      <x:c r="CB53" s="28" t="n">
        <x:f>SUM(IF(CB$46&lt;'融资租赁与资金缺口'!$F$5,0,IF(CB$46='融资租赁与资金缺口'!$F$5,'融资租赁与资金缺口'!$E$5,IF(((YEAR(CB$46)-YEAR('融资租赁与资金缺口'!$F$5))*12+MONTH(CB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CB$46)-YEAR('融资租赁与资金缺口'!$F$5))*12+MONTH(CB$46)-MONTH('融资租赁与资金缺口'!$F$5)),'融资租赁与资金缺口'!$E$5*(1+'融资租赁与资金缺口'!$I$5)^((YEAR(CB$46)-YEAR('融资租赁与资金缺口'!$F$5))*12+MONTH(CB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CB$46)-YEAR('融资租赁与资金缺口'!$F$5))*12+MONTH(CB$46)-MONTH('融资租赁与资金缺口'!$F$5))-1)/'融资租赁与资金缺口'!$I$5))))),IF(CB$46&lt;'融资租赁与资金缺口'!$F$6,0,IF(CB$46='融资租赁与资金缺口'!$F$6,'融资租赁与资金缺口'!$E$6,IF(((YEAR(CB$46)-YEAR('融资租赁与资金缺口'!$F$6))*12+MONTH(CB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CB$46)-YEAR('融资租赁与资金缺口'!$F$6))*12+MONTH(CB$46)-MONTH('融资租赁与资金缺口'!$F$6)),'融资租赁与资金缺口'!$E$6*(1+'融资租赁与资金缺口'!$I$6)^((YEAR(CB$46)-YEAR('融资租赁与资金缺口'!$F$6))*12+MONTH(CB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CB$46)-YEAR('融资租赁与资金缺口'!$F$6))*12+MONTH(CB$46)-MONTH('融资租赁与资金缺口'!$F$6))-1)/'融资租赁与资金缺口'!$I$6))))),IF(CB$46&lt;'融资租赁与资金缺口'!$F$7,0,IF(CB$46='融资租赁与资金缺口'!$F$7,'融资租赁与资金缺口'!$E$7,IF(((YEAR(CB$46)-YEAR('融资租赁与资金缺口'!$F$7))*12+MONTH(CB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CB$46)-YEAR('融资租赁与资金缺口'!$F$7))*12+MONTH(CB$46)-MONTH('融资租赁与资金缺口'!$F$7)),'融资租赁与资金缺口'!$E$7*(1+'融资租赁与资金缺口'!$I$7)^((YEAR(CB$46)-YEAR('融资租赁与资金缺口'!$F$7))*12+MONTH(CB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CB$46)-YEAR('融资租赁与资金缺口'!$F$7))*12+MONTH(CB$46)-MONTH('融资租赁与资金缺口'!$F$7))-1)/'融资租赁与资金缺口'!$I$7))))),IF(CB$46&lt;'融资租赁与资金缺口'!$F$8,0,IF(CB$46='融资租赁与资金缺口'!$F$8,'融资租赁与资金缺口'!$E$8,IF(((YEAR(CB$46)-YEAR('融资租赁与资金缺口'!$F$8))*12+MONTH(CB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CB$46)-YEAR('融资租赁与资金缺口'!$F$8))*12+MONTH(CB$46)-MONTH('融资租赁与资金缺口'!$F$8)),'融资租赁与资金缺口'!$E$8*(1+'融资租赁与资金缺口'!$I$8)^((YEAR(CB$46)-YEAR('融资租赁与资金缺口'!$F$8))*12+MONTH(CB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CB$46)-YEAR('融资租赁与资金缺口'!$F$8))*12+MONTH(CB$46)-MONTH('融资租赁与资金缺口'!$F$8))-1)/'融资租赁与资金缺口'!$I$8))))),IF(CB$46&lt;'融资租赁与资金缺口'!$F$9,0,IF(CB$46='融资租赁与资金缺口'!$F$9,'融资租赁与资金缺口'!$E$9,IF(((YEAR(CB$46)-YEAR('融资租赁与资金缺口'!$F$9))*12+MONTH(CB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CB$46)-YEAR('融资租赁与资金缺口'!$F$9))*12+MONTH(CB$46)-MONTH('融资租赁与资金缺口'!$F$9)),'融资租赁与资金缺口'!$E$9*(1+'融资租赁与资金缺口'!$I$9)^((YEAR(CB$46)-YEAR('融资租赁与资金缺口'!$F$9))*12+MONTH(CB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CB$46)-YEAR('融资租赁与资金缺口'!$F$9))*12+MONTH(CB$46)-MONTH('融资租赁与资金缺口'!$F$9))-1)/'融资租赁与资金缺口'!$I$9))))),IF(CB$46&lt;'融资租赁与资金缺口'!$F$10,0,IF(CB$46='融资租赁与资金缺口'!$F$10,'融资租赁与资金缺口'!$E$10,IF(((YEAR(CB$46)-YEAR('融资租赁与资金缺口'!$F$10))*12+MONTH(CB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CB$46)-YEAR('融资租赁与资金缺口'!$F$10))*12+MONTH(CB$46)-MONTH('融资租赁与资金缺口'!$F$10)),'融资租赁与资金缺口'!$E$10*(1+'融资租赁与资金缺口'!$I$10)^((YEAR(CB$46)-YEAR('融资租赁与资金缺口'!$F$10))*12+MONTH(CB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CB$46)-YEAR('融资租赁与资金缺口'!$F$10))*12+MONTH(CB$46)-MONTH('融资租赁与资金缺口'!$F$10))-1)/'融资租赁与资金缺口'!$I$10))))),IF(CB$46&lt;'融资租赁与资金缺口'!$F$11,0,IF(CB$46='融资租赁与资金缺口'!$F$11,'融资租赁与资金缺口'!$E$11,IF(((YEAR(CB$46)-YEAR('融资租赁与资金缺口'!$F$11))*12+MONTH(CB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CB$46)-YEAR('融资租赁与资金缺口'!$F$11))*12+MONTH(CB$46)-MONTH('融资租赁与资金缺口'!$F$11)),'融资租赁与资金缺口'!$E$11*(1+'融资租赁与资金缺口'!$I$11)^((YEAR(CB$46)-YEAR('融资租赁与资金缺口'!$F$11))*12+MONTH(CB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CB$46)-YEAR('融资租赁与资金缺口'!$F$11))*12+MONTH(CB$46)-MONTH('融资租赁与资金缺口'!$F$11))-1)/'融资租赁与资金缺口'!$I$11))))),IF(CB$46&lt;'融资租赁与资金缺口'!$F$12,0,IF(CB$46='融资租赁与资金缺口'!$F$12,'融资租赁与资金缺口'!$E$12,IF(((YEAR(CB$46)-YEAR('融资租赁与资金缺口'!$F$12))*12+MONTH(CB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CB$46)-YEAR('融资租赁与资金缺口'!$F$12))*12+MONTH(CB$46)-MONTH('融资租赁与资金缺口'!$F$12)),'融资租赁与资金缺口'!$E$12*(1+'融资租赁与资金缺口'!$I$12)^((YEAR(CB$46)-YEAR('融资租赁与资金缺口'!$F$12))*12+MONTH(CB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CB$46)-YEAR('融资租赁与资金缺口'!$F$12))*12+MONTH(CB$46)-MONTH('融资租赁与资金缺口'!$F$12))-1)/'融资租赁与资金缺口'!$I$12))))),IF(CB$46&lt;'融资租赁与资金缺口'!$F$13,0,IF(CB$46='融资租赁与资金缺口'!$F$13,'融资租赁与资金缺口'!$E$13,IF(((YEAR(CB$46)-YEAR('融资租赁与资金缺口'!$F$13))*12+MONTH(CB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CB$46)-YEAR('融资租赁与资金缺口'!$F$13))*12+MONTH(CB$46)-MONTH('融资租赁与资金缺口'!$F$13)),'融资租赁与资金缺口'!$E$13*(1+'融资租赁与资金缺口'!$I$13)^((YEAR(CB$46)-YEAR('融资租赁与资金缺口'!$F$13))*12+MONTH(CB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CB$46)-YEAR('融资租赁与资金缺口'!$F$13))*12+MONTH(CB$46)-MONTH('融资租赁与资金缺口'!$F$13))-1)/'融资租赁与资金缺口'!$I$13))))),IF(CB$46&lt;'融资租赁与资金缺口'!$F$14,0,IF(CB$46='融资租赁与资金缺口'!$F$14,'融资租赁与资金缺口'!$E$14,IF(((YEAR(CB$46)-YEAR('融资租赁与资金缺口'!$F$14))*12+MONTH(CB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CB$46)-YEAR('融资租赁与资金缺口'!$F$14))*12+MONTH(CB$46)-MONTH('融资租赁与资金缺口'!$F$14)),'融资租赁与资金缺口'!$E$14*(1+'融资租赁与资金缺口'!$I$14)^((YEAR(CB$46)-YEAR('融资租赁与资金缺口'!$F$14))*12+MONTH(CB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CB$46)-YEAR('融资租赁与资金缺口'!$F$14))*12+MONTH(CB$46)-MONTH('融资租赁与资金缺口'!$F$14))-1)/'融资租赁与资金缺口'!$I$14))))),IF(CB$46&lt;'融资租赁与资金缺口'!$F$15,0,IF(CB$46='融资租赁与资金缺口'!$F$15,'融资租赁与资金缺口'!$E$15,IF(((YEAR(CB$46)-YEAR('融资租赁与资金缺口'!$F$15))*12+MONTH(CB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CB$46)-YEAR('融资租赁与资金缺口'!$F$15))*12+MONTH(CB$46)-MONTH('融资租赁与资金缺口'!$F$15)),'融资租赁与资金缺口'!$E$15*(1+'融资租赁与资金缺口'!$I$15)^((YEAR(CB$46)-YEAR('融资租赁与资金缺口'!$F$15))*12+MONTH(CB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CB$46)-YEAR('融资租赁与资金缺口'!$F$15))*12+MONTH(CB$46)-MONTH('融资租赁与资金缺口'!$F$15))-1)/'融资租赁与资金缺口'!$I$15))))),IF(CB$46&lt;'融资租赁与资金缺口'!$F$16,0,IF(CB$46='融资租赁与资金缺口'!$F$16,'融资租赁与资金缺口'!$E$16,IF(((YEAR(CB$46)-YEAR('融资租赁与资金缺口'!$F$16))*12+MONTH(CB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CB$46)-YEAR('融资租赁与资金缺口'!$F$16))*12+MONTH(CB$46)-MONTH('融资租赁与资金缺口'!$F$16)),'融资租赁与资金缺口'!$E$16*(1+'融资租赁与资金缺口'!$I$16)^((YEAR(CB$46)-YEAR('融资租赁与资金缺口'!$F$16))*12+MONTH(CB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CB$46)-YEAR('融资租赁与资金缺口'!$F$16))*12+MONTH(CB$46)-MONTH('融资租赁与资金缺口'!$F$16))-1)/'融资租赁与资金缺口'!$I$16))))))</x:f>
        <x:v>0</x:v>
      </x:c>
      <x:c r="CC53" s="28" t="n">
        <x:f>SUM(IF(CC$46&lt;'融资租赁与资金缺口'!$F$5,0,IF(CC$46='融资租赁与资金缺口'!$F$5,'融资租赁与资金缺口'!$E$5,IF(((YEAR(CC$46)-YEAR('融资租赁与资金缺口'!$F$5))*12+MONTH(CC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CC$46)-YEAR('融资租赁与资金缺口'!$F$5))*12+MONTH(CC$46)-MONTH('融资租赁与资金缺口'!$F$5)),'融资租赁与资金缺口'!$E$5*(1+'融资租赁与资金缺口'!$I$5)^((YEAR(CC$46)-YEAR('融资租赁与资金缺口'!$F$5))*12+MONTH(CC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CC$46)-YEAR('融资租赁与资金缺口'!$F$5))*12+MONTH(CC$46)-MONTH('融资租赁与资金缺口'!$F$5))-1)/'融资租赁与资金缺口'!$I$5))))),IF(CC$46&lt;'融资租赁与资金缺口'!$F$6,0,IF(CC$46='融资租赁与资金缺口'!$F$6,'融资租赁与资金缺口'!$E$6,IF(((YEAR(CC$46)-YEAR('融资租赁与资金缺口'!$F$6))*12+MONTH(CC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CC$46)-YEAR('融资租赁与资金缺口'!$F$6))*12+MONTH(CC$46)-MONTH('融资租赁与资金缺口'!$F$6)),'融资租赁与资金缺口'!$E$6*(1+'融资租赁与资金缺口'!$I$6)^((YEAR(CC$46)-YEAR('融资租赁与资金缺口'!$F$6))*12+MONTH(CC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CC$46)-YEAR('融资租赁与资金缺口'!$F$6))*12+MONTH(CC$46)-MONTH('融资租赁与资金缺口'!$F$6))-1)/'融资租赁与资金缺口'!$I$6))))),IF(CC$46&lt;'融资租赁与资金缺口'!$F$7,0,IF(CC$46='融资租赁与资金缺口'!$F$7,'融资租赁与资金缺口'!$E$7,IF(((YEAR(CC$46)-YEAR('融资租赁与资金缺口'!$F$7))*12+MONTH(CC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CC$46)-YEAR('融资租赁与资金缺口'!$F$7))*12+MONTH(CC$46)-MONTH('融资租赁与资金缺口'!$F$7)),'融资租赁与资金缺口'!$E$7*(1+'融资租赁与资金缺口'!$I$7)^((YEAR(CC$46)-YEAR('融资租赁与资金缺口'!$F$7))*12+MONTH(CC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CC$46)-YEAR('融资租赁与资金缺口'!$F$7))*12+MONTH(CC$46)-MONTH('融资租赁与资金缺口'!$F$7))-1)/'融资租赁与资金缺口'!$I$7))))),IF(CC$46&lt;'融资租赁与资金缺口'!$F$8,0,IF(CC$46='融资租赁与资金缺口'!$F$8,'融资租赁与资金缺口'!$E$8,IF(((YEAR(CC$46)-YEAR('融资租赁与资金缺口'!$F$8))*12+MONTH(CC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CC$46)-YEAR('融资租赁与资金缺口'!$F$8))*12+MONTH(CC$46)-MONTH('融资租赁与资金缺口'!$F$8)),'融资租赁与资金缺口'!$E$8*(1+'融资租赁与资金缺口'!$I$8)^((YEAR(CC$46)-YEAR('融资租赁与资金缺口'!$F$8))*12+MONTH(CC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CC$46)-YEAR('融资租赁与资金缺口'!$F$8))*12+MONTH(CC$46)-MONTH('融资租赁与资金缺口'!$F$8))-1)/'融资租赁与资金缺口'!$I$8))))),IF(CC$46&lt;'融资租赁与资金缺口'!$F$9,0,IF(CC$46='融资租赁与资金缺口'!$F$9,'融资租赁与资金缺口'!$E$9,IF(((YEAR(CC$46)-YEAR('融资租赁与资金缺口'!$F$9))*12+MONTH(CC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CC$46)-YEAR('融资租赁与资金缺口'!$F$9))*12+MONTH(CC$46)-MONTH('融资租赁与资金缺口'!$F$9)),'融资租赁与资金缺口'!$E$9*(1+'融资租赁与资金缺口'!$I$9)^((YEAR(CC$46)-YEAR('融资租赁与资金缺口'!$F$9))*12+MONTH(CC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CC$46)-YEAR('融资租赁与资金缺口'!$F$9))*12+MONTH(CC$46)-MONTH('融资租赁与资金缺口'!$F$9))-1)/'融资租赁与资金缺口'!$I$9))))),IF(CC$46&lt;'融资租赁与资金缺口'!$F$10,0,IF(CC$46='融资租赁与资金缺口'!$F$10,'融资租赁与资金缺口'!$E$10,IF(((YEAR(CC$46)-YEAR('融资租赁与资金缺口'!$F$10))*12+MONTH(CC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CC$46)-YEAR('融资租赁与资金缺口'!$F$10))*12+MONTH(CC$46)-MONTH('融资租赁与资金缺口'!$F$10)),'融资租赁与资金缺口'!$E$10*(1+'融资租赁与资金缺口'!$I$10)^((YEAR(CC$46)-YEAR('融资租赁与资金缺口'!$F$10))*12+MONTH(CC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CC$46)-YEAR('融资租赁与资金缺口'!$F$10))*12+MONTH(CC$46)-MONTH('融资租赁与资金缺口'!$F$10))-1)/'融资租赁与资金缺口'!$I$10))))),IF(CC$46&lt;'融资租赁与资金缺口'!$F$11,0,IF(CC$46='融资租赁与资金缺口'!$F$11,'融资租赁与资金缺口'!$E$11,IF(((YEAR(CC$46)-YEAR('融资租赁与资金缺口'!$F$11))*12+MONTH(CC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CC$46)-YEAR('融资租赁与资金缺口'!$F$11))*12+MONTH(CC$46)-MONTH('融资租赁与资金缺口'!$F$11)),'融资租赁与资金缺口'!$E$11*(1+'融资租赁与资金缺口'!$I$11)^((YEAR(CC$46)-YEAR('融资租赁与资金缺口'!$F$11))*12+MONTH(CC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CC$46)-YEAR('融资租赁与资金缺口'!$F$11))*12+MONTH(CC$46)-MONTH('融资租赁与资金缺口'!$F$11))-1)/'融资租赁与资金缺口'!$I$11))))),IF(CC$46&lt;'融资租赁与资金缺口'!$F$12,0,IF(CC$46='融资租赁与资金缺口'!$F$12,'融资租赁与资金缺口'!$E$12,IF(((YEAR(CC$46)-YEAR('融资租赁与资金缺口'!$F$12))*12+MONTH(CC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CC$46)-YEAR('融资租赁与资金缺口'!$F$12))*12+MONTH(CC$46)-MONTH('融资租赁与资金缺口'!$F$12)),'融资租赁与资金缺口'!$E$12*(1+'融资租赁与资金缺口'!$I$12)^((YEAR(CC$46)-YEAR('融资租赁与资金缺口'!$F$12))*12+MONTH(CC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CC$46)-YEAR('融资租赁与资金缺口'!$F$12))*12+MONTH(CC$46)-MONTH('融资租赁与资金缺口'!$F$12))-1)/'融资租赁与资金缺口'!$I$12))))),IF(CC$46&lt;'融资租赁与资金缺口'!$F$13,0,IF(CC$46='融资租赁与资金缺口'!$F$13,'融资租赁与资金缺口'!$E$13,IF(((YEAR(CC$46)-YEAR('融资租赁与资金缺口'!$F$13))*12+MONTH(CC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CC$46)-YEAR('融资租赁与资金缺口'!$F$13))*12+MONTH(CC$46)-MONTH('融资租赁与资金缺口'!$F$13)),'融资租赁与资金缺口'!$E$13*(1+'融资租赁与资金缺口'!$I$13)^((YEAR(CC$46)-YEAR('融资租赁与资金缺口'!$F$13))*12+MONTH(CC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CC$46)-YEAR('融资租赁与资金缺口'!$F$13))*12+MONTH(CC$46)-MONTH('融资租赁与资金缺口'!$F$13))-1)/'融资租赁与资金缺口'!$I$13))))),IF(CC$46&lt;'融资租赁与资金缺口'!$F$14,0,IF(CC$46='融资租赁与资金缺口'!$F$14,'融资租赁与资金缺口'!$E$14,IF(((YEAR(CC$46)-YEAR('融资租赁与资金缺口'!$F$14))*12+MONTH(CC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CC$46)-YEAR('融资租赁与资金缺口'!$F$14))*12+MONTH(CC$46)-MONTH('融资租赁与资金缺口'!$F$14)),'融资租赁与资金缺口'!$E$14*(1+'融资租赁与资金缺口'!$I$14)^((YEAR(CC$46)-YEAR('融资租赁与资金缺口'!$F$14))*12+MONTH(CC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CC$46)-YEAR('融资租赁与资金缺口'!$F$14))*12+MONTH(CC$46)-MONTH('融资租赁与资金缺口'!$F$14))-1)/'融资租赁与资金缺口'!$I$14))))),IF(CC$46&lt;'融资租赁与资金缺口'!$F$15,0,IF(CC$46='融资租赁与资金缺口'!$F$15,'融资租赁与资金缺口'!$E$15,IF(((YEAR(CC$46)-YEAR('融资租赁与资金缺口'!$F$15))*12+MONTH(CC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CC$46)-YEAR('融资租赁与资金缺口'!$F$15))*12+MONTH(CC$46)-MONTH('融资租赁与资金缺口'!$F$15)),'融资租赁与资金缺口'!$E$15*(1+'融资租赁与资金缺口'!$I$15)^((YEAR(CC$46)-YEAR('融资租赁与资金缺口'!$F$15))*12+MONTH(CC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CC$46)-YEAR('融资租赁与资金缺口'!$F$15))*12+MONTH(CC$46)-MONTH('融资租赁与资金缺口'!$F$15))-1)/'融资租赁与资金缺口'!$I$15))))),IF(CC$46&lt;'融资租赁与资金缺口'!$F$16,0,IF(CC$46='融资租赁与资金缺口'!$F$16,'融资租赁与资金缺口'!$E$16,IF(((YEAR(CC$46)-YEAR('融资租赁与资金缺口'!$F$16))*12+MONTH(CC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CC$46)-YEAR('融资租赁与资金缺口'!$F$16))*12+MONTH(CC$46)-MONTH('融资租赁与资金缺口'!$F$16)),'融资租赁与资金缺口'!$E$16*(1+'融资租赁与资金缺口'!$I$16)^((YEAR(CC$46)-YEAR('融资租赁与资金缺口'!$F$16))*12+MONTH(CC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CC$46)-YEAR('融资租赁与资金缺口'!$F$16))*12+MONTH(CC$46)-MONTH('融资租赁与资金缺口'!$F$16))-1)/'融资租赁与资金缺口'!$I$16))))))</x:f>
        <x:v>0</x:v>
      </x:c>
      <x:c r="CD53" s="28" t="n">
        <x:f>SUM(IF(CD$46&lt;'融资租赁与资金缺口'!$F$5,0,IF(CD$46='融资租赁与资金缺口'!$F$5,'融资租赁与资金缺口'!$E$5,IF(((YEAR(CD$46)-YEAR('融资租赁与资金缺口'!$F$5))*12+MONTH(CD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CD$46)-YEAR('融资租赁与资金缺口'!$F$5))*12+MONTH(CD$46)-MONTH('融资租赁与资金缺口'!$F$5)),'融资租赁与资金缺口'!$E$5*(1+'融资租赁与资金缺口'!$I$5)^((YEAR(CD$46)-YEAR('融资租赁与资金缺口'!$F$5))*12+MONTH(CD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CD$46)-YEAR('融资租赁与资金缺口'!$F$5))*12+MONTH(CD$46)-MONTH('融资租赁与资金缺口'!$F$5))-1)/'融资租赁与资金缺口'!$I$5))))),IF(CD$46&lt;'融资租赁与资金缺口'!$F$6,0,IF(CD$46='融资租赁与资金缺口'!$F$6,'融资租赁与资金缺口'!$E$6,IF(((YEAR(CD$46)-YEAR('融资租赁与资金缺口'!$F$6))*12+MONTH(CD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CD$46)-YEAR('融资租赁与资金缺口'!$F$6))*12+MONTH(CD$46)-MONTH('融资租赁与资金缺口'!$F$6)),'融资租赁与资金缺口'!$E$6*(1+'融资租赁与资金缺口'!$I$6)^((YEAR(CD$46)-YEAR('融资租赁与资金缺口'!$F$6))*12+MONTH(CD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CD$46)-YEAR('融资租赁与资金缺口'!$F$6))*12+MONTH(CD$46)-MONTH('融资租赁与资金缺口'!$F$6))-1)/'融资租赁与资金缺口'!$I$6))))),IF(CD$46&lt;'融资租赁与资金缺口'!$F$7,0,IF(CD$46='融资租赁与资金缺口'!$F$7,'融资租赁与资金缺口'!$E$7,IF(((YEAR(CD$46)-YEAR('融资租赁与资金缺口'!$F$7))*12+MONTH(CD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CD$46)-YEAR('融资租赁与资金缺口'!$F$7))*12+MONTH(CD$46)-MONTH('融资租赁与资金缺口'!$F$7)),'融资租赁与资金缺口'!$E$7*(1+'融资租赁与资金缺口'!$I$7)^((YEAR(CD$46)-YEAR('融资租赁与资金缺口'!$F$7))*12+MONTH(CD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CD$46)-YEAR('融资租赁与资金缺口'!$F$7))*12+MONTH(CD$46)-MONTH('融资租赁与资金缺口'!$F$7))-1)/'融资租赁与资金缺口'!$I$7))))),IF(CD$46&lt;'融资租赁与资金缺口'!$F$8,0,IF(CD$46='融资租赁与资金缺口'!$F$8,'融资租赁与资金缺口'!$E$8,IF(((YEAR(CD$46)-YEAR('融资租赁与资金缺口'!$F$8))*12+MONTH(CD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CD$46)-YEAR('融资租赁与资金缺口'!$F$8))*12+MONTH(CD$46)-MONTH('融资租赁与资金缺口'!$F$8)),'融资租赁与资金缺口'!$E$8*(1+'融资租赁与资金缺口'!$I$8)^((YEAR(CD$46)-YEAR('融资租赁与资金缺口'!$F$8))*12+MONTH(CD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CD$46)-YEAR('融资租赁与资金缺口'!$F$8))*12+MONTH(CD$46)-MONTH('融资租赁与资金缺口'!$F$8))-1)/'融资租赁与资金缺口'!$I$8))))),IF(CD$46&lt;'融资租赁与资金缺口'!$F$9,0,IF(CD$46='融资租赁与资金缺口'!$F$9,'融资租赁与资金缺口'!$E$9,IF(((YEAR(CD$46)-YEAR('融资租赁与资金缺口'!$F$9))*12+MONTH(CD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CD$46)-YEAR('融资租赁与资金缺口'!$F$9))*12+MONTH(CD$46)-MONTH('融资租赁与资金缺口'!$F$9)),'融资租赁与资金缺口'!$E$9*(1+'融资租赁与资金缺口'!$I$9)^((YEAR(CD$46)-YEAR('融资租赁与资金缺口'!$F$9))*12+MONTH(CD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CD$46)-YEAR('融资租赁与资金缺口'!$F$9))*12+MONTH(CD$46)-MONTH('融资租赁与资金缺口'!$F$9))-1)/'融资租赁与资金缺口'!$I$9))))),IF(CD$46&lt;'融资租赁与资金缺口'!$F$10,0,IF(CD$46='融资租赁与资金缺口'!$F$10,'融资租赁与资金缺口'!$E$10,IF(((YEAR(CD$46)-YEAR('融资租赁与资金缺口'!$F$10))*12+MONTH(CD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CD$46)-YEAR('融资租赁与资金缺口'!$F$10))*12+MONTH(CD$46)-MONTH('融资租赁与资金缺口'!$F$10)),'融资租赁与资金缺口'!$E$10*(1+'融资租赁与资金缺口'!$I$10)^((YEAR(CD$46)-YEAR('融资租赁与资金缺口'!$F$10))*12+MONTH(CD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CD$46)-YEAR('融资租赁与资金缺口'!$F$10))*12+MONTH(CD$46)-MONTH('融资租赁与资金缺口'!$F$10))-1)/'融资租赁与资金缺口'!$I$10))))),IF(CD$46&lt;'融资租赁与资金缺口'!$F$11,0,IF(CD$46='融资租赁与资金缺口'!$F$11,'融资租赁与资金缺口'!$E$11,IF(((YEAR(CD$46)-YEAR('融资租赁与资金缺口'!$F$11))*12+MONTH(CD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CD$46)-YEAR('融资租赁与资金缺口'!$F$11))*12+MONTH(CD$46)-MONTH('融资租赁与资金缺口'!$F$11)),'融资租赁与资金缺口'!$E$11*(1+'融资租赁与资金缺口'!$I$11)^((YEAR(CD$46)-YEAR('融资租赁与资金缺口'!$F$11))*12+MONTH(CD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CD$46)-YEAR('融资租赁与资金缺口'!$F$11))*12+MONTH(CD$46)-MONTH('融资租赁与资金缺口'!$F$11))-1)/'融资租赁与资金缺口'!$I$11))))),IF(CD$46&lt;'融资租赁与资金缺口'!$F$12,0,IF(CD$46='融资租赁与资金缺口'!$F$12,'融资租赁与资金缺口'!$E$12,IF(((YEAR(CD$46)-YEAR('融资租赁与资金缺口'!$F$12))*12+MONTH(CD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CD$46)-YEAR('融资租赁与资金缺口'!$F$12))*12+MONTH(CD$46)-MONTH('融资租赁与资金缺口'!$F$12)),'融资租赁与资金缺口'!$E$12*(1+'融资租赁与资金缺口'!$I$12)^((YEAR(CD$46)-YEAR('融资租赁与资金缺口'!$F$12))*12+MONTH(CD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CD$46)-YEAR('融资租赁与资金缺口'!$F$12))*12+MONTH(CD$46)-MONTH('融资租赁与资金缺口'!$F$12))-1)/'融资租赁与资金缺口'!$I$12))))),IF(CD$46&lt;'融资租赁与资金缺口'!$F$13,0,IF(CD$46='融资租赁与资金缺口'!$F$13,'融资租赁与资金缺口'!$E$13,IF(((YEAR(CD$46)-YEAR('融资租赁与资金缺口'!$F$13))*12+MONTH(CD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CD$46)-YEAR('融资租赁与资金缺口'!$F$13))*12+MONTH(CD$46)-MONTH('融资租赁与资金缺口'!$F$13)),'融资租赁与资金缺口'!$E$13*(1+'融资租赁与资金缺口'!$I$13)^((YEAR(CD$46)-YEAR('融资租赁与资金缺口'!$F$13))*12+MONTH(CD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CD$46)-YEAR('融资租赁与资金缺口'!$F$13))*12+MONTH(CD$46)-MONTH('融资租赁与资金缺口'!$F$13))-1)/'融资租赁与资金缺口'!$I$13))))),IF(CD$46&lt;'融资租赁与资金缺口'!$F$14,0,IF(CD$46='融资租赁与资金缺口'!$F$14,'融资租赁与资金缺口'!$E$14,IF(((YEAR(CD$46)-YEAR('融资租赁与资金缺口'!$F$14))*12+MONTH(CD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CD$46)-YEAR('融资租赁与资金缺口'!$F$14))*12+MONTH(CD$46)-MONTH('融资租赁与资金缺口'!$F$14)),'融资租赁与资金缺口'!$E$14*(1+'融资租赁与资金缺口'!$I$14)^((YEAR(CD$46)-YEAR('融资租赁与资金缺口'!$F$14))*12+MONTH(CD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CD$46)-YEAR('融资租赁与资金缺口'!$F$14))*12+MONTH(CD$46)-MONTH('融资租赁与资金缺口'!$F$14))-1)/'融资租赁与资金缺口'!$I$14))))),IF(CD$46&lt;'融资租赁与资金缺口'!$F$15,0,IF(CD$46='融资租赁与资金缺口'!$F$15,'融资租赁与资金缺口'!$E$15,IF(((YEAR(CD$46)-YEAR('融资租赁与资金缺口'!$F$15))*12+MONTH(CD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CD$46)-YEAR('融资租赁与资金缺口'!$F$15))*12+MONTH(CD$46)-MONTH('融资租赁与资金缺口'!$F$15)),'融资租赁与资金缺口'!$E$15*(1+'融资租赁与资金缺口'!$I$15)^((YEAR(CD$46)-YEAR('融资租赁与资金缺口'!$F$15))*12+MONTH(CD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CD$46)-YEAR('融资租赁与资金缺口'!$F$15))*12+MONTH(CD$46)-MONTH('融资租赁与资金缺口'!$F$15))-1)/'融资租赁与资金缺口'!$I$15))))),IF(CD$46&lt;'融资租赁与资金缺口'!$F$16,0,IF(CD$46='融资租赁与资金缺口'!$F$16,'融资租赁与资金缺口'!$E$16,IF(((YEAR(CD$46)-YEAR('融资租赁与资金缺口'!$F$16))*12+MONTH(CD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CD$46)-YEAR('融资租赁与资金缺口'!$F$16))*12+MONTH(CD$46)-MONTH('融资租赁与资金缺口'!$F$16)),'融资租赁与资金缺口'!$E$16*(1+'融资租赁与资金缺口'!$I$16)^((YEAR(CD$46)-YEAR('融资租赁与资金缺口'!$F$16))*12+MONTH(CD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CD$46)-YEAR('融资租赁与资金缺口'!$F$16))*12+MONTH(CD$46)-MONTH('融资租赁与资金缺口'!$F$16))-1)/'融资租赁与资金缺口'!$I$16))))))</x:f>
        <x:v>0</x:v>
      </x:c>
      <x:c r="CE53" s="28" t="n">
        <x:f>SUM(IF(CE$46&lt;'融资租赁与资金缺口'!$F$5,0,IF(CE$46='融资租赁与资金缺口'!$F$5,'融资租赁与资金缺口'!$E$5,IF(((YEAR(CE$46)-YEAR('融资租赁与资金缺口'!$F$5))*12+MONTH(CE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CE$46)-YEAR('融资租赁与资金缺口'!$F$5))*12+MONTH(CE$46)-MONTH('融资租赁与资金缺口'!$F$5)),'融资租赁与资金缺口'!$E$5*(1+'融资租赁与资金缺口'!$I$5)^((YEAR(CE$46)-YEAR('融资租赁与资金缺口'!$F$5))*12+MONTH(CE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CE$46)-YEAR('融资租赁与资金缺口'!$F$5))*12+MONTH(CE$46)-MONTH('融资租赁与资金缺口'!$F$5))-1)/'融资租赁与资金缺口'!$I$5))))),IF(CE$46&lt;'融资租赁与资金缺口'!$F$6,0,IF(CE$46='融资租赁与资金缺口'!$F$6,'融资租赁与资金缺口'!$E$6,IF(((YEAR(CE$46)-YEAR('融资租赁与资金缺口'!$F$6))*12+MONTH(CE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CE$46)-YEAR('融资租赁与资金缺口'!$F$6))*12+MONTH(CE$46)-MONTH('融资租赁与资金缺口'!$F$6)),'融资租赁与资金缺口'!$E$6*(1+'融资租赁与资金缺口'!$I$6)^((YEAR(CE$46)-YEAR('融资租赁与资金缺口'!$F$6))*12+MONTH(CE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CE$46)-YEAR('融资租赁与资金缺口'!$F$6))*12+MONTH(CE$46)-MONTH('融资租赁与资金缺口'!$F$6))-1)/'融资租赁与资金缺口'!$I$6))))),IF(CE$46&lt;'融资租赁与资金缺口'!$F$7,0,IF(CE$46='融资租赁与资金缺口'!$F$7,'融资租赁与资金缺口'!$E$7,IF(((YEAR(CE$46)-YEAR('融资租赁与资金缺口'!$F$7))*12+MONTH(CE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CE$46)-YEAR('融资租赁与资金缺口'!$F$7))*12+MONTH(CE$46)-MONTH('融资租赁与资金缺口'!$F$7)),'融资租赁与资金缺口'!$E$7*(1+'融资租赁与资金缺口'!$I$7)^((YEAR(CE$46)-YEAR('融资租赁与资金缺口'!$F$7))*12+MONTH(CE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CE$46)-YEAR('融资租赁与资金缺口'!$F$7))*12+MONTH(CE$46)-MONTH('融资租赁与资金缺口'!$F$7))-1)/'融资租赁与资金缺口'!$I$7))))),IF(CE$46&lt;'融资租赁与资金缺口'!$F$8,0,IF(CE$46='融资租赁与资金缺口'!$F$8,'融资租赁与资金缺口'!$E$8,IF(((YEAR(CE$46)-YEAR('融资租赁与资金缺口'!$F$8))*12+MONTH(CE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CE$46)-YEAR('融资租赁与资金缺口'!$F$8))*12+MONTH(CE$46)-MONTH('融资租赁与资金缺口'!$F$8)),'融资租赁与资金缺口'!$E$8*(1+'融资租赁与资金缺口'!$I$8)^((YEAR(CE$46)-YEAR('融资租赁与资金缺口'!$F$8))*12+MONTH(CE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CE$46)-YEAR('融资租赁与资金缺口'!$F$8))*12+MONTH(CE$46)-MONTH('融资租赁与资金缺口'!$F$8))-1)/'融资租赁与资金缺口'!$I$8))))),IF(CE$46&lt;'融资租赁与资金缺口'!$F$9,0,IF(CE$46='融资租赁与资金缺口'!$F$9,'融资租赁与资金缺口'!$E$9,IF(((YEAR(CE$46)-YEAR('融资租赁与资金缺口'!$F$9))*12+MONTH(CE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CE$46)-YEAR('融资租赁与资金缺口'!$F$9))*12+MONTH(CE$46)-MONTH('融资租赁与资金缺口'!$F$9)),'融资租赁与资金缺口'!$E$9*(1+'融资租赁与资金缺口'!$I$9)^((YEAR(CE$46)-YEAR('融资租赁与资金缺口'!$F$9))*12+MONTH(CE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CE$46)-YEAR('融资租赁与资金缺口'!$F$9))*12+MONTH(CE$46)-MONTH('融资租赁与资金缺口'!$F$9))-1)/'融资租赁与资金缺口'!$I$9))))),IF(CE$46&lt;'融资租赁与资金缺口'!$F$10,0,IF(CE$46='融资租赁与资金缺口'!$F$10,'融资租赁与资金缺口'!$E$10,IF(((YEAR(CE$46)-YEAR('融资租赁与资金缺口'!$F$10))*12+MONTH(CE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CE$46)-YEAR('融资租赁与资金缺口'!$F$10))*12+MONTH(CE$46)-MONTH('融资租赁与资金缺口'!$F$10)),'融资租赁与资金缺口'!$E$10*(1+'融资租赁与资金缺口'!$I$10)^((YEAR(CE$46)-YEAR('融资租赁与资金缺口'!$F$10))*12+MONTH(CE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CE$46)-YEAR('融资租赁与资金缺口'!$F$10))*12+MONTH(CE$46)-MONTH('融资租赁与资金缺口'!$F$10))-1)/'融资租赁与资金缺口'!$I$10))))),IF(CE$46&lt;'融资租赁与资金缺口'!$F$11,0,IF(CE$46='融资租赁与资金缺口'!$F$11,'融资租赁与资金缺口'!$E$11,IF(((YEAR(CE$46)-YEAR('融资租赁与资金缺口'!$F$11))*12+MONTH(CE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CE$46)-YEAR('融资租赁与资金缺口'!$F$11))*12+MONTH(CE$46)-MONTH('融资租赁与资金缺口'!$F$11)),'融资租赁与资金缺口'!$E$11*(1+'融资租赁与资金缺口'!$I$11)^((YEAR(CE$46)-YEAR('融资租赁与资金缺口'!$F$11))*12+MONTH(CE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CE$46)-YEAR('融资租赁与资金缺口'!$F$11))*12+MONTH(CE$46)-MONTH('融资租赁与资金缺口'!$F$11))-1)/'融资租赁与资金缺口'!$I$11))))),IF(CE$46&lt;'融资租赁与资金缺口'!$F$12,0,IF(CE$46='融资租赁与资金缺口'!$F$12,'融资租赁与资金缺口'!$E$12,IF(((YEAR(CE$46)-YEAR('融资租赁与资金缺口'!$F$12))*12+MONTH(CE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CE$46)-YEAR('融资租赁与资金缺口'!$F$12))*12+MONTH(CE$46)-MONTH('融资租赁与资金缺口'!$F$12)),'融资租赁与资金缺口'!$E$12*(1+'融资租赁与资金缺口'!$I$12)^((YEAR(CE$46)-YEAR('融资租赁与资金缺口'!$F$12))*12+MONTH(CE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CE$46)-YEAR('融资租赁与资金缺口'!$F$12))*12+MONTH(CE$46)-MONTH('融资租赁与资金缺口'!$F$12))-1)/'融资租赁与资金缺口'!$I$12))))),IF(CE$46&lt;'融资租赁与资金缺口'!$F$13,0,IF(CE$46='融资租赁与资金缺口'!$F$13,'融资租赁与资金缺口'!$E$13,IF(((YEAR(CE$46)-YEAR('融资租赁与资金缺口'!$F$13))*12+MONTH(CE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CE$46)-YEAR('融资租赁与资金缺口'!$F$13))*12+MONTH(CE$46)-MONTH('融资租赁与资金缺口'!$F$13)),'融资租赁与资金缺口'!$E$13*(1+'融资租赁与资金缺口'!$I$13)^((YEAR(CE$46)-YEAR('融资租赁与资金缺口'!$F$13))*12+MONTH(CE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CE$46)-YEAR('融资租赁与资金缺口'!$F$13))*12+MONTH(CE$46)-MONTH('融资租赁与资金缺口'!$F$13))-1)/'融资租赁与资金缺口'!$I$13))))),IF(CE$46&lt;'融资租赁与资金缺口'!$F$14,0,IF(CE$46='融资租赁与资金缺口'!$F$14,'融资租赁与资金缺口'!$E$14,IF(((YEAR(CE$46)-YEAR('融资租赁与资金缺口'!$F$14))*12+MONTH(CE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CE$46)-YEAR('融资租赁与资金缺口'!$F$14))*12+MONTH(CE$46)-MONTH('融资租赁与资金缺口'!$F$14)),'融资租赁与资金缺口'!$E$14*(1+'融资租赁与资金缺口'!$I$14)^((YEAR(CE$46)-YEAR('融资租赁与资金缺口'!$F$14))*12+MONTH(CE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CE$46)-YEAR('融资租赁与资金缺口'!$F$14))*12+MONTH(CE$46)-MONTH('融资租赁与资金缺口'!$F$14))-1)/'融资租赁与资金缺口'!$I$14))))),IF(CE$46&lt;'融资租赁与资金缺口'!$F$15,0,IF(CE$46='融资租赁与资金缺口'!$F$15,'融资租赁与资金缺口'!$E$15,IF(((YEAR(CE$46)-YEAR('融资租赁与资金缺口'!$F$15))*12+MONTH(CE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CE$46)-YEAR('融资租赁与资金缺口'!$F$15))*12+MONTH(CE$46)-MONTH('融资租赁与资金缺口'!$F$15)),'融资租赁与资金缺口'!$E$15*(1+'融资租赁与资金缺口'!$I$15)^((YEAR(CE$46)-YEAR('融资租赁与资金缺口'!$F$15))*12+MONTH(CE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CE$46)-YEAR('融资租赁与资金缺口'!$F$15))*12+MONTH(CE$46)-MONTH('融资租赁与资金缺口'!$F$15))-1)/'融资租赁与资金缺口'!$I$15))))),IF(CE$46&lt;'融资租赁与资金缺口'!$F$16,0,IF(CE$46='融资租赁与资金缺口'!$F$16,'融资租赁与资金缺口'!$E$16,IF(((YEAR(CE$46)-YEAR('融资租赁与资金缺口'!$F$16))*12+MONTH(CE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CE$46)-YEAR('融资租赁与资金缺口'!$F$16))*12+MONTH(CE$46)-MONTH('融资租赁与资金缺口'!$F$16)),'融资租赁与资金缺口'!$E$16*(1+'融资租赁与资金缺口'!$I$16)^((YEAR(CE$46)-YEAR('融资租赁与资金缺口'!$F$16))*12+MONTH(CE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CE$46)-YEAR('融资租赁与资金缺口'!$F$16))*12+MONTH(CE$46)-MONTH('融资租赁与资金缺口'!$F$16))-1)/'融资租赁与资金缺口'!$I$16))))))</x:f>
        <x:v>0</x:v>
      </x:c>
      <x:c r="CF53" s="28" t="n">
        <x:f>SUM(IF(CF$46&lt;'融资租赁与资金缺口'!$F$5,0,IF(CF$46='融资租赁与资金缺口'!$F$5,'融资租赁与资金缺口'!$E$5,IF(((YEAR(CF$46)-YEAR('融资租赁与资金缺口'!$F$5))*12+MONTH(CF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CF$46)-YEAR('融资租赁与资金缺口'!$F$5))*12+MONTH(CF$46)-MONTH('融资租赁与资金缺口'!$F$5)),'融资租赁与资金缺口'!$E$5*(1+'融资租赁与资金缺口'!$I$5)^((YEAR(CF$46)-YEAR('融资租赁与资金缺口'!$F$5))*12+MONTH(CF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CF$46)-YEAR('融资租赁与资金缺口'!$F$5))*12+MONTH(CF$46)-MONTH('融资租赁与资金缺口'!$F$5))-1)/'融资租赁与资金缺口'!$I$5))))),IF(CF$46&lt;'融资租赁与资金缺口'!$F$6,0,IF(CF$46='融资租赁与资金缺口'!$F$6,'融资租赁与资金缺口'!$E$6,IF(((YEAR(CF$46)-YEAR('融资租赁与资金缺口'!$F$6))*12+MONTH(CF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CF$46)-YEAR('融资租赁与资金缺口'!$F$6))*12+MONTH(CF$46)-MONTH('融资租赁与资金缺口'!$F$6)),'融资租赁与资金缺口'!$E$6*(1+'融资租赁与资金缺口'!$I$6)^((YEAR(CF$46)-YEAR('融资租赁与资金缺口'!$F$6))*12+MONTH(CF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CF$46)-YEAR('融资租赁与资金缺口'!$F$6))*12+MONTH(CF$46)-MONTH('融资租赁与资金缺口'!$F$6))-1)/'融资租赁与资金缺口'!$I$6))))),IF(CF$46&lt;'融资租赁与资金缺口'!$F$7,0,IF(CF$46='融资租赁与资金缺口'!$F$7,'融资租赁与资金缺口'!$E$7,IF(((YEAR(CF$46)-YEAR('融资租赁与资金缺口'!$F$7))*12+MONTH(CF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CF$46)-YEAR('融资租赁与资金缺口'!$F$7))*12+MONTH(CF$46)-MONTH('融资租赁与资金缺口'!$F$7)),'融资租赁与资金缺口'!$E$7*(1+'融资租赁与资金缺口'!$I$7)^((YEAR(CF$46)-YEAR('融资租赁与资金缺口'!$F$7))*12+MONTH(CF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CF$46)-YEAR('融资租赁与资金缺口'!$F$7))*12+MONTH(CF$46)-MONTH('融资租赁与资金缺口'!$F$7))-1)/'融资租赁与资金缺口'!$I$7))))),IF(CF$46&lt;'融资租赁与资金缺口'!$F$8,0,IF(CF$46='融资租赁与资金缺口'!$F$8,'融资租赁与资金缺口'!$E$8,IF(((YEAR(CF$46)-YEAR('融资租赁与资金缺口'!$F$8))*12+MONTH(CF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CF$46)-YEAR('融资租赁与资金缺口'!$F$8))*12+MONTH(CF$46)-MONTH('融资租赁与资金缺口'!$F$8)),'融资租赁与资金缺口'!$E$8*(1+'融资租赁与资金缺口'!$I$8)^((YEAR(CF$46)-YEAR('融资租赁与资金缺口'!$F$8))*12+MONTH(CF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CF$46)-YEAR('融资租赁与资金缺口'!$F$8))*12+MONTH(CF$46)-MONTH('融资租赁与资金缺口'!$F$8))-1)/'融资租赁与资金缺口'!$I$8))))),IF(CF$46&lt;'融资租赁与资金缺口'!$F$9,0,IF(CF$46='融资租赁与资金缺口'!$F$9,'融资租赁与资金缺口'!$E$9,IF(((YEAR(CF$46)-YEAR('融资租赁与资金缺口'!$F$9))*12+MONTH(CF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CF$46)-YEAR('融资租赁与资金缺口'!$F$9))*12+MONTH(CF$46)-MONTH('融资租赁与资金缺口'!$F$9)),'融资租赁与资金缺口'!$E$9*(1+'融资租赁与资金缺口'!$I$9)^((YEAR(CF$46)-YEAR('融资租赁与资金缺口'!$F$9))*12+MONTH(CF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CF$46)-YEAR('融资租赁与资金缺口'!$F$9))*12+MONTH(CF$46)-MONTH('融资租赁与资金缺口'!$F$9))-1)/'融资租赁与资金缺口'!$I$9))))),IF(CF$46&lt;'融资租赁与资金缺口'!$F$10,0,IF(CF$46='融资租赁与资金缺口'!$F$10,'融资租赁与资金缺口'!$E$10,IF(((YEAR(CF$46)-YEAR('融资租赁与资金缺口'!$F$10))*12+MONTH(CF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CF$46)-YEAR('融资租赁与资金缺口'!$F$10))*12+MONTH(CF$46)-MONTH('融资租赁与资金缺口'!$F$10)),'融资租赁与资金缺口'!$E$10*(1+'融资租赁与资金缺口'!$I$10)^((YEAR(CF$46)-YEAR('融资租赁与资金缺口'!$F$10))*12+MONTH(CF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CF$46)-YEAR('融资租赁与资金缺口'!$F$10))*12+MONTH(CF$46)-MONTH('融资租赁与资金缺口'!$F$10))-1)/'融资租赁与资金缺口'!$I$10))))),IF(CF$46&lt;'融资租赁与资金缺口'!$F$11,0,IF(CF$46='融资租赁与资金缺口'!$F$11,'融资租赁与资金缺口'!$E$11,IF(((YEAR(CF$46)-YEAR('融资租赁与资金缺口'!$F$11))*12+MONTH(CF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CF$46)-YEAR('融资租赁与资金缺口'!$F$11))*12+MONTH(CF$46)-MONTH('融资租赁与资金缺口'!$F$11)),'融资租赁与资金缺口'!$E$11*(1+'融资租赁与资金缺口'!$I$11)^((YEAR(CF$46)-YEAR('融资租赁与资金缺口'!$F$11))*12+MONTH(CF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CF$46)-YEAR('融资租赁与资金缺口'!$F$11))*12+MONTH(CF$46)-MONTH('融资租赁与资金缺口'!$F$11))-1)/'融资租赁与资金缺口'!$I$11))))),IF(CF$46&lt;'融资租赁与资金缺口'!$F$12,0,IF(CF$46='融资租赁与资金缺口'!$F$12,'融资租赁与资金缺口'!$E$12,IF(((YEAR(CF$46)-YEAR('融资租赁与资金缺口'!$F$12))*12+MONTH(CF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CF$46)-YEAR('融资租赁与资金缺口'!$F$12))*12+MONTH(CF$46)-MONTH('融资租赁与资金缺口'!$F$12)),'融资租赁与资金缺口'!$E$12*(1+'融资租赁与资金缺口'!$I$12)^((YEAR(CF$46)-YEAR('融资租赁与资金缺口'!$F$12))*12+MONTH(CF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CF$46)-YEAR('融资租赁与资金缺口'!$F$12))*12+MONTH(CF$46)-MONTH('融资租赁与资金缺口'!$F$12))-1)/'融资租赁与资金缺口'!$I$12))))),IF(CF$46&lt;'融资租赁与资金缺口'!$F$13,0,IF(CF$46='融资租赁与资金缺口'!$F$13,'融资租赁与资金缺口'!$E$13,IF(((YEAR(CF$46)-YEAR('融资租赁与资金缺口'!$F$13))*12+MONTH(CF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CF$46)-YEAR('融资租赁与资金缺口'!$F$13))*12+MONTH(CF$46)-MONTH('融资租赁与资金缺口'!$F$13)),'融资租赁与资金缺口'!$E$13*(1+'融资租赁与资金缺口'!$I$13)^((YEAR(CF$46)-YEAR('融资租赁与资金缺口'!$F$13))*12+MONTH(CF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CF$46)-YEAR('融资租赁与资金缺口'!$F$13))*12+MONTH(CF$46)-MONTH('融资租赁与资金缺口'!$F$13))-1)/'融资租赁与资金缺口'!$I$13))))),IF(CF$46&lt;'融资租赁与资金缺口'!$F$14,0,IF(CF$46='融资租赁与资金缺口'!$F$14,'融资租赁与资金缺口'!$E$14,IF(((YEAR(CF$46)-YEAR('融资租赁与资金缺口'!$F$14))*12+MONTH(CF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CF$46)-YEAR('融资租赁与资金缺口'!$F$14))*12+MONTH(CF$46)-MONTH('融资租赁与资金缺口'!$F$14)),'融资租赁与资金缺口'!$E$14*(1+'融资租赁与资金缺口'!$I$14)^((YEAR(CF$46)-YEAR('融资租赁与资金缺口'!$F$14))*12+MONTH(CF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CF$46)-YEAR('融资租赁与资金缺口'!$F$14))*12+MONTH(CF$46)-MONTH('融资租赁与资金缺口'!$F$14))-1)/'融资租赁与资金缺口'!$I$14))))),IF(CF$46&lt;'融资租赁与资金缺口'!$F$15,0,IF(CF$46='融资租赁与资金缺口'!$F$15,'融资租赁与资金缺口'!$E$15,IF(((YEAR(CF$46)-YEAR('融资租赁与资金缺口'!$F$15))*12+MONTH(CF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CF$46)-YEAR('融资租赁与资金缺口'!$F$15))*12+MONTH(CF$46)-MONTH('融资租赁与资金缺口'!$F$15)),'融资租赁与资金缺口'!$E$15*(1+'融资租赁与资金缺口'!$I$15)^((YEAR(CF$46)-YEAR('融资租赁与资金缺口'!$F$15))*12+MONTH(CF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CF$46)-YEAR('融资租赁与资金缺口'!$F$15))*12+MONTH(CF$46)-MONTH('融资租赁与资金缺口'!$F$15))-1)/'融资租赁与资金缺口'!$I$15))))),IF(CF$46&lt;'融资租赁与资金缺口'!$F$16,0,IF(CF$46='融资租赁与资金缺口'!$F$16,'融资租赁与资金缺口'!$E$16,IF(((YEAR(CF$46)-YEAR('融资租赁与资金缺口'!$F$16))*12+MONTH(CF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CF$46)-YEAR('融资租赁与资金缺口'!$F$16))*12+MONTH(CF$46)-MONTH('融资租赁与资金缺口'!$F$16)),'融资租赁与资金缺口'!$E$16*(1+'融资租赁与资金缺口'!$I$16)^((YEAR(CF$46)-YEAR('融资租赁与资金缺口'!$F$16))*12+MONTH(CF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CF$46)-YEAR('融资租赁与资金缺口'!$F$16))*12+MONTH(CF$46)-MONTH('融资租赁与资金缺口'!$F$16))-1)/'融资租赁与资金缺口'!$I$16))))))</x:f>
        <x:v>0</x:v>
      </x:c>
      <x:c r="CG53" s="28" t="n">
        <x:f>SUM(IF(CG$46&lt;'融资租赁与资金缺口'!$F$5,0,IF(CG$46='融资租赁与资金缺口'!$F$5,'融资租赁与资金缺口'!$E$5,IF(((YEAR(CG$46)-YEAR('融资租赁与资金缺口'!$F$5))*12+MONTH(CG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CG$46)-YEAR('融资租赁与资金缺口'!$F$5))*12+MONTH(CG$46)-MONTH('融资租赁与资金缺口'!$F$5)),'融资租赁与资金缺口'!$E$5*(1+'融资租赁与资金缺口'!$I$5)^((YEAR(CG$46)-YEAR('融资租赁与资金缺口'!$F$5))*12+MONTH(CG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CG$46)-YEAR('融资租赁与资金缺口'!$F$5))*12+MONTH(CG$46)-MONTH('融资租赁与资金缺口'!$F$5))-1)/'融资租赁与资金缺口'!$I$5))))),IF(CG$46&lt;'融资租赁与资金缺口'!$F$6,0,IF(CG$46='融资租赁与资金缺口'!$F$6,'融资租赁与资金缺口'!$E$6,IF(((YEAR(CG$46)-YEAR('融资租赁与资金缺口'!$F$6))*12+MONTH(CG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CG$46)-YEAR('融资租赁与资金缺口'!$F$6))*12+MONTH(CG$46)-MONTH('融资租赁与资金缺口'!$F$6)),'融资租赁与资金缺口'!$E$6*(1+'融资租赁与资金缺口'!$I$6)^((YEAR(CG$46)-YEAR('融资租赁与资金缺口'!$F$6))*12+MONTH(CG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CG$46)-YEAR('融资租赁与资金缺口'!$F$6))*12+MONTH(CG$46)-MONTH('融资租赁与资金缺口'!$F$6))-1)/'融资租赁与资金缺口'!$I$6))))),IF(CG$46&lt;'融资租赁与资金缺口'!$F$7,0,IF(CG$46='融资租赁与资金缺口'!$F$7,'融资租赁与资金缺口'!$E$7,IF(((YEAR(CG$46)-YEAR('融资租赁与资金缺口'!$F$7))*12+MONTH(CG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CG$46)-YEAR('融资租赁与资金缺口'!$F$7))*12+MONTH(CG$46)-MONTH('融资租赁与资金缺口'!$F$7)),'融资租赁与资金缺口'!$E$7*(1+'融资租赁与资金缺口'!$I$7)^((YEAR(CG$46)-YEAR('融资租赁与资金缺口'!$F$7))*12+MONTH(CG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CG$46)-YEAR('融资租赁与资金缺口'!$F$7))*12+MONTH(CG$46)-MONTH('融资租赁与资金缺口'!$F$7))-1)/'融资租赁与资金缺口'!$I$7))))),IF(CG$46&lt;'融资租赁与资金缺口'!$F$8,0,IF(CG$46='融资租赁与资金缺口'!$F$8,'融资租赁与资金缺口'!$E$8,IF(((YEAR(CG$46)-YEAR('融资租赁与资金缺口'!$F$8))*12+MONTH(CG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CG$46)-YEAR('融资租赁与资金缺口'!$F$8))*12+MONTH(CG$46)-MONTH('融资租赁与资金缺口'!$F$8)),'融资租赁与资金缺口'!$E$8*(1+'融资租赁与资金缺口'!$I$8)^((YEAR(CG$46)-YEAR('融资租赁与资金缺口'!$F$8))*12+MONTH(CG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CG$46)-YEAR('融资租赁与资金缺口'!$F$8))*12+MONTH(CG$46)-MONTH('融资租赁与资金缺口'!$F$8))-1)/'融资租赁与资金缺口'!$I$8))))),IF(CG$46&lt;'融资租赁与资金缺口'!$F$9,0,IF(CG$46='融资租赁与资金缺口'!$F$9,'融资租赁与资金缺口'!$E$9,IF(((YEAR(CG$46)-YEAR('融资租赁与资金缺口'!$F$9))*12+MONTH(CG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CG$46)-YEAR('融资租赁与资金缺口'!$F$9))*12+MONTH(CG$46)-MONTH('融资租赁与资金缺口'!$F$9)),'融资租赁与资金缺口'!$E$9*(1+'融资租赁与资金缺口'!$I$9)^((YEAR(CG$46)-YEAR('融资租赁与资金缺口'!$F$9))*12+MONTH(CG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CG$46)-YEAR('融资租赁与资金缺口'!$F$9))*12+MONTH(CG$46)-MONTH('融资租赁与资金缺口'!$F$9))-1)/'融资租赁与资金缺口'!$I$9))))),IF(CG$46&lt;'融资租赁与资金缺口'!$F$10,0,IF(CG$46='融资租赁与资金缺口'!$F$10,'融资租赁与资金缺口'!$E$10,IF(((YEAR(CG$46)-YEAR('融资租赁与资金缺口'!$F$10))*12+MONTH(CG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CG$46)-YEAR('融资租赁与资金缺口'!$F$10))*12+MONTH(CG$46)-MONTH('融资租赁与资金缺口'!$F$10)),'融资租赁与资金缺口'!$E$10*(1+'融资租赁与资金缺口'!$I$10)^((YEAR(CG$46)-YEAR('融资租赁与资金缺口'!$F$10))*12+MONTH(CG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CG$46)-YEAR('融资租赁与资金缺口'!$F$10))*12+MONTH(CG$46)-MONTH('融资租赁与资金缺口'!$F$10))-1)/'融资租赁与资金缺口'!$I$10))))),IF(CG$46&lt;'融资租赁与资金缺口'!$F$11,0,IF(CG$46='融资租赁与资金缺口'!$F$11,'融资租赁与资金缺口'!$E$11,IF(((YEAR(CG$46)-YEAR('融资租赁与资金缺口'!$F$11))*12+MONTH(CG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CG$46)-YEAR('融资租赁与资金缺口'!$F$11))*12+MONTH(CG$46)-MONTH('融资租赁与资金缺口'!$F$11)),'融资租赁与资金缺口'!$E$11*(1+'融资租赁与资金缺口'!$I$11)^((YEAR(CG$46)-YEAR('融资租赁与资金缺口'!$F$11))*12+MONTH(CG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CG$46)-YEAR('融资租赁与资金缺口'!$F$11))*12+MONTH(CG$46)-MONTH('融资租赁与资金缺口'!$F$11))-1)/'融资租赁与资金缺口'!$I$11))))),IF(CG$46&lt;'融资租赁与资金缺口'!$F$12,0,IF(CG$46='融资租赁与资金缺口'!$F$12,'融资租赁与资金缺口'!$E$12,IF(((YEAR(CG$46)-YEAR('融资租赁与资金缺口'!$F$12))*12+MONTH(CG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CG$46)-YEAR('融资租赁与资金缺口'!$F$12))*12+MONTH(CG$46)-MONTH('融资租赁与资金缺口'!$F$12)),'融资租赁与资金缺口'!$E$12*(1+'融资租赁与资金缺口'!$I$12)^((YEAR(CG$46)-YEAR('融资租赁与资金缺口'!$F$12))*12+MONTH(CG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CG$46)-YEAR('融资租赁与资金缺口'!$F$12))*12+MONTH(CG$46)-MONTH('融资租赁与资金缺口'!$F$12))-1)/'融资租赁与资金缺口'!$I$12))))),IF(CG$46&lt;'融资租赁与资金缺口'!$F$13,0,IF(CG$46='融资租赁与资金缺口'!$F$13,'融资租赁与资金缺口'!$E$13,IF(((YEAR(CG$46)-YEAR('融资租赁与资金缺口'!$F$13))*12+MONTH(CG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CG$46)-YEAR('融资租赁与资金缺口'!$F$13))*12+MONTH(CG$46)-MONTH('融资租赁与资金缺口'!$F$13)),'融资租赁与资金缺口'!$E$13*(1+'融资租赁与资金缺口'!$I$13)^((YEAR(CG$46)-YEAR('融资租赁与资金缺口'!$F$13))*12+MONTH(CG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CG$46)-YEAR('融资租赁与资金缺口'!$F$13))*12+MONTH(CG$46)-MONTH('融资租赁与资金缺口'!$F$13))-1)/'融资租赁与资金缺口'!$I$13))))),IF(CG$46&lt;'融资租赁与资金缺口'!$F$14,0,IF(CG$46='融资租赁与资金缺口'!$F$14,'融资租赁与资金缺口'!$E$14,IF(((YEAR(CG$46)-YEAR('融资租赁与资金缺口'!$F$14))*12+MONTH(CG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CG$46)-YEAR('融资租赁与资金缺口'!$F$14))*12+MONTH(CG$46)-MONTH('融资租赁与资金缺口'!$F$14)),'融资租赁与资金缺口'!$E$14*(1+'融资租赁与资金缺口'!$I$14)^((YEAR(CG$46)-YEAR('融资租赁与资金缺口'!$F$14))*12+MONTH(CG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CG$46)-YEAR('融资租赁与资金缺口'!$F$14))*12+MONTH(CG$46)-MONTH('融资租赁与资金缺口'!$F$14))-1)/'融资租赁与资金缺口'!$I$14))))),IF(CG$46&lt;'融资租赁与资金缺口'!$F$15,0,IF(CG$46='融资租赁与资金缺口'!$F$15,'融资租赁与资金缺口'!$E$15,IF(((YEAR(CG$46)-YEAR('融资租赁与资金缺口'!$F$15))*12+MONTH(CG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CG$46)-YEAR('融资租赁与资金缺口'!$F$15))*12+MONTH(CG$46)-MONTH('融资租赁与资金缺口'!$F$15)),'融资租赁与资金缺口'!$E$15*(1+'融资租赁与资金缺口'!$I$15)^((YEAR(CG$46)-YEAR('融资租赁与资金缺口'!$F$15))*12+MONTH(CG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CG$46)-YEAR('融资租赁与资金缺口'!$F$15))*12+MONTH(CG$46)-MONTH('融资租赁与资金缺口'!$F$15))-1)/'融资租赁与资金缺口'!$I$15))))),IF(CG$46&lt;'融资租赁与资金缺口'!$F$16,0,IF(CG$46='融资租赁与资金缺口'!$F$16,'融资租赁与资金缺口'!$E$16,IF(((YEAR(CG$46)-YEAR('融资租赁与资金缺口'!$F$16))*12+MONTH(CG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CG$46)-YEAR('融资租赁与资金缺口'!$F$16))*12+MONTH(CG$46)-MONTH('融资租赁与资金缺口'!$F$16)),'融资租赁与资金缺口'!$E$16*(1+'融资租赁与资金缺口'!$I$16)^((YEAR(CG$46)-YEAR('融资租赁与资金缺口'!$F$16))*12+MONTH(CG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CG$46)-YEAR('融资租赁与资金缺口'!$F$16))*12+MONTH(CG$46)-MONTH('融资租赁与资金缺口'!$F$16))-1)/'融资租赁与资金缺口'!$I$16))))))</x:f>
        <x:v>0</x:v>
      </x:c>
      <x:c r="CH53" s="28" t="n">
        <x:f>SUM(IF(CH$46&lt;'融资租赁与资金缺口'!$F$5,0,IF(CH$46='融资租赁与资金缺口'!$F$5,'融资租赁与资金缺口'!$E$5,IF(((YEAR(CH$46)-YEAR('融资租赁与资金缺口'!$F$5))*12+MONTH(CH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CH$46)-YEAR('融资租赁与资金缺口'!$F$5))*12+MONTH(CH$46)-MONTH('融资租赁与资金缺口'!$F$5)),'融资租赁与资金缺口'!$E$5*(1+'融资租赁与资金缺口'!$I$5)^((YEAR(CH$46)-YEAR('融资租赁与资金缺口'!$F$5))*12+MONTH(CH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CH$46)-YEAR('融资租赁与资金缺口'!$F$5))*12+MONTH(CH$46)-MONTH('融资租赁与资金缺口'!$F$5))-1)/'融资租赁与资金缺口'!$I$5))))),IF(CH$46&lt;'融资租赁与资金缺口'!$F$6,0,IF(CH$46='融资租赁与资金缺口'!$F$6,'融资租赁与资金缺口'!$E$6,IF(((YEAR(CH$46)-YEAR('融资租赁与资金缺口'!$F$6))*12+MONTH(CH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CH$46)-YEAR('融资租赁与资金缺口'!$F$6))*12+MONTH(CH$46)-MONTH('融资租赁与资金缺口'!$F$6)),'融资租赁与资金缺口'!$E$6*(1+'融资租赁与资金缺口'!$I$6)^((YEAR(CH$46)-YEAR('融资租赁与资金缺口'!$F$6))*12+MONTH(CH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CH$46)-YEAR('融资租赁与资金缺口'!$F$6))*12+MONTH(CH$46)-MONTH('融资租赁与资金缺口'!$F$6))-1)/'融资租赁与资金缺口'!$I$6))))),IF(CH$46&lt;'融资租赁与资金缺口'!$F$7,0,IF(CH$46='融资租赁与资金缺口'!$F$7,'融资租赁与资金缺口'!$E$7,IF(((YEAR(CH$46)-YEAR('融资租赁与资金缺口'!$F$7))*12+MONTH(CH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CH$46)-YEAR('融资租赁与资金缺口'!$F$7))*12+MONTH(CH$46)-MONTH('融资租赁与资金缺口'!$F$7)),'融资租赁与资金缺口'!$E$7*(1+'融资租赁与资金缺口'!$I$7)^((YEAR(CH$46)-YEAR('融资租赁与资金缺口'!$F$7))*12+MONTH(CH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CH$46)-YEAR('融资租赁与资金缺口'!$F$7))*12+MONTH(CH$46)-MONTH('融资租赁与资金缺口'!$F$7))-1)/'融资租赁与资金缺口'!$I$7))))),IF(CH$46&lt;'融资租赁与资金缺口'!$F$8,0,IF(CH$46='融资租赁与资金缺口'!$F$8,'融资租赁与资金缺口'!$E$8,IF(((YEAR(CH$46)-YEAR('融资租赁与资金缺口'!$F$8))*12+MONTH(CH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CH$46)-YEAR('融资租赁与资金缺口'!$F$8))*12+MONTH(CH$46)-MONTH('融资租赁与资金缺口'!$F$8)),'融资租赁与资金缺口'!$E$8*(1+'融资租赁与资金缺口'!$I$8)^((YEAR(CH$46)-YEAR('融资租赁与资金缺口'!$F$8))*12+MONTH(CH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CH$46)-YEAR('融资租赁与资金缺口'!$F$8))*12+MONTH(CH$46)-MONTH('融资租赁与资金缺口'!$F$8))-1)/'融资租赁与资金缺口'!$I$8))))),IF(CH$46&lt;'融资租赁与资金缺口'!$F$9,0,IF(CH$46='融资租赁与资金缺口'!$F$9,'融资租赁与资金缺口'!$E$9,IF(((YEAR(CH$46)-YEAR('融资租赁与资金缺口'!$F$9))*12+MONTH(CH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CH$46)-YEAR('融资租赁与资金缺口'!$F$9))*12+MONTH(CH$46)-MONTH('融资租赁与资金缺口'!$F$9)),'融资租赁与资金缺口'!$E$9*(1+'融资租赁与资金缺口'!$I$9)^((YEAR(CH$46)-YEAR('融资租赁与资金缺口'!$F$9))*12+MONTH(CH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CH$46)-YEAR('融资租赁与资金缺口'!$F$9))*12+MONTH(CH$46)-MONTH('融资租赁与资金缺口'!$F$9))-1)/'融资租赁与资金缺口'!$I$9))))),IF(CH$46&lt;'融资租赁与资金缺口'!$F$10,0,IF(CH$46='融资租赁与资金缺口'!$F$10,'融资租赁与资金缺口'!$E$10,IF(((YEAR(CH$46)-YEAR('融资租赁与资金缺口'!$F$10))*12+MONTH(CH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CH$46)-YEAR('融资租赁与资金缺口'!$F$10))*12+MONTH(CH$46)-MONTH('融资租赁与资金缺口'!$F$10)),'融资租赁与资金缺口'!$E$10*(1+'融资租赁与资金缺口'!$I$10)^((YEAR(CH$46)-YEAR('融资租赁与资金缺口'!$F$10))*12+MONTH(CH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CH$46)-YEAR('融资租赁与资金缺口'!$F$10))*12+MONTH(CH$46)-MONTH('融资租赁与资金缺口'!$F$10))-1)/'融资租赁与资金缺口'!$I$10))))),IF(CH$46&lt;'融资租赁与资金缺口'!$F$11,0,IF(CH$46='融资租赁与资金缺口'!$F$11,'融资租赁与资金缺口'!$E$11,IF(((YEAR(CH$46)-YEAR('融资租赁与资金缺口'!$F$11))*12+MONTH(CH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CH$46)-YEAR('融资租赁与资金缺口'!$F$11))*12+MONTH(CH$46)-MONTH('融资租赁与资金缺口'!$F$11)),'融资租赁与资金缺口'!$E$11*(1+'融资租赁与资金缺口'!$I$11)^((YEAR(CH$46)-YEAR('融资租赁与资金缺口'!$F$11))*12+MONTH(CH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CH$46)-YEAR('融资租赁与资金缺口'!$F$11))*12+MONTH(CH$46)-MONTH('融资租赁与资金缺口'!$F$11))-1)/'融资租赁与资金缺口'!$I$11))))),IF(CH$46&lt;'融资租赁与资金缺口'!$F$12,0,IF(CH$46='融资租赁与资金缺口'!$F$12,'融资租赁与资金缺口'!$E$12,IF(((YEAR(CH$46)-YEAR('融资租赁与资金缺口'!$F$12))*12+MONTH(CH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CH$46)-YEAR('融资租赁与资金缺口'!$F$12))*12+MONTH(CH$46)-MONTH('融资租赁与资金缺口'!$F$12)),'融资租赁与资金缺口'!$E$12*(1+'融资租赁与资金缺口'!$I$12)^((YEAR(CH$46)-YEAR('融资租赁与资金缺口'!$F$12))*12+MONTH(CH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CH$46)-YEAR('融资租赁与资金缺口'!$F$12))*12+MONTH(CH$46)-MONTH('融资租赁与资金缺口'!$F$12))-1)/'融资租赁与资金缺口'!$I$12))))),IF(CH$46&lt;'融资租赁与资金缺口'!$F$13,0,IF(CH$46='融资租赁与资金缺口'!$F$13,'融资租赁与资金缺口'!$E$13,IF(((YEAR(CH$46)-YEAR('融资租赁与资金缺口'!$F$13))*12+MONTH(CH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CH$46)-YEAR('融资租赁与资金缺口'!$F$13))*12+MONTH(CH$46)-MONTH('融资租赁与资金缺口'!$F$13)),'融资租赁与资金缺口'!$E$13*(1+'融资租赁与资金缺口'!$I$13)^((YEAR(CH$46)-YEAR('融资租赁与资金缺口'!$F$13))*12+MONTH(CH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CH$46)-YEAR('融资租赁与资金缺口'!$F$13))*12+MONTH(CH$46)-MONTH('融资租赁与资金缺口'!$F$13))-1)/'融资租赁与资金缺口'!$I$13))))),IF(CH$46&lt;'融资租赁与资金缺口'!$F$14,0,IF(CH$46='融资租赁与资金缺口'!$F$14,'融资租赁与资金缺口'!$E$14,IF(((YEAR(CH$46)-YEAR('融资租赁与资金缺口'!$F$14))*12+MONTH(CH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CH$46)-YEAR('融资租赁与资金缺口'!$F$14))*12+MONTH(CH$46)-MONTH('融资租赁与资金缺口'!$F$14)),'融资租赁与资金缺口'!$E$14*(1+'融资租赁与资金缺口'!$I$14)^((YEAR(CH$46)-YEAR('融资租赁与资金缺口'!$F$14))*12+MONTH(CH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CH$46)-YEAR('融资租赁与资金缺口'!$F$14))*12+MONTH(CH$46)-MONTH('融资租赁与资金缺口'!$F$14))-1)/'融资租赁与资金缺口'!$I$14))))),IF(CH$46&lt;'融资租赁与资金缺口'!$F$15,0,IF(CH$46='融资租赁与资金缺口'!$F$15,'融资租赁与资金缺口'!$E$15,IF(((YEAR(CH$46)-YEAR('融资租赁与资金缺口'!$F$15))*12+MONTH(CH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CH$46)-YEAR('融资租赁与资金缺口'!$F$15))*12+MONTH(CH$46)-MONTH('融资租赁与资金缺口'!$F$15)),'融资租赁与资金缺口'!$E$15*(1+'融资租赁与资金缺口'!$I$15)^((YEAR(CH$46)-YEAR('融资租赁与资金缺口'!$F$15))*12+MONTH(CH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CH$46)-YEAR('融资租赁与资金缺口'!$F$15))*12+MONTH(CH$46)-MONTH('融资租赁与资金缺口'!$F$15))-1)/'融资租赁与资金缺口'!$I$15))))),IF(CH$46&lt;'融资租赁与资金缺口'!$F$16,0,IF(CH$46='融资租赁与资金缺口'!$F$16,'融资租赁与资金缺口'!$E$16,IF(((YEAR(CH$46)-YEAR('融资租赁与资金缺口'!$F$16))*12+MONTH(CH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CH$46)-YEAR('融资租赁与资金缺口'!$F$16))*12+MONTH(CH$46)-MONTH('融资租赁与资金缺口'!$F$16)),'融资租赁与资金缺口'!$E$16*(1+'融资租赁与资金缺口'!$I$16)^((YEAR(CH$46)-YEAR('融资租赁与资金缺口'!$F$16))*12+MONTH(CH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CH$46)-YEAR('融资租赁与资金缺口'!$F$16))*12+MONTH(CH$46)-MONTH('融资租赁与资金缺口'!$F$16))-1)/'融资租赁与资金缺口'!$I$16))))))</x:f>
        <x:v>0</x:v>
      </x:c>
      <x:c r="CI53" s="28" t="n">
        <x:f>SUM(IF(CI$46&lt;'融资租赁与资金缺口'!$F$5,0,IF(CI$46='融资租赁与资金缺口'!$F$5,'融资租赁与资金缺口'!$E$5,IF(((YEAR(CI$46)-YEAR('融资租赁与资金缺口'!$F$5))*12+MONTH(CI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CI$46)-YEAR('融资租赁与资金缺口'!$F$5))*12+MONTH(CI$46)-MONTH('融资租赁与资金缺口'!$F$5)),'融资租赁与资金缺口'!$E$5*(1+'融资租赁与资金缺口'!$I$5)^((YEAR(CI$46)-YEAR('融资租赁与资金缺口'!$F$5))*12+MONTH(CI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CI$46)-YEAR('融资租赁与资金缺口'!$F$5))*12+MONTH(CI$46)-MONTH('融资租赁与资金缺口'!$F$5))-1)/'融资租赁与资金缺口'!$I$5))))),IF(CI$46&lt;'融资租赁与资金缺口'!$F$6,0,IF(CI$46='融资租赁与资金缺口'!$F$6,'融资租赁与资金缺口'!$E$6,IF(((YEAR(CI$46)-YEAR('融资租赁与资金缺口'!$F$6))*12+MONTH(CI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CI$46)-YEAR('融资租赁与资金缺口'!$F$6))*12+MONTH(CI$46)-MONTH('融资租赁与资金缺口'!$F$6)),'融资租赁与资金缺口'!$E$6*(1+'融资租赁与资金缺口'!$I$6)^((YEAR(CI$46)-YEAR('融资租赁与资金缺口'!$F$6))*12+MONTH(CI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CI$46)-YEAR('融资租赁与资金缺口'!$F$6))*12+MONTH(CI$46)-MONTH('融资租赁与资金缺口'!$F$6))-1)/'融资租赁与资金缺口'!$I$6))))),IF(CI$46&lt;'融资租赁与资金缺口'!$F$7,0,IF(CI$46='融资租赁与资金缺口'!$F$7,'融资租赁与资金缺口'!$E$7,IF(((YEAR(CI$46)-YEAR('融资租赁与资金缺口'!$F$7))*12+MONTH(CI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CI$46)-YEAR('融资租赁与资金缺口'!$F$7))*12+MONTH(CI$46)-MONTH('融资租赁与资金缺口'!$F$7)),'融资租赁与资金缺口'!$E$7*(1+'融资租赁与资金缺口'!$I$7)^((YEAR(CI$46)-YEAR('融资租赁与资金缺口'!$F$7))*12+MONTH(CI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CI$46)-YEAR('融资租赁与资金缺口'!$F$7))*12+MONTH(CI$46)-MONTH('融资租赁与资金缺口'!$F$7))-1)/'融资租赁与资金缺口'!$I$7))))),IF(CI$46&lt;'融资租赁与资金缺口'!$F$8,0,IF(CI$46='融资租赁与资金缺口'!$F$8,'融资租赁与资金缺口'!$E$8,IF(((YEAR(CI$46)-YEAR('融资租赁与资金缺口'!$F$8))*12+MONTH(CI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CI$46)-YEAR('融资租赁与资金缺口'!$F$8))*12+MONTH(CI$46)-MONTH('融资租赁与资金缺口'!$F$8)),'融资租赁与资金缺口'!$E$8*(1+'融资租赁与资金缺口'!$I$8)^((YEAR(CI$46)-YEAR('融资租赁与资金缺口'!$F$8))*12+MONTH(CI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CI$46)-YEAR('融资租赁与资金缺口'!$F$8))*12+MONTH(CI$46)-MONTH('融资租赁与资金缺口'!$F$8))-1)/'融资租赁与资金缺口'!$I$8))))),IF(CI$46&lt;'融资租赁与资金缺口'!$F$9,0,IF(CI$46='融资租赁与资金缺口'!$F$9,'融资租赁与资金缺口'!$E$9,IF(((YEAR(CI$46)-YEAR('融资租赁与资金缺口'!$F$9))*12+MONTH(CI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CI$46)-YEAR('融资租赁与资金缺口'!$F$9))*12+MONTH(CI$46)-MONTH('融资租赁与资金缺口'!$F$9)),'融资租赁与资金缺口'!$E$9*(1+'融资租赁与资金缺口'!$I$9)^((YEAR(CI$46)-YEAR('融资租赁与资金缺口'!$F$9))*12+MONTH(CI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CI$46)-YEAR('融资租赁与资金缺口'!$F$9))*12+MONTH(CI$46)-MONTH('融资租赁与资金缺口'!$F$9))-1)/'融资租赁与资金缺口'!$I$9))))),IF(CI$46&lt;'融资租赁与资金缺口'!$F$10,0,IF(CI$46='融资租赁与资金缺口'!$F$10,'融资租赁与资金缺口'!$E$10,IF(((YEAR(CI$46)-YEAR('融资租赁与资金缺口'!$F$10))*12+MONTH(CI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CI$46)-YEAR('融资租赁与资金缺口'!$F$10))*12+MONTH(CI$46)-MONTH('融资租赁与资金缺口'!$F$10)),'融资租赁与资金缺口'!$E$10*(1+'融资租赁与资金缺口'!$I$10)^((YEAR(CI$46)-YEAR('融资租赁与资金缺口'!$F$10))*12+MONTH(CI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CI$46)-YEAR('融资租赁与资金缺口'!$F$10))*12+MONTH(CI$46)-MONTH('融资租赁与资金缺口'!$F$10))-1)/'融资租赁与资金缺口'!$I$10))))),IF(CI$46&lt;'融资租赁与资金缺口'!$F$11,0,IF(CI$46='融资租赁与资金缺口'!$F$11,'融资租赁与资金缺口'!$E$11,IF(((YEAR(CI$46)-YEAR('融资租赁与资金缺口'!$F$11))*12+MONTH(CI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CI$46)-YEAR('融资租赁与资金缺口'!$F$11))*12+MONTH(CI$46)-MONTH('融资租赁与资金缺口'!$F$11)),'融资租赁与资金缺口'!$E$11*(1+'融资租赁与资金缺口'!$I$11)^((YEAR(CI$46)-YEAR('融资租赁与资金缺口'!$F$11))*12+MONTH(CI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CI$46)-YEAR('融资租赁与资金缺口'!$F$11))*12+MONTH(CI$46)-MONTH('融资租赁与资金缺口'!$F$11))-1)/'融资租赁与资金缺口'!$I$11))))),IF(CI$46&lt;'融资租赁与资金缺口'!$F$12,0,IF(CI$46='融资租赁与资金缺口'!$F$12,'融资租赁与资金缺口'!$E$12,IF(((YEAR(CI$46)-YEAR('融资租赁与资金缺口'!$F$12))*12+MONTH(CI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CI$46)-YEAR('融资租赁与资金缺口'!$F$12))*12+MONTH(CI$46)-MONTH('融资租赁与资金缺口'!$F$12)),'融资租赁与资金缺口'!$E$12*(1+'融资租赁与资金缺口'!$I$12)^((YEAR(CI$46)-YEAR('融资租赁与资金缺口'!$F$12))*12+MONTH(CI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CI$46)-YEAR('融资租赁与资金缺口'!$F$12))*12+MONTH(CI$46)-MONTH('融资租赁与资金缺口'!$F$12))-1)/'融资租赁与资金缺口'!$I$12))))),IF(CI$46&lt;'融资租赁与资金缺口'!$F$13,0,IF(CI$46='融资租赁与资金缺口'!$F$13,'融资租赁与资金缺口'!$E$13,IF(((YEAR(CI$46)-YEAR('融资租赁与资金缺口'!$F$13))*12+MONTH(CI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CI$46)-YEAR('融资租赁与资金缺口'!$F$13))*12+MONTH(CI$46)-MONTH('融资租赁与资金缺口'!$F$13)),'融资租赁与资金缺口'!$E$13*(1+'融资租赁与资金缺口'!$I$13)^((YEAR(CI$46)-YEAR('融资租赁与资金缺口'!$F$13))*12+MONTH(CI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CI$46)-YEAR('融资租赁与资金缺口'!$F$13))*12+MONTH(CI$46)-MONTH('融资租赁与资金缺口'!$F$13))-1)/'融资租赁与资金缺口'!$I$13))))),IF(CI$46&lt;'融资租赁与资金缺口'!$F$14,0,IF(CI$46='融资租赁与资金缺口'!$F$14,'融资租赁与资金缺口'!$E$14,IF(((YEAR(CI$46)-YEAR('融资租赁与资金缺口'!$F$14))*12+MONTH(CI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CI$46)-YEAR('融资租赁与资金缺口'!$F$14))*12+MONTH(CI$46)-MONTH('融资租赁与资金缺口'!$F$14)),'融资租赁与资金缺口'!$E$14*(1+'融资租赁与资金缺口'!$I$14)^((YEAR(CI$46)-YEAR('融资租赁与资金缺口'!$F$14))*12+MONTH(CI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CI$46)-YEAR('融资租赁与资金缺口'!$F$14))*12+MONTH(CI$46)-MONTH('融资租赁与资金缺口'!$F$14))-1)/'融资租赁与资金缺口'!$I$14))))),IF(CI$46&lt;'融资租赁与资金缺口'!$F$15,0,IF(CI$46='融资租赁与资金缺口'!$F$15,'融资租赁与资金缺口'!$E$15,IF(((YEAR(CI$46)-YEAR('融资租赁与资金缺口'!$F$15))*12+MONTH(CI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CI$46)-YEAR('融资租赁与资金缺口'!$F$15))*12+MONTH(CI$46)-MONTH('融资租赁与资金缺口'!$F$15)),'融资租赁与资金缺口'!$E$15*(1+'融资租赁与资金缺口'!$I$15)^((YEAR(CI$46)-YEAR('融资租赁与资金缺口'!$F$15))*12+MONTH(CI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CI$46)-YEAR('融资租赁与资金缺口'!$F$15))*12+MONTH(CI$46)-MONTH('融资租赁与资金缺口'!$F$15))-1)/'融资租赁与资金缺口'!$I$15))))),IF(CI$46&lt;'融资租赁与资金缺口'!$F$16,0,IF(CI$46='融资租赁与资金缺口'!$F$16,'融资租赁与资金缺口'!$E$16,IF(((YEAR(CI$46)-YEAR('融资租赁与资金缺口'!$F$16))*12+MONTH(CI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CI$46)-YEAR('融资租赁与资金缺口'!$F$16))*12+MONTH(CI$46)-MONTH('融资租赁与资金缺口'!$F$16)),'融资租赁与资金缺口'!$E$16*(1+'融资租赁与资金缺口'!$I$16)^((YEAR(CI$46)-YEAR('融资租赁与资金缺口'!$F$16))*12+MONTH(CI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CI$46)-YEAR('融资租赁与资金缺口'!$F$16))*12+MONTH(CI$46)-MONTH('融资租赁与资金缺口'!$F$16))-1)/'融资租赁与资金缺口'!$I$16))))))</x:f>
        <x:v>0</x:v>
      </x:c>
      <x:c r="CJ53" s="28" t="n">
        <x:f>SUM(IF(CJ$46&lt;'融资租赁与资金缺口'!$F$5,0,IF(CJ$46='融资租赁与资金缺口'!$F$5,'融资租赁与资金缺口'!$E$5,IF(((YEAR(CJ$46)-YEAR('融资租赁与资金缺口'!$F$5))*12+MONTH(CJ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CJ$46)-YEAR('融资租赁与资金缺口'!$F$5))*12+MONTH(CJ$46)-MONTH('融资租赁与资金缺口'!$F$5)),'融资租赁与资金缺口'!$E$5*(1+'融资租赁与资金缺口'!$I$5)^((YEAR(CJ$46)-YEAR('融资租赁与资金缺口'!$F$5))*12+MONTH(CJ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CJ$46)-YEAR('融资租赁与资金缺口'!$F$5))*12+MONTH(CJ$46)-MONTH('融资租赁与资金缺口'!$F$5))-1)/'融资租赁与资金缺口'!$I$5))))),IF(CJ$46&lt;'融资租赁与资金缺口'!$F$6,0,IF(CJ$46='融资租赁与资金缺口'!$F$6,'融资租赁与资金缺口'!$E$6,IF(((YEAR(CJ$46)-YEAR('融资租赁与资金缺口'!$F$6))*12+MONTH(CJ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CJ$46)-YEAR('融资租赁与资金缺口'!$F$6))*12+MONTH(CJ$46)-MONTH('融资租赁与资金缺口'!$F$6)),'融资租赁与资金缺口'!$E$6*(1+'融资租赁与资金缺口'!$I$6)^((YEAR(CJ$46)-YEAR('融资租赁与资金缺口'!$F$6))*12+MONTH(CJ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CJ$46)-YEAR('融资租赁与资金缺口'!$F$6))*12+MONTH(CJ$46)-MONTH('融资租赁与资金缺口'!$F$6))-1)/'融资租赁与资金缺口'!$I$6))))),IF(CJ$46&lt;'融资租赁与资金缺口'!$F$7,0,IF(CJ$46='融资租赁与资金缺口'!$F$7,'融资租赁与资金缺口'!$E$7,IF(((YEAR(CJ$46)-YEAR('融资租赁与资金缺口'!$F$7))*12+MONTH(CJ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CJ$46)-YEAR('融资租赁与资金缺口'!$F$7))*12+MONTH(CJ$46)-MONTH('融资租赁与资金缺口'!$F$7)),'融资租赁与资金缺口'!$E$7*(1+'融资租赁与资金缺口'!$I$7)^((YEAR(CJ$46)-YEAR('融资租赁与资金缺口'!$F$7))*12+MONTH(CJ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CJ$46)-YEAR('融资租赁与资金缺口'!$F$7))*12+MONTH(CJ$46)-MONTH('融资租赁与资金缺口'!$F$7))-1)/'融资租赁与资金缺口'!$I$7))))),IF(CJ$46&lt;'融资租赁与资金缺口'!$F$8,0,IF(CJ$46='融资租赁与资金缺口'!$F$8,'融资租赁与资金缺口'!$E$8,IF(((YEAR(CJ$46)-YEAR('融资租赁与资金缺口'!$F$8))*12+MONTH(CJ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CJ$46)-YEAR('融资租赁与资金缺口'!$F$8))*12+MONTH(CJ$46)-MONTH('融资租赁与资金缺口'!$F$8)),'融资租赁与资金缺口'!$E$8*(1+'融资租赁与资金缺口'!$I$8)^((YEAR(CJ$46)-YEAR('融资租赁与资金缺口'!$F$8))*12+MONTH(CJ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CJ$46)-YEAR('融资租赁与资金缺口'!$F$8))*12+MONTH(CJ$46)-MONTH('融资租赁与资金缺口'!$F$8))-1)/'融资租赁与资金缺口'!$I$8))))),IF(CJ$46&lt;'融资租赁与资金缺口'!$F$9,0,IF(CJ$46='融资租赁与资金缺口'!$F$9,'融资租赁与资金缺口'!$E$9,IF(((YEAR(CJ$46)-YEAR('融资租赁与资金缺口'!$F$9))*12+MONTH(CJ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CJ$46)-YEAR('融资租赁与资金缺口'!$F$9))*12+MONTH(CJ$46)-MONTH('融资租赁与资金缺口'!$F$9)),'融资租赁与资金缺口'!$E$9*(1+'融资租赁与资金缺口'!$I$9)^((YEAR(CJ$46)-YEAR('融资租赁与资金缺口'!$F$9))*12+MONTH(CJ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CJ$46)-YEAR('融资租赁与资金缺口'!$F$9))*12+MONTH(CJ$46)-MONTH('融资租赁与资金缺口'!$F$9))-1)/'融资租赁与资金缺口'!$I$9))))),IF(CJ$46&lt;'融资租赁与资金缺口'!$F$10,0,IF(CJ$46='融资租赁与资金缺口'!$F$10,'融资租赁与资金缺口'!$E$10,IF(((YEAR(CJ$46)-YEAR('融资租赁与资金缺口'!$F$10))*12+MONTH(CJ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CJ$46)-YEAR('融资租赁与资金缺口'!$F$10))*12+MONTH(CJ$46)-MONTH('融资租赁与资金缺口'!$F$10)),'融资租赁与资金缺口'!$E$10*(1+'融资租赁与资金缺口'!$I$10)^((YEAR(CJ$46)-YEAR('融资租赁与资金缺口'!$F$10))*12+MONTH(CJ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CJ$46)-YEAR('融资租赁与资金缺口'!$F$10))*12+MONTH(CJ$46)-MONTH('融资租赁与资金缺口'!$F$10))-1)/'融资租赁与资金缺口'!$I$10))))),IF(CJ$46&lt;'融资租赁与资金缺口'!$F$11,0,IF(CJ$46='融资租赁与资金缺口'!$F$11,'融资租赁与资金缺口'!$E$11,IF(((YEAR(CJ$46)-YEAR('融资租赁与资金缺口'!$F$11))*12+MONTH(CJ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CJ$46)-YEAR('融资租赁与资金缺口'!$F$11))*12+MONTH(CJ$46)-MONTH('融资租赁与资金缺口'!$F$11)),'融资租赁与资金缺口'!$E$11*(1+'融资租赁与资金缺口'!$I$11)^((YEAR(CJ$46)-YEAR('融资租赁与资金缺口'!$F$11))*12+MONTH(CJ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CJ$46)-YEAR('融资租赁与资金缺口'!$F$11))*12+MONTH(CJ$46)-MONTH('融资租赁与资金缺口'!$F$11))-1)/'融资租赁与资金缺口'!$I$11))))),IF(CJ$46&lt;'融资租赁与资金缺口'!$F$12,0,IF(CJ$46='融资租赁与资金缺口'!$F$12,'融资租赁与资金缺口'!$E$12,IF(((YEAR(CJ$46)-YEAR('融资租赁与资金缺口'!$F$12))*12+MONTH(CJ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CJ$46)-YEAR('融资租赁与资金缺口'!$F$12))*12+MONTH(CJ$46)-MONTH('融资租赁与资金缺口'!$F$12)),'融资租赁与资金缺口'!$E$12*(1+'融资租赁与资金缺口'!$I$12)^((YEAR(CJ$46)-YEAR('融资租赁与资金缺口'!$F$12))*12+MONTH(CJ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CJ$46)-YEAR('融资租赁与资金缺口'!$F$12))*12+MONTH(CJ$46)-MONTH('融资租赁与资金缺口'!$F$12))-1)/'融资租赁与资金缺口'!$I$12))))),IF(CJ$46&lt;'融资租赁与资金缺口'!$F$13,0,IF(CJ$46='融资租赁与资金缺口'!$F$13,'融资租赁与资金缺口'!$E$13,IF(((YEAR(CJ$46)-YEAR('融资租赁与资金缺口'!$F$13))*12+MONTH(CJ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CJ$46)-YEAR('融资租赁与资金缺口'!$F$13))*12+MONTH(CJ$46)-MONTH('融资租赁与资金缺口'!$F$13)),'融资租赁与资金缺口'!$E$13*(1+'融资租赁与资金缺口'!$I$13)^((YEAR(CJ$46)-YEAR('融资租赁与资金缺口'!$F$13))*12+MONTH(CJ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CJ$46)-YEAR('融资租赁与资金缺口'!$F$13))*12+MONTH(CJ$46)-MONTH('融资租赁与资金缺口'!$F$13))-1)/'融资租赁与资金缺口'!$I$13))))),IF(CJ$46&lt;'融资租赁与资金缺口'!$F$14,0,IF(CJ$46='融资租赁与资金缺口'!$F$14,'融资租赁与资金缺口'!$E$14,IF(((YEAR(CJ$46)-YEAR('融资租赁与资金缺口'!$F$14))*12+MONTH(CJ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CJ$46)-YEAR('融资租赁与资金缺口'!$F$14))*12+MONTH(CJ$46)-MONTH('融资租赁与资金缺口'!$F$14)),'融资租赁与资金缺口'!$E$14*(1+'融资租赁与资金缺口'!$I$14)^((YEAR(CJ$46)-YEAR('融资租赁与资金缺口'!$F$14))*12+MONTH(CJ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CJ$46)-YEAR('融资租赁与资金缺口'!$F$14))*12+MONTH(CJ$46)-MONTH('融资租赁与资金缺口'!$F$14))-1)/'融资租赁与资金缺口'!$I$14))))),IF(CJ$46&lt;'融资租赁与资金缺口'!$F$15,0,IF(CJ$46='融资租赁与资金缺口'!$F$15,'融资租赁与资金缺口'!$E$15,IF(((YEAR(CJ$46)-YEAR('融资租赁与资金缺口'!$F$15))*12+MONTH(CJ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CJ$46)-YEAR('融资租赁与资金缺口'!$F$15))*12+MONTH(CJ$46)-MONTH('融资租赁与资金缺口'!$F$15)),'融资租赁与资金缺口'!$E$15*(1+'融资租赁与资金缺口'!$I$15)^((YEAR(CJ$46)-YEAR('融资租赁与资金缺口'!$F$15))*12+MONTH(CJ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CJ$46)-YEAR('融资租赁与资金缺口'!$F$15))*12+MONTH(CJ$46)-MONTH('融资租赁与资金缺口'!$F$15))-1)/'融资租赁与资金缺口'!$I$15))))),IF(CJ$46&lt;'融资租赁与资金缺口'!$F$16,0,IF(CJ$46='融资租赁与资金缺口'!$F$16,'融资租赁与资金缺口'!$E$16,IF(((YEAR(CJ$46)-YEAR('融资租赁与资金缺口'!$F$16))*12+MONTH(CJ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CJ$46)-YEAR('融资租赁与资金缺口'!$F$16))*12+MONTH(CJ$46)-MONTH('融资租赁与资金缺口'!$F$16)),'融资租赁与资金缺口'!$E$16*(1+'融资租赁与资金缺口'!$I$16)^((YEAR(CJ$46)-YEAR('融资租赁与资金缺口'!$F$16))*12+MONTH(CJ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CJ$46)-YEAR('融资租赁与资金缺口'!$F$16))*12+MONTH(CJ$46)-MONTH('融资租赁与资金缺口'!$F$16))-1)/'融资租赁与资金缺口'!$I$16))))))</x:f>
        <x:v>0</x:v>
      </x:c>
      <x:c r="CK53" s="28" t="n">
        <x:f>SUM(IF(CK$46&lt;'融资租赁与资金缺口'!$F$5,0,IF(CK$46='融资租赁与资金缺口'!$F$5,'融资租赁与资金缺口'!$E$5,IF(((YEAR(CK$46)-YEAR('融资租赁与资金缺口'!$F$5))*12+MONTH(CK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CK$46)-YEAR('融资租赁与资金缺口'!$F$5))*12+MONTH(CK$46)-MONTH('融资租赁与资金缺口'!$F$5)),'融资租赁与资金缺口'!$E$5*(1+'融资租赁与资金缺口'!$I$5)^((YEAR(CK$46)-YEAR('融资租赁与资金缺口'!$F$5))*12+MONTH(CK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CK$46)-YEAR('融资租赁与资金缺口'!$F$5))*12+MONTH(CK$46)-MONTH('融资租赁与资金缺口'!$F$5))-1)/'融资租赁与资金缺口'!$I$5))))),IF(CK$46&lt;'融资租赁与资金缺口'!$F$6,0,IF(CK$46='融资租赁与资金缺口'!$F$6,'融资租赁与资金缺口'!$E$6,IF(((YEAR(CK$46)-YEAR('融资租赁与资金缺口'!$F$6))*12+MONTH(CK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CK$46)-YEAR('融资租赁与资金缺口'!$F$6))*12+MONTH(CK$46)-MONTH('融资租赁与资金缺口'!$F$6)),'融资租赁与资金缺口'!$E$6*(1+'融资租赁与资金缺口'!$I$6)^((YEAR(CK$46)-YEAR('融资租赁与资金缺口'!$F$6))*12+MONTH(CK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CK$46)-YEAR('融资租赁与资金缺口'!$F$6))*12+MONTH(CK$46)-MONTH('融资租赁与资金缺口'!$F$6))-1)/'融资租赁与资金缺口'!$I$6))))),IF(CK$46&lt;'融资租赁与资金缺口'!$F$7,0,IF(CK$46='融资租赁与资金缺口'!$F$7,'融资租赁与资金缺口'!$E$7,IF(((YEAR(CK$46)-YEAR('融资租赁与资金缺口'!$F$7))*12+MONTH(CK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CK$46)-YEAR('融资租赁与资金缺口'!$F$7))*12+MONTH(CK$46)-MONTH('融资租赁与资金缺口'!$F$7)),'融资租赁与资金缺口'!$E$7*(1+'融资租赁与资金缺口'!$I$7)^((YEAR(CK$46)-YEAR('融资租赁与资金缺口'!$F$7))*12+MONTH(CK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CK$46)-YEAR('融资租赁与资金缺口'!$F$7))*12+MONTH(CK$46)-MONTH('融资租赁与资金缺口'!$F$7))-1)/'融资租赁与资金缺口'!$I$7))))),IF(CK$46&lt;'融资租赁与资金缺口'!$F$8,0,IF(CK$46='融资租赁与资金缺口'!$F$8,'融资租赁与资金缺口'!$E$8,IF(((YEAR(CK$46)-YEAR('融资租赁与资金缺口'!$F$8))*12+MONTH(CK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CK$46)-YEAR('融资租赁与资金缺口'!$F$8))*12+MONTH(CK$46)-MONTH('融资租赁与资金缺口'!$F$8)),'融资租赁与资金缺口'!$E$8*(1+'融资租赁与资金缺口'!$I$8)^((YEAR(CK$46)-YEAR('融资租赁与资金缺口'!$F$8))*12+MONTH(CK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CK$46)-YEAR('融资租赁与资金缺口'!$F$8))*12+MONTH(CK$46)-MONTH('融资租赁与资金缺口'!$F$8))-1)/'融资租赁与资金缺口'!$I$8))))),IF(CK$46&lt;'融资租赁与资金缺口'!$F$9,0,IF(CK$46='融资租赁与资金缺口'!$F$9,'融资租赁与资金缺口'!$E$9,IF(((YEAR(CK$46)-YEAR('融资租赁与资金缺口'!$F$9))*12+MONTH(CK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CK$46)-YEAR('融资租赁与资金缺口'!$F$9))*12+MONTH(CK$46)-MONTH('融资租赁与资金缺口'!$F$9)),'融资租赁与资金缺口'!$E$9*(1+'融资租赁与资金缺口'!$I$9)^((YEAR(CK$46)-YEAR('融资租赁与资金缺口'!$F$9))*12+MONTH(CK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CK$46)-YEAR('融资租赁与资金缺口'!$F$9))*12+MONTH(CK$46)-MONTH('融资租赁与资金缺口'!$F$9))-1)/'融资租赁与资金缺口'!$I$9))))),IF(CK$46&lt;'融资租赁与资金缺口'!$F$10,0,IF(CK$46='融资租赁与资金缺口'!$F$10,'融资租赁与资金缺口'!$E$10,IF(((YEAR(CK$46)-YEAR('融资租赁与资金缺口'!$F$10))*12+MONTH(CK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CK$46)-YEAR('融资租赁与资金缺口'!$F$10))*12+MONTH(CK$46)-MONTH('融资租赁与资金缺口'!$F$10)),'融资租赁与资金缺口'!$E$10*(1+'融资租赁与资金缺口'!$I$10)^((YEAR(CK$46)-YEAR('融资租赁与资金缺口'!$F$10))*12+MONTH(CK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CK$46)-YEAR('融资租赁与资金缺口'!$F$10))*12+MONTH(CK$46)-MONTH('融资租赁与资金缺口'!$F$10))-1)/'融资租赁与资金缺口'!$I$10))))),IF(CK$46&lt;'融资租赁与资金缺口'!$F$11,0,IF(CK$46='融资租赁与资金缺口'!$F$11,'融资租赁与资金缺口'!$E$11,IF(((YEAR(CK$46)-YEAR('融资租赁与资金缺口'!$F$11))*12+MONTH(CK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CK$46)-YEAR('融资租赁与资金缺口'!$F$11))*12+MONTH(CK$46)-MONTH('融资租赁与资金缺口'!$F$11)),'融资租赁与资金缺口'!$E$11*(1+'融资租赁与资金缺口'!$I$11)^((YEAR(CK$46)-YEAR('融资租赁与资金缺口'!$F$11))*12+MONTH(CK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CK$46)-YEAR('融资租赁与资金缺口'!$F$11))*12+MONTH(CK$46)-MONTH('融资租赁与资金缺口'!$F$11))-1)/'融资租赁与资金缺口'!$I$11))))),IF(CK$46&lt;'融资租赁与资金缺口'!$F$12,0,IF(CK$46='融资租赁与资金缺口'!$F$12,'融资租赁与资金缺口'!$E$12,IF(((YEAR(CK$46)-YEAR('融资租赁与资金缺口'!$F$12))*12+MONTH(CK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CK$46)-YEAR('融资租赁与资金缺口'!$F$12))*12+MONTH(CK$46)-MONTH('融资租赁与资金缺口'!$F$12)),'融资租赁与资金缺口'!$E$12*(1+'融资租赁与资金缺口'!$I$12)^((YEAR(CK$46)-YEAR('融资租赁与资金缺口'!$F$12))*12+MONTH(CK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CK$46)-YEAR('融资租赁与资金缺口'!$F$12))*12+MONTH(CK$46)-MONTH('融资租赁与资金缺口'!$F$12))-1)/'融资租赁与资金缺口'!$I$12))))),IF(CK$46&lt;'融资租赁与资金缺口'!$F$13,0,IF(CK$46='融资租赁与资金缺口'!$F$13,'融资租赁与资金缺口'!$E$13,IF(((YEAR(CK$46)-YEAR('融资租赁与资金缺口'!$F$13))*12+MONTH(CK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CK$46)-YEAR('融资租赁与资金缺口'!$F$13))*12+MONTH(CK$46)-MONTH('融资租赁与资金缺口'!$F$13)),'融资租赁与资金缺口'!$E$13*(1+'融资租赁与资金缺口'!$I$13)^((YEAR(CK$46)-YEAR('融资租赁与资金缺口'!$F$13))*12+MONTH(CK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CK$46)-YEAR('融资租赁与资金缺口'!$F$13))*12+MONTH(CK$46)-MONTH('融资租赁与资金缺口'!$F$13))-1)/'融资租赁与资金缺口'!$I$13))))),IF(CK$46&lt;'融资租赁与资金缺口'!$F$14,0,IF(CK$46='融资租赁与资金缺口'!$F$14,'融资租赁与资金缺口'!$E$14,IF(((YEAR(CK$46)-YEAR('融资租赁与资金缺口'!$F$14))*12+MONTH(CK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CK$46)-YEAR('融资租赁与资金缺口'!$F$14))*12+MONTH(CK$46)-MONTH('融资租赁与资金缺口'!$F$14)),'融资租赁与资金缺口'!$E$14*(1+'融资租赁与资金缺口'!$I$14)^((YEAR(CK$46)-YEAR('融资租赁与资金缺口'!$F$14))*12+MONTH(CK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CK$46)-YEAR('融资租赁与资金缺口'!$F$14))*12+MONTH(CK$46)-MONTH('融资租赁与资金缺口'!$F$14))-1)/'融资租赁与资金缺口'!$I$14))))),IF(CK$46&lt;'融资租赁与资金缺口'!$F$15,0,IF(CK$46='融资租赁与资金缺口'!$F$15,'融资租赁与资金缺口'!$E$15,IF(((YEAR(CK$46)-YEAR('融资租赁与资金缺口'!$F$15))*12+MONTH(CK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CK$46)-YEAR('融资租赁与资金缺口'!$F$15))*12+MONTH(CK$46)-MONTH('融资租赁与资金缺口'!$F$15)),'融资租赁与资金缺口'!$E$15*(1+'融资租赁与资金缺口'!$I$15)^((YEAR(CK$46)-YEAR('融资租赁与资金缺口'!$F$15))*12+MONTH(CK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CK$46)-YEAR('融资租赁与资金缺口'!$F$15))*12+MONTH(CK$46)-MONTH('融资租赁与资金缺口'!$F$15))-1)/'融资租赁与资金缺口'!$I$15))))),IF(CK$46&lt;'融资租赁与资金缺口'!$F$16,0,IF(CK$46='融资租赁与资金缺口'!$F$16,'融资租赁与资金缺口'!$E$16,IF(((YEAR(CK$46)-YEAR('融资租赁与资金缺口'!$F$16))*12+MONTH(CK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CK$46)-YEAR('融资租赁与资金缺口'!$F$16))*12+MONTH(CK$46)-MONTH('融资租赁与资金缺口'!$F$16)),'融资租赁与资金缺口'!$E$16*(1+'融资租赁与资金缺口'!$I$16)^((YEAR(CK$46)-YEAR('融资租赁与资金缺口'!$F$16))*12+MONTH(CK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CK$46)-YEAR('融资租赁与资金缺口'!$F$16))*12+MONTH(CK$46)-MONTH('融资租赁与资金缺口'!$F$16))-1)/'融资租赁与资金缺口'!$I$16))))))</x:f>
        <x:v>0</x:v>
      </x:c>
      <x:c r="CL53" s="28" t="n">
        <x:f>SUM(IF(CL$46&lt;'融资租赁与资金缺口'!$F$5,0,IF(CL$46='融资租赁与资金缺口'!$F$5,'融资租赁与资金缺口'!$E$5,IF(((YEAR(CL$46)-YEAR('融资租赁与资金缺口'!$F$5))*12+MONTH(CL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CL$46)-YEAR('融资租赁与资金缺口'!$F$5))*12+MONTH(CL$46)-MONTH('融资租赁与资金缺口'!$F$5)),'融资租赁与资金缺口'!$E$5*(1+'融资租赁与资金缺口'!$I$5)^((YEAR(CL$46)-YEAR('融资租赁与资金缺口'!$F$5))*12+MONTH(CL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CL$46)-YEAR('融资租赁与资金缺口'!$F$5))*12+MONTH(CL$46)-MONTH('融资租赁与资金缺口'!$F$5))-1)/'融资租赁与资金缺口'!$I$5))))),IF(CL$46&lt;'融资租赁与资金缺口'!$F$6,0,IF(CL$46='融资租赁与资金缺口'!$F$6,'融资租赁与资金缺口'!$E$6,IF(((YEAR(CL$46)-YEAR('融资租赁与资金缺口'!$F$6))*12+MONTH(CL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CL$46)-YEAR('融资租赁与资金缺口'!$F$6))*12+MONTH(CL$46)-MONTH('融资租赁与资金缺口'!$F$6)),'融资租赁与资金缺口'!$E$6*(1+'融资租赁与资金缺口'!$I$6)^((YEAR(CL$46)-YEAR('融资租赁与资金缺口'!$F$6))*12+MONTH(CL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CL$46)-YEAR('融资租赁与资金缺口'!$F$6))*12+MONTH(CL$46)-MONTH('融资租赁与资金缺口'!$F$6))-1)/'融资租赁与资金缺口'!$I$6))))),IF(CL$46&lt;'融资租赁与资金缺口'!$F$7,0,IF(CL$46='融资租赁与资金缺口'!$F$7,'融资租赁与资金缺口'!$E$7,IF(((YEAR(CL$46)-YEAR('融资租赁与资金缺口'!$F$7))*12+MONTH(CL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CL$46)-YEAR('融资租赁与资金缺口'!$F$7))*12+MONTH(CL$46)-MONTH('融资租赁与资金缺口'!$F$7)),'融资租赁与资金缺口'!$E$7*(1+'融资租赁与资金缺口'!$I$7)^((YEAR(CL$46)-YEAR('融资租赁与资金缺口'!$F$7))*12+MONTH(CL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CL$46)-YEAR('融资租赁与资金缺口'!$F$7))*12+MONTH(CL$46)-MONTH('融资租赁与资金缺口'!$F$7))-1)/'融资租赁与资金缺口'!$I$7))))),IF(CL$46&lt;'融资租赁与资金缺口'!$F$8,0,IF(CL$46='融资租赁与资金缺口'!$F$8,'融资租赁与资金缺口'!$E$8,IF(((YEAR(CL$46)-YEAR('融资租赁与资金缺口'!$F$8))*12+MONTH(CL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CL$46)-YEAR('融资租赁与资金缺口'!$F$8))*12+MONTH(CL$46)-MONTH('融资租赁与资金缺口'!$F$8)),'融资租赁与资金缺口'!$E$8*(1+'融资租赁与资金缺口'!$I$8)^((YEAR(CL$46)-YEAR('融资租赁与资金缺口'!$F$8))*12+MONTH(CL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CL$46)-YEAR('融资租赁与资金缺口'!$F$8))*12+MONTH(CL$46)-MONTH('融资租赁与资金缺口'!$F$8))-1)/'融资租赁与资金缺口'!$I$8))))),IF(CL$46&lt;'融资租赁与资金缺口'!$F$9,0,IF(CL$46='融资租赁与资金缺口'!$F$9,'融资租赁与资金缺口'!$E$9,IF(((YEAR(CL$46)-YEAR('融资租赁与资金缺口'!$F$9))*12+MONTH(CL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CL$46)-YEAR('融资租赁与资金缺口'!$F$9))*12+MONTH(CL$46)-MONTH('融资租赁与资金缺口'!$F$9)),'融资租赁与资金缺口'!$E$9*(1+'融资租赁与资金缺口'!$I$9)^((YEAR(CL$46)-YEAR('融资租赁与资金缺口'!$F$9))*12+MONTH(CL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CL$46)-YEAR('融资租赁与资金缺口'!$F$9))*12+MONTH(CL$46)-MONTH('融资租赁与资金缺口'!$F$9))-1)/'融资租赁与资金缺口'!$I$9))))),IF(CL$46&lt;'融资租赁与资金缺口'!$F$10,0,IF(CL$46='融资租赁与资金缺口'!$F$10,'融资租赁与资金缺口'!$E$10,IF(((YEAR(CL$46)-YEAR('融资租赁与资金缺口'!$F$10))*12+MONTH(CL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CL$46)-YEAR('融资租赁与资金缺口'!$F$10))*12+MONTH(CL$46)-MONTH('融资租赁与资金缺口'!$F$10)),'融资租赁与资金缺口'!$E$10*(1+'融资租赁与资金缺口'!$I$10)^((YEAR(CL$46)-YEAR('融资租赁与资金缺口'!$F$10))*12+MONTH(CL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CL$46)-YEAR('融资租赁与资金缺口'!$F$10))*12+MONTH(CL$46)-MONTH('融资租赁与资金缺口'!$F$10))-1)/'融资租赁与资金缺口'!$I$10))))),IF(CL$46&lt;'融资租赁与资金缺口'!$F$11,0,IF(CL$46='融资租赁与资金缺口'!$F$11,'融资租赁与资金缺口'!$E$11,IF(((YEAR(CL$46)-YEAR('融资租赁与资金缺口'!$F$11))*12+MONTH(CL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CL$46)-YEAR('融资租赁与资金缺口'!$F$11))*12+MONTH(CL$46)-MONTH('融资租赁与资金缺口'!$F$11)),'融资租赁与资金缺口'!$E$11*(1+'融资租赁与资金缺口'!$I$11)^((YEAR(CL$46)-YEAR('融资租赁与资金缺口'!$F$11))*12+MONTH(CL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CL$46)-YEAR('融资租赁与资金缺口'!$F$11))*12+MONTH(CL$46)-MONTH('融资租赁与资金缺口'!$F$11))-1)/'融资租赁与资金缺口'!$I$11))))),IF(CL$46&lt;'融资租赁与资金缺口'!$F$12,0,IF(CL$46='融资租赁与资金缺口'!$F$12,'融资租赁与资金缺口'!$E$12,IF(((YEAR(CL$46)-YEAR('融资租赁与资金缺口'!$F$12))*12+MONTH(CL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CL$46)-YEAR('融资租赁与资金缺口'!$F$12))*12+MONTH(CL$46)-MONTH('融资租赁与资金缺口'!$F$12)),'融资租赁与资金缺口'!$E$12*(1+'融资租赁与资金缺口'!$I$12)^((YEAR(CL$46)-YEAR('融资租赁与资金缺口'!$F$12))*12+MONTH(CL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CL$46)-YEAR('融资租赁与资金缺口'!$F$12))*12+MONTH(CL$46)-MONTH('融资租赁与资金缺口'!$F$12))-1)/'融资租赁与资金缺口'!$I$12))))),IF(CL$46&lt;'融资租赁与资金缺口'!$F$13,0,IF(CL$46='融资租赁与资金缺口'!$F$13,'融资租赁与资金缺口'!$E$13,IF(((YEAR(CL$46)-YEAR('融资租赁与资金缺口'!$F$13))*12+MONTH(CL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CL$46)-YEAR('融资租赁与资金缺口'!$F$13))*12+MONTH(CL$46)-MONTH('融资租赁与资金缺口'!$F$13)),'融资租赁与资金缺口'!$E$13*(1+'融资租赁与资金缺口'!$I$13)^((YEAR(CL$46)-YEAR('融资租赁与资金缺口'!$F$13))*12+MONTH(CL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CL$46)-YEAR('融资租赁与资金缺口'!$F$13))*12+MONTH(CL$46)-MONTH('融资租赁与资金缺口'!$F$13))-1)/'融资租赁与资金缺口'!$I$13))))),IF(CL$46&lt;'融资租赁与资金缺口'!$F$14,0,IF(CL$46='融资租赁与资金缺口'!$F$14,'融资租赁与资金缺口'!$E$14,IF(((YEAR(CL$46)-YEAR('融资租赁与资金缺口'!$F$14))*12+MONTH(CL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CL$46)-YEAR('融资租赁与资金缺口'!$F$14))*12+MONTH(CL$46)-MONTH('融资租赁与资金缺口'!$F$14)),'融资租赁与资金缺口'!$E$14*(1+'融资租赁与资金缺口'!$I$14)^((YEAR(CL$46)-YEAR('融资租赁与资金缺口'!$F$14))*12+MONTH(CL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CL$46)-YEAR('融资租赁与资金缺口'!$F$14))*12+MONTH(CL$46)-MONTH('融资租赁与资金缺口'!$F$14))-1)/'融资租赁与资金缺口'!$I$14))))),IF(CL$46&lt;'融资租赁与资金缺口'!$F$15,0,IF(CL$46='融资租赁与资金缺口'!$F$15,'融资租赁与资金缺口'!$E$15,IF(((YEAR(CL$46)-YEAR('融资租赁与资金缺口'!$F$15))*12+MONTH(CL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CL$46)-YEAR('融资租赁与资金缺口'!$F$15))*12+MONTH(CL$46)-MONTH('融资租赁与资金缺口'!$F$15)),'融资租赁与资金缺口'!$E$15*(1+'融资租赁与资金缺口'!$I$15)^((YEAR(CL$46)-YEAR('融资租赁与资金缺口'!$F$15))*12+MONTH(CL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CL$46)-YEAR('融资租赁与资金缺口'!$F$15))*12+MONTH(CL$46)-MONTH('融资租赁与资金缺口'!$F$15))-1)/'融资租赁与资金缺口'!$I$15))))),IF(CL$46&lt;'融资租赁与资金缺口'!$F$16,0,IF(CL$46='融资租赁与资金缺口'!$F$16,'融资租赁与资金缺口'!$E$16,IF(((YEAR(CL$46)-YEAR('融资租赁与资金缺口'!$F$16))*12+MONTH(CL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CL$46)-YEAR('融资租赁与资金缺口'!$F$16))*12+MONTH(CL$46)-MONTH('融资租赁与资金缺口'!$F$16)),'融资租赁与资金缺口'!$E$16*(1+'融资租赁与资金缺口'!$I$16)^((YEAR(CL$46)-YEAR('融资租赁与资金缺口'!$F$16))*12+MONTH(CL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CL$46)-YEAR('融资租赁与资金缺口'!$F$16))*12+MONTH(CL$46)-MONTH('融资租赁与资金缺口'!$F$16))-1)/'融资租赁与资金缺口'!$I$16))))))</x:f>
        <x:v>0</x:v>
      </x:c>
      <x:c r="CM53" s="28" t="n">
        <x:f>SUM(IF(CM$46&lt;'融资租赁与资金缺口'!$F$5,0,IF(CM$46='融资租赁与资金缺口'!$F$5,'融资租赁与资金缺口'!$E$5,IF(((YEAR(CM$46)-YEAR('融资租赁与资金缺口'!$F$5))*12+MONTH(CM$46)-MONTH('融资租赁与资金缺口'!$F$5))&gt;=$A16,0,MAX(0,IF('融资租赁与资金缺口'!$I$5=0,'融资租赁与资金缺口'!$E$5-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YEAR(CM$46)-YEAR('融资租赁与资金缺口'!$F$5))*12+MONTH(CM$46)-MONTH('融资租赁与资金缺口'!$F$5)),'融资租赁与资金缺口'!$E$5*(1+'融资租赁与资金缺口'!$I$5)^((YEAR(CM$46)-YEAR('融资租赁与资金缺口'!$F$5))*12+MONTH(CM$46)-MONTH('融资租赁与资金缺口'!$F$5))-IF('融资租赁与资金缺口'!$I$5=0,('融资租赁与资金缺口'!$E$5-'融资租赁与资金缺口'!$J$5)/$A16,('融资租赁与资金缺口'!$E$5-'融资租赁与资金缺口'!$J$5/(1+'融资租赁与资金缺口'!$I$5)^$A16)*'融资租赁与资金缺口'!$I$5/(1-(1+'融资租赁与资金缺口'!$I$5)^-$A16))*((1+'融资租赁与资金缺口'!$I$5)^((YEAR(CM$46)-YEAR('融资租赁与资金缺口'!$F$5))*12+MONTH(CM$46)-MONTH('融资租赁与资金缺口'!$F$5))-1)/'融资租赁与资金缺口'!$I$5))))),IF(CM$46&lt;'融资租赁与资金缺口'!$F$6,0,IF(CM$46='融资租赁与资金缺口'!$F$6,'融资租赁与资金缺口'!$E$6,IF(((YEAR(CM$46)-YEAR('融资租赁与资金缺口'!$F$6))*12+MONTH(CM$46)-MONTH('融资租赁与资金缺口'!$F$6))&gt;=$A16,0,MAX(0,IF('融资租赁与资金缺口'!$I$6=0,'融资租赁与资金缺口'!$E$6-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YEAR(CM$46)-YEAR('融资租赁与资金缺口'!$F$6))*12+MONTH(CM$46)-MONTH('融资租赁与资金缺口'!$F$6)),'融资租赁与资金缺口'!$E$6*(1+'融资租赁与资金缺口'!$I$6)^((YEAR(CM$46)-YEAR('融资租赁与资金缺口'!$F$6))*12+MONTH(CM$46)-MONTH('融资租赁与资金缺口'!$F$6))-IF('融资租赁与资金缺口'!$I$6=0,('融资租赁与资金缺口'!$E$6-'融资租赁与资金缺口'!$J$6)/$A16,('融资租赁与资金缺口'!$E$6-'融资租赁与资金缺口'!$J$6/(1+'融资租赁与资金缺口'!$I$6)^$A16)*'融资租赁与资金缺口'!$I$6/(1-(1+'融资租赁与资金缺口'!$I$6)^-$A16))*((1+'融资租赁与资金缺口'!$I$6)^((YEAR(CM$46)-YEAR('融资租赁与资金缺口'!$F$6))*12+MONTH(CM$46)-MONTH('融资租赁与资金缺口'!$F$6))-1)/'融资租赁与资金缺口'!$I$6))))),IF(CM$46&lt;'融资租赁与资金缺口'!$F$7,0,IF(CM$46='融资租赁与资金缺口'!$F$7,'融资租赁与资金缺口'!$E$7,IF(((YEAR(CM$46)-YEAR('融资租赁与资金缺口'!$F$7))*12+MONTH(CM$46)-MONTH('融资租赁与资金缺口'!$F$7))&gt;=$A16,0,MAX(0,IF('融资租赁与资金缺口'!$I$7=0,'融资租赁与资金缺口'!$E$7-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YEAR(CM$46)-YEAR('融资租赁与资金缺口'!$F$7))*12+MONTH(CM$46)-MONTH('融资租赁与资金缺口'!$F$7)),'融资租赁与资金缺口'!$E$7*(1+'融资租赁与资金缺口'!$I$7)^((YEAR(CM$46)-YEAR('融资租赁与资金缺口'!$F$7))*12+MONTH(CM$46)-MONTH('融资租赁与资金缺口'!$F$7))-IF('融资租赁与资金缺口'!$I$7=0,('融资租赁与资金缺口'!$E$7-'融资租赁与资金缺口'!$J$7)/$A16,('融资租赁与资金缺口'!$E$7-'融资租赁与资金缺口'!$J$7/(1+'融资租赁与资金缺口'!$I$7)^$A16)*'融资租赁与资金缺口'!$I$7/(1-(1+'融资租赁与资金缺口'!$I$7)^-$A16))*((1+'融资租赁与资金缺口'!$I$7)^((YEAR(CM$46)-YEAR('融资租赁与资金缺口'!$F$7))*12+MONTH(CM$46)-MONTH('融资租赁与资金缺口'!$F$7))-1)/'融资租赁与资金缺口'!$I$7))))),IF(CM$46&lt;'融资租赁与资金缺口'!$F$8,0,IF(CM$46='融资租赁与资金缺口'!$F$8,'融资租赁与资金缺口'!$E$8,IF(((YEAR(CM$46)-YEAR('融资租赁与资金缺口'!$F$8))*12+MONTH(CM$46)-MONTH('融资租赁与资金缺口'!$F$8))&gt;=$A16,0,MAX(0,IF('融资租赁与资金缺口'!$I$8=0,'融资租赁与资金缺口'!$E$8-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YEAR(CM$46)-YEAR('融资租赁与资金缺口'!$F$8))*12+MONTH(CM$46)-MONTH('融资租赁与资金缺口'!$F$8)),'融资租赁与资金缺口'!$E$8*(1+'融资租赁与资金缺口'!$I$8)^((YEAR(CM$46)-YEAR('融资租赁与资金缺口'!$F$8))*12+MONTH(CM$46)-MONTH('融资租赁与资金缺口'!$F$8))-IF('融资租赁与资金缺口'!$I$8=0,('融资租赁与资金缺口'!$E$8-'融资租赁与资金缺口'!$J$8)/$A16,('融资租赁与资金缺口'!$E$8-'融资租赁与资金缺口'!$J$8/(1+'融资租赁与资金缺口'!$I$8)^$A16)*'融资租赁与资金缺口'!$I$8/(1-(1+'融资租赁与资金缺口'!$I$8)^-$A16))*((1+'融资租赁与资金缺口'!$I$8)^((YEAR(CM$46)-YEAR('融资租赁与资金缺口'!$F$8))*12+MONTH(CM$46)-MONTH('融资租赁与资金缺口'!$F$8))-1)/'融资租赁与资金缺口'!$I$8))))),IF(CM$46&lt;'融资租赁与资金缺口'!$F$9,0,IF(CM$46='融资租赁与资金缺口'!$F$9,'融资租赁与资金缺口'!$E$9,IF(((YEAR(CM$46)-YEAR('融资租赁与资金缺口'!$F$9))*12+MONTH(CM$46)-MONTH('融资租赁与资金缺口'!$F$9))&gt;=$A16,0,MAX(0,IF('融资租赁与资金缺口'!$I$9=0,'融资租赁与资金缺口'!$E$9-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YEAR(CM$46)-YEAR('融资租赁与资金缺口'!$F$9))*12+MONTH(CM$46)-MONTH('融资租赁与资金缺口'!$F$9)),'融资租赁与资金缺口'!$E$9*(1+'融资租赁与资金缺口'!$I$9)^((YEAR(CM$46)-YEAR('融资租赁与资金缺口'!$F$9))*12+MONTH(CM$46)-MONTH('融资租赁与资金缺口'!$F$9))-IF('融资租赁与资金缺口'!$I$9=0,('融资租赁与资金缺口'!$E$9-'融资租赁与资金缺口'!$J$9)/$A16,('融资租赁与资金缺口'!$E$9-'融资租赁与资金缺口'!$J$9/(1+'融资租赁与资金缺口'!$I$9)^$A16)*'融资租赁与资金缺口'!$I$9/(1-(1+'融资租赁与资金缺口'!$I$9)^-$A16))*((1+'融资租赁与资金缺口'!$I$9)^((YEAR(CM$46)-YEAR('融资租赁与资金缺口'!$F$9))*12+MONTH(CM$46)-MONTH('融资租赁与资金缺口'!$F$9))-1)/'融资租赁与资金缺口'!$I$9))))),IF(CM$46&lt;'融资租赁与资金缺口'!$F$10,0,IF(CM$46='融资租赁与资金缺口'!$F$10,'融资租赁与资金缺口'!$E$10,IF(((YEAR(CM$46)-YEAR('融资租赁与资金缺口'!$F$10))*12+MONTH(CM$46)-MONTH('融资租赁与资金缺口'!$F$10))&gt;=$A16,0,MAX(0,IF('融资租赁与资金缺口'!$I$10=0,'融资租赁与资金缺口'!$E$10-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YEAR(CM$46)-YEAR('融资租赁与资金缺口'!$F$10))*12+MONTH(CM$46)-MONTH('融资租赁与资金缺口'!$F$10)),'融资租赁与资金缺口'!$E$10*(1+'融资租赁与资金缺口'!$I$10)^((YEAR(CM$46)-YEAR('融资租赁与资金缺口'!$F$10))*12+MONTH(CM$46)-MONTH('融资租赁与资金缺口'!$F$10))-IF('融资租赁与资金缺口'!$I$10=0,('融资租赁与资金缺口'!$E$10-'融资租赁与资金缺口'!$J$10)/$A16,('融资租赁与资金缺口'!$E$10-'融资租赁与资金缺口'!$J$10/(1+'融资租赁与资金缺口'!$I$10)^$A16)*'融资租赁与资金缺口'!$I$10/(1-(1+'融资租赁与资金缺口'!$I$10)^-$A16))*((1+'融资租赁与资金缺口'!$I$10)^((YEAR(CM$46)-YEAR('融资租赁与资金缺口'!$F$10))*12+MONTH(CM$46)-MONTH('融资租赁与资金缺口'!$F$10))-1)/'融资租赁与资金缺口'!$I$10))))),IF(CM$46&lt;'融资租赁与资金缺口'!$F$11,0,IF(CM$46='融资租赁与资金缺口'!$F$11,'融资租赁与资金缺口'!$E$11,IF(((YEAR(CM$46)-YEAR('融资租赁与资金缺口'!$F$11))*12+MONTH(CM$46)-MONTH('融资租赁与资金缺口'!$F$11))&gt;=$A16,0,MAX(0,IF('融资租赁与资金缺口'!$I$11=0,'融资租赁与资金缺口'!$E$11-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YEAR(CM$46)-YEAR('融资租赁与资金缺口'!$F$11))*12+MONTH(CM$46)-MONTH('融资租赁与资金缺口'!$F$11)),'融资租赁与资金缺口'!$E$11*(1+'融资租赁与资金缺口'!$I$11)^((YEAR(CM$46)-YEAR('融资租赁与资金缺口'!$F$11))*12+MONTH(CM$46)-MONTH('融资租赁与资金缺口'!$F$11))-IF('融资租赁与资金缺口'!$I$11=0,('融资租赁与资金缺口'!$E$11-'融资租赁与资金缺口'!$J$11)/$A16,('融资租赁与资金缺口'!$E$11-'融资租赁与资金缺口'!$J$11/(1+'融资租赁与资金缺口'!$I$11)^$A16)*'融资租赁与资金缺口'!$I$11/(1-(1+'融资租赁与资金缺口'!$I$11)^-$A16))*((1+'融资租赁与资金缺口'!$I$11)^((YEAR(CM$46)-YEAR('融资租赁与资金缺口'!$F$11))*12+MONTH(CM$46)-MONTH('融资租赁与资金缺口'!$F$11))-1)/'融资租赁与资金缺口'!$I$11))))),IF(CM$46&lt;'融资租赁与资金缺口'!$F$12,0,IF(CM$46='融资租赁与资金缺口'!$F$12,'融资租赁与资金缺口'!$E$12,IF(((YEAR(CM$46)-YEAR('融资租赁与资金缺口'!$F$12))*12+MONTH(CM$46)-MONTH('融资租赁与资金缺口'!$F$12))&gt;=$A16,0,MAX(0,IF('融资租赁与资金缺口'!$I$12=0,'融资租赁与资金缺口'!$E$12-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YEAR(CM$46)-YEAR('融资租赁与资金缺口'!$F$12))*12+MONTH(CM$46)-MONTH('融资租赁与资金缺口'!$F$12)),'融资租赁与资金缺口'!$E$12*(1+'融资租赁与资金缺口'!$I$12)^((YEAR(CM$46)-YEAR('融资租赁与资金缺口'!$F$12))*12+MONTH(CM$46)-MONTH('融资租赁与资金缺口'!$F$12))-IF('融资租赁与资金缺口'!$I$12=0,('融资租赁与资金缺口'!$E$12-'融资租赁与资金缺口'!$J$12)/$A16,('融资租赁与资金缺口'!$E$12-'融资租赁与资金缺口'!$J$12/(1+'融资租赁与资金缺口'!$I$12)^$A16)*'融资租赁与资金缺口'!$I$12/(1-(1+'融资租赁与资金缺口'!$I$12)^-$A16))*((1+'融资租赁与资金缺口'!$I$12)^((YEAR(CM$46)-YEAR('融资租赁与资金缺口'!$F$12))*12+MONTH(CM$46)-MONTH('融资租赁与资金缺口'!$F$12))-1)/'融资租赁与资金缺口'!$I$12))))),IF(CM$46&lt;'融资租赁与资金缺口'!$F$13,0,IF(CM$46='融资租赁与资金缺口'!$F$13,'融资租赁与资金缺口'!$E$13,IF(((YEAR(CM$46)-YEAR('融资租赁与资金缺口'!$F$13))*12+MONTH(CM$46)-MONTH('融资租赁与资金缺口'!$F$13))&gt;=$A16,0,MAX(0,IF('融资租赁与资金缺口'!$I$13=0,'融资租赁与资金缺口'!$E$13-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YEAR(CM$46)-YEAR('融资租赁与资金缺口'!$F$13))*12+MONTH(CM$46)-MONTH('融资租赁与资金缺口'!$F$13)),'融资租赁与资金缺口'!$E$13*(1+'融资租赁与资金缺口'!$I$13)^((YEAR(CM$46)-YEAR('融资租赁与资金缺口'!$F$13))*12+MONTH(CM$46)-MONTH('融资租赁与资金缺口'!$F$13))-IF('融资租赁与资金缺口'!$I$13=0,('融资租赁与资金缺口'!$E$13-'融资租赁与资金缺口'!$J$13)/$A16,('融资租赁与资金缺口'!$E$13-'融资租赁与资金缺口'!$J$13/(1+'融资租赁与资金缺口'!$I$13)^$A16)*'融资租赁与资金缺口'!$I$13/(1-(1+'融资租赁与资金缺口'!$I$13)^-$A16))*((1+'融资租赁与资金缺口'!$I$13)^((YEAR(CM$46)-YEAR('融资租赁与资金缺口'!$F$13))*12+MONTH(CM$46)-MONTH('融资租赁与资金缺口'!$F$13))-1)/'融资租赁与资金缺口'!$I$13))))),IF(CM$46&lt;'融资租赁与资金缺口'!$F$14,0,IF(CM$46='融资租赁与资金缺口'!$F$14,'融资租赁与资金缺口'!$E$14,IF(((YEAR(CM$46)-YEAR('融资租赁与资金缺口'!$F$14))*12+MONTH(CM$46)-MONTH('融资租赁与资金缺口'!$F$14))&gt;=$A16,0,MAX(0,IF('融资租赁与资金缺口'!$I$14=0,'融资租赁与资金缺口'!$E$14-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YEAR(CM$46)-YEAR('融资租赁与资金缺口'!$F$14))*12+MONTH(CM$46)-MONTH('融资租赁与资金缺口'!$F$14)),'融资租赁与资金缺口'!$E$14*(1+'融资租赁与资金缺口'!$I$14)^((YEAR(CM$46)-YEAR('融资租赁与资金缺口'!$F$14))*12+MONTH(CM$46)-MONTH('融资租赁与资金缺口'!$F$14))-IF('融资租赁与资金缺口'!$I$14=0,('融资租赁与资金缺口'!$E$14-'融资租赁与资金缺口'!$J$14)/$A16,('融资租赁与资金缺口'!$E$14-'融资租赁与资金缺口'!$J$14/(1+'融资租赁与资金缺口'!$I$14)^$A16)*'融资租赁与资金缺口'!$I$14/(1-(1+'融资租赁与资金缺口'!$I$14)^-$A16))*((1+'融资租赁与资金缺口'!$I$14)^((YEAR(CM$46)-YEAR('融资租赁与资金缺口'!$F$14))*12+MONTH(CM$46)-MONTH('融资租赁与资金缺口'!$F$14))-1)/'融资租赁与资金缺口'!$I$14))))),IF(CM$46&lt;'融资租赁与资金缺口'!$F$15,0,IF(CM$46='融资租赁与资金缺口'!$F$15,'融资租赁与资金缺口'!$E$15,IF(((YEAR(CM$46)-YEAR('融资租赁与资金缺口'!$F$15))*12+MONTH(CM$46)-MONTH('融资租赁与资金缺口'!$F$15))&gt;=$A16,0,MAX(0,IF('融资租赁与资金缺口'!$I$15=0,'融资租赁与资金缺口'!$E$15-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YEAR(CM$46)-YEAR('融资租赁与资金缺口'!$F$15))*12+MONTH(CM$46)-MONTH('融资租赁与资金缺口'!$F$15)),'融资租赁与资金缺口'!$E$15*(1+'融资租赁与资金缺口'!$I$15)^((YEAR(CM$46)-YEAR('融资租赁与资金缺口'!$F$15))*12+MONTH(CM$46)-MONTH('融资租赁与资金缺口'!$F$15))-IF('融资租赁与资金缺口'!$I$15=0,('融资租赁与资金缺口'!$E$15-'融资租赁与资金缺口'!$J$15)/$A16,('融资租赁与资金缺口'!$E$15-'融资租赁与资金缺口'!$J$15/(1+'融资租赁与资金缺口'!$I$15)^$A16)*'融资租赁与资金缺口'!$I$15/(1-(1+'融资租赁与资金缺口'!$I$15)^-$A16))*((1+'融资租赁与资金缺口'!$I$15)^((YEAR(CM$46)-YEAR('融资租赁与资金缺口'!$F$15))*12+MONTH(CM$46)-MONTH('融资租赁与资金缺口'!$F$15))-1)/'融资租赁与资金缺口'!$I$15))))),IF(CM$46&lt;'融资租赁与资金缺口'!$F$16,0,IF(CM$46='融资租赁与资金缺口'!$F$16,'融资租赁与资金缺口'!$E$16,IF(((YEAR(CM$46)-YEAR('融资租赁与资金缺口'!$F$16))*12+MONTH(CM$46)-MONTH('融资租赁与资金缺口'!$F$16))&gt;=$A16,0,MAX(0,IF('融资租赁与资金缺口'!$I$16=0,'融资租赁与资金缺口'!$E$16-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YEAR(CM$46)-YEAR('融资租赁与资金缺口'!$F$16))*12+MONTH(CM$46)-MONTH('融资租赁与资金缺口'!$F$16)),'融资租赁与资金缺口'!$E$16*(1+'融资租赁与资金缺口'!$I$16)^((YEAR(CM$46)-YEAR('融资租赁与资金缺口'!$F$16))*12+MONTH(CM$46)-MONTH('融资租赁与资金缺口'!$F$16))-IF('融资租赁与资金缺口'!$I$16=0,('融资租赁与资金缺口'!$E$16-'融资租赁与资金缺口'!$J$16)/$A16,('融资租赁与资金缺口'!$E$16-'融资租赁与资金缺口'!$J$16/(1+'融资租赁与资金缺口'!$I$16)^$A16)*'融资租赁与资金缺口'!$I$16/(1-(1+'融资租赁与资金缺口'!$I$16)^-$A16))*((1+'融资租赁与资金缺口'!$I$16)^((YEAR(CM$46)-YEAR('融资租赁与资金缺口'!$F$16))*12+MONTH(CM$46)-MONTH('融资租赁与资金缺口'!$F$16))-1)/'融资租赁与资金缺口'!$I$16))))))</x:f>
        <x:v>0</x:v>
      </x:c>
    </x:row>
    <x:row r="54">
      <x:c r="A54" t="str">
        <x:v>SRC-009</x:v>
      </x:c>
      <x:c r="B54" t="str">
        <x:v>杭州人口来源</x:v>
      </x:c>
      <x:c r="C54" t="str"/>
      <x:c r="D54" t="n">
        <x:v>2020</x:v>
      </x:c>
      <x:c r="E54" t="str">
        <x:v>城市人口</x:v>
      </x:c>
      <x:c r="F54" s="30" t="str">
        <x:v>杭州人口来源</x:v>
      </x:c>
      <x:c r="G54" s="77" t="str">
        <x:v>https://zjjcmspublic.oss-cn-hangzhou-zwynet-d01-a.internet.cloud.zj.gov.cn/jcms_files/jcms1/web3077/site/flash/tjj/Reports1/%E6%B5%99%E6%B1%9F%E4%BA%BA%E6%99%AE2020%E5%85%89%E7%9B%98/zk/html/fu04.pdf</x:v>
      </x:c>
      <x:c r="H54" s="30" t="str">
        <x:v>等级及排名据2025第一财经榜单；2020年七普常住人口；住建部2022年城市建设统计年鉴表2-2第221行列示同一城市口径的城区人口（含表列城区暂住人口）1002.1万人、建成区面积829.41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54" s="30" t="str">
        <x:v>2026-08-16</x:v>
      </x:c>
      <x:c r="AE54" t="str">
        <x:v>DSCR</x:v>
      </x:c>
      <x:c r="AF54" s="28" t="str">
        <x:f>IF(AF52=0,"",'36月运营模型'!B$20/AF52)</x:f>
      </x:c>
      <x:c r="AG54" s="28" t="str">
        <x:f>IF(AG52=0,"",'36月运营模型'!C$20/AG52)</x:f>
      </x:c>
      <x:c r="AH54" s="28" t="n">
        <x:f>IF(AH52=0,"",'36月运营模型'!D$20/AH52)</x:f>
        <x:v>4.766818552459805</x:v>
      </x:c>
      <x:c r="AI54" s="28" t="n">
        <x:f>IF(AI52=0,"",'36月运营模型'!E$20/AI52)</x:f>
        <x:v>3.657053950937443</x:v>
      </x:c>
      <x:c r="AJ54" s="28" t="n">
        <x:f>IF(AJ52=0,"",'36月运营模型'!F$20/AJ52)</x:f>
        <x:v>2.864785195833662</x:v>
      </x:c>
      <x:c r="AK54" s="28" t="n">
        <x:f>IF(AK52=0,"",'36月运营模型'!G$20/AK52)</x:f>
        <x:v>2.1553580371166396</x:v>
      </x:c>
      <x:c r="AL54" s="28" t="n">
        <x:f>IF(AL52=0,"",'36月运营模型'!H$20/AL52)</x:f>
        <x:v>2.1519800779961207</x:v>
      </x:c>
      <x:c r="AM54" s="28" t="n">
        <x:f>IF(AM52=0,"",'36月运营模型'!I$20/AM52)</x:f>
        <x:v>2.0751263177792367</x:v>
      </x:c>
      <x:c r="AN54" s="28" t="n">
        <x:f>IF(AN52=0,"",'36月运营模型'!J$20/AN52)</x:f>
        <x:v>2.014886117139668</x:v>
      </x:c>
      <x:c r="AO54" s="28" t="n">
        <x:f>IF(AO52=0,"",'36月运营模型'!K$20/AO52)</x:f>
        <x:v>2.0679597384822617</x:v>
      </x:c>
      <x:c r="AP54" s="28" t="n">
        <x:f>IF(AP52=0,"",'36月运营模型'!L$20/AP52)</x:f>
        <x:v>2.042686050158541</x:v>
      </x:c>
      <x:c r="AQ54" s="28" t="n">
        <x:f>IF(AQ52=0,"",'36月运营模型'!M$20/AQ52)</x:f>
        <x:v>1.9399703165820161</x:v>
      </x:c>
      <x:c r="AR54" s="28" t="n">
        <x:f>IF(AR52=0,"",'36月运营模型'!N$20/AR52)</x:f>
        <x:v>1.647194029304809</x:v>
      </x:c>
      <x:c r="AS54" s="28" t="n">
        <x:f>IF(AS52=0,"",'36月运营模型'!O$20/AS52)</x:f>
        <x:v>1.499389666625049</x:v>
      </x:c>
      <x:c r="AT54" s="28" t="n">
        <x:f>IF(AT52=0,"",'36月运营模型'!P$20/AT52)</x:f>
        <x:v>1.546527570674807</x:v>
      </x:c>
      <x:c r="AU54" s="28" t="n">
        <x:f>IF(AU52=0,"",'36月运营模型'!Q$20/AU52)</x:f>
        <x:v>1.7200481457401802</x:v>
      </x:c>
      <x:c r="AV54" s="28" t="n">
        <x:f>IF(AV52=0,"",'36月运营模型'!R$20/AV52)</x:f>
        <x:v>1.5724072643688747</x:v>
      </x:c>
      <x:c r="AW54" s="28" t="n">
        <x:f>IF(AW52=0,"",'36月运营模型'!S$20/AW52)</x:f>
        <x:v>1.3321094244259761</x:v>
      </x:c>
      <x:c r="AX54" s="28" t="n">
        <x:f>IF(AX52=0,"",'36月运营模型'!T$20/AX52)</x:f>
        <x:v>1.3562892199318584</x:v>
      </x:c>
      <x:c r="AY54" s="28" t="n">
        <x:f>IF(AY52=0,"",'36月运营模型'!U$20/AY52)</x:f>
        <x:v>1.3737967550862278</x:v>
      </x:c>
      <x:c r="AZ54" s="28" t="n">
        <x:f>IF(AZ52=0,"",'36月运营模型'!V$20/AZ52)</x:f>
        <x:v>1.4099955303587761</x:v>
      </x:c>
      <x:c r="BA54" s="28" t="n">
        <x:f>IF(BA52=0,"",'36月运营模型'!W$20/BA52)</x:f>
        <x:v>1.5165468049750956</x:v>
      </x:c>
      <x:c r="BB54" s="28" t="n">
        <x:f>IF(BB52=0,"",'36月运营模型'!X$20/BB52)</x:f>
        <x:v>1.6240968892570387</x:v>
      </x:c>
      <x:c r="BC54" s="28" t="n">
        <x:f>IF(BC52=0,"",'36月运营模型'!Y$20/BC52)</x:f>
        <x:v>1.6806755540586769</x:v>
      </x:c>
      <x:c r="BD54" s="28" t="n">
        <x:f>IF(BD52=0,"",'36月运营模型'!Z$20/BD52)</x:f>
        <x:v>1.5691333754114047</x:v>
      </x:c>
      <x:c r="BE54" s="28" t="n">
        <x:f>IF(BE52=0,"",'36月运营模型'!AA$20/BE52)</x:f>
        <x:v>1.5127523498565385</x:v>
      </x:c>
      <x:c r="BF54" s="28" t="n">
        <x:f>IF(BF52=0,"",'36月运营模型'!AB$20/BF52)</x:f>
        <x:v>1.6075845752972464</x:v>
      </x:c>
      <x:c r="BG54" s="28" t="n">
        <x:f>IF(BG52=0,"",'36月运营模型'!AC$20/BG52)</x:f>
        <x:v>1.8727484395209</x:v>
      </x:c>
      <x:c r="BH54" s="28" t="n">
        <x:f>IF(BH52=0,"",'36月运营模型'!AD$20/BH52)</x:f>
        <x:v>1.8222207381994262</x:v>
      </x:c>
      <x:c r="BI54" s="28" t="n">
        <x:f>IF(BI52=0,"",'36月运营模型'!AE$20/BI52)</x:f>
        <x:v>1.613212565932763</x:v>
      </x:c>
      <x:c r="BJ54" s="28" t="n">
        <x:f>IF(BJ52=0,"",'36月运营模型'!AF$20/BJ52)</x:f>
        <x:v>1.8753407574090073</x:v>
      </x:c>
      <x:c r="BK54" s="28" t="n">
        <x:f>IF(BK52=0,"",'36月运营模型'!AG$20/BK52)</x:f>
        <x:v>2.144153640922976</x:v>
      </x:c>
      <x:c r="BL54" s="28" t="n">
        <x:f>IF(BL52=0,"",'36月运营模型'!AH$20/BL52)</x:f>
        <x:v>2.5725661954288324</x:v>
      </x:c>
      <x:c r="BM54" s="28" t="n">
        <x:f>IF(BM52=0,"",'36月运营模型'!AI$20/BM52)</x:f>
        <x:v>3.289956042969157</x:v>
      </x:c>
      <x:c r="BN54" s="28" t="n">
        <x:f>IF(BN52=0,"",'36月运营模型'!AJ$20/BN52)</x:f>
        <x:v>4.704654353478221</x:v>
      </x:c>
      <x:c r="BO54" s="28" t="n">
        <x:f>IF(BO52=0,"",'36月运营模型'!AK$20/BO52)</x:f>
        <x:v>7.71336280579219</x:v>
      </x:c>
      <x:c r="BP54" s="28" t="n">
        <x:f>IF(BP52=0,"",'36月运营模型'!AL$20/BP52)</x:f>
        <x:v>15.49024137577539</x:v>
      </x:c>
      <x:c r="BQ54" s="28" t="str">
        <x:f>IF(BQ52=0,"",'36月运营模型'!AM$20/BQ52)</x:f>
      </x:c>
      <x:c r="BR54" s="28" t="str">
        <x:f>IF(BR52=0,"",'36月运营模型'!AN$20/BR52)</x:f>
      </x:c>
      <x:c r="BS54" s="28" t="str">
        <x:f>IF(BS52=0,"",'36月运营模型'!AO$20/BS52)</x:f>
      </x:c>
      <x:c r="BT54" s="28" t="str">
        <x:f>IF(BT52=0,"",'36月运营模型'!AP$20/BT52)</x:f>
      </x:c>
      <x:c r="BU54" s="28" t="str">
        <x:f>IF(BU52=0,"",'36月运营模型'!AQ$20/BU52)</x:f>
      </x:c>
      <x:c r="BV54" s="28" t="str">
        <x:f>IF(BV52=0,"",'36月运营模型'!AR$20/BV52)</x:f>
      </x:c>
      <x:c r="BW54" s="28" t="str">
        <x:f>IF(BW52=0,"",'36月运营模型'!AS$20/BW52)</x:f>
      </x:c>
      <x:c r="BX54" s="28" t="str">
        <x:f>IF(BX52=0,"",'36月运营模型'!AT$20/BX52)</x:f>
      </x:c>
      <x:c r="BY54" s="28" t="str">
        <x:f>IF(BY52=0,"",'36月运营模型'!AU$20/BY52)</x:f>
      </x:c>
      <x:c r="BZ54" s="28" t="str">
        <x:f>IF(BZ52=0,"",'36月运营模型'!AV$20/BZ52)</x:f>
      </x:c>
      <x:c r="CA54" s="28" t="str">
        <x:f>IF(CA52=0,"",'36月运营模型'!AW$20/CA52)</x:f>
      </x:c>
      <x:c r="CB54" s="28" t="str">
        <x:f>IF(CB52=0,"",'36月运营模型'!AX$20/CB52)</x:f>
      </x:c>
      <x:c r="CC54" s="28" t="str">
        <x:f>IF(CC52=0,"",'36月运营模型'!AY$20/CC52)</x:f>
      </x:c>
      <x:c r="CD54" s="28" t="str">
        <x:f>IF(CD52=0,"",'36月运营模型'!AZ$20/CD52)</x:f>
      </x:c>
      <x:c r="CE54" s="28" t="str">
        <x:f>IF(CE52=0,"",'36月运营模型'!BA$20/CE52)</x:f>
      </x:c>
      <x:c r="CF54" s="28" t="str">
        <x:f>IF(CF52=0,"",'36月运营模型'!BB$20/CF52)</x:f>
      </x:c>
      <x:c r="CG54" s="28" t="str">
        <x:f>IF(CG52=0,"",'36月运营模型'!BC$20/CG52)</x:f>
      </x:c>
      <x:c r="CH54" s="28" t="str">
        <x:f>IF(CH52=0,"",'36月运营模型'!BD$20/CH52)</x:f>
      </x:c>
      <x:c r="CI54" s="28" t="str">
        <x:f>IF(CI52=0,"",'36月运营模型'!BE$20/CI52)</x:f>
      </x:c>
      <x:c r="CJ54" s="28" t="str">
        <x:f>IF(CJ52=0,"",'36月运营模型'!BF$20/CJ52)</x:f>
      </x:c>
      <x:c r="CK54" s="28" t="str">
        <x:f>IF(CK52=0,"",'36月运营模型'!BG$20/CK52)</x:f>
      </x:c>
      <x:c r="CL54" s="28" t="str">
        <x:f>IF(CL52=0,"",'36月运营模型'!BH$20/CL52)</x:f>
      </x:c>
      <x:c r="CM54" s="28" t="str">
        <x:f>IF(CM52=0,"",'36月运营模型'!BI$20/CM52)</x:f>
      </x:c>
    </x:row>
    <x:row r="55">
      <x:c r="A55" t="str">
        <x:v>SRC-010</x:v>
      </x:c>
      <x:c r="B55" t="str">
        <x:v>重庆人口来源</x:v>
      </x:c>
      <x:c r="C55" t="str"/>
      <x:c r="D55" t="n">
        <x:v>2020</x:v>
      </x:c>
      <x:c r="E55" t="str">
        <x:v>城市人口</x:v>
      </x:c>
      <x:c r="F55" s="30" t="str">
        <x:v>重庆人口来源</x:v>
      </x:c>
      <x:c r="G55" s="77" t="str">
        <x:v>https://tjj.cq.gov.cn/zwgk_233/fdzdgknr/tjxx/sjjd_55469/202105/t20210513_9277470.html</x:v>
      </x:c>
      <x:c r="H55" s="30" t="str">
        <x:v>等级及排名据2025第一财经榜单；2020年七普常住人口；住建部2022年城市建设统计年鉴表2-2第555行列示同一城市口径的城区人口（含表列城区暂住人口）1617.5万人、建成区面积1640.8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55" s="30" t="str">
        <x:v>2026-08-16</x:v>
      </x:c>
      <x:c r="AE55" t="str">
        <x:v>注资前累计现金</x:v>
      </x:c>
      <x:c r="AF55" s="28" t="n">
        <x:f>'核心假设'!$B$39+'36月运营模型'!B$20-'融资租赁与资金缺口'!B$103-AF52+'融资租赁与资金缺口'!B$105</x:f>
        <x:v>1146839.7707964361</x:v>
      </x:c>
      <x:c r="AG55" s="28" t="n">
        <x:f>AF55+'36月运营模型'!C$20-'融资租赁与资金缺口'!C$103-AG52+'融资租赁与资金缺口'!C$105</x:f>
        <x:v>101203.11320460588</x:v>
      </x:c>
      <x:c r="AH55" s="28" t="n">
        <x:f>AG55+'36月运营模型'!D$20-'融资租赁与资金缺口'!D$103-AH52+'融资租赁与资金缺口'!D$105</x:f>
        <x:v>-545206.8601081446</x:v>
      </x:c>
      <x:c r="AI55" s="28" t="n">
        <x:f>AH55+'36月运营模型'!E$20-'融资租赁与资金缺口'!E$103-AI52+'融资租赁与资金缺口'!E$105</x:f>
        <x:v>208735.03061957657</x:v>
      </x:c>
      <x:c r="AJ55" s="28" t="n">
        <x:f>AI55+'36月运营模型'!F$20-'融资租赁与资金缺口'!F$103-AJ52+'融资租赁与资金缺口'!F$105</x:f>
        <x:v>1100940.6240020022</x:v>
      </x:c>
      <x:c r="AK55" s="28" t="n">
        <x:f>AJ55+'36月运营模型'!G$20-'融资租赁与资金缺口'!G$103-AK52+'融资租赁与资金缺口'!G$105</x:f>
        <x:v>513731.379466027</x:v>
      </x:c>
      <x:c r="AL55" s="28" t="n">
        <x:f>AK55+'36月运营模型'!H$20-'融资租赁与资金缺口'!H$103-AL52+'融资租赁与资金缺口'!H$105</x:f>
        <x:v>1289440.3029797226</x:v>
      </x:c>
      <x:c r="AM55" s="28" t="n">
        <x:f>AL55+'36月运营模型'!I$20-'融资租赁与资金缺口'!I$103-AM52+'融资租赁与资金缺口'!I$105</x:f>
        <x:v>2991094.948940836</x:v>
      </x:c>
      <x:c r="AN55" s="28" t="n">
        <x:f>AM55+'36月运营模型'!J$20-'融资租赁与资金缺口'!J$103-AN52+'融资租赁与资金缺口'!J$105</x:f>
        <x:v>6425400.984448232</x:v>
      </x:c>
      <x:c r="AO55" s="28" t="n">
        <x:f>AN55+'36月运营模型'!K$20-'融资租赁与资金缺口'!K$103-AO52+'融资租赁与资金缺口'!K$105</x:f>
        <x:v>9020759.23487284</x:v>
      </x:c>
      <x:c r="AP55" s="28" t="n">
        <x:f>AO55+'36月运营模型'!L$20-'融资租赁与资金缺口'!L$103-AP52+'融资租赁与资金缺口'!L$105</x:f>
        <x:v>12857809.738523722</x:v>
      </x:c>
      <x:c r="AQ55" s="28" t="n">
        <x:f>AP55+'36月运营模型'!M$20-'融资租赁与资金缺口'!M$103-AQ52+'融资租赁与资金缺口'!M$105</x:f>
        <x:v>19332090.326528534</x:v>
      </x:c>
      <x:c r="AR55" s="28" t="n">
        <x:f>AQ55+'36月运营模型'!N$20-'融资租赁与资金缺口'!N$103-AR52+'融资租赁与资金缺口'!N$105</x:f>
        <x:v>24793389.631331556</x:v>
      </x:c>
      <x:c r="AS55" s="28" t="n">
        <x:f>AR55+'36月运营模型'!O$20-'融资租赁与资金缺口'!O$103-AS52+'融资租赁与资金缺口'!O$105</x:f>
        <x:v>36959764.17890033</x:v>
      </x:c>
      <x:c r="AT55" s="28" t="n">
        <x:f>AS55+'36月运营模型'!P$20-'融资租赁与资金缺口'!P$103-AT52+'融资租赁与资金缺口'!P$105</x:f>
        <x:v>50274535.32812989</x:v>
      </x:c>
      <x:c r="AU55" s="28" t="n">
        <x:f>AT55+'36月运营模型'!Q$20-'融资租赁与资金缺口'!Q$103-AU52+'融资租赁与资金缺口'!Q$105</x:f>
        <x:v>67816699.33116457</x:v>
      </x:c>
      <x:c r="AV55" s="28" t="n">
        <x:f>AU55+'36月运营模型'!R$20-'融资租赁与资金缺口'!R$103-AV52+'融资租赁与资金缺口'!R$105</x:f>
        <x:v>81761964.19642606</x:v>
      </x:c>
      <x:c r="AW55" s="28" t="n">
        <x:f>AV55+'36月运营模型'!S$20-'融资租赁与资金缺口'!S$103-AW52+'融资租赁与资金缺口'!S$105</x:f>
        <x:v>89852975.92210048</x:v>
      </x:c>
      <x:c r="AX55" s="28" t="n">
        <x:f>AW55+'36月运营模型'!T$20-'融资租赁与资金缺口'!T$103-AX52+'融资租赁与资金缺口'!T$105</x:f>
        <x:v>98533067.6153207</x:v>
      </x:c>
      <x:c r="AY55" s="28" t="n">
        <x:f>AX55+'36月运营模型'!U$20-'融资租赁与资金缺口'!U$103-AY52+'融资租赁与资金缺口'!U$105</x:f>
        <x:v>107639686.41618471</x:v>
      </x:c>
      <x:c r="AZ55" s="28" t="n">
        <x:f>AY55+'36月运营模型'!V$20-'融资租赁与资金缺口'!V$103-AZ52+'融资租赁与资金缺口'!V$105</x:f>
        <x:v>117628197.42980802</x:v>
      </x:c>
      <x:c r="BA55" s="28" t="n">
        <x:f>AZ55+'36月运营模型'!W$20-'融资租赁与资金缺口'!W$103-BA52+'融资租赁与资金缺口'!W$105</x:f>
        <x:v>130212562.54722944</x:v>
      </x:c>
      <x:c r="BB55" s="28" t="n">
        <x:f>BA55+'36月运营模型'!X$20-'融资租赁与资金缺口'!X$103-BB52+'融资租赁与资金缺口'!X$105</x:f>
        <x:v>145417115.2565162</x:v>
      </x:c>
      <x:c r="BC55" s="28" t="n">
        <x:f>BB55+'36月运营模型'!Y$20-'融资租赁与资金缺口'!Y$103-BC52+'融资租赁与资金缺口'!Y$105</x:f>
        <x:v>162000064.9839673</x:v>
      </x:c>
      <x:c r="BD55" s="28" t="n">
        <x:f>BC55+'36月运营模型'!Z$20-'融资租赁与资金缺口'!Z$103-BD52+'融资租赁与资金缺口'!Z$105</x:f>
        <x:v>175865569.7701849</x:v>
      </x:c>
      <x:c r="BE55" s="28" t="n">
        <x:f>BD55+'36月运营模型'!AA$20-'融资租赁与资金缺口'!AA$103-BE52+'融资租赁与资金缺口'!AA$105</x:f>
        <x:v>188475384.54221067</x:v>
      </x:c>
      <x:c r="BF55" s="28" t="n">
        <x:f>BE55+'36月运营模型'!AB$20-'融资租赁与资金缺口'!AB$103-BF52+'融资租赁与资金缺口'!AB$105</x:f>
        <x:v>202818729.33459532</x:v>
      </x:c>
      <x:c r="BG55" s="28" t="n">
        <x:f>BF55+'36月运营模型'!AC$20-'融资租赁与资金缺口'!AC$103-BG52+'融资租赁与资金缺口'!AC$105</x:f>
        <x:v>222382578.4888137</x:v>
      </x:c>
      <x:c r="BH55" s="28" t="n">
        <x:f>BG55+'36月运营模型'!AD$20-'融资租赁与资金缺口'!AD$103-BH52+'融资租赁与资金缺口'!AD$105</x:f>
        <x:v>239667766.73676282</x:v>
      </x:c>
      <x:c r="BI55" s="28" t="n">
        <x:f>BH55+'36月运营模型'!AE$20-'融资租赁与资金缺口'!AE$103-BI52+'融资租赁与资金缺口'!AE$105</x:f>
        <x:v>251578568.9924587</x:v>
      </x:c>
      <x:c r="BJ55" s="28" t="n">
        <x:f>BI55+'36月运营模型'!AF$20-'融资租赁与资金缺口'!AF$103-BJ52+'融资租赁与资金缺口'!AF$105</x:f>
        <x:v>267001641.43833375</x:v>
      </x:c>
      <x:c r="BK55" s="28" t="n">
        <x:f>BJ55+'36月运营模型'!AG$20-'融资租赁与资金缺口'!AG$103-BK52+'融资租赁与资金缺口'!AG$105</x:f>
        <x:v>284861275.74157804</x:v>
      </x:c>
      <x:c r="BL55" s="28" t="n">
        <x:f>BK55+'36月运营模型'!AH$20-'融资租赁与资金缺口'!AH$103-BL52+'融资租赁与资金缺口'!AH$105</x:f>
        <x:v>305859460.06568885</x:v>
      </x:c>
      <x:c r="BM55" s="28" t="n">
        <x:f>BL55+'36月运营模型'!AI$20-'融资租赁与资金缺口'!AI$103-BM52+'融资租赁与资金缺口'!AI$105</x:f>
        <x:v>331576116.3017049</x:v>
      </x:c>
      <x:c r="BN55" s="28" t="n">
        <x:f>BM55+'36月运营模型'!AJ$20-'融资租赁与资金缺口'!AJ$103-BN52+'融资租赁与资金缺口'!AJ$105</x:f>
        <x:v>362732965.8862253</x:v>
      </x:c>
      <x:c r="BO55" s="28" t="n">
        <x:f>BN55+'36月运营模型'!AK$20-'融资租赁与资金缺口'!AK$103-BO52+'融资租赁与资金缺口'!AK$105</x:f>
        <x:v>398370026.24046963</x:v>
      </x:c>
      <x:c r="BP55" s="28" t="n">
        <x:f>BO55+'36月运营模型'!AL$20-'融资租赁与资金缺口'!AL$103-BP52+'融资租赁与资金缺口'!AL$105</x:f>
        <x:v>434130142.76597786</x:v>
      </x:c>
      <x:c r="BQ55" s="28" t="n">
        <x:f>BP55+'36月运营模型'!AM$20-'融资租赁与资金缺口'!AM$103-BQ52+'融资租赁与资金缺口'!AM$105</x:f>
        <x:v>471332365.1116673</x:v>
      </x:c>
      <x:c r="BR55" s="28" t="n">
        <x:f>BQ55+'36月运营模型'!AN$20-'融资租赁与资金缺口'!AN$103-BR52+'融资租赁与资金缺口'!AN$105</x:f>
        <x:v>509282867.4514066</x:v>
      </x:c>
      <x:c r="BS55" s="28" t="n">
        <x:f>BR55+'36月运营模型'!AO$20-'融资租赁与资金缺口'!AO$103-BS52+'融资租赁与资金缺口'!AO$105</x:f>
        <x:v>551263083.4168427</x:v>
      </x:c>
      <x:c r="BT55" s="28" t="n">
        <x:f>BS55+'36月运营模型'!AP$20-'融资租赁与资金缺口'!AP$103-BT52+'融资租赁与资金缺口'!AP$105</x:f>
        <x:v>589570835.8557678</x:v>
      </x:c>
      <x:c r="BU55" s="28" t="n">
        <x:f>BT55+'36月运营模型'!AQ$20-'融资租赁与资金缺口'!AQ$103-BU52+'融资租赁与资金缺口'!AQ$105</x:f>
        <x:v>620905248.9723701</x:v>
      </x:c>
      <x:c r="BV55" s="28" t="n">
        <x:f>BU55+'36月运营模型'!AR$20-'融资租赁与资金缺口'!AR$103-BV52+'融资租赁与资金缺口'!AR$105</x:f>
        <x:v>653947828.239254</x:v>
      </x:c>
      <x:c r="BW55" s="28" t="n">
        <x:f>BV55+'36月运营模型'!AS$20-'融资租赁与资金缺口'!AS$103-BW52+'融资租赁与资金缺口'!AS$105</x:f>
        <x:v>687416934.6137817</x:v>
      </x:c>
      <x:c r="BX55" s="28" t="n">
        <x:f>BW55+'36月运营模型'!AT$20-'融资租赁与资金缺口'!AT$103-BX52+'融资租赁与资金缺口'!AT$105</x:f>
        <x:v>721767933.2010686</x:v>
      </x:c>
      <x:c r="BY55" s="28" t="n">
        <x:f>BX55+'36月运营模型'!AU$20-'融资租赁与资金缺口'!AU$103-BY52+'融资租赁与资金缺口'!AU$105</x:f>
        <x:v>758714785.8921537</x:v>
      </x:c>
      <x:c r="BZ55" s="28" t="n">
        <x:f>BY55+'36月运营模型'!AV$20-'融资租赁与资金缺口'!AV$103-BZ52+'融资租赁与资金缺口'!AV$105</x:f>
        <x:v>798281826.1751041</x:v>
      </x:c>
      <x:c r="CA55" s="28" t="n">
        <x:f>BZ55+'36月运营模型'!AW$20-'融资租赁与资金缺口'!AW$103-CA52+'融资租赁与资金缺口'!AW$105</x:f>
        <x:v>839227263.4762189</x:v>
      </x:c>
      <x:c r="CB55" s="28" t="n">
        <x:f>CA55+'36月运营模型'!AX$20-'融资租赁与资金缺口'!AX$103-CB52+'融资租赁与资金缺口'!AX$105</x:f>
        <x:v>877455255.8361001</x:v>
      </x:c>
      <x:c r="CC55" s="28" t="n">
        <x:f>CB55+'36月运营模型'!AY$20-'融资租赁与资金缺口'!AY$103-CC52+'融资租赁与资金缺口'!AY$105</x:f>
        <x:v>914657478.1817895</x:v>
      </x:c>
      <x:c r="CD55" s="28" t="n">
        <x:f>CC55+'36月运营模型'!AZ$20-'融资租赁与资金缺口'!AZ$103-CD52+'融资租赁与资金缺口'!AZ$105</x:f>
        <x:v>952607980.5215288</x:v>
      </x:c>
      <x:c r="CE55" s="28" t="n">
        <x:f>CD55+'36月运营模型'!BA$20-'融资租赁与资金缺口'!BA$103-CE52+'融资租赁与资金缺口'!BA$105</x:f>
        <x:v>994588196.486965</x:v>
      </x:c>
      <x:c r="CF55" s="28" t="n">
        <x:f>CE55+'36月运营模型'!BB$20-'融资租赁与资金缺口'!BB$103-CF52+'融资租赁与资金缺口'!BB$105</x:f>
        <x:v>1032895948.9258901</x:v>
      </x:c>
      <x:c r="CG55" s="28" t="n">
        <x:f>CF55+'36月运营模型'!BC$20-'融资租赁与资金缺口'!BC$103-CG52+'融资租赁与资金缺口'!BC$105</x:f>
        <x:v>1064230362.0424924</x:v>
      </x:c>
      <x:c r="CH55" s="28" t="n">
        <x:f>CG55+'36月运营模型'!BD$20-'融资租赁与资金缺口'!BD$103-CH52+'融资租赁与资金缺口'!BD$105</x:f>
        <x:v>1097272941.3093762</x:v>
      </x:c>
      <x:c r="CI55" s="28" t="n">
        <x:f>CH55+'36月运营模型'!BE$20-'融资租赁与资金缺口'!BE$103-CI52+'融资租赁与资金缺口'!BE$105</x:f>
        <x:v>1130742047.683904</x:v>
      </x:c>
      <x:c r="CJ55" s="28" t="n">
        <x:f>CI55+'36月运营模型'!BF$20-'融资租赁与资金缺口'!BF$103-CJ52+'融资租赁与资金缺口'!BF$105</x:f>
        <x:v>1165093046.271191</x:v>
      </x:c>
      <x:c r="CK55" s="28" t="n">
        <x:f>CJ55+'36月运营模型'!BG$20-'融资租赁与资金缺口'!BG$103-CK52+'融资租赁与资金缺口'!BG$105</x:f>
        <x:v>1202039898.962276</x:v>
      </x:c>
      <x:c r="CL55" s="28" t="n">
        <x:f>CK55+'36月运营模型'!BH$20-'融资租赁与资金缺口'!BH$103-CL52+'融资租赁与资金缺口'!BH$105</x:f>
        <x:v>1241606939.2452264</x:v>
      </x:c>
      <x:c r="CM55" s="28" t="n">
        <x:f>CL55+'36月运营模型'!BI$20-'融资租赁与资金缺口'!BI$103-CM52+'融资租赁与资金缺口'!BI$105</x:f>
        <x:v>1282552376.5463412</x:v>
      </x:c>
    </x:row>
    <x:row r="56">
      <x:c r="A56" t="str">
        <x:v>SRC-011</x:v>
      </x:c>
      <x:c r="B56" t="str">
        <x:v>武汉人口来源</x:v>
      </x:c>
      <x:c r="C56" t="str"/>
      <x:c r="D56" t="n">
        <x:v>2020</x:v>
      </x:c>
      <x:c r="E56" t="str">
        <x:v>城市人口</x:v>
      </x:c>
      <x:c r="F56" s="30" t="str">
        <x:v>武汉人口来源</x:v>
      </x:c>
      <x:c r="G56" s="77" t="str">
        <x:v>https://tjj.hubei.gov.cn/tjsj/tjgb/pcgb/wnpc/qrp/202105/t20210525_3559343.shtml</x:v>
      </x:c>
      <x:c r="H56" s="30" t="str">
        <x:v>等级及排名据2025第一财经榜单；2020年七普常住人口；住建部2022年城市建设统计年鉴表2-2第407行列示同一城市口径的城区人口（含表列城区暂住人口）1080.64万人、建成区面积925.97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56" s="30" t="str">
        <x:v>2026-08-16</x:v>
      </x:c>
      <x:c r="AF56" s="28"/>
      <x:c r="AG56" s="28"/>
      <x:c r="AH56" s="28"/>
      <x:c r="AI56" s="28"/>
      <x:c r="AJ56" s="28"/>
      <x:c r="AK56" s="28"/>
      <x:c r="AL56" s="28"/>
      <x:c r="AM56" s="28"/>
      <x:c r="AN56" s="28"/>
      <x:c r="AO56" s="28"/>
      <x:c r="AP56" s="28"/>
      <x:c r="AQ56" s="28"/>
      <x:c r="AR56" s="28"/>
      <x:c r="AS56" s="28"/>
      <x:c r="AT56" s="28"/>
      <x:c r="AU56" s="28"/>
      <x:c r="AV56" s="28"/>
      <x:c r="AW56" s="28"/>
      <x:c r="AX56" s="28"/>
      <x:c r="AY56" s="28"/>
      <x:c r="AZ56" s="28"/>
      <x:c r="BA56" s="28"/>
      <x:c r="BB56" s="28"/>
      <x:c r="BC56" s="28"/>
      <x:c r="BD56" s="28"/>
      <x:c r="BE56" s="28"/>
      <x:c r="BF56" s="28"/>
      <x:c r="BG56" s="28"/>
      <x:c r="BH56" s="28"/>
      <x:c r="BI56" s="28"/>
      <x:c r="BJ56" s="28"/>
      <x:c r="BK56" s="28"/>
      <x:c r="BL56" s="28"/>
      <x:c r="BM56" s="28"/>
      <x:c r="BN56" s="28"/>
      <x:c r="BO56" s="28"/>
      <x:c r="BP56" s="28"/>
      <x:c r="BQ56" s="28"/>
      <x:c r="BR56" s="28"/>
      <x:c r="BS56" s="28"/>
      <x:c r="BT56" s="28"/>
      <x:c r="BU56" s="28"/>
      <x:c r="BV56" s="28"/>
      <x:c r="BW56" s="28"/>
      <x:c r="BX56" s="28"/>
      <x:c r="BY56" s="28"/>
      <x:c r="BZ56" s="28"/>
      <x:c r="CA56" s="28"/>
      <x:c r="CB56" s="28"/>
      <x:c r="CC56" s="28"/>
      <x:c r="CD56" s="28"/>
      <x:c r="CE56" s="28"/>
      <x:c r="CF56" s="28"/>
      <x:c r="CG56" s="28"/>
      <x:c r="CH56" s="28"/>
      <x:c r="CI56" s="28"/>
      <x:c r="CJ56" s="28"/>
      <x:c r="CK56" s="28"/>
      <x:c r="CL56" s="28"/>
      <x:c r="CM56" s="28"/>
    </x:row>
    <x:row r="57">
      <x:c r="A57" t="str">
        <x:v>SRC-012</x:v>
      </x:c>
      <x:c r="B57" t="str">
        <x:v>苏州人口来源</x:v>
      </x:c>
      <x:c r="C57" t="str"/>
      <x:c r="D57" t="n">
        <x:v>2020</x:v>
      </x:c>
      <x:c r="E57" t="str">
        <x:v>城市人口</x:v>
      </x:c>
      <x:c r="F57" s="30" t="str">
        <x:v>苏州人口来源</x:v>
      </x:c>
      <x:c r="G57" s="77" t="str">
        <x:v>https://www.js.gov.cn/art/2021/5/18/art_46548_206.html</x:v>
      </x:c>
      <x:c r="H57" s="30" t="str">
        <x:v>等级及排名据2025第一财经榜单；2020年七普常住人口；住建部2022年城市建设统计年鉴表2-2第195行列示同一城市口径的城区人口（含表列城区暂住人口）500.08万人、建成区面积481.33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57" s="30" t="str">
        <x:v>2026-08-16</x:v>
      </x:c>
      <x:c r="AE57" t="str">
        <x:v>36期债务支付</x:v>
      </x:c>
      <x:c r="AF57" s="28" t="n">
        <x:f>SUM(IF(AND(AF$46&gt;'融资租赁与资金缺口'!$F$5,AF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AF$46=EDATE('融资租赁与资金缺口'!$F$5,$A17),'融资租赁与资金缺口'!$J$5,0),0),IF(AND(AF$46&gt;'融资租赁与资金缺口'!$F$6,AF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AF$46=EDATE('融资租赁与资金缺口'!$F$6,$A17),'融资租赁与资金缺口'!$J$6,0),0),IF(AND(AF$46&gt;'融资租赁与资金缺口'!$F$7,AF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AF$46=EDATE('融资租赁与资金缺口'!$F$7,$A17),'融资租赁与资金缺口'!$J$7,0),0),IF(AND(AF$46&gt;'融资租赁与资金缺口'!$F$8,AF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AF$46=EDATE('融资租赁与资金缺口'!$F$8,$A17),'融资租赁与资金缺口'!$J$8,0),0),IF(AND(AF$46&gt;'融资租赁与资金缺口'!$F$9,AF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AF$46=EDATE('融资租赁与资金缺口'!$F$9,$A17),'融资租赁与资金缺口'!$J$9,0),0),IF(AND(AF$46&gt;'融资租赁与资金缺口'!$F$10,AF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AF$46=EDATE('融资租赁与资金缺口'!$F$10,$A17),'融资租赁与资金缺口'!$J$10,0),0),IF(AND(AF$46&gt;'融资租赁与资金缺口'!$F$11,AF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AF$46=EDATE('融资租赁与资金缺口'!$F$11,$A17),'融资租赁与资金缺口'!$J$11,0),0),IF(AND(AF$46&gt;'融资租赁与资金缺口'!$F$12,AF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AF$46=EDATE('融资租赁与资金缺口'!$F$12,$A17),'融资租赁与资金缺口'!$J$12,0),0),IF(AND(AF$46&gt;'融资租赁与资金缺口'!$F$13,AF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AF$46=EDATE('融资租赁与资金缺口'!$F$13,$A17),'融资租赁与资金缺口'!$J$13,0),0),IF(AND(AF$46&gt;'融资租赁与资金缺口'!$F$14,AF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AF$46=EDATE('融资租赁与资金缺口'!$F$14,$A17),'融资租赁与资金缺口'!$J$14,0),0),IF(AND(AF$46&gt;'融资租赁与资金缺口'!$F$15,AF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AF$46=EDATE('融资租赁与资金缺口'!$F$15,$A17),'融资租赁与资金缺口'!$J$15,0),0),IF(AND(AF$46&gt;'融资租赁与资金缺口'!$F$16,AF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AF$46=EDATE('融资租赁与资金缺口'!$F$16,$A17),'融资租赁与资金缺口'!$J$16,0),0))</x:f>
        <x:v>0</x:v>
      </x:c>
      <x:c r="AG57" s="28" t="n">
        <x:f>SUM(IF(AND(AG$46&gt;'融资租赁与资金缺口'!$F$5,AG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AG$46=EDATE('融资租赁与资金缺口'!$F$5,$A17),'融资租赁与资金缺口'!$J$5,0),0),IF(AND(AG$46&gt;'融资租赁与资金缺口'!$F$6,AG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AG$46=EDATE('融资租赁与资金缺口'!$F$6,$A17),'融资租赁与资金缺口'!$J$6,0),0),IF(AND(AG$46&gt;'融资租赁与资金缺口'!$F$7,AG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AG$46=EDATE('融资租赁与资金缺口'!$F$7,$A17),'融资租赁与资金缺口'!$J$7,0),0),IF(AND(AG$46&gt;'融资租赁与资金缺口'!$F$8,AG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AG$46=EDATE('融资租赁与资金缺口'!$F$8,$A17),'融资租赁与资金缺口'!$J$8,0),0),IF(AND(AG$46&gt;'融资租赁与资金缺口'!$F$9,AG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AG$46=EDATE('融资租赁与资金缺口'!$F$9,$A17),'融资租赁与资金缺口'!$J$9,0),0),IF(AND(AG$46&gt;'融资租赁与资金缺口'!$F$10,AG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AG$46=EDATE('融资租赁与资金缺口'!$F$10,$A17),'融资租赁与资金缺口'!$J$10,0),0),IF(AND(AG$46&gt;'融资租赁与资金缺口'!$F$11,AG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AG$46=EDATE('融资租赁与资金缺口'!$F$11,$A17),'融资租赁与资金缺口'!$J$11,0),0),IF(AND(AG$46&gt;'融资租赁与资金缺口'!$F$12,AG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AG$46=EDATE('融资租赁与资金缺口'!$F$12,$A17),'融资租赁与资金缺口'!$J$12,0),0),IF(AND(AG$46&gt;'融资租赁与资金缺口'!$F$13,AG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AG$46=EDATE('融资租赁与资金缺口'!$F$13,$A17),'融资租赁与资金缺口'!$J$13,0),0),IF(AND(AG$46&gt;'融资租赁与资金缺口'!$F$14,AG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AG$46=EDATE('融资租赁与资金缺口'!$F$14,$A17),'融资租赁与资金缺口'!$J$14,0),0),IF(AND(AG$46&gt;'融资租赁与资金缺口'!$F$15,AG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AG$46=EDATE('融资租赁与资金缺口'!$F$15,$A17),'融资租赁与资金缺口'!$J$15,0),0),IF(AND(AG$46&gt;'融资租赁与资金缺口'!$F$16,AG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AG$46=EDATE('融资租赁与资金缺口'!$F$16,$A17),'融资租赁与资金缺口'!$J$16,0),0))</x:f>
        <x:v>0</x:v>
      </x:c>
      <x:c r="AH57" s="28" t="n">
        <x:f>SUM(IF(AND(AH$46&gt;'融资租赁与资金缺口'!$F$5,AH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AH$46=EDATE('融资租赁与资金缺口'!$F$5,$A17),'融资租赁与资金缺口'!$J$5,0),0),IF(AND(AH$46&gt;'融资租赁与资金缺口'!$F$6,AH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AH$46=EDATE('融资租赁与资金缺口'!$F$6,$A17),'融资租赁与资金缺口'!$J$6,0),0),IF(AND(AH$46&gt;'融资租赁与资金缺口'!$F$7,AH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AH$46=EDATE('融资租赁与资金缺口'!$F$7,$A17),'融资租赁与资金缺口'!$J$7,0),0),IF(AND(AH$46&gt;'融资租赁与资金缺口'!$F$8,AH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AH$46=EDATE('融资租赁与资金缺口'!$F$8,$A17),'融资租赁与资金缺口'!$J$8,0),0),IF(AND(AH$46&gt;'融资租赁与资金缺口'!$F$9,AH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AH$46=EDATE('融资租赁与资金缺口'!$F$9,$A17),'融资租赁与资金缺口'!$J$9,0),0),IF(AND(AH$46&gt;'融资租赁与资金缺口'!$F$10,AH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AH$46=EDATE('融资租赁与资金缺口'!$F$10,$A17),'融资租赁与资金缺口'!$J$10,0),0),IF(AND(AH$46&gt;'融资租赁与资金缺口'!$F$11,AH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AH$46=EDATE('融资租赁与资金缺口'!$F$11,$A17),'融资租赁与资金缺口'!$J$11,0),0),IF(AND(AH$46&gt;'融资租赁与资金缺口'!$F$12,AH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AH$46=EDATE('融资租赁与资金缺口'!$F$12,$A17),'融资租赁与资金缺口'!$J$12,0),0),IF(AND(AH$46&gt;'融资租赁与资金缺口'!$F$13,AH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AH$46=EDATE('融资租赁与资金缺口'!$F$13,$A17),'融资租赁与资金缺口'!$J$13,0),0),IF(AND(AH$46&gt;'融资租赁与资金缺口'!$F$14,AH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AH$46=EDATE('融资租赁与资金缺口'!$F$14,$A17),'融资租赁与资金缺口'!$J$14,0),0),IF(AND(AH$46&gt;'融资租赁与资金缺口'!$F$15,AH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AH$46=EDATE('融资租赁与资金缺口'!$F$15,$A17),'融资租赁与资金缺口'!$J$15,0),0),IF(AND(AH$46&gt;'融资租赁与资金缺口'!$F$16,AH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AH$46=EDATE('融资租赁与资金缺口'!$F$16,$A17),'融资租赁与资金缺口'!$J$16,0),0))</x:f>
        <x:v>714813.6575423323</x:v>
      </x:c>
      <x:c r="AI57" s="28" t="n">
        <x:f>SUM(IF(AND(AI$46&gt;'融资租赁与资金缺口'!$F$5,AI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AI$46=EDATE('融资租赁与资金缺口'!$F$5,$A17),'融资租赁与资金缺口'!$J$5,0),0),IF(AND(AI$46&gt;'融资租赁与资金缺口'!$F$6,AI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AI$46=EDATE('融资租赁与资金缺口'!$F$6,$A17),'融资租赁与资金缺口'!$J$6,0),0),IF(AND(AI$46&gt;'融资租赁与资金缺口'!$F$7,AI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AI$46=EDATE('融资租赁与资金缺口'!$F$7,$A17),'融资租赁与资金缺口'!$J$7,0),0),IF(AND(AI$46&gt;'融资租赁与资金缺口'!$F$8,AI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AI$46=EDATE('融资租赁与资金缺口'!$F$8,$A17),'融资租赁与资金缺口'!$J$8,0),0),IF(AND(AI$46&gt;'融资租赁与资金缺口'!$F$9,AI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AI$46=EDATE('融资租赁与资金缺口'!$F$9,$A17),'融资租赁与资金缺口'!$J$9,0),0),IF(AND(AI$46&gt;'融资租赁与资金缺口'!$F$10,AI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AI$46=EDATE('融资租赁与资金缺口'!$F$10,$A17),'融资租赁与资金缺口'!$J$10,0),0),IF(AND(AI$46&gt;'融资租赁与资金缺口'!$F$11,AI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AI$46=EDATE('融资租赁与资金缺口'!$F$11,$A17),'融资租赁与资金缺口'!$J$11,0),0),IF(AND(AI$46&gt;'融资租赁与资金缺口'!$F$12,AI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AI$46=EDATE('融资租赁与资金缺口'!$F$12,$A17),'融资租赁与资金缺口'!$J$12,0),0),IF(AND(AI$46&gt;'融资租赁与资金缺口'!$F$13,AI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AI$46=EDATE('融资租赁与资金缺口'!$F$13,$A17),'融资租赁与资金缺口'!$J$13,0),0),IF(AND(AI$46&gt;'融资租赁与资金缺口'!$F$14,AI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AI$46=EDATE('融资租赁与资金缺口'!$F$14,$A17),'融资租赁与资金缺口'!$J$14,0),0),IF(AND(AI$46&gt;'融资租赁与资金缺口'!$F$15,AI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AI$46=EDATE('融资租赁与资金缺口'!$F$15,$A17),'融资租赁与资金缺口'!$J$15,0),0),IF(AND(AI$46&gt;'融资租赁与资金缺口'!$F$16,AI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AI$46=EDATE('融资租赁与资金缺口'!$F$16,$A17),'融资租赁与资金缺口'!$J$16,0),0))</x:f>
        <x:v>1571862.5483508515</x:v>
      </x:c>
      <x:c r="AJ57" s="28" t="n">
        <x:f>SUM(IF(AND(AJ$46&gt;'融资租赁与资金缺口'!$F$5,AJ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AJ$46=EDATE('融资租赁与资金缺口'!$F$5,$A17),'融资租赁与资金缺口'!$J$5,0),0),IF(AND(AJ$46&gt;'融资租赁与资金缺口'!$F$6,AJ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AJ$46=EDATE('融资租赁与资金缺口'!$F$6,$A17),'融资租赁与资金缺口'!$J$6,0),0),IF(AND(AJ$46&gt;'融资租赁与资金缺口'!$F$7,AJ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AJ$46=EDATE('融资租赁与资金缺口'!$F$7,$A17),'融资租赁与资金缺口'!$J$7,0),0),IF(AND(AJ$46&gt;'融资租赁与资金缺口'!$F$8,AJ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AJ$46=EDATE('融资租赁与资金缺口'!$F$8,$A17),'融资租赁与资金缺口'!$J$8,0),0),IF(AND(AJ$46&gt;'融资租赁与资金缺口'!$F$9,AJ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AJ$46=EDATE('融资租赁与资金缺口'!$F$9,$A17),'融资租赁与资金缺口'!$J$9,0),0),IF(AND(AJ$46&gt;'融资租赁与资金缺口'!$F$10,AJ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AJ$46=EDATE('融资租赁与资金缺口'!$F$10,$A17),'融资租赁与资金缺口'!$J$10,0),0),IF(AND(AJ$46&gt;'融资租赁与资金缺口'!$F$11,AJ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AJ$46=EDATE('融资租赁与资金缺口'!$F$11,$A17),'融资租赁与资金缺口'!$J$11,0),0),IF(AND(AJ$46&gt;'融资租赁与资金缺口'!$F$12,AJ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AJ$46=EDATE('融资租赁与资金缺口'!$F$12,$A17),'融资租赁与资金缺口'!$J$12,0),0),IF(AND(AJ$46&gt;'融资租赁与资金缺口'!$F$13,AJ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AJ$46=EDATE('融资租赁与资金缺口'!$F$13,$A17),'融资租赁与资金缺口'!$J$13,0),0),IF(AND(AJ$46&gt;'融资租赁与资金缺口'!$F$14,AJ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AJ$46=EDATE('融资租赁与资金缺口'!$F$14,$A17),'融资租赁与资金缺口'!$J$14,0),0),IF(AND(AJ$46&gt;'融资租赁与资金缺口'!$F$15,AJ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AJ$46=EDATE('融资租赁与资金缺口'!$F$15,$A17),'融资租赁与资金缺口'!$J$15,0),0),IF(AND(AJ$46&gt;'融资租赁与资金缺口'!$F$16,AJ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AJ$46=EDATE('融资租赁与资金缺口'!$F$16,$A17),'融资租赁与资金缺口'!$J$16,0),0))</x:f>
        <x:v>2569934.1753550917</x:v>
      </x:c>
      <x:c r="AK57" s="28" t="n">
        <x:f>SUM(IF(AND(AK$46&gt;'融资租赁与资金缺口'!$F$5,AK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AK$46=EDATE('融资租赁与资金缺口'!$F$5,$A17),'融资租赁与资金缺口'!$J$5,0),0),IF(AND(AK$46&gt;'融资租赁与资金缺口'!$F$6,AK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AK$46=EDATE('融资租赁与资金缺口'!$F$6,$A17),'融资租赁与资金缺口'!$J$6,0),0),IF(AND(AK$46&gt;'融资租赁与资金缺口'!$F$7,AK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AK$46=EDATE('融资租赁与资金缺口'!$F$7,$A17),'融资租赁与资金缺口'!$J$7,0),0),IF(AND(AK$46&gt;'融资租赁与资金缺口'!$F$8,AK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AK$46=EDATE('融资租赁与资金缺口'!$F$8,$A17),'融资租赁与资金缺口'!$J$8,0),0),IF(AND(AK$46&gt;'融资租赁与资金缺口'!$F$9,AK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AK$46=EDATE('融资租赁与资金缺口'!$F$9,$A17),'融资租赁与资金缺口'!$J$9,0),0),IF(AND(AK$46&gt;'融资租赁与资金缺口'!$F$10,AK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AK$46=EDATE('融资租赁与资金缺口'!$F$10,$A17),'融资租赁与资金缺口'!$J$10,0),0),IF(AND(AK$46&gt;'融资租赁与资金缺口'!$F$11,AK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AK$46=EDATE('融资租赁与资金缺口'!$F$11,$A17),'融资租赁与资金缺口'!$J$11,0),0),IF(AND(AK$46&gt;'融资租赁与资金缺口'!$F$12,AK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AK$46=EDATE('融资租赁与资金缺口'!$F$12,$A17),'融资租赁与资金缺口'!$J$12,0),0),IF(AND(AK$46&gt;'融资租赁与资金缺口'!$F$13,AK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AK$46=EDATE('融资租赁与资金缺口'!$F$13,$A17),'融资租赁与资金缺口'!$J$13,0),0),IF(AND(AK$46&gt;'融资租赁与资金缺口'!$F$14,AK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AK$46=EDATE('融资租赁与资金缺口'!$F$14,$A17),'融资租赁与资金缺口'!$J$14,0),0),IF(AND(AK$46&gt;'融资租赁与资金缺口'!$F$15,AK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AK$46=EDATE('融资租赁与资金缺口'!$F$15,$A17),'融资租赁与资金缺口'!$J$15,0),0),IF(AND(AK$46&gt;'融资租赁与资金缺口'!$F$16,AK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AK$46=EDATE('融资租赁与资金缺口'!$F$16,$A17),'融资租赁与资金缺口'!$J$16,0),0))</x:f>
        <x:v>3710241.035625519</x:v>
      </x:c>
      <x:c r="AL57" s="28" t="n">
        <x:f>SUM(IF(AND(AL$46&gt;'融资租赁与资金缺口'!$F$5,AL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AL$46=EDATE('融资租赁与资金缺口'!$F$5,$A17),'融资租赁与资金缺口'!$J$5,0),0),IF(AND(AL$46&gt;'融资租赁与资金缺口'!$F$6,AL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AL$46=EDATE('融资租赁与资金缺口'!$F$6,$A17),'融资租赁与资金缺口'!$J$6,0),0),IF(AND(AL$46&gt;'融资租赁与资金缺口'!$F$7,AL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AL$46=EDATE('融资租赁与资金缺口'!$F$7,$A17),'融资租赁与资金缺口'!$J$7,0),0),IF(AND(AL$46&gt;'融资租赁与资金缺口'!$F$8,AL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AL$46=EDATE('融资租赁与资金缺口'!$F$8,$A17),'融资租赁与资金缺口'!$J$8,0),0),IF(AND(AL$46&gt;'融资租赁与资金缺口'!$F$9,AL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AL$46=EDATE('融资租赁与资金缺口'!$F$9,$A17),'融资租赁与资金缺口'!$J$9,0),0),IF(AND(AL$46&gt;'融资租赁与资金缺口'!$F$10,AL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AL$46=EDATE('融资租赁与资金缺口'!$F$10,$A17),'融资租赁与资金缺口'!$J$10,0),0),IF(AND(AL$46&gt;'融资租赁与资金缺口'!$F$11,AL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AL$46=EDATE('融资租赁与资金缺口'!$F$11,$A17),'融资租赁与资金缺口'!$J$11,0),0),IF(AND(AL$46&gt;'融资租赁与资金缺口'!$F$12,AL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AL$46=EDATE('融资租赁与资金缺口'!$F$12,$A17),'融资租赁与资金缺口'!$J$12,0),0),IF(AND(AL$46&gt;'融资租赁与资金缺口'!$F$13,AL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AL$46=EDATE('融资租赁与资金缺口'!$F$13,$A17),'融资租赁与资金缺口'!$J$13,0),0),IF(AND(AL$46&gt;'融资租赁与资金缺口'!$F$14,AL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AL$46=EDATE('融资租赁与资金缺口'!$F$14,$A17),'融资租赁与资金缺口'!$J$14,0),0),IF(AND(AL$46&gt;'融资租赁与资金缺口'!$F$15,AL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AL$46=EDATE('融资租赁与资金缺口'!$F$15,$A17),'融资租赁与资金缺口'!$J$15,0),0),IF(AND(AL$46&gt;'融资租赁与资金缺口'!$F$16,AL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AL$46=EDATE('融资租赁与资金缺口'!$F$16,$A17),'融资租赁与资金缺口'!$J$16,0),0))</x:f>
        <x:v>4992783.129162134</x:v>
      </x:c>
      <x:c r="AM57" s="28" t="n">
        <x:f>SUM(IF(AND(AM$46&gt;'融资租赁与资金缺口'!$F$5,AM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AM$46=EDATE('融资租赁与资金缺口'!$F$5,$A17),'融资租赁与资金缺口'!$J$5,0),0),IF(AND(AM$46&gt;'融资租赁与资金缺口'!$F$6,AM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AM$46=EDATE('融资租赁与资金缺口'!$F$6,$A17),'融资租赁与资金缺口'!$J$6,0),0),IF(AND(AM$46&gt;'融资租赁与资金缺口'!$F$7,AM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AM$46=EDATE('融资租赁与资金缺口'!$F$7,$A17),'融资租赁与资金缺口'!$J$7,0),0),IF(AND(AM$46&gt;'融资租赁与资金缺口'!$F$8,AM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AM$46=EDATE('融资租赁与资金缺口'!$F$8,$A17),'融资租赁与资金缺口'!$J$8,0),0),IF(AND(AM$46&gt;'融资租赁与资金缺口'!$F$9,AM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AM$46=EDATE('融资租赁与资金缺口'!$F$9,$A17),'融资租赁与资金缺口'!$J$9,0),0),IF(AND(AM$46&gt;'融资租赁与资金缺口'!$F$10,AM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AM$46=EDATE('融资租赁与资金缺口'!$F$10,$A17),'融资租赁与资金缺口'!$J$10,0),0),IF(AND(AM$46&gt;'融资租赁与资金缺口'!$F$11,AM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AM$46=EDATE('融资租赁与资金缺口'!$F$11,$A17),'融资租赁与资金缺口'!$J$11,0),0),IF(AND(AM$46&gt;'融资租赁与资金缺口'!$F$12,AM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AM$46=EDATE('融资租赁与资金缺口'!$F$12,$A17),'融资租赁与资金缺口'!$J$12,0),0),IF(AND(AM$46&gt;'融资租赁与资金缺口'!$F$13,AM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AM$46=EDATE('融资租赁与资金缺口'!$F$13,$A17),'融资租赁与资金缺口'!$J$13,0),0),IF(AND(AM$46&gt;'融资租赁与资金缺口'!$F$14,AM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AM$46=EDATE('融资租赁与资金缺口'!$F$14,$A17),'融资租赁与资金缺口'!$J$14,0),0),IF(AND(AM$46&gt;'融资租赁与资金缺口'!$F$15,AM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AM$46=EDATE('融资租赁与资金缺口'!$F$15,$A17),'融资租赁与资金缺口'!$J$15,0),0),IF(AND(AM$46&gt;'融资租赁与资金缺口'!$F$16,AM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AM$46=EDATE('融资租赁与资金缺口'!$F$16,$A17),'融资租赁与资金缺口'!$J$16,0),0))</x:f>
        <x:v>6417560.455964935</x:v>
      </x:c>
      <x:c r="AN57" s="28" t="n">
        <x:f>SUM(IF(AND(AN$46&gt;'融资租赁与资金缺口'!$F$5,AN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AN$46=EDATE('融资租赁与资金缺口'!$F$5,$A17),'融资租赁与资金缺口'!$J$5,0),0),IF(AND(AN$46&gt;'融资租赁与资金缺口'!$F$6,AN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AN$46=EDATE('融资租赁与资金缺口'!$F$6,$A17),'融资租赁与资金缺口'!$J$6,0),0),IF(AND(AN$46&gt;'融资租赁与资金缺口'!$F$7,AN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AN$46=EDATE('融资租赁与资金缺口'!$F$7,$A17),'融资租赁与资金缺口'!$J$7,0),0),IF(AND(AN$46&gt;'融资租赁与资金缺口'!$F$8,AN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AN$46=EDATE('融资租赁与资金缺口'!$F$8,$A17),'融资租赁与资金缺口'!$J$8,0),0),IF(AND(AN$46&gt;'融资租赁与资金缺口'!$F$9,AN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AN$46=EDATE('融资租赁与资金缺口'!$F$9,$A17),'融资租赁与资金缺口'!$J$9,0),0),IF(AND(AN$46&gt;'融资租赁与资金缺口'!$F$10,AN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AN$46=EDATE('融资租赁与资金缺口'!$F$10,$A17),'融资租赁与资金缺口'!$J$10,0),0),IF(AND(AN$46&gt;'融资租赁与资金缺口'!$F$11,AN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AN$46=EDATE('融资租赁与资金缺口'!$F$11,$A17),'融资租赁与资金缺口'!$J$11,0),0),IF(AND(AN$46&gt;'融资租赁与资金缺口'!$F$12,AN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AN$46=EDATE('融资租赁与资金缺口'!$F$12,$A17),'融资租赁与资金缺口'!$J$12,0),0),IF(AND(AN$46&gt;'融资租赁与资金缺口'!$F$13,AN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AN$46=EDATE('融资租赁与资金缺口'!$F$13,$A17),'融资租赁与资金缺口'!$J$13,0),0),IF(AND(AN$46&gt;'融资租赁与资金缺口'!$F$14,AN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AN$46=EDATE('融资租赁与资金缺口'!$F$14,$A17),'融资租赁与资金缺口'!$J$14,0),0),IF(AND(AN$46&gt;'融资租赁与资金缺口'!$F$15,AN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AN$46=EDATE('融资租赁与资金缺口'!$F$15,$A17),'融资租赁与资金缺口'!$J$15,0),0),IF(AND(AN$46&gt;'融资租赁与资金缺口'!$F$16,AN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AN$46=EDATE('融资租赁与资金缺口'!$F$16,$A17),'融资租赁与资金缺口'!$J$16,0),0))</x:f>
        <x:v>7982148.021892991</x:v>
      </x:c>
      <x:c r="AO57" s="28" t="n">
        <x:f>SUM(IF(AND(AO$46&gt;'融资租赁与资金缺口'!$F$5,AO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AO$46=EDATE('融资租赁与资金缺口'!$F$5,$A17),'融资租赁与资金缺口'!$J$5,0),0),IF(AND(AO$46&gt;'融资租赁与资金缺口'!$F$6,AO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AO$46=EDATE('融资租赁与资金缺口'!$F$6,$A17),'融资租赁与资金缺口'!$J$6,0),0),IF(AND(AO$46&gt;'融资租赁与资金缺口'!$F$7,AO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AO$46=EDATE('融资租赁与资金缺口'!$F$7,$A17),'融资租赁与资金缺口'!$J$7,0),0),IF(AND(AO$46&gt;'融资租赁与资金缺口'!$F$8,AO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AO$46=EDATE('融资租赁与资金缺口'!$F$8,$A17),'融资租赁与资金缺口'!$J$8,0),0),IF(AND(AO$46&gt;'融资租赁与资金缺口'!$F$9,AO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AO$46=EDATE('融资租赁与资金缺口'!$F$9,$A17),'融资租赁与资金缺口'!$J$9,0),0),IF(AND(AO$46&gt;'融资租赁与资金缺口'!$F$10,AO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AO$46=EDATE('融资租赁与资金缺口'!$F$10,$A17),'融资租赁与资金缺口'!$J$10,0),0),IF(AND(AO$46&gt;'融资租赁与资金缺口'!$F$11,AO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AO$46=EDATE('融资租赁与资金缺口'!$F$11,$A17),'融资租赁与资金缺口'!$J$11,0),0),IF(AND(AO$46&gt;'融资租赁与资金缺口'!$F$12,AO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AO$46=EDATE('融资租赁与资金缺口'!$F$12,$A17),'融资租赁与资金缺口'!$J$12,0),0),IF(AND(AO$46&gt;'融资租赁与资金缺口'!$F$13,AO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AO$46=EDATE('融资租赁与资金缺口'!$F$13,$A17),'融资租赁与资金缺口'!$J$13,0),0),IF(AND(AO$46&gt;'融资租赁与资金缺口'!$F$14,AO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AO$46=EDATE('融资租赁与资金缺口'!$F$14,$A17),'融资租赁与资金缺口'!$J$14,0),0),IF(AND(AO$46&gt;'融资租赁与资金缺口'!$F$15,AO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AO$46=EDATE('融资租赁与资金缺口'!$F$15,$A17),'融资租赁与资金缺口'!$J$15,0),0),IF(AND(AO$46&gt;'融资租赁与资金缺口'!$F$16,AO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AO$46=EDATE('融资租赁与资金缺口'!$F$16,$A17),'融资租赁与资金缺口'!$J$16,0),0))</x:f>
        <x:v>9546735.587821048</x:v>
      </x:c>
      <x:c r="AP57" s="28" t="n">
        <x:f>SUM(IF(AND(AP$46&gt;'融资租赁与资金缺口'!$F$5,AP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AP$46=EDATE('融资租赁与资金缺口'!$F$5,$A17),'融资租赁与资金缺口'!$J$5,0),0),IF(AND(AP$46&gt;'融资租赁与资金缺口'!$F$6,AP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AP$46=EDATE('融资租赁与资金缺口'!$F$6,$A17),'融资租赁与资金缺口'!$J$6,0),0),IF(AND(AP$46&gt;'融资租赁与资金缺口'!$F$7,AP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AP$46=EDATE('融资租赁与资金缺口'!$F$7,$A17),'融资租赁与资金缺口'!$J$7,0),0),IF(AND(AP$46&gt;'融资租赁与资金缺口'!$F$8,AP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AP$46=EDATE('融资租赁与资金缺口'!$F$8,$A17),'融资租赁与资金缺口'!$J$8,0),0),IF(AND(AP$46&gt;'融资租赁与资金缺口'!$F$9,AP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AP$46=EDATE('融资租赁与资金缺口'!$F$9,$A17),'融资租赁与资金缺口'!$J$9,0),0),IF(AND(AP$46&gt;'融资租赁与资金缺口'!$F$10,AP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AP$46=EDATE('融资租赁与资金缺口'!$F$10,$A17),'融资租赁与资金缺口'!$J$10,0),0),IF(AND(AP$46&gt;'融资租赁与资金缺口'!$F$11,AP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AP$46=EDATE('融资租赁与资金缺口'!$F$11,$A17),'融资租赁与资金缺口'!$J$11,0),0),IF(AND(AP$46&gt;'融资租赁与资金缺口'!$F$12,AP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AP$46=EDATE('融资租赁与资金缺口'!$F$12,$A17),'融资租赁与资金缺口'!$J$12,0),0),IF(AND(AP$46&gt;'融资租赁与资金缺口'!$F$13,AP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AP$46=EDATE('融资租赁与资金缺口'!$F$13,$A17),'融资租赁与资金缺口'!$J$13,0),0),IF(AND(AP$46&gt;'融资租赁与资金缺口'!$F$14,AP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AP$46=EDATE('融资租赁与资金缺口'!$F$14,$A17),'融资租赁与资金缺口'!$J$14,0),0),IF(AND(AP$46&gt;'融资租赁与资金缺口'!$F$15,AP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AP$46=EDATE('融资租赁与资金缺口'!$F$15,$A17),'融资租赁与资金缺口'!$J$15,0),0),IF(AND(AP$46&gt;'融资租赁与资金缺口'!$F$16,AP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AP$46=EDATE('融资租赁与资金缺口'!$F$16,$A17),'融资租赁与资金缺口'!$J$16,0),0))</x:f>
        <x:v>11528049.069967676</x:v>
      </x:c>
      <x:c r="AQ57" s="28" t="n">
        <x:f>SUM(IF(AND(AQ$46&gt;'融资租赁与资金缺口'!$F$5,AQ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AQ$46=EDATE('融资租赁与资金缺口'!$F$5,$A17),'融资租赁与资金缺口'!$J$5,0),0),IF(AND(AQ$46&gt;'融资租赁与资金缺口'!$F$6,AQ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AQ$46=EDATE('融资租赁与资金缺口'!$F$6,$A17),'融资租赁与资金缺口'!$J$6,0),0),IF(AND(AQ$46&gt;'融资租赁与资金缺口'!$F$7,AQ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AQ$46=EDATE('融资租赁与资金缺口'!$F$7,$A17),'融资租赁与资金缺口'!$J$7,0),0),IF(AND(AQ$46&gt;'融资租赁与资金缺口'!$F$8,AQ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AQ$46=EDATE('融资租赁与资金缺口'!$F$8,$A17),'融资租赁与资金缺口'!$J$8,0),0),IF(AND(AQ$46&gt;'融资租赁与资金缺口'!$F$9,AQ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AQ$46=EDATE('融资租赁与资金缺口'!$F$9,$A17),'融资租赁与资金缺口'!$J$9,0),0),IF(AND(AQ$46&gt;'融资租赁与资金缺口'!$F$10,AQ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AQ$46=EDATE('融资租赁与资金缺口'!$F$10,$A17),'融资租赁与资金缺口'!$J$10,0),0),IF(AND(AQ$46&gt;'融资租赁与资金缺口'!$F$11,AQ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AQ$46=EDATE('融资租赁与资金缺口'!$F$11,$A17),'融资租赁与资金缺口'!$J$11,0),0),IF(AND(AQ$46&gt;'融资租赁与资金缺口'!$F$12,AQ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AQ$46=EDATE('融资租赁与资金缺口'!$F$12,$A17),'融资租赁与资金缺口'!$J$12,0),0),IF(AND(AQ$46&gt;'融资租赁与资金缺口'!$F$13,AQ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AQ$46=EDATE('融资租赁与资金缺口'!$F$13,$A17),'融资租赁与资金缺口'!$J$13,0),0),IF(AND(AQ$46&gt;'融资租赁与资金缺口'!$F$14,AQ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AQ$46=EDATE('融资租赁与资金缺口'!$F$14,$A17),'融资租赁与资金缺口'!$J$14,0),0),IF(AND(AQ$46&gt;'融资租赁与资金缺口'!$F$15,AQ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AQ$46=EDATE('融资租赁与资金缺口'!$F$15,$A17),'融资租赁与资金缺口'!$J$15,0),0),IF(AND(AQ$46&gt;'融资租赁与资金缺口'!$F$16,AQ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AQ$46=EDATE('融资租赁与资金缺口'!$F$16,$A17),'融资租赁与资金缺口'!$J$16,0),0))</x:f>
        <x:v>13626601.691927811</x:v>
      </x:c>
      <x:c r="AR57" s="28" t="n">
        <x:f>SUM(IF(AND(AR$46&gt;'融资租赁与资金缺口'!$F$5,AR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AR$46=EDATE('融资租赁与资金缺口'!$F$5,$A17),'融资租赁与资金缺口'!$J$5,0),0),IF(AND(AR$46&gt;'融资租赁与资金缺口'!$F$6,AR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AR$46=EDATE('融资租赁与资金缺口'!$F$6,$A17),'融资租赁与资金缺口'!$J$6,0),0),IF(AND(AR$46&gt;'融资租赁与资金缺口'!$F$7,AR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AR$46=EDATE('融资租赁与资金缺口'!$F$7,$A17),'融资租赁与资金缺口'!$J$7,0),0),IF(AND(AR$46&gt;'融资租赁与资金缺口'!$F$8,AR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AR$46=EDATE('融资租赁与资金缺口'!$F$8,$A17),'融资租赁与资金缺口'!$J$8,0),0),IF(AND(AR$46&gt;'融资租赁与资金缺口'!$F$9,AR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AR$46=EDATE('融资租赁与资金缺口'!$F$9,$A17),'融资租赁与资金缺口'!$J$9,0),0),IF(AND(AR$46&gt;'融资租赁与资金缺口'!$F$10,AR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AR$46=EDATE('融资租赁与资金缺口'!$F$10,$A17),'融资租赁与资金缺口'!$J$10,0),0),IF(AND(AR$46&gt;'融资租赁与资金缺口'!$F$11,AR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AR$46=EDATE('融资租赁与资金缺口'!$F$11,$A17),'融资租赁与资金缺口'!$J$11,0),0),IF(AND(AR$46&gt;'融资租赁与资金缺口'!$F$12,AR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AR$46=EDATE('融资租赁与资金缺口'!$F$12,$A17),'融资租赁与资金缺口'!$J$12,0),0),IF(AND(AR$46&gt;'融资租赁与资金缺口'!$F$13,AR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AR$46=EDATE('融资租赁与资金缺口'!$F$13,$A17),'融资租赁与资金缺口'!$J$13,0),0),IF(AND(AR$46&gt;'融资租赁与资金缺口'!$F$14,AR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AR$46=EDATE('融资租赁与资金缺口'!$F$14,$A17),'融资租赁与资金缺口'!$J$14,0),0),IF(AND(AR$46&gt;'融资租赁与资金缺口'!$F$15,AR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AR$46=EDATE('融资租赁与资金缺口'!$F$15,$A17),'融资租赁与资金缺口'!$J$15,0),0),IF(AND(AR$46&gt;'融资租赁与资金缺口'!$F$16,AR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AR$46=EDATE('融资租赁与资金缺口'!$F$16,$A17),'融资租赁与资金缺口'!$J$16,0),0))</x:f>
        <x:v>15491981.800336821</x:v>
      </x:c>
      <x:c r="AS57" s="28" t="n">
        <x:f>SUM(IF(AND(AS$46&gt;'融资租赁与资金缺口'!$F$5,AS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AS$46=EDATE('融资租赁与资金缺口'!$F$5,$A17),'融资租赁与资金缺口'!$J$5,0),0),IF(AND(AS$46&gt;'融资租赁与资金缺口'!$F$6,AS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AS$46=EDATE('融资租赁与资金缺口'!$F$6,$A17),'融资租赁与资金缺口'!$J$6,0),0),IF(AND(AS$46&gt;'融资租赁与资金缺口'!$F$7,AS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AS$46=EDATE('融资租赁与资金缺口'!$F$7,$A17),'融资租赁与资金缺口'!$J$7,0),0),IF(AND(AS$46&gt;'融资租赁与资金缺口'!$F$8,AS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AS$46=EDATE('融资租赁与资金缺口'!$F$8,$A17),'融资租赁与资金缺口'!$J$8,0),0),IF(AND(AS$46&gt;'融资租赁与资金缺口'!$F$9,AS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AS$46=EDATE('融资租赁与资金缺口'!$F$9,$A17),'融资租赁与资金缺口'!$J$9,0),0),IF(AND(AS$46&gt;'融资租赁与资金缺口'!$F$10,AS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AS$46=EDATE('融资租赁与资金缺口'!$F$10,$A17),'融资租赁与资金缺口'!$J$10,0),0),IF(AND(AS$46&gt;'融资租赁与资金缺口'!$F$11,AS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AS$46=EDATE('融资租赁与资金缺口'!$F$11,$A17),'融资租赁与资金缺口'!$J$11,0),0),IF(AND(AS$46&gt;'融资租赁与资金缺口'!$F$12,AS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AS$46=EDATE('融资租赁与资金缺口'!$F$12,$A17),'融资租赁与资金缺口'!$J$12,0),0),IF(AND(AS$46&gt;'融资租赁与资金缺口'!$F$13,AS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AS$46=EDATE('融资租赁与资金缺口'!$F$13,$A17),'融资租赁与资金缺口'!$J$13,0),0),IF(AND(AS$46&gt;'融资租赁与资金缺口'!$F$14,AS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AS$46=EDATE('融资租赁与资金缺口'!$F$14,$A17),'融资租赁与资金缺口'!$J$14,0),0),IF(AND(AS$46&gt;'融资租赁与资金缺口'!$F$15,AS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AS$46=EDATE('融资租赁与资金缺口'!$F$15,$A17),'融资租赁与资金缺口'!$J$15,0),0),IF(AND(AS$46&gt;'融资租赁与资金缺口'!$F$16,AS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AS$46=EDATE('融资租赁与资金缺口'!$F$16,$A17),'融资租赁与资金缺口'!$J$16,0),0))</x:f>
        <x:v>16891016.88164358</x:v>
      </x:c>
      <x:c r="AT57" s="28" t="n">
        <x:f>SUM(IF(AND(AT$46&gt;'融资租赁与资金缺口'!$F$5,AT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AT$46=EDATE('融资租赁与资金缺口'!$F$5,$A17),'融资租赁与资金缺口'!$J$5,0),0),IF(AND(AT$46&gt;'融资租赁与资金缺口'!$F$6,AT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AT$46=EDATE('融资租赁与资金缺口'!$F$6,$A17),'融资租赁与资金缺口'!$J$6,0),0),IF(AND(AT$46&gt;'融资租赁与资金缺口'!$F$7,AT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AT$46=EDATE('融资租赁与资金缺口'!$F$7,$A17),'融资租赁与资金缺口'!$J$7,0),0),IF(AND(AT$46&gt;'融资租赁与资金缺口'!$F$8,AT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AT$46=EDATE('融资租赁与资金缺口'!$F$8,$A17),'融资租赁与资金缺口'!$J$8,0),0),IF(AND(AT$46&gt;'融资租赁与资金缺口'!$F$9,AT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AT$46=EDATE('融资租赁与资金缺口'!$F$9,$A17),'融资租赁与资金缺口'!$J$9,0),0),IF(AND(AT$46&gt;'融资租赁与资金缺口'!$F$10,AT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AT$46=EDATE('融资租赁与资金缺口'!$F$10,$A17),'融资租赁与资金缺口'!$J$10,0),0),IF(AND(AT$46&gt;'融资租赁与资金缺口'!$F$11,AT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AT$46=EDATE('融资租赁与资金缺口'!$F$11,$A17),'融资租赁与资金缺口'!$J$11,0),0),IF(AND(AT$46&gt;'融资租赁与资金缺口'!$F$12,AT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AT$46=EDATE('融资租赁与资金缺口'!$F$12,$A17),'融资租赁与资金缺口'!$J$12,0),0),IF(AND(AT$46&gt;'融资租赁与资金缺口'!$F$13,AT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AT$46=EDATE('融资租赁与资金缺口'!$F$13,$A17),'融资租赁与资金缺口'!$J$13,0),0),IF(AND(AT$46&gt;'融资租赁与资金缺口'!$F$14,AT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AT$46=EDATE('融资租赁与资金缺口'!$F$14,$A17),'融资租赁与资金缺口'!$J$14,0),0),IF(AND(AT$46&gt;'融资租赁与资金缺口'!$F$15,AT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AT$46=EDATE('融资租赁与资金缺口'!$F$15,$A17),'融资租赁与资金缺口'!$J$15,0),0),IF(AND(AT$46&gt;'融资租赁与资金缺口'!$F$16,AT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AT$46=EDATE('融资租赁与资金缺口'!$F$16,$A17),'融资租赁与资金缺口'!$J$16,0),0))</x:f>
        <x:v>16891016.88164358</x:v>
      </x:c>
      <x:c r="AU57" s="28" t="n">
        <x:f>SUM(IF(AND(AU$46&gt;'融资租赁与资金缺口'!$F$5,AU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AU$46=EDATE('融资租赁与资金缺口'!$F$5,$A17),'融资租赁与资金缺口'!$J$5,0),0),IF(AND(AU$46&gt;'融资租赁与资金缺口'!$F$6,AU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AU$46=EDATE('融资租赁与资金缺口'!$F$6,$A17),'融资租赁与资金缺口'!$J$6,0),0),IF(AND(AU$46&gt;'融资租赁与资金缺口'!$F$7,AU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AU$46=EDATE('融资租赁与资金缺口'!$F$7,$A17),'融资租赁与资金缺口'!$J$7,0),0),IF(AND(AU$46&gt;'融资租赁与资金缺口'!$F$8,AU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AU$46=EDATE('融资租赁与资金缺口'!$F$8,$A17),'融资租赁与资金缺口'!$J$8,0),0),IF(AND(AU$46&gt;'融资租赁与资金缺口'!$F$9,AU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AU$46=EDATE('融资租赁与资金缺口'!$F$9,$A17),'融资租赁与资金缺口'!$J$9,0),0),IF(AND(AU$46&gt;'融资租赁与资金缺口'!$F$10,AU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AU$46=EDATE('融资租赁与资金缺口'!$F$10,$A17),'融资租赁与资金缺口'!$J$10,0),0),IF(AND(AU$46&gt;'融资租赁与资金缺口'!$F$11,AU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AU$46=EDATE('融资租赁与资金缺口'!$F$11,$A17),'融资租赁与资金缺口'!$J$11,0),0),IF(AND(AU$46&gt;'融资租赁与资金缺口'!$F$12,AU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AU$46=EDATE('融资租赁与资金缺口'!$F$12,$A17),'融资租赁与资金缺口'!$J$12,0),0),IF(AND(AU$46&gt;'融资租赁与资金缺口'!$F$13,AU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AU$46=EDATE('融资租赁与资金缺口'!$F$13,$A17),'融资租赁与资金缺口'!$J$13,0),0),IF(AND(AU$46&gt;'融资租赁与资金缺口'!$F$14,AU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AU$46=EDATE('融资租赁与资金缺口'!$F$14,$A17),'融资租赁与资金缺口'!$J$14,0),0),IF(AND(AU$46&gt;'融资租赁与资金缺口'!$F$15,AU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AU$46=EDATE('融资租赁与资金缺口'!$F$15,$A17),'融资租赁与资金缺口'!$J$15,0),0),IF(AND(AU$46&gt;'融资租赁与资金缺口'!$F$16,AU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AU$46=EDATE('融资租赁与资金缺口'!$F$16,$A17),'融资租赁与资金缺口'!$J$16,0),0))</x:f>
        <x:v>16891016.88164358</x:v>
      </x:c>
      <x:c r="AV57" s="28" t="n">
        <x:f>SUM(IF(AND(AV$46&gt;'融资租赁与资金缺口'!$F$5,AV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AV$46=EDATE('融资租赁与资金缺口'!$F$5,$A17),'融资租赁与资金缺口'!$J$5,0),0),IF(AND(AV$46&gt;'融资租赁与资金缺口'!$F$6,AV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AV$46=EDATE('融资租赁与资金缺口'!$F$6,$A17),'融资租赁与资金缺口'!$J$6,0),0),IF(AND(AV$46&gt;'融资租赁与资金缺口'!$F$7,AV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AV$46=EDATE('融资租赁与资金缺口'!$F$7,$A17),'融资租赁与资金缺口'!$J$7,0),0),IF(AND(AV$46&gt;'融资租赁与资金缺口'!$F$8,AV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AV$46=EDATE('融资租赁与资金缺口'!$F$8,$A17),'融资租赁与资金缺口'!$J$8,0),0),IF(AND(AV$46&gt;'融资租赁与资金缺口'!$F$9,AV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AV$46=EDATE('融资租赁与资金缺口'!$F$9,$A17),'融资租赁与资金缺口'!$J$9,0),0),IF(AND(AV$46&gt;'融资租赁与资金缺口'!$F$10,AV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AV$46=EDATE('融资租赁与资金缺口'!$F$10,$A17),'融资租赁与资金缺口'!$J$10,0),0),IF(AND(AV$46&gt;'融资租赁与资金缺口'!$F$11,AV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AV$46=EDATE('融资租赁与资金缺口'!$F$11,$A17),'融资租赁与资金缺口'!$J$11,0),0),IF(AND(AV$46&gt;'融资租赁与资金缺口'!$F$12,AV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AV$46=EDATE('融资租赁与资金缺口'!$F$12,$A17),'融资租赁与资金缺口'!$J$12,0),0),IF(AND(AV$46&gt;'融资租赁与资金缺口'!$F$13,AV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AV$46=EDATE('融资租赁与资金缺口'!$F$13,$A17),'融资租赁与资金缺口'!$J$13,0),0),IF(AND(AV$46&gt;'融资租赁与资金缺口'!$F$14,AV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AV$46=EDATE('融资租赁与资金缺口'!$F$14,$A17),'融资租赁与资金缺口'!$J$14,0),0),IF(AND(AV$46&gt;'融资租赁与资金缺口'!$F$15,AV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AV$46=EDATE('融资租赁与资金缺口'!$F$15,$A17),'融资租赁与资金缺口'!$J$15,0),0),IF(AND(AV$46&gt;'融资租赁与资金缺口'!$F$16,AV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AV$46=EDATE('融资租赁与资金缺口'!$F$16,$A17),'融资租赁与资金缺口'!$J$16,0),0))</x:f>
        <x:v>16891016.88164358</x:v>
      </x:c>
      <x:c r="AW57" s="28" t="n">
        <x:f>SUM(IF(AND(AW$46&gt;'融资租赁与资金缺口'!$F$5,AW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AW$46=EDATE('融资租赁与资金缺口'!$F$5,$A17),'融资租赁与资金缺口'!$J$5,0),0),IF(AND(AW$46&gt;'融资租赁与资金缺口'!$F$6,AW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AW$46=EDATE('融资租赁与资金缺口'!$F$6,$A17),'融资租赁与资金缺口'!$J$6,0),0),IF(AND(AW$46&gt;'融资租赁与资金缺口'!$F$7,AW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AW$46=EDATE('融资租赁与资金缺口'!$F$7,$A17),'融资租赁与资金缺口'!$J$7,0),0),IF(AND(AW$46&gt;'融资租赁与资金缺口'!$F$8,AW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AW$46=EDATE('融资租赁与资金缺口'!$F$8,$A17),'融资租赁与资金缺口'!$J$8,0),0),IF(AND(AW$46&gt;'融资租赁与资金缺口'!$F$9,AW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AW$46=EDATE('融资租赁与资金缺口'!$F$9,$A17),'融资租赁与资金缺口'!$J$9,0),0),IF(AND(AW$46&gt;'融资租赁与资金缺口'!$F$10,AW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AW$46=EDATE('融资租赁与资金缺口'!$F$10,$A17),'融资租赁与资金缺口'!$J$10,0),0),IF(AND(AW$46&gt;'融资租赁与资金缺口'!$F$11,AW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AW$46=EDATE('融资租赁与资金缺口'!$F$11,$A17),'融资租赁与资金缺口'!$J$11,0),0),IF(AND(AW$46&gt;'融资租赁与资金缺口'!$F$12,AW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AW$46=EDATE('融资租赁与资金缺口'!$F$12,$A17),'融资租赁与资金缺口'!$J$12,0),0),IF(AND(AW$46&gt;'融资租赁与资金缺口'!$F$13,AW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AW$46=EDATE('融资租赁与资金缺口'!$F$13,$A17),'融资租赁与资金缺口'!$J$13,0),0),IF(AND(AW$46&gt;'融资租赁与资金缺口'!$F$14,AW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AW$46=EDATE('融资租赁与资金缺口'!$F$14,$A17),'融资租赁与资金缺口'!$J$14,0),0),IF(AND(AW$46&gt;'融资租赁与资金缺口'!$F$15,AW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AW$46=EDATE('融资租赁与资金缺口'!$F$15,$A17),'融资租赁与资金缺口'!$J$15,0),0),IF(AND(AW$46&gt;'融资租赁与资金缺口'!$F$16,AW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AW$46=EDATE('融资租赁与资金缺口'!$F$16,$A17),'融资租赁与资金缺口'!$J$16,0),0))</x:f>
        <x:v>16891016.88164358</x:v>
      </x:c>
      <x:c r="AX57" s="28" t="n">
        <x:f>SUM(IF(AND(AX$46&gt;'融资租赁与资金缺口'!$F$5,AX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AX$46=EDATE('融资租赁与资金缺口'!$F$5,$A17),'融资租赁与资金缺口'!$J$5,0),0),IF(AND(AX$46&gt;'融资租赁与资金缺口'!$F$6,AX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AX$46=EDATE('融资租赁与资金缺口'!$F$6,$A17),'融资租赁与资金缺口'!$J$6,0),0),IF(AND(AX$46&gt;'融资租赁与资金缺口'!$F$7,AX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AX$46=EDATE('融资租赁与资金缺口'!$F$7,$A17),'融资租赁与资金缺口'!$J$7,0),0),IF(AND(AX$46&gt;'融资租赁与资金缺口'!$F$8,AX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AX$46=EDATE('融资租赁与资金缺口'!$F$8,$A17),'融资租赁与资金缺口'!$J$8,0),0),IF(AND(AX$46&gt;'融资租赁与资金缺口'!$F$9,AX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AX$46=EDATE('融资租赁与资金缺口'!$F$9,$A17),'融资租赁与资金缺口'!$J$9,0),0),IF(AND(AX$46&gt;'融资租赁与资金缺口'!$F$10,AX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AX$46=EDATE('融资租赁与资金缺口'!$F$10,$A17),'融资租赁与资金缺口'!$J$10,0),0),IF(AND(AX$46&gt;'融资租赁与资金缺口'!$F$11,AX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AX$46=EDATE('融资租赁与资金缺口'!$F$11,$A17),'融资租赁与资金缺口'!$J$11,0),0),IF(AND(AX$46&gt;'融资租赁与资金缺口'!$F$12,AX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AX$46=EDATE('融资租赁与资金缺口'!$F$12,$A17),'融资租赁与资金缺口'!$J$12,0),0),IF(AND(AX$46&gt;'融资租赁与资金缺口'!$F$13,AX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AX$46=EDATE('融资租赁与资金缺口'!$F$13,$A17),'融资租赁与资金缺口'!$J$13,0),0),IF(AND(AX$46&gt;'融资租赁与资金缺口'!$F$14,AX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AX$46=EDATE('融资租赁与资金缺口'!$F$14,$A17),'融资租赁与资金缺口'!$J$14,0),0),IF(AND(AX$46&gt;'融资租赁与资金缺口'!$F$15,AX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AX$46=EDATE('融资租赁与资金缺口'!$F$15,$A17),'融资租赁与资金缺口'!$J$15,0),0),IF(AND(AX$46&gt;'融资租赁与资金缺口'!$F$16,AX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AX$46=EDATE('融资租赁与资金缺口'!$F$16,$A17),'融资租赁与资金缺口'!$J$16,0),0))</x:f>
        <x:v>16891016.88164358</x:v>
      </x:c>
      <x:c r="AY57" s="28" t="n">
        <x:f>SUM(IF(AND(AY$46&gt;'融资租赁与资金缺口'!$F$5,AY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AY$46=EDATE('融资租赁与资金缺口'!$F$5,$A17),'融资租赁与资金缺口'!$J$5,0),0),IF(AND(AY$46&gt;'融资租赁与资金缺口'!$F$6,AY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AY$46=EDATE('融资租赁与资金缺口'!$F$6,$A17),'融资租赁与资金缺口'!$J$6,0),0),IF(AND(AY$46&gt;'融资租赁与资金缺口'!$F$7,AY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AY$46=EDATE('融资租赁与资金缺口'!$F$7,$A17),'融资租赁与资金缺口'!$J$7,0),0),IF(AND(AY$46&gt;'融资租赁与资金缺口'!$F$8,AY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AY$46=EDATE('融资租赁与资金缺口'!$F$8,$A17),'融资租赁与资金缺口'!$J$8,0),0),IF(AND(AY$46&gt;'融资租赁与资金缺口'!$F$9,AY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AY$46=EDATE('融资租赁与资金缺口'!$F$9,$A17),'融资租赁与资金缺口'!$J$9,0),0),IF(AND(AY$46&gt;'融资租赁与资金缺口'!$F$10,AY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AY$46=EDATE('融资租赁与资金缺口'!$F$10,$A17),'融资租赁与资金缺口'!$J$10,0),0),IF(AND(AY$46&gt;'融资租赁与资金缺口'!$F$11,AY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AY$46=EDATE('融资租赁与资金缺口'!$F$11,$A17),'融资租赁与资金缺口'!$J$11,0),0),IF(AND(AY$46&gt;'融资租赁与资金缺口'!$F$12,AY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AY$46=EDATE('融资租赁与资金缺口'!$F$12,$A17),'融资租赁与资金缺口'!$J$12,0),0),IF(AND(AY$46&gt;'融资租赁与资金缺口'!$F$13,AY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AY$46=EDATE('融资租赁与资金缺口'!$F$13,$A17),'融资租赁与资金缺口'!$J$13,0),0),IF(AND(AY$46&gt;'融资租赁与资金缺口'!$F$14,AY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AY$46=EDATE('融资租赁与资金缺口'!$F$14,$A17),'融资租赁与资金缺口'!$J$14,0),0),IF(AND(AY$46&gt;'融资租赁与资金缺口'!$F$15,AY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AY$46=EDATE('融资租赁与资金缺口'!$F$15,$A17),'融资租赁与资金缺口'!$J$15,0),0),IF(AND(AY$46&gt;'融资租赁与资金缺口'!$F$16,AY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AY$46=EDATE('融资租赁与资金缺口'!$F$16,$A17),'融资租赁与资金缺口'!$J$16,0),0))</x:f>
        <x:v>16891016.88164358</x:v>
      </x:c>
      <x:c r="AZ57" s="28" t="n">
        <x:f>SUM(IF(AND(AZ$46&gt;'融资租赁与资金缺口'!$F$5,AZ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AZ$46=EDATE('融资租赁与资金缺口'!$F$5,$A17),'融资租赁与资金缺口'!$J$5,0),0),IF(AND(AZ$46&gt;'融资租赁与资金缺口'!$F$6,AZ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AZ$46=EDATE('融资租赁与资金缺口'!$F$6,$A17),'融资租赁与资金缺口'!$J$6,0),0),IF(AND(AZ$46&gt;'融资租赁与资金缺口'!$F$7,AZ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AZ$46=EDATE('融资租赁与资金缺口'!$F$7,$A17),'融资租赁与资金缺口'!$J$7,0),0),IF(AND(AZ$46&gt;'融资租赁与资金缺口'!$F$8,AZ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AZ$46=EDATE('融资租赁与资金缺口'!$F$8,$A17),'融资租赁与资金缺口'!$J$8,0),0),IF(AND(AZ$46&gt;'融资租赁与资金缺口'!$F$9,AZ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AZ$46=EDATE('融资租赁与资金缺口'!$F$9,$A17),'融资租赁与资金缺口'!$J$9,0),0),IF(AND(AZ$46&gt;'融资租赁与资金缺口'!$F$10,AZ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AZ$46=EDATE('融资租赁与资金缺口'!$F$10,$A17),'融资租赁与资金缺口'!$J$10,0),0),IF(AND(AZ$46&gt;'融资租赁与资金缺口'!$F$11,AZ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AZ$46=EDATE('融资租赁与资金缺口'!$F$11,$A17),'融资租赁与资金缺口'!$J$11,0),0),IF(AND(AZ$46&gt;'融资租赁与资金缺口'!$F$12,AZ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AZ$46=EDATE('融资租赁与资金缺口'!$F$12,$A17),'融资租赁与资金缺口'!$J$12,0),0),IF(AND(AZ$46&gt;'融资租赁与资金缺口'!$F$13,AZ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AZ$46=EDATE('融资租赁与资金缺口'!$F$13,$A17),'融资租赁与资金缺口'!$J$13,0),0),IF(AND(AZ$46&gt;'融资租赁与资金缺口'!$F$14,AZ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AZ$46=EDATE('融资租赁与资金缺口'!$F$14,$A17),'融资租赁与资金缺口'!$J$14,0),0),IF(AND(AZ$46&gt;'融资租赁与资金缺口'!$F$15,AZ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AZ$46=EDATE('融资租赁与资金缺口'!$F$15,$A17),'融资租赁与资金缺口'!$J$15,0),0),IF(AND(AZ$46&gt;'融资租赁与资金缺口'!$F$16,AZ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AZ$46=EDATE('融资租赁与资金缺口'!$F$16,$A17),'融资租赁与资金缺口'!$J$16,0),0))</x:f>
        <x:v>16891016.88164358</x:v>
      </x:c>
      <x:c r="BA57" s="28" t="n">
        <x:f>SUM(IF(AND(BA$46&gt;'融资租赁与资金缺口'!$F$5,BA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A$46=EDATE('融资租赁与资金缺口'!$F$5,$A17),'融资租赁与资金缺口'!$J$5,0),0),IF(AND(BA$46&gt;'融资租赁与资金缺口'!$F$6,BA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A$46=EDATE('融资租赁与资金缺口'!$F$6,$A17),'融资租赁与资金缺口'!$J$6,0),0),IF(AND(BA$46&gt;'融资租赁与资金缺口'!$F$7,BA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A$46=EDATE('融资租赁与资金缺口'!$F$7,$A17),'融资租赁与资金缺口'!$J$7,0),0),IF(AND(BA$46&gt;'融资租赁与资金缺口'!$F$8,BA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A$46=EDATE('融资租赁与资金缺口'!$F$8,$A17),'融资租赁与资金缺口'!$J$8,0),0),IF(AND(BA$46&gt;'融资租赁与资金缺口'!$F$9,BA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A$46=EDATE('融资租赁与资金缺口'!$F$9,$A17),'融资租赁与资金缺口'!$J$9,0),0),IF(AND(BA$46&gt;'融资租赁与资金缺口'!$F$10,BA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A$46=EDATE('融资租赁与资金缺口'!$F$10,$A17),'融资租赁与资金缺口'!$J$10,0),0),IF(AND(BA$46&gt;'融资租赁与资金缺口'!$F$11,BA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A$46=EDATE('融资租赁与资金缺口'!$F$11,$A17),'融资租赁与资金缺口'!$J$11,0),0),IF(AND(BA$46&gt;'融资租赁与资金缺口'!$F$12,BA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A$46=EDATE('融资租赁与资金缺口'!$F$12,$A17),'融资租赁与资金缺口'!$J$12,0),0),IF(AND(BA$46&gt;'融资租赁与资金缺口'!$F$13,BA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A$46=EDATE('融资租赁与资金缺口'!$F$13,$A17),'融资租赁与资金缺口'!$J$13,0),0),IF(AND(BA$46&gt;'融资租赁与资金缺口'!$F$14,BA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A$46=EDATE('融资租赁与资金缺口'!$F$14,$A17),'融资租赁与资金缺口'!$J$14,0),0),IF(AND(BA$46&gt;'融资租赁与资金缺口'!$F$15,BA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A$46=EDATE('融资租赁与资金缺口'!$F$15,$A17),'融资租赁与资金缺口'!$J$15,0),0),IF(AND(BA$46&gt;'融资租赁与资金缺口'!$F$16,BA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A$46=EDATE('融资租赁与资金缺口'!$F$16,$A17),'融资租赁与资金缺口'!$J$16,0),0))</x:f>
        <x:v>16891016.88164358</x:v>
      </x:c>
      <x:c r="BB57" s="28" t="n">
        <x:f>SUM(IF(AND(BB$46&gt;'融资租赁与资金缺口'!$F$5,BB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B$46=EDATE('融资租赁与资金缺口'!$F$5,$A17),'融资租赁与资金缺口'!$J$5,0),0),IF(AND(BB$46&gt;'融资租赁与资金缺口'!$F$6,BB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B$46=EDATE('融资租赁与资金缺口'!$F$6,$A17),'融资租赁与资金缺口'!$J$6,0),0),IF(AND(BB$46&gt;'融资租赁与资金缺口'!$F$7,BB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B$46=EDATE('融资租赁与资金缺口'!$F$7,$A17),'融资租赁与资金缺口'!$J$7,0),0),IF(AND(BB$46&gt;'融资租赁与资金缺口'!$F$8,BB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B$46=EDATE('融资租赁与资金缺口'!$F$8,$A17),'融资租赁与资金缺口'!$J$8,0),0),IF(AND(BB$46&gt;'融资租赁与资金缺口'!$F$9,BB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B$46=EDATE('融资租赁与资金缺口'!$F$9,$A17),'融资租赁与资金缺口'!$J$9,0),0),IF(AND(BB$46&gt;'融资租赁与资金缺口'!$F$10,BB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B$46=EDATE('融资租赁与资金缺口'!$F$10,$A17),'融资租赁与资金缺口'!$J$10,0),0),IF(AND(BB$46&gt;'融资租赁与资金缺口'!$F$11,BB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B$46=EDATE('融资租赁与资金缺口'!$F$11,$A17),'融资租赁与资金缺口'!$J$11,0),0),IF(AND(BB$46&gt;'融资租赁与资金缺口'!$F$12,BB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B$46=EDATE('融资租赁与资金缺口'!$F$12,$A17),'融资租赁与资金缺口'!$J$12,0),0),IF(AND(BB$46&gt;'融资租赁与资金缺口'!$F$13,BB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B$46=EDATE('融资租赁与资金缺口'!$F$13,$A17),'融资租赁与资金缺口'!$J$13,0),0),IF(AND(BB$46&gt;'融资租赁与资金缺口'!$F$14,BB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B$46=EDATE('融资租赁与资金缺口'!$F$14,$A17),'融资租赁与资金缺口'!$J$14,0),0),IF(AND(BB$46&gt;'融资租赁与资金缺口'!$F$15,BB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B$46=EDATE('融资租赁与资金缺口'!$F$15,$A17),'融资租赁与资金缺口'!$J$15,0),0),IF(AND(BB$46&gt;'融资租赁与资金缺口'!$F$16,BB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B$46=EDATE('融资租赁与资金缺口'!$F$16,$A17),'融资租赁与资金缺口'!$J$16,0),0))</x:f>
        <x:v>16891016.88164358</x:v>
      </x:c>
      <x:c r="BC57" s="28" t="n">
        <x:f>SUM(IF(AND(BC$46&gt;'融资租赁与资金缺口'!$F$5,BC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C$46=EDATE('融资租赁与资金缺口'!$F$5,$A17),'融资租赁与资金缺口'!$J$5,0),0),IF(AND(BC$46&gt;'融资租赁与资金缺口'!$F$6,BC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C$46=EDATE('融资租赁与资金缺口'!$F$6,$A17),'融资租赁与资金缺口'!$J$6,0),0),IF(AND(BC$46&gt;'融资租赁与资金缺口'!$F$7,BC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C$46=EDATE('融资租赁与资金缺口'!$F$7,$A17),'融资租赁与资金缺口'!$J$7,0),0),IF(AND(BC$46&gt;'融资租赁与资金缺口'!$F$8,BC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C$46=EDATE('融资租赁与资金缺口'!$F$8,$A17),'融资租赁与资金缺口'!$J$8,0),0),IF(AND(BC$46&gt;'融资租赁与资金缺口'!$F$9,BC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C$46=EDATE('融资租赁与资金缺口'!$F$9,$A17),'融资租赁与资金缺口'!$J$9,0),0),IF(AND(BC$46&gt;'融资租赁与资金缺口'!$F$10,BC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C$46=EDATE('融资租赁与资金缺口'!$F$10,$A17),'融资租赁与资金缺口'!$J$10,0),0),IF(AND(BC$46&gt;'融资租赁与资金缺口'!$F$11,BC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C$46=EDATE('融资租赁与资金缺口'!$F$11,$A17),'融资租赁与资金缺口'!$J$11,0),0),IF(AND(BC$46&gt;'融资租赁与资金缺口'!$F$12,BC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C$46=EDATE('融资租赁与资金缺口'!$F$12,$A17),'融资租赁与资金缺口'!$J$12,0),0),IF(AND(BC$46&gt;'融资租赁与资金缺口'!$F$13,BC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C$46=EDATE('融资租赁与资金缺口'!$F$13,$A17),'融资租赁与资金缺口'!$J$13,0),0),IF(AND(BC$46&gt;'融资租赁与资金缺口'!$F$14,BC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C$46=EDATE('融资租赁与资金缺口'!$F$14,$A17),'融资租赁与资金缺口'!$J$14,0),0),IF(AND(BC$46&gt;'融资租赁与资金缺口'!$F$15,BC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C$46=EDATE('融资租赁与资金缺口'!$F$15,$A17),'融资租赁与资金缺口'!$J$15,0),0),IF(AND(BC$46&gt;'融资租赁与资金缺口'!$F$16,BC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C$46=EDATE('融资租赁与资金缺口'!$F$16,$A17),'融资租赁与资金缺口'!$J$16,0),0))</x:f>
        <x:v>16891016.88164358</x:v>
      </x:c>
      <x:c r="BD57" s="28" t="n">
        <x:f>SUM(IF(AND(BD$46&gt;'融资租赁与资金缺口'!$F$5,BD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D$46=EDATE('融资租赁与资金缺口'!$F$5,$A17),'融资租赁与资金缺口'!$J$5,0),0),IF(AND(BD$46&gt;'融资租赁与资金缺口'!$F$6,BD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D$46=EDATE('融资租赁与资金缺口'!$F$6,$A17),'融资租赁与资金缺口'!$J$6,0),0),IF(AND(BD$46&gt;'融资租赁与资金缺口'!$F$7,BD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D$46=EDATE('融资租赁与资金缺口'!$F$7,$A17),'融资租赁与资金缺口'!$J$7,0),0),IF(AND(BD$46&gt;'融资租赁与资金缺口'!$F$8,BD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D$46=EDATE('融资租赁与资金缺口'!$F$8,$A17),'融资租赁与资金缺口'!$J$8,0),0),IF(AND(BD$46&gt;'融资租赁与资金缺口'!$F$9,BD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D$46=EDATE('融资租赁与资金缺口'!$F$9,$A17),'融资租赁与资金缺口'!$J$9,0),0),IF(AND(BD$46&gt;'融资租赁与资金缺口'!$F$10,BD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D$46=EDATE('融资租赁与资金缺口'!$F$10,$A17),'融资租赁与资金缺口'!$J$10,0),0),IF(AND(BD$46&gt;'融资租赁与资金缺口'!$F$11,BD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D$46=EDATE('融资租赁与资金缺口'!$F$11,$A17),'融资租赁与资金缺口'!$J$11,0),0),IF(AND(BD$46&gt;'融资租赁与资金缺口'!$F$12,BD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D$46=EDATE('融资租赁与资金缺口'!$F$12,$A17),'融资租赁与资金缺口'!$J$12,0),0),IF(AND(BD$46&gt;'融资租赁与资金缺口'!$F$13,BD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D$46=EDATE('融资租赁与资金缺口'!$F$13,$A17),'融资租赁与资金缺口'!$J$13,0),0),IF(AND(BD$46&gt;'融资租赁与资金缺口'!$F$14,BD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D$46=EDATE('融资租赁与资金缺口'!$F$14,$A17),'融资租赁与资金缺口'!$J$14,0),0),IF(AND(BD$46&gt;'融资租赁与资金缺口'!$F$15,BD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D$46=EDATE('融资租赁与资金缺口'!$F$15,$A17),'融资租赁与资金缺口'!$J$15,0),0),IF(AND(BD$46&gt;'融资租赁与资金缺口'!$F$16,BD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D$46=EDATE('融资租赁与资金缺口'!$F$16,$A17),'融资租赁与资金缺口'!$J$16,0),0))</x:f>
        <x:v>16891016.88164358</x:v>
      </x:c>
      <x:c r="BE57" s="28" t="n">
        <x:f>SUM(IF(AND(BE$46&gt;'融资租赁与资金缺口'!$F$5,BE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E$46=EDATE('融资租赁与资金缺口'!$F$5,$A17),'融资租赁与资金缺口'!$J$5,0),0),IF(AND(BE$46&gt;'融资租赁与资金缺口'!$F$6,BE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E$46=EDATE('融资租赁与资金缺口'!$F$6,$A17),'融资租赁与资金缺口'!$J$6,0),0),IF(AND(BE$46&gt;'融资租赁与资金缺口'!$F$7,BE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E$46=EDATE('融资租赁与资金缺口'!$F$7,$A17),'融资租赁与资金缺口'!$J$7,0),0),IF(AND(BE$46&gt;'融资租赁与资金缺口'!$F$8,BE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E$46=EDATE('融资租赁与资金缺口'!$F$8,$A17),'融资租赁与资金缺口'!$J$8,0),0),IF(AND(BE$46&gt;'融资租赁与资金缺口'!$F$9,BE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E$46=EDATE('融资租赁与资金缺口'!$F$9,$A17),'融资租赁与资金缺口'!$J$9,0),0),IF(AND(BE$46&gt;'融资租赁与资金缺口'!$F$10,BE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E$46=EDATE('融资租赁与资金缺口'!$F$10,$A17),'融资租赁与资金缺口'!$J$10,0),0),IF(AND(BE$46&gt;'融资租赁与资金缺口'!$F$11,BE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E$46=EDATE('融资租赁与资金缺口'!$F$11,$A17),'融资租赁与资金缺口'!$J$11,0),0),IF(AND(BE$46&gt;'融资租赁与资金缺口'!$F$12,BE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E$46=EDATE('融资租赁与资金缺口'!$F$12,$A17),'融资租赁与资金缺口'!$J$12,0),0),IF(AND(BE$46&gt;'融资租赁与资金缺口'!$F$13,BE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E$46=EDATE('融资租赁与资金缺口'!$F$13,$A17),'融资租赁与资金缺口'!$J$13,0),0),IF(AND(BE$46&gt;'融资租赁与资金缺口'!$F$14,BE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E$46=EDATE('融资租赁与资金缺口'!$F$14,$A17),'融资租赁与资金缺口'!$J$14,0),0),IF(AND(BE$46&gt;'融资租赁与资金缺口'!$F$15,BE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E$46=EDATE('融资租赁与资金缺口'!$F$15,$A17),'融资租赁与资金缺口'!$J$15,0),0),IF(AND(BE$46&gt;'融资租赁与资金缺口'!$F$16,BE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E$46=EDATE('融资租赁与资金缺口'!$F$16,$A17),'融资租赁与资金缺口'!$J$16,0),0))</x:f>
        <x:v>16891016.88164358</x:v>
      </x:c>
      <x:c r="BF57" s="28" t="n">
        <x:f>SUM(IF(AND(BF$46&gt;'融资租赁与资金缺口'!$F$5,BF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F$46=EDATE('融资租赁与资金缺口'!$F$5,$A17),'融资租赁与资金缺口'!$J$5,0),0),IF(AND(BF$46&gt;'融资租赁与资金缺口'!$F$6,BF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F$46=EDATE('融资租赁与资金缺口'!$F$6,$A17),'融资租赁与资金缺口'!$J$6,0),0),IF(AND(BF$46&gt;'融资租赁与资金缺口'!$F$7,BF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F$46=EDATE('融资租赁与资金缺口'!$F$7,$A17),'融资租赁与资金缺口'!$J$7,0),0),IF(AND(BF$46&gt;'融资租赁与资金缺口'!$F$8,BF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F$46=EDATE('融资租赁与资金缺口'!$F$8,$A17),'融资租赁与资金缺口'!$J$8,0),0),IF(AND(BF$46&gt;'融资租赁与资金缺口'!$F$9,BF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F$46=EDATE('融资租赁与资金缺口'!$F$9,$A17),'融资租赁与资金缺口'!$J$9,0),0),IF(AND(BF$46&gt;'融资租赁与资金缺口'!$F$10,BF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F$46=EDATE('融资租赁与资金缺口'!$F$10,$A17),'融资租赁与资金缺口'!$J$10,0),0),IF(AND(BF$46&gt;'融资租赁与资金缺口'!$F$11,BF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F$46=EDATE('融资租赁与资金缺口'!$F$11,$A17),'融资租赁与资金缺口'!$J$11,0),0),IF(AND(BF$46&gt;'融资租赁与资金缺口'!$F$12,BF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F$46=EDATE('融资租赁与资金缺口'!$F$12,$A17),'融资租赁与资金缺口'!$J$12,0),0),IF(AND(BF$46&gt;'融资租赁与资金缺口'!$F$13,BF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F$46=EDATE('融资租赁与资金缺口'!$F$13,$A17),'融资租赁与资金缺口'!$J$13,0),0),IF(AND(BF$46&gt;'融资租赁与资金缺口'!$F$14,BF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F$46=EDATE('融资租赁与资金缺口'!$F$14,$A17),'融资租赁与资金缺口'!$J$14,0),0),IF(AND(BF$46&gt;'融资租赁与资金缺口'!$F$15,BF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F$46=EDATE('融资租赁与资金缺口'!$F$15,$A17),'融资租赁与资金缺口'!$J$15,0),0),IF(AND(BF$46&gt;'融资租赁与资金缺口'!$F$16,BF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F$46=EDATE('融资租赁与资金缺口'!$F$16,$A17),'融资租赁与资金缺口'!$J$16,0),0))</x:f>
        <x:v>16891016.88164358</x:v>
      </x:c>
      <x:c r="BG57" s="28" t="n">
        <x:f>SUM(IF(AND(BG$46&gt;'融资租赁与资金缺口'!$F$5,BG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G$46=EDATE('融资租赁与资金缺口'!$F$5,$A17),'融资租赁与资金缺口'!$J$5,0),0),IF(AND(BG$46&gt;'融资租赁与资金缺口'!$F$6,BG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G$46=EDATE('融资租赁与资金缺口'!$F$6,$A17),'融资租赁与资金缺口'!$J$6,0),0),IF(AND(BG$46&gt;'融资租赁与资金缺口'!$F$7,BG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G$46=EDATE('融资租赁与资金缺口'!$F$7,$A17),'融资租赁与资金缺口'!$J$7,0),0),IF(AND(BG$46&gt;'融资租赁与资金缺口'!$F$8,BG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G$46=EDATE('融资租赁与资金缺口'!$F$8,$A17),'融资租赁与资金缺口'!$J$8,0),0),IF(AND(BG$46&gt;'融资租赁与资金缺口'!$F$9,BG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G$46=EDATE('融资租赁与资金缺口'!$F$9,$A17),'融资租赁与资金缺口'!$J$9,0),0),IF(AND(BG$46&gt;'融资租赁与资金缺口'!$F$10,BG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G$46=EDATE('融资租赁与资金缺口'!$F$10,$A17),'融资租赁与资金缺口'!$J$10,0),0),IF(AND(BG$46&gt;'融资租赁与资金缺口'!$F$11,BG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G$46=EDATE('融资租赁与资金缺口'!$F$11,$A17),'融资租赁与资金缺口'!$J$11,0),0),IF(AND(BG$46&gt;'融资租赁与资金缺口'!$F$12,BG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G$46=EDATE('融资租赁与资金缺口'!$F$12,$A17),'融资租赁与资金缺口'!$J$12,0),0),IF(AND(BG$46&gt;'融资租赁与资金缺口'!$F$13,BG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G$46=EDATE('融资租赁与资金缺口'!$F$13,$A17),'融资租赁与资金缺口'!$J$13,0),0),IF(AND(BG$46&gt;'融资租赁与资金缺口'!$F$14,BG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G$46=EDATE('融资租赁与资金缺口'!$F$14,$A17),'融资租赁与资金缺口'!$J$14,0),0),IF(AND(BG$46&gt;'融资租赁与资金缺口'!$F$15,BG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G$46=EDATE('融资租赁与资金缺口'!$F$15,$A17),'融资租赁与资金缺口'!$J$15,0),0),IF(AND(BG$46&gt;'融资租赁与资金缺口'!$F$16,BG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G$46=EDATE('融资租赁与资金缺口'!$F$16,$A17),'融资租赁与资金缺口'!$J$16,0),0))</x:f>
        <x:v>16891016.88164358</x:v>
      </x:c>
      <x:c r="BH57" s="28" t="n">
        <x:f>SUM(IF(AND(BH$46&gt;'融资租赁与资金缺口'!$F$5,BH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H$46=EDATE('融资租赁与资金缺口'!$F$5,$A17),'融资租赁与资金缺口'!$J$5,0),0),IF(AND(BH$46&gt;'融资租赁与资金缺口'!$F$6,BH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H$46=EDATE('融资租赁与资金缺口'!$F$6,$A17),'融资租赁与资金缺口'!$J$6,0),0),IF(AND(BH$46&gt;'融资租赁与资金缺口'!$F$7,BH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H$46=EDATE('融资租赁与资金缺口'!$F$7,$A17),'融资租赁与资金缺口'!$J$7,0),0),IF(AND(BH$46&gt;'融资租赁与资金缺口'!$F$8,BH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H$46=EDATE('融资租赁与资金缺口'!$F$8,$A17),'融资租赁与资金缺口'!$J$8,0),0),IF(AND(BH$46&gt;'融资租赁与资金缺口'!$F$9,BH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H$46=EDATE('融资租赁与资金缺口'!$F$9,$A17),'融资租赁与资金缺口'!$J$9,0),0),IF(AND(BH$46&gt;'融资租赁与资金缺口'!$F$10,BH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H$46=EDATE('融资租赁与资金缺口'!$F$10,$A17),'融资租赁与资金缺口'!$J$10,0),0),IF(AND(BH$46&gt;'融资租赁与资金缺口'!$F$11,BH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H$46=EDATE('融资租赁与资金缺口'!$F$11,$A17),'融资租赁与资金缺口'!$J$11,0),0),IF(AND(BH$46&gt;'融资租赁与资金缺口'!$F$12,BH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H$46=EDATE('融资租赁与资金缺口'!$F$12,$A17),'融资租赁与资金缺口'!$J$12,0),0),IF(AND(BH$46&gt;'融资租赁与资金缺口'!$F$13,BH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H$46=EDATE('融资租赁与资金缺口'!$F$13,$A17),'融资租赁与资金缺口'!$J$13,0),0),IF(AND(BH$46&gt;'融资租赁与资金缺口'!$F$14,BH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H$46=EDATE('融资租赁与资金缺口'!$F$14,$A17),'融资租赁与资金缺口'!$J$14,0),0),IF(AND(BH$46&gt;'融资租赁与资金缺口'!$F$15,BH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H$46=EDATE('融资租赁与资金缺口'!$F$15,$A17),'融资租赁与资金缺口'!$J$15,0),0),IF(AND(BH$46&gt;'融资租赁与资金缺口'!$F$16,BH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H$46=EDATE('融资租赁与资金缺口'!$F$16,$A17),'融资租赁与资金缺口'!$J$16,0),0))</x:f>
        <x:v>16891016.88164358</x:v>
      </x:c>
      <x:c r="BI57" s="28" t="n">
        <x:f>SUM(IF(AND(BI$46&gt;'融资租赁与资金缺口'!$F$5,BI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I$46=EDATE('融资租赁与资金缺口'!$F$5,$A17),'融资租赁与资金缺口'!$J$5,0),0),IF(AND(BI$46&gt;'融资租赁与资金缺口'!$F$6,BI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I$46=EDATE('融资租赁与资金缺口'!$F$6,$A17),'融资租赁与资金缺口'!$J$6,0),0),IF(AND(BI$46&gt;'融资租赁与资金缺口'!$F$7,BI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I$46=EDATE('融资租赁与资金缺口'!$F$7,$A17),'融资租赁与资金缺口'!$J$7,0),0),IF(AND(BI$46&gt;'融资租赁与资金缺口'!$F$8,BI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I$46=EDATE('融资租赁与资金缺口'!$F$8,$A17),'融资租赁与资金缺口'!$J$8,0),0),IF(AND(BI$46&gt;'融资租赁与资金缺口'!$F$9,BI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I$46=EDATE('融资租赁与资金缺口'!$F$9,$A17),'融资租赁与资金缺口'!$J$9,0),0),IF(AND(BI$46&gt;'融资租赁与资金缺口'!$F$10,BI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I$46=EDATE('融资租赁与资金缺口'!$F$10,$A17),'融资租赁与资金缺口'!$J$10,0),0),IF(AND(BI$46&gt;'融资租赁与资金缺口'!$F$11,BI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I$46=EDATE('融资租赁与资金缺口'!$F$11,$A17),'融资租赁与资金缺口'!$J$11,0),0),IF(AND(BI$46&gt;'融资租赁与资金缺口'!$F$12,BI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I$46=EDATE('融资租赁与资金缺口'!$F$12,$A17),'融资租赁与资金缺口'!$J$12,0),0),IF(AND(BI$46&gt;'融资租赁与资金缺口'!$F$13,BI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I$46=EDATE('融资租赁与资金缺口'!$F$13,$A17),'融资租赁与资金缺口'!$J$13,0),0),IF(AND(BI$46&gt;'融资租赁与资金缺口'!$F$14,BI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I$46=EDATE('融资租赁与资金缺口'!$F$14,$A17),'融资租赁与资金缺口'!$J$14,0),0),IF(AND(BI$46&gt;'融资租赁与资金缺口'!$F$15,BI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I$46=EDATE('融资租赁与资金缺口'!$F$15,$A17),'融资租赁与资金缺口'!$J$15,0),0),IF(AND(BI$46&gt;'融资租赁与资金缺口'!$F$16,BI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I$46=EDATE('融资租赁与资金缺口'!$F$16,$A17),'融资租赁与资金缺口'!$J$16,0),0))</x:f>
        <x:v>16891016.88164358</x:v>
      </x:c>
      <x:c r="BJ57" s="28" t="n">
        <x:f>SUM(IF(AND(BJ$46&gt;'融资租赁与资金缺口'!$F$5,BJ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J$46=EDATE('融资租赁与资金缺口'!$F$5,$A17),'融资租赁与资金缺口'!$J$5,0),0),IF(AND(BJ$46&gt;'融资租赁与资金缺口'!$F$6,BJ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J$46=EDATE('融资租赁与资金缺口'!$F$6,$A17),'融资租赁与资金缺口'!$J$6,0),0),IF(AND(BJ$46&gt;'融资租赁与资金缺口'!$F$7,BJ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J$46=EDATE('融资租赁与资金缺口'!$F$7,$A17),'融资租赁与资金缺口'!$J$7,0),0),IF(AND(BJ$46&gt;'融资租赁与资金缺口'!$F$8,BJ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J$46=EDATE('融资租赁与资金缺口'!$F$8,$A17),'融资租赁与资金缺口'!$J$8,0),0),IF(AND(BJ$46&gt;'融资租赁与资金缺口'!$F$9,BJ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J$46=EDATE('融资租赁与资金缺口'!$F$9,$A17),'融资租赁与资金缺口'!$J$9,0),0),IF(AND(BJ$46&gt;'融资租赁与资金缺口'!$F$10,BJ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J$46=EDATE('融资租赁与资金缺口'!$F$10,$A17),'融资租赁与资金缺口'!$J$10,0),0),IF(AND(BJ$46&gt;'融资租赁与资金缺口'!$F$11,BJ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J$46=EDATE('融资租赁与资金缺口'!$F$11,$A17),'融资租赁与资金缺口'!$J$11,0),0),IF(AND(BJ$46&gt;'融资租赁与资金缺口'!$F$12,BJ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J$46=EDATE('融资租赁与资金缺口'!$F$12,$A17),'融资租赁与资金缺口'!$J$12,0),0),IF(AND(BJ$46&gt;'融资租赁与资金缺口'!$F$13,BJ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J$46=EDATE('融资租赁与资金缺口'!$F$13,$A17),'融资租赁与资金缺口'!$J$13,0),0),IF(AND(BJ$46&gt;'融资租赁与资金缺口'!$F$14,BJ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J$46=EDATE('融资租赁与资金缺口'!$F$14,$A17),'融资租赁与资金缺口'!$J$14,0),0),IF(AND(BJ$46&gt;'融资租赁与资金缺口'!$F$15,BJ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J$46=EDATE('融资租赁与资金缺口'!$F$15,$A17),'融资租赁与资金缺口'!$J$15,0),0),IF(AND(BJ$46&gt;'融资租赁与资金缺口'!$F$16,BJ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J$46=EDATE('融资租赁与资金缺口'!$F$16,$A17),'融资租赁与资金缺口'!$J$16,0),0))</x:f>
        <x:v>16891016.88164358</x:v>
      </x:c>
      <x:c r="BK57" s="28" t="n">
        <x:f>SUM(IF(AND(BK$46&gt;'融资租赁与资金缺口'!$F$5,BK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K$46=EDATE('融资租赁与资金缺口'!$F$5,$A17),'融资租赁与资金缺口'!$J$5,0),0),IF(AND(BK$46&gt;'融资租赁与资金缺口'!$F$6,BK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K$46=EDATE('融资租赁与资金缺口'!$F$6,$A17),'融资租赁与资金缺口'!$J$6,0),0),IF(AND(BK$46&gt;'融资租赁与资金缺口'!$F$7,BK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K$46=EDATE('融资租赁与资金缺口'!$F$7,$A17),'融资租赁与资金缺口'!$J$7,0),0),IF(AND(BK$46&gt;'融资租赁与资金缺口'!$F$8,BK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K$46=EDATE('融资租赁与资金缺口'!$F$8,$A17),'融资租赁与资金缺口'!$J$8,0),0),IF(AND(BK$46&gt;'融资租赁与资金缺口'!$F$9,BK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K$46=EDATE('融资租赁与资金缺口'!$F$9,$A17),'融资租赁与资金缺口'!$J$9,0),0),IF(AND(BK$46&gt;'融资租赁与资金缺口'!$F$10,BK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K$46=EDATE('融资租赁与资金缺口'!$F$10,$A17),'融资租赁与资金缺口'!$J$10,0),0),IF(AND(BK$46&gt;'融资租赁与资金缺口'!$F$11,BK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K$46=EDATE('融资租赁与资金缺口'!$F$11,$A17),'融资租赁与资金缺口'!$J$11,0),0),IF(AND(BK$46&gt;'融资租赁与资金缺口'!$F$12,BK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K$46=EDATE('融资租赁与资金缺口'!$F$12,$A17),'融资租赁与资金缺口'!$J$12,0),0),IF(AND(BK$46&gt;'融资租赁与资金缺口'!$F$13,BK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K$46=EDATE('融资租赁与资金缺口'!$F$13,$A17),'融资租赁与资金缺口'!$J$13,0),0),IF(AND(BK$46&gt;'融资租赁与资金缺口'!$F$14,BK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K$46=EDATE('融资租赁与资金缺口'!$F$14,$A17),'融资租赁与资金缺口'!$J$14,0),0),IF(AND(BK$46&gt;'融资租赁与资金缺口'!$F$15,BK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K$46=EDATE('融资租赁与资金缺口'!$F$15,$A17),'融资租赁与资金缺口'!$J$15,0),0),IF(AND(BK$46&gt;'融资租赁与资金缺口'!$F$16,BK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K$46=EDATE('融资租赁与资金缺口'!$F$16,$A17),'融资租赁与资金缺口'!$J$16,0),0))</x:f>
        <x:v>16891016.88164358</x:v>
      </x:c>
      <x:c r="BL57" s="28" t="n">
        <x:f>SUM(IF(AND(BL$46&gt;'融资租赁与资金缺口'!$F$5,BL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L$46=EDATE('融资租赁与资金缺口'!$F$5,$A17),'融资租赁与资金缺口'!$J$5,0),0),IF(AND(BL$46&gt;'融资租赁与资金缺口'!$F$6,BL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L$46=EDATE('融资租赁与资金缺口'!$F$6,$A17),'融资租赁与资金缺口'!$J$6,0),0),IF(AND(BL$46&gt;'融资租赁与资金缺口'!$F$7,BL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L$46=EDATE('融资租赁与资金缺口'!$F$7,$A17),'融资租赁与资金缺口'!$J$7,0),0),IF(AND(BL$46&gt;'融资租赁与资金缺口'!$F$8,BL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L$46=EDATE('融资租赁与资金缺口'!$F$8,$A17),'融资租赁与资金缺口'!$J$8,0),0),IF(AND(BL$46&gt;'融资租赁与资金缺口'!$F$9,BL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L$46=EDATE('融资租赁与资金缺口'!$F$9,$A17),'融资租赁与资金缺口'!$J$9,0),0),IF(AND(BL$46&gt;'融资租赁与资金缺口'!$F$10,BL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L$46=EDATE('融资租赁与资金缺口'!$F$10,$A17),'融资租赁与资金缺口'!$J$10,0),0),IF(AND(BL$46&gt;'融资租赁与资金缺口'!$F$11,BL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L$46=EDATE('融资租赁与资金缺口'!$F$11,$A17),'融资租赁与资金缺口'!$J$11,0),0),IF(AND(BL$46&gt;'融资租赁与资金缺口'!$F$12,BL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L$46=EDATE('融资租赁与资金缺口'!$F$12,$A17),'融资租赁与资金缺口'!$J$12,0),0),IF(AND(BL$46&gt;'融资租赁与资金缺口'!$F$13,BL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L$46=EDATE('融资租赁与资金缺口'!$F$13,$A17),'融资租赁与资金缺口'!$J$13,0),0),IF(AND(BL$46&gt;'融资租赁与资金缺口'!$F$14,BL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L$46=EDATE('融资租赁与资金缺口'!$F$14,$A17),'融资租赁与资金缺口'!$J$14,0),0),IF(AND(BL$46&gt;'融资租赁与资金缺口'!$F$15,BL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L$46=EDATE('融资租赁与资金缺口'!$F$15,$A17),'融资租赁与资金缺口'!$J$15,0),0),IF(AND(BL$46&gt;'融资租赁与资金缺口'!$F$16,BL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L$46=EDATE('融资租赁与资金缺口'!$F$16,$A17),'融资租赁与资金缺口'!$J$16,0),0))</x:f>
        <x:v>16891016.88164358</x:v>
      </x:c>
      <x:c r="BM57" s="28" t="n">
        <x:f>SUM(IF(AND(BM$46&gt;'融资租赁与资金缺口'!$F$5,BM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M$46=EDATE('融资租赁与资金缺口'!$F$5,$A17),'融资租赁与资金缺口'!$J$5,0),0),IF(AND(BM$46&gt;'融资租赁与资金缺口'!$F$6,BM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M$46=EDATE('融资租赁与资金缺口'!$F$6,$A17),'融资租赁与资金缺口'!$J$6,0),0),IF(AND(BM$46&gt;'融资租赁与资金缺口'!$F$7,BM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M$46=EDATE('融资租赁与资金缺口'!$F$7,$A17),'融资租赁与资金缺口'!$J$7,0),0),IF(AND(BM$46&gt;'融资租赁与资金缺口'!$F$8,BM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M$46=EDATE('融资租赁与资金缺口'!$F$8,$A17),'融资租赁与资金缺口'!$J$8,0),0),IF(AND(BM$46&gt;'融资租赁与资金缺口'!$F$9,BM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M$46=EDATE('融资租赁与资金缺口'!$F$9,$A17),'融资租赁与资金缺口'!$J$9,0),0),IF(AND(BM$46&gt;'融资租赁与资金缺口'!$F$10,BM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M$46=EDATE('融资租赁与资金缺口'!$F$10,$A17),'融资租赁与资金缺口'!$J$10,0),0),IF(AND(BM$46&gt;'融资租赁与资金缺口'!$F$11,BM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M$46=EDATE('融资租赁与资金缺口'!$F$11,$A17),'融资租赁与资金缺口'!$J$11,0),0),IF(AND(BM$46&gt;'融资租赁与资金缺口'!$F$12,BM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M$46=EDATE('融资租赁与资金缺口'!$F$12,$A17),'融资租赁与资金缺口'!$J$12,0),0),IF(AND(BM$46&gt;'融资租赁与资金缺口'!$F$13,BM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M$46=EDATE('融资租赁与资金缺口'!$F$13,$A17),'融资租赁与资金缺口'!$J$13,0),0),IF(AND(BM$46&gt;'融资租赁与资金缺口'!$F$14,BM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M$46=EDATE('融资租赁与资金缺口'!$F$14,$A17),'融资租赁与资金缺口'!$J$14,0),0),IF(AND(BM$46&gt;'融资租赁与资金缺口'!$F$15,BM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M$46=EDATE('融资租赁与资金缺口'!$F$15,$A17),'融资租赁与资金缺口'!$J$15,0),0),IF(AND(BM$46&gt;'融资租赁与资金缺口'!$F$16,BM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M$46=EDATE('融资租赁与资金缺口'!$F$16,$A17),'融资租赁与资金缺口'!$J$16,0),0))</x:f>
        <x:v>16891016.88164358</x:v>
      </x:c>
      <x:c r="BN57" s="28" t="n">
        <x:f>SUM(IF(AND(BN$46&gt;'融资租赁与资金缺口'!$F$5,BN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N$46=EDATE('融资租赁与资金缺口'!$F$5,$A17),'融资租赁与资金缺口'!$J$5,0),0),IF(AND(BN$46&gt;'融资租赁与资金缺口'!$F$6,BN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N$46=EDATE('融资租赁与资金缺口'!$F$6,$A17),'融资租赁与资金缺口'!$J$6,0),0),IF(AND(BN$46&gt;'融资租赁与资金缺口'!$F$7,BN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N$46=EDATE('融资租赁与资金缺口'!$F$7,$A17),'融资租赁与资金缺口'!$J$7,0),0),IF(AND(BN$46&gt;'融资租赁与资金缺口'!$F$8,BN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N$46=EDATE('融资租赁与资金缺口'!$F$8,$A17),'融资租赁与资金缺口'!$J$8,0),0),IF(AND(BN$46&gt;'融资租赁与资金缺口'!$F$9,BN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N$46=EDATE('融资租赁与资金缺口'!$F$9,$A17),'融资租赁与资金缺口'!$J$9,0),0),IF(AND(BN$46&gt;'融资租赁与资金缺口'!$F$10,BN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N$46=EDATE('融资租赁与资金缺口'!$F$10,$A17),'融资租赁与资金缺口'!$J$10,0),0),IF(AND(BN$46&gt;'融资租赁与资金缺口'!$F$11,BN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N$46=EDATE('融资租赁与资金缺口'!$F$11,$A17),'融资租赁与资金缺口'!$J$11,0),0),IF(AND(BN$46&gt;'融资租赁与资金缺口'!$F$12,BN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N$46=EDATE('融资租赁与资金缺口'!$F$12,$A17),'融资租赁与资金缺口'!$J$12,0),0),IF(AND(BN$46&gt;'融资租赁与资金缺口'!$F$13,BN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N$46=EDATE('融资租赁与资金缺口'!$F$13,$A17),'融资租赁与资金缺口'!$J$13,0),0),IF(AND(BN$46&gt;'融资租赁与资金缺口'!$F$14,BN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N$46=EDATE('融资租赁与资金缺口'!$F$14,$A17),'融资租赁与资金缺口'!$J$14,0),0),IF(AND(BN$46&gt;'融资租赁与资金缺口'!$F$15,BN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N$46=EDATE('融资租赁与资金缺口'!$F$15,$A17),'融资租赁与资金缺口'!$J$15,0),0),IF(AND(BN$46&gt;'融资租赁与资金缺口'!$F$16,BN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N$46=EDATE('融资租赁与资金缺口'!$F$16,$A17),'融资租赁与资金缺口'!$J$16,0),0))</x:f>
        <x:v>16891016.88164358</x:v>
      </x:c>
      <x:c r="BO57" s="28" t="n">
        <x:f>SUM(IF(AND(BO$46&gt;'融资租赁与资金缺口'!$F$5,BO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O$46=EDATE('融资租赁与资金缺口'!$F$5,$A17),'融资租赁与资金缺口'!$J$5,0),0),IF(AND(BO$46&gt;'融资租赁与资金缺口'!$F$6,BO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O$46=EDATE('融资租赁与资金缺口'!$F$6,$A17),'融资租赁与资金缺口'!$J$6,0),0),IF(AND(BO$46&gt;'融资租赁与资金缺口'!$F$7,BO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O$46=EDATE('融资租赁与资金缺口'!$F$7,$A17),'融资租赁与资金缺口'!$J$7,0),0),IF(AND(BO$46&gt;'融资租赁与资金缺口'!$F$8,BO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O$46=EDATE('融资租赁与资金缺口'!$F$8,$A17),'融资租赁与资金缺口'!$J$8,0),0),IF(AND(BO$46&gt;'融资租赁与资金缺口'!$F$9,BO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O$46=EDATE('融资租赁与资金缺口'!$F$9,$A17),'融资租赁与资金缺口'!$J$9,0),0),IF(AND(BO$46&gt;'融资租赁与资金缺口'!$F$10,BO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O$46=EDATE('融资租赁与资金缺口'!$F$10,$A17),'融资租赁与资金缺口'!$J$10,0),0),IF(AND(BO$46&gt;'融资租赁与资金缺口'!$F$11,BO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O$46=EDATE('融资租赁与资金缺口'!$F$11,$A17),'融资租赁与资金缺口'!$J$11,0),0),IF(AND(BO$46&gt;'融资租赁与资金缺口'!$F$12,BO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O$46=EDATE('融资租赁与资金缺口'!$F$12,$A17),'融资租赁与资金缺口'!$J$12,0),0),IF(AND(BO$46&gt;'融资租赁与资金缺口'!$F$13,BO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O$46=EDATE('融资租赁与资金缺口'!$F$13,$A17),'融资租赁与资金缺口'!$J$13,0),0),IF(AND(BO$46&gt;'融资租赁与资金缺口'!$F$14,BO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O$46=EDATE('融资租赁与资金缺口'!$F$14,$A17),'融资租赁与资金缺口'!$J$14,0),0),IF(AND(BO$46&gt;'融资租赁与资金缺口'!$F$15,BO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O$46=EDATE('融资租赁与资金缺口'!$F$15,$A17),'融资租赁与资金缺口'!$J$15,0),0),IF(AND(BO$46&gt;'融资租赁与资金缺口'!$F$16,BO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O$46=EDATE('融资租赁与资金缺口'!$F$16,$A17),'融资租赁与资金缺口'!$J$16,0),0))</x:f>
        <x:v>16891016.88164358</x:v>
      </x:c>
      <x:c r="BP57" s="28" t="n">
        <x:f>SUM(IF(AND(BP$46&gt;'融资租赁与资金缺口'!$F$5,BP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P$46=EDATE('融资租赁与资金缺口'!$F$5,$A17),'融资租赁与资金缺口'!$J$5,0),0),IF(AND(BP$46&gt;'融资租赁与资金缺口'!$F$6,BP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P$46=EDATE('融资租赁与资金缺口'!$F$6,$A17),'融资租赁与资金缺口'!$J$6,0),0),IF(AND(BP$46&gt;'融资租赁与资金缺口'!$F$7,BP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P$46=EDATE('融资租赁与资金缺口'!$F$7,$A17),'融资租赁与资金缺口'!$J$7,0),0),IF(AND(BP$46&gt;'融资租赁与资金缺口'!$F$8,BP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P$46=EDATE('融资租赁与资金缺口'!$F$8,$A17),'融资租赁与资金缺口'!$J$8,0),0),IF(AND(BP$46&gt;'融资租赁与资金缺口'!$F$9,BP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P$46=EDATE('融资租赁与资金缺口'!$F$9,$A17),'融资租赁与资金缺口'!$J$9,0),0),IF(AND(BP$46&gt;'融资租赁与资金缺口'!$F$10,BP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P$46=EDATE('融资租赁与资金缺口'!$F$10,$A17),'融资租赁与资金缺口'!$J$10,0),0),IF(AND(BP$46&gt;'融资租赁与资金缺口'!$F$11,BP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P$46=EDATE('融资租赁与资金缺口'!$F$11,$A17),'融资租赁与资金缺口'!$J$11,0),0),IF(AND(BP$46&gt;'融资租赁与资金缺口'!$F$12,BP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P$46=EDATE('融资租赁与资金缺口'!$F$12,$A17),'融资租赁与资金缺口'!$J$12,0),0),IF(AND(BP$46&gt;'融资租赁与资金缺口'!$F$13,BP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P$46=EDATE('融资租赁与资金缺口'!$F$13,$A17),'融资租赁与资金缺口'!$J$13,0),0),IF(AND(BP$46&gt;'融资租赁与资金缺口'!$F$14,BP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P$46=EDATE('融资租赁与资金缺口'!$F$14,$A17),'融资租赁与资金缺口'!$J$14,0),0),IF(AND(BP$46&gt;'融资租赁与资金缺口'!$F$15,BP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P$46=EDATE('融资租赁与资金缺口'!$F$15,$A17),'融资租赁与资金缺口'!$J$15,0),0),IF(AND(BP$46&gt;'融资租赁与资金缺口'!$F$16,BP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P$46=EDATE('融资租赁与资金缺口'!$F$16,$A17),'融资租赁与资金缺口'!$J$16,0),0))</x:f>
        <x:v>16891016.88164358</x:v>
      </x:c>
      <x:c r="BQ57" s="28" t="n">
        <x:f>SUM(IF(AND(BQ$46&gt;'融资租赁与资金缺口'!$F$5,BQ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Q$46=EDATE('融资租赁与资金缺口'!$F$5,$A17),'融资租赁与资金缺口'!$J$5,0),0),IF(AND(BQ$46&gt;'融资租赁与资金缺口'!$F$6,BQ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Q$46=EDATE('融资租赁与资金缺口'!$F$6,$A17),'融资租赁与资金缺口'!$J$6,0),0),IF(AND(BQ$46&gt;'融资租赁与资金缺口'!$F$7,BQ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Q$46=EDATE('融资租赁与资金缺口'!$F$7,$A17),'融资租赁与资金缺口'!$J$7,0),0),IF(AND(BQ$46&gt;'融资租赁与资金缺口'!$F$8,BQ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Q$46=EDATE('融资租赁与资金缺口'!$F$8,$A17),'融资租赁与资金缺口'!$J$8,0),0),IF(AND(BQ$46&gt;'融资租赁与资金缺口'!$F$9,BQ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Q$46=EDATE('融资租赁与资金缺口'!$F$9,$A17),'融资租赁与资金缺口'!$J$9,0),0),IF(AND(BQ$46&gt;'融资租赁与资金缺口'!$F$10,BQ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Q$46=EDATE('融资租赁与资金缺口'!$F$10,$A17),'融资租赁与资金缺口'!$J$10,0),0),IF(AND(BQ$46&gt;'融资租赁与资金缺口'!$F$11,BQ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Q$46=EDATE('融资租赁与资金缺口'!$F$11,$A17),'融资租赁与资金缺口'!$J$11,0),0),IF(AND(BQ$46&gt;'融资租赁与资金缺口'!$F$12,BQ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Q$46=EDATE('融资租赁与资金缺口'!$F$12,$A17),'融资租赁与资金缺口'!$J$12,0),0),IF(AND(BQ$46&gt;'融资租赁与资金缺口'!$F$13,BQ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Q$46=EDATE('融资租赁与资金缺口'!$F$13,$A17),'融资租赁与资金缺口'!$J$13,0),0),IF(AND(BQ$46&gt;'融资租赁与资金缺口'!$F$14,BQ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Q$46=EDATE('融资租赁与资金缺口'!$F$14,$A17),'融资租赁与资金缺口'!$J$14,0),0),IF(AND(BQ$46&gt;'融资租赁与资金缺口'!$F$15,BQ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Q$46=EDATE('融资租赁与资金缺口'!$F$15,$A17),'融资租赁与资金缺口'!$J$15,0),0),IF(AND(BQ$46&gt;'融资租赁与资金缺口'!$F$16,BQ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Q$46=EDATE('融资租赁与资金缺口'!$F$16,$A17),'融资租赁与资金缺口'!$J$16,0),0))</x:f>
        <x:v>17120936.88164358</x:v>
      </x:c>
      <x:c r="BR57" s="28" t="n">
        <x:f>SUM(IF(AND(BR$46&gt;'融资租赁与资金缺口'!$F$5,BR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R$46=EDATE('融资租赁与资金缺口'!$F$5,$A17),'融资租赁与资金缺口'!$J$5,0),0),IF(AND(BR$46&gt;'融资租赁与资金缺口'!$F$6,BR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R$46=EDATE('融资租赁与资金缺口'!$F$6,$A17),'融资租赁与资金缺口'!$J$6,0),0),IF(AND(BR$46&gt;'融资租赁与资金缺口'!$F$7,BR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R$46=EDATE('融资租赁与资金缺口'!$F$7,$A17),'融资租赁与资金缺口'!$J$7,0),0),IF(AND(BR$46&gt;'融资租赁与资金缺口'!$F$8,BR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R$46=EDATE('融资租赁与资金缺口'!$F$8,$A17),'融资租赁与资金缺口'!$J$8,0),0),IF(AND(BR$46&gt;'融资租赁与资金缺口'!$F$9,BR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R$46=EDATE('融资租赁与资金缺口'!$F$9,$A17),'融资租赁与资金缺口'!$J$9,0),0),IF(AND(BR$46&gt;'融资租赁与资金缺口'!$F$10,BR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R$46=EDATE('融资租赁与资金缺口'!$F$10,$A17),'融资租赁与资金缺口'!$J$10,0),0),IF(AND(BR$46&gt;'融资租赁与资金缺口'!$F$11,BR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R$46=EDATE('融资租赁与资金缺口'!$F$11,$A17),'融资租赁与资金缺口'!$J$11,0),0),IF(AND(BR$46&gt;'融资租赁与资金缺口'!$F$12,BR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R$46=EDATE('融资租赁与资金缺口'!$F$12,$A17),'融资租赁与资金缺口'!$J$12,0),0),IF(AND(BR$46&gt;'融资租赁与资金缺口'!$F$13,BR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R$46=EDATE('融资租赁与资金缺口'!$F$13,$A17),'融资租赁与资金缺口'!$J$13,0),0),IF(AND(BR$46&gt;'融资租赁与资金缺口'!$F$14,BR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R$46=EDATE('融资租赁与资金缺口'!$F$14,$A17),'融资租赁与资金缺口'!$J$14,0),0),IF(AND(BR$46&gt;'融资租赁与资金缺口'!$F$15,BR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R$46=EDATE('融资租赁与资金缺口'!$F$15,$A17),'融资租赁与资金缺口'!$J$15,0),0),IF(AND(BR$46&gt;'融资租赁与资金缺口'!$F$16,BR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R$46=EDATE('融资租赁与资金缺口'!$F$16,$A17),'融资租赁与资金缺口'!$J$16,0),0))</x:f>
        <x:v>16451873.22410125</x:v>
      </x:c>
      <x:c r="BS57" s="28" t="n">
        <x:f>SUM(IF(AND(BS$46&gt;'融资租赁与资金缺口'!$F$5,BS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S$46=EDATE('融资租赁与资金缺口'!$F$5,$A17),'融资租赁与资金缺口'!$J$5,0),0),IF(AND(BS$46&gt;'融资租赁与资金缺口'!$F$6,BS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S$46=EDATE('融资租赁与资金缺口'!$F$6,$A17),'融资租赁与资金缺口'!$J$6,0),0),IF(AND(BS$46&gt;'融资租赁与资金缺口'!$F$7,BS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S$46=EDATE('融资租赁与资金缺口'!$F$7,$A17),'融资租赁与资金缺口'!$J$7,0),0),IF(AND(BS$46&gt;'融资租赁与资金缺口'!$F$8,BS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S$46=EDATE('融资租赁与资金缺口'!$F$8,$A17),'融资租赁与资金缺口'!$J$8,0),0),IF(AND(BS$46&gt;'融资租赁与资金缺口'!$F$9,BS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S$46=EDATE('融资租赁与资金缺口'!$F$9,$A17),'融资租赁与资金缺口'!$J$9,0),0),IF(AND(BS$46&gt;'融资租赁与资金缺口'!$F$10,BS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S$46=EDATE('融资租赁与资金缺口'!$F$10,$A17),'融资租赁与资金缺口'!$J$10,0),0),IF(AND(BS$46&gt;'融资租赁与资金缺口'!$F$11,BS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S$46=EDATE('融资租赁与资金缺口'!$F$11,$A17),'融资租赁与资金缺口'!$J$11,0),0),IF(AND(BS$46&gt;'融资租赁与资金缺口'!$F$12,BS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S$46=EDATE('融资租赁与资金缺口'!$F$12,$A17),'融资租赁与资金缺口'!$J$12,0),0),IF(AND(BS$46&gt;'融资租赁与资金缺口'!$F$13,BS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S$46=EDATE('融资租赁与资金缺口'!$F$13,$A17),'融资租赁与资金缺口'!$J$13,0),0),IF(AND(BS$46&gt;'融资租赁与资金缺口'!$F$14,BS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S$46=EDATE('融资租赁与资金缺口'!$F$14,$A17),'融资租赁与资金缺口'!$J$14,0),0),IF(AND(BS$46&gt;'融资租赁与资金缺口'!$F$15,BS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S$46=EDATE('融资租赁与资金缺口'!$F$15,$A17),'融资租赁与资金缺口'!$J$15,0),0),IF(AND(BS$46&gt;'融资租赁与资金缺口'!$F$16,BS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S$46=EDATE('融资租赁与资金缺口'!$F$16,$A17),'融资租赁与资金缺口'!$J$16,0),0))</x:f>
        <x:v>15640184.333292726</x:v>
      </x:c>
      <x:c r="BT57" s="28" t="n">
        <x:f>SUM(IF(AND(BT$46&gt;'融资租赁与资金缺口'!$F$5,BT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T$46=EDATE('融资租赁与资金缺口'!$F$5,$A17),'融资租赁与资金缺口'!$J$5,0),0),IF(AND(BT$46&gt;'融资租赁与资金缺口'!$F$6,BT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T$46=EDATE('融资租赁与资金缺口'!$F$6,$A17),'融资租赁与资金缺口'!$J$6,0),0),IF(AND(BT$46&gt;'融资租赁与资金缺口'!$F$7,BT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T$46=EDATE('融资租赁与资金缺口'!$F$7,$A17),'融资租赁与资金缺口'!$J$7,0),0),IF(AND(BT$46&gt;'融资租赁与资金缺口'!$F$8,BT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T$46=EDATE('融资租赁与资金缺口'!$F$8,$A17),'融资租赁与资金缺口'!$J$8,0),0),IF(AND(BT$46&gt;'融资租赁与资金缺口'!$F$9,BT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T$46=EDATE('融资租赁与资金缺口'!$F$9,$A17),'融资租赁与资金缺口'!$J$9,0),0),IF(AND(BT$46&gt;'融资租赁与资金缺口'!$F$10,BT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T$46=EDATE('融资租赁与资金缺口'!$F$10,$A17),'融资租赁与资金缺口'!$J$10,0),0),IF(AND(BT$46&gt;'融资租赁与资金缺口'!$F$11,BT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T$46=EDATE('融资租赁与资金缺口'!$F$11,$A17),'融资租赁与资金缺口'!$J$11,0),0),IF(AND(BT$46&gt;'融资租赁与资金缺口'!$F$12,BT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T$46=EDATE('融资租赁与资金缺口'!$F$12,$A17),'融资租赁与资金缺口'!$J$12,0),0),IF(AND(BT$46&gt;'融资租赁与资金缺口'!$F$13,BT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T$46=EDATE('融资租赁与资金缺口'!$F$13,$A17),'融资租赁与资金缺口'!$J$13,0),0),IF(AND(BT$46&gt;'融资租赁与资金缺口'!$F$14,BT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T$46=EDATE('融资租赁与资金缺口'!$F$14,$A17),'融资租赁与资金缺口'!$J$14,0),0),IF(AND(BT$46&gt;'融资租赁与资金缺口'!$F$15,BT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T$46=EDATE('融资租赁与资金缺口'!$F$15,$A17),'融资租赁与资金缺口'!$J$15,0),0),IF(AND(BT$46&gt;'融资租赁与资金缺口'!$F$16,BT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T$46=EDATE('融资租赁与资金缺口'!$F$16,$A17),'融资租赁与资金缺口'!$J$16,0),0))</x:f>
        <x:v>14687862.706288487</x:v>
      </x:c>
      <x:c r="BU57" s="28" t="n">
        <x:f>SUM(IF(AND(BU$46&gt;'融资租赁与资金缺口'!$F$5,BU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U$46=EDATE('融资租赁与资金缺口'!$F$5,$A17),'融资租赁与资金缺口'!$J$5,0),0),IF(AND(BU$46&gt;'融资租赁与资金缺口'!$F$6,BU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U$46=EDATE('融资租赁与资金缺口'!$F$6,$A17),'融资租赁与资金缺口'!$J$6,0),0),IF(AND(BU$46&gt;'融资租赁与资金缺口'!$F$7,BU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U$46=EDATE('融资租赁与资金缺口'!$F$7,$A17),'融资租赁与资金缺口'!$J$7,0),0),IF(AND(BU$46&gt;'融资租赁与资金缺口'!$F$8,BU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U$46=EDATE('融资租赁与资金缺口'!$F$8,$A17),'融资租赁与资金缺口'!$J$8,0),0),IF(AND(BU$46&gt;'融资租赁与资金缺口'!$F$9,BU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U$46=EDATE('融资租赁与资金缺口'!$F$9,$A17),'融资租赁与资金缺口'!$J$9,0),0),IF(AND(BU$46&gt;'融资租赁与资金缺口'!$F$10,BU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U$46=EDATE('融资租赁与资金缺口'!$F$10,$A17),'融资租赁与资金缺口'!$J$10,0),0),IF(AND(BU$46&gt;'融资租赁与资金缺口'!$F$11,BU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U$46=EDATE('融资租赁与资金缺口'!$F$11,$A17),'融资租赁与资金缺口'!$J$11,0),0),IF(AND(BU$46&gt;'融资租赁与资金缺口'!$F$12,BU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U$46=EDATE('融资租赁与资金缺口'!$F$12,$A17),'融资租赁与资金缺口'!$J$12,0),0),IF(AND(BU$46&gt;'融资租赁与资金缺口'!$F$13,BU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U$46=EDATE('融资租赁与资金缺口'!$F$13,$A17),'融资租赁与资金缺口'!$J$13,0),0),IF(AND(BU$46&gt;'融资租赁与资金缺口'!$F$14,BU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U$46=EDATE('融资租赁与资金缺口'!$F$14,$A17),'融资租赁与资金缺口'!$J$14,0),0),IF(AND(BU$46&gt;'融资租赁与资金缺口'!$F$15,BU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U$46=EDATE('融资租赁与资金缺口'!$F$15,$A17),'融资租赁与资金缺口'!$J$15,0),0),IF(AND(BU$46&gt;'融资租赁与资金缺口'!$F$16,BU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U$46=EDATE('融资租赁与资金缺口'!$F$16,$A17),'融资租赁与资金缺口'!$J$16,0),0))</x:f>
        <x:v>13593305.846018061</x:v>
      </x:c>
      <x:c r="BV57" s="28" t="n">
        <x:f>SUM(IF(AND(BV$46&gt;'融资租赁与资金缺口'!$F$5,BV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V$46=EDATE('融资租赁与资金缺口'!$F$5,$A17),'融资租赁与资金缺口'!$J$5,0),0),IF(AND(BV$46&gt;'融资租赁与资金缺口'!$F$6,BV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V$46=EDATE('融资租赁与资金缺口'!$F$6,$A17),'融资租赁与资金缺口'!$J$6,0),0),IF(AND(BV$46&gt;'融资租赁与资金缺口'!$F$7,BV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V$46=EDATE('融资租赁与资金缺口'!$F$7,$A17),'融资租赁与资金缺口'!$J$7,0),0),IF(AND(BV$46&gt;'融资租赁与资金缺口'!$F$8,BV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V$46=EDATE('融资租赁与资金缺口'!$F$8,$A17),'融资租赁与资金缺口'!$J$8,0),0),IF(AND(BV$46&gt;'融资租赁与资金缺口'!$F$9,BV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V$46=EDATE('融资租赁与资金缺口'!$F$9,$A17),'融资租赁与资金缺口'!$J$9,0),0),IF(AND(BV$46&gt;'融资租赁与资金缺口'!$F$10,BV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V$46=EDATE('融资租赁与资金缺口'!$F$10,$A17),'融资租赁与资金缺口'!$J$10,0),0),IF(AND(BV$46&gt;'融资租赁与资金缺口'!$F$11,BV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V$46=EDATE('融资租赁与资金缺口'!$F$11,$A17),'融资租赁与资金缺口'!$J$11,0),0),IF(AND(BV$46&gt;'融资租赁与资金缺口'!$F$12,BV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V$46=EDATE('融资租赁与资金缺口'!$F$12,$A17),'融资租赁与资金缺口'!$J$12,0),0),IF(AND(BV$46&gt;'融资租赁与资金缺口'!$F$13,BV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V$46=EDATE('融资租赁与资金缺口'!$F$13,$A17),'融资租赁与资金缺口'!$J$13,0),0),IF(AND(BV$46&gt;'融资租赁与资金缺口'!$F$14,BV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V$46=EDATE('融资租赁与资金缺口'!$F$14,$A17),'融资租赁与资金缺口'!$J$14,0),0),IF(AND(BV$46&gt;'融资租赁与资金缺口'!$F$15,BV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V$46=EDATE('融资租赁与资金缺口'!$F$15,$A17),'融资租赁与资金缺口'!$J$15,0),0),IF(AND(BV$46&gt;'融资租赁与资金缺口'!$F$16,BV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V$46=EDATE('融资租赁与资金缺口'!$F$16,$A17),'融资租赁与资金缺口'!$J$16,0),0))</x:f>
        <x:v>12356513.752481446</x:v>
      </x:c>
      <x:c r="BW57" s="28" t="n">
        <x:f>SUM(IF(AND(BW$46&gt;'融资租赁与资金缺口'!$F$5,BW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W$46=EDATE('融资租赁与资金缺口'!$F$5,$A17),'融资租赁与资金缺口'!$J$5,0),0),IF(AND(BW$46&gt;'融资租赁与资金缺口'!$F$6,BW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W$46=EDATE('融资租赁与资金缺口'!$F$6,$A17),'融资租赁与资金缺口'!$J$6,0),0),IF(AND(BW$46&gt;'融资租赁与资金缺口'!$F$7,BW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W$46=EDATE('融资租赁与资金缺口'!$F$7,$A17),'融资租赁与资金缺口'!$J$7,0),0),IF(AND(BW$46&gt;'融资租赁与资金缺口'!$F$8,BW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W$46=EDATE('融资租赁与资金缺口'!$F$8,$A17),'融资租赁与资金缺口'!$J$8,0),0),IF(AND(BW$46&gt;'融资租赁与资金缺口'!$F$9,BW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W$46=EDATE('融资租赁与资金缺口'!$F$9,$A17),'融资租赁与资金缺口'!$J$9,0),0),IF(AND(BW$46&gt;'融资租赁与资金缺口'!$F$10,BW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W$46=EDATE('融资租赁与资金缺口'!$F$10,$A17),'融资租赁与资金缺口'!$J$10,0),0),IF(AND(BW$46&gt;'融资租赁与资金缺口'!$F$11,BW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W$46=EDATE('融资租赁与资金缺口'!$F$11,$A17),'融资租赁与资金缺口'!$J$11,0),0),IF(AND(BW$46&gt;'融资租赁与资金缺口'!$F$12,BW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W$46=EDATE('融资租赁与资金缺口'!$F$12,$A17),'融资租赁与资金缺口'!$J$12,0),0),IF(AND(BW$46&gt;'融资租赁与资金缺口'!$F$13,BW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W$46=EDATE('融资租赁与资金缺口'!$F$13,$A17),'融资租赁与资金缺口'!$J$13,0),0),IF(AND(BW$46&gt;'融资租赁与资金缺口'!$F$14,BW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W$46=EDATE('融资租赁与资金缺口'!$F$14,$A17),'融资租赁与资金缺口'!$J$14,0),0),IF(AND(BW$46&gt;'融资租赁与资金缺口'!$F$15,BW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W$46=EDATE('融资租赁与资金缺口'!$F$15,$A17),'融资租赁与资金缺口'!$J$15,0),0),IF(AND(BW$46&gt;'融资租赁与资金缺口'!$F$16,BW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W$46=EDATE('融资租赁与资金缺口'!$F$16,$A17),'融资租赁与资金缺口'!$J$16,0),0))</x:f>
        <x:v>10976706.425678644</x:v>
      </x:c>
      <x:c r="BX57" s="28" t="n">
        <x:f>SUM(IF(AND(BX$46&gt;'融资租赁与资金缺口'!$F$5,BX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X$46=EDATE('融资租赁与资金缺口'!$F$5,$A17),'融资租赁与资金缺口'!$J$5,0),0),IF(AND(BX$46&gt;'融资租赁与资金缺口'!$F$6,BX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X$46=EDATE('融资租赁与资金缺口'!$F$6,$A17),'融资租赁与资金缺口'!$J$6,0),0),IF(AND(BX$46&gt;'融资租赁与资金缺口'!$F$7,BX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X$46=EDATE('融资租赁与资金缺口'!$F$7,$A17),'融资租赁与资金缺口'!$J$7,0),0),IF(AND(BX$46&gt;'融资租赁与资金缺口'!$F$8,BX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X$46=EDATE('融资租赁与资金缺口'!$F$8,$A17),'融资租赁与资金缺口'!$J$8,0),0),IF(AND(BX$46&gt;'融资租赁与资金缺口'!$F$9,BX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X$46=EDATE('融资租赁与资金缺口'!$F$9,$A17),'融资租赁与资金缺口'!$J$9,0),0),IF(AND(BX$46&gt;'融资租赁与资金缺口'!$F$10,BX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X$46=EDATE('融资租赁与资金缺口'!$F$10,$A17),'融资租赁与资金缺口'!$J$10,0),0),IF(AND(BX$46&gt;'融资租赁与资金缺口'!$F$11,BX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X$46=EDATE('融资租赁与资金缺口'!$F$11,$A17),'融资租赁与资金缺口'!$J$11,0),0),IF(AND(BX$46&gt;'融资租赁与资金缺口'!$F$12,BX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X$46=EDATE('融资租赁与资金缺口'!$F$12,$A17),'融资租赁与资金缺口'!$J$12,0),0),IF(AND(BX$46&gt;'融资租赁与资金缺口'!$F$13,BX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X$46=EDATE('融资租赁与资金缺口'!$F$13,$A17),'融资租赁与资金缺口'!$J$13,0),0),IF(AND(BX$46&gt;'融资租赁与资金缺口'!$F$14,BX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X$46=EDATE('融资租赁与资金缺口'!$F$14,$A17),'融资租赁与资金缺口'!$J$14,0),0),IF(AND(BX$46&gt;'融资租赁与资金缺口'!$F$15,BX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X$46=EDATE('融资租赁与资金缺口'!$F$15,$A17),'融资租赁与资金缺口'!$J$15,0),0),IF(AND(BX$46&gt;'融资租赁与资金缺口'!$F$16,BX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X$46=EDATE('融资租赁与资金缺口'!$F$16,$A17),'融资租赁与资金缺口'!$J$16,0),0))</x:f>
        <x:v>9412118.859750587</x:v>
      </x:c>
      <x:c r="BY57" s="28" t="n">
        <x:f>SUM(IF(AND(BY$46&gt;'融资租赁与资金缺口'!$F$5,BY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Y$46=EDATE('融资租赁与资金缺口'!$F$5,$A17),'融资租赁与资金缺口'!$J$5,0),0),IF(AND(BY$46&gt;'融资租赁与资金缺口'!$F$6,BY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Y$46=EDATE('融资租赁与资金缺口'!$F$6,$A17),'融资租赁与资金缺口'!$J$6,0),0),IF(AND(BY$46&gt;'融资租赁与资金缺口'!$F$7,BY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Y$46=EDATE('融资租赁与资金缺口'!$F$7,$A17),'融资租赁与资金缺口'!$J$7,0),0),IF(AND(BY$46&gt;'融资租赁与资金缺口'!$F$8,BY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Y$46=EDATE('融资租赁与资金缺口'!$F$8,$A17),'融资租赁与资金缺口'!$J$8,0),0),IF(AND(BY$46&gt;'融资租赁与资金缺口'!$F$9,BY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Y$46=EDATE('融资租赁与资金缺口'!$F$9,$A17),'融资租赁与资金缺口'!$J$9,0),0),IF(AND(BY$46&gt;'融资租赁与资金缺口'!$F$10,BY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Y$46=EDATE('融资租赁与资金缺口'!$F$10,$A17),'融资租赁与资金缺口'!$J$10,0),0),IF(AND(BY$46&gt;'融资租赁与资金缺口'!$F$11,BY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Y$46=EDATE('融资租赁与资金缺口'!$F$11,$A17),'融资租赁与资金缺口'!$J$11,0),0),IF(AND(BY$46&gt;'融资租赁与资金缺口'!$F$12,BY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Y$46=EDATE('融资租赁与资金缺口'!$F$12,$A17),'融资租赁与资金缺口'!$J$12,0),0),IF(AND(BY$46&gt;'融资租赁与资金缺口'!$F$13,BY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Y$46=EDATE('融资租赁与资金缺口'!$F$13,$A17),'融资租赁与资金缺口'!$J$13,0),0),IF(AND(BY$46&gt;'融资租赁与资金缺口'!$F$14,BY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Y$46=EDATE('融资租赁与资金缺口'!$F$14,$A17),'融资租赁与资金缺口'!$J$14,0),0),IF(AND(BY$46&gt;'融资租赁与资金缺口'!$F$15,BY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Y$46=EDATE('融资租赁与资金缺口'!$F$15,$A17),'融资租赁与资金缺口'!$J$15,0),0),IF(AND(BY$46&gt;'融资租赁与资金缺口'!$F$16,BY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Y$46=EDATE('融资租赁与资金缺口'!$F$16,$A17),'融资租赁与资金缺口'!$J$16,0),0))</x:f>
        <x:v>7981571.2938225325</x:v>
      </x:c>
      <x:c r="BZ57" s="28" t="n">
        <x:f>SUM(IF(AND(BZ$46&gt;'融资租赁与资金缺口'!$F$5,BZ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BZ$46=EDATE('融资租赁与资金缺口'!$F$5,$A17),'融资租赁与资金缺口'!$J$5,0),0),IF(AND(BZ$46&gt;'融资租赁与资金缺口'!$F$6,BZ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BZ$46=EDATE('融资租赁与资金缺口'!$F$6,$A17),'融资租赁与资金缺口'!$J$6,0),0),IF(AND(BZ$46&gt;'融资租赁与资金缺口'!$F$7,BZ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BZ$46=EDATE('融资租赁与资金缺口'!$F$7,$A17),'融资租赁与资金缺口'!$J$7,0),0),IF(AND(BZ$46&gt;'融资租赁与资金缺口'!$F$8,BZ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BZ$46=EDATE('融资租赁与资金缺口'!$F$8,$A17),'融资租赁与资金缺口'!$J$8,0),0),IF(AND(BZ$46&gt;'融资租赁与资金缺口'!$F$9,BZ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BZ$46=EDATE('融资租赁与资金缺口'!$F$9,$A17),'融资租赁与资金缺口'!$J$9,0),0),IF(AND(BZ$46&gt;'融资租赁与资金缺口'!$F$10,BZ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BZ$46=EDATE('融资租赁与资金缺口'!$F$10,$A17),'融资租赁与资金缺口'!$J$10,0),0),IF(AND(BZ$46&gt;'融资租赁与资金缺口'!$F$11,BZ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BZ$46=EDATE('融资租赁与资金缺口'!$F$11,$A17),'融资租赁与资金缺口'!$J$11,0),0),IF(AND(BZ$46&gt;'融资租赁与资金缺口'!$F$12,BZ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BZ$46=EDATE('融资租赁与资金缺口'!$F$12,$A17),'融资租赁与资金缺口'!$J$12,0),0),IF(AND(BZ$46&gt;'融资租赁与资金缺口'!$F$13,BZ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BZ$46=EDATE('融资租赁与资金缺口'!$F$13,$A17),'融资租赁与资金缺口'!$J$13,0),0),IF(AND(BZ$46&gt;'融资租赁与资金缺口'!$F$14,BZ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BZ$46=EDATE('融资租赁与资金缺口'!$F$14,$A17),'融资租赁与资金缺口'!$J$14,0),0),IF(AND(BZ$46&gt;'融资租赁与资金缺口'!$F$15,BZ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BZ$46=EDATE('融资租赁与资金缺口'!$F$15,$A17),'融资租赁与资金缺口'!$J$15,0),0),IF(AND(BZ$46&gt;'融资租赁与资金缺口'!$F$16,BZ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BZ$46=EDATE('融资租赁与资金缺口'!$F$16,$A17),'融资租赁与资金缺口'!$J$16,0),0))</x:f>
        <x:v>6037967.811675902</x:v>
      </x:c>
      <x:c r="CA57" s="28" t="n">
        <x:f>SUM(IF(AND(CA$46&gt;'融资租赁与资金缺口'!$F$5,CA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CA$46=EDATE('融资租赁与资金缺口'!$F$5,$A17),'融资租赁与资金缺口'!$J$5,0),0),IF(AND(CA$46&gt;'融资租赁与资金缺口'!$F$6,CA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CA$46=EDATE('融资租赁与资金缺口'!$F$6,$A17),'融资租赁与资金缺口'!$J$6,0),0),IF(AND(CA$46&gt;'融资租赁与资金缺口'!$F$7,CA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CA$46=EDATE('融资租赁与资金缺口'!$F$7,$A17),'融资租赁与资金缺口'!$J$7,0),0),IF(AND(CA$46&gt;'融资租赁与资金缺口'!$F$8,CA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CA$46=EDATE('融资租赁与资金缺口'!$F$8,$A17),'融资租赁与资金缺口'!$J$8,0),0),IF(AND(CA$46&gt;'融资租赁与资金缺口'!$F$9,CA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CA$46=EDATE('融资租赁与资金缺口'!$F$9,$A17),'融资租赁与资金缺口'!$J$9,0),0),IF(AND(CA$46&gt;'融资租赁与资金缺口'!$F$10,CA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CA$46=EDATE('融资租赁与资金缺口'!$F$10,$A17),'融资租赁与资金缺口'!$J$10,0),0),IF(AND(CA$46&gt;'融资租赁与资金缺口'!$F$11,CA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CA$46=EDATE('融资租赁与资金缺口'!$F$11,$A17),'融资租赁与资金缺口'!$J$11,0),0),IF(AND(CA$46&gt;'融资租赁与资金缺口'!$F$12,CA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CA$46=EDATE('融资租赁与资金缺口'!$F$12,$A17),'融资租赁与资金缺口'!$J$12,0),0),IF(AND(CA$46&gt;'融资租赁与资金缺口'!$F$13,CA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CA$46=EDATE('融资租赁与资金缺口'!$F$13,$A17),'融资租赁与资金缺口'!$J$13,0),0),IF(AND(CA$46&gt;'融资租赁与资金缺口'!$F$14,CA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CA$46=EDATE('融资租赁与资金缺口'!$F$14,$A17),'融资租赁与资金缺口'!$J$14,0),0),IF(AND(CA$46&gt;'融资租赁与资金缺口'!$F$15,CA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CA$46=EDATE('融资租赁与资金缺口'!$F$15,$A17),'融资租赁与资金缺口'!$J$15,0),0),IF(AND(CA$46&gt;'融资租赁与资金缺口'!$F$16,CA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CA$46=EDATE('融资租赁与资金缺口'!$F$16,$A17),'融资租赁与资金缺口'!$J$16,0),0))</x:f>
        <x:v>3864415.1897157663</x:v>
      </x:c>
      <x:c r="CB57" s="28" t="n">
        <x:f>SUM(IF(AND(CB$46&gt;'融资租赁与资金缺口'!$F$5,CB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CB$46=EDATE('融资租赁与资金缺口'!$F$5,$A17),'融资租赁与资金缺口'!$J$5,0),0),IF(AND(CB$46&gt;'融资租赁与资金缺口'!$F$6,CB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CB$46=EDATE('融资租赁与资金缺口'!$F$6,$A17),'融资租赁与资金缺口'!$J$6,0),0),IF(AND(CB$46&gt;'融资租赁与资金缺口'!$F$7,CB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CB$46=EDATE('融资租赁与资金缺口'!$F$7,$A17),'融资租赁与资金缺口'!$J$7,0),0),IF(AND(CB$46&gt;'融资租赁与资金缺口'!$F$8,CB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CB$46=EDATE('融资租赁与资金缺口'!$F$8,$A17),'融资租赁与资金缺口'!$J$8,0),0),IF(AND(CB$46&gt;'融资租赁与资金缺口'!$F$9,CB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CB$46=EDATE('融资租赁与资金缺口'!$F$9,$A17),'融资租赁与资金缺口'!$J$9,0),0),IF(AND(CB$46&gt;'融资租赁与资金缺口'!$F$10,CB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CB$46=EDATE('融资租赁与资金缺口'!$F$10,$A17),'融资租赁与资金缺口'!$J$10,0),0),IF(AND(CB$46&gt;'融资租赁与资金缺口'!$F$11,CB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CB$46=EDATE('融资租赁与资金缺口'!$F$11,$A17),'融资租赁与资金缺口'!$J$11,0),0),IF(AND(CB$46&gt;'融资租赁与资金缺口'!$F$12,CB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CB$46=EDATE('融资租赁与资金缺口'!$F$12,$A17),'融资租赁与资金缺口'!$J$12,0),0),IF(AND(CB$46&gt;'融资租赁与资金缺口'!$F$13,CB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CB$46=EDATE('融资租赁与资金缺口'!$F$13,$A17),'融资租赁与资金缺口'!$J$13,0),0),IF(AND(CB$46&gt;'融资租赁与资金缺口'!$F$14,CB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CB$46=EDATE('融资租赁与资金缺口'!$F$14,$A17),'融资租赁与资金缺口'!$J$14,0),0),IF(AND(CB$46&gt;'融资租赁与资金缺口'!$F$15,CB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CB$46=EDATE('融资租赁与资金缺口'!$F$15,$A17),'融资租赁与资金缺口'!$J$15,0),0),IF(AND(CB$46&gt;'融资租赁与资金缺口'!$F$16,CB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CB$46=EDATE('融资租赁与资金缺口'!$F$16,$A17),'融资租赁与资金缺口'!$J$16,0),0))</x:f>
        <x:v>1849035.081306757</x:v>
      </x:c>
      <x:c r="CC57" s="28" t="n">
        <x:f>SUM(IF(AND(CC$46&gt;'融资租赁与资金缺口'!$F$5,CC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CC$46=EDATE('融资租赁与资金缺口'!$F$5,$A17),'融资租赁与资金缺口'!$J$5,0),0),IF(AND(CC$46&gt;'融资租赁与资金缺口'!$F$6,CC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CC$46=EDATE('融资租赁与资金缺口'!$F$6,$A17),'融资租赁与资金缺口'!$J$6,0),0),IF(AND(CC$46&gt;'融资租赁与资金缺口'!$F$7,CC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CC$46=EDATE('融资租赁与资金缺口'!$F$7,$A17),'融资租赁与资金缺口'!$J$7,0),0),IF(AND(CC$46&gt;'融资租赁与资金缺口'!$F$8,CC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CC$46=EDATE('融资租赁与资金缺口'!$F$8,$A17),'融资租赁与资金缺口'!$J$8,0),0),IF(AND(CC$46&gt;'融资租赁与资金缺口'!$F$9,CC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CC$46=EDATE('融资租赁与资金缺口'!$F$9,$A17),'融资租赁与资金缺口'!$J$9,0),0),IF(AND(CC$46&gt;'融资租赁与资金缺口'!$F$10,CC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CC$46=EDATE('融资租赁与资金缺口'!$F$10,$A17),'融资租赁与资金缺口'!$J$10,0),0),IF(AND(CC$46&gt;'融资租赁与资金缺口'!$F$11,CC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CC$46=EDATE('融资租赁与资金缺口'!$F$11,$A17),'融资租赁与资金缺口'!$J$11,0),0),IF(AND(CC$46&gt;'融资租赁与资金缺口'!$F$12,CC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CC$46=EDATE('融资租赁与资金缺口'!$F$12,$A17),'融资租赁与资金缺口'!$J$12,0),0),IF(AND(CC$46&gt;'融资租赁与资金缺口'!$F$13,CC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CC$46=EDATE('融资租赁与资金缺口'!$F$13,$A17),'融资租赁与资金缺口'!$J$13,0),0),IF(AND(CC$46&gt;'融资租赁与资金缺口'!$F$14,CC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CC$46=EDATE('融资租赁与资金缺口'!$F$14,$A17),'融资租赁与资金缺口'!$J$14,0),0),IF(AND(CC$46&gt;'融资租赁与资金缺口'!$F$15,CC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CC$46=EDATE('融资租赁与资金缺口'!$F$15,$A17),'融资租赁与资金缺口'!$J$15,0),0),IF(AND(CC$46&gt;'融资租赁与资金缺口'!$F$16,CC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CC$46=EDATE('融资租赁与资金缺口'!$F$16,$A17),'融资租赁与资金缺口'!$J$16,0),0))</x:f>
        <x:v>0</x:v>
      </x:c>
      <x:c r="CD57" s="28" t="n">
        <x:f>SUM(IF(AND(CD$46&gt;'融资租赁与资金缺口'!$F$5,CD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CD$46=EDATE('融资租赁与资金缺口'!$F$5,$A17),'融资租赁与资金缺口'!$J$5,0),0),IF(AND(CD$46&gt;'融资租赁与资金缺口'!$F$6,CD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CD$46=EDATE('融资租赁与资金缺口'!$F$6,$A17),'融资租赁与资金缺口'!$J$6,0),0),IF(AND(CD$46&gt;'融资租赁与资金缺口'!$F$7,CD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CD$46=EDATE('融资租赁与资金缺口'!$F$7,$A17),'融资租赁与资金缺口'!$J$7,0),0),IF(AND(CD$46&gt;'融资租赁与资金缺口'!$F$8,CD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CD$46=EDATE('融资租赁与资金缺口'!$F$8,$A17),'融资租赁与资金缺口'!$J$8,0),0),IF(AND(CD$46&gt;'融资租赁与资金缺口'!$F$9,CD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CD$46=EDATE('融资租赁与资金缺口'!$F$9,$A17),'融资租赁与资金缺口'!$J$9,0),0),IF(AND(CD$46&gt;'融资租赁与资金缺口'!$F$10,CD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CD$46=EDATE('融资租赁与资金缺口'!$F$10,$A17),'融资租赁与资金缺口'!$J$10,0),0),IF(AND(CD$46&gt;'融资租赁与资金缺口'!$F$11,CD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CD$46=EDATE('融资租赁与资金缺口'!$F$11,$A17),'融资租赁与资金缺口'!$J$11,0),0),IF(AND(CD$46&gt;'融资租赁与资金缺口'!$F$12,CD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CD$46=EDATE('融资租赁与资金缺口'!$F$12,$A17),'融资租赁与资金缺口'!$J$12,0),0),IF(AND(CD$46&gt;'融资租赁与资金缺口'!$F$13,CD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CD$46=EDATE('融资租赁与资金缺口'!$F$13,$A17),'融资租赁与资金缺口'!$J$13,0),0),IF(AND(CD$46&gt;'融资租赁与资金缺口'!$F$14,CD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CD$46=EDATE('融资租赁与资金缺口'!$F$14,$A17),'融资租赁与资金缺口'!$J$14,0),0),IF(AND(CD$46&gt;'融资租赁与资金缺口'!$F$15,CD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CD$46=EDATE('融资租赁与资金缺口'!$F$15,$A17),'融资租赁与资金缺口'!$J$15,0),0),IF(AND(CD$46&gt;'融资租赁与资金缺口'!$F$16,CD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CD$46=EDATE('融资租赁与资金缺口'!$F$16,$A17),'融资租赁与资金缺口'!$J$16,0),0))</x:f>
        <x:v>0</x:v>
      </x:c>
      <x:c r="CE57" s="28" t="n">
        <x:f>SUM(IF(AND(CE$46&gt;'融资租赁与资金缺口'!$F$5,CE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CE$46=EDATE('融资租赁与资金缺口'!$F$5,$A17),'融资租赁与资金缺口'!$J$5,0),0),IF(AND(CE$46&gt;'融资租赁与资金缺口'!$F$6,CE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CE$46=EDATE('融资租赁与资金缺口'!$F$6,$A17),'融资租赁与资金缺口'!$J$6,0),0),IF(AND(CE$46&gt;'融资租赁与资金缺口'!$F$7,CE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CE$46=EDATE('融资租赁与资金缺口'!$F$7,$A17),'融资租赁与资金缺口'!$J$7,0),0),IF(AND(CE$46&gt;'融资租赁与资金缺口'!$F$8,CE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CE$46=EDATE('融资租赁与资金缺口'!$F$8,$A17),'融资租赁与资金缺口'!$J$8,0),0),IF(AND(CE$46&gt;'融资租赁与资金缺口'!$F$9,CE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CE$46=EDATE('融资租赁与资金缺口'!$F$9,$A17),'融资租赁与资金缺口'!$J$9,0),0),IF(AND(CE$46&gt;'融资租赁与资金缺口'!$F$10,CE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CE$46=EDATE('融资租赁与资金缺口'!$F$10,$A17),'融资租赁与资金缺口'!$J$10,0),0),IF(AND(CE$46&gt;'融资租赁与资金缺口'!$F$11,CE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CE$46=EDATE('融资租赁与资金缺口'!$F$11,$A17),'融资租赁与资金缺口'!$J$11,0),0),IF(AND(CE$46&gt;'融资租赁与资金缺口'!$F$12,CE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CE$46=EDATE('融资租赁与资金缺口'!$F$12,$A17),'融资租赁与资金缺口'!$J$12,0),0),IF(AND(CE$46&gt;'融资租赁与资金缺口'!$F$13,CE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CE$46=EDATE('融资租赁与资金缺口'!$F$13,$A17),'融资租赁与资金缺口'!$J$13,0),0),IF(AND(CE$46&gt;'融资租赁与资金缺口'!$F$14,CE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CE$46=EDATE('融资租赁与资金缺口'!$F$14,$A17),'融资租赁与资金缺口'!$J$14,0),0),IF(AND(CE$46&gt;'融资租赁与资金缺口'!$F$15,CE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CE$46=EDATE('融资租赁与资金缺口'!$F$15,$A17),'融资租赁与资金缺口'!$J$15,0),0),IF(AND(CE$46&gt;'融资租赁与资金缺口'!$F$16,CE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CE$46=EDATE('融资租赁与资金缺口'!$F$16,$A17),'融资租赁与资金缺口'!$J$16,0),0))</x:f>
        <x:v>0</x:v>
      </x:c>
      <x:c r="CF57" s="28" t="n">
        <x:f>SUM(IF(AND(CF$46&gt;'融资租赁与资金缺口'!$F$5,CF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CF$46=EDATE('融资租赁与资金缺口'!$F$5,$A17),'融资租赁与资金缺口'!$J$5,0),0),IF(AND(CF$46&gt;'融资租赁与资金缺口'!$F$6,CF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CF$46=EDATE('融资租赁与资金缺口'!$F$6,$A17),'融资租赁与资金缺口'!$J$6,0),0),IF(AND(CF$46&gt;'融资租赁与资金缺口'!$F$7,CF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CF$46=EDATE('融资租赁与资金缺口'!$F$7,$A17),'融资租赁与资金缺口'!$J$7,0),0),IF(AND(CF$46&gt;'融资租赁与资金缺口'!$F$8,CF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CF$46=EDATE('融资租赁与资金缺口'!$F$8,$A17),'融资租赁与资金缺口'!$J$8,0),0),IF(AND(CF$46&gt;'融资租赁与资金缺口'!$F$9,CF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CF$46=EDATE('融资租赁与资金缺口'!$F$9,$A17),'融资租赁与资金缺口'!$J$9,0),0),IF(AND(CF$46&gt;'融资租赁与资金缺口'!$F$10,CF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CF$46=EDATE('融资租赁与资金缺口'!$F$10,$A17),'融资租赁与资金缺口'!$J$10,0),0),IF(AND(CF$46&gt;'融资租赁与资金缺口'!$F$11,CF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CF$46=EDATE('融资租赁与资金缺口'!$F$11,$A17),'融资租赁与资金缺口'!$J$11,0),0),IF(AND(CF$46&gt;'融资租赁与资金缺口'!$F$12,CF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CF$46=EDATE('融资租赁与资金缺口'!$F$12,$A17),'融资租赁与资金缺口'!$J$12,0),0),IF(AND(CF$46&gt;'融资租赁与资金缺口'!$F$13,CF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CF$46=EDATE('融资租赁与资金缺口'!$F$13,$A17),'融资租赁与资金缺口'!$J$13,0),0),IF(AND(CF$46&gt;'融资租赁与资金缺口'!$F$14,CF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CF$46=EDATE('融资租赁与资金缺口'!$F$14,$A17),'融资租赁与资金缺口'!$J$14,0),0),IF(AND(CF$46&gt;'融资租赁与资金缺口'!$F$15,CF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CF$46=EDATE('融资租赁与资金缺口'!$F$15,$A17),'融资租赁与资金缺口'!$J$15,0),0),IF(AND(CF$46&gt;'融资租赁与资金缺口'!$F$16,CF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CF$46=EDATE('融资租赁与资金缺口'!$F$16,$A17),'融资租赁与资金缺口'!$J$16,0),0))</x:f>
        <x:v>0</x:v>
      </x:c>
      <x:c r="CG57" s="28" t="n">
        <x:f>SUM(IF(AND(CG$46&gt;'融资租赁与资金缺口'!$F$5,CG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CG$46=EDATE('融资租赁与资金缺口'!$F$5,$A17),'融资租赁与资金缺口'!$J$5,0),0),IF(AND(CG$46&gt;'融资租赁与资金缺口'!$F$6,CG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CG$46=EDATE('融资租赁与资金缺口'!$F$6,$A17),'融资租赁与资金缺口'!$J$6,0),0),IF(AND(CG$46&gt;'融资租赁与资金缺口'!$F$7,CG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CG$46=EDATE('融资租赁与资金缺口'!$F$7,$A17),'融资租赁与资金缺口'!$J$7,0),0),IF(AND(CG$46&gt;'融资租赁与资金缺口'!$F$8,CG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CG$46=EDATE('融资租赁与资金缺口'!$F$8,$A17),'融资租赁与资金缺口'!$J$8,0),0),IF(AND(CG$46&gt;'融资租赁与资金缺口'!$F$9,CG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CG$46=EDATE('融资租赁与资金缺口'!$F$9,$A17),'融资租赁与资金缺口'!$J$9,0),0),IF(AND(CG$46&gt;'融资租赁与资金缺口'!$F$10,CG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CG$46=EDATE('融资租赁与资金缺口'!$F$10,$A17),'融资租赁与资金缺口'!$J$10,0),0),IF(AND(CG$46&gt;'融资租赁与资金缺口'!$F$11,CG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CG$46=EDATE('融资租赁与资金缺口'!$F$11,$A17),'融资租赁与资金缺口'!$J$11,0),0),IF(AND(CG$46&gt;'融资租赁与资金缺口'!$F$12,CG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CG$46=EDATE('融资租赁与资金缺口'!$F$12,$A17),'融资租赁与资金缺口'!$J$12,0),0),IF(AND(CG$46&gt;'融资租赁与资金缺口'!$F$13,CG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CG$46=EDATE('融资租赁与资金缺口'!$F$13,$A17),'融资租赁与资金缺口'!$J$13,0),0),IF(AND(CG$46&gt;'融资租赁与资金缺口'!$F$14,CG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CG$46=EDATE('融资租赁与资金缺口'!$F$14,$A17),'融资租赁与资金缺口'!$J$14,0),0),IF(AND(CG$46&gt;'融资租赁与资金缺口'!$F$15,CG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CG$46=EDATE('融资租赁与资金缺口'!$F$15,$A17),'融资租赁与资金缺口'!$J$15,0),0),IF(AND(CG$46&gt;'融资租赁与资金缺口'!$F$16,CG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CG$46=EDATE('融资租赁与资金缺口'!$F$16,$A17),'融资租赁与资金缺口'!$J$16,0),0))</x:f>
        <x:v>0</x:v>
      </x:c>
      <x:c r="CH57" s="28" t="n">
        <x:f>SUM(IF(AND(CH$46&gt;'融资租赁与资金缺口'!$F$5,CH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CH$46=EDATE('融资租赁与资金缺口'!$F$5,$A17),'融资租赁与资金缺口'!$J$5,0),0),IF(AND(CH$46&gt;'融资租赁与资金缺口'!$F$6,CH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CH$46=EDATE('融资租赁与资金缺口'!$F$6,$A17),'融资租赁与资金缺口'!$J$6,0),0),IF(AND(CH$46&gt;'融资租赁与资金缺口'!$F$7,CH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CH$46=EDATE('融资租赁与资金缺口'!$F$7,$A17),'融资租赁与资金缺口'!$J$7,0),0),IF(AND(CH$46&gt;'融资租赁与资金缺口'!$F$8,CH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CH$46=EDATE('融资租赁与资金缺口'!$F$8,$A17),'融资租赁与资金缺口'!$J$8,0),0),IF(AND(CH$46&gt;'融资租赁与资金缺口'!$F$9,CH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CH$46=EDATE('融资租赁与资金缺口'!$F$9,$A17),'融资租赁与资金缺口'!$J$9,0),0),IF(AND(CH$46&gt;'融资租赁与资金缺口'!$F$10,CH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CH$46=EDATE('融资租赁与资金缺口'!$F$10,$A17),'融资租赁与资金缺口'!$J$10,0),0),IF(AND(CH$46&gt;'融资租赁与资金缺口'!$F$11,CH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CH$46=EDATE('融资租赁与资金缺口'!$F$11,$A17),'融资租赁与资金缺口'!$J$11,0),0),IF(AND(CH$46&gt;'融资租赁与资金缺口'!$F$12,CH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CH$46=EDATE('融资租赁与资金缺口'!$F$12,$A17),'融资租赁与资金缺口'!$J$12,0),0),IF(AND(CH$46&gt;'融资租赁与资金缺口'!$F$13,CH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CH$46=EDATE('融资租赁与资金缺口'!$F$13,$A17),'融资租赁与资金缺口'!$J$13,0),0),IF(AND(CH$46&gt;'融资租赁与资金缺口'!$F$14,CH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CH$46=EDATE('融资租赁与资金缺口'!$F$14,$A17),'融资租赁与资金缺口'!$J$14,0),0),IF(AND(CH$46&gt;'融资租赁与资金缺口'!$F$15,CH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CH$46=EDATE('融资租赁与资金缺口'!$F$15,$A17),'融资租赁与资金缺口'!$J$15,0),0),IF(AND(CH$46&gt;'融资租赁与资金缺口'!$F$16,CH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CH$46=EDATE('融资租赁与资金缺口'!$F$16,$A17),'融资租赁与资金缺口'!$J$16,0),0))</x:f>
        <x:v>0</x:v>
      </x:c>
      <x:c r="CI57" s="28" t="n">
        <x:f>SUM(IF(AND(CI$46&gt;'融资租赁与资金缺口'!$F$5,CI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CI$46=EDATE('融资租赁与资金缺口'!$F$5,$A17),'融资租赁与资金缺口'!$J$5,0),0),IF(AND(CI$46&gt;'融资租赁与资金缺口'!$F$6,CI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CI$46=EDATE('融资租赁与资金缺口'!$F$6,$A17),'融资租赁与资金缺口'!$J$6,0),0),IF(AND(CI$46&gt;'融资租赁与资金缺口'!$F$7,CI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CI$46=EDATE('融资租赁与资金缺口'!$F$7,$A17),'融资租赁与资金缺口'!$J$7,0),0),IF(AND(CI$46&gt;'融资租赁与资金缺口'!$F$8,CI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CI$46=EDATE('融资租赁与资金缺口'!$F$8,$A17),'融资租赁与资金缺口'!$J$8,0),0),IF(AND(CI$46&gt;'融资租赁与资金缺口'!$F$9,CI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CI$46=EDATE('融资租赁与资金缺口'!$F$9,$A17),'融资租赁与资金缺口'!$J$9,0),0),IF(AND(CI$46&gt;'融资租赁与资金缺口'!$F$10,CI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CI$46=EDATE('融资租赁与资金缺口'!$F$10,$A17),'融资租赁与资金缺口'!$J$10,0),0),IF(AND(CI$46&gt;'融资租赁与资金缺口'!$F$11,CI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CI$46=EDATE('融资租赁与资金缺口'!$F$11,$A17),'融资租赁与资金缺口'!$J$11,0),0),IF(AND(CI$46&gt;'融资租赁与资金缺口'!$F$12,CI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CI$46=EDATE('融资租赁与资金缺口'!$F$12,$A17),'融资租赁与资金缺口'!$J$12,0),0),IF(AND(CI$46&gt;'融资租赁与资金缺口'!$F$13,CI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CI$46=EDATE('融资租赁与资金缺口'!$F$13,$A17),'融资租赁与资金缺口'!$J$13,0),0),IF(AND(CI$46&gt;'融资租赁与资金缺口'!$F$14,CI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CI$46=EDATE('融资租赁与资金缺口'!$F$14,$A17),'融资租赁与资金缺口'!$J$14,0),0),IF(AND(CI$46&gt;'融资租赁与资金缺口'!$F$15,CI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CI$46=EDATE('融资租赁与资金缺口'!$F$15,$A17),'融资租赁与资金缺口'!$J$15,0),0),IF(AND(CI$46&gt;'融资租赁与资金缺口'!$F$16,CI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CI$46=EDATE('融资租赁与资金缺口'!$F$16,$A17),'融资租赁与资金缺口'!$J$16,0),0))</x:f>
        <x:v>0</x:v>
      </x:c>
      <x:c r="CJ57" s="28" t="n">
        <x:f>SUM(IF(AND(CJ$46&gt;'融资租赁与资金缺口'!$F$5,CJ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CJ$46=EDATE('融资租赁与资金缺口'!$F$5,$A17),'融资租赁与资金缺口'!$J$5,0),0),IF(AND(CJ$46&gt;'融资租赁与资金缺口'!$F$6,CJ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CJ$46=EDATE('融资租赁与资金缺口'!$F$6,$A17),'融资租赁与资金缺口'!$J$6,0),0),IF(AND(CJ$46&gt;'融资租赁与资金缺口'!$F$7,CJ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CJ$46=EDATE('融资租赁与资金缺口'!$F$7,$A17),'融资租赁与资金缺口'!$J$7,0),0),IF(AND(CJ$46&gt;'融资租赁与资金缺口'!$F$8,CJ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CJ$46=EDATE('融资租赁与资金缺口'!$F$8,$A17),'融资租赁与资金缺口'!$J$8,0),0),IF(AND(CJ$46&gt;'融资租赁与资金缺口'!$F$9,CJ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CJ$46=EDATE('融资租赁与资金缺口'!$F$9,$A17),'融资租赁与资金缺口'!$J$9,0),0),IF(AND(CJ$46&gt;'融资租赁与资金缺口'!$F$10,CJ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CJ$46=EDATE('融资租赁与资金缺口'!$F$10,$A17),'融资租赁与资金缺口'!$J$10,0),0),IF(AND(CJ$46&gt;'融资租赁与资金缺口'!$F$11,CJ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CJ$46=EDATE('融资租赁与资金缺口'!$F$11,$A17),'融资租赁与资金缺口'!$J$11,0),0),IF(AND(CJ$46&gt;'融资租赁与资金缺口'!$F$12,CJ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CJ$46=EDATE('融资租赁与资金缺口'!$F$12,$A17),'融资租赁与资金缺口'!$J$12,0),0),IF(AND(CJ$46&gt;'融资租赁与资金缺口'!$F$13,CJ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CJ$46=EDATE('融资租赁与资金缺口'!$F$13,$A17),'融资租赁与资金缺口'!$J$13,0),0),IF(AND(CJ$46&gt;'融资租赁与资金缺口'!$F$14,CJ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CJ$46=EDATE('融资租赁与资金缺口'!$F$14,$A17),'融资租赁与资金缺口'!$J$14,0),0),IF(AND(CJ$46&gt;'融资租赁与资金缺口'!$F$15,CJ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CJ$46=EDATE('融资租赁与资金缺口'!$F$15,$A17),'融资租赁与资金缺口'!$J$15,0),0),IF(AND(CJ$46&gt;'融资租赁与资金缺口'!$F$16,CJ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CJ$46=EDATE('融资租赁与资金缺口'!$F$16,$A17),'融资租赁与资金缺口'!$J$16,0),0))</x:f>
        <x:v>0</x:v>
      </x:c>
      <x:c r="CK57" s="28" t="n">
        <x:f>SUM(IF(AND(CK$46&gt;'融资租赁与资金缺口'!$F$5,CK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CK$46=EDATE('融资租赁与资金缺口'!$F$5,$A17),'融资租赁与资金缺口'!$J$5,0),0),IF(AND(CK$46&gt;'融资租赁与资金缺口'!$F$6,CK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CK$46=EDATE('融资租赁与资金缺口'!$F$6,$A17),'融资租赁与资金缺口'!$J$6,0),0),IF(AND(CK$46&gt;'融资租赁与资金缺口'!$F$7,CK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CK$46=EDATE('融资租赁与资金缺口'!$F$7,$A17),'融资租赁与资金缺口'!$J$7,0),0),IF(AND(CK$46&gt;'融资租赁与资金缺口'!$F$8,CK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CK$46=EDATE('融资租赁与资金缺口'!$F$8,$A17),'融资租赁与资金缺口'!$J$8,0),0),IF(AND(CK$46&gt;'融资租赁与资金缺口'!$F$9,CK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CK$46=EDATE('融资租赁与资金缺口'!$F$9,$A17),'融资租赁与资金缺口'!$J$9,0),0),IF(AND(CK$46&gt;'融资租赁与资金缺口'!$F$10,CK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CK$46=EDATE('融资租赁与资金缺口'!$F$10,$A17),'融资租赁与资金缺口'!$J$10,0),0),IF(AND(CK$46&gt;'融资租赁与资金缺口'!$F$11,CK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CK$46=EDATE('融资租赁与资金缺口'!$F$11,$A17),'融资租赁与资金缺口'!$J$11,0),0),IF(AND(CK$46&gt;'融资租赁与资金缺口'!$F$12,CK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CK$46=EDATE('融资租赁与资金缺口'!$F$12,$A17),'融资租赁与资金缺口'!$J$12,0),0),IF(AND(CK$46&gt;'融资租赁与资金缺口'!$F$13,CK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CK$46=EDATE('融资租赁与资金缺口'!$F$13,$A17),'融资租赁与资金缺口'!$J$13,0),0),IF(AND(CK$46&gt;'融资租赁与资金缺口'!$F$14,CK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CK$46=EDATE('融资租赁与资金缺口'!$F$14,$A17),'融资租赁与资金缺口'!$J$14,0),0),IF(AND(CK$46&gt;'融资租赁与资金缺口'!$F$15,CK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CK$46=EDATE('融资租赁与资金缺口'!$F$15,$A17),'融资租赁与资金缺口'!$J$15,0),0),IF(AND(CK$46&gt;'融资租赁与资金缺口'!$F$16,CK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CK$46=EDATE('融资租赁与资金缺口'!$F$16,$A17),'融资租赁与资金缺口'!$J$16,0),0))</x:f>
        <x:v>0</x:v>
      </x:c>
      <x:c r="CL57" s="28" t="n">
        <x:f>SUM(IF(AND(CL$46&gt;'融资租赁与资金缺口'!$F$5,CL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CL$46=EDATE('融资租赁与资金缺口'!$F$5,$A17),'融资租赁与资金缺口'!$J$5,0),0),IF(AND(CL$46&gt;'融资租赁与资金缺口'!$F$6,CL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CL$46=EDATE('融资租赁与资金缺口'!$F$6,$A17),'融资租赁与资金缺口'!$J$6,0),0),IF(AND(CL$46&gt;'融资租赁与资金缺口'!$F$7,CL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CL$46=EDATE('融资租赁与资金缺口'!$F$7,$A17),'融资租赁与资金缺口'!$J$7,0),0),IF(AND(CL$46&gt;'融资租赁与资金缺口'!$F$8,CL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CL$46=EDATE('融资租赁与资金缺口'!$F$8,$A17),'融资租赁与资金缺口'!$J$8,0),0),IF(AND(CL$46&gt;'融资租赁与资金缺口'!$F$9,CL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CL$46=EDATE('融资租赁与资金缺口'!$F$9,$A17),'融资租赁与资金缺口'!$J$9,0),0),IF(AND(CL$46&gt;'融资租赁与资金缺口'!$F$10,CL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CL$46=EDATE('融资租赁与资金缺口'!$F$10,$A17),'融资租赁与资金缺口'!$J$10,0),0),IF(AND(CL$46&gt;'融资租赁与资金缺口'!$F$11,CL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CL$46=EDATE('融资租赁与资金缺口'!$F$11,$A17),'融资租赁与资金缺口'!$J$11,0),0),IF(AND(CL$46&gt;'融资租赁与资金缺口'!$F$12,CL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CL$46=EDATE('融资租赁与资金缺口'!$F$12,$A17),'融资租赁与资金缺口'!$J$12,0),0),IF(AND(CL$46&gt;'融资租赁与资金缺口'!$F$13,CL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CL$46=EDATE('融资租赁与资金缺口'!$F$13,$A17),'融资租赁与资金缺口'!$J$13,0),0),IF(AND(CL$46&gt;'融资租赁与资金缺口'!$F$14,CL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CL$46=EDATE('融资租赁与资金缺口'!$F$14,$A17),'融资租赁与资金缺口'!$J$14,0),0),IF(AND(CL$46&gt;'融资租赁与资金缺口'!$F$15,CL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CL$46=EDATE('融资租赁与资金缺口'!$F$15,$A17),'融资租赁与资金缺口'!$J$15,0),0),IF(AND(CL$46&gt;'融资租赁与资金缺口'!$F$16,CL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CL$46=EDATE('融资租赁与资金缺口'!$F$16,$A17),'融资租赁与资金缺口'!$J$16,0),0))</x:f>
        <x:v>0</x:v>
      </x:c>
      <x:c r="CM57" s="28" t="n">
        <x:f>SUM(IF(AND(CM$46&gt;'融资租赁与资金缺口'!$F$5,CM$46&lt;=EDATE('融资租赁与资金缺口'!$F$5,$A17)),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+IF(CM$46=EDATE('融资租赁与资金缺口'!$F$5,$A17),'融资租赁与资金缺口'!$J$5,0),0),IF(AND(CM$46&gt;'融资租赁与资金缺口'!$F$6,CM$46&lt;=EDATE('融资租赁与资金缺口'!$F$6,$A17)),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+IF(CM$46=EDATE('融资租赁与资金缺口'!$F$6,$A17),'融资租赁与资金缺口'!$J$6,0),0),IF(AND(CM$46&gt;'融资租赁与资金缺口'!$F$7,CM$46&lt;=EDATE('融资租赁与资金缺口'!$F$7,$A17)),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+IF(CM$46=EDATE('融资租赁与资金缺口'!$F$7,$A17),'融资租赁与资金缺口'!$J$7,0),0),IF(AND(CM$46&gt;'融资租赁与资金缺口'!$F$8,CM$46&lt;=EDATE('融资租赁与资金缺口'!$F$8,$A17)),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+IF(CM$46=EDATE('融资租赁与资金缺口'!$F$8,$A17),'融资租赁与资金缺口'!$J$8,0),0),IF(AND(CM$46&gt;'融资租赁与资金缺口'!$F$9,CM$46&lt;=EDATE('融资租赁与资金缺口'!$F$9,$A17)),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+IF(CM$46=EDATE('融资租赁与资金缺口'!$F$9,$A17),'融资租赁与资金缺口'!$J$9,0),0),IF(AND(CM$46&gt;'融资租赁与资金缺口'!$F$10,CM$46&lt;=EDATE('融资租赁与资金缺口'!$F$10,$A17)),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+IF(CM$46=EDATE('融资租赁与资金缺口'!$F$10,$A17),'融资租赁与资金缺口'!$J$10,0),0),IF(AND(CM$46&gt;'融资租赁与资金缺口'!$F$11,CM$46&lt;=EDATE('融资租赁与资金缺口'!$F$11,$A17)),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+IF(CM$46=EDATE('融资租赁与资金缺口'!$F$11,$A17),'融资租赁与资金缺口'!$J$11,0),0),IF(AND(CM$46&gt;'融资租赁与资金缺口'!$F$12,CM$46&lt;=EDATE('融资租赁与资金缺口'!$F$12,$A17)),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+IF(CM$46=EDATE('融资租赁与资金缺口'!$F$12,$A17),'融资租赁与资金缺口'!$J$12,0),0),IF(AND(CM$46&gt;'融资租赁与资金缺口'!$F$13,CM$46&lt;=EDATE('融资租赁与资金缺口'!$F$13,$A17)),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+IF(CM$46=EDATE('融资租赁与资金缺口'!$F$13,$A17),'融资租赁与资金缺口'!$J$13,0),0),IF(AND(CM$46&gt;'融资租赁与资金缺口'!$F$14,CM$46&lt;=EDATE('融资租赁与资金缺口'!$F$14,$A17)),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+IF(CM$46=EDATE('融资租赁与资金缺口'!$F$14,$A17),'融资租赁与资金缺口'!$J$14,0),0),IF(AND(CM$46&gt;'融资租赁与资金缺口'!$F$15,CM$46&lt;=EDATE('融资租赁与资金缺口'!$F$15,$A17)),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+IF(CM$46=EDATE('融资租赁与资金缺口'!$F$15,$A17),'融资租赁与资金缺口'!$J$15,0),0),IF(AND(CM$46&gt;'融资租赁与资金缺口'!$F$16,CM$46&lt;=EDATE('融资租赁与资金缺口'!$F$16,$A17)),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+IF(CM$46=EDATE('融资租赁与资金缺口'!$F$16,$A17),'融资租赁与资金缺口'!$J$16,0),0))</x:f>
        <x:v>0</x:v>
      </x:c>
    </x:row>
    <x:row r="58">
      <x:c r="A58" t="str">
        <x:v>SRC-013</x:v>
      </x:c>
      <x:c r="B58" t="str">
        <x:v>西安人口来源</x:v>
      </x:c>
      <x:c r="C58" t="str"/>
      <x:c r="D58" t="n">
        <x:v>2020</x:v>
      </x:c>
      <x:c r="E58" t="str">
        <x:v>城市人口</x:v>
      </x:c>
      <x:c r="F58" s="30" t="str">
        <x:v>西安人口来源</x:v>
      </x:c>
      <x:c r="G58" s="77" t="str">
        <x:v>https://tjj.shaanxi.gov.cn/tjsj/ndsj/pcsj/rkpc/202505/P020250522415694808635.pdf</x:v>
      </x:c>
      <x:c r="H58" s="30" t="str">
        <x:v>等级及排名据2025第一财经榜单；2020年七普常住人口；住建部2022年城市建设统计年鉴表2-2第646行列示同一城市口径的城区人口（含表列城区暂住人口）770万人、建成区面积807.57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58" s="30" t="str">
        <x:v>2026-08-16</x:v>
      </x:c>
      <x:c r="AE58" t="str">
        <x:v>期末余额</x:v>
      </x:c>
      <x:c r="AF58" s="28" t="n">
        <x:f>SUM(IF(AF$46&lt;'融资租赁与资金缺口'!$F$5,0,IF(AF$46='融资租赁与资金缺口'!$F$5,'融资租赁与资金缺口'!$E$5,IF(((YEAR(AF$46)-YEAR('融资租赁与资金缺口'!$F$5))*12+MONTH(AF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AF$46)-YEAR('融资租赁与资金缺口'!$F$5))*12+MONTH(AF$46)-MONTH('融资租赁与资金缺口'!$F$5)),'融资租赁与资金缺口'!$E$5*(1+'融资租赁与资金缺口'!$I$5)^((YEAR(AF$46)-YEAR('融资租赁与资金缺口'!$F$5))*12+MONTH(AF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AF$46)-YEAR('融资租赁与资金缺口'!$F$5))*12+MONTH(AF$46)-MONTH('融资租赁与资金缺口'!$F$5))-1)/'融资租赁与资金缺口'!$I$5))))),IF(AF$46&lt;'融资租赁与资金缺口'!$F$6,0,IF(AF$46='融资租赁与资金缺口'!$F$6,'融资租赁与资金缺口'!$E$6,IF(((YEAR(AF$46)-YEAR('融资租赁与资金缺口'!$F$6))*12+MONTH(AF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AF$46)-YEAR('融资租赁与资金缺口'!$F$6))*12+MONTH(AF$46)-MONTH('融资租赁与资金缺口'!$F$6)),'融资租赁与资金缺口'!$E$6*(1+'融资租赁与资金缺口'!$I$6)^((YEAR(AF$46)-YEAR('融资租赁与资金缺口'!$F$6))*12+MONTH(AF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AF$46)-YEAR('融资租赁与资金缺口'!$F$6))*12+MONTH(AF$46)-MONTH('融资租赁与资金缺口'!$F$6))-1)/'融资租赁与资金缺口'!$I$6))))),IF(AF$46&lt;'融资租赁与资金缺口'!$F$7,0,IF(AF$46='融资租赁与资金缺口'!$F$7,'融资租赁与资金缺口'!$E$7,IF(((YEAR(AF$46)-YEAR('融资租赁与资金缺口'!$F$7))*12+MONTH(AF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AF$46)-YEAR('融资租赁与资金缺口'!$F$7))*12+MONTH(AF$46)-MONTH('融资租赁与资金缺口'!$F$7)),'融资租赁与资金缺口'!$E$7*(1+'融资租赁与资金缺口'!$I$7)^((YEAR(AF$46)-YEAR('融资租赁与资金缺口'!$F$7))*12+MONTH(AF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AF$46)-YEAR('融资租赁与资金缺口'!$F$7))*12+MONTH(AF$46)-MONTH('融资租赁与资金缺口'!$F$7))-1)/'融资租赁与资金缺口'!$I$7))))),IF(AF$46&lt;'融资租赁与资金缺口'!$F$8,0,IF(AF$46='融资租赁与资金缺口'!$F$8,'融资租赁与资金缺口'!$E$8,IF(((YEAR(AF$46)-YEAR('融资租赁与资金缺口'!$F$8))*12+MONTH(AF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AF$46)-YEAR('融资租赁与资金缺口'!$F$8))*12+MONTH(AF$46)-MONTH('融资租赁与资金缺口'!$F$8)),'融资租赁与资金缺口'!$E$8*(1+'融资租赁与资金缺口'!$I$8)^((YEAR(AF$46)-YEAR('融资租赁与资金缺口'!$F$8))*12+MONTH(AF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AF$46)-YEAR('融资租赁与资金缺口'!$F$8))*12+MONTH(AF$46)-MONTH('融资租赁与资金缺口'!$F$8))-1)/'融资租赁与资金缺口'!$I$8))))),IF(AF$46&lt;'融资租赁与资金缺口'!$F$9,0,IF(AF$46='融资租赁与资金缺口'!$F$9,'融资租赁与资金缺口'!$E$9,IF(((YEAR(AF$46)-YEAR('融资租赁与资金缺口'!$F$9))*12+MONTH(AF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AF$46)-YEAR('融资租赁与资金缺口'!$F$9))*12+MONTH(AF$46)-MONTH('融资租赁与资金缺口'!$F$9)),'融资租赁与资金缺口'!$E$9*(1+'融资租赁与资金缺口'!$I$9)^((YEAR(AF$46)-YEAR('融资租赁与资金缺口'!$F$9))*12+MONTH(AF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AF$46)-YEAR('融资租赁与资金缺口'!$F$9))*12+MONTH(AF$46)-MONTH('融资租赁与资金缺口'!$F$9))-1)/'融资租赁与资金缺口'!$I$9))))),IF(AF$46&lt;'融资租赁与资金缺口'!$F$10,0,IF(AF$46='融资租赁与资金缺口'!$F$10,'融资租赁与资金缺口'!$E$10,IF(((YEAR(AF$46)-YEAR('融资租赁与资金缺口'!$F$10))*12+MONTH(AF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AF$46)-YEAR('融资租赁与资金缺口'!$F$10))*12+MONTH(AF$46)-MONTH('融资租赁与资金缺口'!$F$10)),'融资租赁与资金缺口'!$E$10*(1+'融资租赁与资金缺口'!$I$10)^((YEAR(AF$46)-YEAR('融资租赁与资金缺口'!$F$10))*12+MONTH(AF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AF$46)-YEAR('融资租赁与资金缺口'!$F$10))*12+MONTH(AF$46)-MONTH('融资租赁与资金缺口'!$F$10))-1)/'融资租赁与资金缺口'!$I$10))))),IF(AF$46&lt;'融资租赁与资金缺口'!$F$11,0,IF(AF$46='融资租赁与资金缺口'!$F$11,'融资租赁与资金缺口'!$E$11,IF(((YEAR(AF$46)-YEAR('融资租赁与资金缺口'!$F$11))*12+MONTH(AF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AF$46)-YEAR('融资租赁与资金缺口'!$F$11))*12+MONTH(AF$46)-MONTH('融资租赁与资金缺口'!$F$11)),'融资租赁与资金缺口'!$E$11*(1+'融资租赁与资金缺口'!$I$11)^((YEAR(AF$46)-YEAR('融资租赁与资金缺口'!$F$11))*12+MONTH(AF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AF$46)-YEAR('融资租赁与资金缺口'!$F$11))*12+MONTH(AF$46)-MONTH('融资租赁与资金缺口'!$F$11))-1)/'融资租赁与资金缺口'!$I$11))))),IF(AF$46&lt;'融资租赁与资金缺口'!$F$12,0,IF(AF$46='融资租赁与资金缺口'!$F$12,'融资租赁与资金缺口'!$E$12,IF(((YEAR(AF$46)-YEAR('融资租赁与资金缺口'!$F$12))*12+MONTH(AF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AF$46)-YEAR('融资租赁与资金缺口'!$F$12))*12+MONTH(AF$46)-MONTH('融资租赁与资金缺口'!$F$12)),'融资租赁与资金缺口'!$E$12*(1+'融资租赁与资金缺口'!$I$12)^((YEAR(AF$46)-YEAR('融资租赁与资金缺口'!$F$12))*12+MONTH(AF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AF$46)-YEAR('融资租赁与资金缺口'!$F$12))*12+MONTH(AF$46)-MONTH('融资租赁与资金缺口'!$F$12))-1)/'融资租赁与资金缺口'!$I$12))))),IF(AF$46&lt;'融资租赁与资金缺口'!$F$13,0,IF(AF$46='融资租赁与资金缺口'!$F$13,'融资租赁与资金缺口'!$E$13,IF(((YEAR(AF$46)-YEAR('融资租赁与资金缺口'!$F$13))*12+MONTH(AF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AF$46)-YEAR('融资租赁与资金缺口'!$F$13))*12+MONTH(AF$46)-MONTH('融资租赁与资金缺口'!$F$13)),'融资租赁与资金缺口'!$E$13*(1+'融资租赁与资金缺口'!$I$13)^((YEAR(AF$46)-YEAR('融资租赁与资金缺口'!$F$13))*12+MONTH(AF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AF$46)-YEAR('融资租赁与资金缺口'!$F$13))*12+MONTH(AF$46)-MONTH('融资租赁与资金缺口'!$F$13))-1)/'融资租赁与资金缺口'!$I$13))))),IF(AF$46&lt;'融资租赁与资金缺口'!$F$14,0,IF(AF$46='融资租赁与资金缺口'!$F$14,'融资租赁与资金缺口'!$E$14,IF(((YEAR(AF$46)-YEAR('融资租赁与资金缺口'!$F$14))*12+MONTH(AF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AF$46)-YEAR('融资租赁与资金缺口'!$F$14))*12+MONTH(AF$46)-MONTH('融资租赁与资金缺口'!$F$14)),'融资租赁与资金缺口'!$E$14*(1+'融资租赁与资金缺口'!$I$14)^((YEAR(AF$46)-YEAR('融资租赁与资金缺口'!$F$14))*12+MONTH(AF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AF$46)-YEAR('融资租赁与资金缺口'!$F$14))*12+MONTH(AF$46)-MONTH('融资租赁与资金缺口'!$F$14))-1)/'融资租赁与资金缺口'!$I$14))))),IF(AF$46&lt;'融资租赁与资金缺口'!$F$15,0,IF(AF$46='融资租赁与资金缺口'!$F$15,'融资租赁与资金缺口'!$E$15,IF(((YEAR(AF$46)-YEAR('融资租赁与资金缺口'!$F$15))*12+MONTH(AF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AF$46)-YEAR('融资租赁与资金缺口'!$F$15))*12+MONTH(AF$46)-MONTH('融资租赁与资金缺口'!$F$15)),'融资租赁与资金缺口'!$E$15*(1+'融资租赁与资金缺口'!$I$15)^((YEAR(AF$46)-YEAR('融资租赁与资金缺口'!$F$15))*12+MONTH(AF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AF$46)-YEAR('融资租赁与资金缺口'!$F$15))*12+MONTH(AF$46)-MONTH('融资租赁与资金缺口'!$F$15))-1)/'融资租赁与资金缺口'!$I$15))))),IF(AF$46&lt;'融资租赁与资金缺口'!$F$16,0,IF(AF$46='融资租赁与资金缺口'!$F$16,'融资租赁与资金缺口'!$E$16,IF(((YEAR(AF$46)-YEAR('融资租赁与资金缺口'!$F$16))*12+MONTH(AF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AF$46)-YEAR('融资租赁与资金缺口'!$F$16))*12+MONTH(AF$46)-MONTH('融资租赁与资金缺口'!$F$16)),'融资租赁与资金缺口'!$E$16*(1+'融资租赁与资金缺口'!$I$16)^((YEAR(AF$46)-YEAR('融资租赁与资金缺口'!$F$16))*12+MONTH(AF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AF$46)-YEAR('融资租赁与资金缺口'!$F$16))*12+MONTH(AF$46)-MONTH('融资租赁与资金缺口'!$F$16))-1)/'融资租赁与资金缺口'!$I$16))))))</x:f>
        <x:v>0</x:v>
      </x:c>
      <x:c r="AG58" s="28" t="n">
        <x:f>SUM(IF(AG$46&lt;'融资租赁与资金缺口'!$F$5,0,IF(AG$46='融资租赁与资金缺口'!$F$5,'融资租赁与资金缺口'!$E$5,IF(((YEAR(AG$46)-YEAR('融资租赁与资金缺口'!$F$5))*12+MONTH(AG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AG$46)-YEAR('融资租赁与资金缺口'!$F$5))*12+MONTH(AG$46)-MONTH('融资租赁与资金缺口'!$F$5)),'融资租赁与资金缺口'!$E$5*(1+'融资租赁与资金缺口'!$I$5)^((YEAR(AG$46)-YEAR('融资租赁与资金缺口'!$F$5))*12+MONTH(AG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AG$46)-YEAR('融资租赁与资金缺口'!$F$5))*12+MONTH(AG$46)-MONTH('融资租赁与资金缺口'!$F$5))-1)/'融资租赁与资金缺口'!$I$5))))),IF(AG$46&lt;'融资租赁与资金缺口'!$F$6,0,IF(AG$46='融资租赁与资金缺口'!$F$6,'融资租赁与资金缺口'!$E$6,IF(((YEAR(AG$46)-YEAR('融资租赁与资金缺口'!$F$6))*12+MONTH(AG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AG$46)-YEAR('融资租赁与资金缺口'!$F$6))*12+MONTH(AG$46)-MONTH('融资租赁与资金缺口'!$F$6)),'融资租赁与资金缺口'!$E$6*(1+'融资租赁与资金缺口'!$I$6)^((YEAR(AG$46)-YEAR('融资租赁与资金缺口'!$F$6))*12+MONTH(AG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AG$46)-YEAR('融资租赁与资金缺口'!$F$6))*12+MONTH(AG$46)-MONTH('融资租赁与资金缺口'!$F$6))-1)/'融资租赁与资金缺口'!$I$6))))),IF(AG$46&lt;'融资租赁与资金缺口'!$F$7,0,IF(AG$46='融资租赁与资金缺口'!$F$7,'融资租赁与资金缺口'!$E$7,IF(((YEAR(AG$46)-YEAR('融资租赁与资金缺口'!$F$7))*12+MONTH(AG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AG$46)-YEAR('融资租赁与资金缺口'!$F$7))*12+MONTH(AG$46)-MONTH('融资租赁与资金缺口'!$F$7)),'融资租赁与资金缺口'!$E$7*(1+'融资租赁与资金缺口'!$I$7)^((YEAR(AG$46)-YEAR('融资租赁与资金缺口'!$F$7))*12+MONTH(AG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AG$46)-YEAR('融资租赁与资金缺口'!$F$7))*12+MONTH(AG$46)-MONTH('融资租赁与资金缺口'!$F$7))-1)/'融资租赁与资金缺口'!$I$7))))),IF(AG$46&lt;'融资租赁与资金缺口'!$F$8,0,IF(AG$46='融资租赁与资金缺口'!$F$8,'融资租赁与资金缺口'!$E$8,IF(((YEAR(AG$46)-YEAR('融资租赁与资金缺口'!$F$8))*12+MONTH(AG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AG$46)-YEAR('融资租赁与资金缺口'!$F$8))*12+MONTH(AG$46)-MONTH('融资租赁与资金缺口'!$F$8)),'融资租赁与资金缺口'!$E$8*(1+'融资租赁与资金缺口'!$I$8)^((YEAR(AG$46)-YEAR('融资租赁与资金缺口'!$F$8))*12+MONTH(AG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AG$46)-YEAR('融资租赁与资金缺口'!$F$8))*12+MONTH(AG$46)-MONTH('融资租赁与资金缺口'!$F$8))-1)/'融资租赁与资金缺口'!$I$8))))),IF(AG$46&lt;'融资租赁与资金缺口'!$F$9,0,IF(AG$46='融资租赁与资金缺口'!$F$9,'融资租赁与资金缺口'!$E$9,IF(((YEAR(AG$46)-YEAR('融资租赁与资金缺口'!$F$9))*12+MONTH(AG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AG$46)-YEAR('融资租赁与资金缺口'!$F$9))*12+MONTH(AG$46)-MONTH('融资租赁与资金缺口'!$F$9)),'融资租赁与资金缺口'!$E$9*(1+'融资租赁与资金缺口'!$I$9)^((YEAR(AG$46)-YEAR('融资租赁与资金缺口'!$F$9))*12+MONTH(AG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AG$46)-YEAR('融资租赁与资金缺口'!$F$9))*12+MONTH(AG$46)-MONTH('融资租赁与资金缺口'!$F$9))-1)/'融资租赁与资金缺口'!$I$9))))),IF(AG$46&lt;'融资租赁与资金缺口'!$F$10,0,IF(AG$46='融资租赁与资金缺口'!$F$10,'融资租赁与资金缺口'!$E$10,IF(((YEAR(AG$46)-YEAR('融资租赁与资金缺口'!$F$10))*12+MONTH(AG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AG$46)-YEAR('融资租赁与资金缺口'!$F$10))*12+MONTH(AG$46)-MONTH('融资租赁与资金缺口'!$F$10)),'融资租赁与资金缺口'!$E$10*(1+'融资租赁与资金缺口'!$I$10)^((YEAR(AG$46)-YEAR('融资租赁与资金缺口'!$F$10))*12+MONTH(AG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AG$46)-YEAR('融资租赁与资金缺口'!$F$10))*12+MONTH(AG$46)-MONTH('融资租赁与资金缺口'!$F$10))-1)/'融资租赁与资金缺口'!$I$10))))),IF(AG$46&lt;'融资租赁与资金缺口'!$F$11,0,IF(AG$46='融资租赁与资金缺口'!$F$11,'融资租赁与资金缺口'!$E$11,IF(((YEAR(AG$46)-YEAR('融资租赁与资金缺口'!$F$11))*12+MONTH(AG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AG$46)-YEAR('融资租赁与资金缺口'!$F$11))*12+MONTH(AG$46)-MONTH('融资租赁与资金缺口'!$F$11)),'融资租赁与资金缺口'!$E$11*(1+'融资租赁与资金缺口'!$I$11)^((YEAR(AG$46)-YEAR('融资租赁与资金缺口'!$F$11))*12+MONTH(AG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AG$46)-YEAR('融资租赁与资金缺口'!$F$11))*12+MONTH(AG$46)-MONTH('融资租赁与资金缺口'!$F$11))-1)/'融资租赁与资金缺口'!$I$11))))),IF(AG$46&lt;'融资租赁与资金缺口'!$F$12,0,IF(AG$46='融资租赁与资金缺口'!$F$12,'融资租赁与资金缺口'!$E$12,IF(((YEAR(AG$46)-YEAR('融资租赁与资金缺口'!$F$12))*12+MONTH(AG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AG$46)-YEAR('融资租赁与资金缺口'!$F$12))*12+MONTH(AG$46)-MONTH('融资租赁与资金缺口'!$F$12)),'融资租赁与资金缺口'!$E$12*(1+'融资租赁与资金缺口'!$I$12)^((YEAR(AG$46)-YEAR('融资租赁与资金缺口'!$F$12))*12+MONTH(AG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AG$46)-YEAR('融资租赁与资金缺口'!$F$12))*12+MONTH(AG$46)-MONTH('融资租赁与资金缺口'!$F$12))-1)/'融资租赁与资金缺口'!$I$12))))),IF(AG$46&lt;'融资租赁与资金缺口'!$F$13,0,IF(AG$46='融资租赁与资金缺口'!$F$13,'融资租赁与资金缺口'!$E$13,IF(((YEAR(AG$46)-YEAR('融资租赁与资金缺口'!$F$13))*12+MONTH(AG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AG$46)-YEAR('融资租赁与资金缺口'!$F$13))*12+MONTH(AG$46)-MONTH('融资租赁与资金缺口'!$F$13)),'融资租赁与资金缺口'!$E$13*(1+'融资租赁与资金缺口'!$I$13)^((YEAR(AG$46)-YEAR('融资租赁与资金缺口'!$F$13))*12+MONTH(AG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AG$46)-YEAR('融资租赁与资金缺口'!$F$13))*12+MONTH(AG$46)-MONTH('融资租赁与资金缺口'!$F$13))-1)/'融资租赁与资金缺口'!$I$13))))),IF(AG$46&lt;'融资租赁与资金缺口'!$F$14,0,IF(AG$46='融资租赁与资金缺口'!$F$14,'融资租赁与资金缺口'!$E$14,IF(((YEAR(AG$46)-YEAR('融资租赁与资金缺口'!$F$14))*12+MONTH(AG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AG$46)-YEAR('融资租赁与资金缺口'!$F$14))*12+MONTH(AG$46)-MONTH('融资租赁与资金缺口'!$F$14)),'融资租赁与资金缺口'!$E$14*(1+'融资租赁与资金缺口'!$I$14)^((YEAR(AG$46)-YEAR('融资租赁与资金缺口'!$F$14))*12+MONTH(AG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AG$46)-YEAR('融资租赁与资金缺口'!$F$14))*12+MONTH(AG$46)-MONTH('融资租赁与资金缺口'!$F$14))-1)/'融资租赁与资金缺口'!$I$14))))),IF(AG$46&lt;'融资租赁与资金缺口'!$F$15,0,IF(AG$46='融资租赁与资金缺口'!$F$15,'融资租赁与资金缺口'!$E$15,IF(((YEAR(AG$46)-YEAR('融资租赁与资金缺口'!$F$15))*12+MONTH(AG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AG$46)-YEAR('融资租赁与资金缺口'!$F$15))*12+MONTH(AG$46)-MONTH('融资租赁与资金缺口'!$F$15)),'融资租赁与资金缺口'!$E$15*(1+'融资租赁与资金缺口'!$I$15)^((YEAR(AG$46)-YEAR('融资租赁与资金缺口'!$F$15))*12+MONTH(AG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AG$46)-YEAR('融资租赁与资金缺口'!$F$15))*12+MONTH(AG$46)-MONTH('融资租赁与资金缺口'!$F$15))-1)/'融资租赁与资金缺口'!$I$15))))),IF(AG$46&lt;'融资租赁与资金缺口'!$F$16,0,IF(AG$46='融资租赁与资金缺口'!$F$16,'融资租赁与资金缺口'!$E$16,IF(((YEAR(AG$46)-YEAR('融资租赁与资金缺口'!$F$16))*12+MONTH(AG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AG$46)-YEAR('融资租赁与资金缺口'!$F$16))*12+MONTH(AG$46)-MONTH('融资租赁与资金缺口'!$F$16)),'融资租赁与资金缺口'!$E$16*(1+'融资租赁与资金缺口'!$I$16)^((YEAR(AG$46)-YEAR('融资租赁与资金缺口'!$F$16))*12+MONTH(AG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AG$46)-YEAR('融资租赁与资金缺口'!$F$16))*12+MONTH(AG$46)-MONTH('融资租赁与资金缺口'!$F$16))-1)/'融资租赁与资金缺口'!$I$16))))))</x:f>
        <x:v>22992000</x:v>
      </x:c>
      <x:c r="AH58" s="28" t="n">
        <x:f>SUM(IF(AH$46&lt;'融资租赁与资金缺口'!$F$5,0,IF(AH$46='融资租赁与资金缺口'!$F$5,'融资租赁与资金缺口'!$E$5,IF(((YEAR(AH$46)-YEAR('融资租赁与资金缺口'!$F$5))*12+MONTH(AH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AH$46)-YEAR('融资租赁与资金缺口'!$F$5))*12+MONTH(AH$46)-MONTH('融资租赁与资金缺口'!$F$5)),'融资租赁与资金缺口'!$E$5*(1+'融资租赁与资金缺口'!$I$5)^((YEAR(AH$46)-YEAR('融资租赁与资金缺口'!$F$5))*12+MONTH(AH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AH$46)-YEAR('融资租赁与资金缺口'!$F$5))*12+MONTH(AH$46)-MONTH('融资租赁与资金缺口'!$F$5))-1)/'融资租赁与资金缺口'!$I$5))))),IF(AH$46&lt;'融资租赁与资金缺口'!$F$6,0,IF(AH$46='融资租赁与资金缺口'!$F$6,'融资租赁与资金缺口'!$E$6,IF(((YEAR(AH$46)-YEAR('融资租赁与资金缺口'!$F$6))*12+MONTH(AH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AH$46)-YEAR('融资租赁与资金缺口'!$F$6))*12+MONTH(AH$46)-MONTH('融资租赁与资金缺口'!$F$6)),'融资租赁与资金缺口'!$E$6*(1+'融资租赁与资金缺口'!$I$6)^((YEAR(AH$46)-YEAR('融资租赁与资金缺口'!$F$6))*12+MONTH(AH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AH$46)-YEAR('融资租赁与资金缺口'!$F$6))*12+MONTH(AH$46)-MONTH('融资租赁与资金缺口'!$F$6))-1)/'融资租赁与资金缺口'!$I$6))))),IF(AH$46&lt;'融资租赁与资金缺口'!$F$7,0,IF(AH$46='融资租赁与资金缺口'!$F$7,'融资租赁与资金缺口'!$E$7,IF(((YEAR(AH$46)-YEAR('融资租赁与资金缺口'!$F$7))*12+MONTH(AH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AH$46)-YEAR('融资租赁与资金缺口'!$F$7))*12+MONTH(AH$46)-MONTH('融资租赁与资金缺口'!$F$7)),'融资租赁与资金缺口'!$E$7*(1+'融资租赁与资金缺口'!$I$7)^((YEAR(AH$46)-YEAR('融资租赁与资金缺口'!$F$7))*12+MONTH(AH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AH$46)-YEAR('融资租赁与资金缺口'!$F$7))*12+MONTH(AH$46)-MONTH('融资租赁与资金缺口'!$F$7))-1)/'融资租赁与资金缺口'!$I$7))))),IF(AH$46&lt;'融资租赁与资金缺口'!$F$8,0,IF(AH$46='融资租赁与资金缺口'!$F$8,'融资租赁与资金缺口'!$E$8,IF(((YEAR(AH$46)-YEAR('融资租赁与资金缺口'!$F$8))*12+MONTH(AH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AH$46)-YEAR('融资租赁与资金缺口'!$F$8))*12+MONTH(AH$46)-MONTH('融资租赁与资金缺口'!$F$8)),'融资租赁与资金缺口'!$E$8*(1+'融资租赁与资金缺口'!$I$8)^((YEAR(AH$46)-YEAR('融资租赁与资金缺口'!$F$8))*12+MONTH(AH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AH$46)-YEAR('融资租赁与资金缺口'!$F$8))*12+MONTH(AH$46)-MONTH('融资租赁与资金缺口'!$F$8))-1)/'融资租赁与资金缺口'!$I$8))))),IF(AH$46&lt;'融资租赁与资金缺口'!$F$9,0,IF(AH$46='融资租赁与资金缺口'!$F$9,'融资租赁与资金缺口'!$E$9,IF(((YEAR(AH$46)-YEAR('融资租赁与资金缺口'!$F$9))*12+MONTH(AH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AH$46)-YEAR('融资租赁与资金缺口'!$F$9))*12+MONTH(AH$46)-MONTH('融资租赁与资金缺口'!$F$9)),'融资租赁与资金缺口'!$E$9*(1+'融资租赁与资金缺口'!$I$9)^((YEAR(AH$46)-YEAR('融资租赁与资金缺口'!$F$9))*12+MONTH(AH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AH$46)-YEAR('融资租赁与资金缺口'!$F$9))*12+MONTH(AH$46)-MONTH('融资租赁与资金缺口'!$F$9))-1)/'融资租赁与资金缺口'!$I$9))))),IF(AH$46&lt;'融资租赁与资金缺口'!$F$10,0,IF(AH$46='融资租赁与资金缺口'!$F$10,'融资租赁与资金缺口'!$E$10,IF(((YEAR(AH$46)-YEAR('融资租赁与资金缺口'!$F$10))*12+MONTH(AH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AH$46)-YEAR('融资租赁与资金缺口'!$F$10))*12+MONTH(AH$46)-MONTH('融资租赁与资金缺口'!$F$10)),'融资租赁与资金缺口'!$E$10*(1+'融资租赁与资金缺口'!$I$10)^((YEAR(AH$46)-YEAR('融资租赁与资金缺口'!$F$10))*12+MONTH(AH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AH$46)-YEAR('融资租赁与资金缺口'!$F$10))*12+MONTH(AH$46)-MONTH('融资租赁与资金缺口'!$F$10))-1)/'融资租赁与资金缺口'!$I$10))))),IF(AH$46&lt;'融资租赁与资金缺口'!$F$11,0,IF(AH$46='融资租赁与资金缺口'!$F$11,'融资租赁与资金缺口'!$E$11,IF(((YEAR(AH$46)-YEAR('融资租赁与资金缺口'!$F$11))*12+MONTH(AH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AH$46)-YEAR('融资租赁与资金缺口'!$F$11))*12+MONTH(AH$46)-MONTH('融资租赁与资金缺口'!$F$11)),'融资租赁与资金缺口'!$E$11*(1+'融资租赁与资金缺口'!$I$11)^((YEAR(AH$46)-YEAR('融资租赁与资金缺口'!$F$11))*12+MONTH(AH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AH$46)-YEAR('融资租赁与资金缺口'!$F$11))*12+MONTH(AH$46)-MONTH('融资租赁与资金缺口'!$F$11))-1)/'融资租赁与资金缺口'!$I$11))))),IF(AH$46&lt;'融资租赁与资金缺口'!$F$12,0,IF(AH$46='融资租赁与资金缺口'!$F$12,'融资租赁与资金缺口'!$E$12,IF(((YEAR(AH$46)-YEAR('融资租赁与资金缺口'!$F$12))*12+MONTH(AH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AH$46)-YEAR('融资租赁与资金缺口'!$F$12))*12+MONTH(AH$46)-MONTH('融资租赁与资金缺口'!$F$12)),'融资租赁与资金缺口'!$E$12*(1+'融资租赁与资金缺口'!$I$12)^((YEAR(AH$46)-YEAR('融资租赁与资金缺口'!$F$12))*12+MONTH(AH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AH$46)-YEAR('融资租赁与资金缺口'!$F$12))*12+MONTH(AH$46)-MONTH('融资租赁与资金缺口'!$F$12))-1)/'融资租赁与资金缺口'!$I$12))))),IF(AH$46&lt;'融资租赁与资金缺口'!$F$13,0,IF(AH$46='融资租赁与资金缺口'!$F$13,'融资租赁与资金缺口'!$E$13,IF(((YEAR(AH$46)-YEAR('融资租赁与资金缺口'!$F$13))*12+MONTH(AH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AH$46)-YEAR('融资租赁与资金缺口'!$F$13))*12+MONTH(AH$46)-MONTH('融资租赁与资金缺口'!$F$13)),'融资租赁与资金缺口'!$E$13*(1+'融资租赁与资金缺口'!$I$13)^((YEAR(AH$46)-YEAR('融资租赁与资金缺口'!$F$13))*12+MONTH(AH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AH$46)-YEAR('融资租赁与资金缺口'!$F$13))*12+MONTH(AH$46)-MONTH('融资租赁与资金缺口'!$F$13))-1)/'融资租赁与资金缺口'!$I$13))))),IF(AH$46&lt;'融资租赁与资金缺口'!$F$14,0,IF(AH$46='融资租赁与资金缺口'!$F$14,'融资租赁与资金缺口'!$E$14,IF(((YEAR(AH$46)-YEAR('融资租赁与资金缺口'!$F$14))*12+MONTH(AH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AH$46)-YEAR('融资租赁与资金缺口'!$F$14))*12+MONTH(AH$46)-MONTH('融资租赁与资金缺口'!$F$14)),'融资租赁与资金缺口'!$E$14*(1+'融资租赁与资金缺口'!$I$14)^((YEAR(AH$46)-YEAR('融资租赁与资金缺口'!$F$14))*12+MONTH(AH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AH$46)-YEAR('融资租赁与资金缺口'!$F$14))*12+MONTH(AH$46)-MONTH('融资租赁与资金缺口'!$F$14))-1)/'融资租赁与资金缺口'!$I$14))))),IF(AH$46&lt;'融资租赁与资金缺口'!$F$15,0,IF(AH$46='融资租赁与资金缺口'!$F$15,'融资租赁与资金缺口'!$E$15,IF(((YEAR(AH$46)-YEAR('融资租赁与资金缺口'!$F$15))*12+MONTH(AH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AH$46)-YEAR('融资租赁与资金缺口'!$F$15))*12+MONTH(AH$46)-MONTH('融资租赁与资金缺口'!$F$15)),'融资租赁与资金缺口'!$E$15*(1+'融资租赁与资金缺口'!$I$15)^((YEAR(AH$46)-YEAR('融资租赁与资金缺口'!$F$15))*12+MONTH(AH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AH$46)-YEAR('融资租赁与资金缺口'!$F$15))*12+MONTH(AH$46)-MONTH('融资租赁与资金缺口'!$F$15))-1)/'融资租赁与资金缺口'!$I$15))))),IF(AH$46&lt;'融资租赁与资金缺口'!$F$16,0,IF(AH$46='融资租赁与资金缺口'!$F$16,'融资租赁与资金缺口'!$E$16,IF(((YEAR(AH$46)-YEAR('融资租赁与资金缺口'!$F$16))*12+MONTH(AH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AH$46)-YEAR('融资租赁与资金缺口'!$F$16))*12+MONTH(AH$46)-MONTH('融资租赁与资金缺口'!$F$16)),'融资租赁与资金缺口'!$E$16*(1+'融资租赁与资金缺口'!$I$16)^((YEAR(AH$46)-YEAR('融资租赁与资金缺口'!$F$16))*12+MONTH(AH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AH$46)-YEAR('融资租赁与资金缺口'!$F$16))*12+MONTH(AH$46)-MONTH('融资租赁与资金缺口'!$F$16))-1)/'融资租赁与资金缺口'!$I$16))))))</x:f>
        <x:v>49997466.342457674</x:v>
      </x:c>
      <x:c r="AI58" s="28" t="n">
        <x:f>SUM(IF(AI$46&lt;'融资租赁与资金缺口'!$F$5,0,IF(AI$46='融资租赁与资金缺口'!$F$5,'融资租赁与资金缺口'!$E$5,IF(((YEAR(AI$46)-YEAR('融资租赁与资金缺口'!$F$5))*12+MONTH(AI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AI$46)-YEAR('融资租赁与资金缺口'!$F$5))*12+MONTH(AI$46)-MONTH('融资租赁与资金缺口'!$F$5)),'融资租赁与资金缺口'!$E$5*(1+'融资租赁与资金缺口'!$I$5)^((YEAR(AI$46)-YEAR('融资租赁与资金缺口'!$F$5))*12+MONTH(AI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AI$46)-YEAR('融资租赁与资金缺口'!$F$5))*12+MONTH(AI$46)-MONTH('融资租赁与资金缺口'!$F$5))-1)/'融资租赁与资金缺口'!$I$5))))),IF(AI$46&lt;'融资租赁与资金缺口'!$F$6,0,IF(AI$46='融资租赁与资金缺口'!$F$6,'融资租赁与资金缺口'!$E$6,IF(((YEAR(AI$46)-YEAR('融资租赁与资金缺口'!$F$6))*12+MONTH(AI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AI$46)-YEAR('融资租赁与资金缺口'!$F$6))*12+MONTH(AI$46)-MONTH('融资租赁与资金缺口'!$F$6)),'融资租赁与资金缺口'!$E$6*(1+'融资租赁与资金缺口'!$I$6)^((YEAR(AI$46)-YEAR('融资租赁与资金缺口'!$F$6))*12+MONTH(AI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AI$46)-YEAR('融资租赁与资金缺口'!$F$6))*12+MONTH(AI$46)-MONTH('融资租赁与资金缺口'!$F$6))-1)/'融资租赁与资金缺口'!$I$6))))),IF(AI$46&lt;'融资租赁与资金缺口'!$F$7,0,IF(AI$46='融资租赁与资金缺口'!$F$7,'融资租赁与资金缺口'!$E$7,IF(((YEAR(AI$46)-YEAR('融资租赁与资金缺口'!$F$7))*12+MONTH(AI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AI$46)-YEAR('融资租赁与资金缺口'!$F$7))*12+MONTH(AI$46)-MONTH('融资租赁与资金缺口'!$F$7)),'融资租赁与资金缺口'!$E$7*(1+'融资租赁与资金缺口'!$I$7)^((YEAR(AI$46)-YEAR('融资租赁与资金缺口'!$F$7))*12+MONTH(AI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AI$46)-YEAR('融资租赁与资金缺口'!$F$7))*12+MONTH(AI$46)-MONTH('融资租赁与资金缺口'!$F$7))-1)/'融资租赁与资金缺口'!$I$7))))),IF(AI$46&lt;'融资租赁与资金缺口'!$F$8,0,IF(AI$46='融资租赁与资金缺口'!$F$8,'融资租赁与资金缺口'!$E$8,IF(((YEAR(AI$46)-YEAR('融资租赁与资金缺口'!$F$8))*12+MONTH(AI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AI$46)-YEAR('融资租赁与资金缺口'!$F$8))*12+MONTH(AI$46)-MONTH('融资租赁与资金缺口'!$F$8)),'融资租赁与资金缺口'!$E$8*(1+'融资租赁与资金缺口'!$I$8)^((YEAR(AI$46)-YEAR('融资租赁与资金缺口'!$F$8))*12+MONTH(AI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AI$46)-YEAR('融资租赁与资金缺口'!$F$8))*12+MONTH(AI$46)-MONTH('融资租赁与资金缺口'!$F$8))-1)/'融资租赁与资金缺口'!$I$8))))),IF(AI$46&lt;'融资租赁与资金缺口'!$F$9,0,IF(AI$46='融资租赁与资金缺口'!$F$9,'融资租赁与资金缺口'!$E$9,IF(((YEAR(AI$46)-YEAR('融资租赁与资金缺口'!$F$9))*12+MONTH(AI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AI$46)-YEAR('融资租赁与资金缺口'!$F$9))*12+MONTH(AI$46)-MONTH('融资租赁与资金缺口'!$F$9)),'融资租赁与资金缺口'!$E$9*(1+'融资租赁与资金缺口'!$I$9)^((YEAR(AI$46)-YEAR('融资租赁与资金缺口'!$F$9))*12+MONTH(AI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AI$46)-YEAR('融资租赁与资金缺口'!$F$9))*12+MONTH(AI$46)-MONTH('融资租赁与资金缺口'!$F$9))-1)/'融资租赁与资金缺口'!$I$9))))),IF(AI$46&lt;'融资租赁与资金缺口'!$F$10,0,IF(AI$46='融资租赁与资金缺口'!$F$10,'融资租赁与资金缺口'!$E$10,IF(((YEAR(AI$46)-YEAR('融资租赁与资金缺口'!$F$10))*12+MONTH(AI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AI$46)-YEAR('融资租赁与资金缺口'!$F$10))*12+MONTH(AI$46)-MONTH('融资租赁与资金缺口'!$F$10)),'融资租赁与资金缺口'!$E$10*(1+'融资租赁与资金缺口'!$I$10)^((YEAR(AI$46)-YEAR('融资租赁与资金缺口'!$F$10))*12+MONTH(AI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AI$46)-YEAR('融资租赁与资金缺口'!$F$10))*12+MONTH(AI$46)-MONTH('融资租赁与资金缺口'!$F$10))-1)/'融资租赁与资金缺口'!$I$10))))),IF(AI$46&lt;'融资租赁与资金缺口'!$F$11,0,IF(AI$46='融资租赁与资金缺口'!$F$11,'融资租赁与资金缺口'!$E$11,IF(((YEAR(AI$46)-YEAR('融资租赁与资金缺口'!$F$11))*12+MONTH(AI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AI$46)-YEAR('融资租赁与资金缺口'!$F$11))*12+MONTH(AI$46)-MONTH('融资租赁与资金缺口'!$F$11)),'融资租赁与资金缺口'!$E$11*(1+'融资租赁与资金缺口'!$I$11)^((YEAR(AI$46)-YEAR('融资租赁与资金缺口'!$F$11))*12+MONTH(AI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AI$46)-YEAR('融资租赁与资金缺口'!$F$11))*12+MONTH(AI$46)-MONTH('融资租赁与资金缺口'!$F$11))-1)/'融资租赁与资金缺口'!$I$11))))),IF(AI$46&lt;'融资租赁与资金缺口'!$F$12,0,IF(AI$46='融资租赁与资金缺口'!$F$12,'融资租赁与资金缺口'!$E$12,IF(((YEAR(AI$46)-YEAR('融资租赁与资金缺口'!$F$12))*12+MONTH(AI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AI$46)-YEAR('融资租赁与资金缺口'!$F$12))*12+MONTH(AI$46)-MONTH('融资租赁与资金缺口'!$F$12)),'融资租赁与资金缺口'!$E$12*(1+'融资租赁与资金缺口'!$I$12)^((YEAR(AI$46)-YEAR('融资租赁与资金缺口'!$F$12))*12+MONTH(AI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AI$46)-YEAR('融资租赁与资金缺口'!$F$12))*12+MONTH(AI$46)-MONTH('融资租赁与资金缺口'!$F$12))-1)/'融资租赁与资金缺口'!$I$12))))),IF(AI$46&lt;'融资租赁与资金缺口'!$F$13,0,IF(AI$46='融资租赁与资金缺口'!$F$13,'融资租赁与资金缺口'!$E$13,IF(((YEAR(AI$46)-YEAR('融资租赁与资金缺口'!$F$13))*12+MONTH(AI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AI$46)-YEAR('融资租赁与资金缺口'!$F$13))*12+MONTH(AI$46)-MONTH('融资租赁与资金缺口'!$F$13)),'融资租赁与资金缺口'!$E$13*(1+'融资租赁与资金缺口'!$I$13)^((YEAR(AI$46)-YEAR('融资租赁与资金缺口'!$F$13))*12+MONTH(AI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AI$46)-YEAR('融资租赁与资金缺口'!$F$13))*12+MONTH(AI$46)-MONTH('融资租赁与资金缺口'!$F$13))-1)/'融资租赁与资金缺口'!$I$13))))),IF(AI$46&lt;'融资租赁与资金缺口'!$F$14,0,IF(AI$46='融资租赁与资金缺口'!$F$14,'融资租赁与资金缺口'!$E$14,IF(((YEAR(AI$46)-YEAR('融资租赁与资金缺口'!$F$14))*12+MONTH(AI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AI$46)-YEAR('融资租赁与资金缺口'!$F$14))*12+MONTH(AI$46)-MONTH('融资租赁与资金缺口'!$F$14)),'融资租赁与资金缺口'!$E$14*(1+'融资租赁与资金缺口'!$I$14)^((YEAR(AI$46)-YEAR('融资租赁与资金缺口'!$F$14))*12+MONTH(AI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AI$46)-YEAR('融资租赁与资金缺口'!$F$14))*12+MONTH(AI$46)-MONTH('融资租赁与资金缺口'!$F$14))-1)/'融资租赁与资金缺口'!$I$14))))),IF(AI$46&lt;'融资租赁与资金缺口'!$F$15,0,IF(AI$46='融资租赁与资金缺口'!$F$15,'融资租赁与资金缺口'!$E$15,IF(((YEAR(AI$46)-YEAR('融资租赁与资金缺口'!$F$15))*12+MONTH(AI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AI$46)-YEAR('融资租赁与资金缺口'!$F$15))*12+MONTH(AI$46)-MONTH('融资租赁与资金缺口'!$F$15)),'融资租赁与资金缺口'!$E$15*(1+'融资租赁与资金缺口'!$I$15)^((YEAR(AI$46)-YEAR('融资租赁与资金缺口'!$F$15))*12+MONTH(AI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AI$46)-YEAR('融资租赁与资金缺口'!$F$15))*12+MONTH(AI$46)-MONTH('融资租赁与资金缺口'!$F$15))-1)/'融资租赁与资金缺口'!$I$15))))),IF(AI$46&lt;'融资租赁与资金缺口'!$F$16,0,IF(AI$46='融资租赁与资金缺口'!$F$16,'融资租赁与资金缺口'!$E$16,IF(((YEAR(AI$46)-YEAR('融资租赁与资金缺口'!$F$16))*12+MONTH(AI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AI$46)-YEAR('融资租赁与资金缺口'!$F$16))*12+MONTH(AI$46)-MONTH('融资租赁与资金缺口'!$F$16)),'融资租赁与资金缺口'!$E$16*(1+'融资租赁与资金缺口'!$I$16)^((YEAR(AI$46)-YEAR('融资租赁与资金缺口'!$F$16))*12+MONTH(AI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AI$46)-YEAR('融资租赁与资金缺口'!$F$16))*12+MONTH(AI$46)-MONTH('融资租赁与资金缺口'!$F$16))-1)/'融资租赁与资金缺口'!$I$16))))))</x:f>
        <x:v>80861920.23638988</x:v>
      </x:c>
      <x:c r="AJ58" s="28" t="n">
        <x:f>SUM(IF(AJ$46&lt;'融资租赁与资金缺口'!$F$5,0,IF(AJ$46='融资租赁与资金缺口'!$F$5,'融资租赁与资金缺口'!$E$5,IF(((YEAR(AJ$46)-YEAR('融资租赁与资金缺口'!$F$5))*12+MONTH(AJ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AJ$46)-YEAR('融资租赁与资金缺口'!$F$5))*12+MONTH(AJ$46)-MONTH('融资租赁与资金缺口'!$F$5)),'融资租赁与资金缺口'!$E$5*(1+'融资租赁与资金缺口'!$I$5)^((YEAR(AJ$46)-YEAR('融资租赁与资金缺口'!$F$5))*12+MONTH(AJ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AJ$46)-YEAR('融资租赁与资金缺口'!$F$5))*12+MONTH(AJ$46)-MONTH('融资租赁与资金缺口'!$F$5))-1)/'融资租赁与资金缺口'!$I$5))))),IF(AJ$46&lt;'融资租赁与资金缺口'!$F$6,0,IF(AJ$46='融资租赁与资金缺口'!$F$6,'融资租赁与资金缺口'!$E$6,IF(((YEAR(AJ$46)-YEAR('融资租赁与资金缺口'!$F$6))*12+MONTH(AJ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AJ$46)-YEAR('融资租赁与资金缺口'!$F$6))*12+MONTH(AJ$46)-MONTH('融资租赁与资金缺口'!$F$6)),'融资租赁与资金缺口'!$E$6*(1+'融资租赁与资金缺口'!$I$6)^((YEAR(AJ$46)-YEAR('融资租赁与资金缺口'!$F$6))*12+MONTH(AJ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AJ$46)-YEAR('融资租赁与资金缺口'!$F$6))*12+MONTH(AJ$46)-MONTH('融资租赁与资金缺口'!$F$6))-1)/'融资租赁与资金缺口'!$I$6))))),IF(AJ$46&lt;'融资租赁与资金缺口'!$F$7,0,IF(AJ$46='融资租赁与资金缺口'!$F$7,'融资租赁与资金缺口'!$E$7,IF(((YEAR(AJ$46)-YEAR('融资租赁与资金缺口'!$F$7))*12+MONTH(AJ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AJ$46)-YEAR('融资租赁与资金缺口'!$F$7))*12+MONTH(AJ$46)-MONTH('融资租赁与资金缺口'!$F$7)),'融资租赁与资金缺口'!$E$7*(1+'融资租赁与资金缺口'!$I$7)^((YEAR(AJ$46)-YEAR('融资租赁与资金缺口'!$F$7))*12+MONTH(AJ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AJ$46)-YEAR('融资租赁与资金缺口'!$F$7))*12+MONTH(AJ$46)-MONTH('融资租赁与资金缺口'!$F$7))-1)/'融资租赁与资金缺口'!$I$7))))),IF(AJ$46&lt;'融资租赁与资金缺口'!$F$8,0,IF(AJ$46='融资租赁与资金缺口'!$F$8,'融资租赁与资金缺口'!$E$8,IF(((YEAR(AJ$46)-YEAR('融资租赁与资金缺口'!$F$8))*12+MONTH(AJ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AJ$46)-YEAR('融资租赁与资金缺口'!$F$8))*12+MONTH(AJ$46)-MONTH('融资租赁与资金缺口'!$F$8)),'融资租赁与资金缺口'!$E$8*(1+'融资租赁与资金缺口'!$I$8)^((YEAR(AJ$46)-YEAR('融资租赁与资金缺口'!$F$8))*12+MONTH(AJ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AJ$46)-YEAR('融资租赁与资金缺口'!$F$8))*12+MONTH(AJ$46)-MONTH('融资租赁与资金缺口'!$F$8))-1)/'融资租赁与资金缺口'!$I$8))))),IF(AJ$46&lt;'融资租赁与资金缺口'!$F$9,0,IF(AJ$46='融资租赁与资金缺口'!$F$9,'融资租赁与资金缺口'!$E$9,IF(((YEAR(AJ$46)-YEAR('融资租赁与资金缺口'!$F$9))*12+MONTH(AJ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AJ$46)-YEAR('融资租赁与资金缺口'!$F$9))*12+MONTH(AJ$46)-MONTH('融资租赁与资金缺口'!$F$9)),'融资租赁与资金缺口'!$E$9*(1+'融资租赁与资金缺口'!$I$9)^((YEAR(AJ$46)-YEAR('融资租赁与资金缺口'!$F$9))*12+MONTH(AJ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AJ$46)-YEAR('融资租赁与资金缺口'!$F$9))*12+MONTH(AJ$46)-MONTH('融资租赁与资金缺口'!$F$9))-1)/'融资租赁与资金缺口'!$I$9))))),IF(AJ$46&lt;'融资租赁与资金缺口'!$F$10,0,IF(AJ$46='融资租赁与资金缺口'!$F$10,'融资租赁与资金缺口'!$E$10,IF(((YEAR(AJ$46)-YEAR('融资租赁与资金缺口'!$F$10))*12+MONTH(AJ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AJ$46)-YEAR('融资租赁与资金缺口'!$F$10))*12+MONTH(AJ$46)-MONTH('融资租赁与资金缺口'!$F$10)),'融资租赁与资金缺口'!$E$10*(1+'融资租赁与资金缺口'!$I$10)^((YEAR(AJ$46)-YEAR('融资租赁与资金缺口'!$F$10))*12+MONTH(AJ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AJ$46)-YEAR('融资租赁与资金缺口'!$F$10))*12+MONTH(AJ$46)-MONTH('融资租赁与资金缺口'!$F$10))-1)/'融资租赁与资金缺口'!$I$10))))),IF(AJ$46&lt;'融资租赁与资金缺口'!$F$11,0,IF(AJ$46='融资租赁与资金缺口'!$F$11,'融资租赁与资金缺口'!$E$11,IF(((YEAR(AJ$46)-YEAR('融资租赁与资金缺口'!$F$11))*12+MONTH(AJ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AJ$46)-YEAR('融资租赁与资金缺口'!$F$11))*12+MONTH(AJ$46)-MONTH('融资租赁与资金缺口'!$F$11)),'融资租赁与资金缺口'!$E$11*(1+'融资租赁与资金缺口'!$I$11)^((YEAR(AJ$46)-YEAR('融资租赁与资金缺口'!$F$11))*12+MONTH(AJ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AJ$46)-YEAR('融资租赁与资金缺口'!$F$11))*12+MONTH(AJ$46)-MONTH('融资租赁与资金缺口'!$F$11))-1)/'融资租赁与资金缺口'!$I$11))))),IF(AJ$46&lt;'融资租赁与资金缺口'!$F$12,0,IF(AJ$46='融资租赁与资金缺口'!$F$12,'融资租赁与资金缺口'!$E$12,IF(((YEAR(AJ$46)-YEAR('融资租赁与资金缺口'!$F$12))*12+MONTH(AJ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AJ$46)-YEAR('融资租赁与资金缺口'!$F$12))*12+MONTH(AJ$46)-MONTH('融资租赁与资金缺口'!$F$12)),'融资租赁与资金缺口'!$E$12*(1+'融资租赁与资金缺口'!$I$12)^((YEAR(AJ$46)-YEAR('融资租赁与资金缺口'!$F$12))*12+MONTH(AJ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AJ$46)-YEAR('融资租赁与资金缺口'!$F$12))*12+MONTH(AJ$46)-MONTH('融资租赁与资金缺口'!$F$12))-1)/'融资租赁与资金缺口'!$I$12))))),IF(AJ$46&lt;'融资租赁与资金缺口'!$F$13,0,IF(AJ$46='融资租赁与资金缺口'!$F$13,'融资租赁与资金缺口'!$E$13,IF(((YEAR(AJ$46)-YEAR('融资租赁与资金缺口'!$F$13))*12+MONTH(AJ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AJ$46)-YEAR('融资租赁与资金缺口'!$F$13))*12+MONTH(AJ$46)-MONTH('融资租赁与资金缺口'!$F$13)),'融资租赁与资金缺口'!$E$13*(1+'融资租赁与资金缺口'!$I$13)^((YEAR(AJ$46)-YEAR('融资租赁与资金缺口'!$F$13))*12+MONTH(AJ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AJ$46)-YEAR('融资租赁与资金缺口'!$F$13))*12+MONTH(AJ$46)-MONTH('融资租赁与资金缺口'!$F$13))-1)/'融资租赁与资金缺口'!$I$13))))),IF(AJ$46&lt;'融资租赁与资金缺口'!$F$14,0,IF(AJ$46='融资租赁与资金缺口'!$F$14,'融资租赁与资金缺口'!$E$14,IF(((YEAR(AJ$46)-YEAR('融资租赁与资金缺口'!$F$14))*12+MONTH(AJ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AJ$46)-YEAR('融资租赁与资金缺口'!$F$14))*12+MONTH(AJ$46)-MONTH('融资租赁与资金缺口'!$F$14)),'融资租赁与资金缺口'!$E$14*(1+'融资租赁与资金缺口'!$I$14)^((YEAR(AJ$46)-YEAR('融资租赁与资金缺口'!$F$14))*12+MONTH(AJ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AJ$46)-YEAR('融资租赁与资金缺口'!$F$14))*12+MONTH(AJ$46)-MONTH('融资租赁与资金缺口'!$F$14))-1)/'融资租赁与资金缺口'!$I$14))))),IF(AJ$46&lt;'融资租赁与资金缺口'!$F$15,0,IF(AJ$46='融资租赁与资金缺口'!$F$15,'融资租赁与资金缺口'!$E$15,IF(((YEAR(AJ$46)-YEAR('融资租赁与资金缺口'!$F$15))*12+MONTH(AJ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AJ$46)-YEAR('融资租赁与资金缺口'!$F$15))*12+MONTH(AJ$46)-MONTH('融资租赁与资金缺口'!$F$15)),'融资租赁与资金缺口'!$E$15*(1+'融资租赁与资金缺口'!$I$15)^((YEAR(AJ$46)-YEAR('融资租赁与资金缺口'!$F$15))*12+MONTH(AJ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AJ$46)-YEAR('融资租赁与资金缺口'!$F$15))*12+MONTH(AJ$46)-MONTH('融资租赁与资金缺口'!$F$15))-1)/'融资租赁与资金缺口'!$I$15))))),IF(AJ$46&lt;'融资租赁与资金缺口'!$F$16,0,IF(AJ$46='融资租赁与资金缺口'!$F$16,'融资租赁与资金缺口'!$E$16,IF(((YEAR(AJ$46)-YEAR('融资租赁与资金缺口'!$F$16))*12+MONTH(AJ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AJ$46)-YEAR('融资租赁与资金缺口'!$F$16))*12+MONTH(AJ$46)-MONTH('融资租赁与资金缺口'!$F$16)),'融资租赁与资金缺口'!$E$16*(1+'融资租赁与资金缺口'!$I$16)^((YEAR(AJ$46)-YEAR('融资租赁与资金缺口'!$F$16))*12+MONTH(AJ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AJ$46)-YEAR('融资租赁与资金缺口'!$F$16))*12+MONTH(AJ$46)-MONTH('融资租赁与资金缺口'!$F$16))-1)/'融资租赁与资金缺口'!$I$16))))))</x:f>
        <x:v>115509065.5292774</x:v>
      </x:c>
      <x:c r="AK58" s="28" t="n">
        <x:f>SUM(IF(AK$46&lt;'融资租赁与资金缺口'!$F$5,0,IF(AK$46='融资租赁与资金缺口'!$F$5,'融资租赁与资金缺口'!$E$5,IF(((YEAR(AK$46)-YEAR('融资租赁与资金缺口'!$F$5))*12+MONTH(AK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AK$46)-YEAR('融资租赁与资金缺口'!$F$5))*12+MONTH(AK$46)-MONTH('融资租赁与资金缺口'!$F$5)),'融资租赁与资金缺口'!$E$5*(1+'融资租赁与资金缺口'!$I$5)^((YEAR(AK$46)-YEAR('融资租赁与资金缺口'!$F$5))*12+MONTH(AK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AK$46)-YEAR('融资租赁与资金缺口'!$F$5))*12+MONTH(AK$46)-MONTH('融资租赁与资金缺口'!$F$5))-1)/'融资租赁与资金缺口'!$I$5))))),IF(AK$46&lt;'融资租赁与资金缺口'!$F$6,0,IF(AK$46='融资租赁与资金缺口'!$F$6,'融资租赁与资金缺口'!$E$6,IF(((YEAR(AK$46)-YEAR('融资租赁与资金缺口'!$F$6))*12+MONTH(AK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AK$46)-YEAR('融资租赁与资金缺口'!$F$6))*12+MONTH(AK$46)-MONTH('融资租赁与资金缺口'!$F$6)),'融资租赁与资金缺口'!$E$6*(1+'融资租赁与资金缺口'!$I$6)^((YEAR(AK$46)-YEAR('融资租赁与资金缺口'!$F$6))*12+MONTH(AK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AK$46)-YEAR('融资租赁与资金缺口'!$F$6))*12+MONTH(AK$46)-MONTH('融资租赁与资金缺口'!$F$6))-1)/'融资租赁与资金缺口'!$I$6))))),IF(AK$46&lt;'融资租赁与资金缺口'!$F$7,0,IF(AK$46='融资租赁与资金缺口'!$F$7,'融资租赁与资金缺口'!$E$7,IF(((YEAR(AK$46)-YEAR('融资租赁与资金缺口'!$F$7))*12+MONTH(AK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AK$46)-YEAR('融资租赁与资金缺口'!$F$7))*12+MONTH(AK$46)-MONTH('融资租赁与资金缺口'!$F$7)),'融资租赁与资金缺口'!$E$7*(1+'融资租赁与资金缺口'!$I$7)^((YEAR(AK$46)-YEAR('融资租赁与资金缺口'!$F$7))*12+MONTH(AK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AK$46)-YEAR('融资租赁与资金缺口'!$F$7))*12+MONTH(AK$46)-MONTH('融资租赁与资金缺口'!$F$7))-1)/'融资租赁与资金缺口'!$I$7))))),IF(AK$46&lt;'融资租赁与资金缺口'!$F$8,0,IF(AK$46='融资租赁与资金缺口'!$F$8,'融资租赁与资金缺口'!$E$8,IF(((YEAR(AK$46)-YEAR('融资租赁与资金缺口'!$F$8))*12+MONTH(AK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AK$46)-YEAR('融资租赁与资金缺口'!$F$8))*12+MONTH(AK$46)-MONTH('融资租赁与资金缺口'!$F$8)),'融资租赁与资金缺口'!$E$8*(1+'融资租赁与资金缺口'!$I$8)^((YEAR(AK$46)-YEAR('融资租赁与资金缺口'!$F$8))*12+MONTH(AK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AK$46)-YEAR('融资租赁与资金缺口'!$F$8))*12+MONTH(AK$46)-MONTH('融资租赁与资金缺口'!$F$8))-1)/'融资租赁与资金缺口'!$I$8))))),IF(AK$46&lt;'融资租赁与资金缺口'!$F$9,0,IF(AK$46='融资租赁与资金缺口'!$F$9,'融资租赁与资金缺口'!$E$9,IF(((YEAR(AK$46)-YEAR('融资租赁与资金缺口'!$F$9))*12+MONTH(AK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AK$46)-YEAR('融资租赁与资金缺口'!$F$9))*12+MONTH(AK$46)-MONTH('融资租赁与资金缺口'!$F$9)),'融资租赁与资金缺口'!$E$9*(1+'融资租赁与资金缺口'!$I$9)^((YEAR(AK$46)-YEAR('融资租赁与资金缺口'!$F$9))*12+MONTH(AK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AK$46)-YEAR('融资租赁与资金缺口'!$F$9))*12+MONTH(AK$46)-MONTH('融资租赁与资金缺口'!$F$9))-1)/'融资租赁与资金缺口'!$I$9))))),IF(AK$46&lt;'融资租赁与资金缺口'!$F$10,0,IF(AK$46='融资租赁与资金缺口'!$F$10,'融资租赁与资金缺口'!$E$10,IF(((YEAR(AK$46)-YEAR('融资租赁与资金缺口'!$F$10))*12+MONTH(AK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AK$46)-YEAR('融资租赁与资金缺口'!$F$10))*12+MONTH(AK$46)-MONTH('融资租赁与资金缺口'!$F$10)),'融资租赁与资金缺口'!$E$10*(1+'融资租赁与资金缺口'!$I$10)^((YEAR(AK$46)-YEAR('融资租赁与资金缺口'!$F$10))*12+MONTH(AK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AK$46)-YEAR('融资租赁与资金缺口'!$F$10))*12+MONTH(AK$46)-MONTH('融资租赁与资金缺口'!$F$10))-1)/'融资租赁与资金缺口'!$I$10))))),IF(AK$46&lt;'融资租赁与资金缺口'!$F$11,0,IF(AK$46='融资租赁与资金缺口'!$F$11,'融资租赁与资金缺口'!$E$11,IF(((YEAR(AK$46)-YEAR('融资租赁与资金缺口'!$F$11))*12+MONTH(AK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AK$46)-YEAR('融资租赁与资金缺口'!$F$11))*12+MONTH(AK$46)-MONTH('融资租赁与资金缺口'!$F$11)),'融资租赁与资金缺口'!$E$11*(1+'融资租赁与资金缺口'!$I$11)^((YEAR(AK$46)-YEAR('融资租赁与资金缺口'!$F$11))*12+MONTH(AK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AK$46)-YEAR('融资租赁与资金缺口'!$F$11))*12+MONTH(AK$46)-MONTH('融资租赁与资金缺口'!$F$11))-1)/'融资租赁与资金缺口'!$I$11))))),IF(AK$46&lt;'融资租赁与资金缺口'!$F$12,0,IF(AK$46='融资租赁与资金缺口'!$F$12,'融资租赁与资金缺口'!$E$12,IF(((YEAR(AK$46)-YEAR('融资租赁与资金缺口'!$F$12))*12+MONTH(AK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AK$46)-YEAR('融资租赁与资金缺口'!$F$12))*12+MONTH(AK$46)-MONTH('融资租赁与资金缺口'!$F$12)),'融资租赁与资金缺口'!$E$12*(1+'融资租赁与资金缺口'!$I$12)^((YEAR(AK$46)-YEAR('融资租赁与资金缺口'!$F$12))*12+MONTH(AK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AK$46)-YEAR('融资租赁与资金缺口'!$F$12))*12+MONTH(AK$46)-MONTH('融资租赁与资金缺口'!$F$12))-1)/'融资租赁与资金缺口'!$I$12))))),IF(AK$46&lt;'融资租赁与资金缺口'!$F$13,0,IF(AK$46='融资租赁与资金缺口'!$F$13,'融资租赁与资金缺口'!$E$13,IF(((YEAR(AK$46)-YEAR('融资租赁与资金缺口'!$F$13))*12+MONTH(AK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AK$46)-YEAR('融资租赁与资金缺口'!$F$13))*12+MONTH(AK$46)-MONTH('融资租赁与资金缺口'!$F$13)),'融资租赁与资金缺口'!$E$13*(1+'融资租赁与资金缺口'!$I$13)^((YEAR(AK$46)-YEAR('融资租赁与资金缺口'!$F$13))*12+MONTH(AK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AK$46)-YEAR('融资租赁与资金缺口'!$F$13))*12+MONTH(AK$46)-MONTH('融资租赁与资金缺口'!$F$13))-1)/'融资租赁与资金缺口'!$I$13))))),IF(AK$46&lt;'融资租赁与资金缺口'!$F$14,0,IF(AK$46='融资租赁与资金缺口'!$F$14,'融资租赁与资金缺口'!$E$14,IF(((YEAR(AK$46)-YEAR('融资租赁与资金缺口'!$F$14))*12+MONTH(AK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AK$46)-YEAR('融资租赁与资金缺口'!$F$14))*12+MONTH(AK$46)-MONTH('融资租赁与资金缺口'!$F$14)),'融资租赁与资金缺口'!$E$14*(1+'融资租赁与资金缺口'!$I$14)^((YEAR(AK$46)-YEAR('融资租赁与资金缺口'!$F$14))*12+MONTH(AK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AK$46)-YEAR('融资租赁与资金缺口'!$F$14))*12+MONTH(AK$46)-MONTH('融资租赁与资金缺口'!$F$14))-1)/'融资租赁与资金缺口'!$I$14))))),IF(AK$46&lt;'融资租赁与资金缺口'!$F$15,0,IF(AK$46='融资租赁与资金缺口'!$F$15,'融资租赁与资金缺口'!$E$15,IF(((YEAR(AK$46)-YEAR('融资租赁与资金缺口'!$F$15))*12+MONTH(AK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AK$46)-YEAR('融资租赁与资金缺口'!$F$15))*12+MONTH(AK$46)-MONTH('融资租赁与资金缺口'!$F$15)),'融资租赁与资金缺口'!$E$15*(1+'融资租赁与资金缺口'!$I$15)^((YEAR(AK$46)-YEAR('融资租赁与资金缺口'!$F$15))*12+MONTH(AK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AK$46)-YEAR('融资租赁与资金缺口'!$F$15))*12+MONTH(AK$46)-MONTH('融资租赁与资金缺口'!$F$15))-1)/'融资租赁与资金缺口'!$I$15))))),IF(AK$46&lt;'融资租赁与资金缺口'!$F$16,0,IF(AK$46='融资租赁与资金缺口'!$F$16,'融资租赁与资金缺口'!$E$16,IF(((YEAR(AK$46)-YEAR('融资租赁与资金缺口'!$F$16))*12+MONTH(AK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AK$46)-YEAR('融资租赁与资金缺口'!$F$16))*12+MONTH(AK$46)-MONTH('融资租赁与资金缺口'!$F$16)),'融资租赁与资金缺口'!$E$16*(1+'融资租赁与资金缺口'!$I$16)^((YEAR(AK$46)-YEAR('融资租赁与资金缺口'!$F$16))*12+MONTH(AK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AK$46)-YEAR('融资租赁与资金缺口'!$F$16))*12+MONTH(AK$46)-MONTH('融资租赁与资金缺口'!$F$16))-1)/'融资租赁与资金缺口'!$I$16))))))</x:f>
        <x:v>153821884.93051377</x:v>
      </x:c>
      <x:c r="AL58" s="28" t="n">
        <x:f>SUM(IF(AL$46&lt;'融资租赁与资金缺口'!$F$5,0,IF(AL$46='融资租赁与资金缺口'!$F$5,'融资租赁与资金缺口'!$E$5,IF(((YEAR(AL$46)-YEAR('融资租赁与资金缺口'!$F$5))*12+MONTH(AL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AL$46)-YEAR('融资租赁与资金缺口'!$F$5))*12+MONTH(AL$46)-MONTH('融资租赁与资金缺口'!$F$5)),'融资租赁与资金缺口'!$E$5*(1+'融资租赁与资金缺口'!$I$5)^((YEAR(AL$46)-YEAR('融资租赁与资金缺口'!$F$5))*12+MONTH(AL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AL$46)-YEAR('融资租赁与资金缺口'!$F$5))*12+MONTH(AL$46)-MONTH('融资租赁与资金缺口'!$F$5))-1)/'融资租赁与资金缺口'!$I$5))))),IF(AL$46&lt;'融资租赁与资金缺口'!$F$6,0,IF(AL$46='融资租赁与资金缺口'!$F$6,'融资租赁与资金缺口'!$E$6,IF(((YEAR(AL$46)-YEAR('融资租赁与资金缺口'!$F$6))*12+MONTH(AL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AL$46)-YEAR('融资租赁与资金缺口'!$F$6))*12+MONTH(AL$46)-MONTH('融资租赁与资金缺口'!$F$6)),'融资租赁与资金缺口'!$E$6*(1+'融资租赁与资金缺口'!$I$6)^((YEAR(AL$46)-YEAR('融资租赁与资金缺口'!$F$6))*12+MONTH(AL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AL$46)-YEAR('融资租赁与资金缺口'!$F$6))*12+MONTH(AL$46)-MONTH('融资租赁与资金缺口'!$F$6))-1)/'融资租赁与资金缺口'!$I$6))))),IF(AL$46&lt;'融资租赁与资金缺口'!$F$7,0,IF(AL$46='融资租赁与资金缺口'!$F$7,'融资租赁与资金缺口'!$E$7,IF(((YEAR(AL$46)-YEAR('融资租赁与资金缺口'!$F$7))*12+MONTH(AL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AL$46)-YEAR('融资租赁与资金缺口'!$F$7))*12+MONTH(AL$46)-MONTH('融资租赁与资金缺口'!$F$7)),'融资租赁与资金缺口'!$E$7*(1+'融资租赁与资金缺口'!$I$7)^((YEAR(AL$46)-YEAR('融资租赁与资金缺口'!$F$7))*12+MONTH(AL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AL$46)-YEAR('融资租赁与资金缺口'!$F$7))*12+MONTH(AL$46)-MONTH('融资租赁与资金缺口'!$F$7))-1)/'融资租赁与资金缺口'!$I$7))))),IF(AL$46&lt;'融资租赁与资金缺口'!$F$8,0,IF(AL$46='融资租赁与资金缺口'!$F$8,'融资租赁与资金缺口'!$E$8,IF(((YEAR(AL$46)-YEAR('融资租赁与资金缺口'!$F$8))*12+MONTH(AL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AL$46)-YEAR('融资租赁与资金缺口'!$F$8))*12+MONTH(AL$46)-MONTH('融资租赁与资金缺口'!$F$8)),'融资租赁与资金缺口'!$E$8*(1+'融资租赁与资金缺口'!$I$8)^((YEAR(AL$46)-YEAR('融资租赁与资金缺口'!$F$8))*12+MONTH(AL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AL$46)-YEAR('融资租赁与资金缺口'!$F$8))*12+MONTH(AL$46)-MONTH('融资租赁与资金缺口'!$F$8))-1)/'融资租赁与资金缺口'!$I$8))))),IF(AL$46&lt;'融资租赁与资金缺口'!$F$9,0,IF(AL$46='融资租赁与资金缺口'!$F$9,'融资租赁与资金缺口'!$E$9,IF(((YEAR(AL$46)-YEAR('融资租赁与资金缺口'!$F$9))*12+MONTH(AL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AL$46)-YEAR('融资租赁与资金缺口'!$F$9))*12+MONTH(AL$46)-MONTH('融资租赁与资金缺口'!$F$9)),'融资租赁与资金缺口'!$E$9*(1+'融资租赁与资金缺口'!$I$9)^((YEAR(AL$46)-YEAR('融资租赁与资金缺口'!$F$9))*12+MONTH(AL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AL$46)-YEAR('融资租赁与资金缺口'!$F$9))*12+MONTH(AL$46)-MONTH('融资租赁与资金缺口'!$F$9))-1)/'融资租赁与资金缺口'!$I$9))))),IF(AL$46&lt;'融资租赁与资金缺口'!$F$10,0,IF(AL$46='融资租赁与资金缺口'!$F$10,'融资租赁与资金缺口'!$E$10,IF(((YEAR(AL$46)-YEAR('融资租赁与资金缺口'!$F$10))*12+MONTH(AL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AL$46)-YEAR('融资租赁与资金缺口'!$F$10))*12+MONTH(AL$46)-MONTH('融资租赁与资金缺口'!$F$10)),'融资租赁与资金缺口'!$E$10*(1+'融资租赁与资金缺口'!$I$10)^((YEAR(AL$46)-YEAR('融资租赁与资金缺口'!$F$10))*12+MONTH(AL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AL$46)-YEAR('融资租赁与资金缺口'!$F$10))*12+MONTH(AL$46)-MONTH('融资租赁与资金缺口'!$F$10))-1)/'融资租赁与资金缺口'!$I$10))))),IF(AL$46&lt;'融资租赁与资金缺口'!$F$11,0,IF(AL$46='融资租赁与资金缺口'!$F$11,'融资租赁与资金缺口'!$E$11,IF(((YEAR(AL$46)-YEAR('融资租赁与资金缺口'!$F$11))*12+MONTH(AL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AL$46)-YEAR('融资租赁与资金缺口'!$F$11))*12+MONTH(AL$46)-MONTH('融资租赁与资金缺口'!$F$11)),'融资租赁与资金缺口'!$E$11*(1+'融资租赁与资金缺口'!$I$11)^((YEAR(AL$46)-YEAR('融资租赁与资金缺口'!$F$11))*12+MONTH(AL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AL$46)-YEAR('融资租赁与资金缺口'!$F$11))*12+MONTH(AL$46)-MONTH('融资租赁与资金缺口'!$F$11))-1)/'融资租赁与资金缺口'!$I$11))))),IF(AL$46&lt;'融资租赁与资金缺口'!$F$12,0,IF(AL$46='融资租赁与资金缺口'!$F$12,'融资租赁与资金缺口'!$E$12,IF(((YEAR(AL$46)-YEAR('融资租赁与资金缺口'!$F$12))*12+MONTH(AL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AL$46)-YEAR('融资租赁与资金缺口'!$F$12))*12+MONTH(AL$46)-MONTH('融资租赁与资金缺口'!$F$12)),'融资租赁与资金缺口'!$E$12*(1+'融资租赁与资金缺口'!$I$12)^((YEAR(AL$46)-YEAR('融资租赁与资金缺口'!$F$12))*12+MONTH(AL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AL$46)-YEAR('融资租赁与资金缺口'!$F$12))*12+MONTH(AL$46)-MONTH('融资租赁与资金缺口'!$F$12))-1)/'融资租赁与资金缺口'!$I$12))))),IF(AL$46&lt;'融资租赁与资金缺口'!$F$13,0,IF(AL$46='融资租赁与资金缺口'!$F$13,'融资租赁与资金缺口'!$E$13,IF(((YEAR(AL$46)-YEAR('融资租赁与资金缺口'!$F$13))*12+MONTH(AL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AL$46)-YEAR('融资租赁与资金缺口'!$F$13))*12+MONTH(AL$46)-MONTH('融资租赁与资金缺口'!$F$13)),'融资租赁与资金缺口'!$E$13*(1+'融资租赁与资金缺口'!$I$13)^((YEAR(AL$46)-YEAR('融资租赁与资金缺口'!$F$13))*12+MONTH(AL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AL$46)-YEAR('融资租赁与资金缺口'!$F$13))*12+MONTH(AL$46)-MONTH('融资租赁与资金缺口'!$F$13))-1)/'融资租赁与资金缺口'!$I$13))))),IF(AL$46&lt;'融资租赁与资金缺口'!$F$14,0,IF(AL$46='融资租赁与资金缺口'!$F$14,'融资租赁与资金缺口'!$E$14,IF(((YEAR(AL$46)-YEAR('融资租赁与资金缺口'!$F$14))*12+MONTH(AL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AL$46)-YEAR('融资租赁与资金缺口'!$F$14))*12+MONTH(AL$46)-MONTH('融资租赁与资金缺口'!$F$14)),'融资租赁与资金缺口'!$E$14*(1+'融资租赁与资金缺口'!$I$14)^((YEAR(AL$46)-YEAR('融资租赁与资金缺口'!$F$14))*12+MONTH(AL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AL$46)-YEAR('融资租赁与资金缺口'!$F$14))*12+MONTH(AL$46)-MONTH('融资租赁与资金缺口'!$F$14))-1)/'融资租赁与资金缺口'!$I$14))))),IF(AL$46&lt;'融资租赁与资金缺口'!$F$15,0,IF(AL$46='融资租赁与资金缺口'!$F$15,'融资租赁与资金缺口'!$E$15,IF(((YEAR(AL$46)-YEAR('融资租赁与资金缺口'!$F$15))*12+MONTH(AL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AL$46)-YEAR('融资租赁与资金缺口'!$F$15))*12+MONTH(AL$46)-MONTH('融资租赁与资金缺口'!$F$15)),'融资租赁与资金缺口'!$E$15*(1+'融资租赁与资金缺口'!$I$15)^((YEAR(AL$46)-YEAR('融资租赁与资金缺口'!$F$15))*12+MONTH(AL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AL$46)-YEAR('融资租赁与资金缺口'!$F$15))*12+MONTH(AL$46)-MONTH('融资租赁与资金缺口'!$F$15))-1)/'融资租赁与资金缺口'!$I$15))))),IF(AL$46&lt;'融资租赁与资金缺口'!$F$16,0,IF(AL$46='融资租赁与资金缺口'!$F$16,'融资租赁与资金缺口'!$E$16,IF(((YEAR(AL$46)-YEAR('融资租赁与资金缺口'!$F$16))*12+MONTH(AL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AL$46)-YEAR('融资租赁与资金缺口'!$F$16))*12+MONTH(AL$46)-MONTH('融资租赁与资金缺口'!$F$16)),'融资租赁与资金缺口'!$E$16*(1+'融资租赁与资金缺口'!$I$16)^((YEAR(AL$46)-YEAR('融资租赁与资金缺口'!$F$16))*12+MONTH(AL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AL$46)-YEAR('融资租赁与资金缺口'!$F$16))*12+MONTH(AL$46)-MONTH('融资租赁与资金缺口'!$F$16))-1)/'融资租赁与资金缺口'!$I$16))))))</x:f>
        <x:v>195682581.03422177</x:v>
      </x:c>
      <x:c r="AM58" s="28" t="n">
        <x:f>SUM(IF(AM$46&lt;'融资租赁与资金缺口'!$F$5,0,IF(AM$46='融资租赁与资金缺口'!$F$5,'融资租赁与资金缺口'!$E$5,IF(((YEAR(AM$46)-YEAR('融资租赁与资金缺口'!$F$5))*12+MONTH(AM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AM$46)-YEAR('融资租赁与资金缺口'!$F$5))*12+MONTH(AM$46)-MONTH('融资租赁与资金缺口'!$F$5)),'融资租赁与资金缺口'!$E$5*(1+'融资租赁与资金缺口'!$I$5)^((YEAR(AM$46)-YEAR('融资租赁与资金缺口'!$F$5))*12+MONTH(AM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AM$46)-YEAR('融资租赁与资金缺口'!$F$5))*12+MONTH(AM$46)-MONTH('融资租赁与资金缺口'!$F$5))-1)/'融资租赁与资金缺口'!$I$5))))),IF(AM$46&lt;'融资租赁与资金缺口'!$F$6,0,IF(AM$46='融资租赁与资金缺口'!$F$6,'融资租赁与资金缺口'!$E$6,IF(((YEAR(AM$46)-YEAR('融资租赁与资金缺口'!$F$6))*12+MONTH(AM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AM$46)-YEAR('融资租赁与资金缺口'!$F$6))*12+MONTH(AM$46)-MONTH('融资租赁与资金缺口'!$F$6)),'融资租赁与资金缺口'!$E$6*(1+'融资租赁与资金缺口'!$I$6)^((YEAR(AM$46)-YEAR('融资租赁与资金缺口'!$F$6))*12+MONTH(AM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AM$46)-YEAR('融资租赁与资金缺口'!$F$6))*12+MONTH(AM$46)-MONTH('融资租赁与资金缺口'!$F$6))-1)/'融资租赁与资金缺口'!$I$6))))),IF(AM$46&lt;'融资租赁与资金缺口'!$F$7,0,IF(AM$46='融资租赁与资金缺口'!$F$7,'融资租赁与资金缺口'!$E$7,IF(((YEAR(AM$46)-YEAR('融资租赁与资金缺口'!$F$7))*12+MONTH(AM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AM$46)-YEAR('融资租赁与资金缺口'!$F$7))*12+MONTH(AM$46)-MONTH('融资租赁与资金缺口'!$F$7)),'融资租赁与资金缺口'!$E$7*(1+'融资租赁与资金缺口'!$I$7)^((YEAR(AM$46)-YEAR('融资租赁与资金缺口'!$F$7))*12+MONTH(AM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AM$46)-YEAR('融资租赁与资金缺口'!$F$7))*12+MONTH(AM$46)-MONTH('融资租赁与资金缺口'!$F$7))-1)/'融资租赁与资金缺口'!$I$7))))),IF(AM$46&lt;'融资租赁与资金缺口'!$F$8,0,IF(AM$46='融资租赁与资金缺口'!$F$8,'融资租赁与资金缺口'!$E$8,IF(((YEAR(AM$46)-YEAR('融资租赁与资金缺口'!$F$8))*12+MONTH(AM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AM$46)-YEAR('融资租赁与资金缺口'!$F$8))*12+MONTH(AM$46)-MONTH('融资租赁与资金缺口'!$F$8)),'融资租赁与资金缺口'!$E$8*(1+'融资租赁与资金缺口'!$I$8)^((YEAR(AM$46)-YEAR('融资租赁与资金缺口'!$F$8))*12+MONTH(AM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AM$46)-YEAR('融资租赁与资金缺口'!$F$8))*12+MONTH(AM$46)-MONTH('融资租赁与资金缺口'!$F$8))-1)/'融资租赁与资金缺口'!$I$8))))),IF(AM$46&lt;'融资租赁与资金缺口'!$F$9,0,IF(AM$46='融资租赁与资金缺口'!$F$9,'融资租赁与资金缺口'!$E$9,IF(((YEAR(AM$46)-YEAR('融资租赁与资金缺口'!$F$9))*12+MONTH(AM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AM$46)-YEAR('融资租赁与资金缺口'!$F$9))*12+MONTH(AM$46)-MONTH('融资租赁与资金缺口'!$F$9)),'融资租赁与资金缺口'!$E$9*(1+'融资租赁与资金缺口'!$I$9)^((YEAR(AM$46)-YEAR('融资租赁与资金缺口'!$F$9))*12+MONTH(AM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AM$46)-YEAR('融资租赁与资金缺口'!$F$9))*12+MONTH(AM$46)-MONTH('融资租赁与资金缺口'!$F$9))-1)/'融资租赁与资金缺口'!$I$9))))),IF(AM$46&lt;'融资租赁与资金缺口'!$F$10,0,IF(AM$46='融资租赁与资金缺口'!$F$10,'融资租赁与资金缺口'!$E$10,IF(((YEAR(AM$46)-YEAR('融资租赁与资金缺口'!$F$10))*12+MONTH(AM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AM$46)-YEAR('融资租赁与资金缺口'!$F$10))*12+MONTH(AM$46)-MONTH('融资租赁与资金缺口'!$F$10)),'融资租赁与资金缺口'!$E$10*(1+'融资租赁与资金缺口'!$I$10)^((YEAR(AM$46)-YEAR('融资租赁与资金缺口'!$F$10))*12+MONTH(AM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AM$46)-YEAR('融资租赁与资金缺口'!$F$10))*12+MONTH(AM$46)-MONTH('融资租赁与资金缺口'!$F$10))-1)/'融资租赁与资金缺口'!$I$10))))),IF(AM$46&lt;'融资租赁与资金缺口'!$F$11,0,IF(AM$46='融资租赁与资金缺口'!$F$11,'融资租赁与资金缺口'!$E$11,IF(((YEAR(AM$46)-YEAR('融资租赁与资金缺口'!$F$11))*12+MONTH(AM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AM$46)-YEAR('融资租赁与资金缺口'!$F$11))*12+MONTH(AM$46)-MONTH('融资租赁与资金缺口'!$F$11)),'融资租赁与资金缺口'!$E$11*(1+'融资租赁与资金缺口'!$I$11)^((YEAR(AM$46)-YEAR('融资租赁与资金缺口'!$F$11))*12+MONTH(AM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AM$46)-YEAR('融资租赁与资金缺口'!$F$11))*12+MONTH(AM$46)-MONTH('融资租赁与资金缺口'!$F$11))-1)/'融资租赁与资金缺口'!$I$11))))),IF(AM$46&lt;'融资租赁与资金缺口'!$F$12,0,IF(AM$46='融资租赁与资金缺口'!$F$12,'融资租赁与资金缺口'!$E$12,IF(((YEAR(AM$46)-YEAR('融资租赁与资金缺口'!$F$12))*12+MONTH(AM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AM$46)-YEAR('融资租赁与资金缺口'!$F$12))*12+MONTH(AM$46)-MONTH('融资租赁与资金缺口'!$F$12)),'融资租赁与资金缺口'!$E$12*(1+'融资租赁与资金缺口'!$I$12)^((YEAR(AM$46)-YEAR('融资租赁与资金缺口'!$F$12))*12+MONTH(AM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AM$46)-YEAR('融资租赁与资金缺口'!$F$12))*12+MONTH(AM$46)-MONTH('融资租赁与资金缺口'!$F$12))-1)/'融资租赁与资金缺口'!$I$12))))),IF(AM$46&lt;'融资租赁与资金缺口'!$F$13,0,IF(AM$46='融资租赁与资金缺口'!$F$13,'融资租赁与资金缺口'!$E$13,IF(((YEAR(AM$46)-YEAR('融资租赁与资金缺口'!$F$13))*12+MONTH(AM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AM$46)-YEAR('融资租赁与资金缺口'!$F$13))*12+MONTH(AM$46)-MONTH('融资租赁与资金缺口'!$F$13)),'融资租赁与资金缺口'!$E$13*(1+'融资租赁与资金缺口'!$I$13)^((YEAR(AM$46)-YEAR('融资租赁与资金缺口'!$F$13))*12+MONTH(AM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AM$46)-YEAR('融资租赁与资金缺口'!$F$13))*12+MONTH(AM$46)-MONTH('融资租赁与资金缺口'!$F$13))-1)/'融资租赁与资金缺口'!$I$13))))),IF(AM$46&lt;'融资租赁与资金缺口'!$F$14,0,IF(AM$46='融资租赁与资金缺口'!$F$14,'融资租赁与资金缺口'!$E$14,IF(((YEAR(AM$46)-YEAR('融资租赁与资金缺口'!$F$14))*12+MONTH(AM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AM$46)-YEAR('融资租赁与资金缺口'!$F$14))*12+MONTH(AM$46)-MONTH('融资租赁与资金缺口'!$F$14)),'融资租赁与资金缺口'!$E$14*(1+'融资租赁与资金缺口'!$I$14)^((YEAR(AM$46)-YEAR('融资租赁与资金缺口'!$F$14))*12+MONTH(AM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AM$46)-YEAR('融资租赁与资金缺口'!$F$14))*12+MONTH(AM$46)-MONTH('融资租赁与资金缺口'!$F$14))-1)/'融资租赁与资金缺口'!$I$14))))),IF(AM$46&lt;'融资租赁与资金缺口'!$F$15,0,IF(AM$46='融资租赁与资金缺口'!$F$15,'融资租赁与资金缺口'!$E$15,IF(((YEAR(AM$46)-YEAR('融资租赁与资金缺口'!$F$15))*12+MONTH(AM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AM$46)-YEAR('融资租赁与资金缺口'!$F$15))*12+MONTH(AM$46)-MONTH('融资租赁与资金缺口'!$F$15)),'融资租赁与资金缺口'!$E$15*(1+'融资租赁与资金缺口'!$I$15)^((YEAR(AM$46)-YEAR('融资租赁与资金缺口'!$F$15))*12+MONTH(AM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AM$46)-YEAR('融资租赁与资金缺口'!$F$15))*12+MONTH(AM$46)-MONTH('融资租赁与资金缺口'!$F$15))-1)/'融资租赁与资金缺口'!$I$15))))),IF(AM$46&lt;'融资租赁与资金缺口'!$F$16,0,IF(AM$46='融资租赁与资金缺口'!$F$16,'融资租赁与资金缺口'!$E$16,IF(((YEAR(AM$46)-YEAR('融资租赁与资金缺口'!$F$16))*12+MONTH(AM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AM$46)-YEAR('融资租赁与资金缺口'!$F$16))*12+MONTH(AM$46)-MONTH('融资租赁与资金缺口'!$F$16)),'融资租赁与资金缺口'!$E$16*(1+'融资租赁与资金缺口'!$I$16)^((YEAR(AM$46)-YEAR('融资租赁与资金缺口'!$F$16))*12+MONTH(AM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AM$46)-YEAR('融资租赁与资金缺口'!$F$16))*12+MONTH(AM$46)-MONTH('融资租赁与资金缺口'!$F$16))-1)/'融资租赁与资金缺口'!$I$16))))))</x:f>
        <x:v>240894571.118485</x:v>
      </x:c>
      <x:c r="AN58" s="28" t="n">
        <x:f>SUM(IF(AN$46&lt;'融资租赁与资金缺口'!$F$5,0,IF(AN$46='融资租赁与资金缺口'!$F$5,'融资租赁与资金缺口'!$E$5,IF(((YEAR(AN$46)-YEAR('融资租赁与资金缺口'!$F$5))*12+MONTH(AN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AN$46)-YEAR('融资租赁与资金缺口'!$F$5))*12+MONTH(AN$46)-MONTH('融资租赁与资金缺口'!$F$5)),'融资租赁与资金缺口'!$E$5*(1+'融资租赁与资金缺口'!$I$5)^((YEAR(AN$46)-YEAR('融资租赁与资金缺口'!$F$5))*12+MONTH(AN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AN$46)-YEAR('融资租赁与资金缺口'!$F$5))*12+MONTH(AN$46)-MONTH('融资租赁与资金缺口'!$F$5))-1)/'融资租赁与资金缺口'!$I$5))))),IF(AN$46&lt;'融资租赁与资金缺口'!$F$6,0,IF(AN$46='融资租赁与资金缺口'!$F$6,'融资租赁与资金缺口'!$E$6,IF(((YEAR(AN$46)-YEAR('融资租赁与资金缺口'!$F$6))*12+MONTH(AN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AN$46)-YEAR('融资租赁与资金缺口'!$F$6))*12+MONTH(AN$46)-MONTH('融资租赁与资金缺口'!$F$6)),'融资租赁与资金缺口'!$E$6*(1+'融资租赁与资金缺口'!$I$6)^((YEAR(AN$46)-YEAR('融资租赁与资金缺口'!$F$6))*12+MONTH(AN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AN$46)-YEAR('融资租赁与资金缺口'!$F$6))*12+MONTH(AN$46)-MONTH('融资租赁与资金缺口'!$F$6))-1)/'融资租赁与资金缺口'!$I$6))))),IF(AN$46&lt;'融资租赁与资金缺口'!$F$7,0,IF(AN$46='融资租赁与资金缺口'!$F$7,'融资租赁与资金缺口'!$E$7,IF(((YEAR(AN$46)-YEAR('融资租赁与资金缺口'!$F$7))*12+MONTH(AN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AN$46)-YEAR('融资租赁与资金缺口'!$F$7))*12+MONTH(AN$46)-MONTH('融资租赁与资金缺口'!$F$7)),'融资租赁与资金缺口'!$E$7*(1+'融资租赁与资金缺口'!$I$7)^((YEAR(AN$46)-YEAR('融资租赁与资金缺口'!$F$7))*12+MONTH(AN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AN$46)-YEAR('融资租赁与资金缺口'!$F$7))*12+MONTH(AN$46)-MONTH('融资租赁与资金缺口'!$F$7))-1)/'融资租赁与资金缺口'!$I$7))))),IF(AN$46&lt;'融资租赁与资金缺口'!$F$8,0,IF(AN$46='融资租赁与资金缺口'!$F$8,'融资租赁与资金缺口'!$E$8,IF(((YEAR(AN$46)-YEAR('融资租赁与资金缺口'!$F$8))*12+MONTH(AN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AN$46)-YEAR('融资租赁与资金缺口'!$F$8))*12+MONTH(AN$46)-MONTH('融资租赁与资金缺口'!$F$8)),'融资租赁与资金缺口'!$E$8*(1+'融资租赁与资金缺口'!$I$8)^((YEAR(AN$46)-YEAR('融资租赁与资金缺口'!$F$8))*12+MONTH(AN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AN$46)-YEAR('融资租赁与资金缺口'!$F$8))*12+MONTH(AN$46)-MONTH('融资租赁与资金缺口'!$F$8))-1)/'融资租赁与资金缺口'!$I$8))))),IF(AN$46&lt;'融资租赁与资金缺口'!$F$9,0,IF(AN$46='融资租赁与资金缺口'!$F$9,'融资租赁与资金缺口'!$E$9,IF(((YEAR(AN$46)-YEAR('融资租赁与资金缺口'!$F$9))*12+MONTH(AN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AN$46)-YEAR('融资租赁与资金缺口'!$F$9))*12+MONTH(AN$46)-MONTH('融资租赁与资金缺口'!$F$9)),'融资租赁与资金缺口'!$E$9*(1+'融资租赁与资金缺口'!$I$9)^((YEAR(AN$46)-YEAR('融资租赁与资金缺口'!$F$9))*12+MONTH(AN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AN$46)-YEAR('融资租赁与资金缺口'!$F$9))*12+MONTH(AN$46)-MONTH('融资租赁与资金缺口'!$F$9))-1)/'融资租赁与资金缺口'!$I$9))))),IF(AN$46&lt;'融资租赁与资金缺口'!$F$10,0,IF(AN$46='融资租赁与资金缺口'!$F$10,'融资租赁与资金缺口'!$E$10,IF(((YEAR(AN$46)-YEAR('融资租赁与资金缺口'!$F$10))*12+MONTH(AN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AN$46)-YEAR('融资租赁与资金缺口'!$F$10))*12+MONTH(AN$46)-MONTH('融资租赁与资金缺口'!$F$10)),'融资租赁与资金缺口'!$E$10*(1+'融资租赁与资金缺口'!$I$10)^((YEAR(AN$46)-YEAR('融资租赁与资金缺口'!$F$10))*12+MONTH(AN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AN$46)-YEAR('融资租赁与资金缺口'!$F$10))*12+MONTH(AN$46)-MONTH('融资租赁与资金缺口'!$F$10))-1)/'融资租赁与资金缺口'!$I$10))))),IF(AN$46&lt;'融资租赁与资金缺口'!$F$11,0,IF(AN$46='融资租赁与资金缺口'!$F$11,'融资租赁与资金缺口'!$E$11,IF(((YEAR(AN$46)-YEAR('融资租赁与资金缺口'!$F$11))*12+MONTH(AN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AN$46)-YEAR('融资租赁与资金缺口'!$F$11))*12+MONTH(AN$46)-MONTH('融资租赁与资金缺口'!$F$11)),'融资租赁与资金缺口'!$E$11*(1+'融资租赁与资金缺口'!$I$11)^((YEAR(AN$46)-YEAR('融资租赁与资金缺口'!$F$11))*12+MONTH(AN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AN$46)-YEAR('融资租赁与资金缺口'!$F$11))*12+MONTH(AN$46)-MONTH('融资租赁与资金缺口'!$F$11))-1)/'融资租赁与资金缺口'!$I$11))))),IF(AN$46&lt;'融资租赁与资金缺口'!$F$12,0,IF(AN$46='融资租赁与资金缺口'!$F$12,'融资租赁与资金缺口'!$E$12,IF(((YEAR(AN$46)-YEAR('融资租赁与资金缺口'!$F$12))*12+MONTH(AN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AN$46)-YEAR('融资租赁与资金缺口'!$F$12))*12+MONTH(AN$46)-MONTH('融资租赁与资金缺口'!$F$12)),'融资租赁与资金缺口'!$E$12*(1+'融资租赁与资金缺口'!$I$12)^((YEAR(AN$46)-YEAR('融资租赁与资金缺口'!$F$12))*12+MONTH(AN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AN$46)-YEAR('融资租赁与资金缺口'!$F$12))*12+MONTH(AN$46)-MONTH('融资租赁与资金缺口'!$F$12))-1)/'融资租赁与资金缺口'!$I$12))))),IF(AN$46&lt;'融资租赁与资金缺口'!$F$13,0,IF(AN$46='融资租赁与资金缺口'!$F$13,'融资租赁与资金缺口'!$E$13,IF(((YEAR(AN$46)-YEAR('融资租赁与资金缺口'!$F$13))*12+MONTH(AN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AN$46)-YEAR('融资租赁与资金缺口'!$F$13))*12+MONTH(AN$46)-MONTH('融资租赁与资金缺口'!$F$13)),'融资租赁与资金缺口'!$E$13*(1+'融资租赁与资金缺口'!$I$13)^((YEAR(AN$46)-YEAR('融资租赁与资金缺口'!$F$13))*12+MONTH(AN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AN$46)-YEAR('融资租赁与资金缺口'!$F$13))*12+MONTH(AN$46)-MONTH('融资租赁与资金缺口'!$F$13))-1)/'融资租赁与资金缺口'!$I$13))))),IF(AN$46&lt;'融资租赁与资金缺口'!$F$14,0,IF(AN$46='融资租赁与资金缺口'!$F$14,'融资租赁与资金缺口'!$E$14,IF(((YEAR(AN$46)-YEAR('融资租赁与资金缺口'!$F$14))*12+MONTH(AN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AN$46)-YEAR('融资租赁与资金缺口'!$F$14))*12+MONTH(AN$46)-MONTH('融资租赁与资金缺口'!$F$14)),'融资租赁与资金缺口'!$E$14*(1+'融资租赁与资金缺口'!$I$14)^((YEAR(AN$46)-YEAR('融资租赁与资金缺口'!$F$14))*12+MONTH(AN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AN$46)-YEAR('融资租赁与资金缺口'!$F$14))*12+MONTH(AN$46)-MONTH('融资租赁与资金缺口'!$F$14))-1)/'融资租赁与资金缺口'!$I$14))))),IF(AN$46&lt;'融资租赁与资金缺口'!$F$15,0,IF(AN$46='融资租赁与资金缺口'!$F$15,'融资租赁与资金缺口'!$E$15,IF(((YEAR(AN$46)-YEAR('融资租赁与资金缺口'!$F$15))*12+MONTH(AN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AN$46)-YEAR('融资租赁与资金缺口'!$F$15))*12+MONTH(AN$46)-MONTH('融资租赁与资金缺口'!$F$15)),'融资租赁与资金缺口'!$E$15*(1+'融资租赁与资金缺口'!$I$15)^((YEAR(AN$46)-YEAR('融资租赁与资金缺口'!$F$15))*12+MONTH(AN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AN$46)-YEAR('融资租赁与资金缺口'!$F$15))*12+MONTH(AN$46)-MONTH('融资租赁与资金缺口'!$F$15))-1)/'融资租赁与资金缺口'!$I$15))))),IF(AN$46&lt;'融资租赁与资金缺口'!$F$16,0,IF(AN$46='融资租赁与资金缺口'!$F$16,'融资租赁与资金缺口'!$E$16,IF(((YEAR(AN$46)-YEAR('融资租赁与资金缺口'!$F$16))*12+MONTH(AN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AN$46)-YEAR('融资租赁与资金缺口'!$F$16))*12+MONTH(AN$46)-MONTH('融资租赁与资金缺口'!$F$16)),'融资租赁与资金缺口'!$E$16*(1+'融资租赁与资金缺口'!$I$16)^((YEAR(AN$46)-YEAR('融资租赁与资金缺口'!$F$16))*12+MONTH(AN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AN$46)-YEAR('融资租赁与资金缺口'!$F$16))*12+MONTH(AN$46)-MONTH('融资租赁与资金缺口'!$F$16))-1)/'融资租赁与资金缺口'!$I$16))))))</x:f>
        <x:v>284843386.9040487</x:v>
      </x:c>
      <x:c r="AO58" s="28" t="n">
        <x:f>SUM(IF(AO$46&lt;'融资租赁与资金缺口'!$F$5,0,IF(AO$46='融资租赁与资金缺口'!$F$5,'融资租赁与资金缺口'!$E$5,IF(((YEAR(AO$46)-YEAR('融资租赁与资金缺口'!$F$5))*12+MONTH(AO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AO$46)-YEAR('融资租赁与资金缺口'!$F$5))*12+MONTH(AO$46)-MONTH('融资租赁与资金缺口'!$F$5)),'融资租赁与资金缺口'!$E$5*(1+'融资租赁与资金缺口'!$I$5)^((YEAR(AO$46)-YEAR('融资租赁与资金缺口'!$F$5))*12+MONTH(AO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AO$46)-YEAR('融资租赁与资金缺口'!$F$5))*12+MONTH(AO$46)-MONTH('融资租赁与资金缺口'!$F$5))-1)/'融资租赁与资金缺口'!$I$5))))),IF(AO$46&lt;'融资租赁与资金缺口'!$F$6,0,IF(AO$46='融资租赁与资金缺口'!$F$6,'融资租赁与资金缺口'!$E$6,IF(((YEAR(AO$46)-YEAR('融资租赁与资金缺口'!$F$6))*12+MONTH(AO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AO$46)-YEAR('融资租赁与资金缺口'!$F$6))*12+MONTH(AO$46)-MONTH('融资租赁与资金缺口'!$F$6)),'融资租赁与资金缺口'!$E$6*(1+'融资租赁与资金缺口'!$I$6)^((YEAR(AO$46)-YEAR('融资租赁与资金缺口'!$F$6))*12+MONTH(AO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AO$46)-YEAR('融资租赁与资金缺口'!$F$6))*12+MONTH(AO$46)-MONTH('融资租赁与资金缺口'!$F$6))-1)/'融资租赁与资金缺口'!$I$6))))),IF(AO$46&lt;'融资租赁与资金缺口'!$F$7,0,IF(AO$46='融资租赁与资金缺口'!$F$7,'融资租赁与资金缺口'!$E$7,IF(((YEAR(AO$46)-YEAR('融资租赁与资金缺口'!$F$7))*12+MONTH(AO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AO$46)-YEAR('融资租赁与资金缺口'!$F$7))*12+MONTH(AO$46)-MONTH('融资租赁与资金缺口'!$F$7)),'融资租赁与资金缺口'!$E$7*(1+'融资租赁与资金缺口'!$I$7)^((YEAR(AO$46)-YEAR('融资租赁与资金缺口'!$F$7))*12+MONTH(AO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AO$46)-YEAR('融资租赁与资金缺口'!$F$7))*12+MONTH(AO$46)-MONTH('融资租赁与资金缺口'!$F$7))-1)/'融资租赁与资金缺口'!$I$7))))),IF(AO$46&lt;'融资租赁与资金缺口'!$F$8,0,IF(AO$46='融资租赁与资金缺口'!$F$8,'融资租赁与资金缺口'!$E$8,IF(((YEAR(AO$46)-YEAR('融资租赁与资金缺口'!$F$8))*12+MONTH(AO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AO$46)-YEAR('融资租赁与资金缺口'!$F$8))*12+MONTH(AO$46)-MONTH('融资租赁与资金缺口'!$F$8)),'融资租赁与资金缺口'!$E$8*(1+'融资租赁与资金缺口'!$I$8)^((YEAR(AO$46)-YEAR('融资租赁与资金缺口'!$F$8))*12+MONTH(AO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AO$46)-YEAR('融资租赁与资金缺口'!$F$8))*12+MONTH(AO$46)-MONTH('融资租赁与资金缺口'!$F$8))-1)/'融资租赁与资金缺口'!$I$8))))),IF(AO$46&lt;'融资租赁与资金缺口'!$F$9,0,IF(AO$46='融资租赁与资金缺口'!$F$9,'融资租赁与资金缺口'!$E$9,IF(((YEAR(AO$46)-YEAR('融资租赁与资金缺口'!$F$9))*12+MONTH(AO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AO$46)-YEAR('融资租赁与资金缺口'!$F$9))*12+MONTH(AO$46)-MONTH('融资租赁与资金缺口'!$F$9)),'融资租赁与资金缺口'!$E$9*(1+'融资租赁与资金缺口'!$I$9)^((YEAR(AO$46)-YEAR('融资租赁与资金缺口'!$F$9))*12+MONTH(AO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AO$46)-YEAR('融资租赁与资金缺口'!$F$9))*12+MONTH(AO$46)-MONTH('融资租赁与资金缺口'!$F$9))-1)/'融资租赁与资金缺口'!$I$9))))),IF(AO$46&lt;'融资租赁与资金缺口'!$F$10,0,IF(AO$46='融资租赁与资金缺口'!$F$10,'融资租赁与资金缺口'!$E$10,IF(((YEAR(AO$46)-YEAR('融资租赁与资金缺口'!$F$10))*12+MONTH(AO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AO$46)-YEAR('融资租赁与资金缺口'!$F$10))*12+MONTH(AO$46)-MONTH('融资租赁与资金缺口'!$F$10)),'融资租赁与资金缺口'!$E$10*(1+'融资租赁与资金缺口'!$I$10)^((YEAR(AO$46)-YEAR('融资租赁与资金缺口'!$F$10))*12+MONTH(AO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AO$46)-YEAR('融资租赁与资金缺口'!$F$10))*12+MONTH(AO$46)-MONTH('融资租赁与资金缺口'!$F$10))-1)/'融资租赁与资金缺口'!$I$10))))),IF(AO$46&lt;'融资租赁与资金缺口'!$F$11,0,IF(AO$46='融资租赁与资金缺口'!$F$11,'融资租赁与资金缺口'!$E$11,IF(((YEAR(AO$46)-YEAR('融资租赁与资金缺口'!$F$11))*12+MONTH(AO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AO$46)-YEAR('融资租赁与资金缺口'!$F$11))*12+MONTH(AO$46)-MONTH('融资租赁与资金缺口'!$F$11)),'融资租赁与资金缺口'!$E$11*(1+'融资租赁与资金缺口'!$I$11)^((YEAR(AO$46)-YEAR('融资租赁与资金缺口'!$F$11))*12+MONTH(AO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AO$46)-YEAR('融资租赁与资金缺口'!$F$11))*12+MONTH(AO$46)-MONTH('融资租赁与资金缺口'!$F$11))-1)/'融资租赁与资金缺口'!$I$11))))),IF(AO$46&lt;'融资租赁与资金缺口'!$F$12,0,IF(AO$46='融资租赁与资金缺口'!$F$12,'融资租赁与资金缺口'!$E$12,IF(((YEAR(AO$46)-YEAR('融资租赁与资金缺口'!$F$12))*12+MONTH(AO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AO$46)-YEAR('融资租赁与资金缺口'!$F$12))*12+MONTH(AO$46)-MONTH('融资租赁与资金缺口'!$F$12)),'融资租赁与资金缺口'!$E$12*(1+'融资租赁与资金缺口'!$I$12)^((YEAR(AO$46)-YEAR('融资租赁与资金缺口'!$F$12))*12+MONTH(AO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AO$46)-YEAR('融资租赁与资金缺口'!$F$12))*12+MONTH(AO$46)-MONTH('融资租赁与资金缺口'!$F$12))-1)/'融资租赁与资金缺口'!$I$12))))),IF(AO$46&lt;'融资租赁与资金缺口'!$F$13,0,IF(AO$46='融资租赁与资金缺口'!$F$13,'融资租赁与资金缺口'!$E$13,IF(((YEAR(AO$46)-YEAR('融资租赁与资金缺口'!$F$13))*12+MONTH(AO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AO$46)-YEAR('融资租赁与资金缺口'!$F$13))*12+MONTH(AO$46)-MONTH('融资租赁与资金缺口'!$F$13)),'融资租赁与资金缺口'!$E$13*(1+'融资租赁与资金缺口'!$I$13)^((YEAR(AO$46)-YEAR('融资租赁与资金缺口'!$F$13))*12+MONTH(AO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AO$46)-YEAR('融资租赁与资金缺口'!$F$13))*12+MONTH(AO$46)-MONTH('融资租赁与资金缺口'!$F$13))-1)/'融资租赁与资金缺口'!$I$13))))),IF(AO$46&lt;'融资租赁与资金缺口'!$F$14,0,IF(AO$46='融资租赁与资金缺口'!$F$14,'融资租赁与资金缺口'!$E$14,IF(((YEAR(AO$46)-YEAR('融资租赁与资金缺口'!$F$14))*12+MONTH(AO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AO$46)-YEAR('融资租赁与资金缺口'!$F$14))*12+MONTH(AO$46)-MONTH('融资租赁与资金缺口'!$F$14)),'融资租赁与资金缺口'!$E$14*(1+'融资租赁与资金缺口'!$I$14)^((YEAR(AO$46)-YEAR('融资租赁与资金缺口'!$F$14))*12+MONTH(AO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AO$46)-YEAR('融资租赁与资金缺口'!$F$14))*12+MONTH(AO$46)-MONTH('融资租赁与资金缺口'!$F$14))-1)/'融资租赁与资金缺口'!$I$14))))),IF(AO$46&lt;'融资租赁与资金缺口'!$F$15,0,IF(AO$46='融资租赁与资金缺口'!$F$15,'融资租赁与资金缺口'!$E$15,IF(((YEAR(AO$46)-YEAR('融资租赁与资金缺口'!$F$15))*12+MONTH(AO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AO$46)-YEAR('融资租赁与资金缺口'!$F$15))*12+MONTH(AO$46)-MONTH('融资租赁与资金缺口'!$F$15)),'融资租赁与资金缺口'!$E$15*(1+'融资租赁与资金缺口'!$I$15)^((YEAR(AO$46)-YEAR('融资租赁与资金缺口'!$F$15))*12+MONTH(AO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AO$46)-YEAR('融资租赁与资金缺口'!$F$15))*12+MONTH(AO$46)-MONTH('融资租赁与资金缺口'!$F$15))-1)/'融资租赁与资金缺口'!$I$15))))),IF(AO$46&lt;'融资租赁与资金缺口'!$F$16,0,IF(AO$46='融资租赁与资金缺口'!$F$16,'融资租赁与资金缺口'!$E$16,IF(((YEAR(AO$46)-YEAR('融资租赁与资金缺口'!$F$16))*12+MONTH(AO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AO$46)-YEAR('融资租赁与资金缺口'!$F$16))*12+MONTH(AO$46)-MONTH('融资租赁与资金缺口'!$F$16)),'融资租赁与资金缺口'!$E$16*(1+'融资租赁与资金缺口'!$I$16)^((YEAR(AO$46)-YEAR('融资租赁与资金缺口'!$F$16))*12+MONTH(AO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AO$46)-YEAR('融资租赁与资金缺口'!$F$16))*12+MONTH(AO$46)-MONTH('融资租赁与资金缺口'!$F$16))-1)/'融资租赁与资金缺口'!$I$16))))))</x:f>
        <x:v>340924607.22892135</x:v>
      </x:c>
      <x:c r="AP58" s="28" t="n">
        <x:f>SUM(IF(AP$46&lt;'融资租赁与资金缺口'!$F$5,0,IF(AP$46='融资租赁与资金缺口'!$F$5,'融资租赁与资金缺口'!$E$5,IF(((YEAR(AP$46)-YEAR('融资租赁与资金缺口'!$F$5))*12+MONTH(AP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AP$46)-YEAR('融资租赁与资金缺口'!$F$5))*12+MONTH(AP$46)-MONTH('融资租赁与资金缺口'!$F$5)),'融资租赁与资金缺口'!$E$5*(1+'融资租赁与资金缺口'!$I$5)^((YEAR(AP$46)-YEAR('融资租赁与资金缺口'!$F$5))*12+MONTH(AP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AP$46)-YEAR('融资租赁与资金缺口'!$F$5))*12+MONTH(AP$46)-MONTH('融资租赁与资金缺口'!$F$5))-1)/'融资租赁与资金缺口'!$I$5))))),IF(AP$46&lt;'融资租赁与资金缺口'!$F$6,0,IF(AP$46='融资租赁与资金缺口'!$F$6,'融资租赁与资金缺口'!$E$6,IF(((YEAR(AP$46)-YEAR('融资租赁与资金缺口'!$F$6))*12+MONTH(AP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AP$46)-YEAR('融资租赁与资金缺口'!$F$6))*12+MONTH(AP$46)-MONTH('融资租赁与资金缺口'!$F$6)),'融资租赁与资金缺口'!$E$6*(1+'融资租赁与资金缺口'!$I$6)^((YEAR(AP$46)-YEAR('融资租赁与资金缺口'!$F$6))*12+MONTH(AP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AP$46)-YEAR('融资租赁与资金缺口'!$F$6))*12+MONTH(AP$46)-MONTH('融资租赁与资金缺口'!$F$6))-1)/'融资租赁与资金缺口'!$I$6))))),IF(AP$46&lt;'融资租赁与资金缺口'!$F$7,0,IF(AP$46='融资租赁与资金缺口'!$F$7,'融资租赁与资金缺口'!$E$7,IF(((YEAR(AP$46)-YEAR('融资租赁与资金缺口'!$F$7))*12+MONTH(AP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AP$46)-YEAR('融资租赁与资金缺口'!$F$7))*12+MONTH(AP$46)-MONTH('融资租赁与资金缺口'!$F$7)),'融资租赁与资金缺口'!$E$7*(1+'融资租赁与资金缺口'!$I$7)^((YEAR(AP$46)-YEAR('融资租赁与资金缺口'!$F$7))*12+MONTH(AP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AP$46)-YEAR('融资租赁与资金缺口'!$F$7))*12+MONTH(AP$46)-MONTH('融资租赁与资金缺口'!$F$7))-1)/'融资租赁与资金缺口'!$I$7))))),IF(AP$46&lt;'融资租赁与资金缺口'!$F$8,0,IF(AP$46='融资租赁与资金缺口'!$F$8,'融资租赁与资金缺口'!$E$8,IF(((YEAR(AP$46)-YEAR('融资租赁与资金缺口'!$F$8))*12+MONTH(AP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AP$46)-YEAR('融资租赁与资金缺口'!$F$8))*12+MONTH(AP$46)-MONTH('融资租赁与资金缺口'!$F$8)),'融资租赁与资金缺口'!$E$8*(1+'融资租赁与资金缺口'!$I$8)^((YEAR(AP$46)-YEAR('融资租赁与资金缺口'!$F$8))*12+MONTH(AP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AP$46)-YEAR('融资租赁与资金缺口'!$F$8))*12+MONTH(AP$46)-MONTH('融资租赁与资金缺口'!$F$8))-1)/'融资租赁与资金缺口'!$I$8))))),IF(AP$46&lt;'融资租赁与资金缺口'!$F$9,0,IF(AP$46='融资租赁与资金缺口'!$F$9,'融资租赁与资金缺口'!$E$9,IF(((YEAR(AP$46)-YEAR('融资租赁与资金缺口'!$F$9))*12+MONTH(AP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AP$46)-YEAR('融资租赁与资金缺口'!$F$9))*12+MONTH(AP$46)-MONTH('融资租赁与资金缺口'!$F$9)),'融资租赁与资金缺口'!$E$9*(1+'融资租赁与资金缺口'!$I$9)^((YEAR(AP$46)-YEAR('融资租赁与资金缺口'!$F$9))*12+MONTH(AP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AP$46)-YEAR('融资租赁与资金缺口'!$F$9))*12+MONTH(AP$46)-MONTH('融资租赁与资金缺口'!$F$9))-1)/'融资租赁与资金缺口'!$I$9))))),IF(AP$46&lt;'融资租赁与资金缺口'!$F$10,0,IF(AP$46='融资租赁与资金缺口'!$F$10,'融资租赁与资金缺口'!$E$10,IF(((YEAR(AP$46)-YEAR('融资租赁与资金缺口'!$F$10))*12+MONTH(AP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AP$46)-YEAR('融资租赁与资金缺口'!$F$10))*12+MONTH(AP$46)-MONTH('融资租赁与资金缺口'!$F$10)),'融资租赁与资金缺口'!$E$10*(1+'融资租赁与资金缺口'!$I$10)^((YEAR(AP$46)-YEAR('融资租赁与资金缺口'!$F$10))*12+MONTH(AP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AP$46)-YEAR('融资租赁与资金缺口'!$F$10))*12+MONTH(AP$46)-MONTH('融资租赁与资金缺口'!$F$10))-1)/'融资租赁与资金缺口'!$I$10))))),IF(AP$46&lt;'融资租赁与资金缺口'!$F$11,0,IF(AP$46='融资租赁与资金缺口'!$F$11,'融资租赁与资金缺口'!$E$11,IF(((YEAR(AP$46)-YEAR('融资租赁与资金缺口'!$F$11))*12+MONTH(AP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AP$46)-YEAR('融资租赁与资金缺口'!$F$11))*12+MONTH(AP$46)-MONTH('融资租赁与资金缺口'!$F$11)),'融资租赁与资金缺口'!$E$11*(1+'融资租赁与资金缺口'!$I$11)^((YEAR(AP$46)-YEAR('融资租赁与资金缺口'!$F$11))*12+MONTH(AP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AP$46)-YEAR('融资租赁与资金缺口'!$F$11))*12+MONTH(AP$46)-MONTH('融资租赁与资金缺口'!$F$11))-1)/'融资租赁与资金缺口'!$I$11))))),IF(AP$46&lt;'融资租赁与资金缺口'!$F$12,0,IF(AP$46='融资租赁与资金缺口'!$F$12,'融资租赁与资金缺口'!$E$12,IF(((YEAR(AP$46)-YEAR('融资租赁与资金缺口'!$F$12))*12+MONTH(AP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AP$46)-YEAR('融资租赁与资金缺口'!$F$12))*12+MONTH(AP$46)-MONTH('融资租赁与资金缺口'!$F$12)),'融资租赁与资金缺口'!$E$12*(1+'融资租赁与资金缺口'!$I$12)^((YEAR(AP$46)-YEAR('融资租赁与资金缺口'!$F$12))*12+MONTH(AP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AP$46)-YEAR('融资租赁与资金缺口'!$F$12))*12+MONTH(AP$46)-MONTH('融资租赁与资金缺口'!$F$12))-1)/'融资租赁与资金缺口'!$I$12))))),IF(AP$46&lt;'融资租赁与资金缺口'!$F$13,0,IF(AP$46='融资租赁与资金缺口'!$F$13,'融资租赁与资金缺口'!$E$13,IF(((YEAR(AP$46)-YEAR('融资租赁与资金缺口'!$F$13))*12+MONTH(AP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AP$46)-YEAR('融资租赁与资金缺口'!$F$13))*12+MONTH(AP$46)-MONTH('融资租赁与资金缺口'!$F$13)),'融资租赁与资金缺口'!$E$13*(1+'融资租赁与资金缺口'!$I$13)^((YEAR(AP$46)-YEAR('融资租赁与资金缺口'!$F$13))*12+MONTH(AP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AP$46)-YEAR('融资租赁与资金缺口'!$F$13))*12+MONTH(AP$46)-MONTH('融资租赁与资金缺口'!$F$13))-1)/'融资租赁与资金缺口'!$I$13))))),IF(AP$46&lt;'融资租赁与资金缺口'!$F$14,0,IF(AP$46='融资租赁与资金缺口'!$F$14,'融资租赁与资金缺口'!$E$14,IF(((YEAR(AP$46)-YEAR('融资租赁与资金缺口'!$F$14))*12+MONTH(AP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AP$46)-YEAR('融资租赁与资金缺口'!$F$14))*12+MONTH(AP$46)-MONTH('融资租赁与资金缺口'!$F$14)),'融资租赁与资金缺口'!$E$14*(1+'融资租赁与资金缺口'!$I$14)^((YEAR(AP$46)-YEAR('融资租赁与资金缺口'!$F$14))*12+MONTH(AP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AP$46)-YEAR('融资租赁与资金缺口'!$F$14))*12+MONTH(AP$46)-MONTH('融资租赁与资金缺口'!$F$14))-1)/'融资租赁与资金缺口'!$I$14))))),IF(AP$46&lt;'融资租赁与资金缺口'!$F$15,0,IF(AP$46='融资租赁与资金缺口'!$F$15,'融资租赁与资金缺口'!$E$15,IF(((YEAR(AP$46)-YEAR('融资租赁与资金缺口'!$F$15))*12+MONTH(AP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AP$46)-YEAR('融资租赁与资金缺口'!$F$15))*12+MONTH(AP$46)-MONTH('融资租赁与资金缺口'!$F$15)),'融资租赁与资金缺口'!$E$15*(1+'融资租赁与资金缺口'!$I$15)^((YEAR(AP$46)-YEAR('融资租赁与资金缺口'!$F$15))*12+MONTH(AP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AP$46)-YEAR('融资租赁与资金缺口'!$F$15))*12+MONTH(AP$46)-MONTH('融资租赁与资金缺口'!$F$15))-1)/'融资租赁与资金缺口'!$I$15))))),IF(AP$46&lt;'融资租赁与资金缺口'!$F$16,0,IF(AP$46='融资租赁与资金缺口'!$F$16,'融资租赁与资金缺口'!$E$16,IF(((YEAR(AP$46)-YEAR('融资租赁与资金缺口'!$F$16))*12+MONTH(AP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AP$46)-YEAR('融资租赁与资金缺口'!$F$16))*12+MONTH(AP$46)-MONTH('融资租赁与资金缺口'!$F$16)),'融资租赁与资金缺口'!$E$16*(1+'融资租赁与资金缺口'!$I$16)^((YEAR(AP$46)-YEAR('融资租赁与资金缺口'!$F$16))*12+MONTH(AP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AP$46)-YEAR('融资租赁与资金缺口'!$F$16))*12+MONTH(AP$46)-MONTH('融资租赁与资金缺口'!$F$16))-1)/'融资租赁与资金缺口'!$I$16))))))</x:f>
        <x:v>399169388.8738133</x:v>
      </x:c>
      <x:c r="AQ58" s="28" t="n">
        <x:f>SUM(IF(AQ$46&lt;'融资租赁与资金缺口'!$F$5,0,IF(AQ$46='融资租赁与资金缺口'!$F$5,'融资租赁与资金缺口'!$E$5,IF(((YEAR(AQ$46)-YEAR('融资租赁与资金缺口'!$F$5))*12+MONTH(AQ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AQ$46)-YEAR('融资租赁与资金缺口'!$F$5))*12+MONTH(AQ$46)-MONTH('融资租赁与资金缺口'!$F$5)),'融资租赁与资金缺口'!$E$5*(1+'融资租赁与资金缺口'!$I$5)^((YEAR(AQ$46)-YEAR('融资租赁与资金缺口'!$F$5))*12+MONTH(AQ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AQ$46)-YEAR('融资租赁与资金缺口'!$F$5))*12+MONTH(AQ$46)-MONTH('融资租赁与资金缺口'!$F$5))-1)/'融资租赁与资金缺口'!$I$5))))),IF(AQ$46&lt;'融资租赁与资金缺口'!$F$6,0,IF(AQ$46='融资租赁与资金缺口'!$F$6,'融资租赁与资金缺口'!$E$6,IF(((YEAR(AQ$46)-YEAR('融资租赁与资金缺口'!$F$6))*12+MONTH(AQ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AQ$46)-YEAR('融资租赁与资金缺口'!$F$6))*12+MONTH(AQ$46)-MONTH('融资租赁与资金缺口'!$F$6)),'融资租赁与资金缺口'!$E$6*(1+'融资租赁与资金缺口'!$I$6)^((YEAR(AQ$46)-YEAR('融资租赁与资金缺口'!$F$6))*12+MONTH(AQ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AQ$46)-YEAR('融资租赁与资金缺口'!$F$6))*12+MONTH(AQ$46)-MONTH('融资租赁与资金缺口'!$F$6))-1)/'融资租赁与资金缺口'!$I$6))))),IF(AQ$46&lt;'融资租赁与资金缺口'!$F$7,0,IF(AQ$46='融资租赁与资金缺口'!$F$7,'融资租赁与资金缺口'!$E$7,IF(((YEAR(AQ$46)-YEAR('融资租赁与资金缺口'!$F$7))*12+MONTH(AQ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AQ$46)-YEAR('融资租赁与资金缺口'!$F$7))*12+MONTH(AQ$46)-MONTH('融资租赁与资金缺口'!$F$7)),'融资租赁与资金缺口'!$E$7*(1+'融资租赁与资金缺口'!$I$7)^((YEAR(AQ$46)-YEAR('融资租赁与资金缺口'!$F$7))*12+MONTH(AQ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AQ$46)-YEAR('融资租赁与资金缺口'!$F$7))*12+MONTH(AQ$46)-MONTH('融资租赁与资金缺口'!$F$7))-1)/'融资租赁与资金缺口'!$I$7))))),IF(AQ$46&lt;'融资租赁与资金缺口'!$F$8,0,IF(AQ$46='融资租赁与资金缺口'!$F$8,'融资租赁与资金缺口'!$E$8,IF(((YEAR(AQ$46)-YEAR('融资租赁与资金缺口'!$F$8))*12+MONTH(AQ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AQ$46)-YEAR('融资租赁与资金缺口'!$F$8))*12+MONTH(AQ$46)-MONTH('融资租赁与资金缺口'!$F$8)),'融资租赁与资金缺口'!$E$8*(1+'融资租赁与资金缺口'!$I$8)^((YEAR(AQ$46)-YEAR('融资租赁与资金缺口'!$F$8))*12+MONTH(AQ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AQ$46)-YEAR('融资租赁与资金缺口'!$F$8))*12+MONTH(AQ$46)-MONTH('融资租赁与资金缺口'!$F$8))-1)/'融资租赁与资金缺口'!$I$8))))),IF(AQ$46&lt;'融资租赁与资金缺口'!$F$9,0,IF(AQ$46='融资租赁与资金缺口'!$F$9,'融资租赁与资金缺口'!$E$9,IF(((YEAR(AQ$46)-YEAR('融资租赁与资金缺口'!$F$9))*12+MONTH(AQ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AQ$46)-YEAR('融资租赁与资金缺口'!$F$9))*12+MONTH(AQ$46)-MONTH('融资租赁与资金缺口'!$F$9)),'融资租赁与资金缺口'!$E$9*(1+'融资租赁与资金缺口'!$I$9)^((YEAR(AQ$46)-YEAR('融资租赁与资金缺口'!$F$9))*12+MONTH(AQ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AQ$46)-YEAR('融资租赁与资金缺口'!$F$9))*12+MONTH(AQ$46)-MONTH('融资租赁与资金缺口'!$F$9))-1)/'融资租赁与资金缺口'!$I$9))))),IF(AQ$46&lt;'融资租赁与资金缺口'!$F$10,0,IF(AQ$46='融资租赁与资金缺口'!$F$10,'融资租赁与资金缺口'!$E$10,IF(((YEAR(AQ$46)-YEAR('融资租赁与资金缺口'!$F$10))*12+MONTH(AQ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AQ$46)-YEAR('融资租赁与资金缺口'!$F$10))*12+MONTH(AQ$46)-MONTH('融资租赁与资金缺口'!$F$10)),'融资租赁与资金缺口'!$E$10*(1+'融资租赁与资金缺口'!$I$10)^((YEAR(AQ$46)-YEAR('融资租赁与资金缺口'!$F$10))*12+MONTH(AQ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AQ$46)-YEAR('融资租赁与资金缺口'!$F$10))*12+MONTH(AQ$46)-MONTH('融资租赁与资金缺口'!$F$10))-1)/'融资租赁与资金缺口'!$I$10))))),IF(AQ$46&lt;'融资租赁与资金缺口'!$F$11,0,IF(AQ$46='融资租赁与资金缺口'!$F$11,'融资租赁与资金缺口'!$E$11,IF(((YEAR(AQ$46)-YEAR('融资租赁与资金缺口'!$F$11))*12+MONTH(AQ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AQ$46)-YEAR('融资租赁与资金缺口'!$F$11))*12+MONTH(AQ$46)-MONTH('融资租赁与资金缺口'!$F$11)),'融资租赁与资金缺口'!$E$11*(1+'融资租赁与资金缺口'!$I$11)^((YEAR(AQ$46)-YEAR('融资租赁与资金缺口'!$F$11))*12+MONTH(AQ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AQ$46)-YEAR('融资租赁与资金缺口'!$F$11))*12+MONTH(AQ$46)-MONTH('融资租赁与资金缺口'!$F$11))-1)/'融资租赁与资金缺口'!$I$11))))),IF(AQ$46&lt;'融资租赁与资金缺口'!$F$12,0,IF(AQ$46='融资租赁与资金缺口'!$F$12,'融资租赁与资金缺口'!$E$12,IF(((YEAR(AQ$46)-YEAR('融资租赁与资金缺口'!$F$12))*12+MONTH(AQ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AQ$46)-YEAR('融资租赁与资金缺口'!$F$12))*12+MONTH(AQ$46)-MONTH('融资租赁与资金缺口'!$F$12)),'融资租赁与资金缺口'!$E$12*(1+'融资租赁与资金缺口'!$I$12)^((YEAR(AQ$46)-YEAR('融资租赁与资金缺口'!$F$12))*12+MONTH(AQ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AQ$46)-YEAR('融资租赁与资金缺口'!$F$12))*12+MONTH(AQ$46)-MONTH('融资租赁与资金缺口'!$F$12))-1)/'融资租赁与资金缺口'!$I$12))))),IF(AQ$46&lt;'融资租赁与资金缺口'!$F$13,0,IF(AQ$46='融资租赁与资金缺口'!$F$13,'融资租赁与资金缺口'!$E$13,IF(((YEAR(AQ$46)-YEAR('融资租赁与资金缺口'!$F$13))*12+MONTH(AQ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AQ$46)-YEAR('融资租赁与资金缺口'!$F$13))*12+MONTH(AQ$46)-MONTH('融资租赁与资金缺口'!$F$13)),'融资租赁与资金缺口'!$E$13*(1+'融资租赁与资金缺口'!$I$13)^((YEAR(AQ$46)-YEAR('融资租赁与资金缺口'!$F$13))*12+MONTH(AQ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AQ$46)-YEAR('融资租赁与资金缺口'!$F$13))*12+MONTH(AQ$46)-MONTH('融资租赁与资金缺口'!$F$13))-1)/'融资租赁与资金缺口'!$I$13))))),IF(AQ$46&lt;'融资租赁与资金缺口'!$F$14,0,IF(AQ$46='融资租赁与资金缺口'!$F$14,'融资租赁与资金缺口'!$E$14,IF(((YEAR(AQ$46)-YEAR('融资租赁与资金缺口'!$F$14))*12+MONTH(AQ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AQ$46)-YEAR('融资租赁与资金缺口'!$F$14))*12+MONTH(AQ$46)-MONTH('融资租赁与资金缺口'!$F$14)),'融资租赁与资金缺口'!$E$14*(1+'融资租赁与资金缺口'!$I$14)^((YEAR(AQ$46)-YEAR('融资租赁与资金缺口'!$F$14))*12+MONTH(AQ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AQ$46)-YEAR('融资租赁与资金缺口'!$F$14))*12+MONTH(AQ$46)-MONTH('融资租赁与资金缺口'!$F$14))-1)/'融资租赁与资金缺口'!$I$14))))),IF(AQ$46&lt;'融资租赁与资金缺口'!$F$15,0,IF(AQ$46='融资租赁与资金缺口'!$F$15,'融资租赁与资金缺口'!$E$15,IF(((YEAR(AQ$46)-YEAR('融资租赁与资金缺口'!$F$15))*12+MONTH(AQ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AQ$46)-YEAR('融资租赁与资金缺口'!$F$15))*12+MONTH(AQ$46)-MONTH('融资租赁与资金缺口'!$F$15)),'融资租赁与资金缺口'!$E$15*(1+'融资租赁与资金缺口'!$I$15)^((YEAR(AQ$46)-YEAR('融资租赁与资金缺口'!$F$15))*12+MONTH(AQ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AQ$46)-YEAR('融资租赁与资金缺口'!$F$15))*12+MONTH(AQ$46)-MONTH('融资租赁与资金缺口'!$F$15))-1)/'融资租赁与资金缺口'!$I$15))))),IF(AQ$46&lt;'融资租赁与资金缺口'!$F$16,0,IF(AQ$46='融资租赁与资金缺口'!$F$16,'融资租赁与资金缺口'!$E$16,IF(((YEAR(AQ$46)-YEAR('融资租赁与资金缺口'!$F$16))*12+MONTH(AQ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AQ$46)-YEAR('融资租赁与资金缺口'!$F$16))*12+MONTH(AQ$46)-MONTH('融资租赁与资金缺口'!$F$16)),'融资租赁与资金缺口'!$E$16*(1+'融资租赁与资金缺口'!$I$16)^((YEAR(AQ$46)-YEAR('融资租赁与资金缺口'!$F$16))*12+MONTH(AQ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AQ$46)-YEAR('融资租赁与资金缺口'!$F$16))*12+MONTH(AQ$46)-MONTH('融资租赁与资金缺口'!$F$16))-1)/'融资租赁与资金缺口'!$I$16))))))</x:f>
        <x:v>448203916.44104433</x:v>
      </x:c>
      <x:c r="AR58" s="28" t="n">
        <x:f>SUM(IF(AR$46&lt;'融资租赁与资金缺口'!$F$5,0,IF(AR$46='融资租赁与资金缺口'!$F$5,'融资租赁与资金缺口'!$E$5,IF(((YEAR(AR$46)-YEAR('融资租赁与资金缺口'!$F$5))*12+MONTH(AR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AR$46)-YEAR('融资租赁与资金缺口'!$F$5))*12+MONTH(AR$46)-MONTH('融资租赁与资金缺口'!$F$5)),'融资租赁与资金缺口'!$E$5*(1+'融资租赁与资金缺口'!$I$5)^((YEAR(AR$46)-YEAR('融资租赁与资金缺口'!$F$5))*12+MONTH(AR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AR$46)-YEAR('融资租赁与资金缺口'!$F$5))*12+MONTH(AR$46)-MONTH('融资租赁与资金缺口'!$F$5))-1)/'融资租赁与资金缺口'!$I$5))))),IF(AR$46&lt;'融资租赁与资金缺口'!$F$6,0,IF(AR$46='融资租赁与资金缺口'!$F$6,'融资租赁与资金缺口'!$E$6,IF(((YEAR(AR$46)-YEAR('融资租赁与资金缺口'!$F$6))*12+MONTH(AR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AR$46)-YEAR('融资租赁与资金缺口'!$F$6))*12+MONTH(AR$46)-MONTH('融资租赁与资金缺口'!$F$6)),'融资租赁与资金缺口'!$E$6*(1+'融资租赁与资金缺口'!$I$6)^((YEAR(AR$46)-YEAR('融资租赁与资金缺口'!$F$6))*12+MONTH(AR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AR$46)-YEAR('融资租赁与资金缺口'!$F$6))*12+MONTH(AR$46)-MONTH('融资租赁与资金缺口'!$F$6))-1)/'融资租赁与资金缺口'!$I$6))))),IF(AR$46&lt;'融资租赁与资金缺口'!$F$7,0,IF(AR$46='融资租赁与资金缺口'!$F$7,'融资租赁与资金缺口'!$E$7,IF(((YEAR(AR$46)-YEAR('融资租赁与资金缺口'!$F$7))*12+MONTH(AR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AR$46)-YEAR('融资租赁与资金缺口'!$F$7))*12+MONTH(AR$46)-MONTH('融资租赁与资金缺口'!$F$7)),'融资租赁与资金缺口'!$E$7*(1+'融资租赁与资金缺口'!$I$7)^((YEAR(AR$46)-YEAR('融资租赁与资金缺口'!$F$7))*12+MONTH(AR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AR$46)-YEAR('融资租赁与资金缺口'!$F$7))*12+MONTH(AR$46)-MONTH('融资租赁与资金缺口'!$F$7))-1)/'融资租赁与资金缺口'!$I$7))))),IF(AR$46&lt;'融资租赁与资金缺口'!$F$8,0,IF(AR$46='融资租赁与资金缺口'!$F$8,'融资租赁与资金缺口'!$E$8,IF(((YEAR(AR$46)-YEAR('融资租赁与资金缺口'!$F$8))*12+MONTH(AR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AR$46)-YEAR('融资租赁与资金缺口'!$F$8))*12+MONTH(AR$46)-MONTH('融资租赁与资金缺口'!$F$8)),'融资租赁与资金缺口'!$E$8*(1+'融资租赁与资金缺口'!$I$8)^((YEAR(AR$46)-YEAR('融资租赁与资金缺口'!$F$8))*12+MONTH(AR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AR$46)-YEAR('融资租赁与资金缺口'!$F$8))*12+MONTH(AR$46)-MONTH('融资租赁与资金缺口'!$F$8))-1)/'融资租赁与资金缺口'!$I$8))))),IF(AR$46&lt;'融资租赁与资金缺口'!$F$9,0,IF(AR$46='融资租赁与资金缺口'!$F$9,'融资租赁与资金缺口'!$E$9,IF(((YEAR(AR$46)-YEAR('融资租赁与资金缺口'!$F$9))*12+MONTH(AR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AR$46)-YEAR('融资租赁与资金缺口'!$F$9))*12+MONTH(AR$46)-MONTH('融资租赁与资金缺口'!$F$9)),'融资租赁与资金缺口'!$E$9*(1+'融资租赁与资金缺口'!$I$9)^((YEAR(AR$46)-YEAR('融资租赁与资金缺口'!$F$9))*12+MONTH(AR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AR$46)-YEAR('融资租赁与资金缺口'!$F$9))*12+MONTH(AR$46)-MONTH('融资租赁与资金缺口'!$F$9))-1)/'融资租赁与资金缺口'!$I$9))))),IF(AR$46&lt;'融资租赁与资金缺口'!$F$10,0,IF(AR$46='融资租赁与资金缺口'!$F$10,'融资租赁与资金缺口'!$E$10,IF(((YEAR(AR$46)-YEAR('融资租赁与资金缺口'!$F$10))*12+MONTH(AR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AR$46)-YEAR('融资租赁与资金缺口'!$F$10))*12+MONTH(AR$46)-MONTH('融资租赁与资金缺口'!$F$10)),'融资租赁与资金缺口'!$E$10*(1+'融资租赁与资金缺口'!$I$10)^((YEAR(AR$46)-YEAR('融资租赁与资金缺口'!$F$10))*12+MONTH(AR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AR$46)-YEAR('融资租赁与资金缺口'!$F$10))*12+MONTH(AR$46)-MONTH('融资租赁与资金缺口'!$F$10))-1)/'融资租赁与资金缺口'!$I$10))))),IF(AR$46&lt;'融资租赁与资金缺口'!$F$11,0,IF(AR$46='融资租赁与资金缺口'!$F$11,'融资租赁与资金缺口'!$E$11,IF(((YEAR(AR$46)-YEAR('融资租赁与资金缺口'!$F$11))*12+MONTH(AR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AR$46)-YEAR('融资租赁与资金缺口'!$F$11))*12+MONTH(AR$46)-MONTH('融资租赁与资金缺口'!$F$11)),'融资租赁与资金缺口'!$E$11*(1+'融资租赁与资金缺口'!$I$11)^((YEAR(AR$46)-YEAR('融资租赁与资金缺口'!$F$11))*12+MONTH(AR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AR$46)-YEAR('融资租赁与资金缺口'!$F$11))*12+MONTH(AR$46)-MONTH('融资租赁与资金缺口'!$F$11))-1)/'融资租赁与资金缺口'!$I$11))))),IF(AR$46&lt;'融资租赁与资金缺口'!$F$12,0,IF(AR$46='融资租赁与资金缺口'!$F$12,'融资租赁与资金缺口'!$E$12,IF(((YEAR(AR$46)-YEAR('融资租赁与资金缺口'!$F$12))*12+MONTH(AR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AR$46)-YEAR('融资租赁与资金缺口'!$F$12))*12+MONTH(AR$46)-MONTH('融资租赁与资金缺口'!$F$12)),'融资租赁与资金缺口'!$E$12*(1+'融资租赁与资金缺口'!$I$12)^((YEAR(AR$46)-YEAR('融资租赁与资金缺口'!$F$12))*12+MONTH(AR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AR$46)-YEAR('融资租赁与资金缺口'!$F$12))*12+MONTH(AR$46)-MONTH('融资租赁与资金缺口'!$F$12))-1)/'融资租赁与资金缺口'!$I$12))))),IF(AR$46&lt;'融资租赁与资金缺口'!$F$13,0,IF(AR$46='融资租赁与资金缺口'!$F$13,'融资租赁与资金缺口'!$E$13,IF(((YEAR(AR$46)-YEAR('融资租赁与资金缺口'!$F$13))*12+MONTH(AR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AR$46)-YEAR('融资租赁与资金缺口'!$F$13))*12+MONTH(AR$46)-MONTH('融资租赁与资金缺口'!$F$13)),'融资租赁与资金缺口'!$E$13*(1+'融资租赁与资金缺口'!$I$13)^((YEAR(AR$46)-YEAR('融资租赁与资金缺口'!$F$13))*12+MONTH(AR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AR$46)-YEAR('融资租赁与资金缺口'!$F$13))*12+MONTH(AR$46)-MONTH('融资租赁与资金缺口'!$F$13))-1)/'融资租赁与资金缺口'!$I$13))))),IF(AR$46&lt;'融资租赁与资金缺口'!$F$14,0,IF(AR$46='融资租赁与资金缺口'!$F$14,'融资租赁与资金缺口'!$E$14,IF(((YEAR(AR$46)-YEAR('融资租赁与资金缺口'!$F$14))*12+MONTH(AR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AR$46)-YEAR('融资租赁与资金缺口'!$F$14))*12+MONTH(AR$46)-MONTH('融资租赁与资金缺口'!$F$14)),'融资租赁与资金缺口'!$E$14*(1+'融资租赁与资金缺口'!$I$14)^((YEAR(AR$46)-YEAR('融资租赁与资金缺口'!$F$14))*12+MONTH(AR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AR$46)-YEAR('融资租赁与资金缺口'!$F$14))*12+MONTH(AR$46)-MONTH('融资租赁与资金缺口'!$F$14))-1)/'融资租赁与资金缺口'!$I$14))))),IF(AR$46&lt;'融资租赁与资金缺口'!$F$15,0,IF(AR$46='融资租赁与资金缺口'!$F$15,'融资租赁与资金缺口'!$E$15,IF(((YEAR(AR$46)-YEAR('融资租赁与资金缺口'!$F$15))*12+MONTH(AR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AR$46)-YEAR('融资租赁与资金缺口'!$F$15))*12+MONTH(AR$46)-MONTH('融资租赁与资金缺口'!$F$15)),'融资租赁与资金缺口'!$E$15*(1+'融资租赁与资金缺口'!$I$15)^((YEAR(AR$46)-YEAR('融资租赁与资金缺口'!$F$15))*12+MONTH(AR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AR$46)-YEAR('融资租赁与资金缺口'!$F$15))*12+MONTH(AR$46)-MONTH('融资租赁与资金缺口'!$F$15))-1)/'融资租赁与资金缺口'!$I$15))))),IF(AR$46&lt;'融资租赁与资金缺口'!$F$16,0,IF(AR$46='融资租赁与资金缺口'!$F$16,'融资租赁与资金缺口'!$E$16,IF(((YEAR(AR$46)-YEAR('融资租赁与资金缺口'!$F$16))*12+MONTH(AR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AR$46)-YEAR('融资租赁与资金缺口'!$F$16))*12+MONTH(AR$46)-MONTH('融资租赁与资金缺口'!$F$16)),'融资租赁与资金缺口'!$E$16*(1+'融资租赁与资金缺口'!$I$16)^((YEAR(AR$46)-YEAR('融资租赁与资金缺口'!$F$16))*12+MONTH(AR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AR$46)-YEAR('融资租赁与资金缺口'!$F$16))*12+MONTH(AR$46)-MONTH('融资租赁与资金缺口'!$F$16))-1)/'融资租赁与资金缺口'!$I$16))))))</x:f>
        <x:v>480699960.7503146</x:v>
      </x:c>
      <x:c r="AS58" s="28" t="n">
        <x:f>SUM(IF(AS$46&lt;'融资租赁与资金缺口'!$F$5,0,IF(AS$46='融资租赁与资金缺口'!$F$5,'融资租赁与资金缺口'!$E$5,IF(((YEAR(AS$46)-YEAR('融资租赁与资金缺口'!$F$5))*12+MONTH(AS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AS$46)-YEAR('融资租赁与资金缺口'!$F$5))*12+MONTH(AS$46)-MONTH('融资租赁与资金缺口'!$F$5)),'融资租赁与资金缺口'!$E$5*(1+'融资租赁与资金缺口'!$I$5)^((YEAR(AS$46)-YEAR('融资租赁与资金缺口'!$F$5))*12+MONTH(AS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AS$46)-YEAR('融资租赁与资金缺口'!$F$5))*12+MONTH(AS$46)-MONTH('融资租赁与资金缺口'!$F$5))-1)/'融资租赁与资金缺口'!$I$5))))),IF(AS$46&lt;'融资租赁与资金缺口'!$F$6,0,IF(AS$46='融资租赁与资金缺口'!$F$6,'融资租赁与资金缺口'!$E$6,IF(((YEAR(AS$46)-YEAR('融资租赁与资金缺口'!$F$6))*12+MONTH(AS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AS$46)-YEAR('融资租赁与资金缺口'!$F$6))*12+MONTH(AS$46)-MONTH('融资租赁与资金缺口'!$F$6)),'融资租赁与资金缺口'!$E$6*(1+'融资租赁与资金缺口'!$I$6)^((YEAR(AS$46)-YEAR('融资租赁与资金缺口'!$F$6))*12+MONTH(AS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AS$46)-YEAR('融资租赁与资金缺口'!$F$6))*12+MONTH(AS$46)-MONTH('融资租赁与资金缺口'!$F$6))-1)/'融资租赁与资金缺口'!$I$6))))),IF(AS$46&lt;'融资租赁与资金缺口'!$F$7,0,IF(AS$46='融资租赁与资金缺口'!$F$7,'融资租赁与资金缺口'!$E$7,IF(((YEAR(AS$46)-YEAR('融资租赁与资金缺口'!$F$7))*12+MONTH(AS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AS$46)-YEAR('融资租赁与资金缺口'!$F$7))*12+MONTH(AS$46)-MONTH('融资租赁与资金缺口'!$F$7)),'融资租赁与资金缺口'!$E$7*(1+'融资租赁与资金缺口'!$I$7)^((YEAR(AS$46)-YEAR('融资租赁与资金缺口'!$F$7))*12+MONTH(AS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AS$46)-YEAR('融资租赁与资金缺口'!$F$7))*12+MONTH(AS$46)-MONTH('融资租赁与资金缺口'!$F$7))-1)/'融资租赁与资金缺口'!$I$7))))),IF(AS$46&lt;'融资租赁与资金缺口'!$F$8,0,IF(AS$46='融资租赁与资金缺口'!$F$8,'融资租赁与资金缺口'!$E$8,IF(((YEAR(AS$46)-YEAR('融资租赁与资金缺口'!$F$8))*12+MONTH(AS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AS$46)-YEAR('融资租赁与资金缺口'!$F$8))*12+MONTH(AS$46)-MONTH('融资租赁与资金缺口'!$F$8)),'融资租赁与资金缺口'!$E$8*(1+'融资租赁与资金缺口'!$I$8)^((YEAR(AS$46)-YEAR('融资租赁与资金缺口'!$F$8))*12+MONTH(AS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AS$46)-YEAR('融资租赁与资金缺口'!$F$8))*12+MONTH(AS$46)-MONTH('融资租赁与资金缺口'!$F$8))-1)/'融资租赁与资金缺口'!$I$8))))),IF(AS$46&lt;'融资租赁与资金缺口'!$F$9,0,IF(AS$46='融资租赁与资金缺口'!$F$9,'融资租赁与资金缺口'!$E$9,IF(((YEAR(AS$46)-YEAR('融资租赁与资金缺口'!$F$9))*12+MONTH(AS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AS$46)-YEAR('融资租赁与资金缺口'!$F$9))*12+MONTH(AS$46)-MONTH('融资租赁与资金缺口'!$F$9)),'融资租赁与资金缺口'!$E$9*(1+'融资租赁与资金缺口'!$I$9)^((YEAR(AS$46)-YEAR('融资租赁与资金缺口'!$F$9))*12+MONTH(AS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AS$46)-YEAR('融资租赁与资金缺口'!$F$9))*12+MONTH(AS$46)-MONTH('融资租赁与资金缺口'!$F$9))-1)/'融资租赁与资金缺口'!$I$9))))),IF(AS$46&lt;'融资租赁与资金缺口'!$F$10,0,IF(AS$46='融资租赁与资金缺口'!$F$10,'融资租赁与资金缺口'!$E$10,IF(((YEAR(AS$46)-YEAR('融资租赁与资金缺口'!$F$10))*12+MONTH(AS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AS$46)-YEAR('融资租赁与资金缺口'!$F$10))*12+MONTH(AS$46)-MONTH('融资租赁与资金缺口'!$F$10)),'融资租赁与资金缺口'!$E$10*(1+'融资租赁与资金缺口'!$I$10)^((YEAR(AS$46)-YEAR('融资租赁与资金缺口'!$F$10))*12+MONTH(AS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AS$46)-YEAR('融资租赁与资金缺口'!$F$10))*12+MONTH(AS$46)-MONTH('融资租赁与资金缺口'!$F$10))-1)/'融资租赁与资金缺口'!$I$10))))),IF(AS$46&lt;'融资租赁与资金缺口'!$F$11,0,IF(AS$46='融资租赁与资金缺口'!$F$11,'融资租赁与资金缺口'!$E$11,IF(((YEAR(AS$46)-YEAR('融资租赁与资金缺口'!$F$11))*12+MONTH(AS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AS$46)-YEAR('融资租赁与资金缺口'!$F$11))*12+MONTH(AS$46)-MONTH('融资租赁与资金缺口'!$F$11)),'融资租赁与资金缺口'!$E$11*(1+'融资租赁与资金缺口'!$I$11)^((YEAR(AS$46)-YEAR('融资租赁与资金缺口'!$F$11))*12+MONTH(AS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AS$46)-YEAR('融资租赁与资金缺口'!$F$11))*12+MONTH(AS$46)-MONTH('融资租赁与资金缺口'!$F$11))-1)/'融资租赁与资金缺口'!$I$11))))),IF(AS$46&lt;'融资租赁与资金缺口'!$F$12,0,IF(AS$46='融资租赁与资金缺口'!$F$12,'融资租赁与资金缺口'!$E$12,IF(((YEAR(AS$46)-YEAR('融资租赁与资金缺口'!$F$12))*12+MONTH(AS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AS$46)-YEAR('融资租赁与资金缺口'!$F$12))*12+MONTH(AS$46)-MONTH('融资租赁与资金缺口'!$F$12)),'融资租赁与资金缺口'!$E$12*(1+'融资租赁与资金缺口'!$I$12)^((YEAR(AS$46)-YEAR('融资租赁与资金缺口'!$F$12))*12+MONTH(AS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AS$46)-YEAR('融资租赁与资金缺口'!$F$12))*12+MONTH(AS$46)-MONTH('融资租赁与资金缺口'!$F$12))-1)/'融资租赁与资金缺口'!$I$12))))),IF(AS$46&lt;'融资租赁与资金缺口'!$F$13,0,IF(AS$46='融资租赁与资金缺口'!$F$13,'融资租赁与资金缺口'!$E$13,IF(((YEAR(AS$46)-YEAR('融资租赁与资金缺口'!$F$13))*12+MONTH(AS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AS$46)-YEAR('融资租赁与资金缺口'!$F$13))*12+MONTH(AS$46)-MONTH('融资租赁与资金缺口'!$F$13)),'融资租赁与资金缺口'!$E$13*(1+'融资租赁与资金缺口'!$I$13)^((YEAR(AS$46)-YEAR('融资租赁与资金缺口'!$F$13))*12+MONTH(AS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AS$46)-YEAR('融资租赁与资金缺口'!$F$13))*12+MONTH(AS$46)-MONTH('融资租赁与资金缺口'!$F$13))-1)/'融资租赁与资金缺口'!$I$13))))),IF(AS$46&lt;'融资租赁与资金缺口'!$F$14,0,IF(AS$46='融资租赁与资金缺口'!$F$14,'融资租赁与资金缺口'!$E$14,IF(((YEAR(AS$46)-YEAR('融资租赁与资金缺口'!$F$14))*12+MONTH(AS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AS$46)-YEAR('融资租赁与资金缺口'!$F$14))*12+MONTH(AS$46)-MONTH('融资租赁与资金缺口'!$F$14)),'融资租赁与资金缺口'!$E$14*(1+'融资租赁与资金缺口'!$I$14)^((YEAR(AS$46)-YEAR('融资租赁与资金缺口'!$F$14))*12+MONTH(AS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AS$46)-YEAR('融资租赁与资金缺口'!$F$14))*12+MONTH(AS$46)-MONTH('融资租赁与资金缺口'!$F$14))-1)/'融资租赁与资金缺口'!$I$14))))),IF(AS$46&lt;'融资租赁与资金缺口'!$F$15,0,IF(AS$46='融资租赁与资金缺口'!$F$15,'融资租赁与资金缺口'!$E$15,IF(((YEAR(AS$46)-YEAR('融资租赁与资金缺口'!$F$15))*12+MONTH(AS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AS$46)-YEAR('融资租赁与资金缺口'!$F$15))*12+MONTH(AS$46)-MONTH('融资租赁与资金缺口'!$F$15)),'融资租赁与资金缺口'!$E$15*(1+'融资租赁与资金缺口'!$I$15)^((YEAR(AS$46)-YEAR('融资租赁与资金缺口'!$F$15))*12+MONTH(AS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AS$46)-YEAR('融资租赁与资金缺口'!$F$15))*12+MONTH(AS$46)-MONTH('融资租赁与资金缺口'!$F$15))-1)/'融资租赁与资金缺口'!$I$15))))),IF(AS$46&lt;'融资租赁与资金缺口'!$F$16,0,IF(AS$46='融资租赁与资金缺口'!$F$16,'融资租赁与资金缺口'!$E$16,IF(((YEAR(AS$46)-YEAR('融资租赁与资金缺口'!$F$16))*12+MONTH(AS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AS$46)-YEAR('融资租赁与资金缺口'!$F$16))*12+MONTH(AS$46)-MONTH('融资租赁与资金缺口'!$F$16)),'融资租赁与资金缺口'!$E$16*(1+'融资租赁与资金缺口'!$I$16)^((YEAR(AS$46)-YEAR('融资租赁与资金缺口'!$F$16))*12+MONTH(AS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AS$46)-YEAR('融资租赁与资金缺口'!$F$16))*12+MONTH(AS$46)-MONTH('融资租赁与资金缺口'!$F$16))-1)/'融资租赁与资金缺口'!$I$16))))))</x:f>
        <x:v>467013610.27367324</x:v>
      </x:c>
      <x:c r="AT58" s="28" t="n">
        <x:f>SUM(IF(AT$46&lt;'融资租赁与资金缺口'!$F$5,0,IF(AT$46='融资租赁与资金缺口'!$F$5,'融资租赁与资金缺口'!$E$5,IF(((YEAR(AT$46)-YEAR('融资租赁与资金缺口'!$F$5))*12+MONTH(AT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AT$46)-YEAR('融资租赁与资金缺口'!$F$5))*12+MONTH(AT$46)-MONTH('融资租赁与资金缺口'!$F$5)),'融资租赁与资金缺口'!$E$5*(1+'融资租赁与资金缺口'!$I$5)^((YEAR(AT$46)-YEAR('融资租赁与资金缺口'!$F$5))*12+MONTH(AT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AT$46)-YEAR('融资租赁与资金缺口'!$F$5))*12+MONTH(AT$46)-MONTH('融资租赁与资金缺口'!$F$5))-1)/'融资租赁与资金缺口'!$I$5))))),IF(AT$46&lt;'融资租赁与资金缺口'!$F$6,0,IF(AT$46='融资租赁与资金缺口'!$F$6,'融资租赁与资金缺口'!$E$6,IF(((YEAR(AT$46)-YEAR('融资租赁与资金缺口'!$F$6))*12+MONTH(AT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AT$46)-YEAR('融资租赁与资金缺口'!$F$6))*12+MONTH(AT$46)-MONTH('融资租赁与资金缺口'!$F$6)),'融资租赁与资金缺口'!$E$6*(1+'融资租赁与资金缺口'!$I$6)^((YEAR(AT$46)-YEAR('融资租赁与资金缺口'!$F$6))*12+MONTH(AT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AT$46)-YEAR('融资租赁与资金缺口'!$F$6))*12+MONTH(AT$46)-MONTH('融资租赁与资金缺口'!$F$6))-1)/'融资租赁与资金缺口'!$I$6))))),IF(AT$46&lt;'融资租赁与资金缺口'!$F$7,0,IF(AT$46='融资租赁与资金缺口'!$F$7,'融资租赁与资金缺口'!$E$7,IF(((YEAR(AT$46)-YEAR('融资租赁与资金缺口'!$F$7))*12+MONTH(AT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AT$46)-YEAR('融资租赁与资金缺口'!$F$7))*12+MONTH(AT$46)-MONTH('融资租赁与资金缺口'!$F$7)),'融资租赁与资金缺口'!$E$7*(1+'融资租赁与资金缺口'!$I$7)^((YEAR(AT$46)-YEAR('融资租赁与资金缺口'!$F$7))*12+MONTH(AT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AT$46)-YEAR('融资租赁与资金缺口'!$F$7))*12+MONTH(AT$46)-MONTH('融资租赁与资金缺口'!$F$7))-1)/'融资租赁与资金缺口'!$I$7))))),IF(AT$46&lt;'融资租赁与资金缺口'!$F$8,0,IF(AT$46='融资租赁与资金缺口'!$F$8,'融资租赁与资金缺口'!$E$8,IF(((YEAR(AT$46)-YEAR('融资租赁与资金缺口'!$F$8))*12+MONTH(AT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AT$46)-YEAR('融资租赁与资金缺口'!$F$8))*12+MONTH(AT$46)-MONTH('融资租赁与资金缺口'!$F$8)),'融资租赁与资金缺口'!$E$8*(1+'融资租赁与资金缺口'!$I$8)^((YEAR(AT$46)-YEAR('融资租赁与资金缺口'!$F$8))*12+MONTH(AT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AT$46)-YEAR('融资租赁与资金缺口'!$F$8))*12+MONTH(AT$46)-MONTH('融资租赁与资金缺口'!$F$8))-1)/'融资租赁与资金缺口'!$I$8))))),IF(AT$46&lt;'融资租赁与资金缺口'!$F$9,0,IF(AT$46='融资租赁与资金缺口'!$F$9,'融资租赁与资金缺口'!$E$9,IF(((YEAR(AT$46)-YEAR('融资租赁与资金缺口'!$F$9))*12+MONTH(AT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AT$46)-YEAR('融资租赁与资金缺口'!$F$9))*12+MONTH(AT$46)-MONTH('融资租赁与资金缺口'!$F$9)),'融资租赁与资金缺口'!$E$9*(1+'融资租赁与资金缺口'!$I$9)^((YEAR(AT$46)-YEAR('融资租赁与资金缺口'!$F$9))*12+MONTH(AT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AT$46)-YEAR('融资租赁与资金缺口'!$F$9))*12+MONTH(AT$46)-MONTH('融资租赁与资金缺口'!$F$9))-1)/'融资租赁与资金缺口'!$I$9))))),IF(AT$46&lt;'融资租赁与资金缺口'!$F$10,0,IF(AT$46='融资租赁与资金缺口'!$F$10,'融资租赁与资金缺口'!$E$10,IF(((YEAR(AT$46)-YEAR('融资租赁与资金缺口'!$F$10))*12+MONTH(AT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AT$46)-YEAR('融资租赁与资金缺口'!$F$10))*12+MONTH(AT$46)-MONTH('融资租赁与资金缺口'!$F$10)),'融资租赁与资金缺口'!$E$10*(1+'融资租赁与资金缺口'!$I$10)^((YEAR(AT$46)-YEAR('融资租赁与资金缺口'!$F$10))*12+MONTH(AT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AT$46)-YEAR('融资租赁与资金缺口'!$F$10))*12+MONTH(AT$46)-MONTH('融资租赁与资金缺口'!$F$10))-1)/'融资租赁与资金缺口'!$I$10))))),IF(AT$46&lt;'融资租赁与资金缺口'!$F$11,0,IF(AT$46='融资租赁与资金缺口'!$F$11,'融资租赁与资金缺口'!$E$11,IF(((YEAR(AT$46)-YEAR('融资租赁与资金缺口'!$F$11))*12+MONTH(AT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AT$46)-YEAR('融资租赁与资金缺口'!$F$11))*12+MONTH(AT$46)-MONTH('融资租赁与资金缺口'!$F$11)),'融资租赁与资金缺口'!$E$11*(1+'融资租赁与资金缺口'!$I$11)^((YEAR(AT$46)-YEAR('融资租赁与资金缺口'!$F$11))*12+MONTH(AT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AT$46)-YEAR('融资租赁与资金缺口'!$F$11))*12+MONTH(AT$46)-MONTH('融资租赁与资金缺口'!$F$11))-1)/'融资租赁与资金缺口'!$I$11))))),IF(AT$46&lt;'融资租赁与资金缺口'!$F$12,0,IF(AT$46='融资租赁与资金缺口'!$F$12,'融资租赁与资金缺口'!$E$12,IF(((YEAR(AT$46)-YEAR('融资租赁与资金缺口'!$F$12))*12+MONTH(AT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AT$46)-YEAR('融资租赁与资金缺口'!$F$12))*12+MONTH(AT$46)-MONTH('融资租赁与资金缺口'!$F$12)),'融资租赁与资金缺口'!$E$12*(1+'融资租赁与资金缺口'!$I$12)^((YEAR(AT$46)-YEAR('融资租赁与资金缺口'!$F$12))*12+MONTH(AT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AT$46)-YEAR('融资租赁与资金缺口'!$F$12))*12+MONTH(AT$46)-MONTH('融资租赁与资金缺口'!$F$12))-1)/'融资租赁与资金缺口'!$I$12))))),IF(AT$46&lt;'融资租赁与资金缺口'!$F$13,0,IF(AT$46='融资租赁与资金缺口'!$F$13,'融资租赁与资金缺口'!$E$13,IF(((YEAR(AT$46)-YEAR('融资租赁与资金缺口'!$F$13))*12+MONTH(AT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AT$46)-YEAR('融资租赁与资金缺口'!$F$13))*12+MONTH(AT$46)-MONTH('融资租赁与资金缺口'!$F$13)),'融资租赁与资金缺口'!$E$13*(1+'融资租赁与资金缺口'!$I$13)^((YEAR(AT$46)-YEAR('融资租赁与资金缺口'!$F$13))*12+MONTH(AT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AT$46)-YEAR('融资租赁与资金缺口'!$F$13))*12+MONTH(AT$46)-MONTH('融资租赁与资金缺口'!$F$13))-1)/'融资租赁与资金缺口'!$I$13))))),IF(AT$46&lt;'融资租赁与资金缺口'!$F$14,0,IF(AT$46='融资租赁与资金缺口'!$F$14,'融资租赁与资金缺口'!$E$14,IF(((YEAR(AT$46)-YEAR('融资租赁与资金缺口'!$F$14))*12+MONTH(AT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AT$46)-YEAR('融资租赁与资金缺口'!$F$14))*12+MONTH(AT$46)-MONTH('融资租赁与资金缺口'!$F$14)),'融资租赁与资金缺口'!$E$14*(1+'融资租赁与资金缺口'!$I$14)^((YEAR(AT$46)-YEAR('融资租赁与资金缺口'!$F$14))*12+MONTH(AT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AT$46)-YEAR('融资租赁与资金缺口'!$F$14))*12+MONTH(AT$46)-MONTH('融资租赁与资金缺口'!$F$14))-1)/'融资租赁与资金缺口'!$I$14))))),IF(AT$46&lt;'融资租赁与资金缺口'!$F$15,0,IF(AT$46='融资租赁与资金缺口'!$F$15,'融资租赁与资金缺口'!$E$15,IF(((YEAR(AT$46)-YEAR('融资租赁与资金缺口'!$F$15))*12+MONTH(AT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AT$46)-YEAR('融资租赁与资金缺口'!$F$15))*12+MONTH(AT$46)-MONTH('融资租赁与资金缺口'!$F$15)),'融资租赁与资金缺口'!$E$15*(1+'融资租赁与资金缺口'!$I$15)^((YEAR(AT$46)-YEAR('融资租赁与资金缺口'!$F$15))*12+MONTH(AT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AT$46)-YEAR('融资租赁与资金缺口'!$F$15))*12+MONTH(AT$46)-MONTH('融资租赁与资金缺口'!$F$15))-1)/'融资租赁与资金缺口'!$I$15))))),IF(AT$46&lt;'融资租赁与资金缺口'!$F$16,0,IF(AT$46='融资租赁与资金缺口'!$F$16,'融资租赁与资金缺口'!$E$16,IF(((YEAR(AT$46)-YEAR('融资租赁与资金缺口'!$F$16))*12+MONTH(AT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AT$46)-YEAR('融资租赁与资金缺口'!$F$16))*12+MONTH(AT$46)-MONTH('融资租赁与资金缺口'!$F$16)),'融资租赁与资金缺口'!$E$16*(1+'融资租赁与资金缺口'!$I$16)^((YEAR(AT$46)-YEAR('融资租赁与资金缺口'!$F$16))*12+MONTH(AT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AT$46)-YEAR('融资租赁与资金缺口'!$F$16))*12+MONTH(AT$46)-MONTH('融资租赁与资金缺口'!$F$16))-1)/'融资租赁与资金缺口'!$I$16))))))</x:f>
        <x:v>453236017.460521</x:v>
      </x:c>
      <x:c r="AU58" s="28" t="n">
        <x:f>SUM(IF(AU$46&lt;'融资租赁与资金缺口'!$F$5,0,IF(AU$46='融资租赁与资金缺口'!$F$5,'融资租赁与资金缺口'!$E$5,IF(((YEAR(AU$46)-YEAR('融资租赁与资金缺口'!$F$5))*12+MONTH(AU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AU$46)-YEAR('融资租赁与资金缺口'!$F$5))*12+MONTH(AU$46)-MONTH('融资租赁与资金缺口'!$F$5)),'融资租赁与资金缺口'!$E$5*(1+'融资租赁与资金缺口'!$I$5)^((YEAR(AU$46)-YEAR('融资租赁与资金缺口'!$F$5))*12+MONTH(AU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AU$46)-YEAR('融资租赁与资金缺口'!$F$5))*12+MONTH(AU$46)-MONTH('融资租赁与资金缺口'!$F$5))-1)/'融资租赁与资金缺口'!$I$5))))),IF(AU$46&lt;'融资租赁与资金缺口'!$F$6,0,IF(AU$46='融资租赁与资金缺口'!$F$6,'融资租赁与资金缺口'!$E$6,IF(((YEAR(AU$46)-YEAR('融资租赁与资金缺口'!$F$6))*12+MONTH(AU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AU$46)-YEAR('融资租赁与资金缺口'!$F$6))*12+MONTH(AU$46)-MONTH('融资租赁与资金缺口'!$F$6)),'融资租赁与资金缺口'!$E$6*(1+'融资租赁与资金缺口'!$I$6)^((YEAR(AU$46)-YEAR('融资租赁与资金缺口'!$F$6))*12+MONTH(AU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AU$46)-YEAR('融资租赁与资金缺口'!$F$6))*12+MONTH(AU$46)-MONTH('融资租赁与资金缺口'!$F$6))-1)/'融资租赁与资金缺口'!$I$6))))),IF(AU$46&lt;'融资租赁与资金缺口'!$F$7,0,IF(AU$46='融资租赁与资金缺口'!$F$7,'融资租赁与资金缺口'!$E$7,IF(((YEAR(AU$46)-YEAR('融资租赁与资金缺口'!$F$7))*12+MONTH(AU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AU$46)-YEAR('融资租赁与资金缺口'!$F$7))*12+MONTH(AU$46)-MONTH('融资租赁与资金缺口'!$F$7)),'融资租赁与资金缺口'!$E$7*(1+'融资租赁与资金缺口'!$I$7)^((YEAR(AU$46)-YEAR('融资租赁与资金缺口'!$F$7))*12+MONTH(AU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AU$46)-YEAR('融资租赁与资金缺口'!$F$7))*12+MONTH(AU$46)-MONTH('融资租赁与资金缺口'!$F$7))-1)/'融资租赁与资金缺口'!$I$7))))),IF(AU$46&lt;'融资租赁与资金缺口'!$F$8,0,IF(AU$46='融资租赁与资金缺口'!$F$8,'融资租赁与资金缺口'!$E$8,IF(((YEAR(AU$46)-YEAR('融资租赁与资金缺口'!$F$8))*12+MONTH(AU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AU$46)-YEAR('融资租赁与资金缺口'!$F$8))*12+MONTH(AU$46)-MONTH('融资租赁与资金缺口'!$F$8)),'融资租赁与资金缺口'!$E$8*(1+'融资租赁与资金缺口'!$I$8)^((YEAR(AU$46)-YEAR('融资租赁与资金缺口'!$F$8))*12+MONTH(AU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AU$46)-YEAR('融资租赁与资金缺口'!$F$8))*12+MONTH(AU$46)-MONTH('融资租赁与资金缺口'!$F$8))-1)/'融资租赁与资金缺口'!$I$8))))),IF(AU$46&lt;'融资租赁与资金缺口'!$F$9,0,IF(AU$46='融资租赁与资金缺口'!$F$9,'融资租赁与资金缺口'!$E$9,IF(((YEAR(AU$46)-YEAR('融资租赁与资金缺口'!$F$9))*12+MONTH(AU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AU$46)-YEAR('融资租赁与资金缺口'!$F$9))*12+MONTH(AU$46)-MONTH('融资租赁与资金缺口'!$F$9)),'融资租赁与资金缺口'!$E$9*(1+'融资租赁与资金缺口'!$I$9)^((YEAR(AU$46)-YEAR('融资租赁与资金缺口'!$F$9))*12+MONTH(AU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AU$46)-YEAR('融资租赁与资金缺口'!$F$9))*12+MONTH(AU$46)-MONTH('融资租赁与资金缺口'!$F$9))-1)/'融资租赁与资金缺口'!$I$9))))),IF(AU$46&lt;'融资租赁与资金缺口'!$F$10,0,IF(AU$46='融资租赁与资金缺口'!$F$10,'融资租赁与资金缺口'!$E$10,IF(((YEAR(AU$46)-YEAR('融资租赁与资金缺口'!$F$10))*12+MONTH(AU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AU$46)-YEAR('融资租赁与资金缺口'!$F$10))*12+MONTH(AU$46)-MONTH('融资租赁与资金缺口'!$F$10)),'融资租赁与资金缺口'!$E$10*(1+'融资租赁与资金缺口'!$I$10)^((YEAR(AU$46)-YEAR('融资租赁与资金缺口'!$F$10))*12+MONTH(AU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AU$46)-YEAR('融资租赁与资金缺口'!$F$10))*12+MONTH(AU$46)-MONTH('融资租赁与资金缺口'!$F$10))-1)/'融资租赁与资金缺口'!$I$10))))),IF(AU$46&lt;'融资租赁与资金缺口'!$F$11,0,IF(AU$46='融资租赁与资金缺口'!$F$11,'融资租赁与资金缺口'!$E$11,IF(((YEAR(AU$46)-YEAR('融资租赁与资金缺口'!$F$11))*12+MONTH(AU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AU$46)-YEAR('融资租赁与资金缺口'!$F$11))*12+MONTH(AU$46)-MONTH('融资租赁与资金缺口'!$F$11)),'融资租赁与资金缺口'!$E$11*(1+'融资租赁与资金缺口'!$I$11)^((YEAR(AU$46)-YEAR('融资租赁与资金缺口'!$F$11))*12+MONTH(AU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AU$46)-YEAR('融资租赁与资金缺口'!$F$11))*12+MONTH(AU$46)-MONTH('融资租赁与资金缺口'!$F$11))-1)/'融资租赁与资金缺口'!$I$11))))),IF(AU$46&lt;'融资租赁与资金缺口'!$F$12,0,IF(AU$46='融资租赁与资金缺口'!$F$12,'融资租赁与资金缺口'!$E$12,IF(((YEAR(AU$46)-YEAR('融资租赁与资金缺口'!$F$12))*12+MONTH(AU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AU$46)-YEAR('融资租赁与资金缺口'!$F$12))*12+MONTH(AU$46)-MONTH('融资租赁与资金缺口'!$F$12)),'融资租赁与资金缺口'!$E$12*(1+'融资租赁与资金缺口'!$I$12)^((YEAR(AU$46)-YEAR('融资租赁与资金缺口'!$F$12))*12+MONTH(AU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AU$46)-YEAR('融资租赁与资金缺口'!$F$12))*12+MONTH(AU$46)-MONTH('融资租赁与资金缺口'!$F$12))-1)/'融资租赁与资金缺口'!$I$12))))),IF(AU$46&lt;'融资租赁与资金缺口'!$F$13,0,IF(AU$46='融资租赁与资金缺口'!$F$13,'融资租赁与资金缺口'!$E$13,IF(((YEAR(AU$46)-YEAR('融资租赁与资金缺口'!$F$13))*12+MONTH(AU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AU$46)-YEAR('融资租赁与资金缺口'!$F$13))*12+MONTH(AU$46)-MONTH('融资租赁与资金缺口'!$F$13)),'融资租赁与资金缺口'!$E$13*(1+'融资租赁与资金缺口'!$I$13)^((YEAR(AU$46)-YEAR('融资租赁与资金缺口'!$F$13))*12+MONTH(AU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AU$46)-YEAR('融资租赁与资金缺口'!$F$13))*12+MONTH(AU$46)-MONTH('融资租赁与资金缺口'!$F$13))-1)/'融资租赁与资金缺口'!$I$13))))),IF(AU$46&lt;'融资租赁与资金缺口'!$F$14,0,IF(AU$46='融资租赁与资金缺口'!$F$14,'融资租赁与资金缺口'!$E$14,IF(((YEAR(AU$46)-YEAR('融资租赁与资金缺口'!$F$14))*12+MONTH(AU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AU$46)-YEAR('融资租赁与资金缺口'!$F$14))*12+MONTH(AU$46)-MONTH('融资租赁与资金缺口'!$F$14)),'融资租赁与资金缺口'!$E$14*(1+'融资租赁与资金缺口'!$I$14)^((YEAR(AU$46)-YEAR('融资租赁与资金缺口'!$F$14))*12+MONTH(AU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AU$46)-YEAR('融资租赁与资金缺口'!$F$14))*12+MONTH(AU$46)-MONTH('融资租赁与资金缺口'!$F$14))-1)/'融资租赁与资金缺口'!$I$14))))),IF(AU$46&lt;'融资租赁与资金缺口'!$F$15,0,IF(AU$46='融资租赁与资金缺口'!$F$15,'融资租赁与资金缺口'!$E$15,IF(((YEAR(AU$46)-YEAR('融资租赁与资金缺口'!$F$15))*12+MONTH(AU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AU$46)-YEAR('融资租赁与资金缺口'!$F$15))*12+MONTH(AU$46)-MONTH('融资租赁与资金缺口'!$F$15)),'融资租赁与资金缺口'!$E$15*(1+'融资租赁与资金缺口'!$I$15)^((YEAR(AU$46)-YEAR('融资租赁与资金缺口'!$F$15))*12+MONTH(AU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AU$46)-YEAR('融资租赁与资金缺口'!$F$15))*12+MONTH(AU$46)-MONTH('融资租赁与资金缺口'!$F$15))-1)/'融资租赁与资金缺口'!$I$15))))),IF(AU$46&lt;'融资租赁与资金缺口'!$F$16,0,IF(AU$46='融资租赁与资金缺口'!$F$16,'融资租赁与资金缺口'!$E$16,IF(((YEAR(AU$46)-YEAR('融资租赁与资金缺口'!$F$16))*12+MONTH(AU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AU$46)-YEAR('融资租赁与资金缺口'!$F$16))*12+MONTH(AU$46)-MONTH('融资租赁与资金缺口'!$F$16)),'融资租赁与资金缺口'!$E$16*(1+'融资租赁与资金缺口'!$I$16)^((YEAR(AU$46)-YEAR('融资租赁与资金缺口'!$F$16))*12+MONTH(AU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AU$46)-YEAR('融资租赁与资金缺口'!$F$16))*12+MONTH(AU$46)-MONTH('融资租赁与资金缺口'!$F$16))-1)/'融资租赁与资金缺口'!$I$16))))))</x:f>
        <x:v>439366574.02861434</x:v>
      </x:c>
      <x:c r="AV58" s="28" t="n">
        <x:f>SUM(IF(AV$46&lt;'融资租赁与资金缺口'!$F$5,0,IF(AV$46='融资租赁与资金缺口'!$F$5,'融资租赁与资金缺口'!$E$5,IF(((YEAR(AV$46)-YEAR('融资租赁与资金缺口'!$F$5))*12+MONTH(AV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AV$46)-YEAR('融资租赁与资金缺口'!$F$5))*12+MONTH(AV$46)-MONTH('融资租赁与资金缺口'!$F$5)),'融资租赁与资金缺口'!$E$5*(1+'融资租赁与资金缺口'!$I$5)^((YEAR(AV$46)-YEAR('融资租赁与资金缺口'!$F$5))*12+MONTH(AV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AV$46)-YEAR('融资租赁与资金缺口'!$F$5))*12+MONTH(AV$46)-MONTH('融资租赁与资金缺口'!$F$5))-1)/'融资租赁与资金缺口'!$I$5))))),IF(AV$46&lt;'融资租赁与资金缺口'!$F$6,0,IF(AV$46='融资租赁与资金缺口'!$F$6,'融资租赁与资金缺口'!$E$6,IF(((YEAR(AV$46)-YEAR('融资租赁与资金缺口'!$F$6))*12+MONTH(AV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AV$46)-YEAR('融资租赁与资金缺口'!$F$6))*12+MONTH(AV$46)-MONTH('融资租赁与资金缺口'!$F$6)),'融资租赁与资金缺口'!$E$6*(1+'融资租赁与资金缺口'!$I$6)^((YEAR(AV$46)-YEAR('融资租赁与资金缺口'!$F$6))*12+MONTH(AV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AV$46)-YEAR('融资租赁与资金缺口'!$F$6))*12+MONTH(AV$46)-MONTH('融资租赁与资金缺口'!$F$6))-1)/'融资租赁与资金缺口'!$I$6))))),IF(AV$46&lt;'融资租赁与资金缺口'!$F$7,0,IF(AV$46='融资租赁与资金缺口'!$F$7,'融资租赁与资金缺口'!$E$7,IF(((YEAR(AV$46)-YEAR('融资租赁与资金缺口'!$F$7))*12+MONTH(AV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AV$46)-YEAR('融资租赁与资金缺口'!$F$7))*12+MONTH(AV$46)-MONTH('融资租赁与资金缺口'!$F$7)),'融资租赁与资金缺口'!$E$7*(1+'融资租赁与资金缺口'!$I$7)^((YEAR(AV$46)-YEAR('融资租赁与资金缺口'!$F$7))*12+MONTH(AV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AV$46)-YEAR('融资租赁与资金缺口'!$F$7))*12+MONTH(AV$46)-MONTH('融资租赁与资金缺口'!$F$7))-1)/'融资租赁与资金缺口'!$I$7))))),IF(AV$46&lt;'融资租赁与资金缺口'!$F$8,0,IF(AV$46='融资租赁与资金缺口'!$F$8,'融资租赁与资金缺口'!$E$8,IF(((YEAR(AV$46)-YEAR('融资租赁与资金缺口'!$F$8))*12+MONTH(AV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AV$46)-YEAR('融资租赁与资金缺口'!$F$8))*12+MONTH(AV$46)-MONTH('融资租赁与资金缺口'!$F$8)),'融资租赁与资金缺口'!$E$8*(1+'融资租赁与资金缺口'!$I$8)^((YEAR(AV$46)-YEAR('融资租赁与资金缺口'!$F$8))*12+MONTH(AV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AV$46)-YEAR('融资租赁与资金缺口'!$F$8))*12+MONTH(AV$46)-MONTH('融资租赁与资金缺口'!$F$8))-1)/'融资租赁与资金缺口'!$I$8))))),IF(AV$46&lt;'融资租赁与资金缺口'!$F$9,0,IF(AV$46='融资租赁与资金缺口'!$F$9,'融资租赁与资金缺口'!$E$9,IF(((YEAR(AV$46)-YEAR('融资租赁与资金缺口'!$F$9))*12+MONTH(AV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AV$46)-YEAR('融资租赁与资金缺口'!$F$9))*12+MONTH(AV$46)-MONTH('融资租赁与资金缺口'!$F$9)),'融资租赁与资金缺口'!$E$9*(1+'融资租赁与资金缺口'!$I$9)^((YEAR(AV$46)-YEAR('融资租赁与资金缺口'!$F$9))*12+MONTH(AV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AV$46)-YEAR('融资租赁与资金缺口'!$F$9))*12+MONTH(AV$46)-MONTH('融资租赁与资金缺口'!$F$9))-1)/'融资租赁与资金缺口'!$I$9))))),IF(AV$46&lt;'融资租赁与资金缺口'!$F$10,0,IF(AV$46='融资租赁与资金缺口'!$F$10,'融资租赁与资金缺口'!$E$10,IF(((YEAR(AV$46)-YEAR('融资租赁与资金缺口'!$F$10))*12+MONTH(AV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AV$46)-YEAR('融资租赁与资金缺口'!$F$10))*12+MONTH(AV$46)-MONTH('融资租赁与资金缺口'!$F$10)),'融资租赁与资金缺口'!$E$10*(1+'融资租赁与资金缺口'!$I$10)^((YEAR(AV$46)-YEAR('融资租赁与资金缺口'!$F$10))*12+MONTH(AV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AV$46)-YEAR('融资租赁与资金缺口'!$F$10))*12+MONTH(AV$46)-MONTH('融资租赁与资金缺口'!$F$10))-1)/'融资租赁与资金缺口'!$I$10))))),IF(AV$46&lt;'融资租赁与资金缺口'!$F$11,0,IF(AV$46='融资租赁与资金缺口'!$F$11,'融资租赁与资金缺口'!$E$11,IF(((YEAR(AV$46)-YEAR('融资租赁与资金缺口'!$F$11))*12+MONTH(AV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AV$46)-YEAR('融资租赁与资金缺口'!$F$11))*12+MONTH(AV$46)-MONTH('融资租赁与资金缺口'!$F$11)),'融资租赁与资金缺口'!$E$11*(1+'融资租赁与资金缺口'!$I$11)^((YEAR(AV$46)-YEAR('融资租赁与资金缺口'!$F$11))*12+MONTH(AV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AV$46)-YEAR('融资租赁与资金缺口'!$F$11))*12+MONTH(AV$46)-MONTH('融资租赁与资金缺口'!$F$11))-1)/'融资租赁与资金缺口'!$I$11))))),IF(AV$46&lt;'融资租赁与资金缺口'!$F$12,0,IF(AV$46='融资租赁与资金缺口'!$F$12,'融资租赁与资金缺口'!$E$12,IF(((YEAR(AV$46)-YEAR('融资租赁与资金缺口'!$F$12))*12+MONTH(AV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AV$46)-YEAR('融资租赁与资金缺口'!$F$12))*12+MONTH(AV$46)-MONTH('融资租赁与资金缺口'!$F$12)),'融资租赁与资金缺口'!$E$12*(1+'融资租赁与资金缺口'!$I$12)^((YEAR(AV$46)-YEAR('融资租赁与资金缺口'!$F$12))*12+MONTH(AV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AV$46)-YEAR('融资租赁与资金缺口'!$F$12))*12+MONTH(AV$46)-MONTH('融资租赁与资金缺口'!$F$12))-1)/'融资租赁与资金缺口'!$I$12))))),IF(AV$46&lt;'融资租赁与资金缺口'!$F$13,0,IF(AV$46='融资租赁与资金缺口'!$F$13,'融资租赁与资金缺口'!$E$13,IF(((YEAR(AV$46)-YEAR('融资租赁与资金缺口'!$F$13))*12+MONTH(AV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AV$46)-YEAR('融资租赁与资金缺口'!$F$13))*12+MONTH(AV$46)-MONTH('融资租赁与资金缺口'!$F$13)),'融资租赁与资金缺口'!$E$13*(1+'融资租赁与资金缺口'!$I$13)^((YEAR(AV$46)-YEAR('融资租赁与资金缺口'!$F$13))*12+MONTH(AV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AV$46)-YEAR('融资租赁与资金缺口'!$F$13))*12+MONTH(AV$46)-MONTH('融资租赁与资金缺口'!$F$13))-1)/'融资租赁与资金缺口'!$I$13))))),IF(AV$46&lt;'融资租赁与资金缺口'!$F$14,0,IF(AV$46='融资租赁与资金缺口'!$F$14,'融资租赁与资金缺口'!$E$14,IF(((YEAR(AV$46)-YEAR('融资租赁与资金缺口'!$F$14))*12+MONTH(AV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AV$46)-YEAR('融资租赁与资金缺口'!$F$14))*12+MONTH(AV$46)-MONTH('融资租赁与资金缺口'!$F$14)),'融资租赁与资金缺口'!$E$14*(1+'融资租赁与资金缺口'!$I$14)^((YEAR(AV$46)-YEAR('融资租赁与资金缺口'!$F$14))*12+MONTH(AV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AV$46)-YEAR('融资租赁与资金缺口'!$F$14))*12+MONTH(AV$46)-MONTH('融资租赁与资金缺口'!$F$14))-1)/'融资租赁与资金缺口'!$I$14))))),IF(AV$46&lt;'融资租赁与资金缺口'!$F$15,0,IF(AV$46='融资租赁与资金缺口'!$F$15,'融资租赁与资金缺口'!$E$15,IF(((YEAR(AV$46)-YEAR('融资租赁与资金缺口'!$F$15))*12+MONTH(AV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AV$46)-YEAR('融资租赁与资金缺口'!$F$15))*12+MONTH(AV$46)-MONTH('融资租赁与资金缺口'!$F$15)),'融资租赁与资金缺口'!$E$15*(1+'融资租赁与资金缺口'!$I$15)^((YEAR(AV$46)-YEAR('融资租赁与资金缺口'!$F$15))*12+MONTH(AV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AV$46)-YEAR('融资租赁与资金缺口'!$F$15))*12+MONTH(AV$46)-MONTH('融资租赁与资金缺口'!$F$15))-1)/'融资租赁与资金缺口'!$I$15))))),IF(AV$46&lt;'融资租赁与资金缺口'!$F$16,0,IF(AV$46='融资租赁与资金缺口'!$F$16,'融资租赁与资金缺口'!$E$16,IF(((YEAR(AV$46)-YEAR('融资租赁与资金缺口'!$F$16))*12+MONTH(AV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AV$46)-YEAR('融资租赁与资金缺口'!$F$16))*12+MONTH(AV$46)-MONTH('融资租赁与资金缺口'!$F$16)),'融资租赁与资金缺口'!$E$16*(1+'融资租赁与资金缺口'!$I$16)^((YEAR(AV$46)-YEAR('融资租赁与资金缺口'!$F$16))*12+MONTH(AV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AV$46)-YEAR('融资租赁与资金缺口'!$F$16))*12+MONTH(AV$46)-MONTH('融资租赁与资金缺口'!$F$16))-1)/'融资租赁与资金缺口'!$I$16))))))</x:f>
        <x:v>425404667.6404951</x:v>
      </x:c>
      <x:c r="AW58" s="28" t="n">
        <x:f>SUM(IF(AW$46&lt;'融资租赁与资金缺口'!$F$5,0,IF(AW$46='融资租赁与资金缺口'!$F$5,'融资租赁与资金缺口'!$E$5,IF(((YEAR(AW$46)-YEAR('融资租赁与资金缺口'!$F$5))*12+MONTH(AW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AW$46)-YEAR('融资租赁与资金缺口'!$F$5))*12+MONTH(AW$46)-MONTH('融资租赁与资金缺口'!$F$5)),'融资租赁与资金缺口'!$E$5*(1+'融资租赁与资金缺口'!$I$5)^((YEAR(AW$46)-YEAR('融资租赁与资金缺口'!$F$5))*12+MONTH(AW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AW$46)-YEAR('融资租赁与资金缺口'!$F$5))*12+MONTH(AW$46)-MONTH('融资租赁与资金缺口'!$F$5))-1)/'融资租赁与资金缺口'!$I$5))))),IF(AW$46&lt;'融资租赁与资金缺口'!$F$6,0,IF(AW$46='融资租赁与资金缺口'!$F$6,'融资租赁与资金缺口'!$E$6,IF(((YEAR(AW$46)-YEAR('融资租赁与资金缺口'!$F$6))*12+MONTH(AW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AW$46)-YEAR('融资租赁与资金缺口'!$F$6))*12+MONTH(AW$46)-MONTH('融资租赁与资金缺口'!$F$6)),'融资租赁与资金缺口'!$E$6*(1+'融资租赁与资金缺口'!$I$6)^((YEAR(AW$46)-YEAR('融资租赁与资金缺口'!$F$6))*12+MONTH(AW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AW$46)-YEAR('融资租赁与资金缺口'!$F$6))*12+MONTH(AW$46)-MONTH('融资租赁与资金缺口'!$F$6))-1)/'融资租赁与资金缺口'!$I$6))))),IF(AW$46&lt;'融资租赁与资金缺口'!$F$7,0,IF(AW$46='融资租赁与资金缺口'!$F$7,'融资租赁与资金缺口'!$E$7,IF(((YEAR(AW$46)-YEAR('融资租赁与资金缺口'!$F$7))*12+MONTH(AW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AW$46)-YEAR('融资租赁与资金缺口'!$F$7))*12+MONTH(AW$46)-MONTH('融资租赁与资金缺口'!$F$7)),'融资租赁与资金缺口'!$E$7*(1+'融资租赁与资金缺口'!$I$7)^((YEAR(AW$46)-YEAR('融资租赁与资金缺口'!$F$7))*12+MONTH(AW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AW$46)-YEAR('融资租赁与资金缺口'!$F$7))*12+MONTH(AW$46)-MONTH('融资租赁与资金缺口'!$F$7))-1)/'融资租赁与资金缺口'!$I$7))))),IF(AW$46&lt;'融资租赁与资金缺口'!$F$8,0,IF(AW$46='融资租赁与资金缺口'!$F$8,'融资租赁与资金缺口'!$E$8,IF(((YEAR(AW$46)-YEAR('融资租赁与资金缺口'!$F$8))*12+MONTH(AW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AW$46)-YEAR('融资租赁与资金缺口'!$F$8))*12+MONTH(AW$46)-MONTH('融资租赁与资金缺口'!$F$8)),'融资租赁与资金缺口'!$E$8*(1+'融资租赁与资金缺口'!$I$8)^((YEAR(AW$46)-YEAR('融资租赁与资金缺口'!$F$8))*12+MONTH(AW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AW$46)-YEAR('融资租赁与资金缺口'!$F$8))*12+MONTH(AW$46)-MONTH('融资租赁与资金缺口'!$F$8))-1)/'融资租赁与资金缺口'!$I$8))))),IF(AW$46&lt;'融资租赁与资金缺口'!$F$9,0,IF(AW$46='融资租赁与资金缺口'!$F$9,'融资租赁与资金缺口'!$E$9,IF(((YEAR(AW$46)-YEAR('融资租赁与资金缺口'!$F$9))*12+MONTH(AW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AW$46)-YEAR('融资租赁与资金缺口'!$F$9))*12+MONTH(AW$46)-MONTH('融资租赁与资金缺口'!$F$9)),'融资租赁与资金缺口'!$E$9*(1+'融资租赁与资金缺口'!$I$9)^((YEAR(AW$46)-YEAR('融资租赁与资金缺口'!$F$9))*12+MONTH(AW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AW$46)-YEAR('融资租赁与资金缺口'!$F$9))*12+MONTH(AW$46)-MONTH('融资租赁与资金缺口'!$F$9))-1)/'融资租赁与资金缺口'!$I$9))))),IF(AW$46&lt;'融资租赁与资金缺口'!$F$10,0,IF(AW$46='融资租赁与资金缺口'!$F$10,'融资租赁与资金缺口'!$E$10,IF(((YEAR(AW$46)-YEAR('融资租赁与资金缺口'!$F$10))*12+MONTH(AW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AW$46)-YEAR('融资租赁与资金缺口'!$F$10))*12+MONTH(AW$46)-MONTH('融资租赁与资金缺口'!$F$10)),'融资租赁与资金缺口'!$E$10*(1+'融资租赁与资金缺口'!$I$10)^((YEAR(AW$46)-YEAR('融资租赁与资金缺口'!$F$10))*12+MONTH(AW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AW$46)-YEAR('融资租赁与资金缺口'!$F$10))*12+MONTH(AW$46)-MONTH('融资租赁与资金缺口'!$F$10))-1)/'融资租赁与资金缺口'!$I$10))))),IF(AW$46&lt;'融资租赁与资金缺口'!$F$11,0,IF(AW$46='融资租赁与资金缺口'!$F$11,'融资租赁与资金缺口'!$E$11,IF(((YEAR(AW$46)-YEAR('融资租赁与资金缺口'!$F$11))*12+MONTH(AW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AW$46)-YEAR('融资租赁与资金缺口'!$F$11))*12+MONTH(AW$46)-MONTH('融资租赁与资金缺口'!$F$11)),'融资租赁与资金缺口'!$E$11*(1+'融资租赁与资金缺口'!$I$11)^((YEAR(AW$46)-YEAR('融资租赁与资金缺口'!$F$11))*12+MONTH(AW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AW$46)-YEAR('融资租赁与资金缺口'!$F$11))*12+MONTH(AW$46)-MONTH('融资租赁与资金缺口'!$F$11))-1)/'融资租赁与资金缺口'!$I$11))))),IF(AW$46&lt;'融资租赁与资金缺口'!$F$12,0,IF(AW$46='融资租赁与资金缺口'!$F$12,'融资租赁与资金缺口'!$E$12,IF(((YEAR(AW$46)-YEAR('融资租赁与资金缺口'!$F$12))*12+MONTH(AW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AW$46)-YEAR('融资租赁与资金缺口'!$F$12))*12+MONTH(AW$46)-MONTH('融资租赁与资金缺口'!$F$12)),'融资租赁与资金缺口'!$E$12*(1+'融资租赁与资金缺口'!$I$12)^((YEAR(AW$46)-YEAR('融资租赁与资金缺口'!$F$12))*12+MONTH(AW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AW$46)-YEAR('融资租赁与资金缺口'!$F$12))*12+MONTH(AW$46)-MONTH('融资租赁与资金缺口'!$F$12))-1)/'融资租赁与资金缺口'!$I$12))))),IF(AW$46&lt;'融资租赁与资金缺口'!$F$13,0,IF(AW$46='融资租赁与资金缺口'!$F$13,'融资租赁与资金缺口'!$E$13,IF(((YEAR(AW$46)-YEAR('融资租赁与资金缺口'!$F$13))*12+MONTH(AW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AW$46)-YEAR('融资租赁与资金缺口'!$F$13))*12+MONTH(AW$46)-MONTH('融资租赁与资金缺口'!$F$13)),'融资租赁与资金缺口'!$E$13*(1+'融资租赁与资金缺口'!$I$13)^((YEAR(AW$46)-YEAR('融资租赁与资金缺口'!$F$13))*12+MONTH(AW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AW$46)-YEAR('融资租赁与资金缺口'!$F$13))*12+MONTH(AW$46)-MONTH('融资租赁与资金缺口'!$F$13))-1)/'融资租赁与资金缺口'!$I$13))))),IF(AW$46&lt;'融资租赁与资金缺口'!$F$14,0,IF(AW$46='融资租赁与资金缺口'!$F$14,'融资租赁与资金缺口'!$E$14,IF(((YEAR(AW$46)-YEAR('融资租赁与资金缺口'!$F$14))*12+MONTH(AW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AW$46)-YEAR('融资租赁与资金缺口'!$F$14))*12+MONTH(AW$46)-MONTH('融资租赁与资金缺口'!$F$14)),'融资租赁与资金缺口'!$E$14*(1+'融资租赁与资金缺口'!$I$14)^((YEAR(AW$46)-YEAR('融资租赁与资金缺口'!$F$14))*12+MONTH(AW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AW$46)-YEAR('融资租赁与资金缺口'!$F$14))*12+MONTH(AW$46)-MONTH('融资租赁与资金缺口'!$F$14))-1)/'融资租赁与资金缺口'!$I$14))))),IF(AW$46&lt;'融资租赁与资金缺口'!$F$15,0,IF(AW$46='融资租赁与资金缺口'!$F$15,'融资租赁与资金缺口'!$E$15,IF(((YEAR(AW$46)-YEAR('融资租赁与资金缺口'!$F$15))*12+MONTH(AW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AW$46)-YEAR('融资租赁与资金缺口'!$F$15))*12+MONTH(AW$46)-MONTH('融资租赁与资金缺口'!$F$15)),'融资租赁与资金缺口'!$E$15*(1+'融资租赁与资金缺口'!$I$15)^((YEAR(AW$46)-YEAR('融资租赁与资金缺口'!$F$15))*12+MONTH(AW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AW$46)-YEAR('融资租赁与资金缺口'!$F$15))*12+MONTH(AW$46)-MONTH('融资租赁与资金缺口'!$F$15))-1)/'融资租赁与资金缺口'!$I$15))))),IF(AW$46&lt;'融资租赁与资金缺口'!$F$16,0,IF(AW$46='融资租赁与资金缺口'!$F$16,'融资租赁与资金缺口'!$E$16,IF(((YEAR(AW$46)-YEAR('融资租赁与资金缺口'!$F$16))*12+MONTH(AW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AW$46)-YEAR('融资租赁与资金缺口'!$F$16))*12+MONTH(AW$46)-MONTH('融资租赁与资金缺口'!$F$16)),'融资租赁与资金缺口'!$E$16*(1+'融资租赁与资金缺口'!$I$16)^((YEAR(AW$46)-YEAR('融资租赁与资金缺口'!$F$16))*12+MONTH(AW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AW$46)-YEAR('融资租赁与资金缺口'!$F$16))*12+MONTH(AW$46)-MONTH('融资租赁与资金缺口'!$F$16))-1)/'融资租赁与资金缺口'!$I$16))))))</x:f>
        <x:v>411349681.87645495</x:v>
      </x:c>
      <x:c r="AX58" s="28" t="n">
        <x:f>SUM(IF(AX$46&lt;'融资租赁与资金缺口'!$F$5,0,IF(AX$46='融资租赁与资金缺口'!$F$5,'融资租赁与资金缺口'!$E$5,IF(((YEAR(AX$46)-YEAR('融资租赁与资金缺口'!$F$5))*12+MONTH(AX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AX$46)-YEAR('融资租赁与资金缺口'!$F$5))*12+MONTH(AX$46)-MONTH('融资租赁与资金缺口'!$F$5)),'融资租赁与资金缺口'!$E$5*(1+'融资租赁与资金缺口'!$I$5)^((YEAR(AX$46)-YEAR('融资租赁与资金缺口'!$F$5))*12+MONTH(AX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AX$46)-YEAR('融资租赁与资金缺口'!$F$5))*12+MONTH(AX$46)-MONTH('融资租赁与资金缺口'!$F$5))-1)/'融资租赁与资金缺口'!$I$5))))),IF(AX$46&lt;'融资租赁与资金缺口'!$F$6,0,IF(AX$46='融资租赁与资金缺口'!$F$6,'融资租赁与资金缺口'!$E$6,IF(((YEAR(AX$46)-YEAR('融资租赁与资金缺口'!$F$6))*12+MONTH(AX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AX$46)-YEAR('融资租赁与资金缺口'!$F$6))*12+MONTH(AX$46)-MONTH('融资租赁与资金缺口'!$F$6)),'融资租赁与资金缺口'!$E$6*(1+'融资租赁与资金缺口'!$I$6)^((YEAR(AX$46)-YEAR('融资租赁与资金缺口'!$F$6))*12+MONTH(AX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AX$46)-YEAR('融资租赁与资金缺口'!$F$6))*12+MONTH(AX$46)-MONTH('融资租赁与资金缺口'!$F$6))-1)/'融资租赁与资金缺口'!$I$6))))),IF(AX$46&lt;'融资租赁与资金缺口'!$F$7,0,IF(AX$46='融资租赁与资金缺口'!$F$7,'融资租赁与资金缺口'!$E$7,IF(((YEAR(AX$46)-YEAR('融资租赁与资金缺口'!$F$7))*12+MONTH(AX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AX$46)-YEAR('融资租赁与资金缺口'!$F$7))*12+MONTH(AX$46)-MONTH('融资租赁与资金缺口'!$F$7)),'融资租赁与资金缺口'!$E$7*(1+'融资租赁与资金缺口'!$I$7)^((YEAR(AX$46)-YEAR('融资租赁与资金缺口'!$F$7))*12+MONTH(AX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AX$46)-YEAR('融资租赁与资金缺口'!$F$7))*12+MONTH(AX$46)-MONTH('融资租赁与资金缺口'!$F$7))-1)/'融资租赁与资金缺口'!$I$7))))),IF(AX$46&lt;'融资租赁与资金缺口'!$F$8,0,IF(AX$46='融资租赁与资金缺口'!$F$8,'融资租赁与资金缺口'!$E$8,IF(((YEAR(AX$46)-YEAR('融资租赁与资金缺口'!$F$8))*12+MONTH(AX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AX$46)-YEAR('融资租赁与资金缺口'!$F$8))*12+MONTH(AX$46)-MONTH('融资租赁与资金缺口'!$F$8)),'融资租赁与资金缺口'!$E$8*(1+'融资租赁与资金缺口'!$I$8)^((YEAR(AX$46)-YEAR('融资租赁与资金缺口'!$F$8))*12+MONTH(AX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AX$46)-YEAR('融资租赁与资金缺口'!$F$8))*12+MONTH(AX$46)-MONTH('融资租赁与资金缺口'!$F$8))-1)/'融资租赁与资金缺口'!$I$8))))),IF(AX$46&lt;'融资租赁与资金缺口'!$F$9,0,IF(AX$46='融资租赁与资金缺口'!$F$9,'融资租赁与资金缺口'!$E$9,IF(((YEAR(AX$46)-YEAR('融资租赁与资金缺口'!$F$9))*12+MONTH(AX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AX$46)-YEAR('融资租赁与资金缺口'!$F$9))*12+MONTH(AX$46)-MONTH('融资租赁与资金缺口'!$F$9)),'融资租赁与资金缺口'!$E$9*(1+'融资租赁与资金缺口'!$I$9)^((YEAR(AX$46)-YEAR('融资租赁与资金缺口'!$F$9))*12+MONTH(AX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AX$46)-YEAR('融资租赁与资金缺口'!$F$9))*12+MONTH(AX$46)-MONTH('融资租赁与资金缺口'!$F$9))-1)/'融资租赁与资金缺口'!$I$9))))),IF(AX$46&lt;'融资租赁与资金缺口'!$F$10,0,IF(AX$46='融资租赁与资金缺口'!$F$10,'融资租赁与资金缺口'!$E$10,IF(((YEAR(AX$46)-YEAR('融资租赁与资金缺口'!$F$10))*12+MONTH(AX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AX$46)-YEAR('融资租赁与资金缺口'!$F$10))*12+MONTH(AX$46)-MONTH('融资租赁与资金缺口'!$F$10)),'融资租赁与资金缺口'!$E$10*(1+'融资租赁与资金缺口'!$I$10)^((YEAR(AX$46)-YEAR('融资租赁与资金缺口'!$F$10))*12+MONTH(AX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AX$46)-YEAR('融资租赁与资金缺口'!$F$10))*12+MONTH(AX$46)-MONTH('融资租赁与资金缺口'!$F$10))-1)/'融资租赁与资金缺口'!$I$10))))),IF(AX$46&lt;'融资租赁与资金缺口'!$F$11,0,IF(AX$46='融资租赁与资金缺口'!$F$11,'融资租赁与资金缺口'!$E$11,IF(((YEAR(AX$46)-YEAR('融资租赁与资金缺口'!$F$11))*12+MONTH(AX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AX$46)-YEAR('融资租赁与资金缺口'!$F$11))*12+MONTH(AX$46)-MONTH('融资租赁与资金缺口'!$F$11)),'融资租赁与资金缺口'!$E$11*(1+'融资租赁与资金缺口'!$I$11)^((YEAR(AX$46)-YEAR('融资租赁与资金缺口'!$F$11))*12+MONTH(AX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AX$46)-YEAR('融资租赁与资金缺口'!$F$11))*12+MONTH(AX$46)-MONTH('融资租赁与资金缺口'!$F$11))-1)/'融资租赁与资金缺口'!$I$11))))),IF(AX$46&lt;'融资租赁与资金缺口'!$F$12,0,IF(AX$46='融资租赁与资金缺口'!$F$12,'融资租赁与资金缺口'!$E$12,IF(((YEAR(AX$46)-YEAR('融资租赁与资金缺口'!$F$12))*12+MONTH(AX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AX$46)-YEAR('融资租赁与资金缺口'!$F$12))*12+MONTH(AX$46)-MONTH('融资租赁与资金缺口'!$F$12)),'融资租赁与资金缺口'!$E$12*(1+'融资租赁与资金缺口'!$I$12)^((YEAR(AX$46)-YEAR('融资租赁与资金缺口'!$F$12))*12+MONTH(AX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AX$46)-YEAR('融资租赁与资金缺口'!$F$12))*12+MONTH(AX$46)-MONTH('融资租赁与资金缺口'!$F$12))-1)/'融资租赁与资金缺口'!$I$12))))),IF(AX$46&lt;'融资租赁与资金缺口'!$F$13,0,IF(AX$46='融资租赁与资金缺口'!$F$13,'融资租赁与资金缺口'!$E$13,IF(((YEAR(AX$46)-YEAR('融资租赁与资金缺口'!$F$13))*12+MONTH(AX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AX$46)-YEAR('融资租赁与资金缺口'!$F$13))*12+MONTH(AX$46)-MONTH('融资租赁与资金缺口'!$F$13)),'融资租赁与资金缺口'!$E$13*(1+'融资租赁与资金缺口'!$I$13)^((YEAR(AX$46)-YEAR('融资租赁与资金缺口'!$F$13))*12+MONTH(AX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AX$46)-YEAR('融资租赁与资金缺口'!$F$13))*12+MONTH(AX$46)-MONTH('融资租赁与资金缺口'!$F$13))-1)/'融资租赁与资金缺口'!$I$13))))),IF(AX$46&lt;'融资租赁与资金缺口'!$F$14,0,IF(AX$46='融资租赁与资金缺口'!$F$14,'融资租赁与资金缺口'!$E$14,IF(((YEAR(AX$46)-YEAR('融资租赁与资金缺口'!$F$14))*12+MONTH(AX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AX$46)-YEAR('融资租赁与资金缺口'!$F$14))*12+MONTH(AX$46)-MONTH('融资租赁与资金缺口'!$F$14)),'融资租赁与资金缺口'!$E$14*(1+'融资租赁与资金缺口'!$I$14)^((YEAR(AX$46)-YEAR('融资租赁与资金缺口'!$F$14))*12+MONTH(AX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AX$46)-YEAR('融资租赁与资金缺口'!$F$14))*12+MONTH(AX$46)-MONTH('融资租赁与资金缺口'!$F$14))-1)/'融资租赁与资金缺口'!$I$14))))),IF(AX$46&lt;'融资租赁与资金缺口'!$F$15,0,IF(AX$46='融资租赁与资金缺口'!$F$15,'融资租赁与资金缺口'!$E$15,IF(((YEAR(AX$46)-YEAR('融资租赁与资金缺口'!$F$15))*12+MONTH(AX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AX$46)-YEAR('融资租赁与资金缺口'!$F$15))*12+MONTH(AX$46)-MONTH('融资租赁与资金缺口'!$F$15)),'融资租赁与资金缺口'!$E$15*(1+'融资租赁与资金缺口'!$I$15)^((YEAR(AX$46)-YEAR('融资租赁与资金缺口'!$F$15))*12+MONTH(AX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AX$46)-YEAR('融资租赁与资金缺口'!$F$15))*12+MONTH(AX$46)-MONTH('融资租赁与资金缺口'!$F$15))-1)/'融资租赁与资金缺口'!$I$15))))),IF(AX$46&lt;'融资租赁与资金缺口'!$F$16,0,IF(AX$46='融资租赁与资金缺口'!$F$16,'融资租赁与资金缺口'!$E$16,IF(((YEAR(AX$46)-YEAR('融资租赁与资金缺口'!$F$16))*12+MONTH(AX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AX$46)-YEAR('融资租赁与资金缺口'!$F$16))*12+MONTH(AX$46)-MONTH('融资租赁与资金缺口'!$F$16)),'融资租赁与资金缺口'!$E$16*(1+'融资租赁与资金缺口'!$I$16)^((YEAR(AX$46)-YEAR('融资租赁与资金缺口'!$F$16))*12+MONTH(AX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AX$46)-YEAR('融资租赁与资金缺口'!$F$16))*12+MONTH(AX$46)-MONTH('融资租赁与资金缺口'!$F$16))-1)/'融资租赁与资金缺口'!$I$16))))))</x:f>
        <x:v>397200996.2073213</x:v>
      </x:c>
      <x:c r="AY58" s="28" t="n">
        <x:f>SUM(IF(AY$46&lt;'融资租赁与资金缺口'!$F$5,0,IF(AY$46='融资租赁与资金缺口'!$F$5,'融资租赁与资金缺口'!$E$5,IF(((YEAR(AY$46)-YEAR('融资租赁与资金缺口'!$F$5))*12+MONTH(AY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AY$46)-YEAR('融资租赁与资金缺口'!$F$5))*12+MONTH(AY$46)-MONTH('融资租赁与资金缺口'!$F$5)),'融资租赁与资金缺口'!$E$5*(1+'融资租赁与资金缺口'!$I$5)^((YEAR(AY$46)-YEAR('融资租赁与资金缺口'!$F$5))*12+MONTH(AY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AY$46)-YEAR('融资租赁与资金缺口'!$F$5))*12+MONTH(AY$46)-MONTH('融资租赁与资金缺口'!$F$5))-1)/'融资租赁与资金缺口'!$I$5))))),IF(AY$46&lt;'融资租赁与资金缺口'!$F$6,0,IF(AY$46='融资租赁与资金缺口'!$F$6,'融资租赁与资金缺口'!$E$6,IF(((YEAR(AY$46)-YEAR('融资租赁与资金缺口'!$F$6))*12+MONTH(AY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AY$46)-YEAR('融资租赁与资金缺口'!$F$6))*12+MONTH(AY$46)-MONTH('融资租赁与资金缺口'!$F$6)),'融资租赁与资金缺口'!$E$6*(1+'融资租赁与资金缺口'!$I$6)^((YEAR(AY$46)-YEAR('融资租赁与资金缺口'!$F$6))*12+MONTH(AY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AY$46)-YEAR('融资租赁与资金缺口'!$F$6))*12+MONTH(AY$46)-MONTH('融资租赁与资金缺口'!$F$6))-1)/'融资租赁与资金缺口'!$I$6))))),IF(AY$46&lt;'融资租赁与资金缺口'!$F$7,0,IF(AY$46='融资租赁与资金缺口'!$F$7,'融资租赁与资金缺口'!$E$7,IF(((YEAR(AY$46)-YEAR('融资租赁与资金缺口'!$F$7))*12+MONTH(AY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AY$46)-YEAR('融资租赁与资金缺口'!$F$7))*12+MONTH(AY$46)-MONTH('融资租赁与资金缺口'!$F$7)),'融资租赁与资金缺口'!$E$7*(1+'融资租赁与资金缺口'!$I$7)^((YEAR(AY$46)-YEAR('融资租赁与资金缺口'!$F$7))*12+MONTH(AY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AY$46)-YEAR('融资租赁与资金缺口'!$F$7))*12+MONTH(AY$46)-MONTH('融资租赁与资金缺口'!$F$7))-1)/'融资租赁与资金缺口'!$I$7))))),IF(AY$46&lt;'融资租赁与资金缺口'!$F$8,0,IF(AY$46='融资租赁与资金缺口'!$F$8,'融资租赁与资金缺口'!$E$8,IF(((YEAR(AY$46)-YEAR('融资租赁与资金缺口'!$F$8))*12+MONTH(AY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AY$46)-YEAR('融资租赁与资金缺口'!$F$8))*12+MONTH(AY$46)-MONTH('融资租赁与资金缺口'!$F$8)),'融资租赁与资金缺口'!$E$8*(1+'融资租赁与资金缺口'!$I$8)^((YEAR(AY$46)-YEAR('融资租赁与资金缺口'!$F$8))*12+MONTH(AY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AY$46)-YEAR('融资租赁与资金缺口'!$F$8))*12+MONTH(AY$46)-MONTH('融资租赁与资金缺口'!$F$8))-1)/'融资租赁与资金缺口'!$I$8))))),IF(AY$46&lt;'融资租赁与资金缺口'!$F$9,0,IF(AY$46='融资租赁与资金缺口'!$F$9,'融资租赁与资金缺口'!$E$9,IF(((YEAR(AY$46)-YEAR('融资租赁与资金缺口'!$F$9))*12+MONTH(AY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AY$46)-YEAR('融资租赁与资金缺口'!$F$9))*12+MONTH(AY$46)-MONTH('融资租赁与资金缺口'!$F$9)),'融资租赁与资金缺口'!$E$9*(1+'融资租赁与资金缺口'!$I$9)^((YEAR(AY$46)-YEAR('融资租赁与资金缺口'!$F$9))*12+MONTH(AY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AY$46)-YEAR('融资租赁与资金缺口'!$F$9))*12+MONTH(AY$46)-MONTH('融资租赁与资金缺口'!$F$9))-1)/'融资租赁与资金缺口'!$I$9))))),IF(AY$46&lt;'融资租赁与资金缺口'!$F$10,0,IF(AY$46='融资租赁与资金缺口'!$F$10,'融资租赁与资金缺口'!$E$10,IF(((YEAR(AY$46)-YEAR('融资租赁与资金缺口'!$F$10))*12+MONTH(AY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AY$46)-YEAR('融资租赁与资金缺口'!$F$10))*12+MONTH(AY$46)-MONTH('融资租赁与资金缺口'!$F$10)),'融资租赁与资金缺口'!$E$10*(1+'融资租赁与资金缺口'!$I$10)^((YEAR(AY$46)-YEAR('融资租赁与资金缺口'!$F$10))*12+MONTH(AY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AY$46)-YEAR('融资租赁与资金缺口'!$F$10))*12+MONTH(AY$46)-MONTH('融资租赁与资金缺口'!$F$10))-1)/'融资租赁与资金缺口'!$I$10))))),IF(AY$46&lt;'融资租赁与资金缺口'!$F$11,0,IF(AY$46='融资租赁与资金缺口'!$F$11,'融资租赁与资金缺口'!$E$11,IF(((YEAR(AY$46)-YEAR('融资租赁与资金缺口'!$F$11))*12+MONTH(AY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AY$46)-YEAR('融资租赁与资金缺口'!$F$11))*12+MONTH(AY$46)-MONTH('融资租赁与资金缺口'!$F$11)),'融资租赁与资金缺口'!$E$11*(1+'融资租赁与资金缺口'!$I$11)^((YEAR(AY$46)-YEAR('融资租赁与资金缺口'!$F$11))*12+MONTH(AY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AY$46)-YEAR('融资租赁与资金缺口'!$F$11))*12+MONTH(AY$46)-MONTH('融资租赁与资金缺口'!$F$11))-1)/'融资租赁与资金缺口'!$I$11))))),IF(AY$46&lt;'融资租赁与资金缺口'!$F$12,0,IF(AY$46='融资租赁与资金缺口'!$F$12,'融资租赁与资金缺口'!$E$12,IF(((YEAR(AY$46)-YEAR('融资租赁与资金缺口'!$F$12))*12+MONTH(AY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AY$46)-YEAR('融资租赁与资金缺口'!$F$12))*12+MONTH(AY$46)-MONTH('融资租赁与资金缺口'!$F$12)),'融资租赁与资金缺口'!$E$12*(1+'融资租赁与资金缺口'!$I$12)^((YEAR(AY$46)-YEAR('融资租赁与资金缺口'!$F$12))*12+MONTH(AY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AY$46)-YEAR('融资租赁与资金缺口'!$F$12))*12+MONTH(AY$46)-MONTH('融资租赁与资金缺口'!$F$12))-1)/'融资租赁与资金缺口'!$I$12))))),IF(AY$46&lt;'融资租赁与资金缺口'!$F$13,0,IF(AY$46='融资租赁与资金缺口'!$F$13,'融资租赁与资金缺口'!$E$13,IF(((YEAR(AY$46)-YEAR('融资租赁与资金缺口'!$F$13))*12+MONTH(AY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AY$46)-YEAR('融资租赁与资金缺口'!$F$13))*12+MONTH(AY$46)-MONTH('融资租赁与资金缺口'!$F$13)),'融资租赁与资金缺口'!$E$13*(1+'融资租赁与资金缺口'!$I$13)^((YEAR(AY$46)-YEAR('融资租赁与资金缺口'!$F$13))*12+MONTH(AY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AY$46)-YEAR('融资租赁与资金缺口'!$F$13))*12+MONTH(AY$46)-MONTH('融资租赁与资金缺口'!$F$13))-1)/'融资租赁与资金缺口'!$I$13))))),IF(AY$46&lt;'融资租赁与资金缺口'!$F$14,0,IF(AY$46='融资租赁与资金缺口'!$F$14,'融资租赁与资金缺口'!$E$14,IF(((YEAR(AY$46)-YEAR('融资租赁与资金缺口'!$F$14))*12+MONTH(AY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AY$46)-YEAR('融资租赁与资金缺口'!$F$14))*12+MONTH(AY$46)-MONTH('融资租赁与资金缺口'!$F$14)),'融资租赁与资金缺口'!$E$14*(1+'融资租赁与资金缺口'!$I$14)^((YEAR(AY$46)-YEAR('融资租赁与资金缺口'!$F$14))*12+MONTH(AY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AY$46)-YEAR('融资租赁与资金缺口'!$F$14))*12+MONTH(AY$46)-MONTH('融资租赁与资金缺口'!$F$14))-1)/'融资租赁与资金缺口'!$I$14))))),IF(AY$46&lt;'融资租赁与资金缺口'!$F$15,0,IF(AY$46='融资租赁与资金缺口'!$F$15,'融资租赁与资金缺口'!$E$15,IF(((YEAR(AY$46)-YEAR('融资租赁与资金缺口'!$F$15))*12+MONTH(AY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AY$46)-YEAR('融资租赁与资金缺口'!$F$15))*12+MONTH(AY$46)-MONTH('融资租赁与资金缺口'!$F$15)),'融资租赁与资金缺口'!$E$15*(1+'融资租赁与资金缺口'!$I$15)^((YEAR(AY$46)-YEAR('融资租赁与资金缺口'!$F$15))*12+MONTH(AY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AY$46)-YEAR('融资租赁与资金缺口'!$F$15))*12+MONTH(AY$46)-MONTH('融资租赁与资金缺口'!$F$15))-1)/'融资租赁与资金缺口'!$I$15))))),IF(AY$46&lt;'融资租赁与资金缺口'!$F$16,0,IF(AY$46='融资租赁与资金缺口'!$F$16,'融资租赁与资金缺口'!$E$16,IF(((YEAR(AY$46)-YEAR('融资租赁与资金缺口'!$F$16))*12+MONTH(AY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AY$46)-YEAR('融资租赁与资金缺口'!$F$16))*12+MONTH(AY$46)-MONTH('融资租赁与资金缺口'!$F$16)),'融资租赁与资金缺口'!$E$16*(1+'融资租赁与资金缺口'!$I$16)^((YEAR(AY$46)-YEAR('融资租赁与资金缺口'!$F$16))*12+MONTH(AY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AY$46)-YEAR('融资租赁与资金缺口'!$F$16))*12+MONTH(AY$46)-MONTH('融资租赁与资金缺口'!$F$16))-1)/'融资租赁与资金缺口'!$I$16))))))</x:f>
        <x:v>382957985.96705997</x:v>
      </x:c>
      <x:c r="AZ58" s="28" t="n">
        <x:f>SUM(IF(AZ$46&lt;'融资租赁与资金缺口'!$F$5,0,IF(AZ$46='融资租赁与资金缺口'!$F$5,'融资租赁与资金缺口'!$E$5,IF(((YEAR(AZ$46)-YEAR('融资租赁与资金缺口'!$F$5))*12+MONTH(AZ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AZ$46)-YEAR('融资租赁与资金缺口'!$F$5))*12+MONTH(AZ$46)-MONTH('融资租赁与资金缺口'!$F$5)),'融资租赁与资金缺口'!$E$5*(1+'融资租赁与资金缺口'!$I$5)^((YEAR(AZ$46)-YEAR('融资租赁与资金缺口'!$F$5))*12+MONTH(AZ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AZ$46)-YEAR('融资租赁与资金缺口'!$F$5))*12+MONTH(AZ$46)-MONTH('融资租赁与资金缺口'!$F$5))-1)/'融资租赁与资金缺口'!$I$5))))),IF(AZ$46&lt;'融资租赁与资金缺口'!$F$6,0,IF(AZ$46='融资租赁与资金缺口'!$F$6,'融资租赁与资金缺口'!$E$6,IF(((YEAR(AZ$46)-YEAR('融资租赁与资金缺口'!$F$6))*12+MONTH(AZ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AZ$46)-YEAR('融资租赁与资金缺口'!$F$6))*12+MONTH(AZ$46)-MONTH('融资租赁与资金缺口'!$F$6)),'融资租赁与资金缺口'!$E$6*(1+'融资租赁与资金缺口'!$I$6)^((YEAR(AZ$46)-YEAR('融资租赁与资金缺口'!$F$6))*12+MONTH(AZ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AZ$46)-YEAR('融资租赁与资金缺口'!$F$6))*12+MONTH(AZ$46)-MONTH('融资租赁与资金缺口'!$F$6))-1)/'融资租赁与资金缺口'!$I$6))))),IF(AZ$46&lt;'融资租赁与资金缺口'!$F$7,0,IF(AZ$46='融资租赁与资金缺口'!$F$7,'融资租赁与资金缺口'!$E$7,IF(((YEAR(AZ$46)-YEAR('融资租赁与资金缺口'!$F$7))*12+MONTH(AZ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AZ$46)-YEAR('融资租赁与资金缺口'!$F$7))*12+MONTH(AZ$46)-MONTH('融资租赁与资金缺口'!$F$7)),'融资租赁与资金缺口'!$E$7*(1+'融资租赁与资金缺口'!$I$7)^((YEAR(AZ$46)-YEAR('融资租赁与资金缺口'!$F$7))*12+MONTH(AZ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AZ$46)-YEAR('融资租赁与资金缺口'!$F$7))*12+MONTH(AZ$46)-MONTH('融资租赁与资金缺口'!$F$7))-1)/'融资租赁与资金缺口'!$I$7))))),IF(AZ$46&lt;'融资租赁与资金缺口'!$F$8,0,IF(AZ$46='融资租赁与资金缺口'!$F$8,'融资租赁与资金缺口'!$E$8,IF(((YEAR(AZ$46)-YEAR('融资租赁与资金缺口'!$F$8))*12+MONTH(AZ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AZ$46)-YEAR('融资租赁与资金缺口'!$F$8))*12+MONTH(AZ$46)-MONTH('融资租赁与资金缺口'!$F$8)),'融资租赁与资金缺口'!$E$8*(1+'融资租赁与资金缺口'!$I$8)^((YEAR(AZ$46)-YEAR('融资租赁与资金缺口'!$F$8))*12+MONTH(AZ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AZ$46)-YEAR('融资租赁与资金缺口'!$F$8))*12+MONTH(AZ$46)-MONTH('融资租赁与资金缺口'!$F$8))-1)/'融资租赁与资金缺口'!$I$8))))),IF(AZ$46&lt;'融资租赁与资金缺口'!$F$9,0,IF(AZ$46='融资租赁与资金缺口'!$F$9,'融资租赁与资金缺口'!$E$9,IF(((YEAR(AZ$46)-YEAR('融资租赁与资金缺口'!$F$9))*12+MONTH(AZ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AZ$46)-YEAR('融资租赁与资金缺口'!$F$9))*12+MONTH(AZ$46)-MONTH('融资租赁与资金缺口'!$F$9)),'融资租赁与资金缺口'!$E$9*(1+'融资租赁与资金缺口'!$I$9)^((YEAR(AZ$46)-YEAR('融资租赁与资金缺口'!$F$9))*12+MONTH(AZ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AZ$46)-YEAR('融资租赁与资金缺口'!$F$9))*12+MONTH(AZ$46)-MONTH('融资租赁与资金缺口'!$F$9))-1)/'融资租赁与资金缺口'!$I$9))))),IF(AZ$46&lt;'融资租赁与资金缺口'!$F$10,0,IF(AZ$46='融资租赁与资金缺口'!$F$10,'融资租赁与资金缺口'!$E$10,IF(((YEAR(AZ$46)-YEAR('融资租赁与资金缺口'!$F$10))*12+MONTH(AZ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AZ$46)-YEAR('融资租赁与资金缺口'!$F$10))*12+MONTH(AZ$46)-MONTH('融资租赁与资金缺口'!$F$10)),'融资租赁与资金缺口'!$E$10*(1+'融资租赁与资金缺口'!$I$10)^((YEAR(AZ$46)-YEAR('融资租赁与资金缺口'!$F$10))*12+MONTH(AZ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AZ$46)-YEAR('融资租赁与资金缺口'!$F$10))*12+MONTH(AZ$46)-MONTH('融资租赁与资金缺口'!$F$10))-1)/'融资租赁与资金缺口'!$I$10))))),IF(AZ$46&lt;'融资租赁与资金缺口'!$F$11,0,IF(AZ$46='融资租赁与资金缺口'!$F$11,'融资租赁与资金缺口'!$E$11,IF(((YEAR(AZ$46)-YEAR('融资租赁与资金缺口'!$F$11))*12+MONTH(AZ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AZ$46)-YEAR('融资租赁与资金缺口'!$F$11))*12+MONTH(AZ$46)-MONTH('融资租赁与资金缺口'!$F$11)),'融资租赁与资金缺口'!$E$11*(1+'融资租赁与资金缺口'!$I$11)^((YEAR(AZ$46)-YEAR('融资租赁与资金缺口'!$F$11))*12+MONTH(AZ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AZ$46)-YEAR('融资租赁与资金缺口'!$F$11))*12+MONTH(AZ$46)-MONTH('融资租赁与资金缺口'!$F$11))-1)/'融资租赁与资金缺口'!$I$11))))),IF(AZ$46&lt;'融资租赁与资金缺口'!$F$12,0,IF(AZ$46='融资租赁与资金缺口'!$F$12,'融资租赁与资金缺口'!$E$12,IF(((YEAR(AZ$46)-YEAR('融资租赁与资金缺口'!$F$12))*12+MONTH(AZ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AZ$46)-YEAR('融资租赁与资金缺口'!$F$12))*12+MONTH(AZ$46)-MONTH('融资租赁与资金缺口'!$F$12)),'融资租赁与资金缺口'!$E$12*(1+'融资租赁与资金缺口'!$I$12)^((YEAR(AZ$46)-YEAR('融资租赁与资金缺口'!$F$12))*12+MONTH(AZ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AZ$46)-YEAR('融资租赁与资金缺口'!$F$12))*12+MONTH(AZ$46)-MONTH('融资租赁与资金缺口'!$F$12))-1)/'融资租赁与资金缺口'!$I$12))))),IF(AZ$46&lt;'融资租赁与资金缺口'!$F$13,0,IF(AZ$46='融资租赁与资金缺口'!$F$13,'融资租赁与资金缺口'!$E$13,IF(((YEAR(AZ$46)-YEAR('融资租赁与资金缺口'!$F$13))*12+MONTH(AZ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AZ$46)-YEAR('融资租赁与资金缺口'!$F$13))*12+MONTH(AZ$46)-MONTH('融资租赁与资金缺口'!$F$13)),'融资租赁与资金缺口'!$E$13*(1+'融资租赁与资金缺口'!$I$13)^((YEAR(AZ$46)-YEAR('融资租赁与资金缺口'!$F$13))*12+MONTH(AZ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AZ$46)-YEAR('融资租赁与资金缺口'!$F$13))*12+MONTH(AZ$46)-MONTH('融资租赁与资金缺口'!$F$13))-1)/'融资租赁与资金缺口'!$I$13))))),IF(AZ$46&lt;'融资租赁与资金缺口'!$F$14,0,IF(AZ$46='融资租赁与资金缺口'!$F$14,'融资租赁与资金缺口'!$E$14,IF(((YEAR(AZ$46)-YEAR('融资租赁与资金缺口'!$F$14))*12+MONTH(AZ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AZ$46)-YEAR('融资租赁与资金缺口'!$F$14))*12+MONTH(AZ$46)-MONTH('融资租赁与资金缺口'!$F$14)),'融资租赁与资金缺口'!$E$14*(1+'融资租赁与资金缺口'!$I$14)^((YEAR(AZ$46)-YEAR('融资租赁与资金缺口'!$F$14))*12+MONTH(AZ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AZ$46)-YEAR('融资租赁与资金缺口'!$F$14))*12+MONTH(AZ$46)-MONTH('融资租赁与资金缺口'!$F$14))-1)/'融资租赁与资金缺口'!$I$14))))),IF(AZ$46&lt;'融资租赁与资金缺口'!$F$15,0,IF(AZ$46='融资租赁与资金缺口'!$F$15,'融资租赁与资金缺口'!$E$15,IF(((YEAR(AZ$46)-YEAR('融资租赁与资金缺口'!$F$15))*12+MONTH(AZ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AZ$46)-YEAR('融资租赁与资金缺口'!$F$15))*12+MONTH(AZ$46)-MONTH('融资租赁与资金缺口'!$F$15)),'融资租赁与资金缺口'!$E$15*(1+'融资租赁与资金缺口'!$I$15)^((YEAR(AZ$46)-YEAR('融资租赁与资金缺口'!$F$15))*12+MONTH(AZ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AZ$46)-YEAR('融资租赁与资金缺口'!$F$15))*12+MONTH(AZ$46)-MONTH('融资租赁与资金缺口'!$F$15))-1)/'融资租赁与资金缺口'!$I$15))))),IF(AZ$46&lt;'融资租赁与资金缺口'!$F$16,0,IF(AZ$46='融资租赁与资金缺口'!$F$16,'融资租赁与资金缺口'!$E$16,IF(((YEAR(AZ$46)-YEAR('融资租赁与资金缺口'!$F$16))*12+MONTH(AZ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AZ$46)-YEAR('融资租赁与资金缺口'!$F$16))*12+MONTH(AZ$46)-MONTH('融资租赁与资金缺口'!$F$16)),'融资租赁与资金缺口'!$E$16*(1+'融资租赁与资金缺口'!$I$16)^((YEAR(AZ$46)-YEAR('融资租赁与资金缺口'!$F$16))*12+MONTH(AZ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AZ$46)-YEAR('融资租赁与资金缺口'!$F$16))*12+MONTH(AZ$46)-MONTH('融资租赁与资金缺口'!$F$16))-1)/'融资租赁与资金缺口'!$I$16))))))</x:f>
        <x:v>368620022.32519686</x:v>
      </x:c>
      <x:c r="BA58" s="28" t="n">
        <x:f>SUM(IF(BA$46&lt;'融资租赁与资金缺口'!$F$5,0,IF(BA$46='融资租赁与资金缺口'!$F$5,'融资租赁与资金缺口'!$E$5,IF(((YEAR(BA$46)-YEAR('融资租赁与资金缺口'!$F$5))*12+MONTH(BA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A$46)-YEAR('融资租赁与资金缺口'!$F$5))*12+MONTH(BA$46)-MONTH('融资租赁与资金缺口'!$F$5)),'融资租赁与资金缺口'!$E$5*(1+'融资租赁与资金缺口'!$I$5)^((YEAR(BA$46)-YEAR('融资租赁与资金缺口'!$F$5))*12+MONTH(BA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A$46)-YEAR('融资租赁与资金缺口'!$F$5))*12+MONTH(BA$46)-MONTH('融资租赁与资金缺口'!$F$5))-1)/'融资租赁与资金缺口'!$I$5))))),IF(BA$46&lt;'融资租赁与资金缺口'!$F$6,0,IF(BA$46='融资租赁与资金缺口'!$F$6,'融资租赁与资金缺口'!$E$6,IF(((YEAR(BA$46)-YEAR('融资租赁与资金缺口'!$F$6))*12+MONTH(BA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A$46)-YEAR('融资租赁与资金缺口'!$F$6))*12+MONTH(BA$46)-MONTH('融资租赁与资金缺口'!$F$6)),'融资租赁与资金缺口'!$E$6*(1+'融资租赁与资金缺口'!$I$6)^((YEAR(BA$46)-YEAR('融资租赁与资金缺口'!$F$6))*12+MONTH(BA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A$46)-YEAR('融资租赁与资金缺口'!$F$6))*12+MONTH(BA$46)-MONTH('融资租赁与资金缺口'!$F$6))-1)/'融资租赁与资金缺口'!$I$6))))),IF(BA$46&lt;'融资租赁与资金缺口'!$F$7,0,IF(BA$46='融资租赁与资金缺口'!$F$7,'融资租赁与资金缺口'!$E$7,IF(((YEAR(BA$46)-YEAR('融资租赁与资金缺口'!$F$7))*12+MONTH(BA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A$46)-YEAR('融资租赁与资金缺口'!$F$7))*12+MONTH(BA$46)-MONTH('融资租赁与资金缺口'!$F$7)),'融资租赁与资金缺口'!$E$7*(1+'融资租赁与资金缺口'!$I$7)^((YEAR(BA$46)-YEAR('融资租赁与资金缺口'!$F$7))*12+MONTH(BA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A$46)-YEAR('融资租赁与资金缺口'!$F$7))*12+MONTH(BA$46)-MONTH('融资租赁与资金缺口'!$F$7))-1)/'融资租赁与资金缺口'!$I$7))))),IF(BA$46&lt;'融资租赁与资金缺口'!$F$8,0,IF(BA$46='融资租赁与资金缺口'!$F$8,'融资租赁与资金缺口'!$E$8,IF(((YEAR(BA$46)-YEAR('融资租赁与资金缺口'!$F$8))*12+MONTH(BA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A$46)-YEAR('融资租赁与资金缺口'!$F$8))*12+MONTH(BA$46)-MONTH('融资租赁与资金缺口'!$F$8)),'融资租赁与资金缺口'!$E$8*(1+'融资租赁与资金缺口'!$I$8)^((YEAR(BA$46)-YEAR('融资租赁与资金缺口'!$F$8))*12+MONTH(BA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A$46)-YEAR('融资租赁与资金缺口'!$F$8))*12+MONTH(BA$46)-MONTH('融资租赁与资金缺口'!$F$8))-1)/'融资租赁与资金缺口'!$I$8))))),IF(BA$46&lt;'融资租赁与资金缺口'!$F$9,0,IF(BA$46='融资租赁与资金缺口'!$F$9,'融资租赁与资金缺口'!$E$9,IF(((YEAR(BA$46)-YEAR('融资租赁与资金缺口'!$F$9))*12+MONTH(BA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A$46)-YEAR('融资租赁与资金缺口'!$F$9))*12+MONTH(BA$46)-MONTH('融资租赁与资金缺口'!$F$9)),'融资租赁与资金缺口'!$E$9*(1+'融资租赁与资金缺口'!$I$9)^((YEAR(BA$46)-YEAR('融资租赁与资金缺口'!$F$9))*12+MONTH(BA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A$46)-YEAR('融资租赁与资金缺口'!$F$9))*12+MONTH(BA$46)-MONTH('融资租赁与资金缺口'!$F$9))-1)/'融资租赁与资金缺口'!$I$9))))),IF(BA$46&lt;'融资租赁与资金缺口'!$F$10,0,IF(BA$46='融资租赁与资金缺口'!$F$10,'融资租赁与资金缺口'!$E$10,IF(((YEAR(BA$46)-YEAR('融资租赁与资金缺口'!$F$10))*12+MONTH(BA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A$46)-YEAR('融资租赁与资金缺口'!$F$10))*12+MONTH(BA$46)-MONTH('融资租赁与资金缺口'!$F$10)),'融资租赁与资金缺口'!$E$10*(1+'融资租赁与资金缺口'!$I$10)^((YEAR(BA$46)-YEAR('融资租赁与资金缺口'!$F$10))*12+MONTH(BA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A$46)-YEAR('融资租赁与资金缺口'!$F$10))*12+MONTH(BA$46)-MONTH('融资租赁与资金缺口'!$F$10))-1)/'融资租赁与资金缺口'!$I$10))))),IF(BA$46&lt;'融资租赁与资金缺口'!$F$11,0,IF(BA$46='融资租赁与资金缺口'!$F$11,'融资租赁与资金缺口'!$E$11,IF(((YEAR(BA$46)-YEAR('融资租赁与资金缺口'!$F$11))*12+MONTH(BA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A$46)-YEAR('融资租赁与资金缺口'!$F$11))*12+MONTH(BA$46)-MONTH('融资租赁与资金缺口'!$F$11)),'融资租赁与资金缺口'!$E$11*(1+'融资租赁与资金缺口'!$I$11)^((YEAR(BA$46)-YEAR('融资租赁与资金缺口'!$F$11))*12+MONTH(BA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A$46)-YEAR('融资租赁与资金缺口'!$F$11))*12+MONTH(BA$46)-MONTH('融资租赁与资金缺口'!$F$11))-1)/'融资租赁与资金缺口'!$I$11))))),IF(BA$46&lt;'融资租赁与资金缺口'!$F$12,0,IF(BA$46='融资租赁与资金缺口'!$F$12,'融资租赁与资金缺口'!$E$12,IF(((YEAR(BA$46)-YEAR('融资租赁与资金缺口'!$F$12))*12+MONTH(BA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A$46)-YEAR('融资租赁与资金缺口'!$F$12))*12+MONTH(BA$46)-MONTH('融资租赁与资金缺口'!$F$12)),'融资租赁与资金缺口'!$E$12*(1+'融资租赁与资金缺口'!$I$12)^((YEAR(BA$46)-YEAR('融资租赁与资金缺口'!$F$12))*12+MONTH(BA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A$46)-YEAR('融资租赁与资金缺口'!$F$12))*12+MONTH(BA$46)-MONTH('融资租赁与资金缺口'!$F$12))-1)/'融资租赁与资金缺口'!$I$12))))),IF(BA$46&lt;'融资租赁与资金缺口'!$F$13,0,IF(BA$46='融资租赁与资金缺口'!$F$13,'融资租赁与资金缺口'!$E$13,IF(((YEAR(BA$46)-YEAR('融资租赁与资金缺口'!$F$13))*12+MONTH(BA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A$46)-YEAR('融资租赁与资金缺口'!$F$13))*12+MONTH(BA$46)-MONTH('融资租赁与资金缺口'!$F$13)),'融资租赁与资金缺口'!$E$13*(1+'融资租赁与资金缺口'!$I$13)^((YEAR(BA$46)-YEAR('融资租赁与资金缺口'!$F$13))*12+MONTH(BA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A$46)-YEAR('融资租赁与资金缺口'!$F$13))*12+MONTH(BA$46)-MONTH('融资租赁与资金缺口'!$F$13))-1)/'融资租赁与资金缺口'!$I$13))))),IF(BA$46&lt;'融资租赁与资金缺口'!$F$14,0,IF(BA$46='融资租赁与资金缺口'!$F$14,'融资租赁与资金缺口'!$E$14,IF(((YEAR(BA$46)-YEAR('融资租赁与资金缺口'!$F$14))*12+MONTH(BA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A$46)-YEAR('融资租赁与资金缺口'!$F$14))*12+MONTH(BA$46)-MONTH('融资租赁与资金缺口'!$F$14)),'融资租赁与资金缺口'!$E$14*(1+'融资租赁与资金缺口'!$I$14)^((YEAR(BA$46)-YEAR('融资租赁与资金缺口'!$F$14))*12+MONTH(BA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A$46)-YEAR('融资租赁与资金缺口'!$F$14))*12+MONTH(BA$46)-MONTH('融资租赁与资金缺口'!$F$14))-1)/'融资租赁与资金缺口'!$I$14))))),IF(BA$46&lt;'融资租赁与资金缺口'!$F$15,0,IF(BA$46='融资租赁与资金缺口'!$F$15,'融资租赁与资金缺口'!$E$15,IF(((YEAR(BA$46)-YEAR('融资租赁与资金缺口'!$F$15))*12+MONTH(BA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A$46)-YEAR('融资租赁与资金缺口'!$F$15))*12+MONTH(BA$46)-MONTH('融资租赁与资金缺口'!$F$15)),'融资租赁与资金缺口'!$E$15*(1+'融资租赁与资金缺口'!$I$15)^((YEAR(BA$46)-YEAR('融资租赁与资金缺口'!$F$15))*12+MONTH(BA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A$46)-YEAR('融资租赁与资金缺口'!$F$15))*12+MONTH(BA$46)-MONTH('融资租赁与资金缺口'!$F$15))-1)/'融资租赁与资金缺口'!$I$15))))),IF(BA$46&lt;'融资租赁与资金缺口'!$F$16,0,IF(BA$46='融资租赁与资金缺口'!$F$16,'融资租赁与资金缺口'!$E$16,IF(((YEAR(BA$46)-YEAR('融资租赁与资金缺口'!$F$16))*12+MONTH(BA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A$46)-YEAR('融资租赁与资金缺口'!$F$16))*12+MONTH(BA$46)-MONTH('融资租赁与资金缺口'!$F$16)),'融资租赁与资金缺口'!$E$16*(1+'融资租赁与资金缺口'!$I$16)^((YEAR(BA$46)-YEAR('融资租赁与资金缺口'!$F$16))*12+MONTH(BA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A$46)-YEAR('融资租赁与资金缺口'!$F$16))*12+MONTH(BA$46)-MONTH('融资租赁与资金缺口'!$F$16))-1)/'融资租赁与资金缺口'!$I$16))))))</x:f>
        <x:v>354186472.2590548</x:v>
      </x:c>
      <x:c r="BB58" s="28" t="n">
        <x:f>SUM(IF(BB$46&lt;'融资租赁与资金缺口'!$F$5,0,IF(BB$46='融资租赁与资金缺口'!$F$5,'融资租赁与资金缺口'!$E$5,IF(((YEAR(BB$46)-YEAR('融资租赁与资金缺口'!$F$5))*12+MONTH(BB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B$46)-YEAR('融资租赁与资金缺口'!$F$5))*12+MONTH(BB$46)-MONTH('融资租赁与资金缺口'!$F$5)),'融资租赁与资金缺口'!$E$5*(1+'融资租赁与资金缺口'!$I$5)^((YEAR(BB$46)-YEAR('融资租赁与资金缺口'!$F$5))*12+MONTH(BB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B$46)-YEAR('融资租赁与资金缺口'!$F$5))*12+MONTH(BB$46)-MONTH('融资租赁与资金缺口'!$F$5))-1)/'融资租赁与资金缺口'!$I$5))))),IF(BB$46&lt;'融资租赁与资金缺口'!$F$6,0,IF(BB$46='融资租赁与资金缺口'!$F$6,'融资租赁与资金缺口'!$E$6,IF(((YEAR(BB$46)-YEAR('融资租赁与资金缺口'!$F$6))*12+MONTH(BB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B$46)-YEAR('融资租赁与资金缺口'!$F$6))*12+MONTH(BB$46)-MONTH('融资租赁与资金缺口'!$F$6)),'融资租赁与资金缺口'!$E$6*(1+'融资租赁与资金缺口'!$I$6)^((YEAR(BB$46)-YEAR('融资租赁与资金缺口'!$F$6))*12+MONTH(BB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B$46)-YEAR('融资租赁与资金缺口'!$F$6))*12+MONTH(BB$46)-MONTH('融资租赁与资金缺口'!$F$6))-1)/'融资租赁与资金缺口'!$I$6))))),IF(BB$46&lt;'融资租赁与资金缺口'!$F$7,0,IF(BB$46='融资租赁与资金缺口'!$F$7,'融资租赁与资金缺口'!$E$7,IF(((YEAR(BB$46)-YEAR('融资租赁与资金缺口'!$F$7))*12+MONTH(BB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B$46)-YEAR('融资租赁与资金缺口'!$F$7))*12+MONTH(BB$46)-MONTH('融资租赁与资金缺口'!$F$7)),'融资租赁与资金缺口'!$E$7*(1+'融资租赁与资金缺口'!$I$7)^((YEAR(BB$46)-YEAR('融资租赁与资金缺口'!$F$7))*12+MONTH(BB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B$46)-YEAR('融资租赁与资金缺口'!$F$7))*12+MONTH(BB$46)-MONTH('融资租赁与资金缺口'!$F$7))-1)/'融资租赁与资金缺口'!$I$7))))),IF(BB$46&lt;'融资租赁与资金缺口'!$F$8,0,IF(BB$46='融资租赁与资金缺口'!$F$8,'融资租赁与资金缺口'!$E$8,IF(((YEAR(BB$46)-YEAR('融资租赁与资金缺口'!$F$8))*12+MONTH(BB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B$46)-YEAR('融资租赁与资金缺口'!$F$8))*12+MONTH(BB$46)-MONTH('融资租赁与资金缺口'!$F$8)),'融资租赁与资金缺口'!$E$8*(1+'融资租赁与资金缺口'!$I$8)^((YEAR(BB$46)-YEAR('融资租赁与资金缺口'!$F$8))*12+MONTH(BB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B$46)-YEAR('融资租赁与资金缺口'!$F$8))*12+MONTH(BB$46)-MONTH('融资租赁与资金缺口'!$F$8))-1)/'融资租赁与资金缺口'!$I$8))))),IF(BB$46&lt;'融资租赁与资金缺口'!$F$9,0,IF(BB$46='融资租赁与资金缺口'!$F$9,'融资租赁与资金缺口'!$E$9,IF(((YEAR(BB$46)-YEAR('融资租赁与资金缺口'!$F$9))*12+MONTH(BB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B$46)-YEAR('融资租赁与资金缺口'!$F$9))*12+MONTH(BB$46)-MONTH('融资租赁与资金缺口'!$F$9)),'融资租赁与资金缺口'!$E$9*(1+'融资租赁与资金缺口'!$I$9)^((YEAR(BB$46)-YEAR('融资租赁与资金缺口'!$F$9))*12+MONTH(BB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B$46)-YEAR('融资租赁与资金缺口'!$F$9))*12+MONTH(BB$46)-MONTH('融资租赁与资金缺口'!$F$9))-1)/'融资租赁与资金缺口'!$I$9))))),IF(BB$46&lt;'融资租赁与资金缺口'!$F$10,0,IF(BB$46='融资租赁与资金缺口'!$F$10,'融资租赁与资金缺口'!$E$10,IF(((YEAR(BB$46)-YEAR('融资租赁与资金缺口'!$F$10))*12+MONTH(BB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B$46)-YEAR('融资租赁与资金缺口'!$F$10))*12+MONTH(BB$46)-MONTH('融资租赁与资金缺口'!$F$10)),'融资租赁与资金缺口'!$E$10*(1+'融资租赁与资金缺口'!$I$10)^((YEAR(BB$46)-YEAR('融资租赁与资金缺口'!$F$10))*12+MONTH(BB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B$46)-YEAR('融资租赁与资金缺口'!$F$10))*12+MONTH(BB$46)-MONTH('融资租赁与资金缺口'!$F$10))-1)/'融资租赁与资金缺口'!$I$10))))),IF(BB$46&lt;'融资租赁与资金缺口'!$F$11,0,IF(BB$46='融资租赁与资金缺口'!$F$11,'融资租赁与资金缺口'!$E$11,IF(((YEAR(BB$46)-YEAR('融资租赁与资金缺口'!$F$11))*12+MONTH(BB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B$46)-YEAR('融资租赁与资金缺口'!$F$11))*12+MONTH(BB$46)-MONTH('融资租赁与资金缺口'!$F$11)),'融资租赁与资金缺口'!$E$11*(1+'融资租赁与资金缺口'!$I$11)^((YEAR(BB$46)-YEAR('融资租赁与资金缺口'!$F$11))*12+MONTH(BB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B$46)-YEAR('融资租赁与资金缺口'!$F$11))*12+MONTH(BB$46)-MONTH('融资租赁与资金缺口'!$F$11))-1)/'融资租赁与资金缺口'!$I$11))))),IF(BB$46&lt;'融资租赁与资金缺口'!$F$12,0,IF(BB$46='融资租赁与资金缺口'!$F$12,'融资租赁与资金缺口'!$E$12,IF(((YEAR(BB$46)-YEAR('融资租赁与资金缺口'!$F$12))*12+MONTH(BB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B$46)-YEAR('融资租赁与资金缺口'!$F$12))*12+MONTH(BB$46)-MONTH('融资租赁与资金缺口'!$F$12)),'融资租赁与资金缺口'!$E$12*(1+'融资租赁与资金缺口'!$I$12)^((YEAR(BB$46)-YEAR('融资租赁与资金缺口'!$F$12))*12+MONTH(BB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B$46)-YEAR('融资租赁与资金缺口'!$F$12))*12+MONTH(BB$46)-MONTH('融资租赁与资金缺口'!$F$12))-1)/'融资租赁与资金缺口'!$I$12))))),IF(BB$46&lt;'融资租赁与资金缺口'!$F$13,0,IF(BB$46='融资租赁与资金缺口'!$F$13,'融资租赁与资金缺口'!$E$13,IF(((YEAR(BB$46)-YEAR('融资租赁与资金缺口'!$F$13))*12+MONTH(BB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B$46)-YEAR('融资租赁与资金缺口'!$F$13))*12+MONTH(BB$46)-MONTH('融资租赁与资金缺口'!$F$13)),'融资租赁与资金缺口'!$E$13*(1+'融资租赁与资金缺口'!$I$13)^((YEAR(BB$46)-YEAR('融资租赁与资金缺口'!$F$13))*12+MONTH(BB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B$46)-YEAR('融资租赁与资金缺口'!$F$13))*12+MONTH(BB$46)-MONTH('融资租赁与资金缺口'!$F$13))-1)/'融资租赁与资金缺口'!$I$13))))),IF(BB$46&lt;'融资租赁与资金缺口'!$F$14,0,IF(BB$46='融资租赁与资金缺口'!$F$14,'融资租赁与资金缺口'!$E$14,IF(((YEAR(BB$46)-YEAR('融资租赁与资金缺口'!$F$14))*12+MONTH(BB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B$46)-YEAR('融资租赁与资金缺口'!$F$14))*12+MONTH(BB$46)-MONTH('融资租赁与资金缺口'!$F$14)),'融资租赁与资金缺口'!$E$14*(1+'融资租赁与资金缺口'!$I$14)^((YEAR(BB$46)-YEAR('融资租赁与资金缺口'!$F$14))*12+MONTH(BB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B$46)-YEAR('融资租赁与资金缺口'!$F$14))*12+MONTH(BB$46)-MONTH('融资租赁与资金缺口'!$F$14))-1)/'融资租赁与资金缺口'!$I$14))))),IF(BB$46&lt;'融资租赁与资金缺口'!$F$15,0,IF(BB$46='融资租赁与资金缺口'!$F$15,'融资租赁与资金缺口'!$E$15,IF(((YEAR(BB$46)-YEAR('融资租赁与资金缺口'!$F$15))*12+MONTH(BB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B$46)-YEAR('融资租赁与资金缺口'!$F$15))*12+MONTH(BB$46)-MONTH('融资租赁与资金缺口'!$F$15)),'融资租赁与资金缺口'!$E$15*(1+'融资租赁与资金缺口'!$I$15)^((YEAR(BB$46)-YEAR('融资租赁与资金缺口'!$F$15))*12+MONTH(BB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B$46)-YEAR('融资租赁与资金缺口'!$F$15))*12+MONTH(BB$46)-MONTH('融资租赁与资金缺口'!$F$15))-1)/'融资租赁与资金缺口'!$I$15))))),IF(BB$46&lt;'融资租赁与资金缺口'!$F$16,0,IF(BB$46='融资租赁与资金缺口'!$F$16,'融资租赁与资金缺口'!$E$16,IF(((YEAR(BB$46)-YEAR('融资租赁与资金缺口'!$F$16))*12+MONTH(BB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B$46)-YEAR('融资租赁与资金缺口'!$F$16))*12+MONTH(BB$46)-MONTH('融资租赁与资金缺口'!$F$16)),'融资租赁与资金缺口'!$E$16*(1+'融资租赁与资金缺口'!$I$16)^((YEAR(BB$46)-YEAR('融资租赁与资金缺口'!$F$16))*12+MONTH(BB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B$46)-YEAR('融资租赁与资金缺口'!$F$16))*12+MONTH(BB$46)-MONTH('融资租赁与资金缺口'!$F$16))-1)/'融资租赁与资金缺口'!$I$16))))))</x:f>
        <x:v>339656698.525805</x:v>
      </x:c>
      <x:c r="BC58" s="28" t="n">
        <x:f>SUM(IF(BC$46&lt;'融资租赁与资金缺口'!$F$5,0,IF(BC$46='融资租赁与资金缺口'!$F$5,'融资租赁与资金缺口'!$E$5,IF(((YEAR(BC$46)-YEAR('融资租赁与资金缺口'!$F$5))*12+MONTH(BC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C$46)-YEAR('融资租赁与资金缺口'!$F$5))*12+MONTH(BC$46)-MONTH('融资租赁与资金缺口'!$F$5)),'融资租赁与资金缺口'!$E$5*(1+'融资租赁与资金缺口'!$I$5)^((YEAR(BC$46)-YEAR('融资租赁与资金缺口'!$F$5))*12+MONTH(BC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C$46)-YEAR('融资租赁与资金缺口'!$F$5))*12+MONTH(BC$46)-MONTH('融资租赁与资金缺口'!$F$5))-1)/'融资租赁与资金缺口'!$I$5))))),IF(BC$46&lt;'融资租赁与资金缺口'!$F$6,0,IF(BC$46='融资租赁与资金缺口'!$F$6,'融资租赁与资金缺口'!$E$6,IF(((YEAR(BC$46)-YEAR('融资租赁与资金缺口'!$F$6))*12+MONTH(BC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C$46)-YEAR('融资租赁与资金缺口'!$F$6))*12+MONTH(BC$46)-MONTH('融资租赁与资金缺口'!$F$6)),'融资租赁与资金缺口'!$E$6*(1+'融资租赁与资金缺口'!$I$6)^((YEAR(BC$46)-YEAR('融资租赁与资金缺口'!$F$6))*12+MONTH(BC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C$46)-YEAR('融资租赁与资金缺口'!$F$6))*12+MONTH(BC$46)-MONTH('融资租赁与资金缺口'!$F$6))-1)/'融资租赁与资金缺口'!$I$6))))),IF(BC$46&lt;'融资租赁与资金缺口'!$F$7,0,IF(BC$46='融资租赁与资金缺口'!$F$7,'融资租赁与资金缺口'!$E$7,IF(((YEAR(BC$46)-YEAR('融资租赁与资金缺口'!$F$7))*12+MONTH(BC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C$46)-YEAR('融资租赁与资金缺口'!$F$7))*12+MONTH(BC$46)-MONTH('融资租赁与资金缺口'!$F$7)),'融资租赁与资金缺口'!$E$7*(1+'融资租赁与资金缺口'!$I$7)^((YEAR(BC$46)-YEAR('融资租赁与资金缺口'!$F$7))*12+MONTH(BC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C$46)-YEAR('融资租赁与资金缺口'!$F$7))*12+MONTH(BC$46)-MONTH('融资租赁与资金缺口'!$F$7))-1)/'融资租赁与资金缺口'!$I$7))))),IF(BC$46&lt;'融资租赁与资金缺口'!$F$8,0,IF(BC$46='融资租赁与资金缺口'!$F$8,'融资租赁与资金缺口'!$E$8,IF(((YEAR(BC$46)-YEAR('融资租赁与资金缺口'!$F$8))*12+MONTH(BC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C$46)-YEAR('融资租赁与资金缺口'!$F$8))*12+MONTH(BC$46)-MONTH('融资租赁与资金缺口'!$F$8)),'融资租赁与资金缺口'!$E$8*(1+'融资租赁与资金缺口'!$I$8)^((YEAR(BC$46)-YEAR('融资租赁与资金缺口'!$F$8))*12+MONTH(BC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C$46)-YEAR('融资租赁与资金缺口'!$F$8))*12+MONTH(BC$46)-MONTH('融资租赁与资金缺口'!$F$8))-1)/'融资租赁与资金缺口'!$I$8))))),IF(BC$46&lt;'融资租赁与资金缺口'!$F$9,0,IF(BC$46='融资租赁与资金缺口'!$F$9,'融资租赁与资金缺口'!$E$9,IF(((YEAR(BC$46)-YEAR('融资租赁与资金缺口'!$F$9))*12+MONTH(BC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C$46)-YEAR('融资租赁与资金缺口'!$F$9))*12+MONTH(BC$46)-MONTH('融资租赁与资金缺口'!$F$9)),'融资租赁与资金缺口'!$E$9*(1+'融资租赁与资金缺口'!$I$9)^((YEAR(BC$46)-YEAR('融资租赁与资金缺口'!$F$9))*12+MONTH(BC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C$46)-YEAR('融资租赁与资金缺口'!$F$9))*12+MONTH(BC$46)-MONTH('融资租赁与资金缺口'!$F$9))-1)/'融资租赁与资金缺口'!$I$9))))),IF(BC$46&lt;'融资租赁与资金缺口'!$F$10,0,IF(BC$46='融资租赁与资金缺口'!$F$10,'融资租赁与资金缺口'!$E$10,IF(((YEAR(BC$46)-YEAR('融资租赁与资金缺口'!$F$10))*12+MONTH(BC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C$46)-YEAR('融资租赁与资金缺口'!$F$10))*12+MONTH(BC$46)-MONTH('融资租赁与资金缺口'!$F$10)),'融资租赁与资金缺口'!$E$10*(1+'融资租赁与资金缺口'!$I$10)^((YEAR(BC$46)-YEAR('融资租赁与资金缺口'!$F$10))*12+MONTH(BC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C$46)-YEAR('融资租赁与资金缺口'!$F$10))*12+MONTH(BC$46)-MONTH('融资租赁与资金缺口'!$F$10))-1)/'融资租赁与资金缺口'!$I$10))))),IF(BC$46&lt;'融资租赁与资金缺口'!$F$11,0,IF(BC$46='融资租赁与资金缺口'!$F$11,'融资租赁与资金缺口'!$E$11,IF(((YEAR(BC$46)-YEAR('融资租赁与资金缺口'!$F$11))*12+MONTH(BC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C$46)-YEAR('融资租赁与资金缺口'!$F$11))*12+MONTH(BC$46)-MONTH('融资租赁与资金缺口'!$F$11)),'融资租赁与资金缺口'!$E$11*(1+'融资租赁与资金缺口'!$I$11)^((YEAR(BC$46)-YEAR('融资租赁与资金缺口'!$F$11))*12+MONTH(BC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C$46)-YEAR('融资租赁与资金缺口'!$F$11))*12+MONTH(BC$46)-MONTH('融资租赁与资金缺口'!$F$11))-1)/'融资租赁与资金缺口'!$I$11))))),IF(BC$46&lt;'融资租赁与资金缺口'!$F$12,0,IF(BC$46='融资租赁与资金缺口'!$F$12,'融资租赁与资金缺口'!$E$12,IF(((YEAR(BC$46)-YEAR('融资租赁与资金缺口'!$F$12))*12+MONTH(BC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C$46)-YEAR('融资租赁与资金缺口'!$F$12))*12+MONTH(BC$46)-MONTH('融资租赁与资金缺口'!$F$12)),'融资租赁与资金缺口'!$E$12*(1+'融资租赁与资金缺口'!$I$12)^((YEAR(BC$46)-YEAR('融资租赁与资金缺口'!$F$12))*12+MONTH(BC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C$46)-YEAR('融资租赁与资金缺口'!$F$12))*12+MONTH(BC$46)-MONTH('融资租赁与资金缺口'!$F$12))-1)/'融资租赁与资金缺口'!$I$12))))),IF(BC$46&lt;'融资租赁与资金缺口'!$F$13,0,IF(BC$46='融资租赁与资金缺口'!$F$13,'融资租赁与资金缺口'!$E$13,IF(((YEAR(BC$46)-YEAR('融资租赁与资金缺口'!$F$13))*12+MONTH(BC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C$46)-YEAR('融资租赁与资金缺口'!$F$13))*12+MONTH(BC$46)-MONTH('融资租赁与资金缺口'!$F$13)),'融资租赁与资金缺口'!$E$13*(1+'融资租赁与资金缺口'!$I$13)^((YEAR(BC$46)-YEAR('融资租赁与资金缺口'!$F$13))*12+MONTH(BC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C$46)-YEAR('融资租赁与资金缺口'!$F$13))*12+MONTH(BC$46)-MONTH('融资租赁与资金缺口'!$F$13))-1)/'融资租赁与资金缺口'!$I$13))))),IF(BC$46&lt;'融资租赁与资金缺口'!$F$14,0,IF(BC$46='融资租赁与资金缺口'!$F$14,'融资租赁与资金缺口'!$E$14,IF(((YEAR(BC$46)-YEAR('融资租赁与资金缺口'!$F$14))*12+MONTH(BC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C$46)-YEAR('融资租赁与资金缺口'!$F$14))*12+MONTH(BC$46)-MONTH('融资租赁与资金缺口'!$F$14)),'融资租赁与资金缺口'!$E$14*(1+'融资租赁与资金缺口'!$I$14)^((YEAR(BC$46)-YEAR('融资租赁与资金缺口'!$F$14))*12+MONTH(BC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C$46)-YEAR('融资租赁与资金缺口'!$F$14))*12+MONTH(BC$46)-MONTH('融资租赁与资金缺口'!$F$14))-1)/'融资租赁与资金缺口'!$I$14))))),IF(BC$46&lt;'融资租赁与资金缺口'!$F$15,0,IF(BC$46='融资租赁与资金缺口'!$F$15,'融资租赁与资金缺口'!$E$15,IF(((YEAR(BC$46)-YEAR('融资租赁与资金缺口'!$F$15))*12+MONTH(BC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C$46)-YEAR('融资租赁与资金缺口'!$F$15))*12+MONTH(BC$46)-MONTH('融资租赁与资金缺口'!$F$15)),'融资租赁与资金缺口'!$E$15*(1+'融资租赁与资金缺口'!$I$15)^((YEAR(BC$46)-YEAR('融资租赁与资金缺口'!$F$15))*12+MONTH(BC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C$46)-YEAR('融资租赁与资金缺口'!$F$15))*12+MONTH(BC$46)-MONTH('融资租赁与资金缺口'!$F$15))-1)/'融资租赁与资金缺口'!$I$15))))),IF(BC$46&lt;'融资租赁与资金缺口'!$F$16,0,IF(BC$46='融资租赁与资金缺口'!$F$16,'融资租赁与资金缺口'!$E$16,IF(((YEAR(BC$46)-YEAR('融资租赁与资金缺口'!$F$16))*12+MONTH(BC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C$46)-YEAR('融资租赁与资金缺口'!$F$16))*12+MONTH(BC$46)-MONTH('融资租赁与资金缺口'!$F$16)),'融资租赁与资金缺口'!$E$16*(1+'融资租赁与资金缺口'!$I$16)^((YEAR(BC$46)-YEAR('融资租赁与资金缺口'!$F$16))*12+MONTH(BC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C$46)-YEAR('融资租赁与资金缺口'!$F$16))*12+MONTH(BC$46)-MONTH('融资租赁与资金缺口'!$F$16))-1)/'融资租赁与资金缺口'!$I$16))))))</x:f>
        <x:v>325030059.6343336</x:v>
      </x:c>
      <x:c r="BD58" s="28" t="n">
        <x:f>SUM(IF(BD$46&lt;'融资租赁与资金缺口'!$F$5,0,IF(BD$46='融资租赁与资金缺口'!$F$5,'融资租赁与资金缺口'!$E$5,IF(((YEAR(BD$46)-YEAR('融资租赁与资金缺口'!$F$5))*12+MONTH(BD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D$46)-YEAR('融资租赁与资金缺口'!$F$5))*12+MONTH(BD$46)-MONTH('融资租赁与资金缺口'!$F$5)),'融资租赁与资金缺口'!$E$5*(1+'融资租赁与资金缺口'!$I$5)^((YEAR(BD$46)-YEAR('融资租赁与资金缺口'!$F$5))*12+MONTH(BD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D$46)-YEAR('融资租赁与资金缺口'!$F$5))*12+MONTH(BD$46)-MONTH('融资租赁与资金缺口'!$F$5))-1)/'融资租赁与资金缺口'!$I$5))))),IF(BD$46&lt;'融资租赁与资金缺口'!$F$6,0,IF(BD$46='融资租赁与资金缺口'!$F$6,'融资租赁与资金缺口'!$E$6,IF(((YEAR(BD$46)-YEAR('融资租赁与资金缺口'!$F$6))*12+MONTH(BD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D$46)-YEAR('融资租赁与资金缺口'!$F$6))*12+MONTH(BD$46)-MONTH('融资租赁与资金缺口'!$F$6)),'融资租赁与资金缺口'!$E$6*(1+'融资租赁与资金缺口'!$I$6)^((YEAR(BD$46)-YEAR('融资租赁与资金缺口'!$F$6))*12+MONTH(BD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D$46)-YEAR('融资租赁与资金缺口'!$F$6))*12+MONTH(BD$46)-MONTH('融资租赁与资金缺口'!$F$6))-1)/'融资租赁与资金缺口'!$I$6))))),IF(BD$46&lt;'融资租赁与资金缺口'!$F$7,0,IF(BD$46='融资租赁与资金缺口'!$F$7,'融资租赁与资金缺口'!$E$7,IF(((YEAR(BD$46)-YEAR('融资租赁与资金缺口'!$F$7))*12+MONTH(BD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D$46)-YEAR('融资租赁与资金缺口'!$F$7))*12+MONTH(BD$46)-MONTH('融资租赁与资金缺口'!$F$7)),'融资租赁与资金缺口'!$E$7*(1+'融资租赁与资金缺口'!$I$7)^((YEAR(BD$46)-YEAR('融资租赁与资金缺口'!$F$7))*12+MONTH(BD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D$46)-YEAR('融资租赁与资金缺口'!$F$7))*12+MONTH(BD$46)-MONTH('融资租赁与资金缺口'!$F$7))-1)/'融资租赁与资金缺口'!$I$7))))),IF(BD$46&lt;'融资租赁与资金缺口'!$F$8,0,IF(BD$46='融资租赁与资金缺口'!$F$8,'融资租赁与资金缺口'!$E$8,IF(((YEAR(BD$46)-YEAR('融资租赁与资金缺口'!$F$8))*12+MONTH(BD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D$46)-YEAR('融资租赁与资金缺口'!$F$8))*12+MONTH(BD$46)-MONTH('融资租赁与资金缺口'!$F$8)),'融资租赁与资金缺口'!$E$8*(1+'融资租赁与资金缺口'!$I$8)^((YEAR(BD$46)-YEAR('融资租赁与资金缺口'!$F$8))*12+MONTH(BD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D$46)-YEAR('融资租赁与资金缺口'!$F$8))*12+MONTH(BD$46)-MONTH('融资租赁与资金缺口'!$F$8))-1)/'融资租赁与资金缺口'!$I$8))))),IF(BD$46&lt;'融资租赁与资金缺口'!$F$9,0,IF(BD$46='融资租赁与资金缺口'!$F$9,'融资租赁与资金缺口'!$E$9,IF(((YEAR(BD$46)-YEAR('融资租赁与资金缺口'!$F$9))*12+MONTH(BD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D$46)-YEAR('融资租赁与资金缺口'!$F$9))*12+MONTH(BD$46)-MONTH('融资租赁与资金缺口'!$F$9)),'融资租赁与资金缺口'!$E$9*(1+'融资租赁与资金缺口'!$I$9)^((YEAR(BD$46)-YEAR('融资租赁与资金缺口'!$F$9))*12+MONTH(BD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D$46)-YEAR('融资租赁与资金缺口'!$F$9))*12+MONTH(BD$46)-MONTH('融资租赁与资金缺口'!$F$9))-1)/'融资租赁与资金缺口'!$I$9))))),IF(BD$46&lt;'融资租赁与资金缺口'!$F$10,0,IF(BD$46='融资租赁与资金缺口'!$F$10,'融资租赁与资金缺口'!$E$10,IF(((YEAR(BD$46)-YEAR('融资租赁与资金缺口'!$F$10))*12+MONTH(BD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D$46)-YEAR('融资租赁与资金缺口'!$F$10))*12+MONTH(BD$46)-MONTH('融资租赁与资金缺口'!$F$10)),'融资租赁与资金缺口'!$E$10*(1+'融资租赁与资金缺口'!$I$10)^((YEAR(BD$46)-YEAR('融资租赁与资金缺口'!$F$10))*12+MONTH(BD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D$46)-YEAR('融资租赁与资金缺口'!$F$10))*12+MONTH(BD$46)-MONTH('融资租赁与资金缺口'!$F$10))-1)/'融资租赁与资金缺口'!$I$10))))),IF(BD$46&lt;'融资租赁与资金缺口'!$F$11,0,IF(BD$46='融资租赁与资金缺口'!$F$11,'融资租赁与资金缺口'!$E$11,IF(((YEAR(BD$46)-YEAR('融资租赁与资金缺口'!$F$11))*12+MONTH(BD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D$46)-YEAR('融资租赁与资金缺口'!$F$11))*12+MONTH(BD$46)-MONTH('融资租赁与资金缺口'!$F$11)),'融资租赁与资金缺口'!$E$11*(1+'融资租赁与资金缺口'!$I$11)^((YEAR(BD$46)-YEAR('融资租赁与资金缺口'!$F$11))*12+MONTH(BD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D$46)-YEAR('融资租赁与资金缺口'!$F$11))*12+MONTH(BD$46)-MONTH('融资租赁与资金缺口'!$F$11))-1)/'融资租赁与资金缺口'!$I$11))))),IF(BD$46&lt;'融资租赁与资金缺口'!$F$12,0,IF(BD$46='融资租赁与资金缺口'!$F$12,'融资租赁与资金缺口'!$E$12,IF(((YEAR(BD$46)-YEAR('融资租赁与资金缺口'!$F$12))*12+MONTH(BD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D$46)-YEAR('融资租赁与资金缺口'!$F$12))*12+MONTH(BD$46)-MONTH('融资租赁与资金缺口'!$F$12)),'融资租赁与资金缺口'!$E$12*(1+'融资租赁与资金缺口'!$I$12)^((YEAR(BD$46)-YEAR('融资租赁与资金缺口'!$F$12))*12+MONTH(BD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D$46)-YEAR('融资租赁与资金缺口'!$F$12))*12+MONTH(BD$46)-MONTH('融资租赁与资金缺口'!$F$12))-1)/'融资租赁与资金缺口'!$I$12))))),IF(BD$46&lt;'融资租赁与资金缺口'!$F$13,0,IF(BD$46='融资租赁与资金缺口'!$F$13,'融资租赁与资金缺口'!$E$13,IF(((YEAR(BD$46)-YEAR('融资租赁与资金缺口'!$F$13))*12+MONTH(BD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D$46)-YEAR('融资租赁与资金缺口'!$F$13))*12+MONTH(BD$46)-MONTH('融资租赁与资金缺口'!$F$13)),'融资租赁与资金缺口'!$E$13*(1+'融资租赁与资金缺口'!$I$13)^((YEAR(BD$46)-YEAR('融资租赁与资金缺口'!$F$13))*12+MONTH(BD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D$46)-YEAR('融资租赁与资金缺口'!$F$13))*12+MONTH(BD$46)-MONTH('融资租赁与资金缺口'!$F$13))-1)/'融资租赁与资金缺口'!$I$13))))),IF(BD$46&lt;'融资租赁与资金缺口'!$F$14,0,IF(BD$46='融资租赁与资金缺口'!$F$14,'融资租赁与资金缺口'!$E$14,IF(((YEAR(BD$46)-YEAR('融资租赁与资金缺口'!$F$14))*12+MONTH(BD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D$46)-YEAR('融资租赁与资金缺口'!$F$14))*12+MONTH(BD$46)-MONTH('融资租赁与资金缺口'!$F$14)),'融资租赁与资金缺口'!$E$14*(1+'融资租赁与资金缺口'!$I$14)^((YEAR(BD$46)-YEAR('融资租赁与资金缺口'!$F$14))*12+MONTH(BD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D$46)-YEAR('融资租赁与资金缺口'!$F$14))*12+MONTH(BD$46)-MONTH('融资租赁与资金缺口'!$F$14))-1)/'融资租赁与资金缺口'!$I$14))))),IF(BD$46&lt;'融资租赁与资金缺口'!$F$15,0,IF(BD$46='融资租赁与资金缺口'!$F$15,'融资租赁与资金缺口'!$E$15,IF(((YEAR(BD$46)-YEAR('融资租赁与资金缺口'!$F$15))*12+MONTH(BD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D$46)-YEAR('融资租赁与资金缺口'!$F$15))*12+MONTH(BD$46)-MONTH('融资租赁与资金缺口'!$F$15)),'融资租赁与资金缺口'!$E$15*(1+'融资租赁与资金缺口'!$I$15)^((YEAR(BD$46)-YEAR('融资租赁与资金缺口'!$F$15))*12+MONTH(BD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D$46)-YEAR('融资租赁与资金缺口'!$F$15))*12+MONTH(BD$46)-MONTH('融资租赁与资金缺口'!$F$15))-1)/'融资租赁与资金缺口'!$I$15))))),IF(BD$46&lt;'融资租赁与资金缺口'!$F$16,0,IF(BD$46='融资租赁与资金缺口'!$F$16,'融资租赁与资金缺口'!$E$16,IF(((YEAR(BD$46)-YEAR('融资租赁与资金缺口'!$F$16))*12+MONTH(BD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D$46)-YEAR('融资租赁与资金缺口'!$F$16))*12+MONTH(BD$46)-MONTH('融资租赁与资金缺口'!$F$16)),'融资租赁与资金缺口'!$E$16*(1+'融资租赁与资金缺口'!$I$16)^((YEAR(BD$46)-YEAR('融资租赁与资金缺口'!$F$16))*12+MONTH(BD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D$46)-YEAR('融资租赁与资金缺口'!$F$16))*12+MONTH(BD$46)-MONTH('融资租赁与资金缺口'!$F$16))-1)/'融资租赁与资金缺口'!$I$16))))))</x:f>
        <x:v>310305909.8169191</x:v>
      </x:c>
      <x:c r="BE58" s="28" t="n">
        <x:f>SUM(IF(BE$46&lt;'融资租赁与资金缺口'!$F$5,0,IF(BE$46='融资租赁与资金缺口'!$F$5,'融资租赁与资金缺口'!$E$5,IF(((YEAR(BE$46)-YEAR('融资租赁与资金缺口'!$F$5))*12+MONTH(BE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E$46)-YEAR('融资租赁与资金缺口'!$F$5))*12+MONTH(BE$46)-MONTH('融资租赁与资金缺口'!$F$5)),'融资租赁与资金缺口'!$E$5*(1+'融资租赁与资金缺口'!$I$5)^((YEAR(BE$46)-YEAR('融资租赁与资金缺口'!$F$5))*12+MONTH(BE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E$46)-YEAR('融资租赁与资金缺口'!$F$5))*12+MONTH(BE$46)-MONTH('融资租赁与资金缺口'!$F$5))-1)/'融资租赁与资金缺口'!$I$5))))),IF(BE$46&lt;'融资租赁与资金缺口'!$F$6,0,IF(BE$46='融资租赁与资金缺口'!$F$6,'融资租赁与资金缺口'!$E$6,IF(((YEAR(BE$46)-YEAR('融资租赁与资金缺口'!$F$6))*12+MONTH(BE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E$46)-YEAR('融资租赁与资金缺口'!$F$6))*12+MONTH(BE$46)-MONTH('融资租赁与资金缺口'!$F$6)),'融资租赁与资金缺口'!$E$6*(1+'融资租赁与资金缺口'!$I$6)^((YEAR(BE$46)-YEAR('融资租赁与资金缺口'!$F$6))*12+MONTH(BE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E$46)-YEAR('融资租赁与资金缺口'!$F$6))*12+MONTH(BE$46)-MONTH('融资租赁与资金缺口'!$F$6))-1)/'融资租赁与资金缺口'!$I$6))))),IF(BE$46&lt;'融资租赁与资金缺口'!$F$7,0,IF(BE$46='融资租赁与资金缺口'!$F$7,'融资租赁与资金缺口'!$E$7,IF(((YEAR(BE$46)-YEAR('融资租赁与资金缺口'!$F$7))*12+MONTH(BE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E$46)-YEAR('融资租赁与资金缺口'!$F$7))*12+MONTH(BE$46)-MONTH('融资租赁与资金缺口'!$F$7)),'融资租赁与资金缺口'!$E$7*(1+'融资租赁与资金缺口'!$I$7)^((YEAR(BE$46)-YEAR('融资租赁与资金缺口'!$F$7))*12+MONTH(BE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E$46)-YEAR('融资租赁与资金缺口'!$F$7))*12+MONTH(BE$46)-MONTH('融资租赁与资金缺口'!$F$7))-1)/'融资租赁与资金缺口'!$I$7))))),IF(BE$46&lt;'融资租赁与资金缺口'!$F$8,0,IF(BE$46='融资租赁与资金缺口'!$F$8,'融资租赁与资金缺口'!$E$8,IF(((YEAR(BE$46)-YEAR('融资租赁与资金缺口'!$F$8))*12+MONTH(BE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E$46)-YEAR('融资租赁与资金缺口'!$F$8))*12+MONTH(BE$46)-MONTH('融资租赁与资金缺口'!$F$8)),'融资租赁与资金缺口'!$E$8*(1+'融资租赁与资金缺口'!$I$8)^((YEAR(BE$46)-YEAR('融资租赁与资金缺口'!$F$8))*12+MONTH(BE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E$46)-YEAR('融资租赁与资金缺口'!$F$8))*12+MONTH(BE$46)-MONTH('融资租赁与资金缺口'!$F$8))-1)/'融资租赁与资金缺口'!$I$8))))),IF(BE$46&lt;'融资租赁与资金缺口'!$F$9,0,IF(BE$46='融资租赁与资金缺口'!$F$9,'融资租赁与资金缺口'!$E$9,IF(((YEAR(BE$46)-YEAR('融资租赁与资金缺口'!$F$9))*12+MONTH(BE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E$46)-YEAR('融资租赁与资金缺口'!$F$9))*12+MONTH(BE$46)-MONTH('融资租赁与资金缺口'!$F$9)),'融资租赁与资金缺口'!$E$9*(1+'融资租赁与资金缺口'!$I$9)^((YEAR(BE$46)-YEAR('融资租赁与资金缺口'!$F$9))*12+MONTH(BE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E$46)-YEAR('融资租赁与资金缺口'!$F$9))*12+MONTH(BE$46)-MONTH('融资租赁与资金缺口'!$F$9))-1)/'融资租赁与资金缺口'!$I$9))))),IF(BE$46&lt;'融资租赁与资金缺口'!$F$10,0,IF(BE$46='融资租赁与资金缺口'!$F$10,'融资租赁与资金缺口'!$E$10,IF(((YEAR(BE$46)-YEAR('融资租赁与资金缺口'!$F$10))*12+MONTH(BE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E$46)-YEAR('融资租赁与资金缺口'!$F$10))*12+MONTH(BE$46)-MONTH('融资租赁与资金缺口'!$F$10)),'融资租赁与资金缺口'!$E$10*(1+'融资租赁与资金缺口'!$I$10)^((YEAR(BE$46)-YEAR('融资租赁与资金缺口'!$F$10))*12+MONTH(BE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E$46)-YEAR('融资租赁与资金缺口'!$F$10))*12+MONTH(BE$46)-MONTH('融资租赁与资金缺口'!$F$10))-1)/'融资租赁与资金缺口'!$I$10))))),IF(BE$46&lt;'融资租赁与资金缺口'!$F$11,0,IF(BE$46='融资租赁与资金缺口'!$F$11,'融资租赁与资金缺口'!$E$11,IF(((YEAR(BE$46)-YEAR('融资租赁与资金缺口'!$F$11))*12+MONTH(BE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E$46)-YEAR('融资租赁与资金缺口'!$F$11))*12+MONTH(BE$46)-MONTH('融资租赁与资金缺口'!$F$11)),'融资租赁与资金缺口'!$E$11*(1+'融资租赁与资金缺口'!$I$11)^((YEAR(BE$46)-YEAR('融资租赁与资金缺口'!$F$11))*12+MONTH(BE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E$46)-YEAR('融资租赁与资金缺口'!$F$11))*12+MONTH(BE$46)-MONTH('融资租赁与资金缺口'!$F$11))-1)/'融资租赁与资金缺口'!$I$11))))),IF(BE$46&lt;'融资租赁与资金缺口'!$F$12,0,IF(BE$46='融资租赁与资金缺口'!$F$12,'融资租赁与资金缺口'!$E$12,IF(((YEAR(BE$46)-YEAR('融资租赁与资金缺口'!$F$12))*12+MONTH(BE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E$46)-YEAR('融资租赁与资金缺口'!$F$12))*12+MONTH(BE$46)-MONTH('融资租赁与资金缺口'!$F$12)),'融资租赁与资金缺口'!$E$12*(1+'融资租赁与资金缺口'!$I$12)^((YEAR(BE$46)-YEAR('融资租赁与资金缺口'!$F$12))*12+MONTH(BE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E$46)-YEAR('融资租赁与资金缺口'!$F$12))*12+MONTH(BE$46)-MONTH('融资租赁与资金缺口'!$F$12))-1)/'融资租赁与资金缺口'!$I$12))))),IF(BE$46&lt;'融资租赁与资金缺口'!$F$13,0,IF(BE$46='融资租赁与资金缺口'!$F$13,'融资租赁与资金缺口'!$E$13,IF(((YEAR(BE$46)-YEAR('融资租赁与资金缺口'!$F$13))*12+MONTH(BE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E$46)-YEAR('融资租赁与资金缺口'!$F$13))*12+MONTH(BE$46)-MONTH('融资租赁与资金缺口'!$F$13)),'融资租赁与资金缺口'!$E$13*(1+'融资租赁与资金缺口'!$I$13)^((YEAR(BE$46)-YEAR('融资租赁与资金缺口'!$F$13))*12+MONTH(BE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E$46)-YEAR('融资租赁与资金缺口'!$F$13))*12+MONTH(BE$46)-MONTH('融资租赁与资金缺口'!$F$13))-1)/'融资租赁与资金缺口'!$I$13))))),IF(BE$46&lt;'融资租赁与资金缺口'!$F$14,0,IF(BE$46='融资租赁与资金缺口'!$F$14,'融资租赁与资金缺口'!$E$14,IF(((YEAR(BE$46)-YEAR('融资租赁与资金缺口'!$F$14))*12+MONTH(BE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E$46)-YEAR('融资租赁与资金缺口'!$F$14))*12+MONTH(BE$46)-MONTH('融资租赁与资金缺口'!$F$14)),'融资租赁与资金缺口'!$E$14*(1+'融资租赁与资金缺口'!$I$14)^((YEAR(BE$46)-YEAR('融资租赁与资金缺口'!$F$14))*12+MONTH(BE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E$46)-YEAR('融资租赁与资金缺口'!$F$14))*12+MONTH(BE$46)-MONTH('融资租赁与资金缺口'!$F$14))-1)/'融资租赁与资金缺口'!$I$14))))),IF(BE$46&lt;'融资租赁与资金缺口'!$F$15,0,IF(BE$46='融资租赁与资金缺口'!$F$15,'融资租赁与资金缺口'!$E$15,IF(((YEAR(BE$46)-YEAR('融资租赁与资金缺口'!$F$15))*12+MONTH(BE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E$46)-YEAR('融资租赁与资金缺口'!$F$15))*12+MONTH(BE$46)-MONTH('融资租赁与资金缺口'!$F$15)),'融资租赁与资金缺口'!$E$15*(1+'融资租赁与资金缺口'!$I$15)^((YEAR(BE$46)-YEAR('融资租赁与资金缺口'!$F$15))*12+MONTH(BE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E$46)-YEAR('融资租赁与资金缺口'!$F$15))*12+MONTH(BE$46)-MONTH('融资租赁与资金缺口'!$F$15))-1)/'融资租赁与资金缺口'!$I$15))))),IF(BE$46&lt;'融资租赁与资金缺口'!$F$16,0,IF(BE$46='融资租赁与资金缺口'!$F$16,'融资租赁与资金缺口'!$E$16,IF(((YEAR(BE$46)-YEAR('融资租赁与资金缺口'!$F$16))*12+MONTH(BE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E$46)-YEAR('融资租赁与资金缺口'!$F$16))*12+MONTH(BE$46)-MONTH('融资租赁与资金缺口'!$F$16)),'融资租赁与资金缺口'!$E$16*(1+'融资租赁与资金缺口'!$I$16)^((YEAR(BE$46)-YEAR('融资租赁与资金缺口'!$F$16))*12+MONTH(BE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E$46)-YEAR('融资租赁与资金缺口'!$F$16))*12+MONTH(BE$46)-MONTH('融资租赁与资金缺口'!$F$16))-1)/'融资租赁与资金缺口'!$I$16))))))</x:f>
        <x:v>295483599.0007218</x:v>
      </x:c>
      <x:c r="BF58" s="28" t="n">
        <x:f>SUM(IF(BF$46&lt;'融资租赁与资金缺口'!$F$5,0,IF(BF$46='融资租赁与资金缺口'!$F$5,'融资租赁与资金缺口'!$E$5,IF(((YEAR(BF$46)-YEAR('融资租赁与资金缺口'!$F$5))*12+MONTH(BF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F$46)-YEAR('融资租赁与资金缺口'!$F$5))*12+MONTH(BF$46)-MONTH('融资租赁与资金缺口'!$F$5)),'融资租赁与资金缺口'!$E$5*(1+'融资租赁与资金缺口'!$I$5)^((YEAR(BF$46)-YEAR('融资租赁与资金缺口'!$F$5))*12+MONTH(BF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F$46)-YEAR('融资租赁与资金缺口'!$F$5))*12+MONTH(BF$46)-MONTH('融资租赁与资金缺口'!$F$5))-1)/'融资租赁与资金缺口'!$I$5))))),IF(BF$46&lt;'融资租赁与资金缺口'!$F$6,0,IF(BF$46='融资租赁与资金缺口'!$F$6,'融资租赁与资金缺口'!$E$6,IF(((YEAR(BF$46)-YEAR('融资租赁与资金缺口'!$F$6))*12+MONTH(BF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F$46)-YEAR('融资租赁与资金缺口'!$F$6))*12+MONTH(BF$46)-MONTH('融资租赁与资金缺口'!$F$6)),'融资租赁与资金缺口'!$E$6*(1+'融资租赁与资金缺口'!$I$6)^((YEAR(BF$46)-YEAR('融资租赁与资金缺口'!$F$6))*12+MONTH(BF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F$46)-YEAR('融资租赁与资金缺口'!$F$6))*12+MONTH(BF$46)-MONTH('融资租赁与资金缺口'!$F$6))-1)/'融资租赁与资金缺口'!$I$6))))),IF(BF$46&lt;'融资租赁与资金缺口'!$F$7,0,IF(BF$46='融资租赁与资金缺口'!$F$7,'融资租赁与资金缺口'!$E$7,IF(((YEAR(BF$46)-YEAR('融资租赁与资金缺口'!$F$7))*12+MONTH(BF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F$46)-YEAR('融资租赁与资金缺口'!$F$7))*12+MONTH(BF$46)-MONTH('融资租赁与资金缺口'!$F$7)),'融资租赁与资金缺口'!$E$7*(1+'融资租赁与资金缺口'!$I$7)^((YEAR(BF$46)-YEAR('融资租赁与资金缺口'!$F$7))*12+MONTH(BF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F$46)-YEAR('融资租赁与资金缺口'!$F$7))*12+MONTH(BF$46)-MONTH('融资租赁与资金缺口'!$F$7))-1)/'融资租赁与资金缺口'!$I$7))))),IF(BF$46&lt;'融资租赁与资金缺口'!$F$8,0,IF(BF$46='融资租赁与资金缺口'!$F$8,'融资租赁与资金缺口'!$E$8,IF(((YEAR(BF$46)-YEAR('融资租赁与资金缺口'!$F$8))*12+MONTH(BF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F$46)-YEAR('融资租赁与资金缺口'!$F$8))*12+MONTH(BF$46)-MONTH('融资租赁与资金缺口'!$F$8)),'融资租赁与资金缺口'!$E$8*(1+'融资租赁与资金缺口'!$I$8)^((YEAR(BF$46)-YEAR('融资租赁与资金缺口'!$F$8))*12+MONTH(BF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F$46)-YEAR('融资租赁与资金缺口'!$F$8))*12+MONTH(BF$46)-MONTH('融资租赁与资金缺口'!$F$8))-1)/'融资租赁与资金缺口'!$I$8))))),IF(BF$46&lt;'融资租赁与资金缺口'!$F$9,0,IF(BF$46='融资租赁与资金缺口'!$F$9,'融资租赁与资金缺口'!$E$9,IF(((YEAR(BF$46)-YEAR('融资租赁与资金缺口'!$F$9))*12+MONTH(BF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F$46)-YEAR('融资租赁与资金缺口'!$F$9))*12+MONTH(BF$46)-MONTH('融资租赁与资金缺口'!$F$9)),'融资租赁与资金缺口'!$E$9*(1+'融资租赁与资金缺口'!$I$9)^((YEAR(BF$46)-YEAR('融资租赁与资金缺口'!$F$9))*12+MONTH(BF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F$46)-YEAR('融资租赁与资金缺口'!$F$9))*12+MONTH(BF$46)-MONTH('融资租赁与资金缺口'!$F$9))-1)/'融资租赁与资金缺口'!$I$9))))),IF(BF$46&lt;'融资租赁与资金缺口'!$F$10,0,IF(BF$46='融资租赁与资金缺口'!$F$10,'融资租赁与资金缺口'!$E$10,IF(((YEAR(BF$46)-YEAR('融资租赁与资金缺口'!$F$10))*12+MONTH(BF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F$46)-YEAR('融资租赁与资金缺口'!$F$10))*12+MONTH(BF$46)-MONTH('融资租赁与资金缺口'!$F$10)),'融资租赁与资金缺口'!$E$10*(1+'融资租赁与资金缺口'!$I$10)^((YEAR(BF$46)-YEAR('融资租赁与资金缺口'!$F$10))*12+MONTH(BF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F$46)-YEAR('融资租赁与资金缺口'!$F$10))*12+MONTH(BF$46)-MONTH('融资租赁与资金缺口'!$F$10))-1)/'融资租赁与资金缺口'!$I$10))))),IF(BF$46&lt;'融资租赁与资金缺口'!$F$11,0,IF(BF$46='融资租赁与资金缺口'!$F$11,'融资租赁与资金缺口'!$E$11,IF(((YEAR(BF$46)-YEAR('融资租赁与资金缺口'!$F$11))*12+MONTH(BF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F$46)-YEAR('融资租赁与资金缺口'!$F$11))*12+MONTH(BF$46)-MONTH('融资租赁与资金缺口'!$F$11)),'融资租赁与资金缺口'!$E$11*(1+'融资租赁与资金缺口'!$I$11)^((YEAR(BF$46)-YEAR('融资租赁与资金缺口'!$F$11))*12+MONTH(BF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F$46)-YEAR('融资租赁与资金缺口'!$F$11))*12+MONTH(BF$46)-MONTH('融资租赁与资金缺口'!$F$11))-1)/'融资租赁与资金缺口'!$I$11))))),IF(BF$46&lt;'融资租赁与资金缺口'!$F$12,0,IF(BF$46='融资租赁与资金缺口'!$F$12,'融资租赁与资金缺口'!$E$12,IF(((YEAR(BF$46)-YEAR('融资租赁与资金缺口'!$F$12))*12+MONTH(BF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F$46)-YEAR('融资租赁与资金缺口'!$F$12))*12+MONTH(BF$46)-MONTH('融资租赁与资金缺口'!$F$12)),'融资租赁与资金缺口'!$E$12*(1+'融资租赁与资金缺口'!$I$12)^((YEAR(BF$46)-YEAR('融资租赁与资金缺口'!$F$12))*12+MONTH(BF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F$46)-YEAR('融资租赁与资金缺口'!$F$12))*12+MONTH(BF$46)-MONTH('融资租赁与资金缺口'!$F$12))-1)/'融资租赁与资金缺口'!$I$12))))),IF(BF$46&lt;'融资租赁与资金缺口'!$F$13,0,IF(BF$46='融资租赁与资金缺口'!$F$13,'融资租赁与资金缺口'!$E$13,IF(((YEAR(BF$46)-YEAR('融资租赁与资金缺口'!$F$13))*12+MONTH(BF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F$46)-YEAR('融资租赁与资金缺口'!$F$13))*12+MONTH(BF$46)-MONTH('融资租赁与资金缺口'!$F$13)),'融资租赁与资金缺口'!$E$13*(1+'融资租赁与资金缺口'!$I$13)^((YEAR(BF$46)-YEAR('融资租赁与资金缺口'!$F$13))*12+MONTH(BF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F$46)-YEAR('融资租赁与资金缺口'!$F$13))*12+MONTH(BF$46)-MONTH('融资租赁与资金缺口'!$F$13))-1)/'融资租赁与资金缺口'!$I$13))))),IF(BF$46&lt;'融资租赁与资金缺口'!$F$14,0,IF(BF$46='融资租赁与资金缺口'!$F$14,'融资租赁与资金缺口'!$E$14,IF(((YEAR(BF$46)-YEAR('融资租赁与资金缺口'!$F$14))*12+MONTH(BF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F$46)-YEAR('融资租赁与资金缺口'!$F$14))*12+MONTH(BF$46)-MONTH('融资租赁与资金缺口'!$F$14)),'融资租赁与资金缺口'!$E$14*(1+'融资租赁与资金缺口'!$I$14)^((YEAR(BF$46)-YEAR('融资租赁与资金缺口'!$F$14))*12+MONTH(BF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F$46)-YEAR('融资租赁与资金缺口'!$F$14))*12+MONTH(BF$46)-MONTH('融资租赁与资金缺口'!$F$14))-1)/'融资租赁与资金缺口'!$I$14))))),IF(BF$46&lt;'融资租赁与资金缺口'!$F$15,0,IF(BF$46='融资租赁与资金缺口'!$F$15,'融资租赁与资金缺口'!$E$15,IF(((YEAR(BF$46)-YEAR('融资租赁与资金缺口'!$F$15))*12+MONTH(BF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F$46)-YEAR('融资租赁与资金缺口'!$F$15))*12+MONTH(BF$46)-MONTH('融资租赁与资金缺口'!$F$15)),'融资租赁与资金缺口'!$E$15*(1+'融资租赁与资金缺口'!$I$15)^((YEAR(BF$46)-YEAR('融资租赁与资金缺口'!$F$15))*12+MONTH(BF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F$46)-YEAR('融资租赁与资金缺口'!$F$15))*12+MONTH(BF$46)-MONTH('融资租赁与资金缺口'!$F$15))-1)/'融资租赁与资金缺口'!$I$15))))),IF(BF$46&lt;'融资租赁与资金缺口'!$F$16,0,IF(BF$46='融资租赁与资金缺口'!$F$16,'融资租赁与资金缺口'!$E$16,IF(((YEAR(BF$46)-YEAR('融资租赁与资金缺口'!$F$16))*12+MONTH(BF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F$46)-YEAR('融资租赁与资金缺口'!$F$16))*12+MONTH(BF$46)-MONTH('融资租赁与资金缺口'!$F$16)),'融资租赁与资金缺口'!$E$16*(1+'融资租赁与资金缺口'!$I$16)^((YEAR(BF$46)-YEAR('融资租赁与资金缺口'!$F$16))*12+MONTH(BF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F$46)-YEAR('融资租赁与资金缺口'!$F$16))*12+MONTH(BF$46)-MONTH('融资租赁与资金缺口'!$F$16))-1)/'融资租赁与资金缺口'!$I$16))))))</x:f>
        <x:v>280562472.7790832</x:v>
      </x:c>
      <x:c r="BG58" s="28" t="n">
        <x:f>SUM(IF(BG$46&lt;'融资租赁与资金缺口'!$F$5,0,IF(BG$46='融资租赁与资金缺口'!$F$5,'融资租赁与资金缺口'!$E$5,IF(((YEAR(BG$46)-YEAR('融资租赁与资金缺口'!$F$5))*12+MONTH(BG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G$46)-YEAR('融资租赁与资金缺口'!$F$5))*12+MONTH(BG$46)-MONTH('融资租赁与资金缺口'!$F$5)),'融资租赁与资金缺口'!$E$5*(1+'融资租赁与资金缺口'!$I$5)^((YEAR(BG$46)-YEAR('融资租赁与资金缺口'!$F$5))*12+MONTH(BG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G$46)-YEAR('融资租赁与资金缺口'!$F$5))*12+MONTH(BG$46)-MONTH('融资租赁与资金缺口'!$F$5))-1)/'融资租赁与资金缺口'!$I$5))))),IF(BG$46&lt;'融资租赁与资金缺口'!$F$6,0,IF(BG$46='融资租赁与资金缺口'!$F$6,'融资租赁与资金缺口'!$E$6,IF(((YEAR(BG$46)-YEAR('融资租赁与资金缺口'!$F$6))*12+MONTH(BG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G$46)-YEAR('融资租赁与资金缺口'!$F$6))*12+MONTH(BG$46)-MONTH('融资租赁与资金缺口'!$F$6)),'融资租赁与资金缺口'!$E$6*(1+'融资租赁与资金缺口'!$I$6)^((YEAR(BG$46)-YEAR('融资租赁与资金缺口'!$F$6))*12+MONTH(BG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G$46)-YEAR('融资租赁与资金缺口'!$F$6))*12+MONTH(BG$46)-MONTH('融资租赁与资金缺口'!$F$6))-1)/'融资租赁与资金缺口'!$I$6))))),IF(BG$46&lt;'融资租赁与资金缺口'!$F$7,0,IF(BG$46='融资租赁与资金缺口'!$F$7,'融资租赁与资金缺口'!$E$7,IF(((YEAR(BG$46)-YEAR('融资租赁与资金缺口'!$F$7))*12+MONTH(BG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G$46)-YEAR('融资租赁与资金缺口'!$F$7))*12+MONTH(BG$46)-MONTH('融资租赁与资金缺口'!$F$7)),'融资租赁与资金缺口'!$E$7*(1+'融资租赁与资金缺口'!$I$7)^((YEAR(BG$46)-YEAR('融资租赁与资金缺口'!$F$7))*12+MONTH(BG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G$46)-YEAR('融资租赁与资金缺口'!$F$7))*12+MONTH(BG$46)-MONTH('融资租赁与资金缺口'!$F$7))-1)/'融资租赁与资金缺口'!$I$7))))),IF(BG$46&lt;'融资租赁与资金缺口'!$F$8,0,IF(BG$46='融资租赁与资金缺口'!$F$8,'融资租赁与资金缺口'!$E$8,IF(((YEAR(BG$46)-YEAR('融资租赁与资金缺口'!$F$8))*12+MONTH(BG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G$46)-YEAR('融资租赁与资金缺口'!$F$8))*12+MONTH(BG$46)-MONTH('融资租赁与资金缺口'!$F$8)),'融资租赁与资金缺口'!$E$8*(1+'融资租赁与资金缺口'!$I$8)^((YEAR(BG$46)-YEAR('融资租赁与资金缺口'!$F$8))*12+MONTH(BG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G$46)-YEAR('融资租赁与资金缺口'!$F$8))*12+MONTH(BG$46)-MONTH('融资租赁与资金缺口'!$F$8))-1)/'融资租赁与资金缺口'!$I$8))))),IF(BG$46&lt;'融资租赁与资金缺口'!$F$9,0,IF(BG$46='融资租赁与资金缺口'!$F$9,'融资租赁与资金缺口'!$E$9,IF(((YEAR(BG$46)-YEAR('融资租赁与资金缺口'!$F$9))*12+MONTH(BG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G$46)-YEAR('融资租赁与资金缺口'!$F$9))*12+MONTH(BG$46)-MONTH('融资租赁与资金缺口'!$F$9)),'融资租赁与资金缺口'!$E$9*(1+'融资租赁与资金缺口'!$I$9)^((YEAR(BG$46)-YEAR('融资租赁与资金缺口'!$F$9))*12+MONTH(BG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G$46)-YEAR('融资租赁与资金缺口'!$F$9))*12+MONTH(BG$46)-MONTH('融资租赁与资金缺口'!$F$9))-1)/'融资租赁与资金缺口'!$I$9))))),IF(BG$46&lt;'融资租赁与资金缺口'!$F$10,0,IF(BG$46='融资租赁与资金缺口'!$F$10,'融资租赁与资金缺口'!$E$10,IF(((YEAR(BG$46)-YEAR('融资租赁与资金缺口'!$F$10))*12+MONTH(BG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G$46)-YEAR('融资租赁与资金缺口'!$F$10))*12+MONTH(BG$46)-MONTH('融资租赁与资金缺口'!$F$10)),'融资租赁与资金缺口'!$E$10*(1+'融资租赁与资金缺口'!$I$10)^((YEAR(BG$46)-YEAR('融资租赁与资金缺口'!$F$10))*12+MONTH(BG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G$46)-YEAR('融资租赁与资金缺口'!$F$10))*12+MONTH(BG$46)-MONTH('融资租赁与资金缺口'!$F$10))-1)/'融资租赁与资金缺口'!$I$10))))),IF(BG$46&lt;'融资租赁与资金缺口'!$F$11,0,IF(BG$46='融资租赁与资金缺口'!$F$11,'融资租赁与资金缺口'!$E$11,IF(((YEAR(BG$46)-YEAR('融资租赁与资金缺口'!$F$11))*12+MONTH(BG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G$46)-YEAR('融资租赁与资金缺口'!$F$11))*12+MONTH(BG$46)-MONTH('融资租赁与资金缺口'!$F$11)),'融资租赁与资金缺口'!$E$11*(1+'融资租赁与资金缺口'!$I$11)^((YEAR(BG$46)-YEAR('融资租赁与资金缺口'!$F$11))*12+MONTH(BG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G$46)-YEAR('融资租赁与资金缺口'!$F$11))*12+MONTH(BG$46)-MONTH('融资租赁与资金缺口'!$F$11))-1)/'融资租赁与资金缺口'!$I$11))))),IF(BG$46&lt;'融资租赁与资金缺口'!$F$12,0,IF(BG$46='融资租赁与资金缺口'!$F$12,'融资租赁与资金缺口'!$E$12,IF(((YEAR(BG$46)-YEAR('融资租赁与资金缺口'!$F$12))*12+MONTH(BG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G$46)-YEAR('融资租赁与资金缺口'!$F$12))*12+MONTH(BG$46)-MONTH('融资租赁与资金缺口'!$F$12)),'融资租赁与资金缺口'!$E$12*(1+'融资租赁与资金缺口'!$I$12)^((YEAR(BG$46)-YEAR('融资租赁与资金缺口'!$F$12))*12+MONTH(BG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G$46)-YEAR('融资租赁与资金缺口'!$F$12))*12+MONTH(BG$46)-MONTH('融资租赁与资金缺口'!$F$12))-1)/'融资租赁与资金缺口'!$I$12))))),IF(BG$46&lt;'融资租赁与资金缺口'!$F$13,0,IF(BG$46='融资租赁与资金缺口'!$F$13,'融资租赁与资金缺口'!$E$13,IF(((YEAR(BG$46)-YEAR('融资租赁与资金缺口'!$F$13))*12+MONTH(BG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G$46)-YEAR('融资租赁与资金缺口'!$F$13))*12+MONTH(BG$46)-MONTH('融资租赁与资金缺口'!$F$13)),'融资租赁与资金缺口'!$E$13*(1+'融资租赁与资金缺口'!$I$13)^((YEAR(BG$46)-YEAR('融资租赁与资金缺口'!$F$13))*12+MONTH(BG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G$46)-YEAR('融资租赁与资金缺口'!$F$13))*12+MONTH(BG$46)-MONTH('融资租赁与资金缺口'!$F$13))-1)/'融资租赁与资金缺口'!$I$13))))),IF(BG$46&lt;'融资租赁与资金缺口'!$F$14,0,IF(BG$46='融资租赁与资金缺口'!$F$14,'融资租赁与资金缺口'!$E$14,IF(((YEAR(BG$46)-YEAR('融资租赁与资金缺口'!$F$14))*12+MONTH(BG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G$46)-YEAR('融资租赁与资金缺口'!$F$14))*12+MONTH(BG$46)-MONTH('融资租赁与资金缺口'!$F$14)),'融资租赁与资金缺口'!$E$14*(1+'融资租赁与资金缺口'!$I$14)^((YEAR(BG$46)-YEAR('融资租赁与资金缺口'!$F$14))*12+MONTH(BG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G$46)-YEAR('融资租赁与资金缺口'!$F$14))*12+MONTH(BG$46)-MONTH('融资租赁与资金缺口'!$F$14))-1)/'融资租赁与资金缺口'!$I$14))))),IF(BG$46&lt;'融资租赁与资金缺口'!$F$15,0,IF(BG$46='融资租赁与资金缺口'!$F$15,'融资租赁与资金缺口'!$E$15,IF(((YEAR(BG$46)-YEAR('融资租赁与资金缺口'!$F$15))*12+MONTH(BG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G$46)-YEAR('融资租赁与资金缺口'!$F$15))*12+MONTH(BG$46)-MONTH('融资租赁与资金缺口'!$F$15)),'融资租赁与资金缺口'!$E$15*(1+'融资租赁与资金缺口'!$I$15)^((YEAR(BG$46)-YEAR('融资租赁与资金缺口'!$F$15))*12+MONTH(BG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G$46)-YEAR('融资租赁与资金缺口'!$F$15))*12+MONTH(BG$46)-MONTH('融资租赁与资金缺口'!$F$15))-1)/'融资租赁与资金缺口'!$I$15))))),IF(BG$46&lt;'融资租赁与资金缺口'!$F$16,0,IF(BG$46='融资租赁与资金缺口'!$F$16,'融资租赁与资金缺口'!$E$16,IF(((YEAR(BG$46)-YEAR('融资租赁与资金缺口'!$F$16))*12+MONTH(BG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G$46)-YEAR('融资租赁与资金缺口'!$F$16))*12+MONTH(BG$46)-MONTH('融资租赁与资金缺口'!$F$16)),'融资租赁与资金缺口'!$E$16*(1+'融资租赁与资金缺口'!$I$16)^((YEAR(BG$46)-YEAR('融资租赁与资金缺口'!$F$16))*12+MONTH(BG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G$46)-YEAR('融资租赁与资金缺口'!$F$16))*12+MONTH(BG$46)-MONTH('融资租赁与资金缺口'!$F$16))-1)/'融资租赁与资金缺口'!$I$16))))))</x:f>
        <x:v>265541872.38263363</x:v>
      </x:c>
      <x:c r="BH58" s="28" t="n">
        <x:f>SUM(IF(BH$46&lt;'融资租赁与资金缺口'!$F$5,0,IF(BH$46='融资租赁与资金缺口'!$F$5,'融资租赁与资金缺口'!$E$5,IF(((YEAR(BH$46)-YEAR('融资租赁与资金缺口'!$F$5))*12+MONTH(BH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H$46)-YEAR('融资租赁与资金缺口'!$F$5))*12+MONTH(BH$46)-MONTH('融资租赁与资金缺口'!$F$5)),'融资租赁与资金缺口'!$E$5*(1+'融资租赁与资金缺口'!$I$5)^((YEAR(BH$46)-YEAR('融资租赁与资金缺口'!$F$5))*12+MONTH(BH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H$46)-YEAR('融资租赁与资金缺口'!$F$5))*12+MONTH(BH$46)-MONTH('融资租赁与资金缺口'!$F$5))-1)/'融资租赁与资金缺口'!$I$5))))),IF(BH$46&lt;'融资租赁与资金缺口'!$F$6,0,IF(BH$46='融资租赁与资金缺口'!$F$6,'融资租赁与资金缺口'!$E$6,IF(((YEAR(BH$46)-YEAR('融资租赁与资金缺口'!$F$6))*12+MONTH(BH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H$46)-YEAR('融资租赁与资金缺口'!$F$6))*12+MONTH(BH$46)-MONTH('融资租赁与资金缺口'!$F$6)),'融资租赁与资金缺口'!$E$6*(1+'融资租赁与资金缺口'!$I$6)^((YEAR(BH$46)-YEAR('融资租赁与资金缺口'!$F$6))*12+MONTH(BH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H$46)-YEAR('融资租赁与资金缺口'!$F$6))*12+MONTH(BH$46)-MONTH('融资租赁与资金缺口'!$F$6))-1)/'融资租赁与资金缺口'!$I$6))))),IF(BH$46&lt;'融资租赁与资金缺口'!$F$7,0,IF(BH$46='融资租赁与资金缺口'!$F$7,'融资租赁与资金缺口'!$E$7,IF(((YEAR(BH$46)-YEAR('融资租赁与资金缺口'!$F$7))*12+MONTH(BH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H$46)-YEAR('融资租赁与资金缺口'!$F$7))*12+MONTH(BH$46)-MONTH('融资租赁与资金缺口'!$F$7)),'融资租赁与资金缺口'!$E$7*(1+'融资租赁与资金缺口'!$I$7)^((YEAR(BH$46)-YEAR('融资租赁与资金缺口'!$F$7))*12+MONTH(BH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H$46)-YEAR('融资租赁与资金缺口'!$F$7))*12+MONTH(BH$46)-MONTH('融资租赁与资金缺口'!$F$7))-1)/'融资租赁与资金缺口'!$I$7))))),IF(BH$46&lt;'融资租赁与资金缺口'!$F$8,0,IF(BH$46='融资租赁与资金缺口'!$F$8,'融资租赁与资金缺口'!$E$8,IF(((YEAR(BH$46)-YEAR('融资租赁与资金缺口'!$F$8))*12+MONTH(BH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H$46)-YEAR('融资租赁与资金缺口'!$F$8))*12+MONTH(BH$46)-MONTH('融资租赁与资金缺口'!$F$8)),'融资租赁与资金缺口'!$E$8*(1+'融资租赁与资金缺口'!$I$8)^((YEAR(BH$46)-YEAR('融资租赁与资金缺口'!$F$8))*12+MONTH(BH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H$46)-YEAR('融资租赁与资金缺口'!$F$8))*12+MONTH(BH$46)-MONTH('融资租赁与资金缺口'!$F$8))-1)/'融资租赁与资金缺口'!$I$8))))),IF(BH$46&lt;'融资租赁与资金缺口'!$F$9,0,IF(BH$46='融资租赁与资金缺口'!$F$9,'融资租赁与资金缺口'!$E$9,IF(((YEAR(BH$46)-YEAR('融资租赁与资金缺口'!$F$9))*12+MONTH(BH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H$46)-YEAR('融资租赁与资金缺口'!$F$9))*12+MONTH(BH$46)-MONTH('融资租赁与资金缺口'!$F$9)),'融资租赁与资金缺口'!$E$9*(1+'融资租赁与资金缺口'!$I$9)^((YEAR(BH$46)-YEAR('融资租赁与资金缺口'!$F$9))*12+MONTH(BH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H$46)-YEAR('融资租赁与资金缺口'!$F$9))*12+MONTH(BH$46)-MONTH('融资租赁与资金缺口'!$F$9))-1)/'融资租赁与资金缺口'!$I$9))))),IF(BH$46&lt;'融资租赁与资金缺口'!$F$10,0,IF(BH$46='融资租赁与资金缺口'!$F$10,'融资租赁与资金缺口'!$E$10,IF(((YEAR(BH$46)-YEAR('融资租赁与资金缺口'!$F$10))*12+MONTH(BH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H$46)-YEAR('融资租赁与资金缺口'!$F$10))*12+MONTH(BH$46)-MONTH('融资租赁与资金缺口'!$F$10)),'融资租赁与资金缺口'!$E$10*(1+'融资租赁与资金缺口'!$I$10)^((YEAR(BH$46)-YEAR('融资租赁与资金缺口'!$F$10))*12+MONTH(BH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H$46)-YEAR('融资租赁与资金缺口'!$F$10))*12+MONTH(BH$46)-MONTH('融资租赁与资金缺口'!$F$10))-1)/'融资租赁与资金缺口'!$I$10))))),IF(BH$46&lt;'融资租赁与资金缺口'!$F$11,0,IF(BH$46='融资租赁与资金缺口'!$F$11,'融资租赁与资金缺口'!$E$11,IF(((YEAR(BH$46)-YEAR('融资租赁与资金缺口'!$F$11))*12+MONTH(BH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H$46)-YEAR('融资租赁与资金缺口'!$F$11))*12+MONTH(BH$46)-MONTH('融资租赁与资金缺口'!$F$11)),'融资租赁与资金缺口'!$E$11*(1+'融资租赁与资金缺口'!$I$11)^((YEAR(BH$46)-YEAR('融资租赁与资金缺口'!$F$11))*12+MONTH(BH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H$46)-YEAR('融资租赁与资金缺口'!$F$11))*12+MONTH(BH$46)-MONTH('融资租赁与资金缺口'!$F$11))-1)/'融资租赁与资金缺口'!$I$11))))),IF(BH$46&lt;'融资租赁与资金缺口'!$F$12,0,IF(BH$46='融资租赁与资金缺口'!$F$12,'融资租赁与资金缺口'!$E$12,IF(((YEAR(BH$46)-YEAR('融资租赁与资金缺口'!$F$12))*12+MONTH(BH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H$46)-YEAR('融资租赁与资金缺口'!$F$12))*12+MONTH(BH$46)-MONTH('融资租赁与资金缺口'!$F$12)),'融资租赁与资金缺口'!$E$12*(1+'融资租赁与资金缺口'!$I$12)^((YEAR(BH$46)-YEAR('融资租赁与资金缺口'!$F$12))*12+MONTH(BH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H$46)-YEAR('融资租赁与资金缺口'!$F$12))*12+MONTH(BH$46)-MONTH('融资租赁与资金缺口'!$F$12))-1)/'融资租赁与资金缺口'!$I$12))))),IF(BH$46&lt;'融资租赁与资金缺口'!$F$13,0,IF(BH$46='融资租赁与资金缺口'!$F$13,'融资租赁与资金缺口'!$E$13,IF(((YEAR(BH$46)-YEAR('融资租赁与资金缺口'!$F$13))*12+MONTH(BH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H$46)-YEAR('融资租赁与资金缺口'!$F$13))*12+MONTH(BH$46)-MONTH('融资租赁与资金缺口'!$F$13)),'融资租赁与资金缺口'!$E$13*(1+'融资租赁与资金缺口'!$I$13)^((YEAR(BH$46)-YEAR('融资租赁与资金缺口'!$F$13))*12+MONTH(BH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H$46)-YEAR('融资租赁与资金缺口'!$F$13))*12+MONTH(BH$46)-MONTH('融资租赁与资金缺口'!$F$13))-1)/'融资租赁与资金缺口'!$I$13))))),IF(BH$46&lt;'融资租赁与资金缺口'!$F$14,0,IF(BH$46='融资租赁与资金缺口'!$F$14,'融资租赁与资金缺口'!$E$14,IF(((YEAR(BH$46)-YEAR('融资租赁与资金缺口'!$F$14))*12+MONTH(BH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H$46)-YEAR('融资租赁与资金缺口'!$F$14))*12+MONTH(BH$46)-MONTH('融资租赁与资金缺口'!$F$14)),'融资租赁与资金缺口'!$E$14*(1+'融资租赁与资金缺口'!$I$14)^((YEAR(BH$46)-YEAR('融资租赁与资金缺口'!$F$14))*12+MONTH(BH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H$46)-YEAR('融资租赁与资金缺口'!$F$14))*12+MONTH(BH$46)-MONTH('融资租赁与资金缺口'!$F$14))-1)/'融资租赁与资金缺口'!$I$14))))),IF(BH$46&lt;'融资租赁与资金缺口'!$F$15,0,IF(BH$46='融资租赁与资金缺口'!$F$15,'融资租赁与资金缺口'!$E$15,IF(((YEAR(BH$46)-YEAR('融资租赁与资金缺口'!$F$15))*12+MONTH(BH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H$46)-YEAR('融资租赁与资金缺口'!$F$15))*12+MONTH(BH$46)-MONTH('融资租赁与资金缺口'!$F$15)),'融资租赁与资金缺口'!$E$15*(1+'融资租赁与资金缺口'!$I$15)^((YEAR(BH$46)-YEAR('融资租赁与资金缺口'!$F$15))*12+MONTH(BH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H$46)-YEAR('融资租赁与资金缺口'!$F$15))*12+MONTH(BH$46)-MONTH('融资租赁与资金缺口'!$F$15))-1)/'融资租赁与资金缺口'!$I$15))))),IF(BH$46&lt;'融资租赁与资金缺口'!$F$16,0,IF(BH$46='融资租赁与资金缺口'!$F$16,'融资租赁与资金缺口'!$E$16,IF(((YEAR(BH$46)-YEAR('融资租赁与资金缺口'!$F$16))*12+MONTH(BH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H$46)-YEAR('融资租赁与资金缺口'!$F$16))*12+MONTH(BH$46)-MONTH('融资租赁与资金缺口'!$F$16)),'融资租赁与资金缺口'!$E$16*(1+'融资租赁与资金缺口'!$I$16)^((YEAR(BH$46)-YEAR('融资租赁与资金缺口'!$F$16))*12+MONTH(BH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H$46)-YEAR('融资租赁与资金缺口'!$F$16))*12+MONTH(BH$46)-MONTH('融资租赁与资金缺口'!$F$16))-1)/'融资租赁与资金缺口'!$I$16))))))</x:f>
        <x:v>250421134.65020776</x:v>
      </x:c>
      <x:c r="BI58" s="28" t="n">
        <x:f>SUM(IF(BI$46&lt;'融资租赁与资金缺口'!$F$5,0,IF(BI$46='融资租赁与资金缺口'!$F$5,'融资租赁与资金缺口'!$E$5,IF(((YEAR(BI$46)-YEAR('融资租赁与资金缺口'!$F$5))*12+MONTH(BI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I$46)-YEAR('融资租赁与资金缺口'!$F$5))*12+MONTH(BI$46)-MONTH('融资租赁与资金缺口'!$F$5)),'融资租赁与资金缺口'!$E$5*(1+'融资租赁与资金缺口'!$I$5)^((YEAR(BI$46)-YEAR('融资租赁与资金缺口'!$F$5))*12+MONTH(BI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I$46)-YEAR('融资租赁与资金缺口'!$F$5))*12+MONTH(BI$46)-MONTH('融资租赁与资金缺口'!$F$5))-1)/'融资租赁与资金缺口'!$I$5))))),IF(BI$46&lt;'融资租赁与资金缺口'!$F$6,0,IF(BI$46='融资租赁与资金缺口'!$F$6,'融资租赁与资金缺口'!$E$6,IF(((YEAR(BI$46)-YEAR('融资租赁与资金缺口'!$F$6))*12+MONTH(BI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I$46)-YEAR('融资租赁与资金缺口'!$F$6))*12+MONTH(BI$46)-MONTH('融资租赁与资金缺口'!$F$6)),'融资租赁与资金缺口'!$E$6*(1+'融资租赁与资金缺口'!$I$6)^((YEAR(BI$46)-YEAR('融资租赁与资金缺口'!$F$6))*12+MONTH(BI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I$46)-YEAR('融资租赁与资金缺口'!$F$6))*12+MONTH(BI$46)-MONTH('融资租赁与资金缺口'!$F$6))-1)/'融资租赁与资金缺口'!$I$6))))),IF(BI$46&lt;'融资租赁与资金缺口'!$F$7,0,IF(BI$46='融资租赁与资金缺口'!$F$7,'融资租赁与资金缺口'!$E$7,IF(((YEAR(BI$46)-YEAR('融资租赁与资金缺口'!$F$7))*12+MONTH(BI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I$46)-YEAR('融资租赁与资金缺口'!$F$7))*12+MONTH(BI$46)-MONTH('融资租赁与资金缺口'!$F$7)),'融资租赁与资金缺口'!$E$7*(1+'融资租赁与资金缺口'!$I$7)^((YEAR(BI$46)-YEAR('融资租赁与资金缺口'!$F$7))*12+MONTH(BI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I$46)-YEAR('融资租赁与资金缺口'!$F$7))*12+MONTH(BI$46)-MONTH('融资租赁与资金缺口'!$F$7))-1)/'融资租赁与资金缺口'!$I$7))))),IF(BI$46&lt;'融资租赁与资金缺口'!$F$8,0,IF(BI$46='融资租赁与资金缺口'!$F$8,'融资租赁与资金缺口'!$E$8,IF(((YEAR(BI$46)-YEAR('融资租赁与资金缺口'!$F$8))*12+MONTH(BI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I$46)-YEAR('融资租赁与资金缺口'!$F$8))*12+MONTH(BI$46)-MONTH('融资租赁与资金缺口'!$F$8)),'融资租赁与资金缺口'!$E$8*(1+'融资租赁与资金缺口'!$I$8)^((YEAR(BI$46)-YEAR('融资租赁与资金缺口'!$F$8))*12+MONTH(BI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I$46)-YEAR('融资租赁与资金缺口'!$F$8))*12+MONTH(BI$46)-MONTH('融资租赁与资金缺口'!$F$8))-1)/'融资租赁与资金缺口'!$I$8))))),IF(BI$46&lt;'融资租赁与资金缺口'!$F$9,0,IF(BI$46='融资租赁与资金缺口'!$F$9,'融资租赁与资金缺口'!$E$9,IF(((YEAR(BI$46)-YEAR('融资租赁与资金缺口'!$F$9))*12+MONTH(BI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I$46)-YEAR('融资租赁与资金缺口'!$F$9))*12+MONTH(BI$46)-MONTH('融资租赁与资金缺口'!$F$9)),'融资租赁与资金缺口'!$E$9*(1+'融资租赁与资金缺口'!$I$9)^((YEAR(BI$46)-YEAR('融资租赁与资金缺口'!$F$9))*12+MONTH(BI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I$46)-YEAR('融资租赁与资金缺口'!$F$9))*12+MONTH(BI$46)-MONTH('融资租赁与资金缺口'!$F$9))-1)/'融资租赁与资金缺口'!$I$9))))),IF(BI$46&lt;'融资租赁与资金缺口'!$F$10,0,IF(BI$46='融资租赁与资金缺口'!$F$10,'融资租赁与资金缺口'!$E$10,IF(((YEAR(BI$46)-YEAR('融资租赁与资金缺口'!$F$10))*12+MONTH(BI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I$46)-YEAR('融资租赁与资金缺口'!$F$10))*12+MONTH(BI$46)-MONTH('融资租赁与资金缺口'!$F$10)),'融资租赁与资金缺口'!$E$10*(1+'融资租赁与资金缺口'!$I$10)^((YEAR(BI$46)-YEAR('融资租赁与资金缺口'!$F$10))*12+MONTH(BI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I$46)-YEAR('融资租赁与资金缺口'!$F$10))*12+MONTH(BI$46)-MONTH('融资租赁与资金缺口'!$F$10))-1)/'融资租赁与资金缺口'!$I$10))))),IF(BI$46&lt;'融资租赁与资金缺口'!$F$11,0,IF(BI$46='融资租赁与资金缺口'!$F$11,'融资租赁与资金缺口'!$E$11,IF(((YEAR(BI$46)-YEAR('融资租赁与资金缺口'!$F$11))*12+MONTH(BI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I$46)-YEAR('融资租赁与资金缺口'!$F$11))*12+MONTH(BI$46)-MONTH('融资租赁与资金缺口'!$F$11)),'融资租赁与资金缺口'!$E$11*(1+'融资租赁与资金缺口'!$I$11)^((YEAR(BI$46)-YEAR('融资租赁与资金缺口'!$F$11))*12+MONTH(BI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I$46)-YEAR('融资租赁与资金缺口'!$F$11))*12+MONTH(BI$46)-MONTH('融资租赁与资金缺口'!$F$11))-1)/'融资租赁与资金缺口'!$I$11))))),IF(BI$46&lt;'融资租赁与资金缺口'!$F$12,0,IF(BI$46='融资租赁与资金缺口'!$F$12,'融资租赁与资金缺口'!$E$12,IF(((YEAR(BI$46)-YEAR('融资租赁与资金缺口'!$F$12))*12+MONTH(BI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I$46)-YEAR('融资租赁与资金缺口'!$F$12))*12+MONTH(BI$46)-MONTH('融资租赁与资金缺口'!$F$12)),'融资租赁与资金缺口'!$E$12*(1+'融资租赁与资金缺口'!$I$12)^((YEAR(BI$46)-YEAR('融资租赁与资金缺口'!$F$12))*12+MONTH(BI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I$46)-YEAR('融资租赁与资金缺口'!$F$12))*12+MONTH(BI$46)-MONTH('融资租赁与资金缺口'!$F$12))-1)/'融资租赁与资金缺口'!$I$12))))),IF(BI$46&lt;'融资租赁与资金缺口'!$F$13,0,IF(BI$46='融资租赁与资金缺口'!$F$13,'融资租赁与资金缺口'!$E$13,IF(((YEAR(BI$46)-YEAR('融资租赁与资金缺口'!$F$13))*12+MONTH(BI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I$46)-YEAR('融资租赁与资金缺口'!$F$13))*12+MONTH(BI$46)-MONTH('融资租赁与资金缺口'!$F$13)),'融资租赁与资金缺口'!$E$13*(1+'融资租赁与资金缺口'!$I$13)^((YEAR(BI$46)-YEAR('融资租赁与资金缺口'!$F$13))*12+MONTH(BI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I$46)-YEAR('融资租赁与资金缺口'!$F$13))*12+MONTH(BI$46)-MONTH('融资租赁与资金缺口'!$F$13))-1)/'融资租赁与资金缺口'!$I$13))))),IF(BI$46&lt;'融资租赁与资金缺口'!$F$14,0,IF(BI$46='融资租赁与资金缺口'!$F$14,'融资租赁与资金缺口'!$E$14,IF(((YEAR(BI$46)-YEAR('融资租赁与资金缺口'!$F$14))*12+MONTH(BI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I$46)-YEAR('融资租赁与资金缺口'!$F$14))*12+MONTH(BI$46)-MONTH('融资租赁与资金缺口'!$F$14)),'融资租赁与资金缺口'!$E$14*(1+'融资租赁与资金缺口'!$I$14)^((YEAR(BI$46)-YEAR('融资租赁与资金缺口'!$F$14))*12+MONTH(BI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I$46)-YEAR('融资租赁与资金缺口'!$F$14))*12+MONTH(BI$46)-MONTH('融资租赁与资金缺口'!$F$14))-1)/'融资租赁与资金缺口'!$I$14))))),IF(BI$46&lt;'融资租赁与资金缺口'!$F$15,0,IF(BI$46='融资租赁与资金缺口'!$F$15,'融资租赁与资金缺口'!$E$15,IF(((YEAR(BI$46)-YEAR('融资租赁与资金缺口'!$F$15))*12+MONTH(BI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I$46)-YEAR('融资租赁与资金缺口'!$F$15))*12+MONTH(BI$46)-MONTH('融资租赁与资金缺口'!$F$15)),'融资租赁与资金缺口'!$E$15*(1+'融资租赁与资金缺口'!$I$15)^((YEAR(BI$46)-YEAR('融资租赁与资金缺口'!$F$15))*12+MONTH(BI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I$46)-YEAR('融资租赁与资金缺口'!$F$15))*12+MONTH(BI$46)-MONTH('融资租赁与资金缺口'!$F$15))-1)/'融资租赁与资金缺口'!$I$15))))),IF(BI$46&lt;'融资租赁与资金缺口'!$F$16,0,IF(BI$46='融资租赁与资金缺口'!$F$16,'融资租赁与资金缺口'!$E$16,IF(((YEAR(BI$46)-YEAR('融资租赁与资金缺口'!$F$16))*12+MONTH(BI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I$46)-YEAR('融资租赁与资金缺口'!$F$16))*12+MONTH(BI$46)-MONTH('融资租赁与资金缺口'!$F$16)),'融资租赁与资金缺口'!$E$16*(1+'融资租赁与资金缺口'!$I$16)^((YEAR(BI$46)-YEAR('融资租赁与资金缺口'!$F$16))*12+MONTH(BI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I$46)-YEAR('融资租赁与资金缺口'!$F$16))*12+MONTH(BI$46)-MONTH('融资租赁与资金缺口'!$F$16))-1)/'融资租赁与资金缺口'!$I$16))))))</x:f>
        <x:v>235199591.99956572</x:v>
      </x:c>
      <x:c r="BJ58" s="28" t="n">
        <x:f>SUM(IF(BJ$46&lt;'融资租赁与资金缺口'!$F$5,0,IF(BJ$46='融资租赁与资金缺口'!$F$5,'融资租赁与资金缺口'!$E$5,IF(((YEAR(BJ$46)-YEAR('融资租赁与资金缺口'!$F$5))*12+MONTH(BJ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J$46)-YEAR('融资租赁与资金缺口'!$F$5))*12+MONTH(BJ$46)-MONTH('融资租赁与资金缺口'!$F$5)),'融资租赁与资金缺口'!$E$5*(1+'融资租赁与资金缺口'!$I$5)^((YEAR(BJ$46)-YEAR('融资租赁与资金缺口'!$F$5))*12+MONTH(BJ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J$46)-YEAR('融资租赁与资金缺口'!$F$5))*12+MONTH(BJ$46)-MONTH('融资租赁与资金缺口'!$F$5))-1)/'融资租赁与资金缺口'!$I$5))))),IF(BJ$46&lt;'融资租赁与资金缺口'!$F$6,0,IF(BJ$46='融资租赁与资金缺口'!$F$6,'融资租赁与资金缺口'!$E$6,IF(((YEAR(BJ$46)-YEAR('融资租赁与资金缺口'!$F$6))*12+MONTH(BJ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J$46)-YEAR('融资租赁与资金缺口'!$F$6))*12+MONTH(BJ$46)-MONTH('融资租赁与资金缺口'!$F$6)),'融资租赁与资金缺口'!$E$6*(1+'融资租赁与资金缺口'!$I$6)^((YEAR(BJ$46)-YEAR('融资租赁与资金缺口'!$F$6))*12+MONTH(BJ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J$46)-YEAR('融资租赁与资金缺口'!$F$6))*12+MONTH(BJ$46)-MONTH('融资租赁与资金缺口'!$F$6))-1)/'融资租赁与资金缺口'!$I$6))))),IF(BJ$46&lt;'融资租赁与资金缺口'!$F$7,0,IF(BJ$46='融资租赁与资金缺口'!$F$7,'融资租赁与资金缺口'!$E$7,IF(((YEAR(BJ$46)-YEAR('融资租赁与资金缺口'!$F$7))*12+MONTH(BJ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J$46)-YEAR('融资租赁与资金缺口'!$F$7))*12+MONTH(BJ$46)-MONTH('融资租赁与资金缺口'!$F$7)),'融资租赁与资金缺口'!$E$7*(1+'融资租赁与资金缺口'!$I$7)^((YEAR(BJ$46)-YEAR('融资租赁与资金缺口'!$F$7))*12+MONTH(BJ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J$46)-YEAR('融资租赁与资金缺口'!$F$7))*12+MONTH(BJ$46)-MONTH('融资租赁与资金缺口'!$F$7))-1)/'融资租赁与资金缺口'!$I$7))))),IF(BJ$46&lt;'融资租赁与资金缺口'!$F$8,0,IF(BJ$46='融资租赁与资金缺口'!$F$8,'融资租赁与资金缺口'!$E$8,IF(((YEAR(BJ$46)-YEAR('融资租赁与资金缺口'!$F$8))*12+MONTH(BJ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J$46)-YEAR('融资租赁与资金缺口'!$F$8))*12+MONTH(BJ$46)-MONTH('融资租赁与资金缺口'!$F$8)),'融资租赁与资金缺口'!$E$8*(1+'融资租赁与资金缺口'!$I$8)^((YEAR(BJ$46)-YEAR('融资租赁与资金缺口'!$F$8))*12+MONTH(BJ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J$46)-YEAR('融资租赁与资金缺口'!$F$8))*12+MONTH(BJ$46)-MONTH('融资租赁与资金缺口'!$F$8))-1)/'融资租赁与资金缺口'!$I$8))))),IF(BJ$46&lt;'融资租赁与资金缺口'!$F$9,0,IF(BJ$46='融资租赁与资金缺口'!$F$9,'融资租赁与资金缺口'!$E$9,IF(((YEAR(BJ$46)-YEAR('融资租赁与资金缺口'!$F$9))*12+MONTH(BJ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J$46)-YEAR('融资租赁与资金缺口'!$F$9))*12+MONTH(BJ$46)-MONTH('融资租赁与资金缺口'!$F$9)),'融资租赁与资金缺口'!$E$9*(1+'融资租赁与资金缺口'!$I$9)^((YEAR(BJ$46)-YEAR('融资租赁与资金缺口'!$F$9))*12+MONTH(BJ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J$46)-YEAR('融资租赁与资金缺口'!$F$9))*12+MONTH(BJ$46)-MONTH('融资租赁与资金缺口'!$F$9))-1)/'融资租赁与资金缺口'!$I$9))))),IF(BJ$46&lt;'融资租赁与资金缺口'!$F$10,0,IF(BJ$46='融资租赁与资金缺口'!$F$10,'融资租赁与资金缺口'!$E$10,IF(((YEAR(BJ$46)-YEAR('融资租赁与资金缺口'!$F$10))*12+MONTH(BJ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J$46)-YEAR('融资租赁与资金缺口'!$F$10))*12+MONTH(BJ$46)-MONTH('融资租赁与资金缺口'!$F$10)),'融资租赁与资金缺口'!$E$10*(1+'融资租赁与资金缺口'!$I$10)^((YEAR(BJ$46)-YEAR('融资租赁与资金缺口'!$F$10))*12+MONTH(BJ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J$46)-YEAR('融资租赁与资金缺口'!$F$10))*12+MONTH(BJ$46)-MONTH('融资租赁与资金缺口'!$F$10))-1)/'融资租赁与资金缺口'!$I$10))))),IF(BJ$46&lt;'融资租赁与资金缺口'!$F$11,0,IF(BJ$46='融资租赁与资金缺口'!$F$11,'融资租赁与资金缺口'!$E$11,IF(((YEAR(BJ$46)-YEAR('融资租赁与资金缺口'!$F$11))*12+MONTH(BJ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J$46)-YEAR('融资租赁与资金缺口'!$F$11))*12+MONTH(BJ$46)-MONTH('融资租赁与资金缺口'!$F$11)),'融资租赁与资金缺口'!$E$11*(1+'融资租赁与资金缺口'!$I$11)^((YEAR(BJ$46)-YEAR('融资租赁与资金缺口'!$F$11))*12+MONTH(BJ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J$46)-YEAR('融资租赁与资金缺口'!$F$11))*12+MONTH(BJ$46)-MONTH('融资租赁与资金缺口'!$F$11))-1)/'融资租赁与资金缺口'!$I$11))))),IF(BJ$46&lt;'融资租赁与资金缺口'!$F$12,0,IF(BJ$46='融资租赁与资金缺口'!$F$12,'融资租赁与资金缺口'!$E$12,IF(((YEAR(BJ$46)-YEAR('融资租赁与资金缺口'!$F$12))*12+MONTH(BJ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J$46)-YEAR('融资租赁与资金缺口'!$F$12))*12+MONTH(BJ$46)-MONTH('融资租赁与资金缺口'!$F$12)),'融资租赁与资金缺口'!$E$12*(1+'融资租赁与资金缺口'!$I$12)^((YEAR(BJ$46)-YEAR('融资租赁与资金缺口'!$F$12))*12+MONTH(BJ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J$46)-YEAR('融资租赁与资金缺口'!$F$12))*12+MONTH(BJ$46)-MONTH('融资租赁与资金缺口'!$F$12))-1)/'融资租赁与资金缺口'!$I$12))))),IF(BJ$46&lt;'融资租赁与资金缺口'!$F$13,0,IF(BJ$46='融资租赁与资金缺口'!$F$13,'融资租赁与资金缺口'!$E$13,IF(((YEAR(BJ$46)-YEAR('融资租赁与资金缺口'!$F$13))*12+MONTH(BJ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J$46)-YEAR('融资租赁与资金缺口'!$F$13))*12+MONTH(BJ$46)-MONTH('融资租赁与资金缺口'!$F$13)),'融资租赁与资金缺口'!$E$13*(1+'融资租赁与资金缺口'!$I$13)^((YEAR(BJ$46)-YEAR('融资租赁与资金缺口'!$F$13))*12+MONTH(BJ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J$46)-YEAR('融资租赁与资金缺口'!$F$13))*12+MONTH(BJ$46)-MONTH('融资租赁与资金缺口'!$F$13))-1)/'融资租赁与资金缺口'!$I$13))))),IF(BJ$46&lt;'融资租赁与资金缺口'!$F$14,0,IF(BJ$46='融资租赁与资金缺口'!$F$14,'融资租赁与资金缺口'!$E$14,IF(((YEAR(BJ$46)-YEAR('融资租赁与资金缺口'!$F$14))*12+MONTH(BJ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J$46)-YEAR('融资租赁与资金缺口'!$F$14))*12+MONTH(BJ$46)-MONTH('融资租赁与资金缺口'!$F$14)),'融资租赁与资金缺口'!$E$14*(1+'融资租赁与资金缺口'!$I$14)^((YEAR(BJ$46)-YEAR('融资租赁与资金缺口'!$F$14))*12+MONTH(BJ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J$46)-YEAR('融资租赁与资金缺口'!$F$14))*12+MONTH(BJ$46)-MONTH('融资租赁与资金缺口'!$F$14))-1)/'融资租赁与资金缺口'!$I$14))))),IF(BJ$46&lt;'融资租赁与资金缺口'!$F$15,0,IF(BJ$46='融资租赁与资金缺口'!$F$15,'融资租赁与资金缺口'!$E$15,IF(((YEAR(BJ$46)-YEAR('融资租赁与资金缺口'!$F$15))*12+MONTH(BJ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J$46)-YEAR('融资租赁与资金缺口'!$F$15))*12+MONTH(BJ$46)-MONTH('融资租赁与资金缺口'!$F$15)),'融资租赁与资金缺口'!$E$15*(1+'融资租赁与资金缺口'!$I$15)^((YEAR(BJ$46)-YEAR('融资租赁与资金缺口'!$F$15))*12+MONTH(BJ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J$46)-YEAR('融资租赁与资金缺口'!$F$15))*12+MONTH(BJ$46)-MONTH('融资租赁与资金缺口'!$F$15))-1)/'融资租赁与资金缺口'!$I$15))))),IF(BJ$46&lt;'融资租赁与资金缺口'!$F$16,0,IF(BJ$46='融资租赁与资金缺口'!$F$16,'融资租赁与资金缺口'!$E$16,IF(((YEAR(BJ$46)-YEAR('融资租赁与资金缺口'!$F$16))*12+MONTH(BJ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J$46)-YEAR('融资租赁与资金缺口'!$F$16))*12+MONTH(BJ$46)-MONTH('融资租赁与资金缺口'!$F$16)),'融资租赁与资金缺口'!$E$16*(1+'融资租赁与资金缺口'!$I$16)^((YEAR(BJ$46)-YEAR('融资租赁与资金缺口'!$F$16))*12+MONTH(BJ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J$46)-YEAR('融资租赁与资金缺口'!$F$16))*12+MONTH(BJ$46)-MONTH('融资租赁与资金缺口'!$F$16))-1)/'融资租赁与资金缺口'!$I$16))))))</x:f>
        <x:v>219876572.39791936</x:v>
      </x:c>
      <x:c r="BK58" s="28" t="n">
        <x:f>SUM(IF(BK$46&lt;'融资租赁与资金缺口'!$F$5,0,IF(BK$46='融资租赁与资金缺口'!$F$5,'融资租赁与资金缺口'!$E$5,IF(((YEAR(BK$46)-YEAR('融资租赁与资金缺口'!$F$5))*12+MONTH(BK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K$46)-YEAR('融资租赁与资金缺口'!$F$5))*12+MONTH(BK$46)-MONTH('融资租赁与资金缺口'!$F$5)),'融资租赁与资金缺口'!$E$5*(1+'融资租赁与资金缺口'!$I$5)^((YEAR(BK$46)-YEAR('融资租赁与资金缺口'!$F$5))*12+MONTH(BK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K$46)-YEAR('融资租赁与资金缺口'!$F$5))*12+MONTH(BK$46)-MONTH('融资租赁与资金缺口'!$F$5))-1)/'融资租赁与资金缺口'!$I$5))))),IF(BK$46&lt;'融资租赁与资金缺口'!$F$6,0,IF(BK$46='融资租赁与资金缺口'!$F$6,'融资租赁与资金缺口'!$E$6,IF(((YEAR(BK$46)-YEAR('融资租赁与资金缺口'!$F$6))*12+MONTH(BK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K$46)-YEAR('融资租赁与资金缺口'!$F$6))*12+MONTH(BK$46)-MONTH('融资租赁与资金缺口'!$F$6)),'融资租赁与资金缺口'!$E$6*(1+'融资租赁与资金缺口'!$I$6)^((YEAR(BK$46)-YEAR('融资租赁与资金缺口'!$F$6))*12+MONTH(BK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K$46)-YEAR('融资租赁与资金缺口'!$F$6))*12+MONTH(BK$46)-MONTH('融资租赁与资金缺口'!$F$6))-1)/'融资租赁与资金缺口'!$I$6))))),IF(BK$46&lt;'融资租赁与资金缺口'!$F$7,0,IF(BK$46='融资租赁与资金缺口'!$F$7,'融资租赁与资金缺口'!$E$7,IF(((YEAR(BK$46)-YEAR('融资租赁与资金缺口'!$F$7))*12+MONTH(BK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K$46)-YEAR('融资租赁与资金缺口'!$F$7))*12+MONTH(BK$46)-MONTH('融资租赁与资金缺口'!$F$7)),'融资租赁与资金缺口'!$E$7*(1+'融资租赁与资金缺口'!$I$7)^((YEAR(BK$46)-YEAR('融资租赁与资金缺口'!$F$7))*12+MONTH(BK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K$46)-YEAR('融资租赁与资金缺口'!$F$7))*12+MONTH(BK$46)-MONTH('融资租赁与资金缺口'!$F$7))-1)/'融资租赁与资金缺口'!$I$7))))),IF(BK$46&lt;'融资租赁与资金缺口'!$F$8,0,IF(BK$46='融资租赁与资金缺口'!$F$8,'融资租赁与资金缺口'!$E$8,IF(((YEAR(BK$46)-YEAR('融资租赁与资金缺口'!$F$8))*12+MONTH(BK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K$46)-YEAR('融资租赁与资金缺口'!$F$8))*12+MONTH(BK$46)-MONTH('融资租赁与资金缺口'!$F$8)),'融资租赁与资金缺口'!$E$8*(1+'融资租赁与资金缺口'!$I$8)^((YEAR(BK$46)-YEAR('融资租赁与资金缺口'!$F$8))*12+MONTH(BK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K$46)-YEAR('融资租赁与资金缺口'!$F$8))*12+MONTH(BK$46)-MONTH('融资租赁与资金缺口'!$F$8))-1)/'融资租赁与资金缺口'!$I$8))))),IF(BK$46&lt;'融资租赁与资金缺口'!$F$9,0,IF(BK$46='融资租赁与资金缺口'!$F$9,'融资租赁与资金缺口'!$E$9,IF(((YEAR(BK$46)-YEAR('融资租赁与资金缺口'!$F$9))*12+MONTH(BK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K$46)-YEAR('融资租赁与资金缺口'!$F$9))*12+MONTH(BK$46)-MONTH('融资租赁与资金缺口'!$F$9)),'融资租赁与资金缺口'!$E$9*(1+'融资租赁与资金缺口'!$I$9)^((YEAR(BK$46)-YEAR('融资租赁与资金缺口'!$F$9))*12+MONTH(BK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K$46)-YEAR('融资租赁与资金缺口'!$F$9))*12+MONTH(BK$46)-MONTH('融资租赁与资金缺口'!$F$9))-1)/'融资租赁与资金缺口'!$I$9))))),IF(BK$46&lt;'融资租赁与资金缺口'!$F$10,0,IF(BK$46='融资租赁与资金缺口'!$F$10,'融资租赁与资金缺口'!$E$10,IF(((YEAR(BK$46)-YEAR('融资租赁与资金缺口'!$F$10))*12+MONTH(BK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K$46)-YEAR('融资租赁与资金缺口'!$F$10))*12+MONTH(BK$46)-MONTH('融资租赁与资金缺口'!$F$10)),'融资租赁与资金缺口'!$E$10*(1+'融资租赁与资金缺口'!$I$10)^((YEAR(BK$46)-YEAR('融资租赁与资金缺口'!$F$10))*12+MONTH(BK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K$46)-YEAR('融资租赁与资金缺口'!$F$10))*12+MONTH(BK$46)-MONTH('融资租赁与资金缺口'!$F$10))-1)/'融资租赁与资金缺口'!$I$10))))),IF(BK$46&lt;'融资租赁与资金缺口'!$F$11,0,IF(BK$46='融资租赁与资金缺口'!$F$11,'融资租赁与资金缺口'!$E$11,IF(((YEAR(BK$46)-YEAR('融资租赁与资金缺口'!$F$11))*12+MONTH(BK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K$46)-YEAR('融资租赁与资金缺口'!$F$11))*12+MONTH(BK$46)-MONTH('融资租赁与资金缺口'!$F$11)),'融资租赁与资金缺口'!$E$11*(1+'融资租赁与资金缺口'!$I$11)^((YEAR(BK$46)-YEAR('融资租赁与资金缺口'!$F$11))*12+MONTH(BK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K$46)-YEAR('融资租赁与资金缺口'!$F$11))*12+MONTH(BK$46)-MONTH('融资租赁与资金缺口'!$F$11))-1)/'融资租赁与资金缺口'!$I$11))))),IF(BK$46&lt;'融资租赁与资金缺口'!$F$12,0,IF(BK$46='融资租赁与资金缺口'!$F$12,'融资租赁与资金缺口'!$E$12,IF(((YEAR(BK$46)-YEAR('融资租赁与资金缺口'!$F$12))*12+MONTH(BK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K$46)-YEAR('融资租赁与资金缺口'!$F$12))*12+MONTH(BK$46)-MONTH('融资租赁与资金缺口'!$F$12)),'融资租赁与资金缺口'!$E$12*(1+'融资租赁与资金缺口'!$I$12)^((YEAR(BK$46)-YEAR('融资租赁与资金缺口'!$F$12))*12+MONTH(BK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K$46)-YEAR('融资租赁与资金缺口'!$F$12))*12+MONTH(BK$46)-MONTH('融资租赁与资金缺口'!$F$12))-1)/'融资租赁与资金缺口'!$I$12))))),IF(BK$46&lt;'融资租赁与资金缺口'!$F$13,0,IF(BK$46='融资租赁与资金缺口'!$F$13,'融资租赁与资金缺口'!$E$13,IF(((YEAR(BK$46)-YEAR('融资租赁与资金缺口'!$F$13))*12+MONTH(BK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K$46)-YEAR('融资租赁与资金缺口'!$F$13))*12+MONTH(BK$46)-MONTH('融资租赁与资金缺口'!$F$13)),'融资租赁与资金缺口'!$E$13*(1+'融资租赁与资金缺口'!$I$13)^((YEAR(BK$46)-YEAR('融资租赁与资金缺口'!$F$13))*12+MONTH(BK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K$46)-YEAR('融资租赁与资金缺口'!$F$13))*12+MONTH(BK$46)-MONTH('融资租赁与资金缺口'!$F$13))-1)/'融资租赁与资金缺口'!$I$13))))),IF(BK$46&lt;'融资租赁与资金缺口'!$F$14,0,IF(BK$46='融资租赁与资金缺口'!$F$14,'融资租赁与资金缺口'!$E$14,IF(((YEAR(BK$46)-YEAR('融资租赁与资金缺口'!$F$14))*12+MONTH(BK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K$46)-YEAR('融资租赁与资金缺口'!$F$14))*12+MONTH(BK$46)-MONTH('融资租赁与资金缺口'!$F$14)),'融资租赁与资金缺口'!$E$14*(1+'融资租赁与资金缺口'!$I$14)^((YEAR(BK$46)-YEAR('融资租赁与资金缺口'!$F$14))*12+MONTH(BK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K$46)-YEAR('融资租赁与资金缺口'!$F$14))*12+MONTH(BK$46)-MONTH('融资租赁与资金缺口'!$F$14))-1)/'融资租赁与资金缺口'!$I$14))))),IF(BK$46&lt;'融资租赁与资金缺口'!$F$15,0,IF(BK$46='融资租赁与资金缺口'!$F$15,'融资租赁与资金缺口'!$E$15,IF(((YEAR(BK$46)-YEAR('融资租赁与资金缺口'!$F$15))*12+MONTH(BK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K$46)-YEAR('融资租赁与资金缺口'!$F$15))*12+MONTH(BK$46)-MONTH('融资租赁与资金缺口'!$F$15)),'融资租赁与资金缺口'!$E$15*(1+'融资租赁与资金缺口'!$I$15)^((YEAR(BK$46)-YEAR('融资租赁与资金缺口'!$F$15))*12+MONTH(BK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K$46)-YEAR('融资租赁与资金缺口'!$F$15))*12+MONTH(BK$46)-MONTH('融资租赁与资金缺口'!$F$15))-1)/'融资租赁与资金缺口'!$I$15))))),IF(BK$46&lt;'融资租赁与资金缺口'!$F$16,0,IF(BK$46='融资租赁与资金缺口'!$F$16,'融资租赁与资金缺口'!$E$16,IF(((YEAR(BK$46)-YEAR('融资租赁与资金缺口'!$F$16))*12+MONTH(BK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K$46)-YEAR('融资租赁与资金缺口'!$F$16))*12+MONTH(BK$46)-MONTH('融资租赁与资金缺口'!$F$16)),'融资租赁与资金缺口'!$E$16*(1+'融资租赁与资金缺口'!$I$16)^((YEAR(BK$46)-YEAR('融资租赁与资金缺口'!$F$16))*12+MONTH(BK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K$46)-YEAR('融资租赁与资金缺口'!$F$16))*12+MONTH(BK$46)-MONTH('融资租赁与资金缺口'!$F$16))-1)/'融资租赁与资金缺口'!$I$16))))))</x:f>
        <x:v>204451399.33226207</x:v>
      </x:c>
      <x:c r="BL58" s="28" t="n">
        <x:f>SUM(IF(BL$46&lt;'融资租赁与资金缺口'!$F$5,0,IF(BL$46='融资租赁与资金缺口'!$F$5,'融资租赁与资金缺口'!$E$5,IF(((YEAR(BL$46)-YEAR('融资租赁与资金缺口'!$F$5))*12+MONTH(BL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L$46)-YEAR('融资租赁与资金缺口'!$F$5))*12+MONTH(BL$46)-MONTH('融资租赁与资金缺口'!$F$5)),'融资租赁与资金缺口'!$E$5*(1+'融资租赁与资金缺口'!$I$5)^((YEAR(BL$46)-YEAR('融资租赁与资金缺口'!$F$5))*12+MONTH(BL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L$46)-YEAR('融资租赁与资金缺口'!$F$5))*12+MONTH(BL$46)-MONTH('融资租赁与资金缺口'!$F$5))-1)/'融资租赁与资金缺口'!$I$5))))),IF(BL$46&lt;'融资租赁与资金缺口'!$F$6,0,IF(BL$46='融资租赁与资金缺口'!$F$6,'融资租赁与资金缺口'!$E$6,IF(((YEAR(BL$46)-YEAR('融资租赁与资金缺口'!$F$6))*12+MONTH(BL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L$46)-YEAR('融资租赁与资金缺口'!$F$6))*12+MONTH(BL$46)-MONTH('融资租赁与资金缺口'!$F$6)),'融资租赁与资金缺口'!$E$6*(1+'融资租赁与资金缺口'!$I$6)^((YEAR(BL$46)-YEAR('融资租赁与资金缺口'!$F$6))*12+MONTH(BL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L$46)-YEAR('融资租赁与资金缺口'!$F$6))*12+MONTH(BL$46)-MONTH('融资租赁与资金缺口'!$F$6))-1)/'融资租赁与资金缺口'!$I$6))))),IF(BL$46&lt;'融资租赁与资金缺口'!$F$7,0,IF(BL$46='融资租赁与资金缺口'!$F$7,'融资租赁与资金缺口'!$E$7,IF(((YEAR(BL$46)-YEAR('融资租赁与资金缺口'!$F$7))*12+MONTH(BL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L$46)-YEAR('融资租赁与资金缺口'!$F$7))*12+MONTH(BL$46)-MONTH('融资租赁与资金缺口'!$F$7)),'融资租赁与资金缺口'!$E$7*(1+'融资租赁与资金缺口'!$I$7)^((YEAR(BL$46)-YEAR('融资租赁与资金缺口'!$F$7))*12+MONTH(BL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L$46)-YEAR('融资租赁与资金缺口'!$F$7))*12+MONTH(BL$46)-MONTH('融资租赁与资金缺口'!$F$7))-1)/'融资租赁与资金缺口'!$I$7))))),IF(BL$46&lt;'融资租赁与资金缺口'!$F$8,0,IF(BL$46='融资租赁与资金缺口'!$F$8,'融资租赁与资金缺口'!$E$8,IF(((YEAR(BL$46)-YEAR('融资租赁与资金缺口'!$F$8))*12+MONTH(BL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L$46)-YEAR('融资租赁与资金缺口'!$F$8))*12+MONTH(BL$46)-MONTH('融资租赁与资金缺口'!$F$8)),'融资租赁与资金缺口'!$E$8*(1+'融资租赁与资金缺口'!$I$8)^((YEAR(BL$46)-YEAR('融资租赁与资金缺口'!$F$8))*12+MONTH(BL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L$46)-YEAR('融资租赁与资金缺口'!$F$8))*12+MONTH(BL$46)-MONTH('融资租赁与资金缺口'!$F$8))-1)/'融资租赁与资金缺口'!$I$8))))),IF(BL$46&lt;'融资租赁与资金缺口'!$F$9,0,IF(BL$46='融资租赁与资金缺口'!$F$9,'融资租赁与资金缺口'!$E$9,IF(((YEAR(BL$46)-YEAR('融资租赁与资金缺口'!$F$9))*12+MONTH(BL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L$46)-YEAR('融资租赁与资金缺口'!$F$9))*12+MONTH(BL$46)-MONTH('融资租赁与资金缺口'!$F$9)),'融资租赁与资金缺口'!$E$9*(1+'融资租赁与资金缺口'!$I$9)^((YEAR(BL$46)-YEAR('融资租赁与资金缺口'!$F$9))*12+MONTH(BL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L$46)-YEAR('融资租赁与资金缺口'!$F$9))*12+MONTH(BL$46)-MONTH('融资租赁与资金缺口'!$F$9))-1)/'融资租赁与资金缺口'!$I$9))))),IF(BL$46&lt;'融资租赁与资金缺口'!$F$10,0,IF(BL$46='融资租赁与资金缺口'!$F$10,'融资租赁与资金缺口'!$E$10,IF(((YEAR(BL$46)-YEAR('融资租赁与资金缺口'!$F$10))*12+MONTH(BL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L$46)-YEAR('融资租赁与资金缺口'!$F$10))*12+MONTH(BL$46)-MONTH('融资租赁与资金缺口'!$F$10)),'融资租赁与资金缺口'!$E$10*(1+'融资租赁与资金缺口'!$I$10)^((YEAR(BL$46)-YEAR('融资租赁与资金缺口'!$F$10))*12+MONTH(BL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L$46)-YEAR('融资租赁与资金缺口'!$F$10))*12+MONTH(BL$46)-MONTH('融资租赁与资金缺口'!$F$10))-1)/'融资租赁与资金缺口'!$I$10))))),IF(BL$46&lt;'融资租赁与资金缺口'!$F$11,0,IF(BL$46='融资租赁与资金缺口'!$F$11,'融资租赁与资金缺口'!$E$11,IF(((YEAR(BL$46)-YEAR('融资租赁与资金缺口'!$F$11))*12+MONTH(BL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L$46)-YEAR('融资租赁与资金缺口'!$F$11))*12+MONTH(BL$46)-MONTH('融资租赁与资金缺口'!$F$11)),'融资租赁与资金缺口'!$E$11*(1+'融资租赁与资金缺口'!$I$11)^((YEAR(BL$46)-YEAR('融资租赁与资金缺口'!$F$11))*12+MONTH(BL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L$46)-YEAR('融资租赁与资金缺口'!$F$11))*12+MONTH(BL$46)-MONTH('融资租赁与资金缺口'!$F$11))-1)/'融资租赁与资金缺口'!$I$11))))),IF(BL$46&lt;'融资租赁与资金缺口'!$F$12,0,IF(BL$46='融资租赁与资金缺口'!$F$12,'融资租赁与资金缺口'!$E$12,IF(((YEAR(BL$46)-YEAR('融资租赁与资金缺口'!$F$12))*12+MONTH(BL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L$46)-YEAR('融资租赁与资金缺口'!$F$12))*12+MONTH(BL$46)-MONTH('融资租赁与资金缺口'!$F$12)),'融资租赁与资金缺口'!$E$12*(1+'融资租赁与资金缺口'!$I$12)^((YEAR(BL$46)-YEAR('融资租赁与资金缺口'!$F$12))*12+MONTH(BL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L$46)-YEAR('融资租赁与资金缺口'!$F$12))*12+MONTH(BL$46)-MONTH('融资租赁与资金缺口'!$F$12))-1)/'融资租赁与资金缺口'!$I$12))))),IF(BL$46&lt;'融资租赁与资金缺口'!$F$13,0,IF(BL$46='融资租赁与资金缺口'!$F$13,'融资租赁与资金缺口'!$E$13,IF(((YEAR(BL$46)-YEAR('融资租赁与资金缺口'!$F$13))*12+MONTH(BL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L$46)-YEAR('融资租赁与资金缺口'!$F$13))*12+MONTH(BL$46)-MONTH('融资租赁与资金缺口'!$F$13)),'融资租赁与资金缺口'!$E$13*(1+'融资租赁与资金缺口'!$I$13)^((YEAR(BL$46)-YEAR('融资租赁与资金缺口'!$F$13))*12+MONTH(BL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L$46)-YEAR('融资租赁与资金缺口'!$F$13))*12+MONTH(BL$46)-MONTH('融资租赁与资金缺口'!$F$13))-1)/'融资租赁与资金缺口'!$I$13))))),IF(BL$46&lt;'融资租赁与资金缺口'!$F$14,0,IF(BL$46='融资租赁与资金缺口'!$F$14,'融资租赁与资金缺口'!$E$14,IF(((YEAR(BL$46)-YEAR('融资租赁与资金缺口'!$F$14))*12+MONTH(BL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L$46)-YEAR('融资租赁与资金缺口'!$F$14))*12+MONTH(BL$46)-MONTH('融资租赁与资金缺口'!$F$14)),'融资租赁与资金缺口'!$E$14*(1+'融资租赁与资金缺口'!$I$14)^((YEAR(BL$46)-YEAR('融资租赁与资金缺口'!$F$14))*12+MONTH(BL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L$46)-YEAR('融资租赁与资金缺口'!$F$14))*12+MONTH(BL$46)-MONTH('融资租赁与资金缺口'!$F$14))-1)/'融资租赁与资金缺口'!$I$14))))),IF(BL$46&lt;'融资租赁与资金缺口'!$F$15,0,IF(BL$46='融资租赁与资金缺口'!$F$15,'融资租赁与资金缺口'!$E$15,IF(((YEAR(BL$46)-YEAR('融资租赁与资金缺口'!$F$15))*12+MONTH(BL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L$46)-YEAR('融资租赁与资金缺口'!$F$15))*12+MONTH(BL$46)-MONTH('融资租赁与资金缺口'!$F$15)),'融资租赁与资金缺口'!$E$15*(1+'融资租赁与资金缺口'!$I$15)^((YEAR(BL$46)-YEAR('融资租赁与资金缺口'!$F$15))*12+MONTH(BL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L$46)-YEAR('融资租赁与资金缺口'!$F$15))*12+MONTH(BL$46)-MONTH('融资租赁与资金缺口'!$F$15))-1)/'融资租赁与资金缺口'!$I$15))))),IF(BL$46&lt;'融资租赁与资金缺口'!$F$16,0,IF(BL$46='融资租赁与资金缺口'!$F$16,'融资租赁与资金缺口'!$E$16,IF(((YEAR(BL$46)-YEAR('融资租赁与资金缺口'!$F$16))*12+MONTH(BL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L$46)-YEAR('融资租赁与资金缺口'!$F$16))*12+MONTH(BL$46)-MONTH('融资租赁与资金缺口'!$F$16)),'融资租赁与资金缺口'!$E$16*(1+'融资租赁与资金缺口'!$I$16)^((YEAR(BL$46)-YEAR('融资租赁与资金缺口'!$F$16))*12+MONTH(BL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L$46)-YEAR('融资租赁与资金缺口'!$F$16))*12+MONTH(BL$46)-MONTH('融资租赁与资金缺口'!$F$16))-1)/'融资租赁与资金缺口'!$I$16))))))</x:f>
        <x:v>188923391.77950042</x:v>
      </x:c>
      <x:c r="BM58" s="28" t="n">
        <x:f>SUM(IF(BM$46&lt;'融资租赁与资金缺口'!$F$5,0,IF(BM$46='融资租赁与资金缺口'!$F$5,'融资租赁与资金缺口'!$E$5,IF(((YEAR(BM$46)-YEAR('融资租赁与资金缺口'!$F$5))*12+MONTH(BM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M$46)-YEAR('融资租赁与资金缺口'!$F$5))*12+MONTH(BM$46)-MONTH('融资租赁与资金缺口'!$F$5)),'融资租赁与资金缺口'!$E$5*(1+'融资租赁与资金缺口'!$I$5)^((YEAR(BM$46)-YEAR('融资租赁与资金缺口'!$F$5))*12+MONTH(BM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M$46)-YEAR('融资租赁与资金缺口'!$F$5))*12+MONTH(BM$46)-MONTH('融资租赁与资金缺口'!$F$5))-1)/'融资租赁与资金缺口'!$I$5))))),IF(BM$46&lt;'融资租赁与资金缺口'!$F$6,0,IF(BM$46='融资租赁与资金缺口'!$F$6,'融资租赁与资金缺口'!$E$6,IF(((YEAR(BM$46)-YEAR('融资租赁与资金缺口'!$F$6))*12+MONTH(BM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M$46)-YEAR('融资租赁与资金缺口'!$F$6))*12+MONTH(BM$46)-MONTH('融资租赁与资金缺口'!$F$6)),'融资租赁与资金缺口'!$E$6*(1+'融资租赁与资金缺口'!$I$6)^((YEAR(BM$46)-YEAR('融资租赁与资金缺口'!$F$6))*12+MONTH(BM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M$46)-YEAR('融资租赁与资金缺口'!$F$6))*12+MONTH(BM$46)-MONTH('融资租赁与资金缺口'!$F$6))-1)/'融资租赁与资金缺口'!$I$6))))),IF(BM$46&lt;'融资租赁与资金缺口'!$F$7,0,IF(BM$46='融资租赁与资金缺口'!$F$7,'融资租赁与资金缺口'!$E$7,IF(((YEAR(BM$46)-YEAR('融资租赁与资金缺口'!$F$7))*12+MONTH(BM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M$46)-YEAR('融资租赁与资金缺口'!$F$7))*12+MONTH(BM$46)-MONTH('融资租赁与资金缺口'!$F$7)),'融资租赁与资金缺口'!$E$7*(1+'融资租赁与资金缺口'!$I$7)^((YEAR(BM$46)-YEAR('融资租赁与资金缺口'!$F$7))*12+MONTH(BM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M$46)-YEAR('融资租赁与资金缺口'!$F$7))*12+MONTH(BM$46)-MONTH('融资租赁与资金缺口'!$F$7))-1)/'融资租赁与资金缺口'!$I$7))))),IF(BM$46&lt;'融资租赁与资金缺口'!$F$8,0,IF(BM$46='融资租赁与资金缺口'!$F$8,'融资租赁与资金缺口'!$E$8,IF(((YEAR(BM$46)-YEAR('融资租赁与资金缺口'!$F$8))*12+MONTH(BM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M$46)-YEAR('融资租赁与资金缺口'!$F$8))*12+MONTH(BM$46)-MONTH('融资租赁与资金缺口'!$F$8)),'融资租赁与资金缺口'!$E$8*(1+'融资租赁与资金缺口'!$I$8)^((YEAR(BM$46)-YEAR('融资租赁与资金缺口'!$F$8))*12+MONTH(BM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M$46)-YEAR('融资租赁与资金缺口'!$F$8))*12+MONTH(BM$46)-MONTH('融资租赁与资金缺口'!$F$8))-1)/'融资租赁与资金缺口'!$I$8))))),IF(BM$46&lt;'融资租赁与资金缺口'!$F$9,0,IF(BM$46='融资租赁与资金缺口'!$F$9,'融资租赁与资金缺口'!$E$9,IF(((YEAR(BM$46)-YEAR('融资租赁与资金缺口'!$F$9))*12+MONTH(BM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M$46)-YEAR('融资租赁与资金缺口'!$F$9))*12+MONTH(BM$46)-MONTH('融资租赁与资金缺口'!$F$9)),'融资租赁与资金缺口'!$E$9*(1+'融资租赁与资金缺口'!$I$9)^((YEAR(BM$46)-YEAR('融资租赁与资金缺口'!$F$9))*12+MONTH(BM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M$46)-YEAR('融资租赁与资金缺口'!$F$9))*12+MONTH(BM$46)-MONTH('融资租赁与资金缺口'!$F$9))-1)/'融资租赁与资金缺口'!$I$9))))),IF(BM$46&lt;'融资租赁与资金缺口'!$F$10,0,IF(BM$46='融资租赁与资金缺口'!$F$10,'融资租赁与资金缺口'!$E$10,IF(((YEAR(BM$46)-YEAR('融资租赁与资金缺口'!$F$10))*12+MONTH(BM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M$46)-YEAR('融资租赁与资金缺口'!$F$10))*12+MONTH(BM$46)-MONTH('融资租赁与资金缺口'!$F$10)),'融资租赁与资金缺口'!$E$10*(1+'融资租赁与资金缺口'!$I$10)^((YEAR(BM$46)-YEAR('融资租赁与资金缺口'!$F$10))*12+MONTH(BM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M$46)-YEAR('融资租赁与资金缺口'!$F$10))*12+MONTH(BM$46)-MONTH('融资租赁与资金缺口'!$F$10))-1)/'融资租赁与资金缺口'!$I$10))))),IF(BM$46&lt;'融资租赁与资金缺口'!$F$11,0,IF(BM$46='融资租赁与资金缺口'!$F$11,'融资租赁与资金缺口'!$E$11,IF(((YEAR(BM$46)-YEAR('融资租赁与资金缺口'!$F$11))*12+MONTH(BM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M$46)-YEAR('融资租赁与资金缺口'!$F$11))*12+MONTH(BM$46)-MONTH('融资租赁与资金缺口'!$F$11)),'融资租赁与资金缺口'!$E$11*(1+'融资租赁与资金缺口'!$I$11)^((YEAR(BM$46)-YEAR('融资租赁与资金缺口'!$F$11))*12+MONTH(BM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M$46)-YEAR('融资租赁与资金缺口'!$F$11))*12+MONTH(BM$46)-MONTH('融资租赁与资金缺口'!$F$11))-1)/'融资租赁与资金缺口'!$I$11))))),IF(BM$46&lt;'融资租赁与资金缺口'!$F$12,0,IF(BM$46='融资租赁与资金缺口'!$F$12,'融资租赁与资金缺口'!$E$12,IF(((YEAR(BM$46)-YEAR('融资租赁与资金缺口'!$F$12))*12+MONTH(BM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M$46)-YEAR('融资租赁与资金缺口'!$F$12))*12+MONTH(BM$46)-MONTH('融资租赁与资金缺口'!$F$12)),'融资租赁与资金缺口'!$E$12*(1+'融资租赁与资金缺口'!$I$12)^((YEAR(BM$46)-YEAR('融资租赁与资金缺口'!$F$12))*12+MONTH(BM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M$46)-YEAR('融资租赁与资金缺口'!$F$12))*12+MONTH(BM$46)-MONTH('融资租赁与资金缺口'!$F$12))-1)/'融资租赁与资金缺口'!$I$12))))),IF(BM$46&lt;'融资租赁与资金缺口'!$F$13,0,IF(BM$46='融资租赁与资金缺口'!$F$13,'融资租赁与资金缺口'!$E$13,IF(((YEAR(BM$46)-YEAR('融资租赁与资金缺口'!$F$13))*12+MONTH(BM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M$46)-YEAR('融资租赁与资金缺口'!$F$13))*12+MONTH(BM$46)-MONTH('融资租赁与资金缺口'!$F$13)),'融资租赁与资金缺口'!$E$13*(1+'融资租赁与资金缺口'!$I$13)^((YEAR(BM$46)-YEAR('融资租赁与资金缺口'!$F$13))*12+MONTH(BM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M$46)-YEAR('融资租赁与资金缺口'!$F$13))*12+MONTH(BM$46)-MONTH('融资租赁与资金缺口'!$F$13))-1)/'融资租赁与资金缺口'!$I$13))))),IF(BM$46&lt;'融资租赁与资金缺口'!$F$14,0,IF(BM$46='融资租赁与资金缺口'!$F$14,'融资租赁与资金缺口'!$E$14,IF(((YEAR(BM$46)-YEAR('融资租赁与资金缺口'!$F$14))*12+MONTH(BM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M$46)-YEAR('融资租赁与资金缺口'!$F$14))*12+MONTH(BM$46)-MONTH('融资租赁与资金缺口'!$F$14)),'融资租赁与资金缺口'!$E$14*(1+'融资租赁与资金缺口'!$I$14)^((YEAR(BM$46)-YEAR('融资租赁与资金缺口'!$F$14))*12+MONTH(BM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M$46)-YEAR('融资租赁与资金缺口'!$F$14))*12+MONTH(BM$46)-MONTH('融资租赁与资金缺口'!$F$14))-1)/'融资租赁与资金缺口'!$I$14))))),IF(BM$46&lt;'融资租赁与资金缺口'!$F$15,0,IF(BM$46='融资租赁与资金缺口'!$F$15,'融资租赁与资金缺口'!$E$15,IF(((YEAR(BM$46)-YEAR('融资租赁与资金缺口'!$F$15))*12+MONTH(BM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M$46)-YEAR('融资租赁与资金缺口'!$F$15))*12+MONTH(BM$46)-MONTH('融资租赁与资金缺口'!$F$15)),'融资租赁与资金缺口'!$E$15*(1+'融资租赁与资金缺口'!$I$15)^((YEAR(BM$46)-YEAR('融资租赁与资金缺口'!$F$15))*12+MONTH(BM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M$46)-YEAR('融资租赁与资金缺口'!$F$15))*12+MONTH(BM$46)-MONTH('融资租赁与资金缺口'!$F$15))-1)/'融资租赁与资金缺口'!$I$15))))),IF(BM$46&lt;'融资租赁与资金缺口'!$F$16,0,IF(BM$46='融资租赁与资金缺口'!$F$16,'融资租赁与资金缺口'!$E$16,IF(((YEAR(BM$46)-YEAR('融资租赁与资金缺口'!$F$16))*12+MONTH(BM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M$46)-YEAR('融资租赁与资金缺口'!$F$16))*12+MONTH(BM$46)-MONTH('融资租赁与资金缺口'!$F$16)),'融资租赁与资金缺口'!$E$16*(1+'融资租赁与资金缺口'!$I$16)^((YEAR(BM$46)-YEAR('融资租赁与资金缺口'!$F$16))*12+MONTH(BM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M$46)-YEAR('融资租赁与资金缺口'!$F$16))*12+MONTH(BM$46)-MONTH('融资租赁与资金缺口'!$F$16))-1)/'融资租赁与资金缺口'!$I$16))))))</x:f>
        <x:v>173291864.17638704</x:v>
      </x:c>
      <x:c r="BN58" s="28" t="n">
        <x:f>SUM(IF(BN$46&lt;'融资租赁与资金缺口'!$F$5,0,IF(BN$46='融资租赁与资金缺口'!$F$5,'融资租赁与资金缺口'!$E$5,IF(((YEAR(BN$46)-YEAR('融资租赁与资金缺口'!$F$5))*12+MONTH(BN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N$46)-YEAR('融资租赁与资金缺口'!$F$5))*12+MONTH(BN$46)-MONTH('融资租赁与资金缺口'!$F$5)),'融资租赁与资金缺口'!$E$5*(1+'融资租赁与资金缺口'!$I$5)^((YEAR(BN$46)-YEAR('融资租赁与资金缺口'!$F$5))*12+MONTH(BN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N$46)-YEAR('融资租赁与资金缺口'!$F$5))*12+MONTH(BN$46)-MONTH('融资租赁与资金缺口'!$F$5))-1)/'融资租赁与资金缺口'!$I$5))))),IF(BN$46&lt;'融资租赁与资金缺口'!$F$6,0,IF(BN$46='融资租赁与资金缺口'!$F$6,'融资租赁与资金缺口'!$E$6,IF(((YEAR(BN$46)-YEAR('融资租赁与资金缺口'!$F$6))*12+MONTH(BN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N$46)-YEAR('融资租赁与资金缺口'!$F$6))*12+MONTH(BN$46)-MONTH('融资租赁与资金缺口'!$F$6)),'融资租赁与资金缺口'!$E$6*(1+'融资租赁与资金缺口'!$I$6)^((YEAR(BN$46)-YEAR('融资租赁与资金缺口'!$F$6))*12+MONTH(BN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N$46)-YEAR('融资租赁与资金缺口'!$F$6))*12+MONTH(BN$46)-MONTH('融资租赁与资金缺口'!$F$6))-1)/'融资租赁与资金缺口'!$I$6))))),IF(BN$46&lt;'融资租赁与资金缺口'!$F$7,0,IF(BN$46='融资租赁与资金缺口'!$F$7,'融资租赁与资金缺口'!$E$7,IF(((YEAR(BN$46)-YEAR('融资租赁与资金缺口'!$F$7))*12+MONTH(BN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N$46)-YEAR('融资租赁与资金缺口'!$F$7))*12+MONTH(BN$46)-MONTH('融资租赁与资金缺口'!$F$7)),'融资租赁与资金缺口'!$E$7*(1+'融资租赁与资金缺口'!$I$7)^((YEAR(BN$46)-YEAR('融资租赁与资金缺口'!$F$7))*12+MONTH(BN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N$46)-YEAR('融资租赁与资金缺口'!$F$7))*12+MONTH(BN$46)-MONTH('融资租赁与资金缺口'!$F$7))-1)/'融资租赁与资金缺口'!$I$7))))),IF(BN$46&lt;'融资租赁与资金缺口'!$F$8,0,IF(BN$46='融资租赁与资金缺口'!$F$8,'融资租赁与资金缺口'!$E$8,IF(((YEAR(BN$46)-YEAR('融资租赁与资金缺口'!$F$8))*12+MONTH(BN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N$46)-YEAR('融资租赁与资金缺口'!$F$8))*12+MONTH(BN$46)-MONTH('融资租赁与资金缺口'!$F$8)),'融资租赁与资金缺口'!$E$8*(1+'融资租赁与资金缺口'!$I$8)^((YEAR(BN$46)-YEAR('融资租赁与资金缺口'!$F$8))*12+MONTH(BN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N$46)-YEAR('融资租赁与资金缺口'!$F$8))*12+MONTH(BN$46)-MONTH('融资租赁与资金缺口'!$F$8))-1)/'融资租赁与资金缺口'!$I$8))))),IF(BN$46&lt;'融资租赁与资金缺口'!$F$9,0,IF(BN$46='融资租赁与资金缺口'!$F$9,'融资租赁与资金缺口'!$E$9,IF(((YEAR(BN$46)-YEAR('融资租赁与资金缺口'!$F$9))*12+MONTH(BN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N$46)-YEAR('融资租赁与资金缺口'!$F$9))*12+MONTH(BN$46)-MONTH('融资租赁与资金缺口'!$F$9)),'融资租赁与资金缺口'!$E$9*(1+'融资租赁与资金缺口'!$I$9)^((YEAR(BN$46)-YEAR('融资租赁与资金缺口'!$F$9))*12+MONTH(BN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N$46)-YEAR('融资租赁与资金缺口'!$F$9))*12+MONTH(BN$46)-MONTH('融资租赁与资金缺口'!$F$9))-1)/'融资租赁与资金缺口'!$I$9))))),IF(BN$46&lt;'融资租赁与资金缺口'!$F$10,0,IF(BN$46='融资租赁与资金缺口'!$F$10,'融资租赁与资金缺口'!$E$10,IF(((YEAR(BN$46)-YEAR('融资租赁与资金缺口'!$F$10))*12+MONTH(BN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N$46)-YEAR('融资租赁与资金缺口'!$F$10))*12+MONTH(BN$46)-MONTH('融资租赁与资金缺口'!$F$10)),'融资租赁与资金缺口'!$E$10*(1+'融资租赁与资金缺口'!$I$10)^((YEAR(BN$46)-YEAR('融资租赁与资金缺口'!$F$10))*12+MONTH(BN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N$46)-YEAR('融资租赁与资金缺口'!$F$10))*12+MONTH(BN$46)-MONTH('融资租赁与资金缺口'!$F$10))-1)/'融资租赁与资金缺口'!$I$10))))),IF(BN$46&lt;'融资租赁与资金缺口'!$F$11,0,IF(BN$46='融资租赁与资金缺口'!$F$11,'融资租赁与资金缺口'!$E$11,IF(((YEAR(BN$46)-YEAR('融资租赁与资金缺口'!$F$11))*12+MONTH(BN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N$46)-YEAR('融资租赁与资金缺口'!$F$11))*12+MONTH(BN$46)-MONTH('融资租赁与资金缺口'!$F$11)),'融资租赁与资金缺口'!$E$11*(1+'融资租赁与资金缺口'!$I$11)^((YEAR(BN$46)-YEAR('融资租赁与资金缺口'!$F$11))*12+MONTH(BN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N$46)-YEAR('融资租赁与资金缺口'!$F$11))*12+MONTH(BN$46)-MONTH('融资租赁与资金缺口'!$F$11))-1)/'融资租赁与资金缺口'!$I$11))))),IF(BN$46&lt;'融资租赁与资金缺口'!$F$12,0,IF(BN$46='融资租赁与资金缺口'!$F$12,'融资租赁与资金缺口'!$E$12,IF(((YEAR(BN$46)-YEAR('融资租赁与资金缺口'!$F$12))*12+MONTH(BN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N$46)-YEAR('融资租赁与资金缺口'!$F$12))*12+MONTH(BN$46)-MONTH('融资租赁与资金缺口'!$F$12)),'融资租赁与资金缺口'!$E$12*(1+'融资租赁与资金缺口'!$I$12)^((YEAR(BN$46)-YEAR('融资租赁与资金缺口'!$F$12))*12+MONTH(BN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N$46)-YEAR('融资租赁与资金缺口'!$F$12))*12+MONTH(BN$46)-MONTH('融资租赁与资金缺口'!$F$12))-1)/'融资租赁与资金缺口'!$I$12))))),IF(BN$46&lt;'融资租赁与资金缺口'!$F$13,0,IF(BN$46='融资租赁与资金缺口'!$F$13,'融资租赁与资金缺口'!$E$13,IF(((YEAR(BN$46)-YEAR('融资租赁与资金缺口'!$F$13))*12+MONTH(BN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N$46)-YEAR('融资租赁与资金缺口'!$F$13))*12+MONTH(BN$46)-MONTH('融资租赁与资金缺口'!$F$13)),'融资租赁与资金缺口'!$E$13*(1+'融资租赁与资金缺口'!$I$13)^((YEAR(BN$46)-YEAR('融资租赁与资金缺口'!$F$13))*12+MONTH(BN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N$46)-YEAR('融资租赁与资金缺口'!$F$13))*12+MONTH(BN$46)-MONTH('融资租赁与资金缺口'!$F$13))-1)/'融资租赁与资金缺口'!$I$13))))),IF(BN$46&lt;'融资租赁与资金缺口'!$F$14,0,IF(BN$46='融资租赁与资金缺口'!$F$14,'融资租赁与资金缺口'!$E$14,IF(((YEAR(BN$46)-YEAR('融资租赁与资金缺口'!$F$14))*12+MONTH(BN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N$46)-YEAR('融资租赁与资金缺口'!$F$14))*12+MONTH(BN$46)-MONTH('融资租赁与资金缺口'!$F$14)),'融资租赁与资金缺口'!$E$14*(1+'融资租赁与资金缺口'!$I$14)^((YEAR(BN$46)-YEAR('融资租赁与资金缺口'!$F$14))*12+MONTH(BN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N$46)-YEAR('融资租赁与资金缺口'!$F$14))*12+MONTH(BN$46)-MONTH('融资租赁与资金缺口'!$F$14))-1)/'融资租赁与资金缺口'!$I$14))))),IF(BN$46&lt;'融资租赁与资金缺口'!$F$15,0,IF(BN$46='融资租赁与资金缺口'!$F$15,'融资租赁与资金缺口'!$E$15,IF(((YEAR(BN$46)-YEAR('融资租赁与资金缺口'!$F$15))*12+MONTH(BN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N$46)-YEAR('融资租赁与资金缺口'!$F$15))*12+MONTH(BN$46)-MONTH('融资租赁与资金缺口'!$F$15)),'融资租赁与资金缺口'!$E$15*(1+'融资租赁与资金缺口'!$I$15)^((YEAR(BN$46)-YEAR('融资租赁与资金缺口'!$F$15))*12+MONTH(BN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N$46)-YEAR('融资租赁与资金缺口'!$F$15))*12+MONTH(BN$46)-MONTH('融资租赁与资金缺口'!$F$15))-1)/'融资租赁与资金缺口'!$I$15))))),IF(BN$46&lt;'融资租赁与资金缺口'!$F$16,0,IF(BN$46='融资租赁与资金缺口'!$F$16,'融资租赁与资金缺口'!$E$16,IF(((YEAR(BN$46)-YEAR('融资租赁与资金缺口'!$F$16))*12+MONTH(BN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N$46)-YEAR('融资租赁与资金缺口'!$F$16))*12+MONTH(BN$46)-MONTH('融资租赁与资金缺口'!$F$16)),'融资租赁与资金缺口'!$E$16*(1+'融资租赁与资金缺口'!$I$16)^((YEAR(BN$46)-YEAR('融资租赁与资金缺口'!$F$16))*12+MONTH(BN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N$46)-YEAR('融资租赁与资金缺口'!$F$16))*12+MONTH(BN$46)-MONTH('融资租赁与资金缺口'!$F$16))-1)/'融资租赁与资金缺口'!$I$16))))))</x:f>
        <x:v>157556126.3892528</x:v>
      </x:c>
      <x:c r="BO58" s="28" t="n">
        <x:f>SUM(IF(BO$46&lt;'融资租赁与资金缺口'!$F$5,0,IF(BO$46='融资租赁与资金缺口'!$F$5,'融资租赁与资金缺口'!$E$5,IF(((YEAR(BO$46)-YEAR('融资租赁与资金缺口'!$F$5))*12+MONTH(BO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O$46)-YEAR('融资租赁与资金缺口'!$F$5))*12+MONTH(BO$46)-MONTH('融资租赁与资金缺口'!$F$5)),'融资租赁与资金缺口'!$E$5*(1+'融资租赁与资金缺口'!$I$5)^((YEAR(BO$46)-YEAR('融资租赁与资金缺口'!$F$5))*12+MONTH(BO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O$46)-YEAR('融资租赁与资金缺口'!$F$5))*12+MONTH(BO$46)-MONTH('融资租赁与资金缺口'!$F$5))-1)/'融资租赁与资金缺口'!$I$5))))),IF(BO$46&lt;'融资租赁与资金缺口'!$F$6,0,IF(BO$46='融资租赁与资金缺口'!$F$6,'融资租赁与资金缺口'!$E$6,IF(((YEAR(BO$46)-YEAR('融资租赁与资金缺口'!$F$6))*12+MONTH(BO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O$46)-YEAR('融资租赁与资金缺口'!$F$6))*12+MONTH(BO$46)-MONTH('融资租赁与资金缺口'!$F$6)),'融资租赁与资金缺口'!$E$6*(1+'融资租赁与资金缺口'!$I$6)^((YEAR(BO$46)-YEAR('融资租赁与资金缺口'!$F$6))*12+MONTH(BO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O$46)-YEAR('融资租赁与资金缺口'!$F$6))*12+MONTH(BO$46)-MONTH('融资租赁与资金缺口'!$F$6))-1)/'融资租赁与资金缺口'!$I$6))))),IF(BO$46&lt;'融资租赁与资金缺口'!$F$7,0,IF(BO$46='融资租赁与资金缺口'!$F$7,'融资租赁与资金缺口'!$E$7,IF(((YEAR(BO$46)-YEAR('融资租赁与资金缺口'!$F$7))*12+MONTH(BO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O$46)-YEAR('融资租赁与资金缺口'!$F$7))*12+MONTH(BO$46)-MONTH('融资租赁与资金缺口'!$F$7)),'融资租赁与资金缺口'!$E$7*(1+'融资租赁与资金缺口'!$I$7)^((YEAR(BO$46)-YEAR('融资租赁与资金缺口'!$F$7))*12+MONTH(BO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O$46)-YEAR('融资租赁与资金缺口'!$F$7))*12+MONTH(BO$46)-MONTH('融资租赁与资金缺口'!$F$7))-1)/'融资租赁与资金缺口'!$I$7))))),IF(BO$46&lt;'融资租赁与资金缺口'!$F$8,0,IF(BO$46='融资租赁与资金缺口'!$F$8,'融资租赁与资金缺口'!$E$8,IF(((YEAR(BO$46)-YEAR('融资租赁与资金缺口'!$F$8))*12+MONTH(BO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O$46)-YEAR('融资租赁与资金缺口'!$F$8))*12+MONTH(BO$46)-MONTH('融资租赁与资金缺口'!$F$8)),'融资租赁与资金缺口'!$E$8*(1+'融资租赁与资金缺口'!$I$8)^((YEAR(BO$46)-YEAR('融资租赁与资金缺口'!$F$8))*12+MONTH(BO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O$46)-YEAR('融资租赁与资金缺口'!$F$8))*12+MONTH(BO$46)-MONTH('融资租赁与资金缺口'!$F$8))-1)/'融资租赁与资金缺口'!$I$8))))),IF(BO$46&lt;'融资租赁与资金缺口'!$F$9,0,IF(BO$46='融资租赁与资金缺口'!$F$9,'融资租赁与资金缺口'!$E$9,IF(((YEAR(BO$46)-YEAR('融资租赁与资金缺口'!$F$9))*12+MONTH(BO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O$46)-YEAR('融资租赁与资金缺口'!$F$9))*12+MONTH(BO$46)-MONTH('融资租赁与资金缺口'!$F$9)),'融资租赁与资金缺口'!$E$9*(1+'融资租赁与资金缺口'!$I$9)^((YEAR(BO$46)-YEAR('融资租赁与资金缺口'!$F$9))*12+MONTH(BO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O$46)-YEAR('融资租赁与资金缺口'!$F$9))*12+MONTH(BO$46)-MONTH('融资租赁与资金缺口'!$F$9))-1)/'融资租赁与资金缺口'!$I$9))))),IF(BO$46&lt;'融资租赁与资金缺口'!$F$10,0,IF(BO$46='融资租赁与资金缺口'!$F$10,'融资租赁与资金缺口'!$E$10,IF(((YEAR(BO$46)-YEAR('融资租赁与资金缺口'!$F$10))*12+MONTH(BO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O$46)-YEAR('融资租赁与资金缺口'!$F$10))*12+MONTH(BO$46)-MONTH('融资租赁与资金缺口'!$F$10)),'融资租赁与资金缺口'!$E$10*(1+'融资租赁与资金缺口'!$I$10)^((YEAR(BO$46)-YEAR('融资租赁与资金缺口'!$F$10))*12+MONTH(BO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O$46)-YEAR('融资租赁与资金缺口'!$F$10))*12+MONTH(BO$46)-MONTH('融资租赁与资金缺口'!$F$10))-1)/'融资租赁与资金缺口'!$I$10))))),IF(BO$46&lt;'融资租赁与资金缺口'!$F$11,0,IF(BO$46='融资租赁与资金缺口'!$F$11,'融资租赁与资金缺口'!$E$11,IF(((YEAR(BO$46)-YEAR('融资租赁与资金缺口'!$F$11))*12+MONTH(BO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O$46)-YEAR('融资租赁与资金缺口'!$F$11))*12+MONTH(BO$46)-MONTH('融资租赁与资金缺口'!$F$11)),'融资租赁与资金缺口'!$E$11*(1+'融资租赁与资金缺口'!$I$11)^((YEAR(BO$46)-YEAR('融资租赁与资金缺口'!$F$11))*12+MONTH(BO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O$46)-YEAR('融资租赁与资金缺口'!$F$11))*12+MONTH(BO$46)-MONTH('融资租赁与资金缺口'!$F$11))-1)/'融资租赁与资金缺口'!$I$11))))),IF(BO$46&lt;'融资租赁与资金缺口'!$F$12,0,IF(BO$46='融资租赁与资金缺口'!$F$12,'融资租赁与资金缺口'!$E$12,IF(((YEAR(BO$46)-YEAR('融资租赁与资金缺口'!$F$12))*12+MONTH(BO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O$46)-YEAR('融资租赁与资金缺口'!$F$12))*12+MONTH(BO$46)-MONTH('融资租赁与资金缺口'!$F$12)),'融资租赁与资金缺口'!$E$12*(1+'融资租赁与资金缺口'!$I$12)^((YEAR(BO$46)-YEAR('融资租赁与资金缺口'!$F$12))*12+MONTH(BO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O$46)-YEAR('融资租赁与资金缺口'!$F$12))*12+MONTH(BO$46)-MONTH('融资租赁与资金缺口'!$F$12))-1)/'融资租赁与资金缺口'!$I$12))))),IF(BO$46&lt;'融资租赁与资金缺口'!$F$13,0,IF(BO$46='融资租赁与资金缺口'!$F$13,'融资租赁与资金缺口'!$E$13,IF(((YEAR(BO$46)-YEAR('融资租赁与资金缺口'!$F$13))*12+MONTH(BO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O$46)-YEAR('融资租赁与资金缺口'!$F$13))*12+MONTH(BO$46)-MONTH('融资租赁与资金缺口'!$F$13)),'融资租赁与资金缺口'!$E$13*(1+'融资租赁与资金缺口'!$I$13)^((YEAR(BO$46)-YEAR('融资租赁与资金缺口'!$F$13))*12+MONTH(BO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O$46)-YEAR('融资租赁与资金缺口'!$F$13))*12+MONTH(BO$46)-MONTH('融资租赁与资金缺口'!$F$13))-1)/'融资租赁与资金缺口'!$I$13))))),IF(BO$46&lt;'融资租赁与资金缺口'!$F$14,0,IF(BO$46='融资租赁与资金缺口'!$F$14,'融资租赁与资金缺口'!$E$14,IF(((YEAR(BO$46)-YEAR('融资租赁与资金缺口'!$F$14))*12+MONTH(BO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O$46)-YEAR('融资租赁与资金缺口'!$F$14))*12+MONTH(BO$46)-MONTH('融资租赁与资金缺口'!$F$14)),'融资租赁与资金缺口'!$E$14*(1+'融资租赁与资金缺口'!$I$14)^((YEAR(BO$46)-YEAR('融资租赁与资金缺口'!$F$14))*12+MONTH(BO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O$46)-YEAR('融资租赁与资金缺口'!$F$14))*12+MONTH(BO$46)-MONTH('融资租赁与资金缺口'!$F$14))-1)/'融资租赁与资金缺口'!$I$14))))),IF(BO$46&lt;'融资租赁与资金缺口'!$F$15,0,IF(BO$46='融资租赁与资金缺口'!$F$15,'融资租赁与资金缺口'!$E$15,IF(((YEAR(BO$46)-YEAR('融资租赁与资金缺口'!$F$15))*12+MONTH(BO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O$46)-YEAR('融资租赁与资金缺口'!$F$15))*12+MONTH(BO$46)-MONTH('融资租赁与资金缺口'!$F$15)),'融资租赁与资金缺口'!$E$15*(1+'融资租赁与资金缺口'!$I$15)^((YEAR(BO$46)-YEAR('融资租赁与资金缺口'!$F$15))*12+MONTH(BO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O$46)-YEAR('融资租赁与资金缺口'!$F$15))*12+MONTH(BO$46)-MONTH('融资租赁与资金缺口'!$F$15))-1)/'融资租赁与资金缺口'!$I$15))))),IF(BO$46&lt;'融资租赁与资金缺口'!$F$16,0,IF(BO$46='融资租赁与资金缺口'!$F$16,'融资租赁与资金缺口'!$E$16,IF(((YEAR(BO$46)-YEAR('融资租赁与资金缺口'!$F$16))*12+MONTH(BO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O$46)-YEAR('融资租赁与资金缺口'!$F$16))*12+MONTH(BO$46)-MONTH('融资租赁与资金缺口'!$F$16)),'融资租赁与资金缺口'!$E$16*(1+'融资租赁与资金缺口'!$I$16)^((YEAR(BO$46)-YEAR('融资租赁与资金缺口'!$F$16))*12+MONTH(BO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O$46)-YEAR('融资租赁与资金缺口'!$F$16))*12+MONTH(BO$46)-MONTH('融资租赁与资金缺口'!$F$16))-1)/'融资租赁与资金缺口'!$I$16))))))</x:f>
        <x:v>141715483.68353772</x:v>
      </x:c>
      <x:c r="BP58" s="28" t="n">
        <x:f>SUM(IF(BP$46&lt;'融资租赁与资金缺口'!$F$5,0,IF(BP$46='融资租赁与资金缺口'!$F$5,'融资租赁与资金缺口'!$E$5,IF(((YEAR(BP$46)-YEAR('融资租赁与资金缺口'!$F$5))*12+MONTH(BP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P$46)-YEAR('融资租赁与资金缺口'!$F$5))*12+MONTH(BP$46)-MONTH('融资租赁与资金缺口'!$F$5)),'融资租赁与资金缺口'!$E$5*(1+'融资租赁与资金缺口'!$I$5)^((YEAR(BP$46)-YEAR('融资租赁与资金缺口'!$F$5))*12+MONTH(BP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P$46)-YEAR('融资租赁与资金缺口'!$F$5))*12+MONTH(BP$46)-MONTH('融资租赁与资金缺口'!$F$5))-1)/'融资租赁与资金缺口'!$I$5))))),IF(BP$46&lt;'融资租赁与资金缺口'!$F$6,0,IF(BP$46='融资租赁与资金缺口'!$F$6,'融资租赁与资金缺口'!$E$6,IF(((YEAR(BP$46)-YEAR('融资租赁与资金缺口'!$F$6))*12+MONTH(BP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P$46)-YEAR('融资租赁与资金缺口'!$F$6))*12+MONTH(BP$46)-MONTH('融资租赁与资金缺口'!$F$6)),'融资租赁与资金缺口'!$E$6*(1+'融资租赁与资金缺口'!$I$6)^((YEAR(BP$46)-YEAR('融资租赁与资金缺口'!$F$6))*12+MONTH(BP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P$46)-YEAR('融资租赁与资金缺口'!$F$6))*12+MONTH(BP$46)-MONTH('融资租赁与资金缺口'!$F$6))-1)/'融资租赁与资金缺口'!$I$6))))),IF(BP$46&lt;'融资租赁与资金缺口'!$F$7,0,IF(BP$46='融资租赁与资金缺口'!$F$7,'融资租赁与资金缺口'!$E$7,IF(((YEAR(BP$46)-YEAR('融资租赁与资金缺口'!$F$7))*12+MONTH(BP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P$46)-YEAR('融资租赁与资金缺口'!$F$7))*12+MONTH(BP$46)-MONTH('融资租赁与资金缺口'!$F$7)),'融资租赁与资金缺口'!$E$7*(1+'融资租赁与资金缺口'!$I$7)^((YEAR(BP$46)-YEAR('融资租赁与资金缺口'!$F$7))*12+MONTH(BP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P$46)-YEAR('融资租赁与资金缺口'!$F$7))*12+MONTH(BP$46)-MONTH('融资租赁与资金缺口'!$F$7))-1)/'融资租赁与资金缺口'!$I$7))))),IF(BP$46&lt;'融资租赁与资金缺口'!$F$8,0,IF(BP$46='融资租赁与资金缺口'!$F$8,'融资租赁与资金缺口'!$E$8,IF(((YEAR(BP$46)-YEAR('融资租赁与资金缺口'!$F$8))*12+MONTH(BP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P$46)-YEAR('融资租赁与资金缺口'!$F$8))*12+MONTH(BP$46)-MONTH('融资租赁与资金缺口'!$F$8)),'融资租赁与资金缺口'!$E$8*(1+'融资租赁与资金缺口'!$I$8)^((YEAR(BP$46)-YEAR('融资租赁与资金缺口'!$F$8))*12+MONTH(BP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P$46)-YEAR('融资租赁与资金缺口'!$F$8))*12+MONTH(BP$46)-MONTH('融资租赁与资金缺口'!$F$8))-1)/'融资租赁与资金缺口'!$I$8))))),IF(BP$46&lt;'融资租赁与资金缺口'!$F$9,0,IF(BP$46='融资租赁与资金缺口'!$F$9,'融资租赁与资金缺口'!$E$9,IF(((YEAR(BP$46)-YEAR('融资租赁与资金缺口'!$F$9))*12+MONTH(BP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P$46)-YEAR('融资租赁与资金缺口'!$F$9))*12+MONTH(BP$46)-MONTH('融资租赁与资金缺口'!$F$9)),'融资租赁与资金缺口'!$E$9*(1+'融资租赁与资金缺口'!$I$9)^((YEAR(BP$46)-YEAR('融资租赁与资金缺口'!$F$9))*12+MONTH(BP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P$46)-YEAR('融资租赁与资金缺口'!$F$9))*12+MONTH(BP$46)-MONTH('融资租赁与资金缺口'!$F$9))-1)/'融资租赁与资金缺口'!$I$9))))),IF(BP$46&lt;'融资租赁与资金缺口'!$F$10,0,IF(BP$46='融资租赁与资金缺口'!$F$10,'融资租赁与资金缺口'!$E$10,IF(((YEAR(BP$46)-YEAR('融资租赁与资金缺口'!$F$10))*12+MONTH(BP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P$46)-YEAR('融资租赁与资金缺口'!$F$10))*12+MONTH(BP$46)-MONTH('融资租赁与资金缺口'!$F$10)),'融资租赁与资金缺口'!$E$10*(1+'融资租赁与资金缺口'!$I$10)^((YEAR(BP$46)-YEAR('融资租赁与资金缺口'!$F$10))*12+MONTH(BP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P$46)-YEAR('融资租赁与资金缺口'!$F$10))*12+MONTH(BP$46)-MONTH('融资租赁与资金缺口'!$F$10))-1)/'融资租赁与资金缺口'!$I$10))))),IF(BP$46&lt;'融资租赁与资金缺口'!$F$11,0,IF(BP$46='融资租赁与资金缺口'!$F$11,'融资租赁与资金缺口'!$E$11,IF(((YEAR(BP$46)-YEAR('融资租赁与资金缺口'!$F$11))*12+MONTH(BP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P$46)-YEAR('融资租赁与资金缺口'!$F$11))*12+MONTH(BP$46)-MONTH('融资租赁与资金缺口'!$F$11)),'融资租赁与资金缺口'!$E$11*(1+'融资租赁与资金缺口'!$I$11)^((YEAR(BP$46)-YEAR('融资租赁与资金缺口'!$F$11))*12+MONTH(BP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P$46)-YEAR('融资租赁与资金缺口'!$F$11))*12+MONTH(BP$46)-MONTH('融资租赁与资金缺口'!$F$11))-1)/'融资租赁与资金缺口'!$I$11))))),IF(BP$46&lt;'融资租赁与资金缺口'!$F$12,0,IF(BP$46='融资租赁与资金缺口'!$F$12,'融资租赁与资金缺口'!$E$12,IF(((YEAR(BP$46)-YEAR('融资租赁与资金缺口'!$F$12))*12+MONTH(BP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P$46)-YEAR('融资租赁与资金缺口'!$F$12))*12+MONTH(BP$46)-MONTH('融资租赁与资金缺口'!$F$12)),'融资租赁与资金缺口'!$E$12*(1+'融资租赁与资金缺口'!$I$12)^((YEAR(BP$46)-YEAR('融资租赁与资金缺口'!$F$12))*12+MONTH(BP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P$46)-YEAR('融资租赁与资金缺口'!$F$12))*12+MONTH(BP$46)-MONTH('融资租赁与资金缺口'!$F$12))-1)/'融资租赁与资金缺口'!$I$12))))),IF(BP$46&lt;'融资租赁与资金缺口'!$F$13,0,IF(BP$46='融资租赁与资金缺口'!$F$13,'融资租赁与资金缺口'!$E$13,IF(((YEAR(BP$46)-YEAR('融资租赁与资金缺口'!$F$13))*12+MONTH(BP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P$46)-YEAR('融资租赁与资金缺口'!$F$13))*12+MONTH(BP$46)-MONTH('融资租赁与资金缺口'!$F$13)),'融资租赁与资金缺口'!$E$13*(1+'融资租赁与资金缺口'!$I$13)^((YEAR(BP$46)-YEAR('融资租赁与资金缺口'!$F$13))*12+MONTH(BP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P$46)-YEAR('融资租赁与资金缺口'!$F$13))*12+MONTH(BP$46)-MONTH('融资租赁与资金缺口'!$F$13))-1)/'融资租赁与资金缺口'!$I$13))))),IF(BP$46&lt;'融资租赁与资金缺口'!$F$14,0,IF(BP$46='融资租赁与资金缺口'!$F$14,'融资租赁与资金缺口'!$E$14,IF(((YEAR(BP$46)-YEAR('融资租赁与资金缺口'!$F$14))*12+MONTH(BP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P$46)-YEAR('融资租赁与资金缺口'!$F$14))*12+MONTH(BP$46)-MONTH('融资租赁与资金缺口'!$F$14)),'融资租赁与资金缺口'!$E$14*(1+'融资租赁与资金缺口'!$I$14)^((YEAR(BP$46)-YEAR('融资租赁与资金缺口'!$F$14))*12+MONTH(BP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P$46)-YEAR('融资租赁与资金缺口'!$F$14))*12+MONTH(BP$46)-MONTH('融资租赁与资金缺口'!$F$14))-1)/'融资租赁与资金缺口'!$I$14))))),IF(BP$46&lt;'融资租赁与资金缺口'!$F$15,0,IF(BP$46='融资租赁与资金缺口'!$F$15,'融资租赁与资金缺口'!$E$15,IF(((YEAR(BP$46)-YEAR('融资租赁与资金缺口'!$F$15))*12+MONTH(BP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P$46)-YEAR('融资租赁与资金缺口'!$F$15))*12+MONTH(BP$46)-MONTH('融资租赁与资金缺口'!$F$15)),'融资租赁与资金缺口'!$E$15*(1+'融资租赁与资金缺口'!$I$15)^((YEAR(BP$46)-YEAR('融资租赁与资金缺口'!$F$15))*12+MONTH(BP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P$46)-YEAR('融资租赁与资金缺口'!$F$15))*12+MONTH(BP$46)-MONTH('融资租赁与资金缺口'!$F$15))-1)/'融资租赁与资金缺口'!$I$15))))),IF(BP$46&lt;'融资租赁与资金缺口'!$F$16,0,IF(BP$46='融资租赁与资金缺口'!$F$16,'融资租赁与资金缺口'!$E$16,IF(((YEAR(BP$46)-YEAR('融资租赁与资金缺口'!$F$16))*12+MONTH(BP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P$46)-YEAR('融资租赁与资金缺口'!$F$16))*12+MONTH(BP$46)-MONTH('融资租赁与资金缺口'!$F$16)),'融资租赁与资金缺口'!$E$16*(1+'融资租赁与资金缺口'!$I$16)^((YEAR(BP$46)-YEAR('融资租赁与资金缺口'!$F$16))*12+MONTH(BP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P$46)-YEAR('融资租赁与资金缺口'!$F$16))*12+MONTH(BP$46)-MONTH('融资租赁与资金缺口'!$F$16))-1)/'融资租赁与资金缺口'!$I$16))))))</x:f>
        <x:v>125769236.6931179</x:v>
      </x:c>
      <x:c r="BQ58" s="28" t="n">
        <x:f>SUM(IF(BQ$46&lt;'融资租赁与资金缺口'!$F$5,0,IF(BQ$46='融资租赁与资金缺口'!$F$5,'融资租赁与资金缺口'!$E$5,IF(((YEAR(BQ$46)-YEAR('融资租赁与资金缺口'!$F$5))*12+MONTH(BQ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Q$46)-YEAR('融资租赁与资金缺口'!$F$5))*12+MONTH(BQ$46)-MONTH('融资租赁与资金缺口'!$F$5)),'融资租赁与资金缺口'!$E$5*(1+'融资租赁与资金缺口'!$I$5)^((YEAR(BQ$46)-YEAR('融资租赁与资金缺口'!$F$5))*12+MONTH(BQ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Q$46)-YEAR('融资租赁与资金缺口'!$F$5))*12+MONTH(BQ$46)-MONTH('融资租赁与资金缺口'!$F$5))-1)/'融资租赁与资金缺口'!$I$5))))),IF(BQ$46&lt;'融资租赁与资金缺口'!$F$6,0,IF(BQ$46='融资租赁与资金缺口'!$F$6,'融资租赁与资金缺口'!$E$6,IF(((YEAR(BQ$46)-YEAR('融资租赁与资金缺口'!$F$6))*12+MONTH(BQ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Q$46)-YEAR('融资租赁与资金缺口'!$F$6))*12+MONTH(BQ$46)-MONTH('融资租赁与资金缺口'!$F$6)),'融资租赁与资金缺口'!$E$6*(1+'融资租赁与资金缺口'!$I$6)^((YEAR(BQ$46)-YEAR('融资租赁与资金缺口'!$F$6))*12+MONTH(BQ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Q$46)-YEAR('融资租赁与资金缺口'!$F$6))*12+MONTH(BQ$46)-MONTH('融资租赁与资金缺口'!$F$6))-1)/'融资租赁与资金缺口'!$I$6))))),IF(BQ$46&lt;'融资租赁与资金缺口'!$F$7,0,IF(BQ$46='融资租赁与资金缺口'!$F$7,'融资租赁与资金缺口'!$E$7,IF(((YEAR(BQ$46)-YEAR('融资租赁与资金缺口'!$F$7))*12+MONTH(BQ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Q$46)-YEAR('融资租赁与资金缺口'!$F$7))*12+MONTH(BQ$46)-MONTH('融资租赁与资金缺口'!$F$7)),'融资租赁与资金缺口'!$E$7*(1+'融资租赁与资金缺口'!$I$7)^((YEAR(BQ$46)-YEAR('融资租赁与资金缺口'!$F$7))*12+MONTH(BQ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Q$46)-YEAR('融资租赁与资金缺口'!$F$7))*12+MONTH(BQ$46)-MONTH('融资租赁与资金缺口'!$F$7))-1)/'融资租赁与资金缺口'!$I$7))))),IF(BQ$46&lt;'融资租赁与资金缺口'!$F$8,0,IF(BQ$46='融资租赁与资金缺口'!$F$8,'融资租赁与资金缺口'!$E$8,IF(((YEAR(BQ$46)-YEAR('融资租赁与资金缺口'!$F$8))*12+MONTH(BQ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Q$46)-YEAR('融资租赁与资金缺口'!$F$8))*12+MONTH(BQ$46)-MONTH('融资租赁与资金缺口'!$F$8)),'融资租赁与资金缺口'!$E$8*(1+'融资租赁与资金缺口'!$I$8)^((YEAR(BQ$46)-YEAR('融资租赁与资金缺口'!$F$8))*12+MONTH(BQ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Q$46)-YEAR('融资租赁与资金缺口'!$F$8))*12+MONTH(BQ$46)-MONTH('融资租赁与资金缺口'!$F$8))-1)/'融资租赁与资金缺口'!$I$8))))),IF(BQ$46&lt;'融资租赁与资金缺口'!$F$9,0,IF(BQ$46='融资租赁与资金缺口'!$F$9,'融资租赁与资金缺口'!$E$9,IF(((YEAR(BQ$46)-YEAR('融资租赁与资金缺口'!$F$9))*12+MONTH(BQ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Q$46)-YEAR('融资租赁与资金缺口'!$F$9))*12+MONTH(BQ$46)-MONTH('融资租赁与资金缺口'!$F$9)),'融资租赁与资金缺口'!$E$9*(1+'融资租赁与资金缺口'!$I$9)^((YEAR(BQ$46)-YEAR('融资租赁与资金缺口'!$F$9))*12+MONTH(BQ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Q$46)-YEAR('融资租赁与资金缺口'!$F$9))*12+MONTH(BQ$46)-MONTH('融资租赁与资金缺口'!$F$9))-1)/'融资租赁与资金缺口'!$I$9))))),IF(BQ$46&lt;'融资租赁与资金缺口'!$F$10,0,IF(BQ$46='融资租赁与资金缺口'!$F$10,'融资租赁与资金缺口'!$E$10,IF(((YEAR(BQ$46)-YEAR('融资租赁与资金缺口'!$F$10))*12+MONTH(BQ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Q$46)-YEAR('融资租赁与资金缺口'!$F$10))*12+MONTH(BQ$46)-MONTH('融资租赁与资金缺口'!$F$10)),'融资租赁与资金缺口'!$E$10*(1+'融资租赁与资金缺口'!$I$10)^((YEAR(BQ$46)-YEAR('融资租赁与资金缺口'!$F$10))*12+MONTH(BQ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Q$46)-YEAR('融资租赁与资金缺口'!$F$10))*12+MONTH(BQ$46)-MONTH('融资租赁与资金缺口'!$F$10))-1)/'融资租赁与资金缺口'!$I$10))))),IF(BQ$46&lt;'融资租赁与资金缺口'!$F$11,0,IF(BQ$46='融资租赁与资金缺口'!$F$11,'融资租赁与资金缺口'!$E$11,IF(((YEAR(BQ$46)-YEAR('融资租赁与资金缺口'!$F$11))*12+MONTH(BQ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Q$46)-YEAR('融资租赁与资金缺口'!$F$11))*12+MONTH(BQ$46)-MONTH('融资租赁与资金缺口'!$F$11)),'融资租赁与资金缺口'!$E$11*(1+'融资租赁与资金缺口'!$I$11)^((YEAR(BQ$46)-YEAR('融资租赁与资金缺口'!$F$11))*12+MONTH(BQ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Q$46)-YEAR('融资租赁与资金缺口'!$F$11))*12+MONTH(BQ$46)-MONTH('融资租赁与资金缺口'!$F$11))-1)/'融资租赁与资金缺口'!$I$11))))),IF(BQ$46&lt;'融资租赁与资金缺口'!$F$12,0,IF(BQ$46='融资租赁与资金缺口'!$F$12,'融资租赁与资金缺口'!$E$12,IF(((YEAR(BQ$46)-YEAR('融资租赁与资金缺口'!$F$12))*12+MONTH(BQ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Q$46)-YEAR('融资租赁与资金缺口'!$F$12))*12+MONTH(BQ$46)-MONTH('融资租赁与资金缺口'!$F$12)),'融资租赁与资金缺口'!$E$12*(1+'融资租赁与资金缺口'!$I$12)^((YEAR(BQ$46)-YEAR('融资租赁与资金缺口'!$F$12))*12+MONTH(BQ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Q$46)-YEAR('融资租赁与资金缺口'!$F$12))*12+MONTH(BQ$46)-MONTH('融资租赁与资金缺口'!$F$12))-1)/'融资租赁与资金缺口'!$I$12))))),IF(BQ$46&lt;'融资租赁与资金缺口'!$F$13,0,IF(BQ$46='融资租赁与资金缺口'!$F$13,'融资租赁与资金缺口'!$E$13,IF(((YEAR(BQ$46)-YEAR('融资租赁与资金缺口'!$F$13))*12+MONTH(BQ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Q$46)-YEAR('融资租赁与资金缺口'!$F$13))*12+MONTH(BQ$46)-MONTH('融资租赁与资金缺口'!$F$13)),'融资租赁与资金缺口'!$E$13*(1+'融资租赁与资金缺口'!$I$13)^((YEAR(BQ$46)-YEAR('融资租赁与资金缺口'!$F$13))*12+MONTH(BQ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Q$46)-YEAR('融资租赁与资金缺口'!$F$13))*12+MONTH(BQ$46)-MONTH('融资租赁与资金缺口'!$F$13))-1)/'融资租赁与资金缺口'!$I$13))))),IF(BQ$46&lt;'融资租赁与资金缺口'!$F$14,0,IF(BQ$46='融资租赁与资金缺口'!$F$14,'融资租赁与资金缺口'!$E$14,IF(((YEAR(BQ$46)-YEAR('融资租赁与资金缺口'!$F$14))*12+MONTH(BQ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Q$46)-YEAR('融资租赁与资金缺口'!$F$14))*12+MONTH(BQ$46)-MONTH('融资租赁与资金缺口'!$F$14)),'融资租赁与资金缺口'!$E$14*(1+'融资租赁与资金缺口'!$I$14)^((YEAR(BQ$46)-YEAR('融资租赁与资金缺口'!$F$14))*12+MONTH(BQ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Q$46)-YEAR('融资租赁与资金缺口'!$F$14))*12+MONTH(BQ$46)-MONTH('融资租赁与资金缺口'!$F$14))-1)/'融资租赁与资金缺口'!$I$14))))),IF(BQ$46&lt;'融资租赁与资金缺口'!$F$15,0,IF(BQ$46='融资租赁与资金缺口'!$F$15,'融资租赁与资金缺口'!$E$15,IF(((YEAR(BQ$46)-YEAR('融资租赁与资金缺口'!$F$15))*12+MONTH(BQ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Q$46)-YEAR('融资租赁与资金缺口'!$F$15))*12+MONTH(BQ$46)-MONTH('融资租赁与资金缺口'!$F$15)),'融资租赁与资金缺口'!$E$15*(1+'融资租赁与资金缺口'!$I$15)^((YEAR(BQ$46)-YEAR('融资租赁与资金缺口'!$F$15))*12+MONTH(BQ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Q$46)-YEAR('融资租赁与资金缺口'!$F$15))*12+MONTH(BQ$46)-MONTH('融资租赁与资金缺口'!$F$15))-1)/'融资租赁与资金缺口'!$I$15))))),IF(BQ$46&lt;'融资租赁与资金缺口'!$F$16,0,IF(BQ$46='融资租赁与资金缺口'!$F$16,'融资租赁与资金缺口'!$E$16,IF(((YEAR(BQ$46)-YEAR('融资租赁与资金缺口'!$F$16))*12+MONTH(BQ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Q$46)-YEAR('融资租赁与资金缺口'!$F$16))*12+MONTH(BQ$46)-MONTH('融资租赁与资金缺口'!$F$16)),'融资租赁与资金缺口'!$E$16*(1+'融资租赁与资金缺口'!$I$16)^((YEAR(BQ$46)-YEAR('融资租赁与资金缺口'!$F$16))*12+MONTH(BQ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Q$46)-YEAR('融资租赁与资金缺口'!$F$16))*12+MONTH(BQ$46)-MONTH('融资租赁与资金缺口'!$F$16))-1)/'融资租赁与资金缺口'!$I$16))))))</x:f>
        <x:v>109486761.38942859</x:v>
      </x:c>
      <x:c r="BR58" s="28" t="n">
        <x:f>SUM(IF(BR$46&lt;'融资租赁与资金缺口'!$F$5,0,IF(BR$46='融资租赁与资金缺口'!$F$5,'融资租赁与资金缺口'!$E$5,IF(((YEAR(BR$46)-YEAR('融资租赁与资金缺口'!$F$5))*12+MONTH(BR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R$46)-YEAR('融资租赁与资金缺口'!$F$5))*12+MONTH(BR$46)-MONTH('融资租赁与资金缺口'!$F$5)),'融资租赁与资金缺口'!$E$5*(1+'融资租赁与资金缺口'!$I$5)^((YEAR(BR$46)-YEAR('融资租赁与资金缺口'!$F$5))*12+MONTH(BR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R$46)-YEAR('融资租赁与资金缺口'!$F$5))*12+MONTH(BR$46)-MONTH('融资租赁与资金缺口'!$F$5))-1)/'融资租赁与资金缺口'!$I$5))))),IF(BR$46&lt;'融资租赁与资金缺口'!$F$6,0,IF(BR$46='融资租赁与资金缺口'!$F$6,'融资租赁与资金缺口'!$E$6,IF(((YEAR(BR$46)-YEAR('融资租赁与资金缺口'!$F$6))*12+MONTH(BR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R$46)-YEAR('融资租赁与资金缺口'!$F$6))*12+MONTH(BR$46)-MONTH('融资租赁与资金缺口'!$F$6)),'融资租赁与资金缺口'!$E$6*(1+'融资租赁与资金缺口'!$I$6)^((YEAR(BR$46)-YEAR('融资租赁与资金缺口'!$F$6))*12+MONTH(BR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R$46)-YEAR('融资租赁与资金缺口'!$F$6))*12+MONTH(BR$46)-MONTH('融资租赁与资金缺口'!$F$6))-1)/'融资租赁与资金缺口'!$I$6))))),IF(BR$46&lt;'融资租赁与资金缺口'!$F$7,0,IF(BR$46='融资租赁与资金缺口'!$F$7,'融资租赁与资金缺口'!$E$7,IF(((YEAR(BR$46)-YEAR('融资租赁与资金缺口'!$F$7))*12+MONTH(BR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R$46)-YEAR('融资租赁与资金缺口'!$F$7))*12+MONTH(BR$46)-MONTH('融资租赁与资金缺口'!$F$7)),'融资租赁与资金缺口'!$E$7*(1+'融资租赁与资金缺口'!$I$7)^((YEAR(BR$46)-YEAR('融资租赁与资金缺口'!$F$7))*12+MONTH(BR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R$46)-YEAR('融资租赁与资金缺口'!$F$7))*12+MONTH(BR$46)-MONTH('融资租赁与资金缺口'!$F$7))-1)/'融资租赁与资金缺口'!$I$7))))),IF(BR$46&lt;'融资租赁与资金缺口'!$F$8,0,IF(BR$46='融资租赁与资金缺口'!$F$8,'融资租赁与资金缺口'!$E$8,IF(((YEAR(BR$46)-YEAR('融资租赁与资金缺口'!$F$8))*12+MONTH(BR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R$46)-YEAR('融资租赁与资金缺口'!$F$8))*12+MONTH(BR$46)-MONTH('融资租赁与资金缺口'!$F$8)),'融资租赁与资金缺口'!$E$8*(1+'融资租赁与资金缺口'!$I$8)^((YEAR(BR$46)-YEAR('融资租赁与资金缺口'!$F$8))*12+MONTH(BR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R$46)-YEAR('融资租赁与资金缺口'!$F$8))*12+MONTH(BR$46)-MONTH('融资租赁与资金缺口'!$F$8))-1)/'融资租赁与资金缺口'!$I$8))))),IF(BR$46&lt;'融资租赁与资金缺口'!$F$9,0,IF(BR$46='融资租赁与资金缺口'!$F$9,'融资租赁与资金缺口'!$E$9,IF(((YEAR(BR$46)-YEAR('融资租赁与资金缺口'!$F$9))*12+MONTH(BR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R$46)-YEAR('融资租赁与资金缺口'!$F$9))*12+MONTH(BR$46)-MONTH('融资租赁与资金缺口'!$F$9)),'融资租赁与资金缺口'!$E$9*(1+'融资租赁与资金缺口'!$I$9)^((YEAR(BR$46)-YEAR('融资租赁与资金缺口'!$F$9))*12+MONTH(BR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R$46)-YEAR('融资租赁与资金缺口'!$F$9))*12+MONTH(BR$46)-MONTH('融资租赁与资金缺口'!$F$9))-1)/'融资租赁与资金缺口'!$I$9))))),IF(BR$46&lt;'融资租赁与资金缺口'!$F$10,0,IF(BR$46='融资租赁与资金缺口'!$F$10,'融资租赁与资金缺口'!$E$10,IF(((YEAR(BR$46)-YEAR('融资租赁与资金缺口'!$F$10))*12+MONTH(BR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R$46)-YEAR('融资租赁与资金缺口'!$F$10))*12+MONTH(BR$46)-MONTH('融资租赁与资金缺口'!$F$10)),'融资租赁与资金缺口'!$E$10*(1+'融资租赁与资金缺口'!$I$10)^((YEAR(BR$46)-YEAR('融资租赁与资金缺口'!$F$10))*12+MONTH(BR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R$46)-YEAR('融资租赁与资金缺口'!$F$10))*12+MONTH(BR$46)-MONTH('融资租赁与资金缺口'!$F$10))-1)/'融资租赁与资金缺口'!$I$10))))),IF(BR$46&lt;'融资租赁与资金缺口'!$F$11,0,IF(BR$46='融资租赁与资金缺口'!$F$11,'融资租赁与资金缺口'!$E$11,IF(((YEAR(BR$46)-YEAR('融资租赁与资金缺口'!$F$11))*12+MONTH(BR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R$46)-YEAR('融资租赁与资金缺口'!$F$11))*12+MONTH(BR$46)-MONTH('融资租赁与资金缺口'!$F$11)),'融资租赁与资金缺口'!$E$11*(1+'融资租赁与资金缺口'!$I$11)^((YEAR(BR$46)-YEAR('融资租赁与资金缺口'!$F$11))*12+MONTH(BR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R$46)-YEAR('融资租赁与资金缺口'!$F$11))*12+MONTH(BR$46)-MONTH('融资租赁与资金缺口'!$F$11))-1)/'融资租赁与资金缺口'!$I$11))))),IF(BR$46&lt;'融资租赁与资金缺口'!$F$12,0,IF(BR$46='融资租赁与资金缺口'!$F$12,'融资租赁与资金缺口'!$E$12,IF(((YEAR(BR$46)-YEAR('融资租赁与资金缺口'!$F$12))*12+MONTH(BR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R$46)-YEAR('融资租赁与资金缺口'!$F$12))*12+MONTH(BR$46)-MONTH('融资租赁与资金缺口'!$F$12)),'融资租赁与资金缺口'!$E$12*(1+'融资租赁与资金缺口'!$I$12)^((YEAR(BR$46)-YEAR('融资租赁与资金缺口'!$F$12))*12+MONTH(BR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R$46)-YEAR('融资租赁与资金缺口'!$F$12))*12+MONTH(BR$46)-MONTH('融资租赁与资金缺口'!$F$12))-1)/'融资租赁与资金缺口'!$I$12))))),IF(BR$46&lt;'融资租赁与资金缺口'!$F$13,0,IF(BR$46='融资租赁与资金缺口'!$F$13,'融资租赁与资金缺口'!$E$13,IF(((YEAR(BR$46)-YEAR('融资租赁与资金缺口'!$F$13))*12+MONTH(BR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R$46)-YEAR('融资租赁与资金缺口'!$F$13))*12+MONTH(BR$46)-MONTH('融资租赁与资金缺口'!$F$13)),'融资租赁与资金缺口'!$E$13*(1+'融资租赁与资金缺口'!$I$13)^((YEAR(BR$46)-YEAR('融资租赁与资金缺口'!$F$13))*12+MONTH(BR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R$46)-YEAR('融资租赁与资金缺口'!$F$13))*12+MONTH(BR$46)-MONTH('融资租赁与资金缺口'!$F$13))-1)/'融资租赁与资金缺口'!$I$13))))),IF(BR$46&lt;'融资租赁与资金缺口'!$F$14,0,IF(BR$46='融资租赁与资金缺口'!$F$14,'融资租赁与资金缺口'!$E$14,IF(((YEAR(BR$46)-YEAR('融资租赁与资金缺口'!$F$14))*12+MONTH(BR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R$46)-YEAR('融资租赁与资金缺口'!$F$14))*12+MONTH(BR$46)-MONTH('融资租赁与资金缺口'!$F$14)),'融资租赁与资金缺口'!$E$14*(1+'融资租赁与资金缺口'!$I$14)^((YEAR(BR$46)-YEAR('融资租赁与资金缺口'!$F$14))*12+MONTH(BR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R$46)-YEAR('融资租赁与资金缺口'!$F$14))*12+MONTH(BR$46)-MONTH('融资租赁与资金缺口'!$F$14))-1)/'融资租赁与资金缺口'!$I$14))))),IF(BR$46&lt;'融资租赁与资金缺口'!$F$15,0,IF(BR$46='融资租赁与资金缺口'!$F$15,'融资租赁与资金缺口'!$E$15,IF(((YEAR(BR$46)-YEAR('融资租赁与资金缺口'!$F$15))*12+MONTH(BR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R$46)-YEAR('融资租赁与资金缺口'!$F$15))*12+MONTH(BR$46)-MONTH('融资租赁与资金缺口'!$F$15)),'融资租赁与资金缺口'!$E$15*(1+'融资租赁与资金缺口'!$I$15)^((YEAR(BR$46)-YEAR('融资租赁与资金缺口'!$F$15))*12+MONTH(BR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R$46)-YEAR('融资租赁与资金缺口'!$F$15))*12+MONTH(BR$46)-MONTH('融资租赁与资金缺口'!$F$15))-1)/'融资租赁与资金缺口'!$I$15))))),IF(BR$46&lt;'融资租赁与资金缺口'!$F$16,0,IF(BR$46='融资租赁与资金缺口'!$F$16,'融资租赁与资金缺口'!$E$16,IF(((YEAR(BR$46)-YEAR('融资租赁与资金缺口'!$F$16))*12+MONTH(BR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R$46)-YEAR('融资租赁与资金缺口'!$F$16))*12+MONTH(BR$46)-MONTH('融资租赁与资金缺口'!$F$16)),'融资租赁与资金缺口'!$E$16*(1+'融资租赁与资金缺口'!$I$16)^((YEAR(BR$46)-YEAR('融资租赁与资金缺口'!$F$16))*12+MONTH(BR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R$46)-YEAR('融资租赁与资金缺口'!$F$16))*12+MONTH(BR$46)-MONTH('融资租赁与资金缺口'!$F$16))-1)/'融资租赁与资金缺口'!$I$16))))))</x:f>
        <x:v>93764799.9079237</x:v>
      </x:c>
      <x:c r="BS58" s="28" t="n">
        <x:f>SUM(IF(BS$46&lt;'融资租赁与资金缺口'!$F$5,0,IF(BS$46='融资租赁与资金缺口'!$F$5,'融资租赁与资金缺口'!$E$5,IF(((YEAR(BS$46)-YEAR('融资租赁与资金缺口'!$F$5))*12+MONTH(BS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S$46)-YEAR('融资租赁与资金缺口'!$F$5))*12+MONTH(BS$46)-MONTH('融资租赁与资金缺口'!$F$5)),'融资租赁与资金缺口'!$E$5*(1+'融资租赁与资金缺口'!$I$5)^((YEAR(BS$46)-YEAR('融资租赁与资金缺口'!$F$5))*12+MONTH(BS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S$46)-YEAR('融资租赁与资金缺口'!$F$5))*12+MONTH(BS$46)-MONTH('融资租赁与资金缺口'!$F$5))-1)/'融资租赁与资金缺口'!$I$5))))),IF(BS$46&lt;'融资租赁与资金缺口'!$F$6,0,IF(BS$46='融资租赁与资金缺口'!$F$6,'融资租赁与资金缺口'!$E$6,IF(((YEAR(BS$46)-YEAR('融资租赁与资金缺口'!$F$6))*12+MONTH(BS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S$46)-YEAR('融资租赁与资金缺口'!$F$6))*12+MONTH(BS$46)-MONTH('融资租赁与资金缺口'!$F$6)),'融资租赁与资金缺口'!$E$6*(1+'融资租赁与资金缺口'!$I$6)^((YEAR(BS$46)-YEAR('融资租赁与资金缺口'!$F$6))*12+MONTH(BS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S$46)-YEAR('融资租赁与资金缺口'!$F$6))*12+MONTH(BS$46)-MONTH('融资租赁与资金缺口'!$F$6))-1)/'融资租赁与资金缺口'!$I$6))))),IF(BS$46&lt;'融资租赁与资金缺口'!$F$7,0,IF(BS$46='融资租赁与资金缺口'!$F$7,'融资租赁与资金缺口'!$E$7,IF(((YEAR(BS$46)-YEAR('融资租赁与资金缺口'!$F$7))*12+MONTH(BS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S$46)-YEAR('融资租赁与资金缺口'!$F$7))*12+MONTH(BS$46)-MONTH('融资租赁与资金缺口'!$F$7)),'融资租赁与资金缺口'!$E$7*(1+'融资租赁与资金缺口'!$I$7)^((YEAR(BS$46)-YEAR('融资租赁与资金缺口'!$F$7))*12+MONTH(BS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S$46)-YEAR('融资租赁与资金缺口'!$F$7))*12+MONTH(BS$46)-MONTH('融资租赁与资金缺口'!$F$7))-1)/'融资租赁与资金缺口'!$I$7))))),IF(BS$46&lt;'融资租赁与资金缺口'!$F$8,0,IF(BS$46='融资租赁与资金缺口'!$F$8,'融资租赁与资金缺口'!$E$8,IF(((YEAR(BS$46)-YEAR('融资租赁与资金缺口'!$F$8))*12+MONTH(BS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S$46)-YEAR('融资租赁与资金缺口'!$F$8))*12+MONTH(BS$46)-MONTH('融资租赁与资金缺口'!$F$8)),'融资租赁与资金缺口'!$E$8*(1+'融资租赁与资金缺口'!$I$8)^((YEAR(BS$46)-YEAR('融资租赁与资金缺口'!$F$8))*12+MONTH(BS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S$46)-YEAR('融资租赁与资金缺口'!$F$8))*12+MONTH(BS$46)-MONTH('融资租赁与资金缺口'!$F$8))-1)/'融资租赁与资金缺口'!$I$8))))),IF(BS$46&lt;'融资租赁与资金缺口'!$F$9,0,IF(BS$46='融资租赁与资金缺口'!$F$9,'融资租赁与资金缺口'!$E$9,IF(((YEAR(BS$46)-YEAR('融资租赁与资金缺口'!$F$9))*12+MONTH(BS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S$46)-YEAR('融资租赁与资金缺口'!$F$9))*12+MONTH(BS$46)-MONTH('融资租赁与资金缺口'!$F$9)),'融资租赁与资金缺口'!$E$9*(1+'融资租赁与资金缺口'!$I$9)^((YEAR(BS$46)-YEAR('融资租赁与资金缺口'!$F$9))*12+MONTH(BS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S$46)-YEAR('融资租赁与资金缺口'!$F$9))*12+MONTH(BS$46)-MONTH('融资租赁与资金缺口'!$F$9))-1)/'融资租赁与资金缺口'!$I$9))))),IF(BS$46&lt;'融资租赁与资金缺口'!$F$10,0,IF(BS$46='融资租赁与资金缺口'!$F$10,'融资租赁与资金缺口'!$E$10,IF(((YEAR(BS$46)-YEAR('融资租赁与资金缺口'!$F$10))*12+MONTH(BS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S$46)-YEAR('融资租赁与资金缺口'!$F$10))*12+MONTH(BS$46)-MONTH('融资租赁与资金缺口'!$F$10)),'融资租赁与资金缺口'!$E$10*(1+'融资租赁与资金缺口'!$I$10)^((YEAR(BS$46)-YEAR('融资租赁与资金缺口'!$F$10))*12+MONTH(BS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S$46)-YEAR('融资租赁与资金缺口'!$F$10))*12+MONTH(BS$46)-MONTH('融资租赁与资金缺口'!$F$10))-1)/'融资租赁与资金缺口'!$I$10))))),IF(BS$46&lt;'融资租赁与资金缺口'!$F$11,0,IF(BS$46='融资租赁与资金缺口'!$F$11,'融资租赁与资金缺口'!$E$11,IF(((YEAR(BS$46)-YEAR('融资租赁与资金缺口'!$F$11))*12+MONTH(BS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S$46)-YEAR('融资租赁与资金缺口'!$F$11))*12+MONTH(BS$46)-MONTH('融资租赁与资金缺口'!$F$11)),'融资租赁与资金缺口'!$E$11*(1+'融资租赁与资金缺口'!$I$11)^((YEAR(BS$46)-YEAR('融资租赁与资金缺口'!$F$11))*12+MONTH(BS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S$46)-YEAR('融资租赁与资金缺口'!$F$11))*12+MONTH(BS$46)-MONTH('融资租赁与资金缺口'!$F$11))-1)/'融资租赁与资金缺口'!$I$11))))),IF(BS$46&lt;'融资租赁与资金缺口'!$F$12,0,IF(BS$46='融资租赁与资金缺口'!$F$12,'融资租赁与资金缺口'!$E$12,IF(((YEAR(BS$46)-YEAR('融资租赁与资金缺口'!$F$12))*12+MONTH(BS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S$46)-YEAR('融资租赁与资金缺口'!$F$12))*12+MONTH(BS$46)-MONTH('融资租赁与资金缺口'!$F$12)),'融资租赁与资金缺口'!$E$12*(1+'融资租赁与资金缺口'!$I$12)^((YEAR(BS$46)-YEAR('融资租赁与资金缺口'!$F$12))*12+MONTH(BS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S$46)-YEAR('融资租赁与资金缺口'!$F$12))*12+MONTH(BS$46)-MONTH('融资租赁与资金缺口'!$F$12))-1)/'融资租赁与资金缺口'!$I$12))))),IF(BS$46&lt;'融资租赁与资金缺口'!$F$13,0,IF(BS$46='融资租赁与资金缺口'!$F$13,'融资租赁与资金缺口'!$E$13,IF(((YEAR(BS$46)-YEAR('融资租赁与资金缺口'!$F$13))*12+MONTH(BS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S$46)-YEAR('融资租赁与资金缺口'!$F$13))*12+MONTH(BS$46)-MONTH('融资租赁与资金缺口'!$F$13)),'融资租赁与资金缺口'!$E$13*(1+'融资租赁与资金缺口'!$I$13)^((YEAR(BS$46)-YEAR('融资租赁与资金缺口'!$F$13))*12+MONTH(BS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S$46)-YEAR('融资租赁与资金缺口'!$F$13))*12+MONTH(BS$46)-MONTH('融资租赁与资金缺口'!$F$13))-1)/'融资租赁与资金缺口'!$I$13))))),IF(BS$46&lt;'融资租赁与资金缺口'!$F$14,0,IF(BS$46='融资租赁与资金缺口'!$F$14,'融资租赁与资金缺口'!$E$14,IF(((YEAR(BS$46)-YEAR('融资租赁与资金缺口'!$F$14))*12+MONTH(BS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S$46)-YEAR('融资租赁与资金缺口'!$F$14))*12+MONTH(BS$46)-MONTH('融资租赁与资金缺口'!$F$14)),'融资租赁与资金缺口'!$E$14*(1+'融资租赁与资金缺口'!$I$14)^((YEAR(BS$46)-YEAR('融资租赁与资金缺口'!$F$14))*12+MONTH(BS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S$46)-YEAR('融资租赁与资金缺口'!$F$14))*12+MONTH(BS$46)-MONTH('融资租赁与资金缺口'!$F$14))-1)/'融资租赁与资金缺口'!$I$14))))),IF(BS$46&lt;'融资租赁与资金缺口'!$F$15,0,IF(BS$46='融资租赁与资金缺口'!$F$15,'融资租赁与资金缺口'!$E$15,IF(((YEAR(BS$46)-YEAR('融资租赁与资金缺口'!$F$15))*12+MONTH(BS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S$46)-YEAR('融资租赁与资金缺口'!$F$15))*12+MONTH(BS$46)-MONTH('融资租赁与资金缺口'!$F$15)),'融资租赁与资金缺口'!$E$15*(1+'融资租赁与资金缺口'!$I$15)^((YEAR(BS$46)-YEAR('融资租赁与资金缺口'!$F$15))*12+MONTH(BS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S$46)-YEAR('融资租赁与资金缺口'!$F$15))*12+MONTH(BS$46)-MONTH('融资租赁与资金缺口'!$F$15))-1)/'融资租赁与资金缺口'!$I$15))))),IF(BS$46&lt;'融资租赁与资金缺口'!$F$16,0,IF(BS$46='融资租赁与资金缺口'!$F$16,'融资租赁与资金缺口'!$E$16,IF(((YEAR(BS$46)-YEAR('融资租赁与资金缺口'!$F$16))*12+MONTH(BS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S$46)-YEAR('融资租赁与资金缺口'!$F$16))*12+MONTH(BS$46)-MONTH('融资租赁与资金缺口'!$F$16)),'融资租赁与资金缺口'!$E$16*(1+'融资租赁与资金缺口'!$I$16)^((YEAR(BS$46)-YEAR('融资租赁与资金缺口'!$F$16))*12+MONTH(BS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S$46)-YEAR('融资租赁与资金缺口'!$F$16))*12+MONTH(BS$46)-MONTH('融资租赁与资金缺口'!$F$16))-1)/'融资租赁与资金缺口'!$I$16))))))</x:f>
        <x:v>78749714.24068397</x:v>
      </x:c>
      <x:c r="BT58" s="28" t="n">
        <x:f>SUM(IF(BT$46&lt;'融资租赁与资金缺口'!$F$5,0,IF(BT$46='融资租赁与资金缺口'!$F$5,'融资租赁与资金缺口'!$E$5,IF(((YEAR(BT$46)-YEAR('融资租赁与资金缺口'!$F$5))*12+MONTH(BT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T$46)-YEAR('融资租赁与资金缺口'!$F$5))*12+MONTH(BT$46)-MONTH('融资租赁与资金缺口'!$F$5)),'融资租赁与资金缺口'!$E$5*(1+'融资租赁与资金缺口'!$I$5)^((YEAR(BT$46)-YEAR('融资租赁与资金缺口'!$F$5))*12+MONTH(BT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T$46)-YEAR('融资租赁与资金缺口'!$F$5))*12+MONTH(BT$46)-MONTH('融资租赁与资金缺口'!$F$5))-1)/'融资租赁与资金缺口'!$I$5))))),IF(BT$46&lt;'融资租赁与资金缺口'!$F$6,0,IF(BT$46='融资租赁与资金缺口'!$F$6,'融资租赁与资金缺口'!$E$6,IF(((YEAR(BT$46)-YEAR('融资租赁与资金缺口'!$F$6))*12+MONTH(BT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T$46)-YEAR('融资租赁与资金缺口'!$F$6))*12+MONTH(BT$46)-MONTH('融资租赁与资金缺口'!$F$6)),'融资租赁与资金缺口'!$E$6*(1+'融资租赁与资金缺口'!$I$6)^((YEAR(BT$46)-YEAR('融资租赁与资金缺口'!$F$6))*12+MONTH(BT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T$46)-YEAR('融资租赁与资金缺口'!$F$6))*12+MONTH(BT$46)-MONTH('融资租赁与资金缺口'!$F$6))-1)/'融资租赁与资金缺口'!$I$6))))),IF(BT$46&lt;'融资租赁与资金缺口'!$F$7,0,IF(BT$46='融资租赁与资金缺口'!$F$7,'融资租赁与资金缺口'!$E$7,IF(((YEAR(BT$46)-YEAR('融资租赁与资金缺口'!$F$7))*12+MONTH(BT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T$46)-YEAR('融资租赁与资金缺口'!$F$7))*12+MONTH(BT$46)-MONTH('融资租赁与资金缺口'!$F$7)),'融资租赁与资金缺口'!$E$7*(1+'融资租赁与资金缺口'!$I$7)^((YEAR(BT$46)-YEAR('融资租赁与资金缺口'!$F$7))*12+MONTH(BT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T$46)-YEAR('融资租赁与资金缺口'!$F$7))*12+MONTH(BT$46)-MONTH('融资租赁与资金缺口'!$F$7))-1)/'融资租赁与资金缺口'!$I$7))))),IF(BT$46&lt;'融资租赁与资金缺口'!$F$8,0,IF(BT$46='融资租赁与资金缺口'!$F$8,'融资租赁与资金缺口'!$E$8,IF(((YEAR(BT$46)-YEAR('融资租赁与资金缺口'!$F$8))*12+MONTH(BT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T$46)-YEAR('融资租赁与资金缺口'!$F$8))*12+MONTH(BT$46)-MONTH('融资租赁与资金缺口'!$F$8)),'融资租赁与资金缺口'!$E$8*(1+'融资租赁与资金缺口'!$I$8)^((YEAR(BT$46)-YEAR('融资租赁与资金缺口'!$F$8))*12+MONTH(BT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T$46)-YEAR('融资租赁与资金缺口'!$F$8))*12+MONTH(BT$46)-MONTH('融资租赁与资金缺口'!$F$8))-1)/'融资租赁与资金缺口'!$I$8))))),IF(BT$46&lt;'融资租赁与资金缺口'!$F$9,0,IF(BT$46='融资租赁与资金缺口'!$F$9,'融资租赁与资金缺口'!$E$9,IF(((YEAR(BT$46)-YEAR('融资租赁与资金缺口'!$F$9))*12+MONTH(BT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T$46)-YEAR('融资租赁与资金缺口'!$F$9))*12+MONTH(BT$46)-MONTH('融资租赁与资金缺口'!$F$9)),'融资租赁与资金缺口'!$E$9*(1+'融资租赁与资金缺口'!$I$9)^((YEAR(BT$46)-YEAR('融资租赁与资金缺口'!$F$9))*12+MONTH(BT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T$46)-YEAR('融资租赁与资金缺口'!$F$9))*12+MONTH(BT$46)-MONTH('融资租赁与资金缺口'!$F$9))-1)/'融资租赁与资金缺口'!$I$9))))),IF(BT$46&lt;'融资租赁与资金缺口'!$F$10,0,IF(BT$46='融资租赁与资金缺口'!$F$10,'融资租赁与资金缺口'!$E$10,IF(((YEAR(BT$46)-YEAR('融资租赁与资金缺口'!$F$10))*12+MONTH(BT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T$46)-YEAR('融资租赁与资金缺口'!$F$10))*12+MONTH(BT$46)-MONTH('融资租赁与资金缺口'!$F$10)),'融资租赁与资金缺口'!$E$10*(1+'融资租赁与资金缺口'!$I$10)^((YEAR(BT$46)-YEAR('融资租赁与资金缺口'!$F$10))*12+MONTH(BT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T$46)-YEAR('融资租赁与资金缺口'!$F$10))*12+MONTH(BT$46)-MONTH('融资租赁与资金缺口'!$F$10))-1)/'融资租赁与资金缺口'!$I$10))))),IF(BT$46&lt;'融资租赁与资金缺口'!$F$11,0,IF(BT$46='融资租赁与资金缺口'!$F$11,'融资租赁与资金缺口'!$E$11,IF(((YEAR(BT$46)-YEAR('融资租赁与资金缺口'!$F$11))*12+MONTH(BT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T$46)-YEAR('融资租赁与资金缺口'!$F$11))*12+MONTH(BT$46)-MONTH('融资租赁与资金缺口'!$F$11)),'融资租赁与资金缺口'!$E$11*(1+'融资租赁与资金缺口'!$I$11)^((YEAR(BT$46)-YEAR('融资租赁与资金缺口'!$F$11))*12+MONTH(BT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T$46)-YEAR('融资租赁与资金缺口'!$F$11))*12+MONTH(BT$46)-MONTH('融资租赁与资金缺口'!$F$11))-1)/'融资租赁与资金缺口'!$I$11))))),IF(BT$46&lt;'融资租赁与资金缺口'!$F$12,0,IF(BT$46='融资租赁与资金缺口'!$F$12,'融资租赁与资金缺口'!$E$12,IF(((YEAR(BT$46)-YEAR('融资租赁与资金缺口'!$F$12))*12+MONTH(BT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T$46)-YEAR('融资租赁与资金缺口'!$F$12))*12+MONTH(BT$46)-MONTH('融资租赁与资金缺口'!$F$12)),'融资租赁与资金缺口'!$E$12*(1+'融资租赁与资金缺口'!$I$12)^((YEAR(BT$46)-YEAR('融资租赁与资金缺口'!$F$12))*12+MONTH(BT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T$46)-YEAR('融资租赁与资金缺口'!$F$12))*12+MONTH(BT$46)-MONTH('融资租赁与资金缺口'!$F$12))-1)/'融资租赁与资金缺口'!$I$12))))),IF(BT$46&lt;'融资租赁与资金缺口'!$F$13,0,IF(BT$46='融资租赁与资金缺口'!$F$13,'融资租赁与资金缺口'!$E$13,IF(((YEAR(BT$46)-YEAR('融资租赁与资金缺口'!$F$13))*12+MONTH(BT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T$46)-YEAR('融资租赁与资金缺口'!$F$13))*12+MONTH(BT$46)-MONTH('融资租赁与资金缺口'!$F$13)),'融资租赁与资金缺口'!$E$13*(1+'融资租赁与资金缺口'!$I$13)^((YEAR(BT$46)-YEAR('融资租赁与资金缺口'!$F$13))*12+MONTH(BT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T$46)-YEAR('融资租赁与资金缺口'!$F$13))*12+MONTH(BT$46)-MONTH('融资租赁与资金缺口'!$F$13))-1)/'融资租赁与资金缺口'!$I$13))))),IF(BT$46&lt;'融资租赁与资金缺口'!$F$14,0,IF(BT$46='融资租赁与资金缺口'!$F$14,'融资租赁与资金缺口'!$E$14,IF(((YEAR(BT$46)-YEAR('融资租赁与资金缺口'!$F$14))*12+MONTH(BT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T$46)-YEAR('融资租赁与资金缺口'!$F$14))*12+MONTH(BT$46)-MONTH('融资租赁与资金缺口'!$F$14)),'融资租赁与资金缺口'!$E$14*(1+'融资租赁与资金缺口'!$I$14)^((YEAR(BT$46)-YEAR('融资租赁与资金缺口'!$F$14))*12+MONTH(BT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T$46)-YEAR('融资租赁与资金缺口'!$F$14))*12+MONTH(BT$46)-MONTH('融资租赁与资金缺口'!$F$14))-1)/'融资租赁与资金缺口'!$I$14))))),IF(BT$46&lt;'融资租赁与资金缺口'!$F$15,0,IF(BT$46='融资租赁与资金缺口'!$F$15,'融资租赁与资金缺口'!$E$15,IF(((YEAR(BT$46)-YEAR('融资租赁与资金缺口'!$F$15))*12+MONTH(BT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T$46)-YEAR('融资租赁与资金缺口'!$F$15))*12+MONTH(BT$46)-MONTH('融资租赁与资金缺口'!$F$15)),'融资租赁与资金缺口'!$E$15*(1+'融资租赁与资金缺口'!$I$15)^((YEAR(BT$46)-YEAR('融资租赁与资金缺口'!$F$15))*12+MONTH(BT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T$46)-YEAR('融资租赁与资金缺口'!$F$15))*12+MONTH(BT$46)-MONTH('融资租赁与资金缺口'!$F$15))-1)/'融资租赁与资金缺口'!$I$15))))),IF(BT$46&lt;'融资租赁与资金缺口'!$F$16,0,IF(BT$46='融资租赁与资金缺口'!$F$16,'融资租赁与资金缺口'!$E$16,IF(((YEAR(BT$46)-YEAR('融资租赁与资金缺口'!$F$16))*12+MONTH(BT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T$46)-YEAR('融资租赁与资金缺口'!$F$16))*12+MONTH(BT$46)-MONTH('融资租赁与资金缺口'!$F$16)),'融资租赁与资金缺口'!$E$16*(1+'融资租赁与资金缺口'!$I$16)^((YEAR(BT$46)-YEAR('融资租赁与资金缺口'!$F$16))*12+MONTH(BT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T$46)-YEAR('融资租赁与资金缺口'!$F$16))*12+MONTH(BT$46)-MONTH('融资租赁与资金缺口'!$F$16))-1)/'融资租赁与资金缺口'!$I$16))))))</x:f>
        <x:v>64586849.62933349</x:v>
      </x:c>
      <x:c r="BU58" s="28" t="n">
        <x:f>SUM(IF(BU$46&lt;'融资租赁与资金缺口'!$F$5,0,IF(BU$46='融资租赁与资金缺口'!$F$5,'融资租赁与资金缺口'!$E$5,IF(((YEAR(BU$46)-YEAR('融资租赁与资金缺口'!$F$5))*12+MONTH(BU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U$46)-YEAR('融资租赁与资金缺口'!$F$5))*12+MONTH(BU$46)-MONTH('融资租赁与资金缺口'!$F$5)),'融资租赁与资金缺口'!$E$5*(1+'融资租赁与资金缺口'!$I$5)^((YEAR(BU$46)-YEAR('融资租赁与资金缺口'!$F$5))*12+MONTH(BU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U$46)-YEAR('融资租赁与资金缺口'!$F$5))*12+MONTH(BU$46)-MONTH('融资租赁与资金缺口'!$F$5))-1)/'融资租赁与资金缺口'!$I$5))))),IF(BU$46&lt;'融资租赁与资金缺口'!$F$6,0,IF(BU$46='融资租赁与资金缺口'!$F$6,'融资租赁与资金缺口'!$E$6,IF(((YEAR(BU$46)-YEAR('融资租赁与资金缺口'!$F$6))*12+MONTH(BU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U$46)-YEAR('融资租赁与资金缺口'!$F$6))*12+MONTH(BU$46)-MONTH('融资租赁与资金缺口'!$F$6)),'融资租赁与资金缺口'!$E$6*(1+'融资租赁与资金缺口'!$I$6)^((YEAR(BU$46)-YEAR('融资租赁与资金缺口'!$F$6))*12+MONTH(BU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U$46)-YEAR('融资租赁与资金缺口'!$F$6))*12+MONTH(BU$46)-MONTH('融资租赁与资金缺口'!$F$6))-1)/'融资租赁与资金缺口'!$I$6))))),IF(BU$46&lt;'融资租赁与资金缺口'!$F$7,0,IF(BU$46='融资租赁与资金缺口'!$F$7,'融资租赁与资金缺口'!$E$7,IF(((YEAR(BU$46)-YEAR('融资租赁与资金缺口'!$F$7))*12+MONTH(BU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U$46)-YEAR('融资租赁与资金缺口'!$F$7))*12+MONTH(BU$46)-MONTH('融资租赁与资金缺口'!$F$7)),'融资租赁与资金缺口'!$E$7*(1+'融资租赁与资金缺口'!$I$7)^((YEAR(BU$46)-YEAR('融资租赁与资金缺口'!$F$7))*12+MONTH(BU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U$46)-YEAR('融资租赁与资金缺口'!$F$7))*12+MONTH(BU$46)-MONTH('融资租赁与资金缺口'!$F$7))-1)/'融资租赁与资金缺口'!$I$7))))),IF(BU$46&lt;'融资租赁与资金缺口'!$F$8,0,IF(BU$46='融资租赁与资金缺口'!$F$8,'融资租赁与资金缺口'!$E$8,IF(((YEAR(BU$46)-YEAR('融资租赁与资金缺口'!$F$8))*12+MONTH(BU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U$46)-YEAR('融资租赁与资金缺口'!$F$8))*12+MONTH(BU$46)-MONTH('融资租赁与资金缺口'!$F$8)),'融资租赁与资金缺口'!$E$8*(1+'融资租赁与资金缺口'!$I$8)^((YEAR(BU$46)-YEAR('融资租赁与资金缺口'!$F$8))*12+MONTH(BU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U$46)-YEAR('融资租赁与资金缺口'!$F$8))*12+MONTH(BU$46)-MONTH('融资租赁与资金缺口'!$F$8))-1)/'融资租赁与资金缺口'!$I$8))))),IF(BU$46&lt;'融资租赁与资金缺口'!$F$9,0,IF(BU$46='融资租赁与资金缺口'!$F$9,'融资租赁与资金缺口'!$E$9,IF(((YEAR(BU$46)-YEAR('融资租赁与资金缺口'!$F$9))*12+MONTH(BU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U$46)-YEAR('融资租赁与资金缺口'!$F$9))*12+MONTH(BU$46)-MONTH('融资租赁与资金缺口'!$F$9)),'融资租赁与资金缺口'!$E$9*(1+'融资租赁与资金缺口'!$I$9)^((YEAR(BU$46)-YEAR('融资租赁与资金缺口'!$F$9))*12+MONTH(BU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U$46)-YEAR('融资租赁与资金缺口'!$F$9))*12+MONTH(BU$46)-MONTH('融资租赁与资金缺口'!$F$9))-1)/'融资租赁与资金缺口'!$I$9))))),IF(BU$46&lt;'融资租赁与资金缺口'!$F$10,0,IF(BU$46='融资租赁与资金缺口'!$F$10,'融资租赁与资金缺口'!$E$10,IF(((YEAR(BU$46)-YEAR('融资租赁与资金缺口'!$F$10))*12+MONTH(BU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U$46)-YEAR('融资租赁与资金缺口'!$F$10))*12+MONTH(BU$46)-MONTH('融资租赁与资金缺口'!$F$10)),'融资租赁与资金缺口'!$E$10*(1+'融资租赁与资金缺口'!$I$10)^((YEAR(BU$46)-YEAR('融资租赁与资金缺口'!$F$10))*12+MONTH(BU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U$46)-YEAR('融资租赁与资金缺口'!$F$10))*12+MONTH(BU$46)-MONTH('融资租赁与资金缺口'!$F$10))-1)/'融资租赁与资金缺口'!$I$10))))),IF(BU$46&lt;'融资租赁与资金缺口'!$F$11,0,IF(BU$46='融资租赁与资金缺口'!$F$11,'融资租赁与资金缺口'!$E$11,IF(((YEAR(BU$46)-YEAR('融资租赁与资金缺口'!$F$11))*12+MONTH(BU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U$46)-YEAR('融资租赁与资金缺口'!$F$11))*12+MONTH(BU$46)-MONTH('融资租赁与资金缺口'!$F$11)),'融资租赁与资金缺口'!$E$11*(1+'融资租赁与资金缺口'!$I$11)^((YEAR(BU$46)-YEAR('融资租赁与资金缺口'!$F$11))*12+MONTH(BU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U$46)-YEAR('融资租赁与资金缺口'!$F$11))*12+MONTH(BU$46)-MONTH('融资租赁与资金缺口'!$F$11))-1)/'融资租赁与资金缺口'!$I$11))))),IF(BU$46&lt;'融资租赁与资金缺口'!$F$12,0,IF(BU$46='融资租赁与资金缺口'!$F$12,'融资租赁与资金缺口'!$E$12,IF(((YEAR(BU$46)-YEAR('融资租赁与资金缺口'!$F$12))*12+MONTH(BU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U$46)-YEAR('融资租赁与资金缺口'!$F$12))*12+MONTH(BU$46)-MONTH('融资租赁与资金缺口'!$F$12)),'融资租赁与资金缺口'!$E$12*(1+'融资租赁与资金缺口'!$I$12)^((YEAR(BU$46)-YEAR('融资租赁与资金缺口'!$F$12))*12+MONTH(BU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U$46)-YEAR('融资租赁与资金缺口'!$F$12))*12+MONTH(BU$46)-MONTH('融资租赁与资金缺口'!$F$12))-1)/'融资租赁与资金缺口'!$I$12))))),IF(BU$46&lt;'融资租赁与资金缺口'!$F$13,0,IF(BU$46='融资租赁与资金缺口'!$F$13,'融资租赁与资金缺口'!$E$13,IF(((YEAR(BU$46)-YEAR('融资租赁与资金缺口'!$F$13))*12+MONTH(BU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U$46)-YEAR('融资租赁与资金缺口'!$F$13))*12+MONTH(BU$46)-MONTH('融资租赁与资金缺口'!$F$13)),'融资租赁与资金缺口'!$E$13*(1+'融资租赁与资金缺口'!$I$13)^((YEAR(BU$46)-YEAR('融资租赁与资金缺口'!$F$13))*12+MONTH(BU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U$46)-YEAR('融资租赁与资金缺口'!$F$13))*12+MONTH(BU$46)-MONTH('融资租赁与资金缺口'!$F$13))-1)/'融资租赁与资金缺口'!$I$13))))),IF(BU$46&lt;'融资租赁与资金缺口'!$F$14,0,IF(BU$46='融资租赁与资金缺口'!$F$14,'融资租赁与资金缺口'!$E$14,IF(((YEAR(BU$46)-YEAR('融资租赁与资金缺口'!$F$14))*12+MONTH(BU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U$46)-YEAR('融资租赁与资金缺口'!$F$14))*12+MONTH(BU$46)-MONTH('融资租赁与资金缺口'!$F$14)),'融资租赁与资金缺口'!$E$14*(1+'融资租赁与资金缺口'!$I$14)^((YEAR(BU$46)-YEAR('融资租赁与资金缺口'!$F$14))*12+MONTH(BU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U$46)-YEAR('融资租赁与资金缺口'!$F$14))*12+MONTH(BU$46)-MONTH('融资租赁与资金缺口'!$F$14))-1)/'融资租赁与资金缺口'!$I$14))))),IF(BU$46&lt;'融资租赁与资金缺口'!$F$15,0,IF(BU$46='融资租赁与资金缺口'!$F$15,'融资租赁与资金缺口'!$E$15,IF(((YEAR(BU$46)-YEAR('融资租赁与资金缺口'!$F$15))*12+MONTH(BU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U$46)-YEAR('融资租赁与资金缺口'!$F$15))*12+MONTH(BU$46)-MONTH('融资租赁与资金缺口'!$F$15)),'融资租赁与资金缺口'!$E$15*(1+'融资租赁与资金缺口'!$I$15)^((YEAR(BU$46)-YEAR('融资租赁与资金缺口'!$F$15))*12+MONTH(BU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U$46)-YEAR('融资租赁与资金缺口'!$F$15))*12+MONTH(BU$46)-MONTH('融资租赁与资金缺口'!$F$15))-1)/'融资租赁与资金缺口'!$I$15))))),IF(BU$46&lt;'融资租赁与资金缺口'!$F$16,0,IF(BU$46='融资租赁与资金缺口'!$F$16,'融资租赁与资金缺口'!$E$16,IF(((YEAR(BU$46)-YEAR('融资租赁与资金缺口'!$F$16))*12+MONTH(BU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U$46)-YEAR('融资租赁与资金缺口'!$F$16))*12+MONTH(BU$46)-MONTH('融资租赁与资金缺口'!$F$16)),'融资租赁与资金缺口'!$E$16*(1+'融资租赁与资金缺口'!$I$16)^((YEAR(BU$46)-YEAR('融资租赁与资金缺口'!$F$16))*12+MONTH(BU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U$46)-YEAR('融资租赁与资金缺口'!$F$16))*12+MONTH(BU$46)-MONTH('融资租赁与资金缺口'!$F$16))-1)/'融资租赁与资金缺口'!$I$16))))))</x:f>
        <x:v>51424122.78084443</x:v>
      </x:c>
      <x:c r="BV58" s="28" t="n">
        <x:f>SUM(IF(BV$46&lt;'融资租赁与资金缺口'!$F$5,0,IF(BV$46='融资租赁与资金缺口'!$F$5,'融资租赁与资金缺口'!$E$5,IF(((YEAR(BV$46)-YEAR('融资租赁与资金缺口'!$F$5))*12+MONTH(BV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V$46)-YEAR('融资租赁与资金缺口'!$F$5))*12+MONTH(BV$46)-MONTH('融资租赁与资金缺口'!$F$5)),'融资租赁与资金缺口'!$E$5*(1+'融资租赁与资金缺口'!$I$5)^((YEAR(BV$46)-YEAR('融资租赁与资金缺口'!$F$5))*12+MONTH(BV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V$46)-YEAR('融资租赁与资金缺口'!$F$5))*12+MONTH(BV$46)-MONTH('融资租赁与资金缺口'!$F$5))-1)/'融资租赁与资金缺口'!$I$5))))),IF(BV$46&lt;'融资租赁与资金缺口'!$F$6,0,IF(BV$46='融资租赁与资金缺口'!$F$6,'融资租赁与资金缺口'!$E$6,IF(((YEAR(BV$46)-YEAR('融资租赁与资金缺口'!$F$6))*12+MONTH(BV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V$46)-YEAR('融资租赁与资金缺口'!$F$6))*12+MONTH(BV$46)-MONTH('融资租赁与资金缺口'!$F$6)),'融资租赁与资金缺口'!$E$6*(1+'融资租赁与资金缺口'!$I$6)^((YEAR(BV$46)-YEAR('融资租赁与资金缺口'!$F$6))*12+MONTH(BV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V$46)-YEAR('融资租赁与资金缺口'!$F$6))*12+MONTH(BV$46)-MONTH('融资租赁与资金缺口'!$F$6))-1)/'融资租赁与资金缺口'!$I$6))))),IF(BV$46&lt;'融资租赁与资金缺口'!$F$7,0,IF(BV$46='融资租赁与资金缺口'!$F$7,'融资租赁与资金缺口'!$E$7,IF(((YEAR(BV$46)-YEAR('融资租赁与资金缺口'!$F$7))*12+MONTH(BV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V$46)-YEAR('融资租赁与资金缺口'!$F$7))*12+MONTH(BV$46)-MONTH('融资租赁与资金缺口'!$F$7)),'融资租赁与资金缺口'!$E$7*(1+'融资租赁与资金缺口'!$I$7)^((YEAR(BV$46)-YEAR('融资租赁与资金缺口'!$F$7))*12+MONTH(BV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V$46)-YEAR('融资租赁与资金缺口'!$F$7))*12+MONTH(BV$46)-MONTH('融资租赁与资金缺口'!$F$7))-1)/'融资租赁与资金缺口'!$I$7))))),IF(BV$46&lt;'融资租赁与资金缺口'!$F$8,0,IF(BV$46='融资租赁与资金缺口'!$F$8,'融资租赁与资金缺口'!$E$8,IF(((YEAR(BV$46)-YEAR('融资租赁与资金缺口'!$F$8))*12+MONTH(BV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V$46)-YEAR('融资租赁与资金缺口'!$F$8))*12+MONTH(BV$46)-MONTH('融资租赁与资金缺口'!$F$8)),'融资租赁与资金缺口'!$E$8*(1+'融资租赁与资金缺口'!$I$8)^((YEAR(BV$46)-YEAR('融资租赁与资金缺口'!$F$8))*12+MONTH(BV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V$46)-YEAR('融资租赁与资金缺口'!$F$8))*12+MONTH(BV$46)-MONTH('融资租赁与资金缺口'!$F$8))-1)/'融资租赁与资金缺口'!$I$8))))),IF(BV$46&lt;'融资租赁与资金缺口'!$F$9,0,IF(BV$46='融资租赁与资金缺口'!$F$9,'融资租赁与资金缺口'!$E$9,IF(((YEAR(BV$46)-YEAR('融资租赁与资金缺口'!$F$9))*12+MONTH(BV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V$46)-YEAR('融资租赁与资金缺口'!$F$9))*12+MONTH(BV$46)-MONTH('融资租赁与资金缺口'!$F$9)),'融资租赁与资金缺口'!$E$9*(1+'融资租赁与资金缺口'!$I$9)^((YEAR(BV$46)-YEAR('融资租赁与资金缺口'!$F$9))*12+MONTH(BV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V$46)-YEAR('融资租赁与资金缺口'!$F$9))*12+MONTH(BV$46)-MONTH('融资租赁与资金缺口'!$F$9))-1)/'融资租赁与资金缺口'!$I$9))))),IF(BV$46&lt;'融资租赁与资金缺口'!$F$10,0,IF(BV$46='融资租赁与资金缺口'!$F$10,'融资租赁与资金缺口'!$E$10,IF(((YEAR(BV$46)-YEAR('融资租赁与资金缺口'!$F$10))*12+MONTH(BV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V$46)-YEAR('融资租赁与资金缺口'!$F$10))*12+MONTH(BV$46)-MONTH('融资租赁与资金缺口'!$F$10)),'融资租赁与资金缺口'!$E$10*(1+'融资租赁与资金缺口'!$I$10)^((YEAR(BV$46)-YEAR('融资租赁与资金缺口'!$F$10))*12+MONTH(BV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V$46)-YEAR('融资租赁与资金缺口'!$F$10))*12+MONTH(BV$46)-MONTH('融资租赁与资金缺口'!$F$10))-1)/'融资租赁与资金缺口'!$I$10))))),IF(BV$46&lt;'融资租赁与资金缺口'!$F$11,0,IF(BV$46='融资租赁与资金缺口'!$F$11,'融资租赁与资金缺口'!$E$11,IF(((YEAR(BV$46)-YEAR('融资租赁与资金缺口'!$F$11))*12+MONTH(BV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V$46)-YEAR('融资租赁与资金缺口'!$F$11))*12+MONTH(BV$46)-MONTH('融资租赁与资金缺口'!$F$11)),'融资租赁与资金缺口'!$E$11*(1+'融资租赁与资金缺口'!$I$11)^((YEAR(BV$46)-YEAR('融资租赁与资金缺口'!$F$11))*12+MONTH(BV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V$46)-YEAR('融资租赁与资金缺口'!$F$11))*12+MONTH(BV$46)-MONTH('融资租赁与资金缺口'!$F$11))-1)/'融资租赁与资金缺口'!$I$11))))),IF(BV$46&lt;'融资租赁与资金缺口'!$F$12,0,IF(BV$46='融资租赁与资金缺口'!$F$12,'融资租赁与资金缺口'!$E$12,IF(((YEAR(BV$46)-YEAR('融资租赁与资金缺口'!$F$12))*12+MONTH(BV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V$46)-YEAR('融资租赁与资金缺口'!$F$12))*12+MONTH(BV$46)-MONTH('融资租赁与资金缺口'!$F$12)),'融资租赁与资金缺口'!$E$12*(1+'融资租赁与资金缺口'!$I$12)^((YEAR(BV$46)-YEAR('融资租赁与资金缺口'!$F$12))*12+MONTH(BV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V$46)-YEAR('融资租赁与资金缺口'!$F$12))*12+MONTH(BV$46)-MONTH('融资租赁与资金缺口'!$F$12))-1)/'融资租赁与资金缺口'!$I$12))))),IF(BV$46&lt;'融资租赁与资金缺口'!$F$13,0,IF(BV$46='融资租赁与资金缺口'!$F$13,'融资租赁与资金缺口'!$E$13,IF(((YEAR(BV$46)-YEAR('融资租赁与资金缺口'!$F$13))*12+MONTH(BV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V$46)-YEAR('融资租赁与资金缺口'!$F$13))*12+MONTH(BV$46)-MONTH('融资租赁与资金缺口'!$F$13)),'融资租赁与资金缺口'!$E$13*(1+'融资租赁与资金缺口'!$I$13)^((YEAR(BV$46)-YEAR('融资租赁与资金缺口'!$F$13))*12+MONTH(BV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V$46)-YEAR('融资租赁与资金缺口'!$F$13))*12+MONTH(BV$46)-MONTH('融资租赁与资金缺口'!$F$13))-1)/'融资租赁与资金缺口'!$I$13))))),IF(BV$46&lt;'融资租赁与资金缺口'!$F$14,0,IF(BV$46='融资租赁与资金缺口'!$F$14,'融资租赁与资金缺口'!$E$14,IF(((YEAR(BV$46)-YEAR('融资租赁与资金缺口'!$F$14))*12+MONTH(BV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V$46)-YEAR('融资租赁与资金缺口'!$F$14))*12+MONTH(BV$46)-MONTH('融资租赁与资金缺口'!$F$14)),'融资租赁与资金缺口'!$E$14*(1+'融资租赁与资金缺口'!$I$14)^((YEAR(BV$46)-YEAR('融资租赁与资金缺口'!$F$14))*12+MONTH(BV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V$46)-YEAR('融资租赁与资金缺口'!$F$14))*12+MONTH(BV$46)-MONTH('融资租赁与资金缺口'!$F$14))-1)/'融资租赁与资金缺口'!$I$14))))),IF(BV$46&lt;'融资租赁与资金缺口'!$F$15,0,IF(BV$46='融资租赁与资金缺口'!$F$15,'融资租赁与资金缺口'!$E$15,IF(((YEAR(BV$46)-YEAR('融资租赁与资金缺口'!$F$15))*12+MONTH(BV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V$46)-YEAR('融资租赁与资金缺口'!$F$15))*12+MONTH(BV$46)-MONTH('融资租赁与资金缺口'!$F$15)),'融资租赁与资金缺口'!$E$15*(1+'融资租赁与资金缺口'!$I$15)^((YEAR(BV$46)-YEAR('融资租赁与资金缺口'!$F$15))*12+MONTH(BV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V$46)-YEAR('融资租赁与资金缺口'!$F$15))*12+MONTH(BV$46)-MONTH('融资租赁与资金缺口'!$F$15))-1)/'融资租赁与资金缺口'!$I$15))))),IF(BV$46&lt;'融资租赁与资金缺口'!$F$16,0,IF(BV$46='融资租赁与资金缺口'!$F$16,'融资租赁与资金缺口'!$E$16,IF(((YEAR(BV$46)-YEAR('融资租赁与资金缺口'!$F$16))*12+MONTH(BV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V$46)-YEAR('融资租赁与资金缺口'!$F$16))*12+MONTH(BV$46)-MONTH('融资租赁与资金缺口'!$F$16)),'融资租赁与资金缺口'!$E$16*(1+'融资租赁与资金缺口'!$I$16)^((YEAR(BV$46)-YEAR('融资租赁与资金缺口'!$F$16))*12+MONTH(BV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V$46)-YEAR('融资租赁与资金缺口'!$F$16))*12+MONTH(BV$46)-MONTH('融资租赁与资金缺口'!$F$16))-1)/'融资租赁与资金缺口'!$I$16))))))</x:f>
        <x:v>39410436.51356874</x:v>
      </x:c>
      <x:c r="BW58" s="28" t="n">
        <x:f>SUM(IF(BW$46&lt;'融资租赁与资金缺口'!$F$5,0,IF(BW$46='融资租赁与资金缺口'!$F$5,'融资租赁与资金缺口'!$E$5,IF(((YEAR(BW$46)-YEAR('融资租赁与资金缺口'!$F$5))*12+MONTH(BW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W$46)-YEAR('融资租赁与资金缺口'!$F$5))*12+MONTH(BW$46)-MONTH('融资租赁与资金缺口'!$F$5)),'融资租赁与资金缺口'!$E$5*(1+'融资租赁与资金缺口'!$I$5)^((YEAR(BW$46)-YEAR('融资租赁与资金缺口'!$F$5))*12+MONTH(BW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W$46)-YEAR('融资租赁与资金缺口'!$F$5))*12+MONTH(BW$46)-MONTH('融资租赁与资金缺口'!$F$5))-1)/'融资租赁与资金缺口'!$I$5))))),IF(BW$46&lt;'融资租赁与资金缺口'!$F$6,0,IF(BW$46='融资租赁与资金缺口'!$F$6,'融资租赁与资金缺口'!$E$6,IF(((YEAR(BW$46)-YEAR('融资租赁与资金缺口'!$F$6))*12+MONTH(BW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W$46)-YEAR('融资租赁与资金缺口'!$F$6))*12+MONTH(BW$46)-MONTH('融资租赁与资金缺口'!$F$6)),'融资租赁与资金缺口'!$E$6*(1+'融资租赁与资金缺口'!$I$6)^((YEAR(BW$46)-YEAR('融资租赁与资金缺口'!$F$6))*12+MONTH(BW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W$46)-YEAR('融资租赁与资金缺口'!$F$6))*12+MONTH(BW$46)-MONTH('融资租赁与资金缺口'!$F$6))-1)/'融资租赁与资金缺口'!$I$6))))),IF(BW$46&lt;'融资租赁与资金缺口'!$F$7,0,IF(BW$46='融资租赁与资金缺口'!$F$7,'融资租赁与资金缺口'!$E$7,IF(((YEAR(BW$46)-YEAR('融资租赁与资金缺口'!$F$7))*12+MONTH(BW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W$46)-YEAR('融资租赁与资金缺口'!$F$7))*12+MONTH(BW$46)-MONTH('融资租赁与资金缺口'!$F$7)),'融资租赁与资金缺口'!$E$7*(1+'融资租赁与资金缺口'!$I$7)^((YEAR(BW$46)-YEAR('融资租赁与资金缺口'!$F$7))*12+MONTH(BW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W$46)-YEAR('融资租赁与资金缺口'!$F$7))*12+MONTH(BW$46)-MONTH('融资租赁与资金缺口'!$F$7))-1)/'融资租赁与资金缺口'!$I$7))))),IF(BW$46&lt;'融资租赁与资金缺口'!$F$8,0,IF(BW$46='融资租赁与资金缺口'!$F$8,'融资租赁与资金缺口'!$E$8,IF(((YEAR(BW$46)-YEAR('融资租赁与资金缺口'!$F$8))*12+MONTH(BW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W$46)-YEAR('融资租赁与资金缺口'!$F$8))*12+MONTH(BW$46)-MONTH('融资租赁与资金缺口'!$F$8)),'融资租赁与资金缺口'!$E$8*(1+'融资租赁与资金缺口'!$I$8)^((YEAR(BW$46)-YEAR('融资租赁与资金缺口'!$F$8))*12+MONTH(BW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W$46)-YEAR('融资租赁与资金缺口'!$F$8))*12+MONTH(BW$46)-MONTH('融资租赁与资金缺口'!$F$8))-1)/'融资租赁与资金缺口'!$I$8))))),IF(BW$46&lt;'融资租赁与资金缺口'!$F$9,0,IF(BW$46='融资租赁与资金缺口'!$F$9,'融资租赁与资金缺口'!$E$9,IF(((YEAR(BW$46)-YEAR('融资租赁与资金缺口'!$F$9))*12+MONTH(BW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W$46)-YEAR('融资租赁与资金缺口'!$F$9))*12+MONTH(BW$46)-MONTH('融资租赁与资金缺口'!$F$9)),'融资租赁与资金缺口'!$E$9*(1+'融资租赁与资金缺口'!$I$9)^((YEAR(BW$46)-YEAR('融资租赁与资金缺口'!$F$9))*12+MONTH(BW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W$46)-YEAR('融资租赁与资金缺口'!$F$9))*12+MONTH(BW$46)-MONTH('融资租赁与资金缺口'!$F$9))-1)/'融资租赁与资金缺口'!$I$9))))),IF(BW$46&lt;'融资租赁与资金缺口'!$F$10,0,IF(BW$46='融资租赁与资金缺口'!$F$10,'融资租赁与资金缺口'!$E$10,IF(((YEAR(BW$46)-YEAR('融资租赁与资金缺口'!$F$10))*12+MONTH(BW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W$46)-YEAR('融资租赁与资金缺口'!$F$10))*12+MONTH(BW$46)-MONTH('融资租赁与资金缺口'!$F$10)),'融资租赁与资金缺口'!$E$10*(1+'融资租赁与资金缺口'!$I$10)^((YEAR(BW$46)-YEAR('融资租赁与资金缺口'!$F$10))*12+MONTH(BW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W$46)-YEAR('融资租赁与资金缺口'!$F$10))*12+MONTH(BW$46)-MONTH('融资租赁与资金缺口'!$F$10))-1)/'融资租赁与资金缺口'!$I$10))))),IF(BW$46&lt;'融资租赁与资金缺口'!$F$11,0,IF(BW$46='融资租赁与资金缺口'!$F$11,'融资租赁与资金缺口'!$E$11,IF(((YEAR(BW$46)-YEAR('融资租赁与资金缺口'!$F$11))*12+MONTH(BW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W$46)-YEAR('融资租赁与资金缺口'!$F$11))*12+MONTH(BW$46)-MONTH('融资租赁与资金缺口'!$F$11)),'融资租赁与资金缺口'!$E$11*(1+'融资租赁与资金缺口'!$I$11)^((YEAR(BW$46)-YEAR('融资租赁与资金缺口'!$F$11))*12+MONTH(BW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W$46)-YEAR('融资租赁与资金缺口'!$F$11))*12+MONTH(BW$46)-MONTH('融资租赁与资金缺口'!$F$11))-1)/'融资租赁与资金缺口'!$I$11))))),IF(BW$46&lt;'融资租赁与资金缺口'!$F$12,0,IF(BW$46='融资租赁与资金缺口'!$F$12,'融资租赁与资金缺口'!$E$12,IF(((YEAR(BW$46)-YEAR('融资租赁与资金缺口'!$F$12))*12+MONTH(BW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W$46)-YEAR('融资租赁与资金缺口'!$F$12))*12+MONTH(BW$46)-MONTH('融资租赁与资金缺口'!$F$12)),'融资租赁与资金缺口'!$E$12*(1+'融资租赁与资金缺口'!$I$12)^((YEAR(BW$46)-YEAR('融资租赁与资金缺口'!$F$12))*12+MONTH(BW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W$46)-YEAR('融资租赁与资金缺口'!$F$12))*12+MONTH(BW$46)-MONTH('融资租赁与资金缺口'!$F$12))-1)/'融资租赁与资金缺口'!$I$12))))),IF(BW$46&lt;'融资租赁与资金缺口'!$F$13,0,IF(BW$46='融资租赁与资金缺口'!$F$13,'融资租赁与资金缺口'!$E$13,IF(((YEAR(BW$46)-YEAR('融资租赁与资金缺口'!$F$13))*12+MONTH(BW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W$46)-YEAR('融资租赁与资金缺口'!$F$13))*12+MONTH(BW$46)-MONTH('融资租赁与资金缺口'!$F$13)),'融资租赁与资金缺口'!$E$13*(1+'融资租赁与资金缺口'!$I$13)^((YEAR(BW$46)-YEAR('融资租赁与资金缺口'!$F$13))*12+MONTH(BW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W$46)-YEAR('融资租赁与资金缺口'!$F$13))*12+MONTH(BW$46)-MONTH('融资租赁与资金缺口'!$F$13))-1)/'融资租赁与资金缺口'!$I$13))))),IF(BW$46&lt;'融资租赁与资金缺口'!$F$14,0,IF(BW$46='融资租赁与资金缺口'!$F$14,'融资租赁与资金缺口'!$E$14,IF(((YEAR(BW$46)-YEAR('融资租赁与资金缺口'!$F$14))*12+MONTH(BW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W$46)-YEAR('融资租赁与资金缺口'!$F$14))*12+MONTH(BW$46)-MONTH('融资租赁与资金缺口'!$F$14)),'融资租赁与资金缺口'!$E$14*(1+'融资租赁与资金缺口'!$I$14)^((YEAR(BW$46)-YEAR('融资租赁与资金缺口'!$F$14))*12+MONTH(BW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W$46)-YEAR('融资租赁与资金缺口'!$F$14))*12+MONTH(BW$46)-MONTH('融资租赁与资金缺口'!$F$14))-1)/'融资租赁与资金缺口'!$I$14))))),IF(BW$46&lt;'融资租赁与资金缺口'!$F$15,0,IF(BW$46='融资租赁与资金缺口'!$F$15,'融资租赁与资金缺口'!$E$15,IF(((YEAR(BW$46)-YEAR('融资租赁与资金缺口'!$F$15))*12+MONTH(BW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W$46)-YEAR('融资租赁与资金缺口'!$F$15))*12+MONTH(BW$46)-MONTH('融资租赁与资金缺口'!$F$15)),'融资租赁与资金缺口'!$E$15*(1+'融资租赁与资金缺口'!$I$15)^((YEAR(BW$46)-YEAR('融资租赁与资金缺口'!$F$15))*12+MONTH(BW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W$46)-YEAR('融资租赁与资金缺口'!$F$15))*12+MONTH(BW$46)-MONTH('融资租赁与资金缺口'!$F$15))-1)/'融资租赁与资金缺口'!$I$15))))),IF(BW$46&lt;'融资租赁与资金缺口'!$F$16,0,IF(BW$46='融资租赁与资金缺口'!$F$16,'融资租赁与资金缺口'!$E$16,IF(((YEAR(BW$46)-YEAR('融资租赁与资金缺口'!$F$16))*12+MONTH(BW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W$46)-YEAR('融资租赁与资金缺口'!$F$16))*12+MONTH(BW$46)-MONTH('融资租赁与资金缺口'!$F$16)),'融资租赁与资金缺口'!$E$16*(1+'融资租赁与资金缺口'!$I$16)^((YEAR(BW$46)-YEAR('融资租赁与资金缺口'!$F$16))*12+MONTH(BW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W$46)-YEAR('融资租赁与资金缺口'!$F$16))*12+MONTH(BW$46)-MONTH('融资租赁与资金缺口'!$F$16))-1)/'融资租赁与资金缺口'!$I$16))))))</x:f>
        <x:v>28696466.331313968</x:v>
      </x:c>
      <x:c r="BX58" s="28" t="n">
        <x:f>SUM(IF(BX$46&lt;'融资租赁与资金缺口'!$F$5,0,IF(BX$46='融资租赁与资金缺口'!$F$5,'融资租赁与资金缺口'!$E$5,IF(((YEAR(BX$46)-YEAR('融资租赁与资金缺口'!$F$5))*12+MONTH(BX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X$46)-YEAR('融资租赁与资金缺口'!$F$5))*12+MONTH(BX$46)-MONTH('融资租赁与资金缺口'!$F$5)),'融资租赁与资金缺口'!$E$5*(1+'融资租赁与资金缺口'!$I$5)^((YEAR(BX$46)-YEAR('融资租赁与资金缺口'!$F$5))*12+MONTH(BX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X$46)-YEAR('融资租赁与资金缺口'!$F$5))*12+MONTH(BX$46)-MONTH('融资租赁与资金缺口'!$F$5))-1)/'融资租赁与资金缺口'!$I$5))))),IF(BX$46&lt;'融资租赁与资金缺口'!$F$6,0,IF(BX$46='融资租赁与资金缺口'!$F$6,'融资租赁与资金缺口'!$E$6,IF(((YEAR(BX$46)-YEAR('融资租赁与资金缺口'!$F$6))*12+MONTH(BX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X$46)-YEAR('融资租赁与资金缺口'!$F$6))*12+MONTH(BX$46)-MONTH('融资租赁与资金缺口'!$F$6)),'融资租赁与资金缺口'!$E$6*(1+'融资租赁与资金缺口'!$I$6)^((YEAR(BX$46)-YEAR('融资租赁与资金缺口'!$F$6))*12+MONTH(BX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X$46)-YEAR('融资租赁与资金缺口'!$F$6))*12+MONTH(BX$46)-MONTH('融资租赁与资金缺口'!$F$6))-1)/'融资租赁与资金缺口'!$I$6))))),IF(BX$46&lt;'融资租赁与资金缺口'!$F$7,0,IF(BX$46='融资租赁与资金缺口'!$F$7,'融资租赁与资金缺口'!$E$7,IF(((YEAR(BX$46)-YEAR('融资租赁与资金缺口'!$F$7))*12+MONTH(BX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X$46)-YEAR('融资租赁与资金缺口'!$F$7))*12+MONTH(BX$46)-MONTH('融资租赁与资金缺口'!$F$7)),'融资租赁与资金缺口'!$E$7*(1+'融资租赁与资金缺口'!$I$7)^((YEAR(BX$46)-YEAR('融资租赁与资金缺口'!$F$7))*12+MONTH(BX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X$46)-YEAR('融资租赁与资金缺口'!$F$7))*12+MONTH(BX$46)-MONTH('融资租赁与资金缺口'!$F$7))-1)/'融资租赁与资金缺口'!$I$7))))),IF(BX$46&lt;'融资租赁与资金缺口'!$F$8,0,IF(BX$46='融资租赁与资金缺口'!$F$8,'融资租赁与资金缺口'!$E$8,IF(((YEAR(BX$46)-YEAR('融资租赁与资金缺口'!$F$8))*12+MONTH(BX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X$46)-YEAR('融资租赁与资金缺口'!$F$8))*12+MONTH(BX$46)-MONTH('融资租赁与资金缺口'!$F$8)),'融资租赁与资金缺口'!$E$8*(1+'融资租赁与资金缺口'!$I$8)^((YEAR(BX$46)-YEAR('融资租赁与资金缺口'!$F$8))*12+MONTH(BX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X$46)-YEAR('融资租赁与资金缺口'!$F$8))*12+MONTH(BX$46)-MONTH('融资租赁与资金缺口'!$F$8))-1)/'融资租赁与资金缺口'!$I$8))))),IF(BX$46&lt;'融资租赁与资金缺口'!$F$9,0,IF(BX$46='融资租赁与资金缺口'!$F$9,'融资租赁与资金缺口'!$E$9,IF(((YEAR(BX$46)-YEAR('融资租赁与资金缺口'!$F$9))*12+MONTH(BX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X$46)-YEAR('融资租赁与资金缺口'!$F$9))*12+MONTH(BX$46)-MONTH('融资租赁与资金缺口'!$F$9)),'融资租赁与资金缺口'!$E$9*(1+'融资租赁与资金缺口'!$I$9)^((YEAR(BX$46)-YEAR('融资租赁与资金缺口'!$F$9))*12+MONTH(BX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X$46)-YEAR('融资租赁与资金缺口'!$F$9))*12+MONTH(BX$46)-MONTH('融资租赁与资金缺口'!$F$9))-1)/'融资租赁与资金缺口'!$I$9))))),IF(BX$46&lt;'融资租赁与资金缺口'!$F$10,0,IF(BX$46='融资租赁与资金缺口'!$F$10,'融资租赁与资金缺口'!$E$10,IF(((YEAR(BX$46)-YEAR('融资租赁与资金缺口'!$F$10))*12+MONTH(BX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X$46)-YEAR('融资租赁与资金缺口'!$F$10))*12+MONTH(BX$46)-MONTH('融资租赁与资金缺口'!$F$10)),'融资租赁与资金缺口'!$E$10*(1+'融资租赁与资金缺口'!$I$10)^((YEAR(BX$46)-YEAR('融资租赁与资金缺口'!$F$10))*12+MONTH(BX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X$46)-YEAR('融资租赁与资金缺口'!$F$10))*12+MONTH(BX$46)-MONTH('融资租赁与资金缺口'!$F$10))-1)/'融资租赁与资金缺口'!$I$10))))),IF(BX$46&lt;'融资租赁与资金缺口'!$F$11,0,IF(BX$46='融资租赁与资金缺口'!$F$11,'融资租赁与资金缺口'!$E$11,IF(((YEAR(BX$46)-YEAR('融资租赁与资金缺口'!$F$11))*12+MONTH(BX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X$46)-YEAR('融资租赁与资金缺口'!$F$11))*12+MONTH(BX$46)-MONTH('融资租赁与资金缺口'!$F$11)),'融资租赁与资金缺口'!$E$11*(1+'融资租赁与资金缺口'!$I$11)^((YEAR(BX$46)-YEAR('融资租赁与资金缺口'!$F$11))*12+MONTH(BX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X$46)-YEAR('融资租赁与资金缺口'!$F$11))*12+MONTH(BX$46)-MONTH('融资租赁与资金缺口'!$F$11))-1)/'融资租赁与资金缺口'!$I$11))))),IF(BX$46&lt;'融资租赁与资金缺口'!$F$12,0,IF(BX$46='融资租赁与资金缺口'!$F$12,'融资租赁与资金缺口'!$E$12,IF(((YEAR(BX$46)-YEAR('融资租赁与资金缺口'!$F$12))*12+MONTH(BX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X$46)-YEAR('融资租赁与资金缺口'!$F$12))*12+MONTH(BX$46)-MONTH('融资租赁与资金缺口'!$F$12)),'融资租赁与资金缺口'!$E$12*(1+'融资租赁与资金缺口'!$I$12)^((YEAR(BX$46)-YEAR('融资租赁与资金缺口'!$F$12))*12+MONTH(BX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X$46)-YEAR('融资租赁与资金缺口'!$F$12))*12+MONTH(BX$46)-MONTH('融资租赁与资金缺口'!$F$12))-1)/'融资租赁与资金缺口'!$I$12))))),IF(BX$46&lt;'融资租赁与资金缺口'!$F$13,0,IF(BX$46='融资租赁与资金缺口'!$F$13,'融资租赁与资金缺口'!$E$13,IF(((YEAR(BX$46)-YEAR('融资租赁与资金缺口'!$F$13))*12+MONTH(BX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X$46)-YEAR('融资租赁与资金缺口'!$F$13))*12+MONTH(BX$46)-MONTH('融资租赁与资金缺口'!$F$13)),'融资租赁与资金缺口'!$E$13*(1+'融资租赁与资金缺口'!$I$13)^((YEAR(BX$46)-YEAR('融资租赁与资金缺口'!$F$13))*12+MONTH(BX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X$46)-YEAR('融资租赁与资金缺口'!$F$13))*12+MONTH(BX$46)-MONTH('融资租赁与资金缺口'!$F$13))-1)/'融资租赁与资金缺口'!$I$13))))),IF(BX$46&lt;'融资租赁与资金缺口'!$F$14,0,IF(BX$46='融资租赁与资金缺口'!$F$14,'融资租赁与资金缺口'!$E$14,IF(((YEAR(BX$46)-YEAR('融资租赁与资金缺口'!$F$14))*12+MONTH(BX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X$46)-YEAR('融资租赁与资金缺口'!$F$14))*12+MONTH(BX$46)-MONTH('融资租赁与资金缺口'!$F$14)),'融资租赁与资金缺口'!$E$14*(1+'融资租赁与资金缺口'!$I$14)^((YEAR(BX$46)-YEAR('融资租赁与资金缺口'!$F$14))*12+MONTH(BX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X$46)-YEAR('融资租赁与资金缺口'!$F$14))*12+MONTH(BX$46)-MONTH('融资租赁与资金缺口'!$F$14))-1)/'融资租赁与资金缺口'!$I$14))))),IF(BX$46&lt;'融资租赁与资金缺口'!$F$15,0,IF(BX$46='融资租赁与资金缺口'!$F$15,'融资租赁与资金缺口'!$E$15,IF(((YEAR(BX$46)-YEAR('融资租赁与资金缺口'!$F$15))*12+MONTH(BX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X$46)-YEAR('融资租赁与资金缺口'!$F$15))*12+MONTH(BX$46)-MONTH('融资租赁与资金缺口'!$F$15)),'融资租赁与资金缺口'!$E$15*(1+'融资租赁与资金缺口'!$I$15)^((YEAR(BX$46)-YEAR('融资租赁与资金缺口'!$F$15))*12+MONTH(BX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X$46)-YEAR('融资租赁与资金缺口'!$F$15))*12+MONTH(BX$46)-MONTH('融资租赁与资金缺口'!$F$15))-1)/'融资租赁与资金缺口'!$I$15))))),IF(BX$46&lt;'融资租赁与资金缺口'!$F$16,0,IF(BX$46='融资租赁与资金缺口'!$F$16,'融资租赁与资金缺口'!$E$16,IF(((YEAR(BX$46)-YEAR('融资租赁与资金缺口'!$F$16))*12+MONTH(BX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X$46)-YEAR('融资租赁与资金缺口'!$F$16))*12+MONTH(BX$46)-MONTH('融资租赁与资金缺口'!$F$16)),'融资租赁与资金缺口'!$E$16*(1+'融资租赁与资金缺口'!$I$16)^((YEAR(BX$46)-YEAR('融资租赁与资金缺口'!$F$16))*12+MONTH(BX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X$46)-YEAR('融资租赁与资金缺口'!$F$16))*12+MONTH(BX$46)-MONTH('融资租赁与资金缺口'!$F$16))-1)/'融资租赁与资金缺口'!$I$16))))))</x:f>
        <x:v>19475657.247105554</x:v>
      </x:c>
      <x:c r="BY58" s="28" t="n">
        <x:f>SUM(IF(BY$46&lt;'融资租赁与资金缺口'!$F$5,0,IF(BY$46='融资租赁与资金缺口'!$F$5,'融资租赁与资金缺口'!$E$5,IF(((YEAR(BY$46)-YEAR('融资租赁与资金缺口'!$F$5))*12+MONTH(BY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Y$46)-YEAR('融资租赁与资金缺口'!$F$5))*12+MONTH(BY$46)-MONTH('融资租赁与资金缺口'!$F$5)),'融资租赁与资金缺口'!$E$5*(1+'融资租赁与资金缺口'!$I$5)^((YEAR(BY$46)-YEAR('融资租赁与资金缺口'!$F$5))*12+MONTH(BY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Y$46)-YEAR('融资租赁与资金缺口'!$F$5))*12+MONTH(BY$46)-MONTH('融资租赁与资金缺口'!$F$5))-1)/'融资租赁与资金缺口'!$I$5))))),IF(BY$46&lt;'融资租赁与资金缺口'!$F$6,0,IF(BY$46='融资租赁与资金缺口'!$F$6,'融资租赁与资金缺口'!$E$6,IF(((YEAR(BY$46)-YEAR('融资租赁与资金缺口'!$F$6))*12+MONTH(BY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Y$46)-YEAR('融资租赁与资金缺口'!$F$6))*12+MONTH(BY$46)-MONTH('融资租赁与资金缺口'!$F$6)),'融资租赁与资金缺口'!$E$6*(1+'融资租赁与资金缺口'!$I$6)^((YEAR(BY$46)-YEAR('融资租赁与资金缺口'!$F$6))*12+MONTH(BY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Y$46)-YEAR('融资租赁与资金缺口'!$F$6))*12+MONTH(BY$46)-MONTH('融资租赁与资金缺口'!$F$6))-1)/'融资租赁与资金缺口'!$I$6))))),IF(BY$46&lt;'融资租赁与资金缺口'!$F$7,0,IF(BY$46='融资租赁与资金缺口'!$F$7,'融资租赁与资金缺口'!$E$7,IF(((YEAR(BY$46)-YEAR('融资租赁与资金缺口'!$F$7))*12+MONTH(BY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Y$46)-YEAR('融资租赁与资金缺口'!$F$7))*12+MONTH(BY$46)-MONTH('融资租赁与资金缺口'!$F$7)),'融资租赁与资金缺口'!$E$7*(1+'融资租赁与资金缺口'!$I$7)^((YEAR(BY$46)-YEAR('融资租赁与资金缺口'!$F$7))*12+MONTH(BY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Y$46)-YEAR('融资租赁与资金缺口'!$F$7))*12+MONTH(BY$46)-MONTH('融资租赁与资金缺口'!$F$7))-1)/'融资租赁与资金缺口'!$I$7))))),IF(BY$46&lt;'融资租赁与资金缺口'!$F$8,0,IF(BY$46='融资租赁与资金缺口'!$F$8,'融资租赁与资金缺口'!$E$8,IF(((YEAR(BY$46)-YEAR('融资租赁与资金缺口'!$F$8))*12+MONTH(BY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Y$46)-YEAR('融资租赁与资金缺口'!$F$8))*12+MONTH(BY$46)-MONTH('融资租赁与资金缺口'!$F$8)),'融资租赁与资金缺口'!$E$8*(1+'融资租赁与资金缺口'!$I$8)^((YEAR(BY$46)-YEAR('融资租赁与资金缺口'!$F$8))*12+MONTH(BY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Y$46)-YEAR('融资租赁与资金缺口'!$F$8))*12+MONTH(BY$46)-MONTH('融资租赁与资金缺口'!$F$8))-1)/'融资租赁与资金缺口'!$I$8))))),IF(BY$46&lt;'融资租赁与资金缺口'!$F$9,0,IF(BY$46='融资租赁与资金缺口'!$F$9,'融资租赁与资金缺口'!$E$9,IF(((YEAR(BY$46)-YEAR('融资租赁与资金缺口'!$F$9))*12+MONTH(BY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Y$46)-YEAR('融资租赁与资金缺口'!$F$9))*12+MONTH(BY$46)-MONTH('融资租赁与资金缺口'!$F$9)),'融资租赁与资金缺口'!$E$9*(1+'融资租赁与资金缺口'!$I$9)^((YEAR(BY$46)-YEAR('融资租赁与资金缺口'!$F$9))*12+MONTH(BY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Y$46)-YEAR('融资租赁与资金缺口'!$F$9))*12+MONTH(BY$46)-MONTH('融资租赁与资金缺口'!$F$9))-1)/'融资租赁与资金缺口'!$I$9))))),IF(BY$46&lt;'融资租赁与资金缺口'!$F$10,0,IF(BY$46='融资租赁与资金缺口'!$F$10,'融资租赁与资金缺口'!$E$10,IF(((YEAR(BY$46)-YEAR('融资租赁与资金缺口'!$F$10))*12+MONTH(BY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Y$46)-YEAR('融资租赁与资金缺口'!$F$10))*12+MONTH(BY$46)-MONTH('融资租赁与资金缺口'!$F$10)),'融资租赁与资金缺口'!$E$10*(1+'融资租赁与资金缺口'!$I$10)^((YEAR(BY$46)-YEAR('融资租赁与资金缺口'!$F$10))*12+MONTH(BY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Y$46)-YEAR('融资租赁与资金缺口'!$F$10))*12+MONTH(BY$46)-MONTH('融资租赁与资金缺口'!$F$10))-1)/'融资租赁与资金缺口'!$I$10))))),IF(BY$46&lt;'融资租赁与资金缺口'!$F$11,0,IF(BY$46='融资租赁与资金缺口'!$F$11,'融资租赁与资金缺口'!$E$11,IF(((YEAR(BY$46)-YEAR('融资租赁与资金缺口'!$F$11))*12+MONTH(BY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Y$46)-YEAR('融资租赁与资金缺口'!$F$11))*12+MONTH(BY$46)-MONTH('融资租赁与资金缺口'!$F$11)),'融资租赁与资金缺口'!$E$11*(1+'融资租赁与资金缺口'!$I$11)^((YEAR(BY$46)-YEAR('融资租赁与资金缺口'!$F$11))*12+MONTH(BY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Y$46)-YEAR('融资租赁与资金缺口'!$F$11))*12+MONTH(BY$46)-MONTH('融资租赁与资金缺口'!$F$11))-1)/'融资租赁与资金缺口'!$I$11))))),IF(BY$46&lt;'融资租赁与资金缺口'!$F$12,0,IF(BY$46='融资租赁与资金缺口'!$F$12,'融资租赁与资金缺口'!$E$12,IF(((YEAR(BY$46)-YEAR('融资租赁与资金缺口'!$F$12))*12+MONTH(BY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Y$46)-YEAR('融资租赁与资金缺口'!$F$12))*12+MONTH(BY$46)-MONTH('融资租赁与资金缺口'!$F$12)),'融资租赁与资金缺口'!$E$12*(1+'融资租赁与资金缺口'!$I$12)^((YEAR(BY$46)-YEAR('融资租赁与资金缺口'!$F$12))*12+MONTH(BY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Y$46)-YEAR('融资租赁与资金缺口'!$F$12))*12+MONTH(BY$46)-MONTH('融资租赁与资金缺口'!$F$12))-1)/'融资租赁与资金缺口'!$I$12))))),IF(BY$46&lt;'融资租赁与资金缺口'!$F$13,0,IF(BY$46='融资租赁与资金缺口'!$F$13,'融资租赁与资金缺口'!$E$13,IF(((YEAR(BY$46)-YEAR('融资租赁与资金缺口'!$F$13))*12+MONTH(BY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Y$46)-YEAR('融资租赁与资金缺口'!$F$13))*12+MONTH(BY$46)-MONTH('融资租赁与资金缺口'!$F$13)),'融资租赁与资金缺口'!$E$13*(1+'融资租赁与资金缺口'!$I$13)^((YEAR(BY$46)-YEAR('融资租赁与资金缺口'!$F$13))*12+MONTH(BY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Y$46)-YEAR('融资租赁与资金缺口'!$F$13))*12+MONTH(BY$46)-MONTH('融资租赁与资金缺口'!$F$13))-1)/'融资租赁与资金缺口'!$I$13))))),IF(BY$46&lt;'融资租赁与资金缺口'!$F$14,0,IF(BY$46='融资租赁与资金缺口'!$F$14,'融资租赁与资金缺口'!$E$14,IF(((YEAR(BY$46)-YEAR('融资租赁与资金缺口'!$F$14))*12+MONTH(BY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Y$46)-YEAR('融资租赁与资金缺口'!$F$14))*12+MONTH(BY$46)-MONTH('融资租赁与资金缺口'!$F$14)),'融资租赁与资金缺口'!$E$14*(1+'融资租赁与资金缺口'!$I$14)^((YEAR(BY$46)-YEAR('融资租赁与资金缺口'!$F$14))*12+MONTH(BY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Y$46)-YEAR('融资租赁与资金缺口'!$F$14))*12+MONTH(BY$46)-MONTH('融资租赁与资金缺口'!$F$14))-1)/'融资租赁与资金缺口'!$I$14))))),IF(BY$46&lt;'融资租赁与资金缺口'!$F$15,0,IF(BY$46='融资租赁与资金缺口'!$F$15,'融资租赁与资金缺口'!$E$15,IF(((YEAR(BY$46)-YEAR('融资租赁与资金缺口'!$F$15))*12+MONTH(BY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Y$46)-YEAR('融资租赁与资金缺口'!$F$15))*12+MONTH(BY$46)-MONTH('融资租赁与资金缺口'!$F$15)),'融资租赁与资金缺口'!$E$15*(1+'融资租赁与资金缺口'!$I$15)^((YEAR(BY$46)-YEAR('融资租赁与资金缺口'!$F$15))*12+MONTH(BY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Y$46)-YEAR('融资租赁与资金缺口'!$F$15))*12+MONTH(BY$46)-MONTH('融资租赁与资金缺口'!$F$15))-1)/'融资租赁与资金缺口'!$I$15))))),IF(BY$46&lt;'融资租赁与资金缺口'!$F$16,0,IF(BY$46='融资租赁与资金缺口'!$F$16,'融资租赁与资金缺口'!$E$16,IF(((YEAR(BY$46)-YEAR('融资租赁与资金缺口'!$F$16))*12+MONTH(BY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Y$46)-YEAR('融资租赁与资金缺口'!$F$16))*12+MONTH(BY$46)-MONTH('融资租赁与资金缺口'!$F$16)),'融资租赁与资金缺口'!$E$16*(1+'融资租赁与资金缺口'!$I$16)^((YEAR(BY$46)-YEAR('融资租赁与资金缺口'!$F$16))*12+MONTH(BY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Y$46)-YEAR('融资租赁与资金缺口'!$F$16))*12+MONTH(BY$46)-MONTH('融资租赁与资金缺口'!$F$16))-1)/'融资租赁与资金缺口'!$I$16))))))</x:f>
        <x:v>11623923.668263786</x:v>
      </x:c>
      <x:c r="BZ58" s="28" t="n">
        <x:f>SUM(IF(BZ$46&lt;'融资租赁与资金缺口'!$F$5,0,IF(BZ$46='融资租赁与资金缺口'!$F$5,'融资租赁与资金缺口'!$E$5,IF(((YEAR(BZ$46)-YEAR('融资租赁与资金缺口'!$F$5))*12+MONTH(BZ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BZ$46)-YEAR('融资租赁与资金缺口'!$F$5))*12+MONTH(BZ$46)-MONTH('融资租赁与资金缺口'!$F$5)),'融资租赁与资金缺口'!$E$5*(1+'融资租赁与资金缺口'!$I$5)^((YEAR(BZ$46)-YEAR('融资租赁与资金缺口'!$F$5))*12+MONTH(BZ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BZ$46)-YEAR('融资租赁与资金缺口'!$F$5))*12+MONTH(BZ$46)-MONTH('融资租赁与资金缺口'!$F$5))-1)/'融资租赁与资金缺口'!$I$5))))),IF(BZ$46&lt;'融资租赁与资金缺口'!$F$6,0,IF(BZ$46='融资租赁与资金缺口'!$F$6,'融资租赁与资金缺口'!$E$6,IF(((YEAR(BZ$46)-YEAR('融资租赁与资金缺口'!$F$6))*12+MONTH(BZ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BZ$46)-YEAR('融资租赁与资金缺口'!$F$6))*12+MONTH(BZ$46)-MONTH('融资租赁与资金缺口'!$F$6)),'融资租赁与资金缺口'!$E$6*(1+'融资租赁与资金缺口'!$I$6)^((YEAR(BZ$46)-YEAR('融资租赁与资金缺口'!$F$6))*12+MONTH(BZ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BZ$46)-YEAR('融资租赁与资金缺口'!$F$6))*12+MONTH(BZ$46)-MONTH('融资租赁与资金缺口'!$F$6))-1)/'融资租赁与资金缺口'!$I$6))))),IF(BZ$46&lt;'融资租赁与资金缺口'!$F$7,0,IF(BZ$46='融资租赁与资金缺口'!$F$7,'融资租赁与资金缺口'!$E$7,IF(((YEAR(BZ$46)-YEAR('融资租赁与资金缺口'!$F$7))*12+MONTH(BZ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BZ$46)-YEAR('融资租赁与资金缺口'!$F$7))*12+MONTH(BZ$46)-MONTH('融资租赁与资金缺口'!$F$7)),'融资租赁与资金缺口'!$E$7*(1+'融资租赁与资金缺口'!$I$7)^((YEAR(BZ$46)-YEAR('融资租赁与资金缺口'!$F$7))*12+MONTH(BZ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BZ$46)-YEAR('融资租赁与资金缺口'!$F$7))*12+MONTH(BZ$46)-MONTH('融资租赁与资金缺口'!$F$7))-1)/'融资租赁与资金缺口'!$I$7))))),IF(BZ$46&lt;'融资租赁与资金缺口'!$F$8,0,IF(BZ$46='融资租赁与资金缺口'!$F$8,'融资租赁与资金缺口'!$E$8,IF(((YEAR(BZ$46)-YEAR('融资租赁与资金缺口'!$F$8))*12+MONTH(BZ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BZ$46)-YEAR('融资租赁与资金缺口'!$F$8))*12+MONTH(BZ$46)-MONTH('融资租赁与资金缺口'!$F$8)),'融资租赁与资金缺口'!$E$8*(1+'融资租赁与资金缺口'!$I$8)^((YEAR(BZ$46)-YEAR('融资租赁与资金缺口'!$F$8))*12+MONTH(BZ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BZ$46)-YEAR('融资租赁与资金缺口'!$F$8))*12+MONTH(BZ$46)-MONTH('融资租赁与资金缺口'!$F$8))-1)/'融资租赁与资金缺口'!$I$8))))),IF(BZ$46&lt;'融资租赁与资金缺口'!$F$9,0,IF(BZ$46='融资租赁与资金缺口'!$F$9,'融资租赁与资金缺口'!$E$9,IF(((YEAR(BZ$46)-YEAR('融资租赁与资金缺口'!$F$9))*12+MONTH(BZ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BZ$46)-YEAR('融资租赁与资金缺口'!$F$9))*12+MONTH(BZ$46)-MONTH('融资租赁与资金缺口'!$F$9)),'融资租赁与资金缺口'!$E$9*(1+'融资租赁与资金缺口'!$I$9)^((YEAR(BZ$46)-YEAR('融资租赁与资金缺口'!$F$9))*12+MONTH(BZ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BZ$46)-YEAR('融资租赁与资金缺口'!$F$9))*12+MONTH(BZ$46)-MONTH('融资租赁与资金缺口'!$F$9))-1)/'融资租赁与资金缺口'!$I$9))))),IF(BZ$46&lt;'融资租赁与资金缺口'!$F$10,0,IF(BZ$46='融资租赁与资金缺口'!$F$10,'融资租赁与资金缺口'!$E$10,IF(((YEAR(BZ$46)-YEAR('融资租赁与资金缺口'!$F$10))*12+MONTH(BZ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BZ$46)-YEAR('融资租赁与资金缺口'!$F$10))*12+MONTH(BZ$46)-MONTH('融资租赁与资金缺口'!$F$10)),'融资租赁与资金缺口'!$E$10*(1+'融资租赁与资金缺口'!$I$10)^((YEAR(BZ$46)-YEAR('融资租赁与资金缺口'!$F$10))*12+MONTH(BZ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BZ$46)-YEAR('融资租赁与资金缺口'!$F$10))*12+MONTH(BZ$46)-MONTH('融资租赁与资金缺口'!$F$10))-1)/'融资租赁与资金缺口'!$I$10))))),IF(BZ$46&lt;'融资租赁与资金缺口'!$F$11,0,IF(BZ$46='融资租赁与资金缺口'!$F$11,'融资租赁与资金缺口'!$E$11,IF(((YEAR(BZ$46)-YEAR('融资租赁与资金缺口'!$F$11))*12+MONTH(BZ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BZ$46)-YEAR('融资租赁与资金缺口'!$F$11))*12+MONTH(BZ$46)-MONTH('融资租赁与资金缺口'!$F$11)),'融资租赁与资金缺口'!$E$11*(1+'融资租赁与资金缺口'!$I$11)^((YEAR(BZ$46)-YEAR('融资租赁与资金缺口'!$F$11))*12+MONTH(BZ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BZ$46)-YEAR('融资租赁与资金缺口'!$F$11))*12+MONTH(BZ$46)-MONTH('融资租赁与资金缺口'!$F$11))-1)/'融资租赁与资金缺口'!$I$11))))),IF(BZ$46&lt;'融资租赁与资金缺口'!$F$12,0,IF(BZ$46='融资租赁与资金缺口'!$F$12,'融资租赁与资金缺口'!$E$12,IF(((YEAR(BZ$46)-YEAR('融资租赁与资金缺口'!$F$12))*12+MONTH(BZ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BZ$46)-YEAR('融资租赁与资金缺口'!$F$12))*12+MONTH(BZ$46)-MONTH('融资租赁与资金缺口'!$F$12)),'融资租赁与资金缺口'!$E$12*(1+'融资租赁与资金缺口'!$I$12)^((YEAR(BZ$46)-YEAR('融资租赁与资金缺口'!$F$12))*12+MONTH(BZ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BZ$46)-YEAR('融资租赁与资金缺口'!$F$12))*12+MONTH(BZ$46)-MONTH('融资租赁与资金缺口'!$F$12))-1)/'融资租赁与资金缺口'!$I$12))))),IF(BZ$46&lt;'融资租赁与资金缺口'!$F$13,0,IF(BZ$46='融资租赁与资金缺口'!$F$13,'融资租赁与资金缺口'!$E$13,IF(((YEAR(BZ$46)-YEAR('融资租赁与资金缺口'!$F$13))*12+MONTH(BZ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BZ$46)-YEAR('融资租赁与资金缺口'!$F$13))*12+MONTH(BZ$46)-MONTH('融资租赁与资金缺口'!$F$13)),'融资租赁与资金缺口'!$E$13*(1+'融资租赁与资金缺口'!$I$13)^((YEAR(BZ$46)-YEAR('融资租赁与资金缺口'!$F$13))*12+MONTH(BZ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BZ$46)-YEAR('融资租赁与资金缺口'!$F$13))*12+MONTH(BZ$46)-MONTH('融资租赁与资金缺口'!$F$13))-1)/'融资租赁与资金缺口'!$I$13))))),IF(BZ$46&lt;'融资租赁与资金缺口'!$F$14,0,IF(BZ$46='融资租赁与资金缺口'!$F$14,'融资租赁与资金缺口'!$E$14,IF(((YEAR(BZ$46)-YEAR('融资租赁与资金缺口'!$F$14))*12+MONTH(BZ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BZ$46)-YEAR('融资租赁与资金缺口'!$F$14))*12+MONTH(BZ$46)-MONTH('融资租赁与资金缺口'!$F$14)),'融资租赁与资金缺口'!$E$14*(1+'融资租赁与资金缺口'!$I$14)^((YEAR(BZ$46)-YEAR('融资租赁与资金缺口'!$F$14))*12+MONTH(BZ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BZ$46)-YEAR('融资租赁与资金缺口'!$F$14))*12+MONTH(BZ$46)-MONTH('融资租赁与资金缺口'!$F$14))-1)/'融资租赁与资金缺口'!$I$14))))),IF(BZ$46&lt;'融资租赁与资金缺口'!$F$15,0,IF(BZ$46='融资租赁与资金缺口'!$F$15,'融资租赁与资金缺口'!$E$15,IF(((YEAR(BZ$46)-YEAR('融资租赁与资金缺口'!$F$15))*12+MONTH(BZ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BZ$46)-YEAR('融资租赁与资金缺口'!$F$15))*12+MONTH(BZ$46)-MONTH('融资租赁与资金缺口'!$F$15)),'融资租赁与资金缺口'!$E$15*(1+'融资租赁与资金缺口'!$I$15)^((YEAR(BZ$46)-YEAR('融资租赁与资金缺口'!$F$15))*12+MONTH(BZ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BZ$46)-YEAR('融资租赁与资金缺口'!$F$15))*12+MONTH(BZ$46)-MONTH('融资租赁与资金缺口'!$F$15))-1)/'融资租赁与资金缺口'!$I$15))))),IF(BZ$46&lt;'融资租赁与资金缺口'!$F$16,0,IF(BZ$46='融资租赁与资金缺口'!$F$16,'融资租赁与资金缺口'!$E$16,IF(((YEAR(BZ$46)-YEAR('融资租赁与资金缺口'!$F$16))*12+MONTH(BZ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BZ$46)-YEAR('融资租赁与资金缺口'!$F$16))*12+MONTH(BZ$46)-MONTH('融资租赁与资金缺口'!$F$16)),'融资租赁与资金缺口'!$E$16*(1+'融资租赁与资金缺口'!$I$16)^((YEAR(BZ$46)-YEAR('融资租赁与资金缺口'!$F$16))*12+MONTH(BZ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BZ$46)-YEAR('融资租赁与资金缺口'!$F$16))*12+MONTH(BZ$46)-MONTH('融资租赁与资金缺口'!$F$16))-1)/'融资租赁与资金缺口'!$I$16))))))</x:f>
        <x:v>5663448.681043051</x:v>
      </x:c>
      <x:c r="CA58" s="28" t="n">
        <x:f>SUM(IF(CA$46&lt;'融资租赁与资金缺口'!$F$5,0,IF(CA$46='融资租赁与资金缺口'!$F$5,'融资租赁与资金缺口'!$E$5,IF(((YEAR(CA$46)-YEAR('融资租赁与资金缺口'!$F$5))*12+MONTH(CA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CA$46)-YEAR('融资租赁与资金缺口'!$F$5))*12+MONTH(CA$46)-MONTH('融资租赁与资金缺口'!$F$5)),'融资租赁与资金缺口'!$E$5*(1+'融资租赁与资金缺口'!$I$5)^((YEAR(CA$46)-YEAR('融资租赁与资金缺口'!$F$5))*12+MONTH(CA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CA$46)-YEAR('融资租赁与资金缺口'!$F$5))*12+MONTH(CA$46)-MONTH('融资租赁与资金缺口'!$F$5))-1)/'融资租赁与资金缺口'!$I$5))))),IF(CA$46&lt;'融资租赁与资金缺口'!$F$6,0,IF(CA$46='融资租赁与资金缺口'!$F$6,'融资租赁与资金缺口'!$E$6,IF(((YEAR(CA$46)-YEAR('融资租赁与资金缺口'!$F$6))*12+MONTH(CA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CA$46)-YEAR('融资租赁与资金缺口'!$F$6))*12+MONTH(CA$46)-MONTH('融资租赁与资金缺口'!$F$6)),'融资租赁与资金缺口'!$E$6*(1+'融资租赁与资金缺口'!$I$6)^((YEAR(CA$46)-YEAR('融资租赁与资金缺口'!$F$6))*12+MONTH(CA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CA$46)-YEAR('融资租赁与资金缺口'!$F$6))*12+MONTH(CA$46)-MONTH('融资租赁与资金缺口'!$F$6))-1)/'融资租赁与资金缺口'!$I$6))))),IF(CA$46&lt;'融资租赁与资金缺口'!$F$7,0,IF(CA$46='融资租赁与资金缺口'!$F$7,'融资租赁与资金缺口'!$E$7,IF(((YEAR(CA$46)-YEAR('融资租赁与资金缺口'!$F$7))*12+MONTH(CA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CA$46)-YEAR('融资租赁与资金缺口'!$F$7))*12+MONTH(CA$46)-MONTH('融资租赁与资金缺口'!$F$7)),'融资租赁与资金缺口'!$E$7*(1+'融资租赁与资金缺口'!$I$7)^((YEAR(CA$46)-YEAR('融资租赁与资金缺口'!$F$7))*12+MONTH(CA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CA$46)-YEAR('融资租赁与资金缺口'!$F$7))*12+MONTH(CA$46)-MONTH('融资租赁与资金缺口'!$F$7))-1)/'融资租赁与资金缺口'!$I$7))))),IF(CA$46&lt;'融资租赁与资金缺口'!$F$8,0,IF(CA$46='融资租赁与资金缺口'!$F$8,'融资租赁与资金缺口'!$E$8,IF(((YEAR(CA$46)-YEAR('融资租赁与资金缺口'!$F$8))*12+MONTH(CA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CA$46)-YEAR('融资租赁与资金缺口'!$F$8))*12+MONTH(CA$46)-MONTH('融资租赁与资金缺口'!$F$8)),'融资租赁与资金缺口'!$E$8*(1+'融资租赁与资金缺口'!$I$8)^((YEAR(CA$46)-YEAR('融资租赁与资金缺口'!$F$8))*12+MONTH(CA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CA$46)-YEAR('融资租赁与资金缺口'!$F$8))*12+MONTH(CA$46)-MONTH('融资租赁与资金缺口'!$F$8))-1)/'融资租赁与资金缺口'!$I$8))))),IF(CA$46&lt;'融资租赁与资金缺口'!$F$9,0,IF(CA$46='融资租赁与资金缺口'!$F$9,'融资租赁与资金缺口'!$E$9,IF(((YEAR(CA$46)-YEAR('融资租赁与资金缺口'!$F$9))*12+MONTH(CA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CA$46)-YEAR('融资租赁与资金缺口'!$F$9))*12+MONTH(CA$46)-MONTH('融资租赁与资金缺口'!$F$9)),'融资租赁与资金缺口'!$E$9*(1+'融资租赁与资金缺口'!$I$9)^((YEAR(CA$46)-YEAR('融资租赁与资金缺口'!$F$9))*12+MONTH(CA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CA$46)-YEAR('融资租赁与资金缺口'!$F$9))*12+MONTH(CA$46)-MONTH('融资租赁与资金缺口'!$F$9))-1)/'融资租赁与资金缺口'!$I$9))))),IF(CA$46&lt;'融资租赁与资金缺口'!$F$10,0,IF(CA$46='融资租赁与资金缺口'!$F$10,'融资租赁与资金缺口'!$E$10,IF(((YEAR(CA$46)-YEAR('融资租赁与资金缺口'!$F$10))*12+MONTH(CA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CA$46)-YEAR('融资租赁与资金缺口'!$F$10))*12+MONTH(CA$46)-MONTH('融资租赁与资金缺口'!$F$10)),'融资租赁与资金缺口'!$E$10*(1+'融资租赁与资金缺口'!$I$10)^((YEAR(CA$46)-YEAR('融资租赁与资金缺口'!$F$10))*12+MONTH(CA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CA$46)-YEAR('融资租赁与资金缺口'!$F$10))*12+MONTH(CA$46)-MONTH('融资租赁与资金缺口'!$F$10))-1)/'融资租赁与资金缺口'!$I$10))))),IF(CA$46&lt;'融资租赁与资金缺口'!$F$11,0,IF(CA$46='融资租赁与资金缺口'!$F$11,'融资租赁与资金缺口'!$E$11,IF(((YEAR(CA$46)-YEAR('融资租赁与资金缺口'!$F$11))*12+MONTH(CA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CA$46)-YEAR('融资租赁与资金缺口'!$F$11))*12+MONTH(CA$46)-MONTH('融资租赁与资金缺口'!$F$11)),'融资租赁与资金缺口'!$E$11*(1+'融资租赁与资金缺口'!$I$11)^((YEAR(CA$46)-YEAR('融资租赁与资金缺口'!$F$11))*12+MONTH(CA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CA$46)-YEAR('融资租赁与资金缺口'!$F$11))*12+MONTH(CA$46)-MONTH('融资租赁与资金缺口'!$F$11))-1)/'融资租赁与资金缺口'!$I$11))))),IF(CA$46&lt;'融资租赁与资金缺口'!$F$12,0,IF(CA$46='融资租赁与资金缺口'!$F$12,'融资租赁与资金缺口'!$E$12,IF(((YEAR(CA$46)-YEAR('融资租赁与资金缺口'!$F$12))*12+MONTH(CA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CA$46)-YEAR('融资租赁与资金缺口'!$F$12))*12+MONTH(CA$46)-MONTH('融资租赁与资金缺口'!$F$12)),'融资租赁与资金缺口'!$E$12*(1+'融资租赁与资金缺口'!$I$12)^((YEAR(CA$46)-YEAR('融资租赁与资金缺口'!$F$12))*12+MONTH(CA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CA$46)-YEAR('融资租赁与资金缺口'!$F$12))*12+MONTH(CA$46)-MONTH('融资租赁与资金缺口'!$F$12))-1)/'融资租赁与资金缺口'!$I$12))))),IF(CA$46&lt;'融资租赁与资金缺口'!$F$13,0,IF(CA$46='融资租赁与资金缺口'!$F$13,'融资租赁与资金缺口'!$E$13,IF(((YEAR(CA$46)-YEAR('融资租赁与资金缺口'!$F$13))*12+MONTH(CA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CA$46)-YEAR('融资租赁与资金缺口'!$F$13))*12+MONTH(CA$46)-MONTH('融资租赁与资金缺口'!$F$13)),'融资租赁与资金缺口'!$E$13*(1+'融资租赁与资金缺口'!$I$13)^((YEAR(CA$46)-YEAR('融资租赁与资金缺口'!$F$13))*12+MONTH(CA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CA$46)-YEAR('融资租赁与资金缺口'!$F$13))*12+MONTH(CA$46)-MONTH('融资租赁与资金缺口'!$F$13))-1)/'融资租赁与资金缺口'!$I$13))))),IF(CA$46&lt;'融资租赁与资金缺口'!$F$14,0,IF(CA$46='融资租赁与资金缺口'!$F$14,'融资租赁与资金缺口'!$E$14,IF(((YEAR(CA$46)-YEAR('融资租赁与资金缺口'!$F$14))*12+MONTH(CA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CA$46)-YEAR('融资租赁与资金缺口'!$F$14))*12+MONTH(CA$46)-MONTH('融资租赁与资金缺口'!$F$14)),'融资租赁与资金缺口'!$E$14*(1+'融资租赁与资金缺口'!$I$14)^((YEAR(CA$46)-YEAR('融资租赁与资金缺口'!$F$14))*12+MONTH(CA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CA$46)-YEAR('融资租赁与资金缺口'!$F$14))*12+MONTH(CA$46)-MONTH('融资租赁与资金缺口'!$F$14))-1)/'融资租赁与资金缺口'!$I$14))))),IF(CA$46&lt;'融资租赁与资金缺口'!$F$15,0,IF(CA$46='融资租赁与资金缺口'!$F$15,'融资租赁与资金缺口'!$E$15,IF(((YEAR(CA$46)-YEAR('融资租赁与资金缺口'!$F$15))*12+MONTH(CA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CA$46)-YEAR('融资租赁与资金缺口'!$F$15))*12+MONTH(CA$46)-MONTH('融资租赁与资金缺口'!$F$15)),'融资租赁与资金缺口'!$E$15*(1+'融资租赁与资金缺口'!$I$15)^((YEAR(CA$46)-YEAR('融资租赁与资金缺口'!$F$15))*12+MONTH(CA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CA$46)-YEAR('融资租赁与资金缺口'!$F$15))*12+MONTH(CA$46)-MONTH('融资租赁与资金缺口'!$F$15))-1)/'融资租赁与资金缺口'!$I$15))))),IF(CA$46&lt;'融资租赁与资金缺口'!$F$16,0,IF(CA$46='融资租赁与资金缺口'!$F$16,'融资租赁与资金缺口'!$E$16,IF(((YEAR(CA$46)-YEAR('融资租赁与资金缺口'!$F$16))*12+MONTH(CA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CA$46)-YEAR('融资租赁与资金缺口'!$F$16))*12+MONTH(CA$46)-MONTH('融资租赁与资金缺口'!$F$16)),'融资租赁与资金缺口'!$E$16*(1+'融资租赁与资金缺口'!$I$16)^((YEAR(CA$46)-YEAR('融资租赁与资金缺口'!$F$16))*12+MONTH(CA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CA$46)-YEAR('融资租赁与资金缺口'!$F$16))*12+MONTH(CA$46)-MONTH('融资租赁与资金缺口'!$F$16))-1)/'融资租赁与资金缺口'!$I$16))))))</x:f>
        <x:v>1836789.8158676103</x:v>
      </x:c>
      <x:c r="CB58" s="28" t="n">
        <x:f>SUM(IF(CB$46&lt;'融资租赁与资金缺口'!$F$5,0,IF(CB$46='融资租赁与资金缺口'!$F$5,'融资租赁与资金缺口'!$E$5,IF(((YEAR(CB$46)-YEAR('融资租赁与资金缺口'!$F$5))*12+MONTH(CB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CB$46)-YEAR('融资租赁与资金缺口'!$F$5))*12+MONTH(CB$46)-MONTH('融资租赁与资金缺口'!$F$5)),'融资租赁与资金缺口'!$E$5*(1+'融资租赁与资金缺口'!$I$5)^((YEAR(CB$46)-YEAR('融资租赁与资金缺口'!$F$5))*12+MONTH(CB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CB$46)-YEAR('融资租赁与资金缺口'!$F$5))*12+MONTH(CB$46)-MONTH('融资租赁与资金缺口'!$F$5))-1)/'融资租赁与资金缺口'!$I$5))))),IF(CB$46&lt;'融资租赁与资金缺口'!$F$6,0,IF(CB$46='融资租赁与资金缺口'!$F$6,'融资租赁与资金缺口'!$E$6,IF(((YEAR(CB$46)-YEAR('融资租赁与资金缺口'!$F$6))*12+MONTH(CB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CB$46)-YEAR('融资租赁与资金缺口'!$F$6))*12+MONTH(CB$46)-MONTH('融资租赁与资金缺口'!$F$6)),'融资租赁与资金缺口'!$E$6*(1+'融资租赁与资金缺口'!$I$6)^((YEAR(CB$46)-YEAR('融资租赁与资金缺口'!$F$6))*12+MONTH(CB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CB$46)-YEAR('融资租赁与资金缺口'!$F$6))*12+MONTH(CB$46)-MONTH('融资租赁与资金缺口'!$F$6))-1)/'融资租赁与资金缺口'!$I$6))))),IF(CB$46&lt;'融资租赁与资金缺口'!$F$7,0,IF(CB$46='融资租赁与资金缺口'!$F$7,'融资租赁与资金缺口'!$E$7,IF(((YEAR(CB$46)-YEAR('融资租赁与资金缺口'!$F$7))*12+MONTH(CB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CB$46)-YEAR('融资租赁与资金缺口'!$F$7))*12+MONTH(CB$46)-MONTH('融资租赁与资金缺口'!$F$7)),'融资租赁与资金缺口'!$E$7*(1+'融资租赁与资金缺口'!$I$7)^((YEAR(CB$46)-YEAR('融资租赁与资金缺口'!$F$7))*12+MONTH(CB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CB$46)-YEAR('融资租赁与资金缺口'!$F$7))*12+MONTH(CB$46)-MONTH('融资租赁与资金缺口'!$F$7))-1)/'融资租赁与资金缺口'!$I$7))))),IF(CB$46&lt;'融资租赁与资金缺口'!$F$8,0,IF(CB$46='融资租赁与资金缺口'!$F$8,'融资租赁与资金缺口'!$E$8,IF(((YEAR(CB$46)-YEAR('融资租赁与资金缺口'!$F$8))*12+MONTH(CB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CB$46)-YEAR('融资租赁与资金缺口'!$F$8))*12+MONTH(CB$46)-MONTH('融资租赁与资金缺口'!$F$8)),'融资租赁与资金缺口'!$E$8*(1+'融资租赁与资金缺口'!$I$8)^((YEAR(CB$46)-YEAR('融资租赁与资金缺口'!$F$8))*12+MONTH(CB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CB$46)-YEAR('融资租赁与资金缺口'!$F$8))*12+MONTH(CB$46)-MONTH('融资租赁与资金缺口'!$F$8))-1)/'融资租赁与资金缺口'!$I$8))))),IF(CB$46&lt;'融资租赁与资金缺口'!$F$9,0,IF(CB$46='融资租赁与资金缺口'!$F$9,'融资租赁与资金缺口'!$E$9,IF(((YEAR(CB$46)-YEAR('融资租赁与资金缺口'!$F$9))*12+MONTH(CB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CB$46)-YEAR('融资租赁与资金缺口'!$F$9))*12+MONTH(CB$46)-MONTH('融资租赁与资金缺口'!$F$9)),'融资租赁与资金缺口'!$E$9*(1+'融资租赁与资金缺口'!$I$9)^((YEAR(CB$46)-YEAR('融资租赁与资金缺口'!$F$9))*12+MONTH(CB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CB$46)-YEAR('融资租赁与资金缺口'!$F$9))*12+MONTH(CB$46)-MONTH('融资租赁与资金缺口'!$F$9))-1)/'融资租赁与资金缺口'!$I$9))))),IF(CB$46&lt;'融资租赁与资金缺口'!$F$10,0,IF(CB$46='融资租赁与资金缺口'!$F$10,'融资租赁与资金缺口'!$E$10,IF(((YEAR(CB$46)-YEAR('融资租赁与资金缺口'!$F$10))*12+MONTH(CB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CB$46)-YEAR('融资租赁与资金缺口'!$F$10))*12+MONTH(CB$46)-MONTH('融资租赁与资金缺口'!$F$10)),'融资租赁与资金缺口'!$E$10*(1+'融资租赁与资金缺口'!$I$10)^((YEAR(CB$46)-YEAR('融资租赁与资金缺口'!$F$10))*12+MONTH(CB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CB$46)-YEAR('融资租赁与资金缺口'!$F$10))*12+MONTH(CB$46)-MONTH('融资租赁与资金缺口'!$F$10))-1)/'融资租赁与资金缺口'!$I$10))))),IF(CB$46&lt;'融资租赁与资金缺口'!$F$11,0,IF(CB$46='融资租赁与资金缺口'!$F$11,'融资租赁与资金缺口'!$E$11,IF(((YEAR(CB$46)-YEAR('融资租赁与资金缺口'!$F$11))*12+MONTH(CB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CB$46)-YEAR('融资租赁与资金缺口'!$F$11))*12+MONTH(CB$46)-MONTH('融资租赁与资金缺口'!$F$11)),'融资租赁与资金缺口'!$E$11*(1+'融资租赁与资金缺口'!$I$11)^((YEAR(CB$46)-YEAR('融资租赁与资金缺口'!$F$11))*12+MONTH(CB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CB$46)-YEAR('融资租赁与资金缺口'!$F$11))*12+MONTH(CB$46)-MONTH('融资租赁与资金缺口'!$F$11))-1)/'融资租赁与资金缺口'!$I$11))))),IF(CB$46&lt;'融资租赁与资金缺口'!$F$12,0,IF(CB$46='融资租赁与资金缺口'!$F$12,'融资租赁与资金缺口'!$E$12,IF(((YEAR(CB$46)-YEAR('融资租赁与资金缺口'!$F$12))*12+MONTH(CB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CB$46)-YEAR('融资租赁与资金缺口'!$F$12))*12+MONTH(CB$46)-MONTH('融资租赁与资金缺口'!$F$12)),'融资租赁与资金缺口'!$E$12*(1+'融资租赁与资金缺口'!$I$12)^((YEAR(CB$46)-YEAR('融资租赁与资金缺口'!$F$12))*12+MONTH(CB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CB$46)-YEAR('融资租赁与资金缺口'!$F$12))*12+MONTH(CB$46)-MONTH('融资租赁与资金缺口'!$F$12))-1)/'融资租赁与资金缺口'!$I$12))))),IF(CB$46&lt;'融资租赁与资金缺口'!$F$13,0,IF(CB$46='融资租赁与资金缺口'!$F$13,'融资租赁与资金缺口'!$E$13,IF(((YEAR(CB$46)-YEAR('融资租赁与资金缺口'!$F$13))*12+MONTH(CB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CB$46)-YEAR('融资租赁与资金缺口'!$F$13))*12+MONTH(CB$46)-MONTH('融资租赁与资金缺口'!$F$13)),'融资租赁与资金缺口'!$E$13*(1+'融资租赁与资金缺口'!$I$13)^((YEAR(CB$46)-YEAR('融资租赁与资金缺口'!$F$13))*12+MONTH(CB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CB$46)-YEAR('融资租赁与资金缺口'!$F$13))*12+MONTH(CB$46)-MONTH('融资租赁与资金缺口'!$F$13))-1)/'融资租赁与资金缺口'!$I$13))))),IF(CB$46&lt;'融资租赁与资金缺口'!$F$14,0,IF(CB$46='融资租赁与资金缺口'!$F$14,'融资租赁与资金缺口'!$E$14,IF(((YEAR(CB$46)-YEAR('融资租赁与资金缺口'!$F$14))*12+MONTH(CB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CB$46)-YEAR('融资租赁与资金缺口'!$F$14))*12+MONTH(CB$46)-MONTH('融资租赁与资金缺口'!$F$14)),'融资租赁与资金缺口'!$E$14*(1+'融资租赁与资金缺口'!$I$14)^((YEAR(CB$46)-YEAR('融资租赁与资金缺口'!$F$14))*12+MONTH(CB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CB$46)-YEAR('融资租赁与资金缺口'!$F$14))*12+MONTH(CB$46)-MONTH('融资租赁与资金缺口'!$F$14))-1)/'融资租赁与资金缺口'!$I$14))))),IF(CB$46&lt;'融资租赁与资金缺口'!$F$15,0,IF(CB$46='融资租赁与资金缺口'!$F$15,'融资租赁与资金缺口'!$E$15,IF(((YEAR(CB$46)-YEAR('融资租赁与资金缺口'!$F$15))*12+MONTH(CB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CB$46)-YEAR('融资租赁与资金缺口'!$F$15))*12+MONTH(CB$46)-MONTH('融资租赁与资金缺口'!$F$15)),'融资租赁与资金缺口'!$E$15*(1+'融资租赁与资金缺口'!$I$15)^((YEAR(CB$46)-YEAR('融资租赁与资金缺口'!$F$15))*12+MONTH(CB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CB$46)-YEAR('融资租赁与资金缺口'!$F$15))*12+MONTH(CB$46)-MONTH('融资租赁与资金缺口'!$F$15))-1)/'融资租赁与资金缺口'!$I$15))))),IF(CB$46&lt;'融资租赁与资金缺口'!$F$16,0,IF(CB$46='融资租赁与资金缺口'!$F$16,'融资租赁与资金缺口'!$E$16,IF(((YEAR(CB$46)-YEAR('融资租赁与资金缺口'!$F$16))*12+MONTH(CB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CB$46)-YEAR('融资租赁与资金缺口'!$F$16))*12+MONTH(CB$46)-MONTH('融资租赁与资金缺口'!$F$16)),'融资租赁与资金缺口'!$E$16*(1+'融资租赁与资金缺口'!$I$16)^((YEAR(CB$46)-YEAR('融资租赁与资金缺口'!$F$16))*12+MONTH(CB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CB$46)-YEAR('融资租赁与资金缺口'!$F$16))*12+MONTH(CB$46)-MONTH('融资租赁与资金缺口'!$F$16))-1)/'融资租赁与资金缺口'!$I$16))))))</x:f>
        <x:v>0</x:v>
      </x:c>
      <x:c r="CC58" s="28" t="n">
        <x:f>SUM(IF(CC$46&lt;'融资租赁与资金缺口'!$F$5,0,IF(CC$46='融资租赁与资金缺口'!$F$5,'融资租赁与资金缺口'!$E$5,IF(((YEAR(CC$46)-YEAR('融资租赁与资金缺口'!$F$5))*12+MONTH(CC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CC$46)-YEAR('融资租赁与资金缺口'!$F$5))*12+MONTH(CC$46)-MONTH('融资租赁与资金缺口'!$F$5)),'融资租赁与资金缺口'!$E$5*(1+'融资租赁与资金缺口'!$I$5)^((YEAR(CC$46)-YEAR('融资租赁与资金缺口'!$F$5))*12+MONTH(CC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CC$46)-YEAR('融资租赁与资金缺口'!$F$5))*12+MONTH(CC$46)-MONTH('融资租赁与资金缺口'!$F$5))-1)/'融资租赁与资金缺口'!$I$5))))),IF(CC$46&lt;'融资租赁与资金缺口'!$F$6,0,IF(CC$46='融资租赁与资金缺口'!$F$6,'融资租赁与资金缺口'!$E$6,IF(((YEAR(CC$46)-YEAR('融资租赁与资金缺口'!$F$6))*12+MONTH(CC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CC$46)-YEAR('融资租赁与资金缺口'!$F$6))*12+MONTH(CC$46)-MONTH('融资租赁与资金缺口'!$F$6)),'融资租赁与资金缺口'!$E$6*(1+'融资租赁与资金缺口'!$I$6)^((YEAR(CC$46)-YEAR('融资租赁与资金缺口'!$F$6))*12+MONTH(CC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CC$46)-YEAR('融资租赁与资金缺口'!$F$6))*12+MONTH(CC$46)-MONTH('融资租赁与资金缺口'!$F$6))-1)/'融资租赁与资金缺口'!$I$6))))),IF(CC$46&lt;'融资租赁与资金缺口'!$F$7,0,IF(CC$46='融资租赁与资金缺口'!$F$7,'融资租赁与资金缺口'!$E$7,IF(((YEAR(CC$46)-YEAR('融资租赁与资金缺口'!$F$7))*12+MONTH(CC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CC$46)-YEAR('融资租赁与资金缺口'!$F$7))*12+MONTH(CC$46)-MONTH('融资租赁与资金缺口'!$F$7)),'融资租赁与资金缺口'!$E$7*(1+'融资租赁与资金缺口'!$I$7)^((YEAR(CC$46)-YEAR('融资租赁与资金缺口'!$F$7))*12+MONTH(CC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CC$46)-YEAR('融资租赁与资金缺口'!$F$7))*12+MONTH(CC$46)-MONTH('融资租赁与资金缺口'!$F$7))-1)/'融资租赁与资金缺口'!$I$7))))),IF(CC$46&lt;'融资租赁与资金缺口'!$F$8,0,IF(CC$46='融资租赁与资金缺口'!$F$8,'融资租赁与资金缺口'!$E$8,IF(((YEAR(CC$46)-YEAR('融资租赁与资金缺口'!$F$8))*12+MONTH(CC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CC$46)-YEAR('融资租赁与资金缺口'!$F$8))*12+MONTH(CC$46)-MONTH('融资租赁与资金缺口'!$F$8)),'融资租赁与资金缺口'!$E$8*(1+'融资租赁与资金缺口'!$I$8)^((YEAR(CC$46)-YEAR('融资租赁与资金缺口'!$F$8))*12+MONTH(CC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CC$46)-YEAR('融资租赁与资金缺口'!$F$8))*12+MONTH(CC$46)-MONTH('融资租赁与资金缺口'!$F$8))-1)/'融资租赁与资金缺口'!$I$8))))),IF(CC$46&lt;'融资租赁与资金缺口'!$F$9,0,IF(CC$46='融资租赁与资金缺口'!$F$9,'融资租赁与资金缺口'!$E$9,IF(((YEAR(CC$46)-YEAR('融资租赁与资金缺口'!$F$9))*12+MONTH(CC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CC$46)-YEAR('融资租赁与资金缺口'!$F$9))*12+MONTH(CC$46)-MONTH('融资租赁与资金缺口'!$F$9)),'融资租赁与资金缺口'!$E$9*(1+'融资租赁与资金缺口'!$I$9)^((YEAR(CC$46)-YEAR('融资租赁与资金缺口'!$F$9))*12+MONTH(CC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CC$46)-YEAR('融资租赁与资金缺口'!$F$9))*12+MONTH(CC$46)-MONTH('融资租赁与资金缺口'!$F$9))-1)/'融资租赁与资金缺口'!$I$9))))),IF(CC$46&lt;'融资租赁与资金缺口'!$F$10,0,IF(CC$46='融资租赁与资金缺口'!$F$10,'融资租赁与资金缺口'!$E$10,IF(((YEAR(CC$46)-YEAR('融资租赁与资金缺口'!$F$10))*12+MONTH(CC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CC$46)-YEAR('融资租赁与资金缺口'!$F$10))*12+MONTH(CC$46)-MONTH('融资租赁与资金缺口'!$F$10)),'融资租赁与资金缺口'!$E$10*(1+'融资租赁与资金缺口'!$I$10)^((YEAR(CC$46)-YEAR('融资租赁与资金缺口'!$F$10))*12+MONTH(CC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CC$46)-YEAR('融资租赁与资金缺口'!$F$10))*12+MONTH(CC$46)-MONTH('融资租赁与资金缺口'!$F$10))-1)/'融资租赁与资金缺口'!$I$10))))),IF(CC$46&lt;'融资租赁与资金缺口'!$F$11,0,IF(CC$46='融资租赁与资金缺口'!$F$11,'融资租赁与资金缺口'!$E$11,IF(((YEAR(CC$46)-YEAR('融资租赁与资金缺口'!$F$11))*12+MONTH(CC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CC$46)-YEAR('融资租赁与资金缺口'!$F$11))*12+MONTH(CC$46)-MONTH('融资租赁与资金缺口'!$F$11)),'融资租赁与资金缺口'!$E$11*(1+'融资租赁与资金缺口'!$I$11)^((YEAR(CC$46)-YEAR('融资租赁与资金缺口'!$F$11))*12+MONTH(CC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CC$46)-YEAR('融资租赁与资金缺口'!$F$11))*12+MONTH(CC$46)-MONTH('融资租赁与资金缺口'!$F$11))-1)/'融资租赁与资金缺口'!$I$11))))),IF(CC$46&lt;'融资租赁与资金缺口'!$F$12,0,IF(CC$46='融资租赁与资金缺口'!$F$12,'融资租赁与资金缺口'!$E$12,IF(((YEAR(CC$46)-YEAR('融资租赁与资金缺口'!$F$12))*12+MONTH(CC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CC$46)-YEAR('融资租赁与资金缺口'!$F$12))*12+MONTH(CC$46)-MONTH('融资租赁与资金缺口'!$F$12)),'融资租赁与资金缺口'!$E$12*(1+'融资租赁与资金缺口'!$I$12)^((YEAR(CC$46)-YEAR('融资租赁与资金缺口'!$F$12))*12+MONTH(CC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CC$46)-YEAR('融资租赁与资金缺口'!$F$12))*12+MONTH(CC$46)-MONTH('融资租赁与资金缺口'!$F$12))-1)/'融资租赁与资金缺口'!$I$12))))),IF(CC$46&lt;'融资租赁与资金缺口'!$F$13,0,IF(CC$46='融资租赁与资金缺口'!$F$13,'融资租赁与资金缺口'!$E$13,IF(((YEAR(CC$46)-YEAR('融资租赁与资金缺口'!$F$13))*12+MONTH(CC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CC$46)-YEAR('融资租赁与资金缺口'!$F$13))*12+MONTH(CC$46)-MONTH('融资租赁与资金缺口'!$F$13)),'融资租赁与资金缺口'!$E$13*(1+'融资租赁与资金缺口'!$I$13)^((YEAR(CC$46)-YEAR('融资租赁与资金缺口'!$F$13))*12+MONTH(CC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CC$46)-YEAR('融资租赁与资金缺口'!$F$13))*12+MONTH(CC$46)-MONTH('融资租赁与资金缺口'!$F$13))-1)/'融资租赁与资金缺口'!$I$13))))),IF(CC$46&lt;'融资租赁与资金缺口'!$F$14,0,IF(CC$46='融资租赁与资金缺口'!$F$14,'融资租赁与资金缺口'!$E$14,IF(((YEAR(CC$46)-YEAR('融资租赁与资金缺口'!$F$14))*12+MONTH(CC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CC$46)-YEAR('融资租赁与资金缺口'!$F$14))*12+MONTH(CC$46)-MONTH('融资租赁与资金缺口'!$F$14)),'融资租赁与资金缺口'!$E$14*(1+'融资租赁与资金缺口'!$I$14)^((YEAR(CC$46)-YEAR('融资租赁与资金缺口'!$F$14))*12+MONTH(CC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CC$46)-YEAR('融资租赁与资金缺口'!$F$14))*12+MONTH(CC$46)-MONTH('融资租赁与资金缺口'!$F$14))-1)/'融资租赁与资金缺口'!$I$14))))),IF(CC$46&lt;'融资租赁与资金缺口'!$F$15,0,IF(CC$46='融资租赁与资金缺口'!$F$15,'融资租赁与资金缺口'!$E$15,IF(((YEAR(CC$46)-YEAR('融资租赁与资金缺口'!$F$15))*12+MONTH(CC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CC$46)-YEAR('融资租赁与资金缺口'!$F$15))*12+MONTH(CC$46)-MONTH('融资租赁与资金缺口'!$F$15)),'融资租赁与资金缺口'!$E$15*(1+'融资租赁与资金缺口'!$I$15)^((YEAR(CC$46)-YEAR('融资租赁与资金缺口'!$F$15))*12+MONTH(CC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CC$46)-YEAR('融资租赁与资金缺口'!$F$15))*12+MONTH(CC$46)-MONTH('融资租赁与资金缺口'!$F$15))-1)/'融资租赁与资金缺口'!$I$15))))),IF(CC$46&lt;'融资租赁与资金缺口'!$F$16,0,IF(CC$46='融资租赁与资金缺口'!$F$16,'融资租赁与资金缺口'!$E$16,IF(((YEAR(CC$46)-YEAR('融资租赁与资金缺口'!$F$16))*12+MONTH(CC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CC$46)-YEAR('融资租赁与资金缺口'!$F$16))*12+MONTH(CC$46)-MONTH('融资租赁与资金缺口'!$F$16)),'融资租赁与资金缺口'!$E$16*(1+'融资租赁与资金缺口'!$I$16)^((YEAR(CC$46)-YEAR('融资租赁与资金缺口'!$F$16))*12+MONTH(CC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CC$46)-YEAR('融资租赁与资金缺口'!$F$16))*12+MONTH(CC$46)-MONTH('融资租赁与资金缺口'!$F$16))-1)/'融资租赁与资金缺口'!$I$16))))))</x:f>
        <x:v>0</x:v>
      </x:c>
      <x:c r="CD58" s="28" t="n">
        <x:f>SUM(IF(CD$46&lt;'融资租赁与资金缺口'!$F$5,0,IF(CD$46='融资租赁与资金缺口'!$F$5,'融资租赁与资金缺口'!$E$5,IF(((YEAR(CD$46)-YEAR('融资租赁与资金缺口'!$F$5))*12+MONTH(CD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CD$46)-YEAR('融资租赁与资金缺口'!$F$5))*12+MONTH(CD$46)-MONTH('融资租赁与资金缺口'!$F$5)),'融资租赁与资金缺口'!$E$5*(1+'融资租赁与资金缺口'!$I$5)^((YEAR(CD$46)-YEAR('融资租赁与资金缺口'!$F$5))*12+MONTH(CD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CD$46)-YEAR('融资租赁与资金缺口'!$F$5))*12+MONTH(CD$46)-MONTH('融资租赁与资金缺口'!$F$5))-1)/'融资租赁与资金缺口'!$I$5))))),IF(CD$46&lt;'融资租赁与资金缺口'!$F$6,0,IF(CD$46='融资租赁与资金缺口'!$F$6,'融资租赁与资金缺口'!$E$6,IF(((YEAR(CD$46)-YEAR('融资租赁与资金缺口'!$F$6))*12+MONTH(CD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CD$46)-YEAR('融资租赁与资金缺口'!$F$6))*12+MONTH(CD$46)-MONTH('融资租赁与资金缺口'!$F$6)),'融资租赁与资金缺口'!$E$6*(1+'融资租赁与资金缺口'!$I$6)^((YEAR(CD$46)-YEAR('融资租赁与资金缺口'!$F$6))*12+MONTH(CD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CD$46)-YEAR('融资租赁与资金缺口'!$F$6))*12+MONTH(CD$46)-MONTH('融资租赁与资金缺口'!$F$6))-1)/'融资租赁与资金缺口'!$I$6))))),IF(CD$46&lt;'融资租赁与资金缺口'!$F$7,0,IF(CD$46='融资租赁与资金缺口'!$F$7,'融资租赁与资金缺口'!$E$7,IF(((YEAR(CD$46)-YEAR('融资租赁与资金缺口'!$F$7))*12+MONTH(CD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CD$46)-YEAR('融资租赁与资金缺口'!$F$7))*12+MONTH(CD$46)-MONTH('融资租赁与资金缺口'!$F$7)),'融资租赁与资金缺口'!$E$7*(1+'融资租赁与资金缺口'!$I$7)^((YEAR(CD$46)-YEAR('融资租赁与资金缺口'!$F$7))*12+MONTH(CD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CD$46)-YEAR('融资租赁与资金缺口'!$F$7))*12+MONTH(CD$46)-MONTH('融资租赁与资金缺口'!$F$7))-1)/'融资租赁与资金缺口'!$I$7))))),IF(CD$46&lt;'融资租赁与资金缺口'!$F$8,0,IF(CD$46='融资租赁与资金缺口'!$F$8,'融资租赁与资金缺口'!$E$8,IF(((YEAR(CD$46)-YEAR('融资租赁与资金缺口'!$F$8))*12+MONTH(CD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CD$46)-YEAR('融资租赁与资金缺口'!$F$8))*12+MONTH(CD$46)-MONTH('融资租赁与资金缺口'!$F$8)),'融资租赁与资金缺口'!$E$8*(1+'融资租赁与资金缺口'!$I$8)^((YEAR(CD$46)-YEAR('融资租赁与资金缺口'!$F$8))*12+MONTH(CD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CD$46)-YEAR('融资租赁与资金缺口'!$F$8))*12+MONTH(CD$46)-MONTH('融资租赁与资金缺口'!$F$8))-1)/'融资租赁与资金缺口'!$I$8))))),IF(CD$46&lt;'融资租赁与资金缺口'!$F$9,0,IF(CD$46='融资租赁与资金缺口'!$F$9,'融资租赁与资金缺口'!$E$9,IF(((YEAR(CD$46)-YEAR('融资租赁与资金缺口'!$F$9))*12+MONTH(CD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CD$46)-YEAR('融资租赁与资金缺口'!$F$9))*12+MONTH(CD$46)-MONTH('融资租赁与资金缺口'!$F$9)),'融资租赁与资金缺口'!$E$9*(1+'融资租赁与资金缺口'!$I$9)^((YEAR(CD$46)-YEAR('融资租赁与资金缺口'!$F$9))*12+MONTH(CD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CD$46)-YEAR('融资租赁与资金缺口'!$F$9))*12+MONTH(CD$46)-MONTH('融资租赁与资金缺口'!$F$9))-1)/'融资租赁与资金缺口'!$I$9))))),IF(CD$46&lt;'融资租赁与资金缺口'!$F$10,0,IF(CD$46='融资租赁与资金缺口'!$F$10,'融资租赁与资金缺口'!$E$10,IF(((YEAR(CD$46)-YEAR('融资租赁与资金缺口'!$F$10))*12+MONTH(CD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CD$46)-YEAR('融资租赁与资金缺口'!$F$10))*12+MONTH(CD$46)-MONTH('融资租赁与资金缺口'!$F$10)),'融资租赁与资金缺口'!$E$10*(1+'融资租赁与资金缺口'!$I$10)^((YEAR(CD$46)-YEAR('融资租赁与资金缺口'!$F$10))*12+MONTH(CD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CD$46)-YEAR('融资租赁与资金缺口'!$F$10))*12+MONTH(CD$46)-MONTH('融资租赁与资金缺口'!$F$10))-1)/'融资租赁与资金缺口'!$I$10))))),IF(CD$46&lt;'融资租赁与资金缺口'!$F$11,0,IF(CD$46='融资租赁与资金缺口'!$F$11,'融资租赁与资金缺口'!$E$11,IF(((YEAR(CD$46)-YEAR('融资租赁与资金缺口'!$F$11))*12+MONTH(CD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CD$46)-YEAR('融资租赁与资金缺口'!$F$11))*12+MONTH(CD$46)-MONTH('融资租赁与资金缺口'!$F$11)),'融资租赁与资金缺口'!$E$11*(1+'融资租赁与资金缺口'!$I$11)^((YEAR(CD$46)-YEAR('融资租赁与资金缺口'!$F$11))*12+MONTH(CD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CD$46)-YEAR('融资租赁与资金缺口'!$F$11))*12+MONTH(CD$46)-MONTH('融资租赁与资金缺口'!$F$11))-1)/'融资租赁与资金缺口'!$I$11))))),IF(CD$46&lt;'融资租赁与资金缺口'!$F$12,0,IF(CD$46='融资租赁与资金缺口'!$F$12,'融资租赁与资金缺口'!$E$12,IF(((YEAR(CD$46)-YEAR('融资租赁与资金缺口'!$F$12))*12+MONTH(CD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CD$46)-YEAR('融资租赁与资金缺口'!$F$12))*12+MONTH(CD$46)-MONTH('融资租赁与资金缺口'!$F$12)),'融资租赁与资金缺口'!$E$12*(1+'融资租赁与资金缺口'!$I$12)^((YEAR(CD$46)-YEAR('融资租赁与资金缺口'!$F$12))*12+MONTH(CD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CD$46)-YEAR('融资租赁与资金缺口'!$F$12))*12+MONTH(CD$46)-MONTH('融资租赁与资金缺口'!$F$12))-1)/'融资租赁与资金缺口'!$I$12))))),IF(CD$46&lt;'融资租赁与资金缺口'!$F$13,0,IF(CD$46='融资租赁与资金缺口'!$F$13,'融资租赁与资金缺口'!$E$13,IF(((YEAR(CD$46)-YEAR('融资租赁与资金缺口'!$F$13))*12+MONTH(CD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CD$46)-YEAR('融资租赁与资金缺口'!$F$13))*12+MONTH(CD$46)-MONTH('融资租赁与资金缺口'!$F$13)),'融资租赁与资金缺口'!$E$13*(1+'融资租赁与资金缺口'!$I$13)^((YEAR(CD$46)-YEAR('融资租赁与资金缺口'!$F$13))*12+MONTH(CD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CD$46)-YEAR('融资租赁与资金缺口'!$F$13))*12+MONTH(CD$46)-MONTH('融资租赁与资金缺口'!$F$13))-1)/'融资租赁与资金缺口'!$I$13))))),IF(CD$46&lt;'融资租赁与资金缺口'!$F$14,0,IF(CD$46='融资租赁与资金缺口'!$F$14,'融资租赁与资金缺口'!$E$14,IF(((YEAR(CD$46)-YEAR('融资租赁与资金缺口'!$F$14))*12+MONTH(CD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CD$46)-YEAR('融资租赁与资金缺口'!$F$14))*12+MONTH(CD$46)-MONTH('融资租赁与资金缺口'!$F$14)),'融资租赁与资金缺口'!$E$14*(1+'融资租赁与资金缺口'!$I$14)^((YEAR(CD$46)-YEAR('融资租赁与资金缺口'!$F$14))*12+MONTH(CD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CD$46)-YEAR('融资租赁与资金缺口'!$F$14))*12+MONTH(CD$46)-MONTH('融资租赁与资金缺口'!$F$14))-1)/'融资租赁与资金缺口'!$I$14))))),IF(CD$46&lt;'融资租赁与资金缺口'!$F$15,0,IF(CD$46='融资租赁与资金缺口'!$F$15,'融资租赁与资金缺口'!$E$15,IF(((YEAR(CD$46)-YEAR('融资租赁与资金缺口'!$F$15))*12+MONTH(CD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CD$46)-YEAR('融资租赁与资金缺口'!$F$15))*12+MONTH(CD$46)-MONTH('融资租赁与资金缺口'!$F$15)),'融资租赁与资金缺口'!$E$15*(1+'融资租赁与资金缺口'!$I$15)^((YEAR(CD$46)-YEAR('融资租赁与资金缺口'!$F$15))*12+MONTH(CD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CD$46)-YEAR('融资租赁与资金缺口'!$F$15))*12+MONTH(CD$46)-MONTH('融资租赁与资金缺口'!$F$15))-1)/'融资租赁与资金缺口'!$I$15))))),IF(CD$46&lt;'融资租赁与资金缺口'!$F$16,0,IF(CD$46='融资租赁与资金缺口'!$F$16,'融资租赁与资金缺口'!$E$16,IF(((YEAR(CD$46)-YEAR('融资租赁与资金缺口'!$F$16))*12+MONTH(CD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CD$46)-YEAR('融资租赁与资金缺口'!$F$16))*12+MONTH(CD$46)-MONTH('融资租赁与资金缺口'!$F$16)),'融资租赁与资金缺口'!$E$16*(1+'融资租赁与资金缺口'!$I$16)^((YEAR(CD$46)-YEAR('融资租赁与资金缺口'!$F$16))*12+MONTH(CD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CD$46)-YEAR('融资租赁与资金缺口'!$F$16))*12+MONTH(CD$46)-MONTH('融资租赁与资金缺口'!$F$16))-1)/'融资租赁与资金缺口'!$I$16))))))</x:f>
        <x:v>0</x:v>
      </x:c>
      <x:c r="CE58" s="28" t="n">
        <x:f>SUM(IF(CE$46&lt;'融资租赁与资金缺口'!$F$5,0,IF(CE$46='融资租赁与资金缺口'!$F$5,'融资租赁与资金缺口'!$E$5,IF(((YEAR(CE$46)-YEAR('融资租赁与资金缺口'!$F$5))*12+MONTH(CE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CE$46)-YEAR('融资租赁与资金缺口'!$F$5))*12+MONTH(CE$46)-MONTH('融资租赁与资金缺口'!$F$5)),'融资租赁与资金缺口'!$E$5*(1+'融资租赁与资金缺口'!$I$5)^((YEAR(CE$46)-YEAR('融资租赁与资金缺口'!$F$5))*12+MONTH(CE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CE$46)-YEAR('融资租赁与资金缺口'!$F$5))*12+MONTH(CE$46)-MONTH('融资租赁与资金缺口'!$F$5))-1)/'融资租赁与资金缺口'!$I$5))))),IF(CE$46&lt;'融资租赁与资金缺口'!$F$6,0,IF(CE$46='融资租赁与资金缺口'!$F$6,'融资租赁与资金缺口'!$E$6,IF(((YEAR(CE$46)-YEAR('融资租赁与资金缺口'!$F$6))*12+MONTH(CE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CE$46)-YEAR('融资租赁与资金缺口'!$F$6))*12+MONTH(CE$46)-MONTH('融资租赁与资金缺口'!$F$6)),'融资租赁与资金缺口'!$E$6*(1+'融资租赁与资金缺口'!$I$6)^((YEAR(CE$46)-YEAR('融资租赁与资金缺口'!$F$6))*12+MONTH(CE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CE$46)-YEAR('融资租赁与资金缺口'!$F$6))*12+MONTH(CE$46)-MONTH('融资租赁与资金缺口'!$F$6))-1)/'融资租赁与资金缺口'!$I$6))))),IF(CE$46&lt;'融资租赁与资金缺口'!$F$7,0,IF(CE$46='融资租赁与资金缺口'!$F$7,'融资租赁与资金缺口'!$E$7,IF(((YEAR(CE$46)-YEAR('融资租赁与资金缺口'!$F$7))*12+MONTH(CE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CE$46)-YEAR('融资租赁与资金缺口'!$F$7))*12+MONTH(CE$46)-MONTH('融资租赁与资金缺口'!$F$7)),'融资租赁与资金缺口'!$E$7*(1+'融资租赁与资金缺口'!$I$7)^((YEAR(CE$46)-YEAR('融资租赁与资金缺口'!$F$7))*12+MONTH(CE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CE$46)-YEAR('融资租赁与资金缺口'!$F$7))*12+MONTH(CE$46)-MONTH('融资租赁与资金缺口'!$F$7))-1)/'融资租赁与资金缺口'!$I$7))))),IF(CE$46&lt;'融资租赁与资金缺口'!$F$8,0,IF(CE$46='融资租赁与资金缺口'!$F$8,'融资租赁与资金缺口'!$E$8,IF(((YEAR(CE$46)-YEAR('融资租赁与资金缺口'!$F$8))*12+MONTH(CE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CE$46)-YEAR('融资租赁与资金缺口'!$F$8))*12+MONTH(CE$46)-MONTH('融资租赁与资金缺口'!$F$8)),'融资租赁与资金缺口'!$E$8*(1+'融资租赁与资金缺口'!$I$8)^((YEAR(CE$46)-YEAR('融资租赁与资金缺口'!$F$8))*12+MONTH(CE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CE$46)-YEAR('融资租赁与资金缺口'!$F$8))*12+MONTH(CE$46)-MONTH('融资租赁与资金缺口'!$F$8))-1)/'融资租赁与资金缺口'!$I$8))))),IF(CE$46&lt;'融资租赁与资金缺口'!$F$9,0,IF(CE$46='融资租赁与资金缺口'!$F$9,'融资租赁与资金缺口'!$E$9,IF(((YEAR(CE$46)-YEAR('融资租赁与资金缺口'!$F$9))*12+MONTH(CE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CE$46)-YEAR('融资租赁与资金缺口'!$F$9))*12+MONTH(CE$46)-MONTH('融资租赁与资金缺口'!$F$9)),'融资租赁与资金缺口'!$E$9*(1+'融资租赁与资金缺口'!$I$9)^((YEAR(CE$46)-YEAR('融资租赁与资金缺口'!$F$9))*12+MONTH(CE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CE$46)-YEAR('融资租赁与资金缺口'!$F$9))*12+MONTH(CE$46)-MONTH('融资租赁与资金缺口'!$F$9))-1)/'融资租赁与资金缺口'!$I$9))))),IF(CE$46&lt;'融资租赁与资金缺口'!$F$10,0,IF(CE$46='融资租赁与资金缺口'!$F$10,'融资租赁与资金缺口'!$E$10,IF(((YEAR(CE$46)-YEAR('融资租赁与资金缺口'!$F$10))*12+MONTH(CE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CE$46)-YEAR('融资租赁与资金缺口'!$F$10))*12+MONTH(CE$46)-MONTH('融资租赁与资金缺口'!$F$10)),'融资租赁与资金缺口'!$E$10*(1+'融资租赁与资金缺口'!$I$10)^((YEAR(CE$46)-YEAR('融资租赁与资金缺口'!$F$10))*12+MONTH(CE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CE$46)-YEAR('融资租赁与资金缺口'!$F$10))*12+MONTH(CE$46)-MONTH('融资租赁与资金缺口'!$F$10))-1)/'融资租赁与资金缺口'!$I$10))))),IF(CE$46&lt;'融资租赁与资金缺口'!$F$11,0,IF(CE$46='融资租赁与资金缺口'!$F$11,'融资租赁与资金缺口'!$E$11,IF(((YEAR(CE$46)-YEAR('融资租赁与资金缺口'!$F$11))*12+MONTH(CE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CE$46)-YEAR('融资租赁与资金缺口'!$F$11))*12+MONTH(CE$46)-MONTH('融资租赁与资金缺口'!$F$11)),'融资租赁与资金缺口'!$E$11*(1+'融资租赁与资金缺口'!$I$11)^((YEAR(CE$46)-YEAR('融资租赁与资金缺口'!$F$11))*12+MONTH(CE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CE$46)-YEAR('融资租赁与资金缺口'!$F$11))*12+MONTH(CE$46)-MONTH('融资租赁与资金缺口'!$F$11))-1)/'融资租赁与资金缺口'!$I$11))))),IF(CE$46&lt;'融资租赁与资金缺口'!$F$12,0,IF(CE$46='融资租赁与资金缺口'!$F$12,'融资租赁与资金缺口'!$E$12,IF(((YEAR(CE$46)-YEAR('融资租赁与资金缺口'!$F$12))*12+MONTH(CE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CE$46)-YEAR('融资租赁与资金缺口'!$F$12))*12+MONTH(CE$46)-MONTH('融资租赁与资金缺口'!$F$12)),'融资租赁与资金缺口'!$E$12*(1+'融资租赁与资金缺口'!$I$12)^((YEAR(CE$46)-YEAR('融资租赁与资金缺口'!$F$12))*12+MONTH(CE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CE$46)-YEAR('融资租赁与资金缺口'!$F$12))*12+MONTH(CE$46)-MONTH('融资租赁与资金缺口'!$F$12))-1)/'融资租赁与资金缺口'!$I$12))))),IF(CE$46&lt;'融资租赁与资金缺口'!$F$13,0,IF(CE$46='融资租赁与资金缺口'!$F$13,'融资租赁与资金缺口'!$E$13,IF(((YEAR(CE$46)-YEAR('融资租赁与资金缺口'!$F$13))*12+MONTH(CE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CE$46)-YEAR('融资租赁与资金缺口'!$F$13))*12+MONTH(CE$46)-MONTH('融资租赁与资金缺口'!$F$13)),'融资租赁与资金缺口'!$E$13*(1+'融资租赁与资金缺口'!$I$13)^((YEAR(CE$46)-YEAR('融资租赁与资金缺口'!$F$13))*12+MONTH(CE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CE$46)-YEAR('融资租赁与资金缺口'!$F$13))*12+MONTH(CE$46)-MONTH('融资租赁与资金缺口'!$F$13))-1)/'融资租赁与资金缺口'!$I$13))))),IF(CE$46&lt;'融资租赁与资金缺口'!$F$14,0,IF(CE$46='融资租赁与资金缺口'!$F$14,'融资租赁与资金缺口'!$E$14,IF(((YEAR(CE$46)-YEAR('融资租赁与资金缺口'!$F$14))*12+MONTH(CE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CE$46)-YEAR('融资租赁与资金缺口'!$F$14))*12+MONTH(CE$46)-MONTH('融资租赁与资金缺口'!$F$14)),'融资租赁与资金缺口'!$E$14*(1+'融资租赁与资金缺口'!$I$14)^((YEAR(CE$46)-YEAR('融资租赁与资金缺口'!$F$14))*12+MONTH(CE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CE$46)-YEAR('融资租赁与资金缺口'!$F$14))*12+MONTH(CE$46)-MONTH('融资租赁与资金缺口'!$F$14))-1)/'融资租赁与资金缺口'!$I$14))))),IF(CE$46&lt;'融资租赁与资金缺口'!$F$15,0,IF(CE$46='融资租赁与资金缺口'!$F$15,'融资租赁与资金缺口'!$E$15,IF(((YEAR(CE$46)-YEAR('融资租赁与资金缺口'!$F$15))*12+MONTH(CE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CE$46)-YEAR('融资租赁与资金缺口'!$F$15))*12+MONTH(CE$46)-MONTH('融资租赁与资金缺口'!$F$15)),'融资租赁与资金缺口'!$E$15*(1+'融资租赁与资金缺口'!$I$15)^((YEAR(CE$46)-YEAR('融资租赁与资金缺口'!$F$15))*12+MONTH(CE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CE$46)-YEAR('融资租赁与资金缺口'!$F$15))*12+MONTH(CE$46)-MONTH('融资租赁与资金缺口'!$F$15))-1)/'融资租赁与资金缺口'!$I$15))))),IF(CE$46&lt;'融资租赁与资金缺口'!$F$16,0,IF(CE$46='融资租赁与资金缺口'!$F$16,'融资租赁与资金缺口'!$E$16,IF(((YEAR(CE$46)-YEAR('融资租赁与资金缺口'!$F$16))*12+MONTH(CE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CE$46)-YEAR('融资租赁与资金缺口'!$F$16))*12+MONTH(CE$46)-MONTH('融资租赁与资金缺口'!$F$16)),'融资租赁与资金缺口'!$E$16*(1+'融资租赁与资金缺口'!$I$16)^((YEAR(CE$46)-YEAR('融资租赁与资金缺口'!$F$16))*12+MONTH(CE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CE$46)-YEAR('融资租赁与资金缺口'!$F$16))*12+MONTH(CE$46)-MONTH('融资租赁与资金缺口'!$F$16))-1)/'融资租赁与资金缺口'!$I$16))))))</x:f>
        <x:v>0</x:v>
      </x:c>
      <x:c r="CF58" s="28" t="n">
        <x:f>SUM(IF(CF$46&lt;'融资租赁与资金缺口'!$F$5,0,IF(CF$46='融资租赁与资金缺口'!$F$5,'融资租赁与资金缺口'!$E$5,IF(((YEAR(CF$46)-YEAR('融资租赁与资金缺口'!$F$5))*12+MONTH(CF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CF$46)-YEAR('融资租赁与资金缺口'!$F$5))*12+MONTH(CF$46)-MONTH('融资租赁与资金缺口'!$F$5)),'融资租赁与资金缺口'!$E$5*(1+'融资租赁与资金缺口'!$I$5)^((YEAR(CF$46)-YEAR('融资租赁与资金缺口'!$F$5))*12+MONTH(CF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CF$46)-YEAR('融资租赁与资金缺口'!$F$5))*12+MONTH(CF$46)-MONTH('融资租赁与资金缺口'!$F$5))-1)/'融资租赁与资金缺口'!$I$5))))),IF(CF$46&lt;'融资租赁与资金缺口'!$F$6,0,IF(CF$46='融资租赁与资金缺口'!$F$6,'融资租赁与资金缺口'!$E$6,IF(((YEAR(CF$46)-YEAR('融资租赁与资金缺口'!$F$6))*12+MONTH(CF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CF$46)-YEAR('融资租赁与资金缺口'!$F$6))*12+MONTH(CF$46)-MONTH('融资租赁与资金缺口'!$F$6)),'融资租赁与资金缺口'!$E$6*(1+'融资租赁与资金缺口'!$I$6)^((YEAR(CF$46)-YEAR('融资租赁与资金缺口'!$F$6))*12+MONTH(CF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CF$46)-YEAR('融资租赁与资金缺口'!$F$6))*12+MONTH(CF$46)-MONTH('融资租赁与资金缺口'!$F$6))-1)/'融资租赁与资金缺口'!$I$6))))),IF(CF$46&lt;'融资租赁与资金缺口'!$F$7,0,IF(CF$46='融资租赁与资金缺口'!$F$7,'融资租赁与资金缺口'!$E$7,IF(((YEAR(CF$46)-YEAR('融资租赁与资金缺口'!$F$7))*12+MONTH(CF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CF$46)-YEAR('融资租赁与资金缺口'!$F$7))*12+MONTH(CF$46)-MONTH('融资租赁与资金缺口'!$F$7)),'融资租赁与资金缺口'!$E$7*(1+'融资租赁与资金缺口'!$I$7)^((YEAR(CF$46)-YEAR('融资租赁与资金缺口'!$F$7))*12+MONTH(CF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CF$46)-YEAR('融资租赁与资金缺口'!$F$7))*12+MONTH(CF$46)-MONTH('融资租赁与资金缺口'!$F$7))-1)/'融资租赁与资金缺口'!$I$7))))),IF(CF$46&lt;'融资租赁与资金缺口'!$F$8,0,IF(CF$46='融资租赁与资金缺口'!$F$8,'融资租赁与资金缺口'!$E$8,IF(((YEAR(CF$46)-YEAR('融资租赁与资金缺口'!$F$8))*12+MONTH(CF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CF$46)-YEAR('融资租赁与资金缺口'!$F$8))*12+MONTH(CF$46)-MONTH('融资租赁与资金缺口'!$F$8)),'融资租赁与资金缺口'!$E$8*(1+'融资租赁与资金缺口'!$I$8)^((YEAR(CF$46)-YEAR('融资租赁与资金缺口'!$F$8))*12+MONTH(CF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CF$46)-YEAR('融资租赁与资金缺口'!$F$8))*12+MONTH(CF$46)-MONTH('融资租赁与资金缺口'!$F$8))-1)/'融资租赁与资金缺口'!$I$8))))),IF(CF$46&lt;'融资租赁与资金缺口'!$F$9,0,IF(CF$46='融资租赁与资金缺口'!$F$9,'融资租赁与资金缺口'!$E$9,IF(((YEAR(CF$46)-YEAR('融资租赁与资金缺口'!$F$9))*12+MONTH(CF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CF$46)-YEAR('融资租赁与资金缺口'!$F$9))*12+MONTH(CF$46)-MONTH('融资租赁与资金缺口'!$F$9)),'融资租赁与资金缺口'!$E$9*(1+'融资租赁与资金缺口'!$I$9)^((YEAR(CF$46)-YEAR('融资租赁与资金缺口'!$F$9))*12+MONTH(CF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CF$46)-YEAR('融资租赁与资金缺口'!$F$9))*12+MONTH(CF$46)-MONTH('融资租赁与资金缺口'!$F$9))-1)/'融资租赁与资金缺口'!$I$9))))),IF(CF$46&lt;'融资租赁与资金缺口'!$F$10,0,IF(CF$46='融资租赁与资金缺口'!$F$10,'融资租赁与资金缺口'!$E$10,IF(((YEAR(CF$46)-YEAR('融资租赁与资金缺口'!$F$10))*12+MONTH(CF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CF$46)-YEAR('融资租赁与资金缺口'!$F$10))*12+MONTH(CF$46)-MONTH('融资租赁与资金缺口'!$F$10)),'融资租赁与资金缺口'!$E$10*(1+'融资租赁与资金缺口'!$I$10)^((YEAR(CF$46)-YEAR('融资租赁与资金缺口'!$F$10))*12+MONTH(CF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CF$46)-YEAR('融资租赁与资金缺口'!$F$10))*12+MONTH(CF$46)-MONTH('融资租赁与资金缺口'!$F$10))-1)/'融资租赁与资金缺口'!$I$10))))),IF(CF$46&lt;'融资租赁与资金缺口'!$F$11,0,IF(CF$46='融资租赁与资金缺口'!$F$11,'融资租赁与资金缺口'!$E$11,IF(((YEAR(CF$46)-YEAR('融资租赁与资金缺口'!$F$11))*12+MONTH(CF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CF$46)-YEAR('融资租赁与资金缺口'!$F$11))*12+MONTH(CF$46)-MONTH('融资租赁与资金缺口'!$F$11)),'融资租赁与资金缺口'!$E$11*(1+'融资租赁与资金缺口'!$I$11)^((YEAR(CF$46)-YEAR('融资租赁与资金缺口'!$F$11))*12+MONTH(CF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CF$46)-YEAR('融资租赁与资金缺口'!$F$11))*12+MONTH(CF$46)-MONTH('融资租赁与资金缺口'!$F$11))-1)/'融资租赁与资金缺口'!$I$11))))),IF(CF$46&lt;'融资租赁与资金缺口'!$F$12,0,IF(CF$46='融资租赁与资金缺口'!$F$12,'融资租赁与资金缺口'!$E$12,IF(((YEAR(CF$46)-YEAR('融资租赁与资金缺口'!$F$12))*12+MONTH(CF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CF$46)-YEAR('融资租赁与资金缺口'!$F$12))*12+MONTH(CF$46)-MONTH('融资租赁与资金缺口'!$F$12)),'融资租赁与资金缺口'!$E$12*(1+'融资租赁与资金缺口'!$I$12)^((YEAR(CF$46)-YEAR('融资租赁与资金缺口'!$F$12))*12+MONTH(CF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CF$46)-YEAR('融资租赁与资金缺口'!$F$12))*12+MONTH(CF$46)-MONTH('融资租赁与资金缺口'!$F$12))-1)/'融资租赁与资金缺口'!$I$12))))),IF(CF$46&lt;'融资租赁与资金缺口'!$F$13,0,IF(CF$46='融资租赁与资金缺口'!$F$13,'融资租赁与资金缺口'!$E$13,IF(((YEAR(CF$46)-YEAR('融资租赁与资金缺口'!$F$13))*12+MONTH(CF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CF$46)-YEAR('融资租赁与资金缺口'!$F$13))*12+MONTH(CF$46)-MONTH('融资租赁与资金缺口'!$F$13)),'融资租赁与资金缺口'!$E$13*(1+'融资租赁与资金缺口'!$I$13)^((YEAR(CF$46)-YEAR('融资租赁与资金缺口'!$F$13))*12+MONTH(CF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CF$46)-YEAR('融资租赁与资金缺口'!$F$13))*12+MONTH(CF$46)-MONTH('融资租赁与资金缺口'!$F$13))-1)/'融资租赁与资金缺口'!$I$13))))),IF(CF$46&lt;'融资租赁与资金缺口'!$F$14,0,IF(CF$46='融资租赁与资金缺口'!$F$14,'融资租赁与资金缺口'!$E$14,IF(((YEAR(CF$46)-YEAR('融资租赁与资金缺口'!$F$14))*12+MONTH(CF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CF$46)-YEAR('融资租赁与资金缺口'!$F$14))*12+MONTH(CF$46)-MONTH('融资租赁与资金缺口'!$F$14)),'融资租赁与资金缺口'!$E$14*(1+'融资租赁与资金缺口'!$I$14)^((YEAR(CF$46)-YEAR('融资租赁与资金缺口'!$F$14))*12+MONTH(CF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CF$46)-YEAR('融资租赁与资金缺口'!$F$14))*12+MONTH(CF$46)-MONTH('融资租赁与资金缺口'!$F$14))-1)/'融资租赁与资金缺口'!$I$14))))),IF(CF$46&lt;'融资租赁与资金缺口'!$F$15,0,IF(CF$46='融资租赁与资金缺口'!$F$15,'融资租赁与资金缺口'!$E$15,IF(((YEAR(CF$46)-YEAR('融资租赁与资金缺口'!$F$15))*12+MONTH(CF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CF$46)-YEAR('融资租赁与资金缺口'!$F$15))*12+MONTH(CF$46)-MONTH('融资租赁与资金缺口'!$F$15)),'融资租赁与资金缺口'!$E$15*(1+'融资租赁与资金缺口'!$I$15)^((YEAR(CF$46)-YEAR('融资租赁与资金缺口'!$F$15))*12+MONTH(CF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CF$46)-YEAR('融资租赁与资金缺口'!$F$15))*12+MONTH(CF$46)-MONTH('融资租赁与资金缺口'!$F$15))-1)/'融资租赁与资金缺口'!$I$15))))),IF(CF$46&lt;'融资租赁与资金缺口'!$F$16,0,IF(CF$46='融资租赁与资金缺口'!$F$16,'融资租赁与资金缺口'!$E$16,IF(((YEAR(CF$46)-YEAR('融资租赁与资金缺口'!$F$16))*12+MONTH(CF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CF$46)-YEAR('融资租赁与资金缺口'!$F$16))*12+MONTH(CF$46)-MONTH('融资租赁与资金缺口'!$F$16)),'融资租赁与资金缺口'!$E$16*(1+'融资租赁与资金缺口'!$I$16)^((YEAR(CF$46)-YEAR('融资租赁与资金缺口'!$F$16))*12+MONTH(CF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CF$46)-YEAR('融资租赁与资金缺口'!$F$16))*12+MONTH(CF$46)-MONTH('融资租赁与资金缺口'!$F$16))-1)/'融资租赁与资金缺口'!$I$16))))))</x:f>
        <x:v>0</x:v>
      </x:c>
      <x:c r="CG58" s="28" t="n">
        <x:f>SUM(IF(CG$46&lt;'融资租赁与资金缺口'!$F$5,0,IF(CG$46='融资租赁与资金缺口'!$F$5,'融资租赁与资金缺口'!$E$5,IF(((YEAR(CG$46)-YEAR('融资租赁与资金缺口'!$F$5))*12+MONTH(CG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CG$46)-YEAR('融资租赁与资金缺口'!$F$5))*12+MONTH(CG$46)-MONTH('融资租赁与资金缺口'!$F$5)),'融资租赁与资金缺口'!$E$5*(1+'融资租赁与资金缺口'!$I$5)^((YEAR(CG$46)-YEAR('融资租赁与资金缺口'!$F$5))*12+MONTH(CG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CG$46)-YEAR('融资租赁与资金缺口'!$F$5))*12+MONTH(CG$46)-MONTH('融资租赁与资金缺口'!$F$5))-1)/'融资租赁与资金缺口'!$I$5))))),IF(CG$46&lt;'融资租赁与资金缺口'!$F$6,0,IF(CG$46='融资租赁与资金缺口'!$F$6,'融资租赁与资金缺口'!$E$6,IF(((YEAR(CG$46)-YEAR('融资租赁与资金缺口'!$F$6))*12+MONTH(CG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CG$46)-YEAR('融资租赁与资金缺口'!$F$6))*12+MONTH(CG$46)-MONTH('融资租赁与资金缺口'!$F$6)),'融资租赁与资金缺口'!$E$6*(1+'融资租赁与资金缺口'!$I$6)^((YEAR(CG$46)-YEAR('融资租赁与资金缺口'!$F$6))*12+MONTH(CG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CG$46)-YEAR('融资租赁与资金缺口'!$F$6))*12+MONTH(CG$46)-MONTH('融资租赁与资金缺口'!$F$6))-1)/'融资租赁与资金缺口'!$I$6))))),IF(CG$46&lt;'融资租赁与资金缺口'!$F$7,0,IF(CG$46='融资租赁与资金缺口'!$F$7,'融资租赁与资金缺口'!$E$7,IF(((YEAR(CG$46)-YEAR('融资租赁与资金缺口'!$F$7))*12+MONTH(CG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CG$46)-YEAR('融资租赁与资金缺口'!$F$7))*12+MONTH(CG$46)-MONTH('融资租赁与资金缺口'!$F$7)),'融资租赁与资金缺口'!$E$7*(1+'融资租赁与资金缺口'!$I$7)^((YEAR(CG$46)-YEAR('融资租赁与资金缺口'!$F$7))*12+MONTH(CG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CG$46)-YEAR('融资租赁与资金缺口'!$F$7))*12+MONTH(CG$46)-MONTH('融资租赁与资金缺口'!$F$7))-1)/'融资租赁与资金缺口'!$I$7))))),IF(CG$46&lt;'融资租赁与资金缺口'!$F$8,0,IF(CG$46='融资租赁与资金缺口'!$F$8,'融资租赁与资金缺口'!$E$8,IF(((YEAR(CG$46)-YEAR('融资租赁与资金缺口'!$F$8))*12+MONTH(CG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CG$46)-YEAR('融资租赁与资金缺口'!$F$8))*12+MONTH(CG$46)-MONTH('融资租赁与资金缺口'!$F$8)),'融资租赁与资金缺口'!$E$8*(1+'融资租赁与资金缺口'!$I$8)^((YEAR(CG$46)-YEAR('融资租赁与资金缺口'!$F$8))*12+MONTH(CG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CG$46)-YEAR('融资租赁与资金缺口'!$F$8))*12+MONTH(CG$46)-MONTH('融资租赁与资金缺口'!$F$8))-1)/'融资租赁与资金缺口'!$I$8))))),IF(CG$46&lt;'融资租赁与资金缺口'!$F$9,0,IF(CG$46='融资租赁与资金缺口'!$F$9,'融资租赁与资金缺口'!$E$9,IF(((YEAR(CG$46)-YEAR('融资租赁与资金缺口'!$F$9))*12+MONTH(CG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CG$46)-YEAR('融资租赁与资金缺口'!$F$9))*12+MONTH(CG$46)-MONTH('融资租赁与资金缺口'!$F$9)),'融资租赁与资金缺口'!$E$9*(1+'融资租赁与资金缺口'!$I$9)^((YEAR(CG$46)-YEAR('融资租赁与资金缺口'!$F$9))*12+MONTH(CG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CG$46)-YEAR('融资租赁与资金缺口'!$F$9))*12+MONTH(CG$46)-MONTH('融资租赁与资金缺口'!$F$9))-1)/'融资租赁与资金缺口'!$I$9))))),IF(CG$46&lt;'融资租赁与资金缺口'!$F$10,0,IF(CG$46='融资租赁与资金缺口'!$F$10,'融资租赁与资金缺口'!$E$10,IF(((YEAR(CG$46)-YEAR('融资租赁与资金缺口'!$F$10))*12+MONTH(CG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CG$46)-YEAR('融资租赁与资金缺口'!$F$10))*12+MONTH(CG$46)-MONTH('融资租赁与资金缺口'!$F$10)),'融资租赁与资金缺口'!$E$10*(1+'融资租赁与资金缺口'!$I$10)^((YEAR(CG$46)-YEAR('融资租赁与资金缺口'!$F$10))*12+MONTH(CG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CG$46)-YEAR('融资租赁与资金缺口'!$F$10))*12+MONTH(CG$46)-MONTH('融资租赁与资金缺口'!$F$10))-1)/'融资租赁与资金缺口'!$I$10))))),IF(CG$46&lt;'融资租赁与资金缺口'!$F$11,0,IF(CG$46='融资租赁与资金缺口'!$F$11,'融资租赁与资金缺口'!$E$11,IF(((YEAR(CG$46)-YEAR('融资租赁与资金缺口'!$F$11))*12+MONTH(CG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CG$46)-YEAR('融资租赁与资金缺口'!$F$11))*12+MONTH(CG$46)-MONTH('融资租赁与资金缺口'!$F$11)),'融资租赁与资金缺口'!$E$11*(1+'融资租赁与资金缺口'!$I$11)^((YEAR(CG$46)-YEAR('融资租赁与资金缺口'!$F$11))*12+MONTH(CG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CG$46)-YEAR('融资租赁与资金缺口'!$F$11))*12+MONTH(CG$46)-MONTH('融资租赁与资金缺口'!$F$11))-1)/'融资租赁与资金缺口'!$I$11))))),IF(CG$46&lt;'融资租赁与资金缺口'!$F$12,0,IF(CG$46='融资租赁与资金缺口'!$F$12,'融资租赁与资金缺口'!$E$12,IF(((YEAR(CG$46)-YEAR('融资租赁与资金缺口'!$F$12))*12+MONTH(CG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CG$46)-YEAR('融资租赁与资金缺口'!$F$12))*12+MONTH(CG$46)-MONTH('融资租赁与资金缺口'!$F$12)),'融资租赁与资金缺口'!$E$12*(1+'融资租赁与资金缺口'!$I$12)^((YEAR(CG$46)-YEAR('融资租赁与资金缺口'!$F$12))*12+MONTH(CG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CG$46)-YEAR('融资租赁与资金缺口'!$F$12))*12+MONTH(CG$46)-MONTH('融资租赁与资金缺口'!$F$12))-1)/'融资租赁与资金缺口'!$I$12))))),IF(CG$46&lt;'融资租赁与资金缺口'!$F$13,0,IF(CG$46='融资租赁与资金缺口'!$F$13,'融资租赁与资金缺口'!$E$13,IF(((YEAR(CG$46)-YEAR('融资租赁与资金缺口'!$F$13))*12+MONTH(CG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CG$46)-YEAR('融资租赁与资金缺口'!$F$13))*12+MONTH(CG$46)-MONTH('融资租赁与资金缺口'!$F$13)),'融资租赁与资金缺口'!$E$13*(1+'融资租赁与资金缺口'!$I$13)^((YEAR(CG$46)-YEAR('融资租赁与资金缺口'!$F$13))*12+MONTH(CG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CG$46)-YEAR('融资租赁与资金缺口'!$F$13))*12+MONTH(CG$46)-MONTH('融资租赁与资金缺口'!$F$13))-1)/'融资租赁与资金缺口'!$I$13))))),IF(CG$46&lt;'融资租赁与资金缺口'!$F$14,0,IF(CG$46='融资租赁与资金缺口'!$F$14,'融资租赁与资金缺口'!$E$14,IF(((YEAR(CG$46)-YEAR('融资租赁与资金缺口'!$F$14))*12+MONTH(CG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CG$46)-YEAR('融资租赁与资金缺口'!$F$14))*12+MONTH(CG$46)-MONTH('融资租赁与资金缺口'!$F$14)),'融资租赁与资金缺口'!$E$14*(1+'融资租赁与资金缺口'!$I$14)^((YEAR(CG$46)-YEAR('融资租赁与资金缺口'!$F$14))*12+MONTH(CG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CG$46)-YEAR('融资租赁与资金缺口'!$F$14))*12+MONTH(CG$46)-MONTH('融资租赁与资金缺口'!$F$14))-1)/'融资租赁与资金缺口'!$I$14))))),IF(CG$46&lt;'融资租赁与资金缺口'!$F$15,0,IF(CG$46='融资租赁与资金缺口'!$F$15,'融资租赁与资金缺口'!$E$15,IF(((YEAR(CG$46)-YEAR('融资租赁与资金缺口'!$F$15))*12+MONTH(CG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CG$46)-YEAR('融资租赁与资金缺口'!$F$15))*12+MONTH(CG$46)-MONTH('融资租赁与资金缺口'!$F$15)),'融资租赁与资金缺口'!$E$15*(1+'融资租赁与资金缺口'!$I$15)^((YEAR(CG$46)-YEAR('融资租赁与资金缺口'!$F$15))*12+MONTH(CG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CG$46)-YEAR('融资租赁与资金缺口'!$F$15))*12+MONTH(CG$46)-MONTH('融资租赁与资金缺口'!$F$15))-1)/'融资租赁与资金缺口'!$I$15))))),IF(CG$46&lt;'融资租赁与资金缺口'!$F$16,0,IF(CG$46='融资租赁与资金缺口'!$F$16,'融资租赁与资金缺口'!$E$16,IF(((YEAR(CG$46)-YEAR('融资租赁与资金缺口'!$F$16))*12+MONTH(CG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CG$46)-YEAR('融资租赁与资金缺口'!$F$16))*12+MONTH(CG$46)-MONTH('融资租赁与资金缺口'!$F$16)),'融资租赁与资金缺口'!$E$16*(1+'融资租赁与资金缺口'!$I$16)^((YEAR(CG$46)-YEAR('融资租赁与资金缺口'!$F$16))*12+MONTH(CG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CG$46)-YEAR('融资租赁与资金缺口'!$F$16))*12+MONTH(CG$46)-MONTH('融资租赁与资金缺口'!$F$16))-1)/'融资租赁与资金缺口'!$I$16))))))</x:f>
        <x:v>0</x:v>
      </x:c>
      <x:c r="CH58" s="28" t="n">
        <x:f>SUM(IF(CH$46&lt;'融资租赁与资金缺口'!$F$5,0,IF(CH$46='融资租赁与资金缺口'!$F$5,'融资租赁与资金缺口'!$E$5,IF(((YEAR(CH$46)-YEAR('融资租赁与资金缺口'!$F$5))*12+MONTH(CH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CH$46)-YEAR('融资租赁与资金缺口'!$F$5))*12+MONTH(CH$46)-MONTH('融资租赁与资金缺口'!$F$5)),'融资租赁与资金缺口'!$E$5*(1+'融资租赁与资金缺口'!$I$5)^((YEAR(CH$46)-YEAR('融资租赁与资金缺口'!$F$5))*12+MONTH(CH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CH$46)-YEAR('融资租赁与资金缺口'!$F$5))*12+MONTH(CH$46)-MONTH('融资租赁与资金缺口'!$F$5))-1)/'融资租赁与资金缺口'!$I$5))))),IF(CH$46&lt;'融资租赁与资金缺口'!$F$6,0,IF(CH$46='融资租赁与资金缺口'!$F$6,'融资租赁与资金缺口'!$E$6,IF(((YEAR(CH$46)-YEAR('融资租赁与资金缺口'!$F$6))*12+MONTH(CH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CH$46)-YEAR('融资租赁与资金缺口'!$F$6))*12+MONTH(CH$46)-MONTH('融资租赁与资金缺口'!$F$6)),'融资租赁与资金缺口'!$E$6*(1+'融资租赁与资金缺口'!$I$6)^((YEAR(CH$46)-YEAR('融资租赁与资金缺口'!$F$6))*12+MONTH(CH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CH$46)-YEAR('融资租赁与资金缺口'!$F$6))*12+MONTH(CH$46)-MONTH('融资租赁与资金缺口'!$F$6))-1)/'融资租赁与资金缺口'!$I$6))))),IF(CH$46&lt;'融资租赁与资金缺口'!$F$7,0,IF(CH$46='融资租赁与资金缺口'!$F$7,'融资租赁与资金缺口'!$E$7,IF(((YEAR(CH$46)-YEAR('融资租赁与资金缺口'!$F$7))*12+MONTH(CH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CH$46)-YEAR('融资租赁与资金缺口'!$F$7))*12+MONTH(CH$46)-MONTH('融资租赁与资金缺口'!$F$7)),'融资租赁与资金缺口'!$E$7*(1+'融资租赁与资金缺口'!$I$7)^((YEAR(CH$46)-YEAR('融资租赁与资金缺口'!$F$7))*12+MONTH(CH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CH$46)-YEAR('融资租赁与资金缺口'!$F$7))*12+MONTH(CH$46)-MONTH('融资租赁与资金缺口'!$F$7))-1)/'融资租赁与资金缺口'!$I$7))))),IF(CH$46&lt;'融资租赁与资金缺口'!$F$8,0,IF(CH$46='融资租赁与资金缺口'!$F$8,'融资租赁与资金缺口'!$E$8,IF(((YEAR(CH$46)-YEAR('融资租赁与资金缺口'!$F$8))*12+MONTH(CH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CH$46)-YEAR('融资租赁与资金缺口'!$F$8))*12+MONTH(CH$46)-MONTH('融资租赁与资金缺口'!$F$8)),'融资租赁与资金缺口'!$E$8*(1+'融资租赁与资金缺口'!$I$8)^((YEAR(CH$46)-YEAR('融资租赁与资金缺口'!$F$8))*12+MONTH(CH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CH$46)-YEAR('融资租赁与资金缺口'!$F$8))*12+MONTH(CH$46)-MONTH('融资租赁与资金缺口'!$F$8))-1)/'融资租赁与资金缺口'!$I$8))))),IF(CH$46&lt;'融资租赁与资金缺口'!$F$9,0,IF(CH$46='融资租赁与资金缺口'!$F$9,'融资租赁与资金缺口'!$E$9,IF(((YEAR(CH$46)-YEAR('融资租赁与资金缺口'!$F$9))*12+MONTH(CH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CH$46)-YEAR('融资租赁与资金缺口'!$F$9))*12+MONTH(CH$46)-MONTH('融资租赁与资金缺口'!$F$9)),'融资租赁与资金缺口'!$E$9*(1+'融资租赁与资金缺口'!$I$9)^((YEAR(CH$46)-YEAR('融资租赁与资金缺口'!$F$9))*12+MONTH(CH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CH$46)-YEAR('融资租赁与资金缺口'!$F$9))*12+MONTH(CH$46)-MONTH('融资租赁与资金缺口'!$F$9))-1)/'融资租赁与资金缺口'!$I$9))))),IF(CH$46&lt;'融资租赁与资金缺口'!$F$10,0,IF(CH$46='融资租赁与资金缺口'!$F$10,'融资租赁与资金缺口'!$E$10,IF(((YEAR(CH$46)-YEAR('融资租赁与资金缺口'!$F$10))*12+MONTH(CH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CH$46)-YEAR('融资租赁与资金缺口'!$F$10))*12+MONTH(CH$46)-MONTH('融资租赁与资金缺口'!$F$10)),'融资租赁与资金缺口'!$E$10*(1+'融资租赁与资金缺口'!$I$10)^((YEAR(CH$46)-YEAR('融资租赁与资金缺口'!$F$10))*12+MONTH(CH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CH$46)-YEAR('融资租赁与资金缺口'!$F$10))*12+MONTH(CH$46)-MONTH('融资租赁与资金缺口'!$F$10))-1)/'融资租赁与资金缺口'!$I$10))))),IF(CH$46&lt;'融资租赁与资金缺口'!$F$11,0,IF(CH$46='融资租赁与资金缺口'!$F$11,'融资租赁与资金缺口'!$E$11,IF(((YEAR(CH$46)-YEAR('融资租赁与资金缺口'!$F$11))*12+MONTH(CH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CH$46)-YEAR('融资租赁与资金缺口'!$F$11))*12+MONTH(CH$46)-MONTH('融资租赁与资金缺口'!$F$11)),'融资租赁与资金缺口'!$E$11*(1+'融资租赁与资金缺口'!$I$11)^((YEAR(CH$46)-YEAR('融资租赁与资金缺口'!$F$11))*12+MONTH(CH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CH$46)-YEAR('融资租赁与资金缺口'!$F$11))*12+MONTH(CH$46)-MONTH('融资租赁与资金缺口'!$F$11))-1)/'融资租赁与资金缺口'!$I$11))))),IF(CH$46&lt;'融资租赁与资金缺口'!$F$12,0,IF(CH$46='融资租赁与资金缺口'!$F$12,'融资租赁与资金缺口'!$E$12,IF(((YEAR(CH$46)-YEAR('融资租赁与资金缺口'!$F$12))*12+MONTH(CH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CH$46)-YEAR('融资租赁与资金缺口'!$F$12))*12+MONTH(CH$46)-MONTH('融资租赁与资金缺口'!$F$12)),'融资租赁与资金缺口'!$E$12*(1+'融资租赁与资金缺口'!$I$12)^((YEAR(CH$46)-YEAR('融资租赁与资金缺口'!$F$12))*12+MONTH(CH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CH$46)-YEAR('融资租赁与资金缺口'!$F$12))*12+MONTH(CH$46)-MONTH('融资租赁与资金缺口'!$F$12))-1)/'融资租赁与资金缺口'!$I$12))))),IF(CH$46&lt;'融资租赁与资金缺口'!$F$13,0,IF(CH$46='融资租赁与资金缺口'!$F$13,'融资租赁与资金缺口'!$E$13,IF(((YEAR(CH$46)-YEAR('融资租赁与资金缺口'!$F$13))*12+MONTH(CH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CH$46)-YEAR('融资租赁与资金缺口'!$F$13))*12+MONTH(CH$46)-MONTH('融资租赁与资金缺口'!$F$13)),'融资租赁与资金缺口'!$E$13*(1+'融资租赁与资金缺口'!$I$13)^((YEAR(CH$46)-YEAR('融资租赁与资金缺口'!$F$13))*12+MONTH(CH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CH$46)-YEAR('融资租赁与资金缺口'!$F$13))*12+MONTH(CH$46)-MONTH('融资租赁与资金缺口'!$F$13))-1)/'融资租赁与资金缺口'!$I$13))))),IF(CH$46&lt;'融资租赁与资金缺口'!$F$14,0,IF(CH$46='融资租赁与资金缺口'!$F$14,'融资租赁与资金缺口'!$E$14,IF(((YEAR(CH$46)-YEAR('融资租赁与资金缺口'!$F$14))*12+MONTH(CH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CH$46)-YEAR('融资租赁与资金缺口'!$F$14))*12+MONTH(CH$46)-MONTH('融资租赁与资金缺口'!$F$14)),'融资租赁与资金缺口'!$E$14*(1+'融资租赁与资金缺口'!$I$14)^((YEAR(CH$46)-YEAR('融资租赁与资金缺口'!$F$14))*12+MONTH(CH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CH$46)-YEAR('融资租赁与资金缺口'!$F$14))*12+MONTH(CH$46)-MONTH('融资租赁与资金缺口'!$F$14))-1)/'融资租赁与资金缺口'!$I$14))))),IF(CH$46&lt;'融资租赁与资金缺口'!$F$15,0,IF(CH$46='融资租赁与资金缺口'!$F$15,'融资租赁与资金缺口'!$E$15,IF(((YEAR(CH$46)-YEAR('融资租赁与资金缺口'!$F$15))*12+MONTH(CH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CH$46)-YEAR('融资租赁与资金缺口'!$F$15))*12+MONTH(CH$46)-MONTH('融资租赁与资金缺口'!$F$15)),'融资租赁与资金缺口'!$E$15*(1+'融资租赁与资金缺口'!$I$15)^((YEAR(CH$46)-YEAR('融资租赁与资金缺口'!$F$15))*12+MONTH(CH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CH$46)-YEAR('融资租赁与资金缺口'!$F$15))*12+MONTH(CH$46)-MONTH('融资租赁与资金缺口'!$F$15))-1)/'融资租赁与资金缺口'!$I$15))))),IF(CH$46&lt;'融资租赁与资金缺口'!$F$16,0,IF(CH$46='融资租赁与资金缺口'!$F$16,'融资租赁与资金缺口'!$E$16,IF(((YEAR(CH$46)-YEAR('融资租赁与资金缺口'!$F$16))*12+MONTH(CH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CH$46)-YEAR('融资租赁与资金缺口'!$F$16))*12+MONTH(CH$46)-MONTH('融资租赁与资金缺口'!$F$16)),'融资租赁与资金缺口'!$E$16*(1+'融资租赁与资金缺口'!$I$16)^((YEAR(CH$46)-YEAR('融资租赁与资金缺口'!$F$16))*12+MONTH(CH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CH$46)-YEAR('融资租赁与资金缺口'!$F$16))*12+MONTH(CH$46)-MONTH('融资租赁与资金缺口'!$F$16))-1)/'融资租赁与资金缺口'!$I$16))))))</x:f>
        <x:v>0</x:v>
      </x:c>
      <x:c r="CI58" s="28" t="n">
        <x:f>SUM(IF(CI$46&lt;'融资租赁与资金缺口'!$F$5,0,IF(CI$46='融资租赁与资金缺口'!$F$5,'融资租赁与资金缺口'!$E$5,IF(((YEAR(CI$46)-YEAR('融资租赁与资金缺口'!$F$5))*12+MONTH(CI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CI$46)-YEAR('融资租赁与资金缺口'!$F$5))*12+MONTH(CI$46)-MONTH('融资租赁与资金缺口'!$F$5)),'融资租赁与资金缺口'!$E$5*(1+'融资租赁与资金缺口'!$I$5)^((YEAR(CI$46)-YEAR('融资租赁与资金缺口'!$F$5))*12+MONTH(CI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CI$46)-YEAR('融资租赁与资金缺口'!$F$5))*12+MONTH(CI$46)-MONTH('融资租赁与资金缺口'!$F$5))-1)/'融资租赁与资金缺口'!$I$5))))),IF(CI$46&lt;'融资租赁与资金缺口'!$F$6,0,IF(CI$46='融资租赁与资金缺口'!$F$6,'融资租赁与资金缺口'!$E$6,IF(((YEAR(CI$46)-YEAR('融资租赁与资金缺口'!$F$6))*12+MONTH(CI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CI$46)-YEAR('融资租赁与资金缺口'!$F$6))*12+MONTH(CI$46)-MONTH('融资租赁与资金缺口'!$F$6)),'融资租赁与资金缺口'!$E$6*(1+'融资租赁与资金缺口'!$I$6)^((YEAR(CI$46)-YEAR('融资租赁与资金缺口'!$F$6))*12+MONTH(CI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CI$46)-YEAR('融资租赁与资金缺口'!$F$6))*12+MONTH(CI$46)-MONTH('融资租赁与资金缺口'!$F$6))-1)/'融资租赁与资金缺口'!$I$6))))),IF(CI$46&lt;'融资租赁与资金缺口'!$F$7,0,IF(CI$46='融资租赁与资金缺口'!$F$7,'融资租赁与资金缺口'!$E$7,IF(((YEAR(CI$46)-YEAR('融资租赁与资金缺口'!$F$7))*12+MONTH(CI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CI$46)-YEAR('融资租赁与资金缺口'!$F$7))*12+MONTH(CI$46)-MONTH('融资租赁与资金缺口'!$F$7)),'融资租赁与资金缺口'!$E$7*(1+'融资租赁与资金缺口'!$I$7)^((YEAR(CI$46)-YEAR('融资租赁与资金缺口'!$F$7))*12+MONTH(CI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CI$46)-YEAR('融资租赁与资金缺口'!$F$7))*12+MONTH(CI$46)-MONTH('融资租赁与资金缺口'!$F$7))-1)/'融资租赁与资金缺口'!$I$7))))),IF(CI$46&lt;'融资租赁与资金缺口'!$F$8,0,IF(CI$46='融资租赁与资金缺口'!$F$8,'融资租赁与资金缺口'!$E$8,IF(((YEAR(CI$46)-YEAR('融资租赁与资金缺口'!$F$8))*12+MONTH(CI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CI$46)-YEAR('融资租赁与资金缺口'!$F$8))*12+MONTH(CI$46)-MONTH('融资租赁与资金缺口'!$F$8)),'融资租赁与资金缺口'!$E$8*(1+'融资租赁与资金缺口'!$I$8)^((YEAR(CI$46)-YEAR('融资租赁与资金缺口'!$F$8))*12+MONTH(CI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CI$46)-YEAR('融资租赁与资金缺口'!$F$8))*12+MONTH(CI$46)-MONTH('融资租赁与资金缺口'!$F$8))-1)/'融资租赁与资金缺口'!$I$8))))),IF(CI$46&lt;'融资租赁与资金缺口'!$F$9,0,IF(CI$46='融资租赁与资金缺口'!$F$9,'融资租赁与资金缺口'!$E$9,IF(((YEAR(CI$46)-YEAR('融资租赁与资金缺口'!$F$9))*12+MONTH(CI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CI$46)-YEAR('融资租赁与资金缺口'!$F$9))*12+MONTH(CI$46)-MONTH('融资租赁与资金缺口'!$F$9)),'融资租赁与资金缺口'!$E$9*(1+'融资租赁与资金缺口'!$I$9)^((YEAR(CI$46)-YEAR('融资租赁与资金缺口'!$F$9))*12+MONTH(CI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CI$46)-YEAR('融资租赁与资金缺口'!$F$9))*12+MONTH(CI$46)-MONTH('融资租赁与资金缺口'!$F$9))-1)/'融资租赁与资金缺口'!$I$9))))),IF(CI$46&lt;'融资租赁与资金缺口'!$F$10,0,IF(CI$46='融资租赁与资金缺口'!$F$10,'融资租赁与资金缺口'!$E$10,IF(((YEAR(CI$46)-YEAR('融资租赁与资金缺口'!$F$10))*12+MONTH(CI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CI$46)-YEAR('融资租赁与资金缺口'!$F$10))*12+MONTH(CI$46)-MONTH('融资租赁与资金缺口'!$F$10)),'融资租赁与资金缺口'!$E$10*(1+'融资租赁与资金缺口'!$I$10)^((YEAR(CI$46)-YEAR('融资租赁与资金缺口'!$F$10))*12+MONTH(CI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CI$46)-YEAR('融资租赁与资金缺口'!$F$10))*12+MONTH(CI$46)-MONTH('融资租赁与资金缺口'!$F$10))-1)/'融资租赁与资金缺口'!$I$10))))),IF(CI$46&lt;'融资租赁与资金缺口'!$F$11,0,IF(CI$46='融资租赁与资金缺口'!$F$11,'融资租赁与资金缺口'!$E$11,IF(((YEAR(CI$46)-YEAR('融资租赁与资金缺口'!$F$11))*12+MONTH(CI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CI$46)-YEAR('融资租赁与资金缺口'!$F$11))*12+MONTH(CI$46)-MONTH('融资租赁与资金缺口'!$F$11)),'融资租赁与资金缺口'!$E$11*(1+'融资租赁与资金缺口'!$I$11)^((YEAR(CI$46)-YEAR('融资租赁与资金缺口'!$F$11))*12+MONTH(CI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CI$46)-YEAR('融资租赁与资金缺口'!$F$11))*12+MONTH(CI$46)-MONTH('融资租赁与资金缺口'!$F$11))-1)/'融资租赁与资金缺口'!$I$11))))),IF(CI$46&lt;'融资租赁与资金缺口'!$F$12,0,IF(CI$46='融资租赁与资金缺口'!$F$12,'融资租赁与资金缺口'!$E$12,IF(((YEAR(CI$46)-YEAR('融资租赁与资金缺口'!$F$12))*12+MONTH(CI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CI$46)-YEAR('融资租赁与资金缺口'!$F$12))*12+MONTH(CI$46)-MONTH('融资租赁与资金缺口'!$F$12)),'融资租赁与资金缺口'!$E$12*(1+'融资租赁与资金缺口'!$I$12)^((YEAR(CI$46)-YEAR('融资租赁与资金缺口'!$F$12))*12+MONTH(CI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CI$46)-YEAR('融资租赁与资金缺口'!$F$12))*12+MONTH(CI$46)-MONTH('融资租赁与资金缺口'!$F$12))-1)/'融资租赁与资金缺口'!$I$12))))),IF(CI$46&lt;'融资租赁与资金缺口'!$F$13,0,IF(CI$46='融资租赁与资金缺口'!$F$13,'融资租赁与资金缺口'!$E$13,IF(((YEAR(CI$46)-YEAR('融资租赁与资金缺口'!$F$13))*12+MONTH(CI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CI$46)-YEAR('融资租赁与资金缺口'!$F$13))*12+MONTH(CI$46)-MONTH('融资租赁与资金缺口'!$F$13)),'融资租赁与资金缺口'!$E$13*(1+'融资租赁与资金缺口'!$I$13)^((YEAR(CI$46)-YEAR('融资租赁与资金缺口'!$F$13))*12+MONTH(CI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CI$46)-YEAR('融资租赁与资金缺口'!$F$13))*12+MONTH(CI$46)-MONTH('融资租赁与资金缺口'!$F$13))-1)/'融资租赁与资金缺口'!$I$13))))),IF(CI$46&lt;'融资租赁与资金缺口'!$F$14,0,IF(CI$46='融资租赁与资金缺口'!$F$14,'融资租赁与资金缺口'!$E$14,IF(((YEAR(CI$46)-YEAR('融资租赁与资金缺口'!$F$14))*12+MONTH(CI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CI$46)-YEAR('融资租赁与资金缺口'!$F$14))*12+MONTH(CI$46)-MONTH('融资租赁与资金缺口'!$F$14)),'融资租赁与资金缺口'!$E$14*(1+'融资租赁与资金缺口'!$I$14)^((YEAR(CI$46)-YEAR('融资租赁与资金缺口'!$F$14))*12+MONTH(CI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CI$46)-YEAR('融资租赁与资金缺口'!$F$14))*12+MONTH(CI$46)-MONTH('融资租赁与资金缺口'!$F$14))-1)/'融资租赁与资金缺口'!$I$14))))),IF(CI$46&lt;'融资租赁与资金缺口'!$F$15,0,IF(CI$46='融资租赁与资金缺口'!$F$15,'融资租赁与资金缺口'!$E$15,IF(((YEAR(CI$46)-YEAR('融资租赁与资金缺口'!$F$15))*12+MONTH(CI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CI$46)-YEAR('融资租赁与资金缺口'!$F$15))*12+MONTH(CI$46)-MONTH('融资租赁与资金缺口'!$F$15)),'融资租赁与资金缺口'!$E$15*(1+'融资租赁与资金缺口'!$I$15)^((YEAR(CI$46)-YEAR('融资租赁与资金缺口'!$F$15))*12+MONTH(CI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CI$46)-YEAR('融资租赁与资金缺口'!$F$15))*12+MONTH(CI$46)-MONTH('融资租赁与资金缺口'!$F$15))-1)/'融资租赁与资金缺口'!$I$15))))),IF(CI$46&lt;'融资租赁与资金缺口'!$F$16,0,IF(CI$46='融资租赁与资金缺口'!$F$16,'融资租赁与资金缺口'!$E$16,IF(((YEAR(CI$46)-YEAR('融资租赁与资金缺口'!$F$16))*12+MONTH(CI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CI$46)-YEAR('融资租赁与资金缺口'!$F$16))*12+MONTH(CI$46)-MONTH('融资租赁与资金缺口'!$F$16)),'融资租赁与资金缺口'!$E$16*(1+'融资租赁与资金缺口'!$I$16)^((YEAR(CI$46)-YEAR('融资租赁与资金缺口'!$F$16))*12+MONTH(CI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CI$46)-YEAR('融资租赁与资金缺口'!$F$16))*12+MONTH(CI$46)-MONTH('融资租赁与资金缺口'!$F$16))-1)/'融资租赁与资金缺口'!$I$16))))))</x:f>
        <x:v>0</x:v>
      </x:c>
      <x:c r="CJ58" s="28" t="n">
        <x:f>SUM(IF(CJ$46&lt;'融资租赁与资金缺口'!$F$5,0,IF(CJ$46='融资租赁与资金缺口'!$F$5,'融资租赁与资金缺口'!$E$5,IF(((YEAR(CJ$46)-YEAR('融资租赁与资金缺口'!$F$5))*12+MONTH(CJ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CJ$46)-YEAR('融资租赁与资金缺口'!$F$5))*12+MONTH(CJ$46)-MONTH('融资租赁与资金缺口'!$F$5)),'融资租赁与资金缺口'!$E$5*(1+'融资租赁与资金缺口'!$I$5)^((YEAR(CJ$46)-YEAR('融资租赁与资金缺口'!$F$5))*12+MONTH(CJ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CJ$46)-YEAR('融资租赁与资金缺口'!$F$5))*12+MONTH(CJ$46)-MONTH('融资租赁与资金缺口'!$F$5))-1)/'融资租赁与资金缺口'!$I$5))))),IF(CJ$46&lt;'融资租赁与资金缺口'!$F$6,0,IF(CJ$46='融资租赁与资金缺口'!$F$6,'融资租赁与资金缺口'!$E$6,IF(((YEAR(CJ$46)-YEAR('融资租赁与资金缺口'!$F$6))*12+MONTH(CJ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CJ$46)-YEAR('融资租赁与资金缺口'!$F$6))*12+MONTH(CJ$46)-MONTH('融资租赁与资金缺口'!$F$6)),'融资租赁与资金缺口'!$E$6*(1+'融资租赁与资金缺口'!$I$6)^((YEAR(CJ$46)-YEAR('融资租赁与资金缺口'!$F$6))*12+MONTH(CJ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CJ$46)-YEAR('融资租赁与资金缺口'!$F$6))*12+MONTH(CJ$46)-MONTH('融资租赁与资金缺口'!$F$6))-1)/'融资租赁与资金缺口'!$I$6))))),IF(CJ$46&lt;'融资租赁与资金缺口'!$F$7,0,IF(CJ$46='融资租赁与资金缺口'!$F$7,'融资租赁与资金缺口'!$E$7,IF(((YEAR(CJ$46)-YEAR('融资租赁与资金缺口'!$F$7))*12+MONTH(CJ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CJ$46)-YEAR('融资租赁与资金缺口'!$F$7))*12+MONTH(CJ$46)-MONTH('融资租赁与资金缺口'!$F$7)),'融资租赁与资金缺口'!$E$7*(1+'融资租赁与资金缺口'!$I$7)^((YEAR(CJ$46)-YEAR('融资租赁与资金缺口'!$F$7))*12+MONTH(CJ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CJ$46)-YEAR('融资租赁与资金缺口'!$F$7))*12+MONTH(CJ$46)-MONTH('融资租赁与资金缺口'!$F$7))-1)/'融资租赁与资金缺口'!$I$7))))),IF(CJ$46&lt;'融资租赁与资金缺口'!$F$8,0,IF(CJ$46='融资租赁与资金缺口'!$F$8,'融资租赁与资金缺口'!$E$8,IF(((YEAR(CJ$46)-YEAR('融资租赁与资金缺口'!$F$8))*12+MONTH(CJ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CJ$46)-YEAR('融资租赁与资金缺口'!$F$8))*12+MONTH(CJ$46)-MONTH('融资租赁与资金缺口'!$F$8)),'融资租赁与资金缺口'!$E$8*(1+'融资租赁与资金缺口'!$I$8)^((YEAR(CJ$46)-YEAR('融资租赁与资金缺口'!$F$8))*12+MONTH(CJ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CJ$46)-YEAR('融资租赁与资金缺口'!$F$8))*12+MONTH(CJ$46)-MONTH('融资租赁与资金缺口'!$F$8))-1)/'融资租赁与资金缺口'!$I$8))))),IF(CJ$46&lt;'融资租赁与资金缺口'!$F$9,0,IF(CJ$46='融资租赁与资金缺口'!$F$9,'融资租赁与资金缺口'!$E$9,IF(((YEAR(CJ$46)-YEAR('融资租赁与资金缺口'!$F$9))*12+MONTH(CJ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CJ$46)-YEAR('融资租赁与资金缺口'!$F$9))*12+MONTH(CJ$46)-MONTH('融资租赁与资金缺口'!$F$9)),'融资租赁与资金缺口'!$E$9*(1+'融资租赁与资金缺口'!$I$9)^((YEAR(CJ$46)-YEAR('融资租赁与资金缺口'!$F$9))*12+MONTH(CJ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CJ$46)-YEAR('融资租赁与资金缺口'!$F$9))*12+MONTH(CJ$46)-MONTH('融资租赁与资金缺口'!$F$9))-1)/'融资租赁与资金缺口'!$I$9))))),IF(CJ$46&lt;'融资租赁与资金缺口'!$F$10,0,IF(CJ$46='融资租赁与资金缺口'!$F$10,'融资租赁与资金缺口'!$E$10,IF(((YEAR(CJ$46)-YEAR('融资租赁与资金缺口'!$F$10))*12+MONTH(CJ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CJ$46)-YEAR('融资租赁与资金缺口'!$F$10))*12+MONTH(CJ$46)-MONTH('融资租赁与资金缺口'!$F$10)),'融资租赁与资金缺口'!$E$10*(1+'融资租赁与资金缺口'!$I$10)^((YEAR(CJ$46)-YEAR('融资租赁与资金缺口'!$F$10))*12+MONTH(CJ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CJ$46)-YEAR('融资租赁与资金缺口'!$F$10))*12+MONTH(CJ$46)-MONTH('融资租赁与资金缺口'!$F$10))-1)/'融资租赁与资金缺口'!$I$10))))),IF(CJ$46&lt;'融资租赁与资金缺口'!$F$11,0,IF(CJ$46='融资租赁与资金缺口'!$F$11,'融资租赁与资金缺口'!$E$11,IF(((YEAR(CJ$46)-YEAR('融资租赁与资金缺口'!$F$11))*12+MONTH(CJ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CJ$46)-YEAR('融资租赁与资金缺口'!$F$11))*12+MONTH(CJ$46)-MONTH('融资租赁与资金缺口'!$F$11)),'融资租赁与资金缺口'!$E$11*(1+'融资租赁与资金缺口'!$I$11)^((YEAR(CJ$46)-YEAR('融资租赁与资金缺口'!$F$11))*12+MONTH(CJ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CJ$46)-YEAR('融资租赁与资金缺口'!$F$11))*12+MONTH(CJ$46)-MONTH('融资租赁与资金缺口'!$F$11))-1)/'融资租赁与资金缺口'!$I$11))))),IF(CJ$46&lt;'融资租赁与资金缺口'!$F$12,0,IF(CJ$46='融资租赁与资金缺口'!$F$12,'融资租赁与资金缺口'!$E$12,IF(((YEAR(CJ$46)-YEAR('融资租赁与资金缺口'!$F$12))*12+MONTH(CJ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CJ$46)-YEAR('融资租赁与资金缺口'!$F$12))*12+MONTH(CJ$46)-MONTH('融资租赁与资金缺口'!$F$12)),'融资租赁与资金缺口'!$E$12*(1+'融资租赁与资金缺口'!$I$12)^((YEAR(CJ$46)-YEAR('融资租赁与资金缺口'!$F$12))*12+MONTH(CJ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CJ$46)-YEAR('融资租赁与资金缺口'!$F$12))*12+MONTH(CJ$46)-MONTH('融资租赁与资金缺口'!$F$12))-1)/'融资租赁与资金缺口'!$I$12))))),IF(CJ$46&lt;'融资租赁与资金缺口'!$F$13,0,IF(CJ$46='融资租赁与资金缺口'!$F$13,'融资租赁与资金缺口'!$E$13,IF(((YEAR(CJ$46)-YEAR('融资租赁与资金缺口'!$F$13))*12+MONTH(CJ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CJ$46)-YEAR('融资租赁与资金缺口'!$F$13))*12+MONTH(CJ$46)-MONTH('融资租赁与资金缺口'!$F$13)),'融资租赁与资金缺口'!$E$13*(1+'融资租赁与资金缺口'!$I$13)^((YEAR(CJ$46)-YEAR('融资租赁与资金缺口'!$F$13))*12+MONTH(CJ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CJ$46)-YEAR('融资租赁与资金缺口'!$F$13))*12+MONTH(CJ$46)-MONTH('融资租赁与资金缺口'!$F$13))-1)/'融资租赁与资金缺口'!$I$13))))),IF(CJ$46&lt;'融资租赁与资金缺口'!$F$14,0,IF(CJ$46='融资租赁与资金缺口'!$F$14,'融资租赁与资金缺口'!$E$14,IF(((YEAR(CJ$46)-YEAR('融资租赁与资金缺口'!$F$14))*12+MONTH(CJ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CJ$46)-YEAR('融资租赁与资金缺口'!$F$14))*12+MONTH(CJ$46)-MONTH('融资租赁与资金缺口'!$F$14)),'融资租赁与资金缺口'!$E$14*(1+'融资租赁与资金缺口'!$I$14)^((YEAR(CJ$46)-YEAR('融资租赁与资金缺口'!$F$14))*12+MONTH(CJ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CJ$46)-YEAR('融资租赁与资金缺口'!$F$14))*12+MONTH(CJ$46)-MONTH('融资租赁与资金缺口'!$F$14))-1)/'融资租赁与资金缺口'!$I$14))))),IF(CJ$46&lt;'融资租赁与资金缺口'!$F$15,0,IF(CJ$46='融资租赁与资金缺口'!$F$15,'融资租赁与资金缺口'!$E$15,IF(((YEAR(CJ$46)-YEAR('融资租赁与资金缺口'!$F$15))*12+MONTH(CJ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CJ$46)-YEAR('融资租赁与资金缺口'!$F$15))*12+MONTH(CJ$46)-MONTH('融资租赁与资金缺口'!$F$15)),'融资租赁与资金缺口'!$E$15*(1+'融资租赁与资金缺口'!$I$15)^((YEAR(CJ$46)-YEAR('融资租赁与资金缺口'!$F$15))*12+MONTH(CJ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CJ$46)-YEAR('融资租赁与资金缺口'!$F$15))*12+MONTH(CJ$46)-MONTH('融资租赁与资金缺口'!$F$15))-1)/'融资租赁与资金缺口'!$I$15))))),IF(CJ$46&lt;'融资租赁与资金缺口'!$F$16,0,IF(CJ$46='融资租赁与资金缺口'!$F$16,'融资租赁与资金缺口'!$E$16,IF(((YEAR(CJ$46)-YEAR('融资租赁与资金缺口'!$F$16))*12+MONTH(CJ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CJ$46)-YEAR('融资租赁与资金缺口'!$F$16))*12+MONTH(CJ$46)-MONTH('融资租赁与资金缺口'!$F$16)),'融资租赁与资金缺口'!$E$16*(1+'融资租赁与资金缺口'!$I$16)^((YEAR(CJ$46)-YEAR('融资租赁与资金缺口'!$F$16))*12+MONTH(CJ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CJ$46)-YEAR('融资租赁与资金缺口'!$F$16))*12+MONTH(CJ$46)-MONTH('融资租赁与资金缺口'!$F$16))-1)/'融资租赁与资金缺口'!$I$16))))))</x:f>
        <x:v>0</x:v>
      </x:c>
      <x:c r="CK58" s="28" t="n">
        <x:f>SUM(IF(CK$46&lt;'融资租赁与资金缺口'!$F$5,0,IF(CK$46='融资租赁与资金缺口'!$F$5,'融资租赁与资金缺口'!$E$5,IF(((YEAR(CK$46)-YEAR('融资租赁与资金缺口'!$F$5))*12+MONTH(CK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CK$46)-YEAR('融资租赁与资金缺口'!$F$5))*12+MONTH(CK$46)-MONTH('融资租赁与资金缺口'!$F$5)),'融资租赁与资金缺口'!$E$5*(1+'融资租赁与资金缺口'!$I$5)^((YEAR(CK$46)-YEAR('融资租赁与资金缺口'!$F$5))*12+MONTH(CK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CK$46)-YEAR('融资租赁与资金缺口'!$F$5))*12+MONTH(CK$46)-MONTH('融资租赁与资金缺口'!$F$5))-1)/'融资租赁与资金缺口'!$I$5))))),IF(CK$46&lt;'融资租赁与资金缺口'!$F$6,0,IF(CK$46='融资租赁与资金缺口'!$F$6,'融资租赁与资金缺口'!$E$6,IF(((YEAR(CK$46)-YEAR('融资租赁与资金缺口'!$F$6))*12+MONTH(CK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CK$46)-YEAR('融资租赁与资金缺口'!$F$6))*12+MONTH(CK$46)-MONTH('融资租赁与资金缺口'!$F$6)),'融资租赁与资金缺口'!$E$6*(1+'融资租赁与资金缺口'!$I$6)^((YEAR(CK$46)-YEAR('融资租赁与资金缺口'!$F$6))*12+MONTH(CK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CK$46)-YEAR('融资租赁与资金缺口'!$F$6))*12+MONTH(CK$46)-MONTH('融资租赁与资金缺口'!$F$6))-1)/'融资租赁与资金缺口'!$I$6))))),IF(CK$46&lt;'融资租赁与资金缺口'!$F$7,0,IF(CK$46='融资租赁与资金缺口'!$F$7,'融资租赁与资金缺口'!$E$7,IF(((YEAR(CK$46)-YEAR('融资租赁与资金缺口'!$F$7))*12+MONTH(CK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CK$46)-YEAR('融资租赁与资金缺口'!$F$7))*12+MONTH(CK$46)-MONTH('融资租赁与资金缺口'!$F$7)),'融资租赁与资金缺口'!$E$7*(1+'融资租赁与资金缺口'!$I$7)^((YEAR(CK$46)-YEAR('融资租赁与资金缺口'!$F$7))*12+MONTH(CK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CK$46)-YEAR('融资租赁与资金缺口'!$F$7))*12+MONTH(CK$46)-MONTH('融资租赁与资金缺口'!$F$7))-1)/'融资租赁与资金缺口'!$I$7))))),IF(CK$46&lt;'融资租赁与资金缺口'!$F$8,0,IF(CK$46='融资租赁与资金缺口'!$F$8,'融资租赁与资金缺口'!$E$8,IF(((YEAR(CK$46)-YEAR('融资租赁与资金缺口'!$F$8))*12+MONTH(CK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CK$46)-YEAR('融资租赁与资金缺口'!$F$8))*12+MONTH(CK$46)-MONTH('融资租赁与资金缺口'!$F$8)),'融资租赁与资金缺口'!$E$8*(1+'融资租赁与资金缺口'!$I$8)^((YEAR(CK$46)-YEAR('融资租赁与资金缺口'!$F$8))*12+MONTH(CK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CK$46)-YEAR('融资租赁与资金缺口'!$F$8))*12+MONTH(CK$46)-MONTH('融资租赁与资金缺口'!$F$8))-1)/'融资租赁与资金缺口'!$I$8))))),IF(CK$46&lt;'融资租赁与资金缺口'!$F$9,0,IF(CK$46='融资租赁与资金缺口'!$F$9,'融资租赁与资金缺口'!$E$9,IF(((YEAR(CK$46)-YEAR('融资租赁与资金缺口'!$F$9))*12+MONTH(CK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CK$46)-YEAR('融资租赁与资金缺口'!$F$9))*12+MONTH(CK$46)-MONTH('融资租赁与资金缺口'!$F$9)),'融资租赁与资金缺口'!$E$9*(1+'融资租赁与资金缺口'!$I$9)^((YEAR(CK$46)-YEAR('融资租赁与资金缺口'!$F$9))*12+MONTH(CK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CK$46)-YEAR('融资租赁与资金缺口'!$F$9))*12+MONTH(CK$46)-MONTH('融资租赁与资金缺口'!$F$9))-1)/'融资租赁与资金缺口'!$I$9))))),IF(CK$46&lt;'融资租赁与资金缺口'!$F$10,0,IF(CK$46='融资租赁与资金缺口'!$F$10,'融资租赁与资金缺口'!$E$10,IF(((YEAR(CK$46)-YEAR('融资租赁与资金缺口'!$F$10))*12+MONTH(CK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CK$46)-YEAR('融资租赁与资金缺口'!$F$10))*12+MONTH(CK$46)-MONTH('融资租赁与资金缺口'!$F$10)),'融资租赁与资金缺口'!$E$10*(1+'融资租赁与资金缺口'!$I$10)^((YEAR(CK$46)-YEAR('融资租赁与资金缺口'!$F$10))*12+MONTH(CK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CK$46)-YEAR('融资租赁与资金缺口'!$F$10))*12+MONTH(CK$46)-MONTH('融资租赁与资金缺口'!$F$10))-1)/'融资租赁与资金缺口'!$I$10))))),IF(CK$46&lt;'融资租赁与资金缺口'!$F$11,0,IF(CK$46='融资租赁与资金缺口'!$F$11,'融资租赁与资金缺口'!$E$11,IF(((YEAR(CK$46)-YEAR('融资租赁与资金缺口'!$F$11))*12+MONTH(CK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CK$46)-YEAR('融资租赁与资金缺口'!$F$11))*12+MONTH(CK$46)-MONTH('融资租赁与资金缺口'!$F$11)),'融资租赁与资金缺口'!$E$11*(1+'融资租赁与资金缺口'!$I$11)^((YEAR(CK$46)-YEAR('融资租赁与资金缺口'!$F$11))*12+MONTH(CK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CK$46)-YEAR('融资租赁与资金缺口'!$F$11))*12+MONTH(CK$46)-MONTH('融资租赁与资金缺口'!$F$11))-1)/'融资租赁与资金缺口'!$I$11))))),IF(CK$46&lt;'融资租赁与资金缺口'!$F$12,0,IF(CK$46='融资租赁与资金缺口'!$F$12,'融资租赁与资金缺口'!$E$12,IF(((YEAR(CK$46)-YEAR('融资租赁与资金缺口'!$F$12))*12+MONTH(CK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CK$46)-YEAR('融资租赁与资金缺口'!$F$12))*12+MONTH(CK$46)-MONTH('融资租赁与资金缺口'!$F$12)),'融资租赁与资金缺口'!$E$12*(1+'融资租赁与资金缺口'!$I$12)^((YEAR(CK$46)-YEAR('融资租赁与资金缺口'!$F$12))*12+MONTH(CK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CK$46)-YEAR('融资租赁与资金缺口'!$F$12))*12+MONTH(CK$46)-MONTH('融资租赁与资金缺口'!$F$12))-1)/'融资租赁与资金缺口'!$I$12))))),IF(CK$46&lt;'融资租赁与资金缺口'!$F$13,0,IF(CK$46='融资租赁与资金缺口'!$F$13,'融资租赁与资金缺口'!$E$13,IF(((YEAR(CK$46)-YEAR('融资租赁与资金缺口'!$F$13))*12+MONTH(CK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CK$46)-YEAR('融资租赁与资金缺口'!$F$13))*12+MONTH(CK$46)-MONTH('融资租赁与资金缺口'!$F$13)),'融资租赁与资金缺口'!$E$13*(1+'融资租赁与资金缺口'!$I$13)^((YEAR(CK$46)-YEAR('融资租赁与资金缺口'!$F$13))*12+MONTH(CK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CK$46)-YEAR('融资租赁与资金缺口'!$F$13))*12+MONTH(CK$46)-MONTH('融资租赁与资金缺口'!$F$13))-1)/'融资租赁与资金缺口'!$I$13))))),IF(CK$46&lt;'融资租赁与资金缺口'!$F$14,0,IF(CK$46='融资租赁与资金缺口'!$F$14,'融资租赁与资金缺口'!$E$14,IF(((YEAR(CK$46)-YEAR('融资租赁与资金缺口'!$F$14))*12+MONTH(CK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CK$46)-YEAR('融资租赁与资金缺口'!$F$14))*12+MONTH(CK$46)-MONTH('融资租赁与资金缺口'!$F$14)),'融资租赁与资金缺口'!$E$14*(1+'融资租赁与资金缺口'!$I$14)^((YEAR(CK$46)-YEAR('融资租赁与资金缺口'!$F$14))*12+MONTH(CK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CK$46)-YEAR('融资租赁与资金缺口'!$F$14))*12+MONTH(CK$46)-MONTH('融资租赁与资金缺口'!$F$14))-1)/'融资租赁与资金缺口'!$I$14))))),IF(CK$46&lt;'融资租赁与资金缺口'!$F$15,0,IF(CK$46='融资租赁与资金缺口'!$F$15,'融资租赁与资金缺口'!$E$15,IF(((YEAR(CK$46)-YEAR('融资租赁与资金缺口'!$F$15))*12+MONTH(CK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CK$46)-YEAR('融资租赁与资金缺口'!$F$15))*12+MONTH(CK$46)-MONTH('融资租赁与资金缺口'!$F$15)),'融资租赁与资金缺口'!$E$15*(1+'融资租赁与资金缺口'!$I$15)^((YEAR(CK$46)-YEAR('融资租赁与资金缺口'!$F$15))*12+MONTH(CK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CK$46)-YEAR('融资租赁与资金缺口'!$F$15))*12+MONTH(CK$46)-MONTH('融资租赁与资金缺口'!$F$15))-1)/'融资租赁与资金缺口'!$I$15))))),IF(CK$46&lt;'融资租赁与资金缺口'!$F$16,0,IF(CK$46='融资租赁与资金缺口'!$F$16,'融资租赁与资金缺口'!$E$16,IF(((YEAR(CK$46)-YEAR('融资租赁与资金缺口'!$F$16))*12+MONTH(CK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CK$46)-YEAR('融资租赁与资金缺口'!$F$16))*12+MONTH(CK$46)-MONTH('融资租赁与资金缺口'!$F$16)),'融资租赁与资金缺口'!$E$16*(1+'融资租赁与资金缺口'!$I$16)^((YEAR(CK$46)-YEAR('融资租赁与资金缺口'!$F$16))*12+MONTH(CK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CK$46)-YEAR('融资租赁与资金缺口'!$F$16))*12+MONTH(CK$46)-MONTH('融资租赁与资金缺口'!$F$16))-1)/'融资租赁与资金缺口'!$I$16))))))</x:f>
        <x:v>0</x:v>
      </x:c>
      <x:c r="CL58" s="28" t="n">
        <x:f>SUM(IF(CL$46&lt;'融资租赁与资金缺口'!$F$5,0,IF(CL$46='融资租赁与资金缺口'!$F$5,'融资租赁与资金缺口'!$E$5,IF(((YEAR(CL$46)-YEAR('融资租赁与资金缺口'!$F$5))*12+MONTH(CL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CL$46)-YEAR('融资租赁与资金缺口'!$F$5))*12+MONTH(CL$46)-MONTH('融资租赁与资金缺口'!$F$5)),'融资租赁与资金缺口'!$E$5*(1+'融资租赁与资金缺口'!$I$5)^((YEAR(CL$46)-YEAR('融资租赁与资金缺口'!$F$5))*12+MONTH(CL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CL$46)-YEAR('融资租赁与资金缺口'!$F$5))*12+MONTH(CL$46)-MONTH('融资租赁与资金缺口'!$F$5))-1)/'融资租赁与资金缺口'!$I$5))))),IF(CL$46&lt;'融资租赁与资金缺口'!$F$6,0,IF(CL$46='融资租赁与资金缺口'!$F$6,'融资租赁与资金缺口'!$E$6,IF(((YEAR(CL$46)-YEAR('融资租赁与资金缺口'!$F$6))*12+MONTH(CL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CL$46)-YEAR('融资租赁与资金缺口'!$F$6))*12+MONTH(CL$46)-MONTH('融资租赁与资金缺口'!$F$6)),'融资租赁与资金缺口'!$E$6*(1+'融资租赁与资金缺口'!$I$6)^((YEAR(CL$46)-YEAR('融资租赁与资金缺口'!$F$6))*12+MONTH(CL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CL$46)-YEAR('融资租赁与资金缺口'!$F$6))*12+MONTH(CL$46)-MONTH('融资租赁与资金缺口'!$F$6))-1)/'融资租赁与资金缺口'!$I$6))))),IF(CL$46&lt;'融资租赁与资金缺口'!$F$7,0,IF(CL$46='融资租赁与资金缺口'!$F$7,'融资租赁与资金缺口'!$E$7,IF(((YEAR(CL$46)-YEAR('融资租赁与资金缺口'!$F$7))*12+MONTH(CL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CL$46)-YEAR('融资租赁与资金缺口'!$F$7))*12+MONTH(CL$46)-MONTH('融资租赁与资金缺口'!$F$7)),'融资租赁与资金缺口'!$E$7*(1+'融资租赁与资金缺口'!$I$7)^((YEAR(CL$46)-YEAR('融资租赁与资金缺口'!$F$7))*12+MONTH(CL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CL$46)-YEAR('融资租赁与资金缺口'!$F$7))*12+MONTH(CL$46)-MONTH('融资租赁与资金缺口'!$F$7))-1)/'融资租赁与资金缺口'!$I$7))))),IF(CL$46&lt;'融资租赁与资金缺口'!$F$8,0,IF(CL$46='融资租赁与资金缺口'!$F$8,'融资租赁与资金缺口'!$E$8,IF(((YEAR(CL$46)-YEAR('融资租赁与资金缺口'!$F$8))*12+MONTH(CL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CL$46)-YEAR('融资租赁与资金缺口'!$F$8))*12+MONTH(CL$46)-MONTH('融资租赁与资金缺口'!$F$8)),'融资租赁与资金缺口'!$E$8*(1+'融资租赁与资金缺口'!$I$8)^((YEAR(CL$46)-YEAR('融资租赁与资金缺口'!$F$8))*12+MONTH(CL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CL$46)-YEAR('融资租赁与资金缺口'!$F$8))*12+MONTH(CL$46)-MONTH('融资租赁与资金缺口'!$F$8))-1)/'融资租赁与资金缺口'!$I$8))))),IF(CL$46&lt;'融资租赁与资金缺口'!$F$9,0,IF(CL$46='融资租赁与资金缺口'!$F$9,'融资租赁与资金缺口'!$E$9,IF(((YEAR(CL$46)-YEAR('融资租赁与资金缺口'!$F$9))*12+MONTH(CL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CL$46)-YEAR('融资租赁与资金缺口'!$F$9))*12+MONTH(CL$46)-MONTH('融资租赁与资金缺口'!$F$9)),'融资租赁与资金缺口'!$E$9*(1+'融资租赁与资金缺口'!$I$9)^((YEAR(CL$46)-YEAR('融资租赁与资金缺口'!$F$9))*12+MONTH(CL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CL$46)-YEAR('融资租赁与资金缺口'!$F$9))*12+MONTH(CL$46)-MONTH('融资租赁与资金缺口'!$F$9))-1)/'融资租赁与资金缺口'!$I$9))))),IF(CL$46&lt;'融资租赁与资金缺口'!$F$10,0,IF(CL$46='融资租赁与资金缺口'!$F$10,'融资租赁与资金缺口'!$E$10,IF(((YEAR(CL$46)-YEAR('融资租赁与资金缺口'!$F$10))*12+MONTH(CL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CL$46)-YEAR('融资租赁与资金缺口'!$F$10))*12+MONTH(CL$46)-MONTH('融资租赁与资金缺口'!$F$10)),'融资租赁与资金缺口'!$E$10*(1+'融资租赁与资金缺口'!$I$10)^((YEAR(CL$46)-YEAR('融资租赁与资金缺口'!$F$10))*12+MONTH(CL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CL$46)-YEAR('融资租赁与资金缺口'!$F$10))*12+MONTH(CL$46)-MONTH('融资租赁与资金缺口'!$F$10))-1)/'融资租赁与资金缺口'!$I$10))))),IF(CL$46&lt;'融资租赁与资金缺口'!$F$11,0,IF(CL$46='融资租赁与资金缺口'!$F$11,'融资租赁与资金缺口'!$E$11,IF(((YEAR(CL$46)-YEAR('融资租赁与资金缺口'!$F$11))*12+MONTH(CL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CL$46)-YEAR('融资租赁与资金缺口'!$F$11))*12+MONTH(CL$46)-MONTH('融资租赁与资金缺口'!$F$11)),'融资租赁与资金缺口'!$E$11*(1+'融资租赁与资金缺口'!$I$11)^((YEAR(CL$46)-YEAR('融资租赁与资金缺口'!$F$11))*12+MONTH(CL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CL$46)-YEAR('融资租赁与资金缺口'!$F$11))*12+MONTH(CL$46)-MONTH('融资租赁与资金缺口'!$F$11))-1)/'融资租赁与资金缺口'!$I$11))))),IF(CL$46&lt;'融资租赁与资金缺口'!$F$12,0,IF(CL$46='融资租赁与资金缺口'!$F$12,'融资租赁与资金缺口'!$E$12,IF(((YEAR(CL$46)-YEAR('融资租赁与资金缺口'!$F$12))*12+MONTH(CL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CL$46)-YEAR('融资租赁与资金缺口'!$F$12))*12+MONTH(CL$46)-MONTH('融资租赁与资金缺口'!$F$12)),'融资租赁与资金缺口'!$E$12*(1+'融资租赁与资金缺口'!$I$12)^((YEAR(CL$46)-YEAR('融资租赁与资金缺口'!$F$12))*12+MONTH(CL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CL$46)-YEAR('融资租赁与资金缺口'!$F$12))*12+MONTH(CL$46)-MONTH('融资租赁与资金缺口'!$F$12))-1)/'融资租赁与资金缺口'!$I$12))))),IF(CL$46&lt;'融资租赁与资金缺口'!$F$13,0,IF(CL$46='融资租赁与资金缺口'!$F$13,'融资租赁与资金缺口'!$E$13,IF(((YEAR(CL$46)-YEAR('融资租赁与资金缺口'!$F$13))*12+MONTH(CL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CL$46)-YEAR('融资租赁与资金缺口'!$F$13))*12+MONTH(CL$46)-MONTH('融资租赁与资金缺口'!$F$13)),'融资租赁与资金缺口'!$E$13*(1+'融资租赁与资金缺口'!$I$13)^((YEAR(CL$46)-YEAR('融资租赁与资金缺口'!$F$13))*12+MONTH(CL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CL$46)-YEAR('融资租赁与资金缺口'!$F$13))*12+MONTH(CL$46)-MONTH('融资租赁与资金缺口'!$F$13))-1)/'融资租赁与资金缺口'!$I$13))))),IF(CL$46&lt;'融资租赁与资金缺口'!$F$14,0,IF(CL$46='融资租赁与资金缺口'!$F$14,'融资租赁与资金缺口'!$E$14,IF(((YEAR(CL$46)-YEAR('融资租赁与资金缺口'!$F$14))*12+MONTH(CL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CL$46)-YEAR('融资租赁与资金缺口'!$F$14))*12+MONTH(CL$46)-MONTH('融资租赁与资金缺口'!$F$14)),'融资租赁与资金缺口'!$E$14*(1+'融资租赁与资金缺口'!$I$14)^((YEAR(CL$46)-YEAR('融资租赁与资金缺口'!$F$14))*12+MONTH(CL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CL$46)-YEAR('融资租赁与资金缺口'!$F$14))*12+MONTH(CL$46)-MONTH('融资租赁与资金缺口'!$F$14))-1)/'融资租赁与资金缺口'!$I$14))))),IF(CL$46&lt;'融资租赁与资金缺口'!$F$15,0,IF(CL$46='融资租赁与资金缺口'!$F$15,'融资租赁与资金缺口'!$E$15,IF(((YEAR(CL$46)-YEAR('融资租赁与资金缺口'!$F$15))*12+MONTH(CL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CL$46)-YEAR('融资租赁与资金缺口'!$F$15))*12+MONTH(CL$46)-MONTH('融资租赁与资金缺口'!$F$15)),'融资租赁与资金缺口'!$E$15*(1+'融资租赁与资金缺口'!$I$15)^((YEAR(CL$46)-YEAR('融资租赁与资金缺口'!$F$15))*12+MONTH(CL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CL$46)-YEAR('融资租赁与资金缺口'!$F$15))*12+MONTH(CL$46)-MONTH('融资租赁与资金缺口'!$F$15))-1)/'融资租赁与资金缺口'!$I$15))))),IF(CL$46&lt;'融资租赁与资金缺口'!$F$16,0,IF(CL$46='融资租赁与资金缺口'!$F$16,'融资租赁与资金缺口'!$E$16,IF(((YEAR(CL$46)-YEAR('融资租赁与资金缺口'!$F$16))*12+MONTH(CL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CL$46)-YEAR('融资租赁与资金缺口'!$F$16))*12+MONTH(CL$46)-MONTH('融资租赁与资金缺口'!$F$16)),'融资租赁与资金缺口'!$E$16*(1+'融资租赁与资金缺口'!$I$16)^((YEAR(CL$46)-YEAR('融资租赁与资金缺口'!$F$16))*12+MONTH(CL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CL$46)-YEAR('融资租赁与资金缺口'!$F$16))*12+MONTH(CL$46)-MONTH('融资租赁与资金缺口'!$F$16))-1)/'融资租赁与资金缺口'!$I$16))))))</x:f>
        <x:v>0</x:v>
      </x:c>
      <x:c r="CM58" s="28" t="n">
        <x:f>SUM(IF(CM$46&lt;'融资租赁与资金缺口'!$F$5,0,IF(CM$46='融资租赁与资金缺口'!$F$5,'融资租赁与资金缺口'!$E$5,IF(((YEAR(CM$46)-YEAR('融资租赁与资金缺口'!$F$5))*12+MONTH(CM$46)-MONTH('融资租赁与资金缺口'!$F$5))&gt;=$A17,0,MAX(0,IF('融资租赁与资金缺口'!$I$5=0,'融资租赁与资金缺口'!$E$5-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YEAR(CM$46)-YEAR('融资租赁与资金缺口'!$F$5))*12+MONTH(CM$46)-MONTH('融资租赁与资金缺口'!$F$5)),'融资租赁与资金缺口'!$E$5*(1+'融资租赁与资金缺口'!$I$5)^((YEAR(CM$46)-YEAR('融资租赁与资金缺口'!$F$5))*12+MONTH(CM$46)-MONTH('融资租赁与资金缺口'!$F$5))-IF('融资租赁与资金缺口'!$I$5=0,('融资租赁与资金缺口'!$E$5-'融资租赁与资金缺口'!$J$5)/$A17,('融资租赁与资金缺口'!$E$5-'融资租赁与资金缺口'!$J$5/(1+'融资租赁与资金缺口'!$I$5)^$A17)*'融资租赁与资金缺口'!$I$5/(1-(1+'融资租赁与资金缺口'!$I$5)^-$A17))*((1+'融资租赁与资金缺口'!$I$5)^((YEAR(CM$46)-YEAR('融资租赁与资金缺口'!$F$5))*12+MONTH(CM$46)-MONTH('融资租赁与资金缺口'!$F$5))-1)/'融资租赁与资金缺口'!$I$5))))),IF(CM$46&lt;'融资租赁与资金缺口'!$F$6,0,IF(CM$46='融资租赁与资金缺口'!$F$6,'融资租赁与资金缺口'!$E$6,IF(((YEAR(CM$46)-YEAR('融资租赁与资金缺口'!$F$6))*12+MONTH(CM$46)-MONTH('融资租赁与资金缺口'!$F$6))&gt;=$A17,0,MAX(0,IF('融资租赁与资金缺口'!$I$6=0,'融资租赁与资金缺口'!$E$6-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YEAR(CM$46)-YEAR('融资租赁与资金缺口'!$F$6))*12+MONTH(CM$46)-MONTH('融资租赁与资金缺口'!$F$6)),'融资租赁与资金缺口'!$E$6*(1+'融资租赁与资金缺口'!$I$6)^((YEAR(CM$46)-YEAR('融资租赁与资金缺口'!$F$6))*12+MONTH(CM$46)-MONTH('融资租赁与资金缺口'!$F$6))-IF('融资租赁与资金缺口'!$I$6=0,('融资租赁与资金缺口'!$E$6-'融资租赁与资金缺口'!$J$6)/$A17,('融资租赁与资金缺口'!$E$6-'融资租赁与资金缺口'!$J$6/(1+'融资租赁与资金缺口'!$I$6)^$A17)*'融资租赁与资金缺口'!$I$6/(1-(1+'融资租赁与资金缺口'!$I$6)^-$A17))*((1+'融资租赁与资金缺口'!$I$6)^((YEAR(CM$46)-YEAR('融资租赁与资金缺口'!$F$6))*12+MONTH(CM$46)-MONTH('融资租赁与资金缺口'!$F$6))-1)/'融资租赁与资金缺口'!$I$6))))),IF(CM$46&lt;'融资租赁与资金缺口'!$F$7,0,IF(CM$46='融资租赁与资金缺口'!$F$7,'融资租赁与资金缺口'!$E$7,IF(((YEAR(CM$46)-YEAR('融资租赁与资金缺口'!$F$7))*12+MONTH(CM$46)-MONTH('融资租赁与资金缺口'!$F$7))&gt;=$A17,0,MAX(0,IF('融资租赁与资金缺口'!$I$7=0,'融资租赁与资金缺口'!$E$7-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YEAR(CM$46)-YEAR('融资租赁与资金缺口'!$F$7))*12+MONTH(CM$46)-MONTH('融资租赁与资金缺口'!$F$7)),'融资租赁与资金缺口'!$E$7*(1+'融资租赁与资金缺口'!$I$7)^((YEAR(CM$46)-YEAR('融资租赁与资金缺口'!$F$7))*12+MONTH(CM$46)-MONTH('融资租赁与资金缺口'!$F$7))-IF('融资租赁与资金缺口'!$I$7=0,('融资租赁与资金缺口'!$E$7-'融资租赁与资金缺口'!$J$7)/$A17,('融资租赁与资金缺口'!$E$7-'融资租赁与资金缺口'!$J$7/(1+'融资租赁与资金缺口'!$I$7)^$A17)*'融资租赁与资金缺口'!$I$7/(1-(1+'融资租赁与资金缺口'!$I$7)^-$A17))*((1+'融资租赁与资金缺口'!$I$7)^((YEAR(CM$46)-YEAR('融资租赁与资金缺口'!$F$7))*12+MONTH(CM$46)-MONTH('融资租赁与资金缺口'!$F$7))-1)/'融资租赁与资金缺口'!$I$7))))),IF(CM$46&lt;'融资租赁与资金缺口'!$F$8,0,IF(CM$46='融资租赁与资金缺口'!$F$8,'融资租赁与资金缺口'!$E$8,IF(((YEAR(CM$46)-YEAR('融资租赁与资金缺口'!$F$8))*12+MONTH(CM$46)-MONTH('融资租赁与资金缺口'!$F$8))&gt;=$A17,0,MAX(0,IF('融资租赁与资金缺口'!$I$8=0,'融资租赁与资金缺口'!$E$8-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YEAR(CM$46)-YEAR('融资租赁与资金缺口'!$F$8))*12+MONTH(CM$46)-MONTH('融资租赁与资金缺口'!$F$8)),'融资租赁与资金缺口'!$E$8*(1+'融资租赁与资金缺口'!$I$8)^((YEAR(CM$46)-YEAR('融资租赁与资金缺口'!$F$8))*12+MONTH(CM$46)-MONTH('融资租赁与资金缺口'!$F$8))-IF('融资租赁与资金缺口'!$I$8=0,('融资租赁与资金缺口'!$E$8-'融资租赁与资金缺口'!$J$8)/$A17,('融资租赁与资金缺口'!$E$8-'融资租赁与资金缺口'!$J$8/(1+'融资租赁与资金缺口'!$I$8)^$A17)*'融资租赁与资金缺口'!$I$8/(1-(1+'融资租赁与资金缺口'!$I$8)^-$A17))*((1+'融资租赁与资金缺口'!$I$8)^((YEAR(CM$46)-YEAR('融资租赁与资金缺口'!$F$8))*12+MONTH(CM$46)-MONTH('融资租赁与资金缺口'!$F$8))-1)/'融资租赁与资金缺口'!$I$8))))),IF(CM$46&lt;'融资租赁与资金缺口'!$F$9,0,IF(CM$46='融资租赁与资金缺口'!$F$9,'融资租赁与资金缺口'!$E$9,IF(((YEAR(CM$46)-YEAR('融资租赁与资金缺口'!$F$9))*12+MONTH(CM$46)-MONTH('融资租赁与资金缺口'!$F$9))&gt;=$A17,0,MAX(0,IF('融资租赁与资金缺口'!$I$9=0,'融资租赁与资金缺口'!$E$9-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YEAR(CM$46)-YEAR('融资租赁与资金缺口'!$F$9))*12+MONTH(CM$46)-MONTH('融资租赁与资金缺口'!$F$9)),'融资租赁与资金缺口'!$E$9*(1+'融资租赁与资金缺口'!$I$9)^((YEAR(CM$46)-YEAR('融资租赁与资金缺口'!$F$9))*12+MONTH(CM$46)-MONTH('融资租赁与资金缺口'!$F$9))-IF('融资租赁与资金缺口'!$I$9=0,('融资租赁与资金缺口'!$E$9-'融资租赁与资金缺口'!$J$9)/$A17,('融资租赁与资金缺口'!$E$9-'融资租赁与资金缺口'!$J$9/(1+'融资租赁与资金缺口'!$I$9)^$A17)*'融资租赁与资金缺口'!$I$9/(1-(1+'融资租赁与资金缺口'!$I$9)^-$A17))*((1+'融资租赁与资金缺口'!$I$9)^((YEAR(CM$46)-YEAR('融资租赁与资金缺口'!$F$9))*12+MONTH(CM$46)-MONTH('融资租赁与资金缺口'!$F$9))-1)/'融资租赁与资金缺口'!$I$9))))),IF(CM$46&lt;'融资租赁与资金缺口'!$F$10,0,IF(CM$46='融资租赁与资金缺口'!$F$10,'融资租赁与资金缺口'!$E$10,IF(((YEAR(CM$46)-YEAR('融资租赁与资金缺口'!$F$10))*12+MONTH(CM$46)-MONTH('融资租赁与资金缺口'!$F$10))&gt;=$A17,0,MAX(0,IF('融资租赁与资金缺口'!$I$10=0,'融资租赁与资金缺口'!$E$10-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YEAR(CM$46)-YEAR('融资租赁与资金缺口'!$F$10))*12+MONTH(CM$46)-MONTH('融资租赁与资金缺口'!$F$10)),'融资租赁与资金缺口'!$E$10*(1+'融资租赁与资金缺口'!$I$10)^((YEAR(CM$46)-YEAR('融资租赁与资金缺口'!$F$10))*12+MONTH(CM$46)-MONTH('融资租赁与资金缺口'!$F$10))-IF('融资租赁与资金缺口'!$I$10=0,('融资租赁与资金缺口'!$E$10-'融资租赁与资金缺口'!$J$10)/$A17,('融资租赁与资金缺口'!$E$10-'融资租赁与资金缺口'!$J$10/(1+'融资租赁与资金缺口'!$I$10)^$A17)*'融资租赁与资金缺口'!$I$10/(1-(1+'融资租赁与资金缺口'!$I$10)^-$A17))*((1+'融资租赁与资金缺口'!$I$10)^((YEAR(CM$46)-YEAR('融资租赁与资金缺口'!$F$10))*12+MONTH(CM$46)-MONTH('融资租赁与资金缺口'!$F$10))-1)/'融资租赁与资金缺口'!$I$10))))),IF(CM$46&lt;'融资租赁与资金缺口'!$F$11,0,IF(CM$46='融资租赁与资金缺口'!$F$11,'融资租赁与资金缺口'!$E$11,IF(((YEAR(CM$46)-YEAR('融资租赁与资金缺口'!$F$11))*12+MONTH(CM$46)-MONTH('融资租赁与资金缺口'!$F$11))&gt;=$A17,0,MAX(0,IF('融资租赁与资金缺口'!$I$11=0,'融资租赁与资金缺口'!$E$11-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YEAR(CM$46)-YEAR('融资租赁与资金缺口'!$F$11))*12+MONTH(CM$46)-MONTH('融资租赁与资金缺口'!$F$11)),'融资租赁与资金缺口'!$E$11*(1+'融资租赁与资金缺口'!$I$11)^((YEAR(CM$46)-YEAR('融资租赁与资金缺口'!$F$11))*12+MONTH(CM$46)-MONTH('融资租赁与资金缺口'!$F$11))-IF('融资租赁与资金缺口'!$I$11=0,('融资租赁与资金缺口'!$E$11-'融资租赁与资金缺口'!$J$11)/$A17,('融资租赁与资金缺口'!$E$11-'融资租赁与资金缺口'!$J$11/(1+'融资租赁与资金缺口'!$I$11)^$A17)*'融资租赁与资金缺口'!$I$11/(1-(1+'融资租赁与资金缺口'!$I$11)^-$A17))*((1+'融资租赁与资金缺口'!$I$11)^((YEAR(CM$46)-YEAR('融资租赁与资金缺口'!$F$11))*12+MONTH(CM$46)-MONTH('融资租赁与资金缺口'!$F$11))-1)/'融资租赁与资金缺口'!$I$11))))),IF(CM$46&lt;'融资租赁与资金缺口'!$F$12,0,IF(CM$46='融资租赁与资金缺口'!$F$12,'融资租赁与资金缺口'!$E$12,IF(((YEAR(CM$46)-YEAR('融资租赁与资金缺口'!$F$12))*12+MONTH(CM$46)-MONTH('融资租赁与资金缺口'!$F$12))&gt;=$A17,0,MAX(0,IF('融资租赁与资金缺口'!$I$12=0,'融资租赁与资金缺口'!$E$12-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YEAR(CM$46)-YEAR('融资租赁与资金缺口'!$F$12))*12+MONTH(CM$46)-MONTH('融资租赁与资金缺口'!$F$12)),'融资租赁与资金缺口'!$E$12*(1+'融资租赁与资金缺口'!$I$12)^((YEAR(CM$46)-YEAR('融资租赁与资金缺口'!$F$12))*12+MONTH(CM$46)-MONTH('融资租赁与资金缺口'!$F$12))-IF('融资租赁与资金缺口'!$I$12=0,('融资租赁与资金缺口'!$E$12-'融资租赁与资金缺口'!$J$12)/$A17,('融资租赁与资金缺口'!$E$12-'融资租赁与资金缺口'!$J$12/(1+'融资租赁与资金缺口'!$I$12)^$A17)*'融资租赁与资金缺口'!$I$12/(1-(1+'融资租赁与资金缺口'!$I$12)^-$A17))*((1+'融资租赁与资金缺口'!$I$12)^((YEAR(CM$46)-YEAR('融资租赁与资金缺口'!$F$12))*12+MONTH(CM$46)-MONTH('融资租赁与资金缺口'!$F$12))-1)/'融资租赁与资金缺口'!$I$12))))),IF(CM$46&lt;'融资租赁与资金缺口'!$F$13,0,IF(CM$46='融资租赁与资金缺口'!$F$13,'融资租赁与资金缺口'!$E$13,IF(((YEAR(CM$46)-YEAR('融资租赁与资金缺口'!$F$13))*12+MONTH(CM$46)-MONTH('融资租赁与资金缺口'!$F$13))&gt;=$A17,0,MAX(0,IF('融资租赁与资金缺口'!$I$13=0,'融资租赁与资金缺口'!$E$13-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YEAR(CM$46)-YEAR('融资租赁与资金缺口'!$F$13))*12+MONTH(CM$46)-MONTH('融资租赁与资金缺口'!$F$13)),'融资租赁与资金缺口'!$E$13*(1+'融资租赁与资金缺口'!$I$13)^((YEAR(CM$46)-YEAR('融资租赁与资金缺口'!$F$13))*12+MONTH(CM$46)-MONTH('融资租赁与资金缺口'!$F$13))-IF('融资租赁与资金缺口'!$I$13=0,('融资租赁与资金缺口'!$E$13-'融资租赁与资金缺口'!$J$13)/$A17,('融资租赁与资金缺口'!$E$13-'融资租赁与资金缺口'!$J$13/(1+'融资租赁与资金缺口'!$I$13)^$A17)*'融资租赁与资金缺口'!$I$13/(1-(1+'融资租赁与资金缺口'!$I$13)^-$A17))*((1+'融资租赁与资金缺口'!$I$13)^((YEAR(CM$46)-YEAR('融资租赁与资金缺口'!$F$13))*12+MONTH(CM$46)-MONTH('融资租赁与资金缺口'!$F$13))-1)/'融资租赁与资金缺口'!$I$13))))),IF(CM$46&lt;'融资租赁与资金缺口'!$F$14,0,IF(CM$46='融资租赁与资金缺口'!$F$14,'融资租赁与资金缺口'!$E$14,IF(((YEAR(CM$46)-YEAR('融资租赁与资金缺口'!$F$14))*12+MONTH(CM$46)-MONTH('融资租赁与资金缺口'!$F$14))&gt;=$A17,0,MAX(0,IF('融资租赁与资金缺口'!$I$14=0,'融资租赁与资金缺口'!$E$14-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YEAR(CM$46)-YEAR('融资租赁与资金缺口'!$F$14))*12+MONTH(CM$46)-MONTH('融资租赁与资金缺口'!$F$14)),'融资租赁与资金缺口'!$E$14*(1+'融资租赁与资金缺口'!$I$14)^((YEAR(CM$46)-YEAR('融资租赁与资金缺口'!$F$14))*12+MONTH(CM$46)-MONTH('融资租赁与资金缺口'!$F$14))-IF('融资租赁与资金缺口'!$I$14=0,('融资租赁与资金缺口'!$E$14-'融资租赁与资金缺口'!$J$14)/$A17,('融资租赁与资金缺口'!$E$14-'融资租赁与资金缺口'!$J$14/(1+'融资租赁与资金缺口'!$I$14)^$A17)*'融资租赁与资金缺口'!$I$14/(1-(1+'融资租赁与资金缺口'!$I$14)^-$A17))*((1+'融资租赁与资金缺口'!$I$14)^((YEAR(CM$46)-YEAR('融资租赁与资金缺口'!$F$14))*12+MONTH(CM$46)-MONTH('融资租赁与资金缺口'!$F$14))-1)/'融资租赁与资金缺口'!$I$14))))),IF(CM$46&lt;'融资租赁与资金缺口'!$F$15,0,IF(CM$46='融资租赁与资金缺口'!$F$15,'融资租赁与资金缺口'!$E$15,IF(((YEAR(CM$46)-YEAR('融资租赁与资金缺口'!$F$15))*12+MONTH(CM$46)-MONTH('融资租赁与资金缺口'!$F$15))&gt;=$A17,0,MAX(0,IF('融资租赁与资金缺口'!$I$15=0,'融资租赁与资金缺口'!$E$15-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YEAR(CM$46)-YEAR('融资租赁与资金缺口'!$F$15))*12+MONTH(CM$46)-MONTH('融资租赁与资金缺口'!$F$15)),'融资租赁与资金缺口'!$E$15*(1+'融资租赁与资金缺口'!$I$15)^((YEAR(CM$46)-YEAR('融资租赁与资金缺口'!$F$15))*12+MONTH(CM$46)-MONTH('融资租赁与资金缺口'!$F$15))-IF('融资租赁与资金缺口'!$I$15=0,('融资租赁与资金缺口'!$E$15-'融资租赁与资金缺口'!$J$15)/$A17,('融资租赁与资金缺口'!$E$15-'融资租赁与资金缺口'!$J$15/(1+'融资租赁与资金缺口'!$I$15)^$A17)*'融资租赁与资金缺口'!$I$15/(1-(1+'融资租赁与资金缺口'!$I$15)^-$A17))*((1+'融资租赁与资金缺口'!$I$15)^((YEAR(CM$46)-YEAR('融资租赁与资金缺口'!$F$15))*12+MONTH(CM$46)-MONTH('融资租赁与资金缺口'!$F$15))-1)/'融资租赁与资金缺口'!$I$15))))),IF(CM$46&lt;'融资租赁与资金缺口'!$F$16,0,IF(CM$46='融资租赁与资金缺口'!$F$16,'融资租赁与资金缺口'!$E$16,IF(((YEAR(CM$46)-YEAR('融资租赁与资金缺口'!$F$16))*12+MONTH(CM$46)-MONTH('融资租赁与资金缺口'!$F$16))&gt;=$A17,0,MAX(0,IF('融资租赁与资金缺口'!$I$16=0,'融资租赁与资金缺口'!$E$16-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YEAR(CM$46)-YEAR('融资租赁与资金缺口'!$F$16))*12+MONTH(CM$46)-MONTH('融资租赁与资金缺口'!$F$16)),'融资租赁与资金缺口'!$E$16*(1+'融资租赁与资金缺口'!$I$16)^((YEAR(CM$46)-YEAR('融资租赁与资金缺口'!$F$16))*12+MONTH(CM$46)-MONTH('融资租赁与资金缺口'!$F$16))-IF('融资租赁与资金缺口'!$I$16=0,('融资租赁与资金缺口'!$E$16-'融资租赁与资金缺口'!$J$16)/$A17,('融资租赁与资金缺口'!$E$16-'融资租赁与资金缺口'!$J$16/(1+'融资租赁与资金缺口'!$I$16)^$A17)*'融资租赁与资金缺口'!$I$16/(1-(1+'融资租赁与资金缺口'!$I$16)^-$A17))*((1+'融资租赁与资金缺口'!$I$16)^((YEAR(CM$46)-YEAR('融资租赁与资金缺口'!$F$16))*12+MONTH(CM$46)-MONTH('融资租赁与资金缺口'!$F$16))-1)/'融资租赁与资金缺口'!$I$16))))))</x:f>
        <x:v>0</x:v>
      </x:c>
    </x:row>
    <x:row r="59">
      <x:c r="A59" t="str">
        <x:v>SRC-014</x:v>
      </x:c>
      <x:c r="B59" t="str">
        <x:v>长沙人口来源</x:v>
      </x:c>
      <x:c r="C59" t="str"/>
      <x:c r="D59" t="n">
        <x:v>2020</x:v>
      </x:c>
      <x:c r="E59" t="str">
        <x:v>城市人口</x:v>
      </x:c>
      <x:c r="F59" s="30" t="str">
        <x:v>长沙人口来源</x:v>
      </x:c>
      <x:c r="G59" s="77" t="str">
        <x:v>https://tjj.hunan.gov.cn/hntj/m/tjgb_1/202105/t20210519_19050124.html</x:v>
      </x:c>
      <x:c r="H59" s="30" t="str">
        <x:v>等级及排名据2025第一财经榜单；2020年七普常住人口；住建部2022年城市建设统计年鉴表2-2第446行列示同一城市口径的城区人口（含表列城区暂住人口）520.51万人、建成区面积441.68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59" s="30" t="str">
        <x:v>2026-08-16</x:v>
      </x:c>
      <x:c r="AE59" t="str">
        <x:v>DSCR</x:v>
      </x:c>
      <x:c r="AF59" s="28" t="str">
        <x:f>IF(AF57=0,"",'36月运营模型'!B$20/AF57)</x:f>
      </x:c>
      <x:c r="AG59" s="28" t="str">
        <x:f>IF(AG57=0,"",'36月运营模型'!C$20/AG57)</x:f>
      </x:c>
      <x:c r="AH59" s="28" t="n">
        <x:f>IF(AH57=0,"",'36月运营模型'!D$20/AH57)</x:f>
        <x:v>6.875344365821927</x:v>
      </x:c>
      <x:c r="AI59" s="28" t="n">
        <x:f>IF(AI57=0,"",'36月运营模型'!E$20/AI57)</x:f>
        <x:v>5.274693173313646</x:v>
      </x:c>
      <x:c r="AJ59" s="28" t="n">
        <x:f>IF(AJ57=0,"",'36月运营模型'!F$20/AJ57)</x:f>
        <x:v>4.131977028011939</x:v>
      </x:c>
      <x:c r="AK59" s="28" t="n">
        <x:f>IF(AK57=0,"",'36月运营模型'!G$20/AK57)</x:f>
        <x:v>3.1087461319818828</x:v>
      </x:c>
      <x:c r="AL59" s="28" t="n">
        <x:f>IF(AL57=0,"",'36月运营模型'!H$20/AL57)</x:f>
        <x:v>3.1038739867656036</x:v>
      </x:c>
      <x:c r="AM59" s="28" t="n">
        <x:f>IF(AM57=0,"",'36月运营模型'!I$20/AM57)</x:f>
        <x:v>2.993025197057274</x:v>
      </x:c>
      <x:c r="AN59" s="28" t="n">
        <x:f>IF(AN57=0,"",'36月运营模型'!J$20/AN57)</x:f>
        <x:v>2.9061387088250927</x:v>
      </x:c>
      <x:c r="AO59" s="28" t="n">
        <x:f>IF(AO57=0,"",'36月运营模型'!K$20/AO57)</x:f>
        <x:v>2.9826885962302403</x:v>
      </x:c>
      <x:c r="AP59" s="28" t="n">
        <x:f>IF(AP57=0,"",'36月运营模型'!L$20/AP57)</x:f>
        <x:v>2.9462354968081192</x:v>
      </x:c>
      <x:c r="AQ59" s="28" t="n">
        <x:f>IF(AQ57=0,"",'36月运营模型'!M$20/AQ57)</x:f>
        <x:v>2.7980851041815304</x:v>
      </x:c>
      <x:c r="AR59" s="28" t="n">
        <x:f>IF(AR57=0,"",'36月运营模型'!N$20/AR57)</x:f>
        <x:v>2.3758039170491023</x:v>
      </x:c>
      <x:c r="AS59" s="28" t="n">
        <x:f>IF(AS57=0,"",'36月运营模型'!O$20/AS57)</x:f>
        <x:v>2.1626206626393456</x:v>
      </x:c>
      <x:c r="AT59" s="28" t="n">
        <x:f>IF(AT57=0,"",'36月运营模型'!P$20/AT57)</x:f>
        <x:v>2.2306092633084265</x:v>
      </x:c>
      <x:c r="AU59" s="28" t="n">
        <x:f>IF(AU57=0,"",'36月运营模型'!Q$20/AU57)</x:f>
        <x:v>2.480883884630916</x:v>
      </x:c>
      <x:c r="AV59" s="28" t="n">
        <x:f>IF(AV57=0,"",'36月运营模型'!R$20/AV57)</x:f>
        <x:v>2.2679364248671328</x:v>
      </x:c>
      <x:c r="AW59" s="28" t="n">
        <x:f>IF(AW57=0,"",'36月运营模型'!S$20/AW57)</x:f>
        <x:v>1.9213466854447998</x:v>
      </x:c>
      <x:c r="AX59" s="28" t="n">
        <x:f>IF(AX57=0,"",'36月运营模型'!T$20/AX57)</x:f>
        <x:v>1.9562220260873144</x:v>
      </x:c>
      <x:c r="AY59" s="28" t="n">
        <x:f>IF(AY57=0,"",'36月运营模型'!U$20/AY57)</x:f>
        <x:v>1.9814737389138724</x:v>
      </x:c>
      <x:c r="AZ59" s="28" t="n">
        <x:f>IF(AZ57=0,"",'36月运营模型'!V$20/AZ57)</x:f>
        <x:v>2.0336844624563786</x:v>
      </x:c>
      <x:c r="BA59" s="28" t="n">
        <x:f>IF(BA57=0,"",'36月运营模型'!W$20/BA57)</x:f>
        <x:v>2.187366986249198</x:v>
      </x:c>
      <x:c r="BB59" s="28" t="n">
        <x:f>IF(BB57=0,"",'36月运营模型'!X$20/BB57)</x:f>
        <x:v>2.342490127160437</x:v>
      </x:c>
      <x:c r="BC59" s="28" t="n">
        <x:f>IF(BC57=0,"",'36月运营模型'!Y$20/BC57)</x:f>
        <x:v>2.4240954578414082</x:v>
      </x:c>
      <x:c r="BD59" s="28" t="n">
        <x:f>IF(BD57=0,"",'36月运营模型'!Z$20/BD57)</x:f>
        <x:v>2.2632143835831298</x:v>
      </x:c>
      <x:c r="BE59" s="28" t="n">
        <x:f>IF(BE57=0,"",'36月运营模型'!AA$20/BE57)</x:f>
        <x:v>2.202485652957883</x:v>
      </x:c>
      <x:c r="BF59" s="28" t="n">
        <x:f>IF(BF57=0,"",'36月运营模型'!AB$20/BF57)</x:f>
        <x:v>2.2467861233968835</x:v>
      </x:c>
      <x:c r="BG59" s="28" t="n">
        <x:f>IF(BG57=0,"",'36月运营模型'!AC$20/BG57)</x:f>
        <x:v>2.485357528181643</x:v>
      </x:c>
      <x:c r="BH59" s="28" t="n">
        <x:f>IF(BH57=0,"",'36月运营模型'!AD$20/BH57)</x:f>
        <x:v>2.2679364248671328</x:v>
      </x:c>
      <x:c r="BI59" s="28" t="n">
        <x:f>IF(BI57=0,"",'36月运营模型'!AE$20/BI57)</x:f>
        <x:v>1.8550933514639445</x:v>
      </x:c>
      <x:c r="BJ59" s="28" t="n">
        <x:f>IF(BJ57=0,"",'36月运营模型'!AF$20/BJ57)</x:f>
        <x:v>1.9562220260873144</x:v>
      </x:c>
      <x:c r="BK59" s="28" t="n">
        <x:f>IF(BK57=0,"",'36月运营模型'!AG$20/BK57)</x:f>
        <x:v>1.9814737389138724</x:v>
      </x:c>
      <x:c r="BL59" s="28" t="n">
        <x:f>IF(BL57=0,"",'36月运营模型'!AH$20/BL57)</x:f>
        <x:v>2.0336844624563786</x:v>
      </x:c>
      <x:c r="BM59" s="28" t="n">
        <x:f>IF(BM57=0,"",'36月运营模型'!AI$20/BM57)</x:f>
        <x:v>2.187366986249198</x:v>
      </x:c>
      <x:c r="BN59" s="28" t="n">
        <x:f>IF(BN57=0,"",'36月运营模型'!AJ$20/BN57)</x:f>
        <x:v>2.342490127160437</x:v>
      </x:c>
      <x:c r="BO59" s="28" t="n">
        <x:f>IF(BO57=0,"",'36月运营模型'!AK$20/BO57)</x:f>
        <x:v>2.4240954578414082</x:v>
      </x:c>
      <x:c r="BP59" s="28" t="n">
        <x:f>IF(BP57=0,"",'36月运营模型'!AL$20/BP57)</x:f>
        <x:v>2.2632143835831298</x:v>
      </x:c>
      <x:c r="BQ59" s="28" t="n">
        <x:f>IF(BQ57=0,"",'36月运营模型'!AM$20/BQ57)</x:f>
        <x:v>2.1729080950924016</x:v>
      </x:c>
      <x:c r="BR59" s="28" t="n">
        <x:f>IF(BR57=0,"",'36月运营模型'!AN$20/BR57)</x:f>
        <x:v>2.3067587394329983</x:v>
      </x:c>
      <x:c r="BS59" s="28" t="n">
        <x:f>IF(BS57=0,"",'36月运营模型'!AO$20/BS57)</x:f>
        <x:v>2.684125395892824</x:v>
      </x:c>
      <x:c r="BT59" s="28" t="n">
        <x:f>IF(BT57=0,"",'36月运营模型'!AP$20/BT57)</x:f>
        <x:v>2.608122992770349</x:v>
      </x:c>
      <x:c r="BU59" s="28" t="n">
        <x:f>IF(BU57=0,"",'36月运营模型'!AQ$20/BU57)</x:f>
        <x:v>2.3051355918531886</x:v>
      </x:c>
      <x:c r="BV59" s="28" t="n">
        <x:f>IF(BV57=0,"",'36月运营模型'!AR$20/BV57)</x:f>
        <x:v>2.674102091315861</x:v>
      </x:c>
      <x:c r="BW59" s="28" t="n">
        <x:f>IF(BW57=0,"",'36月运营模型'!AS$20/BW57)</x:f>
        <x:v>3.049102807034249</x:v>
      </x:c>
      <x:c r="BX59" s="28" t="n">
        <x:f>IF(BX57=0,"",'36月运营模型'!AT$20/BX57)</x:f>
        <x:v>3.6496562675364688</x:v>
      </x:c>
      <x:c r="BY59" s="28" t="n">
        <x:f>IF(BY57=0,"",'36月运营模型'!AU$20/BY57)</x:f>
        <x:v>4.629019942436731</x:v>
      </x:c>
      <x:c r="BZ59" s="28" t="n">
        <x:f>IF(BZ57=0,"",'36月运营模型'!AV$20/BZ57)</x:f>
        <x:v>6.55303928690009</x:v>
      </x:c>
      <x:c r="CA59" s="28" t="n">
        <x:f>IF(CA57=0,"",'36月运营模型'!AW$20/CA57)</x:f>
        <x:v>10.595506769065967</x:v>
      </x:c>
      <x:c r="CB59" s="28" t="n">
        <x:f>IF(CB57=0,"",'36月运营模型'!AX$20/CB57)</x:f>
        <x:v>20.674563044452665</x:v>
      </x:c>
      <x:c r="CC59" s="28" t="str">
        <x:f>IF(CC57=0,"",'36月运营模型'!AY$20/CC57)</x:f>
      </x:c>
      <x:c r="CD59" s="28" t="str">
        <x:f>IF(CD57=0,"",'36月运营模型'!AZ$20/CD57)</x:f>
      </x:c>
      <x:c r="CE59" s="28" t="str">
        <x:f>IF(CE57=0,"",'36月运营模型'!BA$20/CE57)</x:f>
      </x:c>
      <x:c r="CF59" s="28" t="str">
        <x:f>IF(CF57=0,"",'36月运营模型'!BB$20/CF57)</x:f>
      </x:c>
      <x:c r="CG59" s="28" t="str">
        <x:f>IF(CG57=0,"",'36月运营模型'!BC$20/CG57)</x:f>
      </x:c>
      <x:c r="CH59" s="28" t="str">
        <x:f>IF(CH57=0,"",'36月运营模型'!BD$20/CH57)</x:f>
      </x:c>
      <x:c r="CI59" s="28" t="str">
        <x:f>IF(CI57=0,"",'36月运营模型'!BE$20/CI57)</x:f>
      </x:c>
      <x:c r="CJ59" s="28" t="str">
        <x:f>IF(CJ57=0,"",'36月运营模型'!BF$20/CJ57)</x:f>
      </x:c>
      <x:c r="CK59" s="28" t="str">
        <x:f>IF(CK57=0,"",'36月运营模型'!BG$20/CK57)</x:f>
      </x:c>
      <x:c r="CL59" s="28" t="str">
        <x:f>IF(CL57=0,"",'36月运营模型'!BH$20/CL57)</x:f>
      </x:c>
      <x:c r="CM59" s="28" t="str">
        <x:f>IF(CM57=0,"",'36月运营模型'!BI$20/CM57)</x:f>
      </x:c>
    </x:row>
    <x:row r="60">
      <x:c r="A60" t="str">
        <x:v>SRC-015</x:v>
      </x:c>
      <x:c r="B60" t="str">
        <x:v>郑州人口来源</x:v>
      </x:c>
      <x:c r="C60" t="str"/>
      <x:c r="D60" t="n">
        <x:v>2020</x:v>
      </x:c>
      <x:c r="E60" t="str">
        <x:v>城市人口</x:v>
      </x:c>
      <x:c r="F60" s="30" t="str">
        <x:v>郑州人口来源</x:v>
      </x:c>
      <x:c r="G60" s="77" t="str">
        <x:v>https://tjj.zhengzhou.gov.cn/tjgb/5012681.jhtml</x:v>
      </x:c>
      <x:c r="H60" s="30" t="str">
        <x:v>等级及排名据2025第一财经榜单；2020年七普常住人口；住建部2022年城市建设统计年鉴表2-2第367行列示同一城市口径的城区人口（含表列城区暂住人口）766.75万人、建成区面积729.12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60" s="30" t="str">
        <x:v>2026-08-16</x:v>
      </x:c>
      <x:c r="AE60" t="str">
        <x:v>注资前累计现金</x:v>
      </x:c>
      <x:c r="AF60" s="28" t="n">
        <x:f>'核心假设'!$B$39+'36月运营模型'!B$20-'融资租赁与资金缺口'!B$103-AF57+'融资租赁与资金缺口'!B$105</x:f>
        <x:v>1146839.7707964361</x:v>
      </x:c>
      <x:c r="AG60" s="28" t="n">
        <x:f>AF60+'36月运营模型'!C$20-'融资租赁与资金缺口'!C$103-AG57+'融资租赁与资金缺口'!C$105</x:f>
        <x:v>101203.11320460588</x:v>
      </x:c>
      <x:c r="AH60" s="28" t="n">
        <x:f>AG60+'36月运营模型'!D$20-'融资租赁与资金缺口'!D$103-AH57+'融资租赁与资金缺口'!D$105</x:f>
        <x:v>-229020.49134148657</x:v>
      </x:c>
      <x:c r="AI60" s="28" t="n">
        <x:f>AH60+'36月运营模型'!E$20-'融资租赁与资金缺口'!E$103-AI57+'融资租赁与资金缺口'!E$105</x:f>
        <x:v>1220209.613481287</x:v>
      </x:c>
      <x:c r="AJ60" s="28" t="n">
        <x:f>AI60+'36月运营模型'!F$20-'融资租赁与资金缺口'!F$103-AJ57+'融资租赁与资金缺口'!F$105</x:f>
        <x:v>3249184.414196238</x:v>
      </x:c>
      <x:c r="AK60" s="28" t="n">
        <x:f>AJ60+'36月运营模型'!G$20-'融资租赁与资金缺口'!G$103-AK57+'融资租赁与资金缺口'!G$105</x:f>
        <x:v>4303140.846792005</x:v>
      </x:c>
      <x:c r="AL60" s="28" t="n">
        <x:f>AK60+'36月运营模型'!H$20-'融资租赁与资金缺口'!H$103-AL57+'融资租赁与资金缺口'!H$105</x:f>
        <x:v>7287327.393798389</x:v>
      </x:c>
      <x:c r="AM60" s="28" t="n">
        <x:f>AL60+'36月运营模型'!I$20-'融资租赁与资金缺口'!I$103-AM57+'融资租赁与资金缺口'!I$105</x:f>
        <x:v>11827687.086174868</x:v>
      </x:c>
      <x:c r="AN60" s="28" t="n">
        <x:f>AM60+'36月运营模型'!J$20-'融资租赁与资金缺口'!J$103-AN57+'融资租赁与资金缺口'!J$105</x:f>
        <x:v>18792768.410276745</x:v>
      </x:c>
      <x:c r="AO60" s="28" t="n">
        <x:f>AN60+'36月运营模型'!K$20-'融资租赁与资金缺口'!K$103-AO57+'融资租赁与资金缺口'!K$105</x:f>
        <x:v>25610972.19147493</x:v>
      </x:c>
      <x:c r="AP60" s="28" t="n">
        <x:f>AO60+'36月运营模型'!L$20-'融资租赁与资金缺口'!L$103-AP57+'融资租赁与资金缺口'!L$105</x:f>
        <x:v>34547270.50039184</x:v>
      </x:c>
      <x:c r="AQ60" s="28" t="n">
        <x:f>AP60+'36月运营模型'!M$20-'融资租赁与资金缺口'!M$103-AQ57+'融资租赁与资金缺口'!M$105</x:f>
        <x:v>47049060.023262076</x:v>
      </x:c>
      <x:c r="AR60" s="28" t="n">
        <x:f>AQ60+'36月运营模型'!N$20-'融资租赁与资金缺口'!N$103-AR57+'融资租赁与资金缺口'!N$105</x:f>
        <x:v>59362989.26701887</x:v>
      </x:c>
      <x:c r="AS60" s="28" t="n">
        <x:f>AR60+'36月运营模型'!O$20-'融资租赁与资金缺口'!O$103-AS57+'融资租赁与资金缺口'!O$105</x:f>
        <x:v>79000834.5066077</x:v>
      </x:c>
      <x:c r="AT60" s="28" t="n">
        <x:f>AS60+'36月运营模型'!P$20-'融资租赁与资金缺口'!P$103-AT57+'融资租赁与资金缺口'!P$105</x:f>
        <x:v>99787076.3478573</x:v>
      </x:c>
      <x:c r="AU60" s="28" t="n">
        <x:f>AT60+'36月运营模型'!Q$20-'融资租赁与资金缺口'!Q$103-AU57+'融资租赁与资金缺口'!Q$105</x:f>
        <x:v>124800711.04291202</x:v>
      </x:c>
      <x:c r="AV60" s="28" t="n">
        <x:f>AU60+'36月运营模型'!R$20-'融资租赁与资金缺口'!R$103-AV57+'融资租赁与资金缺口'!R$105</x:f>
        <x:v>146217446.60019356</x:v>
      </x:c>
      <x:c r="AW60" s="28" t="n">
        <x:f>AV60+'36月运营模型'!S$20-'融资租赁与资金缺口'!S$103-AW57+'融资租赁与资金缺口'!S$105</x:f>
        <x:v>161779929.017888</x:v>
      </x:c>
      <x:c r="AX60" s="28" t="n">
        <x:f>AW60+'36月运营模型'!T$20-'融资租赁与资金缺口'!T$103-AX57+'融资租赁与资金缺口'!T$105</x:f>
        <x:v>177931491.40312827</x:v>
      </x:c>
      <x:c r="AY60" s="28" t="n">
        <x:f>AX60+'36月运营模型'!U$20-'融资租赁与资金缺口'!U$103-AY57+'融资租赁与资金缺口'!U$105</x:f>
        <x:v>194509580.8960123</x:v>
      </x:c>
      <x:c r="AZ60" s="28" t="n">
        <x:f>AY60+'36月运营模型'!V$20-'融资租赁与资金缺口'!V$103-AZ57+'融资租赁与资金缺口'!V$105</x:f>
        <x:v>211969562.60165566</x:v>
      </x:c>
      <x:c r="BA60" s="28" t="n">
        <x:f>AZ60+'36月运营模型'!W$20-'融资租赁与资金缺口'!W$103-BA57+'融资租赁与资金缺口'!W$105</x:f>
        <x:v>232025398.4110971</x:v>
      </x:c>
      <x:c r="BB60" s="28" t="n">
        <x:f>BA60+'36月运营模型'!X$20-'融资租赁与资金缺口'!X$103-BB57+'融资租赁与资金缺口'!X$105</x:f>
        <x:v>254701421.81240386</x:v>
      </x:c>
      <x:c r="BC60" s="28" t="n">
        <x:f>BB60+'36月运营模型'!Y$20-'融资租赁与资金缺口'!Y$103-BC57+'融资租赁与资金缺口'!Y$105</x:f>
        <x:v>278755842.231875</x:v>
      </x:c>
      <x:c r="BD60" s="28" t="n">
        <x:f>BC60+'36月运营模型'!Z$20-'融资租赁与资金缺口'!Z$103-BD57+'融资租赁与资金缺口'!Z$105</x:f>
        <x:v>300092817.71011263</x:v>
      </x:c>
      <x:c r="BE60" s="28" t="n">
        <x:f>BD60+'36月运营模型'!AA$20-'融资租赁与资金缺口'!AA$103-BE57+'融资租赁与资金缺口'!AA$105</x:f>
        <x:v>320404023.1741584</x:v>
      </x:c>
      <x:c r="BF60" s="28" t="n">
        <x:f>BE60+'36月运营模型'!AB$20-'融资租赁与资金缺口'!AB$103-BF57+'融资租赁与资金缺口'!AB$105</x:f>
        <x:v>341463508.63225406</x:v>
      </x:c>
      <x:c r="BG60" s="28" t="n">
        <x:f>BF60+'36月运营模型'!AC$20-'融资租赁与资金缺口'!AC$103-BG57+'融资租赁与资金缺口'!AC$105</x:f>
        <x:v>366552707.7160466</x:v>
      </x:c>
      <x:c r="BH60" s="28" t="n">
        <x:f>BG60+'36月运营模型'!AD$20-'融资租赁与资金缺口'!AD$103-BH57+'融资租赁与资金缺口'!AD$105</x:f>
        <x:v>387969443.2733281</x:v>
      </x:c>
      <x:c r="BI60" s="28" t="n">
        <x:f>BH60+'36月运营模型'!AE$20-'融资租赁与资金缺口'!AE$103-BI57+'融资租赁与资金缺口'!AE$105</x:f>
        <x:v>402412839.5082868</x:v>
      </x:c>
      <x:c r="BJ60" s="28" t="n">
        <x:f>BI60+'36月运营模型'!AF$20-'融资租赁与资金缺口'!AF$103-BJ57+'融资租赁与资金缺口'!AF$105</x:f>
        <x:v>418564401.89352703</x:v>
      </x:c>
      <x:c r="BK60" s="28" t="n">
        <x:f>BJ60+'36月运营模型'!AG$20-'融资租赁与资金缺口'!AG$103-BK57+'融资租赁与资金缺口'!AG$105</x:f>
        <x:v>435142491.3864111</x:v>
      </x:c>
      <x:c r="BL60" s="28" t="n">
        <x:f>BK60+'36月运营模型'!AH$20-'融资租赁与资金缺口'!AH$103-BL57+'融资租赁与资金缺口'!AH$105</x:f>
        <x:v>452602473.0920544</x:v>
      </x:c>
      <x:c r="BM60" s="28" t="n">
        <x:f>BL60+'36月运营模型'!AI$20-'融资租赁与资金缺口'!AI$103-BM57+'融资租赁与资金缺口'!AI$105</x:f>
        <x:v>472658308.9014959</x:v>
      </x:c>
      <x:c r="BN60" s="28" t="n">
        <x:f>BM60+'36月运营模型'!AJ$20-'融资租赁与资金缺口'!AJ$103-BN57+'融资租赁与资金缺口'!AJ$105</x:f>
        <x:v>495334332.3028026</x:v>
      </x:c>
      <x:c r="BO60" s="28" t="n">
        <x:f>BN60+'36月运营模型'!AK$20-'融资租赁与资金缺口'!AK$103-BO57+'融资租赁与资金缺口'!AK$105</x:f>
        <x:v>519388752.72227377</x:v>
      </x:c>
      <x:c r="BP60" s="28" t="n">
        <x:f>BO60+'36月运营模型'!AL$20-'融资租赁与资金缺口'!AL$103-BP57+'融资租赁与资金缺口'!AL$105</x:f>
        <x:v>540725728.2005115</x:v>
      </x:c>
      <x:c r="BQ60" s="28" t="n">
        <x:f>BP60+'36月运营模型'!AM$20-'融资租赁与资金缺口'!AM$103-BQ57+'融资租赁与资金缺口'!AM$105</x:f>
        <x:v>560807013.6645573</x:v>
      </x:c>
      <x:c r="BR60" s="28" t="n">
        <x:f>BQ60+'36月运营模型'!AN$20-'融资租赁与资金缺口'!AN$103-BR57+'融资租赁与资金缺口'!AN$105</x:f>
        <x:v>582305642.7801954</x:v>
      </x:c>
      <x:c r="BS60" s="28" t="n">
        <x:f>BR60+'36月运营模型'!AO$20-'融资租赁与资金缺口'!AO$103-BS57+'融资租赁与资金缺口'!AO$105</x:f>
        <x:v>608645674.4123387</x:v>
      </x:c>
      <x:c r="BT60" s="28" t="n">
        <x:f>BS60+'36月运营模型'!AP$20-'融资租赁与资金缺口'!AP$103-BT57+'融资租赁与资金缺口'!AP$105</x:f>
        <x:v>632265564.1449754</x:v>
      </x:c>
      <x:c r="BU60" s="28" t="n">
        <x:f>BT60+'36月运营模型'!AQ$20-'融资租赁与资金缺口'!AQ$103-BU57+'融资租赁与资金缺口'!AQ$105</x:f>
        <x:v>650006671.4155596</x:v>
      </x:c>
      <x:c r="BV60" s="28" t="n">
        <x:f>BU60+'36月运营模型'!AR$20-'融资租赁与资金缺口'!AR$103-BV57+'融资租赁与资金缺口'!AR$105</x:f>
        <x:v>670692736.929962</x:v>
      </x:c>
      <x:c r="BW60" s="28" t="n">
        <x:f>BV60+'36月运营模型'!AS$20-'融资租赁与资金缺口'!AS$103-BW57+'融资租赁与资金缺口'!AS$105</x:f>
        <x:v>693185136.8788111</x:v>
      </x:c>
      <x:c r="BX60" s="28" t="n">
        <x:f>BW60+'36月运营模型'!AT$20-'融资租赁与资金缺口'!AT$103-BX57+'融资租赁与资金缺口'!AT$105</x:f>
        <x:v>718124016.6063474</x:v>
      </x:c>
      <x:c r="BY60" s="28" t="n">
        <x:f>BX60+'36月运营模型'!AU$20-'融资租赁与资金缺口'!AU$103-BY57+'融资租赁与资金缺口'!AU$105</x:f>
        <x:v>747089298.0036099</x:v>
      </x:c>
      <x:c r="BZ60" s="28" t="n">
        <x:f>BY60+'36月运营模型'!AV$20-'融资租赁与资金缺口'!AV$103-BZ57+'融资租赁与资金缺口'!AV$105</x:f>
        <x:v>780618370.4748844</x:v>
      </x:c>
      <x:c r="CA60" s="28" t="n">
        <x:f>BZ60+'36月运营模型'!AW$20-'融资租赁与资金缺口'!AW$103-CA57+'融资租赁与资金缺口'!AW$105</x:f>
        <x:v>817699392.5862834</x:v>
      </x:c>
      <x:c r="CB60" s="28" t="n">
        <x:f>CA60+'36月运营模型'!AX$20-'融资租赁与资金缺口'!AX$103-CB57+'融资租赁与资金缺口'!AX$105</x:f>
        <x:v>854078349.8648578</x:v>
      </x:c>
      <x:c r="CC60" s="28" t="n">
        <x:f>CB60+'36月运营模型'!AY$20-'融资租赁与资金缺口'!AY$103-CC57+'融资租赁与资金缺口'!AY$105</x:f>
        <x:v>891280572.2105472</x:v>
      </x:c>
      <x:c r="CD60" s="28" t="n">
        <x:f>CC60+'36月运营模型'!AZ$20-'融资租赁与资金缺口'!AZ$103-CD57+'融资租赁与资金缺口'!AZ$105</x:f>
        <x:v>929231074.5502865</x:v>
      </x:c>
      <x:c r="CE60" s="28" t="n">
        <x:f>CD60+'36月运营模型'!BA$20-'融资租赁与资金缺口'!BA$103-CE57+'融资租赁与资金缺口'!BA$105</x:f>
        <x:v>971211290.5157226</x:v>
      </x:c>
      <x:c r="CF60" s="28" t="n">
        <x:f>CE60+'36月运营模型'!BB$20-'融资租赁与资金缺口'!BB$103-CF57+'融资租赁与资金缺口'!BB$105</x:f>
        <x:v>1009519042.9546478</x:v>
      </x:c>
      <x:c r="CG60" s="28" t="n">
        <x:f>CF60+'36月运营模型'!BC$20-'融资租赁与资金缺口'!BC$103-CG57+'融资租赁与资金缺口'!BC$105</x:f>
        <x:v>1040853456.0712501</x:v>
      </x:c>
      <x:c r="CH60" s="28" t="n">
        <x:f>CG60+'36月运营模型'!BD$20-'融资租赁与资金缺口'!BD$103-CH57+'融资租赁与资金缺口'!BD$105</x:f>
        <x:v>1073896035.3381338</x:v>
      </x:c>
      <x:c r="CI60" s="28" t="n">
        <x:f>CH60+'36月运营模型'!BE$20-'融资租赁与资金缺口'!BE$103-CI57+'融资租赁与资金缺口'!BE$105</x:f>
        <x:v>1107365141.7126615</x:v>
      </x:c>
      <x:c r="CJ60" s="28" t="n">
        <x:f>CI60+'36月运营模型'!BF$20-'融资租赁与资金缺口'!BF$103-CJ57+'融资租赁与资金缺口'!BF$105</x:f>
        <x:v>1141716140.2999485</x:v>
      </x:c>
      <x:c r="CK60" s="28" t="n">
        <x:f>CJ60+'36月运营模型'!BG$20-'融资租赁与资金缺口'!BG$103-CK57+'融资租赁与资金缺口'!BG$105</x:f>
        <x:v>1178662992.9910336</x:v>
      </x:c>
      <x:c r="CL60" s="28" t="n">
        <x:f>CK60+'36月运营模型'!BH$20-'融资租赁与资金缺口'!BH$103-CL57+'融资租赁与资金缺口'!BH$105</x:f>
        <x:v>1218230033.273984</x:v>
      </x:c>
      <x:c r="CM60" s="28" t="n">
        <x:f>CL60+'36月运营模型'!BI$20-'融资租赁与资金缺口'!BI$103-CM57+'融资租赁与资金缺口'!BI$105</x:f>
        <x:v>1259175470.5750988</x:v>
      </x:c>
    </x:row>
    <x:row r="61">
      <x:c r="A61" t="str">
        <x:v>SRC-016</x:v>
      </x:c>
      <x:c r="B61" t="str">
        <x:v>天津人口来源</x:v>
      </x:c>
      <x:c r="C61" t="str"/>
      <x:c r="D61" t="n">
        <x:v>2020</x:v>
      </x:c>
      <x:c r="E61" t="str">
        <x:v>城市人口</x:v>
      </x:c>
      <x:c r="F61" s="30" t="str">
        <x:v>天津人口来源</x:v>
      </x:c>
      <x:c r="G61" s="77" t="str">
        <x:v>https://stats.tj.gov.cn/tjsj_52032/tjgb/202105/t20210521_5457266.html</x:v>
      </x:c>
      <x:c r="H61" s="30" t="str">
        <x:v>等级及排名据2025第一财经榜单；2020年七普常住人口；住建部2022年城市建设统计年鉴表2-2第10行列示同一城市口径的城区人口（含表列城区暂住人口）1160.07万人、建成区面积1264.46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61" s="30" t="str">
        <x:v>2026-08-16</x:v>
      </x:c>
      <x:c r="AF61" s="28"/>
      <x:c r="AG61" s="28"/>
      <x:c r="AH61" s="28"/>
      <x:c r="AI61" s="28"/>
      <x:c r="AJ61" s="28"/>
      <x:c r="AK61" s="28"/>
      <x:c r="AL61" s="28"/>
      <x:c r="AM61" s="28"/>
      <x:c r="AN61" s="28"/>
      <x:c r="AO61" s="28"/>
      <x:c r="AP61" s="28"/>
      <x:c r="AQ61" s="28"/>
      <x:c r="AR61" s="28"/>
      <x:c r="AS61" s="28"/>
      <x:c r="AT61" s="28"/>
      <x:c r="AU61" s="28"/>
      <x:c r="AV61" s="28"/>
      <x:c r="AW61" s="28"/>
      <x:c r="AX61" s="28"/>
      <x:c r="AY61" s="28"/>
      <x:c r="AZ61" s="28"/>
      <x:c r="BA61" s="28"/>
      <x:c r="BB61" s="28"/>
      <x:c r="BC61" s="28"/>
      <x:c r="BD61" s="28"/>
      <x:c r="BE61" s="28"/>
      <x:c r="BF61" s="28"/>
      <x:c r="BG61" s="28"/>
      <x:c r="BH61" s="28"/>
      <x:c r="BI61" s="28"/>
      <x:c r="BJ61" s="28"/>
      <x:c r="BK61" s="28"/>
      <x:c r="BL61" s="28"/>
      <x:c r="BM61" s="28"/>
      <x:c r="BN61" s="28"/>
      <x:c r="BO61" s="28"/>
      <x:c r="BP61" s="28"/>
      <x:c r="BQ61" s="28"/>
      <x:c r="BR61" s="28"/>
      <x:c r="BS61" s="28"/>
      <x:c r="BT61" s="28"/>
      <x:c r="BU61" s="28"/>
      <x:c r="BV61" s="28"/>
      <x:c r="BW61" s="28"/>
      <x:c r="BX61" s="28"/>
      <x:c r="BY61" s="28"/>
      <x:c r="BZ61" s="28"/>
      <x:c r="CA61" s="28"/>
      <x:c r="CB61" s="28"/>
      <x:c r="CC61" s="28"/>
      <x:c r="CD61" s="28"/>
      <x:c r="CE61" s="28"/>
      <x:c r="CF61" s="28"/>
      <x:c r="CG61" s="28"/>
      <x:c r="CH61" s="28"/>
      <x:c r="CI61" s="28"/>
      <x:c r="CJ61" s="28"/>
      <x:c r="CK61" s="28"/>
      <x:c r="CL61" s="28"/>
      <x:c r="CM61" s="28"/>
    </x:row>
    <x:row r="62">
      <x:c r="A62" t="str">
        <x:v>SRC-017</x:v>
      </x:c>
      <x:c r="B62" t="str">
        <x:v>合肥人口来源</x:v>
      </x:c>
      <x:c r="C62" t="str"/>
      <x:c r="D62" t="n">
        <x:v>2020</x:v>
      </x:c>
      <x:c r="E62" t="str">
        <x:v>城市人口</x:v>
      </x:c>
      <x:c r="F62" s="30" t="str">
        <x:v>合肥人口来源</x:v>
      </x:c>
      <x:c r="G62" s="77" t="str">
        <x:v>https://tjj.wuhu.gov.cn/tjxx/tjfx/8282011.html</x:v>
      </x:c>
      <x:c r="H62" s="30" t="str">
        <x:v>等级及排名据2025第一财经榜单；2020年七普常住人口；住建部2022年城市建设统计年鉴表2-2第253行列示同一城市口径的城区人口（含表列城区暂住人口）650.4万人、建成区面积506.6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62" s="30" t="str">
        <x:v>2026-08-16</x:v>
      </x:c>
      <x:c r="AF62" s="28"/>
      <x:c r="AG62" s="28"/>
      <x:c r="AH62" s="28"/>
      <x:c r="AI62" s="28"/>
      <x:c r="AJ62" s="28"/>
      <x:c r="AK62" s="28"/>
      <x:c r="AL62" s="28"/>
      <x:c r="AM62" s="28"/>
      <x:c r="AN62" s="28"/>
      <x:c r="AO62" s="28"/>
      <x:c r="AP62" s="28"/>
      <x:c r="AQ62" s="28"/>
      <x:c r="AR62" s="28"/>
      <x:c r="AS62" s="28"/>
      <x:c r="AT62" s="28"/>
      <x:c r="AU62" s="28"/>
      <x:c r="AV62" s="28"/>
      <x:c r="AW62" s="28"/>
      <x:c r="AX62" s="28"/>
      <x:c r="AY62" s="28"/>
      <x:c r="AZ62" s="28"/>
      <x:c r="BA62" s="28"/>
      <x:c r="BB62" s="28"/>
      <x:c r="BC62" s="28"/>
      <x:c r="BD62" s="28"/>
      <x:c r="BE62" s="28"/>
      <x:c r="BF62" s="28"/>
      <x:c r="BG62" s="28"/>
      <x:c r="BH62" s="28"/>
      <x:c r="BI62" s="28"/>
      <x:c r="BJ62" s="28"/>
      <x:c r="BK62" s="28"/>
      <x:c r="BL62" s="28"/>
      <x:c r="BM62" s="28"/>
      <x:c r="BN62" s="28"/>
      <x:c r="BO62" s="28"/>
      <x:c r="BP62" s="28"/>
      <x:c r="BQ62" s="28"/>
      <x:c r="BR62" s="28"/>
      <x:c r="BS62" s="28"/>
      <x:c r="BT62" s="28"/>
      <x:c r="BU62" s="28"/>
      <x:c r="BV62" s="28"/>
      <x:c r="BW62" s="28"/>
      <x:c r="BX62" s="28"/>
      <x:c r="BY62" s="28"/>
      <x:c r="BZ62" s="28"/>
      <x:c r="CA62" s="28"/>
      <x:c r="CB62" s="28"/>
      <x:c r="CC62" s="28"/>
      <x:c r="CD62" s="28"/>
      <x:c r="CE62" s="28"/>
      <x:c r="CF62" s="28"/>
      <x:c r="CG62" s="28"/>
      <x:c r="CH62" s="28"/>
      <x:c r="CI62" s="28"/>
      <x:c r="CJ62" s="28"/>
      <x:c r="CK62" s="28"/>
      <x:c r="CL62" s="28"/>
      <x:c r="CM62" s="28"/>
    </x:row>
    <x:row r="63">
      <x:c r="A63" t="str">
        <x:v>SRC-018</x:v>
      </x:c>
      <x:c r="B63" t="str">
        <x:v>青岛人口来源</x:v>
      </x:c>
      <x:c r="C63" t="str"/>
      <x:c r="D63" t="n">
        <x:v>2020</x:v>
      </x:c>
      <x:c r="E63" t="str">
        <x:v>城市人口</x:v>
      </x:c>
      <x:c r="F63" s="30" t="str">
        <x:v>青岛人口来源</x:v>
      </x:c>
      <x:c r="G63" s="77" t="str">
        <x:v>https://tjj.shandong.gov.cn/art/2021/5/21/art_6293_10287511.html</x:v>
      </x:c>
      <x:c r="H63" s="30" t="str">
        <x:v>等级及排名据2025第一财经榜单；2020年七普常住人口；住建部2022年城市建设统计年鉴表2-2第325行列示同一城市口径的城区人口（含表列城区暂住人口）583.91万人、建成区面积761.52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63" s="30" t="str">
        <x:v>2026-08-16</x:v>
      </x:c>
      <x:c r="AF63" s="28"/>
      <x:c r="AG63" s="28"/>
      <x:c r="AH63" s="28"/>
      <x:c r="AI63" s="28"/>
      <x:c r="AJ63" s="28"/>
      <x:c r="AK63" s="28"/>
      <x:c r="AL63" s="28"/>
      <x:c r="AM63" s="28"/>
      <x:c r="AN63" s="28"/>
      <x:c r="AO63" s="28"/>
      <x:c r="AP63" s="28"/>
      <x:c r="AQ63" s="28"/>
      <x:c r="AR63" s="28"/>
      <x:c r="AS63" s="28"/>
      <x:c r="AT63" s="28"/>
      <x:c r="AU63" s="28"/>
      <x:c r="AV63" s="28"/>
      <x:c r="AW63" s="28"/>
      <x:c r="AX63" s="28"/>
      <x:c r="AY63" s="28"/>
      <x:c r="AZ63" s="28"/>
      <x:c r="BA63" s="28"/>
      <x:c r="BB63" s="28"/>
      <x:c r="BC63" s="28"/>
      <x:c r="BD63" s="28"/>
      <x:c r="BE63" s="28"/>
      <x:c r="BF63" s="28"/>
      <x:c r="BG63" s="28"/>
      <x:c r="BH63" s="28"/>
      <x:c r="BI63" s="28"/>
      <x:c r="BJ63" s="28"/>
      <x:c r="BK63" s="28"/>
      <x:c r="BL63" s="28"/>
      <x:c r="BM63" s="28"/>
      <x:c r="BN63" s="28"/>
      <x:c r="BO63" s="28"/>
      <x:c r="BP63" s="28"/>
      <x:c r="BQ63" s="28"/>
      <x:c r="BR63" s="28"/>
      <x:c r="BS63" s="28"/>
      <x:c r="BT63" s="28"/>
      <x:c r="BU63" s="28"/>
      <x:c r="BV63" s="28"/>
      <x:c r="BW63" s="28"/>
      <x:c r="BX63" s="28"/>
      <x:c r="BY63" s="28"/>
      <x:c r="BZ63" s="28"/>
      <x:c r="CA63" s="28"/>
      <x:c r="CB63" s="28"/>
      <x:c r="CC63" s="28"/>
      <x:c r="CD63" s="28"/>
      <x:c r="CE63" s="28"/>
      <x:c r="CF63" s="28"/>
      <x:c r="CG63" s="28"/>
      <x:c r="CH63" s="28"/>
      <x:c r="CI63" s="28"/>
      <x:c r="CJ63" s="28"/>
      <x:c r="CK63" s="28"/>
      <x:c r="CL63" s="28"/>
      <x:c r="CM63" s="28"/>
    </x:row>
    <x:row r="64">
      <x:c r="A64" t="str">
        <x:v>SRC-019</x:v>
      </x:c>
      <x:c r="B64" t="str">
        <x:v>沈阳人口来源</x:v>
      </x:c>
      <x:c r="C64" t="str"/>
      <x:c r="D64" t="n">
        <x:v>2020</x:v>
      </x:c>
      <x:c r="E64" t="str">
        <x:v>城市人口</x:v>
      </x:c>
      <x:c r="F64" s="30" t="str">
        <x:v>沈阳人口来源</x:v>
      </x:c>
      <x:c r="G64" s="77" t="str">
        <x:v>https://tjj.ln.gov.cn/tjj/gb/tjsj/tjgb/rkpcgb/2023110818030081821/index.shtml</x:v>
      </x:c>
      <x:c r="H64" s="30" t="str">
        <x:v>等级及排名据2025第一财经榜单；2020年七普常住人口；住建部2022年城市建设统计年鉴表2-2第89行列示同一城市口径的城区人口（含表列城区暂住人口）600万人、建成区面积573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64" s="30" t="str">
        <x:v>2026-08-16</x:v>
      </x:c>
      <x:c r="AF64" s="28"/>
      <x:c r="AG64" s="28"/>
      <x:c r="AH64" s="28"/>
      <x:c r="AI64" s="28"/>
      <x:c r="AJ64" s="28"/>
      <x:c r="AK64" s="28"/>
      <x:c r="AL64" s="28"/>
      <x:c r="AM64" s="28"/>
      <x:c r="AN64" s="28"/>
      <x:c r="AO64" s="28"/>
      <x:c r="AP64" s="28"/>
      <x:c r="AQ64" s="28"/>
      <x:c r="AR64" s="28"/>
      <x:c r="AS64" s="28"/>
      <x:c r="AT64" s="28"/>
      <x:c r="AU64" s="28"/>
      <x:c r="AV64" s="28"/>
      <x:c r="AW64" s="28"/>
      <x:c r="AX64" s="28"/>
      <x:c r="AY64" s="28"/>
      <x:c r="AZ64" s="28"/>
      <x:c r="BA64" s="28"/>
      <x:c r="BB64" s="28"/>
      <x:c r="BC64" s="28"/>
      <x:c r="BD64" s="28"/>
      <x:c r="BE64" s="28"/>
      <x:c r="BF64" s="28"/>
      <x:c r="BG64" s="28"/>
      <x:c r="BH64" s="28"/>
      <x:c r="BI64" s="28"/>
      <x:c r="BJ64" s="28"/>
      <x:c r="BK64" s="28"/>
      <x:c r="BL64" s="28"/>
      <x:c r="BM64" s="28"/>
      <x:c r="BN64" s="28"/>
      <x:c r="BO64" s="28"/>
      <x:c r="BP64" s="28"/>
      <x:c r="BQ64" s="28"/>
      <x:c r="BR64" s="28"/>
      <x:c r="BS64" s="28"/>
      <x:c r="BT64" s="28"/>
      <x:c r="BU64" s="28"/>
      <x:c r="BV64" s="28"/>
      <x:c r="BW64" s="28"/>
      <x:c r="BX64" s="28"/>
      <x:c r="BY64" s="28"/>
      <x:c r="BZ64" s="28"/>
      <x:c r="CA64" s="28"/>
      <x:c r="CB64" s="28"/>
      <x:c r="CC64" s="28"/>
      <x:c r="CD64" s="28"/>
      <x:c r="CE64" s="28"/>
      <x:c r="CF64" s="28"/>
      <x:c r="CG64" s="28"/>
      <x:c r="CH64" s="28"/>
      <x:c r="CI64" s="28"/>
      <x:c r="CJ64" s="28"/>
      <x:c r="CK64" s="28"/>
      <x:c r="CL64" s="28"/>
      <x:c r="CM64" s="28"/>
    </x:row>
    <x:row r="65">
      <x:c r="A65" t="str">
        <x:v>SRC-020</x:v>
      </x:c>
      <x:c r="B65" t="str">
        <x:v>昆明人口来源</x:v>
      </x:c>
      <x:c r="C65" t="str"/>
      <x:c r="D65" t="n">
        <x:v>2020</x:v>
      </x:c>
      <x:c r="E65" t="str">
        <x:v>城市人口</x:v>
      </x:c>
      <x:c r="F65" s="30" t="str">
        <x:v>昆明人口来源</x:v>
      </x:c>
      <x:c r="G65" s="77" t="str">
        <x:v>https://stats.yn.gov.cn/zwgk/zfxxgk/fdzdgknr/tjsj/sjjd/202105/t20210517_1204476.html</x:v>
      </x:c>
      <x:c r="H65" s="30" t="str">
        <x:v>等级及排名据2025第一财经榜单；2020年七普常住人口；住建部2022年城市建设统计年鉴表2-2第612行列示同一城市口径的城区人口（含表列城区暂住人口）467.52万人、建成区面积483.27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65" s="30" t="str">
        <x:v>2026-08-16</x:v>
      </x:c>
      <x:c r="AF65" s="28"/>
      <x:c r="AG65" s="28"/>
      <x:c r="AH65" s="28"/>
      <x:c r="AI65" s="28"/>
      <x:c r="AJ65" s="28"/>
      <x:c r="AK65" s="28"/>
      <x:c r="AL65" s="28"/>
      <x:c r="AM65" s="28"/>
      <x:c r="AN65" s="28"/>
      <x:c r="AO65" s="28"/>
      <x:c r="AP65" s="28"/>
      <x:c r="AQ65" s="28"/>
      <x:c r="AR65" s="28"/>
      <x:c r="AS65" s="28"/>
      <x:c r="AT65" s="28"/>
      <x:c r="AU65" s="28"/>
      <x:c r="AV65" s="28"/>
      <x:c r="AW65" s="28"/>
      <x:c r="AX65" s="28"/>
      <x:c r="AY65" s="28"/>
      <x:c r="AZ65" s="28"/>
      <x:c r="BA65" s="28"/>
      <x:c r="BB65" s="28"/>
      <x:c r="BC65" s="28"/>
      <x:c r="BD65" s="28"/>
      <x:c r="BE65" s="28"/>
      <x:c r="BF65" s="28"/>
      <x:c r="BG65" s="28"/>
      <x:c r="BH65" s="28"/>
      <x:c r="BI65" s="28"/>
      <x:c r="BJ65" s="28"/>
      <x:c r="BK65" s="28"/>
      <x:c r="BL65" s="28"/>
      <x:c r="BM65" s="28"/>
      <x:c r="BN65" s="28"/>
      <x:c r="BO65" s="28"/>
      <x:c r="BP65" s="28"/>
      <x:c r="BQ65" s="28"/>
      <x:c r="BR65" s="28"/>
      <x:c r="BS65" s="28"/>
      <x:c r="BT65" s="28"/>
      <x:c r="BU65" s="28"/>
      <x:c r="BV65" s="28"/>
      <x:c r="BW65" s="28"/>
      <x:c r="BX65" s="28"/>
      <x:c r="BY65" s="28"/>
      <x:c r="BZ65" s="28"/>
      <x:c r="CA65" s="28"/>
      <x:c r="CB65" s="28"/>
      <x:c r="CC65" s="28"/>
      <x:c r="CD65" s="28"/>
      <x:c r="CE65" s="28"/>
      <x:c r="CF65" s="28"/>
      <x:c r="CG65" s="28"/>
      <x:c r="CH65" s="28"/>
      <x:c r="CI65" s="28"/>
      <x:c r="CJ65" s="28"/>
      <x:c r="CK65" s="28"/>
      <x:c r="CL65" s="28"/>
      <x:c r="CM65" s="28"/>
    </x:row>
    <x:row r="66">
      <x:c r="A66" t="str">
        <x:v>SRC-021</x:v>
      </x:c>
      <x:c r="B66" t="str">
        <x:v>福州人口来源</x:v>
      </x:c>
      <x:c r="C66" t="str"/>
      <x:c r="D66" t="n">
        <x:v>2020</x:v>
      </x:c>
      <x:c r="E66" t="str">
        <x:v>城市人口</x:v>
      </x:c>
      <x:c r="F66" s="30" t="str">
        <x:v>福州人口来源</x:v>
      </x:c>
      <x:c r="G66" s="77" t="str">
        <x:v>https://tjj.fujian.gov.cn/xxgk/tjgb/202105/t20210520_5598804.htm</x:v>
      </x:c>
      <x:c r="H66" s="30" t="str">
        <x:v>等级及排名据2025第一财经榜单；2020年七普常住人口；住建部2022年城市建设统计年鉴表2-2第279行列示同一城市口径的城区人口（含表列城区暂住人口）399.86万人、建成区面积410.02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66" s="30" t="str">
        <x:v>2026-08-16</x:v>
      </x:c>
      <x:c r="AF66" s="28"/>
      <x:c r="AG66" s="28"/>
      <x:c r="AH66" s="28"/>
      <x:c r="AI66" s="28"/>
      <x:c r="AJ66" s="28"/>
      <x:c r="AK66" s="28"/>
      <x:c r="AL66" s="28"/>
      <x:c r="AM66" s="28"/>
      <x:c r="AN66" s="28"/>
      <x:c r="AO66" s="28"/>
      <x:c r="AP66" s="28"/>
      <x:c r="AQ66" s="28"/>
      <x:c r="AR66" s="28"/>
      <x:c r="AS66" s="28"/>
      <x:c r="AT66" s="28"/>
      <x:c r="AU66" s="28"/>
      <x:c r="AV66" s="28"/>
      <x:c r="AW66" s="28"/>
      <x:c r="AX66" s="28"/>
      <x:c r="AY66" s="28"/>
      <x:c r="AZ66" s="28"/>
      <x:c r="BA66" s="28"/>
      <x:c r="BB66" s="28"/>
      <x:c r="BC66" s="28"/>
      <x:c r="BD66" s="28"/>
      <x:c r="BE66" s="28"/>
      <x:c r="BF66" s="28"/>
      <x:c r="BG66" s="28"/>
      <x:c r="BH66" s="28"/>
      <x:c r="BI66" s="28"/>
      <x:c r="BJ66" s="28"/>
      <x:c r="BK66" s="28"/>
      <x:c r="BL66" s="28"/>
      <x:c r="BM66" s="28"/>
      <x:c r="BN66" s="28"/>
      <x:c r="BO66" s="28"/>
      <x:c r="BP66" s="28"/>
      <x:c r="BQ66" s="28"/>
      <x:c r="BR66" s="28"/>
      <x:c r="BS66" s="28"/>
      <x:c r="BT66" s="28"/>
      <x:c r="BU66" s="28"/>
      <x:c r="BV66" s="28"/>
      <x:c r="BW66" s="28"/>
      <x:c r="BX66" s="28"/>
      <x:c r="BY66" s="28"/>
      <x:c r="BZ66" s="28"/>
      <x:c r="CA66" s="28"/>
      <x:c r="CB66" s="28"/>
      <x:c r="CC66" s="28"/>
      <x:c r="CD66" s="28"/>
      <x:c r="CE66" s="28"/>
      <x:c r="CF66" s="28"/>
      <x:c r="CG66" s="28"/>
      <x:c r="CH66" s="28"/>
      <x:c r="CI66" s="28"/>
      <x:c r="CJ66" s="28"/>
      <x:c r="CK66" s="28"/>
      <x:c r="CL66" s="28"/>
      <x:c r="CM66" s="28"/>
    </x:row>
    <x:row r="67">
      <x:c r="A67" t="str">
        <x:v>SRC-022</x:v>
      </x:c>
      <x:c r="B67" t="str">
        <x:v>石家庄人口来源</x:v>
      </x:c>
      <x:c r="C67" t="str"/>
      <x:c r="D67" t="n">
        <x:v>2020</x:v>
      </x:c>
      <x:c r="E67" t="str">
        <x:v>城市人口</x:v>
      </x:c>
      <x:c r="F67" s="30" t="str">
        <x:v>石家庄人口来源</x:v>
      </x:c>
      <x:c r="G67" s="77" t="str">
        <x:v>https://tjj.sjz.gov.cn/columns/940d701f-5e56-4f5d-9ece-7968f6354993/202105/31/d72c2a6d-f9f9-486d-b378-f566b9c7ed21.html</x:v>
      </x:c>
      <x:c r="H67" s="30" t="str">
        <x:v>等级及排名据2025第一财经榜单；2020年七普常住人口；住建部2022年城市建设统计年鉴表2-2第12行列示同一城市口径的城区人口（含表列城区暂住人口）354.85万人、建成区面积334.52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67" s="30" t="str">
        <x:v>2026-08-16</x:v>
      </x:c>
    </x:row>
    <x:row r="68">
      <x:c r="A68" t="str">
        <x:v>SRC-023</x:v>
      </x:c>
      <x:c r="B68" t="str">
        <x:v>哈尔滨人口来源</x:v>
      </x:c>
      <x:c r="C68" t="str"/>
      <x:c r="D68" t="n">
        <x:v>2020</x:v>
      </x:c>
      <x:c r="E68" t="str">
        <x:v>城市人口</x:v>
      </x:c>
      <x:c r="F68" s="30" t="str">
        <x:v>哈尔滨人口来源</x:v>
      </x:c>
      <x:c r="G68" s="77" t="str">
        <x:v>https://tjj.hlj.gov.cn/tjj/c106780/202105/c00_30325030.shtml</x:v>
      </x:c>
      <x:c r="H68" s="30" t="str">
        <x:v>等级及排名据2025第一财经榜单；2020年七普常住人口；住建部2022年城市建设统计年鉴表2-2第151行列示同一城市口径的城区人口（含表列城区暂住人口）498.76万人、建成区面积500.44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68" s="30" t="str">
        <x:v>2026-08-16</x:v>
      </x:c>
    </x:row>
    <x:row r="69">
      <x:c r="A69" t="str">
        <x:v>SRC-024</x:v>
      </x:c>
      <x:c r="B69" t="str">
        <x:v>南宁人口来源</x:v>
      </x:c>
      <x:c r="C69" t="str"/>
      <x:c r="D69" t="n">
        <x:v>2020</x:v>
      </x:c>
      <x:c r="E69" t="str">
        <x:v>城市人口</x:v>
      </x:c>
      <x:c r="F69" s="30" t="str">
        <x:v>南宁人口来源</x:v>
      </x:c>
      <x:c r="G69" s="77" t="str">
        <x:v>https://tjj.gxzf.gov.cn/syyw/t8851196.shtml</x:v>
      </x:c>
      <x:c r="H69" s="30" t="str">
        <x:v>等级及排名据2025第一财经榜单；2020年七普常住人口；住建部2022年城市建设统计年鉴表2-2第521行列示同一城市口径的城区人口（含表列城区暂住人口）420.74万人、建成区面积442.52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69" s="30" t="str">
        <x:v>2026-08-16</x:v>
      </x:c>
    </x:row>
    <x:row r="70">
      <x:c r="A70" t="str">
        <x:v>SRC-025</x:v>
      </x:c>
      <x:c r="B70" t="str">
        <x:v>长春人口来源</x:v>
      </x:c>
      <x:c r="C70" t="str"/>
      <x:c r="D70" t="n">
        <x:v>2020</x:v>
      </x:c>
      <x:c r="E70" t="str">
        <x:v>城市人口</x:v>
      </x:c>
      <x:c r="F70" s="30" t="str">
        <x:v>长春人口来源</x:v>
      </x:c>
      <x:c r="G70" s="77" t="str">
        <x:v>https://tjj.jl.gov.cn/tjsj/qwfb/202105/t20210524_8079098.html</x:v>
      </x:c>
      <x:c r="H70" s="30" t="str">
        <x:v>等级及排名据2025第一财经榜单；2020年七普常住人口；住建部2022年城市建设统计年鉴表2-2第121行列示同一城市口径的城区人口（含表列城区暂住人口）481.42万人、建成区面积551.38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70" s="30" t="str">
        <x:v>2026-08-16</x:v>
      </x:c>
    </x:row>
    <x:row r="71">
      <x:c r="A71" t="str">
        <x:v>SRC-026</x:v>
      </x:c>
      <x:c r="B71" t="str">
        <x:v>南昌人口来源</x:v>
      </x:c>
      <x:c r="C71" t="str"/>
      <x:c r="D71" t="n">
        <x:v>2020</x:v>
      </x:c>
      <x:c r="E71" t="str">
        <x:v>城市人口</x:v>
      </x:c>
      <x:c r="F71" s="30" t="str">
        <x:v>南昌人口来源</x:v>
      </x:c>
      <x:c r="G71" s="77" t="str">
        <x:v>https://nchdz.nc.gov.cn/ncgxq/mtbd/202106/675f33a5cdfa4f8982f68e370716aa24.shtml</x:v>
      </x:c>
      <x:c r="H71" s="30" t="str">
        <x:v>等级及排名据2025第一财经榜单；2020年七普常住人口；住建部2022年城市建设统计年鉴表2-2第300行列示同一城市口径的城区人口（含表列城区暂住人口）332.37万人、建成区面积376.74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71" s="30" t="str">
        <x:v>2026-08-16</x:v>
      </x:c>
    </x:row>
    <x:row r="72">
      <x:c r="A72" t="str">
        <x:v>SRC-027</x:v>
      </x:c>
      <x:c r="B72" t="str">
        <x:v>贵阳人口来源</x:v>
      </x:c>
      <x:c r="C72" t="str"/>
      <x:c r="D72" t="n">
        <x:v>2020</x:v>
      </x:c>
      <x:c r="E72" t="str">
        <x:v>城市人口</x:v>
      </x:c>
      <x:c r="F72" s="30" t="str">
        <x:v>贵阳人口来源</x:v>
      </x:c>
      <x:c r="G72" s="77" t="str">
        <x:v>https://stjj.guizhou.gov.cn/tjsj/tjfbyjd/202109/t20210930_86400085.html</x:v>
      </x:c>
      <x:c r="H72" s="30" t="str">
        <x:v>等级及排名据2025第一财经榜单；2020年七普常住人口；住建部2022年城市建设统计年鉴表2-2第595行列示同一城市口径的城区人口（含表列城区暂住人口）297.5万人、建成区面积369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72" s="30" t="str">
        <x:v>2026-08-16</x:v>
      </x:c>
    </x:row>
    <x:row r="73">
      <x:c r="A73" t="str">
        <x:v>SRC-028</x:v>
      </x:c>
      <x:c r="B73" t="str">
        <x:v>太原人口来源</x:v>
      </x:c>
      <x:c r="C73" t="str"/>
      <x:c r="D73" t="n">
        <x:v>2020</x:v>
      </x:c>
      <x:c r="E73" t="str">
        <x:v>城市人口</x:v>
      </x:c>
      <x:c r="F73" s="30" t="str">
        <x:v>太原人口来源</x:v>
      </x:c>
      <x:c r="G73" s="77" t="str">
        <x:v>https://www.taiyuan.gov.cn/doc/2021/06/01/1096237.shtml</x:v>
      </x:c>
      <x:c r="H73" s="30" t="str">
        <x:v>等级及排名据2025第一财经榜单；2020年七普常住人口；住建部2022年城市建设统计年鉴表2-2第45行列示同一城市口径的城区人口（含表列城区暂住人口）405万人、建成区面积360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73" s="30" t="str">
        <x:v>2026-08-16</x:v>
      </x:c>
    </x:row>
    <x:row r="74">
      <x:c r="A74" t="str">
        <x:v>SRC-029</x:v>
      </x:c>
      <x:c r="B74" t="str">
        <x:v>保定人口来源</x:v>
      </x:c>
      <x:c r="C74" t="str"/>
      <x:c r="D74" t="n">
        <x:v>2020</x:v>
      </x:c>
      <x:c r="E74" t="str">
        <x:v>城市人口</x:v>
      </x:c>
      <x:c r="F74" s="30" t="str">
        <x:v>保定人口来源</x:v>
      </x:c>
      <x:c r="G74" s="77" t="str">
        <x:v>https://www.baoding.gov.cn/content-173-312950.html</x:v>
      </x:c>
      <x:c r="H74" s="30" t="str">
        <x:v>等级及排名据2025第一财经榜单；2020年七普常住人口；住建部2022年城市建设统计年鉴表2-2第25行列示同一城市口径的城区人口（含表列城区暂住人口）197.35万人、建成区面积209.78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74" s="30" t="str">
        <x:v>2026-08-16</x:v>
      </x:c>
    </x:row>
    <x:row r="75">
      <x:c r="A75" t="str">
        <x:v>SRC-030</x:v>
      </x:c>
      <x:c r="B75" t="str">
        <x:v>洛阳人口来源</x:v>
      </x:c>
      <x:c r="C75" t="str"/>
      <x:c r="D75" t="n">
        <x:v>2020</x:v>
      </x:c>
      <x:c r="E75" t="str">
        <x:v>城市人口</x:v>
      </x:c>
      <x:c r="F75" s="30" t="str">
        <x:v>洛阳人口来源</x:v>
      </x:c>
      <x:c r="G75" s="77" t="str">
        <x:v>https://lyrb.lyd.com.cn/images2/1/2021-05/21/010/20210521010_pdf.pdf</x:v>
      </x:c>
      <x:c r="H75" s="30" t="str">
        <x:v>等级及排名据2025第一财经榜单；2020年七普常住人口；住建部2022年城市建设统计年鉴表2-2第374行列示同一城市口径的城区人口（含表列城区暂住人口）280.92万人、建成区面积294.57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75" s="30" t="str">
        <x:v>2026-08-16</x:v>
      </x:c>
    </x:row>
    <x:row r="76">
      <x:c r="A76" t="str">
        <x:v>SRC-031</x:v>
      </x:c>
      <x:c r="B76" t="str">
        <x:v>海口人口来源</x:v>
      </x:c>
      <x:c r="C76" t="str"/>
      <x:c r="D76" t="n">
        <x:v>2020</x:v>
      </x:c>
      <x:c r="E76" t="str">
        <x:v>城市人口</x:v>
      </x:c>
      <x:c r="F76" s="30" t="str">
        <x:v>海口人口来源</x:v>
      </x:c>
      <x:c r="G76" s="77" t="str">
        <x:v>https://news.hndaily.cn/resfile/2021-05-14/008/hnrb20210514008.pdf</x:v>
      </x:c>
      <x:c r="H76" s="30" t="str">
        <x:v>等级及排名据2025第一财经榜单；2020年七普常住人口；住建部2022年城市建设统计年鉴表2-2第546行列示同一城市口径的城区人口（含表列城区暂住人口）209.92万人、建成区面积215.8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76" s="30" t="str">
        <x:v>2026-08-16</x:v>
      </x:c>
    </x:row>
    <x:row r="77">
      <x:c r="A77" t="str">
        <x:v>SRC-032</x:v>
      </x:c>
      <x:c r="B77" t="str">
        <x:v>芜湖人口来源</x:v>
      </x:c>
      <x:c r="C77" t="str"/>
      <x:c r="D77" t="n">
        <x:v>2020</x:v>
      </x:c>
      <x:c r="E77" t="str">
        <x:v>城市人口</x:v>
      </x:c>
      <x:c r="F77" s="30" t="str">
        <x:v>芜湖人口来源</x:v>
      </x:c>
      <x:c r="G77" s="77" t="str">
        <x:v>https://tjj.wuhu.gov.cn/tjxx/tjgb/8282562.html</x:v>
      </x:c>
      <x:c r="H77" s="30" t="str">
        <x:v>等级及排名据2025第一财经榜单；2020年七普常住人口；住建部2022年城市建设统计年鉴表2-2第255行列示同一城市口径的城区人口（含表列城区暂住人口）189.68万人、建成区面积265.08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77" s="30" t="str">
        <x:v>2026-08-16</x:v>
      </x:c>
    </x:row>
    <x:row r="78">
      <x:c r="A78" t="str">
        <x:v>SRC-033</x:v>
      </x:c>
      <x:c r="B78" t="str">
        <x:v>三亚人口来源</x:v>
      </x:c>
      <x:c r="C78" t="str"/>
      <x:c r="D78" t="n">
        <x:v>2020</x:v>
      </x:c>
      <x:c r="E78" t="str">
        <x:v>城市人口</x:v>
      </x:c>
      <x:c r="F78" s="30" t="str">
        <x:v>三亚人口来源</x:v>
      </x:c>
      <x:c r="G78" s="77" t="str">
        <x:v>https://tjj.sanya.gov.cn/tjjsite/tjgb/202105/e2ae897613cb4dda896fd13de631c444.shtml</x:v>
      </x:c>
      <x:c r="H78" s="30" t="str">
        <x:v>等级及排名据2025第一财经榜单；2020年七普常住人口；住建部2022年城市建设统计年鉴表2-2第547行列示同一城市口径的城区人口（含表列城区暂住人口）56万人、建成区面积59.1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78" s="30" t="str">
        <x:v>2026-08-16</x:v>
      </x:c>
    </x:row>
    <x:row r="79">
      <x:c r="A79" t="str">
        <x:v>SRC-034</x:v>
      </x:c>
      <x:c r="B79" t="str">
        <x:v>淮南人口来源</x:v>
      </x:c>
      <x:c r="C79" t="str"/>
      <x:c r="D79" t="n">
        <x:v>2020</x:v>
      </x:c>
      <x:c r="E79" t="str">
        <x:v>城市人口</x:v>
      </x:c>
      <x:c r="F79" s="30" t="str">
        <x:v>淮南人口来源</x:v>
      </x:c>
      <x:c r="G79" s="77" t="str">
        <x:v>https://tjj.huainan.gov.cn/tjsj/tjgb/551571618.html</x:v>
      </x:c>
      <x:c r="H79" s="30" t="str">
        <x:v>第一财经2025原榜单为四线第39名（总榜第158），模型口径归并为三线；2020年七普常住人口；住建部2022年城市建设统计年鉴表2-2第258行列示同一城市口径的城区人口（含表列城区暂住人口）113.37万人、建成区面积128.14平方公里；住房代理公开材料在小区/项目/户数/面积及计划/开工/完工间口径不可比，为保持同列可比性保留空值；未找到可核查的市级公共充电枪数量，未采用省级数值。 | 使用位置: 核心假设/城市数据库/年度季节曲线/历史原始数据</x:v>
      </x:c>
      <x:c r="I79" s="30" t="str">
        <x:v>2026-08-16</x:v>
      </x:c>
    </x:row>
    <x:row r="80">
      <x:c r="A80" t="str">
        <x:v>SRC-035</x:v>
      </x:c>
      <x:c r="B80" t="str">
        <x:v>中国充电联盟公共充电设施数量</x:v>
      </x:c>
      <x:c r="C80" t="str"/>
      <x:c r="D80" t="str">
        <x:v>2023-12</x:v>
      </x:c>
      <x:c r="E80" t="str">
        <x:v>年度季节曲线</x:v>
      </x:c>
      <x:c r="F80" s="30" t="str">
        <x:v>中国充电联盟公共充电设施数量</x:v>
      </x:c>
      <x:c r="G80" s="77" t="str">
        <x:v>https://www.evcipa.org.cn/newsinfo/8183139.html</x:v>
      </x:c>
      <x:c r="H80" s="30" t="str">
        <x:v>月末公共充电设施数量 | 使用位置: 核心假设/城市数据库/年度季节曲线/历史原始数据</x:v>
      </x:c>
      <x:c r="I80" s="30" t="str">
        <x:v>2026-08-16</x:v>
      </x:c>
    </x:row>
    <x:row r="81">
      <x:c r="A81" t="str">
        <x:v>SRC-036</x:v>
      </x:c>
      <x:c r="B81" t="str">
        <x:v>中国充电联盟公共充电设施数量</x:v>
      </x:c>
      <x:c r="C81" t="str"/>
      <x:c r="D81" t="str">
        <x:v>2024-01</x:v>
      </x:c>
      <x:c r="E81" t="str">
        <x:v>年度季节曲线</x:v>
      </x:c>
      <x:c r="F81" s="30" t="str">
        <x:v>中国充电联盟公共充电设施数量</x:v>
      </x:c>
      <x:c r="G81" s="77" t="str">
        <x:v>https://www.evcipa.org.cn/newsinfo/8183140.html</x:v>
      </x:c>
      <x:c r="H81" s="30" t="str">
        <x:v>月末公共充电设施数量 | 使用位置: 核心假设/城市数据库/年度季节曲线/历史原始数据</x:v>
      </x:c>
      <x:c r="I81" s="30" t="str">
        <x:v>2026-08-16</x:v>
      </x:c>
    </x:row>
    <x:row r="82">
      <x:c r="A82" t="str">
        <x:v>SRC-037</x:v>
      </x:c>
      <x:c r="B82" t="str">
        <x:v>中国充电联盟公共充电设施数量</x:v>
      </x:c>
      <x:c r="C82" t="str"/>
      <x:c r="D82" t="str">
        <x:v>2024-02</x:v>
      </x:c>
      <x:c r="E82" t="str">
        <x:v>年度季节曲线</x:v>
      </x:c>
      <x:c r="F82" s="30" t="str">
        <x:v>中国充电联盟公共充电设施数量</x:v>
      </x:c>
      <x:c r="G82" s="77" t="str">
        <x:v>https://www.evcipa.org.cn/newsinfo/8183135.html</x:v>
      </x:c>
      <x:c r="H82" s="30" t="str">
        <x:v>月末公共充电设施数量 | 使用位置: 核心假设/城市数据库/年度季节曲线/历史原始数据</x:v>
      </x:c>
      <x:c r="I82" s="30" t="str">
        <x:v>2026-08-16</x:v>
      </x:c>
    </x:row>
    <x:row r="83">
      <x:c r="A83" t="str">
        <x:v>SRC-038</x:v>
      </x:c>
      <x:c r="B83" t="str">
        <x:v>中国充电联盟公共充电设施数量</x:v>
      </x:c>
      <x:c r="C83" t="str"/>
      <x:c r="D83" t="str">
        <x:v>2024-03</x:v>
      </x:c>
      <x:c r="E83" t="str">
        <x:v>年度季节曲线</x:v>
      </x:c>
      <x:c r="F83" s="30" t="str">
        <x:v>中国充电联盟公共充电设施数量</x:v>
      </x:c>
      <x:c r="G83" s="77" t="str">
        <x:v>https://www.evcipa.org.cn/newsinfo/8183133.html</x:v>
      </x:c>
      <x:c r="H83" s="30" t="str">
        <x:v>月末公共充电设施数量 | 使用位置: 核心假设/城市数据库/年度季节曲线/历史原始数据</x:v>
      </x:c>
      <x:c r="I83" s="30" t="str">
        <x:v>2026-08-16</x:v>
      </x:c>
    </x:row>
    <x:row r="84">
      <x:c r="A84" t="str">
        <x:v>SRC-039</x:v>
      </x:c>
      <x:c r="B84" t="str">
        <x:v>中国充电联盟公共充电设施数量</x:v>
      </x:c>
      <x:c r="C84" t="str"/>
      <x:c r="D84" t="str">
        <x:v>2024-04</x:v>
      </x:c>
      <x:c r="E84" t="str">
        <x:v>年度季节曲线</x:v>
      </x:c>
      <x:c r="F84" s="30" t="str">
        <x:v>中国充电联盟公共充电设施数量</x:v>
      </x:c>
      <x:c r="G84" s="77" t="str">
        <x:v>https://www.evcipa.org.cn/newsinfo/8183136.html</x:v>
      </x:c>
      <x:c r="H84" s="30" t="str">
        <x:v>月末公共充电设施数量 | 使用位置: 核心假设/城市数据库/年度季节曲线/历史原始数据</x:v>
      </x:c>
      <x:c r="I84" s="30" t="str">
        <x:v>2026-08-16</x:v>
      </x:c>
    </x:row>
    <x:row r="85">
      <x:c r="A85" t="str">
        <x:v>SRC-040</x:v>
      </x:c>
      <x:c r="B85" t="str">
        <x:v>中国充电联盟公共充电设施数量</x:v>
      </x:c>
      <x:c r="C85" t="str"/>
      <x:c r="D85" t="str">
        <x:v>2024-05</x:v>
      </x:c>
      <x:c r="E85" t="str">
        <x:v>年度季节曲线</x:v>
      </x:c>
      <x:c r="F85" s="30" t="str">
        <x:v>中国充电联盟公共充电设施数量</x:v>
      </x:c>
      <x:c r="G85" s="77" t="str">
        <x:v>https://www.evcipa.org.cn/newsinfo/8183100.html</x:v>
      </x:c>
      <x:c r="H85" s="30" t="str">
        <x:v>月末公共充电设施数量 | 使用位置: 核心假设/城市数据库/年度季节曲线/历史原始数据</x:v>
      </x:c>
      <x:c r="I85" s="30" t="str">
        <x:v>2026-08-16</x:v>
      </x:c>
    </x:row>
    <x:row r="86">
      <x:c r="A86" t="str">
        <x:v>SRC-041</x:v>
      </x:c>
      <x:c r="B86" t="str">
        <x:v>中国充电联盟公共充电设施数量</x:v>
      </x:c>
      <x:c r="C86" t="str"/>
      <x:c r="D86" t="str">
        <x:v>2024-06</x:v>
      </x:c>
      <x:c r="E86" t="str">
        <x:v>年度季节曲线</x:v>
      </x:c>
      <x:c r="F86" s="30" t="str">
        <x:v>中国充电联盟公共充电设施数量</x:v>
      </x:c>
      <x:c r="G86" s="77" t="str">
        <x:v>https://www.evcipa.org.cn/newsinfo/8183099.html</x:v>
      </x:c>
      <x:c r="H86" s="30" t="str">
        <x:v>月末公共充电设施数量 | 使用位置: 核心假设/城市数据库/年度季节曲线/历史原始数据</x:v>
      </x:c>
      <x:c r="I86" s="30" t="str">
        <x:v>2026-08-16</x:v>
      </x:c>
    </x:row>
    <x:row r="87">
      <x:c r="A87" t="str">
        <x:v>SRC-042</x:v>
      </x:c>
      <x:c r="B87" t="str">
        <x:v>中国充电联盟公共充电设施数量</x:v>
      </x:c>
      <x:c r="C87" t="str"/>
      <x:c r="D87" t="str">
        <x:v>2024-07</x:v>
      </x:c>
      <x:c r="E87" t="str">
        <x:v>年度季节曲线</x:v>
      </x:c>
      <x:c r="F87" s="30" t="str">
        <x:v>中国充电联盟公共充电设施数量</x:v>
      </x:c>
      <x:c r="G87" s="77" t="str">
        <x:v>https://www.evcipa.org.cn/newsinfo/8182573.html</x:v>
      </x:c>
      <x:c r="H87" s="30" t="str">
        <x:v>月末公共充电设施数量 | 使用位置: 核心假设/城市数据库/年度季节曲线/历史原始数据</x:v>
      </x:c>
      <x:c r="I87" s="30" t="str">
        <x:v>2026-08-16</x:v>
      </x:c>
    </x:row>
    <x:row r="88">
      <x:c r="A88" t="str">
        <x:v>SRC-043</x:v>
      </x:c>
      <x:c r="B88" t="str">
        <x:v>中国充电联盟公共充电设施数量</x:v>
      </x:c>
      <x:c r="C88" t="str"/>
      <x:c r="D88" t="str">
        <x:v>2024-08</x:v>
      </x:c>
      <x:c r="E88" t="str">
        <x:v>年度季节曲线</x:v>
      </x:c>
      <x:c r="F88" s="30" t="str">
        <x:v>中国充电联盟公共充电设施数量</x:v>
      </x:c>
      <x:c r="G88" s="77" t="str">
        <x:v>https://www.evcipa.org.cn/newsinfo/8183095.html</x:v>
      </x:c>
      <x:c r="H88" s="30" t="str">
        <x:v>月末公共充电设施数量 | 使用位置: 核心假设/城市数据库/年度季节曲线/历史原始数据</x:v>
      </x:c>
      <x:c r="I88" s="30" t="str">
        <x:v>2026-08-16</x:v>
      </x:c>
    </x:row>
    <x:row r="89">
      <x:c r="A89" t="str">
        <x:v>SRC-044</x:v>
      </x:c>
      <x:c r="B89" t="str">
        <x:v>中国充电联盟公共充电设施数量</x:v>
      </x:c>
      <x:c r="C89" t="str"/>
      <x:c r="D89" t="str">
        <x:v>2024-09</x:v>
      </x:c>
      <x:c r="E89" t="str">
        <x:v>年度季节曲线</x:v>
      </x:c>
      <x:c r="F89" s="30" t="str">
        <x:v>中国充电联盟公共充电设施数量</x:v>
      </x:c>
      <x:c r="G89" s="77" t="str">
        <x:v>https://www.evcipa.org.cn/newsinfo/8182568.html</x:v>
      </x:c>
      <x:c r="H89" s="30" t="str">
        <x:v>月末公共充电设施数量 | 使用位置: 核心假设/城市数据库/年度季节曲线/历史原始数据</x:v>
      </x:c>
      <x:c r="I89" s="30" t="str">
        <x:v>2026-08-16</x:v>
      </x:c>
    </x:row>
    <x:row r="90">
      <x:c r="A90" t="str">
        <x:v>SRC-045</x:v>
      </x:c>
      <x:c r="B90" t="str">
        <x:v>中国充电联盟公共充电设施数量</x:v>
      </x:c>
      <x:c r="C90" t="str"/>
      <x:c r="D90" t="str">
        <x:v>2024-10</x:v>
      </x:c>
      <x:c r="E90" t="str">
        <x:v>年度季节曲线</x:v>
      </x:c>
      <x:c r="F90" s="30" t="str">
        <x:v>中国充电联盟公共充电设施数量</x:v>
      </x:c>
      <x:c r="G90" s="77" t="str">
        <x:v>https://www.evcipa.org.cn/newsinfo/8182570.html</x:v>
      </x:c>
      <x:c r="H90" s="30" t="str">
        <x:v>月末公共充电设施数量 | 使用位置: 核心假设/城市数据库/年度季节曲线/历史原始数据</x:v>
      </x:c>
      <x:c r="I90" s="30" t="str">
        <x:v>2026-08-16</x:v>
      </x:c>
    </x:row>
    <x:row r="91">
      <x:c r="A91" t="str">
        <x:v>SRC-046</x:v>
      </x:c>
      <x:c r="B91" t="str">
        <x:v>中国充电联盟公共充电设施数量</x:v>
      </x:c>
      <x:c r="C91" t="str"/>
      <x:c r="D91" t="str">
        <x:v>2024-11</x:v>
      </x:c>
      <x:c r="E91" t="str">
        <x:v>年度季节曲线</x:v>
      </x:c>
      <x:c r="F91" s="30" t="str">
        <x:v>中国充电联盟公共充电设施数量</x:v>
      </x:c>
      <x:c r="G91" s="77" t="str">
        <x:v>https://www.evcipa.org.cn/newsinfo/8182565.html</x:v>
      </x:c>
      <x:c r="H91" s="30" t="str">
        <x:v>月末公共充电设施数量 | 使用位置: 核心假设/城市数据库/年度季节曲线/历史原始数据</x:v>
      </x:c>
      <x:c r="I91" s="30" t="str">
        <x:v>2026-08-16</x:v>
      </x:c>
    </x:row>
    <x:row r="92">
      <x:c r="A92" t="str">
        <x:v>SRC-047</x:v>
      </x:c>
      <x:c r="B92" t="str">
        <x:v>中国充电联盟公共充电设施数量</x:v>
      </x:c>
      <x:c r="C92" t="str"/>
      <x:c r="D92" t="str">
        <x:v>2024-12</x:v>
      </x:c>
      <x:c r="E92" t="str">
        <x:v>年度季节曲线</x:v>
      </x:c>
      <x:c r="F92" s="30" t="str">
        <x:v>中国充电联盟公共充电设施数量</x:v>
      </x:c>
      <x:c r="G92" s="77" t="str">
        <x:v>https://www.evcipa.org.cn/newsinfo/8137834.html</x:v>
      </x:c>
      <x:c r="H92" s="30" t="str">
        <x:v>月末公共充电设施数量 | 使用位置: 核心假设/城市数据库/年度季节曲线/历史原始数据</x:v>
      </x:c>
      <x:c r="I92" s="30" t="str">
        <x:v>2026-08-16</x:v>
      </x:c>
    </x:row>
    <x:row r="93">
      <x:c r="F93" s="30"/>
      <x:c r="G93" s="77"/>
      <x:c r="H93" s="30"/>
      <x:c r="I93" s="30"/>
    </x:row>
    <x:row r="94">
      <x:c r="F94" s="30"/>
      <x:c r="G94" s="77"/>
      <x:c r="H94" s="30"/>
      <x:c r="I94" s="30"/>
    </x:row>
    <x:row r="95">
      <x:c r="F95" s="30"/>
      <x:c r="G95" s="77"/>
      <x:c r="H95" s="30"/>
      <x:c r="I95" s="30"/>
    </x:row>
    <x:row r="96">
      <x:c r="F96" s="30"/>
      <x:c r="G96" s="77"/>
      <x:c r="H96" s="30"/>
      <x:c r="I96" s="30"/>
    </x:row>
    <x:row r="97">
      <x:c r="F97" s="30"/>
      <x:c r="G97" s="77"/>
      <x:c r="H97" s="30"/>
      <x:c r="I97" s="30"/>
    </x:row>
    <x:row r="98">
      <x:c r="F98" s="30"/>
      <x:c r="G98" s="77"/>
      <x:c r="H98" s="30"/>
      <x:c r="I98" s="30"/>
    </x:row>
    <x:row r="99">
      <x:c r="F99" s="30"/>
      <x:c r="G99" s="77"/>
      <x:c r="H99" s="30"/>
      <x:c r="I99" s="30"/>
    </x:row>
    <x:row r="100">
      <x:c r="F100" s="30"/>
      <x:c r="G100" s="77"/>
      <x:c r="H100" s="30"/>
      <x:c r="I100" s="30"/>
    </x:row>
    <x:row r="101">
      <x:c r="F101" s="30"/>
      <x:c r="G101" s="77"/>
      <x:c r="H101" s="30"/>
      <x:c r="I101" s="30"/>
    </x:row>
    <x:row r="102">
      <x:c r="F102" s="30"/>
      <x:c r="G102" s="77"/>
      <x:c r="H102" s="30"/>
      <x:c r="I102" s="30"/>
    </x:row>
    <x:row r="103">
      <x:c r="F103" s="30"/>
      <x:c r="G103" s="77"/>
      <x:c r="H103" s="30"/>
      <x:c r="I103" s="30"/>
    </x:row>
    <x:row r="104">
      <x:c r="F104" s="30"/>
      <x:c r="G104" s="77"/>
      <x:c r="H104" s="30"/>
      <x:c r="I104" s="30"/>
    </x:row>
    <x:row r="105">
      <x:c r="F105" s="30"/>
      <x:c r="G105" s="77"/>
      <x:c r="H105" s="30"/>
      <x:c r="I105" s="30"/>
    </x:row>
    <x:row r="106">
      <x:c r="F106" s="30"/>
      <x:c r="G106" s="77"/>
      <x:c r="H106" s="30"/>
      <x:c r="I106" s="30"/>
    </x:row>
    <x:row r="107">
      <x:c r="F107" s="30"/>
      <x:c r="G107" s="77"/>
      <x:c r="H107" s="30"/>
      <x:c r="I107" s="30"/>
    </x:row>
    <x:row r="108">
      <x:c r="F108" s="30"/>
      <x:c r="G108" s="77"/>
      <x:c r="H108" s="30"/>
      <x:c r="I108" s="30"/>
    </x:row>
    <x:row r="109">
      <x:c r="F109" s="30"/>
      <x:c r="G109" s="77"/>
      <x:c r="H109" s="30"/>
      <x:c r="I109" s="30"/>
    </x:row>
    <x:row r="110">
      <x:c r="F110" s="30"/>
      <x:c r="G110" s="77"/>
      <x:c r="H110" s="30"/>
      <x:c r="I110" s="30"/>
    </x:row>
    <x:row r="111">
      <x:c r="F111" s="30"/>
      <x:c r="G111" s="77"/>
      <x:c r="H111" s="30"/>
      <x:c r="I111" s="30"/>
    </x:row>
    <x:row r="112">
      <x:c r="F112" s="30"/>
      <x:c r="G112" s="77"/>
      <x:c r="H112" s="30"/>
      <x:c r="I112" s="30"/>
    </x:row>
    <x:row r="113">
      <x:c r="F113" s="30"/>
      <x:c r="G113" s="77"/>
      <x:c r="H113" s="30"/>
      <x:c r="I113" s="30"/>
    </x:row>
    <x:row r="114">
      <x:c r="F114" s="30"/>
      <x:c r="G114" s="77"/>
      <x:c r="H114" s="30"/>
      <x:c r="I114" s="30"/>
    </x:row>
    <x:row r="115">
      <x:c r="F115" s="30"/>
      <x:c r="G115" s="77"/>
      <x:c r="H115" s="30"/>
      <x:c r="I115" s="30"/>
    </x:row>
    <x:row r="116">
      <x:c r="F116" s="30"/>
      <x:c r="G116" s="77"/>
      <x:c r="H116" s="30"/>
      <x:c r="I116" s="30"/>
    </x:row>
    <x:row r="117">
      <x:c r="F117" s="30"/>
      <x:c r="G117" s="77"/>
      <x:c r="H117" s="30"/>
      <x:c r="I117" s="30"/>
    </x:row>
    <x:row r="118">
      <x:c r="F118" s="30"/>
      <x:c r="G118" s="77"/>
      <x:c r="H118" s="30"/>
      <x:c r="I118" s="30"/>
    </x:row>
    <x:row r="119">
      <x:c r="F119" s="30"/>
      <x:c r="G119" s="77"/>
      <x:c r="H119" s="30"/>
      <x:c r="I119" s="30"/>
    </x:row>
    <x:row r="120">
      <x:c r="F120" s="30"/>
      <x:c r="G120" s="77"/>
      <x:c r="H120" s="30"/>
      <x:c r="I120" s="30"/>
    </x:row>
    <x:row r="121">
      <x:c r="F121" s="30"/>
      <x:c r="G121" s="77"/>
      <x:c r="H121" s="30"/>
      <x:c r="I121" s="30"/>
    </x:row>
    <x:row r="122">
      <x:c r="F122" s="30"/>
      <x:c r="G122" s="77"/>
      <x:c r="H122" s="30"/>
      <x:c r="I122" s="30"/>
    </x:row>
    <x:row r="123">
      <x:c r="F123" s="30"/>
      <x:c r="G123" s="77"/>
      <x:c r="H123" s="30"/>
      <x:c r="I123" s="30"/>
    </x:row>
    <x:row r="124">
      <x:c r="F124" s="30"/>
      <x:c r="G124" s="77"/>
      <x:c r="H124" s="30"/>
      <x:c r="I124" s="30"/>
    </x:row>
    <x:row r="125">
      <x:c r="F125" s="30"/>
      <x:c r="G125" s="77"/>
      <x:c r="H125" s="30"/>
      <x:c r="I125" s="30"/>
    </x:row>
    <x:row r="126">
      <x:c r="F126" s="30"/>
      <x:c r="G126" s="77"/>
      <x:c r="H126" s="30"/>
      <x:c r="I126" s="30"/>
    </x:row>
    <x:row r="127">
      <x:c r="F127" s="30"/>
      <x:c r="G127" s="77"/>
      <x:c r="H127" s="30"/>
      <x:c r="I127" s="30"/>
    </x:row>
    <x:row r="128">
      <x:c r="F128" s="30"/>
      <x:c r="G128" s="77"/>
      <x:c r="H128" s="30"/>
      <x:c r="I128" s="30"/>
    </x:row>
    <x:row r="129">
      <x:c r="F129" s="30"/>
      <x:c r="G129" s="77"/>
      <x:c r="H129" s="30"/>
      <x:c r="I129" s="30"/>
    </x:row>
    <x:row r="130">
      <x:c r="F130" s="30"/>
      <x:c r="G130" s="77"/>
      <x:c r="H130" s="30"/>
      <x:c r="I130" s="30"/>
    </x:row>
    <x:row r="131">
      <x:c r="F131" s="30"/>
      <x:c r="G131" s="77"/>
      <x:c r="H131" s="30"/>
      <x:c r="I131" s="30"/>
    </x:row>
    <x:row r="132">
      <x:c r="F132" s="30"/>
      <x:c r="G132" s="77"/>
      <x:c r="H132" s="30"/>
      <x:c r="I132" s="30"/>
    </x:row>
    <x:row r="133">
      <x:c r="F133" s="30"/>
      <x:c r="G133" s="77"/>
      <x:c r="H133" s="30"/>
      <x:c r="I133" s="30"/>
    </x:row>
    <x:row r="134">
      <x:c r="F134" s="30"/>
      <x:c r="G134" s="77"/>
      <x:c r="H134" s="30"/>
      <x:c r="I134" s="30"/>
    </x:row>
    <x:row r="135">
      <x:c r="F135" s="30"/>
      <x:c r="G135" s="77"/>
      <x:c r="H135" s="30"/>
      <x:c r="I135" s="30"/>
    </x:row>
    <x:row r="136">
      <x:c r="F136" s="30"/>
      <x:c r="G136" s="77"/>
      <x:c r="H136" s="30"/>
      <x:c r="I136" s="30"/>
    </x:row>
    <x:row r="137">
      <x:c r="F137" s="30"/>
      <x:c r="G137" s="77"/>
      <x:c r="H137" s="30"/>
      <x:c r="I137" s="30"/>
    </x:row>
    <x:row r="138">
      <x:c r="F138" s="30"/>
      <x:c r="G138" s="77"/>
      <x:c r="H138" s="30"/>
      <x:c r="I138" s="30"/>
    </x:row>
    <x:row r="139">
      <x:c r="F139" s="30"/>
      <x:c r="G139" s="77"/>
      <x:c r="H139" s="30"/>
      <x:c r="I139" s="30"/>
    </x:row>
    <x:row r="140">
      <x:c r="F140" s="30"/>
      <x:c r="G140" s="77"/>
      <x:c r="H140" s="30"/>
      <x:c r="I140" s="30"/>
    </x:row>
    <x:row r="141">
      <x:c r="F141" s="30"/>
      <x:c r="G141" s="77"/>
      <x:c r="H141" s="30"/>
      <x:c r="I141" s="30"/>
    </x:row>
    <x:row r="142">
      <x:c r="F142" s="30"/>
      <x:c r="G142" s="77"/>
      <x:c r="H142" s="30"/>
      <x:c r="I142" s="30"/>
    </x:row>
    <x:row r="143">
      <x:c r="F143" s="30"/>
      <x:c r="G143" s="77"/>
      <x:c r="H143" s="30"/>
      <x:c r="I143" s="30"/>
    </x:row>
    <x:row r="144">
      <x:c r="F144" s="30"/>
      <x:c r="G144" s="77"/>
      <x:c r="H144" s="30"/>
      <x:c r="I144" s="30"/>
    </x:row>
    <x:row r="145">
      <x:c r="F145" s="30"/>
      <x:c r="G145" s="77"/>
      <x:c r="H145" s="30"/>
      <x:c r="I145" s="30"/>
    </x:row>
    <x:row r="146">
      <x:c r="F146" s="30"/>
      <x:c r="G146" s="77"/>
      <x:c r="H146" s="30"/>
      <x:c r="I146" s="30"/>
    </x:row>
    <x:row r="147">
      <x:c r="F147" s="30"/>
      <x:c r="G147" s="77"/>
      <x:c r="H147" s="30"/>
      <x:c r="I147" s="30"/>
    </x:row>
    <x:row r="148">
      <x:c r="F148" s="30"/>
      <x:c r="G148" s="77"/>
      <x:c r="H148" s="30"/>
      <x:c r="I148" s="30"/>
    </x:row>
    <x:row r="149">
      <x:c r="F149" s="30"/>
      <x:c r="G149" s="77"/>
      <x:c r="H149" s="30"/>
      <x:c r="I149" s="30"/>
    </x:row>
    <x:row r="150">
      <x:c r="F150" s="30"/>
      <x:c r="G150" s="77"/>
      <x:c r="H150" s="30"/>
      <x:c r="I150" s="30"/>
    </x:row>
    <x:row r="151">
      <x:c r="F151" s="30"/>
      <x:c r="G151" s="77"/>
      <x:c r="H151" s="30"/>
      <x:c r="I151" s="30"/>
    </x:row>
    <x:row r="152">
      <x:c r="F152" s="30"/>
      <x:c r="G152" s="77"/>
      <x:c r="H152" s="30"/>
      <x:c r="I152" s="30"/>
    </x:row>
    <x:row r="153">
      <x:c r="F153" s="30"/>
      <x:c r="G153" s="77"/>
      <x:c r="H153" s="30"/>
      <x:c r="I153" s="30"/>
    </x:row>
    <x:row r="154">
      <x:c r="F154" s="30"/>
      <x:c r="G154" s="77"/>
      <x:c r="H154" s="30"/>
      <x:c r="I154" s="30"/>
    </x:row>
    <x:row r="155">
      <x:c r="F155" s="30"/>
      <x:c r="G155" s="77"/>
      <x:c r="H155" s="30"/>
      <x:c r="I155" s="30"/>
    </x:row>
    <x:row r="156">
      <x:c r="F156" s="30"/>
      <x:c r="G156" s="77"/>
      <x:c r="H156" s="30"/>
      <x:c r="I156" s="30"/>
    </x:row>
    <x:row r="157">
      <x:c r="F157" s="30"/>
      <x:c r="G157" s="77"/>
      <x:c r="H157" s="30"/>
      <x:c r="I157" s="30"/>
    </x:row>
    <x:row r="158">
      <x:c r="F158" s="30"/>
      <x:c r="G158" s="77"/>
      <x:c r="H158" s="30"/>
      <x:c r="I158" s="30"/>
    </x:row>
    <x:row r="159">
      <x:c r="F159" s="30"/>
      <x:c r="G159" s="77"/>
      <x:c r="H159" s="30"/>
      <x:c r="I159" s="30"/>
    </x:row>
    <x:row r="160">
      <x:c r="F160" s="30"/>
      <x:c r="G160" s="77"/>
      <x:c r="H160" s="30"/>
      <x:c r="I160" s="30"/>
    </x:row>
    <x:row r="161">
      <x:c r="F161" s="30"/>
      <x:c r="G161" s="77"/>
      <x:c r="H161" s="30"/>
      <x:c r="I161" s="30"/>
    </x:row>
    <x:row r="162">
      <x:c r="F162" s="30"/>
      <x:c r="G162" s="77"/>
      <x:c r="H162" s="30"/>
      <x:c r="I162" s="30"/>
    </x:row>
    <x:row r="163">
      <x:c r="F163" s="30"/>
      <x:c r="G163" s="77"/>
      <x:c r="H163" s="30"/>
      <x:c r="I163" s="30"/>
    </x:row>
    <x:row r="164">
      <x:c r="F164" s="30"/>
      <x:c r="G164" s="77"/>
      <x:c r="H164" s="30"/>
      <x:c r="I164" s="30"/>
    </x:row>
    <x:row r="165">
      <x:c r="F165" s="30"/>
      <x:c r="G165" s="77"/>
      <x:c r="H165" s="30"/>
      <x:c r="I165" s="30"/>
    </x:row>
    <x:row r="166">
      <x:c r="F166" s="30"/>
      <x:c r="G166" s="77"/>
      <x:c r="H166" s="30"/>
      <x:c r="I166" s="30"/>
    </x:row>
    <x:row r="167">
      <x:c r="F167" s="30"/>
      <x:c r="G167" s="77"/>
      <x:c r="H167" s="30"/>
      <x:c r="I167" s="30"/>
    </x:row>
    <x:row r="168">
      <x:c r="F168" s="30"/>
      <x:c r="G168" s="77"/>
      <x:c r="H168" s="30"/>
      <x:c r="I168" s="30"/>
    </x:row>
    <x:row r="169">
      <x:c r="F169" s="30"/>
      <x:c r="G169" s="77"/>
      <x:c r="H169" s="30"/>
      <x:c r="I169" s="30"/>
    </x:row>
    <x:row r="170">
      <x:c r="F170" s="30"/>
      <x:c r="G170" s="77"/>
      <x:c r="H170" s="30"/>
      <x:c r="I170" s="30"/>
    </x:row>
    <x:row r="171">
      <x:c r="F171" s="30"/>
      <x:c r="G171" s="77"/>
      <x:c r="H171" s="30"/>
      <x:c r="I171" s="30"/>
    </x:row>
    <x:row r="172">
      <x:c r="F172" s="30"/>
      <x:c r="G172" s="77"/>
      <x:c r="H172" s="30"/>
      <x:c r="I172" s="30"/>
    </x:row>
    <x:row r="173">
      <x:c r="F173" s="30"/>
      <x:c r="G173" s="77"/>
      <x:c r="H173" s="30"/>
      <x:c r="I173" s="30"/>
    </x:row>
    <x:row r="174">
      <x:c r="F174" s="30"/>
      <x:c r="G174" s="77"/>
      <x:c r="H174" s="30"/>
      <x:c r="I174" s="30"/>
    </x:row>
    <x:row r="175">
      <x:c r="F175" s="30"/>
      <x:c r="G175" s="77"/>
      <x:c r="H175" s="30"/>
      <x:c r="I175" s="30"/>
    </x:row>
    <x:row r="176">
      <x:c r="F176" s="30"/>
      <x:c r="G176" s="77"/>
      <x:c r="H176" s="30"/>
      <x:c r="I176" s="30"/>
    </x:row>
    <x:row r="177">
      <x:c r="F177" s="30"/>
      <x:c r="G177" s="77"/>
      <x:c r="H177" s="30"/>
      <x:c r="I177" s="30"/>
    </x:row>
    <x:row r="178">
      <x:c r="F178" s="30"/>
      <x:c r="G178" s="77"/>
      <x:c r="H178" s="30"/>
      <x:c r="I178" s="30"/>
    </x:row>
    <x:row r="179">
      <x:c r="F179" s="30"/>
      <x:c r="G179" s="77"/>
      <x:c r="H179" s="30"/>
      <x:c r="I179" s="30"/>
    </x:row>
    <x:row r="180">
      <x:c r="F180" s="30"/>
      <x:c r="G180" s="77"/>
      <x:c r="H180" s="30"/>
      <x:c r="I180" s="30"/>
    </x:row>
    <x:row r="181">
      <x:c r="F181" s="30"/>
      <x:c r="G181" s="77"/>
      <x:c r="H181" s="30"/>
      <x:c r="I181" s="30"/>
    </x:row>
    <x:row r="182">
      <x:c r="F182" s="30"/>
      <x:c r="G182" s="77"/>
      <x:c r="H182" s="30"/>
      <x:c r="I182" s="30"/>
    </x:row>
    <x:row r="183">
      <x:c r="F183" s="30"/>
      <x:c r="G183" s="77"/>
      <x:c r="H183" s="30"/>
      <x:c r="I183" s="30"/>
    </x:row>
    <x:row r="184">
      <x:c r="F184" s="30"/>
      <x:c r="G184" s="77"/>
      <x:c r="H184" s="30"/>
      <x:c r="I184" s="30"/>
    </x:row>
    <x:row r="185">
      <x:c r="F185" s="30"/>
      <x:c r="G185" s="77"/>
      <x:c r="H185" s="30"/>
      <x:c r="I185" s="30"/>
    </x:row>
    <x:row r="186">
      <x:c r="F186" s="30"/>
      <x:c r="G186" s="77"/>
      <x:c r="H186" s="30"/>
      <x:c r="I186" s="30"/>
    </x:row>
    <x:row r="187">
      <x:c r="F187" s="30"/>
      <x:c r="G187" s="77"/>
      <x:c r="H187" s="30"/>
      <x:c r="I187" s="30"/>
    </x:row>
    <x:row r="188">
      <x:c r="F188" s="30"/>
      <x:c r="G188" s="77"/>
      <x:c r="H188" s="30"/>
      <x:c r="I188" s="30"/>
    </x:row>
    <x:row r="189">
      <x:c r="F189" s="30"/>
      <x:c r="G189" s="77"/>
      <x:c r="H189" s="30"/>
      <x:c r="I189" s="30"/>
    </x:row>
    <x:row r="190">
      <x:c r="F190" s="30"/>
      <x:c r="G190" s="77"/>
      <x:c r="H190" s="30"/>
      <x:c r="I190" s="30"/>
    </x:row>
    <x:row r="191">
      <x:c r="F191" s="30"/>
      <x:c r="G191" s="77"/>
      <x:c r="H191" s="30"/>
      <x:c r="I191" s="30"/>
    </x:row>
    <x:row r="192">
      <x:c r="F192" s="30"/>
      <x:c r="G192" s="77"/>
      <x:c r="H192" s="30"/>
      <x:c r="I192" s="30"/>
    </x:row>
    <x:row r="193">
      <x:c r="F193" s="30"/>
      <x:c r="G193" s="77"/>
      <x:c r="H193" s="30"/>
      <x:c r="I193" s="30"/>
    </x:row>
    <x:row r="194">
      <x:c r="F194" s="30"/>
      <x:c r="G194" s="77"/>
      <x:c r="H194" s="30"/>
      <x:c r="I194" s="30"/>
    </x:row>
    <x:row r="195">
      <x:c r="F195" s="30"/>
      <x:c r="G195" s="77"/>
      <x:c r="H195" s="30"/>
      <x:c r="I195" s="30"/>
    </x:row>
    <x:row r="196">
      <x:c r="F196" s="30"/>
      <x:c r="G196" s="77"/>
      <x:c r="H196" s="30"/>
      <x:c r="I196" s="30"/>
    </x:row>
    <x:row r="197">
      <x:c r="F197" s="30"/>
      <x:c r="G197" s="77"/>
      <x:c r="H197" s="30"/>
      <x:c r="I197" s="30"/>
    </x:row>
    <x:row r="198">
      <x:c r="F198" s="30"/>
      <x:c r="G198" s="77"/>
      <x:c r="H198" s="30"/>
      <x:c r="I198" s="30"/>
    </x:row>
    <x:row r="199">
      <x:c r="F199" s="30"/>
      <x:c r="G199" s="77"/>
      <x:c r="H199" s="30"/>
      <x:c r="I199" s="30"/>
    </x:row>
    <x:row r="200">
      <x:c r="F200" s="30"/>
      <x:c r="G200" s="77"/>
      <x:c r="H200" s="30"/>
      <x:c r="I200" s="30"/>
    </x:row>
    <x:row r="201">
      <x:c r="F201" s="30"/>
      <x:c r="G201" s="77"/>
      <x:c r="H201" s="30"/>
      <x:c r="I201" s="30"/>
    </x:row>
    <x:row r="202">
      <x:c r="F202" s="30"/>
      <x:c r="G202" s="77"/>
      <x:c r="H202" s="30"/>
      <x:c r="I202" s="30"/>
    </x:row>
    <x:row r="203">
      <x:c r="F203" s="30"/>
      <x:c r="G203" s="77"/>
      <x:c r="H203" s="30"/>
      <x:c r="I203" s="30"/>
    </x:row>
    <x:row r="204">
      <x:c r="F204" s="30"/>
      <x:c r="G204" s="77"/>
      <x:c r="H204" s="30"/>
      <x:c r="I204" s="30"/>
    </x:row>
    <x:row r="205">
      <x:c r="F205" s="30"/>
      <x:c r="G205" s="77"/>
      <x:c r="H205" s="30"/>
      <x:c r="I205" s="30"/>
    </x:row>
    <x:row r="206">
      <x:c r="F206" s="30"/>
      <x:c r="G206" s="77"/>
      <x:c r="H206" s="30"/>
      <x:c r="I206" s="30"/>
    </x:row>
    <x:row r="207">
      <x:c r="F207" s="30"/>
      <x:c r="G207" s="77"/>
      <x:c r="H207" s="30"/>
      <x:c r="I207" s="30"/>
    </x:row>
    <x:row r="208">
      <x:c r="F208" s="30"/>
      <x:c r="G208" s="77"/>
      <x:c r="H208" s="30"/>
      <x:c r="I208" s="30"/>
    </x:row>
    <x:row r="209">
      <x:c r="F209" s="30"/>
      <x:c r="G209" s="77"/>
      <x:c r="H209" s="30"/>
      <x:c r="I209" s="30"/>
    </x:row>
    <x:row r="210">
      <x:c r="F210" s="30"/>
      <x:c r="G210" s="77"/>
      <x:c r="H210" s="30"/>
      <x:c r="I210" s="30"/>
    </x:row>
    <x:row r="211">
      <x:c r="F211" s="30"/>
      <x:c r="G211" s="77"/>
      <x:c r="H211" s="30"/>
      <x:c r="I211" s="30"/>
    </x:row>
    <x:row r="212">
      <x:c r="F212" s="30"/>
      <x:c r="G212" s="77"/>
      <x:c r="H212" s="30"/>
      <x:c r="I212" s="30"/>
    </x:row>
    <x:row r="213">
      <x:c r="F213" s="30"/>
      <x:c r="G213" s="77"/>
      <x:c r="H213" s="30"/>
      <x:c r="I213" s="30"/>
    </x:row>
    <x:row r="214">
      <x:c r="F214" s="30"/>
      <x:c r="G214" s="77"/>
      <x:c r="H214" s="30"/>
      <x:c r="I214" s="30"/>
    </x:row>
    <x:row r="215">
      <x:c r="F215" s="30"/>
      <x:c r="G215" s="77"/>
      <x:c r="H215" s="30"/>
      <x:c r="I215" s="30"/>
    </x:row>
    <x:row r="216">
      <x:c r="F216" s="30"/>
      <x:c r="G216" s="77"/>
      <x:c r="H216" s="30"/>
      <x:c r="I216" s="30"/>
    </x:row>
    <x:row r="217">
      <x:c r="F217" s="30"/>
      <x:c r="G217" s="77"/>
      <x:c r="H217" s="30"/>
      <x:c r="I217" s="30"/>
    </x:row>
    <x:row r="218">
      <x:c r="F218" s="30"/>
      <x:c r="G218" s="77"/>
      <x:c r="H218" s="30"/>
      <x:c r="I218" s="30"/>
    </x:row>
    <x:row r="219">
      <x:c r="F219" s="30"/>
      <x:c r="G219" s="77"/>
      <x:c r="H219" s="30"/>
      <x:c r="I219" s="30"/>
    </x:row>
    <x:row r="220">
      <x:c r="F220" s="30"/>
      <x:c r="G220" s="77"/>
      <x:c r="H220" s="30"/>
      <x:c r="I220" s="30"/>
    </x:row>
    <x:row r="221">
      <x:c r="F221" s="30"/>
      <x:c r="G221" s="77"/>
      <x:c r="H221" s="30"/>
      <x:c r="I221" s="30"/>
    </x:row>
    <x:row r="222">
      <x:c r="F222" s="30"/>
      <x:c r="G222" s="77"/>
      <x:c r="H222" s="30"/>
      <x:c r="I222" s="30"/>
    </x:row>
    <x:row r="223">
      <x:c r="F223" s="30"/>
      <x:c r="G223" s="77"/>
      <x:c r="H223" s="30"/>
      <x:c r="I223" s="30"/>
    </x:row>
    <x:row r="224">
      <x:c r="F224" s="30"/>
      <x:c r="G224" s="77"/>
      <x:c r="H224" s="30"/>
      <x:c r="I224" s="30"/>
    </x:row>
    <x:row r="225">
      <x:c r="F225" s="30"/>
      <x:c r="G225" s="77"/>
      <x:c r="H225" s="30"/>
      <x:c r="I225" s="30"/>
    </x:row>
    <x:row r="226">
      <x:c r="F226" s="30"/>
      <x:c r="G226" s="77"/>
      <x:c r="H226" s="30"/>
      <x:c r="I226" s="30"/>
    </x:row>
    <x:row r="227">
      <x:c r="F227" s="30"/>
      <x:c r="G227" s="77"/>
      <x:c r="H227" s="30"/>
      <x:c r="I227" s="30"/>
    </x:row>
    <x:row r="228">
      <x:c r="F228" s="30"/>
      <x:c r="G228" s="77"/>
      <x:c r="H228" s="30"/>
      <x:c r="I228" s="30"/>
    </x:row>
    <x:row r="229">
      <x:c r="F229" s="30"/>
      <x:c r="G229" s="77"/>
      <x:c r="H229" s="30"/>
      <x:c r="I229" s="30"/>
    </x:row>
    <x:row r="230">
      <x:c r="F230" s="30"/>
      <x:c r="G230" s="77"/>
      <x:c r="H230" s="30"/>
      <x:c r="I230" s="30"/>
    </x:row>
    <x:row r="231">
      <x:c r="F231" s="30"/>
      <x:c r="G231" s="77"/>
      <x:c r="H231" s="30"/>
      <x:c r="I231" s="30"/>
    </x:row>
    <x:row r="232">
      <x:c r="F232" s="30"/>
      <x:c r="G232" s="77"/>
      <x:c r="H232" s="30"/>
      <x:c r="I232" s="30"/>
    </x:row>
    <x:row r="233">
      <x:c r="F233" s="30"/>
      <x:c r="G233" s="77"/>
      <x:c r="H233" s="30"/>
      <x:c r="I233" s="30"/>
    </x:row>
    <x:row r="234">
      <x:c r="F234" s="30"/>
      <x:c r="G234" s="77"/>
      <x:c r="H234" s="30"/>
      <x:c r="I234" s="30"/>
    </x:row>
    <x:row r="235">
      <x:c r="F235" s="30"/>
      <x:c r="G235" s="77"/>
      <x:c r="H235" s="30"/>
      <x:c r="I235" s="30"/>
    </x:row>
    <x:row r="236">
      <x:c r="F236" s="30"/>
      <x:c r="G236" s="77"/>
      <x:c r="H236" s="30"/>
      <x:c r="I236" s="30"/>
    </x:row>
    <x:row r="237">
      <x:c r="F237" s="30"/>
      <x:c r="G237" s="77"/>
      <x:c r="H237" s="30"/>
      <x:c r="I237" s="30"/>
    </x:row>
    <x:row r="238">
      <x:c r="F238" s="30"/>
      <x:c r="G238" s="77"/>
      <x:c r="H238" s="30"/>
      <x:c r="I238" s="30"/>
    </x:row>
    <x:row r="239">
      <x:c r="F239" s="30"/>
      <x:c r="G239" s="77"/>
      <x:c r="H239" s="30"/>
      <x:c r="I239" s="30"/>
    </x:row>
    <x:row r="240">
      <x:c r="F240" s="30"/>
      <x:c r="G240" s="77"/>
      <x:c r="H240" s="30"/>
      <x:c r="I240" s="30"/>
    </x:row>
    <x:row r="241">
      <x:c r="F241" s="30"/>
      <x:c r="G241" s="77"/>
      <x:c r="H241" s="30"/>
      <x:c r="I241" s="30"/>
    </x:row>
    <x:row r="242">
      <x:c r="F242" s="30"/>
      <x:c r="G242" s="77"/>
      <x:c r="H242" s="30"/>
      <x:c r="I242" s="30"/>
    </x:row>
    <x:row r="243">
      <x:c r="F243" s="30"/>
      <x:c r="G243" s="77"/>
      <x:c r="H243" s="30"/>
      <x:c r="I243" s="30"/>
    </x:row>
    <x:row r="244">
      <x:c r="F244" s="30"/>
      <x:c r="G244" s="77"/>
      <x:c r="H244" s="30"/>
      <x:c r="I244" s="30"/>
    </x:row>
    <x:row r="245">
      <x:c r="F245" s="30"/>
      <x:c r="G245" s="77"/>
      <x:c r="H245" s="30"/>
      <x:c r="I245" s="30"/>
    </x:row>
    <x:row r="246">
      <x:c r="F246" s="30"/>
      <x:c r="G246" s="77"/>
      <x:c r="H246" s="30"/>
      <x:c r="I246" s="30"/>
    </x:row>
    <x:row r="247">
      <x:c r="F247" s="30"/>
      <x:c r="G247" s="77"/>
      <x:c r="H247" s="30"/>
      <x:c r="I247" s="30"/>
    </x:row>
    <x:row r="248">
      <x:c r="F248" s="30"/>
      <x:c r="G248" s="77"/>
      <x:c r="H248" s="30"/>
      <x:c r="I248" s="30"/>
    </x:row>
    <x:row r="249">
      <x:c r="F249" s="30"/>
      <x:c r="G249" s="77"/>
      <x:c r="H249" s="30"/>
      <x:c r="I249" s="30"/>
    </x:row>
    <x:row r="250">
      <x:c r="F250" s="30"/>
      <x:c r="G250" s="77"/>
      <x:c r="H250" s="30"/>
      <x:c r="I250" s="30"/>
    </x:row>
    <x:row r="251">
      <x:c r="F251" s="30"/>
      <x:c r="G251" s="77"/>
      <x:c r="H251" s="30"/>
      <x:c r="I251" s="30"/>
    </x:row>
    <x:row r="252">
      <x:c r="F252" s="30"/>
      <x:c r="G252" s="77"/>
      <x:c r="H252" s="30"/>
      <x:c r="I252" s="30"/>
    </x:row>
    <x:row r="253">
      <x:c r="F253" s="30"/>
      <x:c r="G253" s="77"/>
      <x:c r="H253" s="30"/>
      <x:c r="I253" s="30"/>
    </x:row>
    <x:row r="254">
      <x:c r="F254" s="30"/>
      <x:c r="G254" s="77"/>
      <x:c r="H254" s="30"/>
      <x:c r="I254" s="30"/>
    </x:row>
    <x:row r="255">
      <x:c r="F255" s="30"/>
      <x:c r="G255" s="77"/>
      <x:c r="H255" s="30"/>
      <x:c r="I255" s="30"/>
    </x:row>
    <x:row r="256">
      <x:c r="F256" s="30"/>
      <x:c r="G256" s="77"/>
      <x:c r="H256" s="30"/>
      <x:c r="I256" s="30"/>
    </x:row>
    <x:row r="257">
      <x:c r="F257" s="30"/>
      <x:c r="G257" s="77"/>
      <x:c r="H257" s="30"/>
      <x:c r="I257" s="30"/>
    </x:row>
    <x:row r="258">
      <x:c r="F258" s="30"/>
      <x:c r="G258" s="77"/>
      <x:c r="H258" s="30"/>
      <x:c r="I258" s="30"/>
    </x:row>
    <x:row r="259">
      <x:c r="F259" s="30"/>
      <x:c r="G259" s="77"/>
      <x:c r="H259" s="30"/>
      <x:c r="I259" s="30"/>
    </x:row>
    <x:row r="260">
      <x:c r="F260" s="30"/>
      <x:c r="G260" s="77"/>
      <x:c r="H260" s="30"/>
      <x:c r="I260" s="30"/>
    </x:row>
    <x:row r="261">
      <x:c r="F261" s="30"/>
      <x:c r="G261" s="77"/>
      <x:c r="H261" s="30"/>
      <x:c r="I261" s="30"/>
    </x:row>
    <x:row r="262">
      <x:c r="F262" s="30"/>
      <x:c r="G262" s="77"/>
      <x:c r="H262" s="30"/>
      <x:c r="I262" s="30"/>
    </x:row>
    <x:row r="263">
      <x:c r="F263" s="30"/>
      <x:c r="G263" s="77"/>
      <x:c r="H263" s="30"/>
      <x:c r="I263" s="30"/>
    </x:row>
    <x:row r="264">
      <x:c r="F264" s="30"/>
      <x:c r="G264" s="77"/>
      <x:c r="H264" s="30"/>
      <x:c r="I264" s="30"/>
    </x:row>
    <x:row r="265">
      <x:c r="F265" s="30"/>
      <x:c r="G265" s="77"/>
      <x:c r="H265" s="30"/>
      <x:c r="I265" s="30"/>
    </x:row>
    <x:row r="266">
      <x:c r="F266" s="30"/>
      <x:c r="G266" s="77"/>
      <x:c r="H266" s="30"/>
      <x:c r="I266" s="30"/>
    </x:row>
    <x:row r="267">
      <x:c r="F267" s="30"/>
      <x:c r="G267" s="77"/>
      <x:c r="H267" s="30"/>
      <x:c r="I267" s="30"/>
    </x:row>
    <x:row r="268">
      <x:c r="F268" s="30"/>
      <x:c r="G268" s="77"/>
      <x:c r="H268" s="30"/>
      <x:c r="I268" s="30"/>
    </x:row>
    <x:row r="269">
      <x:c r="F269" s="30"/>
      <x:c r="G269" s="77"/>
      <x:c r="H269" s="30"/>
      <x:c r="I269" s="30"/>
    </x:row>
    <x:row r="270">
      <x:c r="F270" s="30"/>
      <x:c r="G270" s="77"/>
      <x:c r="H270" s="30"/>
      <x:c r="I270" s="30"/>
    </x:row>
    <x:row r="271">
      <x:c r="F271" s="30"/>
      <x:c r="G271" s="77"/>
      <x:c r="H271" s="30"/>
      <x:c r="I271" s="30"/>
    </x:row>
    <x:row r="272">
      <x:c r="F272" s="30"/>
      <x:c r="G272" s="77"/>
      <x:c r="H272" s="30"/>
      <x:c r="I272" s="30"/>
    </x:row>
    <x:row r="273">
      <x:c r="F273" s="30"/>
      <x:c r="G273" s="77"/>
      <x:c r="H273" s="30"/>
      <x:c r="I273" s="30"/>
    </x:row>
    <x:row r="274">
      <x:c r="F274" s="30"/>
      <x:c r="G274" s="77"/>
      <x:c r="H274" s="30"/>
      <x:c r="I274" s="30"/>
    </x:row>
    <x:row r="275">
      <x:c r="F275" s="30"/>
      <x:c r="G275" s="77"/>
      <x:c r="H275" s="30"/>
      <x:c r="I275" s="30"/>
    </x:row>
    <x:row r="276">
      <x:c r="F276" s="30"/>
      <x:c r="G276" s="77"/>
      <x:c r="H276" s="30"/>
      <x:c r="I276" s="30"/>
    </x:row>
    <x:row r="277">
      <x:c r="F277" s="30"/>
      <x:c r="G277" s="77"/>
      <x:c r="H277" s="30"/>
      <x:c r="I277" s="30"/>
    </x:row>
    <x:row r="278">
      <x:c r="F278" s="30"/>
      <x:c r="G278" s="77"/>
      <x:c r="H278" s="30"/>
      <x:c r="I278" s="30"/>
    </x:row>
    <x:row r="279">
      <x:c r="F279" s="30"/>
      <x:c r="G279" s="77"/>
      <x:c r="H279" s="30"/>
      <x:c r="I279" s="30"/>
    </x:row>
    <x:row r="280">
      <x:c r="F280" s="30"/>
      <x:c r="G280" s="77"/>
      <x:c r="H280" s="30"/>
      <x:c r="I280" s="30"/>
    </x:row>
    <x:row r="281">
      <x:c r="F281" s="30"/>
      <x:c r="G281" s="77"/>
      <x:c r="H281" s="30"/>
      <x:c r="I281" s="30"/>
    </x:row>
    <x:row r="282">
      <x:c r="F282" s="30"/>
      <x:c r="G282" s="77"/>
      <x:c r="H282" s="30"/>
      <x:c r="I282" s="30"/>
    </x:row>
    <x:row r="283">
      <x:c r="F283" s="30"/>
      <x:c r="G283" s="77"/>
      <x:c r="H283" s="30"/>
      <x:c r="I283" s="30"/>
    </x:row>
    <x:row r="284">
      <x:c r="F284" s="30"/>
      <x:c r="G284" s="77"/>
      <x:c r="H284" s="30"/>
      <x:c r="I284" s="30"/>
    </x:row>
    <x:row r="285">
      <x:c r="F285" s="30"/>
      <x:c r="G285" s="77"/>
      <x:c r="H285" s="30"/>
      <x:c r="I285" s="30"/>
    </x:row>
    <x:row r="286">
      <x:c r="F286" s="30"/>
      <x:c r="G286" s="77"/>
      <x:c r="H286" s="30"/>
      <x:c r="I286" s="30"/>
    </x:row>
    <x:row r="287">
      <x:c r="F287" s="30"/>
      <x:c r="G287" s="77"/>
      <x:c r="H287" s="30"/>
      <x:c r="I287" s="30"/>
    </x:row>
    <x:row r="288">
      <x:c r="F288" s="30"/>
      <x:c r="G288" s="77"/>
      <x:c r="H288" s="30"/>
      <x:c r="I288" s="30"/>
    </x:row>
    <x:row r="289">
      <x:c r="F289" s="30"/>
      <x:c r="G289" s="77"/>
      <x:c r="H289" s="30"/>
      <x:c r="I289" s="30"/>
    </x:row>
    <x:row r="290">
      <x:c r="F290" s="30"/>
      <x:c r="G290" s="77"/>
      <x:c r="H290" s="30"/>
      <x:c r="I290" s="30"/>
    </x:row>
    <x:row r="291">
      <x:c r="F291" s="30"/>
      <x:c r="G291" s="77"/>
      <x:c r="H291" s="30"/>
      <x:c r="I291" s="30"/>
    </x:row>
    <x:row r="292">
      <x:c r="F292" s="30"/>
      <x:c r="G292" s="77"/>
      <x:c r="H292" s="30"/>
      <x:c r="I292" s="30"/>
    </x:row>
    <x:row r="293">
      <x:c r="F293" s="30"/>
      <x:c r="G293" s="77"/>
      <x:c r="H293" s="30"/>
      <x:c r="I293" s="30"/>
    </x:row>
    <x:row r="294">
      <x:c r="F294" s="30"/>
      <x:c r="G294" s="77"/>
      <x:c r="H294" s="30"/>
      <x:c r="I294" s="30"/>
    </x:row>
    <x:row r="295">
      <x:c r="F295" s="30"/>
      <x:c r="G295" s="77"/>
      <x:c r="H295" s="30"/>
      <x:c r="I295" s="30"/>
    </x:row>
    <x:row r="296">
      <x:c r="F296" s="30"/>
      <x:c r="G296" s="77"/>
      <x:c r="H296" s="30"/>
      <x:c r="I296" s="30"/>
    </x:row>
    <x:row r="297">
      <x:c r="F297" s="30"/>
      <x:c r="G297" s="77"/>
      <x:c r="H297" s="30"/>
      <x:c r="I297" s="30"/>
    </x:row>
    <x:row r="298">
      <x:c r="F298" s="30"/>
      <x:c r="G298" s="77"/>
      <x:c r="H298" s="30"/>
      <x:c r="I298" s="30"/>
    </x:row>
    <x:row r="299">
      <x:c r="F299" s="30"/>
      <x:c r="G299" s="77"/>
      <x:c r="H299" s="30"/>
      <x:c r="I299" s="30"/>
    </x:row>
    <x:row r="300">
      <x:c r="F300" s="30"/>
      <x:c r="G300" s="77"/>
      <x:c r="H300" s="30"/>
      <x:c r="I300" s="30"/>
    </x:row>
    <x:row r="301">
      <x:c r="F301" s="30"/>
      <x:c r="G301" s="77"/>
      <x:c r="H301" s="30"/>
      <x:c r="I301" s="30"/>
    </x:row>
    <x:row r="302">
      <x:c r="F302" s="30"/>
      <x:c r="G302" s="77"/>
      <x:c r="H302" s="30"/>
      <x:c r="I302" s="30"/>
    </x:row>
    <x:row r="303">
      <x:c r="F303" s="30"/>
      <x:c r="G303" s="77"/>
      <x:c r="H303" s="30"/>
      <x:c r="I303" s="30"/>
    </x:row>
    <x:row r="304">
      <x:c r="F304" s="30"/>
      <x:c r="G304" s="77"/>
      <x:c r="H304" s="30"/>
      <x:c r="I304" s="30"/>
    </x:row>
    <x:row r="305">
      <x:c r="F305" s="30"/>
      <x:c r="G305" s="77"/>
      <x:c r="H305" s="30"/>
      <x:c r="I305" s="30"/>
    </x:row>
    <x:row r="306">
      <x:c r="F306" s="30"/>
      <x:c r="G306" s="77"/>
      <x:c r="H306" s="30"/>
      <x:c r="I306" s="30"/>
    </x:row>
    <x:row r="307">
      <x:c r="F307" s="30"/>
      <x:c r="G307" s="77"/>
      <x:c r="H307" s="30"/>
      <x:c r="I307" s="30"/>
    </x:row>
    <x:row r="308">
      <x:c r="F308" s="30"/>
      <x:c r="G308" s="77"/>
      <x:c r="H308" s="30"/>
      <x:c r="I308" s="30"/>
    </x:row>
    <x:row r="309">
      <x:c r="F309" s="30"/>
      <x:c r="G309" s="77"/>
      <x:c r="H309" s="30"/>
      <x:c r="I309" s="30"/>
    </x:row>
    <x:row r="310">
      <x:c r="F310" s="30"/>
      <x:c r="G310" s="77"/>
      <x:c r="H310" s="30"/>
      <x:c r="I310" s="30"/>
    </x:row>
    <x:row r="311">
      <x:c r="F311" s="30"/>
      <x:c r="G311" s="77"/>
      <x:c r="H311" s="30"/>
      <x:c r="I311" s="30"/>
    </x:row>
    <x:row r="312">
      <x:c r="F312" s="30"/>
      <x:c r="G312" s="77"/>
      <x:c r="H312" s="30"/>
      <x:c r="I312" s="30"/>
    </x:row>
    <x:row r="313">
      <x:c r="F313" s="30"/>
      <x:c r="G313" s="77"/>
      <x:c r="H313" s="30"/>
      <x:c r="I313" s="30"/>
    </x:row>
    <x:row r="314">
      <x:c r="F314" s="30"/>
      <x:c r="G314" s="77"/>
      <x:c r="H314" s="30"/>
      <x:c r="I314" s="30"/>
    </x:row>
    <x:row r="315">
      <x:c r="F315" s="30"/>
      <x:c r="G315" s="77"/>
      <x:c r="H315" s="30"/>
      <x:c r="I315" s="30"/>
    </x:row>
    <x:row r="316">
      <x:c r="F316" s="30"/>
      <x:c r="G316" s="77"/>
      <x:c r="H316" s="30"/>
      <x:c r="I316" s="30"/>
    </x:row>
    <x:row r="317">
      <x:c r="F317" s="30"/>
      <x:c r="G317" s="77"/>
      <x:c r="H317" s="30"/>
      <x:c r="I317" s="30"/>
    </x:row>
    <x:row r="318">
      <x:c r="F318" s="30"/>
      <x:c r="G318" s="77"/>
      <x:c r="H318" s="30"/>
      <x:c r="I318" s="30"/>
    </x:row>
    <x:row r="319">
      <x:c r="F319" s="30"/>
      <x:c r="G319" s="77"/>
      <x:c r="H319" s="30"/>
      <x:c r="I319" s="30"/>
    </x:row>
    <x:row r="320">
      <x:c r="F320" s="30"/>
      <x:c r="G320" s="77"/>
      <x:c r="H320" s="30"/>
      <x:c r="I320" s="30"/>
    </x:row>
    <x:row r="321">
      <x:c r="F321" s="30"/>
      <x:c r="G321" s="77"/>
      <x:c r="H321" s="30"/>
      <x:c r="I321" s="30"/>
    </x:row>
    <x:row r="322">
      <x:c r="F322" s="30"/>
      <x:c r="G322" s="77"/>
      <x:c r="H322" s="30"/>
      <x:c r="I322" s="30"/>
    </x:row>
    <x:row r="323">
      <x:c r="F323" s="30"/>
      <x:c r="G323" s="77"/>
      <x:c r="H323" s="30"/>
      <x:c r="I323" s="30"/>
    </x:row>
    <x:row r="324">
      <x:c r="F324" s="30"/>
      <x:c r="G324" s="77"/>
      <x:c r="H324" s="30"/>
      <x:c r="I324" s="30"/>
    </x:row>
    <x:row r="325">
      <x:c r="F325" s="30"/>
      <x:c r="G325" s="77"/>
      <x:c r="H325" s="30"/>
      <x:c r="I325" s="30"/>
    </x:row>
    <x:row r="326">
      <x:c r="F326" s="30"/>
      <x:c r="G326" s="77"/>
      <x:c r="H326" s="30"/>
      <x:c r="I326" s="30"/>
    </x:row>
    <x:row r="327">
      <x:c r="F327" s="30"/>
      <x:c r="G327" s="77"/>
      <x:c r="H327" s="30"/>
      <x:c r="I327" s="30"/>
    </x:row>
    <x:row r="328">
      <x:c r="F328" s="30"/>
      <x:c r="G328" s="77"/>
      <x:c r="H328" s="30"/>
      <x:c r="I328" s="30"/>
    </x:row>
    <x:row r="329">
      <x:c r="F329" s="30"/>
      <x:c r="G329" s="77"/>
      <x:c r="H329" s="30"/>
      <x:c r="I329" s="30"/>
    </x:row>
    <x:row r="330">
      <x:c r="F330" s="30"/>
      <x:c r="G330" s="77"/>
      <x:c r="H330" s="30"/>
      <x:c r="I330" s="30"/>
    </x:row>
    <x:row r="331">
      <x:c r="F331" s="30"/>
      <x:c r="G331" s="77"/>
      <x:c r="H331" s="30"/>
      <x:c r="I331" s="30"/>
    </x:row>
    <x:row r="332">
      <x:c r="F332" s="30"/>
      <x:c r="G332" s="77"/>
      <x:c r="H332" s="30"/>
      <x:c r="I332" s="30"/>
    </x:row>
    <x:row r="333">
      <x:c r="F333" s="30"/>
      <x:c r="G333" s="77"/>
      <x:c r="H333" s="30"/>
      <x:c r="I333" s="30"/>
    </x:row>
    <x:row r="334">
      <x:c r="F334" s="30"/>
      <x:c r="G334" s="77"/>
      <x:c r="H334" s="30"/>
      <x:c r="I334" s="30"/>
    </x:row>
    <x:row r="335">
      <x:c r="F335" s="30"/>
      <x:c r="G335" s="77"/>
      <x:c r="H335" s="30"/>
      <x:c r="I335" s="30"/>
    </x:row>
    <x:row r="336">
      <x:c r="F336" s="30"/>
      <x:c r="G336" s="77"/>
      <x:c r="H336" s="30"/>
      <x:c r="I336" s="30"/>
    </x:row>
    <x:row r="337">
      <x:c r="F337" s="30"/>
      <x:c r="G337" s="77"/>
      <x:c r="H337" s="30"/>
      <x:c r="I337" s="30"/>
    </x:row>
    <x:row r="338">
      <x:c r="F338" s="30"/>
      <x:c r="G338" s="77"/>
      <x:c r="H338" s="30"/>
      <x:c r="I338" s="30"/>
    </x:row>
    <x:row r="339">
      <x:c r="F339" s="30"/>
      <x:c r="G339" s="77"/>
      <x:c r="H339" s="30"/>
      <x:c r="I339" s="30"/>
    </x:row>
    <x:row r="340">
      <x:c r="F340" s="30"/>
      <x:c r="G340" s="77"/>
      <x:c r="H340" s="30"/>
      <x:c r="I340" s="30"/>
    </x:row>
    <x:row r="341">
      <x:c r="F341" s="30"/>
      <x:c r="G341" s="77"/>
      <x:c r="H341" s="30"/>
      <x:c r="I341" s="30"/>
    </x:row>
    <x:row r="342">
      <x:c r="F342" s="30"/>
      <x:c r="G342" s="77"/>
      <x:c r="H342" s="30"/>
      <x:c r="I342" s="30"/>
    </x:row>
    <x:row r="343">
      <x:c r="F343" s="30"/>
      <x:c r="G343" s="77"/>
      <x:c r="H343" s="30"/>
      <x:c r="I343" s="30"/>
    </x:row>
    <x:row r="344">
      <x:c r="F344" s="30"/>
      <x:c r="G344" s="77"/>
      <x:c r="H344" s="30"/>
      <x:c r="I344" s="30"/>
    </x:row>
    <x:row r="345">
      <x:c r="F345" s="30"/>
      <x:c r="G345" s="77"/>
      <x:c r="H345" s="30"/>
      <x:c r="I345" s="30"/>
    </x:row>
    <x:row r="346">
      <x:c r="F346" s="30"/>
      <x:c r="G346" s="77"/>
      <x:c r="H346" s="30"/>
      <x:c r="I346" s="30"/>
    </x:row>
    <x:row r="347">
      <x:c r="F347" s="30"/>
      <x:c r="G347" s="77"/>
      <x:c r="H347" s="30"/>
      <x:c r="I347" s="30"/>
    </x:row>
    <x:row r="348">
      <x:c r="F348" s="30"/>
      <x:c r="G348" s="77"/>
      <x:c r="H348" s="30"/>
      <x:c r="I348" s="30"/>
    </x:row>
    <x:row r="349">
      <x:c r="F349" s="30"/>
      <x:c r="G349" s="77"/>
      <x:c r="H349" s="30"/>
      <x:c r="I349" s="30"/>
    </x:row>
    <x:row r="350">
      <x:c r="F350" s="30"/>
      <x:c r="G350" s="77"/>
      <x:c r="H350" s="30"/>
      <x:c r="I350" s="30"/>
    </x:row>
    <x:row r="351">
      <x:c r="F351" s="30"/>
      <x:c r="G351" s="77"/>
      <x:c r="H351" s="30"/>
      <x:c r="I351" s="30"/>
    </x:row>
    <x:row r="352">
      <x:c r="F352" s="30"/>
      <x:c r="G352" s="77"/>
      <x:c r="H352" s="30"/>
      <x:c r="I352" s="30"/>
    </x:row>
    <x:row r="353">
      <x:c r="F353" s="30"/>
      <x:c r="G353" s="77"/>
      <x:c r="H353" s="30"/>
      <x:c r="I353" s="30"/>
    </x:row>
    <x:row r="354">
      <x:c r="F354" s="30"/>
      <x:c r="G354" s="77"/>
      <x:c r="H354" s="30"/>
      <x:c r="I354" s="30"/>
    </x:row>
    <x:row r="355">
      <x:c r="F355" s="30"/>
      <x:c r="G355" s="77"/>
      <x:c r="H355" s="30"/>
      <x:c r="I355" s="30"/>
    </x:row>
    <x:row r="356">
      <x:c r="F356" s="30"/>
      <x:c r="G356" s="77"/>
      <x:c r="H356" s="30"/>
      <x:c r="I356" s="30"/>
    </x:row>
    <x:row r="357">
      <x:c r="F357" s="30"/>
      <x:c r="G357" s="77"/>
      <x:c r="H357" s="30"/>
      <x:c r="I357" s="30"/>
    </x:row>
    <x:row r="358">
      <x:c r="F358" s="30"/>
      <x:c r="G358" s="77"/>
      <x:c r="H358" s="30"/>
      <x:c r="I358" s="30"/>
    </x:row>
    <x:row r="359">
      <x:c r="F359" s="30"/>
      <x:c r="G359" s="77"/>
      <x:c r="H359" s="30"/>
      <x:c r="I359" s="30"/>
    </x:row>
    <x:row r="360">
      <x:c r="F360" s="30"/>
      <x:c r="G360" s="77"/>
      <x:c r="H360" s="30"/>
      <x:c r="I360" s="30"/>
    </x:row>
    <x:row r="361">
      <x:c r="F361" s="30"/>
      <x:c r="G361" s="77"/>
      <x:c r="H361" s="30"/>
      <x:c r="I361" s="30"/>
    </x:row>
    <x:row r="362">
      <x:c r="F362" s="30"/>
      <x:c r="G362" s="77"/>
      <x:c r="H362" s="30"/>
      <x:c r="I362" s="30"/>
    </x:row>
    <x:row r="363">
      <x:c r="F363" s="30"/>
      <x:c r="G363" s="77"/>
      <x:c r="H363" s="30"/>
      <x:c r="I363" s="30"/>
    </x:row>
    <x:row r="364">
      <x:c r="F364" s="30"/>
      <x:c r="G364" s="77"/>
      <x:c r="H364" s="30"/>
      <x:c r="I364" s="30"/>
    </x:row>
    <x:row r="365">
      <x:c r="F365" s="30"/>
      <x:c r="G365" s="77"/>
      <x:c r="H365" s="30"/>
      <x:c r="I365" s="30"/>
    </x:row>
    <x:row r="366">
      <x:c r="F366" s="30"/>
      <x:c r="G366" s="77"/>
      <x:c r="H366" s="30"/>
      <x:c r="I366" s="30"/>
    </x:row>
    <x:row r="367">
      <x:c r="F367" s="30"/>
      <x:c r="G367" s="77"/>
      <x:c r="H367" s="30"/>
      <x:c r="I367" s="30"/>
    </x:row>
    <x:row r="368">
      <x:c r="F368" s="30"/>
      <x:c r="G368" s="77"/>
      <x:c r="H368" s="30"/>
      <x:c r="I368" s="30"/>
    </x:row>
    <x:row r="369">
      <x:c r="F369" s="30"/>
      <x:c r="G369" s="77"/>
      <x:c r="H369" s="30"/>
      <x:c r="I369" s="30"/>
    </x:row>
    <x:row r="370">
      <x:c r="F370" s="30"/>
      <x:c r="G370" s="77"/>
      <x:c r="H370" s="30"/>
      <x:c r="I370" s="30"/>
    </x:row>
    <x:row r="371">
      <x:c r="F371" s="30"/>
      <x:c r="G371" s="77"/>
      <x:c r="H371" s="30"/>
      <x:c r="I371" s="30"/>
    </x:row>
    <x:row r="372">
      <x:c r="F372" s="30"/>
      <x:c r="G372" s="77"/>
      <x:c r="H372" s="30"/>
      <x:c r="I372" s="30"/>
    </x:row>
    <x:row r="373">
      <x:c r="F373" s="30"/>
      <x:c r="G373" s="77"/>
      <x:c r="H373" s="30"/>
      <x:c r="I373" s="30"/>
    </x:row>
    <x:row r="374">
      <x:c r="F374" s="30"/>
      <x:c r="G374" s="77"/>
      <x:c r="H374" s="30"/>
      <x:c r="I374" s="30"/>
    </x:row>
    <x:row r="375">
      <x:c r="F375" s="30"/>
      <x:c r="G375" s="77"/>
      <x:c r="H375" s="30"/>
      <x:c r="I375" s="30"/>
    </x:row>
    <x:row r="376">
      <x:c r="F376" s="30"/>
      <x:c r="G376" s="77"/>
      <x:c r="H376" s="30"/>
      <x:c r="I376" s="30"/>
    </x:row>
    <x:row r="377">
      <x:c r="F377" s="30"/>
      <x:c r="G377" s="77"/>
      <x:c r="H377" s="30"/>
      <x:c r="I377" s="30"/>
    </x:row>
    <x:row r="378">
      <x:c r="F378" s="30"/>
      <x:c r="G378" s="77"/>
      <x:c r="H378" s="30"/>
      <x:c r="I378" s="30"/>
    </x:row>
    <x:row r="379">
      <x:c r="F379" s="30"/>
      <x:c r="G379" s="77"/>
      <x:c r="H379" s="30"/>
      <x:c r="I379" s="30"/>
    </x:row>
    <x:row r="380">
      <x:c r="F380" s="30"/>
      <x:c r="G380" s="77"/>
      <x:c r="H380" s="30"/>
      <x:c r="I380" s="30"/>
    </x:row>
    <x:row r="381">
      <x:c r="F381" s="30"/>
      <x:c r="G381" s="77"/>
      <x:c r="H381" s="30"/>
      <x:c r="I381" s="30"/>
    </x:row>
    <x:row r="382">
      <x:c r="F382" s="30"/>
      <x:c r="G382" s="77"/>
      <x:c r="H382" s="30"/>
      <x:c r="I382" s="30"/>
    </x:row>
    <x:row r="383">
      <x:c r="F383" s="30"/>
      <x:c r="G383" s="77"/>
      <x:c r="H383" s="30"/>
      <x:c r="I383" s="30"/>
    </x:row>
    <x:row r="384">
      <x:c r="F384" s="30"/>
      <x:c r="G384" s="77"/>
      <x:c r="H384" s="30"/>
      <x:c r="I384" s="30"/>
    </x:row>
    <x:row r="385">
      <x:c r="F385" s="30"/>
      <x:c r="G385" s="77"/>
      <x:c r="H385" s="30"/>
      <x:c r="I385" s="30"/>
    </x:row>
    <x:row r="386">
      <x:c r="F386" s="30"/>
      <x:c r="G386" s="77"/>
      <x:c r="H386" s="30"/>
      <x:c r="I386" s="30"/>
    </x:row>
    <x:row r="387">
      <x:c r="F387" s="30"/>
      <x:c r="G387" s="77"/>
      <x:c r="H387" s="30"/>
      <x:c r="I387" s="30"/>
    </x:row>
    <x:row r="388">
      <x:c r="F388" s="30"/>
      <x:c r="G388" s="77"/>
      <x:c r="H388" s="30"/>
      <x:c r="I388" s="30"/>
    </x:row>
    <x:row r="389">
      <x:c r="F389" s="30"/>
      <x:c r="G389" s="77"/>
      <x:c r="H389" s="30"/>
      <x:c r="I389" s="30"/>
    </x:row>
    <x:row r="390">
      <x:c r="F390" s="30"/>
      <x:c r="G390" s="77"/>
      <x:c r="H390" s="30"/>
      <x:c r="I390" s="30"/>
    </x:row>
    <x:row r="391">
      <x:c r="F391" s="30"/>
      <x:c r="G391" s="77"/>
      <x:c r="H391" s="30"/>
      <x:c r="I391" s="30"/>
    </x:row>
    <x:row r="392">
      <x:c r="F392" s="30"/>
      <x:c r="G392" s="77"/>
      <x:c r="H392" s="30"/>
      <x:c r="I392" s="30"/>
    </x:row>
    <x:row r="393">
      <x:c r="F393" s="30"/>
      <x:c r="G393" s="77"/>
      <x:c r="H393" s="30"/>
      <x:c r="I393" s="30"/>
    </x:row>
    <x:row r="394">
      <x:c r="F394" s="30"/>
      <x:c r="G394" s="77"/>
      <x:c r="H394" s="30"/>
      <x:c r="I394" s="30"/>
    </x:row>
    <x:row r="395">
      <x:c r="F395" s="30"/>
      <x:c r="G395" s="77"/>
      <x:c r="H395" s="30"/>
      <x:c r="I395" s="30"/>
    </x:row>
    <x:row r="396">
      <x:c r="F396" s="30"/>
      <x:c r="G396" s="77"/>
      <x:c r="H396" s="30"/>
      <x:c r="I396" s="30"/>
    </x:row>
    <x:row r="397">
      <x:c r="F397" s="30"/>
      <x:c r="G397" s="77"/>
      <x:c r="H397" s="30"/>
      <x:c r="I397" s="30"/>
    </x:row>
    <x:row r="398">
      <x:c r="F398" s="30"/>
      <x:c r="G398" s="77"/>
      <x:c r="H398" s="30"/>
      <x:c r="I398" s="30"/>
    </x:row>
    <x:row r="399">
      <x:c r="F399" s="30"/>
      <x:c r="G399" s="77"/>
      <x:c r="H399" s="30"/>
      <x:c r="I399" s="30"/>
    </x:row>
    <x:row r="400">
      <x:c r="F400" s="30"/>
      <x:c r="G400" s="77"/>
      <x:c r="H400" s="30"/>
      <x:c r="I400" s="30"/>
    </x:row>
    <x:row r="401">
      <x:c r="F401" s="30"/>
      <x:c r="G401" s="77"/>
      <x:c r="H401" s="30"/>
      <x:c r="I401" s="30"/>
    </x:row>
    <x:row r="402">
      <x:c r="F402" s="30"/>
      <x:c r="G402" s="77"/>
      <x:c r="H402" s="30"/>
      <x:c r="I402" s="30"/>
    </x:row>
    <x:row r="403">
      <x:c r="F403" s="30"/>
      <x:c r="G403" s="77"/>
      <x:c r="H403" s="30"/>
      <x:c r="I403" s="30"/>
    </x:row>
    <x:row r="404">
      <x:c r="F404" s="30"/>
      <x:c r="G404" s="77"/>
      <x:c r="H404" s="30"/>
      <x:c r="I404" s="30"/>
    </x:row>
    <x:row r="405">
      <x:c r="F405" s="30"/>
      <x:c r="G405" s="77"/>
      <x:c r="H405" s="30"/>
      <x:c r="I405" s="30"/>
    </x:row>
    <x:row r="406">
      <x:c r="F406" s="30"/>
      <x:c r="G406" s="77"/>
      <x:c r="H406" s="30"/>
      <x:c r="I406" s="30"/>
    </x:row>
    <x:row r="407">
      <x:c r="F407" s="30"/>
      <x:c r="G407" s="77"/>
      <x:c r="H407" s="30"/>
      <x:c r="I407" s="30"/>
    </x:row>
    <x:row r="408">
      <x:c r="F408" s="30"/>
      <x:c r="G408" s="77"/>
      <x:c r="H408" s="30"/>
      <x:c r="I408" s="30"/>
    </x:row>
    <x:row r="409">
      <x:c r="F409" s="30"/>
      <x:c r="G409" s="77"/>
      <x:c r="H409" s="30"/>
      <x:c r="I409" s="30"/>
    </x:row>
    <x:row r="410">
      <x:c r="F410" s="30"/>
      <x:c r="G410" s="77"/>
      <x:c r="H410" s="30"/>
      <x:c r="I410" s="30"/>
    </x:row>
    <x:row r="411">
      <x:c r="F411" s="30"/>
      <x:c r="G411" s="77"/>
      <x:c r="H411" s="30"/>
      <x:c r="I411" s="30"/>
    </x:row>
    <x:row r="412">
      <x:c r="F412" s="30"/>
      <x:c r="G412" s="77"/>
      <x:c r="H412" s="30"/>
      <x:c r="I412" s="30"/>
    </x:row>
    <x:row r="413">
      <x:c r="F413" s="30"/>
      <x:c r="G413" s="77"/>
      <x:c r="H413" s="30"/>
      <x:c r="I413" s="30"/>
    </x:row>
    <x:row r="414">
      <x:c r="F414" s="30"/>
      <x:c r="G414" s="77"/>
      <x:c r="H414" s="30"/>
      <x:c r="I414" s="30"/>
    </x:row>
    <x:row r="415">
      <x:c r="F415" s="30"/>
      <x:c r="G415" s="77"/>
      <x:c r="H415" s="30"/>
      <x:c r="I415" s="30"/>
    </x:row>
    <x:row r="416">
      <x:c r="F416" s="30"/>
      <x:c r="G416" s="77"/>
      <x:c r="H416" s="30"/>
      <x:c r="I416" s="30"/>
    </x:row>
    <x:row r="417">
      <x:c r="F417" s="30"/>
      <x:c r="G417" s="77"/>
      <x:c r="H417" s="30"/>
      <x:c r="I417" s="30"/>
    </x:row>
    <x:row r="418">
      <x:c r="F418" s="30"/>
      <x:c r="G418" s="77"/>
      <x:c r="H418" s="30"/>
      <x:c r="I418" s="30"/>
    </x:row>
    <x:row r="419">
      <x:c r="F419" s="30"/>
      <x:c r="G419" s="77"/>
      <x:c r="H419" s="30"/>
      <x:c r="I419" s="30"/>
    </x:row>
    <x:row r="420">
      <x:c r="F420" s="30"/>
      <x:c r="G420" s="77"/>
      <x:c r="H420" s="30"/>
      <x:c r="I420" s="30"/>
    </x:row>
    <x:row r="421">
      <x:c r="F421" s="30"/>
      <x:c r="G421" s="77"/>
      <x:c r="H421" s="30"/>
      <x:c r="I421" s="30"/>
    </x:row>
    <x:row r="422">
      <x:c r="F422" s="30"/>
      <x:c r="G422" s="77"/>
      <x:c r="H422" s="30"/>
      <x:c r="I422" s="30"/>
    </x:row>
    <x:row r="423">
      <x:c r="F423" s="30"/>
      <x:c r="G423" s="77"/>
      <x:c r="H423" s="30"/>
      <x:c r="I423" s="30"/>
    </x:row>
    <x:row r="424">
      <x:c r="F424" s="30"/>
      <x:c r="G424" s="77"/>
      <x:c r="H424" s="30"/>
      <x:c r="I424" s="30"/>
    </x:row>
    <x:row r="425">
      <x:c r="F425" s="30"/>
      <x:c r="G425" s="77"/>
      <x:c r="H425" s="30"/>
      <x:c r="I425" s="30"/>
    </x:row>
    <x:row r="426">
      <x:c r="F426" s="30"/>
      <x:c r="G426" s="77"/>
      <x:c r="H426" s="30"/>
      <x:c r="I426" s="30"/>
    </x:row>
    <x:row r="427">
      <x:c r="F427" s="30"/>
      <x:c r="G427" s="77"/>
      <x:c r="H427" s="30"/>
      <x:c r="I427" s="30"/>
    </x:row>
    <x:row r="428">
      <x:c r="F428" s="30"/>
      <x:c r="G428" s="77"/>
      <x:c r="H428" s="30"/>
      <x:c r="I428" s="30"/>
    </x:row>
    <x:row r="429">
      <x:c r="F429" s="30"/>
      <x:c r="G429" s="77"/>
      <x:c r="H429" s="30"/>
      <x:c r="I429" s="30"/>
    </x:row>
    <x:row r="430">
      <x:c r="F430" s="30"/>
      <x:c r="G430" s="77"/>
      <x:c r="H430" s="30"/>
      <x:c r="I430" s="30"/>
    </x:row>
    <x:row r="431">
      <x:c r="F431" s="30"/>
      <x:c r="G431" s="77"/>
      <x:c r="H431" s="30"/>
      <x:c r="I431" s="30"/>
    </x:row>
    <x:row r="432">
      <x:c r="F432" s="30"/>
      <x:c r="G432" s="77"/>
      <x:c r="H432" s="30"/>
      <x:c r="I432" s="30"/>
    </x:row>
    <x:row r="433">
      <x:c r="F433" s="30"/>
      <x:c r="G433" s="77"/>
      <x:c r="H433" s="30"/>
      <x:c r="I433" s="30"/>
    </x:row>
    <x:row r="434">
      <x:c r="F434" s="30"/>
      <x:c r="G434" s="77"/>
      <x:c r="H434" s="30"/>
      <x:c r="I434" s="30"/>
    </x:row>
    <x:row r="435">
      <x:c r="F435" s="30"/>
      <x:c r="G435" s="77"/>
      <x:c r="H435" s="30"/>
      <x:c r="I435" s="30"/>
    </x:row>
    <x:row r="436">
      <x:c r="F436" s="30"/>
      <x:c r="G436" s="77"/>
      <x:c r="H436" s="30"/>
      <x:c r="I436" s="30"/>
    </x:row>
    <x:row r="437">
      <x:c r="F437" s="30"/>
      <x:c r="G437" s="77"/>
      <x:c r="H437" s="30"/>
      <x:c r="I437" s="30"/>
    </x:row>
    <x:row r="438">
      <x:c r="F438" s="30"/>
      <x:c r="G438" s="77"/>
      <x:c r="H438" s="30"/>
      <x:c r="I438" s="30"/>
    </x:row>
    <x:row r="439">
      <x:c r="F439" s="30"/>
      <x:c r="G439" s="77"/>
      <x:c r="H439" s="30"/>
      <x:c r="I439" s="30"/>
    </x:row>
    <x:row r="440">
      <x:c r="F440" s="30"/>
      <x:c r="G440" s="77"/>
      <x:c r="H440" s="30"/>
      <x:c r="I440" s="30"/>
    </x:row>
    <x:row r="441">
      <x:c r="F441" s="30"/>
      <x:c r="G441" s="77"/>
      <x:c r="H441" s="30"/>
      <x:c r="I441" s="30"/>
    </x:row>
    <x:row r="442">
      <x:c r="F442" s="30"/>
      <x:c r="G442" s="77"/>
      <x:c r="H442" s="30"/>
      <x:c r="I442" s="30"/>
    </x:row>
    <x:row r="443">
      <x:c r="F443" s="30"/>
      <x:c r="G443" s="77"/>
      <x:c r="H443" s="30"/>
      <x:c r="I443" s="30"/>
    </x:row>
    <x:row r="444">
      <x:c r="F444" s="30"/>
      <x:c r="G444" s="77"/>
      <x:c r="H444" s="30"/>
      <x:c r="I444" s="30"/>
    </x:row>
    <x:row r="445">
      <x:c r="F445" s="30"/>
      <x:c r="G445" s="77"/>
      <x:c r="H445" s="30"/>
      <x:c r="I445" s="30"/>
    </x:row>
    <x:row r="446">
      <x:c r="F446" s="30"/>
      <x:c r="G446" s="77"/>
      <x:c r="H446" s="30"/>
      <x:c r="I446" s="30"/>
    </x:row>
    <x:row r="447">
      <x:c r="F447" s="30"/>
      <x:c r="G447" s="77"/>
      <x:c r="H447" s="30"/>
      <x:c r="I447" s="30"/>
    </x:row>
    <x:row r="448">
      <x:c r="F448" s="30"/>
      <x:c r="G448" s="77"/>
      <x:c r="H448" s="30"/>
      <x:c r="I448" s="30"/>
    </x:row>
    <x:row r="449">
      <x:c r="F449" s="30"/>
      <x:c r="G449" s="77"/>
      <x:c r="H449" s="30"/>
      <x:c r="I449" s="30"/>
    </x:row>
    <x:row r="450">
      <x:c r="F450" s="30"/>
      <x:c r="G450" s="77"/>
      <x:c r="H450" s="30"/>
      <x:c r="I450" s="30"/>
    </x:row>
    <x:row r="451">
      <x:c r="F451" s="30"/>
      <x:c r="G451" s="77"/>
      <x:c r="H451" s="30"/>
      <x:c r="I451" s="30"/>
    </x:row>
    <x:row r="452">
      <x:c r="F452" s="30"/>
      <x:c r="G452" s="77"/>
      <x:c r="H452" s="30"/>
      <x:c r="I452" s="30"/>
    </x:row>
    <x:row r="453">
      <x:c r="F453" s="30"/>
      <x:c r="G453" s="77"/>
      <x:c r="H453" s="30"/>
      <x:c r="I453" s="30"/>
    </x:row>
    <x:row r="454">
      <x:c r="F454" s="30"/>
      <x:c r="G454" s="77"/>
      <x:c r="H454" s="30"/>
      <x:c r="I454" s="30"/>
    </x:row>
    <x:row r="455">
      <x:c r="F455" s="30"/>
      <x:c r="G455" s="77"/>
      <x:c r="H455" s="30"/>
      <x:c r="I455" s="30"/>
    </x:row>
    <x:row r="456">
      <x:c r="F456" s="30"/>
      <x:c r="G456" s="77"/>
      <x:c r="H456" s="30"/>
      <x:c r="I456" s="30"/>
    </x:row>
    <x:row r="457">
      <x:c r="F457" s="30"/>
      <x:c r="G457" s="77"/>
      <x:c r="H457" s="30"/>
      <x:c r="I457" s="30"/>
    </x:row>
    <x:row r="458">
      <x:c r="F458" s="30"/>
      <x:c r="G458" s="77"/>
      <x:c r="H458" s="30"/>
      <x:c r="I458" s="30"/>
    </x:row>
    <x:row r="459">
      <x:c r="F459" s="30"/>
      <x:c r="G459" s="77"/>
      <x:c r="H459" s="30"/>
      <x:c r="I459" s="30"/>
    </x:row>
    <x:row r="460">
      <x:c r="F460" s="30"/>
      <x:c r="G460" s="77"/>
      <x:c r="H460" s="30"/>
      <x:c r="I460" s="30"/>
    </x:row>
    <x:row r="461">
      <x:c r="F461" s="30"/>
      <x:c r="G461" s="77"/>
      <x:c r="H461" s="30"/>
      <x:c r="I461" s="30"/>
    </x:row>
    <x:row r="462">
      <x:c r="F462" s="30"/>
      <x:c r="G462" s="77"/>
      <x:c r="H462" s="30"/>
      <x:c r="I462" s="30"/>
    </x:row>
    <x:row r="463">
      <x:c r="F463" s="30"/>
      <x:c r="G463" s="77"/>
      <x:c r="H463" s="30"/>
      <x:c r="I463" s="30"/>
    </x:row>
    <x:row r="464">
      <x:c r="F464" s="30"/>
      <x:c r="G464" s="77"/>
      <x:c r="H464" s="30"/>
      <x:c r="I464" s="30"/>
    </x:row>
    <x:row r="465">
      <x:c r="F465" s="30"/>
      <x:c r="G465" s="77"/>
      <x:c r="H465" s="30"/>
      <x:c r="I465" s="30"/>
    </x:row>
    <x:row r="466">
      <x:c r="F466" s="30"/>
      <x:c r="G466" s="77"/>
      <x:c r="H466" s="30"/>
      <x:c r="I466" s="30"/>
    </x:row>
    <x:row r="467">
      <x:c r="F467" s="30"/>
      <x:c r="G467" s="77"/>
      <x:c r="H467" s="30"/>
      <x:c r="I467" s="30"/>
    </x:row>
    <x:row r="468">
      <x:c r="F468" s="30"/>
      <x:c r="G468" s="77"/>
      <x:c r="H468" s="30"/>
      <x:c r="I468" s="30"/>
    </x:row>
    <x:row r="469">
      <x:c r="F469" s="30"/>
      <x:c r="G469" s="77"/>
      <x:c r="H469" s="30"/>
      <x:c r="I469" s="30"/>
    </x:row>
    <x:row r="470">
      <x:c r="F470" s="30"/>
      <x:c r="G470" s="77"/>
      <x:c r="H470" s="30"/>
      <x:c r="I470" s="30"/>
    </x:row>
    <x:row r="471">
      <x:c r="F471" s="30"/>
      <x:c r="G471" s="77"/>
      <x:c r="H471" s="30"/>
      <x:c r="I471" s="30"/>
    </x:row>
    <x:row r="472">
      <x:c r="F472" s="30"/>
      <x:c r="G472" s="77"/>
      <x:c r="H472" s="30"/>
      <x:c r="I472" s="30"/>
    </x:row>
    <x:row r="473">
      <x:c r="F473" s="30"/>
      <x:c r="G473" s="77"/>
      <x:c r="H473" s="30"/>
      <x:c r="I473" s="30"/>
    </x:row>
    <x:row r="474">
      <x:c r="F474" s="30"/>
      <x:c r="G474" s="77"/>
      <x:c r="H474" s="30"/>
      <x:c r="I474" s="30"/>
    </x:row>
    <x:row r="475">
      <x:c r="F475" s="30"/>
      <x:c r="G475" s="77"/>
      <x:c r="H475" s="30"/>
      <x:c r="I475" s="30"/>
    </x:row>
    <x:row r="476">
      <x:c r="F476" s="30"/>
      <x:c r="G476" s="77"/>
      <x:c r="H476" s="30"/>
      <x:c r="I476" s="30"/>
    </x:row>
    <x:row r="477">
      <x:c r="F477" s="30"/>
      <x:c r="G477" s="77"/>
      <x:c r="H477" s="30"/>
      <x:c r="I477" s="30"/>
    </x:row>
    <x:row r="478">
      <x:c r="F478" s="30"/>
      <x:c r="G478" s="77"/>
      <x:c r="H478" s="30"/>
      <x:c r="I478" s="30"/>
    </x:row>
    <x:row r="479">
      <x:c r="F479" s="30"/>
      <x:c r="G479" s="77"/>
      <x:c r="H479" s="30"/>
      <x:c r="I479" s="30"/>
    </x:row>
    <x:row r="480">
      <x:c r="F480" s="30"/>
      <x:c r="G480" s="77"/>
      <x:c r="H480" s="30"/>
      <x:c r="I480" s="30"/>
    </x:row>
    <x:row r="481">
      <x:c r="F481" s="30"/>
      <x:c r="G481" s="77"/>
      <x:c r="H481" s="30"/>
      <x:c r="I481" s="30"/>
    </x:row>
    <x:row r="482">
      <x:c r="F482" s="30"/>
      <x:c r="G482" s="77"/>
      <x:c r="H482" s="30"/>
      <x:c r="I482" s="30"/>
    </x:row>
    <x:row r="483">
      <x:c r="F483" s="30"/>
      <x:c r="G483" s="77"/>
      <x:c r="H483" s="30"/>
      <x:c r="I483" s="30"/>
    </x:row>
    <x:row r="484">
      <x:c r="F484" s="30"/>
      <x:c r="G484" s="77"/>
      <x:c r="H484" s="30"/>
      <x:c r="I484" s="30"/>
    </x:row>
    <x:row r="485">
      <x:c r="F485" s="30"/>
      <x:c r="G485" s="77"/>
      <x:c r="H485" s="30"/>
      <x:c r="I485" s="30"/>
    </x:row>
    <x:row r="486">
      <x:c r="F486" s="30"/>
      <x:c r="G486" s="77"/>
      <x:c r="H486" s="30"/>
      <x:c r="I486" s="30"/>
    </x:row>
    <x:row r="487">
      <x:c r="F487" s="30"/>
      <x:c r="G487" s="77"/>
      <x:c r="H487" s="30"/>
      <x:c r="I487" s="30"/>
    </x:row>
    <x:row r="488">
      <x:c r="F488" s="30"/>
      <x:c r="G488" s="77"/>
      <x:c r="H488" s="30"/>
      <x:c r="I488" s="30"/>
    </x:row>
    <x:row r="489">
      <x:c r="F489" s="30"/>
      <x:c r="G489" s="77"/>
      <x:c r="H489" s="30"/>
      <x:c r="I489" s="30"/>
    </x:row>
    <x:row r="490">
      <x:c r="F490" s="30"/>
      <x:c r="G490" s="77"/>
      <x:c r="H490" s="30"/>
      <x:c r="I490" s="30"/>
    </x:row>
    <x:row r="491">
      <x:c r="F491" s="30"/>
      <x:c r="G491" s="77"/>
      <x:c r="H491" s="30"/>
      <x:c r="I491" s="30"/>
    </x:row>
    <x:row r="492">
      <x:c r="F492" s="30"/>
      <x:c r="G492" s="77"/>
      <x:c r="H492" s="30"/>
      <x:c r="I492" s="30"/>
    </x:row>
    <x:row r="493">
      <x:c r="F493" s="30"/>
      <x:c r="G493" s="77"/>
      <x:c r="H493" s="30"/>
      <x:c r="I493" s="30"/>
    </x:row>
    <x:row r="494">
      <x:c r="F494" s="30"/>
      <x:c r="G494" s="77"/>
      <x:c r="H494" s="30"/>
      <x:c r="I494" s="30"/>
    </x:row>
    <x:row r="495">
      <x:c r="F495" s="30"/>
      <x:c r="G495" s="77"/>
      <x:c r="H495" s="30"/>
      <x:c r="I495" s="30"/>
    </x:row>
    <x:row r="496">
      <x:c r="F496" s="30"/>
      <x:c r="G496" s="77"/>
      <x:c r="H496" s="30"/>
      <x:c r="I496" s="30"/>
    </x:row>
    <x:row r="497">
      <x:c r="F497" s="30"/>
      <x:c r="G497" s="77"/>
      <x:c r="H497" s="30"/>
      <x:c r="I497" s="30"/>
    </x:row>
    <x:row r="498">
      <x:c r="F498" s="30"/>
      <x:c r="G498" s="77"/>
      <x:c r="H498" s="30"/>
      <x:c r="I498" s="30"/>
    </x:row>
    <x:row r="499">
      <x:c r="F499" s="30"/>
      <x:c r="G499" s="77"/>
      <x:c r="H499" s="30"/>
      <x:c r="I499" s="30"/>
    </x:row>
    <x:row r="500">
      <x:c r="F500" s="30"/>
      <x:c r="G500" s="77"/>
      <x:c r="H500" s="30"/>
      <x:c r="I500" s="30"/>
    </x:row>
  </x:sheetData>
  <x:mergeCells>
    <x:mergeCell ref="A1:H1"/>
    <x:mergeCell ref="A3:H3"/>
    <x:mergeCell ref="A18:H18"/>
    <x:mergeCell ref="A1:K1"/>
    <x:mergeCell ref="A3:AD3"/>
    <x:mergeCell ref="A13:H13"/>
    <x:mergeCell ref="A20:H20"/>
    <x:mergeCell ref="A40:I40"/>
  </x:mergeCells>
  <x:conditionalFormatting sqref="A5:H15">
    <x:cfRule type="expression" dxfId="0" priority="1">
      <x:formula>OR($F1="FAIL",$F1="警告")</x:formula>
    </x:cfRule>
  </x:conditionalFormatting>
  <x:conditionalFormatting sqref="A22:H38">
    <x:cfRule type="expression" dxfId="1" priority="2">
      <x:formula>OR($F1="FAIL",$F1="警告")</x:formula>
    </x:cfRule>
  </x:conditionalFormatting>
  <x:pageMargins left="0.7" right="0.7" top="0.75" bottom="0.75" header="0.3" footer="0.3"/>
  <x:legacyDrawing xmlns:r="http://schemas.openxmlformats.org/officeDocument/2006/relationships" r:id="Rc64bda7b901c4681"/>
</x:worksheet>
</file>